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dluce\Desktop\目录统一格式\"/>
    </mc:Choice>
  </mc:AlternateContent>
  <xr:revisionPtr revIDLastSave="0" documentId="13_ncr:1_{CD8F3652-2A88-4D5F-B8A6-6F76B374D140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华腾2021" sheetId="1" r:id="rId1"/>
    <sheet name="华腾2022" sheetId="2" r:id="rId2"/>
    <sheet name="华腾2023" sheetId="3" r:id="rId3"/>
    <sheet name="华腾2021-2023汇总" sheetId="4" r:id="rId4"/>
  </sheets>
  <definedNames>
    <definedName name="_xlnm._FilterDatabase" localSheetId="0" hidden="1">华腾2021!$A$1:$I$259</definedName>
    <definedName name="_xlnm._FilterDatabase" localSheetId="3" hidden="1">'华腾2021-2023汇总'!$A$1:$G$424</definedName>
    <definedName name="_xlnm._FilterDatabase" localSheetId="1" hidden="1">华腾2022!$A$1:$I$68</definedName>
    <definedName name="_xlnm._FilterDatabase" localSheetId="2" hidden="1">华腾2023!$A$1:$I$100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23" i="4" l="1"/>
  <c r="F423" i="4"/>
  <c r="E423" i="4"/>
  <c r="D423" i="4"/>
  <c r="G422" i="4"/>
  <c r="F422" i="4"/>
  <c r="E422" i="4"/>
  <c r="D422" i="4"/>
  <c r="C422" i="4"/>
  <c r="B422" i="4"/>
  <c r="G421" i="4"/>
  <c r="F421" i="4"/>
  <c r="E421" i="4"/>
  <c r="D421" i="4"/>
  <c r="C421" i="4"/>
  <c r="B421" i="4"/>
  <c r="G420" i="4"/>
  <c r="F420" i="4"/>
  <c r="E420" i="4"/>
  <c r="D420" i="4"/>
  <c r="C420" i="4"/>
  <c r="B420" i="4"/>
  <c r="G419" i="4"/>
  <c r="F419" i="4"/>
  <c r="E419" i="4"/>
  <c r="D419" i="4"/>
  <c r="C419" i="4"/>
  <c r="B419" i="4"/>
  <c r="F418" i="4"/>
  <c r="E418" i="4"/>
  <c r="D418" i="4"/>
  <c r="C418" i="4"/>
  <c r="B418" i="4"/>
  <c r="G417" i="4"/>
  <c r="F417" i="4"/>
  <c r="E417" i="4"/>
  <c r="D417" i="4"/>
  <c r="C417" i="4"/>
  <c r="B417" i="4"/>
  <c r="G416" i="4"/>
  <c r="F416" i="4"/>
  <c r="E416" i="4"/>
  <c r="D416" i="4"/>
  <c r="C416" i="4"/>
  <c r="B416" i="4"/>
  <c r="G415" i="4"/>
  <c r="F415" i="4"/>
  <c r="E415" i="4"/>
  <c r="D415" i="4"/>
  <c r="C415" i="4"/>
  <c r="B415" i="4"/>
  <c r="G414" i="4"/>
  <c r="F414" i="4"/>
  <c r="E414" i="4"/>
  <c r="D414" i="4"/>
  <c r="C414" i="4"/>
  <c r="B414" i="4"/>
  <c r="G413" i="4"/>
  <c r="F413" i="4"/>
  <c r="E413" i="4"/>
  <c r="D413" i="4"/>
  <c r="C413" i="4"/>
  <c r="B413" i="4"/>
  <c r="G412" i="4"/>
  <c r="F412" i="4"/>
  <c r="E412" i="4"/>
  <c r="D412" i="4"/>
  <c r="C412" i="4"/>
  <c r="B412" i="4"/>
  <c r="G411" i="4"/>
  <c r="F411" i="4"/>
  <c r="E411" i="4"/>
  <c r="D411" i="4"/>
  <c r="C411" i="4"/>
  <c r="B411" i="4"/>
  <c r="G410" i="4"/>
  <c r="F410" i="4"/>
  <c r="E410" i="4"/>
  <c r="C410" i="4"/>
  <c r="B410" i="4"/>
  <c r="G409" i="4"/>
  <c r="F409" i="4"/>
  <c r="E409" i="4"/>
  <c r="D409" i="4"/>
  <c r="C409" i="4"/>
  <c r="B409" i="4"/>
  <c r="G408" i="4"/>
  <c r="F408" i="4"/>
  <c r="D408" i="4"/>
  <c r="C408" i="4"/>
  <c r="B408" i="4"/>
  <c r="G407" i="4"/>
  <c r="F407" i="4"/>
  <c r="E407" i="4"/>
  <c r="D407" i="4"/>
  <c r="C407" i="4"/>
  <c r="B407" i="4"/>
  <c r="G406" i="4"/>
  <c r="F406" i="4"/>
  <c r="E406" i="4"/>
  <c r="D406" i="4"/>
  <c r="C406" i="4"/>
  <c r="B406" i="4"/>
  <c r="G405" i="4"/>
  <c r="F405" i="4"/>
  <c r="E405" i="4"/>
  <c r="D405" i="4"/>
  <c r="C405" i="4"/>
  <c r="B405" i="4"/>
  <c r="G404" i="4"/>
  <c r="F404" i="4"/>
  <c r="E404" i="4"/>
  <c r="D404" i="4"/>
  <c r="C404" i="4"/>
  <c r="B404" i="4"/>
  <c r="G403" i="4"/>
  <c r="F403" i="4"/>
  <c r="E403" i="4"/>
  <c r="D403" i="4"/>
  <c r="C403" i="4"/>
  <c r="B403" i="4"/>
  <c r="G402" i="4"/>
  <c r="F402" i="4"/>
  <c r="E402" i="4"/>
  <c r="D402" i="4"/>
  <c r="C402" i="4"/>
  <c r="B402" i="4"/>
  <c r="G401" i="4"/>
  <c r="F401" i="4"/>
  <c r="E401" i="4"/>
  <c r="D401" i="4"/>
  <c r="C401" i="4"/>
  <c r="B401" i="4"/>
  <c r="G400" i="4"/>
  <c r="F400" i="4"/>
  <c r="E400" i="4"/>
  <c r="D400" i="4"/>
  <c r="C400" i="4"/>
  <c r="B400" i="4"/>
  <c r="G399" i="4"/>
  <c r="F399" i="4"/>
  <c r="E399" i="4"/>
  <c r="D399" i="4"/>
  <c r="C399" i="4"/>
  <c r="B399" i="4"/>
  <c r="G398" i="4"/>
  <c r="F398" i="4"/>
  <c r="E398" i="4"/>
  <c r="D398" i="4"/>
  <c r="C398" i="4"/>
  <c r="B398" i="4"/>
  <c r="G397" i="4"/>
  <c r="F397" i="4"/>
  <c r="E397" i="4"/>
  <c r="D397" i="4"/>
  <c r="C397" i="4"/>
  <c r="B397" i="4"/>
  <c r="G396" i="4"/>
  <c r="F396" i="4"/>
  <c r="E396" i="4"/>
  <c r="D396" i="4"/>
  <c r="C396" i="4"/>
  <c r="B396" i="4"/>
  <c r="G395" i="4"/>
  <c r="F395" i="4"/>
  <c r="E395" i="4"/>
  <c r="D395" i="4"/>
  <c r="C395" i="4"/>
  <c r="B395" i="4"/>
  <c r="G394" i="4"/>
  <c r="F394" i="4"/>
  <c r="E394" i="4"/>
  <c r="D394" i="4"/>
  <c r="C394" i="4"/>
  <c r="B394" i="4"/>
  <c r="G393" i="4"/>
  <c r="F393" i="4"/>
  <c r="E393" i="4"/>
  <c r="D393" i="4"/>
  <c r="C393" i="4"/>
  <c r="B393" i="4"/>
  <c r="G392" i="4"/>
  <c r="F392" i="4"/>
  <c r="E392" i="4"/>
  <c r="D392" i="4"/>
  <c r="C392" i="4"/>
  <c r="B392" i="4"/>
  <c r="G391" i="4"/>
  <c r="F391" i="4"/>
  <c r="E391" i="4"/>
  <c r="D391" i="4"/>
  <c r="C391" i="4"/>
  <c r="B391" i="4"/>
  <c r="G390" i="4"/>
  <c r="F390" i="4"/>
  <c r="E390" i="4"/>
  <c r="D390" i="4"/>
  <c r="C390" i="4"/>
  <c r="B390" i="4"/>
  <c r="G389" i="4"/>
  <c r="F389" i="4"/>
  <c r="E389" i="4"/>
  <c r="D389" i="4"/>
  <c r="C389" i="4"/>
  <c r="B389" i="4"/>
  <c r="G388" i="4"/>
  <c r="F388" i="4"/>
  <c r="E388" i="4"/>
  <c r="D388" i="4"/>
  <c r="C388" i="4"/>
  <c r="B388" i="4"/>
  <c r="G387" i="4"/>
  <c r="F387" i="4"/>
  <c r="E387" i="4"/>
  <c r="D387" i="4"/>
  <c r="C387" i="4"/>
  <c r="B387" i="4"/>
  <c r="G386" i="4"/>
  <c r="F386" i="4"/>
  <c r="E386" i="4"/>
  <c r="D386" i="4"/>
  <c r="C386" i="4"/>
  <c r="B386" i="4"/>
  <c r="G385" i="4"/>
  <c r="F385" i="4"/>
  <c r="E385" i="4"/>
  <c r="D385" i="4"/>
  <c r="C385" i="4"/>
  <c r="B385" i="4"/>
  <c r="G384" i="4"/>
  <c r="F384" i="4"/>
  <c r="E384" i="4"/>
  <c r="D384" i="4"/>
  <c r="C384" i="4"/>
  <c r="B384" i="4"/>
  <c r="G383" i="4"/>
  <c r="F383" i="4"/>
  <c r="E383" i="4"/>
  <c r="D383" i="4"/>
  <c r="C383" i="4"/>
  <c r="B383" i="4"/>
  <c r="G382" i="4"/>
  <c r="F382" i="4"/>
  <c r="E382" i="4"/>
  <c r="D382" i="4"/>
  <c r="C382" i="4"/>
  <c r="B382" i="4"/>
  <c r="G381" i="4"/>
  <c r="F381" i="4"/>
  <c r="E381" i="4"/>
  <c r="D381" i="4"/>
  <c r="C381" i="4"/>
  <c r="B381" i="4"/>
  <c r="G380" i="4"/>
  <c r="F380" i="4"/>
  <c r="E380" i="4"/>
  <c r="D380" i="4"/>
  <c r="C380" i="4"/>
  <c r="B380" i="4"/>
  <c r="F379" i="4"/>
  <c r="E379" i="4"/>
  <c r="D379" i="4"/>
  <c r="C379" i="4"/>
  <c r="B379" i="4"/>
  <c r="G378" i="4"/>
  <c r="F378" i="4"/>
  <c r="E378" i="4"/>
  <c r="D378" i="4"/>
  <c r="G377" i="4"/>
  <c r="F377" i="4"/>
  <c r="E377" i="4"/>
  <c r="D377" i="4"/>
  <c r="G376" i="4"/>
  <c r="F376" i="4"/>
  <c r="E376" i="4"/>
  <c r="D376" i="4"/>
  <c r="G375" i="4"/>
  <c r="F375" i="4"/>
  <c r="E375" i="4"/>
  <c r="D375" i="4"/>
  <c r="G374" i="4"/>
  <c r="F374" i="4"/>
  <c r="E374" i="4"/>
  <c r="D374" i="4"/>
  <c r="G373" i="4"/>
  <c r="F373" i="4"/>
  <c r="E373" i="4"/>
  <c r="D373" i="4"/>
  <c r="G372" i="4"/>
  <c r="F372" i="4"/>
  <c r="D372" i="4"/>
  <c r="G371" i="4"/>
  <c r="F371" i="4"/>
  <c r="E371" i="4"/>
  <c r="D371" i="4"/>
  <c r="G370" i="4"/>
  <c r="F370" i="4"/>
  <c r="E370" i="4"/>
  <c r="D370" i="4"/>
  <c r="G369" i="4"/>
  <c r="F369" i="4"/>
  <c r="E369" i="4"/>
  <c r="D369" i="4"/>
  <c r="G368" i="4"/>
  <c r="F368" i="4"/>
  <c r="E368" i="4"/>
  <c r="D368" i="4"/>
  <c r="G367" i="4"/>
  <c r="F367" i="4"/>
  <c r="E367" i="4"/>
  <c r="D367" i="4"/>
  <c r="F366" i="4"/>
  <c r="E366" i="4"/>
  <c r="D366" i="4"/>
  <c r="F365" i="4"/>
  <c r="E365" i="4"/>
  <c r="D365" i="4"/>
  <c r="G364" i="4"/>
  <c r="F364" i="4"/>
  <c r="E364" i="4"/>
  <c r="D364" i="4"/>
  <c r="F363" i="4"/>
  <c r="E363" i="4"/>
  <c r="D363" i="4"/>
  <c r="F362" i="4"/>
  <c r="E362" i="4"/>
  <c r="D362" i="4"/>
  <c r="F361" i="4"/>
  <c r="E361" i="4"/>
  <c r="D361" i="4"/>
  <c r="F360" i="4"/>
  <c r="E360" i="4"/>
  <c r="D360" i="4"/>
  <c r="G359" i="4"/>
  <c r="F359" i="4"/>
  <c r="E359" i="4"/>
  <c r="D359" i="4"/>
  <c r="G358" i="4"/>
  <c r="F358" i="4"/>
  <c r="E358" i="4"/>
  <c r="D358" i="4"/>
  <c r="G357" i="4"/>
  <c r="F357" i="4"/>
  <c r="E357" i="4"/>
  <c r="D357" i="4"/>
  <c r="G356" i="4"/>
  <c r="F356" i="4"/>
  <c r="E356" i="4"/>
  <c r="D356" i="4"/>
  <c r="C356" i="4"/>
  <c r="B356" i="4"/>
  <c r="G355" i="4"/>
  <c r="F355" i="4"/>
  <c r="E355" i="4"/>
  <c r="D355" i="4"/>
  <c r="G354" i="4"/>
  <c r="F354" i="4"/>
  <c r="E354" i="4"/>
  <c r="D354" i="4"/>
  <c r="G353" i="4"/>
  <c r="F353" i="4"/>
  <c r="E353" i="4"/>
  <c r="D353" i="4"/>
  <c r="G352" i="4"/>
  <c r="F352" i="4"/>
  <c r="E352" i="4"/>
  <c r="D352" i="4"/>
  <c r="G351" i="4"/>
  <c r="F351" i="4"/>
  <c r="E351" i="4"/>
  <c r="D351" i="4"/>
  <c r="G350" i="4"/>
  <c r="F350" i="4"/>
  <c r="E350" i="4"/>
  <c r="D350" i="4"/>
  <c r="G349" i="4"/>
  <c r="F349" i="4"/>
  <c r="E349" i="4"/>
  <c r="D349" i="4"/>
  <c r="G348" i="4"/>
  <c r="F348" i="4"/>
  <c r="E348" i="4"/>
  <c r="D348" i="4"/>
  <c r="G347" i="4"/>
  <c r="F347" i="4"/>
  <c r="E347" i="4"/>
  <c r="D347" i="4"/>
  <c r="G346" i="4"/>
  <c r="F346" i="4"/>
  <c r="E346" i="4"/>
  <c r="D346" i="4"/>
  <c r="G345" i="4"/>
  <c r="F345" i="4"/>
  <c r="E345" i="4"/>
  <c r="D345" i="4"/>
  <c r="G344" i="4"/>
  <c r="F344" i="4"/>
  <c r="E344" i="4"/>
  <c r="D344" i="4"/>
  <c r="G343" i="4"/>
  <c r="F343" i="4"/>
  <c r="E343" i="4"/>
  <c r="D343" i="4"/>
  <c r="G342" i="4"/>
  <c r="F342" i="4"/>
  <c r="E342" i="4"/>
  <c r="D342" i="4"/>
  <c r="G341" i="4"/>
  <c r="F341" i="4"/>
  <c r="E341" i="4"/>
  <c r="D341" i="4"/>
  <c r="G340" i="4"/>
  <c r="F340" i="4"/>
  <c r="E340" i="4"/>
  <c r="D340" i="4"/>
  <c r="G339" i="4"/>
  <c r="F339" i="4"/>
  <c r="E339" i="4"/>
  <c r="D339" i="4"/>
  <c r="G338" i="4"/>
  <c r="F338" i="4"/>
  <c r="E338" i="4"/>
  <c r="D338" i="4"/>
  <c r="G337" i="4"/>
  <c r="F337" i="4"/>
  <c r="E337" i="4"/>
  <c r="D337" i="4"/>
  <c r="G336" i="4"/>
  <c r="F336" i="4"/>
  <c r="E336" i="4"/>
  <c r="D336" i="4"/>
  <c r="G335" i="4"/>
  <c r="F335" i="4"/>
  <c r="E335" i="4"/>
  <c r="D335" i="4"/>
  <c r="G334" i="4"/>
  <c r="F334" i="4"/>
  <c r="E334" i="4"/>
  <c r="D334" i="4"/>
  <c r="G333" i="4"/>
  <c r="F333" i="4"/>
  <c r="E333" i="4"/>
  <c r="D333" i="4"/>
  <c r="G332" i="4"/>
  <c r="F332" i="4"/>
  <c r="E332" i="4"/>
  <c r="D332" i="4"/>
  <c r="G331" i="4"/>
  <c r="F331" i="4"/>
  <c r="E331" i="4"/>
  <c r="D331" i="4"/>
  <c r="G330" i="4"/>
  <c r="F330" i="4"/>
  <c r="E330" i="4"/>
  <c r="D330" i="4"/>
  <c r="G329" i="4"/>
  <c r="F329" i="4"/>
  <c r="E329" i="4"/>
  <c r="D329" i="4"/>
  <c r="G328" i="4"/>
  <c r="F328" i="4"/>
  <c r="E328" i="4"/>
  <c r="D328" i="4"/>
  <c r="G327" i="4"/>
  <c r="F327" i="4"/>
  <c r="E327" i="4"/>
  <c r="D327" i="4"/>
  <c r="G326" i="4"/>
  <c r="F326" i="4"/>
  <c r="E326" i="4"/>
  <c r="D326" i="4"/>
  <c r="G325" i="4"/>
  <c r="F325" i="4"/>
  <c r="E325" i="4"/>
  <c r="D325" i="4"/>
  <c r="E324" i="4"/>
  <c r="F323" i="4"/>
  <c r="E323" i="4"/>
  <c r="D323" i="4"/>
  <c r="G323" i="4" s="1"/>
  <c r="G322" i="4"/>
  <c r="F322" i="4"/>
  <c r="E322" i="4"/>
  <c r="D322" i="4"/>
  <c r="F321" i="4"/>
  <c r="E321" i="4"/>
  <c r="D321" i="4"/>
  <c r="G321" i="4" s="1"/>
  <c r="F320" i="4"/>
  <c r="G320" i="4" s="1"/>
  <c r="E320" i="4"/>
  <c r="D320" i="4"/>
  <c r="F319" i="4"/>
  <c r="E319" i="4"/>
  <c r="D319" i="4"/>
  <c r="G319" i="4" s="1"/>
  <c r="G318" i="4"/>
  <c r="F318" i="4"/>
  <c r="E318" i="4"/>
  <c r="D318" i="4"/>
  <c r="F317" i="4"/>
  <c r="E317" i="4"/>
  <c r="D317" i="4"/>
  <c r="G317" i="4" s="1"/>
  <c r="G316" i="4"/>
  <c r="F316" i="4"/>
  <c r="E316" i="4"/>
  <c r="D316" i="4"/>
  <c r="F315" i="4"/>
  <c r="E315" i="4"/>
  <c r="D315" i="4"/>
  <c r="G315" i="4" s="1"/>
  <c r="G314" i="4"/>
  <c r="F314" i="4"/>
  <c r="E314" i="4"/>
  <c r="D314" i="4"/>
  <c r="F313" i="4"/>
  <c r="E313" i="4"/>
  <c r="D313" i="4"/>
  <c r="G313" i="4" s="1"/>
  <c r="G312" i="4"/>
  <c r="F312" i="4"/>
  <c r="E312" i="4"/>
  <c r="D312" i="4"/>
  <c r="F311" i="4"/>
  <c r="E311" i="4"/>
  <c r="D311" i="4"/>
  <c r="G311" i="4" s="1"/>
  <c r="G310" i="4"/>
  <c r="F310" i="4"/>
  <c r="E310" i="4"/>
  <c r="D310" i="4"/>
  <c r="F309" i="4"/>
  <c r="E309" i="4"/>
  <c r="D309" i="4"/>
  <c r="G309" i="4" s="1"/>
  <c r="F308" i="4"/>
  <c r="E308" i="4"/>
  <c r="G308" i="4" s="1"/>
  <c r="D308" i="4"/>
  <c r="F307" i="4"/>
  <c r="E307" i="4"/>
  <c r="D307" i="4"/>
  <c r="G307" i="4" s="1"/>
  <c r="G306" i="4"/>
  <c r="F306" i="4"/>
  <c r="E306" i="4"/>
  <c r="D306" i="4"/>
  <c r="F305" i="4"/>
  <c r="E305" i="4"/>
  <c r="D305" i="4"/>
  <c r="G305" i="4" s="1"/>
  <c r="G304" i="4"/>
  <c r="F304" i="4"/>
  <c r="E304" i="4"/>
  <c r="D304" i="4"/>
  <c r="F303" i="4"/>
  <c r="E303" i="4"/>
  <c r="D303" i="4"/>
  <c r="G303" i="4" s="1"/>
  <c r="G302" i="4"/>
  <c r="F302" i="4"/>
  <c r="E302" i="4"/>
  <c r="D302" i="4"/>
  <c r="F301" i="4"/>
  <c r="E301" i="4"/>
  <c r="D301" i="4"/>
  <c r="G301" i="4" s="1"/>
  <c r="G300" i="4"/>
  <c r="F300" i="4"/>
  <c r="E300" i="4"/>
  <c r="D300" i="4"/>
  <c r="F299" i="4"/>
  <c r="E299" i="4"/>
  <c r="D299" i="4"/>
  <c r="G299" i="4" s="1"/>
  <c r="G298" i="4"/>
  <c r="F298" i="4"/>
  <c r="E298" i="4"/>
  <c r="D298" i="4"/>
  <c r="F297" i="4"/>
  <c r="E297" i="4"/>
  <c r="D297" i="4"/>
  <c r="G297" i="4" s="1"/>
  <c r="G296" i="4"/>
  <c r="F296" i="4"/>
  <c r="E296" i="4"/>
  <c r="D296" i="4"/>
  <c r="F295" i="4"/>
  <c r="E295" i="4"/>
  <c r="D295" i="4"/>
  <c r="G295" i="4" s="1"/>
  <c r="G294" i="4"/>
  <c r="F294" i="4"/>
  <c r="E294" i="4"/>
  <c r="D294" i="4"/>
  <c r="F293" i="4"/>
  <c r="E293" i="4"/>
  <c r="D293" i="4"/>
  <c r="G293" i="4" s="1"/>
  <c r="G292" i="4"/>
  <c r="F292" i="4"/>
  <c r="E292" i="4"/>
  <c r="D292" i="4"/>
  <c r="F291" i="4"/>
  <c r="E291" i="4"/>
  <c r="D291" i="4"/>
  <c r="G291" i="4" s="1"/>
  <c r="G290" i="4"/>
  <c r="F290" i="4"/>
  <c r="E290" i="4"/>
  <c r="D290" i="4"/>
  <c r="F289" i="4"/>
  <c r="E289" i="4"/>
  <c r="D289" i="4"/>
  <c r="G289" i="4" s="1"/>
  <c r="G288" i="4"/>
  <c r="F288" i="4"/>
  <c r="E288" i="4"/>
  <c r="D288" i="4"/>
  <c r="F287" i="4"/>
  <c r="E287" i="4"/>
  <c r="D287" i="4"/>
  <c r="G287" i="4" s="1"/>
  <c r="G286" i="4"/>
  <c r="F286" i="4"/>
  <c r="E286" i="4"/>
  <c r="D286" i="4"/>
  <c r="F285" i="4"/>
  <c r="E285" i="4"/>
  <c r="D285" i="4"/>
  <c r="G285" i="4" s="1"/>
  <c r="F284" i="4"/>
  <c r="E284" i="4"/>
  <c r="D284" i="4"/>
  <c r="G283" i="4"/>
  <c r="F283" i="4"/>
  <c r="E283" i="4"/>
  <c r="D283" i="4"/>
  <c r="F282" i="4"/>
  <c r="G282" i="4" s="1"/>
  <c r="E282" i="4"/>
  <c r="D282" i="4"/>
  <c r="F281" i="4"/>
  <c r="E281" i="4"/>
  <c r="D281" i="4"/>
  <c r="G281" i="4" s="1"/>
  <c r="F280" i="4"/>
  <c r="E280" i="4"/>
  <c r="D280" i="4"/>
  <c r="G280" i="4" s="1"/>
  <c r="G279" i="4"/>
  <c r="F279" i="4"/>
  <c r="E279" i="4"/>
  <c r="D279" i="4"/>
  <c r="F278" i="4"/>
  <c r="G278" i="4" s="1"/>
  <c r="E278" i="4"/>
  <c r="D278" i="4"/>
  <c r="F277" i="4"/>
  <c r="E277" i="4"/>
  <c r="D277" i="4"/>
  <c r="G277" i="4" s="1"/>
  <c r="F276" i="4"/>
  <c r="E276" i="4"/>
  <c r="D276" i="4"/>
  <c r="G276" i="4" s="1"/>
  <c r="G275" i="4"/>
  <c r="F275" i="4"/>
  <c r="E275" i="4"/>
  <c r="D275" i="4"/>
  <c r="F274" i="4"/>
  <c r="G274" i="4" s="1"/>
  <c r="E274" i="4"/>
  <c r="D274" i="4"/>
  <c r="F273" i="4"/>
  <c r="E273" i="4"/>
  <c r="D273" i="4"/>
  <c r="G273" i="4" s="1"/>
  <c r="F272" i="4"/>
  <c r="E272" i="4"/>
  <c r="D272" i="4"/>
  <c r="G272" i="4" s="1"/>
  <c r="G271" i="4"/>
  <c r="F271" i="4"/>
  <c r="E271" i="4"/>
  <c r="D271" i="4"/>
  <c r="F270" i="4"/>
  <c r="G270" i="4" s="1"/>
  <c r="E270" i="4"/>
  <c r="D270" i="4"/>
  <c r="F269" i="4"/>
  <c r="E269" i="4"/>
  <c r="D269" i="4"/>
  <c r="G269" i="4" s="1"/>
  <c r="F268" i="4"/>
  <c r="E268" i="4"/>
  <c r="D268" i="4"/>
  <c r="G268" i="4" s="1"/>
  <c r="G267" i="4"/>
  <c r="F267" i="4"/>
  <c r="E267" i="4"/>
  <c r="D267" i="4"/>
  <c r="F266" i="4"/>
  <c r="G266" i="4" s="1"/>
  <c r="E266" i="4"/>
  <c r="D266" i="4"/>
  <c r="F265" i="4"/>
  <c r="E265" i="4"/>
  <c r="D265" i="4"/>
  <c r="G265" i="4" s="1"/>
  <c r="F264" i="4"/>
  <c r="E264" i="4"/>
  <c r="D264" i="4"/>
  <c r="G264" i="4" s="1"/>
  <c r="G263" i="4"/>
  <c r="F263" i="4"/>
  <c r="E263" i="4"/>
  <c r="D263" i="4"/>
  <c r="F262" i="4"/>
  <c r="G262" i="4" s="1"/>
  <c r="E262" i="4"/>
  <c r="D262" i="4"/>
  <c r="F261" i="4"/>
  <c r="E261" i="4"/>
  <c r="D261" i="4"/>
  <c r="G261" i="4" s="1"/>
  <c r="F260" i="4"/>
  <c r="F324" i="4" s="1"/>
  <c r="E260" i="4"/>
  <c r="D260" i="4"/>
  <c r="G260" i="4" s="1"/>
  <c r="F258" i="4"/>
  <c r="E258" i="4"/>
  <c r="D258" i="4"/>
  <c r="C258" i="4"/>
  <c r="B258" i="4"/>
  <c r="F257" i="4"/>
  <c r="G257" i="4" s="1"/>
  <c r="F256" i="4"/>
  <c r="E256" i="4"/>
  <c r="D256" i="4"/>
  <c r="G256" i="4" s="1"/>
  <c r="G255" i="4"/>
  <c r="F255" i="4"/>
  <c r="E255" i="4"/>
  <c r="D255" i="4"/>
  <c r="G254" i="4"/>
  <c r="F254" i="4"/>
  <c r="E254" i="4"/>
  <c r="D254" i="4"/>
  <c r="F253" i="4"/>
  <c r="E253" i="4"/>
  <c r="D253" i="4"/>
  <c r="G253" i="4" s="1"/>
  <c r="F252" i="4"/>
  <c r="E252" i="4"/>
  <c r="D252" i="4"/>
  <c r="G252" i="4" s="1"/>
  <c r="G251" i="4"/>
  <c r="F251" i="4"/>
  <c r="E251" i="4"/>
  <c r="D251" i="4"/>
  <c r="G250" i="4"/>
  <c r="F250" i="4"/>
  <c r="E250" i="4"/>
  <c r="D250" i="4"/>
  <c r="F249" i="4"/>
  <c r="E249" i="4"/>
  <c r="D249" i="4"/>
  <c r="G249" i="4" s="1"/>
  <c r="F248" i="4"/>
  <c r="E248" i="4"/>
  <c r="D248" i="4"/>
  <c r="G248" i="4" s="1"/>
  <c r="G247" i="4"/>
  <c r="F247" i="4"/>
  <c r="E247" i="4"/>
  <c r="D247" i="4"/>
  <c r="G246" i="4"/>
  <c r="F246" i="4"/>
  <c r="E246" i="4"/>
  <c r="D246" i="4"/>
  <c r="F245" i="4"/>
  <c r="E245" i="4"/>
  <c r="D245" i="4"/>
  <c r="G245" i="4" s="1"/>
  <c r="F244" i="4"/>
  <c r="E244" i="4"/>
  <c r="D244" i="4"/>
  <c r="G244" i="4" s="1"/>
  <c r="G243" i="4"/>
  <c r="F243" i="4"/>
  <c r="E243" i="4"/>
  <c r="D243" i="4"/>
  <c r="G242" i="4"/>
  <c r="F242" i="4"/>
  <c r="E242" i="4"/>
  <c r="D242" i="4"/>
  <c r="F241" i="4"/>
  <c r="E241" i="4"/>
  <c r="D241" i="4"/>
  <c r="G241" i="4" s="1"/>
  <c r="F240" i="4"/>
  <c r="E240" i="4"/>
  <c r="D240" i="4"/>
  <c r="G240" i="4" s="1"/>
  <c r="G239" i="4"/>
  <c r="F239" i="4"/>
  <c r="E239" i="4"/>
  <c r="D239" i="4"/>
  <c r="G238" i="4"/>
  <c r="F238" i="4"/>
  <c r="E238" i="4"/>
  <c r="D238" i="4"/>
  <c r="F237" i="4"/>
  <c r="E237" i="4"/>
  <c r="D237" i="4"/>
  <c r="G237" i="4" s="1"/>
  <c r="F236" i="4"/>
  <c r="E236" i="4"/>
  <c r="D236" i="4"/>
  <c r="G236" i="4" s="1"/>
  <c r="G235" i="4"/>
  <c r="F235" i="4"/>
  <c r="E235" i="4"/>
  <c r="D235" i="4"/>
  <c r="G234" i="4"/>
  <c r="F234" i="4"/>
  <c r="E234" i="4"/>
  <c r="D234" i="4"/>
  <c r="F233" i="4"/>
  <c r="E233" i="4"/>
  <c r="D233" i="4"/>
  <c r="G233" i="4" s="1"/>
  <c r="F232" i="4"/>
  <c r="E232" i="4"/>
  <c r="D232" i="4"/>
  <c r="G232" i="4" s="1"/>
  <c r="G231" i="4"/>
  <c r="F231" i="4"/>
  <c r="E231" i="4"/>
  <c r="D231" i="4"/>
  <c r="G230" i="4"/>
  <c r="F230" i="4"/>
  <c r="E230" i="4"/>
  <c r="D230" i="4"/>
  <c r="F229" i="4"/>
  <c r="E229" i="4"/>
  <c r="D229" i="4"/>
  <c r="G229" i="4" s="1"/>
  <c r="F228" i="4"/>
  <c r="E228" i="4"/>
  <c r="D228" i="4"/>
  <c r="G228" i="4" s="1"/>
  <c r="G227" i="4"/>
  <c r="F227" i="4"/>
  <c r="E227" i="4"/>
  <c r="D227" i="4"/>
  <c r="G226" i="4"/>
  <c r="F226" i="4"/>
  <c r="E226" i="4"/>
  <c r="D226" i="4"/>
  <c r="F225" i="4"/>
  <c r="E225" i="4"/>
  <c r="D225" i="4"/>
  <c r="G225" i="4" s="1"/>
  <c r="F224" i="4"/>
  <c r="E224" i="4"/>
  <c r="D224" i="4"/>
  <c r="G224" i="4" s="1"/>
  <c r="G223" i="4"/>
  <c r="F223" i="4"/>
  <c r="E223" i="4"/>
  <c r="D223" i="4"/>
  <c r="G222" i="4"/>
  <c r="F222" i="4"/>
  <c r="E222" i="4"/>
  <c r="D222" i="4"/>
  <c r="F221" i="4"/>
  <c r="E221" i="4"/>
  <c r="D221" i="4"/>
  <c r="G221" i="4" s="1"/>
  <c r="F220" i="4"/>
  <c r="E220" i="4"/>
  <c r="D220" i="4"/>
  <c r="G220" i="4" s="1"/>
  <c r="G219" i="4"/>
  <c r="F219" i="4"/>
  <c r="E219" i="4"/>
  <c r="D219" i="4"/>
  <c r="G218" i="4"/>
  <c r="F218" i="4"/>
  <c r="E218" i="4"/>
  <c r="D218" i="4"/>
  <c r="F217" i="4"/>
  <c r="E217" i="4"/>
  <c r="D217" i="4"/>
  <c r="G217" i="4" s="1"/>
  <c r="F216" i="4"/>
  <c r="E216" i="4"/>
  <c r="D216" i="4"/>
  <c r="G216" i="4" s="1"/>
  <c r="G215" i="4"/>
  <c r="F215" i="4"/>
  <c r="E215" i="4"/>
  <c r="D215" i="4"/>
  <c r="G214" i="4"/>
  <c r="F214" i="4"/>
  <c r="E214" i="4"/>
  <c r="D214" i="4"/>
  <c r="F213" i="4"/>
  <c r="E213" i="4"/>
  <c r="D213" i="4"/>
  <c r="G213" i="4" s="1"/>
  <c r="F212" i="4"/>
  <c r="E212" i="4"/>
  <c r="D212" i="4"/>
  <c r="G212" i="4" s="1"/>
  <c r="G211" i="4"/>
  <c r="F211" i="4"/>
  <c r="E211" i="4"/>
  <c r="D211" i="4"/>
  <c r="G210" i="4"/>
  <c r="F210" i="4"/>
  <c r="E210" i="4"/>
  <c r="D210" i="4"/>
  <c r="F209" i="4"/>
  <c r="E209" i="4"/>
  <c r="D209" i="4"/>
  <c r="G209" i="4" s="1"/>
  <c r="F208" i="4"/>
  <c r="E208" i="4"/>
  <c r="D208" i="4"/>
  <c r="G208" i="4" s="1"/>
  <c r="G207" i="4"/>
  <c r="F207" i="4"/>
  <c r="E207" i="4"/>
  <c r="D207" i="4"/>
  <c r="G206" i="4"/>
  <c r="F206" i="4"/>
  <c r="E206" i="4"/>
  <c r="D206" i="4"/>
  <c r="F205" i="4"/>
  <c r="E205" i="4"/>
  <c r="D205" i="4"/>
  <c r="G205" i="4" s="1"/>
  <c r="F204" i="4"/>
  <c r="E204" i="4"/>
  <c r="D204" i="4"/>
  <c r="G204" i="4" s="1"/>
  <c r="G203" i="4"/>
  <c r="F203" i="4"/>
  <c r="E203" i="4"/>
  <c r="D203" i="4"/>
  <c r="G202" i="4"/>
  <c r="F202" i="4"/>
  <c r="E202" i="4"/>
  <c r="D202" i="4"/>
  <c r="F201" i="4"/>
  <c r="E201" i="4"/>
  <c r="D201" i="4"/>
  <c r="G201" i="4" s="1"/>
  <c r="F200" i="4"/>
  <c r="E200" i="4"/>
  <c r="D200" i="4"/>
  <c r="G200" i="4" s="1"/>
  <c r="G199" i="4"/>
  <c r="F199" i="4"/>
  <c r="E199" i="4"/>
  <c r="D199" i="4"/>
  <c r="G198" i="4"/>
  <c r="F198" i="4"/>
  <c r="E198" i="4"/>
  <c r="D198" i="4"/>
  <c r="F197" i="4"/>
  <c r="E197" i="4"/>
  <c r="D197" i="4"/>
  <c r="G197" i="4" s="1"/>
  <c r="F196" i="4"/>
  <c r="E196" i="4"/>
  <c r="D196" i="4"/>
  <c r="G196" i="4" s="1"/>
  <c r="G195" i="4"/>
  <c r="F195" i="4"/>
  <c r="E195" i="4"/>
  <c r="D195" i="4"/>
  <c r="G194" i="4"/>
  <c r="F194" i="4"/>
  <c r="E194" i="4"/>
  <c r="D194" i="4"/>
  <c r="F193" i="4"/>
  <c r="E193" i="4"/>
  <c r="D193" i="4"/>
  <c r="G193" i="4" s="1"/>
  <c r="F192" i="4"/>
  <c r="E192" i="4"/>
  <c r="D192" i="4"/>
  <c r="G192" i="4" s="1"/>
  <c r="G191" i="4"/>
  <c r="F191" i="4"/>
  <c r="E191" i="4"/>
  <c r="D191" i="4"/>
  <c r="G190" i="4"/>
  <c r="F190" i="4"/>
  <c r="E190" i="4"/>
  <c r="D190" i="4"/>
  <c r="F189" i="4"/>
  <c r="E189" i="4"/>
  <c r="D189" i="4"/>
  <c r="G189" i="4" s="1"/>
  <c r="F188" i="4"/>
  <c r="E188" i="4"/>
  <c r="D188" i="4"/>
  <c r="G188" i="4" s="1"/>
  <c r="G187" i="4"/>
  <c r="F187" i="4"/>
  <c r="E187" i="4"/>
  <c r="D187" i="4"/>
  <c r="G186" i="4"/>
  <c r="F186" i="4"/>
  <c r="E186" i="4"/>
  <c r="D186" i="4"/>
  <c r="F185" i="4"/>
  <c r="E185" i="4"/>
  <c r="D185" i="4"/>
  <c r="G185" i="4" s="1"/>
  <c r="F184" i="4"/>
  <c r="E184" i="4"/>
  <c r="D184" i="4"/>
  <c r="G184" i="4" s="1"/>
  <c r="G183" i="4"/>
  <c r="F183" i="4"/>
  <c r="E183" i="4"/>
  <c r="D183" i="4"/>
  <c r="G182" i="4"/>
  <c r="F182" i="4"/>
  <c r="E182" i="4"/>
  <c r="D182" i="4"/>
  <c r="F181" i="4"/>
  <c r="E181" i="4"/>
  <c r="D181" i="4"/>
  <c r="G181" i="4" s="1"/>
  <c r="F180" i="4"/>
  <c r="E180" i="4"/>
  <c r="D180" i="4"/>
  <c r="G180" i="4" s="1"/>
  <c r="G179" i="4"/>
  <c r="F179" i="4"/>
  <c r="E179" i="4"/>
  <c r="D179" i="4"/>
  <c r="G178" i="4"/>
  <c r="F178" i="4"/>
  <c r="E178" i="4"/>
  <c r="D178" i="4"/>
  <c r="F177" i="4"/>
  <c r="E177" i="4"/>
  <c r="D177" i="4"/>
  <c r="G177" i="4" s="1"/>
  <c r="F176" i="4"/>
  <c r="E176" i="4"/>
  <c r="D176" i="4"/>
  <c r="G176" i="4" s="1"/>
  <c r="G175" i="4"/>
  <c r="F175" i="4"/>
  <c r="E175" i="4"/>
  <c r="D175" i="4"/>
  <c r="G174" i="4"/>
  <c r="F174" i="4"/>
  <c r="E174" i="4"/>
  <c r="D174" i="4"/>
  <c r="F173" i="4"/>
  <c r="E173" i="4"/>
  <c r="D173" i="4"/>
  <c r="G173" i="4" s="1"/>
  <c r="F172" i="4"/>
  <c r="E172" i="4"/>
  <c r="D172" i="4"/>
  <c r="G172" i="4" s="1"/>
  <c r="G171" i="4"/>
  <c r="F171" i="4"/>
  <c r="E171" i="4"/>
  <c r="D171" i="4"/>
  <c r="G170" i="4"/>
  <c r="F170" i="4"/>
  <c r="E170" i="4"/>
  <c r="D170" i="4"/>
  <c r="F169" i="4"/>
  <c r="E169" i="4"/>
  <c r="D169" i="4"/>
  <c r="G169" i="4" s="1"/>
  <c r="F168" i="4"/>
  <c r="E168" i="4"/>
  <c r="D168" i="4"/>
  <c r="G168" i="4" s="1"/>
  <c r="G167" i="4"/>
  <c r="F167" i="4"/>
  <c r="E167" i="4"/>
  <c r="D167" i="4"/>
  <c r="G166" i="4"/>
  <c r="F166" i="4"/>
  <c r="E166" i="4"/>
  <c r="D166" i="4"/>
  <c r="F165" i="4"/>
  <c r="E165" i="4"/>
  <c r="D165" i="4"/>
  <c r="G165" i="4" s="1"/>
  <c r="F164" i="4"/>
  <c r="E164" i="4"/>
  <c r="D164" i="4"/>
  <c r="G164" i="4" s="1"/>
  <c r="G163" i="4"/>
  <c r="F163" i="4"/>
  <c r="E163" i="4"/>
  <c r="D163" i="4"/>
  <c r="G162" i="4"/>
  <c r="F162" i="4"/>
  <c r="E162" i="4"/>
  <c r="D162" i="4"/>
  <c r="F161" i="4"/>
  <c r="E161" i="4"/>
  <c r="D161" i="4"/>
  <c r="G161" i="4" s="1"/>
  <c r="F160" i="4"/>
  <c r="E160" i="4"/>
  <c r="D160" i="4"/>
  <c r="G160" i="4" s="1"/>
  <c r="G159" i="4"/>
  <c r="F159" i="4"/>
  <c r="E159" i="4"/>
  <c r="D159" i="4"/>
  <c r="G158" i="4"/>
  <c r="F158" i="4"/>
  <c r="E158" i="4"/>
  <c r="D158" i="4"/>
  <c r="F157" i="4"/>
  <c r="E157" i="4"/>
  <c r="D157" i="4"/>
  <c r="G157" i="4" s="1"/>
  <c r="F156" i="4"/>
  <c r="E156" i="4"/>
  <c r="D156" i="4"/>
  <c r="G156" i="4" s="1"/>
  <c r="G155" i="4"/>
  <c r="F155" i="4"/>
  <c r="E155" i="4"/>
  <c r="D155" i="4"/>
  <c r="F154" i="4"/>
  <c r="E154" i="4"/>
  <c r="D154" i="4"/>
  <c r="F153" i="4"/>
  <c r="G153" i="4" s="1"/>
  <c r="E153" i="4"/>
  <c r="D153" i="4"/>
  <c r="G152" i="4"/>
  <c r="F152" i="4"/>
  <c r="E152" i="4"/>
  <c r="D152" i="4"/>
  <c r="G151" i="4"/>
  <c r="F151" i="4"/>
  <c r="E151" i="4"/>
  <c r="D151" i="4"/>
  <c r="F150" i="4"/>
  <c r="G150" i="4" s="1"/>
  <c r="E150" i="4"/>
  <c r="D150" i="4"/>
  <c r="F149" i="4"/>
  <c r="G149" i="4" s="1"/>
  <c r="E149" i="4"/>
  <c r="D149" i="4"/>
  <c r="G148" i="4"/>
  <c r="F148" i="4"/>
  <c r="E148" i="4"/>
  <c r="D148" i="4"/>
  <c r="G147" i="4"/>
  <c r="F147" i="4"/>
  <c r="E147" i="4"/>
  <c r="D147" i="4"/>
  <c r="F146" i="4"/>
  <c r="G146" i="4" s="1"/>
  <c r="E146" i="4"/>
  <c r="D146" i="4"/>
  <c r="F145" i="4"/>
  <c r="E145" i="4"/>
  <c r="G145" i="4" s="1"/>
  <c r="D145" i="4"/>
  <c r="G144" i="4"/>
  <c r="F144" i="4"/>
  <c r="E144" i="4"/>
  <c r="D144" i="4"/>
  <c r="G143" i="4"/>
  <c r="F143" i="4"/>
  <c r="E143" i="4"/>
  <c r="D143" i="4"/>
  <c r="F142" i="4"/>
  <c r="G142" i="4" s="1"/>
  <c r="E142" i="4"/>
  <c r="D142" i="4"/>
  <c r="F141" i="4"/>
  <c r="G141" i="4" s="1"/>
  <c r="E141" i="4"/>
  <c r="D141" i="4"/>
  <c r="G140" i="4"/>
  <c r="F140" i="4"/>
  <c r="E140" i="4"/>
  <c r="D140" i="4"/>
  <c r="G139" i="4"/>
  <c r="F139" i="4"/>
  <c r="E139" i="4"/>
  <c r="D139" i="4"/>
  <c r="F138" i="4"/>
  <c r="G138" i="4" s="1"/>
  <c r="E138" i="4"/>
  <c r="D138" i="4"/>
  <c r="F137" i="4"/>
  <c r="G137" i="4" s="1"/>
  <c r="E137" i="4"/>
  <c r="D137" i="4"/>
  <c r="G136" i="4"/>
  <c r="F136" i="4"/>
  <c r="D136" i="4"/>
  <c r="F135" i="4"/>
  <c r="E135" i="4"/>
  <c r="D135" i="4"/>
  <c r="G135" i="4" s="1"/>
  <c r="F134" i="4"/>
  <c r="E134" i="4"/>
  <c r="G134" i="4" s="1"/>
  <c r="D134" i="4"/>
  <c r="F133" i="4"/>
  <c r="E133" i="4"/>
  <c r="G133" i="4" s="1"/>
  <c r="D133" i="4"/>
  <c r="F132" i="4"/>
  <c r="G132" i="4" s="1"/>
  <c r="E132" i="4"/>
  <c r="D132" i="4"/>
  <c r="F131" i="4"/>
  <c r="E131" i="4"/>
  <c r="D131" i="4"/>
  <c r="G131" i="4" s="1"/>
  <c r="G130" i="4"/>
  <c r="F130" i="4"/>
  <c r="E130" i="4"/>
  <c r="D130" i="4"/>
  <c r="F129" i="4"/>
  <c r="E129" i="4"/>
  <c r="D129" i="4"/>
  <c r="G129" i="4" s="1"/>
  <c r="F128" i="4"/>
  <c r="G128" i="4" s="1"/>
  <c r="E128" i="4"/>
  <c r="D128" i="4"/>
  <c r="F127" i="4"/>
  <c r="E127" i="4"/>
  <c r="D127" i="4"/>
  <c r="G127" i="4" s="1"/>
  <c r="G126" i="4"/>
  <c r="F126" i="4"/>
  <c r="E126" i="4"/>
  <c r="D126" i="4"/>
  <c r="F125" i="4"/>
  <c r="E125" i="4"/>
  <c r="D125" i="4"/>
  <c r="G125" i="4" s="1"/>
  <c r="F124" i="4"/>
  <c r="G124" i="4" s="1"/>
  <c r="E124" i="4"/>
  <c r="D124" i="4"/>
  <c r="F123" i="4"/>
  <c r="E123" i="4"/>
  <c r="G123" i="4" s="1"/>
  <c r="D123" i="4"/>
  <c r="F122" i="4"/>
  <c r="E122" i="4"/>
  <c r="G122" i="4" s="1"/>
  <c r="D122" i="4"/>
  <c r="F121" i="4"/>
  <c r="E121" i="4"/>
  <c r="D121" i="4"/>
  <c r="G121" i="4" s="1"/>
  <c r="F120" i="4"/>
  <c r="G120" i="4" s="1"/>
  <c r="E120" i="4"/>
  <c r="D120" i="4"/>
  <c r="F119" i="4"/>
  <c r="E119" i="4"/>
  <c r="G119" i="4" s="1"/>
  <c r="D119" i="4"/>
  <c r="F118" i="4"/>
  <c r="E118" i="4"/>
  <c r="G118" i="4" s="1"/>
  <c r="D118" i="4"/>
  <c r="F117" i="4"/>
  <c r="E117" i="4"/>
  <c r="G117" i="4" s="1"/>
  <c r="D117" i="4"/>
  <c r="F116" i="4"/>
  <c r="E116" i="4"/>
  <c r="G116" i="4" s="1"/>
  <c r="D116" i="4"/>
  <c r="F115" i="4"/>
  <c r="E115" i="4"/>
  <c r="G115" i="4" s="1"/>
  <c r="D115" i="4"/>
  <c r="F114" i="4"/>
  <c r="E114" i="4"/>
  <c r="G114" i="4" s="1"/>
  <c r="D114" i="4"/>
  <c r="F113" i="4"/>
  <c r="E113" i="4"/>
  <c r="G113" i="4" s="1"/>
  <c r="D113" i="4"/>
  <c r="F112" i="4"/>
  <c r="E112" i="4"/>
  <c r="G112" i="4" s="1"/>
  <c r="D112" i="4"/>
  <c r="F111" i="4"/>
  <c r="E111" i="4"/>
  <c r="G111" i="4" s="1"/>
  <c r="D111" i="4"/>
  <c r="F110" i="4"/>
  <c r="E110" i="4"/>
  <c r="G110" i="4" s="1"/>
  <c r="D110" i="4"/>
  <c r="F109" i="4"/>
  <c r="E109" i="4"/>
  <c r="D109" i="4"/>
  <c r="G109" i="4" s="1"/>
  <c r="F108" i="4"/>
  <c r="G108" i="4" s="1"/>
  <c r="E108" i="4"/>
  <c r="D108" i="4"/>
  <c r="F107" i="4"/>
  <c r="E107" i="4"/>
  <c r="D107" i="4"/>
  <c r="G107" i="4" s="1"/>
  <c r="G106" i="4"/>
  <c r="F106" i="4"/>
  <c r="E106" i="4"/>
  <c r="D106" i="4"/>
  <c r="F105" i="4"/>
  <c r="E105" i="4"/>
  <c r="D105" i="4"/>
  <c r="G105" i="4" s="1"/>
  <c r="F104" i="4"/>
  <c r="G104" i="4" s="1"/>
  <c r="E104" i="4"/>
  <c r="D104" i="4"/>
  <c r="F103" i="4"/>
  <c r="E103" i="4"/>
  <c r="D103" i="4"/>
  <c r="G103" i="4" s="1"/>
  <c r="G102" i="4"/>
  <c r="F102" i="4"/>
  <c r="E102" i="4"/>
  <c r="D102" i="4"/>
  <c r="F101" i="4"/>
  <c r="E101" i="4"/>
  <c r="D101" i="4"/>
  <c r="G101" i="4" s="1"/>
  <c r="F100" i="4"/>
  <c r="G100" i="4" s="1"/>
  <c r="E100" i="4"/>
  <c r="D100" i="4"/>
  <c r="F99" i="4"/>
  <c r="E99" i="4"/>
  <c r="D99" i="4"/>
  <c r="G99" i="4" s="1"/>
  <c r="G98" i="4"/>
  <c r="F98" i="4"/>
  <c r="E98" i="4"/>
  <c r="D98" i="4"/>
  <c r="F97" i="4"/>
  <c r="E97" i="4"/>
  <c r="D97" i="4"/>
  <c r="G97" i="4" s="1"/>
  <c r="F96" i="4"/>
  <c r="G96" i="4" s="1"/>
  <c r="E96" i="4"/>
  <c r="D96" i="4"/>
  <c r="F95" i="4"/>
  <c r="E95" i="4"/>
  <c r="D95" i="4"/>
  <c r="G95" i="4" s="1"/>
  <c r="G94" i="4"/>
  <c r="F94" i="4"/>
  <c r="E94" i="4"/>
  <c r="D94" i="4"/>
  <c r="F93" i="4"/>
  <c r="E93" i="4"/>
  <c r="D93" i="4"/>
  <c r="G93" i="4" s="1"/>
  <c r="F92" i="4"/>
  <c r="G92" i="4" s="1"/>
  <c r="E92" i="4"/>
  <c r="D92" i="4"/>
  <c r="F91" i="4"/>
  <c r="E91" i="4"/>
  <c r="D91" i="4"/>
  <c r="G91" i="4" s="1"/>
  <c r="F90" i="4"/>
  <c r="E90" i="4"/>
  <c r="G90" i="4" s="1"/>
  <c r="D90" i="4"/>
  <c r="F89" i="4"/>
  <c r="E89" i="4"/>
  <c r="D89" i="4"/>
  <c r="G89" i="4" s="1"/>
  <c r="F88" i="4"/>
  <c r="G88" i="4" s="1"/>
  <c r="E88" i="4"/>
  <c r="D88" i="4"/>
  <c r="F87" i="4"/>
  <c r="E87" i="4"/>
  <c r="D87" i="4"/>
  <c r="G87" i="4" s="1"/>
  <c r="F86" i="4"/>
  <c r="E86" i="4"/>
  <c r="G86" i="4" s="1"/>
  <c r="D86" i="4"/>
  <c r="F85" i="4"/>
  <c r="E85" i="4"/>
  <c r="D85" i="4"/>
  <c r="G85" i="4" s="1"/>
  <c r="F84" i="4"/>
  <c r="G84" i="4" s="1"/>
  <c r="E84" i="4"/>
  <c r="D84" i="4"/>
  <c r="F83" i="4"/>
  <c r="E83" i="4"/>
  <c r="D83" i="4"/>
  <c r="G83" i="4" s="1"/>
  <c r="G82" i="4"/>
  <c r="F82" i="4"/>
  <c r="E82" i="4"/>
  <c r="D82" i="4"/>
  <c r="F81" i="4"/>
  <c r="E81" i="4"/>
  <c r="D81" i="4"/>
  <c r="G81" i="4" s="1"/>
  <c r="F80" i="4"/>
  <c r="E80" i="4"/>
  <c r="D80" i="4"/>
  <c r="F79" i="4"/>
  <c r="E79" i="4"/>
  <c r="G79" i="4" s="1"/>
  <c r="D79" i="4"/>
  <c r="F78" i="4"/>
  <c r="E78" i="4"/>
  <c r="D78" i="4"/>
  <c r="F77" i="4"/>
  <c r="E77" i="4"/>
  <c r="G77" i="4" s="1"/>
  <c r="D77" i="4"/>
  <c r="F76" i="4"/>
  <c r="E76" i="4"/>
  <c r="D76" i="4"/>
  <c r="F75" i="4"/>
  <c r="E75" i="4"/>
  <c r="D75" i="4"/>
  <c r="G75" i="4" s="1"/>
  <c r="G74" i="4"/>
  <c r="F74" i="4"/>
  <c r="E74" i="4"/>
  <c r="D74" i="4"/>
  <c r="F73" i="4"/>
  <c r="E73" i="4"/>
  <c r="G73" i="4" s="1"/>
  <c r="D73" i="4"/>
  <c r="F72" i="4"/>
  <c r="G72" i="4" s="1"/>
  <c r="E72" i="4"/>
  <c r="D72" i="4"/>
  <c r="F71" i="4"/>
  <c r="E71" i="4"/>
  <c r="D71" i="4"/>
  <c r="G71" i="4" s="1"/>
  <c r="G70" i="4"/>
  <c r="F70" i="4"/>
  <c r="E70" i="4"/>
  <c r="D70" i="4"/>
  <c r="F69" i="4"/>
  <c r="E69" i="4"/>
  <c r="D69" i="4"/>
  <c r="G69" i="4" s="1"/>
  <c r="F68" i="4"/>
  <c r="G68" i="4" s="1"/>
  <c r="E68" i="4"/>
  <c r="D68" i="4"/>
  <c r="F67" i="4"/>
  <c r="E67" i="4"/>
  <c r="D67" i="4"/>
  <c r="G67" i="4" s="1"/>
  <c r="G66" i="4"/>
  <c r="F66" i="4"/>
  <c r="E66" i="4"/>
  <c r="D66" i="4"/>
  <c r="F65" i="4"/>
  <c r="E65" i="4"/>
  <c r="D65" i="4"/>
  <c r="G65" i="4" s="1"/>
  <c r="F64" i="4"/>
  <c r="G64" i="4" s="1"/>
  <c r="E64" i="4"/>
  <c r="D64" i="4"/>
  <c r="F63" i="4"/>
  <c r="E63" i="4"/>
  <c r="D63" i="4"/>
  <c r="G63" i="4" s="1"/>
  <c r="G62" i="4"/>
  <c r="F62" i="4"/>
  <c r="E62" i="4"/>
  <c r="D62" i="4"/>
  <c r="F61" i="4"/>
  <c r="E61" i="4"/>
  <c r="D61" i="4"/>
  <c r="G61" i="4" s="1"/>
  <c r="F60" i="4"/>
  <c r="G60" i="4" s="1"/>
  <c r="E60" i="4"/>
  <c r="D60" i="4"/>
  <c r="F59" i="4"/>
  <c r="E59" i="4"/>
  <c r="G59" i="4" s="1"/>
  <c r="D59" i="4"/>
  <c r="G58" i="4"/>
  <c r="F58" i="4"/>
  <c r="E58" i="4"/>
  <c r="D58" i="4"/>
  <c r="F57" i="4"/>
  <c r="E57" i="4"/>
  <c r="G57" i="4" s="1"/>
  <c r="D57" i="4"/>
  <c r="F56" i="4"/>
  <c r="G56" i="4" s="1"/>
  <c r="E56" i="4"/>
  <c r="D56" i="4"/>
  <c r="F55" i="4"/>
  <c r="E55" i="4"/>
  <c r="D55" i="4"/>
  <c r="G55" i="4" s="1"/>
  <c r="G54" i="4"/>
  <c r="F54" i="4"/>
  <c r="E54" i="4"/>
  <c r="D54" i="4"/>
  <c r="F53" i="4"/>
  <c r="E53" i="4"/>
  <c r="D53" i="4"/>
  <c r="G53" i="4" s="1"/>
  <c r="F52" i="4"/>
  <c r="G52" i="4" s="1"/>
  <c r="E52" i="4"/>
  <c r="D52" i="4"/>
  <c r="F51" i="4"/>
  <c r="E51" i="4"/>
  <c r="D51" i="4"/>
  <c r="G51" i="4" s="1"/>
  <c r="G50" i="4"/>
  <c r="F50" i="4"/>
  <c r="E50" i="4"/>
  <c r="D50" i="4"/>
  <c r="F49" i="4"/>
  <c r="E49" i="4"/>
  <c r="D49" i="4"/>
  <c r="G49" i="4" s="1"/>
  <c r="F48" i="4"/>
  <c r="E48" i="4"/>
  <c r="D48" i="4"/>
  <c r="G48" i="4" s="1"/>
  <c r="F47" i="4"/>
  <c r="E47" i="4"/>
  <c r="D47" i="4"/>
  <c r="G47" i="4" s="1"/>
  <c r="G46" i="4"/>
  <c r="F46" i="4"/>
  <c r="E46" i="4"/>
  <c r="D46" i="4"/>
  <c r="F45" i="4"/>
  <c r="E45" i="4"/>
  <c r="D45" i="4"/>
  <c r="G45" i="4" s="1"/>
  <c r="F44" i="4"/>
  <c r="E44" i="4"/>
  <c r="D44" i="4"/>
  <c r="G44" i="4" s="1"/>
  <c r="F43" i="4"/>
  <c r="E43" i="4"/>
  <c r="D43" i="4"/>
  <c r="G43" i="4" s="1"/>
  <c r="G42" i="4"/>
  <c r="F42" i="4"/>
  <c r="E42" i="4"/>
  <c r="D42" i="4"/>
  <c r="F41" i="4"/>
  <c r="E41" i="4"/>
  <c r="D41" i="4"/>
  <c r="G41" i="4" s="1"/>
  <c r="F40" i="4"/>
  <c r="E40" i="4"/>
  <c r="D40" i="4"/>
  <c r="G40" i="4" s="1"/>
  <c r="F39" i="4"/>
  <c r="E39" i="4"/>
  <c r="D39" i="4"/>
  <c r="G39" i="4" s="1"/>
  <c r="G38" i="4"/>
  <c r="F38" i="4"/>
  <c r="E38" i="4"/>
  <c r="D38" i="4"/>
  <c r="F37" i="4"/>
  <c r="E37" i="4"/>
  <c r="D37" i="4"/>
  <c r="G37" i="4" s="1"/>
  <c r="F36" i="4"/>
  <c r="E36" i="4"/>
  <c r="D36" i="4"/>
  <c r="G36" i="4" s="1"/>
  <c r="F35" i="4"/>
  <c r="E35" i="4"/>
  <c r="D35" i="4"/>
  <c r="G35" i="4" s="1"/>
  <c r="G34" i="4"/>
  <c r="F34" i="4"/>
  <c r="E34" i="4"/>
  <c r="D34" i="4"/>
  <c r="F33" i="4"/>
  <c r="E33" i="4"/>
  <c r="G33" i="4" s="1"/>
  <c r="D33" i="4"/>
  <c r="F32" i="4"/>
  <c r="E32" i="4"/>
  <c r="G32" i="4" s="1"/>
  <c r="D32" i="4"/>
  <c r="F31" i="4"/>
  <c r="E31" i="4"/>
  <c r="D31" i="4"/>
  <c r="G31" i="4" s="1"/>
  <c r="F30" i="4"/>
  <c r="E30" i="4"/>
  <c r="G30" i="4" s="1"/>
  <c r="D30" i="4"/>
  <c r="F29" i="4"/>
  <c r="E29" i="4"/>
  <c r="G29" i="4" s="1"/>
  <c r="D29" i="4"/>
  <c r="F28" i="4"/>
  <c r="E28" i="4"/>
  <c r="G28" i="4" s="1"/>
  <c r="D28" i="4"/>
  <c r="F27" i="4"/>
  <c r="E27" i="4"/>
  <c r="G27" i="4" s="1"/>
  <c r="D27" i="4"/>
  <c r="F26" i="4"/>
  <c r="E26" i="4"/>
  <c r="G26" i="4" s="1"/>
  <c r="D26" i="4"/>
  <c r="F25" i="4"/>
  <c r="E25" i="4"/>
  <c r="G25" i="4" s="1"/>
  <c r="D25" i="4"/>
  <c r="F24" i="4"/>
  <c r="E24" i="4"/>
  <c r="G24" i="4" s="1"/>
  <c r="D24" i="4"/>
  <c r="F23" i="4"/>
  <c r="E23" i="4"/>
  <c r="G23" i="4" s="1"/>
  <c r="D23" i="4"/>
  <c r="F22" i="4"/>
  <c r="E22" i="4"/>
  <c r="G22" i="4" s="1"/>
  <c r="D22" i="4"/>
  <c r="F21" i="4"/>
  <c r="E21" i="4"/>
  <c r="G21" i="4" s="1"/>
  <c r="D21" i="4"/>
  <c r="F20" i="4"/>
  <c r="E20" i="4"/>
  <c r="G20" i="4" s="1"/>
  <c r="D20" i="4"/>
  <c r="F19" i="4"/>
  <c r="E19" i="4"/>
  <c r="G19" i="4" s="1"/>
  <c r="D19" i="4"/>
  <c r="F18" i="4"/>
  <c r="E18" i="4"/>
  <c r="G18" i="4" s="1"/>
  <c r="D18" i="4"/>
  <c r="F17" i="4"/>
  <c r="E17" i="4"/>
  <c r="G17" i="4" s="1"/>
  <c r="D17" i="4"/>
  <c r="F16" i="4"/>
  <c r="E16" i="4"/>
  <c r="G16" i="4" s="1"/>
  <c r="D16" i="4"/>
  <c r="F15" i="4"/>
  <c r="E15" i="4"/>
  <c r="G15" i="4" s="1"/>
  <c r="D15" i="4"/>
  <c r="F14" i="4"/>
  <c r="E14" i="4"/>
  <c r="G14" i="4" s="1"/>
  <c r="D14" i="4"/>
  <c r="F13" i="4"/>
  <c r="E13" i="4"/>
  <c r="G13" i="4" s="1"/>
  <c r="D13" i="4"/>
  <c r="F12" i="4"/>
  <c r="E12" i="4"/>
  <c r="G12" i="4" s="1"/>
  <c r="D12" i="4"/>
  <c r="F11" i="4"/>
  <c r="E11" i="4"/>
  <c r="G11" i="4" s="1"/>
  <c r="D11" i="4"/>
  <c r="F10" i="4"/>
  <c r="E10" i="4"/>
  <c r="G10" i="4" s="1"/>
  <c r="D10" i="4"/>
  <c r="F9" i="4"/>
  <c r="E9" i="4"/>
  <c r="G9" i="4" s="1"/>
  <c r="D9" i="4"/>
  <c r="F8" i="4"/>
  <c r="E8" i="4"/>
  <c r="G8" i="4" s="1"/>
  <c r="D8" i="4"/>
  <c r="F7" i="4"/>
  <c r="E7" i="4"/>
  <c r="G7" i="4" s="1"/>
  <c r="D7" i="4"/>
  <c r="F6" i="4"/>
  <c r="E6" i="4"/>
  <c r="G6" i="4" s="1"/>
  <c r="D6" i="4"/>
  <c r="F5" i="4"/>
  <c r="E5" i="4"/>
  <c r="G5" i="4" s="1"/>
  <c r="D5" i="4"/>
  <c r="F4" i="4"/>
  <c r="E4" i="4"/>
  <c r="G4" i="4" s="1"/>
  <c r="D4" i="4"/>
  <c r="F3" i="4"/>
  <c r="F259" i="4" s="1"/>
  <c r="E3" i="4"/>
  <c r="E259" i="4" s="1"/>
  <c r="D3" i="4"/>
  <c r="D259" i="4" s="1"/>
  <c r="H100" i="3"/>
  <c r="H99" i="3"/>
  <c r="G99" i="3"/>
  <c r="H98" i="3"/>
  <c r="H97" i="3"/>
  <c r="H96" i="3"/>
  <c r="H94" i="3"/>
  <c r="H93" i="3"/>
  <c r="H92" i="3"/>
  <c r="G92" i="3"/>
  <c r="H91" i="3"/>
  <c r="H90" i="3"/>
  <c r="G90" i="3"/>
  <c r="H89" i="3"/>
  <c r="G89" i="3"/>
  <c r="H88" i="3"/>
  <c r="G88" i="3"/>
  <c r="H87" i="3"/>
  <c r="G87" i="3"/>
  <c r="F87" i="3"/>
  <c r="H86" i="3"/>
  <c r="H85" i="3"/>
  <c r="G85" i="3"/>
  <c r="H84" i="3"/>
  <c r="H83" i="3"/>
  <c r="G83" i="3"/>
  <c r="E83" i="3"/>
  <c r="H82" i="3"/>
  <c r="G82" i="3"/>
  <c r="H81" i="3"/>
  <c r="H80" i="3"/>
  <c r="G80" i="3"/>
  <c r="H79" i="3"/>
  <c r="G79" i="3"/>
  <c r="H78" i="3"/>
  <c r="G78" i="3"/>
  <c r="H77" i="3"/>
  <c r="G77" i="3"/>
  <c r="H76" i="3"/>
  <c r="H75" i="3"/>
  <c r="H74" i="3"/>
  <c r="H73" i="3"/>
  <c r="H72" i="3"/>
  <c r="G72" i="3"/>
  <c r="H71" i="3"/>
  <c r="H70" i="3"/>
  <c r="H69" i="3"/>
  <c r="H68" i="3"/>
  <c r="H67" i="3"/>
  <c r="H66" i="3"/>
  <c r="H65" i="3"/>
  <c r="H64" i="3"/>
  <c r="H63" i="3"/>
  <c r="H62" i="3"/>
  <c r="G62" i="3"/>
  <c r="H61" i="3"/>
  <c r="H60" i="3"/>
  <c r="G60" i="3"/>
  <c r="H59" i="3"/>
  <c r="H58" i="3"/>
  <c r="H57" i="3"/>
  <c r="G57" i="3"/>
  <c r="H55" i="3"/>
  <c r="G55" i="3"/>
  <c r="H54" i="3"/>
  <c r="H53" i="3"/>
  <c r="G53" i="3"/>
  <c r="H52" i="3"/>
  <c r="G52" i="3"/>
  <c r="H51" i="3"/>
  <c r="H50" i="3"/>
  <c r="G50" i="3"/>
  <c r="H49" i="3"/>
  <c r="H48" i="3"/>
  <c r="G48" i="3"/>
  <c r="H47" i="3"/>
  <c r="G47" i="3"/>
  <c r="H46" i="3"/>
  <c r="H45" i="3"/>
  <c r="G45" i="3"/>
  <c r="F45" i="3"/>
  <c r="H44" i="3"/>
  <c r="H41" i="3"/>
  <c r="G41" i="3"/>
  <c r="H36" i="3"/>
  <c r="H35" i="3"/>
  <c r="H34" i="3"/>
  <c r="G34" i="3"/>
  <c r="H33" i="3"/>
  <c r="G33" i="3"/>
  <c r="F33" i="3"/>
  <c r="H32" i="3"/>
  <c r="H31" i="3"/>
  <c r="H30" i="3"/>
  <c r="H29" i="3"/>
  <c r="H28" i="3"/>
  <c r="H27" i="3"/>
  <c r="H26" i="3"/>
  <c r="H25" i="3"/>
  <c r="H24" i="3"/>
  <c r="H23" i="3"/>
  <c r="G23" i="3"/>
  <c r="H22" i="3"/>
  <c r="H21" i="3"/>
  <c r="H20" i="3"/>
  <c r="H19" i="3"/>
  <c r="H18" i="3"/>
  <c r="H17" i="3"/>
  <c r="H16" i="3"/>
  <c r="G16" i="3"/>
  <c r="H15" i="3"/>
  <c r="G15" i="3"/>
  <c r="H14" i="3"/>
  <c r="H13" i="3"/>
  <c r="H12" i="3"/>
  <c r="H11" i="3"/>
  <c r="G11" i="3"/>
  <c r="H10" i="3"/>
  <c r="G10" i="3"/>
  <c r="H9" i="3"/>
  <c r="G9" i="3"/>
  <c r="H8" i="3"/>
  <c r="G8" i="3"/>
  <c r="H7" i="3"/>
  <c r="G7" i="3"/>
  <c r="H6" i="3"/>
  <c r="H5" i="3"/>
  <c r="G5" i="3"/>
  <c r="H4" i="3"/>
  <c r="H3" i="3"/>
  <c r="G3" i="3"/>
  <c r="H2" i="3"/>
  <c r="G2" i="3"/>
  <c r="H66" i="2"/>
  <c r="H65" i="2"/>
  <c r="H64" i="2"/>
  <c r="G64" i="2"/>
  <c r="H63" i="2"/>
  <c r="H62" i="2"/>
  <c r="G62" i="2"/>
  <c r="H61" i="2"/>
  <c r="G61" i="2"/>
  <c r="H60" i="2"/>
  <c r="H59" i="2"/>
  <c r="H58" i="2"/>
  <c r="G58" i="2"/>
  <c r="H57" i="2"/>
  <c r="G57" i="2"/>
  <c r="H56" i="2"/>
  <c r="H55" i="2"/>
  <c r="H54" i="2"/>
  <c r="H53" i="2"/>
  <c r="H52" i="2"/>
  <c r="G52" i="2"/>
  <c r="H51" i="2"/>
  <c r="G51" i="2"/>
  <c r="H50" i="2"/>
  <c r="G50" i="2"/>
  <c r="H49" i="2"/>
  <c r="H48" i="2"/>
  <c r="H47" i="2"/>
  <c r="H46" i="2"/>
  <c r="H45" i="2"/>
  <c r="H44" i="2"/>
  <c r="G44" i="2"/>
  <c r="H42" i="2"/>
  <c r="H40" i="2"/>
  <c r="G40" i="2"/>
  <c r="H37" i="2"/>
  <c r="G37" i="2"/>
  <c r="H36" i="2"/>
  <c r="G36" i="2"/>
  <c r="H35" i="2"/>
  <c r="G35" i="2"/>
  <c r="H34" i="2"/>
  <c r="H33" i="2"/>
  <c r="H32" i="2"/>
  <c r="H31" i="2"/>
  <c r="G31" i="2"/>
  <c r="H30" i="2"/>
  <c r="G30" i="2"/>
  <c r="H29" i="2"/>
  <c r="H28" i="2"/>
  <c r="H26" i="2"/>
  <c r="G26" i="2"/>
  <c r="H25" i="2"/>
  <c r="H23" i="2"/>
  <c r="G23" i="2"/>
  <c r="H22" i="2"/>
  <c r="H21" i="2"/>
  <c r="G21" i="2"/>
  <c r="E21" i="2"/>
  <c r="H19" i="2"/>
  <c r="H18" i="2"/>
  <c r="G18" i="2"/>
  <c r="H17" i="2"/>
  <c r="H16" i="2"/>
  <c r="H15" i="2"/>
  <c r="G15" i="2"/>
  <c r="H14" i="2"/>
  <c r="G14" i="2"/>
  <c r="H13" i="2"/>
  <c r="G13" i="2"/>
  <c r="H12" i="2"/>
  <c r="H11" i="2"/>
  <c r="G11" i="2"/>
  <c r="H10" i="2"/>
  <c r="H9" i="2"/>
  <c r="G9" i="2"/>
  <c r="H8" i="2"/>
  <c r="H7" i="2"/>
  <c r="G7" i="2"/>
  <c r="H6" i="2"/>
  <c r="G6" i="2"/>
  <c r="H5" i="2"/>
  <c r="G5" i="2"/>
  <c r="H4" i="2"/>
  <c r="H68" i="2" s="1"/>
  <c r="H3" i="2"/>
  <c r="H2" i="2"/>
  <c r="G2" i="2"/>
  <c r="H259" i="1"/>
  <c r="G258" i="4" s="1"/>
  <c r="H258" i="1"/>
  <c r="G258" i="1"/>
  <c r="H257" i="1"/>
  <c r="H256" i="1"/>
  <c r="G256" i="1"/>
  <c r="H255" i="1"/>
  <c r="H254" i="1"/>
  <c r="G254" i="1"/>
  <c r="H253" i="1"/>
  <c r="H252" i="1"/>
  <c r="H251" i="1"/>
  <c r="H250" i="1"/>
  <c r="H248" i="1"/>
  <c r="H247" i="1"/>
  <c r="G247" i="1"/>
  <c r="H246" i="1"/>
  <c r="G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G232" i="1"/>
  <c r="H231" i="1"/>
  <c r="H230" i="1"/>
  <c r="H229" i="1"/>
  <c r="H228" i="1"/>
  <c r="H227" i="1"/>
  <c r="H226" i="1"/>
  <c r="G226" i="1"/>
  <c r="H225" i="1"/>
  <c r="H224" i="1"/>
  <c r="G224" i="1"/>
  <c r="H223" i="1"/>
  <c r="G223" i="1"/>
  <c r="H221" i="1"/>
  <c r="H220" i="1"/>
  <c r="H219" i="1"/>
  <c r="G219" i="1"/>
  <c r="H218" i="1"/>
  <c r="G218" i="1"/>
  <c r="H217" i="1"/>
  <c r="H216" i="1"/>
  <c r="G216" i="1"/>
  <c r="H215" i="1"/>
  <c r="G215" i="1"/>
  <c r="H214" i="1"/>
  <c r="H213" i="1"/>
  <c r="H212" i="1"/>
  <c r="H211" i="1"/>
  <c r="G211" i="1"/>
  <c r="H210" i="1"/>
  <c r="H209" i="1"/>
  <c r="H208" i="1"/>
  <c r="H207" i="1"/>
  <c r="G207" i="1"/>
  <c r="H206" i="1"/>
  <c r="G206" i="1"/>
  <c r="H205" i="1"/>
  <c r="G205" i="1"/>
  <c r="H204" i="1"/>
  <c r="G204" i="1"/>
  <c r="H203" i="1"/>
  <c r="H202" i="1"/>
  <c r="H201" i="1"/>
  <c r="H200" i="1"/>
  <c r="H199" i="1"/>
  <c r="G199" i="1"/>
  <c r="H198" i="1"/>
  <c r="G198" i="1"/>
  <c r="H197" i="1"/>
  <c r="G197" i="1"/>
  <c r="H196" i="1"/>
  <c r="G196" i="1"/>
  <c r="H195" i="1"/>
  <c r="H194" i="1"/>
  <c r="G194" i="1"/>
  <c r="H193" i="1"/>
  <c r="H192" i="1"/>
  <c r="G192" i="1"/>
  <c r="H191" i="1"/>
  <c r="G191" i="1"/>
  <c r="H190" i="1"/>
  <c r="H189" i="1"/>
  <c r="G189" i="1"/>
  <c r="H188" i="1"/>
  <c r="H187" i="1"/>
  <c r="H186" i="1"/>
  <c r="G186" i="1"/>
  <c r="H185" i="1"/>
  <c r="H184" i="1"/>
  <c r="H183" i="1"/>
  <c r="H182" i="1"/>
  <c r="G182" i="1"/>
  <c r="H181" i="1"/>
  <c r="H180" i="1"/>
  <c r="H179" i="1"/>
  <c r="H178" i="1"/>
  <c r="H177" i="1"/>
  <c r="H176" i="1"/>
  <c r="H175" i="1"/>
  <c r="H174" i="1"/>
  <c r="H173" i="1"/>
  <c r="G173" i="1"/>
  <c r="H172" i="1"/>
  <c r="G172" i="1"/>
  <c r="E172" i="1"/>
  <c r="H171" i="1"/>
  <c r="G171" i="1"/>
  <c r="H170" i="1"/>
  <c r="G170" i="1"/>
  <c r="H169" i="1"/>
  <c r="G169" i="1"/>
  <c r="H168" i="1"/>
  <c r="H167" i="1"/>
  <c r="H166" i="1"/>
  <c r="H165" i="1"/>
  <c r="G165" i="1"/>
  <c r="H164" i="1"/>
  <c r="G164" i="1"/>
  <c r="H163" i="1"/>
  <c r="G163" i="1"/>
  <c r="H162" i="1"/>
  <c r="H161" i="1"/>
  <c r="G161" i="1"/>
  <c r="H160" i="1"/>
  <c r="H159" i="1"/>
  <c r="H158" i="1"/>
  <c r="G158" i="1"/>
  <c r="H157" i="1"/>
  <c r="G157" i="1"/>
  <c r="H156" i="1"/>
  <c r="G156" i="1"/>
  <c r="H155" i="1"/>
  <c r="H154" i="1"/>
  <c r="H152" i="1"/>
  <c r="G152" i="1"/>
  <c r="H151" i="1"/>
  <c r="G151" i="1"/>
  <c r="H150" i="1"/>
  <c r="H149" i="1"/>
  <c r="G149" i="1"/>
  <c r="H148" i="1"/>
  <c r="H147" i="1"/>
  <c r="G147" i="1"/>
  <c r="H146" i="1"/>
  <c r="G146" i="1"/>
  <c r="H145" i="1"/>
  <c r="H144" i="1"/>
  <c r="H143" i="1"/>
  <c r="G143" i="1"/>
  <c r="H142" i="1"/>
  <c r="H141" i="1"/>
  <c r="G141" i="1"/>
  <c r="H140" i="1"/>
  <c r="G140" i="1"/>
  <c r="H139" i="1"/>
  <c r="G139" i="1"/>
  <c r="H138" i="1"/>
  <c r="G138" i="1"/>
  <c r="H137" i="1"/>
  <c r="G137" i="1"/>
  <c r="H136" i="1"/>
  <c r="H135" i="1"/>
  <c r="G135" i="1"/>
  <c r="H134" i="1"/>
  <c r="G134" i="1"/>
  <c r="H133" i="1"/>
  <c r="G133" i="1"/>
  <c r="H132" i="1"/>
  <c r="G132" i="1"/>
  <c r="H131" i="1"/>
  <c r="G131" i="1"/>
  <c r="H130" i="1"/>
  <c r="H129" i="1"/>
  <c r="H128" i="1"/>
  <c r="H127" i="1"/>
  <c r="G127" i="1"/>
  <c r="H126" i="1"/>
  <c r="G126" i="1"/>
  <c r="H125" i="1"/>
  <c r="H124" i="1"/>
  <c r="G124" i="1"/>
  <c r="H123" i="1"/>
  <c r="H122" i="1"/>
  <c r="H121" i="1"/>
  <c r="H120" i="1"/>
  <c r="G120" i="1"/>
  <c r="H119" i="1"/>
  <c r="G119" i="1"/>
  <c r="H118" i="1"/>
  <c r="H117" i="1"/>
  <c r="H116" i="1"/>
  <c r="G116" i="1"/>
  <c r="H115" i="1"/>
  <c r="H114" i="1"/>
  <c r="H113" i="1"/>
  <c r="H112" i="1"/>
  <c r="H111" i="1"/>
  <c r="H110" i="1"/>
  <c r="H109" i="1"/>
  <c r="G109" i="1"/>
  <c r="H108" i="1"/>
  <c r="H107" i="1"/>
  <c r="G107" i="1"/>
  <c r="H106" i="1"/>
  <c r="G106" i="1"/>
  <c r="H105" i="1"/>
  <c r="G105" i="1"/>
  <c r="H104" i="1"/>
  <c r="G104" i="1"/>
  <c r="H103" i="1"/>
  <c r="H102" i="1"/>
  <c r="G102" i="1"/>
  <c r="H101" i="1"/>
  <c r="G101" i="1"/>
  <c r="H100" i="1"/>
  <c r="G100" i="1"/>
  <c r="H99" i="1"/>
  <c r="G99" i="1"/>
  <c r="H98" i="1"/>
  <c r="G98" i="1"/>
  <c r="H97" i="1"/>
  <c r="G97" i="1"/>
  <c r="H96" i="1"/>
  <c r="H95" i="1"/>
  <c r="G95" i="1"/>
  <c r="H94" i="1"/>
  <c r="G94" i="1"/>
  <c r="H93" i="1"/>
  <c r="G93" i="1"/>
  <c r="H92" i="1"/>
  <c r="G92" i="1"/>
  <c r="H91" i="1"/>
  <c r="H90" i="1"/>
  <c r="H89" i="1"/>
  <c r="H88" i="1"/>
  <c r="G88" i="1"/>
  <c r="H87" i="1"/>
  <c r="H86" i="1"/>
  <c r="G86" i="1"/>
  <c r="H85" i="1"/>
  <c r="G85" i="1"/>
  <c r="H84" i="1"/>
  <c r="G84" i="1"/>
  <c r="H83" i="1"/>
  <c r="G83" i="1"/>
  <c r="H82" i="1"/>
  <c r="G82" i="1"/>
  <c r="H81" i="1"/>
  <c r="G81" i="1"/>
  <c r="H80" i="1"/>
  <c r="G80" i="1"/>
  <c r="H79" i="1"/>
  <c r="G80" i="4" s="1"/>
  <c r="G79" i="1"/>
  <c r="H78" i="1"/>
  <c r="G78" i="1"/>
  <c r="H77" i="1"/>
  <c r="G78" i="4" s="1"/>
  <c r="G77" i="1"/>
  <c r="H76" i="1"/>
  <c r="G76" i="1"/>
  <c r="H75" i="1"/>
  <c r="G76" i="4" s="1"/>
  <c r="G75" i="1"/>
  <c r="H74" i="1"/>
  <c r="H73" i="1"/>
  <c r="G73" i="1"/>
  <c r="H72" i="1"/>
  <c r="G72" i="1"/>
  <c r="H71" i="1"/>
  <c r="G71" i="1"/>
  <c r="H70" i="1"/>
  <c r="G70" i="1"/>
  <c r="H69" i="1"/>
  <c r="G69" i="1"/>
  <c r="H68" i="1"/>
  <c r="G68" i="1"/>
  <c r="H67" i="1"/>
  <c r="H66" i="1"/>
  <c r="G66" i="1"/>
  <c r="H65" i="1"/>
  <c r="G65" i="1"/>
  <c r="H64" i="1"/>
  <c r="G64" i="1"/>
  <c r="H63" i="1"/>
  <c r="G63" i="1"/>
  <c r="H62" i="1"/>
  <c r="G62" i="1"/>
  <c r="H61" i="1"/>
  <c r="G61" i="1"/>
  <c r="H60" i="1"/>
  <c r="G60" i="1"/>
  <c r="H59" i="1"/>
  <c r="G59" i="1"/>
  <c r="H58" i="1"/>
  <c r="H57" i="1"/>
  <c r="G57" i="1"/>
  <c r="H56" i="1"/>
  <c r="G56" i="1"/>
  <c r="H55" i="1"/>
  <c r="G55" i="1"/>
  <c r="H54" i="1"/>
  <c r="H53" i="1"/>
  <c r="G53" i="1"/>
  <c r="H52" i="1"/>
  <c r="G52" i="1"/>
  <c r="H51" i="1"/>
  <c r="H50" i="1"/>
  <c r="G50" i="1"/>
  <c r="H49" i="1"/>
  <c r="G49" i="1"/>
  <c r="H48" i="1"/>
  <c r="H47" i="1"/>
  <c r="G47" i="1"/>
  <c r="H46" i="1"/>
  <c r="G46" i="1"/>
  <c r="H45" i="1"/>
  <c r="G45" i="1"/>
  <c r="H44" i="1"/>
  <c r="G44" i="1"/>
  <c r="H43" i="1"/>
  <c r="H42" i="1"/>
  <c r="G42" i="1"/>
  <c r="H41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H31" i="1"/>
  <c r="H30" i="1"/>
  <c r="G30" i="1"/>
  <c r="H29" i="1"/>
  <c r="H28" i="1"/>
  <c r="G28" i="1"/>
  <c r="H27" i="1"/>
  <c r="H26" i="1"/>
  <c r="G26" i="1"/>
  <c r="H25" i="1"/>
  <c r="G25" i="1"/>
  <c r="H24" i="1"/>
  <c r="H23" i="1"/>
  <c r="G23" i="1"/>
  <c r="H22" i="1"/>
  <c r="G22" i="1"/>
  <c r="H21" i="1"/>
  <c r="G21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H13" i="1"/>
  <c r="H12" i="1"/>
  <c r="H11" i="1"/>
  <c r="H10" i="1"/>
  <c r="G10" i="1"/>
  <c r="H9" i="1"/>
  <c r="H8" i="1"/>
  <c r="G8" i="1"/>
  <c r="H7" i="1"/>
  <c r="G7" i="1"/>
  <c r="H6" i="1"/>
  <c r="G6" i="1"/>
  <c r="H5" i="1"/>
  <c r="G5" i="1"/>
  <c r="H4" i="1"/>
  <c r="H3" i="1"/>
  <c r="G3" i="1"/>
  <c r="H2" i="1"/>
  <c r="G324" i="4" l="1"/>
  <c r="D324" i="4"/>
  <c r="G3" i="4"/>
  <c r="G259" i="4" s="1"/>
  <c r="G424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G2" authorId="0" shapeId="0" xr:uid="{00000000-0006-0000-0000-000001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2021年9月7日付款 25864</t>
        </r>
      </text>
    </comment>
    <comment ref="G3" authorId="0" shapeId="0" xr:uid="{00000000-0006-0000-0000-000002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2021年8月26日付款 47020
2023年9月22日付款 40000</t>
        </r>
      </text>
    </comment>
    <comment ref="G4" authorId="0" shapeId="0" xr:uid="{00000000-0006-0000-0000-000003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2021年9月7日付款 46176</t>
        </r>
      </text>
    </comment>
    <comment ref="G5" authorId="0" shapeId="0" xr:uid="{00000000-0006-0000-0000-000004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2021年9月7日付款 45735
2022年1月17日付款 50000
2022年9月6日付款 50000
2023年11月10日付款110000</t>
        </r>
      </text>
    </comment>
    <comment ref="G6" authorId="0" shapeId="0" xr:uid="{00000000-0006-0000-0000-000005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2021年9月7日付款 41256
2022年1月17日付款 50000
2022年9月6日付款 40000
2023年9月22日付款 50000
2024年1月30日付款 80000
2025年9月2日付款 100000</t>
        </r>
      </text>
    </comment>
    <comment ref="G7" authorId="0" shapeId="0" xr:uid="{00000000-0006-0000-0000-000006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2021年9月7日付款 46139
2022年1月20日付款 90000</t>
        </r>
      </text>
    </comment>
    <comment ref="G8" authorId="0" shapeId="0" xr:uid="{00000000-0006-0000-0000-000007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2021年9月7日付款46770
2022年1月17日付款 50000
2024年2月6日付款 80000
2025年9月12日付款 20000</t>
        </r>
      </text>
    </comment>
    <comment ref="G9" authorId="0" shapeId="0" xr:uid="{00000000-0006-0000-0000-000008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2021年9月7日付款 29070</t>
        </r>
      </text>
    </comment>
    <comment ref="G10" authorId="0" shapeId="0" xr:uid="{00000000-0006-0000-0000-000009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2021年9月7日付款 45066
2022年1月5日付款 45067</t>
        </r>
      </text>
    </comment>
    <comment ref="G11" authorId="0" shapeId="0" xr:uid="{00000000-0006-0000-0000-00000A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2021年9月7日付款 55095</t>
        </r>
      </text>
    </comment>
    <comment ref="G12" authorId="0" shapeId="0" xr:uid="{00000000-0006-0000-0000-00000B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2021年8月5日付款49346
2023年6月14日付款123000</t>
        </r>
      </text>
    </comment>
    <comment ref="G13" authorId="0" shapeId="0" xr:uid="{00000000-0006-0000-0000-00000C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2022年6月14日付款160232</t>
        </r>
      </text>
    </comment>
    <comment ref="G14" authorId="0" shapeId="0" xr:uid="{00000000-0006-0000-0000-00000D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2022年6月14日付款161004</t>
        </r>
      </text>
    </comment>
    <comment ref="G15" authorId="0" shapeId="0" xr:uid="{00000000-0006-0000-0000-00000E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2021年8月5日付款48994
2021年9月8日付款49000
2022年6月14日付款80000</t>
        </r>
      </text>
    </comment>
    <comment ref="G16" authorId="0" shapeId="0" xr:uid="{00000000-0006-0000-0000-00000F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2021年8月5日付款46149
2023年12月11日付款 107682</t>
        </r>
      </text>
    </comment>
    <comment ref="G17" authorId="0" shapeId="0" xr:uid="{00000000-0006-0000-0000-000010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2021年8月19日付款45036
2021年8月31日付款35000
2022年5月10日付款35000</t>
        </r>
      </text>
    </comment>
    <comment ref="G18" authorId="0" shapeId="0" xr:uid="{00000000-0006-0000-0000-000011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2021年8月5日付款48972
2022年6月14日付款121000</t>
        </r>
      </text>
    </comment>
    <comment ref="G19" authorId="0" shapeId="0" xr:uid="{00000000-0006-0000-0000-000012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2021年8月11日付款48558
2021年9月8日付款45000
2023年10月17日付款65000</t>
        </r>
      </text>
    </comment>
    <comment ref="G20" authorId="0" shapeId="0" xr:uid="{00000000-0006-0000-0000-000013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2021年8月5日付款30676
2021年8月31日付款41579
2023年10月7日付款 30000</t>
        </r>
      </text>
    </comment>
    <comment ref="F21" authorId="0" shapeId="0" xr:uid="{00000000-0006-0000-0000-000014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2021年8月19日付款48000
2021年9月8日付款42729
2022年6月14日付款70000</t>
        </r>
      </text>
    </comment>
    <comment ref="G22" authorId="0" shapeId="0" xr:uid="{00000000-0006-0000-0000-000015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2021年8月11日付款46648
2025年9月17日付款 120000</t>
        </r>
      </text>
    </comment>
    <comment ref="G23" authorId="0" shapeId="0" xr:uid="{00000000-0006-0000-0000-000016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2021年8月19日付款45177
2022年6月14日付款130000</t>
        </r>
      </text>
    </comment>
    <comment ref="G24" authorId="0" shapeId="0" xr:uid="{00000000-0006-0000-0000-000017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2022年6月14日付款108621</t>
        </r>
      </text>
    </comment>
    <comment ref="G25" authorId="0" shapeId="0" xr:uid="{00000000-0006-0000-0000-000018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2021年8月5日付款46496
2021年9月8日付款48491
2022年9月6日付款30000
2023年12月11日付款 30000</t>
        </r>
      </text>
    </comment>
    <comment ref="G26" authorId="0" shapeId="0" xr:uid="{00000000-0006-0000-0000-000019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2021年8月5日付款42287
2021年9月8日付款48670
2023年1月5日付款50000</t>
        </r>
      </text>
    </comment>
    <comment ref="G27" authorId="0" shapeId="0" xr:uid="{00000000-0006-0000-0000-00001A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2022年6月14日付款140318</t>
        </r>
      </text>
    </comment>
    <comment ref="G28" authorId="0" shapeId="0" xr:uid="{00000000-0006-0000-0000-00001B000000}">
      <text>
        <r>
          <rPr>
            <b/>
            <sz val="9"/>
            <rFont val="宋体"/>
            <charset val="134"/>
          </rPr>
          <t>Administrato
2021年8月5日付款46119
2021年9月8日付款47614</t>
        </r>
        <r>
          <rPr>
            <sz val="9"/>
            <rFont val="宋体"/>
            <charset val="134"/>
          </rPr>
          <t xml:space="preserve">
2023年1月5日付款60000</t>
        </r>
      </text>
    </comment>
    <comment ref="G29" authorId="0" shapeId="0" xr:uid="{00000000-0006-0000-0000-00001C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2022年6月14日付款141768</t>
        </r>
      </text>
    </comment>
    <comment ref="G30" authorId="0" shapeId="0" xr:uid="{00000000-0006-0000-0000-00001D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2021年8月11日付款48800
2022年6月14日付款140000</t>
        </r>
      </text>
    </comment>
    <comment ref="G31" authorId="0" shapeId="0" xr:uid="{00000000-0006-0000-0000-00001E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2022年6月14日付款169831</t>
        </r>
      </text>
    </comment>
    <comment ref="G32" authorId="0" shapeId="0" xr:uid="{00000000-0006-0000-0000-00001F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2022年6月14日付款177941</t>
        </r>
      </text>
    </comment>
    <comment ref="G33" authorId="0" shapeId="0" xr:uid="{00000000-0006-0000-0000-000020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20221年7月30日付款45810
2021年9月8日付款46891
2021年10月15日付款60000</t>
        </r>
      </text>
    </comment>
    <comment ref="G34" authorId="0" shapeId="0" xr:uid="{00000000-0006-0000-0000-000021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2021年7月30日付款40154
2021年9月8日付款43694
2021年10月15日付款 50000</t>
        </r>
      </text>
    </comment>
    <comment ref="G35" authorId="0" shapeId="0" xr:uid="{00000000-0006-0000-0000-000022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2021年8月11日付款46749
2021年9月8日付款48000
2021年10月16日付款42000</t>
        </r>
      </text>
    </comment>
    <comment ref="G36" authorId="0" shapeId="0" xr:uid="{00000000-0006-0000-0000-000023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2021年7月30日付款46000
2021年9月8日付款46817
2021年12月23日付款100000</t>
        </r>
      </text>
    </comment>
    <comment ref="G37" authorId="0" shapeId="0" xr:uid="{00000000-0006-0000-0000-000024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2021年9月7日付款40458
2022年1月17日付款44771
2024年2月1日付款 85229</t>
        </r>
      </text>
    </comment>
    <comment ref="G38" authorId="0" shapeId="0" xr:uid="{00000000-0006-0000-0000-000025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2021年9月7日 付款 45000
2021年10月15日付款 45000
2021年11月2日付款 59000
2021年11月29日付款 150000
2021年12月20日付款 150000
2022年1月5日付款 50000
2022年12月9日付款 50000
2021年7月30日付款 45000
2023年9月1日付款 100000
</t>
        </r>
      </text>
    </comment>
    <comment ref="G39" authorId="0" shapeId="0" xr:uid="{00000000-0006-0000-0000-000026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2021年8月5日付款49400
201奶奶9月8日付款45000
2021萘胺11月30日付款100000</t>
        </r>
      </text>
    </comment>
    <comment ref="G40" authorId="0" shapeId="0" xr:uid="{00000000-0006-0000-0000-000027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2021年8月5日付款 48856
2021年9月8日付款 48000
2022年5月10日付款102000</t>
        </r>
      </text>
    </comment>
    <comment ref="G41" authorId="0" shapeId="0" xr:uid="{00000000-0006-0000-0000-000028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2021年9月7日付款47813</t>
        </r>
      </text>
    </comment>
    <comment ref="G42" authorId="0" shapeId="0" xr:uid="{00000000-0006-0000-0000-000029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2021年9月14日付款 49972
2024年2月6日付款 50000</t>
        </r>
      </text>
    </comment>
    <comment ref="G43" authorId="0" shapeId="0" xr:uid="{00000000-0006-0000-0000-00002A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2021年9月7日付款41849</t>
        </r>
      </text>
    </comment>
    <comment ref="G44" authorId="0" shapeId="0" xr:uid="{00000000-0006-0000-0000-00002B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2021年9月7日付款 47929
2024年5月11日付款 50000</t>
        </r>
      </text>
    </comment>
    <comment ref="G45" authorId="0" shapeId="0" xr:uid="{00000000-0006-0000-0000-00002C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2021年9月7日付款 41372
2024年5月22日付款 100000</t>
        </r>
      </text>
    </comment>
    <comment ref="G46" authorId="0" shapeId="0" xr:uid="{00000000-0006-0000-0000-00002D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2021年9月7日付款44210
2022年9月6日付款 44210</t>
        </r>
      </text>
    </comment>
    <comment ref="G47" authorId="0" shapeId="0" xr:uid="{00000000-0006-0000-0000-00002E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2021年8月11日付款 49800
2021年9月7日付款48200
2022年1月17日付款 100000</t>
        </r>
      </text>
    </comment>
    <comment ref="G48" authorId="0" shapeId="0" xr:uid="{00000000-0006-0000-0000-00002F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2021年8月11日付款 40000
</t>
        </r>
      </text>
    </comment>
    <comment ref="G49" authorId="0" shapeId="0" xr:uid="{00000000-0006-0000-0000-000030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2021年8月11日付款 47800
2021年9月7日付款 40200
2021年11月2日付款90000</t>
        </r>
      </text>
    </comment>
    <comment ref="G50" authorId="0" shapeId="0" xr:uid="{00000000-0006-0000-0000-000031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2021年8月11日付款46940
2021年12月20日付款70000</t>
        </r>
      </text>
    </comment>
    <comment ref="G51" authorId="0" shapeId="0" xr:uid="{00000000-0006-0000-0000-000032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2021年8月11日付款 41211</t>
        </r>
      </text>
    </comment>
    <comment ref="G52" authorId="0" shapeId="0" xr:uid="{00000000-0006-0000-0000-000033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2021年8月11日付款 35800
2021年8月31日付款 35800</t>
        </r>
      </text>
    </comment>
    <comment ref="G53" authorId="0" shapeId="0" xr:uid="{00000000-0006-0000-0000-000034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2021年8月11日付款 46950
2021年8月31日付款 45000
2021年9月7日付款 45000</t>
        </r>
      </text>
    </comment>
    <comment ref="G54" authorId="0" shapeId="0" xr:uid="{00000000-0006-0000-0000-000035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2021年8月11日付款18020</t>
        </r>
      </text>
    </comment>
    <comment ref="G55" authorId="0" shapeId="0" xr:uid="{00000000-0006-0000-0000-000036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2021年8月11日付款 46080
2021年9月8日付款 45000
2022年6月14日付款 85000</t>
        </r>
      </text>
    </comment>
    <comment ref="G56" authorId="0" shapeId="0" xr:uid="{00000000-0006-0000-0000-000037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2021年8月11日付款 42316
2022年5月10日付款 65404</t>
        </r>
      </text>
    </comment>
    <comment ref="B57" authorId="0" shapeId="0" xr:uid="{00000000-0006-0000-0000-000038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2021.8.1-2022.3.31
</t>
        </r>
      </text>
    </comment>
    <comment ref="G57" authorId="0" shapeId="0" xr:uid="{00000000-0006-0000-0000-000039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2021年9月7日付款 45000
2021年10月15日付款 30000
2021年8月19日付款45500
2023年9月1日付款 37000</t>
        </r>
      </text>
    </comment>
    <comment ref="G58" authorId="0" shapeId="0" xr:uid="{00000000-0006-0000-0000-00003A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2021年8月11日付款 11969</t>
        </r>
      </text>
    </comment>
    <comment ref="G59" authorId="0" shapeId="0" xr:uid="{00000000-0006-0000-0000-00003B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2021年8月11日付款45310
2021年9月8日付款 48000
2022年1月5日付款92000</t>
        </r>
      </text>
    </comment>
    <comment ref="G60" authorId="0" shapeId="0" xr:uid="{00000000-0006-0000-0000-00003C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2021年8月11日付款49800
2021年9月7日付款 48200</t>
        </r>
      </text>
    </comment>
    <comment ref="G61" authorId="0" shapeId="0" xr:uid="{00000000-0006-0000-0000-00003D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2021年8月11日付款 49200
2021年9月8日付款 30000</t>
        </r>
      </text>
    </comment>
    <comment ref="G62" authorId="0" shapeId="0" xr:uid="{00000000-0006-0000-0000-00003E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2021年8月11日付款 44870
2021年9月8日付款 46000
2022年5月10日付款 94000</t>
        </r>
      </text>
    </comment>
    <comment ref="G63" authorId="0" shapeId="0" xr:uid="{00000000-0006-0000-0000-00003F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2021年8月11日付款 44850
2021年9月8日付款 45000
2021年9月8日付款 105000</t>
        </r>
      </text>
    </comment>
    <comment ref="G64" authorId="0" shapeId="0" xr:uid="{00000000-0006-0000-0000-000040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2021年8月11日付款 45048
2021年9月8日付款 45112
2022年5月10日付款 60000</t>
        </r>
      </text>
    </comment>
    <comment ref="G65" authorId="0" shapeId="0" xr:uid="{00000000-0006-0000-0000-000041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2021年8月11日付款 48400
2021年9月8日付款 45000
2021年10月15日付款 65000</t>
        </r>
      </text>
    </comment>
    <comment ref="G66" authorId="0" shapeId="0" xr:uid="{00000000-0006-0000-0000-000042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2021年8月11日付款 49260
2021年9月8日付款 42000
2022年9月8日付款 38000
2023年1月5日付款 40000
</t>
        </r>
      </text>
    </comment>
    <comment ref="G67" authorId="0" shapeId="0" xr:uid="{00000000-0006-0000-0000-000043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2021年8月26日付款 36343</t>
        </r>
      </text>
    </comment>
    <comment ref="G68" authorId="0" shapeId="0" xr:uid="{00000000-0006-0000-0000-000044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2021年9月7日付款 57500
2021年10月15日付款 57500</t>
        </r>
      </text>
    </comment>
    <comment ref="G69" authorId="0" shapeId="0" xr:uid="{00000000-0006-0000-0000-000045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2021年8月19日付款 41535
2021年9月7日付款 150000</t>
        </r>
      </text>
    </comment>
    <comment ref="G70" authorId="0" shapeId="0" xr:uid="{00000000-0006-0000-0000-000046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2021年8月3日付款16160
2021年8月12日付款 20000</t>
        </r>
      </text>
    </comment>
    <comment ref="G71" authorId="0" shapeId="0" xr:uid="{00000000-0006-0000-0000-000047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2021年8月10日付款 44605
2021年9月7日付款 120000</t>
        </r>
      </text>
    </comment>
    <comment ref="G72" authorId="0" shapeId="0" xr:uid="{00000000-0006-0000-0000-000048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2021年8月19日付款37753
2021年9月7日付款81638</t>
        </r>
      </text>
    </comment>
    <comment ref="G73" authorId="0" shapeId="0" xr:uid="{00000000-0006-0000-0000-000049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2021年8月19日付款48400
2021年9月8日付款48000
2021年10月15日付款62000</t>
        </r>
      </text>
    </comment>
    <comment ref="G74" authorId="0" shapeId="0" xr:uid="{00000000-0006-0000-0000-00004A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2022年5月10日付款 72000</t>
        </r>
      </text>
    </comment>
    <comment ref="G75" authorId="0" shapeId="0" xr:uid="{00000000-0006-0000-0000-00004B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2021年9月7日付款45837
2022年9月6日付款40000
2024年12月17日付款 30000
2025年9月2日付款 52243</t>
        </r>
      </text>
    </comment>
    <comment ref="G76" authorId="0" shapeId="0" xr:uid="{00000000-0006-0000-0000-00004C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2021年9月8日付款 42000
2024年9月13日付款 30000
2025年9月2日付款 18762</t>
        </r>
      </text>
    </comment>
    <comment ref="G77" authorId="0" shapeId="0" xr:uid="{00000000-0006-0000-0000-00004D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2021年9月8日付款 46730
2025年9月2日付款 144749</t>
        </r>
      </text>
    </comment>
    <comment ref="G78" authorId="0" shapeId="0" xr:uid="{00000000-0006-0000-0000-00004E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2021年9月8日付款 42442
2025年9月2日付款 127647</t>
        </r>
      </text>
    </comment>
    <comment ref="G79" authorId="0" shapeId="0" xr:uid="{00000000-0006-0000-0000-00004F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2021年9月8日付款 45494
2025年9月2日付款 108677</t>
        </r>
      </text>
    </comment>
    <comment ref="G80" authorId="0" shapeId="0" xr:uid="{00000000-0006-0000-0000-000050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2021年9月8日付款 49385
2022年9月6日付款30000
2024年1月30日付款 50000
2024年9月13日付款 50000</t>
        </r>
      </text>
    </comment>
    <comment ref="G81" authorId="0" shapeId="0" xr:uid="{00000000-0006-0000-0000-000051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2021年9月8日付款 43698
2022年9月6日付款 30000
2024年2月6日付款 100000</t>
        </r>
      </text>
    </comment>
    <comment ref="G82" authorId="0" shapeId="0" xr:uid="{00000000-0006-0000-0000-000052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2021年9月8日付款 40135
2023年9月22日付款 50000
2024年6月18日付款100000</t>
        </r>
      </text>
    </comment>
    <comment ref="G83" authorId="0" shapeId="0" xr:uid="{00000000-0006-0000-0000-000053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2021年9月8日付款 40703
2024年9月13日付款 100000
2025你那9月2日付款 20000</t>
        </r>
      </text>
    </comment>
    <comment ref="G84" authorId="0" shapeId="0" xr:uid="{00000000-0006-0000-0000-000054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2021年8月19日付款 55154
2021年9月8日付款 40000
2021年10月15日付款 20000</t>
        </r>
      </text>
    </comment>
    <comment ref="B85" authorId="0" shapeId="0" xr:uid="{00000000-0006-0000-0000-000055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2021.8.1-2022.3.31
</t>
        </r>
      </text>
    </comment>
    <comment ref="G85" authorId="0" shapeId="0" xr:uid="{00000000-0006-0000-0000-000056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2021年8月25日付款 46748
2021年9月8日付款 74802</t>
        </r>
      </text>
    </comment>
    <comment ref="G86" authorId="0" shapeId="0" xr:uid="{00000000-0006-0000-0000-000057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2021奶奶9月8日付款 47500
2022年9月8日付款 50000
2023年1月5日付款 100000</t>
        </r>
      </text>
    </comment>
    <comment ref="G87" authorId="0" shapeId="0" xr:uid="{00000000-0006-0000-0000-000058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2021年8月31日付款 37515.6</t>
        </r>
      </text>
    </comment>
    <comment ref="G88" authorId="0" shapeId="0" xr:uid="{00000000-0006-0000-0000-000059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2021年9月8日付款48500
2022年1月17日付款 100000
2023年12月11日付款 50000</t>
        </r>
      </text>
    </comment>
    <comment ref="G90" authorId="0" shapeId="0" xr:uid="{00000000-0006-0000-0000-00005A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2021年8月24日付款 48460</t>
        </r>
      </text>
    </comment>
    <comment ref="G91" authorId="0" shapeId="0" xr:uid="{00000000-0006-0000-0000-00005B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2021年8月24日付款 48222</t>
        </r>
      </text>
    </comment>
    <comment ref="G92" authorId="0" shapeId="0" xr:uid="{00000000-0006-0000-0000-00005C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2021年9月8日付款 46816.8
2024年7月9日付款 50000
2025年1月21日付款 50000
2025年9月12日付款 10000</t>
        </r>
      </text>
    </comment>
    <comment ref="G93" authorId="0" shapeId="0" xr:uid="{00000000-0006-0000-0000-00005D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2021年9月8日付款 49535.1
2023年11月14日付款 20000
2024年5月22日付款 30000
2025年9月17日付款 80000</t>
        </r>
      </text>
    </comment>
    <comment ref="G94" authorId="0" shapeId="0" xr:uid="{00000000-0006-0000-0000-00005E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2021年9月8日付款 44170
2022年9月6日付款 44170</t>
        </r>
      </text>
    </comment>
    <comment ref="G95" authorId="0" shapeId="0" xr:uid="{00000000-0006-0000-0000-00005F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2021年9月8日付款 43714
2022年9月6日付款 30000
2024年11月13日付款 40000
</t>
        </r>
      </text>
    </comment>
    <comment ref="G96" authorId="0" shapeId="0" xr:uid="{00000000-0006-0000-0000-000060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2021年12月23日付款 172840</t>
        </r>
      </text>
    </comment>
    <comment ref="G97" authorId="0" shapeId="0" xr:uid="{00000000-0006-0000-0000-000061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2021年9月26日付款 19910
2022年9月6日付款 16340</t>
        </r>
      </text>
    </comment>
    <comment ref="G98" authorId="0" shapeId="0" xr:uid="{00000000-0006-0000-0000-000062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2021年9月26日付款 5626
2021年10月15日付款4530</t>
        </r>
      </text>
    </comment>
    <comment ref="G99" authorId="0" shapeId="0" xr:uid="{00000000-0006-0000-0000-000063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2021年9月8日付款44070
2023年9月19日付款 150000
</t>
        </r>
      </text>
    </comment>
    <comment ref="G100" authorId="0" shapeId="0" xr:uid="{00000000-0006-0000-0000-000064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2021年9月8日付款 48980
2022年9月6日付款 35000
2024年1月30日付款 105000</t>
        </r>
      </text>
    </comment>
    <comment ref="G101" authorId="0" shapeId="0" xr:uid="{00000000-0006-0000-0000-000065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2021年9月8日付款48200
2022年9月6日付款 50000
2023年1月5日付款 40000
2024年1月30日付款 60000
</t>
        </r>
      </text>
    </comment>
    <comment ref="G102" authorId="0" shapeId="0" xr:uid="{00000000-0006-0000-0000-000066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2021年9月26日付款 25409
2021年10月15日付款 24311</t>
        </r>
      </text>
    </comment>
    <comment ref="G103" authorId="0" shapeId="0" xr:uid="{00000000-0006-0000-0000-000067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2021年9月8日付款 42200</t>
        </r>
      </text>
    </comment>
    <comment ref="G104" authorId="0" shapeId="0" xr:uid="{00000000-0006-0000-0000-000068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2022年1月17日付款 60598
2022年9月6日付款 60599</t>
        </r>
      </text>
    </comment>
    <comment ref="G105" authorId="0" shapeId="0" xr:uid="{00000000-0006-0000-0000-000069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2021年9月10日付款 48000
2021年11月2日付款 54917</t>
        </r>
      </text>
    </comment>
    <comment ref="G106" authorId="0" shapeId="0" xr:uid="{00000000-0006-0000-0000-00006A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2021年9月10日付款 49293
2022年9月6日付款 30000
2023年12月7日付款 30000</t>
        </r>
      </text>
    </comment>
    <comment ref="G107" authorId="0" shapeId="0" xr:uid="{00000000-0006-0000-0000-00006B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2021年9月10日付款 46332
2023年12月7日付款 90000</t>
        </r>
      </text>
    </comment>
    <comment ref="G108" authorId="0" shapeId="0" xr:uid="{00000000-0006-0000-0000-00006C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2021年9月10日付款 43700</t>
        </r>
      </text>
    </comment>
    <comment ref="G109" authorId="0" shapeId="0" xr:uid="{00000000-0006-0000-0000-00006D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2021年9月10日付款 46208
2021年11月5日付款 106617</t>
        </r>
      </text>
    </comment>
    <comment ref="G110" authorId="0" shapeId="0" xr:uid="{00000000-0006-0000-0000-00006E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2023年6月14日付款 47742</t>
        </r>
      </text>
    </comment>
    <comment ref="G111" authorId="0" shapeId="0" xr:uid="{00000000-0006-0000-0000-00006F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2023年10月13日付款 47619</t>
        </r>
      </text>
    </comment>
    <comment ref="G112" authorId="0" shapeId="0" xr:uid="{00000000-0006-0000-0000-000070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2023年10月13日付款 42164</t>
        </r>
      </text>
    </comment>
    <comment ref="G113" authorId="0" shapeId="0" xr:uid="{00000000-0006-0000-0000-000071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2023年1月5日付款 44112</t>
        </r>
      </text>
    </comment>
    <comment ref="G114" authorId="0" shapeId="0" xr:uid="{00000000-0006-0000-0000-000072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2023年1月5日付款 44778</t>
        </r>
      </text>
    </comment>
    <comment ref="G115" authorId="0" shapeId="0" xr:uid="{00000000-0006-0000-0000-000073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2023年10月13日付款 43176</t>
        </r>
      </text>
    </comment>
    <comment ref="G116" authorId="0" shapeId="0" xr:uid="{00000000-0006-0000-0000-000074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2022年9月6日付款 30000
2023年10月17日付款 25547</t>
        </r>
      </text>
    </comment>
    <comment ref="G117" authorId="0" shapeId="0" xr:uid="{00000000-0006-0000-0000-000075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2023年1月5日 付款 62021</t>
        </r>
      </text>
    </comment>
    <comment ref="G118" authorId="0" shapeId="0" xr:uid="{00000000-0006-0000-0000-000076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2023年6月14日付款 58059</t>
        </r>
      </text>
    </comment>
    <comment ref="G119" authorId="0" shapeId="0" xr:uid="{00000000-0006-0000-0000-000077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2021年11月1日付款 39120
2021年12月21日付款 39120
2024年9月24日付款 117360</t>
        </r>
      </text>
    </comment>
    <comment ref="G120" authorId="0" shapeId="0" xr:uid="{00000000-0006-0000-0000-000078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2021年11月1日付款68040
2022年6月14日付款 45360</t>
        </r>
      </text>
    </comment>
    <comment ref="G121" authorId="0" shapeId="0" xr:uid="{00000000-0006-0000-0000-000079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2022年9月6日付款 32017</t>
        </r>
      </text>
    </comment>
    <comment ref="G122" authorId="0" shapeId="0" xr:uid="{00000000-0006-0000-0000-00007A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2021年11月30日付款59853</t>
        </r>
      </text>
    </comment>
    <comment ref="G123" authorId="0" shapeId="0" xr:uid="{00000000-0006-0000-0000-00007B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2021年10月15日付款23800</t>
        </r>
      </text>
    </comment>
    <comment ref="G124" authorId="0" shapeId="0" xr:uid="{00000000-0006-0000-0000-00007C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2021年11月1日付款 86655
2022年1月17日付款 86655</t>
        </r>
      </text>
    </comment>
    <comment ref="G125" authorId="0" shapeId="0" xr:uid="{00000000-0006-0000-0000-00007D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2024年1月30日付款 196230</t>
        </r>
      </text>
    </comment>
    <comment ref="G126" authorId="0" shapeId="0" xr:uid="{00000000-0006-0000-0000-00007E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2025年1月24日付款 100000
2025年9月2日付款 85590</t>
        </r>
      </text>
    </comment>
    <comment ref="G127" authorId="0" shapeId="0" xr:uid="{00000000-0006-0000-0000-00007F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2023年1月5日付款 48270
2023年9月19日付款 140000</t>
        </r>
      </text>
    </comment>
    <comment ref="G128" authorId="0" shapeId="0" xr:uid="{00000000-0006-0000-0000-000080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2025年9月2日付款 130800</t>
        </r>
      </text>
    </comment>
    <comment ref="G129" authorId="0" shapeId="0" xr:uid="{00000000-0006-0000-0000-000081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2021年10月15日付款31376</t>
        </r>
      </text>
    </comment>
    <comment ref="G130" authorId="0" shapeId="0" xr:uid="{00000000-0006-0000-0000-000082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2024年1月30日付款 95130</t>
        </r>
      </text>
    </comment>
    <comment ref="G131" authorId="0" shapeId="0" xr:uid="{00000000-0006-0000-0000-000083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2021年10月15日付款 59842
2021年12月20日付款 133650
2023年9月1日付款 5984</t>
        </r>
      </text>
    </comment>
    <comment ref="G132" authorId="0" shapeId="0" xr:uid="{00000000-0006-0000-0000-000084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2022年1月17日付款50000
2022年9月6日付款 40000
2023年1月5日付款 30000
2023年9月15日付款 7377</t>
        </r>
      </text>
    </comment>
    <comment ref="G133" authorId="0" shapeId="0" xr:uid="{00000000-0006-0000-0000-000085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2022年1月24日付款 59000
2022年9月6日付款 50000
2025年9月2日付款 17269</t>
        </r>
      </text>
    </comment>
    <comment ref="G134" authorId="0" shapeId="0" xr:uid="{00000000-0006-0000-0000-000086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2021年10月15日付款 88835
2022年9月6日付款 40000
2023年1月5日付款 48835</t>
        </r>
      </text>
    </comment>
    <comment ref="G135" authorId="0" shapeId="0" xr:uid="{00000000-0006-0000-0000-000087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2024年1月24日付款 100000
2024年9月13日付款 40498</t>
        </r>
      </text>
    </comment>
    <comment ref="G136" authorId="0" shapeId="0" xr:uid="{00000000-0006-0000-0000-000088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2021年10月15日付款 69743</t>
        </r>
      </text>
    </comment>
    <comment ref="G137" authorId="0" shapeId="0" xr:uid="{00000000-0006-0000-0000-000089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2022年1月24日付款 46000
2025年9月2日付款 43129</t>
        </r>
      </text>
    </comment>
    <comment ref="G138" authorId="0" shapeId="0" xr:uid="{00000000-0006-0000-0000-00008A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2021年1月24日付款 44000
2022年9月6日付款 42876
2025年1月21日付款 6994
</t>
        </r>
      </text>
    </comment>
    <comment ref="G139" authorId="0" shapeId="0" xr:uid="{00000000-0006-0000-0000-00008B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2025年1月21日付款 43006
2025年9月2日付款 44326</t>
        </r>
      </text>
    </comment>
    <comment ref="G140" authorId="0" shapeId="0" xr:uid="{00000000-0006-0000-0000-00008C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2022年9月6日付款 32047
2025年1月21日付款 100000
</t>
        </r>
      </text>
    </comment>
    <comment ref="G141" authorId="0" shapeId="0" xr:uid="{00000000-0006-0000-0000-00008D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2023年1月5日付款 37967
2025年1月21日付款 50000
2025年9月2日付款 90000</t>
        </r>
      </text>
    </comment>
    <comment ref="G142" authorId="0" shapeId="0" xr:uid="{00000000-0006-0000-0000-00008E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2025年9月2日付款 41988</t>
        </r>
      </text>
    </comment>
    <comment ref="G143" authorId="0" shapeId="0" xr:uid="{00000000-0006-0000-0000-00008F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2022年1月17日付款24000
2022年9月6日付款24007</t>
        </r>
      </text>
    </comment>
    <comment ref="G144" authorId="0" shapeId="0" xr:uid="{00000000-0006-0000-0000-000090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2025年1月23日付款 43959
</t>
        </r>
      </text>
    </comment>
    <comment ref="G145" authorId="0" shapeId="0" xr:uid="{00000000-0006-0000-0000-000091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2023年12月11日付款 49671</t>
        </r>
      </text>
    </comment>
    <comment ref="G146" authorId="0" shapeId="0" xr:uid="{00000000-0006-0000-0000-000092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2021年11月1日付款10300
2021年12月21日付款10300
2022年1月5日付款 10300
2022年5月19日付款20600</t>
        </r>
      </text>
    </comment>
    <comment ref="G147" authorId="0" shapeId="0" xr:uid="{00000000-0006-0000-0000-000093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2022年12月8日付款20000
2023年1月5日付款48930
2023年9月1日付款 65000
2023年12月11日付款 30000
2024年1月23日付款 35000</t>
        </r>
      </text>
    </comment>
    <comment ref="G148" authorId="0" shapeId="0" xr:uid="{00000000-0006-0000-0000-000094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2021年11月1日付款42500</t>
        </r>
      </text>
    </comment>
    <comment ref="G149" authorId="0" shapeId="0" xr:uid="{00000000-0006-0000-0000-000095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2021年11月2日付款 106506
2022年12月9日付款 3294</t>
        </r>
      </text>
    </comment>
    <comment ref="G150" authorId="0" shapeId="0" xr:uid="{00000000-0006-0000-0000-000096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2021年11月1日付款17000</t>
        </r>
      </text>
    </comment>
    <comment ref="G151" authorId="0" shapeId="0" xr:uid="{00000000-0006-0000-0000-000097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2022年9月6日付款 30000
2023年9月1日付款 27990</t>
        </r>
      </text>
    </comment>
    <comment ref="G152" authorId="0" shapeId="0" xr:uid="{00000000-0006-0000-0000-000098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2022年1月17日付款40000
2023年9月22日付款 20000
2024年1月30日付款 20000
</t>
        </r>
      </text>
    </comment>
    <comment ref="G154" authorId="0" shapeId="0" xr:uid="{00000000-0006-0000-0000-000099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2021年11月2日付款159600</t>
        </r>
      </text>
    </comment>
    <comment ref="G155" authorId="0" shapeId="0" xr:uid="{00000000-0006-0000-0000-00009A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2022年8月9日付款55000</t>
        </r>
      </text>
    </comment>
    <comment ref="G156" authorId="0" shapeId="0" xr:uid="{00000000-0006-0000-0000-00009B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2022年1月24日付款82000
2022年9月6日付款32360
2023年9月19日付款 50000</t>
        </r>
      </text>
    </comment>
    <comment ref="G157" authorId="0" shapeId="0" xr:uid="{00000000-0006-0000-0000-00009C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2022年9月6日付款50000
2023年10月13日付款 50000
2024年2月1日付款 30000
2025年1月26日付款 28752</t>
        </r>
      </text>
    </comment>
    <comment ref="G158" authorId="0" shapeId="0" xr:uid="{00000000-0006-0000-0000-00009D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2021年11月5日付款 34026
2021年11月22日付款 79394</t>
        </r>
      </text>
    </comment>
    <comment ref="G159" authorId="0" shapeId="0" xr:uid="{00000000-0006-0000-0000-00009E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2022年1月17日付款27500</t>
        </r>
      </text>
    </comment>
    <comment ref="G160" authorId="0" shapeId="0" xr:uid="{00000000-0006-0000-0000-00009F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2022年9月6日付款 23800</t>
        </r>
      </text>
    </comment>
    <comment ref="G161" authorId="0" shapeId="0" xr:uid="{00000000-0006-0000-0000-0000A0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2024年2月6日付款 50000
2025年1月23日付款 36930
</t>
        </r>
      </text>
    </comment>
    <comment ref="G162" authorId="0" shapeId="0" xr:uid="{00000000-0006-0000-0000-0000A1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2022年5月10日付款 67227.83</t>
        </r>
      </text>
    </comment>
    <comment ref="G163" authorId="0" shapeId="0" xr:uid="{00000000-0006-0000-0000-0000A2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2021年12月20日付款 41662
2022年9月6日付款 1288</t>
        </r>
      </text>
    </comment>
    <comment ref="G164" authorId="0" shapeId="0" xr:uid="{00000000-0006-0000-0000-0000A3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2021年11月30日付款153260
2022年9月6日付款 4740</t>
        </r>
      </text>
    </comment>
    <comment ref="G165" authorId="0" shapeId="0" xr:uid="{00000000-0006-0000-0000-0000A4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2022年9月6日付款50000
2022年12月9日付款 30000
2023年1月5日付款 49935
2024年1月23日付款 40000.15</t>
        </r>
      </text>
    </comment>
    <comment ref="G166" authorId="0" shapeId="0" xr:uid="{00000000-0006-0000-0000-0000A5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2022年1月5日付款 34775</t>
        </r>
      </text>
    </comment>
    <comment ref="G167" authorId="0" shapeId="0" xr:uid="{00000000-0006-0000-0000-0000A6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2022年9月6日付款 41110.4</t>
        </r>
      </text>
    </comment>
    <comment ref="G168" authorId="0" shapeId="0" xr:uid="{00000000-0006-0000-0000-0000A7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2023年9月1日付款 175261.53</t>
        </r>
      </text>
    </comment>
    <comment ref="G169" authorId="0" shapeId="0" xr:uid="{00000000-0006-0000-0000-0000A8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2022年1月24日付款 95000
2022年9月6日付款 34368
2023年9月1日付款 30000
2023年12月11日付款 40000</t>
        </r>
      </text>
    </comment>
    <comment ref="G170" authorId="0" shapeId="0" xr:uid="{00000000-0006-0000-0000-0000A9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2022年1月17日付款 162891
2022年12月9日付款 8573.7</t>
        </r>
      </text>
    </comment>
    <comment ref="G171" authorId="0" shapeId="0" xr:uid="{00000000-0006-0000-0000-0000AA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2022年1月5日付款85000
2022年8月9日付款85000</t>
        </r>
      </text>
    </comment>
    <comment ref="G172" authorId="0" shapeId="0" xr:uid="{00000000-0006-0000-0000-0000AB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2021年12月8日付款 2539528.18
2022年6月1日付款 2539528.17
2023年2月28日付款 96350.76
2023年11月11日付款 70056.03
</t>
        </r>
      </text>
    </comment>
    <comment ref="G173" authorId="0" shapeId="0" xr:uid="{00000000-0006-0000-0000-0000AC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2021年11月30日付款 34026
2021你那12月20日付款 79394</t>
        </r>
      </text>
    </comment>
    <comment ref="G174" authorId="0" shapeId="0" xr:uid="{00000000-0006-0000-0000-0000AD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2021年12月20日付款 72124</t>
        </r>
      </text>
    </comment>
    <comment ref="G175" authorId="0" shapeId="0" xr:uid="{00000000-0006-0000-0000-0000AE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2021年12月20日付款89740</t>
        </r>
      </text>
    </comment>
    <comment ref="G176" authorId="0" shapeId="0" xr:uid="{00000000-0006-0000-0000-0000AF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2022年1月5日付款 56164</t>
        </r>
      </text>
    </comment>
    <comment ref="G177" authorId="0" shapeId="0" xr:uid="{00000000-0006-0000-0000-0000B0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2021年12月20日付款 62000</t>
        </r>
      </text>
    </comment>
    <comment ref="G178" authorId="0" shapeId="0" xr:uid="{00000000-0006-0000-0000-0000B1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2022年1月5日付款 38950</t>
        </r>
      </text>
    </comment>
    <comment ref="G179" authorId="0" shapeId="0" xr:uid="{00000000-0006-0000-0000-0000B2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2022年9月6日付款 20000</t>
        </r>
      </text>
    </comment>
    <comment ref="G180" authorId="0" shapeId="0" xr:uid="{00000000-0006-0000-0000-0000B3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2021年11月30日 付款 12200.32</t>
        </r>
      </text>
    </comment>
    <comment ref="G181" authorId="0" shapeId="0" xr:uid="{00000000-0006-0000-0000-0000B4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2021年11月30日付款 23155</t>
        </r>
      </text>
    </comment>
    <comment ref="G182" authorId="0" shapeId="0" xr:uid="{00000000-0006-0000-0000-0000B5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2022年1月5日付款 16800
2022年5月10日付款 25200</t>
        </r>
      </text>
    </comment>
    <comment ref="G183" authorId="0" shapeId="0" xr:uid="{00000000-0006-0000-0000-0000B6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2023年9月22日付款 33286</t>
        </r>
      </text>
    </comment>
    <comment ref="G185" authorId="0" shapeId="0" xr:uid="{00000000-0006-0000-0000-0000B7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2021年12月15日付款 64000</t>
        </r>
      </text>
    </comment>
    <comment ref="G186" authorId="0" shapeId="0" xr:uid="{00000000-0006-0000-0000-0000B8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2022年1月5日付款 34026
2022年2月17日付款 79394</t>
        </r>
      </text>
    </comment>
    <comment ref="G187" authorId="0" shapeId="0" xr:uid="{00000000-0006-0000-0000-0000B9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2022年5月10日付款 140000</t>
        </r>
      </text>
    </comment>
    <comment ref="G188" authorId="0" shapeId="0" xr:uid="{00000000-0006-0000-0000-0000BA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2022年5月10日付款64000</t>
        </r>
      </text>
    </comment>
    <comment ref="G189" authorId="0" shapeId="0" xr:uid="{00000000-0006-0000-0000-0000BB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2023年1月5日付款 52508
2023年9月19日付款 70000</t>
        </r>
      </text>
    </comment>
    <comment ref="G190" authorId="0" shapeId="0" xr:uid="{00000000-0006-0000-0000-0000BC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2025年9月2日付款 182652</t>
        </r>
      </text>
    </comment>
    <comment ref="G191" authorId="0" shapeId="0" xr:uid="{00000000-0006-0000-0000-0000BD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2022年1月24日付款 50000
2025年9月2日付款 143700</t>
        </r>
      </text>
    </comment>
    <comment ref="G192" authorId="0" shapeId="0" xr:uid="{00000000-0006-0000-0000-0000BE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2023年1月5日付款 55000
2025年9月2日付款 130000</t>
        </r>
      </text>
    </comment>
    <comment ref="G193" authorId="0" shapeId="0" xr:uid="{00000000-0006-0000-0000-0000BF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2025年9月2日付款 189060</t>
        </r>
      </text>
    </comment>
    <comment ref="G194" authorId="0" shapeId="0" xr:uid="{00000000-0006-0000-0000-0000C0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2022年1月17日付款 164625
2023年1月5日付款 8665</t>
        </r>
      </text>
    </comment>
    <comment ref="G195" authorId="0" shapeId="0" xr:uid="{00000000-0006-0000-0000-0000C1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2024年2月1日付款 37118</t>
        </r>
      </text>
    </comment>
    <comment ref="G196" authorId="0" shapeId="0" xr:uid="{00000000-0006-0000-0000-0000C2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2022年9月6日付款 26700
2022年12月9日付款 30000</t>
        </r>
      </text>
    </comment>
    <comment ref="G197" authorId="0" shapeId="0" xr:uid="{00000000-0006-0000-0000-0000C3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2022年9月6日付款 30000
2022年12月9日付款 68900</t>
        </r>
      </text>
    </comment>
    <comment ref="G198" authorId="0" shapeId="0" xr:uid="{00000000-0006-0000-0000-0000C4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2022年1月17日付款 53200
2023年9月19日付款 2800
</t>
        </r>
      </text>
    </comment>
    <comment ref="G199" authorId="0" shapeId="0" xr:uid="{00000000-0006-0000-0000-0000C5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2022年1月24日付款 40000
2025年9月17日付款 20000</t>
        </r>
      </text>
    </comment>
    <comment ref="G200" authorId="0" shapeId="0" xr:uid="{00000000-0006-0000-0000-0000C6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2022年1月20日付款 33800</t>
        </r>
      </text>
    </comment>
    <comment ref="G201" authorId="0" shapeId="0" xr:uid="{00000000-0006-0000-0000-0000C7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2022年5月10日付款 33800</t>
        </r>
      </text>
    </comment>
    <comment ref="G202" authorId="0" shapeId="0" xr:uid="{00000000-0006-0000-0000-0000C8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2022年1月20日付款33800</t>
        </r>
      </text>
    </comment>
    <comment ref="G203" authorId="0" shapeId="0" xr:uid="{00000000-0006-0000-0000-0000C9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2024年9月13日付款 155607</t>
        </r>
      </text>
    </comment>
    <comment ref="G204" authorId="0" shapeId="0" xr:uid="{00000000-0006-0000-0000-0000CA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2022年9月6日付款 30824
2023年9月1日付款 60000
2024年1月23日付款 30000</t>
        </r>
      </text>
    </comment>
    <comment ref="G205" authorId="0" shapeId="0" xr:uid="{00000000-0006-0000-0000-0000CB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2022年12月9日付款 40000
2024年1月23日付款 120867.5</t>
        </r>
      </text>
    </comment>
    <comment ref="G206" authorId="0" shapeId="0" xr:uid="{00000000-0006-0000-0000-0000CC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2022年9月6日付款 31886
2025年9月17日付款 89800.5</t>
        </r>
      </text>
    </comment>
    <comment ref="G207" authorId="0" shapeId="0" xr:uid="{00000000-0006-0000-0000-0000CD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2022年1月17日付款 119282
2022年12月9日付款 3690</t>
        </r>
      </text>
    </comment>
    <comment ref="G208" authorId="0" shapeId="0" xr:uid="{00000000-0006-0000-0000-0000CE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2025年1月23日付款 19500
</t>
        </r>
      </text>
    </comment>
    <comment ref="G209" authorId="0" shapeId="0" xr:uid="{00000000-0006-0000-0000-0000CF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2023年1月5日付款 22400</t>
        </r>
      </text>
    </comment>
    <comment ref="G210" authorId="0" shapeId="0" xr:uid="{00000000-0006-0000-0000-0000D0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2022年1月5日付款 59840</t>
        </r>
      </text>
    </comment>
    <comment ref="G211" authorId="0" shapeId="0" xr:uid="{00000000-0006-0000-0000-0000D1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2024年1月30日付款 30000
2024年9月13日付款 18500</t>
        </r>
      </text>
    </comment>
    <comment ref="G212" authorId="0" shapeId="0" xr:uid="{00000000-0006-0000-0000-0000D2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2023年9月1日付款 8500</t>
        </r>
      </text>
    </comment>
    <comment ref="G213" authorId="0" shapeId="0" xr:uid="{00000000-0006-0000-0000-0000D3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2022年5月10日付款 75700</t>
        </r>
      </text>
    </comment>
    <comment ref="G214" authorId="0" shapeId="0" xr:uid="{00000000-0006-0000-0000-0000D4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2022年5月10日付款 112800</t>
        </r>
      </text>
    </comment>
    <comment ref="G215" authorId="0" shapeId="0" xr:uid="{00000000-0006-0000-0000-0000D5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2023年1月5日付款 56000
2023年9月19日付款 100000
2025年9月12日付款 280000</t>
        </r>
      </text>
    </comment>
    <comment ref="G216" authorId="0" shapeId="0" xr:uid="{00000000-0006-0000-0000-0000D6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2023年1月5日付款 50000
2023年9月1日付款 45000
2025年9月12日付款 45000</t>
        </r>
      </text>
    </comment>
    <comment ref="G217" authorId="0" shapeId="0" xr:uid="{00000000-0006-0000-0000-0000D7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2022年12月9日付款 64000</t>
        </r>
      </text>
    </comment>
    <comment ref="G218" authorId="0" shapeId="0" xr:uid="{00000000-0006-0000-0000-0000D8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2022年1月18日付款 300000
2025年6月16日付款 150000
2025年7月8日付款 130624
2025年9月16日付款 500000</t>
        </r>
      </text>
    </comment>
    <comment ref="G219" authorId="0" shapeId="0" xr:uid="{00000000-0006-0000-0000-0000D9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2022年2月17日付款 34026
2022年3月17日付款 79394</t>
        </r>
      </text>
    </comment>
    <comment ref="G220" authorId="0" shapeId="0" xr:uid="{00000000-0006-0000-0000-0000DA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2023年9月1日付款 140000
</t>
        </r>
      </text>
    </comment>
    <comment ref="G221" authorId="0" shapeId="0" xr:uid="{00000000-0006-0000-0000-0000DB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2023年9月1日付款 64000
</t>
        </r>
      </text>
    </comment>
    <comment ref="G222" authorId="0" shapeId="0" xr:uid="{00000000-0006-0000-0000-0000DC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2022年3月17日付款 113420</t>
        </r>
      </text>
    </comment>
    <comment ref="G223" authorId="0" shapeId="0" xr:uid="{00000000-0006-0000-0000-0000DD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2023年9月1日付款 40000
2025年9月12日付款 100000</t>
        </r>
      </text>
    </comment>
    <comment ref="G224" authorId="0" shapeId="0" xr:uid="{00000000-0006-0000-0000-0000DE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2023年9月1日付款 20000
2025年9月12日付款 44000</t>
        </r>
      </text>
    </comment>
    <comment ref="G225" authorId="0" shapeId="0" xr:uid="{00000000-0006-0000-0000-0000DF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2022年5月10日付款 135200</t>
        </r>
      </text>
    </comment>
    <comment ref="G226" authorId="0" shapeId="0" xr:uid="{00000000-0006-0000-0000-0000E0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2022年9月6日付款 37600
2024年12月17日付款 30000
</t>
        </r>
      </text>
    </comment>
    <comment ref="G227" authorId="0" shapeId="0" xr:uid="{00000000-0006-0000-0000-0000E1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2023年1月5日付款 168000</t>
        </r>
      </text>
    </comment>
    <comment ref="G228" authorId="0" shapeId="0" xr:uid="{00000000-0006-0000-0000-0000E2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2023年9月19日付款168000</t>
        </r>
      </text>
    </comment>
    <comment ref="G229" authorId="0" shapeId="0" xr:uid="{00000000-0006-0000-0000-0000E3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2022年5月10日付款 100800</t>
        </r>
      </text>
    </comment>
    <comment ref="G230" authorId="0" shapeId="0" xr:uid="{00000000-0006-0000-0000-0000E4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2023年9月19日付款 168000</t>
        </r>
      </text>
    </comment>
    <comment ref="G231" authorId="0" shapeId="0" xr:uid="{00000000-0006-0000-0000-0000E5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2023年9月19日付款 23760</t>
        </r>
      </text>
    </comment>
    <comment ref="G232" authorId="0" shapeId="0" xr:uid="{00000000-0006-0000-0000-0000E6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2022年9月6日付款40800
2022年12月9日付款 60000</t>
        </r>
      </text>
    </comment>
    <comment ref="G233" authorId="0" shapeId="0" xr:uid="{00000000-0006-0000-0000-0000E7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2022年1月5日付款 151200</t>
        </r>
      </text>
    </comment>
    <comment ref="G234" authorId="0" shapeId="0" xr:uid="{00000000-0006-0000-0000-0000E8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2024年1月30日付款 168000
</t>
        </r>
      </text>
    </comment>
    <comment ref="G235" authorId="0" shapeId="0" xr:uid="{00000000-0006-0000-0000-0000E9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2025年1月24日付款 168000</t>
        </r>
      </text>
    </comment>
    <comment ref="G236" authorId="0" shapeId="0" xr:uid="{00000000-0006-0000-0000-0000EA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2023年11月14日付款 135200
</t>
        </r>
      </text>
    </comment>
    <comment ref="G237" authorId="0" shapeId="0" xr:uid="{00000000-0006-0000-0000-0000EB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2025年1月24日付款 12000</t>
        </r>
      </text>
    </comment>
    <comment ref="G239" authorId="0" shapeId="0" xr:uid="{00000000-0006-0000-0000-0000EC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2022年2月28日付款 168000</t>
        </r>
      </text>
    </comment>
    <comment ref="G240" authorId="0" shapeId="0" xr:uid="{00000000-0006-0000-0000-0000ED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2022你啊2月28日付款 168000</t>
        </r>
      </text>
    </comment>
    <comment ref="G241" authorId="0" shapeId="0" xr:uid="{00000000-0006-0000-0000-0000EE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2024年1月24日付款 168000
</t>
        </r>
      </text>
    </comment>
    <comment ref="G242" authorId="0" shapeId="0" xr:uid="{00000000-0006-0000-0000-0000EF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2022年12月9日付款 168600</t>
        </r>
      </text>
    </comment>
    <comment ref="G243" authorId="0" shapeId="0" xr:uid="{00000000-0006-0000-0000-0000F0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2022年12月9日付款 135200</t>
        </r>
      </text>
    </comment>
    <comment ref="G246" authorId="0" shapeId="0" xr:uid="{00000000-0006-0000-0000-0000F1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2022年9月6日付款 33735
2023年1月5日付款 30000
2024年1月30日付款 70000</t>
        </r>
      </text>
    </comment>
    <comment ref="G247" authorId="0" shapeId="0" xr:uid="{00000000-0006-0000-0000-0000F2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2023年9月19日付款 30000
2024年1月30日付款 42666</t>
        </r>
      </text>
    </comment>
    <comment ref="G248" authorId="0" shapeId="0" xr:uid="{00000000-0006-0000-0000-0000F3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2024年2月2日付款 26460</t>
        </r>
      </text>
    </comment>
    <comment ref="G251" authorId="0" shapeId="0" xr:uid="{00000000-0006-0000-0000-0000F4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2022年12月5日付款 56000</t>
        </r>
      </text>
    </comment>
    <comment ref="G252" authorId="0" shapeId="0" xr:uid="{00000000-0006-0000-0000-0000F5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2025年9月12日付款 112000</t>
        </r>
      </text>
    </comment>
    <comment ref="G253" authorId="0" shapeId="0" xr:uid="{00000000-0006-0000-0000-0000F6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2022年10月21日付款 112000</t>
        </r>
      </text>
    </comment>
    <comment ref="G254" authorId="0" shapeId="0" xr:uid="{00000000-0006-0000-0000-0000F7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2023年9月22日付款 30000
2024年2月1日付款 26000</t>
        </r>
      </text>
    </comment>
    <comment ref="G255" authorId="0" shapeId="0" xr:uid="{00000000-0006-0000-0000-0000F8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2024年2月6日付款 56000</t>
        </r>
      </text>
    </comment>
    <comment ref="G256" authorId="0" shapeId="0" xr:uid="{00000000-0006-0000-0000-0000F9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2022年9月6日付款 50000
2023年12月11日付款 121080</t>
        </r>
      </text>
    </comment>
    <comment ref="G257" authorId="0" shapeId="0" xr:uid="{00000000-0006-0000-0000-0000FA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2022年8月24日</t>
        </r>
      </text>
    </comment>
    <comment ref="G258" authorId="0" shapeId="0" xr:uid="{00000000-0006-0000-0000-0000FB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2021年12月7日付款 12500
2023年9月1日付款 12500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G2" authorId="0" shapeId="0" xr:uid="{00000000-0006-0000-0100-000001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2023.6.14付款 100000
2024年5月22日付款 94400</t>
        </r>
      </text>
    </comment>
    <comment ref="G3" authorId="0" shapeId="0" xr:uid="{00000000-0006-0000-0100-000002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2023年10月17日付款 101585</t>
        </r>
      </text>
    </comment>
    <comment ref="G4" authorId="0" shapeId="0" xr:uid="{00000000-0006-0000-0100-000003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2024年2月4日付款 197320</t>
        </r>
      </text>
    </comment>
    <comment ref="G5" authorId="0" shapeId="0" xr:uid="{00000000-0006-0000-0100-000004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2023年1月5日付款 44815
2023年12月11日付款 150000</t>
        </r>
      </text>
    </comment>
    <comment ref="G6" authorId="0" shapeId="0" xr:uid="{00000000-0006-0000-0100-000005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2024年5月22日付款 100000
2024年11月18日付款 98845</t>
        </r>
      </text>
    </comment>
    <comment ref="G7" authorId="0" shapeId="0" xr:uid="{00000000-0006-0000-0100-000006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2023年1月5日付款 43000
2024年5月22日付款 100000</t>
        </r>
      </text>
    </comment>
    <comment ref="G8" authorId="0" shapeId="0" xr:uid="{00000000-0006-0000-0100-000007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2023.6.14日付款 65000</t>
        </r>
      </text>
    </comment>
    <comment ref="G9" authorId="0" shapeId="0" xr:uid="{00000000-0006-0000-0100-000008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2022年9月6日付款 30000
2023年9月1日付款 90000
2024年1月23日付款 47500</t>
        </r>
      </text>
    </comment>
    <comment ref="G10" authorId="0" shapeId="0" xr:uid="{00000000-0006-0000-0100-000009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2023年1月5日付款 65400</t>
        </r>
      </text>
    </comment>
    <comment ref="G11" authorId="0" shapeId="0" xr:uid="{00000000-0006-0000-0100-00000A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2023年1月5日付款  48740
2023年6月14日付款 130000
</t>
        </r>
      </text>
    </comment>
    <comment ref="G12" authorId="0" shapeId="0" xr:uid="{00000000-0006-0000-0100-00000B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2023年12月11日付款 199300</t>
        </r>
      </text>
    </comment>
    <comment ref="G13" authorId="0" shapeId="0" xr:uid="{00000000-0006-0000-0100-00000C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2023年1月5日付款 45800
2023年10月17日付款 110000</t>
        </r>
      </text>
    </comment>
    <comment ref="G14" authorId="0" shapeId="0" xr:uid="{00000000-0006-0000-0100-00000D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2023年12月11日付款 100000
2024年2月4日付款 94485</t>
        </r>
      </text>
    </comment>
    <comment ref="G15" authorId="0" shapeId="0" xr:uid="{00000000-0006-0000-0100-00000E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2023年9月1日付款 80000
2024年1月23日付款 77110</t>
        </r>
      </text>
    </comment>
    <comment ref="G16" authorId="0" shapeId="0" xr:uid="{00000000-0006-0000-0100-00000F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2022年9月10日付款 192420</t>
        </r>
      </text>
    </comment>
    <comment ref="G17" authorId="0" shapeId="0" xr:uid="{00000000-0006-0000-0100-000010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2023年6月14日付款 70200</t>
        </r>
      </text>
    </comment>
    <comment ref="G18" authorId="0" shapeId="0" xr:uid="{00000000-0006-0000-0100-000011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2023年12月11日付款 90000
2024年2月4日付款100000
</t>
        </r>
      </text>
    </comment>
    <comment ref="G21" authorId="0" shapeId="0" xr:uid="{00000000-0006-0000-0100-000012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2023年1月5日付款 2274180.05
2023年9月1日付款 2873720.05</t>
        </r>
      </text>
    </comment>
    <comment ref="G22" authorId="0" shapeId="0" xr:uid="{00000000-0006-0000-0100-000013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2024年9月13日付款 155900</t>
        </r>
      </text>
    </comment>
    <comment ref="G23" authorId="0" shapeId="0" xr:uid="{00000000-0006-0000-0100-000014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2021.6月7日 付款 50000
2024年2月5日付款 50000
2025年1月23日付款 50000</t>
        </r>
      </text>
    </comment>
    <comment ref="G25" authorId="0" shapeId="0" xr:uid="{00000000-0006-0000-0100-000015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2024年9月24日付款 83200</t>
        </r>
      </text>
    </comment>
    <comment ref="G26" authorId="0" shapeId="0" xr:uid="{00000000-0006-0000-0100-000016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2023年7月12日付款 100000
2025年1月26日付款 100000</t>
        </r>
      </text>
    </comment>
    <comment ref="G28" authorId="0" shapeId="0" xr:uid="{00000000-0006-0000-0100-000017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2023年9月1日付款 100000
</t>
        </r>
      </text>
    </comment>
    <comment ref="G30" authorId="0" shapeId="0" xr:uid="{00000000-0006-0000-0100-000018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2023.6月7日 付款50000
2023年9月1日付款 100000</t>
        </r>
      </text>
    </comment>
    <comment ref="G31" authorId="0" shapeId="0" xr:uid="{00000000-0006-0000-0100-000019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2023年1月5日付款 112888
2023年2月24日付款 112888
2023年6月7日付款 150000
2023年8月14日付款 188664</t>
        </r>
      </text>
    </comment>
    <comment ref="G32" authorId="0" shapeId="0" xr:uid="{00000000-0006-0000-0100-00001A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2022年12月9日付款 46534</t>
        </r>
      </text>
    </comment>
    <comment ref="G33" authorId="0" shapeId="0" xr:uid="{00000000-0006-0000-0100-00001B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2024年1月23日付款 46534</t>
        </r>
      </text>
    </comment>
    <comment ref="G34" authorId="0" shapeId="0" xr:uid="{00000000-0006-0000-0100-00001C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2023年9月15日付款 52666</t>
        </r>
      </text>
    </comment>
    <comment ref="G35" authorId="0" shapeId="0" xr:uid="{00000000-0006-0000-0100-00001D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2023年4月6日付款 144000
2023年9月1日付款 504000</t>
        </r>
      </text>
    </comment>
    <comment ref="G36" authorId="0" shapeId="0" xr:uid="{00000000-0006-0000-0100-00001E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2023年1月5日付款 57150
2023年9月1日付款 150000
2023年11月10日付款30000
2023年12月7日付款 80000
2024年2月4日付款 100000
2024年8月30日付款 100000</t>
        </r>
      </text>
    </comment>
    <comment ref="G37" authorId="0" shapeId="0" xr:uid="{00000000-0006-0000-0100-00001F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2023年9月19日付款 100000
2024年1月24日付款 150000</t>
        </r>
      </text>
    </comment>
    <comment ref="G40" authorId="0" shapeId="0" xr:uid="{00000000-0006-0000-0100-000020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2023年1月5日付款 43008
2023年9月1日付款 150000
2024年2月5日付款 100000
2025年1月23日付款 150000
2025年7月24日付款 20000</t>
        </r>
      </text>
    </comment>
    <comment ref="G44" authorId="0" shapeId="0" xr:uid="{00000000-0006-0000-0100-000021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2023.6月7日付款70000
2025年8月15日付款 150000
2025年11月14日付款 150000</t>
        </r>
      </text>
    </comment>
    <comment ref="B45" authorId="0" shapeId="0" xr:uid="{00000000-0006-0000-0100-000022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2021.8.1-2022.3.31
</t>
        </r>
      </text>
    </comment>
    <comment ref="G45" authorId="0" shapeId="0" xr:uid="{00000000-0006-0000-0100-000023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2023年1月5日付款 33440</t>
        </r>
      </text>
    </comment>
    <comment ref="G48" authorId="0" shapeId="0" xr:uid="{00000000-0006-0000-0100-000024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2025年11月14日付款 100000</t>
        </r>
      </text>
    </comment>
    <comment ref="G50" authorId="0" shapeId="0" xr:uid="{00000000-0006-0000-0100-000025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2023年9月22日付款 50000
2023年11月6日付款 150000
2024年2月6日付款 50000
2025年1月17日付款 180000
2025年12月23日付款 170000</t>
        </r>
      </text>
    </comment>
    <comment ref="G51" authorId="0" shapeId="0" xr:uid="{00000000-0006-0000-0100-000026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2023年9月19日付款 50000
2024年9月13日付款 150000
2025年1月24日付款 11167</t>
        </r>
      </text>
    </comment>
    <comment ref="G52" authorId="0" shapeId="0" xr:uid="{00000000-0006-0000-0100-000027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2024年1月30日付款 50000
2024年5月22日付款 50000
2024年9月13日付款 100000</t>
        </r>
      </text>
    </comment>
    <comment ref="G54" authorId="0" shapeId="0" xr:uid="{00000000-0006-0000-0100-000028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2023年9月19日付款 77700</t>
        </r>
      </text>
    </comment>
    <comment ref="G55" authorId="0" shapeId="0" xr:uid="{00000000-0006-0000-0100-000029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2023年6月7日付款 2120</t>
        </r>
      </text>
    </comment>
    <comment ref="G57" authorId="0" shapeId="0" xr:uid="{00000000-0006-0000-0100-00002A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2023年11月10日付款100000
2024年9月13日付款 89002
2025年1月26日付款150000
2025年7月24日付款 100000</t>
        </r>
      </text>
    </comment>
    <comment ref="G58" authorId="0" shapeId="0" xr:uid="{00000000-0006-0000-0100-00002B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2024年8月13日付款 100000
2025年12月11日付款 78004</t>
        </r>
      </text>
    </comment>
    <comment ref="G60" authorId="0" shapeId="0" xr:uid="{00000000-0006-0000-0100-00002C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2023年1月5日付款 33000</t>
        </r>
      </text>
    </comment>
    <comment ref="G61" authorId="0" shapeId="0" xr:uid="{00000000-0006-0000-0100-00002D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2023年9月1日付款 50000
2025年1月21日付款 150000
</t>
        </r>
      </text>
    </comment>
    <comment ref="G62" authorId="0" shapeId="0" xr:uid="{00000000-0006-0000-0100-00002E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2023年1月5日付款 47600
2025年6月17日付款 160000
2025年7月4日付款 120000</t>
        </r>
      </text>
    </comment>
    <comment ref="G63" authorId="0" shapeId="0" xr:uid="{00000000-0006-0000-0100-00002F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2022年7月25日付款 40000</t>
        </r>
      </text>
    </comment>
    <comment ref="G64" authorId="0" shapeId="0" xr:uid="{00000000-0006-0000-0100-000030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2023年9月1日付款 100000
2024年2月2日付款 95800</t>
        </r>
      </text>
    </comment>
    <comment ref="G65" authorId="0" shapeId="0" xr:uid="{00000000-0006-0000-0100-000031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2023年1月5日付款 71020</t>
        </r>
      </text>
    </comment>
    <comment ref="G66" authorId="0" shapeId="0" xr:uid="{00000000-0006-0000-0100-000032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2023年9月1日付款 65310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G2" authorId="0" shapeId="0" xr:uid="{00000000-0006-0000-0200-000001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2023年1月18日付款 92400
2023年3月17日付款 61600</t>
        </r>
      </text>
    </comment>
    <comment ref="G3" authorId="0" shapeId="0" xr:uid="{00000000-0006-0000-0200-000002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2023年1月18日付款 112200
2023年3月29日付款 74800</t>
        </r>
      </text>
    </comment>
    <comment ref="G4" authorId="0" shapeId="0" xr:uid="{00000000-0006-0000-0200-000003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2023年10月13日付款 118000</t>
        </r>
      </text>
    </comment>
    <comment ref="G5" authorId="0" shapeId="0" xr:uid="{00000000-0006-0000-0200-000004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2024年5月22日付款 100000
2024年10月14日付款 100000
2025年1月26日付款 180000
2025年7月24日付款 128000</t>
        </r>
      </text>
    </comment>
    <comment ref="G6" authorId="0" shapeId="0" xr:uid="{00000000-0006-0000-0200-000005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2025年1月21日付款 80000
</t>
        </r>
      </text>
    </comment>
    <comment ref="G7" authorId="0" shapeId="0" xr:uid="{00000000-0006-0000-0200-000006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2023年9月1日付款 180000
2025年11月9日付款 468000</t>
        </r>
      </text>
    </comment>
    <comment ref="G8" authorId="0" shapeId="0" xr:uid="{00000000-0006-0000-0200-000007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2023年9月1日付款 120000
2024年9月24日付款 100000
2025年11月日付款 50000</t>
        </r>
      </text>
    </comment>
    <comment ref="G9" authorId="0" shapeId="0" xr:uid="{00000000-0006-0000-0200-000008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2024年2月6日付款 50000
2024年9月13日付款 20500</t>
        </r>
      </text>
    </comment>
    <comment ref="G10" authorId="0" shapeId="0" xr:uid="{00000000-0006-0000-0200-000009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2023年7月12日付款 100000
2023年9月22日付款 20000
2024年5月22日付款 50000</t>
        </r>
      </text>
    </comment>
    <comment ref="G11" authorId="0" shapeId="0" xr:uid="{00000000-0006-0000-0200-00000A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2024年7月9日付款 100000
2024年9月24日付款 50000
2025年1月26日付款100000</t>
        </r>
      </text>
    </comment>
    <comment ref="G12" authorId="0" shapeId="0" xr:uid="{00000000-0006-0000-0200-00000B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2023年2月18日付款 11157</t>
        </r>
      </text>
    </comment>
    <comment ref="G13" authorId="0" shapeId="0" xr:uid="{00000000-0006-0000-0200-00000C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2024年9月13日付款 160000</t>
        </r>
      </text>
    </comment>
    <comment ref="G15" authorId="0" shapeId="0" xr:uid="{00000000-0006-0000-0200-00000D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2024年9月13日付款 90000
2024年12月17日付款 170000</t>
        </r>
      </text>
    </comment>
    <comment ref="G16" authorId="0" shapeId="0" xr:uid="{00000000-0006-0000-0200-00000E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2023年3月17日付款 195000
2023年6月15日付款 195000
2023年8月14日付款 150000
2023年9月1日付款 110000
</t>
        </r>
      </text>
    </comment>
    <comment ref="G21" authorId="0" shapeId="0" xr:uid="{00000000-0006-0000-0200-00000F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2025年1月24日付款 136700</t>
        </r>
      </text>
    </comment>
    <comment ref="G22" authorId="0" shapeId="0" xr:uid="{00000000-0006-0000-0200-000010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2024年2月6日付款 50000
</t>
        </r>
      </text>
    </comment>
    <comment ref="G23" authorId="0" shapeId="0" xr:uid="{00000000-0006-0000-0200-000011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2023年7月12日付款 176000
2025年1月26日付款 150000</t>
        </r>
      </text>
    </comment>
    <comment ref="G26" authorId="0" shapeId="0" xr:uid="{00000000-0006-0000-0200-000012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2023年9月1日付款36000</t>
        </r>
      </text>
    </comment>
    <comment ref="G28" authorId="0" shapeId="0" xr:uid="{00000000-0006-0000-0200-000013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2024年2月4日付款 135460</t>
        </r>
      </text>
    </comment>
    <comment ref="G29" authorId="0" shapeId="0" xr:uid="{00000000-0006-0000-0200-000014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2024年2月4日付款 170358</t>
        </r>
      </text>
    </comment>
    <comment ref="G32" authorId="0" shapeId="0" xr:uid="{00000000-0006-0000-0200-000015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2023年7月25日付款 15800</t>
        </r>
      </text>
    </comment>
    <comment ref="G33" authorId="0" shapeId="0" xr:uid="{00000000-0006-0000-0200-000016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2023年12月11日付款 29411
2025年1月23日付款 51467</t>
        </r>
      </text>
    </comment>
    <comment ref="G34" authorId="0" shapeId="0" xr:uid="{00000000-0006-0000-0200-000017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2023年9月1日付款 30000
2025年12月11日付款 165000</t>
        </r>
      </text>
    </comment>
    <comment ref="G35" authorId="0" shapeId="0" xr:uid="{00000000-0006-0000-0200-000018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2023年9月1日付款 5730</t>
        </r>
      </text>
    </comment>
    <comment ref="G36" authorId="0" shapeId="0" xr:uid="{00000000-0006-0000-0200-000019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2023年9月1日付款 20000
</t>
        </r>
      </text>
    </comment>
    <comment ref="G41" authorId="0" shapeId="0" xr:uid="{00000000-0006-0000-0200-00001A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2025年1月23日付款 100000
2025年7月24日付款 77000</t>
        </r>
      </text>
    </comment>
    <comment ref="G45" authorId="0" shapeId="0" xr:uid="{00000000-0006-0000-0200-00001B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2024年2月6日付款 100000
2024年6月18日付款 72000
2024年9月13日付款 50000
2025年1月23日付款 110000</t>
        </r>
      </text>
    </comment>
    <comment ref="G46" authorId="0" shapeId="0" xr:uid="{00000000-0006-0000-0200-00001C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2024年8月30日付款 50000</t>
        </r>
      </text>
    </comment>
    <comment ref="G47" authorId="0" shapeId="0" xr:uid="{00000000-0006-0000-0200-00001D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2025年1月21日付款 100000
2025年7月24日付款 100000
2025年11月14日付款 149842</t>
        </r>
      </text>
    </comment>
    <comment ref="G48" authorId="0" shapeId="0" xr:uid="{00000000-0006-0000-0200-00001E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2024年9月13日付款100000
2025年1月24日付款 50000
2025年1月26日付款 50000
2025年11月14日付款 100000</t>
        </r>
      </text>
    </comment>
    <comment ref="G50" authorId="0" shapeId="0" xr:uid="{00000000-0006-0000-0200-00001F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2025年1月26日付款 150000
2025年11月20日付款 700000</t>
        </r>
      </text>
    </comment>
    <comment ref="G52" authorId="0" shapeId="0" xr:uid="{00000000-0006-0000-0200-000020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2024年9月13日付款 150000
2025年10月23日付款  支票190902</t>
        </r>
      </text>
    </comment>
    <comment ref="G53" authorId="0" shapeId="0" xr:uid="{00000000-0006-0000-0200-000021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2023年9月1日付款 30000
2024年1月24日付款 40745</t>
        </r>
      </text>
    </comment>
    <comment ref="G54" authorId="0" shapeId="0" xr:uid="{00000000-0006-0000-0200-000022000000}">
      <text>
        <r>
          <rPr>
            <b/>
            <sz val="9"/>
            <rFont val="宋体"/>
            <charset val="134"/>
          </rPr>
          <t>Administrator:
2025年7月24日付款 100000</t>
        </r>
      </text>
    </comment>
    <comment ref="G55" authorId="0" shapeId="0" xr:uid="{00000000-0006-0000-0200-000023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2023年9月6日付款 798600
2024年6月18日付款 150000
2024年7月15日付款 150000
2024年12月17日付款 100000
2025年1月21日付款 50000
2025年7月24日付款 700000</t>
        </r>
      </text>
    </comment>
    <comment ref="G57" authorId="0" shapeId="0" xr:uid="{00000000-0006-0000-0200-000024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2024年1月24日电控小郭申请付款50000
2024年8月13日付款 45034</t>
        </r>
      </text>
    </comment>
    <comment ref="G60" authorId="0" shapeId="0" xr:uid="{00000000-0006-0000-0200-000025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2024年9月13日付款 100000
2024年10月23日付款 113368</t>
        </r>
      </text>
    </comment>
    <comment ref="G61" authorId="0" shapeId="0" xr:uid="{00000000-0006-0000-0200-000026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2024年2月6日付款 100000</t>
        </r>
      </text>
    </comment>
    <comment ref="G62" authorId="0" shapeId="0" xr:uid="{00000000-0006-0000-0200-000027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2024年2月2日付款 100000
2024年9月13日付款 195000
2025年1月24日付款 150000</t>
        </r>
      </text>
    </comment>
    <comment ref="G64" authorId="0" shapeId="0" xr:uid="{00000000-0006-0000-0200-000028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2024年2月5日付款 76000</t>
        </r>
      </text>
    </comment>
    <comment ref="G65" authorId="0" shapeId="0" xr:uid="{00000000-0006-0000-0200-000029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2024年9月13日付款 197000</t>
        </r>
      </text>
    </comment>
    <comment ref="G66" authorId="0" shapeId="0" xr:uid="{00000000-0006-0000-0200-00002A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2024年2月5日付款 92505</t>
        </r>
      </text>
    </comment>
    <comment ref="G67" authorId="0" shapeId="0" xr:uid="{00000000-0006-0000-0200-00002B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2024年2月5日付款 60462</t>
        </r>
      </text>
    </comment>
    <comment ref="G70" authorId="0" shapeId="0" xr:uid="{00000000-0006-0000-0200-00002C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2024年5月22日付款 52743</t>
        </r>
      </text>
    </comment>
    <comment ref="G72" authorId="0" shapeId="0" xr:uid="{00000000-0006-0000-0200-00002D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2024年2月1日付款 50000
2025年1月23日付款 55400</t>
        </r>
      </text>
    </comment>
    <comment ref="G73" authorId="0" shapeId="0" xr:uid="{00000000-0006-0000-0200-00002E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2024年7月9日付款 30000</t>
        </r>
      </text>
    </comment>
    <comment ref="G74" authorId="0" shapeId="0" xr:uid="{00000000-0006-0000-0200-00002F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2023年10月23日付款 78900</t>
        </r>
      </text>
    </comment>
    <comment ref="G75" authorId="0" shapeId="0" xr:uid="{00000000-0006-0000-0200-000030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2023年10月19日付款 26215</t>
        </r>
      </text>
    </comment>
    <comment ref="G76" authorId="0" shapeId="0" xr:uid="{00000000-0006-0000-0200-000031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2023年11月3日付款 13000</t>
        </r>
      </text>
    </comment>
    <comment ref="G77" authorId="0" shapeId="0" xr:uid="{00000000-0006-0000-0200-000032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2024年1月23日付款 2032193
2024年8月30日付款 2056350.68
2025年1月10日付款 1022135.92</t>
        </r>
      </text>
    </comment>
    <comment ref="G78" authorId="0" shapeId="0" xr:uid="{00000000-0006-0000-0200-000033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2024年1月23日付款 259200
2024年8月30日付款 259200
2025年1月10日付款 129600
</t>
        </r>
      </text>
    </comment>
    <comment ref="G79" authorId="0" shapeId="0" xr:uid="{00000000-0006-0000-0200-000034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2023年12月20日付款 807975
2024年11月18日付款 100000
2025年1月21日付款 100000
2025年1月26日付款 95000</t>
        </r>
      </text>
    </comment>
    <comment ref="G80" authorId="0" shapeId="0" xr:uid="{00000000-0006-0000-0200-000035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2024年1月30日付款 45000
2024年9月13日付款 45000</t>
        </r>
      </text>
    </comment>
    <comment ref="G81" authorId="0" shapeId="0" xr:uid="{00000000-0006-0000-0200-000036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2024年1月24日付款 30000</t>
        </r>
      </text>
    </comment>
    <comment ref="G82" authorId="0" shapeId="0" xr:uid="{00000000-0006-0000-0200-000037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2025年7月4日付款 40000
2025年8月14日付款 126370</t>
        </r>
      </text>
    </comment>
    <comment ref="G83" authorId="0" shapeId="0" xr:uid="{00000000-0006-0000-0200-000038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2024年1月23日付款 792300
2024年8月30日付款 798100
2025年1月10日付款 1095600</t>
        </r>
      </text>
    </comment>
    <comment ref="G84" authorId="0" shapeId="0" xr:uid="{00000000-0006-0000-0200-000039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2023年12月7日付款 77000</t>
        </r>
      </text>
    </comment>
    <comment ref="G85" authorId="0" shapeId="0" xr:uid="{00000000-0006-0000-0200-00003A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2023年12月7日付款 190010.7
2024年1月30日付款 100000
2024年2月6日付款 180000
2024年6月21日付款 173188.2
2024年7月15日付款 100000
2024年8月13日付款 100000
2025年1月26日付款 160000</t>
        </r>
      </text>
    </comment>
    <comment ref="G87" authorId="0" shapeId="0" xr:uid="{00000000-0006-0000-0200-00003B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2024年3月22日付款 32780.8
2024年5月17日付款 81619.2
2025年1月26日付款 43368</t>
        </r>
      </text>
    </comment>
    <comment ref="G88" authorId="0" shapeId="0" xr:uid="{00000000-0006-0000-0200-00003C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2023年11月10付款 192000
2024年7月5日付款 100000
2024年9月13日付款 188000</t>
        </r>
      </text>
    </comment>
    <comment ref="G89" authorId="0" shapeId="0" xr:uid="{00000000-0006-0000-0200-00003D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2024年3月15日付款 45000
2024年10月14日付款 30000
2025年1月21日付款 50000</t>
        </r>
      </text>
    </comment>
    <comment ref="G90" authorId="0" shapeId="0" xr:uid="{00000000-0006-0000-0200-00003E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2023年12月7日付款 117790.8
2024年1月23日付款 117790.8
2024年5月22日付款 117790.8
2024年6月18日付款 117790.8
2024年7月9日付款 117790.8</t>
        </r>
      </text>
    </comment>
    <comment ref="G91" authorId="0" shapeId="0" xr:uid="{00000000-0006-0000-0200-00003F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2024年2月6日付款 189945</t>
        </r>
      </text>
    </comment>
    <comment ref="G92" authorId="0" shapeId="0" xr:uid="{00000000-0006-0000-0200-000040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2024年2月4日付款 100000
2024年9月13日付款 150000
2025年1月23日付款 150000</t>
        </r>
      </text>
    </comment>
    <comment ref="G97" authorId="0" shapeId="0" xr:uid="{00000000-0006-0000-0200-000041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2024年4月26日付款 54480</t>
        </r>
      </text>
    </comment>
    <comment ref="G99" authorId="0" shapeId="0" xr:uid="{00000000-0006-0000-0200-000042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2024年9月13日付款 140000
2024年10月14日付款 42245.8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F3" authorId="0" shapeId="0" xr:uid="{00000000-0006-0000-0300-000001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2021年9月7日付款 25864</t>
        </r>
      </text>
    </comment>
    <comment ref="F4" authorId="0" shapeId="0" xr:uid="{00000000-0006-0000-0300-000002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2021年8月26日付款 47020</t>
        </r>
      </text>
    </comment>
    <comment ref="F5" authorId="0" shapeId="0" xr:uid="{00000000-0006-0000-0300-000003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2021年9月7日付款 46176</t>
        </r>
      </text>
    </comment>
    <comment ref="F6" authorId="0" shapeId="0" xr:uid="{00000000-0006-0000-0300-000004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2021年9月7日付款 45735
2022年1月17日付款 50000
2022年9月6日付款 50000</t>
        </r>
      </text>
    </comment>
    <comment ref="F7" authorId="0" shapeId="0" xr:uid="{00000000-0006-0000-0300-000005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2021年9月7日付款 41256
2022年1月17日付款 50000
2022年9月6日付款 40000</t>
        </r>
      </text>
    </comment>
    <comment ref="F8" authorId="0" shapeId="0" xr:uid="{00000000-0006-0000-0300-000006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2021年9月7日付款 46139
2022年1月20日付款 90000</t>
        </r>
      </text>
    </comment>
    <comment ref="F9" authorId="0" shapeId="0" xr:uid="{00000000-0006-0000-0300-000007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2021年9月7日付款46770
2022年1月17日付款 50000</t>
        </r>
      </text>
    </comment>
    <comment ref="F10" authorId="0" shapeId="0" xr:uid="{00000000-0006-0000-0300-000008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2021年9月7日付款 29070</t>
        </r>
      </text>
    </comment>
    <comment ref="F11" authorId="0" shapeId="0" xr:uid="{00000000-0006-0000-0300-000009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2021年9月7日付款 45066
2022年1月5日付款 45067</t>
        </r>
      </text>
    </comment>
    <comment ref="F12" authorId="0" shapeId="0" xr:uid="{00000000-0006-0000-0300-00000A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2021年9月7日付款 55095</t>
        </r>
      </text>
    </comment>
    <comment ref="F13" authorId="0" shapeId="0" xr:uid="{00000000-0006-0000-0300-00000B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2021年8月5日付款49346
2023年6月14日付款123000</t>
        </r>
      </text>
    </comment>
    <comment ref="F14" authorId="0" shapeId="0" xr:uid="{00000000-0006-0000-0300-00000C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2022年6月14日付款160232</t>
        </r>
      </text>
    </comment>
    <comment ref="F15" authorId="0" shapeId="0" xr:uid="{00000000-0006-0000-0300-00000D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2022年6月14日付款161004</t>
        </r>
      </text>
    </comment>
    <comment ref="F16" authorId="0" shapeId="0" xr:uid="{00000000-0006-0000-0300-00000E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2021年8月5日付款48994
2021年9月8日付款49000
2022年6月14日付款80000</t>
        </r>
      </text>
    </comment>
    <comment ref="F17" authorId="0" shapeId="0" xr:uid="{00000000-0006-0000-0300-00000F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2021年8月5日付款46149</t>
        </r>
      </text>
    </comment>
    <comment ref="F18" authorId="0" shapeId="0" xr:uid="{00000000-0006-0000-0300-000010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2021年8月19日付款45036
2021年8月31日付款35000
2022年5月10日付款35000</t>
        </r>
      </text>
    </comment>
    <comment ref="F19" authorId="0" shapeId="0" xr:uid="{00000000-0006-0000-0300-000011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2021年8月5日付款48972
2022年6月14日付款121000</t>
        </r>
      </text>
    </comment>
    <comment ref="F20" authorId="0" shapeId="0" xr:uid="{00000000-0006-0000-0300-000012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2021年8月11日付款48558
2021年9月8日付款45000</t>
        </r>
      </text>
    </comment>
    <comment ref="F21" authorId="0" shapeId="0" xr:uid="{00000000-0006-0000-0300-000013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2021年8月5日付款30676
2021年8月31日付款41579
</t>
        </r>
      </text>
    </comment>
    <comment ref="E22" authorId="0" shapeId="0" xr:uid="{00000000-0006-0000-0300-000014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2021年8月19日付款48000
2021年9月8日付款42729
2022年6月14日付款70000</t>
        </r>
      </text>
    </comment>
    <comment ref="F23" authorId="0" shapeId="0" xr:uid="{00000000-0006-0000-0300-000015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2021年8月11日付款46648</t>
        </r>
      </text>
    </comment>
    <comment ref="F24" authorId="0" shapeId="0" xr:uid="{00000000-0006-0000-0300-000016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2021年8月19日付款45177
2022年6月14日付款130000</t>
        </r>
      </text>
    </comment>
    <comment ref="F25" authorId="0" shapeId="0" xr:uid="{00000000-0006-0000-0300-000017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2022年6月14日付款108621</t>
        </r>
      </text>
    </comment>
    <comment ref="F26" authorId="0" shapeId="0" xr:uid="{00000000-0006-0000-0300-000018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2021年8月5日付款46496
2021年9月8日付款48491
2022年9月6日付款30000</t>
        </r>
      </text>
    </comment>
    <comment ref="F27" authorId="0" shapeId="0" xr:uid="{00000000-0006-0000-0300-000019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2021年8月5日付款42287
2021年9月8日付款48670
2023年1月5日付款50000</t>
        </r>
      </text>
    </comment>
    <comment ref="F28" authorId="0" shapeId="0" xr:uid="{00000000-0006-0000-0300-00001A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2022年6月14日付款140318</t>
        </r>
      </text>
    </comment>
    <comment ref="F29" authorId="0" shapeId="0" xr:uid="{00000000-0006-0000-0300-00001B000000}">
      <text>
        <r>
          <rPr>
            <b/>
            <sz val="9"/>
            <rFont val="宋体"/>
            <charset val="134"/>
          </rPr>
          <t>Administrato
2021年8月5日付款46119
2021年9月8日付款47614</t>
        </r>
        <r>
          <rPr>
            <sz val="9"/>
            <rFont val="宋体"/>
            <charset val="134"/>
          </rPr>
          <t xml:space="preserve">
2023年1月5日付款60000</t>
        </r>
      </text>
    </comment>
    <comment ref="F30" authorId="0" shapeId="0" xr:uid="{00000000-0006-0000-0300-00001C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2022年6月14日付款141768</t>
        </r>
      </text>
    </comment>
    <comment ref="F31" authorId="0" shapeId="0" xr:uid="{00000000-0006-0000-0300-00001D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2021年8月11日付款48800
2022年6月14日付款140000</t>
        </r>
      </text>
    </comment>
    <comment ref="F32" authorId="0" shapeId="0" xr:uid="{00000000-0006-0000-0300-00001E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2022年6月14日付款169831</t>
        </r>
      </text>
    </comment>
    <comment ref="F33" authorId="0" shapeId="0" xr:uid="{00000000-0006-0000-0300-00001F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2022年6月14日付款177941</t>
        </r>
      </text>
    </comment>
    <comment ref="F34" authorId="0" shapeId="0" xr:uid="{00000000-0006-0000-0300-000020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20221年7月30日付款45810
2021年9月8日付款46891
2021年10月15日付款60000</t>
        </r>
      </text>
    </comment>
    <comment ref="F35" authorId="0" shapeId="0" xr:uid="{00000000-0006-0000-0300-000021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2021年7月30日付款40154
2021年9月8日付款43694
2021年10月15日付款 50000</t>
        </r>
      </text>
    </comment>
    <comment ref="F36" authorId="0" shapeId="0" xr:uid="{00000000-0006-0000-0300-000022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2021年8月11日付款46749
2021年9月8日付款48000
2021年10月16日付款42000</t>
        </r>
      </text>
    </comment>
    <comment ref="F37" authorId="0" shapeId="0" xr:uid="{00000000-0006-0000-0300-000023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2021年7月30日付款46000
2021年9月8日付款46817
2021年12月23日付款100000</t>
        </r>
      </text>
    </comment>
    <comment ref="F38" authorId="0" shapeId="0" xr:uid="{00000000-0006-0000-0300-000024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2021年9月7日付款40458
2022年1月17日付款44771</t>
        </r>
      </text>
    </comment>
    <comment ref="F39" authorId="0" shapeId="0" xr:uid="{00000000-0006-0000-0300-000025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2021年9月7日 付款 45000
2021年10月15日付款 45000
2021年11月2日付款 59000
2021年11月29日付款 150000
2021年12月20日付款 150000
2022年1月5日付款 50000
2022年12月9日付款 50000
2021年7月30日付款 45000</t>
        </r>
      </text>
    </comment>
    <comment ref="F40" authorId="0" shapeId="0" xr:uid="{00000000-0006-0000-0300-000026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2021年8月5日付款49400
201奶奶9月8日付款45000
2021萘胺11月30日付款100000</t>
        </r>
      </text>
    </comment>
    <comment ref="F41" authorId="0" shapeId="0" xr:uid="{00000000-0006-0000-0300-000027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2021年8月5日付款 48856
2021奶奶9月8日付款 48000
2022年5月10日付款102000</t>
        </r>
      </text>
    </comment>
    <comment ref="F42" authorId="0" shapeId="0" xr:uid="{00000000-0006-0000-0300-000028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2021年9月7日付款47813</t>
        </r>
      </text>
    </comment>
    <comment ref="F44" authorId="0" shapeId="0" xr:uid="{00000000-0006-0000-0300-000029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2021年9月7日付款41849</t>
        </r>
      </text>
    </comment>
    <comment ref="F45" authorId="0" shapeId="0" xr:uid="{00000000-0006-0000-0300-00002A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2021年9月7日付款 47929</t>
        </r>
      </text>
    </comment>
    <comment ref="F46" authorId="0" shapeId="0" xr:uid="{00000000-0006-0000-0300-00002B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2021年9月7日付款 41372</t>
        </r>
      </text>
    </comment>
    <comment ref="F47" authorId="0" shapeId="0" xr:uid="{00000000-0006-0000-0300-00002C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2021年9月7日付款44210
2022年9月6日付款 44210</t>
        </r>
      </text>
    </comment>
    <comment ref="F48" authorId="0" shapeId="0" xr:uid="{00000000-0006-0000-0300-00002D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2021年8月11日付款 49800
2021年9月7日付款48200
2022年1月17日付款 100000</t>
        </r>
      </text>
    </comment>
    <comment ref="F49" authorId="0" shapeId="0" xr:uid="{00000000-0006-0000-0300-00002E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2021年8月11日付款 40000
</t>
        </r>
      </text>
    </comment>
    <comment ref="F50" authorId="0" shapeId="0" xr:uid="{00000000-0006-0000-0300-00002F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2021年8月11日付款 47800
2021年9月7日付款 40200
2021年11月2日付款90000</t>
        </r>
      </text>
    </comment>
    <comment ref="F51" authorId="0" shapeId="0" xr:uid="{00000000-0006-0000-0300-000030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2021年8月11日付款46940
2021年12月20日付款70000</t>
        </r>
      </text>
    </comment>
    <comment ref="F52" authorId="0" shapeId="0" xr:uid="{00000000-0006-0000-0300-000031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2021年8月11日付款 41211</t>
        </r>
      </text>
    </comment>
    <comment ref="F53" authorId="0" shapeId="0" xr:uid="{00000000-0006-0000-0300-000032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2021年8月11日付款 35800
2021年8月31日付款 35800</t>
        </r>
      </text>
    </comment>
    <comment ref="F54" authorId="0" shapeId="0" xr:uid="{00000000-0006-0000-0300-000033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2021年8月11日付款 46950
2021年8月31日付款 45000
2021年9月7日付款 45000</t>
        </r>
      </text>
    </comment>
    <comment ref="F55" authorId="0" shapeId="0" xr:uid="{00000000-0006-0000-0300-000034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2021年8月11日付款18020</t>
        </r>
      </text>
    </comment>
    <comment ref="F56" authorId="0" shapeId="0" xr:uid="{00000000-0006-0000-0300-000035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2021年8月11日付款 46080
2021年9月8日付款 45000
2022年6月14日付款 85000</t>
        </r>
      </text>
    </comment>
    <comment ref="F57" authorId="0" shapeId="0" xr:uid="{00000000-0006-0000-0300-000036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2021年8月11日付款 42316
2022年5月10日付款 65404</t>
        </r>
      </text>
    </comment>
    <comment ref="B58" authorId="0" shapeId="0" xr:uid="{00000000-0006-0000-0300-000037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2021.8.1-2022.3.31
</t>
        </r>
      </text>
    </comment>
    <comment ref="F58" authorId="0" shapeId="0" xr:uid="{00000000-0006-0000-0300-000038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2021年9月7日付款 45000
2021年10月15日付款 30000
2021年8月19日付款45500</t>
        </r>
      </text>
    </comment>
    <comment ref="F59" authorId="0" shapeId="0" xr:uid="{00000000-0006-0000-0300-000039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2021年8月11日付款 11969</t>
        </r>
      </text>
    </comment>
    <comment ref="F60" authorId="0" shapeId="0" xr:uid="{00000000-0006-0000-0300-00003A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2021年8月11日付款45310
2021年9月8日付款 48000
2022年1月5日付款92000</t>
        </r>
      </text>
    </comment>
    <comment ref="F61" authorId="0" shapeId="0" xr:uid="{00000000-0006-0000-0300-00003B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2021年8月11日付款49800
2021年9月7日付款 48200</t>
        </r>
      </text>
    </comment>
    <comment ref="F62" authorId="0" shapeId="0" xr:uid="{00000000-0006-0000-0300-00003C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2021年8月11日付款 49200
2021年9月8日付款 30000</t>
        </r>
      </text>
    </comment>
    <comment ref="F63" authorId="0" shapeId="0" xr:uid="{00000000-0006-0000-0300-00003D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2021年8月11日付款 44870
2021年9月8日付款 46000
2022年5月10日付款 94000</t>
        </r>
      </text>
    </comment>
    <comment ref="F64" authorId="0" shapeId="0" xr:uid="{00000000-0006-0000-0300-00003E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2021年8月11日付款 44850
2021年9月8日付款 45000
2021年9月8日付款 105000</t>
        </r>
      </text>
    </comment>
    <comment ref="F65" authorId="0" shapeId="0" xr:uid="{00000000-0006-0000-0300-00003F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2021年8月11日付款 45048
2021年9月8日付款 45112
2022年5月10日付款 60000</t>
        </r>
      </text>
    </comment>
    <comment ref="F66" authorId="0" shapeId="0" xr:uid="{00000000-0006-0000-0300-000040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2021年8月11日付款 48400
2021年9月8日付款 45000
2021年10月15日付款 65000</t>
        </r>
      </text>
    </comment>
    <comment ref="F67" authorId="0" shapeId="0" xr:uid="{00000000-0006-0000-0300-000041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2021年8月11日付款 49260
2021年9月8日付款 42000
2022年9月8日付款 38000
2023年1月5日付款 40000
</t>
        </r>
      </text>
    </comment>
    <comment ref="F68" authorId="0" shapeId="0" xr:uid="{00000000-0006-0000-0300-000042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2021年8月26日付款 36343</t>
        </r>
      </text>
    </comment>
    <comment ref="F69" authorId="0" shapeId="0" xr:uid="{00000000-0006-0000-0300-000043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2021年9月7日付款 57500
2021年10月15日付款 57500</t>
        </r>
      </text>
    </comment>
    <comment ref="F70" authorId="0" shapeId="0" xr:uid="{00000000-0006-0000-0300-000044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2021年8月19日付款 41535
2021年9月7日付款 150000</t>
        </r>
      </text>
    </comment>
    <comment ref="F71" authorId="0" shapeId="0" xr:uid="{00000000-0006-0000-0300-000045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2021年8月3日付款16160
2021年8月12日付款 20000</t>
        </r>
      </text>
    </comment>
    <comment ref="F72" authorId="0" shapeId="0" xr:uid="{00000000-0006-0000-0300-000046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2021年8月10日付款 44605
2021年9月7日付款 120000</t>
        </r>
      </text>
    </comment>
    <comment ref="F73" authorId="0" shapeId="0" xr:uid="{00000000-0006-0000-0300-000047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2021年8月19日付款37753
2021年9月7日付款81638</t>
        </r>
      </text>
    </comment>
    <comment ref="F74" authorId="0" shapeId="0" xr:uid="{00000000-0006-0000-0300-000048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2021年8月19日付款48400
2021年9月8日付款48000
2021年10月15日付款62000</t>
        </r>
      </text>
    </comment>
    <comment ref="F75" authorId="0" shapeId="0" xr:uid="{00000000-0006-0000-0300-000049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2022年5月10日付款 72000</t>
        </r>
      </text>
    </comment>
    <comment ref="F76" authorId="0" shapeId="0" xr:uid="{00000000-0006-0000-0300-00004A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2021年9月7日付款45837
2022年9月6日付款40000</t>
        </r>
      </text>
    </comment>
    <comment ref="F77" authorId="0" shapeId="0" xr:uid="{00000000-0006-0000-0300-00004B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2021年9月8日付款 42000</t>
        </r>
      </text>
    </comment>
    <comment ref="F78" authorId="0" shapeId="0" xr:uid="{00000000-0006-0000-0300-00004C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2021年9月8日付款 46730</t>
        </r>
      </text>
    </comment>
    <comment ref="F79" authorId="0" shapeId="0" xr:uid="{00000000-0006-0000-0300-00004D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2021年9月8日付款 42442</t>
        </r>
      </text>
    </comment>
    <comment ref="F80" authorId="0" shapeId="0" xr:uid="{00000000-0006-0000-0300-00004E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2021年9月8日付款 45494</t>
        </r>
      </text>
    </comment>
    <comment ref="F81" authorId="0" shapeId="0" xr:uid="{00000000-0006-0000-0300-00004F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2021年9月8日付款 49385
2022年9月6日付款30000</t>
        </r>
      </text>
    </comment>
    <comment ref="F82" authorId="0" shapeId="0" xr:uid="{00000000-0006-0000-0300-000050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2021年9月8日付款 43698
2022年9月6日付款 30000</t>
        </r>
      </text>
    </comment>
    <comment ref="F83" authorId="0" shapeId="0" xr:uid="{00000000-0006-0000-0300-000051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2021年9月8日付款 40135</t>
        </r>
      </text>
    </comment>
    <comment ref="F84" authorId="0" shapeId="0" xr:uid="{00000000-0006-0000-0300-000052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2021年9月8日付款 40703</t>
        </r>
      </text>
    </comment>
    <comment ref="F85" authorId="0" shapeId="0" xr:uid="{00000000-0006-0000-0300-000053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2021年8月19日付款 55154
2021年9月8日付款 40000
2021年10月15日付款 20000</t>
        </r>
      </text>
    </comment>
    <comment ref="B86" authorId="0" shapeId="0" xr:uid="{00000000-0006-0000-0300-000054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2021.8.1-2022.3.31
</t>
        </r>
      </text>
    </comment>
    <comment ref="F86" authorId="0" shapeId="0" xr:uid="{00000000-0006-0000-0300-000055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2021年8月25日付款 46748
2021年9月8日付款 74802</t>
        </r>
      </text>
    </comment>
    <comment ref="F87" authorId="0" shapeId="0" xr:uid="{00000000-0006-0000-0300-000056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2021奶奶9月8日付款 47500
2022年9月8日付款 50000
2023年1月5日付款 100000</t>
        </r>
      </text>
    </comment>
    <comment ref="F88" authorId="0" shapeId="0" xr:uid="{00000000-0006-0000-0300-000057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2021年8月31日付款 37515.6</t>
        </r>
      </text>
    </comment>
    <comment ref="F89" authorId="0" shapeId="0" xr:uid="{00000000-0006-0000-0300-000058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2021年9月8日付款48500
2022年1月17日付款 100000</t>
        </r>
      </text>
    </comment>
    <comment ref="F91" authorId="0" shapeId="0" xr:uid="{00000000-0006-0000-0300-000059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2021年8月24日付款 48460</t>
        </r>
      </text>
    </comment>
    <comment ref="F92" authorId="0" shapeId="0" xr:uid="{00000000-0006-0000-0300-00005A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2021年8月24日付款 48222</t>
        </r>
      </text>
    </comment>
    <comment ref="F93" authorId="0" shapeId="0" xr:uid="{00000000-0006-0000-0300-00005B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2021年9月8日付款 46816.8</t>
        </r>
      </text>
    </comment>
    <comment ref="F94" authorId="0" shapeId="0" xr:uid="{00000000-0006-0000-0300-00005C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2021年9月8日付款 49535.1</t>
        </r>
      </text>
    </comment>
    <comment ref="F95" authorId="0" shapeId="0" xr:uid="{00000000-0006-0000-0300-00005D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2021年9月8日付款 44170
2022年9月6日付款 44170</t>
        </r>
      </text>
    </comment>
    <comment ref="F96" authorId="0" shapeId="0" xr:uid="{00000000-0006-0000-0300-00005E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2021年9月8日付款 43714
2022年9月6日付款 30000</t>
        </r>
      </text>
    </comment>
    <comment ref="F97" authorId="0" shapeId="0" xr:uid="{00000000-0006-0000-0300-00005F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2021年12月23日付款 172840</t>
        </r>
      </text>
    </comment>
    <comment ref="F98" authorId="0" shapeId="0" xr:uid="{00000000-0006-0000-0300-000060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2021年9月26日付款 19910
2022年9月6日付款 16340</t>
        </r>
      </text>
    </comment>
    <comment ref="F99" authorId="0" shapeId="0" xr:uid="{00000000-0006-0000-0300-000061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2021年9月26日付款 5626
2021年10月15日付款4530</t>
        </r>
      </text>
    </comment>
    <comment ref="F100" authorId="0" shapeId="0" xr:uid="{00000000-0006-0000-0300-000062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2021年9月8日付款44070</t>
        </r>
      </text>
    </comment>
    <comment ref="F101" authorId="0" shapeId="0" xr:uid="{00000000-0006-0000-0300-000063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2021年9月8日付款 48980
2022年9月6日付款 35000</t>
        </r>
      </text>
    </comment>
    <comment ref="F102" authorId="0" shapeId="0" xr:uid="{00000000-0006-0000-0300-000064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2021年9月8日付款48200
2022年9月6日付款 50000
2023年1月5日付款 40000</t>
        </r>
      </text>
    </comment>
    <comment ref="F103" authorId="0" shapeId="0" xr:uid="{00000000-0006-0000-0300-000065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2021年9月26日付款 25409
2021年10月15日付款 24311</t>
        </r>
      </text>
    </comment>
    <comment ref="F104" authorId="0" shapeId="0" xr:uid="{00000000-0006-0000-0300-000066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2021年9月8日付款 42200</t>
        </r>
      </text>
    </comment>
    <comment ref="F105" authorId="0" shapeId="0" xr:uid="{00000000-0006-0000-0300-000067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2022年1月17日付款 60598
2022年9月6日付款 60599</t>
        </r>
      </text>
    </comment>
    <comment ref="F106" authorId="0" shapeId="0" xr:uid="{00000000-0006-0000-0300-000068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2021年9月10日付款 48000
2021年11月2日付款 54917</t>
        </r>
      </text>
    </comment>
    <comment ref="F107" authorId="0" shapeId="0" xr:uid="{00000000-0006-0000-0300-000069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2021年9月10日付款 49293
2022年9月6日付款 30000</t>
        </r>
      </text>
    </comment>
    <comment ref="F108" authorId="0" shapeId="0" xr:uid="{00000000-0006-0000-0300-00006A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2021年9月10日付款 46332</t>
        </r>
      </text>
    </comment>
    <comment ref="F109" authorId="0" shapeId="0" xr:uid="{00000000-0006-0000-0300-00006B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2021年9月10日付款 43700</t>
        </r>
      </text>
    </comment>
    <comment ref="F110" authorId="0" shapeId="0" xr:uid="{00000000-0006-0000-0300-00006C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2021年9月10日付款 46208
2021年11月5日付款 106617</t>
        </r>
      </text>
    </comment>
    <comment ref="F111" authorId="0" shapeId="0" xr:uid="{00000000-0006-0000-0300-00006D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2023年6月14日付款 47742</t>
        </r>
      </text>
    </comment>
    <comment ref="F114" authorId="0" shapeId="0" xr:uid="{00000000-0006-0000-0300-00006E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2023年1月5日付款 44112</t>
        </r>
      </text>
    </comment>
    <comment ref="F115" authorId="0" shapeId="0" xr:uid="{00000000-0006-0000-0300-00006F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2023年1月5日付款 44778</t>
        </r>
      </text>
    </comment>
    <comment ref="F117" authorId="0" shapeId="0" xr:uid="{00000000-0006-0000-0300-000070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2022年9月6日付款 30000</t>
        </r>
      </text>
    </comment>
    <comment ref="F118" authorId="0" shapeId="0" xr:uid="{00000000-0006-0000-0300-000071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2023年1月5日 付款 62021</t>
        </r>
      </text>
    </comment>
    <comment ref="F119" authorId="0" shapeId="0" xr:uid="{00000000-0006-0000-0300-000072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2023年6月14日付款 58059</t>
        </r>
      </text>
    </comment>
    <comment ref="F120" authorId="0" shapeId="0" xr:uid="{00000000-0006-0000-0300-000073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2021年11月1日付款 39120
2021年12月21日付款 39120</t>
        </r>
      </text>
    </comment>
    <comment ref="F121" authorId="0" shapeId="0" xr:uid="{00000000-0006-0000-0300-000074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2021年11月1日付款68040
2022年6月14日付款 45360</t>
        </r>
      </text>
    </comment>
    <comment ref="F122" authorId="0" shapeId="0" xr:uid="{00000000-0006-0000-0300-000075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2022年9月6日付款 32017</t>
        </r>
      </text>
    </comment>
    <comment ref="F123" authorId="0" shapeId="0" xr:uid="{00000000-0006-0000-0300-000076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2021年11月30日付款59853</t>
        </r>
      </text>
    </comment>
    <comment ref="F124" authorId="0" shapeId="0" xr:uid="{00000000-0006-0000-0300-000077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2021年10月15日付款23800</t>
        </r>
      </text>
    </comment>
    <comment ref="F125" authorId="0" shapeId="0" xr:uid="{00000000-0006-0000-0300-000078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2021年11月1日付款 86655
2022年1月17日付款 86655</t>
        </r>
      </text>
    </comment>
    <comment ref="F128" authorId="0" shapeId="0" xr:uid="{00000000-0006-0000-0300-000079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2023年1月5日付款 48270</t>
        </r>
      </text>
    </comment>
    <comment ref="F130" authorId="0" shapeId="0" xr:uid="{00000000-0006-0000-0300-00007A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2021年10月15日付款31376</t>
        </r>
      </text>
    </comment>
    <comment ref="F132" authorId="0" shapeId="0" xr:uid="{00000000-0006-0000-0300-00007B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2021年10月15日付款 59842
2021年12月20日付款 133650</t>
        </r>
      </text>
    </comment>
    <comment ref="F133" authorId="0" shapeId="0" xr:uid="{00000000-0006-0000-0300-00007C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2022年1月17日付款50000
2022年9月6日付款 40000
2023年1月5日付款 30000</t>
        </r>
      </text>
    </comment>
    <comment ref="F134" authorId="0" shapeId="0" xr:uid="{00000000-0006-0000-0300-00007D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2022年1月24日付款 59000
2022年9月6日付款 50000</t>
        </r>
      </text>
    </comment>
    <comment ref="F135" authorId="0" shapeId="0" xr:uid="{00000000-0006-0000-0300-00007E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2021年10月15日付款 88835
2022年9月6日付款 40000
2023年1月5日付款 48835</t>
        </r>
      </text>
    </comment>
    <comment ref="F137" authorId="0" shapeId="0" xr:uid="{00000000-0006-0000-0300-00007F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2021年10月15日付款 69743</t>
        </r>
      </text>
    </comment>
    <comment ref="F138" authorId="0" shapeId="0" xr:uid="{00000000-0006-0000-0300-000080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2022年1月24日付款 46000</t>
        </r>
      </text>
    </comment>
    <comment ref="F139" authorId="0" shapeId="0" xr:uid="{00000000-0006-0000-0300-000081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2021年1月24日付款 44000
2022年9月6日付款 42876</t>
        </r>
      </text>
    </comment>
    <comment ref="F141" authorId="0" shapeId="0" xr:uid="{00000000-0006-0000-0300-000082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2022年9月6日付款 32047</t>
        </r>
      </text>
    </comment>
    <comment ref="F142" authorId="0" shapeId="0" xr:uid="{00000000-0006-0000-0300-000083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2023年1月5日付款 37967</t>
        </r>
      </text>
    </comment>
    <comment ref="F144" authorId="0" shapeId="0" xr:uid="{00000000-0006-0000-0300-000084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2022年1月17日付款24000
2022年9月6日付款24007</t>
        </r>
      </text>
    </comment>
    <comment ref="F147" authorId="0" shapeId="0" xr:uid="{00000000-0006-0000-0300-000085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2021年11月1日付款10300
2021年12月21日付款10300
2022年1月5日付款 10300
2022年5月19日付款20600</t>
        </r>
      </text>
    </comment>
    <comment ref="F148" authorId="0" shapeId="0" xr:uid="{00000000-0006-0000-0300-000086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2022年12月8日付款20000
2023年1月5日付款48930</t>
        </r>
      </text>
    </comment>
    <comment ref="F149" authorId="0" shapeId="0" xr:uid="{00000000-0006-0000-0300-000087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2021年11月1日付款42500</t>
        </r>
      </text>
    </comment>
    <comment ref="F150" authorId="0" shapeId="0" xr:uid="{00000000-0006-0000-0300-000088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2021年11月2日付款 106506
2022年12月9日付款 3294</t>
        </r>
      </text>
    </comment>
    <comment ref="F151" authorId="0" shapeId="0" xr:uid="{00000000-0006-0000-0300-000089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2021年11月1日付款17000</t>
        </r>
      </text>
    </comment>
    <comment ref="F152" authorId="0" shapeId="0" xr:uid="{00000000-0006-0000-0300-00008A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2022年9月6日付款 30000</t>
        </r>
      </text>
    </comment>
    <comment ref="F153" authorId="0" shapeId="0" xr:uid="{00000000-0006-0000-0300-00008B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2022年1月17日付款40000</t>
        </r>
      </text>
    </comment>
    <comment ref="F155" authorId="0" shapeId="0" xr:uid="{00000000-0006-0000-0300-00008C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2021年11月2日付款159600</t>
        </r>
      </text>
    </comment>
    <comment ref="F156" authorId="0" shapeId="0" xr:uid="{00000000-0006-0000-0300-00008D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2022年8月9日付款55000</t>
        </r>
      </text>
    </comment>
    <comment ref="F157" authorId="0" shapeId="0" xr:uid="{00000000-0006-0000-0300-00008E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2022年1月24日付款82000
2022年9月6日付款32360</t>
        </r>
      </text>
    </comment>
    <comment ref="F158" authorId="0" shapeId="0" xr:uid="{00000000-0006-0000-0300-00008F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2022年9月6日付款50000</t>
        </r>
      </text>
    </comment>
    <comment ref="F159" authorId="0" shapeId="0" xr:uid="{00000000-0006-0000-0300-000090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2021年11月5日付款 34026
2021年11月22日付款 79394</t>
        </r>
      </text>
    </comment>
    <comment ref="F160" authorId="0" shapeId="0" xr:uid="{00000000-0006-0000-0300-000091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2022年1月17日付款27500</t>
        </r>
      </text>
    </comment>
    <comment ref="F161" authorId="0" shapeId="0" xr:uid="{00000000-0006-0000-0300-000092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2022年9月6日付款 23800</t>
        </r>
      </text>
    </comment>
    <comment ref="F163" authorId="0" shapeId="0" xr:uid="{00000000-0006-0000-0300-000093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2022年5月10日付款 67227.83</t>
        </r>
      </text>
    </comment>
    <comment ref="F164" authorId="0" shapeId="0" xr:uid="{00000000-0006-0000-0300-000094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2021年12月20日付款 41662
2022年9月6日付款 1288</t>
        </r>
      </text>
    </comment>
    <comment ref="F165" authorId="0" shapeId="0" xr:uid="{00000000-0006-0000-0300-000095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2021年11月30日付款153260
2022年9月6日付款 4740</t>
        </r>
      </text>
    </comment>
    <comment ref="F166" authorId="0" shapeId="0" xr:uid="{00000000-0006-0000-0300-000096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2022年9月6日付款50000
2022年12月9日付款 30000
2023年1月5日付款 49935</t>
        </r>
      </text>
    </comment>
    <comment ref="F167" authorId="0" shapeId="0" xr:uid="{00000000-0006-0000-0300-000097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2022年1月5日付款 34775</t>
        </r>
      </text>
    </comment>
    <comment ref="F168" authorId="0" shapeId="0" xr:uid="{00000000-0006-0000-0300-000098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2022年9月6日付款 41110.4</t>
        </r>
      </text>
    </comment>
    <comment ref="F170" authorId="0" shapeId="0" xr:uid="{00000000-0006-0000-0300-000099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2022年1月24日付款 95000
2022年9月6日付款 34368</t>
        </r>
      </text>
    </comment>
    <comment ref="F171" authorId="0" shapeId="0" xr:uid="{00000000-0006-0000-0300-00009A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2022年1月17日付款 162891
2022年12月9日付款 8573.7</t>
        </r>
      </text>
    </comment>
    <comment ref="F172" authorId="0" shapeId="0" xr:uid="{00000000-0006-0000-0300-00009B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2022年1月5日付款85000
2022年8月9日付款85000</t>
        </r>
      </text>
    </comment>
    <comment ref="F173" authorId="0" shapeId="0" xr:uid="{00000000-0006-0000-0300-00009C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2021年12月8日付款 2539528.18
2022年6月1日付款 2539528.17
2023年2月28日付款 96350.76</t>
        </r>
      </text>
    </comment>
    <comment ref="F174" authorId="0" shapeId="0" xr:uid="{00000000-0006-0000-0300-00009D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2021年11月30日付款 34026
2021你那12月20日付款 79394</t>
        </r>
      </text>
    </comment>
    <comment ref="F175" authorId="0" shapeId="0" xr:uid="{00000000-0006-0000-0300-00009E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2021年12月20日付款 72124</t>
        </r>
      </text>
    </comment>
    <comment ref="F176" authorId="0" shapeId="0" xr:uid="{00000000-0006-0000-0300-00009F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2021年12月20日付款89740</t>
        </r>
      </text>
    </comment>
    <comment ref="F177" authorId="0" shapeId="0" xr:uid="{00000000-0006-0000-0300-0000A0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2022年1月5日付款 56164</t>
        </r>
      </text>
    </comment>
    <comment ref="F178" authorId="0" shapeId="0" xr:uid="{00000000-0006-0000-0300-0000A1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2021年12月20日付款 62000</t>
        </r>
      </text>
    </comment>
    <comment ref="F179" authorId="0" shapeId="0" xr:uid="{00000000-0006-0000-0300-0000A2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2022年1月5日付款 38950</t>
        </r>
      </text>
    </comment>
    <comment ref="F180" authorId="0" shapeId="0" xr:uid="{00000000-0006-0000-0300-0000A3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2022年9月6日付款 20000</t>
        </r>
      </text>
    </comment>
    <comment ref="F181" authorId="0" shapeId="0" xr:uid="{00000000-0006-0000-0300-0000A4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2021年11月30日 付款 12200.32</t>
        </r>
      </text>
    </comment>
    <comment ref="F182" authorId="0" shapeId="0" xr:uid="{00000000-0006-0000-0300-0000A5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2021年11月30日付款 23155</t>
        </r>
      </text>
    </comment>
    <comment ref="F183" authorId="0" shapeId="0" xr:uid="{00000000-0006-0000-0300-0000A6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2022年1月5日付款 16800
2022年5月10日付款 25200</t>
        </r>
      </text>
    </comment>
    <comment ref="F186" authorId="0" shapeId="0" xr:uid="{00000000-0006-0000-0300-0000A7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2021年12月15日付款 64000</t>
        </r>
      </text>
    </comment>
    <comment ref="F187" authorId="0" shapeId="0" xr:uid="{00000000-0006-0000-0300-0000A8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2022年1月5日付款 34026
2022年2月17日付款 79394</t>
        </r>
      </text>
    </comment>
    <comment ref="F188" authorId="0" shapeId="0" xr:uid="{00000000-0006-0000-0300-0000A9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2022年5月10日付款 140000</t>
        </r>
      </text>
    </comment>
    <comment ref="F189" authorId="0" shapeId="0" xr:uid="{00000000-0006-0000-0300-0000AA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2022年5月10日付款64000</t>
        </r>
      </text>
    </comment>
    <comment ref="F190" authorId="0" shapeId="0" xr:uid="{00000000-0006-0000-0300-0000AB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2023年1月5日付款 52508</t>
        </r>
      </text>
    </comment>
    <comment ref="F192" authorId="0" shapeId="0" xr:uid="{00000000-0006-0000-0300-0000AC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2022年1月24日付款 50000</t>
        </r>
      </text>
    </comment>
    <comment ref="F193" authorId="0" shapeId="0" xr:uid="{00000000-0006-0000-0300-0000AD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2023年1月5日付款 55000</t>
        </r>
      </text>
    </comment>
    <comment ref="F195" authorId="0" shapeId="0" xr:uid="{00000000-0006-0000-0300-0000AE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2022年1月17日付款 164625
2023年1月5日付款 8665</t>
        </r>
      </text>
    </comment>
    <comment ref="F197" authorId="0" shapeId="0" xr:uid="{00000000-0006-0000-0300-0000AF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2022年9月6日付款 26700
2022年12月9日付款 30000</t>
        </r>
      </text>
    </comment>
    <comment ref="F198" authorId="0" shapeId="0" xr:uid="{00000000-0006-0000-0300-0000B0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2022年9月6日付款 30000
2022年12月9日付款 68900</t>
        </r>
      </text>
    </comment>
    <comment ref="F199" authorId="0" shapeId="0" xr:uid="{00000000-0006-0000-0300-0000B1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2022年1月17日付款 53200</t>
        </r>
      </text>
    </comment>
    <comment ref="F200" authorId="0" shapeId="0" xr:uid="{00000000-0006-0000-0300-0000B2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2022年1月24日付款 40000</t>
        </r>
      </text>
    </comment>
    <comment ref="F201" authorId="0" shapeId="0" xr:uid="{00000000-0006-0000-0300-0000B3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2022年1月20日付款 33800</t>
        </r>
      </text>
    </comment>
    <comment ref="F202" authorId="0" shapeId="0" xr:uid="{00000000-0006-0000-0300-0000B4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2022年5月10日付款 33800</t>
        </r>
      </text>
    </comment>
    <comment ref="F203" authorId="0" shapeId="0" xr:uid="{00000000-0006-0000-0300-0000B5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2022年1月20日付款33800</t>
        </r>
      </text>
    </comment>
    <comment ref="F205" authorId="0" shapeId="0" xr:uid="{00000000-0006-0000-0300-0000B6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2022年9月6日付款 30824</t>
        </r>
      </text>
    </comment>
    <comment ref="F206" authorId="0" shapeId="0" xr:uid="{00000000-0006-0000-0300-0000B7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2022年12月9日付款 40000</t>
        </r>
      </text>
    </comment>
    <comment ref="F207" authorId="0" shapeId="0" xr:uid="{00000000-0006-0000-0300-0000B8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2022年9月6日付款 31886</t>
        </r>
      </text>
    </comment>
    <comment ref="F208" authorId="0" shapeId="0" xr:uid="{00000000-0006-0000-0300-0000B9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2022年1月17日付款 119282
2022年12月9日付款 3690</t>
        </r>
      </text>
    </comment>
    <comment ref="F210" authorId="0" shapeId="0" xr:uid="{00000000-0006-0000-0300-0000BA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2023年1月5日付款 22400</t>
        </r>
      </text>
    </comment>
    <comment ref="F211" authorId="0" shapeId="0" xr:uid="{00000000-0006-0000-0300-0000BB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2022年1月5日付款 59840</t>
        </r>
      </text>
    </comment>
    <comment ref="F214" authorId="0" shapeId="0" xr:uid="{00000000-0006-0000-0300-0000BC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2022年5月10日付款 75700</t>
        </r>
      </text>
    </comment>
    <comment ref="F215" authorId="0" shapeId="0" xr:uid="{00000000-0006-0000-0300-0000BD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2022年5月10日付款 112800</t>
        </r>
      </text>
    </comment>
    <comment ref="F216" authorId="0" shapeId="0" xr:uid="{00000000-0006-0000-0300-0000BE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2023年1月5日付款 56000</t>
        </r>
      </text>
    </comment>
    <comment ref="F217" authorId="0" shapeId="0" xr:uid="{00000000-0006-0000-0300-0000BF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2023年1月5日付款 50000</t>
        </r>
      </text>
    </comment>
    <comment ref="F218" authorId="0" shapeId="0" xr:uid="{00000000-0006-0000-0300-0000C0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2022年12月9日付款 64000</t>
        </r>
      </text>
    </comment>
    <comment ref="F219" authorId="0" shapeId="0" xr:uid="{00000000-0006-0000-0300-0000C1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2022年1月18日付款 300000
2025年6月16日付款 150000</t>
        </r>
      </text>
    </comment>
    <comment ref="F220" authorId="0" shapeId="0" xr:uid="{00000000-0006-0000-0300-0000C2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2022年2月17日付款 34026
2022年3月17日付款 79394</t>
        </r>
      </text>
    </comment>
    <comment ref="F223" authorId="0" shapeId="0" xr:uid="{00000000-0006-0000-0300-0000C3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2022年3月17日付款 113420</t>
        </r>
      </text>
    </comment>
    <comment ref="F226" authorId="0" shapeId="0" xr:uid="{00000000-0006-0000-0300-0000C4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2022年5月10日付款 135200</t>
        </r>
      </text>
    </comment>
    <comment ref="F227" authorId="0" shapeId="0" xr:uid="{00000000-0006-0000-0300-0000C5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2022年9月6日付款 37600</t>
        </r>
      </text>
    </comment>
    <comment ref="F228" authorId="0" shapeId="0" xr:uid="{00000000-0006-0000-0300-0000C6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2023年1月5日付款 168000</t>
        </r>
      </text>
    </comment>
    <comment ref="F230" authorId="0" shapeId="0" xr:uid="{00000000-0006-0000-0300-0000C7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2022年5月10日付款 100800</t>
        </r>
      </text>
    </comment>
    <comment ref="F233" authorId="0" shapeId="0" xr:uid="{00000000-0006-0000-0300-0000C8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2022年9月6日付款40800
2022年12月9日付款 60000</t>
        </r>
      </text>
    </comment>
    <comment ref="F234" authorId="0" shapeId="0" xr:uid="{00000000-0006-0000-0300-0000C9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2022年1月5日付款 151200</t>
        </r>
      </text>
    </comment>
    <comment ref="F240" authorId="0" shapeId="0" xr:uid="{00000000-0006-0000-0300-0000CA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2022年2月28日付款 168000</t>
        </r>
      </text>
    </comment>
    <comment ref="F241" authorId="0" shapeId="0" xr:uid="{00000000-0006-0000-0300-0000CB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2022你啊2月28日付款 168000</t>
        </r>
      </text>
    </comment>
    <comment ref="F243" authorId="0" shapeId="0" xr:uid="{00000000-0006-0000-0300-0000CC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2022年12月9日付款 168600</t>
        </r>
      </text>
    </comment>
    <comment ref="F244" authorId="0" shapeId="0" xr:uid="{00000000-0006-0000-0300-0000CD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2022年12月9日付款 135200</t>
        </r>
      </text>
    </comment>
    <comment ref="F247" authorId="0" shapeId="0" xr:uid="{00000000-0006-0000-0300-0000CE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2022年9月6日付款 33735
2023年1月5日付款 30000</t>
        </r>
      </text>
    </comment>
    <comment ref="F250" authorId="0" shapeId="0" xr:uid="{00000000-0006-0000-0300-0000CF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2022年12月5日付款 56000</t>
        </r>
      </text>
    </comment>
    <comment ref="F255" authorId="0" shapeId="0" xr:uid="{00000000-0006-0000-0300-0000D0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2022年9月6日付款 50000</t>
        </r>
      </text>
    </comment>
    <comment ref="F256" authorId="0" shapeId="0" xr:uid="{00000000-0006-0000-0300-0000D1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2022年8月24日</t>
        </r>
      </text>
    </comment>
    <comment ref="F257" authorId="0" shapeId="0" xr:uid="{00000000-0006-0000-0300-0000D2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2021年12月7日付款 12500</t>
        </r>
      </text>
    </comment>
    <comment ref="F260" authorId="0" shapeId="0" xr:uid="{00000000-0006-0000-0300-0000D3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2023.6.14付款 100000</t>
        </r>
      </text>
    </comment>
    <comment ref="F263" authorId="0" shapeId="0" xr:uid="{00000000-0006-0000-0300-0000D4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2023年1月5日付款 44815</t>
        </r>
      </text>
    </comment>
    <comment ref="F265" authorId="0" shapeId="0" xr:uid="{00000000-0006-0000-0300-0000D5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2023年1月5日付款 43000</t>
        </r>
      </text>
    </comment>
    <comment ref="F266" authorId="0" shapeId="0" xr:uid="{00000000-0006-0000-0300-0000D6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2023.6.14日付款 65000</t>
        </r>
      </text>
    </comment>
    <comment ref="F267" authorId="0" shapeId="0" xr:uid="{00000000-0006-0000-0300-0000D7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2022年9月6日付款 30000</t>
        </r>
      </text>
    </comment>
    <comment ref="F268" authorId="0" shapeId="0" xr:uid="{00000000-0006-0000-0300-0000D8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2023年1月5日付款 65400</t>
        </r>
      </text>
    </comment>
    <comment ref="F269" authorId="0" shapeId="0" xr:uid="{00000000-0006-0000-0300-0000D9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2023年1月5日付款  48740
2023年6月14日付款 130000
</t>
        </r>
      </text>
    </comment>
    <comment ref="F271" authorId="0" shapeId="0" xr:uid="{00000000-0006-0000-0300-0000DA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2023年1月5日付款 45800</t>
        </r>
      </text>
    </comment>
    <comment ref="F274" authorId="0" shapeId="0" xr:uid="{00000000-0006-0000-0300-0000DB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2022年9月10日付款 192420</t>
        </r>
      </text>
    </comment>
    <comment ref="F275" authorId="0" shapeId="0" xr:uid="{00000000-0006-0000-0300-0000DC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2023年6月14日付款 70200</t>
        </r>
      </text>
    </comment>
    <comment ref="F279" authorId="0" shapeId="0" xr:uid="{00000000-0006-0000-0300-0000DD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2023年1月5日付款 2274180.05</t>
        </r>
      </text>
    </comment>
    <comment ref="F281" authorId="0" shapeId="0" xr:uid="{00000000-0006-0000-0300-0000DE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2021.6月7日 付款 50000</t>
        </r>
      </text>
    </comment>
    <comment ref="F283" authorId="0" shapeId="0" xr:uid="{00000000-0006-0000-0300-0000DF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2023年7月12日付款 100000</t>
        </r>
      </text>
    </comment>
    <comment ref="F287" authorId="0" shapeId="0" xr:uid="{00000000-0006-0000-0300-0000E0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2023.6月7日 付款50000</t>
        </r>
      </text>
    </comment>
    <comment ref="F288" authorId="0" shapeId="0" xr:uid="{00000000-0006-0000-0300-0000E1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2023年1月5日付款 112888
2023年2月24日付款 112888
2023年6月7日付款 150000
2023年8月14日付款 188664</t>
        </r>
      </text>
    </comment>
    <comment ref="F289" authorId="0" shapeId="0" xr:uid="{00000000-0006-0000-0300-0000E2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2022年12月9日付款 46534</t>
        </r>
      </text>
    </comment>
    <comment ref="F292" authorId="0" shapeId="0" xr:uid="{00000000-0006-0000-0300-0000E3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2023年4月6日付款 144000</t>
        </r>
      </text>
    </comment>
    <comment ref="F293" authorId="0" shapeId="0" xr:uid="{00000000-0006-0000-0300-0000E4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2023年1月5日付款 57150</t>
        </r>
      </text>
    </comment>
    <comment ref="F297" authorId="0" shapeId="0" xr:uid="{00000000-0006-0000-0300-0000E5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2023年1月5日付款 43008</t>
        </r>
      </text>
    </comment>
    <comment ref="F300" authorId="0" shapeId="0" xr:uid="{00000000-0006-0000-0300-0000E6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2023.6月7日付款70000</t>
        </r>
      </text>
    </comment>
    <comment ref="B301" authorId="0" shapeId="0" xr:uid="{00000000-0006-0000-0300-0000E7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2021.8.1-2022.3.31
</t>
        </r>
      </text>
    </comment>
    <comment ref="F301" authorId="0" shapeId="0" xr:uid="{00000000-0006-0000-0300-0000E8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2023年1月5日付款 33440</t>
        </r>
      </text>
    </comment>
    <comment ref="F311" authorId="0" shapeId="0" xr:uid="{00000000-0006-0000-0300-0000E9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2023年6月7日付款 2120</t>
        </r>
      </text>
    </comment>
    <comment ref="F316" authorId="0" shapeId="0" xr:uid="{00000000-0006-0000-0300-0000EA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2023年1月5日付款 33000</t>
        </r>
      </text>
    </comment>
    <comment ref="F318" authorId="0" shapeId="0" xr:uid="{00000000-0006-0000-0300-0000EB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2023年1月5日付款 47600</t>
        </r>
      </text>
    </comment>
    <comment ref="F319" authorId="0" shapeId="0" xr:uid="{00000000-0006-0000-0300-0000EC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2022年7月25日付款 40000</t>
        </r>
      </text>
    </comment>
    <comment ref="F321" authorId="0" shapeId="0" xr:uid="{00000000-0006-0000-0300-0000ED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2023年1月5日付款 71020</t>
        </r>
      </text>
    </comment>
    <comment ref="F325" authorId="0" shapeId="0" xr:uid="{00000000-0006-0000-0300-0000EE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2023年1月18日付款 92400
2023年3月17日付款 61600</t>
        </r>
      </text>
    </comment>
    <comment ref="F326" authorId="0" shapeId="0" xr:uid="{00000000-0006-0000-0300-0000EF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2023年1月18日付款 112200
2023年3月29日付款 74800</t>
        </r>
      </text>
    </comment>
    <comment ref="F333" authorId="0" shapeId="0" xr:uid="{00000000-0006-0000-0300-0000F0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2023年7月12日付款 100000</t>
        </r>
      </text>
    </comment>
    <comment ref="F335" authorId="0" shapeId="0" xr:uid="{00000000-0006-0000-0300-0000F1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2023年2月18日付款 11157</t>
        </r>
      </text>
    </comment>
    <comment ref="F339" authorId="0" shapeId="0" xr:uid="{00000000-0006-0000-0300-0000F2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2023年3月17日付款 195000
2023年6月15日付款 195000
2023年8月14日付款 150000</t>
        </r>
      </text>
    </comment>
    <comment ref="F346" authorId="0" shapeId="0" xr:uid="{00000000-0006-0000-0300-0000F3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2023年7月12日付款 176000</t>
        </r>
      </text>
    </comment>
    <comment ref="F355" authorId="0" shapeId="0" xr:uid="{00000000-0006-0000-0300-0000F4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2023年7月25日付款 15800</t>
        </r>
      </text>
    </comment>
  </commentList>
</comments>
</file>

<file path=xl/sharedStrings.xml><?xml version="1.0" encoding="utf-8"?>
<sst xmlns="http://schemas.openxmlformats.org/spreadsheetml/2006/main" count="2760" uniqueCount="1191">
  <si>
    <t>序号</t>
  </si>
  <si>
    <t>工程地点及内容</t>
  </si>
  <si>
    <t>单位名称</t>
  </si>
  <si>
    <t>签订日期</t>
  </si>
  <si>
    <t>合同额</t>
  </si>
  <si>
    <t>结算值</t>
  </si>
  <si>
    <t>已付款</t>
  </si>
  <si>
    <t>欠付款</t>
  </si>
  <si>
    <t>备注</t>
  </si>
  <si>
    <t>三东小区冬季抢修</t>
  </si>
  <si>
    <t>天津天铖力帆建筑工程有限公司</t>
  </si>
  <si>
    <t>2021.4.1</t>
  </si>
  <si>
    <t>齐</t>
  </si>
  <si>
    <t>和平村站内检修</t>
  </si>
  <si>
    <t>天津永强东成市政工程有限公司</t>
  </si>
  <si>
    <t>东城家园冬季检修</t>
  </si>
  <si>
    <t>冬季内网抢修</t>
  </si>
  <si>
    <t>禹王（北京）科技工程有限公司</t>
  </si>
  <si>
    <t>百合春天  九号站冬季抢修</t>
  </si>
  <si>
    <t>天津恒鼎建筑工程有限公司</t>
  </si>
  <si>
    <t>2020.9.9</t>
  </si>
  <si>
    <t>万新供热2020-2021冬季运行供热管网抢修</t>
  </si>
  <si>
    <t>河北省广平县建筑安装企业集团公司</t>
  </si>
  <si>
    <t>海河华馨冬季抢修</t>
  </si>
  <si>
    <t>天津市信恒建筑工程有限公司</t>
  </si>
  <si>
    <t>2020.10.20</t>
  </si>
  <si>
    <t>团结北里秋丽家园冬季抢修</t>
  </si>
  <si>
    <t>天津军星管业集团建设工程有限公司</t>
  </si>
  <si>
    <t>嘉华翠海朱庄子一村冬季抢修</t>
  </si>
  <si>
    <t>隽融建工（集团）有限公司</t>
  </si>
  <si>
    <t>6号站万新公寓冬季抢修</t>
  </si>
  <si>
    <t>天津市翔凯建筑安装工程有限公司</t>
  </si>
  <si>
    <t>2021年万新村1#2#3#换热站屋顶修缮工程</t>
  </si>
  <si>
    <t>天津大鼎市政工程有限公司</t>
  </si>
  <si>
    <t>2021.7.09</t>
  </si>
  <si>
    <t>2021年万新村7#8#9#换热站屋顶修缮工程</t>
  </si>
  <si>
    <t>2021年倚虹里1#-5#楼管道保温修缮工程</t>
  </si>
  <si>
    <t>2021年松风西里1#-6#楼管道保温修缮工程</t>
  </si>
  <si>
    <t>2021年一村换热站屋顶修缮工程</t>
  </si>
  <si>
    <t>2021年和平村锅炉房手动葫芦改造工程</t>
  </si>
  <si>
    <t>2021.7.14</t>
  </si>
  <si>
    <t>2021年倚虹中里1#-8#楼管道保温修缮工程</t>
  </si>
  <si>
    <t>2021年倚虹东里1#-5#楼管道保温修缮工程</t>
  </si>
  <si>
    <t>2021年万新村锅炉手动葫芦改造工程</t>
  </si>
  <si>
    <t>2021年松风东里1#-5#楼管道保温修缮工程</t>
  </si>
  <si>
    <t>2021年香兰家园换热站屋顶修缮工程</t>
  </si>
  <si>
    <t>2021年百合春天换热站屋顶修缮工程</t>
  </si>
  <si>
    <t>2021年沧浪西里1#2#3#入口截门更换工程</t>
  </si>
  <si>
    <t>中舰建筑工程（天津）有限公司</t>
  </si>
  <si>
    <t>2021年冠云中里18#-22#入口截门更换工程</t>
  </si>
  <si>
    <t>2021年环秀东里19#20#21#22#入口截门更换工程</t>
  </si>
  <si>
    <t>2021年环秀西里1#2#3#4#5#入口截门更换工程</t>
  </si>
  <si>
    <t>2021年曲溪东里1#2#3#4#5#入口截门更换工程</t>
  </si>
  <si>
    <t>2021年天泉东里3#4#入口截门更换工程</t>
  </si>
  <si>
    <t>2021年秀悦换热站变压器维修项目</t>
  </si>
  <si>
    <t>2021年天泉西里14#15#16#17#入口截门更换工程</t>
  </si>
  <si>
    <t>2021年远翠东里15#-23#入口截门更换工程</t>
  </si>
  <si>
    <t>2021年和平村供热站变压器维修项目</t>
  </si>
  <si>
    <t>2021年贵环换热站变压器维修项目</t>
  </si>
  <si>
    <t>找财务要了复印件</t>
  </si>
  <si>
    <t>2021年香兰嘉园换热站变压器维修项目</t>
  </si>
  <si>
    <t>2021华馨地热站变压器维修项目</t>
  </si>
  <si>
    <t>2021年东城家园及和平村夏季检修工程</t>
  </si>
  <si>
    <t>2021.7.22</t>
  </si>
  <si>
    <t>华腾招标代理咨询费/华腾供热站入围项目邀请招标</t>
  </si>
  <si>
    <t>天津津建工程造价咨询有限公司</t>
  </si>
  <si>
    <t>2021.7.02</t>
  </si>
  <si>
    <t>付款单据齐</t>
  </si>
  <si>
    <t>华腾供热有限责任公司各换热站变速器检测校准项目</t>
  </si>
  <si>
    <t>天津天星科技发展有限公司</t>
  </si>
  <si>
    <t xml:space="preserve"> </t>
  </si>
  <si>
    <t>华腾供热有限责任公司流量计维护保养项目</t>
  </si>
  <si>
    <t>华腾供热贵环站站内夏季零星检修工程</t>
  </si>
  <si>
    <t>2021.8.1</t>
  </si>
  <si>
    <t>华腾供热临月里夏季零星检修工程</t>
  </si>
  <si>
    <t>华腾供热昆仑里、昆华里、昆悦里夏季零星检修工程</t>
  </si>
  <si>
    <t>天津荣开建筑工程有限公司</t>
  </si>
  <si>
    <t>华腾供热晟悦、品香、润风、润景外网漏水检修工程</t>
  </si>
  <si>
    <t>2021年华馨片区夏季维修工程</t>
  </si>
  <si>
    <t>2021年海河片区夏季检修工程</t>
  </si>
  <si>
    <t>2021万新村供热站燃气热水锅炉本体保养</t>
  </si>
  <si>
    <t>天津市辰雨达机电设备销售有限公司</t>
  </si>
  <si>
    <t>2021.7.9</t>
  </si>
  <si>
    <t>2021和平村供热站燃气热水锅炉本体和燃烧器维修保养</t>
  </si>
  <si>
    <t>2021年万新村供热站下属换热站水泵维修</t>
  </si>
  <si>
    <t>天津市西青区万润机电设备维修中心</t>
  </si>
  <si>
    <t>2021.8.2</t>
  </si>
  <si>
    <t>华腾地热站7月份备品备件采购项目</t>
  </si>
  <si>
    <t>天津市东丽区重信瑞能暖通设备维修中心</t>
  </si>
  <si>
    <t>2021.7.19</t>
  </si>
  <si>
    <t>华腾供热站7月份备品备件采购</t>
  </si>
  <si>
    <t>2021和平村供热站燃气热水锅炉辅机软水器及除氧设备配件材料采购</t>
  </si>
  <si>
    <t>天津奥德宝机电设备有限公司</t>
  </si>
  <si>
    <t>2021年万新村供热站燃气热水锅炉辅机软水器及除氧设备配件材料采购</t>
  </si>
  <si>
    <t>2021年华腾供热站可燃气探头校准项目</t>
  </si>
  <si>
    <t>天津赛恩斯检测服务有限公司</t>
  </si>
  <si>
    <t>2021.7.21</t>
  </si>
  <si>
    <t>2021年品香苑地热站热泵机组维修保养项目</t>
  </si>
  <si>
    <t>2021.7.26</t>
  </si>
  <si>
    <t>2021年万新村供热站仪表拆除工程</t>
  </si>
  <si>
    <t>天津和亚建筑工程有限公司</t>
  </si>
  <si>
    <t>华腾供热造价咨询服务项目</t>
  </si>
  <si>
    <t>天勤工程咨询有限公司天津分公司</t>
  </si>
  <si>
    <t>2021年和平村供热站仪表拆除工程</t>
  </si>
  <si>
    <t>2021年秀悦园地热站热泵机组维修保养项目</t>
  </si>
  <si>
    <t>天津蒙兴建筑工程有限公司</t>
  </si>
  <si>
    <t>2021年万新村供热站锅炉燃烧器维保服务</t>
  </si>
  <si>
    <t>天津市北方建华机电设备有限公司</t>
  </si>
  <si>
    <t>2021年万新村锅炉房40吨燃气锅炉内部清垢喷防腐涂料保养</t>
  </si>
  <si>
    <t>天津市敬启建筑工程有限公司</t>
  </si>
  <si>
    <t>2021.7.27</t>
  </si>
  <si>
    <t>2021年海河新天地地热泵机组维修保养项目</t>
  </si>
  <si>
    <t>2021年东惠地热站热泵机组维修保养项目</t>
  </si>
  <si>
    <t>2021年华馨地热站热泵机组维修保养</t>
  </si>
  <si>
    <t>天津市众致建筑工程有限公司</t>
  </si>
  <si>
    <t>2021年万新村锅炉房80吨燃气锅炉内部清垢喷防腐涂料保养</t>
  </si>
  <si>
    <t>2021年东瑞地热站热泵机组维修保养</t>
  </si>
  <si>
    <t>2021.7.24</t>
  </si>
  <si>
    <t>华腾供热站可燃气体检测</t>
  </si>
  <si>
    <t>2021.7.29</t>
  </si>
  <si>
    <t>万新村供热站水泵保养</t>
  </si>
  <si>
    <t>天津市红桥区丰顺盈机电设备销售中心</t>
  </si>
  <si>
    <t>2021.7.30</t>
  </si>
  <si>
    <t>华腾供热公司消防物联网DN800管线设备采购</t>
  </si>
  <si>
    <t>中安昊天（北京）安全技术有限公司</t>
  </si>
  <si>
    <t>华腾供热智慧消防平台软件采购</t>
  </si>
  <si>
    <t>华腾供热公司DN600、DN700管线设备采购</t>
  </si>
  <si>
    <t>北京星联众合科技有限公司</t>
  </si>
  <si>
    <t>华腾供热公司消防物联网DN800管线设备安装工程</t>
  </si>
  <si>
    <t>和平村锅炉房燃气锅炉内部清垢喷防腐涂料保养</t>
  </si>
  <si>
    <t>华腾供热站氮氧化物转换器采购</t>
  </si>
  <si>
    <t>天津仁和嘉境科技有限公司</t>
  </si>
  <si>
    <t>2021.8.12</t>
  </si>
  <si>
    <t>万新村供热站7号站2021年夏季维修工程</t>
  </si>
  <si>
    <t>2021.7.15</t>
  </si>
  <si>
    <t>万新村供热站8号站2021年夏季维修</t>
  </si>
  <si>
    <t>万新村供热站9号站2021年夏季维修</t>
  </si>
  <si>
    <t>万新村供热站百合春天站2021年夏季维修</t>
  </si>
  <si>
    <t>中津鹏程（天津）建筑工程有限公司</t>
  </si>
  <si>
    <t>万新村供热站9号站楼道立管、盘管维修</t>
  </si>
  <si>
    <t>2021年朱庄子站检修工程</t>
  </si>
  <si>
    <t>2021.8.16</t>
  </si>
  <si>
    <t>2021年汉拿站检修工程</t>
  </si>
  <si>
    <t>2021年一村站检修工程</t>
  </si>
  <si>
    <t>2021年嘉华站检修工程</t>
  </si>
  <si>
    <t>2021.8.18</t>
  </si>
  <si>
    <t>2021华腾供热电磁阀维修保养项目</t>
  </si>
  <si>
    <t>2021.8.6</t>
  </si>
  <si>
    <t>2021年万新村供热站屋面维修工程</t>
  </si>
  <si>
    <t>2021年万新村锅炉房锅炉保养防腐涂料采购项目</t>
  </si>
  <si>
    <t>廊坊一萍锅炉保养工程有限公司</t>
  </si>
  <si>
    <t>2021.8.9</t>
  </si>
  <si>
    <t>2021年万新村供热截堵恢复材料采购</t>
  </si>
  <si>
    <t>2021.8.17</t>
  </si>
  <si>
    <t>2021万新村锅炉房锅炉防腐保养采购</t>
  </si>
  <si>
    <t>天津大展锅炉技术有限公司</t>
  </si>
  <si>
    <t>2021万新村换热站板式换热器清洗项目</t>
  </si>
  <si>
    <t>按55/平米</t>
  </si>
  <si>
    <t>2021万新村供热站下属369片区备品备件采购</t>
  </si>
  <si>
    <t>天津市晋之鑫五金经销部</t>
  </si>
  <si>
    <t>万新村供热站2021年7月份备品备件采购</t>
  </si>
  <si>
    <t>天津市津南区明悦五金经营部</t>
  </si>
  <si>
    <t>2021贵环站、3号站、百合站、9号站换热站等8月份备品备件采购</t>
  </si>
  <si>
    <t>天津市东丽区环昆达五金经营部</t>
  </si>
  <si>
    <t>2021年一村站、东城站、好美站换热站等8月份备品备件采购</t>
  </si>
  <si>
    <t>天津市东丽区华达龙阀门销售部</t>
  </si>
  <si>
    <t>2021年秋丽园北换热站离心泵采购</t>
  </si>
  <si>
    <t>天津市无双众鑫科技发展有限公司</t>
  </si>
  <si>
    <t>2021.8.13</t>
  </si>
  <si>
    <t>万新村三号管理站和海山北里片区2021夏季维修工程</t>
  </si>
  <si>
    <t>2021万新村供热站烟气在线监测CEMS系统维修服务</t>
  </si>
  <si>
    <t>2021.8.20</t>
  </si>
  <si>
    <t>2021华腾万新村东城片区更换球阀采购</t>
  </si>
  <si>
    <t>2021.9.4</t>
  </si>
  <si>
    <t>2021泰通公寓、百合春天更换阀门</t>
  </si>
  <si>
    <t>2021.9.1</t>
  </si>
  <si>
    <t>2021贵环小区、卫国道十六局、机扫队、海河新天地等换热站电气材料采购</t>
  </si>
  <si>
    <t>天津鼎邦电气有限公司</t>
  </si>
  <si>
    <t>2021东惠换热站电气采购</t>
  </si>
  <si>
    <t>2021东瑞换热站电气采购</t>
  </si>
  <si>
    <t>2021万新村四五六号站维修材料采购</t>
  </si>
  <si>
    <t>2021东康A站电磁流量计采购</t>
  </si>
  <si>
    <t>天津亚华仪科技有限公司</t>
  </si>
  <si>
    <t>2021年中山门、秋丽家园夏季检修</t>
  </si>
  <si>
    <t>2021华腾地热站维修材料采购</t>
  </si>
  <si>
    <t>天津市东丽区丰凯捷建材经营部</t>
  </si>
  <si>
    <t>2021.9.8</t>
  </si>
  <si>
    <t>2021泰通公寓检修工程</t>
  </si>
  <si>
    <t>2021海山及三号站检修工程</t>
  </si>
  <si>
    <t>东康B站超声波水表采购项目</t>
  </si>
  <si>
    <t>青岛海威茨仪表有限公司</t>
  </si>
  <si>
    <t>2021.9.3</t>
  </si>
  <si>
    <t>华腾供热物联网DN600、DN700管线设备安装工程</t>
  </si>
  <si>
    <t>正弘建业（天津）建设发展有限公司</t>
  </si>
  <si>
    <t>2021华腾朱庄子换热站房屋顶修缮工程</t>
  </si>
  <si>
    <t>天津大展建筑工程有限公司</t>
  </si>
  <si>
    <t>2021秋丽收费站屋顶修缮工程</t>
  </si>
  <si>
    <t>2021海山北里换热站房屋顶修缮工程</t>
  </si>
  <si>
    <t>2021华腾武警东院换热站屋顶修缮工程</t>
  </si>
  <si>
    <t>天津市昌青建筑工程有限公司</t>
  </si>
  <si>
    <t>2021.8.23</t>
  </si>
  <si>
    <t>2021华腾三石化换热站屋顶修缮工程</t>
  </si>
  <si>
    <t>2021华腾于明庄换热站屋顶修缮工程</t>
  </si>
  <si>
    <t>2021汇莲馨苑换热站屋顶修缮工程</t>
  </si>
  <si>
    <t>2021.8.29</t>
  </si>
  <si>
    <t>2021茗香苑换热站屋顶修缮工程</t>
  </si>
  <si>
    <t>2021秋丽北换热站屋顶修缮工程</t>
  </si>
  <si>
    <t>万新村供热站6套在线监测设备冬季运维服务</t>
  </si>
  <si>
    <t>万新村供热站6套在线检测设备夏季季运维服务</t>
  </si>
  <si>
    <t>2021华馨供热站屋顶改造工程</t>
  </si>
  <si>
    <t>天津盛起源建筑安装工程有限公司</t>
  </si>
  <si>
    <t>2021万新村供热站办公楼外延窗口维修工程</t>
  </si>
  <si>
    <t>万新换热站超声波热量表采购</t>
  </si>
  <si>
    <t>2021.11.8</t>
  </si>
  <si>
    <t>2021东瑞家园地热井气举洗井</t>
  </si>
  <si>
    <t>天津热建机电工程有限公司</t>
  </si>
  <si>
    <t>2021.9.10</t>
  </si>
  <si>
    <t>2021华腾供热800供热管线所属换热站软水箱液位检测远传系统设备材料采购</t>
  </si>
  <si>
    <t>天津市优硕科技有限公司</t>
  </si>
  <si>
    <t>2021.9.17</t>
  </si>
  <si>
    <t>2021东康B站自控系统设备材料采购</t>
  </si>
  <si>
    <t>2021东康A站自控系统设备材料采购</t>
  </si>
  <si>
    <t>2021华腾供热700供热管线所属换热站软水箱液位检测远传系统设备材料采购</t>
  </si>
  <si>
    <t>2021海河供热站、华馨供热站、嘉华供热站、中山门供热站、东康供热站等各站压力表校准</t>
  </si>
  <si>
    <t>2021.9.15</t>
  </si>
  <si>
    <t>2021华腾供热600供热管线所属换热站软水箱液位检测远传系统设备材料采购</t>
  </si>
  <si>
    <t>2021东城站、雅筑南站、雅筑北站、润冈家园站循环泵采购</t>
  </si>
  <si>
    <t>2021华腾供热站充电桩工程</t>
  </si>
  <si>
    <t>中基吉诚（天津）建筑安装集团有限公司</t>
  </si>
  <si>
    <t>2021年6号站内网及香兰家园夏季检修工程</t>
  </si>
  <si>
    <t>2021华腾供热站幼儿园地热井气举洗井项目</t>
  </si>
  <si>
    <t>2021东康站内及东康小区供热管网改造工程</t>
  </si>
  <si>
    <t>天津市融辉政达建筑工程有限公司</t>
  </si>
  <si>
    <t>2021华腾供热站九号站等换热站维修材料采购</t>
  </si>
  <si>
    <t>天津市盈瑞达机电设备有限公司</t>
  </si>
  <si>
    <t>2021年5号站外网夏季检修工程</t>
  </si>
  <si>
    <t>2021年4号站外网夏季检修工程</t>
  </si>
  <si>
    <t>天津英博建筑工程有限公司</t>
  </si>
  <si>
    <t>2021.9.18</t>
  </si>
  <si>
    <t>2021年6号站外网夏季检修工程</t>
  </si>
  <si>
    <t>2021润风家园、东城家园、和平村等设备材料采购</t>
  </si>
  <si>
    <t>2021.9.20</t>
  </si>
  <si>
    <t>2021秋丽南站、秋丽北站、雅筑南苑、雅筑北苑等电气设备采购</t>
  </si>
  <si>
    <t>2021嘉华站生活水拆除工程</t>
  </si>
  <si>
    <t>2021东康地热站设备改造安装</t>
  </si>
  <si>
    <t>2021.9.23</t>
  </si>
  <si>
    <t>2021好美收费站房屋顶修缮工程</t>
  </si>
  <si>
    <t>华腾6#站屋顶修缮工程</t>
  </si>
  <si>
    <t>和平村供热站在线监测设备运维服务</t>
  </si>
  <si>
    <t>天津市天一生态环境科技有限公司</t>
  </si>
  <si>
    <t>二村站、香邑国际、秋丽南、秋丽北站换热器配件采购</t>
  </si>
  <si>
    <t>2021.9.22</t>
  </si>
  <si>
    <t>盛东南换热站热量表采购</t>
  </si>
  <si>
    <t>2021.10.15</t>
  </si>
  <si>
    <t>海河站换热器配件采购</t>
  </si>
  <si>
    <t>华腾海河地热站计量表采购项目</t>
  </si>
  <si>
    <t>盛东北换热站热量表采购项目</t>
  </si>
  <si>
    <t>2021.10.18</t>
  </si>
  <si>
    <t>2021年华腾能源管理体系咨询服务</t>
  </si>
  <si>
    <t>天津艾菲克科技有限公司</t>
  </si>
  <si>
    <t>华腾热力工程设计服务项目</t>
  </si>
  <si>
    <t>天津昱丞高科工程设计有限公司</t>
  </si>
  <si>
    <t>最低3000每项</t>
  </si>
  <si>
    <t>华腾万新村供热站下属换热站水泵维修项目</t>
  </si>
  <si>
    <t>2021.10.9</t>
  </si>
  <si>
    <t>HD-12/13地热井智能网络化监测系统调试</t>
  </si>
  <si>
    <t>天津市地热资源开发有限公司</t>
  </si>
  <si>
    <t>盛东苑换热站离心泵采购</t>
  </si>
  <si>
    <t>华馨公寓、海河新天地等2口地热回灌井安装回灌过滤器项目</t>
  </si>
  <si>
    <t>2021.10.30</t>
  </si>
  <si>
    <t>11月份和平村、万新村供热站环境检测</t>
  </si>
  <si>
    <t>2021.11.1</t>
  </si>
  <si>
    <t>和平村供热站更换热量表采购</t>
  </si>
  <si>
    <t>零号换热站热量表采购项目</t>
  </si>
  <si>
    <t>华腾供热公司电控电器配件采购</t>
  </si>
  <si>
    <t>天津格润泰克科技有限公司</t>
  </si>
  <si>
    <t>2021.11.5</t>
  </si>
  <si>
    <t>中山门地热站、嘉华站、香兰嘉园、东康站、东瑞、东惠等11月份备品备件采购</t>
  </si>
  <si>
    <t>天津市重信瑞能科技发展有限公司</t>
  </si>
  <si>
    <t>2021.11.23</t>
  </si>
  <si>
    <t>盛东园一次网、十六局、机扫队水泵采购项目</t>
  </si>
  <si>
    <t>2021.11.11</t>
  </si>
  <si>
    <t>海河站换热器板片（钛板）采购</t>
  </si>
  <si>
    <t>华腾三号站、六号站、九号站11月份备品备件采购</t>
  </si>
  <si>
    <t>2021.11.2</t>
  </si>
  <si>
    <t>和平村供热站消防物联网设备采购</t>
  </si>
  <si>
    <t>2021.10.23</t>
  </si>
  <si>
    <t>万新村供热站热量表电池和密封圈垫采购</t>
  </si>
  <si>
    <t>天津东超建筑安装有限公司</t>
  </si>
  <si>
    <t>2021.11.16</t>
  </si>
  <si>
    <t>贵环站、秋丽、昆化里、好美等换热站11月份备品备件采购</t>
  </si>
  <si>
    <t>昆华里站、3号站、碟泉地热管理站等板式换热器清洗维修服务</t>
  </si>
  <si>
    <t>天津中诚华海电气安装有限公司</t>
  </si>
  <si>
    <t>20221.11.17</t>
  </si>
  <si>
    <t>贵环站、东城站、华腾供热第一机组板式换热器清洗</t>
  </si>
  <si>
    <t>天津永盛安建建筑装饰有限公司</t>
  </si>
  <si>
    <t>2021.11.15</t>
  </si>
  <si>
    <t>华腾水资源论证报告编制技术服务</t>
  </si>
  <si>
    <t>天津慧放工程技术服务有限公司</t>
  </si>
  <si>
    <t>2021.11.22</t>
  </si>
  <si>
    <t>华腾供热站冬季维护保驾</t>
  </si>
  <si>
    <t>天津市嘉华房地产开发有限责任公司</t>
  </si>
  <si>
    <t>原来数据是5245463.15后改为5245463.14</t>
  </si>
  <si>
    <t>12月份和平村、万新村供热站环境检测</t>
  </si>
  <si>
    <t>2021.11.24</t>
  </si>
  <si>
    <t>华腾供热公司海河地热站变压器抢修项目</t>
  </si>
  <si>
    <t>中吉凯德（天津）建筑安装工程有限公司</t>
  </si>
  <si>
    <t>2021.11.20</t>
  </si>
  <si>
    <t>华腾供热公司嘉华地热站变压器抢修项目</t>
  </si>
  <si>
    <t>天津荣泰市政工程有限公司</t>
  </si>
  <si>
    <t>2021.11.25</t>
  </si>
  <si>
    <t>品香苑地热站变压器设备抢修项目</t>
  </si>
  <si>
    <t>2021.11.28</t>
  </si>
  <si>
    <t>华腾供热公司DN700管线换热站流量计维修项目</t>
  </si>
  <si>
    <t>华腾供热公司DN800管线换热站流量计维修项目</t>
  </si>
  <si>
    <t>万新村供热站蝶阀采购</t>
  </si>
  <si>
    <t>卫斯特阀门（天津）有限公司</t>
  </si>
  <si>
    <t>万新村4、5、6号站户内暖气抢修维修项目</t>
  </si>
  <si>
    <t>万新村供热站6号站内板式换热器清洗应急抢修维修服务项目</t>
  </si>
  <si>
    <t>万新村供热站锅炉在线监测数据上传项目</t>
  </si>
  <si>
    <t>2021.11.26</t>
  </si>
  <si>
    <t>万新村供热站板换清洗应急维修</t>
  </si>
  <si>
    <t>11月万新村锅炉房冬季锅炉运行</t>
  </si>
  <si>
    <t>众投机电安装（天津）有限公司</t>
  </si>
  <si>
    <t>140000</t>
  </si>
  <si>
    <t>11和平村锅炉房冬季锅炉运行</t>
  </si>
  <si>
    <t>天津恒盛嘉业科技有限公司</t>
  </si>
  <si>
    <t>64000</t>
  </si>
  <si>
    <t>1月份和平村、万新村供热站环境检测</t>
  </si>
  <si>
    <t>2021.12.24</t>
  </si>
  <si>
    <t>12月万新村锅炉房冬季锅炉运行</t>
  </si>
  <si>
    <t>2021.12.1</t>
  </si>
  <si>
    <t>12和平村锅炉房冬季锅炉运行</t>
  </si>
  <si>
    <t>第三石化宿舍楼换热站自控系统设备材料采购项目</t>
  </si>
  <si>
    <t>天津市擎诚科技有限公司</t>
  </si>
  <si>
    <t>2021.12.6</t>
  </si>
  <si>
    <t>盛东家园换热站自控系统设备材料采购项目</t>
  </si>
  <si>
    <t>2021.12.10</t>
  </si>
  <si>
    <t>万新村锅炉房自控系统升级改造设备材料采购项目</t>
  </si>
  <si>
    <t>2021.12.13</t>
  </si>
  <si>
    <t>2021-2022年度华腾供热所属供热站及换热站自控系统技术服务项目</t>
  </si>
  <si>
    <t>2021.12.8</t>
  </si>
  <si>
    <t>华腾公司所属换热站自控系统改造设备材料采购项目</t>
  </si>
  <si>
    <t>华腾地热站电气材料采购项目</t>
  </si>
  <si>
    <t>天津市河东区盛鑫天成电气设备经营部</t>
  </si>
  <si>
    <t>华腾供热站电气材料采购项目</t>
  </si>
  <si>
    <t>万新村供热站除氧剂采购项目</t>
  </si>
  <si>
    <t>天津三水科技发展有限公司</t>
  </si>
  <si>
    <t>万新村供热站执行器及稳焰盘采购项目</t>
  </si>
  <si>
    <t>万新村供热站隔离器、仪表控制箱采购项目</t>
  </si>
  <si>
    <t>天津瑞秋澜然科技发展有限公司</t>
  </si>
  <si>
    <t>2021.12.15</t>
  </si>
  <si>
    <t>二次网供热工程设计项目</t>
  </si>
  <si>
    <t>东惠站缓蚀色精采购项目</t>
  </si>
  <si>
    <t>2021.12.7</t>
  </si>
  <si>
    <t>东瑞站缓蚀色精采购项目</t>
  </si>
  <si>
    <t>廊坊诺一锅炉保养有限公司</t>
  </si>
  <si>
    <t>中山门站缓蚀色精采购项目</t>
  </si>
  <si>
    <t>2021.12.9</t>
  </si>
  <si>
    <t>东康站、东惠站屏蔽泵、多级离心泵采购项目</t>
  </si>
  <si>
    <t xml:space="preserve">天津市重信瑞能科技发展有限公司  </t>
  </si>
  <si>
    <r>
      <rPr>
        <sz val="10"/>
        <rFont val="宋体"/>
        <charset val="134"/>
        <scheme val="minor"/>
      </rPr>
      <t>万新村供热站、和平村供热站</t>
    </r>
    <r>
      <rPr>
        <sz val="10.5"/>
        <rFont val="Times New Roman"/>
      </rPr>
      <t>12</t>
    </r>
    <r>
      <rPr>
        <sz val="10.5"/>
        <rFont val="宋体"/>
        <charset val="134"/>
      </rPr>
      <t>月份维修材料采购明细</t>
    </r>
  </si>
  <si>
    <t>天津普达瑞克机电工程有限公司</t>
  </si>
  <si>
    <r>
      <rPr>
        <sz val="10"/>
        <rFont val="宋体"/>
        <charset val="134"/>
        <scheme val="minor"/>
      </rPr>
      <t>华腾供热</t>
    </r>
    <r>
      <rPr>
        <sz val="10.5"/>
        <rFont val="Times New Roman"/>
      </rPr>
      <t>600</t>
    </r>
    <r>
      <rPr>
        <sz val="10.5"/>
        <rFont val="宋体"/>
        <charset val="134"/>
      </rPr>
      <t>、</t>
    </r>
    <r>
      <rPr>
        <sz val="10.5"/>
        <rFont val="Times New Roman"/>
      </rPr>
      <t>700</t>
    </r>
    <r>
      <rPr>
        <sz val="10.5"/>
        <rFont val="宋体"/>
        <charset val="134"/>
      </rPr>
      <t>、</t>
    </r>
    <r>
      <rPr>
        <sz val="10.5"/>
        <rFont val="Times New Roman"/>
      </rPr>
      <t>800</t>
    </r>
    <r>
      <rPr>
        <sz val="10.5"/>
        <rFont val="宋体"/>
        <charset val="134"/>
      </rPr>
      <t>线备品备件维修材料项目</t>
    </r>
  </si>
  <si>
    <r>
      <rPr>
        <sz val="10"/>
        <rFont val="宋体"/>
        <charset val="134"/>
        <scheme val="minor"/>
      </rPr>
      <t>华腾供热地热站</t>
    </r>
    <r>
      <rPr>
        <sz val="10.5"/>
        <rFont val="Times New Roman"/>
      </rPr>
      <t>12</t>
    </r>
    <r>
      <rPr>
        <sz val="10.5"/>
        <rFont val="宋体"/>
        <charset val="134"/>
      </rPr>
      <t>月份维修材料采购项目</t>
    </r>
  </si>
  <si>
    <t>华馨公寓屏蔽泵、卧式离心泵采购项目</t>
  </si>
  <si>
    <t>能耗在线监测设备巡检服务</t>
  </si>
  <si>
    <t>北京旭能电力设备有限公司</t>
  </si>
  <si>
    <t>在线监测设备氮氧化物季度比对项目</t>
  </si>
  <si>
    <t xml:space="preserve"> 天津瑞晟达科技有限公司</t>
  </si>
  <si>
    <t>万新村、和平村供热站板式换热器清洗应急抢修维修服务项目</t>
  </si>
  <si>
    <t xml:space="preserve"> 中舰建筑工程（天津）有限公司 </t>
  </si>
  <si>
    <t>2021.12.3</t>
  </si>
  <si>
    <t>万新村锅炉房超声波热量表采购</t>
  </si>
  <si>
    <t>2021.12.20</t>
  </si>
  <si>
    <t>2021.12.31</t>
  </si>
  <si>
    <t>海河、秀悦地热站热泵机组抢修项目</t>
  </si>
  <si>
    <t>2021.12.22</t>
  </si>
  <si>
    <t>东瑞、东康地热站热泵机组抢修项目</t>
  </si>
  <si>
    <t>万新村供热站6套在线监测设备验收项目</t>
  </si>
  <si>
    <t>1月份万新村锅炉房冬季锅炉运行</t>
  </si>
  <si>
    <t>2022.1.1</t>
  </si>
  <si>
    <t>1月份和平村锅炉房冬季锅炉运行</t>
  </si>
  <si>
    <t>华腾供热公司配套设施维修项目</t>
  </si>
  <si>
    <t>天津市义海房地产经营有限公司</t>
  </si>
  <si>
    <t>2月份和平村、万新村供热站环境检测</t>
  </si>
  <si>
    <t>2月份万新村锅炉房冬季锅炉运行</t>
  </si>
  <si>
    <t>2022.2.1</t>
  </si>
  <si>
    <t>2月份和平村锅炉房冬季锅炉运行</t>
  </si>
  <si>
    <t>3月份和平村、万新村供热站环境检测</t>
  </si>
  <si>
    <t>2022.2.26</t>
  </si>
  <si>
    <t>3月份万新村锅炉房冬季锅炉运行</t>
  </si>
  <si>
    <t>2022.3.1</t>
  </si>
  <si>
    <t>3月份和平村锅炉房冬季锅炉运行</t>
  </si>
  <si>
    <t>海河站、华馨站、嘉华站、香兰站购缓蚀色精</t>
  </si>
  <si>
    <t>2022.2.28</t>
  </si>
  <si>
    <t>嘉华站、香兰站购缓蚀色精</t>
  </si>
  <si>
    <t>万新村锅炉房购缓蚀阻垢剂</t>
  </si>
  <si>
    <t>2022.3.20</t>
  </si>
  <si>
    <t>一村站、汉拿站购臭味剂</t>
  </si>
  <si>
    <t>2022.1.30</t>
  </si>
  <si>
    <t>东城站、贵环站购臭味剂</t>
  </si>
  <si>
    <t>万新村供热站购工业盐</t>
  </si>
  <si>
    <t>九号站、六号站购臭味剂</t>
  </si>
  <si>
    <t>2022.1.4</t>
  </si>
  <si>
    <t>三号站、六号站、九号站购臭味剂</t>
  </si>
  <si>
    <t>万新村供热站购缓蚀阻垢剂</t>
  </si>
  <si>
    <t>2022.1.5</t>
  </si>
  <si>
    <t>2022.1.13</t>
  </si>
  <si>
    <t>2022.1.28</t>
  </si>
  <si>
    <t>秀悦站、品香站购臭味剂</t>
  </si>
  <si>
    <t>2022.1.29</t>
  </si>
  <si>
    <t>2022.1.31</t>
  </si>
  <si>
    <t>2022.2.10</t>
  </si>
  <si>
    <t>2022.2.16</t>
  </si>
  <si>
    <t>2022.2.27</t>
  </si>
  <si>
    <t>中山门站、嘉华站、华馨站、东瑞站、东惠站购臭味剂等</t>
  </si>
  <si>
    <t>2022.3.6</t>
  </si>
  <si>
    <t>嘉华站、品香站、秀悦站、香兰站购缓蚀色精</t>
  </si>
  <si>
    <t>2022.3.8</t>
  </si>
  <si>
    <t>三号站、六号站、九号站、万新村供热站购工业盐等</t>
  </si>
  <si>
    <t>2022.3.9</t>
  </si>
  <si>
    <t>东惠站、东瑞站、中山门站、海河站、华馨购缓蚀色精</t>
  </si>
  <si>
    <t>2022.2.25</t>
  </si>
  <si>
    <t>万新村供热站在线监测UPS电源</t>
  </si>
  <si>
    <t>和平村供热站在线监测设备验收项目</t>
  </si>
  <si>
    <t>新博园购螺杆，换热器板垫片</t>
  </si>
  <si>
    <t>2022.1.20</t>
  </si>
  <si>
    <t>移至2022年合同</t>
  </si>
  <si>
    <t>和27号合同合并</t>
  </si>
  <si>
    <t>2021-2022嘉华站冬季碎修</t>
  </si>
  <si>
    <t>2021.10.27</t>
  </si>
  <si>
    <t>华馨、海河站冬季碎修</t>
  </si>
  <si>
    <t>东康、东惠、东瑞家园冬季碎修</t>
  </si>
  <si>
    <t>2021-2022年中山门地热站冬季冬季碎修</t>
  </si>
  <si>
    <t>天津广兴达建筑工程有限公司</t>
  </si>
  <si>
    <t>香兰嘉园站冬季碎修</t>
  </si>
  <si>
    <t>天津市福圣鑫装饰工程有限公司</t>
  </si>
  <si>
    <t>地热站热泵机组设备抢修</t>
  </si>
  <si>
    <t>品香苑、秀悦园地热运行碎修</t>
  </si>
  <si>
    <t>天津市广平富祥建筑工程有限公司</t>
  </si>
  <si>
    <t>2021.10.29</t>
  </si>
  <si>
    <t>供热改造项目咨询服务协议</t>
  </si>
  <si>
    <t>天津清捷能源环境科技有限公司</t>
  </si>
  <si>
    <t>造价咨询</t>
  </si>
  <si>
    <t>天津宸颍工程咨询有限公司</t>
  </si>
  <si>
    <t>华腾供热站换热站变速器检测维修项目</t>
  </si>
  <si>
    <t>2022.6.18</t>
  </si>
  <si>
    <t>万新村1-7、9号换热站、万新公寓换热站、舒畅欣园换热站等板式换热器清洗维修</t>
  </si>
  <si>
    <t>东瑞地热站热泵机组维修保养项目</t>
  </si>
  <si>
    <t>2022.6.13</t>
  </si>
  <si>
    <t>东惠地热站热泵机组维修保养项目</t>
  </si>
  <si>
    <t>华腾供热站流量计维护保养项目</t>
  </si>
  <si>
    <t>2022.7.1</t>
  </si>
  <si>
    <t>华腾供热站各换热站电磁阀维修保养项目</t>
  </si>
  <si>
    <t>2022.6.24</t>
  </si>
  <si>
    <t>万新村站（六号站、昆仑里、临月里、警苑、三石化）热量表维修</t>
  </si>
  <si>
    <t>天津久弘建筑工程有限公司</t>
  </si>
  <si>
    <t>华腾供热水泵维修</t>
  </si>
  <si>
    <t>天津市北辰区大力机械设备维修中心</t>
  </si>
  <si>
    <t>华腾供热水泵采购</t>
  </si>
  <si>
    <t>品香苑地热站热泵机组维修保养</t>
  </si>
  <si>
    <t>2022.7.8</t>
  </si>
  <si>
    <t>秀悦园地热站热泵机组维修保养</t>
  </si>
  <si>
    <t>华馨地热站热泵机组维修</t>
  </si>
  <si>
    <t>中建贺庆（天津）建设有限公司</t>
  </si>
  <si>
    <t>海河新天地地热站热泵机组维修</t>
  </si>
  <si>
    <t>无合同</t>
  </si>
  <si>
    <t>华腾供热站水泵维修</t>
  </si>
  <si>
    <t>2022.7.28</t>
  </si>
  <si>
    <t>华腾供热给水工程</t>
  </si>
  <si>
    <t>天津市华源自来水工程有限公司</t>
  </si>
  <si>
    <t>2022.9.13</t>
  </si>
  <si>
    <t>和平村锅炉房燃气锅炉内部清垢喷防腐涂料维修保养</t>
  </si>
  <si>
    <t>万新村村锅炉房燃气锅炉内部清垢喷防腐涂料维修保养</t>
  </si>
  <si>
    <t>天津云泽建筑工程有限公司</t>
  </si>
  <si>
    <t>2022.9.14</t>
  </si>
  <si>
    <t xml:space="preserve">华腾供热站锅炉间改造自控系统 </t>
  </si>
  <si>
    <t>2022.6.30</t>
  </si>
  <si>
    <t xml:space="preserve">华腾供热站趸热换热间改造自控系统 </t>
  </si>
  <si>
    <t>2022.9.15</t>
  </si>
  <si>
    <t xml:space="preserve">194800 </t>
  </si>
  <si>
    <t>2022-2023华腾供热冬季保驾</t>
  </si>
  <si>
    <t>天津市津东创展城市发展有限公司</t>
  </si>
  <si>
    <t>更换东康2台45kw屏蔽泵，四台季景排污泵及配套电箱</t>
  </si>
  <si>
    <t>品香、香兰地热站提井施工</t>
  </si>
  <si>
    <t>天津海河新能源集团有限公司</t>
  </si>
  <si>
    <t>2022.10.20</t>
  </si>
  <si>
    <t>取消</t>
  </si>
  <si>
    <t>和平村供热站彩色触摸屏采购</t>
  </si>
  <si>
    <t>天津市华腾供热有限责任公司在线监测运维工作</t>
  </si>
  <si>
    <t>2022.10.22</t>
  </si>
  <si>
    <t>华腾供热造价咨询合同</t>
  </si>
  <si>
    <t>2022.3.29</t>
  </si>
  <si>
    <t>无明细</t>
  </si>
  <si>
    <t>万新村锅炉房司炉工人员安排工作</t>
  </si>
  <si>
    <t>2022.10.19</t>
  </si>
  <si>
    <t>和平村锅炉房司炉工人员安排工作</t>
  </si>
  <si>
    <t>万新村供热站、和平村供热站设备安全、正常运行服务协议</t>
  </si>
  <si>
    <t>河北工大科雅能源科技股份有限公司</t>
  </si>
  <si>
    <t>2022.11.25</t>
  </si>
  <si>
    <t>华腾、和平村供热站废气检测</t>
  </si>
  <si>
    <t>天津纳宝产品检测有限公司</t>
  </si>
  <si>
    <t>华腾供热海河地热站、华馨地热站、嘉华地热站、中山门地热站、东康地热站压力表安全阀校准</t>
  </si>
  <si>
    <t>盛东北园锁闭阀更换</t>
  </si>
  <si>
    <t>天津鑫隆建筑工程有限公司</t>
  </si>
  <si>
    <t>负责品香苑、秀悦园、香兰、中山门、嘉华、东瑞、东惠、华馨、海河地热站维护值守和调试工作</t>
  </si>
  <si>
    <t>2022.10.24</t>
  </si>
  <si>
    <t>华腾供热站趸售改造工程——防爆电动调节阀采购项目</t>
  </si>
  <si>
    <t>天津凯世通阀门制造有限公司</t>
  </si>
  <si>
    <t>华腾供热站趸售改造工程——板式换热器采购项目</t>
  </si>
  <si>
    <t>天津开发区大新工程技术有限公司</t>
  </si>
  <si>
    <t>作废</t>
  </si>
  <si>
    <t>乙方说合同作废</t>
  </si>
  <si>
    <t>华腾潜水泵维修及洗井项目</t>
  </si>
  <si>
    <t>天津天泰轩泓地热科技发展有限公司</t>
  </si>
  <si>
    <t>2022.5.18</t>
  </si>
  <si>
    <t>2022年华腾公司自控设备材料</t>
  </si>
  <si>
    <t>2022.5.10</t>
  </si>
  <si>
    <t>和18号合同重复</t>
  </si>
  <si>
    <t>2022年夏季检修（嘉华站、一村站、翠海站、明珠站）</t>
  </si>
  <si>
    <t>嘉悦园、万新村0号泵站购变频器</t>
  </si>
  <si>
    <t>智慧改造华馨供热站电气控制柜</t>
  </si>
  <si>
    <t>华腾供热站趸售改造电气控制柜</t>
  </si>
  <si>
    <t>2022年停热期百合春天站检修工程</t>
  </si>
  <si>
    <t>2022.4.6</t>
  </si>
  <si>
    <t>2022年停热期万新村9号站检修工程</t>
  </si>
  <si>
    <t>2022.4.9</t>
  </si>
  <si>
    <t>2022年华腾供热停热期检修（贵环、昆仑里、秋丽）</t>
  </si>
  <si>
    <t>2022.4.12</t>
  </si>
  <si>
    <t>万新村供热站换热器检修</t>
  </si>
  <si>
    <t>2022.10.25</t>
  </si>
  <si>
    <t>2022年停热期检修（盛东北园、程林北里）</t>
  </si>
  <si>
    <t>2022.6.29</t>
  </si>
  <si>
    <t>香邑国际换热器及板片采购</t>
  </si>
  <si>
    <t>2022.12.10</t>
  </si>
  <si>
    <t>购补水泵</t>
  </si>
  <si>
    <t>华腾供热站压力表检测</t>
  </si>
  <si>
    <t>华馨地热站改造工程—热力管道工程</t>
  </si>
  <si>
    <t>2022.6.14</t>
  </si>
  <si>
    <t>2022年停热期东康站AB站及小区检修</t>
  </si>
  <si>
    <t>2022.6.16</t>
  </si>
  <si>
    <t>2022年热期华馨站、海河站检修</t>
  </si>
  <si>
    <t>2022年华腾供热品香园、秀悦园变频器更换项目</t>
  </si>
  <si>
    <t>2022.12.12</t>
  </si>
  <si>
    <t>华腾供热站管道测漏费</t>
  </si>
  <si>
    <t>久跃管道工程（天津）有限公司</t>
  </si>
  <si>
    <t>东康站、华馨站、嘉华站水泵、换热器及配件采购</t>
  </si>
  <si>
    <t>2022.11.30</t>
  </si>
  <si>
    <t>2022年停热期检修（中山门地热站、舒畅嘉园）</t>
  </si>
  <si>
    <t>2022.4.25</t>
  </si>
  <si>
    <t>秀悦园水泵修理机组、电缆</t>
  </si>
  <si>
    <t>天津甘泉集团有限公司</t>
  </si>
  <si>
    <t>品香苑修理机组、电缆</t>
  </si>
  <si>
    <t>香兰家园修理机组，泵管</t>
  </si>
  <si>
    <t>华腾供热2022-2023年锅炉节能防腐保养</t>
  </si>
  <si>
    <t>万新村、和平村在线监测设备维护</t>
  </si>
  <si>
    <t>2023.1.17</t>
  </si>
  <si>
    <t>万新村供热站、和平村供热站锅炉保养</t>
  </si>
  <si>
    <t>东康家园抢修</t>
  </si>
  <si>
    <t>天津天泰宏凯泵业制造有限公司</t>
  </si>
  <si>
    <t>2023.2.1</t>
  </si>
  <si>
    <t>2022年华腾供热冬季备品备件维修材料采购</t>
  </si>
  <si>
    <t>2023.1.5</t>
  </si>
  <si>
    <t>万新村、和平村供热站采购</t>
  </si>
  <si>
    <t>2023.2.11</t>
  </si>
  <si>
    <t>开票时：将维修费和采购费用分开开票</t>
  </si>
  <si>
    <t>华腾供热趸热购板片</t>
  </si>
  <si>
    <t>天津市津能双鹤热力设备有限公司</t>
  </si>
  <si>
    <t>2023.1.30</t>
  </si>
  <si>
    <t>华腾锅炉房升级改造项目</t>
  </si>
  <si>
    <t>2023.4.24</t>
  </si>
  <si>
    <t>海河供热站自来水及一次管网改造工程</t>
  </si>
  <si>
    <t>2023.2.16</t>
  </si>
  <si>
    <t>华腾地热测绘服务</t>
  </si>
  <si>
    <t>天津恒德建设工程技术有限公司</t>
  </si>
  <si>
    <t>2023.2.21</t>
  </si>
  <si>
    <t>华腾供热在线监测设备数采仪更换及在线设备分析仪维修</t>
  </si>
  <si>
    <t>和平村供热站管道漏水检测</t>
  </si>
  <si>
    <t>2023.2.10</t>
  </si>
  <si>
    <t>购臭味剂、工业盐（第一批）</t>
  </si>
  <si>
    <t>2023.1.9</t>
  </si>
  <si>
    <t>缓蚀阻垢剂（第一批)</t>
  </si>
  <si>
    <t>购缓蚀色精、缓蚀阻垢剂（第一批)</t>
  </si>
  <si>
    <t>万新村供热系统评价及供热系统运行策略指导</t>
  </si>
  <si>
    <t>2023.2.28</t>
  </si>
  <si>
    <t>缓蚀阻垢剂（第二批)</t>
  </si>
  <si>
    <t>购臭味剂、缓蚀色精（第二批）</t>
  </si>
  <si>
    <t>板换清洗镀膜保养施工</t>
  </si>
  <si>
    <t>购板式换热器、胶垫</t>
  </si>
  <si>
    <t>2023.2.27</t>
  </si>
  <si>
    <t>板式换热器维修</t>
  </si>
  <si>
    <t>华腾供热公司趸热隔压换热站改造工程</t>
  </si>
  <si>
    <t>天津市政工程设计研究总院有限公司</t>
  </si>
  <si>
    <t>2023.2.13</t>
  </si>
  <si>
    <t>购缓蚀阻垢剂（第三批）</t>
  </si>
  <si>
    <t>2023.3.6</t>
  </si>
  <si>
    <t>购臭味剂</t>
  </si>
  <si>
    <t>2023.3.3</t>
  </si>
  <si>
    <t>购臭味剂、工业盐（第二批）</t>
  </si>
  <si>
    <t>华腾供热管道检测</t>
  </si>
  <si>
    <t>购缓蚀色精（第三批）</t>
  </si>
  <si>
    <t>2023.3.1</t>
  </si>
  <si>
    <t>万新村供热站板换清洗抢修</t>
  </si>
  <si>
    <t>2023.1.18</t>
  </si>
  <si>
    <t>华腾供热地热供热站清洗抢修</t>
  </si>
  <si>
    <t>华腾供热四号站换热器更换项目</t>
  </si>
  <si>
    <t>2023.3.13</t>
  </si>
  <si>
    <t>2023年1月份维修材料采购</t>
  </si>
  <si>
    <t>2023.4.3</t>
  </si>
  <si>
    <t>香邑国际18号楼门前、远洋食堂外人行便道给定范围内物探</t>
  </si>
  <si>
    <t>天津海滨工程勘察设计有限公司</t>
  </si>
  <si>
    <t>2023年造价咨询合同框架协议</t>
  </si>
  <si>
    <t>框架协议</t>
  </si>
  <si>
    <t>华腾供热站内燃气管道维护</t>
  </si>
  <si>
    <t>程然（天津）建设集团有限公司</t>
  </si>
  <si>
    <t>2023.4.19</t>
  </si>
  <si>
    <t>华腾供热4号站蝶式止回阀采购项目</t>
  </si>
  <si>
    <t>天津市塘沽塘阀阀门有限公司</t>
  </si>
  <si>
    <t>2023.3.22</t>
  </si>
  <si>
    <t>孵化园咨询服务</t>
  </si>
  <si>
    <t>2023.4.20</t>
  </si>
  <si>
    <t>2023年度华腾供热招标代理服务</t>
  </si>
  <si>
    <t>天津市泛亚工程咨询有限公司</t>
  </si>
  <si>
    <t>2023.4.7</t>
  </si>
  <si>
    <t>天津宸颖工程咨询有限公司</t>
  </si>
  <si>
    <t>天津津运工程咨询有限公司</t>
  </si>
  <si>
    <t>中大国信工程管理有限公司</t>
  </si>
  <si>
    <t>2023.5.25</t>
  </si>
  <si>
    <t>2023.2.18</t>
  </si>
  <si>
    <t xml:space="preserve">建设工程监理框架合同 </t>
  </si>
  <si>
    <t>天津海通工程管理有限公司</t>
  </si>
  <si>
    <t>2023.5.7</t>
  </si>
  <si>
    <t>建设工程招标代理框架协议</t>
  </si>
  <si>
    <t>2023.4.28</t>
  </si>
  <si>
    <t>华腾供热2023年锅炉喷涂防腐保养、水侧疏通</t>
  </si>
  <si>
    <t>2023.7.28</t>
  </si>
  <si>
    <t>管道漏水监测施工</t>
  </si>
  <si>
    <t>百合春天、9号站2023年夏季维修</t>
  </si>
  <si>
    <t>造价金额*0.94</t>
  </si>
  <si>
    <t>海河新天地、华馨地热站、东康地热站等2023年夏季维修</t>
  </si>
  <si>
    <t>造价金额*0.92</t>
  </si>
  <si>
    <t>华腾供热六号站、香兰家园等供热站2023年夏季维修</t>
  </si>
  <si>
    <t>慧通力达集团有限公司</t>
  </si>
  <si>
    <t>一村、明珠、嘉华新苑地热站等2023年夏季维修</t>
  </si>
  <si>
    <t>三号站、万新公寓、海山站2023年夏季维修</t>
  </si>
  <si>
    <t>债权转让给河南磊升建筑工程有限公司河东分公司</t>
  </si>
  <si>
    <t>贵环站、昆仑里站、秋丽站等供热站2023年夏季维修</t>
  </si>
  <si>
    <t>东城供热站2023年夏季维修</t>
  </si>
  <si>
    <t>2023年应急检查维护维修</t>
  </si>
  <si>
    <t>天津诚泓建筑工程有限公司</t>
  </si>
  <si>
    <t>2023.7.26</t>
  </si>
  <si>
    <t>万新村供热站锅炉系统维护及有关设备维护保养</t>
  </si>
  <si>
    <t>2023.7.18</t>
  </si>
  <si>
    <t>万新村二级泵及十六局箱式换热站设备采购</t>
  </si>
  <si>
    <t>上海凯泉泵业（集团）有限公司</t>
  </si>
  <si>
    <t>2023.8.16</t>
  </si>
  <si>
    <t>换热站改造项目及新建项目设计服务</t>
  </si>
  <si>
    <t>中科瑞城设计有限公司</t>
  </si>
  <si>
    <t>无明细（见71号合同）</t>
  </si>
  <si>
    <t>2023年华腾供热碎修工程（第一批）</t>
  </si>
  <si>
    <t>天津源融市政工程有限公司</t>
  </si>
  <si>
    <t>2023.8.20</t>
  </si>
  <si>
    <t>万新村锅炉房改造方案设计</t>
  </si>
  <si>
    <t>中国市政工程华北设计研究总院有限公司</t>
  </si>
  <si>
    <t>2023.8.25</t>
  </si>
  <si>
    <t>万新村供热站消防改造工程</t>
  </si>
  <si>
    <t>天津利安信合科技发展有限公司</t>
  </si>
  <si>
    <t>2023.10.28</t>
  </si>
  <si>
    <t>万新村供热站下属2号站拆分工程—室外管网工程</t>
  </si>
  <si>
    <t>天津市祥宜建筑安装有限公司</t>
  </si>
  <si>
    <t>2023.8.30</t>
  </si>
  <si>
    <t>2023年华腾供热地热潜水泵维修项目</t>
  </si>
  <si>
    <t>2023.9.30</t>
  </si>
  <si>
    <t>华腾供热万新村1-9号站二网循环泵采购及服务项目</t>
  </si>
  <si>
    <t>2023.9.7</t>
  </si>
  <si>
    <t>2023年盛东北园、程林北里夏季检修项目</t>
  </si>
  <si>
    <t>2023.9.24</t>
  </si>
  <si>
    <t>秀悦站耐高温潜水电泵</t>
  </si>
  <si>
    <t>2023.9.8</t>
  </si>
  <si>
    <t>华腾供热品香、香兰地热井潜水泵项目</t>
  </si>
  <si>
    <t>2023年华腾供热贵环小区、汇海南里、汇海北里二级泵采购项目</t>
  </si>
  <si>
    <t>2023.9.16</t>
  </si>
  <si>
    <t>2023年万新村下属换热站备用二级泵采购项目</t>
  </si>
  <si>
    <t>万新村供热站下属聚醚部厂区院内供暖泵站设施迁移改造项目-电气工程</t>
  </si>
  <si>
    <t>2023.9.13</t>
  </si>
  <si>
    <t>华腾供热万新村1-9号站二网循环泵配套变频柜采购及服务项目</t>
  </si>
  <si>
    <t>2023年华腾供热VPN网络监控安装及其他网络维修</t>
  </si>
  <si>
    <t>中国联合网络通信有限公司天津市分公司</t>
  </si>
  <si>
    <t>2023.9.12</t>
  </si>
  <si>
    <t>天津市河东区中山门地热尾水梯级利用项目</t>
  </si>
  <si>
    <t>中国建筑科学研究院天津分院</t>
  </si>
  <si>
    <t>2023.9.6</t>
  </si>
  <si>
    <t>万新村2号站拆分工程、于明庄二次网及楼道立管改造工程、远翠东里9# 10#楼前管改造工程</t>
  </si>
  <si>
    <t>2023.10.16</t>
  </si>
  <si>
    <t>华腾供热2023年度能源管家咨询服务项目</t>
  </si>
  <si>
    <t>2023.9.22</t>
  </si>
  <si>
    <t>2023.10.10</t>
  </si>
  <si>
    <t>华腾供热可燃气体报警系统采购及安装</t>
  </si>
  <si>
    <t>天津市益高燃气设备科技有限公司</t>
  </si>
  <si>
    <t>2023.10.17</t>
  </si>
  <si>
    <t>华腾供热电磁流量计</t>
  </si>
  <si>
    <t>天津市大港仪表有限公司</t>
  </si>
  <si>
    <t>2023.10.12</t>
  </si>
  <si>
    <t>华腾供热供热系统维护（抢修）协议</t>
  </si>
  <si>
    <t>2023.10.13</t>
  </si>
  <si>
    <t>津东创展所有人员明细表都放在此合同里</t>
  </si>
  <si>
    <t>华腾供热地热站维护（值守）和调试协议</t>
  </si>
  <si>
    <t>华腾供热万新村二级泵及下属换热站变频柜改造服务项目</t>
  </si>
  <si>
    <t>天津市东和瑞捷科技发展有限公司</t>
  </si>
  <si>
    <t>2023.10.26</t>
  </si>
  <si>
    <t>华腾供热万新村11、15、16、17区热力管线探测服务项目</t>
  </si>
  <si>
    <t>华腾供热中山门地热尾水梯级利用测绘服务项目</t>
  </si>
  <si>
    <t>华腾供热下属换热站运行水泵检查维护保养项目</t>
  </si>
  <si>
    <t>万新村、和平村燃气锅炉房供热冬季运行、电工值守及问题处理</t>
  </si>
  <si>
    <t>运行服务1334000  电工值守 972000  问题处理 380000</t>
  </si>
  <si>
    <t>华腾供热网络调测升级及服务</t>
  </si>
  <si>
    <t>2023.10.25</t>
  </si>
  <si>
    <t>华腾供热19处站点电力设备维修工程</t>
  </si>
  <si>
    <t>天津开发区君安电气有限公司</t>
  </si>
  <si>
    <t>2023.10.30</t>
  </si>
  <si>
    <t>和平村供热站锅炉系统维护及设备维护保养</t>
  </si>
  <si>
    <t>2023.9.19</t>
  </si>
  <si>
    <t>华腾供热2023-2024万新村供热站能源管理项目</t>
  </si>
  <si>
    <t>北京智联科电技术有限公司</t>
  </si>
  <si>
    <t>2023.11.7</t>
  </si>
  <si>
    <t>河东区华腾供热调度运行技术服务项目</t>
  </si>
  <si>
    <t>2023.10.19</t>
  </si>
  <si>
    <t>2023年万新站及海河新天地地热站10kv变电站运维</t>
  </si>
  <si>
    <t>天津民安电力设备有限公司</t>
  </si>
  <si>
    <t>2023.10</t>
  </si>
  <si>
    <t>华腾供热2023-2024供热季环境监测项目</t>
  </si>
  <si>
    <t>2023.11.17</t>
  </si>
  <si>
    <t>2023年和平村夏季检修</t>
  </si>
  <si>
    <t>天津景润鸿诚市政工程有限公司</t>
  </si>
  <si>
    <t>2023万新站一网蝶阀采购项目</t>
  </si>
  <si>
    <t>2023.11.16</t>
  </si>
  <si>
    <t>华腾供热所属供热站锅炉房公用部分计算机控制系统技术服务项目</t>
  </si>
  <si>
    <t>2023.11.6</t>
  </si>
  <si>
    <t>中山门地热尾水梯级利用—设计项目</t>
  </si>
  <si>
    <t>2023.10.31</t>
  </si>
  <si>
    <t>华腾供热2023-2024采暖水药剂采购项目</t>
  </si>
  <si>
    <t>功成（天津）锅炉技术有限公司</t>
  </si>
  <si>
    <t>2023.11.28</t>
  </si>
  <si>
    <t>单价：缓蚀阻垢剂22000/元 臭味剂 16800/元 缓蚀色精 169000/元 工业盐1450/元</t>
  </si>
  <si>
    <t>万新村供热站一网二级泵系统改造工程</t>
  </si>
  <si>
    <t>2023.11.5</t>
  </si>
  <si>
    <t>华腾防汛物资采购项目</t>
  </si>
  <si>
    <t>2023.9.15</t>
  </si>
  <si>
    <t>2023年中山门地热舒畅嘉园夏季检修项目</t>
  </si>
  <si>
    <t>2023-2024年华腾供热采暖季应急用工项目</t>
  </si>
  <si>
    <t>312.6元/天</t>
  </si>
  <si>
    <t>华腾供热2021-2023年工程欠款明细表</t>
  </si>
  <si>
    <t>郭天刚  18649222399</t>
  </si>
  <si>
    <r>
      <rPr>
        <sz val="10"/>
        <rFont val="宋体"/>
        <charset val="134"/>
        <scheme val="minor"/>
      </rPr>
      <t>万新村供热站、和平村供热站</t>
    </r>
    <r>
      <rPr>
        <sz val="10"/>
        <rFont val="Times New Roman"/>
      </rPr>
      <t>12</t>
    </r>
    <r>
      <rPr>
        <sz val="10"/>
        <rFont val="宋体"/>
        <charset val="134"/>
      </rPr>
      <t>月份维修材料采购明细</t>
    </r>
  </si>
  <si>
    <r>
      <rPr>
        <sz val="10"/>
        <rFont val="宋体"/>
        <charset val="134"/>
        <scheme val="minor"/>
      </rPr>
      <t>华腾供热</t>
    </r>
    <r>
      <rPr>
        <sz val="10"/>
        <rFont val="Times New Roman"/>
      </rPr>
      <t>600</t>
    </r>
    <r>
      <rPr>
        <sz val="10"/>
        <rFont val="宋体"/>
        <charset val="134"/>
      </rPr>
      <t>、</t>
    </r>
    <r>
      <rPr>
        <sz val="10"/>
        <rFont val="Times New Roman"/>
      </rPr>
      <t>700</t>
    </r>
    <r>
      <rPr>
        <sz val="10"/>
        <rFont val="宋体"/>
        <charset val="134"/>
      </rPr>
      <t>、</t>
    </r>
    <r>
      <rPr>
        <sz val="10"/>
        <rFont val="Times New Roman"/>
      </rPr>
      <t>800</t>
    </r>
    <r>
      <rPr>
        <sz val="10"/>
        <rFont val="宋体"/>
        <charset val="134"/>
      </rPr>
      <t>线备品备件维修材料项目</t>
    </r>
  </si>
  <si>
    <r>
      <rPr>
        <sz val="10"/>
        <rFont val="宋体"/>
        <charset val="134"/>
        <scheme val="minor"/>
      </rPr>
      <t>华腾供热地热站</t>
    </r>
    <r>
      <rPr>
        <sz val="10"/>
        <rFont val="Times New Roman"/>
      </rPr>
      <t>12</t>
    </r>
    <r>
      <rPr>
        <sz val="10"/>
        <rFont val="宋体"/>
        <charset val="134"/>
      </rPr>
      <t>月份维修材料采购项目</t>
    </r>
  </si>
  <si>
    <t>2021年合计</t>
  </si>
  <si>
    <t>天津市天一生态环保科技有限公司</t>
  </si>
  <si>
    <t>华腾供热站趸售改造工程—土建、工艺工程</t>
  </si>
  <si>
    <t>华腾供热站趸售改造工程—室外管网工程</t>
  </si>
  <si>
    <t>2022年合计</t>
  </si>
  <si>
    <t>天津市市政工程设计研究总院有限公司</t>
  </si>
  <si>
    <t>2023年合计</t>
  </si>
  <si>
    <t>2021—2023年累计</t>
  </si>
  <si>
    <t>备注</t>
    <phoneticPr fontId="22" type="noConversion"/>
  </si>
  <si>
    <t>作废</t>
    <phoneticPr fontId="22" type="noConversion"/>
  </si>
  <si>
    <t>22-HT-YY-001</t>
    <phoneticPr fontId="22" type="noConversion"/>
  </si>
  <si>
    <t>22-HT-YY-002</t>
  </si>
  <si>
    <t>22-HT-YY-003</t>
  </si>
  <si>
    <t>22-HT-YY-004</t>
  </si>
  <si>
    <t>22-HT-YY-005</t>
  </si>
  <si>
    <t>22-HT-YY-006</t>
  </si>
  <si>
    <t>22-HT-YY-007</t>
  </si>
  <si>
    <t>22-HT-YY-008</t>
  </si>
  <si>
    <t>22-HT-YY-009</t>
  </si>
  <si>
    <t>22-HT-YY-010</t>
  </si>
  <si>
    <t>22-HT-YY-011</t>
  </si>
  <si>
    <t>22-HT-YY-012</t>
  </si>
  <si>
    <t>22-HT-YY-013</t>
  </si>
  <si>
    <t>22-HT-YY-014</t>
  </si>
  <si>
    <t>22-HT-YY-015</t>
  </si>
  <si>
    <t>22-HT-YY-016</t>
  </si>
  <si>
    <t>22-HT-YY-017</t>
  </si>
  <si>
    <t>22-HT-YY-018</t>
  </si>
  <si>
    <t>22-HT-YY-019</t>
  </si>
  <si>
    <t>22-HT-YY-020</t>
  </si>
  <si>
    <t>22-HT-YY-021</t>
  </si>
  <si>
    <t>22-HT-YY-022</t>
  </si>
  <si>
    <t>22-HT-YY-023</t>
  </si>
  <si>
    <t>22-HT-YY-024</t>
  </si>
  <si>
    <t>22-HT-YY-025</t>
  </si>
  <si>
    <t>22-HT-YY-026</t>
  </si>
  <si>
    <t>22-HT-YY-027</t>
  </si>
  <si>
    <t>22-HT-YY-028</t>
  </si>
  <si>
    <t>22-HT-YY-029</t>
  </si>
  <si>
    <t>22-HT-YY-030</t>
  </si>
  <si>
    <t>22-HT-YY-031</t>
  </si>
  <si>
    <t>22-HT-YY-032</t>
  </si>
  <si>
    <t>22-HT-YY-033</t>
  </si>
  <si>
    <t>22-HT-YY-034</t>
  </si>
  <si>
    <t>22-HT-YY-035</t>
  </si>
  <si>
    <t>22-HT-YY-036</t>
  </si>
  <si>
    <t>22-HT-YY-037</t>
  </si>
  <si>
    <t>22-HT-YY-038</t>
  </si>
  <si>
    <t>22-HT-YY-039</t>
  </si>
  <si>
    <t>22-HT-YY-040</t>
  </si>
  <si>
    <t>22-HT-YY-041</t>
  </si>
  <si>
    <t>22-HT-YY-042</t>
  </si>
  <si>
    <t>22-HT-YY-043</t>
  </si>
  <si>
    <t>22-HT-YY-044</t>
  </si>
  <si>
    <t>22-HT-YY-045</t>
  </si>
  <si>
    <t>22-HT-YY-046</t>
  </si>
  <si>
    <t>22-HT-YY-047</t>
  </si>
  <si>
    <t>22-HT-YY-048</t>
  </si>
  <si>
    <t>22-HT-YY-049</t>
  </si>
  <si>
    <t>22-HT-YY-050</t>
  </si>
  <si>
    <t>22-HT-YY-051</t>
  </si>
  <si>
    <t>22-HT-YY-052</t>
  </si>
  <si>
    <t>22-HT-YY-053</t>
  </si>
  <si>
    <t>22-HT-YY-054</t>
  </si>
  <si>
    <t>22-HT-YY-055</t>
  </si>
  <si>
    <t>22-HT-YY-056</t>
  </si>
  <si>
    <t>22-HT-YY-057</t>
  </si>
  <si>
    <t>22-HT-YY-058</t>
  </si>
  <si>
    <t>22-HT-YY-059</t>
  </si>
  <si>
    <t>22-HT-YY-060</t>
  </si>
  <si>
    <t>22-HT-YY-061</t>
  </si>
  <si>
    <t>22-HT-YY-062</t>
  </si>
  <si>
    <t>22-HT-YY-063</t>
  </si>
  <si>
    <t>22-HT-YY-064</t>
  </si>
  <si>
    <t>22-HT-YY-065</t>
  </si>
  <si>
    <t>22-HT-YY-066</t>
  </si>
  <si>
    <t>23-HT-YY-001</t>
    <phoneticPr fontId="22" type="noConversion"/>
  </si>
  <si>
    <t>23-HT-YY-002</t>
  </si>
  <si>
    <t>23-HT-YY-003</t>
  </si>
  <si>
    <t>23-HT-YY-004</t>
  </si>
  <si>
    <t>23-HT-YY-005</t>
  </si>
  <si>
    <t>23-HT-YY-006</t>
  </si>
  <si>
    <t>23-HT-YY-007</t>
  </si>
  <si>
    <t>23-HT-YY-008</t>
  </si>
  <si>
    <t>23-HT-YY-009</t>
  </si>
  <si>
    <t>23-HT-YY-010</t>
  </si>
  <si>
    <t>23-HT-YY-011</t>
  </si>
  <si>
    <t>23-HT-YY-012</t>
  </si>
  <si>
    <t>23-HT-YY-013</t>
  </si>
  <si>
    <t>23-HT-YY-014</t>
  </si>
  <si>
    <t>23-HT-YY-015</t>
  </si>
  <si>
    <t>23-HT-YY-016</t>
  </si>
  <si>
    <t>23-HT-YY-017</t>
  </si>
  <si>
    <t>23-HT-YY-018</t>
  </si>
  <si>
    <t>23-HT-YY-019</t>
  </si>
  <si>
    <t>23-HT-YY-020</t>
  </si>
  <si>
    <t>23-HT-YY-021</t>
  </si>
  <si>
    <t>23-HT-YY-022</t>
  </si>
  <si>
    <t>23-HT-YY-023</t>
  </si>
  <si>
    <t>23-HT-YY-024</t>
  </si>
  <si>
    <t>23-HT-YY-025</t>
  </si>
  <si>
    <t>23-HT-YY-026</t>
  </si>
  <si>
    <t>23-HT-YY-027</t>
  </si>
  <si>
    <t>23-HT-YY-028</t>
  </si>
  <si>
    <t>23-HT-YY-029</t>
  </si>
  <si>
    <t>23-HT-YY-030</t>
  </si>
  <si>
    <t>23-HT-YY-031</t>
  </si>
  <si>
    <t>23-HT-YY-032</t>
  </si>
  <si>
    <t>23-HT-YY-033</t>
  </si>
  <si>
    <t>23-HT-YY-034</t>
  </si>
  <si>
    <t>23-HT-YY-035</t>
  </si>
  <si>
    <t>23-HT-YY-036</t>
  </si>
  <si>
    <t>23-HT-YY-037</t>
  </si>
  <si>
    <t>23-HT-YY-038</t>
  </si>
  <si>
    <t>23-HT-YY-039</t>
  </si>
  <si>
    <t>23-HT-YY-040</t>
  </si>
  <si>
    <t>23-HT-YY-041</t>
  </si>
  <si>
    <t>23-HT-YY-042</t>
  </si>
  <si>
    <t>23-HT-YY-043</t>
  </si>
  <si>
    <t>23-HT-YY-044</t>
  </si>
  <si>
    <t>23-HT-YY-045</t>
  </si>
  <si>
    <t>23-HT-YY-046</t>
  </si>
  <si>
    <t>23-HT-YY-047</t>
  </si>
  <si>
    <t>23-HT-YY-048</t>
  </si>
  <si>
    <t>23-HT-YY-049</t>
  </si>
  <si>
    <t>23-HT-YY-050</t>
  </si>
  <si>
    <t>23-HT-YY-051</t>
  </si>
  <si>
    <t>23-HT-YY-052</t>
  </si>
  <si>
    <t>23-HT-YY-053</t>
  </si>
  <si>
    <t>23-HT-YY-054</t>
  </si>
  <si>
    <t>23-HT-YY-055</t>
  </si>
  <si>
    <t>23-HT-YY-056</t>
  </si>
  <si>
    <t>23-HT-YY-057</t>
  </si>
  <si>
    <t>23-HT-YY-058</t>
  </si>
  <si>
    <t>23-HT-YY-059</t>
  </si>
  <si>
    <t>23-HT-YY-060</t>
  </si>
  <si>
    <t>23-HT-YY-061</t>
  </si>
  <si>
    <t>23-HT-YY-062</t>
  </si>
  <si>
    <t>23-HT-YY-063</t>
  </si>
  <si>
    <t>23-HT-YY-064</t>
  </si>
  <si>
    <t>23-HT-YY-065</t>
  </si>
  <si>
    <t>23-HT-YY-066</t>
  </si>
  <si>
    <t>23-HT-YY-067</t>
  </si>
  <si>
    <t>23-HT-YY-068</t>
  </si>
  <si>
    <t>23-HT-YY-069</t>
  </si>
  <si>
    <t>23-HT-YY-070</t>
  </si>
  <si>
    <t>23-HT-YY-071</t>
  </si>
  <si>
    <t>23-HT-YY-072</t>
  </si>
  <si>
    <t>23-HT-YY-073</t>
  </si>
  <si>
    <t>23-HT-YY-074</t>
  </si>
  <si>
    <t>23-HT-YY-075</t>
  </si>
  <si>
    <t>23-HT-YY-076</t>
  </si>
  <si>
    <t>23-HT-YY-077</t>
  </si>
  <si>
    <t>23-HT-YY-078</t>
  </si>
  <si>
    <t>23-HT-YY-079</t>
  </si>
  <si>
    <t>23-HT-YY-080</t>
  </si>
  <si>
    <t>23-HT-YY-081</t>
  </si>
  <si>
    <t>23-HT-YY-082</t>
  </si>
  <si>
    <t>23-HT-YY-083</t>
  </si>
  <si>
    <t>23-HT-YY-084</t>
  </si>
  <si>
    <t>23-HT-YY-085</t>
  </si>
  <si>
    <t>23-HT-YY-086</t>
  </si>
  <si>
    <t>23-HT-YY-087</t>
  </si>
  <si>
    <t>23-HT-YY-088</t>
  </si>
  <si>
    <t>23-HT-YY-089</t>
  </si>
  <si>
    <t>23-HT-YY-090</t>
  </si>
  <si>
    <t>23-HT-YY-091</t>
  </si>
  <si>
    <t>23-HT-YY-092</t>
  </si>
  <si>
    <t>23-HT-YY-093</t>
  </si>
  <si>
    <t>23-HT-YY-094</t>
  </si>
  <si>
    <t>23-HT-YY-095</t>
  </si>
  <si>
    <t>23-HT-YY-096</t>
  </si>
  <si>
    <t>23-HT-YY-097</t>
  </si>
  <si>
    <t>23-HT-YY-098</t>
  </si>
  <si>
    <t>21-HT-YY-001</t>
    <phoneticPr fontId="22" type="noConversion"/>
  </si>
  <si>
    <t>21-HT-YY-002</t>
  </si>
  <si>
    <t>21-HT-YY-003</t>
  </si>
  <si>
    <t>21-HT-YY-004</t>
  </si>
  <si>
    <t>21-HT-YY-005</t>
  </si>
  <si>
    <t>21-HT-YY-006</t>
  </si>
  <si>
    <t>21-HT-YY-007</t>
  </si>
  <si>
    <t>21-HT-YY-008</t>
  </si>
  <si>
    <t>21-HT-YY-009</t>
  </si>
  <si>
    <t>21-HT-YY-010</t>
  </si>
  <si>
    <t>21-HT-YY-011</t>
  </si>
  <si>
    <t>21-HT-YY-012</t>
  </si>
  <si>
    <t>21-HT-YY-013</t>
  </si>
  <si>
    <t>21-HT-YY-014</t>
  </si>
  <si>
    <t>21-HT-YY-015</t>
  </si>
  <si>
    <t>21-HT-YY-016</t>
  </si>
  <si>
    <t>21-HT-YY-017</t>
  </si>
  <si>
    <t>21-HT-YY-018</t>
  </si>
  <si>
    <t>21-HT-YY-019</t>
  </si>
  <si>
    <t>21-HT-YY-020</t>
  </si>
  <si>
    <t>21-HT-YY-021</t>
  </si>
  <si>
    <t>21-HT-YY-022</t>
  </si>
  <si>
    <t>21-HT-YY-023</t>
  </si>
  <si>
    <t>21-HT-YY-024</t>
  </si>
  <si>
    <t>21-HT-YY-025</t>
  </si>
  <si>
    <t>21-HT-YY-026</t>
  </si>
  <si>
    <t>21-HT-YY-027</t>
  </si>
  <si>
    <t>21-HT-YY-028</t>
  </si>
  <si>
    <t>21-HT-YY-029</t>
  </si>
  <si>
    <t>21-HT-YY-030</t>
  </si>
  <si>
    <t>21-HT-YY-031</t>
  </si>
  <si>
    <t>21-HT-YY-032</t>
  </si>
  <si>
    <t>21-HT-YY-033</t>
  </si>
  <si>
    <t>21-HT-YY-034</t>
  </si>
  <si>
    <t>21-HT-YY-035</t>
  </si>
  <si>
    <t>21-HT-YY-036</t>
  </si>
  <si>
    <t>21-HT-YY-037</t>
  </si>
  <si>
    <t>21-HT-YY-038</t>
  </si>
  <si>
    <t>21-HT-YY-039</t>
  </si>
  <si>
    <t>21-HT-YY-040</t>
  </si>
  <si>
    <t>21-HT-YY-041</t>
  </si>
  <si>
    <t>21-HT-YY-042</t>
  </si>
  <si>
    <t>21-HT-YY-043</t>
  </si>
  <si>
    <t>21-HT-YY-044</t>
  </si>
  <si>
    <t>21-HT-YY-045</t>
  </si>
  <si>
    <t>21-HT-YY-046</t>
  </si>
  <si>
    <t>21-HT-YY-047</t>
  </si>
  <si>
    <t>21-HT-YY-048</t>
  </si>
  <si>
    <t>21-HT-YY-049</t>
  </si>
  <si>
    <t>21-HT-YY-050</t>
  </si>
  <si>
    <t>21-HT-YY-051</t>
  </si>
  <si>
    <t>21-HT-YY-052</t>
  </si>
  <si>
    <t>21-HT-YY-053</t>
  </si>
  <si>
    <t>21-HT-YY-054</t>
  </si>
  <si>
    <t>21-HT-YY-055</t>
  </si>
  <si>
    <t>21-HT-YY-056</t>
  </si>
  <si>
    <t>21-HT-YY-057</t>
  </si>
  <si>
    <t>21-HT-YY-058</t>
  </si>
  <si>
    <t>21-HT-YY-059</t>
  </si>
  <si>
    <t>21-HT-YY-060</t>
  </si>
  <si>
    <t>21-HT-YY-061</t>
  </si>
  <si>
    <t>21-HT-YY-062</t>
  </si>
  <si>
    <t>21-HT-YY-063</t>
  </si>
  <si>
    <t>21-HT-YY-064</t>
  </si>
  <si>
    <t>21-HT-YY-065</t>
  </si>
  <si>
    <t>21-HT-YY-066</t>
  </si>
  <si>
    <t>21-HT-YY-067</t>
  </si>
  <si>
    <t>21-HT-YY-068</t>
  </si>
  <si>
    <t>21-HT-YY-069</t>
  </si>
  <si>
    <t>21-HT-YY-070</t>
  </si>
  <si>
    <t>21-HT-YY-071</t>
  </si>
  <si>
    <t>21-HT-YY-072</t>
  </si>
  <si>
    <t>21-HT-YY-073</t>
  </si>
  <si>
    <t>21-HT-YY-074</t>
  </si>
  <si>
    <t>21-HT-YY-075</t>
  </si>
  <si>
    <t>21-HT-YY-076</t>
  </si>
  <si>
    <t>21-HT-YY-077</t>
  </si>
  <si>
    <t>21-HT-YY-078</t>
  </si>
  <si>
    <t>21-HT-YY-079</t>
  </si>
  <si>
    <t>21-HT-YY-080</t>
  </si>
  <si>
    <t>21-HT-YY-081</t>
  </si>
  <si>
    <t>21-HT-YY-082</t>
  </si>
  <si>
    <t>21-HT-YY-083</t>
  </si>
  <si>
    <t>21-HT-YY-084</t>
  </si>
  <si>
    <t>21-HT-YY-085</t>
  </si>
  <si>
    <t>21-HT-YY-086</t>
  </si>
  <si>
    <t>21-HT-YY-087</t>
  </si>
  <si>
    <t>21-HT-YY-088</t>
  </si>
  <si>
    <t>21-HT-YY-089</t>
  </si>
  <si>
    <t>21-HT-YY-090</t>
  </si>
  <si>
    <t>21-HT-YY-091</t>
  </si>
  <si>
    <t>21-HT-YY-092</t>
  </si>
  <si>
    <t>21-HT-YY-093</t>
  </si>
  <si>
    <t>21-HT-YY-094</t>
  </si>
  <si>
    <t>21-HT-YY-095</t>
  </si>
  <si>
    <t>21-HT-YY-096</t>
  </si>
  <si>
    <t>21-HT-YY-097</t>
  </si>
  <si>
    <t>21-HT-YY-098</t>
  </si>
  <si>
    <t>21-HT-YY-099</t>
  </si>
  <si>
    <t>21-HT-YY-100</t>
  </si>
  <si>
    <t>21-HT-YY-101</t>
  </si>
  <si>
    <t>21-HT-YY-102</t>
  </si>
  <si>
    <t>21-HT-YY-103</t>
  </si>
  <si>
    <t>21-HT-YY-104</t>
  </si>
  <si>
    <t>21-HT-YY-105</t>
  </si>
  <si>
    <t>21-HT-YY-106</t>
  </si>
  <si>
    <t>21-HT-YY-107</t>
  </si>
  <si>
    <t>21-HT-YY-108</t>
  </si>
  <si>
    <t>21-HT-YY-109</t>
  </si>
  <si>
    <t>21-HT-YY-110</t>
  </si>
  <si>
    <t>21-HT-YY-111</t>
  </si>
  <si>
    <t>21-HT-YY-112</t>
  </si>
  <si>
    <t>21-HT-YY-113</t>
  </si>
  <si>
    <t>21-HT-YY-114</t>
  </si>
  <si>
    <t>21-HT-YY-115</t>
  </si>
  <si>
    <t>21-HT-YY-116</t>
  </si>
  <si>
    <t>21-HT-YY-117</t>
  </si>
  <si>
    <t>21-HT-YY-118</t>
  </si>
  <si>
    <t>21-HT-YY-119</t>
  </si>
  <si>
    <t>21-HT-YY-120</t>
  </si>
  <si>
    <t>21-HT-YY-121</t>
  </si>
  <si>
    <t>21-HT-YY-122</t>
  </si>
  <si>
    <t>21-HT-YY-123</t>
  </si>
  <si>
    <t>21-HT-YY-124</t>
  </si>
  <si>
    <t>21-HT-YY-125</t>
  </si>
  <si>
    <t>21-HT-YY-126</t>
  </si>
  <si>
    <t>21-HT-YY-127</t>
  </si>
  <si>
    <t>21-HT-YY-128</t>
  </si>
  <si>
    <t>21-HT-YY-129</t>
  </si>
  <si>
    <t>21-HT-YY-130</t>
  </si>
  <si>
    <t>21-HT-YY-131</t>
  </si>
  <si>
    <t>21-HT-YY-132</t>
  </si>
  <si>
    <t>21-HT-YY-133</t>
  </si>
  <si>
    <t>21-HT-YY-134</t>
  </si>
  <si>
    <t>21-HT-YY-135</t>
  </si>
  <si>
    <t>21-HT-YY-136</t>
  </si>
  <si>
    <t>21-HT-YY-137</t>
  </si>
  <si>
    <t>21-HT-YY-138</t>
  </si>
  <si>
    <t>21-HT-YY-139</t>
  </si>
  <si>
    <t>21-HT-YY-140</t>
  </si>
  <si>
    <t>21-HT-YY-141</t>
  </si>
  <si>
    <t>21-HT-YY-142</t>
  </si>
  <si>
    <t>21-HT-YY-143</t>
  </si>
  <si>
    <t>21-HT-YY-144</t>
  </si>
  <si>
    <t>21-HT-YY-145</t>
  </si>
  <si>
    <t>21-HT-YY-146</t>
  </si>
  <si>
    <t>21-HT-YY-147</t>
  </si>
  <si>
    <t>21-HT-YY-148</t>
  </si>
  <si>
    <t>21-HT-YY-149</t>
  </si>
  <si>
    <t>21-HT-YY-150</t>
  </si>
  <si>
    <t>21-HT-YY-151</t>
  </si>
  <si>
    <t>21-HT-YY-152</t>
  </si>
  <si>
    <t>21-HT-YY-153</t>
  </si>
  <si>
    <t>21-HT-YY-154</t>
  </si>
  <si>
    <t>21-HT-YY-155</t>
  </si>
  <si>
    <t>21-HT-YY-156</t>
  </si>
  <si>
    <t>21-HT-YY-157</t>
  </si>
  <si>
    <t>21-HT-YY-158</t>
  </si>
  <si>
    <t>21-HT-YY-159</t>
  </si>
  <si>
    <t>21-HT-YY-160</t>
  </si>
  <si>
    <t>21-HT-YY-161</t>
  </si>
  <si>
    <t>21-HT-YY-162</t>
  </si>
  <si>
    <t>21-HT-YY-163</t>
  </si>
  <si>
    <t>21-HT-YY-164</t>
  </si>
  <si>
    <t>21-HT-YY-165</t>
  </si>
  <si>
    <t>21-HT-YY-166</t>
  </si>
  <si>
    <t>21-HT-YY-167</t>
  </si>
  <si>
    <t>21-HT-YY-168</t>
  </si>
  <si>
    <t>21-HT-YY-169</t>
  </si>
  <si>
    <t>21-HT-YY-170</t>
  </si>
  <si>
    <t>21-HT-YY-171</t>
  </si>
  <si>
    <t>21-HT-YY-172</t>
  </si>
  <si>
    <t>21-HT-YY-173</t>
  </si>
  <si>
    <t>21-HT-YY-174</t>
  </si>
  <si>
    <t>21-HT-YY-175</t>
  </si>
  <si>
    <t>21-HT-YY-176</t>
  </si>
  <si>
    <t>21-HT-YY-177</t>
  </si>
  <si>
    <t>21-HT-YY-178</t>
  </si>
  <si>
    <t>21-HT-YY-179</t>
  </si>
  <si>
    <t>21-HT-YY-180</t>
  </si>
  <si>
    <t>21-HT-YY-181</t>
  </si>
  <si>
    <t>21-HT-YY-182</t>
  </si>
  <si>
    <t>21-HT-YY-183</t>
  </si>
  <si>
    <t>21-HT-YY-184</t>
  </si>
  <si>
    <t>21-HT-YY-185</t>
  </si>
  <si>
    <t>21-HT-YY-186</t>
  </si>
  <si>
    <t>21-HT-YY-187</t>
  </si>
  <si>
    <t>21-HT-YY-188</t>
  </si>
  <si>
    <t>21-HT-YY-189</t>
  </si>
  <si>
    <t>21-HT-YY-190</t>
  </si>
  <si>
    <t>21-HT-YY-191</t>
  </si>
  <si>
    <t>21-HT-YY-192</t>
  </si>
  <si>
    <t>21-HT-YY-193</t>
  </si>
  <si>
    <t>21-HT-YY-194</t>
  </si>
  <si>
    <t>21-HT-YY-195</t>
  </si>
  <si>
    <t>21-HT-YY-196</t>
  </si>
  <si>
    <t>21-HT-YY-197</t>
  </si>
  <si>
    <t>21-HT-YY-198</t>
  </si>
  <si>
    <t>21-HT-YY-199</t>
  </si>
  <si>
    <t>21-HT-YY-200</t>
  </si>
  <si>
    <t>21-HT-YY-201</t>
  </si>
  <si>
    <t>21-HT-YY-202</t>
  </si>
  <si>
    <t>21-HT-YY-203</t>
  </si>
  <si>
    <t>21-HT-YY-204</t>
  </si>
  <si>
    <t>21-HT-YY-205</t>
  </si>
  <si>
    <t>21-HT-YY-206</t>
  </si>
  <si>
    <t>21-HT-YY-207</t>
  </si>
  <si>
    <t>21-HT-YY-208</t>
  </si>
  <si>
    <t>21-HT-YY-209</t>
  </si>
  <si>
    <t>21-HT-YY-210</t>
  </si>
  <si>
    <t>21-HT-YY-211</t>
  </si>
  <si>
    <t>21-HT-YY-212</t>
  </si>
  <si>
    <t>21-HT-YY-213</t>
  </si>
  <si>
    <t>21-HT-YY-214</t>
  </si>
  <si>
    <t>21-HT-YY-215</t>
  </si>
  <si>
    <t>21-HT-YY-216</t>
  </si>
  <si>
    <t>21-HT-YY-217</t>
  </si>
  <si>
    <t>21-HT-YY-218</t>
  </si>
  <si>
    <t>21-HT-YY-219</t>
  </si>
  <si>
    <t>21-HT-YY-220</t>
  </si>
  <si>
    <t>21-HT-YY-221</t>
  </si>
  <si>
    <t>21-HT-YY-222</t>
  </si>
  <si>
    <t>21-HT-YY-223</t>
  </si>
  <si>
    <t>21-HT-YY-224</t>
  </si>
  <si>
    <t>21-HT-YY-225</t>
  </si>
  <si>
    <t>21-HT-YY-226</t>
  </si>
  <si>
    <t>21-HT-YY-227</t>
  </si>
  <si>
    <t>21-HT-YY-228</t>
  </si>
  <si>
    <t>21-HT-YY-229</t>
  </si>
  <si>
    <t>21-HT-YY-230</t>
  </si>
  <si>
    <t>21-HT-YY-231</t>
  </si>
  <si>
    <t>21-HT-YY-232</t>
  </si>
  <si>
    <t>21-HT-YY-233</t>
  </si>
  <si>
    <t>21-HT-YY-234</t>
  </si>
  <si>
    <t>21-HT-YY-235</t>
  </si>
  <si>
    <t>21-HT-YY-236</t>
  </si>
  <si>
    <t>21-HT-YY-237</t>
  </si>
  <si>
    <t>21-HT-YY-238</t>
  </si>
  <si>
    <t>21-HT-YY-239</t>
  </si>
  <si>
    <t>21-HT-YY-240</t>
  </si>
  <si>
    <t>21-HT-YY-241</t>
  </si>
  <si>
    <t>21-HT-YY-242</t>
  </si>
  <si>
    <t>21-HT-YY-243</t>
  </si>
  <si>
    <t>21-HT-YY-244</t>
  </si>
  <si>
    <t>21-HT-YY-245</t>
  </si>
  <si>
    <t>21-HT-YY-246</t>
  </si>
  <si>
    <t>21-HT-YY-247</t>
  </si>
  <si>
    <t>21-HT-YY-248</t>
  </si>
  <si>
    <t>21-HT-YY-OD-001</t>
    <phoneticPr fontId="22" type="noConversion"/>
  </si>
  <si>
    <t>21-HT-YY-OD-002</t>
  </si>
  <si>
    <t>21-HT-YY-OD-003</t>
  </si>
  <si>
    <t>21-HT-YY-OD-004</t>
  </si>
  <si>
    <t>21-HT-YY-OD-005</t>
  </si>
  <si>
    <t>21-HT-YY-OD-006</t>
  </si>
  <si>
    <t>21-HT-YY-OD-007</t>
  </si>
  <si>
    <t>21-HT-YY-OD-008</t>
  </si>
  <si>
    <t>21-HT-YY-OD-009</t>
  </si>
  <si>
    <t>21-HT-YY-OD-010</t>
  </si>
  <si>
    <t>工程地点及内容</t>
    <phoneticPr fontId="22" type="noConversion"/>
  </si>
  <si>
    <t>序号</t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</si>
</sst>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0_ "/>
    <numFmt numFmtId="178" formatCode="yyyy&quot;年&quot;m&quot;月&quot;d&quot;日&quot;;@"/>
  </numFmts>
  <fonts count="27" x14ac:knownFonts="1">
    <font>
      <sz val="12"/>
      <name val="宋体"/>
      <charset val="134"/>
    </font>
    <font>
      <sz val="10"/>
      <name val="宋体"/>
      <charset val="134"/>
    </font>
    <font>
      <sz val="10"/>
      <name val="宋体"/>
      <charset val="134"/>
      <scheme val="minor"/>
    </font>
    <font>
      <sz val="11"/>
      <name val="宋体"/>
      <charset val="134"/>
      <scheme val="minor"/>
    </font>
    <font>
      <sz val="10"/>
      <color theme="5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00B0F0"/>
      <name val="宋体"/>
      <charset val="134"/>
      <scheme val="minor"/>
    </font>
    <font>
      <sz val="14"/>
      <name val="宋体"/>
      <charset val="134"/>
      <scheme val="minor"/>
    </font>
    <font>
      <sz val="9"/>
      <name val="宋体"/>
      <charset val="134"/>
      <scheme val="minor"/>
    </font>
    <font>
      <sz val="10"/>
      <color theme="1"/>
      <name val="宋体"/>
      <charset val="134"/>
    </font>
    <font>
      <sz val="11"/>
      <name val="宋体"/>
      <charset val="134"/>
    </font>
    <font>
      <sz val="11"/>
      <color theme="5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00B0F0"/>
      <name val="宋体"/>
      <charset val="134"/>
      <scheme val="minor"/>
    </font>
    <font>
      <sz val="9"/>
      <color theme="5"/>
      <name val="宋体"/>
      <charset val="134"/>
      <scheme val="minor"/>
    </font>
    <font>
      <sz val="9"/>
      <color theme="1"/>
      <name val="宋体"/>
      <charset val="134"/>
    </font>
    <font>
      <sz val="9"/>
      <color theme="1"/>
      <name val="宋体"/>
      <charset val="134"/>
      <scheme val="minor"/>
    </font>
    <font>
      <sz val="9"/>
      <name val="宋体"/>
      <charset val="134"/>
    </font>
    <font>
      <sz val="10"/>
      <name val="Times New Roman"/>
    </font>
    <font>
      <sz val="10.5"/>
      <name val="Times New Roman"/>
    </font>
    <font>
      <sz val="10.5"/>
      <name val="宋体"/>
      <charset val="134"/>
    </font>
    <font>
      <b/>
      <sz val="9"/>
      <name val="宋体"/>
      <charset val="134"/>
    </font>
    <font>
      <sz val="9"/>
      <name val="宋体"/>
      <family val="3"/>
      <charset val="134"/>
    </font>
    <font>
      <sz val="11"/>
      <name val="宋体"/>
      <family val="3"/>
      <charset val="134"/>
    </font>
    <font>
      <sz val="1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</font>
    <font>
      <sz val="10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8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76" fontId="2" fillId="0" borderId="0" xfId="0" applyNumberFormat="1" applyFont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 wrapText="1"/>
    </xf>
    <xf numFmtId="177" fontId="2" fillId="0" borderId="1" xfId="0" applyNumberFormat="1" applyFont="1" applyBorder="1">
      <alignment vertical="center"/>
    </xf>
    <xf numFmtId="0" fontId="8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 wrapText="1"/>
    </xf>
    <xf numFmtId="177" fontId="5" fillId="0" borderId="1" xfId="0" applyNumberFormat="1" applyFont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76" fontId="9" fillId="0" borderId="1" xfId="0" applyNumberFormat="1" applyFont="1" applyBorder="1" applyAlignment="1">
      <alignment horizontal="center" vertical="center"/>
    </xf>
    <xf numFmtId="176" fontId="5" fillId="2" borderId="1" xfId="0" applyNumberFormat="1" applyFont="1" applyFill="1" applyBorder="1" applyAlignment="1">
      <alignment horizontal="center" vertical="center"/>
    </xf>
    <xf numFmtId="176" fontId="2" fillId="3" borderId="1" xfId="0" applyNumberFormat="1" applyFont="1" applyFill="1" applyBorder="1" applyAlignment="1">
      <alignment horizontal="center" vertical="center"/>
    </xf>
    <xf numFmtId="176" fontId="1" fillId="4" borderId="1" xfId="0" applyNumberFormat="1" applyFont="1" applyFill="1" applyBorder="1" applyAlignment="1">
      <alignment horizontal="center" vertical="center"/>
    </xf>
    <xf numFmtId="177" fontId="2" fillId="0" borderId="0" xfId="0" applyNumberFormat="1" applyFont="1" applyAlignment="1">
      <alignment horizontal="center" vertical="center" wrapText="1"/>
    </xf>
    <xf numFmtId="177" fontId="2" fillId="0" borderId="0" xfId="0" applyNumberFormat="1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>
      <alignment vertical="center"/>
    </xf>
    <xf numFmtId="0" fontId="13" fillId="0" borderId="1" xfId="0" applyFont="1" applyBorder="1" applyAlignment="1">
      <alignment horizontal="center" vertical="center"/>
    </xf>
    <xf numFmtId="177" fontId="5" fillId="5" borderId="1" xfId="0" applyNumberFormat="1" applyFont="1" applyFill="1" applyBorder="1" applyAlignment="1">
      <alignment horizontal="center" vertical="center" wrapText="1"/>
    </xf>
    <xf numFmtId="177" fontId="5" fillId="5" borderId="1" xfId="0" applyNumberFormat="1" applyFont="1" applyFill="1" applyBorder="1" applyAlignment="1">
      <alignment horizontal="center" vertical="center"/>
    </xf>
    <xf numFmtId="177" fontId="2" fillId="5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177" fontId="16" fillId="0" borderId="1" xfId="0" applyNumberFormat="1" applyFont="1" applyBorder="1" applyAlignment="1">
      <alignment horizontal="center" vertical="center"/>
    </xf>
    <xf numFmtId="177" fontId="8" fillId="0" borderId="1" xfId="0" applyNumberFormat="1" applyFont="1" applyBorder="1" applyAlignment="1">
      <alignment horizontal="center" vertical="center"/>
    </xf>
    <xf numFmtId="0" fontId="16" fillId="0" borderId="1" xfId="0" applyFont="1" applyBorder="1">
      <alignment vertical="center"/>
    </xf>
    <xf numFmtId="0" fontId="16" fillId="0" borderId="1" xfId="0" applyFont="1" applyBorder="1" applyAlignment="1">
      <alignment horizontal="center" vertical="center"/>
    </xf>
    <xf numFmtId="177" fontId="5" fillId="0" borderId="1" xfId="0" applyNumberFormat="1" applyFont="1" applyBorder="1">
      <alignment vertical="center"/>
    </xf>
    <xf numFmtId="177" fontId="5" fillId="0" borderId="1" xfId="0" applyNumberFormat="1" applyFont="1" applyBorder="1" applyAlignment="1">
      <alignment vertical="center" wrapText="1"/>
    </xf>
    <xf numFmtId="0" fontId="1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176" fontId="3" fillId="0" borderId="0" xfId="0" applyNumberFormat="1" applyFont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178" fontId="3" fillId="0" borderId="0" xfId="0" applyNumberFormat="1" applyFont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177" fontId="5" fillId="0" borderId="1" xfId="0" quotePrefix="1" applyNumberFormat="1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177" fontId="5" fillId="0" borderId="7" xfId="0" applyNumberFormat="1" applyFont="1" applyBorder="1" applyAlignment="1">
      <alignment vertical="center" wrapText="1"/>
    </xf>
    <xf numFmtId="177" fontId="5" fillId="0" borderId="8" xfId="0" applyNumberFormat="1" applyFont="1" applyBorder="1">
      <alignment vertical="center"/>
    </xf>
    <xf numFmtId="177" fontId="5" fillId="0" borderId="10" xfId="0" applyNumberFormat="1" applyFont="1" applyBorder="1">
      <alignment vertical="center"/>
    </xf>
    <xf numFmtId="177" fontId="24" fillId="0" borderId="9" xfId="0" applyNumberFormat="1" applyFont="1" applyBorder="1" applyAlignment="1">
      <alignment vertical="center" wrapText="1"/>
    </xf>
    <xf numFmtId="0" fontId="25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0" fillId="0" borderId="0" xfId="0">
      <alignment vertical="center"/>
    </xf>
    <xf numFmtId="177" fontId="2" fillId="0" borderId="0" xfId="0" applyNumberFormat="1" applyFont="1" applyAlignment="1">
      <alignment horizontal="center" vertical="center"/>
    </xf>
    <xf numFmtId="177" fontId="5" fillId="0" borderId="2" xfId="0" applyNumberFormat="1" applyFont="1" applyBorder="1" applyAlignment="1">
      <alignment horizontal="center" vertical="center"/>
    </xf>
    <xf numFmtId="177" fontId="5" fillId="0" borderId="3" xfId="0" applyNumberFormat="1" applyFont="1" applyBorder="1" applyAlignment="1">
      <alignment horizontal="center" vertical="center"/>
    </xf>
    <xf numFmtId="177" fontId="5" fillId="0" borderId="4" xfId="0" applyNumberFormat="1" applyFont="1" applyBorder="1" applyAlignment="1">
      <alignment horizontal="center" vertical="center"/>
    </xf>
    <xf numFmtId="177" fontId="5" fillId="0" borderId="2" xfId="0" applyNumberFormat="1" applyFont="1" applyBorder="1" applyAlignment="1">
      <alignment horizontal="center" vertical="center" wrapText="1"/>
    </xf>
    <xf numFmtId="177" fontId="5" fillId="0" borderId="3" xfId="0" applyNumberFormat="1" applyFont="1" applyBorder="1" applyAlignment="1">
      <alignment horizontal="center" vertical="center" wrapText="1"/>
    </xf>
    <xf numFmtId="0" fontId="1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176" fontId="1" fillId="4" borderId="1" xfId="0" applyNumberFormat="1" applyFont="1" applyFill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49" fontId="26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000000"/>
      <color rgb="FFF8CBAD"/>
      <color rgb="FF00B0F0"/>
      <color rgb="FF5B9BD5"/>
      <color rgb="FFBDD7EE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5536"/>
  <sheetViews>
    <sheetView workbookViewId="0"/>
  </sheetViews>
  <sheetFormatPr defaultColWidth="8.125" defaultRowHeight="21.95" customHeight="1" x14ac:dyDescent="0.15"/>
  <cols>
    <col min="1" max="1" width="13.625" style="42" customWidth="1"/>
    <col min="2" max="2" width="50.75" style="42" customWidth="1"/>
    <col min="3" max="3" width="34.625" style="42" customWidth="1"/>
    <col min="4" max="4" width="11" style="42" customWidth="1"/>
    <col min="5" max="5" width="13.5" style="77" customWidth="1"/>
    <col min="6" max="6" width="10.375" style="78" customWidth="1"/>
    <col min="7" max="7" width="11.625" style="42" customWidth="1"/>
    <col min="8" max="8" width="14.375" style="77" customWidth="1"/>
    <col min="9" max="9" width="34.625" style="42" customWidth="1"/>
    <col min="10" max="16384" width="8.125" style="76"/>
  </cols>
  <sheetData>
    <row r="1" spans="1:9" customFormat="1" ht="21.95" customHeight="1" x14ac:dyDescent="0.15">
      <c r="A1" s="93" t="s">
        <v>1190</v>
      </c>
      <c r="B1" s="117" t="s">
        <v>1189</v>
      </c>
      <c r="C1" s="7" t="s">
        <v>2</v>
      </c>
      <c r="D1" s="7" t="s">
        <v>3</v>
      </c>
      <c r="E1" s="2" t="s">
        <v>4</v>
      </c>
      <c r="F1" s="79" t="s">
        <v>5</v>
      </c>
      <c r="G1" s="7" t="s">
        <v>6</v>
      </c>
      <c r="H1" s="2" t="s">
        <v>7</v>
      </c>
      <c r="I1" s="7" t="s">
        <v>8</v>
      </c>
    </row>
    <row r="2" spans="1:9" customFormat="1" ht="21.95" customHeight="1" x14ac:dyDescent="0.15">
      <c r="A2" s="93" t="s">
        <v>1179</v>
      </c>
      <c r="B2" s="3" t="s">
        <v>9</v>
      </c>
      <c r="C2" s="3" t="s">
        <v>10</v>
      </c>
      <c r="D2" s="7" t="s">
        <v>11</v>
      </c>
      <c r="E2" s="3">
        <v>25864</v>
      </c>
      <c r="F2" s="79">
        <v>25864</v>
      </c>
      <c r="G2" s="5">
        <v>25864</v>
      </c>
      <c r="H2" s="2">
        <f t="shared" ref="H2:H29" si="0">F2-G2</f>
        <v>0</v>
      </c>
      <c r="I2" s="80" t="s">
        <v>12</v>
      </c>
    </row>
    <row r="3" spans="1:9" customFormat="1" ht="21.95" customHeight="1" x14ac:dyDescent="0.15">
      <c r="A3" s="93" t="s">
        <v>1180</v>
      </c>
      <c r="B3" s="3" t="s">
        <v>13</v>
      </c>
      <c r="C3" s="3" t="s">
        <v>14</v>
      </c>
      <c r="D3" s="7"/>
      <c r="E3" s="3">
        <v>87020</v>
      </c>
      <c r="F3" s="79">
        <v>87020</v>
      </c>
      <c r="G3" s="5">
        <f>47020+40000</f>
        <v>87020</v>
      </c>
      <c r="H3" s="2">
        <f t="shared" si="0"/>
        <v>0</v>
      </c>
      <c r="I3" s="80" t="s">
        <v>12</v>
      </c>
    </row>
    <row r="4" spans="1:9" customFormat="1" ht="21.95" customHeight="1" x14ac:dyDescent="0.15">
      <c r="A4" s="93" t="s">
        <v>1181</v>
      </c>
      <c r="B4" s="3" t="s">
        <v>15</v>
      </c>
      <c r="C4" s="3" t="s">
        <v>14</v>
      </c>
      <c r="D4" s="7"/>
      <c r="E4" s="3">
        <v>46176</v>
      </c>
      <c r="F4" s="79">
        <v>46176</v>
      </c>
      <c r="G4" s="1">
        <v>46176</v>
      </c>
      <c r="H4" s="2">
        <f t="shared" si="0"/>
        <v>0</v>
      </c>
      <c r="I4" s="80" t="s">
        <v>12</v>
      </c>
    </row>
    <row r="5" spans="1:9" customFormat="1" ht="21.95" customHeight="1" x14ac:dyDescent="0.15">
      <c r="A5" s="93" t="s">
        <v>1182</v>
      </c>
      <c r="B5" s="3" t="s">
        <v>16</v>
      </c>
      <c r="C5" s="3" t="s">
        <v>17</v>
      </c>
      <c r="D5" s="7" t="s">
        <v>11</v>
      </c>
      <c r="E5" s="3">
        <v>255735</v>
      </c>
      <c r="F5" s="79">
        <v>255735</v>
      </c>
      <c r="G5" s="5">
        <f>45735+50000+50000+110000</f>
        <v>255735</v>
      </c>
      <c r="H5" s="2">
        <f t="shared" si="0"/>
        <v>0</v>
      </c>
      <c r="I5" s="80" t="s">
        <v>12</v>
      </c>
    </row>
    <row r="6" spans="1:9" customFormat="1" ht="21.95" customHeight="1" x14ac:dyDescent="0.15">
      <c r="A6" s="93" t="s">
        <v>1183</v>
      </c>
      <c r="B6" s="3" t="s">
        <v>18</v>
      </c>
      <c r="C6" s="3" t="s">
        <v>19</v>
      </c>
      <c r="D6" s="7" t="s">
        <v>20</v>
      </c>
      <c r="E6" s="3">
        <v>361256</v>
      </c>
      <c r="F6" s="79">
        <v>361256</v>
      </c>
      <c r="G6" s="1">
        <f>41256+50000+40000+50000+80000+100000</f>
        <v>361256</v>
      </c>
      <c r="H6" s="2">
        <f t="shared" si="0"/>
        <v>0</v>
      </c>
      <c r="I6" s="80" t="s">
        <v>12</v>
      </c>
    </row>
    <row r="7" spans="1:9" customFormat="1" ht="21.95" customHeight="1" x14ac:dyDescent="0.15">
      <c r="A7" s="93" t="s">
        <v>1184</v>
      </c>
      <c r="B7" s="3" t="s">
        <v>21</v>
      </c>
      <c r="C7" s="3" t="s">
        <v>22</v>
      </c>
      <c r="D7" s="7"/>
      <c r="E7" s="3">
        <v>136139</v>
      </c>
      <c r="F7" s="79">
        <v>136139</v>
      </c>
      <c r="G7" s="5">
        <f>46139+90000</f>
        <v>136139</v>
      </c>
      <c r="H7" s="2">
        <f t="shared" si="0"/>
        <v>0</v>
      </c>
      <c r="I7" s="80" t="s">
        <v>12</v>
      </c>
    </row>
    <row r="8" spans="1:9" customFormat="1" ht="21.95" customHeight="1" x14ac:dyDescent="0.15">
      <c r="A8" s="93" t="s">
        <v>1185</v>
      </c>
      <c r="B8" s="3" t="s">
        <v>23</v>
      </c>
      <c r="C8" s="3" t="s">
        <v>24</v>
      </c>
      <c r="D8" s="7" t="s">
        <v>25</v>
      </c>
      <c r="E8" s="3">
        <v>196770</v>
      </c>
      <c r="F8" s="79">
        <v>196770</v>
      </c>
      <c r="G8" s="1">
        <f>46770+50000+80000+20000</f>
        <v>196770</v>
      </c>
      <c r="H8" s="2">
        <f t="shared" si="0"/>
        <v>0</v>
      </c>
      <c r="I8" s="80" t="s">
        <v>12</v>
      </c>
    </row>
    <row r="9" spans="1:9" customFormat="1" ht="21.95" customHeight="1" x14ac:dyDescent="0.15">
      <c r="A9" s="93" t="s">
        <v>1186</v>
      </c>
      <c r="B9" s="3" t="s">
        <v>26</v>
      </c>
      <c r="C9" s="3" t="s">
        <v>27</v>
      </c>
      <c r="D9" s="7"/>
      <c r="E9" s="3">
        <v>29070</v>
      </c>
      <c r="F9" s="79">
        <v>29070</v>
      </c>
      <c r="G9" s="5">
        <v>29070</v>
      </c>
      <c r="H9" s="2">
        <f t="shared" si="0"/>
        <v>0</v>
      </c>
      <c r="I9" s="80" t="s">
        <v>12</v>
      </c>
    </row>
    <row r="10" spans="1:9" customFormat="1" ht="21.95" customHeight="1" x14ac:dyDescent="0.15">
      <c r="A10" s="93" t="s">
        <v>1187</v>
      </c>
      <c r="B10" s="3" t="s">
        <v>28</v>
      </c>
      <c r="C10" s="3" t="s">
        <v>29</v>
      </c>
      <c r="D10" s="7"/>
      <c r="E10" s="3">
        <v>90133</v>
      </c>
      <c r="F10" s="79">
        <v>90133</v>
      </c>
      <c r="G10" s="1">
        <f>45066+45067</f>
        <v>90133</v>
      </c>
      <c r="H10" s="2">
        <f t="shared" si="0"/>
        <v>0</v>
      </c>
      <c r="I10" s="80" t="s">
        <v>12</v>
      </c>
    </row>
    <row r="11" spans="1:9" customFormat="1" ht="21.95" customHeight="1" x14ac:dyDescent="0.15">
      <c r="A11" s="93" t="s">
        <v>1188</v>
      </c>
      <c r="B11" s="3" t="s">
        <v>30</v>
      </c>
      <c r="C11" s="3" t="s">
        <v>31</v>
      </c>
      <c r="D11" s="7"/>
      <c r="E11" s="3">
        <v>55095</v>
      </c>
      <c r="F11" s="79">
        <v>55095</v>
      </c>
      <c r="G11" s="5">
        <v>55095</v>
      </c>
      <c r="H11" s="2">
        <f t="shared" si="0"/>
        <v>0</v>
      </c>
      <c r="I11" s="80" t="s">
        <v>12</v>
      </c>
    </row>
    <row r="12" spans="1:9" ht="21.95" customHeight="1" x14ac:dyDescent="0.15">
      <c r="A12" s="93" t="s">
        <v>931</v>
      </c>
      <c r="B12" s="3" t="s">
        <v>32</v>
      </c>
      <c r="C12" s="3" t="s">
        <v>33</v>
      </c>
      <c r="D12" s="3" t="s">
        <v>34</v>
      </c>
      <c r="E12" s="3">
        <v>179970</v>
      </c>
      <c r="F12" s="79">
        <v>172346</v>
      </c>
      <c r="G12" s="1">
        <v>172346</v>
      </c>
      <c r="H12" s="2">
        <f t="shared" si="0"/>
        <v>0</v>
      </c>
      <c r="I12" s="5" t="s">
        <v>12</v>
      </c>
    </row>
    <row r="13" spans="1:9" ht="21.95" customHeight="1" x14ac:dyDescent="0.15">
      <c r="A13" s="93" t="s">
        <v>932</v>
      </c>
      <c r="B13" s="3" t="s">
        <v>35</v>
      </c>
      <c r="C13" s="3" t="s">
        <v>33</v>
      </c>
      <c r="D13" s="3" t="s">
        <v>34</v>
      </c>
      <c r="E13" s="3">
        <v>167424</v>
      </c>
      <c r="F13" s="79">
        <v>160232</v>
      </c>
      <c r="G13" s="5">
        <v>160232</v>
      </c>
      <c r="H13" s="2">
        <f t="shared" si="0"/>
        <v>0</v>
      </c>
      <c r="I13" s="5" t="s">
        <v>12</v>
      </c>
    </row>
    <row r="14" spans="1:9" ht="21.95" customHeight="1" x14ac:dyDescent="0.15">
      <c r="A14" s="93" t="s">
        <v>933</v>
      </c>
      <c r="B14" s="3" t="s">
        <v>36</v>
      </c>
      <c r="C14" s="3" t="s">
        <v>33</v>
      </c>
      <c r="D14" s="3" t="s">
        <v>34</v>
      </c>
      <c r="E14" s="3">
        <v>163218</v>
      </c>
      <c r="F14" s="79">
        <v>161004</v>
      </c>
      <c r="G14" s="5">
        <v>161004</v>
      </c>
      <c r="H14" s="2">
        <f t="shared" si="0"/>
        <v>0</v>
      </c>
      <c r="I14" s="5" t="s">
        <v>12</v>
      </c>
    </row>
    <row r="15" spans="1:9" ht="21.95" customHeight="1" x14ac:dyDescent="0.15">
      <c r="A15" s="93" t="s">
        <v>934</v>
      </c>
      <c r="B15" s="3" t="s">
        <v>37</v>
      </c>
      <c r="C15" s="3" t="s">
        <v>33</v>
      </c>
      <c r="D15" s="3" t="s">
        <v>34</v>
      </c>
      <c r="E15" s="3">
        <v>184255</v>
      </c>
      <c r="F15" s="79">
        <v>177994</v>
      </c>
      <c r="G15" s="1">
        <f>48994+49000+80000</f>
        <v>177994</v>
      </c>
      <c r="H15" s="2">
        <f t="shared" si="0"/>
        <v>0</v>
      </c>
      <c r="I15" s="5" t="s">
        <v>12</v>
      </c>
    </row>
    <row r="16" spans="1:9" customFormat="1" ht="21.95" customHeight="1" x14ac:dyDescent="0.15">
      <c r="A16" s="93" t="s">
        <v>935</v>
      </c>
      <c r="B16" s="3" t="s">
        <v>38</v>
      </c>
      <c r="C16" s="3" t="s">
        <v>33</v>
      </c>
      <c r="D16" s="3" t="s">
        <v>34</v>
      </c>
      <c r="E16" s="3">
        <v>161021</v>
      </c>
      <c r="F16" s="79">
        <v>153831</v>
      </c>
      <c r="G16" s="1">
        <f>46149+107682</f>
        <v>153831</v>
      </c>
      <c r="H16" s="2">
        <f t="shared" si="0"/>
        <v>0</v>
      </c>
      <c r="I16" s="5" t="s">
        <v>12</v>
      </c>
    </row>
    <row r="17" spans="1:9" customFormat="1" ht="21.95" customHeight="1" x14ac:dyDescent="0.15">
      <c r="A17" s="93" t="s">
        <v>936</v>
      </c>
      <c r="B17" s="3" t="s">
        <v>39</v>
      </c>
      <c r="C17" s="3" t="s">
        <v>33</v>
      </c>
      <c r="D17" s="3" t="s">
        <v>40</v>
      </c>
      <c r="E17" s="3">
        <v>124818</v>
      </c>
      <c r="F17" s="79">
        <v>115036</v>
      </c>
      <c r="G17" s="1">
        <f>45036+35000+35000</f>
        <v>115036</v>
      </c>
      <c r="H17" s="2">
        <f t="shared" si="0"/>
        <v>0</v>
      </c>
      <c r="I17" s="5" t="s">
        <v>12</v>
      </c>
    </row>
    <row r="18" spans="1:9" customFormat="1" ht="21.95" customHeight="1" x14ac:dyDescent="0.15">
      <c r="A18" s="93" t="s">
        <v>937</v>
      </c>
      <c r="B18" s="3" t="s">
        <v>41</v>
      </c>
      <c r="C18" s="3" t="s">
        <v>33</v>
      </c>
      <c r="D18" s="3" t="s">
        <v>34</v>
      </c>
      <c r="E18" s="3">
        <v>173010</v>
      </c>
      <c r="F18" s="79">
        <v>169972</v>
      </c>
      <c r="G18" s="1">
        <f>48972+121000</f>
        <v>169972</v>
      </c>
      <c r="H18" s="2">
        <f t="shared" si="0"/>
        <v>0</v>
      </c>
      <c r="I18" s="5" t="s">
        <v>12</v>
      </c>
    </row>
    <row r="19" spans="1:9" customFormat="1" ht="21.95" customHeight="1" x14ac:dyDescent="0.15">
      <c r="A19" s="93" t="s">
        <v>938</v>
      </c>
      <c r="B19" s="3" t="s">
        <v>42</v>
      </c>
      <c r="C19" s="3" t="s">
        <v>33</v>
      </c>
      <c r="D19" s="3" t="s">
        <v>34</v>
      </c>
      <c r="E19" s="3">
        <v>159886</v>
      </c>
      <c r="F19" s="79">
        <v>158558</v>
      </c>
      <c r="G19" s="1">
        <f>48558+45000+65000</f>
        <v>158558</v>
      </c>
      <c r="H19" s="2">
        <f t="shared" si="0"/>
        <v>0</v>
      </c>
      <c r="I19" s="5" t="s">
        <v>12</v>
      </c>
    </row>
    <row r="20" spans="1:9" customFormat="1" ht="21.95" customHeight="1" x14ac:dyDescent="0.15">
      <c r="A20" s="93" t="s">
        <v>939</v>
      </c>
      <c r="B20" s="3" t="s">
        <v>43</v>
      </c>
      <c r="C20" s="3" t="s">
        <v>33</v>
      </c>
      <c r="D20" s="3" t="s">
        <v>40</v>
      </c>
      <c r="E20" s="3">
        <v>110949</v>
      </c>
      <c r="F20" s="79">
        <v>102255</v>
      </c>
      <c r="G20" s="1">
        <f>30676+41579+30000</f>
        <v>102255</v>
      </c>
      <c r="H20" s="2">
        <f t="shared" si="0"/>
        <v>0</v>
      </c>
      <c r="I20" s="5" t="s">
        <v>12</v>
      </c>
    </row>
    <row r="21" spans="1:9" customFormat="1" ht="21.95" customHeight="1" x14ac:dyDescent="0.15">
      <c r="A21" s="93" t="s">
        <v>940</v>
      </c>
      <c r="B21" s="3" t="s">
        <v>44</v>
      </c>
      <c r="C21" s="3" t="s">
        <v>33</v>
      </c>
      <c r="D21" s="3" t="s">
        <v>34</v>
      </c>
      <c r="E21" s="3">
        <v>167423</v>
      </c>
      <c r="F21" s="79">
        <v>160729</v>
      </c>
      <c r="G21" s="1">
        <f>48000+42729+70000</f>
        <v>160729</v>
      </c>
      <c r="H21" s="2">
        <f t="shared" si="0"/>
        <v>0</v>
      </c>
      <c r="I21" s="5" t="s">
        <v>12</v>
      </c>
    </row>
    <row r="22" spans="1:9" customFormat="1" ht="21.95" customHeight="1" x14ac:dyDescent="0.15">
      <c r="A22" s="93" t="s">
        <v>941</v>
      </c>
      <c r="B22" s="3" t="s">
        <v>45</v>
      </c>
      <c r="C22" s="3" t="s">
        <v>33</v>
      </c>
      <c r="D22" s="3" t="s">
        <v>34</v>
      </c>
      <c r="E22" s="3">
        <v>174126</v>
      </c>
      <c r="F22" s="79">
        <v>166648</v>
      </c>
      <c r="G22" s="1">
        <f>46648+120000</f>
        <v>166648</v>
      </c>
      <c r="H22" s="2">
        <f t="shared" si="0"/>
        <v>0</v>
      </c>
      <c r="I22" s="5" t="s">
        <v>12</v>
      </c>
    </row>
    <row r="23" spans="1:9" customFormat="1" ht="21.95" customHeight="1" x14ac:dyDescent="0.15">
      <c r="A23" s="93" t="s">
        <v>942</v>
      </c>
      <c r="B23" s="3" t="s">
        <v>46</v>
      </c>
      <c r="C23" s="3" t="s">
        <v>33</v>
      </c>
      <c r="D23" s="3" t="s">
        <v>34</v>
      </c>
      <c r="E23" s="3">
        <v>182801</v>
      </c>
      <c r="F23" s="79">
        <v>175177</v>
      </c>
      <c r="G23" s="1">
        <f>45177+130000</f>
        <v>175177</v>
      </c>
      <c r="H23" s="2">
        <f t="shared" si="0"/>
        <v>0</v>
      </c>
      <c r="I23" s="5" t="s">
        <v>12</v>
      </c>
    </row>
    <row r="24" spans="1:9" customFormat="1" ht="21.95" customHeight="1" x14ac:dyDescent="0.15">
      <c r="A24" s="93" t="s">
        <v>943</v>
      </c>
      <c r="B24" s="3" t="s">
        <v>47</v>
      </c>
      <c r="C24" s="3" t="s">
        <v>48</v>
      </c>
      <c r="D24" s="3" t="s">
        <v>34</v>
      </c>
      <c r="E24" s="3">
        <v>116242</v>
      </c>
      <c r="F24" s="79">
        <v>108621</v>
      </c>
      <c r="G24" s="1">
        <v>108621</v>
      </c>
      <c r="H24" s="2">
        <f t="shared" si="0"/>
        <v>0</v>
      </c>
      <c r="I24" s="5" t="s">
        <v>12</v>
      </c>
    </row>
    <row r="25" spans="1:9" customFormat="1" ht="21.95" customHeight="1" x14ac:dyDescent="0.15">
      <c r="A25" s="93" t="s">
        <v>944</v>
      </c>
      <c r="B25" s="3" t="s">
        <v>49</v>
      </c>
      <c r="C25" s="3" t="s">
        <v>48</v>
      </c>
      <c r="D25" s="3" t="s">
        <v>34</v>
      </c>
      <c r="E25" s="3">
        <v>165605</v>
      </c>
      <c r="F25" s="79">
        <v>154987</v>
      </c>
      <c r="G25" s="1">
        <f>46496+48491+30000+30000</f>
        <v>154987</v>
      </c>
      <c r="H25" s="2">
        <f t="shared" si="0"/>
        <v>0</v>
      </c>
      <c r="I25" s="80" t="s">
        <v>12</v>
      </c>
    </row>
    <row r="26" spans="1:9" customFormat="1" ht="21.95" customHeight="1" x14ac:dyDescent="0.15">
      <c r="A26" s="93" t="s">
        <v>945</v>
      </c>
      <c r="B26" s="3" t="s">
        <v>50</v>
      </c>
      <c r="C26" s="3" t="s">
        <v>48</v>
      </c>
      <c r="D26" s="3" t="s">
        <v>34</v>
      </c>
      <c r="E26" s="3">
        <v>149885</v>
      </c>
      <c r="F26" s="79">
        <v>140957</v>
      </c>
      <c r="G26" s="1">
        <f>42287+48670+50000</f>
        <v>140957</v>
      </c>
      <c r="H26" s="2">
        <f t="shared" si="0"/>
        <v>0</v>
      </c>
      <c r="I26" s="80" t="s">
        <v>12</v>
      </c>
    </row>
    <row r="27" spans="1:9" customFormat="1" ht="32.1" customHeight="1" x14ac:dyDescent="0.15">
      <c r="A27" s="93" t="s">
        <v>946</v>
      </c>
      <c r="B27" s="3" t="s">
        <v>51</v>
      </c>
      <c r="C27" s="3" t="s">
        <v>48</v>
      </c>
      <c r="D27" s="3" t="s">
        <v>34</v>
      </c>
      <c r="E27" s="3">
        <v>150538</v>
      </c>
      <c r="F27" s="79">
        <v>140318</v>
      </c>
      <c r="G27" s="1">
        <v>140318</v>
      </c>
      <c r="H27" s="2">
        <f t="shared" si="0"/>
        <v>0</v>
      </c>
      <c r="I27" s="80" t="s">
        <v>12</v>
      </c>
    </row>
    <row r="28" spans="1:9" customFormat="1" ht="32.1" customHeight="1" x14ac:dyDescent="0.15">
      <c r="A28" s="93" t="s">
        <v>947</v>
      </c>
      <c r="B28" s="3" t="s">
        <v>52</v>
      </c>
      <c r="C28" s="3" t="s">
        <v>48</v>
      </c>
      <c r="D28" s="3" t="s">
        <v>34</v>
      </c>
      <c r="E28" s="3">
        <v>163780</v>
      </c>
      <c r="F28" s="79">
        <v>153733</v>
      </c>
      <c r="G28" s="1">
        <f>46119+47614+60000</f>
        <v>153733</v>
      </c>
      <c r="H28" s="2">
        <f t="shared" si="0"/>
        <v>0</v>
      </c>
      <c r="I28" s="80" t="s">
        <v>12</v>
      </c>
    </row>
    <row r="29" spans="1:9" customFormat="1" ht="32.1" customHeight="1" x14ac:dyDescent="0.15">
      <c r="A29" s="93" t="s">
        <v>948</v>
      </c>
      <c r="B29" s="3" t="s">
        <v>53</v>
      </c>
      <c r="C29" s="3" t="s">
        <v>48</v>
      </c>
      <c r="D29" s="3" t="s">
        <v>34</v>
      </c>
      <c r="E29" s="3">
        <v>151117</v>
      </c>
      <c r="F29" s="79">
        <v>141768</v>
      </c>
      <c r="G29" s="1">
        <v>141768</v>
      </c>
      <c r="H29" s="2">
        <f t="shared" si="0"/>
        <v>0</v>
      </c>
      <c r="I29" s="80" t="s">
        <v>12</v>
      </c>
    </row>
    <row r="30" spans="1:9" customFormat="1" ht="32.1" customHeight="1" x14ac:dyDescent="0.15">
      <c r="A30" s="93" t="s">
        <v>949</v>
      </c>
      <c r="B30" s="3" t="s">
        <v>54</v>
      </c>
      <c r="C30" s="3" t="s">
        <v>48</v>
      </c>
      <c r="D30" s="3" t="s">
        <v>40</v>
      </c>
      <c r="E30" s="3">
        <v>188800</v>
      </c>
      <c r="F30" s="79"/>
      <c r="G30" s="1">
        <f>48800+140000</f>
        <v>188800</v>
      </c>
      <c r="H30" s="2">
        <f t="shared" ref="H30:H55" si="1">E30-G30</f>
        <v>0</v>
      </c>
      <c r="I30" s="80"/>
    </row>
    <row r="31" spans="1:9" customFormat="1" ht="32.1" customHeight="1" x14ac:dyDescent="0.15">
      <c r="A31" s="93" t="s">
        <v>950</v>
      </c>
      <c r="B31" s="3" t="s">
        <v>55</v>
      </c>
      <c r="C31" s="3" t="s">
        <v>48</v>
      </c>
      <c r="D31" s="3" t="s">
        <v>34</v>
      </c>
      <c r="E31" s="3">
        <v>181657</v>
      </c>
      <c r="F31" s="79">
        <v>169831</v>
      </c>
      <c r="G31" s="1">
        <v>169831</v>
      </c>
      <c r="H31" s="2">
        <f>F31-G31</f>
        <v>0</v>
      </c>
      <c r="I31" s="80" t="s">
        <v>12</v>
      </c>
    </row>
    <row r="32" spans="1:9" customFormat="1" ht="32.1" customHeight="1" x14ac:dyDescent="0.15">
      <c r="A32" s="93" t="s">
        <v>951</v>
      </c>
      <c r="B32" s="3" t="s">
        <v>56</v>
      </c>
      <c r="C32" s="3" t="s">
        <v>48</v>
      </c>
      <c r="D32" s="3" t="s">
        <v>34</v>
      </c>
      <c r="E32" s="3">
        <v>190750</v>
      </c>
      <c r="F32" s="79">
        <v>177941</v>
      </c>
      <c r="G32" s="1">
        <v>177941</v>
      </c>
      <c r="H32" s="2">
        <f>F32-G32</f>
        <v>0</v>
      </c>
      <c r="I32" s="80" t="s">
        <v>12</v>
      </c>
    </row>
    <row r="33" spans="1:9" ht="32.1" customHeight="1" x14ac:dyDescent="0.15">
      <c r="A33" s="93" t="s">
        <v>952</v>
      </c>
      <c r="B33" s="3" t="s">
        <v>57</v>
      </c>
      <c r="C33" s="3" t="s">
        <v>48</v>
      </c>
      <c r="D33" s="3" t="s">
        <v>40</v>
      </c>
      <c r="E33" s="3">
        <v>152701</v>
      </c>
      <c r="F33" s="79"/>
      <c r="G33" s="1">
        <f>45810+46891+60000</f>
        <v>152701</v>
      </c>
      <c r="H33" s="2">
        <f t="shared" si="1"/>
        <v>0</v>
      </c>
      <c r="I33" s="3" t="s">
        <v>12</v>
      </c>
    </row>
    <row r="34" spans="1:9" ht="32.1" customHeight="1" x14ac:dyDescent="0.15">
      <c r="A34" s="93" t="s">
        <v>953</v>
      </c>
      <c r="B34" s="3" t="s">
        <v>58</v>
      </c>
      <c r="C34" s="3" t="s">
        <v>48</v>
      </c>
      <c r="D34" s="3" t="s">
        <v>40</v>
      </c>
      <c r="E34" s="3">
        <v>133848</v>
      </c>
      <c r="F34" s="3"/>
      <c r="G34" s="1">
        <f>40154+43694+50000</f>
        <v>133848</v>
      </c>
      <c r="H34" s="2">
        <f t="shared" si="1"/>
        <v>0</v>
      </c>
      <c r="I34" s="3" t="s">
        <v>59</v>
      </c>
    </row>
    <row r="35" spans="1:9" ht="32.1" customHeight="1" x14ac:dyDescent="0.15">
      <c r="A35" s="93" t="s">
        <v>954</v>
      </c>
      <c r="B35" s="3" t="s">
        <v>60</v>
      </c>
      <c r="C35" s="3" t="s">
        <v>48</v>
      </c>
      <c r="D35" s="3" t="s">
        <v>40</v>
      </c>
      <c r="E35" s="3">
        <v>136749</v>
      </c>
      <c r="F35" s="3"/>
      <c r="G35" s="1">
        <f>46749+48000+42000</f>
        <v>136749</v>
      </c>
      <c r="H35" s="2">
        <f t="shared" si="1"/>
        <v>0</v>
      </c>
      <c r="I35" s="3" t="s">
        <v>12</v>
      </c>
    </row>
    <row r="36" spans="1:9" ht="32.1" customHeight="1" x14ac:dyDescent="0.15">
      <c r="A36" s="93" t="s">
        <v>955</v>
      </c>
      <c r="B36" s="3" t="s">
        <v>61</v>
      </c>
      <c r="C36" s="3" t="s">
        <v>48</v>
      </c>
      <c r="D36" s="3" t="s">
        <v>40</v>
      </c>
      <c r="E36" s="3">
        <v>192817</v>
      </c>
      <c r="F36" s="3"/>
      <c r="G36" s="1">
        <f>46000+46817+100000</f>
        <v>192817</v>
      </c>
      <c r="H36" s="2">
        <f t="shared" si="1"/>
        <v>0</v>
      </c>
      <c r="I36" s="3" t="s">
        <v>12</v>
      </c>
    </row>
    <row r="37" spans="1:9" ht="21.95" customHeight="1" x14ac:dyDescent="0.15">
      <c r="A37" s="93" t="s">
        <v>956</v>
      </c>
      <c r="B37" s="3" t="s">
        <v>62</v>
      </c>
      <c r="C37" s="3" t="s">
        <v>14</v>
      </c>
      <c r="D37" s="3" t="s">
        <v>63</v>
      </c>
      <c r="E37" s="3">
        <v>170458</v>
      </c>
      <c r="F37" s="3">
        <v>170458</v>
      </c>
      <c r="G37" s="1">
        <f>40458+44771+85229</f>
        <v>170458</v>
      </c>
      <c r="H37" s="2">
        <f t="shared" si="1"/>
        <v>0</v>
      </c>
      <c r="I37" s="3" t="s">
        <v>12</v>
      </c>
    </row>
    <row r="38" spans="1:9" ht="24" customHeight="1" x14ac:dyDescent="0.15">
      <c r="A38" s="93" t="s">
        <v>957</v>
      </c>
      <c r="B38" s="3" t="s">
        <v>64</v>
      </c>
      <c r="C38" s="3" t="s">
        <v>65</v>
      </c>
      <c r="D38" s="3" t="s">
        <v>66</v>
      </c>
      <c r="E38" s="3">
        <v>1291000</v>
      </c>
      <c r="F38" s="3"/>
      <c r="G38" s="1">
        <f>45000+45000+45000+59000+150000+50000+150000+50000+100000</f>
        <v>694000</v>
      </c>
      <c r="H38" s="2">
        <f t="shared" si="1"/>
        <v>597000</v>
      </c>
      <c r="I38" s="3" t="s">
        <v>67</v>
      </c>
    </row>
    <row r="39" spans="1:9" ht="21.95" customHeight="1" x14ac:dyDescent="0.15">
      <c r="A39" s="93" t="s">
        <v>958</v>
      </c>
      <c r="B39" s="3" t="s">
        <v>68</v>
      </c>
      <c r="C39" s="3" t="s">
        <v>69</v>
      </c>
      <c r="D39" s="3" t="s">
        <v>70</v>
      </c>
      <c r="E39" s="3">
        <v>194400</v>
      </c>
      <c r="F39" s="3"/>
      <c r="G39" s="1">
        <f>49400+45000+100000</f>
        <v>194400</v>
      </c>
      <c r="H39" s="2">
        <f t="shared" si="1"/>
        <v>0</v>
      </c>
      <c r="I39" s="3" t="s">
        <v>12</v>
      </c>
    </row>
    <row r="40" spans="1:9" ht="21.95" customHeight="1" x14ac:dyDescent="0.15">
      <c r="A40" s="93" t="s">
        <v>959</v>
      </c>
      <c r="B40" s="3" t="s">
        <v>71</v>
      </c>
      <c r="C40" s="3" t="s">
        <v>48</v>
      </c>
      <c r="D40" s="3"/>
      <c r="E40" s="3">
        <v>198856</v>
      </c>
      <c r="F40" s="3"/>
      <c r="G40" s="1">
        <f>48856+48000+102000</f>
        <v>198856</v>
      </c>
      <c r="H40" s="2">
        <f t="shared" si="1"/>
        <v>0</v>
      </c>
      <c r="I40" s="3" t="s">
        <v>12</v>
      </c>
    </row>
    <row r="41" spans="1:9" ht="21.95" customHeight="1" x14ac:dyDescent="0.15">
      <c r="A41" s="93" t="s">
        <v>960</v>
      </c>
      <c r="B41" s="3" t="s">
        <v>72</v>
      </c>
      <c r="C41" s="3" t="s">
        <v>22</v>
      </c>
      <c r="D41" s="3" t="s">
        <v>73</v>
      </c>
      <c r="E41" s="3">
        <v>197813</v>
      </c>
      <c r="F41" s="3"/>
      <c r="G41" s="1">
        <v>47813</v>
      </c>
      <c r="H41" s="2">
        <f t="shared" si="1"/>
        <v>150000</v>
      </c>
      <c r="I41" s="3" t="s">
        <v>12</v>
      </c>
    </row>
    <row r="42" spans="1:9" ht="21.95" customHeight="1" x14ac:dyDescent="0.15">
      <c r="A42" s="93" t="s">
        <v>961</v>
      </c>
      <c r="B42" s="3" t="s">
        <v>74</v>
      </c>
      <c r="C42" s="3" t="s">
        <v>22</v>
      </c>
      <c r="D42" s="3" t="s">
        <v>73</v>
      </c>
      <c r="E42" s="3">
        <v>199772</v>
      </c>
      <c r="F42" s="3"/>
      <c r="G42" s="1">
        <f>47813+1959+50000</f>
        <v>99772</v>
      </c>
      <c r="H42" s="2">
        <f t="shared" si="1"/>
        <v>100000</v>
      </c>
      <c r="I42" s="3" t="s">
        <v>12</v>
      </c>
    </row>
    <row r="43" spans="1:9" ht="21.95" customHeight="1" x14ac:dyDescent="0.15">
      <c r="A43" s="93" t="s">
        <v>962</v>
      </c>
      <c r="B43" s="3" t="s">
        <v>75</v>
      </c>
      <c r="C43" s="3" t="s">
        <v>76</v>
      </c>
      <c r="D43" s="5" t="s">
        <v>73</v>
      </c>
      <c r="E43" s="3">
        <v>191849</v>
      </c>
      <c r="F43" s="45"/>
      <c r="G43" s="1">
        <v>41849</v>
      </c>
      <c r="H43" s="2">
        <f t="shared" si="1"/>
        <v>150000</v>
      </c>
      <c r="I43" s="5" t="s">
        <v>12</v>
      </c>
    </row>
    <row r="44" spans="1:9" ht="21.95" customHeight="1" x14ac:dyDescent="0.15">
      <c r="A44" s="93" t="s">
        <v>963</v>
      </c>
      <c r="B44" s="3" t="s">
        <v>77</v>
      </c>
      <c r="C44" s="3" t="s">
        <v>76</v>
      </c>
      <c r="D44" s="5"/>
      <c r="E44" s="3">
        <v>97929</v>
      </c>
      <c r="F44" s="45"/>
      <c r="G44" s="1">
        <f>47929+50000</f>
        <v>97929</v>
      </c>
      <c r="H44" s="2">
        <f t="shared" si="1"/>
        <v>0</v>
      </c>
      <c r="I44" s="5" t="s">
        <v>12</v>
      </c>
    </row>
    <row r="45" spans="1:9" ht="21.95" customHeight="1" x14ac:dyDescent="0.15">
      <c r="A45" s="93" t="s">
        <v>964</v>
      </c>
      <c r="B45" s="3" t="s">
        <v>78</v>
      </c>
      <c r="C45" s="3" t="s">
        <v>24</v>
      </c>
      <c r="D45" s="5"/>
      <c r="E45" s="3">
        <v>141372</v>
      </c>
      <c r="F45" s="3"/>
      <c r="G45" s="6">
        <f>41372+100000</f>
        <v>141372</v>
      </c>
      <c r="H45" s="2">
        <f t="shared" si="1"/>
        <v>0</v>
      </c>
      <c r="I45" s="5" t="s">
        <v>12</v>
      </c>
    </row>
    <row r="46" spans="1:9" ht="21.95" customHeight="1" x14ac:dyDescent="0.15">
      <c r="A46" s="93" t="s">
        <v>965</v>
      </c>
      <c r="B46" s="3" t="s">
        <v>79</v>
      </c>
      <c r="C46" s="3" t="s">
        <v>24</v>
      </c>
      <c r="D46" s="5"/>
      <c r="E46" s="3">
        <v>88420</v>
      </c>
      <c r="F46" s="3"/>
      <c r="G46" s="6">
        <f>44210+44210</f>
        <v>88420</v>
      </c>
      <c r="H46" s="2">
        <f t="shared" si="1"/>
        <v>0</v>
      </c>
      <c r="I46" s="5" t="s">
        <v>12</v>
      </c>
    </row>
    <row r="47" spans="1:9" ht="21.95" customHeight="1" x14ac:dyDescent="0.15">
      <c r="A47" s="93" t="s">
        <v>966</v>
      </c>
      <c r="B47" s="3" t="s">
        <v>80</v>
      </c>
      <c r="C47" s="3" t="s">
        <v>81</v>
      </c>
      <c r="D47" s="3" t="s">
        <v>82</v>
      </c>
      <c r="E47" s="3">
        <v>198000</v>
      </c>
      <c r="F47" s="3"/>
      <c r="G47" s="6">
        <f>49800+48200+100000</f>
        <v>198000</v>
      </c>
      <c r="H47" s="2">
        <f t="shared" si="1"/>
        <v>0</v>
      </c>
      <c r="I47" s="5" t="s">
        <v>12</v>
      </c>
    </row>
    <row r="48" spans="1:9" ht="21.95" customHeight="1" x14ac:dyDescent="0.15">
      <c r="A48" s="93" t="s">
        <v>967</v>
      </c>
      <c r="B48" s="3" t="s">
        <v>83</v>
      </c>
      <c r="C48" s="3" t="s">
        <v>81</v>
      </c>
      <c r="D48" s="3" t="s">
        <v>82</v>
      </c>
      <c r="E48" s="3">
        <v>40000</v>
      </c>
      <c r="F48" s="3"/>
      <c r="G48" s="6">
        <v>40000</v>
      </c>
      <c r="H48" s="2">
        <f t="shared" si="1"/>
        <v>0</v>
      </c>
      <c r="I48" s="5" t="s">
        <v>12</v>
      </c>
    </row>
    <row r="49" spans="1:9" ht="21.95" customHeight="1" x14ac:dyDescent="0.15">
      <c r="A49" s="93" t="s">
        <v>968</v>
      </c>
      <c r="B49" s="3" t="s">
        <v>84</v>
      </c>
      <c r="C49" s="3" t="s">
        <v>85</v>
      </c>
      <c r="D49" s="3" t="s">
        <v>86</v>
      </c>
      <c r="E49" s="3">
        <v>178000</v>
      </c>
      <c r="F49" s="3"/>
      <c r="G49" s="6">
        <f>47800+40200+90000</f>
        <v>178000</v>
      </c>
      <c r="H49" s="2">
        <f t="shared" si="1"/>
        <v>0</v>
      </c>
      <c r="I49" s="5" t="s">
        <v>12</v>
      </c>
    </row>
    <row r="50" spans="1:9" ht="21.95" customHeight="1" x14ac:dyDescent="0.15">
      <c r="A50" s="93" t="s">
        <v>969</v>
      </c>
      <c r="B50" s="3" t="s">
        <v>87</v>
      </c>
      <c r="C50" s="3" t="s">
        <v>88</v>
      </c>
      <c r="D50" s="3" t="s">
        <v>89</v>
      </c>
      <c r="E50" s="3">
        <v>116940</v>
      </c>
      <c r="F50" s="3"/>
      <c r="G50" s="6">
        <f>46940+70000</f>
        <v>116940</v>
      </c>
      <c r="H50" s="2">
        <f t="shared" si="1"/>
        <v>0</v>
      </c>
      <c r="I50" s="5" t="s">
        <v>12</v>
      </c>
    </row>
    <row r="51" spans="1:9" ht="21.95" customHeight="1" x14ac:dyDescent="0.15">
      <c r="A51" s="93" t="s">
        <v>970</v>
      </c>
      <c r="B51" s="3" t="s">
        <v>90</v>
      </c>
      <c r="C51" s="3" t="s">
        <v>88</v>
      </c>
      <c r="D51" s="3" t="s">
        <v>89</v>
      </c>
      <c r="E51" s="3">
        <v>41211</v>
      </c>
      <c r="F51" s="3"/>
      <c r="G51" s="6">
        <v>41211</v>
      </c>
      <c r="H51" s="2">
        <f t="shared" si="1"/>
        <v>0</v>
      </c>
      <c r="I51" s="5" t="s">
        <v>12</v>
      </c>
    </row>
    <row r="52" spans="1:9" ht="21.95" customHeight="1" x14ac:dyDescent="0.15">
      <c r="A52" s="93" t="s">
        <v>971</v>
      </c>
      <c r="B52" s="3" t="s">
        <v>91</v>
      </c>
      <c r="C52" s="3" t="s">
        <v>92</v>
      </c>
      <c r="D52" s="3" t="s">
        <v>86</v>
      </c>
      <c r="E52" s="3">
        <v>71600</v>
      </c>
      <c r="F52" s="3"/>
      <c r="G52" s="6">
        <f>35800+35800</f>
        <v>71600</v>
      </c>
      <c r="H52" s="2">
        <f t="shared" si="1"/>
        <v>0</v>
      </c>
      <c r="I52" s="5" t="s">
        <v>12</v>
      </c>
    </row>
    <row r="53" spans="1:9" ht="21.95" customHeight="1" x14ac:dyDescent="0.15">
      <c r="A53" s="93" t="s">
        <v>972</v>
      </c>
      <c r="B53" s="3" t="s">
        <v>93</v>
      </c>
      <c r="C53" s="3" t="s">
        <v>92</v>
      </c>
      <c r="D53" s="3" t="s">
        <v>86</v>
      </c>
      <c r="E53" s="3">
        <v>136950</v>
      </c>
      <c r="F53" s="3"/>
      <c r="G53" s="6">
        <f>46950+45000+45000</f>
        <v>136950</v>
      </c>
      <c r="H53" s="2">
        <f t="shared" si="1"/>
        <v>0</v>
      </c>
      <c r="I53" s="5" t="s">
        <v>12</v>
      </c>
    </row>
    <row r="54" spans="1:9" ht="21.95" customHeight="1" x14ac:dyDescent="0.15">
      <c r="A54" s="93" t="s">
        <v>973</v>
      </c>
      <c r="B54" s="3" t="s">
        <v>94</v>
      </c>
      <c r="C54" s="3" t="s">
        <v>95</v>
      </c>
      <c r="D54" s="3" t="s">
        <v>96</v>
      </c>
      <c r="E54" s="3">
        <v>18020</v>
      </c>
      <c r="F54" s="3"/>
      <c r="G54" s="6">
        <v>18020</v>
      </c>
      <c r="H54" s="2">
        <f t="shared" si="1"/>
        <v>0</v>
      </c>
      <c r="I54" s="5" t="s">
        <v>12</v>
      </c>
    </row>
    <row r="55" spans="1:9" ht="21.95" customHeight="1" x14ac:dyDescent="0.15">
      <c r="A55" s="93" t="s">
        <v>974</v>
      </c>
      <c r="B55" s="3" t="s">
        <v>97</v>
      </c>
      <c r="C55" s="3" t="s">
        <v>48</v>
      </c>
      <c r="D55" s="3" t="s">
        <v>98</v>
      </c>
      <c r="E55" s="3">
        <v>176080</v>
      </c>
      <c r="F55" s="3"/>
      <c r="G55" s="6">
        <f>46080+45000+85000</f>
        <v>176080</v>
      </c>
      <c r="H55" s="2">
        <f t="shared" si="1"/>
        <v>0</v>
      </c>
      <c r="I55" s="5" t="s">
        <v>12</v>
      </c>
    </row>
    <row r="56" spans="1:9" ht="21.95" customHeight="1" x14ac:dyDescent="0.15">
      <c r="A56" s="93" t="s">
        <v>975</v>
      </c>
      <c r="B56" s="3" t="s">
        <v>99</v>
      </c>
      <c r="C56" s="3" t="s">
        <v>100</v>
      </c>
      <c r="D56" s="3" t="s">
        <v>86</v>
      </c>
      <c r="E56" s="3">
        <v>121926</v>
      </c>
      <c r="F56" s="3">
        <v>107720</v>
      </c>
      <c r="G56" s="6">
        <f>42316+65404</f>
        <v>107720</v>
      </c>
      <c r="H56" s="4">
        <f>F56-G56</f>
        <v>0</v>
      </c>
      <c r="I56" s="5" t="s">
        <v>12</v>
      </c>
    </row>
    <row r="57" spans="1:9" ht="21.95" customHeight="1" x14ac:dyDescent="0.15">
      <c r="A57" s="93" t="s">
        <v>976</v>
      </c>
      <c r="B57" s="3" t="s">
        <v>101</v>
      </c>
      <c r="C57" s="3" t="s">
        <v>102</v>
      </c>
      <c r="D57" s="3"/>
      <c r="E57" s="3">
        <v>157500</v>
      </c>
      <c r="F57" s="3"/>
      <c r="G57" s="6">
        <f>45500+45000+30000+37000</f>
        <v>157500</v>
      </c>
      <c r="H57" s="4">
        <f t="shared" ref="H57:H66" si="2">E57-G57</f>
        <v>0</v>
      </c>
      <c r="I57" s="5" t="s">
        <v>12</v>
      </c>
    </row>
    <row r="58" spans="1:9" ht="21.95" customHeight="1" x14ac:dyDescent="0.15">
      <c r="A58" s="93" t="s">
        <v>977</v>
      </c>
      <c r="B58" s="3" t="s">
        <v>103</v>
      </c>
      <c r="C58" s="3" t="s">
        <v>100</v>
      </c>
      <c r="D58" s="3" t="s">
        <v>86</v>
      </c>
      <c r="E58" s="3">
        <v>13548</v>
      </c>
      <c r="F58" s="3">
        <v>11969</v>
      </c>
      <c r="G58" s="6">
        <v>11969</v>
      </c>
      <c r="H58" s="4">
        <f>F58-G58</f>
        <v>0</v>
      </c>
      <c r="I58" s="5" t="s">
        <v>12</v>
      </c>
    </row>
    <row r="59" spans="1:9" ht="21.95" customHeight="1" x14ac:dyDescent="0.15">
      <c r="A59" s="93" t="s">
        <v>978</v>
      </c>
      <c r="B59" s="3" t="s">
        <v>104</v>
      </c>
      <c r="C59" s="3" t="s">
        <v>105</v>
      </c>
      <c r="D59" s="3" t="s">
        <v>98</v>
      </c>
      <c r="E59" s="3">
        <v>185310</v>
      </c>
      <c r="F59" s="3"/>
      <c r="G59" s="6">
        <f>45310+48000+92000</f>
        <v>185310</v>
      </c>
      <c r="H59" s="4">
        <f t="shared" si="2"/>
        <v>0</v>
      </c>
      <c r="I59" s="5"/>
    </row>
    <row r="60" spans="1:9" ht="21.95" customHeight="1" x14ac:dyDescent="0.15">
      <c r="A60" s="93" t="s">
        <v>979</v>
      </c>
      <c r="B60" s="3" t="s">
        <v>106</v>
      </c>
      <c r="C60" s="3" t="s">
        <v>107</v>
      </c>
      <c r="D60" s="3" t="s">
        <v>82</v>
      </c>
      <c r="E60" s="3">
        <v>198000</v>
      </c>
      <c r="F60" s="3"/>
      <c r="G60" s="6">
        <f>49800+48200</f>
        <v>98000</v>
      </c>
      <c r="H60" s="4">
        <f t="shared" si="2"/>
        <v>100000</v>
      </c>
      <c r="I60" s="5" t="s">
        <v>12</v>
      </c>
    </row>
    <row r="61" spans="1:9" ht="21.95" customHeight="1" x14ac:dyDescent="0.15">
      <c r="A61" s="93" t="s">
        <v>980</v>
      </c>
      <c r="B61" s="3" t="s">
        <v>108</v>
      </c>
      <c r="C61" s="3" t="s">
        <v>109</v>
      </c>
      <c r="D61" s="3" t="s">
        <v>110</v>
      </c>
      <c r="E61" s="3">
        <v>79200</v>
      </c>
      <c r="F61" s="3"/>
      <c r="G61" s="6">
        <f>49200+30000</f>
        <v>79200</v>
      </c>
      <c r="H61" s="4">
        <f t="shared" si="2"/>
        <v>0</v>
      </c>
      <c r="I61" s="5" t="s">
        <v>12</v>
      </c>
    </row>
    <row r="62" spans="1:9" ht="21.95" customHeight="1" x14ac:dyDescent="0.15">
      <c r="A62" s="93" t="s">
        <v>981</v>
      </c>
      <c r="B62" s="3" t="s">
        <v>111</v>
      </c>
      <c r="C62" s="3" t="s">
        <v>109</v>
      </c>
      <c r="D62" s="3" t="s">
        <v>98</v>
      </c>
      <c r="E62" s="3">
        <v>184870</v>
      </c>
      <c r="F62" s="3"/>
      <c r="G62" s="6">
        <f>44870+46000+94000</f>
        <v>184870</v>
      </c>
      <c r="H62" s="4">
        <f t="shared" si="2"/>
        <v>0</v>
      </c>
      <c r="I62" s="5" t="s">
        <v>12</v>
      </c>
    </row>
    <row r="63" spans="1:9" ht="21.95" customHeight="1" x14ac:dyDescent="0.15">
      <c r="A63" s="93" t="s">
        <v>982</v>
      </c>
      <c r="B63" s="3" t="s">
        <v>112</v>
      </c>
      <c r="C63" s="3" t="s">
        <v>109</v>
      </c>
      <c r="D63" s="3" t="s">
        <v>98</v>
      </c>
      <c r="E63" s="3">
        <v>194850</v>
      </c>
      <c r="F63" s="3"/>
      <c r="G63" s="6">
        <f>44850+45000+105000</f>
        <v>194850</v>
      </c>
      <c r="H63" s="4">
        <f t="shared" si="2"/>
        <v>0</v>
      </c>
      <c r="I63" s="5" t="s">
        <v>12</v>
      </c>
    </row>
    <row r="64" spans="1:9" ht="21.95" customHeight="1" x14ac:dyDescent="0.15">
      <c r="A64" s="93" t="s">
        <v>983</v>
      </c>
      <c r="B64" s="3" t="s">
        <v>113</v>
      </c>
      <c r="C64" s="3" t="s">
        <v>114</v>
      </c>
      <c r="D64" s="3" t="s">
        <v>98</v>
      </c>
      <c r="E64" s="3">
        <v>150160</v>
      </c>
      <c r="F64" s="3"/>
      <c r="G64" s="6">
        <f>45048+45112+60000</f>
        <v>150160</v>
      </c>
      <c r="H64" s="4">
        <f t="shared" si="2"/>
        <v>0</v>
      </c>
      <c r="I64" s="5"/>
    </row>
    <row r="65" spans="1:9" ht="21.95" customHeight="1" x14ac:dyDescent="0.15">
      <c r="A65" s="93" t="s">
        <v>984</v>
      </c>
      <c r="B65" s="3" t="s">
        <v>115</v>
      </c>
      <c r="C65" s="3" t="s">
        <v>114</v>
      </c>
      <c r="D65" s="3" t="s">
        <v>110</v>
      </c>
      <c r="E65" s="3">
        <v>158400</v>
      </c>
      <c r="F65" s="3"/>
      <c r="G65" s="6">
        <f>48400+45000+65000</f>
        <v>158400</v>
      </c>
      <c r="H65" s="4">
        <f t="shared" si="2"/>
        <v>0</v>
      </c>
      <c r="I65" s="5"/>
    </row>
    <row r="66" spans="1:9" ht="21.95" customHeight="1" x14ac:dyDescent="0.15">
      <c r="A66" s="93" t="s">
        <v>985</v>
      </c>
      <c r="B66" s="3" t="s">
        <v>116</v>
      </c>
      <c r="C66" s="3" t="s">
        <v>114</v>
      </c>
      <c r="D66" s="3" t="s">
        <v>117</v>
      </c>
      <c r="E66" s="3">
        <v>169260</v>
      </c>
      <c r="F66" s="3"/>
      <c r="G66" s="6">
        <f>49260+42000+38000+40000</f>
        <v>169260</v>
      </c>
      <c r="H66" s="4">
        <f t="shared" si="2"/>
        <v>0</v>
      </c>
      <c r="I66" s="5" t="s">
        <v>12</v>
      </c>
    </row>
    <row r="67" spans="1:9" ht="21.95" customHeight="1" x14ac:dyDescent="0.15">
      <c r="A67" s="93" t="s">
        <v>986</v>
      </c>
      <c r="B67" s="3" t="s">
        <v>118</v>
      </c>
      <c r="C67" s="3" t="s">
        <v>76</v>
      </c>
      <c r="D67" s="3" t="s">
        <v>119</v>
      </c>
      <c r="E67" s="3">
        <v>40897</v>
      </c>
      <c r="F67" s="3">
        <v>36343</v>
      </c>
      <c r="G67" s="6">
        <v>36343</v>
      </c>
      <c r="H67" s="4">
        <f>F67-G67</f>
        <v>0</v>
      </c>
      <c r="I67" s="5" t="s">
        <v>12</v>
      </c>
    </row>
    <row r="68" spans="1:9" ht="21.95" customHeight="1" x14ac:dyDescent="0.15">
      <c r="A68" s="93" t="s">
        <v>987</v>
      </c>
      <c r="B68" s="3" t="s">
        <v>120</v>
      </c>
      <c r="C68" s="3" t="s">
        <v>121</v>
      </c>
      <c r="D68" s="3" t="s">
        <v>122</v>
      </c>
      <c r="E68" s="3">
        <v>115000</v>
      </c>
      <c r="F68" s="3"/>
      <c r="G68" s="6">
        <f>57500+57500</f>
        <v>115000</v>
      </c>
      <c r="H68" s="4">
        <f t="shared" ref="H68:H71" si="3">E68-G68</f>
        <v>0</v>
      </c>
      <c r="I68" s="5" t="s">
        <v>12</v>
      </c>
    </row>
    <row r="69" spans="1:9" ht="21.95" customHeight="1" x14ac:dyDescent="0.15">
      <c r="A69" s="93" t="s">
        <v>988</v>
      </c>
      <c r="B69" s="3" t="s">
        <v>123</v>
      </c>
      <c r="C69" s="3" t="s">
        <v>124</v>
      </c>
      <c r="D69" s="3" t="s">
        <v>122</v>
      </c>
      <c r="E69" s="3">
        <v>191535</v>
      </c>
      <c r="F69" s="3"/>
      <c r="G69" s="6">
        <f>41535+150000</f>
        <v>191535</v>
      </c>
      <c r="H69" s="4">
        <f t="shared" si="3"/>
        <v>0</v>
      </c>
      <c r="I69" s="5" t="s">
        <v>12</v>
      </c>
    </row>
    <row r="70" spans="1:9" ht="21.95" customHeight="1" x14ac:dyDescent="0.15">
      <c r="A70" s="93" t="s">
        <v>989</v>
      </c>
      <c r="B70" s="3" t="s">
        <v>125</v>
      </c>
      <c r="C70" s="3" t="s">
        <v>124</v>
      </c>
      <c r="D70" s="3" t="s">
        <v>110</v>
      </c>
      <c r="E70" s="3">
        <v>36160</v>
      </c>
      <c r="F70" s="3"/>
      <c r="G70" s="6">
        <f>20000+16160</f>
        <v>36160</v>
      </c>
      <c r="H70" s="4">
        <f t="shared" si="3"/>
        <v>0</v>
      </c>
      <c r="I70" s="5" t="s">
        <v>12</v>
      </c>
    </row>
    <row r="71" spans="1:9" ht="21.95" customHeight="1" x14ac:dyDescent="0.15">
      <c r="A71" s="93" t="s">
        <v>990</v>
      </c>
      <c r="B71" s="3" t="s">
        <v>126</v>
      </c>
      <c r="C71" s="3" t="s">
        <v>127</v>
      </c>
      <c r="D71" s="3" t="s">
        <v>98</v>
      </c>
      <c r="E71" s="3">
        <v>164605</v>
      </c>
      <c r="F71" s="3"/>
      <c r="G71" s="6">
        <f>44605+120000</f>
        <v>164605</v>
      </c>
      <c r="H71" s="4">
        <f t="shared" si="3"/>
        <v>0</v>
      </c>
      <c r="I71" s="5" t="s">
        <v>12</v>
      </c>
    </row>
    <row r="72" spans="1:9" ht="21.95" customHeight="1" x14ac:dyDescent="0.15">
      <c r="A72" s="93" t="s">
        <v>991</v>
      </c>
      <c r="B72" s="3" t="s">
        <v>128</v>
      </c>
      <c r="C72" s="3" t="s">
        <v>76</v>
      </c>
      <c r="D72" s="3" t="s">
        <v>98</v>
      </c>
      <c r="E72" s="3">
        <v>125844</v>
      </c>
      <c r="F72" s="3">
        <v>119391</v>
      </c>
      <c r="G72" s="6">
        <f>37753+81638</f>
        <v>119391</v>
      </c>
      <c r="H72" s="4">
        <f>F72-G72</f>
        <v>0</v>
      </c>
      <c r="I72" s="5" t="s">
        <v>12</v>
      </c>
    </row>
    <row r="73" spans="1:9" ht="21.95" customHeight="1" x14ac:dyDescent="0.15">
      <c r="A73" s="93" t="s">
        <v>992</v>
      </c>
      <c r="B73" s="3" t="s">
        <v>129</v>
      </c>
      <c r="C73" s="3" t="s">
        <v>109</v>
      </c>
      <c r="D73" s="3" t="s">
        <v>98</v>
      </c>
      <c r="E73" s="3">
        <v>158400</v>
      </c>
      <c r="F73" s="3"/>
      <c r="G73" s="6">
        <f>48400+48000+62000</f>
        <v>158400</v>
      </c>
      <c r="H73" s="4">
        <f t="shared" ref="H73:H84" si="4">E73-G73</f>
        <v>0</v>
      </c>
      <c r="I73" s="5"/>
    </row>
    <row r="74" spans="1:9" ht="21.95" customHeight="1" x14ac:dyDescent="0.15">
      <c r="A74" s="93" t="s">
        <v>993</v>
      </c>
      <c r="B74" s="3" t="s">
        <v>130</v>
      </c>
      <c r="C74" s="3" t="s">
        <v>131</v>
      </c>
      <c r="D74" s="3" t="s">
        <v>132</v>
      </c>
      <c r="E74" s="3">
        <v>72000</v>
      </c>
      <c r="F74" s="3"/>
      <c r="G74" s="3">
        <v>72000</v>
      </c>
      <c r="H74" s="4">
        <f t="shared" si="4"/>
        <v>0</v>
      </c>
      <c r="I74" s="5" t="s">
        <v>12</v>
      </c>
    </row>
    <row r="75" spans="1:9" ht="21.95" customHeight="1" x14ac:dyDescent="0.15">
      <c r="A75" s="93" t="s">
        <v>994</v>
      </c>
      <c r="B75" s="3" t="s">
        <v>133</v>
      </c>
      <c r="C75" s="3" t="s">
        <v>19</v>
      </c>
      <c r="D75" s="3" t="s">
        <v>134</v>
      </c>
      <c r="E75" s="3">
        <v>155837</v>
      </c>
      <c r="F75" s="3">
        <v>168080</v>
      </c>
      <c r="G75" s="6">
        <f>40000+45837+30000+52243</f>
        <v>168080</v>
      </c>
      <c r="H75" s="4">
        <f>F75-G75</f>
        <v>0</v>
      </c>
      <c r="I75" s="5" t="s">
        <v>12</v>
      </c>
    </row>
    <row r="76" spans="1:9" ht="21.95" customHeight="1" x14ac:dyDescent="0.15">
      <c r="A76" s="93" t="s">
        <v>995</v>
      </c>
      <c r="B76" s="3" t="s">
        <v>135</v>
      </c>
      <c r="C76" s="3" t="s">
        <v>19</v>
      </c>
      <c r="D76" s="3" t="s">
        <v>134</v>
      </c>
      <c r="E76" s="3">
        <v>83995</v>
      </c>
      <c r="F76" s="3">
        <v>90762</v>
      </c>
      <c r="G76" s="6">
        <f>42000+30000+18762</f>
        <v>90762</v>
      </c>
      <c r="H76" s="4">
        <f>F76-G76</f>
        <v>0</v>
      </c>
      <c r="I76" s="5" t="s">
        <v>12</v>
      </c>
    </row>
    <row r="77" spans="1:9" ht="21.95" customHeight="1" x14ac:dyDescent="0.15">
      <c r="A77" s="93" t="s">
        <v>996</v>
      </c>
      <c r="B77" s="3" t="s">
        <v>136</v>
      </c>
      <c r="C77" s="3" t="s">
        <v>19</v>
      </c>
      <c r="D77" s="3" t="s">
        <v>134</v>
      </c>
      <c r="E77" s="3">
        <v>186730</v>
      </c>
      <c r="F77" s="3">
        <v>191479</v>
      </c>
      <c r="G77" s="6">
        <f>46730+144749</f>
        <v>191479</v>
      </c>
      <c r="H77" s="4">
        <f>F77-G77</f>
        <v>0</v>
      </c>
      <c r="I77" s="5" t="s">
        <v>12</v>
      </c>
    </row>
    <row r="78" spans="1:9" ht="21.95" customHeight="1" x14ac:dyDescent="0.15">
      <c r="A78" s="93" t="s">
        <v>997</v>
      </c>
      <c r="B78" s="3" t="s">
        <v>137</v>
      </c>
      <c r="C78" s="3" t="s">
        <v>138</v>
      </c>
      <c r="D78" s="3" t="s">
        <v>134</v>
      </c>
      <c r="E78" s="3">
        <v>162442</v>
      </c>
      <c r="F78" s="3">
        <v>170089</v>
      </c>
      <c r="G78" s="6">
        <f>42442+127647</f>
        <v>170089</v>
      </c>
      <c r="H78" s="4">
        <f>F78-G78</f>
        <v>0</v>
      </c>
      <c r="I78" s="5" t="s">
        <v>12</v>
      </c>
    </row>
    <row r="79" spans="1:9" ht="21.95" customHeight="1" x14ac:dyDescent="0.15">
      <c r="A79" s="93" t="s">
        <v>998</v>
      </c>
      <c r="B79" s="3" t="s">
        <v>139</v>
      </c>
      <c r="C79" s="3" t="s">
        <v>138</v>
      </c>
      <c r="D79" s="3" t="s">
        <v>134</v>
      </c>
      <c r="E79" s="3">
        <v>145494</v>
      </c>
      <c r="F79" s="3">
        <v>154171</v>
      </c>
      <c r="G79" s="6">
        <f>45494+108677</f>
        <v>154171</v>
      </c>
      <c r="H79" s="4">
        <f>F79-G79</f>
        <v>0</v>
      </c>
      <c r="I79" s="5" t="s">
        <v>12</v>
      </c>
    </row>
    <row r="80" spans="1:9" ht="21.95" customHeight="1" x14ac:dyDescent="0.15">
      <c r="A80" s="93" t="s">
        <v>999</v>
      </c>
      <c r="B80" s="3" t="s">
        <v>140</v>
      </c>
      <c r="C80" s="3" t="s">
        <v>29</v>
      </c>
      <c r="D80" s="3" t="s">
        <v>141</v>
      </c>
      <c r="E80" s="3">
        <v>179385</v>
      </c>
      <c r="F80" s="3">
        <v>179385</v>
      </c>
      <c r="G80" s="6">
        <f>49385+30000+50000+50000</f>
        <v>179385</v>
      </c>
      <c r="H80" s="4">
        <f t="shared" si="4"/>
        <v>0</v>
      </c>
      <c r="I80" s="5" t="s">
        <v>12</v>
      </c>
    </row>
    <row r="81" spans="1:9" ht="21.95" customHeight="1" x14ac:dyDescent="0.15">
      <c r="A81" s="93" t="s">
        <v>1000</v>
      </c>
      <c r="B81" s="3" t="s">
        <v>142</v>
      </c>
      <c r="C81" s="3" t="s">
        <v>29</v>
      </c>
      <c r="D81" s="3" t="s">
        <v>141</v>
      </c>
      <c r="E81" s="3">
        <v>173698</v>
      </c>
      <c r="F81" s="3"/>
      <c r="G81" s="6">
        <f>30000+43698+100000</f>
        <v>173698</v>
      </c>
      <c r="H81" s="4">
        <f t="shared" si="4"/>
        <v>0</v>
      </c>
      <c r="I81" s="5" t="s">
        <v>12</v>
      </c>
    </row>
    <row r="82" spans="1:9" ht="21.95" customHeight="1" x14ac:dyDescent="0.15">
      <c r="A82" s="93" t="s">
        <v>1001</v>
      </c>
      <c r="B82" s="3" t="s">
        <v>143</v>
      </c>
      <c r="C82" s="3" t="s">
        <v>29</v>
      </c>
      <c r="D82" s="3" t="s">
        <v>141</v>
      </c>
      <c r="E82" s="3">
        <v>190315</v>
      </c>
      <c r="F82" s="3"/>
      <c r="G82" s="6">
        <f>40315+50000+100000</f>
        <v>190315</v>
      </c>
      <c r="H82" s="4">
        <f t="shared" si="4"/>
        <v>0</v>
      </c>
      <c r="I82" s="5" t="s">
        <v>12</v>
      </c>
    </row>
    <row r="83" spans="1:9" ht="21.95" customHeight="1" x14ac:dyDescent="0.15">
      <c r="A83" s="93" t="s">
        <v>1002</v>
      </c>
      <c r="B83" s="3" t="s">
        <v>144</v>
      </c>
      <c r="C83" s="3" t="s">
        <v>29</v>
      </c>
      <c r="D83" s="3" t="s">
        <v>145</v>
      </c>
      <c r="E83" s="3">
        <v>160703</v>
      </c>
      <c r="F83" s="3">
        <v>160703</v>
      </c>
      <c r="G83" s="6">
        <f>40703+100000+20000</f>
        <v>160703</v>
      </c>
      <c r="H83" s="4">
        <f t="shared" si="4"/>
        <v>0</v>
      </c>
      <c r="I83" s="5" t="s">
        <v>12</v>
      </c>
    </row>
    <row r="84" spans="1:9" ht="21.95" customHeight="1" x14ac:dyDescent="0.15">
      <c r="A84" s="93" t="s">
        <v>1003</v>
      </c>
      <c r="B84" s="3" t="s">
        <v>146</v>
      </c>
      <c r="C84" s="3" t="s">
        <v>105</v>
      </c>
      <c r="D84" s="3" t="s">
        <v>147</v>
      </c>
      <c r="E84" s="3">
        <v>115154</v>
      </c>
      <c r="F84" s="3"/>
      <c r="G84" s="6">
        <f>55154+40000+20000</f>
        <v>115154</v>
      </c>
      <c r="H84" s="4">
        <f t="shared" si="4"/>
        <v>0</v>
      </c>
      <c r="I84" s="5" t="s">
        <v>12</v>
      </c>
    </row>
    <row r="85" spans="1:9" ht="21.95" customHeight="1" x14ac:dyDescent="0.15">
      <c r="A85" s="93" t="s">
        <v>1004</v>
      </c>
      <c r="B85" s="3" t="s">
        <v>148</v>
      </c>
      <c r="C85" s="3" t="s">
        <v>76</v>
      </c>
      <c r="D85" s="3" t="s">
        <v>98</v>
      </c>
      <c r="E85" s="3">
        <v>126748</v>
      </c>
      <c r="F85" s="3">
        <v>121550</v>
      </c>
      <c r="G85" s="6">
        <f>46748+74802</f>
        <v>121550</v>
      </c>
      <c r="H85" s="4">
        <f>F85-G85</f>
        <v>0</v>
      </c>
      <c r="I85" s="5" t="s">
        <v>12</v>
      </c>
    </row>
    <row r="86" spans="1:9" ht="21.95" customHeight="1" x14ac:dyDescent="0.15">
      <c r="A86" s="93" t="s">
        <v>1005</v>
      </c>
      <c r="B86" s="3" t="s">
        <v>149</v>
      </c>
      <c r="C86" s="3" t="s">
        <v>150</v>
      </c>
      <c r="D86" s="3" t="s">
        <v>151</v>
      </c>
      <c r="E86" s="3">
        <v>197500</v>
      </c>
      <c r="F86" s="3"/>
      <c r="G86" s="6">
        <f>47500+50000+100000</f>
        <v>197500</v>
      </c>
      <c r="H86" s="4">
        <f t="shared" ref="H86:H88" si="5">E86-G86</f>
        <v>0</v>
      </c>
      <c r="I86" s="5" t="s">
        <v>12</v>
      </c>
    </row>
    <row r="87" spans="1:9" ht="21.95" customHeight="1" x14ac:dyDescent="0.15">
      <c r="A87" s="93" t="s">
        <v>1006</v>
      </c>
      <c r="B87" s="3" t="s">
        <v>152</v>
      </c>
      <c r="C87" s="3" t="s">
        <v>88</v>
      </c>
      <c r="D87" s="3" t="s">
        <v>153</v>
      </c>
      <c r="E87" s="4">
        <v>37515.599999999999</v>
      </c>
      <c r="F87" s="3"/>
      <c r="G87" s="6">
        <v>37515.599999999999</v>
      </c>
      <c r="H87" s="2">
        <f t="shared" si="5"/>
        <v>0</v>
      </c>
      <c r="I87" s="81" t="s">
        <v>12</v>
      </c>
    </row>
    <row r="88" spans="1:9" ht="21.95" customHeight="1" x14ac:dyDescent="0.15">
      <c r="A88" s="93" t="s">
        <v>1007</v>
      </c>
      <c r="B88" s="3" t="s">
        <v>154</v>
      </c>
      <c r="C88" s="3" t="s">
        <v>155</v>
      </c>
      <c r="D88" s="3" t="s">
        <v>151</v>
      </c>
      <c r="E88" s="3">
        <v>198500</v>
      </c>
      <c r="F88" s="3"/>
      <c r="G88" s="6">
        <f>48500+100000+50000</f>
        <v>198500</v>
      </c>
      <c r="H88" s="4">
        <f t="shared" si="5"/>
        <v>0</v>
      </c>
      <c r="I88" s="81" t="s">
        <v>12</v>
      </c>
    </row>
    <row r="89" spans="1:9" ht="35.1" customHeight="1" x14ac:dyDescent="0.15">
      <c r="A89" s="93" t="s">
        <v>1008</v>
      </c>
      <c r="B89" s="3" t="s">
        <v>156</v>
      </c>
      <c r="C89" s="3" t="s">
        <v>155</v>
      </c>
      <c r="D89" s="3" t="s">
        <v>151</v>
      </c>
      <c r="E89" s="4" t="s">
        <v>157</v>
      </c>
      <c r="F89" s="4">
        <v>339429.75</v>
      </c>
      <c r="G89" s="3">
        <v>0</v>
      </c>
      <c r="H89" s="4">
        <f>F89-G89</f>
        <v>339429.75</v>
      </c>
      <c r="I89" s="5"/>
    </row>
    <row r="90" spans="1:9" ht="21.95" customHeight="1" x14ac:dyDescent="0.15">
      <c r="A90" s="93" t="s">
        <v>1009</v>
      </c>
      <c r="B90" s="3" t="s">
        <v>158</v>
      </c>
      <c r="C90" s="3" t="s">
        <v>159</v>
      </c>
      <c r="D90" s="3" t="s">
        <v>96</v>
      </c>
      <c r="E90" s="3">
        <v>48460</v>
      </c>
      <c r="F90" s="3"/>
      <c r="G90" s="6">
        <v>48460</v>
      </c>
      <c r="H90" s="4">
        <f t="shared" ref="H90:H108" si="6">E90-G90</f>
        <v>0</v>
      </c>
      <c r="I90" s="5" t="s">
        <v>12</v>
      </c>
    </row>
    <row r="91" spans="1:9" ht="21.95" customHeight="1" x14ac:dyDescent="0.15">
      <c r="A91" s="93" t="s">
        <v>1010</v>
      </c>
      <c r="B91" s="3" t="s">
        <v>160</v>
      </c>
      <c r="C91" s="3" t="s">
        <v>161</v>
      </c>
      <c r="D91" s="3" t="s">
        <v>89</v>
      </c>
      <c r="E91" s="3">
        <v>48222</v>
      </c>
      <c r="F91" s="3"/>
      <c r="G91" s="6">
        <v>48222</v>
      </c>
      <c r="H91" s="4">
        <f t="shared" si="6"/>
        <v>0</v>
      </c>
      <c r="I91" s="5" t="s">
        <v>12</v>
      </c>
    </row>
    <row r="92" spans="1:9" ht="21.95" customHeight="1" x14ac:dyDescent="0.15">
      <c r="A92" s="93" t="s">
        <v>1011</v>
      </c>
      <c r="B92" s="3" t="s">
        <v>162</v>
      </c>
      <c r="C92" s="3" t="s">
        <v>163</v>
      </c>
      <c r="D92" s="3" t="s">
        <v>151</v>
      </c>
      <c r="E92" s="4">
        <v>156816.79999999999</v>
      </c>
      <c r="F92" s="3"/>
      <c r="G92" s="6">
        <f>46816.8+50000+50000+10000</f>
        <v>156816.79999999999</v>
      </c>
      <c r="H92" s="4">
        <f t="shared" si="6"/>
        <v>0</v>
      </c>
      <c r="I92" s="5"/>
    </row>
    <row r="93" spans="1:9" ht="21.95" customHeight="1" x14ac:dyDescent="0.15">
      <c r="A93" s="93" t="s">
        <v>1012</v>
      </c>
      <c r="B93" s="3" t="s">
        <v>164</v>
      </c>
      <c r="C93" s="3" t="s">
        <v>165</v>
      </c>
      <c r="D93" s="3" t="s">
        <v>145</v>
      </c>
      <c r="E93" s="4">
        <v>179535.1</v>
      </c>
      <c r="F93" s="3"/>
      <c r="G93" s="6">
        <f>49535.1+20000+30000+80000</f>
        <v>179535.1</v>
      </c>
      <c r="H93" s="4">
        <f t="shared" si="6"/>
        <v>0</v>
      </c>
      <c r="I93" s="5" t="s">
        <v>12</v>
      </c>
    </row>
    <row r="94" spans="1:9" ht="21.95" customHeight="1" x14ac:dyDescent="0.15">
      <c r="A94" s="93" t="s">
        <v>1013</v>
      </c>
      <c r="B94" s="3" t="s">
        <v>166</v>
      </c>
      <c r="C94" s="3" t="s">
        <v>167</v>
      </c>
      <c r="D94" s="3" t="s">
        <v>168</v>
      </c>
      <c r="E94" s="3">
        <v>88340</v>
      </c>
      <c r="F94" s="3"/>
      <c r="G94" s="6">
        <f>44170+44170</f>
        <v>88340</v>
      </c>
      <c r="H94" s="4">
        <f t="shared" si="6"/>
        <v>0</v>
      </c>
      <c r="I94" s="5"/>
    </row>
    <row r="95" spans="1:9" ht="21.95" customHeight="1" x14ac:dyDescent="0.15">
      <c r="A95" s="93" t="s">
        <v>1014</v>
      </c>
      <c r="B95" s="3" t="s">
        <v>169</v>
      </c>
      <c r="C95" s="3" t="s">
        <v>17</v>
      </c>
      <c r="D95" s="3" t="s">
        <v>89</v>
      </c>
      <c r="E95" s="3">
        <v>113714</v>
      </c>
      <c r="F95" s="3">
        <v>113714</v>
      </c>
      <c r="G95" s="6">
        <f>43714+30000+40000</f>
        <v>113714</v>
      </c>
      <c r="H95" s="4">
        <f t="shared" si="6"/>
        <v>0</v>
      </c>
      <c r="I95" s="3" t="s">
        <v>12</v>
      </c>
    </row>
    <row r="96" spans="1:9" ht="21.95" customHeight="1" x14ac:dyDescent="0.15">
      <c r="A96" s="93" t="s">
        <v>1015</v>
      </c>
      <c r="B96" s="3" t="s">
        <v>170</v>
      </c>
      <c r="C96" s="3" t="s">
        <v>109</v>
      </c>
      <c r="D96" s="3" t="s">
        <v>171</v>
      </c>
      <c r="E96" s="3">
        <v>172840</v>
      </c>
      <c r="F96" s="3"/>
      <c r="G96" s="3">
        <v>172840</v>
      </c>
      <c r="H96" s="4">
        <f t="shared" si="6"/>
        <v>0</v>
      </c>
      <c r="I96" s="3" t="s">
        <v>12</v>
      </c>
    </row>
    <row r="97" spans="1:9" ht="21.95" customHeight="1" x14ac:dyDescent="0.15">
      <c r="A97" s="93" t="s">
        <v>1016</v>
      </c>
      <c r="B97" s="3" t="s">
        <v>172</v>
      </c>
      <c r="C97" s="3" t="s">
        <v>88</v>
      </c>
      <c r="D97" s="3" t="s">
        <v>173</v>
      </c>
      <c r="E97" s="3">
        <v>36250</v>
      </c>
      <c r="F97" s="3"/>
      <c r="G97" s="3">
        <f>19910+16340</f>
        <v>36250</v>
      </c>
      <c r="H97" s="2">
        <f t="shared" si="6"/>
        <v>0</v>
      </c>
      <c r="I97" s="3" t="s">
        <v>12</v>
      </c>
    </row>
    <row r="98" spans="1:9" ht="21.95" customHeight="1" x14ac:dyDescent="0.15">
      <c r="A98" s="93" t="s">
        <v>1017</v>
      </c>
      <c r="B98" s="3" t="s">
        <v>174</v>
      </c>
      <c r="C98" s="3" t="s">
        <v>88</v>
      </c>
      <c r="D98" s="3" t="s">
        <v>175</v>
      </c>
      <c r="E98" s="3">
        <v>10156</v>
      </c>
      <c r="F98" s="3"/>
      <c r="G98" s="3">
        <f>5626+4530</f>
        <v>10156</v>
      </c>
      <c r="H98" s="2">
        <f t="shared" si="6"/>
        <v>0</v>
      </c>
      <c r="I98" s="3" t="s">
        <v>12</v>
      </c>
    </row>
    <row r="99" spans="1:9" ht="21.95" customHeight="1" x14ac:dyDescent="0.15">
      <c r="A99" s="93" t="s">
        <v>1018</v>
      </c>
      <c r="B99" s="3" t="s">
        <v>176</v>
      </c>
      <c r="C99" s="3" t="s">
        <v>177</v>
      </c>
      <c r="D99" s="3" t="s">
        <v>175</v>
      </c>
      <c r="E99" s="3">
        <v>194070</v>
      </c>
      <c r="F99" s="3"/>
      <c r="G99" s="6">
        <f>44070+150000</f>
        <v>194070</v>
      </c>
      <c r="H99" s="4">
        <f t="shared" si="6"/>
        <v>0</v>
      </c>
      <c r="I99" s="3" t="s">
        <v>12</v>
      </c>
    </row>
    <row r="100" spans="1:9" ht="21.95" customHeight="1" x14ac:dyDescent="0.15">
      <c r="A100" s="93" t="s">
        <v>1019</v>
      </c>
      <c r="B100" s="3" t="s">
        <v>178</v>
      </c>
      <c r="C100" s="3" t="s">
        <v>177</v>
      </c>
      <c r="D100" s="3" t="s">
        <v>175</v>
      </c>
      <c r="E100" s="3">
        <v>188980</v>
      </c>
      <c r="F100" s="3"/>
      <c r="G100" s="6">
        <f>35000+48980+105000</f>
        <v>188980</v>
      </c>
      <c r="H100" s="4">
        <f t="shared" si="6"/>
        <v>0</v>
      </c>
      <c r="I100" s="3" t="s">
        <v>12</v>
      </c>
    </row>
    <row r="101" spans="1:9" ht="21.95" customHeight="1" x14ac:dyDescent="0.15">
      <c r="A101" s="93" t="s">
        <v>1020</v>
      </c>
      <c r="B101" s="3" t="s">
        <v>179</v>
      </c>
      <c r="C101" s="3" t="s">
        <v>177</v>
      </c>
      <c r="D101" s="3" t="s">
        <v>175</v>
      </c>
      <c r="E101" s="3">
        <v>198200</v>
      </c>
      <c r="F101" s="3"/>
      <c r="G101" s="6">
        <f>50000+48200+40000+60000</f>
        <v>198200</v>
      </c>
      <c r="H101" s="4">
        <f t="shared" si="6"/>
        <v>0</v>
      </c>
      <c r="I101" s="3" t="s">
        <v>12</v>
      </c>
    </row>
    <row r="102" spans="1:9" ht="21.95" customHeight="1" x14ac:dyDescent="0.15">
      <c r="A102" s="93" t="s">
        <v>1021</v>
      </c>
      <c r="B102" s="3" t="s">
        <v>180</v>
      </c>
      <c r="C102" s="3" t="s">
        <v>88</v>
      </c>
      <c r="D102" s="5" t="s">
        <v>173</v>
      </c>
      <c r="E102" s="3">
        <v>49720</v>
      </c>
      <c r="F102" s="3"/>
      <c r="G102" s="5">
        <f>25409+24311</f>
        <v>49720</v>
      </c>
      <c r="H102" s="2">
        <f t="shared" si="6"/>
        <v>0</v>
      </c>
      <c r="I102" s="5" t="s">
        <v>12</v>
      </c>
    </row>
    <row r="103" spans="1:9" ht="21.95" customHeight="1" x14ac:dyDescent="0.15">
      <c r="A103" s="93" t="s">
        <v>1022</v>
      </c>
      <c r="B103" s="3" t="s">
        <v>181</v>
      </c>
      <c r="C103" s="3" t="s">
        <v>182</v>
      </c>
      <c r="D103" s="5" t="s">
        <v>173</v>
      </c>
      <c r="E103" s="3">
        <v>42200</v>
      </c>
      <c r="F103" s="3"/>
      <c r="G103" s="5">
        <v>42200</v>
      </c>
      <c r="H103" s="46">
        <f t="shared" si="6"/>
        <v>0</v>
      </c>
      <c r="I103" s="5" t="s">
        <v>12</v>
      </c>
    </row>
    <row r="104" spans="1:9" ht="21.95" customHeight="1" x14ac:dyDescent="0.15">
      <c r="A104" s="93" t="s">
        <v>1023</v>
      </c>
      <c r="B104" s="3" t="s">
        <v>183</v>
      </c>
      <c r="C104" s="3" t="s">
        <v>27</v>
      </c>
      <c r="D104" s="5" t="s">
        <v>132</v>
      </c>
      <c r="E104" s="3">
        <v>121197</v>
      </c>
      <c r="F104" s="45">
        <v>121197</v>
      </c>
      <c r="G104" s="46">
        <f>60598+60599</f>
        <v>121197</v>
      </c>
      <c r="H104" s="46">
        <f t="shared" si="6"/>
        <v>0</v>
      </c>
      <c r="I104" s="5" t="s">
        <v>12</v>
      </c>
    </row>
    <row r="105" spans="1:9" ht="21.95" customHeight="1" x14ac:dyDescent="0.15">
      <c r="A105" s="93" t="s">
        <v>1024</v>
      </c>
      <c r="B105" s="3" t="s">
        <v>184</v>
      </c>
      <c r="C105" s="3" t="s">
        <v>185</v>
      </c>
      <c r="D105" s="3" t="s">
        <v>186</v>
      </c>
      <c r="E105" s="3">
        <v>102917</v>
      </c>
      <c r="F105" s="3"/>
      <c r="G105" s="3">
        <f>48000+54917</f>
        <v>102917</v>
      </c>
      <c r="H105" s="4">
        <f t="shared" si="6"/>
        <v>0</v>
      </c>
      <c r="I105" s="5" t="s">
        <v>12</v>
      </c>
    </row>
    <row r="106" spans="1:9" ht="21.95" customHeight="1" x14ac:dyDescent="0.15">
      <c r="A106" s="93" t="s">
        <v>1025</v>
      </c>
      <c r="B106" s="3" t="s">
        <v>187</v>
      </c>
      <c r="C106" s="3" t="s">
        <v>17</v>
      </c>
      <c r="D106" s="3" t="s">
        <v>175</v>
      </c>
      <c r="E106" s="3">
        <v>109293</v>
      </c>
      <c r="F106" s="3">
        <v>109293</v>
      </c>
      <c r="G106" s="6">
        <f>49293+30000+30000</f>
        <v>109293</v>
      </c>
      <c r="H106" s="4">
        <f t="shared" si="6"/>
        <v>0</v>
      </c>
      <c r="I106" s="5" t="s">
        <v>12</v>
      </c>
    </row>
    <row r="107" spans="1:9" ht="21.95" customHeight="1" x14ac:dyDescent="0.15">
      <c r="A107" s="93" t="s">
        <v>1026</v>
      </c>
      <c r="B107" s="3" t="s">
        <v>188</v>
      </c>
      <c r="C107" s="3" t="s">
        <v>17</v>
      </c>
      <c r="D107" s="3" t="s">
        <v>175</v>
      </c>
      <c r="E107" s="3">
        <v>136332</v>
      </c>
      <c r="F107" s="3">
        <v>136332</v>
      </c>
      <c r="G107" s="6">
        <f>46332+90000</f>
        <v>136332</v>
      </c>
      <c r="H107" s="4">
        <f t="shared" si="6"/>
        <v>0</v>
      </c>
      <c r="I107" s="5" t="s">
        <v>12</v>
      </c>
    </row>
    <row r="108" spans="1:9" ht="21.95" customHeight="1" x14ac:dyDescent="0.15">
      <c r="A108" s="93" t="s">
        <v>1027</v>
      </c>
      <c r="B108" s="5" t="s">
        <v>189</v>
      </c>
      <c r="C108" s="3" t="s">
        <v>190</v>
      </c>
      <c r="D108" s="5" t="s">
        <v>191</v>
      </c>
      <c r="E108" s="45">
        <v>43700</v>
      </c>
      <c r="F108" s="45"/>
      <c r="G108" s="5">
        <v>43700</v>
      </c>
      <c r="H108" s="46">
        <f t="shared" si="6"/>
        <v>0</v>
      </c>
      <c r="I108" s="5" t="s">
        <v>12</v>
      </c>
    </row>
    <row r="109" spans="1:9" ht="21.95" customHeight="1" x14ac:dyDescent="0.15">
      <c r="A109" s="93" t="s">
        <v>1028</v>
      </c>
      <c r="B109" s="3" t="s">
        <v>192</v>
      </c>
      <c r="C109" s="3" t="s">
        <v>193</v>
      </c>
      <c r="D109" s="6" t="s">
        <v>175</v>
      </c>
      <c r="E109" s="3">
        <v>166208</v>
      </c>
      <c r="F109" s="3">
        <v>152825</v>
      </c>
      <c r="G109" s="6">
        <f>46208+106617</f>
        <v>152825</v>
      </c>
      <c r="H109" s="4">
        <f t="shared" ref="H109:H118" si="7">F109-G109</f>
        <v>0</v>
      </c>
      <c r="I109" s="6" t="s">
        <v>12</v>
      </c>
    </row>
    <row r="110" spans="1:9" ht="21.95" customHeight="1" x14ac:dyDescent="0.15">
      <c r="A110" s="93" t="s">
        <v>1029</v>
      </c>
      <c r="B110" s="6" t="s">
        <v>194</v>
      </c>
      <c r="C110" s="6" t="s">
        <v>195</v>
      </c>
      <c r="D110" s="6" t="s">
        <v>171</v>
      </c>
      <c r="E110" s="3">
        <v>51661</v>
      </c>
      <c r="F110" s="3">
        <v>47742</v>
      </c>
      <c r="G110" s="6">
        <v>47742</v>
      </c>
      <c r="H110" s="4">
        <f t="shared" si="7"/>
        <v>0</v>
      </c>
      <c r="I110" s="6" t="s">
        <v>12</v>
      </c>
    </row>
    <row r="111" spans="1:9" ht="21.95" customHeight="1" x14ac:dyDescent="0.15">
      <c r="A111" s="93" t="s">
        <v>1030</v>
      </c>
      <c r="B111" s="6" t="s">
        <v>196</v>
      </c>
      <c r="C111" s="6" t="s">
        <v>195</v>
      </c>
      <c r="D111" s="6" t="s">
        <v>171</v>
      </c>
      <c r="E111" s="3">
        <v>51549</v>
      </c>
      <c r="F111" s="3">
        <v>47619</v>
      </c>
      <c r="G111" s="6">
        <v>47619</v>
      </c>
      <c r="H111" s="4">
        <f t="shared" si="7"/>
        <v>0</v>
      </c>
      <c r="I111" s="6"/>
    </row>
    <row r="112" spans="1:9" ht="21.95" customHeight="1" x14ac:dyDescent="0.15">
      <c r="A112" s="93" t="s">
        <v>1031</v>
      </c>
      <c r="B112" s="6" t="s">
        <v>197</v>
      </c>
      <c r="C112" s="6" t="s">
        <v>195</v>
      </c>
      <c r="D112" s="6" t="s">
        <v>171</v>
      </c>
      <c r="E112" s="3">
        <v>46133</v>
      </c>
      <c r="F112" s="3">
        <v>42164</v>
      </c>
      <c r="G112" s="6">
        <v>42164</v>
      </c>
      <c r="H112" s="4">
        <f t="shared" si="7"/>
        <v>0</v>
      </c>
      <c r="I112" s="6"/>
    </row>
    <row r="113" spans="1:9" customFormat="1" ht="21.95" customHeight="1" x14ac:dyDescent="0.15">
      <c r="A113" s="93" t="s">
        <v>1032</v>
      </c>
      <c r="B113" s="7" t="s">
        <v>198</v>
      </c>
      <c r="C113" s="7" t="s">
        <v>199</v>
      </c>
      <c r="D113" s="7" t="s">
        <v>200</v>
      </c>
      <c r="E113" s="79">
        <v>48072</v>
      </c>
      <c r="F113" s="79">
        <v>44112</v>
      </c>
      <c r="G113" s="7">
        <v>44112</v>
      </c>
      <c r="H113" s="2">
        <f t="shared" si="7"/>
        <v>0</v>
      </c>
      <c r="I113" s="7" t="s">
        <v>12</v>
      </c>
    </row>
    <row r="114" spans="1:9" customFormat="1" ht="21.95" customHeight="1" x14ac:dyDescent="0.15">
      <c r="A114" s="93" t="s">
        <v>1033</v>
      </c>
      <c r="B114" s="3" t="s">
        <v>201</v>
      </c>
      <c r="C114" s="3" t="s">
        <v>199</v>
      </c>
      <c r="D114" s="7" t="s">
        <v>200</v>
      </c>
      <c r="E114" s="3">
        <v>48732</v>
      </c>
      <c r="F114" s="79">
        <v>44778</v>
      </c>
      <c r="G114" s="5">
        <v>44778</v>
      </c>
      <c r="H114" s="2">
        <f t="shared" si="7"/>
        <v>0</v>
      </c>
      <c r="I114" s="80" t="s">
        <v>12</v>
      </c>
    </row>
    <row r="115" spans="1:9" customFormat="1" ht="21.95" customHeight="1" x14ac:dyDescent="0.15">
      <c r="A115" s="93" t="s">
        <v>1034</v>
      </c>
      <c r="B115" s="3" t="s">
        <v>202</v>
      </c>
      <c r="C115" s="19" t="s">
        <v>199</v>
      </c>
      <c r="D115" s="7" t="s">
        <v>200</v>
      </c>
      <c r="E115" s="3">
        <v>47126</v>
      </c>
      <c r="F115" s="79">
        <v>43176</v>
      </c>
      <c r="G115" s="5">
        <v>43176</v>
      </c>
      <c r="H115" s="2">
        <f t="shared" si="7"/>
        <v>0</v>
      </c>
      <c r="I115" s="80"/>
    </row>
    <row r="116" spans="1:9" customFormat="1" ht="21.95" customHeight="1" x14ac:dyDescent="0.15">
      <c r="A116" s="93" t="s">
        <v>1035</v>
      </c>
      <c r="B116" s="3" t="s">
        <v>203</v>
      </c>
      <c r="C116" s="19" t="s">
        <v>105</v>
      </c>
      <c r="D116" s="7" t="s">
        <v>204</v>
      </c>
      <c r="E116" s="3">
        <v>60738</v>
      </c>
      <c r="F116" s="79">
        <v>55547</v>
      </c>
      <c r="G116" s="1">
        <f>30000+25547</f>
        <v>55547</v>
      </c>
      <c r="H116" s="2">
        <f t="shared" si="7"/>
        <v>0</v>
      </c>
      <c r="I116" s="80" t="s">
        <v>12</v>
      </c>
    </row>
    <row r="117" spans="1:9" customFormat="1" ht="21.95" customHeight="1" x14ac:dyDescent="0.15">
      <c r="A117" s="93" t="s">
        <v>1036</v>
      </c>
      <c r="B117" s="3" t="s">
        <v>205</v>
      </c>
      <c r="C117" s="3" t="s">
        <v>105</v>
      </c>
      <c r="D117" s="7" t="s">
        <v>204</v>
      </c>
      <c r="E117" s="3">
        <v>67248</v>
      </c>
      <c r="F117" s="79">
        <v>62021</v>
      </c>
      <c r="G117" s="5">
        <v>62021</v>
      </c>
      <c r="H117" s="2">
        <f t="shared" si="7"/>
        <v>0</v>
      </c>
      <c r="I117" s="80" t="s">
        <v>12</v>
      </c>
    </row>
    <row r="118" spans="1:9" customFormat="1" ht="21.95" customHeight="1" x14ac:dyDescent="0.15">
      <c r="A118" s="93" t="s">
        <v>1037</v>
      </c>
      <c r="B118" s="3" t="s">
        <v>206</v>
      </c>
      <c r="C118" s="3" t="s">
        <v>105</v>
      </c>
      <c r="D118" s="7" t="s">
        <v>204</v>
      </c>
      <c r="E118" s="3">
        <v>63332</v>
      </c>
      <c r="F118" s="79">
        <v>58059</v>
      </c>
      <c r="G118" s="1">
        <v>58059</v>
      </c>
      <c r="H118" s="2">
        <f t="shared" si="7"/>
        <v>0</v>
      </c>
      <c r="I118" s="80" t="s">
        <v>12</v>
      </c>
    </row>
    <row r="119" spans="1:9" customFormat="1" ht="21.95" customHeight="1" x14ac:dyDescent="0.15">
      <c r="A119" s="93" t="s">
        <v>1038</v>
      </c>
      <c r="B119" s="3" t="s">
        <v>207</v>
      </c>
      <c r="C119" s="3" t="s">
        <v>107</v>
      </c>
      <c r="D119" s="7" t="s">
        <v>175</v>
      </c>
      <c r="E119" s="3">
        <v>195600</v>
      </c>
      <c r="F119" s="79"/>
      <c r="G119" s="5">
        <f>39120+39120+117360</f>
        <v>195600</v>
      </c>
      <c r="H119" s="2">
        <f t="shared" ref="H119:H131" si="8">E119-G119</f>
        <v>0</v>
      </c>
      <c r="I119" s="80" t="s">
        <v>12</v>
      </c>
    </row>
    <row r="120" spans="1:9" customFormat="1" ht="21.95" customHeight="1" x14ac:dyDescent="0.15">
      <c r="A120" s="93" t="s">
        <v>1039</v>
      </c>
      <c r="B120" s="3" t="s">
        <v>208</v>
      </c>
      <c r="C120" s="3" t="s">
        <v>92</v>
      </c>
      <c r="D120" s="7" t="s">
        <v>175</v>
      </c>
      <c r="E120" s="3">
        <v>113400</v>
      </c>
      <c r="F120" s="79"/>
      <c r="G120" s="1">
        <f>68040+45360</f>
        <v>113400</v>
      </c>
      <c r="H120" s="2">
        <f t="shared" si="8"/>
        <v>0</v>
      </c>
      <c r="I120" s="80" t="s">
        <v>12</v>
      </c>
    </row>
    <row r="121" spans="1:9" customFormat="1" ht="21.95" customHeight="1" x14ac:dyDescent="0.15">
      <c r="A121" s="93" t="s">
        <v>1040</v>
      </c>
      <c r="B121" s="3" t="s">
        <v>209</v>
      </c>
      <c r="C121" s="3" t="s">
        <v>210</v>
      </c>
      <c r="D121" s="7" t="s">
        <v>191</v>
      </c>
      <c r="E121" s="3">
        <v>38453</v>
      </c>
      <c r="F121" s="79">
        <v>32017</v>
      </c>
      <c r="G121" s="5">
        <v>32017</v>
      </c>
      <c r="H121" s="2">
        <f>F121-G121</f>
        <v>0</v>
      </c>
      <c r="I121" s="80" t="s">
        <v>12</v>
      </c>
    </row>
    <row r="122" spans="1:9" customFormat="1" ht="21.95" customHeight="1" x14ac:dyDescent="0.15">
      <c r="A122" s="93" t="s">
        <v>1041</v>
      </c>
      <c r="B122" s="3" t="s">
        <v>211</v>
      </c>
      <c r="C122" s="3" t="s">
        <v>76</v>
      </c>
      <c r="D122" s="7" t="s">
        <v>191</v>
      </c>
      <c r="E122" s="3">
        <v>66162</v>
      </c>
      <c r="F122" s="79">
        <v>59853</v>
      </c>
      <c r="G122" s="1">
        <v>59853</v>
      </c>
      <c r="H122" s="2">
        <f>F122-G122</f>
        <v>0</v>
      </c>
      <c r="I122" s="80" t="s">
        <v>12</v>
      </c>
    </row>
    <row r="123" spans="1:9" customFormat="1" ht="21.95" customHeight="1" x14ac:dyDescent="0.15">
      <c r="A123" s="93" t="s">
        <v>1042</v>
      </c>
      <c r="B123" s="3" t="s">
        <v>212</v>
      </c>
      <c r="C123" s="3" t="s">
        <v>182</v>
      </c>
      <c r="D123" s="7" t="s">
        <v>213</v>
      </c>
      <c r="E123" s="3">
        <v>23800</v>
      </c>
      <c r="F123" s="79"/>
      <c r="G123" s="5">
        <v>23800</v>
      </c>
      <c r="H123" s="2">
        <f t="shared" si="8"/>
        <v>0</v>
      </c>
      <c r="I123" s="80" t="s">
        <v>12</v>
      </c>
    </row>
    <row r="124" spans="1:9" ht="21.95" customHeight="1" x14ac:dyDescent="0.15">
      <c r="A124" s="93" t="s">
        <v>1043</v>
      </c>
      <c r="B124" s="3" t="s">
        <v>214</v>
      </c>
      <c r="C124" s="3" t="s">
        <v>215</v>
      </c>
      <c r="D124" s="3" t="s">
        <v>216</v>
      </c>
      <c r="E124" s="3">
        <v>173310</v>
      </c>
      <c r="F124" s="79"/>
      <c r="G124" s="1">
        <f>86655+86655</f>
        <v>173310</v>
      </c>
      <c r="H124" s="2">
        <f t="shared" si="8"/>
        <v>0</v>
      </c>
      <c r="I124" s="5" t="s">
        <v>12</v>
      </c>
    </row>
    <row r="125" spans="1:9" ht="21.95" customHeight="1" x14ac:dyDescent="0.15">
      <c r="A125" s="93" t="s">
        <v>1044</v>
      </c>
      <c r="B125" s="3" t="s">
        <v>217</v>
      </c>
      <c r="C125" s="3" t="s">
        <v>218</v>
      </c>
      <c r="D125" s="3" t="s">
        <v>219</v>
      </c>
      <c r="E125" s="3">
        <v>196230</v>
      </c>
      <c r="F125" s="79"/>
      <c r="G125" s="5">
        <v>196230</v>
      </c>
      <c r="H125" s="2">
        <f t="shared" si="8"/>
        <v>0</v>
      </c>
      <c r="I125" s="5"/>
    </row>
    <row r="126" spans="1:9" ht="21.95" customHeight="1" x14ac:dyDescent="0.15">
      <c r="A126" s="93" t="s">
        <v>1045</v>
      </c>
      <c r="B126" s="3" t="s">
        <v>220</v>
      </c>
      <c r="C126" s="3" t="s">
        <v>218</v>
      </c>
      <c r="D126" s="3" t="s">
        <v>219</v>
      </c>
      <c r="E126" s="3">
        <v>185590</v>
      </c>
      <c r="F126" s="79"/>
      <c r="G126" s="5">
        <f>100000+85590</f>
        <v>185590</v>
      </c>
      <c r="H126" s="2">
        <f t="shared" si="8"/>
        <v>0</v>
      </c>
      <c r="I126" s="5"/>
    </row>
    <row r="127" spans="1:9" ht="21.95" customHeight="1" x14ac:dyDescent="0.15">
      <c r="A127" s="93" t="s">
        <v>1046</v>
      </c>
      <c r="B127" s="3" t="s">
        <v>221</v>
      </c>
      <c r="C127" s="3" t="s">
        <v>218</v>
      </c>
      <c r="D127" s="3" t="s">
        <v>219</v>
      </c>
      <c r="E127" s="3">
        <v>188270</v>
      </c>
      <c r="F127" s="79"/>
      <c r="G127" s="1">
        <f>48270+140000</f>
        <v>188270</v>
      </c>
      <c r="H127" s="2">
        <f t="shared" si="8"/>
        <v>0</v>
      </c>
      <c r="I127" s="5" t="s">
        <v>12</v>
      </c>
    </row>
    <row r="128" spans="1:9" customFormat="1" ht="21.95" customHeight="1" x14ac:dyDescent="0.15">
      <c r="A128" s="93" t="s">
        <v>1047</v>
      </c>
      <c r="B128" s="3" t="s">
        <v>222</v>
      </c>
      <c r="C128" s="3" t="s">
        <v>218</v>
      </c>
      <c r="D128" s="3" t="s">
        <v>219</v>
      </c>
      <c r="E128" s="3">
        <v>130800</v>
      </c>
      <c r="F128" s="79"/>
      <c r="G128" s="1">
        <v>130800</v>
      </c>
      <c r="H128" s="2">
        <f t="shared" si="8"/>
        <v>0</v>
      </c>
      <c r="I128" s="5"/>
    </row>
    <row r="129" spans="1:9" customFormat="1" ht="21.95" customHeight="1" x14ac:dyDescent="0.15">
      <c r="A129" s="93" t="s">
        <v>1048</v>
      </c>
      <c r="B129" s="3" t="s">
        <v>223</v>
      </c>
      <c r="C129" s="3" t="s">
        <v>95</v>
      </c>
      <c r="D129" s="3" t="s">
        <v>224</v>
      </c>
      <c r="E129" s="3">
        <v>31376</v>
      </c>
      <c r="F129" s="79"/>
      <c r="G129" s="1">
        <v>31376</v>
      </c>
      <c r="H129" s="2">
        <f t="shared" si="8"/>
        <v>0</v>
      </c>
      <c r="I129" s="5" t="s">
        <v>12</v>
      </c>
    </row>
    <row r="130" spans="1:9" customFormat="1" ht="21.95" customHeight="1" x14ac:dyDescent="0.15">
      <c r="A130" s="93" t="s">
        <v>1049</v>
      </c>
      <c r="B130" s="3" t="s">
        <v>225</v>
      </c>
      <c r="C130" s="3" t="s">
        <v>218</v>
      </c>
      <c r="D130" s="3" t="s">
        <v>219</v>
      </c>
      <c r="E130" s="3">
        <v>95130</v>
      </c>
      <c r="F130" s="79"/>
      <c r="G130" s="1">
        <v>95130</v>
      </c>
      <c r="H130" s="2">
        <f t="shared" si="8"/>
        <v>0</v>
      </c>
      <c r="I130" s="5"/>
    </row>
    <row r="131" spans="1:9" customFormat="1" ht="21.95" customHeight="1" x14ac:dyDescent="0.15">
      <c r="A131" s="93" t="s">
        <v>1050</v>
      </c>
      <c r="B131" s="3" t="s">
        <v>226</v>
      </c>
      <c r="C131" s="3" t="s">
        <v>185</v>
      </c>
      <c r="D131" s="3" t="s">
        <v>219</v>
      </c>
      <c r="E131" s="3">
        <v>199476</v>
      </c>
      <c r="F131" s="79"/>
      <c r="G131" s="1">
        <f>133650+59842+5984</f>
        <v>199476</v>
      </c>
      <c r="H131" s="2">
        <f t="shared" si="8"/>
        <v>0</v>
      </c>
      <c r="I131" s="5" t="s">
        <v>12</v>
      </c>
    </row>
    <row r="132" spans="1:9" customFormat="1" ht="21.95" customHeight="1" x14ac:dyDescent="0.15">
      <c r="A132" s="93" t="s">
        <v>1051</v>
      </c>
      <c r="B132" s="3" t="s">
        <v>227</v>
      </c>
      <c r="C132" s="3" t="s">
        <v>228</v>
      </c>
      <c r="D132" s="3" t="s">
        <v>219</v>
      </c>
      <c r="E132" s="3">
        <v>144994</v>
      </c>
      <c r="F132" s="79">
        <v>127377</v>
      </c>
      <c r="G132" s="1">
        <f>50000+40000+30000+7377</f>
        <v>127377</v>
      </c>
      <c r="H132" s="2">
        <f t="shared" ref="H132:H139" si="9">F132-G132</f>
        <v>0</v>
      </c>
      <c r="I132" s="5" t="s">
        <v>12</v>
      </c>
    </row>
    <row r="133" spans="1:9" customFormat="1" ht="21.95" customHeight="1" x14ac:dyDescent="0.15">
      <c r="A133" s="93" t="s">
        <v>1052</v>
      </c>
      <c r="B133" s="3" t="s">
        <v>229</v>
      </c>
      <c r="C133" s="3" t="s">
        <v>210</v>
      </c>
      <c r="D133" s="3" t="s">
        <v>219</v>
      </c>
      <c r="E133" s="3">
        <v>198554</v>
      </c>
      <c r="F133" s="79">
        <v>126269</v>
      </c>
      <c r="G133" s="1">
        <f>59000+50000+17269</f>
        <v>126269</v>
      </c>
      <c r="H133" s="2">
        <f t="shared" si="9"/>
        <v>0</v>
      </c>
      <c r="I133" s="5" t="s">
        <v>12</v>
      </c>
    </row>
    <row r="134" spans="1:9" customFormat="1" ht="21.95" customHeight="1" x14ac:dyDescent="0.15">
      <c r="A134" s="93" t="s">
        <v>1053</v>
      </c>
      <c r="B134" s="3" t="s">
        <v>230</v>
      </c>
      <c r="C134" s="3" t="s">
        <v>215</v>
      </c>
      <c r="D134" s="3" t="s">
        <v>224</v>
      </c>
      <c r="E134" s="3">
        <v>177670</v>
      </c>
      <c r="F134" s="79"/>
      <c r="G134" s="1">
        <f>88835+40000+48835</f>
        <v>177670</v>
      </c>
      <c r="H134" s="2">
        <f t="shared" ref="H134:H136" si="10">E134-G134</f>
        <v>0</v>
      </c>
      <c r="I134" s="5" t="s">
        <v>12</v>
      </c>
    </row>
    <row r="135" spans="1:9" customFormat="1" ht="21.95" customHeight="1" x14ac:dyDescent="0.15">
      <c r="A135" s="93" t="s">
        <v>1054</v>
      </c>
      <c r="B135" s="3" t="s">
        <v>231</v>
      </c>
      <c r="C135" s="3" t="s">
        <v>232</v>
      </c>
      <c r="D135" s="3" t="s">
        <v>224</v>
      </c>
      <c r="E135" s="3">
        <v>140498</v>
      </c>
      <c r="F135" s="79">
        <v>140498</v>
      </c>
      <c r="G135" s="1">
        <f>100000+40498</f>
        <v>140498</v>
      </c>
      <c r="H135" s="2">
        <f t="shared" si="10"/>
        <v>0</v>
      </c>
      <c r="I135" s="5"/>
    </row>
    <row r="136" spans="1:9" customFormat="1" ht="21.95" customHeight="1" x14ac:dyDescent="0.15">
      <c r="A136" s="93" t="s">
        <v>1055</v>
      </c>
      <c r="B136" s="3" t="s">
        <v>233</v>
      </c>
      <c r="C136" s="3" t="s">
        <v>234</v>
      </c>
      <c r="D136" s="3" t="s">
        <v>224</v>
      </c>
      <c r="E136" s="3">
        <v>69743</v>
      </c>
      <c r="F136" s="79"/>
      <c r="G136" s="1">
        <v>69743</v>
      </c>
      <c r="H136" s="2">
        <f t="shared" si="10"/>
        <v>0</v>
      </c>
      <c r="I136" s="5" t="s">
        <v>12</v>
      </c>
    </row>
    <row r="137" spans="1:9" customFormat="1" ht="21.95" customHeight="1" x14ac:dyDescent="0.15">
      <c r="A137" s="93" t="s">
        <v>1056</v>
      </c>
      <c r="B137" s="3" t="s">
        <v>235</v>
      </c>
      <c r="C137" s="3" t="s">
        <v>210</v>
      </c>
      <c r="D137" s="3" t="s">
        <v>219</v>
      </c>
      <c r="E137" s="3">
        <v>153434</v>
      </c>
      <c r="F137" s="79">
        <v>89129</v>
      </c>
      <c r="G137" s="1">
        <f>46000+43129</f>
        <v>89129</v>
      </c>
      <c r="H137" s="2">
        <f t="shared" si="9"/>
        <v>0</v>
      </c>
      <c r="I137" s="80" t="s">
        <v>12</v>
      </c>
    </row>
    <row r="138" spans="1:9" customFormat="1" ht="21.95" customHeight="1" x14ac:dyDescent="0.15">
      <c r="A138" s="93" t="s">
        <v>1057</v>
      </c>
      <c r="B138" s="3" t="s">
        <v>236</v>
      </c>
      <c r="C138" s="3" t="s">
        <v>237</v>
      </c>
      <c r="D138" s="3" t="s">
        <v>238</v>
      </c>
      <c r="E138" s="3">
        <v>146876</v>
      </c>
      <c r="F138" s="79">
        <v>93870</v>
      </c>
      <c r="G138" s="1">
        <f>44000+42876+6994</f>
        <v>93870</v>
      </c>
      <c r="H138" s="2">
        <f t="shared" si="9"/>
        <v>0</v>
      </c>
      <c r="I138" s="80" t="s">
        <v>12</v>
      </c>
    </row>
    <row r="139" spans="1:9" customFormat="1" ht="32.1" customHeight="1" x14ac:dyDescent="0.15">
      <c r="A139" s="93" t="s">
        <v>1058</v>
      </c>
      <c r="B139" s="3" t="s">
        <v>239</v>
      </c>
      <c r="C139" s="3" t="s">
        <v>237</v>
      </c>
      <c r="D139" s="3" t="s">
        <v>238</v>
      </c>
      <c r="E139" s="3">
        <v>140794</v>
      </c>
      <c r="F139" s="79">
        <v>87332</v>
      </c>
      <c r="G139" s="1">
        <f>43006+44326</f>
        <v>87332</v>
      </c>
      <c r="H139" s="2">
        <f t="shared" si="9"/>
        <v>0</v>
      </c>
      <c r="I139" s="80"/>
    </row>
    <row r="140" spans="1:9" customFormat="1" ht="32.1" customHeight="1" x14ac:dyDescent="0.15">
      <c r="A140" s="93" t="s">
        <v>1059</v>
      </c>
      <c r="B140" s="3" t="s">
        <v>240</v>
      </c>
      <c r="C140" s="3" t="s">
        <v>177</v>
      </c>
      <c r="D140" s="3" t="s">
        <v>241</v>
      </c>
      <c r="E140" s="3">
        <v>132047</v>
      </c>
      <c r="F140" s="79"/>
      <c r="G140" s="1">
        <f>32047+100000</f>
        <v>132047</v>
      </c>
      <c r="H140" s="2">
        <f t="shared" ref="H140:H143" si="11">E140-G140</f>
        <v>0</v>
      </c>
      <c r="I140" s="80" t="s">
        <v>12</v>
      </c>
    </row>
    <row r="141" spans="1:9" customFormat="1" ht="32.1" customHeight="1" x14ac:dyDescent="0.15">
      <c r="A141" s="93" t="s">
        <v>1060</v>
      </c>
      <c r="B141" s="3" t="s">
        <v>242</v>
      </c>
      <c r="C141" s="3" t="s">
        <v>177</v>
      </c>
      <c r="D141" s="3" t="s">
        <v>241</v>
      </c>
      <c r="E141" s="3">
        <v>177967</v>
      </c>
      <c r="F141" s="79"/>
      <c r="G141" s="1">
        <f>37967+50000+90000</f>
        <v>177967</v>
      </c>
      <c r="H141" s="2">
        <f t="shared" si="11"/>
        <v>0</v>
      </c>
      <c r="I141" s="80" t="s">
        <v>12</v>
      </c>
    </row>
    <row r="142" spans="1:9" customFormat="1" ht="32.1" customHeight="1" x14ac:dyDescent="0.15">
      <c r="A142" s="93" t="s">
        <v>1061</v>
      </c>
      <c r="B142" s="3" t="s">
        <v>243</v>
      </c>
      <c r="C142" s="3" t="s">
        <v>29</v>
      </c>
      <c r="D142" s="3" t="s">
        <v>241</v>
      </c>
      <c r="E142" s="3">
        <v>41988</v>
      </c>
      <c r="F142" s="79"/>
      <c r="G142" s="1">
        <v>41988</v>
      </c>
      <c r="H142" s="2">
        <f t="shared" si="11"/>
        <v>0</v>
      </c>
      <c r="I142" s="80"/>
    </row>
    <row r="143" spans="1:9" customFormat="1" ht="32.1" customHeight="1" x14ac:dyDescent="0.15">
      <c r="A143" s="93" t="s">
        <v>1062</v>
      </c>
      <c r="B143" s="3" t="s">
        <v>244</v>
      </c>
      <c r="C143" s="3" t="s">
        <v>232</v>
      </c>
      <c r="D143" s="3" t="s">
        <v>245</v>
      </c>
      <c r="E143" s="3">
        <v>48007</v>
      </c>
      <c r="F143" s="79"/>
      <c r="G143" s="1">
        <f>24000+24007</f>
        <v>48007</v>
      </c>
      <c r="H143" s="2">
        <f t="shared" si="11"/>
        <v>0</v>
      </c>
      <c r="I143" s="80" t="s">
        <v>12</v>
      </c>
    </row>
    <row r="144" spans="1:9" customFormat="1" ht="32.1" customHeight="1" x14ac:dyDescent="0.15">
      <c r="A144" s="93" t="s">
        <v>1063</v>
      </c>
      <c r="B144" s="3" t="s">
        <v>246</v>
      </c>
      <c r="C144" s="3" t="s">
        <v>195</v>
      </c>
      <c r="D144" s="3" t="s">
        <v>171</v>
      </c>
      <c r="E144" s="3">
        <v>47910</v>
      </c>
      <c r="F144" s="79">
        <v>43959</v>
      </c>
      <c r="G144" s="1">
        <v>43959</v>
      </c>
      <c r="H144" s="2">
        <f>F144-G144</f>
        <v>0</v>
      </c>
      <c r="I144" s="80"/>
    </row>
    <row r="145" spans="1:9" ht="32.1" customHeight="1" x14ac:dyDescent="0.15">
      <c r="A145" s="93" t="s">
        <v>1064</v>
      </c>
      <c r="B145" s="3" t="s">
        <v>247</v>
      </c>
      <c r="C145" s="3" t="s">
        <v>199</v>
      </c>
      <c r="D145" s="3" t="s">
        <v>200</v>
      </c>
      <c r="E145" s="3">
        <v>53559</v>
      </c>
      <c r="F145" s="79">
        <v>49671</v>
      </c>
      <c r="G145" s="1">
        <v>49671</v>
      </c>
      <c r="H145" s="2">
        <f>F145-G145</f>
        <v>0</v>
      </c>
      <c r="I145" s="3"/>
    </row>
    <row r="146" spans="1:9" ht="32.1" customHeight="1" x14ac:dyDescent="0.15">
      <c r="A146" s="93" t="s">
        <v>1065</v>
      </c>
      <c r="B146" s="3" t="s">
        <v>248</v>
      </c>
      <c r="C146" s="3" t="s">
        <v>249</v>
      </c>
      <c r="D146" s="3"/>
      <c r="E146" s="3">
        <v>51500</v>
      </c>
      <c r="F146" s="3"/>
      <c r="G146" s="1">
        <f>10300+10300+10300+20600</f>
        <v>51500</v>
      </c>
      <c r="H146" s="2">
        <f t="shared" ref="H146:H152" si="12">E146-G146</f>
        <v>0</v>
      </c>
      <c r="I146" s="3"/>
    </row>
    <row r="147" spans="1:9" ht="32.1" customHeight="1" x14ac:dyDescent="0.15">
      <c r="A147" s="93" t="s">
        <v>1066</v>
      </c>
      <c r="B147" s="3" t="s">
        <v>250</v>
      </c>
      <c r="C147" s="3" t="s">
        <v>185</v>
      </c>
      <c r="D147" s="3" t="s">
        <v>251</v>
      </c>
      <c r="E147" s="3">
        <v>198930</v>
      </c>
      <c r="F147" s="3"/>
      <c r="G147" s="1">
        <f>20000+48930+65000+30000+35000</f>
        <v>198930</v>
      </c>
      <c r="H147" s="2">
        <f t="shared" si="12"/>
        <v>0</v>
      </c>
      <c r="I147" s="3" t="s">
        <v>12</v>
      </c>
    </row>
    <row r="148" spans="1:9" ht="32.1" customHeight="1" x14ac:dyDescent="0.15">
      <c r="A148" s="93" t="s">
        <v>1067</v>
      </c>
      <c r="B148" s="3" t="s">
        <v>252</v>
      </c>
      <c r="C148" s="3" t="s">
        <v>190</v>
      </c>
      <c r="D148" s="3" t="s">
        <v>253</v>
      </c>
      <c r="E148" s="3">
        <v>42500</v>
      </c>
      <c r="F148" s="3"/>
      <c r="G148" s="1">
        <v>42500</v>
      </c>
      <c r="H148" s="2">
        <f t="shared" si="12"/>
        <v>0</v>
      </c>
      <c r="I148" s="3" t="s">
        <v>12</v>
      </c>
    </row>
    <row r="149" spans="1:9" ht="21.95" customHeight="1" x14ac:dyDescent="0.15">
      <c r="A149" s="93" t="s">
        <v>1068</v>
      </c>
      <c r="B149" s="3" t="s">
        <v>254</v>
      </c>
      <c r="C149" s="3" t="s">
        <v>185</v>
      </c>
      <c r="D149" s="3" t="s">
        <v>251</v>
      </c>
      <c r="E149" s="3">
        <v>109800</v>
      </c>
      <c r="F149" s="3"/>
      <c r="G149" s="1">
        <f>106506+3294</f>
        <v>109800</v>
      </c>
      <c r="H149" s="2">
        <f t="shared" si="12"/>
        <v>0</v>
      </c>
      <c r="I149" s="3" t="s">
        <v>12</v>
      </c>
    </row>
    <row r="150" spans="1:9" ht="54" customHeight="1" x14ac:dyDescent="0.15">
      <c r="A150" s="93" t="s">
        <v>1069</v>
      </c>
      <c r="B150" s="3" t="s">
        <v>255</v>
      </c>
      <c r="C150" s="3" t="s">
        <v>182</v>
      </c>
      <c r="D150" s="3" t="s">
        <v>253</v>
      </c>
      <c r="E150" s="3">
        <v>17000</v>
      </c>
      <c r="F150" s="3"/>
      <c r="G150" s="1">
        <v>17000</v>
      </c>
      <c r="H150" s="2">
        <f t="shared" si="12"/>
        <v>0</v>
      </c>
      <c r="I150" s="3" t="s">
        <v>12</v>
      </c>
    </row>
    <row r="151" spans="1:9" ht="21.95" customHeight="1" x14ac:dyDescent="0.15">
      <c r="A151" s="93" t="s">
        <v>1070</v>
      </c>
      <c r="B151" s="3" t="s">
        <v>256</v>
      </c>
      <c r="C151" s="3" t="s">
        <v>182</v>
      </c>
      <c r="D151" s="3" t="s">
        <v>257</v>
      </c>
      <c r="E151" s="3">
        <v>57990</v>
      </c>
      <c r="F151" s="3"/>
      <c r="G151" s="1">
        <f>30000+27990</f>
        <v>57990</v>
      </c>
      <c r="H151" s="2">
        <f t="shared" si="12"/>
        <v>0</v>
      </c>
      <c r="I151" s="3" t="s">
        <v>12</v>
      </c>
    </row>
    <row r="152" spans="1:9" ht="21.95" customHeight="1" x14ac:dyDescent="0.15">
      <c r="A152" s="93" t="s">
        <v>1071</v>
      </c>
      <c r="B152" s="3" t="s">
        <v>258</v>
      </c>
      <c r="C152" s="3" t="s">
        <v>259</v>
      </c>
      <c r="D152" s="3" t="s">
        <v>257</v>
      </c>
      <c r="E152" s="3">
        <v>80000</v>
      </c>
      <c r="F152" s="3"/>
      <c r="G152" s="1">
        <f>40000+20000+20000</f>
        <v>80000</v>
      </c>
      <c r="H152" s="2">
        <f t="shared" si="12"/>
        <v>0</v>
      </c>
      <c r="I152" s="3" t="s">
        <v>12</v>
      </c>
    </row>
    <row r="153" spans="1:9" ht="21.95" customHeight="1" x14ac:dyDescent="0.15">
      <c r="A153" s="93" t="s">
        <v>1072</v>
      </c>
      <c r="B153" s="3" t="s">
        <v>260</v>
      </c>
      <c r="C153" s="3" t="s">
        <v>261</v>
      </c>
      <c r="D153" s="3"/>
      <c r="E153" s="4" t="s">
        <v>262</v>
      </c>
      <c r="F153" s="3"/>
      <c r="G153" s="1"/>
      <c r="H153" s="2" t="s">
        <v>262</v>
      </c>
      <c r="I153" s="3"/>
    </row>
    <row r="154" spans="1:9" ht="21.95" customHeight="1" x14ac:dyDescent="0.15">
      <c r="A154" s="93" t="s">
        <v>1073</v>
      </c>
      <c r="B154" s="3" t="s">
        <v>263</v>
      </c>
      <c r="C154" s="3" t="s">
        <v>85</v>
      </c>
      <c r="D154" s="3" t="s">
        <v>264</v>
      </c>
      <c r="E154" s="3">
        <v>159600</v>
      </c>
      <c r="F154" s="3"/>
      <c r="G154" s="1">
        <v>159600</v>
      </c>
      <c r="H154" s="2">
        <f t="shared" ref="H154:H217" si="13">E154-G154</f>
        <v>0</v>
      </c>
      <c r="I154" s="3" t="s">
        <v>12</v>
      </c>
    </row>
    <row r="155" spans="1:9" ht="21.95" customHeight="1" x14ac:dyDescent="0.15">
      <c r="A155" s="93" t="s">
        <v>1074</v>
      </c>
      <c r="B155" s="3" t="s">
        <v>265</v>
      </c>
      <c r="C155" s="3" t="s">
        <v>266</v>
      </c>
      <c r="D155" s="5"/>
      <c r="E155" s="3">
        <v>55000</v>
      </c>
      <c r="F155" s="45"/>
      <c r="G155" s="1">
        <v>55000</v>
      </c>
      <c r="H155" s="2">
        <f t="shared" si="13"/>
        <v>0</v>
      </c>
      <c r="I155" s="5" t="s">
        <v>12</v>
      </c>
    </row>
    <row r="156" spans="1:9" ht="21.95" customHeight="1" x14ac:dyDescent="0.15">
      <c r="A156" s="93" t="s">
        <v>1075</v>
      </c>
      <c r="B156" s="3" t="s">
        <v>267</v>
      </c>
      <c r="C156" s="3" t="s">
        <v>167</v>
      </c>
      <c r="D156" s="5" t="s">
        <v>264</v>
      </c>
      <c r="E156" s="3">
        <v>164360</v>
      </c>
      <c r="F156" s="45"/>
      <c r="G156" s="1">
        <f>82000+32360+50000</f>
        <v>164360</v>
      </c>
      <c r="H156" s="2">
        <f t="shared" si="13"/>
        <v>0</v>
      </c>
      <c r="I156" s="5" t="s">
        <v>12</v>
      </c>
    </row>
    <row r="157" spans="1:9" ht="21.95" customHeight="1" x14ac:dyDescent="0.15">
      <c r="A157" s="93" t="s">
        <v>1076</v>
      </c>
      <c r="B157" s="3" t="s">
        <v>268</v>
      </c>
      <c r="C157" s="3" t="s">
        <v>215</v>
      </c>
      <c r="D157" s="5" t="s">
        <v>269</v>
      </c>
      <c r="E157" s="3">
        <v>158752</v>
      </c>
      <c r="F157" s="3"/>
      <c r="G157" s="6">
        <f>50000+50000+30000+28752</f>
        <v>158752</v>
      </c>
      <c r="H157" s="2">
        <f t="shared" si="13"/>
        <v>0</v>
      </c>
      <c r="I157" s="5" t="s">
        <v>12</v>
      </c>
    </row>
    <row r="158" spans="1:9" ht="21.95" customHeight="1" x14ac:dyDescent="0.15">
      <c r="A158" s="93" t="s">
        <v>1077</v>
      </c>
      <c r="B158" s="3" t="s">
        <v>270</v>
      </c>
      <c r="C158" s="3" t="s">
        <v>95</v>
      </c>
      <c r="D158" s="5" t="s">
        <v>271</v>
      </c>
      <c r="E158" s="3">
        <v>113420</v>
      </c>
      <c r="F158" s="3"/>
      <c r="G158" s="6">
        <f>34026+79394</f>
        <v>113420</v>
      </c>
      <c r="H158" s="2">
        <f t="shared" si="13"/>
        <v>0</v>
      </c>
      <c r="I158" s="5" t="s">
        <v>12</v>
      </c>
    </row>
    <row r="159" spans="1:9" ht="21.95" customHeight="1" x14ac:dyDescent="0.15">
      <c r="A159" s="93" t="s">
        <v>1078</v>
      </c>
      <c r="B159" s="3" t="s">
        <v>272</v>
      </c>
      <c r="C159" s="3" t="s">
        <v>182</v>
      </c>
      <c r="D159" s="3" t="s">
        <v>271</v>
      </c>
      <c r="E159" s="3">
        <v>27500</v>
      </c>
      <c r="F159" s="3"/>
      <c r="G159" s="6">
        <v>27500</v>
      </c>
      <c r="H159" s="2">
        <f t="shared" si="13"/>
        <v>0</v>
      </c>
      <c r="I159" s="5" t="s">
        <v>12</v>
      </c>
    </row>
    <row r="160" spans="1:9" ht="21.95" customHeight="1" x14ac:dyDescent="0.15">
      <c r="A160" s="93" t="s">
        <v>1079</v>
      </c>
      <c r="B160" s="3" t="s">
        <v>273</v>
      </c>
      <c r="C160" s="3" t="s">
        <v>182</v>
      </c>
      <c r="D160" s="3" t="s">
        <v>213</v>
      </c>
      <c r="E160" s="3">
        <v>23800</v>
      </c>
      <c r="F160" s="3"/>
      <c r="G160" s="6">
        <v>23800</v>
      </c>
      <c r="H160" s="2">
        <f t="shared" si="13"/>
        <v>0</v>
      </c>
      <c r="I160" s="5" t="s">
        <v>12</v>
      </c>
    </row>
    <row r="161" spans="1:9" ht="21.95" customHeight="1" x14ac:dyDescent="0.15">
      <c r="A161" s="93" t="s">
        <v>1080</v>
      </c>
      <c r="B161" s="3" t="s">
        <v>274</v>
      </c>
      <c r="C161" s="3" t="s">
        <v>275</v>
      </c>
      <c r="D161" s="3" t="s">
        <v>276</v>
      </c>
      <c r="E161" s="3">
        <v>86930</v>
      </c>
      <c r="F161" s="3"/>
      <c r="G161" s="6">
        <f>50000+36930</f>
        <v>86930</v>
      </c>
      <c r="H161" s="2">
        <f t="shared" si="13"/>
        <v>0</v>
      </c>
      <c r="I161" s="5"/>
    </row>
    <row r="162" spans="1:9" ht="21.95" customHeight="1" x14ac:dyDescent="0.15">
      <c r="A162" s="93" t="s">
        <v>1081</v>
      </c>
      <c r="B162" s="3" t="s">
        <v>277</v>
      </c>
      <c r="C162" s="3" t="s">
        <v>278</v>
      </c>
      <c r="D162" s="3" t="s">
        <v>279</v>
      </c>
      <c r="E162" s="4">
        <v>67223.83</v>
      </c>
      <c r="F162" s="3"/>
      <c r="G162" s="6">
        <v>67223.83</v>
      </c>
      <c r="H162" s="2">
        <f t="shared" si="13"/>
        <v>0</v>
      </c>
      <c r="I162" s="5" t="s">
        <v>12</v>
      </c>
    </row>
    <row r="163" spans="1:9" ht="21.95" customHeight="1" x14ac:dyDescent="0.15">
      <c r="A163" s="93" t="s">
        <v>1082</v>
      </c>
      <c r="B163" s="3" t="s">
        <v>280</v>
      </c>
      <c r="C163" s="3" t="s">
        <v>278</v>
      </c>
      <c r="D163" s="3" t="s">
        <v>281</v>
      </c>
      <c r="E163" s="3">
        <v>42950</v>
      </c>
      <c r="F163" s="3"/>
      <c r="G163" s="6">
        <f>41662+1288</f>
        <v>42950</v>
      </c>
      <c r="H163" s="2">
        <f t="shared" si="13"/>
        <v>0</v>
      </c>
      <c r="I163" s="5" t="s">
        <v>12</v>
      </c>
    </row>
    <row r="164" spans="1:9" ht="21.95" customHeight="1" x14ac:dyDescent="0.15">
      <c r="A164" s="93" t="s">
        <v>1083</v>
      </c>
      <c r="B164" s="3" t="s">
        <v>282</v>
      </c>
      <c r="C164" s="3" t="s">
        <v>278</v>
      </c>
      <c r="D164" s="3" t="s">
        <v>276</v>
      </c>
      <c r="E164" s="3">
        <v>158000</v>
      </c>
      <c r="F164" s="3"/>
      <c r="G164" s="6">
        <f>153260+4740</f>
        <v>158000</v>
      </c>
      <c r="H164" s="2">
        <f t="shared" si="13"/>
        <v>0</v>
      </c>
      <c r="I164" s="5" t="s">
        <v>12</v>
      </c>
    </row>
    <row r="165" spans="1:9" ht="21.95" customHeight="1" x14ac:dyDescent="0.15">
      <c r="A165" s="93" t="s">
        <v>1084</v>
      </c>
      <c r="B165" s="3" t="s">
        <v>283</v>
      </c>
      <c r="C165" s="3" t="s">
        <v>278</v>
      </c>
      <c r="D165" s="3" t="s">
        <v>284</v>
      </c>
      <c r="E165" s="4">
        <v>169935.15</v>
      </c>
      <c r="F165" s="3"/>
      <c r="G165" s="6">
        <f>30000+50000+49935+40000.15</f>
        <v>169935.15</v>
      </c>
      <c r="H165" s="2">
        <f t="shared" si="13"/>
        <v>0</v>
      </c>
      <c r="I165" s="5" t="s">
        <v>12</v>
      </c>
    </row>
    <row r="166" spans="1:9" ht="21.95" customHeight="1" x14ac:dyDescent="0.15">
      <c r="A166" s="93" t="s">
        <v>1085</v>
      </c>
      <c r="B166" s="3" t="s">
        <v>285</v>
      </c>
      <c r="C166" s="3" t="s">
        <v>124</v>
      </c>
      <c r="D166" s="3" t="s">
        <v>286</v>
      </c>
      <c r="E166" s="3">
        <v>34775</v>
      </c>
      <c r="F166" s="3"/>
      <c r="G166" s="6">
        <v>34775</v>
      </c>
      <c r="H166" s="2">
        <f t="shared" si="13"/>
        <v>0</v>
      </c>
      <c r="I166" s="5" t="s">
        <v>12</v>
      </c>
    </row>
    <row r="167" spans="1:9" ht="21.95" customHeight="1" x14ac:dyDescent="0.15">
      <c r="A167" s="93" t="s">
        <v>1086</v>
      </c>
      <c r="B167" s="3" t="s">
        <v>287</v>
      </c>
      <c r="C167" s="3" t="s">
        <v>288</v>
      </c>
      <c r="D167" s="3" t="s">
        <v>289</v>
      </c>
      <c r="E167" s="4">
        <v>41110.400000000001</v>
      </c>
      <c r="F167" s="3"/>
      <c r="G167" s="6">
        <v>41110.400000000001</v>
      </c>
      <c r="H167" s="2">
        <f t="shared" si="13"/>
        <v>0</v>
      </c>
      <c r="I167" s="5" t="s">
        <v>12</v>
      </c>
    </row>
    <row r="168" spans="1:9" ht="21.95" customHeight="1" x14ac:dyDescent="0.15">
      <c r="A168" s="93" t="s">
        <v>1087</v>
      </c>
      <c r="B168" s="3" t="s">
        <v>290</v>
      </c>
      <c r="C168" s="3" t="s">
        <v>278</v>
      </c>
      <c r="D168" s="3" t="s">
        <v>279</v>
      </c>
      <c r="E168" s="4">
        <v>175261.53</v>
      </c>
      <c r="F168" s="3"/>
      <c r="G168" s="6">
        <v>175261.53</v>
      </c>
      <c r="H168" s="4">
        <f t="shared" si="13"/>
        <v>0</v>
      </c>
      <c r="I168" s="5"/>
    </row>
    <row r="169" spans="1:9" ht="21.95" customHeight="1" x14ac:dyDescent="0.15">
      <c r="A169" s="93" t="s">
        <v>1088</v>
      </c>
      <c r="B169" s="3" t="s">
        <v>291</v>
      </c>
      <c r="C169" s="3" t="s">
        <v>292</v>
      </c>
      <c r="D169" s="3" t="s">
        <v>293</v>
      </c>
      <c r="E169" s="3">
        <v>199368</v>
      </c>
      <c r="F169" s="3"/>
      <c r="G169" s="6">
        <f>95000+34368+30000+40000</f>
        <v>199368</v>
      </c>
      <c r="H169" s="4">
        <f t="shared" si="13"/>
        <v>0</v>
      </c>
      <c r="I169" s="5" t="s">
        <v>12</v>
      </c>
    </row>
    <row r="170" spans="1:9" ht="21.95" customHeight="1" x14ac:dyDescent="0.15">
      <c r="A170" s="93" t="s">
        <v>1089</v>
      </c>
      <c r="B170" s="3" t="s">
        <v>294</v>
      </c>
      <c r="C170" s="3" t="s">
        <v>295</v>
      </c>
      <c r="D170" s="3" t="s">
        <v>296</v>
      </c>
      <c r="E170" s="4">
        <v>171464.7</v>
      </c>
      <c r="F170" s="3"/>
      <c r="G170" s="6">
        <f>8573.7+162891</f>
        <v>171464.7</v>
      </c>
      <c r="H170" s="4">
        <f t="shared" si="13"/>
        <v>0</v>
      </c>
      <c r="I170" s="5" t="s">
        <v>12</v>
      </c>
    </row>
    <row r="171" spans="1:9" ht="21.95" customHeight="1" x14ac:dyDescent="0.15">
      <c r="A171" s="93" t="s">
        <v>1090</v>
      </c>
      <c r="B171" s="3" t="s">
        <v>297</v>
      </c>
      <c r="C171" s="3" t="s">
        <v>298</v>
      </c>
      <c r="D171" s="3" t="s">
        <v>299</v>
      </c>
      <c r="E171" s="3">
        <v>170000</v>
      </c>
      <c r="F171" s="3"/>
      <c r="G171" s="6">
        <f>85000+85000</f>
        <v>170000</v>
      </c>
      <c r="H171" s="4">
        <f t="shared" si="13"/>
        <v>0</v>
      </c>
      <c r="I171" s="5" t="s">
        <v>12</v>
      </c>
    </row>
    <row r="172" spans="1:9" ht="21.95" customHeight="1" x14ac:dyDescent="0.15">
      <c r="A172" s="93" t="s">
        <v>1091</v>
      </c>
      <c r="B172" s="3" t="s">
        <v>300</v>
      </c>
      <c r="C172" s="3" t="s">
        <v>301</v>
      </c>
      <c r="D172" s="3"/>
      <c r="E172" s="4">
        <f>5079056.34+166406.8</f>
        <v>5245463.1399999997</v>
      </c>
      <c r="F172" s="3"/>
      <c r="G172" s="6">
        <f>2539528.17+2539528.18+96350.76+70056.03</f>
        <v>5245463.1399999997</v>
      </c>
      <c r="H172" s="4">
        <f t="shared" si="13"/>
        <v>0</v>
      </c>
      <c r="I172" s="5" t="s">
        <v>302</v>
      </c>
    </row>
    <row r="173" spans="1:9" ht="21.95" customHeight="1" x14ac:dyDescent="0.15">
      <c r="A173" s="93" t="s">
        <v>1092</v>
      </c>
      <c r="B173" s="3" t="s">
        <v>303</v>
      </c>
      <c r="C173" s="3" t="s">
        <v>95</v>
      </c>
      <c r="D173" s="3" t="s">
        <v>304</v>
      </c>
      <c r="E173" s="3">
        <v>113420</v>
      </c>
      <c r="F173" s="3"/>
      <c r="G173" s="6">
        <f>79394+34026</f>
        <v>113420</v>
      </c>
      <c r="H173" s="4">
        <f t="shared" si="13"/>
        <v>0</v>
      </c>
      <c r="I173" s="5" t="s">
        <v>12</v>
      </c>
    </row>
    <row r="174" spans="1:9" ht="21.95" customHeight="1" x14ac:dyDescent="0.15">
      <c r="A174" s="93" t="s">
        <v>1093</v>
      </c>
      <c r="B174" s="3" t="s">
        <v>305</v>
      </c>
      <c r="C174" s="3" t="s">
        <v>306</v>
      </c>
      <c r="D174" s="3" t="s">
        <v>307</v>
      </c>
      <c r="E174" s="3">
        <v>72124</v>
      </c>
      <c r="F174" s="3"/>
      <c r="G174" s="6">
        <v>72124</v>
      </c>
      <c r="H174" s="4">
        <f t="shared" si="13"/>
        <v>0</v>
      </c>
      <c r="I174" s="5" t="s">
        <v>12</v>
      </c>
    </row>
    <row r="175" spans="1:9" ht="21.95" customHeight="1" x14ac:dyDescent="0.15">
      <c r="A175" s="93" t="s">
        <v>1094</v>
      </c>
      <c r="B175" s="3" t="s">
        <v>308</v>
      </c>
      <c r="C175" s="3" t="s">
        <v>309</v>
      </c>
      <c r="D175" s="3" t="s">
        <v>310</v>
      </c>
      <c r="E175" s="3">
        <v>89740</v>
      </c>
      <c r="F175" s="3"/>
      <c r="G175" s="6">
        <v>89740</v>
      </c>
      <c r="H175" s="4">
        <f t="shared" si="13"/>
        <v>0</v>
      </c>
      <c r="I175" s="5" t="s">
        <v>12</v>
      </c>
    </row>
    <row r="176" spans="1:9" ht="21.95" customHeight="1" x14ac:dyDescent="0.15">
      <c r="A176" s="93" t="s">
        <v>1095</v>
      </c>
      <c r="B176" s="3" t="s">
        <v>311</v>
      </c>
      <c r="C176" s="3" t="s">
        <v>48</v>
      </c>
      <c r="D176" s="3" t="s">
        <v>312</v>
      </c>
      <c r="E176" s="3">
        <v>56164</v>
      </c>
      <c r="F176" s="3"/>
      <c r="G176" s="6">
        <v>56164</v>
      </c>
      <c r="H176" s="4">
        <f t="shared" si="13"/>
        <v>0</v>
      </c>
      <c r="I176" s="5" t="s">
        <v>12</v>
      </c>
    </row>
    <row r="177" spans="1:9" ht="21.95" customHeight="1" x14ac:dyDescent="0.15">
      <c r="A177" s="93" t="s">
        <v>1096</v>
      </c>
      <c r="B177" s="3" t="s">
        <v>313</v>
      </c>
      <c r="C177" s="3" t="s">
        <v>309</v>
      </c>
      <c r="D177" s="3" t="s">
        <v>307</v>
      </c>
      <c r="E177" s="3">
        <v>62000</v>
      </c>
      <c r="F177" s="3"/>
      <c r="G177" s="6">
        <v>62000</v>
      </c>
      <c r="H177" s="4">
        <f t="shared" si="13"/>
        <v>0</v>
      </c>
      <c r="I177" s="5" t="s">
        <v>12</v>
      </c>
    </row>
    <row r="178" spans="1:9" ht="21.95" customHeight="1" x14ac:dyDescent="0.15">
      <c r="A178" s="93" t="s">
        <v>1097</v>
      </c>
      <c r="B178" s="3" t="s">
        <v>314</v>
      </c>
      <c r="C178" s="3" t="s">
        <v>69</v>
      </c>
      <c r="D178" s="3" t="s">
        <v>310</v>
      </c>
      <c r="E178" s="3">
        <v>38950</v>
      </c>
      <c r="F178" s="3"/>
      <c r="G178" s="6">
        <v>38950</v>
      </c>
      <c r="H178" s="4">
        <f t="shared" si="13"/>
        <v>0</v>
      </c>
      <c r="I178" s="5" t="s">
        <v>12</v>
      </c>
    </row>
    <row r="179" spans="1:9" ht="21.95" customHeight="1" x14ac:dyDescent="0.15">
      <c r="A179" s="93" t="s">
        <v>1098</v>
      </c>
      <c r="B179" s="3" t="s">
        <v>315</v>
      </c>
      <c r="C179" s="3" t="s">
        <v>316</v>
      </c>
      <c r="D179" s="3" t="s">
        <v>299</v>
      </c>
      <c r="E179" s="3">
        <v>37200</v>
      </c>
      <c r="F179" s="3"/>
      <c r="G179" s="6">
        <v>20000</v>
      </c>
      <c r="H179" s="4">
        <f t="shared" si="13"/>
        <v>17200</v>
      </c>
      <c r="I179" s="5" t="s">
        <v>12</v>
      </c>
    </row>
    <row r="180" spans="1:9" ht="21.95" customHeight="1" x14ac:dyDescent="0.15">
      <c r="A180" s="93" t="s">
        <v>1099</v>
      </c>
      <c r="B180" s="3" t="s">
        <v>317</v>
      </c>
      <c r="C180" s="3" t="s">
        <v>295</v>
      </c>
      <c r="D180" s="3" t="s">
        <v>307</v>
      </c>
      <c r="E180" s="4">
        <v>12200.32</v>
      </c>
      <c r="F180" s="3"/>
      <c r="G180" s="6">
        <v>12200.32</v>
      </c>
      <c r="H180" s="4">
        <f t="shared" si="13"/>
        <v>0</v>
      </c>
      <c r="I180" s="5" t="s">
        <v>12</v>
      </c>
    </row>
    <row r="181" spans="1:9" ht="21.95" customHeight="1" x14ac:dyDescent="0.15">
      <c r="A181" s="93" t="s">
        <v>1100</v>
      </c>
      <c r="B181" s="3" t="s">
        <v>318</v>
      </c>
      <c r="C181" s="3" t="s">
        <v>292</v>
      </c>
      <c r="D181" s="3" t="s">
        <v>307</v>
      </c>
      <c r="E181" s="3">
        <v>23155</v>
      </c>
      <c r="F181" s="3"/>
      <c r="G181" s="6">
        <v>23155</v>
      </c>
      <c r="H181" s="4">
        <f t="shared" si="13"/>
        <v>0</v>
      </c>
      <c r="I181" s="5" t="s">
        <v>12</v>
      </c>
    </row>
    <row r="182" spans="1:9" ht="21.95" customHeight="1" x14ac:dyDescent="0.15">
      <c r="A182" s="93" t="s">
        <v>1101</v>
      </c>
      <c r="B182" s="3" t="s">
        <v>319</v>
      </c>
      <c r="C182" s="3" t="s">
        <v>249</v>
      </c>
      <c r="D182" s="3" t="s">
        <v>320</v>
      </c>
      <c r="E182" s="3">
        <v>42000</v>
      </c>
      <c r="F182" s="3"/>
      <c r="G182" s="6">
        <f>16800+25200</f>
        <v>42000</v>
      </c>
      <c r="H182" s="4">
        <f t="shared" si="13"/>
        <v>0</v>
      </c>
      <c r="I182" s="5" t="s">
        <v>12</v>
      </c>
    </row>
    <row r="183" spans="1:9" ht="21.95" customHeight="1" x14ac:dyDescent="0.15">
      <c r="A183" s="93" t="s">
        <v>1102</v>
      </c>
      <c r="B183" s="3" t="s">
        <v>321</v>
      </c>
      <c r="C183" s="3" t="s">
        <v>155</v>
      </c>
      <c r="D183" s="3"/>
      <c r="E183" s="3">
        <v>33286</v>
      </c>
      <c r="F183" s="3"/>
      <c r="G183" s="6">
        <v>33286</v>
      </c>
      <c r="H183" s="4">
        <f t="shared" si="13"/>
        <v>0</v>
      </c>
      <c r="I183" s="5"/>
    </row>
    <row r="184" spans="1:9" ht="21.95" customHeight="1" x14ac:dyDescent="0.15">
      <c r="A184" s="93" t="s">
        <v>1103</v>
      </c>
      <c r="B184" s="3" t="s">
        <v>322</v>
      </c>
      <c r="C184" s="3" t="s">
        <v>323</v>
      </c>
      <c r="D184" s="3" t="s">
        <v>271</v>
      </c>
      <c r="E184" s="4" t="s">
        <v>324</v>
      </c>
      <c r="F184" s="3"/>
      <c r="G184" s="6">
        <v>140000</v>
      </c>
      <c r="H184" s="4">
        <f t="shared" si="13"/>
        <v>0</v>
      </c>
      <c r="I184" s="5" t="s">
        <v>59</v>
      </c>
    </row>
    <row r="185" spans="1:9" ht="21.95" customHeight="1" x14ac:dyDescent="0.15">
      <c r="A185" s="93" t="s">
        <v>1104</v>
      </c>
      <c r="B185" s="3" t="s">
        <v>325</v>
      </c>
      <c r="C185" s="3" t="s">
        <v>326</v>
      </c>
      <c r="D185" s="3" t="s">
        <v>271</v>
      </c>
      <c r="E185" s="4" t="s">
        <v>327</v>
      </c>
      <c r="F185" s="3"/>
      <c r="G185" s="6">
        <v>64000</v>
      </c>
      <c r="H185" s="4">
        <f t="shared" si="13"/>
        <v>0</v>
      </c>
      <c r="I185" s="5" t="s">
        <v>12</v>
      </c>
    </row>
    <row r="186" spans="1:9" ht="21.95" customHeight="1" x14ac:dyDescent="0.15">
      <c r="A186" s="93" t="s">
        <v>1105</v>
      </c>
      <c r="B186" s="3" t="s">
        <v>328</v>
      </c>
      <c r="C186" s="3" t="s">
        <v>95</v>
      </c>
      <c r="D186" s="3" t="s">
        <v>329</v>
      </c>
      <c r="E186" s="3">
        <v>113420</v>
      </c>
      <c r="F186" s="3"/>
      <c r="G186" s="3">
        <f>34026+79394</f>
        <v>113420</v>
      </c>
      <c r="H186" s="4">
        <f t="shared" si="13"/>
        <v>0</v>
      </c>
      <c r="I186" s="5" t="s">
        <v>12</v>
      </c>
    </row>
    <row r="187" spans="1:9" ht="21.95" customHeight="1" x14ac:dyDescent="0.15">
      <c r="A187" s="93" t="s">
        <v>1106</v>
      </c>
      <c r="B187" s="3" t="s">
        <v>330</v>
      </c>
      <c r="C187" s="3" t="s">
        <v>323</v>
      </c>
      <c r="D187" s="3" t="s">
        <v>331</v>
      </c>
      <c r="E187" s="4" t="s">
        <v>324</v>
      </c>
      <c r="F187" s="3"/>
      <c r="G187" s="6">
        <v>140000</v>
      </c>
      <c r="H187" s="4">
        <f t="shared" si="13"/>
        <v>0</v>
      </c>
      <c r="I187" s="5" t="s">
        <v>12</v>
      </c>
    </row>
    <row r="188" spans="1:9" ht="21.95" customHeight="1" x14ac:dyDescent="0.15">
      <c r="A188" s="93" t="s">
        <v>1107</v>
      </c>
      <c r="B188" s="3" t="s">
        <v>332</v>
      </c>
      <c r="C188" s="3" t="s">
        <v>326</v>
      </c>
      <c r="D188" s="3" t="s">
        <v>331</v>
      </c>
      <c r="E188" s="4" t="s">
        <v>327</v>
      </c>
      <c r="F188" s="3"/>
      <c r="G188" s="6">
        <v>64000</v>
      </c>
      <c r="H188" s="4">
        <f t="shared" si="13"/>
        <v>0</v>
      </c>
      <c r="I188" s="5" t="s">
        <v>12</v>
      </c>
    </row>
    <row r="189" spans="1:9" ht="21.95" customHeight="1" x14ac:dyDescent="0.15">
      <c r="A189" s="93" t="s">
        <v>1108</v>
      </c>
      <c r="B189" s="3" t="s">
        <v>333</v>
      </c>
      <c r="C189" s="3" t="s">
        <v>334</v>
      </c>
      <c r="D189" s="3" t="s">
        <v>335</v>
      </c>
      <c r="E189" s="3">
        <v>122508</v>
      </c>
      <c r="F189" s="3"/>
      <c r="G189" s="6">
        <f>52508+70000</f>
        <v>122508</v>
      </c>
      <c r="H189" s="4">
        <f t="shared" si="13"/>
        <v>0</v>
      </c>
      <c r="I189" s="5" t="s">
        <v>12</v>
      </c>
    </row>
    <row r="190" spans="1:9" ht="21.95" customHeight="1" x14ac:dyDescent="0.15">
      <c r="A190" s="93" t="s">
        <v>1109</v>
      </c>
      <c r="B190" s="3" t="s">
        <v>336</v>
      </c>
      <c r="C190" s="3" t="s">
        <v>334</v>
      </c>
      <c r="D190" s="3" t="s">
        <v>337</v>
      </c>
      <c r="E190" s="3">
        <v>182652</v>
      </c>
      <c r="F190" s="3"/>
      <c r="G190" s="6">
        <v>182652</v>
      </c>
      <c r="H190" s="4">
        <f t="shared" si="13"/>
        <v>0</v>
      </c>
      <c r="I190" s="5"/>
    </row>
    <row r="191" spans="1:9" ht="21.95" customHeight="1" x14ac:dyDescent="0.15">
      <c r="A191" s="93" t="s">
        <v>1110</v>
      </c>
      <c r="B191" s="3" t="s">
        <v>338</v>
      </c>
      <c r="C191" s="3" t="s">
        <v>334</v>
      </c>
      <c r="D191" s="3" t="s">
        <v>339</v>
      </c>
      <c r="E191" s="3">
        <v>193700</v>
      </c>
      <c r="F191" s="3"/>
      <c r="G191" s="6">
        <f>50000+143700</f>
        <v>193700</v>
      </c>
      <c r="H191" s="4">
        <f t="shared" si="13"/>
        <v>0</v>
      </c>
      <c r="I191" s="5" t="s">
        <v>12</v>
      </c>
    </row>
    <row r="192" spans="1:9" ht="21.95" customHeight="1" x14ac:dyDescent="0.15">
      <c r="A192" s="93" t="s">
        <v>1111</v>
      </c>
      <c r="B192" s="3" t="s">
        <v>340</v>
      </c>
      <c r="C192" s="3" t="s">
        <v>218</v>
      </c>
      <c r="D192" s="3" t="s">
        <v>341</v>
      </c>
      <c r="E192" s="3">
        <v>185000</v>
      </c>
      <c r="F192" s="3"/>
      <c r="G192" s="6">
        <f>55000+130000</f>
        <v>185000</v>
      </c>
      <c r="H192" s="4">
        <f t="shared" si="13"/>
        <v>0</v>
      </c>
      <c r="I192" s="5" t="s">
        <v>12</v>
      </c>
    </row>
    <row r="193" spans="1:9" ht="21.95" customHeight="1" x14ac:dyDescent="0.15">
      <c r="A193" s="93" t="s">
        <v>1112</v>
      </c>
      <c r="B193" s="3" t="s">
        <v>342</v>
      </c>
      <c r="C193" s="3" t="s">
        <v>218</v>
      </c>
      <c r="D193" s="3" t="s">
        <v>339</v>
      </c>
      <c r="E193" s="3">
        <v>189060</v>
      </c>
      <c r="F193" s="3"/>
      <c r="G193" s="6">
        <v>189060</v>
      </c>
      <c r="H193" s="4">
        <f t="shared" si="13"/>
        <v>0</v>
      </c>
      <c r="I193" s="5"/>
    </row>
    <row r="194" spans="1:9" ht="21.95" customHeight="1" x14ac:dyDescent="0.15">
      <c r="A194" s="93" t="s">
        <v>1113</v>
      </c>
      <c r="B194" s="3" t="s">
        <v>343</v>
      </c>
      <c r="C194" s="3" t="s">
        <v>344</v>
      </c>
      <c r="D194" s="3" t="s">
        <v>337</v>
      </c>
      <c r="E194" s="3">
        <v>173290</v>
      </c>
      <c r="F194" s="3"/>
      <c r="G194" s="6">
        <f>164625+8665</f>
        <v>173290</v>
      </c>
      <c r="H194" s="4">
        <f t="shared" si="13"/>
        <v>0</v>
      </c>
      <c r="I194" s="5" t="s">
        <v>12</v>
      </c>
    </row>
    <row r="195" spans="1:9" ht="21.95" customHeight="1" x14ac:dyDescent="0.15">
      <c r="A195" s="93" t="s">
        <v>1114</v>
      </c>
      <c r="B195" s="3" t="s">
        <v>345</v>
      </c>
      <c r="C195" s="3" t="s">
        <v>177</v>
      </c>
      <c r="D195" s="3" t="s">
        <v>339</v>
      </c>
      <c r="E195" s="3">
        <v>37118</v>
      </c>
      <c r="F195" s="3"/>
      <c r="G195" s="6">
        <v>37118</v>
      </c>
      <c r="H195" s="4">
        <f t="shared" si="13"/>
        <v>0</v>
      </c>
      <c r="I195" s="5"/>
    </row>
    <row r="196" spans="1:9" ht="21.95" customHeight="1" x14ac:dyDescent="0.15">
      <c r="A196" s="93" t="s">
        <v>1115</v>
      </c>
      <c r="B196" s="3" t="s">
        <v>346</v>
      </c>
      <c r="C196" s="3" t="s">
        <v>347</v>
      </c>
      <c r="D196" s="3" t="s">
        <v>337</v>
      </c>
      <c r="E196" s="3">
        <v>56700</v>
      </c>
      <c r="F196" s="3"/>
      <c r="G196" s="6">
        <f>30000+26700</f>
        <v>56700</v>
      </c>
      <c r="H196" s="4">
        <f t="shared" si="13"/>
        <v>0</v>
      </c>
      <c r="I196" s="5"/>
    </row>
    <row r="197" spans="1:9" ht="21.95" customHeight="1" x14ac:dyDescent="0.15">
      <c r="A197" s="93" t="s">
        <v>1116</v>
      </c>
      <c r="B197" s="3" t="s">
        <v>348</v>
      </c>
      <c r="C197" s="3" t="s">
        <v>107</v>
      </c>
      <c r="D197" s="3" t="s">
        <v>339</v>
      </c>
      <c r="E197" s="3">
        <v>98900</v>
      </c>
      <c r="F197" s="3"/>
      <c r="G197" s="6">
        <f>68900+30000</f>
        <v>98900</v>
      </c>
      <c r="H197" s="4">
        <f t="shared" si="13"/>
        <v>0</v>
      </c>
      <c r="I197" s="5" t="s">
        <v>12</v>
      </c>
    </row>
    <row r="198" spans="1:9" ht="21.95" customHeight="1" x14ac:dyDescent="0.15">
      <c r="A198" s="93" t="s">
        <v>1117</v>
      </c>
      <c r="B198" s="3" t="s">
        <v>349</v>
      </c>
      <c r="C198" s="3" t="s">
        <v>350</v>
      </c>
      <c r="D198" s="3" t="s">
        <v>351</v>
      </c>
      <c r="E198" s="3">
        <v>56000</v>
      </c>
      <c r="F198" s="3"/>
      <c r="G198" s="6">
        <f>53200+2800</f>
        <v>56000</v>
      </c>
      <c r="H198" s="4">
        <f t="shared" si="13"/>
        <v>0</v>
      </c>
      <c r="I198" s="5" t="s">
        <v>12</v>
      </c>
    </row>
    <row r="199" spans="1:9" ht="21.95" customHeight="1" x14ac:dyDescent="0.15">
      <c r="A199" s="93" t="s">
        <v>1118</v>
      </c>
      <c r="B199" s="3" t="s">
        <v>352</v>
      </c>
      <c r="C199" s="3" t="s">
        <v>261</v>
      </c>
      <c r="D199" s="82">
        <v>2021.12</v>
      </c>
      <c r="E199" s="3">
        <v>60000</v>
      </c>
      <c r="F199" s="3"/>
      <c r="G199" s="6">
        <f>40000+20000</f>
        <v>60000</v>
      </c>
      <c r="H199" s="2">
        <f t="shared" si="13"/>
        <v>0</v>
      </c>
      <c r="I199" s="81" t="s">
        <v>12</v>
      </c>
    </row>
    <row r="200" spans="1:9" ht="21.95" customHeight="1" x14ac:dyDescent="0.15">
      <c r="A200" s="93" t="s">
        <v>1119</v>
      </c>
      <c r="B200" s="3" t="s">
        <v>353</v>
      </c>
      <c r="C200" s="3" t="s">
        <v>150</v>
      </c>
      <c r="D200" s="3" t="s">
        <v>354</v>
      </c>
      <c r="E200" s="3">
        <v>33800</v>
      </c>
      <c r="F200" s="3"/>
      <c r="G200" s="6">
        <v>33800</v>
      </c>
      <c r="H200" s="4">
        <f t="shared" si="13"/>
        <v>0</v>
      </c>
      <c r="I200" s="81" t="s">
        <v>12</v>
      </c>
    </row>
    <row r="201" spans="1:9" ht="35.1" customHeight="1" x14ac:dyDescent="0.15">
      <c r="A201" s="93" t="s">
        <v>1120</v>
      </c>
      <c r="B201" s="3" t="s">
        <v>355</v>
      </c>
      <c r="C201" s="3" t="s">
        <v>356</v>
      </c>
      <c r="D201" s="3" t="s">
        <v>354</v>
      </c>
      <c r="E201" s="3">
        <v>33800</v>
      </c>
      <c r="F201" s="4"/>
      <c r="G201" s="3">
        <v>33800</v>
      </c>
      <c r="H201" s="4">
        <f t="shared" si="13"/>
        <v>0</v>
      </c>
      <c r="I201" s="5" t="s">
        <v>12</v>
      </c>
    </row>
    <row r="202" spans="1:9" ht="21.95" customHeight="1" x14ac:dyDescent="0.15">
      <c r="A202" s="93" t="s">
        <v>1121</v>
      </c>
      <c r="B202" s="3" t="s">
        <v>357</v>
      </c>
      <c r="C202" s="3" t="s">
        <v>155</v>
      </c>
      <c r="D202" s="3" t="s">
        <v>358</v>
      </c>
      <c r="E202" s="3">
        <v>33800</v>
      </c>
      <c r="F202" s="3"/>
      <c r="G202" s="6">
        <v>33800</v>
      </c>
      <c r="H202" s="4">
        <f t="shared" si="13"/>
        <v>0</v>
      </c>
      <c r="I202" s="5"/>
    </row>
    <row r="203" spans="1:9" ht="21.95" customHeight="1" x14ac:dyDescent="0.15">
      <c r="A203" s="93" t="s">
        <v>1122</v>
      </c>
      <c r="B203" s="3" t="s">
        <v>359</v>
      </c>
      <c r="C203" s="3" t="s">
        <v>360</v>
      </c>
      <c r="D203" s="3" t="s">
        <v>337</v>
      </c>
      <c r="E203" s="3">
        <v>155607</v>
      </c>
      <c r="F203" s="3"/>
      <c r="G203" s="6">
        <v>155607</v>
      </c>
      <c r="H203" s="4">
        <f t="shared" si="13"/>
        <v>0</v>
      </c>
      <c r="I203" s="5"/>
    </row>
    <row r="204" spans="1:9" ht="21.95" customHeight="1" x14ac:dyDescent="0.15">
      <c r="A204" s="93" t="s">
        <v>1123</v>
      </c>
      <c r="B204" s="3" t="s">
        <v>361</v>
      </c>
      <c r="C204" s="3" t="s">
        <v>362</v>
      </c>
      <c r="D204" s="3" t="s">
        <v>337</v>
      </c>
      <c r="E204" s="3">
        <v>120824</v>
      </c>
      <c r="F204" s="3"/>
      <c r="G204" s="6">
        <f>30824+60000+30000</f>
        <v>120824</v>
      </c>
      <c r="H204" s="4">
        <f t="shared" si="13"/>
        <v>0</v>
      </c>
      <c r="I204" s="5"/>
    </row>
    <row r="205" spans="1:9" ht="21.95" customHeight="1" x14ac:dyDescent="0.15">
      <c r="A205" s="93" t="s">
        <v>1124</v>
      </c>
      <c r="B205" s="3" t="s">
        <v>363</v>
      </c>
      <c r="C205" s="3" t="s">
        <v>362</v>
      </c>
      <c r="D205" s="3" t="s">
        <v>337</v>
      </c>
      <c r="E205" s="4">
        <v>160867.5</v>
      </c>
      <c r="F205" s="3"/>
      <c r="G205" s="6">
        <f>40000+120867.5</f>
        <v>160867.5</v>
      </c>
      <c r="H205" s="4">
        <f t="shared" si="13"/>
        <v>0</v>
      </c>
      <c r="I205" s="5" t="s">
        <v>12</v>
      </c>
    </row>
    <row r="206" spans="1:9" ht="21.95" customHeight="1" x14ac:dyDescent="0.15">
      <c r="A206" s="93" t="s">
        <v>1125</v>
      </c>
      <c r="B206" s="3" t="s">
        <v>364</v>
      </c>
      <c r="C206" s="3" t="s">
        <v>362</v>
      </c>
      <c r="D206" s="3" t="s">
        <v>339</v>
      </c>
      <c r="E206" s="4">
        <v>121686.5</v>
      </c>
      <c r="F206" s="3"/>
      <c r="G206" s="6">
        <f>31886+89800.5</f>
        <v>121686.5</v>
      </c>
      <c r="H206" s="4">
        <f t="shared" si="13"/>
        <v>0</v>
      </c>
      <c r="I206" s="5"/>
    </row>
    <row r="207" spans="1:9" ht="21.95" customHeight="1" x14ac:dyDescent="0.15">
      <c r="A207" s="93" t="s">
        <v>1126</v>
      </c>
      <c r="B207" s="3" t="s">
        <v>365</v>
      </c>
      <c r="C207" s="3" t="s">
        <v>278</v>
      </c>
      <c r="D207" s="3" t="s">
        <v>339</v>
      </c>
      <c r="E207" s="3">
        <v>122972</v>
      </c>
      <c r="F207" s="3"/>
      <c r="G207" s="6">
        <f>3690+119282</f>
        <v>122972</v>
      </c>
      <c r="H207" s="4">
        <f t="shared" si="13"/>
        <v>0</v>
      </c>
      <c r="I207" s="3" t="s">
        <v>12</v>
      </c>
    </row>
    <row r="208" spans="1:9" ht="21.95" customHeight="1" x14ac:dyDescent="0.15">
      <c r="A208" s="93" t="s">
        <v>1127</v>
      </c>
      <c r="B208" s="3" t="s">
        <v>366</v>
      </c>
      <c r="C208" s="3" t="s">
        <v>367</v>
      </c>
      <c r="D208" s="3" t="s">
        <v>331</v>
      </c>
      <c r="E208" s="3">
        <v>19500</v>
      </c>
      <c r="F208" s="3"/>
      <c r="G208" s="3">
        <v>19500</v>
      </c>
      <c r="H208" s="4">
        <f t="shared" si="13"/>
        <v>0</v>
      </c>
      <c r="I208" s="3"/>
    </row>
    <row r="209" spans="1:9" ht="21.95" customHeight="1" x14ac:dyDescent="0.15">
      <c r="A209" s="93" t="s">
        <v>1128</v>
      </c>
      <c r="B209" s="3" t="s">
        <v>368</v>
      </c>
      <c r="C209" s="3" t="s">
        <v>369</v>
      </c>
      <c r="D209" s="3" t="s">
        <v>354</v>
      </c>
      <c r="E209" s="3">
        <v>22400</v>
      </c>
      <c r="F209" s="3"/>
      <c r="G209" s="3">
        <v>22400</v>
      </c>
      <c r="H209" s="2">
        <f t="shared" si="13"/>
        <v>0</v>
      </c>
      <c r="I209" s="3" t="s">
        <v>12</v>
      </c>
    </row>
    <row r="210" spans="1:9" ht="21.95" customHeight="1" x14ac:dyDescent="0.15">
      <c r="A210" s="93" t="s">
        <v>1129</v>
      </c>
      <c r="B210" s="3" t="s">
        <v>370</v>
      </c>
      <c r="C210" s="3" t="s">
        <v>371</v>
      </c>
      <c r="D210" s="3" t="s">
        <v>372</v>
      </c>
      <c r="E210" s="3">
        <v>59840</v>
      </c>
      <c r="F210" s="3"/>
      <c r="G210" s="3">
        <v>59840</v>
      </c>
      <c r="H210" s="2">
        <f t="shared" si="13"/>
        <v>0</v>
      </c>
      <c r="I210" s="3" t="s">
        <v>12</v>
      </c>
    </row>
    <row r="211" spans="1:9" ht="21.95" customHeight="1" x14ac:dyDescent="0.15">
      <c r="A211" s="93" t="s">
        <v>1130</v>
      </c>
      <c r="B211" s="3" t="s">
        <v>373</v>
      </c>
      <c r="C211" s="3" t="s">
        <v>190</v>
      </c>
      <c r="D211" s="3" t="s">
        <v>374</v>
      </c>
      <c r="E211" s="3">
        <v>48500</v>
      </c>
      <c r="F211" s="3"/>
      <c r="G211" s="6">
        <f>30000+18500</f>
        <v>48500</v>
      </c>
      <c r="H211" s="4">
        <f t="shared" si="13"/>
        <v>0</v>
      </c>
      <c r="I211" s="3"/>
    </row>
    <row r="212" spans="1:9" ht="21.95" customHeight="1" x14ac:dyDescent="0.15">
      <c r="A212" s="93" t="s">
        <v>1131</v>
      </c>
      <c r="B212" s="3" t="s">
        <v>255</v>
      </c>
      <c r="C212" s="3" t="s">
        <v>182</v>
      </c>
      <c r="D212" s="3" t="s">
        <v>375</v>
      </c>
      <c r="E212" s="3">
        <v>8500</v>
      </c>
      <c r="F212" s="3"/>
      <c r="G212" s="6">
        <v>8500</v>
      </c>
      <c r="H212" s="4">
        <f t="shared" si="13"/>
        <v>0</v>
      </c>
      <c r="I212" s="3"/>
    </row>
    <row r="213" spans="1:9" ht="21.95" customHeight="1" x14ac:dyDescent="0.15">
      <c r="A213" s="93" t="s">
        <v>1132</v>
      </c>
      <c r="B213" s="3" t="s">
        <v>376</v>
      </c>
      <c r="C213" s="3" t="s">
        <v>69</v>
      </c>
      <c r="D213" s="3" t="s">
        <v>377</v>
      </c>
      <c r="E213" s="3">
        <v>75700</v>
      </c>
      <c r="F213" s="3"/>
      <c r="G213" s="6">
        <v>75700</v>
      </c>
      <c r="H213" s="4">
        <f t="shared" si="13"/>
        <v>0</v>
      </c>
      <c r="I213" s="3" t="s">
        <v>12</v>
      </c>
    </row>
    <row r="214" spans="1:9" ht="21.95" customHeight="1" x14ac:dyDescent="0.15">
      <c r="A214" s="93" t="s">
        <v>1133</v>
      </c>
      <c r="B214" s="3" t="s">
        <v>378</v>
      </c>
      <c r="C214" s="3" t="s">
        <v>309</v>
      </c>
      <c r="D214" s="5" t="s">
        <v>377</v>
      </c>
      <c r="E214" s="3">
        <v>112800</v>
      </c>
      <c r="F214" s="3"/>
      <c r="G214" s="5">
        <v>112800</v>
      </c>
      <c r="H214" s="2">
        <f t="shared" si="13"/>
        <v>0</v>
      </c>
      <c r="I214" s="5" t="s">
        <v>12</v>
      </c>
    </row>
    <row r="215" spans="1:9" ht="21.95" customHeight="1" x14ac:dyDescent="0.15">
      <c r="A215" s="93" t="s">
        <v>1134</v>
      </c>
      <c r="B215" s="3" t="s">
        <v>379</v>
      </c>
      <c r="C215" s="3" t="s">
        <v>249</v>
      </c>
      <c r="D215" s="5" t="s">
        <v>374</v>
      </c>
      <c r="E215" s="3">
        <v>436000</v>
      </c>
      <c r="F215" s="3"/>
      <c r="G215" s="5">
        <f>56000+100000+280000</f>
        <v>436000</v>
      </c>
      <c r="H215" s="46">
        <f t="shared" si="13"/>
        <v>0</v>
      </c>
      <c r="I215" s="5" t="s">
        <v>12</v>
      </c>
    </row>
    <row r="216" spans="1:9" ht="21.95" customHeight="1" x14ac:dyDescent="0.15">
      <c r="A216" s="93" t="s">
        <v>1135</v>
      </c>
      <c r="B216" s="3" t="s">
        <v>380</v>
      </c>
      <c r="C216" s="3" t="s">
        <v>323</v>
      </c>
      <c r="D216" s="5" t="s">
        <v>381</v>
      </c>
      <c r="E216" s="4" t="s">
        <v>324</v>
      </c>
      <c r="F216" s="45"/>
      <c r="G216" s="46">
        <f>50000+45000+45000</f>
        <v>140000</v>
      </c>
      <c r="H216" s="46">
        <f t="shared" si="13"/>
        <v>0</v>
      </c>
      <c r="I216" s="5" t="s">
        <v>12</v>
      </c>
    </row>
    <row r="217" spans="1:9" ht="21.95" customHeight="1" x14ac:dyDescent="0.15">
      <c r="A217" s="93" t="s">
        <v>1136</v>
      </c>
      <c r="B217" s="3" t="s">
        <v>382</v>
      </c>
      <c r="C217" s="3" t="s">
        <v>326</v>
      </c>
      <c r="D217" s="3" t="s">
        <v>381</v>
      </c>
      <c r="E217" s="4" t="s">
        <v>327</v>
      </c>
      <c r="F217" s="3"/>
      <c r="G217" s="3">
        <v>64000</v>
      </c>
      <c r="H217" s="4">
        <f t="shared" si="13"/>
        <v>0</v>
      </c>
      <c r="I217" s="5" t="s">
        <v>12</v>
      </c>
    </row>
    <row r="218" spans="1:9" ht="21.95" customHeight="1" x14ac:dyDescent="0.15">
      <c r="A218" s="93" t="s">
        <v>1137</v>
      </c>
      <c r="B218" s="3" t="s">
        <v>383</v>
      </c>
      <c r="C218" s="3" t="s">
        <v>384</v>
      </c>
      <c r="D218" s="3" t="s">
        <v>171</v>
      </c>
      <c r="E218" s="4"/>
      <c r="F218" s="3">
        <v>6162391</v>
      </c>
      <c r="G218" s="6">
        <f>300000+150000+130624+500000</f>
        <v>1080624</v>
      </c>
      <c r="H218" s="4">
        <f>F218-G218</f>
        <v>5081767</v>
      </c>
      <c r="I218" s="5" t="s">
        <v>12</v>
      </c>
    </row>
    <row r="219" spans="1:9" ht="21.95" customHeight="1" x14ac:dyDescent="0.15">
      <c r="A219" s="93" t="s">
        <v>1138</v>
      </c>
      <c r="B219" s="3" t="s">
        <v>385</v>
      </c>
      <c r="C219" s="3" t="s">
        <v>95</v>
      </c>
      <c r="D219" s="3"/>
      <c r="E219" s="3">
        <v>113420</v>
      </c>
      <c r="F219" s="3"/>
      <c r="G219" s="6">
        <f>34026+79394</f>
        <v>113420</v>
      </c>
      <c r="H219" s="4">
        <f t="shared" ref="H219:H248" si="14">E219-G219</f>
        <v>0</v>
      </c>
      <c r="I219" s="5" t="s">
        <v>12</v>
      </c>
    </row>
    <row r="220" spans="1:9" ht="21.95" customHeight="1" x14ac:dyDescent="0.15">
      <c r="A220" s="93" t="s">
        <v>1139</v>
      </c>
      <c r="B220" s="5" t="s">
        <v>386</v>
      </c>
      <c r="C220" s="3" t="s">
        <v>323</v>
      </c>
      <c r="D220" s="5" t="s">
        <v>387</v>
      </c>
      <c r="E220" s="45">
        <v>140000</v>
      </c>
      <c r="F220" s="45"/>
      <c r="G220" s="5">
        <v>140000</v>
      </c>
      <c r="H220" s="46">
        <f t="shared" si="14"/>
        <v>0</v>
      </c>
      <c r="I220" s="5"/>
    </row>
    <row r="221" spans="1:9" ht="21.95" customHeight="1" x14ac:dyDescent="0.15">
      <c r="A221" s="93" t="s">
        <v>1140</v>
      </c>
      <c r="B221" s="3" t="s">
        <v>388</v>
      </c>
      <c r="C221" s="3" t="s">
        <v>326</v>
      </c>
      <c r="D221" s="6" t="s">
        <v>387</v>
      </c>
      <c r="E221" s="3">
        <v>64000</v>
      </c>
      <c r="F221" s="3"/>
      <c r="G221" s="6">
        <v>64000</v>
      </c>
      <c r="H221" s="4">
        <f t="shared" si="14"/>
        <v>0</v>
      </c>
      <c r="I221" s="6"/>
    </row>
    <row r="222" spans="1:9" ht="21.95" customHeight="1" x14ac:dyDescent="0.15">
      <c r="A222" s="93" t="s">
        <v>1141</v>
      </c>
      <c r="B222" s="6" t="s">
        <v>389</v>
      </c>
      <c r="C222" s="6" t="s">
        <v>95</v>
      </c>
      <c r="D222" s="6" t="s">
        <v>390</v>
      </c>
      <c r="E222" s="3">
        <v>113420</v>
      </c>
      <c r="F222" s="3"/>
      <c r="G222" s="6">
        <v>113420</v>
      </c>
      <c r="H222" s="4">
        <v>0</v>
      </c>
      <c r="I222" s="6" t="s">
        <v>12</v>
      </c>
    </row>
    <row r="223" spans="1:9" ht="21.95" customHeight="1" x14ac:dyDescent="0.15">
      <c r="A223" s="93" t="s">
        <v>1142</v>
      </c>
      <c r="B223" s="6" t="s">
        <v>391</v>
      </c>
      <c r="C223" s="6" t="s">
        <v>323</v>
      </c>
      <c r="D223" s="6" t="s">
        <v>392</v>
      </c>
      <c r="E223" s="3">
        <v>140000</v>
      </c>
      <c r="F223" s="3"/>
      <c r="G223" s="6">
        <f>40000+100000</f>
        <v>140000</v>
      </c>
      <c r="H223" s="4">
        <f t="shared" si="14"/>
        <v>0</v>
      </c>
      <c r="I223" s="6"/>
    </row>
    <row r="224" spans="1:9" ht="21.95" customHeight="1" x14ac:dyDescent="0.15">
      <c r="A224" s="93" t="s">
        <v>1143</v>
      </c>
      <c r="B224" s="6" t="s">
        <v>393</v>
      </c>
      <c r="C224" s="6" t="s">
        <v>326</v>
      </c>
      <c r="D224" s="6" t="s">
        <v>392</v>
      </c>
      <c r="E224" s="3">
        <v>64000</v>
      </c>
      <c r="F224" s="3"/>
      <c r="G224" s="6">
        <f>20000+44000</f>
        <v>64000</v>
      </c>
      <c r="H224" s="4">
        <f t="shared" si="14"/>
        <v>0</v>
      </c>
      <c r="I224" s="6"/>
    </row>
    <row r="225" spans="1:9" customFormat="1" ht="21.95" customHeight="1" x14ac:dyDescent="0.15">
      <c r="A225" s="93" t="s">
        <v>1144</v>
      </c>
      <c r="B225" s="7" t="s">
        <v>394</v>
      </c>
      <c r="C225" s="7" t="s">
        <v>150</v>
      </c>
      <c r="D225" s="7" t="s">
        <v>395</v>
      </c>
      <c r="E225" s="79">
        <v>135200</v>
      </c>
      <c r="F225" s="79"/>
      <c r="G225" s="7">
        <v>135200</v>
      </c>
      <c r="H225" s="2">
        <f t="shared" si="14"/>
        <v>0</v>
      </c>
      <c r="I225" s="7" t="s">
        <v>12</v>
      </c>
    </row>
    <row r="226" spans="1:9" customFormat="1" ht="21.95" customHeight="1" x14ac:dyDescent="0.15">
      <c r="A226" s="93" t="s">
        <v>1145</v>
      </c>
      <c r="B226" s="3" t="s">
        <v>396</v>
      </c>
      <c r="C226" s="3" t="s">
        <v>155</v>
      </c>
      <c r="D226" s="7" t="s">
        <v>390</v>
      </c>
      <c r="E226" s="3">
        <v>67600</v>
      </c>
      <c r="F226" s="79"/>
      <c r="G226" s="5">
        <f>37600+30000</f>
        <v>67600</v>
      </c>
      <c r="H226" s="2">
        <f t="shared" si="14"/>
        <v>0</v>
      </c>
      <c r="I226" s="80" t="s">
        <v>12</v>
      </c>
    </row>
    <row r="227" spans="1:9" customFormat="1" ht="21.95" customHeight="1" x14ac:dyDescent="0.15">
      <c r="A227" s="93" t="s">
        <v>1146</v>
      </c>
      <c r="B227" s="3" t="s">
        <v>397</v>
      </c>
      <c r="C227" s="3" t="s">
        <v>356</v>
      </c>
      <c r="D227" s="7"/>
      <c r="E227" s="3">
        <v>168000</v>
      </c>
      <c r="F227" s="79"/>
      <c r="G227" s="5">
        <v>168000</v>
      </c>
      <c r="H227" s="2">
        <f t="shared" si="14"/>
        <v>0</v>
      </c>
      <c r="I227" s="80" t="s">
        <v>12</v>
      </c>
    </row>
    <row r="228" spans="1:9" customFormat="1" ht="21.95" customHeight="1" x14ac:dyDescent="0.15">
      <c r="A228" s="93" t="s">
        <v>1147</v>
      </c>
      <c r="B228" s="3" t="s">
        <v>397</v>
      </c>
      <c r="C228" s="19" t="s">
        <v>155</v>
      </c>
      <c r="D228" s="7" t="s">
        <v>398</v>
      </c>
      <c r="E228" s="3">
        <v>168000</v>
      </c>
      <c r="F228" s="79"/>
      <c r="G228" s="1">
        <v>168000</v>
      </c>
      <c r="H228" s="2">
        <f t="shared" si="14"/>
        <v>0</v>
      </c>
      <c r="I228" s="80"/>
    </row>
    <row r="229" spans="1:9" customFormat="1" ht="21.95" customHeight="1" x14ac:dyDescent="0.15">
      <c r="A229" s="93" t="s">
        <v>1148</v>
      </c>
      <c r="B229" s="3" t="s">
        <v>399</v>
      </c>
      <c r="C229" s="3" t="s">
        <v>155</v>
      </c>
      <c r="D229" s="7" t="s">
        <v>400</v>
      </c>
      <c r="E229" s="3">
        <v>100800</v>
      </c>
      <c r="F229" s="79"/>
      <c r="G229" s="5">
        <v>100800</v>
      </c>
      <c r="H229" s="2">
        <f t="shared" si="14"/>
        <v>0</v>
      </c>
      <c r="I229" s="80" t="s">
        <v>12</v>
      </c>
    </row>
    <row r="230" spans="1:9" customFormat="1" ht="21.95" customHeight="1" x14ac:dyDescent="0.15">
      <c r="A230" s="93" t="s">
        <v>1149</v>
      </c>
      <c r="B230" s="3" t="s">
        <v>401</v>
      </c>
      <c r="C230" s="3" t="s">
        <v>356</v>
      </c>
      <c r="D230" s="7" t="s">
        <v>400</v>
      </c>
      <c r="E230" s="3">
        <v>168000</v>
      </c>
      <c r="F230" s="79"/>
      <c r="G230" s="1">
        <v>168000</v>
      </c>
      <c r="H230" s="2">
        <f t="shared" si="14"/>
        <v>0</v>
      </c>
      <c r="I230" s="80"/>
    </row>
    <row r="231" spans="1:9" customFormat="1" ht="21.95" customHeight="1" x14ac:dyDescent="0.15">
      <c r="A231" s="93" t="s">
        <v>1150</v>
      </c>
      <c r="B231" s="3" t="s">
        <v>402</v>
      </c>
      <c r="C231" s="3" t="s">
        <v>150</v>
      </c>
      <c r="D231" s="7" t="s">
        <v>400</v>
      </c>
      <c r="E231" s="3">
        <v>23760</v>
      </c>
      <c r="F231" s="79"/>
      <c r="G231" s="5">
        <v>23760</v>
      </c>
      <c r="H231" s="2">
        <f t="shared" si="14"/>
        <v>0</v>
      </c>
      <c r="I231" s="80"/>
    </row>
    <row r="232" spans="1:9" customFormat="1" ht="21.95" customHeight="1" x14ac:dyDescent="0.15">
      <c r="A232" s="93" t="s">
        <v>1151</v>
      </c>
      <c r="B232" s="3" t="s">
        <v>403</v>
      </c>
      <c r="C232" s="3" t="s">
        <v>150</v>
      </c>
      <c r="D232" s="7" t="s">
        <v>404</v>
      </c>
      <c r="E232" s="3">
        <v>100800</v>
      </c>
      <c r="F232" s="79"/>
      <c r="G232" s="1">
        <f>60000+40800</f>
        <v>100800</v>
      </c>
      <c r="H232" s="2">
        <f t="shared" si="14"/>
        <v>0</v>
      </c>
      <c r="I232" s="80" t="s">
        <v>12</v>
      </c>
    </row>
    <row r="233" spans="1:9" customFormat="1" ht="21.95" customHeight="1" x14ac:dyDescent="0.15">
      <c r="A233" s="93" t="s">
        <v>1152</v>
      </c>
      <c r="B233" s="3" t="s">
        <v>405</v>
      </c>
      <c r="C233" s="3" t="s">
        <v>155</v>
      </c>
      <c r="D233" s="7" t="s">
        <v>404</v>
      </c>
      <c r="E233" s="3">
        <v>151200</v>
      </c>
      <c r="F233" s="79"/>
      <c r="G233" s="5">
        <v>151200</v>
      </c>
      <c r="H233" s="2">
        <f t="shared" si="14"/>
        <v>0</v>
      </c>
      <c r="I233" s="80" t="s">
        <v>12</v>
      </c>
    </row>
    <row r="234" spans="1:9" customFormat="1" ht="21.95" customHeight="1" x14ac:dyDescent="0.15">
      <c r="A234" s="93" t="s">
        <v>1153</v>
      </c>
      <c r="B234" s="3" t="s">
        <v>406</v>
      </c>
      <c r="C234" s="3" t="s">
        <v>356</v>
      </c>
      <c r="D234" s="7" t="s">
        <v>407</v>
      </c>
      <c r="E234" s="3">
        <v>168000</v>
      </c>
      <c r="F234" s="79"/>
      <c r="G234" s="1">
        <v>168000</v>
      </c>
      <c r="H234" s="2">
        <f t="shared" si="14"/>
        <v>0</v>
      </c>
      <c r="I234" s="80"/>
    </row>
    <row r="235" spans="1:9" customFormat="1" ht="21.95" customHeight="1" x14ac:dyDescent="0.15">
      <c r="A235" s="93" t="s">
        <v>1154</v>
      </c>
      <c r="B235" s="3" t="s">
        <v>406</v>
      </c>
      <c r="C235" s="3" t="s">
        <v>150</v>
      </c>
      <c r="D235" s="7" t="s">
        <v>408</v>
      </c>
      <c r="E235" s="3">
        <v>168000</v>
      </c>
      <c r="F235" s="79"/>
      <c r="G235" s="5">
        <v>168000</v>
      </c>
      <c r="H235" s="2">
        <f t="shared" si="14"/>
        <v>0</v>
      </c>
      <c r="I235" s="80"/>
    </row>
    <row r="236" spans="1:9" ht="21.95" customHeight="1" x14ac:dyDescent="0.15">
      <c r="A236" s="93" t="s">
        <v>1155</v>
      </c>
      <c r="B236" s="3" t="s">
        <v>394</v>
      </c>
      <c r="C236" s="3" t="s">
        <v>356</v>
      </c>
      <c r="D236" s="3" t="s">
        <v>409</v>
      </c>
      <c r="E236" s="3">
        <v>135200</v>
      </c>
      <c r="F236" s="79"/>
      <c r="G236" s="1">
        <v>135200</v>
      </c>
      <c r="H236" s="2">
        <f t="shared" si="14"/>
        <v>0</v>
      </c>
      <c r="I236" s="5"/>
    </row>
    <row r="237" spans="1:9" ht="21.95" customHeight="1" x14ac:dyDescent="0.15">
      <c r="A237" s="93" t="s">
        <v>1156</v>
      </c>
      <c r="B237" s="3" t="s">
        <v>410</v>
      </c>
      <c r="C237" s="3" t="s">
        <v>150</v>
      </c>
      <c r="D237" s="3" t="s">
        <v>411</v>
      </c>
      <c r="E237" s="3">
        <v>134400</v>
      </c>
      <c r="F237" s="79"/>
      <c r="G237" s="5">
        <v>12000</v>
      </c>
      <c r="H237" s="2">
        <f t="shared" si="14"/>
        <v>122400</v>
      </c>
      <c r="I237" s="5"/>
    </row>
    <row r="238" spans="1:9" ht="21.95" customHeight="1" x14ac:dyDescent="0.15">
      <c r="A238" s="93" t="s">
        <v>1157</v>
      </c>
      <c r="B238" s="3" t="s">
        <v>406</v>
      </c>
      <c r="C238" s="3" t="s">
        <v>356</v>
      </c>
      <c r="D238" s="3" t="s">
        <v>412</v>
      </c>
      <c r="E238" s="3">
        <v>168000</v>
      </c>
      <c r="F238" s="79"/>
      <c r="G238" s="5"/>
      <c r="H238" s="2">
        <f t="shared" si="14"/>
        <v>168000</v>
      </c>
      <c r="I238" s="5"/>
    </row>
    <row r="239" spans="1:9" ht="21.95" customHeight="1" x14ac:dyDescent="0.15">
      <c r="A239" s="93" t="s">
        <v>1158</v>
      </c>
      <c r="B239" s="3" t="s">
        <v>406</v>
      </c>
      <c r="C239" s="3" t="s">
        <v>356</v>
      </c>
      <c r="D239" s="3" t="s">
        <v>413</v>
      </c>
      <c r="E239" s="3">
        <v>168000</v>
      </c>
      <c r="F239" s="79"/>
      <c r="G239" s="1">
        <v>168000</v>
      </c>
      <c r="H239" s="2">
        <f t="shared" si="14"/>
        <v>0</v>
      </c>
      <c r="I239" s="5" t="s">
        <v>12</v>
      </c>
    </row>
    <row r="240" spans="1:9" customFormat="1" ht="21.95" customHeight="1" x14ac:dyDescent="0.15">
      <c r="A240" s="93" t="s">
        <v>1159</v>
      </c>
      <c r="B240" s="3" t="s">
        <v>406</v>
      </c>
      <c r="C240" s="3" t="s">
        <v>155</v>
      </c>
      <c r="D240" s="3" t="s">
        <v>414</v>
      </c>
      <c r="E240" s="3">
        <v>168000</v>
      </c>
      <c r="F240" s="79"/>
      <c r="G240" s="1">
        <v>168000</v>
      </c>
      <c r="H240" s="2">
        <f t="shared" si="14"/>
        <v>0</v>
      </c>
      <c r="I240" s="5" t="s">
        <v>12</v>
      </c>
    </row>
    <row r="241" spans="1:9" customFormat="1" ht="21.95" customHeight="1" x14ac:dyDescent="0.15">
      <c r="A241" s="93" t="s">
        <v>1160</v>
      </c>
      <c r="B241" s="3" t="s">
        <v>406</v>
      </c>
      <c r="C241" s="3" t="s">
        <v>155</v>
      </c>
      <c r="D241" s="3" t="s">
        <v>415</v>
      </c>
      <c r="E241" s="3">
        <v>168000</v>
      </c>
      <c r="F241" s="79"/>
      <c r="G241" s="1">
        <v>168000</v>
      </c>
      <c r="H241" s="2">
        <f t="shared" si="14"/>
        <v>0</v>
      </c>
      <c r="I241" s="5"/>
    </row>
    <row r="242" spans="1:9" customFormat="1" ht="21.95" customHeight="1" x14ac:dyDescent="0.15">
      <c r="A242" s="93" t="s">
        <v>1161</v>
      </c>
      <c r="B242" s="3" t="s">
        <v>416</v>
      </c>
      <c r="C242" s="3" t="s">
        <v>356</v>
      </c>
      <c r="D242" s="3" t="s">
        <v>417</v>
      </c>
      <c r="E242" s="3">
        <v>168600</v>
      </c>
      <c r="F242" s="79"/>
      <c r="G242" s="1">
        <v>168600</v>
      </c>
      <c r="H242" s="2">
        <f t="shared" si="14"/>
        <v>0</v>
      </c>
      <c r="I242" s="5" t="s">
        <v>12</v>
      </c>
    </row>
    <row r="243" spans="1:9" customFormat="1" ht="21.95" customHeight="1" x14ac:dyDescent="0.15">
      <c r="A243" s="93" t="s">
        <v>1162</v>
      </c>
      <c r="B243" s="3" t="s">
        <v>418</v>
      </c>
      <c r="C243" s="3" t="s">
        <v>155</v>
      </c>
      <c r="D243" s="3" t="s">
        <v>419</v>
      </c>
      <c r="E243" s="3">
        <v>135200</v>
      </c>
      <c r="F243" s="79"/>
      <c r="G243" s="1">
        <v>135200</v>
      </c>
      <c r="H243" s="2">
        <f t="shared" si="14"/>
        <v>0</v>
      </c>
      <c r="I243" s="5" t="s">
        <v>12</v>
      </c>
    </row>
    <row r="244" spans="1:9" customFormat="1" ht="21.95" customHeight="1" x14ac:dyDescent="0.15">
      <c r="A244" s="93" t="s">
        <v>1163</v>
      </c>
      <c r="B244" s="3" t="s">
        <v>420</v>
      </c>
      <c r="C244" s="3" t="s">
        <v>356</v>
      </c>
      <c r="D244" s="3" t="s">
        <v>421</v>
      </c>
      <c r="E244" s="3">
        <v>187800</v>
      </c>
      <c r="F244" s="79"/>
      <c r="G244" s="1"/>
      <c r="H244" s="2">
        <f t="shared" si="14"/>
        <v>187800</v>
      </c>
      <c r="I244" s="5"/>
    </row>
    <row r="245" spans="1:9" customFormat="1" ht="21.95" customHeight="1" x14ac:dyDescent="0.15">
      <c r="A245" s="93" t="s">
        <v>1164</v>
      </c>
      <c r="B245" s="3" t="s">
        <v>422</v>
      </c>
      <c r="C245" s="3" t="s">
        <v>356</v>
      </c>
      <c r="D245" s="3" t="s">
        <v>423</v>
      </c>
      <c r="E245" s="3">
        <v>169000</v>
      </c>
      <c r="F245" s="79"/>
      <c r="G245" s="1"/>
      <c r="H245" s="2">
        <f t="shared" si="14"/>
        <v>169000</v>
      </c>
      <c r="I245" s="5"/>
    </row>
    <row r="246" spans="1:9" customFormat="1" ht="21.95" customHeight="1" x14ac:dyDescent="0.15">
      <c r="A246" s="93" t="s">
        <v>1165</v>
      </c>
      <c r="B246" s="3" t="s">
        <v>424</v>
      </c>
      <c r="C246" s="3" t="s">
        <v>249</v>
      </c>
      <c r="D246" s="3" t="s">
        <v>419</v>
      </c>
      <c r="E246" s="3">
        <v>133735</v>
      </c>
      <c r="F246" s="79"/>
      <c r="G246" s="1">
        <f>33735+30000+70000</f>
        <v>133735</v>
      </c>
      <c r="H246" s="2">
        <f t="shared" si="14"/>
        <v>0</v>
      </c>
      <c r="I246" s="5" t="s">
        <v>12</v>
      </c>
    </row>
    <row r="247" spans="1:9" customFormat="1" ht="20.100000000000001" customHeight="1" x14ac:dyDescent="0.15">
      <c r="A247" s="93" t="s">
        <v>1166</v>
      </c>
      <c r="B247" s="3" t="s">
        <v>425</v>
      </c>
      <c r="C247" s="3" t="s">
        <v>249</v>
      </c>
      <c r="D247" s="3"/>
      <c r="E247" s="3">
        <v>72666</v>
      </c>
      <c r="F247" s="79"/>
      <c r="G247" s="1">
        <f>30000+42666</f>
        <v>72666</v>
      </c>
      <c r="H247" s="2">
        <f t="shared" si="14"/>
        <v>0</v>
      </c>
      <c r="I247" s="5"/>
    </row>
    <row r="248" spans="1:9" customFormat="1" ht="21.95" customHeight="1" x14ac:dyDescent="0.15">
      <c r="A248" s="93" t="s">
        <v>1167</v>
      </c>
      <c r="B248" s="3" t="s">
        <v>426</v>
      </c>
      <c r="C248" s="3" t="s">
        <v>275</v>
      </c>
      <c r="D248" s="3" t="s">
        <v>427</v>
      </c>
      <c r="E248" s="3">
        <v>26460</v>
      </c>
      <c r="F248" s="79"/>
      <c r="G248" s="1">
        <v>26460</v>
      </c>
      <c r="H248" s="2">
        <f t="shared" si="14"/>
        <v>0</v>
      </c>
      <c r="I248" s="5"/>
    </row>
    <row r="249" spans="1:9" customFormat="1" ht="21.95" customHeight="1" x14ac:dyDescent="0.15">
      <c r="A249" s="93" t="s">
        <v>1168</v>
      </c>
      <c r="B249" s="3" t="s">
        <v>428</v>
      </c>
      <c r="C249" s="3"/>
      <c r="D249" s="3"/>
      <c r="E249" s="4"/>
      <c r="F249" s="79"/>
      <c r="G249" s="1"/>
      <c r="H249" s="2"/>
      <c r="I249" s="80"/>
    </row>
    <row r="250" spans="1:9" customFormat="1" ht="21.95" customHeight="1" x14ac:dyDescent="0.15">
      <c r="A250" s="93" t="s">
        <v>1169</v>
      </c>
      <c r="B250" s="3" t="s">
        <v>429</v>
      </c>
      <c r="C250" s="3" t="s">
        <v>65</v>
      </c>
      <c r="D250" s="3"/>
      <c r="E250" s="4">
        <v>0</v>
      </c>
      <c r="F250" s="79"/>
      <c r="G250" s="1"/>
      <c r="H250" s="2">
        <f t="shared" ref="H250:H258" si="15">E250-G250</f>
        <v>0</v>
      </c>
      <c r="I250" s="80"/>
    </row>
    <row r="251" spans="1:9" customFormat="1" ht="32.1" customHeight="1" x14ac:dyDescent="0.15">
      <c r="A251" s="93" t="s">
        <v>1170</v>
      </c>
      <c r="B251" s="3" t="s">
        <v>430</v>
      </c>
      <c r="C251" s="3" t="s">
        <v>29</v>
      </c>
      <c r="D251" s="3" t="s">
        <v>431</v>
      </c>
      <c r="E251" s="3">
        <v>56000</v>
      </c>
      <c r="F251" s="79"/>
      <c r="G251" s="1">
        <v>56000</v>
      </c>
      <c r="H251" s="2">
        <f t="shared" si="15"/>
        <v>0</v>
      </c>
      <c r="I251" s="80" t="s">
        <v>12</v>
      </c>
    </row>
    <row r="252" spans="1:9" customFormat="1" ht="32.1" customHeight="1" x14ac:dyDescent="0.15">
      <c r="A252" s="93" t="s">
        <v>1171</v>
      </c>
      <c r="B252" s="3" t="s">
        <v>432</v>
      </c>
      <c r="C252" s="3" t="s">
        <v>24</v>
      </c>
      <c r="D252" s="3" t="s">
        <v>431</v>
      </c>
      <c r="E252" s="3">
        <v>112000</v>
      </c>
      <c r="F252" s="79"/>
      <c r="G252" s="1">
        <v>112000</v>
      </c>
      <c r="H252" s="2">
        <f t="shared" si="15"/>
        <v>0</v>
      </c>
      <c r="I252" s="80"/>
    </row>
    <row r="253" spans="1:9" customFormat="1" ht="32.1" customHeight="1" x14ac:dyDescent="0.15">
      <c r="A253" s="93" t="s">
        <v>1172</v>
      </c>
      <c r="B253" s="3" t="s">
        <v>433</v>
      </c>
      <c r="C253" s="3" t="s">
        <v>10</v>
      </c>
      <c r="D253" s="3" t="s">
        <v>431</v>
      </c>
      <c r="E253" s="3">
        <v>112000</v>
      </c>
      <c r="F253" s="79"/>
      <c r="G253" s="1">
        <v>112000</v>
      </c>
      <c r="H253" s="2">
        <f t="shared" si="15"/>
        <v>0</v>
      </c>
      <c r="I253" s="80"/>
    </row>
    <row r="254" spans="1:9" customFormat="1" ht="32.1" customHeight="1" x14ac:dyDescent="0.15">
      <c r="A254" s="93" t="s">
        <v>1173</v>
      </c>
      <c r="B254" s="3" t="s">
        <v>434</v>
      </c>
      <c r="C254" s="3" t="s">
        <v>435</v>
      </c>
      <c r="D254" s="3"/>
      <c r="E254" s="3">
        <v>56000</v>
      </c>
      <c r="F254" s="79"/>
      <c r="G254" s="1">
        <f>30000+26000</f>
        <v>56000</v>
      </c>
      <c r="H254" s="2">
        <f t="shared" si="15"/>
        <v>0</v>
      </c>
      <c r="I254" s="80"/>
    </row>
    <row r="255" spans="1:9" customFormat="1" ht="32.1" customHeight="1" x14ac:dyDescent="0.15">
      <c r="A255" s="93" t="s">
        <v>1174</v>
      </c>
      <c r="B255" s="3" t="s">
        <v>436</v>
      </c>
      <c r="C255" s="3" t="s">
        <v>437</v>
      </c>
      <c r="D255" s="3" t="s">
        <v>431</v>
      </c>
      <c r="E255" s="3">
        <v>56000</v>
      </c>
      <c r="F255" s="79"/>
      <c r="G255" s="1">
        <v>56000</v>
      </c>
      <c r="H255" s="2">
        <f t="shared" si="15"/>
        <v>0</v>
      </c>
      <c r="I255" s="80"/>
    </row>
    <row r="256" spans="1:9" customFormat="1" ht="32.1" customHeight="1" x14ac:dyDescent="0.15">
      <c r="A256" s="93" t="s">
        <v>1175</v>
      </c>
      <c r="B256" s="3" t="s">
        <v>438</v>
      </c>
      <c r="C256" s="3" t="s">
        <v>199</v>
      </c>
      <c r="D256" s="3" t="s">
        <v>392</v>
      </c>
      <c r="E256" s="3">
        <v>171080</v>
      </c>
      <c r="F256" s="79"/>
      <c r="G256" s="1">
        <f>50000+121080</f>
        <v>171080</v>
      </c>
      <c r="H256" s="2">
        <f t="shared" si="15"/>
        <v>0</v>
      </c>
      <c r="I256" s="80" t="s">
        <v>12</v>
      </c>
    </row>
    <row r="257" spans="1:9" ht="32.1" customHeight="1" x14ac:dyDescent="0.15">
      <c r="A257" s="93" t="s">
        <v>1176</v>
      </c>
      <c r="B257" s="3" t="s">
        <v>439</v>
      </c>
      <c r="C257" s="3" t="s">
        <v>440</v>
      </c>
      <c r="D257" s="3" t="s">
        <v>441</v>
      </c>
      <c r="E257" s="3">
        <v>119280</v>
      </c>
      <c r="F257" s="79"/>
      <c r="G257" s="1">
        <v>119280</v>
      </c>
      <c r="H257" s="2">
        <f t="shared" si="15"/>
        <v>0</v>
      </c>
      <c r="I257" s="3" t="s">
        <v>12</v>
      </c>
    </row>
    <row r="258" spans="1:9" ht="21.95" customHeight="1" x14ac:dyDescent="0.15">
      <c r="A258" s="93" t="s">
        <v>1177</v>
      </c>
      <c r="B258" s="5" t="s">
        <v>442</v>
      </c>
      <c r="C258" s="5" t="s">
        <v>443</v>
      </c>
      <c r="D258" s="5" t="s">
        <v>335</v>
      </c>
      <c r="E258" s="45">
        <v>25000</v>
      </c>
      <c r="F258" s="45"/>
      <c r="G258" s="5">
        <f>12500+12500</f>
        <v>25000</v>
      </c>
      <c r="H258" s="46">
        <f t="shared" si="15"/>
        <v>0</v>
      </c>
      <c r="I258" s="5"/>
    </row>
    <row r="259" spans="1:9" ht="32.1" customHeight="1" x14ac:dyDescent="0.15">
      <c r="A259" s="93" t="s">
        <v>1178</v>
      </c>
      <c r="B259" s="3" t="s">
        <v>444</v>
      </c>
      <c r="C259" s="3" t="s">
        <v>445</v>
      </c>
      <c r="D259" s="82">
        <v>2021.7</v>
      </c>
      <c r="E259" s="4"/>
      <c r="F259" s="3">
        <v>18700</v>
      </c>
      <c r="G259" s="1"/>
      <c r="H259" s="2">
        <f>F259-G259</f>
        <v>18700</v>
      </c>
      <c r="I259" s="3"/>
    </row>
    <row r="260" spans="1:9" ht="32.1" customHeight="1" x14ac:dyDescent="0.15">
      <c r="A260" s="17"/>
      <c r="B260" s="37"/>
      <c r="C260" s="37"/>
      <c r="D260" s="37"/>
      <c r="E260" s="15"/>
      <c r="F260" s="37"/>
      <c r="G260" s="17"/>
      <c r="H260" s="38"/>
      <c r="I260" s="37"/>
    </row>
    <row r="261" spans="1:9" ht="21.95" customHeight="1" x14ac:dyDescent="0.15">
      <c r="A261" s="17"/>
      <c r="B261" s="37"/>
      <c r="C261" s="37"/>
      <c r="D261" s="37"/>
      <c r="E261" s="15"/>
      <c r="F261" s="37"/>
      <c r="G261" s="17"/>
      <c r="H261" s="38"/>
      <c r="I261" s="37"/>
    </row>
    <row r="262" spans="1:9" ht="54" customHeight="1" x14ac:dyDescent="0.15">
      <c r="A262" s="17"/>
      <c r="B262" s="37"/>
      <c r="C262" s="37"/>
      <c r="D262" s="37"/>
      <c r="E262" s="15"/>
      <c r="F262" s="37"/>
      <c r="G262" s="83"/>
      <c r="H262" s="38"/>
      <c r="I262" s="37"/>
    </row>
    <row r="263" spans="1:9" ht="21.95" customHeight="1" x14ac:dyDescent="0.15">
      <c r="A263" s="17"/>
      <c r="B263" s="37"/>
      <c r="C263" s="37"/>
      <c r="D263" s="37"/>
      <c r="E263" s="15"/>
      <c r="F263" s="37"/>
      <c r="G263" s="17"/>
      <c r="H263" s="38"/>
      <c r="I263" s="37"/>
    </row>
    <row r="264" spans="1:9" ht="21.95" customHeight="1" x14ac:dyDescent="0.15">
      <c r="A264" s="17"/>
      <c r="B264" s="37"/>
      <c r="C264" s="37"/>
      <c r="D264" s="37"/>
      <c r="E264" s="15"/>
      <c r="F264" s="37"/>
      <c r="G264" s="17"/>
      <c r="H264" s="38"/>
      <c r="I264" s="37"/>
    </row>
    <row r="265" spans="1:9" ht="21.95" customHeight="1" x14ac:dyDescent="0.15">
      <c r="A265" s="17"/>
      <c r="B265" s="37"/>
      <c r="C265" s="37"/>
      <c r="D265" s="37"/>
      <c r="E265" s="15"/>
      <c r="F265" s="37"/>
      <c r="G265" s="17"/>
      <c r="H265" s="38"/>
      <c r="I265" s="37"/>
    </row>
    <row r="266" spans="1:9" ht="21.95" customHeight="1" x14ac:dyDescent="0.15">
      <c r="A266" s="17"/>
      <c r="B266" s="37"/>
      <c r="C266" s="37"/>
      <c r="D266" s="37"/>
      <c r="E266" s="15"/>
      <c r="F266" s="37"/>
      <c r="G266" s="17"/>
      <c r="H266" s="38"/>
      <c r="I266" s="37"/>
    </row>
    <row r="267" spans="1:9" ht="21.95" customHeight="1" x14ac:dyDescent="0.15">
      <c r="A267" s="17"/>
      <c r="B267" s="37"/>
      <c r="C267" s="37"/>
      <c r="E267" s="15"/>
      <c r="G267" s="17"/>
      <c r="H267" s="38"/>
    </row>
    <row r="268" spans="1:9" ht="21.95" customHeight="1" x14ac:dyDescent="0.15">
      <c r="A268" s="17"/>
      <c r="B268" s="37"/>
      <c r="C268" s="37"/>
      <c r="E268" s="15"/>
      <c r="G268" s="17"/>
      <c r="H268" s="38"/>
    </row>
    <row r="269" spans="1:9" ht="21.95" customHeight="1" x14ac:dyDescent="0.15">
      <c r="A269" s="17"/>
      <c r="B269" s="37"/>
      <c r="C269" s="37"/>
      <c r="E269" s="15"/>
      <c r="F269" s="37"/>
      <c r="G269" s="13"/>
      <c r="H269" s="38"/>
    </row>
    <row r="270" spans="1:9" ht="21.95" customHeight="1" x14ac:dyDescent="0.15">
      <c r="A270" s="17"/>
      <c r="B270" s="37"/>
      <c r="C270" s="37"/>
      <c r="E270" s="15"/>
      <c r="F270" s="37"/>
      <c r="G270" s="13"/>
      <c r="H270" s="38"/>
    </row>
    <row r="271" spans="1:9" ht="21.95" customHeight="1" x14ac:dyDescent="0.15">
      <c r="A271" s="17"/>
      <c r="B271" s="37"/>
      <c r="C271" s="37"/>
      <c r="D271" s="37"/>
      <c r="E271" s="15"/>
      <c r="F271" s="37"/>
      <c r="G271" s="13"/>
      <c r="H271" s="38"/>
    </row>
    <row r="272" spans="1:9" ht="21.95" customHeight="1" x14ac:dyDescent="0.15">
      <c r="A272" s="17"/>
      <c r="B272" s="37"/>
      <c r="C272" s="37"/>
      <c r="D272" s="37"/>
      <c r="E272" s="15"/>
      <c r="F272" s="37"/>
      <c r="G272" s="13"/>
      <c r="H272" s="38"/>
    </row>
    <row r="273" spans="1:8" ht="21.95" customHeight="1" x14ac:dyDescent="0.15">
      <c r="A273" s="17"/>
      <c r="B273" s="37"/>
      <c r="C273" s="37"/>
      <c r="D273" s="37"/>
      <c r="E273" s="15"/>
      <c r="F273" s="37"/>
      <c r="G273" s="13"/>
      <c r="H273" s="38"/>
    </row>
    <row r="274" spans="1:8" ht="21.95" customHeight="1" x14ac:dyDescent="0.15">
      <c r="A274" s="17"/>
      <c r="B274" s="37"/>
      <c r="C274" s="37"/>
      <c r="D274" s="37"/>
      <c r="E274" s="15"/>
      <c r="F274" s="37"/>
      <c r="G274" s="13"/>
      <c r="H274" s="38"/>
    </row>
    <row r="275" spans="1:8" ht="21.95" customHeight="1" x14ac:dyDescent="0.15">
      <c r="A275" s="17"/>
      <c r="B275" s="37"/>
      <c r="C275" s="37"/>
      <c r="D275" s="37"/>
      <c r="E275" s="15"/>
      <c r="F275" s="37"/>
      <c r="G275" s="13"/>
      <c r="H275" s="38"/>
    </row>
    <row r="276" spans="1:8" ht="21.95" customHeight="1" x14ac:dyDescent="0.15">
      <c r="A276" s="17"/>
      <c r="B276" s="37"/>
      <c r="C276" s="37"/>
      <c r="D276" s="37"/>
      <c r="E276" s="15"/>
      <c r="F276" s="37"/>
      <c r="G276" s="13"/>
      <c r="H276" s="38"/>
    </row>
    <row r="277" spans="1:8" ht="21.95" customHeight="1" x14ac:dyDescent="0.15">
      <c r="A277" s="17"/>
      <c r="B277" s="37"/>
      <c r="C277" s="37"/>
      <c r="D277" s="37"/>
      <c r="E277" s="15"/>
      <c r="F277" s="37"/>
      <c r="G277" s="13"/>
      <c r="H277" s="38"/>
    </row>
    <row r="278" spans="1:8" ht="21.95" customHeight="1" x14ac:dyDescent="0.15">
      <c r="A278" s="17"/>
      <c r="B278" s="37"/>
      <c r="C278" s="37"/>
      <c r="D278" s="37"/>
      <c r="E278" s="15"/>
      <c r="F278" s="37"/>
      <c r="G278" s="13"/>
      <c r="H278" s="38"/>
    </row>
    <row r="279" spans="1:8" ht="21.95" customHeight="1" x14ac:dyDescent="0.15">
      <c r="A279" s="17"/>
      <c r="B279" s="37"/>
      <c r="C279" s="37"/>
      <c r="D279" s="37"/>
      <c r="E279" s="15"/>
      <c r="F279" s="37"/>
      <c r="G279" s="13"/>
      <c r="H279" s="38"/>
    </row>
    <row r="280" spans="1:8" ht="21.95" customHeight="1" x14ac:dyDescent="0.15">
      <c r="A280" s="17"/>
      <c r="B280" s="37"/>
      <c r="C280" s="37"/>
      <c r="D280" s="37"/>
      <c r="E280" s="15"/>
      <c r="F280" s="37"/>
      <c r="G280" s="13"/>
      <c r="H280" s="15"/>
    </row>
    <row r="281" spans="1:8" ht="21.95" customHeight="1" x14ac:dyDescent="0.15">
      <c r="A281" s="17"/>
      <c r="B281" s="37"/>
      <c r="C281" s="37"/>
      <c r="D281" s="37"/>
      <c r="E281" s="15"/>
      <c r="F281" s="37"/>
      <c r="G281" s="13"/>
      <c r="H281" s="15"/>
    </row>
    <row r="282" spans="1:8" ht="21.95" customHeight="1" x14ac:dyDescent="0.15">
      <c r="A282" s="17"/>
      <c r="B282" s="37"/>
      <c r="C282" s="37"/>
      <c r="D282" s="37"/>
      <c r="E282" s="15"/>
      <c r="F282" s="37"/>
      <c r="G282" s="13"/>
      <c r="H282" s="15"/>
    </row>
    <row r="283" spans="1:8" ht="21.95" customHeight="1" x14ac:dyDescent="0.15">
      <c r="A283" s="17"/>
      <c r="B283" s="37"/>
      <c r="C283" s="37"/>
      <c r="D283" s="37"/>
      <c r="E283" s="15"/>
      <c r="F283" s="37"/>
      <c r="G283" s="13"/>
      <c r="H283" s="15"/>
    </row>
    <row r="284" spans="1:8" ht="21.95" customHeight="1" x14ac:dyDescent="0.15">
      <c r="A284" s="17"/>
      <c r="B284" s="37"/>
      <c r="C284" s="37"/>
      <c r="D284" s="37"/>
      <c r="E284" s="15"/>
      <c r="F284" s="37"/>
      <c r="G284" s="13"/>
      <c r="H284" s="15"/>
    </row>
    <row r="285" spans="1:8" ht="21.95" customHeight="1" x14ac:dyDescent="0.15">
      <c r="A285" s="17"/>
      <c r="B285" s="37"/>
      <c r="C285" s="37"/>
      <c r="D285" s="37"/>
      <c r="E285" s="15"/>
      <c r="F285" s="37"/>
      <c r="G285" s="13"/>
      <c r="H285" s="15"/>
    </row>
    <row r="286" spans="1:8" ht="21.95" customHeight="1" x14ac:dyDescent="0.15">
      <c r="A286" s="17"/>
      <c r="B286" s="37"/>
      <c r="C286" s="37"/>
      <c r="D286" s="37"/>
      <c r="E286" s="15"/>
      <c r="F286" s="37"/>
      <c r="G286" s="13"/>
      <c r="H286" s="15"/>
    </row>
    <row r="287" spans="1:8" ht="21.95" customHeight="1" x14ac:dyDescent="0.15">
      <c r="A287" s="17"/>
      <c r="B287" s="37"/>
      <c r="C287" s="37"/>
      <c r="D287" s="37"/>
      <c r="E287" s="15"/>
      <c r="F287" s="37"/>
      <c r="G287" s="13"/>
      <c r="H287" s="15"/>
    </row>
    <row r="288" spans="1:8" ht="21.95" customHeight="1" x14ac:dyDescent="0.15">
      <c r="A288" s="17"/>
      <c r="B288" s="37"/>
      <c r="C288" s="37"/>
      <c r="D288" s="37"/>
      <c r="E288" s="15"/>
      <c r="F288" s="37"/>
      <c r="G288" s="13"/>
      <c r="H288" s="15"/>
    </row>
    <row r="289" spans="1:8" ht="21.95" customHeight="1" x14ac:dyDescent="0.15">
      <c r="A289" s="17"/>
      <c r="B289" s="37"/>
      <c r="C289" s="37"/>
      <c r="D289" s="37"/>
      <c r="E289" s="15"/>
      <c r="F289" s="37"/>
      <c r="G289" s="13"/>
      <c r="H289" s="15"/>
    </row>
    <row r="290" spans="1:8" ht="21.95" customHeight="1" x14ac:dyDescent="0.15">
      <c r="A290" s="17"/>
      <c r="B290" s="37"/>
      <c r="C290" s="37"/>
      <c r="D290" s="37"/>
      <c r="E290" s="15"/>
      <c r="F290" s="37"/>
      <c r="G290" s="13"/>
      <c r="H290" s="15"/>
    </row>
    <row r="291" spans="1:8" ht="21.95" customHeight="1" x14ac:dyDescent="0.15">
      <c r="A291" s="17"/>
      <c r="B291" s="37"/>
      <c r="C291" s="37"/>
      <c r="D291" s="37"/>
      <c r="E291" s="15"/>
      <c r="F291" s="37"/>
      <c r="G291" s="13"/>
      <c r="H291" s="15"/>
    </row>
    <row r="292" spans="1:8" ht="21.95" customHeight="1" x14ac:dyDescent="0.15">
      <c r="A292" s="17"/>
      <c r="B292" s="37"/>
      <c r="C292" s="37"/>
      <c r="D292" s="37"/>
      <c r="E292" s="15"/>
      <c r="F292" s="37"/>
      <c r="G292" s="13"/>
      <c r="H292" s="15"/>
    </row>
    <row r="293" spans="1:8" ht="21.95" customHeight="1" x14ac:dyDescent="0.15">
      <c r="A293" s="17"/>
      <c r="B293" s="37"/>
      <c r="C293" s="37"/>
      <c r="D293" s="37"/>
      <c r="E293" s="15"/>
      <c r="F293" s="37"/>
      <c r="G293" s="13"/>
      <c r="H293" s="15"/>
    </row>
    <row r="294" spans="1:8" ht="21.95" customHeight="1" x14ac:dyDescent="0.15">
      <c r="A294" s="17"/>
      <c r="B294" s="37"/>
      <c r="C294" s="37"/>
      <c r="D294" s="37"/>
      <c r="E294" s="15"/>
      <c r="F294" s="37"/>
      <c r="G294" s="13"/>
      <c r="H294" s="15"/>
    </row>
    <row r="295" spans="1:8" ht="21.95" customHeight="1" x14ac:dyDescent="0.15">
      <c r="A295" s="17"/>
      <c r="B295" s="37"/>
      <c r="C295" s="37"/>
      <c r="D295" s="37"/>
      <c r="E295" s="15"/>
      <c r="F295" s="37"/>
      <c r="G295" s="13"/>
      <c r="H295" s="15"/>
    </row>
    <row r="296" spans="1:8" ht="21.95" customHeight="1" x14ac:dyDescent="0.15">
      <c r="A296" s="17"/>
      <c r="B296" s="37"/>
      <c r="C296" s="37"/>
      <c r="D296" s="37"/>
      <c r="E296" s="15"/>
      <c r="F296" s="37"/>
      <c r="G296" s="13"/>
      <c r="H296" s="15"/>
    </row>
    <row r="297" spans="1:8" ht="21.95" customHeight="1" x14ac:dyDescent="0.15">
      <c r="A297" s="17"/>
      <c r="B297" s="37"/>
      <c r="C297" s="37"/>
      <c r="D297" s="37"/>
      <c r="E297" s="15"/>
      <c r="F297" s="37"/>
      <c r="G297" s="13"/>
      <c r="H297" s="15"/>
    </row>
    <row r="298" spans="1:8" ht="21.95" customHeight="1" x14ac:dyDescent="0.15">
      <c r="A298" s="17"/>
      <c r="B298" s="37"/>
      <c r="C298" s="37"/>
      <c r="D298" s="37"/>
      <c r="E298" s="15"/>
      <c r="F298" s="37"/>
      <c r="G298" s="37"/>
      <c r="H298" s="15"/>
    </row>
    <row r="299" spans="1:8" ht="21.95" customHeight="1" x14ac:dyDescent="0.15">
      <c r="A299" s="17"/>
      <c r="B299" s="37"/>
      <c r="C299" s="37"/>
      <c r="D299" s="37"/>
      <c r="E299" s="15"/>
      <c r="F299" s="37"/>
      <c r="G299" s="13"/>
      <c r="H299" s="15"/>
    </row>
    <row r="300" spans="1:8" ht="21.95" customHeight="1" x14ac:dyDescent="0.15">
      <c r="A300" s="17"/>
      <c r="B300" s="37"/>
      <c r="C300" s="37"/>
      <c r="D300" s="37"/>
      <c r="E300" s="15"/>
      <c r="F300" s="37"/>
      <c r="G300" s="13"/>
      <c r="H300" s="15"/>
    </row>
    <row r="301" spans="1:8" ht="21.95" customHeight="1" x14ac:dyDescent="0.15">
      <c r="A301" s="17"/>
      <c r="B301" s="37"/>
      <c r="C301" s="37"/>
      <c r="D301" s="37"/>
      <c r="E301" s="15"/>
      <c r="F301" s="37"/>
      <c r="G301" s="13"/>
      <c r="H301" s="15"/>
    </row>
    <row r="302" spans="1:8" ht="21.95" customHeight="1" x14ac:dyDescent="0.15">
      <c r="A302" s="17"/>
      <c r="B302" s="37"/>
      <c r="C302" s="37"/>
      <c r="D302" s="37"/>
      <c r="E302" s="15"/>
      <c r="F302" s="37"/>
      <c r="G302" s="13"/>
      <c r="H302" s="15"/>
    </row>
    <row r="303" spans="1:8" ht="21.95" customHeight="1" x14ac:dyDescent="0.15">
      <c r="A303" s="17"/>
      <c r="B303" s="37"/>
      <c r="C303" s="37"/>
      <c r="D303" s="37"/>
      <c r="E303" s="15"/>
      <c r="F303" s="37"/>
      <c r="G303" s="13"/>
      <c r="H303" s="15"/>
    </row>
    <row r="304" spans="1:8" ht="21.95" customHeight="1" x14ac:dyDescent="0.15">
      <c r="A304" s="17"/>
      <c r="B304" s="37"/>
      <c r="C304" s="37"/>
      <c r="D304" s="37"/>
      <c r="E304" s="15"/>
      <c r="F304" s="37"/>
      <c r="G304" s="13"/>
      <c r="H304" s="15"/>
    </row>
    <row r="305" spans="1:9" ht="21.95" customHeight="1" x14ac:dyDescent="0.15">
      <c r="A305" s="17"/>
      <c r="B305" s="37"/>
      <c r="C305" s="37"/>
      <c r="D305" s="37"/>
      <c r="E305" s="15"/>
      <c r="F305" s="37"/>
      <c r="G305" s="13"/>
      <c r="H305" s="15"/>
    </row>
    <row r="306" spans="1:9" ht="21.95" customHeight="1" x14ac:dyDescent="0.15">
      <c r="A306" s="17"/>
      <c r="B306" s="37"/>
      <c r="C306" s="37"/>
      <c r="D306" s="37"/>
      <c r="E306" s="15"/>
      <c r="F306" s="37"/>
      <c r="G306" s="13"/>
      <c r="H306" s="15"/>
    </row>
    <row r="307" spans="1:9" ht="21.95" customHeight="1" x14ac:dyDescent="0.15">
      <c r="A307" s="17"/>
      <c r="B307" s="37"/>
      <c r="C307" s="37"/>
      <c r="D307" s="37"/>
      <c r="E307" s="15"/>
      <c r="F307" s="37"/>
      <c r="G307" s="13"/>
      <c r="H307" s="15"/>
    </row>
    <row r="308" spans="1:9" ht="21.95" customHeight="1" x14ac:dyDescent="0.15">
      <c r="A308" s="17"/>
      <c r="B308" s="37"/>
      <c r="C308" s="37"/>
      <c r="D308" s="37"/>
      <c r="E308" s="15"/>
      <c r="F308" s="37"/>
      <c r="G308" s="13"/>
      <c r="H308" s="15"/>
    </row>
    <row r="309" spans="1:9" ht="21.95" customHeight="1" x14ac:dyDescent="0.15">
      <c r="A309" s="17"/>
      <c r="B309" s="37"/>
      <c r="C309" s="37"/>
      <c r="D309" s="37"/>
      <c r="E309" s="15"/>
      <c r="F309" s="37"/>
      <c r="G309" s="13"/>
      <c r="H309" s="15"/>
    </row>
    <row r="310" spans="1:9" ht="21.95" customHeight="1" x14ac:dyDescent="0.15">
      <c r="A310" s="17"/>
      <c r="B310" s="37"/>
      <c r="C310" s="37"/>
      <c r="D310" s="37"/>
      <c r="E310" s="15"/>
      <c r="F310" s="37"/>
      <c r="G310" s="13"/>
      <c r="H310" s="15"/>
    </row>
    <row r="311" spans="1:9" ht="21.95" customHeight="1" x14ac:dyDescent="0.15">
      <c r="A311" s="17"/>
      <c r="B311" s="37"/>
      <c r="C311" s="37"/>
      <c r="D311" s="37"/>
      <c r="E311" s="15"/>
      <c r="F311" s="37"/>
      <c r="G311" s="13"/>
      <c r="H311" s="38"/>
      <c r="I311" s="84"/>
    </row>
    <row r="312" spans="1:9" ht="21.95" customHeight="1" x14ac:dyDescent="0.15">
      <c r="A312" s="17"/>
      <c r="B312" s="37"/>
      <c r="C312" s="37"/>
      <c r="D312" s="37"/>
      <c r="E312" s="15"/>
      <c r="F312" s="37"/>
      <c r="G312" s="13"/>
      <c r="H312" s="15"/>
      <c r="I312" s="84"/>
    </row>
    <row r="313" spans="1:9" ht="35.1" customHeight="1" x14ac:dyDescent="0.15">
      <c r="A313" s="17"/>
      <c r="B313" s="37"/>
      <c r="C313" s="37"/>
      <c r="D313" s="37"/>
      <c r="E313" s="15"/>
      <c r="F313" s="15"/>
      <c r="G313" s="37"/>
      <c r="H313" s="15"/>
    </row>
    <row r="314" spans="1:9" ht="21.95" customHeight="1" x14ac:dyDescent="0.15">
      <c r="A314" s="17"/>
      <c r="B314" s="37"/>
      <c r="C314" s="37"/>
      <c r="D314" s="37"/>
      <c r="E314" s="15"/>
      <c r="F314" s="37"/>
      <c r="G314" s="13"/>
      <c r="H314" s="15"/>
    </row>
    <row r="315" spans="1:9" ht="21.95" customHeight="1" x14ac:dyDescent="0.15">
      <c r="A315" s="17"/>
      <c r="B315" s="37"/>
      <c r="C315" s="37"/>
      <c r="D315" s="37"/>
      <c r="E315" s="15"/>
      <c r="F315" s="37"/>
      <c r="G315" s="13"/>
      <c r="H315" s="15"/>
    </row>
    <row r="316" spans="1:9" ht="21.95" customHeight="1" x14ac:dyDescent="0.15">
      <c r="A316" s="17"/>
      <c r="B316" s="37"/>
      <c r="C316" s="37"/>
      <c r="D316" s="37"/>
      <c r="E316" s="15"/>
      <c r="F316" s="37"/>
      <c r="G316" s="13"/>
      <c r="H316" s="15"/>
    </row>
    <row r="317" spans="1:9" ht="21.95" customHeight="1" x14ac:dyDescent="0.15">
      <c r="A317" s="17"/>
      <c r="B317" s="37"/>
      <c r="C317" s="37"/>
      <c r="D317" s="37"/>
      <c r="E317" s="15"/>
      <c r="F317" s="37"/>
      <c r="G317" s="13"/>
      <c r="H317" s="15"/>
    </row>
    <row r="318" spans="1:9" ht="21.95" customHeight="1" x14ac:dyDescent="0.15">
      <c r="A318" s="17"/>
      <c r="B318" s="37"/>
      <c r="C318" s="37"/>
      <c r="D318" s="37"/>
      <c r="E318" s="15"/>
      <c r="F318" s="37"/>
      <c r="G318" s="13"/>
      <c r="H318" s="15"/>
    </row>
    <row r="319" spans="1:9" ht="21.95" customHeight="1" x14ac:dyDescent="0.15">
      <c r="A319" s="17"/>
      <c r="B319" s="37"/>
      <c r="C319" s="37"/>
      <c r="D319" s="37"/>
      <c r="E319" s="15"/>
      <c r="F319" s="37"/>
      <c r="G319" s="13"/>
      <c r="H319" s="15"/>
      <c r="I319" s="37"/>
    </row>
    <row r="320" spans="1:9" ht="21.95" customHeight="1" x14ac:dyDescent="0.15">
      <c r="A320" s="17"/>
      <c r="B320" s="37"/>
      <c r="C320" s="37"/>
      <c r="D320" s="37"/>
      <c r="E320" s="15"/>
      <c r="F320" s="37"/>
      <c r="G320" s="37"/>
      <c r="H320" s="15"/>
      <c r="I320" s="37"/>
    </row>
    <row r="321" spans="1:9" ht="21.95" customHeight="1" x14ac:dyDescent="0.15">
      <c r="A321" s="17"/>
      <c r="B321" s="37"/>
      <c r="C321" s="37"/>
      <c r="D321" s="37"/>
      <c r="E321" s="15"/>
      <c r="F321" s="37"/>
      <c r="G321" s="37"/>
      <c r="H321" s="38"/>
      <c r="I321" s="37"/>
    </row>
    <row r="322" spans="1:9" ht="21.95" customHeight="1" x14ac:dyDescent="0.15">
      <c r="A322" s="17"/>
      <c r="B322" s="37"/>
      <c r="C322" s="37"/>
      <c r="D322" s="37"/>
      <c r="E322" s="15"/>
      <c r="F322" s="37"/>
      <c r="G322" s="37"/>
      <c r="H322" s="38"/>
      <c r="I322" s="37"/>
    </row>
    <row r="323" spans="1:9" ht="21.95" customHeight="1" x14ac:dyDescent="0.15">
      <c r="A323" s="17"/>
      <c r="B323" s="37"/>
      <c r="C323" s="37"/>
      <c r="D323" s="37"/>
      <c r="E323" s="15"/>
      <c r="F323" s="37"/>
      <c r="G323" s="13"/>
      <c r="H323" s="15"/>
      <c r="I323" s="37"/>
    </row>
    <row r="324" spans="1:9" ht="21.95" customHeight="1" x14ac:dyDescent="0.15">
      <c r="A324" s="17"/>
      <c r="B324" s="37"/>
      <c r="C324" s="37"/>
      <c r="D324" s="37"/>
      <c r="E324" s="15"/>
      <c r="F324" s="37"/>
      <c r="G324" s="13"/>
      <c r="H324" s="15"/>
      <c r="I324" s="37"/>
    </row>
    <row r="325" spans="1:9" ht="21.95" customHeight="1" x14ac:dyDescent="0.15">
      <c r="A325" s="17"/>
      <c r="B325" s="37"/>
      <c r="C325" s="37"/>
      <c r="D325" s="37"/>
      <c r="E325" s="15"/>
      <c r="F325" s="37"/>
      <c r="G325" s="13"/>
      <c r="H325" s="15"/>
      <c r="I325" s="37"/>
    </row>
    <row r="326" spans="1:9" ht="21.95" customHeight="1" x14ac:dyDescent="0.15">
      <c r="A326" s="17"/>
      <c r="B326" s="37"/>
      <c r="C326" s="37"/>
      <c r="E326" s="15"/>
      <c r="F326" s="37"/>
      <c r="H326" s="38"/>
    </row>
    <row r="327" spans="1:9" ht="21.95" customHeight="1" x14ac:dyDescent="0.15">
      <c r="A327" s="17"/>
      <c r="B327" s="37"/>
      <c r="C327" s="37"/>
      <c r="E327" s="15"/>
      <c r="F327" s="37"/>
    </row>
    <row r="328" spans="1:9" ht="21.95" customHeight="1" x14ac:dyDescent="0.15">
      <c r="A328" s="17"/>
      <c r="B328" s="37"/>
      <c r="C328" s="37"/>
      <c r="E328" s="15"/>
      <c r="G328" s="77"/>
    </row>
    <row r="329" spans="1:9" ht="21.95" customHeight="1" x14ac:dyDescent="0.15">
      <c r="A329" s="17"/>
      <c r="B329" s="37"/>
      <c r="C329" s="37"/>
      <c r="D329" s="37"/>
      <c r="E329" s="15"/>
      <c r="F329" s="37"/>
      <c r="G329" s="37"/>
      <c r="H329" s="15"/>
    </row>
    <row r="330" spans="1:9" ht="21.95" customHeight="1" x14ac:dyDescent="0.15">
      <c r="A330" s="17"/>
      <c r="B330" s="37"/>
      <c r="C330" s="37"/>
      <c r="D330" s="37"/>
      <c r="E330" s="15"/>
      <c r="F330" s="37"/>
      <c r="G330" s="13"/>
      <c r="H330" s="15"/>
    </row>
    <row r="331" spans="1:9" ht="21.95" customHeight="1" x14ac:dyDescent="0.15">
      <c r="A331" s="17"/>
      <c r="B331" s="37"/>
      <c r="C331" s="37"/>
      <c r="D331" s="37"/>
      <c r="E331" s="15"/>
      <c r="F331" s="37"/>
      <c r="G331" s="13"/>
      <c r="H331" s="15"/>
    </row>
    <row r="332" spans="1:9" ht="21.95" customHeight="1" x14ac:dyDescent="0.15">
      <c r="A332" s="17"/>
      <c r="C332" s="37"/>
    </row>
    <row r="333" spans="1:9" ht="21.95" customHeight="1" x14ac:dyDescent="0.15">
      <c r="A333" s="17"/>
      <c r="B333" s="37"/>
      <c r="C333" s="37"/>
      <c r="D333" s="13"/>
      <c r="E333" s="15"/>
      <c r="F333" s="37"/>
      <c r="G333" s="13"/>
      <c r="H333" s="15"/>
      <c r="I333" s="13"/>
    </row>
    <row r="334" spans="1:9" ht="21.95" customHeight="1" x14ac:dyDescent="0.15">
      <c r="A334" s="17"/>
      <c r="B334" s="13"/>
      <c r="C334" s="13"/>
      <c r="D334" s="13"/>
      <c r="E334" s="15"/>
      <c r="F334" s="37"/>
      <c r="G334" s="13"/>
      <c r="H334" s="15"/>
      <c r="I334" s="13"/>
    </row>
    <row r="335" spans="1:9" ht="21.95" customHeight="1" x14ac:dyDescent="0.15">
      <c r="A335" s="17"/>
      <c r="B335" s="13"/>
      <c r="C335" s="13"/>
      <c r="D335" s="13"/>
      <c r="E335" s="15"/>
      <c r="F335" s="37"/>
      <c r="G335" s="13"/>
      <c r="H335" s="15"/>
      <c r="I335" s="13"/>
    </row>
    <row r="336" spans="1:9" ht="21.95" customHeight="1" x14ac:dyDescent="0.15">
      <c r="A336" s="17"/>
      <c r="B336" s="13"/>
      <c r="C336" s="13"/>
      <c r="D336" s="13"/>
      <c r="E336" s="15"/>
      <c r="F336" s="37"/>
      <c r="G336" s="13"/>
      <c r="H336" s="15"/>
      <c r="I336" s="13"/>
    </row>
    <row r="337" spans="1:9" customFormat="1" ht="21.95" customHeight="1" x14ac:dyDescent="0.15">
      <c r="A337" s="17"/>
      <c r="B337" s="40"/>
      <c r="C337" s="40"/>
      <c r="D337" s="40"/>
      <c r="E337" s="38"/>
      <c r="F337" s="85"/>
      <c r="G337" s="40"/>
      <c r="H337" s="38"/>
      <c r="I337" s="40"/>
    </row>
    <row r="338" spans="1:9" customFormat="1" ht="21.95" customHeight="1" x14ac:dyDescent="0.15">
      <c r="A338" s="17"/>
      <c r="B338" s="37"/>
      <c r="C338" s="37"/>
      <c r="D338" s="40"/>
      <c r="E338" s="15"/>
      <c r="F338" s="85"/>
      <c r="G338" s="42"/>
      <c r="H338" s="38"/>
      <c r="I338" s="56"/>
    </row>
    <row r="339" spans="1:9" customFormat="1" ht="21.95" customHeight="1" x14ac:dyDescent="0.15">
      <c r="A339" s="17"/>
      <c r="B339" s="37"/>
      <c r="C339" s="95"/>
      <c r="D339" s="40"/>
      <c r="E339" s="15"/>
      <c r="F339" s="85"/>
      <c r="G339" s="42"/>
      <c r="H339" s="38"/>
      <c r="I339" s="56"/>
    </row>
    <row r="340" spans="1:9" customFormat="1" ht="21.95" customHeight="1" x14ac:dyDescent="0.15">
      <c r="A340" s="17"/>
      <c r="B340" s="37"/>
      <c r="C340" s="95"/>
      <c r="D340" s="40"/>
      <c r="E340" s="15"/>
      <c r="F340" s="85"/>
      <c r="G340" s="17"/>
      <c r="H340" s="38"/>
      <c r="I340" s="56"/>
    </row>
    <row r="341" spans="1:9" customFormat="1" ht="21.95" customHeight="1" x14ac:dyDescent="0.15">
      <c r="A341" s="17"/>
      <c r="B341" s="37"/>
      <c r="C341" s="37"/>
      <c r="D341" s="40"/>
      <c r="E341" s="15"/>
      <c r="F341" s="85"/>
      <c r="G341" s="42"/>
      <c r="H341" s="38"/>
      <c r="I341" s="56"/>
    </row>
    <row r="342" spans="1:9" customFormat="1" ht="21.95" customHeight="1" x14ac:dyDescent="0.15">
      <c r="A342" s="17"/>
      <c r="B342" s="37"/>
      <c r="C342" s="37"/>
      <c r="D342" s="40"/>
      <c r="E342" s="15"/>
      <c r="F342" s="85"/>
      <c r="G342" s="17"/>
      <c r="H342" s="38"/>
      <c r="I342" s="56"/>
    </row>
    <row r="343" spans="1:9" customFormat="1" ht="21.95" customHeight="1" x14ac:dyDescent="0.15">
      <c r="A343" s="17"/>
      <c r="B343" s="37"/>
      <c r="C343" s="37"/>
      <c r="D343" s="40"/>
      <c r="E343" s="15"/>
      <c r="F343" s="85"/>
      <c r="G343" s="42"/>
      <c r="H343" s="38"/>
      <c r="I343" s="56"/>
    </row>
    <row r="344" spans="1:9" customFormat="1" ht="21.95" customHeight="1" x14ac:dyDescent="0.15">
      <c r="A344" s="17"/>
      <c r="B344" s="37"/>
      <c r="C344" s="37"/>
      <c r="D344" s="40"/>
      <c r="E344" s="15"/>
      <c r="F344" s="85"/>
      <c r="G344" s="17"/>
      <c r="H344" s="38"/>
      <c r="I344" s="56"/>
    </row>
    <row r="345" spans="1:9" customFormat="1" ht="21.95" customHeight="1" x14ac:dyDescent="0.15">
      <c r="A345" s="17"/>
      <c r="B345" s="37"/>
      <c r="C345" s="37"/>
      <c r="D345" s="40"/>
      <c r="E345" s="15"/>
      <c r="F345" s="85"/>
      <c r="G345" s="42"/>
      <c r="H345" s="38"/>
      <c r="I345" s="56"/>
    </row>
    <row r="346" spans="1:9" customFormat="1" ht="21.95" customHeight="1" x14ac:dyDescent="0.15">
      <c r="A346" s="17"/>
      <c r="B346" s="37"/>
      <c r="C346" s="37"/>
      <c r="D346" s="40"/>
      <c r="E346" s="15"/>
      <c r="F346" s="85"/>
      <c r="G346" s="17"/>
      <c r="H346" s="38"/>
      <c r="I346" s="56"/>
    </row>
    <row r="347" spans="1:9" customFormat="1" ht="21.95" customHeight="1" x14ac:dyDescent="0.15">
      <c r="A347" s="17"/>
      <c r="B347" s="37"/>
      <c r="C347" s="37"/>
      <c r="D347" s="40"/>
      <c r="E347" s="15"/>
      <c r="F347" s="85"/>
      <c r="G347" s="42"/>
      <c r="H347" s="38"/>
      <c r="I347" s="56"/>
    </row>
    <row r="348" spans="1:9" ht="21.95" customHeight="1" x14ac:dyDescent="0.15">
      <c r="A348" s="17"/>
      <c r="B348" s="37"/>
      <c r="C348" s="37"/>
      <c r="D348" s="37"/>
      <c r="E348" s="15"/>
      <c r="F348" s="85"/>
      <c r="G348" s="17"/>
      <c r="H348" s="38"/>
    </row>
    <row r="349" spans="1:9" ht="21.95" customHeight="1" x14ac:dyDescent="0.15">
      <c r="A349" s="17"/>
      <c r="B349" s="37"/>
      <c r="C349" s="37"/>
      <c r="D349" s="37"/>
      <c r="E349" s="15"/>
      <c r="F349" s="85"/>
      <c r="H349" s="38"/>
    </row>
    <row r="350" spans="1:9" ht="21.95" customHeight="1" x14ac:dyDescent="0.15">
      <c r="A350" s="17"/>
      <c r="B350" s="37"/>
      <c r="C350" s="37"/>
      <c r="D350" s="37"/>
      <c r="E350" s="15"/>
      <c r="F350" s="85"/>
      <c r="H350" s="38"/>
    </row>
    <row r="351" spans="1:9" ht="21.95" customHeight="1" x14ac:dyDescent="0.15">
      <c r="A351" s="17"/>
      <c r="B351" s="37"/>
      <c r="C351" s="37"/>
      <c r="D351" s="37"/>
      <c r="E351" s="15"/>
      <c r="F351" s="85"/>
      <c r="G351" s="17"/>
      <c r="H351" s="38"/>
    </row>
    <row r="352" spans="1:9" customFormat="1" ht="21.95" customHeight="1" x14ac:dyDescent="0.15">
      <c r="A352" s="17"/>
      <c r="B352" s="37"/>
      <c r="C352" s="37"/>
      <c r="D352" s="37"/>
      <c r="E352" s="15"/>
      <c r="F352" s="85"/>
      <c r="G352" s="17"/>
      <c r="H352" s="38"/>
      <c r="I352" s="42"/>
    </row>
    <row r="353" spans="1:9" customFormat="1" ht="21.95" customHeight="1" x14ac:dyDescent="0.15">
      <c r="A353" s="17"/>
      <c r="B353" s="37"/>
      <c r="C353" s="37"/>
      <c r="D353" s="37"/>
      <c r="E353" s="15"/>
      <c r="F353" s="85"/>
      <c r="G353" s="17"/>
      <c r="H353" s="38"/>
      <c r="I353" s="42"/>
    </row>
    <row r="354" spans="1:9" customFormat="1" ht="21.95" customHeight="1" x14ac:dyDescent="0.15">
      <c r="A354" s="17"/>
      <c r="B354" s="37"/>
      <c r="C354" s="37"/>
      <c r="D354" s="37"/>
      <c r="E354" s="15"/>
      <c r="F354" s="85"/>
      <c r="G354" s="17"/>
      <c r="H354" s="38"/>
      <c r="I354" s="42"/>
    </row>
    <row r="355" spans="1:9" customFormat="1" ht="21.95" customHeight="1" x14ac:dyDescent="0.15">
      <c r="A355" s="17"/>
      <c r="B355" s="37"/>
      <c r="C355" s="37"/>
      <c r="D355" s="37"/>
      <c r="E355" s="15"/>
      <c r="F355" s="85"/>
      <c r="G355" s="17"/>
      <c r="H355" s="38"/>
      <c r="I355" s="42"/>
    </row>
    <row r="356" spans="1:9" customFormat="1" ht="21.95" customHeight="1" x14ac:dyDescent="0.15">
      <c r="A356" s="17"/>
      <c r="B356" s="37"/>
      <c r="C356" s="37"/>
      <c r="D356" s="37"/>
      <c r="E356" s="15"/>
      <c r="F356" s="85"/>
      <c r="G356" s="17"/>
      <c r="H356" s="38"/>
      <c r="I356" s="42"/>
    </row>
    <row r="357" spans="1:9" customFormat="1" ht="21.95" customHeight="1" x14ac:dyDescent="0.15">
      <c r="A357" s="17"/>
      <c r="B357" s="37"/>
      <c r="C357" s="37"/>
      <c r="D357" s="37"/>
      <c r="E357" s="15"/>
      <c r="F357" s="85"/>
      <c r="G357" s="17"/>
      <c r="H357" s="38"/>
      <c r="I357" s="42"/>
    </row>
    <row r="358" spans="1:9" customFormat="1" ht="21.95" customHeight="1" x14ac:dyDescent="0.15">
      <c r="A358" s="17"/>
      <c r="B358" s="37"/>
      <c r="C358" s="37"/>
      <c r="D358" s="37"/>
      <c r="E358" s="15"/>
      <c r="F358" s="85"/>
      <c r="G358" s="17"/>
      <c r="H358" s="38"/>
      <c r="I358" s="42"/>
    </row>
    <row r="359" spans="1:9" customFormat="1" ht="21.95" customHeight="1" x14ac:dyDescent="0.15">
      <c r="A359" s="17"/>
      <c r="B359" s="37"/>
      <c r="C359" s="37"/>
      <c r="D359" s="37"/>
      <c r="E359" s="15"/>
      <c r="F359" s="85"/>
      <c r="G359" s="17"/>
      <c r="H359" s="38"/>
      <c r="I359" s="42"/>
    </row>
    <row r="360" spans="1:9" customFormat="1" ht="21.95" customHeight="1" x14ac:dyDescent="0.15">
      <c r="A360" s="17"/>
      <c r="B360" s="37"/>
      <c r="C360" s="37"/>
      <c r="D360" s="37"/>
      <c r="E360" s="15"/>
      <c r="F360" s="85"/>
      <c r="G360" s="17"/>
      <c r="H360" s="38"/>
      <c r="I360" s="42"/>
    </row>
    <row r="361" spans="1:9" customFormat="1" ht="21.95" customHeight="1" x14ac:dyDescent="0.15">
      <c r="A361" s="17"/>
      <c r="B361" s="37"/>
      <c r="C361" s="37"/>
      <c r="D361" s="37"/>
      <c r="E361" s="15"/>
      <c r="F361" s="85"/>
      <c r="G361" s="17"/>
      <c r="H361" s="38"/>
      <c r="I361" s="56"/>
    </row>
    <row r="362" spans="1:9" customFormat="1" ht="21.95" customHeight="1" x14ac:dyDescent="0.15">
      <c r="A362" s="17"/>
      <c r="B362" s="37"/>
      <c r="C362" s="37"/>
      <c r="D362" s="37"/>
      <c r="E362" s="15"/>
      <c r="F362" s="85"/>
      <c r="G362" s="17"/>
      <c r="H362" s="38"/>
      <c r="I362" s="56"/>
    </row>
    <row r="363" spans="1:9" customFormat="1" ht="32.1" customHeight="1" x14ac:dyDescent="0.15">
      <c r="A363" s="17"/>
      <c r="B363" s="37"/>
      <c r="C363" s="37"/>
      <c r="D363" s="37"/>
      <c r="E363" s="15"/>
      <c r="F363" s="85"/>
      <c r="G363" s="17"/>
      <c r="H363" s="38"/>
      <c r="I363" s="56"/>
    </row>
    <row r="364" spans="1:9" customFormat="1" ht="32.1" customHeight="1" x14ac:dyDescent="0.15">
      <c r="A364" s="17"/>
      <c r="B364" s="37"/>
      <c r="C364" s="37"/>
      <c r="D364" s="37"/>
      <c r="E364" s="15"/>
      <c r="F364" s="85"/>
      <c r="G364" s="17"/>
      <c r="H364" s="38"/>
      <c r="I364" s="56"/>
    </row>
    <row r="365" spans="1:9" customFormat="1" ht="32.1" customHeight="1" x14ac:dyDescent="0.15">
      <c r="A365" s="17"/>
      <c r="B365" s="37"/>
      <c r="C365" s="37"/>
      <c r="D365" s="37"/>
      <c r="E365" s="15"/>
      <c r="F365" s="85"/>
      <c r="G365" s="17"/>
      <c r="H365" s="38"/>
      <c r="I365" s="56"/>
    </row>
    <row r="366" spans="1:9" customFormat="1" ht="32.1" customHeight="1" x14ac:dyDescent="0.15">
      <c r="A366" s="17"/>
      <c r="B366" s="37"/>
      <c r="C366" s="37"/>
      <c r="D366" s="37"/>
      <c r="E366" s="15"/>
      <c r="F366" s="85"/>
      <c r="G366" s="17"/>
      <c r="H366" s="38"/>
      <c r="I366" s="56"/>
    </row>
    <row r="367" spans="1:9" customFormat="1" ht="32.1" customHeight="1" x14ac:dyDescent="0.15">
      <c r="A367" s="17"/>
      <c r="B367" s="37"/>
      <c r="C367" s="37"/>
      <c r="D367" s="37"/>
      <c r="E367" s="15"/>
      <c r="F367" s="85"/>
      <c r="G367" s="17"/>
      <c r="H367" s="38"/>
      <c r="I367" s="56"/>
    </row>
    <row r="368" spans="1:9" customFormat="1" ht="32.1" customHeight="1" x14ac:dyDescent="0.15">
      <c r="A368" s="17"/>
      <c r="B368" s="37"/>
      <c r="C368" s="37"/>
      <c r="D368" s="37"/>
      <c r="E368" s="15"/>
      <c r="F368" s="85"/>
      <c r="G368" s="17"/>
      <c r="H368" s="38"/>
      <c r="I368" s="56"/>
    </row>
    <row r="369" spans="1:9" ht="32.1" customHeight="1" x14ac:dyDescent="0.15">
      <c r="A369" s="17"/>
      <c r="B369" s="37"/>
      <c r="C369" s="37"/>
      <c r="D369" s="37"/>
      <c r="E369" s="15"/>
      <c r="F369" s="85"/>
      <c r="G369" s="17"/>
      <c r="H369" s="38"/>
      <c r="I369" s="37"/>
    </row>
    <row r="370" spans="1:9" ht="32.1" customHeight="1" x14ac:dyDescent="0.15">
      <c r="A370" s="17"/>
      <c r="B370" s="37"/>
      <c r="C370" s="37"/>
      <c r="D370" s="37"/>
      <c r="E370" s="15"/>
      <c r="F370" s="37"/>
      <c r="G370" s="17"/>
      <c r="H370" s="38"/>
      <c r="I370" s="37"/>
    </row>
    <row r="371" spans="1:9" ht="32.1" customHeight="1" x14ac:dyDescent="0.15">
      <c r="A371" s="17"/>
      <c r="B371" s="37"/>
      <c r="C371" s="37"/>
      <c r="D371" s="37"/>
      <c r="E371" s="15"/>
      <c r="F371" s="37"/>
      <c r="G371" s="17"/>
      <c r="H371" s="38"/>
      <c r="I371" s="37"/>
    </row>
    <row r="372" spans="1:9" ht="32.1" customHeight="1" x14ac:dyDescent="0.15">
      <c r="A372" s="17"/>
      <c r="B372" s="37"/>
      <c r="C372" s="37"/>
      <c r="D372" s="37"/>
      <c r="E372" s="15"/>
      <c r="F372" s="37"/>
      <c r="G372" s="17"/>
      <c r="H372" s="38"/>
      <c r="I372" s="37"/>
    </row>
    <row r="373" spans="1:9" ht="21.95" customHeight="1" x14ac:dyDescent="0.15">
      <c r="A373" s="17"/>
      <c r="B373" s="37"/>
      <c r="C373" s="37"/>
      <c r="D373" s="37"/>
      <c r="E373" s="15"/>
      <c r="F373" s="37"/>
      <c r="G373" s="17"/>
      <c r="H373" s="38"/>
      <c r="I373" s="37"/>
    </row>
    <row r="374" spans="1:9" ht="54" customHeight="1" x14ac:dyDescent="0.15">
      <c r="A374" s="17"/>
      <c r="B374" s="37"/>
      <c r="C374" s="37"/>
      <c r="D374" s="37"/>
      <c r="E374" s="15"/>
      <c r="F374" s="37"/>
      <c r="G374" s="17"/>
      <c r="H374" s="38"/>
      <c r="I374" s="37"/>
    </row>
    <row r="375" spans="1:9" ht="21.95" customHeight="1" x14ac:dyDescent="0.15">
      <c r="A375" s="17"/>
      <c r="B375" s="37"/>
      <c r="C375" s="37"/>
      <c r="D375" s="37"/>
      <c r="E375" s="15"/>
      <c r="F375" s="37"/>
      <c r="G375" s="17"/>
      <c r="H375" s="38"/>
      <c r="I375" s="37"/>
    </row>
    <row r="376" spans="1:9" ht="21.95" customHeight="1" x14ac:dyDescent="0.15">
      <c r="A376" s="17"/>
      <c r="B376" s="37"/>
      <c r="C376" s="37"/>
      <c r="D376" s="37"/>
      <c r="E376" s="15"/>
      <c r="F376" s="37"/>
      <c r="G376" s="17"/>
      <c r="H376" s="38"/>
      <c r="I376" s="37"/>
    </row>
    <row r="377" spans="1:9" ht="21.95" customHeight="1" x14ac:dyDescent="0.15">
      <c r="A377" s="17"/>
      <c r="B377" s="37"/>
      <c r="C377" s="37"/>
      <c r="D377" s="37"/>
      <c r="E377" s="15"/>
      <c r="F377" s="37"/>
      <c r="G377" s="17"/>
      <c r="H377" s="38"/>
      <c r="I377" s="37"/>
    </row>
    <row r="378" spans="1:9" ht="21.95" customHeight="1" x14ac:dyDescent="0.15">
      <c r="A378" s="17"/>
      <c r="B378" s="37"/>
      <c r="C378" s="37"/>
      <c r="D378" s="37"/>
      <c r="E378" s="15"/>
      <c r="F378" s="37"/>
      <c r="G378" s="17"/>
      <c r="H378" s="38"/>
      <c r="I378" s="37"/>
    </row>
    <row r="379" spans="1:9" ht="21.95" customHeight="1" x14ac:dyDescent="0.15">
      <c r="A379" s="17"/>
      <c r="B379" s="37"/>
      <c r="C379" s="37"/>
      <c r="E379" s="15"/>
      <c r="G379" s="17"/>
      <c r="H379" s="38"/>
    </row>
    <row r="380" spans="1:9" ht="21.95" customHeight="1" x14ac:dyDescent="0.15">
      <c r="A380" s="17"/>
      <c r="B380" s="37"/>
      <c r="C380" s="37"/>
      <c r="E380" s="15"/>
      <c r="G380" s="17"/>
      <c r="H380" s="38"/>
    </row>
    <row r="381" spans="1:9" ht="21.95" customHeight="1" x14ac:dyDescent="0.15">
      <c r="A381" s="17"/>
      <c r="B381" s="37"/>
      <c r="C381" s="37"/>
      <c r="E381" s="15"/>
      <c r="F381" s="37"/>
      <c r="G381" s="13"/>
      <c r="H381" s="38"/>
    </row>
    <row r="382" spans="1:9" ht="21.95" customHeight="1" x14ac:dyDescent="0.15">
      <c r="A382" s="17"/>
      <c r="B382" s="37"/>
      <c r="C382" s="37"/>
      <c r="E382" s="15"/>
      <c r="F382" s="37"/>
      <c r="G382" s="13"/>
      <c r="H382" s="38"/>
    </row>
    <row r="383" spans="1:9" ht="21.95" customHeight="1" x14ac:dyDescent="0.15">
      <c r="A383" s="17"/>
      <c r="B383" s="37"/>
      <c r="C383" s="37"/>
      <c r="D383" s="37"/>
      <c r="E383" s="15"/>
      <c r="F383" s="37"/>
      <c r="G383" s="13"/>
      <c r="H383" s="38"/>
    </row>
    <row r="384" spans="1:9" ht="21.95" customHeight="1" x14ac:dyDescent="0.15">
      <c r="A384" s="17"/>
      <c r="B384" s="37"/>
      <c r="C384" s="37"/>
      <c r="D384" s="37"/>
      <c r="E384" s="15"/>
      <c r="F384" s="37"/>
      <c r="G384" s="13"/>
      <c r="H384" s="38"/>
    </row>
    <row r="385" spans="1:8" ht="21.95" customHeight="1" x14ac:dyDescent="0.15">
      <c r="A385" s="17"/>
      <c r="B385" s="37"/>
      <c r="C385" s="37"/>
      <c r="D385" s="37"/>
      <c r="E385" s="15"/>
      <c r="F385" s="37"/>
      <c r="G385" s="13"/>
      <c r="H385" s="38"/>
    </row>
    <row r="386" spans="1:8" ht="21.95" customHeight="1" x14ac:dyDescent="0.15">
      <c r="A386" s="17"/>
      <c r="B386" s="37"/>
      <c r="C386" s="37"/>
      <c r="D386" s="37"/>
      <c r="E386" s="15"/>
      <c r="F386" s="37"/>
      <c r="G386" s="13"/>
      <c r="H386" s="38"/>
    </row>
    <row r="387" spans="1:8" ht="21.95" customHeight="1" x14ac:dyDescent="0.15">
      <c r="A387" s="17"/>
      <c r="B387" s="37"/>
      <c r="C387" s="37"/>
      <c r="D387" s="37"/>
      <c r="E387" s="15"/>
      <c r="F387" s="37"/>
      <c r="G387" s="13"/>
      <c r="H387" s="38"/>
    </row>
    <row r="388" spans="1:8" ht="21.95" customHeight="1" x14ac:dyDescent="0.15">
      <c r="A388" s="17"/>
      <c r="B388" s="37"/>
      <c r="C388" s="37"/>
      <c r="D388" s="37"/>
      <c r="E388" s="15"/>
      <c r="F388" s="37"/>
      <c r="G388" s="13"/>
      <c r="H388" s="38"/>
    </row>
    <row r="389" spans="1:8" ht="21.95" customHeight="1" x14ac:dyDescent="0.15">
      <c r="A389" s="17"/>
      <c r="B389" s="37"/>
      <c r="C389" s="37"/>
      <c r="D389" s="37"/>
      <c r="E389" s="15"/>
      <c r="F389" s="37"/>
      <c r="G389" s="13"/>
      <c r="H389" s="38"/>
    </row>
    <row r="390" spans="1:8" ht="21.95" customHeight="1" x14ac:dyDescent="0.15">
      <c r="A390" s="17"/>
      <c r="B390" s="37"/>
      <c r="C390" s="37"/>
      <c r="D390" s="37"/>
      <c r="E390" s="15"/>
      <c r="F390" s="37"/>
      <c r="G390" s="13"/>
      <c r="H390" s="38"/>
    </row>
    <row r="391" spans="1:8" ht="21.95" customHeight="1" x14ac:dyDescent="0.15">
      <c r="A391" s="17"/>
      <c r="B391" s="37"/>
      <c r="C391" s="37"/>
      <c r="D391" s="37"/>
      <c r="E391" s="15"/>
      <c r="F391" s="37"/>
      <c r="G391" s="13"/>
      <c r="H391" s="38"/>
    </row>
    <row r="392" spans="1:8" ht="21.95" customHeight="1" x14ac:dyDescent="0.15">
      <c r="A392" s="17"/>
      <c r="B392" s="37"/>
      <c r="C392" s="37"/>
      <c r="D392" s="37"/>
      <c r="E392" s="15"/>
      <c r="F392" s="37"/>
      <c r="G392" s="13"/>
      <c r="H392" s="15"/>
    </row>
    <row r="393" spans="1:8" ht="21.95" customHeight="1" x14ac:dyDescent="0.15">
      <c r="A393" s="17"/>
      <c r="B393" s="37"/>
      <c r="C393" s="37"/>
      <c r="D393" s="37"/>
      <c r="E393" s="15"/>
      <c r="F393" s="37"/>
      <c r="G393" s="13"/>
      <c r="H393" s="15"/>
    </row>
    <row r="394" spans="1:8" ht="21.95" customHeight="1" x14ac:dyDescent="0.15">
      <c r="A394" s="17"/>
      <c r="B394" s="37"/>
      <c r="C394" s="37"/>
      <c r="D394" s="37"/>
      <c r="E394" s="15"/>
      <c r="F394" s="37"/>
      <c r="G394" s="13"/>
      <c r="H394" s="15"/>
    </row>
    <row r="395" spans="1:8" ht="21.95" customHeight="1" x14ac:dyDescent="0.15">
      <c r="A395" s="17"/>
      <c r="B395" s="37"/>
      <c r="C395" s="37"/>
      <c r="D395" s="37"/>
      <c r="E395" s="15"/>
      <c r="F395" s="37"/>
      <c r="G395" s="13"/>
      <c r="H395" s="15"/>
    </row>
    <row r="396" spans="1:8" ht="21.95" customHeight="1" x14ac:dyDescent="0.15">
      <c r="A396" s="17"/>
      <c r="B396" s="37"/>
      <c r="C396" s="37"/>
      <c r="D396" s="37"/>
      <c r="E396" s="15"/>
      <c r="F396" s="37"/>
      <c r="G396" s="13"/>
      <c r="H396" s="15"/>
    </row>
    <row r="397" spans="1:8" ht="21.95" customHeight="1" x14ac:dyDescent="0.15">
      <c r="A397" s="17"/>
      <c r="B397" s="37"/>
      <c r="C397" s="37"/>
      <c r="D397" s="37"/>
      <c r="E397" s="15"/>
      <c r="F397" s="37"/>
      <c r="G397" s="13"/>
      <c r="H397" s="15"/>
    </row>
    <row r="398" spans="1:8" ht="21.95" customHeight="1" x14ac:dyDescent="0.15">
      <c r="A398" s="17"/>
      <c r="B398" s="37"/>
      <c r="C398" s="37"/>
      <c r="D398" s="37"/>
      <c r="E398" s="15"/>
      <c r="F398" s="37"/>
      <c r="G398" s="13"/>
      <c r="H398" s="15"/>
    </row>
    <row r="399" spans="1:8" ht="21.95" customHeight="1" x14ac:dyDescent="0.15">
      <c r="A399" s="17"/>
      <c r="B399" s="37"/>
      <c r="C399" s="37"/>
      <c r="D399" s="37"/>
      <c r="E399" s="15"/>
      <c r="F399" s="37"/>
      <c r="G399" s="13"/>
      <c r="H399" s="15"/>
    </row>
    <row r="400" spans="1:8" ht="21.95" customHeight="1" x14ac:dyDescent="0.15">
      <c r="A400" s="17"/>
      <c r="B400" s="37"/>
      <c r="C400" s="37"/>
      <c r="D400" s="37"/>
      <c r="E400" s="15"/>
      <c r="F400" s="37"/>
      <c r="G400" s="13"/>
      <c r="H400" s="15"/>
    </row>
    <row r="401" spans="1:8" ht="21.95" customHeight="1" x14ac:dyDescent="0.15">
      <c r="A401" s="17"/>
      <c r="B401" s="37"/>
      <c r="C401" s="37"/>
      <c r="D401" s="37"/>
      <c r="E401" s="15"/>
      <c r="F401" s="37"/>
      <c r="G401" s="13"/>
      <c r="H401" s="15"/>
    </row>
    <row r="402" spans="1:8" ht="21.95" customHeight="1" x14ac:dyDescent="0.15">
      <c r="A402" s="17"/>
      <c r="B402" s="37"/>
      <c r="C402" s="37"/>
      <c r="D402" s="37"/>
      <c r="E402" s="15"/>
      <c r="F402" s="37"/>
      <c r="G402" s="13"/>
      <c r="H402" s="15"/>
    </row>
    <row r="403" spans="1:8" ht="21.95" customHeight="1" x14ac:dyDescent="0.15">
      <c r="A403" s="17"/>
      <c r="B403" s="37"/>
      <c r="C403" s="37"/>
      <c r="D403" s="37"/>
      <c r="E403" s="15"/>
      <c r="F403" s="37"/>
      <c r="G403" s="13"/>
      <c r="H403" s="15"/>
    </row>
    <row r="404" spans="1:8" ht="21.95" customHeight="1" x14ac:dyDescent="0.15">
      <c r="A404" s="17"/>
      <c r="B404" s="37"/>
      <c r="C404" s="37"/>
      <c r="D404" s="37"/>
      <c r="E404" s="15"/>
      <c r="F404" s="37"/>
      <c r="G404" s="13"/>
      <c r="H404" s="15"/>
    </row>
    <row r="405" spans="1:8" ht="21.95" customHeight="1" x14ac:dyDescent="0.15">
      <c r="A405" s="17"/>
      <c r="B405" s="37"/>
      <c r="C405" s="37"/>
      <c r="D405" s="37"/>
      <c r="E405" s="15"/>
      <c r="F405" s="37"/>
      <c r="G405" s="13"/>
      <c r="H405" s="15"/>
    </row>
    <row r="406" spans="1:8" ht="21.95" customHeight="1" x14ac:dyDescent="0.15">
      <c r="A406" s="17"/>
      <c r="B406" s="37"/>
      <c r="C406" s="37"/>
      <c r="D406" s="37"/>
      <c r="E406" s="15"/>
      <c r="F406" s="37"/>
      <c r="G406" s="13"/>
      <c r="H406" s="15"/>
    </row>
    <row r="407" spans="1:8" ht="21.95" customHeight="1" x14ac:dyDescent="0.15">
      <c r="A407" s="17"/>
      <c r="B407" s="37"/>
      <c r="C407" s="37"/>
      <c r="D407" s="37"/>
      <c r="E407" s="15"/>
      <c r="F407" s="37"/>
      <c r="G407" s="13"/>
      <c r="H407" s="15"/>
    </row>
    <row r="408" spans="1:8" ht="21.95" customHeight="1" x14ac:dyDescent="0.15">
      <c r="A408" s="17"/>
      <c r="B408" s="37"/>
      <c r="C408" s="37"/>
      <c r="D408" s="37"/>
      <c r="E408" s="15"/>
      <c r="F408" s="37"/>
      <c r="G408" s="13"/>
      <c r="H408" s="15"/>
    </row>
    <row r="409" spans="1:8" ht="21.95" customHeight="1" x14ac:dyDescent="0.15">
      <c r="A409" s="17"/>
      <c r="B409" s="37"/>
      <c r="C409" s="37"/>
      <c r="D409" s="37"/>
      <c r="E409" s="15"/>
      <c r="F409" s="37"/>
      <c r="G409" s="13"/>
      <c r="H409" s="15"/>
    </row>
    <row r="410" spans="1:8" ht="21.95" customHeight="1" x14ac:dyDescent="0.15">
      <c r="A410" s="17"/>
      <c r="B410" s="37"/>
      <c r="C410" s="37"/>
      <c r="D410" s="37"/>
      <c r="E410" s="15"/>
      <c r="F410" s="37"/>
      <c r="G410" s="37"/>
      <c r="H410" s="15"/>
    </row>
    <row r="411" spans="1:8" ht="21.95" customHeight="1" x14ac:dyDescent="0.15">
      <c r="A411" s="17"/>
      <c r="B411" s="37"/>
      <c r="C411" s="37"/>
      <c r="D411" s="37"/>
      <c r="E411" s="15"/>
      <c r="F411" s="37"/>
      <c r="G411" s="13"/>
      <c r="H411" s="15"/>
    </row>
    <row r="412" spans="1:8" ht="21.95" customHeight="1" x14ac:dyDescent="0.15">
      <c r="A412" s="17"/>
      <c r="B412" s="37"/>
      <c r="C412" s="37"/>
      <c r="D412" s="37"/>
      <c r="E412" s="15"/>
      <c r="F412" s="37"/>
      <c r="G412" s="13"/>
      <c r="H412" s="15"/>
    </row>
    <row r="413" spans="1:8" ht="21.95" customHeight="1" x14ac:dyDescent="0.15">
      <c r="A413" s="17"/>
      <c r="B413" s="37"/>
      <c r="C413" s="37"/>
      <c r="D413" s="37"/>
      <c r="E413" s="15"/>
      <c r="F413" s="37"/>
      <c r="G413" s="13"/>
      <c r="H413" s="15"/>
    </row>
    <row r="414" spans="1:8" ht="21.95" customHeight="1" x14ac:dyDescent="0.15">
      <c r="A414" s="17"/>
      <c r="B414" s="37"/>
      <c r="C414" s="37"/>
      <c r="D414" s="37"/>
      <c r="E414" s="15"/>
      <c r="F414" s="37"/>
      <c r="G414" s="13"/>
      <c r="H414" s="15"/>
    </row>
    <row r="415" spans="1:8" ht="21.95" customHeight="1" x14ac:dyDescent="0.15">
      <c r="A415" s="17"/>
      <c r="B415" s="37"/>
      <c r="C415" s="37"/>
      <c r="D415" s="37"/>
      <c r="E415" s="15"/>
      <c r="F415" s="37"/>
      <c r="G415" s="13"/>
      <c r="H415" s="15"/>
    </row>
    <row r="416" spans="1:8" ht="21.95" customHeight="1" x14ac:dyDescent="0.15">
      <c r="A416" s="17"/>
      <c r="B416" s="37"/>
      <c r="C416" s="37"/>
      <c r="D416" s="37"/>
      <c r="E416" s="15"/>
      <c r="F416" s="37"/>
      <c r="G416" s="13"/>
      <c r="H416" s="15"/>
    </row>
    <row r="417" spans="1:9" ht="21.95" customHeight="1" x14ac:dyDescent="0.15">
      <c r="A417" s="17"/>
      <c r="B417" s="37"/>
      <c r="C417" s="37"/>
      <c r="D417" s="37"/>
      <c r="E417" s="15"/>
      <c r="F417" s="37"/>
      <c r="G417" s="13"/>
      <c r="H417" s="15"/>
    </row>
    <row r="418" spans="1:9" ht="21.95" customHeight="1" x14ac:dyDescent="0.15">
      <c r="A418" s="17"/>
      <c r="B418" s="37"/>
      <c r="C418" s="37"/>
      <c r="D418" s="37"/>
      <c r="E418" s="15"/>
      <c r="F418" s="37"/>
      <c r="G418" s="13"/>
      <c r="H418" s="15"/>
    </row>
    <row r="419" spans="1:9" ht="21.95" customHeight="1" x14ac:dyDescent="0.15">
      <c r="A419" s="17"/>
      <c r="B419" s="37"/>
      <c r="C419" s="37"/>
      <c r="D419" s="37"/>
      <c r="E419" s="15"/>
      <c r="F419" s="37"/>
      <c r="G419" s="13"/>
      <c r="H419" s="15"/>
    </row>
    <row r="420" spans="1:9" ht="21.95" customHeight="1" x14ac:dyDescent="0.15">
      <c r="A420" s="17"/>
      <c r="B420" s="37"/>
      <c r="C420" s="37"/>
      <c r="D420" s="37"/>
      <c r="E420" s="15"/>
      <c r="F420" s="37"/>
      <c r="G420" s="13"/>
      <c r="H420" s="15"/>
    </row>
    <row r="421" spans="1:9" ht="21.95" customHeight="1" x14ac:dyDescent="0.15">
      <c r="A421" s="17"/>
      <c r="B421" s="37"/>
      <c r="C421" s="37"/>
      <c r="D421" s="37"/>
      <c r="E421" s="15"/>
      <c r="F421" s="37"/>
      <c r="G421" s="13"/>
      <c r="H421" s="15"/>
    </row>
    <row r="422" spans="1:9" ht="21.95" customHeight="1" x14ac:dyDescent="0.15">
      <c r="A422" s="17"/>
      <c r="B422" s="37"/>
      <c r="C422" s="37"/>
      <c r="D422" s="37"/>
      <c r="E422" s="15"/>
      <c r="F422" s="37"/>
      <c r="G422" s="13"/>
      <c r="H422" s="15"/>
    </row>
    <row r="423" spans="1:9" ht="21.95" customHeight="1" x14ac:dyDescent="0.15">
      <c r="A423" s="17"/>
      <c r="B423" s="37"/>
      <c r="C423" s="37"/>
      <c r="D423" s="37"/>
      <c r="E423" s="15"/>
      <c r="F423" s="37"/>
      <c r="G423" s="13"/>
      <c r="H423" s="38"/>
      <c r="I423" s="84"/>
    </row>
    <row r="424" spans="1:9" ht="21.95" customHeight="1" x14ac:dyDescent="0.15">
      <c r="A424" s="17"/>
      <c r="B424" s="37"/>
      <c r="C424" s="37"/>
      <c r="D424" s="37"/>
      <c r="E424" s="15"/>
      <c r="F424" s="37"/>
      <c r="G424" s="13"/>
      <c r="H424" s="15"/>
      <c r="I424" s="84"/>
    </row>
    <row r="425" spans="1:9" ht="35.1" customHeight="1" x14ac:dyDescent="0.15">
      <c r="A425" s="17"/>
      <c r="B425" s="37"/>
      <c r="C425" s="37"/>
      <c r="D425" s="37"/>
      <c r="E425" s="15"/>
      <c r="F425" s="15"/>
      <c r="G425" s="37"/>
      <c r="H425" s="15"/>
    </row>
    <row r="426" spans="1:9" ht="21.95" customHeight="1" x14ac:dyDescent="0.15">
      <c r="A426" s="17"/>
      <c r="B426" s="37"/>
      <c r="C426" s="37"/>
      <c r="D426" s="37"/>
      <c r="E426" s="15"/>
      <c r="F426" s="37"/>
      <c r="G426" s="13"/>
      <c r="H426" s="15"/>
    </row>
    <row r="427" spans="1:9" ht="21.95" customHeight="1" x14ac:dyDescent="0.15">
      <c r="A427" s="17"/>
      <c r="B427" s="37"/>
      <c r="C427" s="37"/>
      <c r="D427" s="37"/>
      <c r="E427" s="15"/>
      <c r="F427" s="37"/>
      <c r="G427" s="13"/>
      <c r="H427" s="15"/>
    </row>
    <row r="428" spans="1:9" ht="21.95" customHeight="1" x14ac:dyDescent="0.15">
      <c r="A428" s="17"/>
      <c r="B428" s="37"/>
      <c r="C428" s="37"/>
      <c r="D428" s="37"/>
      <c r="E428" s="15"/>
      <c r="F428" s="37"/>
      <c r="G428" s="13"/>
      <c r="H428" s="15"/>
    </row>
    <row r="429" spans="1:9" ht="21.95" customHeight="1" x14ac:dyDescent="0.15">
      <c r="A429" s="17"/>
      <c r="B429" s="37"/>
      <c r="C429" s="37"/>
      <c r="D429" s="37"/>
      <c r="E429" s="15"/>
      <c r="F429" s="37"/>
      <c r="G429" s="13"/>
      <c r="H429" s="15"/>
    </row>
    <row r="430" spans="1:9" ht="21.95" customHeight="1" x14ac:dyDescent="0.15">
      <c r="A430" s="17"/>
      <c r="B430" s="37"/>
      <c r="C430" s="37"/>
      <c r="D430" s="37"/>
      <c r="E430" s="15"/>
      <c r="F430" s="37"/>
      <c r="G430" s="13"/>
      <c r="H430" s="15"/>
    </row>
    <row r="431" spans="1:9" ht="21.95" customHeight="1" x14ac:dyDescent="0.15">
      <c r="A431" s="17"/>
      <c r="B431" s="37"/>
      <c r="C431" s="37"/>
      <c r="D431" s="37"/>
      <c r="E431" s="15"/>
      <c r="F431" s="37"/>
      <c r="G431" s="13"/>
      <c r="H431" s="15"/>
      <c r="I431" s="37"/>
    </row>
    <row r="432" spans="1:9" ht="21.95" customHeight="1" x14ac:dyDescent="0.15">
      <c r="A432" s="17"/>
      <c r="B432" s="37"/>
      <c r="C432" s="37"/>
      <c r="D432" s="37"/>
      <c r="E432" s="15"/>
      <c r="F432" s="37"/>
      <c r="G432" s="37"/>
      <c r="H432" s="15"/>
      <c r="I432" s="37"/>
    </row>
    <row r="433" spans="1:9" ht="21.95" customHeight="1" x14ac:dyDescent="0.15">
      <c r="A433" s="17"/>
      <c r="B433" s="37"/>
      <c r="C433" s="37"/>
      <c r="D433" s="37"/>
      <c r="E433" s="15"/>
      <c r="F433" s="37"/>
      <c r="G433" s="37"/>
      <c r="H433" s="38"/>
      <c r="I433" s="37"/>
    </row>
    <row r="434" spans="1:9" ht="21.95" customHeight="1" x14ac:dyDescent="0.15">
      <c r="A434" s="17"/>
      <c r="B434" s="37"/>
      <c r="C434" s="37"/>
      <c r="D434" s="37"/>
      <c r="E434" s="15"/>
      <c r="F434" s="37"/>
      <c r="G434" s="37"/>
      <c r="H434" s="38"/>
      <c r="I434" s="37"/>
    </row>
    <row r="435" spans="1:9" ht="21.95" customHeight="1" x14ac:dyDescent="0.15">
      <c r="A435" s="17"/>
      <c r="B435" s="37"/>
      <c r="C435" s="37"/>
      <c r="D435" s="37"/>
      <c r="E435" s="15"/>
      <c r="F435" s="37"/>
      <c r="G435" s="13"/>
      <c r="H435" s="15"/>
      <c r="I435" s="37"/>
    </row>
    <row r="436" spans="1:9" ht="21.95" customHeight="1" x14ac:dyDescent="0.15">
      <c r="A436" s="17"/>
      <c r="B436" s="37"/>
      <c r="C436" s="37"/>
      <c r="D436" s="37"/>
      <c r="E436" s="15"/>
      <c r="F436" s="37"/>
      <c r="G436" s="13"/>
      <c r="H436" s="15"/>
      <c r="I436" s="37"/>
    </row>
    <row r="437" spans="1:9" ht="21.95" customHeight="1" x14ac:dyDescent="0.15">
      <c r="A437" s="17"/>
      <c r="B437" s="37"/>
      <c r="C437" s="37"/>
      <c r="D437" s="37"/>
      <c r="E437" s="15"/>
      <c r="F437" s="37"/>
      <c r="G437" s="13"/>
      <c r="H437" s="15"/>
      <c r="I437" s="37"/>
    </row>
    <row r="438" spans="1:9" ht="21.95" customHeight="1" x14ac:dyDescent="0.15">
      <c r="A438" s="17"/>
      <c r="B438" s="37"/>
      <c r="C438" s="37"/>
      <c r="E438" s="15"/>
      <c r="F438" s="37"/>
      <c r="H438" s="38"/>
    </row>
    <row r="439" spans="1:9" ht="21.95" customHeight="1" x14ac:dyDescent="0.15">
      <c r="A439" s="17"/>
      <c r="B439" s="37"/>
      <c r="C439" s="37"/>
      <c r="E439" s="15"/>
      <c r="F439" s="37"/>
    </row>
    <row r="440" spans="1:9" ht="21.95" customHeight="1" x14ac:dyDescent="0.15">
      <c r="A440" s="17"/>
      <c r="B440" s="37"/>
      <c r="C440" s="37"/>
      <c r="E440" s="15"/>
      <c r="G440" s="77"/>
    </row>
    <row r="441" spans="1:9" ht="21.95" customHeight="1" x14ac:dyDescent="0.15">
      <c r="A441" s="17"/>
      <c r="B441" s="37"/>
      <c r="C441" s="37"/>
      <c r="D441" s="37"/>
      <c r="E441" s="15"/>
      <c r="F441" s="37"/>
      <c r="G441" s="37"/>
      <c r="H441" s="15"/>
    </row>
    <row r="442" spans="1:9" ht="21.95" customHeight="1" x14ac:dyDescent="0.15">
      <c r="A442" s="17"/>
      <c r="B442" s="37"/>
      <c r="C442" s="37"/>
      <c r="D442" s="37"/>
      <c r="E442" s="15"/>
      <c r="F442" s="37"/>
      <c r="G442" s="13"/>
      <c r="H442" s="15"/>
    </row>
    <row r="443" spans="1:9" ht="21.95" customHeight="1" x14ac:dyDescent="0.15">
      <c r="A443" s="17"/>
      <c r="B443" s="37"/>
      <c r="C443" s="37"/>
      <c r="D443" s="37"/>
      <c r="E443" s="15"/>
      <c r="F443" s="37"/>
      <c r="G443" s="13"/>
      <c r="H443" s="15"/>
    </row>
    <row r="444" spans="1:9" ht="21.95" customHeight="1" x14ac:dyDescent="0.15">
      <c r="A444" s="17"/>
      <c r="C444" s="37"/>
    </row>
    <row r="445" spans="1:9" ht="21.95" customHeight="1" x14ac:dyDescent="0.15">
      <c r="A445" s="17"/>
      <c r="B445" s="37"/>
      <c r="C445" s="37"/>
      <c r="D445" s="13"/>
      <c r="E445" s="15"/>
      <c r="F445" s="37"/>
      <c r="G445" s="13"/>
      <c r="H445" s="15"/>
      <c r="I445" s="13"/>
    </row>
    <row r="446" spans="1:9" ht="21.95" customHeight="1" x14ac:dyDescent="0.15">
      <c r="A446" s="17"/>
      <c r="B446" s="13"/>
      <c r="C446" s="13"/>
      <c r="D446" s="13"/>
      <c r="E446" s="15"/>
      <c r="F446" s="37"/>
      <c r="G446" s="13"/>
      <c r="H446" s="15"/>
      <c r="I446" s="13"/>
    </row>
    <row r="447" spans="1:9" ht="21.95" customHeight="1" x14ac:dyDescent="0.15">
      <c r="A447" s="17"/>
      <c r="B447" s="13"/>
      <c r="C447" s="13"/>
      <c r="D447" s="13"/>
      <c r="E447" s="15"/>
      <c r="F447" s="37"/>
      <c r="G447" s="13"/>
      <c r="H447" s="15"/>
      <c r="I447" s="13"/>
    </row>
    <row r="448" spans="1:9" ht="21.95" customHeight="1" x14ac:dyDescent="0.15">
      <c r="A448" s="17"/>
      <c r="B448" s="13"/>
      <c r="C448" s="13"/>
      <c r="D448" s="13"/>
      <c r="E448" s="15"/>
      <c r="F448" s="37"/>
      <c r="G448" s="13"/>
      <c r="H448" s="15"/>
      <c r="I448" s="13"/>
    </row>
    <row r="449" spans="1:9" customFormat="1" ht="21.95" customHeight="1" x14ac:dyDescent="0.15">
      <c r="A449" s="17"/>
      <c r="B449" s="40"/>
      <c r="C449" s="40"/>
      <c r="D449" s="40"/>
      <c r="E449" s="38"/>
      <c r="F449" s="85"/>
      <c r="G449" s="40"/>
      <c r="H449" s="38"/>
      <c r="I449" s="40"/>
    </row>
    <row r="450" spans="1:9" customFormat="1" ht="21.95" customHeight="1" x14ac:dyDescent="0.15">
      <c r="A450" s="17"/>
      <c r="B450" s="37"/>
      <c r="C450" s="37"/>
      <c r="D450" s="40"/>
      <c r="E450" s="15"/>
      <c r="F450" s="85"/>
      <c r="G450" s="42"/>
      <c r="H450" s="38"/>
      <c r="I450" s="56"/>
    </row>
    <row r="451" spans="1:9" customFormat="1" ht="21.95" customHeight="1" x14ac:dyDescent="0.15">
      <c r="A451" s="17"/>
      <c r="B451" s="37"/>
      <c r="C451" s="95"/>
      <c r="D451" s="40"/>
      <c r="E451" s="15"/>
      <c r="F451" s="85"/>
      <c r="G451" s="42"/>
      <c r="H451" s="38"/>
      <c r="I451" s="56"/>
    </row>
    <row r="452" spans="1:9" customFormat="1" ht="21.95" customHeight="1" x14ac:dyDescent="0.15">
      <c r="A452" s="17"/>
      <c r="B452" s="37"/>
      <c r="C452" s="95"/>
      <c r="D452" s="40"/>
      <c r="E452" s="15"/>
      <c r="F452" s="85"/>
      <c r="G452" s="17"/>
      <c r="H452" s="38"/>
      <c r="I452" s="56"/>
    </row>
    <row r="453" spans="1:9" customFormat="1" ht="21.95" customHeight="1" x14ac:dyDescent="0.15">
      <c r="A453" s="17"/>
      <c r="B453" s="37"/>
      <c r="C453" s="37"/>
      <c r="D453" s="40"/>
      <c r="E453" s="15"/>
      <c r="F453" s="85"/>
      <c r="G453" s="42"/>
      <c r="H453" s="38"/>
      <c r="I453" s="56"/>
    </row>
    <row r="454" spans="1:9" customFormat="1" ht="21.95" customHeight="1" x14ac:dyDescent="0.15">
      <c r="A454" s="17"/>
      <c r="B454" s="37"/>
      <c r="C454" s="37"/>
      <c r="D454" s="40"/>
      <c r="E454" s="15"/>
      <c r="F454" s="85"/>
      <c r="G454" s="17"/>
      <c r="H454" s="38"/>
      <c r="I454" s="56"/>
    </row>
    <row r="455" spans="1:9" customFormat="1" ht="21.95" customHeight="1" x14ac:dyDescent="0.15">
      <c r="A455" s="17"/>
      <c r="B455" s="37"/>
      <c r="C455" s="37"/>
      <c r="D455" s="40"/>
      <c r="E455" s="15"/>
      <c r="F455" s="85"/>
      <c r="G455" s="42"/>
      <c r="H455" s="38"/>
      <c r="I455" s="56"/>
    </row>
    <row r="456" spans="1:9" customFormat="1" ht="21.95" customHeight="1" x14ac:dyDescent="0.15">
      <c r="A456" s="17"/>
      <c r="B456" s="37"/>
      <c r="C456" s="37"/>
      <c r="D456" s="40"/>
      <c r="E456" s="15"/>
      <c r="F456" s="85"/>
      <c r="G456" s="17"/>
      <c r="H456" s="38"/>
      <c r="I456" s="56"/>
    </row>
    <row r="457" spans="1:9" customFormat="1" ht="21.95" customHeight="1" x14ac:dyDescent="0.15">
      <c r="A457" s="17"/>
      <c r="B457" s="37"/>
      <c r="C457" s="37"/>
      <c r="D457" s="40"/>
      <c r="E457" s="15"/>
      <c r="F457" s="85"/>
      <c r="G457" s="42"/>
      <c r="H457" s="38"/>
      <c r="I457" s="56"/>
    </row>
    <row r="458" spans="1:9" customFormat="1" ht="21.95" customHeight="1" x14ac:dyDescent="0.15">
      <c r="A458" s="17"/>
      <c r="B458" s="37"/>
      <c r="C458" s="37"/>
      <c r="D458" s="40"/>
      <c r="E458" s="15"/>
      <c r="F458" s="85"/>
      <c r="G458" s="17"/>
      <c r="H458" s="38"/>
      <c r="I458" s="56"/>
    </row>
    <row r="459" spans="1:9" customFormat="1" ht="21.95" customHeight="1" x14ac:dyDescent="0.15">
      <c r="A459" s="17"/>
      <c r="B459" s="37"/>
      <c r="C459" s="37"/>
      <c r="D459" s="40"/>
      <c r="E459" s="15"/>
      <c r="F459" s="85"/>
      <c r="G459" s="42"/>
      <c r="H459" s="38"/>
      <c r="I459" s="56"/>
    </row>
    <row r="460" spans="1:9" ht="21.95" customHeight="1" x14ac:dyDescent="0.15">
      <c r="A460" s="17"/>
      <c r="B460" s="37"/>
      <c r="C460" s="37"/>
      <c r="D460" s="37"/>
      <c r="E460" s="15"/>
      <c r="F460" s="85"/>
      <c r="G460" s="17"/>
      <c r="H460" s="38"/>
    </row>
    <row r="461" spans="1:9" ht="21.95" customHeight="1" x14ac:dyDescent="0.15">
      <c r="A461" s="17"/>
      <c r="B461" s="37"/>
      <c r="C461" s="37"/>
      <c r="D461" s="37"/>
      <c r="E461" s="15"/>
      <c r="F461" s="85"/>
      <c r="H461" s="38"/>
    </row>
    <row r="462" spans="1:9" ht="21.95" customHeight="1" x14ac:dyDescent="0.15">
      <c r="A462" s="17"/>
      <c r="B462" s="37"/>
      <c r="C462" s="37"/>
      <c r="D462" s="37"/>
      <c r="E462" s="15"/>
      <c r="F462" s="85"/>
      <c r="H462" s="38"/>
    </row>
    <row r="463" spans="1:9" ht="21.95" customHeight="1" x14ac:dyDescent="0.15">
      <c r="A463" s="17"/>
      <c r="B463" s="37"/>
      <c r="C463" s="37"/>
      <c r="D463" s="37"/>
      <c r="E463" s="15"/>
      <c r="F463" s="85"/>
      <c r="G463" s="17"/>
      <c r="H463" s="38"/>
    </row>
    <row r="464" spans="1:9" customFormat="1" ht="21.95" customHeight="1" x14ac:dyDescent="0.15">
      <c r="A464" s="17"/>
      <c r="B464" s="37"/>
      <c r="C464" s="37"/>
      <c r="D464" s="37"/>
      <c r="E464" s="15"/>
      <c r="F464" s="85"/>
      <c r="G464" s="17"/>
      <c r="H464" s="38"/>
      <c r="I464" s="42"/>
    </row>
    <row r="465" spans="1:9" customFormat="1" ht="21.95" customHeight="1" x14ac:dyDescent="0.15">
      <c r="A465" s="17"/>
      <c r="B465" s="37"/>
      <c r="C465" s="37"/>
      <c r="D465" s="37"/>
      <c r="E465" s="15"/>
      <c r="F465" s="85"/>
      <c r="G465" s="17"/>
      <c r="H465" s="38"/>
      <c r="I465" s="42"/>
    </row>
    <row r="466" spans="1:9" customFormat="1" ht="21.95" customHeight="1" x14ac:dyDescent="0.15">
      <c r="A466" s="17"/>
      <c r="B466" s="37"/>
      <c r="C466" s="37"/>
      <c r="D466" s="37"/>
      <c r="E466" s="15"/>
      <c r="F466" s="85"/>
      <c r="G466" s="17"/>
      <c r="H466" s="38"/>
      <c r="I466" s="42"/>
    </row>
    <row r="467" spans="1:9" customFormat="1" ht="21.95" customHeight="1" x14ac:dyDescent="0.15">
      <c r="A467" s="17"/>
      <c r="B467" s="37"/>
      <c r="C467" s="37"/>
      <c r="D467" s="37"/>
      <c r="E467" s="15"/>
      <c r="F467" s="85"/>
      <c r="G467" s="17"/>
      <c r="H467" s="38"/>
      <c r="I467" s="42"/>
    </row>
    <row r="468" spans="1:9" customFormat="1" ht="21.95" customHeight="1" x14ac:dyDescent="0.15">
      <c r="A468" s="17"/>
      <c r="B468" s="37"/>
      <c r="C468" s="37"/>
      <c r="D468" s="37"/>
      <c r="E468" s="15"/>
      <c r="F468" s="85"/>
      <c r="G468" s="17"/>
      <c r="H468" s="38"/>
      <c r="I468" s="42"/>
    </row>
    <row r="469" spans="1:9" customFormat="1" ht="21.95" customHeight="1" x14ac:dyDescent="0.15">
      <c r="A469" s="17"/>
      <c r="B469" s="37"/>
      <c r="C469" s="37"/>
      <c r="D469" s="37"/>
      <c r="E469" s="15"/>
      <c r="F469" s="85"/>
      <c r="G469" s="17"/>
      <c r="H469" s="38"/>
      <c r="I469" s="42"/>
    </row>
    <row r="470" spans="1:9" customFormat="1" ht="21.95" customHeight="1" x14ac:dyDescent="0.15">
      <c r="A470" s="17"/>
      <c r="B470" s="37"/>
      <c r="C470" s="37"/>
      <c r="D470" s="37"/>
      <c r="E470" s="15"/>
      <c r="F470" s="85"/>
      <c r="G470" s="17"/>
      <c r="H470" s="38"/>
      <c r="I470" s="42"/>
    </row>
    <row r="471" spans="1:9" customFormat="1" ht="21.95" customHeight="1" x14ac:dyDescent="0.15">
      <c r="A471" s="17"/>
      <c r="B471" s="37"/>
      <c r="C471" s="37"/>
      <c r="D471" s="37"/>
      <c r="E471" s="15"/>
      <c r="F471" s="85"/>
      <c r="G471" s="17"/>
      <c r="H471" s="38"/>
      <c r="I471" s="42"/>
    </row>
    <row r="472" spans="1:9" customFormat="1" ht="21.95" customHeight="1" x14ac:dyDescent="0.15">
      <c r="A472" s="17"/>
      <c r="B472" s="37"/>
      <c r="C472" s="37"/>
      <c r="D472" s="37"/>
      <c r="E472" s="15"/>
      <c r="F472" s="85"/>
      <c r="G472" s="17"/>
      <c r="H472" s="38"/>
      <c r="I472" s="42"/>
    </row>
    <row r="473" spans="1:9" customFormat="1" ht="21.95" customHeight="1" x14ac:dyDescent="0.15">
      <c r="A473" s="17"/>
      <c r="B473" s="37"/>
      <c r="C473" s="37"/>
      <c r="D473" s="37"/>
      <c r="E473" s="15"/>
      <c r="F473" s="85"/>
      <c r="G473" s="17"/>
      <c r="H473" s="38"/>
      <c r="I473" s="56"/>
    </row>
    <row r="474" spans="1:9" customFormat="1" ht="21.95" customHeight="1" x14ac:dyDescent="0.15">
      <c r="A474" s="17"/>
      <c r="B474" s="37"/>
      <c r="C474" s="37"/>
      <c r="D474" s="37"/>
      <c r="E474" s="15"/>
      <c r="F474" s="85"/>
      <c r="G474" s="17"/>
      <c r="H474" s="38"/>
      <c r="I474" s="56"/>
    </row>
    <row r="475" spans="1:9" customFormat="1" ht="32.1" customHeight="1" x14ac:dyDescent="0.15">
      <c r="A475" s="17"/>
      <c r="B475" s="37"/>
      <c r="C475" s="37"/>
      <c r="D475" s="37"/>
      <c r="E475" s="15"/>
      <c r="F475" s="85"/>
      <c r="G475" s="17"/>
      <c r="H475" s="38"/>
      <c r="I475" s="56"/>
    </row>
    <row r="476" spans="1:9" customFormat="1" ht="32.1" customHeight="1" x14ac:dyDescent="0.15">
      <c r="A476" s="17"/>
      <c r="B476" s="37"/>
      <c r="C476" s="37"/>
      <c r="D476" s="37"/>
      <c r="E476" s="15"/>
      <c r="F476" s="85"/>
      <c r="G476" s="17"/>
      <c r="H476" s="38"/>
      <c r="I476" s="56"/>
    </row>
    <row r="477" spans="1:9" customFormat="1" ht="32.1" customHeight="1" x14ac:dyDescent="0.15">
      <c r="A477" s="17"/>
      <c r="B477" s="37"/>
      <c r="C477" s="37"/>
      <c r="D477" s="37"/>
      <c r="E477" s="15"/>
      <c r="F477" s="85"/>
      <c r="G477" s="17"/>
      <c r="H477" s="38"/>
      <c r="I477" s="56"/>
    </row>
    <row r="478" spans="1:9" customFormat="1" ht="32.1" customHeight="1" x14ac:dyDescent="0.15">
      <c r="A478" s="17"/>
      <c r="B478" s="37"/>
      <c r="C478" s="37"/>
      <c r="D478" s="37"/>
      <c r="E478" s="15"/>
      <c r="F478" s="85"/>
      <c r="G478" s="17"/>
      <c r="H478" s="38"/>
      <c r="I478" s="56"/>
    </row>
    <row r="479" spans="1:9" customFormat="1" ht="32.1" customHeight="1" x14ac:dyDescent="0.15">
      <c r="A479" s="17"/>
      <c r="B479" s="37"/>
      <c r="C479" s="37"/>
      <c r="D479" s="37"/>
      <c r="E479" s="15"/>
      <c r="F479" s="85"/>
      <c r="G479" s="17"/>
      <c r="H479" s="38"/>
      <c r="I479" s="56"/>
    </row>
    <row r="480" spans="1:9" customFormat="1" ht="32.1" customHeight="1" x14ac:dyDescent="0.15">
      <c r="A480" s="17"/>
      <c r="B480" s="37"/>
      <c r="C480" s="37"/>
      <c r="D480" s="37"/>
      <c r="E480" s="15"/>
      <c r="F480" s="85"/>
      <c r="G480" s="17"/>
      <c r="H480" s="38"/>
      <c r="I480" s="56"/>
    </row>
    <row r="481" spans="1:9" ht="32.1" customHeight="1" x14ac:dyDescent="0.15">
      <c r="A481" s="17"/>
      <c r="B481" s="37"/>
      <c r="C481" s="37"/>
      <c r="D481" s="37"/>
      <c r="E481" s="15"/>
      <c r="F481" s="85"/>
      <c r="G481" s="17"/>
      <c r="H481" s="38"/>
      <c r="I481" s="37"/>
    </row>
    <row r="482" spans="1:9" ht="32.1" customHeight="1" x14ac:dyDescent="0.15">
      <c r="A482" s="17"/>
      <c r="B482" s="37"/>
      <c r="C482" s="37"/>
      <c r="D482" s="37"/>
      <c r="E482" s="15"/>
      <c r="F482" s="37"/>
      <c r="G482" s="17"/>
      <c r="H482" s="38"/>
      <c r="I482" s="37"/>
    </row>
    <row r="483" spans="1:9" ht="32.1" customHeight="1" x14ac:dyDescent="0.15">
      <c r="A483" s="17"/>
      <c r="B483" s="37"/>
      <c r="C483" s="37"/>
      <c r="D483" s="37"/>
      <c r="E483" s="15"/>
      <c r="F483" s="37"/>
      <c r="G483" s="17"/>
      <c r="H483" s="38"/>
      <c r="I483" s="37"/>
    </row>
    <row r="484" spans="1:9" ht="32.1" customHeight="1" x14ac:dyDescent="0.15">
      <c r="A484" s="17"/>
      <c r="B484" s="37"/>
      <c r="C484" s="37"/>
      <c r="D484" s="37"/>
      <c r="E484" s="15"/>
      <c r="F484" s="37"/>
      <c r="G484" s="17"/>
      <c r="H484" s="38"/>
      <c r="I484" s="37"/>
    </row>
    <row r="485" spans="1:9" ht="21.95" customHeight="1" x14ac:dyDescent="0.15">
      <c r="A485" s="17"/>
      <c r="B485" s="37"/>
      <c r="C485" s="37"/>
      <c r="D485" s="37"/>
      <c r="E485" s="15"/>
      <c r="F485" s="37"/>
      <c r="G485" s="17"/>
      <c r="H485" s="38"/>
      <c r="I485" s="37"/>
    </row>
    <row r="486" spans="1:9" ht="54" customHeight="1" x14ac:dyDescent="0.15">
      <c r="A486" s="17"/>
      <c r="B486" s="37"/>
      <c r="C486" s="37"/>
      <c r="D486" s="37"/>
      <c r="E486" s="15"/>
      <c r="F486" s="37"/>
      <c r="G486" s="17"/>
      <c r="H486" s="38"/>
      <c r="I486" s="37"/>
    </row>
    <row r="487" spans="1:9" ht="21.95" customHeight="1" x14ac:dyDescent="0.15">
      <c r="A487" s="17"/>
      <c r="B487" s="37"/>
      <c r="C487" s="37"/>
      <c r="D487" s="37"/>
      <c r="E487" s="15"/>
      <c r="F487" s="37"/>
      <c r="G487" s="17"/>
      <c r="H487" s="38"/>
      <c r="I487" s="37"/>
    </row>
    <row r="488" spans="1:9" ht="21.95" customHeight="1" x14ac:dyDescent="0.15">
      <c r="A488" s="17"/>
      <c r="B488" s="37"/>
      <c r="C488" s="37"/>
      <c r="D488" s="37"/>
      <c r="E488" s="15"/>
      <c r="F488" s="37"/>
      <c r="G488" s="17"/>
      <c r="H488" s="38"/>
      <c r="I488" s="37"/>
    </row>
    <row r="489" spans="1:9" ht="21.95" customHeight="1" x14ac:dyDescent="0.15">
      <c r="A489" s="17"/>
      <c r="B489" s="37"/>
      <c r="C489" s="37"/>
      <c r="D489" s="37"/>
      <c r="E489" s="15"/>
      <c r="F489" s="37"/>
      <c r="G489" s="17"/>
      <c r="H489" s="38"/>
      <c r="I489" s="37"/>
    </row>
    <row r="490" spans="1:9" ht="21.95" customHeight="1" x14ac:dyDescent="0.15">
      <c r="A490" s="17"/>
      <c r="B490" s="37"/>
      <c r="C490" s="37"/>
      <c r="D490" s="37"/>
      <c r="E490" s="15"/>
      <c r="F490" s="37"/>
      <c r="G490" s="17"/>
      <c r="H490" s="38"/>
      <c r="I490" s="37"/>
    </row>
    <row r="491" spans="1:9" ht="21.95" customHeight="1" x14ac:dyDescent="0.15">
      <c r="A491" s="17"/>
      <c r="B491" s="37"/>
      <c r="C491" s="37"/>
      <c r="E491" s="15"/>
      <c r="G491" s="17"/>
      <c r="H491" s="38"/>
    </row>
    <row r="492" spans="1:9" ht="21.95" customHeight="1" x14ac:dyDescent="0.15">
      <c r="A492" s="17"/>
      <c r="B492" s="37"/>
      <c r="C492" s="37"/>
      <c r="E492" s="15"/>
      <c r="G492" s="17"/>
      <c r="H492" s="38"/>
    </row>
    <row r="493" spans="1:9" ht="21.95" customHeight="1" x14ac:dyDescent="0.15">
      <c r="A493" s="17"/>
      <c r="B493" s="37"/>
      <c r="C493" s="37"/>
      <c r="E493" s="15"/>
      <c r="F493" s="37"/>
      <c r="G493" s="13"/>
      <c r="H493" s="38"/>
    </row>
    <row r="494" spans="1:9" ht="21.95" customHeight="1" x14ac:dyDescent="0.15">
      <c r="A494" s="17"/>
      <c r="B494" s="37"/>
      <c r="C494" s="37"/>
      <c r="E494" s="15"/>
      <c r="F494" s="37"/>
      <c r="G494" s="13"/>
      <c r="H494" s="38"/>
    </row>
    <row r="495" spans="1:9" ht="21.95" customHeight="1" x14ac:dyDescent="0.15">
      <c r="A495" s="17"/>
      <c r="B495" s="37"/>
      <c r="C495" s="37"/>
      <c r="D495" s="37"/>
      <c r="E495" s="15"/>
      <c r="F495" s="37"/>
      <c r="G495" s="13"/>
      <c r="H495" s="38"/>
    </row>
    <row r="496" spans="1:9" ht="21.95" customHeight="1" x14ac:dyDescent="0.15">
      <c r="A496" s="17"/>
      <c r="B496" s="37"/>
      <c r="C496" s="37"/>
      <c r="D496" s="37"/>
      <c r="E496" s="15"/>
      <c r="F496" s="37"/>
      <c r="G496" s="13"/>
      <c r="H496" s="38"/>
    </row>
    <row r="497" spans="1:8" ht="21.95" customHeight="1" x14ac:dyDescent="0.15">
      <c r="A497" s="17"/>
      <c r="B497" s="37"/>
      <c r="C497" s="37"/>
      <c r="D497" s="37"/>
      <c r="E497" s="15"/>
      <c r="F497" s="37"/>
      <c r="G497" s="13"/>
      <c r="H497" s="38"/>
    </row>
    <row r="498" spans="1:8" ht="21.95" customHeight="1" x14ac:dyDescent="0.15">
      <c r="A498" s="17"/>
      <c r="B498" s="37"/>
      <c r="C498" s="37"/>
      <c r="D498" s="37"/>
      <c r="E498" s="15"/>
      <c r="F498" s="37"/>
      <c r="G498" s="13"/>
      <c r="H498" s="38"/>
    </row>
    <row r="499" spans="1:8" ht="21.95" customHeight="1" x14ac:dyDescent="0.15">
      <c r="A499" s="17"/>
      <c r="B499" s="37"/>
      <c r="C499" s="37"/>
      <c r="D499" s="37"/>
      <c r="E499" s="15"/>
      <c r="F499" s="37"/>
      <c r="G499" s="13"/>
      <c r="H499" s="38"/>
    </row>
    <row r="500" spans="1:8" ht="21.95" customHeight="1" x14ac:dyDescent="0.15">
      <c r="A500" s="17"/>
      <c r="B500" s="37"/>
      <c r="C500" s="37"/>
      <c r="D500" s="37"/>
      <c r="E500" s="15"/>
      <c r="F500" s="37"/>
      <c r="G500" s="13"/>
      <c r="H500" s="38"/>
    </row>
    <row r="501" spans="1:8" ht="21.95" customHeight="1" x14ac:dyDescent="0.15">
      <c r="A501" s="17"/>
      <c r="B501" s="37"/>
      <c r="C501" s="37"/>
      <c r="D501" s="37"/>
      <c r="E501" s="15"/>
      <c r="F501" s="37"/>
      <c r="G501" s="13"/>
      <c r="H501" s="38"/>
    </row>
    <row r="502" spans="1:8" ht="21.95" customHeight="1" x14ac:dyDescent="0.15">
      <c r="A502" s="17"/>
      <c r="B502" s="37"/>
      <c r="C502" s="37"/>
      <c r="D502" s="37"/>
      <c r="E502" s="15"/>
      <c r="F502" s="37"/>
      <c r="G502" s="13"/>
      <c r="H502" s="38"/>
    </row>
    <row r="503" spans="1:8" ht="21.95" customHeight="1" x14ac:dyDescent="0.15">
      <c r="A503" s="17"/>
      <c r="B503" s="37"/>
      <c r="C503" s="37"/>
      <c r="D503" s="37"/>
      <c r="E503" s="15"/>
      <c r="F503" s="37"/>
      <c r="G503" s="13"/>
      <c r="H503" s="38"/>
    </row>
    <row r="504" spans="1:8" ht="21.95" customHeight="1" x14ac:dyDescent="0.15">
      <c r="A504" s="17"/>
      <c r="B504" s="37"/>
      <c r="C504" s="37"/>
      <c r="D504" s="37"/>
      <c r="E504" s="15"/>
      <c r="F504" s="37"/>
      <c r="G504" s="13"/>
      <c r="H504" s="15"/>
    </row>
    <row r="505" spans="1:8" ht="21.95" customHeight="1" x14ac:dyDescent="0.15">
      <c r="A505" s="17"/>
      <c r="B505" s="37"/>
      <c r="C505" s="37"/>
      <c r="D505" s="37"/>
      <c r="E505" s="15"/>
      <c r="F505" s="37"/>
      <c r="G505" s="13"/>
      <c r="H505" s="15"/>
    </row>
    <row r="506" spans="1:8" ht="21.95" customHeight="1" x14ac:dyDescent="0.15">
      <c r="A506" s="17"/>
      <c r="B506" s="37"/>
      <c r="C506" s="37"/>
      <c r="D506" s="37"/>
      <c r="E506" s="15"/>
      <c r="F506" s="37"/>
      <c r="G506" s="13"/>
      <c r="H506" s="15"/>
    </row>
    <row r="507" spans="1:8" ht="21.95" customHeight="1" x14ac:dyDescent="0.15">
      <c r="A507" s="17"/>
      <c r="B507" s="37"/>
      <c r="C507" s="37"/>
      <c r="D507" s="37"/>
      <c r="E507" s="15"/>
      <c r="F507" s="37"/>
      <c r="G507" s="13"/>
      <c r="H507" s="15"/>
    </row>
    <row r="508" spans="1:8" ht="21.95" customHeight="1" x14ac:dyDescent="0.15">
      <c r="A508" s="17"/>
      <c r="B508" s="37"/>
      <c r="C508" s="37"/>
      <c r="D508" s="37"/>
      <c r="E508" s="15"/>
      <c r="F508" s="37"/>
      <c r="G508" s="13"/>
      <c r="H508" s="15"/>
    </row>
    <row r="509" spans="1:8" ht="21.95" customHeight="1" x14ac:dyDescent="0.15">
      <c r="A509" s="17"/>
      <c r="B509" s="37"/>
      <c r="C509" s="37"/>
      <c r="D509" s="37"/>
      <c r="E509" s="15"/>
      <c r="F509" s="37"/>
      <c r="G509" s="13"/>
      <c r="H509" s="15"/>
    </row>
    <row r="510" spans="1:8" ht="21.95" customHeight="1" x14ac:dyDescent="0.15">
      <c r="A510" s="17"/>
      <c r="B510" s="37"/>
      <c r="C510" s="37"/>
      <c r="D510" s="37"/>
      <c r="E510" s="15"/>
      <c r="F510" s="37"/>
      <c r="G510" s="13"/>
      <c r="H510" s="15"/>
    </row>
    <row r="511" spans="1:8" ht="21.95" customHeight="1" x14ac:dyDescent="0.15">
      <c r="A511" s="17"/>
      <c r="B511" s="37"/>
      <c r="C511" s="37"/>
      <c r="D511" s="37"/>
      <c r="E511" s="15"/>
      <c r="F511" s="37"/>
      <c r="G511" s="13"/>
      <c r="H511" s="15"/>
    </row>
    <row r="512" spans="1:8" ht="21.95" customHeight="1" x14ac:dyDescent="0.15">
      <c r="A512" s="17"/>
      <c r="B512" s="37"/>
      <c r="C512" s="37"/>
      <c r="D512" s="37"/>
      <c r="E512" s="15"/>
      <c r="F512" s="37"/>
      <c r="G512" s="13"/>
      <c r="H512" s="15"/>
    </row>
    <row r="513" spans="1:8" ht="21.95" customHeight="1" x14ac:dyDescent="0.15">
      <c r="A513" s="17"/>
      <c r="B513" s="37"/>
      <c r="C513" s="37"/>
      <c r="D513" s="37"/>
      <c r="E513" s="15"/>
      <c r="F513" s="37"/>
      <c r="G513" s="13"/>
      <c r="H513" s="15"/>
    </row>
    <row r="514" spans="1:8" ht="21.95" customHeight="1" x14ac:dyDescent="0.15">
      <c r="A514" s="17"/>
      <c r="B514" s="37"/>
      <c r="C514" s="37"/>
      <c r="D514" s="37"/>
      <c r="E514" s="15"/>
      <c r="F514" s="37"/>
      <c r="G514" s="13"/>
      <c r="H514" s="15"/>
    </row>
    <row r="515" spans="1:8" ht="21.95" customHeight="1" x14ac:dyDescent="0.15">
      <c r="A515" s="17"/>
      <c r="B515" s="37"/>
      <c r="C515" s="37"/>
      <c r="D515" s="37"/>
      <c r="E515" s="15"/>
      <c r="F515" s="37"/>
      <c r="G515" s="13"/>
      <c r="H515" s="15"/>
    </row>
    <row r="516" spans="1:8" ht="21.95" customHeight="1" x14ac:dyDescent="0.15">
      <c r="A516" s="17"/>
      <c r="B516" s="37"/>
      <c r="C516" s="37"/>
      <c r="D516" s="37"/>
      <c r="E516" s="15"/>
      <c r="F516" s="37"/>
      <c r="G516" s="13"/>
      <c r="H516" s="15"/>
    </row>
    <row r="517" spans="1:8" ht="21.95" customHeight="1" x14ac:dyDescent="0.15">
      <c r="A517" s="17"/>
      <c r="B517" s="37"/>
      <c r="C517" s="37"/>
      <c r="D517" s="37"/>
      <c r="E517" s="15"/>
      <c r="F517" s="37"/>
      <c r="G517" s="13"/>
      <c r="H517" s="15"/>
    </row>
    <row r="518" spans="1:8" ht="21.95" customHeight="1" x14ac:dyDescent="0.15">
      <c r="A518" s="17"/>
      <c r="B518" s="37"/>
      <c r="C518" s="37"/>
      <c r="D518" s="37"/>
      <c r="E518" s="15"/>
      <c r="F518" s="37"/>
      <c r="G518" s="13"/>
      <c r="H518" s="15"/>
    </row>
    <row r="519" spans="1:8" ht="21.95" customHeight="1" x14ac:dyDescent="0.15">
      <c r="A519" s="17"/>
      <c r="B519" s="37"/>
      <c r="C519" s="37"/>
      <c r="D519" s="37"/>
      <c r="E519" s="15"/>
      <c r="F519" s="37"/>
      <c r="G519" s="13"/>
      <c r="H519" s="15"/>
    </row>
    <row r="520" spans="1:8" ht="21.95" customHeight="1" x14ac:dyDescent="0.15">
      <c r="A520" s="17"/>
      <c r="B520" s="37"/>
      <c r="C520" s="37"/>
      <c r="D520" s="37"/>
      <c r="E520" s="15"/>
      <c r="F520" s="37"/>
      <c r="G520" s="13"/>
      <c r="H520" s="15"/>
    </row>
    <row r="521" spans="1:8" ht="21.95" customHeight="1" x14ac:dyDescent="0.15">
      <c r="A521" s="17"/>
      <c r="B521" s="37"/>
      <c r="C521" s="37"/>
      <c r="D521" s="37"/>
      <c r="E521" s="15"/>
      <c r="F521" s="37"/>
      <c r="G521" s="13"/>
      <c r="H521" s="15"/>
    </row>
    <row r="522" spans="1:8" ht="21.95" customHeight="1" x14ac:dyDescent="0.15">
      <c r="A522" s="17"/>
      <c r="B522" s="37"/>
      <c r="C522" s="37"/>
      <c r="D522" s="37"/>
      <c r="E522" s="15"/>
      <c r="F522" s="37"/>
      <c r="G522" s="37"/>
      <c r="H522" s="15"/>
    </row>
    <row r="523" spans="1:8" ht="21.95" customHeight="1" x14ac:dyDescent="0.15">
      <c r="A523" s="17"/>
      <c r="B523" s="37"/>
      <c r="C523" s="37"/>
      <c r="D523" s="37"/>
      <c r="E523" s="15"/>
      <c r="F523" s="37"/>
      <c r="G523" s="13"/>
      <c r="H523" s="15"/>
    </row>
    <row r="524" spans="1:8" ht="21.95" customHeight="1" x14ac:dyDescent="0.15">
      <c r="A524" s="17"/>
      <c r="B524" s="37"/>
      <c r="C524" s="37"/>
      <c r="D524" s="37"/>
      <c r="E524" s="15"/>
      <c r="F524" s="37"/>
      <c r="G524" s="13"/>
      <c r="H524" s="15"/>
    </row>
    <row r="525" spans="1:8" ht="21.95" customHeight="1" x14ac:dyDescent="0.15">
      <c r="A525" s="17"/>
      <c r="B525" s="37"/>
      <c r="C525" s="37"/>
      <c r="D525" s="37"/>
      <c r="E525" s="15"/>
      <c r="F525" s="37"/>
      <c r="G525" s="13"/>
      <c r="H525" s="15"/>
    </row>
    <row r="526" spans="1:8" ht="21.95" customHeight="1" x14ac:dyDescent="0.15">
      <c r="A526" s="17"/>
      <c r="B526" s="37"/>
      <c r="C526" s="37"/>
      <c r="D526" s="37"/>
      <c r="E526" s="15"/>
      <c r="F526" s="37"/>
      <c r="G526" s="13"/>
      <c r="H526" s="15"/>
    </row>
    <row r="527" spans="1:8" ht="21.95" customHeight="1" x14ac:dyDescent="0.15">
      <c r="A527" s="17"/>
      <c r="B527" s="37"/>
      <c r="C527" s="37"/>
      <c r="D527" s="37"/>
      <c r="E527" s="15"/>
      <c r="F527" s="37"/>
      <c r="G527" s="13"/>
      <c r="H527" s="15"/>
    </row>
    <row r="528" spans="1:8" ht="21.95" customHeight="1" x14ac:dyDescent="0.15">
      <c r="A528" s="17"/>
      <c r="B528" s="37"/>
      <c r="C528" s="37"/>
      <c r="D528" s="37"/>
      <c r="E528" s="15"/>
      <c r="F528" s="37"/>
      <c r="G528" s="13"/>
      <c r="H528" s="15"/>
    </row>
    <row r="529" spans="1:9" ht="21.95" customHeight="1" x14ac:dyDescent="0.15">
      <c r="A529" s="17"/>
      <c r="B529" s="37"/>
      <c r="C529" s="37"/>
      <c r="D529" s="37"/>
      <c r="E529" s="15"/>
      <c r="F529" s="37"/>
      <c r="G529" s="13"/>
      <c r="H529" s="15"/>
    </row>
    <row r="530" spans="1:9" ht="21.95" customHeight="1" x14ac:dyDescent="0.15">
      <c r="A530" s="17"/>
      <c r="B530" s="37"/>
      <c r="C530" s="37"/>
      <c r="D530" s="37"/>
      <c r="E530" s="15"/>
      <c r="F530" s="37"/>
      <c r="G530" s="13"/>
      <c r="H530" s="15"/>
    </row>
    <row r="531" spans="1:9" ht="21.95" customHeight="1" x14ac:dyDescent="0.15">
      <c r="A531" s="17"/>
      <c r="B531" s="37"/>
      <c r="C531" s="37"/>
      <c r="D531" s="37"/>
      <c r="E531" s="15"/>
      <c r="F531" s="37"/>
      <c r="G531" s="13"/>
      <c r="H531" s="15"/>
    </row>
    <row r="532" spans="1:9" ht="21.95" customHeight="1" x14ac:dyDescent="0.15">
      <c r="A532" s="17"/>
      <c r="B532" s="37"/>
      <c r="C532" s="37"/>
      <c r="D532" s="37"/>
      <c r="E532" s="15"/>
      <c r="F532" s="37"/>
      <c r="G532" s="13"/>
      <c r="H532" s="15"/>
    </row>
    <row r="533" spans="1:9" ht="21.95" customHeight="1" x14ac:dyDescent="0.15">
      <c r="A533" s="17"/>
      <c r="B533" s="37"/>
      <c r="C533" s="37"/>
      <c r="D533" s="37"/>
      <c r="E533" s="15"/>
      <c r="F533" s="37"/>
      <c r="G533" s="13"/>
      <c r="H533" s="15"/>
    </row>
    <row r="534" spans="1:9" ht="21.95" customHeight="1" x14ac:dyDescent="0.15">
      <c r="A534" s="17"/>
      <c r="B534" s="37"/>
      <c r="C534" s="37"/>
      <c r="D534" s="37"/>
      <c r="E534" s="15"/>
      <c r="F534" s="37"/>
      <c r="G534" s="13"/>
      <c r="H534" s="15"/>
    </row>
    <row r="535" spans="1:9" ht="21.95" customHeight="1" x14ac:dyDescent="0.15">
      <c r="A535" s="17"/>
      <c r="B535" s="37"/>
      <c r="C535" s="37"/>
      <c r="D535" s="37"/>
      <c r="E535" s="15"/>
      <c r="F535" s="37"/>
      <c r="G535" s="13"/>
      <c r="H535" s="38"/>
      <c r="I535" s="84"/>
    </row>
    <row r="536" spans="1:9" ht="21.95" customHeight="1" x14ac:dyDescent="0.15">
      <c r="A536" s="17"/>
      <c r="B536" s="37"/>
      <c r="C536" s="37"/>
      <c r="D536" s="37"/>
      <c r="E536" s="15"/>
      <c r="F536" s="37"/>
      <c r="G536" s="13"/>
      <c r="H536" s="15"/>
      <c r="I536" s="84"/>
    </row>
    <row r="537" spans="1:9" ht="35.1" customHeight="1" x14ac:dyDescent="0.15">
      <c r="A537" s="17"/>
      <c r="B537" s="37"/>
      <c r="C537" s="37"/>
      <c r="D537" s="37"/>
      <c r="E537" s="15"/>
      <c r="F537" s="15"/>
      <c r="G537" s="37"/>
      <c r="H537" s="15"/>
    </row>
    <row r="538" spans="1:9" ht="21.95" customHeight="1" x14ac:dyDescent="0.15">
      <c r="A538" s="17"/>
      <c r="B538" s="37"/>
      <c r="C538" s="37"/>
      <c r="D538" s="37"/>
      <c r="E538" s="15"/>
      <c r="F538" s="37"/>
      <c r="G538" s="13"/>
      <c r="H538" s="15"/>
    </row>
    <row r="539" spans="1:9" ht="21.95" customHeight="1" x14ac:dyDescent="0.15">
      <c r="A539" s="17"/>
      <c r="B539" s="37"/>
      <c r="C539" s="37"/>
      <c r="D539" s="37"/>
      <c r="E539" s="15"/>
      <c r="F539" s="37"/>
      <c r="G539" s="13"/>
      <c r="H539" s="15"/>
    </row>
    <row r="540" spans="1:9" ht="21.95" customHeight="1" x14ac:dyDescent="0.15">
      <c r="A540" s="17"/>
      <c r="B540" s="37"/>
      <c r="C540" s="37"/>
      <c r="D540" s="37"/>
      <c r="E540" s="15"/>
      <c r="F540" s="37"/>
      <c r="G540" s="13"/>
      <c r="H540" s="15"/>
    </row>
    <row r="541" spans="1:9" ht="21.95" customHeight="1" x14ac:dyDescent="0.15">
      <c r="A541" s="17"/>
      <c r="B541" s="37"/>
      <c r="C541" s="37"/>
      <c r="D541" s="37"/>
      <c r="E541" s="15"/>
      <c r="F541" s="37"/>
      <c r="G541" s="13"/>
      <c r="H541" s="15"/>
    </row>
    <row r="542" spans="1:9" ht="21.95" customHeight="1" x14ac:dyDescent="0.15">
      <c r="A542" s="17"/>
      <c r="B542" s="37"/>
      <c r="C542" s="37"/>
      <c r="D542" s="37"/>
      <c r="E542" s="15"/>
      <c r="F542" s="37"/>
      <c r="G542" s="13"/>
      <c r="H542" s="15"/>
    </row>
    <row r="543" spans="1:9" ht="21.95" customHeight="1" x14ac:dyDescent="0.15">
      <c r="A543" s="17"/>
      <c r="B543" s="37"/>
      <c r="C543" s="37"/>
      <c r="D543" s="37"/>
      <c r="E543" s="15"/>
      <c r="F543" s="37"/>
      <c r="G543" s="13"/>
      <c r="H543" s="15"/>
      <c r="I543" s="37"/>
    </row>
    <row r="544" spans="1:9" ht="21.95" customHeight="1" x14ac:dyDescent="0.15">
      <c r="A544" s="17"/>
      <c r="B544" s="37"/>
      <c r="C544" s="37"/>
      <c r="D544" s="37"/>
      <c r="E544" s="15"/>
      <c r="F544" s="37"/>
      <c r="G544" s="37"/>
      <c r="H544" s="15"/>
      <c r="I544" s="37"/>
    </row>
    <row r="545" spans="1:9" ht="21.95" customHeight="1" x14ac:dyDescent="0.15">
      <c r="A545" s="17"/>
      <c r="B545" s="37"/>
      <c r="C545" s="37"/>
      <c r="D545" s="37"/>
      <c r="E545" s="15"/>
      <c r="F545" s="37"/>
      <c r="G545" s="37"/>
      <c r="H545" s="38"/>
      <c r="I545" s="37"/>
    </row>
    <row r="546" spans="1:9" ht="21.95" customHeight="1" x14ac:dyDescent="0.15">
      <c r="A546" s="17"/>
      <c r="B546" s="37"/>
      <c r="C546" s="37"/>
      <c r="D546" s="37"/>
      <c r="E546" s="15"/>
      <c r="F546" s="37"/>
      <c r="G546" s="37"/>
      <c r="H546" s="38"/>
      <c r="I546" s="37"/>
    </row>
    <row r="547" spans="1:9" ht="21.95" customHeight="1" x14ac:dyDescent="0.15">
      <c r="A547" s="17"/>
      <c r="B547" s="37"/>
      <c r="C547" s="37"/>
      <c r="D547" s="37"/>
      <c r="E547" s="15"/>
      <c r="F547" s="37"/>
      <c r="G547" s="13"/>
      <c r="H547" s="15"/>
      <c r="I547" s="37"/>
    </row>
    <row r="548" spans="1:9" ht="21.95" customHeight="1" x14ac:dyDescent="0.15">
      <c r="A548" s="17"/>
      <c r="B548" s="37"/>
      <c r="C548" s="37"/>
      <c r="D548" s="37"/>
      <c r="E548" s="15"/>
      <c r="F548" s="37"/>
      <c r="G548" s="13"/>
      <c r="H548" s="15"/>
      <c r="I548" s="37"/>
    </row>
    <row r="549" spans="1:9" ht="21.95" customHeight="1" x14ac:dyDescent="0.15">
      <c r="A549" s="17"/>
      <c r="B549" s="37"/>
      <c r="C549" s="37"/>
      <c r="D549" s="37"/>
      <c r="E549" s="15"/>
      <c r="F549" s="37"/>
      <c r="G549" s="13"/>
      <c r="H549" s="15"/>
      <c r="I549" s="37"/>
    </row>
    <row r="550" spans="1:9" ht="21.95" customHeight="1" x14ac:dyDescent="0.15">
      <c r="A550" s="17"/>
      <c r="B550" s="37"/>
      <c r="C550" s="37"/>
      <c r="E550" s="15"/>
      <c r="F550" s="37"/>
      <c r="H550" s="38"/>
    </row>
    <row r="551" spans="1:9" ht="21.95" customHeight="1" x14ac:dyDescent="0.15">
      <c r="A551" s="17"/>
      <c r="B551" s="37"/>
      <c r="C551" s="37"/>
      <c r="E551" s="15"/>
      <c r="F551" s="37"/>
    </row>
    <row r="552" spans="1:9" ht="21.95" customHeight="1" x14ac:dyDescent="0.15">
      <c r="A552" s="17"/>
      <c r="B552" s="37"/>
      <c r="C552" s="37"/>
      <c r="E552" s="15"/>
      <c r="G552" s="77"/>
    </row>
    <row r="553" spans="1:9" ht="21.95" customHeight="1" x14ac:dyDescent="0.15">
      <c r="A553" s="17"/>
      <c r="B553" s="37"/>
      <c r="C553" s="37"/>
      <c r="D553" s="37"/>
      <c r="E553" s="15"/>
      <c r="F553" s="37"/>
      <c r="G553" s="37"/>
      <c r="H553" s="15"/>
    </row>
    <row r="554" spans="1:9" ht="21.95" customHeight="1" x14ac:dyDescent="0.15">
      <c r="A554" s="17"/>
      <c r="B554" s="37"/>
      <c r="C554" s="37"/>
      <c r="D554" s="37"/>
      <c r="E554" s="15"/>
      <c r="F554" s="37"/>
      <c r="G554" s="13"/>
      <c r="H554" s="15"/>
    </row>
    <row r="555" spans="1:9" ht="21.95" customHeight="1" x14ac:dyDescent="0.15">
      <c r="A555" s="17"/>
      <c r="B555" s="37"/>
      <c r="C555" s="37"/>
      <c r="D555" s="37"/>
      <c r="E555" s="15"/>
      <c r="F555" s="37"/>
      <c r="G555" s="13"/>
      <c r="H555" s="15"/>
    </row>
    <row r="556" spans="1:9" ht="21.95" customHeight="1" x14ac:dyDescent="0.15">
      <c r="A556" s="17"/>
      <c r="C556" s="37"/>
    </row>
    <row r="557" spans="1:9" ht="21.95" customHeight="1" x14ac:dyDescent="0.15">
      <c r="A557" s="17"/>
      <c r="B557" s="37"/>
      <c r="C557" s="37"/>
      <c r="D557" s="13"/>
      <c r="E557" s="15"/>
      <c r="F557" s="37"/>
      <c r="G557" s="13"/>
      <c r="H557" s="15"/>
      <c r="I557" s="13"/>
    </row>
    <row r="558" spans="1:9" ht="21.95" customHeight="1" x14ac:dyDescent="0.15">
      <c r="A558" s="17"/>
      <c r="B558" s="13"/>
      <c r="C558" s="13"/>
      <c r="D558" s="13"/>
      <c r="E558" s="15"/>
      <c r="F558" s="37"/>
      <c r="G558" s="13"/>
      <c r="H558" s="15"/>
      <c r="I558" s="13"/>
    </row>
    <row r="559" spans="1:9" ht="21.95" customHeight="1" x14ac:dyDescent="0.15">
      <c r="A559" s="17"/>
      <c r="B559" s="13"/>
      <c r="C559" s="13"/>
      <c r="D559" s="13"/>
      <c r="E559" s="15"/>
      <c r="F559" s="37"/>
      <c r="G559" s="13"/>
      <c r="H559" s="15"/>
      <c r="I559" s="13"/>
    </row>
    <row r="560" spans="1:9" ht="21.95" customHeight="1" x14ac:dyDescent="0.15">
      <c r="A560" s="17"/>
      <c r="B560" s="13"/>
      <c r="C560" s="13"/>
      <c r="D560" s="13"/>
      <c r="E560" s="15"/>
      <c r="F560" s="37"/>
      <c r="G560" s="13"/>
      <c r="H560" s="15"/>
      <c r="I560" s="13"/>
    </row>
    <row r="561" spans="1:9" customFormat="1" ht="21.95" customHeight="1" x14ac:dyDescent="0.15">
      <c r="A561" s="17"/>
      <c r="B561" s="40"/>
      <c r="C561" s="40"/>
      <c r="D561" s="40"/>
      <c r="E561" s="38"/>
      <c r="F561" s="85"/>
      <c r="G561" s="40"/>
      <c r="H561" s="38"/>
      <c r="I561" s="40"/>
    </row>
    <row r="562" spans="1:9" customFormat="1" ht="21.95" customHeight="1" x14ac:dyDescent="0.15">
      <c r="A562" s="17"/>
      <c r="B562" s="37"/>
      <c r="C562" s="37"/>
      <c r="D562" s="40"/>
      <c r="E562" s="15"/>
      <c r="F562" s="85"/>
      <c r="G562" s="42"/>
      <c r="H562" s="38"/>
      <c r="I562" s="56"/>
    </row>
    <row r="563" spans="1:9" customFormat="1" ht="21.95" customHeight="1" x14ac:dyDescent="0.15">
      <c r="A563" s="17"/>
      <c r="B563" s="37"/>
      <c r="C563" s="95"/>
      <c r="D563" s="40"/>
      <c r="E563" s="15"/>
      <c r="F563" s="85"/>
      <c r="G563" s="42"/>
      <c r="H563" s="38"/>
      <c r="I563" s="56"/>
    </row>
    <row r="564" spans="1:9" customFormat="1" ht="21.95" customHeight="1" x14ac:dyDescent="0.15">
      <c r="A564" s="17"/>
      <c r="B564" s="37"/>
      <c r="C564" s="95"/>
      <c r="D564" s="40"/>
      <c r="E564" s="15"/>
      <c r="F564" s="85"/>
      <c r="G564" s="17"/>
      <c r="H564" s="38"/>
      <c r="I564" s="56"/>
    </row>
    <row r="565" spans="1:9" customFormat="1" ht="21.95" customHeight="1" x14ac:dyDescent="0.15">
      <c r="A565" s="17"/>
      <c r="B565" s="37"/>
      <c r="C565" s="37"/>
      <c r="D565" s="40"/>
      <c r="E565" s="15"/>
      <c r="F565" s="85"/>
      <c r="G565" s="42"/>
      <c r="H565" s="38"/>
      <c r="I565" s="56"/>
    </row>
    <row r="566" spans="1:9" customFormat="1" ht="21.95" customHeight="1" x14ac:dyDescent="0.15">
      <c r="A566" s="17"/>
      <c r="B566" s="37"/>
      <c r="C566" s="37"/>
      <c r="D566" s="40"/>
      <c r="E566" s="15"/>
      <c r="F566" s="85"/>
      <c r="G566" s="17"/>
      <c r="H566" s="38"/>
      <c r="I566" s="56"/>
    </row>
    <row r="567" spans="1:9" customFormat="1" ht="21.95" customHeight="1" x14ac:dyDescent="0.15">
      <c r="A567" s="17"/>
      <c r="B567" s="37"/>
      <c r="C567" s="37"/>
      <c r="D567" s="40"/>
      <c r="E567" s="15"/>
      <c r="F567" s="85"/>
      <c r="G567" s="42"/>
      <c r="H567" s="38"/>
      <c r="I567" s="56"/>
    </row>
    <row r="568" spans="1:9" customFormat="1" ht="21.95" customHeight="1" x14ac:dyDescent="0.15">
      <c r="A568" s="17"/>
      <c r="B568" s="37"/>
      <c r="C568" s="37"/>
      <c r="D568" s="40"/>
      <c r="E568" s="15"/>
      <c r="F568" s="85"/>
      <c r="G568" s="17"/>
      <c r="H568" s="38"/>
      <c r="I568" s="56"/>
    </row>
    <row r="569" spans="1:9" customFormat="1" ht="21.95" customHeight="1" x14ac:dyDescent="0.15">
      <c r="A569" s="17"/>
      <c r="B569" s="37"/>
      <c r="C569" s="37"/>
      <c r="D569" s="40"/>
      <c r="E569" s="15"/>
      <c r="F569" s="85"/>
      <c r="G569" s="42"/>
      <c r="H569" s="38"/>
      <c r="I569" s="56"/>
    </row>
    <row r="570" spans="1:9" customFormat="1" ht="21.95" customHeight="1" x14ac:dyDescent="0.15">
      <c r="A570" s="17"/>
      <c r="B570" s="37"/>
      <c r="C570" s="37"/>
      <c r="D570" s="40"/>
      <c r="E570" s="15"/>
      <c r="F570" s="85"/>
      <c r="G570" s="17"/>
      <c r="H570" s="38"/>
      <c r="I570" s="56"/>
    </row>
    <row r="571" spans="1:9" customFormat="1" ht="21.95" customHeight="1" x14ac:dyDescent="0.15">
      <c r="A571" s="17"/>
      <c r="B571" s="37"/>
      <c r="C571" s="37"/>
      <c r="D571" s="40"/>
      <c r="E571" s="15"/>
      <c r="F571" s="85"/>
      <c r="G571" s="42"/>
      <c r="H571" s="38"/>
      <c r="I571" s="56"/>
    </row>
    <row r="572" spans="1:9" ht="21.95" customHeight="1" x14ac:dyDescent="0.15">
      <c r="A572" s="17"/>
      <c r="B572" s="37"/>
      <c r="C572" s="37"/>
      <c r="D572" s="37"/>
      <c r="E572" s="15"/>
      <c r="F572" s="85"/>
      <c r="G572" s="17"/>
      <c r="H572" s="38"/>
    </row>
    <row r="573" spans="1:9" ht="21.95" customHeight="1" x14ac:dyDescent="0.15">
      <c r="A573" s="17"/>
      <c r="B573" s="37"/>
      <c r="C573" s="37"/>
      <c r="D573" s="37"/>
      <c r="E573" s="15"/>
      <c r="F573" s="85"/>
      <c r="H573" s="38"/>
    </row>
    <row r="574" spans="1:9" ht="21.95" customHeight="1" x14ac:dyDescent="0.15">
      <c r="A574" s="17"/>
      <c r="B574" s="37"/>
      <c r="C574" s="37"/>
      <c r="D574" s="37"/>
      <c r="E574" s="15"/>
      <c r="F574" s="85"/>
      <c r="H574" s="38"/>
    </row>
    <row r="575" spans="1:9" ht="21.95" customHeight="1" x14ac:dyDescent="0.15">
      <c r="A575" s="17"/>
      <c r="B575" s="37"/>
      <c r="C575" s="37"/>
      <c r="D575" s="37"/>
      <c r="E575" s="15"/>
      <c r="F575" s="85"/>
      <c r="G575" s="17"/>
      <c r="H575" s="38"/>
    </row>
    <row r="576" spans="1:9" customFormat="1" ht="21.95" customHeight="1" x14ac:dyDescent="0.15">
      <c r="A576" s="17"/>
      <c r="B576" s="37"/>
      <c r="C576" s="37"/>
      <c r="D576" s="37"/>
      <c r="E576" s="15"/>
      <c r="F576" s="85"/>
      <c r="G576" s="17"/>
      <c r="H576" s="38"/>
      <c r="I576" s="42"/>
    </row>
    <row r="577" spans="1:9" customFormat="1" ht="21.95" customHeight="1" x14ac:dyDescent="0.15">
      <c r="A577" s="17"/>
      <c r="B577" s="37"/>
      <c r="C577" s="37"/>
      <c r="D577" s="37"/>
      <c r="E577" s="15"/>
      <c r="F577" s="85"/>
      <c r="G577" s="17"/>
      <c r="H577" s="38"/>
      <c r="I577" s="42"/>
    </row>
    <row r="578" spans="1:9" customFormat="1" ht="21.95" customHeight="1" x14ac:dyDescent="0.15">
      <c r="A578" s="17"/>
      <c r="B578" s="37"/>
      <c r="C578" s="37"/>
      <c r="D578" s="37"/>
      <c r="E578" s="15"/>
      <c r="F578" s="85"/>
      <c r="G578" s="17"/>
      <c r="H578" s="38"/>
      <c r="I578" s="42"/>
    </row>
    <row r="579" spans="1:9" customFormat="1" ht="21.95" customHeight="1" x14ac:dyDescent="0.15">
      <c r="A579" s="17"/>
      <c r="B579" s="37"/>
      <c r="C579" s="37"/>
      <c r="D579" s="37"/>
      <c r="E579" s="15"/>
      <c r="F579" s="85"/>
      <c r="G579" s="17"/>
      <c r="H579" s="38"/>
      <c r="I579" s="42"/>
    </row>
    <row r="580" spans="1:9" customFormat="1" ht="21.95" customHeight="1" x14ac:dyDescent="0.15">
      <c r="A580" s="17"/>
      <c r="B580" s="37"/>
      <c r="C580" s="37"/>
      <c r="D580" s="37"/>
      <c r="E580" s="15"/>
      <c r="F580" s="85"/>
      <c r="G580" s="17"/>
      <c r="H580" s="38"/>
      <c r="I580" s="42"/>
    </row>
    <row r="581" spans="1:9" customFormat="1" ht="21.95" customHeight="1" x14ac:dyDescent="0.15">
      <c r="A581" s="17"/>
      <c r="B581" s="37"/>
      <c r="C581" s="37"/>
      <c r="D581" s="37"/>
      <c r="E581" s="15"/>
      <c r="F581" s="85"/>
      <c r="G581" s="17"/>
      <c r="H581" s="38"/>
      <c r="I581" s="42"/>
    </row>
    <row r="582" spans="1:9" customFormat="1" ht="21.95" customHeight="1" x14ac:dyDescent="0.15">
      <c r="A582" s="17"/>
      <c r="B582" s="37"/>
      <c r="C582" s="37"/>
      <c r="D582" s="37"/>
      <c r="E582" s="15"/>
      <c r="F582" s="85"/>
      <c r="G582" s="17"/>
      <c r="H582" s="38"/>
      <c r="I582" s="42"/>
    </row>
    <row r="583" spans="1:9" customFormat="1" ht="21.95" customHeight="1" x14ac:dyDescent="0.15">
      <c r="A583" s="17"/>
      <c r="B583" s="37"/>
      <c r="C583" s="37"/>
      <c r="D583" s="37"/>
      <c r="E583" s="15"/>
      <c r="F583" s="85"/>
      <c r="G583" s="17"/>
      <c r="H583" s="38"/>
      <c r="I583" s="42"/>
    </row>
    <row r="584" spans="1:9" customFormat="1" ht="21.95" customHeight="1" x14ac:dyDescent="0.15">
      <c r="A584" s="17"/>
      <c r="B584" s="37"/>
      <c r="C584" s="37"/>
      <c r="D584" s="37"/>
      <c r="E584" s="15"/>
      <c r="F584" s="85"/>
      <c r="G584" s="17"/>
      <c r="H584" s="38"/>
      <c r="I584" s="42"/>
    </row>
    <row r="585" spans="1:9" customFormat="1" ht="21.95" customHeight="1" x14ac:dyDescent="0.15">
      <c r="A585" s="17"/>
      <c r="B585" s="37"/>
      <c r="C585" s="37"/>
      <c r="D585" s="37"/>
      <c r="E585" s="15"/>
      <c r="F585" s="85"/>
      <c r="G585" s="17"/>
      <c r="H585" s="38"/>
      <c r="I585" s="56"/>
    </row>
    <row r="586" spans="1:9" customFormat="1" ht="21.95" customHeight="1" x14ac:dyDescent="0.15">
      <c r="A586" s="17"/>
      <c r="B586" s="37"/>
      <c r="C586" s="37"/>
      <c r="D586" s="37"/>
      <c r="E586" s="15"/>
      <c r="F586" s="85"/>
      <c r="G586" s="17"/>
      <c r="H586" s="38"/>
      <c r="I586" s="56"/>
    </row>
    <row r="587" spans="1:9" customFormat="1" ht="32.1" customHeight="1" x14ac:dyDescent="0.15">
      <c r="A587" s="17"/>
      <c r="B587" s="37"/>
      <c r="C587" s="37"/>
      <c r="D587" s="37"/>
      <c r="E587" s="15"/>
      <c r="F587" s="85"/>
      <c r="G587" s="17"/>
      <c r="H587" s="38"/>
      <c r="I587" s="56"/>
    </row>
    <row r="588" spans="1:9" customFormat="1" ht="32.1" customHeight="1" x14ac:dyDescent="0.15">
      <c r="A588" s="17"/>
      <c r="B588" s="37"/>
      <c r="C588" s="37"/>
      <c r="D588" s="37"/>
      <c r="E588" s="15"/>
      <c r="F588" s="85"/>
      <c r="G588" s="17"/>
      <c r="H588" s="38"/>
      <c r="I588" s="56"/>
    </row>
    <row r="589" spans="1:9" customFormat="1" ht="32.1" customHeight="1" x14ac:dyDescent="0.15">
      <c r="A589" s="17"/>
      <c r="B589" s="37"/>
      <c r="C589" s="37"/>
      <c r="D589" s="37"/>
      <c r="E589" s="15"/>
      <c r="F589" s="85"/>
      <c r="G589" s="17"/>
      <c r="H589" s="38"/>
      <c r="I589" s="56"/>
    </row>
    <row r="590" spans="1:9" customFormat="1" ht="32.1" customHeight="1" x14ac:dyDescent="0.15">
      <c r="A590" s="17"/>
      <c r="B590" s="37"/>
      <c r="C590" s="37"/>
      <c r="D590" s="37"/>
      <c r="E590" s="15"/>
      <c r="F590" s="85"/>
      <c r="G590" s="17"/>
      <c r="H590" s="38"/>
      <c r="I590" s="56"/>
    </row>
    <row r="591" spans="1:9" customFormat="1" ht="32.1" customHeight="1" x14ac:dyDescent="0.15">
      <c r="A591" s="17"/>
      <c r="B591" s="37"/>
      <c r="C591" s="37"/>
      <c r="D591" s="37"/>
      <c r="E591" s="15"/>
      <c r="F591" s="85"/>
      <c r="G591" s="17"/>
      <c r="H591" s="38"/>
      <c r="I591" s="56"/>
    </row>
    <row r="592" spans="1:9" customFormat="1" ht="32.1" customHeight="1" x14ac:dyDescent="0.15">
      <c r="A592" s="17"/>
      <c r="B592" s="37"/>
      <c r="C592" s="37"/>
      <c r="D592" s="37"/>
      <c r="E592" s="15"/>
      <c r="F592" s="85"/>
      <c r="G592" s="17"/>
      <c r="H592" s="38"/>
      <c r="I592" s="56"/>
    </row>
    <row r="593" spans="1:9" ht="32.1" customHeight="1" x14ac:dyDescent="0.15">
      <c r="A593" s="17"/>
      <c r="B593" s="37"/>
      <c r="C593" s="37"/>
      <c r="D593" s="37"/>
      <c r="E593" s="15"/>
      <c r="F593" s="85"/>
      <c r="G593" s="17"/>
      <c r="H593" s="38"/>
      <c r="I593" s="37"/>
    </row>
    <row r="594" spans="1:9" ht="32.1" customHeight="1" x14ac:dyDescent="0.15">
      <c r="A594" s="17"/>
      <c r="B594" s="37"/>
      <c r="C594" s="37"/>
      <c r="D594" s="37"/>
      <c r="E594" s="15"/>
      <c r="F594" s="37"/>
      <c r="G594" s="17"/>
      <c r="H594" s="38"/>
      <c r="I594" s="37"/>
    </row>
    <row r="595" spans="1:9" ht="32.1" customHeight="1" x14ac:dyDescent="0.15">
      <c r="A595" s="17"/>
      <c r="B595" s="37"/>
      <c r="C595" s="37"/>
      <c r="D595" s="37"/>
      <c r="E595" s="15"/>
      <c r="F595" s="37"/>
      <c r="G595" s="17"/>
      <c r="H595" s="38"/>
      <c r="I595" s="37"/>
    </row>
    <row r="596" spans="1:9" ht="32.1" customHeight="1" x14ac:dyDescent="0.15">
      <c r="A596" s="17"/>
      <c r="B596" s="37"/>
      <c r="C596" s="37"/>
      <c r="D596" s="37"/>
      <c r="E596" s="15"/>
      <c r="F596" s="37"/>
      <c r="G596" s="17"/>
      <c r="H596" s="38"/>
      <c r="I596" s="37"/>
    </row>
    <row r="597" spans="1:9" ht="21.95" customHeight="1" x14ac:dyDescent="0.15">
      <c r="A597" s="17"/>
      <c r="B597" s="37"/>
      <c r="C597" s="37"/>
      <c r="D597" s="37"/>
      <c r="E597" s="15"/>
      <c r="F597" s="37"/>
      <c r="G597" s="17"/>
      <c r="H597" s="38"/>
      <c r="I597" s="37"/>
    </row>
    <row r="598" spans="1:9" ht="54" customHeight="1" x14ac:dyDescent="0.15">
      <c r="A598" s="17"/>
      <c r="B598" s="37"/>
      <c r="C598" s="37"/>
      <c r="D598" s="37"/>
      <c r="E598" s="15"/>
      <c r="F598" s="37"/>
      <c r="G598" s="17"/>
      <c r="H598" s="38"/>
      <c r="I598" s="37"/>
    </row>
    <row r="599" spans="1:9" ht="21.95" customHeight="1" x14ac:dyDescent="0.15">
      <c r="A599" s="17"/>
      <c r="B599" s="37"/>
      <c r="C599" s="37"/>
      <c r="D599" s="37"/>
      <c r="E599" s="15"/>
      <c r="F599" s="37"/>
      <c r="G599" s="17"/>
      <c r="H599" s="38"/>
      <c r="I599" s="37"/>
    </row>
    <row r="600" spans="1:9" ht="21.95" customHeight="1" x14ac:dyDescent="0.15">
      <c r="A600" s="17"/>
      <c r="B600" s="37"/>
      <c r="C600" s="37"/>
      <c r="D600" s="37"/>
      <c r="E600" s="15"/>
      <c r="F600" s="37"/>
      <c r="G600" s="17"/>
      <c r="H600" s="38"/>
      <c r="I600" s="37"/>
    </row>
    <row r="601" spans="1:9" ht="21.95" customHeight="1" x14ac:dyDescent="0.15">
      <c r="A601" s="17"/>
      <c r="B601" s="37"/>
      <c r="C601" s="37"/>
      <c r="D601" s="37"/>
      <c r="E601" s="15"/>
      <c r="F601" s="37"/>
      <c r="G601" s="17"/>
      <c r="H601" s="38"/>
      <c r="I601" s="37"/>
    </row>
    <row r="602" spans="1:9" ht="21.95" customHeight="1" x14ac:dyDescent="0.15">
      <c r="A602" s="17"/>
      <c r="B602" s="37"/>
      <c r="C602" s="37"/>
      <c r="D602" s="37"/>
      <c r="E602" s="15"/>
      <c r="F602" s="37"/>
      <c r="G602" s="17"/>
      <c r="H602" s="38"/>
      <c r="I602" s="37"/>
    </row>
    <row r="603" spans="1:9" ht="21.95" customHeight="1" x14ac:dyDescent="0.15">
      <c r="A603" s="17"/>
      <c r="B603" s="37"/>
      <c r="C603" s="37"/>
      <c r="E603" s="15"/>
      <c r="G603" s="17"/>
      <c r="H603" s="38"/>
    </row>
    <row r="604" spans="1:9" ht="21.95" customHeight="1" x14ac:dyDescent="0.15">
      <c r="A604" s="17"/>
      <c r="B604" s="37"/>
      <c r="C604" s="37"/>
      <c r="E604" s="15"/>
      <c r="G604" s="17"/>
      <c r="H604" s="38"/>
    </row>
    <row r="605" spans="1:9" ht="21.95" customHeight="1" x14ac:dyDescent="0.15">
      <c r="A605" s="17"/>
      <c r="B605" s="37"/>
      <c r="C605" s="37"/>
      <c r="E605" s="15"/>
      <c r="F605" s="37"/>
      <c r="G605" s="13"/>
      <c r="H605" s="38"/>
    </row>
    <row r="606" spans="1:9" ht="21.95" customHeight="1" x14ac:dyDescent="0.15">
      <c r="A606" s="17"/>
      <c r="B606" s="37"/>
      <c r="C606" s="37"/>
      <c r="E606" s="15"/>
      <c r="F606" s="37"/>
      <c r="G606" s="13"/>
      <c r="H606" s="38"/>
    </row>
    <row r="607" spans="1:9" ht="21.95" customHeight="1" x14ac:dyDescent="0.15">
      <c r="A607" s="17"/>
      <c r="B607" s="37"/>
      <c r="C607" s="37"/>
      <c r="D607" s="37"/>
      <c r="E607" s="15"/>
      <c r="F607" s="37"/>
      <c r="G607" s="13"/>
      <c r="H607" s="38"/>
    </row>
    <row r="608" spans="1:9" ht="21.95" customHeight="1" x14ac:dyDescent="0.15">
      <c r="A608" s="17"/>
      <c r="B608" s="37"/>
      <c r="C608" s="37"/>
      <c r="D608" s="37"/>
      <c r="E608" s="15"/>
      <c r="F608" s="37"/>
      <c r="G608" s="13"/>
      <c r="H608" s="38"/>
    </row>
    <row r="609" spans="1:8" ht="21.95" customHeight="1" x14ac:dyDescent="0.15">
      <c r="A609" s="17"/>
      <c r="B609" s="37"/>
      <c r="C609" s="37"/>
      <c r="D609" s="37"/>
      <c r="E609" s="15"/>
      <c r="F609" s="37"/>
      <c r="G609" s="13"/>
      <c r="H609" s="38"/>
    </row>
    <row r="610" spans="1:8" ht="21.95" customHeight="1" x14ac:dyDescent="0.15">
      <c r="A610" s="17"/>
      <c r="B610" s="37"/>
      <c r="C610" s="37"/>
      <c r="D610" s="37"/>
      <c r="E610" s="15"/>
      <c r="F610" s="37"/>
      <c r="G610" s="13"/>
      <c r="H610" s="38"/>
    </row>
    <row r="611" spans="1:8" ht="21.95" customHeight="1" x14ac:dyDescent="0.15">
      <c r="A611" s="17"/>
      <c r="B611" s="37"/>
      <c r="C611" s="37"/>
      <c r="D611" s="37"/>
      <c r="E611" s="15"/>
      <c r="F611" s="37"/>
      <c r="G611" s="13"/>
      <c r="H611" s="38"/>
    </row>
    <row r="612" spans="1:8" ht="21.95" customHeight="1" x14ac:dyDescent="0.15">
      <c r="A612" s="17"/>
      <c r="B612" s="37"/>
      <c r="C612" s="37"/>
      <c r="D612" s="37"/>
      <c r="E612" s="15"/>
      <c r="F612" s="37"/>
      <c r="G612" s="13"/>
      <c r="H612" s="38"/>
    </row>
    <row r="613" spans="1:8" ht="21.95" customHeight="1" x14ac:dyDescent="0.15">
      <c r="A613" s="17"/>
      <c r="B613" s="37"/>
      <c r="C613" s="37"/>
      <c r="D613" s="37"/>
      <c r="E613" s="15"/>
      <c r="F613" s="37"/>
      <c r="G613" s="13"/>
      <c r="H613" s="38"/>
    </row>
    <row r="614" spans="1:8" ht="21.95" customHeight="1" x14ac:dyDescent="0.15">
      <c r="A614" s="17"/>
      <c r="B614" s="37"/>
      <c r="C614" s="37"/>
      <c r="D614" s="37"/>
      <c r="E614" s="15"/>
      <c r="F614" s="37"/>
      <c r="G614" s="13"/>
      <c r="H614" s="38"/>
    </row>
    <row r="615" spans="1:8" ht="21.95" customHeight="1" x14ac:dyDescent="0.15">
      <c r="A615" s="17"/>
      <c r="B615" s="37"/>
      <c r="C615" s="37"/>
      <c r="D615" s="37"/>
      <c r="E615" s="15"/>
      <c r="F615" s="37"/>
      <c r="G615" s="13"/>
      <c r="H615" s="38"/>
    </row>
    <row r="616" spans="1:8" ht="21.95" customHeight="1" x14ac:dyDescent="0.15">
      <c r="A616" s="17"/>
      <c r="B616" s="37"/>
      <c r="C616" s="37"/>
      <c r="D616" s="37"/>
      <c r="E616" s="15"/>
      <c r="F616" s="37"/>
      <c r="G616" s="13"/>
      <c r="H616" s="15"/>
    </row>
    <row r="617" spans="1:8" ht="21.95" customHeight="1" x14ac:dyDescent="0.15">
      <c r="A617" s="17"/>
      <c r="B617" s="37"/>
      <c r="C617" s="37"/>
      <c r="D617" s="37"/>
      <c r="E617" s="15"/>
      <c r="F617" s="37"/>
      <c r="G617" s="13"/>
      <c r="H617" s="15"/>
    </row>
    <row r="618" spans="1:8" ht="21.95" customHeight="1" x14ac:dyDescent="0.15">
      <c r="A618" s="17"/>
      <c r="B618" s="37"/>
      <c r="C618" s="37"/>
      <c r="D618" s="37"/>
      <c r="E618" s="15"/>
      <c r="F618" s="37"/>
      <c r="G618" s="13"/>
      <c r="H618" s="15"/>
    </row>
    <row r="619" spans="1:8" ht="21.95" customHeight="1" x14ac:dyDescent="0.15">
      <c r="A619" s="17"/>
      <c r="B619" s="37"/>
      <c r="C619" s="37"/>
      <c r="D619" s="37"/>
      <c r="E619" s="15"/>
      <c r="F619" s="37"/>
      <c r="G619" s="13"/>
      <c r="H619" s="15"/>
    </row>
    <row r="620" spans="1:8" ht="21.95" customHeight="1" x14ac:dyDescent="0.15">
      <c r="A620" s="17"/>
      <c r="B620" s="37"/>
      <c r="C620" s="37"/>
      <c r="D620" s="37"/>
      <c r="E620" s="15"/>
      <c r="F620" s="37"/>
      <c r="G620" s="13"/>
      <c r="H620" s="15"/>
    </row>
    <row r="621" spans="1:8" ht="21.95" customHeight="1" x14ac:dyDescent="0.15">
      <c r="A621" s="17"/>
      <c r="B621" s="37"/>
      <c r="C621" s="37"/>
      <c r="D621" s="37"/>
      <c r="E621" s="15"/>
      <c r="F621" s="37"/>
      <c r="G621" s="13"/>
      <c r="H621" s="15"/>
    </row>
    <row r="622" spans="1:8" ht="21.95" customHeight="1" x14ac:dyDescent="0.15">
      <c r="A622" s="17"/>
      <c r="B622" s="37"/>
      <c r="C622" s="37"/>
      <c r="D622" s="37"/>
      <c r="E622" s="15"/>
      <c r="F622" s="37"/>
      <c r="G622" s="13"/>
      <c r="H622" s="15"/>
    </row>
    <row r="623" spans="1:8" ht="21.95" customHeight="1" x14ac:dyDescent="0.15">
      <c r="A623" s="17"/>
      <c r="B623" s="37"/>
      <c r="C623" s="37"/>
      <c r="D623" s="37"/>
      <c r="E623" s="15"/>
      <c r="F623" s="37"/>
      <c r="G623" s="13"/>
      <c r="H623" s="15"/>
    </row>
    <row r="624" spans="1:8" ht="21.95" customHeight="1" x14ac:dyDescent="0.15">
      <c r="A624" s="17"/>
      <c r="B624" s="37"/>
      <c r="C624" s="37"/>
      <c r="D624" s="37"/>
      <c r="E624" s="15"/>
      <c r="F624" s="37"/>
      <c r="G624" s="13"/>
      <c r="H624" s="15"/>
    </row>
    <row r="625" spans="1:8" ht="21.95" customHeight="1" x14ac:dyDescent="0.15">
      <c r="A625" s="17"/>
      <c r="B625" s="37"/>
      <c r="C625" s="37"/>
      <c r="D625" s="37"/>
      <c r="E625" s="15"/>
      <c r="F625" s="37"/>
      <c r="G625" s="13"/>
      <c r="H625" s="15"/>
    </row>
    <row r="626" spans="1:8" ht="21.95" customHeight="1" x14ac:dyDescent="0.15">
      <c r="A626" s="17"/>
      <c r="B626" s="37"/>
      <c r="C626" s="37"/>
      <c r="D626" s="37"/>
      <c r="E626" s="15"/>
      <c r="F626" s="37"/>
      <c r="G626" s="13"/>
      <c r="H626" s="15"/>
    </row>
    <row r="627" spans="1:8" ht="21.95" customHeight="1" x14ac:dyDescent="0.15">
      <c r="A627" s="17"/>
      <c r="B627" s="37"/>
      <c r="C627" s="37"/>
      <c r="D627" s="37"/>
      <c r="E627" s="15"/>
      <c r="F627" s="37"/>
      <c r="G627" s="13"/>
      <c r="H627" s="15"/>
    </row>
    <row r="628" spans="1:8" ht="21.95" customHeight="1" x14ac:dyDescent="0.15">
      <c r="A628" s="17"/>
      <c r="B628" s="37"/>
      <c r="C628" s="37"/>
      <c r="D628" s="37"/>
      <c r="E628" s="15"/>
      <c r="F628" s="37"/>
      <c r="G628" s="13"/>
      <c r="H628" s="15"/>
    </row>
    <row r="629" spans="1:8" ht="21.95" customHeight="1" x14ac:dyDescent="0.15">
      <c r="A629" s="17"/>
      <c r="B629" s="37"/>
      <c r="C629" s="37"/>
      <c r="D629" s="37"/>
      <c r="E629" s="15"/>
      <c r="F629" s="37"/>
      <c r="G629" s="13"/>
      <c r="H629" s="15"/>
    </row>
    <row r="630" spans="1:8" ht="21.95" customHeight="1" x14ac:dyDescent="0.15">
      <c r="A630" s="17"/>
      <c r="B630" s="37"/>
      <c r="C630" s="37"/>
      <c r="D630" s="37"/>
      <c r="E630" s="15"/>
      <c r="F630" s="37"/>
      <c r="G630" s="13"/>
      <c r="H630" s="15"/>
    </row>
    <row r="631" spans="1:8" ht="21.95" customHeight="1" x14ac:dyDescent="0.15">
      <c r="A631" s="17"/>
      <c r="B631" s="37"/>
      <c r="C631" s="37"/>
      <c r="D631" s="37"/>
      <c r="E631" s="15"/>
      <c r="F631" s="37"/>
      <c r="G631" s="13"/>
      <c r="H631" s="15"/>
    </row>
    <row r="632" spans="1:8" ht="21.95" customHeight="1" x14ac:dyDescent="0.15">
      <c r="A632" s="17"/>
      <c r="B632" s="37"/>
      <c r="C632" s="37"/>
      <c r="D632" s="37"/>
      <c r="E632" s="15"/>
      <c r="F632" s="37"/>
      <c r="G632" s="13"/>
      <c r="H632" s="15"/>
    </row>
    <row r="633" spans="1:8" ht="21.95" customHeight="1" x14ac:dyDescent="0.15">
      <c r="A633" s="17"/>
      <c r="B633" s="37"/>
      <c r="C633" s="37"/>
      <c r="D633" s="37"/>
      <c r="E633" s="15"/>
      <c r="F633" s="37"/>
      <c r="G633" s="13"/>
      <c r="H633" s="15"/>
    </row>
    <row r="634" spans="1:8" ht="21.95" customHeight="1" x14ac:dyDescent="0.15">
      <c r="A634" s="17"/>
      <c r="B634" s="37"/>
      <c r="C634" s="37"/>
      <c r="D634" s="37"/>
      <c r="E634" s="15"/>
      <c r="F634" s="37"/>
      <c r="G634" s="37"/>
      <c r="H634" s="15"/>
    </row>
    <row r="635" spans="1:8" ht="21.95" customHeight="1" x14ac:dyDescent="0.15">
      <c r="A635" s="17"/>
      <c r="B635" s="37"/>
      <c r="C635" s="37"/>
      <c r="D635" s="37"/>
      <c r="E635" s="15"/>
      <c r="F635" s="37"/>
      <c r="G635" s="13"/>
      <c r="H635" s="15"/>
    </row>
    <row r="636" spans="1:8" ht="21.95" customHeight="1" x14ac:dyDescent="0.15">
      <c r="A636" s="17"/>
      <c r="B636" s="37"/>
      <c r="C636" s="37"/>
      <c r="D636" s="37"/>
      <c r="E636" s="15"/>
      <c r="F636" s="37"/>
      <c r="G636" s="13"/>
      <c r="H636" s="15"/>
    </row>
    <row r="637" spans="1:8" ht="21.95" customHeight="1" x14ac:dyDescent="0.15">
      <c r="A637" s="17"/>
      <c r="B637" s="37"/>
      <c r="C637" s="37"/>
      <c r="D637" s="37"/>
      <c r="E637" s="15"/>
      <c r="F637" s="37"/>
      <c r="G637" s="13"/>
      <c r="H637" s="15"/>
    </row>
    <row r="638" spans="1:8" ht="21.95" customHeight="1" x14ac:dyDescent="0.15">
      <c r="A638" s="17"/>
      <c r="B638" s="37"/>
      <c r="C638" s="37"/>
      <c r="D638" s="37"/>
      <c r="E638" s="15"/>
      <c r="F638" s="37"/>
      <c r="G638" s="13"/>
      <c r="H638" s="15"/>
    </row>
    <row r="639" spans="1:8" ht="21.95" customHeight="1" x14ac:dyDescent="0.15">
      <c r="A639" s="17"/>
      <c r="B639" s="37"/>
      <c r="C639" s="37"/>
      <c r="D639" s="37"/>
      <c r="E639" s="15"/>
      <c r="F639" s="37"/>
      <c r="G639" s="13"/>
      <c r="H639" s="15"/>
    </row>
    <row r="640" spans="1:8" ht="21.95" customHeight="1" x14ac:dyDescent="0.15">
      <c r="A640" s="17"/>
      <c r="B640" s="37"/>
      <c r="C640" s="37"/>
      <c r="D640" s="37"/>
      <c r="E640" s="15"/>
      <c r="F640" s="37"/>
      <c r="G640" s="13"/>
      <c r="H640" s="15"/>
    </row>
    <row r="641" spans="1:9" ht="21.95" customHeight="1" x14ac:dyDescent="0.15">
      <c r="A641" s="17"/>
      <c r="B641" s="37"/>
      <c r="C641" s="37"/>
      <c r="D641" s="37"/>
      <c r="E641" s="15"/>
      <c r="F641" s="37"/>
      <c r="G641" s="13"/>
      <c r="H641" s="15"/>
    </row>
    <row r="642" spans="1:9" ht="21.95" customHeight="1" x14ac:dyDescent="0.15">
      <c r="A642" s="17"/>
      <c r="B642" s="37"/>
      <c r="C642" s="37"/>
      <c r="D642" s="37"/>
      <c r="E642" s="15"/>
      <c r="F642" s="37"/>
      <c r="G642" s="13"/>
      <c r="H642" s="15"/>
    </row>
    <row r="643" spans="1:9" ht="21.95" customHeight="1" x14ac:dyDescent="0.15">
      <c r="A643" s="17"/>
      <c r="B643" s="37"/>
      <c r="C643" s="37"/>
      <c r="D643" s="37"/>
      <c r="E643" s="15"/>
      <c r="F643" s="37"/>
      <c r="G643" s="13"/>
      <c r="H643" s="15"/>
    </row>
    <row r="644" spans="1:9" ht="21.95" customHeight="1" x14ac:dyDescent="0.15">
      <c r="A644" s="17"/>
      <c r="B644" s="37"/>
      <c r="C644" s="37"/>
      <c r="D644" s="37"/>
      <c r="E644" s="15"/>
      <c r="F644" s="37"/>
      <c r="G644" s="13"/>
      <c r="H644" s="15"/>
    </row>
    <row r="645" spans="1:9" ht="21.95" customHeight="1" x14ac:dyDescent="0.15">
      <c r="A645" s="17"/>
      <c r="B645" s="37"/>
      <c r="C645" s="37"/>
      <c r="D645" s="37"/>
      <c r="E645" s="15"/>
      <c r="F645" s="37"/>
      <c r="G645" s="13"/>
      <c r="H645" s="15"/>
    </row>
    <row r="646" spans="1:9" ht="21.95" customHeight="1" x14ac:dyDescent="0.15">
      <c r="A646" s="17"/>
      <c r="B646" s="37"/>
      <c r="C646" s="37"/>
      <c r="D646" s="37"/>
      <c r="E646" s="15"/>
      <c r="F646" s="37"/>
      <c r="G646" s="13"/>
      <c r="H646" s="15"/>
    </row>
    <row r="647" spans="1:9" ht="21.95" customHeight="1" x14ac:dyDescent="0.15">
      <c r="A647" s="17"/>
      <c r="B647" s="37"/>
      <c r="C647" s="37"/>
      <c r="D647" s="37"/>
      <c r="E647" s="15"/>
      <c r="F647" s="37"/>
      <c r="G647" s="13"/>
      <c r="H647" s="38"/>
      <c r="I647" s="84"/>
    </row>
    <row r="648" spans="1:9" ht="21.95" customHeight="1" x14ac:dyDescent="0.15">
      <c r="A648" s="17"/>
      <c r="B648" s="37"/>
      <c r="C648" s="37"/>
      <c r="D648" s="37"/>
      <c r="E648" s="15"/>
      <c r="F648" s="37"/>
      <c r="G648" s="13"/>
      <c r="H648" s="15"/>
      <c r="I648" s="84"/>
    </row>
    <row r="649" spans="1:9" ht="35.1" customHeight="1" x14ac:dyDescent="0.15">
      <c r="A649" s="17"/>
      <c r="B649" s="37"/>
      <c r="C649" s="37"/>
      <c r="D649" s="37"/>
      <c r="E649" s="15"/>
      <c r="F649" s="15"/>
      <c r="G649" s="37"/>
      <c r="H649" s="15"/>
    </row>
    <row r="650" spans="1:9" ht="21.95" customHeight="1" x14ac:dyDescent="0.15">
      <c r="A650" s="17"/>
      <c r="B650" s="37"/>
      <c r="C650" s="37"/>
      <c r="D650" s="37"/>
      <c r="E650" s="15"/>
      <c r="F650" s="37"/>
      <c r="G650" s="13"/>
      <c r="H650" s="15"/>
    </row>
    <row r="651" spans="1:9" ht="21.95" customHeight="1" x14ac:dyDescent="0.15">
      <c r="A651" s="17"/>
      <c r="B651" s="37"/>
      <c r="C651" s="37"/>
      <c r="D651" s="37"/>
      <c r="E651" s="15"/>
      <c r="F651" s="37"/>
      <c r="G651" s="13"/>
      <c r="H651" s="15"/>
    </row>
    <row r="652" spans="1:9" ht="21.95" customHeight="1" x14ac:dyDescent="0.15">
      <c r="A652" s="17"/>
      <c r="B652" s="37"/>
      <c r="C652" s="37"/>
      <c r="D652" s="37"/>
      <c r="E652" s="15"/>
      <c r="F652" s="37"/>
      <c r="G652" s="13"/>
      <c r="H652" s="15"/>
    </row>
    <row r="653" spans="1:9" ht="21.95" customHeight="1" x14ac:dyDescent="0.15">
      <c r="A653" s="17"/>
      <c r="B653" s="37"/>
      <c r="C653" s="37"/>
      <c r="D653" s="37"/>
      <c r="E653" s="15"/>
      <c r="F653" s="37"/>
      <c r="G653" s="13"/>
      <c r="H653" s="15"/>
    </row>
    <row r="654" spans="1:9" ht="21.95" customHeight="1" x14ac:dyDescent="0.15">
      <c r="A654" s="17"/>
      <c r="B654" s="37"/>
      <c r="C654" s="37"/>
      <c r="D654" s="37"/>
      <c r="E654" s="15"/>
      <c r="F654" s="37"/>
      <c r="G654" s="13"/>
      <c r="H654" s="15"/>
    </row>
    <row r="655" spans="1:9" ht="21.95" customHeight="1" x14ac:dyDescent="0.15">
      <c r="A655" s="17"/>
      <c r="B655" s="37"/>
      <c r="C655" s="37"/>
      <c r="D655" s="37"/>
      <c r="E655" s="15"/>
      <c r="F655" s="37"/>
      <c r="G655" s="13"/>
      <c r="H655" s="15"/>
      <c r="I655" s="37"/>
    </row>
    <row r="656" spans="1:9" ht="21.95" customHeight="1" x14ac:dyDescent="0.15">
      <c r="A656" s="17"/>
      <c r="B656" s="37"/>
      <c r="C656" s="37"/>
      <c r="D656" s="37"/>
      <c r="E656" s="15"/>
      <c r="F656" s="37"/>
      <c r="G656" s="37"/>
      <c r="H656" s="15"/>
      <c r="I656" s="37"/>
    </row>
    <row r="657" spans="1:9" ht="21.95" customHeight="1" x14ac:dyDescent="0.15">
      <c r="A657" s="17"/>
      <c r="B657" s="37"/>
      <c r="C657" s="37"/>
      <c r="D657" s="37"/>
      <c r="E657" s="15"/>
      <c r="F657" s="37"/>
      <c r="G657" s="37"/>
      <c r="H657" s="38"/>
      <c r="I657" s="37"/>
    </row>
    <row r="658" spans="1:9" ht="21.95" customHeight="1" x14ac:dyDescent="0.15">
      <c r="A658" s="17"/>
      <c r="B658" s="37"/>
      <c r="C658" s="37"/>
      <c r="D658" s="37"/>
      <c r="E658" s="15"/>
      <c r="F658" s="37"/>
      <c r="G658" s="37"/>
      <c r="H658" s="38"/>
      <c r="I658" s="37"/>
    </row>
    <row r="659" spans="1:9" ht="21.95" customHeight="1" x14ac:dyDescent="0.15">
      <c r="A659" s="17"/>
      <c r="B659" s="37"/>
      <c r="C659" s="37"/>
      <c r="D659" s="37"/>
      <c r="E659" s="15"/>
      <c r="F659" s="37"/>
      <c r="G659" s="13"/>
      <c r="H659" s="15"/>
      <c r="I659" s="37"/>
    </row>
    <row r="660" spans="1:9" ht="21.95" customHeight="1" x14ac:dyDescent="0.15">
      <c r="A660" s="17"/>
      <c r="B660" s="37"/>
      <c r="C660" s="37"/>
      <c r="D660" s="37"/>
      <c r="E660" s="15"/>
      <c r="F660" s="37"/>
      <c r="G660" s="13"/>
      <c r="H660" s="15"/>
      <c r="I660" s="37"/>
    </row>
    <row r="661" spans="1:9" ht="21.95" customHeight="1" x14ac:dyDescent="0.15">
      <c r="A661" s="17"/>
      <c r="B661" s="37"/>
      <c r="C661" s="37"/>
      <c r="D661" s="37"/>
      <c r="E661" s="15"/>
      <c r="F661" s="37"/>
      <c r="G661" s="13"/>
      <c r="H661" s="15"/>
      <c r="I661" s="37"/>
    </row>
    <row r="662" spans="1:9" ht="21.95" customHeight="1" x14ac:dyDescent="0.15">
      <c r="A662" s="17"/>
      <c r="B662" s="37"/>
      <c r="C662" s="37"/>
      <c r="E662" s="15"/>
      <c r="F662" s="37"/>
      <c r="H662" s="38"/>
    </row>
    <row r="663" spans="1:9" ht="21.95" customHeight="1" x14ac:dyDescent="0.15">
      <c r="A663" s="17"/>
      <c r="B663" s="37"/>
      <c r="C663" s="37"/>
      <c r="E663" s="15"/>
      <c r="F663" s="37"/>
    </row>
    <row r="664" spans="1:9" ht="21.95" customHeight="1" x14ac:dyDescent="0.15">
      <c r="A664" s="17"/>
      <c r="B664" s="37"/>
      <c r="C664" s="37"/>
      <c r="E664" s="15"/>
      <c r="G664" s="77"/>
    </row>
    <row r="665" spans="1:9" ht="21.95" customHeight="1" x14ac:dyDescent="0.15">
      <c r="A665" s="17"/>
      <c r="B665" s="37"/>
      <c r="C665" s="37"/>
      <c r="D665" s="37"/>
      <c r="E665" s="15"/>
      <c r="F665" s="37"/>
      <c r="G665" s="37"/>
      <c r="H665" s="15"/>
    </row>
    <row r="666" spans="1:9" ht="21.95" customHeight="1" x14ac:dyDescent="0.15">
      <c r="A666" s="17"/>
      <c r="B666" s="37"/>
      <c r="C666" s="37"/>
      <c r="D666" s="37"/>
      <c r="E666" s="15"/>
      <c r="F666" s="37"/>
      <c r="G666" s="13"/>
      <c r="H666" s="15"/>
    </row>
    <row r="667" spans="1:9" ht="21.95" customHeight="1" x14ac:dyDescent="0.15">
      <c r="A667" s="17"/>
      <c r="B667" s="37"/>
      <c r="C667" s="37"/>
      <c r="D667" s="37"/>
      <c r="E667" s="15"/>
      <c r="F667" s="37"/>
      <c r="G667" s="13"/>
      <c r="H667" s="15"/>
    </row>
    <row r="668" spans="1:9" ht="21.95" customHeight="1" x14ac:dyDescent="0.15">
      <c r="A668" s="17"/>
      <c r="C668" s="37"/>
    </row>
    <row r="669" spans="1:9" ht="21.95" customHeight="1" x14ac:dyDescent="0.15">
      <c r="A669" s="17"/>
      <c r="B669" s="37"/>
      <c r="C669" s="37"/>
      <c r="D669" s="13"/>
      <c r="E669" s="15"/>
      <c r="F669" s="37"/>
      <c r="G669" s="13"/>
      <c r="H669" s="15"/>
      <c r="I669" s="13"/>
    </row>
    <row r="670" spans="1:9" ht="21.95" customHeight="1" x14ac:dyDescent="0.15">
      <c r="A670" s="17"/>
      <c r="B670" s="13"/>
      <c r="C670" s="13"/>
      <c r="D670" s="13"/>
      <c r="E670" s="15"/>
      <c r="F670" s="37"/>
      <c r="G670" s="13"/>
      <c r="H670" s="15"/>
      <c r="I670" s="13"/>
    </row>
    <row r="671" spans="1:9" ht="21.95" customHeight="1" x14ac:dyDescent="0.15">
      <c r="A671" s="17"/>
      <c r="B671" s="13"/>
      <c r="C671" s="13"/>
      <c r="D671" s="13"/>
      <c r="E671" s="15"/>
      <c r="F671" s="37"/>
      <c r="G671" s="13"/>
      <c r="H671" s="15"/>
      <c r="I671" s="13"/>
    </row>
    <row r="672" spans="1:9" ht="21.95" customHeight="1" x14ac:dyDescent="0.15">
      <c r="A672" s="17"/>
      <c r="B672" s="13"/>
      <c r="C672" s="13"/>
      <c r="D672" s="13"/>
      <c r="E672" s="15"/>
      <c r="F672" s="37"/>
      <c r="G672" s="13"/>
      <c r="H672" s="15"/>
      <c r="I672" s="13"/>
    </row>
    <row r="673" spans="1:9" customFormat="1" ht="21.95" customHeight="1" x14ac:dyDescent="0.15">
      <c r="A673" s="17"/>
      <c r="B673" s="40"/>
      <c r="C673" s="40"/>
      <c r="D673" s="40"/>
      <c r="E673" s="38"/>
      <c r="F673" s="85"/>
      <c r="G673" s="40"/>
      <c r="H673" s="38"/>
      <c r="I673" s="40"/>
    </row>
    <row r="674" spans="1:9" customFormat="1" ht="21.95" customHeight="1" x14ac:dyDescent="0.15">
      <c r="A674" s="17"/>
      <c r="B674" s="37"/>
      <c r="C674" s="37"/>
      <c r="D674" s="40"/>
      <c r="E674" s="15"/>
      <c r="F674" s="85"/>
      <c r="G674" s="42"/>
      <c r="H674" s="38"/>
      <c r="I674" s="56"/>
    </row>
    <row r="675" spans="1:9" customFormat="1" ht="21.95" customHeight="1" x14ac:dyDescent="0.15">
      <c r="A675" s="17"/>
      <c r="B675" s="37"/>
      <c r="C675" s="95"/>
      <c r="D675" s="40"/>
      <c r="E675" s="15"/>
      <c r="F675" s="85"/>
      <c r="G675" s="42"/>
      <c r="H675" s="38"/>
      <c r="I675" s="56"/>
    </row>
    <row r="676" spans="1:9" customFormat="1" ht="21.95" customHeight="1" x14ac:dyDescent="0.15">
      <c r="A676" s="17"/>
      <c r="B676" s="37"/>
      <c r="C676" s="95"/>
      <c r="D676" s="40"/>
      <c r="E676" s="15"/>
      <c r="F676" s="85"/>
      <c r="G676" s="17"/>
      <c r="H676" s="38"/>
      <c r="I676" s="56"/>
    </row>
    <row r="677" spans="1:9" customFormat="1" ht="21.95" customHeight="1" x14ac:dyDescent="0.15">
      <c r="A677" s="17"/>
      <c r="B677" s="37"/>
      <c r="C677" s="37"/>
      <c r="D677" s="40"/>
      <c r="E677" s="15"/>
      <c r="F677" s="85"/>
      <c r="G677" s="42"/>
      <c r="H677" s="38"/>
      <c r="I677" s="56"/>
    </row>
    <row r="678" spans="1:9" customFormat="1" ht="21.95" customHeight="1" x14ac:dyDescent="0.15">
      <c r="A678" s="17"/>
      <c r="B678" s="37"/>
      <c r="C678" s="37"/>
      <c r="D678" s="40"/>
      <c r="E678" s="15"/>
      <c r="F678" s="85"/>
      <c r="G678" s="17"/>
      <c r="H678" s="38"/>
      <c r="I678" s="56"/>
    </row>
    <row r="679" spans="1:9" customFormat="1" ht="21.95" customHeight="1" x14ac:dyDescent="0.15">
      <c r="A679" s="17"/>
      <c r="B679" s="37"/>
      <c r="C679" s="37"/>
      <c r="D679" s="40"/>
      <c r="E679" s="15"/>
      <c r="F679" s="85"/>
      <c r="G679" s="42"/>
      <c r="H679" s="38"/>
      <c r="I679" s="56"/>
    </row>
    <row r="680" spans="1:9" customFormat="1" ht="21.95" customHeight="1" x14ac:dyDescent="0.15">
      <c r="A680" s="17"/>
      <c r="B680" s="37"/>
      <c r="C680" s="37"/>
      <c r="D680" s="40"/>
      <c r="E680" s="15"/>
      <c r="F680" s="85"/>
      <c r="G680" s="17"/>
      <c r="H680" s="38"/>
      <c r="I680" s="56"/>
    </row>
    <row r="681" spans="1:9" customFormat="1" ht="21.95" customHeight="1" x14ac:dyDescent="0.15">
      <c r="A681" s="17"/>
      <c r="B681" s="37"/>
      <c r="C681" s="37"/>
      <c r="D681" s="40"/>
      <c r="E681" s="15"/>
      <c r="F681" s="85"/>
      <c r="G681" s="42"/>
      <c r="H681" s="38"/>
      <c r="I681" s="56"/>
    </row>
    <row r="682" spans="1:9" customFormat="1" ht="21.95" customHeight="1" x14ac:dyDescent="0.15">
      <c r="A682" s="17"/>
      <c r="B682" s="37"/>
      <c r="C682" s="37"/>
      <c r="D682" s="40"/>
      <c r="E682" s="15"/>
      <c r="F682" s="85"/>
      <c r="G682" s="17"/>
      <c r="H682" s="38"/>
      <c r="I682" s="56"/>
    </row>
    <row r="683" spans="1:9" customFormat="1" ht="21.95" customHeight="1" x14ac:dyDescent="0.15">
      <c r="A683" s="17"/>
      <c r="B683" s="37"/>
      <c r="C683" s="37"/>
      <c r="D683" s="40"/>
      <c r="E683" s="15"/>
      <c r="F683" s="85"/>
      <c r="G683" s="42"/>
      <c r="H683" s="38"/>
      <c r="I683" s="56"/>
    </row>
    <row r="684" spans="1:9" ht="21.95" customHeight="1" x14ac:dyDescent="0.15">
      <c r="A684" s="17"/>
      <c r="B684" s="37"/>
      <c r="C684" s="37"/>
      <c r="D684" s="37"/>
      <c r="E684" s="15"/>
      <c r="F684" s="85"/>
      <c r="G684" s="17"/>
      <c r="H684" s="38"/>
    </row>
    <row r="685" spans="1:9" ht="21.95" customHeight="1" x14ac:dyDescent="0.15">
      <c r="A685" s="17"/>
      <c r="B685" s="37"/>
      <c r="C685" s="37"/>
      <c r="D685" s="37"/>
      <c r="E685" s="15"/>
      <c r="F685" s="85"/>
      <c r="H685" s="38"/>
    </row>
    <row r="686" spans="1:9" ht="21.95" customHeight="1" x14ac:dyDescent="0.15">
      <c r="A686" s="17"/>
      <c r="B686" s="37"/>
      <c r="C686" s="37"/>
      <c r="D686" s="37"/>
      <c r="E686" s="15"/>
      <c r="F686" s="85"/>
      <c r="H686" s="38"/>
    </row>
    <row r="687" spans="1:9" ht="21.95" customHeight="1" x14ac:dyDescent="0.15">
      <c r="A687" s="17"/>
      <c r="B687" s="37"/>
      <c r="C687" s="37"/>
      <c r="D687" s="37"/>
      <c r="E687" s="15"/>
      <c r="F687" s="85"/>
      <c r="G687" s="17"/>
      <c r="H687" s="38"/>
    </row>
    <row r="688" spans="1:9" customFormat="1" ht="21.95" customHeight="1" x14ac:dyDescent="0.15">
      <c r="A688" s="17"/>
      <c r="B688" s="37"/>
      <c r="C688" s="37"/>
      <c r="D688" s="37"/>
      <c r="E688" s="15"/>
      <c r="F688" s="85"/>
      <c r="G688" s="17"/>
      <c r="H688" s="38"/>
      <c r="I688" s="42"/>
    </row>
    <row r="689" spans="1:9" customFormat="1" ht="21.95" customHeight="1" x14ac:dyDescent="0.15">
      <c r="A689" s="17"/>
      <c r="B689" s="37"/>
      <c r="C689" s="37"/>
      <c r="D689" s="37"/>
      <c r="E689" s="15"/>
      <c r="F689" s="85"/>
      <c r="G689" s="17"/>
      <c r="H689" s="38"/>
      <c r="I689" s="42"/>
    </row>
    <row r="690" spans="1:9" customFormat="1" ht="21.95" customHeight="1" x14ac:dyDescent="0.15">
      <c r="A690" s="17"/>
      <c r="B690" s="37"/>
      <c r="C690" s="37"/>
      <c r="D690" s="37"/>
      <c r="E690" s="15"/>
      <c r="F690" s="85"/>
      <c r="G690" s="17"/>
      <c r="H690" s="38"/>
      <c r="I690" s="42"/>
    </row>
    <row r="691" spans="1:9" customFormat="1" ht="21.95" customHeight="1" x14ac:dyDescent="0.15">
      <c r="A691" s="17"/>
      <c r="B691" s="37"/>
      <c r="C691" s="37"/>
      <c r="D691" s="37"/>
      <c r="E691" s="15"/>
      <c r="F691" s="85"/>
      <c r="G691" s="17"/>
      <c r="H691" s="38"/>
      <c r="I691" s="42"/>
    </row>
    <row r="692" spans="1:9" customFormat="1" ht="21.95" customHeight="1" x14ac:dyDescent="0.15">
      <c r="A692" s="17"/>
      <c r="B692" s="37"/>
      <c r="C692" s="37"/>
      <c r="D692" s="37"/>
      <c r="E692" s="15"/>
      <c r="F692" s="85"/>
      <c r="G692" s="17"/>
      <c r="H692" s="38"/>
      <c r="I692" s="42"/>
    </row>
    <row r="693" spans="1:9" customFormat="1" ht="21.95" customHeight="1" x14ac:dyDescent="0.15">
      <c r="A693" s="17"/>
      <c r="B693" s="37"/>
      <c r="C693" s="37"/>
      <c r="D693" s="37"/>
      <c r="E693" s="15"/>
      <c r="F693" s="85"/>
      <c r="G693" s="17"/>
      <c r="H693" s="38"/>
      <c r="I693" s="42"/>
    </row>
    <row r="694" spans="1:9" customFormat="1" ht="21.95" customHeight="1" x14ac:dyDescent="0.15">
      <c r="A694" s="17"/>
      <c r="B694" s="37"/>
      <c r="C694" s="37"/>
      <c r="D694" s="37"/>
      <c r="E694" s="15"/>
      <c r="F694" s="85"/>
      <c r="G694" s="17"/>
      <c r="H694" s="38"/>
      <c r="I694" s="42"/>
    </row>
    <row r="695" spans="1:9" customFormat="1" ht="21.95" customHeight="1" x14ac:dyDescent="0.15">
      <c r="A695" s="17"/>
      <c r="B695" s="37"/>
      <c r="C695" s="37"/>
      <c r="D695" s="37"/>
      <c r="E695" s="15"/>
      <c r="F695" s="85"/>
      <c r="G695" s="17"/>
      <c r="H695" s="38"/>
      <c r="I695" s="42"/>
    </row>
    <row r="696" spans="1:9" customFormat="1" ht="21.95" customHeight="1" x14ac:dyDescent="0.15">
      <c r="A696" s="17"/>
      <c r="B696" s="37"/>
      <c r="C696" s="37"/>
      <c r="D696" s="37"/>
      <c r="E696" s="15"/>
      <c r="F696" s="85"/>
      <c r="G696" s="17"/>
      <c r="H696" s="38"/>
      <c r="I696" s="42"/>
    </row>
    <row r="697" spans="1:9" customFormat="1" ht="21.95" customHeight="1" x14ac:dyDescent="0.15">
      <c r="A697" s="17"/>
      <c r="B697" s="37"/>
      <c r="C697" s="37"/>
      <c r="D697" s="37"/>
      <c r="E697" s="15"/>
      <c r="F697" s="85"/>
      <c r="G697" s="17"/>
      <c r="H697" s="38"/>
      <c r="I697" s="56"/>
    </row>
    <row r="698" spans="1:9" customFormat="1" ht="21.95" customHeight="1" x14ac:dyDescent="0.15">
      <c r="A698" s="17"/>
      <c r="B698" s="37"/>
      <c r="C698" s="37"/>
      <c r="D698" s="37"/>
      <c r="E698" s="15"/>
      <c r="F698" s="85"/>
      <c r="G698" s="17"/>
      <c r="H698" s="38"/>
      <c r="I698" s="56"/>
    </row>
    <row r="699" spans="1:9" customFormat="1" ht="32.1" customHeight="1" x14ac:dyDescent="0.15">
      <c r="A699" s="17"/>
      <c r="B699" s="37"/>
      <c r="C699" s="37"/>
      <c r="D699" s="37"/>
      <c r="E699" s="15"/>
      <c r="F699" s="85"/>
      <c r="G699" s="17"/>
      <c r="H699" s="38"/>
      <c r="I699" s="56"/>
    </row>
    <row r="700" spans="1:9" customFormat="1" ht="32.1" customHeight="1" x14ac:dyDescent="0.15">
      <c r="A700" s="17"/>
      <c r="B700" s="37"/>
      <c r="C700" s="37"/>
      <c r="D700" s="37"/>
      <c r="E700" s="15"/>
      <c r="F700" s="85"/>
      <c r="G700" s="17"/>
      <c r="H700" s="38"/>
      <c r="I700" s="56"/>
    </row>
    <row r="701" spans="1:9" customFormat="1" ht="32.1" customHeight="1" x14ac:dyDescent="0.15">
      <c r="A701" s="17"/>
      <c r="B701" s="37"/>
      <c r="C701" s="37"/>
      <c r="D701" s="37"/>
      <c r="E701" s="15"/>
      <c r="F701" s="85"/>
      <c r="G701" s="17"/>
      <c r="H701" s="38"/>
      <c r="I701" s="56"/>
    </row>
    <row r="702" spans="1:9" customFormat="1" ht="32.1" customHeight="1" x14ac:dyDescent="0.15">
      <c r="A702" s="17"/>
      <c r="B702" s="37"/>
      <c r="C702" s="37"/>
      <c r="D702" s="37"/>
      <c r="E702" s="15"/>
      <c r="F702" s="85"/>
      <c r="G702" s="17"/>
      <c r="H702" s="38"/>
      <c r="I702" s="56"/>
    </row>
    <row r="703" spans="1:9" customFormat="1" ht="32.1" customHeight="1" x14ac:dyDescent="0.15">
      <c r="A703" s="17"/>
      <c r="B703" s="37"/>
      <c r="C703" s="37"/>
      <c r="D703" s="37"/>
      <c r="E703" s="15"/>
      <c r="F703" s="85"/>
      <c r="G703" s="17"/>
      <c r="H703" s="38"/>
      <c r="I703" s="56"/>
    </row>
    <row r="704" spans="1:9" customFormat="1" ht="32.1" customHeight="1" x14ac:dyDescent="0.15">
      <c r="A704" s="17"/>
      <c r="B704" s="37"/>
      <c r="C704" s="37"/>
      <c r="D704" s="37"/>
      <c r="E704" s="15"/>
      <c r="F704" s="85"/>
      <c r="G704" s="17"/>
      <c r="H704" s="38"/>
      <c r="I704" s="56"/>
    </row>
    <row r="705" spans="1:9" ht="32.1" customHeight="1" x14ac:dyDescent="0.15">
      <c r="A705" s="17"/>
      <c r="B705" s="37"/>
      <c r="C705" s="37"/>
      <c r="D705" s="37"/>
      <c r="E705" s="15"/>
      <c r="F705" s="85"/>
      <c r="G705" s="17"/>
      <c r="H705" s="38"/>
      <c r="I705" s="37"/>
    </row>
    <row r="706" spans="1:9" ht="32.1" customHeight="1" x14ac:dyDescent="0.15">
      <c r="A706" s="17"/>
      <c r="B706" s="37"/>
      <c r="C706" s="37"/>
      <c r="D706" s="37"/>
      <c r="E706" s="15"/>
      <c r="F706" s="37"/>
      <c r="G706" s="17"/>
      <c r="H706" s="38"/>
      <c r="I706" s="37"/>
    </row>
    <row r="707" spans="1:9" ht="32.1" customHeight="1" x14ac:dyDescent="0.15">
      <c r="A707" s="17"/>
      <c r="B707" s="37"/>
      <c r="C707" s="37"/>
      <c r="D707" s="37"/>
      <c r="E707" s="15"/>
      <c r="F707" s="37"/>
      <c r="G707" s="17"/>
      <c r="H707" s="38"/>
      <c r="I707" s="37"/>
    </row>
    <row r="708" spans="1:9" ht="32.1" customHeight="1" x14ac:dyDescent="0.15">
      <c r="A708" s="17"/>
      <c r="B708" s="37"/>
      <c r="C708" s="37"/>
      <c r="D708" s="37"/>
      <c r="E708" s="15"/>
      <c r="F708" s="37"/>
      <c r="G708" s="17"/>
      <c r="H708" s="38"/>
      <c r="I708" s="37"/>
    </row>
    <row r="709" spans="1:9" ht="21.95" customHeight="1" x14ac:dyDescent="0.15">
      <c r="A709" s="17"/>
      <c r="B709" s="37"/>
      <c r="C709" s="37"/>
      <c r="D709" s="37"/>
      <c r="E709" s="15"/>
      <c r="F709" s="37"/>
      <c r="G709" s="17"/>
      <c r="H709" s="38"/>
      <c r="I709" s="37"/>
    </row>
    <row r="710" spans="1:9" ht="54" customHeight="1" x14ac:dyDescent="0.15">
      <c r="A710" s="17"/>
      <c r="B710" s="37"/>
      <c r="C710" s="37"/>
      <c r="D710" s="37"/>
      <c r="E710" s="15"/>
      <c r="F710" s="37"/>
      <c r="G710" s="17"/>
      <c r="H710" s="38"/>
      <c r="I710" s="37"/>
    </row>
    <row r="711" spans="1:9" ht="21.95" customHeight="1" x14ac:dyDescent="0.15">
      <c r="A711" s="17"/>
      <c r="B711" s="37"/>
      <c r="C711" s="37"/>
      <c r="D711" s="37"/>
      <c r="E711" s="15"/>
      <c r="F711" s="37"/>
      <c r="G711" s="17"/>
      <c r="H711" s="38"/>
      <c r="I711" s="37"/>
    </row>
    <row r="712" spans="1:9" ht="21.95" customHeight="1" x14ac:dyDescent="0.15">
      <c r="A712" s="17"/>
      <c r="B712" s="37"/>
      <c r="C712" s="37"/>
      <c r="D712" s="37"/>
      <c r="E712" s="15"/>
      <c r="F712" s="37"/>
      <c r="G712" s="17"/>
      <c r="H712" s="38"/>
      <c r="I712" s="37"/>
    </row>
    <row r="713" spans="1:9" ht="21.95" customHeight="1" x14ac:dyDescent="0.15">
      <c r="A713" s="17"/>
      <c r="B713" s="37"/>
      <c r="C713" s="37"/>
      <c r="D713" s="37"/>
      <c r="E713" s="15"/>
      <c r="F713" s="37"/>
      <c r="G713" s="17"/>
      <c r="H713" s="38"/>
      <c r="I713" s="37"/>
    </row>
    <row r="714" spans="1:9" ht="21.95" customHeight="1" x14ac:dyDescent="0.15">
      <c r="A714" s="17"/>
      <c r="B714" s="37"/>
      <c r="C714" s="37"/>
      <c r="D714" s="37"/>
      <c r="E714" s="15"/>
      <c r="F714" s="37"/>
      <c r="G714" s="17"/>
      <c r="H714" s="38"/>
      <c r="I714" s="37"/>
    </row>
    <row r="715" spans="1:9" ht="21.95" customHeight="1" x14ac:dyDescent="0.15">
      <c r="A715" s="17"/>
      <c r="B715" s="37"/>
      <c r="C715" s="37"/>
      <c r="E715" s="15"/>
      <c r="G715" s="17"/>
      <c r="H715" s="38"/>
    </row>
    <row r="716" spans="1:9" ht="21.95" customHeight="1" x14ac:dyDescent="0.15">
      <c r="A716" s="17"/>
      <c r="B716" s="37"/>
      <c r="C716" s="37"/>
      <c r="E716" s="15"/>
      <c r="G716" s="17"/>
      <c r="H716" s="38"/>
    </row>
    <row r="717" spans="1:9" ht="21.95" customHeight="1" x14ac:dyDescent="0.15">
      <c r="A717" s="17"/>
      <c r="B717" s="37"/>
      <c r="C717" s="37"/>
      <c r="E717" s="15"/>
      <c r="F717" s="37"/>
      <c r="G717" s="13"/>
      <c r="H717" s="38"/>
    </row>
    <row r="718" spans="1:9" ht="21.95" customHeight="1" x14ac:dyDescent="0.15">
      <c r="A718" s="17"/>
      <c r="B718" s="37"/>
      <c r="C718" s="37"/>
      <c r="E718" s="15"/>
      <c r="F718" s="37"/>
      <c r="G718" s="13"/>
      <c r="H718" s="38"/>
    </row>
    <row r="719" spans="1:9" ht="21.95" customHeight="1" x14ac:dyDescent="0.15">
      <c r="A719" s="17"/>
      <c r="B719" s="37"/>
      <c r="C719" s="37"/>
      <c r="D719" s="37"/>
      <c r="E719" s="15"/>
      <c r="F719" s="37"/>
      <c r="G719" s="13"/>
      <c r="H719" s="38"/>
    </row>
    <row r="720" spans="1:9" ht="21.95" customHeight="1" x14ac:dyDescent="0.15">
      <c r="A720" s="17"/>
      <c r="B720" s="37"/>
      <c r="C720" s="37"/>
      <c r="D720" s="37"/>
      <c r="E720" s="15"/>
      <c r="F720" s="37"/>
      <c r="G720" s="13"/>
      <c r="H720" s="38"/>
    </row>
    <row r="721" spans="1:8" ht="21.95" customHeight="1" x14ac:dyDescent="0.15">
      <c r="A721" s="17"/>
      <c r="B721" s="37"/>
      <c r="C721" s="37"/>
      <c r="D721" s="37"/>
      <c r="E721" s="15"/>
      <c r="F721" s="37"/>
      <c r="G721" s="13"/>
      <c r="H721" s="38"/>
    </row>
    <row r="722" spans="1:8" ht="21.95" customHeight="1" x14ac:dyDescent="0.15">
      <c r="A722" s="17"/>
      <c r="B722" s="37"/>
      <c r="C722" s="37"/>
      <c r="D722" s="37"/>
      <c r="E722" s="15"/>
      <c r="F722" s="37"/>
      <c r="G722" s="13"/>
      <c r="H722" s="38"/>
    </row>
    <row r="723" spans="1:8" ht="21.95" customHeight="1" x14ac:dyDescent="0.15">
      <c r="A723" s="17"/>
      <c r="B723" s="37"/>
      <c r="C723" s="37"/>
      <c r="D723" s="37"/>
      <c r="E723" s="15"/>
      <c r="F723" s="37"/>
      <c r="G723" s="13"/>
      <c r="H723" s="38"/>
    </row>
    <row r="724" spans="1:8" ht="21.95" customHeight="1" x14ac:dyDescent="0.15">
      <c r="A724" s="17"/>
      <c r="B724" s="37"/>
      <c r="C724" s="37"/>
      <c r="D724" s="37"/>
      <c r="E724" s="15"/>
      <c r="F724" s="37"/>
      <c r="G724" s="13"/>
      <c r="H724" s="38"/>
    </row>
    <row r="725" spans="1:8" ht="21.95" customHeight="1" x14ac:dyDescent="0.15">
      <c r="A725" s="17"/>
      <c r="B725" s="37"/>
      <c r="C725" s="37"/>
      <c r="D725" s="37"/>
      <c r="E725" s="15"/>
      <c r="F725" s="37"/>
      <c r="G725" s="13"/>
      <c r="H725" s="38"/>
    </row>
    <row r="726" spans="1:8" ht="21.95" customHeight="1" x14ac:dyDescent="0.15">
      <c r="A726" s="17"/>
      <c r="B726" s="37"/>
      <c r="C726" s="37"/>
      <c r="D726" s="37"/>
      <c r="E726" s="15"/>
      <c r="F726" s="37"/>
      <c r="G726" s="13"/>
      <c r="H726" s="38"/>
    </row>
    <row r="727" spans="1:8" ht="21.95" customHeight="1" x14ac:dyDescent="0.15">
      <c r="A727" s="17"/>
      <c r="B727" s="37"/>
      <c r="C727" s="37"/>
      <c r="D727" s="37"/>
      <c r="E727" s="15"/>
      <c r="F727" s="37"/>
      <c r="G727" s="13"/>
      <c r="H727" s="38"/>
    </row>
    <row r="728" spans="1:8" ht="21.95" customHeight="1" x14ac:dyDescent="0.15">
      <c r="A728" s="17"/>
      <c r="B728" s="37"/>
      <c r="C728" s="37"/>
      <c r="D728" s="37"/>
      <c r="E728" s="15"/>
      <c r="F728" s="37"/>
      <c r="G728" s="13"/>
      <c r="H728" s="15"/>
    </row>
    <row r="729" spans="1:8" ht="21.95" customHeight="1" x14ac:dyDescent="0.15">
      <c r="A729" s="17"/>
      <c r="B729" s="37"/>
      <c r="C729" s="37"/>
      <c r="D729" s="37"/>
      <c r="E729" s="15"/>
      <c r="F729" s="37"/>
      <c r="G729" s="13"/>
      <c r="H729" s="15"/>
    </row>
    <row r="730" spans="1:8" ht="21.95" customHeight="1" x14ac:dyDescent="0.15">
      <c r="A730" s="17"/>
      <c r="B730" s="37"/>
      <c r="C730" s="37"/>
      <c r="D730" s="37"/>
      <c r="E730" s="15"/>
      <c r="F730" s="37"/>
      <c r="G730" s="13"/>
      <c r="H730" s="15"/>
    </row>
    <row r="731" spans="1:8" ht="21.95" customHeight="1" x14ac:dyDescent="0.15">
      <c r="A731" s="17"/>
      <c r="B731" s="37"/>
      <c r="C731" s="37"/>
      <c r="D731" s="37"/>
      <c r="E731" s="15"/>
      <c r="F731" s="37"/>
      <c r="G731" s="13"/>
      <c r="H731" s="15"/>
    </row>
    <row r="732" spans="1:8" ht="21.95" customHeight="1" x14ac:dyDescent="0.15">
      <c r="A732" s="17"/>
      <c r="B732" s="37"/>
      <c r="C732" s="37"/>
      <c r="D732" s="37"/>
      <c r="E732" s="15"/>
      <c r="F732" s="37"/>
      <c r="G732" s="13"/>
      <c r="H732" s="15"/>
    </row>
    <row r="733" spans="1:8" ht="21.95" customHeight="1" x14ac:dyDescent="0.15">
      <c r="A733" s="17"/>
      <c r="B733" s="37"/>
      <c r="C733" s="37"/>
      <c r="D733" s="37"/>
      <c r="E733" s="15"/>
      <c r="F733" s="37"/>
      <c r="G733" s="13"/>
      <c r="H733" s="15"/>
    </row>
    <row r="734" spans="1:8" ht="21.95" customHeight="1" x14ac:dyDescent="0.15">
      <c r="A734" s="17"/>
      <c r="B734" s="37"/>
      <c r="C734" s="37"/>
      <c r="D734" s="37"/>
      <c r="E734" s="15"/>
      <c r="F734" s="37"/>
      <c r="G734" s="13"/>
      <c r="H734" s="15"/>
    </row>
    <row r="735" spans="1:8" ht="21.95" customHeight="1" x14ac:dyDescent="0.15">
      <c r="A735" s="17"/>
      <c r="B735" s="37"/>
      <c r="C735" s="37"/>
      <c r="D735" s="37"/>
      <c r="E735" s="15"/>
      <c r="F735" s="37"/>
      <c r="G735" s="13"/>
      <c r="H735" s="15"/>
    </row>
    <row r="736" spans="1:8" ht="21.95" customHeight="1" x14ac:dyDescent="0.15">
      <c r="A736" s="17"/>
      <c r="B736" s="37"/>
      <c r="C736" s="37"/>
      <c r="D736" s="37"/>
      <c r="E736" s="15"/>
      <c r="F736" s="37"/>
      <c r="G736" s="13"/>
      <c r="H736" s="15"/>
    </row>
    <row r="737" spans="1:8" ht="21.95" customHeight="1" x14ac:dyDescent="0.15">
      <c r="A737" s="17"/>
      <c r="B737" s="37"/>
      <c r="C737" s="37"/>
      <c r="D737" s="37"/>
      <c r="E737" s="15"/>
      <c r="F737" s="37"/>
      <c r="G737" s="13"/>
      <c r="H737" s="15"/>
    </row>
    <row r="738" spans="1:8" ht="21.95" customHeight="1" x14ac:dyDescent="0.15">
      <c r="A738" s="17"/>
      <c r="B738" s="37"/>
      <c r="C738" s="37"/>
      <c r="D738" s="37"/>
      <c r="E738" s="15"/>
      <c r="F738" s="37"/>
      <c r="G738" s="13"/>
      <c r="H738" s="15"/>
    </row>
    <row r="739" spans="1:8" ht="21.95" customHeight="1" x14ac:dyDescent="0.15">
      <c r="A739" s="17"/>
      <c r="B739" s="37"/>
      <c r="C739" s="37"/>
      <c r="D739" s="37"/>
      <c r="E739" s="15"/>
      <c r="F739" s="37"/>
      <c r="G739" s="13"/>
      <c r="H739" s="15"/>
    </row>
    <row r="740" spans="1:8" ht="21.95" customHeight="1" x14ac:dyDescent="0.15">
      <c r="A740" s="17"/>
      <c r="B740" s="37"/>
      <c r="C740" s="37"/>
      <c r="D740" s="37"/>
      <c r="E740" s="15"/>
      <c r="F740" s="37"/>
      <c r="G740" s="13"/>
      <c r="H740" s="15"/>
    </row>
    <row r="741" spans="1:8" ht="21.95" customHeight="1" x14ac:dyDescent="0.15">
      <c r="A741" s="17"/>
      <c r="B741" s="37"/>
      <c r="C741" s="37"/>
      <c r="D741" s="37"/>
      <c r="E741" s="15"/>
      <c r="F741" s="37"/>
      <c r="G741" s="13"/>
      <c r="H741" s="15"/>
    </row>
    <row r="742" spans="1:8" ht="21.95" customHeight="1" x14ac:dyDescent="0.15">
      <c r="A742" s="17"/>
      <c r="B742" s="37"/>
      <c r="C742" s="37"/>
      <c r="D742" s="37"/>
      <c r="E742" s="15"/>
      <c r="F742" s="37"/>
      <c r="G742" s="13"/>
      <c r="H742" s="15"/>
    </row>
    <row r="743" spans="1:8" ht="21.95" customHeight="1" x14ac:dyDescent="0.15">
      <c r="A743" s="17"/>
      <c r="B743" s="37"/>
      <c r="C743" s="37"/>
      <c r="D743" s="37"/>
      <c r="E743" s="15"/>
      <c r="F743" s="37"/>
      <c r="G743" s="13"/>
      <c r="H743" s="15"/>
    </row>
    <row r="744" spans="1:8" ht="21.95" customHeight="1" x14ac:dyDescent="0.15">
      <c r="A744" s="17"/>
      <c r="B744" s="37"/>
      <c r="C744" s="37"/>
      <c r="D744" s="37"/>
      <c r="E744" s="15"/>
      <c r="F744" s="37"/>
      <c r="G744" s="13"/>
      <c r="H744" s="15"/>
    </row>
    <row r="745" spans="1:8" ht="21.95" customHeight="1" x14ac:dyDescent="0.15">
      <c r="A745" s="17"/>
      <c r="B745" s="37"/>
      <c r="C745" s="37"/>
      <c r="D745" s="37"/>
      <c r="E745" s="15"/>
      <c r="F745" s="37"/>
      <c r="G745" s="13"/>
      <c r="H745" s="15"/>
    </row>
    <row r="746" spans="1:8" ht="21.95" customHeight="1" x14ac:dyDescent="0.15">
      <c r="A746" s="17"/>
      <c r="B746" s="37"/>
      <c r="C746" s="37"/>
      <c r="D746" s="37"/>
      <c r="E746" s="15"/>
      <c r="F746" s="37"/>
      <c r="G746" s="37"/>
      <c r="H746" s="15"/>
    </row>
    <row r="747" spans="1:8" ht="21.95" customHeight="1" x14ac:dyDescent="0.15">
      <c r="A747" s="17"/>
      <c r="B747" s="37"/>
      <c r="C747" s="37"/>
      <c r="D747" s="37"/>
      <c r="E747" s="15"/>
      <c r="F747" s="37"/>
      <c r="G747" s="13"/>
      <c r="H747" s="15"/>
    </row>
    <row r="748" spans="1:8" ht="21.95" customHeight="1" x14ac:dyDescent="0.15">
      <c r="A748" s="17"/>
      <c r="B748" s="37"/>
      <c r="C748" s="37"/>
      <c r="D748" s="37"/>
      <c r="E748" s="15"/>
      <c r="F748" s="37"/>
      <c r="G748" s="13"/>
      <c r="H748" s="15"/>
    </row>
    <row r="749" spans="1:8" ht="21.95" customHeight="1" x14ac:dyDescent="0.15">
      <c r="A749" s="17"/>
      <c r="B749" s="37"/>
      <c r="C749" s="37"/>
      <c r="D749" s="37"/>
      <c r="E749" s="15"/>
      <c r="F749" s="37"/>
      <c r="G749" s="13"/>
      <c r="H749" s="15"/>
    </row>
    <row r="750" spans="1:8" ht="21.95" customHeight="1" x14ac:dyDescent="0.15">
      <c r="A750" s="17"/>
      <c r="B750" s="37"/>
      <c r="C750" s="37"/>
      <c r="D750" s="37"/>
      <c r="E750" s="15"/>
      <c r="F750" s="37"/>
      <c r="G750" s="13"/>
      <c r="H750" s="15"/>
    </row>
    <row r="751" spans="1:8" ht="21.95" customHeight="1" x14ac:dyDescent="0.15">
      <c r="A751" s="17"/>
      <c r="B751" s="37"/>
      <c r="C751" s="37"/>
      <c r="D751" s="37"/>
      <c r="E751" s="15"/>
      <c r="F751" s="37"/>
      <c r="G751" s="13"/>
      <c r="H751" s="15"/>
    </row>
    <row r="752" spans="1:8" ht="21.95" customHeight="1" x14ac:dyDescent="0.15">
      <c r="A752" s="17"/>
      <c r="B752" s="37"/>
      <c r="C752" s="37"/>
      <c r="D752" s="37"/>
      <c r="E752" s="15"/>
      <c r="F752" s="37"/>
      <c r="G752" s="13"/>
      <c r="H752" s="15"/>
    </row>
    <row r="753" spans="1:9" ht="21.95" customHeight="1" x14ac:dyDescent="0.15">
      <c r="A753" s="17"/>
      <c r="B753" s="37"/>
      <c r="C753" s="37"/>
      <c r="D753" s="37"/>
      <c r="E753" s="15"/>
      <c r="F753" s="37"/>
      <c r="G753" s="13"/>
      <c r="H753" s="15"/>
    </row>
    <row r="754" spans="1:9" ht="21.95" customHeight="1" x14ac:dyDescent="0.15">
      <c r="A754" s="17"/>
      <c r="B754" s="37"/>
      <c r="C754" s="37"/>
      <c r="D754" s="37"/>
      <c r="E754" s="15"/>
      <c r="F754" s="37"/>
      <c r="G754" s="13"/>
      <c r="H754" s="15"/>
    </row>
    <row r="755" spans="1:9" ht="21.95" customHeight="1" x14ac:dyDescent="0.15">
      <c r="A755" s="17"/>
      <c r="B755" s="37"/>
      <c r="C755" s="37"/>
      <c r="D755" s="37"/>
      <c r="E755" s="15"/>
      <c r="F755" s="37"/>
      <c r="G755" s="13"/>
      <c r="H755" s="15"/>
    </row>
    <row r="756" spans="1:9" ht="21.95" customHeight="1" x14ac:dyDescent="0.15">
      <c r="A756" s="17"/>
      <c r="B756" s="37"/>
      <c r="C756" s="37"/>
      <c r="D756" s="37"/>
      <c r="E756" s="15"/>
      <c r="F756" s="37"/>
      <c r="G756" s="13"/>
      <c r="H756" s="15"/>
    </row>
    <row r="757" spans="1:9" ht="21.95" customHeight="1" x14ac:dyDescent="0.15">
      <c r="A757" s="17"/>
      <c r="B757" s="37"/>
      <c r="C757" s="37"/>
      <c r="D757" s="37"/>
      <c r="E757" s="15"/>
      <c r="F757" s="37"/>
      <c r="G757" s="13"/>
      <c r="H757" s="15"/>
    </row>
    <row r="758" spans="1:9" ht="21.95" customHeight="1" x14ac:dyDescent="0.15">
      <c r="A758" s="17"/>
      <c r="B758" s="37"/>
      <c r="C758" s="37"/>
      <c r="D758" s="37"/>
      <c r="E758" s="15"/>
      <c r="F758" s="37"/>
      <c r="G758" s="13"/>
      <c r="H758" s="15"/>
    </row>
    <row r="759" spans="1:9" ht="21.95" customHeight="1" x14ac:dyDescent="0.15">
      <c r="A759" s="17"/>
      <c r="B759" s="37"/>
      <c r="C759" s="37"/>
      <c r="D759" s="37"/>
      <c r="E759" s="15"/>
      <c r="F759" s="37"/>
      <c r="G759" s="13"/>
      <c r="H759" s="38"/>
      <c r="I759" s="84"/>
    </row>
    <row r="760" spans="1:9" ht="21.95" customHeight="1" x14ac:dyDescent="0.15">
      <c r="A760" s="17"/>
      <c r="B760" s="37"/>
      <c r="C760" s="37"/>
      <c r="D760" s="37"/>
      <c r="E760" s="15"/>
      <c r="F760" s="37"/>
      <c r="G760" s="13"/>
      <c r="H760" s="15"/>
      <c r="I760" s="84"/>
    </row>
    <row r="761" spans="1:9" ht="35.1" customHeight="1" x14ac:dyDescent="0.15">
      <c r="A761" s="17"/>
      <c r="B761" s="37"/>
      <c r="C761" s="37"/>
      <c r="D761" s="37"/>
      <c r="E761" s="15"/>
      <c r="F761" s="15"/>
      <c r="G761" s="37"/>
      <c r="H761" s="15"/>
    </row>
    <row r="762" spans="1:9" ht="21.95" customHeight="1" x14ac:dyDescent="0.15">
      <c r="A762" s="17"/>
      <c r="B762" s="37"/>
      <c r="C762" s="37"/>
      <c r="D762" s="37"/>
      <c r="E762" s="15"/>
      <c r="F762" s="37"/>
      <c r="G762" s="13"/>
      <c r="H762" s="15"/>
    </row>
    <row r="763" spans="1:9" ht="21.95" customHeight="1" x14ac:dyDescent="0.15">
      <c r="A763" s="17"/>
      <c r="B763" s="37"/>
      <c r="C763" s="37"/>
      <c r="D763" s="37"/>
      <c r="E763" s="15"/>
      <c r="F763" s="37"/>
      <c r="G763" s="13"/>
      <c r="H763" s="15"/>
    </row>
    <row r="764" spans="1:9" ht="21.95" customHeight="1" x14ac:dyDescent="0.15">
      <c r="A764" s="17"/>
      <c r="B764" s="37"/>
      <c r="C764" s="37"/>
      <c r="D764" s="37"/>
      <c r="E764" s="15"/>
      <c r="F764" s="37"/>
      <c r="G764" s="13"/>
      <c r="H764" s="15"/>
    </row>
    <row r="765" spans="1:9" ht="21.95" customHeight="1" x14ac:dyDescent="0.15">
      <c r="A765" s="17"/>
      <c r="B765" s="37"/>
      <c r="C765" s="37"/>
      <c r="D765" s="37"/>
      <c r="E765" s="15"/>
      <c r="F765" s="37"/>
      <c r="G765" s="13"/>
      <c r="H765" s="15"/>
    </row>
    <row r="766" spans="1:9" ht="21.95" customHeight="1" x14ac:dyDescent="0.15">
      <c r="A766" s="17"/>
      <c r="B766" s="37"/>
      <c r="C766" s="37"/>
      <c r="D766" s="37"/>
      <c r="E766" s="15"/>
      <c r="F766" s="37"/>
      <c r="G766" s="13"/>
      <c r="H766" s="15"/>
    </row>
    <row r="767" spans="1:9" ht="21.95" customHeight="1" x14ac:dyDescent="0.15">
      <c r="A767" s="17"/>
      <c r="B767" s="37"/>
      <c r="C767" s="37"/>
      <c r="D767" s="37"/>
      <c r="E767" s="15"/>
      <c r="F767" s="37"/>
      <c r="G767" s="13"/>
      <c r="H767" s="15"/>
      <c r="I767" s="37"/>
    </row>
    <row r="768" spans="1:9" ht="21.95" customHeight="1" x14ac:dyDescent="0.15">
      <c r="A768" s="17"/>
      <c r="B768" s="37"/>
      <c r="C768" s="37"/>
      <c r="D768" s="37"/>
      <c r="E768" s="15"/>
      <c r="F768" s="37"/>
      <c r="G768" s="37"/>
      <c r="H768" s="15"/>
      <c r="I768" s="37"/>
    </row>
    <row r="769" spans="1:9" ht="21.95" customHeight="1" x14ac:dyDescent="0.15">
      <c r="A769" s="17"/>
      <c r="B769" s="37"/>
      <c r="C769" s="37"/>
      <c r="D769" s="37"/>
      <c r="E769" s="15"/>
      <c r="F769" s="37"/>
      <c r="G769" s="37"/>
      <c r="H769" s="38"/>
      <c r="I769" s="37"/>
    </row>
    <row r="770" spans="1:9" ht="21.95" customHeight="1" x14ac:dyDescent="0.15">
      <c r="A770" s="17"/>
      <c r="B770" s="37"/>
      <c r="C770" s="37"/>
      <c r="D770" s="37"/>
      <c r="E770" s="15"/>
      <c r="F770" s="37"/>
      <c r="G770" s="37"/>
      <c r="H770" s="38"/>
      <c r="I770" s="37"/>
    </row>
    <row r="771" spans="1:9" ht="21.95" customHeight="1" x14ac:dyDescent="0.15">
      <c r="A771" s="17"/>
      <c r="B771" s="37"/>
      <c r="C771" s="37"/>
      <c r="D771" s="37"/>
      <c r="E771" s="15"/>
      <c r="F771" s="37"/>
      <c r="G771" s="13"/>
      <c r="H771" s="15"/>
      <c r="I771" s="37"/>
    </row>
    <row r="772" spans="1:9" ht="21.95" customHeight="1" x14ac:dyDescent="0.15">
      <c r="A772" s="17"/>
      <c r="B772" s="37"/>
      <c r="C772" s="37"/>
      <c r="D772" s="37"/>
      <c r="E772" s="15"/>
      <c r="F772" s="37"/>
      <c r="G772" s="13"/>
      <c r="H772" s="15"/>
      <c r="I772" s="37"/>
    </row>
    <row r="773" spans="1:9" ht="21.95" customHeight="1" x14ac:dyDescent="0.15">
      <c r="A773" s="17"/>
      <c r="B773" s="37"/>
      <c r="C773" s="37"/>
      <c r="D773" s="37"/>
      <c r="E773" s="15"/>
      <c r="F773" s="37"/>
      <c r="G773" s="13"/>
      <c r="H773" s="15"/>
      <c r="I773" s="37"/>
    </row>
    <row r="774" spans="1:9" ht="21.95" customHeight="1" x14ac:dyDescent="0.15">
      <c r="A774" s="17"/>
      <c r="B774" s="37"/>
      <c r="C774" s="37"/>
      <c r="E774" s="15"/>
      <c r="F774" s="37"/>
      <c r="H774" s="38"/>
    </row>
    <row r="775" spans="1:9" ht="21.95" customHeight="1" x14ac:dyDescent="0.15">
      <c r="A775" s="17"/>
      <c r="B775" s="37"/>
      <c r="C775" s="37"/>
      <c r="E775" s="15"/>
      <c r="F775" s="37"/>
    </row>
    <row r="776" spans="1:9" ht="21.95" customHeight="1" x14ac:dyDescent="0.15">
      <c r="A776" s="17"/>
      <c r="B776" s="37"/>
      <c r="C776" s="37"/>
      <c r="E776" s="15"/>
      <c r="G776" s="77"/>
    </row>
    <row r="777" spans="1:9" ht="21.95" customHeight="1" x14ac:dyDescent="0.15">
      <c r="A777" s="17"/>
      <c r="B777" s="37"/>
      <c r="C777" s="37"/>
      <c r="D777" s="37"/>
      <c r="E777" s="15"/>
      <c r="F777" s="37"/>
      <c r="G777" s="37"/>
      <c r="H777" s="15"/>
    </row>
    <row r="778" spans="1:9" ht="21.95" customHeight="1" x14ac:dyDescent="0.15">
      <c r="A778" s="17"/>
      <c r="B778" s="37"/>
      <c r="C778" s="37"/>
      <c r="D778" s="37"/>
      <c r="E778" s="15"/>
      <c r="F778" s="37"/>
      <c r="G778" s="13"/>
      <c r="H778" s="15"/>
    </row>
    <row r="779" spans="1:9" ht="21.95" customHeight="1" x14ac:dyDescent="0.15">
      <c r="A779" s="17"/>
      <c r="B779" s="37"/>
      <c r="C779" s="37"/>
      <c r="D779" s="37"/>
      <c r="E779" s="15"/>
      <c r="F779" s="37"/>
      <c r="G779" s="13"/>
      <c r="H779" s="15"/>
    </row>
    <row r="780" spans="1:9" ht="21.95" customHeight="1" x14ac:dyDescent="0.15">
      <c r="A780" s="17"/>
      <c r="C780" s="37"/>
    </row>
    <row r="781" spans="1:9" ht="21.95" customHeight="1" x14ac:dyDescent="0.15">
      <c r="A781" s="17"/>
      <c r="B781" s="37"/>
      <c r="C781" s="37"/>
      <c r="D781" s="13"/>
      <c r="E781" s="15"/>
      <c r="F781" s="37"/>
      <c r="G781" s="13"/>
      <c r="H781" s="15"/>
      <c r="I781" s="13"/>
    </row>
    <row r="782" spans="1:9" ht="21.95" customHeight="1" x14ac:dyDescent="0.15">
      <c r="A782" s="17"/>
      <c r="B782" s="13"/>
      <c r="C782" s="13"/>
      <c r="D782" s="13"/>
      <c r="E782" s="15"/>
      <c r="F782" s="37"/>
      <c r="G782" s="13"/>
      <c r="H782" s="15"/>
      <c r="I782" s="13"/>
    </row>
    <row r="783" spans="1:9" ht="21.95" customHeight="1" x14ac:dyDescent="0.15">
      <c r="A783" s="17"/>
      <c r="B783" s="13"/>
      <c r="C783" s="13"/>
      <c r="D783" s="13"/>
      <c r="E783" s="15"/>
      <c r="F783" s="37"/>
      <c r="G783" s="13"/>
      <c r="H783" s="15"/>
      <c r="I783" s="13"/>
    </row>
    <row r="784" spans="1:9" ht="21.95" customHeight="1" x14ac:dyDescent="0.15">
      <c r="A784" s="17"/>
      <c r="B784" s="13"/>
      <c r="C784" s="13"/>
      <c r="D784" s="13"/>
      <c r="E784" s="15"/>
      <c r="F784" s="37"/>
      <c r="G784" s="13"/>
      <c r="H784" s="15"/>
      <c r="I784" s="13"/>
    </row>
    <row r="785" spans="1:9" customFormat="1" ht="21.95" customHeight="1" x14ac:dyDescent="0.15">
      <c r="A785" s="17"/>
      <c r="B785" s="40"/>
      <c r="C785" s="40"/>
      <c r="D785" s="40"/>
      <c r="E785" s="38"/>
      <c r="F785" s="85"/>
      <c r="G785" s="40"/>
      <c r="H785" s="38"/>
      <c r="I785" s="40"/>
    </row>
    <row r="786" spans="1:9" customFormat="1" ht="21.95" customHeight="1" x14ac:dyDescent="0.15">
      <c r="A786" s="17"/>
      <c r="B786" s="37"/>
      <c r="C786" s="37"/>
      <c r="D786" s="40"/>
      <c r="E786" s="15"/>
      <c r="F786" s="85"/>
      <c r="G786" s="42"/>
      <c r="H786" s="38"/>
      <c r="I786" s="56"/>
    </row>
    <row r="787" spans="1:9" customFormat="1" ht="21.95" customHeight="1" x14ac:dyDescent="0.15">
      <c r="A787" s="17"/>
      <c r="B787" s="37"/>
      <c r="C787" s="95"/>
      <c r="D787" s="40"/>
      <c r="E787" s="15"/>
      <c r="F787" s="85"/>
      <c r="G787" s="42"/>
      <c r="H787" s="38"/>
      <c r="I787" s="56"/>
    </row>
    <row r="788" spans="1:9" customFormat="1" ht="21.95" customHeight="1" x14ac:dyDescent="0.15">
      <c r="A788" s="17"/>
      <c r="B788" s="37"/>
      <c r="C788" s="95"/>
      <c r="D788" s="40"/>
      <c r="E788" s="15"/>
      <c r="F788" s="85"/>
      <c r="G788" s="17"/>
      <c r="H788" s="38"/>
      <c r="I788" s="56"/>
    </row>
    <row r="789" spans="1:9" customFormat="1" ht="21.95" customHeight="1" x14ac:dyDescent="0.15">
      <c r="A789" s="17"/>
      <c r="B789" s="37"/>
      <c r="C789" s="37"/>
      <c r="D789" s="40"/>
      <c r="E789" s="15"/>
      <c r="F789" s="85"/>
      <c r="G789" s="42"/>
      <c r="H789" s="38"/>
      <c r="I789" s="56"/>
    </row>
    <row r="790" spans="1:9" customFormat="1" ht="21.95" customHeight="1" x14ac:dyDescent="0.15">
      <c r="A790" s="17"/>
      <c r="B790" s="37"/>
      <c r="C790" s="37"/>
      <c r="D790" s="40"/>
      <c r="E790" s="15"/>
      <c r="F790" s="85"/>
      <c r="G790" s="17"/>
      <c r="H790" s="38"/>
      <c r="I790" s="56"/>
    </row>
    <row r="791" spans="1:9" customFormat="1" ht="21.95" customHeight="1" x14ac:dyDescent="0.15">
      <c r="A791" s="17"/>
      <c r="B791" s="37"/>
      <c r="C791" s="37"/>
      <c r="D791" s="40"/>
      <c r="E791" s="15"/>
      <c r="F791" s="85"/>
      <c r="G791" s="42"/>
      <c r="H791" s="38"/>
      <c r="I791" s="56"/>
    </row>
    <row r="792" spans="1:9" customFormat="1" ht="21.95" customHeight="1" x14ac:dyDescent="0.15">
      <c r="A792" s="17"/>
      <c r="B792" s="37"/>
      <c r="C792" s="37"/>
      <c r="D792" s="40"/>
      <c r="E792" s="15"/>
      <c r="F792" s="85"/>
      <c r="G792" s="17"/>
      <c r="H792" s="38"/>
      <c r="I792" s="56"/>
    </row>
    <row r="793" spans="1:9" customFormat="1" ht="21.95" customHeight="1" x14ac:dyDescent="0.15">
      <c r="A793" s="17"/>
      <c r="B793" s="37"/>
      <c r="C793" s="37"/>
      <c r="D793" s="40"/>
      <c r="E793" s="15"/>
      <c r="F793" s="85"/>
      <c r="G793" s="42"/>
      <c r="H793" s="38"/>
      <c r="I793" s="56"/>
    </row>
    <row r="794" spans="1:9" customFormat="1" ht="21.95" customHeight="1" x14ac:dyDescent="0.15">
      <c r="A794" s="17"/>
      <c r="B794" s="37"/>
      <c r="C794" s="37"/>
      <c r="D794" s="40"/>
      <c r="E794" s="15"/>
      <c r="F794" s="85"/>
      <c r="G794" s="17"/>
      <c r="H794" s="38"/>
      <c r="I794" s="56"/>
    </row>
    <row r="795" spans="1:9" customFormat="1" ht="21.95" customHeight="1" x14ac:dyDescent="0.15">
      <c r="A795" s="17"/>
      <c r="B795" s="37"/>
      <c r="C795" s="37"/>
      <c r="D795" s="40"/>
      <c r="E795" s="15"/>
      <c r="F795" s="85"/>
      <c r="G795" s="42"/>
      <c r="H795" s="38"/>
      <c r="I795" s="56"/>
    </row>
    <row r="796" spans="1:9" ht="21.95" customHeight="1" x14ac:dyDescent="0.15">
      <c r="A796" s="17"/>
      <c r="B796" s="37"/>
      <c r="C796" s="37"/>
      <c r="D796" s="37"/>
      <c r="E796" s="15"/>
      <c r="F796" s="85"/>
      <c r="G796" s="17"/>
      <c r="H796" s="38"/>
    </row>
    <row r="797" spans="1:9" ht="21.95" customHeight="1" x14ac:dyDescent="0.15">
      <c r="A797" s="17"/>
      <c r="B797" s="37"/>
      <c r="C797" s="37"/>
      <c r="D797" s="37"/>
      <c r="E797" s="15"/>
      <c r="F797" s="85"/>
      <c r="H797" s="38"/>
    </row>
    <row r="798" spans="1:9" ht="21.95" customHeight="1" x14ac:dyDescent="0.15">
      <c r="A798" s="17"/>
      <c r="B798" s="37"/>
      <c r="C798" s="37"/>
      <c r="D798" s="37"/>
      <c r="E798" s="15"/>
      <c r="F798" s="85"/>
      <c r="H798" s="38"/>
    </row>
    <row r="799" spans="1:9" ht="21.95" customHeight="1" x14ac:dyDescent="0.15">
      <c r="A799" s="17"/>
      <c r="B799" s="37"/>
      <c r="C799" s="37"/>
      <c r="D799" s="37"/>
      <c r="E799" s="15"/>
      <c r="F799" s="85"/>
      <c r="G799" s="17"/>
      <c r="H799" s="38"/>
    </row>
    <row r="800" spans="1:9" customFormat="1" ht="21.95" customHeight="1" x14ac:dyDescent="0.15">
      <c r="A800" s="17"/>
      <c r="B800" s="37"/>
      <c r="C800" s="37"/>
      <c r="D800" s="37"/>
      <c r="E800" s="15"/>
      <c r="F800" s="85"/>
      <c r="G800" s="17"/>
      <c r="H800" s="38"/>
      <c r="I800" s="42"/>
    </row>
    <row r="801" spans="1:9" customFormat="1" ht="21.95" customHeight="1" x14ac:dyDescent="0.15">
      <c r="A801" s="17"/>
      <c r="B801" s="37"/>
      <c r="C801" s="37"/>
      <c r="D801" s="37"/>
      <c r="E801" s="15"/>
      <c r="F801" s="85"/>
      <c r="G801" s="17"/>
      <c r="H801" s="38"/>
      <c r="I801" s="42"/>
    </row>
    <row r="802" spans="1:9" customFormat="1" ht="21.95" customHeight="1" x14ac:dyDescent="0.15">
      <c r="A802" s="17"/>
      <c r="B802" s="37"/>
      <c r="C802" s="37"/>
      <c r="D802" s="37"/>
      <c r="E802" s="15"/>
      <c r="F802" s="85"/>
      <c r="G802" s="17"/>
      <c r="H802" s="38"/>
      <c r="I802" s="42"/>
    </row>
    <row r="803" spans="1:9" customFormat="1" ht="21.95" customHeight="1" x14ac:dyDescent="0.15">
      <c r="A803" s="17"/>
      <c r="B803" s="37"/>
      <c r="C803" s="37"/>
      <c r="D803" s="37"/>
      <c r="E803" s="15"/>
      <c r="F803" s="85"/>
      <c r="G803" s="17"/>
      <c r="H803" s="38"/>
      <c r="I803" s="42"/>
    </row>
    <row r="804" spans="1:9" customFormat="1" ht="21.95" customHeight="1" x14ac:dyDescent="0.15">
      <c r="A804" s="17"/>
      <c r="B804" s="37"/>
      <c r="C804" s="37"/>
      <c r="D804" s="37"/>
      <c r="E804" s="15"/>
      <c r="F804" s="85"/>
      <c r="G804" s="17"/>
      <c r="H804" s="38"/>
      <c r="I804" s="42"/>
    </row>
    <row r="805" spans="1:9" customFormat="1" ht="21.95" customHeight="1" x14ac:dyDescent="0.15">
      <c r="A805" s="17"/>
      <c r="B805" s="37"/>
      <c r="C805" s="37"/>
      <c r="D805" s="37"/>
      <c r="E805" s="15"/>
      <c r="F805" s="85"/>
      <c r="G805" s="17"/>
      <c r="H805" s="38"/>
      <c r="I805" s="42"/>
    </row>
    <row r="806" spans="1:9" customFormat="1" ht="21.95" customHeight="1" x14ac:dyDescent="0.15">
      <c r="A806" s="17"/>
      <c r="B806" s="37"/>
      <c r="C806" s="37"/>
      <c r="D806" s="37"/>
      <c r="E806" s="15"/>
      <c r="F806" s="85"/>
      <c r="G806" s="17"/>
      <c r="H806" s="38"/>
      <c r="I806" s="42"/>
    </row>
    <row r="807" spans="1:9" customFormat="1" ht="21.95" customHeight="1" x14ac:dyDescent="0.15">
      <c r="A807" s="17"/>
      <c r="B807" s="37"/>
      <c r="C807" s="37"/>
      <c r="D807" s="37"/>
      <c r="E807" s="15"/>
      <c r="F807" s="85"/>
      <c r="G807" s="17"/>
      <c r="H807" s="38"/>
      <c r="I807" s="42"/>
    </row>
    <row r="808" spans="1:9" customFormat="1" ht="21.95" customHeight="1" x14ac:dyDescent="0.15">
      <c r="A808" s="17"/>
      <c r="B808" s="37"/>
      <c r="C808" s="37"/>
      <c r="D808" s="37"/>
      <c r="E808" s="15"/>
      <c r="F808" s="85"/>
      <c r="G808" s="17"/>
      <c r="H808" s="38"/>
      <c r="I808" s="42"/>
    </row>
    <row r="809" spans="1:9" customFormat="1" ht="21.95" customHeight="1" x14ac:dyDescent="0.15">
      <c r="A809" s="17"/>
      <c r="B809" s="37"/>
      <c r="C809" s="37"/>
      <c r="D809" s="37"/>
      <c r="E809" s="15"/>
      <c r="F809" s="85"/>
      <c r="G809" s="17"/>
      <c r="H809" s="38"/>
      <c r="I809" s="56"/>
    </row>
    <row r="810" spans="1:9" customFormat="1" ht="21.95" customHeight="1" x14ac:dyDescent="0.15">
      <c r="A810" s="17"/>
      <c r="B810" s="37"/>
      <c r="C810" s="37"/>
      <c r="D810" s="37"/>
      <c r="E810" s="15"/>
      <c r="F810" s="85"/>
      <c r="G810" s="17"/>
      <c r="H810" s="38"/>
      <c r="I810" s="56"/>
    </row>
    <row r="811" spans="1:9" customFormat="1" ht="32.1" customHeight="1" x14ac:dyDescent="0.15">
      <c r="A811" s="17"/>
      <c r="B811" s="37"/>
      <c r="C811" s="37"/>
      <c r="D811" s="37"/>
      <c r="E811" s="15"/>
      <c r="F811" s="85"/>
      <c r="G811" s="17"/>
      <c r="H811" s="38"/>
      <c r="I811" s="56"/>
    </row>
    <row r="812" spans="1:9" customFormat="1" ht="32.1" customHeight="1" x14ac:dyDescent="0.15">
      <c r="A812" s="17"/>
      <c r="B812" s="37"/>
      <c r="C812" s="37"/>
      <c r="D812" s="37"/>
      <c r="E812" s="15"/>
      <c r="F812" s="85"/>
      <c r="G812" s="17"/>
      <c r="H812" s="38"/>
      <c r="I812" s="56"/>
    </row>
    <row r="813" spans="1:9" customFormat="1" ht="32.1" customHeight="1" x14ac:dyDescent="0.15">
      <c r="A813" s="17"/>
      <c r="B813" s="37"/>
      <c r="C813" s="37"/>
      <c r="D813" s="37"/>
      <c r="E813" s="15"/>
      <c r="F813" s="85"/>
      <c r="G813" s="17"/>
      <c r="H813" s="38"/>
      <c r="I813" s="56"/>
    </row>
    <row r="814" spans="1:9" customFormat="1" ht="32.1" customHeight="1" x14ac:dyDescent="0.15">
      <c r="A814" s="17"/>
      <c r="B814" s="37"/>
      <c r="C814" s="37"/>
      <c r="D814" s="37"/>
      <c r="E814" s="15"/>
      <c r="F814" s="85"/>
      <c r="G814" s="17"/>
      <c r="H814" s="38"/>
      <c r="I814" s="56"/>
    </row>
    <row r="815" spans="1:9" customFormat="1" ht="32.1" customHeight="1" x14ac:dyDescent="0.15">
      <c r="A815" s="17"/>
      <c r="B815" s="37"/>
      <c r="C815" s="37"/>
      <c r="D815" s="37"/>
      <c r="E815" s="15"/>
      <c r="F815" s="85"/>
      <c r="G815" s="17"/>
      <c r="H815" s="38"/>
      <c r="I815" s="56"/>
    </row>
    <row r="816" spans="1:9" customFormat="1" ht="32.1" customHeight="1" x14ac:dyDescent="0.15">
      <c r="A816" s="17"/>
      <c r="B816" s="37"/>
      <c r="C816" s="37"/>
      <c r="D816" s="37"/>
      <c r="E816" s="15"/>
      <c r="F816" s="85"/>
      <c r="G816" s="17"/>
      <c r="H816" s="38"/>
      <c r="I816" s="56"/>
    </row>
    <row r="817" spans="1:9" ht="32.1" customHeight="1" x14ac:dyDescent="0.15">
      <c r="A817" s="17"/>
      <c r="B817" s="37"/>
      <c r="C817" s="37"/>
      <c r="D817" s="37"/>
      <c r="E817" s="15"/>
      <c r="F817" s="85"/>
      <c r="G817" s="17"/>
      <c r="H817" s="38"/>
      <c r="I817" s="37"/>
    </row>
    <row r="818" spans="1:9" ht="32.1" customHeight="1" x14ac:dyDescent="0.15">
      <c r="A818" s="17"/>
      <c r="B818" s="37"/>
      <c r="C818" s="37"/>
      <c r="D818" s="37"/>
      <c r="E818" s="15"/>
      <c r="F818" s="37"/>
      <c r="G818" s="17"/>
      <c r="H818" s="38"/>
      <c r="I818" s="37"/>
    </row>
    <row r="819" spans="1:9" ht="32.1" customHeight="1" x14ac:dyDescent="0.15">
      <c r="A819" s="17"/>
      <c r="B819" s="37"/>
      <c r="C819" s="37"/>
      <c r="D819" s="37"/>
      <c r="E819" s="15"/>
      <c r="F819" s="37"/>
      <c r="G819" s="17"/>
      <c r="H819" s="38"/>
      <c r="I819" s="37"/>
    </row>
    <row r="820" spans="1:9" ht="32.1" customHeight="1" x14ac:dyDescent="0.15">
      <c r="A820" s="17"/>
      <c r="B820" s="37"/>
      <c r="C820" s="37"/>
      <c r="D820" s="37"/>
      <c r="E820" s="15"/>
      <c r="F820" s="37"/>
      <c r="G820" s="17"/>
      <c r="H820" s="38"/>
      <c r="I820" s="37"/>
    </row>
    <row r="821" spans="1:9" ht="21.95" customHeight="1" x14ac:dyDescent="0.15">
      <c r="A821" s="17"/>
      <c r="B821" s="37"/>
      <c r="C821" s="37"/>
      <c r="D821" s="37"/>
      <c r="E821" s="15"/>
      <c r="F821" s="37"/>
      <c r="G821" s="17"/>
      <c r="H821" s="38"/>
      <c r="I821" s="37"/>
    </row>
    <row r="822" spans="1:9" ht="54" customHeight="1" x14ac:dyDescent="0.15">
      <c r="A822" s="17"/>
      <c r="B822" s="37"/>
      <c r="C822" s="37"/>
      <c r="D822" s="37"/>
      <c r="E822" s="15"/>
      <c r="F822" s="37"/>
      <c r="G822" s="17"/>
      <c r="H822" s="38"/>
      <c r="I822" s="37"/>
    </row>
    <row r="823" spans="1:9" ht="21.95" customHeight="1" x14ac:dyDescent="0.15">
      <c r="A823" s="17"/>
      <c r="B823" s="37"/>
      <c r="C823" s="37"/>
      <c r="D823" s="37"/>
      <c r="E823" s="15"/>
      <c r="F823" s="37"/>
      <c r="G823" s="17"/>
      <c r="H823" s="38"/>
      <c r="I823" s="37"/>
    </row>
    <row r="824" spans="1:9" ht="21.95" customHeight="1" x14ac:dyDescent="0.15">
      <c r="A824" s="17"/>
      <c r="B824" s="37"/>
      <c r="C824" s="37"/>
      <c r="D824" s="37"/>
      <c r="E824" s="15"/>
      <c r="F824" s="37"/>
      <c r="G824" s="17"/>
      <c r="H824" s="38"/>
      <c r="I824" s="37"/>
    </row>
    <row r="825" spans="1:9" ht="21.95" customHeight="1" x14ac:dyDescent="0.15">
      <c r="A825" s="17"/>
      <c r="B825" s="37"/>
      <c r="C825" s="37"/>
      <c r="D825" s="37"/>
      <c r="E825" s="15"/>
      <c r="F825" s="37"/>
      <c r="G825" s="17"/>
      <c r="H825" s="38"/>
      <c r="I825" s="37"/>
    </row>
    <row r="826" spans="1:9" ht="21.95" customHeight="1" x14ac:dyDescent="0.15">
      <c r="A826" s="17"/>
      <c r="B826" s="37"/>
      <c r="C826" s="37"/>
      <c r="D826" s="37"/>
      <c r="E826" s="15"/>
      <c r="F826" s="37"/>
      <c r="G826" s="17"/>
      <c r="H826" s="38"/>
      <c r="I826" s="37"/>
    </row>
    <row r="827" spans="1:9" ht="21.95" customHeight="1" x14ac:dyDescent="0.15">
      <c r="A827" s="17"/>
      <c r="B827" s="37"/>
      <c r="C827" s="37"/>
      <c r="E827" s="15"/>
      <c r="G827" s="17"/>
      <c r="H827" s="38"/>
    </row>
    <row r="828" spans="1:9" ht="21.95" customHeight="1" x14ac:dyDescent="0.15">
      <c r="A828" s="17"/>
      <c r="B828" s="37"/>
      <c r="C828" s="37"/>
      <c r="E828" s="15"/>
      <c r="G828" s="17"/>
      <c r="H828" s="38"/>
    </row>
    <row r="829" spans="1:9" ht="21.95" customHeight="1" x14ac:dyDescent="0.15">
      <c r="A829" s="17"/>
      <c r="B829" s="37"/>
      <c r="C829" s="37"/>
      <c r="E829" s="15"/>
      <c r="F829" s="37"/>
      <c r="G829" s="13"/>
      <c r="H829" s="38"/>
    </row>
    <row r="830" spans="1:9" ht="21.95" customHeight="1" x14ac:dyDescent="0.15">
      <c r="A830" s="17"/>
      <c r="B830" s="37"/>
      <c r="C830" s="37"/>
      <c r="E830" s="15"/>
      <c r="F830" s="37"/>
      <c r="G830" s="13"/>
      <c r="H830" s="38"/>
    </row>
    <row r="831" spans="1:9" ht="21.95" customHeight="1" x14ac:dyDescent="0.15">
      <c r="A831" s="17"/>
      <c r="B831" s="37"/>
      <c r="C831" s="37"/>
      <c r="D831" s="37"/>
      <c r="E831" s="15"/>
      <c r="F831" s="37"/>
      <c r="G831" s="13"/>
      <c r="H831" s="38"/>
    </row>
    <row r="832" spans="1:9" ht="21.95" customHeight="1" x14ac:dyDescent="0.15">
      <c r="A832" s="17"/>
      <c r="B832" s="37"/>
      <c r="C832" s="37"/>
      <c r="D832" s="37"/>
      <c r="E832" s="15"/>
      <c r="F832" s="37"/>
      <c r="G832" s="13"/>
      <c r="H832" s="38"/>
    </row>
    <row r="833" spans="1:8" ht="21.95" customHeight="1" x14ac:dyDescent="0.15">
      <c r="A833" s="17"/>
      <c r="B833" s="37"/>
      <c r="C833" s="37"/>
      <c r="D833" s="37"/>
      <c r="E833" s="15"/>
      <c r="F833" s="37"/>
      <c r="G833" s="13"/>
      <c r="H833" s="38"/>
    </row>
    <row r="834" spans="1:8" ht="21.95" customHeight="1" x14ac:dyDescent="0.15">
      <c r="A834" s="17"/>
      <c r="B834" s="37"/>
      <c r="C834" s="37"/>
      <c r="D834" s="37"/>
      <c r="E834" s="15"/>
      <c r="F834" s="37"/>
      <c r="G834" s="13"/>
      <c r="H834" s="38"/>
    </row>
    <row r="835" spans="1:8" ht="21.95" customHeight="1" x14ac:dyDescent="0.15">
      <c r="A835" s="17"/>
      <c r="B835" s="37"/>
      <c r="C835" s="37"/>
      <c r="D835" s="37"/>
      <c r="E835" s="15"/>
      <c r="F835" s="37"/>
      <c r="G835" s="13"/>
      <c r="H835" s="38"/>
    </row>
    <row r="836" spans="1:8" ht="21.95" customHeight="1" x14ac:dyDescent="0.15">
      <c r="A836" s="17"/>
      <c r="B836" s="37"/>
      <c r="C836" s="37"/>
      <c r="D836" s="37"/>
      <c r="E836" s="15"/>
      <c r="F836" s="37"/>
      <c r="G836" s="13"/>
      <c r="H836" s="38"/>
    </row>
    <row r="837" spans="1:8" ht="21.95" customHeight="1" x14ac:dyDescent="0.15">
      <c r="A837" s="17"/>
      <c r="B837" s="37"/>
      <c r="C837" s="37"/>
      <c r="D837" s="37"/>
      <c r="E837" s="15"/>
      <c r="F837" s="37"/>
      <c r="G837" s="13"/>
      <c r="H837" s="38"/>
    </row>
    <row r="838" spans="1:8" ht="21.95" customHeight="1" x14ac:dyDescent="0.15">
      <c r="A838" s="17"/>
      <c r="B838" s="37"/>
      <c r="C838" s="37"/>
      <c r="D838" s="37"/>
      <c r="E838" s="15"/>
      <c r="F838" s="37"/>
      <c r="G838" s="13"/>
      <c r="H838" s="38"/>
    </row>
    <row r="839" spans="1:8" ht="21.95" customHeight="1" x14ac:dyDescent="0.15">
      <c r="A839" s="17"/>
      <c r="B839" s="37"/>
      <c r="C839" s="37"/>
      <c r="D839" s="37"/>
      <c r="E839" s="15"/>
      <c r="F839" s="37"/>
      <c r="G839" s="13"/>
      <c r="H839" s="38"/>
    </row>
    <row r="840" spans="1:8" ht="21.95" customHeight="1" x14ac:dyDescent="0.15">
      <c r="A840" s="17"/>
      <c r="B840" s="37"/>
      <c r="C840" s="37"/>
      <c r="D840" s="37"/>
      <c r="E840" s="15"/>
      <c r="F840" s="37"/>
      <c r="G840" s="13"/>
      <c r="H840" s="15"/>
    </row>
    <row r="841" spans="1:8" ht="21.95" customHeight="1" x14ac:dyDescent="0.15">
      <c r="A841" s="17"/>
      <c r="B841" s="37"/>
      <c r="C841" s="37"/>
      <c r="D841" s="37"/>
      <c r="E841" s="15"/>
      <c r="F841" s="37"/>
      <c r="G841" s="13"/>
      <c r="H841" s="15"/>
    </row>
    <row r="842" spans="1:8" ht="21.95" customHeight="1" x14ac:dyDescent="0.15">
      <c r="A842" s="17"/>
      <c r="B842" s="37"/>
      <c r="C842" s="37"/>
      <c r="D842" s="37"/>
      <c r="E842" s="15"/>
      <c r="F842" s="37"/>
      <c r="G842" s="13"/>
      <c r="H842" s="15"/>
    </row>
    <row r="843" spans="1:8" ht="21.95" customHeight="1" x14ac:dyDescent="0.15">
      <c r="A843" s="17"/>
      <c r="B843" s="37"/>
      <c r="C843" s="37"/>
      <c r="D843" s="37"/>
      <c r="E843" s="15"/>
      <c r="F843" s="37"/>
      <c r="G843" s="13"/>
      <c r="H843" s="15"/>
    </row>
    <row r="844" spans="1:8" ht="21.95" customHeight="1" x14ac:dyDescent="0.15">
      <c r="A844" s="17"/>
      <c r="B844" s="37"/>
      <c r="C844" s="37"/>
      <c r="D844" s="37"/>
      <c r="E844" s="15"/>
      <c r="F844" s="37"/>
      <c r="G844" s="13"/>
      <c r="H844" s="15"/>
    </row>
    <row r="845" spans="1:8" ht="21.95" customHeight="1" x14ac:dyDescent="0.15">
      <c r="A845" s="17"/>
      <c r="B845" s="37"/>
      <c r="C845" s="37"/>
      <c r="D845" s="37"/>
      <c r="E845" s="15"/>
      <c r="F845" s="37"/>
      <c r="G845" s="13"/>
      <c r="H845" s="15"/>
    </row>
    <row r="846" spans="1:8" ht="21.95" customHeight="1" x14ac:dyDescent="0.15">
      <c r="A846" s="17"/>
      <c r="B846" s="37"/>
      <c r="C846" s="37"/>
      <c r="D846" s="37"/>
      <c r="E846" s="15"/>
      <c r="F846" s="37"/>
      <c r="G846" s="13"/>
      <c r="H846" s="15"/>
    </row>
    <row r="847" spans="1:8" ht="21.95" customHeight="1" x14ac:dyDescent="0.15">
      <c r="A847" s="17"/>
      <c r="B847" s="37"/>
      <c r="C847" s="37"/>
      <c r="D847" s="37"/>
      <c r="E847" s="15"/>
      <c r="F847" s="37"/>
      <c r="G847" s="13"/>
      <c r="H847" s="15"/>
    </row>
    <row r="848" spans="1:8" ht="21.95" customHeight="1" x14ac:dyDescent="0.15">
      <c r="A848" s="17"/>
      <c r="B848" s="37"/>
      <c r="C848" s="37"/>
      <c r="D848" s="37"/>
      <c r="E848" s="15"/>
      <c r="F848" s="37"/>
      <c r="G848" s="13"/>
      <c r="H848" s="15"/>
    </row>
    <row r="849" spans="1:8" ht="21.95" customHeight="1" x14ac:dyDescent="0.15">
      <c r="A849" s="17"/>
      <c r="B849" s="37"/>
      <c r="C849" s="37"/>
      <c r="D849" s="37"/>
      <c r="E849" s="15"/>
      <c r="F849" s="37"/>
      <c r="G849" s="13"/>
      <c r="H849" s="15"/>
    </row>
    <row r="850" spans="1:8" ht="21.95" customHeight="1" x14ac:dyDescent="0.15">
      <c r="A850" s="17"/>
      <c r="B850" s="37"/>
      <c r="C850" s="37"/>
      <c r="D850" s="37"/>
      <c r="E850" s="15"/>
      <c r="F850" s="37"/>
      <c r="G850" s="13"/>
      <c r="H850" s="15"/>
    </row>
    <row r="851" spans="1:8" ht="21.95" customHeight="1" x14ac:dyDescent="0.15">
      <c r="A851" s="17"/>
      <c r="B851" s="37"/>
      <c r="C851" s="37"/>
      <c r="D851" s="37"/>
      <c r="E851" s="15"/>
      <c r="F851" s="37"/>
      <c r="G851" s="13"/>
      <c r="H851" s="15"/>
    </row>
    <row r="852" spans="1:8" ht="21.95" customHeight="1" x14ac:dyDescent="0.15">
      <c r="A852" s="17"/>
      <c r="B852" s="37"/>
      <c r="C852" s="37"/>
      <c r="D852" s="37"/>
      <c r="E852" s="15"/>
      <c r="F852" s="37"/>
      <c r="G852" s="13"/>
      <c r="H852" s="15"/>
    </row>
    <row r="853" spans="1:8" ht="21.95" customHeight="1" x14ac:dyDescent="0.15">
      <c r="A853" s="17"/>
      <c r="B853" s="37"/>
      <c r="C853" s="37"/>
      <c r="D853" s="37"/>
      <c r="E853" s="15"/>
      <c r="F853" s="37"/>
      <c r="G853" s="13"/>
      <c r="H853" s="15"/>
    </row>
    <row r="854" spans="1:8" ht="21.95" customHeight="1" x14ac:dyDescent="0.15">
      <c r="A854" s="17"/>
      <c r="B854" s="37"/>
      <c r="C854" s="37"/>
      <c r="D854" s="37"/>
      <c r="E854" s="15"/>
      <c r="F854" s="37"/>
      <c r="G854" s="13"/>
      <c r="H854" s="15"/>
    </row>
    <row r="855" spans="1:8" ht="21.95" customHeight="1" x14ac:dyDescent="0.15">
      <c r="A855" s="17"/>
      <c r="B855" s="37"/>
      <c r="C855" s="37"/>
      <c r="D855" s="37"/>
      <c r="E855" s="15"/>
      <c r="F855" s="37"/>
      <c r="G855" s="13"/>
      <c r="H855" s="15"/>
    </row>
    <row r="856" spans="1:8" ht="21.95" customHeight="1" x14ac:dyDescent="0.15">
      <c r="A856" s="17"/>
      <c r="B856" s="37"/>
      <c r="C856" s="37"/>
      <c r="D856" s="37"/>
      <c r="E856" s="15"/>
      <c r="F856" s="37"/>
      <c r="G856" s="13"/>
      <c r="H856" s="15"/>
    </row>
    <row r="857" spans="1:8" ht="21.95" customHeight="1" x14ac:dyDescent="0.15">
      <c r="A857" s="17"/>
      <c r="B857" s="37"/>
      <c r="C857" s="37"/>
      <c r="D857" s="37"/>
      <c r="E857" s="15"/>
      <c r="F857" s="37"/>
      <c r="G857" s="13"/>
      <c r="H857" s="15"/>
    </row>
    <row r="858" spans="1:8" ht="21.95" customHeight="1" x14ac:dyDescent="0.15">
      <c r="A858" s="17"/>
      <c r="B858" s="37"/>
      <c r="C858" s="37"/>
      <c r="D858" s="37"/>
      <c r="E858" s="15"/>
      <c r="F858" s="37"/>
      <c r="G858" s="37"/>
      <c r="H858" s="15"/>
    </row>
    <row r="859" spans="1:8" ht="21.95" customHeight="1" x14ac:dyDescent="0.15">
      <c r="A859" s="17"/>
      <c r="B859" s="37"/>
      <c r="C859" s="37"/>
      <c r="D859" s="37"/>
      <c r="E859" s="15"/>
      <c r="F859" s="37"/>
      <c r="G859" s="13"/>
      <c r="H859" s="15"/>
    </row>
    <row r="860" spans="1:8" ht="21.95" customHeight="1" x14ac:dyDescent="0.15">
      <c r="A860" s="17"/>
      <c r="B860" s="37"/>
      <c r="C860" s="37"/>
      <c r="D860" s="37"/>
      <c r="E860" s="15"/>
      <c r="F860" s="37"/>
      <c r="G860" s="13"/>
      <c r="H860" s="15"/>
    </row>
    <row r="861" spans="1:8" ht="21.95" customHeight="1" x14ac:dyDescent="0.15">
      <c r="A861" s="17"/>
      <c r="B861" s="37"/>
      <c r="C861" s="37"/>
      <c r="D861" s="37"/>
      <c r="E861" s="15"/>
      <c r="F861" s="37"/>
      <c r="G861" s="13"/>
      <c r="H861" s="15"/>
    </row>
    <row r="862" spans="1:8" ht="21.95" customHeight="1" x14ac:dyDescent="0.15">
      <c r="A862" s="17"/>
      <c r="B862" s="37"/>
      <c r="C862" s="37"/>
      <c r="D862" s="37"/>
      <c r="E862" s="15"/>
      <c r="F862" s="37"/>
      <c r="G862" s="13"/>
      <c r="H862" s="15"/>
    </row>
    <row r="863" spans="1:8" ht="21.95" customHeight="1" x14ac:dyDescent="0.15">
      <c r="A863" s="17"/>
      <c r="B863" s="37"/>
      <c r="C863" s="37"/>
      <c r="D863" s="37"/>
      <c r="E863" s="15"/>
      <c r="F863" s="37"/>
      <c r="G863" s="13"/>
      <c r="H863" s="15"/>
    </row>
    <row r="864" spans="1:8" ht="21.95" customHeight="1" x14ac:dyDescent="0.15">
      <c r="A864" s="17"/>
      <c r="B864" s="37"/>
      <c r="C864" s="37"/>
      <c r="D864" s="37"/>
      <c r="E864" s="15"/>
      <c r="F864" s="37"/>
      <c r="G864" s="13"/>
      <c r="H864" s="15"/>
    </row>
    <row r="865" spans="1:9" ht="21.95" customHeight="1" x14ac:dyDescent="0.15">
      <c r="A865" s="17"/>
      <c r="B865" s="37"/>
      <c r="C865" s="37"/>
      <c r="D865" s="37"/>
      <c r="E865" s="15"/>
      <c r="F865" s="37"/>
      <c r="G865" s="13"/>
      <c r="H865" s="15"/>
    </row>
    <row r="866" spans="1:9" ht="21.95" customHeight="1" x14ac:dyDescent="0.15">
      <c r="A866" s="17"/>
      <c r="B866" s="37"/>
      <c r="C866" s="37"/>
      <c r="D866" s="37"/>
      <c r="E866" s="15"/>
      <c r="F866" s="37"/>
      <c r="G866" s="13"/>
      <c r="H866" s="15"/>
    </row>
    <row r="867" spans="1:9" ht="21.95" customHeight="1" x14ac:dyDescent="0.15">
      <c r="A867" s="17"/>
      <c r="B867" s="37"/>
      <c r="C867" s="37"/>
      <c r="D867" s="37"/>
      <c r="E867" s="15"/>
      <c r="F867" s="37"/>
      <c r="G867" s="13"/>
      <c r="H867" s="15"/>
    </row>
    <row r="868" spans="1:9" ht="21.95" customHeight="1" x14ac:dyDescent="0.15">
      <c r="A868" s="17"/>
      <c r="B868" s="37"/>
      <c r="C868" s="37"/>
      <c r="D868" s="37"/>
      <c r="E868" s="15"/>
      <c r="F868" s="37"/>
      <c r="G868" s="13"/>
      <c r="H868" s="15"/>
    </row>
    <row r="869" spans="1:9" ht="21.95" customHeight="1" x14ac:dyDescent="0.15">
      <c r="A869" s="17"/>
      <c r="B869" s="37"/>
      <c r="C869" s="37"/>
      <c r="D869" s="37"/>
      <c r="E869" s="15"/>
      <c r="F869" s="37"/>
      <c r="G869" s="13"/>
      <c r="H869" s="15"/>
    </row>
    <row r="870" spans="1:9" ht="21.95" customHeight="1" x14ac:dyDescent="0.15">
      <c r="A870" s="17"/>
      <c r="B870" s="37"/>
      <c r="C870" s="37"/>
      <c r="D870" s="37"/>
      <c r="E870" s="15"/>
      <c r="F870" s="37"/>
      <c r="G870" s="13"/>
      <c r="H870" s="15"/>
    </row>
    <row r="871" spans="1:9" ht="21.95" customHeight="1" x14ac:dyDescent="0.15">
      <c r="A871" s="17"/>
      <c r="B871" s="37"/>
      <c r="C871" s="37"/>
      <c r="D871" s="37"/>
      <c r="E871" s="15"/>
      <c r="F871" s="37"/>
      <c r="G871" s="13"/>
      <c r="H871" s="38"/>
      <c r="I871" s="84"/>
    </row>
    <row r="872" spans="1:9" ht="21.95" customHeight="1" x14ac:dyDescent="0.15">
      <c r="A872" s="17"/>
      <c r="B872" s="37"/>
      <c r="C872" s="37"/>
      <c r="D872" s="37"/>
      <c r="E872" s="15"/>
      <c r="F872" s="37"/>
      <c r="G872" s="13"/>
      <c r="H872" s="15"/>
      <c r="I872" s="84"/>
    </row>
    <row r="873" spans="1:9" ht="35.1" customHeight="1" x14ac:dyDescent="0.15">
      <c r="A873" s="17"/>
      <c r="B873" s="37"/>
      <c r="C873" s="37"/>
      <c r="D873" s="37"/>
      <c r="E873" s="15"/>
      <c r="F873" s="15"/>
      <c r="G873" s="37"/>
      <c r="H873" s="15"/>
    </row>
    <row r="874" spans="1:9" ht="21.95" customHeight="1" x14ac:dyDescent="0.15">
      <c r="A874" s="17"/>
      <c r="B874" s="37"/>
      <c r="C874" s="37"/>
      <c r="D874" s="37"/>
      <c r="E874" s="15"/>
      <c r="F874" s="37"/>
      <c r="G874" s="13"/>
      <c r="H874" s="15"/>
    </row>
    <row r="875" spans="1:9" ht="21.95" customHeight="1" x14ac:dyDescent="0.15">
      <c r="A875" s="17"/>
      <c r="B875" s="37"/>
      <c r="C875" s="37"/>
      <c r="D875" s="37"/>
      <c r="E875" s="15"/>
      <c r="F875" s="37"/>
      <c r="G875" s="13"/>
      <c r="H875" s="15"/>
    </row>
    <row r="876" spans="1:9" ht="21.95" customHeight="1" x14ac:dyDescent="0.15">
      <c r="A876" s="17"/>
      <c r="B876" s="37"/>
      <c r="C876" s="37"/>
      <c r="D876" s="37"/>
      <c r="E876" s="15"/>
      <c r="F876" s="37"/>
      <c r="G876" s="13"/>
      <c r="H876" s="15"/>
    </row>
    <row r="877" spans="1:9" ht="21.95" customHeight="1" x14ac:dyDescent="0.15">
      <c r="A877" s="17"/>
      <c r="B877" s="37"/>
      <c r="C877" s="37"/>
      <c r="D877" s="37"/>
      <c r="E877" s="15"/>
      <c r="F877" s="37"/>
      <c r="G877" s="13"/>
      <c r="H877" s="15"/>
    </row>
    <row r="878" spans="1:9" ht="21.95" customHeight="1" x14ac:dyDescent="0.15">
      <c r="A878" s="17"/>
      <c r="B878" s="37"/>
      <c r="C878" s="37"/>
      <c r="D878" s="37"/>
      <c r="E878" s="15"/>
      <c r="F878" s="37"/>
      <c r="G878" s="13"/>
      <c r="H878" s="15"/>
    </row>
    <row r="879" spans="1:9" ht="21.95" customHeight="1" x14ac:dyDescent="0.15">
      <c r="A879" s="17"/>
      <c r="B879" s="37"/>
      <c r="C879" s="37"/>
      <c r="D879" s="37"/>
      <c r="E879" s="15"/>
      <c r="F879" s="37"/>
      <c r="G879" s="13"/>
      <c r="H879" s="15"/>
      <c r="I879" s="37"/>
    </row>
    <row r="880" spans="1:9" ht="21.95" customHeight="1" x14ac:dyDescent="0.15">
      <c r="A880" s="17"/>
      <c r="B880" s="37"/>
      <c r="C880" s="37"/>
      <c r="D880" s="37"/>
      <c r="E880" s="15"/>
      <c r="F880" s="37"/>
      <c r="G880" s="37"/>
      <c r="H880" s="15"/>
      <c r="I880" s="37"/>
    </row>
    <row r="881" spans="1:9" ht="21.95" customHeight="1" x14ac:dyDescent="0.15">
      <c r="A881" s="17"/>
      <c r="B881" s="37"/>
      <c r="C881" s="37"/>
      <c r="D881" s="37"/>
      <c r="E881" s="15"/>
      <c r="F881" s="37"/>
      <c r="G881" s="37"/>
      <c r="H881" s="38"/>
      <c r="I881" s="37"/>
    </row>
    <row r="882" spans="1:9" ht="21.95" customHeight="1" x14ac:dyDescent="0.15">
      <c r="A882" s="17"/>
      <c r="B882" s="37"/>
      <c r="C882" s="37"/>
      <c r="D882" s="37"/>
      <c r="E882" s="15"/>
      <c r="F882" s="37"/>
      <c r="G882" s="37"/>
      <c r="H882" s="38"/>
      <c r="I882" s="37"/>
    </row>
    <row r="883" spans="1:9" ht="21.95" customHeight="1" x14ac:dyDescent="0.15">
      <c r="A883" s="17"/>
      <c r="B883" s="37"/>
      <c r="C883" s="37"/>
      <c r="D883" s="37"/>
      <c r="E883" s="15"/>
      <c r="F883" s="37"/>
      <c r="G883" s="13"/>
      <c r="H883" s="15"/>
      <c r="I883" s="37"/>
    </row>
    <row r="884" spans="1:9" ht="21.95" customHeight="1" x14ac:dyDescent="0.15">
      <c r="A884" s="17"/>
      <c r="B884" s="37"/>
      <c r="C884" s="37"/>
      <c r="D884" s="37"/>
      <c r="E884" s="15"/>
      <c r="F884" s="37"/>
      <c r="G884" s="13"/>
      <c r="H884" s="15"/>
      <c r="I884" s="37"/>
    </row>
    <row r="885" spans="1:9" ht="21.95" customHeight="1" x14ac:dyDescent="0.15">
      <c r="A885" s="17"/>
      <c r="B885" s="37"/>
      <c r="C885" s="37"/>
      <c r="D885" s="37"/>
      <c r="E885" s="15"/>
      <c r="F885" s="37"/>
      <c r="G885" s="13"/>
      <c r="H885" s="15"/>
      <c r="I885" s="37"/>
    </row>
    <row r="886" spans="1:9" ht="21.95" customHeight="1" x14ac:dyDescent="0.15">
      <c r="A886" s="17"/>
      <c r="B886" s="37"/>
      <c r="C886" s="37"/>
      <c r="E886" s="15"/>
      <c r="F886" s="37"/>
      <c r="H886" s="38"/>
    </row>
    <row r="887" spans="1:9" ht="21.95" customHeight="1" x14ac:dyDescent="0.15">
      <c r="A887" s="17"/>
      <c r="B887" s="37"/>
      <c r="C887" s="37"/>
      <c r="E887" s="15"/>
      <c r="F887" s="37"/>
    </row>
    <row r="888" spans="1:9" ht="21.95" customHeight="1" x14ac:dyDescent="0.15">
      <c r="A888" s="17"/>
      <c r="B888" s="37"/>
      <c r="C888" s="37"/>
      <c r="E888" s="15"/>
      <c r="G888" s="77"/>
    </row>
    <row r="889" spans="1:9" ht="21.95" customHeight="1" x14ac:dyDescent="0.15">
      <c r="A889" s="17"/>
      <c r="B889" s="37"/>
      <c r="C889" s="37"/>
      <c r="D889" s="37"/>
      <c r="E889" s="15"/>
      <c r="F889" s="37"/>
      <c r="G889" s="37"/>
      <c r="H889" s="15"/>
    </row>
    <row r="890" spans="1:9" ht="21.95" customHeight="1" x14ac:dyDescent="0.15">
      <c r="A890" s="17"/>
      <c r="B890" s="37"/>
      <c r="C890" s="37"/>
      <c r="D890" s="37"/>
      <c r="E890" s="15"/>
      <c r="F890" s="37"/>
      <c r="G890" s="13"/>
      <c r="H890" s="15"/>
    </row>
    <row r="891" spans="1:9" ht="21.95" customHeight="1" x14ac:dyDescent="0.15">
      <c r="A891" s="17"/>
      <c r="B891" s="37"/>
      <c r="C891" s="37"/>
      <c r="D891" s="37"/>
      <c r="E891" s="15"/>
      <c r="F891" s="37"/>
      <c r="G891" s="13"/>
      <c r="H891" s="15"/>
    </row>
    <row r="892" spans="1:9" ht="21.95" customHeight="1" x14ac:dyDescent="0.15">
      <c r="A892" s="17"/>
      <c r="C892" s="37"/>
    </row>
    <row r="893" spans="1:9" ht="21.95" customHeight="1" x14ac:dyDescent="0.15">
      <c r="A893" s="17"/>
      <c r="B893" s="37"/>
      <c r="C893" s="37"/>
      <c r="D893" s="13"/>
      <c r="E893" s="15"/>
      <c r="F893" s="37"/>
      <c r="G893" s="13"/>
      <c r="H893" s="15"/>
      <c r="I893" s="13"/>
    </row>
    <row r="894" spans="1:9" ht="21.95" customHeight="1" x14ac:dyDescent="0.15">
      <c r="A894" s="17"/>
      <c r="B894" s="13"/>
      <c r="C894" s="13"/>
      <c r="D894" s="13"/>
      <c r="E894" s="15"/>
      <c r="F894" s="37"/>
      <c r="G894" s="13"/>
      <c r="H894" s="15"/>
      <c r="I894" s="13"/>
    </row>
    <row r="895" spans="1:9" ht="21.95" customHeight="1" x14ac:dyDescent="0.15">
      <c r="A895" s="17"/>
      <c r="B895" s="13"/>
      <c r="C895" s="13"/>
      <c r="D895" s="13"/>
      <c r="E895" s="15"/>
      <c r="F895" s="37"/>
      <c r="G895" s="13"/>
      <c r="H895" s="15"/>
      <c r="I895" s="13"/>
    </row>
    <row r="896" spans="1:9" ht="21.95" customHeight="1" x14ac:dyDescent="0.15">
      <c r="A896" s="17"/>
      <c r="B896" s="13"/>
      <c r="C896" s="13"/>
      <c r="D896" s="13"/>
      <c r="E896" s="15"/>
      <c r="F896" s="37"/>
      <c r="G896" s="13"/>
      <c r="H896" s="15"/>
      <c r="I896" s="13"/>
    </row>
    <row r="897" spans="1:9" customFormat="1" ht="21.95" customHeight="1" x14ac:dyDescent="0.15">
      <c r="A897" s="17"/>
      <c r="B897" s="40"/>
      <c r="C897" s="40"/>
      <c r="D897" s="40"/>
      <c r="E897" s="38"/>
      <c r="F897" s="85"/>
      <c r="G897" s="40"/>
      <c r="H897" s="38"/>
      <c r="I897" s="40"/>
    </row>
    <row r="898" spans="1:9" customFormat="1" ht="21.95" customHeight="1" x14ac:dyDescent="0.15">
      <c r="A898" s="17"/>
      <c r="B898" s="37"/>
      <c r="C898" s="37"/>
      <c r="D898" s="40"/>
      <c r="E898" s="15"/>
      <c r="F898" s="85"/>
      <c r="G898" s="42"/>
      <c r="H898" s="38"/>
      <c r="I898" s="56"/>
    </row>
    <row r="899" spans="1:9" customFormat="1" ht="21.95" customHeight="1" x14ac:dyDescent="0.15">
      <c r="A899" s="17"/>
      <c r="B899" s="37"/>
      <c r="C899" s="95"/>
      <c r="D899" s="40"/>
      <c r="E899" s="15"/>
      <c r="F899" s="85"/>
      <c r="G899" s="42"/>
      <c r="H899" s="38"/>
      <c r="I899" s="56"/>
    </row>
    <row r="900" spans="1:9" customFormat="1" ht="21.95" customHeight="1" x14ac:dyDescent="0.15">
      <c r="A900" s="17"/>
      <c r="B900" s="37"/>
      <c r="C900" s="95"/>
      <c r="D900" s="40"/>
      <c r="E900" s="15"/>
      <c r="F900" s="85"/>
      <c r="G900" s="17"/>
      <c r="H900" s="38"/>
      <c r="I900" s="56"/>
    </row>
    <row r="901" spans="1:9" customFormat="1" ht="21.95" customHeight="1" x14ac:dyDescent="0.15">
      <c r="A901" s="17"/>
      <c r="B901" s="37"/>
      <c r="C901" s="37"/>
      <c r="D901" s="40"/>
      <c r="E901" s="15"/>
      <c r="F901" s="85"/>
      <c r="G901" s="42"/>
      <c r="H901" s="38"/>
      <c r="I901" s="56"/>
    </row>
    <row r="902" spans="1:9" customFormat="1" ht="21.95" customHeight="1" x14ac:dyDescent="0.15">
      <c r="A902" s="17"/>
      <c r="B902" s="37"/>
      <c r="C902" s="37"/>
      <c r="D902" s="40"/>
      <c r="E902" s="15"/>
      <c r="F902" s="85"/>
      <c r="G902" s="17"/>
      <c r="H902" s="38"/>
      <c r="I902" s="56"/>
    </row>
    <row r="903" spans="1:9" customFormat="1" ht="21.95" customHeight="1" x14ac:dyDescent="0.15">
      <c r="A903" s="17"/>
      <c r="B903" s="37"/>
      <c r="C903" s="37"/>
      <c r="D903" s="40"/>
      <c r="E903" s="15"/>
      <c r="F903" s="85"/>
      <c r="G903" s="42"/>
      <c r="H903" s="38"/>
      <c r="I903" s="56"/>
    </row>
    <row r="904" spans="1:9" customFormat="1" ht="21.95" customHeight="1" x14ac:dyDescent="0.15">
      <c r="A904" s="17"/>
      <c r="B904" s="37"/>
      <c r="C904" s="37"/>
      <c r="D904" s="40"/>
      <c r="E904" s="15"/>
      <c r="F904" s="85"/>
      <c r="G904" s="17"/>
      <c r="H904" s="38"/>
      <c r="I904" s="56"/>
    </row>
    <row r="905" spans="1:9" customFormat="1" ht="21.95" customHeight="1" x14ac:dyDescent="0.15">
      <c r="A905" s="17"/>
      <c r="B905" s="37"/>
      <c r="C905" s="37"/>
      <c r="D905" s="40"/>
      <c r="E905" s="15"/>
      <c r="F905" s="85"/>
      <c r="G905" s="42"/>
      <c r="H905" s="38"/>
      <c r="I905" s="56"/>
    </row>
    <row r="906" spans="1:9" customFormat="1" ht="21.95" customHeight="1" x14ac:dyDescent="0.15">
      <c r="A906" s="17"/>
      <c r="B906" s="37"/>
      <c r="C906" s="37"/>
      <c r="D906" s="40"/>
      <c r="E906" s="15"/>
      <c r="F906" s="85"/>
      <c r="G906" s="17"/>
      <c r="H906" s="38"/>
      <c r="I906" s="56"/>
    </row>
    <row r="907" spans="1:9" customFormat="1" ht="21.95" customHeight="1" x14ac:dyDescent="0.15">
      <c r="A907" s="17"/>
      <c r="B907" s="37"/>
      <c r="C907" s="37"/>
      <c r="D907" s="40"/>
      <c r="E907" s="15"/>
      <c r="F907" s="85"/>
      <c r="G907" s="42"/>
      <c r="H907" s="38"/>
      <c r="I907" s="56"/>
    </row>
    <row r="908" spans="1:9" ht="21.95" customHeight="1" x14ac:dyDescent="0.15">
      <c r="A908" s="17"/>
      <c r="B908" s="37"/>
      <c r="C908" s="37"/>
      <c r="D908" s="37"/>
      <c r="E908" s="15"/>
      <c r="F908" s="85"/>
      <c r="G908" s="17"/>
      <c r="H908" s="38"/>
    </row>
    <row r="909" spans="1:9" ht="21.95" customHeight="1" x14ac:dyDescent="0.15">
      <c r="A909" s="17"/>
      <c r="B909" s="37"/>
      <c r="C909" s="37"/>
      <c r="D909" s="37"/>
      <c r="E909" s="15"/>
      <c r="F909" s="85"/>
      <c r="H909" s="38"/>
    </row>
    <row r="910" spans="1:9" ht="21.95" customHeight="1" x14ac:dyDescent="0.15">
      <c r="A910" s="17"/>
      <c r="B910" s="37"/>
      <c r="C910" s="37"/>
      <c r="D910" s="37"/>
      <c r="E910" s="15"/>
      <c r="F910" s="85"/>
      <c r="H910" s="38"/>
    </row>
    <row r="911" spans="1:9" ht="21.95" customHeight="1" x14ac:dyDescent="0.15">
      <c r="A911" s="17"/>
      <c r="B911" s="37"/>
      <c r="C911" s="37"/>
      <c r="D911" s="37"/>
      <c r="E911" s="15"/>
      <c r="F911" s="85"/>
      <c r="G911" s="17"/>
      <c r="H911" s="38"/>
    </row>
    <row r="912" spans="1:9" customFormat="1" ht="21.95" customHeight="1" x14ac:dyDescent="0.15">
      <c r="A912" s="17"/>
      <c r="B912" s="37"/>
      <c r="C912" s="37"/>
      <c r="D912" s="37"/>
      <c r="E912" s="15"/>
      <c r="F912" s="85"/>
      <c r="G912" s="17"/>
      <c r="H912" s="38"/>
      <c r="I912" s="42"/>
    </row>
    <row r="913" spans="1:9" customFormat="1" ht="21.95" customHeight="1" x14ac:dyDescent="0.15">
      <c r="A913" s="17"/>
      <c r="B913" s="37"/>
      <c r="C913" s="37"/>
      <c r="D913" s="37"/>
      <c r="E913" s="15"/>
      <c r="F913" s="85"/>
      <c r="G913" s="17"/>
      <c r="H913" s="38"/>
      <c r="I913" s="42"/>
    </row>
    <row r="914" spans="1:9" customFormat="1" ht="21.95" customHeight="1" x14ac:dyDescent="0.15">
      <c r="A914" s="17"/>
      <c r="B914" s="37"/>
      <c r="C914" s="37"/>
      <c r="D914" s="37"/>
      <c r="E914" s="15"/>
      <c r="F914" s="85"/>
      <c r="G914" s="17"/>
      <c r="H914" s="38"/>
      <c r="I914" s="42"/>
    </row>
    <row r="915" spans="1:9" customFormat="1" ht="21.95" customHeight="1" x14ac:dyDescent="0.15">
      <c r="A915" s="17"/>
      <c r="B915" s="37"/>
      <c r="C915" s="37"/>
      <c r="D915" s="37"/>
      <c r="E915" s="15"/>
      <c r="F915" s="85"/>
      <c r="G915" s="17"/>
      <c r="H915" s="38"/>
      <c r="I915" s="42"/>
    </row>
    <row r="916" spans="1:9" customFormat="1" ht="21.95" customHeight="1" x14ac:dyDescent="0.15">
      <c r="A916" s="17"/>
      <c r="B916" s="37"/>
      <c r="C916" s="37"/>
      <c r="D916" s="37"/>
      <c r="E916" s="15"/>
      <c r="F916" s="85"/>
      <c r="G916" s="17"/>
      <c r="H916" s="38"/>
      <c r="I916" s="42"/>
    </row>
    <row r="917" spans="1:9" customFormat="1" ht="21.95" customHeight="1" x14ac:dyDescent="0.15">
      <c r="A917" s="17"/>
      <c r="B917" s="37"/>
      <c r="C917" s="37"/>
      <c r="D917" s="37"/>
      <c r="E917" s="15"/>
      <c r="F917" s="85"/>
      <c r="G917" s="17"/>
      <c r="H917" s="38"/>
      <c r="I917" s="42"/>
    </row>
    <row r="918" spans="1:9" customFormat="1" ht="21.95" customHeight="1" x14ac:dyDescent="0.15">
      <c r="A918" s="17"/>
      <c r="B918" s="37"/>
      <c r="C918" s="37"/>
      <c r="D918" s="37"/>
      <c r="E918" s="15"/>
      <c r="F918" s="85"/>
      <c r="G918" s="17"/>
      <c r="H918" s="38"/>
      <c r="I918" s="42"/>
    </row>
    <row r="919" spans="1:9" customFormat="1" ht="21.95" customHeight="1" x14ac:dyDescent="0.15">
      <c r="A919" s="17"/>
      <c r="B919" s="37"/>
      <c r="C919" s="37"/>
      <c r="D919" s="37"/>
      <c r="E919" s="15"/>
      <c r="F919" s="85"/>
      <c r="G919" s="17"/>
      <c r="H919" s="38"/>
      <c r="I919" s="42"/>
    </row>
    <row r="920" spans="1:9" customFormat="1" ht="21.95" customHeight="1" x14ac:dyDescent="0.15">
      <c r="A920" s="17"/>
      <c r="B920" s="37"/>
      <c r="C920" s="37"/>
      <c r="D920" s="37"/>
      <c r="E920" s="15"/>
      <c r="F920" s="85"/>
      <c r="G920" s="17"/>
      <c r="H920" s="38"/>
      <c r="I920" s="42"/>
    </row>
    <row r="921" spans="1:9" customFormat="1" ht="21.95" customHeight="1" x14ac:dyDescent="0.15">
      <c r="A921" s="17"/>
      <c r="B921" s="37"/>
      <c r="C921" s="37"/>
      <c r="D921" s="37"/>
      <c r="E921" s="15"/>
      <c r="F921" s="85"/>
      <c r="G921" s="17"/>
      <c r="H921" s="38"/>
      <c r="I921" s="56"/>
    </row>
    <row r="922" spans="1:9" customFormat="1" ht="21.95" customHeight="1" x14ac:dyDescent="0.15">
      <c r="A922" s="17"/>
      <c r="B922" s="37"/>
      <c r="C922" s="37"/>
      <c r="D922" s="37"/>
      <c r="E922" s="15"/>
      <c r="F922" s="85"/>
      <c r="G922" s="17"/>
      <c r="H922" s="38"/>
      <c r="I922" s="56"/>
    </row>
    <row r="923" spans="1:9" customFormat="1" ht="32.1" customHeight="1" x14ac:dyDescent="0.15">
      <c r="A923" s="17"/>
      <c r="B923" s="37"/>
      <c r="C923" s="37"/>
      <c r="D923" s="37"/>
      <c r="E923" s="15"/>
      <c r="F923" s="85"/>
      <c r="G923" s="17"/>
      <c r="H923" s="38"/>
      <c r="I923" s="56"/>
    </row>
    <row r="924" spans="1:9" customFormat="1" ht="32.1" customHeight="1" x14ac:dyDescent="0.15">
      <c r="A924" s="17"/>
      <c r="B924" s="37"/>
      <c r="C924" s="37"/>
      <c r="D924" s="37"/>
      <c r="E924" s="15"/>
      <c r="F924" s="85"/>
      <c r="G924" s="17"/>
      <c r="H924" s="38"/>
      <c r="I924" s="56"/>
    </row>
    <row r="925" spans="1:9" customFormat="1" ht="32.1" customHeight="1" x14ac:dyDescent="0.15">
      <c r="A925" s="17"/>
      <c r="B925" s="37"/>
      <c r="C925" s="37"/>
      <c r="D925" s="37"/>
      <c r="E925" s="15"/>
      <c r="F925" s="85"/>
      <c r="G925" s="17"/>
      <c r="H925" s="38"/>
      <c r="I925" s="56"/>
    </row>
    <row r="926" spans="1:9" customFormat="1" ht="32.1" customHeight="1" x14ac:dyDescent="0.15">
      <c r="A926" s="17"/>
      <c r="B926" s="37"/>
      <c r="C926" s="37"/>
      <c r="D926" s="37"/>
      <c r="E926" s="15"/>
      <c r="F926" s="85"/>
      <c r="G926" s="17"/>
      <c r="H926" s="38"/>
      <c r="I926" s="56"/>
    </row>
    <row r="927" spans="1:9" customFormat="1" ht="32.1" customHeight="1" x14ac:dyDescent="0.15">
      <c r="A927" s="17"/>
      <c r="B927" s="37"/>
      <c r="C927" s="37"/>
      <c r="D927" s="37"/>
      <c r="E927" s="15"/>
      <c r="F927" s="85"/>
      <c r="G927" s="17"/>
      <c r="H927" s="38"/>
      <c r="I927" s="56"/>
    </row>
    <row r="928" spans="1:9" customFormat="1" ht="32.1" customHeight="1" x14ac:dyDescent="0.15">
      <c r="A928" s="17"/>
      <c r="B928" s="37"/>
      <c r="C928" s="37"/>
      <c r="D928" s="37"/>
      <c r="E928" s="15"/>
      <c r="F928" s="85"/>
      <c r="G928" s="17"/>
      <c r="H928" s="38"/>
      <c r="I928" s="56"/>
    </row>
    <row r="929" spans="1:9" ht="32.1" customHeight="1" x14ac:dyDescent="0.15">
      <c r="A929" s="17"/>
      <c r="B929" s="37"/>
      <c r="C929" s="37"/>
      <c r="D929" s="37"/>
      <c r="E929" s="15"/>
      <c r="F929" s="85"/>
      <c r="G929" s="17"/>
      <c r="H929" s="38"/>
      <c r="I929" s="37"/>
    </row>
    <row r="930" spans="1:9" ht="32.1" customHeight="1" x14ac:dyDescent="0.15">
      <c r="A930" s="17"/>
      <c r="B930" s="37"/>
      <c r="C930" s="37"/>
      <c r="D930" s="37"/>
      <c r="E930" s="15"/>
      <c r="F930" s="37"/>
      <c r="G930" s="17"/>
      <c r="H930" s="38"/>
      <c r="I930" s="37"/>
    </row>
    <row r="931" spans="1:9" ht="32.1" customHeight="1" x14ac:dyDescent="0.15">
      <c r="A931" s="17"/>
      <c r="B931" s="37"/>
      <c r="C931" s="37"/>
      <c r="D931" s="37"/>
      <c r="E931" s="15"/>
      <c r="F931" s="37"/>
      <c r="G931" s="17"/>
      <c r="H931" s="38"/>
      <c r="I931" s="37"/>
    </row>
    <row r="932" spans="1:9" ht="32.1" customHeight="1" x14ac:dyDescent="0.15">
      <c r="A932" s="17"/>
      <c r="B932" s="37"/>
      <c r="C932" s="37"/>
      <c r="D932" s="37"/>
      <c r="E932" s="15"/>
      <c r="F932" s="37"/>
      <c r="G932" s="17"/>
      <c r="H932" s="38"/>
      <c r="I932" s="37"/>
    </row>
    <row r="933" spans="1:9" ht="21.95" customHeight="1" x14ac:dyDescent="0.15">
      <c r="A933" s="17"/>
      <c r="B933" s="37"/>
      <c r="C933" s="37"/>
      <c r="D933" s="37"/>
      <c r="E933" s="15"/>
      <c r="F933" s="37"/>
      <c r="G933" s="17"/>
      <c r="H933" s="38"/>
      <c r="I933" s="37"/>
    </row>
    <row r="934" spans="1:9" ht="54" customHeight="1" x14ac:dyDescent="0.15">
      <c r="A934" s="17"/>
      <c r="B934" s="37"/>
      <c r="C934" s="37"/>
      <c r="D934" s="37"/>
      <c r="E934" s="15"/>
      <c r="F934" s="37"/>
      <c r="G934" s="17"/>
      <c r="H934" s="38"/>
      <c r="I934" s="37"/>
    </row>
    <row r="935" spans="1:9" ht="21.95" customHeight="1" x14ac:dyDescent="0.15">
      <c r="A935" s="17"/>
      <c r="B935" s="37"/>
      <c r="C935" s="37"/>
      <c r="D935" s="37"/>
      <c r="E935" s="15"/>
      <c r="F935" s="37"/>
      <c r="G935" s="17"/>
      <c r="H935" s="38"/>
      <c r="I935" s="37"/>
    </row>
    <row r="936" spans="1:9" ht="21.95" customHeight="1" x14ac:dyDescent="0.15">
      <c r="A936" s="17"/>
      <c r="B936" s="37"/>
      <c r="C936" s="37"/>
      <c r="D936" s="37"/>
      <c r="E936" s="15"/>
      <c r="F936" s="37"/>
      <c r="G936" s="17"/>
      <c r="H936" s="38"/>
      <c r="I936" s="37"/>
    </row>
    <row r="937" spans="1:9" ht="21.95" customHeight="1" x14ac:dyDescent="0.15">
      <c r="A937" s="17"/>
      <c r="B937" s="37"/>
      <c r="C937" s="37"/>
      <c r="D937" s="37"/>
      <c r="E937" s="15"/>
      <c r="F937" s="37"/>
      <c r="G937" s="17"/>
      <c r="H937" s="38"/>
      <c r="I937" s="37"/>
    </row>
    <row r="938" spans="1:9" ht="21.95" customHeight="1" x14ac:dyDescent="0.15">
      <c r="A938" s="17"/>
      <c r="B938" s="37"/>
      <c r="C938" s="37"/>
      <c r="D938" s="37"/>
      <c r="E938" s="15"/>
      <c r="F938" s="37"/>
      <c r="G938" s="17"/>
      <c r="H938" s="38"/>
      <c r="I938" s="37"/>
    </row>
    <row r="939" spans="1:9" ht="21.95" customHeight="1" x14ac:dyDescent="0.15">
      <c r="A939" s="17"/>
      <c r="B939" s="37"/>
      <c r="C939" s="37"/>
      <c r="E939" s="15"/>
      <c r="G939" s="17"/>
      <c r="H939" s="38"/>
    </row>
    <row r="940" spans="1:9" ht="21.95" customHeight="1" x14ac:dyDescent="0.15">
      <c r="A940" s="17"/>
      <c r="B940" s="37"/>
      <c r="C940" s="37"/>
      <c r="E940" s="15"/>
      <c r="G940" s="17"/>
      <c r="H940" s="38"/>
    </row>
    <row r="941" spans="1:9" ht="21.95" customHeight="1" x14ac:dyDescent="0.15">
      <c r="A941" s="17"/>
      <c r="B941" s="37"/>
      <c r="C941" s="37"/>
      <c r="E941" s="15"/>
      <c r="F941" s="37"/>
      <c r="G941" s="13"/>
      <c r="H941" s="38"/>
    </row>
    <row r="942" spans="1:9" ht="21.95" customHeight="1" x14ac:dyDescent="0.15">
      <c r="A942" s="17"/>
      <c r="B942" s="37"/>
      <c r="C942" s="37"/>
      <c r="E942" s="15"/>
      <c r="F942" s="37"/>
      <c r="G942" s="13"/>
      <c r="H942" s="38"/>
    </row>
    <row r="943" spans="1:9" ht="21.95" customHeight="1" x14ac:dyDescent="0.15">
      <c r="A943" s="17"/>
      <c r="B943" s="37"/>
      <c r="C943" s="37"/>
      <c r="D943" s="37"/>
      <c r="E943" s="15"/>
      <c r="F943" s="37"/>
      <c r="G943" s="13"/>
      <c r="H943" s="38"/>
    </row>
    <row r="944" spans="1:9" ht="21.95" customHeight="1" x14ac:dyDescent="0.15">
      <c r="A944" s="17"/>
      <c r="B944" s="37"/>
      <c r="C944" s="37"/>
      <c r="D944" s="37"/>
      <c r="E944" s="15"/>
      <c r="F944" s="37"/>
      <c r="G944" s="13"/>
      <c r="H944" s="38"/>
    </row>
    <row r="945" spans="1:8" ht="21.95" customHeight="1" x14ac:dyDescent="0.15">
      <c r="A945" s="17"/>
      <c r="B945" s="37"/>
      <c r="C945" s="37"/>
      <c r="D945" s="37"/>
      <c r="E945" s="15"/>
      <c r="F945" s="37"/>
      <c r="G945" s="13"/>
      <c r="H945" s="38"/>
    </row>
    <row r="946" spans="1:8" ht="21.95" customHeight="1" x14ac:dyDescent="0.15">
      <c r="A946" s="17"/>
      <c r="B946" s="37"/>
      <c r="C946" s="37"/>
      <c r="D946" s="37"/>
      <c r="E946" s="15"/>
      <c r="F946" s="37"/>
      <c r="G946" s="13"/>
      <c r="H946" s="38"/>
    </row>
    <row r="947" spans="1:8" ht="21.95" customHeight="1" x14ac:dyDescent="0.15">
      <c r="A947" s="17"/>
      <c r="B947" s="37"/>
      <c r="C947" s="37"/>
      <c r="D947" s="37"/>
      <c r="E947" s="15"/>
      <c r="F947" s="37"/>
      <c r="G947" s="13"/>
      <c r="H947" s="38"/>
    </row>
    <row r="948" spans="1:8" ht="21.95" customHeight="1" x14ac:dyDescent="0.15">
      <c r="A948" s="17"/>
      <c r="B948" s="37"/>
      <c r="C948" s="37"/>
      <c r="D948" s="37"/>
      <c r="E948" s="15"/>
      <c r="F948" s="37"/>
      <c r="G948" s="13"/>
      <c r="H948" s="38"/>
    </row>
    <row r="949" spans="1:8" ht="21.95" customHeight="1" x14ac:dyDescent="0.15">
      <c r="A949" s="17"/>
      <c r="B949" s="37"/>
      <c r="C949" s="37"/>
      <c r="D949" s="37"/>
      <c r="E949" s="15"/>
      <c r="F949" s="37"/>
      <c r="G949" s="13"/>
      <c r="H949" s="38"/>
    </row>
    <row r="950" spans="1:8" ht="21.95" customHeight="1" x14ac:dyDescent="0.15">
      <c r="A950" s="17"/>
      <c r="B950" s="37"/>
      <c r="C950" s="37"/>
      <c r="D950" s="37"/>
      <c r="E950" s="15"/>
      <c r="F950" s="37"/>
      <c r="G950" s="13"/>
      <c r="H950" s="38"/>
    </row>
    <row r="951" spans="1:8" ht="21.95" customHeight="1" x14ac:dyDescent="0.15">
      <c r="A951" s="17"/>
      <c r="B951" s="37"/>
      <c r="C951" s="37"/>
      <c r="D951" s="37"/>
      <c r="E951" s="15"/>
      <c r="F951" s="37"/>
      <c r="G951" s="13"/>
      <c r="H951" s="38"/>
    </row>
    <row r="952" spans="1:8" ht="21.95" customHeight="1" x14ac:dyDescent="0.15">
      <c r="A952" s="17"/>
      <c r="B952" s="37"/>
      <c r="C952" s="37"/>
      <c r="D952" s="37"/>
      <c r="E952" s="15"/>
      <c r="F952" s="37"/>
      <c r="G952" s="13"/>
      <c r="H952" s="15"/>
    </row>
    <row r="953" spans="1:8" ht="21.95" customHeight="1" x14ac:dyDescent="0.15">
      <c r="A953" s="17"/>
      <c r="B953" s="37"/>
      <c r="C953" s="37"/>
      <c r="D953" s="37"/>
      <c r="E953" s="15"/>
      <c r="F953" s="37"/>
      <c r="G953" s="13"/>
      <c r="H953" s="15"/>
    </row>
    <row r="954" spans="1:8" ht="21.95" customHeight="1" x14ac:dyDescent="0.15">
      <c r="A954" s="17"/>
      <c r="B954" s="37"/>
      <c r="C954" s="37"/>
      <c r="D954" s="37"/>
      <c r="E954" s="15"/>
      <c r="F954" s="37"/>
      <c r="G954" s="13"/>
      <c r="H954" s="15"/>
    </row>
    <row r="955" spans="1:8" ht="21.95" customHeight="1" x14ac:dyDescent="0.15">
      <c r="A955" s="17"/>
      <c r="B955" s="37"/>
      <c r="C955" s="37"/>
      <c r="D955" s="37"/>
      <c r="E955" s="15"/>
      <c r="F955" s="37"/>
      <c r="G955" s="13"/>
      <c r="H955" s="15"/>
    </row>
    <row r="956" spans="1:8" ht="21.95" customHeight="1" x14ac:dyDescent="0.15">
      <c r="A956" s="17"/>
      <c r="B956" s="37"/>
      <c r="C956" s="37"/>
      <c r="D956" s="37"/>
      <c r="E956" s="15"/>
      <c r="F956" s="37"/>
      <c r="G956" s="13"/>
      <c r="H956" s="15"/>
    </row>
    <row r="957" spans="1:8" ht="21.95" customHeight="1" x14ac:dyDescent="0.15">
      <c r="A957" s="17"/>
      <c r="B957" s="37"/>
      <c r="C957" s="37"/>
      <c r="D957" s="37"/>
      <c r="E957" s="15"/>
      <c r="F957" s="37"/>
      <c r="G957" s="13"/>
      <c r="H957" s="15"/>
    </row>
    <row r="958" spans="1:8" ht="21.95" customHeight="1" x14ac:dyDescent="0.15">
      <c r="A958" s="17"/>
      <c r="B958" s="37"/>
      <c r="C958" s="37"/>
      <c r="D958" s="37"/>
      <c r="E958" s="15"/>
      <c r="F958" s="37"/>
      <c r="G958" s="13"/>
      <c r="H958" s="15"/>
    </row>
    <row r="959" spans="1:8" ht="21.95" customHeight="1" x14ac:dyDescent="0.15">
      <c r="A959" s="17"/>
      <c r="B959" s="37"/>
      <c r="C959" s="37"/>
      <c r="D959" s="37"/>
      <c r="E959" s="15"/>
      <c r="F959" s="37"/>
      <c r="G959" s="13"/>
      <c r="H959" s="15"/>
    </row>
    <row r="960" spans="1:8" ht="21.95" customHeight="1" x14ac:dyDescent="0.15">
      <c r="A960" s="17"/>
      <c r="B960" s="37"/>
      <c r="C960" s="37"/>
      <c r="D960" s="37"/>
      <c r="E960" s="15"/>
      <c r="F960" s="37"/>
      <c r="G960" s="13"/>
      <c r="H960" s="15"/>
    </row>
    <row r="961" spans="1:8" ht="21.95" customHeight="1" x14ac:dyDescent="0.15">
      <c r="A961" s="17"/>
      <c r="B961" s="37"/>
      <c r="C961" s="37"/>
      <c r="D961" s="37"/>
      <c r="E961" s="15"/>
      <c r="F961" s="37"/>
      <c r="G961" s="13"/>
      <c r="H961" s="15"/>
    </row>
    <row r="962" spans="1:8" ht="21.95" customHeight="1" x14ac:dyDescent="0.15">
      <c r="A962" s="17"/>
      <c r="B962" s="37"/>
      <c r="C962" s="37"/>
      <c r="D962" s="37"/>
      <c r="E962" s="15"/>
      <c r="F962" s="37"/>
      <c r="G962" s="13"/>
      <c r="H962" s="15"/>
    </row>
    <row r="963" spans="1:8" ht="21.95" customHeight="1" x14ac:dyDescent="0.15">
      <c r="A963" s="17"/>
      <c r="B963" s="37"/>
      <c r="C963" s="37"/>
      <c r="D963" s="37"/>
      <c r="E963" s="15"/>
      <c r="F963" s="37"/>
      <c r="G963" s="13"/>
      <c r="H963" s="15"/>
    </row>
    <row r="964" spans="1:8" ht="21.95" customHeight="1" x14ac:dyDescent="0.15">
      <c r="A964" s="17"/>
      <c r="B964" s="37"/>
      <c r="C964" s="37"/>
      <c r="D964" s="37"/>
      <c r="E964" s="15"/>
      <c r="F964" s="37"/>
      <c r="G964" s="13"/>
      <c r="H964" s="15"/>
    </row>
    <row r="965" spans="1:8" ht="21.95" customHeight="1" x14ac:dyDescent="0.15">
      <c r="A965" s="17"/>
      <c r="B965" s="37"/>
      <c r="C965" s="37"/>
      <c r="D965" s="37"/>
      <c r="E965" s="15"/>
      <c r="F965" s="37"/>
      <c r="G965" s="13"/>
      <c r="H965" s="15"/>
    </row>
    <row r="966" spans="1:8" ht="21.95" customHeight="1" x14ac:dyDescent="0.15">
      <c r="A966" s="17"/>
      <c r="B966" s="37"/>
      <c r="C966" s="37"/>
      <c r="D966" s="37"/>
      <c r="E966" s="15"/>
      <c r="F966" s="37"/>
      <c r="G966" s="13"/>
      <c r="H966" s="15"/>
    </row>
    <row r="967" spans="1:8" ht="21.95" customHeight="1" x14ac:dyDescent="0.15">
      <c r="A967" s="17"/>
      <c r="B967" s="37"/>
      <c r="C967" s="37"/>
      <c r="D967" s="37"/>
      <c r="E967" s="15"/>
      <c r="F967" s="37"/>
      <c r="G967" s="13"/>
      <c r="H967" s="15"/>
    </row>
    <row r="968" spans="1:8" ht="21.95" customHeight="1" x14ac:dyDescent="0.15">
      <c r="A968" s="17"/>
      <c r="B968" s="37"/>
      <c r="C968" s="37"/>
      <c r="D968" s="37"/>
      <c r="E968" s="15"/>
      <c r="F968" s="37"/>
      <c r="G968" s="13"/>
      <c r="H968" s="15"/>
    </row>
    <row r="969" spans="1:8" ht="21.95" customHeight="1" x14ac:dyDescent="0.15">
      <c r="A969" s="17"/>
      <c r="B969" s="37"/>
      <c r="C969" s="37"/>
      <c r="D969" s="37"/>
      <c r="E969" s="15"/>
      <c r="F969" s="37"/>
      <c r="G969" s="13"/>
      <c r="H969" s="15"/>
    </row>
    <row r="970" spans="1:8" ht="21.95" customHeight="1" x14ac:dyDescent="0.15">
      <c r="A970" s="17"/>
      <c r="B970" s="37"/>
      <c r="C970" s="37"/>
      <c r="D970" s="37"/>
      <c r="E970" s="15"/>
      <c r="F970" s="37"/>
      <c r="G970" s="37"/>
      <c r="H970" s="15"/>
    </row>
    <row r="971" spans="1:8" ht="21.95" customHeight="1" x14ac:dyDescent="0.15">
      <c r="A971" s="17"/>
      <c r="B971" s="37"/>
      <c r="C971" s="37"/>
      <c r="D971" s="37"/>
      <c r="E971" s="15"/>
      <c r="F971" s="37"/>
      <c r="G971" s="13"/>
      <c r="H971" s="15"/>
    </row>
    <row r="972" spans="1:8" ht="21.95" customHeight="1" x14ac:dyDescent="0.15">
      <c r="A972" s="17"/>
      <c r="B972" s="37"/>
      <c r="C972" s="37"/>
      <c r="D972" s="37"/>
      <c r="E972" s="15"/>
      <c r="F972" s="37"/>
      <c r="G972" s="13"/>
      <c r="H972" s="15"/>
    </row>
    <row r="973" spans="1:8" ht="21.95" customHeight="1" x14ac:dyDescent="0.15">
      <c r="A973" s="17"/>
      <c r="B973" s="37"/>
      <c r="C973" s="37"/>
      <c r="D973" s="37"/>
      <c r="E973" s="15"/>
      <c r="F973" s="37"/>
      <c r="G973" s="13"/>
      <c r="H973" s="15"/>
    </row>
    <row r="974" spans="1:8" ht="21.95" customHeight="1" x14ac:dyDescent="0.15">
      <c r="A974" s="17"/>
      <c r="B974" s="37"/>
      <c r="C974" s="37"/>
      <c r="D974" s="37"/>
      <c r="E974" s="15"/>
      <c r="F974" s="37"/>
      <c r="G974" s="13"/>
      <c r="H974" s="15"/>
    </row>
    <row r="975" spans="1:8" ht="21.95" customHeight="1" x14ac:dyDescent="0.15">
      <c r="A975" s="17"/>
      <c r="B975" s="37"/>
      <c r="C975" s="37"/>
      <c r="D975" s="37"/>
      <c r="E975" s="15"/>
      <c r="F975" s="37"/>
      <c r="G975" s="13"/>
      <c r="H975" s="15"/>
    </row>
    <row r="976" spans="1:8" ht="21.95" customHeight="1" x14ac:dyDescent="0.15">
      <c r="A976" s="17"/>
      <c r="B976" s="37"/>
      <c r="C976" s="37"/>
      <c r="D976" s="37"/>
      <c r="E976" s="15"/>
      <c r="F976" s="37"/>
      <c r="G976" s="13"/>
      <c r="H976" s="15"/>
    </row>
    <row r="977" spans="1:9" ht="21.95" customHeight="1" x14ac:dyDescent="0.15">
      <c r="A977" s="17"/>
      <c r="B977" s="37"/>
      <c r="C977" s="37"/>
      <c r="D977" s="37"/>
      <c r="E977" s="15"/>
      <c r="F977" s="37"/>
      <c r="G977" s="13"/>
      <c r="H977" s="15"/>
    </row>
    <row r="978" spans="1:9" ht="21.95" customHeight="1" x14ac:dyDescent="0.15">
      <c r="A978" s="17"/>
      <c r="B978" s="37"/>
      <c r="C978" s="37"/>
      <c r="D978" s="37"/>
      <c r="E978" s="15"/>
      <c r="F978" s="37"/>
      <c r="G978" s="13"/>
      <c r="H978" s="15"/>
    </row>
    <row r="979" spans="1:9" ht="21.95" customHeight="1" x14ac:dyDescent="0.15">
      <c r="A979" s="17"/>
      <c r="B979" s="37"/>
      <c r="C979" s="37"/>
      <c r="D979" s="37"/>
      <c r="E979" s="15"/>
      <c r="F979" s="37"/>
      <c r="G979" s="13"/>
      <c r="H979" s="15"/>
    </row>
    <row r="980" spans="1:9" ht="21.95" customHeight="1" x14ac:dyDescent="0.15">
      <c r="A980" s="17"/>
      <c r="B980" s="37"/>
      <c r="C980" s="37"/>
      <c r="D980" s="37"/>
      <c r="E980" s="15"/>
      <c r="F980" s="37"/>
      <c r="G980" s="13"/>
      <c r="H980" s="15"/>
    </row>
    <row r="981" spans="1:9" ht="21.95" customHeight="1" x14ac:dyDescent="0.15">
      <c r="A981" s="17"/>
      <c r="B981" s="37"/>
      <c r="C981" s="37"/>
      <c r="D981" s="37"/>
      <c r="E981" s="15"/>
      <c r="F981" s="37"/>
      <c r="G981" s="13"/>
      <c r="H981" s="15"/>
    </row>
    <row r="982" spans="1:9" ht="21.95" customHeight="1" x14ac:dyDescent="0.15">
      <c r="A982" s="17"/>
      <c r="B982" s="37"/>
      <c r="C982" s="37"/>
      <c r="D982" s="37"/>
      <c r="E982" s="15"/>
      <c r="F982" s="37"/>
      <c r="G982" s="13"/>
      <c r="H982" s="15"/>
    </row>
    <row r="983" spans="1:9" ht="21.95" customHeight="1" x14ac:dyDescent="0.15">
      <c r="A983" s="17"/>
      <c r="B983" s="37"/>
      <c r="C983" s="37"/>
      <c r="D983" s="37"/>
      <c r="E983" s="15"/>
      <c r="F983" s="37"/>
      <c r="G983" s="13"/>
      <c r="H983" s="38"/>
      <c r="I983" s="84"/>
    </row>
    <row r="984" spans="1:9" ht="21.95" customHeight="1" x14ac:dyDescent="0.15">
      <c r="A984" s="17"/>
      <c r="B984" s="37"/>
      <c r="C984" s="37"/>
      <c r="D984" s="37"/>
      <c r="E984" s="15"/>
      <c r="F984" s="37"/>
      <c r="G984" s="13"/>
      <c r="H984" s="15"/>
      <c r="I984" s="84"/>
    </row>
    <row r="985" spans="1:9" ht="35.1" customHeight="1" x14ac:dyDescent="0.15">
      <c r="A985" s="17"/>
      <c r="B985" s="37"/>
      <c r="C985" s="37"/>
      <c r="D985" s="37"/>
      <c r="E985" s="15"/>
      <c r="F985" s="15"/>
      <c r="G985" s="37"/>
      <c r="H985" s="15"/>
    </row>
    <row r="986" spans="1:9" ht="21.95" customHeight="1" x14ac:dyDescent="0.15">
      <c r="A986" s="17"/>
      <c r="B986" s="37"/>
      <c r="C986" s="37"/>
      <c r="D986" s="37"/>
      <c r="E986" s="15"/>
      <c r="F986" s="37"/>
      <c r="G986" s="13"/>
      <c r="H986" s="15"/>
    </row>
    <row r="987" spans="1:9" ht="21.95" customHeight="1" x14ac:dyDescent="0.15">
      <c r="A987" s="17"/>
      <c r="B987" s="37"/>
      <c r="C987" s="37"/>
      <c r="D987" s="37"/>
      <c r="E987" s="15"/>
      <c r="F987" s="37"/>
      <c r="G987" s="13"/>
      <c r="H987" s="15"/>
    </row>
    <row r="988" spans="1:9" ht="21.95" customHeight="1" x14ac:dyDescent="0.15">
      <c r="A988" s="17"/>
      <c r="B988" s="37"/>
      <c r="C988" s="37"/>
      <c r="D988" s="37"/>
      <c r="E988" s="15"/>
      <c r="F988" s="37"/>
      <c r="G988" s="13"/>
      <c r="H988" s="15"/>
    </row>
    <row r="989" spans="1:9" ht="21.95" customHeight="1" x14ac:dyDescent="0.15">
      <c r="A989" s="17"/>
      <c r="B989" s="37"/>
      <c r="C989" s="37"/>
      <c r="D989" s="37"/>
      <c r="E989" s="15"/>
      <c r="F989" s="37"/>
      <c r="G989" s="13"/>
      <c r="H989" s="15"/>
    </row>
    <row r="990" spans="1:9" ht="21.95" customHeight="1" x14ac:dyDescent="0.15">
      <c r="A990" s="17"/>
      <c r="B990" s="37"/>
      <c r="C990" s="37"/>
      <c r="D990" s="37"/>
      <c r="E990" s="15"/>
      <c r="F990" s="37"/>
      <c r="G990" s="13"/>
      <c r="H990" s="15"/>
    </row>
    <row r="991" spans="1:9" ht="21.95" customHeight="1" x14ac:dyDescent="0.15">
      <c r="A991" s="17"/>
      <c r="B991" s="37"/>
      <c r="C991" s="37"/>
      <c r="D991" s="37"/>
      <c r="E991" s="15"/>
      <c r="F991" s="37"/>
      <c r="G991" s="13"/>
      <c r="H991" s="15"/>
      <c r="I991" s="37"/>
    </row>
    <row r="992" spans="1:9" ht="21.95" customHeight="1" x14ac:dyDescent="0.15">
      <c r="A992" s="17"/>
      <c r="B992" s="37"/>
      <c r="C992" s="37"/>
      <c r="D992" s="37"/>
      <c r="E992" s="15"/>
      <c r="F992" s="37"/>
      <c r="G992" s="37"/>
      <c r="H992" s="15"/>
      <c r="I992" s="37"/>
    </row>
    <row r="993" spans="1:9" ht="21.95" customHeight="1" x14ac:dyDescent="0.15">
      <c r="A993" s="17"/>
      <c r="B993" s="37"/>
      <c r="C993" s="37"/>
      <c r="D993" s="37"/>
      <c r="E993" s="15"/>
      <c r="F993" s="37"/>
      <c r="G993" s="37"/>
      <c r="H993" s="38"/>
      <c r="I993" s="37"/>
    </row>
    <row r="994" spans="1:9" ht="21.95" customHeight="1" x14ac:dyDescent="0.15">
      <c r="A994" s="17"/>
      <c r="B994" s="37"/>
      <c r="C994" s="37"/>
      <c r="D994" s="37"/>
      <c r="E994" s="15"/>
      <c r="F994" s="37"/>
      <c r="G994" s="37"/>
      <c r="H994" s="38"/>
      <c r="I994" s="37"/>
    </row>
    <row r="995" spans="1:9" ht="21.95" customHeight="1" x14ac:dyDescent="0.15">
      <c r="A995" s="17"/>
      <c r="B995" s="37"/>
      <c r="C995" s="37"/>
      <c r="D995" s="37"/>
      <c r="E995" s="15"/>
      <c r="F995" s="37"/>
      <c r="G995" s="13"/>
      <c r="H995" s="15"/>
      <c r="I995" s="37"/>
    </row>
    <row r="996" spans="1:9" ht="21.95" customHeight="1" x14ac:dyDescent="0.15">
      <c r="A996" s="17"/>
      <c r="B996" s="37"/>
      <c r="C996" s="37"/>
      <c r="D996" s="37"/>
      <c r="E996" s="15"/>
      <c r="F996" s="37"/>
      <c r="G996" s="13"/>
      <c r="H996" s="15"/>
      <c r="I996" s="37"/>
    </row>
    <row r="997" spans="1:9" ht="21.95" customHeight="1" x14ac:dyDescent="0.15">
      <c r="A997" s="17"/>
      <c r="B997" s="37"/>
      <c r="C997" s="37"/>
      <c r="D997" s="37"/>
      <c r="E997" s="15"/>
      <c r="F997" s="37"/>
      <c r="G997" s="13"/>
      <c r="H997" s="15"/>
      <c r="I997" s="37"/>
    </row>
    <row r="998" spans="1:9" ht="21.95" customHeight="1" x14ac:dyDescent="0.15">
      <c r="A998" s="17"/>
      <c r="B998" s="37"/>
      <c r="C998" s="37"/>
      <c r="E998" s="15"/>
      <c r="F998" s="37"/>
      <c r="H998" s="38"/>
    </row>
    <row r="999" spans="1:9" ht="21.95" customHeight="1" x14ac:dyDescent="0.15">
      <c r="A999" s="17"/>
      <c r="B999" s="37"/>
      <c r="C999" s="37"/>
      <c r="E999" s="15"/>
      <c r="F999" s="37"/>
    </row>
    <row r="1000" spans="1:9" ht="21.95" customHeight="1" x14ac:dyDescent="0.15">
      <c r="A1000" s="17"/>
      <c r="B1000" s="37"/>
      <c r="C1000" s="37"/>
      <c r="E1000" s="15"/>
      <c r="G1000" s="77"/>
    </row>
    <row r="1001" spans="1:9" ht="21.95" customHeight="1" x14ac:dyDescent="0.15">
      <c r="A1001" s="17"/>
      <c r="B1001" s="37"/>
      <c r="C1001" s="37"/>
      <c r="D1001" s="37"/>
      <c r="E1001" s="15"/>
      <c r="F1001" s="37"/>
      <c r="G1001" s="37"/>
      <c r="H1001" s="15"/>
    </row>
    <row r="1002" spans="1:9" ht="21.95" customHeight="1" x14ac:dyDescent="0.15">
      <c r="A1002" s="17"/>
      <c r="B1002" s="37"/>
      <c r="C1002" s="37"/>
      <c r="D1002" s="37"/>
      <c r="E1002" s="15"/>
      <c r="F1002" s="37"/>
      <c r="G1002" s="13"/>
      <c r="H1002" s="15"/>
    </row>
    <row r="1003" spans="1:9" ht="21.95" customHeight="1" x14ac:dyDescent="0.15">
      <c r="A1003" s="17"/>
      <c r="B1003" s="37"/>
      <c r="C1003" s="37"/>
      <c r="D1003" s="37"/>
      <c r="E1003" s="15"/>
      <c r="F1003" s="37"/>
      <c r="G1003" s="13"/>
      <c r="H1003" s="15"/>
    </row>
    <row r="1004" spans="1:9" ht="21.95" customHeight="1" x14ac:dyDescent="0.15">
      <c r="A1004" s="17"/>
      <c r="C1004" s="37"/>
    </row>
    <row r="1005" spans="1:9" ht="21.95" customHeight="1" x14ac:dyDescent="0.15">
      <c r="A1005" s="17"/>
      <c r="B1005" s="37"/>
      <c r="C1005" s="37"/>
      <c r="D1005" s="13"/>
      <c r="E1005" s="15"/>
      <c r="F1005" s="37"/>
      <c r="G1005" s="13"/>
      <c r="H1005" s="15"/>
      <c r="I1005" s="13"/>
    </row>
    <row r="1006" spans="1:9" ht="21.95" customHeight="1" x14ac:dyDescent="0.15">
      <c r="A1006" s="17"/>
      <c r="B1006" s="13"/>
      <c r="C1006" s="13"/>
      <c r="D1006" s="13"/>
      <c r="E1006" s="15"/>
      <c r="F1006" s="37"/>
      <c r="G1006" s="13"/>
      <c r="H1006" s="15"/>
      <c r="I1006" s="13"/>
    </row>
    <row r="1007" spans="1:9" ht="21.95" customHeight="1" x14ac:dyDescent="0.15">
      <c r="A1007" s="17"/>
      <c r="B1007" s="13"/>
      <c r="C1007" s="13"/>
      <c r="D1007" s="13"/>
      <c r="E1007" s="15"/>
      <c r="F1007" s="37"/>
      <c r="G1007" s="13"/>
      <c r="H1007" s="15"/>
      <c r="I1007" s="13"/>
    </row>
    <row r="1008" spans="1:9" ht="21.95" customHeight="1" x14ac:dyDescent="0.15">
      <c r="A1008" s="17"/>
      <c r="B1008" s="13"/>
      <c r="C1008" s="13"/>
      <c r="D1008" s="13"/>
      <c r="E1008" s="15"/>
      <c r="F1008" s="37"/>
      <c r="G1008" s="13"/>
      <c r="H1008" s="15"/>
      <c r="I1008" s="13"/>
    </row>
    <row r="1009" spans="1:9" customFormat="1" ht="21.95" customHeight="1" x14ac:dyDescent="0.15">
      <c r="A1009" s="17"/>
      <c r="B1009" s="40"/>
      <c r="C1009" s="40"/>
      <c r="D1009" s="40"/>
      <c r="E1009" s="38"/>
      <c r="F1009" s="85"/>
      <c r="G1009" s="40"/>
      <c r="H1009" s="38"/>
      <c r="I1009" s="40"/>
    </row>
    <row r="1010" spans="1:9" customFormat="1" ht="21.95" customHeight="1" x14ac:dyDescent="0.15">
      <c r="A1010" s="17"/>
      <c r="B1010" s="37"/>
      <c r="C1010" s="37"/>
      <c r="D1010" s="40"/>
      <c r="E1010" s="15"/>
      <c r="F1010" s="85"/>
      <c r="G1010" s="42"/>
      <c r="H1010" s="38"/>
      <c r="I1010" s="56"/>
    </row>
    <row r="1011" spans="1:9" customFormat="1" ht="21.95" customHeight="1" x14ac:dyDescent="0.15">
      <c r="A1011" s="17"/>
      <c r="B1011" s="37"/>
      <c r="C1011" s="95"/>
      <c r="D1011" s="40"/>
      <c r="E1011" s="15"/>
      <c r="F1011" s="85"/>
      <c r="G1011" s="42"/>
      <c r="H1011" s="38"/>
      <c r="I1011" s="56"/>
    </row>
    <row r="1012" spans="1:9" customFormat="1" ht="21.95" customHeight="1" x14ac:dyDescent="0.15">
      <c r="A1012" s="17"/>
      <c r="B1012" s="37"/>
      <c r="C1012" s="95"/>
      <c r="D1012" s="40"/>
      <c r="E1012" s="15"/>
      <c r="F1012" s="85"/>
      <c r="G1012" s="17"/>
      <c r="H1012" s="38"/>
      <c r="I1012" s="56"/>
    </row>
    <row r="1013" spans="1:9" customFormat="1" ht="21.95" customHeight="1" x14ac:dyDescent="0.15">
      <c r="A1013" s="17"/>
      <c r="B1013" s="37"/>
      <c r="C1013" s="37"/>
      <c r="D1013" s="40"/>
      <c r="E1013" s="15"/>
      <c r="F1013" s="85"/>
      <c r="G1013" s="42"/>
      <c r="H1013" s="38"/>
      <c r="I1013" s="56"/>
    </row>
    <row r="1014" spans="1:9" customFormat="1" ht="21.95" customHeight="1" x14ac:dyDescent="0.15">
      <c r="A1014" s="17"/>
      <c r="B1014" s="37"/>
      <c r="C1014" s="37"/>
      <c r="D1014" s="40"/>
      <c r="E1014" s="15"/>
      <c r="F1014" s="85"/>
      <c r="G1014" s="17"/>
      <c r="H1014" s="38"/>
      <c r="I1014" s="56"/>
    </row>
    <row r="1015" spans="1:9" customFormat="1" ht="21.95" customHeight="1" x14ac:dyDescent="0.15">
      <c r="A1015" s="17"/>
      <c r="B1015" s="37"/>
      <c r="C1015" s="37"/>
      <c r="D1015" s="40"/>
      <c r="E1015" s="15"/>
      <c r="F1015" s="85"/>
      <c r="G1015" s="42"/>
      <c r="H1015" s="38"/>
      <c r="I1015" s="56"/>
    </row>
    <row r="1016" spans="1:9" customFormat="1" ht="21.95" customHeight="1" x14ac:dyDescent="0.15">
      <c r="A1016" s="17"/>
      <c r="B1016" s="37"/>
      <c r="C1016" s="37"/>
      <c r="D1016" s="40"/>
      <c r="E1016" s="15"/>
      <c r="F1016" s="85"/>
      <c r="G1016" s="17"/>
      <c r="H1016" s="38"/>
      <c r="I1016" s="56"/>
    </row>
    <row r="1017" spans="1:9" customFormat="1" ht="21.95" customHeight="1" x14ac:dyDescent="0.15">
      <c r="A1017" s="17"/>
      <c r="B1017" s="37"/>
      <c r="C1017" s="37"/>
      <c r="D1017" s="40"/>
      <c r="E1017" s="15"/>
      <c r="F1017" s="85"/>
      <c r="G1017" s="42"/>
      <c r="H1017" s="38"/>
      <c r="I1017" s="56"/>
    </row>
    <row r="1018" spans="1:9" customFormat="1" ht="21.95" customHeight="1" x14ac:dyDescent="0.15">
      <c r="A1018" s="17"/>
      <c r="B1018" s="37"/>
      <c r="C1018" s="37"/>
      <c r="D1018" s="40"/>
      <c r="E1018" s="15"/>
      <c r="F1018" s="85"/>
      <c r="G1018" s="17"/>
      <c r="H1018" s="38"/>
      <c r="I1018" s="56"/>
    </row>
    <row r="1019" spans="1:9" customFormat="1" ht="21.95" customHeight="1" x14ac:dyDescent="0.15">
      <c r="A1019" s="17"/>
      <c r="B1019" s="37"/>
      <c r="C1019" s="37"/>
      <c r="D1019" s="40"/>
      <c r="E1019" s="15"/>
      <c r="F1019" s="85"/>
      <c r="G1019" s="42"/>
      <c r="H1019" s="38"/>
      <c r="I1019" s="56"/>
    </row>
    <row r="1020" spans="1:9" ht="21.95" customHeight="1" x14ac:dyDescent="0.15">
      <c r="A1020" s="17"/>
      <c r="B1020" s="37"/>
      <c r="C1020" s="37"/>
      <c r="D1020" s="37"/>
      <c r="E1020" s="15"/>
      <c r="F1020" s="85"/>
      <c r="G1020" s="17"/>
      <c r="H1020" s="38"/>
    </row>
    <row r="1021" spans="1:9" ht="21.95" customHeight="1" x14ac:dyDescent="0.15">
      <c r="A1021" s="17"/>
      <c r="B1021" s="37"/>
      <c r="C1021" s="37"/>
      <c r="D1021" s="37"/>
      <c r="E1021" s="15"/>
      <c r="F1021" s="85"/>
      <c r="H1021" s="38"/>
    </row>
    <row r="1022" spans="1:9" ht="21.95" customHeight="1" x14ac:dyDescent="0.15">
      <c r="A1022" s="17"/>
      <c r="B1022" s="37"/>
      <c r="C1022" s="37"/>
      <c r="D1022" s="37"/>
      <c r="E1022" s="15"/>
      <c r="F1022" s="85"/>
      <c r="H1022" s="38"/>
    </row>
    <row r="1023" spans="1:9" ht="21.95" customHeight="1" x14ac:dyDescent="0.15">
      <c r="A1023" s="17"/>
      <c r="B1023" s="37"/>
      <c r="C1023" s="37"/>
      <c r="D1023" s="37"/>
      <c r="E1023" s="15"/>
      <c r="F1023" s="85"/>
      <c r="G1023" s="17"/>
      <c r="H1023" s="38"/>
    </row>
    <row r="1024" spans="1:9" customFormat="1" ht="21.95" customHeight="1" x14ac:dyDescent="0.15">
      <c r="A1024" s="17"/>
      <c r="B1024" s="37"/>
      <c r="C1024" s="37"/>
      <c r="D1024" s="37"/>
      <c r="E1024" s="15"/>
      <c r="F1024" s="85"/>
      <c r="G1024" s="17"/>
      <c r="H1024" s="38"/>
      <c r="I1024" s="42"/>
    </row>
    <row r="1025" spans="1:9" customFormat="1" ht="21.95" customHeight="1" x14ac:dyDescent="0.15">
      <c r="A1025" s="17"/>
      <c r="B1025" s="37"/>
      <c r="C1025" s="37"/>
      <c r="D1025" s="37"/>
      <c r="E1025" s="15"/>
      <c r="F1025" s="85"/>
      <c r="G1025" s="17"/>
      <c r="H1025" s="38"/>
      <c r="I1025" s="42"/>
    </row>
    <row r="1026" spans="1:9" customFormat="1" ht="21.95" customHeight="1" x14ac:dyDescent="0.15">
      <c r="A1026" s="17"/>
      <c r="B1026" s="37"/>
      <c r="C1026" s="37"/>
      <c r="D1026" s="37"/>
      <c r="E1026" s="15"/>
      <c r="F1026" s="85"/>
      <c r="G1026" s="17"/>
      <c r="H1026" s="38"/>
      <c r="I1026" s="42"/>
    </row>
    <row r="1027" spans="1:9" customFormat="1" ht="21.95" customHeight="1" x14ac:dyDescent="0.15">
      <c r="A1027" s="17"/>
      <c r="B1027" s="37"/>
      <c r="C1027" s="37"/>
      <c r="D1027" s="37"/>
      <c r="E1027" s="15"/>
      <c r="F1027" s="85"/>
      <c r="G1027" s="17"/>
      <c r="H1027" s="38"/>
      <c r="I1027" s="42"/>
    </row>
    <row r="1028" spans="1:9" customFormat="1" ht="21.95" customHeight="1" x14ac:dyDescent="0.15">
      <c r="A1028" s="17"/>
      <c r="B1028" s="37"/>
      <c r="C1028" s="37"/>
      <c r="D1028" s="37"/>
      <c r="E1028" s="15"/>
      <c r="F1028" s="85"/>
      <c r="G1028" s="17"/>
      <c r="H1028" s="38"/>
      <c r="I1028" s="42"/>
    </row>
    <row r="1029" spans="1:9" customFormat="1" ht="21.95" customHeight="1" x14ac:dyDescent="0.15">
      <c r="A1029" s="17"/>
      <c r="B1029" s="37"/>
      <c r="C1029" s="37"/>
      <c r="D1029" s="37"/>
      <c r="E1029" s="15"/>
      <c r="F1029" s="85"/>
      <c r="G1029" s="17"/>
      <c r="H1029" s="38"/>
      <c r="I1029" s="42"/>
    </row>
    <row r="1030" spans="1:9" customFormat="1" ht="21.95" customHeight="1" x14ac:dyDescent="0.15">
      <c r="A1030" s="17"/>
      <c r="B1030" s="37"/>
      <c r="C1030" s="37"/>
      <c r="D1030" s="37"/>
      <c r="E1030" s="15"/>
      <c r="F1030" s="85"/>
      <c r="G1030" s="17"/>
      <c r="H1030" s="38"/>
      <c r="I1030" s="42"/>
    </row>
    <row r="1031" spans="1:9" customFormat="1" ht="21.95" customHeight="1" x14ac:dyDescent="0.15">
      <c r="A1031" s="17"/>
      <c r="B1031" s="37"/>
      <c r="C1031" s="37"/>
      <c r="D1031" s="37"/>
      <c r="E1031" s="15"/>
      <c r="F1031" s="85"/>
      <c r="G1031" s="17"/>
      <c r="H1031" s="38"/>
      <c r="I1031" s="42"/>
    </row>
    <row r="1032" spans="1:9" customFormat="1" ht="21.95" customHeight="1" x14ac:dyDescent="0.15">
      <c r="A1032" s="17"/>
      <c r="B1032" s="37"/>
      <c r="C1032" s="37"/>
      <c r="D1032" s="37"/>
      <c r="E1032" s="15"/>
      <c r="F1032" s="85"/>
      <c r="G1032" s="17"/>
      <c r="H1032" s="38"/>
      <c r="I1032" s="42"/>
    </row>
    <row r="1033" spans="1:9" customFormat="1" ht="21.95" customHeight="1" x14ac:dyDescent="0.15">
      <c r="A1033" s="17"/>
      <c r="B1033" s="37"/>
      <c r="C1033" s="37"/>
      <c r="D1033" s="37"/>
      <c r="E1033" s="15"/>
      <c r="F1033" s="85"/>
      <c r="G1033" s="17"/>
      <c r="H1033" s="38"/>
      <c r="I1033" s="56"/>
    </row>
    <row r="1034" spans="1:9" customFormat="1" ht="21.95" customHeight="1" x14ac:dyDescent="0.15">
      <c r="A1034" s="17"/>
      <c r="B1034" s="37"/>
      <c r="C1034" s="37"/>
      <c r="D1034" s="37"/>
      <c r="E1034" s="15"/>
      <c r="F1034" s="85"/>
      <c r="G1034" s="17"/>
      <c r="H1034" s="38"/>
      <c r="I1034" s="56"/>
    </row>
    <row r="1035" spans="1:9" customFormat="1" ht="32.1" customHeight="1" x14ac:dyDescent="0.15">
      <c r="A1035" s="17"/>
      <c r="B1035" s="37"/>
      <c r="C1035" s="37"/>
      <c r="D1035" s="37"/>
      <c r="E1035" s="15"/>
      <c r="F1035" s="85"/>
      <c r="G1035" s="17"/>
      <c r="H1035" s="38"/>
      <c r="I1035" s="56"/>
    </row>
    <row r="1036" spans="1:9" customFormat="1" ht="32.1" customHeight="1" x14ac:dyDescent="0.15">
      <c r="A1036" s="17"/>
      <c r="B1036" s="37"/>
      <c r="C1036" s="37"/>
      <c r="D1036" s="37"/>
      <c r="E1036" s="15"/>
      <c r="F1036" s="85"/>
      <c r="G1036" s="17"/>
      <c r="H1036" s="38"/>
      <c r="I1036" s="56"/>
    </row>
    <row r="1037" spans="1:9" customFormat="1" ht="32.1" customHeight="1" x14ac:dyDescent="0.15">
      <c r="A1037" s="17"/>
      <c r="B1037" s="37"/>
      <c r="C1037" s="37"/>
      <c r="D1037" s="37"/>
      <c r="E1037" s="15"/>
      <c r="F1037" s="85"/>
      <c r="G1037" s="17"/>
      <c r="H1037" s="38"/>
      <c r="I1037" s="56"/>
    </row>
    <row r="1038" spans="1:9" customFormat="1" ht="32.1" customHeight="1" x14ac:dyDescent="0.15">
      <c r="A1038" s="17"/>
      <c r="B1038" s="37"/>
      <c r="C1038" s="37"/>
      <c r="D1038" s="37"/>
      <c r="E1038" s="15"/>
      <c r="F1038" s="85"/>
      <c r="G1038" s="17"/>
      <c r="H1038" s="38"/>
      <c r="I1038" s="56"/>
    </row>
    <row r="1039" spans="1:9" customFormat="1" ht="32.1" customHeight="1" x14ac:dyDescent="0.15">
      <c r="A1039" s="17"/>
      <c r="B1039" s="37"/>
      <c r="C1039" s="37"/>
      <c r="D1039" s="37"/>
      <c r="E1039" s="15"/>
      <c r="F1039" s="85"/>
      <c r="G1039" s="17"/>
      <c r="H1039" s="38"/>
      <c r="I1039" s="56"/>
    </row>
    <row r="1040" spans="1:9" customFormat="1" ht="32.1" customHeight="1" x14ac:dyDescent="0.15">
      <c r="A1040" s="17"/>
      <c r="B1040" s="37"/>
      <c r="C1040" s="37"/>
      <c r="D1040" s="37"/>
      <c r="E1040" s="15"/>
      <c r="F1040" s="85"/>
      <c r="G1040" s="17"/>
      <c r="H1040" s="38"/>
      <c r="I1040" s="56"/>
    </row>
    <row r="1041" spans="1:9" ht="32.1" customHeight="1" x14ac:dyDescent="0.15">
      <c r="A1041" s="17"/>
      <c r="B1041" s="37"/>
      <c r="C1041" s="37"/>
      <c r="D1041" s="37"/>
      <c r="E1041" s="15"/>
      <c r="F1041" s="85"/>
      <c r="G1041" s="17"/>
      <c r="H1041" s="38"/>
      <c r="I1041" s="37"/>
    </row>
    <row r="1042" spans="1:9" ht="32.1" customHeight="1" x14ac:dyDescent="0.15">
      <c r="A1042" s="17"/>
      <c r="B1042" s="37"/>
      <c r="C1042" s="37"/>
      <c r="D1042" s="37"/>
      <c r="E1042" s="15"/>
      <c r="F1042" s="37"/>
      <c r="G1042" s="17"/>
      <c r="H1042" s="38"/>
      <c r="I1042" s="37"/>
    </row>
    <row r="1043" spans="1:9" ht="32.1" customHeight="1" x14ac:dyDescent="0.15">
      <c r="A1043" s="17"/>
      <c r="B1043" s="37"/>
      <c r="C1043" s="37"/>
      <c r="D1043" s="37"/>
      <c r="E1043" s="15"/>
      <c r="F1043" s="37"/>
      <c r="G1043" s="17"/>
      <c r="H1043" s="38"/>
      <c r="I1043" s="37"/>
    </row>
    <row r="1044" spans="1:9" ht="32.1" customHeight="1" x14ac:dyDescent="0.15">
      <c r="A1044" s="17"/>
      <c r="B1044" s="37"/>
      <c r="C1044" s="37"/>
      <c r="D1044" s="37"/>
      <c r="E1044" s="15"/>
      <c r="F1044" s="37"/>
      <c r="G1044" s="17"/>
      <c r="H1044" s="38"/>
      <c r="I1044" s="37"/>
    </row>
    <row r="1045" spans="1:9" ht="21.95" customHeight="1" x14ac:dyDescent="0.15">
      <c r="A1045" s="17"/>
      <c r="B1045" s="37"/>
      <c r="C1045" s="37"/>
      <c r="D1045" s="37"/>
      <c r="E1045" s="15"/>
      <c r="F1045" s="37"/>
      <c r="G1045" s="17"/>
      <c r="H1045" s="38"/>
      <c r="I1045" s="37"/>
    </row>
    <row r="1046" spans="1:9" ht="54" customHeight="1" x14ac:dyDescent="0.15">
      <c r="A1046" s="17"/>
      <c r="B1046" s="37"/>
      <c r="C1046" s="37"/>
      <c r="D1046" s="37"/>
      <c r="E1046" s="15"/>
      <c r="F1046" s="37"/>
      <c r="G1046" s="17"/>
      <c r="H1046" s="38"/>
      <c r="I1046" s="37"/>
    </row>
    <row r="1047" spans="1:9" ht="21.95" customHeight="1" x14ac:dyDescent="0.15">
      <c r="A1047" s="17"/>
      <c r="B1047" s="37"/>
      <c r="C1047" s="37"/>
      <c r="D1047" s="37"/>
      <c r="E1047" s="15"/>
      <c r="F1047" s="37"/>
      <c r="G1047" s="17"/>
      <c r="H1047" s="38"/>
      <c r="I1047" s="37"/>
    </row>
    <row r="1048" spans="1:9" ht="21.95" customHeight="1" x14ac:dyDescent="0.15">
      <c r="A1048" s="17"/>
      <c r="B1048" s="37"/>
      <c r="C1048" s="37"/>
      <c r="D1048" s="37"/>
      <c r="E1048" s="15"/>
      <c r="F1048" s="37"/>
      <c r="G1048" s="17"/>
      <c r="H1048" s="38"/>
      <c r="I1048" s="37"/>
    </row>
    <row r="1049" spans="1:9" ht="21.95" customHeight="1" x14ac:dyDescent="0.15">
      <c r="A1049" s="17"/>
      <c r="B1049" s="37"/>
      <c r="C1049" s="37"/>
      <c r="D1049" s="37"/>
      <c r="E1049" s="15"/>
      <c r="F1049" s="37"/>
      <c r="G1049" s="17"/>
      <c r="H1049" s="38"/>
      <c r="I1049" s="37"/>
    </row>
    <row r="1050" spans="1:9" ht="21.95" customHeight="1" x14ac:dyDescent="0.15">
      <c r="A1050" s="17"/>
      <c r="B1050" s="37"/>
      <c r="C1050" s="37"/>
      <c r="D1050" s="37"/>
      <c r="E1050" s="15"/>
      <c r="F1050" s="37"/>
      <c r="G1050" s="17"/>
      <c r="H1050" s="38"/>
      <c r="I1050" s="37"/>
    </row>
    <row r="1051" spans="1:9" ht="21.95" customHeight="1" x14ac:dyDescent="0.15">
      <c r="A1051" s="17"/>
      <c r="B1051" s="37"/>
      <c r="C1051" s="37"/>
      <c r="E1051" s="15"/>
      <c r="G1051" s="17"/>
      <c r="H1051" s="38"/>
    </row>
    <row r="1052" spans="1:9" ht="21.95" customHeight="1" x14ac:dyDescent="0.15">
      <c r="A1052" s="17"/>
      <c r="B1052" s="37"/>
      <c r="C1052" s="37"/>
      <c r="E1052" s="15"/>
      <c r="G1052" s="17"/>
      <c r="H1052" s="38"/>
    </row>
    <row r="1053" spans="1:9" ht="21.95" customHeight="1" x14ac:dyDescent="0.15">
      <c r="A1053" s="17"/>
      <c r="B1053" s="37"/>
      <c r="C1053" s="37"/>
      <c r="E1053" s="15"/>
      <c r="F1053" s="37"/>
      <c r="G1053" s="13"/>
      <c r="H1053" s="38"/>
    </row>
    <row r="1054" spans="1:9" ht="21.95" customHeight="1" x14ac:dyDescent="0.15">
      <c r="A1054" s="17"/>
      <c r="B1054" s="37"/>
      <c r="C1054" s="37"/>
      <c r="E1054" s="15"/>
      <c r="F1054" s="37"/>
      <c r="G1054" s="13"/>
      <c r="H1054" s="38"/>
    </row>
    <row r="1055" spans="1:9" ht="21.95" customHeight="1" x14ac:dyDescent="0.15">
      <c r="A1055" s="17"/>
      <c r="B1055" s="37"/>
      <c r="C1055" s="37"/>
      <c r="D1055" s="37"/>
      <c r="E1055" s="15"/>
      <c r="F1055" s="37"/>
      <c r="G1055" s="13"/>
      <c r="H1055" s="38"/>
    </row>
    <row r="1056" spans="1:9" ht="21.95" customHeight="1" x14ac:dyDescent="0.15">
      <c r="A1056" s="17"/>
      <c r="B1056" s="37"/>
      <c r="C1056" s="37"/>
      <c r="D1056" s="37"/>
      <c r="E1056" s="15"/>
      <c r="F1056" s="37"/>
      <c r="G1056" s="13"/>
      <c r="H1056" s="38"/>
    </row>
    <row r="1057" spans="1:8" ht="21.95" customHeight="1" x14ac:dyDescent="0.15">
      <c r="A1057" s="17"/>
      <c r="B1057" s="37"/>
      <c r="C1057" s="37"/>
      <c r="D1057" s="37"/>
      <c r="E1057" s="15"/>
      <c r="F1057" s="37"/>
      <c r="G1057" s="13"/>
      <c r="H1057" s="38"/>
    </row>
    <row r="1058" spans="1:8" ht="21.95" customHeight="1" x14ac:dyDescent="0.15">
      <c r="A1058" s="17"/>
      <c r="B1058" s="37"/>
      <c r="C1058" s="37"/>
      <c r="D1058" s="37"/>
      <c r="E1058" s="15"/>
      <c r="F1058" s="37"/>
      <c r="G1058" s="13"/>
      <c r="H1058" s="38"/>
    </row>
    <row r="1059" spans="1:8" ht="21.95" customHeight="1" x14ac:dyDescent="0.15">
      <c r="A1059" s="17"/>
      <c r="B1059" s="37"/>
      <c r="C1059" s="37"/>
      <c r="D1059" s="37"/>
      <c r="E1059" s="15"/>
      <c r="F1059" s="37"/>
      <c r="G1059" s="13"/>
      <c r="H1059" s="38"/>
    </row>
    <row r="1060" spans="1:8" ht="21.95" customHeight="1" x14ac:dyDescent="0.15">
      <c r="A1060" s="17"/>
      <c r="B1060" s="37"/>
      <c r="C1060" s="37"/>
      <c r="D1060" s="37"/>
      <c r="E1060" s="15"/>
      <c r="F1060" s="37"/>
      <c r="G1060" s="13"/>
      <c r="H1060" s="38"/>
    </row>
    <row r="1061" spans="1:8" ht="21.95" customHeight="1" x14ac:dyDescent="0.15">
      <c r="A1061" s="17"/>
      <c r="B1061" s="37"/>
      <c r="C1061" s="37"/>
      <c r="D1061" s="37"/>
      <c r="E1061" s="15"/>
      <c r="F1061" s="37"/>
      <c r="G1061" s="13"/>
      <c r="H1061" s="38"/>
    </row>
    <row r="1062" spans="1:8" ht="21.95" customHeight="1" x14ac:dyDescent="0.15">
      <c r="A1062" s="17"/>
      <c r="B1062" s="37"/>
      <c r="C1062" s="37"/>
      <c r="D1062" s="37"/>
      <c r="E1062" s="15"/>
      <c r="F1062" s="37"/>
      <c r="G1062" s="13"/>
      <c r="H1062" s="38"/>
    </row>
    <row r="1063" spans="1:8" ht="21.95" customHeight="1" x14ac:dyDescent="0.15">
      <c r="A1063" s="17"/>
      <c r="B1063" s="37"/>
      <c r="C1063" s="37"/>
      <c r="D1063" s="37"/>
      <c r="E1063" s="15"/>
      <c r="F1063" s="37"/>
      <c r="G1063" s="13"/>
      <c r="H1063" s="38"/>
    </row>
    <row r="1064" spans="1:8" ht="21.95" customHeight="1" x14ac:dyDescent="0.15">
      <c r="A1064" s="17"/>
      <c r="B1064" s="37"/>
      <c r="C1064" s="37"/>
      <c r="D1064" s="37"/>
      <c r="E1064" s="15"/>
      <c r="F1064" s="37"/>
      <c r="G1064" s="13"/>
      <c r="H1064" s="15"/>
    </row>
    <row r="1065" spans="1:8" ht="21.95" customHeight="1" x14ac:dyDescent="0.15">
      <c r="A1065" s="17"/>
      <c r="B1065" s="37"/>
      <c r="C1065" s="37"/>
      <c r="D1065" s="37"/>
      <c r="E1065" s="15"/>
      <c r="F1065" s="37"/>
      <c r="G1065" s="13"/>
      <c r="H1065" s="15"/>
    </row>
    <row r="1066" spans="1:8" ht="21.95" customHeight="1" x14ac:dyDescent="0.15">
      <c r="A1066" s="17"/>
      <c r="B1066" s="37"/>
      <c r="C1066" s="37"/>
      <c r="D1066" s="37"/>
      <c r="E1066" s="15"/>
      <c r="F1066" s="37"/>
      <c r="G1066" s="13"/>
      <c r="H1066" s="15"/>
    </row>
    <row r="1067" spans="1:8" ht="21.95" customHeight="1" x14ac:dyDescent="0.15">
      <c r="A1067" s="17"/>
      <c r="B1067" s="37"/>
      <c r="C1067" s="37"/>
      <c r="D1067" s="37"/>
      <c r="E1067" s="15"/>
      <c r="F1067" s="37"/>
      <c r="G1067" s="13"/>
      <c r="H1067" s="15"/>
    </row>
    <row r="1068" spans="1:8" ht="21.95" customHeight="1" x14ac:dyDescent="0.15">
      <c r="A1068" s="17"/>
      <c r="B1068" s="37"/>
      <c r="C1068" s="37"/>
      <c r="D1068" s="37"/>
      <c r="E1068" s="15"/>
      <c r="F1068" s="37"/>
      <c r="G1068" s="13"/>
      <c r="H1068" s="15"/>
    </row>
    <row r="1069" spans="1:8" ht="21.95" customHeight="1" x14ac:dyDescent="0.15">
      <c r="A1069" s="17"/>
      <c r="B1069" s="37"/>
      <c r="C1069" s="37"/>
      <c r="D1069" s="37"/>
      <c r="E1069" s="15"/>
      <c r="F1069" s="37"/>
      <c r="G1069" s="13"/>
      <c r="H1069" s="15"/>
    </row>
    <row r="1070" spans="1:8" ht="21.95" customHeight="1" x14ac:dyDescent="0.15">
      <c r="A1070" s="17"/>
      <c r="B1070" s="37"/>
      <c r="C1070" s="37"/>
      <c r="D1070" s="37"/>
      <c r="E1070" s="15"/>
      <c r="F1070" s="37"/>
      <c r="G1070" s="13"/>
      <c r="H1070" s="15"/>
    </row>
    <row r="1071" spans="1:8" ht="21.95" customHeight="1" x14ac:dyDescent="0.15">
      <c r="A1071" s="17"/>
      <c r="B1071" s="37"/>
      <c r="C1071" s="37"/>
      <c r="D1071" s="37"/>
      <c r="E1071" s="15"/>
      <c r="F1071" s="37"/>
      <c r="G1071" s="13"/>
      <c r="H1071" s="15"/>
    </row>
    <row r="1072" spans="1:8" ht="21.95" customHeight="1" x14ac:dyDescent="0.15">
      <c r="A1072" s="17"/>
      <c r="B1072" s="37"/>
      <c r="C1072" s="37"/>
      <c r="D1072" s="37"/>
      <c r="E1072" s="15"/>
      <c r="F1072" s="37"/>
      <c r="G1072" s="13"/>
      <c r="H1072" s="15"/>
    </row>
    <row r="1073" spans="1:8" ht="21.95" customHeight="1" x14ac:dyDescent="0.15">
      <c r="A1073" s="17"/>
      <c r="B1073" s="37"/>
      <c r="C1073" s="37"/>
      <c r="D1073" s="37"/>
      <c r="E1073" s="15"/>
      <c r="F1073" s="37"/>
      <c r="G1073" s="13"/>
      <c r="H1073" s="15"/>
    </row>
    <row r="1074" spans="1:8" ht="21.95" customHeight="1" x14ac:dyDescent="0.15">
      <c r="A1074" s="17"/>
      <c r="B1074" s="37"/>
      <c r="C1074" s="37"/>
      <c r="D1074" s="37"/>
      <c r="E1074" s="15"/>
      <c r="F1074" s="37"/>
      <c r="G1074" s="13"/>
      <c r="H1074" s="15"/>
    </row>
    <row r="1075" spans="1:8" ht="21.95" customHeight="1" x14ac:dyDescent="0.15">
      <c r="A1075" s="17"/>
      <c r="B1075" s="37"/>
      <c r="C1075" s="37"/>
      <c r="D1075" s="37"/>
      <c r="E1075" s="15"/>
      <c r="F1075" s="37"/>
      <c r="G1075" s="13"/>
      <c r="H1075" s="15"/>
    </row>
    <row r="1076" spans="1:8" ht="21.95" customHeight="1" x14ac:dyDescent="0.15">
      <c r="A1076" s="17"/>
      <c r="B1076" s="37"/>
      <c r="C1076" s="37"/>
      <c r="D1076" s="37"/>
      <c r="E1076" s="15"/>
      <c r="F1076" s="37"/>
      <c r="G1076" s="13"/>
      <c r="H1076" s="15"/>
    </row>
    <row r="1077" spans="1:8" ht="21.95" customHeight="1" x14ac:dyDescent="0.15">
      <c r="A1077" s="17"/>
      <c r="B1077" s="37"/>
      <c r="C1077" s="37"/>
      <c r="D1077" s="37"/>
      <c r="E1077" s="15"/>
      <c r="F1077" s="37"/>
      <c r="G1077" s="13"/>
      <c r="H1077" s="15"/>
    </row>
    <row r="1078" spans="1:8" ht="21.95" customHeight="1" x14ac:dyDescent="0.15">
      <c r="A1078" s="17"/>
      <c r="B1078" s="37"/>
      <c r="C1078" s="37"/>
      <c r="D1078" s="37"/>
      <c r="E1078" s="15"/>
      <c r="F1078" s="37"/>
      <c r="G1078" s="13"/>
      <c r="H1078" s="15"/>
    </row>
    <row r="1079" spans="1:8" ht="21.95" customHeight="1" x14ac:dyDescent="0.15">
      <c r="A1079" s="17"/>
      <c r="B1079" s="37"/>
      <c r="C1079" s="37"/>
      <c r="D1079" s="37"/>
      <c r="E1079" s="15"/>
      <c r="F1079" s="37"/>
      <c r="G1079" s="13"/>
      <c r="H1079" s="15"/>
    </row>
    <row r="1080" spans="1:8" ht="21.95" customHeight="1" x14ac:dyDescent="0.15">
      <c r="A1080" s="17"/>
      <c r="B1080" s="37"/>
      <c r="C1080" s="37"/>
      <c r="D1080" s="37"/>
      <c r="E1080" s="15"/>
      <c r="F1080" s="37"/>
      <c r="G1080" s="13"/>
      <c r="H1080" s="15"/>
    </row>
    <row r="1081" spans="1:8" ht="21.95" customHeight="1" x14ac:dyDescent="0.15">
      <c r="A1081" s="17"/>
      <c r="B1081" s="37"/>
      <c r="C1081" s="37"/>
      <c r="D1081" s="37"/>
      <c r="E1081" s="15"/>
      <c r="F1081" s="37"/>
      <c r="G1081" s="13"/>
      <c r="H1081" s="15"/>
    </row>
    <row r="1082" spans="1:8" ht="21.95" customHeight="1" x14ac:dyDescent="0.15">
      <c r="A1082" s="17"/>
      <c r="B1082" s="37"/>
      <c r="C1082" s="37"/>
      <c r="D1082" s="37"/>
      <c r="E1082" s="15"/>
      <c r="F1082" s="37"/>
      <c r="G1082" s="37"/>
      <c r="H1082" s="15"/>
    </row>
    <row r="1083" spans="1:8" ht="21.95" customHeight="1" x14ac:dyDescent="0.15">
      <c r="A1083" s="17"/>
      <c r="B1083" s="37"/>
      <c r="C1083" s="37"/>
      <c r="D1083" s="37"/>
      <c r="E1083" s="15"/>
      <c r="F1083" s="37"/>
      <c r="G1083" s="13"/>
      <c r="H1083" s="15"/>
    </row>
    <row r="1084" spans="1:8" ht="21.95" customHeight="1" x14ac:dyDescent="0.15">
      <c r="A1084" s="17"/>
      <c r="B1084" s="37"/>
      <c r="C1084" s="37"/>
      <c r="D1084" s="37"/>
      <c r="E1084" s="15"/>
      <c r="F1084" s="37"/>
      <c r="G1084" s="13"/>
      <c r="H1084" s="15"/>
    </row>
    <row r="1085" spans="1:8" ht="21.95" customHeight="1" x14ac:dyDescent="0.15">
      <c r="A1085" s="17"/>
      <c r="B1085" s="37"/>
      <c r="C1085" s="37"/>
      <c r="D1085" s="37"/>
      <c r="E1085" s="15"/>
      <c r="F1085" s="37"/>
      <c r="G1085" s="13"/>
      <c r="H1085" s="15"/>
    </row>
    <row r="1086" spans="1:8" ht="21.95" customHeight="1" x14ac:dyDescent="0.15">
      <c r="A1086" s="17"/>
      <c r="B1086" s="37"/>
      <c r="C1086" s="37"/>
      <c r="D1086" s="37"/>
      <c r="E1086" s="15"/>
      <c r="F1086" s="37"/>
      <c r="G1086" s="13"/>
      <c r="H1086" s="15"/>
    </row>
    <row r="1087" spans="1:8" ht="21.95" customHeight="1" x14ac:dyDescent="0.15">
      <c r="A1087" s="17"/>
      <c r="B1087" s="37"/>
      <c r="C1087" s="37"/>
      <c r="D1087" s="37"/>
      <c r="E1087" s="15"/>
      <c r="F1087" s="37"/>
      <c r="G1087" s="13"/>
      <c r="H1087" s="15"/>
    </row>
    <row r="1088" spans="1:8" ht="21.95" customHeight="1" x14ac:dyDescent="0.15">
      <c r="A1088" s="17"/>
      <c r="B1088" s="37"/>
      <c r="C1088" s="37"/>
      <c r="D1088" s="37"/>
      <c r="E1088" s="15"/>
      <c r="F1088" s="37"/>
      <c r="G1088" s="13"/>
      <c r="H1088" s="15"/>
    </row>
    <row r="1089" spans="1:9" ht="21.95" customHeight="1" x14ac:dyDescent="0.15">
      <c r="A1089" s="17"/>
      <c r="B1089" s="37"/>
      <c r="C1089" s="37"/>
      <c r="D1089" s="37"/>
      <c r="E1089" s="15"/>
      <c r="F1089" s="37"/>
      <c r="G1089" s="13"/>
      <c r="H1089" s="15"/>
    </row>
    <row r="1090" spans="1:9" ht="21.95" customHeight="1" x14ac:dyDescent="0.15">
      <c r="A1090" s="17"/>
      <c r="B1090" s="37"/>
      <c r="C1090" s="37"/>
      <c r="D1090" s="37"/>
      <c r="E1090" s="15"/>
      <c r="F1090" s="37"/>
      <c r="G1090" s="13"/>
      <c r="H1090" s="15"/>
    </row>
    <row r="1091" spans="1:9" ht="21.95" customHeight="1" x14ac:dyDescent="0.15">
      <c r="A1091" s="17"/>
      <c r="B1091" s="37"/>
      <c r="C1091" s="37"/>
      <c r="D1091" s="37"/>
      <c r="E1091" s="15"/>
      <c r="F1091" s="37"/>
      <c r="G1091" s="13"/>
      <c r="H1091" s="15"/>
    </row>
    <row r="1092" spans="1:9" ht="21.95" customHeight="1" x14ac:dyDescent="0.15">
      <c r="A1092" s="17"/>
      <c r="B1092" s="37"/>
      <c r="C1092" s="37"/>
      <c r="D1092" s="37"/>
      <c r="E1092" s="15"/>
      <c r="F1092" s="37"/>
      <c r="G1092" s="13"/>
      <c r="H1092" s="15"/>
    </row>
    <row r="1093" spans="1:9" ht="21.95" customHeight="1" x14ac:dyDescent="0.15">
      <c r="A1093" s="17"/>
      <c r="B1093" s="37"/>
      <c r="C1093" s="37"/>
      <c r="D1093" s="37"/>
      <c r="E1093" s="15"/>
      <c r="F1093" s="37"/>
      <c r="G1093" s="13"/>
      <c r="H1093" s="15"/>
    </row>
    <row r="1094" spans="1:9" ht="21.95" customHeight="1" x14ac:dyDescent="0.15">
      <c r="A1094" s="17"/>
      <c r="B1094" s="37"/>
      <c r="C1094" s="37"/>
      <c r="D1094" s="37"/>
      <c r="E1094" s="15"/>
      <c r="F1094" s="37"/>
      <c r="G1094" s="13"/>
      <c r="H1094" s="15"/>
    </row>
    <row r="1095" spans="1:9" ht="21.95" customHeight="1" x14ac:dyDescent="0.15">
      <c r="A1095" s="17"/>
      <c r="B1095" s="37"/>
      <c r="C1095" s="37"/>
      <c r="D1095" s="37"/>
      <c r="E1095" s="15"/>
      <c r="F1095" s="37"/>
      <c r="G1095" s="13"/>
      <c r="H1095" s="38"/>
      <c r="I1095" s="84"/>
    </row>
    <row r="1096" spans="1:9" ht="21.95" customHeight="1" x14ac:dyDescent="0.15">
      <c r="A1096" s="17"/>
      <c r="B1096" s="37"/>
      <c r="C1096" s="37"/>
      <c r="D1096" s="37"/>
      <c r="E1096" s="15"/>
      <c r="F1096" s="37"/>
      <c r="G1096" s="13"/>
      <c r="H1096" s="15"/>
      <c r="I1096" s="84"/>
    </row>
    <row r="1097" spans="1:9" ht="35.1" customHeight="1" x14ac:dyDescent="0.15">
      <c r="A1097" s="17"/>
      <c r="B1097" s="37"/>
      <c r="C1097" s="37"/>
      <c r="D1097" s="37"/>
      <c r="E1097" s="15"/>
      <c r="F1097" s="15"/>
      <c r="G1097" s="37"/>
      <c r="H1097" s="15"/>
    </row>
    <row r="1098" spans="1:9" ht="21.95" customHeight="1" x14ac:dyDescent="0.15">
      <c r="A1098" s="17"/>
      <c r="B1098" s="37"/>
      <c r="C1098" s="37"/>
      <c r="D1098" s="37"/>
      <c r="E1098" s="15"/>
      <c r="F1098" s="37"/>
      <c r="G1098" s="13"/>
      <c r="H1098" s="15"/>
    </row>
    <row r="1099" spans="1:9" ht="21.95" customHeight="1" x14ac:dyDescent="0.15">
      <c r="A1099" s="17"/>
      <c r="B1099" s="37"/>
      <c r="C1099" s="37"/>
      <c r="D1099" s="37"/>
      <c r="E1099" s="15"/>
      <c r="F1099" s="37"/>
      <c r="G1099" s="13"/>
      <c r="H1099" s="15"/>
    </row>
    <row r="1100" spans="1:9" ht="21.95" customHeight="1" x14ac:dyDescent="0.15">
      <c r="A1100" s="17"/>
      <c r="B1100" s="37"/>
      <c r="C1100" s="37"/>
      <c r="D1100" s="37"/>
      <c r="E1100" s="15"/>
      <c r="F1100" s="37"/>
      <c r="G1100" s="13"/>
      <c r="H1100" s="15"/>
    </row>
    <row r="1101" spans="1:9" ht="21.95" customHeight="1" x14ac:dyDescent="0.15">
      <c r="A1101" s="17"/>
      <c r="B1101" s="37"/>
      <c r="C1101" s="37"/>
      <c r="D1101" s="37"/>
      <c r="E1101" s="15"/>
      <c r="F1101" s="37"/>
      <c r="G1101" s="13"/>
      <c r="H1101" s="15"/>
    </row>
    <row r="1102" spans="1:9" ht="21.95" customHeight="1" x14ac:dyDescent="0.15">
      <c r="A1102" s="17"/>
      <c r="B1102" s="37"/>
      <c r="C1102" s="37"/>
      <c r="D1102" s="37"/>
      <c r="E1102" s="15"/>
      <c r="F1102" s="37"/>
      <c r="G1102" s="13"/>
      <c r="H1102" s="15"/>
    </row>
    <row r="1103" spans="1:9" ht="21.95" customHeight="1" x14ac:dyDescent="0.15">
      <c r="A1103" s="17"/>
      <c r="B1103" s="37"/>
      <c r="C1103" s="37"/>
      <c r="D1103" s="37"/>
      <c r="E1103" s="15"/>
      <c r="F1103" s="37"/>
      <c r="G1103" s="13"/>
      <c r="H1103" s="15"/>
      <c r="I1103" s="37"/>
    </row>
    <row r="1104" spans="1:9" ht="21.95" customHeight="1" x14ac:dyDescent="0.15">
      <c r="A1104" s="17"/>
      <c r="B1104" s="37"/>
      <c r="C1104" s="37"/>
      <c r="D1104" s="37"/>
      <c r="E1104" s="15"/>
      <c r="F1104" s="37"/>
      <c r="G1104" s="37"/>
      <c r="H1104" s="15"/>
      <c r="I1104" s="37"/>
    </row>
    <row r="1105" spans="1:9" ht="21.95" customHeight="1" x14ac:dyDescent="0.15">
      <c r="A1105" s="17"/>
      <c r="B1105" s="37"/>
      <c r="C1105" s="37"/>
      <c r="D1105" s="37"/>
      <c r="E1105" s="15"/>
      <c r="F1105" s="37"/>
      <c r="G1105" s="37"/>
      <c r="H1105" s="38"/>
      <c r="I1105" s="37"/>
    </row>
    <row r="1106" spans="1:9" ht="21.95" customHeight="1" x14ac:dyDescent="0.15">
      <c r="A1106" s="17"/>
      <c r="B1106" s="37"/>
      <c r="C1106" s="37"/>
      <c r="D1106" s="37"/>
      <c r="E1106" s="15"/>
      <c r="F1106" s="37"/>
      <c r="G1106" s="37"/>
      <c r="H1106" s="38"/>
      <c r="I1106" s="37"/>
    </row>
    <row r="1107" spans="1:9" ht="21.95" customHeight="1" x14ac:dyDescent="0.15">
      <c r="A1107" s="17"/>
      <c r="B1107" s="37"/>
      <c r="C1107" s="37"/>
      <c r="D1107" s="37"/>
      <c r="E1107" s="15"/>
      <c r="F1107" s="37"/>
      <c r="G1107" s="13"/>
      <c r="H1107" s="15"/>
      <c r="I1107" s="37"/>
    </row>
    <row r="1108" spans="1:9" ht="21.95" customHeight="1" x14ac:dyDescent="0.15">
      <c r="A1108" s="17"/>
      <c r="B1108" s="37"/>
      <c r="C1108" s="37"/>
      <c r="D1108" s="37"/>
      <c r="E1108" s="15"/>
      <c r="F1108" s="37"/>
      <c r="G1108" s="13"/>
      <c r="H1108" s="15"/>
      <c r="I1108" s="37"/>
    </row>
    <row r="1109" spans="1:9" ht="21.95" customHeight="1" x14ac:dyDescent="0.15">
      <c r="A1109" s="17"/>
      <c r="B1109" s="37"/>
      <c r="C1109" s="37"/>
      <c r="D1109" s="37"/>
      <c r="E1109" s="15"/>
      <c r="F1109" s="37"/>
      <c r="G1109" s="13"/>
      <c r="H1109" s="15"/>
      <c r="I1109" s="37"/>
    </row>
    <row r="1110" spans="1:9" ht="21.95" customHeight="1" x14ac:dyDescent="0.15">
      <c r="A1110" s="17"/>
      <c r="B1110" s="37"/>
      <c r="C1110" s="37"/>
      <c r="E1110" s="15"/>
      <c r="F1110" s="37"/>
      <c r="H1110" s="38"/>
    </row>
    <row r="1111" spans="1:9" ht="21.95" customHeight="1" x14ac:dyDescent="0.15">
      <c r="A1111" s="17"/>
      <c r="B1111" s="37"/>
      <c r="C1111" s="37"/>
      <c r="E1111" s="15"/>
      <c r="F1111" s="37"/>
    </row>
    <row r="1112" spans="1:9" ht="21.95" customHeight="1" x14ac:dyDescent="0.15">
      <c r="A1112" s="17"/>
      <c r="B1112" s="37"/>
      <c r="C1112" s="37"/>
      <c r="E1112" s="15"/>
      <c r="G1112" s="77"/>
    </row>
    <row r="1113" spans="1:9" ht="21.95" customHeight="1" x14ac:dyDescent="0.15">
      <c r="A1113" s="17"/>
      <c r="B1113" s="37"/>
      <c r="C1113" s="37"/>
      <c r="D1113" s="37"/>
      <c r="E1113" s="15"/>
      <c r="F1113" s="37"/>
      <c r="G1113" s="37"/>
      <c r="H1113" s="15"/>
    </row>
    <row r="1114" spans="1:9" ht="21.95" customHeight="1" x14ac:dyDescent="0.15">
      <c r="A1114" s="17"/>
      <c r="B1114" s="37"/>
      <c r="C1114" s="37"/>
      <c r="D1114" s="37"/>
      <c r="E1114" s="15"/>
      <c r="F1114" s="37"/>
      <c r="G1114" s="13"/>
      <c r="H1114" s="15"/>
    </row>
    <row r="1115" spans="1:9" ht="21.95" customHeight="1" x14ac:dyDescent="0.15">
      <c r="A1115" s="17"/>
      <c r="B1115" s="37"/>
      <c r="C1115" s="37"/>
      <c r="D1115" s="37"/>
      <c r="E1115" s="15"/>
      <c r="F1115" s="37"/>
      <c r="G1115" s="13"/>
      <c r="H1115" s="15"/>
    </row>
    <row r="1116" spans="1:9" ht="21.95" customHeight="1" x14ac:dyDescent="0.15">
      <c r="A1116" s="17"/>
      <c r="C1116" s="37"/>
    </row>
    <row r="1117" spans="1:9" ht="21.95" customHeight="1" x14ac:dyDescent="0.15">
      <c r="A1117" s="17"/>
      <c r="B1117" s="37"/>
      <c r="C1117" s="37"/>
      <c r="D1117" s="13"/>
      <c r="E1117" s="15"/>
      <c r="F1117" s="37"/>
      <c r="G1117" s="13"/>
      <c r="H1117" s="15"/>
      <c r="I1117" s="13"/>
    </row>
    <row r="1118" spans="1:9" ht="21.95" customHeight="1" x14ac:dyDescent="0.15">
      <c r="A1118" s="17"/>
      <c r="B1118" s="13"/>
      <c r="C1118" s="13"/>
      <c r="D1118" s="13"/>
      <c r="E1118" s="15"/>
      <c r="F1118" s="37"/>
      <c r="G1118" s="13"/>
      <c r="H1118" s="15"/>
      <c r="I1118" s="13"/>
    </row>
    <row r="1119" spans="1:9" ht="21.95" customHeight="1" x14ac:dyDescent="0.15">
      <c r="A1119" s="17"/>
      <c r="B1119" s="13"/>
      <c r="C1119" s="13"/>
      <c r="D1119" s="13"/>
      <c r="E1119" s="15"/>
      <c r="F1119" s="37"/>
      <c r="G1119" s="13"/>
      <c r="H1119" s="15"/>
      <c r="I1119" s="13"/>
    </row>
    <row r="1120" spans="1:9" ht="21.95" customHeight="1" x14ac:dyDescent="0.15">
      <c r="A1120" s="17"/>
      <c r="B1120" s="13"/>
      <c r="C1120" s="13"/>
      <c r="D1120" s="13"/>
      <c r="E1120" s="15"/>
      <c r="F1120" s="37"/>
      <c r="G1120" s="13"/>
      <c r="H1120" s="15"/>
      <c r="I1120" s="13"/>
    </row>
    <row r="1121" spans="1:9" customFormat="1" ht="21.95" customHeight="1" x14ac:dyDescent="0.15">
      <c r="A1121" s="17"/>
      <c r="B1121" s="40"/>
      <c r="C1121" s="40"/>
      <c r="D1121" s="40"/>
      <c r="E1121" s="38"/>
      <c r="F1121" s="85"/>
      <c r="G1121" s="40"/>
      <c r="H1121" s="38"/>
      <c r="I1121" s="40"/>
    </row>
    <row r="1122" spans="1:9" customFormat="1" ht="21.95" customHeight="1" x14ac:dyDescent="0.15">
      <c r="A1122" s="17"/>
      <c r="B1122" s="37"/>
      <c r="C1122" s="37"/>
      <c r="D1122" s="40"/>
      <c r="E1122" s="15"/>
      <c r="F1122" s="85"/>
      <c r="G1122" s="42"/>
      <c r="H1122" s="38"/>
      <c r="I1122" s="56"/>
    </row>
    <row r="1123" spans="1:9" customFormat="1" ht="21.95" customHeight="1" x14ac:dyDescent="0.15">
      <c r="A1123" s="17"/>
      <c r="B1123" s="37"/>
      <c r="C1123" s="95"/>
      <c r="D1123" s="40"/>
      <c r="E1123" s="15"/>
      <c r="F1123" s="85"/>
      <c r="G1123" s="42"/>
      <c r="H1123" s="38"/>
      <c r="I1123" s="56"/>
    </row>
    <row r="1124" spans="1:9" customFormat="1" ht="21.95" customHeight="1" x14ac:dyDescent="0.15">
      <c r="A1124" s="17"/>
      <c r="B1124" s="37"/>
      <c r="C1124" s="95"/>
      <c r="D1124" s="40"/>
      <c r="E1124" s="15"/>
      <c r="F1124" s="85"/>
      <c r="G1124" s="17"/>
      <c r="H1124" s="38"/>
      <c r="I1124" s="56"/>
    </row>
    <row r="1125" spans="1:9" customFormat="1" ht="21.95" customHeight="1" x14ac:dyDescent="0.15">
      <c r="A1125" s="17"/>
      <c r="B1125" s="37"/>
      <c r="C1125" s="37"/>
      <c r="D1125" s="40"/>
      <c r="E1125" s="15"/>
      <c r="F1125" s="85"/>
      <c r="G1125" s="42"/>
      <c r="H1125" s="38"/>
      <c r="I1125" s="56"/>
    </row>
    <row r="1126" spans="1:9" customFormat="1" ht="21.95" customHeight="1" x14ac:dyDescent="0.15">
      <c r="A1126" s="17"/>
      <c r="B1126" s="37"/>
      <c r="C1126" s="37"/>
      <c r="D1126" s="40"/>
      <c r="E1126" s="15"/>
      <c r="F1126" s="85"/>
      <c r="G1126" s="17"/>
      <c r="H1126" s="38"/>
      <c r="I1126" s="56"/>
    </row>
    <row r="1127" spans="1:9" customFormat="1" ht="21.95" customHeight="1" x14ac:dyDescent="0.15">
      <c r="A1127" s="17"/>
      <c r="B1127" s="37"/>
      <c r="C1127" s="37"/>
      <c r="D1127" s="40"/>
      <c r="E1127" s="15"/>
      <c r="F1127" s="85"/>
      <c r="G1127" s="42"/>
      <c r="H1127" s="38"/>
      <c r="I1127" s="56"/>
    </row>
    <row r="1128" spans="1:9" customFormat="1" ht="21.95" customHeight="1" x14ac:dyDescent="0.15">
      <c r="A1128" s="17"/>
      <c r="B1128" s="37"/>
      <c r="C1128" s="37"/>
      <c r="D1128" s="40"/>
      <c r="E1128" s="15"/>
      <c r="F1128" s="85"/>
      <c r="G1128" s="17"/>
      <c r="H1128" s="38"/>
      <c r="I1128" s="56"/>
    </row>
    <row r="1129" spans="1:9" customFormat="1" ht="21.95" customHeight="1" x14ac:dyDescent="0.15">
      <c r="A1129" s="17"/>
      <c r="B1129" s="37"/>
      <c r="C1129" s="37"/>
      <c r="D1129" s="40"/>
      <c r="E1129" s="15"/>
      <c r="F1129" s="85"/>
      <c r="G1129" s="42"/>
      <c r="H1129" s="38"/>
      <c r="I1129" s="56"/>
    </row>
    <row r="1130" spans="1:9" customFormat="1" ht="21.95" customHeight="1" x14ac:dyDescent="0.15">
      <c r="A1130" s="17"/>
      <c r="B1130" s="37"/>
      <c r="C1130" s="37"/>
      <c r="D1130" s="40"/>
      <c r="E1130" s="15"/>
      <c r="F1130" s="85"/>
      <c r="G1130" s="17"/>
      <c r="H1130" s="38"/>
      <c r="I1130" s="56"/>
    </row>
    <row r="1131" spans="1:9" customFormat="1" ht="21.95" customHeight="1" x14ac:dyDescent="0.15">
      <c r="A1131" s="17"/>
      <c r="B1131" s="37"/>
      <c r="C1131" s="37"/>
      <c r="D1131" s="40"/>
      <c r="E1131" s="15"/>
      <c r="F1131" s="85"/>
      <c r="G1131" s="42"/>
      <c r="H1131" s="38"/>
      <c r="I1131" s="56"/>
    </row>
    <row r="1132" spans="1:9" ht="21.95" customHeight="1" x14ac:dyDescent="0.15">
      <c r="A1132" s="17"/>
      <c r="B1132" s="37"/>
      <c r="C1132" s="37"/>
      <c r="D1132" s="37"/>
      <c r="E1132" s="15"/>
      <c r="F1132" s="85"/>
      <c r="G1132" s="17"/>
      <c r="H1132" s="38"/>
    </row>
    <row r="1133" spans="1:9" ht="21.95" customHeight="1" x14ac:dyDescent="0.15">
      <c r="A1133" s="17"/>
      <c r="B1133" s="37"/>
      <c r="C1133" s="37"/>
      <c r="D1133" s="37"/>
      <c r="E1133" s="15"/>
      <c r="F1133" s="85"/>
      <c r="H1133" s="38"/>
    </row>
    <row r="1134" spans="1:9" ht="21.95" customHeight="1" x14ac:dyDescent="0.15">
      <c r="A1134" s="17"/>
      <c r="B1134" s="37"/>
      <c r="C1134" s="37"/>
      <c r="D1134" s="37"/>
      <c r="E1134" s="15"/>
      <c r="F1134" s="85"/>
      <c r="H1134" s="38"/>
    </row>
    <row r="1135" spans="1:9" ht="21.95" customHeight="1" x14ac:dyDescent="0.15">
      <c r="A1135" s="17"/>
      <c r="B1135" s="37"/>
      <c r="C1135" s="37"/>
      <c r="D1135" s="37"/>
      <c r="E1135" s="15"/>
      <c r="F1135" s="85"/>
      <c r="G1135" s="17"/>
      <c r="H1135" s="38"/>
    </row>
    <row r="1136" spans="1:9" customFormat="1" ht="21.95" customHeight="1" x14ac:dyDescent="0.15">
      <c r="A1136" s="17"/>
      <c r="B1136" s="37"/>
      <c r="C1136" s="37"/>
      <c r="D1136" s="37"/>
      <c r="E1136" s="15"/>
      <c r="F1136" s="85"/>
      <c r="G1136" s="17"/>
      <c r="H1136" s="38"/>
      <c r="I1136" s="42"/>
    </row>
    <row r="1137" spans="1:9" customFormat="1" ht="21.95" customHeight="1" x14ac:dyDescent="0.15">
      <c r="A1137" s="17"/>
      <c r="B1137" s="37"/>
      <c r="C1137" s="37"/>
      <c r="D1137" s="37"/>
      <c r="E1137" s="15"/>
      <c r="F1137" s="85"/>
      <c r="G1137" s="17"/>
      <c r="H1137" s="38"/>
      <c r="I1137" s="42"/>
    </row>
    <row r="1138" spans="1:9" customFormat="1" ht="21.95" customHeight="1" x14ac:dyDescent="0.15">
      <c r="A1138" s="17"/>
      <c r="B1138" s="37"/>
      <c r="C1138" s="37"/>
      <c r="D1138" s="37"/>
      <c r="E1138" s="15"/>
      <c r="F1138" s="85"/>
      <c r="G1138" s="17"/>
      <c r="H1138" s="38"/>
      <c r="I1138" s="42"/>
    </row>
    <row r="1139" spans="1:9" customFormat="1" ht="21.95" customHeight="1" x14ac:dyDescent="0.15">
      <c r="A1139" s="17"/>
      <c r="B1139" s="37"/>
      <c r="C1139" s="37"/>
      <c r="D1139" s="37"/>
      <c r="E1139" s="15"/>
      <c r="F1139" s="85"/>
      <c r="G1139" s="17"/>
      <c r="H1139" s="38"/>
      <c r="I1139" s="42"/>
    </row>
    <row r="1140" spans="1:9" customFormat="1" ht="21.95" customHeight="1" x14ac:dyDescent="0.15">
      <c r="A1140" s="17"/>
      <c r="B1140" s="37"/>
      <c r="C1140" s="37"/>
      <c r="D1140" s="37"/>
      <c r="E1140" s="15"/>
      <c r="F1140" s="85"/>
      <c r="G1140" s="17"/>
      <c r="H1140" s="38"/>
      <c r="I1140" s="42"/>
    </row>
    <row r="1141" spans="1:9" customFormat="1" ht="21.95" customHeight="1" x14ac:dyDescent="0.15">
      <c r="A1141" s="17"/>
      <c r="B1141" s="37"/>
      <c r="C1141" s="37"/>
      <c r="D1141" s="37"/>
      <c r="E1141" s="15"/>
      <c r="F1141" s="85"/>
      <c r="G1141" s="17"/>
      <c r="H1141" s="38"/>
      <c r="I1141" s="42"/>
    </row>
    <row r="1142" spans="1:9" customFormat="1" ht="21.95" customHeight="1" x14ac:dyDescent="0.15">
      <c r="A1142" s="17"/>
      <c r="B1142" s="37"/>
      <c r="C1142" s="37"/>
      <c r="D1142" s="37"/>
      <c r="E1142" s="15"/>
      <c r="F1142" s="85"/>
      <c r="G1142" s="17"/>
      <c r="H1142" s="38"/>
      <c r="I1142" s="42"/>
    </row>
    <row r="1143" spans="1:9" customFormat="1" ht="21.95" customHeight="1" x14ac:dyDescent="0.15">
      <c r="A1143" s="17"/>
      <c r="B1143" s="37"/>
      <c r="C1143" s="37"/>
      <c r="D1143" s="37"/>
      <c r="E1143" s="15"/>
      <c r="F1143" s="85"/>
      <c r="G1143" s="17"/>
      <c r="H1143" s="38"/>
      <c r="I1143" s="42"/>
    </row>
    <row r="1144" spans="1:9" customFormat="1" ht="21.95" customHeight="1" x14ac:dyDescent="0.15">
      <c r="A1144" s="17"/>
      <c r="B1144" s="37"/>
      <c r="C1144" s="37"/>
      <c r="D1144" s="37"/>
      <c r="E1144" s="15"/>
      <c r="F1144" s="85"/>
      <c r="G1144" s="17"/>
      <c r="H1144" s="38"/>
      <c r="I1144" s="42"/>
    </row>
    <row r="1145" spans="1:9" customFormat="1" ht="21.95" customHeight="1" x14ac:dyDescent="0.15">
      <c r="A1145" s="17"/>
      <c r="B1145" s="37"/>
      <c r="C1145" s="37"/>
      <c r="D1145" s="37"/>
      <c r="E1145" s="15"/>
      <c r="F1145" s="85"/>
      <c r="G1145" s="17"/>
      <c r="H1145" s="38"/>
      <c r="I1145" s="56"/>
    </row>
    <row r="1146" spans="1:9" customFormat="1" ht="21.95" customHeight="1" x14ac:dyDescent="0.15">
      <c r="A1146" s="17"/>
      <c r="B1146" s="37"/>
      <c r="C1146" s="37"/>
      <c r="D1146" s="37"/>
      <c r="E1146" s="15"/>
      <c r="F1146" s="85"/>
      <c r="G1146" s="17"/>
      <c r="H1146" s="38"/>
      <c r="I1146" s="56"/>
    </row>
    <row r="1147" spans="1:9" customFormat="1" ht="32.1" customHeight="1" x14ac:dyDescent="0.15">
      <c r="A1147" s="17"/>
      <c r="B1147" s="37"/>
      <c r="C1147" s="37"/>
      <c r="D1147" s="37"/>
      <c r="E1147" s="15"/>
      <c r="F1147" s="85"/>
      <c r="G1147" s="17"/>
      <c r="H1147" s="38"/>
      <c r="I1147" s="56"/>
    </row>
    <row r="1148" spans="1:9" customFormat="1" ht="32.1" customHeight="1" x14ac:dyDescent="0.15">
      <c r="A1148" s="17"/>
      <c r="B1148" s="37"/>
      <c r="C1148" s="37"/>
      <c r="D1148" s="37"/>
      <c r="E1148" s="15"/>
      <c r="F1148" s="85"/>
      <c r="G1148" s="17"/>
      <c r="H1148" s="38"/>
      <c r="I1148" s="56"/>
    </row>
    <row r="1149" spans="1:9" customFormat="1" ht="32.1" customHeight="1" x14ac:dyDescent="0.15">
      <c r="A1149" s="17"/>
      <c r="B1149" s="37"/>
      <c r="C1149" s="37"/>
      <c r="D1149" s="37"/>
      <c r="E1149" s="15"/>
      <c r="F1149" s="85"/>
      <c r="G1149" s="17"/>
      <c r="H1149" s="38"/>
      <c r="I1149" s="56"/>
    </row>
    <row r="1150" spans="1:9" customFormat="1" ht="32.1" customHeight="1" x14ac:dyDescent="0.15">
      <c r="A1150" s="17"/>
      <c r="B1150" s="37"/>
      <c r="C1150" s="37"/>
      <c r="D1150" s="37"/>
      <c r="E1150" s="15"/>
      <c r="F1150" s="85"/>
      <c r="G1150" s="17"/>
      <c r="H1150" s="38"/>
      <c r="I1150" s="56"/>
    </row>
    <row r="1151" spans="1:9" customFormat="1" ht="32.1" customHeight="1" x14ac:dyDescent="0.15">
      <c r="A1151" s="17"/>
      <c r="B1151" s="37"/>
      <c r="C1151" s="37"/>
      <c r="D1151" s="37"/>
      <c r="E1151" s="15"/>
      <c r="F1151" s="85"/>
      <c r="G1151" s="17"/>
      <c r="H1151" s="38"/>
      <c r="I1151" s="56"/>
    </row>
    <row r="1152" spans="1:9" customFormat="1" ht="32.1" customHeight="1" x14ac:dyDescent="0.15">
      <c r="A1152" s="17"/>
      <c r="B1152" s="37"/>
      <c r="C1152" s="37"/>
      <c r="D1152" s="37"/>
      <c r="E1152" s="15"/>
      <c r="F1152" s="85"/>
      <c r="G1152" s="17"/>
      <c r="H1152" s="38"/>
      <c r="I1152" s="56"/>
    </row>
    <row r="1153" spans="1:9" ht="32.1" customHeight="1" x14ac:dyDescent="0.15">
      <c r="A1153" s="17"/>
      <c r="B1153" s="37"/>
      <c r="C1153" s="37"/>
      <c r="D1153" s="37"/>
      <c r="E1153" s="15"/>
      <c r="F1153" s="85"/>
      <c r="G1153" s="17"/>
      <c r="H1153" s="38"/>
      <c r="I1153" s="37"/>
    </row>
    <row r="1154" spans="1:9" ht="32.1" customHeight="1" x14ac:dyDescent="0.15">
      <c r="A1154" s="17"/>
      <c r="B1154" s="37"/>
      <c r="C1154" s="37"/>
      <c r="D1154" s="37"/>
      <c r="E1154" s="15"/>
      <c r="F1154" s="37"/>
      <c r="G1154" s="17"/>
      <c r="H1154" s="38"/>
      <c r="I1154" s="37"/>
    </row>
    <row r="1155" spans="1:9" ht="32.1" customHeight="1" x14ac:dyDescent="0.15">
      <c r="A1155" s="17"/>
      <c r="B1155" s="37"/>
      <c r="C1155" s="37"/>
      <c r="D1155" s="37"/>
      <c r="E1155" s="15"/>
      <c r="F1155" s="37"/>
      <c r="G1155" s="17"/>
      <c r="H1155" s="38"/>
      <c r="I1155" s="37"/>
    </row>
    <row r="1156" spans="1:9" ht="32.1" customHeight="1" x14ac:dyDescent="0.15">
      <c r="A1156" s="17"/>
      <c r="B1156" s="37"/>
      <c r="C1156" s="37"/>
      <c r="D1156" s="37"/>
      <c r="E1156" s="15"/>
      <c r="F1156" s="37"/>
      <c r="G1156" s="17"/>
      <c r="H1156" s="38"/>
      <c r="I1156" s="37"/>
    </row>
    <row r="1157" spans="1:9" ht="21.95" customHeight="1" x14ac:dyDescent="0.15">
      <c r="A1157" s="17"/>
      <c r="B1157" s="37"/>
      <c r="C1157" s="37"/>
      <c r="D1157" s="37"/>
      <c r="E1157" s="15"/>
      <c r="F1157" s="37"/>
      <c r="G1157" s="17"/>
      <c r="H1157" s="38"/>
      <c r="I1157" s="37"/>
    </row>
    <row r="1158" spans="1:9" ht="54" customHeight="1" x14ac:dyDescent="0.15">
      <c r="A1158" s="17"/>
      <c r="B1158" s="37"/>
      <c r="C1158" s="37"/>
      <c r="D1158" s="37"/>
      <c r="E1158" s="15"/>
      <c r="F1158" s="37"/>
      <c r="G1158" s="17"/>
      <c r="H1158" s="38"/>
      <c r="I1158" s="37"/>
    </row>
    <row r="1159" spans="1:9" ht="21.95" customHeight="1" x14ac:dyDescent="0.15">
      <c r="A1159" s="17"/>
      <c r="B1159" s="37"/>
      <c r="C1159" s="37"/>
      <c r="D1159" s="37"/>
      <c r="E1159" s="15"/>
      <c r="F1159" s="37"/>
      <c r="G1159" s="17"/>
      <c r="H1159" s="38"/>
      <c r="I1159" s="37"/>
    </row>
    <row r="1160" spans="1:9" ht="21.95" customHeight="1" x14ac:dyDescent="0.15">
      <c r="A1160" s="17"/>
      <c r="B1160" s="37"/>
      <c r="C1160" s="37"/>
      <c r="D1160" s="37"/>
      <c r="E1160" s="15"/>
      <c r="F1160" s="37"/>
      <c r="G1160" s="17"/>
      <c r="H1160" s="38"/>
      <c r="I1160" s="37"/>
    </row>
    <row r="1161" spans="1:9" ht="21.95" customHeight="1" x14ac:dyDescent="0.15">
      <c r="A1161" s="17"/>
      <c r="B1161" s="37"/>
      <c r="C1161" s="37"/>
      <c r="D1161" s="37"/>
      <c r="E1161" s="15"/>
      <c r="F1161" s="37"/>
      <c r="G1161" s="17"/>
      <c r="H1161" s="38"/>
      <c r="I1161" s="37"/>
    </row>
    <row r="1162" spans="1:9" ht="21.95" customHeight="1" x14ac:dyDescent="0.15">
      <c r="A1162" s="17"/>
      <c r="B1162" s="37"/>
      <c r="C1162" s="37"/>
      <c r="D1162" s="37"/>
      <c r="E1162" s="15"/>
      <c r="F1162" s="37"/>
      <c r="G1162" s="17"/>
      <c r="H1162" s="38"/>
      <c r="I1162" s="37"/>
    </row>
    <row r="1163" spans="1:9" ht="21.95" customHeight="1" x14ac:dyDescent="0.15">
      <c r="A1163" s="17"/>
      <c r="B1163" s="37"/>
      <c r="C1163" s="37"/>
      <c r="E1163" s="15"/>
      <c r="G1163" s="17"/>
      <c r="H1163" s="38"/>
    </row>
    <row r="1164" spans="1:9" ht="21.95" customHeight="1" x14ac:dyDescent="0.15">
      <c r="A1164" s="17"/>
      <c r="B1164" s="37"/>
      <c r="C1164" s="37"/>
      <c r="E1164" s="15"/>
      <c r="G1164" s="17"/>
      <c r="H1164" s="38"/>
    </row>
    <row r="1165" spans="1:9" ht="21.95" customHeight="1" x14ac:dyDescent="0.15">
      <c r="A1165" s="17"/>
      <c r="B1165" s="37"/>
      <c r="C1165" s="37"/>
      <c r="E1165" s="15"/>
      <c r="F1165" s="37"/>
      <c r="G1165" s="13"/>
      <c r="H1165" s="38"/>
    </row>
    <row r="1166" spans="1:9" ht="21.95" customHeight="1" x14ac:dyDescent="0.15">
      <c r="A1166" s="17"/>
      <c r="B1166" s="37"/>
      <c r="C1166" s="37"/>
      <c r="E1166" s="15"/>
      <c r="F1166" s="37"/>
      <c r="G1166" s="13"/>
      <c r="H1166" s="38"/>
    </row>
    <row r="1167" spans="1:9" ht="21.95" customHeight="1" x14ac:dyDescent="0.15">
      <c r="A1167" s="17"/>
      <c r="B1167" s="37"/>
      <c r="C1167" s="37"/>
      <c r="D1167" s="37"/>
      <c r="E1167" s="15"/>
      <c r="F1167" s="37"/>
      <c r="G1167" s="13"/>
      <c r="H1167" s="38"/>
    </row>
    <row r="1168" spans="1:9" ht="21.95" customHeight="1" x14ac:dyDescent="0.15">
      <c r="A1168" s="17"/>
      <c r="B1168" s="37"/>
      <c r="C1168" s="37"/>
      <c r="D1168" s="37"/>
      <c r="E1168" s="15"/>
      <c r="F1168" s="37"/>
      <c r="G1168" s="13"/>
      <c r="H1168" s="38"/>
    </row>
    <row r="1169" spans="1:8" ht="21.95" customHeight="1" x14ac:dyDescent="0.15">
      <c r="A1169" s="17"/>
      <c r="B1169" s="37"/>
      <c r="C1169" s="37"/>
      <c r="D1169" s="37"/>
      <c r="E1169" s="15"/>
      <c r="F1169" s="37"/>
      <c r="G1169" s="13"/>
      <c r="H1169" s="38"/>
    </row>
    <row r="1170" spans="1:8" ht="21.95" customHeight="1" x14ac:dyDescent="0.15">
      <c r="A1170" s="17"/>
      <c r="B1170" s="37"/>
      <c r="C1170" s="37"/>
      <c r="D1170" s="37"/>
      <c r="E1170" s="15"/>
      <c r="F1170" s="37"/>
      <c r="G1170" s="13"/>
      <c r="H1170" s="38"/>
    </row>
    <row r="1171" spans="1:8" ht="21.95" customHeight="1" x14ac:dyDescent="0.15">
      <c r="A1171" s="17"/>
      <c r="B1171" s="37"/>
      <c r="C1171" s="37"/>
      <c r="D1171" s="37"/>
      <c r="E1171" s="15"/>
      <c r="F1171" s="37"/>
      <c r="G1171" s="13"/>
      <c r="H1171" s="38"/>
    </row>
    <row r="1172" spans="1:8" ht="21.95" customHeight="1" x14ac:dyDescent="0.15">
      <c r="A1172" s="17"/>
      <c r="B1172" s="37"/>
      <c r="C1172" s="37"/>
      <c r="D1172" s="37"/>
      <c r="E1172" s="15"/>
      <c r="F1172" s="37"/>
      <c r="G1172" s="13"/>
      <c r="H1172" s="38"/>
    </row>
    <row r="1173" spans="1:8" ht="21.95" customHeight="1" x14ac:dyDescent="0.15">
      <c r="A1173" s="17"/>
      <c r="B1173" s="37"/>
      <c r="C1173" s="37"/>
      <c r="D1173" s="37"/>
      <c r="E1173" s="15"/>
      <c r="F1173" s="37"/>
      <c r="G1173" s="13"/>
      <c r="H1173" s="38"/>
    </row>
    <row r="1174" spans="1:8" ht="21.95" customHeight="1" x14ac:dyDescent="0.15">
      <c r="A1174" s="17"/>
      <c r="B1174" s="37"/>
      <c r="C1174" s="37"/>
      <c r="D1174" s="37"/>
      <c r="E1174" s="15"/>
      <c r="F1174" s="37"/>
      <c r="G1174" s="13"/>
      <c r="H1174" s="38"/>
    </row>
    <row r="1175" spans="1:8" ht="21.95" customHeight="1" x14ac:dyDescent="0.15">
      <c r="A1175" s="17"/>
      <c r="B1175" s="37"/>
      <c r="C1175" s="37"/>
      <c r="D1175" s="37"/>
      <c r="E1175" s="15"/>
      <c r="F1175" s="37"/>
      <c r="G1175" s="13"/>
      <c r="H1175" s="38"/>
    </row>
    <row r="1176" spans="1:8" ht="21.95" customHeight="1" x14ac:dyDescent="0.15">
      <c r="A1176" s="17"/>
      <c r="B1176" s="37"/>
      <c r="C1176" s="37"/>
      <c r="D1176" s="37"/>
      <c r="E1176" s="15"/>
      <c r="F1176" s="37"/>
      <c r="G1176" s="13"/>
      <c r="H1176" s="15"/>
    </row>
    <row r="1177" spans="1:8" ht="21.95" customHeight="1" x14ac:dyDescent="0.15">
      <c r="A1177" s="17"/>
      <c r="B1177" s="37"/>
      <c r="C1177" s="37"/>
      <c r="D1177" s="37"/>
      <c r="E1177" s="15"/>
      <c r="F1177" s="37"/>
      <c r="G1177" s="13"/>
      <c r="H1177" s="15"/>
    </row>
    <row r="1178" spans="1:8" ht="21.95" customHeight="1" x14ac:dyDescent="0.15">
      <c r="A1178" s="17"/>
      <c r="B1178" s="37"/>
      <c r="C1178" s="37"/>
      <c r="D1178" s="37"/>
      <c r="E1178" s="15"/>
      <c r="F1178" s="37"/>
      <c r="G1178" s="13"/>
      <c r="H1178" s="15"/>
    </row>
    <row r="1179" spans="1:8" ht="21.95" customHeight="1" x14ac:dyDescent="0.15">
      <c r="A1179" s="17"/>
      <c r="B1179" s="37"/>
      <c r="C1179" s="37"/>
      <c r="D1179" s="37"/>
      <c r="E1179" s="15"/>
      <c r="F1179" s="37"/>
      <c r="G1179" s="13"/>
      <c r="H1179" s="15"/>
    </row>
    <row r="1180" spans="1:8" ht="21.95" customHeight="1" x14ac:dyDescent="0.15">
      <c r="A1180" s="17"/>
      <c r="B1180" s="37"/>
      <c r="C1180" s="37"/>
      <c r="D1180" s="37"/>
      <c r="E1180" s="15"/>
      <c r="F1180" s="37"/>
      <c r="G1180" s="13"/>
      <c r="H1180" s="15"/>
    </row>
    <row r="1181" spans="1:8" ht="21.95" customHeight="1" x14ac:dyDescent="0.15">
      <c r="A1181" s="17"/>
      <c r="B1181" s="37"/>
      <c r="C1181" s="37"/>
      <c r="D1181" s="37"/>
      <c r="E1181" s="15"/>
      <c r="F1181" s="37"/>
      <c r="G1181" s="13"/>
      <c r="H1181" s="15"/>
    </row>
    <row r="1182" spans="1:8" ht="21.95" customHeight="1" x14ac:dyDescent="0.15">
      <c r="A1182" s="17"/>
      <c r="B1182" s="37"/>
      <c r="C1182" s="37"/>
      <c r="D1182" s="37"/>
      <c r="E1182" s="15"/>
      <c r="F1182" s="37"/>
      <c r="G1182" s="13"/>
      <c r="H1182" s="15"/>
    </row>
    <row r="1183" spans="1:8" ht="21.95" customHeight="1" x14ac:dyDescent="0.15">
      <c r="A1183" s="17"/>
      <c r="B1183" s="37"/>
      <c r="C1183" s="37"/>
      <c r="D1183" s="37"/>
      <c r="E1183" s="15"/>
      <c r="F1183" s="37"/>
      <c r="G1183" s="13"/>
      <c r="H1183" s="15"/>
    </row>
    <row r="1184" spans="1:8" ht="21.95" customHeight="1" x14ac:dyDescent="0.15">
      <c r="A1184" s="17"/>
      <c r="B1184" s="37"/>
      <c r="C1184" s="37"/>
      <c r="D1184" s="37"/>
      <c r="E1184" s="15"/>
      <c r="F1184" s="37"/>
      <c r="G1184" s="13"/>
      <c r="H1184" s="15"/>
    </row>
    <row r="1185" spans="1:8" ht="21.95" customHeight="1" x14ac:dyDescent="0.15">
      <c r="A1185" s="17"/>
      <c r="B1185" s="37"/>
      <c r="C1185" s="37"/>
      <c r="D1185" s="37"/>
      <c r="E1185" s="15"/>
      <c r="F1185" s="37"/>
      <c r="G1185" s="13"/>
      <c r="H1185" s="15"/>
    </row>
    <row r="1186" spans="1:8" ht="21.95" customHeight="1" x14ac:dyDescent="0.15">
      <c r="A1186" s="17"/>
      <c r="B1186" s="37"/>
      <c r="C1186" s="37"/>
      <c r="D1186" s="37"/>
      <c r="E1186" s="15"/>
      <c r="F1186" s="37"/>
      <c r="G1186" s="13"/>
      <c r="H1186" s="15"/>
    </row>
    <row r="1187" spans="1:8" ht="21.95" customHeight="1" x14ac:dyDescent="0.15">
      <c r="A1187" s="17"/>
      <c r="B1187" s="37"/>
      <c r="C1187" s="37"/>
      <c r="D1187" s="37"/>
      <c r="E1187" s="15"/>
      <c r="F1187" s="37"/>
      <c r="G1187" s="13"/>
      <c r="H1187" s="15"/>
    </row>
    <row r="1188" spans="1:8" ht="21.95" customHeight="1" x14ac:dyDescent="0.15">
      <c r="A1188" s="17"/>
      <c r="B1188" s="37"/>
      <c r="C1188" s="37"/>
      <c r="D1188" s="37"/>
      <c r="E1188" s="15"/>
      <c r="F1188" s="37"/>
      <c r="G1188" s="13"/>
      <c r="H1188" s="15"/>
    </row>
    <row r="1189" spans="1:8" ht="21.95" customHeight="1" x14ac:dyDescent="0.15">
      <c r="A1189" s="17"/>
      <c r="B1189" s="37"/>
      <c r="C1189" s="37"/>
      <c r="D1189" s="37"/>
      <c r="E1189" s="15"/>
      <c r="F1189" s="37"/>
      <c r="G1189" s="13"/>
      <c r="H1189" s="15"/>
    </row>
    <row r="1190" spans="1:8" ht="21.95" customHeight="1" x14ac:dyDescent="0.15">
      <c r="A1190" s="17"/>
      <c r="B1190" s="37"/>
      <c r="C1190" s="37"/>
      <c r="D1190" s="37"/>
      <c r="E1190" s="15"/>
      <c r="F1190" s="37"/>
      <c r="G1190" s="13"/>
      <c r="H1190" s="15"/>
    </row>
    <row r="1191" spans="1:8" ht="21.95" customHeight="1" x14ac:dyDescent="0.15">
      <c r="A1191" s="17"/>
      <c r="B1191" s="37"/>
      <c r="C1191" s="37"/>
      <c r="D1191" s="37"/>
      <c r="E1191" s="15"/>
      <c r="F1191" s="37"/>
      <c r="G1191" s="13"/>
      <c r="H1191" s="15"/>
    </row>
    <row r="1192" spans="1:8" ht="21.95" customHeight="1" x14ac:dyDescent="0.15">
      <c r="A1192" s="17"/>
      <c r="B1192" s="37"/>
      <c r="C1192" s="37"/>
      <c r="D1192" s="37"/>
      <c r="E1192" s="15"/>
      <c r="F1192" s="37"/>
      <c r="G1192" s="13"/>
      <c r="H1192" s="15"/>
    </row>
    <row r="1193" spans="1:8" ht="21.95" customHeight="1" x14ac:dyDescent="0.15">
      <c r="A1193" s="17"/>
      <c r="B1193" s="37"/>
      <c r="C1193" s="37"/>
      <c r="D1193" s="37"/>
      <c r="E1193" s="15"/>
      <c r="F1193" s="37"/>
      <c r="G1193" s="13"/>
      <c r="H1193" s="15"/>
    </row>
    <row r="1194" spans="1:8" ht="21.95" customHeight="1" x14ac:dyDescent="0.15">
      <c r="A1194" s="17"/>
      <c r="B1194" s="37"/>
      <c r="C1194" s="37"/>
      <c r="D1194" s="37"/>
      <c r="E1194" s="15"/>
      <c r="F1194" s="37"/>
      <c r="G1194" s="37"/>
      <c r="H1194" s="15"/>
    </row>
    <row r="1195" spans="1:8" ht="21.95" customHeight="1" x14ac:dyDescent="0.15">
      <c r="A1195" s="17"/>
      <c r="B1195" s="37"/>
      <c r="C1195" s="37"/>
      <c r="D1195" s="37"/>
      <c r="E1195" s="15"/>
      <c r="F1195" s="37"/>
      <c r="G1195" s="13"/>
      <c r="H1195" s="15"/>
    </row>
    <row r="1196" spans="1:8" ht="21.95" customHeight="1" x14ac:dyDescent="0.15">
      <c r="A1196" s="17"/>
      <c r="B1196" s="37"/>
      <c r="C1196" s="37"/>
      <c r="D1196" s="37"/>
      <c r="E1196" s="15"/>
      <c r="F1196" s="37"/>
      <c r="G1196" s="13"/>
      <c r="H1196" s="15"/>
    </row>
    <row r="1197" spans="1:8" ht="21.95" customHeight="1" x14ac:dyDescent="0.15">
      <c r="A1197" s="17"/>
      <c r="B1197" s="37"/>
      <c r="C1197" s="37"/>
      <c r="D1197" s="37"/>
      <c r="E1197" s="15"/>
      <c r="F1197" s="37"/>
      <c r="G1197" s="13"/>
      <c r="H1197" s="15"/>
    </row>
    <row r="1198" spans="1:8" ht="21.95" customHeight="1" x14ac:dyDescent="0.15">
      <c r="A1198" s="17"/>
      <c r="B1198" s="37"/>
      <c r="C1198" s="37"/>
      <c r="D1198" s="37"/>
      <c r="E1198" s="15"/>
      <c r="F1198" s="37"/>
      <c r="G1198" s="13"/>
      <c r="H1198" s="15"/>
    </row>
    <row r="1199" spans="1:8" ht="21.95" customHeight="1" x14ac:dyDescent="0.15">
      <c r="A1199" s="17"/>
      <c r="B1199" s="37"/>
      <c r="C1199" s="37"/>
      <c r="D1199" s="37"/>
      <c r="E1199" s="15"/>
      <c r="F1199" s="37"/>
      <c r="G1199" s="13"/>
      <c r="H1199" s="15"/>
    </row>
    <row r="1200" spans="1:8" ht="21.95" customHeight="1" x14ac:dyDescent="0.15">
      <c r="A1200" s="17"/>
      <c r="B1200" s="37"/>
      <c r="C1200" s="37"/>
      <c r="D1200" s="37"/>
      <c r="E1200" s="15"/>
      <c r="F1200" s="37"/>
      <c r="G1200" s="13"/>
      <c r="H1200" s="15"/>
    </row>
    <row r="1201" spans="1:9" ht="21.95" customHeight="1" x14ac:dyDescent="0.15">
      <c r="A1201" s="17"/>
      <c r="B1201" s="37"/>
      <c r="C1201" s="37"/>
      <c r="D1201" s="37"/>
      <c r="E1201" s="15"/>
      <c r="F1201" s="37"/>
      <c r="G1201" s="13"/>
      <c r="H1201" s="15"/>
    </row>
    <row r="1202" spans="1:9" ht="21.95" customHeight="1" x14ac:dyDescent="0.15">
      <c r="A1202" s="17"/>
      <c r="B1202" s="37"/>
      <c r="C1202" s="37"/>
      <c r="D1202" s="37"/>
      <c r="E1202" s="15"/>
      <c r="F1202" s="37"/>
      <c r="G1202" s="13"/>
      <c r="H1202" s="15"/>
    </row>
    <row r="1203" spans="1:9" ht="21.95" customHeight="1" x14ac:dyDescent="0.15">
      <c r="A1203" s="17"/>
      <c r="B1203" s="37"/>
      <c r="C1203" s="37"/>
      <c r="D1203" s="37"/>
      <c r="E1203" s="15"/>
      <c r="F1203" s="37"/>
      <c r="G1203" s="13"/>
      <c r="H1203" s="15"/>
    </row>
    <row r="1204" spans="1:9" ht="21.95" customHeight="1" x14ac:dyDescent="0.15">
      <c r="A1204" s="17"/>
      <c r="B1204" s="37"/>
      <c r="C1204" s="37"/>
      <c r="D1204" s="37"/>
      <c r="E1204" s="15"/>
      <c r="F1204" s="37"/>
      <c r="G1204" s="13"/>
      <c r="H1204" s="15"/>
    </row>
    <row r="1205" spans="1:9" ht="21.95" customHeight="1" x14ac:dyDescent="0.15">
      <c r="A1205" s="17"/>
      <c r="B1205" s="37"/>
      <c r="C1205" s="37"/>
      <c r="D1205" s="37"/>
      <c r="E1205" s="15"/>
      <c r="F1205" s="37"/>
      <c r="G1205" s="13"/>
      <c r="H1205" s="15"/>
    </row>
    <row r="1206" spans="1:9" ht="21.95" customHeight="1" x14ac:dyDescent="0.15">
      <c r="A1206" s="17"/>
      <c r="B1206" s="37"/>
      <c r="C1206" s="37"/>
      <c r="D1206" s="37"/>
      <c r="E1206" s="15"/>
      <c r="F1206" s="37"/>
      <c r="G1206" s="13"/>
      <c r="H1206" s="15"/>
    </row>
    <row r="1207" spans="1:9" ht="21.95" customHeight="1" x14ac:dyDescent="0.15">
      <c r="A1207" s="17"/>
      <c r="B1207" s="37"/>
      <c r="C1207" s="37"/>
      <c r="D1207" s="37"/>
      <c r="E1207" s="15"/>
      <c r="F1207" s="37"/>
      <c r="G1207" s="13"/>
      <c r="H1207" s="38"/>
      <c r="I1207" s="84"/>
    </row>
    <row r="1208" spans="1:9" ht="21.95" customHeight="1" x14ac:dyDescent="0.15">
      <c r="A1208" s="17"/>
      <c r="B1208" s="37"/>
      <c r="C1208" s="37"/>
      <c r="D1208" s="37"/>
      <c r="E1208" s="15"/>
      <c r="F1208" s="37"/>
      <c r="G1208" s="13"/>
      <c r="H1208" s="15"/>
      <c r="I1208" s="84"/>
    </row>
    <row r="1209" spans="1:9" ht="35.1" customHeight="1" x14ac:dyDescent="0.15">
      <c r="A1209" s="17"/>
      <c r="B1209" s="37"/>
      <c r="C1209" s="37"/>
      <c r="D1209" s="37"/>
      <c r="E1209" s="15"/>
      <c r="F1209" s="15"/>
      <c r="G1209" s="37"/>
      <c r="H1209" s="15"/>
    </row>
    <row r="1210" spans="1:9" ht="21.95" customHeight="1" x14ac:dyDescent="0.15">
      <c r="A1210" s="17"/>
      <c r="B1210" s="37"/>
      <c r="C1210" s="37"/>
      <c r="D1210" s="37"/>
      <c r="E1210" s="15"/>
      <c r="F1210" s="37"/>
      <c r="G1210" s="13"/>
      <c r="H1210" s="15"/>
    </row>
    <row r="1211" spans="1:9" ht="21.95" customHeight="1" x14ac:dyDescent="0.15">
      <c r="A1211" s="17"/>
      <c r="B1211" s="37"/>
      <c r="C1211" s="37"/>
      <c r="D1211" s="37"/>
      <c r="E1211" s="15"/>
      <c r="F1211" s="37"/>
      <c r="G1211" s="13"/>
      <c r="H1211" s="15"/>
    </row>
    <row r="1212" spans="1:9" ht="21.95" customHeight="1" x14ac:dyDescent="0.15">
      <c r="A1212" s="17"/>
      <c r="B1212" s="37"/>
      <c r="C1212" s="37"/>
      <c r="D1212" s="37"/>
      <c r="E1212" s="15"/>
      <c r="F1212" s="37"/>
      <c r="G1212" s="13"/>
      <c r="H1212" s="15"/>
    </row>
    <row r="1213" spans="1:9" ht="21.95" customHeight="1" x14ac:dyDescent="0.15">
      <c r="A1213" s="17"/>
      <c r="B1213" s="37"/>
      <c r="C1213" s="37"/>
      <c r="D1213" s="37"/>
      <c r="E1213" s="15"/>
      <c r="F1213" s="37"/>
      <c r="G1213" s="13"/>
      <c r="H1213" s="15"/>
    </row>
    <row r="1214" spans="1:9" ht="21.95" customHeight="1" x14ac:dyDescent="0.15">
      <c r="A1214" s="17"/>
      <c r="B1214" s="37"/>
      <c r="C1214" s="37"/>
      <c r="D1214" s="37"/>
      <c r="E1214" s="15"/>
      <c r="F1214" s="37"/>
      <c r="G1214" s="13"/>
      <c r="H1214" s="15"/>
    </row>
    <row r="1215" spans="1:9" ht="21.95" customHeight="1" x14ac:dyDescent="0.15">
      <c r="A1215" s="17"/>
      <c r="B1215" s="37"/>
      <c r="C1215" s="37"/>
      <c r="D1215" s="37"/>
      <c r="E1215" s="15"/>
      <c r="F1215" s="37"/>
      <c r="G1215" s="13"/>
      <c r="H1215" s="15"/>
      <c r="I1215" s="37"/>
    </row>
    <row r="1216" spans="1:9" ht="21.95" customHeight="1" x14ac:dyDescent="0.15">
      <c r="A1216" s="17"/>
      <c r="B1216" s="37"/>
      <c r="C1216" s="37"/>
      <c r="D1216" s="37"/>
      <c r="E1216" s="15"/>
      <c r="F1216" s="37"/>
      <c r="G1216" s="37"/>
      <c r="H1216" s="15"/>
      <c r="I1216" s="37"/>
    </row>
    <row r="1217" spans="1:9" ht="21.95" customHeight="1" x14ac:dyDescent="0.15">
      <c r="A1217" s="17"/>
      <c r="B1217" s="37"/>
      <c r="C1217" s="37"/>
      <c r="D1217" s="37"/>
      <c r="E1217" s="15"/>
      <c r="F1217" s="37"/>
      <c r="G1217" s="37"/>
      <c r="H1217" s="38"/>
      <c r="I1217" s="37"/>
    </row>
    <row r="1218" spans="1:9" ht="21.95" customHeight="1" x14ac:dyDescent="0.15">
      <c r="A1218" s="17"/>
      <c r="B1218" s="37"/>
      <c r="C1218" s="37"/>
      <c r="D1218" s="37"/>
      <c r="E1218" s="15"/>
      <c r="F1218" s="37"/>
      <c r="G1218" s="37"/>
      <c r="H1218" s="38"/>
      <c r="I1218" s="37"/>
    </row>
    <row r="1219" spans="1:9" ht="21.95" customHeight="1" x14ac:dyDescent="0.15">
      <c r="A1219" s="17"/>
      <c r="B1219" s="37"/>
      <c r="C1219" s="37"/>
      <c r="D1219" s="37"/>
      <c r="E1219" s="15"/>
      <c r="F1219" s="37"/>
      <c r="G1219" s="13"/>
      <c r="H1219" s="15"/>
      <c r="I1219" s="37"/>
    </row>
    <row r="1220" spans="1:9" ht="21.95" customHeight="1" x14ac:dyDescent="0.15">
      <c r="A1220" s="17"/>
      <c r="B1220" s="37"/>
      <c r="C1220" s="37"/>
      <c r="D1220" s="37"/>
      <c r="E1220" s="15"/>
      <c r="F1220" s="37"/>
      <c r="G1220" s="13"/>
      <c r="H1220" s="15"/>
      <c r="I1220" s="37"/>
    </row>
    <row r="1221" spans="1:9" ht="21.95" customHeight="1" x14ac:dyDescent="0.15">
      <c r="A1221" s="17"/>
      <c r="B1221" s="37"/>
      <c r="C1221" s="37"/>
      <c r="D1221" s="37"/>
      <c r="E1221" s="15"/>
      <c r="F1221" s="37"/>
      <c r="G1221" s="13"/>
      <c r="H1221" s="15"/>
      <c r="I1221" s="37"/>
    </row>
    <row r="1222" spans="1:9" ht="21.95" customHeight="1" x14ac:dyDescent="0.15">
      <c r="A1222" s="17"/>
      <c r="B1222" s="37"/>
      <c r="C1222" s="37"/>
      <c r="E1222" s="15"/>
      <c r="F1222" s="37"/>
      <c r="H1222" s="38"/>
    </row>
    <row r="1223" spans="1:9" ht="21.95" customHeight="1" x14ac:dyDescent="0.15">
      <c r="A1223" s="17"/>
      <c r="B1223" s="37"/>
      <c r="C1223" s="37"/>
      <c r="E1223" s="15"/>
      <c r="F1223" s="37"/>
    </row>
    <row r="1224" spans="1:9" ht="21.95" customHeight="1" x14ac:dyDescent="0.15">
      <c r="A1224" s="17"/>
      <c r="B1224" s="37"/>
      <c r="C1224" s="37"/>
      <c r="E1224" s="15"/>
      <c r="G1224" s="77"/>
    </row>
    <row r="1225" spans="1:9" ht="21.95" customHeight="1" x14ac:dyDescent="0.15">
      <c r="A1225" s="17"/>
      <c r="B1225" s="37"/>
      <c r="C1225" s="37"/>
      <c r="D1225" s="37"/>
      <c r="E1225" s="15"/>
      <c r="F1225" s="37"/>
      <c r="G1225" s="37"/>
      <c r="H1225" s="15"/>
    </row>
    <row r="1226" spans="1:9" ht="21.95" customHeight="1" x14ac:dyDescent="0.15">
      <c r="A1226" s="17"/>
      <c r="B1226" s="37"/>
      <c r="C1226" s="37"/>
      <c r="D1226" s="37"/>
      <c r="E1226" s="15"/>
      <c r="F1226" s="37"/>
      <c r="G1226" s="13"/>
      <c r="H1226" s="15"/>
    </row>
    <row r="1227" spans="1:9" ht="21.95" customHeight="1" x14ac:dyDescent="0.15">
      <c r="A1227" s="17"/>
      <c r="B1227" s="37"/>
      <c r="C1227" s="37"/>
      <c r="D1227" s="37"/>
      <c r="E1227" s="15"/>
      <c r="F1227" s="37"/>
      <c r="G1227" s="13"/>
      <c r="H1227" s="15"/>
    </row>
    <row r="1228" spans="1:9" ht="21.95" customHeight="1" x14ac:dyDescent="0.15">
      <c r="A1228" s="17"/>
      <c r="C1228" s="37"/>
    </row>
    <row r="1229" spans="1:9" ht="21.95" customHeight="1" x14ac:dyDescent="0.15">
      <c r="A1229" s="17"/>
      <c r="B1229" s="37"/>
      <c r="C1229" s="37"/>
      <c r="D1229" s="13"/>
      <c r="E1229" s="15"/>
      <c r="F1229" s="37"/>
      <c r="G1229" s="13"/>
      <c r="H1229" s="15"/>
      <c r="I1229" s="13"/>
    </row>
    <row r="1230" spans="1:9" ht="21.95" customHeight="1" x14ac:dyDescent="0.15">
      <c r="A1230" s="17"/>
      <c r="B1230" s="13"/>
      <c r="C1230" s="13"/>
      <c r="D1230" s="13"/>
      <c r="E1230" s="15"/>
      <c r="F1230" s="37"/>
      <c r="G1230" s="13"/>
      <c r="H1230" s="15"/>
      <c r="I1230" s="13"/>
    </row>
    <row r="1231" spans="1:9" ht="21.95" customHeight="1" x14ac:dyDescent="0.15">
      <c r="A1231" s="17"/>
      <c r="B1231" s="13"/>
      <c r="C1231" s="13"/>
      <c r="D1231" s="13"/>
      <c r="E1231" s="15"/>
      <c r="F1231" s="37"/>
      <c r="G1231" s="13"/>
      <c r="H1231" s="15"/>
      <c r="I1231" s="13"/>
    </row>
    <row r="1232" spans="1:9" ht="21.95" customHeight="1" x14ac:dyDescent="0.15">
      <c r="A1232" s="17"/>
      <c r="B1232" s="13"/>
      <c r="C1232" s="13"/>
      <c r="D1232" s="13"/>
      <c r="E1232" s="15"/>
      <c r="F1232" s="37"/>
      <c r="G1232" s="13"/>
      <c r="H1232" s="15"/>
      <c r="I1232" s="13"/>
    </row>
    <row r="1233" spans="1:9" customFormat="1" ht="21.95" customHeight="1" x14ac:dyDescent="0.15">
      <c r="A1233" s="17"/>
      <c r="B1233" s="40"/>
      <c r="C1233" s="40"/>
      <c r="D1233" s="40"/>
      <c r="E1233" s="38"/>
      <c r="F1233" s="85"/>
      <c r="G1233" s="40"/>
      <c r="H1233" s="38"/>
      <c r="I1233" s="40"/>
    </row>
    <row r="1234" spans="1:9" customFormat="1" ht="21.95" customHeight="1" x14ac:dyDescent="0.15">
      <c r="A1234" s="17"/>
      <c r="B1234" s="37"/>
      <c r="C1234" s="37"/>
      <c r="D1234" s="40"/>
      <c r="E1234" s="15"/>
      <c r="F1234" s="85"/>
      <c r="G1234" s="42"/>
      <c r="H1234" s="38"/>
      <c r="I1234" s="56"/>
    </row>
    <row r="1235" spans="1:9" customFormat="1" ht="21.95" customHeight="1" x14ac:dyDescent="0.15">
      <c r="A1235" s="17"/>
      <c r="B1235" s="37"/>
      <c r="C1235" s="95"/>
      <c r="D1235" s="40"/>
      <c r="E1235" s="15"/>
      <c r="F1235" s="85"/>
      <c r="G1235" s="42"/>
      <c r="H1235" s="38"/>
      <c r="I1235" s="56"/>
    </row>
    <row r="1236" spans="1:9" customFormat="1" ht="21.95" customHeight="1" x14ac:dyDescent="0.15">
      <c r="A1236" s="17"/>
      <c r="B1236" s="37"/>
      <c r="C1236" s="95"/>
      <c r="D1236" s="40"/>
      <c r="E1236" s="15"/>
      <c r="F1236" s="85"/>
      <c r="G1236" s="17"/>
      <c r="H1236" s="38"/>
      <c r="I1236" s="56"/>
    </row>
    <row r="1237" spans="1:9" customFormat="1" ht="21.95" customHeight="1" x14ac:dyDescent="0.15">
      <c r="A1237" s="17"/>
      <c r="B1237" s="37"/>
      <c r="C1237" s="37"/>
      <c r="D1237" s="40"/>
      <c r="E1237" s="15"/>
      <c r="F1237" s="85"/>
      <c r="G1237" s="42"/>
      <c r="H1237" s="38"/>
      <c r="I1237" s="56"/>
    </row>
    <row r="1238" spans="1:9" customFormat="1" ht="21.95" customHeight="1" x14ac:dyDescent="0.15">
      <c r="A1238" s="17"/>
      <c r="B1238" s="37"/>
      <c r="C1238" s="37"/>
      <c r="D1238" s="40"/>
      <c r="E1238" s="15"/>
      <c r="F1238" s="85"/>
      <c r="G1238" s="17"/>
      <c r="H1238" s="38"/>
      <c r="I1238" s="56"/>
    </row>
    <row r="1239" spans="1:9" customFormat="1" ht="21.95" customHeight="1" x14ac:dyDescent="0.15">
      <c r="A1239" s="17"/>
      <c r="B1239" s="37"/>
      <c r="C1239" s="37"/>
      <c r="D1239" s="40"/>
      <c r="E1239" s="15"/>
      <c r="F1239" s="85"/>
      <c r="G1239" s="42"/>
      <c r="H1239" s="38"/>
      <c r="I1239" s="56"/>
    </row>
    <row r="1240" spans="1:9" customFormat="1" ht="21.95" customHeight="1" x14ac:dyDescent="0.15">
      <c r="A1240" s="17"/>
      <c r="B1240" s="37"/>
      <c r="C1240" s="37"/>
      <c r="D1240" s="40"/>
      <c r="E1240" s="15"/>
      <c r="F1240" s="85"/>
      <c r="G1240" s="17"/>
      <c r="H1240" s="38"/>
      <c r="I1240" s="56"/>
    </row>
    <row r="1241" spans="1:9" customFormat="1" ht="21.95" customHeight="1" x14ac:dyDescent="0.15">
      <c r="A1241" s="17"/>
      <c r="B1241" s="37"/>
      <c r="C1241" s="37"/>
      <c r="D1241" s="40"/>
      <c r="E1241" s="15"/>
      <c r="F1241" s="85"/>
      <c r="G1241" s="42"/>
      <c r="H1241" s="38"/>
      <c r="I1241" s="56"/>
    </row>
    <row r="1242" spans="1:9" customFormat="1" ht="21.95" customHeight="1" x14ac:dyDescent="0.15">
      <c r="A1242" s="17"/>
      <c r="B1242" s="37"/>
      <c r="C1242" s="37"/>
      <c r="D1242" s="40"/>
      <c r="E1242" s="15"/>
      <c r="F1242" s="85"/>
      <c r="G1242" s="17"/>
      <c r="H1242" s="38"/>
      <c r="I1242" s="56"/>
    </row>
    <row r="1243" spans="1:9" customFormat="1" ht="21.95" customHeight="1" x14ac:dyDescent="0.15">
      <c r="A1243" s="17"/>
      <c r="B1243" s="37"/>
      <c r="C1243" s="37"/>
      <c r="D1243" s="40"/>
      <c r="E1243" s="15"/>
      <c r="F1243" s="85"/>
      <c r="G1243" s="42"/>
      <c r="H1243" s="38"/>
      <c r="I1243" s="56"/>
    </row>
    <row r="1244" spans="1:9" ht="21.95" customHeight="1" x14ac:dyDescent="0.15">
      <c r="A1244" s="17"/>
      <c r="B1244" s="37"/>
      <c r="C1244" s="37"/>
      <c r="D1244" s="37"/>
      <c r="E1244" s="15"/>
      <c r="F1244" s="85"/>
      <c r="G1244" s="17"/>
      <c r="H1244" s="38"/>
    </row>
    <row r="1245" spans="1:9" ht="21.95" customHeight="1" x14ac:dyDescent="0.15">
      <c r="A1245" s="17"/>
      <c r="B1245" s="37"/>
      <c r="C1245" s="37"/>
      <c r="D1245" s="37"/>
      <c r="E1245" s="15"/>
      <c r="F1245" s="85"/>
      <c r="H1245" s="38"/>
    </row>
    <row r="1246" spans="1:9" ht="21.95" customHeight="1" x14ac:dyDescent="0.15">
      <c r="A1246" s="17"/>
      <c r="B1246" s="37"/>
      <c r="C1246" s="37"/>
      <c r="D1246" s="37"/>
      <c r="E1246" s="15"/>
      <c r="F1246" s="85"/>
      <c r="H1246" s="38"/>
    </row>
    <row r="1247" spans="1:9" ht="21.95" customHeight="1" x14ac:dyDescent="0.15">
      <c r="A1247" s="17"/>
      <c r="B1247" s="37"/>
      <c r="C1247" s="37"/>
      <c r="D1247" s="37"/>
      <c r="E1247" s="15"/>
      <c r="F1247" s="85"/>
      <c r="G1247" s="17"/>
      <c r="H1247" s="38"/>
    </row>
    <row r="1248" spans="1:9" customFormat="1" ht="21.95" customHeight="1" x14ac:dyDescent="0.15">
      <c r="A1248" s="17"/>
      <c r="B1248" s="37"/>
      <c r="C1248" s="37"/>
      <c r="D1248" s="37"/>
      <c r="E1248" s="15"/>
      <c r="F1248" s="85"/>
      <c r="G1248" s="17"/>
      <c r="H1248" s="38"/>
      <c r="I1248" s="42"/>
    </row>
    <row r="1249" spans="1:9" customFormat="1" ht="21.95" customHeight="1" x14ac:dyDescent="0.15">
      <c r="A1249" s="17"/>
      <c r="B1249" s="37"/>
      <c r="C1249" s="37"/>
      <c r="D1249" s="37"/>
      <c r="E1249" s="15"/>
      <c r="F1249" s="85"/>
      <c r="G1249" s="17"/>
      <c r="H1249" s="38"/>
      <c r="I1249" s="42"/>
    </row>
    <row r="1250" spans="1:9" customFormat="1" ht="21.95" customHeight="1" x14ac:dyDescent="0.15">
      <c r="A1250" s="17"/>
      <c r="B1250" s="37"/>
      <c r="C1250" s="37"/>
      <c r="D1250" s="37"/>
      <c r="E1250" s="15"/>
      <c r="F1250" s="85"/>
      <c r="G1250" s="17"/>
      <c r="H1250" s="38"/>
      <c r="I1250" s="42"/>
    </row>
    <row r="1251" spans="1:9" customFormat="1" ht="21.95" customHeight="1" x14ac:dyDescent="0.15">
      <c r="A1251" s="17"/>
      <c r="B1251" s="37"/>
      <c r="C1251" s="37"/>
      <c r="D1251" s="37"/>
      <c r="E1251" s="15"/>
      <c r="F1251" s="85"/>
      <c r="G1251" s="17"/>
      <c r="H1251" s="38"/>
      <c r="I1251" s="42"/>
    </row>
    <row r="1252" spans="1:9" customFormat="1" ht="21.95" customHeight="1" x14ac:dyDescent="0.15">
      <c r="A1252" s="17"/>
      <c r="B1252" s="37"/>
      <c r="C1252" s="37"/>
      <c r="D1252" s="37"/>
      <c r="E1252" s="15"/>
      <c r="F1252" s="85"/>
      <c r="G1252" s="17"/>
      <c r="H1252" s="38"/>
      <c r="I1252" s="42"/>
    </row>
    <row r="1253" spans="1:9" customFormat="1" ht="21.95" customHeight="1" x14ac:dyDescent="0.15">
      <c r="A1253" s="17"/>
      <c r="B1253" s="37"/>
      <c r="C1253" s="37"/>
      <c r="D1253" s="37"/>
      <c r="E1253" s="15"/>
      <c r="F1253" s="85"/>
      <c r="G1253" s="17"/>
      <c r="H1253" s="38"/>
      <c r="I1253" s="42"/>
    </row>
    <row r="1254" spans="1:9" customFormat="1" ht="21.95" customHeight="1" x14ac:dyDescent="0.15">
      <c r="A1254" s="17"/>
      <c r="B1254" s="37"/>
      <c r="C1254" s="37"/>
      <c r="D1254" s="37"/>
      <c r="E1254" s="15"/>
      <c r="F1254" s="85"/>
      <c r="G1254" s="17"/>
      <c r="H1254" s="38"/>
      <c r="I1254" s="42"/>
    </row>
    <row r="1255" spans="1:9" customFormat="1" ht="21.95" customHeight="1" x14ac:dyDescent="0.15">
      <c r="A1255" s="17"/>
      <c r="B1255" s="37"/>
      <c r="C1255" s="37"/>
      <c r="D1255" s="37"/>
      <c r="E1255" s="15"/>
      <c r="F1255" s="85"/>
      <c r="G1255" s="17"/>
      <c r="H1255" s="38"/>
      <c r="I1255" s="42"/>
    </row>
    <row r="1256" spans="1:9" customFormat="1" ht="21.95" customHeight="1" x14ac:dyDescent="0.15">
      <c r="A1256" s="17"/>
      <c r="B1256" s="37"/>
      <c r="C1256" s="37"/>
      <c r="D1256" s="37"/>
      <c r="E1256" s="15"/>
      <c r="F1256" s="85"/>
      <c r="G1256" s="17"/>
      <c r="H1256" s="38"/>
      <c r="I1256" s="42"/>
    </row>
    <row r="1257" spans="1:9" customFormat="1" ht="21.95" customHeight="1" x14ac:dyDescent="0.15">
      <c r="A1257" s="17"/>
      <c r="B1257" s="37"/>
      <c r="C1257" s="37"/>
      <c r="D1257" s="37"/>
      <c r="E1257" s="15"/>
      <c r="F1257" s="85"/>
      <c r="G1257" s="17"/>
      <c r="H1257" s="38"/>
      <c r="I1257" s="56"/>
    </row>
    <row r="1258" spans="1:9" customFormat="1" ht="21.95" customHeight="1" x14ac:dyDescent="0.15">
      <c r="A1258" s="17"/>
      <c r="B1258" s="37"/>
      <c r="C1258" s="37"/>
      <c r="D1258" s="37"/>
      <c r="E1258" s="15"/>
      <c r="F1258" s="85"/>
      <c r="G1258" s="17"/>
      <c r="H1258" s="38"/>
      <c r="I1258" s="56"/>
    </row>
    <row r="1259" spans="1:9" customFormat="1" ht="32.1" customHeight="1" x14ac:dyDescent="0.15">
      <c r="A1259" s="17"/>
      <c r="B1259" s="37"/>
      <c r="C1259" s="37"/>
      <c r="D1259" s="37"/>
      <c r="E1259" s="15"/>
      <c r="F1259" s="85"/>
      <c r="G1259" s="17"/>
      <c r="H1259" s="38"/>
      <c r="I1259" s="56"/>
    </row>
    <row r="1260" spans="1:9" customFormat="1" ht="32.1" customHeight="1" x14ac:dyDescent="0.15">
      <c r="A1260" s="17"/>
      <c r="B1260" s="37"/>
      <c r="C1260" s="37"/>
      <c r="D1260" s="37"/>
      <c r="E1260" s="15"/>
      <c r="F1260" s="85"/>
      <c r="G1260" s="17"/>
      <c r="H1260" s="38"/>
      <c r="I1260" s="56"/>
    </row>
    <row r="1261" spans="1:9" customFormat="1" ht="32.1" customHeight="1" x14ac:dyDescent="0.15">
      <c r="A1261" s="17"/>
      <c r="B1261" s="37"/>
      <c r="C1261" s="37"/>
      <c r="D1261" s="37"/>
      <c r="E1261" s="15"/>
      <c r="F1261" s="85"/>
      <c r="G1261" s="17"/>
      <c r="H1261" s="38"/>
      <c r="I1261" s="56"/>
    </row>
    <row r="1262" spans="1:9" customFormat="1" ht="32.1" customHeight="1" x14ac:dyDescent="0.15">
      <c r="A1262" s="17"/>
      <c r="B1262" s="37"/>
      <c r="C1262" s="37"/>
      <c r="D1262" s="37"/>
      <c r="E1262" s="15"/>
      <c r="F1262" s="85"/>
      <c r="G1262" s="17"/>
      <c r="H1262" s="38"/>
      <c r="I1262" s="56"/>
    </row>
    <row r="1263" spans="1:9" customFormat="1" ht="32.1" customHeight="1" x14ac:dyDescent="0.15">
      <c r="A1263" s="17"/>
      <c r="B1263" s="37"/>
      <c r="C1263" s="37"/>
      <c r="D1263" s="37"/>
      <c r="E1263" s="15"/>
      <c r="F1263" s="85"/>
      <c r="G1263" s="17"/>
      <c r="H1263" s="38"/>
      <c r="I1263" s="56"/>
    </row>
    <row r="1264" spans="1:9" customFormat="1" ht="32.1" customHeight="1" x14ac:dyDescent="0.15">
      <c r="A1264" s="17"/>
      <c r="B1264" s="37"/>
      <c r="C1264" s="37"/>
      <c r="D1264" s="37"/>
      <c r="E1264" s="15"/>
      <c r="F1264" s="85"/>
      <c r="G1264" s="17"/>
      <c r="H1264" s="38"/>
      <c r="I1264" s="56"/>
    </row>
    <row r="1265" spans="1:9" ht="32.1" customHeight="1" x14ac:dyDescent="0.15">
      <c r="A1265" s="17"/>
      <c r="B1265" s="37"/>
      <c r="C1265" s="37"/>
      <c r="D1265" s="37"/>
      <c r="E1265" s="15"/>
      <c r="F1265" s="85"/>
      <c r="G1265" s="17"/>
      <c r="H1265" s="38"/>
      <c r="I1265" s="37"/>
    </row>
    <row r="1266" spans="1:9" ht="32.1" customHeight="1" x14ac:dyDescent="0.15">
      <c r="A1266" s="17"/>
      <c r="B1266" s="37"/>
      <c r="C1266" s="37"/>
      <c r="D1266" s="37"/>
      <c r="E1266" s="15"/>
      <c r="F1266" s="37"/>
      <c r="G1266" s="17"/>
      <c r="H1266" s="38"/>
      <c r="I1266" s="37"/>
    </row>
    <row r="1267" spans="1:9" ht="32.1" customHeight="1" x14ac:dyDescent="0.15">
      <c r="A1267" s="17"/>
      <c r="B1267" s="37"/>
      <c r="C1267" s="37"/>
      <c r="D1267" s="37"/>
      <c r="E1267" s="15"/>
      <c r="F1267" s="37"/>
      <c r="G1267" s="17"/>
      <c r="H1267" s="38"/>
      <c r="I1267" s="37"/>
    </row>
    <row r="1268" spans="1:9" ht="32.1" customHeight="1" x14ac:dyDescent="0.15">
      <c r="A1268" s="17"/>
      <c r="B1268" s="37"/>
      <c r="C1268" s="37"/>
      <c r="D1268" s="37"/>
      <c r="E1268" s="15"/>
      <c r="F1268" s="37"/>
      <c r="G1268" s="17"/>
      <c r="H1268" s="38"/>
      <c r="I1268" s="37"/>
    </row>
    <row r="1269" spans="1:9" ht="21.95" customHeight="1" x14ac:dyDescent="0.15">
      <c r="A1269" s="17"/>
      <c r="B1269" s="37"/>
      <c r="C1269" s="37"/>
      <c r="D1269" s="37"/>
      <c r="E1269" s="15"/>
      <c r="F1269" s="37"/>
      <c r="G1269" s="17"/>
      <c r="H1269" s="38"/>
      <c r="I1269" s="37"/>
    </row>
    <row r="1270" spans="1:9" ht="54" customHeight="1" x14ac:dyDescent="0.15">
      <c r="A1270" s="17"/>
      <c r="B1270" s="37"/>
      <c r="C1270" s="37"/>
      <c r="D1270" s="37"/>
      <c r="E1270" s="15"/>
      <c r="F1270" s="37"/>
      <c r="G1270" s="17"/>
      <c r="H1270" s="38"/>
      <c r="I1270" s="37"/>
    </row>
    <row r="1271" spans="1:9" ht="21.95" customHeight="1" x14ac:dyDescent="0.15">
      <c r="A1271" s="17"/>
      <c r="B1271" s="37"/>
      <c r="C1271" s="37"/>
      <c r="D1271" s="37"/>
      <c r="E1271" s="15"/>
      <c r="F1271" s="37"/>
      <c r="G1271" s="17"/>
      <c r="H1271" s="38"/>
      <c r="I1271" s="37"/>
    </row>
    <row r="1272" spans="1:9" ht="21.95" customHeight="1" x14ac:dyDescent="0.15">
      <c r="A1272" s="17"/>
      <c r="B1272" s="37"/>
      <c r="C1272" s="37"/>
      <c r="D1272" s="37"/>
      <c r="E1272" s="15"/>
      <c r="F1272" s="37"/>
      <c r="G1272" s="17"/>
      <c r="H1272" s="38"/>
      <c r="I1272" s="37"/>
    </row>
    <row r="1273" spans="1:9" ht="21.95" customHeight="1" x14ac:dyDescent="0.15">
      <c r="A1273" s="17"/>
      <c r="B1273" s="37"/>
      <c r="C1273" s="37"/>
      <c r="D1273" s="37"/>
      <c r="E1273" s="15"/>
      <c r="F1273" s="37"/>
      <c r="G1273" s="17"/>
      <c r="H1273" s="38"/>
      <c r="I1273" s="37"/>
    </row>
    <row r="1274" spans="1:9" ht="21.95" customHeight="1" x14ac:dyDescent="0.15">
      <c r="A1274" s="17"/>
      <c r="B1274" s="37"/>
      <c r="C1274" s="37"/>
      <c r="D1274" s="37"/>
      <c r="E1274" s="15"/>
      <c r="F1274" s="37"/>
      <c r="G1274" s="17"/>
      <c r="H1274" s="38"/>
      <c r="I1274" s="37"/>
    </row>
    <row r="1275" spans="1:9" ht="21.95" customHeight="1" x14ac:dyDescent="0.15">
      <c r="A1275" s="17"/>
      <c r="B1275" s="37"/>
      <c r="C1275" s="37"/>
      <c r="E1275" s="15"/>
      <c r="G1275" s="17"/>
      <c r="H1275" s="38"/>
    </row>
    <row r="1276" spans="1:9" ht="21.95" customHeight="1" x14ac:dyDescent="0.15">
      <c r="A1276" s="17"/>
      <c r="B1276" s="37"/>
      <c r="C1276" s="37"/>
      <c r="E1276" s="15"/>
      <c r="G1276" s="17"/>
      <c r="H1276" s="38"/>
    </row>
    <row r="1277" spans="1:9" ht="21.95" customHeight="1" x14ac:dyDescent="0.15">
      <c r="A1277" s="17"/>
      <c r="B1277" s="37"/>
      <c r="C1277" s="37"/>
      <c r="E1277" s="15"/>
      <c r="F1277" s="37"/>
      <c r="G1277" s="13"/>
      <c r="H1277" s="38"/>
    </row>
    <row r="1278" spans="1:9" ht="21.95" customHeight="1" x14ac:dyDescent="0.15">
      <c r="A1278" s="17"/>
      <c r="B1278" s="37"/>
      <c r="C1278" s="37"/>
      <c r="E1278" s="15"/>
      <c r="F1278" s="37"/>
      <c r="G1278" s="13"/>
      <c r="H1278" s="38"/>
    </row>
    <row r="1279" spans="1:9" ht="21.95" customHeight="1" x14ac:dyDescent="0.15">
      <c r="A1279" s="17"/>
      <c r="B1279" s="37"/>
      <c r="C1279" s="37"/>
      <c r="D1279" s="37"/>
      <c r="E1279" s="15"/>
      <c r="F1279" s="37"/>
      <c r="G1279" s="13"/>
      <c r="H1279" s="38"/>
    </row>
    <row r="1280" spans="1:9" ht="21.95" customHeight="1" x14ac:dyDescent="0.15">
      <c r="A1280" s="17"/>
      <c r="B1280" s="37"/>
      <c r="C1280" s="37"/>
      <c r="D1280" s="37"/>
      <c r="E1280" s="15"/>
      <c r="F1280" s="37"/>
      <c r="G1280" s="13"/>
      <c r="H1280" s="38"/>
    </row>
    <row r="1281" spans="1:8" ht="21.95" customHeight="1" x14ac:dyDescent="0.15">
      <c r="A1281" s="17"/>
      <c r="B1281" s="37"/>
      <c r="C1281" s="37"/>
      <c r="D1281" s="37"/>
      <c r="E1281" s="15"/>
      <c r="F1281" s="37"/>
      <c r="G1281" s="13"/>
      <c r="H1281" s="38"/>
    </row>
    <row r="1282" spans="1:8" ht="21.95" customHeight="1" x14ac:dyDescent="0.15">
      <c r="A1282" s="17"/>
      <c r="B1282" s="37"/>
      <c r="C1282" s="37"/>
      <c r="D1282" s="37"/>
      <c r="E1282" s="15"/>
      <c r="F1282" s="37"/>
      <c r="G1282" s="13"/>
      <c r="H1282" s="38"/>
    </row>
    <row r="1283" spans="1:8" ht="21.95" customHeight="1" x14ac:dyDescent="0.15">
      <c r="A1283" s="17"/>
      <c r="B1283" s="37"/>
      <c r="C1283" s="37"/>
      <c r="D1283" s="37"/>
      <c r="E1283" s="15"/>
      <c r="F1283" s="37"/>
      <c r="G1283" s="13"/>
      <c r="H1283" s="38"/>
    </row>
    <row r="1284" spans="1:8" ht="21.95" customHeight="1" x14ac:dyDescent="0.15">
      <c r="A1284" s="17"/>
      <c r="B1284" s="37"/>
      <c r="C1284" s="37"/>
      <c r="D1284" s="37"/>
      <c r="E1284" s="15"/>
      <c r="F1284" s="37"/>
      <c r="G1284" s="13"/>
      <c r="H1284" s="38"/>
    </row>
    <row r="1285" spans="1:8" ht="21.95" customHeight="1" x14ac:dyDescent="0.15">
      <c r="A1285" s="17"/>
      <c r="B1285" s="37"/>
      <c r="C1285" s="37"/>
      <c r="D1285" s="37"/>
      <c r="E1285" s="15"/>
      <c r="F1285" s="37"/>
      <c r="G1285" s="13"/>
      <c r="H1285" s="38"/>
    </row>
    <row r="1286" spans="1:8" ht="21.95" customHeight="1" x14ac:dyDescent="0.15">
      <c r="A1286" s="17"/>
      <c r="B1286" s="37"/>
      <c r="C1286" s="37"/>
      <c r="D1286" s="37"/>
      <c r="E1286" s="15"/>
      <c r="F1286" s="37"/>
      <c r="G1286" s="13"/>
      <c r="H1286" s="38"/>
    </row>
    <row r="1287" spans="1:8" ht="21.95" customHeight="1" x14ac:dyDescent="0.15">
      <c r="A1287" s="17"/>
      <c r="B1287" s="37"/>
      <c r="C1287" s="37"/>
      <c r="D1287" s="37"/>
      <c r="E1287" s="15"/>
      <c r="F1287" s="37"/>
      <c r="G1287" s="13"/>
      <c r="H1287" s="38"/>
    </row>
    <row r="1288" spans="1:8" ht="21.95" customHeight="1" x14ac:dyDescent="0.15">
      <c r="A1288" s="17"/>
      <c r="B1288" s="37"/>
      <c r="C1288" s="37"/>
      <c r="D1288" s="37"/>
      <c r="E1288" s="15"/>
      <c r="F1288" s="37"/>
      <c r="G1288" s="13"/>
      <c r="H1288" s="15"/>
    </row>
    <row r="1289" spans="1:8" ht="21.95" customHeight="1" x14ac:dyDescent="0.15">
      <c r="A1289" s="17"/>
      <c r="B1289" s="37"/>
      <c r="C1289" s="37"/>
      <c r="D1289" s="37"/>
      <c r="E1289" s="15"/>
      <c r="F1289" s="37"/>
      <c r="G1289" s="13"/>
      <c r="H1289" s="15"/>
    </row>
    <row r="1290" spans="1:8" ht="21.95" customHeight="1" x14ac:dyDescent="0.15">
      <c r="A1290" s="17"/>
      <c r="B1290" s="37"/>
      <c r="C1290" s="37"/>
      <c r="D1290" s="37"/>
      <c r="E1290" s="15"/>
      <c r="F1290" s="37"/>
      <c r="G1290" s="13"/>
      <c r="H1290" s="15"/>
    </row>
    <row r="1291" spans="1:8" ht="21.95" customHeight="1" x14ac:dyDescent="0.15">
      <c r="A1291" s="17"/>
      <c r="B1291" s="37"/>
      <c r="C1291" s="37"/>
      <c r="D1291" s="37"/>
      <c r="E1291" s="15"/>
      <c r="F1291" s="37"/>
      <c r="G1291" s="13"/>
      <c r="H1291" s="15"/>
    </row>
    <row r="1292" spans="1:8" ht="21.95" customHeight="1" x14ac:dyDescent="0.15">
      <c r="A1292" s="17"/>
      <c r="B1292" s="37"/>
      <c r="C1292" s="37"/>
      <c r="D1292" s="37"/>
      <c r="E1292" s="15"/>
      <c r="F1292" s="37"/>
      <c r="G1292" s="13"/>
      <c r="H1292" s="15"/>
    </row>
    <row r="1293" spans="1:8" ht="21.95" customHeight="1" x14ac:dyDescent="0.15">
      <c r="A1293" s="17"/>
      <c r="B1293" s="37"/>
      <c r="C1293" s="37"/>
      <c r="D1293" s="37"/>
      <c r="E1293" s="15"/>
      <c r="F1293" s="37"/>
      <c r="G1293" s="13"/>
      <c r="H1293" s="15"/>
    </row>
    <row r="1294" spans="1:8" ht="21.95" customHeight="1" x14ac:dyDescent="0.15">
      <c r="A1294" s="17"/>
      <c r="B1294" s="37"/>
      <c r="C1294" s="37"/>
      <c r="D1294" s="37"/>
      <c r="E1294" s="15"/>
      <c r="F1294" s="37"/>
      <c r="G1294" s="13"/>
      <c r="H1294" s="15"/>
    </row>
    <row r="1295" spans="1:8" ht="21.95" customHeight="1" x14ac:dyDescent="0.15">
      <c r="A1295" s="17"/>
      <c r="B1295" s="37"/>
      <c r="C1295" s="37"/>
      <c r="D1295" s="37"/>
      <c r="E1295" s="15"/>
      <c r="F1295" s="37"/>
      <c r="G1295" s="13"/>
      <c r="H1295" s="15"/>
    </row>
    <row r="1296" spans="1:8" ht="21.95" customHeight="1" x14ac:dyDescent="0.15">
      <c r="A1296" s="17"/>
      <c r="B1296" s="37"/>
      <c r="C1296" s="37"/>
      <c r="D1296" s="37"/>
      <c r="E1296" s="15"/>
      <c r="F1296" s="37"/>
      <c r="G1296" s="13"/>
      <c r="H1296" s="15"/>
    </row>
    <row r="1297" spans="1:8" ht="21.95" customHeight="1" x14ac:dyDescent="0.15">
      <c r="A1297" s="17"/>
      <c r="B1297" s="37"/>
      <c r="C1297" s="37"/>
      <c r="D1297" s="37"/>
      <c r="E1297" s="15"/>
      <c r="F1297" s="37"/>
      <c r="G1297" s="13"/>
      <c r="H1297" s="15"/>
    </row>
    <row r="1298" spans="1:8" ht="21.95" customHeight="1" x14ac:dyDescent="0.15">
      <c r="A1298" s="17"/>
      <c r="B1298" s="37"/>
      <c r="C1298" s="37"/>
      <c r="D1298" s="37"/>
      <c r="E1298" s="15"/>
      <c r="F1298" s="37"/>
      <c r="G1298" s="13"/>
      <c r="H1298" s="15"/>
    </row>
    <row r="1299" spans="1:8" ht="21.95" customHeight="1" x14ac:dyDescent="0.15">
      <c r="A1299" s="17"/>
      <c r="B1299" s="37"/>
      <c r="C1299" s="37"/>
      <c r="D1299" s="37"/>
      <c r="E1299" s="15"/>
      <c r="F1299" s="37"/>
      <c r="G1299" s="13"/>
      <c r="H1299" s="15"/>
    </row>
    <row r="1300" spans="1:8" ht="21.95" customHeight="1" x14ac:dyDescent="0.15">
      <c r="A1300" s="17"/>
      <c r="B1300" s="37"/>
      <c r="C1300" s="37"/>
      <c r="D1300" s="37"/>
      <c r="E1300" s="15"/>
      <c r="F1300" s="37"/>
      <c r="G1300" s="13"/>
      <c r="H1300" s="15"/>
    </row>
    <row r="1301" spans="1:8" ht="21.95" customHeight="1" x14ac:dyDescent="0.15">
      <c r="A1301" s="17"/>
      <c r="B1301" s="37"/>
      <c r="C1301" s="37"/>
      <c r="D1301" s="37"/>
      <c r="E1301" s="15"/>
      <c r="F1301" s="37"/>
      <c r="G1301" s="13"/>
      <c r="H1301" s="15"/>
    </row>
    <row r="1302" spans="1:8" ht="21.95" customHeight="1" x14ac:dyDescent="0.15">
      <c r="A1302" s="17"/>
      <c r="B1302" s="37"/>
      <c r="C1302" s="37"/>
      <c r="D1302" s="37"/>
      <c r="E1302" s="15"/>
      <c r="F1302" s="37"/>
      <c r="G1302" s="13"/>
      <c r="H1302" s="15"/>
    </row>
    <row r="1303" spans="1:8" ht="21.95" customHeight="1" x14ac:dyDescent="0.15">
      <c r="A1303" s="17"/>
      <c r="B1303" s="37"/>
      <c r="C1303" s="37"/>
      <c r="D1303" s="37"/>
      <c r="E1303" s="15"/>
      <c r="F1303" s="37"/>
      <c r="G1303" s="13"/>
      <c r="H1303" s="15"/>
    </row>
    <row r="1304" spans="1:8" ht="21.95" customHeight="1" x14ac:dyDescent="0.15">
      <c r="A1304" s="17"/>
      <c r="B1304" s="37"/>
      <c r="C1304" s="37"/>
      <c r="D1304" s="37"/>
      <c r="E1304" s="15"/>
      <c r="F1304" s="37"/>
      <c r="G1304" s="13"/>
      <c r="H1304" s="15"/>
    </row>
    <row r="1305" spans="1:8" ht="21.95" customHeight="1" x14ac:dyDescent="0.15">
      <c r="A1305" s="17"/>
      <c r="B1305" s="37"/>
      <c r="C1305" s="37"/>
      <c r="D1305" s="37"/>
      <c r="E1305" s="15"/>
      <c r="F1305" s="37"/>
      <c r="G1305" s="13"/>
      <c r="H1305" s="15"/>
    </row>
    <row r="1306" spans="1:8" ht="21.95" customHeight="1" x14ac:dyDescent="0.15">
      <c r="A1306" s="17"/>
      <c r="B1306" s="37"/>
      <c r="C1306" s="37"/>
      <c r="D1306" s="37"/>
      <c r="E1306" s="15"/>
      <c r="F1306" s="37"/>
      <c r="G1306" s="37"/>
      <c r="H1306" s="15"/>
    </row>
    <row r="1307" spans="1:8" ht="21.95" customHeight="1" x14ac:dyDescent="0.15">
      <c r="A1307" s="17"/>
      <c r="B1307" s="37"/>
      <c r="C1307" s="37"/>
      <c r="D1307" s="37"/>
      <c r="E1307" s="15"/>
      <c r="F1307" s="37"/>
      <c r="G1307" s="13"/>
      <c r="H1307" s="15"/>
    </row>
    <row r="1308" spans="1:8" ht="21.95" customHeight="1" x14ac:dyDescent="0.15">
      <c r="A1308" s="17"/>
      <c r="B1308" s="37"/>
      <c r="C1308" s="37"/>
      <c r="D1308" s="37"/>
      <c r="E1308" s="15"/>
      <c r="F1308" s="37"/>
      <c r="G1308" s="13"/>
      <c r="H1308" s="15"/>
    </row>
    <row r="1309" spans="1:8" ht="21.95" customHeight="1" x14ac:dyDescent="0.15">
      <c r="A1309" s="17"/>
      <c r="B1309" s="37"/>
      <c r="C1309" s="37"/>
      <c r="D1309" s="37"/>
      <c r="E1309" s="15"/>
      <c r="F1309" s="37"/>
      <c r="G1309" s="13"/>
      <c r="H1309" s="15"/>
    </row>
    <row r="1310" spans="1:8" ht="21.95" customHeight="1" x14ac:dyDescent="0.15">
      <c r="A1310" s="17"/>
      <c r="B1310" s="37"/>
      <c r="C1310" s="37"/>
      <c r="D1310" s="37"/>
      <c r="E1310" s="15"/>
      <c r="F1310" s="37"/>
      <c r="G1310" s="13"/>
      <c r="H1310" s="15"/>
    </row>
    <row r="1311" spans="1:8" ht="21.95" customHeight="1" x14ac:dyDescent="0.15">
      <c r="A1311" s="17"/>
      <c r="B1311" s="37"/>
      <c r="C1311" s="37"/>
      <c r="D1311" s="37"/>
      <c r="E1311" s="15"/>
      <c r="F1311" s="37"/>
      <c r="G1311" s="13"/>
      <c r="H1311" s="15"/>
    </row>
    <row r="1312" spans="1:8" ht="21.95" customHeight="1" x14ac:dyDescent="0.15">
      <c r="A1312" s="17"/>
      <c r="B1312" s="37"/>
      <c r="C1312" s="37"/>
      <c r="D1312" s="37"/>
      <c r="E1312" s="15"/>
      <c r="F1312" s="37"/>
      <c r="G1312" s="13"/>
      <c r="H1312" s="15"/>
    </row>
    <row r="1313" spans="1:9" ht="21.95" customHeight="1" x14ac:dyDescent="0.15">
      <c r="A1313" s="17"/>
      <c r="B1313" s="37"/>
      <c r="C1313" s="37"/>
      <c r="D1313" s="37"/>
      <c r="E1313" s="15"/>
      <c r="F1313" s="37"/>
      <c r="G1313" s="13"/>
      <c r="H1313" s="15"/>
    </row>
    <row r="1314" spans="1:9" ht="21.95" customHeight="1" x14ac:dyDescent="0.15">
      <c r="A1314" s="17"/>
      <c r="B1314" s="37"/>
      <c r="C1314" s="37"/>
      <c r="D1314" s="37"/>
      <c r="E1314" s="15"/>
      <c r="F1314" s="37"/>
      <c r="G1314" s="13"/>
      <c r="H1314" s="15"/>
    </row>
    <row r="1315" spans="1:9" ht="21.95" customHeight="1" x14ac:dyDescent="0.15">
      <c r="A1315" s="17"/>
      <c r="B1315" s="37"/>
      <c r="C1315" s="37"/>
      <c r="D1315" s="37"/>
      <c r="E1315" s="15"/>
      <c r="F1315" s="37"/>
      <c r="G1315" s="13"/>
      <c r="H1315" s="15"/>
    </row>
    <row r="1316" spans="1:9" ht="21.95" customHeight="1" x14ac:dyDescent="0.15">
      <c r="A1316" s="17"/>
      <c r="B1316" s="37"/>
      <c r="C1316" s="37"/>
      <c r="D1316" s="37"/>
      <c r="E1316" s="15"/>
      <c r="F1316" s="37"/>
      <c r="G1316" s="13"/>
      <c r="H1316" s="15"/>
    </row>
    <row r="1317" spans="1:9" ht="21.95" customHeight="1" x14ac:dyDescent="0.15">
      <c r="A1317" s="17"/>
      <c r="B1317" s="37"/>
      <c r="C1317" s="37"/>
      <c r="D1317" s="37"/>
      <c r="E1317" s="15"/>
      <c r="F1317" s="37"/>
      <c r="G1317" s="13"/>
      <c r="H1317" s="15"/>
    </row>
    <row r="1318" spans="1:9" ht="21.95" customHeight="1" x14ac:dyDescent="0.15">
      <c r="A1318" s="17"/>
      <c r="B1318" s="37"/>
      <c r="C1318" s="37"/>
      <c r="D1318" s="37"/>
      <c r="E1318" s="15"/>
      <c r="F1318" s="37"/>
      <c r="G1318" s="13"/>
      <c r="H1318" s="15"/>
    </row>
    <row r="1319" spans="1:9" ht="21.95" customHeight="1" x14ac:dyDescent="0.15">
      <c r="A1319" s="17"/>
      <c r="B1319" s="37"/>
      <c r="C1319" s="37"/>
      <c r="D1319" s="37"/>
      <c r="E1319" s="15"/>
      <c r="F1319" s="37"/>
      <c r="G1319" s="13"/>
      <c r="H1319" s="38"/>
      <c r="I1319" s="84"/>
    </row>
    <row r="1320" spans="1:9" ht="21.95" customHeight="1" x14ac:dyDescent="0.15">
      <c r="A1320" s="17"/>
      <c r="B1320" s="37"/>
      <c r="C1320" s="37"/>
      <c r="D1320" s="37"/>
      <c r="E1320" s="15"/>
      <c r="F1320" s="37"/>
      <c r="G1320" s="13"/>
      <c r="H1320" s="15"/>
      <c r="I1320" s="84"/>
    </row>
    <row r="1321" spans="1:9" ht="35.1" customHeight="1" x14ac:dyDescent="0.15">
      <c r="A1321" s="17"/>
      <c r="B1321" s="37"/>
      <c r="C1321" s="37"/>
      <c r="D1321" s="37"/>
      <c r="E1321" s="15"/>
      <c r="F1321" s="15"/>
      <c r="G1321" s="37"/>
      <c r="H1321" s="15"/>
    </row>
    <row r="1322" spans="1:9" ht="21.95" customHeight="1" x14ac:dyDescent="0.15">
      <c r="A1322" s="17"/>
      <c r="B1322" s="37"/>
      <c r="C1322" s="37"/>
      <c r="D1322" s="37"/>
      <c r="E1322" s="15"/>
      <c r="F1322" s="37"/>
      <c r="G1322" s="13"/>
      <c r="H1322" s="15"/>
    </row>
    <row r="1323" spans="1:9" ht="21.95" customHeight="1" x14ac:dyDescent="0.15">
      <c r="A1323" s="17"/>
      <c r="B1323" s="37"/>
      <c r="C1323" s="37"/>
      <c r="D1323" s="37"/>
      <c r="E1323" s="15"/>
      <c r="F1323" s="37"/>
      <c r="G1323" s="13"/>
      <c r="H1323" s="15"/>
    </row>
    <row r="1324" spans="1:9" ht="21.95" customHeight="1" x14ac:dyDescent="0.15">
      <c r="A1324" s="17"/>
      <c r="B1324" s="37"/>
      <c r="C1324" s="37"/>
      <c r="D1324" s="37"/>
      <c r="E1324" s="15"/>
      <c r="F1324" s="37"/>
      <c r="G1324" s="13"/>
      <c r="H1324" s="15"/>
    </row>
    <row r="1325" spans="1:9" ht="21.95" customHeight="1" x14ac:dyDescent="0.15">
      <c r="A1325" s="17"/>
      <c r="B1325" s="37"/>
      <c r="C1325" s="37"/>
      <c r="D1325" s="37"/>
      <c r="E1325" s="15"/>
      <c r="F1325" s="37"/>
      <c r="G1325" s="13"/>
      <c r="H1325" s="15"/>
    </row>
    <row r="1326" spans="1:9" ht="21.95" customHeight="1" x14ac:dyDescent="0.15">
      <c r="A1326" s="17"/>
      <c r="B1326" s="37"/>
      <c r="C1326" s="37"/>
      <c r="D1326" s="37"/>
      <c r="E1326" s="15"/>
      <c r="F1326" s="37"/>
      <c r="G1326" s="13"/>
      <c r="H1326" s="15"/>
    </row>
    <row r="1327" spans="1:9" ht="21.95" customHeight="1" x14ac:dyDescent="0.15">
      <c r="A1327" s="17"/>
      <c r="B1327" s="37"/>
      <c r="C1327" s="37"/>
      <c r="D1327" s="37"/>
      <c r="E1327" s="15"/>
      <c r="F1327" s="37"/>
      <c r="G1327" s="13"/>
      <c r="H1327" s="15"/>
      <c r="I1327" s="37"/>
    </row>
    <row r="1328" spans="1:9" ht="21.95" customHeight="1" x14ac:dyDescent="0.15">
      <c r="A1328" s="17"/>
      <c r="B1328" s="37"/>
      <c r="C1328" s="37"/>
      <c r="D1328" s="37"/>
      <c r="E1328" s="15"/>
      <c r="F1328" s="37"/>
      <c r="G1328" s="37"/>
      <c r="H1328" s="15"/>
      <c r="I1328" s="37"/>
    </row>
    <row r="1329" spans="1:9" ht="21.95" customHeight="1" x14ac:dyDescent="0.15">
      <c r="A1329" s="17"/>
      <c r="B1329" s="37"/>
      <c r="C1329" s="37"/>
      <c r="D1329" s="37"/>
      <c r="E1329" s="15"/>
      <c r="F1329" s="37"/>
      <c r="G1329" s="37"/>
      <c r="H1329" s="38"/>
      <c r="I1329" s="37"/>
    </row>
    <row r="1330" spans="1:9" ht="21.95" customHeight="1" x14ac:dyDescent="0.15">
      <c r="A1330" s="17"/>
      <c r="B1330" s="37"/>
      <c r="C1330" s="37"/>
      <c r="D1330" s="37"/>
      <c r="E1330" s="15"/>
      <c r="F1330" s="37"/>
      <c r="G1330" s="37"/>
      <c r="H1330" s="38"/>
      <c r="I1330" s="37"/>
    </row>
    <row r="1331" spans="1:9" ht="21.95" customHeight="1" x14ac:dyDescent="0.15">
      <c r="A1331" s="17"/>
      <c r="B1331" s="37"/>
      <c r="C1331" s="37"/>
      <c r="D1331" s="37"/>
      <c r="E1331" s="15"/>
      <c r="F1331" s="37"/>
      <c r="G1331" s="13"/>
      <c r="H1331" s="15"/>
      <c r="I1331" s="37"/>
    </row>
    <row r="1332" spans="1:9" ht="21.95" customHeight="1" x14ac:dyDescent="0.15">
      <c r="A1332" s="17"/>
      <c r="B1332" s="37"/>
      <c r="C1332" s="37"/>
      <c r="D1332" s="37"/>
      <c r="E1332" s="15"/>
      <c r="F1332" s="37"/>
      <c r="G1332" s="13"/>
      <c r="H1332" s="15"/>
      <c r="I1332" s="37"/>
    </row>
    <row r="1333" spans="1:9" ht="21.95" customHeight="1" x14ac:dyDescent="0.15">
      <c r="A1333" s="17"/>
      <c r="B1333" s="37"/>
      <c r="C1333" s="37"/>
      <c r="D1333" s="37"/>
      <c r="E1333" s="15"/>
      <c r="F1333" s="37"/>
      <c r="G1333" s="13"/>
      <c r="H1333" s="15"/>
      <c r="I1333" s="37"/>
    </row>
    <row r="1334" spans="1:9" ht="21.95" customHeight="1" x14ac:dyDescent="0.15">
      <c r="A1334" s="17"/>
      <c r="B1334" s="37"/>
      <c r="C1334" s="37"/>
      <c r="E1334" s="15"/>
      <c r="F1334" s="37"/>
      <c r="H1334" s="38"/>
    </row>
    <row r="1335" spans="1:9" ht="21.95" customHeight="1" x14ac:dyDescent="0.15">
      <c r="A1335" s="17"/>
      <c r="B1335" s="37"/>
      <c r="C1335" s="37"/>
      <c r="E1335" s="15"/>
      <c r="F1335" s="37"/>
    </row>
    <row r="1336" spans="1:9" ht="21.95" customHeight="1" x14ac:dyDescent="0.15">
      <c r="A1336" s="17"/>
      <c r="B1336" s="37"/>
      <c r="C1336" s="37"/>
      <c r="E1336" s="15"/>
      <c r="G1336" s="77"/>
    </row>
    <row r="1337" spans="1:9" ht="21.95" customHeight="1" x14ac:dyDescent="0.15">
      <c r="A1337" s="17"/>
      <c r="B1337" s="37"/>
      <c r="C1337" s="37"/>
      <c r="D1337" s="37"/>
      <c r="E1337" s="15"/>
      <c r="F1337" s="37"/>
      <c r="G1337" s="37"/>
      <c r="H1337" s="15"/>
    </row>
    <row r="1338" spans="1:9" ht="21.95" customHeight="1" x14ac:dyDescent="0.15">
      <c r="A1338" s="17"/>
      <c r="B1338" s="37"/>
      <c r="C1338" s="37"/>
      <c r="D1338" s="37"/>
      <c r="E1338" s="15"/>
      <c r="F1338" s="37"/>
      <c r="G1338" s="13"/>
      <c r="H1338" s="15"/>
    </row>
    <row r="1339" spans="1:9" ht="21.95" customHeight="1" x14ac:dyDescent="0.15">
      <c r="A1339" s="17"/>
      <c r="B1339" s="37"/>
      <c r="C1339" s="37"/>
      <c r="D1339" s="37"/>
      <c r="E1339" s="15"/>
      <c r="F1339" s="37"/>
      <c r="G1339" s="13"/>
      <c r="H1339" s="15"/>
    </row>
    <row r="1340" spans="1:9" ht="21.95" customHeight="1" x14ac:dyDescent="0.15">
      <c r="A1340" s="17"/>
      <c r="C1340" s="37"/>
    </row>
    <row r="1341" spans="1:9" ht="21.95" customHeight="1" x14ac:dyDescent="0.15">
      <c r="A1341" s="17"/>
      <c r="B1341" s="37"/>
      <c r="C1341" s="37"/>
      <c r="D1341" s="13"/>
      <c r="E1341" s="15"/>
      <c r="F1341" s="37"/>
      <c r="G1341" s="13"/>
      <c r="H1341" s="15"/>
      <c r="I1341" s="13"/>
    </row>
    <row r="1342" spans="1:9" ht="21.95" customHeight="1" x14ac:dyDescent="0.15">
      <c r="A1342" s="17"/>
      <c r="B1342" s="13"/>
      <c r="C1342" s="13"/>
      <c r="D1342" s="13"/>
      <c r="E1342" s="15"/>
      <c r="F1342" s="37"/>
      <c r="G1342" s="13"/>
      <c r="H1342" s="15"/>
      <c r="I1342" s="13"/>
    </row>
    <row r="1343" spans="1:9" ht="21.95" customHeight="1" x14ac:dyDescent="0.15">
      <c r="A1343" s="17"/>
      <c r="B1343" s="13"/>
      <c r="C1343" s="13"/>
      <c r="D1343" s="13"/>
      <c r="E1343" s="15"/>
      <c r="F1343" s="37"/>
      <c r="G1343" s="13"/>
      <c r="H1343" s="15"/>
      <c r="I1343" s="13"/>
    </row>
    <row r="1344" spans="1:9" ht="21.95" customHeight="1" x14ac:dyDescent="0.15">
      <c r="A1344" s="17"/>
      <c r="B1344" s="13"/>
      <c r="C1344" s="13"/>
      <c r="D1344" s="13"/>
      <c r="E1344" s="15"/>
      <c r="F1344" s="37"/>
      <c r="G1344" s="13"/>
      <c r="H1344" s="15"/>
      <c r="I1344" s="13"/>
    </row>
    <row r="1345" spans="1:9" customFormat="1" ht="21.95" customHeight="1" x14ac:dyDescent="0.15">
      <c r="A1345" s="17"/>
      <c r="B1345" s="40"/>
      <c r="C1345" s="40"/>
      <c r="D1345" s="40"/>
      <c r="E1345" s="38"/>
      <c r="F1345" s="85"/>
      <c r="G1345" s="40"/>
      <c r="H1345" s="38"/>
      <c r="I1345" s="40"/>
    </row>
    <row r="1346" spans="1:9" customFormat="1" ht="21.95" customHeight="1" x14ac:dyDescent="0.15">
      <c r="A1346" s="17"/>
      <c r="B1346" s="37"/>
      <c r="C1346" s="37"/>
      <c r="D1346" s="40"/>
      <c r="E1346" s="15"/>
      <c r="F1346" s="85"/>
      <c r="G1346" s="42"/>
      <c r="H1346" s="38"/>
      <c r="I1346" s="56"/>
    </row>
    <row r="1347" spans="1:9" customFormat="1" ht="21.95" customHeight="1" x14ac:dyDescent="0.15">
      <c r="A1347" s="17"/>
      <c r="B1347" s="37"/>
      <c r="C1347" s="95"/>
      <c r="D1347" s="40"/>
      <c r="E1347" s="15"/>
      <c r="F1347" s="85"/>
      <c r="G1347" s="42"/>
      <c r="H1347" s="38"/>
      <c r="I1347" s="56"/>
    </row>
    <row r="1348" spans="1:9" customFormat="1" ht="21.95" customHeight="1" x14ac:dyDescent="0.15">
      <c r="A1348" s="17"/>
      <c r="B1348" s="37"/>
      <c r="C1348" s="95"/>
      <c r="D1348" s="40"/>
      <c r="E1348" s="15"/>
      <c r="F1348" s="85"/>
      <c r="G1348" s="17"/>
      <c r="H1348" s="38"/>
      <c r="I1348" s="56"/>
    </row>
    <row r="1349" spans="1:9" customFormat="1" ht="21.95" customHeight="1" x14ac:dyDescent="0.15">
      <c r="A1349" s="17"/>
      <c r="B1349" s="37"/>
      <c r="C1349" s="37"/>
      <c r="D1349" s="40"/>
      <c r="E1349" s="15"/>
      <c r="F1349" s="85"/>
      <c r="G1349" s="42"/>
      <c r="H1349" s="38"/>
      <c r="I1349" s="56"/>
    </row>
    <row r="1350" spans="1:9" customFormat="1" ht="21.95" customHeight="1" x14ac:dyDescent="0.15">
      <c r="A1350" s="17"/>
      <c r="B1350" s="37"/>
      <c r="C1350" s="37"/>
      <c r="D1350" s="40"/>
      <c r="E1350" s="15"/>
      <c r="F1350" s="85"/>
      <c r="G1350" s="17"/>
      <c r="H1350" s="38"/>
      <c r="I1350" s="56"/>
    </row>
    <row r="1351" spans="1:9" customFormat="1" ht="21.95" customHeight="1" x14ac:dyDescent="0.15">
      <c r="A1351" s="17"/>
      <c r="B1351" s="37"/>
      <c r="C1351" s="37"/>
      <c r="D1351" s="40"/>
      <c r="E1351" s="15"/>
      <c r="F1351" s="85"/>
      <c r="G1351" s="42"/>
      <c r="H1351" s="38"/>
      <c r="I1351" s="56"/>
    </row>
    <row r="1352" spans="1:9" customFormat="1" ht="21.95" customHeight="1" x14ac:dyDescent="0.15">
      <c r="A1352" s="17"/>
      <c r="B1352" s="37"/>
      <c r="C1352" s="37"/>
      <c r="D1352" s="40"/>
      <c r="E1352" s="15"/>
      <c r="F1352" s="85"/>
      <c r="G1352" s="17"/>
      <c r="H1352" s="38"/>
      <c r="I1352" s="56"/>
    </row>
    <row r="1353" spans="1:9" customFormat="1" ht="21.95" customHeight="1" x14ac:dyDescent="0.15">
      <c r="A1353" s="17"/>
      <c r="B1353" s="37"/>
      <c r="C1353" s="37"/>
      <c r="D1353" s="40"/>
      <c r="E1353" s="15"/>
      <c r="F1353" s="85"/>
      <c r="G1353" s="42"/>
      <c r="H1353" s="38"/>
      <c r="I1353" s="56"/>
    </row>
    <row r="1354" spans="1:9" customFormat="1" ht="21.95" customHeight="1" x14ac:dyDescent="0.15">
      <c r="A1354" s="17"/>
      <c r="B1354" s="37"/>
      <c r="C1354" s="37"/>
      <c r="D1354" s="40"/>
      <c r="E1354" s="15"/>
      <c r="F1354" s="85"/>
      <c r="G1354" s="17"/>
      <c r="H1354" s="38"/>
      <c r="I1354" s="56"/>
    </row>
    <row r="1355" spans="1:9" customFormat="1" ht="21.95" customHeight="1" x14ac:dyDescent="0.15">
      <c r="A1355" s="17"/>
      <c r="B1355" s="37"/>
      <c r="C1355" s="37"/>
      <c r="D1355" s="40"/>
      <c r="E1355" s="15"/>
      <c r="F1355" s="85"/>
      <c r="G1355" s="42"/>
      <c r="H1355" s="38"/>
      <c r="I1355" s="56"/>
    </row>
    <row r="1356" spans="1:9" ht="21.95" customHeight="1" x14ac:dyDescent="0.15">
      <c r="A1356" s="17"/>
      <c r="B1356" s="37"/>
      <c r="C1356" s="37"/>
      <c r="D1356" s="37"/>
      <c r="E1356" s="15"/>
      <c r="F1356" s="85"/>
      <c r="G1356" s="17"/>
      <c r="H1356" s="38"/>
    </row>
    <row r="1357" spans="1:9" ht="21.95" customHeight="1" x14ac:dyDescent="0.15">
      <c r="A1357" s="17"/>
      <c r="B1357" s="37"/>
      <c r="C1357" s="37"/>
      <c r="D1357" s="37"/>
      <c r="E1357" s="15"/>
      <c r="F1357" s="85"/>
      <c r="H1357" s="38"/>
    </row>
    <row r="1358" spans="1:9" ht="21.95" customHeight="1" x14ac:dyDescent="0.15">
      <c r="A1358" s="17"/>
      <c r="B1358" s="37"/>
      <c r="C1358" s="37"/>
      <c r="D1358" s="37"/>
      <c r="E1358" s="15"/>
      <c r="F1358" s="85"/>
      <c r="H1358" s="38"/>
    </row>
    <row r="1359" spans="1:9" ht="21.95" customHeight="1" x14ac:dyDescent="0.15">
      <c r="A1359" s="17"/>
      <c r="B1359" s="37"/>
      <c r="C1359" s="37"/>
      <c r="D1359" s="37"/>
      <c r="E1359" s="15"/>
      <c r="F1359" s="85"/>
      <c r="G1359" s="17"/>
      <c r="H1359" s="38"/>
    </row>
    <row r="1360" spans="1:9" customFormat="1" ht="21.95" customHeight="1" x14ac:dyDescent="0.15">
      <c r="A1360" s="17"/>
      <c r="B1360" s="37"/>
      <c r="C1360" s="37"/>
      <c r="D1360" s="37"/>
      <c r="E1360" s="15"/>
      <c r="F1360" s="85"/>
      <c r="G1360" s="17"/>
      <c r="H1360" s="38"/>
      <c r="I1360" s="42"/>
    </row>
    <row r="1361" spans="1:9" customFormat="1" ht="21.95" customHeight="1" x14ac:dyDescent="0.15">
      <c r="A1361" s="17"/>
      <c r="B1361" s="37"/>
      <c r="C1361" s="37"/>
      <c r="D1361" s="37"/>
      <c r="E1361" s="15"/>
      <c r="F1361" s="85"/>
      <c r="G1361" s="17"/>
      <c r="H1361" s="38"/>
      <c r="I1361" s="42"/>
    </row>
    <row r="1362" spans="1:9" customFormat="1" ht="21.95" customHeight="1" x14ac:dyDescent="0.15">
      <c r="A1362" s="17"/>
      <c r="B1362" s="37"/>
      <c r="C1362" s="37"/>
      <c r="D1362" s="37"/>
      <c r="E1362" s="15"/>
      <c r="F1362" s="85"/>
      <c r="G1362" s="17"/>
      <c r="H1362" s="38"/>
      <c r="I1362" s="42"/>
    </row>
    <row r="1363" spans="1:9" customFormat="1" ht="21.95" customHeight="1" x14ac:dyDescent="0.15">
      <c r="A1363" s="17"/>
      <c r="B1363" s="37"/>
      <c r="C1363" s="37"/>
      <c r="D1363" s="37"/>
      <c r="E1363" s="15"/>
      <c r="F1363" s="85"/>
      <c r="G1363" s="17"/>
      <c r="H1363" s="38"/>
      <c r="I1363" s="42"/>
    </row>
    <row r="1364" spans="1:9" customFormat="1" ht="21.95" customHeight="1" x14ac:dyDescent="0.15">
      <c r="A1364" s="17"/>
      <c r="B1364" s="37"/>
      <c r="C1364" s="37"/>
      <c r="D1364" s="37"/>
      <c r="E1364" s="15"/>
      <c r="F1364" s="85"/>
      <c r="G1364" s="17"/>
      <c r="H1364" s="38"/>
      <c r="I1364" s="42"/>
    </row>
    <row r="1365" spans="1:9" customFormat="1" ht="21.95" customHeight="1" x14ac:dyDescent="0.15">
      <c r="A1365" s="17"/>
      <c r="B1365" s="37"/>
      <c r="C1365" s="37"/>
      <c r="D1365" s="37"/>
      <c r="E1365" s="15"/>
      <c r="F1365" s="85"/>
      <c r="G1365" s="17"/>
      <c r="H1365" s="38"/>
      <c r="I1365" s="42"/>
    </row>
    <row r="1366" spans="1:9" customFormat="1" ht="21.95" customHeight="1" x14ac:dyDescent="0.15">
      <c r="A1366" s="17"/>
      <c r="B1366" s="37"/>
      <c r="C1366" s="37"/>
      <c r="D1366" s="37"/>
      <c r="E1366" s="15"/>
      <c r="F1366" s="85"/>
      <c r="G1366" s="17"/>
      <c r="H1366" s="38"/>
      <c r="I1366" s="42"/>
    </row>
    <row r="1367" spans="1:9" customFormat="1" ht="21.95" customHeight="1" x14ac:dyDescent="0.15">
      <c r="A1367" s="17"/>
      <c r="B1367" s="37"/>
      <c r="C1367" s="37"/>
      <c r="D1367" s="37"/>
      <c r="E1367" s="15"/>
      <c r="F1367" s="85"/>
      <c r="G1367" s="17"/>
      <c r="H1367" s="38"/>
      <c r="I1367" s="42"/>
    </row>
    <row r="1368" spans="1:9" customFormat="1" ht="21.95" customHeight="1" x14ac:dyDescent="0.15">
      <c r="A1368" s="17"/>
      <c r="B1368" s="37"/>
      <c r="C1368" s="37"/>
      <c r="D1368" s="37"/>
      <c r="E1368" s="15"/>
      <c r="F1368" s="85"/>
      <c r="G1368" s="17"/>
      <c r="H1368" s="38"/>
      <c r="I1368" s="42"/>
    </row>
    <row r="1369" spans="1:9" customFormat="1" ht="21.95" customHeight="1" x14ac:dyDescent="0.15">
      <c r="A1369" s="17"/>
      <c r="B1369" s="37"/>
      <c r="C1369" s="37"/>
      <c r="D1369" s="37"/>
      <c r="E1369" s="15"/>
      <c r="F1369" s="85"/>
      <c r="G1369" s="17"/>
      <c r="H1369" s="38"/>
      <c r="I1369" s="56"/>
    </row>
    <row r="1370" spans="1:9" customFormat="1" ht="21.95" customHeight="1" x14ac:dyDescent="0.15">
      <c r="A1370" s="17"/>
      <c r="B1370" s="37"/>
      <c r="C1370" s="37"/>
      <c r="D1370" s="37"/>
      <c r="E1370" s="15"/>
      <c r="F1370" s="85"/>
      <c r="G1370" s="17"/>
      <c r="H1370" s="38"/>
      <c r="I1370" s="56"/>
    </row>
    <row r="1371" spans="1:9" customFormat="1" ht="32.1" customHeight="1" x14ac:dyDescent="0.15">
      <c r="A1371" s="17"/>
      <c r="B1371" s="37"/>
      <c r="C1371" s="37"/>
      <c r="D1371" s="37"/>
      <c r="E1371" s="15"/>
      <c r="F1371" s="85"/>
      <c r="G1371" s="17"/>
      <c r="H1371" s="38"/>
      <c r="I1371" s="56"/>
    </row>
    <row r="1372" spans="1:9" customFormat="1" ht="32.1" customHeight="1" x14ac:dyDescent="0.15">
      <c r="A1372" s="17"/>
      <c r="B1372" s="37"/>
      <c r="C1372" s="37"/>
      <c r="D1372" s="37"/>
      <c r="E1372" s="15"/>
      <c r="F1372" s="85"/>
      <c r="G1372" s="17"/>
      <c r="H1372" s="38"/>
      <c r="I1372" s="56"/>
    </row>
    <row r="1373" spans="1:9" customFormat="1" ht="32.1" customHeight="1" x14ac:dyDescent="0.15">
      <c r="A1373" s="17"/>
      <c r="B1373" s="37"/>
      <c r="C1373" s="37"/>
      <c r="D1373" s="37"/>
      <c r="E1373" s="15"/>
      <c r="F1373" s="85"/>
      <c r="G1373" s="17"/>
      <c r="H1373" s="38"/>
      <c r="I1373" s="56"/>
    </row>
    <row r="1374" spans="1:9" customFormat="1" ht="32.1" customHeight="1" x14ac:dyDescent="0.15">
      <c r="A1374" s="17"/>
      <c r="B1374" s="37"/>
      <c r="C1374" s="37"/>
      <c r="D1374" s="37"/>
      <c r="E1374" s="15"/>
      <c r="F1374" s="85"/>
      <c r="G1374" s="17"/>
      <c r="H1374" s="38"/>
      <c r="I1374" s="56"/>
    </row>
    <row r="1375" spans="1:9" customFormat="1" ht="32.1" customHeight="1" x14ac:dyDescent="0.15">
      <c r="A1375" s="17"/>
      <c r="B1375" s="37"/>
      <c r="C1375" s="37"/>
      <c r="D1375" s="37"/>
      <c r="E1375" s="15"/>
      <c r="F1375" s="85"/>
      <c r="G1375" s="17"/>
      <c r="H1375" s="38"/>
      <c r="I1375" s="56"/>
    </row>
    <row r="1376" spans="1:9" customFormat="1" ht="32.1" customHeight="1" x14ac:dyDescent="0.15">
      <c r="A1376" s="17"/>
      <c r="B1376" s="37"/>
      <c r="C1376" s="37"/>
      <c r="D1376" s="37"/>
      <c r="E1376" s="15"/>
      <c r="F1376" s="85"/>
      <c r="G1376" s="17"/>
      <c r="H1376" s="38"/>
      <c r="I1376" s="56"/>
    </row>
    <row r="1377" spans="1:9" ht="32.1" customHeight="1" x14ac:dyDescent="0.15">
      <c r="A1377" s="17"/>
      <c r="B1377" s="37"/>
      <c r="C1377" s="37"/>
      <c r="D1377" s="37"/>
      <c r="E1377" s="15"/>
      <c r="F1377" s="85"/>
      <c r="G1377" s="17"/>
      <c r="H1377" s="38"/>
      <c r="I1377" s="37"/>
    </row>
    <row r="1378" spans="1:9" ht="32.1" customHeight="1" x14ac:dyDescent="0.15">
      <c r="A1378" s="17"/>
      <c r="B1378" s="37"/>
      <c r="C1378" s="37"/>
      <c r="D1378" s="37"/>
      <c r="E1378" s="15"/>
      <c r="F1378" s="37"/>
      <c r="G1378" s="17"/>
      <c r="H1378" s="38"/>
      <c r="I1378" s="37"/>
    </row>
    <row r="1379" spans="1:9" ht="32.1" customHeight="1" x14ac:dyDescent="0.15">
      <c r="A1379" s="17"/>
      <c r="B1379" s="37"/>
      <c r="C1379" s="37"/>
      <c r="D1379" s="37"/>
      <c r="E1379" s="15"/>
      <c r="F1379" s="37"/>
      <c r="G1379" s="17"/>
      <c r="H1379" s="38"/>
      <c r="I1379" s="37"/>
    </row>
    <row r="1380" spans="1:9" ht="32.1" customHeight="1" x14ac:dyDescent="0.15">
      <c r="A1380" s="17"/>
      <c r="B1380" s="37"/>
      <c r="C1380" s="37"/>
      <c r="D1380" s="37"/>
      <c r="E1380" s="15"/>
      <c r="F1380" s="37"/>
      <c r="G1380" s="17"/>
      <c r="H1380" s="38"/>
      <c r="I1380" s="37"/>
    </row>
    <row r="1381" spans="1:9" ht="21.95" customHeight="1" x14ac:dyDescent="0.15">
      <c r="A1381" s="17"/>
      <c r="B1381" s="37"/>
      <c r="C1381" s="37"/>
      <c r="D1381" s="37"/>
      <c r="E1381" s="15"/>
      <c r="F1381" s="37"/>
      <c r="G1381" s="17"/>
      <c r="H1381" s="38"/>
      <c r="I1381" s="37"/>
    </row>
    <row r="1382" spans="1:9" ht="54" customHeight="1" x14ac:dyDescent="0.15">
      <c r="A1382" s="17"/>
      <c r="B1382" s="37"/>
      <c r="C1382" s="37"/>
      <c r="D1382" s="37"/>
      <c r="E1382" s="15"/>
      <c r="F1382" s="37"/>
      <c r="G1382" s="17"/>
      <c r="H1382" s="38"/>
      <c r="I1382" s="37"/>
    </row>
    <row r="1383" spans="1:9" ht="21.95" customHeight="1" x14ac:dyDescent="0.15">
      <c r="A1383" s="17"/>
      <c r="B1383" s="37"/>
      <c r="C1383" s="37"/>
      <c r="D1383" s="37"/>
      <c r="E1383" s="15"/>
      <c r="F1383" s="37"/>
      <c r="G1383" s="17"/>
      <c r="H1383" s="38"/>
      <c r="I1383" s="37"/>
    </row>
    <row r="1384" spans="1:9" ht="21.95" customHeight="1" x14ac:dyDescent="0.15">
      <c r="A1384" s="17"/>
      <c r="B1384" s="37"/>
      <c r="C1384" s="37"/>
      <c r="D1384" s="37"/>
      <c r="E1384" s="15"/>
      <c r="F1384" s="37"/>
      <c r="G1384" s="17"/>
      <c r="H1384" s="38"/>
      <c r="I1384" s="37"/>
    </row>
    <row r="1385" spans="1:9" ht="21.95" customHeight="1" x14ac:dyDescent="0.15">
      <c r="A1385" s="17"/>
      <c r="B1385" s="37"/>
      <c r="C1385" s="37"/>
      <c r="D1385" s="37"/>
      <c r="E1385" s="15"/>
      <c r="F1385" s="37"/>
      <c r="G1385" s="17"/>
      <c r="H1385" s="38"/>
      <c r="I1385" s="37"/>
    </row>
    <row r="1386" spans="1:9" ht="21.95" customHeight="1" x14ac:dyDescent="0.15">
      <c r="A1386" s="17"/>
      <c r="B1386" s="37"/>
      <c r="C1386" s="37"/>
      <c r="D1386" s="37"/>
      <c r="E1386" s="15"/>
      <c r="F1386" s="37"/>
      <c r="G1386" s="17"/>
      <c r="H1386" s="38"/>
      <c r="I1386" s="37"/>
    </row>
    <row r="1387" spans="1:9" ht="21.95" customHeight="1" x14ac:dyDescent="0.15">
      <c r="A1387" s="17"/>
      <c r="B1387" s="37"/>
      <c r="C1387" s="37"/>
      <c r="E1387" s="15"/>
      <c r="G1387" s="17"/>
      <c r="H1387" s="38"/>
    </row>
    <row r="1388" spans="1:9" ht="21.95" customHeight="1" x14ac:dyDescent="0.15">
      <c r="A1388" s="17"/>
      <c r="B1388" s="37"/>
      <c r="C1388" s="37"/>
      <c r="E1388" s="15"/>
      <c r="G1388" s="17"/>
      <c r="H1388" s="38"/>
    </row>
    <row r="1389" spans="1:9" ht="21.95" customHeight="1" x14ac:dyDescent="0.15">
      <c r="A1389" s="17"/>
      <c r="B1389" s="37"/>
      <c r="C1389" s="37"/>
      <c r="E1389" s="15"/>
      <c r="F1389" s="37"/>
      <c r="G1389" s="13"/>
      <c r="H1389" s="38"/>
    </row>
    <row r="1390" spans="1:9" ht="21.95" customHeight="1" x14ac:dyDescent="0.15">
      <c r="A1390" s="17"/>
      <c r="B1390" s="37"/>
      <c r="C1390" s="37"/>
      <c r="E1390" s="15"/>
      <c r="F1390" s="37"/>
      <c r="G1390" s="13"/>
      <c r="H1390" s="38"/>
    </row>
    <row r="1391" spans="1:9" ht="21.95" customHeight="1" x14ac:dyDescent="0.15">
      <c r="A1391" s="17"/>
      <c r="B1391" s="37"/>
      <c r="C1391" s="37"/>
      <c r="D1391" s="37"/>
      <c r="E1391" s="15"/>
      <c r="F1391" s="37"/>
      <c r="G1391" s="13"/>
      <c r="H1391" s="38"/>
    </row>
    <row r="1392" spans="1:9" ht="21.95" customHeight="1" x14ac:dyDescent="0.15">
      <c r="A1392" s="17"/>
      <c r="B1392" s="37"/>
      <c r="C1392" s="37"/>
      <c r="D1392" s="37"/>
      <c r="E1392" s="15"/>
      <c r="F1392" s="37"/>
      <c r="G1392" s="13"/>
      <c r="H1392" s="38"/>
    </row>
    <row r="1393" spans="1:8" ht="21.95" customHeight="1" x14ac:dyDescent="0.15">
      <c r="A1393" s="17"/>
      <c r="B1393" s="37"/>
      <c r="C1393" s="37"/>
      <c r="D1393" s="37"/>
      <c r="E1393" s="15"/>
      <c r="F1393" s="37"/>
      <c r="G1393" s="13"/>
      <c r="H1393" s="38"/>
    </row>
    <row r="1394" spans="1:8" ht="21.95" customHeight="1" x14ac:dyDescent="0.15">
      <c r="A1394" s="17"/>
      <c r="B1394" s="37"/>
      <c r="C1394" s="37"/>
      <c r="D1394" s="37"/>
      <c r="E1394" s="15"/>
      <c r="F1394" s="37"/>
      <c r="G1394" s="13"/>
      <c r="H1394" s="38"/>
    </row>
    <row r="1395" spans="1:8" ht="21.95" customHeight="1" x14ac:dyDescent="0.15">
      <c r="A1395" s="17"/>
      <c r="B1395" s="37"/>
      <c r="C1395" s="37"/>
      <c r="D1395" s="37"/>
      <c r="E1395" s="15"/>
      <c r="F1395" s="37"/>
      <c r="G1395" s="13"/>
      <c r="H1395" s="38"/>
    </row>
    <row r="1396" spans="1:8" ht="21.95" customHeight="1" x14ac:dyDescent="0.15">
      <c r="A1396" s="17"/>
      <c r="B1396" s="37"/>
      <c r="C1396" s="37"/>
      <c r="D1396" s="37"/>
      <c r="E1396" s="15"/>
      <c r="F1396" s="37"/>
      <c r="G1396" s="13"/>
      <c r="H1396" s="38"/>
    </row>
    <row r="1397" spans="1:8" ht="21.95" customHeight="1" x14ac:dyDescent="0.15">
      <c r="A1397" s="17"/>
      <c r="B1397" s="37"/>
      <c r="C1397" s="37"/>
      <c r="D1397" s="37"/>
      <c r="E1397" s="15"/>
      <c r="F1397" s="37"/>
      <c r="G1397" s="13"/>
      <c r="H1397" s="38"/>
    </row>
    <row r="1398" spans="1:8" ht="21.95" customHeight="1" x14ac:dyDescent="0.15">
      <c r="A1398" s="17"/>
      <c r="B1398" s="37"/>
      <c r="C1398" s="37"/>
      <c r="D1398" s="37"/>
      <c r="E1398" s="15"/>
      <c r="F1398" s="37"/>
      <c r="G1398" s="13"/>
      <c r="H1398" s="38"/>
    </row>
    <row r="1399" spans="1:8" ht="21.95" customHeight="1" x14ac:dyDescent="0.15">
      <c r="A1399" s="17"/>
      <c r="B1399" s="37"/>
      <c r="C1399" s="37"/>
      <c r="D1399" s="37"/>
      <c r="E1399" s="15"/>
      <c r="F1399" s="37"/>
      <c r="G1399" s="13"/>
      <c r="H1399" s="38"/>
    </row>
    <row r="1400" spans="1:8" ht="21.95" customHeight="1" x14ac:dyDescent="0.15">
      <c r="A1400" s="17"/>
      <c r="B1400" s="37"/>
      <c r="C1400" s="37"/>
      <c r="D1400" s="37"/>
      <c r="E1400" s="15"/>
      <c r="F1400" s="37"/>
      <c r="G1400" s="13"/>
      <c r="H1400" s="15"/>
    </row>
    <row r="1401" spans="1:8" ht="21.95" customHeight="1" x14ac:dyDescent="0.15">
      <c r="A1401" s="17"/>
      <c r="B1401" s="37"/>
      <c r="C1401" s="37"/>
      <c r="D1401" s="37"/>
      <c r="E1401" s="15"/>
      <c r="F1401" s="37"/>
      <c r="G1401" s="13"/>
      <c r="H1401" s="15"/>
    </row>
    <row r="1402" spans="1:8" ht="21.95" customHeight="1" x14ac:dyDescent="0.15">
      <c r="A1402" s="17"/>
      <c r="B1402" s="37"/>
      <c r="C1402" s="37"/>
      <c r="D1402" s="37"/>
      <c r="E1402" s="15"/>
      <c r="F1402" s="37"/>
      <c r="G1402" s="13"/>
      <c r="H1402" s="15"/>
    </row>
    <row r="1403" spans="1:8" ht="21.95" customHeight="1" x14ac:dyDescent="0.15">
      <c r="A1403" s="17"/>
      <c r="B1403" s="37"/>
      <c r="C1403" s="37"/>
      <c r="D1403" s="37"/>
      <c r="E1403" s="15"/>
      <c r="F1403" s="37"/>
      <c r="G1403" s="13"/>
      <c r="H1403" s="15"/>
    </row>
    <row r="1404" spans="1:8" ht="21.95" customHeight="1" x14ac:dyDescent="0.15">
      <c r="A1404" s="17"/>
      <c r="B1404" s="37"/>
      <c r="C1404" s="37"/>
      <c r="D1404" s="37"/>
      <c r="E1404" s="15"/>
      <c r="F1404" s="37"/>
      <c r="G1404" s="13"/>
      <c r="H1404" s="15"/>
    </row>
    <row r="1405" spans="1:8" ht="21.95" customHeight="1" x14ac:dyDescent="0.15">
      <c r="A1405" s="17"/>
      <c r="B1405" s="37"/>
      <c r="C1405" s="37"/>
      <c r="D1405" s="37"/>
      <c r="E1405" s="15"/>
      <c r="F1405" s="37"/>
      <c r="G1405" s="13"/>
      <c r="H1405" s="15"/>
    </row>
    <row r="1406" spans="1:8" ht="21.95" customHeight="1" x14ac:dyDescent="0.15">
      <c r="A1406" s="17"/>
      <c r="B1406" s="37"/>
      <c r="C1406" s="37"/>
      <c r="D1406" s="37"/>
      <c r="E1406" s="15"/>
      <c r="F1406" s="37"/>
      <c r="G1406" s="13"/>
      <c r="H1406" s="15"/>
    </row>
    <row r="1407" spans="1:8" ht="21.95" customHeight="1" x14ac:dyDescent="0.15">
      <c r="A1407" s="17"/>
      <c r="B1407" s="37"/>
      <c r="C1407" s="37"/>
      <c r="D1407" s="37"/>
      <c r="E1407" s="15"/>
      <c r="F1407" s="37"/>
      <c r="G1407" s="13"/>
      <c r="H1407" s="15"/>
    </row>
    <row r="1408" spans="1:8" ht="21.95" customHeight="1" x14ac:dyDescent="0.15">
      <c r="A1408" s="17"/>
      <c r="B1408" s="37"/>
      <c r="C1408" s="37"/>
      <c r="D1408" s="37"/>
      <c r="E1408" s="15"/>
      <c r="F1408" s="37"/>
      <c r="G1408" s="13"/>
      <c r="H1408" s="15"/>
    </row>
    <row r="1409" spans="1:8" ht="21.95" customHeight="1" x14ac:dyDescent="0.15">
      <c r="A1409" s="17"/>
      <c r="B1409" s="37"/>
      <c r="C1409" s="37"/>
      <c r="D1409" s="37"/>
      <c r="E1409" s="15"/>
      <c r="F1409" s="37"/>
      <c r="G1409" s="13"/>
      <c r="H1409" s="15"/>
    </row>
    <row r="1410" spans="1:8" ht="21.95" customHeight="1" x14ac:dyDescent="0.15">
      <c r="A1410" s="17"/>
      <c r="B1410" s="37"/>
      <c r="C1410" s="37"/>
      <c r="D1410" s="37"/>
      <c r="E1410" s="15"/>
      <c r="F1410" s="37"/>
      <c r="G1410" s="13"/>
      <c r="H1410" s="15"/>
    </row>
    <row r="1411" spans="1:8" ht="21.95" customHeight="1" x14ac:dyDescent="0.15">
      <c r="A1411" s="17"/>
      <c r="B1411" s="37"/>
      <c r="C1411" s="37"/>
      <c r="D1411" s="37"/>
      <c r="E1411" s="15"/>
      <c r="F1411" s="37"/>
      <c r="G1411" s="13"/>
      <c r="H1411" s="15"/>
    </row>
    <row r="1412" spans="1:8" ht="21.95" customHeight="1" x14ac:dyDescent="0.15">
      <c r="A1412" s="17"/>
      <c r="B1412" s="37"/>
      <c r="C1412" s="37"/>
      <c r="D1412" s="37"/>
      <c r="E1412" s="15"/>
      <c r="F1412" s="37"/>
      <c r="G1412" s="13"/>
      <c r="H1412" s="15"/>
    </row>
    <row r="1413" spans="1:8" ht="21.95" customHeight="1" x14ac:dyDescent="0.15">
      <c r="A1413" s="17"/>
      <c r="B1413" s="37"/>
      <c r="C1413" s="37"/>
      <c r="D1413" s="37"/>
      <c r="E1413" s="15"/>
      <c r="F1413" s="37"/>
      <c r="G1413" s="13"/>
      <c r="H1413" s="15"/>
    </row>
    <row r="1414" spans="1:8" ht="21.95" customHeight="1" x14ac:dyDescent="0.15">
      <c r="A1414" s="17"/>
      <c r="B1414" s="37"/>
      <c r="C1414" s="37"/>
      <c r="D1414" s="37"/>
      <c r="E1414" s="15"/>
      <c r="F1414" s="37"/>
      <c r="G1414" s="13"/>
      <c r="H1414" s="15"/>
    </row>
    <row r="1415" spans="1:8" ht="21.95" customHeight="1" x14ac:dyDescent="0.15">
      <c r="A1415" s="17"/>
      <c r="B1415" s="37"/>
      <c r="C1415" s="37"/>
      <c r="D1415" s="37"/>
      <c r="E1415" s="15"/>
      <c r="F1415" s="37"/>
      <c r="G1415" s="13"/>
      <c r="H1415" s="15"/>
    </row>
    <row r="1416" spans="1:8" ht="21.95" customHeight="1" x14ac:dyDescent="0.15">
      <c r="A1416" s="17"/>
      <c r="B1416" s="37"/>
      <c r="C1416" s="37"/>
      <c r="D1416" s="37"/>
      <c r="E1416" s="15"/>
      <c r="F1416" s="37"/>
      <c r="G1416" s="13"/>
      <c r="H1416" s="15"/>
    </row>
    <row r="1417" spans="1:8" ht="21.95" customHeight="1" x14ac:dyDescent="0.15">
      <c r="A1417" s="17"/>
      <c r="B1417" s="37"/>
      <c r="C1417" s="37"/>
      <c r="D1417" s="37"/>
      <c r="E1417" s="15"/>
      <c r="F1417" s="37"/>
      <c r="G1417" s="13"/>
      <c r="H1417" s="15"/>
    </row>
    <row r="1418" spans="1:8" ht="21.95" customHeight="1" x14ac:dyDescent="0.15">
      <c r="A1418" s="17"/>
      <c r="B1418" s="37"/>
      <c r="C1418" s="37"/>
      <c r="D1418" s="37"/>
      <c r="E1418" s="15"/>
      <c r="F1418" s="37"/>
      <c r="G1418" s="37"/>
      <c r="H1418" s="15"/>
    </row>
    <row r="1419" spans="1:8" ht="21.95" customHeight="1" x14ac:dyDescent="0.15">
      <c r="A1419" s="17"/>
      <c r="B1419" s="37"/>
      <c r="C1419" s="37"/>
      <c r="D1419" s="37"/>
      <c r="E1419" s="15"/>
      <c r="F1419" s="37"/>
      <c r="G1419" s="13"/>
      <c r="H1419" s="15"/>
    </row>
    <row r="1420" spans="1:8" ht="21.95" customHeight="1" x14ac:dyDescent="0.15">
      <c r="A1420" s="17"/>
      <c r="B1420" s="37"/>
      <c r="C1420" s="37"/>
      <c r="D1420" s="37"/>
      <c r="E1420" s="15"/>
      <c r="F1420" s="37"/>
      <c r="G1420" s="13"/>
      <c r="H1420" s="15"/>
    </row>
    <row r="1421" spans="1:8" ht="21.95" customHeight="1" x14ac:dyDescent="0.15">
      <c r="A1421" s="17"/>
      <c r="B1421" s="37"/>
      <c r="C1421" s="37"/>
      <c r="D1421" s="37"/>
      <c r="E1421" s="15"/>
      <c r="F1421" s="37"/>
      <c r="G1421" s="13"/>
      <c r="H1421" s="15"/>
    </row>
    <row r="1422" spans="1:8" ht="21.95" customHeight="1" x14ac:dyDescent="0.15">
      <c r="A1422" s="17"/>
      <c r="B1422" s="37"/>
      <c r="C1422" s="37"/>
      <c r="D1422" s="37"/>
      <c r="E1422" s="15"/>
      <c r="F1422" s="37"/>
      <c r="G1422" s="13"/>
      <c r="H1422" s="15"/>
    </row>
    <row r="1423" spans="1:8" ht="21.95" customHeight="1" x14ac:dyDescent="0.15">
      <c r="A1423" s="17"/>
      <c r="B1423" s="37"/>
      <c r="C1423" s="37"/>
      <c r="D1423" s="37"/>
      <c r="E1423" s="15"/>
      <c r="F1423" s="37"/>
      <c r="G1423" s="13"/>
      <c r="H1423" s="15"/>
    </row>
    <row r="1424" spans="1:8" ht="21.95" customHeight="1" x14ac:dyDescent="0.15">
      <c r="A1424" s="17"/>
      <c r="B1424" s="37"/>
      <c r="C1424" s="37"/>
      <c r="D1424" s="37"/>
      <c r="E1424" s="15"/>
      <c r="F1424" s="37"/>
      <c r="G1424" s="13"/>
      <c r="H1424" s="15"/>
    </row>
    <row r="1425" spans="1:9" ht="21.95" customHeight="1" x14ac:dyDescent="0.15">
      <c r="A1425" s="17"/>
      <c r="B1425" s="37"/>
      <c r="C1425" s="37"/>
      <c r="D1425" s="37"/>
      <c r="E1425" s="15"/>
      <c r="F1425" s="37"/>
      <c r="G1425" s="13"/>
      <c r="H1425" s="15"/>
    </row>
    <row r="1426" spans="1:9" ht="21.95" customHeight="1" x14ac:dyDescent="0.15">
      <c r="A1426" s="17"/>
      <c r="B1426" s="37"/>
      <c r="C1426" s="37"/>
      <c r="D1426" s="37"/>
      <c r="E1426" s="15"/>
      <c r="F1426" s="37"/>
      <c r="G1426" s="13"/>
      <c r="H1426" s="15"/>
    </row>
    <row r="1427" spans="1:9" ht="21.95" customHeight="1" x14ac:dyDescent="0.15">
      <c r="A1427" s="17"/>
      <c r="B1427" s="37"/>
      <c r="C1427" s="37"/>
      <c r="D1427" s="37"/>
      <c r="E1427" s="15"/>
      <c r="F1427" s="37"/>
      <c r="G1427" s="13"/>
      <c r="H1427" s="15"/>
    </row>
    <row r="1428" spans="1:9" ht="21.95" customHeight="1" x14ac:dyDescent="0.15">
      <c r="A1428" s="17"/>
      <c r="B1428" s="37"/>
      <c r="C1428" s="37"/>
      <c r="D1428" s="37"/>
      <c r="E1428" s="15"/>
      <c r="F1428" s="37"/>
      <c r="G1428" s="13"/>
      <c r="H1428" s="15"/>
    </row>
    <row r="1429" spans="1:9" ht="21.95" customHeight="1" x14ac:dyDescent="0.15">
      <c r="A1429" s="17"/>
      <c r="B1429" s="37"/>
      <c r="C1429" s="37"/>
      <c r="D1429" s="37"/>
      <c r="E1429" s="15"/>
      <c r="F1429" s="37"/>
      <c r="G1429" s="13"/>
      <c r="H1429" s="15"/>
    </row>
    <row r="1430" spans="1:9" ht="21.95" customHeight="1" x14ac:dyDescent="0.15">
      <c r="A1430" s="17"/>
      <c r="B1430" s="37"/>
      <c r="C1430" s="37"/>
      <c r="D1430" s="37"/>
      <c r="E1430" s="15"/>
      <c r="F1430" s="37"/>
      <c r="G1430" s="13"/>
      <c r="H1430" s="15"/>
    </row>
    <row r="1431" spans="1:9" ht="21.95" customHeight="1" x14ac:dyDescent="0.15">
      <c r="A1431" s="17"/>
      <c r="B1431" s="37"/>
      <c r="C1431" s="37"/>
      <c r="D1431" s="37"/>
      <c r="E1431" s="15"/>
      <c r="F1431" s="37"/>
      <c r="G1431" s="13"/>
      <c r="H1431" s="38"/>
      <c r="I1431" s="84"/>
    </row>
    <row r="1432" spans="1:9" ht="21.95" customHeight="1" x14ac:dyDescent="0.15">
      <c r="A1432" s="17"/>
      <c r="B1432" s="37"/>
      <c r="C1432" s="37"/>
      <c r="D1432" s="37"/>
      <c r="E1432" s="15"/>
      <c r="F1432" s="37"/>
      <c r="G1432" s="13"/>
      <c r="H1432" s="15"/>
      <c r="I1432" s="84"/>
    </row>
    <row r="1433" spans="1:9" ht="35.1" customHeight="1" x14ac:dyDescent="0.15">
      <c r="A1433" s="17"/>
      <c r="B1433" s="37"/>
      <c r="C1433" s="37"/>
      <c r="D1433" s="37"/>
      <c r="E1433" s="15"/>
      <c r="F1433" s="15"/>
      <c r="G1433" s="37"/>
      <c r="H1433" s="15"/>
    </row>
    <row r="1434" spans="1:9" ht="21.95" customHeight="1" x14ac:dyDescent="0.15">
      <c r="A1434" s="17"/>
      <c r="B1434" s="37"/>
      <c r="C1434" s="37"/>
      <c r="D1434" s="37"/>
      <c r="E1434" s="15"/>
      <c r="F1434" s="37"/>
      <c r="G1434" s="13"/>
      <c r="H1434" s="15"/>
    </row>
    <row r="1435" spans="1:9" ht="21.95" customHeight="1" x14ac:dyDescent="0.15">
      <c r="A1435" s="17"/>
      <c r="B1435" s="37"/>
      <c r="C1435" s="37"/>
      <c r="D1435" s="37"/>
      <c r="E1435" s="15"/>
      <c r="F1435" s="37"/>
      <c r="G1435" s="13"/>
      <c r="H1435" s="15"/>
    </row>
    <row r="1436" spans="1:9" ht="21.95" customHeight="1" x14ac:dyDescent="0.15">
      <c r="A1436" s="17"/>
      <c r="B1436" s="37"/>
      <c r="C1436" s="37"/>
      <c r="D1436" s="37"/>
      <c r="E1436" s="15"/>
      <c r="F1436" s="37"/>
      <c r="G1436" s="13"/>
      <c r="H1436" s="15"/>
    </row>
    <row r="1437" spans="1:9" ht="21.95" customHeight="1" x14ac:dyDescent="0.15">
      <c r="A1437" s="17"/>
      <c r="B1437" s="37"/>
      <c r="C1437" s="37"/>
      <c r="D1437" s="37"/>
      <c r="E1437" s="15"/>
      <c r="F1437" s="37"/>
      <c r="G1437" s="13"/>
      <c r="H1437" s="15"/>
    </row>
    <row r="1438" spans="1:9" ht="21.95" customHeight="1" x14ac:dyDescent="0.15">
      <c r="A1438" s="17"/>
      <c r="B1438" s="37"/>
      <c r="C1438" s="37"/>
      <c r="D1438" s="37"/>
      <c r="E1438" s="15"/>
      <c r="F1438" s="37"/>
      <c r="G1438" s="13"/>
      <c r="H1438" s="15"/>
    </row>
    <row r="1439" spans="1:9" ht="21.95" customHeight="1" x14ac:dyDescent="0.15">
      <c r="A1439" s="17"/>
      <c r="B1439" s="37"/>
      <c r="C1439" s="37"/>
      <c r="D1439" s="37"/>
      <c r="E1439" s="15"/>
      <c r="F1439" s="37"/>
      <c r="G1439" s="13"/>
      <c r="H1439" s="15"/>
      <c r="I1439" s="37"/>
    </row>
    <row r="1440" spans="1:9" ht="21.95" customHeight="1" x14ac:dyDescent="0.15">
      <c r="A1440" s="17"/>
      <c r="B1440" s="37"/>
      <c r="C1440" s="37"/>
      <c r="D1440" s="37"/>
      <c r="E1440" s="15"/>
      <c r="F1440" s="37"/>
      <c r="G1440" s="37"/>
      <c r="H1440" s="15"/>
      <c r="I1440" s="37"/>
    </row>
    <row r="1441" spans="1:9" ht="21.95" customHeight="1" x14ac:dyDescent="0.15">
      <c r="A1441" s="17"/>
      <c r="B1441" s="37"/>
      <c r="C1441" s="37"/>
      <c r="D1441" s="37"/>
      <c r="E1441" s="15"/>
      <c r="F1441" s="37"/>
      <c r="G1441" s="37"/>
      <c r="H1441" s="38"/>
      <c r="I1441" s="37"/>
    </row>
    <row r="1442" spans="1:9" ht="21.95" customHeight="1" x14ac:dyDescent="0.15">
      <c r="A1442" s="17"/>
      <c r="B1442" s="37"/>
      <c r="C1442" s="37"/>
      <c r="D1442" s="37"/>
      <c r="E1442" s="15"/>
      <c r="F1442" s="37"/>
      <c r="G1442" s="37"/>
      <c r="H1442" s="38"/>
      <c r="I1442" s="37"/>
    </row>
    <row r="1443" spans="1:9" ht="21.95" customHeight="1" x14ac:dyDescent="0.15">
      <c r="A1443" s="17"/>
      <c r="B1443" s="37"/>
      <c r="C1443" s="37"/>
      <c r="D1443" s="37"/>
      <c r="E1443" s="15"/>
      <c r="F1443" s="37"/>
      <c r="G1443" s="13"/>
      <c r="H1443" s="15"/>
      <c r="I1443" s="37"/>
    </row>
    <row r="1444" spans="1:9" ht="21.95" customHeight="1" x14ac:dyDescent="0.15">
      <c r="A1444" s="17"/>
      <c r="B1444" s="37"/>
      <c r="C1444" s="37"/>
      <c r="D1444" s="37"/>
      <c r="E1444" s="15"/>
      <c r="F1444" s="37"/>
      <c r="G1444" s="13"/>
      <c r="H1444" s="15"/>
      <c r="I1444" s="37"/>
    </row>
    <row r="1445" spans="1:9" ht="21.95" customHeight="1" x14ac:dyDescent="0.15">
      <c r="A1445" s="17"/>
      <c r="B1445" s="37"/>
      <c r="C1445" s="37"/>
      <c r="D1445" s="37"/>
      <c r="E1445" s="15"/>
      <c r="F1445" s="37"/>
      <c r="G1445" s="13"/>
      <c r="H1445" s="15"/>
      <c r="I1445" s="37"/>
    </row>
    <row r="1446" spans="1:9" ht="21.95" customHeight="1" x14ac:dyDescent="0.15">
      <c r="A1446" s="17"/>
      <c r="B1446" s="37"/>
      <c r="C1446" s="37"/>
      <c r="E1446" s="15"/>
      <c r="F1446" s="37"/>
      <c r="H1446" s="38"/>
    </row>
    <row r="1447" spans="1:9" ht="21.95" customHeight="1" x14ac:dyDescent="0.15">
      <c r="A1447" s="17"/>
      <c r="B1447" s="37"/>
      <c r="C1447" s="37"/>
      <c r="E1447" s="15"/>
      <c r="F1447" s="37"/>
    </row>
    <row r="1448" spans="1:9" ht="21.95" customHeight="1" x14ac:dyDescent="0.15">
      <c r="A1448" s="17"/>
      <c r="B1448" s="37"/>
      <c r="C1448" s="37"/>
      <c r="E1448" s="15"/>
      <c r="G1448" s="77"/>
    </row>
    <row r="1449" spans="1:9" ht="21.95" customHeight="1" x14ac:dyDescent="0.15">
      <c r="A1449" s="17"/>
      <c r="B1449" s="37"/>
      <c r="C1449" s="37"/>
      <c r="D1449" s="37"/>
      <c r="E1449" s="15"/>
      <c r="F1449" s="37"/>
      <c r="G1449" s="37"/>
      <c r="H1449" s="15"/>
    </row>
    <row r="1450" spans="1:9" ht="21.95" customHeight="1" x14ac:dyDescent="0.15">
      <c r="A1450" s="17"/>
      <c r="B1450" s="37"/>
      <c r="C1450" s="37"/>
      <c r="D1450" s="37"/>
      <c r="E1450" s="15"/>
      <c r="F1450" s="37"/>
      <c r="G1450" s="13"/>
      <c r="H1450" s="15"/>
    </row>
    <row r="1451" spans="1:9" ht="21.95" customHeight="1" x14ac:dyDescent="0.15">
      <c r="A1451" s="17"/>
      <c r="B1451" s="37"/>
      <c r="C1451" s="37"/>
      <c r="D1451" s="37"/>
      <c r="E1451" s="15"/>
      <c r="F1451" s="37"/>
      <c r="G1451" s="13"/>
      <c r="H1451" s="15"/>
    </row>
    <row r="1452" spans="1:9" ht="21.95" customHeight="1" x14ac:dyDescent="0.15">
      <c r="A1452" s="17"/>
      <c r="C1452" s="37"/>
    </row>
    <row r="1453" spans="1:9" ht="21.95" customHeight="1" x14ac:dyDescent="0.15">
      <c r="A1453" s="17"/>
      <c r="B1453" s="37"/>
      <c r="C1453" s="37"/>
      <c r="D1453" s="13"/>
      <c r="E1453" s="15"/>
      <c r="F1453" s="37"/>
      <c r="G1453" s="13"/>
      <c r="H1453" s="15"/>
      <c r="I1453" s="13"/>
    </row>
    <row r="1454" spans="1:9" ht="21.95" customHeight="1" x14ac:dyDescent="0.15">
      <c r="A1454" s="17"/>
      <c r="B1454" s="13"/>
      <c r="C1454" s="13"/>
      <c r="D1454" s="13"/>
      <c r="E1454" s="15"/>
      <c r="F1454" s="37"/>
      <c r="G1454" s="13"/>
      <c r="H1454" s="15"/>
      <c r="I1454" s="13"/>
    </row>
    <row r="1455" spans="1:9" ht="21.95" customHeight="1" x14ac:dyDescent="0.15">
      <c r="A1455" s="17"/>
      <c r="B1455" s="13"/>
      <c r="C1455" s="13"/>
      <c r="D1455" s="13"/>
      <c r="E1455" s="15"/>
      <c r="F1455" s="37"/>
      <c r="G1455" s="13"/>
      <c r="H1455" s="15"/>
      <c r="I1455" s="13"/>
    </row>
    <row r="1456" spans="1:9" ht="21.95" customHeight="1" x14ac:dyDescent="0.15">
      <c r="A1456" s="17"/>
      <c r="B1456" s="13"/>
      <c r="C1456" s="13"/>
      <c r="D1456" s="13"/>
      <c r="E1456" s="15"/>
      <c r="F1456" s="37"/>
      <c r="G1456" s="13"/>
      <c r="H1456" s="15"/>
      <c r="I1456" s="13"/>
    </row>
    <row r="1457" spans="1:9" customFormat="1" ht="21.95" customHeight="1" x14ac:dyDescent="0.15">
      <c r="A1457" s="17"/>
      <c r="B1457" s="40"/>
      <c r="C1457" s="40"/>
      <c r="D1457" s="40"/>
      <c r="E1457" s="38"/>
      <c r="F1457" s="85"/>
      <c r="G1457" s="40"/>
      <c r="H1457" s="38"/>
      <c r="I1457" s="40"/>
    </row>
    <row r="1458" spans="1:9" customFormat="1" ht="21.95" customHeight="1" x14ac:dyDescent="0.15">
      <c r="A1458" s="17"/>
      <c r="B1458" s="37"/>
      <c r="C1458" s="37"/>
      <c r="D1458" s="40"/>
      <c r="E1458" s="15"/>
      <c r="F1458" s="85"/>
      <c r="G1458" s="42"/>
      <c r="H1458" s="38"/>
      <c r="I1458" s="56"/>
    </row>
    <row r="1459" spans="1:9" customFormat="1" ht="21.95" customHeight="1" x14ac:dyDescent="0.15">
      <c r="A1459" s="17"/>
      <c r="B1459" s="37"/>
      <c r="C1459" s="95"/>
      <c r="D1459" s="40"/>
      <c r="E1459" s="15"/>
      <c r="F1459" s="85"/>
      <c r="G1459" s="42"/>
      <c r="H1459" s="38"/>
      <c r="I1459" s="56"/>
    </row>
    <row r="1460" spans="1:9" customFormat="1" ht="21.95" customHeight="1" x14ac:dyDescent="0.15">
      <c r="A1460" s="17"/>
      <c r="B1460" s="37"/>
      <c r="C1460" s="95"/>
      <c r="D1460" s="40"/>
      <c r="E1460" s="15"/>
      <c r="F1460" s="85"/>
      <c r="G1460" s="17"/>
      <c r="H1460" s="38"/>
      <c r="I1460" s="56"/>
    </row>
    <row r="1461" spans="1:9" customFormat="1" ht="21.95" customHeight="1" x14ac:dyDescent="0.15">
      <c r="A1461" s="17"/>
      <c r="B1461" s="37"/>
      <c r="C1461" s="37"/>
      <c r="D1461" s="40"/>
      <c r="E1461" s="15"/>
      <c r="F1461" s="85"/>
      <c r="G1461" s="42"/>
      <c r="H1461" s="38"/>
      <c r="I1461" s="56"/>
    </row>
    <row r="1462" spans="1:9" customFormat="1" ht="21.95" customHeight="1" x14ac:dyDescent="0.15">
      <c r="A1462" s="17"/>
      <c r="B1462" s="37"/>
      <c r="C1462" s="37"/>
      <c r="D1462" s="40"/>
      <c r="E1462" s="15"/>
      <c r="F1462" s="85"/>
      <c r="G1462" s="17"/>
      <c r="H1462" s="38"/>
      <c r="I1462" s="56"/>
    </row>
    <row r="1463" spans="1:9" customFormat="1" ht="21.95" customHeight="1" x14ac:dyDescent="0.15">
      <c r="A1463" s="17"/>
      <c r="B1463" s="37"/>
      <c r="C1463" s="37"/>
      <c r="D1463" s="40"/>
      <c r="E1463" s="15"/>
      <c r="F1463" s="85"/>
      <c r="G1463" s="42"/>
      <c r="H1463" s="38"/>
      <c r="I1463" s="56"/>
    </row>
    <row r="1464" spans="1:9" customFormat="1" ht="21.95" customHeight="1" x14ac:dyDescent="0.15">
      <c r="A1464" s="17"/>
      <c r="B1464" s="37"/>
      <c r="C1464" s="37"/>
      <c r="D1464" s="40"/>
      <c r="E1464" s="15"/>
      <c r="F1464" s="85"/>
      <c r="G1464" s="17"/>
      <c r="H1464" s="38"/>
      <c r="I1464" s="56"/>
    </row>
    <row r="1465" spans="1:9" customFormat="1" ht="21.95" customHeight="1" x14ac:dyDescent="0.15">
      <c r="A1465" s="17"/>
      <c r="B1465" s="37"/>
      <c r="C1465" s="37"/>
      <c r="D1465" s="40"/>
      <c r="E1465" s="15"/>
      <c r="F1465" s="85"/>
      <c r="G1465" s="42"/>
      <c r="H1465" s="38"/>
      <c r="I1465" s="56"/>
    </row>
    <row r="1466" spans="1:9" customFormat="1" ht="21.95" customHeight="1" x14ac:dyDescent="0.15">
      <c r="A1466" s="17"/>
      <c r="B1466" s="37"/>
      <c r="C1466" s="37"/>
      <c r="D1466" s="40"/>
      <c r="E1466" s="15"/>
      <c r="F1466" s="85"/>
      <c r="G1466" s="17"/>
      <c r="H1466" s="38"/>
      <c r="I1466" s="56"/>
    </row>
    <row r="1467" spans="1:9" customFormat="1" ht="21.95" customHeight="1" x14ac:dyDescent="0.15">
      <c r="A1467" s="17"/>
      <c r="B1467" s="37"/>
      <c r="C1467" s="37"/>
      <c r="D1467" s="40"/>
      <c r="E1467" s="15"/>
      <c r="F1467" s="85"/>
      <c r="G1467" s="42"/>
      <c r="H1467" s="38"/>
      <c r="I1467" s="56"/>
    </row>
    <row r="1468" spans="1:9" ht="21.95" customHeight="1" x14ac:dyDescent="0.15">
      <c r="A1468" s="17"/>
      <c r="B1468" s="37"/>
      <c r="C1468" s="37"/>
      <c r="D1468" s="37"/>
      <c r="E1468" s="15"/>
      <c r="F1468" s="85"/>
      <c r="G1468" s="17"/>
      <c r="H1468" s="38"/>
    </row>
    <row r="1469" spans="1:9" ht="21.95" customHeight="1" x14ac:dyDescent="0.15">
      <c r="A1469" s="17"/>
      <c r="B1469" s="37"/>
      <c r="C1469" s="37"/>
      <c r="D1469" s="37"/>
      <c r="E1469" s="15"/>
      <c r="F1469" s="85"/>
      <c r="H1469" s="38"/>
    </row>
    <row r="1470" spans="1:9" ht="21.95" customHeight="1" x14ac:dyDescent="0.15">
      <c r="A1470" s="17"/>
      <c r="B1470" s="37"/>
      <c r="C1470" s="37"/>
      <c r="D1470" s="37"/>
      <c r="E1470" s="15"/>
      <c r="F1470" s="85"/>
      <c r="H1470" s="38"/>
    </row>
    <row r="1471" spans="1:9" ht="21.95" customHeight="1" x14ac:dyDescent="0.15">
      <c r="A1471" s="17"/>
      <c r="B1471" s="37"/>
      <c r="C1471" s="37"/>
      <c r="D1471" s="37"/>
      <c r="E1471" s="15"/>
      <c r="F1471" s="85"/>
      <c r="G1471" s="17"/>
      <c r="H1471" s="38"/>
    </row>
    <row r="1472" spans="1:9" customFormat="1" ht="21.95" customHeight="1" x14ac:dyDescent="0.15">
      <c r="A1472" s="17"/>
      <c r="B1472" s="37"/>
      <c r="C1472" s="37"/>
      <c r="D1472" s="37"/>
      <c r="E1472" s="15"/>
      <c r="F1472" s="85"/>
      <c r="G1472" s="17"/>
      <c r="H1472" s="38"/>
      <c r="I1472" s="42"/>
    </row>
    <row r="1473" spans="1:9" customFormat="1" ht="21.95" customHeight="1" x14ac:dyDescent="0.15">
      <c r="A1473" s="17"/>
      <c r="B1473" s="37"/>
      <c r="C1473" s="37"/>
      <c r="D1473" s="37"/>
      <c r="E1473" s="15"/>
      <c r="F1473" s="85"/>
      <c r="G1473" s="17"/>
      <c r="H1473" s="38"/>
      <c r="I1473" s="42"/>
    </row>
    <row r="1474" spans="1:9" customFormat="1" ht="21.95" customHeight="1" x14ac:dyDescent="0.15">
      <c r="A1474" s="17"/>
      <c r="B1474" s="37"/>
      <c r="C1474" s="37"/>
      <c r="D1474" s="37"/>
      <c r="E1474" s="15"/>
      <c r="F1474" s="85"/>
      <c r="G1474" s="17"/>
      <c r="H1474" s="38"/>
      <c r="I1474" s="42"/>
    </row>
    <row r="1475" spans="1:9" customFormat="1" ht="21.95" customHeight="1" x14ac:dyDescent="0.15">
      <c r="A1475" s="17"/>
      <c r="B1475" s="37"/>
      <c r="C1475" s="37"/>
      <c r="D1475" s="37"/>
      <c r="E1475" s="15"/>
      <c r="F1475" s="85"/>
      <c r="G1475" s="17"/>
      <c r="H1475" s="38"/>
      <c r="I1475" s="42"/>
    </row>
    <row r="1476" spans="1:9" customFormat="1" ht="21.95" customHeight="1" x14ac:dyDescent="0.15">
      <c r="A1476" s="17"/>
      <c r="B1476" s="37"/>
      <c r="C1476" s="37"/>
      <c r="D1476" s="37"/>
      <c r="E1476" s="15"/>
      <c r="F1476" s="85"/>
      <c r="G1476" s="17"/>
      <c r="H1476" s="38"/>
      <c r="I1476" s="42"/>
    </row>
    <row r="1477" spans="1:9" customFormat="1" ht="21.95" customHeight="1" x14ac:dyDescent="0.15">
      <c r="A1477" s="17"/>
      <c r="B1477" s="37"/>
      <c r="C1477" s="37"/>
      <c r="D1477" s="37"/>
      <c r="E1477" s="15"/>
      <c r="F1477" s="85"/>
      <c r="G1477" s="17"/>
      <c r="H1477" s="38"/>
      <c r="I1477" s="42"/>
    </row>
    <row r="1478" spans="1:9" customFormat="1" ht="21.95" customHeight="1" x14ac:dyDescent="0.15">
      <c r="A1478" s="17"/>
      <c r="B1478" s="37"/>
      <c r="C1478" s="37"/>
      <c r="D1478" s="37"/>
      <c r="E1478" s="15"/>
      <c r="F1478" s="85"/>
      <c r="G1478" s="17"/>
      <c r="H1478" s="38"/>
      <c r="I1478" s="42"/>
    </row>
    <row r="1479" spans="1:9" customFormat="1" ht="21.95" customHeight="1" x14ac:dyDescent="0.15">
      <c r="A1479" s="17"/>
      <c r="B1479" s="37"/>
      <c r="C1479" s="37"/>
      <c r="D1479" s="37"/>
      <c r="E1479" s="15"/>
      <c r="F1479" s="85"/>
      <c r="G1479" s="17"/>
      <c r="H1479" s="38"/>
      <c r="I1479" s="42"/>
    </row>
    <row r="1480" spans="1:9" customFormat="1" ht="21.95" customHeight="1" x14ac:dyDescent="0.15">
      <c r="A1480" s="17"/>
      <c r="B1480" s="37"/>
      <c r="C1480" s="37"/>
      <c r="D1480" s="37"/>
      <c r="E1480" s="15"/>
      <c r="F1480" s="85"/>
      <c r="G1480" s="17"/>
      <c r="H1480" s="38"/>
      <c r="I1480" s="42"/>
    </row>
    <row r="1481" spans="1:9" customFormat="1" ht="21.95" customHeight="1" x14ac:dyDescent="0.15">
      <c r="A1481" s="17"/>
      <c r="B1481" s="37"/>
      <c r="C1481" s="37"/>
      <c r="D1481" s="37"/>
      <c r="E1481" s="15"/>
      <c r="F1481" s="85"/>
      <c r="G1481" s="17"/>
      <c r="H1481" s="38"/>
      <c r="I1481" s="56"/>
    </row>
    <row r="1482" spans="1:9" customFormat="1" ht="21.95" customHeight="1" x14ac:dyDescent="0.15">
      <c r="A1482" s="17"/>
      <c r="B1482" s="37"/>
      <c r="C1482" s="37"/>
      <c r="D1482" s="37"/>
      <c r="E1482" s="15"/>
      <c r="F1482" s="85"/>
      <c r="G1482" s="17"/>
      <c r="H1482" s="38"/>
      <c r="I1482" s="56"/>
    </row>
    <row r="1483" spans="1:9" customFormat="1" ht="32.1" customHeight="1" x14ac:dyDescent="0.15">
      <c r="A1483" s="17"/>
      <c r="B1483" s="37"/>
      <c r="C1483" s="37"/>
      <c r="D1483" s="37"/>
      <c r="E1483" s="15"/>
      <c r="F1483" s="85"/>
      <c r="G1483" s="17"/>
      <c r="H1483" s="38"/>
      <c r="I1483" s="56"/>
    </row>
    <row r="1484" spans="1:9" customFormat="1" ht="32.1" customHeight="1" x14ac:dyDescent="0.15">
      <c r="A1484" s="17"/>
      <c r="B1484" s="37"/>
      <c r="C1484" s="37"/>
      <c r="D1484" s="37"/>
      <c r="E1484" s="15"/>
      <c r="F1484" s="85"/>
      <c r="G1484" s="17"/>
      <c r="H1484" s="38"/>
      <c r="I1484" s="56"/>
    </row>
    <row r="1485" spans="1:9" customFormat="1" ht="32.1" customHeight="1" x14ac:dyDescent="0.15">
      <c r="A1485" s="17"/>
      <c r="B1485" s="37"/>
      <c r="C1485" s="37"/>
      <c r="D1485" s="37"/>
      <c r="E1485" s="15"/>
      <c r="F1485" s="85"/>
      <c r="G1485" s="17"/>
      <c r="H1485" s="38"/>
      <c r="I1485" s="56"/>
    </row>
    <row r="1486" spans="1:9" customFormat="1" ht="32.1" customHeight="1" x14ac:dyDescent="0.15">
      <c r="A1486" s="17"/>
      <c r="B1486" s="37"/>
      <c r="C1486" s="37"/>
      <c r="D1486" s="37"/>
      <c r="E1486" s="15"/>
      <c r="F1486" s="85"/>
      <c r="G1486" s="17"/>
      <c r="H1486" s="38"/>
      <c r="I1486" s="56"/>
    </row>
    <row r="1487" spans="1:9" customFormat="1" ht="32.1" customHeight="1" x14ac:dyDescent="0.15">
      <c r="A1487" s="17"/>
      <c r="B1487" s="37"/>
      <c r="C1487" s="37"/>
      <c r="D1487" s="37"/>
      <c r="E1487" s="15"/>
      <c r="F1487" s="85"/>
      <c r="G1487" s="17"/>
      <c r="H1487" s="38"/>
      <c r="I1487" s="56"/>
    </row>
    <row r="1488" spans="1:9" customFormat="1" ht="32.1" customHeight="1" x14ac:dyDescent="0.15">
      <c r="A1488" s="17"/>
      <c r="B1488" s="37"/>
      <c r="C1488" s="37"/>
      <c r="D1488" s="37"/>
      <c r="E1488" s="15"/>
      <c r="F1488" s="85"/>
      <c r="G1488" s="17"/>
      <c r="H1488" s="38"/>
      <c r="I1488" s="56"/>
    </row>
    <row r="1489" spans="1:9" ht="32.1" customHeight="1" x14ac:dyDescent="0.15">
      <c r="A1489" s="17"/>
      <c r="B1489" s="37"/>
      <c r="C1489" s="37"/>
      <c r="D1489" s="37"/>
      <c r="E1489" s="15"/>
      <c r="F1489" s="85"/>
      <c r="G1489" s="17"/>
      <c r="H1489" s="38"/>
      <c r="I1489" s="37"/>
    </row>
    <row r="1490" spans="1:9" ht="32.1" customHeight="1" x14ac:dyDescent="0.15">
      <c r="A1490" s="17"/>
      <c r="B1490" s="37"/>
      <c r="C1490" s="37"/>
      <c r="D1490" s="37"/>
      <c r="E1490" s="15"/>
      <c r="F1490" s="37"/>
      <c r="G1490" s="17"/>
      <c r="H1490" s="38"/>
      <c r="I1490" s="37"/>
    </row>
    <row r="1491" spans="1:9" ht="32.1" customHeight="1" x14ac:dyDescent="0.15">
      <c r="A1491" s="17"/>
      <c r="B1491" s="37"/>
      <c r="C1491" s="37"/>
      <c r="D1491" s="37"/>
      <c r="E1491" s="15"/>
      <c r="F1491" s="37"/>
      <c r="G1491" s="17"/>
      <c r="H1491" s="38"/>
      <c r="I1491" s="37"/>
    </row>
    <row r="1492" spans="1:9" ht="32.1" customHeight="1" x14ac:dyDescent="0.15">
      <c r="A1492" s="17"/>
      <c r="B1492" s="37"/>
      <c r="C1492" s="37"/>
      <c r="D1492" s="37"/>
      <c r="E1492" s="15"/>
      <c r="F1492" s="37"/>
      <c r="G1492" s="17"/>
      <c r="H1492" s="38"/>
      <c r="I1492" s="37"/>
    </row>
    <row r="1493" spans="1:9" ht="21.95" customHeight="1" x14ac:dyDescent="0.15">
      <c r="A1493" s="17"/>
      <c r="B1493" s="37"/>
      <c r="C1493" s="37"/>
      <c r="D1493" s="37"/>
      <c r="E1493" s="15"/>
      <c r="F1493" s="37"/>
      <c r="G1493" s="17"/>
      <c r="H1493" s="38"/>
      <c r="I1493" s="37"/>
    </row>
    <row r="1494" spans="1:9" ht="54" customHeight="1" x14ac:dyDescent="0.15">
      <c r="A1494" s="17"/>
      <c r="B1494" s="37"/>
      <c r="C1494" s="37"/>
      <c r="D1494" s="37"/>
      <c r="E1494" s="15"/>
      <c r="F1494" s="37"/>
      <c r="G1494" s="17"/>
      <c r="H1494" s="38"/>
      <c r="I1494" s="37"/>
    </row>
    <row r="1495" spans="1:9" ht="21.95" customHeight="1" x14ac:dyDescent="0.15">
      <c r="A1495" s="17"/>
      <c r="B1495" s="37"/>
      <c r="C1495" s="37"/>
      <c r="D1495" s="37"/>
      <c r="E1495" s="15"/>
      <c r="F1495" s="37"/>
      <c r="G1495" s="17"/>
      <c r="H1495" s="38"/>
      <c r="I1495" s="37"/>
    </row>
    <row r="1496" spans="1:9" ht="21.95" customHeight="1" x14ac:dyDescent="0.15">
      <c r="A1496" s="17"/>
      <c r="B1496" s="37"/>
      <c r="C1496" s="37"/>
      <c r="D1496" s="37"/>
      <c r="E1496" s="15"/>
      <c r="F1496" s="37"/>
      <c r="G1496" s="17"/>
      <c r="H1496" s="38"/>
      <c r="I1496" s="37"/>
    </row>
    <row r="1497" spans="1:9" ht="21.95" customHeight="1" x14ac:dyDescent="0.15">
      <c r="A1497" s="17"/>
      <c r="B1497" s="37"/>
      <c r="C1497" s="37"/>
      <c r="D1497" s="37"/>
      <c r="E1497" s="15"/>
      <c r="F1497" s="37"/>
      <c r="G1497" s="17"/>
      <c r="H1497" s="38"/>
      <c r="I1497" s="37"/>
    </row>
    <row r="1498" spans="1:9" ht="21.95" customHeight="1" x14ac:dyDescent="0.15">
      <c r="A1498" s="17"/>
      <c r="B1498" s="37"/>
      <c r="C1498" s="37"/>
      <c r="D1498" s="37"/>
      <c r="E1498" s="15"/>
      <c r="F1498" s="37"/>
      <c r="G1498" s="17"/>
      <c r="H1498" s="38"/>
      <c r="I1498" s="37"/>
    </row>
    <row r="1499" spans="1:9" ht="21.95" customHeight="1" x14ac:dyDescent="0.15">
      <c r="A1499" s="17"/>
      <c r="B1499" s="37"/>
      <c r="C1499" s="37"/>
      <c r="E1499" s="15"/>
      <c r="G1499" s="17"/>
      <c r="H1499" s="38"/>
    </row>
    <row r="1500" spans="1:9" ht="21.95" customHeight="1" x14ac:dyDescent="0.15">
      <c r="A1500" s="17"/>
      <c r="B1500" s="37"/>
      <c r="C1500" s="37"/>
      <c r="E1500" s="15"/>
      <c r="G1500" s="17"/>
      <c r="H1500" s="38"/>
    </row>
    <row r="1501" spans="1:9" ht="21.95" customHeight="1" x14ac:dyDescent="0.15">
      <c r="A1501" s="17"/>
      <c r="B1501" s="37"/>
      <c r="C1501" s="37"/>
      <c r="E1501" s="15"/>
      <c r="F1501" s="37"/>
      <c r="G1501" s="13"/>
      <c r="H1501" s="38"/>
    </row>
    <row r="1502" spans="1:9" ht="21.95" customHeight="1" x14ac:dyDescent="0.15">
      <c r="A1502" s="17"/>
      <c r="B1502" s="37"/>
      <c r="C1502" s="37"/>
      <c r="E1502" s="15"/>
      <c r="F1502" s="37"/>
      <c r="G1502" s="13"/>
      <c r="H1502" s="38"/>
    </row>
    <row r="1503" spans="1:9" ht="21.95" customHeight="1" x14ac:dyDescent="0.15">
      <c r="A1503" s="17"/>
      <c r="B1503" s="37"/>
      <c r="C1503" s="37"/>
      <c r="D1503" s="37"/>
      <c r="E1503" s="15"/>
      <c r="F1503" s="37"/>
      <c r="G1503" s="13"/>
      <c r="H1503" s="38"/>
    </row>
    <row r="1504" spans="1:9" ht="21.95" customHeight="1" x14ac:dyDescent="0.15">
      <c r="A1504" s="17"/>
      <c r="B1504" s="37"/>
      <c r="C1504" s="37"/>
      <c r="D1504" s="37"/>
      <c r="E1504" s="15"/>
      <c r="F1504" s="37"/>
      <c r="G1504" s="13"/>
      <c r="H1504" s="38"/>
    </row>
    <row r="1505" spans="1:8" ht="21.95" customHeight="1" x14ac:dyDescent="0.15">
      <c r="A1505" s="17"/>
      <c r="B1505" s="37"/>
      <c r="C1505" s="37"/>
      <c r="D1505" s="37"/>
      <c r="E1505" s="15"/>
      <c r="F1505" s="37"/>
      <c r="G1505" s="13"/>
      <c r="H1505" s="38"/>
    </row>
    <row r="1506" spans="1:8" ht="21.95" customHeight="1" x14ac:dyDescent="0.15">
      <c r="A1506" s="17"/>
      <c r="B1506" s="37"/>
      <c r="C1506" s="37"/>
      <c r="D1506" s="37"/>
      <c r="E1506" s="15"/>
      <c r="F1506" s="37"/>
      <c r="G1506" s="13"/>
      <c r="H1506" s="38"/>
    </row>
    <row r="1507" spans="1:8" ht="21.95" customHeight="1" x14ac:dyDescent="0.15">
      <c r="A1507" s="17"/>
      <c r="B1507" s="37"/>
      <c r="C1507" s="37"/>
      <c r="D1507" s="37"/>
      <c r="E1507" s="15"/>
      <c r="F1507" s="37"/>
      <c r="G1507" s="13"/>
      <c r="H1507" s="38"/>
    </row>
    <row r="1508" spans="1:8" ht="21.95" customHeight="1" x14ac:dyDescent="0.15">
      <c r="A1508" s="17"/>
      <c r="B1508" s="37"/>
      <c r="C1508" s="37"/>
      <c r="D1508" s="37"/>
      <c r="E1508" s="15"/>
      <c r="F1508" s="37"/>
      <c r="G1508" s="13"/>
      <c r="H1508" s="38"/>
    </row>
    <row r="1509" spans="1:8" ht="21.95" customHeight="1" x14ac:dyDescent="0.15">
      <c r="A1509" s="17"/>
      <c r="B1509" s="37"/>
      <c r="C1509" s="37"/>
      <c r="D1509" s="37"/>
      <c r="E1509" s="15"/>
      <c r="F1509" s="37"/>
      <c r="G1509" s="13"/>
      <c r="H1509" s="38"/>
    </row>
    <row r="1510" spans="1:8" ht="21.95" customHeight="1" x14ac:dyDescent="0.15">
      <c r="A1510" s="17"/>
      <c r="B1510" s="37"/>
      <c r="C1510" s="37"/>
      <c r="D1510" s="37"/>
      <c r="E1510" s="15"/>
      <c r="F1510" s="37"/>
      <c r="G1510" s="13"/>
      <c r="H1510" s="38"/>
    </row>
    <row r="1511" spans="1:8" ht="21.95" customHeight="1" x14ac:dyDescent="0.15">
      <c r="A1511" s="17"/>
      <c r="B1511" s="37"/>
      <c r="C1511" s="37"/>
      <c r="D1511" s="37"/>
      <c r="E1511" s="15"/>
      <c r="F1511" s="37"/>
      <c r="G1511" s="13"/>
      <c r="H1511" s="38"/>
    </row>
    <row r="1512" spans="1:8" ht="21.95" customHeight="1" x14ac:dyDescent="0.15">
      <c r="A1512" s="17"/>
      <c r="B1512" s="37"/>
      <c r="C1512" s="37"/>
      <c r="D1512" s="37"/>
      <c r="E1512" s="15"/>
      <c r="F1512" s="37"/>
      <c r="G1512" s="13"/>
      <c r="H1512" s="15"/>
    </row>
    <row r="1513" spans="1:8" ht="21.95" customHeight="1" x14ac:dyDescent="0.15">
      <c r="A1513" s="17"/>
      <c r="B1513" s="37"/>
      <c r="C1513" s="37"/>
      <c r="D1513" s="37"/>
      <c r="E1513" s="15"/>
      <c r="F1513" s="37"/>
      <c r="G1513" s="13"/>
      <c r="H1513" s="15"/>
    </row>
    <row r="1514" spans="1:8" ht="21.95" customHeight="1" x14ac:dyDescent="0.15">
      <c r="A1514" s="17"/>
      <c r="B1514" s="37"/>
      <c r="C1514" s="37"/>
      <c r="D1514" s="37"/>
      <c r="E1514" s="15"/>
      <c r="F1514" s="37"/>
      <c r="G1514" s="13"/>
      <c r="H1514" s="15"/>
    </row>
    <row r="1515" spans="1:8" ht="21.95" customHeight="1" x14ac:dyDescent="0.15">
      <c r="A1515" s="17"/>
      <c r="B1515" s="37"/>
      <c r="C1515" s="37"/>
      <c r="D1515" s="37"/>
      <c r="E1515" s="15"/>
      <c r="F1515" s="37"/>
      <c r="G1515" s="13"/>
      <c r="H1515" s="15"/>
    </row>
    <row r="1516" spans="1:8" ht="21.95" customHeight="1" x14ac:dyDescent="0.15">
      <c r="A1516" s="17"/>
      <c r="B1516" s="37"/>
      <c r="C1516" s="37"/>
      <c r="D1516" s="37"/>
      <c r="E1516" s="15"/>
      <c r="F1516" s="37"/>
      <c r="G1516" s="13"/>
      <c r="H1516" s="15"/>
    </row>
    <row r="1517" spans="1:8" ht="21.95" customHeight="1" x14ac:dyDescent="0.15">
      <c r="A1517" s="17"/>
      <c r="B1517" s="37"/>
      <c r="C1517" s="37"/>
      <c r="D1517" s="37"/>
      <c r="E1517" s="15"/>
      <c r="F1517" s="37"/>
      <c r="G1517" s="13"/>
      <c r="H1517" s="15"/>
    </row>
    <row r="1518" spans="1:8" ht="21.95" customHeight="1" x14ac:dyDescent="0.15">
      <c r="A1518" s="17"/>
      <c r="B1518" s="37"/>
      <c r="C1518" s="37"/>
      <c r="D1518" s="37"/>
      <c r="E1518" s="15"/>
      <c r="F1518" s="37"/>
      <c r="G1518" s="13"/>
      <c r="H1518" s="15"/>
    </row>
    <row r="1519" spans="1:8" ht="21.95" customHeight="1" x14ac:dyDescent="0.15">
      <c r="A1519" s="17"/>
      <c r="B1519" s="37"/>
      <c r="C1519" s="37"/>
      <c r="D1519" s="37"/>
      <c r="E1519" s="15"/>
      <c r="F1519" s="37"/>
      <c r="G1519" s="13"/>
      <c r="H1519" s="15"/>
    </row>
    <row r="1520" spans="1:8" ht="21.95" customHeight="1" x14ac:dyDescent="0.15">
      <c r="A1520" s="17"/>
      <c r="B1520" s="37"/>
      <c r="C1520" s="37"/>
      <c r="D1520" s="37"/>
      <c r="E1520" s="15"/>
      <c r="F1520" s="37"/>
      <c r="G1520" s="13"/>
      <c r="H1520" s="15"/>
    </row>
    <row r="1521" spans="1:8" ht="21.95" customHeight="1" x14ac:dyDescent="0.15">
      <c r="A1521" s="17"/>
      <c r="B1521" s="37"/>
      <c r="C1521" s="37"/>
      <c r="D1521" s="37"/>
      <c r="E1521" s="15"/>
      <c r="F1521" s="37"/>
      <c r="G1521" s="13"/>
      <c r="H1521" s="15"/>
    </row>
    <row r="1522" spans="1:8" ht="21.95" customHeight="1" x14ac:dyDescent="0.15">
      <c r="A1522" s="17"/>
      <c r="B1522" s="37"/>
      <c r="C1522" s="37"/>
      <c r="D1522" s="37"/>
      <c r="E1522" s="15"/>
      <c r="F1522" s="37"/>
      <c r="G1522" s="13"/>
      <c r="H1522" s="15"/>
    </row>
    <row r="1523" spans="1:8" ht="21.95" customHeight="1" x14ac:dyDescent="0.15">
      <c r="A1523" s="17"/>
      <c r="B1523" s="37"/>
      <c r="C1523" s="37"/>
      <c r="D1523" s="37"/>
      <c r="E1523" s="15"/>
      <c r="F1523" s="37"/>
      <c r="G1523" s="13"/>
      <c r="H1523" s="15"/>
    </row>
    <row r="1524" spans="1:8" ht="21.95" customHeight="1" x14ac:dyDescent="0.15">
      <c r="A1524" s="17"/>
      <c r="B1524" s="37"/>
      <c r="C1524" s="37"/>
      <c r="D1524" s="37"/>
      <c r="E1524" s="15"/>
      <c r="F1524" s="37"/>
      <c r="G1524" s="13"/>
      <c r="H1524" s="15"/>
    </row>
    <row r="1525" spans="1:8" ht="21.95" customHeight="1" x14ac:dyDescent="0.15">
      <c r="A1525" s="17"/>
      <c r="B1525" s="37"/>
      <c r="C1525" s="37"/>
      <c r="D1525" s="37"/>
      <c r="E1525" s="15"/>
      <c r="F1525" s="37"/>
      <c r="G1525" s="13"/>
      <c r="H1525" s="15"/>
    </row>
    <row r="1526" spans="1:8" ht="21.95" customHeight="1" x14ac:dyDescent="0.15">
      <c r="A1526" s="17"/>
      <c r="B1526" s="37"/>
      <c r="C1526" s="37"/>
      <c r="D1526" s="37"/>
      <c r="E1526" s="15"/>
      <c r="F1526" s="37"/>
      <c r="G1526" s="13"/>
      <c r="H1526" s="15"/>
    </row>
    <row r="1527" spans="1:8" ht="21.95" customHeight="1" x14ac:dyDescent="0.15">
      <c r="A1527" s="17"/>
      <c r="B1527" s="37"/>
      <c r="C1527" s="37"/>
      <c r="D1527" s="37"/>
      <c r="E1527" s="15"/>
      <c r="F1527" s="37"/>
      <c r="G1527" s="13"/>
      <c r="H1527" s="15"/>
    </row>
    <row r="1528" spans="1:8" ht="21.95" customHeight="1" x14ac:dyDescent="0.15">
      <c r="A1528" s="17"/>
      <c r="B1528" s="37"/>
      <c r="C1528" s="37"/>
      <c r="D1528" s="37"/>
      <c r="E1528" s="15"/>
      <c r="F1528" s="37"/>
      <c r="G1528" s="13"/>
      <c r="H1528" s="15"/>
    </row>
    <row r="1529" spans="1:8" ht="21.95" customHeight="1" x14ac:dyDescent="0.15">
      <c r="A1529" s="17"/>
      <c r="B1529" s="37"/>
      <c r="C1529" s="37"/>
      <c r="D1529" s="37"/>
      <c r="E1529" s="15"/>
      <c r="F1529" s="37"/>
      <c r="G1529" s="13"/>
      <c r="H1529" s="15"/>
    </row>
    <row r="1530" spans="1:8" ht="21.95" customHeight="1" x14ac:dyDescent="0.15">
      <c r="A1530" s="17"/>
      <c r="B1530" s="37"/>
      <c r="C1530" s="37"/>
      <c r="D1530" s="37"/>
      <c r="E1530" s="15"/>
      <c r="F1530" s="37"/>
      <c r="G1530" s="37"/>
      <c r="H1530" s="15"/>
    </row>
    <row r="1531" spans="1:8" ht="21.95" customHeight="1" x14ac:dyDescent="0.15">
      <c r="A1531" s="17"/>
      <c r="B1531" s="37"/>
      <c r="C1531" s="37"/>
      <c r="D1531" s="37"/>
      <c r="E1531" s="15"/>
      <c r="F1531" s="37"/>
      <c r="G1531" s="13"/>
      <c r="H1531" s="15"/>
    </row>
    <row r="1532" spans="1:8" ht="21.95" customHeight="1" x14ac:dyDescent="0.15">
      <c r="A1532" s="17"/>
      <c r="B1532" s="37"/>
      <c r="C1532" s="37"/>
      <c r="D1532" s="37"/>
      <c r="E1532" s="15"/>
      <c r="F1532" s="37"/>
      <c r="G1532" s="13"/>
      <c r="H1532" s="15"/>
    </row>
    <row r="1533" spans="1:8" ht="21.95" customHeight="1" x14ac:dyDescent="0.15">
      <c r="A1533" s="17"/>
      <c r="B1533" s="37"/>
      <c r="C1533" s="37"/>
      <c r="D1533" s="37"/>
      <c r="E1533" s="15"/>
      <c r="F1533" s="37"/>
      <c r="G1533" s="13"/>
      <c r="H1533" s="15"/>
    </row>
    <row r="1534" spans="1:8" ht="21.95" customHeight="1" x14ac:dyDescent="0.15">
      <c r="A1534" s="17"/>
      <c r="B1534" s="37"/>
      <c r="C1534" s="37"/>
      <c r="D1534" s="37"/>
      <c r="E1534" s="15"/>
      <c r="F1534" s="37"/>
      <c r="G1534" s="13"/>
      <c r="H1534" s="15"/>
    </row>
    <row r="1535" spans="1:8" ht="21.95" customHeight="1" x14ac:dyDescent="0.15">
      <c r="A1535" s="17"/>
      <c r="B1535" s="37"/>
      <c r="C1535" s="37"/>
      <c r="D1535" s="37"/>
      <c r="E1535" s="15"/>
      <c r="F1535" s="37"/>
      <c r="G1535" s="13"/>
      <c r="H1535" s="15"/>
    </row>
    <row r="1536" spans="1:8" ht="21.95" customHeight="1" x14ac:dyDescent="0.15">
      <c r="A1536" s="17"/>
      <c r="B1536" s="37"/>
      <c r="C1536" s="37"/>
      <c r="D1536" s="37"/>
      <c r="E1536" s="15"/>
      <c r="F1536" s="37"/>
      <c r="G1536" s="13"/>
      <c r="H1536" s="15"/>
    </row>
    <row r="1537" spans="1:9" ht="21.95" customHeight="1" x14ac:dyDescent="0.15">
      <c r="A1537" s="17"/>
      <c r="B1537" s="37"/>
      <c r="C1537" s="37"/>
      <c r="D1537" s="37"/>
      <c r="E1537" s="15"/>
      <c r="F1537" s="37"/>
      <c r="G1537" s="13"/>
      <c r="H1537" s="15"/>
    </row>
    <row r="1538" spans="1:9" ht="21.95" customHeight="1" x14ac:dyDescent="0.15">
      <c r="A1538" s="17"/>
      <c r="B1538" s="37"/>
      <c r="C1538" s="37"/>
      <c r="D1538" s="37"/>
      <c r="E1538" s="15"/>
      <c r="F1538" s="37"/>
      <c r="G1538" s="13"/>
      <c r="H1538" s="15"/>
    </row>
    <row r="1539" spans="1:9" ht="21.95" customHeight="1" x14ac:dyDescent="0.15">
      <c r="A1539" s="17"/>
      <c r="B1539" s="37"/>
      <c r="C1539" s="37"/>
      <c r="D1539" s="37"/>
      <c r="E1539" s="15"/>
      <c r="F1539" s="37"/>
      <c r="G1539" s="13"/>
      <c r="H1539" s="15"/>
    </row>
    <row r="1540" spans="1:9" ht="21.95" customHeight="1" x14ac:dyDescent="0.15">
      <c r="A1540" s="17"/>
      <c r="B1540" s="37"/>
      <c r="C1540" s="37"/>
      <c r="D1540" s="37"/>
      <c r="E1540" s="15"/>
      <c r="F1540" s="37"/>
      <c r="G1540" s="13"/>
      <c r="H1540" s="15"/>
    </row>
    <row r="1541" spans="1:9" ht="21.95" customHeight="1" x14ac:dyDescent="0.15">
      <c r="A1541" s="17"/>
      <c r="B1541" s="37"/>
      <c r="C1541" s="37"/>
      <c r="D1541" s="37"/>
      <c r="E1541" s="15"/>
      <c r="F1541" s="37"/>
      <c r="G1541" s="13"/>
      <c r="H1541" s="15"/>
    </row>
    <row r="1542" spans="1:9" ht="21.95" customHeight="1" x14ac:dyDescent="0.15">
      <c r="A1542" s="17"/>
      <c r="B1542" s="37"/>
      <c r="C1542" s="37"/>
      <c r="D1542" s="37"/>
      <c r="E1542" s="15"/>
      <c r="F1542" s="37"/>
      <c r="G1542" s="13"/>
      <c r="H1542" s="15"/>
    </row>
    <row r="1543" spans="1:9" ht="21.95" customHeight="1" x14ac:dyDescent="0.15">
      <c r="A1543" s="17"/>
      <c r="B1543" s="37"/>
      <c r="C1543" s="37"/>
      <c r="D1543" s="37"/>
      <c r="E1543" s="15"/>
      <c r="F1543" s="37"/>
      <c r="G1543" s="13"/>
      <c r="H1543" s="38"/>
      <c r="I1543" s="84"/>
    </row>
    <row r="1544" spans="1:9" ht="21.95" customHeight="1" x14ac:dyDescent="0.15">
      <c r="A1544" s="17"/>
      <c r="B1544" s="37"/>
      <c r="C1544" s="37"/>
      <c r="D1544" s="37"/>
      <c r="E1544" s="15"/>
      <c r="F1544" s="37"/>
      <c r="G1544" s="13"/>
      <c r="H1544" s="15"/>
      <c r="I1544" s="84"/>
    </row>
    <row r="1545" spans="1:9" ht="35.1" customHeight="1" x14ac:dyDescent="0.15">
      <c r="A1545" s="17"/>
      <c r="B1545" s="37"/>
      <c r="C1545" s="37"/>
      <c r="D1545" s="37"/>
      <c r="E1545" s="15"/>
      <c r="F1545" s="15"/>
      <c r="G1545" s="37"/>
      <c r="H1545" s="15"/>
    </row>
    <row r="1546" spans="1:9" ht="21.95" customHeight="1" x14ac:dyDescent="0.15">
      <c r="A1546" s="17"/>
      <c r="B1546" s="37"/>
      <c r="C1546" s="37"/>
      <c r="D1546" s="37"/>
      <c r="E1546" s="15"/>
      <c r="F1546" s="37"/>
      <c r="G1546" s="13"/>
      <c r="H1546" s="15"/>
    </row>
    <row r="1547" spans="1:9" ht="21.95" customHeight="1" x14ac:dyDescent="0.15">
      <c r="A1547" s="17"/>
      <c r="B1547" s="37"/>
      <c r="C1547" s="37"/>
      <c r="D1547" s="37"/>
      <c r="E1547" s="15"/>
      <c r="F1547" s="37"/>
      <c r="G1547" s="13"/>
      <c r="H1547" s="15"/>
    </row>
    <row r="1548" spans="1:9" ht="21.95" customHeight="1" x14ac:dyDescent="0.15">
      <c r="A1548" s="17"/>
      <c r="B1548" s="37"/>
      <c r="C1548" s="37"/>
      <c r="D1548" s="37"/>
      <c r="E1548" s="15"/>
      <c r="F1548" s="37"/>
      <c r="G1548" s="13"/>
      <c r="H1548" s="15"/>
    </row>
    <row r="1549" spans="1:9" ht="21.95" customHeight="1" x14ac:dyDescent="0.15">
      <c r="A1549" s="17"/>
      <c r="B1549" s="37"/>
      <c r="C1549" s="37"/>
      <c r="D1549" s="37"/>
      <c r="E1549" s="15"/>
      <c r="F1549" s="37"/>
      <c r="G1549" s="13"/>
      <c r="H1549" s="15"/>
    </row>
    <row r="1550" spans="1:9" ht="21.95" customHeight="1" x14ac:dyDescent="0.15">
      <c r="A1550" s="17"/>
      <c r="B1550" s="37"/>
      <c r="C1550" s="37"/>
      <c r="D1550" s="37"/>
      <c r="E1550" s="15"/>
      <c r="F1550" s="37"/>
      <c r="G1550" s="13"/>
      <c r="H1550" s="15"/>
    </row>
    <row r="1551" spans="1:9" ht="21.95" customHeight="1" x14ac:dyDescent="0.15">
      <c r="A1551" s="17"/>
      <c r="B1551" s="37"/>
      <c r="C1551" s="37"/>
      <c r="D1551" s="37"/>
      <c r="E1551" s="15"/>
      <c r="F1551" s="37"/>
      <c r="G1551" s="13"/>
      <c r="H1551" s="15"/>
      <c r="I1551" s="37"/>
    </row>
    <row r="1552" spans="1:9" ht="21.95" customHeight="1" x14ac:dyDescent="0.15">
      <c r="A1552" s="17"/>
      <c r="B1552" s="37"/>
      <c r="C1552" s="37"/>
      <c r="D1552" s="37"/>
      <c r="E1552" s="15"/>
      <c r="F1552" s="37"/>
      <c r="G1552" s="37"/>
      <c r="H1552" s="15"/>
      <c r="I1552" s="37"/>
    </row>
    <row r="1553" spans="1:9" ht="21.95" customHeight="1" x14ac:dyDescent="0.15">
      <c r="A1553" s="17"/>
      <c r="B1553" s="37"/>
      <c r="C1553" s="37"/>
      <c r="D1553" s="37"/>
      <c r="E1553" s="15"/>
      <c r="F1553" s="37"/>
      <c r="G1553" s="37"/>
      <c r="H1553" s="38"/>
      <c r="I1553" s="37"/>
    </row>
    <row r="1554" spans="1:9" ht="21.95" customHeight="1" x14ac:dyDescent="0.15">
      <c r="A1554" s="17"/>
      <c r="B1554" s="37"/>
      <c r="C1554" s="37"/>
      <c r="D1554" s="37"/>
      <c r="E1554" s="15"/>
      <c r="F1554" s="37"/>
      <c r="G1554" s="37"/>
      <c r="H1554" s="38"/>
      <c r="I1554" s="37"/>
    </row>
    <row r="1555" spans="1:9" ht="21.95" customHeight="1" x14ac:dyDescent="0.15">
      <c r="A1555" s="17"/>
      <c r="B1555" s="37"/>
      <c r="C1555" s="37"/>
      <c r="D1555" s="37"/>
      <c r="E1555" s="15"/>
      <c r="F1555" s="37"/>
      <c r="G1555" s="13"/>
      <c r="H1555" s="15"/>
      <c r="I1555" s="37"/>
    </row>
    <row r="1556" spans="1:9" ht="21.95" customHeight="1" x14ac:dyDescent="0.15">
      <c r="A1556" s="17"/>
      <c r="B1556" s="37"/>
      <c r="C1556" s="37"/>
      <c r="D1556" s="37"/>
      <c r="E1556" s="15"/>
      <c r="F1556" s="37"/>
      <c r="G1556" s="13"/>
      <c r="H1556" s="15"/>
      <c r="I1556" s="37"/>
    </row>
    <row r="1557" spans="1:9" ht="21.95" customHeight="1" x14ac:dyDescent="0.15">
      <c r="A1557" s="17"/>
      <c r="B1557" s="37"/>
      <c r="C1557" s="37"/>
      <c r="D1557" s="37"/>
      <c r="E1557" s="15"/>
      <c r="F1557" s="37"/>
      <c r="G1557" s="13"/>
      <c r="H1557" s="15"/>
      <c r="I1557" s="37"/>
    </row>
    <row r="1558" spans="1:9" ht="21.95" customHeight="1" x14ac:dyDescent="0.15">
      <c r="A1558" s="17"/>
      <c r="B1558" s="37"/>
      <c r="C1558" s="37"/>
      <c r="E1558" s="15"/>
      <c r="F1558" s="37"/>
      <c r="H1558" s="38"/>
    </row>
    <row r="1559" spans="1:9" ht="21.95" customHeight="1" x14ac:dyDescent="0.15">
      <c r="A1559" s="17"/>
      <c r="B1559" s="37"/>
      <c r="C1559" s="37"/>
      <c r="E1559" s="15"/>
      <c r="F1559" s="37"/>
    </row>
    <row r="1560" spans="1:9" ht="21.95" customHeight="1" x14ac:dyDescent="0.15">
      <c r="A1560" s="17"/>
      <c r="B1560" s="37"/>
      <c r="C1560" s="37"/>
      <c r="E1560" s="15"/>
      <c r="G1560" s="77"/>
    </row>
    <row r="1561" spans="1:9" ht="21.95" customHeight="1" x14ac:dyDescent="0.15">
      <c r="A1561" s="17"/>
      <c r="B1561" s="37"/>
      <c r="C1561" s="37"/>
      <c r="D1561" s="37"/>
      <c r="E1561" s="15"/>
      <c r="F1561" s="37"/>
      <c r="G1561" s="37"/>
      <c r="H1561" s="15"/>
    </row>
    <row r="1562" spans="1:9" ht="21.95" customHeight="1" x14ac:dyDescent="0.15">
      <c r="A1562" s="17"/>
      <c r="B1562" s="37"/>
      <c r="C1562" s="37"/>
      <c r="D1562" s="37"/>
      <c r="E1562" s="15"/>
      <c r="F1562" s="37"/>
      <c r="G1562" s="13"/>
      <c r="H1562" s="15"/>
    </row>
    <row r="1563" spans="1:9" ht="21.95" customHeight="1" x14ac:dyDescent="0.15">
      <c r="A1563" s="17"/>
      <c r="B1563" s="37"/>
      <c r="C1563" s="37"/>
      <c r="D1563" s="37"/>
      <c r="E1563" s="15"/>
      <c r="F1563" s="37"/>
      <c r="G1563" s="13"/>
      <c r="H1563" s="15"/>
    </row>
    <row r="1564" spans="1:9" ht="21.95" customHeight="1" x14ac:dyDescent="0.15">
      <c r="A1564" s="17"/>
      <c r="C1564" s="37"/>
    </row>
    <row r="1565" spans="1:9" ht="21.95" customHeight="1" x14ac:dyDescent="0.15">
      <c r="A1565" s="17"/>
      <c r="B1565" s="37"/>
      <c r="C1565" s="37"/>
      <c r="D1565" s="13"/>
      <c r="E1565" s="15"/>
      <c r="F1565" s="37"/>
      <c r="G1565" s="13"/>
      <c r="H1565" s="15"/>
      <c r="I1565" s="13"/>
    </row>
    <row r="1566" spans="1:9" ht="21.95" customHeight="1" x14ac:dyDescent="0.15">
      <c r="A1566" s="17"/>
      <c r="B1566" s="13"/>
      <c r="C1566" s="13"/>
      <c r="D1566" s="13"/>
      <c r="E1566" s="15"/>
      <c r="F1566" s="37"/>
      <c r="G1566" s="13"/>
      <c r="H1566" s="15"/>
      <c r="I1566" s="13"/>
    </row>
    <row r="1567" spans="1:9" ht="21.95" customHeight="1" x14ac:dyDescent="0.15">
      <c r="A1567" s="17"/>
      <c r="B1567" s="13"/>
      <c r="C1567" s="13"/>
      <c r="D1567" s="13"/>
      <c r="E1567" s="15"/>
      <c r="F1567" s="37"/>
      <c r="G1567" s="13"/>
      <c r="H1567" s="15"/>
      <c r="I1567" s="13"/>
    </row>
    <row r="1568" spans="1:9" ht="21.95" customHeight="1" x14ac:dyDescent="0.15">
      <c r="A1568" s="17"/>
      <c r="B1568" s="13"/>
      <c r="C1568" s="13"/>
      <c r="D1568" s="13"/>
      <c r="E1568" s="15"/>
      <c r="F1568" s="37"/>
      <c r="G1568" s="13"/>
      <c r="H1568" s="15"/>
      <c r="I1568" s="13"/>
    </row>
    <row r="1569" spans="1:9" customFormat="1" ht="21.95" customHeight="1" x14ac:dyDescent="0.15">
      <c r="A1569" s="17"/>
      <c r="B1569" s="40"/>
      <c r="C1569" s="40"/>
      <c r="D1569" s="40"/>
      <c r="E1569" s="38"/>
      <c r="F1569" s="85"/>
      <c r="G1569" s="40"/>
      <c r="H1569" s="38"/>
      <c r="I1569" s="40"/>
    </row>
    <row r="1570" spans="1:9" customFormat="1" ht="21.95" customHeight="1" x14ac:dyDescent="0.15">
      <c r="A1570" s="17"/>
      <c r="B1570" s="37"/>
      <c r="C1570" s="37"/>
      <c r="D1570" s="40"/>
      <c r="E1570" s="15"/>
      <c r="F1570" s="85"/>
      <c r="G1570" s="42"/>
      <c r="H1570" s="38"/>
      <c r="I1570" s="56"/>
    </row>
    <row r="1571" spans="1:9" customFormat="1" ht="21.95" customHeight="1" x14ac:dyDescent="0.15">
      <c r="A1571" s="17"/>
      <c r="B1571" s="37"/>
      <c r="C1571" s="95"/>
      <c r="D1571" s="40"/>
      <c r="E1571" s="15"/>
      <c r="F1571" s="85"/>
      <c r="G1571" s="42"/>
      <c r="H1571" s="38"/>
      <c r="I1571" s="56"/>
    </row>
    <row r="1572" spans="1:9" customFormat="1" ht="21.95" customHeight="1" x14ac:dyDescent="0.15">
      <c r="A1572" s="17"/>
      <c r="B1572" s="37"/>
      <c r="C1572" s="95"/>
      <c r="D1572" s="40"/>
      <c r="E1572" s="15"/>
      <c r="F1572" s="85"/>
      <c r="G1572" s="17"/>
      <c r="H1572" s="38"/>
      <c r="I1572" s="56"/>
    </row>
    <row r="1573" spans="1:9" customFormat="1" ht="21.95" customHeight="1" x14ac:dyDescent="0.15">
      <c r="A1573" s="17"/>
      <c r="B1573" s="37"/>
      <c r="C1573" s="37"/>
      <c r="D1573" s="40"/>
      <c r="E1573" s="15"/>
      <c r="F1573" s="85"/>
      <c r="G1573" s="42"/>
      <c r="H1573" s="38"/>
      <c r="I1573" s="56"/>
    </row>
    <row r="1574" spans="1:9" customFormat="1" ht="21.95" customHeight="1" x14ac:dyDescent="0.15">
      <c r="A1574" s="17"/>
      <c r="B1574" s="37"/>
      <c r="C1574" s="37"/>
      <c r="D1574" s="40"/>
      <c r="E1574" s="15"/>
      <c r="F1574" s="85"/>
      <c r="G1574" s="17"/>
      <c r="H1574" s="38"/>
      <c r="I1574" s="56"/>
    </row>
    <row r="1575" spans="1:9" customFormat="1" ht="21.95" customHeight="1" x14ac:dyDescent="0.15">
      <c r="A1575" s="17"/>
      <c r="B1575" s="37"/>
      <c r="C1575" s="37"/>
      <c r="D1575" s="40"/>
      <c r="E1575" s="15"/>
      <c r="F1575" s="85"/>
      <c r="G1575" s="42"/>
      <c r="H1575" s="38"/>
      <c r="I1575" s="56"/>
    </row>
    <row r="1576" spans="1:9" customFormat="1" ht="21.95" customHeight="1" x14ac:dyDescent="0.15">
      <c r="A1576" s="17"/>
      <c r="B1576" s="37"/>
      <c r="C1576" s="37"/>
      <c r="D1576" s="40"/>
      <c r="E1576" s="15"/>
      <c r="F1576" s="85"/>
      <c r="G1576" s="17"/>
      <c r="H1576" s="38"/>
      <c r="I1576" s="56"/>
    </row>
    <row r="1577" spans="1:9" customFormat="1" ht="21.95" customHeight="1" x14ac:dyDescent="0.15">
      <c r="A1577" s="17"/>
      <c r="B1577" s="37"/>
      <c r="C1577" s="37"/>
      <c r="D1577" s="40"/>
      <c r="E1577" s="15"/>
      <c r="F1577" s="85"/>
      <c r="G1577" s="42"/>
      <c r="H1577" s="38"/>
      <c r="I1577" s="56"/>
    </row>
    <row r="1578" spans="1:9" customFormat="1" ht="21.95" customHeight="1" x14ac:dyDescent="0.15">
      <c r="A1578" s="17"/>
      <c r="B1578" s="37"/>
      <c r="C1578" s="37"/>
      <c r="D1578" s="40"/>
      <c r="E1578" s="15"/>
      <c r="F1578" s="85"/>
      <c r="G1578" s="17"/>
      <c r="H1578" s="38"/>
      <c r="I1578" s="56"/>
    </row>
    <row r="1579" spans="1:9" customFormat="1" ht="21.95" customHeight="1" x14ac:dyDescent="0.15">
      <c r="A1579" s="17"/>
      <c r="B1579" s="37"/>
      <c r="C1579" s="37"/>
      <c r="D1579" s="40"/>
      <c r="E1579" s="15"/>
      <c r="F1579" s="85"/>
      <c r="G1579" s="42"/>
      <c r="H1579" s="38"/>
      <c r="I1579" s="56"/>
    </row>
    <row r="1580" spans="1:9" ht="21.95" customHeight="1" x14ac:dyDescent="0.15">
      <c r="A1580" s="17"/>
      <c r="B1580" s="37"/>
      <c r="C1580" s="37"/>
      <c r="D1580" s="37"/>
      <c r="E1580" s="15"/>
      <c r="F1580" s="85"/>
      <c r="G1580" s="17"/>
      <c r="H1580" s="38"/>
    </row>
    <row r="1581" spans="1:9" ht="21.95" customHeight="1" x14ac:dyDescent="0.15">
      <c r="A1581" s="17"/>
      <c r="B1581" s="37"/>
      <c r="C1581" s="37"/>
      <c r="D1581" s="37"/>
      <c r="E1581" s="15"/>
      <c r="F1581" s="85"/>
      <c r="H1581" s="38"/>
    </row>
    <row r="1582" spans="1:9" ht="21.95" customHeight="1" x14ac:dyDescent="0.15">
      <c r="A1582" s="17"/>
      <c r="B1582" s="37"/>
      <c r="C1582" s="37"/>
      <c r="D1582" s="37"/>
      <c r="E1582" s="15"/>
      <c r="F1582" s="85"/>
      <c r="H1582" s="38"/>
    </row>
    <row r="1583" spans="1:9" ht="21.95" customHeight="1" x14ac:dyDescent="0.15">
      <c r="A1583" s="17"/>
      <c r="B1583" s="37"/>
      <c r="C1583" s="37"/>
      <c r="D1583" s="37"/>
      <c r="E1583" s="15"/>
      <c r="F1583" s="85"/>
      <c r="G1583" s="17"/>
      <c r="H1583" s="38"/>
    </row>
    <row r="1584" spans="1:9" customFormat="1" ht="21.95" customHeight="1" x14ac:dyDescent="0.15">
      <c r="A1584" s="17"/>
      <c r="B1584" s="37"/>
      <c r="C1584" s="37"/>
      <c r="D1584" s="37"/>
      <c r="E1584" s="15"/>
      <c r="F1584" s="85"/>
      <c r="G1584" s="17"/>
      <c r="H1584" s="38"/>
      <c r="I1584" s="42"/>
    </row>
    <row r="1585" spans="1:9" customFormat="1" ht="21.95" customHeight="1" x14ac:dyDescent="0.15">
      <c r="A1585" s="17"/>
      <c r="B1585" s="37"/>
      <c r="C1585" s="37"/>
      <c r="D1585" s="37"/>
      <c r="E1585" s="15"/>
      <c r="F1585" s="85"/>
      <c r="G1585" s="17"/>
      <c r="H1585" s="38"/>
      <c r="I1585" s="42"/>
    </row>
    <row r="1586" spans="1:9" customFormat="1" ht="21.95" customHeight="1" x14ac:dyDescent="0.15">
      <c r="A1586" s="17"/>
      <c r="B1586" s="37"/>
      <c r="C1586" s="37"/>
      <c r="D1586" s="37"/>
      <c r="E1586" s="15"/>
      <c r="F1586" s="85"/>
      <c r="G1586" s="17"/>
      <c r="H1586" s="38"/>
      <c r="I1586" s="42"/>
    </row>
    <row r="1587" spans="1:9" customFormat="1" ht="21.95" customHeight="1" x14ac:dyDescent="0.15">
      <c r="A1587" s="17"/>
      <c r="B1587" s="37"/>
      <c r="C1587" s="37"/>
      <c r="D1587" s="37"/>
      <c r="E1587" s="15"/>
      <c r="F1587" s="85"/>
      <c r="G1587" s="17"/>
      <c r="H1587" s="38"/>
      <c r="I1587" s="42"/>
    </row>
    <row r="1588" spans="1:9" customFormat="1" ht="21.95" customHeight="1" x14ac:dyDescent="0.15">
      <c r="A1588" s="17"/>
      <c r="B1588" s="37"/>
      <c r="C1588" s="37"/>
      <c r="D1588" s="37"/>
      <c r="E1588" s="15"/>
      <c r="F1588" s="85"/>
      <c r="G1588" s="17"/>
      <c r="H1588" s="38"/>
      <c r="I1588" s="42"/>
    </row>
    <row r="1589" spans="1:9" customFormat="1" ht="21.95" customHeight="1" x14ac:dyDescent="0.15">
      <c r="A1589" s="17"/>
      <c r="B1589" s="37"/>
      <c r="C1589" s="37"/>
      <c r="D1589" s="37"/>
      <c r="E1589" s="15"/>
      <c r="F1589" s="85"/>
      <c r="G1589" s="17"/>
      <c r="H1589" s="38"/>
      <c r="I1589" s="42"/>
    </row>
    <row r="1590" spans="1:9" customFormat="1" ht="21.95" customHeight="1" x14ac:dyDescent="0.15">
      <c r="A1590" s="17"/>
      <c r="B1590" s="37"/>
      <c r="C1590" s="37"/>
      <c r="D1590" s="37"/>
      <c r="E1590" s="15"/>
      <c r="F1590" s="85"/>
      <c r="G1590" s="17"/>
      <c r="H1590" s="38"/>
      <c r="I1590" s="42"/>
    </row>
    <row r="1591" spans="1:9" customFormat="1" ht="21.95" customHeight="1" x14ac:dyDescent="0.15">
      <c r="A1591" s="17"/>
      <c r="B1591" s="37"/>
      <c r="C1591" s="37"/>
      <c r="D1591" s="37"/>
      <c r="E1591" s="15"/>
      <c r="F1591" s="85"/>
      <c r="G1591" s="17"/>
      <c r="H1591" s="38"/>
      <c r="I1591" s="42"/>
    </row>
    <row r="1592" spans="1:9" customFormat="1" ht="21.95" customHeight="1" x14ac:dyDescent="0.15">
      <c r="A1592" s="17"/>
      <c r="B1592" s="37"/>
      <c r="C1592" s="37"/>
      <c r="D1592" s="37"/>
      <c r="E1592" s="15"/>
      <c r="F1592" s="85"/>
      <c r="G1592" s="17"/>
      <c r="H1592" s="38"/>
      <c r="I1592" s="42"/>
    </row>
    <row r="1593" spans="1:9" customFormat="1" ht="21.95" customHeight="1" x14ac:dyDescent="0.15">
      <c r="A1593" s="17"/>
      <c r="B1593" s="37"/>
      <c r="C1593" s="37"/>
      <c r="D1593" s="37"/>
      <c r="E1593" s="15"/>
      <c r="F1593" s="85"/>
      <c r="G1593" s="17"/>
      <c r="H1593" s="38"/>
      <c r="I1593" s="56"/>
    </row>
    <row r="1594" spans="1:9" customFormat="1" ht="21.95" customHeight="1" x14ac:dyDescent="0.15">
      <c r="A1594" s="17"/>
      <c r="B1594" s="37"/>
      <c r="C1594" s="37"/>
      <c r="D1594" s="37"/>
      <c r="E1594" s="15"/>
      <c r="F1594" s="85"/>
      <c r="G1594" s="17"/>
      <c r="H1594" s="38"/>
      <c r="I1594" s="56"/>
    </row>
    <row r="1595" spans="1:9" customFormat="1" ht="32.1" customHeight="1" x14ac:dyDescent="0.15">
      <c r="A1595" s="17"/>
      <c r="B1595" s="37"/>
      <c r="C1595" s="37"/>
      <c r="D1595" s="37"/>
      <c r="E1595" s="15"/>
      <c r="F1595" s="85"/>
      <c r="G1595" s="17"/>
      <c r="H1595" s="38"/>
      <c r="I1595" s="56"/>
    </row>
    <row r="1596" spans="1:9" customFormat="1" ht="32.1" customHeight="1" x14ac:dyDescent="0.15">
      <c r="A1596" s="17"/>
      <c r="B1596" s="37"/>
      <c r="C1596" s="37"/>
      <c r="D1596" s="37"/>
      <c r="E1596" s="15"/>
      <c r="F1596" s="85"/>
      <c r="G1596" s="17"/>
      <c r="H1596" s="38"/>
      <c r="I1596" s="56"/>
    </row>
    <row r="1597" spans="1:9" customFormat="1" ht="32.1" customHeight="1" x14ac:dyDescent="0.15">
      <c r="A1597" s="17"/>
      <c r="B1597" s="37"/>
      <c r="C1597" s="37"/>
      <c r="D1597" s="37"/>
      <c r="E1597" s="15"/>
      <c r="F1597" s="85"/>
      <c r="G1597" s="17"/>
      <c r="H1597" s="38"/>
      <c r="I1597" s="56"/>
    </row>
    <row r="1598" spans="1:9" customFormat="1" ht="32.1" customHeight="1" x14ac:dyDescent="0.15">
      <c r="A1598" s="17"/>
      <c r="B1598" s="37"/>
      <c r="C1598" s="37"/>
      <c r="D1598" s="37"/>
      <c r="E1598" s="15"/>
      <c r="F1598" s="85"/>
      <c r="G1598" s="17"/>
      <c r="H1598" s="38"/>
      <c r="I1598" s="56"/>
    </row>
    <row r="1599" spans="1:9" customFormat="1" ht="32.1" customHeight="1" x14ac:dyDescent="0.15">
      <c r="A1599" s="17"/>
      <c r="B1599" s="37"/>
      <c r="C1599" s="37"/>
      <c r="D1599" s="37"/>
      <c r="E1599" s="15"/>
      <c r="F1599" s="85"/>
      <c r="G1599" s="17"/>
      <c r="H1599" s="38"/>
      <c r="I1599" s="56"/>
    </row>
    <row r="1600" spans="1:9" customFormat="1" ht="32.1" customHeight="1" x14ac:dyDescent="0.15">
      <c r="A1600" s="17"/>
      <c r="B1600" s="37"/>
      <c r="C1600" s="37"/>
      <c r="D1600" s="37"/>
      <c r="E1600" s="15"/>
      <c r="F1600" s="85"/>
      <c r="G1600" s="17"/>
      <c r="H1600" s="38"/>
      <c r="I1600" s="56"/>
    </row>
    <row r="1601" spans="1:9" ht="32.1" customHeight="1" x14ac:dyDescent="0.15">
      <c r="A1601" s="17"/>
      <c r="B1601" s="37"/>
      <c r="C1601" s="37"/>
      <c r="D1601" s="37"/>
      <c r="E1601" s="15"/>
      <c r="F1601" s="85"/>
      <c r="G1601" s="17"/>
      <c r="H1601" s="38"/>
      <c r="I1601" s="37"/>
    </row>
    <row r="1602" spans="1:9" ht="32.1" customHeight="1" x14ac:dyDescent="0.15">
      <c r="A1602" s="17"/>
      <c r="B1602" s="37"/>
      <c r="C1602" s="37"/>
      <c r="D1602" s="37"/>
      <c r="E1602" s="15"/>
      <c r="F1602" s="37"/>
      <c r="G1602" s="17"/>
      <c r="H1602" s="38"/>
      <c r="I1602" s="37"/>
    </row>
    <row r="1603" spans="1:9" ht="32.1" customHeight="1" x14ac:dyDescent="0.15">
      <c r="A1603" s="17"/>
      <c r="B1603" s="37"/>
      <c r="C1603" s="37"/>
      <c r="D1603" s="37"/>
      <c r="E1603" s="15"/>
      <c r="F1603" s="37"/>
      <c r="G1603" s="17"/>
      <c r="H1603" s="38"/>
      <c r="I1603" s="37"/>
    </row>
    <row r="1604" spans="1:9" ht="32.1" customHeight="1" x14ac:dyDescent="0.15">
      <c r="A1604" s="17"/>
      <c r="B1604" s="37"/>
      <c r="C1604" s="37"/>
      <c r="D1604" s="37"/>
      <c r="E1604" s="15"/>
      <c r="F1604" s="37"/>
      <c r="G1604" s="17"/>
      <c r="H1604" s="38"/>
      <c r="I1604" s="37"/>
    </row>
    <row r="1605" spans="1:9" ht="21.95" customHeight="1" x14ac:dyDescent="0.15">
      <c r="A1605" s="17"/>
      <c r="B1605" s="37"/>
      <c r="C1605" s="37"/>
      <c r="D1605" s="37"/>
      <c r="E1605" s="15"/>
      <c r="F1605" s="37"/>
      <c r="G1605" s="17"/>
      <c r="H1605" s="38"/>
      <c r="I1605" s="37"/>
    </row>
    <row r="1606" spans="1:9" ht="54" customHeight="1" x14ac:dyDescent="0.15">
      <c r="A1606" s="17"/>
      <c r="B1606" s="37"/>
      <c r="C1606" s="37"/>
      <c r="D1606" s="37"/>
      <c r="E1606" s="15"/>
      <c r="F1606" s="37"/>
      <c r="G1606" s="17"/>
      <c r="H1606" s="38"/>
      <c r="I1606" s="37"/>
    </row>
    <row r="1607" spans="1:9" ht="21.95" customHeight="1" x14ac:dyDescent="0.15">
      <c r="A1607" s="17"/>
      <c r="B1607" s="37"/>
      <c r="C1607" s="37"/>
      <c r="D1607" s="37"/>
      <c r="E1607" s="15"/>
      <c r="F1607" s="37"/>
      <c r="G1607" s="17"/>
      <c r="H1607" s="38"/>
      <c r="I1607" s="37"/>
    </row>
    <row r="1608" spans="1:9" ht="21.95" customHeight="1" x14ac:dyDescent="0.15">
      <c r="A1608" s="17"/>
      <c r="B1608" s="37"/>
      <c r="C1608" s="37"/>
      <c r="D1608" s="37"/>
      <c r="E1608" s="15"/>
      <c r="F1608" s="37"/>
      <c r="G1608" s="17"/>
      <c r="H1608" s="38"/>
      <c r="I1608" s="37"/>
    </row>
    <row r="1609" spans="1:9" ht="21.95" customHeight="1" x14ac:dyDescent="0.15">
      <c r="A1609" s="17"/>
      <c r="B1609" s="37"/>
      <c r="C1609" s="37"/>
      <c r="D1609" s="37"/>
      <c r="E1609" s="15"/>
      <c r="F1609" s="37"/>
      <c r="G1609" s="17"/>
      <c r="H1609" s="38"/>
      <c r="I1609" s="37"/>
    </row>
    <row r="1610" spans="1:9" ht="21.95" customHeight="1" x14ac:dyDescent="0.15">
      <c r="A1610" s="17"/>
      <c r="B1610" s="37"/>
      <c r="C1610" s="37"/>
      <c r="D1610" s="37"/>
      <c r="E1610" s="15"/>
      <c r="F1610" s="37"/>
      <c r="G1610" s="17"/>
      <c r="H1610" s="38"/>
      <c r="I1610" s="37"/>
    </row>
    <row r="1611" spans="1:9" ht="21.95" customHeight="1" x14ac:dyDescent="0.15">
      <c r="A1611" s="17"/>
      <c r="B1611" s="37"/>
      <c r="C1611" s="37"/>
      <c r="E1611" s="15"/>
      <c r="G1611" s="17"/>
      <c r="H1611" s="38"/>
    </row>
    <row r="1612" spans="1:9" ht="21.95" customHeight="1" x14ac:dyDescent="0.15">
      <c r="A1612" s="17"/>
      <c r="B1612" s="37"/>
      <c r="C1612" s="37"/>
      <c r="E1612" s="15"/>
      <c r="G1612" s="17"/>
      <c r="H1612" s="38"/>
    </row>
    <row r="1613" spans="1:9" ht="21.95" customHeight="1" x14ac:dyDescent="0.15">
      <c r="A1613" s="17"/>
      <c r="B1613" s="37"/>
      <c r="C1613" s="37"/>
      <c r="E1613" s="15"/>
      <c r="F1613" s="37"/>
      <c r="G1613" s="13"/>
      <c r="H1613" s="38"/>
    </row>
    <row r="1614" spans="1:9" ht="21.95" customHeight="1" x14ac:dyDescent="0.15">
      <c r="A1614" s="17"/>
      <c r="B1614" s="37"/>
      <c r="C1614" s="37"/>
      <c r="E1614" s="15"/>
      <c r="F1614" s="37"/>
      <c r="G1614" s="13"/>
      <c r="H1614" s="38"/>
    </row>
    <row r="1615" spans="1:9" ht="21.95" customHeight="1" x14ac:dyDescent="0.15">
      <c r="A1615" s="17"/>
      <c r="B1615" s="37"/>
      <c r="C1615" s="37"/>
      <c r="D1615" s="37"/>
      <c r="E1615" s="15"/>
      <c r="F1615" s="37"/>
      <c r="G1615" s="13"/>
      <c r="H1615" s="38"/>
    </row>
    <row r="1616" spans="1:9" ht="21.95" customHeight="1" x14ac:dyDescent="0.15">
      <c r="A1616" s="17"/>
      <c r="B1616" s="37"/>
      <c r="C1616" s="37"/>
      <c r="D1616" s="37"/>
      <c r="E1616" s="15"/>
      <c r="F1616" s="37"/>
      <c r="G1616" s="13"/>
      <c r="H1616" s="38"/>
    </row>
    <row r="1617" spans="1:8" ht="21.95" customHeight="1" x14ac:dyDescent="0.15">
      <c r="A1617" s="17"/>
      <c r="B1617" s="37"/>
      <c r="C1617" s="37"/>
      <c r="D1617" s="37"/>
      <c r="E1617" s="15"/>
      <c r="F1617" s="37"/>
      <c r="G1617" s="13"/>
      <c r="H1617" s="38"/>
    </row>
    <row r="1618" spans="1:8" ht="21.95" customHeight="1" x14ac:dyDescent="0.15">
      <c r="A1618" s="17"/>
      <c r="B1618" s="37"/>
      <c r="C1618" s="37"/>
      <c r="D1618" s="37"/>
      <c r="E1618" s="15"/>
      <c r="F1618" s="37"/>
      <c r="G1618" s="13"/>
      <c r="H1618" s="38"/>
    </row>
    <row r="1619" spans="1:8" ht="21.95" customHeight="1" x14ac:dyDescent="0.15">
      <c r="A1619" s="17"/>
      <c r="B1619" s="37"/>
      <c r="C1619" s="37"/>
      <c r="D1619" s="37"/>
      <c r="E1619" s="15"/>
      <c r="F1619" s="37"/>
      <c r="G1619" s="13"/>
      <c r="H1619" s="38"/>
    </row>
    <row r="1620" spans="1:8" ht="21.95" customHeight="1" x14ac:dyDescent="0.15">
      <c r="A1620" s="17"/>
      <c r="B1620" s="37"/>
      <c r="C1620" s="37"/>
      <c r="D1620" s="37"/>
      <c r="E1620" s="15"/>
      <c r="F1620" s="37"/>
      <c r="G1620" s="13"/>
      <c r="H1620" s="38"/>
    </row>
    <row r="1621" spans="1:8" ht="21.95" customHeight="1" x14ac:dyDescent="0.15">
      <c r="A1621" s="17"/>
      <c r="B1621" s="37"/>
      <c r="C1621" s="37"/>
      <c r="D1621" s="37"/>
      <c r="E1621" s="15"/>
      <c r="F1621" s="37"/>
      <c r="G1621" s="13"/>
      <c r="H1621" s="38"/>
    </row>
    <row r="1622" spans="1:8" ht="21.95" customHeight="1" x14ac:dyDescent="0.15">
      <c r="A1622" s="17"/>
      <c r="B1622" s="37"/>
      <c r="C1622" s="37"/>
      <c r="D1622" s="37"/>
      <c r="E1622" s="15"/>
      <c r="F1622" s="37"/>
      <c r="G1622" s="13"/>
      <c r="H1622" s="38"/>
    </row>
    <row r="1623" spans="1:8" ht="21.95" customHeight="1" x14ac:dyDescent="0.15">
      <c r="A1623" s="17"/>
      <c r="B1623" s="37"/>
      <c r="C1623" s="37"/>
      <c r="D1623" s="37"/>
      <c r="E1623" s="15"/>
      <c r="F1623" s="37"/>
      <c r="G1623" s="13"/>
      <c r="H1623" s="38"/>
    </row>
    <row r="1624" spans="1:8" ht="21.95" customHeight="1" x14ac:dyDescent="0.15">
      <c r="A1624" s="17"/>
      <c r="B1624" s="37"/>
      <c r="C1624" s="37"/>
      <c r="D1624" s="37"/>
      <c r="E1624" s="15"/>
      <c r="F1624" s="37"/>
      <c r="G1624" s="13"/>
      <c r="H1624" s="15"/>
    </row>
    <row r="1625" spans="1:8" ht="21.95" customHeight="1" x14ac:dyDescent="0.15">
      <c r="A1625" s="17"/>
      <c r="B1625" s="37"/>
      <c r="C1625" s="37"/>
      <c r="D1625" s="37"/>
      <c r="E1625" s="15"/>
      <c r="F1625" s="37"/>
      <c r="G1625" s="13"/>
      <c r="H1625" s="15"/>
    </row>
    <row r="1626" spans="1:8" ht="21.95" customHeight="1" x14ac:dyDescent="0.15">
      <c r="A1626" s="17"/>
      <c r="B1626" s="37"/>
      <c r="C1626" s="37"/>
      <c r="D1626" s="37"/>
      <c r="E1626" s="15"/>
      <c r="F1626" s="37"/>
      <c r="G1626" s="13"/>
      <c r="H1626" s="15"/>
    </row>
    <row r="1627" spans="1:8" ht="21.95" customHeight="1" x14ac:dyDescent="0.15">
      <c r="A1627" s="17"/>
      <c r="B1627" s="37"/>
      <c r="C1627" s="37"/>
      <c r="D1627" s="37"/>
      <c r="E1627" s="15"/>
      <c r="F1627" s="37"/>
      <c r="G1627" s="13"/>
      <c r="H1627" s="15"/>
    </row>
    <row r="1628" spans="1:8" ht="21.95" customHeight="1" x14ac:dyDescent="0.15">
      <c r="A1628" s="17"/>
      <c r="B1628" s="37"/>
      <c r="C1628" s="37"/>
      <c r="D1628" s="37"/>
      <c r="E1628" s="15"/>
      <c r="F1628" s="37"/>
      <c r="G1628" s="13"/>
      <c r="H1628" s="15"/>
    </row>
    <row r="1629" spans="1:8" ht="21.95" customHeight="1" x14ac:dyDescent="0.15">
      <c r="A1629" s="17"/>
      <c r="B1629" s="37"/>
      <c r="C1629" s="37"/>
      <c r="D1629" s="37"/>
      <c r="E1629" s="15"/>
      <c r="F1629" s="37"/>
      <c r="G1629" s="13"/>
      <c r="H1629" s="15"/>
    </row>
    <row r="1630" spans="1:8" ht="21.95" customHeight="1" x14ac:dyDescent="0.15">
      <c r="A1630" s="17"/>
      <c r="B1630" s="37"/>
      <c r="C1630" s="37"/>
      <c r="D1630" s="37"/>
      <c r="E1630" s="15"/>
      <c r="F1630" s="37"/>
      <c r="G1630" s="13"/>
      <c r="H1630" s="15"/>
    </row>
    <row r="1631" spans="1:8" ht="21.95" customHeight="1" x14ac:dyDescent="0.15">
      <c r="A1631" s="17"/>
      <c r="B1631" s="37"/>
      <c r="C1631" s="37"/>
      <c r="D1631" s="37"/>
      <c r="E1631" s="15"/>
      <c r="F1631" s="37"/>
      <c r="G1631" s="13"/>
      <c r="H1631" s="15"/>
    </row>
    <row r="1632" spans="1:8" ht="21.95" customHeight="1" x14ac:dyDescent="0.15">
      <c r="A1632" s="17"/>
      <c r="B1632" s="37"/>
      <c r="C1632" s="37"/>
      <c r="D1632" s="37"/>
      <c r="E1632" s="15"/>
      <c r="F1632" s="37"/>
      <c r="G1632" s="13"/>
      <c r="H1632" s="15"/>
    </row>
    <row r="1633" spans="1:8" ht="21.95" customHeight="1" x14ac:dyDescent="0.15">
      <c r="A1633" s="17"/>
      <c r="B1633" s="37"/>
      <c r="C1633" s="37"/>
      <c r="D1633" s="37"/>
      <c r="E1633" s="15"/>
      <c r="F1633" s="37"/>
      <c r="G1633" s="13"/>
      <c r="H1633" s="15"/>
    </row>
    <row r="1634" spans="1:8" ht="21.95" customHeight="1" x14ac:dyDescent="0.15">
      <c r="A1634" s="17"/>
      <c r="B1634" s="37"/>
      <c r="C1634" s="37"/>
      <c r="D1634" s="37"/>
      <c r="E1634" s="15"/>
      <c r="F1634" s="37"/>
      <c r="G1634" s="13"/>
      <c r="H1634" s="15"/>
    </row>
    <row r="1635" spans="1:8" ht="21.95" customHeight="1" x14ac:dyDescent="0.15">
      <c r="A1635" s="17"/>
      <c r="B1635" s="37"/>
      <c r="C1635" s="37"/>
      <c r="D1635" s="37"/>
      <c r="E1635" s="15"/>
      <c r="F1635" s="37"/>
      <c r="G1635" s="13"/>
      <c r="H1635" s="15"/>
    </row>
    <row r="1636" spans="1:8" ht="21.95" customHeight="1" x14ac:dyDescent="0.15">
      <c r="A1636" s="17"/>
      <c r="B1636" s="37"/>
      <c r="C1636" s="37"/>
      <c r="D1636" s="37"/>
      <c r="E1636" s="15"/>
      <c r="F1636" s="37"/>
      <c r="G1636" s="13"/>
      <c r="H1636" s="15"/>
    </row>
    <row r="1637" spans="1:8" ht="21.95" customHeight="1" x14ac:dyDescent="0.15">
      <c r="A1637" s="17"/>
      <c r="B1637" s="37"/>
      <c r="C1637" s="37"/>
      <c r="D1637" s="37"/>
      <c r="E1637" s="15"/>
      <c r="F1637" s="37"/>
      <c r="G1637" s="13"/>
      <c r="H1637" s="15"/>
    </row>
    <row r="1638" spans="1:8" ht="21.95" customHeight="1" x14ac:dyDescent="0.15">
      <c r="A1638" s="17"/>
      <c r="B1638" s="37"/>
      <c r="C1638" s="37"/>
      <c r="D1638" s="37"/>
      <c r="E1638" s="15"/>
      <c r="F1638" s="37"/>
      <c r="G1638" s="13"/>
      <c r="H1638" s="15"/>
    </row>
    <row r="1639" spans="1:8" ht="21.95" customHeight="1" x14ac:dyDescent="0.15">
      <c r="A1639" s="17"/>
      <c r="B1639" s="37"/>
      <c r="C1639" s="37"/>
      <c r="D1639" s="37"/>
      <c r="E1639" s="15"/>
      <c r="F1639" s="37"/>
      <c r="G1639" s="13"/>
      <c r="H1639" s="15"/>
    </row>
    <row r="1640" spans="1:8" ht="21.95" customHeight="1" x14ac:dyDescent="0.15">
      <c r="A1640" s="17"/>
      <c r="B1640" s="37"/>
      <c r="C1640" s="37"/>
      <c r="D1640" s="37"/>
      <c r="E1640" s="15"/>
      <c r="F1640" s="37"/>
      <c r="G1640" s="13"/>
      <c r="H1640" s="15"/>
    </row>
    <row r="1641" spans="1:8" ht="21.95" customHeight="1" x14ac:dyDescent="0.15">
      <c r="A1641" s="17"/>
      <c r="B1641" s="37"/>
      <c r="C1641" s="37"/>
      <c r="D1641" s="37"/>
      <c r="E1641" s="15"/>
      <c r="F1641" s="37"/>
      <c r="G1641" s="13"/>
      <c r="H1641" s="15"/>
    </row>
    <row r="1642" spans="1:8" ht="21.95" customHeight="1" x14ac:dyDescent="0.15">
      <c r="A1642" s="17"/>
      <c r="B1642" s="37"/>
      <c r="C1642" s="37"/>
      <c r="D1642" s="37"/>
      <c r="E1642" s="15"/>
      <c r="F1642" s="37"/>
      <c r="G1642" s="37"/>
      <c r="H1642" s="15"/>
    </row>
    <row r="1643" spans="1:8" ht="21.95" customHeight="1" x14ac:dyDescent="0.15">
      <c r="A1643" s="17"/>
      <c r="B1643" s="37"/>
      <c r="C1643" s="37"/>
      <c r="D1643" s="37"/>
      <c r="E1643" s="15"/>
      <c r="F1643" s="37"/>
      <c r="G1643" s="13"/>
      <c r="H1643" s="15"/>
    </row>
    <row r="1644" spans="1:8" ht="21.95" customHeight="1" x14ac:dyDescent="0.15">
      <c r="A1644" s="17"/>
      <c r="B1644" s="37"/>
      <c r="C1644" s="37"/>
      <c r="D1644" s="37"/>
      <c r="E1644" s="15"/>
      <c r="F1644" s="37"/>
      <c r="G1644" s="13"/>
      <c r="H1644" s="15"/>
    </row>
    <row r="1645" spans="1:8" ht="21.95" customHeight="1" x14ac:dyDescent="0.15">
      <c r="A1645" s="17"/>
      <c r="B1645" s="37"/>
      <c r="C1645" s="37"/>
      <c r="D1645" s="37"/>
      <c r="E1645" s="15"/>
      <c r="F1645" s="37"/>
      <c r="G1645" s="13"/>
      <c r="H1645" s="15"/>
    </row>
    <row r="1646" spans="1:8" ht="21.95" customHeight="1" x14ac:dyDescent="0.15">
      <c r="A1646" s="17"/>
      <c r="B1646" s="37"/>
      <c r="C1646" s="37"/>
      <c r="D1646" s="37"/>
      <c r="E1646" s="15"/>
      <c r="F1646" s="37"/>
      <c r="G1646" s="13"/>
      <c r="H1646" s="15"/>
    </row>
    <row r="1647" spans="1:8" ht="21.95" customHeight="1" x14ac:dyDescent="0.15">
      <c r="A1647" s="17"/>
      <c r="B1647" s="37"/>
      <c r="C1647" s="37"/>
      <c r="D1647" s="37"/>
      <c r="E1647" s="15"/>
      <c r="F1647" s="37"/>
      <c r="G1647" s="13"/>
      <c r="H1647" s="15"/>
    </row>
    <row r="1648" spans="1:8" ht="21.95" customHeight="1" x14ac:dyDescent="0.15">
      <c r="A1648" s="17"/>
      <c r="B1648" s="37"/>
      <c r="C1648" s="37"/>
      <c r="D1648" s="37"/>
      <c r="E1648" s="15"/>
      <c r="F1648" s="37"/>
      <c r="G1648" s="13"/>
      <c r="H1648" s="15"/>
    </row>
    <row r="1649" spans="1:9" ht="21.95" customHeight="1" x14ac:dyDescent="0.15">
      <c r="A1649" s="17"/>
      <c r="B1649" s="37"/>
      <c r="C1649" s="37"/>
      <c r="D1649" s="37"/>
      <c r="E1649" s="15"/>
      <c r="F1649" s="37"/>
      <c r="G1649" s="13"/>
      <c r="H1649" s="15"/>
    </row>
    <row r="1650" spans="1:9" ht="21.95" customHeight="1" x14ac:dyDescent="0.15">
      <c r="A1650" s="17"/>
      <c r="B1650" s="37"/>
      <c r="C1650" s="37"/>
      <c r="D1650" s="37"/>
      <c r="E1650" s="15"/>
      <c r="F1650" s="37"/>
      <c r="G1650" s="13"/>
      <c r="H1650" s="15"/>
    </row>
    <row r="1651" spans="1:9" ht="21.95" customHeight="1" x14ac:dyDescent="0.15">
      <c r="A1651" s="17"/>
      <c r="B1651" s="37"/>
      <c r="C1651" s="37"/>
      <c r="D1651" s="37"/>
      <c r="E1651" s="15"/>
      <c r="F1651" s="37"/>
      <c r="G1651" s="13"/>
      <c r="H1651" s="15"/>
    </row>
    <row r="1652" spans="1:9" ht="21.95" customHeight="1" x14ac:dyDescent="0.15">
      <c r="A1652" s="17"/>
      <c r="B1652" s="37"/>
      <c r="C1652" s="37"/>
      <c r="D1652" s="37"/>
      <c r="E1652" s="15"/>
      <c r="F1652" s="37"/>
      <c r="G1652" s="13"/>
      <c r="H1652" s="15"/>
    </row>
    <row r="1653" spans="1:9" ht="21.95" customHeight="1" x14ac:dyDescent="0.15">
      <c r="A1653" s="17"/>
      <c r="B1653" s="37"/>
      <c r="C1653" s="37"/>
      <c r="D1653" s="37"/>
      <c r="E1653" s="15"/>
      <c r="F1653" s="37"/>
      <c r="G1653" s="13"/>
      <c r="H1653" s="15"/>
    </row>
    <row r="1654" spans="1:9" ht="21.95" customHeight="1" x14ac:dyDescent="0.15">
      <c r="A1654" s="17"/>
      <c r="B1654" s="37"/>
      <c r="C1654" s="37"/>
      <c r="D1654" s="37"/>
      <c r="E1654" s="15"/>
      <c r="F1654" s="37"/>
      <c r="G1654" s="13"/>
      <c r="H1654" s="15"/>
    </row>
    <row r="1655" spans="1:9" ht="21.95" customHeight="1" x14ac:dyDescent="0.15">
      <c r="A1655" s="17"/>
      <c r="B1655" s="37"/>
      <c r="C1655" s="37"/>
      <c r="D1655" s="37"/>
      <c r="E1655" s="15"/>
      <c r="F1655" s="37"/>
      <c r="G1655" s="13"/>
      <c r="H1655" s="38"/>
      <c r="I1655" s="84"/>
    </row>
    <row r="1656" spans="1:9" ht="21.95" customHeight="1" x14ac:dyDescent="0.15">
      <c r="A1656" s="17"/>
      <c r="B1656" s="37"/>
      <c r="C1656" s="37"/>
      <c r="D1656" s="37"/>
      <c r="E1656" s="15"/>
      <c r="F1656" s="37"/>
      <c r="G1656" s="13"/>
      <c r="H1656" s="15"/>
      <c r="I1656" s="84"/>
    </row>
    <row r="1657" spans="1:9" ht="35.1" customHeight="1" x14ac:dyDescent="0.15">
      <c r="A1657" s="17"/>
      <c r="B1657" s="37"/>
      <c r="C1657" s="37"/>
      <c r="D1657" s="37"/>
      <c r="E1657" s="15"/>
      <c r="F1657" s="15"/>
      <c r="G1657" s="37"/>
      <c r="H1657" s="15"/>
    </row>
    <row r="1658" spans="1:9" ht="21.95" customHeight="1" x14ac:dyDescent="0.15">
      <c r="A1658" s="17"/>
      <c r="B1658" s="37"/>
      <c r="C1658" s="37"/>
      <c r="D1658" s="37"/>
      <c r="E1658" s="15"/>
      <c r="F1658" s="37"/>
      <c r="G1658" s="13"/>
      <c r="H1658" s="15"/>
    </row>
    <row r="1659" spans="1:9" ht="21.95" customHeight="1" x14ac:dyDescent="0.15">
      <c r="A1659" s="17"/>
      <c r="B1659" s="37"/>
      <c r="C1659" s="37"/>
      <c r="D1659" s="37"/>
      <c r="E1659" s="15"/>
      <c r="F1659" s="37"/>
      <c r="G1659" s="13"/>
      <c r="H1659" s="15"/>
    </row>
    <row r="1660" spans="1:9" ht="21.95" customHeight="1" x14ac:dyDescent="0.15">
      <c r="A1660" s="17"/>
      <c r="B1660" s="37"/>
      <c r="C1660" s="37"/>
      <c r="D1660" s="37"/>
      <c r="E1660" s="15"/>
      <c r="F1660" s="37"/>
      <c r="G1660" s="13"/>
      <c r="H1660" s="15"/>
    </row>
    <row r="1661" spans="1:9" ht="21.95" customHeight="1" x14ac:dyDescent="0.15">
      <c r="A1661" s="17"/>
      <c r="B1661" s="37"/>
      <c r="C1661" s="37"/>
      <c r="D1661" s="37"/>
      <c r="E1661" s="15"/>
      <c r="F1661" s="37"/>
      <c r="G1661" s="13"/>
      <c r="H1661" s="15"/>
    </row>
    <row r="1662" spans="1:9" ht="21.95" customHeight="1" x14ac:dyDescent="0.15">
      <c r="A1662" s="17"/>
      <c r="B1662" s="37"/>
      <c r="C1662" s="37"/>
      <c r="D1662" s="37"/>
      <c r="E1662" s="15"/>
      <c r="F1662" s="37"/>
      <c r="G1662" s="13"/>
      <c r="H1662" s="15"/>
    </row>
    <row r="1663" spans="1:9" ht="21.95" customHeight="1" x14ac:dyDescent="0.15">
      <c r="A1663" s="17"/>
      <c r="B1663" s="37"/>
      <c r="C1663" s="37"/>
      <c r="D1663" s="37"/>
      <c r="E1663" s="15"/>
      <c r="F1663" s="37"/>
      <c r="G1663" s="13"/>
      <c r="H1663" s="15"/>
      <c r="I1663" s="37"/>
    </row>
    <row r="1664" spans="1:9" ht="21.95" customHeight="1" x14ac:dyDescent="0.15">
      <c r="A1664" s="17"/>
      <c r="B1664" s="37"/>
      <c r="C1664" s="37"/>
      <c r="D1664" s="37"/>
      <c r="E1664" s="15"/>
      <c r="F1664" s="37"/>
      <c r="G1664" s="37"/>
      <c r="H1664" s="15"/>
      <c r="I1664" s="37"/>
    </row>
    <row r="1665" spans="1:9" ht="21.95" customHeight="1" x14ac:dyDescent="0.15">
      <c r="A1665" s="17"/>
      <c r="B1665" s="37"/>
      <c r="C1665" s="37"/>
      <c r="D1665" s="37"/>
      <c r="E1665" s="15"/>
      <c r="F1665" s="37"/>
      <c r="G1665" s="37"/>
      <c r="H1665" s="38"/>
      <c r="I1665" s="37"/>
    </row>
    <row r="1666" spans="1:9" ht="21.95" customHeight="1" x14ac:dyDescent="0.15">
      <c r="A1666" s="17"/>
      <c r="B1666" s="37"/>
      <c r="C1666" s="37"/>
      <c r="D1666" s="37"/>
      <c r="E1666" s="15"/>
      <c r="F1666" s="37"/>
      <c r="G1666" s="37"/>
      <c r="H1666" s="38"/>
      <c r="I1666" s="37"/>
    </row>
    <row r="1667" spans="1:9" ht="21.95" customHeight="1" x14ac:dyDescent="0.15">
      <c r="A1667" s="17"/>
      <c r="B1667" s="37"/>
      <c r="C1667" s="37"/>
      <c r="D1667" s="37"/>
      <c r="E1667" s="15"/>
      <c r="F1667" s="37"/>
      <c r="G1667" s="13"/>
      <c r="H1667" s="15"/>
      <c r="I1667" s="37"/>
    </row>
    <row r="1668" spans="1:9" ht="21.95" customHeight="1" x14ac:dyDescent="0.15">
      <c r="A1668" s="17"/>
      <c r="B1668" s="37"/>
      <c r="C1668" s="37"/>
      <c r="D1668" s="37"/>
      <c r="E1668" s="15"/>
      <c r="F1668" s="37"/>
      <c r="G1668" s="13"/>
      <c r="H1668" s="15"/>
      <c r="I1668" s="37"/>
    </row>
    <row r="1669" spans="1:9" ht="21.95" customHeight="1" x14ac:dyDescent="0.15">
      <c r="A1669" s="17"/>
      <c r="B1669" s="37"/>
      <c r="C1669" s="37"/>
      <c r="D1669" s="37"/>
      <c r="E1669" s="15"/>
      <c r="F1669" s="37"/>
      <c r="G1669" s="13"/>
      <c r="H1669" s="15"/>
      <c r="I1669" s="37"/>
    </row>
    <row r="1670" spans="1:9" ht="21.95" customHeight="1" x14ac:dyDescent="0.15">
      <c r="A1670" s="17"/>
      <c r="B1670" s="37"/>
      <c r="C1670" s="37"/>
      <c r="E1670" s="15"/>
      <c r="F1670" s="37"/>
      <c r="H1670" s="38"/>
    </row>
    <row r="1671" spans="1:9" ht="21.95" customHeight="1" x14ac:dyDescent="0.15">
      <c r="A1671" s="17"/>
      <c r="B1671" s="37"/>
      <c r="C1671" s="37"/>
      <c r="E1671" s="15"/>
      <c r="F1671" s="37"/>
    </row>
    <row r="1672" spans="1:9" ht="21.95" customHeight="1" x14ac:dyDescent="0.15">
      <c r="A1672" s="17"/>
      <c r="B1672" s="37"/>
      <c r="C1672" s="37"/>
      <c r="E1672" s="15"/>
      <c r="G1672" s="77"/>
    </row>
    <row r="1673" spans="1:9" ht="21.95" customHeight="1" x14ac:dyDescent="0.15">
      <c r="A1673" s="17"/>
      <c r="B1673" s="37"/>
      <c r="C1673" s="37"/>
      <c r="D1673" s="37"/>
      <c r="E1673" s="15"/>
      <c r="F1673" s="37"/>
      <c r="G1673" s="37"/>
      <c r="H1673" s="15"/>
    </row>
    <row r="1674" spans="1:9" ht="21.95" customHeight="1" x14ac:dyDescent="0.15">
      <c r="A1674" s="17"/>
      <c r="B1674" s="37"/>
      <c r="C1674" s="37"/>
      <c r="D1674" s="37"/>
      <c r="E1674" s="15"/>
      <c r="F1674" s="37"/>
      <c r="G1674" s="13"/>
      <c r="H1674" s="15"/>
    </row>
    <row r="1675" spans="1:9" ht="21.95" customHeight="1" x14ac:dyDescent="0.15">
      <c r="A1675" s="17"/>
      <c r="B1675" s="37"/>
      <c r="C1675" s="37"/>
      <c r="D1675" s="37"/>
      <c r="E1675" s="15"/>
      <c r="F1675" s="37"/>
      <c r="G1675" s="13"/>
      <c r="H1675" s="15"/>
    </row>
    <row r="1676" spans="1:9" ht="21.95" customHeight="1" x14ac:dyDescent="0.15">
      <c r="A1676" s="17"/>
      <c r="C1676" s="37"/>
    </row>
    <row r="1677" spans="1:9" ht="21.95" customHeight="1" x14ac:dyDescent="0.15">
      <c r="A1677" s="17"/>
      <c r="B1677" s="37"/>
      <c r="C1677" s="37"/>
      <c r="D1677" s="13"/>
      <c r="E1677" s="15"/>
      <c r="F1677" s="37"/>
      <c r="G1677" s="13"/>
      <c r="H1677" s="15"/>
      <c r="I1677" s="13"/>
    </row>
    <row r="1678" spans="1:9" ht="21.95" customHeight="1" x14ac:dyDescent="0.15">
      <c r="A1678" s="17"/>
      <c r="B1678" s="13"/>
      <c r="C1678" s="13"/>
      <c r="D1678" s="13"/>
      <c r="E1678" s="15"/>
      <c r="F1678" s="37"/>
      <c r="G1678" s="13"/>
      <c r="H1678" s="15"/>
      <c r="I1678" s="13"/>
    </row>
    <row r="1679" spans="1:9" ht="21.95" customHeight="1" x14ac:dyDescent="0.15">
      <c r="A1679" s="17"/>
      <c r="B1679" s="13"/>
      <c r="C1679" s="13"/>
      <c r="D1679" s="13"/>
      <c r="E1679" s="15"/>
      <c r="F1679" s="37"/>
      <c r="G1679" s="13"/>
      <c r="H1679" s="15"/>
      <c r="I1679" s="13"/>
    </row>
    <row r="1680" spans="1:9" ht="21.95" customHeight="1" x14ac:dyDescent="0.15">
      <c r="A1680" s="17"/>
      <c r="B1680" s="13"/>
      <c r="C1680" s="13"/>
      <c r="D1680" s="13"/>
      <c r="E1680" s="15"/>
      <c r="F1680" s="37"/>
      <c r="G1680" s="13"/>
      <c r="H1680" s="15"/>
      <c r="I1680" s="13"/>
    </row>
    <row r="1681" spans="1:9" customFormat="1" ht="21.95" customHeight="1" x14ac:dyDescent="0.15">
      <c r="A1681" s="17"/>
      <c r="B1681" s="40"/>
      <c r="C1681" s="40"/>
      <c r="D1681" s="40"/>
      <c r="E1681" s="38"/>
      <c r="F1681" s="85"/>
      <c r="G1681" s="40"/>
      <c r="H1681" s="38"/>
      <c r="I1681" s="40"/>
    </row>
    <row r="1682" spans="1:9" customFormat="1" ht="21.95" customHeight="1" x14ac:dyDescent="0.15">
      <c r="A1682" s="17"/>
      <c r="B1682" s="37"/>
      <c r="C1682" s="37"/>
      <c r="D1682" s="40"/>
      <c r="E1682" s="15"/>
      <c r="F1682" s="85"/>
      <c r="G1682" s="42"/>
      <c r="H1682" s="38"/>
      <c r="I1682" s="56"/>
    </row>
    <row r="1683" spans="1:9" customFormat="1" ht="21.95" customHeight="1" x14ac:dyDescent="0.15">
      <c r="A1683" s="17"/>
      <c r="B1683" s="37"/>
      <c r="C1683" s="95"/>
      <c r="D1683" s="40"/>
      <c r="E1683" s="15"/>
      <c r="F1683" s="85"/>
      <c r="G1683" s="42"/>
      <c r="H1683" s="38"/>
      <c r="I1683" s="56"/>
    </row>
    <row r="1684" spans="1:9" customFormat="1" ht="21.95" customHeight="1" x14ac:dyDescent="0.15">
      <c r="A1684" s="17"/>
      <c r="B1684" s="37"/>
      <c r="C1684" s="95"/>
      <c r="D1684" s="40"/>
      <c r="E1684" s="15"/>
      <c r="F1684" s="85"/>
      <c r="G1684" s="17"/>
      <c r="H1684" s="38"/>
      <c r="I1684" s="56"/>
    </row>
    <row r="1685" spans="1:9" customFormat="1" ht="21.95" customHeight="1" x14ac:dyDescent="0.15">
      <c r="A1685" s="17"/>
      <c r="B1685" s="37"/>
      <c r="C1685" s="37"/>
      <c r="D1685" s="40"/>
      <c r="E1685" s="15"/>
      <c r="F1685" s="85"/>
      <c r="G1685" s="42"/>
      <c r="H1685" s="38"/>
      <c r="I1685" s="56"/>
    </row>
    <row r="1686" spans="1:9" customFormat="1" ht="21.95" customHeight="1" x14ac:dyDescent="0.15">
      <c r="A1686" s="17"/>
      <c r="B1686" s="37"/>
      <c r="C1686" s="37"/>
      <c r="D1686" s="40"/>
      <c r="E1686" s="15"/>
      <c r="F1686" s="85"/>
      <c r="G1686" s="17"/>
      <c r="H1686" s="38"/>
      <c r="I1686" s="56"/>
    </row>
    <row r="1687" spans="1:9" customFormat="1" ht="21.95" customHeight="1" x14ac:dyDescent="0.15">
      <c r="A1687" s="17"/>
      <c r="B1687" s="37"/>
      <c r="C1687" s="37"/>
      <c r="D1687" s="40"/>
      <c r="E1687" s="15"/>
      <c r="F1687" s="85"/>
      <c r="G1687" s="42"/>
      <c r="H1687" s="38"/>
      <c r="I1687" s="56"/>
    </row>
    <row r="1688" spans="1:9" customFormat="1" ht="21.95" customHeight="1" x14ac:dyDescent="0.15">
      <c r="A1688" s="17"/>
      <c r="B1688" s="37"/>
      <c r="C1688" s="37"/>
      <c r="D1688" s="40"/>
      <c r="E1688" s="15"/>
      <c r="F1688" s="85"/>
      <c r="G1688" s="17"/>
      <c r="H1688" s="38"/>
      <c r="I1688" s="56"/>
    </row>
    <row r="1689" spans="1:9" customFormat="1" ht="21.95" customHeight="1" x14ac:dyDescent="0.15">
      <c r="A1689" s="17"/>
      <c r="B1689" s="37"/>
      <c r="C1689" s="37"/>
      <c r="D1689" s="40"/>
      <c r="E1689" s="15"/>
      <c r="F1689" s="85"/>
      <c r="G1689" s="42"/>
      <c r="H1689" s="38"/>
      <c r="I1689" s="56"/>
    </row>
    <row r="1690" spans="1:9" customFormat="1" ht="21.95" customHeight="1" x14ac:dyDescent="0.15">
      <c r="A1690" s="17"/>
      <c r="B1690" s="37"/>
      <c r="C1690" s="37"/>
      <c r="D1690" s="40"/>
      <c r="E1690" s="15"/>
      <c r="F1690" s="85"/>
      <c r="G1690" s="17"/>
      <c r="H1690" s="38"/>
      <c r="I1690" s="56"/>
    </row>
    <row r="1691" spans="1:9" customFormat="1" ht="21.95" customHeight="1" x14ac:dyDescent="0.15">
      <c r="A1691" s="17"/>
      <c r="B1691" s="37"/>
      <c r="C1691" s="37"/>
      <c r="D1691" s="40"/>
      <c r="E1691" s="15"/>
      <c r="F1691" s="85"/>
      <c r="G1691" s="42"/>
      <c r="H1691" s="38"/>
      <c r="I1691" s="56"/>
    </row>
    <row r="1692" spans="1:9" ht="21.95" customHeight="1" x14ac:dyDescent="0.15">
      <c r="A1692" s="17"/>
      <c r="B1692" s="37"/>
      <c r="C1692" s="37"/>
      <c r="D1692" s="37"/>
      <c r="E1692" s="15"/>
      <c r="F1692" s="85"/>
      <c r="G1692" s="17"/>
      <c r="H1692" s="38"/>
    </row>
    <row r="1693" spans="1:9" ht="21.95" customHeight="1" x14ac:dyDescent="0.15">
      <c r="A1693" s="17"/>
      <c r="B1693" s="37"/>
      <c r="C1693" s="37"/>
      <c r="D1693" s="37"/>
      <c r="E1693" s="15"/>
      <c r="F1693" s="85"/>
      <c r="H1693" s="38"/>
    </row>
    <row r="1694" spans="1:9" ht="21.95" customHeight="1" x14ac:dyDescent="0.15">
      <c r="A1694" s="17"/>
      <c r="B1694" s="37"/>
      <c r="C1694" s="37"/>
      <c r="D1694" s="37"/>
      <c r="E1694" s="15"/>
      <c r="F1694" s="85"/>
      <c r="H1694" s="38"/>
    </row>
    <row r="1695" spans="1:9" ht="21.95" customHeight="1" x14ac:dyDescent="0.15">
      <c r="A1695" s="17"/>
      <c r="B1695" s="37"/>
      <c r="C1695" s="37"/>
      <c r="D1695" s="37"/>
      <c r="E1695" s="15"/>
      <c r="F1695" s="85"/>
      <c r="G1695" s="17"/>
      <c r="H1695" s="38"/>
    </row>
    <row r="1696" spans="1:9" customFormat="1" ht="21.95" customHeight="1" x14ac:dyDescent="0.15">
      <c r="A1696" s="17"/>
      <c r="B1696" s="37"/>
      <c r="C1696" s="37"/>
      <c r="D1696" s="37"/>
      <c r="E1696" s="15"/>
      <c r="F1696" s="85"/>
      <c r="G1696" s="17"/>
      <c r="H1696" s="38"/>
      <c r="I1696" s="42"/>
    </row>
    <row r="1697" spans="1:9" customFormat="1" ht="21.95" customHeight="1" x14ac:dyDescent="0.15">
      <c r="A1697" s="17"/>
      <c r="B1697" s="37"/>
      <c r="C1697" s="37"/>
      <c r="D1697" s="37"/>
      <c r="E1697" s="15"/>
      <c r="F1697" s="85"/>
      <c r="G1697" s="17"/>
      <c r="H1697" s="38"/>
      <c r="I1697" s="42"/>
    </row>
    <row r="1698" spans="1:9" customFormat="1" ht="21.95" customHeight="1" x14ac:dyDescent="0.15">
      <c r="A1698" s="17"/>
      <c r="B1698" s="37"/>
      <c r="C1698" s="37"/>
      <c r="D1698" s="37"/>
      <c r="E1698" s="15"/>
      <c r="F1698" s="85"/>
      <c r="G1698" s="17"/>
      <c r="H1698" s="38"/>
      <c r="I1698" s="42"/>
    </row>
    <row r="1699" spans="1:9" customFormat="1" ht="21.95" customHeight="1" x14ac:dyDescent="0.15">
      <c r="A1699" s="17"/>
      <c r="B1699" s="37"/>
      <c r="C1699" s="37"/>
      <c r="D1699" s="37"/>
      <c r="E1699" s="15"/>
      <c r="F1699" s="85"/>
      <c r="G1699" s="17"/>
      <c r="H1699" s="38"/>
      <c r="I1699" s="42"/>
    </row>
    <row r="1700" spans="1:9" customFormat="1" ht="21.95" customHeight="1" x14ac:dyDescent="0.15">
      <c r="A1700" s="17"/>
      <c r="B1700" s="37"/>
      <c r="C1700" s="37"/>
      <c r="D1700" s="37"/>
      <c r="E1700" s="15"/>
      <c r="F1700" s="85"/>
      <c r="G1700" s="17"/>
      <c r="H1700" s="38"/>
      <c r="I1700" s="42"/>
    </row>
    <row r="1701" spans="1:9" customFormat="1" ht="21.95" customHeight="1" x14ac:dyDescent="0.15">
      <c r="A1701" s="17"/>
      <c r="B1701" s="37"/>
      <c r="C1701" s="37"/>
      <c r="D1701" s="37"/>
      <c r="E1701" s="15"/>
      <c r="F1701" s="85"/>
      <c r="G1701" s="17"/>
      <c r="H1701" s="38"/>
      <c r="I1701" s="42"/>
    </row>
    <row r="1702" spans="1:9" customFormat="1" ht="21.95" customHeight="1" x14ac:dyDescent="0.15">
      <c r="A1702" s="17"/>
      <c r="B1702" s="37"/>
      <c r="C1702" s="37"/>
      <c r="D1702" s="37"/>
      <c r="E1702" s="15"/>
      <c r="F1702" s="85"/>
      <c r="G1702" s="17"/>
      <c r="H1702" s="38"/>
      <c r="I1702" s="42"/>
    </row>
    <row r="1703" spans="1:9" customFormat="1" ht="21.95" customHeight="1" x14ac:dyDescent="0.15">
      <c r="A1703" s="17"/>
      <c r="B1703" s="37"/>
      <c r="C1703" s="37"/>
      <c r="D1703" s="37"/>
      <c r="E1703" s="15"/>
      <c r="F1703" s="85"/>
      <c r="G1703" s="17"/>
      <c r="H1703" s="38"/>
      <c r="I1703" s="42"/>
    </row>
    <row r="1704" spans="1:9" customFormat="1" ht="21.95" customHeight="1" x14ac:dyDescent="0.15">
      <c r="A1704" s="17"/>
      <c r="B1704" s="37"/>
      <c r="C1704" s="37"/>
      <c r="D1704" s="37"/>
      <c r="E1704" s="15"/>
      <c r="F1704" s="85"/>
      <c r="G1704" s="17"/>
      <c r="H1704" s="38"/>
      <c r="I1704" s="42"/>
    </row>
    <row r="1705" spans="1:9" customFormat="1" ht="21.95" customHeight="1" x14ac:dyDescent="0.15">
      <c r="A1705" s="17"/>
      <c r="B1705" s="37"/>
      <c r="C1705" s="37"/>
      <c r="D1705" s="37"/>
      <c r="E1705" s="15"/>
      <c r="F1705" s="85"/>
      <c r="G1705" s="17"/>
      <c r="H1705" s="38"/>
      <c r="I1705" s="56"/>
    </row>
    <row r="1706" spans="1:9" customFormat="1" ht="21.95" customHeight="1" x14ac:dyDescent="0.15">
      <c r="A1706" s="17"/>
      <c r="B1706" s="37"/>
      <c r="C1706" s="37"/>
      <c r="D1706" s="37"/>
      <c r="E1706" s="15"/>
      <c r="F1706" s="85"/>
      <c r="G1706" s="17"/>
      <c r="H1706" s="38"/>
      <c r="I1706" s="56"/>
    </row>
    <row r="1707" spans="1:9" customFormat="1" ht="32.1" customHeight="1" x14ac:dyDescent="0.15">
      <c r="A1707" s="17"/>
      <c r="B1707" s="37"/>
      <c r="C1707" s="37"/>
      <c r="D1707" s="37"/>
      <c r="E1707" s="15"/>
      <c r="F1707" s="85"/>
      <c r="G1707" s="17"/>
      <c r="H1707" s="38"/>
      <c r="I1707" s="56"/>
    </row>
    <row r="1708" spans="1:9" customFormat="1" ht="32.1" customHeight="1" x14ac:dyDescent="0.15">
      <c r="A1708" s="17"/>
      <c r="B1708" s="37"/>
      <c r="C1708" s="37"/>
      <c r="D1708" s="37"/>
      <c r="E1708" s="15"/>
      <c r="F1708" s="85"/>
      <c r="G1708" s="17"/>
      <c r="H1708" s="38"/>
      <c r="I1708" s="56"/>
    </row>
    <row r="1709" spans="1:9" customFormat="1" ht="32.1" customHeight="1" x14ac:dyDescent="0.15">
      <c r="A1709" s="17"/>
      <c r="B1709" s="37"/>
      <c r="C1709" s="37"/>
      <c r="D1709" s="37"/>
      <c r="E1709" s="15"/>
      <c r="F1709" s="85"/>
      <c r="G1709" s="17"/>
      <c r="H1709" s="38"/>
      <c r="I1709" s="56"/>
    </row>
    <row r="1710" spans="1:9" customFormat="1" ht="32.1" customHeight="1" x14ac:dyDescent="0.15">
      <c r="A1710" s="17"/>
      <c r="B1710" s="37"/>
      <c r="C1710" s="37"/>
      <c r="D1710" s="37"/>
      <c r="E1710" s="15"/>
      <c r="F1710" s="85"/>
      <c r="G1710" s="17"/>
      <c r="H1710" s="38"/>
      <c r="I1710" s="56"/>
    </row>
    <row r="1711" spans="1:9" customFormat="1" ht="32.1" customHeight="1" x14ac:dyDescent="0.15">
      <c r="A1711" s="17"/>
      <c r="B1711" s="37"/>
      <c r="C1711" s="37"/>
      <c r="D1711" s="37"/>
      <c r="E1711" s="15"/>
      <c r="F1711" s="85"/>
      <c r="G1711" s="17"/>
      <c r="H1711" s="38"/>
      <c r="I1711" s="56"/>
    </row>
    <row r="1712" spans="1:9" customFormat="1" ht="32.1" customHeight="1" x14ac:dyDescent="0.15">
      <c r="A1712" s="17"/>
      <c r="B1712" s="37"/>
      <c r="C1712" s="37"/>
      <c r="D1712" s="37"/>
      <c r="E1712" s="15"/>
      <c r="F1712" s="85"/>
      <c r="G1712" s="17"/>
      <c r="H1712" s="38"/>
      <c r="I1712" s="56"/>
    </row>
    <row r="1713" spans="1:9" ht="32.1" customHeight="1" x14ac:dyDescent="0.15">
      <c r="A1713" s="17"/>
      <c r="B1713" s="37"/>
      <c r="C1713" s="37"/>
      <c r="D1713" s="37"/>
      <c r="E1713" s="15"/>
      <c r="F1713" s="85"/>
      <c r="G1713" s="17"/>
      <c r="H1713" s="38"/>
      <c r="I1713" s="37"/>
    </row>
    <row r="1714" spans="1:9" ht="32.1" customHeight="1" x14ac:dyDescent="0.15">
      <c r="A1714" s="17"/>
      <c r="B1714" s="37"/>
      <c r="C1714" s="37"/>
      <c r="D1714" s="37"/>
      <c r="E1714" s="15"/>
      <c r="F1714" s="37"/>
      <c r="G1714" s="17"/>
      <c r="H1714" s="38"/>
      <c r="I1714" s="37"/>
    </row>
    <row r="1715" spans="1:9" ht="32.1" customHeight="1" x14ac:dyDescent="0.15">
      <c r="A1715" s="17"/>
      <c r="B1715" s="37"/>
      <c r="C1715" s="37"/>
      <c r="D1715" s="37"/>
      <c r="E1715" s="15"/>
      <c r="F1715" s="37"/>
      <c r="G1715" s="17"/>
      <c r="H1715" s="38"/>
      <c r="I1715" s="37"/>
    </row>
    <row r="1716" spans="1:9" ht="32.1" customHeight="1" x14ac:dyDescent="0.15">
      <c r="A1716" s="17"/>
      <c r="B1716" s="37"/>
      <c r="C1716" s="37"/>
      <c r="D1716" s="37"/>
      <c r="E1716" s="15"/>
      <c r="F1716" s="37"/>
      <c r="G1716" s="17"/>
      <c r="H1716" s="38"/>
      <c r="I1716" s="37"/>
    </row>
    <row r="1717" spans="1:9" ht="21.95" customHeight="1" x14ac:dyDescent="0.15">
      <c r="A1717" s="17"/>
      <c r="B1717" s="37"/>
      <c r="C1717" s="37"/>
      <c r="D1717" s="37"/>
      <c r="E1717" s="15"/>
      <c r="F1717" s="37"/>
      <c r="G1717" s="17"/>
      <c r="H1717" s="38"/>
      <c r="I1717" s="37"/>
    </row>
    <row r="1718" spans="1:9" ht="54" customHeight="1" x14ac:dyDescent="0.15">
      <c r="A1718" s="17"/>
      <c r="B1718" s="37"/>
      <c r="C1718" s="37"/>
      <c r="D1718" s="37"/>
      <c r="E1718" s="15"/>
      <c r="F1718" s="37"/>
      <c r="G1718" s="17"/>
      <c r="H1718" s="38"/>
      <c r="I1718" s="37"/>
    </row>
    <row r="1719" spans="1:9" ht="21.95" customHeight="1" x14ac:dyDescent="0.15">
      <c r="A1719" s="17"/>
      <c r="B1719" s="37"/>
      <c r="C1719" s="37"/>
      <c r="D1719" s="37"/>
      <c r="E1719" s="15"/>
      <c r="F1719" s="37"/>
      <c r="G1719" s="17"/>
      <c r="H1719" s="38"/>
      <c r="I1719" s="37"/>
    </row>
    <row r="1720" spans="1:9" ht="21.95" customHeight="1" x14ac:dyDescent="0.15">
      <c r="A1720" s="17"/>
      <c r="B1720" s="37"/>
      <c r="C1720" s="37"/>
      <c r="D1720" s="37"/>
      <c r="E1720" s="15"/>
      <c r="F1720" s="37"/>
      <c r="G1720" s="17"/>
      <c r="H1720" s="38"/>
      <c r="I1720" s="37"/>
    </row>
    <row r="1721" spans="1:9" ht="21.95" customHeight="1" x14ac:dyDescent="0.15">
      <c r="A1721" s="17"/>
      <c r="B1721" s="37"/>
      <c r="C1721" s="37"/>
      <c r="D1721" s="37"/>
      <c r="E1721" s="15"/>
      <c r="F1721" s="37"/>
      <c r="G1721" s="17"/>
      <c r="H1721" s="38"/>
      <c r="I1721" s="37"/>
    </row>
    <row r="1722" spans="1:9" ht="21.95" customHeight="1" x14ac:dyDescent="0.15">
      <c r="A1722" s="17"/>
      <c r="B1722" s="37"/>
      <c r="C1722" s="37"/>
      <c r="D1722" s="37"/>
      <c r="E1722" s="15"/>
      <c r="F1722" s="37"/>
      <c r="G1722" s="17"/>
      <c r="H1722" s="38"/>
      <c r="I1722" s="37"/>
    </row>
    <row r="1723" spans="1:9" ht="21.95" customHeight="1" x14ac:dyDescent="0.15">
      <c r="A1723" s="17"/>
      <c r="B1723" s="37"/>
      <c r="C1723" s="37"/>
      <c r="E1723" s="15"/>
      <c r="G1723" s="17"/>
      <c r="H1723" s="38"/>
    </row>
    <row r="1724" spans="1:9" ht="21.95" customHeight="1" x14ac:dyDescent="0.15">
      <c r="A1724" s="17"/>
      <c r="B1724" s="37"/>
      <c r="C1724" s="37"/>
      <c r="E1724" s="15"/>
      <c r="G1724" s="17"/>
      <c r="H1724" s="38"/>
    </row>
    <row r="1725" spans="1:9" ht="21.95" customHeight="1" x14ac:dyDescent="0.15">
      <c r="A1725" s="17"/>
      <c r="B1725" s="37"/>
      <c r="C1725" s="37"/>
      <c r="E1725" s="15"/>
      <c r="F1725" s="37"/>
      <c r="G1725" s="13"/>
      <c r="H1725" s="38"/>
    </row>
    <row r="1726" spans="1:9" ht="21.95" customHeight="1" x14ac:dyDescent="0.15">
      <c r="A1726" s="17"/>
      <c r="B1726" s="37"/>
      <c r="C1726" s="37"/>
      <c r="E1726" s="15"/>
      <c r="F1726" s="37"/>
      <c r="G1726" s="13"/>
      <c r="H1726" s="38"/>
    </row>
    <row r="1727" spans="1:9" ht="21.95" customHeight="1" x14ac:dyDescent="0.15">
      <c r="A1727" s="17"/>
      <c r="B1727" s="37"/>
      <c r="C1727" s="37"/>
      <c r="D1727" s="37"/>
      <c r="E1727" s="15"/>
      <c r="F1727" s="37"/>
      <c r="G1727" s="13"/>
      <c r="H1727" s="38"/>
    </row>
    <row r="1728" spans="1:9" ht="21.95" customHeight="1" x14ac:dyDescent="0.15">
      <c r="A1728" s="17"/>
      <c r="B1728" s="37"/>
      <c r="C1728" s="37"/>
      <c r="D1728" s="37"/>
      <c r="E1728" s="15"/>
      <c r="F1728" s="37"/>
      <c r="G1728" s="13"/>
      <c r="H1728" s="38"/>
    </row>
    <row r="1729" spans="1:8" ht="21.95" customHeight="1" x14ac:dyDescent="0.15">
      <c r="A1729" s="17"/>
      <c r="B1729" s="37"/>
      <c r="C1729" s="37"/>
      <c r="D1729" s="37"/>
      <c r="E1729" s="15"/>
      <c r="F1729" s="37"/>
      <c r="G1729" s="13"/>
      <c r="H1729" s="38"/>
    </row>
    <row r="1730" spans="1:8" ht="21.95" customHeight="1" x14ac:dyDescent="0.15">
      <c r="A1730" s="17"/>
      <c r="B1730" s="37"/>
      <c r="C1730" s="37"/>
      <c r="D1730" s="37"/>
      <c r="E1730" s="15"/>
      <c r="F1730" s="37"/>
      <c r="G1730" s="13"/>
      <c r="H1730" s="38"/>
    </row>
    <row r="1731" spans="1:8" ht="21.95" customHeight="1" x14ac:dyDescent="0.15">
      <c r="A1731" s="17"/>
      <c r="B1731" s="37"/>
      <c r="C1731" s="37"/>
      <c r="D1731" s="37"/>
      <c r="E1731" s="15"/>
      <c r="F1731" s="37"/>
      <c r="G1731" s="13"/>
      <c r="H1731" s="38"/>
    </row>
    <row r="1732" spans="1:8" ht="21.95" customHeight="1" x14ac:dyDescent="0.15">
      <c r="A1732" s="17"/>
      <c r="B1732" s="37"/>
      <c r="C1732" s="37"/>
      <c r="D1732" s="37"/>
      <c r="E1732" s="15"/>
      <c r="F1732" s="37"/>
      <c r="G1732" s="13"/>
      <c r="H1732" s="38"/>
    </row>
    <row r="1733" spans="1:8" ht="21.95" customHeight="1" x14ac:dyDescent="0.15">
      <c r="A1733" s="17"/>
      <c r="B1733" s="37"/>
      <c r="C1733" s="37"/>
      <c r="D1733" s="37"/>
      <c r="E1733" s="15"/>
      <c r="F1733" s="37"/>
      <c r="G1733" s="13"/>
      <c r="H1733" s="38"/>
    </row>
    <row r="1734" spans="1:8" ht="21.95" customHeight="1" x14ac:dyDescent="0.15">
      <c r="A1734" s="17"/>
      <c r="B1734" s="37"/>
      <c r="C1734" s="37"/>
      <c r="D1734" s="37"/>
      <c r="E1734" s="15"/>
      <c r="F1734" s="37"/>
      <c r="G1734" s="13"/>
      <c r="H1734" s="38"/>
    </row>
    <row r="1735" spans="1:8" ht="21.95" customHeight="1" x14ac:dyDescent="0.15">
      <c r="A1735" s="17"/>
      <c r="B1735" s="37"/>
      <c r="C1735" s="37"/>
      <c r="D1735" s="37"/>
      <c r="E1735" s="15"/>
      <c r="F1735" s="37"/>
      <c r="G1735" s="13"/>
      <c r="H1735" s="38"/>
    </row>
    <row r="1736" spans="1:8" ht="21.95" customHeight="1" x14ac:dyDescent="0.15">
      <c r="A1736" s="17"/>
      <c r="B1736" s="37"/>
      <c r="C1736" s="37"/>
      <c r="D1736" s="37"/>
      <c r="E1736" s="15"/>
      <c r="F1736" s="37"/>
      <c r="G1736" s="13"/>
      <c r="H1736" s="15"/>
    </row>
    <row r="1737" spans="1:8" ht="21.95" customHeight="1" x14ac:dyDescent="0.15">
      <c r="A1737" s="17"/>
      <c r="B1737" s="37"/>
      <c r="C1737" s="37"/>
      <c r="D1737" s="37"/>
      <c r="E1737" s="15"/>
      <c r="F1737" s="37"/>
      <c r="G1737" s="13"/>
      <c r="H1737" s="15"/>
    </row>
    <row r="1738" spans="1:8" ht="21.95" customHeight="1" x14ac:dyDescent="0.15">
      <c r="A1738" s="17"/>
      <c r="B1738" s="37"/>
      <c r="C1738" s="37"/>
      <c r="D1738" s="37"/>
      <c r="E1738" s="15"/>
      <c r="F1738" s="37"/>
      <c r="G1738" s="13"/>
      <c r="H1738" s="15"/>
    </row>
    <row r="1739" spans="1:8" ht="21.95" customHeight="1" x14ac:dyDescent="0.15">
      <c r="A1739" s="17"/>
      <c r="B1739" s="37"/>
      <c r="C1739" s="37"/>
      <c r="D1739" s="37"/>
      <c r="E1739" s="15"/>
      <c r="F1739" s="37"/>
      <c r="G1739" s="13"/>
      <c r="H1739" s="15"/>
    </row>
    <row r="1740" spans="1:8" ht="21.95" customHeight="1" x14ac:dyDescent="0.15">
      <c r="A1740" s="17"/>
      <c r="B1740" s="37"/>
      <c r="C1740" s="37"/>
      <c r="D1740" s="37"/>
      <c r="E1740" s="15"/>
      <c r="F1740" s="37"/>
      <c r="G1740" s="13"/>
      <c r="H1740" s="15"/>
    </row>
    <row r="1741" spans="1:8" ht="21.95" customHeight="1" x14ac:dyDescent="0.15">
      <c r="A1741" s="17"/>
      <c r="B1741" s="37"/>
      <c r="C1741" s="37"/>
      <c r="D1741" s="37"/>
      <c r="E1741" s="15"/>
      <c r="F1741" s="37"/>
      <c r="G1741" s="13"/>
      <c r="H1741" s="15"/>
    </row>
    <row r="1742" spans="1:8" ht="21.95" customHeight="1" x14ac:dyDescent="0.15">
      <c r="A1742" s="17"/>
      <c r="B1742" s="37"/>
      <c r="C1742" s="37"/>
      <c r="D1742" s="37"/>
      <c r="E1742" s="15"/>
      <c r="F1742" s="37"/>
      <c r="G1742" s="13"/>
      <c r="H1742" s="15"/>
    </row>
    <row r="1743" spans="1:8" ht="21.95" customHeight="1" x14ac:dyDescent="0.15">
      <c r="A1743" s="17"/>
      <c r="B1743" s="37"/>
      <c r="C1743" s="37"/>
      <c r="D1743" s="37"/>
      <c r="E1743" s="15"/>
      <c r="F1743" s="37"/>
      <c r="G1743" s="13"/>
      <c r="H1743" s="15"/>
    </row>
    <row r="1744" spans="1:8" ht="21.95" customHeight="1" x14ac:dyDescent="0.15">
      <c r="A1744" s="17"/>
      <c r="B1744" s="37"/>
      <c r="C1744" s="37"/>
      <c r="D1744" s="37"/>
      <c r="E1744" s="15"/>
      <c r="F1744" s="37"/>
      <c r="G1744" s="13"/>
      <c r="H1744" s="15"/>
    </row>
    <row r="1745" spans="1:8" ht="21.95" customHeight="1" x14ac:dyDescent="0.15">
      <c r="A1745" s="17"/>
      <c r="B1745" s="37"/>
      <c r="C1745" s="37"/>
      <c r="D1745" s="37"/>
      <c r="E1745" s="15"/>
      <c r="F1745" s="37"/>
      <c r="G1745" s="13"/>
      <c r="H1745" s="15"/>
    </row>
    <row r="1746" spans="1:8" ht="21.95" customHeight="1" x14ac:dyDescent="0.15">
      <c r="A1746" s="17"/>
      <c r="B1746" s="37"/>
      <c r="C1746" s="37"/>
      <c r="D1746" s="37"/>
      <c r="E1746" s="15"/>
      <c r="F1746" s="37"/>
      <c r="G1746" s="13"/>
      <c r="H1746" s="15"/>
    </row>
    <row r="1747" spans="1:8" ht="21.95" customHeight="1" x14ac:dyDescent="0.15">
      <c r="A1747" s="17"/>
      <c r="B1747" s="37"/>
      <c r="C1747" s="37"/>
      <c r="D1747" s="37"/>
      <c r="E1747" s="15"/>
      <c r="F1747" s="37"/>
      <c r="G1747" s="13"/>
      <c r="H1747" s="15"/>
    </row>
    <row r="1748" spans="1:8" ht="21.95" customHeight="1" x14ac:dyDescent="0.15">
      <c r="A1748" s="17"/>
      <c r="B1748" s="37"/>
      <c r="C1748" s="37"/>
      <c r="D1748" s="37"/>
      <c r="E1748" s="15"/>
      <c r="F1748" s="37"/>
      <c r="G1748" s="13"/>
      <c r="H1748" s="15"/>
    </row>
    <row r="1749" spans="1:8" ht="21.95" customHeight="1" x14ac:dyDescent="0.15">
      <c r="A1749" s="17"/>
      <c r="B1749" s="37"/>
      <c r="C1749" s="37"/>
      <c r="D1749" s="37"/>
      <c r="E1749" s="15"/>
      <c r="F1749" s="37"/>
      <c r="G1749" s="13"/>
      <c r="H1749" s="15"/>
    </row>
    <row r="1750" spans="1:8" ht="21.95" customHeight="1" x14ac:dyDescent="0.15">
      <c r="A1750" s="17"/>
      <c r="B1750" s="37"/>
      <c r="C1750" s="37"/>
      <c r="D1750" s="37"/>
      <c r="E1750" s="15"/>
      <c r="F1750" s="37"/>
      <c r="G1750" s="13"/>
      <c r="H1750" s="15"/>
    </row>
    <row r="1751" spans="1:8" ht="21.95" customHeight="1" x14ac:dyDescent="0.15">
      <c r="A1751" s="17"/>
      <c r="B1751" s="37"/>
      <c r="C1751" s="37"/>
      <c r="D1751" s="37"/>
      <c r="E1751" s="15"/>
      <c r="F1751" s="37"/>
      <c r="G1751" s="13"/>
      <c r="H1751" s="15"/>
    </row>
    <row r="1752" spans="1:8" ht="21.95" customHeight="1" x14ac:dyDescent="0.15">
      <c r="A1752" s="17"/>
      <c r="B1752" s="37"/>
      <c r="C1752" s="37"/>
      <c r="D1752" s="37"/>
      <c r="E1752" s="15"/>
      <c r="F1752" s="37"/>
      <c r="G1752" s="13"/>
      <c r="H1752" s="15"/>
    </row>
    <row r="1753" spans="1:8" ht="21.95" customHeight="1" x14ac:dyDescent="0.15">
      <c r="A1753" s="17"/>
      <c r="B1753" s="37"/>
      <c r="C1753" s="37"/>
      <c r="D1753" s="37"/>
      <c r="E1753" s="15"/>
      <c r="F1753" s="37"/>
      <c r="G1753" s="13"/>
      <c r="H1753" s="15"/>
    </row>
    <row r="1754" spans="1:8" ht="21.95" customHeight="1" x14ac:dyDescent="0.15">
      <c r="A1754" s="17"/>
      <c r="B1754" s="37"/>
      <c r="C1754" s="37"/>
      <c r="D1754" s="37"/>
      <c r="E1754" s="15"/>
      <c r="F1754" s="37"/>
      <c r="G1754" s="37"/>
      <c r="H1754" s="15"/>
    </row>
    <row r="1755" spans="1:8" ht="21.95" customHeight="1" x14ac:dyDescent="0.15">
      <c r="A1755" s="17"/>
      <c r="B1755" s="37"/>
      <c r="C1755" s="37"/>
      <c r="D1755" s="37"/>
      <c r="E1755" s="15"/>
      <c r="F1755" s="37"/>
      <c r="G1755" s="13"/>
      <c r="H1755" s="15"/>
    </row>
    <row r="1756" spans="1:8" ht="21.95" customHeight="1" x14ac:dyDescent="0.15">
      <c r="A1756" s="17"/>
      <c r="B1756" s="37"/>
      <c r="C1756" s="37"/>
      <c r="D1756" s="37"/>
      <c r="E1756" s="15"/>
      <c r="F1756" s="37"/>
      <c r="G1756" s="13"/>
      <c r="H1756" s="15"/>
    </row>
    <row r="1757" spans="1:8" ht="21.95" customHeight="1" x14ac:dyDescent="0.15">
      <c r="A1757" s="17"/>
      <c r="B1757" s="37"/>
      <c r="C1757" s="37"/>
      <c r="D1757" s="37"/>
      <c r="E1757" s="15"/>
      <c r="F1757" s="37"/>
      <c r="G1757" s="13"/>
      <c r="H1757" s="15"/>
    </row>
    <row r="1758" spans="1:8" ht="21.95" customHeight="1" x14ac:dyDescent="0.15">
      <c r="A1758" s="17"/>
      <c r="B1758" s="37"/>
      <c r="C1758" s="37"/>
      <c r="D1758" s="37"/>
      <c r="E1758" s="15"/>
      <c r="F1758" s="37"/>
      <c r="G1758" s="13"/>
      <c r="H1758" s="15"/>
    </row>
    <row r="1759" spans="1:8" ht="21.95" customHeight="1" x14ac:dyDescent="0.15">
      <c r="A1759" s="17"/>
      <c r="B1759" s="37"/>
      <c r="C1759" s="37"/>
      <c r="D1759" s="37"/>
      <c r="E1759" s="15"/>
      <c r="F1759" s="37"/>
      <c r="G1759" s="13"/>
      <c r="H1759" s="15"/>
    </row>
    <row r="1760" spans="1:8" ht="21.95" customHeight="1" x14ac:dyDescent="0.15">
      <c r="A1760" s="17"/>
      <c r="B1760" s="37"/>
      <c r="C1760" s="37"/>
      <c r="D1760" s="37"/>
      <c r="E1760" s="15"/>
      <c r="F1760" s="37"/>
      <c r="G1760" s="13"/>
      <c r="H1760" s="15"/>
    </row>
    <row r="1761" spans="1:9" ht="21.95" customHeight="1" x14ac:dyDescent="0.15">
      <c r="A1761" s="17"/>
      <c r="B1761" s="37"/>
      <c r="C1761" s="37"/>
      <c r="D1761" s="37"/>
      <c r="E1761" s="15"/>
      <c r="F1761" s="37"/>
      <c r="G1761" s="13"/>
      <c r="H1761" s="15"/>
    </row>
    <row r="1762" spans="1:9" ht="21.95" customHeight="1" x14ac:dyDescent="0.15">
      <c r="A1762" s="17"/>
      <c r="B1762" s="37"/>
      <c r="C1762" s="37"/>
      <c r="D1762" s="37"/>
      <c r="E1762" s="15"/>
      <c r="F1762" s="37"/>
      <c r="G1762" s="13"/>
      <c r="H1762" s="15"/>
    </row>
    <row r="1763" spans="1:9" ht="21.95" customHeight="1" x14ac:dyDescent="0.15">
      <c r="A1763" s="17"/>
      <c r="B1763" s="37"/>
      <c r="C1763" s="37"/>
      <c r="D1763" s="37"/>
      <c r="E1763" s="15"/>
      <c r="F1763" s="37"/>
      <c r="G1763" s="13"/>
      <c r="H1763" s="15"/>
    </row>
    <row r="1764" spans="1:9" ht="21.95" customHeight="1" x14ac:dyDescent="0.15">
      <c r="A1764" s="17"/>
      <c r="B1764" s="37"/>
      <c r="C1764" s="37"/>
      <c r="D1764" s="37"/>
      <c r="E1764" s="15"/>
      <c r="F1764" s="37"/>
      <c r="G1764" s="13"/>
      <c r="H1764" s="15"/>
    </row>
    <row r="1765" spans="1:9" ht="21.95" customHeight="1" x14ac:dyDescent="0.15">
      <c r="A1765" s="17"/>
      <c r="B1765" s="37"/>
      <c r="C1765" s="37"/>
      <c r="D1765" s="37"/>
      <c r="E1765" s="15"/>
      <c r="F1765" s="37"/>
      <c r="G1765" s="13"/>
      <c r="H1765" s="15"/>
    </row>
    <row r="1766" spans="1:9" ht="21.95" customHeight="1" x14ac:dyDescent="0.15">
      <c r="A1766" s="17"/>
      <c r="B1766" s="37"/>
      <c r="C1766" s="37"/>
      <c r="D1766" s="37"/>
      <c r="E1766" s="15"/>
      <c r="F1766" s="37"/>
      <c r="G1766" s="13"/>
      <c r="H1766" s="15"/>
    </row>
    <row r="1767" spans="1:9" ht="21.95" customHeight="1" x14ac:dyDescent="0.15">
      <c r="A1767" s="17"/>
      <c r="B1767" s="37"/>
      <c r="C1767" s="37"/>
      <c r="D1767" s="37"/>
      <c r="E1767" s="15"/>
      <c r="F1767" s="37"/>
      <c r="G1767" s="13"/>
      <c r="H1767" s="38"/>
      <c r="I1767" s="84"/>
    </row>
    <row r="1768" spans="1:9" ht="21.95" customHeight="1" x14ac:dyDescent="0.15">
      <c r="A1768" s="17"/>
      <c r="B1768" s="37"/>
      <c r="C1768" s="37"/>
      <c r="D1768" s="37"/>
      <c r="E1768" s="15"/>
      <c r="F1768" s="37"/>
      <c r="G1768" s="13"/>
      <c r="H1768" s="15"/>
      <c r="I1768" s="84"/>
    </row>
    <row r="1769" spans="1:9" ht="35.1" customHeight="1" x14ac:dyDescent="0.15">
      <c r="A1769" s="17"/>
      <c r="B1769" s="37"/>
      <c r="C1769" s="37"/>
      <c r="D1769" s="37"/>
      <c r="E1769" s="15"/>
      <c r="F1769" s="15"/>
      <c r="G1769" s="37"/>
      <c r="H1769" s="15"/>
    </row>
    <row r="1770" spans="1:9" ht="21.95" customHeight="1" x14ac:dyDescent="0.15">
      <c r="A1770" s="17"/>
      <c r="B1770" s="37"/>
      <c r="C1770" s="37"/>
      <c r="D1770" s="37"/>
      <c r="E1770" s="15"/>
      <c r="F1770" s="37"/>
      <c r="G1770" s="13"/>
      <c r="H1770" s="15"/>
    </row>
    <row r="1771" spans="1:9" ht="21.95" customHeight="1" x14ac:dyDescent="0.15">
      <c r="A1771" s="17"/>
      <c r="B1771" s="37"/>
      <c r="C1771" s="37"/>
      <c r="D1771" s="37"/>
      <c r="E1771" s="15"/>
      <c r="F1771" s="37"/>
      <c r="G1771" s="13"/>
      <c r="H1771" s="15"/>
    </row>
    <row r="1772" spans="1:9" ht="21.95" customHeight="1" x14ac:dyDescent="0.15">
      <c r="A1772" s="17"/>
      <c r="B1772" s="37"/>
      <c r="C1772" s="37"/>
      <c r="D1772" s="37"/>
      <c r="E1772" s="15"/>
      <c r="F1772" s="37"/>
      <c r="G1772" s="13"/>
      <c r="H1772" s="15"/>
    </row>
    <row r="1773" spans="1:9" ht="21.95" customHeight="1" x14ac:dyDescent="0.15">
      <c r="A1773" s="17"/>
      <c r="B1773" s="37"/>
      <c r="C1773" s="37"/>
      <c r="D1773" s="37"/>
      <c r="E1773" s="15"/>
      <c r="F1773" s="37"/>
      <c r="G1773" s="13"/>
      <c r="H1773" s="15"/>
    </row>
    <row r="1774" spans="1:9" ht="21.95" customHeight="1" x14ac:dyDescent="0.15">
      <c r="A1774" s="17"/>
      <c r="B1774" s="37"/>
      <c r="C1774" s="37"/>
      <c r="D1774" s="37"/>
      <c r="E1774" s="15"/>
      <c r="F1774" s="37"/>
      <c r="G1774" s="13"/>
      <c r="H1774" s="15"/>
    </row>
    <row r="1775" spans="1:9" ht="21.95" customHeight="1" x14ac:dyDescent="0.15">
      <c r="A1775" s="17"/>
      <c r="B1775" s="37"/>
      <c r="C1775" s="37"/>
      <c r="D1775" s="37"/>
      <c r="E1775" s="15"/>
      <c r="F1775" s="37"/>
      <c r="G1775" s="13"/>
      <c r="H1775" s="15"/>
      <c r="I1775" s="37"/>
    </row>
    <row r="1776" spans="1:9" ht="21.95" customHeight="1" x14ac:dyDescent="0.15">
      <c r="A1776" s="17"/>
      <c r="B1776" s="37"/>
      <c r="C1776" s="37"/>
      <c r="D1776" s="37"/>
      <c r="E1776" s="15"/>
      <c r="F1776" s="37"/>
      <c r="G1776" s="37"/>
      <c r="H1776" s="15"/>
      <c r="I1776" s="37"/>
    </row>
    <row r="1777" spans="1:9" ht="21.95" customHeight="1" x14ac:dyDescent="0.15">
      <c r="A1777" s="17"/>
      <c r="B1777" s="37"/>
      <c r="C1777" s="37"/>
      <c r="D1777" s="37"/>
      <c r="E1777" s="15"/>
      <c r="F1777" s="37"/>
      <c r="G1777" s="37"/>
      <c r="H1777" s="38"/>
      <c r="I1777" s="37"/>
    </row>
    <row r="1778" spans="1:9" ht="21.95" customHeight="1" x14ac:dyDescent="0.15">
      <c r="A1778" s="17"/>
      <c r="B1778" s="37"/>
      <c r="C1778" s="37"/>
      <c r="D1778" s="37"/>
      <c r="E1778" s="15"/>
      <c r="F1778" s="37"/>
      <c r="G1778" s="37"/>
      <c r="H1778" s="38"/>
      <c r="I1778" s="37"/>
    </row>
    <row r="1779" spans="1:9" ht="21.95" customHeight="1" x14ac:dyDescent="0.15">
      <c r="A1779" s="17"/>
      <c r="B1779" s="37"/>
      <c r="C1779" s="37"/>
      <c r="D1779" s="37"/>
      <c r="E1779" s="15"/>
      <c r="F1779" s="37"/>
      <c r="G1779" s="13"/>
      <c r="H1779" s="15"/>
      <c r="I1779" s="37"/>
    </row>
    <row r="1780" spans="1:9" ht="21.95" customHeight="1" x14ac:dyDescent="0.15">
      <c r="A1780" s="17"/>
      <c r="B1780" s="37"/>
      <c r="C1780" s="37"/>
      <c r="D1780" s="37"/>
      <c r="E1780" s="15"/>
      <c r="F1780" s="37"/>
      <c r="G1780" s="13"/>
      <c r="H1780" s="15"/>
      <c r="I1780" s="37"/>
    </row>
    <row r="1781" spans="1:9" ht="21.95" customHeight="1" x14ac:dyDescent="0.15">
      <c r="A1781" s="17"/>
      <c r="B1781" s="37"/>
      <c r="C1781" s="37"/>
      <c r="D1781" s="37"/>
      <c r="E1781" s="15"/>
      <c r="F1781" s="37"/>
      <c r="G1781" s="13"/>
      <c r="H1781" s="15"/>
      <c r="I1781" s="37"/>
    </row>
    <row r="1782" spans="1:9" ht="21.95" customHeight="1" x14ac:dyDescent="0.15">
      <c r="A1782" s="17"/>
      <c r="B1782" s="37"/>
      <c r="C1782" s="37"/>
      <c r="E1782" s="15"/>
      <c r="F1782" s="37"/>
      <c r="H1782" s="38"/>
    </row>
    <row r="1783" spans="1:9" ht="21.95" customHeight="1" x14ac:dyDescent="0.15">
      <c r="A1783" s="17"/>
      <c r="B1783" s="37"/>
      <c r="C1783" s="37"/>
      <c r="E1783" s="15"/>
      <c r="F1783" s="37"/>
    </row>
    <row r="1784" spans="1:9" ht="21.95" customHeight="1" x14ac:dyDescent="0.15">
      <c r="A1784" s="17"/>
      <c r="B1784" s="37"/>
      <c r="C1784" s="37"/>
      <c r="E1784" s="15"/>
      <c r="G1784" s="77"/>
    </row>
    <row r="1785" spans="1:9" ht="21.95" customHeight="1" x14ac:dyDescent="0.15">
      <c r="A1785" s="17"/>
      <c r="B1785" s="37"/>
      <c r="C1785" s="37"/>
      <c r="D1785" s="37"/>
      <c r="E1785" s="15"/>
      <c r="F1785" s="37"/>
      <c r="G1785" s="37"/>
      <c r="H1785" s="15"/>
    </row>
    <row r="1786" spans="1:9" ht="21.95" customHeight="1" x14ac:dyDescent="0.15">
      <c r="A1786" s="17"/>
      <c r="B1786" s="37"/>
      <c r="C1786" s="37"/>
      <c r="D1786" s="37"/>
      <c r="E1786" s="15"/>
      <c r="F1786" s="37"/>
      <c r="G1786" s="13"/>
      <c r="H1786" s="15"/>
    </row>
    <row r="1787" spans="1:9" ht="21.95" customHeight="1" x14ac:dyDescent="0.15">
      <c r="A1787" s="17"/>
      <c r="B1787" s="37"/>
      <c r="C1787" s="37"/>
      <c r="D1787" s="37"/>
      <c r="E1787" s="15"/>
      <c r="F1787" s="37"/>
      <c r="G1787" s="13"/>
      <c r="H1787" s="15"/>
    </row>
    <row r="1788" spans="1:9" ht="21.95" customHeight="1" x14ac:dyDescent="0.15">
      <c r="A1788" s="17"/>
      <c r="C1788" s="37"/>
    </row>
    <row r="1789" spans="1:9" ht="21.95" customHeight="1" x14ac:dyDescent="0.15">
      <c r="A1789" s="17"/>
      <c r="B1789" s="37"/>
      <c r="C1789" s="37"/>
      <c r="D1789" s="13"/>
      <c r="E1789" s="15"/>
      <c r="F1789" s="37"/>
      <c r="G1789" s="13"/>
      <c r="H1789" s="15"/>
      <c r="I1789" s="13"/>
    </row>
    <row r="1790" spans="1:9" ht="21.95" customHeight="1" x14ac:dyDescent="0.15">
      <c r="A1790" s="17"/>
      <c r="B1790" s="13"/>
      <c r="C1790" s="13"/>
      <c r="D1790" s="13"/>
      <c r="E1790" s="15"/>
      <c r="F1790" s="37"/>
      <c r="G1790" s="13"/>
      <c r="H1790" s="15"/>
      <c r="I1790" s="13"/>
    </row>
    <row r="1791" spans="1:9" ht="21.95" customHeight="1" x14ac:dyDescent="0.15">
      <c r="A1791" s="17"/>
      <c r="B1791" s="13"/>
      <c r="C1791" s="13"/>
      <c r="D1791" s="13"/>
      <c r="E1791" s="15"/>
      <c r="F1791" s="37"/>
      <c r="G1791" s="13"/>
      <c r="H1791" s="15"/>
      <c r="I1791" s="13"/>
    </row>
    <row r="1792" spans="1:9" ht="21.95" customHeight="1" x14ac:dyDescent="0.15">
      <c r="A1792" s="17"/>
      <c r="B1792" s="13"/>
      <c r="C1792" s="13"/>
      <c r="D1792" s="13"/>
      <c r="E1792" s="15"/>
      <c r="F1792" s="37"/>
      <c r="G1792" s="13"/>
      <c r="H1792" s="15"/>
      <c r="I1792" s="13"/>
    </row>
    <row r="1793" spans="1:9" customFormat="1" ht="21.95" customHeight="1" x14ac:dyDescent="0.15">
      <c r="A1793" s="17"/>
      <c r="B1793" s="40"/>
      <c r="C1793" s="40"/>
      <c r="D1793" s="40"/>
      <c r="E1793" s="38"/>
      <c r="F1793" s="85"/>
      <c r="G1793" s="40"/>
      <c r="H1793" s="38"/>
      <c r="I1793" s="40"/>
    </row>
    <row r="1794" spans="1:9" customFormat="1" ht="21.95" customHeight="1" x14ac:dyDescent="0.15">
      <c r="A1794" s="17"/>
      <c r="B1794" s="37"/>
      <c r="C1794" s="37"/>
      <c r="D1794" s="40"/>
      <c r="E1794" s="15"/>
      <c r="F1794" s="85"/>
      <c r="G1794" s="42"/>
      <c r="H1794" s="38"/>
      <c r="I1794" s="56"/>
    </row>
    <row r="1795" spans="1:9" customFormat="1" ht="21.95" customHeight="1" x14ac:dyDescent="0.15">
      <c r="A1795" s="17"/>
      <c r="B1795" s="37"/>
      <c r="C1795" s="95"/>
      <c r="D1795" s="40"/>
      <c r="E1795" s="15"/>
      <c r="F1795" s="85"/>
      <c r="G1795" s="42"/>
      <c r="H1795" s="38"/>
      <c r="I1795" s="56"/>
    </row>
    <row r="1796" spans="1:9" customFormat="1" ht="21.95" customHeight="1" x14ac:dyDescent="0.15">
      <c r="A1796" s="17"/>
      <c r="B1796" s="37"/>
      <c r="C1796" s="95"/>
      <c r="D1796" s="40"/>
      <c r="E1796" s="15"/>
      <c r="F1796" s="85"/>
      <c r="G1796" s="17"/>
      <c r="H1796" s="38"/>
      <c r="I1796" s="56"/>
    </row>
    <row r="1797" spans="1:9" customFormat="1" ht="21.95" customHeight="1" x14ac:dyDescent="0.15">
      <c r="A1797" s="17"/>
      <c r="B1797" s="37"/>
      <c r="C1797" s="37"/>
      <c r="D1797" s="40"/>
      <c r="E1797" s="15"/>
      <c r="F1797" s="85"/>
      <c r="G1797" s="42"/>
      <c r="H1797" s="38"/>
      <c r="I1797" s="56"/>
    </row>
    <row r="1798" spans="1:9" customFormat="1" ht="21.95" customHeight="1" x14ac:dyDescent="0.15">
      <c r="A1798" s="17"/>
      <c r="B1798" s="37"/>
      <c r="C1798" s="37"/>
      <c r="D1798" s="40"/>
      <c r="E1798" s="15"/>
      <c r="F1798" s="85"/>
      <c r="G1798" s="17"/>
      <c r="H1798" s="38"/>
      <c r="I1798" s="56"/>
    </row>
    <row r="1799" spans="1:9" customFormat="1" ht="21.95" customHeight="1" x14ac:dyDescent="0.15">
      <c r="A1799" s="17"/>
      <c r="B1799" s="37"/>
      <c r="C1799" s="37"/>
      <c r="D1799" s="40"/>
      <c r="E1799" s="15"/>
      <c r="F1799" s="85"/>
      <c r="G1799" s="42"/>
      <c r="H1799" s="38"/>
      <c r="I1799" s="56"/>
    </row>
    <row r="1800" spans="1:9" customFormat="1" ht="21.95" customHeight="1" x14ac:dyDescent="0.15">
      <c r="A1800" s="17"/>
      <c r="B1800" s="37"/>
      <c r="C1800" s="37"/>
      <c r="D1800" s="40"/>
      <c r="E1800" s="15"/>
      <c r="F1800" s="85"/>
      <c r="G1800" s="17"/>
      <c r="H1800" s="38"/>
      <c r="I1800" s="56"/>
    </row>
    <row r="1801" spans="1:9" customFormat="1" ht="21.95" customHeight="1" x14ac:dyDescent="0.15">
      <c r="A1801" s="17"/>
      <c r="B1801" s="37"/>
      <c r="C1801" s="37"/>
      <c r="D1801" s="40"/>
      <c r="E1801" s="15"/>
      <c r="F1801" s="85"/>
      <c r="G1801" s="42"/>
      <c r="H1801" s="38"/>
      <c r="I1801" s="56"/>
    </row>
    <row r="1802" spans="1:9" customFormat="1" ht="21.95" customHeight="1" x14ac:dyDescent="0.15">
      <c r="A1802" s="17"/>
      <c r="B1802" s="37"/>
      <c r="C1802" s="37"/>
      <c r="D1802" s="40"/>
      <c r="E1802" s="15"/>
      <c r="F1802" s="85"/>
      <c r="G1802" s="17"/>
      <c r="H1802" s="38"/>
      <c r="I1802" s="56"/>
    </row>
    <row r="1803" spans="1:9" customFormat="1" ht="21.95" customHeight="1" x14ac:dyDescent="0.15">
      <c r="A1803" s="17"/>
      <c r="B1803" s="37"/>
      <c r="C1803" s="37"/>
      <c r="D1803" s="40"/>
      <c r="E1803" s="15"/>
      <c r="F1803" s="85"/>
      <c r="G1803" s="42"/>
      <c r="H1803" s="38"/>
      <c r="I1803" s="56"/>
    </row>
    <row r="1804" spans="1:9" ht="21.95" customHeight="1" x14ac:dyDescent="0.15">
      <c r="A1804" s="17"/>
      <c r="B1804" s="37"/>
      <c r="C1804" s="37"/>
      <c r="D1804" s="37"/>
      <c r="E1804" s="15"/>
      <c r="F1804" s="85"/>
      <c r="G1804" s="17"/>
      <c r="H1804" s="38"/>
    </row>
    <row r="1805" spans="1:9" ht="21.95" customHeight="1" x14ac:dyDescent="0.15">
      <c r="A1805" s="17"/>
      <c r="B1805" s="37"/>
      <c r="C1805" s="37"/>
      <c r="D1805" s="37"/>
      <c r="E1805" s="15"/>
      <c r="F1805" s="85"/>
      <c r="H1805" s="38"/>
    </row>
    <row r="1806" spans="1:9" ht="21.95" customHeight="1" x14ac:dyDescent="0.15">
      <c r="A1806" s="17"/>
      <c r="B1806" s="37"/>
      <c r="C1806" s="37"/>
      <c r="D1806" s="37"/>
      <c r="E1806" s="15"/>
      <c r="F1806" s="85"/>
      <c r="H1806" s="38"/>
    </row>
    <row r="1807" spans="1:9" ht="21.95" customHeight="1" x14ac:dyDescent="0.15">
      <c r="A1807" s="17"/>
      <c r="B1807" s="37"/>
      <c r="C1807" s="37"/>
      <c r="D1807" s="37"/>
      <c r="E1807" s="15"/>
      <c r="F1807" s="85"/>
      <c r="G1807" s="17"/>
      <c r="H1807" s="38"/>
    </row>
    <row r="1808" spans="1:9" customFormat="1" ht="21.95" customHeight="1" x14ac:dyDescent="0.15">
      <c r="A1808" s="17"/>
      <c r="B1808" s="37"/>
      <c r="C1808" s="37"/>
      <c r="D1808" s="37"/>
      <c r="E1808" s="15"/>
      <c r="F1808" s="85"/>
      <c r="G1808" s="17"/>
      <c r="H1808" s="38"/>
      <c r="I1808" s="42"/>
    </row>
    <row r="1809" spans="1:9" customFormat="1" ht="21.95" customHeight="1" x14ac:dyDescent="0.15">
      <c r="A1809" s="17"/>
      <c r="B1809" s="37"/>
      <c r="C1809" s="37"/>
      <c r="D1809" s="37"/>
      <c r="E1809" s="15"/>
      <c r="F1809" s="85"/>
      <c r="G1809" s="17"/>
      <c r="H1809" s="38"/>
      <c r="I1809" s="42"/>
    </row>
    <row r="1810" spans="1:9" customFormat="1" ht="21.95" customHeight="1" x14ac:dyDescent="0.15">
      <c r="A1810" s="17"/>
      <c r="B1810" s="37"/>
      <c r="C1810" s="37"/>
      <c r="D1810" s="37"/>
      <c r="E1810" s="15"/>
      <c r="F1810" s="85"/>
      <c r="G1810" s="17"/>
      <c r="H1810" s="38"/>
      <c r="I1810" s="42"/>
    </row>
    <row r="1811" spans="1:9" customFormat="1" ht="21.95" customHeight="1" x14ac:dyDescent="0.15">
      <c r="A1811" s="17"/>
      <c r="B1811" s="37"/>
      <c r="C1811" s="37"/>
      <c r="D1811" s="37"/>
      <c r="E1811" s="15"/>
      <c r="F1811" s="85"/>
      <c r="G1811" s="17"/>
      <c r="H1811" s="38"/>
      <c r="I1811" s="42"/>
    </row>
    <row r="1812" spans="1:9" customFormat="1" ht="21.95" customHeight="1" x14ac:dyDescent="0.15">
      <c r="A1812" s="17"/>
      <c r="B1812" s="37"/>
      <c r="C1812" s="37"/>
      <c r="D1812" s="37"/>
      <c r="E1812" s="15"/>
      <c r="F1812" s="85"/>
      <c r="G1812" s="17"/>
      <c r="H1812" s="38"/>
      <c r="I1812" s="42"/>
    </row>
    <row r="1813" spans="1:9" customFormat="1" ht="21.95" customHeight="1" x14ac:dyDescent="0.15">
      <c r="A1813" s="17"/>
      <c r="B1813" s="37"/>
      <c r="C1813" s="37"/>
      <c r="D1813" s="37"/>
      <c r="E1813" s="15"/>
      <c r="F1813" s="85"/>
      <c r="G1813" s="17"/>
      <c r="H1813" s="38"/>
      <c r="I1813" s="42"/>
    </row>
    <row r="1814" spans="1:9" customFormat="1" ht="21.95" customHeight="1" x14ac:dyDescent="0.15">
      <c r="A1814" s="17"/>
      <c r="B1814" s="37"/>
      <c r="C1814" s="37"/>
      <c r="D1814" s="37"/>
      <c r="E1814" s="15"/>
      <c r="F1814" s="85"/>
      <c r="G1814" s="17"/>
      <c r="H1814" s="38"/>
      <c r="I1814" s="42"/>
    </row>
    <row r="1815" spans="1:9" customFormat="1" ht="21.95" customHeight="1" x14ac:dyDescent="0.15">
      <c r="A1815" s="17"/>
      <c r="B1815" s="37"/>
      <c r="C1815" s="37"/>
      <c r="D1815" s="37"/>
      <c r="E1815" s="15"/>
      <c r="F1815" s="85"/>
      <c r="G1815" s="17"/>
      <c r="H1815" s="38"/>
      <c r="I1815" s="42"/>
    </row>
    <row r="1816" spans="1:9" customFormat="1" ht="21.95" customHeight="1" x14ac:dyDescent="0.15">
      <c r="A1816" s="17"/>
      <c r="B1816" s="37"/>
      <c r="C1816" s="37"/>
      <c r="D1816" s="37"/>
      <c r="E1816" s="15"/>
      <c r="F1816" s="85"/>
      <c r="G1816" s="17"/>
      <c r="H1816" s="38"/>
      <c r="I1816" s="42"/>
    </row>
    <row r="1817" spans="1:9" customFormat="1" ht="21.95" customHeight="1" x14ac:dyDescent="0.15">
      <c r="A1817" s="17"/>
      <c r="B1817" s="37"/>
      <c r="C1817" s="37"/>
      <c r="D1817" s="37"/>
      <c r="E1817" s="15"/>
      <c r="F1817" s="85"/>
      <c r="G1817" s="17"/>
      <c r="H1817" s="38"/>
      <c r="I1817" s="56"/>
    </row>
    <row r="1818" spans="1:9" customFormat="1" ht="21.95" customHeight="1" x14ac:dyDescent="0.15">
      <c r="A1818" s="17"/>
      <c r="B1818" s="37"/>
      <c r="C1818" s="37"/>
      <c r="D1818" s="37"/>
      <c r="E1818" s="15"/>
      <c r="F1818" s="85"/>
      <c r="G1818" s="17"/>
      <c r="H1818" s="38"/>
      <c r="I1818" s="56"/>
    </row>
    <row r="1819" spans="1:9" customFormat="1" ht="32.1" customHeight="1" x14ac:dyDescent="0.15">
      <c r="A1819" s="17"/>
      <c r="B1819" s="37"/>
      <c r="C1819" s="37"/>
      <c r="D1819" s="37"/>
      <c r="E1819" s="15"/>
      <c r="F1819" s="85"/>
      <c r="G1819" s="17"/>
      <c r="H1819" s="38"/>
      <c r="I1819" s="56"/>
    </row>
    <row r="1820" spans="1:9" customFormat="1" ht="32.1" customHeight="1" x14ac:dyDescent="0.15">
      <c r="A1820" s="17"/>
      <c r="B1820" s="37"/>
      <c r="C1820" s="37"/>
      <c r="D1820" s="37"/>
      <c r="E1820" s="15"/>
      <c r="F1820" s="85"/>
      <c r="G1820" s="17"/>
      <c r="H1820" s="38"/>
      <c r="I1820" s="56"/>
    </row>
    <row r="1821" spans="1:9" customFormat="1" ht="32.1" customHeight="1" x14ac:dyDescent="0.15">
      <c r="A1821" s="17"/>
      <c r="B1821" s="37"/>
      <c r="C1821" s="37"/>
      <c r="D1821" s="37"/>
      <c r="E1821" s="15"/>
      <c r="F1821" s="85"/>
      <c r="G1821" s="17"/>
      <c r="H1821" s="38"/>
      <c r="I1821" s="56"/>
    </row>
    <row r="1822" spans="1:9" customFormat="1" ht="32.1" customHeight="1" x14ac:dyDescent="0.15">
      <c r="A1822" s="17"/>
      <c r="B1822" s="37"/>
      <c r="C1822" s="37"/>
      <c r="D1822" s="37"/>
      <c r="E1822" s="15"/>
      <c r="F1822" s="85"/>
      <c r="G1822" s="17"/>
      <c r="H1822" s="38"/>
      <c r="I1822" s="56"/>
    </row>
    <row r="1823" spans="1:9" customFormat="1" ht="32.1" customHeight="1" x14ac:dyDescent="0.15">
      <c r="A1823" s="17"/>
      <c r="B1823" s="37"/>
      <c r="C1823" s="37"/>
      <c r="D1823" s="37"/>
      <c r="E1823" s="15"/>
      <c r="F1823" s="85"/>
      <c r="G1823" s="17"/>
      <c r="H1823" s="38"/>
      <c r="I1823" s="56"/>
    </row>
    <row r="1824" spans="1:9" customFormat="1" ht="32.1" customHeight="1" x14ac:dyDescent="0.15">
      <c r="A1824" s="17"/>
      <c r="B1824" s="37"/>
      <c r="C1824" s="37"/>
      <c r="D1824" s="37"/>
      <c r="E1824" s="15"/>
      <c r="F1824" s="85"/>
      <c r="G1824" s="17"/>
      <c r="H1824" s="38"/>
      <c r="I1824" s="56"/>
    </row>
    <row r="1825" spans="1:9" ht="32.1" customHeight="1" x14ac:dyDescent="0.15">
      <c r="A1825" s="17"/>
      <c r="B1825" s="37"/>
      <c r="C1825" s="37"/>
      <c r="D1825" s="37"/>
      <c r="E1825" s="15"/>
      <c r="F1825" s="85"/>
      <c r="G1825" s="17"/>
      <c r="H1825" s="38"/>
      <c r="I1825" s="37"/>
    </row>
    <row r="1826" spans="1:9" ht="32.1" customHeight="1" x14ac:dyDescent="0.15">
      <c r="A1826" s="17"/>
      <c r="B1826" s="37"/>
      <c r="C1826" s="37"/>
      <c r="D1826" s="37"/>
      <c r="E1826" s="15"/>
      <c r="F1826" s="37"/>
      <c r="G1826" s="17"/>
      <c r="H1826" s="38"/>
      <c r="I1826" s="37"/>
    </row>
    <row r="1827" spans="1:9" ht="32.1" customHeight="1" x14ac:dyDescent="0.15">
      <c r="A1827" s="17"/>
      <c r="B1827" s="37"/>
      <c r="C1827" s="37"/>
      <c r="D1827" s="37"/>
      <c r="E1827" s="15"/>
      <c r="F1827" s="37"/>
      <c r="G1827" s="17"/>
      <c r="H1827" s="38"/>
      <c r="I1827" s="37"/>
    </row>
    <row r="1828" spans="1:9" ht="32.1" customHeight="1" x14ac:dyDescent="0.15">
      <c r="A1828" s="17"/>
      <c r="B1828" s="37"/>
      <c r="C1828" s="37"/>
      <c r="D1828" s="37"/>
      <c r="E1828" s="15"/>
      <c r="F1828" s="37"/>
      <c r="G1828" s="17"/>
      <c r="H1828" s="38"/>
      <c r="I1828" s="37"/>
    </row>
    <row r="1829" spans="1:9" ht="21.95" customHeight="1" x14ac:dyDescent="0.15">
      <c r="A1829" s="17"/>
      <c r="B1829" s="37"/>
      <c r="C1829" s="37"/>
      <c r="D1829" s="37"/>
      <c r="E1829" s="15"/>
      <c r="F1829" s="37"/>
      <c r="G1829" s="17"/>
      <c r="H1829" s="38"/>
      <c r="I1829" s="37"/>
    </row>
    <row r="1830" spans="1:9" ht="54" customHeight="1" x14ac:dyDescent="0.15">
      <c r="A1830" s="17"/>
      <c r="B1830" s="37"/>
      <c r="C1830" s="37"/>
      <c r="D1830" s="37"/>
      <c r="E1830" s="15"/>
      <c r="F1830" s="37"/>
      <c r="G1830" s="17"/>
      <c r="H1830" s="38"/>
      <c r="I1830" s="37"/>
    </row>
    <row r="1831" spans="1:9" ht="21.95" customHeight="1" x14ac:dyDescent="0.15">
      <c r="A1831" s="17"/>
      <c r="B1831" s="37"/>
      <c r="C1831" s="37"/>
      <c r="D1831" s="37"/>
      <c r="E1831" s="15"/>
      <c r="F1831" s="37"/>
      <c r="G1831" s="17"/>
      <c r="H1831" s="38"/>
      <c r="I1831" s="37"/>
    </row>
    <row r="1832" spans="1:9" ht="21.95" customHeight="1" x14ac:dyDescent="0.15">
      <c r="A1832" s="17"/>
      <c r="B1832" s="37"/>
      <c r="C1832" s="37"/>
      <c r="D1832" s="37"/>
      <c r="E1832" s="15"/>
      <c r="F1832" s="37"/>
      <c r="G1832" s="17"/>
      <c r="H1832" s="38"/>
      <c r="I1832" s="37"/>
    </row>
    <row r="1833" spans="1:9" ht="21.95" customHeight="1" x14ac:dyDescent="0.15">
      <c r="A1833" s="17"/>
      <c r="B1833" s="37"/>
      <c r="C1833" s="37"/>
      <c r="D1833" s="37"/>
      <c r="E1833" s="15"/>
      <c r="F1833" s="37"/>
      <c r="G1833" s="17"/>
      <c r="H1833" s="38"/>
      <c r="I1833" s="37"/>
    </row>
    <row r="1834" spans="1:9" ht="21.95" customHeight="1" x14ac:dyDescent="0.15">
      <c r="A1834" s="17"/>
      <c r="B1834" s="37"/>
      <c r="C1834" s="37"/>
      <c r="D1834" s="37"/>
      <c r="E1834" s="15"/>
      <c r="F1834" s="37"/>
      <c r="G1834" s="17"/>
      <c r="H1834" s="38"/>
      <c r="I1834" s="37"/>
    </row>
    <row r="1835" spans="1:9" ht="21.95" customHeight="1" x14ac:dyDescent="0.15">
      <c r="A1835" s="17"/>
      <c r="B1835" s="37"/>
      <c r="C1835" s="37"/>
      <c r="E1835" s="15"/>
      <c r="G1835" s="17"/>
      <c r="H1835" s="38"/>
    </row>
    <row r="1836" spans="1:9" ht="21.95" customHeight="1" x14ac:dyDescent="0.15">
      <c r="A1836" s="17"/>
      <c r="B1836" s="37"/>
      <c r="C1836" s="37"/>
      <c r="E1836" s="15"/>
      <c r="G1836" s="17"/>
      <c r="H1836" s="38"/>
    </row>
    <row r="1837" spans="1:9" ht="21.95" customHeight="1" x14ac:dyDescent="0.15">
      <c r="A1837" s="17"/>
      <c r="B1837" s="37"/>
      <c r="C1837" s="37"/>
      <c r="E1837" s="15"/>
      <c r="F1837" s="37"/>
      <c r="G1837" s="13"/>
      <c r="H1837" s="38"/>
    </row>
    <row r="1838" spans="1:9" ht="21.95" customHeight="1" x14ac:dyDescent="0.15">
      <c r="A1838" s="17"/>
      <c r="B1838" s="37"/>
      <c r="C1838" s="37"/>
      <c r="E1838" s="15"/>
      <c r="F1838" s="37"/>
      <c r="G1838" s="13"/>
      <c r="H1838" s="38"/>
    </row>
    <row r="1839" spans="1:9" ht="21.95" customHeight="1" x14ac:dyDescent="0.15">
      <c r="A1839" s="17"/>
      <c r="B1839" s="37"/>
      <c r="C1839" s="37"/>
      <c r="D1839" s="37"/>
      <c r="E1839" s="15"/>
      <c r="F1839" s="37"/>
      <c r="G1839" s="13"/>
      <c r="H1839" s="38"/>
    </row>
    <row r="1840" spans="1:9" ht="21.95" customHeight="1" x14ac:dyDescent="0.15">
      <c r="A1840" s="17"/>
      <c r="B1840" s="37"/>
      <c r="C1840" s="37"/>
      <c r="D1840" s="37"/>
      <c r="E1840" s="15"/>
      <c r="F1840" s="37"/>
      <c r="G1840" s="13"/>
      <c r="H1840" s="38"/>
    </row>
    <row r="1841" spans="1:8" ht="21.95" customHeight="1" x14ac:dyDescent="0.15">
      <c r="A1841" s="17"/>
      <c r="B1841" s="37"/>
      <c r="C1841" s="37"/>
      <c r="D1841" s="37"/>
      <c r="E1841" s="15"/>
      <c r="F1841" s="37"/>
      <c r="G1841" s="13"/>
      <c r="H1841" s="38"/>
    </row>
    <row r="1842" spans="1:8" ht="21.95" customHeight="1" x14ac:dyDescent="0.15">
      <c r="A1842" s="17"/>
      <c r="B1842" s="37"/>
      <c r="C1842" s="37"/>
      <c r="D1842" s="37"/>
      <c r="E1842" s="15"/>
      <c r="F1842" s="37"/>
      <c r="G1842" s="13"/>
      <c r="H1842" s="38"/>
    </row>
    <row r="1843" spans="1:8" ht="21.95" customHeight="1" x14ac:dyDescent="0.15">
      <c r="A1843" s="17"/>
      <c r="B1843" s="37"/>
      <c r="C1843" s="37"/>
      <c r="D1843" s="37"/>
      <c r="E1843" s="15"/>
      <c r="F1843" s="37"/>
      <c r="G1843" s="13"/>
      <c r="H1843" s="38"/>
    </row>
    <row r="1844" spans="1:8" ht="21.95" customHeight="1" x14ac:dyDescent="0.15">
      <c r="A1844" s="17"/>
      <c r="B1844" s="37"/>
      <c r="C1844" s="37"/>
      <c r="D1844" s="37"/>
      <c r="E1844" s="15"/>
      <c r="F1844" s="37"/>
      <c r="G1844" s="13"/>
      <c r="H1844" s="38"/>
    </row>
    <row r="1845" spans="1:8" ht="21.95" customHeight="1" x14ac:dyDescent="0.15">
      <c r="A1845" s="17"/>
      <c r="B1845" s="37"/>
      <c r="C1845" s="37"/>
      <c r="D1845" s="37"/>
      <c r="E1845" s="15"/>
      <c r="F1845" s="37"/>
      <c r="G1845" s="13"/>
      <c r="H1845" s="38"/>
    </row>
    <row r="1846" spans="1:8" ht="21.95" customHeight="1" x14ac:dyDescent="0.15">
      <c r="A1846" s="17"/>
      <c r="B1846" s="37"/>
      <c r="C1846" s="37"/>
      <c r="D1846" s="37"/>
      <c r="E1846" s="15"/>
      <c r="F1846" s="37"/>
      <c r="G1846" s="13"/>
      <c r="H1846" s="38"/>
    </row>
    <row r="1847" spans="1:8" ht="21.95" customHeight="1" x14ac:dyDescent="0.15">
      <c r="A1847" s="17"/>
      <c r="B1847" s="37"/>
      <c r="C1847" s="37"/>
      <c r="D1847" s="37"/>
      <c r="E1847" s="15"/>
      <c r="F1847" s="37"/>
      <c r="G1847" s="13"/>
      <c r="H1847" s="38"/>
    </row>
    <row r="1848" spans="1:8" ht="21.95" customHeight="1" x14ac:dyDescent="0.15">
      <c r="A1848" s="17"/>
      <c r="B1848" s="37"/>
      <c r="C1848" s="37"/>
      <c r="D1848" s="37"/>
      <c r="E1848" s="15"/>
      <c r="F1848" s="37"/>
      <c r="G1848" s="13"/>
      <c r="H1848" s="15"/>
    </row>
    <row r="1849" spans="1:8" ht="21.95" customHeight="1" x14ac:dyDescent="0.15">
      <c r="A1849" s="17"/>
      <c r="B1849" s="37"/>
      <c r="C1849" s="37"/>
      <c r="D1849" s="37"/>
      <c r="E1849" s="15"/>
      <c r="F1849" s="37"/>
      <c r="G1849" s="13"/>
      <c r="H1849" s="15"/>
    </row>
    <row r="1850" spans="1:8" ht="21.95" customHeight="1" x14ac:dyDescent="0.15">
      <c r="A1850" s="17"/>
      <c r="B1850" s="37"/>
      <c r="C1850" s="37"/>
      <c r="D1850" s="37"/>
      <c r="E1850" s="15"/>
      <c r="F1850" s="37"/>
      <c r="G1850" s="13"/>
      <c r="H1850" s="15"/>
    </row>
    <row r="1851" spans="1:8" ht="21.95" customHeight="1" x14ac:dyDescent="0.15">
      <c r="A1851" s="17"/>
      <c r="B1851" s="37"/>
      <c r="C1851" s="37"/>
      <c r="D1851" s="37"/>
      <c r="E1851" s="15"/>
      <c r="F1851" s="37"/>
      <c r="G1851" s="13"/>
      <c r="H1851" s="15"/>
    </row>
    <row r="1852" spans="1:8" ht="21.95" customHeight="1" x14ac:dyDescent="0.15">
      <c r="A1852" s="17"/>
      <c r="B1852" s="37"/>
      <c r="C1852" s="37"/>
      <c r="D1852" s="37"/>
      <c r="E1852" s="15"/>
      <c r="F1852" s="37"/>
      <c r="G1852" s="13"/>
      <c r="H1852" s="15"/>
    </row>
    <row r="1853" spans="1:8" ht="21.95" customHeight="1" x14ac:dyDescent="0.15">
      <c r="A1853" s="17"/>
      <c r="B1853" s="37"/>
      <c r="C1853" s="37"/>
      <c r="D1853" s="37"/>
      <c r="E1853" s="15"/>
      <c r="F1853" s="37"/>
      <c r="G1853" s="13"/>
      <c r="H1853" s="15"/>
    </row>
    <row r="1854" spans="1:8" ht="21.95" customHeight="1" x14ac:dyDescent="0.15">
      <c r="A1854" s="17"/>
      <c r="B1854" s="37"/>
      <c r="C1854" s="37"/>
      <c r="D1854" s="37"/>
      <c r="E1854" s="15"/>
      <c r="F1854" s="37"/>
      <c r="G1854" s="13"/>
      <c r="H1854" s="15"/>
    </row>
    <row r="1855" spans="1:8" ht="21.95" customHeight="1" x14ac:dyDescent="0.15">
      <c r="A1855" s="17"/>
      <c r="B1855" s="37"/>
      <c r="C1855" s="37"/>
      <c r="D1855" s="37"/>
      <c r="E1855" s="15"/>
      <c r="F1855" s="37"/>
      <c r="G1855" s="13"/>
      <c r="H1855" s="15"/>
    </row>
    <row r="1856" spans="1:8" ht="21.95" customHeight="1" x14ac:dyDescent="0.15">
      <c r="A1856" s="17"/>
      <c r="B1856" s="37"/>
      <c r="C1856" s="37"/>
      <c r="D1856" s="37"/>
      <c r="E1856" s="15"/>
      <c r="F1856" s="37"/>
      <c r="G1856" s="13"/>
      <c r="H1856" s="15"/>
    </row>
    <row r="1857" spans="1:8" ht="21.95" customHeight="1" x14ac:dyDescent="0.15">
      <c r="A1857" s="17"/>
      <c r="B1857" s="37"/>
      <c r="C1857" s="37"/>
      <c r="D1857" s="37"/>
      <c r="E1857" s="15"/>
      <c r="F1857" s="37"/>
      <c r="G1857" s="13"/>
      <c r="H1857" s="15"/>
    </row>
    <row r="1858" spans="1:8" ht="21.95" customHeight="1" x14ac:dyDescent="0.15">
      <c r="A1858" s="17"/>
      <c r="B1858" s="37"/>
      <c r="C1858" s="37"/>
      <c r="D1858" s="37"/>
      <c r="E1858" s="15"/>
      <c r="F1858" s="37"/>
      <c r="G1858" s="13"/>
      <c r="H1858" s="15"/>
    </row>
    <row r="1859" spans="1:8" ht="21.95" customHeight="1" x14ac:dyDescent="0.15">
      <c r="A1859" s="17"/>
      <c r="B1859" s="37"/>
      <c r="C1859" s="37"/>
      <c r="D1859" s="37"/>
      <c r="E1859" s="15"/>
      <c r="F1859" s="37"/>
      <c r="G1859" s="13"/>
      <c r="H1859" s="15"/>
    </row>
    <row r="1860" spans="1:8" ht="21.95" customHeight="1" x14ac:dyDescent="0.15">
      <c r="A1860" s="17"/>
      <c r="B1860" s="37"/>
      <c r="C1860" s="37"/>
      <c r="D1860" s="37"/>
      <c r="E1860" s="15"/>
      <c r="F1860" s="37"/>
      <c r="G1860" s="13"/>
      <c r="H1860" s="15"/>
    </row>
    <row r="1861" spans="1:8" ht="21.95" customHeight="1" x14ac:dyDescent="0.15">
      <c r="A1861" s="17"/>
      <c r="B1861" s="37"/>
      <c r="C1861" s="37"/>
      <c r="D1861" s="37"/>
      <c r="E1861" s="15"/>
      <c r="F1861" s="37"/>
      <c r="G1861" s="13"/>
      <c r="H1861" s="15"/>
    </row>
    <row r="1862" spans="1:8" ht="21.95" customHeight="1" x14ac:dyDescent="0.15">
      <c r="A1862" s="17"/>
      <c r="B1862" s="37"/>
      <c r="C1862" s="37"/>
      <c r="D1862" s="37"/>
      <c r="E1862" s="15"/>
      <c r="F1862" s="37"/>
      <c r="G1862" s="13"/>
      <c r="H1862" s="15"/>
    </row>
    <row r="1863" spans="1:8" ht="21.95" customHeight="1" x14ac:dyDescent="0.15">
      <c r="A1863" s="17"/>
      <c r="B1863" s="37"/>
      <c r="C1863" s="37"/>
      <c r="D1863" s="37"/>
      <c r="E1863" s="15"/>
      <c r="F1863" s="37"/>
      <c r="G1863" s="13"/>
      <c r="H1863" s="15"/>
    </row>
    <row r="1864" spans="1:8" ht="21.95" customHeight="1" x14ac:dyDescent="0.15">
      <c r="A1864" s="17"/>
      <c r="B1864" s="37"/>
      <c r="C1864" s="37"/>
      <c r="D1864" s="37"/>
      <c r="E1864" s="15"/>
      <c r="F1864" s="37"/>
      <c r="G1864" s="13"/>
      <c r="H1864" s="15"/>
    </row>
    <row r="1865" spans="1:8" ht="21.95" customHeight="1" x14ac:dyDescent="0.15">
      <c r="A1865" s="17"/>
      <c r="B1865" s="37"/>
      <c r="C1865" s="37"/>
      <c r="D1865" s="37"/>
      <c r="E1865" s="15"/>
      <c r="F1865" s="37"/>
      <c r="G1865" s="13"/>
      <c r="H1865" s="15"/>
    </row>
    <row r="1866" spans="1:8" ht="21.95" customHeight="1" x14ac:dyDescent="0.15">
      <c r="A1866" s="17"/>
      <c r="B1866" s="37"/>
      <c r="C1866" s="37"/>
      <c r="D1866" s="37"/>
      <c r="E1866" s="15"/>
      <c r="F1866" s="37"/>
      <c r="G1866" s="37"/>
      <c r="H1866" s="15"/>
    </row>
    <row r="1867" spans="1:8" ht="21.95" customHeight="1" x14ac:dyDescent="0.15">
      <c r="A1867" s="17"/>
      <c r="B1867" s="37"/>
      <c r="C1867" s="37"/>
      <c r="D1867" s="37"/>
      <c r="E1867" s="15"/>
      <c r="F1867" s="37"/>
      <c r="G1867" s="13"/>
      <c r="H1867" s="15"/>
    </row>
    <row r="1868" spans="1:8" ht="21.95" customHeight="1" x14ac:dyDescent="0.15">
      <c r="A1868" s="17"/>
      <c r="B1868" s="37"/>
      <c r="C1868" s="37"/>
      <c r="D1868" s="37"/>
      <c r="E1868" s="15"/>
      <c r="F1868" s="37"/>
      <c r="G1868" s="13"/>
      <c r="H1868" s="15"/>
    </row>
    <row r="1869" spans="1:8" ht="21.95" customHeight="1" x14ac:dyDescent="0.15">
      <c r="A1869" s="17"/>
      <c r="B1869" s="37"/>
      <c r="C1869" s="37"/>
      <c r="D1869" s="37"/>
      <c r="E1869" s="15"/>
      <c r="F1869" s="37"/>
      <c r="G1869" s="13"/>
      <c r="H1869" s="15"/>
    </row>
    <row r="1870" spans="1:8" ht="21.95" customHeight="1" x14ac:dyDescent="0.15">
      <c r="A1870" s="17"/>
      <c r="B1870" s="37"/>
      <c r="C1870" s="37"/>
      <c r="D1870" s="37"/>
      <c r="E1870" s="15"/>
      <c r="F1870" s="37"/>
      <c r="G1870" s="13"/>
      <c r="H1870" s="15"/>
    </row>
    <row r="1871" spans="1:8" ht="21.95" customHeight="1" x14ac:dyDescent="0.15">
      <c r="A1871" s="17"/>
      <c r="B1871" s="37"/>
      <c r="C1871" s="37"/>
      <c r="D1871" s="37"/>
      <c r="E1871" s="15"/>
      <c r="F1871" s="37"/>
      <c r="G1871" s="13"/>
      <c r="H1871" s="15"/>
    </row>
    <row r="1872" spans="1:8" ht="21.95" customHeight="1" x14ac:dyDescent="0.15">
      <c r="A1872" s="17"/>
      <c r="B1872" s="37"/>
      <c r="C1872" s="37"/>
      <c r="D1872" s="37"/>
      <c r="E1872" s="15"/>
      <c r="F1872" s="37"/>
      <c r="G1872" s="13"/>
      <c r="H1872" s="15"/>
    </row>
    <row r="1873" spans="1:9" ht="21.95" customHeight="1" x14ac:dyDescent="0.15">
      <c r="A1873" s="17"/>
      <c r="B1873" s="37"/>
      <c r="C1873" s="37"/>
      <c r="D1873" s="37"/>
      <c r="E1873" s="15"/>
      <c r="F1873" s="37"/>
      <c r="G1873" s="13"/>
      <c r="H1873" s="15"/>
    </row>
    <row r="1874" spans="1:9" ht="21.95" customHeight="1" x14ac:dyDescent="0.15">
      <c r="A1874" s="17"/>
      <c r="B1874" s="37"/>
      <c r="C1874" s="37"/>
      <c r="D1874" s="37"/>
      <c r="E1874" s="15"/>
      <c r="F1874" s="37"/>
      <c r="G1874" s="13"/>
      <c r="H1874" s="15"/>
    </row>
    <row r="1875" spans="1:9" ht="21.95" customHeight="1" x14ac:dyDescent="0.15">
      <c r="A1875" s="17"/>
      <c r="B1875" s="37"/>
      <c r="C1875" s="37"/>
      <c r="D1875" s="37"/>
      <c r="E1875" s="15"/>
      <c r="F1875" s="37"/>
      <c r="G1875" s="13"/>
      <c r="H1875" s="15"/>
    </row>
    <row r="1876" spans="1:9" ht="21.95" customHeight="1" x14ac:dyDescent="0.15">
      <c r="A1876" s="17"/>
      <c r="B1876" s="37"/>
      <c r="C1876" s="37"/>
      <c r="D1876" s="37"/>
      <c r="E1876" s="15"/>
      <c r="F1876" s="37"/>
      <c r="G1876" s="13"/>
      <c r="H1876" s="15"/>
    </row>
    <row r="1877" spans="1:9" ht="21.95" customHeight="1" x14ac:dyDescent="0.15">
      <c r="A1877" s="17"/>
      <c r="B1877" s="37"/>
      <c r="C1877" s="37"/>
      <c r="D1877" s="37"/>
      <c r="E1877" s="15"/>
      <c r="F1877" s="37"/>
      <c r="G1877" s="13"/>
      <c r="H1877" s="15"/>
    </row>
    <row r="1878" spans="1:9" ht="21.95" customHeight="1" x14ac:dyDescent="0.15">
      <c r="A1878" s="17"/>
      <c r="B1878" s="37"/>
      <c r="C1878" s="37"/>
      <c r="D1878" s="37"/>
      <c r="E1878" s="15"/>
      <c r="F1878" s="37"/>
      <c r="G1878" s="13"/>
      <c r="H1878" s="15"/>
    </row>
    <row r="1879" spans="1:9" ht="21.95" customHeight="1" x14ac:dyDescent="0.15">
      <c r="A1879" s="17"/>
      <c r="B1879" s="37"/>
      <c r="C1879" s="37"/>
      <c r="D1879" s="37"/>
      <c r="E1879" s="15"/>
      <c r="F1879" s="37"/>
      <c r="G1879" s="13"/>
      <c r="H1879" s="38"/>
      <c r="I1879" s="84"/>
    </row>
    <row r="1880" spans="1:9" ht="21.95" customHeight="1" x14ac:dyDescent="0.15">
      <c r="A1880" s="17"/>
      <c r="B1880" s="37"/>
      <c r="C1880" s="37"/>
      <c r="D1880" s="37"/>
      <c r="E1880" s="15"/>
      <c r="F1880" s="37"/>
      <c r="G1880" s="13"/>
      <c r="H1880" s="15"/>
      <c r="I1880" s="84"/>
    </row>
    <row r="1881" spans="1:9" ht="35.1" customHeight="1" x14ac:dyDescent="0.15">
      <c r="A1881" s="17"/>
      <c r="B1881" s="37"/>
      <c r="C1881" s="37"/>
      <c r="D1881" s="37"/>
      <c r="E1881" s="15"/>
      <c r="F1881" s="15"/>
      <c r="G1881" s="37"/>
      <c r="H1881" s="15"/>
    </row>
    <row r="1882" spans="1:9" ht="21.95" customHeight="1" x14ac:dyDescent="0.15">
      <c r="A1882" s="17"/>
      <c r="B1882" s="37"/>
      <c r="C1882" s="37"/>
      <c r="D1882" s="37"/>
      <c r="E1882" s="15"/>
      <c r="F1882" s="37"/>
      <c r="G1882" s="13"/>
      <c r="H1882" s="15"/>
    </row>
    <row r="1883" spans="1:9" ht="21.95" customHeight="1" x14ac:dyDescent="0.15">
      <c r="A1883" s="17"/>
      <c r="B1883" s="37"/>
      <c r="C1883" s="37"/>
      <c r="D1883" s="37"/>
      <c r="E1883" s="15"/>
      <c r="F1883" s="37"/>
      <c r="G1883" s="13"/>
      <c r="H1883" s="15"/>
    </row>
    <row r="1884" spans="1:9" ht="21.95" customHeight="1" x14ac:dyDescent="0.15">
      <c r="A1884" s="17"/>
      <c r="B1884" s="37"/>
      <c r="C1884" s="37"/>
      <c r="D1884" s="37"/>
      <c r="E1884" s="15"/>
      <c r="F1884" s="37"/>
      <c r="G1884" s="13"/>
      <c r="H1884" s="15"/>
    </row>
    <row r="1885" spans="1:9" ht="21.95" customHeight="1" x14ac:dyDescent="0.15">
      <c r="A1885" s="17"/>
      <c r="B1885" s="37"/>
      <c r="C1885" s="37"/>
      <c r="D1885" s="37"/>
      <c r="E1885" s="15"/>
      <c r="F1885" s="37"/>
      <c r="G1885" s="13"/>
      <c r="H1885" s="15"/>
    </row>
    <row r="1886" spans="1:9" ht="21.95" customHeight="1" x14ac:dyDescent="0.15">
      <c r="A1886" s="17"/>
      <c r="B1886" s="37"/>
      <c r="C1886" s="37"/>
      <c r="D1886" s="37"/>
      <c r="E1886" s="15"/>
      <c r="F1886" s="37"/>
      <c r="G1886" s="13"/>
      <c r="H1886" s="15"/>
    </row>
    <row r="1887" spans="1:9" ht="21.95" customHeight="1" x14ac:dyDescent="0.15">
      <c r="A1887" s="17"/>
      <c r="B1887" s="37"/>
      <c r="C1887" s="37"/>
      <c r="D1887" s="37"/>
      <c r="E1887" s="15"/>
      <c r="F1887" s="37"/>
      <c r="G1887" s="13"/>
      <c r="H1887" s="15"/>
      <c r="I1887" s="37"/>
    </row>
    <row r="1888" spans="1:9" ht="21.95" customHeight="1" x14ac:dyDescent="0.15">
      <c r="A1888" s="17"/>
      <c r="B1888" s="37"/>
      <c r="C1888" s="37"/>
      <c r="D1888" s="37"/>
      <c r="E1888" s="15"/>
      <c r="F1888" s="37"/>
      <c r="G1888" s="37"/>
      <c r="H1888" s="15"/>
      <c r="I1888" s="37"/>
    </row>
    <row r="1889" spans="1:9" ht="21.95" customHeight="1" x14ac:dyDescent="0.15">
      <c r="A1889" s="17"/>
      <c r="B1889" s="37"/>
      <c r="C1889" s="37"/>
      <c r="D1889" s="37"/>
      <c r="E1889" s="15"/>
      <c r="F1889" s="37"/>
      <c r="G1889" s="37"/>
      <c r="H1889" s="38"/>
      <c r="I1889" s="37"/>
    </row>
    <row r="1890" spans="1:9" ht="21.95" customHeight="1" x14ac:dyDescent="0.15">
      <c r="A1890" s="17"/>
      <c r="B1890" s="37"/>
      <c r="C1890" s="37"/>
      <c r="D1890" s="37"/>
      <c r="E1890" s="15"/>
      <c r="F1890" s="37"/>
      <c r="G1890" s="37"/>
      <c r="H1890" s="38"/>
      <c r="I1890" s="37"/>
    </row>
    <row r="1891" spans="1:9" ht="21.95" customHeight="1" x14ac:dyDescent="0.15">
      <c r="A1891" s="17"/>
      <c r="B1891" s="37"/>
      <c r="C1891" s="37"/>
      <c r="D1891" s="37"/>
      <c r="E1891" s="15"/>
      <c r="F1891" s="37"/>
      <c r="G1891" s="13"/>
      <c r="H1891" s="15"/>
      <c r="I1891" s="37"/>
    </row>
    <row r="1892" spans="1:9" ht="21.95" customHeight="1" x14ac:dyDescent="0.15">
      <c r="A1892" s="17"/>
      <c r="B1892" s="37"/>
      <c r="C1892" s="37"/>
      <c r="D1892" s="37"/>
      <c r="E1892" s="15"/>
      <c r="F1892" s="37"/>
      <c r="G1892" s="13"/>
      <c r="H1892" s="15"/>
      <c r="I1892" s="37"/>
    </row>
    <row r="1893" spans="1:9" ht="21.95" customHeight="1" x14ac:dyDescent="0.15">
      <c r="A1893" s="17"/>
      <c r="B1893" s="37"/>
      <c r="C1893" s="37"/>
      <c r="D1893" s="37"/>
      <c r="E1893" s="15"/>
      <c r="F1893" s="37"/>
      <c r="G1893" s="13"/>
      <c r="H1893" s="15"/>
      <c r="I1893" s="37"/>
    </row>
    <row r="1894" spans="1:9" ht="21.95" customHeight="1" x14ac:dyDescent="0.15">
      <c r="A1894" s="17"/>
      <c r="B1894" s="37"/>
      <c r="C1894" s="37"/>
      <c r="E1894" s="15"/>
      <c r="F1894" s="37"/>
      <c r="H1894" s="38"/>
    </row>
    <row r="1895" spans="1:9" ht="21.95" customHeight="1" x14ac:dyDescent="0.15">
      <c r="A1895" s="17"/>
      <c r="B1895" s="37"/>
      <c r="C1895" s="37"/>
      <c r="E1895" s="15"/>
      <c r="F1895" s="37"/>
    </row>
    <row r="1896" spans="1:9" ht="21.95" customHeight="1" x14ac:dyDescent="0.15">
      <c r="A1896" s="17"/>
      <c r="B1896" s="37"/>
      <c r="C1896" s="37"/>
      <c r="E1896" s="15"/>
      <c r="G1896" s="77"/>
    </row>
    <row r="1897" spans="1:9" ht="21.95" customHeight="1" x14ac:dyDescent="0.15">
      <c r="A1897" s="17"/>
      <c r="B1897" s="37"/>
      <c r="C1897" s="37"/>
      <c r="D1897" s="37"/>
      <c r="E1897" s="15"/>
      <c r="F1897" s="37"/>
      <c r="G1897" s="37"/>
      <c r="H1897" s="15"/>
    </row>
    <row r="1898" spans="1:9" ht="21.95" customHeight="1" x14ac:dyDescent="0.15">
      <c r="A1898" s="17"/>
      <c r="B1898" s="37"/>
      <c r="C1898" s="37"/>
      <c r="D1898" s="37"/>
      <c r="E1898" s="15"/>
      <c r="F1898" s="37"/>
      <c r="G1898" s="13"/>
      <c r="H1898" s="15"/>
    </row>
    <row r="1899" spans="1:9" ht="21.95" customHeight="1" x14ac:dyDescent="0.15">
      <c r="A1899" s="17"/>
      <c r="B1899" s="37"/>
      <c r="C1899" s="37"/>
      <c r="D1899" s="37"/>
      <c r="E1899" s="15"/>
      <c r="F1899" s="37"/>
      <c r="G1899" s="13"/>
      <c r="H1899" s="15"/>
    </row>
    <row r="1900" spans="1:9" ht="21.95" customHeight="1" x14ac:dyDescent="0.15">
      <c r="A1900" s="17"/>
      <c r="C1900" s="37"/>
    </row>
    <row r="1901" spans="1:9" ht="21.95" customHeight="1" x14ac:dyDescent="0.15">
      <c r="A1901" s="17"/>
      <c r="B1901" s="37"/>
      <c r="C1901" s="37"/>
      <c r="D1901" s="13"/>
      <c r="E1901" s="15"/>
      <c r="F1901" s="37"/>
      <c r="G1901" s="13"/>
      <c r="H1901" s="15"/>
      <c r="I1901" s="13"/>
    </row>
    <row r="1902" spans="1:9" ht="21.95" customHeight="1" x14ac:dyDescent="0.15">
      <c r="A1902" s="17"/>
      <c r="B1902" s="13"/>
      <c r="C1902" s="13"/>
      <c r="D1902" s="13"/>
      <c r="E1902" s="15"/>
      <c r="F1902" s="37"/>
      <c r="G1902" s="13"/>
      <c r="H1902" s="15"/>
      <c r="I1902" s="13"/>
    </row>
    <row r="1903" spans="1:9" ht="21.95" customHeight="1" x14ac:dyDescent="0.15">
      <c r="A1903" s="17"/>
      <c r="B1903" s="13"/>
      <c r="C1903" s="13"/>
      <c r="D1903" s="13"/>
      <c r="E1903" s="15"/>
      <c r="F1903" s="37"/>
      <c r="G1903" s="13"/>
      <c r="H1903" s="15"/>
      <c r="I1903" s="13"/>
    </row>
    <row r="1904" spans="1:9" ht="21.95" customHeight="1" x14ac:dyDescent="0.15">
      <c r="A1904" s="17"/>
      <c r="B1904" s="13"/>
      <c r="C1904" s="13"/>
      <c r="D1904" s="13"/>
      <c r="E1904" s="15"/>
      <c r="F1904" s="37"/>
      <c r="G1904" s="13"/>
      <c r="H1904" s="15"/>
      <c r="I1904" s="13"/>
    </row>
    <row r="1905" spans="1:9" customFormat="1" ht="21.95" customHeight="1" x14ac:dyDescent="0.15">
      <c r="A1905" s="17"/>
      <c r="B1905" s="40"/>
      <c r="C1905" s="40"/>
      <c r="D1905" s="40"/>
      <c r="E1905" s="38"/>
      <c r="F1905" s="85"/>
      <c r="G1905" s="40"/>
      <c r="H1905" s="38"/>
      <c r="I1905" s="40"/>
    </row>
    <row r="1906" spans="1:9" customFormat="1" ht="21.95" customHeight="1" x14ac:dyDescent="0.15">
      <c r="A1906" s="17"/>
      <c r="B1906" s="37"/>
      <c r="C1906" s="37"/>
      <c r="D1906" s="40"/>
      <c r="E1906" s="15"/>
      <c r="F1906" s="85"/>
      <c r="G1906" s="42"/>
      <c r="H1906" s="38"/>
      <c r="I1906" s="56"/>
    </row>
    <row r="1907" spans="1:9" customFormat="1" ht="21.95" customHeight="1" x14ac:dyDescent="0.15">
      <c r="A1907" s="17"/>
      <c r="B1907" s="37"/>
      <c r="C1907" s="95"/>
      <c r="D1907" s="40"/>
      <c r="E1907" s="15"/>
      <c r="F1907" s="85"/>
      <c r="G1907" s="42"/>
      <c r="H1907" s="38"/>
      <c r="I1907" s="56"/>
    </row>
    <row r="1908" spans="1:9" customFormat="1" ht="21.95" customHeight="1" x14ac:dyDescent="0.15">
      <c r="A1908" s="17"/>
      <c r="B1908" s="37"/>
      <c r="C1908" s="95"/>
      <c r="D1908" s="40"/>
      <c r="E1908" s="15"/>
      <c r="F1908" s="85"/>
      <c r="G1908" s="17"/>
      <c r="H1908" s="38"/>
      <c r="I1908" s="56"/>
    </row>
    <row r="1909" spans="1:9" customFormat="1" ht="21.95" customHeight="1" x14ac:dyDescent="0.15">
      <c r="A1909" s="17"/>
      <c r="B1909" s="37"/>
      <c r="C1909" s="37"/>
      <c r="D1909" s="40"/>
      <c r="E1909" s="15"/>
      <c r="F1909" s="85"/>
      <c r="G1909" s="42"/>
      <c r="H1909" s="38"/>
      <c r="I1909" s="56"/>
    </row>
    <row r="1910" spans="1:9" customFormat="1" ht="21.95" customHeight="1" x14ac:dyDescent="0.15">
      <c r="A1910" s="17"/>
      <c r="B1910" s="37"/>
      <c r="C1910" s="37"/>
      <c r="D1910" s="40"/>
      <c r="E1910" s="15"/>
      <c r="F1910" s="85"/>
      <c r="G1910" s="17"/>
      <c r="H1910" s="38"/>
      <c r="I1910" s="56"/>
    </row>
    <row r="1911" spans="1:9" customFormat="1" ht="21.95" customHeight="1" x14ac:dyDescent="0.15">
      <c r="A1911" s="17"/>
      <c r="B1911" s="37"/>
      <c r="C1911" s="37"/>
      <c r="D1911" s="40"/>
      <c r="E1911" s="15"/>
      <c r="F1911" s="85"/>
      <c r="G1911" s="42"/>
      <c r="H1911" s="38"/>
      <c r="I1911" s="56"/>
    </row>
    <row r="1912" spans="1:9" customFormat="1" ht="21.95" customHeight="1" x14ac:dyDescent="0.15">
      <c r="A1912" s="17"/>
      <c r="B1912" s="37"/>
      <c r="C1912" s="37"/>
      <c r="D1912" s="40"/>
      <c r="E1912" s="15"/>
      <c r="F1912" s="85"/>
      <c r="G1912" s="17"/>
      <c r="H1912" s="38"/>
      <c r="I1912" s="56"/>
    </row>
    <row r="1913" spans="1:9" customFormat="1" ht="21.95" customHeight="1" x14ac:dyDescent="0.15">
      <c r="A1913" s="17"/>
      <c r="B1913" s="37"/>
      <c r="C1913" s="37"/>
      <c r="D1913" s="40"/>
      <c r="E1913" s="15"/>
      <c r="F1913" s="85"/>
      <c r="G1913" s="42"/>
      <c r="H1913" s="38"/>
      <c r="I1913" s="56"/>
    </row>
    <row r="1914" spans="1:9" customFormat="1" ht="21.95" customHeight="1" x14ac:dyDescent="0.15">
      <c r="A1914" s="17"/>
      <c r="B1914" s="37"/>
      <c r="C1914" s="37"/>
      <c r="D1914" s="40"/>
      <c r="E1914" s="15"/>
      <c r="F1914" s="85"/>
      <c r="G1914" s="17"/>
      <c r="H1914" s="38"/>
      <c r="I1914" s="56"/>
    </row>
    <row r="1915" spans="1:9" customFormat="1" ht="21.95" customHeight="1" x14ac:dyDescent="0.15">
      <c r="A1915" s="17"/>
      <c r="B1915" s="37"/>
      <c r="C1915" s="37"/>
      <c r="D1915" s="40"/>
      <c r="E1915" s="15"/>
      <c r="F1915" s="85"/>
      <c r="G1915" s="42"/>
      <c r="H1915" s="38"/>
      <c r="I1915" s="56"/>
    </row>
    <row r="1916" spans="1:9" ht="21.95" customHeight="1" x14ac:dyDescent="0.15">
      <c r="A1916" s="17"/>
      <c r="B1916" s="37"/>
      <c r="C1916" s="37"/>
      <c r="D1916" s="37"/>
      <c r="E1916" s="15"/>
      <c r="F1916" s="85"/>
      <c r="G1916" s="17"/>
      <c r="H1916" s="38"/>
    </row>
    <row r="1917" spans="1:9" ht="21.95" customHeight="1" x14ac:dyDescent="0.15">
      <c r="A1917" s="17"/>
      <c r="B1917" s="37"/>
      <c r="C1917" s="37"/>
      <c r="D1917" s="37"/>
      <c r="E1917" s="15"/>
      <c r="F1917" s="85"/>
      <c r="H1917" s="38"/>
    </row>
    <row r="1918" spans="1:9" ht="21.95" customHeight="1" x14ac:dyDescent="0.15">
      <c r="A1918" s="17"/>
      <c r="B1918" s="37"/>
      <c r="C1918" s="37"/>
      <c r="D1918" s="37"/>
      <c r="E1918" s="15"/>
      <c r="F1918" s="85"/>
      <c r="H1918" s="38"/>
    </row>
    <row r="1919" spans="1:9" ht="21.95" customHeight="1" x14ac:dyDescent="0.15">
      <c r="A1919" s="17"/>
      <c r="B1919" s="37"/>
      <c r="C1919" s="37"/>
      <c r="D1919" s="37"/>
      <c r="E1919" s="15"/>
      <c r="F1919" s="85"/>
      <c r="G1919" s="17"/>
      <c r="H1919" s="38"/>
    </row>
    <row r="1920" spans="1:9" customFormat="1" ht="21.95" customHeight="1" x14ac:dyDescent="0.15">
      <c r="A1920" s="17"/>
      <c r="B1920" s="37"/>
      <c r="C1920" s="37"/>
      <c r="D1920" s="37"/>
      <c r="E1920" s="15"/>
      <c r="F1920" s="85"/>
      <c r="G1920" s="17"/>
      <c r="H1920" s="38"/>
      <c r="I1920" s="42"/>
    </row>
    <row r="1921" spans="1:9" customFormat="1" ht="21.95" customHeight="1" x14ac:dyDescent="0.15">
      <c r="A1921" s="17"/>
      <c r="B1921" s="37"/>
      <c r="C1921" s="37"/>
      <c r="D1921" s="37"/>
      <c r="E1921" s="15"/>
      <c r="F1921" s="85"/>
      <c r="G1921" s="17"/>
      <c r="H1921" s="38"/>
      <c r="I1921" s="42"/>
    </row>
    <row r="1922" spans="1:9" customFormat="1" ht="21.95" customHeight="1" x14ac:dyDescent="0.15">
      <c r="A1922" s="17"/>
      <c r="B1922" s="37"/>
      <c r="C1922" s="37"/>
      <c r="D1922" s="37"/>
      <c r="E1922" s="15"/>
      <c r="F1922" s="85"/>
      <c r="G1922" s="17"/>
      <c r="H1922" s="38"/>
      <c r="I1922" s="42"/>
    </row>
    <row r="1923" spans="1:9" customFormat="1" ht="21.95" customHeight="1" x14ac:dyDescent="0.15">
      <c r="A1923" s="17"/>
      <c r="B1923" s="37"/>
      <c r="C1923" s="37"/>
      <c r="D1923" s="37"/>
      <c r="E1923" s="15"/>
      <c r="F1923" s="85"/>
      <c r="G1923" s="17"/>
      <c r="H1923" s="38"/>
      <c r="I1923" s="42"/>
    </row>
    <row r="1924" spans="1:9" customFormat="1" ht="21.95" customHeight="1" x14ac:dyDescent="0.15">
      <c r="A1924" s="17"/>
      <c r="B1924" s="37"/>
      <c r="C1924" s="37"/>
      <c r="D1924" s="37"/>
      <c r="E1924" s="15"/>
      <c r="F1924" s="85"/>
      <c r="G1924" s="17"/>
      <c r="H1924" s="38"/>
      <c r="I1924" s="42"/>
    </row>
    <row r="1925" spans="1:9" customFormat="1" ht="21.95" customHeight="1" x14ac:dyDescent="0.15">
      <c r="A1925" s="17"/>
      <c r="B1925" s="37"/>
      <c r="C1925" s="37"/>
      <c r="D1925" s="37"/>
      <c r="E1925" s="15"/>
      <c r="F1925" s="85"/>
      <c r="G1925" s="17"/>
      <c r="H1925" s="38"/>
      <c r="I1925" s="42"/>
    </row>
    <row r="1926" spans="1:9" customFormat="1" ht="21.95" customHeight="1" x14ac:dyDescent="0.15">
      <c r="A1926" s="17"/>
      <c r="B1926" s="37"/>
      <c r="C1926" s="37"/>
      <c r="D1926" s="37"/>
      <c r="E1926" s="15"/>
      <c r="F1926" s="85"/>
      <c r="G1926" s="17"/>
      <c r="H1926" s="38"/>
      <c r="I1926" s="42"/>
    </row>
    <row r="1927" spans="1:9" customFormat="1" ht="21.95" customHeight="1" x14ac:dyDescent="0.15">
      <c r="A1927" s="17"/>
      <c r="B1927" s="37"/>
      <c r="C1927" s="37"/>
      <c r="D1927" s="37"/>
      <c r="E1927" s="15"/>
      <c r="F1927" s="85"/>
      <c r="G1927" s="17"/>
      <c r="H1927" s="38"/>
      <c r="I1927" s="42"/>
    </row>
    <row r="1928" spans="1:9" customFormat="1" ht="21.95" customHeight="1" x14ac:dyDescent="0.15">
      <c r="A1928" s="17"/>
      <c r="B1928" s="37"/>
      <c r="C1928" s="37"/>
      <c r="D1928" s="37"/>
      <c r="E1928" s="15"/>
      <c r="F1928" s="85"/>
      <c r="G1928" s="17"/>
      <c r="H1928" s="38"/>
      <c r="I1928" s="42"/>
    </row>
    <row r="1929" spans="1:9" customFormat="1" ht="21.95" customHeight="1" x14ac:dyDescent="0.15">
      <c r="A1929" s="17"/>
      <c r="B1929" s="37"/>
      <c r="C1929" s="37"/>
      <c r="D1929" s="37"/>
      <c r="E1929" s="15"/>
      <c r="F1929" s="85"/>
      <c r="G1929" s="17"/>
      <c r="H1929" s="38"/>
      <c r="I1929" s="56"/>
    </row>
    <row r="1930" spans="1:9" customFormat="1" ht="21.95" customHeight="1" x14ac:dyDescent="0.15">
      <c r="A1930" s="17"/>
      <c r="B1930" s="37"/>
      <c r="C1930" s="37"/>
      <c r="D1930" s="37"/>
      <c r="E1930" s="15"/>
      <c r="F1930" s="85"/>
      <c r="G1930" s="17"/>
      <c r="H1930" s="38"/>
      <c r="I1930" s="56"/>
    </row>
    <row r="1931" spans="1:9" customFormat="1" ht="32.1" customHeight="1" x14ac:dyDescent="0.15">
      <c r="A1931" s="17"/>
      <c r="B1931" s="37"/>
      <c r="C1931" s="37"/>
      <c r="D1931" s="37"/>
      <c r="E1931" s="15"/>
      <c r="F1931" s="85"/>
      <c r="G1931" s="17"/>
      <c r="H1931" s="38"/>
      <c r="I1931" s="56"/>
    </row>
    <row r="1932" spans="1:9" customFormat="1" ht="32.1" customHeight="1" x14ac:dyDescent="0.15">
      <c r="A1932" s="17"/>
      <c r="B1932" s="37"/>
      <c r="C1932" s="37"/>
      <c r="D1932" s="37"/>
      <c r="E1932" s="15"/>
      <c r="F1932" s="85"/>
      <c r="G1932" s="17"/>
      <c r="H1932" s="38"/>
      <c r="I1932" s="56"/>
    </row>
    <row r="1933" spans="1:9" customFormat="1" ht="32.1" customHeight="1" x14ac:dyDescent="0.15">
      <c r="A1933" s="17"/>
      <c r="B1933" s="37"/>
      <c r="C1933" s="37"/>
      <c r="D1933" s="37"/>
      <c r="E1933" s="15"/>
      <c r="F1933" s="85"/>
      <c r="G1933" s="17"/>
      <c r="H1933" s="38"/>
      <c r="I1933" s="56"/>
    </row>
    <row r="1934" spans="1:9" customFormat="1" ht="32.1" customHeight="1" x14ac:dyDescent="0.15">
      <c r="A1934" s="17"/>
      <c r="B1934" s="37"/>
      <c r="C1934" s="37"/>
      <c r="D1934" s="37"/>
      <c r="E1934" s="15"/>
      <c r="F1934" s="85"/>
      <c r="G1934" s="17"/>
      <c r="H1934" s="38"/>
      <c r="I1934" s="56"/>
    </row>
    <row r="1935" spans="1:9" customFormat="1" ht="32.1" customHeight="1" x14ac:dyDescent="0.15">
      <c r="A1935" s="17"/>
      <c r="B1935" s="37"/>
      <c r="C1935" s="37"/>
      <c r="D1935" s="37"/>
      <c r="E1935" s="15"/>
      <c r="F1935" s="85"/>
      <c r="G1935" s="17"/>
      <c r="H1935" s="38"/>
      <c r="I1935" s="56"/>
    </row>
    <row r="1936" spans="1:9" customFormat="1" ht="32.1" customHeight="1" x14ac:dyDescent="0.15">
      <c r="A1936" s="17"/>
      <c r="B1936" s="37"/>
      <c r="C1936" s="37"/>
      <c r="D1936" s="37"/>
      <c r="E1936" s="15"/>
      <c r="F1936" s="85"/>
      <c r="G1936" s="17"/>
      <c r="H1936" s="38"/>
      <c r="I1936" s="56"/>
    </row>
    <row r="1937" spans="1:9" ht="32.1" customHeight="1" x14ac:dyDescent="0.15">
      <c r="A1937" s="17"/>
      <c r="B1937" s="37"/>
      <c r="C1937" s="37"/>
      <c r="D1937" s="37"/>
      <c r="E1937" s="15"/>
      <c r="F1937" s="85"/>
      <c r="G1937" s="17"/>
      <c r="H1937" s="38"/>
      <c r="I1937" s="37"/>
    </row>
    <row r="1938" spans="1:9" ht="32.1" customHeight="1" x14ac:dyDescent="0.15">
      <c r="A1938" s="17"/>
      <c r="B1938" s="37"/>
      <c r="C1938" s="37"/>
      <c r="D1938" s="37"/>
      <c r="E1938" s="15"/>
      <c r="F1938" s="37"/>
      <c r="G1938" s="17"/>
      <c r="H1938" s="38"/>
      <c r="I1938" s="37"/>
    </row>
    <row r="1939" spans="1:9" ht="32.1" customHeight="1" x14ac:dyDescent="0.15">
      <c r="A1939" s="17"/>
      <c r="B1939" s="37"/>
      <c r="C1939" s="37"/>
      <c r="D1939" s="37"/>
      <c r="E1939" s="15"/>
      <c r="F1939" s="37"/>
      <c r="G1939" s="17"/>
      <c r="H1939" s="38"/>
      <c r="I1939" s="37"/>
    </row>
    <row r="1940" spans="1:9" ht="32.1" customHeight="1" x14ac:dyDescent="0.15">
      <c r="A1940" s="17"/>
      <c r="B1940" s="37"/>
      <c r="C1940" s="37"/>
      <c r="D1940" s="37"/>
      <c r="E1940" s="15"/>
      <c r="F1940" s="37"/>
      <c r="G1940" s="17"/>
      <c r="H1940" s="38"/>
      <c r="I1940" s="37"/>
    </row>
    <row r="1941" spans="1:9" ht="21.95" customHeight="1" x14ac:dyDescent="0.15">
      <c r="A1941" s="17"/>
      <c r="B1941" s="37"/>
      <c r="C1941" s="37"/>
      <c r="D1941" s="37"/>
      <c r="E1941" s="15"/>
      <c r="F1941" s="37"/>
      <c r="G1941" s="17"/>
      <c r="H1941" s="38"/>
      <c r="I1941" s="37"/>
    </row>
    <row r="1942" spans="1:9" ht="54" customHeight="1" x14ac:dyDescent="0.15">
      <c r="A1942" s="17"/>
      <c r="B1942" s="37"/>
      <c r="C1942" s="37"/>
      <c r="D1942" s="37"/>
      <c r="E1942" s="15"/>
      <c r="F1942" s="37"/>
      <c r="G1942" s="17"/>
      <c r="H1942" s="38"/>
      <c r="I1942" s="37"/>
    </row>
    <row r="1943" spans="1:9" ht="21.95" customHeight="1" x14ac:dyDescent="0.15">
      <c r="A1943" s="17"/>
      <c r="B1943" s="37"/>
      <c r="C1943" s="37"/>
      <c r="D1943" s="37"/>
      <c r="E1943" s="15"/>
      <c r="F1943" s="37"/>
      <c r="G1943" s="17"/>
      <c r="H1943" s="38"/>
      <c r="I1943" s="37"/>
    </row>
    <row r="1944" spans="1:9" ht="21.95" customHeight="1" x14ac:dyDescent="0.15">
      <c r="A1944" s="17"/>
      <c r="B1944" s="37"/>
      <c r="C1944" s="37"/>
      <c r="D1944" s="37"/>
      <c r="E1944" s="15"/>
      <c r="F1944" s="37"/>
      <c r="G1944" s="17"/>
      <c r="H1944" s="38"/>
      <c r="I1944" s="37"/>
    </row>
    <row r="1945" spans="1:9" ht="21.95" customHeight="1" x14ac:dyDescent="0.15">
      <c r="A1945" s="17"/>
      <c r="B1945" s="37"/>
      <c r="C1945" s="37"/>
      <c r="D1945" s="37"/>
      <c r="E1945" s="15"/>
      <c r="F1945" s="37"/>
      <c r="G1945" s="17"/>
      <c r="H1945" s="38"/>
      <c r="I1945" s="37"/>
    </row>
    <row r="1946" spans="1:9" ht="21.95" customHeight="1" x14ac:dyDescent="0.15">
      <c r="A1946" s="17"/>
      <c r="B1946" s="37"/>
      <c r="C1946" s="37"/>
      <c r="D1946" s="37"/>
      <c r="E1946" s="15"/>
      <c r="F1946" s="37"/>
      <c r="G1946" s="17"/>
      <c r="H1946" s="38"/>
      <c r="I1946" s="37"/>
    </row>
    <row r="1947" spans="1:9" ht="21.95" customHeight="1" x14ac:dyDescent="0.15">
      <c r="A1947" s="17"/>
      <c r="B1947" s="37"/>
      <c r="C1947" s="37"/>
      <c r="E1947" s="15"/>
      <c r="G1947" s="17"/>
      <c r="H1947" s="38"/>
    </row>
    <row r="1948" spans="1:9" ht="21.95" customHeight="1" x14ac:dyDescent="0.15">
      <c r="A1948" s="17"/>
      <c r="B1948" s="37"/>
      <c r="C1948" s="37"/>
      <c r="E1948" s="15"/>
      <c r="G1948" s="17"/>
      <c r="H1948" s="38"/>
    </row>
    <row r="1949" spans="1:9" ht="21.95" customHeight="1" x14ac:dyDescent="0.15">
      <c r="A1949" s="17"/>
      <c r="B1949" s="37"/>
      <c r="C1949" s="37"/>
      <c r="E1949" s="15"/>
      <c r="F1949" s="37"/>
      <c r="G1949" s="13"/>
      <c r="H1949" s="38"/>
    </row>
    <row r="1950" spans="1:9" ht="21.95" customHeight="1" x14ac:dyDescent="0.15">
      <c r="A1950" s="17"/>
      <c r="B1950" s="37"/>
      <c r="C1950" s="37"/>
      <c r="E1950" s="15"/>
      <c r="F1950" s="37"/>
      <c r="G1950" s="13"/>
      <c r="H1950" s="38"/>
    </row>
    <row r="1951" spans="1:9" ht="21.95" customHeight="1" x14ac:dyDescent="0.15">
      <c r="A1951" s="17"/>
      <c r="B1951" s="37"/>
      <c r="C1951" s="37"/>
      <c r="D1951" s="37"/>
      <c r="E1951" s="15"/>
      <c r="F1951" s="37"/>
      <c r="G1951" s="13"/>
      <c r="H1951" s="38"/>
    </row>
    <row r="1952" spans="1:9" ht="21.95" customHeight="1" x14ac:dyDescent="0.15">
      <c r="A1952" s="17"/>
      <c r="B1952" s="37"/>
      <c r="C1952" s="37"/>
      <c r="D1952" s="37"/>
      <c r="E1952" s="15"/>
      <c r="F1952" s="37"/>
      <c r="G1952" s="13"/>
      <c r="H1952" s="38"/>
    </row>
    <row r="1953" spans="1:8" ht="21.95" customHeight="1" x14ac:dyDescent="0.15">
      <c r="A1953" s="17"/>
      <c r="B1953" s="37"/>
      <c r="C1953" s="37"/>
      <c r="D1953" s="37"/>
      <c r="E1953" s="15"/>
      <c r="F1953" s="37"/>
      <c r="G1953" s="13"/>
      <c r="H1953" s="38"/>
    </row>
    <row r="1954" spans="1:8" ht="21.95" customHeight="1" x14ac:dyDescent="0.15">
      <c r="A1954" s="17"/>
      <c r="B1954" s="37"/>
      <c r="C1954" s="37"/>
      <c r="D1954" s="37"/>
      <c r="E1954" s="15"/>
      <c r="F1954" s="37"/>
      <c r="G1954" s="13"/>
      <c r="H1954" s="38"/>
    </row>
    <row r="1955" spans="1:8" ht="21.95" customHeight="1" x14ac:dyDescent="0.15">
      <c r="A1955" s="17"/>
      <c r="B1955" s="37"/>
      <c r="C1955" s="37"/>
      <c r="D1955" s="37"/>
      <c r="E1955" s="15"/>
      <c r="F1955" s="37"/>
      <c r="G1955" s="13"/>
      <c r="H1955" s="38"/>
    </row>
    <row r="1956" spans="1:8" ht="21.95" customHeight="1" x14ac:dyDescent="0.15">
      <c r="A1956" s="17"/>
      <c r="B1956" s="37"/>
      <c r="C1956" s="37"/>
      <c r="D1956" s="37"/>
      <c r="E1956" s="15"/>
      <c r="F1956" s="37"/>
      <c r="G1956" s="13"/>
      <c r="H1956" s="38"/>
    </row>
    <row r="1957" spans="1:8" ht="21.95" customHeight="1" x14ac:dyDescent="0.15">
      <c r="A1957" s="17"/>
      <c r="B1957" s="37"/>
      <c r="C1957" s="37"/>
      <c r="D1957" s="37"/>
      <c r="E1957" s="15"/>
      <c r="F1957" s="37"/>
      <c r="G1957" s="13"/>
      <c r="H1957" s="38"/>
    </row>
    <row r="1958" spans="1:8" ht="21.95" customHeight="1" x14ac:dyDescent="0.15">
      <c r="A1958" s="17"/>
      <c r="B1958" s="37"/>
      <c r="C1958" s="37"/>
      <c r="D1958" s="37"/>
      <c r="E1958" s="15"/>
      <c r="F1958" s="37"/>
      <c r="G1958" s="13"/>
      <c r="H1958" s="38"/>
    </row>
    <row r="1959" spans="1:8" ht="21.95" customHeight="1" x14ac:dyDescent="0.15">
      <c r="A1959" s="17"/>
      <c r="B1959" s="37"/>
      <c r="C1959" s="37"/>
      <c r="D1959" s="37"/>
      <c r="E1959" s="15"/>
      <c r="F1959" s="37"/>
      <c r="G1959" s="13"/>
      <c r="H1959" s="38"/>
    </row>
    <row r="1960" spans="1:8" ht="21.95" customHeight="1" x14ac:dyDescent="0.15">
      <c r="A1960" s="17"/>
      <c r="B1960" s="37"/>
      <c r="C1960" s="37"/>
      <c r="D1960" s="37"/>
      <c r="E1960" s="15"/>
      <c r="F1960" s="37"/>
      <c r="G1960" s="13"/>
      <c r="H1960" s="15"/>
    </row>
    <row r="1961" spans="1:8" ht="21.95" customHeight="1" x14ac:dyDescent="0.15">
      <c r="A1961" s="17"/>
      <c r="B1961" s="37"/>
      <c r="C1961" s="37"/>
      <c r="D1961" s="37"/>
      <c r="E1961" s="15"/>
      <c r="F1961" s="37"/>
      <c r="G1961" s="13"/>
      <c r="H1961" s="15"/>
    </row>
    <row r="1962" spans="1:8" ht="21.95" customHeight="1" x14ac:dyDescent="0.15">
      <c r="A1962" s="17"/>
      <c r="B1962" s="37"/>
      <c r="C1962" s="37"/>
      <c r="D1962" s="37"/>
      <c r="E1962" s="15"/>
      <c r="F1962" s="37"/>
      <c r="G1962" s="13"/>
      <c r="H1962" s="15"/>
    </row>
    <row r="1963" spans="1:8" ht="21.95" customHeight="1" x14ac:dyDescent="0.15">
      <c r="A1963" s="17"/>
      <c r="B1963" s="37"/>
      <c r="C1963" s="37"/>
      <c r="D1963" s="37"/>
      <c r="E1963" s="15"/>
      <c r="F1963" s="37"/>
      <c r="G1963" s="13"/>
      <c r="H1963" s="15"/>
    </row>
    <row r="1964" spans="1:8" ht="21.95" customHeight="1" x14ac:dyDescent="0.15">
      <c r="A1964" s="17"/>
      <c r="B1964" s="37"/>
      <c r="C1964" s="37"/>
      <c r="D1964" s="37"/>
      <c r="E1964" s="15"/>
      <c r="F1964" s="37"/>
      <c r="G1964" s="13"/>
      <c r="H1964" s="15"/>
    </row>
    <row r="1965" spans="1:8" ht="21.95" customHeight="1" x14ac:dyDescent="0.15">
      <c r="A1965" s="17"/>
      <c r="B1965" s="37"/>
      <c r="C1965" s="37"/>
      <c r="D1965" s="37"/>
      <c r="E1965" s="15"/>
      <c r="F1965" s="37"/>
      <c r="G1965" s="13"/>
      <c r="H1965" s="15"/>
    </row>
    <row r="1966" spans="1:8" ht="21.95" customHeight="1" x14ac:dyDescent="0.15">
      <c r="A1966" s="17"/>
      <c r="B1966" s="37"/>
      <c r="C1966" s="37"/>
      <c r="D1966" s="37"/>
      <c r="E1966" s="15"/>
      <c r="F1966" s="37"/>
      <c r="G1966" s="13"/>
      <c r="H1966" s="15"/>
    </row>
    <row r="1967" spans="1:8" ht="21.95" customHeight="1" x14ac:dyDescent="0.15">
      <c r="A1967" s="17"/>
      <c r="B1967" s="37"/>
      <c r="C1967" s="37"/>
      <c r="D1967" s="37"/>
      <c r="E1967" s="15"/>
      <c r="F1967" s="37"/>
      <c r="G1967" s="13"/>
      <c r="H1967" s="15"/>
    </row>
    <row r="1968" spans="1:8" ht="21.95" customHeight="1" x14ac:dyDescent="0.15">
      <c r="A1968" s="17"/>
      <c r="B1968" s="37"/>
      <c r="C1968" s="37"/>
      <c r="D1968" s="37"/>
      <c r="E1968" s="15"/>
      <c r="F1968" s="37"/>
      <c r="G1968" s="13"/>
      <c r="H1968" s="15"/>
    </row>
    <row r="1969" spans="1:8" ht="21.95" customHeight="1" x14ac:dyDescent="0.15">
      <c r="A1969" s="17"/>
      <c r="B1969" s="37"/>
      <c r="C1969" s="37"/>
      <c r="D1969" s="37"/>
      <c r="E1969" s="15"/>
      <c r="F1969" s="37"/>
      <c r="G1969" s="13"/>
      <c r="H1969" s="15"/>
    </row>
    <row r="1970" spans="1:8" ht="21.95" customHeight="1" x14ac:dyDescent="0.15">
      <c r="A1970" s="17"/>
      <c r="B1970" s="37"/>
      <c r="C1970" s="37"/>
      <c r="D1970" s="37"/>
      <c r="E1970" s="15"/>
      <c r="F1970" s="37"/>
      <c r="G1970" s="13"/>
      <c r="H1970" s="15"/>
    </row>
    <row r="1971" spans="1:8" ht="21.95" customHeight="1" x14ac:dyDescent="0.15">
      <c r="A1971" s="17"/>
      <c r="B1971" s="37"/>
      <c r="C1971" s="37"/>
      <c r="D1971" s="37"/>
      <c r="E1971" s="15"/>
      <c r="F1971" s="37"/>
      <c r="G1971" s="13"/>
      <c r="H1971" s="15"/>
    </row>
    <row r="1972" spans="1:8" ht="21.95" customHeight="1" x14ac:dyDescent="0.15">
      <c r="A1972" s="17"/>
      <c r="B1972" s="37"/>
      <c r="C1972" s="37"/>
      <c r="D1972" s="37"/>
      <c r="E1972" s="15"/>
      <c r="F1972" s="37"/>
      <c r="G1972" s="13"/>
      <c r="H1972" s="15"/>
    </row>
    <row r="1973" spans="1:8" ht="21.95" customHeight="1" x14ac:dyDescent="0.15">
      <c r="A1973" s="17"/>
      <c r="B1973" s="37"/>
      <c r="C1973" s="37"/>
      <c r="D1973" s="37"/>
      <c r="E1973" s="15"/>
      <c r="F1973" s="37"/>
      <c r="G1973" s="13"/>
      <c r="H1973" s="15"/>
    </row>
    <row r="1974" spans="1:8" ht="21.95" customHeight="1" x14ac:dyDescent="0.15">
      <c r="A1974" s="17"/>
      <c r="B1974" s="37"/>
      <c r="C1974" s="37"/>
      <c r="D1974" s="37"/>
      <c r="E1974" s="15"/>
      <c r="F1974" s="37"/>
      <c r="G1974" s="13"/>
      <c r="H1974" s="15"/>
    </row>
    <row r="1975" spans="1:8" ht="21.95" customHeight="1" x14ac:dyDescent="0.15">
      <c r="A1975" s="17"/>
      <c r="B1975" s="37"/>
      <c r="C1975" s="37"/>
      <c r="D1975" s="37"/>
      <c r="E1975" s="15"/>
      <c r="F1975" s="37"/>
      <c r="G1975" s="13"/>
      <c r="H1975" s="15"/>
    </row>
    <row r="1976" spans="1:8" ht="21.95" customHeight="1" x14ac:dyDescent="0.15">
      <c r="A1976" s="17"/>
      <c r="B1976" s="37"/>
      <c r="C1976" s="37"/>
      <c r="D1976" s="37"/>
      <c r="E1976" s="15"/>
      <c r="F1976" s="37"/>
      <c r="G1976" s="13"/>
      <c r="H1976" s="15"/>
    </row>
    <row r="1977" spans="1:8" ht="21.95" customHeight="1" x14ac:dyDescent="0.15">
      <c r="A1977" s="17"/>
      <c r="B1977" s="37"/>
      <c r="C1977" s="37"/>
      <c r="D1977" s="37"/>
      <c r="E1977" s="15"/>
      <c r="F1977" s="37"/>
      <c r="G1977" s="13"/>
      <c r="H1977" s="15"/>
    </row>
    <row r="1978" spans="1:8" ht="21.95" customHeight="1" x14ac:dyDescent="0.15">
      <c r="A1978" s="17"/>
      <c r="B1978" s="37"/>
      <c r="C1978" s="37"/>
      <c r="D1978" s="37"/>
      <c r="E1978" s="15"/>
      <c r="F1978" s="37"/>
      <c r="G1978" s="37"/>
      <c r="H1978" s="15"/>
    </row>
    <row r="1979" spans="1:8" ht="21.95" customHeight="1" x14ac:dyDescent="0.15">
      <c r="A1979" s="17"/>
      <c r="B1979" s="37"/>
      <c r="C1979" s="37"/>
      <c r="D1979" s="37"/>
      <c r="E1979" s="15"/>
      <c r="F1979" s="37"/>
      <c r="G1979" s="13"/>
      <c r="H1979" s="15"/>
    </row>
    <row r="1980" spans="1:8" ht="21.95" customHeight="1" x14ac:dyDescent="0.15">
      <c r="A1980" s="17"/>
      <c r="B1980" s="37"/>
      <c r="C1980" s="37"/>
      <c r="D1980" s="37"/>
      <c r="E1980" s="15"/>
      <c r="F1980" s="37"/>
      <c r="G1980" s="13"/>
      <c r="H1980" s="15"/>
    </row>
    <row r="1981" spans="1:8" ht="21.95" customHeight="1" x14ac:dyDescent="0.15">
      <c r="A1981" s="17"/>
      <c r="B1981" s="37"/>
      <c r="C1981" s="37"/>
      <c r="D1981" s="37"/>
      <c r="E1981" s="15"/>
      <c r="F1981" s="37"/>
      <c r="G1981" s="13"/>
      <c r="H1981" s="15"/>
    </row>
    <row r="1982" spans="1:8" ht="21.95" customHeight="1" x14ac:dyDescent="0.15">
      <c r="A1982" s="17"/>
      <c r="B1982" s="37"/>
      <c r="C1982" s="37"/>
      <c r="D1982" s="37"/>
      <c r="E1982" s="15"/>
      <c r="F1982" s="37"/>
      <c r="G1982" s="13"/>
      <c r="H1982" s="15"/>
    </row>
    <row r="1983" spans="1:8" ht="21.95" customHeight="1" x14ac:dyDescent="0.15">
      <c r="A1983" s="17"/>
      <c r="B1983" s="37"/>
      <c r="C1983" s="37"/>
      <c r="D1983" s="37"/>
      <c r="E1983" s="15"/>
      <c r="F1983" s="37"/>
      <c r="G1983" s="13"/>
      <c r="H1983" s="15"/>
    </row>
    <row r="1984" spans="1:8" ht="21.95" customHeight="1" x14ac:dyDescent="0.15">
      <c r="A1984" s="17"/>
      <c r="B1984" s="37"/>
      <c r="C1984" s="37"/>
      <c r="D1984" s="37"/>
      <c r="E1984" s="15"/>
      <c r="F1984" s="37"/>
      <c r="G1984" s="13"/>
      <c r="H1984" s="15"/>
    </row>
    <row r="1985" spans="1:9" ht="21.95" customHeight="1" x14ac:dyDescent="0.15">
      <c r="A1985" s="17"/>
      <c r="B1985" s="37"/>
      <c r="C1985" s="37"/>
      <c r="D1985" s="37"/>
      <c r="E1985" s="15"/>
      <c r="F1985" s="37"/>
      <c r="G1985" s="13"/>
      <c r="H1985" s="15"/>
    </row>
    <row r="1986" spans="1:9" ht="21.95" customHeight="1" x14ac:dyDescent="0.15">
      <c r="A1986" s="17"/>
      <c r="B1986" s="37"/>
      <c r="C1986" s="37"/>
      <c r="D1986" s="37"/>
      <c r="E1986" s="15"/>
      <c r="F1986" s="37"/>
      <c r="G1986" s="13"/>
      <c r="H1986" s="15"/>
    </row>
    <row r="1987" spans="1:9" ht="21.95" customHeight="1" x14ac:dyDescent="0.15">
      <c r="A1987" s="17"/>
      <c r="B1987" s="37"/>
      <c r="C1987" s="37"/>
      <c r="D1987" s="37"/>
      <c r="E1987" s="15"/>
      <c r="F1987" s="37"/>
      <c r="G1987" s="13"/>
      <c r="H1987" s="15"/>
    </row>
    <row r="1988" spans="1:9" ht="21.95" customHeight="1" x14ac:dyDescent="0.15">
      <c r="A1988" s="17"/>
      <c r="B1988" s="37"/>
      <c r="C1988" s="37"/>
      <c r="D1988" s="37"/>
      <c r="E1988" s="15"/>
      <c r="F1988" s="37"/>
      <c r="G1988" s="13"/>
      <c r="H1988" s="15"/>
    </row>
    <row r="1989" spans="1:9" ht="21.95" customHeight="1" x14ac:dyDescent="0.15">
      <c r="A1989" s="17"/>
      <c r="B1989" s="37"/>
      <c r="C1989" s="37"/>
      <c r="D1989" s="37"/>
      <c r="E1989" s="15"/>
      <c r="F1989" s="37"/>
      <c r="G1989" s="13"/>
      <c r="H1989" s="15"/>
    </row>
    <row r="1990" spans="1:9" ht="21.95" customHeight="1" x14ac:dyDescent="0.15">
      <c r="A1990" s="17"/>
      <c r="B1990" s="37"/>
      <c r="C1990" s="37"/>
      <c r="D1990" s="37"/>
      <c r="E1990" s="15"/>
      <c r="F1990" s="37"/>
      <c r="G1990" s="13"/>
      <c r="H1990" s="15"/>
    </row>
    <row r="1991" spans="1:9" ht="21.95" customHeight="1" x14ac:dyDescent="0.15">
      <c r="A1991" s="17"/>
      <c r="B1991" s="37"/>
      <c r="C1991" s="37"/>
      <c r="D1991" s="37"/>
      <c r="E1991" s="15"/>
      <c r="F1991" s="37"/>
      <c r="G1991" s="13"/>
      <c r="H1991" s="38"/>
      <c r="I1991" s="84"/>
    </row>
    <row r="1992" spans="1:9" ht="21.95" customHeight="1" x14ac:dyDescent="0.15">
      <c r="A1992" s="17"/>
      <c r="B1992" s="37"/>
      <c r="C1992" s="37"/>
      <c r="D1992" s="37"/>
      <c r="E1992" s="15"/>
      <c r="F1992" s="37"/>
      <c r="G1992" s="13"/>
      <c r="H1992" s="15"/>
      <c r="I1992" s="84"/>
    </row>
    <row r="1993" spans="1:9" ht="35.1" customHeight="1" x14ac:dyDescent="0.15">
      <c r="A1993" s="17"/>
      <c r="B1993" s="37"/>
      <c r="C1993" s="37"/>
      <c r="D1993" s="37"/>
      <c r="E1993" s="15"/>
      <c r="F1993" s="15"/>
      <c r="G1993" s="37"/>
      <c r="H1993" s="15"/>
    </row>
    <row r="1994" spans="1:9" ht="21.95" customHeight="1" x14ac:dyDescent="0.15">
      <c r="A1994" s="17"/>
      <c r="B1994" s="37"/>
      <c r="C1994" s="37"/>
      <c r="D1994" s="37"/>
      <c r="E1994" s="15"/>
      <c r="F1994" s="37"/>
      <c r="G1994" s="13"/>
      <c r="H1994" s="15"/>
    </row>
    <row r="1995" spans="1:9" ht="21.95" customHeight="1" x14ac:dyDescent="0.15">
      <c r="A1995" s="17"/>
      <c r="B1995" s="37"/>
      <c r="C1995" s="37"/>
      <c r="D1995" s="37"/>
      <c r="E1995" s="15"/>
      <c r="F1995" s="37"/>
      <c r="G1995" s="13"/>
      <c r="H1995" s="15"/>
    </row>
    <row r="1996" spans="1:9" ht="21.95" customHeight="1" x14ac:dyDescent="0.15">
      <c r="A1996" s="17"/>
      <c r="B1996" s="37"/>
      <c r="C1996" s="37"/>
      <c r="D1996" s="37"/>
      <c r="E1996" s="15"/>
      <c r="F1996" s="37"/>
      <c r="G1996" s="13"/>
      <c r="H1996" s="15"/>
    </row>
    <row r="1997" spans="1:9" ht="21.95" customHeight="1" x14ac:dyDescent="0.15">
      <c r="A1997" s="17"/>
      <c r="B1997" s="37"/>
      <c r="C1997" s="37"/>
      <c r="D1997" s="37"/>
      <c r="E1997" s="15"/>
      <c r="F1997" s="37"/>
      <c r="G1997" s="13"/>
      <c r="H1997" s="15"/>
    </row>
    <row r="1998" spans="1:9" ht="21.95" customHeight="1" x14ac:dyDescent="0.15">
      <c r="A1998" s="17"/>
      <c r="B1998" s="37"/>
      <c r="C1998" s="37"/>
      <c r="D1998" s="37"/>
      <c r="E1998" s="15"/>
      <c r="F1998" s="37"/>
      <c r="G1998" s="13"/>
      <c r="H1998" s="15"/>
    </row>
    <row r="1999" spans="1:9" ht="21.95" customHeight="1" x14ac:dyDescent="0.15">
      <c r="A1999" s="17"/>
      <c r="B1999" s="37"/>
      <c r="C1999" s="37"/>
      <c r="D1999" s="37"/>
      <c r="E1999" s="15"/>
      <c r="F1999" s="37"/>
      <c r="G1999" s="13"/>
      <c r="H1999" s="15"/>
      <c r="I1999" s="37"/>
    </row>
    <row r="2000" spans="1:9" ht="21.95" customHeight="1" x14ac:dyDescent="0.15">
      <c r="A2000" s="17"/>
      <c r="B2000" s="37"/>
      <c r="C2000" s="37"/>
      <c r="D2000" s="37"/>
      <c r="E2000" s="15"/>
      <c r="F2000" s="37"/>
      <c r="G2000" s="37"/>
      <c r="H2000" s="15"/>
      <c r="I2000" s="37"/>
    </row>
    <row r="2001" spans="1:9" ht="21.95" customHeight="1" x14ac:dyDescent="0.15">
      <c r="A2001" s="17"/>
      <c r="B2001" s="37"/>
      <c r="C2001" s="37"/>
      <c r="D2001" s="37"/>
      <c r="E2001" s="15"/>
      <c r="F2001" s="37"/>
      <c r="G2001" s="37"/>
      <c r="H2001" s="38"/>
      <c r="I2001" s="37"/>
    </row>
    <row r="2002" spans="1:9" ht="21.95" customHeight="1" x14ac:dyDescent="0.15">
      <c r="A2002" s="17"/>
      <c r="B2002" s="37"/>
      <c r="C2002" s="37"/>
      <c r="D2002" s="37"/>
      <c r="E2002" s="15"/>
      <c r="F2002" s="37"/>
      <c r="G2002" s="37"/>
      <c r="H2002" s="38"/>
      <c r="I2002" s="37"/>
    </row>
    <row r="2003" spans="1:9" ht="21.95" customHeight="1" x14ac:dyDescent="0.15">
      <c r="A2003" s="17"/>
      <c r="B2003" s="37"/>
      <c r="C2003" s="37"/>
      <c r="D2003" s="37"/>
      <c r="E2003" s="15"/>
      <c r="F2003" s="37"/>
      <c r="G2003" s="13"/>
      <c r="H2003" s="15"/>
      <c r="I2003" s="37"/>
    </row>
    <row r="2004" spans="1:9" ht="21.95" customHeight="1" x14ac:dyDescent="0.15">
      <c r="A2004" s="17"/>
      <c r="B2004" s="37"/>
      <c r="C2004" s="37"/>
      <c r="D2004" s="37"/>
      <c r="E2004" s="15"/>
      <c r="F2004" s="37"/>
      <c r="G2004" s="13"/>
      <c r="H2004" s="15"/>
      <c r="I2004" s="37"/>
    </row>
    <row r="2005" spans="1:9" ht="21.95" customHeight="1" x14ac:dyDescent="0.15">
      <c r="A2005" s="17"/>
      <c r="B2005" s="37"/>
      <c r="C2005" s="37"/>
      <c r="D2005" s="37"/>
      <c r="E2005" s="15"/>
      <c r="F2005" s="37"/>
      <c r="G2005" s="13"/>
      <c r="H2005" s="15"/>
      <c r="I2005" s="37"/>
    </row>
    <row r="2006" spans="1:9" ht="21.95" customHeight="1" x14ac:dyDescent="0.15">
      <c r="A2006" s="17"/>
      <c r="B2006" s="37"/>
      <c r="C2006" s="37"/>
      <c r="E2006" s="15"/>
      <c r="F2006" s="37"/>
      <c r="H2006" s="38"/>
    </row>
    <row r="2007" spans="1:9" ht="21.95" customHeight="1" x14ac:dyDescent="0.15">
      <c r="A2007" s="17"/>
      <c r="B2007" s="37"/>
      <c r="C2007" s="37"/>
      <c r="E2007" s="15"/>
      <c r="F2007" s="37"/>
    </row>
    <row r="2008" spans="1:9" ht="21.95" customHeight="1" x14ac:dyDescent="0.15">
      <c r="A2008" s="17"/>
      <c r="B2008" s="37"/>
      <c r="C2008" s="37"/>
      <c r="E2008" s="15"/>
      <c r="G2008" s="77"/>
    </row>
    <row r="2009" spans="1:9" ht="21.95" customHeight="1" x14ac:dyDescent="0.15">
      <c r="A2009" s="17"/>
      <c r="B2009" s="37"/>
      <c r="C2009" s="37"/>
      <c r="D2009" s="37"/>
      <c r="E2009" s="15"/>
      <c r="F2009" s="37"/>
      <c r="G2009" s="37"/>
      <c r="H2009" s="15"/>
    </row>
    <row r="2010" spans="1:9" ht="21.95" customHeight="1" x14ac:dyDescent="0.15">
      <c r="A2010" s="17"/>
      <c r="B2010" s="37"/>
      <c r="C2010" s="37"/>
      <c r="D2010" s="37"/>
      <c r="E2010" s="15"/>
      <c r="F2010" s="37"/>
      <c r="G2010" s="13"/>
      <c r="H2010" s="15"/>
    </row>
    <row r="2011" spans="1:9" ht="21.95" customHeight="1" x14ac:dyDescent="0.15">
      <c r="A2011" s="17"/>
      <c r="B2011" s="37"/>
      <c r="C2011" s="37"/>
      <c r="D2011" s="37"/>
      <c r="E2011" s="15"/>
      <c r="F2011" s="37"/>
      <c r="G2011" s="13"/>
      <c r="H2011" s="15"/>
    </row>
    <row r="2012" spans="1:9" ht="21.95" customHeight="1" x14ac:dyDescent="0.15">
      <c r="A2012" s="17"/>
      <c r="C2012" s="37"/>
    </row>
    <row r="2013" spans="1:9" ht="21.95" customHeight="1" x14ac:dyDescent="0.15">
      <c r="A2013" s="17"/>
      <c r="B2013" s="37"/>
      <c r="C2013" s="37"/>
      <c r="D2013" s="13"/>
      <c r="E2013" s="15"/>
      <c r="F2013" s="37"/>
      <c r="G2013" s="13"/>
      <c r="H2013" s="15"/>
      <c r="I2013" s="13"/>
    </row>
    <row r="2014" spans="1:9" ht="21.95" customHeight="1" x14ac:dyDescent="0.15">
      <c r="A2014" s="17"/>
      <c r="B2014" s="13"/>
      <c r="C2014" s="13"/>
      <c r="D2014" s="13"/>
      <c r="E2014" s="15"/>
      <c r="F2014" s="37"/>
      <c r="G2014" s="13"/>
      <c r="H2014" s="15"/>
      <c r="I2014" s="13"/>
    </row>
    <row r="2015" spans="1:9" ht="21.95" customHeight="1" x14ac:dyDescent="0.15">
      <c r="A2015" s="17"/>
      <c r="B2015" s="13"/>
      <c r="C2015" s="13"/>
      <c r="D2015" s="13"/>
      <c r="E2015" s="15"/>
      <c r="F2015" s="37"/>
      <c r="G2015" s="13"/>
      <c r="H2015" s="15"/>
      <c r="I2015" s="13"/>
    </row>
    <row r="2016" spans="1:9" ht="21.95" customHeight="1" x14ac:dyDescent="0.15">
      <c r="A2016" s="17"/>
      <c r="B2016" s="13"/>
      <c r="C2016" s="13"/>
      <c r="D2016" s="13"/>
      <c r="E2016" s="15"/>
      <c r="F2016" s="37"/>
      <c r="G2016" s="13"/>
      <c r="H2016" s="15"/>
      <c r="I2016" s="13"/>
    </row>
    <row r="2017" spans="1:9" customFormat="1" ht="21.95" customHeight="1" x14ac:dyDescent="0.15">
      <c r="A2017" s="17"/>
      <c r="B2017" s="40"/>
      <c r="C2017" s="40"/>
      <c r="D2017" s="40"/>
      <c r="E2017" s="38"/>
      <c r="F2017" s="85"/>
      <c r="G2017" s="40"/>
      <c r="H2017" s="38"/>
      <c r="I2017" s="40"/>
    </row>
    <row r="2018" spans="1:9" customFormat="1" ht="21.95" customHeight="1" x14ac:dyDescent="0.15">
      <c r="A2018" s="17"/>
      <c r="B2018" s="37"/>
      <c r="C2018" s="37"/>
      <c r="D2018" s="40"/>
      <c r="E2018" s="15"/>
      <c r="F2018" s="85"/>
      <c r="G2018" s="42"/>
      <c r="H2018" s="38"/>
      <c r="I2018" s="56"/>
    </row>
    <row r="2019" spans="1:9" customFormat="1" ht="21.95" customHeight="1" x14ac:dyDescent="0.15">
      <c r="A2019" s="17"/>
      <c r="B2019" s="37"/>
      <c r="C2019" s="95"/>
      <c r="D2019" s="40"/>
      <c r="E2019" s="15"/>
      <c r="F2019" s="85"/>
      <c r="G2019" s="42"/>
      <c r="H2019" s="38"/>
      <c r="I2019" s="56"/>
    </row>
    <row r="2020" spans="1:9" customFormat="1" ht="21.95" customHeight="1" x14ac:dyDescent="0.15">
      <c r="A2020" s="17"/>
      <c r="B2020" s="37"/>
      <c r="C2020" s="95"/>
      <c r="D2020" s="40"/>
      <c r="E2020" s="15"/>
      <c r="F2020" s="85"/>
      <c r="G2020" s="17"/>
      <c r="H2020" s="38"/>
      <c r="I2020" s="56"/>
    </row>
    <row r="2021" spans="1:9" customFormat="1" ht="21.95" customHeight="1" x14ac:dyDescent="0.15">
      <c r="A2021" s="17"/>
      <c r="B2021" s="37"/>
      <c r="C2021" s="37"/>
      <c r="D2021" s="40"/>
      <c r="E2021" s="15"/>
      <c r="F2021" s="85"/>
      <c r="G2021" s="42"/>
      <c r="H2021" s="38"/>
      <c r="I2021" s="56"/>
    </row>
    <row r="2022" spans="1:9" customFormat="1" ht="21.95" customHeight="1" x14ac:dyDescent="0.15">
      <c r="A2022" s="17"/>
      <c r="B2022" s="37"/>
      <c r="C2022" s="37"/>
      <c r="D2022" s="40"/>
      <c r="E2022" s="15"/>
      <c r="F2022" s="85"/>
      <c r="G2022" s="17"/>
      <c r="H2022" s="38"/>
      <c r="I2022" s="56"/>
    </row>
    <row r="2023" spans="1:9" customFormat="1" ht="21.95" customHeight="1" x14ac:dyDescent="0.15">
      <c r="A2023" s="17"/>
      <c r="B2023" s="37"/>
      <c r="C2023" s="37"/>
      <c r="D2023" s="40"/>
      <c r="E2023" s="15"/>
      <c r="F2023" s="85"/>
      <c r="G2023" s="42"/>
      <c r="H2023" s="38"/>
      <c r="I2023" s="56"/>
    </row>
    <row r="2024" spans="1:9" customFormat="1" ht="21.95" customHeight="1" x14ac:dyDescent="0.15">
      <c r="A2024" s="17"/>
      <c r="B2024" s="37"/>
      <c r="C2024" s="37"/>
      <c r="D2024" s="40"/>
      <c r="E2024" s="15"/>
      <c r="F2024" s="85"/>
      <c r="G2024" s="17"/>
      <c r="H2024" s="38"/>
      <c r="I2024" s="56"/>
    </row>
    <row r="2025" spans="1:9" customFormat="1" ht="21.95" customHeight="1" x14ac:dyDescent="0.15">
      <c r="A2025" s="17"/>
      <c r="B2025" s="37"/>
      <c r="C2025" s="37"/>
      <c r="D2025" s="40"/>
      <c r="E2025" s="15"/>
      <c r="F2025" s="85"/>
      <c r="G2025" s="42"/>
      <c r="H2025" s="38"/>
      <c r="I2025" s="56"/>
    </row>
    <row r="2026" spans="1:9" customFormat="1" ht="21.95" customHeight="1" x14ac:dyDescent="0.15">
      <c r="A2026" s="17"/>
      <c r="B2026" s="37"/>
      <c r="C2026" s="37"/>
      <c r="D2026" s="40"/>
      <c r="E2026" s="15"/>
      <c r="F2026" s="85"/>
      <c r="G2026" s="17"/>
      <c r="H2026" s="38"/>
      <c r="I2026" s="56"/>
    </row>
    <row r="2027" spans="1:9" customFormat="1" ht="21.95" customHeight="1" x14ac:dyDescent="0.15">
      <c r="A2027" s="17"/>
      <c r="B2027" s="37"/>
      <c r="C2027" s="37"/>
      <c r="D2027" s="40"/>
      <c r="E2027" s="15"/>
      <c r="F2027" s="85"/>
      <c r="G2027" s="42"/>
      <c r="H2027" s="38"/>
      <c r="I2027" s="56"/>
    </row>
    <row r="2028" spans="1:9" ht="21.95" customHeight="1" x14ac:dyDescent="0.15">
      <c r="A2028" s="17"/>
      <c r="B2028" s="37"/>
      <c r="C2028" s="37"/>
      <c r="D2028" s="37"/>
      <c r="E2028" s="15"/>
      <c r="F2028" s="85"/>
      <c r="G2028" s="17"/>
      <c r="H2028" s="38"/>
    </row>
    <row r="2029" spans="1:9" ht="21.95" customHeight="1" x14ac:dyDescent="0.15">
      <c r="A2029" s="17"/>
      <c r="B2029" s="37"/>
      <c r="C2029" s="37"/>
      <c r="D2029" s="37"/>
      <c r="E2029" s="15"/>
      <c r="F2029" s="85"/>
      <c r="H2029" s="38"/>
    </row>
    <row r="2030" spans="1:9" ht="21.95" customHeight="1" x14ac:dyDescent="0.15">
      <c r="A2030" s="17"/>
      <c r="B2030" s="37"/>
      <c r="C2030" s="37"/>
      <c r="D2030" s="37"/>
      <c r="E2030" s="15"/>
      <c r="F2030" s="85"/>
      <c r="H2030" s="38"/>
    </row>
    <row r="2031" spans="1:9" ht="21.95" customHeight="1" x14ac:dyDescent="0.15">
      <c r="A2031" s="17"/>
      <c r="B2031" s="37"/>
      <c r="C2031" s="37"/>
      <c r="D2031" s="37"/>
      <c r="E2031" s="15"/>
      <c r="F2031" s="85"/>
      <c r="G2031" s="17"/>
      <c r="H2031" s="38"/>
    </row>
    <row r="2032" spans="1:9" customFormat="1" ht="21.95" customHeight="1" x14ac:dyDescent="0.15">
      <c r="A2032" s="17"/>
      <c r="B2032" s="37"/>
      <c r="C2032" s="37"/>
      <c r="D2032" s="37"/>
      <c r="E2032" s="15"/>
      <c r="F2032" s="85"/>
      <c r="G2032" s="17"/>
      <c r="H2032" s="38"/>
      <c r="I2032" s="42"/>
    </row>
    <row r="2033" spans="1:9" customFormat="1" ht="21.95" customHeight="1" x14ac:dyDescent="0.15">
      <c r="A2033" s="17"/>
      <c r="B2033" s="37"/>
      <c r="C2033" s="37"/>
      <c r="D2033" s="37"/>
      <c r="E2033" s="15"/>
      <c r="F2033" s="85"/>
      <c r="G2033" s="17"/>
      <c r="H2033" s="38"/>
      <c r="I2033" s="42"/>
    </row>
    <row r="2034" spans="1:9" customFormat="1" ht="21.95" customHeight="1" x14ac:dyDescent="0.15">
      <c r="A2034" s="17"/>
      <c r="B2034" s="37"/>
      <c r="C2034" s="37"/>
      <c r="D2034" s="37"/>
      <c r="E2034" s="15"/>
      <c r="F2034" s="85"/>
      <c r="G2034" s="17"/>
      <c r="H2034" s="38"/>
      <c r="I2034" s="42"/>
    </row>
    <row r="2035" spans="1:9" customFormat="1" ht="21.95" customHeight="1" x14ac:dyDescent="0.15">
      <c r="A2035" s="17"/>
      <c r="B2035" s="37"/>
      <c r="C2035" s="37"/>
      <c r="D2035" s="37"/>
      <c r="E2035" s="15"/>
      <c r="F2035" s="85"/>
      <c r="G2035" s="17"/>
      <c r="H2035" s="38"/>
      <c r="I2035" s="42"/>
    </row>
    <row r="2036" spans="1:9" customFormat="1" ht="21.95" customHeight="1" x14ac:dyDescent="0.15">
      <c r="A2036" s="17"/>
      <c r="B2036" s="37"/>
      <c r="C2036" s="37"/>
      <c r="D2036" s="37"/>
      <c r="E2036" s="15"/>
      <c r="F2036" s="85"/>
      <c r="G2036" s="17"/>
      <c r="H2036" s="38"/>
      <c r="I2036" s="42"/>
    </row>
    <row r="2037" spans="1:9" customFormat="1" ht="21.95" customHeight="1" x14ac:dyDescent="0.15">
      <c r="A2037" s="17"/>
      <c r="B2037" s="37"/>
      <c r="C2037" s="37"/>
      <c r="D2037" s="37"/>
      <c r="E2037" s="15"/>
      <c r="F2037" s="85"/>
      <c r="G2037" s="17"/>
      <c r="H2037" s="38"/>
      <c r="I2037" s="42"/>
    </row>
    <row r="2038" spans="1:9" customFormat="1" ht="21.95" customHeight="1" x14ac:dyDescent="0.15">
      <c r="A2038" s="17"/>
      <c r="B2038" s="37"/>
      <c r="C2038" s="37"/>
      <c r="D2038" s="37"/>
      <c r="E2038" s="15"/>
      <c r="F2038" s="85"/>
      <c r="G2038" s="17"/>
      <c r="H2038" s="38"/>
      <c r="I2038" s="42"/>
    </row>
    <row r="2039" spans="1:9" customFormat="1" ht="21.95" customHeight="1" x14ac:dyDescent="0.15">
      <c r="A2039" s="17"/>
      <c r="B2039" s="37"/>
      <c r="C2039" s="37"/>
      <c r="D2039" s="37"/>
      <c r="E2039" s="15"/>
      <c r="F2039" s="85"/>
      <c r="G2039" s="17"/>
      <c r="H2039" s="38"/>
      <c r="I2039" s="42"/>
    </row>
    <row r="2040" spans="1:9" customFormat="1" ht="21.95" customHeight="1" x14ac:dyDescent="0.15">
      <c r="A2040" s="17"/>
      <c r="B2040" s="37"/>
      <c r="C2040" s="37"/>
      <c r="D2040" s="37"/>
      <c r="E2040" s="15"/>
      <c r="F2040" s="85"/>
      <c r="G2040" s="17"/>
      <c r="H2040" s="38"/>
      <c r="I2040" s="42"/>
    </row>
    <row r="2041" spans="1:9" customFormat="1" ht="21.95" customHeight="1" x14ac:dyDescent="0.15">
      <c r="A2041" s="17"/>
      <c r="B2041" s="37"/>
      <c r="C2041" s="37"/>
      <c r="D2041" s="37"/>
      <c r="E2041" s="15"/>
      <c r="F2041" s="85"/>
      <c r="G2041" s="17"/>
      <c r="H2041" s="38"/>
      <c r="I2041" s="56"/>
    </row>
    <row r="2042" spans="1:9" customFormat="1" ht="21.95" customHeight="1" x14ac:dyDescent="0.15">
      <c r="A2042" s="17"/>
      <c r="B2042" s="37"/>
      <c r="C2042" s="37"/>
      <c r="D2042" s="37"/>
      <c r="E2042" s="15"/>
      <c r="F2042" s="85"/>
      <c r="G2042" s="17"/>
      <c r="H2042" s="38"/>
      <c r="I2042" s="56"/>
    </row>
    <row r="2043" spans="1:9" customFormat="1" ht="32.1" customHeight="1" x14ac:dyDescent="0.15">
      <c r="A2043" s="17"/>
      <c r="B2043" s="37"/>
      <c r="C2043" s="37"/>
      <c r="D2043" s="37"/>
      <c r="E2043" s="15"/>
      <c r="F2043" s="85"/>
      <c r="G2043" s="17"/>
      <c r="H2043" s="38"/>
      <c r="I2043" s="56"/>
    </row>
    <row r="2044" spans="1:9" customFormat="1" ht="32.1" customHeight="1" x14ac:dyDescent="0.15">
      <c r="A2044" s="17"/>
      <c r="B2044" s="37"/>
      <c r="C2044" s="37"/>
      <c r="D2044" s="37"/>
      <c r="E2044" s="15"/>
      <c r="F2044" s="85"/>
      <c r="G2044" s="17"/>
      <c r="H2044" s="38"/>
      <c r="I2044" s="56"/>
    </row>
    <row r="2045" spans="1:9" customFormat="1" ht="32.1" customHeight="1" x14ac:dyDescent="0.15">
      <c r="A2045" s="17"/>
      <c r="B2045" s="37"/>
      <c r="C2045" s="37"/>
      <c r="D2045" s="37"/>
      <c r="E2045" s="15"/>
      <c r="F2045" s="85"/>
      <c r="G2045" s="17"/>
      <c r="H2045" s="38"/>
      <c r="I2045" s="56"/>
    </row>
    <row r="2046" spans="1:9" customFormat="1" ht="32.1" customHeight="1" x14ac:dyDescent="0.15">
      <c r="A2046" s="17"/>
      <c r="B2046" s="37"/>
      <c r="C2046" s="37"/>
      <c r="D2046" s="37"/>
      <c r="E2046" s="15"/>
      <c r="F2046" s="85"/>
      <c r="G2046" s="17"/>
      <c r="H2046" s="38"/>
      <c r="I2046" s="56"/>
    </row>
    <row r="2047" spans="1:9" customFormat="1" ht="32.1" customHeight="1" x14ac:dyDescent="0.15">
      <c r="A2047" s="17"/>
      <c r="B2047" s="37"/>
      <c r="C2047" s="37"/>
      <c r="D2047" s="37"/>
      <c r="E2047" s="15"/>
      <c r="F2047" s="85"/>
      <c r="G2047" s="17"/>
      <c r="H2047" s="38"/>
      <c r="I2047" s="56"/>
    </row>
    <row r="2048" spans="1:9" customFormat="1" ht="32.1" customHeight="1" x14ac:dyDescent="0.15">
      <c r="A2048" s="17"/>
      <c r="B2048" s="37"/>
      <c r="C2048" s="37"/>
      <c r="D2048" s="37"/>
      <c r="E2048" s="15"/>
      <c r="F2048" s="85"/>
      <c r="G2048" s="17"/>
      <c r="H2048" s="38"/>
      <c r="I2048" s="56"/>
    </row>
    <row r="2049" spans="1:9" ht="32.1" customHeight="1" x14ac:dyDescent="0.15">
      <c r="A2049" s="17"/>
      <c r="B2049" s="37"/>
      <c r="C2049" s="37"/>
      <c r="D2049" s="37"/>
      <c r="E2049" s="15"/>
      <c r="F2049" s="85"/>
      <c r="G2049" s="17"/>
      <c r="H2049" s="38"/>
      <c r="I2049" s="37"/>
    </row>
    <row r="2050" spans="1:9" ht="32.1" customHeight="1" x14ac:dyDescent="0.15">
      <c r="A2050" s="17"/>
      <c r="B2050" s="37"/>
      <c r="C2050" s="37"/>
      <c r="D2050" s="37"/>
      <c r="E2050" s="15"/>
      <c r="F2050" s="37"/>
      <c r="G2050" s="17"/>
      <c r="H2050" s="38"/>
      <c r="I2050" s="37"/>
    </row>
    <row r="2051" spans="1:9" ht="32.1" customHeight="1" x14ac:dyDescent="0.15">
      <c r="A2051" s="17"/>
      <c r="B2051" s="37"/>
      <c r="C2051" s="37"/>
      <c r="D2051" s="37"/>
      <c r="E2051" s="15"/>
      <c r="F2051" s="37"/>
      <c r="G2051" s="17"/>
      <c r="H2051" s="38"/>
      <c r="I2051" s="37"/>
    </row>
    <row r="2052" spans="1:9" ht="32.1" customHeight="1" x14ac:dyDescent="0.15">
      <c r="A2052" s="17"/>
      <c r="B2052" s="37"/>
      <c r="C2052" s="37"/>
      <c r="D2052" s="37"/>
      <c r="E2052" s="15"/>
      <c r="F2052" s="37"/>
      <c r="G2052" s="17"/>
      <c r="H2052" s="38"/>
      <c r="I2052" s="37"/>
    </row>
    <row r="2053" spans="1:9" ht="21.95" customHeight="1" x14ac:dyDescent="0.15">
      <c r="A2053" s="17"/>
      <c r="B2053" s="37"/>
      <c r="C2053" s="37"/>
      <c r="D2053" s="37"/>
      <c r="E2053" s="15"/>
      <c r="F2053" s="37"/>
      <c r="G2053" s="17"/>
      <c r="H2053" s="38"/>
      <c r="I2053" s="37"/>
    </row>
    <row r="2054" spans="1:9" ht="54" customHeight="1" x14ac:dyDescent="0.15">
      <c r="A2054" s="17"/>
      <c r="B2054" s="37"/>
      <c r="C2054" s="37"/>
      <c r="D2054" s="37"/>
      <c r="E2054" s="15"/>
      <c r="F2054" s="37"/>
      <c r="G2054" s="17"/>
      <c r="H2054" s="38"/>
      <c r="I2054" s="37"/>
    </row>
    <row r="2055" spans="1:9" ht="21.95" customHeight="1" x14ac:dyDescent="0.15">
      <c r="A2055" s="17"/>
      <c r="B2055" s="37"/>
      <c r="C2055" s="37"/>
      <c r="D2055" s="37"/>
      <c r="E2055" s="15"/>
      <c r="F2055" s="37"/>
      <c r="G2055" s="17"/>
      <c r="H2055" s="38"/>
      <c r="I2055" s="37"/>
    </row>
    <row r="2056" spans="1:9" ht="21.95" customHeight="1" x14ac:dyDescent="0.15">
      <c r="A2056" s="17"/>
      <c r="B2056" s="37"/>
      <c r="C2056" s="37"/>
      <c r="D2056" s="37"/>
      <c r="E2056" s="15"/>
      <c r="F2056" s="37"/>
      <c r="G2056" s="17"/>
      <c r="H2056" s="38"/>
      <c r="I2056" s="37"/>
    </row>
    <row r="2057" spans="1:9" ht="21.95" customHeight="1" x14ac:dyDescent="0.15">
      <c r="A2057" s="17"/>
      <c r="B2057" s="37"/>
      <c r="C2057" s="37"/>
      <c r="D2057" s="37"/>
      <c r="E2057" s="15"/>
      <c r="F2057" s="37"/>
      <c r="G2057" s="17"/>
      <c r="H2057" s="38"/>
      <c r="I2057" s="37"/>
    </row>
    <row r="2058" spans="1:9" ht="21.95" customHeight="1" x14ac:dyDescent="0.15">
      <c r="A2058" s="17"/>
      <c r="B2058" s="37"/>
      <c r="C2058" s="37"/>
      <c r="D2058" s="37"/>
      <c r="E2058" s="15"/>
      <c r="F2058" s="37"/>
      <c r="G2058" s="17"/>
      <c r="H2058" s="38"/>
      <c r="I2058" s="37"/>
    </row>
    <row r="2059" spans="1:9" ht="21.95" customHeight="1" x14ac:dyDescent="0.15">
      <c r="A2059" s="17"/>
      <c r="B2059" s="37"/>
      <c r="C2059" s="37"/>
      <c r="E2059" s="15"/>
      <c r="G2059" s="17"/>
      <c r="H2059" s="38"/>
    </row>
    <row r="2060" spans="1:9" ht="21.95" customHeight="1" x14ac:dyDescent="0.15">
      <c r="A2060" s="17"/>
      <c r="B2060" s="37"/>
      <c r="C2060" s="37"/>
      <c r="E2060" s="15"/>
      <c r="G2060" s="17"/>
      <c r="H2060" s="38"/>
    </row>
    <row r="2061" spans="1:9" ht="21.95" customHeight="1" x14ac:dyDescent="0.15">
      <c r="A2061" s="17"/>
      <c r="B2061" s="37"/>
      <c r="C2061" s="37"/>
      <c r="E2061" s="15"/>
      <c r="F2061" s="37"/>
      <c r="G2061" s="13"/>
      <c r="H2061" s="38"/>
    </row>
    <row r="2062" spans="1:9" ht="21.95" customHeight="1" x14ac:dyDescent="0.15">
      <c r="A2062" s="17"/>
      <c r="B2062" s="37"/>
      <c r="C2062" s="37"/>
      <c r="E2062" s="15"/>
      <c r="F2062" s="37"/>
      <c r="G2062" s="13"/>
      <c r="H2062" s="38"/>
    </row>
    <row r="2063" spans="1:9" ht="21.95" customHeight="1" x14ac:dyDescent="0.15">
      <c r="A2063" s="17"/>
      <c r="B2063" s="37"/>
      <c r="C2063" s="37"/>
      <c r="D2063" s="37"/>
      <c r="E2063" s="15"/>
      <c r="F2063" s="37"/>
      <c r="G2063" s="13"/>
      <c r="H2063" s="38"/>
    </row>
    <row r="2064" spans="1:9" ht="21.95" customHeight="1" x14ac:dyDescent="0.15">
      <c r="A2064" s="17"/>
      <c r="B2064" s="37"/>
      <c r="C2064" s="37"/>
      <c r="D2064" s="37"/>
      <c r="E2064" s="15"/>
      <c r="F2064" s="37"/>
      <c r="G2064" s="13"/>
      <c r="H2064" s="38"/>
    </row>
    <row r="2065" spans="1:8" ht="21.95" customHeight="1" x14ac:dyDescent="0.15">
      <c r="A2065" s="17"/>
      <c r="B2065" s="37"/>
      <c r="C2065" s="37"/>
      <c r="D2065" s="37"/>
      <c r="E2065" s="15"/>
      <c r="F2065" s="37"/>
      <c r="G2065" s="13"/>
      <c r="H2065" s="38"/>
    </row>
    <row r="2066" spans="1:8" ht="21.95" customHeight="1" x14ac:dyDescent="0.15">
      <c r="A2066" s="17"/>
      <c r="B2066" s="37"/>
      <c r="C2066" s="37"/>
      <c r="D2066" s="37"/>
      <c r="E2066" s="15"/>
      <c r="F2066" s="37"/>
      <c r="G2066" s="13"/>
      <c r="H2066" s="38"/>
    </row>
    <row r="2067" spans="1:8" ht="21.95" customHeight="1" x14ac:dyDescent="0.15">
      <c r="A2067" s="17"/>
      <c r="B2067" s="37"/>
      <c r="C2067" s="37"/>
      <c r="D2067" s="37"/>
      <c r="E2067" s="15"/>
      <c r="F2067" s="37"/>
      <c r="G2067" s="13"/>
      <c r="H2067" s="38"/>
    </row>
    <row r="2068" spans="1:8" ht="21.95" customHeight="1" x14ac:dyDescent="0.15">
      <c r="A2068" s="17"/>
      <c r="B2068" s="37"/>
      <c r="C2068" s="37"/>
      <c r="D2068" s="37"/>
      <c r="E2068" s="15"/>
      <c r="F2068" s="37"/>
      <c r="G2068" s="13"/>
      <c r="H2068" s="38"/>
    </row>
    <row r="2069" spans="1:8" ht="21.95" customHeight="1" x14ac:dyDescent="0.15">
      <c r="A2069" s="17"/>
      <c r="B2069" s="37"/>
      <c r="C2069" s="37"/>
      <c r="D2069" s="37"/>
      <c r="E2069" s="15"/>
      <c r="F2069" s="37"/>
      <c r="G2069" s="13"/>
      <c r="H2069" s="38"/>
    </row>
    <row r="2070" spans="1:8" ht="21.95" customHeight="1" x14ac:dyDescent="0.15">
      <c r="A2070" s="17"/>
      <c r="B2070" s="37"/>
      <c r="C2070" s="37"/>
      <c r="D2070" s="37"/>
      <c r="E2070" s="15"/>
      <c r="F2070" s="37"/>
      <c r="G2070" s="13"/>
      <c r="H2070" s="38"/>
    </row>
    <row r="2071" spans="1:8" ht="21.95" customHeight="1" x14ac:dyDescent="0.15">
      <c r="A2071" s="17"/>
      <c r="B2071" s="37"/>
      <c r="C2071" s="37"/>
      <c r="D2071" s="37"/>
      <c r="E2071" s="15"/>
      <c r="F2071" s="37"/>
      <c r="G2071" s="13"/>
      <c r="H2071" s="38"/>
    </row>
    <row r="2072" spans="1:8" ht="21.95" customHeight="1" x14ac:dyDescent="0.15">
      <c r="A2072" s="17"/>
      <c r="B2072" s="37"/>
      <c r="C2072" s="37"/>
      <c r="D2072" s="37"/>
      <c r="E2072" s="15"/>
      <c r="F2072" s="37"/>
      <c r="G2072" s="13"/>
      <c r="H2072" s="15"/>
    </row>
    <row r="2073" spans="1:8" ht="21.95" customHeight="1" x14ac:dyDescent="0.15">
      <c r="A2073" s="17"/>
      <c r="B2073" s="37"/>
      <c r="C2073" s="37"/>
      <c r="D2073" s="37"/>
      <c r="E2073" s="15"/>
      <c r="F2073" s="37"/>
      <c r="G2073" s="13"/>
      <c r="H2073" s="15"/>
    </row>
    <row r="2074" spans="1:8" ht="21.95" customHeight="1" x14ac:dyDescent="0.15">
      <c r="A2074" s="17"/>
      <c r="B2074" s="37"/>
      <c r="C2074" s="37"/>
      <c r="D2074" s="37"/>
      <c r="E2074" s="15"/>
      <c r="F2074" s="37"/>
      <c r="G2074" s="13"/>
      <c r="H2074" s="15"/>
    </row>
    <row r="2075" spans="1:8" ht="21.95" customHeight="1" x14ac:dyDescent="0.15">
      <c r="A2075" s="17"/>
      <c r="B2075" s="37"/>
      <c r="C2075" s="37"/>
      <c r="D2075" s="37"/>
      <c r="E2075" s="15"/>
      <c r="F2075" s="37"/>
      <c r="G2075" s="13"/>
      <c r="H2075" s="15"/>
    </row>
    <row r="2076" spans="1:8" ht="21.95" customHeight="1" x14ac:dyDescent="0.15">
      <c r="A2076" s="17"/>
      <c r="B2076" s="37"/>
      <c r="C2076" s="37"/>
      <c r="D2076" s="37"/>
      <c r="E2076" s="15"/>
      <c r="F2076" s="37"/>
      <c r="G2076" s="13"/>
      <c r="H2076" s="15"/>
    </row>
    <row r="2077" spans="1:8" ht="21.95" customHeight="1" x14ac:dyDescent="0.15">
      <c r="A2077" s="17"/>
      <c r="B2077" s="37"/>
      <c r="C2077" s="37"/>
      <c r="D2077" s="37"/>
      <c r="E2077" s="15"/>
      <c r="F2077" s="37"/>
      <c r="G2077" s="13"/>
      <c r="H2077" s="15"/>
    </row>
    <row r="2078" spans="1:8" ht="21.95" customHeight="1" x14ac:dyDescent="0.15">
      <c r="A2078" s="17"/>
      <c r="B2078" s="37"/>
      <c r="C2078" s="37"/>
      <c r="D2078" s="37"/>
      <c r="E2078" s="15"/>
      <c r="F2078" s="37"/>
      <c r="G2078" s="13"/>
      <c r="H2078" s="15"/>
    </row>
    <row r="2079" spans="1:8" ht="21.95" customHeight="1" x14ac:dyDescent="0.15">
      <c r="A2079" s="17"/>
      <c r="B2079" s="37"/>
      <c r="C2079" s="37"/>
      <c r="D2079" s="37"/>
      <c r="E2079" s="15"/>
      <c r="F2079" s="37"/>
      <c r="G2079" s="13"/>
      <c r="H2079" s="15"/>
    </row>
    <row r="2080" spans="1:8" ht="21.95" customHeight="1" x14ac:dyDescent="0.15">
      <c r="A2080" s="17"/>
      <c r="B2080" s="37"/>
      <c r="C2080" s="37"/>
      <c r="D2080" s="37"/>
      <c r="E2080" s="15"/>
      <c r="F2080" s="37"/>
      <c r="G2080" s="13"/>
      <c r="H2080" s="15"/>
    </row>
    <row r="2081" spans="1:8" ht="21.95" customHeight="1" x14ac:dyDescent="0.15">
      <c r="A2081" s="17"/>
      <c r="B2081" s="37"/>
      <c r="C2081" s="37"/>
      <c r="D2081" s="37"/>
      <c r="E2081" s="15"/>
      <c r="F2081" s="37"/>
      <c r="G2081" s="13"/>
      <c r="H2081" s="15"/>
    </row>
    <row r="2082" spans="1:8" ht="21.95" customHeight="1" x14ac:dyDescent="0.15">
      <c r="A2082" s="17"/>
      <c r="B2082" s="37"/>
      <c r="C2082" s="37"/>
      <c r="D2082" s="37"/>
      <c r="E2082" s="15"/>
      <c r="F2082" s="37"/>
      <c r="G2082" s="13"/>
      <c r="H2082" s="15"/>
    </row>
    <row r="2083" spans="1:8" ht="21.95" customHeight="1" x14ac:dyDescent="0.15">
      <c r="A2083" s="17"/>
      <c r="B2083" s="37"/>
      <c r="C2083" s="37"/>
      <c r="D2083" s="37"/>
      <c r="E2083" s="15"/>
      <c r="F2083" s="37"/>
      <c r="G2083" s="13"/>
      <c r="H2083" s="15"/>
    </row>
    <row r="2084" spans="1:8" ht="21.95" customHeight="1" x14ac:dyDescent="0.15">
      <c r="A2084" s="17"/>
      <c r="B2084" s="37"/>
      <c r="C2084" s="37"/>
      <c r="D2084" s="37"/>
      <c r="E2084" s="15"/>
      <c r="F2084" s="37"/>
      <c r="G2084" s="13"/>
      <c r="H2084" s="15"/>
    </row>
    <row r="2085" spans="1:8" ht="21.95" customHeight="1" x14ac:dyDescent="0.15">
      <c r="A2085" s="17"/>
      <c r="B2085" s="37"/>
      <c r="C2085" s="37"/>
      <c r="D2085" s="37"/>
      <c r="E2085" s="15"/>
      <c r="F2085" s="37"/>
      <c r="G2085" s="13"/>
      <c r="H2085" s="15"/>
    </row>
    <row r="2086" spans="1:8" ht="21.95" customHeight="1" x14ac:dyDescent="0.15">
      <c r="A2086" s="17"/>
      <c r="B2086" s="37"/>
      <c r="C2086" s="37"/>
      <c r="D2086" s="37"/>
      <c r="E2086" s="15"/>
      <c r="F2086" s="37"/>
      <c r="G2086" s="13"/>
      <c r="H2086" s="15"/>
    </row>
    <row r="2087" spans="1:8" ht="21.95" customHeight="1" x14ac:dyDescent="0.15">
      <c r="A2087" s="17"/>
      <c r="B2087" s="37"/>
      <c r="C2087" s="37"/>
      <c r="D2087" s="37"/>
      <c r="E2087" s="15"/>
      <c r="F2087" s="37"/>
      <c r="G2087" s="13"/>
      <c r="H2087" s="15"/>
    </row>
    <row r="2088" spans="1:8" ht="21.95" customHeight="1" x14ac:dyDescent="0.15">
      <c r="A2088" s="17"/>
      <c r="B2088" s="37"/>
      <c r="C2088" s="37"/>
      <c r="D2088" s="37"/>
      <c r="E2088" s="15"/>
      <c r="F2088" s="37"/>
      <c r="G2088" s="13"/>
      <c r="H2088" s="15"/>
    </row>
    <row r="2089" spans="1:8" ht="21.95" customHeight="1" x14ac:dyDescent="0.15">
      <c r="A2089" s="17"/>
      <c r="B2089" s="37"/>
      <c r="C2089" s="37"/>
      <c r="D2089" s="37"/>
      <c r="E2089" s="15"/>
      <c r="F2089" s="37"/>
      <c r="G2089" s="13"/>
      <c r="H2089" s="15"/>
    </row>
    <row r="2090" spans="1:8" ht="21.95" customHeight="1" x14ac:dyDescent="0.15">
      <c r="A2090" s="17"/>
      <c r="B2090" s="37"/>
      <c r="C2090" s="37"/>
      <c r="D2090" s="37"/>
      <c r="E2090" s="15"/>
      <c r="F2090" s="37"/>
      <c r="G2090" s="37"/>
      <c r="H2090" s="15"/>
    </row>
    <row r="2091" spans="1:8" ht="21.95" customHeight="1" x14ac:dyDescent="0.15">
      <c r="A2091" s="17"/>
      <c r="B2091" s="37"/>
      <c r="C2091" s="37"/>
      <c r="D2091" s="37"/>
      <c r="E2091" s="15"/>
      <c r="F2091" s="37"/>
      <c r="G2091" s="13"/>
      <c r="H2091" s="15"/>
    </row>
    <row r="2092" spans="1:8" ht="21.95" customHeight="1" x14ac:dyDescent="0.15">
      <c r="A2092" s="17"/>
      <c r="B2092" s="37"/>
      <c r="C2092" s="37"/>
      <c r="D2092" s="37"/>
      <c r="E2092" s="15"/>
      <c r="F2092" s="37"/>
      <c r="G2092" s="13"/>
      <c r="H2092" s="15"/>
    </row>
    <row r="2093" spans="1:8" ht="21.95" customHeight="1" x14ac:dyDescent="0.15">
      <c r="A2093" s="17"/>
      <c r="B2093" s="37"/>
      <c r="C2093" s="37"/>
      <c r="D2093" s="37"/>
      <c r="E2093" s="15"/>
      <c r="F2093" s="37"/>
      <c r="G2093" s="13"/>
      <c r="H2093" s="15"/>
    </row>
    <row r="2094" spans="1:8" ht="21.95" customHeight="1" x14ac:dyDescent="0.15">
      <c r="A2094" s="17"/>
      <c r="B2094" s="37"/>
      <c r="C2094" s="37"/>
      <c r="D2094" s="37"/>
      <c r="E2094" s="15"/>
      <c r="F2094" s="37"/>
      <c r="G2094" s="13"/>
      <c r="H2094" s="15"/>
    </row>
    <row r="2095" spans="1:8" ht="21.95" customHeight="1" x14ac:dyDescent="0.15">
      <c r="A2095" s="17"/>
      <c r="B2095" s="37"/>
      <c r="C2095" s="37"/>
      <c r="D2095" s="37"/>
      <c r="E2095" s="15"/>
      <c r="F2095" s="37"/>
      <c r="G2095" s="13"/>
      <c r="H2095" s="15"/>
    </row>
    <row r="2096" spans="1:8" ht="21.95" customHeight="1" x14ac:dyDescent="0.15">
      <c r="A2096" s="17"/>
      <c r="B2096" s="37"/>
      <c r="C2096" s="37"/>
      <c r="D2096" s="37"/>
      <c r="E2096" s="15"/>
      <c r="F2096" s="37"/>
      <c r="G2096" s="13"/>
      <c r="H2096" s="15"/>
    </row>
    <row r="2097" spans="1:9" ht="21.95" customHeight="1" x14ac:dyDescent="0.15">
      <c r="A2097" s="17"/>
      <c r="B2097" s="37"/>
      <c r="C2097" s="37"/>
      <c r="D2097" s="37"/>
      <c r="E2097" s="15"/>
      <c r="F2097" s="37"/>
      <c r="G2097" s="13"/>
      <c r="H2097" s="15"/>
    </row>
    <row r="2098" spans="1:9" ht="21.95" customHeight="1" x14ac:dyDescent="0.15">
      <c r="A2098" s="17"/>
      <c r="B2098" s="37"/>
      <c r="C2098" s="37"/>
      <c r="D2098" s="37"/>
      <c r="E2098" s="15"/>
      <c r="F2098" s="37"/>
      <c r="G2098" s="13"/>
      <c r="H2098" s="15"/>
    </row>
    <row r="2099" spans="1:9" ht="21.95" customHeight="1" x14ac:dyDescent="0.15">
      <c r="A2099" s="17"/>
      <c r="B2099" s="37"/>
      <c r="C2099" s="37"/>
      <c r="D2099" s="37"/>
      <c r="E2099" s="15"/>
      <c r="F2099" s="37"/>
      <c r="G2099" s="13"/>
      <c r="H2099" s="15"/>
    </row>
    <row r="2100" spans="1:9" ht="21.95" customHeight="1" x14ac:dyDescent="0.15">
      <c r="A2100" s="17"/>
      <c r="B2100" s="37"/>
      <c r="C2100" s="37"/>
      <c r="D2100" s="37"/>
      <c r="E2100" s="15"/>
      <c r="F2100" s="37"/>
      <c r="G2100" s="13"/>
      <c r="H2100" s="15"/>
    </row>
    <row r="2101" spans="1:9" ht="21.95" customHeight="1" x14ac:dyDescent="0.15">
      <c r="A2101" s="17"/>
      <c r="B2101" s="37"/>
      <c r="C2101" s="37"/>
      <c r="D2101" s="37"/>
      <c r="E2101" s="15"/>
      <c r="F2101" s="37"/>
      <c r="G2101" s="13"/>
      <c r="H2101" s="15"/>
    </row>
    <row r="2102" spans="1:9" ht="21.95" customHeight="1" x14ac:dyDescent="0.15">
      <c r="A2102" s="17"/>
      <c r="B2102" s="37"/>
      <c r="C2102" s="37"/>
      <c r="D2102" s="37"/>
      <c r="E2102" s="15"/>
      <c r="F2102" s="37"/>
      <c r="G2102" s="13"/>
      <c r="H2102" s="15"/>
    </row>
    <row r="2103" spans="1:9" ht="21.95" customHeight="1" x14ac:dyDescent="0.15">
      <c r="A2103" s="17"/>
      <c r="B2103" s="37"/>
      <c r="C2103" s="37"/>
      <c r="D2103" s="37"/>
      <c r="E2103" s="15"/>
      <c r="F2103" s="37"/>
      <c r="G2103" s="13"/>
      <c r="H2103" s="38"/>
      <c r="I2103" s="84"/>
    </row>
    <row r="2104" spans="1:9" ht="21.95" customHeight="1" x14ac:dyDescent="0.15">
      <c r="A2104" s="17"/>
      <c r="B2104" s="37"/>
      <c r="C2104" s="37"/>
      <c r="D2104" s="37"/>
      <c r="E2104" s="15"/>
      <c r="F2104" s="37"/>
      <c r="G2104" s="13"/>
      <c r="H2104" s="15"/>
      <c r="I2104" s="84"/>
    </row>
    <row r="2105" spans="1:9" ht="35.1" customHeight="1" x14ac:dyDescent="0.15">
      <c r="A2105" s="17"/>
      <c r="B2105" s="37"/>
      <c r="C2105" s="37"/>
      <c r="D2105" s="37"/>
      <c r="E2105" s="15"/>
      <c r="F2105" s="15"/>
      <c r="G2105" s="37"/>
      <c r="H2105" s="15"/>
    </row>
    <row r="2106" spans="1:9" ht="21.95" customHeight="1" x14ac:dyDescent="0.15">
      <c r="A2106" s="17"/>
      <c r="B2106" s="37"/>
      <c r="C2106" s="37"/>
      <c r="D2106" s="37"/>
      <c r="E2106" s="15"/>
      <c r="F2106" s="37"/>
      <c r="G2106" s="13"/>
      <c r="H2106" s="15"/>
    </row>
    <row r="2107" spans="1:9" ht="21.95" customHeight="1" x14ac:dyDescent="0.15">
      <c r="A2107" s="17"/>
      <c r="B2107" s="37"/>
      <c r="C2107" s="37"/>
      <c r="D2107" s="37"/>
      <c r="E2107" s="15"/>
      <c r="F2107" s="37"/>
      <c r="G2107" s="13"/>
      <c r="H2107" s="15"/>
    </row>
    <row r="2108" spans="1:9" ht="21.95" customHeight="1" x14ac:dyDescent="0.15">
      <c r="A2108" s="17"/>
      <c r="B2108" s="37"/>
      <c r="C2108" s="37"/>
      <c r="D2108" s="37"/>
      <c r="E2108" s="15"/>
      <c r="F2108" s="37"/>
      <c r="G2108" s="13"/>
      <c r="H2108" s="15"/>
    </row>
    <row r="2109" spans="1:9" ht="21.95" customHeight="1" x14ac:dyDescent="0.15">
      <c r="A2109" s="17"/>
      <c r="B2109" s="37"/>
      <c r="C2109" s="37"/>
      <c r="D2109" s="37"/>
      <c r="E2109" s="15"/>
      <c r="F2109" s="37"/>
      <c r="G2109" s="13"/>
      <c r="H2109" s="15"/>
    </row>
    <row r="2110" spans="1:9" ht="21.95" customHeight="1" x14ac:dyDescent="0.15">
      <c r="A2110" s="17"/>
      <c r="B2110" s="37"/>
      <c r="C2110" s="37"/>
      <c r="D2110" s="37"/>
      <c r="E2110" s="15"/>
      <c r="F2110" s="37"/>
      <c r="G2110" s="13"/>
      <c r="H2110" s="15"/>
    </row>
    <row r="2111" spans="1:9" ht="21.95" customHeight="1" x14ac:dyDescent="0.15">
      <c r="A2111" s="17"/>
      <c r="B2111" s="37"/>
      <c r="C2111" s="37"/>
      <c r="D2111" s="37"/>
      <c r="E2111" s="15"/>
      <c r="F2111" s="37"/>
      <c r="G2111" s="13"/>
      <c r="H2111" s="15"/>
      <c r="I2111" s="37"/>
    </row>
    <row r="2112" spans="1:9" ht="21.95" customHeight="1" x14ac:dyDescent="0.15">
      <c r="A2112" s="17"/>
      <c r="B2112" s="37"/>
      <c r="C2112" s="37"/>
      <c r="D2112" s="37"/>
      <c r="E2112" s="15"/>
      <c r="F2112" s="37"/>
      <c r="G2112" s="37"/>
      <c r="H2112" s="15"/>
      <c r="I2112" s="37"/>
    </row>
    <row r="2113" spans="1:9" ht="21.95" customHeight="1" x14ac:dyDescent="0.15">
      <c r="A2113" s="17"/>
      <c r="B2113" s="37"/>
      <c r="C2113" s="37"/>
      <c r="D2113" s="37"/>
      <c r="E2113" s="15"/>
      <c r="F2113" s="37"/>
      <c r="G2113" s="37"/>
      <c r="H2113" s="38"/>
      <c r="I2113" s="37"/>
    </row>
    <row r="2114" spans="1:9" ht="21.95" customHeight="1" x14ac:dyDescent="0.15">
      <c r="A2114" s="17"/>
      <c r="B2114" s="37"/>
      <c r="C2114" s="37"/>
      <c r="D2114" s="37"/>
      <c r="E2114" s="15"/>
      <c r="F2114" s="37"/>
      <c r="G2114" s="37"/>
      <c r="H2114" s="38"/>
      <c r="I2114" s="37"/>
    </row>
    <row r="2115" spans="1:9" ht="21.95" customHeight="1" x14ac:dyDescent="0.15">
      <c r="A2115" s="17"/>
      <c r="B2115" s="37"/>
      <c r="C2115" s="37"/>
      <c r="D2115" s="37"/>
      <c r="E2115" s="15"/>
      <c r="F2115" s="37"/>
      <c r="G2115" s="13"/>
      <c r="H2115" s="15"/>
      <c r="I2115" s="37"/>
    </row>
    <row r="2116" spans="1:9" ht="21.95" customHeight="1" x14ac:dyDescent="0.15">
      <c r="A2116" s="17"/>
      <c r="B2116" s="37"/>
      <c r="C2116" s="37"/>
      <c r="D2116" s="37"/>
      <c r="E2116" s="15"/>
      <c r="F2116" s="37"/>
      <c r="G2116" s="13"/>
      <c r="H2116" s="15"/>
      <c r="I2116" s="37"/>
    </row>
    <row r="2117" spans="1:9" ht="21.95" customHeight="1" x14ac:dyDescent="0.15">
      <c r="A2117" s="17"/>
      <c r="B2117" s="37"/>
      <c r="C2117" s="37"/>
      <c r="D2117" s="37"/>
      <c r="E2117" s="15"/>
      <c r="F2117" s="37"/>
      <c r="G2117" s="13"/>
      <c r="H2117" s="15"/>
      <c r="I2117" s="37"/>
    </row>
    <row r="2118" spans="1:9" ht="21.95" customHeight="1" x14ac:dyDescent="0.15">
      <c r="A2118" s="17"/>
      <c r="B2118" s="37"/>
      <c r="C2118" s="37"/>
      <c r="E2118" s="15"/>
      <c r="F2118" s="37"/>
      <c r="H2118" s="38"/>
    </row>
    <row r="2119" spans="1:9" ht="21.95" customHeight="1" x14ac:dyDescent="0.15">
      <c r="A2119" s="17"/>
      <c r="B2119" s="37"/>
      <c r="C2119" s="37"/>
      <c r="E2119" s="15"/>
      <c r="F2119" s="37"/>
    </row>
    <row r="2120" spans="1:9" ht="21.95" customHeight="1" x14ac:dyDescent="0.15">
      <c r="A2120" s="17"/>
      <c r="B2120" s="37"/>
      <c r="C2120" s="37"/>
      <c r="E2120" s="15"/>
      <c r="G2120" s="77"/>
    </row>
    <row r="2121" spans="1:9" ht="21.95" customHeight="1" x14ac:dyDescent="0.15">
      <c r="A2121" s="17"/>
      <c r="B2121" s="37"/>
      <c r="C2121" s="37"/>
      <c r="D2121" s="37"/>
      <c r="E2121" s="15"/>
      <c r="F2121" s="37"/>
      <c r="G2121" s="37"/>
      <c r="H2121" s="15"/>
    </row>
    <row r="2122" spans="1:9" ht="21.95" customHeight="1" x14ac:dyDescent="0.15">
      <c r="A2122" s="17"/>
      <c r="B2122" s="37"/>
      <c r="C2122" s="37"/>
      <c r="D2122" s="37"/>
      <c r="E2122" s="15"/>
      <c r="F2122" s="37"/>
      <c r="G2122" s="13"/>
      <c r="H2122" s="15"/>
    </row>
    <row r="2123" spans="1:9" ht="21.95" customHeight="1" x14ac:dyDescent="0.15">
      <c r="A2123" s="17"/>
      <c r="B2123" s="37"/>
      <c r="C2123" s="37"/>
      <c r="D2123" s="37"/>
      <c r="E2123" s="15"/>
      <c r="F2123" s="37"/>
      <c r="G2123" s="13"/>
      <c r="H2123" s="15"/>
    </row>
    <row r="2124" spans="1:9" ht="21.95" customHeight="1" x14ac:dyDescent="0.15">
      <c r="A2124" s="17"/>
      <c r="C2124" s="37"/>
    </row>
    <row r="2125" spans="1:9" ht="21.95" customHeight="1" x14ac:dyDescent="0.15">
      <c r="A2125" s="17"/>
      <c r="B2125" s="37"/>
      <c r="C2125" s="37"/>
      <c r="D2125" s="13"/>
      <c r="E2125" s="15"/>
      <c r="F2125" s="37"/>
      <c r="G2125" s="13"/>
      <c r="H2125" s="15"/>
      <c r="I2125" s="13"/>
    </row>
    <row r="2126" spans="1:9" ht="21.95" customHeight="1" x14ac:dyDescent="0.15">
      <c r="A2126" s="17"/>
      <c r="B2126" s="13"/>
      <c r="C2126" s="13"/>
      <c r="D2126" s="13"/>
      <c r="E2126" s="15"/>
      <c r="F2126" s="37"/>
      <c r="G2126" s="13"/>
      <c r="H2126" s="15"/>
      <c r="I2126" s="13"/>
    </row>
    <row r="2127" spans="1:9" ht="21.95" customHeight="1" x14ac:dyDescent="0.15">
      <c r="A2127" s="17"/>
      <c r="B2127" s="13"/>
      <c r="C2127" s="13"/>
      <c r="D2127" s="13"/>
      <c r="E2127" s="15"/>
      <c r="F2127" s="37"/>
      <c r="G2127" s="13"/>
      <c r="H2127" s="15"/>
      <c r="I2127" s="13"/>
    </row>
    <row r="2128" spans="1:9" ht="21.95" customHeight="1" x14ac:dyDescent="0.15">
      <c r="A2128" s="17"/>
      <c r="B2128" s="13"/>
      <c r="C2128" s="13"/>
      <c r="D2128" s="13"/>
      <c r="E2128" s="15"/>
      <c r="F2128" s="37"/>
      <c r="G2128" s="13"/>
      <c r="H2128" s="15"/>
      <c r="I2128" s="13"/>
    </row>
    <row r="2129" spans="1:9" customFormat="1" ht="21.95" customHeight="1" x14ac:dyDescent="0.15">
      <c r="A2129" s="17"/>
      <c r="B2129" s="40"/>
      <c r="C2129" s="40"/>
      <c r="D2129" s="40"/>
      <c r="E2129" s="38"/>
      <c r="F2129" s="85"/>
      <c r="G2129" s="40"/>
      <c r="H2129" s="38"/>
      <c r="I2129" s="40"/>
    </row>
    <row r="2130" spans="1:9" customFormat="1" ht="21.95" customHeight="1" x14ac:dyDescent="0.15">
      <c r="A2130" s="17"/>
      <c r="B2130" s="37"/>
      <c r="C2130" s="37"/>
      <c r="D2130" s="40"/>
      <c r="E2130" s="15"/>
      <c r="F2130" s="85"/>
      <c r="G2130" s="42"/>
      <c r="H2130" s="38"/>
      <c r="I2130" s="56"/>
    </row>
    <row r="2131" spans="1:9" customFormat="1" ht="21.95" customHeight="1" x14ac:dyDescent="0.15">
      <c r="A2131" s="17"/>
      <c r="B2131" s="37"/>
      <c r="C2131" s="95"/>
      <c r="D2131" s="40"/>
      <c r="E2131" s="15"/>
      <c r="F2131" s="85"/>
      <c r="G2131" s="42"/>
      <c r="H2131" s="38"/>
      <c r="I2131" s="56"/>
    </row>
    <row r="2132" spans="1:9" customFormat="1" ht="21.95" customHeight="1" x14ac:dyDescent="0.15">
      <c r="A2132" s="17"/>
      <c r="B2132" s="37"/>
      <c r="C2132" s="95"/>
      <c r="D2132" s="40"/>
      <c r="E2132" s="15"/>
      <c r="F2132" s="85"/>
      <c r="G2132" s="17"/>
      <c r="H2132" s="38"/>
      <c r="I2132" s="56"/>
    </row>
    <row r="2133" spans="1:9" customFormat="1" ht="21.95" customHeight="1" x14ac:dyDescent="0.15">
      <c r="A2133" s="17"/>
      <c r="B2133" s="37"/>
      <c r="C2133" s="37"/>
      <c r="D2133" s="40"/>
      <c r="E2133" s="15"/>
      <c r="F2133" s="85"/>
      <c r="G2133" s="42"/>
      <c r="H2133" s="38"/>
      <c r="I2133" s="56"/>
    </row>
    <row r="2134" spans="1:9" customFormat="1" ht="21.95" customHeight="1" x14ac:dyDescent="0.15">
      <c r="A2134" s="17"/>
      <c r="B2134" s="37"/>
      <c r="C2134" s="37"/>
      <c r="D2134" s="40"/>
      <c r="E2134" s="15"/>
      <c r="F2134" s="85"/>
      <c r="G2134" s="17"/>
      <c r="H2134" s="38"/>
      <c r="I2134" s="56"/>
    </row>
    <row r="2135" spans="1:9" customFormat="1" ht="21.95" customHeight="1" x14ac:dyDescent="0.15">
      <c r="A2135" s="17"/>
      <c r="B2135" s="37"/>
      <c r="C2135" s="37"/>
      <c r="D2135" s="40"/>
      <c r="E2135" s="15"/>
      <c r="F2135" s="85"/>
      <c r="G2135" s="42"/>
      <c r="H2135" s="38"/>
      <c r="I2135" s="56"/>
    </row>
    <row r="2136" spans="1:9" customFormat="1" ht="21.95" customHeight="1" x14ac:dyDescent="0.15">
      <c r="A2136" s="17"/>
      <c r="B2136" s="37"/>
      <c r="C2136" s="37"/>
      <c r="D2136" s="40"/>
      <c r="E2136" s="15"/>
      <c r="F2136" s="85"/>
      <c r="G2136" s="17"/>
      <c r="H2136" s="38"/>
      <c r="I2136" s="56"/>
    </row>
    <row r="2137" spans="1:9" customFormat="1" ht="21.95" customHeight="1" x14ac:dyDescent="0.15">
      <c r="A2137" s="17"/>
      <c r="B2137" s="37"/>
      <c r="C2137" s="37"/>
      <c r="D2137" s="40"/>
      <c r="E2137" s="15"/>
      <c r="F2137" s="85"/>
      <c r="G2137" s="42"/>
      <c r="H2137" s="38"/>
      <c r="I2137" s="56"/>
    </row>
    <row r="2138" spans="1:9" customFormat="1" ht="21.95" customHeight="1" x14ac:dyDescent="0.15">
      <c r="A2138" s="17"/>
      <c r="B2138" s="37"/>
      <c r="C2138" s="37"/>
      <c r="D2138" s="40"/>
      <c r="E2138" s="15"/>
      <c r="F2138" s="85"/>
      <c r="G2138" s="17"/>
      <c r="H2138" s="38"/>
      <c r="I2138" s="56"/>
    </row>
    <row r="2139" spans="1:9" customFormat="1" ht="21.95" customHeight="1" x14ac:dyDescent="0.15">
      <c r="A2139" s="17"/>
      <c r="B2139" s="37"/>
      <c r="C2139" s="37"/>
      <c r="D2139" s="40"/>
      <c r="E2139" s="15"/>
      <c r="F2139" s="85"/>
      <c r="G2139" s="42"/>
      <c r="H2139" s="38"/>
      <c r="I2139" s="56"/>
    </row>
    <row r="2140" spans="1:9" ht="21.95" customHeight="1" x14ac:dyDescent="0.15">
      <c r="A2140" s="17"/>
      <c r="B2140" s="37"/>
      <c r="C2140" s="37"/>
      <c r="D2140" s="37"/>
      <c r="E2140" s="15"/>
      <c r="F2140" s="85"/>
      <c r="G2140" s="17"/>
      <c r="H2140" s="38"/>
    </row>
    <row r="2141" spans="1:9" ht="21.95" customHeight="1" x14ac:dyDescent="0.15">
      <c r="A2141" s="17"/>
      <c r="B2141" s="37"/>
      <c r="C2141" s="37"/>
      <c r="D2141" s="37"/>
      <c r="E2141" s="15"/>
      <c r="F2141" s="85"/>
      <c r="H2141" s="38"/>
    </row>
    <row r="2142" spans="1:9" ht="21.95" customHeight="1" x14ac:dyDescent="0.15">
      <c r="A2142" s="17"/>
      <c r="B2142" s="37"/>
      <c r="C2142" s="37"/>
      <c r="D2142" s="37"/>
      <c r="E2142" s="15"/>
      <c r="F2142" s="85"/>
      <c r="H2142" s="38"/>
    </row>
    <row r="2143" spans="1:9" ht="21.95" customHeight="1" x14ac:dyDescent="0.15">
      <c r="A2143" s="17"/>
      <c r="B2143" s="37"/>
      <c r="C2143" s="37"/>
      <c r="D2143" s="37"/>
      <c r="E2143" s="15"/>
      <c r="F2143" s="85"/>
      <c r="G2143" s="17"/>
      <c r="H2143" s="38"/>
    </row>
    <row r="2144" spans="1:9" customFormat="1" ht="21.95" customHeight="1" x14ac:dyDescent="0.15">
      <c r="A2144" s="17"/>
      <c r="B2144" s="37"/>
      <c r="C2144" s="37"/>
      <c r="D2144" s="37"/>
      <c r="E2144" s="15"/>
      <c r="F2144" s="85"/>
      <c r="G2144" s="17"/>
      <c r="H2144" s="38"/>
      <c r="I2144" s="42"/>
    </row>
    <row r="2145" spans="1:9" customFormat="1" ht="21.95" customHeight="1" x14ac:dyDescent="0.15">
      <c r="A2145" s="17"/>
      <c r="B2145" s="37"/>
      <c r="C2145" s="37"/>
      <c r="D2145" s="37"/>
      <c r="E2145" s="15"/>
      <c r="F2145" s="85"/>
      <c r="G2145" s="17"/>
      <c r="H2145" s="38"/>
      <c r="I2145" s="42"/>
    </row>
    <row r="2146" spans="1:9" customFormat="1" ht="21.95" customHeight="1" x14ac:dyDescent="0.15">
      <c r="A2146" s="17"/>
      <c r="B2146" s="37"/>
      <c r="C2146" s="37"/>
      <c r="D2146" s="37"/>
      <c r="E2146" s="15"/>
      <c r="F2146" s="85"/>
      <c r="G2146" s="17"/>
      <c r="H2146" s="38"/>
      <c r="I2146" s="42"/>
    </row>
    <row r="2147" spans="1:9" customFormat="1" ht="21.95" customHeight="1" x14ac:dyDescent="0.15">
      <c r="A2147" s="17"/>
      <c r="B2147" s="37"/>
      <c r="C2147" s="37"/>
      <c r="D2147" s="37"/>
      <c r="E2147" s="15"/>
      <c r="F2147" s="85"/>
      <c r="G2147" s="17"/>
      <c r="H2147" s="38"/>
      <c r="I2147" s="42"/>
    </row>
    <row r="2148" spans="1:9" customFormat="1" ht="21.95" customHeight="1" x14ac:dyDescent="0.15">
      <c r="A2148" s="17"/>
      <c r="B2148" s="37"/>
      <c r="C2148" s="37"/>
      <c r="D2148" s="37"/>
      <c r="E2148" s="15"/>
      <c r="F2148" s="85"/>
      <c r="G2148" s="17"/>
      <c r="H2148" s="38"/>
      <c r="I2148" s="42"/>
    </row>
    <row r="2149" spans="1:9" customFormat="1" ht="21.95" customHeight="1" x14ac:dyDescent="0.15">
      <c r="A2149" s="17"/>
      <c r="B2149" s="37"/>
      <c r="C2149" s="37"/>
      <c r="D2149" s="37"/>
      <c r="E2149" s="15"/>
      <c r="F2149" s="85"/>
      <c r="G2149" s="17"/>
      <c r="H2149" s="38"/>
      <c r="I2149" s="42"/>
    </row>
    <row r="2150" spans="1:9" customFormat="1" ht="21.95" customHeight="1" x14ac:dyDescent="0.15">
      <c r="A2150" s="17"/>
      <c r="B2150" s="37"/>
      <c r="C2150" s="37"/>
      <c r="D2150" s="37"/>
      <c r="E2150" s="15"/>
      <c r="F2150" s="85"/>
      <c r="G2150" s="17"/>
      <c r="H2150" s="38"/>
      <c r="I2150" s="42"/>
    </row>
    <row r="2151" spans="1:9" customFormat="1" ht="21.95" customHeight="1" x14ac:dyDescent="0.15">
      <c r="A2151" s="17"/>
      <c r="B2151" s="37"/>
      <c r="C2151" s="37"/>
      <c r="D2151" s="37"/>
      <c r="E2151" s="15"/>
      <c r="F2151" s="85"/>
      <c r="G2151" s="17"/>
      <c r="H2151" s="38"/>
      <c r="I2151" s="42"/>
    </row>
    <row r="2152" spans="1:9" customFormat="1" ht="21.95" customHeight="1" x14ac:dyDescent="0.15">
      <c r="A2152" s="17"/>
      <c r="B2152" s="37"/>
      <c r="C2152" s="37"/>
      <c r="D2152" s="37"/>
      <c r="E2152" s="15"/>
      <c r="F2152" s="85"/>
      <c r="G2152" s="17"/>
      <c r="H2152" s="38"/>
      <c r="I2152" s="42"/>
    </row>
    <row r="2153" spans="1:9" customFormat="1" ht="21.95" customHeight="1" x14ac:dyDescent="0.15">
      <c r="A2153" s="17"/>
      <c r="B2153" s="37"/>
      <c r="C2153" s="37"/>
      <c r="D2153" s="37"/>
      <c r="E2153" s="15"/>
      <c r="F2153" s="85"/>
      <c r="G2153" s="17"/>
      <c r="H2153" s="38"/>
      <c r="I2153" s="56"/>
    </row>
    <row r="2154" spans="1:9" customFormat="1" ht="21.95" customHeight="1" x14ac:dyDescent="0.15">
      <c r="A2154" s="17"/>
      <c r="B2154" s="37"/>
      <c r="C2154" s="37"/>
      <c r="D2154" s="37"/>
      <c r="E2154" s="15"/>
      <c r="F2154" s="85"/>
      <c r="G2154" s="17"/>
      <c r="H2154" s="38"/>
      <c r="I2154" s="56"/>
    </row>
    <row r="2155" spans="1:9" customFormat="1" ht="32.1" customHeight="1" x14ac:dyDescent="0.15">
      <c r="A2155" s="17"/>
      <c r="B2155" s="37"/>
      <c r="C2155" s="37"/>
      <c r="D2155" s="37"/>
      <c r="E2155" s="15"/>
      <c r="F2155" s="85"/>
      <c r="G2155" s="17"/>
      <c r="H2155" s="38"/>
      <c r="I2155" s="56"/>
    </row>
    <row r="2156" spans="1:9" customFormat="1" ht="32.1" customHeight="1" x14ac:dyDescent="0.15">
      <c r="A2156" s="17"/>
      <c r="B2156" s="37"/>
      <c r="C2156" s="37"/>
      <c r="D2156" s="37"/>
      <c r="E2156" s="15"/>
      <c r="F2156" s="85"/>
      <c r="G2156" s="17"/>
      <c r="H2156" s="38"/>
      <c r="I2156" s="56"/>
    </row>
    <row r="2157" spans="1:9" customFormat="1" ht="32.1" customHeight="1" x14ac:dyDescent="0.15">
      <c r="A2157" s="17"/>
      <c r="B2157" s="37"/>
      <c r="C2157" s="37"/>
      <c r="D2157" s="37"/>
      <c r="E2157" s="15"/>
      <c r="F2157" s="85"/>
      <c r="G2157" s="17"/>
      <c r="H2157" s="38"/>
      <c r="I2157" s="56"/>
    </row>
    <row r="2158" spans="1:9" customFormat="1" ht="32.1" customHeight="1" x14ac:dyDescent="0.15">
      <c r="A2158" s="17"/>
      <c r="B2158" s="37"/>
      <c r="C2158" s="37"/>
      <c r="D2158" s="37"/>
      <c r="E2158" s="15"/>
      <c r="F2158" s="85"/>
      <c r="G2158" s="17"/>
      <c r="H2158" s="38"/>
      <c r="I2158" s="56"/>
    </row>
    <row r="2159" spans="1:9" customFormat="1" ht="32.1" customHeight="1" x14ac:dyDescent="0.15">
      <c r="A2159" s="17"/>
      <c r="B2159" s="37"/>
      <c r="C2159" s="37"/>
      <c r="D2159" s="37"/>
      <c r="E2159" s="15"/>
      <c r="F2159" s="85"/>
      <c r="G2159" s="17"/>
      <c r="H2159" s="38"/>
      <c r="I2159" s="56"/>
    </row>
    <row r="2160" spans="1:9" customFormat="1" ht="32.1" customHeight="1" x14ac:dyDescent="0.15">
      <c r="A2160" s="17"/>
      <c r="B2160" s="37"/>
      <c r="C2160" s="37"/>
      <c r="D2160" s="37"/>
      <c r="E2160" s="15"/>
      <c r="F2160" s="85"/>
      <c r="G2160" s="17"/>
      <c r="H2160" s="38"/>
      <c r="I2160" s="56"/>
    </row>
    <row r="2161" spans="1:9" ht="32.1" customHeight="1" x14ac:dyDescent="0.15">
      <c r="A2161" s="17"/>
      <c r="B2161" s="37"/>
      <c r="C2161" s="37"/>
      <c r="D2161" s="37"/>
      <c r="E2161" s="15"/>
      <c r="F2161" s="85"/>
      <c r="G2161" s="17"/>
      <c r="H2161" s="38"/>
      <c r="I2161" s="37"/>
    </row>
    <row r="2162" spans="1:9" ht="32.1" customHeight="1" x14ac:dyDescent="0.15">
      <c r="A2162" s="17"/>
      <c r="B2162" s="37"/>
      <c r="C2162" s="37"/>
      <c r="D2162" s="37"/>
      <c r="E2162" s="15"/>
      <c r="F2162" s="37"/>
      <c r="G2162" s="17"/>
      <c r="H2162" s="38"/>
      <c r="I2162" s="37"/>
    </row>
    <row r="2163" spans="1:9" ht="32.1" customHeight="1" x14ac:dyDescent="0.15">
      <c r="A2163" s="17"/>
      <c r="B2163" s="37"/>
      <c r="C2163" s="37"/>
      <c r="D2163" s="37"/>
      <c r="E2163" s="15"/>
      <c r="F2163" s="37"/>
      <c r="G2163" s="17"/>
      <c r="H2163" s="38"/>
      <c r="I2163" s="37"/>
    </row>
    <row r="2164" spans="1:9" ht="32.1" customHeight="1" x14ac:dyDescent="0.15">
      <c r="A2164" s="17"/>
      <c r="B2164" s="37"/>
      <c r="C2164" s="37"/>
      <c r="D2164" s="37"/>
      <c r="E2164" s="15"/>
      <c r="F2164" s="37"/>
      <c r="G2164" s="17"/>
      <c r="H2164" s="38"/>
      <c r="I2164" s="37"/>
    </row>
    <row r="2165" spans="1:9" ht="21.95" customHeight="1" x14ac:dyDescent="0.15">
      <c r="A2165" s="17"/>
      <c r="B2165" s="37"/>
      <c r="C2165" s="37"/>
      <c r="D2165" s="37"/>
      <c r="E2165" s="15"/>
      <c r="F2165" s="37"/>
      <c r="G2165" s="17"/>
      <c r="H2165" s="38"/>
      <c r="I2165" s="37"/>
    </row>
    <row r="2166" spans="1:9" ht="54" customHeight="1" x14ac:dyDescent="0.15">
      <c r="A2166" s="17"/>
      <c r="B2166" s="37"/>
      <c r="C2166" s="37"/>
      <c r="D2166" s="37"/>
      <c r="E2166" s="15"/>
      <c r="F2166" s="37"/>
      <c r="G2166" s="17"/>
      <c r="H2166" s="38"/>
      <c r="I2166" s="37"/>
    </row>
    <row r="2167" spans="1:9" ht="21.95" customHeight="1" x14ac:dyDescent="0.15">
      <c r="A2167" s="17"/>
      <c r="B2167" s="37"/>
      <c r="C2167" s="37"/>
      <c r="D2167" s="37"/>
      <c r="E2167" s="15"/>
      <c r="F2167" s="37"/>
      <c r="G2167" s="17"/>
      <c r="H2167" s="38"/>
      <c r="I2167" s="37"/>
    </row>
    <row r="2168" spans="1:9" ht="21.95" customHeight="1" x14ac:dyDescent="0.15">
      <c r="A2168" s="17"/>
      <c r="B2168" s="37"/>
      <c r="C2168" s="37"/>
      <c r="D2168" s="37"/>
      <c r="E2168" s="15"/>
      <c r="F2168" s="37"/>
      <c r="G2168" s="17"/>
      <c r="H2168" s="38"/>
      <c r="I2168" s="37"/>
    </row>
    <row r="2169" spans="1:9" ht="21.95" customHeight="1" x14ac:dyDescent="0.15">
      <c r="A2169" s="17"/>
      <c r="B2169" s="37"/>
      <c r="C2169" s="37"/>
      <c r="D2169" s="37"/>
      <c r="E2169" s="15"/>
      <c r="F2169" s="37"/>
      <c r="G2169" s="17"/>
      <c r="H2169" s="38"/>
      <c r="I2169" s="37"/>
    </row>
    <row r="2170" spans="1:9" ht="21.95" customHeight="1" x14ac:dyDescent="0.15">
      <c r="A2170" s="17"/>
      <c r="B2170" s="37"/>
      <c r="C2170" s="37"/>
      <c r="D2170" s="37"/>
      <c r="E2170" s="15"/>
      <c r="F2170" s="37"/>
      <c r="G2170" s="17"/>
      <c r="H2170" s="38"/>
      <c r="I2170" s="37"/>
    </row>
    <row r="2171" spans="1:9" ht="21.95" customHeight="1" x14ac:dyDescent="0.15">
      <c r="A2171" s="17"/>
      <c r="B2171" s="37"/>
      <c r="C2171" s="37"/>
      <c r="E2171" s="15"/>
      <c r="G2171" s="17"/>
      <c r="H2171" s="38"/>
    </row>
    <row r="2172" spans="1:9" ht="21.95" customHeight="1" x14ac:dyDescent="0.15">
      <c r="A2172" s="17"/>
      <c r="B2172" s="37"/>
      <c r="C2172" s="37"/>
      <c r="E2172" s="15"/>
      <c r="G2172" s="17"/>
      <c r="H2172" s="38"/>
    </row>
    <row r="2173" spans="1:9" ht="21.95" customHeight="1" x14ac:dyDescent="0.15">
      <c r="A2173" s="17"/>
      <c r="B2173" s="37"/>
      <c r="C2173" s="37"/>
      <c r="E2173" s="15"/>
      <c r="F2173" s="37"/>
      <c r="G2173" s="13"/>
      <c r="H2173" s="38"/>
    </row>
    <row r="2174" spans="1:9" ht="21.95" customHeight="1" x14ac:dyDescent="0.15">
      <c r="A2174" s="17"/>
      <c r="B2174" s="37"/>
      <c r="C2174" s="37"/>
      <c r="E2174" s="15"/>
      <c r="F2174" s="37"/>
      <c r="G2174" s="13"/>
      <c r="H2174" s="38"/>
    </row>
    <row r="2175" spans="1:9" ht="21.95" customHeight="1" x14ac:dyDescent="0.15">
      <c r="A2175" s="17"/>
      <c r="B2175" s="37"/>
      <c r="C2175" s="37"/>
      <c r="D2175" s="37"/>
      <c r="E2175" s="15"/>
      <c r="F2175" s="37"/>
      <c r="G2175" s="13"/>
      <c r="H2175" s="38"/>
    </row>
    <row r="2176" spans="1:9" ht="21.95" customHeight="1" x14ac:dyDescent="0.15">
      <c r="A2176" s="17"/>
      <c r="B2176" s="37"/>
      <c r="C2176" s="37"/>
      <c r="D2176" s="37"/>
      <c r="E2176" s="15"/>
      <c r="F2176" s="37"/>
      <c r="G2176" s="13"/>
      <c r="H2176" s="38"/>
    </row>
    <row r="2177" spans="1:8" ht="21.95" customHeight="1" x14ac:dyDescent="0.15">
      <c r="A2177" s="17"/>
      <c r="B2177" s="37"/>
      <c r="C2177" s="37"/>
      <c r="D2177" s="37"/>
      <c r="E2177" s="15"/>
      <c r="F2177" s="37"/>
      <c r="G2177" s="13"/>
      <c r="H2177" s="38"/>
    </row>
    <row r="2178" spans="1:8" ht="21.95" customHeight="1" x14ac:dyDescent="0.15">
      <c r="A2178" s="17"/>
      <c r="B2178" s="37"/>
      <c r="C2178" s="37"/>
      <c r="D2178" s="37"/>
      <c r="E2178" s="15"/>
      <c r="F2178" s="37"/>
      <c r="G2178" s="13"/>
      <c r="H2178" s="38"/>
    </row>
    <row r="2179" spans="1:8" ht="21.95" customHeight="1" x14ac:dyDescent="0.15">
      <c r="A2179" s="17"/>
      <c r="B2179" s="37"/>
      <c r="C2179" s="37"/>
      <c r="D2179" s="37"/>
      <c r="E2179" s="15"/>
      <c r="F2179" s="37"/>
      <c r="G2179" s="13"/>
      <c r="H2179" s="38"/>
    </row>
    <row r="2180" spans="1:8" ht="21.95" customHeight="1" x14ac:dyDescent="0.15">
      <c r="A2180" s="17"/>
      <c r="B2180" s="37"/>
      <c r="C2180" s="37"/>
      <c r="D2180" s="37"/>
      <c r="E2180" s="15"/>
      <c r="F2180" s="37"/>
      <c r="G2180" s="13"/>
      <c r="H2180" s="38"/>
    </row>
    <row r="2181" spans="1:8" ht="21.95" customHeight="1" x14ac:dyDescent="0.15">
      <c r="A2181" s="17"/>
      <c r="B2181" s="37"/>
      <c r="C2181" s="37"/>
      <c r="D2181" s="37"/>
      <c r="E2181" s="15"/>
      <c r="F2181" s="37"/>
      <c r="G2181" s="13"/>
      <c r="H2181" s="38"/>
    </row>
    <row r="2182" spans="1:8" ht="21.95" customHeight="1" x14ac:dyDescent="0.15">
      <c r="A2182" s="17"/>
      <c r="B2182" s="37"/>
      <c r="C2182" s="37"/>
      <c r="D2182" s="37"/>
      <c r="E2182" s="15"/>
      <c r="F2182" s="37"/>
      <c r="G2182" s="13"/>
      <c r="H2182" s="38"/>
    </row>
    <row r="2183" spans="1:8" ht="21.95" customHeight="1" x14ac:dyDescent="0.15">
      <c r="A2183" s="17"/>
      <c r="B2183" s="37"/>
      <c r="C2183" s="37"/>
      <c r="D2183" s="37"/>
      <c r="E2183" s="15"/>
      <c r="F2183" s="37"/>
      <c r="G2183" s="13"/>
      <c r="H2183" s="38"/>
    </row>
    <row r="2184" spans="1:8" ht="21.95" customHeight="1" x14ac:dyDescent="0.15">
      <c r="A2184" s="17"/>
      <c r="B2184" s="37"/>
      <c r="C2184" s="37"/>
      <c r="D2184" s="37"/>
      <c r="E2184" s="15"/>
      <c r="F2184" s="37"/>
      <c r="G2184" s="13"/>
      <c r="H2184" s="15"/>
    </row>
    <row r="2185" spans="1:8" ht="21.95" customHeight="1" x14ac:dyDescent="0.15">
      <c r="A2185" s="17"/>
      <c r="B2185" s="37"/>
      <c r="C2185" s="37"/>
      <c r="D2185" s="37"/>
      <c r="E2185" s="15"/>
      <c r="F2185" s="37"/>
      <c r="G2185" s="13"/>
      <c r="H2185" s="15"/>
    </row>
    <row r="2186" spans="1:8" ht="21.95" customHeight="1" x14ac:dyDescent="0.15">
      <c r="A2186" s="17"/>
      <c r="B2186" s="37"/>
      <c r="C2186" s="37"/>
      <c r="D2186" s="37"/>
      <c r="E2186" s="15"/>
      <c r="F2186" s="37"/>
      <c r="G2186" s="13"/>
      <c r="H2186" s="15"/>
    </row>
    <row r="2187" spans="1:8" ht="21.95" customHeight="1" x14ac:dyDescent="0.15">
      <c r="A2187" s="17"/>
      <c r="B2187" s="37"/>
      <c r="C2187" s="37"/>
      <c r="D2187" s="37"/>
      <c r="E2187" s="15"/>
      <c r="F2187" s="37"/>
      <c r="G2187" s="13"/>
      <c r="H2187" s="15"/>
    </row>
    <row r="2188" spans="1:8" ht="21.95" customHeight="1" x14ac:dyDescent="0.15">
      <c r="A2188" s="17"/>
      <c r="B2188" s="37"/>
      <c r="C2188" s="37"/>
      <c r="D2188" s="37"/>
      <c r="E2188" s="15"/>
      <c r="F2188" s="37"/>
      <c r="G2188" s="13"/>
      <c r="H2188" s="15"/>
    </row>
    <row r="2189" spans="1:8" ht="21.95" customHeight="1" x14ac:dyDescent="0.15">
      <c r="A2189" s="17"/>
      <c r="B2189" s="37"/>
      <c r="C2189" s="37"/>
      <c r="D2189" s="37"/>
      <c r="E2189" s="15"/>
      <c r="F2189" s="37"/>
      <c r="G2189" s="13"/>
      <c r="H2189" s="15"/>
    </row>
    <row r="2190" spans="1:8" ht="21.95" customHeight="1" x14ac:dyDescent="0.15">
      <c r="A2190" s="17"/>
      <c r="B2190" s="37"/>
      <c r="C2190" s="37"/>
      <c r="D2190" s="37"/>
      <c r="E2190" s="15"/>
      <c r="F2190" s="37"/>
      <c r="G2190" s="13"/>
      <c r="H2190" s="15"/>
    </row>
    <row r="2191" spans="1:8" ht="21.95" customHeight="1" x14ac:dyDescent="0.15">
      <c r="A2191" s="17"/>
      <c r="B2191" s="37"/>
      <c r="C2191" s="37"/>
      <c r="D2191" s="37"/>
      <c r="E2191" s="15"/>
      <c r="F2191" s="37"/>
      <c r="G2191" s="13"/>
      <c r="H2191" s="15"/>
    </row>
    <row r="2192" spans="1:8" ht="21.95" customHeight="1" x14ac:dyDescent="0.15">
      <c r="A2192" s="17"/>
      <c r="B2192" s="37"/>
      <c r="C2192" s="37"/>
      <c r="D2192" s="37"/>
      <c r="E2192" s="15"/>
      <c r="F2192" s="37"/>
      <c r="G2192" s="13"/>
      <c r="H2192" s="15"/>
    </row>
    <row r="2193" spans="1:8" ht="21.95" customHeight="1" x14ac:dyDescent="0.15">
      <c r="A2193" s="17"/>
      <c r="B2193" s="37"/>
      <c r="C2193" s="37"/>
      <c r="D2193" s="37"/>
      <c r="E2193" s="15"/>
      <c r="F2193" s="37"/>
      <c r="G2193" s="13"/>
      <c r="H2193" s="15"/>
    </row>
    <row r="2194" spans="1:8" ht="21.95" customHeight="1" x14ac:dyDescent="0.15">
      <c r="A2194" s="17"/>
      <c r="B2194" s="37"/>
      <c r="C2194" s="37"/>
      <c r="D2194" s="37"/>
      <c r="E2194" s="15"/>
      <c r="F2194" s="37"/>
      <c r="G2194" s="13"/>
      <c r="H2194" s="15"/>
    </row>
    <row r="2195" spans="1:8" ht="21.95" customHeight="1" x14ac:dyDescent="0.15">
      <c r="A2195" s="17"/>
      <c r="B2195" s="37"/>
      <c r="C2195" s="37"/>
      <c r="D2195" s="37"/>
      <c r="E2195" s="15"/>
      <c r="F2195" s="37"/>
      <c r="G2195" s="13"/>
      <c r="H2195" s="15"/>
    </row>
    <row r="2196" spans="1:8" ht="21.95" customHeight="1" x14ac:dyDescent="0.15">
      <c r="A2196" s="17"/>
      <c r="B2196" s="37"/>
      <c r="C2196" s="37"/>
      <c r="D2196" s="37"/>
      <c r="E2196" s="15"/>
      <c r="F2196" s="37"/>
      <c r="G2196" s="13"/>
      <c r="H2196" s="15"/>
    </row>
    <row r="2197" spans="1:8" ht="21.95" customHeight="1" x14ac:dyDescent="0.15">
      <c r="A2197" s="17"/>
      <c r="B2197" s="37"/>
      <c r="C2197" s="37"/>
      <c r="D2197" s="37"/>
      <c r="E2197" s="15"/>
      <c r="F2197" s="37"/>
      <c r="G2197" s="13"/>
      <c r="H2197" s="15"/>
    </row>
    <row r="2198" spans="1:8" ht="21.95" customHeight="1" x14ac:dyDescent="0.15">
      <c r="A2198" s="17"/>
      <c r="B2198" s="37"/>
      <c r="C2198" s="37"/>
      <c r="D2198" s="37"/>
      <c r="E2198" s="15"/>
      <c r="F2198" s="37"/>
      <c r="G2198" s="13"/>
      <c r="H2198" s="15"/>
    </row>
    <row r="2199" spans="1:8" ht="21.95" customHeight="1" x14ac:dyDescent="0.15">
      <c r="A2199" s="17"/>
      <c r="B2199" s="37"/>
      <c r="C2199" s="37"/>
      <c r="D2199" s="37"/>
      <c r="E2199" s="15"/>
      <c r="F2199" s="37"/>
      <c r="G2199" s="13"/>
      <c r="H2199" s="15"/>
    </row>
    <row r="2200" spans="1:8" ht="21.95" customHeight="1" x14ac:dyDescent="0.15">
      <c r="A2200" s="17"/>
      <c r="B2200" s="37"/>
      <c r="C2200" s="37"/>
      <c r="D2200" s="37"/>
      <c r="E2200" s="15"/>
      <c r="F2200" s="37"/>
      <c r="G2200" s="13"/>
      <c r="H2200" s="15"/>
    </row>
    <row r="2201" spans="1:8" ht="21.95" customHeight="1" x14ac:dyDescent="0.15">
      <c r="A2201" s="17"/>
      <c r="B2201" s="37"/>
      <c r="C2201" s="37"/>
      <c r="D2201" s="37"/>
      <c r="E2201" s="15"/>
      <c r="F2201" s="37"/>
      <c r="G2201" s="13"/>
      <c r="H2201" s="15"/>
    </row>
    <row r="2202" spans="1:8" ht="21.95" customHeight="1" x14ac:dyDescent="0.15">
      <c r="A2202" s="17"/>
      <c r="B2202" s="37"/>
      <c r="C2202" s="37"/>
      <c r="D2202" s="37"/>
      <c r="E2202" s="15"/>
      <c r="F2202" s="37"/>
      <c r="G2202" s="37"/>
      <c r="H2202" s="15"/>
    </row>
    <row r="2203" spans="1:8" ht="21.95" customHeight="1" x14ac:dyDescent="0.15">
      <c r="A2203" s="17"/>
      <c r="B2203" s="37"/>
      <c r="C2203" s="37"/>
      <c r="D2203" s="37"/>
      <c r="E2203" s="15"/>
      <c r="F2203" s="37"/>
      <c r="G2203" s="13"/>
      <c r="H2203" s="15"/>
    </row>
    <row r="2204" spans="1:8" ht="21.95" customHeight="1" x14ac:dyDescent="0.15">
      <c r="A2204" s="17"/>
      <c r="B2204" s="37"/>
      <c r="C2204" s="37"/>
      <c r="D2204" s="37"/>
      <c r="E2204" s="15"/>
      <c r="F2204" s="37"/>
      <c r="G2204" s="13"/>
      <c r="H2204" s="15"/>
    </row>
    <row r="2205" spans="1:8" ht="21.95" customHeight="1" x14ac:dyDescent="0.15">
      <c r="A2205" s="17"/>
      <c r="B2205" s="37"/>
      <c r="C2205" s="37"/>
      <c r="D2205" s="37"/>
      <c r="E2205" s="15"/>
      <c r="F2205" s="37"/>
      <c r="G2205" s="13"/>
      <c r="H2205" s="15"/>
    </row>
    <row r="2206" spans="1:8" ht="21.95" customHeight="1" x14ac:dyDescent="0.15">
      <c r="A2206" s="17"/>
      <c r="B2206" s="37"/>
      <c r="C2206" s="37"/>
      <c r="D2206" s="37"/>
      <c r="E2206" s="15"/>
      <c r="F2206" s="37"/>
      <c r="G2206" s="13"/>
      <c r="H2206" s="15"/>
    </row>
    <row r="2207" spans="1:8" ht="21.95" customHeight="1" x14ac:dyDescent="0.15">
      <c r="A2207" s="17"/>
      <c r="B2207" s="37"/>
      <c r="C2207" s="37"/>
      <c r="D2207" s="37"/>
      <c r="E2207" s="15"/>
      <c r="F2207" s="37"/>
      <c r="G2207" s="13"/>
      <c r="H2207" s="15"/>
    </row>
    <row r="2208" spans="1:8" ht="21.95" customHeight="1" x14ac:dyDescent="0.15">
      <c r="A2208" s="17"/>
      <c r="B2208" s="37"/>
      <c r="C2208" s="37"/>
      <c r="D2208" s="37"/>
      <c r="E2208" s="15"/>
      <c r="F2208" s="37"/>
      <c r="G2208" s="13"/>
      <c r="H2208" s="15"/>
    </row>
    <row r="2209" spans="1:9" ht="21.95" customHeight="1" x14ac:dyDescent="0.15">
      <c r="A2209" s="17"/>
      <c r="B2209" s="37"/>
      <c r="C2209" s="37"/>
      <c r="D2209" s="37"/>
      <c r="E2209" s="15"/>
      <c r="F2209" s="37"/>
      <c r="G2209" s="13"/>
      <c r="H2209" s="15"/>
    </row>
    <row r="2210" spans="1:9" ht="21.95" customHeight="1" x14ac:dyDescent="0.15">
      <c r="A2210" s="17"/>
      <c r="B2210" s="37"/>
      <c r="C2210" s="37"/>
      <c r="D2210" s="37"/>
      <c r="E2210" s="15"/>
      <c r="F2210" s="37"/>
      <c r="G2210" s="13"/>
      <c r="H2210" s="15"/>
    </row>
    <row r="2211" spans="1:9" ht="21.95" customHeight="1" x14ac:dyDescent="0.15">
      <c r="A2211" s="17"/>
      <c r="B2211" s="37"/>
      <c r="C2211" s="37"/>
      <c r="D2211" s="37"/>
      <c r="E2211" s="15"/>
      <c r="F2211" s="37"/>
      <c r="G2211" s="13"/>
      <c r="H2211" s="15"/>
    </row>
    <row r="2212" spans="1:9" ht="21.95" customHeight="1" x14ac:dyDescent="0.15">
      <c r="A2212" s="17"/>
      <c r="B2212" s="37"/>
      <c r="C2212" s="37"/>
      <c r="D2212" s="37"/>
      <c r="E2212" s="15"/>
      <c r="F2212" s="37"/>
      <c r="G2212" s="13"/>
      <c r="H2212" s="15"/>
    </row>
    <row r="2213" spans="1:9" ht="21.95" customHeight="1" x14ac:dyDescent="0.15">
      <c r="A2213" s="17"/>
      <c r="B2213" s="37"/>
      <c r="C2213" s="37"/>
      <c r="D2213" s="37"/>
      <c r="E2213" s="15"/>
      <c r="F2213" s="37"/>
      <c r="G2213" s="13"/>
      <c r="H2213" s="15"/>
    </row>
    <row r="2214" spans="1:9" ht="21.95" customHeight="1" x14ac:dyDescent="0.15">
      <c r="A2214" s="17"/>
      <c r="B2214" s="37"/>
      <c r="C2214" s="37"/>
      <c r="D2214" s="37"/>
      <c r="E2214" s="15"/>
      <c r="F2214" s="37"/>
      <c r="G2214" s="13"/>
      <c r="H2214" s="15"/>
    </row>
    <row r="2215" spans="1:9" ht="21.95" customHeight="1" x14ac:dyDescent="0.15">
      <c r="A2215" s="17"/>
      <c r="B2215" s="37"/>
      <c r="C2215" s="37"/>
      <c r="D2215" s="37"/>
      <c r="E2215" s="15"/>
      <c r="F2215" s="37"/>
      <c r="G2215" s="13"/>
      <c r="H2215" s="38"/>
      <c r="I2215" s="84"/>
    </row>
    <row r="2216" spans="1:9" ht="21.95" customHeight="1" x14ac:dyDescent="0.15">
      <c r="A2216" s="17"/>
      <c r="B2216" s="37"/>
      <c r="C2216" s="37"/>
      <c r="D2216" s="37"/>
      <c r="E2216" s="15"/>
      <c r="F2216" s="37"/>
      <c r="G2216" s="13"/>
      <c r="H2216" s="15"/>
      <c r="I2216" s="84"/>
    </row>
    <row r="2217" spans="1:9" ht="35.1" customHeight="1" x14ac:dyDescent="0.15">
      <c r="A2217" s="17"/>
      <c r="B2217" s="37"/>
      <c r="C2217" s="37"/>
      <c r="D2217" s="37"/>
      <c r="E2217" s="15"/>
      <c r="F2217" s="15"/>
      <c r="G2217" s="37"/>
      <c r="H2217" s="15"/>
    </row>
    <row r="2218" spans="1:9" ht="21.95" customHeight="1" x14ac:dyDescent="0.15">
      <c r="A2218" s="17"/>
      <c r="B2218" s="37"/>
      <c r="C2218" s="37"/>
      <c r="D2218" s="37"/>
      <c r="E2218" s="15"/>
      <c r="F2218" s="37"/>
      <c r="G2218" s="13"/>
      <c r="H2218" s="15"/>
    </row>
    <row r="2219" spans="1:9" ht="21.95" customHeight="1" x14ac:dyDescent="0.15">
      <c r="A2219" s="17"/>
      <c r="B2219" s="37"/>
      <c r="C2219" s="37"/>
      <c r="D2219" s="37"/>
      <c r="E2219" s="15"/>
      <c r="F2219" s="37"/>
      <c r="G2219" s="13"/>
      <c r="H2219" s="15"/>
    </row>
    <row r="2220" spans="1:9" ht="21.95" customHeight="1" x14ac:dyDescent="0.15">
      <c r="A2220" s="17"/>
      <c r="B2220" s="37"/>
      <c r="C2220" s="37"/>
      <c r="D2220" s="37"/>
      <c r="E2220" s="15"/>
      <c r="F2220" s="37"/>
      <c r="G2220" s="13"/>
      <c r="H2220" s="15"/>
    </row>
    <row r="2221" spans="1:9" ht="21.95" customHeight="1" x14ac:dyDescent="0.15">
      <c r="A2221" s="17"/>
      <c r="B2221" s="37"/>
      <c r="C2221" s="37"/>
      <c r="D2221" s="37"/>
      <c r="E2221" s="15"/>
      <c r="F2221" s="37"/>
      <c r="G2221" s="13"/>
      <c r="H2221" s="15"/>
    </row>
    <row r="2222" spans="1:9" ht="21.95" customHeight="1" x14ac:dyDescent="0.15">
      <c r="A2222" s="17"/>
      <c r="B2222" s="37"/>
      <c r="C2222" s="37"/>
      <c r="D2222" s="37"/>
      <c r="E2222" s="15"/>
      <c r="F2222" s="37"/>
      <c r="G2222" s="13"/>
      <c r="H2222" s="15"/>
    </row>
    <row r="2223" spans="1:9" ht="21.95" customHeight="1" x14ac:dyDescent="0.15">
      <c r="A2223" s="17"/>
      <c r="B2223" s="37"/>
      <c r="C2223" s="37"/>
      <c r="D2223" s="37"/>
      <c r="E2223" s="15"/>
      <c r="F2223" s="37"/>
      <c r="G2223" s="13"/>
      <c r="H2223" s="15"/>
      <c r="I2223" s="37"/>
    </row>
    <row r="2224" spans="1:9" ht="21.95" customHeight="1" x14ac:dyDescent="0.15">
      <c r="A2224" s="17"/>
      <c r="B2224" s="37"/>
      <c r="C2224" s="37"/>
      <c r="D2224" s="37"/>
      <c r="E2224" s="15"/>
      <c r="F2224" s="37"/>
      <c r="G2224" s="37"/>
      <c r="H2224" s="15"/>
      <c r="I2224" s="37"/>
    </row>
    <row r="2225" spans="1:9" ht="21.95" customHeight="1" x14ac:dyDescent="0.15">
      <c r="A2225" s="17"/>
      <c r="B2225" s="37"/>
      <c r="C2225" s="37"/>
      <c r="D2225" s="37"/>
      <c r="E2225" s="15"/>
      <c r="F2225" s="37"/>
      <c r="G2225" s="37"/>
      <c r="H2225" s="38"/>
      <c r="I2225" s="37"/>
    </row>
    <row r="2226" spans="1:9" ht="21.95" customHeight="1" x14ac:dyDescent="0.15">
      <c r="A2226" s="17"/>
      <c r="B2226" s="37"/>
      <c r="C2226" s="37"/>
      <c r="D2226" s="37"/>
      <c r="E2226" s="15"/>
      <c r="F2226" s="37"/>
      <c r="G2226" s="37"/>
      <c r="H2226" s="38"/>
      <c r="I2226" s="37"/>
    </row>
    <row r="2227" spans="1:9" ht="21.95" customHeight="1" x14ac:dyDescent="0.15">
      <c r="A2227" s="17"/>
      <c r="B2227" s="37"/>
      <c r="C2227" s="37"/>
      <c r="D2227" s="37"/>
      <c r="E2227" s="15"/>
      <c r="F2227" s="37"/>
      <c r="G2227" s="13"/>
      <c r="H2227" s="15"/>
      <c r="I2227" s="37"/>
    </row>
    <row r="2228" spans="1:9" ht="21.95" customHeight="1" x14ac:dyDescent="0.15">
      <c r="A2228" s="17"/>
      <c r="B2228" s="37"/>
      <c r="C2228" s="37"/>
      <c r="D2228" s="37"/>
      <c r="E2228" s="15"/>
      <c r="F2228" s="37"/>
      <c r="G2228" s="13"/>
      <c r="H2228" s="15"/>
      <c r="I2228" s="37"/>
    </row>
    <row r="2229" spans="1:9" ht="21.95" customHeight="1" x14ac:dyDescent="0.15">
      <c r="A2229" s="17"/>
      <c r="B2229" s="37"/>
      <c r="C2229" s="37"/>
      <c r="D2229" s="37"/>
      <c r="E2229" s="15"/>
      <c r="F2229" s="37"/>
      <c r="G2229" s="13"/>
      <c r="H2229" s="15"/>
      <c r="I2229" s="37"/>
    </row>
    <row r="2230" spans="1:9" ht="21.95" customHeight="1" x14ac:dyDescent="0.15">
      <c r="A2230" s="17"/>
      <c r="B2230" s="37"/>
      <c r="C2230" s="37"/>
      <c r="E2230" s="15"/>
      <c r="F2230" s="37"/>
      <c r="H2230" s="38"/>
    </row>
    <row r="2231" spans="1:9" ht="21.95" customHeight="1" x14ac:dyDescent="0.15">
      <c r="A2231" s="17"/>
      <c r="B2231" s="37"/>
      <c r="C2231" s="37"/>
      <c r="E2231" s="15"/>
      <c r="F2231" s="37"/>
    </row>
    <row r="2232" spans="1:9" ht="21.95" customHeight="1" x14ac:dyDescent="0.15">
      <c r="A2232" s="17"/>
      <c r="B2232" s="37"/>
      <c r="C2232" s="37"/>
      <c r="E2232" s="15"/>
      <c r="G2232" s="77"/>
    </row>
    <row r="2233" spans="1:9" ht="21.95" customHeight="1" x14ac:dyDescent="0.15">
      <c r="A2233" s="17"/>
      <c r="B2233" s="37"/>
      <c r="C2233" s="37"/>
      <c r="D2233" s="37"/>
      <c r="E2233" s="15"/>
      <c r="F2233" s="37"/>
      <c r="G2233" s="37"/>
      <c r="H2233" s="15"/>
    </row>
    <row r="2234" spans="1:9" ht="21.95" customHeight="1" x14ac:dyDescent="0.15">
      <c r="A2234" s="17"/>
      <c r="B2234" s="37"/>
      <c r="C2234" s="37"/>
      <c r="D2234" s="37"/>
      <c r="E2234" s="15"/>
      <c r="F2234" s="37"/>
      <c r="G2234" s="13"/>
      <c r="H2234" s="15"/>
    </row>
    <row r="2235" spans="1:9" ht="21.95" customHeight="1" x14ac:dyDescent="0.15">
      <c r="A2235" s="17"/>
      <c r="B2235" s="37"/>
      <c r="C2235" s="37"/>
      <c r="D2235" s="37"/>
      <c r="E2235" s="15"/>
      <c r="F2235" s="37"/>
      <c r="G2235" s="13"/>
      <c r="H2235" s="15"/>
    </row>
    <row r="2236" spans="1:9" ht="21.95" customHeight="1" x14ac:dyDescent="0.15">
      <c r="A2236" s="17"/>
      <c r="C2236" s="37"/>
    </row>
    <row r="2237" spans="1:9" ht="21.95" customHeight="1" x14ac:dyDescent="0.15">
      <c r="A2237" s="17"/>
      <c r="B2237" s="37"/>
      <c r="C2237" s="37"/>
      <c r="D2237" s="13"/>
      <c r="E2237" s="15"/>
      <c r="F2237" s="37"/>
      <c r="G2237" s="13"/>
      <c r="H2237" s="15"/>
      <c r="I2237" s="13"/>
    </row>
    <row r="2238" spans="1:9" ht="21.95" customHeight="1" x14ac:dyDescent="0.15">
      <c r="A2238" s="17"/>
      <c r="B2238" s="13"/>
      <c r="C2238" s="13"/>
      <c r="D2238" s="13"/>
      <c r="E2238" s="15"/>
      <c r="F2238" s="37"/>
      <c r="G2238" s="13"/>
      <c r="H2238" s="15"/>
      <c r="I2238" s="13"/>
    </row>
    <row r="2239" spans="1:9" ht="21.95" customHeight="1" x14ac:dyDescent="0.15">
      <c r="A2239" s="17"/>
      <c r="B2239" s="13"/>
      <c r="C2239" s="13"/>
      <c r="D2239" s="13"/>
      <c r="E2239" s="15"/>
      <c r="F2239" s="37"/>
      <c r="G2239" s="13"/>
      <c r="H2239" s="15"/>
      <c r="I2239" s="13"/>
    </row>
    <row r="2240" spans="1:9" ht="21.95" customHeight="1" x14ac:dyDescent="0.15">
      <c r="A2240" s="17"/>
      <c r="B2240" s="13"/>
      <c r="C2240" s="13"/>
      <c r="D2240" s="13"/>
      <c r="E2240" s="15"/>
      <c r="F2240" s="37"/>
      <c r="G2240" s="13"/>
      <c r="H2240" s="15"/>
      <c r="I2240" s="13"/>
    </row>
    <row r="2241" spans="1:9" customFormat="1" ht="21.95" customHeight="1" x14ac:dyDescent="0.15">
      <c r="A2241" s="17"/>
      <c r="B2241" s="40"/>
      <c r="C2241" s="40"/>
      <c r="D2241" s="40"/>
      <c r="E2241" s="38"/>
      <c r="F2241" s="85"/>
      <c r="G2241" s="40"/>
      <c r="H2241" s="38"/>
      <c r="I2241" s="40"/>
    </row>
    <row r="2242" spans="1:9" customFormat="1" ht="21.95" customHeight="1" x14ac:dyDescent="0.15">
      <c r="A2242" s="17"/>
      <c r="B2242" s="37"/>
      <c r="C2242" s="37"/>
      <c r="D2242" s="40"/>
      <c r="E2242" s="15"/>
      <c r="F2242" s="85"/>
      <c r="G2242" s="42"/>
      <c r="H2242" s="38"/>
      <c r="I2242" s="56"/>
    </row>
    <row r="2243" spans="1:9" customFormat="1" ht="21.95" customHeight="1" x14ac:dyDescent="0.15">
      <c r="A2243" s="17"/>
      <c r="B2243" s="37"/>
      <c r="C2243" s="95"/>
      <c r="D2243" s="40"/>
      <c r="E2243" s="15"/>
      <c r="F2243" s="85"/>
      <c r="G2243" s="42"/>
      <c r="H2243" s="38"/>
      <c r="I2243" s="56"/>
    </row>
    <row r="2244" spans="1:9" customFormat="1" ht="21.95" customHeight="1" x14ac:dyDescent="0.15">
      <c r="A2244" s="17"/>
      <c r="B2244" s="37"/>
      <c r="C2244" s="95"/>
      <c r="D2244" s="40"/>
      <c r="E2244" s="15"/>
      <c r="F2244" s="85"/>
      <c r="G2244" s="17"/>
      <c r="H2244" s="38"/>
      <c r="I2244" s="56"/>
    </row>
    <row r="2245" spans="1:9" customFormat="1" ht="21.95" customHeight="1" x14ac:dyDescent="0.15">
      <c r="A2245" s="17"/>
      <c r="B2245" s="37"/>
      <c r="C2245" s="37"/>
      <c r="D2245" s="40"/>
      <c r="E2245" s="15"/>
      <c r="F2245" s="85"/>
      <c r="G2245" s="42"/>
      <c r="H2245" s="38"/>
      <c r="I2245" s="56"/>
    </row>
    <row r="2246" spans="1:9" customFormat="1" ht="21.95" customHeight="1" x14ac:dyDescent="0.15">
      <c r="A2246" s="17"/>
      <c r="B2246" s="37"/>
      <c r="C2246" s="37"/>
      <c r="D2246" s="40"/>
      <c r="E2246" s="15"/>
      <c r="F2246" s="85"/>
      <c r="G2246" s="17"/>
      <c r="H2246" s="38"/>
      <c r="I2246" s="56"/>
    </row>
    <row r="2247" spans="1:9" customFormat="1" ht="21.95" customHeight="1" x14ac:dyDescent="0.15">
      <c r="A2247" s="17"/>
      <c r="B2247" s="37"/>
      <c r="C2247" s="37"/>
      <c r="D2247" s="40"/>
      <c r="E2247" s="15"/>
      <c r="F2247" s="85"/>
      <c r="G2247" s="42"/>
      <c r="H2247" s="38"/>
      <c r="I2247" s="56"/>
    </row>
    <row r="2248" spans="1:9" customFormat="1" ht="21.95" customHeight="1" x14ac:dyDescent="0.15">
      <c r="A2248" s="17"/>
      <c r="B2248" s="37"/>
      <c r="C2248" s="37"/>
      <c r="D2248" s="40"/>
      <c r="E2248" s="15"/>
      <c r="F2248" s="85"/>
      <c r="G2248" s="17"/>
      <c r="H2248" s="38"/>
      <c r="I2248" s="56"/>
    </row>
    <row r="2249" spans="1:9" customFormat="1" ht="21.95" customHeight="1" x14ac:dyDescent="0.15">
      <c r="A2249" s="17"/>
      <c r="B2249" s="37"/>
      <c r="C2249" s="37"/>
      <c r="D2249" s="40"/>
      <c r="E2249" s="15"/>
      <c r="F2249" s="85"/>
      <c r="G2249" s="42"/>
      <c r="H2249" s="38"/>
      <c r="I2249" s="56"/>
    </row>
    <row r="2250" spans="1:9" customFormat="1" ht="21.95" customHeight="1" x14ac:dyDescent="0.15">
      <c r="A2250" s="17"/>
      <c r="B2250" s="37"/>
      <c r="C2250" s="37"/>
      <c r="D2250" s="40"/>
      <c r="E2250" s="15"/>
      <c r="F2250" s="85"/>
      <c r="G2250" s="17"/>
      <c r="H2250" s="38"/>
      <c r="I2250" s="56"/>
    </row>
    <row r="2251" spans="1:9" customFormat="1" ht="21.95" customHeight="1" x14ac:dyDescent="0.15">
      <c r="A2251" s="17"/>
      <c r="B2251" s="37"/>
      <c r="C2251" s="37"/>
      <c r="D2251" s="40"/>
      <c r="E2251" s="15"/>
      <c r="F2251" s="85"/>
      <c r="G2251" s="42"/>
      <c r="H2251" s="38"/>
      <c r="I2251" s="56"/>
    </row>
    <row r="2252" spans="1:9" ht="21.95" customHeight="1" x14ac:dyDescent="0.15">
      <c r="A2252" s="17"/>
      <c r="B2252" s="37"/>
      <c r="C2252" s="37"/>
      <c r="D2252" s="37"/>
      <c r="E2252" s="15"/>
      <c r="F2252" s="85"/>
      <c r="G2252" s="17"/>
      <c r="H2252" s="38"/>
    </row>
    <row r="2253" spans="1:9" ht="21.95" customHeight="1" x14ac:dyDescent="0.15">
      <c r="A2253" s="17"/>
      <c r="B2253" s="37"/>
      <c r="C2253" s="37"/>
      <c r="D2253" s="37"/>
      <c r="E2253" s="15"/>
      <c r="F2253" s="85"/>
      <c r="H2253" s="38"/>
    </row>
    <row r="2254" spans="1:9" ht="21.95" customHeight="1" x14ac:dyDescent="0.15">
      <c r="A2254" s="17"/>
      <c r="B2254" s="37"/>
      <c r="C2254" s="37"/>
      <c r="D2254" s="37"/>
      <c r="E2254" s="15"/>
      <c r="F2254" s="85"/>
      <c r="H2254" s="38"/>
    </row>
    <row r="2255" spans="1:9" ht="21.95" customHeight="1" x14ac:dyDescent="0.15">
      <c r="A2255" s="17"/>
      <c r="B2255" s="37"/>
      <c r="C2255" s="37"/>
      <c r="D2255" s="37"/>
      <c r="E2255" s="15"/>
      <c r="F2255" s="85"/>
      <c r="G2255" s="17"/>
      <c r="H2255" s="38"/>
    </row>
    <row r="2256" spans="1:9" customFormat="1" ht="21.95" customHeight="1" x14ac:dyDescent="0.15">
      <c r="A2256" s="17"/>
      <c r="B2256" s="37"/>
      <c r="C2256" s="37"/>
      <c r="D2256" s="37"/>
      <c r="E2256" s="15"/>
      <c r="F2256" s="85"/>
      <c r="G2256" s="17"/>
      <c r="H2256" s="38"/>
      <c r="I2256" s="42"/>
    </row>
    <row r="2257" spans="1:9" customFormat="1" ht="21.95" customHeight="1" x14ac:dyDescent="0.15">
      <c r="A2257" s="17"/>
      <c r="B2257" s="37"/>
      <c r="C2257" s="37"/>
      <c r="D2257" s="37"/>
      <c r="E2257" s="15"/>
      <c r="F2257" s="85"/>
      <c r="G2257" s="17"/>
      <c r="H2257" s="38"/>
      <c r="I2257" s="42"/>
    </row>
    <row r="2258" spans="1:9" customFormat="1" ht="21.95" customHeight="1" x14ac:dyDescent="0.15">
      <c r="A2258" s="17"/>
      <c r="B2258" s="37"/>
      <c r="C2258" s="37"/>
      <c r="D2258" s="37"/>
      <c r="E2258" s="15"/>
      <c r="F2258" s="85"/>
      <c r="G2258" s="17"/>
      <c r="H2258" s="38"/>
      <c r="I2258" s="42"/>
    </row>
    <row r="2259" spans="1:9" customFormat="1" ht="21.95" customHeight="1" x14ac:dyDescent="0.15">
      <c r="A2259" s="17"/>
      <c r="B2259" s="37"/>
      <c r="C2259" s="37"/>
      <c r="D2259" s="37"/>
      <c r="E2259" s="15"/>
      <c r="F2259" s="85"/>
      <c r="G2259" s="17"/>
      <c r="H2259" s="38"/>
      <c r="I2259" s="42"/>
    </row>
    <row r="2260" spans="1:9" customFormat="1" ht="21.95" customHeight="1" x14ac:dyDescent="0.15">
      <c r="A2260" s="17"/>
      <c r="B2260" s="37"/>
      <c r="C2260" s="37"/>
      <c r="D2260" s="37"/>
      <c r="E2260" s="15"/>
      <c r="F2260" s="85"/>
      <c r="G2260" s="17"/>
      <c r="H2260" s="38"/>
      <c r="I2260" s="42"/>
    </row>
    <row r="2261" spans="1:9" customFormat="1" ht="21.95" customHeight="1" x14ac:dyDescent="0.15">
      <c r="A2261" s="17"/>
      <c r="B2261" s="37"/>
      <c r="C2261" s="37"/>
      <c r="D2261" s="37"/>
      <c r="E2261" s="15"/>
      <c r="F2261" s="85"/>
      <c r="G2261" s="17"/>
      <c r="H2261" s="38"/>
      <c r="I2261" s="42"/>
    </row>
    <row r="2262" spans="1:9" customFormat="1" ht="21.95" customHeight="1" x14ac:dyDescent="0.15">
      <c r="A2262" s="17"/>
      <c r="B2262" s="37"/>
      <c r="C2262" s="37"/>
      <c r="D2262" s="37"/>
      <c r="E2262" s="15"/>
      <c r="F2262" s="85"/>
      <c r="G2262" s="17"/>
      <c r="H2262" s="38"/>
      <c r="I2262" s="42"/>
    </row>
    <row r="2263" spans="1:9" customFormat="1" ht="21.95" customHeight="1" x14ac:dyDescent="0.15">
      <c r="A2263" s="17"/>
      <c r="B2263" s="37"/>
      <c r="C2263" s="37"/>
      <c r="D2263" s="37"/>
      <c r="E2263" s="15"/>
      <c r="F2263" s="85"/>
      <c r="G2263" s="17"/>
      <c r="H2263" s="38"/>
      <c r="I2263" s="42"/>
    </row>
    <row r="2264" spans="1:9" customFormat="1" ht="21.95" customHeight="1" x14ac:dyDescent="0.15">
      <c r="A2264" s="17"/>
      <c r="B2264" s="37"/>
      <c r="C2264" s="37"/>
      <c r="D2264" s="37"/>
      <c r="E2264" s="15"/>
      <c r="F2264" s="85"/>
      <c r="G2264" s="17"/>
      <c r="H2264" s="38"/>
      <c r="I2264" s="42"/>
    </row>
    <row r="2265" spans="1:9" customFormat="1" ht="21.95" customHeight="1" x14ac:dyDescent="0.15">
      <c r="A2265" s="17"/>
      <c r="B2265" s="37"/>
      <c r="C2265" s="37"/>
      <c r="D2265" s="37"/>
      <c r="E2265" s="15"/>
      <c r="F2265" s="85"/>
      <c r="G2265" s="17"/>
      <c r="H2265" s="38"/>
      <c r="I2265" s="56"/>
    </row>
    <row r="2266" spans="1:9" customFormat="1" ht="21.95" customHeight="1" x14ac:dyDescent="0.15">
      <c r="A2266" s="17"/>
      <c r="B2266" s="37"/>
      <c r="C2266" s="37"/>
      <c r="D2266" s="37"/>
      <c r="E2266" s="15"/>
      <c r="F2266" s="85"/>
      <c r="G2266" s="17"/>
      <c r="H2266" s="38"/>
      <c r="I2266" s="56"/>
    </row>
    <row r="2267" spans="1:9" customFormat="1" ht="32.1" customHeight="1" x14ac:dyDescent="0.15">
      <c r="A2267" s="17"/>
      <c r="B2267" s="37"/>
      <c r="C2267" s="37"/>
      <c r="D2267" s="37"/>
      <c r="E2267" s="15"/>
      <c r="F2267" s="85"/>
      <c r="G2267" s="17"/>
      <c r="H2267" s="38"/>
      <c r="I2267" s="56"/>
    </row>
    <row r="2268" spans="1:9" customFormat="1" ht="32.1" customHeight="1" x14ac:dyDescent="0.15">
      <c r="A2268" s="17"/>
      <c r="B2268" s="37"/>
      <c r="C2268" s="37"/>
      <c r="D2268" s="37"/>
      <c r="E2268" s="15"/>
      <c r="F2268" s="85"/>
      <c r="G2268" s="17"/>
      <c r="H2268" s="38"/>
      <c r="I2268" s="56"/>
    </row>
    <row r="2269" spans="1:9" customFormat="1" ht="32.1" customHeight="1" x14ac:dyDescent="0.15">
      <c r="A2269" s="17"/>
      <c r="B2269" s="37"/>
      <c r="C2269" s="37"/>
      <c r="D2269" s="37"/>
      <c r="E2269" s="15"/>
      <c r="F2269" s="85"/>
      <c r="G2269" s="17"/>
      <c r="H2269" s="38"/>
      <c r="I2269" s="56"/>
    </row>
    <row r="2270" spans="1:9" customFormat="1" ht="32.1" customHeight="1" x14ac:dyDescent="0.15">
      <c r="A2270" s="17"/>
      <c r="B2270" s="37"/>
      <c r="C2270" s="37"/>
      <c r="D2270" s="37"/>
      <c r="E2270" s="15"/>
      <c r="F2270" s="85"/>
      <c r="G2270" s="17"/>
      <c r="H2270" s="38"/>
      <c r="I2270" s="56"/>
    </row>
    <row r="2271" spans="1:9" customFormat="1" ht="32.1" customHeight="1" x14ac:dyDescent="0.15">
      <c r="A2271" s="17"/>
      <c r="B2271" s="37"/>
      <c r="C2271" s="37"/>
      <c r="D2271" s="37"/>
      <c r="E2271" s="15"/>
      <c r="F2271" s="85"/>
      <c r="G2271" s="17"/>
      <c r="H2271" s="38"/>
      <c r="I2271" s="56"/>
    </row>
    <row r="2272" spans="1:9" customFormat="1" ht="32.1" customHeight="1" x14ac:dyDescent="0.15">
      <c r="A2272" s="17"/>
      <c r="B2272" s="37"/>
      <c r="C2272" s="37"/>
      <c r="D2272" s="37"/>
      <c r="E2272" s="15"/>
      <c r="F2272" s="85"/>
      <c r="G2272" s="17"/>
      <c r="H2272" s="38"/>
      <c r="I2272" s="56"/>
    </row>
    <row r="2273" spans="1:9" ht="32.1" customHeight="1" x14ac:dyDescent="0.15">
      <c r="A2273" s="17"/>
      <c r="B2273" s="37"/>
      <c r="C2273" s="37"/>
      <c r="D2273" s="37"/>
      <c r="E2273" s="15"/>
      <c r="F2273" s="85"/>
      <c r="G2273" s="17"/>
      <c r="H2273" s="38"/>
      <c r="I2273" s="37"/>
    </row>
    <row r="2274" spans="1:9" ht="32.1" customHeight="1" x14ac:dyDescent="0.15">
      <c r="A2274" s="17"/>
      <c r="B2274" s="37"/>
      <c r="C2274" s="37"/>
      <c r="D2274" s="37"/>
      <c r="E2274" s="15"/>
      <c r="F2274" s="37"/>
      <c r="G2274" s="17"/>
      <c r="H2274" s="38"/>
      <c r="I2274" s="37"/>
    </row>
    <row r="2275" spans="1:9" ht="32.1" customHeight="1" x14ac:dyDescent="0.15">
      <c r="A2275" s="17"/>
      <c r="B2275" s="37"/>
      <c r="C2275" s="37"/>
      <c r="D2275" s="37"/>
      <c r="E2275" s="15"/>
      <c r="F2275" s="37"/>
      <c r="G2275" s="17"/>
      <c r="H2275" s="38"/>
      <c r="I2275" s="37"/>
    </row>
    <row r="2276" spans="1:9" ht="32.1" customHeight="1" x14ac:dyDescent="0.15">
      <c r="A2276" s="17"/>
      <c r="B2276" s="37"/>
      <c r="C2276" s="37"/>
      <c r="D2276" s="37"/>
      <c r="E2276" s="15"/>
      <c r="F2276" s="37"/>
      <c r="G2276" s="17"/>
      <c r="H2276" s="38"/>
      <c r="I2276" s="37"/>
    </row>
    <row r="2277" spans="1:9" ht="21.95" customHeight="1" x14ac:dyDescent="0.15">
      <c r="A2277" s="17"/>
      <c r="B2277" s="37"/>
      <c r="C2277" s="37"/>
      <c r="D2277" s="37"/>
      <c r="E2277" s="15"/>
      <c r="F2277" s="37"/>
      <c r="G2277" s="17"/>
      <c r="H2277" s="38"/>
      <c r="I2277" s="37"/>
    </row>
    <row r="2278" spans="1:9" ht="54" customHeight="1" x14ac:dyDescent="0.15">
      <c r="A2278" s="17"/>
      <c r="B2278" s="37"/>
      <c r="C2278" s="37"/>
      <c r="D2278" s="37"/>
      <c r="E2278" s="15"/>
      <c r="F2278" s="37"/>
      <c r="G2278" s="17"/>
      <c r="H2278" s="38"/>
      <c r="I2278" s="37"/>
    </row>
    <row r="2279" spans="1:9" ht="21.95" customHeight="1" x14ac:dyDescent="0.15">
      <c r="A2279" s="17"/>
      <c r="B2279" s="37"/>
      <c r="C2279" s="37"/>
      <c r="D2279" s="37"/>
      <c r="E2279" s="15"/>
      <c r="F2279" s="37"/>
      <c r="G2279" s="17"/>
      <c r="H2279" s="38"/>
      <c r="I2279" s="37"/>
    </row>
    <row r="2280" spans="1:9" ht="21.95" customHeight="1" x14ac:dyDescent="0.15">
      <c r="A2280" s="17"/>
      <c r="B2280" s="37"/>
      <c r="C2280" s="37"/>
      <c r="D2280" s="37"/>
      <c r="E2280" s="15"/>
      <c r="F2280" s="37"/>
      <c r="G2280" s="17"/>
      <c r="H2280" s="38"/>
      <c r="I2280" s="37"/>
    </row>
    <row r="2281" spans="1:9" ht="21.95" customHeight="1" x14ac:dyDescent="0.15">
      <c r="A2281" s="17"/>
      <c r="B2281" s="37"/>
      <c r="C2281" s="37"/>
      <c r="D2281" s="37"/>
      <c r="E2281" s="15"/>
      <c r="F2281" s="37"/>
      <c r="G2281" s="17"/>
      <c r="H2281" s="38"/>
      <c r="I2281" s="37"/>
    </row>
    <row r="2282" spans="1:9" ht="21.95" customHeight="1" x14ac:dyDescent="0.15">
      <c r="A2282" s="17"/>
      <c r="B2282" s="37"/>
      <c r="C2282" s="37"/>
      <c r="D2282" s="37"/>
      <c r="E2282" s="15"/>
      <c r="F2282" s="37"/>
      <c r="G2282" s="17"/>
      <c r="H2282" s="38"/>
      <c r="I2282" s="37"/>
    </row>
    <row r="2283" spans="1:9" ht="21.95" customHeight="1" x14ac:dyDescent="0.15">
      <c r="A2283" s="17"/>
      <c r="B2283" s="37"/>
      <c r="C2283" s="37"/>
      <c r="E2283" s="15"/>
      <c r="G2283" s="17"/>
      <c r="H2283" s="38"/>
    </row>
    <row r="2284" spans="1:9" ht="21.95" customHeight="1" x14ac:dyDescent="0.15">
      <c r="A2284" s="17"/>
      <c r="B2284" s="37"/>
      <c r="C2284" s="37"/>
      <c r="E2284" s="15"/>
      <c r="G2284" s="17"/>
      <c r="H2284" s="38"/>
    </row>
    <row r="2285" spans="1:9" ht="21.95" customHeight="1" x14ac:dyDescent="0.15">
      <c r="A2285" s="17"/>
      <c r="B2285" s="37"/>
      <c r="C2285" s="37"/>
      <c r="E2285" s="15"/>
      <c r="F2285" s="37"/>
      <c r="G2285" s="13"/>
      <c r="H2285" s="38"/>
    </row>
    <row r="2286" spans="1:9" ht="21.95" customHeight="1" x14ac:dyDescent="0.15">
      <c r="A2286" s="17"/>
      <c r="B2286" s="37"/>
      <c r="C2286" s="37"/>
      <c r="E2286" s="15"/>
      <c r="F2286" s="37"/>
      <c r="G2286" s="13"/>
      <c r="H2286" s="38"/>
    </row>
    <row r="2287" spans="1:9" ht="21.95" customHeight="1" x14ac:dyDescent="0.15">
      <c r="A2287" s="17"/>
      <c r="B2287" s="37"/>
      <c r="C2287" s="37"/>
      <c r="D2287" s="37"/>
      <c r="E2287" s="15"/>
      <c r="F2287" s="37"/>
      <c r="G2287" s="13"/>
      <c r="H2287" s="38"/>
    </row>
    <row r="2288" spans="1:9" ht="21.95" customHeight="1" x14ac:dyDescent="0.15">
      <c r="A2288" s="17"/>
      <c r="B2288" s="37"/>
      <c r="C2288" s="37"/>
      <c r="D2288" s="37"/>
      <c r="E2288" s="15"/>
      <c r="F2288" s="37"/>
      <c r="G2288" s="13"/>
      <c r="H2288" s="38"/>
    </row>
    <row r="2289" spans="1:8" ht="21.95" customHeight="1" x14ac:dyDescent="0.15">
      <c r="A2289" s="17"/>
      <c r="B2289" s="37"/>
      <c r="C2289" s="37"/>
      <c r="D2289" s="37"/>
      <c r="E2289" s="15"/>
      <c r="F2289" s="37"/>
      <c r="G2289" s="13"/>
      <c r="H2289" s="38"/>
    </row>
    <row r="2290" spans="1:8" ht="21.95" customHeight="1" x14ac:dyDescent="0.15">
      <c r="A2290" s="17"/>
      <c r="B2290" s="37"/>
      <c r="C2290" s="37"/>
      <c r="D2290" s="37"/>
      <c r="E2290" s="15"/>
      <c r="F2290" s="37"/>
      <c r="G2290" s="13"/>
      <c r="H2290" s="38"/>
    </row>
    <row r="2291" spans="1:8" ht="21.95" customHeight="1" x14ac:dyDescent="0.15">
      <c r="A2291" s="17"/>
      <c r="B2291" s="37"/>
      <c r="C2291" s="37"/>
      <c r="D2291" s="37"/>
      <c r="E2291" s="15"/>
      <c r="F2291" s="37"/>
      <c r="G2291" s="13"/>
      <c r="H2291" s="38"/>
    </row>
    <row r="2292" spans="1:8" ht="21.95" customHeight="1" x14ac:dyDescent="0.15">
      <c r="A2292" s="17"/>
      <c r="B2292" s="37"/>
      <c r="C2292" s="37"/>
      <c r="D2292" s="37"/>
      <c r="E2292" s="15"/>
      <c r="F2292" s="37"/>
      <c r="G2292" s="13"/>
      <c r="H2292" s="38"/>
    </row>
    <row r="2293" spans="1:8" ht="21.95" customHeight="1" x14ac:dyDescent="0.15">
      <c r="A2293" s="17"/>
      <c r="B2293" s="37"/>
      <c r="C2293" s="37"/>
      <c r="D2293" s="37"/>
      <c r="E2293" s="15"/>
      <c r="F2293" s="37"/>
      <c r="G2293" s="13"/>
      <c r="H2293" s="38"/>
    </row>
    <row r="2294" spans="1:8" ht="21.95" customHeight="1" x14ac:dyDescent="0.15">
      <c r="A2294" s="17"/>
      <c r="B2294" s="37"/>
      <c r="C2294" s="37"/>
      <c r="D2294" s="37"/>
      <c r="E2294" s="15"/>
      <c r="F2294" s="37"/>
      <c r="G2294" s="13"/>
      <c r="H2294" s="38"/>
    </row>
    <row r="2295" spans="1:8" ht="21.95" customHeight="1" x14ac:dyDescent="0.15">
      <c r="A2295" s="17"/>
      <c r="B2295" s="37"/>
      <c r="C2295" s="37"/>
      <c r="D2295" s="37"/>
      <c r="E2295" s="15"/>
      <c r="F2295" s="37"/>
      <c r="G2295" s="13"/>
      <c r="H2295" s="38"/>
    </row>
    <row r="2296" spans="1:8" ht="21.95" customHeight="1" x14ac:dyDescent="0.15">
      <c r="A2296" s="17"/>
      <c r="B2296" s="37"/>
      <c r="C2296" s="37"/>
      <c r="D2296" s="37"/>
      <c r="E2296" s="15"/>
      <c r="F2296" s="37"/>
      <c r="G2296" s="13"/>
      <c r="H2296" s="15"/>
    </row>
    <row r="2297" spans="1:8" ht="21.95" customHeight="1" x14ac:dyDescent="0.15">
      <c r="A2297" s="17"/>
      <c r="B2297" s="37"/>
      <c r="C2297" s="37"/>
      <c r="D2297" s="37"/>
      <c r="E2297" s="15"/>
      <c r="F2297" s="37"/>
      <c r="G2297" s="13"/>
      <c r="H2297" s="15"/>
    </row>
    <row r="2298" spans="1:8" ht="21.95" customHeight="1" x14ac:dyDescent="0.15">
      <c r="A2298" s="17"/>
      <c r="B2298" s="37"/>
      <c r="C2298" s="37"/>
      <c r="D2298" s="37"/>
      <c r="E2298" s="15"/>
      <c r="F2298" s="37"/>
      <c r="G2298" s="13"/>
      <c r="H2298" s="15"/>
    </row>
    <row r="2299" spans="1:8" ht="21.95" customHeight="1" x14ac:dyDescent="0.15">
      <c r="A2299" s="17"/>
      <c r="B2299" s="37"/>
      <c r="C2299" s="37"/>
      <c r="D2299" s="37"/>
      <c r="E2299" s="15"/>
      <c r="F2299" s="37"/>
      <c r="G2299" s="13"/>
      <c r="H2299" s="15"/>
    </row>
    <row r="2300" spans="1:8" ht="21.95" customHeight="1" x14ac:dyDescent="0.15">
      <c r="A2300" s="17"/>
      <c r="B2300" s="37"/>
      <c r="C2300" s="37"/>
      <c r="D2300" s="37"/>
      <c r="E2300" s="15"/>
      <c r="F2300" s="37"/>
      <c r="G2300" s="13"/>
      <c r="H2300" s="15"/>
    </row>
    <row r="2301" spans="1:8" ht="21.95" customHeight="1" x14ac:dyDescent="0.15">
      <c r="A2301" s="17"/>
      <c r="B2301" s="37"/>
      <c r="C2301" s="37"/>
      <c r="D2301" s="37"/>
      <c r="E2301" s="15"/>
      <c r="F2301" s="37"/>
      <c r="G2301" s="13"/>
      <c r="H2301" s="15"/>
    </row>
    <row r="2302" spans="1:8" ht="21.95" customHeight="1" x14ac:dyDescent="0.15">
      <c r="A2302" s="17"/>
      <c r="B2302" s="37"/>
      <c r="C2302" s="37"/>
      <c r="D2302" s="37"/>
      <c r="E2302" s="15"/>
      <c r="F2302" s="37"/>
      <c r="G2302" s="13"/>
      <c r="H2302" s="15"/>
    </row>
    <row r="2303" spans="1:8" ht="21.95" customHeight="1" x14ac:dyDescent="0.15">
      <c r="A2303" s="17"/>
      <c r="B2303" s="37"/>
      <c r="C2303" s="37"/>
      <c r="D2303" s="37"/>
      <c r="E2303" s="15"/>
      <c r="F2303" s="37"/>
      <c r="G2303" s="13"/>
      <c r="H2303" s="15"/>
    </row>
    <row r="2304" spans="1:8" ht="21.95" customHeight="1" x14ac:dyDescent="0.15">
      <c r="A2304" s="17"/>
      <c r="B2304" s="37"/>
      <c r="C2304" s="37"/>
      <c r="D2304" s="37"/>
      <c r="E2304" s="15"/>
      <c r="F2304" s="37"/>
      <c r="G2304" s="13"/>
      <c r="H2304" s="15"/>
    </row>
    <row r="2305" spans="1:8" ht="21.95" customHeight="1" x14ac:dyDescent="0.15">
      <c r="A2305" s="17"/>
      <c r="B2305" s="37"/>
      <c r="C2305" s="37"/>
      <c r="D2305" s="37"/>
      <c r="E2305" s="15"/>
      <c r="F2305" s="37"/>
      <c r="G2305" s="13"/>
      <c r="H2305" s="15"/>
    </row>
    <row r="2306" spans="1:8" ht="21.95" customHeight="1" x14ac:dyDescent="0.15">
      <c r="A2306" s="17"/>
      <c r="B2306" s="37"/>
      <c r="C2306" s="37"/>
      <c r="D2306" s="37"/>
      <c r="E2306" s="15"/>
      <c r="F2306" s="37"/>
      <c r="G2306" s="13"/>
      <c r="H2306" s="15"/>
    </row>
    <row r="2307" spans="1:8" ht="21.95" customHeight="1" x14ac:dyDescent="0.15">
      <c r="A2307" s="17"/>
      <c r="B2307" s="37"/>
      <c r="C2307" s="37"/>
      <c r="D2307" s="37"/>
      <c r="E2307" s="15"/>
      <c r="F2307" s="37"/>
      <c r="G2307" s="13"/>
      <c r="H2307" s="15"/>
    </row>
    <row r="2308" spans="1:8" ht="21.95" customHeight="1" x14ac:dyDescent="0.15">
      <c r="A2308" s="17"/>
      <c r="B2308" s="37"/>
      <c r="C2308" s="37"/>
      <c r="D2308" s="37"/>
      <c r="E2308" s="15"/>
      <c r="F2308" s="37"/>
      <c r="G2308" s="13"/>
      <c r="H2308" s="15"/>
    </row>
    <row r="2309" spans="1:8" ht="21.95" customHeight="1" x14ac:dyDescent="0.15">
      <c r="A2309" s="17"/>
      <c r="B2309" s="37"/>
      <c r="C2309" s="37"/>
      <c r="D2309" s="37"/>
      <c r="E2309" s="15"/>
      <c r="F2309" s="37"/>
      <c r="G2309" s="13"/>
      <c r="H2309" s="15"/>
    </row>
    <row r="2310" spans="1:8" ht="21.95" customHeight="1" x14ac:dyDescent="0.15">
      <c r="A2310" s="17"/>
      <c r="B2310" s="37"/>
      <c r="C2310" s="37"/>
      <c r="D2310" s="37"/>
      <c r="E2310" s="15"/>
      <c r="F2310" s="37"/>
      <c r="G2310" s="13"/>
      <c r="H2310" s="15"/>
    </row>
    <row r="2311" spans="1:8" ht="21.95" customHeight="1" x14ac:dyDescent="0.15">
      <c r="A2311" s="17"/>
      <c r="B2311" s="37"/>
      <c r="C2311" s="37"/>
      <c r="D2311" s="37"/>
      <c r="E2311" s="15"/>
      <c r="F2311" s="37"/>
      <c r="G2311" s="13"/>
      <c r="H2311" s="15"/>
    </row>
    <row r="2312" spans="1:8" ht="21.95" customHeight="1" x14ac:dyDescent="0.15">
      <c r="A2312" s="17"/>
      <c r="B2312" s="37"/>
      <c r="C2312" s="37"/>
      <c r="D2312" s="37"/>
      <c r="E2312" s="15"/>
      <c r="F2312" s="37"/>
      <c r="G2312" s="13"/>
      <c r="H2312" s="15"/>
    </row>
    <row r="2313" spans="1:8" ht="21.95" customHeight="1" x14ac:dyDescent="0.15">
      <c r="A2313" s="17"/>
      <c r="B2313" s="37"/>
      <c r="C2313" s="37"/>
      <c r="D2313" s="37"/>
      <c r="E2313" s="15"/>
      <c r="F2313" s="37"/>
      <c r="G2313" s="13"/>
      <c r="H2313" s="15"/>
    </row>
    <row r="2314" spans="1:8" ht="21.95" customHeight="1" x14ac:dyDescent="0.15">
      <c r="A2314" s="17"/>
      <c r="B2314" s="37"/>
      <c r="C2314" s="37"/>
      <c r="D2314" s="37"/>
      <c r="E2314" s="15"/>
      <c r="F2314" s="37"/>
      <c r="G2314" s="37"/>
      <c r="H2314" s="15"/>
    </row>
    <row r="2315" spans="1:8" ht="21.95" customHeight="1" x14ac:dyDescent="0.15">
      <c r="A2315" s="17"/>
      <c r="B2315" s="37"/>
      <c r="C2315" s="37"/>
      <c r="D2315" s="37"/>
      <c r="E2315" s="15"/>
      <c r="F2315" s="37"/>
      <c r="G2315" s="13"/>
      <c r="H2315" s="15"/>
    </row>
    <row r="2316" spans="1:8" ht="21.95" customHeight="1" x14ac:dyDescent="0.15">
      <c r="A2316" s="17"/>
      <c r="B2316" s="37"/>
      <c r="C2316" s="37"/>
      <c r="D2316" s="37"/>
      <c r="E2316" s="15"/>
      <c r="F2316" s="37"/>
      <c r="G2316" s="13"/>
      <c r="H2316" s="15"/>
    </row>
    <row r="2317" spans="1:8" ht="21.95" customHeight="1" x14ac:dyDescent="0.15">
      <c r="A2317" s="17"/>
      <c r="B2317" s="37"/>
      <c r="C2317" s="37"/>
      <c r="D2317" s="37"/>
      <c r="E2317" s="15"/>
      <c r="F2317" s="37"/>
      <c r="G2317" s="13"/>
      <c r="H2317" s="15"/>
    </row>
    <row r="2318" spans="1:8" ht="21.95" customHeight="1" x14ac:dyDescent="0.15">
      <c r="A2318" s="17"/>
      <c r="B2318" s="37"/>
      <c r="C2318" s="37"/>
      <c r="D2318" s="37"/>
      <c r="E2318" s="15"/>
      <c r="F2318" s="37"/>
      <c r="G2318" s="13"/>
      <c r="H2318" s="15"/>
    </row>
    <row r="2319" spans="1:8" ht="21.95" customHeight="1" x14ac:dyDescent="0.15">
      <c r="A2319" s="17"/>
      <c r="B2319" s="37"/>
      <c r="C2319" s="37"/>
      <c r="D2319" s="37"/>
      <c r="E2319" s="15"/>
      <c r="F2319" s="37"/>
      <c r="G2319" s="13"/>
      <c r="H2319" s="15"/>
    </row>
    <row r="2320" spans="1:8" ht="21.95" customHeight="1" x14ac:dyDescent="0.15">
      <c r="A2320" s="17"/>
      <c r="B2320" s="37"/>
      <c r="C2320" s="37"/>
      <c r="D2320" s="37"/>
      <c r="E2320" s="15"/>
      <c r="F2320" s="37"/>
      <c r="G2320" s="13"/>
      <c r="H2320" s="15"/>
    </row>
    <row r="2321" spans="1:9" ht="21.95" customHeight="1" x14ac:dyDescent="0.15">
      <c r="A2321" s="17"/>
      <c r="B2321" s="37"/>
      <c r="C2321" s="37"/>
      <c r="D2321" s="37"/>
      <c r="E2321" s="15"/>
      <c r="F2321" s="37"/>
      <c r="G2321" s="13"/>
      <c r="H2321" s="15"/>
    </row>
    <row r="2322" spans="1:9" ht="21.95" customHeight="1" x14ac:dyDescent="0.15">
      <c r="A2322" s="17"/>
      <c r="B2322" s="37"/>
      <c r="C2322" s="37"/>
      <c r="D2322" s="37"/>
      <c r="E2322" s="15"/>
      <c r="F2322" s="37"/>
      <c r="G2322" s="13"/>
      <c r="H2322" s="15"/>
    </row>
    <row r="2323" spans="1:9" ht="21.95" customHeight="1" x14ac:dyDescent="0.15">
      <c r="A2323" s="17"/>
      <c r="B2323" s="37"/>
      <c r="C2323" s="37"/>
      <c r="D2323" s="37"/>
      <c r="E2323" s="15"/>
      <c r="F2323" s="37"/>
      <c r="G2323" s="13"/>
      <c r="H2323" s="15"/>
    </row>
    <row r="2324" spans="1:9" ht="21.95" customHeight="1" x14ac:dyDescent="0.15">
      <c r="A2324" s="17"/>
      <c r="B2324" s="37"/>
      <c r="C2324" s="37"/>
      <c r="D2324" s="37"/>
      <c r="E2324" s="15"/>
      <c r="F2324" s="37"/>
      <c r="G2324" s="13"/>
      <c r="H2324" s="15"/>
    </row>
    <row r="2325" spans="1:9" ht="21.95" customHeight="1" x14ac:dyDescent="0.15">
      <c r="A2325" s="17"/>
      <c r="B2325" s="37"/>
      <c r="C2325" s="37"/>
      <c r="D2325" s="37"/>
      <c r="E2325" s="15"/>
      <c r="F2325" s="37"/>
      <c r="G2325" s="13"/>
      <c r="H2325" s="15"/>
    </row>
    <row r="2326" spans="1:9" ht="21.95" customHeight="1" x14ac:dyDescent="0.15">
      <c r="A2326" s="17"/>
      <c r="B2326" s="37"/>
      <c r="C2326" s="37"/>
      <c r="D2326" s="37"/>
      <c r="E2326" s="15"/>
      <c r="F2326" s="37"/>
      <c r="G2326" s="13"/>
      <c r="H2326" s="15"/>
    </row>
    <row r="2327" spans="1:9" ht="21.95" customHeight="1" x14ac:dyDescent="0.15">
      <c r="A2327" s="17"/>
      <c r="B2327" s="37"/>
      <c r="C2327" s="37"/>
      <c r="D2327" s="37"/>
      <c r="E2327" s="15"/>
      <c r="F2327" s="37"/>
      <c r="G2327" s="13"/>
      <c r="H2327" s="38"/>
      <c r="I2327" s="84"/>
    </row>
    <row r="2328" spans="1:9" ht="21.95" customHeight="1" x14ac:dyDescent="0.15">
      <c r="A2328" s="17"/>
      <c r="B2328" s="37"/>
      <c r="C2328" s="37"/>
      <c r="D2328" s="37"/>
      <c r="E2328" s="15"/>
      <c r="F2328" s="37"/>
      <c r="G2328" s="13"/>
      <c r="H2328" s="15"/>
      <c r="I2328" s="84"/>
    </row>
    <row r="2329" spans="1:9" ht="35.1" customHeight="1" x14ac:dyDescent="0.15">
      <c r="A2329" s="17"/>
      <c r="B2329" s="37"/>
      <c r="C2329" s="37"/>
      <c r="D2329" s="37"/>
      <c r="E2329" s="15"/>
      <c r="F2329" s="15"/>
      <c r="G2329" s="37"/>
      <c r="H2329" s="15"/>
    </row>
    <row r="2330" spans="1:9" ht="21.95" customHeight="1" x14ac:dyDescent="0.15">
      <c r="A2330" s="17"/>
      <c r="B2330" s="37"/>
      <c r="C2330" s="37"/>
      <c r="D2330" s="37"/>
      <c r="E2330" s="15"/>
      <c r="F2330" s="37"/>
      <c r="G2330" s="13"/>
      <c r="H2330" s="15"/>
    </row>
    <row r="2331" spans="1:9" ht="21.95" customHeight="1" x14ac:dyDescent="0.15">
      <c r="A2331" s="17"/>
      <c r="B2331" s="37"/>
      <c r="C2331" s="37"/>
      <c r="D2331" s="37"/>
      <c r="E2331" s="15"/>
      <c r="F2331" s="37"/>
      <c r="G2331" s="13"/>
      <c r="H2331" s="15"/>
    </row>
    <row r="2332" spans="1:9" ht="21.95" customHeight="1" x14ac:dyDescent="0.15">
      <c r="A2332" s="17"/>
      <c r="B2332" s="37"/>
      <c r="C2332" s="37"/>
      <c r="D2332" s="37"/>
      <c r="E2332" s="15"/>
      <c r="F2332" s="37"/>
      <c r="G2332" s="13"/>
      <c r="H2332" s="15"/>
    </row>
    <row r="2333" spans="1:9" ht="21.95" customHeight="1" x14ac:dyDescent="0.15">
      <c r="A2333" s="17"/>
      <c r="B2333" s="37"/>
      <c r="C2333" s="37"/>
      <c r="D2333" s="37"/>
      <c r="E2333" s="15"/>
      <c r="F2333" s="37"/>
      <c r="G2333" s="13"/>
      <c r="H2333" s="15"/>
    </row>
    <row r="2334" spans="1:9" ht="21.95" customHeight="1" x14ac:dyDescent="0.15">
      <c r="A2334" s="17"/>
      <c r="B2334" s="37"/>
      <c r="C2334" s="37"/>
      <c r="D2334" s="37"/>
      <c r="E2334" s="15"/>
      <c r="F2334" s="37"/>
      <c r="G2334" s="13"/>
      <c r="H2334" s="15"/>
    </row>
    <row r="2335" spans="1:9" ht="21.95" customHeight="1" x14ac:dyDescent="0.15">
      <c r="A2335" s="17"/>
      <c r="B2335" s="37"/>
      <c r="C2335" s="37"/>
      <c r="D2335" s="37"/>
      <c r="E2335" s="15"/>
      <c r="F2335" s="37"/>
      <c r="G2335" s="13"/>
      <c r="H2335" s="15"/>
      <c r="I2335" s="37"/>
    </row>
    <row r="2336" spans="1:9" ht="21.95" customHeight="1" x14ac:dyDescent="0.15">
      <c r="A2336" s="17"/>
      <c r="B2336" s="37"/>
      <c r="C2336" s="37"/>
      <c r="D2336" s="37"/>
      <c r="E2336" s="15"/>
      <c r="F2336" s="37"/>
      <c r="G2336" s="37"/>
      <c r="H2336" s="15"/>
      <c r="I2336" s="37"/>
    </row>
    <row r="2337" spans="1:9" ht="21.95" customHeight="1" x14ac:dyDescent="0.15">
      <c r="A2337" s="17"/>
      <c r="B2337" s="37"/>
      <c r="C2337" s="37"/>
      <c r="D2337" s="37"/>
      <c r="E2337" s="15"/>
      <c r="F2337" s="37"/>
      <c r="G2337" s="37"/>
      <c r="H2337" s="38"/>
      <c r="I2337" s="37"/>
    </row>
    <row r="2338" spans="1:9" ht="21.95" customHeight="1" x14ac:dyDescent="0.15">
      <c r="A2338" s="17"/>
      <c r="B2338" s="37"/>
      <c r="C2338" s="37"/>
      <c r="D2338" s="37"/>
      <c r="E2338" s="15"/>
      <c r="F2338" s="37"/>
      <c r="G2338" s="37"/>
      <c r="H2338" s="38"/>
      <c r="I2338" s="37"/>
    </row>
    <row r="2339" spans="1:9" ht="21.95" customHeight="1" x14ac:dyDescent="0.15">
      <c r="A2339" s="17"/>
      <c r="B2339" s="37"/>
      <c r="C2339" s="37"/>
      <c r="D2339" s="37"/>
      <c r="E2339" s="15"/>
      <c r="F2339" s="37"/>
      <c r="G2339" s="13"/>
      <c r="H2339" s="15"/>
      <c r="I2339" s="37"/>
    </row>
    <row r="2340" spans="1:9" ht="21.95" customHeight="1" x14ac:dyDescent="0.15">
      <c r="A2340" s="17"/>
      <c r="B2340" s="37"/>
      <c r="C2340" s="37"/>
      <c r="D2340" s="37"/>
      <c r="E2340" s="15"/>
      <c r="F2340" s="37"/>
      <c r="G2340" s="13"/>
      <c r="H2340" s="15"/>
      <c r="I2340" s="37"/>
    </row>
    <row r="2341" spans="1:9" ht="21.95" customHeight="1" x14ac:dyDescent="0.15">
      <c r="A2341" s="17"/>
      <c r="B2341" s="37"/>
      <c r="C2341" s="37"/>
      <c r="D2341" s="37"/>
      <c r="E2341" s="15"/>
      <c r="F2341" s="37"/>
      <c r="G2341" s="13"/>
      <c r="H2341" s="15"/>
      <c r="I2341" s="37"/>
    </row>
    <row r="2342" spans="1:9" ht="21.95" customHeight="1" x14ac:dyDescent="0.15">
      <c r="A2342" s="17"/>
      <c r="B2342" s="37"/>
      <c r="C2342" s="37"/>
      <c r="E2342" s="15"/>
      <c r="F2342" s="37"/>
      <c r="H2342" s="38"/>
    </row>
    <row r="2343" spans="1:9" ht="21.95" customHeight="1" x14ac:dyDescent="0.15">
      <c r="A2343" s="17"/>
      <c r="B2343" s="37"/>
      <c r="C2343" s="37"/>
      <c r="E2343" s="15"/>
      <c r="F2343" s="37"/>
    </row>
    <row r="2344" spans="1:9" ht="21.95" customHeight="1" x14ac:dyDescent="0.15">
      <c r="A2344" s="17"/>
      <c r="B2344" s="37"/>
      <c r="C2344" s="37"/>
      <c r="E2344" s="15"/>
      <c r="G2344" s="77"/>
    </row>
    <row r="2345" spans="1:9" ht="21.95" customHeight="1" x14ac:dyDescent="0.15">
      <c r="A2345" s="17"/>
      <c r="B2345" s="37"/>
      <c r="C2345" s="37"/>
      <c r="D2345" s="37"/>
      <c r="E2345" s="15"/>
      <c r="F2345" s="37"/>
      <c r="G2345" s="37"/>
      <c r="H2345" s="15"/>
    </row>
    <row r="2346" spans="1:9" ht="21.95" customHeight="1" x14ac:dyDescent="0.15">
      <c r="A2346" s="17"/>
      <c r="B2346" s="37"/>
      <c r="C2346" s="37"/>
      <c r="D2346" s="37"/>
      <c r="E2346" s="15"/>
      <c r="F2346" s="37"/>
      <c r="G2346" s="13"/>
      <c r="H2346" s="15"/>
    </row>
    <row r="2347" spans="1:9" ht="21.95" customHeight="1" x14ac:dyDescent="0.15">
      <c r="A2347" s="17"/>
      <c r="B2347" s="37"/>
      <c r="C2347" s="37"/>
      <c r="D2347" s="37"/>
      <c r="E2347" s="15"/>
      <c r="F2347" s="37"/>
      <c r="G2347" s="13"/>
      <c r="H2347" s="15"/>
    </row>
    <row r="2348" spans="1:9" ht="21.95" customHeight="1" x14ac:dyDescent="0.15">
      <c r="A2348" s="17"/>
      <c r="C2348" s="37"/>
    </row>
    <row r="2349" spans="1:9" ht="21.95" customHeight="1" x14ac:dyDescent="0.15">
      <c r="A2349" s="17"/>
      <c r="B2349" s="37"/>
      <c r="C2349" s="37"/>
      <c r="D2349" s="13"/>
      <c r="E2349" s="15"/>
      <c r="F2349" s="37"/>
      <c r="G2349" s="13"/>
      <c r="H2349" s="15"/>
      <c r="I2349" s="13"/>
    </row>
    <row r="2350" spans="1:9" ht="21.95" customHeight="1" x14ac:dyDescent="0.15">
      <c r="A2350" s="17"/>
      <c r="B2350" s="13"/>
      <c r="C2350" s="13"/>
      <c r="D2350" s="13"/>
      <c r="E2350" s="15"/>
      <c r="F2350" s="37"/>
      <c r="G2350" s="13"/>
      <c r="H2350" s="15"/>
      <c r="I2350" s="13"/>
    </row>
    <row r="2351" spans="1:9" ht="21.95" customHeight="1" x14ac:dyDescent="0.15">
      <c r="A2351" s="17"/>
      <c r="B2351" s="13"/>
      <c r="C2351" s="13"/>
      <c r="D2351" s="13"/>
      <c r="E2351" s="15"/>
      <c r="F2351" s="37"/>
      <c r="G2351" s="13"/>
      <c r="H2351" s="15"/>
      <c r="I2351" s="13"/>
    </row>
    <row r="2352" spans="1:9" ht="21.95" customHeight="1" x14ac:dyDescent="0.15">
      <c r="A2352" s="17"/>
      <c r="B2352" s="13"/>
      <c r="C2352" s="13"/>
      <c r="D2352" s="13"/>
      <c r="E2352" s="15"/>
      <c r="F2352" s="37"/>
      <c r="G2352" s="13"/>
      <c r="H2352" s="15"/>
      <c r="I2352" s="13"/>
    </row>
    <row r="2353" spans="1:9" customFormat="1" ht="21.95" customHeight="1" x14ac:dyDescent="0.15">
      <c r="A2353" s="17"/>
      <c r="B2353" s="40"/>
      <c r="C2353" s="40"/>
      <c r="D2353" s="40"/>
      <c r="E2353" s="38"/>
      <c r="F2353" s="85"/>
      <c r="G2353" s="40"/>
      <c r="H2353" s="38"/>
      <c r="I2353" s="40"/>
    </row>
    <row r="2354" spans="1:9" customFormat="1" ht="21.95" customHeight="1" x14ac:dyDescent="0.15">
      <c r="A2354" s="17"/>
      <c r="B2354" s="37"/>
      <c r="C2354" s="37"/>
      <c r="D2354" s="40"/>
      <c r="E2354" s="15"/>
      <c r="F2354" s="85"/>
      <c r="G2354" s="42"/>
      <c r="H2354" s="38"/>
      <c r="I2354" s="56"/>
    </row>
    <row r="2355" spans="1:9" customFormat="1" ht="21.95" customHeight="1" x14ac:dyDescent="0.15">
      <c r="A2355" s="17"/>
      <c r="B2355" s="37"/>
      <c r="C2355" s="95"/>
      <c r="D2355" s="40"/>
      <c r="E2355" s="15"/>
      <c r="F2355" s="85"/>
      <c r="G2355" s="42"/>
      <c r="H2355" s="38"/>
      <c r="I2355" s="56"/>
    </row>
    <row r="2356" spans="1:9" customFormat="1" ht="21.95" customHeight="1" x14ac:dyDescent="0.15">
      <c r="A2356" s="17"/>
      <c r="B2356" s="37"/>
      <c r="C2356" s="95"/>
      <c r="D2356" s="40"/>
      <c r="E2356" s="15"/>
      <c r="F2356" s="85"/>
      <c r="G2356" s="17"/>
      <c r="H2356" s="38"/>
      <c r="I2356" s="56"/>
    </row>
    <row r="2357" spans="1:9" customFormat="1" ht="21.95" customHeight="1" x14ac:dyDescent="0.15">
      <c r="A2357" s="17"/>
      <c r="B2357" s="37"/>
      <c r="C2357" s="37"/>
      <c r="D2357" s="40"/>
      <c r="E2357" s="15"/>
      <c r="F2357" s="85"/>
      <c r="G2357" s="42"/>
      <c r="H2357" s="38"/>
      <c r="I2357" s="56"/>
    </row>
    <row r="2358" spans="1:9" customFormat="1" ht="21.95" customHeight="1" x14ac:dyDescent="0.15">
      <c r="A2358" s="17"/>
      <c r="B2358" s="37"/>
      <c r="C2358" s="37"/>
      <c r="D2358" s="40"/>
      <c r="E2358" s="15"/>
      <c r="F2358" s="85"/>
      <c r="G2358" s="17"/>
      <c r="H2358" s="38"/>
      <c r="I2358" s="56"/>
    </row>
    <row r="2359" spans="1:9" customFormat="1" ht="21.95" customHeight="1" x14ac:dyDescent="0.15">
      <c r="A2359" s="17"/>
      <c r="B2359" s="37"/>
      <c r="C2359" s="37"/>
      <c r="D2359" s="40"/>
      <c r="E2359" s="15"/>
      <c r="F2359" s="85"/>
      <c r="G2359" s="42"/>
      <c r="H2359" s="38"/>
      <c r="I2359" s="56"/>
    </row>
    <row r="2360" spans="1:9" customFormat="1" ht="21.95" customHeight="1" x14ac:dyDescent="0.15">
      <c r="A2360" s="17"/>
      <c r="B2360" s="37"/>
      <c r="C2360" s="37"/>
      <c r="D2360" s="40"/>
      <c r="E2360" s="15"/>
      <c r="F2360" s="85"/>
      <c r="G2360" s="17"/>
      <c r="H2360" s="38"/>
      <c r="I2360" s="56"/>
    </row>
    <row r="2361" spans="1:9" customFormat="1" ht="21.95" customHeight="1" x14ac:dyDescent="0.15">
      <c r="A2361" s="17"/>
      <c r="B2361" s="37"/>
      <c r="C2361" s="37"/>
      <c r="D2361" s="40"/>
      <c r="E2361" s="15"/>
      <c r="F2361" s="85"/>
      <c r="G2361" s="42"/>
      <c r="H2361" s="38"/>
      <c r="I2361" s="56"/>
    </row>
    <row r="2362" spans="1:9" customFormat="1" ht="21.95" customHeight="1" x14ac:dyDescent="0.15">
      <c r="A2362" s="17"/>
      <c r="B2362" s="37"/>
      <c r="C2362" s="37"/>
      <c r="D2362" s="40"/>
      <c r="E2362" s="15"/>
      <c r="F2362" s="85"/>
      <c r="G2362" s="17"/>
      <c r="H2362" s="38"/>
      <c r="I2362" s="56"/>
    </row>
    <row r="2363" spans="1:9" customFormat="1" ht="21.95" customHeight="1" x14ac:dyDescent="0.15">
      <c r="A2363" s="17"/>
      <c r="B2363" s="37"/>
      <c r="C2363" s="37"/>
      <c r="D2363" s="40"/>
      <c r="E2363" s="15"/>
      <c r="F2363" s="85"/>
      <c r="G2363" s="42"/>
      <c r="H2363" s="38"/>
      <c r="I2363" s="56"/>
    </row>
    <row r="2364" spans="1:9" ht="21.95" customHeight="1" x14ac:dyDescent="0.15">
      <c r="A2364" s="17"/>
      <c r="B2364" s="37"/>
      <c r="C2364" s="37"/>
      <c r="D2364" s="37"/>
      <c r="E2364" s="15"/>
      <c r="F2364" s="85"/>
      <c r="G2364" s="17"/>
      <c r="H2364" s="38"/>
    </row>
    <row r="2365" spans="1:9" ht="21.95" customHeight="1" x14ac:dyDescent="0.15">
      <c r="A2365" s="17"/>
      <c r="B2365" s="37"/>
      <c r="C2365" s="37"/>
      <c r="D2365" s="37"/>
      <c r="E2365" s="15"/>
      <c r="F2365" s="85"/>
      <c r="H2365" s="38"/>
    </row>
    <row r="2366" spans="1:9" ht="21.95" customHeight="1" x14ac:dyDescent="0.15">
      <c r="A2366" s="17"/>
      <c r="B2366" s="37"/>
      <c r="C2366" s="37"/>
      <c r="D2366" s="37"/>
      <c r="E2366" s="15"/>
      <c r="F2366" s="85"/>
      <c r="H2366" s="38"/>
    </row>
    <row r="2367" spans="1:9" ht="21.95" customHeight="1" x14ac:dyDescent="0.15">
      <c r="A2367" s="17"/>
      <c r="B2367" s="37"/>
      <c r="C2367" s="37"/>
      <c r="D2367" s="37"/>
      <c r="E2367" s="15"/>
      <c r="F2367" s="85"/>
      <c r="G2367" s="17"/>
      <c r="H2367" s="38"/>
    </row>
    <row r="2368" spans="1:9" customFormat="1" ht="21.95" customHeight="1" x14ac:dyDescent="0.15">
      <c r="A2368" s="17"/>
      <c r="B2368" s="37"/>
      <c r="C2368" s="37"/>
      <c r="D2368" s="37"/>
      <c r="E2368" s="15"/>
      <c r="F2368" s="85"/>
      <c r="G2368" s="17"/>
      <c r="H2368" s="38"/>
      <c r="I2368" s="42"/>
    </row>
    <row r="2369" spans="1:9" customFormat="1" ht="21.95" customHeight="1" x14ac:dyDescent="0.15">
      <c r="A2369" s="17"/>
      <c r="B2369" s="37"/>
      <c r="C2369" s="37"/>
      <c r="D2369" s="37"/>
      <c r="E2369" s="15"/>
      <c r="F2369" s="85"/>
      <c r="G2369" s="17"/>
      <c r="H2369" s="38"/>
      <c r="I2369" s="42"/>
    </row>
    <row r="2370" spans="1:9" customFormat="1" ht="21.95" customHeight="1" x14ac:dyDescent="0.15">
      <c r="A2370" s="17"/>
      <c r="B2370" s="37"/>
      <c r="C2370" s="37"/>
      <c r="D2370" s="37"/>
      <c r="E2370" s="15"/>
      <c r="F2370" s="85"/>
      <c r="G2370" s="17"/>
      <c r="H2370" s="38"/>
      <c r="I2370" s="42"/>
    </row>
    <row r="2371" spans="1:9" customFormat="1" ht="21.95" customHeight="1" x14ac:dyDescent="0.15">
      <c r="A2371" s="17"/>
      <c r="B2371" s="37"/>
      <c r="C2371" s="37"/>
      <c r="D2371" s="37"/>
      <c r="E2371" s="15"/>
      <c r="F2371" s="85"/>
      <c r="G2371" s="17"/>
      <c r="H2371" s="38"/>
      <c r="I2371" s="42"/>
    </row>
    <row r="2372" spans="1:9" customFormat="1" ht="21.95" customHeight="1" x14ac:dyDescent="0.15">
      <c r="A2372" s="17"/>
      <c r="B2372" s="37"/>
      <c r="C2372" s="37"/>
      <c r="D2372" s="37"/>
      <c r="E2372" s="15"/>
      <c r="F2372" s="85"/>
      <c r="G2372" s="17"/>
      <c r="H2372" s="38"/>
      <c r="I2372" s="42"/>
    </row>
    <row r="2373" spans="1:9" customFormat="1" ht="21.95" customHeight="1" x14ac:dyDescent="0.15">
      <c r="A2373" s="17"/>
      <c r="B2373" s="37"/>
      <c r="C2373" s="37"/>
      <c r="D2373" s="37"/>
      <c r="E2373" s="15"/>
      <c r="F2373" s="85"/>
      <c r="G2373" s="17"/>
      <c r="H2373" s="38"/>
      <c r="I2373" s="42"/>
    </row>
    <row r="2374" spans="1:9" customFormat="1" ht="21.95" customHeight="1" x14ac:dyDescent="0.15">
      <c r="A2374" s="17"/>
      <c r="B2374" s="37"/>
      <c r="C2374" s="37"/>
      <c r="D2374" s="37"/>
      <c r="E2374" s="15"/>
      <c r="F2374" s="85"/>
      <c r="G2374" s="17"/>
      <c r="H2374" s="38"/>
      <c r="I2374" s="42"/>
    </row>
    <row r="2375" spans="1:9" customFormat="1" ht="21.95" customHeight="1" x14ac:dyDescent="0.15">
      <c r="A2375" s="17"/>
      <c r="B2375" s="37"/>
      <c r="C2375" s="37"/>
      <c r="D2375" s="37"/>
      <c r="E2375" s="15"/>
      <c r="F2375" s="85"/>
      <c r="G2375" s="17"/>
      <c r="H2375" s="38"/>
      <c r="I2375" s="42"/>
    </row>
    <row r="2376" spans="1:9" customFormat="1" ht="21.95" customHeight="1" x14ac:dyDescent="0.15">
      <c r="A2376" s="17"/>
      <c r="B2376" s="37"/>
      <c r="C2376" s="37"/>
      <c r="D2376" s="37"/>
      <c r="E2376" s="15"/>
      <c r="F2376" s="85"/>
      <c r="G2376" s="17"/>
      <c r="H2376" s="38"/>
      <c r="I2376" s="42"/>
    </row>
    <row r="2377" spans="1:9" customFormat="1" ht="21.95" customHeight="1" x14ac:dyDescent="0.15">
      <c r="A2377" s="17"/>
      <c r="B2377" s="37"/>
      <c r="C2377" s="37"/>
      <c r="D2377" s="37"/>
      <c r="E2377" s="15"/>
      <c r="F2377" s="85"/>
      <c r="G2377" s="17"/>
      <c r="H2377" s="38"/>
      <c r="I2377" s="56"/>
    </row>
    <row r="2378" spans="1:9" customFormat="1" ht="21.95" customHeight="1" x14ac:dyDescent="0.15">
      <c r="A2378" s="17"/>
      <c r="B2378" s="37"/>
      <c r="C2378" s="37"/>
      <c r="D2378" s="37"/>
      <c r="E2378" s="15"/>
      <c r="F2378" s="85"/>
      <c r="G2378" s="17"/>
      <c r="H2378" s="38"/>
      <c r="I2378" s="56"/>
    </row>
    <row r="2379" spans="1:9" customFormat="1" ht="32.1" customHeight="1" x14ac:dyDescent="0.15">
      <c r="A2379" s="17"/>
      <c r="B2379" s="37"/>
      <c r="C2379" s="37"/>
      <c r="D2379" s="37"/>
      <c r="E2379" s="15"/>
      <c r="F2379" s="85"/>
      <c r="G2379" s="17"/>
      <c r="H2379" s="38"/>
      <c r="I2379" s="56"/>
    </row>
    <row r="2380" spans="1:9" customFormat="1" ht="32.1" customHeight="1" x14ac:dyDescent="0.15">
      <c r="A2380" s="17"/>
      <c r="B2380" s="37"/>
      <c r="C2380" s="37"/>
      <c r="D2380" s="37"/>
      <c r="E2380" s="15"/>
      <c r="F2380" s="85"/>
      <c r="G2380" s="17"/>
      <c r="H2380" s="38"/>
      <c r="I2380" s="56"/>
    </row>
    <row r="2381" spans="1:9" customFormat="1" ht="32.1" customHeight="1" x14ac:dyDescent="0.15">
      <c r="A2381" s="17"/>
      <c r="B2381" s="37"/>
      <c r="C2381" s="37"/>
      <c r="D2381" s="37"/>
      <c r="E2381" s="15"/>
      <c r="F2381" s="85"/>
      <c r="G2381" s="17"/>
      <c r="H2381" s="38"/>
      <c r="I2381" s="56"/>
    </row>
    <row r="2382" spans="1:9" customFormat="1" ht="32.1" customHeight="1" x14ac:dyDescent="0.15">
      <c r="A2382" s="17"/>
      <c r="B2382" s="37"/>
      <c r="C2382" s="37"/>
      <c r="D2382" s="37"/>
      <c r="E2382" s="15"/>
      <c r="F2382" s="85"/>
      <c r="G2382" s="17"/>
      <c r="H2382" s="38"/>
      <c r="I2382" s="56"/>
    </row>
    <row r="2383" spans="1:9" customFormat="1" ht="32.1" customHeight="1" x14ac:dyDescent="0.15">
      <c r="A2383" s="17"/>
      <c r="B2383" s="37"/>
      <c r="C2383" s="37"/>
      <c r="D2383" s="37"/>
      <c r="E2383" s="15"/>
      <c r="F2383" s="85"/>
      <c r="G2383" s="17"/>
      <c r="H2383" s="38"/>
      <c r="I2383" s="56"/>
    </row>
    <row r="2384" spans="1:9" customFormat="1" ht="32.1" customHeight="1" x14ac:dyDescent="0.15">
      <c r="A2384" s="17"/>
      <c r="B2384" s="37"/>
      <c r="C2384" s="37"/>
      <c r="D2384" s="37"/>
      <c r="E2384" s="15"/>
      <c r="F2384" s="85"/>
      <c r="G2384" s="17"/>
      <c r="H2384" s="38"/>
      <c r="I2384" s="56"/>
    </row>
    <row r="2385" spans="1:9" ht="32.1" customHeight="1" x14ac:dyDescent="0.15">
      <c r="A2385" s="17"/>
      <c r="B2385" s="37"/>
      <c r="C2385" s="37"/>
      <c r="D2385" s="37"/>
      <c r="E2385" s="15"/>
      <c r="F2385" s="85"/>
      <c r="G2385" s="17"/>
      <c r="H2385" s="38"/>
      <c r="I2385" s="37"/>
    </row>
    <row r="2386" spans="1:9" ht="32.1" customHeight="1" x14ac:dyDescent="0.15">
      <c r="A2386" s="17"/>
      <c r="B2386" s="37"/>
      <c r="C2386" s="37"/>
      <c r="D2386" s="37"/>
      <c r="E2386" s="15"/>
      <c r="F2386" s="37"/>
      <c r="G2386" s="17"/>
      <c r="H2386" s="38"/>
      <c r="I2386" s="37"/>
    </row>
    <row r="2387" spans="1:9" ht="32.1" customHeight="1" x14ac:dyDescent="0.15">
      <c r="A2387" s="17"/>
      <c r="B2387" s="37"/>
      <c r="C2387" s="37"/>
      <c r="D2387" s="37"/>
      <c r="E2387" s="15"/>
      <c r="F2387" s="37"/>
      <c r="G2387" s="17"/>
      <c r="H2387" s="38"/>
      <c r="I2387" s="37"/>
    </row>
    <row r="2388" spans="1:9" ht="32.1" customHeight="1" x14ac:dyDescent="0.15">
      <c r="A2388" s="17"/>
      <c r="B2388" s="37"/>
      <c r="C2388" s="37"/>
      <c r="D2388" s="37"/>
      <c r="E2388" s="15"/>
      <c r="F2388" s="37"/>
      <c r="G2388" s="17"/>
      <c r="H2388" s="38"/>
      <c r="I2388" s="37"/>
    </row>
    <row r="2389" spans="1:9" ht="21.95" customHeight="1" x14ac:dyDescent="0.15">
      <c r="A2389" s="17"/>
      <c r="B2389" s="37"/>
      <c r="C2389" s="37"/>
      <c r="D2389" s="37"/>
      <c r="E2389" s="15"/>
      <c r="F2389" s="37"/>
      <c r="G2389" s="17"/>
      <c r="H2389" s="38"/>
      <c r="I2389" s="37"/>
    </row>
    <row r="2390" spans="1:9" ht="54" customHeight="1" x14ac:dyDescent="0.15">
      <c r="A2390" s="17"/>
      <c r="B2390" s="37"/>
      <c r="C2390" s="37"/>
      <c r="D2390" s="37"/>
      <c r="E2390" s="15"/>
      <c r="F2390" s="37"/>
      <c r="G2390" s="17"/>
      <c r="H2390" s="38"/>
      <c r="I2390" s="37"/>
    </row>
    <row r="2391" spans="1:9" ht="21.95" customHeight="1" x14ac:dyDescent="0.15">
      <c r="A2391" s="17"/>
      <c r="B2391" s="37"/>
      <c r="C2391" s="37"/>
      <c r="D2391" s="37"/>
      <c r="E2391" s="15"/>
      <c r="F2391" s="37"/>
      <c r="G2391" s="17"/>
      <c r="H2391" s="38"/>
      <c r="I2391" s="37"/>
    </row>
    <row r="2392" spans="1:9" ht="21.95" customHeight="1" x14ac:dyDescent="0.15">
      <c r="A2392" s="17"/>
      <c r="B2392" s="37"/>
      <c r="C2392" s="37"/>
      <c r="D2392" s="37"/>
      <c r="E2392" s="15"/>
      <c r="F2392" s="37"/>
      <c r="G2392" s="17"/>
      <c r="H2392" s="38"/>
      <c r="I2392" s="37"/>
    </row>
    <row r="2393" spans="1:9" ht="21.95" customHeight="1" x14ac:dyDescent="0.15">
      <c r="A2393" s="17"/>
      <c r="B2393" s="37"/>
      <c r="C2393" s="37"/>
      <c r="D2393" s="37"/>
      <c r="E2393" s="15"/>
      <c r="F2393" s="37"/>
      <c r="G2393" s="17"/>
      <c r="H2393" s="38"/>
      <c r="I2393" s="37"/>
    </row>
    <row r="2394" spans="1:9" ht="21.95" customHeight="1" x14ac:dyDescent="0.15">
      <c r="A2394" s="17"/>
      <c r="B2394" s="37"/>
      <c r="C2394" s="37"/>
      <c r="D2394" s="37"/>
      <c r="E2394" s="15"/>
      <c r="F2394" s="37"/>
      <c r="G2394" s="17"/>
      <c r="H2394" s="38"/>
      <c r="I2394" s="37"/>
    </row>
    <row r="2395" spans="1:9" ht="21.95" customHeight="1" x14ac:dyDescent="0.15">
      <c r="A2395" s="17"/>
      <c r="B2395" s="37"/>
      <c r="C2395" s="37"/>
      <c r="E2395" s="15"/>
      <c r="G2395" s="17"/>
      <c r="H2395" s="38"/>
    </row>
    <row r="2396" spans="1:9" ht="21.95" customHeight="1" x14ac:dyDescent="0.15">
      <c r="A2396" s="17"/>
      <c r="B2396" s="37"/>
      <c r="C2396" s="37"/>
      <c r="E2396" s="15"/>
      <c r="G2396" s="17"/>
      <c r="H2396" s="38"/>
    </row>
    <row r="2397" spans="1:9" ht="21.95" customHeight="1" x14ac:dyDescent="0.15">
      <c r="A2397" s="17"/>
      <c r="B2397" s="37"/>
      <c r="C2397" s="37"/>
      <c r="E2397" s="15"/>
      <c r="F2397" s="37"/>
      <c r="G2397" s="13"/>
      <c r="H2397" s="38"/>
    </row>
    <row r="2398" spans="1:9" ht="21.95" customHeight="1" x14ac:dyDescent="0.15">
      <c r="A2398" s="17"/>
      <c r="B2398" s="37"/>
      <c r="C2398" s="37"/>
      <c r="E2398" s="15"/>
      <c r="F2398" s="37"/>
      <c r="G2398" s="13"/>
      <c r="H2398" s="38"/>
    </row>
    <row r="2399" spans="1:9" ht="21.95" customHeight="1" x14ac:dyDescent="0.15">
      <c r="A2399" s="17"/>
      <c r="B2399" s="37"/>
      <c r="C2399" s="37"/>
      <c r="D2399" s="37"/>
      <c r="E2399" s="15"/>
      <c r="F2399" s="37"/>
      <c r="G2399" s="13"/>
      <c r="H2399" s="38"/>
    </row>
    <row r="2400" spans="1:9" ht="21.95" customHeight="1" x14ac:dyDescent="0.15">
      <c r="A2400" s="17"/>
      <c r="B2400" s="37"/>
      <c r="C2400" s="37"/>
      <c r="D2400" s="37"/>
      <c r="E2400" s="15"/>
      <c r="F2400" s="37"/>
      <c r="G2400" s="13"/>
      <c r="H2400" s="38"/>
    </row>
    <row r="2401" spans="1:8" ht="21.95" customHeight="1" x14ac:dyDescent="0.15">
      <c r="A2401" s="17"/>
      <c r="B2401" s="37"/>
      <c r="C2401" s="37"/>
      <c r="D2401" s="37"/>
      <c r="E2401" s="15"/>
      <c r="F2401" s="37"/>
      <c r="G2401" s="13"/>
      <c r="H2401" s="38"/>
    </row>
    <row r="2402" spans="1:8" ht="21.95" customHeight="1" x14ac:dyDescent="0.15">
      <c r="A2402" s="17"/>
      <c r="B2402" s="37"/>
      <c r="C2402" s="37"/>
      <c r="D2402" s="37"/>
      <c r="E2402" s="15"/>
      <c r="F2402" s="37"/>
      <c r="G2402" s="13"/>
      <c r="H2402" s="38"/>
    </row>
    <row r="2403" spans="1:8" ht="21.95" customHeight="1" x14ac:dyDescent="0.15">
      <c r="A2403" s="17"/>
      <c r="B2403" s="37"/>
      <c r="C2403" s="37"/>
      <c r="D2403" s="37"/>
      <c r="E2403" s="15"/>
      <c r="F2403" s="37"/>
      <c r="G2403" s="13"/>
      <c r="H2403" s="38"/>
    </row>
    <row r="2404" spans="1:8" ht="21.95" customHeight="1" x14ac:dyDescent="0.15">
      <c r="A2404" s="17"/>
      <c r="B2404" s="37"/>
      <c r="C2404" s="37"/>
      <c r="D2404" s="37"/>
      <c r="E2404" s="15"/>
      <c r="F2404" s="37"/>
      <c r="G2404" s="13"/>
      <c r="H2404" s="38"/>
    </row>
    <row r="2405" spans="1:8" ht="21.95" customHeight="1" x14ac:dyDescent="0.15">
      <c r="A2405" s="17"/>
      <c r="B2405" s="37"/>
      <c r="C2405" s="37"/>
      <c r="D2405" s="37"/>
      <c r="E2405" s="15"/>
      <c r="F2405" s="37"/>
      <c r="G2405" s="13"/>
      <c r="H2405" s="38"/>
    </row>
    <row r="2406" spans="1:8" ht="21.95" customHeight="1" x14ac:dyDescent="0.15">
      <c r="A2406" s="17"/>
      <c r="B2406" s="37"/>
      <c r="C2406" s="37"/>
      <c r="D2406" s="37"/>
      <c r="E2406" s="15"/>
      <c r="F2406" s="37"/>
      <c r="G2406" s="13"/>
      <c r="H2406" s="38"/>
    </row>
    <row r="2407" spans="1:8" ht="21.95" customHeight="1" x14ac:dyDescent="0.15">
      <c r="A2407" s="17"/>
      <c r="B2407" s="37"/>
      <c r="C2407" s="37"/>
      <c r="D2407" s="37"/>
      <c r="E2407" s="15"/>
      <c r="F2407" s="37"/>
      <c r="G2407" s="13"/>
      <c r="H2407" s="38"/>
    </row>
    <row r="2408" spans="1:8" ht="21.95" customHeight="1" x14ac:dyDescent="0.15">
      <c r="A2408" s="17"/>
      <c r="B2408" s="37"/>
      <c r="C2408" s="37"/>
      <c r="D2408" s="37"/>
      <c r="E2408" s="15"/>
      <c r="F2408" s="37"/>
      <c r="G2408" s="13"/>
      <c r="H2408" s="15"/>
    </row>
    <row r="2409" spans="1:8" ht="21.95" customHeight="1" x14ac:dyDescent="0.15">
      <c r="A2409" s="17"/>
      <c r="B2409" s="37"/>
      <c r="C2409" s="37"/>
      <c r="D2409" s="37"/>
      <c r="E2409" s="15"/>
      <c r="F2409" s="37"/>
      <c r="G2409" s="13"/>
      <c r="H2409" s="15"/>
    </row>
    <row r="2410" spans="1:8" ht="21.95" customHeight="1" x14ac:dyDescent="0.15">
      <c r="A2410" s="17"/>
      <c r="B2410" s="37"/>
      <c r="C2410" s="37"/>
      <c r="D2410" s="37"/>
      <c r="E2410" s="15"/>
      <c r="F2410" s="37"/>
      <c r="G2410" s="13"/>
      <c r="H2410" s="15"/>
    </row>
    <row r="2411" spans="1:8" ht="21.95" customHeight="1" x14ac:dyDescent="0.15">
      <c r="A2411" s="17"/>
      <c r="B2411" s="37"/>
      <c r="C2411" s="37"/>
      <c r="D2411" s="37"/>
      <c r="E2411" s="15"/>
      <c r="F2411" s="37"/>
      <c r="G2411" s="13"/>
      <c r="H2411" s="15"/>
    </row>
    <row r="2412" spans="1:8" ht="21.95" customHeight="1" x14ac:dyDescent="0.15">
      <c r="A2412" s="17"/>
      <c r="B2412" s="37"/>
      <c r="C2412" s="37"/>
      <c r="D2412" s="37"/>
      <c r="E2412" s="15"/>
      <c r="F2412" s="37"/>
      <c r="G2412" s="13"/>
      <c r="H2412" s="15"/>
    </row>
    <row r="2413" spans="1:8" ht="21.95" customHeight="1" x14ac:dyDescent="0.15">
      <c r="A2413" s="17"/>
      <c r="B2413" s="37"/>
      <c r="C2413" s="37"/>
      <c r="D2413" s="37"/>
      <c r="E2413" s="15"/>
      <c r="F2413" s="37"/>
      <c r="G2413" s="13"/>
      <c r="H2413" s="15"/>
    </row>
    <row r="2414" spans="1:8" ht="21.95" customHeight="1" x14ac:dyDescent="0.15">
      <c r="A2414" s="17"/>
      <c r="B2414" s="37"/>
      <c r="C2414" s="37"/>
      <c r="D2414" s="37"/>
      <c r="E2414" s="15"/>
      <c r="F2414" s="37"/>
      <c r="G2414" s="13"/>
      <c r="H2414" s="15"/>
    </row>
    <row r="2415" spans="1:8" ht="21.95" customHeight="1" x14ac:dyDescent="0.15">
      <c r="A2415" s="17"/>
      <c r="B2415" s="37"/>
      <c r="C2415" s="37"/>
      <c r="D2415" s="37"/>
      <c r="E2415" s="15"/>
      <c r="F2415" s="37"/>
      <c r="G2415" s="13"/>
      <c r="H2415" s="15"/>
    </row>
    <row r="2416" spans="1:8" ht="21.95" customHeight="1" x14ac:dyDescent="0.15">
      <c r="A2416" s="17"/>
      <c r="B2416" s="37"/>
      <c r="C2416" s="37"/>
      <c r="D2416" s="37"/>
      <c r="E2416" s="15"/>
      <c r="F2416" s="37"/>
      <c r="G2416" s="13"/>
      <c r="H2416" s="15"/>
    </row>
    <row r="2417" spans="1:8" ht="21.95" customHeight="1" x14ac:dyDescent="0.15">
      <c r="A2417" s="17"/>
      <c r="B2417" s="37"/>
      <c r="C2417" s="37"/>
      <c r="D2417" s="37"/>
      <c r="E2417" s="15"/>
      <c r="F2417" s="37"/>
      <c r="G2417" s="13"/>
      <c r="H2417" s="15"/>
    </row>
    <row r="2418" spans="1:8" ht="21.95" customHeight="1" x14ac:dyDescent="0.15">
      <c r="A2418" s="17"/>
      <c r="B2418" s="37"/>
      <c r="C2418" s="37"/>
      <c r="D2418" s="37"/>
      <c r="E2418" s="15"/>
      <c r="F2418" s="37"/>
      <c r="G2418" s="13"/>
      <c r="H2418" s="15"/>
    </row>
    <row r="2419" spans="1:8" ht="21.95" customHeight="1" x14ac:dyDescent="0.15">
      <c r="A2419" s="17"/>
      <c r="B2419" s="37"/>
      <c r="C2419" s="37"/>
      <c r="D2419" s="37"/>
      <c r="E2419" s="15"/>
      <c r="F2419" s="37"/>
      <c r="G2419" s="13"/>
      <c r="H2419" s="15"/>
    </row>
    <row r="2420" spans="1:8" ht="21.95" customHeight="1" x14ac:dyDescent="0.15">
      <c r="A2420" s="17"/>
      <c r="B2420" s="37"/>
      <c r="C2420" s="37"/>
      <c r="D2420" s="37"/>
      <c r="E2420" s="15"/>
      <c r="F2420" s="37"/>
      <c r="G2420" s="13"/>
      <c r="H2420" s="15"/>
    </row>
    <row r="2421" spans="1:8" ht="21.95" customHeight="1" x14ac:dyDescent="0.15">
      <c r="A2421" s="17"/>
      <c r="B2421" s="37"/>
      <c r="C2421" s="37"/>
      <c r="D2421" s="37"/>
      <c r="E2421" s="15"/>
      <c r="F2421" s="37"/>
      <c r="G2421" s="13"/>
      <c r="H2421" s="15"/>
    </row>
    <row r="2422" spans="1:8" ht="21.95" customHeight="1" x14ac:dyDescent="0.15">
      <c r="A2422" s="17"/>
      <c r="B2422" s="37"/>
      <c r="C2422" s="37"/>
      <c r="D2422" s="37"/>
      <c r="E2422" s="15"/>
      <c r="F2422" s="37"/>
      <c r="G2422" s="13"/>
      <c r="H2422" s="15"/>
    </row>
    <row r="2423" spans="1:8" ht="21.95" customHeight="1" x14ac:dyDescent="0.15">
      <c r="A2423" s="17"/>
      <c r="B2423" s="37"/>
      <c r="C2423" s="37"/>
      <c r="D2423" s="37"/>
      <c r="E2423" s="15"/>
      <c r="F2423" s="37"/>
      <c r="G2423" s="13"/>
      <c r="H2423" s="15"/>
    </row>
    <row r="2424" spans="1:8" ht="21.95" customHeight="1" x14ac:dyDescent="0.15">
      <c r="A2424" s="17"/>
      <c r="B2424" s="37"/>
      <c r="C2424" s="37"/>
      <c r="D2424" s="37"/>
      <c r="E2424" s="15"/>
      <c r="F2424" s="37"/>
      <c r="G2424" s="13"/>
      <c r="H2424" s="15"/>
    </row>
    <row r="2425" spans="1:8" ht="21.95" customHeight="1" x14ac:dyDescent="0.15">
      <c r="A2425" s="17"/>
      <c r="B2425" s="37"/>
      <c r="C2425" s="37"/>
      <c r="D2425" s="37"/>
      <c r="E2425" s="15"/>
      <c r="F2425" s="37"/>
      <c r="G2425" s="13"/>
      <c r="H2425" s="15"/>
    </row>
    <row r="2426" spans="1:8" ht="21.95" customHeight="1" x14ac:dyDescent="0.15">
      <c r="A2426" s="17"/>
      <c r="B2426" s="37"/>
      <c r="C2426" s="37"/>
      <c r="D2426" s="37"/>
      <c r="E2426" s="15"/>
      <c r="F2426" s="37"/>
      <c r="G2426" s="37"/>
      <c r="H2426" s="15"/>
    </row>
    <row r="2427" spans="1:8" ht="21.95" customHeight="1" x14ac:dyDescent="0.15">
      <c r="A2427" s="17"/>
      <c r="B2427" s="37"/>
      <c r="C2427" s="37"/>
      <c r="D2427" s="37"/>
      <c r="E2427" s="15"/>
      <c r="F2427" s="37"/>
      <c r="G2427" s="13"/>
      <c r="H2427" s="15"/>
    </row>
    <row r="2428" spans="1:8" ht="21.95" customHeight="1" x14ac:dyDescent="0.15">
      <c r="A2428" s="17"/>
      <c r="B2428" s="37"/>
      <c r="C2428" s="37"/>
      <c r="D2428" s="37"/>
      <c r="E2428" s="15"/>
      <c r="F2428" s="37"/>
      <c r="G2428" s="13"/>
      <c r="H2428" s="15"/>
    </row>
    <row r="2429" spans="1:8" ht="21.95" customHeight="1" x14ac:dyDescent="0.15">
      <c r="A2429" s="17"/>
      <c r="B2429" s="37"/>
      <c r="C2429" s="37"/>
      <c r="D2429" s="37"/>
      <c r="E2429" s="15"/>
      <c r="F2429" s="37"/>
      <c r="G2429" s="13"/>
      <c r="H2429" s="15"/>
    </row>
    <row r="2430" spans="1:8" ht="21.95" customHeight="1" x14ac:dyDescent="0.15">
      <c r="A2430" s="17"/>
      <c r="B2430" s="37"/>
      <c r="C2430" s="37"/>
      <c r="D2430" s="37"/>
      <c r="E2430" s="15"/>
      <c r="F2430" s="37"/>
      <c r="G2430" s="13"/>
      <c r="H2430" s="15"/>
    </row>
    <row r="2431" spans="1:8" ht="21.95" customHeight="1" x14ac:dyDescent="0.15">
      <c r="A2431" s="17"/>
      <c r="B2431" s="37"/>
      <c r="C2431" s="37"/>
      <c r="D2431" s="37"/>
      <c r="E2431" s="15"/>
      <c r="F2431" s="37"/>
      <c r="G2431" s="13"/>
      <c r="H2431" s="15"/>
    </row>
    <row r="2432" spans="1:8" ht="21.95" customHeight="1" x14ac:dyDescent="0.15">
      <c r="A2432" s="17"/>
      <c r="B2432" s="37"/>
      <c r="C2432" s="37"/>
      <c r="D2432" s="37"/>
      <c r="E2432" s="15"/>
      <c r="F2432" s="37"/>
      <c r="G2432" s="13"/>
      <c r="H2432" s="15"/>
    </row>
    <row r="2433" spans="1:9" ht="21.95" customHeight="1" x14ac:dyDescent="0.15">
      <c r="A2433" s="17"/>
      <c r="B2433" s="37"/>
      <c r="C2433" s="37"/>
      <c r="D2433" s="37"/>
      <c r="E2433" s="15"/>
      <c r="F2433" s="37"/>
      <c r="G2433" s="13"/>
      <c r="H2433" s="15"/>
    </row>
    <row r="2434" spans="1:9" ht="21.95" customHeight="1" x14ac:dyDescent="0.15">
      <c r="A2434" s="17"/>
      <c r="B2434" s="37"/>
      <c r="C2434" s="37"/>
      <c r="D2434" s="37"/>
      <c r="E2434" s="15"/>
      <c r="F2434" s="37"/>
      <c r="G2434" s="13"/>
      <c r="H2434" s="15"/>
    </row>
    <row r="2435" spans="1:9" ht="21.95" customHeight="1" x14ac:dyDescent="0.15">
      <c r="A2435" s="17"/>
      <c r="B2435" s="37"/>
      <c r="C2435" s="37"/>
      <c r="D2435" s="37"/>
      <c r="E2435" s="15"/>
      <c r="F2435" s="37"/>
      <c r="G2435" s="13"/>
      <c r="H2435" s="15"/>
    </row>
    <row r="2436" spans="1:9" ht="21.95" customHeight="1" x14ac:dyDescent="0.15">
      <c r="A2436" s="17"/>
      <c r="B2436" s="37"/>
      <c r="C2436" s="37"/>
      <c r="D2436" s="37"/>
      <c r="E2436" s="15"/>
      <c r="F2436" s="37"/>
      <c r="G2436" s="13"/>
      <c r="H2436" s="15"/>
    </row>
    <row r="2437" spans="1:9" ht="21.95" customHeight="1" x14ac:dyDescent="0.15">
      <c r="A2437" s="17"/>
      <c r="B2437" s="37"/>
      <c r="C2437" s="37"/>
      <c r="D2437" s="37"/>
      <c r="E2437" s="15"/>
      <c r="F2437" s="37"/>
      <c r="G2437" s="13"/>
      <c r="H2437" s="15"/>
    </row>
    <row r="2438" spans="1:9" ht="21.95" customHeight="1" x14ac:dyDescent="0.15">
      <c r="A2438" s="17"/>
      <c r="B2438" s="37"/>
      <c r="C2438" s="37"/>
      <c r="D2438" s="37"/>
      <c r="E2438" s="15"/>
      <c r="F2438" s="37"/>
      <c r="G2438" s="13"/>
      <c r="H2438" s="15"/>
    </row>
    <row r="2439" spans="1:9" ht="21.95" customHeight="1" x14ac:dyDescent="0.15">
      <c r="A2439" s="17"/>
      <c r="B2439" s="37"/>
      <c r="C2439" s="37"/>
      <c r="D2439" s="37"/>
      <c r="E2439" s="15"/>
      <c r="F2439" s="37"/>
      <c r="G2439" s="13"/>
      <c r="H2439" s="38"/>
      <c r="I2439" s="84"/>
    </row>
    <row r="2440" spans="1:9" ht="21.95" customHeight="1" x14ac:dyDescent="0.15">
      <c r="A2440" s="17"/>
      <c r="B2440" s="37"/>
      <c r="C2440" s="37"/>
      <c r="D2440" s="37"/>
      <c r="E2440" s="15"/>
      <c r="F2440" s="37"/>
      <c r="G2440" s="13"/>
      <c r="H2440" s="15"/>
      <c r="I2440" s="84"/>
    </row>
    <row r="2441" spans="1:9" ht="35.1" customHeight="1" x14ac:dyDescent="0.15">
      <c r="A2441" s="17"/>
      <c r="B2441" s="37"/>
      <c r="C2441" s="37"/>
      <c r="D2441" s="37"/>
      <c r="E2441" s="15"/>
      <c r="F2441" s="15"/>
      <c r="G2441" s="37"/>
      <c r="H2441" s="15"/>
    </row>
    <row r="2442" spans="1:9" ht="21.95" customHeight="1" x14ac:dyDescent="0.15">
      <c r="A2442" s="17"/>
      <c r="B2442" s="37"/>
      <c r="C2442" s="37"/>
      <c r="D2442" s="37"/>
      <c r="E2442" s="15"/>
      <c r="F2442" s="37"/>
      <c r="G2442" s="13"/>
      <c r="H2442" s="15"/>
    </row>
    <row r="2443" spans="1:9" ht="21.95" customHeight="1" x14ac:dyDescent="0.15">
      <c r="A2443" s="17"/>
      <c r="B2443" s="37"/>
      <c r="C2443" s="37"/>
      <c r="D2443" s="37"/>
      <c r="E2443" s="15"/>
      <c r="F2443" s="37"/>
      <c r="G2443" s="13"/>
      <c r="H2443" s="15"/>
    </row>
    <row r="2444" spans="1:9" ht="21.95" customHeight="1" x14ac:dyDescent="0.15">
      <c r="A2444" s="17"/>
      <c r="B2444" s="37"/>
      <c r="C2444" s="37"/>
      <c r="D2444" s="37"/>
      <c r="E2444" s="15"/>
      <c r="F2444" s="37"/>
      <c r="G2444" s="13"/>
      <c r="H2444" s="15"/>
    </row>
    <row r="2445" spans="1:9" ht="21.95" customHeight="1" x14ac:dyDescent="0.15">
      <c r="A2445" s="17"/>
      <c r="B2445" s="37"/>
      <c r="C2445" s="37"/>
      <c r="D2445" s="37"/>
      <c r="E2445" s="15"/>
      <c r="F2445" s="37"/>
      <c r="G2445" s="13"/>
      <c r="H2445" s="15"/>
    </row>
    <row r="2446" spans="1:9" ht="21.95" customHeight="1" x14ac:dyDescent="0.15">
      <c r="A2446" s="17"/>
      <c r="B2446" s="37"/>
      <c r="C2446" s="37"/>
      <c r="D2446" s="37"/>
      <c r="E2446" s="15"/>
      <c r="F2446" s="37"/>
      <c r="G2446" s="13"/>
      <c r="H2446" s="15"/>
    </row>
    <row r="2447" spans="1:9" ht="21.95" customHeight="1" x14ac:dyDescent="0.15">
      <c r="A2447" s="17"/>
      <c r="B2447" s="37"/>
      <c r="C2447" s="37"/>
      <c r="D2447" s="37"/>
      <c r="E2447" s="15"/>
      <c r="F2447" s="37"/>
      <c r="G2447" s="13"/>
      <c r="H2447" s="15"/>
      <c r="I2447" s="37"/>
    </row>
    <row r="2448" spans="1:9" ht="21.95" customHeight="1" x14ac:dyDescent="0.15">
      <c r="A2448" s="17"/>
      <c r="B2448" s="37"/>
      <c r="C2448" s="37"/>
      <c r="D2448" s="37"/>
      <c r="E2448" s="15"/>
      <c r="F2448" s="37"/>
      <c r="G2448" s="37"/>
      <c r="H2448" s="15"/>
      <c r="I2448" s="37"/>
    </row>
    <row r="2449" spans="1:9" ht="21.95" customHeight="1" x14ac:dyDescent="0.15">
      <c r="A2449" s="17"/>
      <c r="B2449" s="37"/>
      <c r="C2449" s="37"/>
      <c r="D2449" s="37"/>
      <c r="E2449" s="15"/>
      <c r="F2449" s="37"/>
      <c r="G2449" s="37"/>
      <c r="H2449" s="38"/>
      <c r="I2449" s="37"/>
    </row>
    <row r="2450" spans="1:9" ht="21.95" customHeight="1" x14ac:dyDescent="0.15">
      <c r="A2450" s="17"/>
      <c r="B2450" s="37"/>
      <c r="C2450" s="37"/>
      <c r="D2450" s="37"/>
      <c r="E2450" s="15"/>
      <c r="F2450" s="37"/>
      <c r="G2450" s="37"/>
      <c r="H2450" s="38"/>
      <c r="I2450" s="37"/>
    </row>
    <row r="2451" spans="1:9" ht="21.95" customHeight="1" x14ac:dyDescent="0.15">
      <c r="A2451" s="17"/>
      <c r="B2451" s="37"/>
      <c r="C2451" s="37"/>
      <c r="D2451" s="37"/>
      <c r="E2451" s="15"/>
      <c r="F2451" s="37"/>
      <c r="G2451" s="13"/>
      <c r="H2451" s="15"/>
      <c r="I2451" s="37"/>
    </row>
    <row r="2452" spans="1:9" ht="21.95" customHeight="1" x14ac:dyDescent="0.15">
      <c r="A2452" s="17"/>
      <c r="B2452" s="37"/>
      <c r="C2452" s="37"/>
      <c r="D2452" s="37"/>
      <c r="E2452" s="15"/>
      <c r="F2452" s="37"/>
      <c r="G2452" s="13"/>
      <c r="H2452" s="15"/>
      <c r="I2452" s="37"/>
    </row>
    <row r="2453" spans="1:9" ht="21.95" customHeight="1" x14ac:dyDescent="0.15">
      <c r="A2453" s="17"/>
      <c r="B2453" s="37"/>
      <c r="C2453" s="37"/>
      <c r="D2453" s="37"/>
      <c r="E2453" s="15"/>
      <c r="F2453" s="37"/>
      <c r="G2453" s="13"/>
      <c r="H2453" s="15"/>
      <c r="I2453" s="37"/>
    </row>
    <row r="2454" spans="1:9" ht="21.95" customHeight="1" x14ac:dyDescent="0.15">
      <c r="A2454" s="17"/>
      <c r="B2454" s="37"/>
      <c r="C2454" s="37"/>
      <c r="E2454" s="15"/>
      <c r="F2454" s="37"/>
      <c r="H2454" s="38"/>
    </row>
    <row r="2455" spans="1:9" ht="21.95" customHeight="1" x14ac:dyDescent="0.15">
      <c r="A2455" s="17"/>
      <c r="B2455" s="37"/>
      <c r="C2455" s="37"/>
      <c r="E2455" s="15"/>
      <c r="F2455" s="37"/>
    </row>
    <row r="2456" spans="1:9" ht="21.95" customHeight="1" x14ac:dyDescent="0.15">
      <c r="A2456" s="17"/>
      <c r="B2456" s="37"/>
      <c r="C2456" s="37"/>
      <c r="E2456" s="15"/>
      <c r="G2456" s="77"/>
    </row>
    <row r="2457" spans="1:9" ht="21.95" customHeight="1" x14ac:dyDescent="0.15">
      <c r="A2457" s="17"/>
      <c r="B2457" s="37"/>
      <c r="C2457" s="37"/>
      <c r="D2457" s="37"/>
      <c r="E2457" s="15"/>
      <c r="F2457" s="37"/>
      <c r="G2457" s="37"/>
      <c r="H2457" s="15"/>
    </row>
    <row r="2458" spans="1:9" ht="21.95" customHeight="1" x14ac:dyDescent="0.15">
      <c r="A2458" s="17"/>
      <c r="B2458" s="37"/>
      <c r="C2458" s="37"/>
      <c r="D2458" s="37"/>
      <c r="E2458" s="15"/>
      <c r="F2458" s="37"/>
      <c r="G2458" s="13"/>
      <c r="H2458" s="15"/>
    </row>
    <row r="2459" spans="1:9" ht="21.95" customHeight="1" x14ac:dyDescent="0.15">
      <c r="A2459" s="17"/>
      <c r="B2459" s="37"/>
      <c r="C2459" s="37"/>
      <c r="D2459" s="37"/>
      <c r="E2459" s="15"/>
      <c r="F2459" s="37"/>
      <c r="G2459" s="13"/>
      <c r="H2459" s="15"/>
    </row>
    <row r="2460" spans="1:9" ht="21.95" customHeight="1" x14ac:dyDescent="0.15">
      <c r="A2460" s="17"/>
      <c r="C2460" s="37"/>
    </row>
    <row r="2461" spans="1:9" ht="21.95" customHeight="1" x14ac:dyDescent="0.15">
      <c r="A2461" s="17"/>
      <c r="B2461" s="37"/>
      <c r="C2461" s="37"/>
      <c r="D2461" s="13"/>
      <c r="E2461" s="15"/>
      <c r="F2461" s="37"/>
      <c r="G2461" s="13"/>
      <c r="H2461" s="15"/>
      <c r="I2461" s="13"/>
    </row>
    <row r="2462" spans="1:9" ht="21.95" customHeight="1" x14ac:dyDescent="0.15">
      <c r="A2462" s="17"/>
      <c r="B2462" s="13"/>
      <c r="C2462" s="13"/>
      <c r="D2462" s="13"/>
      <c r="E2462" s="15"/>
      <c r="F2462" s="37"/>
      <c r="G2462" s="13"/>
      <c r="H2462" s="15"/>
      <c r="I2462" s="13"/>
    </row>
    <row r="2463" spans="1:9" ht="21.95" customHeight="1" x14ac:dyDescent="0.15">
      <c r="A2463" s="17"/>
      <c r="B2463" s="13"/>
      <c r="C2463" s="13"/>
      <c r="D2463" s="13"/>
      <c r="E2463" s="15"/>
      <c r="F2463" s="37"/>
      <c r="G2463" s="13"/>
      <c r="H2463" s="15"/>
      <c r="I2463" s="13"/>
    </row>
    <row r="2464" spans="1:9" ht="21.95" customHeight="1" x14ac:dyDescent="0.15">
      <c r="A2464" s="17"/>
      <c r="B2464" s="13"/>
      <c r="C2464" s="13"/>
      <c r="D2464" s="13"/>
      <c r="E2464" s="15"/>
      <c r="F2464" s="37"/>
      <c r="G2464" s="13"/>
      <c r="H2464" s="15"/>
      <c r="I2464" s="13"/>
    </row>
    <row r="2465" spans="1:9" customFormat="1" ht="21.95" customHeight="1" x14ac:dyDescent="0.15">
      <c r="A2465" s="17"/>
      <c r="B2465" s="40"/>
      <c r="C2465" s="40"/>
      <c r="D2465" s="40"/>
      <c r="E2465" s="38"/>
      <c r="F2465" s="85"/>
      <c r="G2465" s="40"/>
      <c r="H2465" s="38"/>
      <c r="I2465" s="40"/>
    </row>
    <row r="2466" spans="1:9" customFormat="1" ht="21.95" customHeight="1" x14ac:dyDescent="0.15">
      <c r="A2466" s="17"/>
      <c r="B2466" s="37"/>
      <c r="C2466" s="37"/>
      <c r="D2466" s="40"/>
      <c r="E2466" s="15"/>
      <c r="F2466" s="85"/>
      <c r="G2466" s="42"/>
      <c r="H2466" s="38"/>
      <c r="I2466" s="56"/>
    </row>
    <row r="2467" spans="1:9" customFormat="1" ht="21.95" customHeight="1" x14ac:dyDescent="0.15">
      <c r="A2467" s="17"/>
      <c r="B2467" s="37"/>
      <c r="C2467" s="95"/>
      <c r="D2467" s="40"/>
      <c r="E2467" s="15"/>
      <c r="F2467" s="85"/>
      <c r="G2467" s="42"/>
      <c r="H2467" s="38"/>
      <c r="I2467" s="56"/>
    </row>
    <row r="2468" spans="1:9" customFormat="1" ht="21.95" customHeight="1" x14ac:dyDescent="0.15">
      <c r="A2468" s="17"/>
      <c r="B2468" s="37"/>
      <c r="C2468" s="95"/>
      <c r="D2468" s="40"/>
      <c r="E2468" s="15"/>
      <c r="F2468" s="85"/>
      <c r="G2468" s="17"/>
      <c r="H2468" s="38"/>
      <c r="I2468" s="56"/>
    </row>
    <row r="2469" spans="1:9" customFormat="1" ht="21.95" customHeight="1" x14ac:dyDescent="0.15">
      <c r="A2469" s="17"/>
      <c r="B2469" s="37"/>
      <c r="C2469" s="37"/>
      <c r="D2469" s="40"/>
      <c r="E2469" s="15"/>
      <c r="F2469" s="85"/>
      <c r="G2469" s="42"/>
      <c r="H2469" s="38"/>
      <c r="I2469" s="56"/>
    </row>
    <row r="2470" spans="1:9" customFormat="1" ht="21.95" customHeight="1" x14ac:dyDescent="0.15">
      <c r="A2470" s="17"/>
      <c r="B2470" s="37"/>
      <c r="C2470" s="37"/>
      <c r="D2470" s="40"/>
      <c r="E2470" s="15"/>
      <c r="F2470" s="85"/>
      <c r="G2470" s="17"/>
      <c r="H2470" s="38"/>
      <c r="I2470" s="56"/>
    </row>
    <row r="2471" spans="1:9" customFormat="1" ht="21.95" customHeight="1" x14ac:dyDescent="0.15">
      <c r="A2471" s="17"/>
      <c r="B2471" s="37"/>
      <c r="C2471" s="37"/>
      <c r="D2471" s="40"/>
      <c r="E2471" s="15"/>
      <c r="F2471" s="85"/>
      <c r="G2471" s="42"/>
      <c r="H2471" s="38"/>
      <c r="I2471" s="56"/>
    </row>
    <row r="2472" spans="1:9" customFormat="1" ht="21.95" customHeight="1" x14ac:dyDescent="0.15">
      <c r="A2472" s="17"/>
      <c r="B2472" s="37"/>
      <c r="C2472" s="37"/>
      <c r="D2472" s="40"/>
      <c r="E2472" s="15"/>
      <c r="F2472" s="85"/>
      <c r="G2472" s="17"/>
      <c r="H2472" s="38"/>
      <c r="I2472" s="56"/>
    </row>
    <row r="2473" spans="1:9" customFormat="1" ht="21.95" customHeight="1" x14ac:dyDescent="0.15">
      <c r="A2473" s="17"/>
      <c r="B2473" s="37"/>
      <c r="C2473" s="37"/>
      <c r="D2473" s="40"/>
      <c r="E2473" s="15"/>
      <c r="F2473" s="85"/>
      <c r="G2473" s="42"/>
      <c r="H2473" s="38"/>
      <c r="I2473" s="56"/>
    </row>
    <row r="2474" spans="1:9" customFormat="1" ht="21.95" customHeight="1" x14ac:dyDescent="0.15">
      <c r="A2474" s="17"/>
      <c r="B2474" s="37"/>
      <c r="C2474" s="37"/>
      <c r="D2474" s="40"/>
      <c r="E2474" s="15"/>
      <c r="F2474" s="85"/>
      <c r="G2474" s="17"/>
      <c r="H2474" s="38"/>
      <c r="I2474" s="56"/>
    </row>
    <row r="2475" spans="1:9" customFormat="1" ht="21.95" customHeight="1" x14ac:dyDescent="0.15">
      <c r="A2475" s="17"/>
      <c r="B2475" s="37"/>
      <c r="C2475" s="37"/>
      <c r="D2475" s="40"/>
      <c r="E2475" s="15"/>
      <c r="F2475" s="85"/>
      <c r="G2475" s="42"/>
      <c r="H2475" s="38"/>
      <c r="I2475" s="56"/>
    </row>
    <row r="2476" spans="1:9" ht="21.95" customHeight="1" x14ac:dyDescent="0.15">
      <c r="A2476" s="17"/>
      <c r="B2476" s="37"/>
      <c r="C2476" s="37"/>
      <c r="D2476" s="37"/>
      <c r="E2476" s="15"/>
      <c r="F2476" s="85"/>
      <c r="G2476" s="17"/>
      <c r="H2476" s="38"/>
    </row>
    <row r="2477" spans="1:9" ht="21.95" customHeight="1" x14ac:dyDescent="0.15">
      <c r="A2477" s="17"/>
      <c r="B2477" s="37"/>
      <c r="C2477" s="37"/>
      <c r="D2477" s="37"/>
      <c r="E2477" s="15"/>
      <c r="F2477" s="85"/>
      <c r="H2477" s="38"/>
    </row>
    <row r="2478" spans="1:9" ht="21.95" customHeight="1" x14ac:dyDescent="0.15">
      <c r="A2478" s="17"/>
      <c r="B2478" s="37"/>
      <c r="C2478" s="37"/>
      <c r="D2478" s="37"/>
      <c r="E2478" s="15"/>
      <c r="F2478" s="85"/>
      <c r="H2478" s="38"/>
    </row>
    <row r="2479" spans="1:9" ht="21.95" customHeight="1" x14ac:dyDescent="0.15">
      <c r="A2479" s="17"/>
      <c r="B2479" s="37"/>
      <c r="C2479" s="37"/>
      <c r="D2479" s="37"/>
      <c r="E2479" s="15"/>
      <c r="F2479" s="85"/>
      <c r="G2479" s="17"/>
      <c r="H2479" s="38"/>
    </row>
    <row r="2480" spans="1:9" customFormat="1" ht="21.95" customHeight="1" x14ac:dyDescent="0.15">
      <c r="A2480" s="17"/>
      <c r="B2480" s="37"/>
      <c r="C2480" s="37"/>
      <c r="D2480" s="37"/>
      <c r="E2480" s="15"/>
      <c r="F2480" s="85"/>
      <c r="G2480" s="17"/>
      <c r="H2480" s="38"/>
      <c r="I2480" s="42"/>
    </row>
    <row r="2481" spans="1:9" customFormat="1" ht="21.95" customHeight="1" x14ac:dyDescent="0.15">
      <c r="A2481" s="17"/>
      <c r="B2481" s="37"/>
      <c r="C2481" s="37"/>
      <c r="D2481" s="37"/>
      <c r="E2481" s="15"/>
      <c r="F2481" s="85"/>
      <c r="G2481" s="17"/>
      <c r="H2481" s="38"/>
      <c r="I2481" s="42"/>
    </row>
    <row r="2482" spans="1:9" customFormat="1" ht="21.95" customHeight="1" x14ac:dyDescent="0.15">
      <c r="A2482" s="17"/>
      <c r="B2482" s="37"/>
      <c r="C2482" s="37"/>
      <c r="D2482" s="37"/>
      <c r="E2482" s="15"/>
      <c r="F2482" s="85"/>
      <c r="G2482" s="17"/>
      <c r="H2482" s="38"/>
      <c r="I2482" s="42"/>
    </row>
    <row r="2483" spans="1:9" customFormat="1" ht="21.95" customHeight="1" x14ac:dyDescent="0.15">
      <c r="A2483" s="17"/>
      <c r="B2483" s="37"/>
      <c r="C2483" s="37"/>
      <c r="D2483" s="37"/>
      <c r="E2483" s="15"/>
      <c r="F2483" s="85"/>
      <c r="G2483" s="17"/>
      <c r="H2483" s="38"/>
      <c r="I2483" s="42"/>
    </row>
    <row r="2484" spans="1:9" customFormat="1" ht="21.95" customHeight="1" x14ac:dyDescent="0.15">
      <c r="A2484" s="17"/>
      <c r="B2484" s="37"/>
      <c r="C2484" s="37"/>
      <c r="D2484" s="37"/>
      <c r="E2484" s="15"/>
      <c r="F2484" s="85"/>
      <c r="G2484" s="17"/>
      <c r="H2484" s="38"/>
      <c r="I2484" s="42"/>
    </row>
    <row r="2485" spans="1:9" customFormat="1" ht="21.95" customHeight="1" x14ac:dyDescent="0.15">
      <c r="A2485" s="17"/>
      <c r="B2485" s="37"/>
      <c r="C2485" s="37"/>
      <c r="D2485" s="37"/>
      <c r="E2485" s="15"/>
      <c r="F2485" s="85"/>
      <c r="G2485" s="17"/>
      <c r="H2485" s="38"/>
      <c r="I2485" s="42"/>
    </row>
    <row r="2486" spans="1:9" customFormat="1" ht="21.95" customHeight="1" x14ac:dyDescent="0.15">
      <c r="A2486" s="17"/>
      <c r="B2486" s="37"/>
      <c r="C2486" s="37"/>
      <c r="D2486" s="37"/>
      <c r="E2486" s="15"/>
      <c r="F2486" s="85"/>
      <c r="G2486" s="17"/>
      <c r="H2486" s="38"/>
      <c r="I2486" s="42"/>
    </row>
    <row r="2487" spans="1:9" customFormat="1" ht="21.95" customHeight="1" x14ac:dyDescent="0.15">
      <c r="A2487" s="17"/>
      <c r="B2487" s="37"/>
      <c r="C2487" s="37"/>
      <c r="D2487" s="37"/>
      <c r="E2487" s="15"/>
      <c r="F2487" s="85"/>
      <c r="G2487" s="17"/>
      <c r="H2487" s="38"/>
      <c r="I2487" s="42"/>
    </row>
    <row r="2488" spans="1:9" customFormat="1" ht="21.95" customHeight="1" x14ac:dyDescent="0.15">
      <c r="A2488" s="17"/>
      <c r="B2488" s="37"/>
      <c r="C2488" s="37"/>
      <c r="D2488" s="37"/>
      <c r="E2488" s="15"/>
      <c r="F2488" s="85"/>
      <c r="G2488" s="17"/>
      <c r="H2488" s="38"/>
      <c r="I2488" s="42"/>
    </row>
    <row r="2489" spans="1:9" customFormat="1" ht="21.95" customHeight="1" x14ac:dyDescent="0.15">
      <c r="A2489" s="17"/>
      <c r="B2489" s="37"/>
      <c r="C2489" s="37"/>
      <c r="D2489" s="37"/>
      <c r="E2489" s="15"/>
      <c r="F2489" s="85"/>
      <c r="G2489" s="17"/>
      <c r="H2489" s="38"/>
      <c r="I2489" s="56"/>
    </row>
    <row r="2490" spans="1:9" customFormat="1" ht="21.95" customHeight="1" x14ac:dyDescent="0.15">
      <c r="A2490" s="17"/>
      <c r="B2490" s="37"/>
      <c r="C2490" s="37"/>
      <c r="D2490" s="37"/>
      <c r="E2490" s="15"/>
      <c r="F2490" s="85"/>
      <c r="G2490" s="17"/>
      <c r="H2490" s="38"/>
      <c r="I2490" s="56"/>
    </row>
    <row r="2491" spans="1:9" customFormat="1" ht="32.1" customHeight="1" x14ac:dyDescent="0.15">
      <c r="A2491" s="17"/>
      <c r="B2491" s="37"/>
      <c r="C2491" s="37"/>
      <c r="D2491" s="37"/>
      <c r="E2491" s="15"/>
      <c r="F2491" s="85"/>
      <c r="G2491" s="17"/>
      <c r="H2491" s="38"/>
      <c r="I2491" s="56"/>
    </row>
    <row r="2492" spans="1:9" customFormat="1" ht="32.1" customHeight="1" x14ac:dyDescent="0.15">
      <c r="A2492" s="17"/>
      <c r="B2492" s="37"/>
      <c r="C2492" s="37"/>
      <c r="D2492" s="37"/>
      <c r="E2492" s="15"/>
      <c r="F2492" s="85"/>
      <c r="G2492" s="17"/>
      <c r="H2492" s="38"/>
      <c r="I2492" s="56"/>
    </row>
    <row r="2493" spans="1:9" customFormat="1" ht="32.1" customHeight="1" x14ac:dyDescent="0.15">
      <c r="A2493" s="17"/>
      <c r="B2493" s="37"/>
      <c r="C2493" s="37"/>
      <c r="D2493" s="37"/>
      <c r="E2493" s="15"/>
      <c r="F2493" s="85"/>
      <c r="G2493" s="17"/>
      <c r="H2493" s="38"/>
      <c r="I2493" s="56"/>
    </row>
    <row r="2494" spans="1:9" customFormat="1" ht="32.1" customHeight="1" x14ac:dyDescent="0.15">
      <c r="A2494" s="17"/>
      <c r="B2494" s="37"/>
      <c r="C2494" s="37"/>
      <c r="D2494" s="37"/>
      <c r="E2494" s="15"/>
      <c r="F2494" s="85"/>
      <c r="G2494" s="17"/>
      <c r="H2494" s="38"/>
      <c r="I2494" s="56"/>
    </row>
    <row r="2495" spans="1:9" customFormat="1" ht="32.1" customHeight="1" x14ac:dyDescent="0.15">
      <c r="A2495" s="17"/>
      <c r="B2495" s="37"/>
      <c r="C2495" s="37"/>
      <c r="D2495" s="37"/>
      <c r="E2495" s="15"/>
      <c r="F2495" s="85"/>
      <c r="G2495" s="17"/>
      <c r="H2495" s="38"/>
      <c r="I2495" s="56"/>
    </row>
    <row r="2496" spans="1:9" customFormat="1" ht="32.1" customHeight="1" x14ac:dyDescent="0.15">
      <c r="A2496" s="17"/>
      <c r="B2496" s="37"/>
      <c r="C2496" s="37"/>
      <c r="D2496" s="37"/>
      <c r="E2496" s="15"/>
      <c r="F2496" s="85"/>
      <c r="G2496" s="17"/>
      <c r="H2496" s="38"/>
      <c r="I2496" s="56"/>
    </row>
    <row r="2497" spans="1:9" ht="32.1" customHeight="1" x14ac:dyDescent="0.15">
      <c r="A2497" s="17"/>
      <c r="B2497" s="37"/>
      <c r="C2497" s="37"/>
      <c r="D2497" s="37"/>
      <c r="E2497" s="15"/>
      <c r="F2497" s="85"/>
      <c r="G2497" s="17"/>
      <c r="H2497" s="38"/>
      <c r="I2497" s="37"/>
    </row>
    <row r="2498" spans="1:9" ht="32.1" customHeight="1" x14ac:dyDescent="0.15">
      <c r="A2498" s="17"/>
      <c r="B2498" s="37"/>
      <c r="C2498" s="37"/>
      <c r="D2498" s="37"/>
      <c r="E2498" s="15"/>
      <c r="F2498" s="37"/>
      <c r="G2498" s="17"/>
      <c r="H2498" s="38"/>
      <c r="I2498" s="37"/>
    </row>
    <row r="2499" spans="1:9" ht="32.1" customHeight="1" x14ac:dyDescent="0.15">
      <c r="A2499" s="17"/>
      <c r="B2499" s="37"/>
      <c r="C2499" s="37"/>
      <c r="D2499" s="37"/>
      <c r="E2499" s="15"/>
      <c r="F2499" s="37"/>
      <c r="G2499" s="17"/>
      <c r="H2499" s="38"/>
      <c r="I2499" s="37"/>
    </row>
    <row r="2500" spans="1:9" ht="32.1" customHeight="1" x14ac:dyDescent="0.15">
      <c r="A2500" s="17"/>
      <c r="B2500" s="37"/>
      <c r="C2500" s="37"/>
      <c r="D2500" s="37"/>
      <c r="E2500" s="15"/>
      <c r="F2500" s="37"/>
      <c r="G2500" s="17"/>
      <c r="H2500" s="38"/>
      <c r="I2500" s="37"/>
    </row>
    <row r="2501" spans="1:9" ht="21.95" customHeight="1" x14ac:dyDescent="0.15">
      <c r="A2501" s="17"/>
      <c r="B2501" s="37"/>
      <c r="C2501" s="37"/>
      <c r="D2501" s="37"/>
      <c r="E2501" s="15"/>
      <c r="F2501" s="37"/>
      <c r="G2501" s="17"/>
      <c r="H2501" s="38"/>
      <c r="I2501" s="37"/>
    </row>
    <row r="2502" spans="1:9" ht="54" customHeight="1" x14ac:dyDescent="0.15">
      <c r="A2502" s="17"/>
      <c r="B2502" s="37"/>
      <c r="C2502" s="37"/>
      <c r="D2502" s="37"/>
      <c r="E2502" s="15"/>
      <c r="F2502" s="37"/>
      <c r="G2502" s="17"/>
      <c r="H2502" s="38"/>
      <c r="I2502" s="37"/>
    </row>
    <row r="2503" spans="1:9" ht="21.95" customHeight="1" x14ac:dyDescent="0.15">
      <c r="A2503" s="17"/>
      <c r="B2503" s="37"/>
      <c r="C2503" s="37"/>
      <c r="D2503" s="37"/>
      <c r="E2503" s="15"/>
      <c r="F2503" s="37"/>
      <c r="G2503" s="17"/>
      <c r="H2503" s="38"/>
      <c r="I2503" s="37"/>
    </row>
    <row r="2504" spans="1:9" ht="21.95" customHeight="1" x14ac:dyDescent="0.15">
      <c r="A2504" s="17"/>
      <c r="B2504" s="37"/>
      <c r="C2504" s="37"/>
      <c r="D2504" s="37"/>
      <c r="E2504" s="15"/>
      <c r="F2504" s="37"/>
      <c r="G2504" s="17"/>
      <c r="H2504" s="38"/>
      <c r="I2504" s="37"/>
    </row>
    <row r="2505" spans="1:9" ht="21.95" customHeight="1" x14ac:dyDescent="0.15">
      <c r="A2505" s="17"/>
      <c r="B2505" s="37"/>
      <c r="C2505" s="37"/>
      <c r="D2505" s="37"/>
      <c r="E2505" s="15"/>
      <c r="F2505" s="37"/>
      <c r="G2505" s="17"/>
      <c r="H2505" s="38"/>
      <c r="I2505" s="37"/>
    </row>
    <row r="2506" spans="1:9" ht="21.95" customHeight="1" x14ac:dyDescent="0.15">
      <c r="A2506" s="17"/>
      <c r="B2506" s="37"/>
      <c r="C2506" s="37"/>
      <c r="D2506" s="37"/>
      <c r="E2506" s="15"/>
      <c r="F2506" s="37"/>
      <c r="G2506" s="17"/>
      <c r="H2506" s="38"/>
      <c r="I2506" s="37"/>
    </row>
    <row r="2507" spans="1:9" ht="21.95" customHeight="1" x14ac:dyDescent="0.15">
      <c r="A2507" s="17"/>
      <c r="B2507" s="37"/>
      <c r="C2507" s="37"/>
      <c r="E2507" s="15"/>
      <c r="G2507" s="17"/>
      <c r="H2507" s="38"/>
    </row>
    <row r="2508" spans="1:9" ht="21.95" customHeight="1" x14ac:dyDescent="0.15">
      <c r="A2508" s="17"/>
      <c r="B2508" s="37"/>
      <c r="C2508" s="37"/>
      <c r="E2508" s="15"/>
      <c r="G2508" s="17"/>
      <c r="H2508" s="38"/>
    </row>
    <row r="2509" spans="1:9" ht="21.95" customHeight="1" x14ac:dyDescent="0.15">
      <c r="A2509" s="17"/>
      <c r="B2509" s="37"/>
      <c r="C2509" s="37"/>
      <c r="E2509" s="15"/>
      <c r="F2509" s="37"/>
      <c r="G2509" s="13"/>
      <c r="H2509" s="38"/>
    </row>
    <row r="2510" spans="1:9" ht="21.95" customHeight="1" x14ac:dyDescent="0.15">
      <c r="A2510" s="17"/>
      <c r="B2510" s="37"/>
      <c r="C2510" s="37"/>
      <c r="E2510" s="15"/>
      <c r="F2510" s="37"/>
      <c r="G2510" s="13"/>
      <c r="H2510" s="38"/>
    </row>
    <row r="2511" spans="1:9" ht="21.95" customHeight="1" x14ac:dyDescent="0.15">
      <c r="A2511" s="17"/>
      <c r="B2511" s="37"/>
      <c r="C2511" s="37"/>
      <c r="D2511" s="37"/>
      <c r="E2511" s="15"/>
      <c r="F2511" s="37"/>
      <c r="G2511" s="13"/>
      <c r="H2511" s="38"/>
    </row>
    <row r="2512" spans="1:9" ht="21.95" customHeight="1" x14ac:dyDescent="0.15">
      <c r="A2512" s="17"/>
      <c r="B2512" s="37"/>
      <c r="C2512" s="37"/>
      <c r="D2512" s="37"/>
      <c r="E2512" s="15"/>
      <c r="F2512" s="37"/>
      <c r="G2512" s="13"/>
      <c r="H2512" s="38"/>
    </row>
    <row r="2513" spans="1:8" ht="21.95" customHeight="1" x14ac:dyDescent="0.15">
      <c r="A2513" s="17"/>
      <c r="B2513" s="37"/>
      <c r="C2513" s="37"/>
      <c r="D2513" s="37"/>
      <c r="E2513" s="15"/>
      <c r="F2513" s="37"/>
      <c r="G2513" s="13"/>
      <c r="H2513" s="38"/>
    </row>
    <row r="2514" spans="1:8" ht="21.95" customHeight="1" x14ac:dyDescent="0.15">
      <c r="A2514" s="17"/>
      <c r="B2514" s="37"/>
      <c r="C2514" s="37"/>
      <c r="D2514" s="37"/>
      <c r="E2514" s="15"/>
      <c r="F2514" s="37"/>
      <c r="G2514" s="13"/>
      <c r="H2514" s="38"/>
    </row>
    <row r="2515" spans="1:8" ht="21.95" customHeight="1" x14ac:dyDescent="0.15">
      <c r="A2515" s="17"/>
      <c r="B2515" s="37"/>
      <c r="C2515" s="37"/>
      <c r="D2515" s="37"/>
      <c r="E2515" s="15"/>
      <c r="F2515" s="37"/>
      <c r="G2515" s="13"/>
      <c r="H2515" s="38"/>
    </row>
    <row r="2516" spans="1:8" ht="21.95" customHeight="1" x14ac:dyDescent="0.15">
      <c r="A2516" s="17"/>
      <c r="B2516" s="37"/>
      <c r="C2516" s="37"/>
      <c r="D2516" s="37"/>
      <c r="E2516" s="15"/>
      <c r="F2516" s="37"/>
      <c r="G2516" s="13"/>
      <c r="H2516" s="38"/>
    </row>
    <row r="2517" spans="1:8" ht="21.95" customHeight="1" x14ac:dyDescent="0.15">
      <c r="A2517" s="17"/>
      <c r="B2517" s="37"/>
      <c r="C2517" s="37"/>
      <c r="D2517" s="37"/>
      <c r="E2517" s="15"/>
      <c r="F2517" s="37"/>
      <c r="G2517" s="13"/>
      <c r="H2517" s="38"/>
    </row>
    <row r="2518" spans="1:8" ht="21.95" customHeight="1" x14ac:dyDescent="0.15">
      <c r="A2518" s="17"/>
      <c r="B2518" s="37"/>
      <c r="C2518" s="37"/>
      <c r="D2518" s="37"/>
      <c r="E2518" s="15"/>
      <c r="F2518" s="37"/>
      <c r="G2518" s="13"/>
      <c r="H2518" s="38"/>
    </row>
    <row r="2519" spans="1:8" ht="21.95" customHeight="1" x14ac:dyDescent="0.15">
      <c r="A2519" s="17"/>
      <c r="B2519" s="37"/>
      <c r="C2519" s="37"/>
      <c r="D2519" s="37"/>
      <c r="E2519" s="15"/>
      <c r="F2519" s="37"/>
      <c r="G2519" s="13"/>
      <c r="H2519" s="38"/>
    </row>
    <row r="2520" spans="1:8" ht="21.95" customHeight="1" x14ac:dyDescent="0.15">
      <c r="A2520" s="17"/>
      <c r="B2520" s="37"/>
      <c r="C2520" s="37"/>
      <c r="D2520" s="37"/>
      <c r="E2520" s="15"/>
      <c r="F2520" s="37"/>
      <c r="G2520" s="13"/>
      <c r="H2520" s="15"/>
    </row>
    <row r="2521" spans="1:8" ht="21.95" customHeight="1" x14ac:dyDescent="0.15">
      <c r="A2521" s="17"/>
      <c r="B2521" s="37"/>
      <c r="C2521" s="37"/>
      <c r="D2521" s="37"/>
      <c r="E2521" s="15"/>
      <c r="F2521" s="37"/>
      <c r="G2521" s="13"/>
      <c r="H2521" s="15"/>
    </row>
    <row r="2522" spans="1:8" ht="21.95" customHeight="1" x14ac:dyDescent="0.15">
      <c r="A2522" s="17"/>
      <c r="B2522" s="37"/>
      <c r="C2522" s="37"/>
      <c r="D2522" s="37"/>
      <c r="E2522" s="15"/>
      <c r="F2522" s="37"/>
      <c r="G2522" s="13"/>
      <c r="H2522" s="15"/>
    </row>
    <row r="2523" spans="1:8" ht="21.95" customHeight="1" x14ac:dyDescent="0.15">
      <c r="A2523" s="17"/>
      <c r="B2523" s="37"/>
      <c r="C2523" s="37"/>
      <c r="D2523" s="37"/>
      <c r="E2523" s="15"/>
      <c r="F2523" s="37"/>
      <c r="G2523" s="13"/>
      <c r="H2523" s="15"/>
    </row>
    <row r="2524" spans="1:8" ht="21.95" customHeight="1" x14ac:dyDescent="0.15">
      <c r="A2524" s="17"/>
      <c r="B2524" s="37"/>
      <c r="C2524" s="37"/>
      <c r="D2524" s="37"/>
      <c r="E2524" s="15"/>
      <c r="F2524" s="37"/>
      <c r="G2524" s="13"/>
      <c r="H2524" s="15"/>
    </row>
    <row r="2525" spans="1:8" ht="21.95" customHeight="1" x14ac:dyDescent="0.15">
      <c r="A2525" s="17"/>
      <c r="B2525" s="37"/>
      <c r="C2525" s="37"/>
      <c r="D2525" s="37"/>
      <c r="E2525" s="15"/>
      <c r="F2525" s="37"/>
      <c r="G2525" s="13"/>
      <c r="H2525" s="15"/>
    </row>
    <row r="2526" spans="1:8" ht="21.95" customHeight="1" x14ac:dyDescent="0.15">
      <c r="A2526" s="17"/>
      <c r="B2526" s="37"/>
      <c r="C2526" s="37"/>
      <c r="D2526" s="37"/>
      <c r="E2526" s="15"/>
      <c r="F2526" s="37"/>
      <c r="G2526" s="13"/>
      <c r="H2526" s="15"/>
    </row>
    <row r="2527" spans="1:8" ht="21.95" customHeight="1" x14ac:dyDescent="0.15">
      <c r="A2527" s="17"/>
      <c r="B2527" s="37"/>
      <c r="C2527" s="37"/>
      <c r="D2527" s="37"/>
      <c r="E2527" s="15"/>
      <c r="F2527" s="37"/>
      <c r="G2527" s="13"/>
      <c r="H2527" s="15"/>
    </row>
    <row r="2528" spans="1:8" ht="21.95" customHeight="1" x14ac:dyDescent="0.15">
      <c r="A2528" s="17"/>
      <c r="B2528" s="37"/>
      <c r="C2528" s="37"/>
      <c r="D2528" s="37"/>
      <c r="E2528" s="15"/>
      <c r="F2528" s="37"/>
      <c r="G2528" s="13"/>
      <c r="H2528" s="15"/>
    </row>
    <row r="2529" spans="1:8" ht="21.95" customHeight="1" x14ac:dyDescent="0.15">
      <c r="A2529" s="17"/>
      <c r="B2529" s="37"/>
      <c r="C2529" s="37"/>
      <c r="D2529" s="37"/>
      <c r="E2529" s="15"/>
      <c r="F2529" s="37"/>
      <c r="G2529" s="13"/>
      <c r="H2529" s="15"/>
    </row>
    <row r="2530" spans="1:8" ht="21.95" customHeight="1" x14ac:dyDescent="0.15">
      <c r="A2530" s="17"/>
      <c r="B2530" s="37"/>
      <c r="C2530" s="37"/>
      <c r="D2530" s="37"/>
      <c r="E2530" s="15"/>
      <c r="F2530" s="37"/>
      <c r="G2530" s="13"/>
      <c r="H2530" s="15"/>
    </row>
    <row r="2531" spans="1:8" ht="21.95" customHeight="1" x14ac:dyDescent="0.15">
      <c r="A2531" s="17"/>
      <c r="B2531" s="37"/>
      <c r="C2531" s="37"/>
      <c r="D2531" s="37"/>
      <c r="E2531" s="15"/>
      <c r="F2531" s="37"/>
      <c r="G2531" s="13"/>
      <c r="H2531" s="15"/>
    </row>
    <row r="2532" spans="1:8" ht="21.95" customHeight="1" x14ac:dyDescent="0.15">
      <c r="A2532" s="17"/>
      <c r="B2532" s="37"/>
      <c r="C2532" s="37"/>
      <c r="D2532" s="37"/>
      <c r="E2532" s="15"/>
      <c r="F2532" s="37"/>
      <c r="G2532" s="13"/>
      <c r="H2532" s="15"/>
    </row>
    <row r="2533" spans="1:8" ht="21.95" customHeight="1" x14ac:dyDescent="0.15">
      <c r="A2533" s="17"/>
      <c r="B2533" s="37"/>
      <c r="C2533" s="37"/>
      <c r="D2533" s="37"/>
      <c r="E2533" s="15"/>
      <c r="F2533" s="37"/>
      <c r="G2533" s="13"/>
      <c r="H2533" s="15"/>
    </row>
    <row r="2534" spans="1:8" ht="21.95" customHeight="1" x14ac:dyDescent="0.15">
      <c r="A2534" s="17"/>
      <c r="B2534" s="37"/>
      <c r="C2534" s="37"/>
      <c r="D2534" s="37"/>
      <c r="E2534" s="15"/>
      <c r="F2534" s="37"/>
      <c r="G2534" s="13"/>
      <c r="H2534" s="15"/>
    </row>
    <row r="2535" spans="1:8" ht="21.95" customHeight="1" x14ac:dyDescent="0.15">
      <c r="A2535" s="17"/>
      <c r="B2535" s="37"/>
      <c r="C2535" s="37"/>
      <c r="D2535" s="37"/>
      <c r="E2535" s="15"/>
      <c r="F2535" s="37"/>
      <c r="G2535" s="13"/>
      <c r="H2535" s="15"/>
    </row>
    <row r="2536" spans="1:8" ht="21.95" customHeight="1" x14ac:dyDescent="0.15">
      <c r="A2536" s="17"/>
      <c r="B2536" s="37"/>
      <c r="C2536" s="37"/>
      <c r="D2536" s="37"/>
      <c r="E2536" s="15"/>
      <c r="F2536" s="37"/>
      <c r="G2536" s="13"/>
      <c r="H2536" s="15"/>
    </row>
    <row r="2537" spans="1:8" ht="21.95" customHeight="1" x14ac:dyDescent="0.15">
      <c r="A2537" s="17"/>
      <c r="B2537" s="37"/>
      <c r="C2537" s="37"/>
      <c r="D2537" s="37"/>
      <c r="E2537" s="15"/>
      <c r="F2537" s="37"/>
      <c r="G2537" s="13"/>
      <c r="H2537" s="15"/>
    </row>
    <row r="2538" spans="1:8" ht="21.95" customHeight="1" x14ac:dyDescent="0.15">
      <c r="A2538" s="17"/>
      <c r="B2538" s="37"/>
      <c r="C2538" s="37"/>
      <c r="D2538" s="37"/>
      <c r="E2538" s="15"/>
      <c r="F2538" s="37"/>
      <c r="G2538" s="37"/>
      <c r="H2538" s="15"/>
    </row>
    <row r="2539" spans="1:8" ht="21.95" customHeight="1" x14ac:dyDescent="0.15">
      <c r="A2539" s="17"/>
      <c r="B2539" s="37"/>
      <c r="C2539" s="37"/>
      <c r="D2539" s="37"/>
      <c r="E2539" s="15"/>
      <c r="F2539" s="37"/>
      <c r="G2539" s="13"/>
      <c r="H2539" s="15"/>
    </row>
    <row r="2540" spans="1:8" ht="21.95" customHeight="1" x14ac:dyDescent="0.15">
      <c r="A2540" s="17"/>
      <c r="B2540" s="37"/>
      <c r="C2540" s="37"/>
      <c r="D2540" s="37"/>
      <c r="E2540" s="15"/>
      <c r="F2540" s="37"/>
      <c r="G2540" s="13"/>
      <c r="H2540" s="15"/>
    </row>
    <row r="2541" spans="1:8" ht="21.95" customHeight="1" x14ac:dyDescent="0.15">
      <c r="A2541" s="17"/>
      <c r="B2541" s="37"/>
      <c r="C2541" s="37"/>
      <c r="D2541" s="37"/>
      <c r="E2541" s="15"/>
      <c r="F2541" s="37"/>
      <c r="G2541" s="13"/>
      <c r="H2541" s="15"/>
    </row>
    <row r="2542" spans="1:8" ht="21.95" customHeight="1" x14ac:dyDescent="0.15">
      <c r="A2542" s="17"/>
      <c r="B2542" s="37"/>
      <c r="C2542" s="37"/>
      <c r="D2542" s="37"/>
      <c r="E2542" s="15"/>
      <c r="F2542" s="37"/>
      <c r="G2542" s="13"/>
      <c r="H2542" s="15"/>
    </row>
    <row r="2543" spans="1:8" ht="21.95" customHeight="1" x14ac:dyDescent="0.15">
      <c r="A2543" s="17"/>
      <c r="B2543" s="37"/>
      <c r="C2543" s="37"/>
      <c r="D2543" s="37"/>
      <c r="E2543" s="15"/>
      <c r="F2543" s="37"/>
      <c r="G2543" s="13"/>
      <c r="H2543" s="15"/>
    </row>
    <row r="2544" spans="1:8" ht="21.95" customHeight="1" x14ac:dyDescent="0.15">
      <c r="A2544" s="17"/>
      <c r="B2544" s="37"/>
      <c r="C2544" s="37"/>
      <c r="D2544" s="37"/>
      <c r="E2544" s="15"/>
      <c r="F2544" s="37"/>
      <c r="G2544" s="13"/>
      <c r="H2544" s="15"/>
    </row>
    <row r="2545" spans="1:9" ht="21.95" customHeight="1" x14ac:dyDescent="0.15">
      <c r="A2545" s="17"/>
      <c r="B2545" s="37"/>
      <c r="C2545" s="37"/>
      <c r="D2545" s="37"/>
      <c r="E2545" s="15"/>
      <c r="F2545" s="37"/>
      <c r="G2545" s="13"/>
      <c r="H2545" s="15"/>
    </row>
    <row r="2546" spans="1:9" ht="21.95" customHeight="1" x14ac:dyDescent="0.15">
      <c r="A2546" s="17"/>
      <c r="B2546" s="37"/>
      <c r="C2546" s="37"/>
      <c r="D2546" s="37"/>
      <c r="E2546" s="15"/>
      <c r="F2546" s="37"/>
      <c r="G2546" s="13"/>
      <c r="H2546" s="15"/>
    </row>
    <row r="2547" spans="1:9" ht="21.95" customHeight="1" x14ac:dyDescent="0.15">
      <c r="A2547" s="17"/>
      <c r="B2547" s="37"/>
      <c r="C2547" s="37"/>
      <c r="D2547" s="37"/>
      <c r="E2547" s="15"/>
      <c r="F2547" s="37"/>
      <c r="G2547" s="13"/>
      <c r="H2547" s="15"/>
    </row>
    <row r="2548" spans="1:9" ht="21.95" customHeight="1" x14ac:dyDescent="0.15">
      <c r="A2548" s="17"/>
      <c r="B2548" s="37"/>
      <c r="C2548" s="37"/>
      <c r="D2548" s="37"/>
      <c r="E2548" s="15"/>
      <c r="F2548" s="37"/>
      <c r="G2548" s="13"/>
      <c r="H2548" s="15"/>
    </row>
    <row r="2549" spans="1:9" ht="21.95" customHeight="1" x14ac:dyDescent="0.15">
      <c r="A2549" s="17"/>
      <c r="B2549" s="37"/>
      <c r="C2549" s="37"/>
      <c r="D2549" s="37"/>
      <c r="E2549" s="15"/>
      <c r="F2549" s="37"/>
      <c r="G2549" s="13"/>
      <c r="H2549" s="15"/>
    </row>
    <row r="2550" spans="1:9" ht="21.95" customHeight="1" x14ac:dyDescent="0.15">
      <c r="A2550" s="17"/>
      <c r="B2550" s="37"/>
      <c r="C2550" s="37"/>
      <c r="D2550" s="37"/>
      <c r="E2550" s="15"/>
      <c r="F2550" s="37"/>
      <c r="G2550" s="13"/>
      <c r="H2550" s="15"/>
    </row>
    <row r="2551" spans="1:9" ht="21.95" customHeight="1" x14ac:dyDescent="0.15">
      <c r="A2551" s="17"/>
      <c r="B2551" s="37"/>
      <c r="C2551" s="37"/>
      <c r="D2551" s="37"/>
      <c r="E2551" s="15"/>
      <c r="F2551" s="37"/>
      <c r="G2551" s="13"/>
      <c r="H2551" s="38"/>
      <c r="I2551" s="84"/>
    </row>
    <row r="2552" spans="1:9" ht="21.95" customHeight="1" x14ac:dyDescent="0.15">
      <c r="A2552" s="17"/>
      <c r="B2552" s="37"/>
      <c r="C2552" s="37"/>
      <c r="D2552" s="37"/>
      <c r="E2552" s="15"/>
      <c r="F2552" s="37"/>
      <c r="G2552" s="13"/>
      <c r="H2552" s="15"/>
      <c r="I2552" s="84"/>
    </row>
    <row r="2553" spans="1:9" ht="35.1" customHeight="1" x14ac:dyDescent="0.15">
      <c r="A2553" s="17"/>
      <c r="B2553" s="37"/>
      <c r="C2553" s="37"/>
      <c r="D2553" s="37"/>
      <c r="E2553" s="15"/>
      <c r="F2553" s="15"/>
      <c r="G2553" s="37"/>
      <c r="H2553" s="15"/>
    </row>
    <row r="2554" spans="1:9" ht="21.95" customHeight="1" x14ac:dyDescent="0.15">
      <c r="A2554" s="17"/>
      <c r="B2554" s="37"/>
      <c r="C2554" s="37"/>
      <c r="D2554" s="37"/>
      <c r="E2554" s="15"/>
      <c r="F2554" s="37"/>
      <c r="G2554" s="13"/>
      <c r="H2554" s="15"/>
    </row>
    <row r="2555" spans="1:9" ht="21.95" customHeight="1" x14ac:dyDescent="0.15">
      <c r="A2555" s="17"/>
      <c r="B2555" s="37"/>
      <c r="C2555" s="37"/>
      <c r="D2555" s="37"/>
      <c r="E2555" s="15"/>
      <c r="F2555" s="37"/>
      <c r="G2555" s="13"/>
      <c r="H2555" s="15"/>
    </row>
    <row r="2556" spans="1:9" ht="21.95" customHeight="1" x14ac:dyDescent="0.15">
      <c r="A2556" s="17"/>
      <c r="B2556" s="37"/>
      <c r="C2556" s="37"/>
      <c r="D2556" s="37"/>
      <c r="E2556" s="15"/>
      <c r="F2556" s="37"/>
      <c r="G2556" s="13"/>
      <c r="H2556" s="15"/>
    </row>
    <row r="2557" spans="1:9" ht="21.95" customHeight="1" x14ac:dyDescent="0.15">
      <c r="A2557" s="17"/>
      <c r="B2557" s="37"/>
      <c r="C2557" s="37"/>
      <c r="D2557" s="37"/>
      <c r="E2557" s="15"/>
      <c r="F2557" s="37"/>
      <c r="G2557" s="13"/>
      <c r="H2557" s="15"/>
    </row>
    <row r="2558" spans="1:9" ht="21.95" customHeight="1" x14ac:dyDescent="0.15">
      <c r="A2558" s="17"/>
      <c r="B2558" s="37"/>
      <c r="C2558" s="37"/>
      <c r="D2558" s="37"/>
      <c r="E2558" s="15"/>
      <c r="F2558" s="37"/>
      <c r="G2558" s="13"/>
      <c r="H2558" s="15"/>
    </row>
    <row r="2559" spans="1:9" ht="21.95" customHeight="1" x14ac:dyDescent="0.15">
      <c r="A2559" s="17"/>
      <c r="B2559" s="37"/>
      <c r="C2559" s="37"/>
      <c r="D2559" s="37"/>
      <c r="E2559" s="15"/>
      <c r="F2559" s="37"/>
      <c r="G2559" s="13"/>
      <c r="H2559" s="15"/>
      <c r="I2559" s="37"/>
    </row>
    <row r="2560" spans="1:9" ht="21.95" customHeight="1" x14ac:dyDescent="0.15">
      <c r="A2560" s="17"/>
      <c r="B2560" s="37"/>
      <c r="C2560" s="37"/>
      <c r="D2560" s="37"/>
      <c r="E2560" s="15"/>
      <c r="F2560" s="37"/>
      <c r="G2560" s="37"/>
      <c r="H2560" s="15"/>
      <c r="I2560" s="37"/>
    </row>
    <row r="2561" spans="1:9" ht="21.95" customHeight="1" x14ac:dyDescent="0.15">
      <c r="A2561" s="17"/>
      <c r="B2561" s="37"/>
      <c r="C2561" s="37"/>
      <c r="D2561" s="37"/>
      <c r="E2561" s="15"/>
      <c r="F2561" s="37"/>
      <c r="G2561" s="37"/>
      <c r="H2561" s="38"/>
      <c r="I2561" s="37"/>
    </row>
    <row r="2562" spans="1:9" ht="21.95" customHeight="1" x14ac:dyDescent="0.15">
      <c r="A2562" s="17"/>
      <c r="B2562" s="37"/>
      <c r="C2562" s="37"/>
      <c r="D2562" s="37"/>
      <c r="E2562" s="15"/>
      <c r="F2562" s="37"/>
      <c r="G2562" s="37"/>
      <c r="H2562" s="38"/>
      <c r="I2562" s="37"/>
    </row>
    <row r="2563" spans="1:9" ht="21.95" customHeight="1" x14ac:dyDescent="0.15">
      <c r="A2563" s="17"/>
      <c r="B2563" s="37"/>
      <c r="C2563" s="37"/>
      <c r="D2563" s="37"/>
      <c r="E2563" s="15"/>
      <c r="F2563" s="37"/>
      <c r="G2563" s="13"/>
      <c r="H2563" s="15"/>
      <c r="I2563" s="37"/>
    </row>
    <row r="2564" spans="1:9" ht="21.95" customHeight="1" x14ac:dyDescent="0.15">
      <c r="A2564" s="17"/>
      <c r="B2564" s="37"/>
      <c r="C2564" s="37"/>
      <c r="D2564" s="37"/>
      <c r="E2564" s="15"/>
      <c r="F2564" s="37"/>
      <c r="G2564" s="13"/>
      <c r="H2564" s="15"/>
      <c r="I2564" s="37"/>
    </row>
    <row r="2565" spans="1:9" ht="21.95" customHeight="1" x14ac:dyDescent="0.15">
      <c r="A2565" s="17"/>
      <c r="B2565" s="37"/>
      <c r="C2565" s="37"/>
      <c r="D2565" s="37"/>
      <c r="E2565" s="15"/>
      <c r="F2565" s="37"/>
      <c r="G2565" s="13"/>
      <c r="H2565" s="15"/>
      <c r="I2565" s="37"/>
    </row>
    <row r="2566" spans="1:9" ht="21.95" customHeight="1" x14ac:dyDescent="0.15">
      <c r="A2566" s="17"/>
      <c r="B2566" s="37"/>
      <c r="C2566" s="37"/>
      <c r="E2566" s="15"/>
      <c r="F2566" s="37"/>
      <c r="H2566" s="38"/>
    </row>
    <row r="2567" spans="1:9" ht="21.95" customHeight="1" x14ac:dyDescent="0.15">
      <c r="A2567" s="17"/>
      <c r="B2567" s="37"/>
      <c r="C2567" s="37"/>
      <c r="E2567" s="15"/>
      <c r="F2567" s="37"/>
    </row>
    <row r="2568" spans="1:9" ht="21.95" customHeight="1" x14ac:dyDescent="0.15">
      <c r="A2568" s="17"/>
      <c r="B2568" s="37"/>
      <c r="C2568" s="37"/>
      <c r="E2568" s="15"/>
      <c r="G2568" s="77"/>
    </row>
    <row r="2569" spans="1:9" ht="21.95" customHeight="1" x14ac:dyDescent="0.15">
      <c r="A2569" s="17"/>
      <c r="B2569" s="37"/>
      <c r="C2569" s="37"/>
      <c r="D2569" s="37"/>
      <c r="E2569" s="15"/>
      <c r="F2569" s="37"/>
      <c r="G2569" s="37"/>
      <c r="H2569" s="15"/>
    </row>
    <row r="2570" spans="1:9" ht="21.95" customHeight="1" x14ac:dyDescent="0.15">
      <c r="A2570" s="17"/>
      <c r="B2570" s="37"/>
      <c r="C2570" s="37"/>
      <c r="D2570" s="37"/>
      <c r="E2570" s="15"/>
      <c r="F2570" s="37"/>
      <c r="G2570" s="13"/>
      <c r="H2570" s="15"/>
    </row>
    <row r="2571" spans="1:9" ht="21.95" customHeight="1" x14ac:dyDescent="0.15">
      <c r="A2571" s="17"/>
      <c r="B2571" s="37"/>
      <c r="C2571" s="37"/>
      <c r="D2571" s="37"/>
      <c r="E2571" s="15"/>
      <c r="F2571" s="37"/>
      <c r="G2571" s="13"/>
      <c r="H2571" s="15"/>
    </row>
    <row r="2572" spans="1:9" ht="21.95" customHeight="1" x14ac:dyDescent="0.15">
      <c r="A2572" s="17"/>
      <c r="C2572" s="37"/>
    </row>
    <row r="2573" spans="1:9" ht="21.95" customHeight="1" x14ac:dyDescent="0.15">
      <c r="A2573" s="17"/>
      <c r="B2573" s="37"/>
      <c r="C2573" s="37"/>
      <c r="D2573" s="13"/>
      <c r="E2573" s="15"/>
      <c r="F2573" s="37"/>
      <c r="G2573" s="13"/>
      <c r="H2573" s="15"/>
      <c r="I2573" s="13"/>
    </row>
    <row r="2574" spans="1:9" ht="21.95" customHeight="1" x14ac:dyDescent="0.15">
      <c r="A2574" s="17"/>
      <c r="B2574" s="13"/>
      <c r="C2574" s="13"/>
      <c r="D2574" s="13"/>
      <c r="E2574" s="15"/>
      <c r="F2574" s="37"/>
      <c r="G2574" s="13"/>
      <c r="H2574" s="15"/>
      <c r="I2574" s="13"/>
    </row>
    <row r="2575" spans="1:9" ht="21.95" customHeight="1" x14ac:dyDescent="0.15">
      <c r="A2575" s="17"/>
      <c r="B2575" s="13"/>
      <c r="C2575" s="13"/>
      <c r="D2575" s="13"/>
      <c r="E2575" s="15"/>
      <c r="F2575" s="37"/>
      <c r="G2575" s="13"/>
      <c r="H2575" s="15"/>
      <c r="I2575" s="13"/>
    </row>
    <row r="2576" spans="1:9" ht="21.95" customHeight="1" x14ac:dyDescent="0.15">
      <c r="A2576" s="17"/>
      <c r="B2576" s="13"/>
      <c r="C2576" s="13"/>
      <c r="D2576" s="13"/>
      <c r="E2576" s="15"/>
      <c r="F2576" s="37"/>
      <c r="G2576" s="13"/>
      <c r="H2576" s="15"/>
      <c r="I2576" s="13"/>
    </row>
    <row r="2577" spans="1:9" customFormat="1" ht="21.95" customHeight="1" x14ac:dyDescent="0.15">
      <c r="A2577" s="17"/>
      <c r="B2577" s="40"/>
      <c r="C2577" s="40"/>
      <c r="D2577" s="40"/>
      <c r="E2577" s="38"/>
      <c r="F2577" s="85"/>
      <c r="G2577" s="40"/>
      <c r="H2577" s="38"/>
      <c r="I2577" s="40"/>
    </row>
    <row r="2578" spans="1:9" customFormat="1" ht="21.95" customHeight="1" x14ac:dyDescent="0.15">
      <c r="A2578" s="17"/>
      <c r="B2578" s="37"/>
      <c r="C2578" s="37"/>
      <c r="D2578" s="40"/>
      <c r="E2578" s="15"/>
      <c r="F2578" s="85"/>
      <c r="G2578" s="42"/>
      <c r="H2578" s="38"/>
      <c r="I2578" s="56"/>
    </row>
    <row r="2579" spans="1:9" customFormat="1" ht="21.95" customHeight="1" x14ac:dyDescent="0.15">
      <c r="A2579" s="17"/>
      <c r="B2579" s="37"/>
      <c r="C2579" s="95"/>
      <c r="D2579" s="40"/>
      <c r="E2579" s="15"/>
      <c r="F2579" s="85"/>
      <c r="G2579" s="42"/>
      <c r="H2579" s="38"/>
      <c r="I2579" s="56"/>
    </row>
    <row r="2580" spans="1:9" customFormat="1" ht="21.95" customHeight="1" x14ac:dyDescent="0.15">
      <c r="A2580" s="17"/>
      <c r="B2580" s="37"/>
      <c r="C2580" s="95"/>
      <c r="D2580" s="40"/>
      <c r="E2580" s="15"/>
      <c r="F2580" s="85"/>
      <c r="G2580" s="17"/>
      <c r="H2580" s="38"/>
      <c r="I2580" s="56"/>
    </row>
    <row r="2581" spans="1:9" customFormat="1" ht="21.95" customHeight="1" x14ac:dyDescent="0.15">
      <c r="A2581" s="17"/>
      <c r="B2581" s="37"/>
      <c r="C2581" s="37"/>
      <c r="D2581" s="40"/>
      <c r="E2581" s="15"/>
      <c r="F2581" s="85"/>
      <c r="G2581" s="42"/>
      <c r="H2581" s="38"/>
      <c r="I2581" s="56"/>
    </row>
    <row r="2582" spans="1:9" customFormat="1" ht="21.95" customHeight="1" x14ac:dyDescent="0.15">
      <c r="A2582" s="17"/>
      <c r="B2582" s="37"/>
      <c r="C2582" s="37"/>
      <c r="D2582" s="40"/>
      <c r="E2582" s="15"/>
      <c r="F2582" s="85"/>
      <c r="G2582" s="17"/>
      <c r="H2582" s="38"/>
      <c r="I2582" s="56"/>
    </row>
    <row r="2583" spans="1:9" customFormat="1" ht="21.95" customHeight="1" x14ac:dyDescent="0.15">
      <c r="A2583" s="17"/>
      <c r="B2583" s="37"/>
      <c r="C2583" s="37"/>
      <c r="D2583" s="40"/>
      <c r="E2583" s="15"/>
      <c r="F2583" s="85"/>
      <c r="G2583" s="42"/>
      <c r="H2583" s="38"/>
      <c r="I2583" s="56"/>
    </row>
    <row r="2584" spans="1:9" customFormat="1" ht="21.95" customHeight="1" x14ac:dyDescent="0.15">
      <c r="A2584" s="17"/>
      <c r="B2584" s="37"/>
      <c r="C2584" s="37"/>
      <c r="D2584" s="40"/>
      <c r="E2584" s="15"/>
      <c r="F2584" s="85"/>
      <c r="G2584" s="17"/>
      <c r="H2584" s="38"/>
      <c r="I2584" s="56"/>
    </row>
    <row r="2585" spans="1:9" customFormat="1" ht="21.95" customHeight="1" x14ac:dyDescent="0.15">
      <c r="A2585" s="17"/>
      <c r="B2585" s="37"/>
      <c r="C2585" s="37"/>
      <c r="D2585" s="40"/>
      <c r="E2585" s="15"/>
      <c r="F2585" s="85"/>
      <c r="G2585" s="42"/>
      <c r="H2585" s="38"/>
      <c r="I2585" s="56"/>
    </row>
    <row r="2586" spans="1:9" customFormat="1" ht="21.95" customHeight="1" x14ac:dyDescent="0.15">
      <c r="A2586" s="17"/>
      <c r="B2586" s="37"/>
      <c r="C2586" s="37"/>
      <c r="D2586" s="40"/>
      <c r="E2586" s="15"/>
      <c r="F2586" s="85"/>
      <c r="G2586" s="17"/>
      <c r="H2586" s="38"/>
      <c r="I2586" s="56"/>
    </row>
    <row r="2587" spans="1:9" customFormat="1" ht="21.95" customHeight="1" x14ac:dyDescent="0.15">
      <c r="A2587" s="17"/>
      <c r="B2587" s="37"/>
      <c r="C2587" s="37"/>
      <c r="D2587" s="40"/>
      <c r="E2587" s="15"/>
      <c r="F2587" s="85"/>
      <c r="G2587" s="42"/>
      <c r="H2587" s="38"/>
      <c r="I2587" s="56"/>
    </row>
    <row r="2588" spans="1:9" ht="21.95" customHeight="1" x14ac:dyDescent="0.15">
      <c r="A2588" s="17"/>
      <c r="B2588" s="37"/>
      <c r="C2588" s="37"/>
      <c r="D2588" s="37"/>
      <c r="E2588" s="15"/>
      <c r="F2588" s="85"/>
      <c r="G2588" s="17"/>
      <c r="H2588" s="38"/>
    </row>
    <row r="2589" spans="1:9" ht="21.95" customHeight="1" x14ac:dyDescent="0.15">
      <c r="A2589" s="17"/>
      <c r="B2589" s="37"/>
      <c r="C2589" s="37"/>
      <c r="D2589" s="37"/>
      <c r="E2589" s="15"/>
      <c r="F2589" s="85"/>
      <c r="H2589" s="38"/>
    </row>
    <row r="2590" spans="1:9" ht="21.95" customHeight="1" x14ac:dyDescent="0.15">
      <c r="A2590" s="17"/>
      <c r="B2590" s="37"/>
      <c r="C2590" s="37"/>
      <c r="D2590" s="37"/>
      <c r="E2590" s="15"/>
      <c r="F2590" s="85"/>
      <c r="H2590" s="38"/>
    </row>
    <row r="2591" spans="1:9" ht="21.95" customHeight="1" x14ac:dyDescent="0.15">
      <c r="A2591" s="17"/>
      <c r="B2591" s="37"/>
      <c r="C2591" s="37"/>
      <c r="D2591" s="37"/>
      <c r="E2591" s="15"/>
      <c r="F2591" s="85"/>
      <c r="G2591" s="17"/>
      <c r="H2591" s="38"/>
    </row>
    <row r="2592" spans="1:9" customFormat="1" ht="21.95" customHeight="1" x14ac:dyDescent="0.15">
      <c r="A2592" s="17"/>
      <c r="B2592" s="37"/>
      <c r="C2592" s="37"/>
      <c r="D2592" s="37"/>
      <c r="E2592" s="15"/>
      <c r="F2592" s="85"/>
      <c r="G2592" s="17"/>
      <c r="H2592" s="38"/>
      <c r="I2592" s="42"/>
    </row>
    <row r="2593" spans="1:9" customFormat="1" ht="21.95" customHeight="1" x14ac:dyDescent="0.15">
      <c r="A2593" s="17"/>
      <c r="B2593" s="37"/>
      <c r="C2593" s="37"/>
      <c r="D2593" s="37"/>
      <c r="E2593" s="15"/>
      <c r="F2593" s="85"/>
      <c r="G2593" s="17"/>
      <c r="H2593" s="38"/>
      <c r="I2593" s="42"/>
    </row>
    <row r="2594" spans="1:9" customFormat="1" ht="21.95" customHeight="1" x14ac:dyDescent="0.15">
      <c r="A2594" s="17"/>
      <c r="B2594" s="37"/>
      <c r="C2594" s="37"/>
      <c r="D2594" s="37"/>
      <c r="E2594" s="15"/>
      <c r="F2594" s="85"/>
      <c r="G2594" s="17"/>
      <c r="H2594" s="38"/>
      <c r="I2594" s="42"/>
    </row>
    <row r="2595" spans="1:9" customFormat="1" ht="21.95" customHeight="1" x14ac:dyDescent="0.15">
      <c r="A2595" s="17"/>
      <c r="B2595" s="37"/>
      <c r="C2595" s="37"/>
      <c r="D2595" s="37"/>
      <c r="E2595" s="15"/>
      <c r="F2595" s="85"/>
      <c r="G2595" s="17"/>
      <c r="H2595" s="38"/>
      <c r="I2595" s="42"/>
    </row>
    <row r="2596" spans="1:9" customFormat="1" ht="21.95" customHeight="1" x14ac:dyDescent="0.15">
      <c r="A2596" s="17"/>
      <c r="B2596" s="37"/>
      <c r="C2596" s="37"/>
      <c r="D2596" s="37"/>
      <c r="E2596" s="15"/>
      <c r="F2596" s="85"/>
      <c r="G2596" s="17"/>
      <c r="H2596" s="38"/>
      <c r="I2596" s="42"/>
    </row>
    <row r="2597" spans="1:9" customFormat="1" ht="21.95" customHeight="1" x14ac:dyDescent="0.15">
      <c r="A2597" s="17"/>
      <c r="B2597" s="37"/>
      <c r="C2597" s="37"/>
      <c r="D2597" s="37"/>
      <c r="E2597" s="15"/>
      <c r="F2597" s="85"/>
      <c r="G2597" s="17"/>
      <c r="H2597" s="38"/>
      <c r="I2597" s="42"/>
    </row>
    <row r="2598" spans="1:9" customFormat="1" ht="21.95" customHeight="1" x14ac:dyDescent="0.15">
      <c r="A2598" s="17"/>
      <c r="B2598" s="37"/>
      <c r="C2598" s="37"/>
      <c r="D2598" s="37"/>
      <c r="E2598" s="15"/>
      <c r="F2598" s="85"/>
      <c r="G2598" s="17"/>
      <c r="H2598" s="38"/>
      <c r="I2598" s="42"/>
    </row>
    <row r="2599" spans="1:9" customFormat="1" ht="21.95" customHeight="1" x14ac:dyDescent="0.15">
      <c r="A2599" s="17"/>
      <c r="B2599" s="37"/>
      <c r="C2599" s="37"/>
      <c r="D2599" s="37"/>
      <c r="E2599" s="15"/>
      <c r="F2599" s="85"/>
      <c r="G2599" s="17"/>
      <c r="H2599" s="38"/>
      <c r="I2599" s="42"/>
    </row>
    <row r="2600" spans="1:9" customFormat="1" ht="21.95" customHeight="1" x14ac:dyDescent="0.15">
      <c r="A2600" s="17"/>
      <c r="B2600" s="37"/>
      <c r="C2600" s="37"/>
      <c r="D2600" s="37"/>
      <c r="E2600" s="15"/>
      <c r="F2600" s="85"/>
      <c r="G2600" s="17"/>
      <c r="H2600" s="38"/>
      <c r="I2600" s="42"/>
    </row>
    <row r="2601" spans="1:9" customFormat="1" ht="21.95" customHeight="1" x14ac:dyDescent="0.15">
      <c r="A2601" s="17"/>
      <c r="B2601" s="37"/>
      <c r="C2601" s="37"/>
      <c r="D2601" s="37"/>
      <c r="E2601" s="15"/>
      <c r="F2601" s="85"/>
      <c r="G2601" s="17"/>
      <c r="H2601" s="38"/>
      <c r="I2601" s="56"/>
    </row>
    <row r="2602" spans="1:9" customFormat="1" ht="21.95" customHeight="1" x14ac:dyDescent="0.15">
      <c r="A2602" s="17"/>
      <c r="B2602" s="37"/>
      <c r="C2602" s="37"/>
      <c r="D2602" s="37"/>
      <c r="E2602" s="15"/>
      <c r="F2602" s="85"/>
      <c r="G2602" s="17"/>
      <c r="H2602" s="38"/>
      <c r="I2602" s="56"/>
    </row>
    <row r="2603" spans="1:9" customFormat="1" ht="32.1" customHeight="1" x14ac:dyDescent="0.15">
      <c r="A2603" s="17"/>
      <c r="B2603" s="37"/>
      <c r="C2603" s="37"/>
      <c r="D2603" s="37"/>
      <c r="E2603" s="15"/>
      <c r="F2603" s="85"/>
      <c r="G2603" s="17"/>
      <c r="H2603" s="38"/>
      <c r="I2603" s="56"/>
    </row>
    <row r="2604" spans="1:9" customFormat="1" ht="32.1" customHeight="1" x14ac:dyDescent="0.15">
      <c r="A2604" s="17"/>
      <c r="B2604" s="37"/>
      <c r="C2604" s="37"/>
      <c r="D2604" s="37"/>
      <c r="E2604" s="15"/>
      <c r="F2604" s="85"/>
      <c r="G2604" s="17"/>
      <c r="H2604" s="38"/>
      <c r="I2604" s="56"/>
    </row>
    <row r="2605" spans="1:9" customFormat="1" ht="32.1" customHeight="1" x14ac:dyDescent="0.15">
      <c r="A2605" s="17"/>
      <c r="B2605" s="37"/>
      <c r="C2605" s="37"/>
      <c r="D2605" s="37"/>
      <c r="E2605" s="15"/>
      <c r="F2605" s="85"/>
      <c r="G2605" s="17"/>
      <c r="H2605" s="38"/>
      <c r="I2605" s="56"/>
    </row>
    <row r="2606" spans="1:9" customFormat="1" ht="32.1" customHeight="1" x14ac:dyDescent="0.15">
      <c r="A2606" s="17"/>
      <c r="B2606" s="37"/>
      <c r="C2606" s="37"/>
      <c r="D2606" s="37"/>
      <c r="E2606" s="15"/>
      <c r="F2606" s="85"/>
      <c r="G2606" s="17"/>
      <c r="H2606" s="38"/>
      <c r="I2606" s="56"/>
    </row>
    <row r="2607" spans="1:9" customFormat="1" ht="32.1" customHeight="1" x14ac:dyDescent="0.15">
      <c r="A2607" s="17"/>
      <c r="B2607" s="37"/>
      <c r="C2607" s="37"/>
      <c r="D2607" s="37"/>
      <c r="E2607" s="15"/>
      <c r="F2607" s="85"/>
      <c r="G2607" s="17"/>
      <c r="H2607" s="38"/>
      <c r="I2607" s="56"/>
    </row>
    <row r="2608" spans="1:9" customFormat="1" ht="32.1" customHeight="1" x14ac:dyDescent="0.15">
      <c r="A2608" s="17"/>
      <c r="B2608" s="37"/>
      <c r="C2608" s="37"/>
      <c r="D2608" s="37"/>
      <c r="E2608" s="15"/>
      <c r="F2608" s="85"/>
      <c r="G2608" s="17"/>
      <c r="H2608" s="38"/>
      <c r="I2608" s="56"/>
    </row>
    <row r="2609" spans="1:9" ht="32.1" customHeight="1" x14ac:dyDescent="0.15">
      <c r="A2609" s="17"/>
      <c r="B2609" s="37"/>
      <c r="C2609" s="37"/>
      <c r="D2609" s="37"/>
      <c r="E2609" s="15"/>
      <c r="F2609" s="85"/>
      <c r="G2609" s="17"/>
      <c r="H2609" s="38"/>
      <c r="I2609" s="37"/>
    </row>
    <row r="2610" spans="1:9" ht="32.1" customHeight="1" x14ac:dyDescent="0.15">
      <c r="A2610" s="17"/>
      <c r="B2610" s="37"/>
      <c r="C2610" s="37"/>
      <c r="D2610" s="37"/>
      <c r="E2610" s="15"/>
      <c r="F2610" s="37"/>
      <c r="G2610" s="17"/>
      <c r="H2610" s="38"/>
      <c r="I2610" s="37"/>
    </row>
    <row r="2611" spans="1:9" ht="32.1" customHeight="1" x14ac:dyDescent="0.15">
      <c r="A2611" s="17"/>
      <c r="B2611" s="37"/>
      <c r="C2611" s="37"/>
      <c r="D2611" s="37"/>
      <c r="E2611" s="15"/>
      <c r="F2611" s="37"/>
      <c r="G2611" s="17"/>
      <c r="H2611" s="38"/>
      <c r="I2611" s="37"/>
    </row>
    <row r="2612" spans="1:9" ht="32.1" customHeight="1" x14ac:dyDescent="0.15">
      <c r="A2612" s="17"/>
      <c r="B2612" s="37"/>
      <c r="C2612" s="37"/>
      <c r="D2612" s="37"/>
      <c r="E2612" s="15"/>
      <c r="F2612" s="37"/>
      <c r="G2612" s="17"/>
      <c r="H2612" s="38"/>
      <c r="I2612" s="37"/>
    </row>
    <row r="2613" spans="1:9" ht="21.95" customHeight="1" x14ac:dyDescent="0.15">
      <c r="A2613" s="17"/>
      <c r="B2613" s="37"/>
      <c r="C2613" s="37"/>
      <c r="D2613" s="37"/>
      <c r="E2613" s="15"/>
      <c r="F2613" s="37"/>
      <c r="G2613" s="17"/>
      <c r="H2613" s="38"/>
      <c r="I2613" s="37"/>
    </row>
    <row r="2614" spans="1:9" ht="54" customHeight="1" x14ac:dyDescent="0.15">
      <c r="A2614" s="17"/>
      <c r="B2614" s="37"/>
      <c r="C2614" s="37"/>
      <c r="D2614" s="37"/>
      <c r="E2614" s="15"/>
      <c r="F2614" s="37"/>
      <c r="G2614" s="17"/>
      <c r="H2614" s="38"/>
      <c r="I2614" s="37"/>
    </row>
    <row r="2615" spans="1:9" ht="21.95" customHeight="1" x14ac:dyDescent="0.15">
      <c r="A2615" s="17"/>
      <c r="B2615" s="37"/>
      <c r="C2615" s="37"/>
      <c r="D2615" s="37"/>
      <c r="E2615" s="15"/>
      <c r="F2615" s="37"/>
      <c r="G2615" s="17"/>
      <c r="H2615" s="38"/>
      <c r="I2615" s="37"/>
    </row>
    <row r="2616" spans="1:9" ht="21.95" customHeight="1" x14ac:dyDescent="0.15">
      <c r="A2616" s="17"/>
      <c r="B2616" s="37"/>
      <c r="C2616" s="37"/>
      <c r="D2616" s="37"/>
      <c r="E2616" s="15"/>
      <c r="F2616" s="37"/>
      <c r="G2616" s="17"/>
      <c r="H2616" s="38"/>
      <c r="I2616" s="37"/>
    </row>
    <row r="2617" spans="1:9" ht="21.95" customHeight="1" x14ac:dyDescent="0.15">
      <c r="A2617" s="17"/>
      <c r="B2617" s="37"/>
      <c r="C2617" s="37"/>
      <c r="D2617" s="37"/>
      <c r="E2617" s="15"/>
      <c r="F2617" s="37"/>
      <c r="G2617" s="17"/>
      <c r="H2617" s="38"/>
      <c r="I2617" s="37"/>
    </row>
    <row r="2618" spans="1:9" ht="21.95" customHeight="1" x14ac:dyDescent="0.15">
      <c r="A2618" s="17"/>
      <c r="B2618" s="37"/>
      <c r="C2618" s="37"/>
      <c r="D2618" s="37"/>
      <c r="E2618" s="15"/>
      <c r="F2618" s="37"/>
      <c r="G2618" s="17"/>
      <c r="H2618" s="38"/>
      <c r="I2618" s="37"/>
    </row>
    <row r="2619" spans="1:9" ht="21.95" customHeight="1" x14ac:dyDescent="0.15">
      <c r="A2619" s="17"/>
      <c r="B2619" s="37"/>
      <c r="C2619" s="37"/>
      <c r="E2619" s="15"/>
      <c r="G2619" s="17"/>
      <c r="H2619" s="38"/>
    </row>
    <row r="2620" spans="1:9" ht="21.95" customHeight="1" x14ac:dyDescent="0.15">
      <c r="A2620" s="17"/>
      <c r="B2620" s="37"/>
      <c r="C2620" s="37"/>
      <c r="E2620" s="15"/>
      <c r="G2620" s="17"/>
      <c r="H2620" s="38"/>
    </row>
    <row r="2621" spans="1:9" ht="21.95" customHeight="1" x14ac:dyDescent="0.15">
      <c r="A2621" s="17"/>
      <c r="B2621" s="37"/>
      <c r="C2621" s="37"/>
      <c r="E2621" s="15"/>
      <c r="F2621" s="37"/>
      <c r="G2621" s="13"/>
      <c r="H2621" s="38"/>
    </row>
    <row r="2622" spans="1:9" ht="21.95" customHeight="1" x14ac:dyDescent="0.15">
      <c r="A2622" s="17"/>
      <c r="B2622" s="37"/>
      <c r="C2622" s="37"/>
      <c r="E2622" s="15"/>
      <c r="F2622" s="37"/>
      <c r="G2622" s="13"/>
      <c r="H2622" s="38"/>
    </row>
    <row r="2623" spans="1:9" ht="21.95" customHeight="1" x14ac:dyDescent="0.15">
      <c r="A2623" s="17"/>
      <c r="B2623" s="37"/>
      <c r="C2623" s="37"/>
      <c r="D2623" s="37"/>
      <c r="E2623" s="15"/>
      <c r="F2623" s="37"/>
      <c r="G2623" s="13"/>
      <c r="H2623" s="38"/>
    </row>
    <row r="2624" spans="1:9" ht="21.95" customHeight="1" x14ac:dyDescent="0.15">
      <c r="A2624" s="17"/>
      <c r="B2624" s="37"/>
      <c r="C2624" s="37"/>
      <c r="D2624" s="37"/>
      <c r="E2624" s="15"/>
      <c r="F2624" s="37"/>
      <c r="G2624" s="13"/>
      <c r="H2624" s="38"/>
    </row>
    <row r="2625" spans="1:8" ht="21.95" customHeight="1" x14ac:dyDescent="0.15">
      <c r="A2625" s="17"/>
      <c r="B2625" s="37"/>
      <c r="C2625" s="37"/>
      <c r="D2625" s="37"/>
      <c r="E2625" s="15"/>
      <c r="F2625" s="37"/>
      <c r="G2625" s="13"/>
      <c r="H2625" s="38"/>
    </row>
    <row r="2626" spans="1:8" ht="21.95" customHeight="1" x14ac:dyDescent="0.15">
      <c r="A2626" s="17"/>
      <c r="B2626" s="37"/>
      <c r="C2626" s="37"/>
      <c r="D2626" s="37"/>
      <c r="E2626" s="15"/>
      <c r="F2626" s="37"/>
      <c r="G2626" s="13"/>
      <c r="H2626" s="38"/>
    </row>
    <row r="2627" spans="1:8" ht="21.95" customHeight="1" x14ac:dyDescent="0.15">
      <c r="A2627" s="17"/>
      <c r="B2627" s="37"/>
      <c r="C2627" s="37"/>
      <c r="D2627" s="37"/>
      <c r="E2627" s="15"/>
      <c r="F2627" s="37"/>
      <c r="G2627" s="13"/>
      <c r="H2627" s="38"/>
    </row>
    <row r="2628" spans="1:8" ht="21.95" customHeight="1" x14ac:dyDescent="0.15">
      <c r="A2628" s="17"/>
      <c r="B2628" s="37"/>
      <c r="C2628" s="37"/>
      <c r="D2628" s="37"/>
      <c r="E2628" s="15"/>
      <c r="F2628" s="37"/>
      <c r="G2628" s="13"/>
      <c r="H2628" s="38"/>
    </row>
    <row r="2629" spans="1:8" ht="21.95" customHeight="1" x14ac:dyDescent="0.15">
      <c r="A2629" s="17"/>
      <c r="B2629" s="37"/>
      <c r="C2629" s="37"/>
      <c r="D2629" s="37"/>
      <c r="E2629" s="15"/>
      <c r="F2629" s="37"/>
      <c r="G2629" s="13"/>
      <c r="H2629" s="38"/>
    </row>
    <row r="2630" spans="1:8" ht="21.95" customHeight="1" x14ac:dyDescent="0.15">
      <c r="A2630" s="17"/>
      <c r="B2630" s="37"/>
      <c r="C2630" s="37"/>
      <c r="D2630" s="37"/>
      <c r="E2630" s="15"/>
      <c r="F2630" s="37"/>
      <c r="G2630" s="13"/>
      <c r="H2630" s="38"/>
    </row>
    <row r="2631" spans="1:8" ht="21.95" customHeight="1" x14ac:dyDescent="0.15">
      <c r="A2631" s="17"/>
      <c r="B2631" s="37"/>
      <c r="C2631" s="37"/>
      <c r="D2631" s="37"/>
      <c r="E2631" s="15"/>
      <c r="F2631" s="37"/>
      <c r="G2631" s="13"/>
      <c r="H2631" s="38"/>
    </row>
    <row r="2632" spans="1:8" ht="21.95" customHeight="1" x14ac:dyDescent="0.15">
      <c r="A2632" s="17"/>
      <c r="B2632" s="37"/>
      <c r="C2632" s="37"/>
      <c r="D2632" s="37"/>
      <c r="E2632" s="15"/>
      <c r="F2632" s="37"/>
      <c r="G2632" s="13"/>
      <c r="H2632" s="15"/>
    </row>
    <row r="2633" spans="1:8" ht="21.95" customHeight="1" x14ac:dyDescent="0.15">
      <c r="A2633" s="17"/>
      <c r="B2633" s="37"/>
      <c r="C2633" s="37"/>
      <c r="D2633" s="37"/>
      <c r="E2633" s="15"/>
      <c r="F2633" s="37"/>
      <c r="G2633" s="13"/>
      <c r="H2633" s="15"/>
    </row>
    <row r="2634" spans="1:8" ht="21.95" customHeight="1" x14ac:dyDescent="0.15">
      <c r="A2634" s="17"/>
      <c r="B2634" s="37"/>
      <c r="C2634" s="37"/>
      <c r="D2634" s="37"/>
      <c r="E2634" s="15"/>
      <c r="F2634" s="37"/>
      <c r="G2634" s="13"/>
      <c r="H2634" s="15"/>
    </row>
    <row r="2635" spans="1:8" ht="21.95" customHeight="1" x14ac:dyDescent="0.15">
      <c r="A2635" s="17"/>
      <c r="B2635" s="37"/>
      <c r="C2635" s="37"/>
      <c r="D2635" s="37"/>
      <c r="E2635" s="15"/>
      <c r="F2635" s="37"/>
      <c r="G2635" s="13"/>
      <c r="H2635" s="15"/>
    </row>
    <row r="2636" spans="1:8" ht="21.95" customHeight="1" x14ac:dyDescent="0.15">
      <c r="A2636" s="17"/>
      <c r="B2636" s="37"/>
      <c r="C2636" s="37"/>
      <c r="D2636" s="37"/>
      <c r="E2636" s="15"/>
      <c r="F2636" s="37"/>
      <c r="G2636" s="13"/>
      <c r="H2636" s="15"/>
    </row>
    <row r="2637" spans="1:8" ht="21.95" customHeight="1" x14ac:dyDescent="0.15">
      <c r="A2637" s="17"/>
      <c r="B2637" s="37"/>
      <c r="C2637" s="37"/>
      <c r="D2637" s="37"/>
      <c r="E2637" s="15"/>
      <c r="F2637" s="37"/>
      <c r="G2637" s="13"/>
      <c r="H2637" s="15"/>
    </row>
    <row r="2638" spans="1:8" ht="21.95" customHeight="1" x14ac:dyDescent="0.15">
      <c r="A2638" s="17"/>
      <c r="B2638" s="37"/>
      <c r="C2638" s="37"/>
      <c r="D2638" s="37"/>
      <c r="E2638" s="15"/>
      <c r="F2638" s="37"/>
      <c r="G2638" s="13"/>
      <c r="H2638" s="15"/>
    </row>
    <row r="2639" spans="1:8" ht="21.95" customHeight="1" x14ac:dyDescent="0.15">
      <c r="A2639" s="17"/>
      <c r="B2639" s="37"/>
      <c r="C2639" s="37"/>
      <c r="D2639" s="37"/>
      <c r="E2639" s="15"/>
      <c r="F2639" s="37"/>
      <c r="G2639" s="13"/>
      <c r="H2639" s="15"/>
    </row>
    <row r="2640" spans="1:8" ht="21.95" customHeight="1" x14ac:dyDescent="0.15">
      <c r="A2640" s="17"/>
      <c r="B2640" s="37"/>
      <c r="C2640" s="37"/>
      <c r="D2640" s="37"/>
      <c r="E2640" s="15"/>
      <c r="F2640" s="37"/>
      <c r="G2640" s="13"/>
      <c r="H2640" s="15"/>
    </row>
    <row r="2641" spans="1:8" ht="21.95" customHeight="1" x14ac:dyDescent="0.15">
      <c r="A2641" s="17"/>
      <c r="B2641" s="37"/>
      <c r="C2641" s="37"/>
      <c r="D2641" s="37"/>
      <c r="E2641" s="15"/>
      <c r="F2641" s="37"/>
      <c r="G2641" s="13"/>
      <c r="H2641" s="15"/>
    </row>
    <row r="2642" spans="1:8" ht="21.95" customHeight="1" x14ac:dyDescent="0.15">
      <c r="A2642" s="17"/>
      <c r="B2642" s="37"/>
      <c r="C2642" s="37"/>
      <c r="D2642" s="37"/>
      <c r="E2642" s="15"/>
      <c r="F2642" s="37"/>
      <c r="G2642" s="13"/>
      <c r="H2642" s="15"/>
    </row>
    <row r="2643" spans="1:8" ht="21.95" customHeight="1" x14ac:dyDescent="0.15">
      <c r="A2643" s="17"/>
      <c r="B2643" s="37"/>
      <c r="C2643" s="37"/>
      <c r="D2643" s="37"/>
      <c r="E2643" s="15"/>
      <c r="F2643" s="37"/>
      <c r="G2643" s="13"/>
      <c r="H2643" s="15"/>
    </row>
    <row r="2644" spans="1:8" ht="21.95" customHeight="1" x14ac:dyDescent="0.15">
      <c r="A2644" s="17"/>
      <c r="B2644" s="37"/>
      <c r="C2644" s="37"/>
      <c r="D2644" s="37"/>
      <c r="E2644" s="15"/>
      <c r="F2644" s="37"/>
      <c r="G2644" s="13"/>
      <c r="H2644" s="15"/>
    </row>
    <row r="2645" spans="1:8" ht="21.95" customHeight="1" x14ac:dyDescent="0.15">
      <c r="A2645" s="17"/>
      <c r="B2645" s="37"/>
      <c r="C2645" s="37"/>
      <c r="D2645" s="37"/>
      <c r="E2645" s="15"/>
      <c r="F2645" s="37"/>
      <c r="G2645" s="13"/>
      <c r="H2645" s="15"/>
    </row>
    <row r="2646" spans="1:8" ht="21.95" customHeight="1" x14ac:dyDescent="0.15">
      <c r="A2646" s="17"/>
      <c r="B2646" s="37"/>
      <c r="C2646" s="37"/>
      <c r="D2646" s="37"/>
      <c r="E2646" s="15"/>
      <c r="F2646" s="37"/>
      <c r="G2646" s="13"/>
      <c r="H2646" s="15"/>
    </row>
    <row r="2647" spans="1:8" ht="21.95" customHeight="1" x14ac:dyDescent="0.15">
      <c r="A2647" s="17"/>
      <c r="B2647" s="37"/>
      <c r="C2647" s="37"/>
      <c r="D2647" s="37"/>
      <c r="E2647" s="15"/>
      <c r="F2647" s="37"/>
      <c r="G2647" s="13"/>
      <c r="H2647" s="15"/>
    </row>
    <row r="2648" spans="1:8" ht="21.95" customHeight="1" x14ac:dyDescent="0.15">
      <c r="A2648" s="17"/>
      <c r="B2648" s="37"/>
      <c r="C2648" s="37"/>
      <c r="D2648" s="37"/>
      <c r="E2648" s="15"/>
      <c r="F2648" s="37"/>
      <c r="G2648" s="13"/>
      <c r="H2648" s="15"/>
    </row>
    <row r="2649" spans="1:8" ht="21.95" customHeight="1" x14ac:dyDescent="0.15">
      <c r="A2649" s="17"/>
      <c r="B2649" s="37"/>
      <c r="C2649" s="37"/>
      <c r="D2649" s="37"/>
      <c r="E2649" s="15"/>
      <c r="F2649" s="37"/>
      <c r="G2649" s="13"/>
      <c r="H2649" s="15"/>
    </row>
    <row r="2650" spans="1:8" ht="21.95" customHeight="1" x14ac:dyDescent="0.15">
      <c r="A2650" s="17"/>
      <c r="B2650" s="37"/>
      <c r="C2650" s="37"/>
      <c r="D2650" s="37"/>
      <c r="E2650" s="15"/>
      <c r="F2650" s="37"/>
      <c r="G2650" s="37"/>
      <c r="H2650" s="15"/>
    </row>
    <row r="2651" spans="1:8" ht="21.95" customHeight="1" x14ac:dyDescent="0.15">
      <c r="A2651" s="17"/>
      <c r="B2651" s="37"/>
      <c r="C2651" s="37"/>
      <c r="D2651" s="37"/>
      <c r="E2651" s="15"/>
      <c r="F2651" s="37"/>
      <c r="G2651" s="13"/>
      <c r="H2651" s="15"/>
    </row>
    <row r="2652" spans="1:8" ht="21.95" customHeight="1" x14ac:dyDescent="0.15">
      <c r="A2652" s="17"/>
      <c r="B2652" s="37"/>
      <c r="C2652" s="37"/>
      <c r="D2652" s="37"/>
      <c r="E2652" s="15"/>
      <c r="F2652" s="37"/>
      <c r="G2652" s="13"/>
      <c r="H2652" s="15"/>
    </row>
    <row r="2653" spans="1:8" ht="21.95" customHeight="1" x14ac:dyDescent="0.15">
      <c r="A2653" s="17"/>
      <c r="B2653" s="37"/>
      <c r="C2653" s="37"/>
      <c r="D2653" s="37"/>
      <c r="E2653" s="15"/>
      <c r="F2653" s="37"/>
      <c r="G2653" s="13"/>
      <c r="H2653" s="15"/>
    </row>
    <row r="2654" spans="1:8" ht="21.95" customHeight="1" x14ac:dyDescent="0.15">
      <c r="A2654" s="17"/>
      <c r="B2654" s="37"/>
      <c r="C2654" s="37"/>
      <c r="D2654" s="37"/>
      <c r="E2654" s="15"/>
      <c r="F2654" s="37"/>
      <c r="G2654" s="13"/>
      <c r="H2654" s="15"/>
    </row>
    <row r="2655" spans="1:8" ht="21.95" customHeight="1" x14ac:dyDescent="0.15">
      <c r="A2655" s="17"/>
      <c r="B2655" s="37"/>
      <c r="C2655" s="37"/>
      <c r="D2655" s="37"/>
      <c r="E2655" s="15"/>
      <c r="F2655" s="37"/>
      <c r="G2655" s="13"/>
      <c r="H2655" s="15"/>
    </row>
    <row r="2656" spans="1:8" ht="21.95" customHeight="1" x14ac:dyDescent="0.15">
      <c r="A2656" s="17"/>
      <c r="B2656" s="37"/>
      <c r="C2656" s="37"/>
      <c r="D2656" s="37"/>
      <c r="E2656" s="15"/>
      <c r="F2656" s="37"/>
      <c r="G2656" s="13"/>
      <c r="H2656" s="15"/>
    </row>
    <row r="2657" spans="1:9" ht="21.95" customHeight="1" x14ac:dyDescent="0.15">
      <c r="A2657" s="17"/>
      <c r="B2657" s="37"/>
      <c r="C2657" s="37"/>
      <c r="D2657" s="37"/>
      <c r="E2657" s="15"/>
      <c r="F2657" s="37"/>
      <c r="G2657" s="13"/>
      <c r="H2657" s="15"/>
    </row>
    <row r="2658" spans="1:9" ht="21.95" customHeight="1" x14ac:dyDescent="0.15">
      <c r="A2658" s="17"/>
      <c r="B2658" s="37"/>
      <c r="C2658" s="37"/>
      <c r="D2658" s="37"/>
      <c r="E2658" s="15"/>
      <c r="F2658" s="37"/>
      <c r="G2658" s="13"/>
      <c r="H2658" s="15"/>
    </row>
    <row r="2659" spans="1:9" ht="21.95" customHeight="1" x14ac:dyDescent="0.15">
      <c r="A2659" s="17"/>
      <c r="B2659" s="37"/>
      <c r="C2659" s="37"/>
      <c r="D2659" s="37"/>
      <c r="E2659" s="15"/>
      <c r="F2659" s="37"/>
      <c r="G2659" s="13"/>
      <c r="H2659" s="15"/>
    </row>
    <row r="2660" spans="1:9" ht="21.95" customHeight="1" x14ac:dyDescent="0.15">
      <c r="A2660" s="17"/>
      <c r="B2660" s="37"/>
      <c r="C2660" s="37"/>
      <c r="D2660" s="37"/>
      <c r="E2660" s="15"/>
      <c r="F2660" s="37"/>
      <c r="G2660" s="13"/>
      <c r="H2660" s="15"/>
    </row>
    <row r="2661" spans="1:9" ht="21.95" customHeight="1" x14ac:dyDescent="0.15">
      <c r="A2661" s="17"/>
      <c r="B2661" s="37"/>
      <c r="C2661" s="37"/>
      <c r="D2661" s="37"/>
      <c r="E2661" s="15"/>
      <c r="F2661" s="37"/>
      <c r="G2661" s="13"/>
      <c r="H2661" s="15"/>
    </row>
    <row r="2662" spans="1:9" ht="21.95" customHeight="1" x14ac:dyDescent="0.15">
      <c r="A2662" s="17"/>
      <c r="B2662" s="37"/>
      <c r="C2662" s="37"/>
      <c r="D2662" s="37"/>
      <c r="E2662" s="15"/>
      <c r="F2662" s="37"/>
      <c r="G2662" s="13"/>
      <c r="H2662" s="15"/>
    </row>
    <row r="2663" spans="1:9" ht="21.95" customHeight="1" x14ac:dyDescent="0.15">
      <c r="A2663" s="17"/>
      <c r="B2663" s="37"/>
      <c r="C2663" s="37"/>
      <c r="D2663" s="37"/>
      <c r="E2663" s="15"/>
      <c r="F2663" s="37"/>
      <c r="G2663" s="13"/>
      <c r="H2663" s="38"/>
      <c r="I2663" s="84"/>
    </row>
    <row r="2664" spans="1:9" ht="21.95" customHeight="1" x14ac:dyDescent="0.15">
      <c r="A2664" s="17"/>
      <c r="B2664" s="37"/>
      <c r="C2664" s="37"/>
      <c r="D2664" s="37"/>
      <c r="E2664" s="15"/>
      <c r="F2664" s="37"/>
      <c r="G2664" s="13"/>
      <c r="H2664" s="15"/>
      <c r="I2664" s="84"/>
    </row>
    <row r="2665" spans="1:9" ht="35.1" customHeight="1" x14ac:dyDescent="0.15">
      <c r="A2665" s="17"/>
      <c r="B2665" s="37"/>
      <c r="C2665" s="37"/>
      <c r="D2665" s="37"/>
      <c r="E2665" s="15"/>
      <c r="F2665" s="15"/>
      <c r="G2665" s="37"/>
      <c r="H2665" s="15"/>
    </row>
    <row r="2666" spans="1:9" ht="21.95" customHeight="1" x14ac:dyDescent="0.15">
      <c r="A2666" s="17"/>
      <c r="B2666" s="37"/>
      <c r="C2666" s="37"/>
      <c r="D2666" s="37"/>
      <c r="E2666" s="15"/>
      <c r="F2666" s="37"/>
      <c r="G2666" s="13"/>
      <c r="H2666" s="15"/>
    </row>
    <row r="2667" spans="1:9" ht="21.95" customHeight="1" x14ac:dyDescent="0.15">
      <c r="A2667" s="17"/>
      <c r="B2667" s="37"/>
      <c r="C2667" s="37"/>
      <c r="D2667" s="37"/>
      <c r="E2667" s="15"/>
      <c r="F2667" s="37"/>
      <c r="G2667" s="13"/>
      <c r="H2667" s="15"/>
    </row>
    <row r="2668" spans="1:9" ht="21.95" customHeight="1" x14ac:dyDescent="0.15">
      <c r="A2668" s="17"/>
      <c r="B2668" s="37"/>
      <c r="C2668" s="37"/>
      <c r="D2668" s="37"/>
      <c r="E2668" s="15"/>
      <c r="F2668" s="37"/>
      <c r="G2668" s="13"/>
      <c r="H2668" s="15"/>
    </row>
    <row r="2669" spans="1:9" ht="21.95" customHeight="1" x14ac:dyDescent="0.15">
      <c r="A2669" s="17"/>
      <c r="B2669" s="37"/>
      <c r="C2669" s="37"/>
      <c r="D2669" s="37"/>
      <c r="E2669" s="15"/>
      <c r="F2669" s="37"/>
      <c r="G2669" s="13"/>
      <c r="H2669" s="15"/>
    </row>
    <row r="2670" spans="1:9" ht="21.95" customHeight="1" x14ac:dyDescent="0.15">
      <c r="A2670" s="17"/>
      <c r="B2670" s="37"/>
      <c r="C2670" s="37"/>
      <c r="D2670" s="37"/>
      <c r="E2670" s="15"/>
      <c r="F2670" s="37"/>
      <c r="G2670" s="13"/>
      <c r="H2670" s="15"/>
    </row>
    <row r="2671" spans="1:9" ht="21.95" customHeight="1" x14ac:dyDescent="0.15">
      <c r="A2671" s="17"/>
      <c r="B2671" s="37"/>
      <c r="C2671" s="37"/>
      <c r="D2671" s="37"/>
      <c r="E2671" s="15"/>
      <c r="F2671" s="37"/>
      <c r="G2671" s="13"/>
      <c r="H2671" s="15"/>
      <c r="I2671" s="37"/>
    </row>
    <row r="2672" spans="1:9" ht="21.95" customHeight="1" x14ac:dyDescent="0.15">
      <c r="A2672" s="17"/>
      <c r="B2672" s="37"/>
      <c r="C2672" s="37"/>
      <c r="D2672" s="37"/>
      <c r="E2672" s="15"/>
      <c r="F2672" s="37"/>
      <c r="G2672" s="37"/>
      <c r="H2672" s="15"/>
      <c r="I2672" s="37"/>
    </row>
    <row r="2673" spans="1:9" ht="21.95" customHeight="1" x14ac:dyDescent="0.15">
      <c r="A2673" s="17"/>
      <c r="B2673" s="37"/>
      <c r="C2673" s="37"/>
      <c r="D2673" s="37"/>
      <c r="E2673" s="15"/>
      <c r="F2673" s="37"/>
      <c r="G2673" s="37"/>
      <c r="H2673" s="38"/>
      <c r="I2673" s="37"/>
    </row>
    <row r="2674" spans="1:9" ht="21.95" customHeight="1" x14ac:dyDescent="0.15">
      <c r="A2674" s="17"/>
      <c r="B2674" s="37"/>
      <c r="C2674" s="37"/>
      <c r="D2674" s="37"/>
      <c r="E2674" s="15"/>
      <c r="F2674" s="37"/>
      <c r="G2674" s="37"/>
      <c r="H2674" s="38"/>
      <c r="I2674" s="37"/>
    </row>
    <row r="2675" spans="1:9" ht="21.95" customHeight="1" x14ac:dyDescent="0.15">
      <c r="A2675" s="17"/>
      <c r="B2675" s="37"/>
      <c r="C2675" s="37"/>
      <c r="D2675" s="37"/>
      <c r="E2675" s="15"/>
      <c r="F2675" s="37"/>
      <c r="G2675" s="13"/>
      <c r="H2675" s="15"/>
      <c r="I2675" s="37"/>
    </row>
    <row r="2676" spans="1:9" ht="21.95" customHeight="1" x14ac:dyDescent="0.15">
      <c r="A2676" s="17"/>
      <c r="B2676" s="37"/>
      <c r="C2676" s="37"/>
      <c r="D2676" s="37"/>
      <c r="E2676" s="15"/>
      <c r="F2676" s="37"/>
      <c r="G2676" s="13"/>
      <c r="H2676" s="15"/>
      <c r="I2676" s="37"/>
    </row>
    <row r="2677" spans="1:9" ht="21.95" customHeight="1" x14ac:dyDescent="0.15">
      <c r="A2677" s="17"/>
      <c r="B2677" s="37"/>
      <c r="C2677" s="37"/>
      <c r="D2677" s="37"/>
      <c r="E2677" s="15"/>
      <c r="F2677" s="37"/>
      <c r="G2677" s="13"/>
      <c r="H2677" s="15"/>
      <c r="I2677" s="37"/>
    </row>
    <row r="2678" spans="1:9" ht="21.95" customHeight="1" x14ac:dyDescent="0.15">
      <c r="A2678" s="17"/>
      <c r="B2678" s="37"/>
      <c r="C2678" s="37"/>
      <c r="E2678" s="15"/>
      <c r="F2678" s="37"/>
      <c r="H2678" s="38"/>
    </row>
    <row r="2679" spans="1:9" ht="21.95" customHeight="1" x14ac:dyDescent="0.15">
      <c r="A2679" s="17"/>
      <c r="B2679" s="37"/>
      <c r="C2679" s="37"/>
      <c r="E2679" s="15"/>
      <c r="F2679" s="37"/>
    </row>
    <row r="2680" spans="1:9" ht="21.95" customHeight="1" x14ac:dyDescent="0.15">
      <c r="A2680" s="17"/>
      <c r="B2680" s="37"/>
      <c r="C2680" s="37"/>
      <c r="E2680" s="15"/>
      <c r="G2680" s="77"/>
    </row>
    <row r="2681" spans="1:9" ht="21.95" customHeight="1" x14ac:dyDescent="0.15">
      <c r="A2681" s="17"/>
      <c r="B2681" s="37"/>
      <c r="C2681" s="37"/>
      <c r="D2681" s="37"/>
      <c r="E2681" s="15"/>
      <c r="F2681" s="37"/>
      <c r="G2681" s="37"/>
      <c r="H2681" s="15"/>
    </row>
    <row r="2682" spans="1:9" ht="21.95" customHeight="1" x14ac:dyDescent="0.15">
      <c r="A2682" s="17"/>
      <c r="B2682" s="37"/>
      <c r="C2682" s="37"/>
      <c r="D2682" s="37"/>
      <c r="E2682" s="15"/>
      <c r="F2682" s="37"/>
      <c r="G2682" s="13"/>
      <c r="H2682" s="15"/>
    </row>
    <row r="2683" spans="1:9" ht="21.95" customHeight="1" x14ac:dyDescent="0.15">
      <c r="A2683" s="17"/>
      <c r="B2683" s="37"/>
      <c r="C2683" s="37"/>
      <c r="D2683" s="37"/>
      <c r="E2683" s="15"/>
      <c r="F2683" s="37"/>
      <c r="G2683" s="13"/>
      <c r="H2683" s="15"/>
    </row>
    <row r="2684" spans="1:9" ht="21.95" customHeight="1" x14ac:dyDescent="0.15">
      <c r="A2684" s="17"/>
      <c r="C2684" s="37"/>
    </row>
    <row r="2685" spans="1:9" ht="21.95" customHeight="1" x14ac:dyDescent="0.15">
      <c r="A2685" s="17"/>
      <c r="B2685" s="37"/>
      <c r="C2685" s="37"/>
      <c r="D2685" s="13"/>
      <c r="E2685" s="15"/>
      <c r="F2685" s="37"/>
      <c r="G2685" s="13"/>
      <c r="H2685" s="15"/>
      <c r="I2685" s="13"/>
    </row>
    <row r="2686" spans="1:9" ht="21.95" customHeight="1" x14ac:dyDescent="0.15">
      <c r="A2686" s="17"/>
      <c r="B2686" s="13"/>
      <c r="C2686" s="13"/>
      <c r="D2686" s="13"/>
      <c r="E2686" s="15"/>
      <c r="F2686" s="37"/>
      <c r="G2686" s="13"/>
      <c r="H2686" s="15"/>
      <c r="I2686" s="13"/>
    </row>
    <row r="2687" spans="1:9" ht="21.95" customHeight="1" x14ac:dyDescent="0.15">
      <c r="A2687" s="17"/>
      <c r="B2687" s="13"/>
      <c r="C2687" s="13"/>
      <c r="D2687" s="13"/>
      <c r="E2687" s="15"/>
      <c r="F2687" s="37"/>
      <c r="G2687" s="13"/>
      <c r="H2687" s="15"/>
      <c r="I2687" s="13"/>
    </row>
    <row r="2688" spans="1:9" ht="21.95" customHeight="1" x14ac:dyDescent="0.15">
      <c r="A2688" s="17"/>
      <c r="B2688" s="13"/>
      <c r="C2688" s="13"/>
      <c r="D2688" s="13"/>
      <c r="E2688" s="15"/>
      <c r="F2688" s="37"/>
      <c r="G2688" s="13"/>
      <c r="H2688" s="15"/>
      <c r="I2688" s="13"/>
    </row>
    <row r="2689" spans="1:9" customFormat="1" ht="21.95" customHeight="1" x14ac:dyDescent="0.15">
      <c r="A2689" s="17"/>
      <c r="B2689" s="40"/>
      <c r="C2689" s="40"/>
      <c r="D2689" s="40"/>
      <c r="E2689" s="38"/>
      <c r="F2689" s="85"/>
      <c r="G2689" s="40"/>
      <c r="H2689" s="38"/>
      <c r="I2689" s="40"/>
    </row>
    <row r="2690" spans="1:9" customFormat="1" ht="21.95" customHeight="1" x14ac:dyDescent="0.15">
      <c r="A2690" s="17"/>
      <c r="B2690" s="37"/>
      <c r="C2690" s="37"/>
      <c r="D2690" s="40"/>
      <c r="E2690" s="15"/>
      <c r="F2690" s="85"/>
      <c r="G2690" s="42"/>
      <c r="H2690" s="38"/>
      <c r="I2690" s="56"/>
    </row>
    <row r="2691" spans="1:9" customFormat="1" ht="21.95" customHeight="1" x14ac:dyDescent="0.15">
      <c r="A2691" s="17"/>
      <c r="B2691" s="37"/>
      <c r="C2691" s="95"/>
      <c r="D2691" s="40"/>
      <c r="E2691" s="15"/>
      <c r="F2691" s="85"/>
      <c r="G2691" s="42"/>
      <c r="H2691" s="38"/>
      <c r="I2691" s="56"/>
    </row>
    <row r="2692" spans="1:9" customFormat="1" ht="21.95" customHeight="1" x14ac:dyDescent="0.15">
      <c r="A2692" s="17"/>
      <c r="B2692" s="37"/>
      <c r="C2692" s="95"/>
      <c r="D2692" s="40"/>
      <c r="E2692" s="15"/>
      <c r="F2692" s="85"/>
      <c r="G2692" s="17"/>
      <c r="H2692" s="38"/>
      <c r="I2692" s="56"/>
    </row>
    <row r="2693" spans="1:9" customFormat="1" ht="21.95" customHeight="1" x14ac:dyDescent="0.15">
      <c r="A2693" s="17"/>
      <c r="B2693" s="37"/>
      <c r="C2693" s="37"/>
      <c r="D2693" s="40"/>
      <c r="E2693" s="15"/>
      <c r="F2693" s="85"/>
      <c r="G2693" s="42"/>
      <c r="H2693" s="38"/>
      <c r="I2693" s="56"/>
    </row>
    <row r="2694" spans="1:9" customFormat="1" ht="21.95" customHeight="1" x14ac:dyDescent="0.15">
      <c r="A2694" s="17"/>
      <c r="B2694" s="37"/>
      <c r="C2694" s="37"/>
      <c r="D2694" s="40"/>
      <c r="E2694" s="15"/>
      <c r="F2694" s="85"/>
      <c r="G2694" s="17"/>
      <c r="H2694" s="38"/>
      <c r="I2694" s="56"/>
    </row>
    <row r="2695" spans="1:9" customFormat="1" ht="21.95" customHeight="1" x14ac:dyDescent="0.15">
      <c r="A2695" s="17"/>
      <c r="B2695" s="37"/>
      <c r="C2695" s="37"/>
      <c r="D2695" s="40"/>
      <c r="E2695" s="15"/>
      <c r="F2695" s="85"/>
      <c r="G2695" s="42"/>
      <c r="H2695" s="38"/>
      <c r="I2695" s="56"/>
    </row>
    <row r="2696" spans="1:9" customFormat="1" ht="21.95" customHeight="1" x14ac:dyDescent="0.15">
      <c r="A2696" s="17"/>
      <c r="B2696" s="37"/>
      <c r="C2696" s="37"/>
      <c r="D2696" s="40"/>
      <c r="E2696" s="15"/>
      <c r="F2696" s="85"/>
      <c r="G2696" s="17"/>
      <c r="H2696" s="38"/>
      <c r="I2696" s="56"/>
    </row>
    <row r="2697" spans="1:9" customFormat="1" ht="21.95" customHeight="1" x14ac:dyDescent="0.15">
      <c r="A2697" s="17"/>
      <c r="B2697" s="37"/>
      <c r="C2697" s="37"/>
      <c r="D2697" s="40"/>
      <c r="E2697" s="15"/>
      <c r="F2697" s="85"/>
      <c r="G2697" s="42"/>
      <c r="H2697" s="38"/>
      <c r="I2697" s="56"/>
    </row>
    <row r="2698" spans="1:9" customFormat="1" ht="21.95" customHeight="1" x14ac:dyDescent="0.15">
      <c r="A2698" s="17"/>
      <c r="B2698" s="37"/>
      <c r="C2698" s="37"/>
      <c r="D2698" s="40"/>
      <c r="E2698" s="15"/>
      <c r="F2698" s="85"/>
      <c r="G2698" s="17"/>
      <c r="H2698" s="38"/>
      <c r="I2698" s="56"/>
    </row>
    <row r="2699" spans="1:9" customFormat="1" ht="21.95" customHeight="1" x14ac:dyDescent="0.15">
      <c r="A2699" s="17"/>
      <c r="B2699" s="37"/>
      <c r="C2699" s="37"/>
      <c r="D2699" s="40"/>
      <c r="E2699" s="15"/>
      <c r="F2699" s="85"/>
      <c r="G2699" s="42"/>
      <c r="H2699" s="38"/>
      <c r="I2699" s="56"/>
    </row>
    <row r="2700" spans="1:9" ht="21.95" customHeight="1" x14ac:dyDescent="0.15">
      <c r="A2700" s="17"/>
      <c r="B2700" s="37"/>
      <c r="C2700" s="37"/>
      <c r="D2700" s="37"/>
      <c r="E2700" s="15"/>
      <c r="F2700" s="85"/>
      <c r="G2700" s="17"/>
      <c r="H2700" s="38"/>
    </row>
    <row r="2701" spans="1:9" ht="21.95" customHeight="1" x14ac:dyDescent="0.15">
      <c r="A2701" s="17"/>
      <c r="B2701" s="37"/>
      <c r="C2701" s="37"/>
      <c r="D2701" s="37"/>
      <c r="E2701" s="15"/>
      <c r="F2701" s="85"/>
      <c r="H2701" s="38"/>
    </row>
    <row r="2702" spans="1:9" ht="21.95" customHeight="1" x14ac:dyDescent="0.15">
      <c r="A2702" s="17"/>
      <c r="B2702" s="37"/>
      <c r="C2702" s="37"/>
      <c r="D2702" s="37"/>
      <c r="E2702" s="15"/>
      <c r="F2702" s="85"/>
      <c r="H2702" s="38"/>
    </row>
    <row r="2703" spans="1:9" ht="21.95" customHeight="1" x14ac:dyDescent="0.15">
      <c r="A2703" s="17"/>
      <c r="B2703" s="37"/>
      <c r="C2703" s="37"/>
      <c r="D2703" s="37"/>
      <c r="E2703" s="15"/>
      <c r="F2703" s="85"/>
      <c r="G2703" s="17"/>
      <c r="H2703" s="38"/>
    </row>
    <row r="2704" spans="1:9" customFormat="1" ht="21.95" customHeight="1" x14ac:dyDescent="0.15">
      <c r="A2704" s="17"/>
      <c r="B2704" s="37"/>
      <c r="C2704" s="37"/>
      <c r="D2704" s="37"/>
      <c r="E2704" s="15"/>
      <c r="F2704" s="85"/>
      <c r="G2704" s="17"/>
      <c r="H2704" s="38"/>
      <c r="I2704" s="42"/>
    </row>
    <row r="2705" spans="1:9" customFormat="1" ht="21.95" customHeight="1" x14ac:dyDescent="0.15">
      <c r="A2705" s="17"/>
      <c r="B2705" s="37"/>
      <c r="C2705" s="37"/>
      <c r="D2705" s="37"/>
      <c r="E2705" s="15"/>
      <c r="F2705" s="85"/>
      <c r="G2705" s="17"/>
      <c r="H2705" s="38"/>
      <c r="I2705" s="42"/>
    </row>
    <row r="2706" spans="1:9" customFormat="1" ht="21.95" customHeight="1" x14ac:dyDescent="0.15">
      <c r="A2706" s="17"/>
      <c r="B2706" s="37"/>
      <c r="C2706" s="37"/>
      <c r="D2706" s="37"/>
      <c r="E2706" s="15"/>
      <c r="F2706" s="85"/>
      <c r="G2706" s="17"/>
      <c r="H2706" s="38"/>
      <c r="I2706" s="42"/>
    </row>
    <row r="2707" spans="1:9" customFormat="1" ht="21.95" customHeight="1" x14ac:dyDescent="0.15">
      <c r="A2707" s="17"/>
      <c r="B2707" s="37"/>
      <c r="C2707" s="37"/>
      <c r="D2707" s="37"/>
      <c r="E2707" s="15"/>
      <c r="F2707" s="85"/>
      <c r="G2707" s="17"/>
      <c r="H2707" s="38"/>
      <c r="I2707" s="42"/>
    </row>
    <row r="2708" spans="1:9" customFormat="1" ht="21.95" customHeight="1" x14ac:dyDescent="0.15">
      <c r="A2708" s="17"/>
      <c r="B2708" s="37"/>
      <c r="C2708" s="37"/>
      <c r="D2708" s="37"/>
      <c r="E2708" s="15"/>
      <c r="F2708" s="85"/>
      <c r="G2708" s="17"/>
      <c r="H2708" s="38"/>
      <c r="I2708" s="42"/>
    </row>
    <row r="2709" spans="1:9" customFormat="1" ht="21.95" customHeight="1" x14ac:dyDescent="0.15">
      <c r="A2709" s="17"/>
      <c r="B2709" s="37"/>
      <c r="C2709" s="37"/>
      <c r="D2709" s="37"/>
      <c r="E2709" s="15"/>
      <c r="F2709" s="85"/>
      <c r="G2709" s="17"/>
      <c r="H2709" s="38"/>
      <c r="I2709" s="42"/>
    </row>
    <row r="2710" spans="1:9" customFormat="1" ht="21.95" customHeight="1" x14ac:dyDescent="0.15">
      <c r="A2710" s="17"/>
      <c r="B2710" s="37"/>
      <c r="C2710" s="37"/>
      <c r="D2710" s="37"/>
      <c r="E2710" s="15"/>
      <c r="F2710" s="85"/>
      <c r="G2710" s="17"/>
      <c r="H2710" s="38"/>
      <c r="I2710" s="42"/>
    </row>
    <row r="2711" spans="1:9" customFormat="1" ht="21.95" customHeight="1" x14ac:dyDescent="0.15">
      <c r="A2711" s="17"/>
      <c r="B2711" s="37"/>
      <c r="C2711" s="37"/>
      <c r="D2711" s="37"/>
      <c r="E2711" s="15"/>
      <c r="F2711" s="85"/>
      <c r="G2711" s="17"/>
      <c r="H2711" s="38"/>
      <c r="I2711" s="42"/>
    </row>
    <row r="2712" spans="1:9" customFormat="1" ht="21.95" customHeight="1" x14ac:dyDescent="0.15">
      <c r="A2712" s="17"/>
      <c r="B2712" s="37"/>
      <c r="C2712" s="37"/>
      <c r="D2712" s="37"/>
      <c r="E2712" s="15"/>
      <c r="F2712" s="85"/>
      <c r="G2712" s="17"/>
      <c r="H2712" s="38"/>
      <c r="I2712" s="42"/>
    </row>
    <row r="2713" spans="1:9" customFormat="1" ht="21.95" customHeight="1" x14ac:dyDescent="0.15">
      <c r="A2713" s="17"/>
      <c r="B2713" s="37"/>
      <c r="C2713" s="37"/>
      <c r="D2713" s="37"/>
      <c r="E2713" s="15"/>
      <c r="F2713" s="85"/>
      <c r="G2713" s="17"/>
      <c r="H2713" s="38"/>
      <c r="I2713" s="56"/>
    </row>
    <row r="2714" spans="1:9" customFormat="1" ht="21.95" customHeight="1" x14ac:dyDescent="0.15">
      <c r="A2714" s="17"/>
      <c r="B2714" s="37"/>
      <c r="C2714" s="37"/>
      <c r="D2714" s="37"/>
      <c r="E2714" s="15"/>
      <c r="F2714" s="85"/>
      <c r="G2714" s="17"/>
      <c r="H2714" s="38"/>
      <c r="I2714" s="56"/>
    </row>
    <row r="2715" spans="1:9" customFormat="1" ht="32.1" customHeight="1" x14ac:dyDescent="0.15">
      <c r="A2715" s="17"/>
      <c r="B2715" s="37"/>
      <c r="C2715" s="37"/>
      <c r="D2715" s="37"/>
      <c r="E2715" s="15"/>
      <c r="F2715" s="85"/>
      <c r="G2715" s="17"/>
      <c r="H2715" s="38"/>
      <c r="I2715" s="56"/>
    </row>
    <row r="2716" spans="1:9" customFormat="1" ht="32.1" customHeight="1" x14ac:dyDescent="0.15">
      <c r="A2716" s="17"/>
      <c r="B2716" s="37"/>
      <c r="C2716" s="37"/>
      <c r="D2716" s="37"/>
      <c r="E2716" s="15"/>
      <c r="F2716" s="85"/>
      <c r="G2716" s="17"/>
      <c r="H2716" s="38"/>
      <c r="I2716" s="56"/>
    </row>
    <row r="2717" spans="1:9" customFormat="1" ht="32.1" customHeight="1" x14ac:dyDescent="0.15">
      <c r="A2717" s="17"/>
      <c r="B2717" s="37"/>
      <c r="C2717" s="37"/>
      <c r="D2717" s="37"/>
      <c r="E2717" s="15"/>
      <c r="F2717" s="85"/>
      <c r="G2717" s="17"/>
      <c r="H2717" s="38"/>
      <c r="I2717" s="56"/>
    </row>
    <row r="2718" spans="1:9" customFormat="1" ht="32.1" customHeight="1" x14ac:dyDescent="0.15">
      <c r="A2718" s="17"/>
      <c r="B2718" s="37"/>
      <c r="C2718" s="37"/>
      <c r="D2718" s="37"/>
      <c r="E2718" s="15"/>
      <c r="F2718" s="85"/>
      <c r="G2718" s="17"/>
      <c r="H2718" s="38"/>
      <c r="I2718" s="56"/>
    </row>
    <row r="2719" spans="1:9" customFormat="1" ht="32.1" customHeight="1" x14ac:dyDescent="0.15">
      <c r="A2719" s="17"/>
      <c r="B2719" s="37"/>
      <c r="C2719" s="37"/>
      <c r="D2719" s="37"/>
      <c r="E2719" s="15"/>
      <c r="F2719" s="85"/>
      <c r="G2719" s="17"/>
      <c r="H2719" s="38"/>
      <c r="I2719" s="56"/>
    </row>
    <row r="2720" spans="1:9" customFormat="1" ht="32.1" customHeight="1" x14ac:dyDescent="0.15">
      <c r="A2720" s="17"/>
      <c r="B2720" s="37"/>
      <c r="C2720" s="37"/>
      <c r="D2720" s="37"/>
      <c r="E2720" s="15"/>
      <c r="F2720" s="85"/>
      <c r="G2720" s="17"/>
      <c r="H2720" s="38"/>
      <c r="I2720" s="56"/>
    </row>
    <row r="2721" spans="1:9" ht="32.1" customHeight="1" x14ac:dyDescent="0.15">
      <c r="A2721" s="17"/>
      <c r="B2721" s="37"/>
      <c r="C2721" s="37"/>
      <c r="D2721" s="37"/>
      <c r="E2721" s="15"/>
      <c r="F2721" s="85"/>
      <c r="G2721" s="17"/>
      <c r="H2721" s="38"/>
      <c r="I2721" s="37"/>
    </row>
    <row r="2722" spans="1:9" ht="32.1" customHeight="1" x14ac:dyDescent="0.15">
      <c r="A2722" s="17"/>
      <c r="B2722" s="37"/>
      <c r="C2722" s="37"/>
      <c r="D2722" s="37"/>
      <c r="E2722" s="15"/>
      <c r="F2722" s="37"/>
      <c r="G2722" s="17"/>
      <c r="H2722" s="38"/>
      <c r="I2722" s="37"/>
    </row>
    <row r="2723" spans="1:9" ht="32.1" customHeight="1" x14ac:dyDescent="0.15">
      <c r="A2723" s="17"/>
      <c r="B2723" s="37"/>
      <c r="C2723" s="37"/>
      <c r="D2723" s="37"/>
      <c r="E2723" s="15"/>
      <c r="F2723" s="37"/>
      <c r="G2723" s="17"/>
      <c r="H2723" s="38"/>
      <c r="I2723" s="37"/>
    </row>
    <row r="2724" spans="1:9" ht="32.1" customHeight="1" x14ac:dyDescent="0.15">
      <c r="A2724" s="17"/>
      <c r="B2724" s="37"/>
      <c r="C2724" s="37"/>
      <c r="D2724" s="37"/>
      <c r="E2724" s="15"/>
      <c r="F2724" s="37"/>
      <c r="G2724" s="17"/>
      <c r="H2724" s="38"/>
      <c r="I2724" s="37"/>
    </row>
    <row r="2725" spans="1:9" ht="21.95" customHeight="1" x14ac:dyDescent="0.15">
      <c r="A2725" s="17"/>
      <c r="B2725" s="37"/>
      <c r="C2725" s="37"/>
      <c r="D2725" s="37"/>
      <c r="E2725" s="15"/>
      <c r="F2725" s="37"/>
      <c r="G2725" s="17"/>
      <c r="H2725" s="38"/>
      <c r="I2725" s="37"/>
    </row>
    <row r="2726" spans="1:9" ht="54" customHeight="1" x14ac:dyDescent="0.15">
      <c r="A2726" s="17"/>
      <c r="B2726" s="37"/>
      <c r="C2726" s="37"/>
      <c r="D2726" s="37"/>
      <c r="E2726" s="15"/>
      <c r="F2726" s="37"/>
      <c r="G2726" s="17"/>
      <c r="H2726" s="38"/>
      <c r="I2726" s="37"/>
    </row>
    <row r="2727" spans="1:9" ht="21.95" customHeight="1" x14ac:dyDescent="0.15">
      <c r="A2727" s="17"/>
      <c r="B2727" s="37"/>
      <c r="C2727" s="37"/>
      <c r="D2727" s="37"/>
      <c r="E2727" s="15"/>
      <c r="F2727" s="37"/>
      <c r="G2727" s="17"/>
      <c r="H2727" s="38"/>
      <c r="I2727" s="37"/>
    </row>
    <row r="2728" spans="1:9" ht="21.95" customHeight="1" x14ac:dyDescent="0.15">
      <c r="A2728" s="17"/>
      <c r="B2728" s="37"/>
      <c r="C2728" s="37"/>
      <c r="D2728" s="37"/>
      <c r="E2728" s="15"/>
      <c r="F2728" s="37"/>
      <c r="G2728" s="17"/>
      <c r="H2728" s="38"/>
      <c r="I2728" s="37"/>
    </row>
    <row r="2729" spans="1:9" ht="21.95" customHeight="1" x14ac:dyDescent="0.15">
      <c r="A2729" s="17"/>
      <c r="B2729" s="37"/>
      <c r="C2729" s="37"/>
      <c r="D2729" s="37"/>
      <c r="E2729" s="15"/>
      <c r="F2729" s="37"/>
      <c r="G2729" s="17"/>
      <c r="H2729" s="38"/>
      <c r="I2729" s="37"/>
    </row>
    <row r="2730" spans="1:9" ht="21.95" customHeight="1" x14ac:dyDescent="0.15">
      <c r="A2730" s="17"/>
      <c r="B2730" s="37"/>
      <c r="C2730" s="37"/>
      <c r="D2730" s="37"/>
      <c r="E2730" s="15"/>
      <c r="F2730" s="37"/>
      <c r="G2730" s="17"/>
      <c r="H2730" s="38"/>
      <c r="I2730" s="37"/>
    </row>
    <row r="2731" spans="1:9" ht="21.95" customHeight="1" x14ac:dyDescent="0.15">
      <c r="A2731" s="17"/>
      <c r="B2731" s="37"/>
      <c r="C2731" s="37"/>
      <c r="E2731" s="15"/>
      <c r="G2731" s="17"/>
      <c r="H2731" s="38"/>
    </row>
    <row r="2732" spans="1:9" ht="21.95" customHeight="1" x14ac:dyDescent="0.15">
      <c r="A2732" s="17"/>
      <c r="B2732" s="37"/>
      <c r="C2732" s="37"/>
      <c r="E2732" s="15"/>
      <c r="G2732" s="17"/>
      <c r="H2732" s="38"/>
    </row>
    <row r="2733" spans="1:9" ht="21.95" customHeight="1" x14ac:dyDescent="0.15">
      <c r="A2733" s="17"/>
      <c r="B2733" s="37"/>
      <c r="C2733" s="37"/>
      <c r="E2733" s="15"/>
      <c r="F2733" s="37"/>
      <c r="G2733" s="13"/>
      <c r="H2733" s="38"/>
    </row>
    <row r="2734" spans="1:9" ht="21.95" customHeight="1" x14ac:dyDescent="0.15">
      <c r="A2734" s="17"/>
      <c r="B2734" s="37"/>
      <c r="C2734" s="37"/>
      <c r="E2734" s="15"/>
      <c r="F2734" s="37"/>
      <c r="G2734" s="13"/>
      <c r="H2734" s="38"/>
    </row>
    <row r="2735" spans="1:9" ht="21.95" customHeight="1" x14ac:dyDescent="0.15">
      <c r="A2735" s="17"/>
      <c r="B2735" s="37"/>
      <c r="C2735" s="37"/>
      <c r="D2735" s="37"/>
      <c r="E2735" s="15"/>
      <c r="F2735" s="37"/>
      <c r="G2735" s="13"/>
      <c r="H2735" s="38"/>
    </row>
    <row r="2736" spans="1:9" ht="21.95" customHeight="1" x14ac:dyDescent="0.15">
      <c r="A2736" s="17"/>
      <c r="B2736" s="37"/>
      <c r="C2736" s="37"/>
      <c r="D2736" s="37"/>
      <c r="E2736" s="15"/>
      <c r="F2736" s="37"/>
      <c r="G2736" s="13"/>
      <c r="H2736" s="38"/>
    </row>
    <row r="2737" spans="1:8" ht="21.95" customHeight="1" x14ac:dyDescent="0.15">
      <c r="A2737" s="17"/>
      <c r="B2737" s="37"/>
      <c r="C2737" s="37"/>
      <c r="D2737" s="37"/>
      <c r="E2737" s="15"/>
      <c r="F2737" s="37"/>
      <c r="G2737" s="13"/>
      <c r="H2737" s="38"/>
    </row>
    <row r="2738" spans="1:8" ht="21.95" customHeight="1" x14ac:dyDescent="0.15">
      <c r="A2738" s="17"/>
      <c r="B2738" s="37"/>
      <c r="C2738" s="37"/>
      <c r="D2738" s="37"/>
      <c r="E2738" s="15"/>
      <c r="F2738" s="37"/>
      <c r="G2738" s="13"/>
      <c r="H2738" s="38"/>
    </row>
    <row r="2739" spans="1:8" ht="21.95" customHeight="1" x14ac:dyDescent="0.15">
      <c r="A2739" s="17"/>
      <c r="B2739" s="37"/>
      <c r="C2739" s="37"/>
      <c r="D2739" s="37"/>
      <c r="E2739" s="15"/>
      <c r="F2739" s="37"/>
      <c r="G2739" s="13"/>
      <c r="H2739" s="38"/>
    </row>
    <row r="2740" spans="1:8" ht="21.95" customHeight="1" x14ac:dyDescent="0.15">
      <c r="A2740" s="17"/>
      <c r="B2740" s="37"/>
      <c r="C2740" s="37"/>
      <c r="D2740" s="37"/>
      <c r="E2740" s="15"/>
      <c r="F2740" s="37"/>
      <c r="G2740" s="13"/>
      <c r="H2740" s="38"/>
    </row>
    <row r="2741" spans="1:8" ht="21.95" customHeight="1" x14ac:dyDescent="0.15">
      <c r="A2741" s="17"/>
      <c r="B2741" s="37"/>
      <c r="C2741" s="37"/>
      <c r="D2741" s="37"/>
      <c r="E2741" s="15"/>
      <c r="F2741" s="37"/>
      <c r="G2741" s="13"/>
      <c r="H2741" s="38"/>
    </row>
    <row r="2742" spans="1:8" ht="21.95" customHeight="1" x14ac:dyDescent="0.15">
      <c r="A2742" s="17"/>
      <c r="B2742" s="37"/>
      <c r="C2742" s="37"/>
      <c r="D2742" s="37"/>
      <c r="E2742" s="15"/>
      <c r="F2742" s="37"/>
      <c r="G2742" s="13"/>
      <c r="H2742" s="38"/>
    </row>
    <row r="2743" spans="1:8" ht="21.95" customHeight="1" x14ac:dyDescent="0.15">
      <c r="A2743" s="17"/>
      <c r="B2743" s="37"/>
      <c r="C2743" s="37"/>
      <c r="D2743" s="37"/>
      <c r="E2743" s="15"/>
      <c r="F2743" s="37"/>
      <c r="G2743" s="13"/>
      <c r="H2743" s="38"/>
    </row>
    <row r="2744" spans="1:8" ht="21.95" customHeight="1" x14ac:dyDescent="0.15">
      <c r="A2744" s="17"/>
      <c r="B2744" s="37"/>
      <c r="C2744" s="37"/>
      <c r="D2744" s="37"/>
      <c r="E2744" s="15"/>
      <c r="F2744" s="37"/>
      <c r="G2744" s="13"/>
      <c r="H2744" s="15"/>
    </row>
    <row r="2745" spans="1:8" ht="21.95" customHeight="1" x14ac:dyDescent="0.15">
      <c r="A2745" s="17"/>
      <c r="B2745" s="37"/>
      <c r="C2745" s="37"/>
      <c r="D2745" s="37"/>
      <c r="E2745" s="15"/>
      <c r="F2745" s="37"/>
      <c r="G2745" s="13"/>
      <c r="H2745" s="15"/>
    </row>
    <row r="2746" spans="1:8" ht="21.95" customHeight="1" x14ac:dyDescent="0.15">
      <c r="A2746" s="17"/>
      <c r="B2746" s="37"/>
      <c r="C2746" s="37"/>
      <c r="D2746" s="37"/>
      <c r="E2746" s="15"/>
      <c r="F2746" s="37"/>
      <c r="G2746" s="13"/>
      <c r="H2746" s="15"/>
    </row>
    <row r="2747" spans="1:8" ht="21.95" customHeight="1" x14ac:dyDescent="0.15">
      <c r="A2747" s="17"/>
      <c r="B2747" s="37"/>
      <c r="C2747" s="37"/>
      <c r="D2747" s="37"/>
      <c r="E2747" s="15"/>
      <c r="F2747" s="37"/>
      <c r="G2747" s="13"/>
      <c r="H2747" s="15"/>
    </row>
    <row r="2748" spans="1:8" ht="21.95" customHeight="1" x14ac:dyDescent="0.15">
      <c r="A2748" s="17"/>
      <c r="B2748" s="37"/>
      <c r="C2748" s="37"/>
      <c r="D2748" s="37"/>
      <c r="E2748" s="15"/>
      <c r="F2748" s="37"/>
      <c r="G2748" s="13"/>
      <c r="H2748" s="15"/>
    </row>
    <row r="2749" spans="1:8" ht="21.95" customHeight="1" x14ac:dyDescent="0.15">
      <c r="A2749" s="17"/>
      <c r="B2749" s="37"/>
      <c r="C2749" s="37"/>
      <c r="D2749" s="37"/>
      <c r="E2749" s="15"/>
      <c r="F2749" s="37"/>
      <c r="G2749" s="13"/>
      <c r="H2749" s="15"/>
    </row>
    <row r="2750" spans="1:8" ht="21.95" customHeight="1" x14ac:dyDescent="0.15">
      <c r="A2750" s="17"/>
      <c r="B2750" s="37"/>
      <c r="C2750" s="37"/>
      <c r="D2750" s="37"/>
      <c r="E2750" s="15"/>
      <c r="F2750" s="37"/>
      <c r="G2750" s="13"/>
      <c r="H2750" s="15"/>
    </row>
    <row r="2751" spans="1:8" ht="21.95" customHeight="1" x14ac:dyDescent="0.15">
      <c r="A2751" s="17"/>
      <c r="B2751" s="37"/>
      <c r="C2751" s="37"/>
      <c r="D2751" s="37"/>
      <c r="E2751" s="15"/>
      <c r="F2751" s="37"/>
      <c r="G2751" s="13"/>
      <c r="H2751" s="15"/>
    </row>
    <row r="2752" spans="1:8" ht="21.95" customHeight="1" x14ac:dyDescent="0.15">
      <c r="A2752" s="17"/>
      <c r="B2752" s="37"/>
      <c r="C2752" s="37"/>
      <c r="D2752" s="37"/>
      <c r="E2752" s="15"/>
      <c r="F2752" s="37"/>
      <c r="G2752" s="13"/>
      <c r="H2752" s="15"/>
    </row>
    <row r="2753" spans="1:8" ht="21.95" customHeight="1" x14ac:dyDescent="0.15">
      <c r="A2753" s="17"/>
      <c r="B2753" s="37"/>
      <c r="C2753" s="37"/>
      <c r="D2753" s="37"/>
      <c r="E2753" s="15"/>
      <c r="F2753" s="37"/>
      <c r="G2753" s="13"/>
      <c r="H2753" s="15"/>
    </row>
    <row r="2754" spans="1:8" ht="21.95" customHeight="1" x14ac:dyDescent="0.15">
      <c r="A2754" s="17"/>
      <c r="B2754" s="37"/>
      <c r="C2754" s="37"/>
      <c r="D2754" s="37"/>
      <c r="E2754" s="15"/>
      <c r="F2754" s="37"/>
      <c r="G2754" s="13"/>
      <c r="H2754" s="15"/>
    </row>
    <row r="2755" spans="1:8" ht="21.95" customHeight="1" x14ac:dyDescent="0.15">
      <c r="A2755" s="17"/>
      <c r="B2755" s="37"/>
      <c r="C2755" s="37"/>
      <c r="D2755" s="37"/>
      <c r="E2755" s="15"/>
      <c r="F2755" s="37"/>
      <c r="G2755" s="13"/>
      <c r="H2755" s="15"/>
    </row>
    <row r="2756" spans="1:8" ht="21.95" customHeight="1" x14ac:dyDescent="0.15">
      <c r="A2756" s="17"/>
      <c r="B2756" s="37"/>
      <c r="C2756" s="37"/>
      <c r="D2756" s="37"/>
      <c r="E2756" s="15"/>
      <c r="F2756" s="37"/>
      <c r="G2756" s="13"/>
      <c r="H2756" s="15"/>
    </row>
    <row r="2757" spans="1:8" ht="21.95" customHeight="1" x14ac:dyDescent="0.15">
      <c r="A2757" s="17"/>
      <c r="B2757" s="37"/>
      <c r="C2757" s="37"/>
      <c r="D2757" s="37"/>
      <c r="E2757" s="15"/>
      <c r="F2757" s="37"/>
      <c r="G2757" s="13"/>
      <c r="H2757" s="15"/>
    </row>
    <row r="2758" spans="1:8" ht="21.95" customHeight="1" x14ac:dyDescent="0.15">
      <c r="A2758" s="17"/>
      <c r="B2758" s="37"/>
      <c r="C2758" s="37"/>
      <c r="D2758" s="37"/>
      <c r="E2758" s="15"/>
      <c r="F2758" s="37"/>
      <c r="G2758" s="13"/>
      <c r="H2758" s="15"/>
    </row>
    <row r="2759" spans="1:8" ht="21.95" customHeight="1" x14ac:dyDescent="0.15">
      <c r="A2759" s="17"/>
      <c r="B2759" s="37"/>
      <c r="C2759" s="37"/>
      <c r="D2759" s="37"/>
      <c r="E2759" s="15"/>
      <c r="F2759" s="37"/>
      <c r="G2759" s="13"/>
      <c r="H2759" s="15"/>
    </row>
    <row r="2760" spans="1:8" ht="21.95" customHeight="1" x14ac:dyDescent="0.15">
      <c r="A2760" s="17"/>
      <c r="B2760" s="37"/>
      <c r="C2760" s="37"/>
      <c r="D2760" s="37"/>
      <c r="E2760" s="15"/>
      <c r="F2760" s="37"/>
      <c r="G2760" s="13"/>
      <c r="H2760" s="15"/>
    </row>
    <row r="2761" spans="1:8" ht="21.95" customHeight="1" x14ac:dyDescent="0.15">
      <c r="A2761" s="17"/>
      <c r="B2761" s="37"/>
      <c r="C2761" s="37"/>
      <c r="D2761" s="37"/>
      <c r="E2761" s="15"/>
      <c r="F2761" s="37"/>
      <c r="G2761" s="13"/>
      <c r="H2761" s="15"/>
    </row>
    <row r="2762" spans="1:8" ht="21.95" customHeight="1" x14ac:dyDescent="0.15">
      <c r="A2762" s="17"/>
      <c r="B2762" s="37"/>
      <c r="C2762" s="37"/>
      <c r="D2762" s="37"/>
      <c r="E2762" s="15"/>
      <c r="F2762" s="37"/>
      <c r="G2762" s="37"/>
      <c r="H2762" s="15"/>
    </row>
    <row r="2763" spans="1:8" ht="21.95" customHeight="1" x14ac:dyDescent="0.15">
      <c r="A2763" s="17"/>
      <c r="B2763" s="37"/>
      <c r="C2763" s="37"/>
      <c r="D2763" s="37"/>
      <c r="E2763" s="15"/>
      <c r="F2763" s="37"/>
      <c r="G2763" s="13"/>
      <c r="H2763" s="15"/>
    </row>
    <row r="2764" spans="1:8" ht="21.95" customHeight="1" x14ac:dyDescent="0.15">
      <c r="A2764" s="17"/>
      <c r="B2764" s="37"/>
      <c r="C2764" s="37"/>
      <c r="D2764" s="37"/>
      <c r="E2764" s="15"/>
      <c r="F2764" s="37"/>
      <c r="G2764" s="13"/>
      <c r="H2764" s="15"/>
    </row>
    <row r="2765" spans="1:8" ht="21.95" customHeight="1" x14ac:dyDescent="0.15">
      <c r="A2765" s="17"/>
      <c r="B2765" s="37"/>
      <c r="C2765" s="37"/>
      <c r="D2765" s="37"/>
      <c r="E2765" s="15"/>
      <c r="F2765" s="37"/>
      <c r="G2765" s="13"/>
      <c r="H2765" s="15"/>
    </row>
    <row r="2766" spans="1:8" ht="21.95" customHeight="1" x14ac:dyDescent="0.15">
      <c r="A2766" s="17"/>
      <c r="B2766" s="37"/>
      <c r="C2766" s="37"/>
      <c r="D2766" s="37"/>
      <c r="E2766" s="15"/>
      <c r="F2766" s="37"/>
      <c r="G2766" s="13"/>
      <c r="H2766" s="15"/>
    </row>
    <row r="2767" spans="1:8" ht="21.95" customHeight="1" x14ac:dyDescent="0.15">
      <c r="A2767" s="17"/>
      <c r="B2767" s="37"/>
      <c r="C2767" s="37"/>
      <c r="D2767" s="37"/>
      <c r="E2767" s="15"/>
      <c r="F2767" s="37"/>
      <c r="G2767" s="13"/>
      <c r="H2767" s="15"/>
    </row>
    <row r="2768" spans="1:8" ht="21.95" customHeight="1" x14ac:dyDescent="0.15">
      <c r="A2768" s="17"/>
      <c r="B2768" s="37"/>
      <c r="C2768" s="37"/>
      <c r="D2768" s="37"/>
      <c r="E2768" s="15"/>
      <c r="F2768" s="37"/>
      <c r="G2768" s="13"/>
      <c r="H2768" s="15"/>
    </row>
    <row r="2769" spans="1:9" ht="21.95" customHeight="1" x14ac:dyDescent="0.15">
      <c r="A2769" s="17"/>
      <c r="B2769" s="37"/>
      <c r="C2769" s="37"/>
      <c r="D2769" s="37"/>
      <c r="E2769" s="15"/>
      <c r="F2769" s="37"/>
      <c r="G2769" s="13"/>
      <c r="H2769" s="15"/>
    </row>
    <row r="2770" spans="1:9" ht="21.95" customHeight="1" x14ac:dyDescent="0.15">
      <c r="A2770" s="17"/>
      <c r="B2770" s="37"/>
      <c r="C2770" s="37"/>
      <c r="D2770" s="37"/>
      <c r="E2770" s="15"/>
      <c r="F2770" s="37"/>
      <c r="G2770" s="13"/>
      <c r="H2770" s="15"/>
    </row>
    <row r="2771" spans="1:9" ht="21.95" customHeight="1" x14ac:dyDescent="0.15">
      <c r="A2771" s="17"/>
      <c r="B2771" s="37"/>
      <c r="C2771" s="37"/>
      <c r="D2771" s="37"/>
      <c r="E2771" s="15"/>
      <c r="F2771" s="37"/>
      <c r="G2771" s="13"/>
      <c r="H2771" s="15"/>
    </row>
    <row r="2772" spans="1:9" ht="21.95" customHeight="1" x14ac:dyDescent="0.15">
      <c r="A2772" s="17"/>
      <c r="B2772" s="37"/>
      <c r="C2772" s="37"/>
      <c r="D2772" s="37"/>
      <c r="E2772" s="15"/>
      <c r="F2772" s="37"/>
      <c r="G2772" s="13"/>
      <c r="H2772" s="15"/>
    </row>
    <row r="2773" spans="1:9" ht="21.95" customHeight="1" x14ac:dyDescent="0.15">
      <c r="A2773" s="17"/>
      <c r="B2773" s="37"/>
      <c r="C2773" s="37"/>
      <c r="D2773" s="37"/>
      <c r="E2773" s="15"/>
      <c r="F2773" s="37"/>
      <c r="G2773" s="13"/>
      <c r="H2773" s="15"/>
    </row>
    <row r="2774" spans="1:9" ht="21.95" customHeight="1" x14ac:dyDescent="0.15">
      <c r="A2774" s="17"/>
      <c r="B2774" s="37"/>
      <c r="C2774" s="37"/>
      <c r="D2774" s="37"/>
      <c r="E2774" s="15"/>
      <c r="F2774" s="37"/>
      <c r="G2774" s="13"/>
      <c r="H2774" s="15"/>
    </row>
    <row r="2775" spans="1:9" ht="21.95" customHeight="1" x14ac:dyDescent="0.15">
      <c r="A2775" s="17"/>
      <c r="B2775" s="37"/>
      <c r="C2775" s="37"/>
      <c r="D2775" s="37"/>
      <c r="E2775" s="15"/>
      <c r="F2775" s="37"/>
      <c r="G2775" s="13"/>
      <c r="H2775" s="38"/>
      <c r="I2775" s="84"/>
    </row>
    <row r="2776" spans="1:9" ht="21.95" customHeight="1" x14ac:dyDescent="0.15">
      <c r="A2776" s="17"/>
      <c r="B2776" s="37"/>
      <c r="C2776" s="37"/>
      <c r="D2776" s="37"/>
      <c r="E2776" s="15"/>
      <c r="F2776" s="37"/>
      <c r="G2776" s="13"/>
      <c r="H2776" s="15"/>
      <c r="I2776" s="84"/>
    </row>
    <row r="2777" spans="1:9" ht="35.1" customHeight="1" x14ac:dyDescent="0.15">
      <c r="A2777" s="17"/>
      <c r="B2777" s="37"/>
      <c r="C2777" s="37"/>
      <c r="D2777" s="37"/>
      <c r="E2777" s="15"/>
      <c r="F2777" s="15"/>
      <c r="G2777" s="37"/>
      <c r="H2777" s="15"/>
    </row>
    <row r="2778" spans="1:9" ht="21.95" customHeight="1" x14ac:dyDescent="0.15">
      <c r="A2778" s="17"/>
      <c r="B2778" s="37"/>
      <c r="C2778" s="37"/>
      <c r="D2778" s="37"/>
      <c r="E2778" s="15"/>
      <c r="F2778" s="37"/>
      <c r="G2778" s="13"/>
      <c r="H2778" s="15"/>
    </row>
    <row r="2779" spans="1:9" ht="21.95" customHeight="1" x14ac:dyDescent="0.15">
      <c r="A2779" s="17"/>
      <c r="B2779" s="37"/>
      <c r="C2779" s="37"/>
      <c r="D2779" s="37"/>
      <c r="E2779" s="15"/>
      <c r="F2779" s="37"/>
      <c r="G2779" s="13"/>
      <c r="H2779" s="15"/>
    </row>
    <row r="2780" spans="1:9" ht="21.95" customHeight="1" x14ac:dyDescent="0.15">
      <c r="A2780" s="17"/>
      <c r="B2780" s="37"/>
      <c r="C2780" s="37"/>
      <c r="D2780" s="37"/>
      <c r="E2780" s="15"/>
      <c r="F2780" s="37"/>
      <c r="G2780" s="13"/>
      <c r="H2780" s="15"/>
    </row>
    <row r="2781" spans="1:9" ht="21.95" customHeight="1" x14ac:dyDescent="0.15">
      <c r="A2781" s="17"/>
      <c r="B2781" s="37"/>
      <c r="C2781" s="37"/>
      <c r="D2781" s="37"/>
      <c r="E2781" s="15"/>
      <c r="F2781" s="37"/>
      <c r="G2781" s="13"/>
      <c r="H2781" s="15"/>
    </row>
    <row r="2782" spans="1:9" ht="21.95" customHeight="1" x14ac:dyDescent="0.15">
      <c r="A2782" s="17"/>
      <c r="B2782" s="37"/>
      <c r="C2782" s="37"/>
      <c r="D2782" s="37"/>
      <c r="E2782" s="15"/>
      <c r="F2782" s="37"/>
      <c r="G2782" s="13"/>
      <c r="H2782" s="15"/>
    </row>
    <row r="2783" spans="1:9" ht="21.95" customHeight="1" x14ac:dyDescent="0.15">
      <c r="A2783" s="17"/>
      <c r="B2783" s="37"/>
      <c r="C2783" s="37"/>
      <c r="D2783" s="37"/>
      <c r="E2783" s="15"/>
      <c r="F2783" s="37"/>
      <c r="G2783" s="13"/>
      <c r="H2783" s="15"/>
      <c r="I2783" s="37"/>
    </row>
    <row r="2784" spans="1:9" ht="21.95" customHeight="1" x14ac:dyDescent="0.15">
      <c r="A2784" s="17"/>
      <c r="B2784" s="37"/>
      <c r="C2784" s="37"/>
      <c r="D2784" s="37"/>
      <c r="E2784" s="15"/>
      <c r="F2784" s="37"/>
      <c r="G2784" s="37"/>
      <c r="H2784" s="15"/>
      <c r="I2784" s="37"/>
    </row>
    <row r="2785" spans="1:9" ht="21.95" customHeight="1" x14ac:dyDescent="0.15">
      <c r="A2785" s="17"/>
      <c r="B2785" s="37"/>
      <c r="C2785" s="37"/>
      <c r="D2785" s="37"/>
      <c r="E2785" s="15"/>
      <c r="F2785" s="37"/>
      <c r="G2785" s="37"/>
      <c r="H2785" s="38"/>
      <c r="I2785" s="37"/>
    </row>
    <row r="2786" spans="1:9" ht="21.95" customHeight="1" x14ac:dyDescent="0.15">
      <c r="A2786" s="17"/>
      <c r="B2786" s="37"/>
      <c r="C2786" s="37"/>
      <c r="D2786" s="37"/>
      <c r="E2786" s="15"/>
      <c r="F2786" s="37"/>
      <c r="G2786" s="37"/>
      <c r="H2786" s="38"/>
      <c r="I2786" s="37"/>
    </row>
    <row r="2787" spans="1:9" ht="21.95" customHeight="1" x14ac:dyDescent="0.15">
      <c r="A2787" s="17"/>
      <c r="B2787" s="37"/>
      <c r="C2787" s="37"/>
      <c r="D2787" s="37"/>
      <c r="E2787" s="15"/>
      <c r="F2787" s="37"/>
      <c r="G2787" s="13"/>
      <c r="H2787" s="15"/>
      <c r="I2787" s="37"/>
    </row>
    <row r="2788" spans="1:9" ht="21.95" customHeight="1" x14ac:dyDescent="0.15">
      <c r="A2788" s="17"/>
      <c r="B2788" s="37"/>
      <c r="C2788" s="37"/>
      <c r="D2788" s="37"/>
      <c r="E2788" s="15"/>
      <c r="F2788" s="37"/>
      <c r="G2788" s="13"/>
      <c r="H2788" s="15"/>
      <c r="I2788" s="37"/>
    </row>
    <row r="2789" spans="1:9" ht="21.95" customHeight="1" x14ac:dyDescent="0.15">
      <c r="A2789" s="17"/>
      <c r="B2789" s="37"/>
      <c r="C2789" s="37"/>
      <c r="D2789" s="37"/>
      <c r="E2789" s="15"/>
      <c r="F2789" s="37"/>
      <c r="G2789" s="13"/>
      <c r="H2789" s="15"/>
      <c r="I2789" s="37"/>
    </row>
    <row r="2790" spans="1:9" ht="21.95" customHeight="1" x14ac:dyDescent="0.15">
      <c r="A2790" s="17"/>
      <c r="B2790" s="37"/>
      <c r="C2790" s="37"/>
      <c r="E2790" s="15"/>
      <c r="F2790" s="37"/>
      <c r="H2790" s="38"/>
    </row>
    <row r="2791" spans="1:9" ht="21.95" customHeight="1" x14ac:dyDescent="0.15">
      <c r="A2791" s="17"/>
      <c r="B2791" s="37"/>
      <c r="C2791" s="37"/>
      <c r="E2791" s="15"/>
      <c r="F2791" s="37"/>
    </row>
    <row r="2792" spans="1:9" ht="21.95" customHeight="1" x14ac:dyDescent="0.15">
      <c r="A2792" s="17"/>
      <c r="B2792" s="37"/>
      <c r="C2792" s="37"/>
      <c r="E2792" s="15"/>
      <c r="G2792" s="77"/>
    </row>
    <row r="2793" spans="1:9" ht="21.95" customHeight="1" x14ac:dyDescent="0.15">
      <c r="A2793" s="17"/>
      <c r="B2793" s="37"/>
      <c r="C2793" s="37"/>
      <c r="D2793" s="37"/>
      <c r="E2793" s="15"/>
      <c r="F2793" s="37"/>
      <c r="G2793" s="37"/>
      <c r="H2793" s="15"/>
    </row>
    <row r="2794" spans="1:9" ht="21.95" customHeight="1" x14ac:dyDescent="0.15">
      <c r="A2794" s="17"/>
      <c r="B2794" s="37"/>
      <c r="C2794" s="37"/>
      <c r="D2794" s="37"/>
      <c r="E2794" s="15"/>
      <c r="F2794" s="37"/>
      <c r="G2794" s="13"/>
      <c r="H2794" s="15"/>
    </row>
    <row r="2795" spans="1:9" ht="21.95" customHeight="1" x14ac:dyDescent="0.15">
      <c r="A2795" s="17"/>
      <c r="B2795" s="37"/>
      <c r="C2795" s="37"/>
      <c r="D2795" s="37"/>
      <c r="E2795" s="15"/>
      <c r="F2795" s="37"/>
      <c r="G2795" s="13"/>
      <c r="H2795" s="15"/>
    </row>
    <row r="2796" spans="1:9" ht="21.95" customHeight="1" x14ac:dyDescent="0.15">
      <c r="A2796" s="17"/>
      <c r="C2796" s="37"/>
    </row>
    <row r="2797" spans="1:9" ht="21.95" customHeight="1" x14ac:dyDescent="0.15">
      <c r="A2797" s="17"/>
      <c r="B2797" s="37"/>
      <c r="C2797" s="37"/>
      <c r="D2797" s="13"/>
      <c r="E2797" s="15"/>
      <c r="F2797" s="37"/>
      <c r="G2797" s="13"/>
      <c r="H2797" s="15"/>
      <c r="I2797" s="13"/>
    </row>
    <row r="2798" spans="1:9" ht="21.95" customHeight="1" x14ac:dyDescent="0.15">
      <c r="A2798" s="17"/>
      <c r="B2798" s="13"/>
      <c r="C2798" s="13"/>
      <c r="D2798" s="13"/>
      <c r="E2798" s="15"/>
      <c r="F2798" s="37"/>
      <c r="G2798" s="13"/>
      <c r="H2798" s="15"/>
      <c r="I2798" s="13"/>
    </row>
    <row r="2799" spans="1:9" ht="21.95" customHeight="1" x14ac:dyDescent="0.15">
      <c r="A2799" s="17"/>
      <c r="B2799" s="13"/>
      <c r="C2799" s="13"/>
      <c r="D2799" s="13"/>
      <c r="E2799" s="15"/>
      <c r="F2799" s="37"/>
      <c r="G2799" s="13"/>
      <c r="H2799" s="15"/>
      <c r="I2799" s="13"/>
    </row>
    <row r="2800" spans="1:9" ht="21.95" customHeight="1" x14ac:dyDescent="0.15">
      <c r="A2800" s="17"/>
      <c r="B2800" s="13"/>
      <c r="C2800" s="13"/>
      <c r="D2800" s="13"/>
      <c r="E2800" s="15"/>
      <c r="F2800" s="37"/>
      <c r="G2800" s="13"/>
      <c r="H2800" s="15"/>
      <c r="I2800" s="13"/>
    </row>
    <row r="2801" spans="1:9" customFormat="1" ht="21.95" customHeight="1" x14ac:dyDescent="0.15">
      <c r="A2801" s="17"/>
      <c r="B2801" s="40"/>
      <c r="C2801" s="40"/>
      <c r="D2801" s="40"/>
      <c r="E2801" s="38"/>
      <c r="F2801" s="85"/>
      <c r="G2801" s="40"/>
      <c r="H2801" s="38"/>
      <c r="I2801" s="40"/>
    </row>
    <row r="2802" spans="1:9" customFormat="1" ht="21.95" customHeight="1" x14ac:dyDescent="0.15">
      <c r="A2802" s="17"/>
      <c r="B2802" s="37"/>
      <c r="C2802" s="37"/>
      <c r="D2802" s="40"/>
      <c r="E2802" s="15"/>
      <c r="F2802" s="85"/>
      <c r="G2802" s="42"/>
      <c r="H2802" s="38"/>
      <c r="I2802" s="56"/>
    </row>
    <row r="2803" spans="1:9" customFormat="1" ht="21.95" customHeight="1" x14ac:dyDescent="0.15">
      <c r="A2803" s="17"/>
      <c r="B2803" s="37"/>
      <c r="C2803" s="95"/>
      <c r="D2803" s="40"/>
      <c r="E2803" s="15"/>
      <c r="F2803" s="85"/>
      <c r="G2803" s="42"/>
      <c r="H2803" s="38"/>
      <c r="I2803" s="56"/>
    </row>
    <row r="2804" spans="1:9" customFormat="1" ht="21.95" customHeight="1" x14ac:dyDescent="0.15">
      <c r="A2804" s="17"/>
      <c r="B2804" s="37"/>
      <c r="C2804" s="95"/>
      <c r="D2804" s="40"/>
      <c r="E2804" s="15"/>
      <c r="F2804" s="85"/>
      <c r="G2804" s="17"/>
      <c r="H2804" s="38"/>
      <c r="I2804" s="56"/>
    </row>
    <row r="2805" spans="1:9" customFormat="1" ht="21.95" customHeight="1" x14ac:dyDescent="0.15">
      <c r="A2805" s="17"/>
      <c r="B2805" s="37"/>
      <c r="C2805" s="37"/>
      <c r="D2805" s="40"/>
      <c r="E2805" s="15"/>
      <c r="F2805" s="85"/>
      <c r="G2805" s="42"/>
      <c r="H2805" s="38"/>
      <c r="I2805" s="56"/>
    </row>
    <row r="2806" spans="1:9" customFormat="1" ht="21.95" customHeight="1" x14ac:dyDescent="0.15">
      <c r="A2806" s="17"/>
      <c r="B2806" s="37"/>
      <c r="C2806" s="37"/>
      <c r="D2806" s="40"/>
      <c r="E2806" s="15"/>
      <c r="F2806" s="85"/>
      <c r="G2806" s="17"/>
      <c r="H2806" s="38"/>
      <c r="I2806" s="56"/>
    </row>
    <row r="2807" spans="1:9" customFormat="1" ht="21.95" customHeight="1" x14ac:dyDescent="0.15">
      <c r="A2807" s="17"/>
      <c r="B2807" s="37"/>
      <c r="C2807" s="37"/>
      <c r="D2807" s="40"/>
      <c r="E2807" s="15"/>
      <c r="F2807" s="85"/>
      <c r="G2807" s="42"/>
      <c r="H2807" s="38"/>
      <c r="I2807" s="56"/>
    </row>
    <row r="2808" spans="1:9" customFormat="1" ht="21.95" customHeight="1" x14ac:dyDescent="0.15">
      <c r="A2808" s="17"/>
      <c r="B2808" s="37"/>
      <c r="C2808" s="37"/>
      <c r="D2808" s="40"/>
      <c r="E2808" s="15"/>
      <c r="F2808" s="85"/>
      <c r="G2808" s="17"/>
      <c r="H2808" s="38"/>
      <c r="I2808" s="56"/>
    </row>
    <row r="2809" spans="1:9" customFormat="1" ht="21.95" customHeight="1" x14ac:dyDescent="0.15">
      <c r="A2809" s="17"/>
      <c r="B2809" s="37"/>
      <c r="C2809" s="37"/>
      <c r="D2809" s="40"/>
      <c r="E2809" s="15"/>
      <c r="F2809" s="85"/>
      <c r="G2809" s="42"/>
      <c r="H2809" s="38"/>
      <c r="I2809" s="56"/>
    </row>
    <row r="2810" spans="1:9" customFormat="1" ht="21.95" customHeight="1" x14ac:dyDescent="0.15">
      <c r="A2810" s="17"/>
      <c r="B2810" s="37"/>
      <c r="C2810" s="37"/>
      <c r="D2810" s="40"/>
      <c r="E2810" s="15"/>
      <c r="F2810" s="85"/>
      <c r="G2810" s="17"/>
      <c r="H2810" s="38"/>
      <c r="I2810" s="56"/>
    </row>
    <row r="2811" spans="1:9" customFormat="1" ht="21.95" customHeight="1" x14ac:dyDescent="0.15">
      <c r="A2811" s="17"/>
      <c r="B2811" s="37"/>
      <c r="C2811" s="37"/>
      <c r="D2811" s="40"/>
      <c r="E2811" s="15"/>
      <c r="F2811" s="85"/>
      <c r="G2811" s="42"/>
      <c r="H2811" s="38"/>
      <c r="I2811" s="56"/>
    </row>
    <row r="2812" spans="1:9" ht="21.95" customHeight="1" x14ac:dyDescent="0.15">
      <c r="A2812" s="17"/>
      <c r="B2812" s="37"/>
      <c r="C2812" s="37"/>
      <c r="D2812" s="37"/>
      <c r="E2812" s="15"/>
      <c r="F2812" s="85"/>
      <c r="G2812" s="17"/>
      <c r="H2812" s="38"/>
    </row>
    <row r="2813" spans="1:9" ht="21.95" customHeight="1" x14ac:dyDescent="0.15">
      <c r="A2813" s="17"/>
      <c r="B2813" s="37"/>
      <c r="C2813" s="37"/>
      <c r="D2813" s="37"/>
      <c r="E2813" s="15"/>
      <c r="F2813" s="85"/>
      <c r="H2813" s="38"/>
    </row>
    <row r="2814" spans="1:9" ht="21.95" customHeight="1" x14ac:dyDescent="0.15">
      <c r="A2814" s="17"/>
      <c r="B2814" s="37"/>
      <c r="C2814" s="37"/>
      <c r="D2814" s="37"/>
      <c r="E2814" s="15"/>
      <c r="F2814" s="85"/>
      <c r="H2814" s="38"/>
    </row>
    <row r="2815" spans="1:9" ht="21.95" customHeight="1" x14ac:dyDescent="0.15">
      <c r="A2815" s="17"/>
      <c r="B2815" s="37"/>
      <c r="C2815" s="37"/>
      <c r="D2815" s="37"/>
      <c r="E2815" s="15"/>
      <c r="F2815" s="85"/>
      <c r="G2815" s="17"/>
      <c r="H2815" s="38"/>
    </row>
    <row r="2816" spans="1:9" customFormat="1" ht="21.95" customHeight="1" x14ac:dyDescent="0.15">
      <c r="A2816" s="17"/>
      <c r="B2816" s="37"/>
      <c r="C2816" s="37"/>
      <c r="D2816" s="37"/>
      <c r="E2816" s="15"/>
      <c r="F2816" s="85"/>
      <c r="G2816" s="17"/>
      <c r="H2816" s="38"/>
      <c r="I2816" s="42"/>
    </row>
    <row r="2817" spans="1:9" customFormat="1" ht="21.95" customHeight="1" x14ac:dyDescent="0.15">
      <c r="A2817" s="17"/>
      <c r="B2817" s="37"/>
      <c r="C2817" s="37"/>
      <c r="D2817" s="37"/>
      <c r="E2817" s="15"/>
      <c r="F2817" s="85"/>
      <c r="G2817" s="17"/>
      <c r="H2817" s="38"/>
      <c r="I2817" s="42"/>
    </row>
    <row r="2818" spans="1:9" customFormat="1" ht="21.95" customHeight="1" x14ac:dyDescent="0.15">
      <c r="A2818" s="17"/>
      <c r="B2818" s="37"/>
      <c r="C2818" s="37"/>
      <c r="D2818" s="37"/>
      <c r="E2818" s="15"/>
      <c r="F2818" s="85"/>
      <c r="G2818" s="17"/>
      <c r="H2818" s="38"/>
      <c r="I2818" s="42"/>
    </row>
    <row r="2819" spans="1:9" customFormat="1" ht="21.95" customHeight="1" x14ac:dyDescent="0.15">
      <c r="A2819" s="17"/>
      <c r="B2819" s="37"/>
      <c r="C2819" s="37"/>
      <c r="D2819" s="37"/>
      <c r="E2819" s="15"/>
      <c r="F2819" s="85"/>
      <c r="G2819" s="17"/>
      <c r="H2819" s="38"/>
      <c r="I2819" s="42"/>
    </row>
    <row r="2820" spans="1:9" customFormat="1" ht="21.95" customHeight="1" x14ac:dyDescent="0.15">
      <c r="A2820" s="17"/>
      <c r="B2820" s="37"/>
      <c r="C2820" s="37"/>
      <c r="D2820" s="37"/>
      <c r="E2820" s="15"/>
      <c r="F2820" s="85"/>
      <c r="G2820" s="17"/>
      <c r="H2820" s="38"/>
      <c r="I2820" s="42"/>
    </row>
    <row r="2821" spans="1:9" customFormat="1" ht="21.95" customHeight="1" x14ac:dyDescent="0.15">
      <c r="A2821" s="17"/>
      <c r="B2821" s="37"/>
      <c r="C2821" s="37"/>
      <c r="D2821" s="37"/>
      <c r="E2821" s="15"/>
      <c r="F2821" s="85"/>
      <c r="G2821" s="17"/>
      <c r="H2821" s="38"/>
      <c r="I2821" s="42"/>
    </row>
    <row r="2822" spans="1:9" customFormat="1" ht="21.95" customHeight="1" x14ac:dyDescent="0.15">
      <c r="A2822" s="17"/>
      <c r="B2822" s="37"/>
      <c r="C2822" s="37"/>
      <c r="D2822" s="37"/>
      <c r="E2822" s="15"/>
      <c r="F2822" s="85"/>
      <c r="G2822" s="17"/>
      <c r="H2822" s="38"/>
      <c r="I2822" s="42"/>
    </row>
    <row r="2823" spans="1:9" customFormat="1" ht="21.95" customHeight="1" x14ac:dyDescent="0.15">
      <c r="A2823" s="17"/>
      <c r="B2823" s="37"/>
      <c r="C2823" s="37"/>
      <c r="D2823" s="37"/>
      <c r="E2823" s="15"/>
      <c r="F2823" s="85"/>
      <c r="G2823" s="17"/>
      <c r="H2823" s="38"/>
      <c r="I2823" s="42"/>
    </row>
    <row r="2824" spans="1:9" customFormat="1" ht="21.95" customHeight="1" x14ac:dyDescent="0.15">
      <c r="A2824" s="17"/>
      <c r="B2824" s="37"/>
      <c r="C2824" s="37"/>
      <c r="D2824" s="37"/>
      <c r="E2824" s="15"/>
      <c r="F2824" s="85"/>
      <c r="G2824" s="17"/>
      <c r="H2824" s="38"/>
      <c r="I2824" s="42"/>
    </row>
    <row r="2825" spans="1:9" customFormat="1" ht="21.95" customHeight="1" x14ac:dyDescent="0.15">
      <c r="A2825" s="17"/>
      <c r="B2825" s="37"/>
      <c r="C2825" s="37"/>
      <c r="D2825" s="37"/>
      <c r="E2825" s="15"/>
      <c r="F2825" s="85"/>
      <c r="G2825" s="17"/>
      <c r="H2825" s="38"/>
      <c r="I2825" s="56"/>
    </row>
    <row r="2826" spans="1:9" customFormat="1" ht="21.95" customHeight="1" x14ac:dyDescent="0.15">
      <c r="A2826" s="17"/>
      <c r="B2826" s="37"/>
      <c r="C2826" s="37"/>
      <c r="D2826" s="37"/>
      <c r="E2826" s="15"/>
      <c r="F2826" s="85"/>
      <c r="G2826" s="17"/>
      <c r="H2826" s="38"/>
      <c r="I2826" s="56"/>
    </row>
    <row r="2827" spans="1:9" customFormat="1" ht="32.1" customHeight="1" x14ac:dyDescent="0.15">
      <c r="A2827" s="17"/>
      <c r="B2827" s="37"/>
      <c r="C2827" s="37"/>
      <c r="D2827" s="37"/>
      <c r="E2827" s="15"/>
      <c r="F2827" s="85"/>
      <c r="G2827" s="17"/>
      <c r="H2827" s="38"/>
      <c r="I2827" s="56"/>
    </row>
    <row r="2828" spans="1:9" customFormat="1" ht="32.1" customHeight="1" x14ac:dyDescent="0.15">
      <c r="A2828" s="17"/>
      <c r="B2828" s="37"/>
      <c r="C2828" s="37"/>
      <c r="D2828" s="37"/>
      <c r="E2828" s="15"/>
      <c r="F2828" s="85"/>
      <c r="G2828" s="17"/>
      <c r="H2828" s="38"/>
      <c r="I2828" s="56"/>
    </row>
    <row r="2829" spans="1:9" customFormat="1" ht="32.1" customHeight="1" x14ac:dyDescent="0.15">
      <c r="A2829" s="17"/>
      <c r="B2829" s="37"/>
      <c r="C2829" s="37"/>
      <c r="D2829" s="37"/>
      <c r="E2829" s="15"/>
      <c r="F2829" s="85"/>
      <c r="G2829" s="17"/>
      <c r="H2829" s="38"/>
      <c r="I2829" s="56"/>
    </row>
    <row r="2830" spans="1:9" customFormat="1" ht="32.1" customHeight="1" x14ac:dyDescent="0.15">
      <c r="A2830" s="17"/>
      <c r="B2830" s="37"/>
      <c r="C2830" s="37"/>
      <c r="D2830" s="37"/>
      <c r="E2830" s="15"/>
      <c r="F2830" s="85"/>
      <c r="G2830" s="17"/>
      <c r="H2830" s="38"/>
      <c r="I2830" s="56"/>
    </row>
    <row r="2831" spans="1:9" customFormat="1" ht="32.1" customHeight="1" x14ac:dyDescent="0.15">
      <c r="A2831" s="17"/>
      <c r="B2831" s="37"/>
      <c r="C2831" s="37"/>
      <c r="D2831" s="37"/>
      <c r="E2831" s="15"/>
      <c r="F2831" s="85"/>
      <c r="G2831" s="17"/>
      <c r="H2831" s="38"/>
      <c r="I2831" s="56"/>
    </row>
    <row r="2832" spans="1:9" customFormat="1" ht="32.1" customHeight="1" x14ac:dyDescent="0.15">
      <c r="A2832" s="17"/>
      <c r="B2832" s="37"/>
      <c r="C2832" s="37"/>
      <c r="D2832" s="37"/>
      <c r="E2832" s="15"/>
      <c r="F2832" s="85"/>
      <c r="G2832" s="17"/>
      <c r="H2832" s="38"/>
      <c r="I2832" s="56"/>
    </row>
    <row r="2833" spans="1:9" ht="32.1" customHeight="1" x14ac:dyDescent="0.15">
      <c r="A2833" s="17"/>
      <c r="B2833" s="37"/>
      <c r="C2833" s="37"/>
      <c r="D2833" s="37"/>
      <c r="E2833" s="15"/>
      <c r="F2833" s="85"/>
      <c r="G2833" s="17"/>
      <c r="H2833" s="38"/>
      <c r="I2833" s="37"/>
    </row>
    <row r="2834" spans="1:9" ht="32.1" customHeight="1" x14ac:dyDescent="0.15">
      <c r="A2834" s="17"/>
      <c r="B2834" s="37"/>
      <c r="C2834" s="37"/>
      <c r="D2834" s="37"/>
      <c r="E2834" s="15"/>
      <c r="F2834" s="37"/>
      <c r="G2834" s="17"/>
      <c r="H2834" s="38"/>
      <c r="I2834" s="37"/>
    </row>
    <row r="2835" spans="1:9" ht="32.1" customHeight="1" x14ac:dyDescent="0.15">
      <c r="A2835" s="17"/>
      <c r="B2835" s="37"/>
      <c r="C2835" s="37"/>
      <c r="D2835" s="37"/>
      <c r="E2835" s="15"/>
      <c r="F2835" s="37"/>
      <c r="G2835" s="17"/>
      <c r="H2835" s="38"/>
      <c r="I2835" s="37"/>
    </row>
    <row r="2836" spans="1:9" ht="32.1" customHeight="1" x14ac:dyDescent="0.15">
      <c r="A2836" s="17"/>
      <c r="B2836" s="37"/>
      <c r="C2836" s="37"/>
      <c r="D2836" s="37"/>
      <c r="E2836" s="15"/>
      <c r="F2836" s="37"/>
      <c r="G2836" s="17"/>
      <c r="H2836" s="38"/>
      <c r="I2836" s="37"/>
    </row>
    <row r="2837" spans="1:9" ht="21.95" customHeight="1" x14ac:dyDescent="0.15">
      <c r="A2837" s="17"/>
      <c r="B2837" s="37"/>
      <c r="C2837" s="37"/>
      <c r="D2837" s="37"/>
      <c r="E2837" s="15"/>
      <c r="F2837" s="37"/>
      <c r="G2837" s="17"/>
      <c r="H2837" s="38"/>
      <c r="I2837" s="37"/>
    </row>
    <row r="2838" spans="1:9" ht="54" customHeight="1" x14ac:dyDescent="0.15">
      <c r="A2838" s="17"/>
      <c r="B2838" s="37"/>
      <c r="C2838" s="37"/>
      <c r="D2838" s="37"/>
      <c r="E2838" s="15"/>
      <c r="F2838" s="37"/>
      <c r="G2838" s="17"/>
      <c r="H2838" s="38"/>
      <c r="I2838" s="37"/>
    </row>
    <row r="2839" spans="1:9" ht="21.95" customHeight="1" x14ac:dyDescent="0.15">
      <c r="A2839" s="17"/>
      <c r="B2839" s="37"/>
      <c r="C2839" s="37"/>
      <c r="D2839" s="37"/>
      <c r="E2839" s="15"/>
      <c r="F2839" s="37"/>
      <c r="G2839" s="17"/>
      <c r="H2839" s="38"/>
      <c r="I2839" s="37"/>
    </row>
    <row r="2840" spans="1:9" ht="21.95" customHeight="1" x14ac:dyDescent="0.15">
      <c r="A2840" s="17"/>
      <c r="B2840" s="37"/>
      <c r="C2840" s="37"/>
      <c r="D2840" s="37"/>
      <c r="E2840" s="15"/>
      <c r="F2840" s="37"/>
      <c r="G2840" s="17"/>
      <c r="H2840" s="38"/>
      <c r="I2840" s="37"/>
    </row>
    <row r="2841" spans="1:9" ht="21.95" customHeight="1" x14ac:dyDescent="0.15">
      <c r="A2841" s="17"/>
      <c r="B2841" s="37"/>
      <c r="C2841" s="37"/>
      <c r="D2841" s="37"/>
      <c r="E2841" s="15"/>
      <c r="F2841" s="37"/>
      <c r="G2841" s="17"/>
      <c r="H2841" s="38"/>
      <c r="I2841" s="37"/>
    </row>
    <row r="2842" spans="1:9" ht="21.95" customHeight="1" x14ac:dyDescent="0.15">
      <c r="A2842" s="17"/>
      <c r="B2842" s="37"/>
      <c r="C2842" s="37"/>
      <c r="D2842" s="37"/>
      <c r="E2842" s="15"/>
      <c r="F2842" s="37"/>
      <c r="G2842" s="17"/>
      <c r="H2842" s="38"/>
      <c r="I2842" s="37"/>
    </row>
    <row r="2843" spans="1:9" ht="21.95" customHeight="1" x14ac:dyDescent="0.15">
      <c r="A2843" s="17"/>
      <c r="B2843" s="37"/>
      <c r="C2843" s="37"/>
      <c r="E2843" s="15"/>
      <c r="G2843" s="17"/>
      <c r="H2843" s="38"/>
    </row>
    <row r="2844" spans="1:9" ht="21.95" customHeight="1" x14ac:dyDescent="0.15">
      <c r="A2844" s="17"/>
      <c r="B2844" s="37"/>
      <c r="C2844" s="37"/>
      <c r="E2844" s="15"/>
      <c r="G2844" s="17"/>
      <c r="H2844" s="38"/>
    </row>
    <row r="2845" spans="1:9" ht="21.95" customHeight="1" x14ac:dyDescent="0.15">
      <c r="A2845" s="17"/>
      <c r="B2845" s="37"/>
      <c r="C2845" s="37"/>
      <c r="E2845" s="15"/>
      <c r="F2845" s="37"/>
      <c r="G2845" s="13"/>
      <c r="H2845" s="38"/>
    </row>
    <row r="2846" spans="1:9" ht="21.95" customHeight="1" x14ac:dyDescent="0.15">
      <c r="A2846" s="17"/>
      <c r="B2846" s="37"/>
      <c r="C2846" s="37"/>
      <c r="E2846" s="15"/>
      <c r="F2846" s="37"/>
      <c r="G2846" s="13"/>
      <c r="H2846" s="38"/>
    </row>
    <row r="2847" spans="1:9" ht="21.95" customHeight="1" x14ac:dyDescent="0.15">
      <c r="A2847" s="17"/>
      <c r="B2847" s="37"/>
      <c r="C2847" s="37"/>
      <c r="D2847" s="37"/>
      <c r="E2847" s="15"/>
      <c r="F2847" s="37"/>
      <c r="G2847" s="13"/>
      <c r="H2847" s="38"/>
    </row>
    <row r="2848" spans="1:9" ht="21.95" customHeight="1" x14ac:dyDescent="0.15">
      <c r="A2848" s="17"/>
      <c r="B2848" s="37"/>
      <c r="C2848" s="37"/>
      <c r="D2848" s="37"/>
      <c r="E2848" s="15"/>
      <c r="F2848" s="37"/>
      <c r="G2848" s="13"/>
      <c r="H2848" s="38"/>
    </row>
    <row r="2849" spans="1:8" ht="21.95" customHeight="1" x14ac:dyDescent="0.15">
      <c r="A2849" s="17"/>
      <c r="B2849" s="37"/>
      <c r="C2849" s="37"/>
      <c r="D2849" s="37"/>
      <c r="E2849" s="15"/>
      <c r="F2849" s="37"/>
      <c r="G2849" s="13"/>
      <c r="H2849" s="38"/>
    </row>
    <row r="2850" spans="1:8" ht="21.95" customHeight="1" x14ac:dyDescent="0.15">
      <c r="A2850" s="17"/>
      <c r="B2850" s="37"/>
      <c r="C2850" s="37"/>
      <c r="D2850" s="37"/>
      <c r="E2850" s="15"/>
      <c r="F2850" s="37"/>
      <c r="G2850" s="13"/>
      <c r="H2850" s="38"/>
    </row>
    <row r="2851" spans="1:8" ht="21.95" customHeight="1" x14ac:dyDescent="0.15">
      <c r="A2851" s="17"/>
      <c r="B2851" s="37"/>
      <c r="C2851" s="37"/>
      <c r="D2851" s="37"/>
      <c r="E2851" s="15"/>
      <c r="F2851" s="37"/>
      <c r="G2851" s="13"/>
      <c r="H2851" s="38"/>
    </row>
    <row r="2852" spans="1:8" ht="21.95" customHeight="1" x14ac:dyDescent="0.15">
      <c r="A2852" s="17"/>
      <c r="B2852" s="37"/>
      <c r="C2852" s="37"/>
      <c r="D2852" s="37"/>
      <c r="E2852" s="15"/>
      <c r="F2852" s="37"/>
      <c r="G2852" s="13"/>
      <c r="H2852" s="38"/>
    </row>
    <row r="2853" spans="1:8" ht="21.95" customHeight="1" x14ac:dyDescent="0.15">
      <c r="A2853" s="17"/>
      <c r="B2853" s="37"/>
      <c r="C2853" s="37"/>
      <c r="D2853" s="37"/>
      <c r="E2853" s="15"/>
      <c r="F2853" s="37"/>
      <c r="G2853" s="13"/>
      <c r="H2853" s="38"/>
    </row>
    <row r="2854" spans="1:8" ht="21.95" customHeight="1" x14ac:dyDescent="0.15">
      <c r="A2854" s="17"/>
      <c r="B2854" s="37"/>
      <c r="C2854" s="37"/>
      <c r="D2854" s="37"/>
      <c r="E2854" s="15"/>
      <c r="F2854" s="37"/>
      <c r="G2854" s="13"/>
      <c r="H2854" s="38"/>
    </row>
    <row r="2855" spans="1:8" ht="21.95" customHeight="1" x14ac:dyDescent="0.15">
      <c r="A2855" s="17"/>
      <c r="B2855" s="37"/>
      <c r="C2855" s="37"/>
      <c r="D2855" s="37"/>
      <c r="E2855" s="15"/>
      <c r="F2855" s="37"/>
      <c r="G2855" s="13"/>
      <c r="H2855" s="38"/>
    </row>
    <row r="2856" spans="1:8" ht="21.95" customHeight="1" x14ac:dyDescent="0.15">
      <c r="A2856" s="17"/>
      <c r="B2856" s="37"/>
      <c r="C2856" s="37"/>
      <c r="D2856" s="37"/>
      <c r="E2856" s="15"/>
      <c r="F2856" s="37"/>
      <c r="G2856" s="13"/>
      <c r="H2856" s="15"/>
    </row>
    <row r="2857" spans="1:8" ht="21.95" customHeight="1" x14ac:dyDescent="0.15">
      <c r="A2857" s="17"/>
      <c r="B2857" s="37"/>
      <c r="C2857" s="37"/>
      <c r="D2857" s="37"/>
      <c r="E2857" s="15"/>
      <c r="F2857" s="37"/>
      <c r="G2857" s="13"/>
      <c r="H2857" s="15"/>
    </row>
    <row r="2858" spans="1:8" ht="21.95" customHeight="1" x14ac:dyDescent="0.15">
      <c r="A2858" s="17"/>
      <c r="B2858" s="37"/>
      <c r="C2858" s="37"/>
      <c r="D2858" s="37"/>
      <c r="E2858" s="15"/>
      <c r="F2858" s="37"/>
      <c r="G2858" s="13"/>
      <c r="H2858" s="15"/>
    </row>
    <row r="2859" spans="1:8" ht="21.95" customHeight="1" x14ac:dyDescent="0.15">
      <c r="A2859" s="17"/>
      <c r="B2859" s="37"/>
      <c r="C2859" s="37"/>
      <c r="D2859" s="37"/>
      <c r="E2859" s="15"/>
      <c r="F2859" s="37"/>
      <c r="G2859" s="13"/>
      <c r="H2859" s="15"/>
    </row>
    <row r="2860" spans="1:8" ht="21.95" customHeight="1" x14ac:dyDescent="0.15">
      <c r="A2860" s="17"/>
      <c r="B2860" s="37"/>
      <c r="C2860" s="37"/>
      <c r="D2860" s="37"/>
      <c r="E2860" s="15"/>
      <c r="F2860" s="37"/>
      <c r="G2860" s="13"/>
      <c r="H2860" s="15"/>
    </row>
    <row r="2861" spans="1:8" ht="21.95" customHeight="1" x14ac:dyDescent="0.15">
      <c r="A2861" s="17"/>
      <c r="B2861" s="37"/>
      <c r="C2861" s="37"/>
      <c r="D2861" s="37"/>
      <c r="E2861" s="15"/>
      <c r="F2861" s="37"/>
      <c r="G2861" s="13"/>
      <c r="H2861" s="15"/>
    </row>
    <row r="2862" spans="1:8" ht="21.95" customHeight="1" x14ac:dyDescent="0.15">
      <c r="A2862" s="17"/>
      <c r="B2862" s="37"/>
      <c r="C2862" s="37"/>
      <c r="D2862" s="37"/>
      <c r="E2862" s="15"/>
      <c r="F2862" s="37"/>
      <c r="G2862" s="13"/>
      <c r="H2862" s="15"/>
    </row>
    <row r="2863" spans="1:8" ht="21.95" customHeight="1" x14ac:dyDescent="0.15">
      <c r="A2863" s="17"/>
      <c r="B2863" s="37"/>
      <c r="C2863" s="37"/>
      <c r="D2863" s="37"/>
      <c r="E2863" s="15"/>
      <c r="F2863" s="37"/>
      <c r="G2863" s="13"/>
      <c r="H2863" s="15"/>
    </row>
    <row r="2864" spans="1:8" ht="21.95" customHeight="1" x14ac:dyDescent="0.15">
      <c r="A2864" s="17"/>
      <c r="B2864" s="37"/>
      <c r="C2864" s="37"/>
      <c r="D2864" s="37"/>
      <c r="E2864" s="15"/>
      <c r="F2864" s="37"/>
      <c r="G2864" s="13"/>
      <c r="H2864" s="15"/>
    </row>
    <row r="2865" spans="1:8" ht="21.95" customHeight="1" x14ac:dyDescent="0.15">
      <c r="A2865" s="17"/>
      <c r="B2865" s="37"/>
      <c r="C2865" s="37"/>
      <c r="D2865" s="37"/>
      <c r="E2865" s="15"/>
      <c r="F2865" s="37"/>
      <c r="G2865" s="13"/>
      <c r="H2865" s="15"/>
    </row>
    <row r="2866" spans="1:8" ht="21.95" customHeight="1" x14ac:dyDescent="0.15">
      <c r="A2866" s="17"/>
      <c r="B2866" s="37"/>
      <c r="C2866" s="37"/>
      <c r="D2866" s="37"/>
      <c r="E2866" s="15"/>
      <c r="F2866" s="37"/>
      <c r="G2866" s="13"/>
      <c r="H2866" s="15"/>
    </row>
    <row r="2867" spans="1:8" ht="21.95" customHeight="1" x14ac:dyDescent="0.15">
      <c r="A2867" s="17"/>
      <c r="B2867" s="37"/>
      <c r="C2867" s="37"/>
      <c r="D2867" s="37"/>
      <c r="E2867" s="15"/>
      <c r="F2867" s="37"/>
      <c r="G2867" s="13"/>
      <c r="H2867" s="15"/>
    </row>
    <row r="2868" spans="1:8" ht="21.95" customHeight="1" x14ac:dyDescent="0.15">
      <c r="A2868" s="17"/>
      <c r="B2868" s="37"/>
      <c r="C2868" s="37"/>
      <c r="D2868" s="37"/>
      <c r="E2868" s="15"/>
      <c r="F2868" s="37"/>
      <c r="G2868" s="13"/>
      <c r="H2868" s="15"/>
    </row>
    <row r="2869" spans="1:8" ht="21.95" customHeight="1" x14ac:dyDescent="0.15">
      <c r="A2869" s="17"/>
      <c r="B2869" s="37"/>
      <c r="C2869" s="37"/>
      <c r="D2869" s="37"/>
      <c r="E2869" s="15"/>
      <c r="F2869" s="37"/>
      <c r="G2869" s="13"/>
      <c r="H2869" s="15"/>
    </row>
    <row r="2870" spans="1:8" ht="21.95" customHeight="1" x14ac:dyDescent="0.15">
      <c r="A2870" s="17"/>
      <c r="B2870" s="37"/>
      <c r="C2870" s="37"/>
      <c r="D2870" s="37"/>
      <c r="E2870" s="15"/>
      <c r="F2870" s="37"/>
      <c r="G2870" s="13"/>
      <c r="H2870" s="15"/>
    </row>
    <row r="2871" spans="1:8" ht="21.95" customHeight="1" x14ac:dyDescent="0.15">
      <c r="A2871" s="17"/>
      <c r="B2871" s="37"/>
      <c r="C2871" s="37"/>
      <c r="D2871" s="37"/>
      <c r="E2871" s="15"/>
      <c r="F2871" s="37"/>
      <c r="G2871" s="13"/>
      <c r="H2871" s="15"/>
    </row>
    <row r="2872" spans="1:8" ht="21.95" customHeight="1" x14ac:dyDescent="0.15">
      <c r="A2872" s="17"/>
      <c r="B2872" s="37"/>
      <c r="C2872" s="37"/>
      <c r="D2872" s="37"/>
      <c r="E2872" s="15"/>
      <c r="F2872" s="37"/>
      <c r="G2872" s="13"/>
      <c r="H2872" s="15"/>
    </row>
    <row r="2873" spans="1:8" ht="21.95" customHeight="1" x14ac:dyDescent="0.15">
      <c r="A2873" s="17"/>
      <c r="B2873" s="37"/>
      <c r="C2873" s="37"/>
      <c r="D2873" s="37"/>
      <c r="E2873" s="15"/>
      <c r="F2873" s="37"/>
      <c r="G2873" s="13"/>
      <c r="H2873" s="15"/>
    </row>
    <row r="2874" spans="1:8" ht="21.95" customHeight="1" x14ac:dyDescent="0.15">
      <c r="A2874" s="17"/>
      <c r="B2874" s="37"/>
      <c r="C2874" s="37"/>
      <c r="D2874" s="37"/>
      <c r="E2874" s="15"/>
      <c r="F2874" s="37"/>
      <c r="G2874" s="37"/>
      <c r="H2874" s="15"/>
    </row>
    <row r="2875" spans="1:8" ht="21.95" customHeight="1" x14ac:dyDescent="0.15">
      <c r="A2875" s="17"/>
      <c r="B2875" s="37"/>
      <c r="C2875" s="37"/>
      <c r="D2875" s="37"/>
      <c r="E2875" s="15"/>
      <c r="F2875" s="37"/>
      <c r="G2875" s="13"/>
      <c r="H2875" s="15"/>
    </row>
    <row r="2876" spans="1:8" ht="21.95" customHeight="1" x14ac:dyDescent="0.15">
      <c r="A2876" s="17"/>
      <c r="B2876" s="37"/>
      <c r="C2876" s="37"/>
      <c r="D2876" s="37"/>
      <c r="E2876" s="15"/>
      <c r="F2876" s="37"/>
      <c r="G2876" s="13"/>
      <c r="H2876" s="15"/>
    </row>
    <row r="2877" spans="1:8" ht="21.95" customHeight="1" x14ac:dyDescent="0.15">
      <c r="A2877" s="17"/>
      <c r="B2877" s="37"/>
      <c r="C2877" s="37"/>
      <c r="D2877" s="37"/>
      <c r="E2877" s="15"/>
      <c r="F2877" s="37"/>
      <c r="G2877" s="13"/>
      <c r="H2877" s="15"/>
    </row>
    <row r="2878" spans="1:8" ht="21.95" customHeight="1" x14ac:dyDescent="0.15">
      <c r="A2878" s="17"/>
      <c r="B2878" s="37"/>
      <c r="C2878" s="37"/>
      <c r="D2878" s="37"/>
      <c r="E2878" s="15"/>
      <c r="F2878" s="37"/>
      <c r="G2878" s="13"/>
      <c r="H2878" s="15"/>
    </row>
    <row r="2879" spans="1:8" ht="21.95" customHeight="1" x14ac:dyDescent="0.15">
      <c r="A2879" s="17"/>
      <c r="B2879" s="37"/>
      <c r="C2879" s="37"/>
      <c r="D2879" s="37"/>
      <c r="E2879" s="15"/>
      <c r="F2879" s="37"/>
      <c r="G2879" s="13"/>
      <c r="H2879" s="15"/>
    </row>
    <row r="2880" spans="1:8" ht="21.95" customHeight="1" x14ac:dyDescent="0.15">
      <c r="A2880" s="17"/>
      <c r="B2880" s="37"/>
      <c r="C2880" s="37"/>
      <c r="D2880" s="37"/>
      <c r="E2880" s="15"/>
      <c r="F2880" s="37"/>
      <c r="G2880" s="13"/>
      <c r="H2880" s="15"/>
    </row>
    <row r="2881" spans="1:9" ht="21.95" customHeight="1" x14ac:dyDescent="0.15">
      <c r="A2881" s="17"/>
      <c r="B2881" s="37"/>
      <c r="C2881" s="37"/>
      <c r="D2881" s="37"/>
      <c r="E2881" s="15"/>
      <c r="F2881" s="37"/>
      <c r="G2881" s="13"/>
      <c r="H2881" s="15"/>
    </row>
    <row r="2882" spans="1:9" ht="21.95" customHeight="1" x14ac:dyDescent="0.15">
      <c r="A2882" s="17"/>
      <c r="B2882" s="37"/>
      <c r="C2882" s="37"/>
      <c r="D2882" s="37"/>
      <c r="E2882" s="15"/>
      <c r="F2882" s="37"/>
      <c r="G2882" s="13"/>
      <c r="H2882" s="15"/>
    </row>
    <row r="2883" spans="1:9" ht="21.95" customHeight="1" x14ac:dyDescent="0.15">
      <c r="A2883" s="17"/>
      <c r="B2883" s="37"/>
      <c r="C2883" s="37"/>
      <c r="D2883" s="37"/>
      <c r="E2883" s="15"/>
      <c r="F2883" s="37"/>
      <c r="G2883" s="13"/>
      <c r="H2883" s="15"/>
    </row>
    <row r="2884" spans="1:9" ht="21.95" customHeight="1" x14ac:dyDescent="0.15">
      <c r="A2884" s="17"/>
      <c r="B2884" s="37"/>
      <c r="C2884" s="37"/>
      <c r="D2884" s="37"/>
      <c r="E2884" s="15"/>
      <c r="F2884" s="37"/>
      <c r="G2884" s="13"/>
      <c r="H2884" s="15"/>
    </row>
    <row r="2885" spans="1:9" ht="21.95" customHeight="1" x14ac:dyDescent="0.15">
      <c r="A2885" s="17"/>
      <c r="B2885" s="37"/>
      <c r="C2885" s="37"/>
      <c r="D2885" s="37"/>
      <c r="E2885" s="15"/>
      <c r="F2885" s="37"/>
      <c r="G2885" s="13"/>
      <c r="H2885" s="15"/>
    </row>
    <row r="2886" spans="1:9" ht="21.95" customHeight="1" x14ac:dyDescent="0.15">
      <c r="A2886" s="17"/>
      <c r="B2886" s="37"/>
      <c r="C2886" s="37"/>
      <c r="D2886" s="37"/>
      <c r="E2886" s="15"/>
      <c r="F2886" s="37"/>
      <c r="G2886" s="13"/>
      <c r="H2886" s="15"/>
    </row>
    <row r="2887" spans="1:9" ht="21.95" customHeight="1" x14ac:dyDescent="0.15">
      <c r="A2887" s="17"/>
      <c r="B2887" s="37"/>
      <c r="C2887" s="37"/>
      <c r="D2887" s="37"/>
      <c r="E2887" s="15"/>
      <c r="F2887" s="37"/>
      <c r="G2887" s="13"/>
      <c r="H2887" s="38"/>
      <c r="I2887" s="84"/>
    </row>
    <row r="2888" spans="1:9" ht="21.95" customHeight="1" x14ac:dyDescent="0.15">
      <c r="A2888" s="17"/>
      <c r="B2888" s="37"/>
      <c r="C2888" s="37"/>
      <c r="D2888" s="37"/>
      <c r="E2888" s="15"/>
      <c r="F2888" s="37"/>
      <c r="G2888" s="13"/>
      <c r="H2888" s="15"/>
      <c r="I2888" s="84"/>
    </row>
    <row r="2889" spans="1:9" ht="35.1" customHeight="1" x14ac:dyDescent="0.15">
      <c r="A2889" s="17"/>
      <c r="B2889" s="37"/>
      <c r="C2889" s="37"/>
      <c r="D2889" s="37"/>
      <c r="E2889" s="15"/>
      <c r="F2889" s="15"/>
      <c r="G2889" s="37"/>
      <c r="H2889" s="15"/>
    </row>
    <row r="2890" spans="1:9" ht="21.95" customHeight="1" x14ac:dyDescent="0.15">
      <c r="A2890" s="17"/>
      <c r="B2890" s="37"/>
      <c r="C2890" s="37"/>
      <c r="D2890" s="37"/>
      <c r="E2890" s="15"/>
      <c r="F2890" s="37"/>
      <c r="G2890" s="13"/>
      <c r="H2890" s="15"/>
    </row>
    <row r="2891" spans="1:9" ht="21.95" customHeight="1" x14ac:dyDescent="0.15">
      <c r="A2891" s="17"/>
      <c r="B2891" s="37"/>
      <c r="C2891" s="37"/>
      <c r="D2891" s="37"/>
      <c r="E2891" s="15"/>
      <c r="F2891" s="37"/>
      <c r="G2891" s="13"/>
      <c r="H2891" s="15"/>
    </row>
    <row r="2892" spans="1:9" ht="21.95" customHeight="1" x14ac:dyDescent="0.15">
      <c r="A2892" s="17"/>
      <c r="B2892" s="37"/>
      <c r="C2892" s="37"/>
      <c r="D2892" s="37"/>
      <c r="E2892" s="15"/>
      <c r="F2892" s="37"/>
      <c r="G2892" s="13"/>
      <c r="H2892" s="15"/>
    </row>
    <row r="2893" spans="1:9" ht="21.95" customHeight="1" x14ac:dyDescent="0.15">
      <c r="A2893" s="17"/>
      <c r="B2893" s="37"/>
      <c r="C2893" s="37"/>
      <c r="D2893" s="37"/>
      <c r="E2893" s="15"/>
      <c r="F2893" s="37"/>
      <c r="G2893" s="13"/>
      <c r="H2893" s="15"/>
    </row>
    <row r="2894" spans="1:9" ht="21.95" customHeight="1" x14ac:dyDescent="0.15">
      <c r="A2894" s="17"/>
      <c r="B2894" s="37"/>
      <c r="C2894" s="37"/>
      <c r="D2894" s="37"/>
      <c r="E2894" s="15"/>
      <c r="F2894" s="37"/>
      <c r="G2894" s="13"/>
      <c r="H2894" s="15"/>
    </row>
    <row r="2895" spans="1:9" ht="21.95" customHeight="1" x14ac:dyDescent="0.15">
      <c r="A2895" s="17"/>
      <c r="B2895" s="37"/>
      <c r="C2895" s="37"/>
      <c r="D2895" s="37"/>
      <c r="E2895" s="15"/>
      <c r="F2895" s="37"/>
      <c r="G2895" s="13"/>
      <c r="H2895" s="15"/>
      <c r="I2895" s="37"/>
    </row>
    <row r="2896" spans="1:9" ht="21.95" customHeight="1" x14ac:dyDescent="0.15">
      <c r="A2896" s="17"/>
      <c r="B2896" s="37"/>
      <c r="C2896" s="37"/>
      <c r="D2896" s="37"/>
      <c r="E2896" s="15"/>
      <c r="F2896" s="37"/>
      <c r="G2896" s="37"/>
      <c r="H2896" s="15"/>
      <c r="I2896" s="37"/>
    </row>
    <row r="2897" spans="1:9" ht="21.95" customHeight="1" x14ac:dyDescent="0.15">
      <c r="A2897" s="17"/>
      <c r="B2897" s="37"/>
      <c r="C2897" s="37"/>
      <c r="D2897" s="37"/>
      <c r="E2897" s="15"/>
      <c r="F2897" s="37"/>
      <c r="G2897" s="37"/>
      <c r="H2897" s="38"/>
      <c r="I2897" s="37"/>
    </row>
    <row r="2898" spans="1:9" ht="21.95" customHeight="1" x14ac:dyDescent="0.15">
      <c r="A2898" s="17"/>
      <c r="B2898" s="37"/>
      <c r="C2898" s="37"/>
      <c r="D2898" s="37"/>
      <c r="E2898" s="15"/>
      <c r="F2898" s="37"/>
      <c r="G2898" s="37"/>
      <c r="H2898" s="38"/>
      <c r="I2898" s="37"/>
    </row>
    <row r="2899" spans="1:9" ht="21.95" customHeight="1" x14ac:dyDescent="0.15">
      <c r="A2899" s="17"/>
      <c r="B2899" s="37"/>
      <c r="C2899" s="37"/>
      <c r="D2899" s="37"/>
      <c r="E2899" s="15"/>
      <c r="F2899" s="37"/>
      <c r="G2899" s="13"/>
      <c r="H2899" s="15"/>
      <c r="I2899" s="37"/>
    </row>
    <row r="2900" spans="1:9" ht="21.95" customHeight="1" x14ac:dyDescent="0.15">
      <c r="A2900" s="17"/>
      <c r="B2900" s="37"/>
      <c r="C2900" s="37"/>
      <c r="D2900" s="37"/>
      <c r="E2900" s="15"/>
      <c r="F2900" s="37"/>
      <c r="G2900" s="13"/>
      <c r="H2900" s="15"/>
      <c r="I2900" s="37"/>
    </row>
    <row r="2901" spans="1:9" ht="21.95" customHeight="1" x14ac:dyDescent="0.15">
      <c r="A2901" s="17"/>
      <c r="B2901" s="37"/>
      <c r="C2901" s="37"/>
      <c r="D2901" s="37"/>
      <c r="E2901" s="15"/>
      <c r="F2901" s="37"/>
      <c r="G2901" s="13"/>
      <c r="H2901" s="15"/>
      <c r="I2901" s="37"/>
    </row>
    <row r="2902" spans="1:9" ht="21.95" customHeight="1" x14ac:dyDescent="0.15">
      <c r="A2902" s="17"/>
      <c r="B2902" s="37"/>
      <c r="C2902" s="37"/>
      <c r="E2902" s="15"/>
      <c r="F2902" s="37"/>
      <c r="H2902" s="38"/>
    </row>
    <row r="2903" spans="1:9" ht="21.95" customHeight="1" x14ac:dyDescent="0.15">
      <c r="A2903" s="17"/>
      <c r="B2903" s="37"/>
      <c r="C2903" s="37"/>
      <c r="E2903" s="15"/>
      <c r="F2903" s="37"/>
    </row>
    <row r="2904" spans="1:9" ht="21.95" customHeight="1" x14ac:dyDescent="0.15">
      <c r="A2904" s="17"/>
      <c r="B2904" s="37"/>
      <c r="C2904" s="37"/>
      <c r="E2904" s="15"/>
      <c r="G2904" s="77"/>
    </row>
    <row r="2905" spans="1:9" ht="21.95" customHeight="1" x14ac:dyDescent="0.15">
      <c r="A2905" s="17"/>
      <c r="B2905" s="37"/>
      <c r="C2905" s="37"/>
      <c r="D2905" s="37"/>
      <c r="E2905" s="15"/>
      <c r="F2905" s="37"/>
      <c r="G2905" s="37"/>
      <c r="H2905" s="15"/>
    </row>
    <row r="2906" spans="1:9" ht="21.95" customHeight="1" x14ac:dyDescent="0.15">
      <c r="A2906" s="17"/>
      <c r="B2906" s="37"/>
      <c r="C2906" s="37"/>
      <c r="D2906" s="37"/>
      <c r="E2906" s="15"/>
      <c r="F2906" s="37"/>
      <c r="G2906" s="13"/>
      <c r="H2906" s="15"/>
    </row>
    <row r="2907" spans="1:9" ht="21.95" customHeight="1" x14ac:dyDescent="0.15">
      <c r="A2907" s="17"/>
      <c r="B2907" s="37"/>
      <c r="C2907" s="37"/>
      <c r="D2907" s="37"/>
      <c r="E2907" s="15"/>
      <c r="F2907" s="37"/>
      <c r="G2907" s="13"/>
      <c r="H2907" s="15"/>
    </row>
    <row r="2908" spans="1:9" ht="21.95" customHeight="1" x14ac:dyDescent="0.15">
      <c r="A2908" s="17"/>
      <c r="C2908" s="37"/>
    </row>
    <row r="2909" spans="1:9" ht="21.95" customHeight="1" x14ac:dyDescent="0.15">
      <c r="A2909" s="17"/>
      <c r="B2909" s="37"/>
      <c r="C2909" s="37"/>
      <c r="D2909" s="13"/>
      <c r="E2909" s="15"/>
      <c r="F2909" s="37"/>
      <c r="G2909" s="13"/>
      <c r="H2909" s="15"/>
      <c r="I2909" s="13"/>
    </row>
    <row r="2910" spans="1:9" ht="21.95" customHeight="1" x14ac:dyDescent="0.15">
      <c r="A2910" s="17"/>
      <c r="B2910" s="13"/>
      <c r="C2910" s="13"/>
      <c r="D2910" s="13"/>
      <c r="E2910" s="15"/>
      <c r="F2910" s="37"/>
      <c r="G2910" s="13"/>
      <c r="H2910" s="15"/>
      <c r="I2910" s="13"/>
    </row>
    <row r="2911" spans="1:9" ht="21.95" customHeight="1" x14ac:dyDescent="0.15">
      <c r="A2911" s="17"/>
      <c r="B2911" s="13"/>
      <c r="C2911" s="13"/>
      <c r="D2911" s="13"/>
      <c r="E2911" s="15"/>
      <c r="F2911" s="37"/>
      <c r="G2911" s="13"/>
      <c r="H2911" s="15"/>
      <c r="I2911" s="13"/>
    </row>
    <row r="2912" spans="1:9" ht="21.95" customHeight="1" x14ac:dyDescent="0.15">
      <c r="A2912" s="17"/>
      <c r="B2912" s="13"/>
      <c r="C2912" s="13"/>
      <c r="D2912" s="13"/>
      <c r="E2912" s="15"/>
      <c r="F2912" s="37"/>
      <c r="G2912" s="13"/>
      <c r="H2912" s="15"/>
      <c r="I2912" s="13"/>
    </row>
    <row r="2913" spans="1:9" customFormat="1" ht="21.95" customHeight="1" x14ac:dyDescent="0.15">
      <c r="A2913" s="17"/>
      <c r="B2913" s="40"/>
      <c r="C2913" s="40"/>
      <c r="D2913" s="40"/>
      <c r="E2913" s="38"/>
      <c r="F2913" s="85"/>
      <c r="G2913" s="40"/>
      <c r="H2913" s="38"/>
      <c r="I2913" s="40"/>
    </row>
    <row r="2914" spans="1:9" customFormat="1" ht="21.95" customHeight="1" x14ac:dyDescent="0.15">
      <c r="A2914" s="17"/>
      <c r="B2914" s="37"/>
      <c r="C2914" s="37"/>
      <c r="D2914" s="40"/>
      <c r="E2914" s="15"/>
      <c r="F2914" s="85"/>
      <c r="G2914" s="42"/>
      <c r="H2914" s="38"/>
      <c r="I2914" s="56"/>
    </row>
    <row r="2915" spans="1:9" customFormat="1" ht="21.95" customHeight="1" x14ac:dyDescent="0.15">
      <c r="A2915" s="17"/>
      <c r="B2915" s="37"/>
      <c r="C2915" s="95"/>
      <c r="D2915" s="40"/>
      <c r="E2915" s="15"/>
      <c r="F2915" s="85"/>
      <c r="G2915" s="42"/>
      <c r="H2915" s="38"/>
      <c r="I2915" s="56"/>
    </row>
    <row r="2916" spans="1:9" customFormat="1" ht="21.95" customHeight="1" x14ac:dyDescent="0.15">
      <c r="A2916" s="17"/>
      <c r="B2916" s="37"/>
      <c r="C2916" s="95"/>
      <c r="D2916" s="40"/>
      <c r="E2916" s="15"/>
      <c r="F2916" s="85"/>
      <c r="G2916" s="17"/>
      <c r="H2916" s="38"/>
      <c r="I2916" s="56"/>
    </row>
    <row r="2917" spans="1:9" customFormat="1" ht="21.95" customHeight="1" x14ac:dyDescent="0.15">
      <c r="A2917" s="17"/>
      <c r="B2917" s="37"/>
      <c r="C2917" s="37"/>
      <c r="D2917" s="40"/>
      <c r="E2917" s="15"/>
      <c r="F2917" s="85"/>
      <c r="G2917" s="42"/>
      <c r="H2917" s="38"/>
      <c r="I2917" s="56"/>
    </row>
    <row r="2918" spans="1:9" customFormat="1" ht="21.95" customHeight="1" x14ac:dyDescent="0.15">
      <c r="A2918" s="17"/>
      <c r="B2918" s="37"/>
      <c r="C2918" s="37"/>
      <c r="D2918" s="40"/>
      <c r="E2918" s="15"/>
      <c r="F2918" s="85"/>
      <c r="G2918" s="17"/>
      <c r="H2918" s="38"/>
      <c r="I2918" s="56"/>
    </row>
    <row r="2919" spans="1:9" customFormat="1" ht="21.95" customHeight="1" x14ac:dyDescent="0.15">
      <c r="A2919" s="17"/>
      <c r="B2919" s="37"/>
      <c r="C2919" s="37"/>
      <c r="D2919" s="40"/>
      <c r="E2919" s="15"/>
      <c r="F2919" s="85"/>
      <c r="G2919" s="42"/>
      <c r="H2919" s="38"/>
      <c r="I2919" s="56"/>
    </row>
    <row r="2920" spans="1:9" customFormat="1" ht="21.95" customHeight="1" x14ac:dyDescent="0.15">
      <c r="A2920" s="17"/>
      <c r="B2920" s="37"/>
      <c r="C2920" s="37"/>
      <c r="D2920" s="40"/>
      <c r="E2920" s="15"/>
      <c r="F2920" s="85"/>
      <c r="G2920" s="17"/>
      <c r="H2920" s="38"/>
      <c r="I2920" s="56"/>
    </row>
    <row r="2921" spans="1:9" customFormat="1" ht="21.95" customHeight="1" x14ac:dyDescent="0.15">
      <c r="A2921" s="17"/>
      <c r="B2921" s="37"/>
      <c r="C2921" s="37"/>
      <c r="D2921" s="40"/>
      <c r="E2921" s="15"/>
      <c r="F2921" s="85"/>
      <c r="G2921" s="42"/>
      <c r="H2921" s="38"/>
      <c r="I2921" s="56"/>
    </row>
    <row r="2922" spans="1:9" customFormat="1" ht="21.95" customHeight="1" x14ac:dyDescent="0.15">
      <c r="A2922" s="17"/>
      <c r="B2922" s="37"/>
      <c r="C2922" s="37"/>
      <c r="D2922" s="40"/>
      <c r="E2922" s="15"/>
      <c r="F2922" s="85"/>
      <c r="G2922" s="17"/>
      <c r="H2922" s="38"/>
      <c r="I2922" s="56"/>
    </row>
    <row r="2923" spans="1:9" customFormat="1" ht="21.95" customHeight="1" x14ac:dyDescent="0.15">
      <c r="A2923" s="17"/>
      <c r="B2923" s="37"/>
      <c r="C2923" s="37"/>
      <c r="D2923" s="40"/>
      <c r="E2923" s="15"/>
      <c r="F2923" s="85"/>
      <c r="G2923" s="42"/>
      <c r="H2923" s="38"/>
      <c r="I2923" s="56"/>
    </row>
    <row r="2924" spans="1:9" ht="21.95" customHeight="1" x14ac:dyDescent="0.15">
      <c r="A2924" s="17"/>
      <c r="B2924" s="37"/>
      <c r="C2924" s="37"/>
      <c r="D2924" s="37"/>
      <c r="E2924" s="15"/>
      <c r="F2924" s="85"/>
      <c r="G2924" s="17"/>
      <c r="H2924" s="38"/>
    </row>
    <row r="2925" spans="1:9" ht="21.95" customHeight="1" x14ac:dyDescent="0.15">
      <c r="A2925" s="17"/>
      <c r="B2925" s="37"/>
      <c r="C2925" s="37"/>
      <c r="D2925" s="37"/>
      <c r="E2925" s="15"/>
      <c r="F2925" s="85"/>
      <c r="H2925" s="38"/>
    </row>
    <row r="2926" spans="1:9" ht="21.95" customHeight="1" x14ac:dyDescent="0.15">
      <c r="A2926" s="17"/>
      <c r="B2926" s="37"/>
      <c r="C2926" s="37"/>
      <c r="D2926" s="37"/>
      <c r="E2926" s="15"/>
      <c r="F2926" s="85"/>
      <c r="H2926" s="38"/>
    </row>
    <row r="2927" spans="1:9" ht="21.95" customHeight="1" x14ac:dyDescent="0.15">
      <c r="A2927" s="17"/>
      <c r="B2927" s="37"/>
      <c r="C2927" s="37"/>
      <c r="D2927" s="37"/>
      <c r="E2927" s="15"/>
      <c r="F2927" s="85"/>
      <c r="G2927" s="17"/>
      <c r="H2927" s="38"/>
    </row>
    <row r="2928" spans="1:9" customFormat="1" ht="21.95" customHeight="1" x14ac:dyDescent="0.15">
      <c r="A2928" s="17"/>
      <c r="B2928" s="37"/>
      <c r="C2928" s="37"/>
      <c r="D2928" s="37"/>
      <c r="E2928" s="15"/>
      <c r="F2928" s="85"/>
      <c r="G2928" s="17"/>
      <c r="H2928" s="38"/>
      <c r="I2928" s="42"/>
    </row>
    <row r="2929" spans="1:9" customFormat="1" ht="21.95" customHeight="1" x14ac:dyDescent="0.15">
      <c r="A2929" s="17"/>
      <c r="B2929" s="37"/>
      <c r="C2929" s="37"/>
      <c r="D2929" s="37"/>
      <c r="E2929" s="15"/>
      <c r="F2929" s="85"/>
      <c r="G2929" s="17"/>
      <c r="H2929" s="38"/>
      <c r="I2929" s="42"/>
    </row>
    <row r="2930" spans="1:9" customFormat="1" ht="21.95" customHeight="1" x14ac:dyDescent="0.15">
      <c r="A2930" s="17"/>
      <c r="B2930" s="37"/>
      <c r="C2930" s="37"/>
      <c r="D2930" s="37"/>
      <c r="E2930" s="15"/>
      <c r="F2930" s="85"/>
      <c r="G2930" s="17"/>
      <c r="H2930" s="38"/>
      <c r="I2930" s="42"/>
    </row>
    <row r="2931" spans="1:9" customFormat="1" ht="21.95" customHeight="1" x14ac:dyDescent="0.15">
      <c r="A2931" s="17"/>
      <c r="B2931" s="37"/>
      <c r="C2931" s="37"/>
      <c r="D2931" s="37"/>
      <c r="E2931" s="15"/>
      <c r="F2931" s="85"/>
      <c r="G2931" s="17"/>
      <c r="H2931" s="38"/>
      <c r="I2931" s="42"/>
    </row>
    <row r="2932" spans="1:9" customFormat="1" ht="21.95" customHeight="1" x14ac:dyDescent="0.15">
      <c r="A2932" s="17"/>
      <c r="B2932" s="37"/>
      <c r="C2932" s="37"/>
      <c r="D2932" s="37"/>
      <c r="E2932" s="15"/>
      <c r="F2932" s="85"/>
      <c r="G2932" s="17"/>
      <c r="H2932" s="38"/>
      <c r="I2932" s="42"/>
    </row>
    <row r="2933" spans="1:9" customFormat="1" ht="21.95" customHeight="1" x14ac:dyDescent="0.15">
      <c r="A2933" s="17"/>
      <c r="B2933" s="37"/>
      <c r="C2933" s="37"/>
      <c r="D2933" s="37"/>
      <c r="E2933" s="15"/>
      <c r="F2933" s="85"/>
      <c r="G2933" s="17"/>
      <c r="H2933" s="38"/>
      <c r="I2933" s="42"/>
    </row>
    <row r="2934" spans="1:9" customFormat="1" ht="21.95" customHeight="1" x14ac:dyDescent="0.15">
      <c r="A2934" s="17"/>
      <c r="B2934" s="37"/>
      <c r="C2934" s="37"/>
      <c r="D2934" s="37"/>
      <c r="E2934" s="15"/>
      <c r="F2934" s="85"/>
      <c r="G2934" s="17"/>
      <c r="H2934" s="38"/>
      <c r="I2934" s="42"/>
    </row>
    <row r="2935" spans="1:9" customFormat="1" ht="21.95" customHeight="1" x14ac:dyDescent="0.15">
      <c r="A2935" s="17"/>
      <c r="B2935" s="37"/>
      <c r="C2935" s="37"/>
      <c r="D2935" s="37"/>
      <c r="E2935" s="15"/>
      <c r="F2935" s="85"/>
      <c r="G2935" s="17"/>
      <c r="H2935" s="38"/>
      <c r="I2935" s="42"/>
    </row>
    <row r="2936" spans="1:9" customFormat="1" ht="21.95" customHeight="1" x14ac:dyDescent="0.15">
      <c r="A2936" s="17"/>
      <c r="B2936" s="37"/>
      <c r="C2936" s="37"/>
      <c r="D2936" s="37"/>
      <c r="E2936" s="15"/>
      <c r="F2936" s="85"/>
      <c r="G2936" s="17"/>
      <c r="H2936" s="38"/>
      <c r="I2936" s="42"/>
    </row>
    <row r="2937" spans="1:9" customFormat="1" ht="21.95" customHeight="1" x14ac:dyDescent="0.15">
      <c r="A2937" s="17"/>
      <c r="B2937" s="37"/>
      <c r="C2937" s="37"/>
      <c r="D2937" s="37"/>
      <c r="E2937" s="15"/>
      <c r="F2937" s="85"/>
      <c r="G2937" s="17"/>
      <c r="H2937" s="38"/>
      <c r="I2937" s="56"/>
    </row>
    <row r="2938" spans="1:9" customFormat="1" ht="21.95" customHeight="1" x14ac:dyDescent="0.15">
      <c r="A2938" s="17"/>
      <c r="B2938" s="37"/>
      <c r="C2938" s="37"/>
      <c r="D2938" s="37"/>
      <c r="E2938" s="15"/>
      <c r="F2938" s="85"/>
      <c r="G2938" s="17"/>
      <c r="H2938" s="38"/>
      <c r="I2938" s="56"/>
    </row>
    <row r="2939" spans="1:9" customFormat="1" ht="32.1" customHeight="1" x14ac:dyDescent="0.15">
      <c r="A2939" s="17"/>
      <c r="B2939" s="37"/>
      <c r="C2939" s="37"/>
      <c r="D2939" s="37"/>
      <c r="E2939" s="15"/>
      <c r="F2939" s="85"/>
      <c r="G2939" s="17"/>
      <c r="H2939" s="38"/>
      <c r="I2939" s="56"/>
    </row>
    <row r="2940" spans="1:9" customFormat="1" ht="32.1" customHeight="1" x14ac:dyDescent="0.15">
      <c r="A2940" s="17"/>
      <c r="B2940" s="37"/>
      <c r="C2940" s="37"/>
      <c r="D2940" s="37"/>
      <c r="E2940" s="15"/>
      <c r="F2940" s="85"/>
      <c r="G2940" s="17"/>
      <c r="H2940" s="38"/>
      <c r="I2940" s="56"/>
    </row>
    <row r="2941" spans="1:9" customFormat="1" ht="32.1" customHeight="1" x14ac:dyDescent="0.15">
      <c r="A2941" s="17"/>
      <c r="B2941" s="37"/>
      <c r="C2941" s="37"/>
      <c r="D2941" s="37"/>
      <c r="E2941" s="15"/>
      <c r="F2941" s="85"/>
      <c r="G2941" s="17"/>
      <c r="H2941" s="38"/>
      <c r="I2941" s="56"/>
    </row>
    <row r="2942" spans="1:9" customFormat="1" ht="32.1" customHeight="1" x14ac:dyDescent="0.15">
      <c r="A2942" s="17"/>
      <c r="B2942" s="37"/>
      <c r="C2942" s="37"/>
      <c r="D2942" s="37"/>
      <c r="E2942" s="15"/>
      <c r="F2942" s="85"/>
      <c r="G2942" s="17"/>
      <c r="H2942" s="38"/>
      <c r="I2942" s="56"/>
    </row>
    <row r="2943" spans="1:9" customFormat="1" ht="32.1" customHeight="1" x14ac:dyDescent="0.15">
      <c r="A2943" s="17"/>
      <c r="B2943" s="37"/>
      <c r="C2943" s="37"/>
      <c r="D2943" s="37"/>
      <c r="E2943" s="15"/>
      <c r="F2943" s="85"/>
      <c r="G2943" s="17"/>
      <c r="H2943" s="38"/>
      <c r="I2943" s="56"/>
    </row>
    <row r="2944" spans="1:9" customFormat="1" ht="32.1" customHeight="1" x14ac:dyDescent="0.15">
      <c r="A2944" s="17"/>
      <c r="B2944" s="37"/>
      <c r="C2944" s="37"/>
      <c r="D2944" s="37"/>
      <c r="E2944" s="15"/>
      <c r="F2944" s="85"/>
      <c r="G2944" s="17"/>
      <c r="H2944" s="38"/>
      <c r="I2944" s="56"/>
    </row>
    <row r="2945" spans="1:9" ht="32.1" customHeight="1" x14ac:dyDescent="0.15">
      <c r="A2945" s="17"/>
      <c r="B2945" s="37"/>
      <c r="C2945" s="37"/>
      <c r="D2945" s="37"/>
      <c r="E2945" s="15"/>
      <c r="F2945" s="85"/>
      <c r="G2945" s="17"/>
      <c r="H2945" s="38"/>
      <c r="I2945" s="37"/>
    </row>
    <row r="2946" spans="1:9" ht="32.1" customHeight="1" x14ac:dyDescent="0.15">
      <c r="A2946" s="17"/>
      <c r="B2946" s="37"/>
      <c r="C2946" s="37"/>
      <c r="D2946" s="37"/>
      <c r="E2946" s="15"/>
      <c r="F2946" s="37"/>
      <c r="G2946" s="17"/>
      <c r="H2946" s="38"/>
      <c r="I2946" s="37"/>
    </row>
    <row r="2947" spans="1:9" ht="32.1" customHeight="1" x14ac:dyDescent="0.15">
      <c r="A2947" s="17"/>
      <c r="B2947" s="37"/>
      <c r="C2947" s="37"/>
      <c r="D2947" s="37"/>
      <c r="E2947" s="15"/>
      <c r="F2947" s="37"/>
      <c r="G2947" s="17"/>
      <c r="H2947" s="38"/>
      <c r="I2947" s="37"/>
    </row>
    <row r="2948" spans="1:9" ht="32.1" customHeight="1" x14ac:dyDescent="0.15">
      <c r="A2948" s="17"/>
      <c r="B2948" s="37"/>
      <c r="C2948" s="37"/>
      <c r="D2948" s="37"/>
      <c r="E2948" s="15"/>
      <c r="F2948" s="37"/>
      <c r="G2948" s="17"/>
      <c r="H2948" s="38"/>
      <c r="I2948" s="37"/>
    </row>
    <row r="2949" spans="1:9" ht="21.95" customHeight="1" x14ac:dyDescent="0.15">
      <c r="A2949" s="17"/>
      <c r="B2949" s="37"/>
      <c r="C2949" s="37"/>
      <c r="D2949" s="37"/>
      <c r="E2949" s="15"/>
      <c r="F2949" s="37"/>
      <c r="G2949" s="17"/>
      <c r="H2949" s="38"/>
      <c r="I2949" s="37"/>
    </row>
    <row r="2950" spans="1:9" ht="54" customHeight="1" x14ac:dyDescent="0.15">
      <c r="A2950" s="17"/>
      <c r="B2950" s="37"/>
      <c r="C2950" s="37"/>
      <c r="D2950" s="37"/>
      <c r="E2950" s="15"/>
      <c r="F2950" s="37"/>
      <c r="G2950" s="17"/>
      <c r="H2950" s="38"/>
      <c r="I2950" s="37"/>
    </row>
    <row r="2951" spans="1:9" ht="21.95" customHeight="1" x14ac:dyDescent="0.15">
      <c r="A2951" s="17"/>
      <c r="B2951" s="37"/>
      <c r="C2951" s="37"/>
      <c r="D2951" s="37"/>
      <c r="E2951" s="15"/>
      <c r="F2951" s="37"/>
      <c r="G2951" s="17"/>
      <c r="H2951" s="38"/>
      <c r="I2951" s="37"/>
    </row>
    <row r="2952" spans="1:9" ht="21.95" customHeight="1" x14ac:dyDescent="0.15">
      <c r="A2952" s="17"/>
      <c r="B2952" s="37"/>
      <c r="C2952" s="37"/>
      <c r="D2952" s="37"/>
      <c r="E2952" s="15"/>
      <c r="F2952" s="37"/>
      <c r="G2952" s="17"/>
      <c r="H2952" s="38"/>
      <c r="I2952" s="37"/>
    </row>
    <row r="2953" spans="1:9" ht="21.95" customHeight="1" x14ac:dyDescent="0.15">
      <c r="A2953" s="17"/>
      <c r="B2953" s="37"/>
      <c r="C2953" s="37"/>
      <c r="D2953" s="37"/>
      <c r="E2953" s="15"/>
      <c r="F2953" s="37"/>
      <c r="G2953" s="17"/>
      <c r="H2953" s="38"/>
      <c r="I2953" s="37"/>
    </row>
    <row r="2954" spans="1:9" ht="21.95" customHeight="1" x14ac:dyDescent="0.15">
      <c r="A2954" s="17"/>
      <c r="B2954" s="37"/>
      <c r="C2954" s="37"/>
      <c r="D2954" s="37"/>
      <c r="E2954" s="15"/>
      <c r="F2954" s="37"/>
      <c r="G2954" s="17"/>
      <c r="H2954" s="38"/>
      <c r="I2954" s="37"/>
    </row>
    <row r="2955" spans="1:9" ht="21.95" customHeight="1" x14ac:dyDescent="0.15">
      <c r="A2955" s="17"/>
      <c r="B2955" s="37"/>
      <c r="C2955" s="37"/>
      <c r="E2955" s="15"/>
      <c r="G2955" s="17"/>
      <c r="H2955" s="38"/>
    </row>
    <row r="2956" spans="1:9" ht="21.95" customHeight="1" x14ac:dyDescent="0.15">
      <c r="A2956" s="17"/>
      <c r="B2956" s="37"/>
      <c r="C2956" s="37"/>
      <c r="E2956" s="15"/>
      <c r="G2956" s="17"/>
      <c r="H2956" s="38"/>
    </row>
    <row r="2957" spans="1:9" ht="21.95" customHeight="1" x14ac:dyDescent="0.15">
      <c r="A2957" s="17"/>
      <c r="B2957" s="37"/>
      <c r="C2957" s="37"/>
      <c r="E2957" s="15"/>
      <c r="F2957" s="37"/>
      <c r="G2957" s="13"/>
      <c r="H2957" s="38"/>
    </row>
    <row r="2958" spans="1:9" ht="21.95" customHeight="1" x14ac:dyDescent="0.15">
      <c r="A2958" s="17"/>
      <c r="B2958" s="37"/>
      <c r="C2958" s="37"/>
      <c r="E2958" s="15"/>
      <c r="F2958" s="37"/>
      <c r="G2958" s="13"/>
      <c r="H2958" s="38"/>
    </row>
    <row r="2959" spans="1:9" ht="21.95" customHeight="1" x14ac:dyDescent="0.15">
      <c r="A2959" s="17"/>
      <c r="B2959" s="37"/>
      <c r="C2959" s="37"/>
      <c r="D2959" s="37"/>
      <c r="E2959" s="15"/>
      <c r="F2959" s="37"/>
      <c r="G2959" s="13"/>
      <c r="H2959" s="38"/>
    </row>
    <row r="2960" spans="1:9" ht="21.95" customHeight="1" x14ac:dyDescent="0.15">
      <c r="A2960" s="17"/>
      <c r="B2960" s="37"/>
      <c r="C2960" s="37"/>
      <c r="D2960" s="37"/>
      <c r="E2960" s="15"/>
      <c r="F2960" s="37"/>
      <c r="G2960" s="13"/>
      <c r="H2960" s="38"/>
    </row>
    <row r="2961" spans="1:8" ht="21.95" customHeight="1" x14ac:dyDescent="0.15">
      <c r="A2961" s="17"/>
      <c r="B2961" s="37"/>
      <c r="C2961" s="37"/>
      <c r="D2961" s="37"/>
      <c r="E2961" s="15"/>
      <c r="F2961" s="37"/>
      <c r="G2961" s="13"/>
      <c r="H2961" s="38"/>
    </row>
    <row r="2962" spans="1:8" ht="21.95" customHeight="1" x14ac:dyDescent="0.15">
      <c r="A2962" s="17"/>
      <c r="B2962" s="37"/>
      <c r="C2962" s="37"/>
      <c r="D2962" s="37"/>
      <c r="E2962" s="15"/>
      <c r="F2962" s="37"/>
      <c r="G2962" s="13"/>
      <c r="H2962" s="38"/>
    </row>
    <row r="2963" spans="1:8" ht="21.95" customHeight="1" x14ac:dyDescent="0.15">
      <c r="A2963" s="17"/>
      <c r="B2963" s="37"/>
      <c r="C2963" s="37"/>
      <c r="D2963" s="37"/>
      <c r="E2963" s="15"/>
      <c r="F2963" s="37"/>
      <c r="G2963" s="13"/>
      <c r="H2963" s="38"/>
    </row>
    <row r="2964" spans="1:8" ht="21.95" customHeight="1" x14ac:dyDescent="0.15">
      <c r="A2964" s="17"/>
      <c r="B2964" s="37"/>
      <c r="C2964" s="37"/>
      <c r="D2964" s="37"/>
      <c r="E2964" s="15"/>
      <c r="F2964" s="37"/>
      <c r="G2964" s="13"/>
      <c r="H2964" s="38"/>
    </row>
    <row r="2965" spans="1:8" ht="21.95" customHeight="1" x14ac:dyDescent="0.15">
      <c r="A2965" s="17"/>
      <c r="B2965" s="37"/>
      <c r="C2965" s="37"/>
      <c r="D2965" s="37"/>
      <c r="E2965" s="15"/>
      <c r="F2965" s="37"/>
      <c r="G2965" s="13"/>
      <c r="H2965" s="38"/>
    </row>
    <row r="2966" spans="1:8" ht="21.95" customHeight="1" x14ac:dyDescent="0.15">
      <c r="A2966" s="17"/>
      <c r="B2966" s="37"/>
      <c r="C2966" s="37"/>
      <c r="D2966" s="37"/>
      <c r="E2966" s="15"/>
      <c r="F2966" s="37"/>
      <c r="G2966" s="13"/>
      <c r="H2966" s="38"/>
    </row>
    <row r="2967" spans="1:8" ht="21.95" customHeight="1" x14ac:dyDescent="0.15">
      <c r="A2967" s="17"/>
      <c r="B2967" s="37"/>
      <c r="C2967" s="37"/>
      <c r="D2967" s="37"/>
      <c r="E2967" s="15"/>
      <c r="F2967" s="37"/>
      <c r="G2967" s="13"/>
      <c r="H2967" s="38"/>
    </row>
    <row r="2968" spans="1:8" ht="21.95" customHeight="1" x14ac:dyDescent="0.15">
      <c r="A2968" s="17"/>
      <c r="B2968" s="37"/>
      <c r="C2968" s="37"/>
      <c r="D2968" s="37"/>
      <c r="E2968" s="15"/>
      <c r="F2968" s="37"/>
      <c r="G2968" s="13"/>
      <c r="H2968" s="15"/>
    </row>
    <row r="2969" spans="1:8" ht="21.95" customHeight="1" x14ac:dyDescent="0.15">
      <c r="A2969" s="17"/>
      <c r="B2969" s="37"/>
      <c r="C2969" s="37"/>
      <c r="D2969" s="37"/>
      <c r="E2969" s="15"/>
      <c r="F2969" s="37"/>
      <c r="G2969" s="13"/>
      <c r="H2969" s="15"/>
    </row>
    <row r="2970" spans="1:8" ht="21.95" customHeight="1" x14ac:dyDescent="0.15">
      <c r="A2970" s="17"/>
      <c r="B2970" s="37"/>
      <c r="C2970" s="37"/>
      <c r="D2970" s="37"/>
      <c r="E2970" s="15"/>
      <c r="F2970" s="37"/>
      <c r="G2970" s="13"/>
      <c r="H2970" s="15"/>
    </row>
    <row r="2971" spans="1:8" ht="21.95" customHeight="1" x14ac:dyDescent="0.15">
      <c r="A2971" s="17"/>
      <c r="B2971" s="37"/>
      <c r="C2971" s="37"/>
      <c r="D2971" s="37"/>
      <c r="E2971" s="15"/>
      <c r="F2971" s="37"/>
      <c r="G2971" s="13"/>
      <c r="H2971" s="15"/>
    </row>
    <row r="2972" spans="1:8" ht="21.95" customHeight="1" x14ac:dyDescent="0.15">
      <c r="A2972" s="17"/>
      <c r="B2972" s="37"/>
      <c r="C2972" s="37"/>
      <c r="D2972" s="37"/>
      <c r="E2972" s="15"/>
      <c r="F2972" s="37"/>
      <c r="G2972" s="13"/>
      <c r="H2972" s="15"/>
    </row>
    <row r="2973" spans="1:8" ht="21.95" customHeight="1" x14ac:dyDescent="0.15">
      <c r="A2973" s="17"/>
      <c r="B2973" s="37"/>
      <c r="C2973" s="37"/>
      <c r="D2973" s="37"/>
      <c r="E2973" s="15"/>
      <c r="F2973" s="37"/>
      <c r="G2973" s="13"/>
      <c r="H2973" s="15"/>
    </row>
    <row r="2974" spans="1:8" ht="21.95" customHeight="1" x14ac:dyDescent="0.15">
      <c r="A2974" s="17"/>
      <c r="B2974" s="37"/>
      <c r="C2974" s="37"/>
      <c r="D2974" s="37"/>
      <c r="E2974" s="15"/>
      <c r="F2974" s="37"/>
      <c r="G2974" s="13"/>
      <c r="H2974" s="15"/>
    </row>
    <row r="2975" spans="1:8" ht="21.95" customHeight="1" x14ac:dyDescent="0.15">
      <c r="A2975" s="17"/>
      <c r="B2975" s="37"/>
      <c r="C2975" s="37"/>
      <c r="D2975" s="37"/>
      <c r="E2975" s="15"/>
      <c r="F2975" s="37"/>
      <c r="G2975" s="13"/>
      <c r="H2975" s="15"/>
    </row>
    <row r="2976" spans="1:8" ht="21.95" customHeight="1" x14ac:dyDescent="0.15">
      <c r="A2976" s="17"/>
      <c r="B2976" s="37"/>
      <c r="C2976" s="37"/>
      <c r="D2976" s="37"/>
      <c r="E2976" s="15"/>
      <c r="F2976" s="37"/>
      <c r="G2976" s="13"/>
      <c r="H2976" s="15"/>
    </row>
    <row r="2977" spans="1:8" ht="21.95" customHeight="1" x14ac:dyDescent="0.15">
      <c r="A2977" s="17"/>
      <c r="B2977" s="37"/>
      <c r="C2977" s="37"/>
      <c r="D2977" s="37"/>
      <c r="E2977" s="15"/>
      <c r="F2977" s="37"/>
      <c r="G2977" s="13"/>
      <c r="H2977" s="15"/>
    </row>
    <row r="2978" spans="1:8" ht="21.95" customHeight="1" x14ac:dyDescent="0.15">
      <c r="A2978" s="17"/>
      <c r="B2978" s="37"/>
      <c r="C2978" s="37"/>
      <c r="D2978" s="37"/>
      <c r="E2978" s="15"/>
      <c r="F2978" s="37"/>
      <c r="G2978" s="13"/>
      <c r="H2978" s="15"/>
    </row>
    <row r="2979" spans="1:8" ht="21.95" customHeight="1" x14ac:dyDescent="0.15">
      <c r="A2979" s="17"/>
      <c r="B2979" s="37"/>
      <c r="C2979" s="37"/>
      <c r="D2979" s="37"/>
      <c r="E2979" s="15"/>
      <c r="F2979" s="37"/>
      <c r="G2979" s="13"/>
      <c r="H2979" s="15"/>
    </row>
    <row r="2980" spans="1:8" ht="21.95" customHeight="1" x14ac:dyDescent="0.15">
      <c r="A2980" s="17"/>
      <c r="B2980" s="37"/>
      <c r="C2980" s="37"/>
      <c r="D2980" s="37"/>
      <c r="E2980" s="15"/>
      <c r="F2980" s="37"/>
      <c r="G2980" s="13"/>
      <c r="H2980" s="15"/>
    </row>
    <row r="2981" spans="1:8" ht="21.95" customHeight="1" x14ac:dyDescent="0.15">
      <c r="A2981" s="17"/>
      <c r="B2981" s="37"/>
      <c r="C2981" s="37"/>
      <c r="D2981" s="37"/>
      <c r="E2981" s="15"/>
      <c r="F2981" s="37"/>
      <c r="G2981" s="13"/>
      <c r="H2981" s="15"/>
    </row>
    <row r="2982" spans="1:8" ht="21.95" customHeight="1" x14ac:dyDescent="0.15">
      <c r="A2982" s="17"/>
      <c r="B2982" s="37"/>
      <c r="C2982" s="37"/>
      <c r="D2982" s="37"/>
      <c r="E2982" s="15"/>
      <c r="F2982" s="37"/>
      <c r="G2982" s="13"/>
      <c r="H2982" s="15"/>
    </row>
    <row r="2983" spans="1:8" ht="21.95" customHeight="1" x14ac:dyDescent="0.15">
      <c r="A2983" s="17"/>
      <c r="B2983" s="37"/>
      <c r="C2983" s="37"/>
      <c r="D2983" s="37"/>
      <c r="E2983" s="15"/>
      <c r="F2983" s="37"/>
      <c r="G2983" s="13"/>
      <c r="H2983" s="15"/>
    </row>
    <row r="2984" spans="1:8" ht="21.95" customHeight="1" x14ac:dyDescent="0.15">
      <c r="A2984" s="17"/>
      <c r="B2984" s="37"/>
      <c r="C2984" s="37"/>
      <c r="D2984" s="37"/>
      <c r="E2984" s="15"/>
      <c r="F2984" s="37"/>
      <c r="G2984" s="13"/>
      <c r="H2984" s="15"/>
    </row>
    <row r="2985" spans="1:8" ht="21.95" customHeight="1" x14ac:dyDescent="0.15">
      <c r="A2985" s="17"/>
      <c r="B2985" s="37"/>
      <c r="C2985" s="37"/>
      <c r="D2985" s="37"/>
      <c r="E2985" s="15"/>
      <c r="F2985" s="37"/>
      <c r="G2985" s="13"/>
      <c r="H2985" s="15"/>
    </row>
    <row r="2986" spans="1:8" ht="21.95" customHeight="1" x14ac:dyDescent="0.15">
      <c r="A2986" s="17"/>
      <c r="B2986" s="37"/>
      <c r="C2986" s="37"/>
      <c r="D2986" s="37"/>
      <c r="E2986" s="15"/>
      <c r="F2986" s="37"/>
      <c r="G2986" s="37"/>
      <c r="H2986" s="15"/>
    </row>
    <row r="2987" spans="1:8" ht="21.95" customHeight="1" x14ac:dyDescent="0.15">
      <c r="A2987" s="17"/>
      <c r="B2987" s="37"/>
      <c r="C2987" s="37"/>
      <c r="D2987" s="37"/>
      <c r="E2987" s="15"/>
      <c r="F2987" s="37"/>
      <c r="G2987" s="13"/>
      <c r="H2987" s="15"/>
    </row>
    <row r="2988" spans="1:8" ht="21.95" customHeight="1" x14ac:dyDescent="0.15">
      <c r="A2988" s="17"/>
      <c r="B2988" s="37"/>
      <c r="C2988" s="37"/>
      <c r="D2988" s="37"/>
      <c r="E2988" s="15"/>
      <c r="F2988" s="37"/>
      <c r="G2988" s="13"/>
      <c r="H2988" s="15"/>
    </row>
    <row r="2989" spans="1:8" ht="21.95" customHeight="1" x14ac:dyDescent="0.15">
      <c r="A2989" s="17"/>
      <c r="B2989" s="37"/>
      <c r="C2989" s="37"/>
      <c r="D2989" s="37"/>
      <c r="E2989" s="15"/>
      <c r="F2989" s="37"/>
      <c r="G2989" s="13"/>
      <c r="H2989" s="15"/>
    </row>
    <row r="2990" spans="1:8" ht="21.95" customHeight="1" x14ac:dyDescent="0.15">
      <c r="A2990" s="17"/>
      <c r="B2990" s="37"/>
      <c r="C2990" s="37"/>
      <c r="D2990" s="37"/>
      <c r="E2990" s="15"/>
      <c r="F2990" s="37"/>
      <c r="G2990" s="13"/>
      <c r="H2990" s="15"/>
    </row>
    <row r="2991" spans="1:8" ht="21.95" customHeight="1" x14ac:dyDescent="0.15">
      <c r="A2991" s="17"/>
      <c r="B2991" s="37"/>
      <c r="C2991" s="37"/>
      <c r="D2991" s="37"/>
      <c r="E2991" s="15"/>
      <c r="F2991" s="37"/>
      <c r="G2991" s="13"/>
      <c r="H2991" s="15"/>
    </row>
    <row r="2992" spans="1:8" ht="21.95" customHeight="1" x14ac:dyDescent="0.15">
      <c r="A2992" s="17"/>
      <c r="B2992" s="37"/>
      <c r="C2992" s="37"/>
      <c r="D2992" s="37"/>
      <c r="E2992" s="15"/>
      <c r="F2992" s="37"/>
      <c r="G2992" s="13"/>
      <c r="H2992" s="15"/>
    </row>
    <row r="2993" spans="1:9" ht="21.95" customHeight="1" x14ac:dyDescent="0.15">
      <c r="A2993" s="17"/>
      <c r="B2993" s="37"/>
      <c r="C2993" s="37"/>
      <c r="D2993" s="37"/>
      <c r="E2993" s="15"/>
      <c r="F2993" s="37"/>
      <c r="G2993" s="13"/>
      <c r="H2993" s="15"/>
    </row>
    <row r="2994" spans="1:9" ht="21.95" customHeight="1" x14ac:dyDescent="0.15">
      <c r="A2994" s="17"/>
      <c r="B2994" s="37"/>
      <c r="C2994" s="37"/>
      <c r="D2994" s="37"/>
      <c r="E2994" s="15"/>
      <c r="F2994" s="37"/>
      <c r="G2994" s="13"/>
      <c r="H2994" s="15"/>
    </row>
    <row r="2995" spans="1:9" ht="21.95" customHeight="1" x14ac:dyDescent="0.15">
      <c r="A2995" s="17"/>
      <c r="B2995" s="37"/>
      <c r="C2995" s="37"/>
      <c r="D2995" s="37"/>
      <c r="E2995" s="15"/>
      <c r="F2995" s="37"/>
      <c r="G2995" s="13"/>
      <c r="H2995" s="15"/>
    </row>
    <row r="2996" spans="1:9" ht="21.95" customHeight="1" x14ac:dyDescent="0.15">
      <c r="A2996" s="17"/>
      <c r="B2996" s="37"/>
      <c r="C2996" s="37"/>
      <c r="D2996" s="37"/>
      <c r="E2996" s="15"/>
      <c r="F2996" s="37"/>
      <c r="G2996" s="13"/>
      <c r="H2996" s="15"/>
    </row>
    <row r="2997" spans="1:9" ht="21.95" customHeight="1" x14ac:dyDescent="0.15">
      <c r="A2997" s="17"/>
      <c r="B2997" s="37"/>
      <c r="C2997" s="37"/>
      <c r="D2997" s="37"/>
      <c r="E2997" s="15"/>
      <c r="F2997" s="37"/>
      <c r="G2997" s="13"/>
      <c r="H2997" s="15"/>
    </row>
    <row r="2998" spans="1:9" ht="21.95" customHeight="1" x14ac:dyDescent="0.15">
      <c r="A2998" s="17"/>
      <c r="B2998" s="37"/>
      <c r="C2998" s="37"/>
      <c r="D2998" s="37"/>
      <c r="E2998" s="15"/>
      <c r="F2998" s="37"/>
      <c r="G2998" s="13"/>
      <c r="H2998" s="15"/>
    </row>
    <row r="2999" spans="1:9" ht="21.95" customHeight="1" x14ac:dyDescent="0.15">
      <c r="A2999" s="17"/>
      <c r="B2999" s="37"/>
      <c r="C2999" s="37"/>
      <c r="D2999" s="37"/>
      <c r="E2999" s="15"/>
      <c r="F2999" s="37"/>
      <c r="G2999" s="13"/>
      <c r="H2999" s="38"/>
      <c r="I2999" s="84"/>
    </row>
    <row r="3000" spans="1:9" ht="21.95" customHeight="1" x14ac:dyDescent="0.15">
      <c r="A3000" s="17"/>
      <c r="B3000" s="37"/>
      <c r="C3000" s="37"/>
      <c r="D3000" s="37"/>
      <c r="E3000" s="15"/>
      <c r="F3000" s="37"/>
      <c r="G3000" s="13"/>
      <c r="H3000" s="15"/>
      <c r="I3000" s="84"/>
    </row>
    <row r="3001" spans="1:9" ht="35.1" customHeight="1" x14ac:dyDescent="0.15">
      <c r="A3001" s="17"/>
      <c r="B3001" s="37"/>
      <c r="C3001" s="37"/>
      <c r="D3001" s="37"/>
      <c r="E3001" s="15"/>
      <c r="F3001" s="15"/>
      <c r="G3001" s="37"/>
      <c r="H3001" s="15"/>
    </row>
    <row r="3002" spans="1:9" ht="21.95" customHeight="1" x14ac:dyDescent="0.15">
      <c r="A3002" s="17"/>
      <c r="B3002" s="37"/>
      <c r="C3002" s="37"/>
      <c r="D3002" s="37"/>
      <c r="E3002" s="15"/>
      <c r="F3002" s="37"/>
      <c r="G3002" s="13"/>
      <c r="H3002" s="15"/>
    </row>
    <row r="3003" spans="1:9" ht="21.95" customHeight="1" x14ac:dyDescent="0.15">
      <c r="A3003" s="17"/>
      <c r="B3003" s="37"/>
      <c r="C3003" s="37"/>
      <c r="D3003" s="37"/>
      <c r="E3003" s="15"/>
      <c r="F3003" s="37"/>
      <c r="G3003" s="13"/>
      <c r="H3003" s="15"/>
    </row>
    <row r="3004" spans="1:9" ht="21.95" customHeight="1" x14ac:dyDescent="0.15">
      <c r="A3004" s="17"/>
      <c r="B3004" s="37"/>
      <c r="C3004" s="37"/>
      <c r="D3004" s="37"/>
      <c r="E3004" s="15"/>
      <c r="F3004" s="37"/>
      <c r="G3004" s="13"/>
      <c r="H3004" s="15"/>
    </row>
    <row r="3005" spans="1:9" ht="21.95" customHeight="1" x14ac:dyDescent="0.15">
      <c r="A3005" s="17"/>
      <c r="B3005" s="37"/>
      <c r="C3005" s="37"/>
      <c r="D3005" s="37"/>
      <c r="E3005" s="15"/>
      <c r="F3005" s="37"/>
      <c r="G3005" s="13"/>
      <c r="H3005" s="15"/>
    </row>
    <row r="3006" spans="1:9" ht="21.95" customHeight="1" x14ac:dyDescent="0.15">
      <c r="A3006" s="17"/>
      <c r="B3006" s="37"/>
      <c r="C3006" s="37"/>
      <c r="D3006" s="37"/>
      <c r="E3006" s="15"/>
      <c r="F3006" s="37"/>
      <c r="G3006" s="13"/>
      <c r="H3006" s="15"/>
    </row>
    <row r="3007" spans="1:9" ht="21.95" customHeight="1" x14ac:dyDescent="0.15">
      <c r="A3007" s="17"/>
      <c r="B3007" s="37"/>
      <c r="C3007" s="37"/>
      <c r="D3007" s="37"/>
      <c r="E3007" s="15"/>
      <c r="F3007" s="37"/>
      <c r="G3007" s="13"/>
      <c r="H3007" s="15"/>
      <c r="I3007" s="37"/>
    </row>
    <row r="3008" spans="1:9" ht="21.95" customHeight="1" x14ac:dyDescent="0.15">
      <c r="A3008" s="17"/>
      <c r="B3008" s="37"/>
      <c r="C3008" s="37"/>
      <c r="D3008" s="37"/>
      <c r="E3008" s="15"/>
      <c r="F3008" s="37"/>
      <c r="G3008" s="37"/>
      <c r="H3008" s="15"/>
      <c r="I3008" s="37"/>
    </row>
    <row r="3009" spans="1:9" ht="21.95" customHeight="1" x14ac:dyDescent="0.15">
      <c r="A3009" s="17"/>
      <c r="B3009" s="37"/>
      <c r="C3009" s="37"/>
      <c r="D3009" s="37"/>
      <c r="E3009" s="15"/>
      <c r="F3009" s="37"/>
      <c r="G3009" s="37"/>
      <c r="H3009" s="38"/>
      <c r="I3009" s="37"/>
    </row>
    <row r="3010" spans="1:9" ht="21.95" customHeight="1" x14ac:dyDescent="0.15">
      <c r="A3010" s="17"/>
      <c r="B3010" s="37"/>
      <c r="C3010" s="37"/>
      <c r="D3010" s="37"/>
      <c r="E3010" s="15"/>
      <c r="F3010" s="37"/>
      <c r="G3010" s="37"/>
      <c r="H3010" s="38"/>
      <c r="I3010" s="37"/>
    </row>
    <row r="3011" spans="1:9" ht="21.95" customHeight="1" x14ac:dyDescent="0.15">
      <c r="A3011" s="17"/>
      <c r="B3011" s="37"/>
      <c r="C3011" s="37"/>
      <c r="D3011" s="37"/>
      <c r="E3011" s="15"/>
      <c r="F3011" s="37"/>
      <c r="G3011" s="13"/>
      <c r="H3011" s="15"/>
      <c r="I3011" s="37"/>
    </row>
    <row r="3012" spans="1:9" ht="21.95" customHeight="1" x14ac:dyDescent="0.15">
      <c r="A3012" s="17"/>
      <c r="B3012" s="37"/>
      <c r="C3012" s="37"/>
      <c r="D3012" s="37"/>
      <c r="E3012" s="15"/>
      <c r="F3012" s="37"/>
      <c r="G3012" s="13"/>
      <c r="H3012" s="15"/>
      <c r="I3012" s="37"/>
    </row>
    <row r="3013" spans="1:9" ht="21.95" customHeight="1" x14ac:dyDescent="0.15">
      <c r="A3013" s="17"/>
      <c r="B3013" s="37"/>
      <c r="C3013" s="37"/>
      <c r="D3013" s="37"/>
      <c r="E3013" s="15"/>
      <c r="F3013" s="37"/>
      <c r="G3013" s="13"/>
      <c r="H3013" s="15"/>
      <c r="I3013" s="37"/>
    </row>
    <row r="3014" spans="1:9" ht="21.95" customHeight="1" x14ac:dyDescent="0.15">
      <c r="A3014" s="17"/>
      <c r="B3014" s="37"/>
      <c r="C3014" s="37"/>
      <c r="E3014" s="15"/>
      <c r="F3014" s="37"/>
      <c r="H3014" s="38"/>
    </row>
    <row r="3015" spans="1:9" ht="21.95" customHeight="1" x14ac:dyDescent="0.15">
      <c r="A3015" s="17"/>
      <c r="B3015" s="37"/>
      <c r="C3015" s="37"/>
      <c r="E3015" s="15"/>
      <c r="F3015" s="37"/>
    </row>
    <row r="3016" spans="1:9" ht="21.95" customHeight="1" x14ac:dyDescent="0.15">
      <c r="A3016" s="17"/>
      <c r="B3016" s="37"/>
      <c r="C3016" s="37"/>
      <c r="E3016" s="15"/>
      <c r="G3016" s="77"/>
    </row>
    <row r="3017" spans="1:9" ht="21.95" customHeight="1" x14ac:dyDescent="0.15">
      <c r="A3017" s="17"/>
      <c r="B3017" s="37"/>
      <c r="C3017" s="37"/>
      <c r="D3017" s="37"/>
      <c r="E3017" s="15"/>
      <c r="F3017" s="37"/>
      <c r="G3017" s="37"/>
      <c r="H3017" s="15"/>
    </row>
    <row r="3018" spans="1:9" ht="21.95" customHeight="1" x14ac:dyDescent="0.15">
      <c r="A3018" s="17"/>
      <c r="B3018" s="37"/>
      <c r="C3018" s="37"/>
      <c r="D3018" s="37"/>
      <c r="E3018" s="15"/>
      <c r="F3018" s="37"/>
      <c r="G3018" s="13"/>
      <c r="H3018" s="15"/>
    </row>
    <row r="3019" spans="1:9" ht="21.95" customHeight="1" x14ac:dyDescent="0.15">
      <c r="A3019" s="17"/>
      <c r="B3019" s="37"/>
      <c r="C3019" s="37"/>
      <c r="D3019" s="37"/>
      <c r="E3019" s="15"/>
      <c r="F3019" s="37"/>
      <c r="G3019" s="13"/>
      <c r="H3019" s="15"/>
    </row>
    <row r="3020" spans="1:9" ht="21.95" customHeight="1" x14ac:dyDescent="0.15">
      <c r="A3020" s="17"/>
      <c r="C3020" s="37"/>
    </row>
    <row r="3021" spans="1:9" ht="21.95" customHeight="1" x14ac:dyDescent="0.15">
      <c r="A3021" s="17"/>
      <c r="B3021" s="37"/>
      <c r="C3021" s="37"/>
      <c r="D3021" s="13"/>
      <c r="E3021" s="15"/>
      <c r="F3021" s="37"/>
      <c r="G3021" s="13"/>
      <c r="H3021" s="15"/>
      <c r="I3021" s="13"/>
    </row>
    <row r="3022" spans="1:9" ht="21.95" customHeight="1" x14ac:dyDescent="0.15">
      <c r="A3022" s="17"/>
      <c r="B3022" s="13"/>
      <c r="C3022" s="13"/>
      <c r="D3022" s="13"/>
      <c r="E3022" s="15"/>
      <c r="F3022" s="37"/>
      <c r="G3022" s="13"/>
      <c r="H3022" s="15"/>
      <c r="I3022" s="13"/>
    </row>
    <row r="3023" spans="1:9" ht="21.95" customHeight="1" x14ac:dyDescent="0.15">
      <c r="A3023" s="17"/>
      <c r="B3023" s="13"/>
      <c r="C3023" s="13"/>
      <c r="D3023" s="13"/>
      <c r="E3023" s="15"/>
      <c r="F3023" s="37"/>
      <c r="G3023" s="13"/>
      <c r="H3023" s="15"/>
      <c r="I3023" s="13"/>
    </row>
    <row r="3024" spans="1:9" ht="21.95" customHeight="1" x14ac:dyDescent="0.15">
      <c r="A3024" s="17"/>
      <c r="B3024" s="13"/>
      <c r="C3024" s="13"/>
      <c r="D3024" s="13"/>
      <c r="E3024" s="15"/>
      <c r="F3024" s="37"/>
      <c r="G3024" s="13"/>
      <c r="H3024" s="15"/>
      <c r="I3024" s="13"/>
    </row>
    <row r="3025" spans="1:9" customFormat="1" ht="21.95" customHeight="1" x14ac:dyDescent="0.15">
      <c r="A3025" s="17"/>
      <c r="B3025" s="40"/>
      <c r="C3025" s="40"/>
      <c r="D3025" s="40"/>
      <c r="E3025" s="38"/>
      <c r="F3025" s="85"/>
      <c r="G3025" s="40"/>
      <c r="H3025" s="38"/>
      <c r="I3025" s="40"/>
    </row>
    <row r="3026" spans="1:9" customFormat="1" ht="21.95" customHeight="1" x14ac:dyDescent="0.15">
      <c r="A3026" s="17"/>
      <c r="B3026" s="37"/>
      <c r="C3026" s="37"/>
      <c r="D3026" s="40"/>
      <c r="E3026" s="15"/>
      <c r="F3026" s="85"/>
      <c r="G3026" s="42"/>
      <c r="H3026" s="38"/>
      <c r="I3026" s="56"/>
    </row>
    <row r="3027" spans="1:9" customFormat="1" ht="21.95" customHeight="1" x14ac:dyDescent="0.15">
      <c r="A3027" s="17"/>
      <c r="B3027" s="37"/>
      <c r="C3027" s="95"/>
      <c r="D3027" s="40"/>
      <c r="E3027" s="15"/>
      <c r="F3027" s="85"/>
      <c r="G3027" s="42"/>
      <c r="H3027" s="38"/>
      <c r="I3027" s="56"/>
    </row>
    <row r="3028" spans="1:9" customFormat="1" ht="21.95" customHeight="1" x14ac:dyDescent="0.15">
      <c r="A3028" s="17"/>
      <c r="B3028" s="37"/>
      <c r="C3028" s="95"/>
      <c r="D3028" s="40"/>
      <c r="E3028" s="15"/>
      <c r="F3028" s="85"/>
      <c r="G3028" s="17"/>
      <c r="H3028" s="38"/>
      <c r="I3028" s="56"/>
    </row>
    <row r="3029" spans="1:9" customFormat="1" ht="21.95" customHeight="1" x14ac:dyDescent="0.15">
      <c r="A3029" s="17"/>
      <c r="B3029" s="37"/>
      <c r="C3029" s="37"/>
      <c r="D3029" s="40"/>
      <c r="E3029" s="15"/>
      <c r="F3029" s="85"/>
      <c r="G3029" s="42"/>
      <c r="H3029" s="38"/>
      <c r="I3029" s="56"/>
    </row>
    <row r="3030" spans="1:9" customFormat="1" ht="21.95" customHeight="1" x14ac:dyDescent="0.15">
      <c r="A3030" s="17"/>
      <c r="B3030" s="37"/>
      <c r="C3030" s="37"/>
      <c r="D3030" s="40"/>
      <c r="E3030" s="15"/>
      <c r="F3030" s="85"/>
      <c r="G3030" s="17"/>
      <c r="H3030" s="38"/>
      <c r="I3030" s="56"/>
    </row>
    <row r="3031" spans="1:9" customFormat="1" ht="21.95" customHeight="1" x14ac:dyDescent="0.15">
      <c r="A3031" s="17"/>
      <c r="B3031" s="37"/>
      <c r="C3031" s="37"/>
      <c r="D3031" s="40"/>
      <c r="E3031" s="15"/>
      <c r="F3031" s="85"/>
      <c r="G3031" s="42"/>
      <c r="H3031" s="38"/>
      <c r="I3031" s="56"/>
    </row>
    <row r="3032" spans="1:9" customFormat="1" ht="21.95" customHeight="1" x14ac:dyDescent="0.15">
      <c r="A3032" s="17"/>
      <c r="B3032" s="37"/>
      <c r="C3032" s="37"/>
      <c r="D3032" s="40"/>
      <c r="E3032" s="15"/>
      <c r="F3032" s="85"/>
      <c r="G3032" s="17"/>
      <c r="H3032" s="38"/>
      <c r="I3032" s="56"/>
    </row>
    <row r="3033" spans="1:9" customFormat="1" ht="21.95" customHeight="1" x14ac:dyDescent="0.15">
      <c r="A3033" s="17"/>
      <c r="B3033" s="37"/>
      <c r="C3033" s="37"/>
      <c r="D3033" s="40"/>
      <c r="E3033" s="15"/>
      <c r="F3033" s="85"/>
      <c r="G3033" s="42"/>
      <c r="H3033" s="38"/>
      <c r="I3033" s="56"/>
    </row>
    <row r="3034" spans="1:9" customFormat="1" ht="21.95" customHeight="1" x14ac:dyDescent="0.15">
      <c r="A3034" s="17"/>
      <c r="B3034" s="37"/>
      <c r="C3034" s="37"/>
      <c r="D3034" s="40"/>
      <c r="E3034" s="15"/>
      <c r="F3034" s="85"/>
      <c r="G3034" s="17"/>
      <c r="H3034" s="38"/>
      <c r="I3034" s="56"/>
    </row>
    <row r="3035" spans="1:9" customFormat="1" ht="21.95" customHeight="1" x14ac:dyDescent="0.15">
      <c r="A3035" s="17"/>
      <c r="B3035" s="37"/>
      <c r="C3035" s="37"/>
      <c r="D3035" s="40"/>
      <c r="E3035" s="15"/>
      <c r="F3035" s="85"/>
      <c r="G3035" s="42"/>
      <c r="H3035" s="38"/>
      <c r="I3035" s="56"/>
    </row>
    <row r="3036" spans="1:9" ht="21.95" customHeight="1" x14ac:dyDescent="0.15">
      <c r="A3036" s="17"/>
      <c r="B3036" s="37"/>
      <c r="C3036" s="37"/>
      <c r="D3036" s="37"/>
      <c r="E3036" s="15"/>
      <c r="F3036" s="85"/>
      <c r="G3036" s="17"/>
      <c r="H3036" s="38"/>
    </row>
    <row r="3037" spans="1:9" ht="21.95" customHeight="1" x14ac:dyDescent="0.15">
      <c r="A3037" s="17"/>
      <c r="B3037" s="37"/>
      <c r="C3037" s="37"/>
      <c r="D3037" s="37"/>
      <c r="E3037" s="15"/>
      <c r="F3037" s="85"/>
      <c r="H3037" s="38"/>
    </row>
    <row r="3038" spans="1:9" ht="21.95" customHeight="1" x14ac:dyDescent="0.15">
      <c r="A3038" s="17"/>
      <c r="B3038" s="37"/>
      <c r="C3038" s="37"/>
      <c r="D3038" s="37"/>
      <c r="E3038" s="15"/>
      <c r="F3038" s="85"/>
      <c r="H3038" s="38"/>
    </row>
    <row r="3039" spans="1:9" ht="21.95" customHeight="1" x14ac:dyDescent="0.15">
      <c r="A3039" s="17"/>
      <c r="B3039" s="37"/>
      <c r="C3039" s="37"/>
      <c r="D3039" s="37"/>
      <c r="E3039" s="15"/>
      <c r="F3039" s="85"/>
      <c r="G3039" s="17"/>
      <c r="H3039" s="38"/>
    </row>
    <row r="3040" spans="1:9" customFormat="1" ht="21.95" customHeight="1" x14ac:dyDescent="0.15">
      <c r="A3040" s="17"/>
      <c r="B3040" s="37"/>
      <c r="C3040" s="37"/>
      <c r="D3040" s="37"/>
      <c r="E3040" s="15"/>
      <c r="F3040" s="85"/>
      <c r="G3040" s="17"/>
      <c r="H3040" s="38"/>
      <c r="I3040" s="42"/>
    </row>
    <row r="3041" spans="1:9" customFormat="1" ht="21.95" customHeight="1" x14ac:dyDescent="0.15">
      <c r="A3041" s="17"/>
      <c r="B3041" s="37"/>
      <c r="C3041" s="37"/>
      <c r="D3041" s="37"/>
      <c r="E3041" s="15"/>
      <c r="F3041" s="85"/>
      <c r="G3041" s="17"/>
      <c r="H3041" s="38"/>
      <c r="I3041" s="42"/>
    </row>
    <row r="3042" spans="1:9" customFormat="1" ht="21.95" customHeight="1" x14ac:dyDescent="0.15">
      <c r="A3042" s="17"/>
      <c r="B3042" s="37"/>
      <c r="C3042" s="37"/>
      <c r="D3042" s="37"/>
      <c r="E3042" s="15"/>
      <c r="F3042" s="85"/>
      <c r="G3042" s="17"/>
      <c r="H3042" s="38"/>
      <c r="I3042" s="42"/>
    </row>
    <row r="3043" spans="1:9" customFormat="1" ht="21.95" customHeight="1" x14ac:dyDescent="0.15">
      <c r="A3043" s="17"/>
      <c r="B3043" s="37"/>
      <c r="C3043" s="37"/>
      <c r="D3043" s="37"/>
      <c r="E3043" s="15"/>
      <c r="F3043" s="85"/>
      <c r="G3043" s="17"/>
      <c r="H3043" s="38"/>
      <c r="I3043" s="42"/>
    </row>
    <row r="3044" spans="1:9" customFormat="1" ht="21.95" customHeight="1" x14ac:dyDescent="0.15">
      <c r="A3044" s="17"/>
      <c r="B3044" s="37"/>
      <c r="C3044" s="37"/>
      <c r="D3044" s="37"/>
      <c r="E3044" s="15"/>
      <c r="F3044" s="85"/>
      <c r="G3044" s="17"/>
      <c r="H3044" s="38"/>
      <c r="I3044" s="42"/>
    </row>
    <row r="3045" spans="1:9" customFormat="1" ht="21.95" customHeight="1" x14ac:dyDescent="0.15">
      <c r="A3045" s="17"/>
      <c r="B3045" s="37"/>
      <c r="C3045" s="37"/>
      <c r="D3045" s="37"/>
      <c r="E3045" s="15"/>
      <c r="F3045" s="85"/>
      <c r="G3045" s="17"/>
      <c r="H3045" s="38"/>
      <c r="I3045" s="42"/>
    </row>
    <row r="3046" spans="1:9" customFormat="1" ht="21.95" customHeight="1" x14ac:dyDescent="0.15">
      <c r="A3046" s="17"/>
      <c r="B3046" s="37"/>
      <c r="C3046" s="37"/>
      <c r="D3046" s="37"/>
      <c r="E3046" s="15"/>
      <c r="F3046" s="85"/>
      <c r="G3046" s="17"/>
      <c r="H3046" s="38"/>
      <c r="I3046" s="42"/>
    </row>
    <row r="3047" spans="1:9" customFormat="1" ht="21.95" customHeight="1" x14ac:dyDescent="0.15">
      <c r="A3047" s="17"/>
      <c r="B3047" s="37"/>
      <c r="C3047" s="37"/>
      <c r="D3047" s="37"/>
      <c r="E3047" s="15"/>
      <c r="F3047" s="85"/>
      <c r="G3047" s="17"/>
      <c r="H3047" s="38"/>
      <c r="I3047" s="42"/>
    </row>
    <row r="3048" spans="1:9" customFormat="1" ht="21.95" customHeight="1" x14ac:dyDescent="0.15">
      <c r="A3048" s="17"/>
      <c r="B3048" s="37"/>
      <c r="C3048" s="37"/>
      <c r="D3048" s="37"/>
      <c r="E3048" s="15"/>
      <c r="F3048" s="85"/>
      <c r="G3048" s="17"/>
      <c r="H3048" s="38"/>
      <c r="I3048" s="42"/>
    </row>
    <row r="3049" spans="1:9" customFormat="1" ht="21.95" customHeight="1" x14ac:dyDescent="0.15">
      <c r="A3049" s="17"/>
      <c r="B3049" s="37"/>
      <c r="C3049" s="37"/>
      <c r="D3049" s="37"/>
      <c r="E3049" s="15"/>
      <c r="F3049" s="85"/>
      <c r="G3049" s="17"/>
      <c r="H3049" s="38"/>
      <c r="I3049" s="56"/>
    </row>
    <row r="3050" spans="1:9" customFormat="1" ht="21.95" customHeight="1" x14ac:dyDescent="0.15">
      <c r="A3050" s="17"/>
      <c r="B3050" s="37"/>
      <c r="C3050" s="37"/>
      <c r="D3050" s="37"/>
      <c r="E3050" s="15"/>
      <c r="F3050" s="85"/>
      <c r="G3050" s="17"/>
      <c r="H3050" s="38"/>
      <c r="I3050" s="56"/>
    </row>
    <row r="3051" spans="1:9" customFormat="1" ht="32.1" customHeight="1" x14ac:dyDescent="0.15">
      <c r="A3051" s="17"/>
      <c r="B3051" s="37"/>
      <c r="C3051" s="37"/>
      <c r="D3051" s="37"/>
      <c r="E3051" s="15"/>
      <c r="F3051" s="85"/>
      <c r="G3051" s="17"/>
      <c r="H3051" s="38"/>
      <c r="I3051" s="56"/>
    </row>
    <row r="3052" spans="1:9" customFormat="1" ht="32.1" customHeight="1" x14ac:dyDescent="0.15">
      <c r="A3052" s="17"/>
      <c r="B3052" s="37"/>
      <c r="C3052" s="37"/>
      <c r="D3052" s="37"/>
      <c r="E3052" s="15"/>
      <c r="F3052" s="85"/>
      <c r="G3052" s="17"/>
      <c r="H3052" s="38"/>
      <c r="I3052" s="56"/>
    </row>
    <row r="3053" spans="1:9" customFormat="1" ht="32.1" customHeight="1" x14ac:dyDescent="0.15">
      <c r="A3053" s="17"/>
      <c r="B3053" s="37"/>
      <c r="C3053" s="37"/>
      <c r="D3053" s="37"/>
      <c r="E3053" s="15"/>
      <c r="F3053" s="85"/>
      <c r="G3053" s="17"/>
      <c r="H3053" s="38"/>
      <c r="I3053" s="56"/>
    </row>
    <row r="3054" spans="1:9" customFormat="1" ht="32.1" customHeight="1" x14ac:dyDescent="0.15">
      <c r="A3054" s="17"/>
      <c r="B3054" s="37"/>
      <c r="C3054" s="37"/>
      <c r="D3054" s="37"/>
      <c r="E3054" s="15"/>
      <c r="F3054" s="85"/>
      <c r="G3054" s="17"/>
      <c r="H3054" s="38"/>
      <c r="I3054" s="56"/>
    </row>
    <row r="3055" spans="1:9" customFormat="1" ht="32.1" customHeight="1" x14ac:dyDescent="0.15">
      <c r="A3055" s="17"/>
      <c r="B3055" s="37"/>
      <c r="C3055" s="37"/>
      <c r="D3055" s="37"/>
      <c r="E3055" s="15"/>
      <c r="F3055" s="85"/>
      <c r="G3055" s="17"/>
      <c r="H3055" s="38"/>
      <c r="I3055" s="56"/>
    </row>
    <row r="3056" spans="1:9" customFormat="1" ht="32.1" customHeight="1" x14ac:dyDescent="0.15">
      <c r="A3056" s="17"/>
      <c r="B3056" s="37"/>
      <c r="C3056" s="37"/>
      <c r="D3056" s="37"/>
      <c r="E3056" s="15"/>
      <c r="F3056" s="85"/>
      <c r="G3056" s="17"/>
      <c r="H3056" s="38"/>
      <c r="I3056" s="56"/>
    </row>
    <row r="3057" spans="1:9" ht="32.1" customHeight="1" x14ac:dyDescent="0.15">
      <c r="A3057" s="17"/>
      <c r="B3057" s="37"/>
      <c r="C3057" s="37"/>
      <c r="D3057" s="37"/>
      <c r="E3057" s="15"/>
      <c r="F3057" s="85"/>
      <c r="G3057" s="17"/>
      <c r="H3057" s="38"/>
      <c r="I3057" s="37"/>
    </row>
    <row r="3058" spans="1:9" ht="32.1" customHeight="1" x14ac:dyDescent="0.15">
      <c r="A3058" s="17"/>
      <c r="B3058" s="37"/>
      <c r="C3058" s="37"/>
      <c r="D3058" s="37"/>
      <c r="E3058" s="15"/>
      <c r="F3058" s="37"/>
      <c r="G3058" s="17"/>
      <c r="H3058" s="38"/>
      <c r="I3058" s="37"/>
    </row>
    <row r="3059" spans="1:9" ht="32.1" customHeight="1" x14ac:dyDescent="0.15">
      <c r="A3059" s="17"/>
      <c r="B3059" s="37"/>
      <c r="C3059" s="37"/>
      <c r="D3059" s="37"/>
      <c r="E3059" s="15"/>
      <c r="F3059" s="37"/>
      <c r="G3059" s="17"/>
      <c r="H3059" s="38"/>
      <c r="I3059" s="37"/>
    </row>
    <row r="3060" spans="1:9" ht="32.1" customHeight="1" x14ac:dyDescent="0.15">
      <c r="A3060" s="17"/>
      <c r="B3060" s="37"/>
      <c r="C3060" s="37"/>
      <c r="D3060" s="37"/>
      <c r="E3060" s="15"/>
      <c r="F3060" s="37"/>
      <c r="G3060" s="17"/>
      <c r="H3060" s="38"/>
      <c r="I3060" s="37"/>
    </row>
    <row r="3061" spans="1:9" ht="21.95" customHeight="1" x14ac:dyDescent="0.15">
      <c r="A3061" s="17"/>
      <c r="B3061" s="37"/>
      <c r="C3061" s="37"/>
      <c r="D3061" s="37"/>
      <c r="E3061" s="15"/>
      <c r="F3061" s="37"/>
      <c r="G3061" s="17"/>
      <c r="H3061" s="38"/>
      <c r="I3061" s="37"/>
    </row>
    <row r="3062" spans="1:9" ht="54" customHeight="1" x14ac:dyDescent="0.15">
      <c r="A3062" s="17"/>
      <c r="B3062" s="37"/>
      <c r="C3062" s="37"/>
      <c r="D3062" s="37"/>
      <c r="E3062" s="15"/>
      <c r="F3062" s="37"/>
      <c r="G3062" s="17"/>
      <c r="H3062" s="38"/>
      <c r="I3062" s="37"/>
    </row>
    <row r="3063" spans="1:9" ht="21.95" customHeight="1" x14ac:dyDescent="0.15">
      <c r="A3063" s="17"/>
      <c r="B3063" s="37"/>
      <c r="C3063" s="37"/>
      <c r="D3063" s="37"/>
      <c r="E3063" s="15"/>
      <c r="F3063" s="37"/>
      <c r="G3063" s="17"/>
      <c r="H3063" s="38"/>
      <c r="I3063" s="37"/>
    </row>
    <row r="3064" spans="1:9" ht="21.95" customHeight="1" x14ac:dyDescent="0.15">
      <c r="A3064" s="17"/>
      <c r="B3064" s="37"/>
      <c r="C3064" s="37"/>
      <c r="D3064" s="37"/>
      <c r="E3064" s="15"/>
      <c r="F3064" s="37"/>
      <c r="G3064" s="17"/>
      <c r="H3064" s="38"/>
      <c r="I3064" s="37"/>
    </row>
    <row r="3065" spans="1:9" ht="21.95" customHeight="1" x14ac:dyDescent="0.15">
      <c r="A3065" s="17"/>
      <c r="B3065" s="37"/>
      <c r="C3065" s="37"/>
      <c r="D3065" s="37"/>
      <c r="E3065" s="15"/>
      <c r="F3065" s="37"/>
      <c r="G3065" s="17"/>
      <c r="H3065" s="38"/>
      <c r="I3065" s="37"/>
    </row>
    <row r="3066" spans="1:9" ht="21.95" customHeight="1" x14ac:dyDescent="0.15">
      <c r="A3066" s="17"/>
      <c r="B3066" s="37"/>
      <c r="C3066" s="37"/>
      <c r="D3066" s="37"/>
      <c r="E3066" s="15"/>
      <c r="F3066" s="37"/>
      <c r="G3066" s="17"/>
      <c r="H3066" s="38"/>
      <c r="I3066" s="37"/>
    </row>
    <row r="3067" spans="1:9" ht="21.95" customHeight="1" x14ac:dyDescent="0.15">
      <c r="A3067" s="17"/>
      <c r="B3067" s="37"/>
      <c r="C3067" s="37"/>
      <c r="E3067" s="15"/>
      <c r="G3067" s="17"/>
      <c r="H3067" s="38"/>
    </row>
    <row r="3068" spans="1:9" ht="21.95" customHeight="1" x14ac:dyDescent="0.15">
      <c r="A3068" s="17"/>
      <c r="B3068" s="37"/>
      <c r="C3068" s="37"/>
      <c r="E3068" s="15"/>
      <c r="G3068" s="17"/>
      <c r="H3068" s="38"/>
    </row>
    <row r="3069" spans="1:9" ht="21.95" customHeight="1" x14ac:dyDescent="0.15">
      <c r="A3069" s="17"/>
      <c r="B3069" s="37"/>
      <c r="C3069" s="37"/>
      <c r="E3069" s="15"/>
      <c r="F3069" s="37"/>
      <c r="G3069" s="13"/>
      <c r="H3069" s="38"/>
    </row>
    <row r="3070" spans="1:9" ht="21.95" customHeight="1" x14ac:dyDescent="0.15">
      <c r="A3070" s="17"/>
      <c r="B3070" s="37"/>
      <c r="C3070" s="37"/>
      <c r="E3070" s="15"/>
      <c r="F3070" s="37"/>
      <c r="G3070" s="13"/>
      <c r="H3070" s="38"/>
    </row>
    <row r="3071" spans="1:9" ht="21.95" customHeight="1" x14ac:dyDescent="0.15">
      <c r="A3071" s="17"/>
      <c r="B3071" s="37"/>
      <c r="C3071" s="37"/>
      <c r="D3071" s="37"/>
      <c r="E3071" s="15"/>
      <c r="F3071" s="37"/>
      <c r="G3071" s="13"/>
      <c r="H3071" s="38"/>
    </row>
    <row r="3072" spans="1:9" ht="21.95" customHeight="1" x14ac:dyDescent="0.15">
      <c r="A3072" s="17"/>
      <c r="B3072" s="37"/>
      <c r="C3072" s="37"/>
      <c r="D3072" s="37"/>
      <c r="E3072" s="15"/>
      <c r="F3072" s="37"/>
      <c r="G3072" s="13"/>
      <c r="H3072" s="38"/>
    </row>
    <row r="3073" spans="1:8" ht="21.95" customHeight="1" x14ac:dyDescent="0.15">
      <c r="A3073" s="17"/>
      <c r="B3073" s="37"/>
      <c r="C3073" s="37"/>
      <c r="D3073" s="37"/>
      <c r="E3073" s="15"/>
      <c r="F3073" s="37"/>
      <c r="G3073" s="13"/>
      <c r="H3073" s="38"/>
    </row>
    <row r="3074" spans="1:8" ht="21.95" customHeight="1" x14ac:dyDescent="0.15">
      <c r="A3074" s="17"/>
      <c r="B3074" s="37"/>
      <c r="C3074" s="37"/>
      <c r="D3074" s="37"/>
      <c r="E3074" s="15"/>
      <c r="F3074" s="37"/>
      <c r="G3074" s="13"/>
      <c r="H3074" s="38"/>
    </row>
    <row r="3075" spans="1:8" ht="21.95" customHeight="1" x14ac:dyDescent="0.15">
      <c r="A3075" s="17"/>
      <c r="B3075" s="37"/>
      <c r="C3075" s="37"/>
      <c r="D3075" s="37"/>
      <c r="E3075" s="15"/>
      <c r="F3075" s="37"/>
      <c r="G3075" s="13"/>
      <c r="H3075" s="38"/>
    </row>
    <row r="3076" spans="1:8" ht="21.95" customHeight="1" x14ac:dyDescent="0.15">
      <c r="A3076" s="17"/>
      <c r="B3076" s="37"/>
      <c r="C3076" s="37"/>
      <c r="D3076" s="37"/>
      <c r="E3076" s="15"/>
      <c r="F3076" s="37"/>
      <c r="G3076" s="13"/>
      <c r="H3076" s="38"/>
    </row>
    <row r="3077" spans="1:8" ht="21.95" customHeight="1" x14ac:dyDescent="0.15">
      <c r="A3077" s="17"/>
      <c r="B3077" s="37"/>
      <c r="C3077" s="37"/>
      <c r="D3077" s="37"/>
      <c r="E3077" s="15"/>
      <c r="F3077" s="37"/>
      <c r="G3077" s="13"/>
      <c r="H3077" s="38"/>
    </row>
    <row r="3078" spans="1:8" ht="21.95" customHeight="1" x14ac:dyDescent="0.15">
      <c r="A3078" s="17"/>
      <c r="B3078" s="37"/>
      <c r="C3078" s="37"/>
      <c r="D3078" s="37"/>
      <c r="E3078" s="15"/>
      <c r="F3078" s="37"/>
      <c r="G3078" s="13"/>
      <c r="H3078" s="38"/>
    </row>
    <row r="3079" spans="1:8" ht="21.95" customHeight="1" x14ac:dyDescent="0.15">
      <c r="A3079" s="17"/>
      <c r="B3079" s="37"/>
      <c r="C3079" s="37"/>
      <c r="D3079" s="37"/>
      <c r="E3079" s="15"/>
      <c r="F3079" s="37"/>
      <c r="G3079" s="13"/>
      <c r="H3079" s="38"/>
    </row>
    <row r="3080" spans="1:8" ht="21.95" customHeight="1" x14ac:dyDescent="0.15">
      <c r="A3080" s="17"/>
      <c r="B3080" s="37"/>
      <c r="C3080" s="37"/>
      <c r="D3080" s="37"/>
      <c r="E3080" s="15"/>
      <c r="F3080" s="37"/>
      <c r="G3080" s="13"/>
      <c r="H3080" s="15"/>
    </row>
    <row r="3081" spans="1:8" ht="21.95" customHeight="1" x14ac:dyDescent="0.15">
      <c r="A3081" s="17"/>
      <c r="B3081" s="37"/>
      <c r="C3081" s="37"/>
      <c r="D3081" s="37"/>
      <c r="E3081" s="15"/>
      <c r="F3081" s="37"/>
      <c r="G3081" s="13"/>
      <c r="H3081" s="15"/>
    </row>
    <row r="3082" spans="1:8" ht="21.95" customHeight="1" x14ac:dyDescent="0.15">
      <c r="A3082" s="17"/>
      <c r="B3082" s="37"/>
      <c r="C3082" s="37"/>
      <c r="D3082" s="37"/>
      <c r="E3082" s="15"/>
      <c r="F3082" s="37"/>
      <c r="G3082" s="13"/>
      <c r="H3082" s="15"/>
    </row>
    <row r="3083" spans="1:8" ht="21.95" customHeight="1" x14ac:dyDescent="0.15">
      <c r="A3083" s="17"/>
      <c r="B3083" s="37"/>
      <c r="C3083" s="37"/>
      <c r="D3083" s="37"/>
      <c r="E3083" s="15"/>
      <c r="F3083" s="37"/>
      <c r="G3083" s="13"/>
      <c r="H3083" s="15"/>
    </row>
    <row r="3084" spans="1:8" ht="21.95" customHeight="1" x14ac:dyDescent="0.15">
      <c r="A3084" s="17"/>
      <c r="B3084" s="37"/>
      <c r="C3084" s="37"/>
      <c r="D3084" s="37"/>
      <c r="E3084" s="15"/>
      <c r="F3084" s="37"/>
      <c r="G3084" s="13"/>
      <c r="H3084" s="15"/>
    </row>
    <row r="3085" spans="1:8" ht="21.95" customHeight="1" x14ac:dyDescent="0.15">
      <c r="A3085" s="17"/>
      <c r="B3085" s="37"/>
      <c r="C3085" s="37"/>
      <c r="D3085" s="37"/>
      <c r="E3085" s="15"/>
      <c r="F3085" s="37"/>
      <c r="G3085" s="13"/>
      <c r="H3085" s="15"/>
    </row>
    <row r="3086" spans="1:8" ht="21.95" customHeight="1" x14ac:dyDescent="0.15">
      <c r="A3086" s="17"/>
      <c r="B3086" s="37"/>
      <c r="C3086" s="37"/>
      <c r="D3086" s="37"/>
      <c r="E3086" s="15"/>
      <c r="F3086" s="37"/>
      <c r="G3086" s="13"/>
      <c r="H3086" s="15"/>
    </row>
    <row r="3087" spans="1:8" ht="21.95" customHeight="1" x14ac:dyDescent="0.15">
      <c r="A3087" s="17"/>
      <c r="B3087" s="37"/>
      <c r="C3087" s="37"/>
      <c r="D3087" s="37"/>
      <c r="E3087" s="15"/>
      <c r="F3087" s="37"/>
      <c r="G3087" s="13"/>
      <c r="H3087" s="15"/>
    </row>
    <row r="3088" spans="1:8" ht="21.95" customHeight="1" x14ac:dyDescent="0.15">
      <c r="A3088" s="17"/>
      <c r="B3088" s="37"/>
      <c r="C3088" s="37"/>
      <c r="D3088" s="37"/>
      <c r="E3088" s="15"/>
      <c r="F3088" s="37"/>
      <c r="G3088" s="13"/>
      <c r="H3088" s="15"/>
    </row>
    <row r="3089" spans="1:8" ht="21.95" customHeight="1" x14ac:dyDescent="0.15">
      <c r="A3089" s="17"/>
      <c r="B3089" s="37"/>
      <c r="C3089" s="37"/>
      <c r="D3089" s="37"/>
      <c r="E3089" s="15"/>
      <c r="F3089" s="37"/>
      <c r="G3089" s="13"/>
      <c r="H3089" s="15"/>
    </row>
    <row r="3090" spans="1:8" ht="21.95" customHeight="1" x14ac:dyDescent="0.15">
      <c r="A3090" s="17"/>
      <c r="B3090" s="37"/>
      <c r="C3090" s="37"/>
      <c r="D3090" s="37"/>
      <c r="E3090" s="15"/>
      <c r="F3090" s="37"/>
      <c r="G3090" s="13"/>
      <c r="H3090" s="15"/>
    </row>
    <row r="3091" spans="1:8" ht="21.95" customHeight="1" x14ac:dyDescent="0.15">
      <c r="A3091" s="17"/>
      <c r="B3091" s="37"/>
      <c r="C3091" s="37"/>
      <c r="D3091" s="37"/>
      <c r="E3091" s="15"/>
      <c r="F3091" s="37"/>
      <c r="G3091" s="13"/>
      <c r="H3091" s="15"/>
    </row>
    <row r="3092" spans="1:8" ht="21.95" customHeight="1" x14ac:dyDescent="0.15">
      <c r="A3092" s="17"/>
      <c r="B3092" s="37"/>
      <c r="C3092" s="37"/>
      <c r="D3092" s="37"/>
      <c r="E3092" s="15"/>
      <c r="F3092" s="37"/>
      <c r="G3092" s="13"/>
      <c r="H3092" s="15"/>
    </row>
    <row r="3093" spans="1:8" ht="21.95" customHeight="1" x14ac:dyDescent="0.15">
      <c r="A3093" s="17"/>
      <c r="B3093" s="37"/>
      <c r="C3093" s="37"/>
      <c r="D3093" s="37"/>
      <c r="E3093" s="15"/>
      <c r="F3093" s="37"/>
      <c r="G3093" s="13"/>
      <c r="H3093" s="15"/>
    </row>
    <row r="3094" spans="1:8" ht="21.95" customHeight="1" x14ac:dyDescent="0.15">
      <c r="A3094" s="17"/>
      <c r="B3094" s="37"/>
      <c r="C3094" s="37"/>
      <c r="D3094" s="37"/>
      <c r="E3094" s="15"/>
      <c r="F3094" s="37"/>
      <c r="G3094" s="13"/>
      <c r="H3094" s="15"/>
    </row>
    <row r="3095" spans="1:8" ht="21.95" customHeight="1" x14ac:dyDescent="0.15">
      <c r="A3095" s="17"/>
      <c r="B3095" s="37"/>
      <c r="C3095" s="37"/>
      <c r="D3095" s="37"/>
      <c r="E3095" s="15"/>
      <c r="F3095" s="37"/>
      <c r="G3095" s="13"/>
      <c r="H3095" s="15"/>
    </row>
    <row r="3096" spans="1:8" ht="21.95" customHeight="1" x14ac:dyDescent="0.15">
      <c r="A3096" s="17"/>
      <c r="B3096" s="37"/>
      <c r="C3096" s="37"/>
      <c r="D3096" s="37"/>
      <c r="E3096" s="15"/>
      <c r="F3096" s="37"/>
      <c r="G3096" s="13"/>
      <c r="H3096" s="15"/>
    </row>
    <row r="3097" spans="1:8" ht="21.95" customHeight="1" x14ac:dyDescent="0.15">
      <c r="A3097" s="17"/>
      <c r="B3097" s="37"/>
      <c r="C3097" s="37"/>
      <c r="D3097" s="37"/>
      <c r="E3097" s="15"/>
      <c r="F3097" s="37"/>
      <c r="G3097" s="13"/>
      <c r="H3097" s="15"/>
    </row>
    <row r="3098" spans="1:8" ht="21.95" customHeight="1" x14ac:dyDescent="0.15">
      <c r="A3098" s="17"/>
      <c r="B3098" s="37"/>
      <c r="C3098" s="37"/>
      <c r="D3098" s="37"/>
      <c r="E3098" s="15"/>
      <c r="F3098" s="37"/>
      <c r="G3098" s="37"/>
      <c r="H3098" s="15"/>
    </row>
    <row r="3099" spans="1:8" ht="21.95" customHeight="1" x14ac:dyDescent="0.15">
      <c r="A3099" s="17"/>
      <c r="B3099" s="37"/>
      <c r="C3099" s="37"/>
      <c r="D3099" s="37"/>
      <c r="E3099" s="15"/>
      <c r="F3099" s="37"/>
      <c r="G3099" s="13"/>
      <c r="H3099" s="15"/>
    </row>
    <row r="3100" spans="1:8" ht="21.95" customHeight="1" x14ac:dyDescent="0.15">
      <c r="A3100" s="17"/>
      <c r="B3100" s="37"/>
      <c r="C3100" s="37"/>
      <c r="D3100" s="37"/>
      <c r="E3100" s="15"/>
      <c r="F3100" s="37"/>
      <c r="G3100" s="13"/>
      <c r="H3100" s="15"/>
    </row>
    <row r="3101" spans="1:8" ht="21.95" customHeight="1" x14ac:dyDescent="0.15">
      <c r="A3101" s="17"/>
      <c r="B3101" s="37"/>
      <c r="C3101" s="37"/>
      <c r="D3101" s="37"/>
      <c r="E3101" s="15"/>
      <c r="F3101" s="37"/>
      <c r="G3101" s="13"/>
      <c r="H3101" s="15"/>
    </row>
    <row r="3102" spans="1:8" ht="21.95" customHeight="1" x14ac:dyDescent="0.15">
      <c r="A3102" s="17"/>
      <c r="B3102" s="37"/>
      <c r="C3102" s="37"/>
      <c r="D3102" s="37"/>
      <c r="E3102" s="15"/>
      <c r="F3102" s="37"/>
      <c r="G3102" s="13"/>
      <c r="H3102" s="15"/>
    </row>
    <row r="3103" spans="1:8" ht="21.95" customHeight="1" x14ac:dyDescent="0.15">
      <c r="A3103" s="17"/>
      <c r="B3103" s="37"/>
      <c r="C3103" s="37"/>
      <c r="D3103" s="37"/>
      <c r="E3103" s="15"/>
      <c r="F3103" s="37"/>
      <c r="G3103" s="13"/>
      <c r="H3103" s="15"/>
    </row>
    <row r="3104" spans="1:8" ht="21.95" customHeight="1" x14ac:dyDescent="0.15">
      <c r="A3104" s="17"/>
      <c r="B3104" s="37"/>
      <c r="C3104" s="37"/>
      <c r="D3104" s="37"/>
      <c r="E3104" s="15"/>
      <c r="F3104" s="37"/>
      <c r="G3104" s="13"/>
      <c r="H3104" s="15"/>
    </row>
    <row r="3105" spans="1:9" ht="21.95" customHeight="1" x14ac:dyDescent="0.15">
      <c r="A3105" s="17"/>
      <c r="B3105" s="37"/>
      <c r="C3105" s="37"/>
      <c r="D3105" s="37"/>
      <c r="E3105" s="15"/>
      <c r="F3105" s="37"/>
      <c r="G3105" s="13"/>
      <c r="H3105" s="15"/>
    </row>
    <row r="3106" spans="1:9" ht="21.95" customHeight="1" x14ac:dyDescent="0.15">
      <c r="A3106" s="17"/>
      <c r="B3106" s="37"/>
      <c r="C3106" s="37"/>
      <c r="D3106" s="37"/>
      <c r="E3106" s="15"/>
      <c r="F3106" s="37"/>
      <c r="G3106" s="13"/>
      <c r="H3106" s="15"/>
    </row>
    <row r="3107" spans="1:9" ht="21.95" customHeight="1" x14ac:dyDescent="0.15">
      <c r="A3107" s="17"/>
      <c r="B3107" s="37"/>
      <c r="C3107" s="37"/>
      <c r="D3107" s="37"/>
      <c r="E3107" s="15"/>
      <c r="F3107" s="37"/>
      <c r="G3107" s="13"/>
      <c r="H3107" s="15"/>
    </row>
    <row r="3108" spans="1:9" ht="21.95" customHeight="1" x14ac:dyDescent="0.15">
      <c r="A3108" s="17"/>
      <c r="B3108" s="37"/>
      <c r="C3108" s="37"/>
      <c r="D3108" s="37"/>
      <c r="E3108" s="15"/>
      <c r="F3108" s="37"/>
      <c r="G3108" s="13"/>
      <c r="H3108" s="15"/>
    </row>
    <row r="3109" spans="1:9" ht="21.95" customHeight="1" x14ac:dyDescent="0.15">
      <c r="A3109" s="17"/>
      <c r="B3109" s="37"/>
      <c r="C3109" s="37"/>
      <c r="D3109" s="37"/>
      <c r="E3109" s="15"/>
      <c r="F3109" s="37"/>
      <c r="G3109" s="13"/>
      <c r="H3109" s="15"/>
    </row>
    <row r="3110" spans="1:9" ht="21.95" customHeight="1" x14ac:dyDescent="0.15">
      <c r="A3110" s="17"/>
      <c r="B3110" s="37"/>
      <c r="C3110" s="37"/>
      <c r="D3110" s="37"/>
      <c r="E3110" s="15"/>
      <c r="F3110" s="37"/>
      <c r="G3110" s="13"/>
      <c r="H3110" s="15"/>
    </row>
    <row r="3111" spans="1:9" ht="21.95" customHeight="1" x14ac:dyDescent="0.15">
      <c r="A3111" s="17"/>
      <c r="B3111" s="37"/>
      <c r="C3111" s="37"/>
      <c r="D3111" s="37"/>
      <c r="E3111" s="15"/>
      <c r="F3111" s="37"/>
      <c r="G3111" s="13"/>
      <c r="H3111" s="38"/>
      <c r="I3111" s="84"/>
    </row>
    <row r="3112" spans="1:9" ht="21.95" customHeight="1" x14ac:dyDescent="0.15">
      <c r="A3112" s="17"/>
      <c r="B3112" s="37"/>
      <c r="C3112" s="37"/>
      <c r="D3112" s="37"/>
      <c r="E3112" s="15"/>
      <c r="F3112" s="37"/>
      <c r="G3112" s="13"/>
      <c r="H3112" s="15"/>
      <c r="I3112" s="84"/>
    </row>
    <row r="3113" spans="1:9" ht="35.1" customHeight="1" x14ac:dyDescent="0.15">
      <c r="A3113" s="17"/>
      <c r="B3113" s="37"/>
      <c r="C3113" s="37"/>
      <c r="D3113" s="37"/>
      <c r="E3113" s="15"/>
      <c r="F3113" s="15"/>
      <c r="G3113" s="37"/>
      <c r="H3113" s="15"/>
    </row>
    <row r="3114" spans="1:9" ht="21.95" customHeight="1" x14ac:dyDescent="0.15">
      <c r="A3114" s="17"/>
      <c r="B3114" s="37"/>
      <c r="C3114" s="37"/>
      <c r="D3114" s="37"/>
      <c r="E3114" s="15"/>
      <c r="F3114" s="37"/>
      <c r="G3114" s="13"/>
      <c r="H3114" s="15"/>
    </row>
    <row r="3115" spans="1:9" ht="21.95" customHeight="1" x14ac:dyDescent="0.15">
      <c r="A3115" s="17"/>
      <c r="B3115" s="37"/>
      <c r="C3115" s="37"/>
      <c r="D3115" s="37"/>
      <c r="E3115" s="15"/>
      <c r="F3115" s="37"/>
      <c r="G3115" s="13"/>
      <c r="H3115" s="15"/>
    </row>
    <row r="3116" spans="1:9" ht="21.95" customHeight="1" x14ac:dyDescent="0.15">
      <c r="A3116" s="17"/>
      <c r="B3116" s="37"/>
      <c r="C3116" s="37"/>
      <c r="D3116" s="37"/>
      <c r="E3116" s="15"/>
      <c r="F3116" s="37"/>
      <c r="G3116" s="13"/>
      <c r="H3116" s="15"/>
    </row>
    <row r="3117" spans="1:9" ht="21.95" customHeight="1" x14ac:dyDescent="0.15">
      <c r="A3117" s="17"/>
      <c r="B3117" s="37"/>
      <c r="C3117" s="37"/>
      <c r="D3117" s="37"/>
      <c r="E3117" s="15"/>
      <c r="F3117" s="37"/>
      <c r="G3117" s="13"/>
      <c r="H3117" s="15"/>
    </row>
    <row r="3118" spans="1:9" ht="21.95" customHeight="1" x14ac:dyDescent="0.15">
      <c r="A3118" s="17"/>
      <c r="B3118" s="37"/>
      <c r="C3118" s="37"/>
      <c r="D3118" s="37"/>
      <c r="E3118" s="15"/>
      <c r="F3118" s="37"/>
      <c r="G3118" s="13"/>
      <c r="H3118" s="15"/>
    </row>
    <row r="3119" spans="1:9" ht="21.95" customHeight="1" x14ac:dyDescent="0.15">
      <c r="A3119" s="17"/>
      <c r="B3119" s="37"/>
      <c r="C3119" s="37"/>
      <c r="D3119" s="37"/>
      <c r="E3119" s="15"/>
      <c r="F3119" s="37"/>
      <c r="G3119" s="13"/>
      <c r="H3119" s="15"/>
      <c r="I3119" s="37"/>
    </row>
    <row r="3120" spans="1:9" ht="21.95" customHeight="1" x14ac:dyDescent="0.15">
      <c r="A3120" s="17"/>
      <c r="B3120" s="37"/>
      <c r="C3120" s="37"/>
      <c r="D3120" s="37"/>
      <c r="E3120" s="15"/>
      <c r="F3120" s="37"/>
      <c r="G3120" s="37"/>
      <c r="H3120" s="15"/>
      <c r="I3120" s="37"/>
    </row>
    <row r="3121" spans="1:9" ht="21.95" customHeight="1" x14ac:dyDescent="0.15">
      <c r="A3121" s="17"/>
      <c r="B3121" s="37"/>
      <c r="C3121" s="37"/>
      <c r="D3121" s="37"/>
      <c r="E3121" s="15"/>
      <c r="F3121" s="37"/>
      <c r="G3121" s="37"/>
      <c r="H3121" s="38"/>
      <c r="I3121" s="37"/>
    </row>
    <row r="3122" spans="1:9" ht="21.95" customHeight="1" x14ac:dyDescent="0.15">
      <c r="A3122" s="17"/>
      <c r="B3122" s="37"/>
      <c r="C3122" s="37"/>
      <c r="D3122" s="37"/>
      <c r="E3122" s="15"/>
      <c r="F3122" s="37"/>
      <c r="G3122" s="37"/>
      <c r="H3122" s="38"/>
      <c r="I3122" s="37"/>
    </row>
    <row r="3123" spans="1:9" ht="21.95" customHeight="1" x14ac:dyDescent="0.15">
      <c r="A3123" s="17"/>
      <c r="B3123" s="37"/>
      <c r="C3123" s="37"/>
      <c r="D3123" s="37"/>
      <c r="E3123" s="15"/>
      <c r="F3123" s="37"/>
      <c r="G3123" s="13"/>
      <c r="H3123" s="15"/>
      <c r="I3123" s="37"/>
    </row>
    <row r="3124" spans="1:9" ht="21.95" customHeight="1" x14ac:dyDescent="0.15">
      <c r="A3124" s="17"/>
      <c r="B3124" s="37"/>
      <c r="C3124" s="37"/>
      <c r="D3124" s="37"/>
      <c r="E3124" s="15"/>
      <c r="F3124" s="37"/>
      <c r="G3124" s="13"/>
      <c r="H3124" s="15"/>
      <c r="I3124" s="37"/>
    </row>
    <row r="3125" spans="1:9" ht="21.95" customHeight="1" x14ac:dyDescent="0.15">
      <c r="A3125" s="17"/>
      <c r="B3125" s="37"/>
      <c r="C3125" s="37"/>
      <c r="D3125" s="37"/>
      <c r="E3125" s="15"/>
      <c r="F3125" s="37"/>
      <c r="G3125" s="13"/>
      <c r="H3125" s="15"/>
      <c r="I3125" s="37"/>
    </row>
    <row r="3126" spans="1:9" ht="21.95" customHeight="1" x14ac:dyDescent="0.15">
      <c r="A3126" s="17"/>
      <c r="B3126" s="37"/>
      <c r="C3126" s="37"/>
      <c r="E3126" s="15"/>
      <c r="F3126" s="37"/>
      <c r="H3126" s="38"/>
    </row>
    <row r="3127" spans="1:9" ht="21.95" customHeight="1" x14ac:dyDescent="0.15">
      <c r="A3127" s="17"/>
      <c r="B3127" s="37"/>
      <c r="C3127" s="37"/>
      <c r="E3127" s="15"/>
      <c r="F3127" s="37"/>
    </row>
    <row r="3128" spans="1:9" ht="21.95" customHeight="1" x14ac:dyDescent="0.15">
      <c r="A3128" s="17"/>
      <c r="B3128" s="37"/>
      <c r="C3128" s="37"/>
      <c r="E3128" s="15"/>
      <c r="G3128" s="77"/>
    </row>
    <row r="3129" spans="1:9" ht="21.95" customHeight="1" x14ac:dyDescent="0.15">
      <c r="A3129" s="17"/>
      <c r="B3129" s="37"/>
      <c r="C3129" s="37"/>
      <c r="D3129" s="37"/>
      <c r="E3129" s="15"/>
      <c r="F3129" s="37"/>
      <c r="G3129" s="37"/>
      <c r="H3129" s="15"/>
    </row>
    <row r="3130" spans="1:9" ht="21.95" customHeight="1" x14ac:dyDescent="0.15">
      <c r="A3130" s="17"/>
      <c r="B3130" s="37"/>
      <c r="C3130" s="37"/>
      <c r="D3130" s="37"/>
      <c r="E3130" s="15"/>
      <c r="F3130" s="37"/>
      <c r="G3130" s="13"/>
      <c r="H3130" s="15"/>
    </row>
    <row r="3131" spans="1:9" ht="21.95" customHeight="1" x14ac:dyDescent="0.15">
      <c r="A3131" s="17"/>
      <c r="B3131" s="37"/>
      <c r="C3131" s="37"/>
      <c r="D3131" s="37"/>
      <c r="E3131" s="15"/>
      <c r="F3131" s="37"/>
      <c r="G3131" s="13"/>
      <c r="H3131" s="15"/>
    </row>
    <row r="3132" spans="1:9" ht="21.95" customHeight="1" x14ac:dyDescent="0.15">
      <c r="A3132" s="17"/>
      <c r="C3132" s="37"/>
    </row>
    <row r="3133" spans="1:9" ht="21.95" customHeight="1" x14ac:dyDescent="0.15">
      <c r="A3133" s="17"/>
      <c r="B3133" s="37"/>
      <c r="C3133" s="37"/>
      <c r="D3133" s="13"/>
      <c r="E3133" s="15"/>
      <c r="F3133" s="37"/>
      <c r="G3133" s="13"/>
      <c r="H3133" s="15"/>
      <c r="I3133" s="13"/>
    </row>
    <row r="3134" spans="1:9" ht="21.95" customHeight="1" x14ac:dyDescent="0.15">
      <c r="A3134" s="17"/>
      <c r="B3134" s="13"/>
      <c r="C3134" s="13"/>
      <c r="D3134" s="13"/>
      <c r="E3134" s="15"/>
      <c r="F3134" s="37"/>
      <c r="G3134" s="13"/>
      <c r="H3134" s="15"/>
      <c r="I3134" s="13"/>
    </row>
    <row r="3135" spans="1:9" ht="21.95" customHeight="1" x14ac:dyDescent="0.15">
      <c r="A3135" s="17"/>
      <c r="B3135" s="13"/>
      <c r="C3135" s="13"/>
      <c r="D3135" s="13"/>
      <c r="E3135" s="15"/>
      <c r="F3135" s="37"/>
      <c r="G3135" s="13"/>
      <c r="H3135" s="15"/>
      <c r="I3135" s="13"/>
    </row>
    <row r="3136" spans="1:9" ht="21.95" customHeight="1" x14ac:dyDescent="0.15">
      <c r="A3136" s="17"/>
      <c r="B3136" s="13"/>
      <c r="C3136" s="13"/>
      <c r="D3136" s="13"/>
      <c r="E3136" s="15"/>
      <c r="F3136" s="37"/>
      <c r="G3136" s="13"/>
      <c r="H3136" s="15"/>
      <c r="I3136" s="13"/>
    </row>
    <row r="3137" spans="1:9" customFormat="1" ht="21.95" customHeight="1" x14ac:dyDescent="0.15">
      <c r="A3137" s="17"/>
      <c r="B3137" s="40"/>
      <c r="C3137" s="40"/>
      <c r="D3137" s="40"/>
      <c r="E3137" s="38"/>
      <c r="F3137" s="85"/>
      <c r="G3137" s="40"/>
      <c r="H3137" s="38"/>
      <c r="I3137" s="40"/>
    </row>
    <row r="3138" spans="1:9" customFormat="1" ht="21.95" customHeight="1" x14ac:dyDescent="0.15">
      <c r="A3138" s="17"/>
      <c r="B3138" s="37"/>
      <c r="C3138" s="37"/>
      <c r="D3138" s="40"/>
      <c r="E3138" s="15"/>
      <c r="F3138" s="85"/>
      <c r="G3138" s="42"/>
      <c r="H3138" s="38"/>
      <c r="I3138" s="56"/>
    </row>
    <row r="3139" spans="1:9" customFormat="1" ht="21.95" customHeight="1" x14ac:dyDescent="0.15">
      <c r="A3139" s="17"/>
      <c r="B3139" s="37"/>
      <c r="C3139" s="95"/>
      <c r="D3139" s="40"/>
      <c r="E3139" s="15"/>
      <c r="F3139" s="85"/>
      <c r="G3139" s="42"/>
      <c r="H3139" s="38"/>
      <c r="I3139" s="56"/>
    </row>
    <row r="3140" spans="1:9" customFormat="1" ht="21.95" customHeight="1" x14ac:dyDescent="0.15">
      <c r="A3140" s="17"/>
      <c r="B3140" s="37"/>
      <c r="C3140" s="95"/>
      <c r="D3140" s="40"/>
      <c r="E3140" s="15"/>
      <c r="F3140" s="85"/>
      <c r="G3140" s="17"/>
      <c r="H3140" s="38"/>
      <c r="I3140" s="56"/>
    </row>
    <row r="3141" spans="1:9" customFormat="1" ht="21.95" customHeight="1" x14ac:dyDescent="0.15">
      <c r="A3141" s="17"/>
      <c r="B3141" s="37"/>
      <c r="C3141" s="37"/>
      <c r="D3141" s="40"/>
      <c r="E3141" s="15"/>
      <c r="F3141" s="85"/>
      <c r="G3141" s="42"/>
      <c r="H3141" s="38"/>
      <c r="I3141" s="56"/>
    </row>
    <row r="3142" spans="1:9" customFormat="1" ht="21.95" customHeight="1" x14ac:dyDescent="0.15">
      <c r="A3142" s="17"/>
      <c r="B3142" s="37"/>
      <c r="C3142" s="37"/>
      <c r="D3142" s="40"/>
      <c r="E3142" s="15"/>
      <c r="F3142" s="85"/>
      <c r="G3142" s="17"/>
      <c r="H3142" s="38"/>
      <c r="I3142" s="56"/>
    </row>
    <row r="3143" spans="1:9" customFormat="1" ht="21.95" customHeight="1" x14ac:dyDescent="0.15">
      <c r="A3143" s="17"/>
      <c r="B3143" s="37"/>
      <c r="C3143" s="37"/>
      <c r="D3143" s="40"/>
      <c r="E3143" s="15"/>
      <c r="F3143" s="85"/>
      <c r="G3143" s="42"/>
      <c r="H3143" s="38"/>
      <c r="I3143" s="56"/>
    </row>
    <row r="3144" spans="1:9" customFormat="1" ht="21.95" customHeight="1" x14ac:dyDescent="0.15">
      <c r="A3144" s="17"/>
      <c r="B3144" s="37"/>
      <c r="C3144" s="37"/>
      <c r="D3144" s="40"/>
      <c r="E3144" s="15"/>
      <c r="F3144" s="85"/>
      <c r="G3144" s="17"/>
      <c r="H3144" s="38"/>
      <c r="I3144" s="56"/>
    </row>
    <row r="3145" spans="1:9" customFormat="1" ht="21.95" customHeight="1" x14ac:dyDescent="0.15">
      <c r="A3145" s="17"/>
      <c r="B3145" s="37"/>
      <c r="C3145" s="37"/>
      <c r="D3145" s="40"/>
      <c r="E3145" s="15"/>
      <c r="F3145" s="85"/>
      <c r="G3145" s="42"/>
      <c r="H3145" s="38"/>
      <c r="I3145" s="56"/>
    </row>
    <row r="3146" spans="1:9" customFormat="1" ht="21.95" customHeight="1" x14ac:dyDescent="0.15">
      <c r="A3146" s="17"/>
      <c r="B3146" s="37"/>
      <c r="C3146" s="37"/>
      <c r="D3146" s="40"/>
      <c r="E3146" s="15"/>
      <c r="F3146" s="85"/>
      <c r="G3146" s="17"/>
      <c r="H3146" s="38"/>
      <c r="I3146" s="56"/>
    </row>
    <row r="3147" spans="1:9" customFormat="1" ht="21.95" customHeight="1" x14ac:dyDescent="0.15">
      <c r="A3147" s="17"/>
      <c r="B3147" s="37"/>
      <c r="C3147" s="37"/>
      <c r="D3147" s="40"/>
      <c r="E3147" s="15"/>
      <c r="F3147" s="85"/>
      <c r="G3147" s="42"/>
      <c r="H3147" s="38"/>
      <c r="I3147" s="56"/>
    </row>
    <row r="3148" spans="1:9" ht="21.95" customHeight="1" x14ac:dyDescent="0.15">
      <c r="A3148" s="17"/>
      <c r="B3148" s="37"/>
      <c r="C3148" s="37"/>
      <c r="D3148" s="37"/>
      <c r="E3148" s="15"/>
      <c r="F3148" s="85"/>
      <c r="G3148" s="17"/>
      <c r="H3148" s="38"/>
    </row>
    <row r="3149" spans="1:9" ht="21.95" customHeight="1" x14ac:dyDescent="0.15">
      <c r="A3149" s="17"/>
      <c r="B3149" s="37"/>
      <c r="C3149" s="37"/>
      <c r="D3149" s="37"/>
      <c r="E3149" s="15"/>
      <c r="F3149" s="85"/>
      <c r="H3149" s="38"/>
    </row>
    <row r="3150" spans="1:9" ht="21.95" customHeight="1" x14ac:dyDescent="0.15">
      <c r="A3150" s="17"/>
      <c r="B3150" s="37"/>
      <c r="C3150" s="37"/>
      <c r="D3150" s="37"/>
      <c r="E3150" s="15"/>
      <c r="F3150" s="85"/>
      <c r="H3150" s="38"/>
    </row>
    <row r="3151" spans="1:9" ht="21.95" customHeight="1" x14ac:dyDescent="0.15">
      <c r="A3151" s="17"/>
      <c r="B3151" s="37"/>
      <c r="C3151" s="37"/>
      <c r="D3151" s="37"/>
      <c r="E3151" s="15"/>
      <c r="F3151" s="85"/>
      <c r="G3151" s="17"/>
      <c r="H3151" s="38"/>
    </row>
    <row r="3152" spans="1:9" customFormat="1" ht="21.95" customHeight="1" x14ac:dyDescent="0.15">
      <c r="A3152" s="17"/>
      <c r="B3152" s="37"/>
      <c r="C3152" s="37"/>
      <c r="D3152" s="37"/>
      <c r="E3152" s="15"/>
      <c r="F3152" s="85"/>
      <c r="G3152" s="17"/>
      <c r="H3152" s="38"/>
      <c r="I3152" s="42"/>
    </row>
    <row r="3153" spans="1:9" customFormat="1" ht="21.95" customHeight="1" x14ac:dyDescent="0.15">
      <c r="A3153" s="17"/>
      <c r="B3153" s="37"/>
      <c r="C3153" s="37"/>
      <c r="D3153" s="37"/>
      <c r="E3153" s="15"/>
      <c r="F3153" s="85"/>
      <c r="G3153" s="17"/>
      <c r="H3153" s="38"/>
      <c r="I3153" s="42"/>
    </row>
    <row r="3154" spans="1:9" customFormat="1" ht="21.95" customHeight="1" x14ac:dyDescent="0.15">
      <c r="A3154" s="17"/>
      <c r="B3154" s="37"/>
      <c r="C3154" s="37"/>
      <c r="D3154" s="37"/>
      <c r="E3154" s="15"/>
      <c r="F3154" s="85"/>
      <c r="G3154" s="17"/>
      <c r="H3154" s="38"/>
      <c r="I3154" s="42"/>
    </row>
    <row r="3155" spans="1:9" customFormat="1" ht="21.95" customHeight="1" x14ac:dyDescent="0.15">
      <c r="A3155" s="17"/>
      <c r="B3155" s="37"/>
      <c r="C3155" s="37"/>
      <c r="D3155" s="37"/>
      <c r="E3155" s="15"/>
      <c r="F3155" s="85"/>
      <c r="G3155" s="17"/>
      <c r="H3155" s="38"/>
      <c r="I3155" s="42"/>
    </row>
    <row r="3156" spans="1:9" customFormat="1" ht="21.95" customHeight="1" x14ac:dyDescent="0.15">
      <c r="A3156" s="17"/>
      <c r="B3156" s="37"/>
      <c r="C3156" s="37"/>
      <c r="D3156" s="37"/>
      <c r="E3156" s="15"/>
      <c r="F3156" s="85"/>
      <c r="G3156" s="17"/>
      <c r="H3156" s="38"/>
      <c r="I3156" s="42"/>
    </row>
    <row r="3157" spans="1:9" customFormat="1" ht="21.95" customHeight="1" x14ac:dyDescent="0.15">
      <c r="A3157" s="17"/>
      <c r="B3157" s="37"/>
      <c r="C3157" s="37"/>
      <c r="D3157" s="37"/>
      <c r="E3157" s="15"/>
      <c r="F3157" s="85"/>
      <c r="G3157" s="17"/>
      <c r="H3157" s="38"/>
      <c r="I3157" s="42"/>
    </row>
    <row r="3158" spans="1:9" customFormat="1" ht="21.95" customHeight="1" x14ac:dyDescent="0.15">
      <c r="A3158" s="17"/>
      <c r="B3158" s="37"/>
      <c r="C3158" s="37"/>
      <c r="D3158" s="37"/>
      <c r="E3158" s="15"/>
      <c r="F3158" s="85"/>
      <c r="G3158" s="17"/>
      <c r="H3158" s="38"/>
      <c r="I3158" s="42"/>
    </row>
    <row r="3159" spans="1:9" customFormat="1" ht="21.95" customHeight="1" x14ac:dyDescent="0.15">
      <c r="A3159" s="17"/>
      <c r="B3159" s="37"/>
      <c r="C3159" s="37"/>
      <c r="D3159" s="37"/>
      <c r="E3159" s="15"/>
      <c r="F3159" s="85"/>
      <c r="G3159" s="17"/>
      <c r="H3159" s="38"/>
      <c r="I3159" s="42"/>
    </row>
    <row r="3160" spans="1:9" customFormat="1" ht="21.95" customHeight="1" x14ac:dyDescent="0.15">
      <c r="A3160" s="17"/>
      <c r="B3160" s="37"/>
      <c r="C3160" s="37"/>
      <c r="D3160" s="37"/>
      <c r="E3160" s="15"/>
      <c r="F3160" s="85"/>
      <c r="G3160" s="17"/>
      <c r="H3160" s="38"/>
      <c r="I3160" s="42"/>
    </row>
    <row r="3161" spans="1:9" customFormat="1" ht="21.95" customHeight="1" x14ac:dyDescent="0.15">
      <c r="A3161" s="17"/>
      <c r="B3161" s="37"/>
      <c r="C3161" s="37"/>
      <c r="D3161" s="37"/>
      <c r="E3161" s="15"/>
      <c r="F3161" s="85"/>
      <c r="G3161" s="17"/>
      <c r="H3161" s="38"/>
      <c r="I3161" s="56"/>
    </row>
    <row r="3162" spans="1:9" customFormat="1" ht="21.95" customHeight="1" x14ac:dyDescent="0.15">
      <c r="A3162" s="17"/>
      <c r="B3162" s="37"/>
      <c r="C3162" s="37"/>
      <c r="D3162" s="37"/>
      <c r="E3162" s="15"/>
      <c r="F3162" s="85"/>
      <c r="G3162" s="17"/>
      <c r="H3162" s="38"/>
      <c r="I3162" s="56"/>
    </row>
    <row r="3163" spans="1:9" customFormat="1" ht="32.1" customHeight="1" x14ac:dyDescent="0.15">
      <c r="A3163" s="17"/>
      <c r="B3163" s="37"/>
      <c r="C3163" s="37"/>
      <c r="D3163" s="37"/>
      <c r="E3163" s="15"/>
      <c r="F3163" s="85"/>
      <c r="G3163" s="17"/>
      <c r="H3163" s="38"/>
      <c r="I3163" s="56"/>
    </row>
    <row r="3164" spans="1:9" customFormat="1" ht="32.1" customHeight="1" x14ac:dyDescent="0.15">
      <c r="A3164" s="17"/>
      <c r="B3164" s="37"/>
      <c r="C3164" s="37"/>
      <c r="D3164" s="37"/>
      <c r="E3164" s="15"/>
      <c r="F3164" s="85"/>
      <c r="G3164" s="17"/>
      <c r="H3164" s="38"/>
      <c r="I3164" s="56"/>
    </row>
    <row r="3165" spans="1:9" customFormat="1" ht="32.1" customHeight="1" x14ac:dyDescent="0.15">
      <c r="A3165" s="17"/>
      <c r="B3165" s="37"/>
      <c r="C3165" s="37"/>
      <c r="D3165" s="37"/>
      <c r="E3165" s="15"/>
      <c r="F3165" s="85"/>
      <c r="G3165" s="17"/>
      <c r="H3165" s="38"/>
      <c r="I3165" s="56"/>
    </row>
    <row r="3166" spans="1:9" customFormat="1" ht="32.1" customHeight="1" x14ac:dyDescent="0.15">
      <c r="A3166" s="17"/>
      <c r="B3166" s="37"/>
      <c r="C3166" s="37"/>
      <c r="D3166" s="37"/>
      <c r="E3166" s="15"/>
      <c r="F3166" s="85"/>
      <c r="G3166" s="17"/>
      <c r="H3166" s="38"/>
      <c r="I3166" s="56"/>
    </row>
    <row r="3167" spans="1:9" customFormat="1" ht="32.1" customHeight="1" x14ac:dyDescent="0.15">
      <c r="A3167" s="17"/>
      <c r="B3167" s="37"/>
      <c r="C3167" s="37"/>
      <c r="D3167" s="37"/>
      <c r="E3167" s="15"/>
      <c r="F3167" s="85"/>
      <c r="G3167" s="17"/>
      <c r="H3167" s="38"/>
      <c r="I3167" s="56"/>
    </row>
    <row r="3168" spans="1:9" customFormat="1" ht="32.1" customHeight="1" x14ac:dyDescent="0.15">
      <c r="A3168" s="17"/>
      <c r="B3168" s="37"/>
      <c r="C3168" s="37"/>
      <c r="D3168" s="37"/>
      <c r="E3168" s="15"/>
      <c r="F3168" s="85"/>
      <c r="G3168" s="17"/>
      <c r="H3168" s="38"/>
      <c r="I3168" s="56"/>
    </row>
    <row r="3169" spans="1:9" ht="32.1" customHeight="1" x14ac:dyDescent="0.15">
      <c r="A3169" s="17"/>
      <c r="B3169" s="37"/>
      <c r="C3169" s="37"/>
      <c r="D3169" s="37"/>
      <c r="E3169" s="15"/>
      <c r="F3169" s="85"/>
      <c r="G3169" s="17"/>
      <c r="H3169" s="38"/>
      <c r="I3169" s="37"/>
    </row>
    <row r="3170" spans="1:9" ht="32.1" customHeight="1" x14ac:dyDescent="0.15">
      <c r="A3170" s="17"/>
      <c r="B3170" s="37"/>
      <c r="C3170" s="37"/>
      <c r="D3170" s="37"/>
      <c r="E3170" s="15"/>
      <c r="F3170" s="37"/>
      <c r="G3170" s="17"/>
      <c r="H3170" s="38"/>
      <c r="I3170" s="37"/>
    </row>
    <row r="3171" spans="1:9" ht="32.1" customHeight="1" x14ac:dyDescent="0.15">
      <c r="A3171" s="17"/>
      <c r="B3171" s="37"/>
      <c r="C3171" s="37"/>
      <c r="D3171" s="37"/>
      <c r="E3171" s="15"/>
      <c r="F3171" s="37"/>
      <c r="G3171" s="17"/>
      <c r="H3171" s="38"/>
      <c r="I3171" s="37"/>
    </row>
    <row r="3172" spans="1:9" ht="32.1" customHeight="1" x14ac:dyDescent="0.15">
      <c r="A3172" s="17"/>
      <c r="B3172" s="37"/>
      <c r="C3172" s="37"/>
      <c r="D3172" s="37"/>
      <c r="E3172" s="15"/>
      <c r="F3172" s="37"/>
      <c r="G3172" s="17"/>
      <c r="H3172" s="38"/>
      <c r="I3172" s="37"/>
    </row>
    <row r="3173" spans="1:9" ht="21.95" customHeight="1" x14ac:dyDescent="0.15">
      <c r="A3173" s="17"/>
      <c r="B3173" s="37"/>
      <c r="C3173" s="37"/>
      <c r="D3173" s="37"/>
      <c r="E3173" s="15"/>
      <c r="F3173" s="37"/>
      <c r="G3173" s="17"/>
      <c r="H3173" s="38"/>
      <c r="I3173" s="37"/>
    </row>
    <row r="3174" spans="1:9" ht="54" customHeight="1" x14ac:dyDescent="0.15">
      <c r="A3174" s="17"/>
      <c r="B3174" s="37"/>
      <c r="C3174" s="37"/>
      <c r="D3174" s="37"/>
      <c r="E3174" s="15"/>
      <c r="F3174" s="37"/>
      <c r="G3174" s="17"/>
      <c r="H3174" s="38"/>
      <c r="I3174" s="37"/>
    </row>
    <row r="3175" spans="1:9" ht="21.95" customHeight="1" x14ac:dyDescent="0.15">
      <c r="A3175" s="17"/>
      <c r="B3175" s="37"/>
      <c r="C3175" s="37"/>
      <c r="D3175" s="37"/>
      <c r="E3175" s="15"/>
      <c r="F3175" s="37"/>
      <c r="G3175" s="17"/>
      <c r="H3175" s="38"/>
      <c r="I3175" s="37"/>
    </row>
    <row r="3176" spans="1:9" ht="21.95" customHeight="1" x14ac:dyDescent="0.15">
      <c r="A3176" s="17"/>
      <c r="B3176" s="37"/>
      <c r="C3176" s="37"/>
      <c r="D3176" s="37"/>
      <c r="E3176" s="15"/>
      <c r="F3176" s="37"/>
      <c r="G3176" s="17"/>
      <c r="H3176" s="38"/>
      <c r="I3176" s="37"/>
    </row>
    <row r="3177" spans="1:9" ht="21.95" customHeight="1" x14ac:dyDescent="0.15">
      <c r="A3177" s="17"/>
      <c r="B3177" s="37"/>
      <c r="C3177" s="37"/>
      <c r="D3177" s="37"/>
      <c r="E3177" s="15"/>
      <c r="F3177" s="37"/>
      <c r="G3177" s="17"/>
      <c r="H3177" s="38"/>
      <c r="I3177" s="37"/>
    </row>
    <row r="3178" spans="1:9" ht="21.95" customHeight="1" x14ac:dyDescent="0.15">
      <c r="A3178" s="17"/>
      <c r="B3178" s="37"/>
      <c r="C3178" s="37"/>
      <c r="D3178" s="37"/>
      <c r="E3178" s="15"/>
      <c r="F3178" s="37"/>
      <c r="G3178" s="17"/>
      <c r="H3178" s="38"/>
      <c r="I3178" s="37"/>
    </row>
    <row r="3179" spans="1:9" ht="21.95" customHeight="1" x14ac:dyDescent="0.15">
      <c r="A3179" s="17"/>
      <c r="B3179" s="37"/>
      <c r="C3179" s="37"/>
      <c r="E3179" s="15"/>
      <c r="G3179" s="17"/>
      <c r="H3179" s="38"/>
    </row>
    <row r="3180" spans="1:9" ht="21.95" customHeight="1" x14ac:dyDescent="0.15">
      <c r="A3180" s="17"/>
      <c r="B3180" s="37"/>
      <c r="C3180" s="37"/>
      <c r="E3180" s="15"/>
      <c r="G3180" s="17"/>
      <c r="H3180" s="38"/>
    </row>
    <row r="3181" spans="1:9" ht="21.95" customHeight="1" x14ac:dyDescent="0.15">
      <c r="A3181" s="17"/>
      <c r="B3181" s="37"/>
      <c r="C3181" s="37"/>
      <c r="E3181" s="15"/>
      <c r="F3181" s="37"/>
      <c r="G3181" s="13"/>
      <c r="H3181" s="38"/>
    </row>
    <row r="3182" spans="1:9" ht="21.95" customHeight="1" x14ac:dyDescent="0.15">
      <c r="A3182" s="17"/>
      <c r="B3182" s="37"/>
      <c r="C3182" s="37"/>
      <c r="E3182" s="15"/>
      <c r="F3182" s="37"/>
      <c r="G3182" s="13"/>
      <c r="H3182" s="38"/>
    </row>
    <row r="3183" spans="1:9" ht="21.95" customHeight="1" x14ac:dyDescent="0.15">
      <c r="A3183" s="17"/>
      <c r="B3183" s="37"/>
      <c r="C3183" s="37"/>
      <c r="D3183" s="37"/>
      <c r="E3183" s="15"/>
      <c r="F3183" s="37"/>
      <c r="G3183" s="13"/>
      <c r="H3183" s="38"/>
    </row>
    <row r="3184" spans="1:9" ht="21.95" customHeight="1" x14ac:dyDescent="0.15">
      <c r="A3184" s="17"/>
      <c r="B3184" s="37"/>
      <c r="C3184" s="37"/>
      <c r="D3184" s="37"/>
      <c r="E3184" s="15"/>
      <c r="F3184" s="37"/>
      <c r="G3184" s="13"/>
      <c r="H3184" s="38"/>
    </row>
    <row r="3185" spans="1:8" ht="21.95" customHeight="1" x14ac:dyDescent="0.15">
      <c r="A3185" s="17"/>
      <c r="B3185" s="37"/>
      <c r="C3185" s="37"/>
      <c r="D3185" s="37"/>
      <c r="E3185" s="15"/>
      <c r="F3185" s="37"/>
      <c r="G3185" s="13"/>
      <c r="H3185" s="38"/>
    </row>
    <row r="3186" spans="1:8" ht="21.95" customHeight="1" x14ac:dyDescent="0.15">
      <c r="A3186" s="17"/>
      <c r="B3186" s="37"/>
      <c r="C3186" s="37"/>
      <c r="D3186" s="37"/>
      <c r="E3186" s="15"/>
      <c r="F3186" s="37"/>
      <c r="G3186" s="13"/>
      <c r="H3186" s="38"/>
    </row>
    <row r="3187" spans="1:8" ht="21.95" customHeight="1" x14ac:dyDescent="0.15">
      <c r="A3187" s="17"/>
      <c r="B3187" s="37"/>
      <c r="C3187" s="37"/>
      <c r="D3187" s="37"/>
      <c r="E3187" s="15"/>
      <c r="F3187" s="37"/>
      <c r="G3187" s="13"/>
      <c r="H3187" s="38"/>
    </row>
    <row r="3188" spans="1:8" ht="21.95" customHeight="1" x14ac:dyDescent="0.15">
      <c r="A3188" s="17"/>
      <c r="B3188" s="37"/>
      <c r="C3188" s="37"/>
      <c r="D3188" s="37"/>
      <c r="E3188" s="15"/>
      <c r="F3188" s="37"/>
      <c r="G3188" s="13"/>
      <c r="H3188" s="38"/>
    </row>
    <row r="3189" spans="1:8" ht="21.95" customHeight="1" x14ac:dyDescent="0.15">
      <c r="A3189" s="17"/>
      <c r="B3189" s="37"/>
      <c r="C3189" s="37"/>
      <c r="D3189" s="37"/>
      <c r="E3189" s="15"/>
      <c r="F3189" s="37"/>
      <c r="G3189" s="13"/>
      <c r="H3189" s="38"/>
    </row>
    <row r="3190" spans="1:8" ht="21.95" customHeight="1" x14ac:dyDescent="0.15">
      <c r="A3190" s="17"/>
      <c r="B3190" s="37"/>
      <c r="C3190" s="37"/>
      <c r="D3190" s="37"/>
      <c r="E3190" s="15"/>
      <c r="F3190" s="37"/>
      <c r="G3190" s="13"/>
      <c r="H3190" s="38"/>
    </row>
    <row r="3191" spans="1:8" ht="21.95" customHeight="1" x14ac:dyDescent="0.15">
      <c r="A3191" s="17"/>
      <c r="B3191" s="37"/>
      <c r="C3191" s="37"/>
      <c r="D3191" s="37"/>
      <c r="E3191" s="15"/>
      <c r="F3191" s="37"/>
      <c r="G3191" s="13"/>
      <c r="H3191" s="38"/>
    </row>
    <row r="3192" spans="1:8" ht="21.95" customHeight="1" x14ac:dyDescent="0.15">
      <c r="A3192" s="17"/>
      <c r="B3192" s="37"/>
      <c r="C3192" s="37"/>
      <c r="D3192" s="37"/>
      <c r="E3192" s="15"/>
      <c r="F3192" s="37"/>
      <c r="G3192" s="13"/>
      <c r="H3192" s="15"/>
    </row>
    <row r="3193" spans="1:8" ht="21.95" customHeight="1" x14ac:dyDescent="0.15">
      <c r="A3193" s="17"/>
      <c r="B3193" s="37"/>
      <c r="C3193" s="37"/>
      <c r="D3193" s="37"/>
      <c r="E3193" s="15"/>
      <c r="F3193" s="37"/>
      <c r="G3193" s="13"/>
      <c r="H3193" s="15"/>
    </row>
    <row r="3194" spans="1:8" ht="21.95" customHeight="1" x14ac:dyDescent="0.15">
      <c r="A3194" s="17"/>
      <c r="B3194" s="37"/>
      <c r="C3194" s="37"/>
      <c r="D3194" s="37"/>
      <c r="E3194" s="15"/>
      <c r="F3194" s="37"/>
      <c r="G3194" s="13"/>
      <c r="H3194" s="15"/>
    </row>
    <row r="3195" spans="1:8" ht="21.95" customHeight="1" x14ac:dyDescent="0.15">
      <c r="A3195" s="17"/>
      <c r="B3195" s="37"/>
      <c r="C3195" s="37"/>
      <c r="D3195" s="37"/>
      <c r="E3195" s="15"/>
      <c r="F3195" s="37"/>
      <c r="G3195" s="13"/>
      <c r="H3195" s="15"/>
    </row>
    <row r="3196" spans="1:8" ht="21.95" customHeight="1" x14ac:dyDescent="0.15">
      <c r="A3196" s="17"/>
      <c r="B3196" s="37"/>
      <c r="C3196" s="37"/>
      <c r="D3196" s="37"/>
      <c r="E3196" s="15"/>
      <c r="F3196" s="37"/>
      <c r="G3196" s="13"/>
      <c r="H3196" s="15"/>
    </row>
    <row r="3197" spans="1:8" ht="21.95" customHeight="1" x14ac:dyDescent="0.15">
      <c r="A3197" s="17"/>
      <c r="B3197" s="37"/>
      <c r="C3197" s="37"/>
      <c r="D3197" s="37"/>
      <c r="E3197" s="15"/>
      <c r="F3197" s="37"/>
      <c r="G3197" s="13"/>
      <c r="H3197" s="15"/>
    </row>
    <row r="3198" spans="1:8" ht="21.95" customHeight="1" x14ac:dyDescent="0.15">
      <c r="A3198" s="17"/>
      <c r="B3198" s="37"/>
      <c r="C3198" s="37"/>
      <c r="D3198" s="37"/>
      <c r="E3198" s="15"/>
      <c r="F3198" s="37"/>
      <c r="G3198" s="13"/>
      <c r="H3198" s="15"/>
    </row>
    <row r="3199" spans="1:8" ht="21.95" customHeight="1" x14ac:dyDescent="0.15">
      <c r="A3199" s="17"/>
      <c r="B3199" s="37"/>
      <c r="C3199" s="37"/>
      <c r="D3199" s="37"/>
      <c r="E3199" s="15"/>
      <c r="F3199" s="37"/>
      <c r="G3199" s="13"/>
      <c r="H3199" s="15"/>
    </row>
    <row r="3200" spans="1:8" ht="21.95" customHeight="1" x14ac:dyDescent="0.15">
      <c r="A3200" s="17"/>
      <c r="B3200" s="37"/>
      <c r="C3200" s="37"/>
      <c r="D3200" s="37"/>
      <c r="E3200" s="15"/>
      <c r="F3200" s="37"/>
      <c r="G3200" s="13"/>
      <c r="H3200" s="15"/>
    </row>
    <row r="3201" spans="1:8" ht="21.95" customHeight="1" x14ac:dyDescent="0.15">
      <c r="A3201" s="17"/>
      <c r="B3201" s="37"/>
      <c r="C3201" s="37"/>
      <c r="D3201" s="37"/>
      <c r="E3201" s="15"/>
      <c r="F3201" s="37"/>
      <c r="G3201" s="13"/>
      <c r="H3201" s="15"/>
    </row>
    <row r="3202" spans="1:8" ht="21.95" customHeight="1" x14ac:dyDescent="0.15">
      <c r="A3202" s="17"/>
      <c r="B3202" s="37"/>
      <c r="C3202" s="37"/>
      <c r="D3202" s="37"/>
      <c r="E3202" s="15"/>
      <c r="F3202" s="37"/>
      <c r="G3202" s="13"/>
      <c r="H3202" s="15"/>
    </row>
    <row r="3203" spans="1:8" ht="21.95" customHeight="1" x14ac:dyDescent="0.15">
      <c r="A3203" s="17"/>
      <c r="B3203" s="37"/>
      <c r="C3203" s="37"/>
      <c r="D3203" s="37"/>
      <c r="E3203" s="15"/>
      <c r="F3203" s="37"/>
      <c r="G3203" s="13"/>
      <c r="H3203" s="15"/>
    </row>
    <row r="3204" spans="1:8" ht="21.95" customHeight="1" x14ac:dyDescent="0.15">
      <c r="A3204" s="17"/>
      <c r="B3204" s="37"/>
      <c r="C3204" s="37"/>
      <c r="D3204" s="37"/>
      <c r="E3204" s="15"/>
      <c r="F3204" s="37"/>
      <c r="G3204" s="13"/>
      <c r="H3204" s="15"/>
    </row>
    <row r="3205" spans="1:8" ht="21.95" customHeight="1" x14ac:dyDescent="0.15">
      <c r="A3205" s="17"/>
      <c r="B3205" s="37"/>
      <c r="C3205" s="37"/>
      <c r="D3205" s="37"/>
      <c r="E3205" s="15"/>
      <c r="F3205" s="37"/>
      <c r="G3205" s="13"/>
      <c r="H3205" s="15"/>
    </row>
    <row r="3206" spans="1:8" ht="21.95" customHeight="1" x14ac:dyDescent="0.15">
      <c r="A3206" s="17"/>
      <c r="B3206" s="37"/>
      <c r="C3206" s="37"/>
      <c r="D3206" s="37"/>
      <c r="E3206" s="15"/>
      <c r="F3206" s="37"/>
      <c r="G3206" s="13"/>
      <c r="H3206" s="15"/>
    </row>
    <row r="3207" spans="1:8" ht="21.95" customHeight="1" x14ac:dyDescent="0.15">
      <c r="A3207" s="17"/>
      <c r="B3207" s="37"/>
      <c r="C3207" s="37"/>
      <c r="D3207" s="37"/>
      <c r="E3207" s="15"/>
      <c r="F3207" s="37"/>
      <c r="G3207" s="13"/>
      <c r="H3207" s="15"/>
    </row>
    <row r="3208" spans="1:8" ht="21.95" customHeight="1" x14ac:dyDescent="0.15">
      <c r="A3208" s="17"/>
      <c r="B3208" s="37"/>
      <c r="C3208" s="37"/>
      <c r="D3208" s="37"/>
      <c r="E3208" s="15"/>
      <c r="F3208" s="37"/>
      <c r="G3208" s="13"/>
      <c r="H3208" s="15"/>
    </row>
    <row r="3209" spans="1:8" ht="21.95" customHeight="1" x14ac:dyDescent="0.15">
      <c r="A3209" s="17"/>
      <c r="B3209" s="37"/>
      <c r="C3209" s="37"/>
      <c r="D3209" s="37"/>
      <c r="E3209" s="15"/>
      <c r="F3209" s="37"/>
      <c r="G3209" s="13"/>
      <c r="H3209" s="15"/>
    </row>
    <row r="3210" spans="1:8" ht="21.95" customHeight="1" x14ac:dyDescent="0.15">
      <c r="A3210" s="17"/>
      <c r="B3210" s="37"/>
      <c r="C3210" s="37"/>
      <c r="D3210" s="37"/>
      <c r="E3210" s="15"/>
      <c r="F3210" s="37"/>
      <c r="G3210" s="37"/>
      <c r="H3210" s="15"/>
    </row>
    <row r="3211" spans="1:8" ht="21.95" customHeight="1" x14ac:dyDescent="0.15">
      <c r="A3211" s="17"/>
      <c r="B3211" s="37"/>
      <c r="C3211" s="37"/>
      <c r="D3211" s="37"/>
      <c r="E3211" s="15"/>
      <c r="F3211" s="37"/>
      <c r="G3211" s="13"/>
      <c r="H3211" s="15"/>
    </row>
    <row r="3212" spans="1:8" ht="21.95" customHeight="1" x14ac:dyDescent="0.15">
      <c r="A3212" s="17"/>
      <c r="B3212" s="37"/>
      <c r="C3212" s="37"/>
      <c r="D3212" s="37"/>
      <c r="E3212" s="15"/>
      <c r="F3212" s="37"/>
      <c r="G3212" s="13"/>
      <c r="H3212" s="15"/>
    </row>
    <row r="3213" spans="1:8" ht="21.95" customHeight="1" x14ac:dyDescent="0.15">
      <c r="A3213" s="17"/>
      <c r="B3213" s="37"/>
      <c r="C3213" s="37"/>
      <c r="D3213" s="37"/>
      <c r="E3213" s="15"/>
      <c r="F3213" s="37"/>
      <c r="G3213" s="13"/>
      <c r="H3213" s="15"/>
    </row>
    <row r="3214" spans="1:8" ht="21.95" customHeight="1" x14ac:dyDescent="0.15">
      <c r="A3214" s="17"/>
      <c r="B3214" s="37"/>
      <c r="C3214" s="37"/>
      <c r="D3214" s="37"/>
      <c r="E3214" s="15"/>
      <c r="F3214" s="37"/>
      <c r="G3214" s="13"/>
      <c r="H3214" s="15"/>
    </row>
    <row r="3215" spans="1:8" ht="21.95" customHeight="1" x14ac:dyDescent="0.15">
      <c r="A3215" s="17"/>
      <c r="B3215" s="37"/>
      <c r="C3215" s="37"/>
      <c r="D3215" s="37"/>
      <c r="E3215" s="15"/>
      <c r="F3215" s="37"/>
      <c r="G3215" s="13"/>
      <c r="H3215" s="15"/>
    </row>
    <row r="3216" spans="1:8" ht="21.95" customHeight="1" x14ac:dyDescent="0.15">
      <c r="A3216" s="17"/>
      <c r="B3216" s="37"/>
      <c r="C3216" s="37"/>
      <c r="D3216" s="37"/>
      <c r="E3216" s="15"/>
      <c r="F3216" s="37"/>
      <c r="G3216" s="13"/>
      <c r="H3216" s="15"/>
    </row>
    <row r="3217" spans="1:9" ht="21.95" customHeight="1" x14ac:dyDescent="0.15">
      <c r="A3217" s="17"/>
      <c r="B3217" s="37"/>
      <c r="C3217" s="37"/>
      <c r="D3217" s="37"/>
      <c r="E3217" s="15"/>
      <c r="F3217" s="37"/>
      <c r="G3217" s="13"/>
      <c r="H3217" s="15"/>
    </row>
    <row r="3218" spans="1:9" ht="21.95" customHeight="1" x14ac:dyDescent="0.15">
      <c r="A3218" s="17"/>
      <c r="B3218" s="37"/>
      <c r="C3218" s="37"/>
      <c r="D3218" s="37"/>
      <c r="E3218" s="15"/>
      <c r="F3218" s="37"/>
      <c r="G3218" s="13"/>
      <c r="H3218" s="15"/>
    </row>
    <row r="3219" spans="1:9" ht="21.95" customHeight="1" x14ac:dyDescent="0.15">
      <c r="A3219" s="17"/>
      <c r="B3219" s="37"/>
      <c r="C3219" s="37"/>
      <c r="D3219" s="37"/>
      <c r="E3219" s="15"/>
      <c r="F3219" s="37"/>
      <c r="G3219" s="13"/>
      <c r="H3219" s="15"/>
    </row>
    <row r="3220" spans="1:9" ht="21.95" customHeight="1" x14ac:dyDescent="0.15">
      <c r="A3220" s="17"/>
      <c r="B3220" s="37"/>
      <c r="C3220" s="37"/>
      <c r="D3220" s="37"/>
      <c r="E3220" s="15"/>
      <c r="F3220" s="37"/>
      <c r="G3220" s="13"/>
      <c r="H3220" s="15"/>
    </row>
    <row r="3221" spans="1:9" ht="21.95" customHeight="1" x14ac:dyDescent="0.15">
      <c r="A3221" s="17"/>
      <c r="B3221" s="37"/>
      <c r="C3221" s="37"/>
      <c r="D3221" s="37"/>
      <c r="E3221" s="15"/>
      <c r="F3221" s="37"/>
      <c r="G3221" s="13"/>
      <c r="H3221" s="15"/>
    </row>
    <row r="3222" spans="1:9" ht="21.95" customHeight="1" x14ac:dyDescent="0.15">
      <c r="A3222" s="17"/>
      <c r="B3222" s="37"/>
      <c r="C3222" s="37"/>
      <c r="D3222" s="37"/>
      <c r="E3222" s="15"/>
      <c r="F3222" s="37"/>
      <c r="G3222" s="13"/>
      <c r="H3222" s="15"/>
    </row>
    <row r="3223" spans="1:9" ht="21.95" customHeight="1" x14ac:dyDescent="0.15">
      <c r="A3223" s="17"/>
      <c r="B3223" s="37"/>
      <c r="C3223" s="37"/>
      <c r="D3223" s="37"/>
      <c r="E3223" s="15"/>
      <c r="F3223" s="37"/>
      <c r="G3223" s="13"/>
      <c r="H3223" s="38"/>
      <c r="I3223" s="84"/>
    </row>
    <row r="3224" spans="1:9" ht="21.95" customHeight="1" x14ac:dyDescent="0.15">
      <c r="A3224" s="17"/>
      <c r="B3224" s="37"/>
      <c r="C3224" s="37"/>
      <c r="D3224" s="37"/>
      <c r="E3224" s="15"/>
      <c r="F3224" s="37"/>
      <c r="G3224" s="13"/>
      <c r="H3224" s="15"/>
      <c r="I3224" s="84"/>
    </row>
    <row r="3225" spans="1:9" ht="35.1" customHeight="1" x14ac:dyDescent="0.15">
      <c r="A3225" s="17"/>
      <c r="B3225" s="37"/>
      <c r="C3225" s="37"/>
      <c r="D3225" s="37"/>
      <c r="E3225" s="15"/>
      <c r="F3225" s="15"/>
      <c r="G3225" s="37"/>
      <c r="H3225" s="15"/>
    </row>
    <row r="3226" spans="1:9" ht="21.95" customHeight="1" x14ac:dyDescent="0.15">
      <c r="A3226" s="17"/>
      <c r="B3226" s="37"/>
      <c r="C3226" s="37"/>
      <c r="D3226" s="37"/>
      <c r="E3226" s="15"/>
      <c r="F3226" s="37"/>
      <c r="G3226" s="13"/>
      <c r="H3226" s="15"/>
    </row>
    <row r="3227" spans="1:9" ht="21.95" customHeight="1" x14ac:dyDescent="0.15">
      <c r="A3227" s="17"/>
      <c r="B3227" s="37"/>
      <c r="C3227" s="37"/>
      <c r="D3227" s="37"/>
      <c r="E3227" s="15"/>
      <c r="F3227" s="37"/>
      <c r="G3227" s="13"/>
      <c r="H3227" s="15"/>
    </row>
    <row r="3228" spans="1:9" ht="21.95" customHeight="1" x14ac:dyDescent="0.15">
      <c r="A3228" s="17"/>
      <c r="B3228" s="37"/>
      <c r="C3228" s="37"/>
      <c r="D3228" s="37"/>
      <c r="E3228" s="15"/>
      <c r="F3228" s="37"/>
      <c r="G3228" s="13"/>
      <c r="H3228" s="15"/>
    </row>
    <row r="3229" spans="1:9" ht="21.95" customHeight="1" x14ac:dyDescent="0.15">
      <c r="A3229" s="17"/>
      <c r="B3229" s="37"/>
      <c r="C3229" s="37"/>
      <c r="D3229" s="37"/>
      <c r="E3229" s="15"/>
      <c r="F3229" s="37"/>
      <c r="G3229" s="13"/>
      <c r="H3229" s="15"/>
    </row>
    <row r="3230" spans="1:9" ht="21.95" customHeight="1" x14ac:dyDescent="0.15">
      <c r="A3230" s="17"/>
      <c r="B3230" s="37"/>
      <c r="C3230" s="37"/>
      <c r="D3230" s="37"/>
      <c r="E3230" s="15"/>
      <c r="F3230" s="37"/>
      <c r="G3230" s="13"/>
      <c r="H3230" s="15"/>
    </row>
    <row r="3231" spans="1:9" ht="21.95" customHeight="1" x14ac:dyDescent="0.15">
      <c r="A3231" s="17"/>
      <c r="B3231" s="37"/>
      <c r="C3231" s="37"/>
      <c r="D3231" s="37"/>
      <c r="E3231" s="15"/>
      <c r="F3231" s="37"/>
      <c r="G3231" s="13"/>
      <c r="H3231" s="15"/>
      <c r="I3231" s="37"/>
    </row>
    <row r="3232" spans="1:9" ht="21.95" customHeight="1" x14ac:dyDescent="0.15">
      <c r="A3232" s="17"/>
      <c r="B3232" s="37"/>
      <c r="C3232" s="37"/>
      <c r="D3232" s="37"/>
      <c r="E3232" s="15"/>
      <c r="F3232" s="37"/>
      <c r="G3232" s="37"/>
      <c r="H3232" s="15"/>
      <c r="I3232" s="37"/>
    </row>
    <row r="3233" spans="1:9" ht="21.95" customHeight="1" x14ac:dyDescent="0.15">
      <c r="A3233" s="17"/>
      <c r="B3233" s="37"/>
      <c r="C3233" s="37"/>
      <c r="D3233" s="37"/>
      <c r="E3233" s="15"/>
      <c r="F3233" s="37"/>
      <c r="G3233" s="37"/>
      <c r="H3233" s="38"/>
      <c r="I3233" s="37"/>
    </row>
    <row r="3234" spans="1:9" ht="21.95" customHeight="1" x14ac:dyDescent="0.15">
      <c r="A3234" s="17"/>
      <c r="B3234" s="37"/>
      <c r="C3234" s="37"/>
      <c r="D3234" s="37"/>
      <c r="E3234" s="15"/>
      <c r="F3234" s="37"/>
      <c r="G3234" s="37"/>
      <c r="H3234" s="38"/>
      <c r="I3234" s="37"/>
    </row>
    <row r="3235" spans="1:9" ht="21.95" customHeight="1" x14ac:dyDescent="0.15">
      <c r="A3235" s="17"/>
      <c r="B3235" s="37"/>
      <c r="C3235" s="37"/>
      <c r="D3235" s="37"/>
      <c r="E3235" s="15"/>
      <c r="F3235" s="37"/>
      <c r="G3235" s="13"/>
      <c r="H3235" s="15"/>
      <c r="I3235" s="37"/>
    </row>
    <row r="3236" spans="1:9" ht="21.95" customHeight="1" x14ac:dyDescent="0.15">
      <c r="A3236" s="17"/>
      <c r="B3236" s="37"/>
      <c r="C3236" s="37"/>
      <c r="D3236" s="37"/>
      <c r="E3236" s="15"/>
      <c r="F3236" s="37"/>
      <c r="G3236" s="13"/>
      <c r="H3236" s="15"/>
      <c r="I3236" s="37"/>
    </row>
    <row r="3237" spans="1:9" ht="21.95" customHeight="1" x14ac:dyDescent="0.15">
      <c r="A3237" s="17"/>
      <c r="B3237" s="37"/>
      <c r="C3237" s="37"/>
      <c r="D3237" s="37"/>
      <c r="E3237" s="15"/>
      <c r="F3237" s="37"/>
      <c r="G3237" s="13"/>
      <c r="H3237" s="15"/>
      <c r="I3237" s="37"/>
    </row>
    <row r="3238" spans="1:9" ht="21.95" customHeight="1" x14ac:dyDescent="0.15">
      <c r="A3238" s="17"/>
      <c r="B3238" s="37"/>
      <c r="C3238" s="37"/>
      <c r="E3238" s="15"/>
      <c r="F3238" s="37"/>
      <c r="H3238" s="38"/>
    </row>
    <row r="3239" spans="1:9" ht="21.95" customHeight="1" x14ac:dyDescent="0.15">
      <c r="A3239" s="17"/>
      <c r="B3239" s="37"/>
      <c r="C3239" s="37"/>
      <c r="E3239" s="15"/>
      <c r="F3239" s="37"/>
    </row>
    <row r="3240" spans="1:9" ht="21.95" customHeight="1" x14ac:dyDescent="0.15">
      <c r="A3240" s="17"/>
      <c r="B3240" s="37"/>
      <c r="C3240" s="37"/>
      <c r="E3240" s="15"/>
      <c r="G3240" s="77"/>
    </row>
    <row r="3241" spans="1:9" ht="21.95" customHeight="1" x14ac:dyDescent="0.15">
      <c r="A3241" s="17"/>
      <c r="B3241" s="37"/>
      <c r="C3241" s="37"/>
      <c r="D3241" s="37"/>
      <c r="E3241" s="15"/>
      <c r="F3241" s="37"/>
      <c r="G3241" s="37"/>
      <c r="H3241" s="15"/>
    </row>
    <row r="3242" spans="1:9" ht="21.95" customHeight="1" x14ac:dyDescent="0.15">
      <c r="A3242" s="17"/>
      <c r="B3242" s="37"/>
      <c r="C3242" s="37"/>
      <c r="D3242" s="37"/>
      <c r="E3242" s="15"/>
      <c r="F3242" s="37"/>
      <c r="G3242" s="13"/>
      <c r="H3242" s="15"/>
    </row>
    <row r="3243" spans="1:9" ht="21.95" customHeight="1" x14ac:dyDescent="0.15">
      <c r="A3243" s="17"/>
      <c r="B3243" s="37"/>
      <c r="C3243" s="37"/>
      <c r="D3243" s="37"/>
      <c r="E3243" s="15"/>
      <c r="F3243" s="37"/>
      <c r="G3243" s="13"/>
      <c r="H3243" s="15"/>
    </row>
    <row r="3244" spans="1:9" ht="21.95" customHeight="1" x14ac:dyDescent="0.15">
      <c r="A3244" s="17"/>
      <c r="C3244" s="37"/>
    </row>
    <row r="3245" spans="1:9" ht="21.95" customHeight="1" x14ac:dyDescent="0.15">
      <c r="A3245" s="17"/>
      <c r="B3245" s="37"/>
      <c r="C3245" s="37"/>
      <c r="D3245" s="13"/>
      <c r="E3245" s="15"/>
      <c r="F3245" s="37"/>
      <c r="G3245" s="13"/>
      <c r="H3245" s="15"/>
      <c r="I3245" s="13"/>
    </row>
    <row r="3246" spans="1:9" ht="21.95" customHeight="1" x14ac:dyDescent="0.15">
      <c r="A3246" s="17"/>
      <c r="B3246" s="13"/>
      <c r="C3246" s="13"/>
      <c r="D3246" s="13"/>
      <c r="E3246" s="15"/>
      <c r="F3246" s="37"/>
      <c r="G3246" s="13"/>
      <c r="H3246" s="15"/>
      <c r="I3246" s="13"/>
    </row>
    <row r="3247" spans="1:9" ht="21.95" customHeight="1" x14ac:dyDescent="0.15">
      <c r="A3247" s="17"/>
      <c r="B3247" s="13"/>
      <c r="C3247" s="13"/>
      <c r="D3247" s="13"/>
      <c r="E3247" s="15"/>
      <c r="F3247" s="37"/>
      <c r="G3247" s="13"/>
      <c r="H3247" s="15"/>
      <c r="I3247" s="13"/>
    </row>
    <row r="3248" spans="1:9" ht="21.95" customHeight="1" x14ac:dyDescent="0.15">
      <c r="A3248" s="17"/>
      <c r="B3248" s="13"/>
      <c r="C3248" s="13"/>
      <c r="D3248" s="13"/>
      <c r="E3248" s="15"/>
      <c r="F3248" s="37"/>
      <c r="G3248" s="13"/>
      <c r="H3248" s="15"/>
      <c r="I3248" s="13"/>
    </row>
    <row r="3249" spans="1:9" customFormat="1" ht="21.95" customHeight="1" x14ac:dyDescent="0.15">
      <c r="A3249" s="17"/>
      <c r="B3249" s="40"/>
      <c r="C3249" s="40"/>
      <c r="D3249" s="40"/>
      <c r="E3249" s="38"/>
      <c r="F3249" s="85"/>
      <c r="G3249" s="40"/>
      <c r="H3249" s="38"/>
      <c r="I3249" s="40"/>
    </row>
    <row r="3250" spans="1:9" customFormat="1" ht="21.95" customHeight="1" x14ac:dyDescent="0.15">
      <c r="A3250" s="17"/>
      <c r="B3250" s="37"/>
      <c r="C3250" s="37"/>
      <c r="D3250" s="40"/>
      <c r="E3250" s="15"/>
      <c r="F3250" s="85"/>
      <c r="G3250" s="42"/>
      <c r="H3250" s="38"/>
      <c r="I3250" s="56"/>
    </row>
    <row r="3251" spans="1:9" customFormat="1" ht="21.95" customHeight="1" x14ac:dyDescent="0.15">
      <c r="A3251" s="17"/>
      <c r="B3251" s="37"/>
      <c r="C3251" s="95"/>
      <c r="D3251" s="40"/>
      <c r="E3251" s="15"/>
      <c r="F3251" s="85"/>
      <c r="G3251" s="42"/>
      <c r="H3251" s="38"/>
      <c r="I3251" s="56"/>
    </row>
    <row r="3252" spans="1:9" customFormat="1" ht="21.95" customHeight="1" x14ac:dyDescent="0.15">
      <c r="A3252" s="17"/>
      <c r="B3252" s="37"/>
      <c r="C3252" s="95"/>
      <c r="D3252" s="40"/>
      <c r="E3252" s="15"/>
      <c r="F3252" s="85"/>
      <c r="G3252" s="17"/>
      <c r="H3252" s="38"/>
      <c r="I3252" s="56"/>
    </row>
    <row r="3253" spans="1:9" customFormat="1" ht="21.95" customHeight="1" x14ac:dyDescent="0.15">
      <c r="A3253" s="17"/>
      <c r="B3253" s="37"/>
      <c r="C3253" s="37"/>
      <c r="D3253" s="40"/>
      <c r="E3253" s="15"/>
      <c r="F3253" s="85"/>
      <c r="G3253" s="42"/>
      <c r="H3253" s="38"/>
      <c r="I3253" s="56"/>
    </row>
    <row r="3254" spans="1:9" customFormat="1" ht="21.95" customHeight="1" x14ac:dyDescent="0.15">
      <c r="A3254" s="17"/>
      <c r="B3254" s="37"/>
      <c r="C3254" s="37"/>
      <c r="D3254" s="40"/>
      <c r="E3254" s="15"/>
      <c r="F3254" s="85"/>
      <c r="G3254" s="17"/>
      <c r="H3254" s="38"/>
      <c r="I3254" s="56"/>
    </row>
    <row r="3255" spans="1:9" customFormat="1" ht="21.95" customHeight="1" x14ac:dyDescent="0.15">
      <c r="A3255" s="17"/>
      <c r="B3255" s="37"/>
      <c r="C3255" s="37"/>
      <c r="D3255" s="40"/>
      <c r="E3255" s="15"/>
      <c r="F3255" s="85"/>
      <c r="G3255" s="42"/>
      <c r="H3255" s="38"/>
      <c r="I3255" s="56"/>
    </row>
    <row r="3256" spans="1:9" customFormat="1" ht="21.95" customHeight="1" x14ac:dyDescent="0.15">
      <c r="A3256" s="17"/>
      <c r="B3256" s="37"/>
      <c r="C3256" s="37"/>
      <c r="D3256" s="40"/>
      <c r="E3256" s="15"/>
      <c r="F3256" s="85"/>
      <c r="G3256" s="17"/>
      <c r="H3256" s="38"/>
      <c r="I3256" s="56"/>
    </row>
    <row r="3257" spans="1:9" customFormat="1" ht="21.95" customHeight="1" x14ac:dyDescent="0.15">
      <c r="A3257" s="17"/>
      <c r="B3257" s="37"/>
      <c r="C3257" s="37"/>
      <c r="D3257" s="40"/>
      <c r="E3257" s="15"/>
      <c r="F3257" s="85"/>
      <c r="G3257" s="42"/>
      <c r="H3257" s="38"/>
      <c r="I3257" s="56"/>
    </row>
    <row r="3258" spans="1:9" customFormat="1" ht="21.95" customHeight="1" x14ac:dyDescent="0.15">
      <c r="A3258" s="17"/>
      <c r="B3258" s="37"/>
      <c r="C3258" s="37"/>
      <c r="D3258" s="40"/>
      <c r="E3258" s="15"/>
      <c r="F3258" s="85"/>
      <c r="G3258" s="17"/>
      <c r="H3258" s="38"/>
      <c r="I3258" s="56"/>
    </row>
    <row r="3259" spans="1:9" customFormat="1" ht="21.95" customHeight="1" x14ac:dyDescent="0.15">
      <c r="A3259" s="17"/>
      <c r="B3259" s="37"/>
      <c r="C3259" s="37"/>
      <c r="D3259" s="40"/>
      <c r="E3259" s="15"/>
      <c r="F3259" s="85"/>
      <c r="G3259" s="42"/>
      <c r="H3259" s="38"/>
      <c r="I3259" s="56"/>
    </row>
    <row r="3260" spans="1:9" ht="21.95" customHeight="1" x14ac:dyDescent="0.15">
      <c r="A3260" s="17"/>
      <c r="B3260" s="37"/>
      <c r="C3260" s="37"/>
      <c r="D3260" s="37"/>
      <c r="E3260" s="15"/>
      <c r="F3260" s="85"/>
      <c r="G3260" s="17"/>
      <c r="H3260" s="38"/>
    </row>
    <row r="3261" spans="1:9" ht="21.95" customHeight="1" x14ac:dyDescent="0.15">
      <c r="A3261" s="17"/>
      <c r="B3261" s="37"/>
      <c r="C3261" s="37"/>
      <c r="D3261" s="37"/>
      <c r="E3261" s="15"/>
      <c r="F3261" s="85"/>
      <c r="H3261" s="38"/>
    </row>
    <row r="3262" spans="1:9" ht="21.95" customHeight="1" x14ac:dyDescent="0.15">
      <c r="A3262" s="17"/>
      <c r="B3262" s="37"/>
      <c r="C3262" s="37"/>
      <c r="D3262" s="37"/>
      <c r="E3262" s="15"/>
      <c r="F3262" s="85"/>
      <c r="H3262" s="38"/>
    </row>
    <row r="3263" spans="1:9" ht="21.95" customHeight="1" x14ac:dyDescent="0.15">
      <c r="A3263" s="17"/>
      <c r="B3263" s="37"/>
      <c r="C3263" s="37"/>
      <c r="D3263" s="37"/>
      <c r="E3263" s="15"/>
      <c r="F3263" s="85"/>
      <c r="G3263" s="17"/>
      <c r="H3263" s="38"/>
    </row>
    <row r="3264" spans="1:9" customFormat="1" ht="21.95" customHeight="1" x14ac:dyDescent="0.15">
      <c r="A3264" s="17"/>
      <c r="B3264" s="37"/>
      <c r="C3264" s="37"/>
      <c r="D3264" s="37"/>
      <c r="E3264" s="15"/>
      <c r="F3264" s="85"/>
      <c r="G3264" s="17"/>
      <c r="H3264" s="38"/>
      <c r="I3264" s="42"/>
    </row>
    <row r="3265" spans="1:9" customFormat="1" ht="21.95" customHeight="1" x14ac:dyDescent="0.15">
      <c r="A3265" s="17"/>
      <c r="B3265" s="37"/>
      <c r="C3265" s="37"/>
      <c r="D3265" s="37"/>
      <c r="E3265" s="15"/>
      <c r="F3265" s="85"/>
      <c r="G3265" s="17"/>
      <c r="H3265" s="38"/>
      <c r="I3265" s="42"/>
    </row>
    <row r="3266" spans="1:9" customFormat="1" ht="21.95" customHeight="1" x14ac:dyDescent="0.15">
      <c r="A3266" s="17"/>
      <c r="B3266" s="37"/>
      <c r="C3266" s="37"/>
      <c r="D3266" s="37"/>
      <c r="E3266" s="15"/>
      <c r="F3266" s="85"/>
      <c r="G3266" s="17"/>
      <c r="H3266" s="38"/>
      <c r="I3266" s="42"/>
    </row>
    <row r="3267" spans="1:9" customFormat="1" ht="21.95" customHeight="1" x14ac:dyDescent="0.15">
      <c r="A3267" s="17"/>
      <c r="B3267" s="37"/>
      <c r="C3267" s="37"/>
      <c r="D3267" s="37"/>
      <c r="E3267" s="15"/>
      <c r="F3267" s="85"/>
      <c r="G3267" s="17"/>
      <c r="H3267" s="38"/>
      <c r="I3267" s="42"/>
    </row>
    <row r="3268" spans="1:9" customFormat="1" ht="21.95" customHeight="1" x14ac:dyDescent="0.15">
      <c r="A3268" s="17"/>
      <c r="B3268" s="37"/>
      <c r="C3268" s="37"/>
      <c r="D3268" s="37"/>
      <c r="E3268" s="15"/>
      <c r="F3268" s="85"/>
      <c r="G3268" s="17"/>
      <c r="H3268" s="38"/>
      <c r="I3268" s="42"/>
    </row>
    <row r="3269" spans="1:9" customFormat="1" ht="21.95" customHeight="1" x14ac:dyDescent="0.15">
      <c r="A3269" s="17"/>
      <c r="B3269" s="37"/>
      <c r="C3269" s="37"/>
      <c r="D3269" s="37"/>
      <c r="E3269" s="15"/>
      <c r="F3269" s="85"/>
      <c r="G3269" s="17"/>
      <c r="H3269" s="38"/>
      <c r="I3269" s="42"/>
    </row>
    <row r="3270" spans="1:9" customFormat="1" ht="21.95" customHeight="1" x14ac:dyDescent="0.15">
      <c r="A3270" s="17"/>
      <c r="B3270" s="37"/>
      <c r="C3270" s="37"/>
      <c r="D3270" s="37"/>
      <c r="E3270" s="15"/>
      <c r="F3270" s="85"/>
      <c r="G3270" s="17"/>
      <c r="H3270" s="38"/>
      <c r="I3270" s="42"/>
    </row>
    <row r="3271" spans="1:9" customFormat="1" ht="21.95" customHeight="1" x14ac:dyDescent="0.15">
      <c r="A3271" s="17"/>
      <c r="B3271" s="37"/>
      <c r="C3271" s="37"/>
      <c r="D3271" s="37"/>
      <c r="E3271" s="15"/>
      <c r="F3271" s="85"/>
      <c r="G3271" s="17"/>
      <c r="H3271" s="38"/>
      <c r="I3271" s="42"/>
    </row>
    <row r="3272" spans="1:9" customFormat="1" ht="21.95" customHeight="1" x14ac:dyDescent="0.15">
      <c r="A3272" s="17"/>
      <c r="B3272" s="37"/>
      <c r="C3272" s="37"/>
      <c r="D3272" s="37"/>
      <c r="E3272" s="15"/>
      <c r="F3272" s="85"/>
      <c r="G3272" s="17"/>
      <c r="H3272" s="38"/>
      <c r="I3272" s="42"/>
    </row>
    <row r="3273" spans="1:9" customFormat="1" ht="21.95" customHeight="1" x14ac:dyDescent="0.15">
      <c r="A3273" s="17"/>
      <c r="B3273" s="37"/>
      <c r="C3273" s="37"/>
      <c r="D3273" s="37"/>
      <c r="E3273" s="15"/>
      <c r="F3273" s="85"/>
      <c r="G3273" s="17"/>
      <c r="H3273" s="38"/>
      <c r="I3273" s="56"/>
    </row>
    <row r="3274" spans="1:9" customFormat="1" ht="21.95" customHeight="1" x14ac:dyDescent="0.15">
      <c r="A3274" s="17"/>
      <c r="B3274" s="37"/>
      <c r="C3274" s="37"/>
      <c r="D3274" s="37"/>
      <c r="E3274" s="15"/>
      <c r="F3274" s="85"/>
      <c r="G3274" s="17"/>
      <c r="H3274" s="38"/>
      <c r="I3274" s="56"/>
    </row>
    <row r="3275" spans="1:9" customFormat="1" ht="32.1" customHeight="1" x14ac:dyDescent="0.15">
      <c r="A3275" s="17"/>
      <c r="B3275" s="37"/>
      <c r="C3275" s="37"/>
      <c r="D3275" s="37"/>
      <c r="E3275" s="15"/>
      <c r="F3275" s="85"/>
      <c r="G3275" s="17"/>
      <c r="H3275" s="38"/>
      <c r="I3275" s="56"/>
    </row>
    <row r="3276" spans="1:9" customFormat="1" ht="32.1" customHeight="1" x14ac:dyDescent="0.15">
      <c r="A3276" s="17"/>
      <c r="B3276" s="37"/>
      <c r="C3276" s="37"/>
      <c r="D3276" s="37"/>
      <c r="E3276" s="15"/>
      <c r="F3276" s="85"/>
      <c r="G3276" s="17"/>
      <c r="H3276" s="38"/>
      <c r="I3276" s="56"/>
    </row>
    <row r="3277" spans="1:9" customFormat="1" ht="32.1" customHeight="1" x14ac:dyDescent="0.15">
      <c r="A3277" s="17"/>
      <c r="B3277" s="37"/>
      <c r="C3277" s="37"/>
      <c r="D3277" s="37"/>
      <c r="E3277" s="15"/>
      <c r="F3277" s="85"/>
      <c r="G3277" s="17"/>
      <c r="H3277" s="38"/>
      <c r="I3277" s="56"/>
    </row>
    <row r="3278" spans="1:9" customFormat="1" ht="32.1" customHeight="1" x14ac:dyDescent="0.15">
      <c r="A3278" s="17"/>
      <c r="B3278" s="37"/>
      <c r="C3278" s="37"/>
      <c r="D3278" s="37"/>
      <c r="E3278" s="15"/>
      <c r="F3278" s="85"/>
      <c r="G3278" s="17"/>
      <c r="H3278" s="38"/>
      <c r="I3278" s="56"/>
    </row>
    <row r="3279" spans="1:9" customFormat="1" ht="32.1" customHeight="1" x14ac:dyDescent="0.15">
      <c r="A3279" s="17"/>
      <c r="B3279" s="37"/>
      <c r="C3279" s="37"/>
      <c r="D3279" s="37"/>
      <c r="E3279" s="15"/>
      <c r="F3279" s="85"/>
      <c r="G3279" s="17"/>
      <c r="H3279" s="38"/>
      <c r="I3279" s="56"/>
    </row>
    <row r="3280" spans="1:9" customFormat="1" ht="32.1" customHeight="1" x14ac:dyDescent="0.15">
      <c r="A3280" s="17"/>
      <c r="B3280" s="37"/>
      <c r="C3280" s="37"/>
      <c r="D3280" s="37"/>
      <c r="E3280" s="15"/>
      <c r="F3280" s="85"/>
      <c r="G3280" s="17"/>
      <c r="H3280" s="38"/>
      <c r="I3280" s="56"/>
    </row>
    <row r="3281" spans="1:9" ht="32.1" customHeight="1" x14ac:dyDescent="0.15">
      <c r="A3281" s="17"/>
      <c r="B3281" s="37"/>
      <c r="C3281" s="37"/>
      <c r="D3281" s="37"/>
      <c r="E3281" s="15"/>
      <c r="F3281" s="85"/>
      <c r="G3281" s="17"/>
      <c r="H3281" s="38"/>
      <c r="I3281" s="37"/>
    </row>
    <row r="3282" spans="1:9" ht="32.1" customHeight="1" x14ac:dyDescent="0.15">
      <c r="A3282" s="17"/>
      <c r="B3282" s="37"/>
      <c r="C3282" s="37"/>
      <c r="D3282" s="37"/>
      <c r="E3282" s="15"/>
      <c r="F3282" s="37"/>
      <c r="G3282" s="17"/>
      <c r="H3282" s="38"/>
      <c r="I3282" s="37"/>
    </row>
    <row r="3283" spans="1:9" ht="32.1" customHeight="1" x14ac:dyDescent="0.15">
      <c r="A3283" s="17"/>
      <c r="B3283" s="37"/>
      <c r="C3283" s="37"/>
      <c r="D3283" s="37"/>
      <c r="E3283" s="15"/>
      <c r="F3283" s="37"/>
      <c r="G3283" s="17"/>
      <c r="H3283" s="38"/>
      <c r="I3283" s="37"/>
    </row>
    <row r="3284" spans="1:9" ht="32.1" customHeight="1" x14ac:dyDescent="0.15">
      <c r="A3284" s="17"/>
      <c r="B3284" s="37"/>
      <c r="C3284" s="37"/>
      <c r="D3284" s="37"/>
      <c r="E3284" s="15"/>
      <c r="F3284" s="37"/>
      <c r="G3284" s="17"/>
      <c r="H3284" s="38"/>
      <c r="I3284" s="37"/>
    </row>
    <row r="3285" spans="1:9" ht="21.95" customHeight="1" x14ac:dyDescent="0.15">
      <c r="A3285" s="17"/>
      <c r="B3285" s="37"/>
      <c r="C3285" s="37"/>
      <c r="D3285" s="37"/>
      <c r="E3285" s="15"/>
      <c r="F3285" s="37"/>
      <c r="G3285" s="17"/>
      <c r="H3285" s="38"/>
      <c r="I3285" s="37"/>
    </row>
    <row r="3286" spans="1:9" ht="54" customHeight="1" x14ac:dyDescent="0.15">
      <c r="A3286" s="17"/>
      <c r="B3286" s="37"/>
      <c r="C3286" s="37"/>
      <c r="D3286" s="37"/>
      <c r="E3286" s="15"/>
      <c r="F3286" s="37"/>
      <c r="G3286" s="17"/>
      <c r="H3286" s="38"/>
      <c r="I3286" s="37"/>
    </row>
    <row r="3287" spans="1:9" ht="21.95" customHeight="1" x14ac:dyDescent="0.15">
      <c r="A3287" s="17"/>
      <c r="B3287" s="37"/>
      <c r="C3287" s="37"/>
      <c r="D3287" s="37"/>
      <c r="E3287" s="15"/>
      <c r="F3287" s="37"/>
      <c r="G3287" s="17"/>
      <c r="H3287" s="38"/>
      <c r="I3287" s="37"/>
    </row>
    <row r="3288" spans="1:9" ht="21.95" customHeight="1" x14ac:dyDescent="0.15">
      <c r="A3288" s="17"/>
      <c r="B3288" s="37"/>
      <c r="C3288" s="37"/>
      <c r="D3288" s="37"/>
      <c r="E3288" s="15"/>
      <c r="F3288" s="37"/>
      <c r="G3288" s="17"/>
      <c r="H3288" s="38"/>
      <c r="I3288" s="37"/>
    </row>
    <row r="3289" spans="1:9" ht="21.95" customHeight="1" x14ac:dyDescent="0.15">
      <c r="A3289" s="17"/>
      <c r="B3289" s="37"/>
      <c r="C3289" s="37"/>
      <c r="D3289" s="37"/>
      <c r="E3289" s="15"/>
      <c r="F3289" s="37"/>
      <c r="G3289" s="17"/>
      <c r="H3289" s="38"/>
      <c r="I3289" s="37"/>
    </row>
    <row r="3290" spans="1:9" ht="21.95" customHeight="1" x14ac:dyDescent="0.15">
      <c r="A3290" s="17"/>
      <c r="B3290" s="37"/>
      <c r="C3290" s="37"/>
      <c r="D3290" s="37"/>
      <c r="E3290" s="15"/>
      <c r="F3290" s="37"/>
      <c r="G3290" s="17"/>
      <c r="H3290" s="38"/>
      <c r="I3290" s="37"/>
    </row>
    <row r="3291" spans="1:9" ht="21.95" customHeight="1" x14ac:dyDescent="0.15">
      <c r="A3291" s="17"/>
      <c r="B3291" s="37"/>
      <c r="C3291" s="37"/>
      <c r="E3291" s="15"/>
      <c r="G3291" s="17"/>
      <c r="H3291" s="38"/>
    </row>
    <row r="3292" spans="1:9" ht="21.95" customHeight="1" x14ac:dyDescent="0.15">
      <c r="A3292" s="17"/>
      <c r="B3292" s="37"/>
      <c r="C3292" s="37"/>
      <c r="E3292" s="15"/>
      <c r="G3292" s="17"/>
      <c r="H3292" s="38"/>
    </row>
    <row r="3293" spans="1:9" ht="21.95" customHeight="1" x14ac:dyDescent="0.15">
      <c r="A3293" s="17"/>
      <c r="B3293" s="37"/>
      <c r="C3293" s="37"/>
      <c r="E3293" s="15"/>
      <c r="F3293" s="37"/>
      <c r="G3293" s="13"/>
      <c r="H3293" s="38"/>
    </row>
    <row r="3294" spans="1:9" ht="21.95" customHeight="1" x14ac:dyDescent="0.15">
      <c r="A3294" s="17"/>
      <c r="B3294" s="37"/>
      <c r="C3294" s="37"/>
      <c r="E3294" s="15"/>
      <c r="F3294" s="37"/>
      <c r="G3294" s="13"/>
      <c r="H3294" s="38"/>
    </row>
    <row r="3295" spans="1:9" ht="21.95" customHeight="1" x14ac:dyDescent="0.15">
      <c r="A3295" s="17"/>
      <c r="B3295" s="37"/>
      <c r="C3295" s="37"/>
      <c r="D3295" s="37"/>
      <c r="E3295" s="15"/>
      <c r="F3295" s="37"/>
      <c r="G3295" s="13"/>
      <c r="H3295" s="38"/>
    </row>
    <row r="3296" spans="1:9" ht="21.95" customHeight="1" x14ac:dyDescent="0.15">
      <c r="A3296" s="17"/>
      <c r="B3296" s="37"/>
      <c r="C3296" s="37"/>
      <c r="D3296" s="37"/>
      <c r="E3296" s="15"/>
      <c r="F3296" s="37"/>
      <c r="G3296" s="13"/>
      <c r="H3296" s="38"/>
    </row>
    <row r="3297" spans="1:8" ht="21.95" customHeight="1" x14ac:dyDescent="0.15">
      <c r="A3297" s="17"/>
      <c r="B3297" s="37"/>
      <c r="C3297" s="37"/>
      <c r="D3297" s="37"/>
      <c r="E3297" s="15"/>
      <c r="F3297" s="37"/>
      <c r="G3297" s="13"/>
      <c r="H3297" s="38"/>
    </row>
    <row r="3298" spans="1:8" ht="21.95" customHeight="1" x14ac:dyDescent="0.15">
      <c r="A3298" s="17"/>
      <c r="B3298" s="37"/>
      <c r="C3298" s="37"/>
      <c r="D3298" s="37"/>
      <c r="E3298" s="15"/>
      <c r="F3298" s="37"/>
      <c r="G3298" s="13"/>
      <c r="H3298" s="38"/>
    </row>
    <row r="3299" spans="1:8" ht="21.95" customHeight="1" x14ac:dyDescent="0.15">
      <c r="A3299" s="17"/>
      <c r="B3299" s="37"/>
      <c r="C3299" s="37"/>
      <c r="D3299" s="37"/>
      <c r="E3299" s="15"/>
      <c r="F3299" s="37"/>
      <c r="G3299" s="13"/>
      <c r="H3299" s="38"/>
    </row>
    <row r="3300" spans="1:8" ht="21.95" customHeight="1" x14ac:dyDescent="0.15">
      <c r="A3300" s="17"/>
      <c r="B3300" s="37"/>
      <c r="C3300" s="37"/>
      <c r="D3300" s="37"/>
      <c r="E3300" s="15"/>
      <c r="F3300" s="37"/>
      <c r="G3300" s="13"/>
      <c r="H3300" s="38"/>
    </row>
    <row r="3301" spans="1:8" ht="21.95" customHeight="1" x14ac:dyDescent="0.15">
      <c r="A3301" s="17"/>
      <c r="B3301" s="37"/>
      <c r="C3301" s="37"/>
      <c r="D3301" s="37"/>
      <c r="E3301" s="15"/>
      <c r="F3301" s="37"/>
      <c r="G3301" s="13"/>
      <c r="H3301" s="38"/>
    </row>
    <row r="3302" spans="1:8" ht="21.95" customHeight="1" x14ac:dyDescent="0.15">
      <c r="A3302" s="17"/>
      <c r="B3302" s="37"/>
      <c r="C3302" s="37"/>
      <c r="D3302" s="37"/>
      <c r="E3302" s="15"/>
      <c r="F3302" s="37"/>
      <c r="G3302" s="13"/>
      <c r="H3302" s="38"/>
    </row>
    <row r="3303" spans="1:8" ht="21.95" customHeight="1" x14ac:dyDescent="0.15">
      <c r="A3303" s="17"/>
      <c r="B3303" s="37"/>
      <c r="C3303" s="37"/>
      <c r="D3303" s="37"/>
      <c r="E3303" s="15"/>
      <c r="F3303" s="37"/>
      <c r="G3303" s="13"/>
      <c r="H3303" s="38"/>
    </row>
    <row r="3304" spans="1:8" ht="21.95" customHeight="1" x14ac:dyDescent="0.15">
      <c r="A3304" s="17"/>
      <c r="B3304" s="37"/>
      <c r="C3304" s="37"/>
      <c r="D3304" s="37"/>
      <c r="E3304" s="15"/>
      <c r="F3304" s="37"/>
      <c r="G3304" s="13"/>
      <c r="H3304" s="15"/>
    </row>
    <row r="3305" spans="1:8" ht="21.95" customHeight="1" x14ac:dyDescent="0.15">
      <c r="A3305" s="17"/>
      <c r="B3305" s="37"/>
      <c r="C3305" s="37"/>
      <c r="D3305" s="37"/>
      <c r="E3305" s="15"/>
      <c r="F3305" s="37"/>
      <c r="G3305" s="13"/>
      <c r="H3305" s="15"/>
    </row>
    <row r="3306" spans="1:8" ht="21.95" customHeight="1" x14ac:dyDescent="0.15">
      <c r="A3306" s="17"/>
      <c r="B3306" s="37"/>
      <c r="C3306" s="37"/>
      <c r="D3306" s="37"/>
      <c r="E3306" s="15"/>
      <c r="F3306" s="37"/>
      <c r="G3306" s="13"/>
      <c r="H3306" s="15"/>
    </row>
    <row r="3307" spans="1:8" ht="21.95" customHeight="1" x14ac:dyDescent="0.15">
      <c r="A3307" s="17"/>
      <c r="B3307" s="37"/>
      <c r="C3307" s="37"/>
      <c r="D3307" s="37"/>
      <c r="E3307" s="15"/>
      <c r="F3307" s="37"/>
      <c r="G3307" s="13"/>
      <c r="H3307" s="15"/>
    </row>
    <row r="3308" spans="1:8" ht="21.95" customHeight="1" x14ac:dyDescent="0.15">
      <c r="A3308" s="17"/>
      <c r="B3308" s="37"/>
      <c r="C3308" s="37"/>
      <c r="D3308" s="37"/>
      <c r="E3308" s="15"/>
      <c r="F3308" s="37"/>
      <c r="G3308" s="13"/>
      <c r="H3308" s="15"/>
    </row>
    <row r="3309" spans="1:8" ht="21.95" customHeight="1" x14ac:dyDescent="0.15">
      <c r="A3309" s="17"/>
      <c r="B3309" s="37"/>
      <c r="C3309" s="37"/>
      <c r="D3309" s="37"/>
      <c r="E3309" s="15"/>
      <c r="F3309" s="37"/>
      <c r="G3309" s="13"/>
      <c r="H3309" s="15"/>
    </row>
    <row r="3310" spans="1:8" ht="21.95" customHeight="1" x14ac:dyDescent="0.15">
      <c r="A3310" s="17"/>
      <c r="B3310" s="37"/>
      <c r="C3310" s="37"/>
      <c r="D3310" s="37"/>
      <c r="E3310" s="15"/>
      <c r="F3310" s="37"/>
      <c r="G3310" s="13"/>
      <c r="H3310" s="15"/>
    </row>
    <row r="3311" spans="1:8" ht="21.95" customHeight="1" x14ac:dyDescent="0.15">
      <c r="A3311" s="17"/>
      <c r="B3311" s="37"/>
      <c r="C3311" s="37"/>
      <c r="D3311" s="37"/>
      <c r="E3311" s="15"/>
      <c r="F3311" s="37"/>
      <c r="G3311" s="13"/>
      <c r="H3311" s="15"/>
    </row>
    <row r="3312" spans="1:8" ht="21.95" customHeight="1" x14ac:dyDescent="0.15">
      <c r="A3312" s="17"/>
      <c r="B3312" s="37"/>
      <c r="C3312" s="37"/>
      <c r="D3312" s="37"/>
      <c r="E3312" s="15"/>
      <c r="F3312" s="37"/>
      <c r="G3312" s="13"/>
      <c r="H3312" s="15"/>
    </row>
    <row r="3313" spans="1:8" ht="21.95" customHeight="1" x14ac:dyDescent="0.15">
      <c r="A3313" s="17"/>
      <c r="B3313" s="37"/>
      <c r="C3313" s="37"/>
      <c r="D3313" s="37"/>
      <c r="E3313" s="15"/>
      <c r="F3313" s="37"/>
      <c r="G3313" s="13"/>
      <c r="H3313" s="15"/>
    </row>
    <row r="3314" spans="1:8" ht="21.95" customHeight="1" x14ac:dyDescent="0.15">
      <c r="A3314" s="17"/>
      <c r="B3314" s="37"/>
      <c r="C3314" s="37"/>
      <c r="D3314" s="37"/>
      <c r="E3314" s="15"/>
      <c r="F3314" s="37"/>
      <c r="G3314" s="13"/>
      <c r="H3314" s="15"/>
    </row>
    <row r="3315" spans="1:8" ht="21.95" customHeight="1" x14ac:dyDescent="0.15">
      <c r="A3315" s="17"/>
      <c r="B3315" s="37"/>
      <c r="C3315" s="37"/>
      <c r="D3315" s="37"/>
      <c r="E3315" s="15"/>
      <c r="F3315" s="37"/>
      <c r="G3315" s="13"/>
      <c r="H3315" s="15"/>
    </row>
    <row r="3316" spans="1:8" ht="21.95" customHeight="1" x14ac:dyDescent="0.15">
      <c r="A3316" s="17"/>
      <c r="B3316" s="37"/>
      <c r="C3316" s="37"/>
      <c r="D3316" s="37"/>
      <c r="E3316" s="15"/>
      <c r="F3316" s="37"/>
      <c r="G3316" s="13"/>
      <c r="H3316" s="15"/>
    </row>
    <row r="3317" spans="1:8" ht="21.95" customHeight="1" x14ac:dyDescent="0.15">
      <c r="A3317" s="17"/>
      <c r="B3317" s="37"/>
      <c r="C3317" s="37"/>
      <c r="D3317" s="37"/>
      <c r="E3317" s="15"/>
      <c r="F3317" s="37"/>
      <c r="G3317" s="13"/>
      <c r="H3317" s="15"/>
    </row>
    <row r="3318" spans="1:8" ht="21.95" customHeight="1" x14ac:dyDescent="0.15">
      <c r="A3318" s="17"/>
      <c r="B3318" s="37"/>
      <c r="C3318" s="37"/>
      <c r="D3318" s="37"/>
      <c r="E3318" s="15"/>
      <c r="F3318" s="37"/>
      <c r="G3318" s="13"/>
      <c r="H3318" s="15"/>
    </row>
    <row r="3319" spans="1:8" ht="21.95" customHeight="1" x14ac:dyDescent="0.15">
      <c r="A3319" s="17"/>
      <c r="B3319" s="37"/>
      <c r="C3319" s="37"/>
      <c r="D3319" s="37"/>
      <c r="E3319" s="15"/>
      <c r="F3319" s="37"/>
      <c r="G3319" s="13"/>
      <c r="H3319" s="15"/>
    </row>
    <row r="3320" spans="1:8" ht="21.95" customHeight="1" x14ac:dyDescent="0.15">
      <c r="A3320" s="17"/>
      <c r="B3320" s="37"/>
      <c r="C3320" s="37"/>
      <c r="D3320" s="37"/>
      <c r="E3320" s="15"/>
      <c r="F3320" s="37"/>
      <c r="G3320" s="13"/>
      <c r="H3320" s="15"/>
    </row>
    <row r="3321" spans="1:8" ht="21.95" customHeight="1" x14ac:dyDescent="0.15">
      <c r="A3321" s="17"/>
      <c r="B3321" s="37"/>
      <c r="C3321" s="37"/>
      <c r="D3321" s="37"/>
      <c r="E3321" s="15"/>
      <c r="F3321" s="37"/>
      <c r="G3321" s="13"/>
      <c r="H3321" s="15"/>
    </row>
    <row r="3322" spans="1:8" ht="21.95" customHeight="1" x14ac:dyDescent="0.15">
      <c r="A3322" s="17"/>
      <c r="B3322" s="37"/>
      <c r="C3322" s="37"/>
      <c r="D3322" s="37"/>
      <c r="E3322" s="15"/>
      <c r="F3322" s="37"/>
      <c r="G3322" s="37"/>
      <c r="H3322" s="15"/>
    </row>
    <row r="3323" spans="1:8" ht="21.95" customHeight="1" x14ac:dyDescent="0.15">
      <c r="A3323" s="17"/>
      <c r="B3323" s="37"/>
      <c r="C3323" s="37"/>
      <c r="D3323" s="37"/>
      <c r="E3323" s="15"/>
      <c r="F3323" s="37"/>
      <c r="G3323" s="13"/>
      <c r="H3323" s="15"/>
    </row>
    <row r="3324" spans="1:8" ht="21.95" customHeight="1" x14ac:dyDescent="0.15">
      <c r="A3324" s="17"/>
      <c r="B3324" s="37"/>
      <c r="C3324" s="37"/>
      <c r="D3324" s="37"/>
      <c r="E3324" s="15"/>
      <c r="F3324" s="37"/>
      <c r="G3324" s="13"/>
      <c r="H3324" s="15"/>
    </row>
    <row r="3325" spans="1:8" ht="21.95" customHeight="1" x14ac:dyDescent="0.15">
      <c r="A3325" s="17"/>
      <c r="B3325" s="37"/>
      <c r="C3325" s="37"/>
      <c r="D3325" s="37"/>
      <c r="E3325" s="15"/>
      <c r="F3325" s="37"/>
      <c r="G3325" s="13"/>
      <c r="H3325" s="15"/>
    </row>
    <row r="3326" spans="1:8" ht="21.95" customHeight="1" x14ac:dyDescent="0.15">
      <c r="A3326" s="17"/>
      <c r="B3326" s="37"/>
      <c r="C3326" s="37"/>
      <c r="D3326" s="37"/>
      <c r="E3326" s="15"/>
      <c r="F3326" s="37"/>
      <c r="G3326" s="13"/>
      <c r="H3326" s="15"/>
    </row>
    <row r="3327" spans="1:8" ht="21.95" customHeight="1" x14ac:dyDescent="0.15">
      <c r="A3327" s="17"/>
      <c r="B3327" s="37"/>
      <c r="C3327" s="37"/>
      <c r="D3327" s="37"/>
      <c r="E3327" s="15"/>
      <c r="F3327" s="37"/>
      <c r="G3327" s="13"/>
      <c r="H3327" s="15"/>
    </row>
    <row r="3328" spans="1:8" ht="21.95" customHeight="1" x14ac:dyDescent="0.15">
      <c r="A3328" s="17"/>
      <c r="B3328" s="37"/>
      <c r="C3328" s="37"/>
      <c r="D3328" s="37"/>
      <c r="E3328" s="15"/>
      <c r="F3328" s="37"/>
      <c r="G3328" s="13"/>
      <c r="H3328" s="15"/>
    </row>
    <row r="3329" spans="1:9" ht="21.95" customHeight="1" x14ac:dyDescent="0.15">
      <c r="A3329" s="17"/>
      <c r="B3329" s="37"/>
      <c r="C3329" s="37"/>
      <c r="D3329" s="37"/>
      <c r="E3329" s="15"/>
      <c r="F3329" s="37"/>
      <c r="G3329" s="13"/>
      <c r="H3329" s="15"/>
    </row>
    <row r="3330" spans="1:9" ht="21.95" customHeight="1" x14ac:dyDescent="0.15">
      <c r="A3330" s="17"/>
      <c r="B3330" s="37"/>
      <c r="C3330" s="37"/>
      <c r="D3330" s="37"/>
      <c r="E3330" s="15"/>
      <c r="F3330" s="37"/>
      <c r="G3330" s="13"/>
      <c r="H3330" s="15"/>
    </row>
    <row r="3331" spans="1:9" ht="21.95" customHeight="1" x14ac:dyDescent="0.15">
      <c r="A3331" s="17"/>
      <c r="B3331" s="37"/>
      <c r="C3331" s="37"/>
      <c r="D3331" s="37"/>
      <c r="E3331" s="15"/>
      <c r="F3331" s="37"/>
      <c r="G3331" s="13"/>
      <c r="H3331" s="15"/>
    </row>
    <row r="3332" spans="1:9" ht="21.95" customHeight="1" x14ac:dyDescent="0.15">
      <c r="A3332" s="17"/>
      <c r="B3332" s="37"/>
      <c r="C3332" s="37"/>
      <c r="D3332" s="37"/>
      <c r="E3332" s="15"/>
      <c r="F3332" s="37"/>
      <c r="G3332" s="13"/>
      <c r="H3332" s="15"/>
    </row>
    <row r="3333" spans="1:9" ht="21.95" customHeight="1" x14ac:dyDescent="0.15">
      <c r="A3333" s="17"/>
      <c r="B3333" s="37"/>
      <c r="C3333" s="37"/>
      <c r="D3333" s="37"/>
      <c r="E3333" s="15"/>
      <c r="F3333" s="37"/>
      <c r="G3333" s="13"/>
      <c r="H3333" s="15"/>
    </row>
    <row r="3334" spans="1:9" ht="21.95" customHeight="1" x14ac:dyDescent="0.15">
      <c r="A3334" s="17"/>
      <c r="B3334" s="37"/>
      <c r="C3334" s="37"/>
      <c r="D3334" s="37"/>
      <c r="E3334" s="15"/>
      <c r="F3334" s="37"/>
      <c r="G3334" s="13"/>
      <c r="H3334" s="15"/>
    </row>
    <row r="3335" spans="1:9" ht="21.95" customHeight="1" x14ac:dyDescent="0.15">
      <c r="A3335" s="17"/>
      <c r="B3335" s="37"/>
      <c r="C3335" s="37"/>
      <c r="D3335" s="37"/>
      <c r="E3335" s="15"/>
      <c r="F3335" s="37"/>
      <c r="G3335" s="13"/>
      <c r="H3335" s="38"/>
      <c r="I3335" s="84"/>
    </row>
    <row r="3336" spans="1:9" ht="21.95" customHeight="1" x14ac:dyDescent="0.15">
      <c r="A3336" s="17"/>
      <c r="B3336" s="37"/>
      <c r="C3336" s="37"/>
      <c r="D3336" s="37"/>
      <c r="E3336" s="15"/>
      <c r="F3336" s="37"/>
      <c r="G3336" s="13"/>
      <c r="H3336" s="15"/>
      <c r="I3336" s="84"/>
    </row>
    <row r="3337" spans="1:9" ht="35.1" customHeight="1" x14ac:dyDescent="0.15">
      <c r="A3337" s="17"/>
      <c r="B3337" s="37"/>
      <c r="C3337" s="37"/>
      <c r="D3337" s="37"/>
      <c r="E3337" s="15"/>
      <c r="F3337" s="15"/>
      <c r="G3337" s="37"/>
      <c r="H3337" s="15"/>
    </row>
    <row r="3338" spans="1:9" ht="21.95" customHeight="1" x14ac:dyDescent="0.15">
      <c r="A3338" s="17"/>
      <c r="B3338" s="37"/>
      <c r="C3338" s="37"/>
      <c r="D3338" s="37"/>
      <c r="E3338" s="15"/>
      <c r="F3338" s="37"/>
      <c r="G3338" s="13"/>
      <c r="H3338" s="15"/>
    </row>
    <row r="3339" spans="1:9" ht="21.95" customHeight="1" x14ac:dyDescent="0.15">
      <c r="A3339" s="17"/>
      <c r="B3339" s="37"/>
      <c r="C3339" s="37"/>
      <c r="D3339" s="37"/>
      <c r="E3339" s="15"/>
      <c r="F3339" s="37"/>
      <c r="G3339" s="13"/>
      <c r="H3339" s="15"/>
    </row>
    <row r="3340" spans="1:9" ht="21.95" customHeight="1" x14ac:dyDescent="0.15">
      <c r="A3340" s="17"/>
      <c r="B3340" s="37"/>
      <c r="C3340" s="37"/>
      <c r="D3340" s="37"/>
      <c r="E3340" s="15"/>
      <c r="F3340" s="37"/>
      <c r="G3340" s="13"/>
      <c r="H3340" s="15"/>
    </row>
    <row r="3341" spans="1:9" ht="21.95" customHeight="1" x14ac:dyDescent="0.15">
      <c r="A3341" s="17"/>
      <c r="B3341" s="37"/>
      <c r="C3341" s="37"/>
      <c r="D3341" s="37"/>
      <c r="E3341" s="15"/>
      <c r="F3341" s="37"/>
      <c r="G3341" s="13"/>
      <c r="H3341" s="15"/>
    </row>
    <row r="3342" spans="1:9" ht="21.95" customHeight="1" x14ac:dyDescent="0.15">
      <c r="A3342" s="17"/>
      <c r="B3342" s="37"/>
      <c r="C3342" s="37"/>
      <c r="D3342" s="37"/>
      <c r="E3342" s="15"/>
      <c r="F3342" s="37"/>
      <c r="G3342" s="13"/>
      <c r="H3342" s="15"/>
    </row>
    <row r="3343" spans="1:9" ht="21.95" customHeight="1" x14ac:dyDescent="0.15">
      <c r="A3343" s="17"/>
      <c r="B3343" s="37"/>
      <c r="C3343" s="37"/>
      <c r="D3343" s="37"/>
      <c r="E3343" s="15"/>
      <c r="F3343" s="37"/>
      <c r="G3343" s="13"/>
      <c r="H3343" s="15"/>
      <c r="I3343" s="37"/>
    </row>
    <row r="3344" spans="1:9" ht="21.95" customHeight="1" x14ac:dyDescent="0.15">
      <c r="A3344" s="17"/>
      <c r="B3344" s="37"/>
      <c r="C3344" s="37"/>
      <c r="D3344" s="37"/>
      <c r="E3344" s="15"/>
      <c r="F3344" s="37"/>
      <c r="G3344" s="37"/>
      <c r="H3344" s="15"/>
      <c r="I3344" s="37"/>
    </row>
    <row r="3345" spans="1:9" ht="21.95" customHeight="1" x14ac:dyDescent="0.15">
      <c r="A3345" s="17"/>
      <c r="B3345" s="37"/>
      <c r="C3345" s="37"/>
      <c r="D3345" s="37"/>
      <c r="E3345" s="15"/>
      <c r="F3345" s="37"/>
      <c r="G3345" s="37"/>
      <c r="H3345" s="38"/>
      <c r="I3345" s="37"/>
    </row>
    <row r="3346" spans="1:9" ht="21.95" customHeight="1" x14ac:dyDescent="0.15">
      <c r="A3346" s="17"/>
      <c r="B3346" s="37"/>
      <c r="C3346" s="37"/>
      <c r="D3346" s="37"/>
      <c r="E3346" s="15"/>
      <c r="F3346" s="37"/>
      <c r="G3346" s="37"/>
      <c r="H3346" s="38"/>
      <c r="I3346" s="37"/>
    </row>
    <row r="3347" spans="1:9" ht="21.95" customHeight="1" x14ac:dyDescent="0.15">
      <c r="A3347" s="17"/>
      <c r="B3347" s="37"/>
      <c r="C3347" s="37"/>
      <c r="D3347" s="37"/>
      <c r="E3347" s="15"/>
      <c r="F3347" s="37"/>
      <c r="G3347" s="13"/>
      <c r="H3347" s="15"/>
      <c r="I3347" s="37"/>
    </row>
    <row r="3348" spans="1:9" ht="21.95" customHeight="1" x14ac:dyDescent="0.15">
      <c r="A3348" s="17"/>
      <c r="B3348" s="37"/>
      <c r="C3348" s="37"/>
      <c r="D3348" s="37"/>
      <c r="E3348" s="15"/>
      <c r="F3348" s="37"/>
      <c r="G3348" s="13"/>
      <c r="H3348" s="15"/>
      <c r="I3348" s="37"/>
    </row>
    <row r="3349" spans="1:9" ht="21.95" customHeight="1" x14ac:dyDescent="0.15">
      <c r="A3349" s="17"/>
      <c r="B3349" s="37"/>
      <c r="C3349" s="37"/>
      <c r="D3349" s="37"/>
      <c r="E3349" s="15"/>
      <c r="F3349" s="37"/>
      <c r="G3349" s="13"/>
      <c r="H3349" s="15"/>
      <c r="I3349" s="37"/>
    </row>
    <row r="3350" spans="1:9" ht="21.95" customHeight="1" x14ac:dyDescent="0.15">
      <c r="A3350" s="17"/>
      <c r="B3350" s="37"/>
      <c r="C3350" s="37"/>
      <c r="E3350" s="15"/>
      <c r="F3350" s="37"/>
      <c r="H3350" s="38"/>
    </row>
    <row r="3351" spans="1:9" ht="21.95" customHeight="1" x14ac:dyDescent="0.15">
      <c r="A3351" s="17"/>
      <c r="B3351" s="37"/>
      <c r="C3351" s="37"/>
      <c r="E3351" s="15"/>
      <c r="F3351" s="37"/>
    </row>
    <row r="3352" spans="1:9" ht="21.95" customHeight="1" x14ac:dyDescent="0.15">
      <c r="A3352" s="17"/>
      <c r="B3352" s="37"/>
      <c r="C3352" s="37"/>
      <c r="E3352" s="15"/>
      <c r="G3352" s="77"/>
    </row>
    <row r="3353" spans="1:9" ht="21.95" customHeight="1" x14ac:dyDescent="0.15">
      <c r="A3353" s="17"/>
      <c r="B3353" s="37"/>
      <c r="C3353" s="37"/>
      <c r="D3353" s="37"/>
      <c r="E3353" s="15"/>
      <c r="F3353" s="37"/>
      <c r="G3353" s="37"/>
      <c r="H3353" s="15"/>
    </row>
    <row r="3354" spans="1:9" ht="21.95" customHeight="1" x14ac:dyDescent="0.15">
      <c r="A3354" s="17"/>
      <c r="B3354" s="37"/>
      <c r="C3354" s="37"/>
      <c r="D3354" s="37"/>
      <c r="E3354" s="15"/>
      <c r="F3354" s="37"/>
      <c r="G3354" s="13"/>
      <c r="H3354" s="15"/>
    </row>
    <row r="3355" spans="1:9" ht="21.95" customHeight="1" x14ac:dyDescent="0.15">
      <c r="A3355" s="17"/>
      <c r="B3355" s="37"/>
      <c r="C3355" s="37"/>
      <c r="D3355" s="37"/>
      <c r="E3355" s="15"/>
      <c r="F3355" s="37"/>
      <c r="G3355" s="13"/>
      <c r="H3355" s="15"/>
    </row>
    <row r="3356" spans="1:9" ht="21.95" customHeight="1" x14ac:dyDescent="0.15">
      <c r="A3356" s="17"/>
      <c r="C3356" s="37"/>
    </row>
    <row r="3357" spans="1:9" ht="21.95" customHeight="1" x14ac:dyDescent="0.15">
      <c r="A3357" s="17"/>
      <c r="B3357" s="37"/>
      <c r="C3357" s="37"/>
      <c r="D3357" s="13"/>
      <c r="E3357" s="15"/>
      <c r="F3357" s="37"/>
      <c r="G3357" s="13"/>
      <c r="H3357" s="15"/>
      <c r="I3357" s="13"/>
    </row>
    <row r="3358" spans="1:9" ht="21.95" customHeight="1" x14ac:dyDescent="0.15">
      <c r="A3358" s="17"/>
      <c r="B3358" s="13"/>
      <c r="C3358" s="13"/>
      <c r="D3358" s="13"/>
      <c r="E3358" s="15"/>
      <c r="F3358" s="37"/>
      <c r="G3358" s="13"/>
      <c r="H3358" s="15"/>
      <c r="I3358" s="13"/>
    </row>
    <row r="3359" spans="1:9" ht="21.95" customHeight="1" x14ac:dyDescent="0.15">
      <c r="A3359" s="17"/>
      <c r="B3359" s="13"/>
      <c r="C3359" s="13"/>
      <c r="D3359" s="13"/>
      <c r="E3359" s="15"/>
      <c r="F3359" s="37"/>
      <c r="G3359" s="13"/>
      <c r="H3359" s="15"/>
      <c r="I3359" s="13"/>
    </row>
    <row r="3360" spans="1:9" ht="21.95" customHeight="1" x14ac:dyDescent="0.15">
      <c r="A3360" s="17"/>
      <c r="B3360" s="13"/>
      <c r="C3360" s="13"/>
      <c r="D3360" s="13"/>
      <c r="E3360" s="15"/>
      <c r="F3360" s="37"/>
      <c r="G3360" s="13"/>
      <c r="H3360" s="15"/>
      <c r="I3360" s="13"/>
    </row>
    <row r="3361" spans="1:9" customFormat="1" ht="21.95" customHeight="1" x14ac:dyDescent="0.15">
      <c r="A3361" s="17"/>
      <c r="B3361" s="40"/>
      <c r="C3361" s="40"/>
      <c r="D3361" s="40"/>
      <c r="E3361" s="38"/>
      <c r="F3361" s="85"/>
      <c r="G3361" s="40"/>
      <c r="H3361" s="38"/>
      <c r="I3361" s="40"/>
    </row>
    <row r="3362" spans="1:9" customFormat="1" ht="21.95" customHeight="1" x14ac:dyDescent="0.15">
      <c r="A3362" s="17"/>
      <c r="B3362" s="37"/>
      <c r="C3362" s="37"/>
      <c r="D3362" s="40"/>
      <c r="E3362" s="15"/>
      <c r="F3362" s="85"/>
      <c r="G3362" s="42"/>
      <c r="H3362" s="38"/>
      <c r="I3362" s="56"/>
    </row>
    <row r="3363" spans="1:9" customFormat="1" ht="21.95" customHeight="1" x14ac:dyDescent="0.15">
      <c r="A3363" s="17"/>
      <c r="B3363" s="37"/>
      <c r="C3363" s="95"/>
      <c r="D3363" s="40"/>
      <c r="E3363" s="15"/>
      <c r="F3363" s="85"/>
      <c r="G3363" s="42"/>
      <c r="H3363" s="38"/>
      <c r="I3363" s="56"/>
    </row>
    <row r="3364" spans="1:9" customFormat="1" ht="21.95" customHeight="1" x14ac:dyDescent="0.15">
      <c r="A3364" s="17"/>
      <c r="B3364" s="37"/>
      <c r="C3364" s="95"/>
      <c r="D3364" s="40"/>
      <c r="E3364" s="15"/>
      <c r="F3364" s="85"/>
      <c r="G3364" s="17"/>
      <c r="H3364" s="38"/>
      <c r="I3364" s="56"/>
    </row>
    <row r="3365" spans="1:9" customFormat="1" ht="21.95" customHeight="1" x14ac:dyDescent="0.15">
      <c r="A3365" s="17"/>
      <c r="B3365" s="37"/>
      <c r="C3365" s="37"/>
      <c r="D3365" s="40"/>
      <c r="E3365" s="15"/>
      <c r="F3365" s="85"/>
      <c r="G3365" s="42"/>
      <c r="H3365" s="38"/>
      <c r="I3365" s="56"/>
    </row>
    <row r="3366" spans="1:9" customFormat="1" ht="21.95" customHeight="1" x14ac:dyDescent="0.15">
      <c r="A3366" s="17"/>
      <c r="B3366" s="37"/>
      <c r="C3366" s="37"/>
      <c r="D3366" s="40"/>
      <c r="E3366" s="15"/>
      <c r="F3366" s="85"/>
      <c r="G3366" s="17"/>
      <c r="H3366" s="38"/>
      <c r="I3366" s="56"/>
    </row>
    <row r="3367" spans="1:9" customFormat="1" ht="21.95" customHeight="1" x14ac:dyDescent="0.15">
      <c r="A3367" s="17"/>
      <c r="B3367" s="37"/>
      <c r="C3367" s="37"/>
      <c r="D3367" s="40"/>
      <c r="E3367" s="15"/>
      <c r="F3367" s="85"/>
      <c r="G3367" s="42"/>
      <c r="H3367" s="38"/>
      <c r="I3367" s="56"/>
    </row>
    <row r="3368" spans="1:9" customFormat="1" ht="21.95" customHeight="1" x14ac:dyDescent="0.15">
      <c r="A3368" s="17"/>
      <c r="B3368" s="37"/>
      <c r="C3368" s="37"/>
      <c r="D3368" s="40"/>
      <c r="E3368" s="15"/>
      <c r="F3368" s="85"/>
      <c r="G3368" s="17"/>
      <c r="H3368" s="38"/>
      <c r="I3368" s="56"/>
    </row>
    <row r="3369" spans="1:9" customFormat="1" ht="21.95" customHeight="1" x14ac:dyDescent="0.15">
      <c r="A3369" s="17"/>
      <c r="B3369" s="37"/>
      <c r="C3369" s="37"/>
      <c r="D3369" s="40"/>
      <c r="E3369" s="15"/>
      <c r="F3369" s="85"/>
      <c r="G3369" s="42"/>
      <c r="H3369" s="38"/>
      <c r="I3369" s="56"/>
    </row>
    <row r="3370" spans="1:9" customFormat="1" ht="21.95" customHeight="1" x14ac:dyDescent="0.15">
      <c r="A3370" s="17"/>
      <c r="B3370" s="37"/>
      <c r="C3370" s="37"/>
      <c r="D3370" s="40"/>
      <c r="E3370" s="15"/>
      <c r="F3370" s="85"/>
      <c r="G3370" s="17"/>
      <c r="H3370" s="38"/>
      <c r="I3370" s="56"/>
    </row>
    <row r="3371" spans="1:9" customFormat="1" ht="21.95" customHeight="1" x14ac:dyDescent="0.15">
      <c r="A3371" s="17"/>
      <c r="B3371" s="37"/>
      <c r="C3371" s="37"/>
      <c r="D3371" s="40"/>
      <c r="E3371" s="15"/>
      <c r="F3371" s="85"/>
      <c r="G3371" s="42"/>
      <c r="H3371" s="38"/>
      <c r="I3371" s="56"/>
    </row>
    <row r="3372" spans="1:9" ht="21.95" customHeight="1" x14ac:dyDescent="0.15">
      <c r="A3372" s="17"/>
      <c r="B3372" s="37"/>
      <c r="C3372" s="37"/>
      <c r="D3372" s="37"/>
      <c r="E3372" s="15"/>
      <c r="F3372" s="85"/>
      <c r="G3372" s="17"/>
      <c r="H3372" s="38"/>
    </row>
    <row r="3373" spans="1:9" ht="21.95" customHeight="1" x14ac:dyDescent="0.15">
      <c r="A3373" s="17"/>
      <c r="B3373" s="37"/>
      <c r="C3373" s="37"/>
      <c r="D3373" s="37"/>
      <c r="E3373" s="15"/>
      <c r="F3373" s="85"/>
      <c r="H3373" s="38"/>
    </row>
    <row r="3374" spans="1:9" ht="21.95" customHeight="1" x14ac:dyDescent="0.15">
      <c r="A3374" s="17"/>
      <c r="B3374" s="37"/>
      <c r="C3374" s="37"/>
      <c r="D3374" s="37"/>
      <c r="E3374" s="15"/>
      <c r="F3374" s="85"/>
      <c r="H3374" s="38"/>
    </row>
    <row r="3375" spans="1:9" ht="21.95" customHeight="1" x14ac:dyDescent="0.15">
      <c r="A3375" s="17"/>
      <c r="B3375" s="37"/>
      <c r="C3375" s="37"/>
      <c r="D3375" s="37"/>
      <c r="E3375" s="15"/>
      <c r="F3375" s="85"/>
      <c r="G3375" s="17"/>
      <c r="H3375" s="38"/>
    </row>
    <row r="3376" spans="1:9" customFormat="1" ht="21.95" customHeight="1" x14ac:dyDescent="0.15">
      <c r="A3376" s="17"/>
      <c r="B3376" s="37"/>
      <c r="C3376" s="37"/>
      <c r="D3376" s="37"/>
      <c r="E3376" s="15"/>
      <c r="F3376" s="85"/>
      <c r="G3376" s="17"/>
      <c r="H3376" s="38"/>
      <c r="I3376" s="42"/>
    </row>
    <row r="3377" spans="1:9" customFormat="1" ht="21.95" customHeight="1" x14ac:dyDescent="0.15">
      <c r="A3377" s="17"/>
      <c r="B3377" s="37"/>
      <c r="C3377" s="37"/>
      <c r="D3377" s="37"/>
      <c r="E3377" s="15"/>
      <c r="F3377" s="85"/>
      <c r="G3377" s="17"/>
      <c r="H3377" s="38"/>
      <c r="I3377" s="42"/>
    </row>
    <row r="3378" spans="1:9" customFormat="1" ht="21.95" customHeight="1" x14ac:dyDescent="0.15">
      <c r="A3378" s="17"/>
      <c r="B3378" s="37"/>
      <c r="C3378" s="37"/>
      <c r="D3378" s="37"/>
      <c r="E3378" s="15"/>
      <c r="F3378" s="85"/>
      <c r="G3378" s="17"/>
      <c r="H3378" s="38"/>
      <c r="I3378" s="42"/>
    </row>
    <row r="3379" spans="1:9" customFormat="1" ht="21.95" customHeight="1" x14ac:dyDescent="0.15">
      <c r="A3379" s="17"/>
      <c r="B3379" s="37"/>
      <c r="C3379" s="37"/>
      <c r="D3379" s="37"/>
      <c r="E3379" s="15"/>
      <c r="F3379" s="85"/>
      <c r="G3379" s="17"/>
      <c r="H3379" s="38"/>
      <c r="I3379" s="42"/>
    </row>
    <row r="3380" spans="1:9" customFormat="1" ht="21.95" customHeight="1" x14ac:dyDescent="0.15">
      <c r="A3380" s="17"/>
      <c r="B3380" s="37"/>
      <c r="C3380" s="37"/>
      <c r="D3380" s="37"/>
      <c r="E3380" s="15"/>
      <c r="F3380" s="85"/>
      <c r="G3380" s="17"/>
      <c r="H3380" s="38"/>
      <c r="I3380" s="42"/>
    </row>
    <row r="3381" spans="1:9" customFormat="1" ht="21.95" customHeight="1" x14ac:dyDescent="0.15">
      <c r="A3381" s="17"/>
      <c r="B3381" s="37"/>
      <c r="C3381" s="37"/>
      <c r="D3381" s="37"/>
      <c r="E3381" s="15"/>
      <c r="F3381" s="85"/>
      <c r="G3381" s="17"/>
      <c r="H3381" s="38"/>
      <c r="I3381" s="42"/>
    </row>
    <row r="3382" spans="1:9" customFormat="1" ht="21.95" customHeight="1" x14ac:dyDescent="0.15">
      <c r="A3382" s="17"/>
      <c r="B3382" s="37"/>
      <c r="C3382" s="37"/>
      <c r="D3382" s="37"/>
      <c r="E3382" s="15"/>
      <c r="F3382" s="85"/>
      <c r="G3382" s="17"/>
      <c r="H3382" s="38"/>
      <c r="I3382" s="42"/>
    </row>
    <row r="3383" spans="1:9" customFormat="1" ht="21.95" customHeight="1" x14ac:dyDescent="0.15">
      <c r="A3383" s="17"/>
      <c r="B3383" s="37"/>
      <c r="C3383" s="37"/>
      <c r="D3383" s="37"/>
      <c r="E3383" s="15"/>
      <c r="F3383" s="85"/>
      <c r="G3383" s="17"/>
      <c r="H3383" s="38"/>
      <c r="I3383" s="42"/>
    </row>
    <row r="3384" spans="1:9" customFormat="1" ht="21.95" customHeight="1" x14ac:dyDescent="0.15">
      <c r="A3384" s="17"/>
      <c r="B3384" s="37"/>
      <c r="C3384" s="37"/>
      <c r="D3384" s="37"/>
      <c r="E3384" s="15"/>
      <c r="F3384" s="85"/>
      <c r="G3384" s="17"/>
      <c r="H3384" s="38"/>
      <c r="I3384" s="42"/>
    </row>
    <row r="3385" spans="1:9" customFormat="1" ht="21.95" customHeight="1" x14ac:dyDescent="0.15">
      <c r="A3385" s="17"/>
      <c r="B3385" s="37"/>
      <c r="C3385" s="37"/>
      <c r="D3385" s="37"/>
      <c r="E3385" s="15"/>
      <c r="F3385" s="85"/>
      <c r="G3385" s="17"/>
      <c r="H3385" s="38"/>
      <c r="I3385" s="56"/>
    </row>
    <row r="3386" spans="1:9" customFormat="1" ht="21.95" customHeight="1" x14ac:dyDescent="0.15">
      <c r="A3386" s="17"/>
      <c r="B3386" s="37"/>
      <c r="C3386" s="37"/>
      <c r="D3386" s="37"/>
      <c r="E3386" s="15"/>
      <c r="F3386" s="85"/>
      <c r="G3386" s="17"/>
      <c r="H3386" s="38"/>
      <c r="I3386" s="56"/>
    </row>
    <row r="3387" spans="1:9" customFormat="1" ht="32.1" customHeight="1" x14ac:dyDescent="0.15">
      <c r="A3387" s="17"/>
      <c r="B3387" s="37"/>
      <c r="C3387" s="37"/>
      <c r="D3387" s="37"/>
      <c r="E3387" s="15"/>
      <c r="F3387" s="85"/>
      <c r="G3387" s="17"/>
      <c r="H3387" s="38"/>
      <c r="I3387" s="56"/>
    </row>
    <row r="3388" spans="1:9" customFormat="1" ht="32.1" customHeight="1" x14ac:dyDescent="0.15">
      <c r="A3388" s="17"/>
      <c r="B3388" s="37"/>
      <c r="C3388" s="37"/>
      <c r="D3388" s="37"/>
      <c r="E3388" s="15"/>
      <c r="F3388" s="85"/>
      <c r="G3388" s="17"/>
      <c r="H3388" s="38"/>
      <c r="I3388" s="56"/>
    </row>
    <row r="3389" spans="1:9" customFormat="1" ht="32.1" customHeight="1" x14ac:dyDescent="0.15">
      <c r="A3389" s="17"/>
      <c r="B3389" s="37"/>
      <c r="C3389" s="37"/>
      <c r="D3389" s="37"/>
      <c r="E3389" s="15"/>
      <c r="F3389" s="85"/>
      <c r="G3389" s="17"/>
      <c r="H3389" s="38"/>
      <c r="I3389" s="56"/>
    </row>
    <row r="3390" spans="1:9" customFormat="1" ht="32.1" customHeight="1" x14ac:dyDescent="0.15">
      <c r="A3390" s="17"/>
      <c r="B3390" s="37"/>
      <c r="C3390" s="37"/>
      <c r="D3390" s="37"/>
      <c r="E3390" s="15"/>
      <c r="F3390" s="85"/>
      <c r="G3390" s="17"/>
      <c r="H3390" s="38"/>
      <c r="I3390" s="56"/>
    </row>
    <row r="3391" spans="1:9" customFormat="1" ht="32.1" customHeight="1" x14ac:dyDescent="0.15">
      <c r="A3391" s="17"/>
      <c r="B3391" s="37"/>
      <c r="C3391" s="37"/>
      <c r="D3391" s="37"/>
      <c r="E3391" s="15"/>
      <c r="F3391" s="85"/>
      <c r="G3391" s="17"/>
      <c r="H3391" s="38"/>
      <c r="I3391" s="56"/>
    </row>
    <row r="3392" spans="1:9" customFormat="1" ht="32.1" customHeight="1" x14ac:dyDescent="0.15">
      <c r="A3392" s="17"/>
      <c r="B3392" s="37"/>
      <c r="C3392" s="37"/>
      <c r="D3392" s="37"/>
      <c r="E3392" s="15"/>
      <c r="F3392" s="85"/>
      <c r="G3392" s="17"/>
      <c r="H3392" s="38"/>
      <c r="I3392" s="56"/>
    </row>
    <row r="3393" spans="1:9" ht="32.1" customHeight="1" x14ac:dyDescent="0.15">
      <c r="A3393" s="17"/>
      <c r="B3393" s="37"/>
      <c r="C3393" s="37"/>
      <c r="D3393" s="37"/>
      <c r="E3393" s="15"/>
      <c r="F3393" s="85"/>
      <c r="G3393" s="17"/>
      <c r="H3393" s="38"/>
      <c r="I3393" s="37"/>
    </row>
    <row r="3394" spans="1:9" ht="32.1" customHeight="1" x14ac:dyDescent="0.15">
      <c r="A3394" s="17"/>
      <c r="B3394" s="37"/>
      <c r="C3394" s="37"/>
      <c r="D3394" s="37"/>
      <c r="E3394" s="15"/>
      <c r="F3394" s="37"/>
      <c r="G3394" s="17"/>
      <c r="H3394" s="38"/>
      <c r="I3394" s="37"/>
    </row>
    <row r="3395" spans="1:9" ht="32.1" customHeight="1" x14ac:dyDescent="0.15">
      <c r="A3395" s="17"/>
      <c r="B3395" s="37"/>
      <c r="C3395" s="37"/>
      <c r="D3395" s="37"/>
      <c r="E3395" s="15"/>
      <c r="F3395" s="37"/>
      <c r="G3395" s="17"/>
      <c r="H3395" s="38"/>
      <c r="I3395" s="37"/>
    </row>
    <row r="3396" spans="1:9" ht="32.1" customHeight="1" x14ac:dyDescent="0.15">
      <c r="A3396" s="17"/>
      <c r="B3396" s="37"/>
      <c r="C3396" s="37"/>
      <c r="D3396" s="37"/>
      <c r="E3396" s="15"/>
      <c r="F3396" s="37"/>
      <c r="G3396" s="17"/>
      <c r="H3396" s="38"/>
      <c r="I3396" s="37"/>
    </row>
    <row r="3397" spans="1:9" ht="21.95" customHeight="1" x14ac:dyDescent="0.15">
      <c r="A3397" s="17"/>
      <c r="B3397" s="37"/>
      <c r="C3397" s="37"/>
      <c r="D3397" s="37"/>
      <c r="E3397" s="15"/>
      <c r="F3397" s="37"/>
      <c r="G3397" s="17"/>
      <c r="H3397" s="38"/>
      <c r="I3397" s="37"/>
    </row>
    <row r="3398" spans="1:9" ht="54" customHeight="1" x14ac:dyDescent="0.15">
      <c r="A3398" s="17"/>
      <c r="B3398" s="37"/>
      <c r="C3398" s="37"/>
      <c r="D3398" s="37"/>
      <c r="E3398" s="15"/>
      <c r="F3398" s="37"/>
      <c r="G3398" s="17"/>
      <c r="H3398" s="38"/>
      <c r="I3398" s="37"/>
    </row>
    <row r="3399" spans="1:9" ht="21.95" customHeight="1" x14ac:dyDescent="0.15">
      <c r="A3399" s="17"/>
      <c r="B3399" s="37"/>
      <c r="C3399" s="37"/>
      <c r="D3399" s="37"/>
      <c r="E3399" s="15"/>
      <c r="F3399" s="37"/>
      <c r="G3399" s="17"/>
      <c r="H3399" s="38"/>
      <c r="I3399" s="37"/>
    </row>
    <row r="3400" spans="1:9" ht="21.95" customHeight="1" x14ac:dyDescent="0.15">
      <c r="A3400" s="17"/>
      <c r="B3400" s="37"/>
      <c r="C3400" s="37"/>
      <c r="D3400" s="37"/>
      <c r="E3400" s="15"/>
      <c r="F3400" s="37"/>
      <c r="G3400" s="17"/>
      <c r="H3400" s="38"/>
      <c r="I3400" s="37"/>
    </row>
    <row r="3401" spans="1:9" ht="21.95" customHeight="1" x14ac:dyDescent="0.15">
      <c r="A3401" s="17"/>
      <c r="B3401" s="37"/>
      <c r="C3401" s="37"/>
      <c r="D3401" s="37"/>
      <c r="E3401" s="15"/>
      <c r="F3401" s="37"/>
      <c r="G3401" s="17"/>
      <c r="H3401" s="38"/>
      <c r="I3401" s="37"/>
    </row>
    <row r="3402" spans="1:9" ht="21.95" customHeight="1" x14ac:dyDescent="0.15">
      <c r="A3402" s="17"/>
      <c r="B3402" s="37"/>
      <c r="C3402" s="37"/>
      <c r="D3402" s="37"/>
      <c r="E3402" s="15"/>
      <c r="F3402" s="37"/>
      <c r="G3402" s="17"/>
      <c r="H3402" s="38"/>
      <c r="I3402" s="37"/>
    </row>
    <row r="3403" spans="1:9" ht="21.95" customHeight="1" x14ac:dyDescent="0.15">
      <c r="A3403" s="17"/>
      <c r="B3403" s="37"/>
      <c r="C3403" s="37"/>
      <c r="E3403" s="15"/>
      <c r="G3403" s="17"/>
      <c r="H3403" s="38"/>
    </row>
    <row r="3404" spans="1:9" ht="21.95" customHeight="1" x14ac:dyDescent="0.15">
      <c r="A3404" s="17"/>
      <c r="B3404" s="37"/>
      <c r="C3404" s="37"/>
      <c r="E3404" s="15"/>
      <c r="G3404" s="17"/>
      <c r="H3404" s="38"/>
    </row>
    <row r="3405" spans="1:9" ht="21.95" customHeight="1" x14ac:dyDescent="0.15">
      <c r="A3405" s="17"/>
      <c r="B3405" s="37"/>
      <c r="C3405" s="37"/>
      <c r="E3405" s="15"/>
      <c r="F3405" s="37"/>
      <c r="G3405" s="13"/>
      <c r="H3405" s="38"/>
    </row>
    <row r="3406" spans="1:9" ht="21.95" customHeight="1" x14ac:dyDescent="0.15">
      <c r="A3406" s="17"/>
      <c r="B3406" s="37"/>
      <c r="C3406" s="37"/>
      <c r="E3406" s="15"/>
      <c r="F3406" s="37"/>
      <c r="G3406" s="13"/>
      <c r="H3406" s="38"/>
    </row>
    <row r="3407" spans="1:9" ht="21.95" customHeight="1" x14ac:dyDescent="0.15">
      <c r="A3407" s="17"/>
      <c r="B3407" s="37"/>
      <c r="C3407" s="37"/>
      <c r="D3407" s="37"/>
      <c r="E3407" s="15"/>
      <c r="F3407" s="37"/>
      <c r="G3407" s="13"/>
      <c r="H3407" s="38"/>
    </row>
    <row r="3408" spans="1:9" ht="21.95" customHeight="1" x14ac:dyDescent="0.15">
      <c r="A3408" s="17"/>
      <c r="B3408" s="37"/>
      <c r="C3408" s="37"/>
      <c r="D3408" s="37"/>
      <c r="E3408" s="15"/>
      <c r="F3408" s="37"/>
      <c r="G3408" s="13"/>
      <c r="H3408" s="38"/>
    </row>
    <row r="3409" spans="1:8" ht="21.95" customHeight="1" x14ac:dyDescent="0.15">
      <c r="A3409" s="17"/>
      <c r="B3409" s="37"/>
      <c r="C3409" s="37"/>
      <c r="D3409" s="37"/>
      <c r="E3409" s="15"/>
      <c r="F3409" s="37"/>
      <c r="G3409" s="13"/>
      <c r="H3409" s="38"/>
    </row>
    <row r="3410" spans="1:8" ht="21.95" customHeight="1" x14ac:dyDescent="0.15">
      <c r="A3410" s="17"/>
      <c r="B3410" s="37"/>
      <c r="C3410" s="37"/>
      <c r="D3410" s="37"/>
      <c r="E3410" s="15"/>
      <c r="F3410" s="37"/>
      <c r="G3410" s="13"/>
      <c r="H3410" s="38"/>
    </row>
    <row r="3411" spans="1:8" ht="21.95" customHeight="1" x14ac:dyDescent="0.15">
      <c r="A3411" s="17"/>
      <c r="B3411" s="37"/>
      <c r="C3411" s="37"/>
      <c r="D3411" s="37"/>
      <c r="E3411" s="15"/>
      <c r="F3411" s="37"/>
      <c r="G3411" s="13"/>
      <c r="H3411" s="38"/>
    </row>
    <row r="3412" spans="1:8" ht="21.95" customHeight="1" x14ac:dyDescent="0.15">
      <c r="A3412" s="17"/>
      <c r="B3412" s="37"/>
      <c r="C3412" s="37"/>
      <c r="D3412" s="37"/>
      <c r="E3412" s="15"/>
      <c r="F3412" s="37"/>
      <c r="G3412" s="13"/>
      <c r="H3412" s="38"/>
    </row>
    <row r="3413" spans="1:8" ht="21.95" customHeight="1" x14ac:dyDescent="0.15">
      <c r="A3413" s="17"/>
      <c r="B3413" s="37"/>
      <c r="C3413" s="37"/>
      <c r="D3413" s="37"/>
      <c r="E3413" s="15"/>
      <c r="F3413" s="37"/>
      <c r="G3413" s="13"/>
      <c r="H3413" s="38"/>
    </row>
    <row r="3414" spans="1:8" ht="21.95" customHeight="1" x14ac:dyDescent="0.15">
      <c r="A3414" s="17"/>
      <c r="B3414" s="37"/>
      <c r="C3414" s="37"/>
      <c r="D3414" s="37"/>
      <c r="E3414" s="15"/>
      <c r="F3414" s="37"/>
      <c r="G3414" s="13"/>
      <c r="H3414" s="38"/>
    </row>
    <row r="3415" spans="1:8" ht="21.95" customHeight="1" x14ac:dyDescent="0.15">
      <c r="A3415" s="17"/>
      <c r="B3415" s="37"/>
      <c r="C3415" s="37"/>
      <c r="D3415" s="37"/>
      <c r="E3415" s="15"/>
      <c r="F3415" s="37"/>
      <c r="G3415" s="13"/>
      <c r="H3415" s="38"/>
    </row>
    <row r="3416" spans="1:8" ht="21.95" customHeight="1" x14ac:dyDescent="0.15">
      <c r="A3416" s="17"/>
      <c r="B3416" s="37"/>
      <c r="C3416" s="37"/>
      <c r="D3416" s="37"/>
      <c r="E3416" s="15"/>
      <c r="F3416" s="37"/>
      <c r="G3416" s="13"/>
      <c r="H3416" s="15"/>
    </row>
    <row r="3417" spans="1:8" ht="21.95" customHeight="1" x14ac:dyDescent="0.15">
      <c r="A3417" s="17"/>
      <c r="B3417" s="37"/>
      <c r="C3417" s="37"/>
      <c r="D3417" s="37"/>
      <c r="E3417" s="15"/>
      <c r="F3417" s="37"/>
      <c r="G3417" s="13"/>
      <c r="H3417" s="15"/>
    </row>
    <row r="3418" spans="1:8" ht="21.95" customHeight="1" x14ac:dyDescent="0.15">
      <c r="A3418" s="17"/>
      <c r="B3418" s="37"/>
      <c r="C3418" s="37"/>
      <c r="D3418" s="37"/>
      <c r="E3418" s="15"/>
      <c r="F3418" s="37"/>
      <c r="G3418" s="13"/>
      <c r="H3418" s="15"/>
    </row>
    <row r="3419" spans="1:8" ht="21.95" customHeight="1" x14ac:dyDescent="0.15">
      <c r="A3419" s="17"/>
      <c r="B3419" s="37"/>
      <c r="C3419" s="37"/>
      <c r="D3419" s="37"/>
      <c r="E3419" s="15"/>
      <c r="F3419" s="37"/>
      <c r="G3419" s="13"/>
      <c r="H3419" s="15"/>
    </row>
    <row r="3420" spans="1:8" ht="21.95" customHeight="1" x14ac:dyDescent="0.15">
      <c r="A3420" s="17"/>
      <c r="B3420" s="37"/>
      <c r="C3420" s="37"/>
      <c r="D3420" s="37"/>
      <c r="E3420" s="15"/>
      <c r="F3420" s="37"/>
      <c r="G3420" s="13"/>
      <c r="H3420" s="15"/>
    </row>
    <row r="3421" spans="1:8" ht="21.95" customHeight="1" x14ac:dyDescent="0.15">
      <c r="A3421" s="17"/>
      <c r="B3421" s="37"/>
      <c r="C3421" s="37"/>
      <c r="D3421" s="37"/>
      <c r="E3421" s="15"/>
      <c r="F3421" s="37"/>
      <c r="G3421" s="13"/>
      <c r="H3421" s="15"/>
    </row>
    <row r="3422" spans="1:8" ht="21.95" customHeight="1" x14ac:dyDescent="0.15">
      <c r="A3422" s="17"/>
      <c r="B3422" s="37"/>
      <c r="C3422" s="37"/>
      <c r="D3422" s="37"/>
      <c r="E3422" s="15"/>
      <c r="F3422" s="37"/>
      <c r="G3422" s="13"/>
      <c r="H3422" s="15"/>
    </row>
    <row r="3423" spans="1:8" ht="21.95" customHeight="1" x14ac:dyDescent="0.15">
      <c r="A3423" s="17"/>
      <c r="B3423" s="37"/>
      <c r="C3423" s="37"/>
      <c r="D3423" s="37"/>
      <c r="E3423" s="15"/>
      <c r="F3423" s="37"/>
      <c r="G3423" s="13"/>
      <c r="H3423" s="15"/>
    </row>
    <row r="3424" spans="1:8" ht="21.95" customHeight="1" x14ac:dyDescent="0.15">
      <c r="A3424" s="17"/>
      <c r="B3424" s="37"/>
      <c r="C3424" s="37"/>
      <c r="D3424" s="37"/>
      <c r="E3424" s="15"/>
      <c r="F3424" s="37"/>
      <c r="G3424" s="13"/>
      <c r="H3424" s="15"/>
    </row>
    <row r="3425" spans="1:8" ht="21.95" customHeight="1" x14ac:dyDescent="0.15">
      <c r="A3425" s="17"/>
      <c r="B3425" s="37"/>
      <c r="C3425" s="37"/>
      <c r="D3425" s="37"/>
      <c r="E3425" s="15"/>
      <c r="F3425" s="37"/>
      <c r="G3425" s="13"/>
      <c r="H3425" s="15"/>
    </row>
    <row r="3426" spans="1:8" ht="21.95" customHeight="1" x14ac:dyDescent="0.15">
      <c r="A3426" s="17"/>
      <c r="B3426" s="37"/>
      <c r="C3426" s="37"/>
      <c r="D3426" s="37"/>
      <c r="E3426" s="15"/>
      <c r="F3426" s="37"/>
      <c r="G3426" s="13"/>
      <c r="H3426" s="15"/>
    </row>
    <row r="3427" spans="1:8" ht="21.95" customHeight="1" x14ac:dyDescent="0.15">
      <c r="A3427" s="17"/>
      <c r="B3427" s="37"/>
      <c r="C3427" s="37"/>
      <c r="D3427" s="37"/>
      <c r="E3427" s="15"/>
      <c r="F3427" s="37"/>
      <c r="G3427" s="13"/>
      <c r="H3427" s="15"/>
    </row>
    <row r="3428" spans="1:8" ht="21.95" customHeight="1" x14ac:dyDescent="0.15">
      <c r="A3428" s="17"/>
      <c r="B3428" s="37"/>
      <c r="C3428" s="37"/>
      <c r="D3428" s="37"/>
      <c r="E3428" s="15"/>
      <c r="F3428" s="37"/>
      <c r="G3428" s="13"/>
      <c r="H3428" s="15"/>
    </row>
    <row r="3429" spans="1:8" ht="21.95" customHeight="1" x14ac:dyDescent="0.15">
      <c r="A3429" s="17"/>
      <c r="B3429" s="37"/>
      <c r="C3429" s="37"/>
      <c r="D3429" s="37"/>
      <c r="E3429" s="15"/>
      <c r="F3429" s="37"/>
      <c r="G3429" s="13"/>
      <c r="H3429" s="15"/>
    </row>
    <row r="3430" spans="1:8" ht="21.95" customHeight="1" x14ac:dyDescent="0.15">
      <c r="A3430" s="17"/>
      <c r="B3430" s="37"/>
      <c r="C3430" s="37"/>
      <c r="D3430" s="37"/>
      <c r="E3430" s="15"/>
      <c r="F3430" s="37"/>
      <c r="G3430" s="13"/>
      <c r="H3430" s="15"/>
    </row>
    <row r="3431" spans="1:8" ht="21.95" customHeight="1" x14ac:dyDescent="0.15">
      <c r="A3431" s="17"/>
      <c r="B3431" s="37"/>
      <c r="C3431" s="37"/>
      <c r="D3431" s="37"/>
      <c r="E3431" s="15"/>
      <c r="F3431" s="37"/>
      <c r="G3431" s="13"/>
      <c r="H3431" s="15"/>
    </row>
    <row r="3432" spans="1:8" ht="21.95" customHeight="1" x14ac:dyDescent="0.15">
      <c r="A3432" s="17"/>
      <c r="B3432" s="37"/>
      <c r="C3432" s="37"/>
      <c r="D3432" s="37"/>
      <c r="E3432" s="15"/>
      <c r="F3432" s="37"/>
      <c r="G3432" s="13"/>
      <c r="H3432" s="15"/>
    </row>
    <row r="3433" spans="1:8" ht="21.95" customHeight="1" x14ac:dyDescent="0.15">
      <c r="A3433" s="17"/>
      <c r="B3433" s="37"/>
      <c r="C3433" s="37"/>
      <c r="D3433" s="37"/>
      <c r="E3433" s="15"/>
      <c r="F3433" s="37"/>
      <c r="G3433" s="13"/>
      <c r="H3433" s="15"/>
    </row>
    <row r="3434" spans="1:8" ht="21.95" customHeight="1" x14ac:dyDescent="0.15">
      <c r="A3434" s="17"/>
      <c r="B3434" s="37"/>
      <c r="C3434" s="37"/>
      <c r="D3434" s="37"/>
      <c r="E3434" s="15"/>
      <c r="F3434" s="37"/>
      <c r="G3434" s="37"/>
      <c r="H3434" s="15"/>
    </row>
    <row r="3435" spans="1:8" ht="21.95" customHeight="1" x14ac:dyDescent="0.15">
      <c r="A3435" s="17"/>
      <c r="B3435" s="37"/>
      <c r="C3435" s="37"/>
      <c r="D3435" s="37"/>
      <c r="E3435" s="15"/>
      <c r="F3435" s="37"/>
      <c r="G3435" s="13"/>
      <c r="H3435" s="15"/>
    </row>
    <row r="3436" spans="1:8" ht="21.95" customHeight="1" x14ac:dyDescent="0.15">
      <c r="A3436" s="17"/>
      <c r="B3436" s="37"/>
      <c r="C3436" s="37"/>
      <c r="D3436" s="37"/>
      <c r="E3436" s="15"/>
      <c r="F3436" s="37"/>
      <c r="G3436" s="13"/>
      <c r="H3436" s="15"/>
    </row>
    <row r="3437" spans="1:8" ht="21.95" customHeight="1" x14ac:dyDescent="0.15">
      <c r="A3437" s="17"/>
      <c r="B3437" s="37"/>
      <c r="C3437" s="37"/>
      <c r="D3437" s="37"/>
      <c r="E3437" s="15"/>
      <c r="F3437" s="37"/>
      <c r="G3437" s="13"/>
      <c r="H3437" s="15"/>
    </row>
    <row r="3438" spans="1:8" ht="21.95" customHeight="1" x14ac:dyDescent="0.15">
      <c r="A3438" s="17"/>
      <c r="B3438" s="37"/>
      <c r="C3438" s="37"/>
      <c r="D3438" s="37"/>
      <c r="E3438" s="15"/>
      <c r="F3438" s="37"/>
      <c r="G3438" s="13"/>
      <c r="H3438" s="15"/>
    </row>
    <row r="3439" spans="1:8" ht="21.95" customHeight="1" x14ac:dyDescent="0.15">
      <c r="A3439" s="17"/>
      <c r="B3439" s="37"/>
      <c r="C3439" s="37"/>
      <c r="D3439" s="37"/>
      <c r="E3439" s="15"/>
      <c r="F3439" s="37"/>
      <c r="G3439" s="13"/>
      <c r="H3439" s="15"/>
    </row>
    <row r="3440" spans="1:8" ht="21.95" customHeight="1" x14ac:dyDescent="0.15">
      <c r="A3440" s="17"/>
      <c r="B3440" s="37"/>
      <c r="C3440" s="37"/>
      <c r="D3440" s="37"/>
      <c r="E3440" s="15"/>
      <c r="F3440" s="37"/>
      <c r="G3440" s="13"/>
      <c r="H3440" s="15"/>
    </row>
    <row r="3441" spans="1:9" ht="21.95" customHeight="1" x14ac:dyDescent="0.15">
      <c r="A3441" s="17"/>
      <c r="B3441" s="37"/>
      <c r="C3441" s="37"/>
      <c r="D3441" s="37"/>
      <c r="E3441" s="15"/>
      <c r="F3441" s="37"/>
      <c r="G3441" s="13"/>
      <c r="H3441" s="15"/>
    </row>
    <row r="3442" spans="1:9" ht="21.95" customHeight="1" x14ac:dyDescent="0.15">
      <c r="A3442" s="17"/>
      <c r="B3442" s="37"/>
      <c r="C3442" s="37"/>
      <c r="D3442" s="37"/>
      <c r="E3442" s="15"/>
      <c r="F3442" s="37"/>
      <c r="G3442" s="13"/>
      <c r="H3442" s="15"/>
    </row>
    <row r="3443" spans="1:9" ht="21.95" customHeight="1" x14ac:dyDescent="0.15">
      <c r="A3443" s="17"/>
      <c r="B3443" s="37"/>
      <c r="C3443" s="37"/>
      <c r="D3443" s="37"/>
      <c r="E3443" s="15"/>
      <c r="F3443" s="37"/>
      <c r="G3443" s="13"/>
      <c r="H3443" s="15"/>
    </row>
    <row r="3444" spans="1:9" ht="21.95" customHeight="1" x14ac:dyDescent="0.15">
      <c r="A3444" s="17"/>
      <c r="B3444" s="37"/>
      <c r="C3444" s="37"/>
      <c r="D3444" s="37"/>
      <c r="E3444" s="15"/>
      <c r="F3444" s="37"/>
      <c r="G3444" s="13"/>
      <c r="H3444" s="15"/>
    </row>
    <row r="3445" spans="1:9" ht="21.95" customHeight="1" x14ac:dyDescent="0.15">
      <c r="A3445" s="17"/>
      <c r="B3445" s="37"/>
      <c r="C3445" s="37"/>
      <c r="D3445" s="37"/>
      <c r="E3445" s="15"/>
      <c r="F3445" s="37"/>
      <c r="G3445" s="13"/>
      <c r="H3445" s="15"/>
    </row>
    <row r="3446" spans="1:9" ht="21.95" customHeight="1" x14ac:dyDescent="0.15">
      <c r="A3446" s="17"/>
      <c r="B3446" s="37"/>
      <c r="C3446" s="37"/>
      <c r="D3446" s="37"/>
      <c r="E3446" s="15"/>
      <c r="F3446" s="37"/>
      <c r="G3446" s="13"/>
      <c r="H3446" s="15"/>
    </row>
    <row r="3447" spans="1:9" ht="21.95" customHeight="1" x14ac:dyDescent="0.15">
      <c r="A3447" s="17"/>
      <c r="B3447" s="37"/>
      <c r="C3447" s="37"/>
      <c r="D3447" s="37"/>
      <c r="E3447" s="15"/>
      <c r="F3447" s="37"/>
      <c r="G3447" s="13"/>
      <c r="H3447" s="38"/>
      <c r="I3447" s="84"/>
    </row>
    <row r="3448" spans="1:9" ht="21.95" customHeight="1" x14ac:dyDescent="0.15">
      <c r="A3448" s="17"/>
      <c r="B3448" s="37"/>
      <c r="C3448" s="37"/>
      <c r="D3448" s="37"/>
      <c r="E3448" s="15"/>
      <c r="F3448" s="37"/>
      <c r="G3448" s="13"/>
      <c r="H3448" s="15"/>
      <c r="I3448" s="84"/>
    </row>
    <row r="3449" spans="1:9" ht="35.1" customHeight="1" x14ac:dyDescent="0.15">
      <c r="A3449" s="17"/>
      <c r="B3449" s="37"/>
      <c r="C3449" s="37"/>
      <c r="D3449" s="37"/>
      <c r="E3449" s="15"/>
      <c r="F3449" s="15"/>
      <c r="G3449" s="37"/>
      <c r="H3449" s="15"/>
    </row>
    <row r="3450" spans="1:9" ht="21.95" customHeight="1" x14ac:dyDescent="0.15">
      <c r="A3450" s="17"/>
      <c r="B3450" s="37"/>
      <c r="C3450" s="37"/>
      <c r="D3450" s="37"/>
      <c r="E3450" s="15"/>
      <c r="F3450" s="37"/>
      <c r="G3450" s="13"/>
      <c r="H3450" s="15"/>
    </row>
    <row r="3451" spans="1:9" ht="21.95" customHeight="1" x14ac:dyDescent="0.15">
      <c r="A3451" s="17"/>
      <c r="B3451" s="37"/>
      <c r="C3451" s="37"/>
      <c r="D3451" s="37"/>
      <c r="E3451" s="15"/>
      <c r="F3451" s="37"/>
      <c r="G3451" s="13"/>
      <c r="H3451" s="15"/>
    </row>
    <row r="3452" spans="1:9" ht="21.95" customHeight="1" x14ac:dyDescent="0.15">
      <c r="A3452" s="17"/>
      <c r="B3452" s="37"/>
      <c r="C3452" s="37"/>
      <c r="D3452" s="37"/>
      <c r="E3452" s="15"/>
      <c r="F3452" s="37"/>
      <c r="G3452" s="13"/>
      <c r="H3452" s="15"/>
    </row>
    <row r="3453" spans="1:9" ht="21.95" customHeight="1" x14ac:dyDescent="0.15">
      <c r="A3453" s="17"/>
      <c r="B3453" s="37"/>
      <c r="C3453" s="37"/>
      <c r="D3453" s="37"/>
      <c r="E3453" s="15"/>
      <c r="F3453" s="37"/>
      <c r="G3453" s="13"/>
      <c r="H3453" s="15"/>
    </row>
    <row r="3454" spans="1:9" ht="21.95" customHeight="1" x14ac:dyDescent="0.15">
      <c r="A3454" s="17"/>
      <c r="B3454" s="37"/>
      <c r="C3454" s="37"/>
      <c r="D3454" s="37"/>
      <c r="E3454" s="15"/>
      <c r="F3454" s="37"/>
      <c r="G3454" s="13"/>
      <c r="H3454" s="15"/>
    </row>
    <row r="3455" spans="1:9" ht="21.95" customHeight="1" x14ac:dyDescent="0.15">
      <c r="A3455" s="17"/>
      <c r="B3455" s="37"/>
      <c r="C3455" s="37"/>
      <c r="D3455" s="37"/>
      <c r="E3455" s="15"/>
      <c r="F3455" s="37"/>
      <c r="G3455" s="13"/>
      <c r="H3455" s="15"/>
      <c r="I3455" s="37"/>
    </row>
    <row r="3456" spans="1:9" ht="21.95" customHeight="1" x14ac:dyDescent="0.15">
      <c r="A3456" s="76"/>
      <c r="B3456" s="76"/>
      <c r="C3456" s="76"/>
      <c r="D3456" s="76"/>
      <c r="E3456" s="76"/>
      <c r="F3456" s="76"/>
      <c r="G3456" s="76"/>
      <c r="H3456" s="76"/>
      <c r="I3456" s="76"/>
    </row>
    <row r="3457" s="76" customFormat="1" ht="21.95" customHeight="1" x14ac:dyDescent="0.15"/>
    <row r="3458" s="76" customFormat="1" ht="21.95" customHeight="1" x14ac:dyDescent="0.15"/>
    <row r="3459" s="76" customFormat="1" ht="21.95" customHeight="1" x14ac:dyDescent="0.15"/>
    <row r="3460" s="76" customFormat="1" ht="21.95" customHeight="1" x14ac:dyDescent="0.15"/>
    <row r="3461" s="76" customFormat="1" ht="21.95" customHeight="1" x14ac:dyDescent="0.15"/>
    <row r="3462" s="76" customFormat="1" ht="21.95" customHeight="1" x14ac:dyDescent="0.15"/>
    <row r="3463" s="76" customFormat="1" ht="21.95" customHeight="1" x14ac:dyDescent="0.15"/>
    <row r="3464" s="76" customFormat="1" ht="21.95" customHeight="1" x14ac:dyDescent="0.15"/>
    <row r="3465" s="76" customFormat="1" ht="21.95" customHeight="1" x14ac:dyDescent="0.15"/>
    <row r="3466" s="76" customFormat="1" ht="21.95" customHeight="1" x14ac:dyDescent="0.15"/>
    <row r="3467" s="76" customFormat="1" ht="21.95" customHeight="1" x14ac:dyDescent="0.15"/>
    <row r="3468" s="76" customFormat="1" ht="21.95" customHeight="1" x14ac:dyDescent="0.15"/>
    <row r="3469" s="76" customFormat="1" ht="21.95" customHeight="1" x14ac:dyDescent="0.15"/>
    <row r="3470" s="76" customFormat="1" ht="21.95" customHeight="1" x14ac:dyDescent="0.15"/>
    <row r="3471" s="76" customFormat="1" ht="21.95" customHeight="1" x14ac:dyDescent="0.15"/>
    <row r="3472" s="76" customFormat="1" ht="21.95" customHeight="1" x14ac:dyDescent="0.15"/>
    <row r="3473" spans="3:3" customFormat="1" ht="21.95" customHeight="1" x14ac:dyDescent="0.15"/>
    <row r="3474" spans="3:3" customFormat="1" ht="21.95" customHeight="1" x14ac:dyDescent="0.15"/>
    <row r="3475" spans="3:3" customFormat="1" ht="21.95" customHeight="1" x14ac:dyDescent="0.15">
      <c r="C3475" s="94"/>
    </row>
    <row r="3476" spans="3:3" customFormat="1" ht="21.95" customHeight="1" x14ac:dyDescent="0.15">
      <c r="C3476" s="94"/>
    </row>
    <row r="3477" spans="3:3" customFormat="1" ht="21.95" customHeight="1" x14ac:dyDescent="0.15"/>
    <row r="3478" spans="3:3" customFormat="1" ht="21.95" customHeight="1" x14ac:dyDescent="0.15"/>
    <row r="3479" spans="3:3" customFormat="1" ht="21.95" customHeight="1" x14ac:dyDescent="0.15"/>
    <row r="3480" spans="3:3" customFormat="1" ht="21.95" customHeight="1" x14ac:dyDescent="0.15"/>
    <row r="3481" spans="3:3" customFormat="1" ht="21.95" customHeight="1" x14ac:dyDescent="0.15"/>
    <row r="3482" spans="3:3" customFormat="1" ht="21.95" customHeight="1" x14ac:dyDescent="0.15"/>
    <row r="3483" spans="3:3" customFormat="1" ht="21.95" customHeight="1" x14ac:dyDescent="0.15"/>
    <row r="3484" spans="3:3" s="76" customFormat="1" ht="21.95" customHeight="1" x14ac:dyDescent="0.15"/>
    <row r="3485" spans="3:3" s="76" customFormat="1" ht="21.95" customHeight="1" x14ac:dyDescent="0.15"/>
    <row r="3486" spans="3:3" s="76" customFormat="1" ht="21.95" customHeight="1" x14ac:dyDescent="0.15"/>
    <row r="3487" spans="3:3" s="76" customFormat="1" ht="21.95" customHeight="1" x14ac:dyDescent="0.15"/>
    <row r="3488" spans="3:3" customFormat="1" ht="21.95" customHeight="1" x14ac:dyDescent="0.15"/>
    <row r="3489" customFormat="1" ht="21.95" customHeight="1" x14ac:dyDescent="0.15"/>
    <row r="3490" customFormat="1" ht="21.95" customHeight="1" x14ac:dyDescent="0.15"/>
    <row r="3491" customFormat="1" ht="21.95" customHeight="1" x14ac:dyDescent="0.15"/>
    <row r="3492" customFormat="1" ht="21.95" customHeight="1" x14ac:dyDescent="0.15"/>
    <row r="3493" customFormat="1" ht="21.95" customHeight="1" x14ac:dyDescent="0.15"/>
    <row r="3494" customFormat="1" ht="21.95" customHeight="1" x14ac:dyDescent="0.15"/>
    <row r="3495" customFormat="1" ht="21.95" customHeight="1" x14ac:dyDescent="0.15"/>
    <row r="3496" customFormat="1" ht="21.95" customHeight="1" x14ac:dyDescent="0.15"/>
    <row r="3497" customFormat="1" ht="21.95" customHeight="1" x14ac:dyDescent="0.15"/>
    <row r="3498" customFormat="1" ht="21.95" customHeight="1" x14ac:dyDescent="0.15"/>
    <row r="3499" customFormat="1" ht="32.1" customHeight="1" x14ac:dyDescent="0.15"/>
    <row r="3500" customFormat="1" ht="32.1" customHeight="1" x14ac:dyDescent="0.15"/>
    <row r="3501" customFormat="1" ht="32.1" customHeight="1" x14ac:dyDescent="0.15"/>
    <row r="3502" customFormat="1" ht="32.1" customHeight="1" x14ac:dyDescent="0.15"/>
    <row r="3503" customFormat="1" ht="32.1" customHeight="1" x14ac:dyDescent="0.15"/>
    <row r="3504" customFormat="1" ht="32.1" customHeight="1" x14ac:dyDescent="0.15"/>
    <row r="3505" s="76" customFormat="1" ht="32.1" customHeight="1" x14ac:dyDescent="0.15"/>
    <row r="3506" s="76" customFormat="1" ht="32.1" customHeight="1" x14ac:dyDescent="0.15"/>
    <row r="3507" s="76" customFormat="1" ht="32.1" customHeight="1" x14ac:dyDescent="0.15"/>
    <row r="3508" s="76" customFormat="1" ht="32.1" customHeight="1" x14ac:dyDescent="0.15"/>
    <row r="3509" s="76" customFormat="1" ht="21.95" customHeight="1" x14ac:dyDescent="0.15"/>
    <row r="3510" s="76" customFormat="1" ht="54" customHeight="1" x14ac:dyDescent="0.15"/>
    <row r="3511" s="76" customFormat="1" ht="21.95" customHeight="1" x14ac:dyDescent="0.15"/>
    <row r="3512" s="76" customFormat="1" ht="21.95" customHeight="1" x14ac:dyDescent="0.15"/>
    <row r="3513" s="76" customFormat="1" ht="21.95" customHeight="1" x14ac:dyDescent="0.15"/>
    <row r="3514" s="76" customFormat="1" ht="21.95" customHeight="1" x14ac:dyDescent="0.15"/>
    <row r="3515" s="76" customFormat="1" ht="21.95" customHeight="1" x14ac:dyDescent="0.15"/>
    <row r="3516" s="76" customFormat="1" ht="21.95" customHeight="1" x14ac:dyDescent="0.15"/>
    <row r="3517" s="76" customFormat="1" ht="21.95" customHeight="1" x14ac:dyDescent="0.15"/>
    <row r="3518" s="76" customFormat="1" ht="21.95" customHeight="1" x14ac:dyDescent="0.15"/>
    <row r="3519" s="76" customFormat="1" ht="21.95" customHeight="1" x14ac:dyDescent="0.15"/>
    <row r="3520" s="76" customFormat="1" ht="21.95" customHeight="1" x14ac:dyDescent="0.15"/>
    <row r="3521" s="76" customFormat="1" ht="21.95" customHeight="1" x14ac:dyDescent="0.15"/>
    <row r="3522" s="76" customFormat="1" ht="21.95" customHeight="1" x14ac:dyDescent="0.15"/>
    <row r="3523" s="76" customFormat="1" ht="21.95" customHeight="1" x14ac:dyDescent="0.15"/>
    <row r="3524" s="76" customFormat="1" ht="21.95" customHeight="1" x14ac:dyDescent="0.15"/>
    <row r="3525" s="76" customFormat="1" ht="21.95" customHeight="1" x14ac:dyDescent="0.15"/>
    <row r="3526" s="76" customFormat="1" ht="21.95" customHeight="1" x14ac:dyDescent="0.15"/>
    <row r="3527" s="76" customFormat="1" ht="21.95" customHeight="1" x14ac:dyDescent="0.15"/>
    <row r="3528" s="76" customFormat="1" ht="21.95" customHeight="1" x14ac:dyDescent="0.15"/>
    <row r="3529" s="76" customFormat="1" ht="21.95" customHeight="1" x14ac:dyDescent="0.15"/>
    <row r="3530" s="76" customFormat="1" ht="21.95" customHeight="1" x14ac:dyDescent="0.15"/>
    <row r="3531" s="76" customFormat="1" ht="21.95" customHeight="1" x14ac:dyDescent="0.15"/>
    <row r="3532" s="76" customFormat="1" ht="21.95" customHeight="1" x14ac:dyDescent="0.15"/>
    <row r="3533" s="76" customFormat="1" ht="21.95" customHeight="1" x14ac:dyDescent="0.15"/>
    <row r="3534" s="76" customFormat="1" ht="21.95" customHeight="1" x14ac:dyDescent="0.15"/>
    <row r="3535" s="76" customFormat="1" ht="21.95" customHeight="1" x14ac:dyDescent="0.15"/>
    <row r="3536" s="76" customFormat="1" ht="21.95" customHeight="1" x14ac:dyDescent="0.15"/>
    <row r="3537" s="76" customFormat="1" ht="21.95" customHeight="1" x14ac:dyDescent="0.15"/>
    <row r="3538" s="76" customFormat="1" ht="21.95" customHeight="1" x14ac:dyDescent="0.15"/>
    <row r="3539" s="76" customFormat="1" ht="21.95" customHeight="1" x14ac:dyDescent="0.15"/>
    <row r="3540" s="76" customFormat="1" ht="21.95" customHeight="1" x14ac:dyDescent="0.15"/>
    <row r="3541" s="76" customFormat="1" ht="21.95" customHeight="1" x14ac:dyDescent="0.15"/>
    <row r="3542" s="76" customFormat="1" ht="21.95" customHeight="1" x14ac:dyDescent="0.15"/>
    <row r="3543" s="76" customFormat="1" ht="21.95" customHeight="1" x14ac:dyDescent="0.15"/>
    <row r="3544" s="76" customFormat="1" ht="21.95" customHeight="1" x14ac:dyDescent="0.15"/>
    <row r="3545" s="76" customFormat="1" ht="21.95" customHeight="1" x14ac:dyDescent="0.15"/>
    <row r="3546" s="76" customFormat="1" ht="21.95" customHeight="1" x14ac:dyDescent="0.15"/>
    <row r="3547" s="76" customFormat="1" ht="21.95" customHeight="1" x14ac:dyDescent="0.15"/>
    <row r="3548" s="76" customFormat="1" ht="21.95" customHeight="1" x14ac:dyDescent="0.15"/>
    <row r="3549" s="76" customFormat="1" ht="21.95" customHeight="1" x14ac:dyDescent="0.15"/>
    <row r="3550" s="76" customFormat="1" ht="21.95" customHeight="1" x14ac:dyDescent="0.15"/>
    <row r="3551" s="76" customFormat="1" ht="21.95" customHeight="1" x14ac:dyDescent="0.15"/>
    <row r="3552" s="76" customFormat="1" ht="21.95" customHeight="1" x14ac:dyDescent="0.15"/>
    <row r="3553" s="76" customFormat="1" ht="21.95" customHeight="1" x14ac:dyDescent="0.15"/>
    <row r="3554" s="76" customFormat="1" ht="21.95" customHeight="1" x14ac:dyDescent="0.15"/>
    <row r="3555" s="76" customFormat="1" ht="21.95" customHeight="1" x14ac:dyDescent="0.15"/>
    <row r="3556" s="76" customFormat="1" ht="21.95" customHeight="1" x14ac:dyDescent="0.15"/>
    <row r="3557" s="76" customFormat="1" ht="21.95" customHeight="1" x14ac:dyDescent="0.15"/>
    <row r="3558" s="76" customFormat="1" ht="21.95" customHeight="1" x14ac:dyDescent="0.15"/>
    <row r="3559" s="76" customFormat="1" ht="21.95" customHeight="1" x14ac:dyDescent="0.15"/>
    <row r="3560" s="76" customFormat="1" ht="21.95" customHeight="1" x14ac:dyDescent="0.15"/>
    <row r="3561" s="76" customFormat="1" ht="35.1" customHeight="1" x14ac:dyDescent="0.15"/>
    <row r="3562" s="76" customFormat="1" ht="21.95" customHeight="1" x14ac:dyDescent="0.15"/>
    <row r="3563" s="76" customFormat="1" ht="21.95" customHeight="1" x14ac:dyDescent="0.15"/>
    <row r="3564" s="76" customFormat="1" ht="21.95" customHeight="1" x14ac:dyDescent="0.15"/>
    <row r="3565" s="76" customFormat="1" ht="21.95" customHeight="1" x14ac:dyDescent="0.15"/>
    <row r="3566" s="76" customFormat="1" ht="21.95" customHeight="1" x14ac:dyDescent="0.15"/>
    <row r="3567" s="76" customFormat="1" ht="21.95" customHeight="1" x14ac:dyDescent="0.15"/>
    <row r="3568" s="76" customFormat="1" ht="21.95" customHeight="1" x14ac:dyDescent="0.15"/>
    <row r="3569" s="76" customFormat="1" ht="21.95" customHeight="1" x14ac:dyDescent="0.15"/>
    <row r="3570" s="76" customFormat="1" ht="21.95" customHeight="1" x14ac:dyDescent="0.15"/>
    <row r="3571" s="76" customFormat="1" ht="21.95" customHeight="1" x14ac:dyDescent="0.15"/>
    <row r="3572" s="76" customFormat="1" ht="21.95" customHeight="1" x14ac:dyDescent="0.15"/>
    <row r="3573" s="76" customFormat="1" ht="21.95" customHeight="1" x14ac:dyDescent="0.15"/>
    <row r="3574" s="76" customFormat="1" ht="21.95" customHeight="1" x14ac:dyDescent="0.15"/>
    <row r="3575" s="76" customFormat="1" ht="21.95" customHeight="1" x14ac:dyDescent="0.15"/>
    <row r="3576" s="76" customFormat="1" ht="21.95" customHeight="1" x14ac:dyDescent="0.15"/>
    <row r="3577" s="76" customFormat="1" ht="21.95" customHeight="1" x14ac:dyDescent="0.15"/>
    <row r="3578" s="76" customFormat="1" ht="21.95" customHeight="1" x14ac:dyDescent="0.15"/>
    <row r="3579" s="76" customFormat="1" ht="21.95" customHeight="1" x14ac:dyDescent="0.15"/>
    <row r="3580" s="76" customFormat="1" ht="21.95" customHeight="1" x14ac:dyDescent="0.15"/>
    <row r="3581" s="76" customFormat="1" ht="21.95" customHeight="1" x14ac:dyDescent="0.15"/>
    <row r="3582" s="76" customFormat="1" ht="21.95" customHeight="1" x14ac:dyDescent="0.15"/>
    <row r="3583" s="76" customFormat="1" ht="21.95" customHeight="1" x14ac:dyDescent="0.15"/>
    <row r="3584" s="76" customFormat="1" ht="21.95" customHeight="1" x14ac:dyDescent="0.15"/>
    <row r="3585" spans="3:3" customFormat="1" ht="21.95" customHeight="1" x14ac:dyDescent="0.15"/>
    <row r="3586" spans="3:3" customFormat="1" ht="21.95" customHeight="1" x14ac:dyDescent="0.15"/>
    <row r="3587" spans="3:3" customFormat="1" ht="21.95" customHeight="1" x14ac:dyDescent="0.15">
      <c r="C3587" s="94"/>
    </row>
    <row r="3588" spans="3:3" customFormat="1" ht="21.95" customHeight="1" x14ac:dyDescent="0.15">
      <c r="C3588" s="94"/>
    </row>
    <row r="3589" spans="3:3" customFormat="1" ht="21.95" customHeight="1" x14ac:dyDescent="0.15"/>
    <row r="3590" spans="3:3" customFormat="1" ht="21.95" customHeight="1" x14ac:dyDescent="0.15"/>
    <row r="3591" spans="3:3" customFormat="1" ht="21.95" customHeight="1" x14ac:dyDescent="0.15"/>
    <row r="3592" spans="3:3" customFormat="1" ht="21.95" customHeight="1" x14ac:dyDescent="0.15"/>
    <row r="3593" spans="3:3" customFormat="1" ht="21.95" customHeight="1" x14ac:dyDescent="0.15"/>
    <row r="3594" spans="3:3" customFormat="1" ht="21.95" customHeight="1" x14ac:dyDescent="0.15"/>
    <row r="3595" spans="3:3" customFormat="1" ht="21.95" customHeight="1" x14ac:dyDescent="0.15"/>
    <row r="3596" spans="3:3" s="76" customFormat="1" ht="21.95" customHeight="1" x14ac:dyDescent="0.15"/>
    <row r="3597" spans="3:3" s="76" customFormat="1" ht="21.95" customHeight="1" x14ac:dyDescent="0.15"/>
    <row r="3598" spans="3:3" s="76" customFormat="1" ht="21.95" customHeight="1" x14ac:dyDescent="0.15"/>
    <row r="3599" spans="3:3" s="76" customFormat="1" ht="21.95" customHeight="1" x14ac:dyDescent="0.15"/>
    <row r="3600" spans="3:3" customFormat="1" ht="21.95" customHeight="1" x14ac:dyDescent="0.15"/>
    <row r="3601" customFormat="1" ht="21.95" customHeight="1" x14ac:dyDescent="0.15"/>
    <row r="3602" customFormat="1" ht="21.95" customHeight="1" x14ac:dyDescent="0.15"/>
    <row r="3603" customFormat="1" ht="21.95" customHeight="1" x14ac:dyDescent="0.15"/>
    <row r="3604" customFormat="1" ht="21.95" customHeight="1" x14ac:dyDescent="0.15"/>
    <row r="3605" customFormat="1" ht="21.95" customHeight="1" x14ac:dyDescent="0.15"/>
    <row r="3606" customFormat="1" ht="21.95" customHeight="1" x14ac:dyDescent="0.15"/>
    <row r="3607" customFormat="1" ht="21.95" customHeight="1" x14ac:dyDescent="0.15"/>
    <row r="3608" customFormat="1" ht="21.95" customHeight="1" x14ac:dyDescent="0.15"/>
    <row r="3609" customFormat="1" ht="21.95" customHeight="1" x14ac:dyDescent="0.15"/>
    <row r="3610" customFormat="1" ht="21.95" customHeight="1" x14ac:dyDescent="0.15"/>
    <row r="3611" customFormat="1" ht="32.1" customHeight="1" x14ac:dyDescent="0.15"/>
    <row r="3612" customFormat="1" ht="32.1" customHeight="1" x14ac:dyDescent="0.15"/>
    <row r="3613" customFormat="1" ht="32.1" customHeight="1" x14ac:dyDescent="0.15"/>
    <row r="3614" customFormat="1" ht="32.1" customHeight="1" x14ac:dyDescent="0.15"/>
    <row r="3615" customFormat="1" ht="32.1" customHeight="1" x14ac:dyDescent="0.15"/>
    <row r="3616" customFormat="1" ht="32.1" customHeight="1" x14ac:dyDescent="0.15"/>
    <row r="3617" s="76" customFormat="1" ht="32.1" customHeight="1" x14ac:dyDescent="0.15"/>
    <row r="3618" s="76" customFormat="1" ht="32.1" customHeight="1" x14ac:dyDescent="0.15"/>
    <row r="3619" s="76" customFormat="1" ht="32.1" customHeight="1" x14ac:dyDescent="0.15"/>
    <row r="3620" s="76" customFormat="1" ht="32.1" customHeight="1" x14ac:dyDescent="0.15"/>
    <row r="3621" s="76" customFormat="1" ht="21.95" customHeight="1" x14ac:dyDescent="0.15"/>
    <row r="3622" s="76" customFormat="1" ht="54" customHeight="1" x14ac:dyDescent="0.15"/>
    <row r="3623" s="76" customFormat="1" ht="21.95" customHeight="1" x14ac:dyDescent="0.15"/>
    <row r="3624" s="76" customFormat="1" ht="21.95" customHeight="1" x14ac:dyDescent="0.15"/>
    <row r="3625" s="76" customFormat="1" ht="21.95" customHeight="1" x14ac:dyDescent="0.15"/>
    <row r="3626" s="76" customFormat="1" ht="21.95" customHeight="1" x14ac:dyDescent="0.15"/>
    <row r="3627" s="76" customFormat="1" ht="21.95" customHeight="1" x14ac:dyDescent="0.15"/>
    <row r="3628" s="76" customFormat="1" ht="21.95" customHeight="1" x14ac:dyDescent="0.15"/>
    <row r="3629" s="76" customFormat="1" ht="21.95" customHeight="1" x14ac:dyDescent="0.15"/>
    <row r="3630" s="76" customFormat="1" ht="21.95" customHeight="1" x14ac:dyDescent="0.15"/>
    <row r="3631" s="76" customFormat="1" ht="21.95" customHeight="1" x14ac:dyDescent="0.15"/>
    <row r="3632" s="76" customFormat="1" ht="21.95" customHeight="1" x14ac:dyDescent="0.15"/>
    <row r="3633" s="76" customFormat="1" ht="21.95" customHeight="1" x14ac:dyDescent="0.15"/>
    <row r="3634" s="76" customFormat="1" ht="21.95" customHeight="1" x14ac:dyDescent="0.15"/>
    <row r="3635" s="76" customFormat="1" ht="21.95" customHeight="1" x14ac:dyDescent="0.15"/>
    <row r="3636" s="76" customFormat="1" ht="21.95" customHeight="1" x14ac:dyDescent="0.15"/>
    <row r="3637" s="76" customFormat="1" ht="21.95" customHeight="1" x14ac:dyDescent="0.15"/>
    <row r="3638" s="76" customFormat="1" ht="21.95" customHeight="1" x14ac:dyDescent="0.15"/>
    <row r="3639" s="76" customFormat="1" ht="21.95" customHeight="1" x14ac:dyDescent="0.15"/>
    <row r="3640" s="76" customFormat="1" ht="21.95" customHeight="1" x14ac:dyDescent="0.15"/>
    <row r="3641" s="76" customFormat="1" ht="21.95" customHeight="1" x14ac:dyDescent="0.15"/>
    <row r="3642" s="76" customFormat="1" ht="21.95" customHeight="1" x14ac:dyDescent="0.15"/>
    <row r="3643" s="76" customFormat="1" ht="21.95" customHeight="1" x14ac:dyDescent="0.15"/>
    <row r="3644" s="76" customFormat="1" ht="21.95" customHeight="1" x14ac:dyDescent="0.15"/>
    <row r="3645" s="76" customFormat="1" ht="21.95" customHeight="1" x14ac:dyDescent="0.15"/>
    <row r="3646" s="76" customFormat="1" ht="21.95" customHeight="1" x14ac:dyDescent="0.15"/>
    <row r="3647" s="76" customFormat="1" ht="21.95" customHeight="1" x14ac:dyDescent="0.15"/>
    <row r="3648" s="76" customFormat="1" ht="21.95" customHeight="1" x14ac:dyDescent="0.15"/>
    <row r="3649" s="76" customFormat="1" ht="21.95" customHeight="1" x14ac:dyDescent="0.15"/>
    <row r="3650" s="76" customFormat="1" ht="21.95" customHeight="1" x14ac:dyDescent="0.15"/>
    <row r="3651" s="76" customFormat="1" ht="21.95" customHeight="1" x14ac:dyDescent="0.15"/>
    <row r="3652" s="76" customFormat="1" ht="21.95" customHeight="1" x14ac:dyDescent="0.15"/>
    <row r="3653" s="76" customFormat="1" ht="21.95" customHeight="1" x14ac:dyDescent="0.15"/>
    <row r="3654" s="76" customFormat="1" ht="21.95" customHeight="1" x14ac:dyDescent="0.15"/>
    <row r="3655" s="76" customFormat="1" ht="21.95" customHeight="1" x14ac:dyDescent="0.15"/>
    <row r="3656" s="76" customFormat="1" ht="21.95" customHeight="1" x14ac:dyDescent="0.15"/>
    <row r="3657" s="76" customFormat="1" ht="21.95" customHeight="1" x14ac:dyDescent="0.15"/>
    <row r="3658" s="76" customFormat="1" ht="21.95" customHeight="1" x14ac:dyDescent="0.15"/>
    <row r="3659" s="76" customFormat="1" ht="21.95" customHeight="1" x14ac:dyDescent="0.15"/>
    <row r="3660" s="76" customFormat="1" ht="21.95" customHeight="1" x14ac:dyDescent="0.15"/>
    <row r="3661" s="76" customFormat="1" ht="21.95" customHeight="1" x14ac:dyDescent="0.15"/>
    <row r="3662" s="76" customFormat="1" ht="21.95" customHeight="1" x14ac:dyDescent="0.15"/>
    <row r="3663" s="76" customFormat="1" ht="21.95" customHeight="1" x14ac:dyDescent="0.15"/>
    <row r="3664" s="76" customFormat="1" ht="21.95" customHeight="1" x14ac:dyDescent="0.15"/>
    <row r="3665" s="76" customFormat="1" ht="21.95" customHeight="1" x14ac:dyDescent="0.15"/>
    <row r="3666" s="76" customFormat="1" ht="21.95" customHeight="1" x14ac:dyDescent="0.15"/>
    <row r="3667" s="76" customFormat="1" ht="21.95" customHeight="1" x14ac:dyDescent="0.15"/>
    <row r="3668" s="76" customFormat="1" ht="21.95" customHeight="1" x14ac:dyDescent="0.15"/>
    <row r="3669" s="76" customFormat="1" ht="21.95" customHeight="1" x14ac:dyDescent="0.15"/>
    <row r="3670" s="76" customFormat="1" ht="21.95" customHeight="1" x14ac:dyDescent="0.15"/>
    <row r="3671" s="76" customFormat="1" ht="21.95" customHeight="1" x14ac:dyDescent="0.15"/>
    <row r="3672" s="76" customFormat="1" ht="21.95" customHeight="1" x14ac:dyDescent="0.15"/>
    <row r="3673" s="76" customFormat="1" ht="35.1" customHeight="1" x14ac:dyDescent="0.15"/>
    <row r="3674" s="76" customFormat="1" ht="21.95" customHeight="1" x14ac:dyDescent="0.15"/>
    <row r="3675" s="76" customFormat="1" ht="21.95" customHeight="1" x14ac:dyDescent="0.15"/>
    <row r="3676" s="76" customFormat="1" ht="21.95" customHeight="1" x14ac:dyDescent="0.15"/>
    <row r="3677" s="76" customFormat="1" ht="21.95" customHeight="1" x14ac:dyDescent="0.15"/>
    <row r="3678" s="76" customFormat="1" ht="21.95" customHeight="1" x14ac:dyDescent="0.15"/>
    <row r="3679" s="76" customFormat="1" ht="21.95" customHeight="1" x14ac:dyDescent="0.15"/>
    <row r="3680" s="76" customFormat="1" ht="21.95" customHeight="1" x14ac:dyDescent="0.15"/>
    <row r="3681" s="76" customFormat="1" ht="21.95" customHeight="1" x14ac:dyDescent="0.15"/>
    <row r="3682" s="76" customFormat="1" ht="21.95" customHeight="1" x14ac:dyDescent="0.15"/>
    <row r="3683" s="76" customFormat="1" ht="21.95" customHeight="1" x14ac:dyDescent="0.15"/>
    <row r="3684" s="76" customFormat="1" ht="21.95" customHeight="1" x14ac:dyDescent="0.15"/>
    <row r="3685" s="76" customFormat="1" ht="21.95" customHeight="1" x14ac:dyDescent="0.15"/>
    <row r="3686" s="76" customFormat="1" ht="21.95" customHeight="1" x14ac:dyDescent="0.15"/>
    <row r="3687" s="76" customFormat="1" ht="21.95" customHeight="1" x14ac:dyDescent="0.15"/>
    <row r="3688" s="76" customFormat="1" ht="21.95" customHeight="1" x14ac:dyDescent="0.15"/>
    <row r="3689" s="76" customFormat="1" ht="21.95" customHeight="1" x14ac:dyDescent="0.15"/>
    <row r="3690" s="76" customFormat="1" ht="21.95" customHeight="1" x14ac:dyDescent="0.15"/>
    <row r="3691" s="76" customFormat="1" ht="21.95" customHeight="1" x14ac:dyDescent="0.15"/>
    <row r="3692" s="76" customFormat="1" ht="21.95" customHeight="1" x14ac:dyDescent="0.15"/>
    <row r="3693" s="76" customFormat="1" ht="21.95" customHeight="1" x14ac:dyDescent="0.15"/>
    <row r="3694" s="76" customFormat="1" ht="21.95" customHeight="1" x14ac:dyDescent="0.15"/>
    <row r="3695" s="76" customFormat="1" ht="21.95" customHeight="1" x14ac:dyDescent="0.15"/>
    <row r="3696" s="76" customFormat="1" ht="21.95" customHeight="1" x14ac:dyDescent="0.15"/>
    <row r="3697" spans="3:3" customFormat="1" ht="21.95" customHeight="1" x14ac:dyDescent="0.15"/>
    <row r="3698" spans="3:3" customFormat="1" ht="21.95" customHeight="1" x14ac:dyDescent="0.15"/>
    <row r="3699" spans="3:3" customFormat="1" ht="21.95" customHeight="1" x14ac:dyDescent="0.15">
      <c r="C3699" s="94"/>
    </row>
    <row r="3700" spans="3:3" customFormat="1" ht="21.95" customHeight="1" x14ac:dyDescent="0.15">
      <c r="C3700" s="94"/>
    </row>
    <row r="3701" spans="3:3" customFormat="1" ht="21.95" customHeight="1" x14ac:dyDescent="0.15"/>
    <row r="3702" spans="3:3" customFormat="1" ht="21.95" customHeight="1" x14ac:dyDescent="0.15"/>
    <row r="3703" spans="3:3" customFormat="1" ht="21.95" customHeight="1" x14ac:dyDescent="0.15"/>
    <row r="3704" spans="3:3" customFormat="1" ht="21.95" customHeight="1" x14ac:dyDescent="0.15"/>
    <row r="3705" spans="3:3" customFormat="1" ht="21.95" customHeight="1" x14ac:dyDescent="0.15"/>
    <row r="3706" spans="3:3" customFormat="1" ht="21.95" customHeight="1" x14ac:dyDescent="0.15"/>
    <row r="3707" spans="3:3" customFormat="1" ht="21.95" customHeight="1" x14ac:dyDescent="0.15"/>
    <row r="3708" spans="3:3" s="76" customFormat="1" ht="21.95" customHeight="1" x14ac:dyDescent="0.15"/>
    <row r="3709" spans="3:3" s="76" customFormat="1" ht="21.95" customHeight="1" x14ac:dyDescent="0.15"/>
    <row r="3710" spans="3:3" s="76" customFormat="1" ht="21.95" customHeight="1" x14ac:dyDescent="0.15"/>
    <row r="3711" spans="3:3" s="76" customFormat="1" ht="21.95" customHeight="1" x14ac:dyDescent="0.15"/>
    <row r="3712" spans="3:3" customFormat="1" ht="21.95" customHeight="1" x14ac:dyDescent="0.15"/>
    <row r="3713" customFormat="1" ht="21.95" customHeight="1" x14ac:dyDescent="0.15"/>
    <row r="3714" customFormat="1" ht="21.95" customHeight="1" x14ac:dyDescent="0.15"/>
    <row r="3715" customFormat="1" ht="21.95" customHeight="1" x14ac:dyDescent="0.15"/>
    <row r="3716" customFormat="1" ht="21.95" customHeight="1" x14ac:dyDescent="0.15"/>
    <row r="3717" customFormat="1" ht="21.95" customHeight="1" x14ac:dyDescent="0.15"/>
    <row r="3718" customFormat="1" ht="21.95" customHeight="1" x14ac:dyDescent="0.15"/>
    <row r="3719" customFormat="1" ht="21.95" customHeight="1" x14ac:dyDescent="0.15"/>
    <row r="3720" customFormat="1" ht="21.95" customHeight="1" x14ac:dyDescent="0.15"/>
    <row r="3721" customFormat="1" ht="21.95" customHeight="1" x14ac:dyDescent="0.15"/>
    <row r="3722" customFormat="1" ht="21.95" customHeight="1" x14ac:dyDescent="0.15"/>
    <row r="3723" customFormat="1" ht="32.1" customHeight="1" x14ac:dyDescent="0.15"/>
    <row r="3724" customFormat="1" ht="32.1" customHeight="1" x14ac:dyDescent="0.15"/>
    <row r="3725" customFormat="1" ht="32.1" customHeight="1" x14ac:dyDescent="0.15"/>
    <row r="3726" customFormat="1" ht="32.1" customHeight="1" x14ac:dyDescent="0.15"/>
    <row r="3727" customFormat="1" ht="32.1" customHeight="1" x14ac:dyDescent="0.15"/>
    <row r="3728" customFormat="1" ht="32.1" customHeight="1" x14ac:dyDescent="0.15"/>
    <row r="3729" s="76" customFormat="1" ht="32.1" customHeight="1" x14ac:dyDescent="0.15"/>
    <row r="3730" s="76" customFormat="1" ht="32.1" customHeight="1" x14ac:dyDescent="0.15"/>
    <row r="3731" s="76" customFormat="1" ht="32.1" customHeight="1" x14ac:dyDescent="0.15"/>
    <row r="3732" s="76" customFormat="1" ht="32.1" customHeight="1" x14ac:dyDescent="0.15"/>
    <row r="3733" s="76" customFormat="1" ht="21.95" customHeight="1" x14ac:dyDescent="0.15"/>
    <row r="3734" s="76" customFormat="1" ht="54" customHeight="1" x14ac:dyDescent="0.15"/>
    <row r="3735" s="76" customFormat="1" ht="21.95" customHeight="1" x14ac:dyDescent="0.15"/>
    <row r="3736" s="76" customFormat="1" ht="21.95" customHeight="1" x14ac:dyDescent="0.15"/>
    <row r="3737" s="76" customFormat="1" ht="21.95" customHeight="1" x14ac:dyDescent="0.15"/>
    <row r="3738" s="76" customFormat="1" ht="21.95" customHeight="1" x14ac:dyDescent="0.15"/>
    <row r="3739" s="76" customFormat="1" ht="21.95" customHeight="1" x14ac:dyDescent="0.15"/>
    <row r="3740" s="76" customFormat="1" ht="21.95" customHeight="1" x14ac:dyDescent="0.15"/>
    <row r="3741" s="76" customFormat="1" ht="21.95" customHeight="1" x14ac:dyDescent="0.15"/>
    <row r="3742" s="76" customFormat="1" ht="21.95" customHeight="1" x14ac:dyDescent="0.15"/>
    <row r="3743" s="76" customFormat="1" ht="21.95" customHeight="1" x14ac:dyDescent="0.15"/>
    <row r="3744" s="76" customFormat="1" ht="21.95" customHeight="1" x14ac:dyDescent="0.15"/>
    <row r="3745" s="76" customFormat="1" ht="21.95" customHeight="1" x14ac:dyDescent="0.15"/>
    <row r="3746" s="76" customFormat="1" ht="21.95" customHeight="1" x14ac:dyDescent="0.15"/>
    <row r="3747" s="76" customFormat="1" ht="21.95" customHeight="1" x14ac:dyDescent="0.15"/>
    <row r="3748" s="76" customFormat="1" ht="21.95" customHeight="1" x14ac:dyDescent="0.15"/>
    <row r="3749" s="76" customFormat="1" ht="21.95" customHeight="1" x14ac:dyDescent="0.15"/>
    <row r="3750" s="76" customFormat="1" ht="21.95" customHeight="1" x14ac:dyDescent="0.15"/>
    <row r="3751" s="76" customFormat="1" ht="21.95" customHeight="1" x14ac:dyDescent="0.15"/>
    <row r="3752" s="76" customFormat="1" ht="21.95" customHeight="1" x14ac:dyDescent="0.15"/>
    <row r="3753" s="76" customFormat="1" ht="21.95" customHeight="1" x14ac:dyDescent="0.15"/>
    <row r="3754" s="76" customFormat="1" ht="21.95" customHeight="1" x14ac:dyDescent="0.15"/>
    <row r="3755" s="76" customFormat="1" ht="21.95" customHeight="1" x14ac:dyDescent="0.15"/>
    <row r="3756" s="76" customFormat="1" ht="21.95" customHeight="1" x14ac:dyDescent="0.15"/>
    <row r="3757" s="76" customFormat="1" ht="21.95" customHeight="1" x14ac:dyDescent="0.15"/>
    <row r="3758" s="76" customFormat="1" ht="21.95" customHeight="1" x14ac:dyDescent="0.15"/>
    <row r="3759" s="76" customFormat="1" ht="21.95" customHeight="1" x14ac:dyDescent="0.15"/>
    <row r="3760" s="76" customFormat="1" ht="21.95" customHeight="1" x14ac:dyDescent="0.15"/>
    <row r="3761" s="76" customFormat="1" ht="21.95" customHeight="1" x14ac:dyDescent="0.15"/>
    <row r="3762" s="76" customFormat="1" ht="21.95" customHeight="1" x14ac:dyDescent="0.15"/>
    <row r="3763" s="76" customFormat="1" ht="21.95" customHeight="1" x14ac:dyDescent="0.15"/>
    <row r="3764" s="76" customFormat="1" ht="21.95" customHeight="1" x14ac:dyDescent="0.15"/>
    <row r="3765" s="76" customFormat="1" ht="21.95" customHeight="1" x14ac:dyDescent="0.15"/>
    <row r="3766" s="76" customFormat="1" ht="21.95" customHeight="1" x14ac:dyDescent="0.15"/>
    <row r="3767" s="76" customFormat="1" ht="21.95" customHeight="1" x14ac:dyDescent="0.15"/>
    <row r="3768" s="76" customFormat="1" ht="21.95" customHeight="1" x14ac:dyDescent="0.15"/>
    <row r="3769" s="76" customFormat="1" ht="21.95" customHeight="1" x14ac:dyDescent="0.15"/>
    <row r="3770" s="76" customFormat="1" ht="21.95" customHeight="1" x14ac:dyDescent="0.15"/>
    <row r="3771" s="76" customFormat="1" ht="21.95" customHeight="1" x14ac:dyDescent="0.15"/>
    <row r="3772" s="76" customFormat="1" ht="21.95" customHeight="1" x14ac:dyDescent="0.15"/>
    <row r="3773" s="76" customFormat="1" ht="21.95" customHeight="1" x14ac:dyDescent="0.15"/>
    <row r="3774" s="76" customFormat="1" ht="21.95" customHeight="1" x14ac:dyDescent="0.15"/>
    <row r="3775" s="76" customFormat="1" ht="21.95" customHeight="1" x14ac:dyDescent="0.15"/>
    <row r="3776" s="76" customFormat="1" ht="21.95" customHeight="1" x14ac:dyDescent="0.15"/>
    <row r="3777" s="76" customFormat="1" ht="21.95" customHeight="1" x14ac:dyDescent="0.15"/>
    <row r="3778" s="76" customFormat="1" ht="21.95" customHeight="1" x14ac:dyDescent="0.15"/>
    <row r="3779" s="76" customFormat="1" ht="21.95" customHeight="1" x14ac:dyDescent="0.15"/>
    <row r="3780" s="76" customFormat="1" ht="21.95" customHeight="1" x14ac:dyDescent="0.15"/>
    <row r="3781" s="76" customFormat="1" ht="21.95" customHeight="1" x14ac:dyDescent="0.15"/>
    <row r="3782" s="76" customFormat="1" ht="21.95" customHeight="1" x14ac:dyDescent="0.15"/>
    <row r="3783" s="76" customFormat="1" ht="21.95" customHeight="1" x14ac:dyDescent="0.15"/>
    <row r="3784" s="76" customFormat="1" ht="21.95" customHeight="1" x14ac:dyDescent="0.15"/>
    <row r="3785" s="76" customFormat="1" ht="35.1" customHeight="1" x14ac:dyDescent="0.15"/>
    <row r="3786" s="76" customFormat="1" ht="21.95" customHeight="1" x14ac:dyDescent="0.15"/>
    <row r="3787" s="76" customFormat="1" ht="21.95" customHeight="1" x14ac:dyDescent="0.15"/>
    <row r="3788" s="76" customFormat="1" ht="21.95" customHeight="1" x14ac:dyDescent="0.15"/>
    <row r="3789" s="76" customFormat="1" ht="21.95" customHeight="1" x14ac:dyDescent="0.15"/>
    <row r="3790" s="76" customFormat="1" ht="21.95" customHeight="1" x14ac:dyDescent="0.15"/>
    <row r="3791" s="76" customFormat="1" ht="21.95" customHeight="1" x14ac:dyDescent="0.15"/>
    <row r="3792" s="76" customFormat="1" ht="21.95" customHeight="1" x14ac:dyDescent="0.15"/>
    <row r="3793" s="76" customFormat="1" ht="21.95" customHeight="1" x14ac:dyDescent="0.15"/>
    <row r="3794" s="76" customFormat="1" ht="21.95" customHeight="1" x14ac:dyDescent="0.15"/>
    <row r="3795" s="76" customFormat="1" ht="21.95" customHeight="1" x14ac:dyDescent="0.15"/>
    <row r="3796" s="76" customFormat="1" ht="21.95" customHeight="1" x14ac:dyDescent="0.15"/>
    <row r="3797" s="76" customFormat="1" ht="21.95" customHeight="1" x14ac:dyDescent="0.15"/>
    <row r="3798" s="76" customFormat="1" ht="21.95" customHeight="1" x14ac:dyDescent="0.15"/>
    <row r="3799" s="76" customFormat="1" ht="21.95" customHeight="1" x14ac:dyDescent="0.15"/>
    <row r="3800" s="76" customFormat="1" ht="21.95" customHeight="1" x14ac:dyDescent="0.15"/>
    <row r="3801" s="76" customFormat="1" ht="21.95" customHeight="1" x14ac:dyDescent="0.15"/>
    <row r="3802" s="76" customFormat="1" ht="21.95" customHeight="1" x14ac:dyDescent="0.15"/>
    <row r="3803" s="76" customFormat="1" ht="21.95" customHeight="1" x14ac:dyDescent="0.15"/>
    <row r="3804" s="76" customFormat="1" ht="21.95" customHeight="1" x14ac:dyDescent="0.15"/>
    <row r="3805" s="76" customFormat="1" ht="21.95" customHeight="1" x14ac:dyDescent="0.15"/>
    <row r="3806" s="76" customFormat="1" ht="21.95" customHeight="1" x14ac:dyDescent="0.15"/>
    <row r="3807" s="76" customFormat="1" ht="21.95" customHeight="1" x14ac:dyDescent="0.15"/>
    <row r="3808" s="76" customFormat="1" ht="21.95" customHeight="1" x14ac:dyDescent="0.15"/>
    <row r="3809" spans="3:3" customFormat="1" ht="21.95" customHeight="1" x14ac:dyDescent="0.15"/>
    <row r="3810" spans="3:3" customFormat="1" ht="21.95" customHeight="1" x14ac:dyDescent="0.15"/>
    <row r="3811" spans="3:3" customFormat="1" ht="21.95" customHeight="1" x14ac:dyDescent="0.15">
      <c r="C3811" s="94"/>
    </row>
    <row r="3812" spans="3:3" customFormat="1" ht="21.95" customHeight="1" x14ac:dyDescent="0.15">
      <c r="C3812" s="94"/>
    </row>
    <row r="3813" spans="3:3" customFormat="1" ht="21.95" customHeight="1" x14ac:dyDescent="0.15"/>
    <row r="3814" spans="3:3" customFormat="1" ht="21.95" customHeight="1" x14ac:dyDescent="0.15"/>
    <row r="3815" spans="3:3" customFormat="1" ht="21.95" customHeight="1" x14ac:dyDescent="0.15"/>
    <row r="3816" spans="3:3" customFormat="1" ht="21.95" customHeight="1" x14ac:dyDescent="0.15"/>
    <row r="3817" spans="3:3" customFormat="1" ht="21.95" customHeight="1" x14ac:dyDescent="0.15"/>
    <row r="3818" spans="3:3" customFormat="1" ht="21.95" customHeight="1" x14ac:dyDescent="0.15"/>
    <row r="3819" spans="3:3" customFormat="1" ht="21.95" customHeight="1" x14ac:dyDescent="0.15"/>
    <row r="3820" spans="3:3" s="76" customFormat="1" ht="21.95" customHeight="1" x14ac:dyDescent="0.15"/>
    <row r="3821" spans="3:3" s="76" customFormat="1" ht="21.95" customHeight="1" x14ac:dyDescent="0.15"/>
    <row r="3822" spans="3:3" s="76" customFormat="1" ht="21.95" customHeight="1" x14ac:dyDescent="0.15"/>
    <row r="3823" spans="3:3" s="76" customFormat="1" ht="21.95" customHeight="1" x14ac:dyDescent="0.15"/>
    <row r="3824" spans="3:3" customFormat="1" ht="21.95" customHeight="1" x14ac:dyDescent="0.15"/>
    <row r="3825" customFormat="1" ht="21.95" customHeight="1" x14ac:dyDescent="0.15"/>
    <row r="3826" customFormat="1" ht="21.95" customHeight="1" x14ac:dyDescent="0.15"/>
    <row r="3827" customFormat="1" ht="21.95" customHeight="1" x14ac:dyDescent="0.15"/>
    <row r="3828" customFormat="1" ht="21.95" customHeight="1" x14ac:dyDescent="0.15"/>
    <row r="3829" customFormat="1" ht="21.95" customHeight="1" x14ac:dyDescent="0.15"/>
    <row r="3830" customFormat="1" ht="21.95" customHeight="1" x14ac:dyDescent="0.15"/>
    <row r="3831" customFormat="1" ht="21.95" customHeight="1" x14ac:dyDescent="0.15"/>
    <row r="3832" customFormat="1" ht="21.95" customHeight="1" x14ac:dyDescent="0.15"/>
    <row r="3833" customFormat="1" ht="21.95" customHeight="1" x14ac:dyDescent="0.15"/>
    <row r="3834" customFormat="1" ht="21.95" customHeight="1" x14ac:dyDescent="0.15"/>
    <row r="3835" customFormat="1" ht="32.1" customHeight="1" x14ac:dyDescent="0.15"/>
    <row r="3836" customFormat="1" ht="32.1" customHeight="1" x14ac:dyDescent="0.15"/>
    <row r="3837" customFormat="1" ht="32.1" customHeight="1" x14ac:dyDescent="0.15"/>
    <row r="3838" customFormat="1" ht="32.1" customHeight="1" x14ac:dyDescent="0.15"/>
    <row r="3839" customFormat="1" ht="32.1" customHeight="1" x14ac:dyDescent="0.15"/>
    <row r="3840" customFormat="1" ht="32.1" customHeight="1" x14ac:dyDescent="0.15"/>
    <row r="3841" s="76" customFormat="1" ht="32.1" customHeight="1" x14ac:dyDescent="0.15"/>
    <row r="3842" s="76" customFormat="1" ht="32.1" customHeight="1" x14ac:dyDescent="0.15"/>
    <row r="3843" s="76" customFormat="1" ht="32.1" customHeight="1" x14ac:dyDescent="0.15"/>
    <row r="3844" s="76" customFormat="1" ht="32.1" customHeight="1" x14ac:dyDescent="0.15"/>
    <row r="3845" s="76" customFormat="1" ht="21.95" customHeight="1" x14ac:dyDescent="0.15"/>
    <row r="3846" s="76" customFormat="1" ht="54" customHeight="1" x14ac:dyDescent="0.15"/>
    <row r="3847" s="76" customFormat="1" ht="21.95" customHeight="1" x14ac:dyDescent="0.15"/>
    <row r="3848" s="76" customFormat="1" ht="21.95" customHeight="1" x14ac:dyDescent="0.15"/>
    <row r="3849" s="76" customFormat="1" ht="21.95" customHeight="1" x14ac:dyDescent="0.15"/>
    <row r="3850" s="76" customFormat="1" ht="21.95" customHeight="1" x14ac:dyDescent="0.15"/>
    <row r="3851" s="76" customFormat="1" ht="21.95" customHeight="1" x14ac:dyDescent="0.15"/>
    <row r="3852" s="76" customFormat="1" ht="21.95" customHeight="1" x14ac:dyDescent="0.15"/>
    <row r="3853" s="76" customFormat="1" ht="21.95" customHeight="1" x14ac:dyDescent="0.15"/>
    <row r="3854" s="76" customFormat="1" ht="21.95" customHeight="1" x14ac:dyDescent="0.15"/>
    <row r="3855" s="76" customFormat="1" ht="21.95" customHeight="1" x14ac:dyDescent="0.15"/>
    <row r="3856" s="76" customFormat="1" ht="21.95" customHeight="1" x14ac:dyDescent="0.15"/>
    <row r="3857" s="76" customFormat="1" ht="21.95" customHeight="1" x14ac:dyDescent="0.15"/>
    <row r="3858" s="76" customFormat="1" ht="21.95" customHeight="1" x14ac:dyDescent="0.15"/>
    <row r="3859" s="76" customFormat="1" ht="21.95" customHeight="1" x14ac:dyDescent="0.15"/>
    <row r="3860" s="76" customFormat="1" ht="21.95" customHeight="1" x14ac:dyDescent="0.15"/>
    <row r="3861" s="76" customFormat="1" ht="21.95" customHeight="1" x14ac:dyDescent="0.15"/>
    <row r="3862" s="76" customFormat="1" ht="21.95" customHeight="1" x14ac:dyDescent="0.15"/>
    <row r="3863" s="76" customFormat="1" ht="21.95" customHeight="1" x14ac:dyDescent="0.15"/>
    <row r="3864" s="76" customFormat="1" ht="21.95" customHeight="1" x14ac:dyDescent="0.15"/>
    <row r="3865" s="76" customFormat="1" ht="21.95" customHeight="1" x14ac:dyDescent="0.15"/>
    <row r="3866" s="76" customFormat="1" ht="21.95" customHeight="1" x14ac:dyDescent="0.15"/>
    <row r="3867" s="76" customFormat="1" ht="21.95" customHeight="1" x14ac:dyDescent="0.15"/>
    <row r="3868" s="76" customFormat="1" ht="21.95" customHeight="1" x14ac:dyDescent="0.15"/>
    <row r="3869" s="76" customFormat="1" ht="21.95" customHeight="1" x14ac:dyDescent="0.15"/>
    <row r="3870" s="76" customFormat="1" ht="21.95" customHeight="1" x14ac:dyDescent="0.15"/>
    <row r="3871" s="76" customFormat="1" ht="21.95" customHeight="1" x14ac:dyDescent="0.15"/>
    <row r="3872" s="76" customFormat="1" ht="21.95" customHeight="1" x14ac:dyDescent="0.15"/>
    <row r="3873" s="76" customFormat="1" ht="21.95" customHeight="1" x14ac:dyDescent="0.15"/>
    <row r="3874" s="76" customFormat="1" ht="21.95" customHeight="1" x14ac:dyDescent="0.15"/>
    <row r="3875" s="76" customFormat="1" ht="21.95" customHeight="1" x14ac:dyDescent="0.15"/>
    <row r="3876" s="76" customFormat="1" ht="21.95" customHeight="1" x14ac:dyDescent="0.15"/>
    <row r="3877" s="76" customFormat="1" ht="21.95" customHeight="1" x14ac:dyDescent="0.15"/>
    <row r="3878" s="76" customFormat="1" ht="21.95" customHeight="1" x14ac:dyDescent="0.15"/>
    <row r="3879" s="76" customFormat="1" ht="21.95" customHeight="1" x14ac:dyDescent="0.15"/>
    <row r="3880" s="76" customFormat="1" ht="21.95" customHeight="1" x14ac:dyDescent="0.15"/>
    <row r="3881" s="76" customFormat="1" ht="21.95" customHeight="1" x14ac:dyDescent="0.15"/>
    <row r="3882" s="76" customFormat="1" ht="21.95" customHeight="1" x14ac:dyDescent="0.15"/>
    <row r="3883" s="76" customFormat="1" ht="21.95" customHeight="1" x14ac:dyDescent="0.15"/>
    <row r="3884" s="76" customFormat="1" ht="21.95" customHeight="1" x14ac:dyDescent="0.15"/>
    <row r="3885" s="76" customFormat="1" ht="21.95" customHeight="1" x14ac:dyDescent="0.15"/>
    <row r="3886" s="76" customFormat="1" ht="21.95" customHeight="1" x14ac:dyDescent="0.15"/>
    <row r="3887" s="76" customFormat="1" ht="21.95" customHeight="1" x14ac:dyDescent="0.15"/>
    <row r="3888" s="76" customFormat="1" ht="21.95" customHeight="1" x14ac:dyDescent="0.15"/>
    <row r="3889" s="76" customFormat="1" ht="21.95" customHeight="1" x14ac:dyDescent="0.15"/>
    <row r="3890" s="76" customFormat="1" ht="21.95" customHeight="1" x14ac:dyDescent="0.15"/>
    <row r="3891" s="76" customFormat="1" ht="21.95" customHeight="1" x14ac:dyDescent="0.15"/>
    <row r="3892" s="76" customFormat="1" ht="21.95" customHeight="1" x14ac:dyDescent="0.15"/>
    <row r="3893" s="76" customFormat="1" ht="21.95" customHeight="1" x14ac:dyDescent="0.15"/>
    <row r="3894" s="76" customFormat="1" ht="21.95" customHeight="1" x14ac:dyDescent="0.15"/>
    <row r="3895" s="76" customFormat="1" ht="21.95" customHeight="1" x14ac:dyDescent="0.15"/>
    <row r="3896" s="76" customFormat="1" ht="21.95" customHeight="1" x14ac:dyDescent="0.15"/>
    <row r="3897" s="76" customFormat="1" ht="35.1" customHeight="1" x14ac:dyDescent="0.15"/>
    <row r="3898" s="76" customFormat="1" ht="21.95" customHeight="1" x14ac:dyDescent="0.15"/>
    <row r="3899" s="76" customFormat="1" ht="21.95" customHeight="1" x14ac:dyDescent="0.15"/>
    <row r="3900" s="76" customFormat="1" ht="21.95" customHeight="1" x14ac:dyDescent="0.15"/>
    <row r="3901" s="76" customFormat="1" ht="21.95" customHeight="1" x14ac:dyDescent="0.15"/>
    <row r="3902" s="76" customFormat="1" ht="21.95" customHeight="1" x14ac:dyDescent="0.15"/>
    <row r="3903" s="76" customFormat="1" ht="21.95" customHeight="1" x14ac:dyDescent="0.15"/>
    <row r="3904" s="76" customFormat="1" ht="21.95" customHeight="1" x14ac:dyDescent="0.15"/>
    <row r="3905" s="76" customFormat="1" ht="21.95" customHeight="1" x14ac:dyDescent="0.15"/>
    <row r="3906" s="76" customFormat="1" ht="21.95" customHeight="1" x14ac:dyDescent="0.15"/>
    <row r="3907" s="76" customFormat="1" ht="21.95" customHeight="1" x14ac:dyDescent="0.15"/>
    <row r="3908" s="76" customFormat="1" ht="21.95" customHeight="1" x14ac:dyDescent="0.15"/>
    <row r="3909" s="76" customFormat="1" ht="21.95" customHeight="1" x14ac:dyDescent="0.15"/>
    <row r="3910" s="76" customFormat="1" ht="21.95" customHeight="1" x14ac:dyDescent="0.15"/>
    <row r="3911" s="76" customFormat="1" ht="21.95" customHeight="1" x14ac:dyDescent="0.15"/>
    <row r="3912" s="76" customFormat="1" ht="21.95" customHeight="1" x14ac:dyDescent="0.15"/>
    <row r="3913" s="76" customFormat="1" ht="21.95" customHeight="1" x14ac:dyDescent="0.15"/>
    <row r="3914" s="76" customFormat="1" ht="21.95" customHeight="1" x14ac:dyDescent="0.15"/>
    <row r="3915" s="76" customFormat="1" ht="21.95" customHeight="1" x14ac:dyDescent="0.15"/>
    <row r="3916" s="76" customFormat="1" ht="21.95" customHeight="1" x14ac:dyDescent="0.15"/>
    <row r="3917" s="76" customFormat="1" ht="21.95" customHeight="1" x14ac:dyDescent="0.15"/>
    <row r="3918" s="76" customFormat="1" ht="21.95" customHeight="1" x14ac:dyDescent="0.15"/>
    <row r="3919" s="76" customFormat="1" ht="21.95" customHeight="1" x14ac:dyDescent="0.15"/>
    <row r="3920" s="76" customFormat="1" ht="21.95" customHeight="1" x14ac:dyDescent="0.15"/>
    <row r="3921" spans="3:3" customFormat="1" ht="21.95" customHeight="1" x14ac:dyDescent="0.15"/>
    <row r="3922" spans="3:3" customFormat="1" ht="21.95" customHeight="1" x14ac:dyDescent="0.15"/>
    <row r="3923" spans="3:3" customFormat="1" ht="21.95" customHeight="1" x14ac:dyDescent="0.15">
      <c r="C3923" s="94"/>
    </row>
    <row r="3924" spans="3:3" customFormat="1" ht="21.95" customHeight="1" x14ac:dyDescent="0.15">
      <c r="C3924" s="94"/>
    </row>
    <row r="3925" spans="3:3" customFormat="1" ht="21.95" customHeight="1" x14ac:dyDescent="0.15"/>
    <row r="3926" spans="3:3" customFormat="1" ht="21.95" customHeight="1" x14ac:dyDescent="0.15"/>
    <row r="3927" spans="3:3" customFormat="1" ht="21.95" customHeight="1" x14ac:dyDescent="0.15"/>
    <row r="3928" spans="3:3" customFormat="1" ht="21.95" customHeight="1" x14ac:dyDescent="0.15"/>
    <row r="3929" spans="3:3" customFormat="1" ht="21.95" customHeight="1" x14ac:dyDescent="0.15"/>
    <row r="3930" spans="3:3" customFormat="1" ht="21.95" customHeight="1" x14ac:dyDescent="0.15"/>
    <row r="3931" spans="3:3" customFormat="1" ht="21.95" customHeight="1" x14ac:dyDescent="0.15"/>
    <row r="3932" spans="3:3" s="76" customFormat="1" ht="21.95" customHeight="1" x14ac:dyDescent="0.15"/>
    <row r="3933" spans="3:3" s="76" customFormat="1" ht="21.95" customHeight="1" x14ac:dyDescent="0.15"/>
    <row r="3934" spans="3:3" s="76" customFormat="1" ht="21.95" customHeight="1" x14ac:dyDescent="0.15"/>
    <row r="3935" spans="3:3" s="76" customFormat="1" ht="21.95" customHeight="1" x14ac:dyDescent="0.15"/>
    <row r="3936" spans="3:3" customFormat="1" ht="21.95" customHeight="1" x14ac:dyDescent="0.15"/>
    <row r="3937" customFormat="1" ht="21.95" customHeight="1" x14ac:dyDescent="0.15"/>
    <row r="3938" customFormat="1" ht="21.95" customHeight="1" x14ac:dyDescent="0.15"/>
    <row r="3939" customFormat="1" ht="21.95" customHeight="1" x14ac:dyDescent="0.15"/>
    <row r="3940" customFormat="1" ht="21.95" customHeight="1" x14ac:dyDescent="0.15"/>
    <row r="3941" customFormat="1" ht="21.95" customHeight="1" x14ac:dyDescent="0.15"/>
    <row r="3942" customFormat="1" ht="21.95" customHeight="1" x14ac:dyDescent="0.15"/>
    <row r="3943" customFormat="1" ht="21.95" customHeight="1" x14ac:dyDescent="0.15"/>
    <row r="3944" customFormat="1" ht="21.95" customHeight="1" x14ac:dyDescent="0.15"/>
    <row r="3945" customFormat="1" ht="21.95" customHeight="1" x14ac:dyDescent="0.15"/>
    <row r="3946" customFormat="1" ht="21.95" customHeight="1" x14ac:dyDescent="0.15"/>
    <row r="3947" customFormat="1" ht="32.1" customHeight="1" x14ac:dyDescent="0.15"/>
    <row r="3948" customFormat="1" ht="32.1" customHeight="1" x14ac:dyDescent="0.15"/>
    <row r="3949" customFormat="1" ht="32.1" customHeight="1" x14ac:dyDescent="0.15"/>
    <row r="3950" customFormat="1" ht="32.1" customHeight="1" x14ac:dyDescent="0.15"/>
    <row r="3951" customFormat="1" ht="32.1" customHeight="1" x14ac:dyDescent="0.15"/>
    <row r="3952" customFormat="1" ht="32.1" customHeight="1" x14ac:dyDescent="0.15"/>
    <row r="3953" s="76" customFormat="1" ht="32.1" customHeight="1" x14ac:dyDescent="0.15"/>
    <row r="3954" s="76" customFormat="1" ht="32.1" customHeight="1" x14ac:dyDescent="0.15"/>
    <row r="3955" s="76" customFormat="1" ht="32.1" customHeight="1" x14ac:dyDescent="0.15"/>
    <row r="3956" s="76" customFormat="1" ht="32.1" customHeight="1" x14ac:dyDescent="0.15"/>
    <row r="3957" s="76" customFormat="1" ht="21.95" customHeight="1" x14ac:dyDescent="0.15"/>
    <row r="3958" s="76" customFormat="1" ht="54" customHeight="1" x14ac:dyDescent="0.15"/>
    <row r="3959" s="76" customFormat="1" ht="21.95" customHeight="1" x14ac:dyDescent="0.15"/>
    <row r="3960" s="76" customFormat="1" ht="21.95" customHeight="1" x14ac:dyDescent="0.15"/>
    <row r="3961" s="76" customFormat="1" ht="21.95" customHeight="1" x14ac:dyDescent="0.15"/>
    <row r="3962" s="76" customFormat="1" ht="21.95" customHeight="1" x14ac:dyDescent="0.15"/>
    <row r="3963" s="76" customFormat="1" ht="21.95" customHeight="1" x14ac:dyDescent="0.15"/>
    <row r="3964" s="76" customFormat="1" ht="21.95" customHeight="1" x14ac:dyDescent="0.15"/>
    <row r="3965" s="76" customFormat="1" ht="21.95" customHeight="1" x14ac:dyDescent="0.15"/>
    <row r="3966" s="76" customFormat="1" ht="21.95" customHeight="1" x14ac:dyDescent="0.15"/>
    <row r="3967" s="76" customFormat="1" ht="21.95" customHeight="1" x14ac:dyDescent="0.15"/>
    <row r="3968" s="76" customFormat="1" ht="21.95" customHeight="1" x14ac:dyDescent="0.15"/>
    <row r="3969" s="76" customFormat="1" ht="21.95" customHeight="1" x14ac:dyDescent="0.15"/>
    <row r="3970" s="76" customFormat="1" ht="21.95" customHeight="1" x14ac:dyDescent="0.15"/>
    <row r="3971" s="76" customFormat="1" ht="21.95" customHeight="1" x14ac:dyDescent="0.15"/>
    <row r="3972" s="76" customFormat="1" ht="21.95" customHeight="1" x14ac:dyDescent="0.15"/>
    <row r="3973" s="76" customFormat="1" ht="21.95" customHeight="1" x14ac:dyDescent="0.15"/>
    <row r="3974" s="76" customFormat="1" ht="21.95" customHeight="1" x14ac:dyDescent="0.15"/>
    <row r="3975" s="76" customFormat="1" ht="21.95" customHeight="1" x14ac:dyDescent="0.15"/>
    <row r="3976" s="76" customFormat="1" ht="21.95" customHeight="1" x14ac:dyDescent="0.15"/>
    <row r="3977" s="76" customFormat="1" ht="21.95" customHeight="1" x14ac:dyDescent="0.15"/>
    <row r="3978" s="76" customFormat="1" ht="21.95" customHeight="1" x14ac:dyDescent="0.15"/>
    <row r="3979" s="76" customFormat="1" ht="21.95" customHeight="1" x14ac:dyDescent="0.15"/>
    <row r="3980" s="76" customFormat="1" ht="21.95" customHeight="1" x14ac:dyDescent="0.15"/>
    <row r="3981" s="76" customFormat="1" ht="21.95" customHeight="1" x14ac:dyDescent="0.15"/>
    <row r="3982" s="76" customFormat="1" ht="21.95" customHeight="1" x14ac:dyDescent="0.15"/>
    <row r="3983" s="76" customFormat="1" ht="21.95" customHeight="1" x14ac:dyDescent="0.15"/>
    <row r="3984" s="76" customFormat="1" ht="21.95" customHeight="1" x14ac:dyDescent="0.15"/>
    <row r="3985" s="76" customFormat="1" ht="21.95" customHeight="1" x14ac:dyDescent="0.15"/>
    <row r="3986" s="76" customFormat="1" ht="21.95" customHeight="1" x14ac:dyDescent="0.15"/>
    <row r="3987" s="76" customFormat="1" ht="21.95" customHeight="1" x14ac:dyDescent="0.15"/>
    <row r="3988" s="76" customFormat="1" ht="21.95" customHeight="1" x14ac:dyDescent="0.15"/>
    <row r="3989" s="76" customFormat="1" ht="21.95" customHeight="1" x14ac:dyDescent="0.15"/>
    <row r="3990" s="76" customFormat="1" ht="21.95" customHeight="1" x14ac:dyDescent="0.15"/>
    <row r="3991" s="76" customFormat="1" ht="21.95" customHeight="1" x14ac:dyDescent="0.15"/>
    <row r="3992" s="76" customFormat="1" ht="21.95" customHeight="1" x14ac:dyDescent="0.15"/>
    <row r="3993" s="76" customFormat="1" ht="21.95" customHeight="1" x14ac:dyDescent="0.15"/>
    <row r="3994" s="76" customFormat="1" ht="21.95" customHeight="1" x14ac:dyDescent="0.15"/>
    <row r="3995" s="76" customFormat="1" ht="21.95" customHeight="1" x14ac:dyDescent="0.15"/>
    <row r="3996" s="76" customFormat="1" ht="21.95" customHeight="1" x14ac:dyDescent="0.15"/>
    <row r="3997" s="76" customFormat="1" ht="21.95" customHeight="1" x14ac:dyDescent="0.15"/>
    <row r="3998" s="76" customFormat="1" ht="21.95" customHeight="1" x14ac:dyDescent="0.15"/>
    <row r="3999" s="76" customFormat="1" ht="21.95" customHeight="1" x14ac:dyDescent="0.15"/>
    <row r="4000" s="76" customFormat="1" ht="21.95" customHeight="1" x14ac:dyDescent="0.15"/>
    <row r="4001" s="76" customFormat="1" ht="21.95" customHeight="1" x14ac:dyDescent="0.15"/>
    <row r="4002" s="76" customFormat="1" ht="21.95" customHeight="1" x14ac:dyDescent="0.15"/>
    <row r="4003" s="76" customFormat="1" ht="21.95" customHeight="1" x14ac:dyDescent="0.15"/>
    <row r="4004" s="76" customFormat="1" ht="21.95" customHeight="1" x14ac:dyDescent="0.15"/>
    <row r="4005" s="76" customFormat="1" ht="21.95" customHeight="1" x14ac:dyDescent="0.15"/>
    <row r="4006" s="76" customFormat="1" ht="21.95" customHeight="1" x14ac:dyDescent="0.15"/>
    <row r="4007" s="76" customFormat="1" ht="21.95" customHeight="1" x14ac:dyDescent="0.15"/>
    <row r="4008" s="76" customFormat="1" ht="21.95" customHeight="1" x14ac:dyDescent="0.15"/>
    <row r="4009" s="76" customFormat="1" ht="35.1" customHeight="1" x14ac:dyDescent="0.15"/>
    <row r="4010" s="76" customFormat="1" ht="21.95" customHeight="1" x14ac:dyDescent="0.15"/>
    <row r="4011" s="76" customFormat="1" ht="21.95" customHeight="1" x14ac:dyDescent="0.15"/>
    <row r="4012" s="76" customFormat="1" ht="21.95" customHeight="1" x14ac:dyDescent="0.15"/>
    <row r="4013" s="76" customFormat="1" ht="21.95" customHeight="1" x14ac:dyDescent="0.15"/>
    <row r="4014" s="76" customFormat="1" ht="21.95" customHeight="1" x14ac:dyDescent="0.15"/>
    <row r="4015" s="76" customFormat="1" ht="21.95" customHeight="1" x14ac:dyDescent="0.15"/>
    <row r="4016" s="76" customFormat="1" ht="21.95" customHeight="1" x14ac:dyDescent="0.15"/>
    <row r="4017" s="76" customFormat="1" ht="21.95" customHeight="1" x14ac:dyDescent="0.15"/>
    <row r="4018" s="76" customFormat="1" ht="21.95" customHeight="1" x14ac:dyDescent="0.15"/>
    <row r="4019" s="76" customFormat="1" ht="21.95" customHeight="1" x14ac:dyDescent="0.15"/>
    <row r="4020" s="76" customFormat="1" ht="21.95" customHeight="1" x14ac:dyDescent="0.15"/>
    <row r="4021" s="76" customFormat="1" ht="21.95" customHeight="1" x14ac:dyDescent="0.15"/>
    <row r="4022" s="76" customFormat="1" ht="21.95" customHeight="1" x14ac:dyDescent="0.15"/>
    <row r="4023" s="76" customFormat="1" ht="21.95" customHeight="1" x14ac:dyDescent="0.15"/>
    <row r="4024" s="76" customFormat="1" ht="21.95" customHeight="1" x14ac:dyDescent="0.15"/>
    <row r="4025" s="76" customFormat="1" ht="21.95" customHeight="1" x14ac:dyDescent="0.15"/>
    <row r="4026" s="76" customFormat="1" ht="21.95" customHeight="1" x14ac:dyDescent="0.15"/>
    <row r="4027" s="76" customFormat="1" ht="21.95" customHeight="1" x14ac:dyDescent="0.15"/>
    <row r="4028" s="76" customFormat="1" ht="21.95" customHeight="1" x14ac:dyDescent="0.15"/>
    <row r="4029" s="76" customFormat="1" ht="21.95" customHeight="1" x14ac:dyDescent="0.15"/>
    <row r="4030" s="76" customFormat="1" ht="21.95" customHeight="1" x14ac:dyDescent="0.15"/>
    <row r="4031" s="76" customFormat="1" ht="21.95" customHeight="1" x14ac:dyDescent="0.15"/>
    <row r="4032" s="76" customFormat="1" ht="21.95" customHeight="1" x14ac:dyDescent="0.15"/>
    <row r="4033" spans="3:3" customFormat="1" ht="21.95" customHeight="1" x14ac:dyDescent="0.15"/>
    <row r="4034" spans="3:3" customFormat="1" ht="21.95" customHeight="1" x14ac:dyDescent="0.15"/>
    <row r="4035" spans="3:3" customFormat="1" ht="21.95" customHeight="1" x14ac:dyDescent="0.15">
      <c r="C4035" s="94"/>
    </row>
    <row r="4036" spans="3:3" customFormat="1" ht="21.95" customHeight="1" x14ac:dyDescent="0.15">
      <c r="C4036" s="94"/>
    </row>
    <row r="4037" spans="3:3" customFormat="1" ht="21.95" customHeight="1" x14ac:dyDescent="0.15"/>
    <row r="4038" spans="3:3" customFormat="1" ht="21.95" customHeight="1" x14ac:dyDescent="0.15"/>
    <row r="4039" spans="3:3" customFormat="1" ht="21.95" customHeight="1" x14ac:dyDescent="0.15"/>
    <row r="4040" spans="3:3" customFormat="1" ht="21.95" customHeight="1" x14ac:dyDescent="0.15"/>
    <row r="4041" spans="3:3" customFormat="1" ht="21.95" customHeight="1" x14ac:dyDescent="0.15"/>
    <row r="4042" spans="3:3" customFormat="1" ht="21.95" customHeight="1" x14ac:dyDescent="0.15"/>
    <row r="4043" spans="3:3" customFormat="1" ht="21.95" customHeight="1" x14ac:dyDescent="0.15"/>
    <row r="4044" spans="3:3" s="76" customFormat="1" ht="21.95" customHeight="1" x14ac:dyDescent="0.15"/>
    <row r="4045" spans="3:3" s="76" customFormat="1" ht="21.95" customHeight="1" x14ac:dyDescent="0.15"/>
    <row r="4046" spans="3:3" s="76" customFormat="1" ht="21.95" customHeight="1" x14ac:dyDescent="0.15"/>
    <row r="4047" spans="3:3" s="76" customFormat="1" ht="21.95" customHeight="1" x14ac:dyDescent="0.15"/>
    <row r="4048" spans="3:3" customFormat="1" ht="21.95" customHeight="1" x14ac:dyDescent="0.15"/>
    <row r="4049" customFormat="1" ht="21.95" customHeight="1" x14ac:dyDescent="0.15"/>
    <row r="4050" customFormat="1" ht="21.95" customHeight="1" x14ac:dyDescent="0.15"/>
    <row r="4051" customFormat="1" ht="21.95" customHeight="1" x14ac:dyDescent="0.15"/>
    <row r="4052" customFormat="1" ht="21.95" customHeight="1" x14ac:dyDescent="0.15"/>
    <row r="4053" customFormat="1" ht="21.95" customHeight="1" x14ac:dyDescent="0.15"/>
    <row r="4054" customFormat="1" ht="21.95" customHeight="1" x14ac:dyDescent="0.15"/>
    <row r="4055" customFormat="1" ht="21.95" customHeight="1" x14ac:dyDescent="0.15"/>
    <row r="4056" customFormat="1" ht="21.95" customHeight="1" x14ac:dyDescent="0.15"/>
    <row r="4057" customFormat="1" ht="21.95" customHeight="1" x14ac:dyDescent="0.15"/>
    <row r="4058" customFormat="1" ht="21.95" customHeight="1" x14ac:dyDescent="0.15"/>
    <row r="4059" customFormat="1" ht="32.1" customHeight="1" x14ac:dyDescent="0.15"/>
    <row r="4060" customFormat="1" ht="32.1" customHeight="1" x14ac:dyDescent="0.15"/>
    <row r="4061" customFormat="1" ht="32.1" customHeight="1" x14ac:dyDescent="0.15"/>
    <row r="4062" customFormat="1" ht="32.1" customHeight="1" x14ac:dyDescent="0.15"/>
    <row r="4063" customFormat="1" ht="32.1" customHeight="1" x14ac:dyDescent="0.15"/>
    <row r="4064" customFormat="1" ht="32.1" customHeight="1" x14ac:dyDescent="0.15"/>
    <row r="4065" s="76" customFormat="1" ht="32.1" customHeight="1" x14ac:dyDescent="0.15"/>
    <row r="4066" s="76" customFormat="1" ht="32.1" customHeight="1" x14ac:dyDescent="0.15"/>
    <row r="4067" s="76" customFormat="1" ht="32.1" customHeight="1" x14ac:dyDescent="0.15"/>
    <row r="4068" s="76" customFormat="1" ht="32.1" customHeight="1" x14ac:dyDescent="0.15"/>
    <row r="4069" s="76" customFormat="1" ht="21.95" customHeight="1" x14ac:dyDescent="0.15"/>
    <row r="4070" s="76" customFormat="1" ht="54" customHeight="1" x14ac:dyDescent="0.15"/>
    <row r="4071" s="76" customFormat="1" ht="21.95" customHeight="1" x14ac:dyDescent="0.15"/>
    <row r="4072" s="76" customFormat="1" ht="21.95" customHeight="1" x14ac:dyDescent="0.15"/>
    <row r="4073" s="76" customFormat="1" ht="21.95" customHeight="1" x14ac:dyDescent="0.15"/>
    <row r="4074" s="76" customFormat="1" ht="21.95" customHeight="1" x14ac:dyDescent="0.15"/>
    <row r="4075" s="76" customFormat="1" ht="21.95" customHeight="1" x14ac:dyDescent="0.15"/>
    <row r="4076" s="76" customFormat="1" ht="21.95" customHeight="1" x14ac:dyDescent="0.15"/>
    <row r="4077" s="76" customFormat="1" ht="21.95" customHeight="1" x14ac:dyDescent="0.15"/>
    <row r="4078" s="76" customFormat="1" ht="21.95" customHeight="1" x14ac:dyDescent="0.15"/>
    <row r="4079" s="76" customFormat="1" ht="21.95" customHeight="1" x14ac:dyDescent="0.15"/>
    <row r="4080" s="76" customFormat="1" ht="21.95" customHeight="1" x14ac:dyDescent="0.15"/>
    <row r="4081" s="76" customFormat="1" ht="21.95" customHeight="1" x14ac:dyDescent="0.15"/>
    <row r="4082" s="76" customFormat="1" ht="21.95" customHeight="1" x14ac:dyDescent="0.15"/>
    <row r="4083" s="76" customFormat="1" ht="21.95" customHeight="1" x14ac:dyDescent="0.15"/>
    <row r="4084" s="76" customFormat="1" ht="21.95" customHeight="1" x14ac:dyDescent="0.15"/>
    <row r="4085" s="76" customFormat="1" ht="21.95" customHeight="1" x14ac:dyDescent="0.15"/>
    <row r="4086" s="76" customFormat="1" ht="21.95" customHeight="1" x14ac:dyDescent="0.15"/>
    <row r="4087" s="76" customFormat="1" ht="21.95" customHeight="1" x14ac:dyDescent="0.15"/>
    <row r="4088" s="76" customFormat="1" ht="21.95" customHeight="1" x14ac:dyDescent="0.15"/>
    <row r="4089" s="76" customFormat="1" ht="21.95" customHeight="1" x14ac:dyDescent="0.15"/>
    <row r="4090" s="76" customFormat="1" ht="21.95" customHeight="1" x14ac:dyDescent="0.15"/>
    <row r="4091" s="76" customFormat="1" ht="21.95" customHeight="1" x14ac:dyDescent="0.15"/>
    <row r="4092" s="76" customFormat="1" ht="21.95" customHeight="1" x14ac:dyDescent="0.15"/>
    <row r="4093" s="76" customFormat="1" ht="21.95" customHeight="1" x14ac:dyDescent="0.15"/>
    <row r="4094" s="76" customFormat="1" ht="21.95" customHeight="1" x14ac:dyDescent="0.15"/>
    <row r="4095" s="76" customFormat="1" ht="21.95" customHeight="1" x14ac:dyDescent="0.15"/>
    <row r="4096" s="76" customFormat="1" ht="21.95" customHeight="1" x14ac:dyDescent="0.15"/>
    <row r="4097" s="76" customFormat="1" ht="21.95" customHeight="1" x14ac:dyDescent="0.15"/>
    <row r="4098" s="76" customFormat="1" ht="21.95" customHeight="1" x14ac:dyDescent="0.15"/>
    <row r="4099" s="76" customFormat="1" ht="21.95" customHeight="1" x14ac:dyDescent="0.15"/>
    <row r="4100" s="76" customFormat="1" ht="21.95" customHeight="1" x14ac:dyDescent="0.15"/>
    <row r="4101" s="76" customFormat="1" ht="21.95" customHeight="1" x14ac:dyDescent="0.15"/>
    <row r="4102" s="76" customFormat="1" ht="21.95" customHeight="1" x14ac:dyDescent="0.15"/>
    <row r="4103" s="76" customFormat="1" ht="21.95" customHeight="1" x14ac:dyDescent="0.15"/>
    <row r="4104" s="76" customFormat="1" ht="21.95" customHeight="1" x14ac:dyDescent="0.15"/>
    <row r="4105" s="76" customFormat="1" ht="21.95" customHeight="1" x14ac:dyDescent="0.15"/>
    <row r="4106" s="76" customFormat="1" ht="21.95" customHeight="1" x14ac:dyDescent="0.15"/>
    <row r="4107" s="76" customFormat="1" ht="21.95" customHeight="1" x14ac:dyDescent="0.15"/>
    <row r="4108" s="76" customFormat="1" ht="21.95" customHeight="1" x14ac:dyDescent="0.15"/>
    <row r="4109" s="76" customFormat="1" ht="21.95" customHeight="1" x14ac:dyDescent="0.15"/>
    <row r="4110" s="76" customFormat="1" ht="21.95" customHeight="1" x14ac:dyDescent="0.15"/>
    <row r="4111" s="76" customFormat="1" ht="21.95" customHeight="1" x14ac:dyDescent="0.15"/>
    <row r="4112" s="76" customFormat="1" ht="21.95" customHeight="1" x14ac:dyDescent="0.15"/>
    <row r="4113" s="76" customFormat="1" ht="21.95" customHeight="1" x14ac:dyDescent="0.15"/>
    <row r="4114" s="76" customFormat="1" ht="21.95" customHeight="1" x14ac:dyDescent="0.15"/>
    <row r="4115" s="76" customFormat="1" ht="21.95" customHeight="1" x14ac:dyDescent="0.15"/>
    <row r="4116" s="76" customFormat="1" ht="21.95" customHeight="1" x14ac:dyDescent="0.15"/>
    <row r="4117" s="76" customFormat="1" ht="21.95" customHeight="1" x14ac:dyDescent="0.15"/>
    <row r="4118" s="76" customFormat="1" ht="21.95" customHeight="1" x14ac:dyDescent="0.15"/>
    <row r="4119" s="76" customFormat="1" ht="21.95" customHeight="1" x14ac:dyDescent="0.15"/>
    <row r="4120" s="76" customFormat="1" ht="21.95" customHeight="1" x14ac:dyDescent="0.15"/>
    <row r="4121" s="76" customFormat="1" ht="35.1" customHeight="1" x14ac:dyDescent="0.15"/>
    <row r="4122" s="76" customFormat="1" ht="21.95" customHeight="1" x14ac:dyDescent="0.15"/>
    <row r="4123" s="76" customFormat="1" ht="21.95" customHeight="1" x14ac:dyDescent="0.15"/>
    <row r="4124" s="76" customFormat="1" ht="21.95" customHeight="1" x14ac:dyDescent="0.15"/>
    <row r="4125" s="76" customFormat="1" ht="21.95" customHeight="1" x14ac:dyDescent="0.15"/>
    <row r="4126" s="76" customFormat="1" ht="21.95" customHeight="1" x14ac:dyDescent="0.15"/>
    <row r="4127" s="76" customFormat="1" ht="21.95" customHeight="1" x14ac:dyDescent="0.15"/>
    <row r="4128" s="76" customFormat="1" ht="21.95" customHeight="1" x14ac:dyDescent="0.15"/>
    <row r="4129" s="76" customFormat="1" ht="21.95" customHeight="1" x14ac:dyDescent="0.15"/>
    <row r="4130" s="76" customFormat="1" ht="21.95" customHeight="1" x14ac:dyDescent="0.15"/>
    <row r="4131" s="76" customFormat="1" ht="21.95" customHeight="1" x14ac:dyDescent="0.15"/>
    <row r="4132" s="76" customFormat="1" ht="21.95" customHeight="1" x14ac:dyDescent="0.15"/>
    <row r="4133" s="76" customFormat="1" ht="21.95" customHeight="1" x14ac:dyDescent="0.15"/>
    <row r="4134" s="76" customFormat="1" ht="21.95" customHeight="1" x14ac:dyDescent="0.15"/>
    <row r="4135" s="76" customFormat="1" ht="21.95" customHeight="1" x14ac:dyDescent="0.15"/>
    <row r="4136" s="76" customFormat="1" ht="21.95" customHeight="1" x14ac:dyDescent="0.15"/>
    <row r="4137" s="76" customFormat="1" ht="21.95" customHeight="1" x14ac:dyDescent="0.15"/>
    <row r="4138" s="76" customFormat="1" ht="21.95" customHeight="1" x14ac:dyDescent="0.15"/>
    <row r="4139" s="76" customFormat="1" ht="21.95" customHeight="1" x14ac:dyDescent="0.15"/>
    <row r="4140" s="76" customFormat="1" ht="21.95" customHeight="1" x14ac:dyDescent="0.15"/>
    <row r="4141" s="76" customFormat="1" ht="21.95" customHeight="1" x14ac:dyDescent="0.15"/>
    <row r="4142" s="76" customFormat="1" ht="21.95" customHeight="1" x14ac:dyDescent="0.15"/>
    <row r="4143" s="76" customFormat="1" ht="21.95" customHeight="1" x14ac:dyDescent="0.15"/>
    <row r="4144" s="76" customFormat="1" ht="21.95" customHeight="1" x14ac:dyDescent="0.15"/>
    <row r="4145" spans="3:3" customFormat="1" ht="21.95" customHeight="1" x14ac:dyDescent="0.15"/>
    <row r="4146" spans="3:3" customFormat="1" ht="21.95" customHeight="1" x14ac:dyDescent="0.15"/>
    <row r="4147" spans="3:3" customFormat="1" ht="21.95" customHeight="1" x14ac:dyDescent="0.15">
      <c r="C4147" s="94"/>
    </row>
    <row r="4148" spans="3:3" customFormat="1" ht="21.95" customHeight="1" x14ac:dyDescent="0.15">
      <c r="C4148" s="94"/>
    </row>
    <row r="4149" spans="3:3" customFormat="1" ht="21.95" customHeight="1" x14ac:dyDescent="0.15"/>
    <row r="4150" spans="3:3" customFormat="1" ht="21.95" customHeight="1" x14ac:dyDescent="0.15"/>
    <row r="4151" spans="3:3" customFormat="1" ht="21.95" customHeight="1" x14ac:dyDescent="0.15"/>
    <row r="4152" spans="3:3" customFormat="1" ht="21.95" customHeight="1" x14ac:dyDescent="0.15"/>
    <row r="4153" spans="3:3" customFormat="1" ht="21.95" customHeight="1" x14ac:dyDescent="0.15"/>
    <row r="4154" spans="3:3" customFormat="1" ht="21.95" customHeight="1" x14ac:dyDescent="0.15"/>
    <row r="4155" spans="3:3" customFormat="1" ht="21.95" customHeight="1" x14ac:dyDescent="0.15"/>
    <row r="4156" spans="3:3" s="76" customFormat="1" ht="21.95" customHeight="1" x14ac:dyDescent="0.15"/>
    <row r="4157" spans="3:3" s="76" customFormat="1" ht="21.95" customHeight="1" x14ac:dyDescent="0.15"/>
    <row r="4158" spans="3:3" s="76" customFormat="1" ht="21.95" customHeight="1" x14ac:dyDescent="0.15"/>
    <row r="4159" spans="3:3" s="76" customFormat="1" ht="21.95" customHeight="1" x14ac:dyDescent="0.15"/>
    <row r="4160" spans="3:3" customFormat="1" ht="21.95" customHeight="1" x14ac:dyDescent="0.15"/>
    <row r="4161" customFormat="1" ht="21.95" customHeight="1" x14ac:dyDescent="0.15"/>
    <row r="4162" customFormat="1" ht="21.95" customHeight="1" x14ac:dyDescent="0.15"/>
    <row r="4163" customFormat="1" ht="21.95" customHeight="1" x14ac:dyDescent="0.15"/>
    <row r="4164" customFormat="1" ht="21.95" customHeight="1" x14ac:dyDescent="0.15"/>
    <row r="4165" customFormat="1" ht="21.95" customHeight="1" x14ac:dyDescent="0.15"/>
    <row r="4166" customFormat="1" ht="21.95" customHeight="1" x14ac:dyDescent="0.15"/>
    <row r="4167" customFormat="1" ht="21.95" customHeight="1" x14ac:dyDescent="0.15"/>
    <row r="4168" customFormat="1" ht="21.95" customHeight="1" x14ac:dyDescent="0.15"/>
    <row r="4169" customFormat="1" ht="21.95" customHeight="1" x14ac:dyDescent="0.15"/>
    <row r="4170" customFormat="1" ht="21.95" customHeight="1" x14ac:dyDescent="0.15"/>
    <row r="4171" customFormat="1" ht="32.1" customHeight="1" x14ac:dyDescent="0.15"/>
    <row r="4172" customFormat="1" ht="32.1" customHeight="1" x14ac:dyDescent="0.15"/>
    <row r="4173" customFormat="1" ht="32.1" customHeight="1" x14ac:dyDescent="0.15"/>
    <row r="4174" customFormat="1" ht="32.1" customHeight="1" x14ac:dyDescent="0.15"/>
    <row r="4175" customFormat="1" ht="32.1" customHeight="1" x14ac:dyDescent="0.15"/>
    <row r="4176" customFormat="1" ht="32.1" customHeight="1" x14ac:dyDescent="0.15"/>
    <row r="4177" s="76" customFormat="1" ht="32.1" customHeight="1" x14ac:dyDescent="0.15"/>
    <row r="4178" s="76" customFormat="1" ht="32.1" customHeight="1" x14ac:dyDescent="0.15"/>
    <row r="4179" s="76" customFormat="1" ht="32.1" customHeight="1" x14ac:dyDescent="0.15"/>
    <row r="4180" s="76" customFormat="1" ht="32.1" customHeight="1" x14ac:dyDescent="0.15"/>
    <row r="4181" s="76" customFormat="1" ht="21.95" customHeight="1" x14ac:dyDescent="0.15"/>
    <row r="4182" s="76" customFormat="1" ht="54" customHeight="1" x14ac:dyDescent="0.15"/>
    <row r="4183" s="76" customFormat="1" ht="21.95" customHeight="1" x14ac:dyDescent="0.15"/>
    <row r="4184" s="76" customFormat="1" ht="21.95" customHeight="1" x14ac:dyDescent="0.15"/>
    <row r="4185" s="76" customFormat="1" ht="21.95" customHeight="1" x14ac:dyDescent="0.15"/>
    <row r="4186" s="76" customFormat="1" ht="21.95" customHeight="1" x14ac:dyDescent="0.15"/>
    <row r="4187" s="76" customFormat="1" ht="21.95" customHeight="1" x14ac:dyDescent="0.15"/>
    <row r="4188" s="76" customFormat="1" ht="21.95" customHeight="1" x14ac:dyDescent="0.15"/>
    <row r="4189" s="76" customFormat="1" ht="21.95" customHeight="1" x14ac:dyDescent="0.15"/>
    <row r="4190" s="76" customFormat="1" ht="21.95" customHeight="1" x14ac:dyDescent="0.15"/>
    <row r="4191" s="76" customFormat="1" ht="21.95" customHeight="1" x14ac:dyDescent="0.15"/>
    <row r="4192" s="76" customFormat="1" ht="21.95" customHeight="1" x14ac:dyDescent="0.15"/>
    <row r="4193" s="76" customFormat="1" ht="21.95" customHeight="1" x14ac:dyDescent="0.15"/>
    <row r="4194" s="76" customFormat="1" ht="21.95" customHeight="1" x14ac:dyDescent="0.15"/>
    <row r="4195" s="76" customFormat="1" ht="21.95" customHeight="1" x14ac:dyDescent="0.15"/>
    <row r="4196" s="76" customFormat="1" ht="21.95" customHeight="1" x14ac:dyDescent="0.15"/>
    <row r="4197" s="76" customFormat="1" ht="21.95" customHeight="1" x14ac:dyDescent="0.15"/>
    <row r="4198" s="76" customFormat="1" ht="21.95" customHeight="1" x14ac:dyDescent="0.15"/>
    <row r="4199" s="76" customFormat="1" ht="21.95" customHeight="1" x14ac:dyDescent="0.15"/>
    <row r="4200" s="76" customFormat="1" ht="21.95" customHeight="1" x14ac:dyDescent="0.15"/>
    <row r="4201" s="76" customFormat="1" ht="21.95" customHeight="1" x14ac:dyDescent="0.15"/>
    <row r="4202" s="76" customFormat="1" ht="21.95" customHeight="1" x14ac:dyDescent="0.15"/>
    <row r="4203" s="76" customFormat="1" ht="21.95" customHeight="1" x14ac:dyDescent="0.15"/>
    <row r="4204" s="76" customFormat="1" ht="21.95" customHeight="1" x14ac:dyDescent="0.15"/>
    <row r="4205" s="76" customFormat="1" ht="21.95" customHeight="1" x14ac:dyDescent="0.15"/>
    <row r="4206" s="76" customFormat="1" ht="21.95" customHeight="1" x14ac:dyDescent="0.15"/>
    <row r="4207" s="76" customFormat="1" ht="21.95" customHeight="1" x14ac:dyDescent="0.15"/>
    <row r="4208" s="76" customFormat="1" ht="21.95" customHeight="1" x14ac:dyDescent="0.15"/>
    <row r="4209" s="76" customFormat="1" ht="21.95" customHeight="1" x14ac:dyDescent="0.15"/>
    <row r="4210" s="76" customFormat="1" ht="21.95" customHeight="1" x14ac:dyDescent="0.15"/>
    <row r="4211" s="76" customFormat="1" ht="21.95" customHeight="1" x14ac:dyDescent="0.15"/>
    <row r="4212" s="76" customFormat="1" ht="21.95" customHeight="1" x14ac:dyDescent="0.15"/>
    <row r="4213" s="76" customFormat="1" ht="21.95" customHeight="1" x14ac:dyDescent="0.15"/>
    <row r="4214" s="76" customFormat="1" ht="21.95" customHeight="1" x14ac:dyDescent="0.15"/>
    <row r="4215" s="76" customFormat="1" ht="21.95" customHeight="1" x14ac:dyDescent="0.15"/>
    <row r="4216" s="76" customFormat="1" ht="21.95" customHeight="1" x14ac:dyDescent="0.15"/>
    <row r="4217" s="76" customFormat="1" ht="21.95" customHeight="1" x14ac:dyDescent="0.15"/>
    <row r="4218" s="76" customFormat="1" ht="21.95" customHeight="1" x14ac:dyDescent="0.15"/>
    <row r="4219" s="76" customFormat="1" ht="21.95" customHeight="1" x14ac:dyDescent="0.15"/>
    <row r="4220" s="76" customFormat="1" ht="21.95" customHeight="1" x14ac:dyDescent="0.15"/>
    <row r="4221" s="76" customFormat="1" ht="21.95" customHeight="1" x14ac:dyDescent="0.15"/>
    <row r="4222" s="76" customFormat="1" ht="21.95" customHeight="1" x14ac:dyDescent="0.15"/>
    <row r="4223" s="76" customFormat="1" ht="21.95" customHeight="1" x14ac:dyDescent="0.15"/>
    <row r="4224" s="76" customFormat="1" ht="21.95" customHeight="1" x14ac:dyDescent="0.15"/>
    <row r="4225" s="76" customFormat="1" ht="21.95" customHeight="1" x14ac:dyDescent="0.15"/>
    <row r="4226" s="76" customFormat="1" ht="21.95" customHeight="1" x14ac:dyDescent="0.15"/>
    <row r="4227" s="76" customFormat="1" ht="21.95" customHeight="1" x14ac:dyDescent="0.15"/>
    <row r="4228" s="76" customFormat="1" ht="21.95" customHeight="1" x14ac:dyDescent="0.15"/>
    <row r="4229" s="76" customFormat="1" ht="21.95" customHeight="1" x14ac:dyDescent="0.15"/>
    <row r="4230" s="76" customFormat="1" ht="21.95" customHeight="1" x14ac:dyDescent="0.15"/>
    <row r="4231" s="76" customFormat="1" ht="21.95" customHeight="1" x14ac:dyDescent="0.15"/>
    <row r="4232" s="76" customFormat="1" ht="21.95" customHeight="1" x14ac:dyDescent="0.15"/>
    <row r="4233" s="76" customFormat="1" ht="35.1" customHeight="1" x14ac:dyDescent="0.15"/>
    <row r="4234" s="76" customFormat="1" ht="21.95" customHeight="1" x14ac:dyDescent="0.15"/>
    <row r="4235" s="76" customFormat="1" ht="21.95" customHeight="1" x14ac:dyDescent="0.15"/>
    <row r="4236" s="76" customFormat="1" ht="21.95" customHeight="1" x14ac:dyDescent="0.15"/>
    <row r="4237" s="76" customFormat="1" ht="21.95" customHeight="1" x14ac:dyDescent="0.15"/>
    <row r="4238" s="76" customFormat="1" ht="21.95" customHeight="1" x14ac:dyDescent="0.15"/>
    <row r="4239" s="76" customFormat="1" ht="21.95" customHeight="1" x14ac:dyDescent="0.15"/>
    <row r="4240" s="76" customFormat="1" ht="21.95" customHeight="1" x14ac:dyDescent="0.15"/>
    <row r="4241" s="76" customFormat="1" ht="21.95" customHeight="1" x14ac:dyDescent="0.15"/>
    <row r="4242" s="76" customFormat="1" ht="21.95" customHeight="1" x14ac:dyDescent="0.15"/>
    <row r="4243" s="76" customFormat="1" ht="21.95" customHeight="1" x14ac:dyDescent="0.15"/>
    <row r="4244" s="76" customFormat="1" ht="21.95" customHeight="1" x14ac:dyDescent="0.15"/>
    <row r="4245" s="76" customFormat="1" ht="21.95" customHeight="1" x14ac:dyDescent="0.15"/>
    <row r="4246" s="76" customFormat="1" ht="21.95" customHeight="1" x14ac:dyDescent="0.15"/>
    <row r="4247" s="76" customFormat="1" ht="21.95" customHeight="1" x14ac:dyDescent="0.15"/>
    <row r="4248" s="76" customFormat="1" ht="21.95" customHeight="1" x14ac:dyDescent="0.15"/>
    <row r="4249" s="76" customFormat="1" ht="21.95" customHeight="1" x14ac:dyDescent="0.15"/>
    <row r="4250" s="76" customFormat="1" ht="21.95" customHeight="1" x14ac:dyDescent="0.15"/>
    <row r="4251" s="76" customFormat="1" ht="21.95" customHeight="1" x14ac:dyDescent="0.15"/>
    <row r="4252" s="76" customFormat="1" ht="21.95" customHeight="1" x14ac:dyDescent="0.15"/>
    <row r="4253" s="76" customFormat="1" ht="21.95" customHeight="1" x14ac:dyDescent="0.15"/>
    <row r="4254" s="76" customFormat="1" ht="21.95" customHeight="1" x14ac:dyDescent="0.15"/>
    <row r="4255" s="76" customFormat="1" ht="21.95" customHeight="1" x14ac:dyDescent="0.15"/>
    <row r="4256" s="76" customFormat="1" ht="21.95" customHeight="1" x14ac:dyDescent="0.15"/>
    <row r="4257" spans="3:3" customFormat="1" ht="21.95" customHeight="1" x14ac:dyDescent="0.15"/>
    <row r="4258" spans="3:3" customFormat="1" ht="21.95" customHeight="1" x14ac:dyDescent="0.15"/>
    <row r="4259" spans="3:3" customFormat="1" ht="21.95" customHeight="1" x14ac:dyDescent="0.15">
      <c r="C4259" s="94"/>
    </row>
    <row r="4260" spans="3:3" customFormat="1" ht="21.95" customHeight="1" x14ac:dyDescent="0.15">
      <c r="C4260" s="94"/>
    </row>
    <row r="4261" spans="3:3" customFormat="1" ht="21.95" customHeight="1" x14ac:dyDescent="0.15"/>
    <row r="4262" spans="3:3" customFormat="1" ht="21.95" customHeight="1" x14ac:dyDescent="0.15"/>
    <row r="4263" spans="3:3" customFormat="1" ht="21.95" customHeight="1" x14ac:dyDescent="0.15"/>
    <row r="4264" spans="3:3" customFormat="1" ht="21.95" customHeight="1" x14ac:dyDescent="0.15"/>
    <row r="4265" spans="3:3" customFormat="1" ht="21.95" customHeight="1" x14ac:dyDescent="0.15"/>
    <row r="4266" spans="3:3" customFormat="1" ht="21.95" customHeight="1" x14ac:dyDescent="0.15"/>
    <row r="4267" spans="3:3" customFormat="1" ht="21.95" customHeight="1" x14ac:dyDescent="0.15"/>
    <row r="4268" spans="3:3" s="76" customFormat="1" ht="21.95" customHeight="1" x14ac:dyDescent="0.15"/>
    <row r="4269" spans="3:3" s="76" customFormat="1" ht="21.95" customHeight="1" x14ac:dyDescent="0.15"/>
    <row r="4270" spans="3:3" s="76" customFormat="1" ht="21.95" customHeight="1" x14ac:dyDescent="0.15"/>
    <row r="4271" spans="3:3" s="76" customFormat="1" ht="21.95" customHeight="1" x14ac:dyDescent="0.15"/>
    <row r="4272" spans="3:3" customFormat="1" ht="21.95" customHeight="1" x14ac:dyDescent="0.15"/>
    <row r="4273" customFormat="1" ht="21.95" customHeight="1" x14ac:dyDescent="0.15"/>
    <row r="4274" customFormat="1" ht="21.95" customHeight="1" x14ac:dyDescent="0.15"/>
    <row r="4275" customFormat="1" ht="21.95" customHeight="1" x14ac:dyDescent="0.15"/>
    <row r="4276" customFormat="1" ht="21.95" customHeight="1" x14ac:dyDescent="0.15"/>
    <row r="4277" customFormat="1" ht="21.95" customHeight="1" x14ac:dyDescent="0.15"/>
    <row r="4278" customFormat="1" ht="21.95" customHeight="1" x14ac:dyDescent="0.15"/>
    <row r="4279" customFormat="1" ht="21.95" customHeight="1" x14ac:dyDescent="0.15"/>
    <row r="4280" customFormat="1" ht="21.95" customHeight="1" x14ac:dyDescent="0.15"/>
    <row r="4281" customFormat="1" ht="21.95" customHeight="1" x14ac:dyDescent="0.15"/>
    <row r="4282" customFormat="1" ht="21.95" customHeight="1" x14ac:dyDescent="0.15"/>
    <row r="4283" customFormat="1" ht="32.1" customHeight="1" x14ac:dyDescent="0.15"/>
    <row r="4284" customFormat="1" ht="32.1" customHeight="1" x14ac:dyDescent="0.15"/>
    <row r="4285" customFormat="1" ht="32.1" customHeight="1" x14ac:dyDescent="0.15"/>
    <row r="4286" customFormat="1" ht="32.1" customHeight="1" x14ac:dyDescent="0.15"/>
    <row r="4287" customFormat="1" ht="32.1" customHeight="1" x14ac:dyDescent="0.15"/>
    <row r="4288" customFormat="1" ht="32.1" customHeight="1" x14ac:dyDescent="0.15"/>
    <row r="4289" s="76" customFormat="1" ht="32.1" customHeight="1" x14ac:dyDescent="0.15"/>
    <row r="4290" s="76" customFormat="1" ht="32.1" customHeight="1" x14ac:dyDescent="0.15"/>
    <row r="4291" s="76" customFormat="1" ht="32.1" customHeight="1" x14ac:dyDescent="0.15"/>
    <row r="4292" s="76" customFormat="1" ht="32.1" customHeight="1" x14ac:dyDescent="0.15"/>
    <row r="4293" s="76" customFormat="1" ht="21.95" customHeight="1" x14ac:dyDescent="0.15"/>
    <row r="4294" s="76" customFormat="1" ht="54" customHeight="1" x14ac:dyDescent="0.15"/>
    <row r="4295" s="76" customFormat="1" ht="21.95" customHeight="1" x14ac:dyDescent="0.15"/>
    <row r="4296" s="76" customFormat="1" ht="21.95" customHeight="1" x14ac:dyDescent="0.15"/>
    <row r="4297" s="76" customFormat="1" ht="21.95" customHeight="1" x14ac:dyDescent="0.15"/>
    <row r="4298" s="76" customFormat="1" ht="21.95" customHeight="1" x14ac:dyDescent="0.15"/>
    <row r="4299" s="76" customFormat="1" ht="21.95" customHeight="1" x14ac:dyDescent="0.15"/>
    <row r="4300" s="76" customFormat="1" ht="21.95" customHeight="1" x14ac:dyDescent="0.15"/>
    <row r="4301" s="76" customFormat="1" ht="21.95" customHeight="1" x14ac:dyDescent="0.15"/>
    <row r="4302" s="76" customFormat="1" ht="21.95" customHeight="1" x14ac:dyDescent="0.15"/>
    <row r="4303" s="76" customFormat="1" ht="21.95" customHeight="1" x14ac:dyDescent="0.15"/>
    <row r="4304" s="76" customFormat="1" ht="21.95" customHeight="1" x14ac:dyDescent="0.15"/>
    <row r="4305" s="76" customFormat="1" ht="21.95" customHeight="1" x14ac:dyDescent="0.15"/>
    <row r="4306" s="76" customFormat="1" ht="21.95" customHeight="1" x14ac:dyDescent="0.15"/>
    <row r="4307" s="76" customFormat="1" ht="21.95" customHeight="1" x14ac:dyDescent="0.15"/>
    <row r="4308" s="76" customFormat="1" ht="21.95" customHeight="1" x14ac:dyDescent="0.15"/>
    <row r="4309" s="76" customFormat="1" ht="21.95" customHeight="1" x14ac:dyDescent="0.15"/>
    <row r="4310" s="76" customFormat="1" ht="21.95" customHeight="1" x14ac:dyDescent="0.15"/>
    <row r="4311" s="76" customFormat="1" ht="21.95" customHeight="1" x14ac:dyDescent="0.15"/>
    <row r="4312" s="76" customFormat="1" ht="21.95" customHeight="1" x14ac:dyDescent="0.15"/>
    <row r="4313" s="76" customFormat="1" ht="21.95" customHeight="1" x14ac:dyDescent="0.15"/>
    <row r="4314" s="76" customFormat="1" ht="21.95" customHeight="1" x14ac:dyDescent="0.15"/>
    <row r="4315" s="76" customFormat="1" ht="21.95" customHeight="1" x14ac:dyDescent="0.15"/>
    <row r="4316" s="76" customFormat="1" ht="21.95" customHeight="1" x14ac:dyDescent="0.15"/>
    <row r="4317" s="76" customFormat="1" ht="21.95" customHeight="1" x14ac:dyDescent="0.15"/>
    <row r="4318" s="76" customFormat="1" ht="21.95" customHeight="1" x14ac:dyDescent="0.15"/>
    <row r="4319" s="76" customFormat="1" ht="21.95" customHeight="1" x14ac:dyDescent="0.15"/>
    <row r="4320" s="76" customFormat="1" ht="21.95" customHeight="1" x14ac:dyDescent="0.15"/>
    <row r="4321" s="76" customFormat="1" ht="21.95" customHeight="1" x14ac:dyDescent="0.15"/>
    <row r="4322" s="76" customFormat="1" ht="21.95" customHeight="1" x14ac:dyDescent="0.15"/>
    <row r="4323" s="76" customFormat="1" ht="21.95" customHeight="1" x14ac:dyDescent="0.15"/>
    <row r="4324" s="76" customFormat="1" ht="21.95" customHeight="1" x14ac:dyDescent="0.15"/>
    <row r="4325" s="76" customFormat="1" ht="21.95" customHeight="1" x14ac:dyDescent="0.15"/>
    <row r="4326" s="76" customFormat="1" ht="21.95" customHeight="1" x14ac:dyDescent="0.15"/>
    <row r="4327" s="76" customFormat="1" ht="21.95" customHeight="1" x14ac:dyDescent="0.15"/>
    <row r="4328" s="76" customFormat="1" ht="21.95" customHeight="1" x14ac:dyDescent="0.15"/>
    <row r="4329" s="76" customFormat="1" ht="21.95" customHeight="1" x14ac:dyDescent="0.15"/>
    <row r="4330" s="76" customFormat="1" ht="21.95" customHeight="1" x14ac:dyDescent="0.15"/>
    <row r="4331" s="76" customFormat="1" ht="21.95" customHeight="1" x14ac:dyDescent="0.15"/>
    <row r="4332" s="76" customFormat="1" ht="21.95" customHeight="1" x14ac:dyDescent="0.15"/>
    <row r="4333" s="76" customFormat="1" ht="21.95" customHeight="1" x14ac:dyDescent="0.15"/>
    <row r="4334" s="76" customFormat="1" ht="21.95" customHeight="1" x14ac:dyDescent="0.15"/>
    <row r="4335" s="76" customFormat="1" ht="21.95" customHeight="1" x14ac:dyDescent="0.15"/>
    <row r="4336" s="76" customFormat="1" ht="21.95" customHeight="1" x14ac:dyDescent="0.15"/>
    <row r="4337" s="76" customFormat="1" ht="21.95" customHeight="1" x14ac:dyDescent="0.15"/>
    <row r="4338" s="76" customFormat="1" ht="21.95" customHeight="1" x14ac:dyDescent="0.15"/>
    <row r="4339" s="76" customFormat="1" ht="21.95" customHeight="1" x14ac:dyDescent="0.15"/>
    <row r="4340" s="76" customFormat="1" ht="21.95" customHeight="1" x14ac:dyDescent="0.15"/>
    <row r="4341" s="76" customFormat="1" ht="21.95" customHeight="1" x14ac:dyDescent="0.15"/>
    <row r="4342" s="76" customFormat="1" ht="21.95" customHeight="1" x14ac:dyDescent="0.15"/>
    <row r="4343" s="76" customFormat="1" ht="21.95" customHeight="1" x14ac:dyDescent="0.15"/>
    <row r="4344" s="76" customFormat="1" ht="21.95" customHeight="1" x14ac:dyDescent="0.15"/>
    <row r="4345" s="76" customFormat="1" ht="35.1" customHeight="1" x14ac:dyDescent="0.15"/>
    <row r="4346" s="76" customFormat="1" ht="21.95" customHeight="1" x14ac:dyDescent="0.15"/>
    <row r="4347" s="76" customFormat="1" ht="21.95" customHeight="1" x14ac:dyDescent="0.15"/>
    <row r="4348" s="76" customFormat="1" ht="21.95" customHeight="1" x14ac:dyDescent="0.15"/>
    <row r="4349" s="76" customFormat="1" ht="21.95" customHeight="1" x14ac:dyDescent="0.15"/>
    <row r="4350" s="76" customFormat="1" ht="21.95" customHeight="1" x14ac:dyDescent="0.15"/>
    <row r="4351" s="76" customFormat="1" ht="21.95" customHeight="1" x14ac:dyDescent="0.15"/>
    <row r="4352" s="76" customFormat="1" ht="21.95" customHeight="1" x14ac:dyDescent="0.15"/>
    <row r="4353" s="76" customFormat="1" ht="21.95" customHeight="1" x14ac:dyDescent="0.15"/>
    <row r="4354" s="76" customFormat="1" ht="21.95" customHeight="1" x14ac:dyDescent="0.15"/>
    <row r="4355" s="76" customFormat="1" ht="21.95" customHeight="1" x14ac:dyDescent="0.15"/>
    <row r="4356" s="76" customFormat="1" ht="21.95" customHeight="1" x14ac:dyDescent="0.15"/>
    <row r="4357" s="76" customFormat="1" ht="21.95" customHeight="1" x14ac:dyDescent="0.15"/>
    <row r="4358" s="76" customFormat="1" ht="21.95" customHeight="1" x14ac:dyDescent="0.15"/>
    <row r="4359" s="76" customFormat="1" ht="21.95" customHeight="1" x14ac:dyDescent="0.15"/>
    <row r="4360" s="76" customFormat="1" ht="21.95" customHeight="1" x14ac:dyDescent="0.15"/>
    <row r="4361" s="76" customFormat="1" ht="21.95" customHeight="1" x14ac:dyDescent="0.15"/>
    <row r="4362" s="76" customFormat="1" ht="21.95" customHeight="1" x14ac:dyDescent="0.15"/>
    <row r="4363" s="76" customFormat="1" ht="21.95" customHeight="1" x14ac:dyDescent="0.15"/>
    <row r="4364" s="76" customFormat="1" ht="21.95" customHeight="1" x14ac:dyDescent="0.15"/>
    <row r="4365" s="76" customFormat="1" ht="21.95" customHeight="1" x14ac:dyDescent="0.15"/>
    <row r="4366" s="76" customFormat="1" ht="21.95" customHeight="1" x14ac:dyDescent="0.15"/>
    <row r="4367" s="76" customFormat="1" ht="21.95" customHeight="1" x14ac:dyDescent="0.15"/>
    <row r="4368" s="76" customFormat="1" ht="21.95" customHeight="1" x14ac:dyDescent="0.15"/>
    <row r="4369" spans="3:3" customFormat="1" ht="21.95" customHeight="1" x14ac:dyDescent="0.15"/>
    <row r="4370" spans="3:3" customFormat="1" ht="21.95" customHeight="1" x14ac:dyDescent="0.15"/>
    <row r="4371" spans="3:3" customFormat="1" ht="21.95" customHeight="1" x14ac:dyDescent="0.15">
      <c r="C4371" s="94"/>
    </row>
    <row r="4372" spans="3:3" customFormat="1" ht="21.95" customHeight="1" x14ac:dyDescent="0.15">
      <c r="C4372" s="94"/>
    </row>
    <row r="4373" spans="3:3" customFormat="1" ht="21.95" customHeight="1" x14ac:dyDescent="0.15"/>
    <row r="4374" spans="3:3" customFormat="1" ht="21.95" customHeight="1" x14ac:dyDescent="0.15"/>
    <row r="4375" spans="3:3" customFormat="1" ht="21.95" customHeight="1" x14ac:dyDescent="0.15"/>
    <row r="4376" spans="3:3" customFormat="1" ht="21.95" customHeight="1" x14ac:dyDescent="0.15"/>
    <row r="4377" spans="3:3" customFormat="1" ht="21.95" customHeight="1" x14ac:dyDescent="0.15"/>
    <row r="4378" spans="3:3" customFormat="1" ht="21.95" customHeight="1" x14ac:dyDescent="0.15"/>
    <row r="4379" spans="3:3" customFormat="1" ht="21.95" customHeight="1" x14ac:dyDescent="0.15"/>
    <row r="4380" spans="3:3" s="76" customFormat="1" ht="21.95" customHeight="1" x14ac:dyDescent="0.15"/>
    <row r="4381" spans="3:3" s="76" customFormat="1" ht="21.95" customHeight="1" x14ac:dyDescent="0.15"/>
    <row r="4382" spans="3:3" s="76" customFormat="1" ht="21.95" customHeight="1" x14ac:dyDescent="0.15"/>
    <row r="4383" spans="3:3" s="76" customFormat="1" ht="21.95" customHeight="1" x14ac:dyDescent="0.15"/>
    <row r="4384" spans="3:3" customFormat="1" ht="21.95" customHeight="1" x14ac:dyDescent="0.15"/>
    <row r="4385" customFormat="1" ht="21.95" customHeight="1" x14ac:dyDescent="0.15"/>
    <row r="4386" customFormat="1" ht="21.95" customHeight="1" x14ac:dyDescent="0.15"/>
    <row r="4387" customFormat="1" ht="21.95" customHeight="1" x14ac:dyDescent="0.15"/>
    <row r="4388" customFormat="1" ht="21.95" customHeight="1" x14ac:dyDescent="0.15"/>
    <row r="4389" customFormat="1" ht="21.95" customHeight="1" x14ac:dyDescent="0.15"/>
    <row r="4390" customFormat="1" ht="21.95" customHeight="1" x14ac:dyDescent="0.15"/>
    <row r="4391" customFormat="1" ht="21.95" customHeight="1" x14ac:dyDescent="0.15"/>
    <row r="4392" customFormat="1" ht="21.95" customHeight="1" x14ac:dyDescent="0.15"/>
    <row r="4393" customFormat="1" ht="21.95" customHeight="1" x14ac:dyDescent="0.15"/>
    <row r="4394" customFormat="1" ht="21.95" customHeight="1" x14ac:dyDescent="0.15"/>
    <row r="4395" customFormat="1" ht="32.1" customHeight="1" x14ac:dyDescent="0.15"/>
    <row r="4396" customFormat="1" ht="32.1" customHeight="1" x14ac:dyDescent="0.15"/>
    <row r="4397" customFormat="1" ht="32.1" customHeight="1" x14ac:dyDescent="0.15"/>
    <row r="4398" customFormat="1" ht="32.1" customHeight="1" x14ac:dyDescent="0.15"/>
    <row r="4399" customFormat="1" ht="32.1" customHeight="1" x14ac:dyDescent="0.15"/>
    <row r="4400" customFormat="1" ht="32.1" customHeight="1" x14ac:dyDescent="0.15"/>
    <row r="4401" s="76" customFormat="1" ht="32.1" customHeight="1" x14ac:dyDescent="0.15"/>
    <row r="4402" s="76" customFormat="1" ht="32.1" customHeight="1" x14ac:dyDescent="0.15"/>
    <row r="4403" s="76" customFormat="1" ht="32.1" customHeight="1" x14ac:dyDescent="0.15"/>
    <row r="4404" s="76" customFormat="1" ht="32.1" customHeight="1" x14ac:dyDescent="0.15"/>
    <row r="4405" s="76" customFormat="1" ht="21.95" customHeight="1" x14ac:dyDescent="0.15"/>
    <row r="4406" s="76" customFormat="1" ht="54" customHeight="1" x14ac:dyDescent="0.15"/>
    <row r="4407" s="76" customFormat="1" ht="21.95" customHeight="1" x14ac:dyDescent="0.15"/>
    <row r="4408" s="76" customFormat="1" ht="21.95" customHeight="1" x14ac:dyDescent="0.15"/>
    <row r="4409" s="76" customFormat="1" ht="21.95" customHeight="1" x14ac:dyDescent="0.15"/>
    <row r="4410" s="76" customFormat="1" ht="21.95" customHeight="1" x14ac:dyDescent="0.15"/>
    <row r="4411" s="76" customFormat="1" ht="21.95" customHeight="1" x14ac:dyDescent="0.15"/>
    <row r="4412" s="76" customFormat="1" ht="21.95" customHeight="1" x14ac:dyDescent="0.15"/>
    <row r="4413" s="76" customFormat="1" ht="21.95" customHeight="1" x14ac:dyDescent="0.15"/>
    <row r="4414" s="76" customFormat="1" ht="21.95" customHeight="1" x14ac:dyDescent="0.15"/>
    <row r="4415" s="76" customFormat="1" ht="21.95" customHeight="1" x14ac:dyDescent="0.15"/>
    <row r="4416" s="76" customFormat="1" ht="21.95" customHeight="1" x14ac:dyDescent="0.15"/>
    <row r="4417" s="76" customFormat="1" ht="21.95" customHeight="1" x14ac:dyDescent="0.15"/>
    <row r="4418" s="76" customFormat="1" ht="21.95" customHeight="1" x14ac:dyDescent="0.15"/>
    <row r="4419" s="76" customFormat="1" ht="21.95" customHeight="1" x14ac:dyDescent="0.15"/>
    <row r="4420" s="76" customFormat="1" ht="21.95" customHeight="1" x14ac:dyDescent="0.15"/>
    <row r="4421" s="76" customFormat="1" ht="21.95" customHeight="1" x14ac:dyDescent="0.15"/>
    <row r="4422" s="76" customFormat="1" ht="21.95" customHeight="1" x14ac:dyDescent="0.15"/>
    <row r="4423" s="76" customFormat="1" ht="21.95" customHeight="1" x14ac:dyDescent="0.15"/>
    <row r="4424" s="76" customFormat="1" ht="21.95" customHeight="1" x14ac:dyDescent="0.15"/>
    <row r="4425" s="76" customFormat="1" ht="21.95" customHeight="1" x14ac:dyDescent="0.15"/>
    <row r="4426" s="76" customFormat="1" ht="21.95" customHeight="1" x14ac:dyDescent="0.15"/>
    <row r="4427" s="76" customFormat="1" ht="21.95" customHeight="1" x14ac:dyDescent="0.15"/>
    <row r="4428" s="76" customFormat="1" ht="21.95" customHeight="1" x14ac:dyDescent="0.15"/>
    <row r="4429" s="76" customFormat="1" ht="21.95" customHeight="1" x14ac:dyDescent="0.15"/>
    <row r="4430" s="76" customFormat="1" ht="21.95" customHeight="1" x14ac:dyDescent="0.15"/>
    <row r="4431" s="76" customFormat="1" ht="21.95" customHeight="1" x14ac:dyDescent="0.15"/>
    <row r="4432" s="76" customFormat="1" ht="21.95" customHeight="1" x14ac:dyDescent="0.15"/>
    <row r="4433" s="76" customFormat="1" ht="21.95" customHeight="1" x14ac:dyDescent="0.15"/>
    <row r="4434" s="76" customFormat="1" ht="21.95" customHeight="1" x14ac:dyDescent="0.15"/>
    <row r="4435" s="76" customFormat="1" ht="21.95" customHeight="1" x14ac:dyDescent="0.15"/>
    <row r="4436" s="76" customFormat="1" ht="21.95" customHeight="1" x14ac:dyDescent="0.15"/>
    <row r="4437" s="76" customFormat="1" ht="21.95" customHeight="1" x14ac:dyDescent="0.15"/>
    <row r="4438" s="76" customFormat="1" ht="21.95" customHeight="1" x14ac:dyDescent="0.15"/>
    <row r="4439" s="76" customFormat="1" ht="21.95" customHeight="1" x14ac:dyDescent="0.15"/>
    <row r="4440" s="76" customFormat="1" ht="21.95" customHeight="1" x14ac:dyDescent="0.15"/>
    <row r="4441" s="76" customFormat="1" ht="21.95" customHeight="1" x14ac:dyDescent="0.15"/>
    <row r="4442" s="76" customFormat="1" ht="21.95" customHeight="1" x14ac:dyDescent="0.15"/>
    <row r="4443" s="76" customFormat="1" ht="21.95" customHeight="1" x14ac:dyDescent="0.15"/>
    <row r="4444" s="76" customFormat="1" ht="21.95" customHeight="1" x14ac:dyDescent="0.15"/>
    <row r="4445" s="76" customFormat="1" ht="21.95" customHeight="1" x14ac:dyDescent="0.15"/>
    <row r="4446" s="76" customFormat="1" ht="21.95" customHeight="1" x14ac:dyDescent="0.15"/>
    <row r="4447" s="76" customFormat="1" ht="21.95" customHeight="1" x14ac:dyDescent="0.15"/>
    <row r="4448" s="76" customFormat="1" ht="21.95" customHeight="1" x14ac:dyDescent="0.15"/>
    <row r="4449" s="76" customFormat="1" ht="21.95" customHeight="1" x14ac:dyDescent="0.15"/>
    <row r="4450" s="76" customFormat="1" ht="21.95" customHeight="1" x14ac:dyDescent="0.15"/>
    <row r="4451" s="76" customFormat="1" ht="21.95" customHeight="1" x14ac:dyDescent="0.15"/>
    <row r="4452" s="76" customFormat="1" ht="21.95" customHeight="1" x14ac:dyDescent="0.15"/>
    <row r="4453" s="76" customFormat="1" ht="21.95" customHeight="1" x14ac:dyDescent="0.15"/>
    <row r="4454" s="76" customFormat="1" ht="21.95" customHeight="1" x14ac:dyDescent="0.15"/>
    <row r="4455" s="76" customFormat="1" ht="21.95" customHeight="1" x14ac:dyDescent="0.15"/>
    <row r="4456" s="76" customFormat="1" ht="21.95" customHeight="1" x14ac:dyDescent="0.15"/>
    <row r="4457" s="76" customFormat="1" ht="35.1" customHeight="1" x14ac:dyDescent="0.15"/>
    <row r="4458" s="76" customFormat="1" ht="21.95" customHeight="1" x14ac:dyDescent="0.15"/>
    <row r="4459" s="76" customFormat="1" ht="21.95" customHeight="1" x14ac:dyDescent="0.15"/>
    <row r="4460" s="76" customFormat="1" ht="21.95" customHeight="1" x14ac:dyDescent="0.15"/>
    <row r="4461" s="76" customFormat="1" ht="21.95" customHeight="1" x14ac:dyDescent="0.15"/>
    <row r="4462" s="76" customFormat="1" ht="21.95" customHeight="1" x14ac:dyDescent="0.15"/>
    <row r="4463" s="76" customFormat="1" ht="21.95" customHeight="1" x14ac:dyDescent="0.15"/>
    <row r="4464" s="76" customFormat="1" ht="21.95" customHeight="1" x14ac:dyDescent="0.15"/>
    <row r="4465" s="76" customFormat="1" ht="21.95" customHeight="1" x14ac:dyDescent="0.15"/>
    <row r="4466" s="76" customFormat="1" ht="21.95" customHeight="1" x14ac:dyDescent="0.15"/>
    <row r="4467" s="76" customFormat="1" ht="21.95" customHeight="1" x14ac:dyDescent="0.15"/>
    <row r="4468" s="76" customFormat="1" ht="21.95" customHeight="1" x14ac:dyDescent="0.15"/>
    <row r="4469" s="76" customFormat="1" ht="21.95" customHeight="1" x14ac:dyDescent="0.15"/>
    <row r="4470" s="76" customFormat="1" ht="21.95" customHeight="1" x14ac:dyDescent="0.15"/>
    <row r="4471" s="76" customFormat="1" ht="21.95" customHeight="1" x14ac:dyDescent="0.15"/>
    <row r="4472" s="76" customFormat="1" ht="21.95" customHeight="1" x14ac:dyDescent="0.15"/>
    <row r="4473" s="76" customFormat="1" ht="21.95" customHeight="1" x14ac:dyDescent="0.15"/>
    <row r="4474" s="76" customFormat="1" ht="21.95" customHeight="1" x14ac:dyDescent="0.15"/>
    <row r="4475" s="76" customFormat="1" ht="21.95" customHeight="1" x14ac:dyDescent="0.15"/>
    <row r="4476" s="76" customFormat="1" ht="21.95" customHeight="1" x14ac:dyDescent="0.15"/>
    <row r="4477" s="76" customFormat="1" ht="21.95" customHeight="1" x14ac:dyDescent="0.15"/>
    <row r="4478" s="76" customFormat="1" ht="21.95" customHeight="1" x14ac:dyDescent="0.15"/>
    <row r="4479" s="76" customFormat="1" ht="21.95" customHeight="1" x14ac:dyDescent="0.15"/>
    <row r="4480" s="76" customFormat="1" ht="21.95" customHeight="1" x14ac:dyDescent="0.15"/>
    <row r="4481" spans="3:3" customFormat="1" ht="21.95" customHeight="1" x14ac:dyDescent="0.15"/>
    <row r="4482" spans="3:3" customFormat="1" ht="21.95" customHeight="1" x14ac:dyDescent="0.15"/>
    <row r="4483" spans="3:3" customFormat="1" ht="21.95" customHeight="1" x14ac:dyDescent="0.15">
      <c r="C4483" s="94"/>
    </row>
    <row r="4484" spans="3:3" customFormat="1" ht="21.95" customHeight="1" x14ac:dyDescent="0.15">
      <c r="C4484" s="94"/>
    </row>
    <row r="4485" spans="3:3" customFormat="1" ht="21.95" customHeight="1" x14ac:dyDescent="0.15"/>
    <row r="4486" spans="3:3" customFormat="1" ht="21.95" customHeight="1" x14ac:dyDescent="0.15"/>
    <row r="4487" spans="3:3" customFormat="1" ht="21.95" customHeight="1" x14ac:dyDescent="0.15"/>
    <row r="4488" spans="3:3" customFormat="1" ht="21.95" customHeight="1" x14ac:dyDescent="0.15"/>
    <row r="4489" spans="3:3" customFormat="1" ht="21.95" customHeight="1" x14ac:dyDescent="0.15"/>
    <row r="4490" spans="3:3" customFormat="1" ht="21.95" customHeight="1" x14ac:dyDescent="0.15"/>
    <row r="4491" spans="3:3" customFormat="1" ht="21.95" customHeight="1" x14ac:dyDescent="0.15"/>
    <row r="4492" spans="3:3" s="76" customFormat="1" ht="21.95" customHeight="1" x14ac:dyDescent="0.15"/>
    <row r="4493" spans="3:3" s="76" customFormat="1" ht="21.95" customHeight="1" x14ac:dyDescent="0.15"/>
    <row r="4494" spans="3:3" s="76" customFormat="1" ht="21.95" customHeight="1" x14ac:dyDescent="0.15"/>
    <row r="4495" spans="3:3" s="76" customFormat="1" ht="21.95" customHeight="1" x14ac:dyDescent="0.15"/>
    <row r="4496" spans="3:3" customFormat="1" ht="21.95" customHeight="1" x14ac:dyDescent="0.15"/>
    <row r="4497" customFormat="1" ht="21.95" customHeight="1" x14ac:dyDescent="0.15"/>
    <row r="4498" customFormat="1" ht="21.95" customHeight="1" x14ac:dyDescent="0.15"/>
    <row r="4499" customFormat="1" ht="21.95" customHeight="1" x14ac:dyDescent="0.15"/>
    <row r="4500" customFormat="1" ht="21.95" customHeight="1" x14ac:dyDescent="0.15"/>
    <row r="4501" customFormat="1" ht="21.95" customHeight="1" x14ac:dyDescent="0.15"/>
    <row r="4502" customFormat="1" ht="21.95" customHeight="1" x14ac:dyDescent="0.15"/>
    <row r="4503" customFormat="1" ht="21.95" customHeight="1" x14ac:dyDescent="0.15"/>
    <row r="4504" customFormat="1" ht="21.95" customHeight="1" x14ac:dyDescent="0.15"/>
    <row r="4505" customFormat="1" ht="21.95" customHeight="1" x14ac:dyDescent="0.15"/>
    <row r="4506" customFormat="1" ht="21.95" customHeight="1" x14ac:dyDescent="0.15"/>
    <row r="4507" customFormat="1" ht="32.1" customHeight="1" x14ac:dyDescent="0.15"/>
    <row r="4508" customFormat="1" ht="32.1" customHeight="1" x14ac:dyDescent="0.15"/>
    <row r="4509" customFormat="1" ht="32.1" customHeight="1" x14ac:dyDescent="0.15"/>
    <row r="4510" customFormat="1" ht="32.1" customHeight="1" x14ac:dyDescent="0.15"/>
    <row r="4511" customFormat="1" ht="32.1" customHeight="1" x14ac:dyDescent="0.15"/>
    <row r="4512" customFormat="1" ht="32.1" customHeight="1" x14ac:dyDescent="0.15"/>
    <row r="4513" s="76" customFormat="1" ht="32.1" customHeight="1" x14ac:dyDescent="0.15"/>
    <row r="4514" s="76" customFormat="1" ht="32.1" customHeight="1" x14ac:dyDescent="0.15"/>
    <row r="4515" s="76" customFormat="1" ht="32.1" customHeight="1" x14ac:dyDescent="0.15"/>
    <row r="4516" s="76" customFormat="1" ht="32.1" customHeight="1" x14ac:dyDescent="0.15"/>
    <row r="4517" s="76" customFormat="1" ht="21.95" customHeight="1" x14ac:dyDescent="0.15"/>
    <row r="4518" s="76" customFormat="1" ht="54" customHeight="1" x14ac:dyDescent="0.15"/>
    <row r="4519" s="76" customFormat="1" ht="21.95" customHeight="1" x14ac:dyDescent="0.15"/>
    <row r="4520" s="76" customFormat="1" ht="21.95" customHeight="1" x14ac:dyDescent="0.15"/>
    <row r="4521" s="76" customFormat="1" ht="21.95" customHeight="1" x14ac:dyDescent="0.15"/>
    <row r="4522" s="76" customFormat="1" ht="21.95" customHeight="1" x14ac:dyDescent="0.15"/>
    <row r="4523" s="76" customFormat="1" ht="21.95" customHeight="1" x14ac:dyDescent="0.15"/>
    <row r="4524" s="76" customFormat="1" ht="21.95" customHeight="1" x14ac:dyDescent="0.15"/>
    <row r="4525" s="76" customFormat="1" ht="21.95" customHeight="1" x14ac:dyDescent="0.15"/>
    <row r="4526" s="76" customFormat="1" ht="21.95" customHeight="1" x14ac:dyDescent="0.15"/>
    <row r="4527" s="76" customFormat="1" ht="21.95" customHeight="1" x14ac:dyDescent="0.15"/>
    <row r="4528" s="76" customFormat="1" ht="21.95" customHeight="1" x14ac:dyDescent="0.15"/>
    <row r="4529" s="76" customFormat="1" ht="21.95" customHeight="1" x14ac:dyDescent="0.15"/>
    <row r="4530" s="76" customFormat="1" ht="21.95" customHeight="1" x14ac:dyDescent="0.15"/>
    <row r="4531" s="76" customFormat="1" ht="21.95" customHeight="1" x14ac:dyDescent="0.15"/>
    <row r="4532" s="76" customFormat="1" ht="21.95" customHeight="1" x14ac:dyDescent="0.15"/>
    <row r="4533" s="76" customFormat="1" ht="21.95" customHeight="1" x14ac:dyDescent="0.15"/>
    <row r="4534" s="76" customFormat="1" ht="21.95" customHeight="1" x14ac:dyDescent="0.15"/>
    <row r="4535" s="76" customFormat="1" ht="21.95" customHeight="1" x14ac:dyDescent="0.15"/>
    <row r="4536" s="76" customFormat="1" ht="21.95" customHeight="1" x14ac:dyDescent="0.15"/>
    <row r="4537" s="76" customFormat="1" ht="21.95" customHeight="1" x14ac:dyDescent="0.15"/>
    <row r="4538" s="76" customFormat="1" ht="21.95" customHeight="1" x14ac:dyDescent="0.15"/>
    <row r="4539" s="76" customFormat="1" ht="21.95" customHeight="1" x14ac:dyDescent="0.15"/>
    <row r="4540" s="76" customFormat="1" ht="21.95" customHeight="1" x14ac:dyDescent="0.15"/>
    <row r="4541" s="76" customFormat="1" ht="21.95" customHeight="1" x14ac:dyDescent="0.15"/>
    <row r="4542" s="76" customFormat="1" ht="21.95" customHeight="1" x14ac:dyDescent="0.15"/>
    <row r="4543" s="76" customFormat="1" ht="21.95" customHeight="1" x14ac:dyDescent="0.15"/>
    <row r="4544" s="76" customFormat="1" ht="21.95" customHeight="1" x14ac:dyDescent="0.15"/>
    <row r="4545" s="76" customFormat="1" ht="21.95" customHeight="1" x14ac:dyDescent="0.15"/>
    <row r="4546" s="76" customFormat="1" ht="21.95" customHeight="1" x14ac:dyDescent="0.15"/>
    <row r="4547" s="76" customFormat="1" ht="21.95" customHeight="1" x14ac:dyDescent="0.15"/>
    <row r="4548" s="76" customFormat="1" ht="21.95" customHeight="1" x14ac:dyDescent="0.15"/>
    <row r="4549" s="76" customFormat="1" ht="21.95" customHeight="1" x14ac:dyDescent="0.15"/>
    <row r="4550" s="76" customFormat="1" ht="21.95" customHeight="1" x14ac:dyDescent="0.15"/>
    <row r="4551" s="76" customFormat="1" ht="21.95" customHeight="1" x14ac:dyDescent="0.15"/>
    <row r="4552" s="76" customFormat="1" ht="21.95" customHeight="1" x14ac:dyDescent="0.15"/>
    <row r="4553" s="76" customFormat="1" ht="21.95" customHeight="1" x14ac:dyDescent="0.15"/>
    <row r="4554" s="76" customFormat="1" ht="21.95" customHeight="1" x14ac:dyDescent="0.15"/>
    <row r="4555" s="76" customFormat="1" ht="21.95" customHeight="1" x14ac:dyDescent="0.15"/>
    <row r="4556" s="76" customFormat="1" ht="21.95" customHeight="1" x14ac:dyDescent="0.15"/>
    <row r="4557" s="76" customFormat="1" ht="21.95" customHeight="1" x14ac:dyDescent="0.15"/>
    <row r="4558" s="76" customFormat="1" ht="21.95" customHeight="1" x14ac:dyDescent="0.15"/>
    <row r="4559" s="76" customFormat="1" ht="21.95" customHeight="1" x14ac:dyDescent="0.15"/>
    <row r="4560" s="76" customFormat="1" ht="21.95" customHeight="1" x14ac:dyDescent="0.15"/>
    <row r="4561" s="76" customFormat="1" ht="21.95" customHeight="1" x14ac:dyDescent="0.15"/>
    <row r="4562" s="76" customFormat="1" ht="21.95" customHeight="1" x14ac:dyDescent="0.15"/>
    <row r="4563" s="76" customFormat="1" ht="21.95" customHeight="1" x14ac:dyDescent="0.15"/>
    <row r="4564" s="76" customFormat="1" ht="21.95" customHeight="1" x14ac:dyDescent="0.15"/>
    <row r="4565" s="76" customFormat="1" ht="21.95" customHeight="1" x14ac:dyDescent="0.15"/>
    <row r="4566" s="76" customFormat="1" ht="21.95" customHeight="1" x14ac:dyDescent="0.15"/>
    <row r="4567" s="76" customFormat="1" ht="21.95" customHeight="1" x14ac:dyDescent="0.15"/>
    <row r="4568" s="76" customFormat="1" ht="21.95" customHeight="1" x14ac:dyDescent="0.15"/>
    <row r="4569" s="76" customFormat="1" ht="35.1" customHeight="1" x14ac:dyDescent="0.15"/>
    <row r="4570" s="76" customFormat="1" ht="21.95" customHeight="1" x14ac:dyDescent="0.15"/>
    <row r="4571" s="76" customFormat="1" ht="21.95" customHeight="1" x14ac:dyDescent="0.15"/>
    <row r="4572" s="76" customFormat="1" ht="21.95" customHeight="1" x14ac:dyDescent="0.15"/>
    <row r="4573" s="76" customFormat="1" ht="21.95" customHeight="1" x14ac:dyDescent="0.15"/>
    <row r="4574" s="76" customFormat="1" ht="21.95" customHeight="1" x14ac:dyDescent="0.15"/>
    <row r="4575" s="76" customFormat="1" ht="21.95" customHeight="1" x14ac:dyDescent="0.15"/>
    <row r="4576" s="76" customFormat="1" ht="21.95" customHeight="1" x14ac:dyDescent="0.15"/>
    <row r="4577" s="76" customFormat="1" ht="21.95" customHeight="1" x14ac:dyDescent="0.15"/>
    <row r="4578" s="76" customFormat="1" ht="21.95" customHeight="1" x14ac:dyDescent="0.15"/>
    <row r="4579" s="76" customFormat="1" ht="21.95" customHeight="1" x14ac:dyDescent="0.15"/>
    <row r="4580" s="76" customFormat="1" ht="21.95" customHeight="1" x14ac:dyDescent="0.15"/>
    <row r="4581" s="76" customFormat="1" ht="21.95" customHeight="1" x14ac:dyDescent="0.15"/>
    <row r="4582" s="76" customFormat="1" ht="21.95" customHeight="1" x14ac:dyDescent="0.15"/>
    <row r="4583" s="76" customFormat="1" ht="21.95" customHeight="1" x14ac:dyDescent="0.15"/>
    <row r="4584" s="76" customFormat="1" ht="21.95" customHeight="1" x14ac:dyDescent="0.15"/>
    <row r="4585" s="76" customFormat="1" ht="21.95" customHeight="1" x14ac:dyDescent="0.15"/>
    <row r="4586" s="76" customFormat="1" ht="21.95" customHeight="1" x14ac:dyDescent="0.15"/>
    <row r="4587" s="76" customFormat="1" ht="21.95" customHeight="1" x14ac:dyDescent="0.15"/>
    <row r="4588" s="76" customFormat="1" ht="21.95" customHeight="1" x14ac:dyDescent="0.15"/>
    <row r="4589" s="76" customFormat="1" ht="21.95" customHeight="1" x14ac:dyDescent="0.15"/>
    <row r="4590" s="76" customFormat="1" ht="21.95" customHeight="1" x14ac:dyDescent="0.15"/>
    <row r="4591" s="76" customFormat="1" ht="21.95" customHeight="1" x14ac:dyDescent="0.15"/>
    <row r="4592" s="76" customFormat="1" ht="21.95" customHeight="1" x14ac:dyDescent="0.15"/>
    <row r="4593" spans="3:3" customFormat="1" ht="21.95" customHeight="1" x14ac:dyDescent="0.15"/>
    <row r="4594" spans="3:3" customFormat="1" ht="21.95" customHeight="1" x14ac:dyDescent="0.15"/>
    <row r="4595" spans="3:3" customFormat="1" ht="21.95" customHeight="1" x14ac:dyDescent="0.15">
      <c r="C4595" s="94"/>
    </row>
    <row r="4596" spans="3:3" customFormat="1" ht="21.95" customHeight="1" x14ac:dyDescent="0.15">
      <c r="C4596" s="94"/>
    </row>
    <row r="4597" spans="3:3" customFormat="1" ht="21.95" customHeight="1" x14ac:dyDescent="0.15"/>
    <row r="4598" spans="3:3" customFormat="1" ht="21.95" customHeight="1" x14ac:dyDescent="0.15"/>
    <row r="4599" spans="3:3" customFormat="1" ht="21.95" customHeight="1" x14ac:dyDescent="0.15"/>
    <row r="4600" spans="3:3" customFormat="1" ht="21.95" customHeight="1" x14ac:dyDescent="0.15"/>
    <row r="4601" spans="3:3" customFormat="1" ht="21.95" customHeight="1" x14ac:dyDescent="0.15"/>
    <row r="4602" spans="3:3" customFormat="1" ht="21.95" customHeight="1" x14ac:dyDescent="0.15"/>
    <row r="4603" spans="3:3" customFormat="1" ht="21.95" customHeight="1" x14ac:dyDescent="0.15"/>
    <row r="4604" spans="3:3" s="76" customFormat="1" ht="21.95" customHeight="1" x14ac:dyDescent="0.15"/>
    <row r="4605" spans="3:3" s="76" customFormat="1" ht="21.95" customHeight="1" x14ac:dyDescent="0.15"/>
    <row r="4606" spans="3:3" s="76" customFormat="1" ht="21.95" customHeight="1" x14ac:dyDescent="0.15"/>
    <row r="4607" spans="3:3" s="76" customFormat="1" ht="21.95" customHeight="1" x14ac:dyDescent="0.15"/>
    <row r="4608" spans="3:3" customFormat="1" ht="21.95" customHeight="1" x14ac:dyDescent="0.15"/>
    <row r="4609" customFormat="1" ht="21.95" customHeight="1" x14ac:dyDescent="0.15"/>
    <row r="4610" customFormat="1" ht="21.95" customHeight="1" x14ac:dyDescent="0.15"/>
    <row r="4611" customFormat="1" ht="21.95" customHeight="1" x14ac:dyDescent="0.15"/>
    <row r="4612" customFormat="1" ht="21.95" customHeight="1" x14ac:dyDescent="0.15"/>
    <row r="4613" customFormat="1" ht="21.95" customHeight="1" x14ac:dyDescent="0.15"/>
    <row r="4614" customFormat="1" ht="21.95" customHeight="1" x14ac:dyDescent="0.15"/>
    <row r="4615" customFormat="1" ht="21.95" customHeight="1" x14ac:dyDescent="0.15"/>
    <row r="4616" customFormat="1" ht="21.95" customHeight="1" x14ac:dyDescent="0.15"/>
    <row r="4617" customFormat="1" ht="21.95" customHeight="1" x14ac:dyDescent="0.15"/>
    <row r="4618" customFormat="1" ht="21.95" customHeight="1" x14ac:dyDescent="0.15"/>
    <row r="4619" customFormat="1" ht="32.1" customHeight="1" x14ac:dyDescent="0.15"/>
    <row r="4620" customFormat="1" ht="32.1" customHeight="1" x14ac:dyDescent="0.15"/>
    <row r="4621" customFormat="1" ht="32.1" customHeight="1" x14ac:dyDescent="0.15"/>
    <row r="4622" customFormat="1" ht="32.1" customHeight="1" x14ac:dyDescent="0.15"/>
    <row r="4623" customFormat="1" ht="32.1" customHeight="1" x14ac:dyDescent="0.15"/>
    <row r="4624" customFormat="1" ht="32.1" customHeight="1" x14ac:dyDescent="0.15"/>
    <row r="4625" s="76" customFormat="1" ht="32.1" customHeight="1" x14ac:dyDescent="0.15"/>
    <row r="4626" s="76" customFormat="1" ht="32.1" customHeight="1" x14ac:dyDescent="0.15"/>
    <row r="4627" s="76" customFormat="1" ht="32.1" customHeight="1" x14ac:dyDescent="0.15"/>
    <row r="4628" s="76" customFormat="1" ht="32.1" customHeight="1" x14ac:dyDescent="0.15"/>
    <row r="4629" s="76" customFormat="1" ht="21.95" customHeight="1" x14ac:dyDescent="0.15"/>
    <row r="4630" s="76" customFormat="1" ht="54" customHeight="1" x14ac:dyDescent="0.15"/>
    <row r="4631" s="76" customFormat="1" ht="21.95" customHeight="1" x14ac:dyDescent="0.15"/>
    <row r="4632" s="76" customFormat="1" ht="21.95" customHeight="1" x14ac:dyDescent="0.15"/>
    <row r="4633" s="76" customFormat="1" ht="21.95" customHeight="1" x14ac:dyDescent="0.15"/>
    <row r="4634" s="76" customFormat="1" ht="21.95" customHeight="1" x14ac:dyDescent="0.15"/>
    <row r="4635" s="76" customFormat="1" ht="21.95" customHeight="1" x14ac:dyDescent="0.15"/>
    <row r="4636" s="76" customFormat="1" ht="21.95" customHeight="1" x14ac:dyDescent="0.15"/>
    <row r="4637" s="76" customFormat="1" ht="21.95" customHeight="1" x14ac:dyDescent="0.15"/>
    <row r="4638" s="76" customFormat="1" ht="21.95" customHeight="1" x14ac:dyDescent="0.15"/>
    <row r="4639" s="76" customFormat="1" ht="21.95" customHeight="1" x14ac:dyDescent="0.15"/>
    <row r="4640" s="76" customFormat="1" ht="21.95" customHeight="1" x14ac:dyDescent="0.15"/>
    <row r="4641" s="76" customFormat="1" ht="21.95" customHeight="1" x14ac:dyDescent="0.15"/>
    <row r="4642" s="76" customFormat="1" ht="21.95" customHeight="1" x14ac:dyDescent="0.15"/>
    <row r="4643" s="76" customFormat="1" ht="21.95" customHeight="1" x14ac:dyDescent="0.15"/>
    <row r="4644" s="76" customFormat="1" ht="21.95" customHeight="1" x14ac:dyDescent="0.15"/>
    <row r="4645" s="76" customFormat="1" ht="21.95" customHeight="1" x14ac:dyDescent="0.15"/>
    <row r="4646" s="76" customFormat="1" ht="21.95" customHeight="1" x14ac:dyDescent="0.15"/>
    <row r="4647" s="76" customFormat="1" ht="21.95" customHeight="1" x14ac:dyDescent="0.15"/>
    <row r="4648" s="76" customFormat="1" ht="21.95" customHeight="1" x14ac:dyDescent="0.15"/>
    <row r="4649" s="76" customFormat="1" ht="21.95" customHeight="1" x14ac:dyDescent="0.15"/>
    <row r="4650" s="76" customFormat="1" ht="21.95" customHeight="1" x14ac:dyDescent="0.15"/>
    <row r="4651" s="76" customFormat="1" ht="21.95" customHeight="1" x14ac:dyDescent="0.15"/>
    <row r="4652" s="76" customFormat="1" ht="21.95" customHeight="1" x14ac:dyDescent="0.15"/>
    <row r="4653" s="76" customFormat="1" ht="21.95" customHeight="1" x14ac:dyDescent="0.15"/>
    <row r="4654" s="76" customFormat="1" ht="21.95" customHeight="1" x14ac:dyDescent="0.15"/>
    <row r="4655" s="76" customFormat="1" ht="21.95" customHeight="1" x14ac:dyDescent="0.15"/>
    <row r="4656" s="76" customFormat="1" ht="21.95" customHeight="1" x14ac:dyDescent="0.15"/>
    <row r="4657" s="76" customFormat="1" ht="21.95" customHeight="1" x14ac:dyDescent="0.15"/>
    <row r="4658" s="76" customFormat="1" ht="21.95" customHeight="1" x14ac:dyDescent="0.15"/>
    <row r="4659" s="76" customFormat="1" ht="21.95" customHeight="1" x14ac:dyDescent="0.15"/>
    <row r="4660" s="76" customFormat="1" ht="21.95" customHeight="1" x14ac:dyDescent="0.15"/>
    <row r="4661" s="76" customFormat="1" ht="21.95" customHeight="1" x14ac:dyDescent="0.15"/>
    <row r="4662" s="76" customFormat="1" ht="21.95" customHeight="1" x14ac:dyDescent="0.15"/>
    <row r="4663" s="76" customFormat="1" ht="21.95" customHeight="1" x14ac:dyDescent="0.15"/>
    <row r="4664" s="76" customFormat="1" ht="21.95" customHeight="1" x14ac:dyDescent="0.15"/>
    <row r="4665" s="76" customFormat="1" ht="21.95" customHeight="1" x14ac:dyDescent="0.15"/>
    <row r="4666" s="76" customFormat="1" ht="21.95" customHeight="1" x14ac:dyDescent="0.15"/>
    <row r="4667" s="76" customFormat="1" ht="21.95" customHeight="1" x14ac:dyDescent="0.15"/>
    <row r="4668" s="76" customFormat="1" ht="21.95" customHeight="1" x14ac:dyDescent="0.15"/>
    <row r="4669" s="76" customFormat="1" ht="21.95" customHeight="1" x14ac:dyDescent="0.15"/>
    <row r="4670" s="76" customFormat="1" ht="21.95" customHeight="1" x14ac:dyDescent="0.15"/>
    <row r="4671" s="76" customFormat="1" ht="21.95" customHeight="1" x14ac:dyDescent="0.15"/>
    <row r="4672" s="76" customFormat="1" ht="21.95" customHeight="1" x14ac:dyDescent="0.15"/>
    <row r="4673" s="76" customFormat="1" ht="21.95" customHeight="1" x14ac:dyDescent="0.15"/>
    <row r="4674" s="76" customFormat="1" ht="21.95" customHeight="1" x14ac:dyDescent="0.15"/>
    <row r="4675" s="76" customFormat="1" ht="21.95" customHeight="1" x14ac:dyDescent="0.15"/>
    <row r="4676" s="76" customFormat="1" ht="21.95" customHeight="1" x14ac:dyDescent="0.15"/>
    <row r="4677" s="76" customFormat="1" ht="21.95" customHeight="1" x14ac:dyDescent="0.15"/>
    <row r="4678" s="76" customFormat="1" ht="21.95" customHeight="1" x14ac:dyDescent="0.15"/>
    <row r="4679" s="76" customFormat="1" ht="21.95" customHeight="1" x14ac:dyDescent="0.15"/>
    <row r="4680" s="76" customFormat="1" ht="21.95" customHeight="1" x14ac:dyDescent="0.15"/>
    <row r="4681" s="76" customFormat="1" ht="35.1" customHeight="1" x14ac:dyDescent="0.15"/>
    <row r="4682" s="76" customFormat="1" ht="21.95" customHeight="1" x14ac:dyDescent="0.15"/>
    <row r="4683" s="76" customFormat="1" ht="21.95" customHeight="1" x14ac:dyDescent="0.15"/>
    <row r="4684" s="76" customFormat="1" ht="21.95" customHeight="1" x14ac:dyDescent="0.15"/>
    <row r="4685" s="76" customFormat="1" ht="21.95" customHeight="1" x14ac:dyDescent="0.15"/>
    <row r="4686" s="76" customFormat="1" ht="21.95" customHeight="1" x14ac:dyDescent="0.15"/>
    <row r="4687" s="76" customFormat="1" ht="21.95" customHeight="1" x14ac:dyDescent="0.15"/>
    <row r="4688" s="76" customFormat="1" ht="21.95" customHeight="1" x14ac:dyDescent="0.15"/>
    <row r="4689" s="76" customFormat="1" ht="21.95" customHeight="1" x14ac:dyDescent="0.15"/>
    <row r="4690" s="76" customFormat="1" ht="21.95" customHeight="1" x14ac:dyDescent="0.15"/>
    <row r="4691" s="76" customFormat="1" ht="21.95" customHeight="1" x14ac:dyDescent="0.15"/>
    <row r="4692" s="76" customFormat="1" ht="21.95" customHeight="1" x14ac:dyDescent="0.15"/>
    <row r="4693" s="76" customFormat="1" ht="21.95" customHeight="1" x14ac:dyDescent="0.15"/>
    <row r="4694" s="76" customFormat="1" ht="21.95" customHeight="1" x14ac:dyDescent="0.15"/>
    <row r="4695" s="76" customFormat="1" ht="21.95" customHeight="1" x14ac:dyDescent="0.15"/>
    <row r="4696" s="76" customFormat="1" ht="21.95" customHeight="1" x14ac:dyDescent="0.15"/>
    <row r="4697" s="76" customFormat="1" ht="21.95" customHeight="1" x14ac:dyDescent="0.15"/>
    <row r="4698" s="76" customFormat="1" ht="21.95" customHeight="1" x14ac:dyDescent="0.15"/>
    <row r="4699" s="76" customFormat="1" ht="21.95" customHeight="1" x14ac:dyDescent="0.15"/>
    <row r="4700" s="76" customFormat="1" ht="21.95" customHeight="1" x14ac:dyDescent="0.15"/>
    <row r="4701" s="76" customFormat="1" ht="21.95" customHeight="1" x14ac:dyDescent="0.15"/>
    <row r="4702" s="76" customFormat="1" ht="21.95" customHeight="1" x14ac:dyDescent="0.15"/>
    <row r="4703" s="76" customFormat="1" ht="21.95" customHeight="1" x14ac:dyDescent="0.15"/>
    <row r="4704" s="76" customFormat="1" ht="21.95" customHeight="1" x14ac:dyDescent="0.15"/>
    <row r="4705" spans="3:3" customFormat="1" ht="21.95" customHeight="1" x14ac:dyDescent="0.15"/>
    <row r="4706" spans="3:3" customFormat="1" ht="21.95" customHeight="1" x14ac:dyDescent="0.15"/>
    <row r="4707" spans="3:3" customFormat="1" ht="21.95" customHeight="1" x14ac:dyDescent="0.15">
      <c r="C4707" s="94"/>
    </row>
    <row r="4708" spans="3:3" customFormat="1" ht="21.95" customHeight="1" x14ac:dyDescent="0.15">
      <c r="C4708" s="94"/>
    </row>
    <row r="4709" spans="3:3" customFormat="1" ht="21.95" customHeight="1" x14ac:dyDescent="0.15"/>
    <row r="4710" spans="3:3" customFormat="1" ht="21.95" customHeight="1" x14ac:dyDescent="0.15"/>
    <row r="4711" spans="3:3" customFormat="1" ht="21.95" customHeight="1" x14ac:dyDescent="0.15"/>
    <row r="4712" spans="3:3" customFormat="1" ht="21.95" customHeight="1" x14ac:dyDescent="0.15"/>
    <row r="4713" spans="3:3" customFormat="1" ht="21.95" customHeight="1" x14ac:dyDescent="0.15"/>
    <row r="4714" spans="3:3" customFormat="1" ht="21.95" customHeight="1" x14ac:dyDescent="0.15"/>
    <row r="4715" spans="3:3" customFormat="1" ht="21.95" customHeight="1" x14ac:dyDescent="0.15"/>
    <row r="4716" spans="3:3" s="76" customFormat="1" ht="21.95" customHeight="1" x14ac:dyDescent="0.15"/>
    <row r="4717" spans="3:3" s="76" customFormat="1" ht="21.95" customHeight="1" x14ac:dyDescent="0.15"/>
    <row r="4718" spans="3:3" s="76" customFormat="1" ht="21.95" customHeight="1" x14ac:dyDescent="0.15"/>
    <row r="4719" spans="3:3" s="76" customFormat="1" ht="21.95" customHeight="1" x14ac:dyDescent="0.15"/>
    <row r="4720" spans="3:3" customFormat="1" ht="21.95" customHeight="1" x14ac:dyDescent="0.15"/>
    <row r="4721" customFormat="1" ht="21.95" customHeight="1" x14ac:dyDescent="0.15"/>
    <row r="4722" customFormat="1" ht="21.95" customHeight="1" x14ac:dyDescent="0.15"/>
    <row r="4723" customFormat="1" ht="21.95" customHeight="1" x14ac:dyDescent="0.15"/>
    <row r="4724" customFormat="1" ht="21.95" customHeight="1" x14ac:dyDescent="0.15"/>
    <row r="4725" customFormat="1" ht="21.95" customHeight="1" x14ac:dyDescent="0.15"/>
    <row r="4726" customFormat="1" ht="21.95" customHeight="1" x14ac:dyDescent="0.15"/>
    <row r="4727" customFormat="1" ht="21.95" customHeight="1" x14ac:dyDescent="0.15"/>
    <row r="4728" customFormat="1" ht="21.95" customHeight="1" x14ac:dyDescent="0.15"/>
    <row r="4729" customFormat="1" ht="21.95" customHeight="1" x14ac:dyDescent="0.15"/>
    <row r="4730" customFormat="1" ht="21.95" customHeight="1" x14ac:dyDescent="0.15"/>
    <row r="4731" customFormat="1" ht="32.1" customHeight="1" x14ac:dyDescent="0.15"/>
    <row r="4732" customFormat="1" ht="32.1" customHeight="1" x14ac:dyDescent="0.15"/>
    <row r="4733" customFormat="1" ht="32.1" customHeight="1" x14ac:dyDescent="0.15"/>
    <row r="4734" customFormat="1" ht="32.1" customHeight="1" x14ac:dyDescent="0.15"/>
    <row r="4735" customFormat="1" ht="32.1" customHeight="1" x14ac:dyDescent="0.15"/>
    <row r="4736" customFormat="1" ht="32.1" customHeight="1" x14ac:dyDescent="0.15"/>
    <row r="4737" s="76" customFormat="1" ht="32.1" customHeight="1" x14ac:dyDescent="0.15"/>
    <row r="4738" s="76" customFormat="1" ht="32.1" customHeight="1" x14ac:dyDescent="0.15"/>
    <row r="4739" s="76" customFormat="1" ht="32.1" customHeight="1" x14ac:dyDescent="0.15"/>
    <row r="4740" s="76" customFormat="1" ht="32.1" customHeight="1" x14ac:dyDescent="0.15"/>
    <row r="4741" s="76" customFormat="1" ht="21.95" customHeight="1" x14ac:dyDescent="0.15"/>
    <row r="4742" s="76" customFormat="1" ht="54" customHeight="1" x14ac:dyDescent="0.15"/>
    <row r="4743" s="76" customFormat="1" ht="21.95" customHeight="1" x14ac:dyDescent="0.15"/>
    <row r="4744" s="76" customFormat="1" ht="21.95" customHeight="1" x14ac:dyDescent="0.15"/>
    <row r="4745" s="76" customFormat="1" ht="21.95" customHeight="1" x14ac:dyDescent="0.15"/>
    <row r="4746" s="76" customFormat="1" ht="21.95" customHeight="1" x14ac:dyDescent="0.15"/>
    <row r="4747" s="76" customFormat="1" ht="21.95" customHeight="1" x14ac:dyDescent="0.15"/>
    <row r="4748" s="76" customFormat="1" ht="21.95" customHeight="1" x14ac:dyDescent="0.15"/>
    <row r="4749" s="76" customFormat="1" ht="21.95" customHeight="1" x14ac:dyDescent="0.15"/>
    <row r="4750" s="76" customFormat="1" ht="21.95" customHeight="1" x14ac:dyDescent="0.15"/>
    <row r="4751" s="76" customFormat="1" ht="21.95" customHeight="1" x14ac:dyDescent="0.15"/>
    <row r="4752" s="76" customFormat="1" ht="21.95" customHeight="1" x14ac:dyDescent="0.15"/>
    <row r="4753" s="76" customFormat="1" ht="21.95" customHeight="1" x14ac:dyDescent="0.15"/>
    <row r="4754" s="76" customFormat="1" ht="21.95" customHeight="1" x14ac:dyDescent="0.15"/>
    <row r="4755" s="76" customFormat="1" ht="21.95" customHeight="1" x14ac:dyDescent="0.15"/>
    <row r="4756" s="76" customFormat="1" ht="21.95" customHeight="1" x14ac:dyDescent="0.15"/>
    <row r="4757" s="76" customFormat="1" ht="21.95" customHeight="1" x14ac:dyDescent="0.15"/>
    <row r="4758" s="76" customFormat="1" ht="21.95" customHeight="1" x14ac:dyDescent="0.15"/>
    <row r="4759" s="76" customFormat="1" ht="21.95" customHeight="1" x14ac:dyDescent="0.15"/>
    <row r="4760" s="76" customFormat="1" ht="21.95" customHeight="1" x14ac:dyDescent="0.15"/>
    <row r="4761" s="76" customFormat="1" ht="21.95" customHeight="1" x14ac:dyDescent="0.15"/>
    <row r="4762" s="76" customFormat="1" ht="21.95" customHeight="1" x14ac:dyDescent="0.15"/>
    <row r="4763" s="76" customFormat="1" ht="21.95" customHeight="1" x14ac:dyDescent="0.15"/>
    <row r="4764" s="76" customFormat="1" ht="21.95" customHeight="1" x14ac:dyDescent="0.15"/>
    <row r="4765" s="76" customFormat="1" ht="21.95" customHeight="1" x14ac:dyDescent="0.15"/>
    <row r="4766" s="76" customFormat="1" ht="21.95" customHeight="1" x14ac:dyDescent="0.15"/>
    <row r="4767" s="76" customFormat="1" ht="21.95" customHeight="1" x14ac:dyDescent="0.15"/>
    <row r="4768" s="76" customFormat="1" ht="21.95" customHeight="1" x14ac:dyDescent="0.15"/>
    <row r="4769" s="76" customFormat="1" ht="21.95" customHeight="1" x14ac:dyDescent="0.15"/>
    <row r="4770" s="76" customFormat="1" ht="21.95" customHeight="1" x14ac:dyDescent="0.15"/>
    <row r="4771" s="76" customFormat="1" ht="21.95" customHeight="1" x14ac:dyDescent="0.15"/>
    <row r="4772" s="76" customFormat="1" ht="21.95" customHeight="1" x14ac:dyDescent="0.15"/>
    <row r="4773" s="76" customFormat="1" ht="21.95" customHeight="1" x14ac:dyDescent="0.15"/>
    <row r="4774" s="76" customFormat="1" ht="21.95" customHeight="1" x14ac:dyDescent="0.15"/>
    <row r="4775" s="76" customFormat="1" ht="21.95" customHeight="1" x14ac:dyDescent="0.15"/>
    <row r="4776" s="76" customFormat="1" ht="21.95" customHeight="1" x14ac:dyDescent="0.15"/>
    <row r="4777" s="76" customFormat="1" ht="21.95" customHeight="1" x14ac:dyDescent="0.15"/>
    <row r="4778" s="76" customFormat="1" ht="21.95" customHeight="1" x14ac:dyDescent="0.15"/>
    <row r="4779" s="76" customFormat="1" ht="21.95" customHeight="1" x14ac:dyDescent="0.15"/>
    <row r="4780" s="76" customFormat="1" ht="21.95" customHeight="1" x14ac:dyDescent="0.15"/>
    <row r="4781" s="76" customFormat="1" ht="21.95" customHeight="1" x14ac:dyDescent="0.15"/>
    <row r="4782" s="76" customFormat="1" ht="21.95" customHeight="1" x14ac:dyDescent="0.15"/>
    <row r="4783" s="76" customFormat="1" ht="21.95" customHeight="1" x14ac:dyDescent="0.15"/>
    <row r="4784" s="76" customFormat="1" ht="21.95" customHeight="1" x14ac:dyDescent="0.15"/>
    <row r="4785" s="76" customFormat="1" ht="21.95" customHeight="1" x14ac:dyDescent="0.15"/>
    <row r="4786" s="76" customFormat="1" ht="21.95" customHeight="1" x14ac:dyDescent="0.15"/>
    <row r="4787" s="76" customFormat="1" ht="21.95" customHeight="1" x14ac:dyDescent="0.15"/>
    <row r="4788" s="76" customFormat="1" ht="21.95" customHeight="1" x14ac:dyDescent="0.15"/>
    <row r="4789" s="76" customFormat="1" ht="21.95" customHeight="1" x14ac:dyDescent="0.15"/>
    <row r="4790" s="76" customFormat="1" ht="21.95" customHeight="1" x14ac:dyDescent="0.15"/>
    <row r="4791" s="76" customFormat="1" ht="21.95" customHeight="1" x14ac:dyDescent="0.15"/>
    <row r="4792" s="76" customFormat="1" ht="21.95" customHeight="1" x14ac:dyDescent="0.15"/>
    <row r="4793" s="76" customFormat="1" ht="35.1" customHeight="1" x14ac:dyDescent="0.15"/>
    <row r="4794" s="76" customFormat="1" ht="21.95" customHeight="1" x14ac:dyDescent="0.15"/>
    <row r="4795" s="76" customFormat="1" ht="21.95" customHeight="1" x14ac:dyDescent="0.15"/>
    <row r="4796" s="76" customFormat="1" ht="21.95" customHeight="1" x14ac:dyDescent="0.15"/>
    <row r="4797" s="76" customFormat="1" ht="21.95" customHeight="1" x14ac:dyDescent="0.15"/>
    <row r="4798" s="76" customFormat="1" ht="21.95" customHeight="1" x14ac:dyDescent="0.15"/>
    <row r="4799" s="76" customFormat="1" ht="21.95" customHeight="1" x14ac:dyDescent="0.15"/>
    <row r="4800" s="76" customFormat="1" ht="21.95" customHeight="1" x14ac:dyDescent="0.15"/>
    <row r="4801" s="76" customFormat="1" ht="21.95" customHeight="1" x14ac:dyDescent="0.15"/>
    <row r="4802" s="76" customFormat="1" ht="21.95" customHeight="1" x14ac:dyDescent="0.15"/>
    <row r="4803" s="76" customFormat="1" ht="21.95" customHeight="1" x14ac:dyDescent="0.15"/>
    <row r="4804" s="76" customFormat="1" ht="21.95" customHeight="1" x14ac:dyDescent="0.15"/>
    <row r="4805" s="76" customFormat="1" ht="21.95" customHeight="1" x14ac:dyDescent="0.15"/>
    <row r="4806" s="76" customFormat="1" ht="21.95" customHeight="1" x14ac:dyDescent="0.15"/>
    <row r="4807" s="76" customFormat="1" ht="21.95" customHeight="1" x14ac:dyDescent="0.15"/>
    <row r="4808" s="76" customFormat="1" ht="21.95" customHeight="1" x14ac:dyDescent="0.15"/>
    <row r="4809" s="76" customFormat="1" ht="21.95" customHeight="1" x14ac:dyDescent="0.15"/>
    <row r="4810" s="76" customFormat="1" ht="21.95" customHeight="1" x14ac:dyDescent="0.15"/>
    <row r="4811" s="76" customFormat="1" ht="21.95" customHeight="1" x14ac:dyDescent="0.15"/>
    <row r="4812" s="76" customFormat="1" ht="21.95" customHeight="1" x14ac:dyDescent="0.15"/>
    <row r="4813" s="76" customFormat="1" ht="21.95" customHeight="1" x14ac:dyDescent="0.15"/>
    <row r="4814" s="76" customFormat="1" ht="21.95" customHeight="1" x14ac:dyDescent="0.15"/>
    <row r="4815" s="76" customFormat="1" ht="21.95" customHeight="1" x14ac:dyDescent="0.15"/>
    <row r="4816" s="76" customFormat="1" ht="21.95" customHeight="1" x14ac:dyDescent="0.15"/>
    <row r="4817" spans="3:3" customFormat="1" ht="21.95" customHeight="1" x14ac:dyDescent="0.15"/>
    <row r="4818" spans="3:3" customFormat="1" ht="21.95" customHeight="1" x14ac:dyDescent="0.15"/>
    <row r="4819" spans="3:3" customFormat="1" ht="21.95" customHeight="1" x14ac:dyDescent="0.15">
      <c r="C4819" s="94"/>
    </row>
    <row r="4820" spans="3:3" customFormat="1" ht="21.95" customHeight="1" x14ac:dyDescent="0.15">
      <c r="C4820" s="94"/>
    </row>
    <row r="4821" spans="3:3" customFormat="1" ht="21.95" customHeight="1" x14ac:dyDescent="0.15"/>
    <row r="4822" spans="3:3" customFormat="1" ht="21.95" customHeight="1" x14ac:dyDescent="0.15"/>
    <row r="4823" spans="3:3" customFormat="1" ht="21.95" customHeight="1" x14ac:dyDescent="0.15"/>
    <row r="4824" spans="3:3" customFormat="1" ht="21.95" customHeight="1" x14ac:dyDescent="0.15"/>
    <row r="4825" spans="3:3" customFormat="1" ht="21.95" customHeight="1" x14ac:dyDescent="0.15"/>
    <row r="4826" spans="3:3" customFormat="1" ht="21.95" customHeight="1" x14ac:dyDescent="0.15"/>
    <row r="4827" spans="3:3" customFormat="1" ht="21.95" customHeight="1" x14ac:dyDescent="0.15"/>
    <row r="4828" spans="3:3" s="76" customFormat="1" ht="21.95" customHeight="1" x14ac:dyDescent="0.15"/>
    <row r="4829" spans="3:3" s="76" customFormat="1" ht="21.95" customHeight="1" x14ac:dyDescent="0.15"/>
    <row r="4830" spans="3:3" s="76" customFormat="1" ht="21.95" customHeight="1" x14ac:dyDescent="0.15"/>
    <row r="4831" spans="3:3" s="76" customFormat="1" ht="21.95" customHeight="1" x14ac:dyDescent="0.15"/>
    <row r="4832" spans="3:3" customFormat="1" ht="21.95" customHeight="1" x14ac:dyDescent="0.15"/>
    <row r="4833" customFormat="1" ht="21.95" customHeight="1" x14ac:dyDescent="0.15"/>
    <row r="4834" customFormat="1" ht="21.95" customHeight="1" x14ac:dyDescent="0.15"/>
    <row r="4835" customFormat="1" ht="21.95" customHeight="1" x14ac:dyDescent="0.15"/>
    <row r="4836" customFormat="1" ht="21.95" customHeight="1" x14ac:dyDescent="0.15"/>
    <row r="4837" customFormat="1" ht="21.95" customHeight="1" x14ac:dyDescent="0.15"/>
    <row r="4838" customFormat="1" ht="21.95" customHeight="1" x14ac:dyDescent="0.15"/>
    <row r="4839" customFormat="1" ht="21.95" customHeight="1" x14ac:dyDescent="0.15"/>
    <row r="4840" customFormat="1" ht="21.95" customHeight="1" x14ac:dyDescent="0.15"/>
    <row r="4841" customFormat="1" ht="21.95" customHeight="1" x14ac:dyDescent="0.15"/>
    <row r="4842" customFormat="1" ht="21.95" customHeight="1" x14ac:dyDescent="0.15"/>
    <row r="4843" customFormat="1" ht="32.1" customHeight="1" x14ac:dyDescent="0.15"/>
    <row r="4844" customFormat="1" ht="32.1" customHeight="1" x14ac:dyDescent="0.15"/>
    <row r="4845" customFormat="1" ht="32.1" customHeight="1" x14ac:dyDescent="0.15"/>
    <row r="4846" customFormat="1" ht="32.1" customHeight="1" x14ac:dyDescent="0.15"/>
    <row r="4847" customFormat="1" ht="32.1" customHeight="1" x14ac:dyDescent="0.15"/>
    <row r="4848" customFormat="1" ht="32.1" customHeight="1" x14ac:dyDescent="0.15"/>
    <row r="4849" s="76" customFormat="1" ht="32.1" customHeight="1" x14ac:dyDescent="0.15"/>
    <row r="4850" s="76" customFormat="1" ht="32.1" customHeight="1" x14ac:dyDescent="0.15"/>
    <row r="4851" s="76" customFormat="1" ht="32.1" customHeight="1" x14ac:dyDescent="0.15"/>
    <row r="4852" s="76" customFormat="1" ht="32.1" customHeight="1" x14ac:dyDescent="0.15"/>
    <row r="4853" s="76" customFormat="1" ht="21.95" customHeight="1" x14ac:dyDescent="0.15"/>
    <row r="4854" s="76" customFormat="1" ht="54" customHeight="1" x14ac:dyDescent="0.15"/>
    <row r="4855" s="76" customFormat="1" ht="21.95" customHeight="1" x14ac:dyDescent="0.15"/>
    <row r="4856" s="76" customFormat="1" ht="21.95" customHeight="1" x14ac:dyDescent="0.15"/>
    <row r="4857" s="76" customFormat="1" ht="21.95" customHeight="1" x14ac:dyDescent="0.15"/>
    <row r="4858" s="76" customFormat="1" ht="21.95" customHeight="1" x14ac:dyDescent="0.15"/>
    <row r="4859" s="76" customFormat="1" ht="21.95" customHeight="1" x14ac:dyDescent="0.15"/>
    <row r="4860" s="76" customFormat="1" ht="21.95" customHeight="1" x14ac:dyDescent="0.15"/>
    <row r="4861" s="76" customFormat="1" ht="21.95" customHeight="1" x14ac:dyDescent="0.15"/>
    <row r="4862" s="76" customFormat="1" ht="21.95" customHeight="1" x14ac:dyDescent="0.15"/>
    <row r="4863" s="76" customFormat="1" ht="21.95" customHeight="1" x14ac:dyDescent="0.15"/>
    <row r="4864" s="76" customFormat="1" ht="21.95" customHeight="1" x14ac:dyDescent="0.15"/>
    <row r="4865" s="76" customFormat="1" ht="21.95" customHeight="1" x14ac:dyDescent="0.15"/>
    <row r="4866" s="76" customFormat="1" ht="21.95" customHeight="1" x14ac:dyDescent="0.15"/>
    <row r="4867" s="76" customFormat="1" ht="21.95" customHeight="1" x14ac:dyDescent="0.15"/>
    <row r="4868" s="76" customFormat="1" ht="21.95" customHeight="1" x14ac:dyDescent="0.15"/>
    <row r="4869" s="76" customFormat="1" ht="21.95" customHeight="1" x14ac:dyDescent="0.15"/>
    <row r="4870" s="76" customFormat="1" ht="21.95" customHeight="1" x14ac:dyDescent="0.15"/>
    <row r="4871" s="76" customFormat="1" ht="21.95" customHeight="1" x14ac:dyDescent="0.15"/>
    <row r="4872" s="76" customFormat="1" ht="21.95" customHeight="1" x14ac:dyDescent="0.15"/>
    <row r="4873" s="76" customFormat="1" ht="21.95" customHeight="1" x14ac:dyDescent="0.15"/>
    <row r="4874" s="76" customFormat="1" ht="21.95" customHeight="1" x14ac:dyDescent="0.15"/>
    <row r="4875" s="76" customFormat="1" ht="21.95" customHeight="1" x14ac:dyDescent="0.15"/>
    <row r="4876" s="76" customFormat="1" ht="21.95" customHeight="1" x14ac:dyDescent="0.15"/>
    <row r="4877" s="76" customFormat="1" ht="21.95" customHeight="1" x14ac:dyDescent="0.15"/>
    <row r="4878" s="76" customFormat="1" ht="21.95" customHeight="1" x14ac:dyDescent="0.15"/>
    <row r="4879" s="76" customFormat="1" ht="21.95" customHeight="1" x14ac:dyDescent="0.15"/>
    <row r="4880" s="76" customFormat="1" ht="21.95" customHeight="1" x14ac:dyDescent="0.15"/>
    <row r="4881" s="76" customFormat="1" ht="21.95" customHeight="1" x14ac:dyDescent="0.15"/>
    <row r="4882" s="76" customFormat="1" ht="21.95" customHeight="1" x14ac:dyDescent="0.15"/>
    <row r="4883" s="76" customFormat="1" ht="21.95" customHeight="1" x14ac:dyDescent="0.15"/>
    <row r="4884" s="76" customFormat="1" ht="21.95" customHeight="1" x14ac:dyDescent="0.15"/>
    <row r="4885" s="76" customFormat="1" ht="21.95" customHeight="1" x14ac:dyDescent="0.15"/>
    <row r="4886" s="76" customFormat="1" ht="21.95" customHeight="1" x14ac:dyDescent="0.15"/>
    <row r="4887" s="76" customFormat="1" ht="21.95" customHeight="1" x14ac:dyDescent="0.15"/>
    <row r="4888" s="76" customFormat="1" ht="21.95" customHeight="1" x14ac:dyDescent="0.15"/>
    <row r="4889" s="76" customFormat="1" ht="21.95" customHeight="1" x14ac:dyDescent="0.15"/>
    <row r="4890" s="76" customFormat="1" ht="21.95" customHeight="1" x14ac:dyDescent="0.15"/>
    <row r="4891" s="76" customFormat="1" ht="21.95" customHeight="1" x14ac:dyDescent="0.15"/>
    <row r="4892" s="76" customFormat="1" ht="21.95" customHeight="1" x14ac:dyDescent="0.15"/>
    <row r="4893" s="76" customFormat="1" ht="21.95" customHeight="1" x14ac:dyDescent="0.15"/>
    <row r="4894" s="76" customFormat="1" ht="21.95" customHeight="1" x14ac:dyDescent="0.15"/>
    <row r="4895" s="76" customFormat="1" ht="21.95" customHeight="1" x14ac:dyDescent="0.15"/>
    <row r="4896" s="76" customFormat="1" ht="21.95" customHeight="1" x14ac:dyDescent="0.15"/>
    <row r="4897" s="76" customFormat="1" ht="21.95" customHeight="1" x14ac:dyDescent="0.15"/>
    <row r="4898" s="76" customFormat="1" ht="21.95" customHeight="1" x14ac:dyDescent="0.15"/>
    <row r="4899" s="76" customFormat="1" ht="21.95" customHeight="1" x14ac:dyDescent="0.15"/>
    <row r="4900" s="76" customFormat="1" ht="21.95" customHeight="1" x14ac:dyDescent="0.15"/>
    <row r="4901" s="76" customFormat="1" ht="21.95" customHeight="1" x14ac:dyDescent="0.15"/>
    <row r="4902" s="76" customFormat="1" ht="21.95" customHeight="1" x14ac:dyDescent="0.15"/>
    <row r="4903" s="76" customFormat="1" ht="21.95" customHeight="1" x14ac:dyDescent="0.15"/>
    <row r="4904" s="76" customFormat="1" ht="21.95" customHeight="1" x14ac:dyDescent="0.15"/>
    <row r="4905" s="76" customFormat="1" ht="35.1" customHeight="1" x14ac:dyDescent="0.15"/>
    <row r="4906" s="76" customFormat="1" ht="21.95" customHeight="1" x14ac:dyDescent="0.15"/>
    <row r="4907" s="76" customFormat="1" ht="21.95" customHeight="1" x14ac:dyDescent="0.15"/>
    <row r="4908" s="76" customFormat="1" ht="21.95" customHeight="1" x14ac:dyDescent="0.15"/>
    <row r="4909" s="76" customFormat="1" ht="21.95" customHeight="1" x14ac:dyDescent="0.15"/>
    <row r="4910" s="76" customFormat="1" ht="21.95" customHeight="1" x14ac:dyDescent="0.15"/>
    <row r="4911" s="76" customFormat="1" ht="21.95" customHeight="1" x14ac:dyDescent="0.15"/>
    <row r="4912" s="76" customFormat="1" ht="21.95" customHeight="1" x14ac:dyDescent="0.15"/>
    <row r="4913" s="76" customFormat="1" ht="21.95" customHeight="1" x14ac:dyDescent="0.15"/>
    <row r="4914" s="76" customFormat="1" ht="21.95" customHeight="1" x14ac:dyDescent="0.15"/>
    <row r="4915" s="76" customFormat="1" ht="21.95" customHeight="1" x14ac:dyDescent="0.15"/>
    <row r="4916" s="76" customFormat="1" ht="21.95" customHeight="1" x14ac:dyDescent="0.15"/>
    <row r="4917" s="76" customFormat="1" ht="21.95" customHeight="1" x14ac:dyDescent="0.15"/>
    <row r="4918" s="76" customFormat="1" ht="21.95" customHeight="1" x14ac:dyDescent="0.15"/>
    <row r="4919" s="76" customFormat="1" ht="21.95" customHeight="1" x14ac:dyDescent="0.15"/>
    <row r="4920" s="76" customFormat="1" ht="21.95" customHeight="1" x14ac:dyDescent="0.15"/>
    <row r="4921" s="76" customFormat="1" ht="21.95" customHeight="1" x14ac:dyDescent="0.15"/>
    <row r="4922" s="76" customFormat="1" ht="21.95" customHeight="1" x14ac:dyDescent="0.15"/>
    <row r="4923" s="76" customFormat="1" ht="21.95" customHeight="1" x14ac:dyDescent="0.15"/>
    <row r="4924" s="76" customFormat="1" ht="21.95" customHeight="1" x14ac:dyDescent="0.15"/>
    <row r="4925" s="76" customFormat="1" ht="21.95" customHeight="1" x14ac:dyDescent="0.15"/>
    <row r="4926" s="76" customFormat="1" ht="21.95" customHeight="1" x14ac:dyDescent="0.15"/>
    <row r="4927" s="76" customFormat="1" ht="21.95" customHeight="1" x14ac:dyDescent="0.15"/>
    <row r="4928" s="76" customFormat="1" ht="21.95" customHeight="1" x14ac:dyDescent="0.15"/>
    <row r="4929" spans="3:3" customFormat="1" ht="21.95" customHeight="1" x14ac:dyDescent="0.15"/>
    <row r="4930" spans="3:3" customFormat="1" ht="21.95" customHeight="1" x14ac:dyDescent="0.15"/>
    <row r="4931" spans="3:3" customFormat="1" ht="21.95" customHeight="1" x14ac:dyDescent="0.15">
      <c r="C4931" s="94"/>
    </row>
    <row r="4932" spans="3:3" customFormat="1" ht="21.95" customHeight="1" x14ac:dyDescent="0.15">
      <c r="C4932" s="94"/>
    </row>
    <row r="4933" spans="3:3" customFormat="1" ht="21.95" customHeight="1" x14ac:dyDescent="0.15"/>
    <row r="4934" spans="3:3" customFormat="1" ht="21.95" customHeight="1" x14ac:dyDescent="0.15"/>
    <row r="4935" spans="3:3" customFormat="1" ht="21.95" customHeight="1" x14ac:dyDescent="0.15"/>
    <row r="4936" spans="3:3" customFormat="1" ht="21.95" customHeight="1" x14ac:dyDescent="0.15"/>
    <row r="4937" spans="3:3" customFormat="1" ht="21.95" customHeight="1" x14ac:dyDescent="0.15"/>
    <row r="4938" spans="3:3" customFormat="1" ht="21.95" customHeight="1" x14ac:dyDescent="0.15"/>
    <row r="4939" spans="3:3" customFormat="1" ht="21.95" customHeight="1" x14ac:dyDescent="0.15"/>
    <row r="4940" spans="3:3" s="76" customFormat="1" ht="21.95" customHeight="1" x14ac:dyDescent="0.15"/>
    <row r="4941" spans="3:3" s="76" customFormat="1" ht="21.95" customHeight="1" x14ac:dyDescent="0.15"/>
    <row r="4942" spans="3:3" s="76" customFormat="1" ht="21.95" customHeight="1" x14ac:dyDescent="0.15"/>
    <row r="4943" spans="3:3" s="76" customFormat="1" ht="21.95" customHeight="1" x14ac:dyDescent="0.15"/>
    <row r="4944" spans="3:3" customFormat="1" ht="21.95" customHeight="1" x14ac:dyDescent="0.15"/>
    <row r="4945" customFormat="1" ht="21.95" customHeight="1" x14ac:dyDescent="0.15"/>
    <row r="4946" customFormat="1" ht="21.95" customHeight="1" x14ac:dyDescent="0.15"/>
    <row r="4947" customFormat="1" ht="21.95" customHeight="1" x14ac:dyDescent="0.15"/>
    <row r="4948" customFormat="1" ht="21.95" customHeight="1" x14ac:dyDescent="0.15"/>
    <row r="4949" customFormat="1" ht="21.95" customHeight="1" x14ac:dyDescent="0.15"/>
    <row r="4950" customFormat="1" ht="21.95" customHeight="1" x14ac:dyDescent="0.15"/>
    <row r="4951" customFormat="1" ht="21.95" customHeight="1" x14ac:dyDescent="0.15"/>
    <row r="4952" customFormat="1" ht="21.95" customHeight="1" x14ac:dyDescent="0.15"/>
    <row r="4953" customFormat="1" ht="21.95" customHeight="1" x14ac:dyDescent="0.15"/>
    <row r="4954" customFormat="1" ht="21.95" customHeight="1" x14ac:dyDescent="0.15"/>
    <row r="4955" customFormat="1" ht="32.1" customHeight="1" x14ac:dyDescent="0.15"/>
    <row r="4956" customFormat="1" ht="32.1" customHeight="1" x14ac:dyDescent="0.15"/>
    <row r="4957" customFormat="1" ht="32.1" customHeight="1" x14ac:dyDescent="0.15"/>
    <row r="4958" customFormat="1" ht="32.1" customHeight="1" x14ac:dyDescent="0.15"/>
    <row r="4959" customFormat="1" ht="32.1" customHeight="1" x14ac:dyDescent="0.15"/>
    <row r="4960" customFormat="1" ht="32.1" customHeight="1" x14ac:dyDescent="0.15"/>
    <row r="4961" s="76" customFormat="1" ht="32.1" customHeight="1" x14ac:dyDescent="0.15"/>
    <row r="4962" s="76" customFormat="1" ht="32.1" customHeight="1" x14ac:dyDescent="0.15"/>
    <row r="4963" s="76" customFormat="1" ht="32.1" customHeight="1" x14ac:dyDescent="0.15"/>
    <row r="4964" s="76" customFormat="1" ht="32.1" customHeight="1" x14ac:dyDescent="0.15"/>
    <row r="4965" s="76" customFormat="1" ht="21.95" customHeight="1" x14ac:dyDescent="0.15"/>
    <row r="4966" s="76" customFormat="1" ht="54" customHeight="1" x14ac:dyDescent="0.15"/>
    <row r="4967" s="76" customFormat="1" ht="21.95" customHeight="1" x14ac:dyDescent="0.15"/>
    <row r="4968" s="76" customFormat="1" ht="21.95" customHeight="1" x14ac:dyDescent="0.15"/>
    <row r="4969" s="76" customFormat="1" ht="21.95" customHeight="1" x14ac:dyDescent="0.15"/>
    <row r="4970" s="76" customFormat="1" ht="21.95" customHeight="1" x14ac:dyDescent="0.15"/>
    <row r="4971" s="76" customFormat="1" ht="21.95" customHeight="1" x14ac:dyDescent="0.15"/>
    <row r="4972" s="76" customFormat="1" ht="21.95" customHeight="1" x14ac:dyDescent="0.15"/>
    <row r="4973" s="76" customFormat="1" ht="21.95" customHeight="1" x14ac:dyDescent="0.15"/>
    <row r="4974" s="76" customFormat="1" ht="21.95" customHeight="1" x14ac:dyDescent="0.15"/>
    <row r="4975" s="76" customFormat="1" ht="21.95" customHeight="1" x14ac:dyDescent="0.15"/>
    <row r="4976" s="76" customFormat="1" ht="21.95" customHeight="1" x14ac:dyDescent="0.15"/>
    <row r="4977" s="76" customFormat="1" ht="21.95" customHeight="1" x14ac:dyDescent="0.15"/>
    <row r="4978" s="76" customFormat="1" ht="21.95" customHeight="1" x14ac:dyDescent="0.15"/>
    <row r="4979" s="76" customFormat="1" ht="21.95" customHeight="1" x14ac:dyDescent="0.15"/>
    <row r="4980" s="76" customFormat="1" ht="21.95" customHeight="1" x14ac:dyDescent="0.15"/>
    <row r="4981" s="76" customFormat="1" ht="21.95" customHeight="1" x14ac:dyDescent="0.15"/>
    <row r="4982" s="76" customFormat="1" ht="21.95" customHeight="1" x14ac:dyDescent="0.15"/>
    <row r="4983" s="76" customFormat="1" ht="21.95" customHeight="1" x14ac:dyDescent="0.15"/>
    <row r="4984" s="76" customFormat="1" ht="21.95" customHeight="1" x14ac:dyDescent="0.15"/>
    <row r="4985" s="76" customFormat="1" ht="21.95" customHeight="1" x14ac:dyDescent="0.15"/>
    <row r="4986" s="76" customFormat="1" ht="21.95" customHeight="1" x14ac:dyDescent="0.15"/>
    <row r="4987" s="76" customFormat="1" ht="21.95" customHeight="1" x14ac:dyDescent="0.15"/>
    <row r="4988" s="76" customFormat="1" ht="21.95" customHeight="1" x14ac:dyDescent="0.15"/>
    <row r="4989" s="76" customFormat="1" ht="21.95" customHeight="1" x14ac:dyDescent="0.15"/>
    <row r="4990" s="76" customFormat="1" ht="21.95" customHeight="1" x14ac:dyDescent="0.15"/>
    <row r="4991" s="76" customFormat="1" ht="21.95" customHeight="1" x14ac:dyDescent="0.15"/>
    <row r="4992" s="76" customFormat="1" ht="21.95" customHeight="1" x14ac:dyDescent="0.15"/>
    <row r="4993" s="76" customFormat="1" ht="21.95" customHeight="1" x14ac:dyDescent="0.15"/>
    <row r="4994" s="76" customFormat="1" ht="21.95" customHeight="1" x14ac:dyDescent="0.15"/>
    <row r="4995" s="76" customFormat="1" ht="21.95" customHeight="1" x14ac:dyDescent="0.15"/>
    <row r="4996" s="76" customFormat="1" ht="21.95" customHeight="1" x14ac:dyDescent="0.15"/>
    <row r="4997" s="76" customFormat="1" ht="21.95" customHeight="1" x14ac:dyDescent="0.15"/>
    <row r="4998" s="76" customFormat="1" ht="21.95" customHeight="1" x14ac:dyDescent="0.15"/>
    <row r="4999" s="76" customFormat="1" ht="21.95" customHeight="1" x14ac:dyDescent="0.15"/>
    <row r="5000" s="76" customFormat="1" ht="21.95" customHeight="1" x14ac:dyDescent="0.15"/>
    <row r="5001" s="76" customFormat="1" ht="21.95" customHeight="1" x14ac:dyDescent="0.15"/>
    <row r="5002" s="76" customFormat="1" ht="21.95" customHeight="1" x14ac:dyDescent="0.15"/>
    <row r="5003" s="76" customFormat="1" ht="21.95" customHeight="1" x14ac:dyDescent="0.15"/>
    <row r="5004" s="76" customFormat="1" ht="21.95" customHeight="1" x14ac:dyDescent="0.15"/>
    <row r="5005" s="76" customFormat="1" ht="21.95" customHeight="1" x14ac:dyDescent="0.15"/>
    <row r="5006" s="76" customFormat="1" ht="21.95" customHeight="1" x14ac:dyDescent="0.15"/>
    <row r="5007" s="76" customFormat="1" ht="21.95" customHeight="1" x14ac:dyDescent="0.15"/>
    <row r="5008" s="76" customFormat="1" ht="21.95" customHeight="1" x14ac:dyDescent="0.15"/>
    <row r="5009" s="76" customFormat="1" ht="21.95" customHeight="1" x14ac:dyDescent="0.15"/>
    <row r="5010" s="76" customFormat="1" ht="21.95" customHeight="1" x14ac:dyDescent="0.15"/>
    <row r="5011" s="76" customFormat="1" ht="21.95" customHeight="1" x14ac:dyDescent="0.15"/>
    <row r="5012" s="76" customFormat="1" ht="21.95" customHeight="1" x14ac:dyDescent="0.15"/>
    <row r="5013" s="76" customFormat="1" ht="21.95" customHeight="1" x14ac:dyDescent="0.15"/>
    <row r="5014" s="76" customFormat="1" ht="21.95" customHeight="1" x14ac:dyDescent="0.15"/>
    <row r="5015" s="76" customFormat="1" ht="21.95" customHeight="1" x14ac:dyDescent="0.15"/>
    <row r="5016" s="76" customFormat="1" ht="21.95" customHeight="1" x14ac:dyDescent="0.15"/>
    <row r="5017" s="76" customFormat="1" ht="35.1" customHeight="1" x14ac:dyDescent="0.15"/>
    <row r="5018" s="76" customFormat="1" ht="21.95" customHeight="1" x14ac:dyDescent="0.15"/>
    <row r="5019" s="76" customFormat="1" ht="21.95" customHeight="1" x14ac:dyDescent="0.15"/>
    <row r="5020" s="76" customFormat="1" ht="21.95" customHeight="1" x14ac:dyDescent="0.15"/>
    <row r="5021" s="76" customFormat="1" ht="21.95" customHeight="1" x14ac:dyDescent="0.15"/>
    <row r="5022" s="76" customFormat="1" ht="21.95" customHeight="1" x14ac:dyDescent="0.15"/>
    <row r="5023" s="76" customFormat="1" ht="21.95" customHeight="1" x14ac:dyDescent="0.15"/>
    <row r="5024" s="76" customFormat="1" ht="21.95" customHeight="1" x14ac:dyDescent="0.15"/>
    <row r="5025" s="76" customFormat="1" ht="21.95" customHeight="1" x14ac:dyDescent="0.15"/>
    <row r="5026" s="76" customFormat="1" ht="21.95" customHeight="1" x14ac:dyDescent="0.15"/>
    <row r="5027" s="76" customFormat="1" ht="21.95" customHeight="1" x14ac:dyDescent="0.15"/>
    <row r="5028" s="76" customFormat="1" ht="21.95" customHeight="1" x14ac:dyDescent="0.15"/>
    <row r="5029" s="76" customFormat="1" ht="21.95" customHeight="1" x14ac:dyDescent="0.15"/>
    <row r="5030" s="76" customFormat="1" ht="21.95" customHeight="1" x14ac:dyDescent="0.15"/>
    <row r="5031" s="76" customFormat="1" ht="21.95" customHeight="1" x14ac:dyDescent="0.15"/>
    <row r="5032" s="76" customFormat="1" ht="21.95" customHeight="1" x14ac:dyDescent="0.15"/>
    <row r="5033" s="76" customFormat="1" ht="21.95" customHeight="1" x14ac:dyDescent="0.15"/>
    <row r="5034" s="76" customFormat="1" ht="21.95" customHeight="1" x14ac:dyDescent="0.15"/>
    <row r="5035" s="76" customFormat="1" ht="21.95" customHeight="1" x14ac:dyDescent="0.15"/>
    <row r="5036" s="76" customFormat="1" ht="21.95" customHeight="1" x14ac:dyDescent="0.15"/>
    <row r="5037" s="76" customFormat="1" ht="21.95" customHeight="1" x14ac:dyDescent="0.15"/>
    <row r="5038" s="76" customFormat="1" ht="21.95" customHeight="1" x14ac:dyDescent="0.15"/>
    <row r="5039" s="76" customFormat="1" ht="21.95" customHeight="1" x14ac:dyDescent="0.15"/>
    <row r="5040" s="76" customFormat="1" ht="21.95" customHeight="1" x14ac:dyDescent="0.15"/>
    <row r="5041" spans="3:3" customFormat="1" ht="21.95" customHeight="1" x14ac:dyDescent="0.15"/>
    <row r="5042" spans="3:3" customFormat="1" ht="21.95" customHeight="1" x14ac:dyDescent="0.15"/>
    <row r="5043" spans="3:3" customFormat="1" ht="21.95" customHeight="1" x14ac:dyDescent="0.15">
      <c r="C5043" s="94"/>
    </row>
    <row r="5044" spans="3:3" customFormat="1" ht="21.95" customHeight="1" x14ac:dyDescent="0.15">
      <c r="C5044" s="94"/>
    </row>
    <row r="5045" spans="3:3" customFormat="1" ht="21.95" customHeight="1" x14ac:dyDescent="0.15"/>
    <row r="5046" spans="3:3" customFormat="1" ht="21.95" customHeight="1" x14ac:dyDescent="0.15"/>
    <row r="5047" spans="3:3" customFormat="1" ht="21.95" customHeight="1" x14ac:dyDescent="0.15"/>
    <row r="5048" spans="3:3" customFormat="1" ht="21.95" customHeight="1" x14ac:dyDescent="0.15"/>
    <row r="5049" spans="3:3" customFormat="1" ht="21.95" customHeight="1" x14ac:dyDescent="0.15"/>
    <row r="5050" spans="3:3" customFormat="1" ht="21.95" customHeight="1" x14ac:dyDescent="0.15"/>
    <row r="5051" spans="3:3" customFormat="1" ht="21.95" customHeight="1" x14ac:dyDescent="0.15"/>
    <row r="5052" spans="3:3" s="76" customFormat="1" ht="21.95" customHeight="1" x14ac:dyDescent="0.15"/>
    <row r="5053" spans="3:3" s="76" customFormat="1" ht="21.95" customHeight="1" x14ac:dyDescent="0.15"/>
    <row r="5054" spans="3:3" s="76" customFormat="1" ht="21.95" customHeight="1" x14ac:dyDescent="0.15"/>
    <row r="5055" spans="3:3" s="76" customFormat="1" ht="21.95" customHeight="1" x14ac:dyDescent="0.15"/>
    <row r="5056" spans="3:3" customFormat="1" ht="21.95" customHeight="1" x14ac:dyDescent="0.15"/>
    <row r="5057" customFormat="1" ht="21.95" customHeight="1" x14ac:dyDescent="0.15"/>
    <row r="5058" customFormat="1" ht="21.95" customHeight="1" x14ac:dyDescent="0.15"/>
    <row r="5059" customFormat="1" ht="21.95" customHeight="1" x14ac:dyDescent="0.15"/>
    <row r="5060" customFormat="1" ht="21.95" customHeight="1" x14ac:dyDescent="0.15"/>
    <row r="5061" customFormat="1" ht="21.95" customHeight="1" x14ac:dyDescent="0.15"/>
    <row r="5062" customFormat="1" ht="21.95" customHeight="1" x14ac:dyDescent="0.15"/>
    <row r="5063" customFormat="1" ht="21.95" customHeight="1" x14ac:dyDescent="0.15"/>
    <row r="5064" customFormat="1" ht="21.95" customHeight="1" x14ac:dyDescent="0.15"/>
    <row r="5065" customFormat="1" ht="21.95" customHeight="1" x14ac:dyDescent="0.15"/>
    <row r="5066" customFormat="1" ht="21.95" customHeight="1" x14ac:dyDescent="0.15"/>
    <row r="5067" customFormat="1" ht="32.1" customHeight="1" x14ac:dyDescent="0.15"/>
    <row r="5068" customFormat="1" ht="32.1" customHeight="1" x14ac:dyDescent="0.15"/>
    <row r="5069" customFormat="1" ht="32.1" customHeight="1" x14ac:dyDescent="0.15"/>
    <row r="5070" customFormat="1" ht="32.1" customHeight="1" x14ac:dyDescent="0.15"/>
    <row r="5071" customFormat="1" ht="32.1" customHeight="1" x14ac:dyDescent="0.15"/>
    <row r="5072" customFormat="1" ht="32.1" customHeight="1" x14ac:dyDescent="0.15"/>
    <row r="5073" s="76" customFormat="1" ht="32.1" customHeight="1" x14ac:dyDescent="0.15"/>
    <row r="5074" s="76" customFormat="1" ht="32.1" customHeight="1" x14ac:dyDescent="0.15"/>
    <row r="5075" s="76" customFormat="1" ht="32.1" customHeight="1" x14ac:dyDescent="0.15"/>
    <row r="5076" s="76" customFormat="1" ht="32.1" customHeight="1" x14ac:dyDescent="0.15"/>
    <row r="5077" s="76" customFormat="1" ht="21.95" customHeight="1" x14ac:dyDescent="0.15"/>
    <row r="5078" s="76" customFormat="1" ht="54" customHeight="1" x14ac:dyDescent="0.15"/>
    <row r="5079" s="76" customFormat="1" ht="21.95" customHeight="1" x14ac:dyDescent="0.15"/>
    <row r="5080" s="76" customFormat="1" ht="21.95" customHeight="1" x14ac:dyDescent="0.15"/>
    <row r="5081" s="76" customFormat="1" ht="21.95" customHeight="1" x14ac:dyDescent="0.15"/>
    <row r="5082" s="76" customFormat="1" ht="21.95" customHeight="1" x14ac:dyDescent="0.15"/>
    <row r="5083" s="76" customFormat="1" ht="21.95" customHeight="1" x14ac:dyDescent="0.15"/>
    <row r="5084" s="76" customFormat="1" ht="21.95" customHeight="1" x14ac:dyDescent="0.15"/>
    <row r="5085" s="76" customFormat="1" ht="21.95" customHeight="1" x14ac:dyDescent="0.15"/>
    <row r="5086" s="76" customFormat="1" ht="21.95" customHeight="1" x14ac:dyDescent="0.15"/>
    <row r="5087" s="76" customFormat="1" ht="21.95" customHeight="1" x14ac:dyDescent="0.15"/>
    <row r="5088" s="76" customFormat="1" ht="21.95" customHeight="1" x14ac:dyDescent="0.15"/>
    <row r="5089" s="76" customFormat="1" ht="21.95" customHeight="1" x14ac:dyDescent="0.15"/>
    <row r="5090" s="76" customFormat="1" ht="21.95" customHeight="1" x14ac:dyDescent="0.15"/>
    <row r="5091" s="76" customFormat="1" ht="21.95" customHeight="1" x14ac:dyDescent="0.15"/>
    <row r="5092" s="76" customFormat="1" ht="21.95" customHeight="1" x14ac:dyDescent="0.15"/>
    <row r="5093" s="76" customFormat="1" ht="21.95" customHeight="1" x14ac:dyDescent="0.15"/>
    <row r="5094" s="76" customFormat="1" ht="21.95" customHeight="1" x14ac:dyDescent="0.15"/>
    <row r="5095" s="76" customFormat="1" ht="21.95" customHeight="1" x14ac:dyDescent="0.15"/>
    <row r="5096" s="76" customFormat="1" ht="21.95" customHeight="1" x14ac:dyDescent="0.15"/>
    <row r="5097" s="76" customFormat="1" ht="21.95" customHeight="1" x14ac:dyDescent="0.15"/>
    <row r="5098" s="76" customFormat="1" ht="21.95" customHeight="1" x14ac:dyDescent="0.15"/>
    <row r="5099" s="76" customFormat="1" ht="21.95" customHeight="1" x14ac:dyDescent="0.15"/>
    <row r="5100" s="76" customFormat="1" ht="21.95" customHeight="1" x14ac:dyDescent="0.15"/>
    <row r="5101" s="76" customFormat="1" ht="21.95" customHeight="1" x14ac:dyDescent="0.15"/>
    <row r="5102" s="76" customFormat="1" ht="21.95" customHeight="1" x14ac:dyDescent="0.15"/>
    <row r="5103" s="76" customFormat="1" ht="21.95" customHeight="1" x14ac:dyDescent="0.15"/>
    <row r="5104" s="76" customFormat="1" ht="21.95" customHeight="1" x14ac:dyDescent="0.15"/>
    <row r="5105" s="76" customFormat="1" ht="21.95" customHeight="1" x14ac:dyDescent="0.15"/>
    <row r="5106" s="76" customFormat="1" ht="21.95" customHeight="1" x14ac:dyDescent="0.15"/>
    <row r="5107" s="76" customFormat="1" ht="21.95" customHeight="1" x14ac:dyDescent="0.15"/>
    <row r="5108" s="76" customFormat="1" ht="21.95" customHeight="1" x14ac:dyDescent="0.15"/>
    <row r="5109" s="76" customFormat="1" ht="21.95" customHeight="1" x14ac:dyDescent="0.15"/>
    <row r="5110" s="76" customFormat="1" ht="21.95" customHeight="1" x14ac:dyDescent="0.15"/>
    <row r="5111" s="76" customFormat="1" ht="21.95" customHeight="1" x14ac:dyDescent="0.15"/>
    <row r="5112" s="76" customFormat="1" ht="21.95" customHeight="1" x14ac:dyDescent="0.15"/>
    <row r="5113" s="76" customFormat="1" ht="21.95" customHeight="1" x14ac:dyDescent="0.15"/>
    <row r="5114" s="76" customFormat="1" ht="21.95" customHeight="1" x14ac:dyDescent="0.15"/>
    <row r="5115" s="76" customFormat="1" ht="21.95" customHeight="1" x14ac:dyDescent="0.15"/>
    <row r="5116" s="76" customFormat="1" ht="21.95" customHeight="1" x14ac:dyDescent="0.15"/>
    <row r="5117" s="76" customFormat="1" ht="21.95" customHeight="1" x14ac:dyDescent="0.15"/>
    <row r="5118" s="76" customFormat="1" ht="21.95" customHeight="1" x14ac:dyDescent="0.15"/>
    <row r="5119" s="76" customFormat="1" ht="21.95" customHeight="1" x14ac:dyDescent="0.15"/>
    <row r="5120" s="76" customFormat="1" ht="21.95" customHeight="1" x14ac:dyDescent="0.15"/>
    <row r="5121" s="76" customFormat="1" ht="21.95" customHeight="1" x14ac:dyDescent="0.15"/>
    <row r="5122" s="76" customFormat="1" ht="21.95" customHeight="1" x14ac:dyDescent="0.15"/>
    <row r="5123" s="76" customFormat="1" ht="21.95" customHeight="1" x14ac:dyDescent="0.15"/>
    <row r="5124" s="76" customFormat="1" ht="21.95" customHeight="1" x14ac:dyDescent="0.15"/>
    <row r="5125" s="76" customFormat="1" ht="21.95" customHeight="1" x14ac:dyDescent="0.15"/>
    <row r="5126" s="76" customFormat="1" ht="21.95" customHeight="1" x14ac:dyDescent="0.15"/>
    <row r="5127" s="76" customFormat="1" ht="21.95" customHeight="1" x14ac:dyDescent="0.15"/>
    <row r="5128" s="76" customFormat="1" ht="21.95" customHeight="1" x14ac:dyDescent="0.15"/>
    <row r="5129" s="76" customFormat="1" ht="35.1" customHeight="1" x14ac:dyDescent="0.15"/>
    <row r="5130" s="76" customFormat="1" ht="21.95" customHeight="1" x14ac:dyDescent="0.15"/>
    <row r="5131" s="76" customFormat="1" ht="21.95" customHeight="1" x14ac:dyDescent="0.15"/>
    <row r="5132" s="76" customFormat="1" ht="21.95" customHeight="1" x14ac:dyDescent="0.15"/>
    <row r="5133" s="76" customFormat="1" ht="21.95" customHeight="1" x14ac:dyDescent="0.15"/>
    <row r="5134" s="76" customFormat="1" ht="21.95" customHeight="1" x14ac:dyDescent="0.15"/>
    <row r="5135" s="76" customFormat="1" ht="21.95" customHeight="1" x14ac:dyDescent="0.15"/>
    <row r="5136" s="76" customFormat="1" ht="21.95" customHeight="1" x14ac:dyDescent="0.15"/>
    <row r="5137" s="76" customFormat="1" ht="21.95" customHeight="1" x14ac:dyDescent="0.15"/>
    <row r="5138" s="76" customFormat="1" ht="21.95" customHeight="1" x14ac:dyDescent="0.15"/>
    <row r="5139" s="76" customFormat="1" ht="21.95" customHeight="1" x14ac:dyDescent="0.15"/>
    <row r="5140" s="76" customFormat="1" ht="21.95" customHeight="1" x14ac:dyDescent="0.15"/>
    <row r="5141" s="76" customFormat="1" ht="21.95" customHeight="1" x14ac:dyDescent="0.15"/>
    <row r="5142" s="76" customFormat="1" ht="21.95" customHeight="1" x14ac:dyDescent="0.15"/>
    <row r="5143" s="76" customFormat="1" ht="21.95" customHeight="1" x14ac:dyDescent="0.15"/>
    <row r="5144" s="76" customFormat="1" ht="21.95" customHeight="1" x14ac:dyDescent="0.15"/>
    <row r="5145" s="76" customFormat="1" ht="21.95" customHeight="1" x14ac:dyDescent="0.15"/>
    <row r="5146" s="76" customFormat="1" ht="21.95" customHeight="1" x14ac:dyDescent="0.15"/>
    <row r="5147" s="76" customFormat="1" ht="21.95" customHeight="1" x14ac:dyDescent="0.15"/>
    <row r="5148" s="76" customFormat="1" ht="21.95" customHeight="1" x14ac:dyDescent="0.15"/>
    <row r="5149" s="76" customFormat="1" ht="21.95" customHeight="1" x14ac:dyDescent="0.15"/>
    <row r="5150" s="76" customFormat="1" ht="21.95" customHeight="1" x14ac:dyDescent="0.15"/>
    <row r="5151" s="76" customFormat="1" ht="21.95" customHeight="1" x14ac:dyDescent="0.15"/>
    <row r="5152" s="76" customFormat="1" ht="21.95" customHeight="1" x14ac:dyDescent="0.15"/>
    <row r="5153" spans="3:3" customFormat="1" ht="21.95" customHeight="1" x14ac:dyDescent="0.15"/>
    <row r="5154" spans="3:3" customFormat="1" ht="21.95" customHeight="1" x14ac:dyDescent="0.15"/>
    <row r="5155" spans="3:3" customFormat="1" ht="21.95" customHeight="1" x14ac:dyDescent="0.15">
      <c r="C5155" s="94"/>
    </row>
    <row r="5156" spans="3:3" customFormat="1" ht="21.95" customHeight="1" x14ac:dyDescent="0.15">
      <c r="C5156" s="94"/>
    </row>
    <row r="5157" spans="3:3" customFormat="1" ht="21.95" customHeight="1" x14ac:dyDescent="0.15"/>
    <row r="5158" spans="3:3" customFormat="1" ht="21.95" customHeight="1" x14ac:dyDescent="0.15"/>
    <row r="5159" spans="3:3" customFormat="1" ht="21.95" customHeight="1" x14ac:dyDescent="0.15"/>
    <row r="5160" spans="3:3" customFormat="1" ht="21.95" customHeight="1" x14ac:dyDescent="0.15"/>
    <row r="5161" spans="3:3" customFormat="1" ht="21.95" customHeight="1" x14ac:dyDescent="0.15"/>
    <row r="5162" spans="3:3" customFormat="1" ht="21.95" customHeight="1" x14ac:dyDescent="0.15"/>
    <row r="5163" spans="3:3" customFormat="1" ht="21.95" customHeight="1" x14ac:dyDescent="0.15"/>
    <row r="5164" spans="3:3" s="76" customFormat="1" ht="21.95" customHeight="1" x14ac:dyDescent="0.15"/>
    <row r="5165" spans="3:3" s="76" customFormat="1" ht="21.95" customHeight="1" x14ac:dyDescent="0.15"/>
    <row r="5166" spans="3:3" s="76" customFormat="1" ht="21.95" customHeight="1" x14ac:dyDescent="0.15"/>
    <row r="5167" spans="3:3" s="76" customFormat="1" ht="21.95" customHeight="1" x14ac:dyDescent="0.15"/>
    <row r="5168" spans="3:3" customFormat="1" ht="21.95" customHeight="1" x14ac:dyDescent="0.15"/>
    <row r="5169" customFormat="1" ht="21.95" customHeight="1" x14ac:dyDescent="0.15"/>
    <row r="5170" customFormat="1" ht="21.95" customHeight="1" x14ac:dyDescent="0.15"/>
    <row r="5171" customFormat="1" ht="21.95" customHeight="1" x14ac:dyDescent="0.15"/>
    <row r="5172" customFormat="1" ht="21.95" customHeight="1" x14ac:dyDescent="0.15"/>
    <row r="5173" customFormat="1" ht="21.95" customHeight="1" x14ac:dyDescent="0.15"/>
    <row r="5174" customFormat="1" ht="21.95" customHeight="1" x14ac:dyDescent="0.15"/>
    <row r="5175" customFormat="1" ht="21.95" customHeight="1" x14ac:dyDescent="0.15"/>
    <row r="5176" customFormat="1" ht="21.95" customHeight="1" x14ac:dyDescent="0.15"/>
    <row r="5177" customFormat="1" ht="21.95" customHeight="1" x14ac:dyDescent="0.15"/>
    <row r="5178" customFormat="1" ht="21.95" customHeight="1" x14ac:dyDescent="0.15"/>
    <row r="5179" customFormat="1" ht="32.1" customHeight="1" x14ac:dyDescent="0.15"/>
    <row r="5180" customFormat="1" ht="32.1" customHeight="1" x14ac:dyDescent="0.15"/>
    <row r="5181" customFormat="1" ht="32.1" customHeight="1" x14ac:dyDescent="0.15"/>
    <row r="5182" customFormat="1" ht="32.1" customHeight="1" x14ac:dyDescent="0.15"/>
    <row r="5183" customFormat="1" ht="32.1" customHeight="1" x14ac:dyDescent="0.15"/>
    <row r="5184" customFormat="1" ht="32.1" customHeight="1" x14ac:dyDescent="0.15"/>
    <row r="5185" s="76" customFormat="1" ht="32.1" customHeight="1" x14ac:dyDescent="0.15"/>
    <row r="5186" s="76" customFormat="1" ht="32.1" customHeight="1" x14ac:dyDescent="0.15"/>
    <row r="5187" s="76" customFormat="1" ht="32.1" customHeight="1" x14ac:dyDescent="0.15"/>
    <row r="5188" s="76" customFormat="1" ht="32.1" customHeight="1" x14ac:dyDescent="0.15"/>
    <row r="5189" s="76" customFormat="1" ht="21.95" customHeight="1" x14ac:dyDescent="0.15"/>
    <row r="5190" s="76" customFormat="1" ht="54" customHeight="1" x14ac:dyDescent="0.15"/>
    <row r="5191" s="76" customFormat="1" ht="21.95" customHeight="1" x14ac:dyDescent="0.15"/>
    <row r="5192" s="76" customFormat="1" ht="21.95" customHeight="1" x14ac:dyDescent="0.15"/>
    <row r="5193" s="76" customFormat="1" ht="21.95" customHeight="1" x14ac:dyDescent="0.15"/>
    <row r="5194" s="76" customFormat="1" ht="21.95" customHeight="1" x14ac:dyDescent="0.15"/>
    <row r="5195" s="76" customFormat="1" ht="21.95" customHeight="1" x14ac:dyDescent="0.15"/>
    <row r="5196" s="76" customFormat="1" ht="21.95" customHeight="1" x14ac:dyDescent="0.15"/>
    <row r="5197" s="76" customFormat="1" ht="21.95" customHeight="1" x14ac:dyDescent="0.15"/>
    <row r="5198" s="76" customFormat="1" ht="21.95" customHeight="1" x14ac:dyDescent="0.15"/>
    <row r="5199" s="76" customFormat="1" ht="21.95" customHeight="1" x14ac:dyDescent="0.15"/>
    <row r="5200" s="76" customFormat="1" ht="21.95" customHeight="1" x14ac:dyDescent="0.15"/>
    <row r="5201" s="76" customFormat="1" ht="21.95" customHeight="1" x14ac:dyDescent="0.15"/>
    <row r="5202" s="76" customFormat="1" ht="21.95" customHeight="1" x14ac:dyDescent="0.15"/>
    <row r="5203" s="76" customFormat="1" ht="21.95" customHeight="1" x14ac:dyDescent="0.15"/>
    <row r="5204" s="76" customFormat="1" ht="21.95" customHeight="1" x14ac:dyDescent="0.15"/>
    <row r="5205" s="76" customFormat="1" ht="21.95" customHeight="1" x14ac:dyDescent="0.15"/>
    <row r="5206" s="76" customFormat="1" ht="21.95" customHeight="1" x14ac:dyDescent="0.15"/>
    <row r="5207" s="76" customFormat="1" ht="21.95" customHeight="1" x14ac:dyDescent="0.15"/>
    <row r="5208" s="76" customFormat="1" ht="21.95" customHeight="1" x14ac:dyDescent="0.15"/>
    <row r="5209" s="76" customFormat="1" ht="21.95" customHeight="1" x14ac:dyDescent="0.15"/>
    <row r="5210" s="76" customFormat="1" ht="21.95" customHeight="1" x14ac:dyDescent="0.15"/>
    <row r="5211" s="76" customFormat="1" ht="21.95" customHeight="1" x14ac:dyDescent="0.15"/>
    <row r="5212" s="76" customFormat="1" ht="21.95" customHeight="1" x14ac:dyDescent="0.15"/>
    <row r="5213" s="76" customFormat="1" ht="21.95" customHeight="1" x14ac:dyDescent="0.15"/>
    <row r="5214" s="76" customFormat="1" ht="21.95" customHeight="1" x14ac:dyDescent="0.15"/>
    <row r="5215" s="76" customFormat="1" ht="21.95" customHeight="1" x14ac:dyDescent="0.15"/>
    <row r="5216" s="76" customFormat="1" ht="21.95" customHeight="1" x14ac:dyDescent="0.15"/>
    <row r="5217" s="76" customFormat="1" ht="21.95" customHeight="1" x14ac:dyDescent="0.15"/>
    <row r="5218" s="76" customFormat="1" ht="21.95" customHeight="1" x14ac:dyDescent="0.15"/>
    <row r="5219" s="76" customFormat="1" ht="21.95" customHeight="1" x14ac:dyDescent="0.15"/>
    <row r="5220" s="76" customFormat="1" ht="21.95" customHeight="1" x14ac:dyDescent="0.15"/>
    <row r="5221" s="76" customFormat="1" ht="21.95" customHeight="1" x14ac:dyDescent="0.15"/>
    <row r="5222" s="76" customFormat="1" ht="21.95" customHeight="1" x14ac:dyDescent="0.15"/>
    <row r="5223" s="76" customFormat="1" ht="21.95" customHeight="1" x14ac:dyDescent="0.15"/>
    <row r="5224" s="76" customFormat="1" ht="21.95" customHeight="1" x14ac:dyDescent="0.15"/>
    <row r="5225" s="76" customFormat="1" ht="21.95" customHeight="1" x14ac:dyDescent="0.15"/>
    <row r="5226" s="76" customFormat="1" ht="21.95" customHeight="1" x14ac:dyDescent="0.15"/>
    <row r="5227" s="76" customFormat="1" ht="21.95" customHeight="1" x14ac:dyDescent="0.15"/>
    <row r="5228" s="76" customFormat="1" ht="21.95" customHeight="1" x14ac:dyDescent="0.15"/>
    <row r="5229" s="76" customFormat="1" ht="21.95" customHeight="1" x14ac:dyDescent="0.15"/>
    <row r="5230" s="76" customFormat="1" ht="21.95" customHeight="1" x14ac:dyDescent="0.15"/>
    <row r="5231" s="76" customFormat="1" ht="21.95" customHeight="1" x14ac:dyDescent="0.15"/>
    <row r="5232" s="76" customFormat="1" ht="21.95" customHeight="1" x14ac:dyDescent="0.15"/>
    <row r="5233" s="76" customFormat="1" ht="21.95" customHeight="1" x14ac:dyDescent="0.15"/>
    <row r="5234" s="76" customFormat="1" ht="21.95" customHeight="1" x14ac:dyDescent="0.15"/>
    <row r="5235" s="76" customFormat="1" ht="21.95" customHeight="1" x14ac:dyDescent="0.15"/>
    <row r="5236" s="76" customFormat="1" ht="21.95" customHeight="1" x14ac:dyDescent="0.15"/>
    <row r="5237" s="76" customFormat="1" ht="21.95" customHeight="1" x14ac:dyDescent="0.15"/>
    <row r="5238" s="76" customFormat="1" ht="21.95" customHeight="1" x14ac:dyDescent="0.15"/>
    <row r="5239" s="76" customFormat="1" ht="21.95" customHeight="1" x14ac:dyDescent="0.15"/>
    <row r="5240" s="76" customFormat="1" ht="21.95" customHeight="1" x14ac:dyDescent="0.15"/>
    <row r="5241" s="76" customFormat="1" ht="35.1" customHeight="1" x14ac:dyDescent="0.15"/>
    <row r="5242" s="76" customFormat="1" ht="21.95" customHeight="1" x14ac:dyDescent="0.15"/>
    <row r="5243" s="76" customFormat="1" ht="21.95" customHeight="1" x14ac:dyDescent="0.15"/>
    <row r="5244" s="76" customFormat="1" ht="21.95" customHeight="1" x14ac:dyDescent="0.15"/>
    <row r="5245" s="76" customFormat="1" ht="21.95" customHeight="1" x14ac:dyDescent="0.15"/>
    <row r="5246" s="76" customFormat="1" ht="21.95" customHeight="1" x14ac:dyDescent="0.15"/>
    <row r="5247" s="76" customFormat="1" ht="21.95" customHeight="1" x14ac:dyDescent="0.15"/>
    <row r="5248" s="76" customFormat="1" ht="21.95" customHeight="1" x14ac:dyDescent="0.15"/>
    <row r="5249" s="76" customFormat="1" ht="21.95" customHeight="1" x14ac:dyDescent="0.15"/>
    <row r="5250" s="76" customFormat="1" ht="21.95" customHeight="1" x14ac:dyDescent="0.15"/>
    <row r="5251" s="76" customFormat="1" ht="21.95" customHeight="1" x14ac:dyDescent="0.15"/>
    <row r="5252" s="76" customFormat="1" ht="21.95" customHeight="1" x14ac:dyDescent="0.15"/>
    <row r="5253" s="76" customFormat="1" ht="21.95" customHeight="1" x14ac:dyDescent="0.15"/>
    <row r="5254" s="76" customFormat="1" ht="21.95" customHeight="1" x14ac:dyDescent="0.15"/>
    <row r="5255" s="76" customFormat="1" ht="21.95" customHeight="1" x14ac:dyDescent="0.15"/>
    <row r="5256" s="76" customFormat="1" ht="21.95" customHeight="1" x14ac:dyDescent="0.15"/>
    <row r="5257" s="76" customFormat="1" ht="21.95" customHeight="1" x14ac:dyDescent="0.15"/>
    <row r="5258" s="76" customFormat="1" ht="21.95" customHeight="1" x14ac:dyDescent="0.15"/>
    <row r="5259" s="76" customFormat="1" ht="21.95" customHeight="1" x14ac:dyDescent="0.15"/>
    <row r="5260" s="76" customFormat="1" ht="21.95" customHeight="1" x14ac:dyDescent="0.15"/>
    <row r="5261" s="76" customFormat="1" ht="21.95" customHeight="1" x14ac:dyDescent="0.15"/>
    <row r="5262" s="76" customFormat="1" ht="21.95" customHeight="1" x14ac:dyDescent="0.15"/>
    <row r="5263" s="76" customFormat="1" ht="21.95" customHeight="1" x14ac:dyDescent="0.15"/>
    <row r="5264" s="76" customFormat="1" ht="21.95" customHeight="1" x14ac:dyDescent="0.15"/>
    <row r="5265" spans="3:3" customFormat="1" ht="21.95" customHeight="1" x14ac:dyDescent="0.15"/>
    <row r="5266" spans="3:3" customFormat="1" ht="21.95" customHeight="1" x14ac:dyDescent="0.15"/>
    <row r="5267" spans="3:3" customFormat="1" ht="21.95" customHeight="1" x14ac:dyDescent="0.15">
      <c r="C5267" s="94"/>
    </row>
    <row r="5268" spans="3:3" customFormat="1" ht="21.95" customHeight="1" x14ac:dyDescent="0.15">
      <c r="C5268" s="94"/>
    </row>
    <row r="5269" spans="3:3" customFormat="1" ht="21.95" customHeight="1" x14ac:dyDescent="0.15"/>
    <row r="5270" spans="3:3" customFormat="1" ht="21.95" customHeight="1" x14ac:dyDescent="0.15"/>
    <row r="5271" spans="3:3" customFormat="1" ht="21.95" customHeight="1" x14ac:dyDescent="0.15"/>
    <row r="5272" spans="3:3" customFormat="1" ht="21.95" customHeight="1" x14ac:dyDescent="0.15"/>
    <row r="5273" spans="3:3" customFormat="1" ht="21.95" customHeight="1" x14ac:dyDescent="0.15"/>
    <row r="5274" spans="3:3" customFormat="1" ht="21.95" customHeight="1" x14ac:dyDescent="0.15"/>
    <row r="5275" spans="3:3" customFormat="1" ht="21.95" customHeight="1" x14ac:dyDescent="0.15"/>
    <row r="5276" spans="3:3" s="76" customFormat="1" ht="21.95" customHeight="1" x14ac:dyDescent="0.15"/>
    <row r="5277" spans="3:3" s="76" customFormat="1" ht="21.95" customHeight="1" x14ac:dyDescent="0.15"/>
    <row r="5278" spans="3:3" s="76" customFormat="1" ht="21.95" customHeight="1" x14ac:dyDescent="0.15"/>
    <row r="5279" spans="3:3" s="76" customFormat="1" ht="21.95" customHeight="1" x14ac:dyDescent="0.15"/>
    <row r="5280" spans="3:3" customFormat="1" ht="21.95" customHeight="1" x14ac:dyDescent="0.15"/>
    <row r="5281" customFormat="1" ht="21.95" customHeight="1" x14ac:dyDescent="0.15"/>
    <row r="5282" customFormat="1" ht="21.95" customHeight="1" x14ac:dyDescent="0.15"/>
    <row r="5283" customFormat="1" ht="21.95" customHeight="1" x14ac:dyDescent="0.15"/>
    <row r="5284" customFormat="1" ht="21.95" customHeight="1" x14ac:dyDescent="0.15"/>
    <row r="5285" customFormat="1" ht="21.95" customHeight="1" x14ac:dyDescent="0.15"/>
    <row r="5286" customFormat="1" ht="21.95" customHeight="1" x14ac:dyDescent="0.15"/>
    <row r="5287" customFormat="1" ht="21.95" customHeight="1" x14ac:dyDescent="0.15"/>
    <row r="5288" customFormat="1" ht="21.95" customHeight="1" x14ac:dyDescent="0.15"/>
    <row r="5289" customFormat="1" ht="21.95" customHeight="1" x14ac:dyDescent="0.15"/>
    <row r="5290" customFormat="1" ht="21.95" customHeight="1" x14ac:dyDescent="0.15"/>
    <row r="5291" customFormat="1" ht="32.1" customHeight="1" x14ac:dyDescent="0.15"/>
    <row r="5292" customFormat="1" ht="32.1" customHeight="1" x14ac:dyDescent="0.15"/>
    <row r="5293" customFormat="1" ht="32.1" customHeight="1" x14ac:dyDescent="0.15"/>
    <row r="5294" customFormat="1" ht="32.1" customHeight="1" x14ac:dyDescent="0.15"/>
    <row r="5295" customFormat="1" ht="32.1" customHeight="1" x14ac:dyDescent="0.15"/>
    <row r="5296" customFormat="1" ht="32.1" customHeight="1" x14ac:dyDescent="0.15"/>
    <row r="5297" s="76" customFormat="1" ht="32.1" customHeight="1" x14ac:dyDescent="0.15"/>
    <row r="5298" s="76" customFormat="1" ht="32.1" customHeight="1" x14ac:dyDescent="0.15"/>
    <row r="5299" s="76" customFormat="1" ht="32.1" customHeight="1" x14ac:dyDescent="0.15"/>
    <row r="5300" s="76" customFormat="1" ht="32.1" customHeight="1" x14ac:dyDescent="0.15"/>
    <row r="5301" s="76" customFormat="1" ht="21.95" customHeight="1" x14ac:dyDescent="0.15"/>
    <row r="5302" s="76" customFormat="1" ht="54" customHeight="1" x14ac:dyDescent="0.15"/>
    <row r="5303" s="76" customFormat="1" ht="21.95" customHeight="1" x14ac:dyDescent="0.15"/>
    <row r="5304" s="76" customFormat="1" ht="21.95" customHeight="1" x14ac:dyDescent="0.15"/>
    <row r="5305" s="76" customFormat="1" ht="21.95" customHeight="1" x14ac:dyDescent="0.15"/>
    <row r="5306" s="76" customFormat="1" ht="21.95" customHeight="1" x14ac:dyDescent="0.15"/>
    <row r="5307" s="76" customFormat="1" ht="21.95" customHeight="1" x14ac:dyDescent="0.15"/>
    <row r="5308" s="76" customFormat="1" ht="21.95" customHeight="1" x14ac:dyDescent="0.15"/>
    <row r="5309" s="76" customFormat="1" ht="21.95" customHeight="1" x14ac:dyDescent="0.15"/>
    <row r="5310" s="76" customFormat="1" ht="21.95" customHeight="1" x14ac:dyDescent="0.15"/>
    <row r="5311" s="76" customFormat="1" ht="21.95" customHeight="1" x14ac:dyDescent="0.15"/>
    <row r="5312" s="76" customFormat="1" ht="21.95" customHeight="1" x14ac:dyDescent="0.15"/>
    <row r="5313" s="76" customFormat="1" ht="21.95" customHeight="1" x14ac:dyDescent="0.15"/>
    <row r="5314" s="76" customFormat="1" ht="21.95" customHeight="1" x14ac:dyDescent="0.15"/>
    <row r="5315" s="76" customFormat="1" ht="21.95" customHeight="1" x14ac:dyDescent="0.15"/>
    <row r="5316" s="76" customFormat="1" ht="21.95" customHeight="1" x14ac:dyDescent="0.15"/>
    <row r="5317" s="76" customFormat="1" ht="21.95" customHeight="1" x14ac:dyDescent="0.15"/>
    <row r="5318" s="76" customFormat="1" ht="21.95" customHeight="1" x14ac:dyDescent="0.15"/>
    <row r="5319" s="76" customFormat="1" ht="21.95" customHeight="1" x14ac:dyDescent="0.15"/>
    <row r="5320" s="76" customFormat="1" ht="21.95" customHeight="1" x14ac:dyDescent="0.15"/>
    <row r="5321" s="76" customFormat="1" ht="21.95" customHeight="1" x14ac:dyDescent="0.15"/>
    <row r="5322" s="76" customFormat="1" ht="21.95" customHeight="1" x14ac:dyDescent="0.15"/>
    <row r="5323" s="76" customFormat="1" ht="21.95" customHeight="1" x14ac:dyDescent="0.15"/>
    <row r="5324" s="76" customFormat="1" ht="21.95" customHeight="1" x14ac:dyDescent="0.15"/>
    <row r="5325" s="76" customFormat="1" ht="21.95" customHeight="1" x14ac:dyDescent="0.15"/>
    <row r="5326" s="76" customFormat="1" ht="21.95" customHeight="1" x14ac:dyDescent="0.15"/>
    <row r="5327" s="76" customFormat="1" ht="21.95" customHeight="1" x14ac:dyDescent="0.15"/>
    <row r="5328" s="76" customFormat="1" ht="21.95" customHeight="1" x14ac:dyDescent="0.15"/>
    <row r="5329" s="76" customFormat="1" ht="21.95" customHeight="1" x14ac:dyDescent="0.15"/>
    <row r="5330" s="76" customFormat="1" ht="21.95" customHeight="1" x14ac:dyDescent="0.15"/>
    <row r="5331" s="76" customFormat="1" ht="21.95" customHeight="1" x14ac:dyDescent="0.15"/>
    <row r="5332" s="76" customFormat="1" ht="21.95" customHeight="1" x14ac:dyDescent="0.15"/>
    <row r="5333" s="76" customFormat="1" ht="21.95" customHeight="1" x14ac:dyDescent="0.15"/>
    <row r="5334" s="76" customFormat="1" ht="21.95" customHeight="1" x14ac:dyDescent="0.15"/>
    <row r="5335" s="76" customFormat="1" ht="21.95" customHeight="1" x14ac:dyDescent="0.15"/>
    <row r="5336" s="76" customFormat="1" ht="21.95" customHeight="1" x14ac:dyDescent="0.15"/>
    <row r="5337" s="76" customFormat="1" ht="21.95" customHeight="1" x14ac:dyDescent="0.15"/>
    <row r="5338" s="76" customFormat="1" ht="21.95" customHeight="1" x14ac:dyDescent="0.15"/>
    <row r="5339" s="76" customFormat="1" ht="21.95" customHeight="1" x14ac:dyDescent="0.15"/>
    <row r="5340" s="76" customFormat="1" ht="21.95" customHeight="1" x14ac:dyDescent="0.15"/>
    <row r="5341" s="76" customFormat="1" ht="21.95" customHeight="1" x14ac:dyDescent="0.15"/>
    <row r="5342" s="76" customFormat="1" ht="21.95" customHeight="1" x14ac:dyDescent="0.15"/>
    <row r="5343" s="76" customFormat="1" ht="21.95" customHeight="1" x14ac:dyDescent="0.15"/>
    <row r="5344" s="76" customFormat="1" ht="21.95" customHeight="1" x14ac:dyDescent="0.15"/>
    <row r="5345" s="76" customFormat="1" ht="21.95" customHeight="1" x14ac:dyDescent="0.15"/>
    <row r="5346" s="76" customFormat="1" ht="21.95" customHeight="1" x14ac:dyDescent="0.15"/>
    <row r="5347" s="76" customFormat="1" ht="21.95" customHeight="1" x14ac:dyDescent="0.15"/>
    <row r="5348" s="76" customFormat="1" ht="21.95" customHeight="1" x14ac:dyDescent="0.15"/>
    <row r="5349" s="76" customFormat="1" ht="21.95" customHeight="1" x14ac:dyDescent="0.15"/>
    <row r="5350" s="76" customFormat="1" ht="21.95" customHeight="1" x14ac:dyDescent="0.15"/>
    <row r="5351" s="76" customFormat="1" ht="21.95" customHeight="1" x14ac:dyDescent="0.15"/>
    <row r="5352" s="76" customFormat="1" ht="21.95" customHeight="1" x14ac:dyDescent="0.15"/>
    <row r="5353" s="76" customFormat="1" ht="35.1" customHeight="1" x14ac:dyDescent="0.15"/>
    <row r="5354" s="76" customFormat="1" ht="21.95" customHeight="1" x14ac:dyDescent="0.15"/>
    <row r="5355" s="76" customFormat="1" ht="21.95" customHeight="1" x14ac:dyDescent="0.15"/>
    <row r="5356" s="76" customFormat="1" ht="21.95" customHeight="1" x14ac:dyDescent="0.15"/>
    <row r="5357" s="76" customFormat="1" ht="21.95" customHeight="1" x14ac:dyDescent="0.15"/>
    <row r="5358" s="76" customFormat="1" ht="21.95" customHeight="1" x14ac:dyDescent="0.15"/>
    <row r="5359" s="76" customFormat="1" ht="21.95" customHeight="1" x14ac:dyDescent="0.15"/>
    <row r="5360" s="76" customFormat="1" ht="21.95" customHeight="1" x14ac:dyDescent="0.15"/>
    <row r="5361" s="76" customFormat="1" ht="21.95" customHeight="1" x14ac:dyDescent="0.15"/>
    <row r="5362" s="76" customFormat="1" ht="21.95" customHeight="1" x14ac:dyDescent="0.15"/>
    <row r="5363" s="76" customFormat="1" ht="21.95" customHeight="1" x14ac:dyDescent="0.15"/>
    <row r="5364" s="76" customFormat="1" ht="21.95" customHeight="1" x14ac:dyDescent="0.15"/>
    <row r="5365" s="76" customFormat="1" ht="21.95" customHeight="1" x14ac:dyDescent="0.15"/>
    <row r="5366" s="76" customFormat="1" ht="21.95" customHeight="1" x14ac:dyDescent="0.15"/>
    <row r="5367" s="76" customFormat="1" ht="21.95" customHeight="1" x14ac:dyDescent="0.15"/>
    <row r="5368" s="76" customFormat="1" ht="21.95" customHeight="1" x14ac:dyDescent="0.15"/>
    <row r="5369" s="76" customFormat="1" ht="21.95" customHeight="1" x14ac:dyDescent="0.15"/>
    <row r="5370" s="76" customFormat="1" ht="21.95" customHeight="1" x14ac:dyDescent="0.15"/>
    <row r="5371" s="76" customFormat="1" ht="21.95" customHeight="1" x14ac:dyDescent="0.15"/>
    <row r="5372" s="76" customFormat="1" ht="21.95" customHeight="1" x14ac:dyDescent="0.15"/>
    <row r="5373" s="76" customFormat="1" ht="21.95" customHeight="1" x14ac:dyDescent="0.15"/>
    <row r="5374" s="76" customFormat="1" ht="21.95" customHeight="1" x14ac:dyDescent="0.15"/>
    <row r="5375" s="76" customFormat="1" ht="21.95" customHeight="1" x14ac:dyDescent="0.15"/>
    <row r="5376" s="76" customFormat="1" ht="21.95" customHeight="1" x14ac:dyDescent="0.15"/>
    <row r="5377" spans="3:3" customFormat="1" ht="21.95" customHeight="1" x14ac:dyDescent="0.15"/>
    <row r="5378" spans="3:3" customFormat="1" ht="21.95" customHeight="1" x14ac:dyDescent="0.15"/>
    <row r="5379" spans="3:3" customFormat="1" ht="21.95" customHeight="1" x14ac:dyDescent="0.15">
      <c r="C5379" s="94"/>
    </row>
    <row r="5380" spans="3:3" customFormat="1" ht="21.95" customHeight="1" x14ac:dyDescent="0.15">
      <c r="C5380" s="94"/>
    </row>
    <row r="5381" spans="3:3" customFormat="1" ht="21.95" customHeight="1" x14ac:dyDescent="0.15"/>
    <row r="5382" spans="3:3" customFormat="1" ht="21.95" customHeight="1" x14ac:dyDescent="0.15"/>
    <row r="5383" spans="3:3" customFormat="1" ht="21.95" customHeight="1" x14ac:dyDescent="0.15"/>
    <row r="5384" spans="3:3" customFormat="1" ht="21.95" customHeight="1" x14ac:dyDescent="0.15"/>
    <row r="5385" spans="3:3" customFormat="1" ht="21.95" customHeight="1" x14ac:dyDescent="0.15"/>
    <row r="5386" spans="3:3" customFormat="1" ht="21.95" customHeight="1" x14ac:dyDescent="0.15"/>
    <row r="5387" spans="3:3" customFormat="1" ht="21.95" customHeight="1" x14ac:dyDescent="0.15"/>
    <row r="5388" spans="3:3" s="76" customFormat="1" ht="21.95" customHeight="1" x14ac:dyDescent="0.15"/>
    <row r="5389" spans="3:3" s="76" customFormat="1" ht="21.95" customHeight="1" x14ac:dyDescent="0.15"/>
    <row r="5390" spans="3:3" s="76" customFormat="1" ht="21.95" customHeight="1" x14ac:dyDescent="0.15"/>
    <row r="5391" spans="3:3" s="76" customFormat="1" ht="21.95" customHeight="1" x14ac:dyDescent="0.15"/>
    <row r="5392" spans="3:3" customFormat="1" ht="21.95" customHeight="1" x14ac:dyDescent="0.15"/>
    <row r="5393" customFormat="1" ht="21.95" customHeight="1" x14ac:dyDescent="0.15"/>
    <row r="5394" customFormat="1" ht="21.95" customHeight="1" x14ac:dyDescent="0.15"/>
    <row r="5395" customFormat="1" ht="21.95" customHeight="1" x14ac:dyDescent="0.15"/>
    <row r="5396" customFormat="1" ht="21.95" customHeight="1" x14ac:dyDescent="0.15"/>
    <row r="5397" customFormat="1" ht="21.95" customHeight="1" x14ac:dyDescent="0.15"/>
    <row r="5398" customFormat="1" ht="21.95" customHeight="1" x14ac:dyDescent="0.15"/>
    <row r="5399" customFormat="1" ht="21.95" customHeight="1" x14ac:dyDescent="0.15"/>
    <row r="5400" customFormat="1" ht="21.95" customHeight="1" x14ac:dyDescent="0.15"/>
    <row r="5401" customFormat="1" ht="21.95" customHeight="1" x14ac:dyDescent="0.15"/>
    <row r="5402" customFormat="1" ht="21.95" customHeight="1" x14ac:dyDescent="0.15"/>
    <row r="5403" customFormat="1" ht="32.1" customHeight="1" x14ac:dyDescent="0.15"/>
    <row r="5404" customFormat="1" ht="32.1" customHeight="1" x14ac:dyDescent="0.15"/>
    <row r="5405" customFormat="1" ht="32.1" customHeight="1" x14ac:dyDescent="0.15"/>
    <row r="5406" customFormat="1" ht="32.1" customHeight="1" x14ac:dyDescent="0.15"/>
    <row r="5407" customFormat="1" ht="32.1" customHeight="1" x14ac:dyDescent="0.15"/>
    <row r="5408" customFormat="1" ht="32.1" customHeight="1" x14ac:dyDescent="0.15"/>
    <row r="5409" s="76" customFormat="1" ht="32.1" customHeight="1" x14ac:dyDescent="0.15"/>
    <row r="5410" s="76" customFormat="1" ht="32.1" customHeight="1" x14ac:dyDescent="0.15"/>
    <row r="5411" s="76" customFormat="1" ht="32.1" customHeight="1" x14ac:dyDescent="0.15"/>
    <row r="5412" s="76" customFormat="1" ht="32.1" customHeight="1" x14ac:dyDescent="0.15"/>
    <row r="5413" s="76" customFormat="1" ht="21.95" customHeight="1" x14ac:dyDescent="0.15"/>
    <row r="5414" s="76" customFormat="1" ht="54" customHeight="1" x14ac:dyDescent="0.15"/>
    <row r="5415" s="76" customFormat="1" ht="21.95" customHeight="1" x14ac:dyDescent="0.15"/>
    <row r="5416" s="76" customFormat="1" ht="21.95" customHeight="1" x14ac:dyDescent="0.15"/>
    <row r="5417" s="76" customFormat="1" ht="21.95" customHeight="1" x14ac:dyDescent="0.15"/>
    <row r="5418" s="76" customFormat="1" ht="21.95" customHeight="1" x14ac:dyDescent="0.15"/>
    <row r="5419" s="76" customFormat="1" ht="21.95" customHeight="1" x14ac:dyDescent="0.15"/>
    <row r="5420" s="76" customFormat="1" ht="21.95" customHeight="1" x14ac:dyDescent="0.15"/>
    <row r="5421" s="76" customFormat="1" ht="21.95" customHeight="1" x14ac:dyDescent="0.15"/>
    <row r="5422" s="76" customFormat="1" ht="21.95" customHeight="1" x14ac:dyDescent="0.15"/>
    <row r="5423" s="76" customFormat="1" ht="21.95" customHeight="1" x14ac:dyDescent="0.15"/>
    <row r="5424" s="76" customFormat="1" ht="21.95" customHeight="1" x14ac:dyDescent="0.15"/>
    <row r="5425" s="76" customFormat="1" ht="21.95" customHeight="1" x14ac:dyDescent="0.15"/>
    <row r="5426" s="76" customFormat="1" ht="21.95" customHeight="1" x14ac:dyDescent="0.15"/>
    <row r="5427" s="76" customFormat="1" ht="21.95" customHeight="1" x14ac:dyDescent="0.15"/>
    <row r="5428" s="76" customFormat="1" ht="21.95" customHeight="1" x14ac:dyDescent="0.15"/>
    <row r="5429" s="76" customFormat="1" ht="21.95" customHeight="1" x14ac:dyDescent="0.15"/>
    <row r="5430" s="76" customFormat="1" ht="21.95" customHeight="1" x14ac:dyDescent="0.15"/>
    <row r="5431" s="76" customFormat="1" ht="21.95" customHeight="1" x14ac:dyDescent="0.15"/>
    <row r="5432" s="76" customFormat="1" ht="21.95" customHeight="1" x14ac:dyDescent="0.15"/>
    <row r="5433" s="76" customFormat="1" ht="21.95" customHeight="1" x14ac:dyDescent="0.15"/>
    <row r="5434" s="76" customFormat="1" ht="21.95" customHeight="1" x14ac:dyDescent="0.15"/>
    <row r="5435" s="76" customFormat="1" ht="21.95" customHeight="1" x14ac:dyDescent="0.15"/>
    <row r="5436" s="76" customFormat="1" ht="21.95" customHeight="1" x14ac:dyDescent="0.15"/>
    <row r="5437" s="76" customFormat="1" ht="21.95" customHeight="1" x14ac:dyDescent="0.15"/>
    <row r="5438" s="76" customFormat="1" ht="21.95" customHeight="1" x14ac:dyDescent="0.15"/>
    <row r="5439" s="76" customFormat="1" ht="21.95" customHeight="1" x14ac:dyDescent="0.15"/>
    <row r="5440" s="76" customFormat="1" ht="21.95" customHeight="1" x14ac:dyDescent="0.15"/>
    <row r="5441" s="76" customFormat="1" ht="21.95" customHeight="1" x14ac:dyDescent="0.15"/>
    <row r="5442" s="76" customFormat="1" ht="21.95" customHeight="1" x14ac:dyDescent="0.15"/>
    <row r="5443" s="76" customFormat="1" ht="21.95" customHeight="1" x14ac:dyDescent="0.15"/>
    <row r="5444" s="76" customFormat="1" ht="21.95" customHeight="1" x14ac:dyDescent="0.15"/>
    <row r="5445" s="76" customFormat="1" ht="21.95" customHeight="1" x14ac:dyDescent="0.15"/>
    <row r="5446" s="76" customFormat="1" ht="21.95" customHeight="1" x14ac:dyDescent="0.15"/>
    <row r="5447" s="76" customFormat="1" ht="21.95" customHeight="1" x14ac:dyDescent="0.15"/>
    <row r="5448" s="76" customFormat="1" ht="21.95" customHeight="1" x14ac:dyDescent="0.15"/>
    <row r="5449" s="76" customFormat="1" ht="21.95" customHeight="1" x14ac:dyDescent="0.15"/>
    <row r="5450" s="76" customFormat="1" ht="21.95" customHeight="1" x14ac:dyDescent="0.15"/>
    <row r="5451" s="76" customFormat="1" ht="21.95" customHeight="1" x14ac:dyDescent="0.15"/>
    <row r="5452" s="76" customFormat="1" ht="21.95" customHeight="1" x14ac:dyDescent="0.15"/>
    <row r="5453" s="76" customFormat="1" ht="21.95" customHeight="1" x14ac:dyDescent="0.15"/>
    <row r="5454" s="76" customFormat="1" ht="21.95" customHeight="1" x14ac:dyDescent="0.15"/>
    <row r="5455" s="76" customFormat="1" ht="21.95" customHeight="1" x14ac:dyDescent="0.15"/>
    <row r="5456" s="76" customFormat="1" ht="21.95" customHeight="1" x14ac:dyDescent="0.15"/>
    <row r="5457" s="76" customFormat="1" ht="21.95" customHeight="1" x14ac:dyDescent="0.15"/>
    <row r="5458" s="76" customFormat="1" ht="21.95" customHeight="1" x14ac:dyDescent="0.15"/>
    <row r="5459" s="76" customFormat="1" ht="21.95" customHeight="1" x14ac:dyDescent="0.15"/>
    <row r="5460" s="76" customFormat="1" ht="21.95" customHeight="1" x14ac:dyDescent="0.15"/>
    <row r="5461" s="76" customFormat="1" ht="21.95" customHeight="1" x14ac:dyDescent="0.15"/>
    <row r="5462" s="76" customFormat="1" ht="21.95" customHeight="1" x14ac:dyDescent="0.15"/>
    <row r="5463" s="76" customFormat="1" ht="21.95" customHeight="1" x14ac:dyDescent="0.15"/>
    <row r="5464" s="76" customFormat="1" ht="21.95" customHeight="1" x14ac:dyDescent="0.15"/>
    <row r="5465" s="76" customFormat="1" ht="35.1" customHeight="1" x14ac:dyDescent="0.15"/>
    <row r="5466" s="76" customFormat="1" ht="21.95" customHeight="1" x14ac:dyDescent="0.15"/>
    <row r="5467" s="76" customFormat="1" ht="21.95" customHeight="1" x14ac:dyDescent="0.15"/>
    <row r="5468" s="76" customFormat="1" ht="21.95" customHeight="1" x14ac:dyDescent="0.15"/>
    <row r="5469" s="76" customFormat="1" ht="21.95" customHeight="1" x14ac:dyDescent="0.15"/>
    <row r="5470" s="76" customFormat="1" ht="21.95" customHeight="1" x14ac:dyDescent="0.15"/>
    <row r="5471" s="76" customFormat="1" ht="21.95" customHeight="1" x14ac:dyDescent="0.15"/>
    <row r="5472" s="76" customFormat="1" ht="21.95" customHeight="1" x14ac:dyDescent="0.15"/>
    <row r="5473" s="76" customFormat="1" ht="21.95" customHeight="1" x14ac:dyDescent="0.15"/>
    <row r="5474" s="76" customFormat="1" ht="21.95" customHeight="1" x14ac:dyDescent="0.15"/>
    <row r="5475" s="76" customFormat="1" ht="21.95" customHeight="1" x14ac:dyDescent="0.15"/>
    <row r="5476" s="76" customFormat="1" ht="21.95" customHeight="1" x14ac:dyDescent="0.15"/>
    <row r="5477" s="76" customFormat="1" ht="21.95" customHeight="1" x14ac:dyDescent="0.15"/>
    <row r="5478" s="76" customFormat="1" ht="21.95" customHeight="1" x14ac:dyDescent="0.15"/>
    <row r="5479" s="76" customFormat="1" ht="21.95" customHeight="1" x14ac:dyDescent="0.15"/>
    <row r="5480" s="76" customFormat="1" ht="21.95" customHeight="1" x14ac:dyDescent="0.15"/>
    <row r="5481" s="76" customFormat="1" ht="21.95" customHeight="1" x14ac:dyDescent="0.15"/>
    <row r="5482" s="76" customFormat="1" ht="21.95" customHeight="1" x14ac:dyDescent="0.15"/>
    <row r="5483" s="76" customFormat="1" ht="21.95" customHeight="1" x14ac:dyDescent="0.15"/>
    <row r="5484" s="76" customFormat="1" ht="21.95" customHeight="1" x14ac:dyDescent="0.15"/>
    <row r="5485" s="76" customFormat="1" ht="21.95" customHeight="1" x14ac:dyDescent="0.15"/>
    <row r="5486" s="76" customFormat="1" ht="21.95" customHeight="1" x14ac:dyDescent="0.15"/>
    <row r="5487" s="76" customFormat="1" ht="21.95" customHeight="1" x14ac:dyDescent="0.15"/>
    <row r="5488" s="76" customFormat="1" ht="21.95" customHeight="1" x14ac:dyDescent="0.15"/>
    <row r="5489" spans="3:3" customFormat="1" ht="21.95" customHeight="1" x14ac:dyDescent="0.15"/>
    <row r="5490" spans="3:3" customFormat="1" ht="21.95" customHeight="1" x14ac:dyDescent="0.15"/>
    <row r="5491" spans="3:3" customFormat="1" ht="21.95" customHeight="1" x14ac:dyDescent="0.15">
      <c r="C5491" s="94"/>
    </row>
    <row r="5492" spans="3:3" customFormat="1" ht="21.95" customHeight="1" x14ac:dyDescent="0.15">
      <c r="C5492" s="94"/>
    </row>
    <row r="5493" spans="3:3" customFormat="1" ht="21.95" customHeight="1" x14ac:dyDescent="0.15"/>
    <row r="5494" spans="3:3" customFormat="1" ht="21.95" customHeight="1" x14ac:dyDescent="0.15"/>
    <row r="5495" spans="3:3" customFormat="1" ht="21.95" customHeight="1" x14ac:dyDescent="0.15"/>
    <row r="5496" spans="3:3" customFormat="1" ht="21.95" customHeight="1" x14ac:dyDescent="0.15"/>
    <row r="5497" spans="3:3" customFormat="1" ht="21.95" customHeight="1" x14ac:dyDescent="0.15"/>
    <row r="5498" spans="3:3" customFormat="1" ht="21.95" customHeight="1" x14ac:dyDescent="0.15"/>
    <row r="5499" spans="3:3" customFormat="1" ht="21.95" customHeight="1" x14ac:dyDescent="0.15"/>
    <row r="5500" spans="3:3" s="76" customFormat="1" ht="21.95" customHeight="1" x14ac:dyDescent="0.15"/>
    <row r="5501" spans="3:3" s="76" customFormat="1" ht="21.95" customHeight="1" x14ac:dyDescent="0.15"/>
    <row r="5502" spans="3:3" s="76" customFormat="1" ht="21.95" customHeight="1" x14ac:dyDescent="0.15"/>
    <row r="5503" spans="3:3" s="76" customFormat="1" ht="21.95" customHeight="1" x14ac:dyDescent="0.15"/>
    <row r="5504" spans="3:3" customFormat="1" ht="21.95" customHeight="1" x14ac:dyDescent="0.15"/>
    <row r="5505" customFormat="1" ht="21.95" customHeight="1" x14ac:dyDescent="0.15"/>
    <row r="5506" customFormat="1" ht="21.95" customHeight="1" x14ac:dyDescent="0.15"/>
    <row r="5507" customFormat="1" ht="21.95" customHeight="1" x14ac:dyDescent="0.15"/>
    <row r="5508" customFormat="1" ht="21.95" customHeight="1" x14ac:dyDescent="0.15"/>
    <row r="5509" customFormat="1" ht="21.95" customHeight="1" x14ac:dyDescent="0.15"/>
    <row r="5510" customFormat="1" ht="21.95" customHeight="1" x14ac:dyDescent="0.15"/>
    <row r="5511" customFormat="1" ht="21.95" customHeight="1" x14ac:dyDescent="0.15"/>
    <row r="5512" customFormat="1" ht="21.95" customHeight="1" x14ac:dyDescent="0.15"/>
    <row r="5513" customFormat="1" ht="21.95" customHeight="1" x14ac:dyDescent="0.15"/>
    <row r="5514" customFormat="1" ht="21.95" customHeight="1" x14ac:dyDescent="0.15"/>
    <row r="5515" customFormat="1" ht="32.1" customHeight="1" x14ac:dyDescent="0.15"/>
    <row r="5516" customFormat="1" ht="32.1" customHeight="1" x14ac:dyDescent="0.15"/>
    <row r="5517" customFormat="1" ht="32.1" customHeight="1" x14ac:dyDescent="0.15"/>
    <row r="5518" customFormat="1" ht="32.1" customHeight="1" x14ac:dyDescent="0.15"/>
    <row r="5519" customFormat="1" ht="32.1" customHeight="1" x14ac:dyDescent="0.15"/>
    <row r="5520" customFormat="1" ht="32.1" customHeight="1" x14ac:dyDescent="0.15"/>
    <row r="5521" s="76" customFormat="1" ht="32.1" customHeight="1" x14ac:dyDescent="0.15"/>
    <row r="5522" s="76" customFormat="1" ht="32.1" customHeight="1" x14ac:dyDescent="0.15"/>
    <row r="5523" s="76" customFormat="1" ht="32.1" customHeight="1" x14ac:dyDescent="0.15"/>
    <row r="5524" s="76" customFormat="1" ht="32.1" customHeight="1" x14ac:dyDescent="0.15"/>
    <row r="5525" s="76" customFormat="1" ht="21.95" customHeight="1" x14ac:dyDescent="0.15"/>
    <row r="5526" s="76" customFormat="1" ht="54" customHeight="1" x14ac:dyDescent="0.15"/>
    <row r="5527" s="76" customFormat="1" ht="21.95" customHeight="1" x14ac:dyDescent="0.15"/>
    <row r="5528" s="76" customFormat="1" ht="21.95" customHeight="1" x14ac:dyDescent="0.15"/>
    <row r="5529" s="76" customFormat="1" ht="21.95" customHeight="1" x14ac:dyDescent="0.15"/>
    <row r="5530" s="76" customFormat="1" ht="21.95" customHeight="1" x14ac:dyDescent="0.15"/>
    <row r="5531" s="76" customFormat="1" ht="21.95" customHeight="1" x14ac:dyDescent="0.15"/>
    <row r="5532" s="76" customFormat="1" ht="21.95" customHeight="1" x14ac:dyDescent="0.15"/>
    <row r="5533" s="76" customFormat="1" ht="21.95" customHeight="1" x14ac:dyDescent="0.15"/>
    <row r="5534" s="76" customFormat="1" ht="21.95" customHeight="1" x14ac:dyDescent="0.15"/>
    <row r="5535" s="76" customFormat="1" ht="21.95" customHeight="1" x14ac:dyDescent="0.15"/>
    <row r="5536" s="76" customFormat="1" ht="21.95" customHeight="1" x14ac:dyDescent="0.15"/>
    <row r="5537" s="76" customFormat="1" ht="21.95" customHeight="1" x14ac:dyDescent="0.15"/>
    <row r="5538" s="76" customFormat="1" ht="21.95" customHeight="1" x14ac:dyDescent="0.15"/>
    <row r="5539" s="76" customFormat="1" ht="21.95" customHeight="1" x14ac:dyDescent="0.15"/>
    <row r="5540" s="76" customFormat="1" ht="21.95" customHeight="1" x14ac:dyDescent="0.15"/>
    <row r="5541" s="76" customFormat="1" ht="21.95" customHeight="1" x14ac:dyDescent="0.15"/>
    <row r="5542" s="76" customFormat="1" ht="21.95" customHeight="1" x14ac:dyDescent="0.15"/>
    <row r="5543" s="76" customFormat="1" ht="21.95" customHeight="1" x14ac:dyDescent="0.15"/>
    <row r="5544" s="76" customFormat="1" ht="21.95" customHeight="1" x14ac:dyDescent="0.15"/>
    <row r="5545" s="76" customFormat="1" ht="21.95" customHeight="1" x14ac:dyDescent="0.15"/>
    <row r="5546" s="76" customFormat="1" ht="21.95" customHeight="1" x14ac:dyDescent="0.15"/>
    <row r="5547" s="76" customFormat="1" ht="21.95" customHeight="1" x14ac:dyDescent="0.15"/>
    <row r="5548" s="76" customFormat="1" ht="21.95" customHeight="1" x14ac:dyDescent="0.15"/>
    <row r="5549" s="76" customFormat="1" ht="21.95" customHeight="1" x14ac:dyDescent="0.15"/>
    <row r="5550" s="76" customFormat="1" ht="21.95" customHeight="1" x14ac:dyDescent="0.15"/>
    <row r="5551" s="76" customFormat="1" ht="21.95" customHeight="1" x14ac:dyDescent="0.15"/>
    <row r="5552" s="76" customFormat="1" ht="21.95" customHeight="1" x14ac:dyDescent="0.15"/>
    <row r="5553" s="76" customFormat="1" ht="21.95" customHeight="1" x14ac:dyDescent="0.15"/>
    <row r="5554" s="76" customFormat="1" ht="21.95" customHeight="1" x14ac:dyDescent="0.15"/>
    <row r="5555" s="76" customFormat="1" ht="21.95" customHeight="1" x14ac:dyDescent="0.15"/>
    <row r="5556" s="76" customFormat="1" ht="21.95" customHeight="1" x14ac:dyDescent="0.15"/>
    <row r="5557" s="76" customFormat="1" ht="21.95" customHeight="1" x14ac:dyDescent="0.15"/>
    <row r="5558" s="76" customFormat="1" ht="21.95" customHeight="1" x14ac:dyDescent="0.15"/>
    <row r="5559" s="76" customFormat="1" ht="21.95" customHeight="1" x14ac:dyDescent="0.15"/>
    <row r="5560" s="76" customFormat="1" ht="21.95" customHeight="1" x14ac:dyDescent="0.15"/>
    <row r="5561" s="76" customFormat="1" ht="21.95" customHeight="1" x14ac:dyDescent="0.15"/>
    <row r="5562" s="76" customFormat="1" ht="21.95" customHeight="1" x14ac:dyDescent="0.15"/>
    <row r="5563" s="76" customFormat="1" ht="21.95" customHeight="1" x14ac:dyDescent="0.15"/>
    <row r="5564" s="76" customFormat="1" ht="21.95" customHeight="1" x14ac:dyDescent="0.15"/>
    <row r="5565" s="76" customFormat="1" ht="21.95" customHeight="1" x14ac:dyDescent="0.15"/>
    <row r="5566" s="76" customFormat="1" ht="21.95" customHeight="1" x14ac:dyDescent="0.15"/>
    <row r="5567" s="76" customFormat="1" ht="21.95" customHeight="1" x14ac:dyDescent="0.15"/>
    <row r="5568" s="76" customFormat="1" ht="21.95" customHeight="1" x14ac:dyDescent="0.15"/>
    <row r="5569" s="76" customFormat="1" ht="21.95" customHeight="1" x14ac:dyDescent="0.15"/>
    <row r="5570" s="76" customFormat="1" ht="21.95" customHeight="1" x14ac:dyDescent="0.15"/>
    <row r="5571" s="76" customFormat="1" ht="21.95" customHeight="1" x14ac:dyDescent="0.15"/>
    <row r="5572" s="76" customFormat="1" ht="21.95" customHeight="1" x14ac:dyDescent="0.15"/>
    <row r="5573" s="76" customFormat="1" ht="21.95" customHeight="1" x14ac:dyDescent="0.15"/>
    <row r="5574" s="76" customFormat="1" ht="21.95" customHeight="1" x14ac:dyDescent="0.15"/>
    <row r="5575" s="76" customFormat="1" ht="21.95" customHeight="1" x14ac:dyDescent="0.15"/>
    <row r="5576" s="76" customFormat="1" ht="21.95" customHeight="1" x14ac:dyDescent="0.15"/>
    <row r="5577" s="76" customFormat="1" ht="35.1" customHeight="1" x14ac:dyDescent="0.15"/>
    <row r="5578" s="76" customFormat="1" ht="21.95" customHeight="1" x14ac:dyDescent="0.15"/>
    <row r="5579" s="76" customFormat="1" ht="21.95" customHeight="1" x14ac:dyDescent="0.15"/>
    <row r="5580" s="76" customFormat="1" ht="21.95" customHeight="1" x14ac:dyDescent="0.15"/>
    <row r="5581" s="76" customFormat="1" ht="21.95" customHeight="1" x14ac:dyDescent="0.15"/>
    <row r="5582" s="76" customFormat="1" ht="21.95" customHeight="1" x14ac:dyDescent="0.15"/>
    <row r="5583" s="76" customFormat="1" ht="21.95" customHeight="1" x14ac:dyDescent="0.15"/>
    <row r="5584" s="76" customFormat="1" ht="21.95" customHeight="1" x14ac:dyDescent="0.15"/>
    <row r="5585" s="76" customFormat="1" ht="21.95" customHeight="1" x14ac:dyDescent="0.15"/>
    <row r="5586" s="76" customFormat="1" ht="21.95" customHeight="1" x14ac:dyDescent="0.15"/>
    <row r="5587" s="76" customFormat="1" ht="21.95" customHeight="1" x14ac:dyDescent="0.15"/>
    <row r="5588" s="76" customFormat="1" ht="21.95" customHeight="1" x14ac:dyDescent="0.15"/>
    <row r="5589" s="76" customFormat="1" ht="21.95" customHeight="1" x14ac:dyDescent="0.15"/>
    <row r="5590" s="76" customFormat="1" ht="21.95" customHeight="1" x14ac:dyDescent="0.15"/>
    <row r="5591" s="76" customFormat="1" ht="21.95" customHeight="1" x14ac:dyDescent="0.15"/>
    <row r="5592" s="76" customFormat="1" ht="21.95" customHeight="1" x14ac:dyDescent="0.15"/>
    <row r="5593" s="76" customFormat="1" ht="21.95" customHeight="1" x14ac:dyDescent="0.15"/>
    <row r="5594" s="76" customFormat="1" ht="21.95" customHeight="1" x14ac:dyDescent="0.15"/>
    <row r="5595" s="76" customFormat="1" ht="21.95" customHeight="1" x14ac:dyDescent="0.15"/>
    <row r="5596" s="76" customFormat="1" ht="21.95" customHeight="1" x14ac:dyDescent="0.15"/>
    <row r="5597" s="76" customFormat="1" ht="21.95" customHeight="1" x14ac:dyDescent="0.15"/>
    <row r="5598" s="76" customFormat="1" ht="21.95" customHeight="1" x14ac:dyDescent="0.15"/>
    <row r="5599" s="76" customFormat="1" ht="21.95" customHeight="1" x14ac:dyDescent="0.15"/>
    <row r="5600" s="76" customFormat="1" ht="21.95" customHeight="1" x14ac:dyDescent="0.15"/>
    <row r="5601" spans="3:3" customFormat="1" ht="21.95" customHeight="1" x14ac:dyDescent="0.15"/>
    <row r="5602" spans="3:3" customFormat="1" ht="21.95" customHeight="1" x14ac:dyDescent="0.15"/>
    <row r="5603" spans="3:3" customFormat="1" ht="21.95" customHeight="1" x14ac:dyDescent="0.15">
      <c r="C5603" s="94"/>
    </row>
    <row r="5604" spans="3:3" customFormat="1" ht="21.95" customHeight="1" x14ac:dyDescent="0.15">
      <c r="C5604" s="94"/>
    </row>
    <row r="5605" spans="3:3" customFormat="1" ht="21.95" customHeight="1" x14ac:dyDescent="0.15"/>
    <row r="5606" spans="3:3" customFormat="1" ht="21.95" customHeight="1" x14ac:dyDescent="0.15"/>
    <row r="5607" spans="3:3" customFormat="1" ht="21.95" customHeight="1" x14ac:dyDescent="0.15"/>
    <row r="5608" spans="3:3" customFormat="1" ht="21.95" customHeight="1" x14ac:dyDescent="0.15"/>
    <row r="5609" spans="3:3" customFormat="1" ht="21.95" customHeight="1" x14ac:dyDescent="0.15"/>
    <row r="5610" spans="3:3" customFormat="1" ht="21.95" customHeight="1" x14ac:dyDescent="0.15"/>
    <row r="5611" spans="3:3" customFormat="1" ht="21.95" customHeight="1" x14ac:dyDescent="0.15"/>
    <row r="5612" spans="3:3" s="76" customFormat="1" ht="21.95" customHeight="1" x14ac:dyDescent="0.15"/>
    <row r="5613" spans="3:3" s="76" customFormat="1" ht="21.95" customHeight="1" x14ac:dyDescent="0.15"/>
    <row r="5614" spans="3:3" s="76" customFormat="1" ht="21.95" customHeight="1" x14ac:dyDescent="0.15"/>
    <row r="5615" spans="3:3" s="76" customFormat="1" ht="21.95" customHeight="1" x14ac:dyDescent="0.15"/>
    <row r="5616" spans="3:3" customFormat="1" ht="21.95" customHeight="1" x14ac:dyDescent="0.15"/>
    <row r="5617" customFormat="1" ht="21.95" customHeight="1" x14ac:dyDescent="0.15"/>
    <row r="5618" customFormat="1" ht="21.95" customHeight="1" x14ac:dyDescent="0.15"/>
    <row r="5619" customFormat="1" ht="21.95" customHeight="1" x14ac:dyDescent="0.15"/>
    <row r="5620" customFormat="1" ht="21.95" customHeight="1" x14ac:dyDescent="0.15"/>
    <row r="5621" customFormat="1" ht="21.95" customHeight="1" x14ac:dyDescent="0.15"/>
    <row r="5622" customFormat="1" ht="21.95" customHeight="1" x14ac:dyDescent="0.15"/>
    <row r="5623" customFormat="1" ht="21.95" customHeight="1" x14ac:dyDescent="0.15"/>
    <row r="5624" customFormat="1" ht="21.95" customHeight="1" x14ac:dyDescent="0.15"/>
    <row r="5625" customFormat="1" ht="21.95" customHeight="1" x14ac:dyDescent="0.15"/>
    <row r="5626" customFormat="1" ht="21.95" customHeight="1" x14ac:dyDescent="0.15"/>
    <row r="5627" customFormat="1" ht="32.1" customHeight="1" x14ac:dyDescent="0.15"/>
    <row r="5628" customFormat="1" ht="32.1" customHeight="1" x14ac:dyDescent="0.15"/>
    <row r="5629" customFormat="1" ht="32.1" customHeight="1" x14ac:dyDescent="0.15"/>
    <row r="5630" customFormat="1" ht="32.1" customHeight="1" x14ac:dyDescent="0.15"/>
    <row r="5631" customFormat="1" ht="32.1" customHeight="1" x14ac:dyDescent="0.15"/>
    <row r="5632" customFormat="1" ht="32.1" customHeight="1" x14ac:dyDescent="0.15"/>
    <row r="5633" s="76" customFormat="1" ht="32.1" customHeight="1" x14ac:dyDescent="0.15"/>
    <row r="5634" s="76" customFormat="1" ht="32.1" customHeight="1" x14ac:dyDescent="0.15"/>
    <row r="5635" s="76" customFormat="1" ht="32.1" customHeight="1" x14ac:dyDescent="0.15"/>
    <row r="5636" s="76" customFormat="1" ht="32.1" customHeight="1" x14ac:dyDescent="0.15"/>
    <row r="5637" s="76" customFormat="1" ht="21.95" customHeight="1" x14ac:dyDescent="0.15"/>
    <row r="5638" s="76" customFormat="1" ht="54" customHeight="1" x14ac:dyDescent="0.15"/>
    <row r="5639" s="76" customFormat="1" ht="21.95" customHeight="1" x14ac:dyDescent="0.15"/>
    <row r="5640" s="76" customFormat="1" ht="21.95" customHeight="1" x14ac:dyDescent="0.15"/>
    <row r="5641" s="76" customFormat="1" ht="21.95" customHeight="1" x14ac:dyDescent="0.15"/>
    <row r="5642" s="76" customFormat="1" ht="21.95" customHeight="1" x14ac:dyDescent="0.15"/>
    <row r="5643" s="76" customFormat="1" ht="21.95" customHeight="1" x14ac:dyDescent="0.15"/>
    <row r="5644" s="76" customFormat="1" ht="21.95" customHeight="1" x14ac:dyDescent="0.15"/>
    <row r="5645" s="76" customFormat="1" ht="21.95" customHeight="1" x14ac:dyDescent="0.15"/>
    <row r="5646" s="76" customFormat="1" ht="21.95" customHeight="1" x14ac:dyDescent="0.15"/>
    <row r="5647" s="76" customFormat="1" ht="21.95" customHeight="1" x14ac:dyDescent="0.15"/>
    <row r="5648" s="76" customFormat="1" ht="21.95" customHeight="1" x14ac:dyDescent="0.15"/>
    <row r="5649" s="76" customFormat="1" ht="21.95" customHeight="1" x14ac:dyDescent="0.15"/>
    <row r="5650" s="76" customFormat="1" ht="21.95" customHeight="1" x14ac:dyDescent="0.15"/>
    <row r="5651" s="76" customFormat="1" ht="21.95" customHeight="1" x14ac:dyDescent="0.15"/>
    <row r="5652" s="76" customFormat="1" ht="21.95" customHeight="1" x14ac:dyDescent="0.15"/>
    <row r="5653" s="76" customFormat="1" ht="21.95" customHeight="1" x14ac:dyDescent="0.15"/>
    <row r="5654" s="76" customFormat="1" ht="21.95" customHeight="1" x14ac:dyDescent="0.15"/>
    <row r="5655" s="76" customFormat="1" ht="21.95" customHeight="1" x14ac:dyDescent="0.15"/>
    <row r="5656" s="76" customFormat="1" ht="21.95" customHeight="1" x14ac:dyDescent="0.15"/>
    <row r="5657" s="76" customFormat="1" ht="21.95" customHeight="1" x14ac:dyDescent="0.15"/>
    <row r="5658" s="76" customFormat="1" ht="21.95" customHeight="1" x14ac:dyDescent="0.15"/>
    <row r="5659" s="76" customFormat="1" ht="21.95" customHeight="1" x14ac:dyDescent="0.15"/>
    <row r="5660" s="76" customFormat="1" ht="21.95" customHeight="1" x14ac:dyDescent="0.15"/>
    <row r="5661" s="76" customFormat="1" ht="21.95" customHeight="1" x14ac:dyDescent="0.15"/>
    <row r="5662" s="76" customFormat="1" ht="21.95" customHeight="1" x14ac:dyDescent="0.15"/>
    <row r="5663" s="76" customFormat="1" ht="21.95" customHeight="1" x14ac:dyDescent="0.15"/>
    <row r="5664" s="76" customFormat="1" ht="21.95" customHeight="1" x14ac:dyDescent="0.15"/>
    <row r="5665" s="76" customFormat="1" ht="21.95" customHeight="1" x14ac:dyDescent="0.15"/>
    <row r="5666" s="76" customFormat="1" ht="21.95" customHeight="1" x14ac:dyDescent="0.15"/>
    <row r="5667" s="76" customFormat="1" ht="21.95" customHeight="1" x14ac:dyDescent="0.15"/>
    <row r="5668" s="76" customFormat="1" ht="21.95" customHeight="1" x14ac:dyDescent="0.15"/>
    <row r="5669" s="76" customFormat="1" ht="21.95" customHeight="1" x14ac:dyDescent="0.15"/>
    <row r="5670" s="76" customFormat="1" ht="21.95" customHeight="1" x14ac:dyDescent="0.15"/>
    <row r="5671" s="76" customFormat="1" ht="21.95" customHeight="1" x14ac:dyDescent="0.15"/>
    <row r="5672" s="76" customFormat="1" ht="21.95" customHeight="1" x14ac:dyDescent="0.15"/>
    <row r="5673" s="76" customFormat="1" ht="21.95" customHeight="1" x14ac:dyDescent="0.15"/>
    <row r="5674" s="76" customFormat="1" ht="21.95" customHeight="1" x14ac:dyDescent="0.15"/>
    <row r="5675" s="76" customFormat="1" ht="21.95" customHeight="1" x14ac:dyDescent="0.15"/>
    <row r="5676" s="76" customFormat="1" ht="21.95" customHeight="1" x14ac:dyDescent="0.15"/>
    <row r="5677" s="76" customFormat="1" ht="21.95" customHeight="1" x14ac:dyDescent="0.15"/>
    <row r="5678" s="76" customFormat="1" ht="21.95" customHeight="1" x14ac:dyDescent="0.15"/>
    <row r="5679" s="76" customFormat="1" ht="21.95" customHeight="1" x14ac:dyDescent="0.15"/>
    <row r="5680" s="76" customFormat="1" ht="21.95" customHeight="1" x14ac:dyDescent="0.15"/>
    <row r="5681" s="76" customFormat="1" ht="21.95" customHeight="1" x14ac:dyDescent="0.15"/>
    <row r="5682" s="76" customFormat="1" ht="21.95" customHeight="1" x14ac:dyDescent="0.15"/>
    <row r="5683" s="76" customFormat="1" ht="21.95" customHeight="1" x14ac:dyDescent="0.15"/>
    <row r="5684" s="76" customFormat="1" ht="21.95" customHeight="1" x14ac:dyDescent="0.15"/>
    <row r="5685" s="76" customFormat="1" ht="21.95" customHeight="1" x14ac:dyDescent="0.15"/>
    <row r="5686" s="76" customFormat="1" ht="21.95" customHeight="1" x14ac:dyDescent="0.15"/>
    <row r="5687" s="76" customFormat="1" ht="21.95" customHeight="1" x14ac:dyDescent="0.15"/>
    <row r="5688" s="76" customFormat="1" ht="21.95" customHeight="1" x14ac:dyDescent="0.15"/>
    <row r="5689" s="76" customFormat="1" ht="35.1" customHeight="1" x14ac:dyDescent="0.15"/>
    <row r="5690" s="76" customFormat="1" ht="21.95" customHeight="1" x14ac:dyDescent="0.15"/>
    <row r="5691" s="76" customFormat="1" ht="21.95" customHeight="1" x14ac:dyDescent="0.15"/>
    <row r="5692" s="76" customFormat="1" ht="21.95" customHeight="1" x14ac:dyDescent="0.15"/>
    <row r="5693" s="76" customFormat="1" ht="21.95" customHeight="1" x14ac:dyDescent="0.15"/>
    <row r="5694" s="76" customFormat="1" ht="21.95" customHeight="1" x14ac:dyDescent="0.15"/>
    <row r="5695" s="76" customFormat="1" ht="21.95" customHeight="1" x14ac:dyDescent="0.15"/>
    <row r="5696" s="76" customFormat="1" ht="21.95" customHeight="1" x14ac:dyDescent="0.15"/>
    <row r="5697" s="76" customFormat="1" ht="21.95" customHeight="1" x14ac:dyDescent="0.15"/>
    <row r="5698" s="76" customFormat="1" ht="21.95" customHeight="1" x14ac:dyDescent="0.15"/>
    <row r="5699" s="76" customFormat="1" ht="21.95" customHeight="1" x14ac:dyDescent="0.15"/>
    <row r="5700" s="76" customFormat="1" ht="21.95" customHeight="1" x14ac:dyDescent="0.15"/>
    <row r="5701" s="76" customFormat="1" ht="21.95" customHeight="1" x14ac:dyDescent="0.15"/>
    <row r="5702" s="76" customFormat="1" ht="21.95" customHeight="1" x14ac:dyDescent="0.15"/>
    <row r="5703" s="76" customFormat="1" ht="21.95" customHeight="1" x14ac:dyDescent="0.15"/>
    <row r="5704" s="76" customFormat="1" ht="21.95" customHeight="1" x14ac:dyDescent="0.15"/>
    <row r="5705" s="76" customFormat="1" ht="21.95" customHeight="1" x14ac:dyDescent="0.15"/>
    <row r="5706" s="76" customFormat="1" ht="21.95" customHeight="1" x14ac:dyDescent="0.15"/>
    <row r="5707" s="76" customFormat="1" ht="21.95" customHeight="1" x14ac:dyDescent="0.15"/>
    <row r="5708" s="76" customFormat="1" ht="21.95" customHeight="1" x14ac:dyDescent="0.15"/>
    <row r="5709" s="76" customFormat="1" ht="21.95" customHeight="1" x14ac:dyDescent="0.15"/>
    <row r="5710" s="76" customFormat="1" ht="21.95" customHeight="1" x14ac:dyDescent="0.15"/>
    <row r="5711" s="76" customFormat="1" ht="21.95" customHeight="1" x14ac:dyDescent="0.15"/>
    <row r="5712" s="76" customFormat="1" ht="21.95" customHeight="1" x14ac:dyDescent="0.15"/>
    <row r="5713" spans="3:3" customFormat="1" ht="21.95" customHeight="1" x14ac:dyDescent="0.15"/>
    <row r="5714" spans="3:3" customFormat="1" ht="21.95" customHeight="1" x14ac:dyDescent="0.15"/>
    <row r="5715" spans="3:3" customFormat="1" ht="21.95" customHeight="1" x14ac:dyDescent="0.15">
      <c r="C5715" s="94"/>
    </row>
    <row r="5716" spans="3:3" customFormat="1" ht="21.95" customHeight="1" x14ac:dyDescent="0.15">
      <c r="C5716" s="94"/>
    </row>
    <row r="5717" spans="3:3" customFormat="1" ht="21.95" customHeight="1" x14ac:dyDescent="0.15"/>
    <row r="5718" spans="3:3" customFormat="1" ht="21.95" customHeight="1" x14ac:dyDescent="0.15"/>
    <row r="5719" spans="3:3" customFormat="1" ht="21.95" customHeight="1" x14ac:dyDescent="0.15"/>
    <row r="5720" spans="3:3" customFormat="1" ht="21.95" customHeight="1" x14ac:dyDescent="0.15"/>
    <row r="5721" spans="3:3" customFormat="1" ht="21.95" customHeight="1" x14ac:dyDescent="0.15"/>
    <row r="5722" spans="3:3" customFormat="1" ht="21.95" customHeight="1" x14ac:dyDescent="0.15"/>
    <row r="5723" spans="3:3" customFormat="1" ht="21.95" customHeight="1" x14ac:dyDescent="0.15"/>
    <row r="5724" spans="3:3" s="76" customFormat="1" ht="21.95" customHeight="1" x14ac:dyDescent="0.15"/>
    <row r="5725" spans="3:3" s="76" customFormat="1" ht="21.95" customHeight="1" x14ac:dyDescent="0.15"/>
    <row r="5726" spans="3:3" s="76" customFormat="1" ht="21.95" customHeight="1" x14ac:dyDescent="0.15"/>
    <row r="5727" spans="3:3" s="76" customFormat="1" ht="21.95" customHeight="1" x14ac:dyDescent="0.15"/>
    <row r="5728" spans="3:3" customFormat="1" ht="21.95" customHeight="1" x14ac:dyDescent="0.15"/>
    <row r="5729" customFormat="1" ht="21.95" customHeight="1" x14ac:dyDescent="0.15"/>
    <row r="5730" customFormat="1" ht="21.95" customHeight="1" x14ac:dyDescent="0.15"/>
    <row r="5731" customFormat="1" ht="21.95" customHeight="1" x14ac:dyDescent="0.15"/>
    <row r="5732" customFormat="1" ht="21.95" customHeight="1" x14ac:dyDescent="0.15"/>
    <row r="5733" customFormat="1" ht="21.95" customHeight="1" x14ac:dyDescent="0.15"/>
    <row r="5734" customFormat="1" ht="21.95" customHeight="1" x14ac:dyDescent="0.15"/>
    <row r="5735" customFormat="1" ht="21.95" customHeight="1" x14ac:dyDescent="0.15"/>
    <row r="5736" customFormat="1" ht="21.95" customHeight="1" x14ac:dyDescent="0.15"/>
    <row r="5737" customFormat="1" ht="21.95" customHeight="1" x14ac:dyDescent="0.15"/>
    <row r="5738" customFormat="1" ht="21.95" customHeight="1" x14ac:dyDescent="0.15"/>
    <row r="5739" customFormat="1" ht="32.1" customHeight="1" x14ac:dyDescent="0.15"/>
    <row r="5740" customFormat="1" ht="32.1" customHeight="1" x14ac:dyDescent="0.15"/>
    <row r="5741" customFormat="1" ht="32.1" customHeight="1" x14ac:dyDescent="0.15"/>
    <row r="5742" customFormat="1" ht="32.1" customHeight="1" x14ac:dyDescent="0.15"/>
    <row r="5743" customFormat="1" ht="32.1" customHeight="1" x14ac:dyDescent="0.15"/>
    <row r="5744" customFormat="1" ht="32.1" customHeight="1" x14ac:dyDescent="0.15"/>
    <row r="5745" s="76" customFormat="1" ht="32.1" customHeight="1" x14ac:dyDescent="0.15"/>
    <row r="5746" s="76" customFormat="1" ht="32.1" customHeight="1" x14ac:dyDescent="0.15"/>
    <row r="5747" s="76" customFormat="1" ht="32.1" customHeight="1" x14ac:dyDescent="0.15"/>
    <row r="5748" s="76" customFormat="1" ht="32.1" customHeight="1" x14ac:dyDescent="0.15"/>
    <row r="5749" s="76" customFormat="1" ht="21.95" customHeight="1" x14ac:dyDescent="0.15"/>
    <row r="5750" s="76" customFormat="1" ht="54" customHeight="1" x14ac:dyDescent="0.15"/>
    <row r="5751" s="76" customFormat="1" ht="21.95" customHeight="1" x14ac:dyDescent="0.15"/>
    <row r="5752" s="76" customFormat="1" ht="21.95" customHeight="1" x14ac:dyDescent="0.15"/>
    <row r="5753" s="76" customFormat="1" ht="21.95" customHeight="1" x14ac:dyDescent="0.15"/>
    <row r="5754" s="76" customFormat="1" ht="21.95" customHeight="1" x14ac:dyDescent="0.15"/>
    <row r="5755" s="76" customFormat="1" ht="21.95" customHeight="1" x14ac:dyDescent="0.15"/>
    <row r="5756" s="76" customFormat="1" ht="21.95" customHeight="1" x14ac:dyDescent="0.15"/>
    <row r="5757" s="76" customFormat="1" ht="21.95" customHeight="1" x14ac:dyDescent="0.15"/>
    <row r="5758" s="76" customFormat="1" ht="21.95" customHeight="1" x14ac:dyDescent="0.15"/>
    <row r="5759" s="76" customFormat="1" ht="21.95" customHeight="1" x14ac:dyDescent="0.15"/>
    <row r="5760" s="76" customFormat="1" ht="21.95" customHeight="1" x14ac:dyDescent="0.15"/>
    <row r="5761" s="76" customFormat="1" ht="21.95" customHeight="1" x14ac:dyDescent="0.15"/>
    <row r="5762" s="76" customFormat="1" ht="21.95" customHeight="1" x14ac:dyDescent="0.15"/>
    <row r="5763" s="76" customFormat="1" ht="21.95" customHeight="1" x14ac:dyDescent="0.15"/>
    <row r="5764" s="76" customFormat="1" ht="21.95" customHeight="1" x14ac:dyDescent="0.15"/>
    <row r="5765" s="76" customFormat="1" ht="21.95" customHeight="1" x14ac:dyDescent="0.15"/>
    <row r="5766" s="76" customFormat="1" ht="21.95" customHeight="1" x14ac:dyDescent="0.15"/>
    <row r="5767" s="76" customFormat="1" ht="21.95" customHeight="1" x14ac:dyDescent="0.15"/>
    <row r="5768" s="76" customFormat="1" ht="21.95" customHeight="1" x14ac:dyDescent="0.15"/>
    <row r="5769" s="76" customFormat="1" ht="21.95" customHeight="1" x14ac:dyDescent="0.15"/>
    <row r="5770" s="76" customFormat="1" ht="21.95" customHeight="1" x14ac:dyDescent="0.15"/>
    <row r="5771" s="76" customFormat="1" ht="21.95" customHeight="1" x14ac:dyDescent="0.15"/>
    <row r="5772" s="76" customFormat="1" ht="21.95" customHeight="1" x14ac:dyDescent="0.15"/>
    <row r="5773" s="76" customFormat="1" ht="21.95" customHeight="1" x14ac:dyDescent="0.15"/>
    <row r="5774" s="76" customFormat="1" ht="21.95" customHeight="1" x14ac:dyDescent="0.15"/>
    <row r="5775" s="76" customFormat="1" ht="21.95" customHeight="1" x14ac:dyDescent="0.15"/>
    <row r="5776" s="76" customFormat="1" ht="21.95" customHeight="1" x14ac:dyDescent="0.15"/>
    <row r="5777" s="76" customFormat="1" ht="21.95" customHeight="1" x14ac:dyDescent="0.15"/>
    <row r="5778" s="76" customFormat="1" ht="21.95" customHeight="1" x14ac:dyDescent="0.15"/>
    <row r="5779" s="76" customFormat="1" ht="21.95" customHeight="1" x14ac:dyDescent="0.15"/>
    <row r="5780" s="76" customFormat="1" ht="21.95" customHeight="1" x14ac:dyDescent="0.15"/>
    <row r="5781" s="76" customFormat="1" ht="21.95" customHeight="1" x14ac:dyDescent="0.15"/>
    <row r="5782" s="76" customFormat="1" ht="21.95" customHeight="1" x14ac:dyDescent="0.15"/>
    <row r="5783" s="76" customFormat="1" ht="21.95" customHeight="1" x14ac:dyDescent="0.15"/>
    <row r="5784" s="76" customFormat="1" ht="21.95" customHeight="1" x14ac:dyDescent="0.15"/>
    <row r="5785" s="76" customFormat="1" ht="21.95" customHeight="1" x14ac:dyDescent="0.15"/>
    <row r="5786" s="76" customFormat="1" ht="21.95" customHeight="1" x14ac:dyDescent="0.15"/>
    <row r="5787" s="76" customFormat="1" ht="21.95" customHeight="1" x14ac:dyDescent="0.15"/>
    <row r="5788" s="76" customFormat="1" ht="21.95" customHeight="1" x14ac:dyDescent="0.15"/>
    <row r="5789" s="76" customFormat="1" ht="21.95" customHeight="1" x14ac:dyDescent="0.15"/>
    <row r="5790" s="76" customFormat="1" ht="21.95" customHeight="1" x14ac:dyDescent="0.15"/>
    <row r="5791" s="76" customFormat="1" ht="21.95" customHeight="1" x14ac:dyDescent="0.15"/>
    <row r="5792" s="76" customFormat="1" ht="21.95" customHeight="1" x14ac:dyDescent="0.15"/>
    <row r="5793" s="76" customFormat="1" ht="21.95" customHeight="1" x14ac:dyDescent="0.15"/>
    <row r="5794" s="76" customFormat="1" ht="21.95" customHeight="1" x14ac:dyDescent="0.15"/>
    <row r="5795" s="76" customFormat="1" ht="21.95" customHeight="1" x14ac:dyDescent="0.15"/>
    <row r="5796" s="76" customFormat="1" ht="21.95" customHeight="1" x14ac:dyDescent="0.15"/>
    <row r="5797" s="76" customFormat="1" ht="21.95" customHeight="1" x14ac:dyDescent="0.15"/>
    <row r="5798" s="76" customFormat="1" ht="21.95" customHeight="1" x14ac:dyDescent="0.15"/>
    <row r="5799" s="76" customFormat="1" ht="21.95" customHeight="1" x14ac:dyDescent="0.15"/>
    <row r="5800" s="76" customFormat="1" ht="21.95" customHeight="1" x14ac:dyDescent="0.15"/>
    <row r="5801" s="76" customFormat="1" ht="35.1" customHeight="1" x14ac:dyDescent="0.15"/>
    <row r="5802" s="76" customFormat="1" ht="21.95" customHeight="1" x14ac:dyDescent="0.15"/>
    <row r="5803" s="76" customFormat="1" ht="21.95" customHeight="1" x14ac:dyDescent="0.15"/>
    <row r="5804" s="76" customFormat="1" ht="21.95" customHeight="1" x14ac:dyDescent="0.15"/>
    <row r="5805" s="76" customFormat="1" ht="21.95" customHeight="1" x14ac:dyDescent="0.15"/>
    <row r="5806" s="76" customFormat="1" ht="21.95" customHeight="1" x14ac:dyDescent="0.15"/>
    <row r="5807" s="76" customFormat="1" ht="21.95" customHeight="1" x14ac:dyDescent="0.15"/>
    <row r="5808" s="76" customFormat="1" ht="21.95" customHeight="1" x14ac:dyDescent="0.15"/>
    <row r="5809" s="76" customFormat="1" ht="21.95" customHeight="1" x14ac:dyDescent="0.15"/>
    <row r="5810" s="76" customFormat="1" ht="21.95" customHeight="1" x14ac:dyDescent="0.15"/>
    <row r="5811" s="76" customFormat="1" ht="21.95" customHeight="1" x14ac:dyDescent="0.15"/>
    <row r="5812" s="76" customFormat="1" ht="21.95" customHeight="1" x14ac:dyDescent="0.15"/>
    <row r="5813" s="76" customFormat="1" ht="21.95" customHeight="1" x14ac:dyDescent="0.15"/>
    <row r="5814" s="76" customFormat="1" ht="21.95" customHeight="1" x14ac:dyDescent="0.15"/>
    <row r="5815" s="76" customFormat="1" ht="21.95" customHeight="1" x14ac:dyDescent="0.15"/>
    <row r="5816" s="76" customFormat="1" ht="21.95" customHeight="1" x14ac:dyDescent="0.15"/>
    <row r="5817" s="76" customFormat="1" ht="21.95" customHeight="1" x14ac:dyDescent="0.15"/>
    <row r="5818" s="76" customFormat="1" ht="21.95" customHeight="1" x14ac:dyDescent="0.15"/>
    <row r="5819" s="76" customFormat="1" ht="21.95" customHeight="1" x14ac:dyDescent="0.15"/>
    <row r="5820" s="76" customFormat="1" ht="21.95" customHeight="1" x14ac:dyDescent="0.15"/>
    <row r="5821" s="76" customFormat="1" ht="21.95" customHeight="1" x14ac:dyDescent="0.15"/>
    <row r="5822" s="76" customFormat="1" ht="21.95" customHeight="1" x14ac:dyDescent="0.15"/>
    <row r="5823" s="76" customFormat="1" ht="21.95" customHeight="1" x14ac:dyDescent="0.15"/>
    <row r="5824" s="76" customFormat="1" ht="21.95" customHeight="1" x14ac:dyDescent="0.15"/>
    <row r="5825" spans="3:3" customFormat="1" ht="21.95" customHeight="1" x14ac:dyDescent="0.15"/>
    <row r="5826" spans="3:3" customFormat="1" ht="21.95" customHeight="1" x14ac:dyDescent="0.15"/>
    <row r="5827" spans="3:3" customFormat="1" ht="21.95" customHeight="1" x14ac:dyDescent="0.15">
      <c r="C5827" s="94"/>
    </row>
    <row r="5828" spans="3:3" customFormat="1" ht="21.95" customHeight="1" x14ac:dyDescent="0.15">
      <c r="C5828" s="94"/>
    </row>
    <row r="5829" spans="3:3" customFormat="1" ht="21.95" customHeight="1" x14ac:dyDescent="0.15"/>
    <row r="5830" spans="3:3" customFormat="1" ht="21.95" customHeight="1" x14ac:dyDescent="0.15"/>
    <row r="5831" spans="3:3" customFormat="1" ht="21.95" customHeight="1" x14ac:dyDescent="0.15"/>
    <row r="5832" spans="3:3" customFormat="1" ht="21.95" customHeight="1" x14ac:dyDescent="0.15"/>
    <row r="5833" spans="3:3" customFormat="1" ht="21.95" customHeight="1" x14ac:dyDescent="0.15"/>
    <row r="5834" spans="3:3" customFormat="1" ht="21.95" customHeight="1" x14ac:dyDescent="0.15"/>
    <row r="5835" spans="3:3" customFormat="1" ht="21.95" customHeight="1" x14ac:dyDescent="0.15"/>
    <row r="5836" spans="3:3" s="76" customFormat="1" ht="21.95" customHeight="1" x14ac:dyDescent="0.15"/>
    <row r="5837" spans="3:3" s="76" customFormat="1" ht="21.95" customHeight="1" x14ac:dyDescent="0.15"/>
    <row r="5838" spans="3:3" s="76" customFormat="1" ht="21.95" customHeight="1" x14ac:dyDescent="0.15"/>
    <row r="5839" spans="3:3" s="76" customFormat="1" ht="21.95" customHeight="1" x14ac:dyDescent="0.15"/>
    <row r="5840" spans="3:3" customFormat="1" ht="21.95" customHeight="1" x14ac:dyDescent="0.15"/>
    <row r="5841" customFormat="1" ht="21.95" customHeight="1" x14ac:dyDescent="0.15"/>
    <row r="5842" customFormat="1" ht="21.95" customHeight="1" x14ac:dyDescent="0.15"/>
    <row r="5843" customFormat="1" ht="21.95" customHeight="1" x14ac:dyDescent="0.15"/>
    <row r="5844" customFormat="1" ht="21.95" customHeight="1" x14ac:dyDescent="0.15"/>
    <row r="5845" customFormat="1" ht="21.95" customHeight="1" x14ac:dyDescent="0.15"/>
    <row r="5846" customFormat="1" ht="21.95" customHeight="1" x14ac:dyDescent="0.15"/>
    <row r="5847" customFormat="1" ht="21.95" customHeight="1" x14ac:dyDescent="0.15"/>
    <row r="5848" customFormat="1" ht="21.95" customHeight="1" x14ac:dyDescent="0.15"/>
    <row r="5849" customFormat="1" ht="21.95" customHeight="1" x14ac:dyDescent="0.15"/>
    <row r="5850" customFormat="1" ht="21.95" customHeight="1" x14ac:dyDescent="0.15"/>
    <row r="5851" customFormat="1" ht="32.1" customHeight="1" x14ac:dyDescent="0.15"/>
    <row r="5852" customFormat="1" ht="32.1" customHeight="1" x14ac:dyDescent="0.15"/>
    <row r="5853" customFormat="1" ht="32.1" customHeight="1" x14ac:dyDescent="0.15"/>
    <row r="5854" customFormat="1" ht="32.1" customHeight="1" x14ac:dyDescent="0.15"/>
    <row r="5855" customFormat="1" ht="32.1" customHeight="1" x14ac:dyDescent="0.15"/>
    <row r="5856" customFormat="1" ht="32.1" customHeight="1" x14ac:dyDescent="0.15"/>
    <row r="5857" s="76" customFormat="1" ht="32.1" customHeight="1" x14ac:dyDescent="0.15"/>
    <row r="5858" s="76" customFormat="1" ht="32.1" customHeight="1" x14ac:dyDescent="0.15"/>
    <row r="5859" s="76" customFormat="1" ht="32.1" customHeight="1" x14ac:dyDescent="0.15"/>
    <row r="5860" s="76" customFormat="1" ht="32.1" customHeight="1" x14ac:dyDescent="0.15"/>
    <row r="5861" s="76" customFormat="1" ht="21.95" customHeight="1" x14ac:dyDescent="0.15"/>
    <row r="5862" s="76" customFormat="1" ht="54" customHeight="1" x14ac:dyDescent="0.15"/>
    <row r="5863" s="76" customFormat="1" ht="21.95" customHeight="1" x14ac:dyDescent="0.15"/>
    <row r="5864" s="76" customFormat="1" ht="21.95" customHeight="1" x14ac:dyDescent="0.15"/>
    <row r="5865" s="76" customFormat="1" ht="21.95" customHeight="1" x14ac:dyDescent="0.15"/>
    <row r="5866" s="76" customFormat="1" ht="21.95" customHeight="1" x14ac:dyDescent="0.15"/>
    <row r="5867" s="76" customFormat="1" ht="21.95" customHeight="1" x14ac:dyDescent="0.15"/>
    <row r="5868" s="76" customFormat="1" ht="21.95" customHeight="1" x14ac:dyDescent="0.15"/>
    <row r="5869" s="76" customFormat="1" ht="21.95" customHeight="1" x14ac:dyDescent="0.15"/>
    <row r="5870" s="76" customFormat="1" ht="21.95" customHeight="1" x14ac:dyDescent="0.15"/>
    <row r="5871" s="76" customFormat="1" ht="21.95" customHeight="1" x14ac:dyDescent="0.15"/>
    <row r="5872" s="76" customFormat="1" ht="21.95" customHeight="1" x14ac:dyDescent="0.15"/>
    <row r="5873" s="76" customFormat="1" ht="21.95" customHeight="1" x14ac:dyDescent="0.15"/>
    <row r="5874" s="76" customFormat="1" ht="21.95" customHeight="1" x14ac:dyDescent="0.15"/>
    <row r="5875" s="76" customFormat="1" ht="21.95" customHeight="1" x14ac:dyDescent="0.15"/>
    <row r="5876" s="76" customFormat="1" ht="21.95" customHeight="1" x14ac:dyDescent="0.15"/>
    <row r="5877" s="76" customFormat="1" ht="21.95" customHeight="1" x14ac:dyDescent="0.15"/>
    <row r="5878" s="76" customFormat="1" ht="21.95" customHeight="1" x14ac:dyDescent="0.15"/>
    <row r="5879" s="76" customFormat="1" ht="21.95" customHeight="1" x14ac:dyDescent="0.15"/>
    <row r="5880" s="76" customFormat="1" ht="21.95" customHeight="1" x14ac:dyDescent="0.15"/>
    <row r="5881" s="76" customFormat="1" ht="21.95" customHeight="1" x14ac:dyDescent="0.15"/>
    <row r="5882" s="76" customFormat="1" ht="21.95" customHeight="1" x14ac:dyDescent="0.15"/>
    <row r="5883" s="76" customFormat="1" ht="21.95" customHeight="1" x14ac:dyDescent="0.15"/>
    <row r="5884" s="76" customFormat="1" ht="21.95" customHeight="1" x14ac:dyDescent="0.15"/>
    <row r="5885" s="76" customFormat="1" ht="21.95" customHeight="1" x14ac:dyDescent="0.15"/>
    <row r="5886" s="76" customFormat="1" ht="21.95" customHeight="1" x14ac:dyDescent="0.15"/>
    <row r="5887" s="76" customFormat="1" ht="21.95" customHeight="1" x14ac:dyDescent="0.15"/>
    <row r="5888" s="76" customFormat="1" ht="21.95" customHeight="1" x14ac:dyDescent="0.15"/>
    <row r="5889" s="76" customFormat="1" ht="21.95" customHeight="1" x14ac:dyDescent="0.15"/>
    <row r="5890" s="76" customFormat="1" ht="21.95" customHeight="1" x14ac:dyDescent="0.15"/>
    <row r="5891" s="76" customFormat="1" ht="21.95" customHeight="1" x14ac:dyDescent="0.15"/>
    <row r="5892" s="76" customFormat="1" ht="21.95" customHeight="1" x14ac:dyDescent="0.15"/>
    <row r="5893" s="76" customFormat="1" ht="21.95" customHeight="1" x14ac:dyDescent="0.15"/>
    <row r="5894" s="76" customFormat="1" ht="21.95" customHeight="1" x14ac:dyDescent="0.15"/>
    <row r="5895" s="76" customFormat="1" ht="21.95" customHeight="1" x14ac:dyDescent="0.15"/>
    <row r="5896" s="76" customFormat="1" ht="21.95" customHeight="1" x14ac:dyDescent="0.15"/>
    <row r="5897" s="76" customFormat="1" ht="21.95" customHeight="1" x14ac:dyDescent="0.15"/>
    <row r="5898" s="76" customFormat="1" ht="21.95" customHeight="1" x14ac:dyDescent="0.15"/>
    <row r="5899" s="76" customFormat="1" ht="21.95" customHeight="1" x14ac:dyDescent="0.15"/>
    <row r="5900" s="76" customFormat="1" ht="21.95" customHeight="1" x14ac:dyDescent="0.15"/>
    <row r="5901" s="76" customFormat="1" ht="21.95" customHeight="1" x14ac:dyDescent="0.15"/>
    <row r="5902" s="76" customFormat="1" ht="21.95" customHeight="1" x14ac:dyDescent="0.15"/>
    <row r="5903" s="76" customFormat="1" ht="21.95" customHeight="1" x14ac:dyDescent="0.15"/>
    <row r="5904" s="76" customFormat="1" ht="21.95" customHeight="1" x14ac:dyDescent="0.15"/>
    <row r="5905" s="76" customFormat="1" ht="21.95" customHeight="1" x14ac:dyDescent="0.15"/>
    <row r="5906" s="76" customFormat="1" ht="21.95" customHeight="1" x14ac:dyDescent="0.15"/>
    <row r="5907" s="76" customFormat="1" ht="21.95" customHeight="1" x14ac:dyDescent="0.15"/>
    <row r="5908" s="76" customFormat="1" ht="21.95" customHeight="1" x14ac:dyDescent="0.15"/>
    <row r="5909" s="76" customFormat="1" ht="21.95" customHeight="1" x14ac:dyDescent="0.15"/>
    <row r="5910" s="76" customFormat="1" ht="21.95" customHeight="1" x14ac:dyDescent="0.15"/>
    <row r="5911" s="76" customFormat="1" ht="21.95" customHeight="1" x14ac:dyDescent="0.15"/>
    <row r="5912" s="76" customFormat="1" ht="21.95" customHeight="1" x14ac:dyDescent="0.15"/>
    <row r="5913" s="76" customFormat="1" ht="35.1" customHeight="1" x14ac:dyDescent="0.15"/>
    <row r="5914" s="76" customFormat="1" ht="21.95" customHeight="1" x14ac:dyDescent="0.15"/>
    <row r="5915" s="76" customFormat="1" ht="21.95" customHeight="1" x14ac:dyDescent="0.15"/>
    <row r="5916" s="76" customFormat="1" ht="21.95" customHeight="1" x14ac:dyDescent="0.15"/>
    <row r="5917" s="76" customFormat="1" ht="21.95" customHeight="1" x14ac:dyDescent="0.15"/>
    <row r="5918" s="76" customFormat="1" ht="21.95" customHeight="1" x14ac:dyDescent="0.15"/>
    <row r="5919" s="76" customFormat="1" ht="21.95" customHeight="1" x14ac:dyDescent="0.15"/>
    <row r="5920" s="76" customFormat="1" ht="21.95" customHeight="1" x14ac:dyDescent="0.15"/>
    <row r="5921" s="76" customFormat="1" ht="21.95" customHeight="1" x14ac:dyDescent="0.15"/>
    <row r="5922" s="76" customFormat="1" ht="21.95" customHeight="1" x14ac:dyDescent="0.15"/>
    <row r="5923" s="76" customFormat="1" ht="21.95" customHeight="1" x14ac:dyDescent="0.15"/>
    <row r="5924" s="76" customFormat="1" ht="21.95" customHeight="1" x14ac:dyDescent="0.15"/>
    <row r="5925" s="76" customFormat="1" ht="21.95" customHeight="1" x14ac:dyDescent="0.15"/>
    <row r="5926" s="76" customFormat="1" ht="21.95" customHeight="1" x14ac:dyDescent="0.15"/>
    <row r="5927" s="76" customFormat="1" ht="21.95" customHeight="1" x14ac:dyDescent="0.15"/>
    <row r="5928" s="76" customFormat="1" ht="21.95" customHeight="1" x14ac:dyDescent="0.15"/>
    <row r="5929" s="76" customFormat="1" ht="21.95" customHeight="1" x14ac:dyDescent="0.15"/>
    <row r="5930" s="76" customFormat="1" ht="21.95" customHeight="1" x14ac:dyDescent="0.15"/>
    <row r="5931" s="76" customFormat="1" ht="21.95" customHeight="1" x14ac:dyDescent="0.15"/>
    <row r="5932" s="76" customFormat="1" ht="21.95" customHeight="1" x14ac:dyDescent="0.15"/>
    <row r="5933" s="76" customFormat="1" ht="21.95" customHeight="1" x14ac:dyDescent="0.15"/>
    <row r="5934" s="76" customFormat="1" ht="21.95" customHeight="1" x14ac:dyDescent="0.15"/>
    <row r="5935" s="76" customFormat="1" ht="21.95" customHeight="1" x14ac:dyDescent="0.15"/>
    <row r="5936" s="76" customFormat="1" ht="21.95" customHeight="1" x14ac:dyDescent="0.15"/>
    <row r="5937" spans="3:3" customFormat="1" ht="21.95" customHeight="1" x14ac:dyDescent="0.15"/>
    <row r="5938" spans="3:3" customFormat="1" ht="21.95" customHeight="1" x14ac:dyDescent="0.15"/>
    <row r="5939" spans="3:3" customFormat="1" ht="21.95" customHeight="1" x14ac:dyDescent="0.15">
      <c r="C5939" s="94"/>
    </row>
    <row r="5940" spans="3:3" customFormat="1" ht="21.95" customHeight="1" x14ac:dyDescent="0.15">
      <c r="C5940" s="94"/>
    </row>
    <row r="5941" spans="3:3" customFormat="1" ht="21.95" customHeight="1" x14ac:dyDescent="0.15"/>
    <row r="5942" spans="3:3" customFormat="1" ht="21.95" customHeight="1" x14ac:dyDescent="0.15"/>
    <row r="5943" spans="3:3" customFormat="1" ht="21.95" customHeight="1" x14ac:dyDescent="0.15"/>
    <row r="5944" spans="3:3" customFormat="1" ht="21.95" customHeight="1" x14ac:dyDescent="0.15"/>
    <row r="5945" spans="3:3" customFormat="1" ht="21.95" customHeight="1" x14ac:dyDescent="0.15"/>
    <row r="5946" spans="3:3" customFormat="1" ht="21.95" customHeight="1" x14ac:dyDescent="0.15"/>
    <row r="5947" spans="3:3" customFormat="1" ht="21.95" customHeight="1" x14ac:dyDescent="0.15"/>
    <row r="5948" spans="3:3" s="76" customFormat="1" ht="21.95" customHeight="1" x14ac:dyDescent="0.15"/>
    <row r="5949" spans="3:3" s="76" customFormat="1" ht="21.95" customHeight="1" x14ac:dyDescent="0.15"/>
    <row r="5950" spans="3:3" s="76" customFormat="1" ht="21.95" customHeight="1" x14ac:dyDescent="0.15"/>
    <row r="5951" spans="3:3" s="76" customFormat="1" ht="21.95" customHeight="1" x14ac:dyDescent="0.15"/>
    <row r="5952" spans="3:3" customFormat="1" ht="21.95" customHeight="1" x14ac:dyDescent="0.15"/>
    <row r="5953" customFormat="1" ht="21.95" customHeight="1" x14ac:dyDescent="0.15"/>
    <row r="5954" customFormat="1" ht="21.95" customHeight="1" x14ac:dyDescent="0.15"/>
    <row r="5955" customFormat="1" ht="21.95" customHeight="1" x14ac:dyDescent="0.15"/>
    <row r="5956" customFormat="1" ht="21.95" customHeight="1" x14ac:dyDescent="0.15"/>
    <row r="5957" customFormat="1" ht="21.95" customHeight="1" x14ac:dyDescent="0.15"/>
    <row r="5958" customFormat="1" ht="21.95" customHeight="1" x14ac:dyDescent="0.15"/>
    <row r="5959" customFormat="1" ht="21.95" customHeight="1" x14ac:dyDescent="0.15"/>
    <row r="5960" customFormat="1" ht="21.95" customHeight="1" x14ac:dyDescent="0.15"/>
    <row r="5961" customFormat="1" ht="21.95" customHeight="1" x14ac:dyDescent="0.15"/>
    <row r="5962" customFormat="1" ht="21.95" customHeight="1" x14ac:dyDescent="0.15"/>
    <row r="5963" customFormat="1" ht="32.1" customHeight="1" x14ac:dyDescent="0.15"/>
    <row r="5964" customFormat="1" ht="32.1" customHeight="1" x14ac:dyDescent="0.15"/>
    <row r="5965" customFormat="1" ht="32.1" customHeight="1" x14ac:dyDescent="0.15"/>
    <row r="5966" customFormat="1" ht="32.1" customHeight="1" x14ac:dyDescent="0.15"/>
    <row r="5967" customFormat="1" ht="32.1" customHeight="1" x14ac:dyDescent="0.15"/>
    <row r="5968" customFormat="1" ht="32.1" customHeight="1" x14ac:dyDescent="0.15"/>
    <row r="5969" s="76" customFormat="1" ht="32.1" customHeight="1" x14ac:dyDescent="0.15"/>
    <row r="5970" s="76" customFormat="1" ht="32.1" customHeight="1" x14ac:dyDescent="0.15"/>
    <row r="5971" s="76" customFormat="1" ht="32.1" customHeight="1" x14ac:dyDescent="0.15"/>
    <row r="5972" s="76" customFormat="1" ht="32.1" customHeight="1" x14ac:dyDescent="0.15"/>
    <row r="5973" s="76" customFormat="1" ht="21.95" customHeight="1" x14ac:dyDescent="0.15"/>
    <row r="5974" s="76" customFormat="1" ht="54" customHeight="1" x14ac:dyDescent="0.15"/>
    <row r="5975" s="76" customFormat="1" ht="21.95" customHeight="1" x14ac:dyDescent="0.15"/>
    <row r="5976" s="76" customFormat="1" ht="21.95" customHeight="1" x14ac:dyDescent="0.15"/>
    <row r="5977" s="76" customFormat="1" ht="21.95" customHeight="1" x14ac:dyDescent="0.15"/>
    <row r="5978" s="76" customFormat="1" ht="21.95" customHeight="1" x14ac:dyDescent="0.15"/>
    <row r="5979" s="76" customFormat="1" ht="21.95" customHeight="1" x14ac:dyDescent="0.15"/>
    <row r="5980" s="76" customFormat="1" ht="21.95" customHeight="1" x14ac:dyDescent="0.15"/>
    <row r="5981" s="76" customFormat="1" ht="21.95" customHeight="1" x14ac:dyDescent="0.15"/>
    <row r="5982" s="76" customFormat="1" ht="21.95" customHeight="1" x14ac:dyDescent="0.15"/>
    <row r="5983" s="76" customFormat="1" ht="21.95" customHeight="1" x14ac:dyDescent="0.15"/>
    <row r="5984" s="76" customFormat="1" ht="21.95" customHeight="1" x14ac:dyDescent="0.15"/>
    <row r="5985" s="76" customFormat="1" ht="21.95" customHeight="1" x14ac:dyDescent="0.15"/>
    <row r="5986" s="76" customFormat="1" ht="21.95" customHeight="1" x14ac:dyDescent="0.15"/>
    <row r="5987" s="76" customFormat="1" ht="21.95" customHeight="1" x14ac:dyDescent="0.15"/>
    <row r="5988" s="76" customFormat="1" ht="21.95" customHeight="1" x14ac:dyDescent="0.15"/>
    <row r="5989" s="76" customFormat="1" ht="21.95" customHeight="1" x14ac:dyDescent="0.15"/>
    <row r="5990" s="76" customFormat="1" ht="21.95" customHeight="1" x14ac:dyDescent="0.15"/>
    <row r="5991" s="76" customFormat="1" ht="21.95" customHeight="1" x14ac:dyDescent="0.15"/>
    <row r="5992" s="76" customFormat="1" ht="21.95" customHeight="1" x14ac:dyDescent="0.15"/>
    <row r="5993" s="76" customFormat="1" ht="21.95" customHeight="1" x14ac:dyDescent="0.15"/>
    <row r="5994" s="76" customFormat="1" ht="21.95" customHeight="1" x14ac:dyDescent="0.15"/>
    <row r="5995" s="76" customFormat="1" ht="21.95" customHeight="1" x14ac:dyDescent="0.15"/>
    <row r="5996" s="76" customFormat="1" ht="21.95" customHeight="1" x14ac:dyDescent="0.15"/>
    <row r="5997" s="76" customFormat="1" ht="21.95" customHeight="1" x14ac:dyDescent="0.15"/>
    <row r="5998" s="76" customFormat="1" ht="21.95" customHeight="1" x14ac:dyDescent="0.15"/>
    <row r="5999" s="76" customFormat="1" ht="21.95" customHeight="1" x14ac:dyDescent="0.15"/>
    <row r="6000" s="76" customFormat="1" ht="21.95" customHeight="1" x14ac:dyDescent="0.15"/>
    <row r="6001" s="76" customFormat="1" ht="21.95" customHeight="1" x14ac:dyDescent="0.15"/>
    <row r="6002" s="76" customFormat="1" ht="21.95" customHeight="1" x14ac:dyDescent="0.15"/>
    <row r="6003" s="76" customFormat="1" ht="21.95" customHeight="1" x14ac:dyDescent="0.15"/>
    <row r="6004" s="76" customFormat="1" ht="21.95" customHeight="1" x14ac:dyDescent="0.15"/>
    <row r="6005" s="76" customFormat="1" ht="21.95" customHeight="1" x14ac:dyDescent="0.15"/>
    <row r="6006" s="76" customFormat="1" ht="21.95" customHeight="1" x14ac:dyDescent="0.15"/>
    <row r="6007" s="76" customFormat="1" ht="21.95" customHeight="1" x14ac:dyDescent="0.15"/>
    <row r="6008" s="76" customFormat="1" ht="21.95" customHeight="1" x14ac:dyDescent="0.15"/>
    <row r="6009" s="76" customFormat="1" ht="21.95" customHeight="1" x14ac:dyDescent="0.15"/>
    <row r="6010" s="76" customFormat="1" ht="21.95" customHeight="1" x14ac:dyDescent="0.15"/>
    <row r="6011" s="76" customFormat="1" ht="21.95" customHeight="1" x14ac:dyDescent="0.15"/>
    <row r="6012" s="76" customFormat="1" ht="21.95" customHeight="1" x14ac:dyDescent="0.15"/>
    <row r="6013" s="76" customFormat="1" ht="21.95" customHeight="1" x14ac:dyDescent="0.15"/>
    <row r="6014" s="76" customFormat="1" ht="21.95" customHeight="1" x14ac:dyDescent="0.15"/>
    <row r="6015" s="76" customFormat="1" ht="21.95" customHeight="1" x14ac:dyDescent="0.15"/>
    <row r="6016" s="76" customFormat="1" ht="21.95" customHeight="1" x14ac:dyDescent="0.15"/>
    <row r="6017" s="76" customFormat="1" ht="21.95" customHeight="1" x14ac:dyDescent="0.15"/>
    <row r="6018" s="76" customFormat="1" ht="21.95" customHeight="1" x14ac:dyDescent="0.15"/>
    <row r="6019" s="76" customFormat="1" ht="21.95" customHeight="1" x14ac:dyDescent="0.15"/>
    <row r="6020" s="76" customFormat="1" ht="21.95" customHeight="1" x14ac:dyDescent="0.15"/>
    <row r="6021" s="76" customFormat="1" ht="21.95" customHeight="1" x14ac:dyDescent="0.15"/>
    <row r="6022" s="76" customFormat="1" ht="21.95" customHeight="1" x14ac:dyDescent="0.15"/>
    <row r="6023" s="76" customFormat="1" ht="21.95" customHeight="1" x14ac:dyDescent="0.15"/>
    <row r="6024" s="76" customFormat="1" ht="21.95" customHeight="1" x14ac:dyDescent="0.15"/>
    <row r="6025" s="76" customFormat="1" ht="35.1" customHeight="1" x14ac:dyDescent="0.15"/>
    <row r="6026" s="76" customFormat="1" ht="21.95" customHeight="1" x14ac:dyDescent="0.15"/>
    <row r="6027" s="76" customFormat="1" ht="21.95" customHeight="1" x14ac:dyDescent="0.15"/>
    <row r="6028" s="76" customFormat="1" ht="21.95" customHeight="1" x14ac:dyDescent="0.15"/>
    <row r="6029" s="76" customFormat="1" ht="21.95" customHeight="1" x14ac:dyDescent="0.15"/>
    <row r="6030" s="76" customFormat="1" ht="21.95" customHeight="1" x14ac:dyDescent="0.15"/>
    <row r="6031" s="76" customFormat="1" ht="21.95" customHeight="1" x14ac:dyDescent="0.15"/>
    <row r="6032" s="76" customFormat="1" ht="21.95" customHeight="1" x14ac:dyDescent="0.15"/>
    <row r="6033" s="76" customFormat="1" ht="21.95" customHeight="1" x14ac:dyDescent="0.15"/>
    <row r="6034" s="76" customFormat="1" ht="21.95" customHeight="1" x14ac:dyDescent="0.15"/>
    <row r="6035" s="76" customFormat="1" ht="21.95" customHeight="1" x14ac:dyDescent="0.15"/>
    <row r="6036" s="76" customFormat="1" ht="21.95" customHeight="1" x14ac:dyDescent="0.15"/>
    <row r="6037" s="76" customFormat="1" ht="21.95" customHeight="1" x14ac:dyDescent="0.15"/>
    <row r="6038" s="76" customFormat="1" ht="21.95" customHeight="1" x14ac:dyDescent="0.15"/>
    <row r="6039" s="76" customFormat="1" ht="21.95" customHeight="1" x14ac:dyDescent="0.15"/>
    <row r="6040" s="76" customFormat="1" ht="21.95" customHeight="1" x14ac:dyDescent="0.15"/>
    <row r="6041" s="76" customFormat="1" ht="21.95" customHeight="1" x14ac:dyDescent="0.15"/>
    <row r="6042" s="76" customFormat="1" ht="21.95" customHeight="1" x14ac:dyDescent="0.15"/>
    <row r="6043" s="76" customFormat="1" ht="21.95" customHeight="1" x14ac:dyDescent="0.15"/>
    <row r="6044" s="76" customFormat="1" ht="21.95" customHeight="1" x14ac:dyDescent="0.15"/>
    <row r="6045" s="76" customFormat="1" ht="21.95" customHeight="1" x14ac:dyDescent="0.15"/>
    <row r="6046" s="76" customFormat="1" ht="21.95" customHeight="1" x14ac:dyDescent="0.15"/>
    <row r="6047" s="76" customFormat="1" ht="21.95" customHeight="1" x14ac:dyDescent="0.15"/>
    <row r="6048" s="76" customFormat="1" ht="21.95" customHeight="1" x14ac:dyDescent="0.15"/>
    <row r="6049" spans="3:3" customFormat="1" ht="21.95" customHeight="1" x14ac:dyDescent="0.15"/>
    <row r="6050" spans="3:3" customFormat="1" ht="21.95" customHeight="1" x14ac:dyDescent="0.15"/>
    <row r="6051" spans="3:3" customFormat="1" ht="21.95" customHeight="1" x14ac:dyDescent="0.15">
      <c r="C6051" s="94"/>
    </row>
    <row r="6052" spans="3:3" customFormat="1" ht="21.95" customHeight="1" x14ac:dyDescent="0.15">
      <c r="C6052" s="94"/>
    </row>
    <row r="6053" spans="3:3" customFormat="1" ht="21.95" customHeight="1" x14ac:dyDescent="0.15"/>
    <row r="6054" spans="3:3" customFormat="1" ht="21.95" customHeight="1" x14ac:dyDescent="0.15"/>
    <row r="6055" spans="3:3" customFormat="1" ht="21.95" customHeight="1" x14ac:dyDescent="0.15"/>
    <row r="6056" spans="3:3" customFormat="1" ht="21.95" customHeight="1" x14ac:dyDescent="0.15"/>
    <row r="6057" spans="3:3" customFormat="1" ht="21.95" customHeight="1" x14ac:dyDescent="0.15"/>
    <row r="6058" spans="3:3" customFormat="1" ht="21.95" customHeight="1" x14ac:dyDescent="0.15"/>
    <row r="6059" spans="3:3" customFormat="1" ht="21.95" customHeight="1" x14ac:dyDescent="0.15"/>
    <row r="6060" spans="3:3" s="76" customFormat="1" ht="21.95" customHeight="1" x14ac:dyDescent="0.15"/>
    <row r="6061" spans="3:3" s="76" customFormat="1" ht="21.95" customHeight="1" x14ac:dyDescent="0.15"/>
    <row r="6062" spans="3:3" s="76" customFormat="1" ht="21.95" customHeight="1" x14ac:dyDescent="0.15"/>
    <row r="6063" spans="3:3" s="76" customFormat="1" ht="21.95" customHeight="1" x14ac:dyDescent="0.15"/>
    <row r="6064" spans="3:3" customFormat="1" ht="21.95" customHeight="1" x14ac:dyDescent="0.15"/>
    <row r="6065" customFormat="1" ht="21.95" customHeight="1" x14ac:dyDescent="0.15"/>
    <row r="6066" customFormat="1" ht="21.95" customHeight="1" x14ac:dyDescent="0.15"/>
    <row r="6067" customFormat="1" ht="21.95" customHeight="1" x14ac:dyDescent="0.15"/>
    <row r="6068" customFormat="1" ht="21.95" customHeight="1" x14ac:dyDescent="0.15"/>
    <row r="6069" customFormat="1" ht="21.95" customHeight="1" x14ac:dyDescent="0.15"/>
    <row r="6070" customFormat="1" ht="21.95" customHeight="1" x14ac:dyDescent="0.15"/>
    <row r="6071" customFormat="1" ht="21.95" customHeight="1" x14ac:dyDescent="0.15"/>
    <row r="6072" customFormat="1" ht="21.95" customHeight="1" x14ac:dyDescent="0.15"/>
    <row r="6073" customFormat="1" ht="21.95" customHeight="1" x14ac:dyDescent="0.15"/>
    <row r="6074" customFormat="1" ht="21.95" customHeight="1" x14ac:dyDescent="0.15"/>
    <row r="6075" customFormat="1" ht="32.1" customHeight="1" x14ac:dyDescent="0.15"/>
    <row r="6076" customFormat="1" ht="32.1" customHeight="1" x14ac:dyDescent="0.15"/>
    <row r="6077" customFormat="1" ht="32.1" customHeight="1" x14ac:dyDescent="0.15"/>
    <row r="6078" customFormat="1" ht="32.1" customHeight="1" x14ac:dyDescent="0.15"/>
    <row r="6079" customFormat="1" ht="32.1" customHeight="1" x14ac:dyDescent="0.15"/>
    <row r="6080" customFormat="1" ht="32.1" customHeight="1" x14ac:dyDescent="0.15"/>
    <row r="6081" s="76" customFormat="1" ht="32.1" customHeight="1" x14ac:dyDescent="0.15"/>
    <row r="6082" s="76" customFormat="1" ht="32.1" customHeight="1" x14ac:dyDescent="0.15"/>
    <row r="6083" s="76" customFormat="1" ht="32.1" customHeight="1" x14ac:dyDescent="0.15"/>
    <row r="6084" s="76" customFormat="1" ht="32.1" customHeight="1" x14ac:dyDescent="0.15"/>
    <row r="6085" s="76" customFormat="1" ht="21.95" customHeight="1" x14ac:dyDescent="0.15"/>
    <row r="6086" s="76" customFormat="1" ht="54" customHeight="1" x14ac:dyDescent="0.15"/>
    <row r="6087" s="76" customFormat="1" ht="21.95" customHeight="1" x14ac:dyDescent="0.15"/>
    <row r="6088" s="76" customFormat="1" ht="21.95" customHeight="1" x14ac:dyDescent="0.15"/>
    <row r="6089" s="76" customFormat="1" ht="21.95" customHeight="1" x14ac:dyDescent="0.15"/>
    <row r="6090" s="76" customFormat="1" ht="21.95" customHeight="1" x14ac:dyDescent="0.15"/>
    <row r="6091" s="76" customFormat="1" ht="21.95" customHeight="1" x14ac:dyDescent="0.15"/>
    <row r="6092" s="76" customFormat="1" ht="21.95" customHeight="1" x14ac:dyDescent="0.15"/>
    <row r="6093" s="76" customFormat="1" ht="21.95" customHeight="1" x14ac:dyDescent="0.15"/>
    <row r="6094" s="76" customFormat="1" ht="21.95" customHeight="1" x14ac:dyDescent="0.15"/>
    <row r="6095" s="76" customFormat="1" ht="21.95" customHeight="1" x14ac:dyDescent="0.15"/>
    <row r="6096" s="76" customFormat="1" ht="21.95" customHeight="1" x14ac:dyDescent="0.15"/>
    <row r="6097" s="76" customFormat="1" ht="21.95" customHeight="1" x14ac:dyDescent="0.15"/>
    <row r="6098" s="76" customFormat="1" ht="21.95" customHeight="1" x14ac:dyDescent="0.15"/>
    <row r="6099" s="76" customFormat="1" ht="21.95" customHeight="1" x14ac:dyDescent="0.15"/>
    <row r="6100" s="76" customFormat="1" ht="21.95" customHeight="1" x14ac:dyDescent="0.15"/>
    <row r="6101" s="76" customFormat="1" ht="21.95" customHeight="1" x14ac:dyDescent="0.15"/>
    <row r="6102" s="76" customFormat="1" ht="21.95" customHeight="1" x14ac:dyDescent="0.15"/>
    <row r="6103" s="76" customFormat="1" ht="21.95" customHeight="1" x14ac:dyDescent="0.15"/>
    <row r="6104" s="76" customFormat="1" ht="21.95" customHeight="1" x14ac:dyDescent="0.15"/>
    <row r="6105" s="76" customFormat="1" ht="21.95" customHeight="1" x14ac:dyDescent="0.15"/>
    <row r="6106" s="76" customFormat="1" ht="21.95" customHeight="1" x14ac:dyDescent="0.15"/>
    <row r="6107" s="76" customFormat="1" ht="21.95" customHeight="1" x14ac:dyDescent="0.15"/>
    <row r="6108" s="76" customFormat="1" ht="21.95" customHeight="1" x14ac:dyDescent="0.15"/>
    <row r="6109" s="76" customFormat="1" ht="21.95" customHeight="1" x14ac:dyDescent="0.15"/>
    <row r="6110" s="76" customFormat="1" ht="21.95" customHeight="1" x14ac:dyDescent="0.15"/>
    <row r="6111" s="76" customFormat="1" ht="21.95" customHeight="1" x14ac:dyDescent="0.15"/>
    <row r="6112" s="76" customFormat="1" ht="21.95" customHeight="1" x14ac:dyDescent="0.15"/>
    <row r="6113" s="76" customFormat="1" ht="21.95" customHeight="1" x14ac:dyDescent="0.15"/>
    <row r="6114" s="76" customFormat="1" ht="21.95" customHeight="1" x14ac:dyDescent="0.15"/>
    <row r="6115" s="76" customFormat="1" ht="21.95" customHeight="1" x14ac:dyDescent="0.15"/>
    <row r="6116" s="76" customFormat="1" ht="21.95" customHeight="1" x14ac:dyDescent="0.15"/>
    <row r="6117" s="76" customFormat="1" ht="21.95" customHeight="1" x14ac:dyDescent="0.15"/>
    <row r="6118" s="76" customFormat="1" ht="21.95" customHeight="1" x14ac:dyDescent="0.15"/>
    <row r="6119" s="76" customFormat="1" ht="21.95" customHeight="1" x14ac:dyDescent="0.15"/>
    <row r="6120" s="76" customFormat="1" ht="21.95" customHeight="1" x14ac:dyDescent="0.15"/>
    <row r="6121" s="76" customFormat="1" ht="21.95" customHeight="1" x14ac:dyDescent="0.15"/>
    <row r="6122" s="76" customFormat="1" ht="21.95" customHeight="1" x14ac:dyDescent="0.15"/>
    <row r="6123" s="76" customFormat="1" ht="21.95" customHeight="1" x14ac:dyDescent="0.15"/>
    <row r="6124" s="76" customFormat="1" ht="21.95" customHeight="1" x14ac:dyDescent="0.15"/>
    <row r="6125" s="76" customFormat="1" ht="21.95" customHeight="1" x14ac:dyDescent="0.15"/>
    <row r="6126" s="76" customFormat="1" ht="21.95" customHeight="1" x14ac:dyDescent="0.15"/>
    <row r="6127" s="76" customFormat="1" ht="21.95" customHeight="1" x14ac:dyDescent="0.15"/>
    <row r="6128" s="76" customFormat="1" ht="21.95" customHeight="1" x14ac:dyDescent="0.15"/>
    <row r="6129" s="76" customFormat="1" ht="21.95" customHeight="1" x14ac:dyDescent="0.15"/>
    <row r="6130" s="76" customFormat="1" ht="21.95" customHeight="1" x14ac:dyDescent="0.15"/>
    <row r="6131" s="76" customFormat="1" ht="21.95" customHeight="1" x14ac:dyDescent="0.15"/>
    <row r="6132" s="76" customFormat="1" ht="21.95" customHeight="1" x14ac:dyDescent="0.15"/>
    <row r="6133" s="76" customFormat="1" ht="21.95" customHeight="1" x14ac:dyDescent="0.15"/>
    <row r="6134" s="76" customFormat="1" ht="21.95" customHeight="1" x14ac:dyDescent="0.15"/>
    <row r="6135" s="76" customFormat="1" ht="21.95" customHeight="1" x14ac:dyDescent="0.15"/>
    <row r="6136" s="76" customFormat="1" ht="21.95" customHeight="1" x14ac:dyDescent="0.15"/>
    <row r="6137" s="76" customFormat="1" ht="35.1" customHeight="1" x14ac:dyDescent="0.15"/>
    <row r="6138" s="76" customFormat="1" ht="21.95" customHeight="1" x14ac:dyDescent="0.15"/>
    <row r="6139" s="76" customFormat="1" ht="21.95" customHeight="1" x14ac:dyDescent="0.15"/>
    <row r="6140" s="76" customFormat="1" ht="21.95" customHeight="1" x14ac:dyDescent="0.15"/>
    <row r="6141" s="76" customFormat="1" ht="21.95" customHeight="1" x14ac:dyDescent="0.15"/>
    <row r="6142" s="76" customFormat="1" ht="21.95" customHeight="1" x14ac:dyDescent="0.15"/>
    <row r="6143" s="76" customFormat="1" ht="21.95" customHeight="1" x14ac:dyDescent="0.15"/>
    <row r="6144" s="76" customFormat="1" ht="21.95" customHeight="1" x14ac:dyDescent="0.15"/>
    <row r="6145" s="76" customFormat="1" ht="21.95" customHeight="1" x14ac:dyDescent="0.15"/>
    <row r="6146" s="76" customFormat="1" ht="21.95" customHeight="1" x14ac:dyDescent="0.15"/>
    <row r="6147" s="76" customFormat="1" ht="21.95" customHeight="1" x14ac:dyDescent="0.15"/>
    <row r="6148" s="76" customFormat="1" ht="21.95" customHeight="1" x14ac:dyDescent="0.15"/>
    <row r="6149" s="76" customFormat="1" ht="21.95" customHeight="1" x14ac:dyDescent="0.15"/>
    <row r="6150" s="76" customFormat="1" ht="21.95" customHeight="1" x14ac:dyDescent="0.15"/>
    <row r="6151" s="76" customFormat="1" ht="21.95" customHeight="1" x14ac:dyDescent="0.15"/>
    <row r="6152" s="76" customFormat="1" ht="21.95" customHeight="1" x14ac:dyDescent="0.15"/>
    <row r="6153" s="76" customFormat="1" ht="21.95" customHeight="1" x14ac:dyDescent="0.15"/>
    <row r="6154" s="76" customFormat="1" ht="21.95" customHeight="1" x14ac:dyDescent="0.15"/>
    <row r="6155" s="76" customFormat="1" ht="21.95" customHeight="1" x14ac:dyDescent="0.15"/>
    <row r="6156" s="76" customFormat="1" ht="21.95" customHeight="1" x14ac:dyDescent="0.15"/>
    <row r="6157" s="76" customFormat="1" ht="21.95" customHeight="1" x14ac:dyDescent="0.15"/>
    <row r="6158" s="76" customFormat="1" ht="21.95" customHeight="1" x14ac:dyDescent="0.15"/>
    <row r="6159" s="76" customFormat="1" ht="21.95" customHeight="1" x14ac:dyDescent="0.15"/>
    <row r="6160" s="76" customFormat="1" ht="21.95" customHeight="1" x14ac:dyDescent="0.15"/>
    <row r="6161" spans="3:3" customFormat="1" ht="21.95" customHeight="1" x14ac:dyDescent="0.15"/>
    <row r="6162" spans="3:3" customFormat="1" ht="21.95" customHeight="1" x14ac:dyDescent="0.15"/>
    <row r="6163" spans="3:3" customFormat="1" ht="21.95" customHeight="1" x14ac:dyDescent="0.15">
      <c r="C6163" s="94"/>
    </row>
    <row r="6164" spans="3:3" customFormat="1" ht="21.95" customHeight="1" x14ac:dyDescent="0.15">
      <c r="C6164" s="94"/>
    </row>
    <row r="6165" spans="3:3" customFormat="1" ht="21.95" customHeight="1" x14ac:dyDescent="0.15"/>
    <row r="6166" spans="3:3" customFormat="1" ht="21.95" customHeight="1" x14ac:dyDescent="0.15"/>
    <row r="6167" spans="3:3" customFormat="1" ht="21.95" customHeight="1" x14ac:dyDescent="0.15"/>
    <row r="6168" spans="3:3" customFormat="1" ht="21.95" customHeight="1" x14ac:dyDescent="0.15"/>
    <row r="6169" spans="3:3" customFormat="1" ht="21.95" customHeight="1" x14ac:dyDescent="0.15"/>
    <row r="6170" spans="3:3" customFormat="1" ht="21.95" customHeight="1" x14ac:dyDescent="0.15"/>
    <row r="6171" spans="3:3" customFormat="1" ht="21.95" customHeight="1" x14ac:dyDescent="0.15"/>
    <row r="6172" spans="3:3" s="76" customFormat="1" ht="21.95" customHeight="1" x14ac:dyDescent="0.15"/>
    <row r="6173" spans="3:3" s="76" customFormat="1" ht="21.95" customHeight="1" x14ac:dyDescent="0.15"/>
    <row r="6174" spans="3:3" s="76" customFormat="1" ht="21.95" customHeight="1" x14ac:dyDescent="0.15"/>
    <row r="6175" spans="3:3" s="76" customFormat="1" ht="21.95" customHeight="1" x14ac:dyDescent="0.15"/>
    <row r="6176" spans="3:3" customFormat="1" ht="21.95" customHeight="1" x14ac:dyDescent="0.15"/>
    <row r="6177" customFormat="1" ht="21.95" customHeight="1" x14ac:dyDescent="0.15"/>
    <row r="6178" customFormat="1" ht="21.95" customHeight="1" x14ac:dyDescent="0.15"/>
    <row r="6179" customFormat="1" ht="21.95" customHeight="1" x14ac:dyDescent="0.15"/>
    <row r="6180" customFormat="1" ht="21.95" customHeight="1" x14ac:dyDescent="0.15"/>
    <row r="6181" customFormat="1" ht="21.95" customHeight="1" x14ac:dyDescent="0.15"/>
    <row r="6182" customFormat="1" ht="21.95" customHeight="1" x14ac:dyDescent="0.15"/>
    <row r="6183" customFormat="1" ht="21.95" customHeight="1" x14ac:dyDescent="0.15"/>
    <row r="6184" customFormat="1" ht="21.95" customHeight="1" x14ac:dyDescent="0.15"/>
    <row r="6185" customFormat="1" ht="21.95" customHeight="1" x14ac:dyDescent="0.15"/>
    <row r="6186" customFormat="1" ht="21.95" customHeight="1" x14ac:dyDescent="0.15"/>
    <row r="6187" customFormat="1" ht="32.1" customHeight="1" x14ac:dyDescent="0.15"/>
    <row r="6188" customFormat="1" ht="32.1" customHeight="1" x14ac:dyDescent="0.15"/>
    <row r="6189" customFormat="1" ht="32.1" customHeight="1" x14ac:dyDescent="0.15"/>
    <row r="6190" customFormat="1" ht="32.1" customHeight="1" x14ac:dyDescent="0.15"/>
    <row r="6191" customFormat="1" ht="32.1" customHeight="1" x14ac:dyDescent="0.15"/>
    <row r="6192" customFormat="1" ht="32.1" customHeight="1" x14ac:dyDescent="0.15"/>
    <row r="6193" s="76" customFormat="1" ht="32.1" customHeight="1" x14ac:dyDescent="0.15"/>
    <row r="6194" s="76" customFormat="1" ht="32.1" customHeight="1" x14ac:dyDescent="0.15"/>
    <row r="6195" s="76" customFormat="1" ht="32.1" customHeight="1" x14ac:dyDescent="0.15"/>
    <row r="6196" s="76" customFormat="1" ht="32.1" customHeight="1" x14ac:dyDescent="0.15"/>
    <row r="6197" s="76" customFormat="1" ht="21.95" customHeight="1" x14ac:dyDescent="0.15"/>
    <row r="6198" s="76" customFormat="1" ht="54" customHeight="1" x14ac:dyDescent="0.15"/>
    <row r="6199" s="76" customFormat="1" ht="21.95" customHeight="1" x14ac:dyDescent="0.15"/>
    <row r="6200" s="76" customFormat="1" ht="21.95" customHeight="1" x14ac:dyDescent="0.15"/>
    <row r="6201" s="76" customFormat="1" ht="21.95" customHeight="1" x14ac:dyDescent="0.15"/>
    <row r="6202" s="76" customFormat="1" ht="21.95" customHeight="1" x14ac:dyDescent="0.15"/>
    <row r="6203" s="76" customFormat="1" ht="21.95" customHeight="1" x14ac:dyDescent="0.15"/>
    <row r="6204" s="76" customFormat="1" ht="21.95" customHeight="1" x14ac:dyDescent="0.15"/>
    <row r="6205" s="76" customFormat="1" ht="21.95" customHeight="1" x14ac:dyDescent="0.15"/>
    <row r="6206" s="76" customFormat="1" ht="21.95" customHeight="1" x14ac:dyDescent="0.15"/>
    <row r="6207" s="76" customFormat="1" ht="21.95" customHeight="1" x14ac:dyDescent="0.15"/>
    <row r="6208" s="76" customFormat="1" ht="21.95" customHeight="1" x14ac:dyDescent="0.15"/>
    <row r="6209" s="76" customFormat="1" ht="21.95" customHeight="1" x14ac:dyDescent="0.15"/>
    <row r="6210" s="76" customFormat="1" ht="21.95" customHeight="1" x14ac:dyDescent="0.15"/>
    <row r="6211" s="76" customFormat="1" ht="21.95" customHeight="1" x14ac:dyDescent="0.15"/>
    <row r="6212" s="76" customFormat="1" ht="21.95" customHeight="1" x14ac:dyDescent="0.15"/>
    <row r="6213" s="76" customFormat="1" ht="21.95" customHeight="1" x14ac:dyDescent="0.15"/>
    <row r="6214" s="76" customFormat="1" ht="21.95" customHeight="1" x14ac:dyDescent="0.15"/>
    <row r="6215" s="76" customFormat="1" ht="21.95" customHeight="1" x14ac:dyDescent="0.15"/>
    <row r="6216" s="76" customFormat="1" ht="21.95" customHeight="1" x14ac:dyDescent="0.15"/>
    <row r="6217" s="76" customFormat="1" ht="21.95" customHeight="1" x14ac:dyDescent="0.15"/>
    <row r="6218" s="76" customFormat="1" ht="21.95" customHeight="1" x14ac:dyDescent="0.15"/>
    <row r="6219" s="76" customFormat="1" ht="21.95" customHeight="1" x14ac:dyDescent="0.15"/>
    <row r="6220" s="76" customFormat="1" ht="21.95" customHeight="1" x14ac:dyDescent="0.15"/>
    <row r="6221" s="76" customFormat="1" ht="21.95" customHeight="1" x14ac:dyDescent="0.15"/>
    <row r="6222" s="76" customFormat="1" ht="21.95" customHeight="1" x14ac:dyDescent="0.15"/>
    <row r="6223" s="76" customFormat="1" ht="21.95" customHeight="1" x14ac:dyDescent="0.15"/>
    <row r="6224" s="76" customFormat="1" ht="21.95" customHeight="1" x14ac:dyDescent="0.15"/>
    <row r="6225" s="76" customFormat="1" ht="21.95" customHeight="1" x14ac:dyDescent="0.15"/>
    <row r="6226" s="76" customFormat="1" ht="21.95" customHeight="1" x14ac:dyDescent="0.15"/>
    <row r="6227" s="76" customFormat="1" ht="21.95" customHeight="1" x14ac:dyDescent="0.15"/>
    <row r="6228" s="76" customFormat="1" ht="21.95" customHeight="1" x14ac:dyDescent="0.15"/>
    <row r="6229" s="76" customFormat="1" ht="21.95" customHeight="1" x14ac:dyDescent="0.15"/>
    <row r="6230" s="76" customFormat="1" ht="21.95" customHeight="1" x14ac:dyDescent="0.15"/>
    <row r="6231" s="76" customFormat="1" ht="21.95" customHeight="1" x14ac:dyDescent="0.15"/>
    <row r="6232" s="76" customFormat="1" ht="21.95" customHeight="1" x14ac:dyDescent="0.15"/>
    <row r="6233" s="76" customFormat="1" ht="21.95" customHeight="1" x14ac:dyDescent="0.15"/>
    <row r="6234" s="76" customFormat="1" ht="21.95" customHeight="1" x14ac:dyDescent="0.15"/>
    <row r="6235" s="76" customFormat="1" ht="21.95" customHeight="1" x14ac:dyDescent="0.15"/>
    <row r="6236" s="76" customFormat="1" ht="21.95" customHeight="1" x14ac:dyDescent="0.15"/>
    <row r="6237" s="76" customFormat="1" ht="21.95" customHeight="1" x14ac:dyDescent="0.15"/>
    <row r="6238" s="76" customFormat="1" ht="21.95" customHeight="1" x14ac:dyDescent="0.15"/>
    <row r="6239" s="76" customFormat="1" ht="21.95" customHeight="1" x14ac:dyDescent="0.15"/>
    <row r="6240" s="76" customFormat="1" ht="21.95" customHeight="1" x14ac:dyDescent="0.15"/>
    <row r="6241" s="76" customFormat="1" ht="21.95" customHeight="1" x14ac:dyDescent="0.15"/>
    <row r="6242" s="76" customFormat="1" ht="21.95" customHeight="1" x14ac:dyDescent="0.15"/>
    <row r="6243" s="76" customFormat="1" ht="21.95" customHeight="1" x14ac:dyDescent="0.15"/>
    <row r="6244" s="76" customFormat="1" ht="21.95" customHeight="1" x14ac:dyDescent="0.15"/>
    <row r="6245" s="76" customFormat="1" ht="21.95" customHeight="1" x14ac:dyDescent="0.15"/>
    <row r="6246" s="76" customFormat="1" ht="21.95" customHeight="1" x14ac:dyDescent="0.15"/>
    <row r="6247" s="76" customFormat="1" ht="21.95" customHeight="1" x14ac:dyDescent="0.15"/>
    <row r="6248" s="76" customFormat="1" ht="21.95" customHeight="1" x14ac:dyDescent="0.15"/>
    <row r="6249" s="76" customFormat="1" ht="35.1" customHeight="1" x14ac:dyDescent="0.15"/>
    <row r="6250" s="76" customFormat="1" ht="21.95" customHeight="1" x14ac:dyDescent="0.15"/>
    <row r="6251" s="76" customFormat="1" ht="21.95" customHeight="1" x14ac:dyDescent="0.15"/>
    <row r="6252" s="76" customFormat="1" ht="21.95" customHeight="1" x14ac:dyDescent="0.15"/>
    <row r="6253" s="76" customFormat="1" ht="21.95" customHeight="1" x14ac:dyDescent="0.15"/>
    <row r="6254" s="76" customFormat="1" ht="21.95" customHeight="1" x14ac:dyDescent="0.15"/>
    <row r="6255" s="76" customFormat="1" ht="21.95" customHeight="1" x14ac:dyDescent="0.15"/>
    <row r="6256" s="76" customFormat="1" ht="21.95" customHeight="1" x14ac:dyDescent="0.15"/>
    <row r="6257" s="76" customFormat="1" ht="21.95" customHeight="1" x14ac:dyDescent="0.15"/>
    <row r="6258" s="76" customFormat="1" ht="21.95" customHeight="1" x14ac:dyDescent="0.15"/>
    <row r="6259" s="76" customFormat="1" ht="21.95" customHeight="1" x14ac:dyDescent="0.15"/>
    <row r="6260" s="76" customFormat="1" ht="21.95" customHeight="1" x14ac:dyDescent="0.15"/>
    <row r="6261" s="76" customFormat="1" ht="21.95" customHeight="1" x14ac:dyDescent="0.15"/>
    <row r="6262" s="76" customFormat="1" ht="21.95" customHeight="1" x14ac:dyDescent="0.15"/>
    <row r="6263" s="76" customFormat="1" ht="21.95" customHeight="1" x14ac:dyDescent="0.15"/>
    <row r="6264" s="76" customFormat="1" ht="21.95" customHeight="1" x14ac:dyDescent="0.15"/>
    <row r="6265" s="76" customFormat="1" ht="21.95" customHeight="1" x14ac:dyDescent="0.15"/>
    <row r="6266" s="76" customFormat="1" ht="21.95" customHeight="1" x14ac:dyDescent="0.15"/>
    <row r="6267" s="76" customFormat="1" ht="21.95" customHeight="1" x14ac:dyDescent="0.15"/>
    <row r="6268" s="76" customFormat="1" ht="21.95" customHeight="1" x14ac:dyDescent="0.15"/>
    <row r="6269" s="76" customFormat="1" ht="21.95" customHeight="1" x14ac:dyDescent="0.15"/>
    <row r="6270" s="76" customFormat="1" ht="21.95" customHeight="1" x14ac:dyDescent="0.15"/>
    <row r="6271" s="76" customFormat="1" ht="21.95" customHeight="1" x14ac:dyDescent="0.15"/>
    <row r="6272" s="76" customFormat="1" ht="21.95" customHeight="1" x14ac:dyDescent="0.15"/>
    <row r="6273" spans="3:3" customFormat="1" ht="21.95" customHeight="1" x14ac:dyDescent="0.15"/>
    <row r="6274" spans="3:3" customFormat="1" ht="21.95" customHeight="1" x14ac:dyDescent="0.15"/>
    <row r="6275" spans="3:3" customFormat="1" ht="21.95" customHeight="1" x14ac:dyDescent="0.15">
      <c r="C6275" s="94"/>
    </row>
    <row r="6276" spans="3:3" customFormat="1" ht="21.95" customHeight="1" x14ac:dyDescent="0.15">
      <c r="C6276" s="94"/>
    </row>
    <row r="6277" spans="3:3" customFormat="1" ht="21.95" customHeight="1" x14ac:dyDescent="0.15"/>
    <row r="6278" spans="3:3" customFormat="1" ht="21.95" customHeight="1" x14ac:dyDescent="0.15"/>
    <row r="6279" spans="3:3" customFormat="1" ht="21.95" customHeight="1" x14ac:dyDescent="0.15"/>
    <row r="6280" spans="3:3" customFormat="1" ht="21.95" customHeight="1" x14ac:dyDescent="0.15"/>
    <row r="6281" spans="3:3" customFormat="1" ht="21.95" customHeight="1" x14ac:dyDescent="0.15"/>
    <row r="6282" spans="3:3" customFormat="1" ht="21.95" customHeight="1" x14ac:dyDescent="0.15"/>
    <row r="6283" spans="3:3" customFormat="1" ht="21.95" customHeight="1" x14ac:dyDescent="0.15"/>
    <row r="6284" spans="3:3" s="76" customFormat="1" ht="21.95" customHeight="1" x14ac:dyDescent="0.15"/>
    <row r="6285" spans="3:3" s="76" customFormat="1" ht="21.95" customHeight="1" x14ac:dyDescent="0.15"/>
    <row r="6286" spans="3:3" s="76" customFormat="1" ht="21.95" customHeight="1" x14ac:dyDescent="0.15"/>
    <row r="6287" spans="3:3" s="76" customFormat="1" ht="21.95" customHeight="1" x14ac:dyDescent="0.15"/>
    <row r="6288" spans="3:3" customFormat="1" ht="21.95" customHeight="1" x14ac:dyDescent="0.15"/>
    <row r="6289" customFormat="1" ht="21.95" customHeight="1" x14ac:dyDescent="0.15"/>
    <row r="6290" customFormat="1" ht="21.95" customHeight="1" x14ac:dyDescent="0.15"/>
    <row r="6291" customFormat="1" ht="21.95" customHeight="1" x14ac:dyDescent="0.15"/>
    <row r="6292" customFormat="1" ht="21.95" customHeight="1" x14ac:dyDescent="0.15"/>
    <row r="6293" customFormat="1" ht="21.95" customHeight="1" x14ac:dyDescent="0.15"/>
    <row r="6294" customFormat="1" ht="21.95" customHeight="1" x14ac:dyDescent="0.15"/>
    <row r="6295" customFormat="1" ht="21.95" customHeight="1" x14ac:dyDescent="0.15"/>
    <row r="6296" customFormat="1" ht="21.95" customHeight="1" x14ac:dyDescent="0.15"/>
    <row r="6297" customFormat="1" ht="21.95" customHeight="1" x14ac:dyDescent="0.15"/>
    <row r="6298" customFormat="1" ht="21.95" customHeight="1" x14ac:dyDescent="0.15"/>
    <row r="6299" customFormat="1" ht="32.1" customHeight="1" x14ac:dyDescent="0.15"/>
    <row r="6300" customFormat="1" ht="32.1" customHeight="1" x14ac:dyDescent="0.15"/>
    <row r="6301" customFormat="1" ht="32.1" customHeight="1" x14ac:dyDescent="0.15"/>
    <row r="6302" customFormat="1" ht="32.1" customHeight="1" x14ac:dyDescent="0.15"/>
    <row r="6303" customFormat="1" ht="32.1" customHeight="1" x14ac:dyDescent="0.15"/>
    <row r="6304" customFormat="1" ht="32.1" customHeight="1" x14ac:dyDescent="0.15"/>
    <row r="6305" s="76" customFormat="1" ht="32.1" customHeight="1" x14ac:dyDescent="0.15"/>
    <row r="6306" s="76" customFormat="1" ht="32.1" customHeight="1" x14ac:dyDescent="0.15"/>
    <row r="6307" s="76" customFormat="1" ht="32.1" customHeight="1" x14ac:dyDescent="0.15"/>
    <row r="6308" s="76" customFormat="1" ht="32.1" customHeight="1" x14ac:dyDescent="0.15"/>
    <row r="6309" s="76" customFormat="1" ht="21.95" customHeight="1" x14ac:dyDescent="0.15"/>
    <row r="6310" s="76" customFormat="1" ht="54" customHeight="1" x14ac:dyDescent="0.15"/>
    <row r="6311" s="76" customFormat="1" ht="21.95" customHeight="1" x14ac:dyDescent="0.15"/>
    <row r="6312" s="76" customFormat="1" ht="21.95" customHeight="1" x14ac:dyDescent="0.15"/>
    <row r="6313" s="76" customFormat="1" ht="21.95" customHeight="1" x14ac:dyDescent="0.15"/>
    <row r="6314" s="76" customFormat="1" ht="21.95" customHeight="1" x14ac:dyDescent="0.15"/>
    <row r="6315" s="76" customFormat="1" ht="21.95" customHeight="1" x14ac:dyDescent="0.15"/>
    <row r="6316" s="76" customFormat="1" ht="21.95" customHeight="1" x14ac:dyDescent="0.15"/>
    <row r="6317" s="76" customFormat="1" ht="21.95" customHeight="1" x14ac:dyDescent="0.15"/>
    <row r="6318" s="76" customFormat="1" ht="21.95" customHeight="1" x14ac:dyDescent="0.15"/>
    <row r="6319" s="76" customFormat="1" ht="21.95" customHeight="1" x14ac:dyDescent="0.15"/>
    <row r="6320" s="76" customFormat="1" ht="21.95" customHeight="1" x14ac:dyDescent="0.15"/>
    <row r="6321" s="76" customFormat="1" ht="21.95" customHeight="1" x14ac:dyDescent="0.15"/>
    <row r="6322" s="76" customFormat="1" ht="21.95" customHeight="1" x14ac:dyDescent="0.15"/>
    <row r="6323" s="76" customFormat="1" ht="21.95" customHeight="1" x14ac:dyDescent="0.15"/>
    <row r="6324" s="76" customFormat="1" ht="21.95" customHeight="1" x14ac:dyDescent="0.15"/>
    <row r="6325" s="76" customFormat="1" ht="21.95" customHeight="1" x14ac:dyDescent="0.15"/>
    <row r="6326" s="76" customFormat="1" ht="21.95" customHeight="1" x14ac:dyDescent="0.15"/>
    <row r="6327" s="76" customFormat="1" ht="21.95" customHeight="1" x14ac:dyDescent="0.15"/>
    <row r="6328" s="76" customFormat="1" ht="21.95" customHeight="1" x14ac:dyDescent="0.15"/>
    <row r="6329" s="76" customFormat="1" ht="21.95" customHeight="1" x14ac:dyDescent="0.15"/>
    <row r="6330" s="76" customFormat="1" ht="21.95" customHeight="1" x14ac:dyDescent="0.15"/>
    <row r="6331" s="76" customFormat="1" ht="21.95" customHeight="1" x14ac:dyDescent="0.15"/>
    <row r="6332" s="76" customFormat="1" ht="21.95" customHeight="1" x14ac:dyDescent="0.15"/>
    <row r="6333" s="76" customFormat="1" ht="21.95" customHeight="1" x14ac:dyDescent="0.15"/>
    <row r="6334" s="76" customFormat="1" ht="21.95" customHeight="1" x14ac:dyDescent="0.15"/>
    <row r="6335" s="76" customFormat="1" ht="21.95" customHeight="1" x14ac:dyDescent="0.15"/>
    <row r="6336" s="76" customFormat="1" ht="21.95" customHeight="1" x14ac:dyDescent="0.15"/>
    <row r="6337" s="76" customFormat="1" ht="21.95" customHeight="1" x14ac:dyDescent="0.15"/>
    <row r="6338" s="76" customFormat="1" ht="21.95" customHeight="1" x14ac:dyDescent="0.15"/>
    <row r="6339" s="76" customFormat="1" ht="21.95" customHeight="1" x14ac:dyDescent="0.15"/>
    <row r="6340" s="76" customFormat="1" ht="21.95" customHeight="1" x14ac:dyDescent="0.15"/>
    <row r="6341" s="76" customFormat="1" ht="21.95" customHeight="1" x14ac:dyDescent="0.15"/>
    <row r="6342" s="76" customFormat="1" ht="21.95" customHeight="1" x14ac:dyDescent="0.15"/>
    <row r="6343" s="76" customFormat="1" ht="21.95" customHeight="1" x14ac:dyDescent="0.15"/>
    <row r="6344" s="76" customFormat="1" ht="21.95" customHeight="1" x14ac:dyDescent="0.15"/>
    <row r="6345" s="76" customFormat="1" ht="21.95" customHeight="1" x14ac:dyDescent="0.15"/>
    <row r="6346" s="76" customFormat="1" ht="21.95" customHeight="1" x14ac:dyDescent="0.15"/>
    <row r="6347" s="76" customFormat="1" ht="21.95" customHeight="1" x14ac:dyDescent="0.15"/>
    <row r="6348" s="76" customFormat="1" ht="21.95" customHeight="1" x14ac:dyDescent="0.15"/>
    <row r="6349" s="76" customFormat="1" ht="21.95" customHeight="1" x14ac:dyDescent="0.15"/>
    <row r="6350" s="76" customFormat="1" ht="21.95" customHeight="1" x14ac:dyDescent="0.15"/>
    <row r="6351" s="76" customFormat="1" ht="21.95" customHeight="1" x14ac:dyDescent="0.15"/>
    <row r="6352" s="76" customFormat="1" ht="21.95" customHeight="1" x14ac:dyDescent="0.15"/>
    <row r="6353" s="76" customFormat="1" ht="21.95" customHeight="1" x14ac:dyDescent="0.15"/>
    <row r="6354" s="76" customFormat="1" ht="21.95" customHeight="1" x14ac:dyDescent="0.15"/>
    <row r="6355" s="76" customFormat="1" ht="21.95" customHeight="1" x14ac:dyDescent="0.15"/>
    <row r="6356" s="76" customFormat="1" ht="21.95" customHeight="1" x14ac:dyDescent="0.15"/>
    <row r="6357" s="76" customFormat="1" ht="21.95" customHeight="1" x14ac:dyDescent="0.15"/>
    <row r="6358" s="76" customFormat="1" ht="21.95" customHeight="1" x14ac:dyDescent="0.15"/>
    <row r="6359" s="76" customFormat="1" ht="21.95" customHeight="1" x14ac:dyDescent="0.15"/>
    <row r="6360" s="76" customFormat="1" ht="21.95" customHeight="1" x14ac:dyDescent="0.15"/>
    <row r="6361" s="76" customFormat="1" ht="35.1" customHeight="1" x14ac:dyDescent="0.15"/>
    <row r="6362" s="76" customFormat="1" ht="21.95" customHeight="1" x14ac:dyDescent="0.15"/>
    <row r="6363" s="76" customFormat="1" ht="21.95" customHeight="1" x14ac:dyDescent="0.15"/>
    <row r="6364" s="76" customFormat="1" ht="21.95" customHeight="1" x14ac:dyDescent="0.15"/>
    <row r="6365" s="76" customFormat="1" ht="21.95" customHeight="1" x14ac:dyDescent="0.15"/>
    <row r="6366" s="76" customFormat="1" ht="21.95" customHeight="1" x14ac:dyDescent="0.15"/>
    <row r="6367" s="76" customFormat="1" ht="21.95" customHeight="1" x14ac:dyDescent="0.15"/>
    <row r="6368" s="76" customFormat="1" ht="21.95" customHeight="1" x14ac:dyDescent="0.15"/>
    <row r="6369" s="76" customFormat="1" ht="21.95" customHeight="1" x14ac:dyDescent="0.15"/>
    <row r="6370" s="76" customFormat="1" ht="21.95" customHeight="1" x14ac:dyDescent="0.15"/>
    <row r="6371" s="76" customFormat="1" ht="21.95" customHeight="1" x14ac:dyDescent="0.15"/>
    <row r="6372" s="76" customFormat="1" ht="21.95" customHeight="1" x14ac:dyDescent="0.15"/>
    <row r="6373" s="76" customFormat="1" ht="21.95" customHeight="1" x14ac:dyDescent="0.15"/>
    <row r="6374" s="76" customFormat="1" ht="21.95" customHeight="1" x14ac:dyDescent="0.15"/>
    <row r="6375" s="76" customFormat="1" ht="21.95" customHeight="1" x14ac:dyDescent="0.15"/>
    <row r="6376" s="76" customFormat="1" ht="21.95" customHeight="1" x14ac:dyDescent="0.15"/>
    <row r="6377" s="76" customFormat="1" ht="21.95" customHeight="1" x14ac:dyDescent="0.15"/>
    <row r="6378" s="76" customFormat="1" ht="21.95" customHeight="1" x14ac:dyDescent="0.15"/>
    <row r="6379" s="76" customFormat="1" ht="21.95" customHeight="1" x14ac:dyDescent="0.15"/>
    <row r="6380" s="76" customFormat="1" ht="21.95" customHeight="1" x14ac:dyDescent="0.15"/>
    <row r="6381" s="76" customFormat="1" ht="21.95" customHeight="1" x14ac:dyDescent="0.15"/>
    <row r="6382" s="76" customFormat="1" ht="21.95" customHeight="1" x14ac:dyDescent="0.15"/>
    <row r="6383" s="76" customFormat="1" ht="21.95" customHeight="1" x14ac:dyDescent="0.15"/>
    <row r="6384" s="76" customFormat="1" ht="21.95" customHeight="1" x14ac:dyDescent="0.15"/>
    <row r="6385" spans="3:3" customFormat="1" ht="21.95" customHeight="1" x14ac:dyDescent="0.15"/>
    <row r="6386" spans="3:3" customFormat="1" ht="21.95" customHeight="1" x14ac:dyDescent="0.15"/>
    <row r="6387" spans="3:3" customFormat="1" ht="21.95" customHeight="1" x14ac:dyDescent="0.15">
      <c r="C6387" s="94"/>
    </row>
    <row r="6388" spans="3:3" customFormat="1" ht="21.95" customHeight="1" x14ac:dyDescent="0.15">
      <c r="C6388" s="94"/>
    </row>
    <row r="6389" spans="3:3" customFormat="1" ht="21.95" customHeight="1" x14ac:dyDescent="0.15"/>
    <row r="6390" spans="3:3" customFormat="1" ht="21.95" customHeight="1" x14ac:dyDescent="0.15"/>
    <row r="6391" spans="3:3" customFormat="1" ht="21.95" customHeight="1" x14ac:dyDescent="0.15"/>
    <row r="6392" spans="3:3" customFormat="1" ht="21.95" customHeight="1" x14ac:dyDescent="0.15"/>
    <row r="6393" spans="3:3" customFormat="1" ht="21.95" customHeight="1" x14ac:dyDescent="0.15"/>
    <row r="6394" spans="3:3" customFormat="1" ht="21.95" customHeight="1" x14ac:dyDescent="0.15"/>
    <row r="6395" spans="3:3" customFormat="1" ht="21.95" customHeight="1" x14ac:dyDescent="0.15"/>
    <row r="6396" spans="3:3" s="76" customFormat="1" ht="21.95" customHeight="1" x14ac:dyDescent="0.15"/>
    <row r="6397" spans="3:3" s="76" customFormat="1" ht="21.95" customHeight="1" x14ac:dyDescent="0.15"/>
    <row r="6398" spans="3:3" s="76" customFormat="1" ht="21.95" customHeight="1" x14ac:dyDescent="0.15"/>
    <row r="6399" spans="3:3" s="76" customFormat="1" ht="21.95" customHeight="1" x14ac:dyDescent="0.15"/>
    <row r="6400" spans="3:3" customFormat="1" ht="21.95" customHeight="1" x14ac:dyDescent="0.15"/>
    <row r="6401" customFormat="1" ht="21.95" customHeight="1" x14ac:dyDescent="0.15"/>
    <row r="6402" customFormat="1" ht="21.95" customHeight="1" x14ac:dyDescent="0.15"/>
    <row r="6403" customFormat="1" ht="21.95" customHeight="1" x14ac:dyDescent="0.15"/>
    <row r="6404" customFormat="1" ht="21.95" customHeight="1" x14ac:dyDescent="0.15"/>
    <row r="6405" customFormat="1" ht="21.95" customHeight="1" x14ac:dyDescent="0.15"/>
    <row r="6406" customFormat="1" ht="21.95" customHeight="1" x14ac:dyDescent="0.15"/>
    <row r="6407" customFormat="1" ht="21.95" customHeight="1" x14ac:dyDescent="0.15"/>
    <row r="6408" customFormat="1" ht="21.95" customHeight="1" x14ac:dyDescent="0.15"/>
    <row r="6409" customFormat="1" ht="21.95" customHeight="1" x14ac:dyDescent="0.15"/>
    <row r="6410" customFormat="1" ht="21.95" customHeight="1" x14ac:dyDescent="0.15"/>
    <row r="6411" customFormat="1" ht="32.1" customHeight="1" x14ac:dyDescent="0.15"/>
    <row r="6412" customFormat="1" ht="32.1" customHeight="1" x14ac:dyDescent="0.15"/>
    <row r="6413" customFormat="1" ht="32.1" customHeight="1" x14ac:dyDescent="0.15"/>
    <row r="6414" customFormat="1" ht="32.1" customHeight="1" x14ac:dyDescent="0.15"/>
    <row r="6415" customFormat="1" ht="32.1" customHeight="1" x14ac:dyDescent="0.15"/>
    <row r="6416" customFormat="1" ht="32.1" customHeight="1" x14ac:dyDescent="0.15"/>
    <row r="6417" s="76" customFormat="1" ht="32.1" customHeight="1" x14ac:dyDescent="0.15"/>
    <row r="6418" s="76" customFormat="1" ht="32.1" customHeight="1" x14ac:dyDescent="0.15"/>
    <row r="6419" s="76" customFormat="1" ht="32.1" customHeight="1" x14ac:dyDescent="0.15"/>
    <row r="6420" s="76" customFormat="1" ht="32.1" customHeight="1" x14ac:dyDescent="0.15"/>
    <row r="6421" s="76" customFormat="1" ht="21.95" customHeight="1" x14ac:dyDescent="0.15"/>
    <row r="6422" s="76" customFormat="1" ht="54" customHeight="1" x14ac:dyDescent="0.15"/>
    <row r="6423" s="76" customFormat="1" ht="21.95" customHeight="1" x14ac:dyDescent="0.15"/>
    <row r="6424" s="76" customFormat="1" ht="21.95" customHeight="1" x14ac:dyDescent="0.15"/>
    <row r="6425" s="76" customFormat="1" ht="21.95" customHeight="1" x14ac:dyDescent="0.15"/>
    <row r="6426" s="76" customFormat="1" ht="21.95" customHeight="1" x14ac:dyDescent="0.15"/>
    <row r="6427" s="76" customFormat="1" ht="21.95" customHeight="1" x14ac:dyDescent="0.15"/>
    <row r="6428" s="76" customFormat="1" ht="21.95" customHeight="1" x14ac:dyDescent="0.15"/>
    <row r="6429" s="76" customFormat="1" ht="21.95" customHeight="1" x14ac:dyDescent="0.15"/>
    <row r="6430" s="76" customFormat="1" ht="21.95" customHeight="1" x14ac:dyDescent="0.15"/>
    <row r="6431" s="76" customFormat="1" ht="21.95" customHeight="1" x14ac:dyDescent="0.15"/>
    <row r="6432" s="76" customFormat="1" ht="21.95" customHeight="1" x14ac:dyDescent="0.15"/>
    <row r="6433" s="76" customFormat="1" ht="21.95" customHeight="1" x14ac:dyDescent="0.15"/>
    <row r="6434" s="76" customFormat="1" ht="21.95" customHeight="1" x14ac:dyDescent="0.15"/>
    <row r="6435" s="76" customFormat="1" ht="21.95" customHeight="1" x14ac:dyDescent="0.15"/>
    <row r="6436" s="76" customFormat="1" ht="21.95" customHeight="1" x14ac:dyDescent="0.15"/>
    <row r="6437" s="76" customFormat="1" ht="21.95" customHeight="1" x14ac:dyDescent="0.15"/>
    <row r="6438" s="76" customFormat="1" ht="21.95" customHeight="1" x14ac:dyDescent="0.15"/>
    <row r="6439" s="76" customFormat="1" ht="21.95" customHeight="1" x14ac:dyDescent="0.15"/>
    <row r="6440" s="76" customFormat="1" ht="21.95" customHeight="1" x14ac:dyDescent="0.15"/>
    <row r="6441" s="76" customFormat="1" ht="21.95" customHeight="1" x14ac:dyDescent="0.15"/>
    <row r="6442" s="76" customFormat="1" ht="21.95" customHeight="1" x14ac:dyDescent="0.15"/>
    <row r="6443" s="76" customFormat="1" ht="21.95" customHeight="1" x14ac:dyDescent="0.15"/>
    <row r="6444" s="76" customFormat="1" ht="21.95" customHeight="1" x14ac:dyDescent="0.15"/>
    <row r="6445" s="76" customFormat="1" ht="21.95" customHeight="1" x14ac:dyDescent="0.15"/>
    <row r="6446" s="76" customFormat="1" ht="21.95" customHeight="1" x14ac:dyDescent="0.15"/>
    <row r="6447" s="76" customFormat="1" ht="21.95" customHeight="1" x14ac:dyDescent="0.15"/>
    <row r="6448" s="76" customFormat="1" ht="21.95" customHeight="1" x14ac:dyDescent="0.15"/>
    <row r="6449" s="76" customFormat="1" ht="21.95" customHeight="1" x14ac:dyDescent="0.15"/>
    <row r="6450" s="76" customFormat="1" ht="21.95" customHeight="1" x14ac:dyDescent="0.15"/>
    <row r="6451" s="76" customFormat="1" ht="21.95" customHeight="1" x14ac:dyDescent="0.15"/>
    <row r="6452" s="76" customFormat="1" ht="21.95" customHeight="1" x14ac:dyDescent="0.15"/>
    <row r="6453" s="76" customFormat="1" ht="21.95" customHeight="1" x14ac:dyDescent="0.15"/>
    <row r="6454" s="76" customFormat="1" ht="21.95" customHeight="1" x14ac:dyDescent="0.15"/>
    <row r="6455" s="76" customFormat="1" ht="21.95" customHeight="1" x14ac:dyDescent="0.15"/>
    <row r="6456" s="76" customFormat="1" ht="21.95" customHeight="1" x14ac:dyDescent="0.15"/>
    <row r="6457" s="76" customFormat="1" ht="21.95" customHeight="1" x14ac:dyDescent="0.15"/>
    <row r="6458" s="76" customFormat="1" ht="21.95" customHeight="1" x14ac:dyDescent="0.15"/>
    <row r="6459" s="76" customFormat="1" ht="21.95" customHeight="1" x14ac:dyDescent="0.15"/>
    <row r="6460" s="76" customFormat="1" ht="21.95" customHeight="1" x14ac:dyDescent="0.15"/>
    <row r="6461" s="76" customFormat="1" ht="21.95" customHeight="1" x14ac:dyDescent="0.15"/>
    <row r="6462" s="76" customFormat="1" ht="21.95" customHeight="1" x14ac:dyDescent="0.15"/>
    <row r="6463" s="76" customFormat="1" ht="21.95" customHeight="1" x14ac:dyDescent="0.15"/>
    <row r="6464" s="76" customFormat="1" ht="21.95" customHeight="1" x14ac:dyDescent="0.15"/>
    <row r="6465" s="76" customFormat="1" ht="21.95" customHeight="1" x14ac:dyDescent="0.15"/>
    <row r="6466" s="76" customFormat="1" ht="21.95" customHeight="1" x14ac:dyDescent="0.15"/>
    <row r="6467" s="76" customFormat="1" ht="21.95" customHeight="1" x14ac:dyDescent="0.15"/>
    <row r="6468" s="76" customFormat="1" ht="21.95" customHeight="1" x14ac:dyDescent="0.15"/>
    <row r="6469" s="76" customFormat="1" ht="21.95" customHeight="1" x14ac:dyDescent="0.15"/>
    <row r="6470" s="76" customFormat="1" ht="21.95" customHeight="1" x14ac:dyDescent="0.15"/>
    <row r="6471" s="76" customFormat="1" ht="21.95" customHeight="1" x14ac:dyDescent="0.15"/>
    <row r="6472" s="76" customFormat="1" ht="21.95" customHeight="1" x14ac:dyDescent="0.15"/>
    <row r="6473" s="76" customFormat="1" ht="35.1" customHeight="1" x14ac:dyDescent="0.15"/>
    <row r="6474" s="76" customFormat="1" ht="21.95" customHeight="1" x14ac:dyDescent="0.15"/>
    <row r="6475" s="76" customFormat="1" ht="21.95" customHeight="1" x14ac:dyDescent="0.15"/>
    <row r="6476" s="76" customFormat="1" ht="21.95" customHeight="1" x14ac:dyDescent="0.15"/>
    <row r="6477" s="76" customFormat="1" ht="21.95" customHeight="1" x14ac:dyDescent="0.15"/>
    <row r="6478" s="76" customFormat="1" ht="21.95" customHeight="1" x14ac:dyDescent="0.15"/>
    <row r="6479" s="76" customFormat="1" ht="21.95" customHeight="1" x14ac:dyDescent="0.15"/>
    <row r="6480" s="76" customFormat="1" ht="21.95" customHeight="1" x14ac:dyDescent="0.15"/>
    <row r="6481" s="76" customFormat="1" ht="21.95" customHeight="1" x14ac:dyDescent="0.15"/>
    <row r="6482" s="76" customFormat="1" ht="21.95" customHeight="1" x14ac:dyDescent="0.15"/>
    <row r="6483" s="76" customFormat="1" ht="21.95" customHeight="1" x14ac:dyDescent="0.15"/>
    <row r="6484" s="76" customFormat="1" ht="21.95" customHeight="1" x14ac:dyDescent="0.15"/>
    <row r="6485" s="76" customFormat="1" ht="21.95" customHeight="1" x14ac:dyDescent="0.15"/>
    <row r="6486" s="76" customFormat="1" ht="21.95" customHeight="1" x14ac:dyDescent="0.15"/>
    <row r="6487" s="76" customFormat="1" ht="21.95" customHeight="1" x14ac:dyDescent="0.15"/>
    <row r="6488" s="76" customFormat="1" ht="21.95" customHeight="1" x14ac:dyDescent="0.15"/>
    <row r="6489" s="76" customFormat="1" ht="21.95" customHeight="1" x14ac:dyDescent="0.15"/>
    <row r="6490" s="76" customFormat="1" ht="21.95" customHeight="1" x14ac:dyDescent="0.15"/>
    <row r="6491" s="76" customFormat="1" ht="21.95" customHeight="1" x14ac:dyDescent="0.15"/>
    <row r="6492" s="76" customFormat="1" ht="21.95" customHeight="1" x14ac:dyDescent="0.15"/>
    <row r="6493" s="76" customFormat="1" ht="21.95" customHeight="1" x14ac:dyDescent="0.15"/>
    <row r="6494" s="76" customFormat="1" ht="21.95" customHeight="1" x14ac:dyDescent="0.15"/>
    <row r="6495" s="76" customFormat="1" ht="21.95" customHeight="1" x14ac:dyDescent="0.15"/>
    <row r="6496" s="76" customFormat="1" ht="21.95" customHeight="1" x14ac:dyDescent="0.15"/>
    <row r="6497" spans="3:3" customFormat="1" ht="21.95" customHeight="1" x14ac:dyDescent="0.15"/>
    <row r="6498" spans="3:3" customFormat="1" ht="21.95" customHeight="1" x14ac:dyDescent="0.15"/>
    <row r="6499" spans="3:3" customFormat="1" ht="21.95" customHeight="1" x14ac:dyDescent="0.15">
      <c r="C6499" s="94"/>
    </row>
    <row r="6500" spans="3:3" customFormat="1" ht="21.95" customHeight="1" x14ac:dyDescent="0.15">
      <c r="C6500" s="94"/>
    </row>
    <row r="6501" spans="3:3" customFormat="1" ht="21.95" customHeight="1" x14ac:dyDescent="0.15"/>
    <row r="6502" spans="3:3" customFormat="1" ht="21.95" customHeight="1" x14ac:dyDescent="0.15"/>
    <row r="6503" spans="3:3" customFormat="1" ht="21.95" customHeight="1" x14ac:dyDescent="0.15"/>
    <row r="6504" spans="3:3" customFormat="1" ht="21.95" customHeight="1" x14ac:dyDescent="0.15"/>
    <row r="6505" spans="3:3" customFormat="1" ht="21.95" customHeight="1" x14ac:dyDescent="0.15"/>
    <row r="6506" spans="3:3" customFormat="1" ht="21.95" customHeight="1" x14ac:dyDescent="0.15"/>
    <row r="6507" spans="3:3" customFormat="1" ht="21.95" customHeight="1" x14ac:dyDescent="0.15"/>
    <row r="6508" spans="3:3" s="76" customFormat="1" ht="21.95" customHeight="1" x14ac:dyDescent="0.15"/>
    <row r="6509" spans="3:3" s="76" customFormat="1" ht="21.95" customHeight="1" x14ac:dyDescent="0.15"/>
    <row r="6510" spans="3:3" s="76" customFormat="1" ht="21.95" customHeight="1" x14ac:dyDescent="0.15"/>
    <row r="6511" spans="3:3" s="76" customFormat="1" ht="21.95" customHeight="1" x14ac:dyDescent="0.15"/>
    <row r="6512" spans="3:3" customFormat="1" ht="21.95" customHeight="1" x14ac:dyDescent="0.15"/>
    <row r="6513" customFormat="1" ht="21.95" customHeight="1" x14ac:dyDescent="0.15"/>
    <row r="6514" customFormat="1" ht="21.95" customHeight="1" x14ac:dyDescent="0.15"/>
    <row r="6515" customFormat="1" ht="21.95" customHeight="1" x14ac:dyDescent="0.15"/>
    <row r="6516" customFormat="1" ht="21.95" customHeight="1" x14ac:dyDescent="0.15"/>
    <row r="6517" customFormat="1" ht="21.95" customHeight="1" x14ac:dyDescent="0.15"/>
    <row r="6518" customFormat="1" ht="21.95" customHeight="1" x14ac:dyDescent="0.15"/>
    <row r="6519" customFormat="1" ht="21.95" customHeight="1" x14ac:dyDescent="0.15"/>
    <row r="6520" customFormat="1" ht="21.95" customHeight="1" x14ac:dyDescent="0.15"/>
    <row r="6521" customFormat="1" ht="21.95" customHeight="1" x14ac:dyDescent="0.15"/>
    <row r="6522" customFormat="1" ht="21.95" customHeight="1" x14ac:dyDescent="0.15"/>
    <row r="6523" customFormat="1" ht="32.1" customHeight="1" x14ac:dyDescent="0.15"/>
    <row r="6524" customFormat="1" ht="32.1" customHeight="1" x14ac:dyDescent="0.15"/>
    <row r="6525" customFormat="1" ht="32.1" customHeight="1" x14ac:dyDescent="0.15"/>
    <row r="6526" customFormat="1" ht="32.1" customHeight="1" x14ac:dyDescent="0.15"/>
    <row r="6527" customFormat="1" ht="32.1" customHeight="1" x14ac:dyDescent="0.15"/>
    <row r="6528" customFormat="1" ht="32.1" customHeight="1" x14ac:dyDescent="0.15"/>
    <row r="6529" s="76" customFormat="1" ht="32.1" customHeight="1" x14ac:dyDescent="0.15"/>
    <row r="6530" s="76" customFormat="1" ht="32.1" customHeight="1" x14ac:dyDescent="0.15"/>
    <row r="6531" s="76" customFormat="1" ht="32.1" customHeight="1" x14ac:dyDescent="0.15"/>
    <row r="6532" s="76" customFormat="1" ht="32.1" customHeight="1" x14ac:dyDescent="0.15"/>
    <row r="6533" s="76" customFormat="1" ht="21.95" customHeight="1" x14ac:dyDescent="0.15"/>
    <row r="6534" s="76" customFormat="1" ht="54" customHeight="1" x14ac:dyDescent="0.15"/>
    <row r="6535" s="76" customFormat="1" ht="21.95" customHeight="1" x14ac:dyDescent="0.15"/>
    <row r="6536" s="76" customFormat="1" ht="21.95" customHeight="1" x14ac:dyDescent="0.15"/>
    <row r="6537" s="76" customFormat="1" ht="21.95" customHeight="1" x14ac:dyDescent="0.15"/>
    <row r="6538" s="76" customFormat="1" ht="21.95" customHeight="1" x14ac:dyDescent="0.15"/>
    <row r="6539" s="76" customFormat="1" ht="21.95" customHeight="1" x14ac:dyDescent="0.15"/>
    <row r="6540" s="76" customFormat="1" ht="21.95" customHeight="1" x14ac:dyDescent="0.15"/>
    <row r="6541" s="76" customFormat="1" ht="21.95" customHeight="1" x14ac:dyDescent="0.15"/>
    <row r="6542" s="76" customFormat="1" ht="21.95" customHeight="1" x14ac:dyDescent="0.15"/>
    <row r="6543" s="76" customFormat="1" ht="21.95" customHeight="1" x14ac:dyDescent="0.15"/>
    <row r="6544" s="76" customFormat="1" ht="21.95" customHeight="1" x14ac:dyDescent="0.15"/>
    <row r="6545" s="76" customFormat="1" ht="21.95" customHeight="1" x14ac:dyDescent="0.15"/>
    <row r="6546" s="76" customFormat="1" ht="21.95" customHeight="1" x14ac:dyDescent="0.15"/>
    <row r="6547" s="76" customFormat="1" ht="21.95" customHeight="1" x14ac:dyDescent="0.15"/>
    <row r="6548" s="76" customFormat="1" ht="21.95" customHeight="1" x14ac:dyDescent="0.15"/>
    <row r="6549" s="76" customFormat="1" ht="21.95" customHeight="1" x14ac:dyDescent="0.15"/>
    <row r="6550" s="76" customFormat="1" ht="21.95" customHeight="1" x14ac:dyDescent="0.15"/>
    <row r="6551" s="76" customFormat="1" ht="21.95" customHeight="1" x14ac:dyDescent="0.15"/>
    <row r="6552" s="76" customFormat="1" ht="21.95" customHeight="1" x14ac:dyDescent="0.15"/>
    <row r="6553" s="76" customFormat="1" ht="21.95" customHeight="1" x14ac:dyDescent="0.15"/>
    <row r="6554" s="76" customFormat="1" ht="21.95" customHeight="1" x14ac:dyDescent="0.15"/>
    <row r="6555" s="76" customFormat="1" ht="21.95" customHeight="1" x14ac:dyDescent="0.15"/>
    <row r="6556" s="76" customFormat="1" ht="21.95" customHeight="1" x14ac:dyDescent="0.15"/>
    <row r="6557" s="76" customFormat="1" ht="21.95" customHeight="1" x14ac:dyDescent="0.15"/>
    <row r="6558" s="76" customFormat="1" ht="21.95" customHeight="1" x14ac:dyDescent="0.15"/>
    <row r="6559" s="76" customFormat="1" ht="21.95" customHeight="1" x14ac:dyDescent="0.15"/>
    <row r="6560" s="76" customFormat="1" ht="21.95" customHeight="1" x14ac:dyDescent="0.15"/>
    <row r="6561" s="76" customFormat="1" ht="21.95" customHeight="1" x14ac:dyDescent="0.15"/>
    <row r="6562" s="76" customFormat="1" ht="21.95" customHeight="1" x14ac:dyDescent="0.15"/>
    <row r="6563" s="76" customFormat="1" ht="21.95" customHeight="1" x14ac:dyDescent="0.15"/>
    <row r="6564" s="76" customFormat="1" ht="21.95" customHeight="1" x14ac:dyDescent="0.15"/>
    <row r="6565" s="76" customFormat="1" ht="21.95" customHeight="1" x14ac:dyDescent="0.15"/>
    <row r="6566" s="76" customFormat="1" ht="21.95" customHeight="1" x14ac:dyDescent="0.15"/>
    <row r="6567" s="76" customFormat="1" ht="21.95" customHeight="1" x14ac:dyDescent="0.15"/>
    <row r="6568" s="76" customFormat="1" ht="21.95" customHeight="1" x14ac:dyDescent="0.15"/>
    <row r="6569" s="76" customFormat="1" ht="21.95" customHeight="1" x14ac:dyDescent="0.15"/>
    <row r="6570" s="76" customFormat="1" ht="21.95" customHeight="1" x14ac:dyDescent="0.15"/>
    <row r="6571" s="76" customFormat="1" ht="21.95" customHeight="1" x14ac:dyDescent="0.15"/>
    <row r="6572" s="76" customFormat="1" ht="21.95" customHeight="1" x14ac:dyDescent="0.15"/>
    <row r="6573" s="76" customFormat="1" ht="21.95" customHeight="1" x14ac:dyDescent="0.15"/>
    <row r="6574" s="76" customFormat="1" ht="21.95" customHeight="1" x14ac:dyDescent="0.15"/>
    <row r="6575" s="76" customFormat="1" ht="21.95" customHeight="1" x14ac:dyDescent="0.15"/>
    <row r="6576" s="76" customFormat="1" ht="21.95" customHeight="1" x14ac:dyDescent="0.15"/>
    <row r="6577" s="76" customFormat="1" ht="21.95" customHeight="1" x14ac:dyDescent="0.15"/>
    <row r="6578" s="76" customFormat="1" ht="21.95" customHeight="1" x14ac:dyDescent="0.15"/>
    <row r="6579" s="76" customFormat="1" ht="21.95" customHeight="1" x14ac:dyDescent="0.15"/>
    <row r="6580" s="76" customFormat="1" ht="21.95" customHeight="1" x14ac:dyDescent="0.15"/>
    <row r="6581" s="76" customFormat="1" ht="21.95" customHeight="1" x14ac:dyDescent="0.15"/>
    <row r="6582" s="76" customFormat="1" ht="21.95" customHeight="1" x14ac:dyDescent="0.15"/>
    <row r="6583" s="76" customFormat="1" ht="21.95" customHeight="1" x14ac:dyDescent="0.15"/>
    <row r="6584" s="76" customFormat="1" ht="21.95" customHeight="1" x14ac:dyDescent="0.15"/>
    <row r="6585" s="76" customFormat="1" ht="35.1" customHeight="1" x14ac:dyDescent="0.15"/>
    <row r="6586" s="76" customFormat="1" ht="21.95" customHeight="1" x14ac:dyDescent="0.15"/>
    <row r="6587" s="76" customFormat="1" ht="21.95" customHeight="1" x14ac:dyDescent="0.15"/>
    <row r="6588" s="76" customFormat="1" ht="21.95" customHeight="1" x14ac:dyDescent="0.15"/>
    <row r="6589" s="76" customFormat="1" ht="21.95" customHeight="1" x14ac:dyDescent="0.15"/>
    <row r="6590" s="76" customFormat="1" ht="21.95" customHeight="1" x14ac:dyDescent="0.15"/>
    <row r="6591" s="76" customFormat="1" ht="21.95" customHeight="1" x14ac:dyDescent="0.15"/>
    <row r="6592" s="76" customFormat="1" ht="21.95" customHeight="1" x14ac:dyDescent="0.15"/>
    <row r="6593" s="76" customFormat="1" ht="21.95" customHeight="1" x14ac:dyDescent="0.15"/>
    <row r="6594" s="76" customFormat="1" ht="21.95" customHeight="1" x14ac:dyDescent="0.15"/>
    <row r="6595" s="76" customFormat="1" ht="21.95" customHeight="1" x14ac:dyDescent="0.15"/>
    <row r="6596" s="76" customFormat="1" ht="21.95" customHeight="1" x14ac:dyDescent="0.15"/>
    <row r="6597" s="76" customFormat="1" ht="21.95" customHeight="1" x14ac:dyDescent="0.15"/>
    <row r="6598" s="76" customFormat="1" ht="21.95" customHeight="1" x14ac:dyDescent="0.15"/>
    <row r="6599" s="76" customFormat="1" ht="21.95" customHeight="1" x14ac:dyDescent="0.15"/>
    <row r="6600" s="76" customFormat="1" ht="21.95" customHeight="1" x14ac:dyDescent="0.15"/>
    <row r="6601" s="76" customFormat="1" ht="21.95" customHeight="1" x14ac:dyDescent="0.15"/>
    <row r="6602" s="76" customFormat="1" ht="21.95" customHeight="1" x14ac:dyDescent="0.15"/>
    <row r="6603" s="76" customFormat="1" ht="21.95" customHeight="1" x14ac:dyDescent="0.15"/>
    <row r="6604" s="76" customFormat="1" ht="21.95" customHeight="1" x14ac:dyDescent="0.15"/>
    <row r="6605" s="76" customFormat="1" ht="21.95" customHeight="1" x14ac:dyDescent="0.15"/>
    <row r="6606" s="76" customFormat="1" ht="21.95" customHeight="1" x14ac:dyDescent="0.15"/>
    <row r="6607" s="76" customFormat="1" ht="21.95" customHeight="1" x14ac:dyDescent="0.15"/>
    <row r="6608" s="76" customFormat="1" ht="21.95" customHeight="1" x14ac:dyDescent="0.15"/>
    <row r="6609" spans="3:3" customFormat="1" ht="21.95" customHeight="1" x14ac:dyDescent="0.15"/>
    <row r="6610" spans="3:3" customFormat="1" ht="21.95" customHeight="1" x14ac:dyDescent="0.15"/>
    <row r="6611" spans="3:3" customFormat="1" ht="21.95" customHeight="1" x14ac:dyDescent="0.15">
      <c r="C6611" s="94"/>
    </row>
    <row r="6612" spans="3:3" customFormat="1" ht="21.95" customHeight="1" x14ac:dyDescent="0.15">
      <c r="C6612" s="94"/>
    </row>
    <row r="6613" spans="3:3" customFormat="1" ht="21.95" customHeight="1" x14ac:dyDescent="0.15"/>
    <row r="6614" spans="3:3" customFormat="1" ht="21.95" customHeight="1" x14ac:dyDescent="0.15"/>
    <row r="6615" spans="3:3" customFormat="1" ht="21.95" customHeight="1" x14ac:dyDescent="0.15"/>
    <row r="6616" spans="3:3" customFormat="1" ht="21.95" customHeight="1" x14ac:dyDescent="0.15"/>
    <row r="6617" spans="3:3" customFormat="1" ht="21.95" customHeight="1" x14ac:dyDescent="0.15"/>
    <row r="6618" spans="3:3" customFormat="1" ht="21.95" customHeight="1" x14ac:dyDescent="0.15"/>
    <row r="6619" spans="3:3" customFormat="1" ht="21.95" customHeight="1" x14ac:dyDescent="0.15"/>
    <row r="6620" spans="3:3" s="76" customFormat="1" ht="21.95" customHeight="1" x14ac:dyDescent="0.15"/>
    <row r="6621" spans="3:3" s="76" customFormat="1" ht="21.95" customHeight="1" x14ac:dyDescent="0.15"/>
    <row r="6622" spans="3:3" s="76" customFormat="1" ht="21.95" customHeight="1" x14ac:dyDescent="0.15"/>
    <row r="6623" spans="3:3" s="76" customFormat="1" ht="21.95" customHeight="1" x14ac:dyDescent="0.15"/>
    <row r="6624" spans="3:3" customFormat="1" ht="21.95" customHeight="1" x14ac:dyDescent="0.15"/>
    <row r="6625" customFormat="1" ht="21.95" customHeight="1" x14ac:dyDescent="0.15"/>
    <row r="6626" customFormat="1" ht="21.95" customHeight="1" x14ac:dyDescent="0.15"/>
    <row r="6627" customFormat="1" ht="21.95" customHeight="1" x14ac:dyDescent="0.15"/>
    <row r="6628" customFormat="1" ht="21.95" customHeight="1" x14ac:dyDescent="0.15"/>
    <row r="6629" customFormat="1" ht="21.95" customHeight="1" x14ac:dyDescent="0.15"/>
    <row r="6630" customFormat="1" ht="21.95" customHeight="1" x14ac:dyDescent="0.15"/>
    <row r="6631" customFormat="1" ht="21.95" customHeight="1" x14ac:dyDescent="0.15"/>
    <row r="6632" customFormat="1" ht="21.95" customHeight="1" x14ac:dyDescent="0.15"/>
    <row r="6633" customFormat="1" ht="21.95" customHeight="1" x14ac:dyDescent="0.15"/>
    <row r="6634" customFormat="1" ht="21.95" customHeight="1" x14ac:dyDescent="0.15"/>
    <row r="6635" customFormat="1" ht="32.1" customHeight="1" x14ac:dyDescent="0.15"/>
    <row r="6636" customFormat="1" ht="32.1" customHeight="1" x14ac:dyDescent="0.15"/>
    <row r="6637" customFormat="1" ht="32.1" customHeight="1" x14ac:dyDescent="0.15"/>
    <row r="6638" customFormat="1" ht="32.1" customHeight="1" x14ac:dyDescent="0.15"/>
    <row r="6639" customFormat="1" ht="32.1" customHeight="1" x14ac:dyDescent="0.15"/>
    <row r="6640" customFormat="1" ht="32.1" customHeight="1" x14ac:dyDescent="0.15"/>
    <row r="6641" s="76" customFormat="1" ht="32.1" customHeight="1" x14ac:dyDescent="0.15"/>
    <row r="6642" s="76" customFormat="1" ht="32.1" customHeight="1" x14ac:dyDescent="0.15"/>
    <row r="6643" s="76" customFormat="1" ht="32.1" customHeight="1" x14ac:dyDescent="0.15"/>
    <row r="6644" s="76" customFormat="1" ht="32.1" customHeight="1" x14ac:dyDescent="0.15"/>
    <row r="6645" s="76" customFormat="1" ht="21.95" customHeight="1" x14ac:dyDescent="0.15"/>
    <row r="6646" s="76" customFormat="1" ht="54" customHeight="1" x14ac:dyDescent="0.15"/>
    <row r="6647" s="76" customFormat="1" ht="21.95" customHeight="1" x14ac:dyDescent="0.15"/>
    <row r="6648" s="76" customFormat="1" ht="21.95" customHeight="1" x14ac:dyDescent="0.15"/>
    <row r="6649" s="76" customFormat="1" ht="21.95" customHeight="1" x14ac:dyDescent="0.15"/>
    <row r="6650" s="76" customFormat="1" ht="21.95" customHeight="1" x14ac:dyDescent="0.15"/>
    <row r="6651" s="76" customFormat="1" ht="21.95" customHeight="1" x14ac:dyDescent="0.15"/>
    <row r="6652" s="76" customFormat="1" ht="21.95" customHeight="1" x14ac:dyDescent="0.15"/>
    <row r="6653" s="76" customFormat="1" ht="21.95" customHeight="1" x14ac:dyDescent="0.15"/>
    <row r="6654" s="76" customFormat="1" ht="21.95" customHeight="1" x14ac:dyDescent="0.15"/>
    <row r="6655" s="76" customFormat="1" ht="21.95" customHeight="1" x14ac:dyDescent="0.15"/>
    <row r="6656" s="76" customFormat="1" ht="21.95" customHeight="1" x14ac:dyDescent="0.15"/>
    <row r="6657" s="76" customFormat="1" ht="21.95" customHeight="1" x14ac:dyDescent="0.15"/>
    <row r="6658" s="76" customFormat="1" ht="21.95" customHeight="1" x14ac:dyDescent="0.15"/>
    <row r="6659" s="76" customFormat="1" ht="21.95" customHeight="1" x14ac:dyDescent="0.15"/>
    <row r="6660" s="76" customFormat="1" ht="21.95" customHeight="1" x14ac:dyDescent="0.15"/>
    <row r="6661" s="76" customFormat="1" ht="21.95" customHeight="1" x14ac:dyDescent="0.15"/>
    <row r="6662" s="76" customFormat="1" ht="21.95" customHeight="1" x14ac:dyDescent="0.15"/>
    <row r="6663" s="76" customFormat="1" ht="21.95" customHeight="1" x14ac:dyDescent="0.15"/>
    <row r="6664" s="76" customFormat="1" ht="21.95" customHeight="1" x14ac:dyDescent="0.15"/>
    <row r="6665" s="76" customFormat="1" ht="21.95" customHeight="1" x14ac:dyDescent="0.15"/>
    <row r="6666" s="76" customFormat="1" ht="21.95" customHeight="1" x14ac:dyDescent="0.15"/>
    <row r="6667" s="76" customFormat="1" ht="21.95" customHeight="1" x14ac:dyDescent="0.15"/>
    <row r="6668" s="76" customFormat="1" ht="21.95" customHeight="1" x14ac:dyDescent="0.15"/>
    <row r="6669" s="76" customFormat="1" ht="21.95" customHeight="1" x14ac:dyDescent="0.15"/>
    <row r="6670" s="76" customFormat="1" ht="21.95" customHeight="1" x14ac:dyDescent="0.15"/>
    <row r="6671" s="76" customFormat="1" ht="21.95" customHeight="1" x14ac:dyDescent="0.15"/>
    <row r="6672" s="76" customFormat="1" ht="21.95" customHeight="1" x14ac:dyDescent="0.15"/>
    <row r="6673" s="76" customFormat="1" ht="21.95" customHeight="1" x14ac:dyDescent="0.15"/>
    <row r="6674" s="76" customFormat="1" ht="21.95" customHeight="1" x14ac:dyDescent="0.15"/>
    <row r="6675" s="76" customFormat="1" ht="21.95" customHeight="1" x14ac:dyDescent="0.15"/>
    <row r="6676" s="76" customFormat="1" ht="21.95" customHeight="1" x14ac:dyDescent="0.15"/>
    <row r="6677" s="76" customFormat="1" ht="21.95" customHeight="1" x14ac:dyDescent="0.15"/>
    <row r="6678" s="76" customFormat="1" ht="21.95" customHeight="1" x14ac:dyDescent="0.15"/>
    <row r="6679" s="76" customFormat="1" ht="21.95" customHeight="1" x14ac:dyDescent="0.15"/>
    <row r="6680" s="76" customFormat="1" ht="21.95" customHeight="1" x14ac:dyDescent="0.15"/>
    <row r="6681" s="76" customFormat="1" ht="21.95" customHeight="1" x14ac:dyDescent="0.15"/>
    <row r="6682" s="76" customFormat="1" ht="21.95" customHeight="1" x14ac:dyDescent="0.15"/>
    <row r="6683" s="76" customFormat="1" ht="21.95" customHeight="1" x14ac:dyDescent="0.15"/>
    <row r="6684" s="76" customFormat="1" ht="21.95" customHeight="1" x14ac:dyDescent="0.15"/>
    <row r="6685" s="76" customFormat="1" ht="21.95" customHeight="1" x14ac:dyDescent="0.15"/>
    <row r="6686" s="76" customFormat="1" ht="21.95" customHeight="1" x14ac:dyDescent="0.15"/>
    <row r="6687" s="76" customFormat="1" ht="21.95" customHeight="1" x14ac:dyDescent="0.15"/>
    <row r="6688" s="76" customFormat="1" ht="21.95" customHeight="1" x14ac:dyDescent="0.15"/>
    <row r="6689" s="76" customFormat="1" ht="21.95" customHeight="1" x14ac:dyDescent="0.15"/>
    <row r="6690" s="76" customFormat="1" ht="21.95" customHeight="1" x14ac:dyDescent="0.15"/>
    <row r="6691" s="76" customFormat="1" ht="21.95" customHeight="1" x14ac:dyDescent="0.15"/>
    <row r="6692" s="76" customFormat="1" ht="21.95" customHeight="1" x14ac:dyDescent="0.15"/>
    <row r="6693" s="76" customFormat="1" ht="21.95" customHeight="1" x14ac:dyDescent="0.15"/>
    <row r="6694" s="76" customFormat="1" ht="21.95" customHeight="1" x14ac:dyDescent="0.15"/>
    <row r="6695" s="76" customFormat="1" ht="21.95" customHeight="1" x14ac:dyDescent="0.15"/>
    <row r="6696" s="76" customFormat="1" ht="21.95" customHeight="1" x14ac:dyDescent="0.15"/>
    <row r="6697" s="76" customFormat="1" ht="35.1" customHeight="1" x14ac:dyDescent="0.15"/>
    <row r="6698" s="76" customFormat="1" ht="21.95" customHeight="1" x14ac:dyDescent="0.15"/>
    <row r="6699" s="76" customFormat="1" ht="21.95" customHeight="1" x14ac:dyDescent="0.15"/>
    <row r="6700" s="76" customFormat="1" ht="21.95" customHeight="1" x14ac:dyDescent="0.15"/>
    <row r="6701" s="76" customFormat="1" ht="21.95" customHeight="1" x14ac:dyDescent="0.15"/>
    <row r="6702" s="76" customFormat="1" ht="21.95" customHeight="1" x14ac:dyDescent="0.15"/>
    <row r="6703" s="76" customFormat="1" ht="21.95" customHeight="1" x14ac:dyDescent="0.15"/>
    <row r="6704" s="76" customFormat="1" ht="21.95" customHeight="1" x14ac:dyDescent="0.15"/>
    <row r="6705" s="76" customFormat="1" ht="21.95" customHeight="1" x14ac:dyDescent="0.15"/>
    <row r="6706" s="76" customFormat="1" ht="21.95" customHeight="1" x14ac:dyDescent="0.15"/>
    <row r="6707" s="76" customFormat="1" ht="21.95" customHeight="1" x14ac:dyDescent="0.15"/>
    <row r="6708" s="76" customFormat="1" ht="21.95" customHeight="1" x14ac:dyDescent="0.15"/>
    <row r="6709" s="76" customFormat="1" ht="21.95" customHeight="1" x14ac:dyDescent="0.15"/>
    <row r="6710" s="76" customFormat="1" ht="21.95" customHeight="1" x14ac:dyDescent="0.15"/>
    <row r="6711" s="76" customFormat="1" ht="21.95" customHeight="1" x14ac:dyDescent="0.15"/>
    <row r="6712" s="76" customFormat="1" ht="21.95" customHeight="1" x14ac:dyDescent="0.15"/>
    <row r="6713" s="76" customFormat="1" ht="21.95" customHeight="1" x14ac:dyDescent="0.15"/>
    <row r="6714" s="76" customFormat="1" ht="21.95" customHeight="1" x14ac:dyDescent="0.15"/>
    <row r="6715" s="76" customFormat="1" ht="21.95" customHeight="1" x14ac:dyDescent="0.15"/>
    <row r="6716" s="76" customFormat="1" ht="21.95" customHeight="1" x14ac:dyDescent="0.15"/>
    <row r="6717" s="76" customFormat="1" ht="21.95" customHeight="1" x14ac:dyDescent="0.15"/>
    <row r="6718" s="76" customFormat="1" ht="21.95" customHeight="1" x14ac:dyDescent="0.15"/>
    <row r="6719" s="76" customFormat="1" ht="21.95" customHeight="1" x14ac:dyDescent="0.15"/>
    <row r="6720" s="76" customFormat="1" ht="21.95" customHeight="1" x14ac:dyDescent="0.15"/>
    <row r="6721" spans="3:3" customFormat="1" ht="21.95" customHeight="1" x14ac:dyDescent="0.15"/>
    <row r="6722" spans="3:3" customFormat="1" ht="21.95" customHeight="1" x14ac:dyDescent="0.15"/>
    <row r="6723" spans="3:3" customFormat="1" ht="21.95" customHeight="1" x14ac:dyDescent="0.15">
      <c r="C6723" s="94"/>
    </row>
    <row r="6724" spans="3:3" customFormat="1" ht="21.95" customHeight="1" x14ac:dyDescent="0.15">
      <c r="C6724" s="94"/>
    </row>
    <row r="6725" spans="3:3" customFormat="1" ht="21.95" customHeight="1" x14ac:dyDescent="0.15"/>
    <row r="6726" spans="3:3" customFormat="1" ht="21.95" customHeight="1" x14ac:dyDescent="0.15"/>
    <row r="6727" spans="3:3" customFormat="1" ht="21.95" customHeight="1" x14ac:dyDescent="0.15"/>
    <row r="6728" spans="3:3" customFormat="1" ht="21.95" customHeight="1" x14ac:dyDescent="0.15"/>
    <row r="6729" spans="3:3" customFormat="1" ht="21.95" customHeight="1" x14ac:dyDescent="0.15"/>
    <row r="6730" spans="3:3" customFormat="1" ht="21.95" customHeight="1" x14ac:dyDescent="0.15"/>
    <row r="6731" spans="3:3" customFormat="1" ht="21.95" customHeight="1" x14ac:dyDescent="0.15"/>
    <row r="6732" spans="3:3" s="76" customFormat="1" ht="21.95" customHeight="1" x14ac:dyDescent="0.15"/>
    <row r="6733" spans="3:3" s="76" customFormat="1" ht="21.95" customHeight="1" x14ac:dyDescent="0.15"/>
    <row r="6734" spans="3:3" s="76" customFormat="1" ht="21.95" customHeight="1" x14ac:dyDescent="0.15"/>
    <row r="6735" spans="3:3" s="76" customFormat="1" ht="21.95" customHeight="1" x14ac:dyDescent="0.15"/>
    <row r="6736" spans="3:3" customFormat="1" ht="21.95" customHeight="1" x14ac:dyDescent="0.15"/>
    <row r="6737" customFormat="1" ht="21.95" customHeight="1" x14ac:dyDescent="0.15"/>
    <row r="6738" customFormat="1" ht="21.95" customHeight="1" x14ac:dyDescent="0.15"/>
    <row r="6739" customFormat="1" ht="21.95" customHeight="1" x14ac:dyDescent="0.15"/>
    <row r="6740" customFormat="1" ht="21.95" customHeight="1" x14ac:dyDescent="0.15"/>
    <row r="6741" customFormat="1" ht="21.95" customHeight="1" x14ac:dyDescent="0.15"/>
    <row r="6742" customFormat="1" ht="21.95" customHeight="1" x14ac:dyDescent="0.15"/>
    <row r="6743" customFormat="1" ht="21.95" customHeight="1" x14ac:dyDescent="0.15"/>
    <row r="6744" customFormat="1" ht="21.95" customHeight="1" x14ac:dyDescent="0.15"/>
    <row r="6745" customFormat="1" ht="21.95" customHeight="1" x14ac:dyDescent="0.15"/>
    <row r="6746" customFormat="1" ht="21.95" customHeight="1" x14ac:dyDescent="0.15"/>
    <row r="6747" customFormat="1" ht="32.1" customHeight="1" x14ac:dyDescent="0.15"/>
    <row r="6748" customFormat="1" ht="32.1" customHeight="1" x14ac:dyDescent="0.15"/>
    <row r="6749" customFormat="1" ht="32.1" customHeight="1" x14ac:dyDescent="0.15"/>
    <row r="6750" customFormat="1" ht="32.1" customHeight="1" x14ac:dyDescent="0.15"/>
    <row r="6751" customFormat="1" ht="32.1" customHeight="1" x14ac:dyDescent="0.15"/>
    <row r="6752" customFormat="1" ht="32.1" customHeight="1" x14ac:dyDescent="0.15"/>
    <row r="6753" s="76" customFormat="1" ht="32.1" customHeight="1" x14ac:dyDescent="0.15"/>
    <row r="6754" s="76" customFormat="1" ht="32.1" customHeight="1" x14ac:dyDescent="0.15"/>
    <row r="6755" s="76" customFormat="1" ht="32.1" customHeight="1" x14ac:dyDescent="0.15"/>
    <row r="6756" s="76" customFormat="1" ht="32.1" customHeight="1" x14ac:dyDescent="0.15"/>
    <row r="6757" s="76" customFormat="1" ht="21.95" customHeight="1" x14ac:dyDescent="0.15"/>
    <row r="6758" s="76" customFormat="1" ht="54" customHeight="1" x14ac:dyDescent="0.15"/>
    <row r="6759" s="76" customFormat="1" ht="21.95" customHeight="1" x14ac:dyDescent="0.15"/>
    <row r="6760" s="76" customFormat="1" ht="21.95" customHeight="1" x14ac:dyDescent="0.15"/>
    <row r="6761" s="76" customFormat="1" ht="21.95" customHeight="1" x14ac:dyDescent="0.15"/>
    <row r="6762" s="76" customFormat="1" ht="21.95" customHeight="1" x14ac:dyDescent="0.15"/>
    <row r="6763" s="76" customFormat="1" ht="21.95" customHeight="1" x14ac:dyDescent="0.15"/>
    <row r="6764" s="76" customFormat="1" ht="21.95" customHeight="1" x14ac:dyDescent="0.15"/>
    <row r="6765" s="76" customFormat="1" ht="21.95" customHeight="1" x14ac:dyDescent="0.15"/>
    <row r="6766" s="76" customFormat="1" ht="21.95" customHeight="1" x14ac:dyDescent="0.15"/>
    <row r="6767" s="76" customFormat="1" ht="21.95" customHeight="1" x14ac:dyDescent="0.15"/>
    <row r="6768" s="76" customFormat="1" ht="21.95" customHeight="1" x14ac:dyDescent="0.15"/>
    <row r="6769" s="76" customFormat="1" ht="21.95" customHeight="1" x14ac:dyDescent="0.15"/>
    <row r="6770" s="76" customFormat="1" ht="21.95" customHeight="1" x14ac:dyDescent="0.15"/>
    <row r="6771" s="76" customFormat="1" ht="21.95" customHeight="1" x14ac:dyDescent="0.15"/>
    <row r="6772" s="76" customFormat="1" ht="21.95" customHeight="1" x14ac:dyDescent="0.15"/>
    <row r="6773" s="76" customFormat="1" ht="21.95" customHeight="1" x14ac:dyDescent="0.15"/>
    <row r="6774" s="76" customFormat="1" ht="21.95" customHeight="1" x14ac:dyDescent="0.15"/>
    <row r="6775" s="76" customFormat="1" ht="21.95" customHeight="1" x14ac:dyDescent="0.15"/>
    <row r="6776" s="76" customFormat="1" ht="21.95" customHeight="1" x14ac:dyDescent="0.15"/>
    <row r="6777" s="76" customFormat="1" ht="21.95" customHeight="1" x14ac:dyDescent="0.15"/>
    <row r="6778" s="76" customFormat="1" ht="21.95" customHeight="1" x14ac:dyDescent="0.15"/>
    <row r="6779" s="76" customFormat="1" ht="21.95" customHeight="1" x14ac:dyDescent="0.15"/>
    <row r="6780" s="76" customFormat="1" ht="21.95" customHeight="1" x14ac:dyDescent="0.15"/>
    <row r="6781" s="76" customFormat="1" ht="21.95" customHeight="1" x14ac:dyDescent="0.15"/>
    <row r="6782" s="76" customFormat="1" ht="21.95" customHeight="1" x14ac:dyDescent="0.15"/>
    <row r="6783" s="76" customFormat="1" ht="21.95" customHeight="1" x14ac:dyDescent="0.15"/>
    <row r="6784" s="76" customFormat="1" ht="21.95" customHeight="1" x14ac:dyDescent="0.15"/>
    <row r="6785" s="76" customFormat="1" ht="21.95" customHeight="1" x14ac:dyDescent="0.15"/>
    <row r="6786" s="76" customFormat="1" ht="21.95" customHeight="1" x14ac:dyDescent="0.15"/>
    <row r="6787" s="76" customFormat="1" ht="21.95" customHeight="1" x14ac:dyDescent="0.15"/>
    <row r="6788" s="76" customFormat="1" ht="21.95" customHeight="1" x14ac:dyDescent="0.15"/>
    <row r="6789" s="76" customFormat="1" ht="21.95" customHeight="1" x14ac:dyDescent="0.15"/>
    <row r="6790" s="76" customFormat="1" ht="21.95" customHeight="1" x14ac:dyDescent="0.15"/>
    <row r="6791" s="76" customFormat="1" ht="21.95" customHeight="1" x14ac:dyDescent="0.15"/>
    <row r="6792" s="76" customFormat="1" ht="21.95" customHeight="1" x14ac:dyDescent="0.15"/>
    <row r="6793" s="76" customFormat="1" ht="21.95" customHeight="1" x14ac:dyDescent="0.15"/>
    <row r="6794" s="76" customFormat="1" ht="21.95" customHeight="1" x14ac:dyDescent="0.15"/>
    <row r="6795" s="76" customFormat="1" ht="21.95" customHeight="1" x14ac:dyDescent="0.15"/>
    <row r="6796" s="76" customFormat="1" ht="21.95" customHeight="1" x14ac:dyDescent="0.15"/>
    <row r="6797" s="76" customFormat="1" ht="21.95" customHeight="1" x14ac:dyDescent="0.15"/>
    <row r="6798" s="76" customFormat="1" ht="21.95" customHeight="1" x14ac:dyDescent="0.15"/>
    <row r="6799" s="76" customFormat="1" ht="21.95" customHeight="1" x14ac:dyDescent="0.15"/>
    <row r="6800" s="76" customFormat="1" ht="21.95" customHeight="1" x14ac:dyDescent="0.15"/>
    <row r="6801" s="76" customFormat="1" ht="21.95" customHeight="1" x14ac:dyDescent="0.15"/>
    <row r="6802" s="76" customFormat="1" ht="21.95" customHeight="1" x14ac:dyDescent="0.15"/>
    <row r="6803" s="76" customFormat="1" ht="21.95" customHeight="1" x14ac:dyDescent="0.15"/>
    <row r="6804" s="76" customFormat="1" ht="21.95" customHeight="1" x14ac:dyDescent="0.15"/>
    <row r="6805" s="76" customFormat="1" ht="21.95" customHeight="1" x14ac:dyDescent="0.15"/>
    <row r="6806" s="76" customFormat="1" ht="21.95" customHeight="1" x14ac:dyDescent="0.15"/>
    <row r="6807" s="76" customFormat="1" ht="21.95" customHeight="1" x14ac:dyDescent="0.15"/>
    <row r="6808" s="76" customFormat="1" ht="21.95" customHeight="1" x14ac:dyDescent="0.15"/>
    <row r="6809" s="76" customFormat="1" ht="35.1" customHeight="1" x14ac:dyDescent="0.15"/>
    <row r="6810" s="76" customFormat="1" ht="21.95" customHeight="1" x14ac:dyDescent="0.15"/>
    <row r="6811" s="76" customFormat="1" ht="21.95" customHeight="1" x14ac:dyDescent="0.15"/>
    <row r="6812" s="76" customFormat="1" ht="21.95" customHeight="1" x14ac:dyDescent="0.15"/>
    <row r="6813" s="76" customFormat="1" ht="21.95" customHeight="1" x14ac:dyDescent="0.15"/>
    <row r="6814" s="76" customFormat="1" ht="21.95" customHeight="1" x14ac:dyDescent="0.15"/>
    <row r="6815" s="76" customFormat="1" ht="21.95" customHeight="1" x14ac:dyDescent="0.15"/>
    <row r="6816" s="76" customFormat="1" ht="21.95" customHeight="1" x14ac:dyDescent="0.15"/>
    <row r="6817" s="76" customFormat="1" ht="21.95" customHeight="1" x14ac:dyDescent="0.15"/>
    <row r="6818" s="76" customFormat="1" ht="21.95" customHeight="1" x14ac:dyDescent="0.15"/>
    <row r="6819" s="76" customFormat="1" ht="21.95" customHeight="1" x14ac:dyDescent="0.15"/>
    <row r="6820" s="76" customFormat="1" ht="21.95" customHeight="1" x14ac:dyDescent="0.15"/>
    <row r="6821" s="76" customFormat="1" ht="21.95" customHeight="1" x14ac:dyDescent="0.15"/>
    <row r="6822" s="76" customFormat="1" ht="21.95" customHeight="1" x14ac:dyDescent="0.15"/>
    <row r="6823" s="76" customFormat="1" ht="21.95" customHeight="1" x14ac:dyDescent="0.15"/>
    <row r="6824" s="76" customFormat="1" ht="21.95" customHeight="1" x14ac:dyDescent="0.15"/>
    <row r="6825" s="76" customFormat="1" ht="21.95" customHeight="1" x14ac:dyDescent="0.15"/>
    <row r="6826" s="76" customFormat="1" ht="21.95" customHeight="1" x14ac:dyDescent="0.15"/>
    <row r="6827" s="76" customFormat="1" ht="21.95" customHeight="1" x14ac:dyDescent="0.15"/>
    <row r="6828" s="76" customFormat="1" ht="21.95" customHeight="1" x14ac:dyDescent="0.15"/>
    <row r="6829" s="76" customFormat="1" ht="21.95" customHeight="1" x14ac:dyDescent="0.15"/>
    <row r="6830" s="76" customFormat="1" ht="21.95" customHeight="1" x14ac:dyDescent="0.15"/>
    <row r="6831" s="76" customFormat="1" ht="21.95" customHeight="1" x14ac:dyDescent="0.15"/>
    <row r="6832" s="76" customFormat="1" ht="21.95" customHeight="1" x14ac:dyDescent="0.15"/>
    <row r="6833" spans="3:3" customFormat="1" ht="21.95" customHeight="1" x14ac:dyDescent="0.15"/>
    <row r="6834" spans="3:3" customFormat="1" ht="21.95" customHeight="1" x14ac:dyDescent="0.15"/>
    <row r="6835" spans="3:3" customFormat="1" ht="21.95" customHeight="1" x14ac:dyDescent="0.15">
      <c r="C6835" s="94"/>
    </row>
    <row r="6836" spans="3:3" customFormat="1" ht="21.95" customHeight="1" x14ac:dyDescent="0.15">
      <c r="C6836" s="94"/>
    </row>
    <row r="6837" spans="3:3" customFormat="1" ht="21.95" customHeight="1" x14ac:dyDescent="0.15"/>
    <row r="6838" spans="3:3" customFormat="1" ht="21.95" customHeight="1" x14ac:dyDescent="0.15"/>
    <row r="6839" spans="3:3" customFormat="1" ht="21.95" customHeight="1" x14ac:dyDescent="0.15"/>
    <row r="6840" spans="3:3" customFormat="1" ht="21.95" customHeight="1" x14ac:dyDescent="0.15"/>
    <row r="6841" spans="3:3" customFormat="1" ht="21.95" customHeight="1" x14ac:dyDescent="0.15"/>
    <row r="6842" spans="3:3" customFormat="1" ht="21.95" customHeight="1" x14ac:dyDescent="0.15"/>
    <row r="6843" spans="3:3" customFormat="1" ht="21.95" customHeight="1" x14ac:dyDescent="0.15"/>
    <row r="6844" spans="3:3" s="76" customFormat="1" ht="21.95" customHeight="1" x14ac:dyDescent="0.15"/>
    <row r="6845" spans="3:3" s="76" customFormat="1" ht="21.95" customHeight="1" x14ac:dyDescent="0.15"/>
    <row r="6846" spans="3:3" s="76" customFormat="1" ht="21.95" customHeight="1" x14ac:dyDescent="0.15"/>
    <row r="6847" spans="3:3" s="76" customFormat="1" ht="21.95" customHeight="1" x14ac:dyDescent="0.15"/>
    <row r="6848" spans="3:3" customFormat="1" ht="21.95" customHeight="1" x14ac:dyDescent="0.15"/>
    <row r="6849" customFormat="1" ht="21.95" customHeight="1" x14ac:dyDescent="0.15"/>
    <row r="6850" customFormat="1" ht="21.95" customHeight="1" x14ac:dyDescent="0.15"/>
    <row r="6851" customFormat="1" ht="21.95" customHeight="1" x14ac:dyDescent="0.15"/>
    <row r="6852" customFormat="1" ht="21.95" customHeight="1" x14ac:dyDescent="0.15"/>
    <row r="6853" customFormat="1" ht="21.95" customHeight="1" x14ac:dyDescent="0.15"/>
    <row r="6854" customFormat="1" ht="21.95" customHeight="1" x14ac:dyDescent="0.15"/>
    <row r="6855" customFormat="1" ht="21.95" customHeight="1" x14ac:dyDescent="0.15"/>
    <row r="6856" customFormat="1" ht="21.95" customHeight="1" x14ac:dyDescent="0.15"/>
    <row r="6857" customFormat="1" ht="21.95" customHeight="1" x14ac:dyDescent="0.15"/>
    <row r="6858" customFormat="1" ht="21.95" customHeight="1" x14ac:dyDescent="0.15"/>
    <row r="6859" customFormat="1" ht="32.1" customHeight="1" x14ac:dyDescent="0.15"/>
    <row r="6860" customFormat="1" ht="32.1" customHeight="1" x14ac:dyDescent="0.15"/>
    <row r="6861" customFormat="1" ht="32.1" customHeight="1" x14ac:dyDescent="0.15"/>
    <row r="6862" customFormat="1" ht="32.1" customHeight="1" x14ac:dyDescent="0.15"/>
    <row r="6863" customFormat="1" ht="32.1" customHeight="1" x14ac:dyDescent="0.15"/>
    <row r="6864" customFormat="1" ht="32.1" customHeight="1" x14ac:dyDescent="0.15"/>
    <row r="6865" s="76" customFormat="1" ht="32.1" customHeight="1" x14ac:dyDescent="0.15"/>
    <row r="6866" s="76" customFormat="1" ht="32.1" customHeight="1" x14ac:dyDescent="0.15"/>
    <row r="6867" s="76" customFormat="1" ht="32.1" customHeight="1" x14ac:dyDescent="0.15"/>
    <row r="6868" s="76" customFormat="1" ht="32.1" customHeight="1" x14ac:dyDescent="0.15"/>
    <row r="6869" s="76" customFormat="1" ht="21.95" customHeight="1" x14ac:dyDescent="0.15"/>
    <row r="6870" s="76" customFormat="1" ht="54" customHeight="1" x14ac:dyDescent="0.15"/>
    <row r="6871" s="76" customFormat="1" ht="21.95" customHeight="1" x14ac:dyDescent="0.15"/>
    <row r="6872" s="76" customFormat="1" ht="21.95" customHeight="1" x14ac:dyDescent="0.15"/>
    <row r="6873" s="76" customFormat="1" ht="21.95" customHeight="1" x14ac:dyDescent="0.15"/>
    <row r="6874" s="76" customFormat="1" ht="21.95" customHeight="1" x14ac:dyDescent="0.15"/>
    <row r="6875" s="76" customFormat="1" ht="21.95" customHeight="1" x14ac:dyDescent="0.15"/>
    <row r="6876" s="76" customFormat="1" ht="21.95" customHeight="1" x14ac:dyDescent="0.15"/>
    <row r="6877" s="76" customFormat="1" ht="21.95" customHeight="1" x14ac:dyDescent="0.15"/>
    <row r="6878" s="76" customFormat="1" ht="21.95" customHeight="1" x14ac:dyDescent="0.15"/>
    <row r="6879" s="76" customFormat="1" ht="21.95" customHeight="1" x14ac:dyDescent="0.15"/>
    <row r="6880" s="76" customFormat="1" ht="21.95" customHeight="1" x14ac:dyDescent="0.15"/>
    <row r="6881" s="76" customFormat="1" ht="21.95" customHeight="1" x14ac:dyDescent="0.15"/>
    <row r="6882" s="76" customFormat="1" ht="21.95" customHeight="1" x14ac:dyDescent="0.15"/>
    <row r="6883" s="76" customFormat="1" ht="21.95" customHeight="1" x14ac:dyDescent="0.15"/>
    <row r="6884" s="76" customFormat="1" ht="21.95" customHeight="1" x14ac:dyDescent="0.15"/>
    <row r="6885" s="76" customFormat="1" ht="21.95" customHeight="1" x14ac:dyDescent="0.15"/>
    <row r="6886" s="76" customFormat="1" ht="21.95" customHeight="1" x14ac:dyDescent="0.15"/>
    <row r="6887" s="76" customFormat="1" ht="21.95" customHeight="1" x14ac:dyDescent="0.15"/>
    <row r="6888" s="76" customFormat="1" ht="21.95" customHeight="1" x14ac:dyDescent="0.15"/>
    <row r="6889" s="76" customFormat="1" ht="21.95" customHeight="1" x14ac:dyDescent="0.15"/>
    <row r="6890" s="76" customFormat="1" ht="21.95" customHeight="1" x14ac:dyDescent="0.15"/>
    <row r="6891" s="76" customFormat="1" ht="21.95" customHeight="1" x14ac:dyDescent="0.15"/>
    <row r="6892" s="76" customFormat="1" ht="21.95" customHeight="1" x14ac:dyDescent="0.15"/>
    <row r="6893" s="76" customFormat="1" ht="21.95" customHeight="1" x14ac:dyDescent="0.15"/>
    <row r="6894" s="76" customFormat="1" ht="21.95" customHeight="1" x14ac:dyDescent="0.15"/>
    <row r="6895" s="76" customFormat="1" ht="21.95" customHeight="1" x14ac:dyDescent="0.15"/>
    <row r="6896" s="76" customFormat="1" ht="21.95" customHeight="1" x14ac:dyDescent="0.15"/>
    <row r="6897" s="76" customFormat="1" ht="21.95" customHeight="1" x14ac:dyDescent="0.15"/>
    <row r="6898" s="76" customFormat="1" ht="21.95" customHeight="1" x14ac:dyDescent="0.15"/>
    <row r="6899" s="76" customFormat="1" ht="21.95" customHeight="1" x14ac:dyDescent="0.15"/>
    <row r="6900" s="76" customFormat="1" ht="21.95" customHeight="1" x14ac:dyDescent="0.15"/>
    <row r="6901" s="76" customFormat="1" ht="21.95" customHeight="1" x14ac:dyDescent="0.15"/>
    <row r="6902" s="76" customFormat="1" ht="21.95" customHeight="1" x14ac:dyDescent="0.15"/>
    <row r="6903" s="76" customFormat="1" ht="21.95" customHeight="1" x14ac:dyDescent="0.15"/>
    <row r="6904" s="76" customFormat="1" ht="21.95" customHeight="1" x14ac:dyDescent="0.15"/>
    <row r="6905" s="76" customFormat="1" ht="21.95" customHeight="1" x14ac:dyDescent="0.15"/>
    <row r="6906" s="76" customFormat="1" ht="21.95" customHeight="1" x14ac:dyDescent="0.15"/>
    <row r="6907" s="76" customFormat="1" ht="21.95" customHeight="1" x14ac:dyDescent="0.15"/>
    <row r="6908" s="76" customFormat="1" ht="21.95" customHeight="1" x14ac:dyDescent="0.15"/>
    <row r="6909" s="76" customFormat="1" ht="21.95" customHeight="1" x14ac:dyDescent="0.15"/>
    <row r="6910" s="76" customFormat="1" ht="21.95" customHeight="1" x14ac:dyDescent="0.15"/>
    <row r="6911" s="76" customFormat="1" ht="21.95" customHeight="1" x14ac:dyDescent="0.15"/>
    <row r="6912" s="76" customFormat="1" ht="21.95" customHeight="1" x14ac:dyDescent="0.15"/>
    <row r="6913" s="76" customFormat="1" ht="21.95" customHeight="1" x14ac:dyDescent="0.15"/>
    <row r="6914" s="76" customFormat="1" ht="21.95" customHeight="1" x14ac:dyDescent="0.15"/>
    <row r="6915" s="76" customFormat="1" ht="21.95" customHeight="1" x14ac:dyDescent="0.15"/>
    <row r="6916" s="76" customFormat="1" ht="21.95" customHeight="1" x14ac:dyDescent="0.15"/>
    <row r="6917" s="76" customFormat="1" ht="21.95" customHeight="1" x14ac:dyDescent="0.15"/>
    <row r="6918" s="76" customFormat="1" ht="21.95" customHeight="1" x14ac:dyDescent="0.15"/>
    <row r="6919" s="76" customFormat="1" ht="21.95" customHeight="1" x14ac:dyDescent="0.15"/>
    <row r="6920" s="76" customFormat="1" ht="21.95" customHeight="1" x14ac:dyDescent="0.15"/>
    <row r="6921" s="76" customFormat="1" ht="35.1" customHeight="1" x14ac:dyDescent="0.15"/>
    <row r="6922" s="76" customFormat="1" ht="21.95" customHeight="1" x14ac:dyDescent="0.15"/>
    <row r="6923" s="76" customFormat="1" ht="21.95" customHeight="1" x14ac:dyDescent="0.15"/>
    <row r="6924" s="76" customFormat="1" ht="21.95" customHeight="1" x14ac:dyDescent="0.15"/>
    <row r="6925" s="76" customFormat="1" ht="21.95" customHeight="1" x14ac:dyDescent="0.15"/>
    <row r="6926" s="76" customFormat="1" ht="21.95" customHeight="1" x14ac:dyDescent="0.15"/>
    <row r="6927" s="76" customFormat="1" ht="21.95" customHeight="1" x14ac:dyDescent="0.15"/>
    <row r="6928" s="76" customFormat="1" ht="21.95" customHeight="1" x14ac:dyDescent="0.15"/>
    <row r="6929" s="76" customFormat="1" ht="21.95" customHeight="1" x14ac:dyDescent="0.15"/>
    <row r="6930" s="76" customFormat="1" ht="21.95" customHeight="1" x14ac:dyDescent="0.15"/>
    <row r="6931" s="76" customFormat="1" ht="21.95" customHeight="1" x14ac:dyDescent="0.15"/>
    <row r="6932" s="76" customFormat="1" ht="21.95" customHeight="1" x14ac:dyDescent="0.15"/>
    <row r="6933" s="76" customFormat="1" ht="21.95" customHeight="1" x14ac:dyDescent="0.15"/>
    <row r="6934" s="76" customFormat="1" ht="21.95" customHeight="1" x14ac:dyDescent="0.15"/>
    <row r="6935" s="76" customFormat="1" ht="21.95" customHeight="1" x14ac:dyDescent="0.15"/>
    <row r="6936" s="76" customFormat="1" ht="21.95" customHeight="1" x14ac:dyDescent="0.15"/>
    <row r="6937" s="76" customFormat="1" ht="21.95" customHeight="1" x14ac:dyDescent="0.15"/>
    <row r="6938" s="76" customFormat="1" ht="21.95" customHeight="1" x14ac:dyDescent="0.15"/>
    <row r="6939" s="76" customFormat="1" ht="21.95" customHeight="1" x14ac:dyDescent="0.15"/>
    <row r="6940" s="76" customFormat="1" ht="21.95" customHeight="1" x14ac:dyDescent="0.15"/>
    <row r="6941" s="76" customFormat="1" ht="21.95" customHeight="1" x14ac:dyDescent="0.15"/>
    <row r="6942" s="76" customFormat="1" ht="21.95" customHeight="1" x14ac:dyDescent="0.15"/>
    <row r="6943" s="76" customFormat="1" ht="21.95" customHeight="1" x14ac:dyDescent="0.15"/>
    <row r="6944" s="76" customFormat="1" ht="21.95" customHeight="1" x14ac:dyDescent="0.15"/>
    <row r="6945" spans="3:3" customFormat="1" ht="21.95" customHeight="1" x14ac:dyDescent="0.15"/>
    <row r="6946" spans="3:3" customFormat="1" ht="21.95" customHeight="1" x14ac:dyDescent="0.15"/>
    <row r="6947" spans="3:3" customFormat="1" ht="21.95" customHeight="1" x14ac:dyDescent="0.15">
      <c r="C6947" s="94"/>
    </row>
    <row r="6948" spans="3:3" customFormat="1" ht="21.95" customHeight="1" x14ac:dyDescent="0.15">
      <c r="C6948" s="94"/>
    </row>
    <row r="6949" spans="3:3" customFormat="1" ht="21.95" customHeight="1" x14ac:dyDescent="0.15"/>
    <row r="6950" spans="3:3" customFormat="1" ht="21.95" customHeight="1" x14ac:dyDescent="0.15"/>
    <row r="6951" spans="3:3" customFormat="1" ht="21.95" customHeight="1" x14ac:dyDescent="0.15"/>
    <row r="6952" spans="3:3" customFormat="1" ht="21.95" customHeight="1" x14ac:dyDescent="0.15"/>
    <row r="6953" spans="3:3" customFormat="1" ht="21.95" customHeight="1" x14ac:dyDescent="0.15"/>
    <row r="6954" spans="3:3" customFormat="1" ht="21.95" customHeight="1" x14ac:dyDescent="0.15"/>
    <row r="6955" spans="3:3" customFormat="1" ht="21.95" customHeight="1" x14ac:dyDescent="0.15"/>
    <row r="6956" spans="3:3" s="76" customFormat="1" ht="21.95" customHeight="1" x14ac:dyDescent="0.15"/>
    <row r="6957" spans="3:3" s="76" customFormat="1" ht="21.95" customHeight="1" x14ac:dyDescent="0.15"/>
    <row r="6958" spans="3:3" s="76" customFormat="1" ht="21.95" customHeight="1" x14ac:dyDescent="0.15"/>
    <row r="6959" spans="3:3" s="76" customFormat="1" ht="21.95" customHeight="1" x14ac:dyDescent="0.15"/>
    <row r="6960" spans="3:3" customFormat="1" ht="21.95" customHeight="1" x14ac:dyDescent="0.15"/>
    <row r="6961" customFormat="1" ht="21.95" customHeight="1" x14ac:dyDescent="0.15"/>
    <row r="6962" customFormat="1" ht="21.95" customHeight="1" x14ac:dyDescent="0.15"/>
    <row r="6963" customFormat="1" ht="21.95" customHeight="1" x14ac:dyDescent="0.15"/>
    <row r="6964" customFormat="1" ht="21.95" customHeight="1" x14ac:dyDescent="0.15"/>
    <row r="6965" customFormat="1" ht="21.95" customHeight="1" x14ac:dyDescent="0.15"/>
    <row r="6966" customFormat="1" ht="21.95" customHeight="1" x14ac:dyDescent="0.15"/>
    <row r="6967" customFormat="1" ht="21.95" customHeight="1" x14ac:dyDescent="0.15"/>
    <row r="6968" customFormat="1" ht="21.95" customHeight="1" x14ac:dyDescent="0.15"/>
    <row r="6969" customFormat="1" ht="21.95" customHeight="1" x14ac:dyDescent="0.15"/>
    <row r="6970" customFormat="1" ht="21.95" customHeight="1" x14ac:dyDescent="0.15"/>
    <row r="6971" customFormat="1" ht="32.1" customHeight="1" x14ac:dyDescent="0.15"/>
    <row r="6972" customFormat="1" ht="32.1" customHeight="1" x14ac:dyDescent="0.15"/>
    <row r="6973" customFormat="1" ht="32.1" customHeight="1" x14ac:dyDescent="0.15"/>
    <row r="6974" customFormat="1" ht="32.1" customHeight="1" x14ac:dyDescent="0.15"/>
    <row r="6975" customFormat="1" ht="32.1" customHeight="1" x14ac:dyDescent="0.15"/>
    <row r="6976" customFormat="1" ht="32.1" customHeight="1" x14ac:dyDescent="0.15"/>
    <row r="6977" s="76" customFormat="1" ht="32.1" customHeight="1" x14ac:dyDescent="0.15"/>
    <row r="6978" s="76" customFormat="1" ht="32.1" customHeight="1" x14ac:dyDescent="0.15"/>
    <row r="6979" s="76" customFormat="1" ht="32.1" customHeight="1" x14ac:dyDescent="0.15"/>
    <row r="6980" s="76" customFormat="1" ht="32.1" customHeight="1" x14ac:dyDescent="0.15"/>
    <row r="6981" s="76" customFormat="1" ht="21.95" customHeight="1" x14ac:dyDescent="0.15"/>
    <row r="6982" s="76" customFormat="1" ht="54" customHeight="1" x14ac:dyDescent="0.15"/>
    <row r="6983" s="76" customFormat="1" ht="21.95" customHeight="1" x14ac:dyDescent="0.15"/>
    <row r="6984" s="76" customFormat="1" ht="21.95" customHeight="1" x14ac:dyDescent="0.15"/>
    <row r="6985" s="76" customFormat="1" ht="21.95" customHeight="1" x14ac:dyDescent="0.15"/>
    <row r="6986" s="76" customFormat="1" ht="21.95" customHeight="1" x14ac:dyDescent="0.15"/>
    <row r="6987" s="76" customFormat="1" ht="21.95" customHeight="1" x14ac:dyDescent="0.15"/>
    <row r="6988" s="76" customFormat="1" ht="21.95" customHeight="1" x14ac:dyDescent="0.15"/>
    <row r="6989" s="76" customFormat="1" ht="21.95" customHeight="1" x14ac:dyDescent="0.15"/>
    <row r="6990" s="76" customFormat="1" ht="21.95" customHeight="1" x14ac:dyDescent="0.15"/>
    <row r="6991" s="76" customFormat="1" ht="21.95" customHeight="1" x14ac:dyDescent="0.15"/>
    <row r="6992" s="76" customFormat="1" ht="21.95" customHeight="1" x14ac:dyDescent="0.15"/>
    <row r="6993" s="76" customFormat="1" ht="21.95" customHeight="1" x14ac:dyDescent="0.15"/>
    <row r="6994" s="76" customFormat="1" ht="21.95" customHeight="1" x14ac:dyDescent="0.15"/>
    <row r="6995" s="76" customFormat="1" ht="21.95" customHeight="1" x14ac:dyDescent="0.15"/>
    <row r="6996" s="76" customFormat="1" ht="21.95" customHeight="1" x14ac:dyDescent="0.15"/>
    <row r="6997" s="76" customFormat="1" ht="21.95" customHeight="1" x14ac:dyDescent="0.15"/>
    <row r="6998" s="76" customFormat="1" ht="21.95" customHeight="1" x14ac:dyDescent="0.15"/>
    <row r="6999" s="76" customFormat="1" ht="21.95" customHeight="1" x14ac:dyDescent="0.15"/>
    <row r="7000" s="76" customFormat="1" ht="21.95" customHeight="1" x14ac:dyDescent="0.15"/>
    <row r="7001" s="76" customFormat="1" ht="21.95" customHeight="1" x14ac:dyDescent="0.15"/>
    <row r="7002" s="76" customFormat="1" ht="21.95" customHeight="1" x14ac:dyDescent="0.15"/>
    <row r="7003" s="76" customFormat="1" ht="21.95" customHeight="1" x14ac:dyDescent="0.15"/>
    <row r="7004" s="76" customFormat="1" ht="21.95" customHeight="1" x14ac:dyDescent="0.15"/>
    <row r="7005" s="76" customFormat="1" ht="21.95" customHeight="1" x14ac:dyDescent="0.15"/>
    <row r="7006" s="76" customFormat="1" ht="21.95" customHeight="1" x14ac:dyDescent="0.15"/>
    <row r="7007" s="76" customFormat="1" ht="21.95" customHeight="1" x14ac:dyDescent="0.15"/>
    <row r="7008" s="76" customFormat="1" ht="21.95" customHeight="1" x14ac:dyDescent="0.15"/>
    <row r="7009" s="76" customFormat="1" ht="21.95" customHeight="1" x14ac:dyDescent="0.15"/>
    <row r="7010" s="76" customFormat="1" ht="21.95" customHeight="1" x14ac:dyDescent="0.15"/>
    <row r="7011" s="76" customFormat="1" ht="21.95" customHeight="1" x14ac:dyDescent="0.15"/>
    <row r="7012" s="76" customFormat="1" ht="21.95" customHeight="1" x14ac:dyDescent="0.15"/>
    <row r="7013" s="76" customFormat="1" ht="21.95" customHeight="1" x14ac:dyDescent="0.15"/>
    <row r="7014" s="76" customFormat="1" ht="21.95" customHeight="1" x14ac:dyDescent="0.15"/>
    <row r="7015" s="76" customFormat="1" ht="21.95" customHeight="1" x14ac:dyDescent="0.15"/>
    <row r="7016" s="76" customFormat="1" ht="21.95" customHeight="1" x14ac:dyDescent="0.15"/>
    <row r="7017" s="76" customFormat="1" ht="21.95" customHeight="1" x14ac:dyDescent="0.15"/>
    <row r="7018" s="76" customFormat="1" ht="21.95" customHeight="1" x14ac:dyDescent="0.15"/>
    <row r="7019" s="76" customFormat="1" ht="21.95" customHeight="1" x14ac:dyDescent="0.15"/>
    <row r="7020" s="76" customFormat="1" ht="21.95" customHeight="1" x14ac:dyDescent="0.15"/>
    <row r="7021" s="76" customFormat="1" ht="21.95" customHeight="1" x14ac:dyDescent="0.15"/>
    <row r="7022" s="76" customFormat="1" ht="21.95" customHeight="1" x14ac:dyDescent="0.15"/>
    <row r="7023" s="76" customFormat="1" ht="21.95" customHeight="1" x14ac:dyDescent="0.15"/>
    <row r="7024" s="76" customFormat="1" ht="21.95" customHeight="1" x14ac:dyDescent="0.15"/>
    <row r="7025" s="76" customFormat="1" ht="21.95" customHeight="1" x14ac:dyDescent="0.15"/>
    <row r="7026" s="76" customFormat="1" ht="21.95" customHeight="1" x14ac:dyDescent="0.15"/>
    <row r="7027" s="76" customFormat="1" ht="21.95" customHeight="1" x14ac:dyDescent="0.15"/>
    <row r="7028" s="76" customFormat="1" ht="21.95" customHeight="1" x14ac:dyDescent="0.15"/>
    <row r="7029" s="76" customFormat="1" ht="21.95" customHeight="1" x14ac:dyDescent="0.15"/>
    <row r="7030" s="76" customFormat="1" ht="21.95" customHeight="1" x14ac:dyDescent="0.15"/>
    <row r="7031" s="76" customFormat="1" ht="21.95" customHeight="1" x14ac:dyDescent="0.15"/>
    <row r="7032" s="76" customFormat="1" ht="21.95" customHeight="1" x14ac:dyDescent="0.15"/>
    <row r="7033" s="76" customFormat="1" ht="35.1" customHeight="1" x14ac:dyDescent="0.15"/>
    <row r="7034" s="76" customFormat="1" ht="21.95" customHeight="1" x14ac:dyDescent="0.15"/>
    <row r="7035" s="76" customFormat="1" ht="21.95" customHeight="1" x14ac:dyDescent="0.15"/>
    <row r="7036" s="76" customFormat="1" ht="21.95" customHeight="1" x14ac:dyDescent="0.15"/>
    <row r="7037" s="76" customFormat="1" ht="21.95" customHeight="1" x14ac:dyDescent="0.15"/>
    <row r="7038" s="76" customFormat="1" ht="21.95" customHeight="1" x14ac:dyDescent="0.15"/>
    <row r="7039" s="76" customFormat="1" ht="21.95" customHeight="1" x14ac:dyDescent="0.15"/>
    <row r="7040" s="76" customFormat="1" ht="21.95" customHeight="1" x14ac:dyDescent="0.15"/>
    <row r="7041" s="76" customFormat="1" ht="21.95" customHeight="1" x14ac:dyDescent="0.15"/>
    <row r="7042" s="76" customFormat="1" ht="21.95" customHeight="1" x14ac:dyDescent="0.15"/>
    <row r="7043" s="76" customFormat="1" ht="21.95" customHeight="1" x14ac:dyDescent="0.15"/>
    <row r="7044" s="76" customFormat="1" ht="21.95" customHeight="1" x14ac:dyDescent="0.15"/>
    <row r="7045" s="76" customFormat="1" ht="21.95" customHeight="1" x14ac:dyDescent="0.15"/>
    <row r="7046" s="76" customFormat="1" ht="21.95" customHeight="1" x14ac:dyDescent="0.15"/>
    <row r="7047" s="76" customFormat="1" ht="21.95" customHeight="1" x14ac:dyDescent="0.15"/>
    <row r="7048" s="76" customFormat="1" ht="21.95" customHeight="1" x14ac:dyDescent="0.15"/>
    <row r="7049" s="76" customFormat="1" ht="21.95" customHeight="1" x14ac:dyDescent="0.15"/>
    <row r="7050" s="76" customFormat="1" ht="21.95" customHeight="1" x14ac:dyDescent="0.15"/>
    <row r="7051" s="76" customFormat="1" ht="21.95" customHeight="1" x14ac:dyDescent="0.15"/>
    <row r="7052" s="76" customFormat="1" ht="21.95" customHeight="1" x14ac:dyDescent="0.15"/>
    <row r="7053" s="76" customFormat="1" ht="21.95" customHeight="1" x14ac:dyDescent="0.15"/>
    <row r="7054" s="76" customFormat="1" ht="21.95" customHeight="1" x14ac:dyDescent="0.15"/>
    <row r="7055" s="76" customFormat="1" ht="21.95" customHeight="1" x14ac:dyDescent="0.15"/>
    <row r="7056" s="76" customFormat="1" ht="21.95" customHeight="1" x14ac:dyDescent="0.15"/>
    <row r="7057" spans="3:3" customFormat="1" ht="21.95" customHeight="1" x14ac:dyDescent="0.15"/>
    <row r="7058" spans="3:3" customFormat="1" ht="21.95" customHeight="1" x14ac:dyDescent="0.15"/>
    <row r="7059" spans="3:3" customFormat="1" ht="21.95" customHeight="1" x14ac:dyDescent="0.15">
      <c r="C7059" s="94"/>
    </row>
    <row r="7060" spans="3:3" customFormat="1" ht="21.95" customHeight="1" x14ac:dyDescent="0.15">
      <c r="C7060" s="94"/>
    </row>
    <row r="7061" spans="3:3" customFormat="1" ht="21.95" customHeight="1" x14ac:dyDescent="0.15"/>
    <row r="7062" spans="3:3" customFormat="1" ht="21.95" customHeight="1" x14ac:dyDescent="0.15"/>
    <row r="7063" spans="3:3" customFormat="1" ht="21.95" customHeight="1" x14ac:dyDescent="0.15"/>
    <row r="7064" spans="3:3" customFormat="1" ht="21.95" customHeight="1" x14ac:dyDescent="0.15"/>
    <row r="7065" spans="3:3" customFormat="1" ht="21.95" customHeight="1" x14ac:dyDescent="0.15"/>
    <row r="7066" spans="3:3" customFormat="1" ht="21.95" customHeight="1" x14ac:dyDescent="0.15"/>
    <row r="7067" spans="3:3" customFormat="1" ht="21.95" customHeight="1" x14ac:dyDescent="0.15"/>
    <row r="7068" spans="3:3" s="76" customFormat="1" ht="21.95" customHeight="1" x14ac:dyDescent="0.15"/>
    <row r="7069" spans="3:3" s="76" customFormat="1" ht="21.95" customHeight="1" x14ac:dyDescent="0.15"/>
    <row r="7070" spans="3:3" s="76" customFormat="1" ht="21.95" customHeight="1" x14ac:dyDescent="0.15"/>
    <row r="7071" spans="3:3" s="76" customFormat="1" ht="21.95" customHeight="1" x14ac:dyDescent="0.15"/>
    <row r="7072" spans="3:3" customFormat="1" ht="21.95" customHeight="1" x14ac:dyDescent="0.15"/>
    <row r="7073" customFormat="1" ht="21.95" customHeight="1" x14ac:dyDescent="0.15"/>
    <row r="7074" customFormat="1" ht="21.95" customHeight="1" x14ac:dyDescent="0.15"/>
    <row r="7075" customFormat="1" ht="21.95" customHeight="1" x14ac:dyDescent="0.15"/>
    <row r="7076" customFormat="1" ht="21.95" customHeight="1" x14ac:dyDescent="0.15"/>
    <row r="7077" customFormat="1" ht="21.95" customHeight="1" x14ac:dyDescent="0.15"/>
    <row r="7078" customFormat="1" ht="21.95" customHeight="1" x14ac:dyDescent="0.15"/>
    <row r="7079" customFormat="1" ht="21.95" customHeight="1" x14ac:dyDescent="0.15"/>
    <row r="7080" customFormat="1" ht="21.95" customHeight="1" x14ac:dyDescent="0.15"/>
    <row r="7081" customFormat="1" ht="21.95" customHeight="1" x14ac:dyDescent="0.15"/>
    <row r="7082" customFormat="1" ht="21.95" customHeight="1" x14ac:dyDescent="0.15"/>
    <row r="7083" customFormat="1" ht="32.1" customHeight="1" x14ac:dyDescent="0.15"/>
    <row r="7084" customFormat="1" ht="32.1" customHeight="1" x14ac:dyDescent="0.15"/>
    <row r="7085" customFormat="1" ht="32.1" customHeight="1" x14ac:dyDescent="0.15"/>
    <row r="7086" customFormat="1" ht="32.1" customHeight="1" x14ac:dyDescent="0.15"/>
    <row r="7087" customFormat="1" ht="32.1" customHeight="1" x14ac:dyDescent="0.15"/>
    <row r="7088" customFormat="1" ht="32.1" customHeight="1" x14ac:dyDescent="0.15"/>
    <row r="7089" s="76" customFormat="1" ht="32.1" customHeight="1" x14ac:dyDescent="0.15"/>
    <row r="7090" s="76" customFormat="1" ht="32.1" customHeight="1" x14ac:dyDescent="0.15"/>
    <row r="7091" s="76" customFormat="1" ht="32.1" customHeight="1" x14ac:dyDescent="0.15"/>
    <row r="7092" s="76" customFormat="1" ht="32.1" customHeight="1" x14ac:dyDescent="0.15"/>
    <row r="7093" s="76" customFormat="1" ht="21.95" customHeight="1" x14ac:dyDescent="0.15"/>
    <row r="7094" s="76" customFormat="1" ht="54" customHeight="1" x14ac:dyDescent="0.15"/>
    <row r="7095" s="76" customFormat="1" ht="21.95" customHeight="1" x14ac:dyDescent="0.15"/>
    <row r="7096" s="76" customFormat="1" ht="21.95" customHeight="1" x14ac:dyDescent="0.15"/>
    <row r="7097" s="76" customFormat="1" ht="21.95" customHeight="1" x14ac:dyDescent="0.15"/>
    <row r="7098" s="76" customFormat="1" ht="21.95" customHeight="1" x14ac:dyDescent="0.15"/>
    <row r="7099" s="76" customFormat="1" ht="21.95" customHeight="1" x14ac:dyDescent="0.15"/>
    <row r="7100" s="76" customFormat="1" ht="21.95" customHeight="1" x14ac:dyDescent="0.15"/>
    <row r="7101" s="76" customFormat="1" ht="21.95" customHeight="1" x14ac:dyDescent="0.15"/>
    <row r="7102" s="76" customFormat="1" ht="21.95" customHeight="1" x14ac:dyDescent="0.15"/>
    <row r="7103" s="76" customFormat="1" ht="21.95" customHeight="1" x14ac:dyDescent="0.15"/>
    <row r="7104" s="76" customFormat="1" ht="21.95" customHeight="1" x14ac:dyDescent="0.15"/>
    <row r="7105" s="76" customFormat="1" ht="21.95" customHeight="1" x14ac:dyDescent="0.15"/>
    <row r="7106" s="76" customFormat="1" ht="21.95" customHeight="1" x14ac:dyDescent="0.15"/>
    <row r="7107" s="76" customFormat="1" ht="21.95" customHeight="1" x14ac:dyDescent="0.15"/>
    <row r="7108" s="76" customFormat="1" ht="21.95" customHeight="1" x14ac:dyDescent="0.15"/>
    <row r="7109" s="76" customFormat="1" ht="21.95" customHeight="1" x14ac:dyDescent="0.15"/>
    <row r="7110" s="76" customFormat="1" ht="21.95" customHeight="1" x14ac:dyDescent="0.15"/>
    <row r="7111" s="76" customFormat="1" ht="21.95" customHeight="1" x14ac:dyDescent="0.15"/>
    <row r="7112" s="76" customFormat="1" ht="21.95" customHeight="1" x14ac:dyDescent="0.15"/>
    <row r="7113" s="76" customFormat="1" ht="21.95" customHeight="1" x14ac:dyDescent="0.15"/>
    <row r="7114" s="76" customFormat="1" ht="21.95" customHeight="1" x14ac:dyDescent="0.15"/>
    <row r="7115" s="76" customFormat="1" ht="21.95" customHeight="1" x14ac:dyDescent="0.15"/>
    <row r="7116" s="76" customFormat="1" ht="21.95" customHeight="1" x14ac:dyDescent="0.15"/>
    <row r="7117" s="76" customFormat="1" ht="21.95" customHeight="1" x14ac:dyDescent="0.15"/>
    <row r="7118" s="76" customFormat="1" ht="21.95" customHeight="1" x14ac:dyDescent="0.15"/>
    <row r="7119" s="76" customFormat="1" ht="21.95" customHeight="1" x14ac:dyDescent="0.15"/>
    <row r="7120" s="76" customFormat="1" ht="21.95" customHeight="1" x14ac:dyDescent="0.15"/>
    <row r="7121" s="76" customFormat="1" ht="21.95" customHeight="1" x14ac:dyDescent="0.15"/>
    <row r="7122" s="76" customFormat="1" ht="21.95" customHeight="1" x14ac:dyDescent="0.15"/>
    <row r="7123" s="76" customFormat="1" ht="21.95" customHeight="1" x14ac:dyDescent="0.15"/>
    <row r="7124" s="76" customFormat="1" ht="21.95" customHeight="1" x14ac:dyDescent="0.15"/>
    <row r="7125" s="76" customFormat="1" ht="21.95" customHeight="1" x14ac:dyDescent="0.15"/>
    <row r="7126" s="76" customFormat="1" ht="21.95" customHeight="1" x14ac:dyDescent="0.15"/>
    <row r="7127" s="76" customFormat="1" ht="21.95" customHeight="1" x14ac:dyDescent="0.15"/>
    <row r="7128" s="76" customFormat="1" ht="21.95" customHeight="1" x14ac:dyDescent="0.15"/>
    <row r="7129" s="76" customFormat="1" ht="21.95" customHeight="1" x14ac:dyDescent="0.15"/>
    <row r="7130" s="76" customFormat="1" ht="21.95" customHeight="1" x14ac:dyDescent="0.15"/>
    <row r="7131" s="76" customFormat="1" ht="21.95" customHeight="1" x14ac:dyDescent="0.15"/>
    <row r="7132" s="76" customFormat="1" ht="21.95" customHeight="1" x14ac:dyDescent="0.15"/>
    <row r="7133" s="76" customFormat="1" ht="21.95" customHeight="1" x14ac:dyDescent="0.15"/>
    <row r="7134" s="76" customFormat="1" ht="21.95" customHeight="1" x14ac:dyDescent="0.15"/>
    <row r="7135" s="76" customFormat="1" ht="21.95" customHeight="1" x14ac:dyDescent="0.15"/>
    <row r="7136" s="76" customFormat="1" ht="21.95" customHeight="1" x14ac:dyDescent="0.15"/>
    <row r="7137" s="76" customFormat="1" ht="21.95" customHeight="1" x14ac:dyDescent="0.15"/>
    <row r="7138" s="76" customFormat="1" ht="21.95" customHeight="1" x14ac:dyDescent="0.15"/>
    <row r="7139" s="76" customFormat="1" ht="21.95" customHeight="1" x14ac:dyDescent="0.15"/>
    <row r="7140" s="76" customFormat="1" ht="21.95" customHeight="1" x14ac:dyDescent="0.15"/>
    <row r="7141" s="76" customFormat="1" ht="21.95" customHeight="1" x14ac:dyDescent="0.15"/>
    <row r="7142" s="76" customFormat="1" ht="21.95" customHeight="1" x14ac:dyDescent="0.15"/>
    <row r="7143" s="76" customFormat="1" ht="21.95" customHeight="1" x14ac:dyDescent="0.15"/>
    <row r="7144" s="76" customFormat="1" ht="21.95" customHeight="1" x14ac:dyDescent="0.15"/>
    <row r="7145" s="76" customFormat="1" ht="35.1" customHeight="1" x14ac:dyDescent="0.15"/>
    <row r="7146" s="76" customFormat="1" ht="21.95" customHeight="1" x14ac:dyDescent="0.15"/>
    <row r="7147" s="76" customFormat="1" ht="21.95" customHeight="1" x14ac:dyDescent="0.15"/>
    <row r="7148" s="76" customFormat="1" ht="21.95" customHeight="1" x14ac:dyDescent="0.15"/>
    <row r="7149" s="76" customFormat="1" ht="21.95" customHeight="1" x14ac:dyDescent="0.15"/>
    <row r="7150" s="76" customFormat="1" ht="21.95" customHeight="1" x14ac:dyDescent="0.15"/>
    <row r="7151" s="76" customFormat="1" ht="21.95" customHeight="1" x14ac:dyDescent="0.15"/>
    <row r="7152" s="76" customFormat="1" ht="21.95" customHeight="1" x14ac:dyDescent="0.15"/>
    <row r="7153" s="76" customFormat="1" ht="21.95" customHeight="1" x14ac:dyDescent="0.15"/>
    <row r="7154" s="76" customFormat="1" ht="21.95" customHeight="1" x14ac:dyDescent="0.15"/>
    <row r="7155" s="76" customFormat="1" ht="21.95" customHeight="1" x14ac:dyDescent="0.15"/>
    <row r="7156" s="76" customFormat="1" ht="21.95" customHeight="1" x14ac:dyDescent="0.15"/>
    <row r="7157" s="76" customFormat="1" ht="21.95" customHeight="1" x14ac:dyDescent="0.15"/>
    <row r="7158" s="76" customFormat="1" ht="21.95" customHeight="1" x14ac:dyDescent="0.15"/>
    <row r="7159" s="76" customFormat="1" ht="21.95" customHeight="1" x14ac:dyDescent="0.15"/>
    <row r="7160" s="76" customFormat="1" ht="21.95" customHeight="1" x14ac:dyDescent="0.15"/>
    <row r="7161" s="76" customFormat="1" ht="21.95" customHeight="1" x14ac:dyDescent="0.15"/>
    <row r="7162" s="76" customFormat="1" ht="21.95" customHeight="1" x14ac:dyDescent="0.15"/>
    <row r="7163" s="76" customFormat="1" ht="21.95" customHeight="1" x14ac:dyDescent="0.15"/>
    <row r="7164" s="76" customFormat="1" ht="21.95" customHeight="1" x14ac:dyDescent="0.15"/>
    <row r="7165" s="76" customFormat="1" ht="21.95" customHeight="1" x14ac:dyDescent="0.15"/>
    <row r="7166" s="76" customFormat="1" ht="21.95" customHeight="1" x14ac:dyDescent="0.15"/>
    <row r="7167" s="76" customFormat="1" ht="21.95" customHeight="1" x14ac:dyDescent="0.15"/>
    <row r="7168" s="76" customFormat="1" ht="21.95" customHeight="1" x14ac:dyDescent="0.15"/>
    <row r="7169" spans="3:3" customFormat="1" ht="21.95" customHeight="1" x14ac:dyDescent="0.15"/>
    <row r="7170" spans="3:3" customFormat="1" ht="21.95" customHeight="1" x14ac:dyDescent="0.15"/>
    <row r="7171" spans="3:3" customFormat="1" ht="21.95" customHeight="1" x14ac:dyDescent="0.15">
      <c r="C7171" s="94"/>
    </row>
    <row r="7172" spans="3:3" customFormat="1" ht="21.95" customHeight="1" x14ac:dyDescent="0.15">
      <c r="C7172" s="94"/>
    </row>
    <row r="7173" spans="3:3" customFormat="1" ht="21.95" customHeight="1" x14ac:dyDescent="0.15"/>
    <row r="7174" spans="3:3" customFormat="1" ht="21.95" customHeight="1" x14ac:dyDescent="0.15"/>
    <row r="7175" spans="3:3" customFormat="1" ht="21.95" customHeight="1" x14ac:dyDescent="0.15"/>
    <row r="7176" spans="3:3" customFormat="1" ht="21.95" customHeight="1" x14ac:dyDescent="0.15"/>
    <row r="7177" spans="3:3" customFormat="1" ht="21.95" customHeight="1" x14ac:dyDescent="0.15"/>
    <row r="7178" spans="3:3" customFormat="1" ht="21.95" customHeight="1" x14ac:dyDescent="0.15"/>
    <row r="7179" spans="3:3" customFormat="1" ht="21.95" customHeight="1" x14ac:dyDescent="0.15"/>
    <row r="7180" spans="3:3" s="76" customFormat="1" ht="21.95" customHeight="1" x14ac:dyDescent="0.15"/>
    <row r="7181" spans="3:3" s="76" customFormat="1" ht="21.95" customHeight="1" x14ac:dyDescent="0.15"/>
    <row r="7182" spans="3:3" s="76" customFormat="1" ht="21.95" customHeight="1" x14ac:dyDescent="0.15"/>
    <row r="7183" spans="3:3" s="76" customFormat="1" ht="21.95" customHeight="1" x14ac:dyDescent="0.15"/>
    <row r="7184" spans="3:3" customFormat="1" ht="21.95" customHeight="1" x14ac:dyDescent="0.15"/>
    <row r="7185" customFormat="1" ht="21.95" customHeight="1" x14ac:dyDescent="0.15"/>
    <row r="7186" customFormat="1" ht="21.95" customHeight="1" x14ac:dyDescent="0.15"/>
    <row r="7187" customFormat="1" ht="21.95" customHeight="1" x14ac:dyDescent="0.15"/>
    <row r="7188" customFormat="1" ht="21.95" customHeight="1" x14ac:dyDescent="0.15"/>
    <row r="7189" customFormat="1" ht="21.95" customHeight="1" x14ac:dyDescent="0.15"/>
    <row r="7190" customFormat="1" ht="21.95" customHeight="1" x14ac:dyDescent="0.15"/>
    <row r="7191" customFormat="1" ht="21.95" customHeight="1" x14ac:dyDescent="0.15"/>
    <row r="7192" customFormat="1" ht="21.95" customHeight="1" x14ac:dyDescent="0.15"/>
    <row r="7193" customFormat="1" ht="21.95" customHeight="1" x14ac:dyDescent="0.15"/>
    <row r="7194" customFormat="1" ht="21.95" customHeight="1" x14ac:dyDescent="0.15"/>
    <row r="7195" customFormat="1" ht="32.1" customHeight="1" x14ac:dyDescent="0.15"/>
    <row r="7196" customFormat="1" ht="32.1" customHeight="1" x14ac:dyDescent="0.15"/>
    <row r="7197" customFormat="1" ht="32.1" customHeight="1" x14ac:dyDescent="0.15"/>
    <row r="7198" customFormat="1" ht="32.1" customHeight="1" x14ac:dyDescent="0.15"/>
    <row r="7199" customFormat="1" ht="32.1" customHeight="1" x14ac:dyDescent="0.15"/>
    <row r="7200" customFormat="1" ht="32.1" customHeight="1" x14ac:dyDescent="0.15"/>
    <row r="7201" s="76" customFormat="1" ht="32.1" customHeight="1" x14ac:dyDescent="0.15"/>
    <row r="7202" s="76" customFormat="1" ht="32.1" customHeight="1" x14ac:dyDescent="0.15"/>
    <row r="7203" s="76" customFormat="1" ht="32.1" customHeight="1" x14ac:dyDescent="0.15"/>
    <row r="7204" s="76" customFormat="1" ht="32.1" customHeight="1" x14ac:dyDescent="0.15"/>
    <row r="7205" s="76" customFormat="1" ht="21.95" customHeight="1" x14ac:dyDescent="0.15"/>
    <row r="7206" s="76" customFormat="1" ht="54" customHeight="1" x14ac:dyDescent="0.15"/>
    <row r="7207" s="76" customFormat="1" ht="21.95" customHeight="1" x14ac:dyDescent="0.15"/>
    <row r="7208" s="76" customFormat="1" ht="21.95" customHeight="1" x14ac:dyDescent="0.15"/>
    <row r="7209" s="76" customFormat="1" ht="21.95" customHeight="1" x14ac:dyDescent="0.15"/>
    <row r="7210" s="76" customFormat="1" ht="21.95" customHeight="1" x14ac:dyDescent="0.15"/>
    <row r="7211" s="76" customFormat="1" ht="21.95" customHeight="1" x14ac:dyDescent="0.15"/>
    <row r="7212" s="76" customFormat="1" ht="21.95" customHeight="1" x14ac:dyDescent="0.15"/>
    <row r="7213" s="76" customFormat="1" ht="21.95" customHeight="1" x14ac:dyDescent="0.15"/>
    <row r="7214" s="76" customFormat="1" ht="21.95" customHeight="1" x14ac:dyDescent="0.15"/>
    <row r="7215" s="76" customFormat="1" ht="21.95" customHeight="1" x14ac:dyDescent="0.15"/>
    <row r="7216" s="76" customFormat="1" ht="21.95" customHeight="1" x14ac:dyDescent="0.15"/>
    <row r="7217" s="76" customFormat="1" ht="21.95" customHeight="1" x14ac:dyDescent="0.15"/>
    <row r="7218" s="76" customFormat="1" ht="21.95" customHeight="1" x14ac:dyDescent="0.15"/>
    <row r="7219" s="76" customFormat="1" ht="21.95" customHeight="1" x14ac:dyDescent="0.15"/>
    <row r="7220" s="76" customFormat="1" ht="21.95" customHeight="1" x14ac:dyDescent="0.15"/>
    <row r="7221" s="76" customFormat="1" ht="21.95" customHeight="1" x14ac:dyDescent="0.15"/>
    <row r="7222" s="76" customFormat="1" ht="21.95" customHeight="1" x14ac:dyDescent="0.15"/>
    <row r="7223" s="76" customFormat="1" ht="21.95" customHeight="1" x14ac:dyDescent="0.15"/>
    <row r="7224" s="76" customFormat="1" ht="21.95" customHeight="1" x14ac:dyDescent="0.15"/>
    <row r="7225" s="76" customFormat="1" ht="21.95" customHeight="1" x14ac:dyDescent="0.15"/>
    <row r="7226" s="76" customFormat="1" ht="21.95" customHeight="1" x14ac:dyDescent="0.15"/>
    <row r="7227" s="76" customFormat="1" ht="21.95" customHeight="1" x14ac:dyDescent="0.15"/>
    <row r="7228" s="76" customFormat="1" ht="21.95" customHeight="1" x14ac:dyDescent="0.15"/>
    <row r="7229" s="76" customFormat="1" ht="21.95" customHeight="1" x14ac:dyDescent="0.15"/>
    <row r="7230" s="76" customFormat="1" ht="21.95" customHeight="1" x14ac:dyDescent="0.15"/>
    <row r="7231" s="76" customFormat="1" ht="21.95" customHeight="1" x14ac:dyDescent="0.15"/>
    <row r="7232" s="76" customFormat="1" ht="21.95" customHeight="1" x14ac:dyDescent="0.15"/>
    <row r="7233" s="76" customFormat="1" ht="21.95" customHeight="1" x14ac:dyDescent="0.15"/>
    <row r="7234" s="76" customFormat="1" ht="21.95" customHeight="1" x14ac:dyDescent="0.15"/>
    <row r="7235" s="76" customFormat="1" ht="21.95" customHeight="1" x14ac:dyDescent="0.15"/>
    <row r="7236" s="76" customFormat="1" ht="21.95" customHeight="1" x14ac:dyDescent="0.15"/>
    <row r="7237" s="76" customFormat="1" ht="21.95" customHeight="1" x14ac:dyDescent="0.15"/>
    <row r="7238" s="76" customFormat="1" ht="21.95" customHeight="1" x14ac:dyDescent="0.15"/>
    <row r="7239" s="76" customFormat="1" ht="21.95" customHeight="1" x14ac:dyDescent="0.15"/>
    <row r="7240" s="76" customFormat="1" ht="21.95" customHeight="1" x14ac:dyDescent="0.15"/>
    <row r="7241" s="76" customFormat="1" ht="21.95" customHeight="1" x14ac:dyDescent="0.15"/>
    <row r="7242" s="76" customFormat="1" ht="21.95" customHeight="1" x14ac:dyDescent="0.15"/>
    <row r="7243" s="76" customFormat="1" ht="21.95" customHeight="1" x14ac:dyDescent="0.15"/>
    <row r="7244" s="76" customFormat="1" ht="21.95" customHeight="1" x14ac:dyDescent="0.15"/>
    <row r="7245" s="76" customFormat="1" ht="21.95" customHeight="1" x14ac:dyDescent="0.15"/>
    <row r="7246" s="76" customFormat="1" ht="21.95" customHeight="1" x14ac:dyDescent="0.15"/>
    <row r="7247" s="76" customFormat="1" ht="21.95" customHeight="1" x14ac:dyDescent="0.15"/>
    <row r="7248" s="76" customFormat="1" ht="21.95" customHeight="1" x14ac:dyDescent="0.15"/>
    <row r="7249" s="76" customFormat="1" ht="21.95" customHeight="1" x14ac:dyDescent="0.15"/>
    <row r="7250" s="76" customFormat="1" ht="21.95" customHeight="1" x14ac:dyDescent="0.15"/>
    <row r="7251" s="76" customFormat="1" ht="21.95" customHeight="1" x14ac:dyDescent="0.15"/>
    <row r="7252" s="76" customFormat="1" ht="21.95" customHeight="1" x14ac:dyDescent="0.15"/>
    <row r="7253" s="76" customFormat="1" ht="21.95" customHeight="1" x14ac:dyDescent="0.15"/>
    <row r="7254" s="76" customFormat="1" ht="21.95" customHeight="1" x14ac:dyDescent="0.15"/>
    <row r="7255" s="76" customFormat="1" ht="21.95" customHeight="1" x14ac:dyDescent="0.15"/>
    <row r="7256" s="76" customFormat="1" ht="21.95" customHeight="1" x14ac:dyDescent="0.15"/>
    <row r="7257" s="76" customFormat="1" ht="35.1" customHeight="1" x14ac:dyDescent="0.15"/>
    <row r="7258" s="76" customFormat="1" ht="21.95" customHeight="1" x14ac:dyDescent="0.15"/>
    <row r="7259" s="76" customFormat="1" ht="21.95" customHeight="1" x14ac:dyDescent="0.15"/>
    <row r="7260" s="76" customFormat="1" ht="21.95" customHeight="1" x14ac:dyDescent="0.15"/>
    <row r="7261" s="76" customFormat="1" ht="21.95" customHeight="1" x14ac:dyDescent="0.15"/>
    <row r="7262" s="76" customFormat="1" ht="21.95" customHeight="1" x14ac:dyDescent="0.15"/>
    <row r="7263" s="76" customFormat="1" ht="21.95" customHeight="1" x14ac:dyDescent="0.15"/>
    <row r="7264" s="76" customFormat="1" ht="21.95" customHeight="1" x14ac:dyDescent="0.15"/>
    <row r="7265" s="76" customFormat="1" ht="21.95" customHeight="1" x14ac:dyDescent="0.15"/>
    <row r="7266" s="76" customFormat="1" ht="21.95" customHeight="1" x14ac:dyDescent="0.15"/>
    <row r="7267" s="76" customFormat="1" ht="21.95" customHeight="1" x14ac:dyDescent="0.15"/>
    <row r="7268" s="76" customFormat="1" ht="21.95" customHeight="1" x14ac:dyDescent="0.15"/>
    <row r="7269" s="76" customFormat="1" ht="21.95" customHeight="1" x14ac:dyDescent="0.15"/>
    <row r="7270" s="76" customFormat="1" ht="21.95" customHeight="1" x14ac:dyDescent="0.15"/>
    <row r="7271" s="76" customFormat="1" ht="21.95" customHeight="1" x14ac:dyDescent="0.15"/>
    <row r="7272" s="76" customFormat="1" ht="21.95" customHeight="1" x14ac:dyDescent="0.15"/>
    <row r="7273" s="76" customFormat="1" ht="21.95" customHeight="1" x14ac:dyDescent="0.15"/>
    <row r="7274" s="76" customFormat="1" ht="21.95" customHeight="1" x14ac:dyDescent="0.15"/>
    <row r="7275" s="76" customFormat="1" ht="21.95" customHeight="1" x14ac:dyDescent="0.15"/>
    <row r="7276" s="76" customFormat="1" ht="21.95" customHeight="1" x14ac:dyDescent="0.15"/>
    <row r="7277" s="76" customFormat="1" ht="21.95" customHeight="1" x14ac:dyDescent="0.15"/>
    <row r="7278" s="76" customFormat="1" ht="21.95" customHeight="1" x14ac:dyDescent="0.15"/>
    <row r="7279" s="76" customFormat="1" ht="21.95" customHeight="1" x14ac:dyDescent="0.15"/>
    <row r="7280" s="76" customFormat="1" ht="21.95" customHeight="1" x14ac:dyDescent="0.15"/>
    <row r="7281" spans="3:3" customFormat="1" ht="21.95" customHeight="1" x14ac:dyDescent="0.15"/>
    <row r="7282" spans="3:3" customFormat="1" ht="21.95" customHeight="1" x14ac:dyDescent="0.15"/>
    <row r="7283" spans="3:3" customFormat="1" ht="21.95" customHeight="1" x14ac:dyDescent="0.15">
      <c r="C7283" s="94"/>
    </row>
    <row r="7284" spans="3:3" customFormat="1" ht="21.95" customHeight="1" x14ac:dyDescent="0.15">
      <c r="C7284" s="94"/>
    </row>
    <row r="7285" spans="3:3" customFormat="1" ht="21.95" customHeight="1" x14ac:dyDescent="0.15"/>
    <row r="7286" spans="3:3" customFormat="1" ht="21.95" customHeight="1" x14ac:dyDescent="0.15"/>
    <row r="7287" spans="3:3" customFormat="1" ht="21.95" customHeight="1" x14ac:dyDescent="0.15"/>
    <row r="7288" spans="3:3" customFormat="1" ht="21.95" customHeight="1" x14ac:dyDescent="0.15"/>
    <row r="7289" spans="3:3" customFormat="1" ht="21.95" customHeight="1" x14ac:dyDescent="0.15"/>
    <row r="7290" spans="3:3" customFormat="1" ht="21.95" customHeight="1" x14ac:dyDescent="0.15"/>
    <row r="7291" spans="3:3" customFormat="1" ht="21.95" customHeight="1" x14ac:dyDescent="0.15"/>
    <row r="7292" spans="3:3" s="76" customFormat="1" ht="21.95" customHeight="1" x14ac:dyDescent="0.15"/>
    <row r="7293" spans="3:3" s="76" customFormat="1" ht="21.95" customHeight="1" x14ac:dyDescent="0.15"/>
    <row r="7294" spans="3:3" s="76" customFormat="1" ht="21.95" customHeight="1" x14ac:dyDescent="0.15"/>
    <row r="7295" spans="3:3" s="76" customFormat="1" ht="21.95" customHeight="1" x14ac:dyDescent="0.15"/>
    <row r="7296" spans="3:3" customFormat="1" ht="21.95" customHeight="1" x14ac:dyDescent="0.15"/>
    <row r="7297" customFormat="1" ht="21.95" customHeight="1" x14ac:dyDescent="0.15"/>
    <row r="7298" customFormat="1" ht="21.95" customHeight="1" x14ac:dyDescent="0.15"/>
    <row r="7299" customFormat="1" ht="21.95" customHeight="1" x14ac:dyDescent="0.15"/>
    <row r="7300" customFormat="1" ht="21.95" customHeight="1" x14ac:dyDescent="0.15"/>
    <row r="7301" customFormat="1" ht="21.95" customHeight="1" x14ac:dyDescent="0.15"/>
    <row r="7302" customFormat="1" ht="21.95" customHeight="1" x14ac:dyDescent="0.15"/>
    <row r="7303" customFormat="1" ht="21.95" customHeight="1" x14ac:dyDescent="0.15"/>
    <row r="7304" customFormat="1" ht="21.95" customHeight="1" x14ac:dyDescent="0.15"/>
    <row r="7305" customFormat="1" ht="21.95" customHeight="1" x14ac:dyDescent="0.15"/>
    <row r="7306" customFormat="1" ht="21.95" customHeight="1" x14ac:dyDescent="0.15"/>
    <row r="7307" customFormat="1" ht="32.1" customHeight="1" x14ac:dyDescent="0.15"/>
    <row r="7308" customFormat="1" ht="32.1" customHeight="1" x14ac:dyDescent="0.15"/>
    <row r="7309" customFormat="1" ht="32.1" customHeight="1" x14ac:dyDescent="0.15"/>
    <row r="7310" customFormat="1" ht="32.1" customHeight="1" x14ac:dyDescent="0.15"/>
    <row r="7311" customFormat="1" ht="32.1" customHeight="1" x14ac:dyDescent="0.15"/>
    <row r="7312" customFormat="1" ht="32.1" customHeight="1" x14ac:dyDescent="0.15"/>
    <row r="7313" s="76" customFormat="1" ht="32.1" customHeight="1" x14ac:dyDescent="0.15"/>
    <row r="7314" s="76" customFormat="1" ht="32.1" customHeight="1" x14ac:dyDescent="0.15"/>
    <row r="7315" s="76" customFormat="1" ht="32.1" customHeight="1" x14ac:dyDescent="0.15"/>
    <row r="7316" s="76" customFormat="1" ht="32.1" customHeight="1" x14ac:dyDescent="0.15"/>
    <row r="7317" s="76" customFormat="1" ht="21.95" customHeight="1" x14ac:dyDescent="0.15"/>
    <row r="7318" s="76" customFormat="1" ht="54" customHeight="1" x14ac:dyDescent="0.15"/>
    <row r="7319" s="76" customFormat="1" ht="21.95" customHeight="1" x14ac:dyDescent="0.15"/>
    <row r="7320" s="76" customFormat="1" ht="21.95" customHeight="1" x14ac:dyDescent="0.15"/>
    <row r="7321" s="76" customFormat="1" ht="21.95" customHeight="1" x14ac:dyDescent="0.15"/>
    <row r="7322" s="76" customFormat="1" ht="21.95" customHeight="1" x14ac:dyDescent="0.15"/>
    <row r="7323" s="76" customFormat="1" ht="21.95" customHeight="1" x14ac:dyDescent="0.15"/>
    <row r="7324" s="76" customFormat="1" ht="21.95" customHeight="1" x14ac:dyDescent="0.15"/>
    <row r="7325" s="76" customFormat="1" ht="21.95" customHeight="1" x14ac:dyDescent="0.15"/>
    <row r="7326" s="76" customFormat="1" ht="21.95" customHeight="1" x14ac:dyDescent="0.15"/>
    <row r="7327" s="76" customFormat="1" ht="21.95" customHeight="1" x14ac:dyDescent="0.15"/>
    <row r="7328" s="76" customFormat="1" ht="21.95" customHeight="1" x14ac:dyDescent="0.15"/>
    <row r="7329" s="76" customFormat="1" ht="21.95" customHeight="1" x14ac:dyDescent="0.15"/>
    <row r="7330" s="76" customFormat="1" ht="21.95" customHeight="1" x14ac:dyDescent="0.15"/>
    <row r="7331" s="76" customFormat="1" ht="21.95" customHeight="1" x14ac:dyDescent="0.15"/>
    <row r="7332" s="76" customFormat="1" ht="21.95" customHeight="1" x14ac:dyDescent="0.15"/>
    <row r="7333" s="76" customFormat="1" ht="21.95" customHeight="1" x14ac:dyDescent="0.15"/>
    <row r="7334" s="76" customFormat="1" ht="21.95" customHeight="1" x14ac:dyDescent="0.15"/>
    <row r="7335" s="76" customFormat="1" ht="21.95" customHeight="1" x14ac:dyDescent="0.15"/>
    <row r="7336" s="76" customFormat="1" ht="21.95" customHeight="1" x14ac:dyDescent="0.15"/>
    <row r="7337" s="76" customFormat="1" ht="21.95" customHeight="1" x14ac:dyDescent="0.15"/>
    <row r="7338" s="76" customFormat="1" ht="21.95" customHeight="1" x14ac:dyDescent="0.15"/>
    <row r="7339" s="76" customFormat="1" ht="21.95" customHeight="1" x14ac:dyDescent="0.15"/>
    <row r="7340" s="76" customFormat="1" ht="21.95" customHeight="1" x14ac:dyDescent="0.15"/>
    <row r="7341" s="76" customFormat="1" ht="21.95" customHeight="1" x14ac:dyDescent="0.15"/>
    <row r="7342" s="76" customFormat="1" ht="21.95" customHeight="1" x14ac:dyDescent="0.15"/>
    <row r="7343" s="76" customFormat="1" ht="21.95" customHeight="1" x14ac:dyDescent="0.15"/>
    <row r="7344" s="76" customFormat="1" ht="21.95" customHeight="1" x14ac:dyDescent="0.15"/>
    <row r="7345" s="76" customFormat="1" ht="21.95" customHeight="1" x14ac:dyDescent="0.15"/>
    <row r="7346" s="76" customFormat="1" ht="21.95" customHeight="1" x14ac:dyDescent="0.15"/>
    <row r="7347" s="76" customFormat="1" ht="21.95" customHeight="1" x14ac:dyDescent="0.15"/>
    <row r="7348" s="76" customFormat="1" ht="21.95" customHeight="1" x14ac:dyDescent="0.15"/>
    <row r="7349" s="76" customFormat="1" ht="21.95" customHeight="1" x14ac:dyDescent="0.15"/>
    <row r="7350" s="76" customFormat="1" ht="21.95" customHeight="1" x14ac:dyDescent="0.15"/>
    <row r="7351" s="76" customFormat="1" ht="21.95" customHeight="1" x14ac:dyDescent="0.15"/>
    <row r="7352" s="76" customFormat="1" ht="21.95" customHeight="1" x14ac:dyDescent="0.15"/>
    <row r="7353" s="76" customFormat="1" ht="21.95" customHeight="1" x14ac:dyDescent="0.15"/>
    <row r="7354" s="76" customFormat="1" ht="21.95" customHeight="1" x14ac:dyDescent="0.15"/>
    <row r="7355" s="76" customFormat="1" ht="21.95" customHeight="1" x14ac:dyDescent="0.15"/>
    <row r="7356" s="76" customFormat="1" ht="21.95" customHeight="1" x14ac:dyDescent="0.15"/>
    <row r="7357" s="76" customFormat="1" ht="21.95" customHeight="1" x14ac:dyDescent="0.15"/>
    <row r="7358" s="76" customFormat="1" ht="21.95" customHeight="1" x14ac:dyDescent="0.15"/>
    <row r="7359" s="76" customFormat="1" ht="21.95" customHeight="1" x14ac:dyDescent="0.15"/>
    <row r="7360" s="76" customFormat="1" ht="21.95" customHeight="1" x14ac:dyDescent="0.15"/>
    <row r="7361" s="76" customFormat="1" ht="21.95" customHeight="1" x14ac:dyDescent="0.15"/>
    <row r="7362" s="76" customFormat="1" ht="21.95" customHeight="1" x14ac:dyDescent="0.15"/>
    <row r="7363" s="76" customFormat="1" ht="21.95" customHeight="1" x14ac:dyDescent="0.15"/>
    <row r="7364" s="76" customFormat="1" ht="21.95" customHeight="1" x14ac:dyDescent="0.15"/>
    <row r="7365" s="76" customFormat="1" ht="21.95" customHeight="1" x14ac:dyDescent="0.15"/>
    <row r="7366" s="76" customFormat="1" ht="21.95" customHeight="1" x14ac:dyDescent="0.15"/>
    <row r="7367" s="76" customFormat="1" ht="21.95" customHeight="1" x14ac:dyDescent="0.15"/>
    <row r="7368" s="76" customFormat="1" ht="21.95" customHeight="1" x14ac:dyDescent="0.15"/>
    <row r="7369" s="76" customFormat="1" ht="35.1" customHeight="1" x14ac:dyDescent="0.15"/>
    <row r="7370" s="76" customFormat="1" ht="21.95" customHeight="1" x14ac:dyDescent="0.15"/>
    <row r="7371" s="76" customFormat="1" ht="21.95" customHeight="1" x14ac:dyDescent="0.15"/>
    <row r="7372" s="76" customFormat="1" ht="21.95" customHeight="1" x14ac:dyDescent="0.15"/>
    <row r="7373" s="76" customFormat="1" ht="21.95" customHeight="1" x14ac:dyDescent="0.15"/>
    <row r="7374" s="76" customFormat="1" ht="21.95" customHeight="1" x14ac:dyDescent="0.15"/>
    <row r="7375" s="76" customFormat="1" ht="21.95" customHeight="1" x14ac:dyDescent="0.15"/>
    <row r="7376" s="76" customFormat="1" ht="21.95" customHeight="1" x14ac:dyDescent="0.15"/>
    <row r="7377" s="76" customFormat="1" ht="21.95" customHeight="1" x14ac:dyDescent="0.15"/>
    <row r="7378" s="76" customFormat="1" ht="21.95" customHeight="1" x14ac:dyDescent="0.15"/>
    <row r="7379" s="76" customFormat="1" ht="21.95" customHeight="1" x14ac:dyDescent="0.15"/>
    <row r="7380" s="76" customFormat="1" ht="21.95" customHeight="1" x14ac:dyDescent="0.15"/>
    <row r="7381" s="76" customFormat="1" ht="21.95" customHeight="1" x14ac:dyDescent="0.15"/>
    <row r="7382" s="76" customFormat="1" ht="21.95" customHeight="1" x14ac:dyDescent="0.15"/>
    <row r="7383" s="76" customFormat="1" ht="21.95" customHeight="1" x14ac:dyDescent="0.15"/>
    <row r="7384" s="76" customFormat="1" ht="21.95" customHeight="1" x14ac:dyDescent="0.15"/>
    <row r="7385" s="76" customFormat="1" ht="21.95" customHeight="1" x14ac:dyDescent="0.15"/>
    <row r="7386" s="76" customFormat="1" ht="21.95" customHeight="1" x14ac:dyDescent="0.15"/>
    <row r="7387" s="76" customFormat="1" ht="21.95" customHeight="1" x14ac:dyDescent="0.15"/>
    <row r="7388" s="76" customFormat="1" ht="21.95" customHeight="1" x14ac:dyDescent="0.15"/>
    <row r="7389" s="76" customFormat="1" ht="21.95" customHeight="1" x14ac:dyDescent="0.15"/>
    <row r="7390" s="76" customFormat="1" ht="21.95" customHeight="1" x14ac:dyDescent="0.15"/>
    <row r="7391" s="76" customFormat="1" ht="21.95" customHeight="1" x14ac:dyDescent="0.15"/>
    <row r="7392" s="76" customFormat="1" ht="21.95" customHeight="1" x14ac:dyDescent="0.15"/>
    <row r="7393" spans="3:3" customFormat="1" ht="21.95" customHeight="1" x14ac:dyDescent="0.15"/>
    <row r="7394" spans="3:3" customFormat="1" ht="21.95" customHeight="1" x14ac:dyDescent="0.15"/>
    <row r="7395" spans="3:3" customFormat="1" ht="21.95" customHeight="1" x14ac:dyDescent="0.15">
      <c r="C7395" s="94"/>
    </row>
    <row r="7396" spans="3:3" customFormat="1" ht="21.95" customHeight="1" x14ac:dyDescent="0.15">
      <c r="C7396" s="94"/>
    </row>
    <row r="7397" spans="3:3" customFormat="1" ht="21.95" customHeight="1" x14ac:dyDescent="0.15"/>
    <row r="7398" spans="3:3" customFormat="1" ht="21.95" customHeight="1" x14ac:dyDescent="0.15"/>
    <row r="7399" spans="3:3" customFormat="1" ht="21.95" customHeight="1" x14ac:dyDescent="0.15"/>
    <row r="7400" spans="3:3" customFormat="1" ht="21.95" customHeight="1" x14ac:dyDescent="0.15"/>
    <row r="7401" spans="3:3" customFormat="1" ht="21.95" customHeight="1" x14ac:dyDescent="0.15"/>
    <row r="7402" spans="3:3" customFormat="1" ht="21.95" customHeight="1" x14ac:dyDescent="0.15"/>
    <row r="7403" spans="3:3" customFormat="1" ht="21.95" customHeight="1" x14ac:dyDescent="0.15"/>
    <row r="7404" spans="3:3" s="76" customFormat="1" ht="21.95" customHeight="1" x14ac:dyDescent="0.15"/>
    <row r="7405" spans="3:3" s="76" customFormat="1" ht="21.95" customHeight="1" x14ac:dyDescent="0.15"/>
    <row r="7406" spans="3:3" s="76" customFormat="1" ht="21.95" customHeight="1" x14ac:dyDescent="0.15"/>
    <row r="7407" spans="3:3" s="76" customFormat="1" ht="21.95" customHeight="1" x14ac:dyDescent="0.15"/>
    <row r="7408" spans="3:3" customFormat="1" ht="21.95" customHeight="1" x14ac:dyDescent="0.15"/>
    <row r="7409" customFormat="1" ht="21.95" customHeight="1" x14ac:dyDescent="0.15"/>
    <row r="7410" customFormat="1" ht="21.95" customHeight="1" x14ac:dyDescent="0.15"/>
    <row r="7411" customFormat="1" ht="21.95" customHeight="1" x14ac:dyDescent="0.15"/>
    <row r="7412" customFormat="1" ht="21.95" customHeight="1" x14ac:dyDescent="0.15"/>
    <row r="7413" customFormat="1" ht="21.95" customHeight="1" x14ac:dyDescent="0.15"/>
    <row r="7414" customFormat="1" ht="21.95" customHeight="1" x14ac:dyDescent="0.15"/>
    <row r="7415" customFormat="1" ht="21.95" customHeight="1" x14ac:dyDescent="0.15"/>
    <row r="7416" customFormat="1" ht="21.95" customHeight="1" x14ac:dyDescent="0.15"/>
    <row r="7417" customFormat="1" ht="21.95" customHeight="1" x14ac:dyDescent="0.15"/>
    <row r="7418" customFormat="1" ht="21.95" customHeight="1" x14ac:dyDescent="0.15"/>
    <row r="7419" customFormat="1" ht="32.1" customHeight="1" x14ac:dyDescent="0.15"/>
    <row r="7420" customFormat="1" ht="32.1" customHeight="1" x14ac:dyDescent="0.15"/>
    <row r="7421" customFormat="1" ht="32.1" customHeight="1" x14ac:dyDescent="0.15"/>
    <row r="7422" customFormat="1" ht="32.1" customHeight="1" x14ac:dyDescent="0.15"/>
    <row r="7423" customFormat="1" ht="32.1" customHeight="1" x14ac:dyDescent="0.15"/>
    <row r="7424" customFormat="1" ht="32.1" customHeight="1" x14ac:dyDescent="0.15"/>
    <row r="7425" s="76" customFormat="1" ht="32.1" customHeight="1" x14ac:dyDescent="0.15"/>
    <row r="7426" s="76" customFormat="1" ht="32.1" customHeight="1" x14ac:dyDescent="0.15"/>
    <row r="7427" s="76" customFormat="1" ht="32.1" customHeight="1" x14ac:dyDescent="0.15"/>
    <row r="7428" s="76" customFormat="1" ht="32.1" customHeight="1" x14ac:dyDescent="0.15"/>
    <row r="7429" s="76" customFormat="1" ht="21.95" customHeight="1" x14ac:dyDescent="0.15"/>
    <row r="7430" s="76" customFormat="1" ht="54" customHeight="1" x14ac:dyDescent="0.15"/>
    <row r="7431" s="76" customFormat="1" ht="21.95" customHeight="1" x14ac:dyDescent="0.15"/>
    <row r="7432" s="76" customFormat="1" ht="21.95" customHeight="1" x14ac:dyDescent="0.15"/>
    <row r="7433" s="76" customFormat="1" ht="21.95" customHeight="1" x14ac:dyDescent="0.15"/>
    <row r="7434" s="76" customFormat="1" ht="21.95" customHeight="1" x14ac:dyDescent="0.15"/>
    <row r="7435" s="76" customFormat="1" ht="21.95" customHeight="1" x14ac:dyDescent="0.15"/>
    <row r="7436" s="76" customFormat="1" ht="21.95" customHeight="1" x14ac:dyDescent="0.15"/>
    <row r="7437" s="76" customFormat="1" ht="21.95" customHeight="1" x14ac:dyDescent="0.15"/>
    <row r="7438" s="76" customFormat="1" ht="21.95" customHeight="1" x14ac:dyDescent="0.15"/>
    <row r="7439" s="76" customFormat="1" ht="21.95" customHeight="1" x14ac:dyDescent="0.15"/>
    <row r="7440" s="76" customFormat="1" ht="21.95" customHeight="1" x14ac:dyDescent="0.15"/>
    <row r="7441" s="76" customFormat="1" ht="21.95" customHeight="1" x14ac:dyDescent="0.15"/>
    <row r="7442" s="76" customFormat="1" ht="21.95" customHeight="1" x14ac:dyDescent="0.15"/>
    <row r="7443" s="76" customFormat="1" ht="21.95" customHeight="1" x14ac:dyDescent="0.15"/>
    <row r="7444" s="76" customFormat="1" ht="21.95" customHeight="1" x14ac:dyDescent="0.15"/>
    <row r="7445" s="76" customFormat="1" ht="21.95" customHeight="1" x14ac:dyDescent="0.15"/>
    <row r="7446" s="76" customFormat="1" ht="21.95" customHeight="1" x14ac:dyDescent="0.15"/>
    <row r="7447" s="76" customFormat="1" ht="21.95" customHeight="1" x14ac:dyDescent="0.15"/>
    <row r="7448" s="76" customFormat="1" ht="21.95" customHeight="1" x14ac:dyDescent="0.15"/>
    <row r="7449" s="76" customFormat="1" ht="21.95" customHeight="1" x14ac:dyDescent="0.15"/>
    <row r="7450" s="76" customFormat="1" ht="21.95" customHeight="1" x14ac:dyDescent="0.15"/>
    <row r="7451" s="76" customFormat="1" ht="21.95" customHeight="1" x14ac:dyDescent="0.15"/>
    <row r="7452" s="76" customFormat="1" ht="21.95" customHeight="1" x14ac:dyDescent="0.15"/>
    <row r="7453" s="76" customFormat="1" ht="21.95" customHeight="1" x14ac:dyDescent="0.15"/>
    <row r="7454" s="76" customFormat="1" ht="21.95" customHeight="1" x14ac:dyDescent="0.15"/>
    <row r="7455" s="76" customFormat="1" ht="21.95" customHeight="1" x14ac:dyDescent="0.15"/>
    <row r="7456" s="76" customFormat="1" ht="21.95" customHeight="1" x14ac:dyDescent="0.15"/>
    <row r="7457" s="76" customFormat="1" ht="21.95" customHeight="1" x14ac:dyDescent="0.15"/>
    <row r="7458" s="76" customFormat="1" ht="21.95" customHeight="1" x14ac:dyDescent="0.15"/>
    <row r="7459" s="76" customFormat="1" ht="21.95" customHeight="1" x14ac:dyDescent="0.15"/>
    <row r="7460" s="76" customFormat="1" ht="21.95" customHeight="1" x14ac:dyDescent="0.15"/>
    <row r="7461" s="76" customFormat="1" ht="21.95" customHeight="1" x14ac:dyDescent="0.15"/>
    <row r="7462" s="76" customFormat="1" ht="21.95" customHeight="1" x14ac:dyDescent="0.15"/>
    <row r="7463" s="76" customFormat="1" ht="21.95" customHeight="1" x14ac:dyDescent="0.15"/>
    <row r="7464" s="76" customFormat="1" ht="21.95" customHeight="1" x14ac:dyDescent="0.15"/>
    <row r="7465" s="76" customFormat="1" ht="21.95" customHeight="1" x14ac:dyDescent="0.15"/>
    <row r="7466" s="76" customFormat="1" ht="21.95" customHeight="1" x14ac:dyDescent="0.15"/>
    <row r="7467" s="76" customFormat="1" ht="21.95" customHeight="1" x14ac:dyDescent="0.15"/>
    <row r="7468" s="76" customFormat="1" ht="21.95" customHeight="1" x14ac:dyDescent="0.15"/>
    <row r="7469" s="76" customFormat="1" ht="21.95" customHeight="1" x14ac:dyDescent="0.15"/>
    <row r="7470" s="76" customFormat="1" ht="21.95" customHeight="1" x14ac:dyDescent="0.15"/>
    <row r="7471" s="76" customFormat="1" ht="21.95" customHeight="1" x14ac:dyDescent="0.15"/>
    <row r="7472" s="76" customFormat="1" ht="21.95" customHeight="1" x14ac:dyDescent="0.15"/>
    <row r="7473" s="76" customFormat="1" ht="21.95" customHeight="1" x14ac:dyDescent="0.15"/>
    <row r="7474" s="76" customFormat="1" ht="21.95" customHeight="1" x14ac:dyDescent="0.15"/>
    <row r="7475" s="76" customFormat="1" ht="21.95" customHeight="1" x14ac:dyDescent="0.15"/>
    <row r="7476" s="76" customFormat="1" ht="21.95" customHeight="1" x14ac:dyDescent="0.15"/>
    <row r="7477" s="76" customFormat="1" ht="21.95" customHeight="1" x14ac:dyDescent="0.15"/>
    <row r="7478" s="76" customFormat="1" ht="21.95" customHeight="1" x14ac:dyDescent="0.15"/>
    <row r="7479" s="76" customFormat="1" ht="21.95" customHeight="1" x14ac:dyDescent="0.15"/>
    <row r="7480" s="76" customFormat="1" ht="21.95" customHeight="1" x14ac:dyDescent="0.15"/>
    <row r="7481" s="76" customFormat="1" ht="35.1" customHeight="1" x14ac:dyDescent="0.15"/>
    <row r="7482" s="76" customFormat="1" ht="21.95" customHeight="1" x14ac:dyDescent="0.15"/>
    <row r="7483" s="76" customFormat="1" ht="21.95" customHeight="1" x14ac:dyDescent="0.15"/>
    <row r="7484" s="76" customFormat="1" ht="21.95" customHeight="1" x14ac:dyDescent="0.15"/>
    <row r="7485" s="76" customFormat="1" ht="21.95" customHeight="1" x14ac:dyDescent="0.15"/>
    <row r="7486" s="76" customFormat="1" ht="21.95" customHeight="1" x14ac:dyDescent="0.15"/>
    <row r="7487" s="76" customFormat="1" ht="21.95" customHeight="1" x14ac:dyDescent="0.15"/>
    <row r="7488" s="76" customFormat="1" ht="21.95" customHeight="1" x14ac:dyDescent="0.15"/>
    <row r="7489" s="76" customFormat="1" ht="21.95" customHeight="1" x14ac:dyDescent="0.15"/>
    <row r="7490" s="76" customFormat="1" ht="21.95" customHeight="1" x14ac:dyDescent="0.15"/>
    <row r="7491" s="76" customFormat="1" ht="21.95" customHeight="1" x14ac:dyDescent="0.15"/>
    <row r="7492" s="76" customFormat="1" ht="21.95" customHeight="1" x14ac:dyDescent="0.15"/>
    <row r="7493" s="76" customFormat="1" ht="21.95" customHeight="1" x14ac:dyDescent="0.15"/>
    <row r="7494" s="76" customFormat="1" ht="21.95" customHeight="1" x14ac:dyDescent="0.15"/>
    <row r="7495" s="76" customFormat="1" ht="21.95" customHeight="1" x14ac:dyDescent="0.15"/>
    <row r="7496" s="76" customFormat="1" ht="21.95" customHeight="1" x14ac:dyDescent="0.15"/>
    <row r="7497" s="76" customFormat="1" ht="21.95" customHeight="1" x14ac:dyDescent="0.15"/>
    <row r="7498" s="76" customFormat="1" ht="21.95" customHeight="1" x14ac:dyDescent="0.15"/>
    <row r="7499" s="76" customFormat="1" ht="21.95" customHeight="1" x14ac:dyDescent="0.15"/>
    <row r="7500" s="76" customFormat="1" ht="21.95" customHeight="1" x14ac:dyDescent="0.15"/>
    <row r="7501" s="76" customFormat="1" ht="21.95" customHeight="1" x14ac:dyDescent="0.15"/>
    <row r="7502" s="76" customFormat="1" ht="21.95" customHeight="1" x14ac:dyDescent="0.15"/>
    <row r="7503" s="76" customFormat="1" ht="21.95" customHeight="1" x14ac:dyDescent="0.15"/>
    <row r="7504" s="76" customFormat="1" ht="21.95" customHeight="1" x14ac:dyDescent="0.15"/>
    <row r="7505" spans="3:3" customFormat="1" ht="21.95" customHeight="1" x14ac:dyDescent="0.15"/>
    <row r="7506" spans="3:3" customFormat="1" ht="21.95" customHeight="1" x14ac:dyDescent="0.15"/>
    <row r="7507" spans="3:3" customFormat="1" ht="21.95" customHeight="1" x14ac:dyDescent="0.15">
      <c r="C7507" s="94"/>
    </row>
    <row r="7508" spans="3:3" customFormat="1" ht="21.95" customHeight="1" x14ac:dyDescent="0.15">
      <c r="C7508" s="94"/>
    </row>
    <row r="7509" spans="3:3" customFormat="1" ht="21.95" customHeight="1" x14ac:dyDescent="0.15"/>
    <row r="7510" spans="3:3" customFormat="1" ht="21.95" customHeight="1" x14ac:dyDescent="0.15"/>
    <row r="7511" spans="3:3" customFormat="1" ht="21.95" customHeight="1" x14ac:dyDescent="0.15"/>
    <row r="7512" spans="3:3" customFormat="1" ht="21.95" customHeight="1" x14ac:dyDescent="0.15"/>
    <row r="7513" spans="3:3" customFormat="1" ht="21.95" customHeight="1" x14ac:dyDescent="0.15"/>
    <row r="7514" spans="3:3" customFormat="1" ht="21.95" customHeight="1" x14ac:dyDescent="0.15"/>
    <row r="7515" spans="3:3" customFormat="1" ht="21.95" customHeight="1" x14ac:dyDescent="0.15"/>
    <row r="7516" spans="3:3" s="76" customFormat="1" ht="21.95" customHeight="1" x14ac:dyDescent="0.15"/>
    <row r="7517" spans="3:3" s="76" customFormat="1" ht="21.95" customHeight="1" x14ac:dyDescent="0.15"/>
    <row r="7518" spans="3:3" s="76" customFormat="1" ht="21.95" customHeight="1" x14ac:dyDescent="0.15"/>
    <row r="7519" spans="3:3" s="76" customFormat="1" ht="21.95" customHeight="1" x14ac:dyDescent="0.15"/>
    <row r="7520" spans="3:3" customFormat="1" ht="21.95" customHeight="1" x14ac:dyDescent="0.15"/>
    <row r="7521" customFormat="1" ht="21.95" customHeight="1" x14ac:dyDescent="0.15"/>
    <row r="7522" customFormat="1" ht="21.95" customHeight="1" x14ac:dyDescent="0.15"/>
    <row r="7523" customFormat="1" ht="21.95" customHeight="1" x14ac:dyDescent="0.15"/>
    <row r="7524" customFormat="1" ht="21.95" customHeight="1" x14ac:dyDescent="0.15"/>
    <row r="7525" customFormat="1" ht="21.95" customHeight="1" x14ac:dyDescent="0.15"/>
    <row r="7526" customFormat="1" ht="21.95" customHeight="1" x14ac:dyDescent="0.15"/>
    <row r="7527" customFormat="1" ht="21.95" customHeight="1" x14ac:dyDescent="0.15"/>
    <row r="7528" customFormat="1" ht="21.95" customHeight="1" x14ac:dyDescent="0.15"/>
    <row r="7529" customFormat="1" ht="21.95" customHeight="1" x14ac:dyDescent="0.15"/>
    <row r="7530" customFormat="1" ht="21.95" customHeight="1" x14ac:dyDescent="0.15"/>
    <row r="7531" customFormat="1" ht="32.1" customHeight="1" x14ac:dyDescent="0.15"/>
    <row r="7532" customFormat="1" ht="32.1" customHeight="1" x14ac:dyDescent="0.15"/>
    <row r="7533" customFormat="1" ht="32.1" customHeight="1" x14ac:dyDescent="0.15"/>
    <row r="7534" customFormat="1" ht="32.1" customHeight="1" x14ac:dyDescent="0.15"/>
    <row r="7535" customFormat="1" ht="32.1" customHeight="1" x14ac:dyDescent="0.15"/>
    <row r="7536" customFormat="1" ht="32.1" customHeight="1" x14ac:dyDescent="0.15"/>
    <row r="7537" s="76" customFormat="1" ht="32.1" customHeight="1" x14ac:dyDescent="0.15"/>
    <row r="7538" s="76" customFormat="1" ht="32.1" customHeight="1" x14ac:dyDescent="0.15"/>
    <row r="7539" s="76" customFormat="1" ht="32.1" customHeight="1" x14ac:dyDescent="0.15"/>
    <row r="7540" s="76" customFormat="1" ht="32.1" customHeight="1" x14ac:dyDescent="0.15"/>
    <row r="7541" s="76" customFormat="1" ht="21.95" customHeight="1" x14ac:dyDescent="0.15"/>
    <row r="7542" s="76" customFormat="1" ht="54" customHeight="1" x14ac:dyDescent="0.15"/>
    <row r="7543" s="76" customFormat="1" ht="21.95" customHeight="1" x14ac:dyDescent="0.15"/>
    <row r="7544" s="76" customFormat="1" ht="21.95" customHeight="1" x14ac:dyDescent="0.15"/>
    <row r="7545" s="76" customFormat="1" ht="21.95" customHeight="1" x14ac:dyDescent="0.15"/>
    <row r="7546" s="76" customFormat="1" ht="21.95" customHeight="1" x14ac:dyDescent="0.15"/>
    <row r="7547" s="76" customFormat="1" ht="21.95" customHeight="1" x14ac:dyDescent="0.15"/>
    <row r="7548" s="76" customFormat="1" ht="21.95" customHeight="1" x14ac:dyDescent="0.15"/>
    <row r="7549" s="76" customFormat="1" ht="21.95" customHeight="1" x14ac:dyDescent="0.15"/>
    <row r="7550" s="76" customFormat="1" ht="21.95" customHeight="1" x14ac:dyDescent="0.15"/>
    <row r="7551" s="76" customFormat="1" ht="21.95" customHeight="1" x14ac:dyDescent="0.15"/>
    <row r="7552" s="76" customFormat="1" ht="21.95" customHeight="1" x14ac:dyDescent="0.15"/>
    <row r="7553" s="76" customFormat="1" ht="21.95" customHeight="1" x14ac:dyDescent="0.15"/>
    <row r="7554" s="76" customFormat="1" ht="21.95" customHeight="1" x14ac:dyDescent="0.15"/>
    <row r="7555" s="76" customFormat="1" ht="21.95" customHeight="1" x14ac:dyDescent="0.15"/>
    <row r="7556" s="76" customFormat="1" ht="21.95" customHeight="1" x14ac:dyDescent="0.15"/>
    <row r="7557" s="76" customFormat="1" ht="21.95" customHeight="1" x14ac:dyDescent="0.15"/>
    <row r="7558" s="76" customFormat="1" ht="21.95" customHeight="1" x14ac:dyDescent="0.15"/>
    <row r="7559" s="76" customFormat="1" ht="21.95" customHeight="1" x14ac:dyDescent="0.15"/>
    <row r="7560" s="76" customFormat="1" ht="21.95" customHeight="1" x14ac:dyDescent="0.15"/>
    <row r="7561" s="76" customFormat="1" ht="21.95" customHeight="1" x14ac:dyDescent="0.15"/>
    <row r="7562" s="76" customFormat="1" ht="21.95" customHeight="1" x14ac:dyDescent="0.15"/>
    <row r="7563" s="76" customFormat="1" ht="21.95" customHeight="1" x14ac:dyDescent="0.15"/>
    <row r="7564" s="76" customFormat="1" ht="21.95" customHeight="1" x14ac:dyDescent="0.15"/>
    <row r="7565" s="76" customFormat="1" ht="21.95" customHeight="1" x14ac:dyDescent="0.15"/>
    <row r="7566" s="76" customFormat="1" ht="21.95" customHeight="1" x14ac:dyDescent="0.15"/>
    <row r="7567" s="76" customFormat="1" ht="21.95" customHeight="1" x14ac:dyDescent="0.15"/>
    <row r="7568" s="76" customFormat="1" ht="21.95" customHeight="1" x14ac:dyDescent="0.15"/>
    <row r="7569" s="76" customFormat="1" ht="21.95" customHeight="1" x14ac:dyDescent="0.15"/>
    <row r="7570" s="76" customFormat="1" ht="21.95" customHeight="1" x14ac:dyDescent="0.15"/>
    <row r="7571" s="76" customFormat="1" ht="21.95" customHeight="1" x14ac:dyDescent="0.15"/>
    <row r="7572" s="76" customFormat="1" ht="21.95" customHeight="1" x14ac:dyDescent="0.15"/>
    <row r="7573" s="76" customFormat="1" ht="21.95" customHeight="1" x14ac:dyDescent="0.15"/>
    <row r="7574" s="76" customFormat="1" ht="21.95" customHeight="1" x14ac:dyDescent="0.15"/>
    <row r="7575" s="76" customFormat="1" ht="21.95" customHeight="1" x14ac:dyDescent="0.15"/>
    <row r="7576" s="76" customFormat="1" ht="21.95" customHeight="1" x14ac:dyDescent="0.15"/>
    <row r="7577" s="76" customFormat="1" ht="21.95" customHeight="1" x14ac:dyDescent="0.15"/>
    <row r="7578" s="76" customFormat="1" ht="21.95" customHeight="1" x14ac:dyDescent="0.15"/>
    <row r="7579" s="76" customFormat="1" ht="21.95" customHeight="1" x14ac:dyDescent="0.15"/>
    <row r="7580" s="76" customFormat="1" ht="21.95" customHeight="1" x14ac:dyDescent="0.15"/>
    <row r="7581" s="76" customFormat="1" ht="21.95" customHeight="1" x14ac:dyDescent="0.15"/>
    <row r="7582" s="76" customFormat="1" ht="21.95" customHeight="1" x14ac:dyDescent="0.15"/>
    <row r="7583" s="76" customFormat="1" ht="21.95" customHeight="1" x14ac:dyDescent="0.15"/>
    <row r="7584" s="76" customFormat="1" ht="21.95" customHeight="1" x14ac:dyDescent="0.15"/>
    <row r="7585" s="76" customFormat="1" ht="21.95" customHeight="1" x14ac:dyDescent="0.15"/>
    <row r="7586" s="76" customFormat="1" ht="21.95" customHeight="1" x14ac:dyDescent="0.15"/>
    <row r="7587" s="76" customFormat="1" ht="21.95" customHeight="1" x14ac:dyDescent="0.15"/>
    <row r="7588" s="76" customFormat="1" ht="21.95" customHeight="1" x14ac:dyDescent="0.15"/>
    <row r="7589" s="76" customFormat="1" ht="21.95" customHeight="1" x14ac:dyDescent="0.15"/>
    <row r="7590" s="76" customFormat="1" ht="21.95" customHeight="1" x14ac:dyDescent="0.15"/>
    <row r="7591" s="76" customFormat="1" ht="21.95" customHeight="1" x14ac:dyDescent="0.15"/>
    <row r="7592" s="76" customFormat="1" ht="21.95" customHeight="1" x14ac:dyDescent="0.15"/>
    <row r="7593" s="76" customFormat="1" ht="35.1" customHeight="1" x14ac:dyDescent="0.15"/>
    <row r="7594" s="76" customFormat="1" ht="21.95" customHeight="1" x14ac:dyDescent="0.15"/>
    <row r="7595" s="76" customFormat="1" ht="21.95" customHeight="1" x14ac:dyDescent="0.15"/>
    <row r="7596" s="76" customFormat="1" ht="21.95" customHeight="1" x14ac:dyDescent="0.15"/>
    <row r="7597" s="76" customFormat="1" ht="21.95" customHeight="1" x14ac:dyDescent="0.15"/>
    <row r="7598" s="76" customFormat="1" ht="21.95" customHeight="1" x14ac:dyDescent="0.15"/>
    <row r="7599" s="76" customFormat="1" ht="21.95" customHeight="1" x14ac:dyDescent="0.15"/>
    <row r="7600" s="76" customFormat="1" ht="21.95" customHeight="1" x14ac:dyDescent="0.15"/>
    <row r="7601" s="76" customFormat="1" ht="21.95" customHeight="1" x14ac:dyDescent="0.15"/>
    <row r="7602" s="76" customFormat="1" ht="21.95" customHeight="1" x14ac:dyDescent="0.15"/>
    <row r="7603" s="76" customFormat="1" ht="21.95" customHeight="1" x14ac:dyDescent="0.15"/>
    <row r="7604" s="76" customFormat="1" ht="21.95" customHeight="1" x14ac:dyDescent="0.15"/>
    <row r="7605" s="76" customFormat="1" ht="21.95" customHeight="1" x14ac:dyDescent="0.15"/>
    <row r="7606" s="76" customFormat="1" ht="21.95" customHeight="1" x14ac:dyDescent="0.15"/>
    <row r="7607" s="76" customFormat="1" ht="21.95" customHeight="1" x14ac:dyDescent="0.15"/>
    <row r="7608" s="76" customFormat="1" ht="21.95" customHeight="1" x14ac:dyDescent="0.15"/>
    <row r="7609" s="76" customFormat="1" ht="21.95" customHeight="1" x14ac:dyDescent="0.15"/>
    <row r="7610" s="76" customFormat="1" ht="21.95" customHeight="1" x14ac:dyDescent="0.15"/>
    <row r="7611" s="76" customFormat="1" ht="21.95" customHeight="1" x14ac:dyDescent="0.15"/>
    <row r="7612" s="76" customFormat="1" ht="21.95" customHeight="1" x14ac:dyDescent="0.15"/>
    <row r="7613" s="76" customFormat="1" ht="21.95" customHeight="1" x14ac:dyDescent="0.15"/>
    <row r="7614" s="76" customFormat="1" ht="21.95" customHeight="1" x14ac:dyDescent="0.15"/>
    <row r="7615" s="76" customFormat="1" ht="21.95" customHeight="1" x14ac:dyDescent="0.15"/>
    <row r="7616" s="76" customFormat="1" ht="21.95" customHeight="1" x14ac:dyDescent="0.15"/>
    <row r="7617" spans="3:3" customFormat="1" ht="21.95" customHeight="1" x14ac:dyDescent="0.15"/>
    <row r="7618" spans="3:3" customFormat="1" ht="21.95" customHeight="1" x14ac:dyDescent="0.15"/>
    <row r="7619" spans="3:3" customFormat="1" ht="21.95" customHeight="1" x14ac:dyDescent="0.15">
      <c r="C7619" s="94"/>
    </row>
    <row r="7620" spans="3:3" customFormat="1" ht="21.95" customHeight="1" x14ac:dyDescent="0.15">
      <c r="C7620" s="94"/>
    </row>
    <row r="7621" spans="3:3" customFormat="1" ht="21.95" customHeight="1" x14ac:dyDescent="0.15"/>
    <row r="7622" spans="3:3" customFormat="1" ht="21.95" customHeight="1" x14ac:dyDescent="0.15"/>
    <row r="7623" spans="3:3" customFormat="1" ht="21.95" customHeight="1" x14ac:dyDescent="0.15"/>
    <row r="7624" spans="3:3" customFormat="1" ht="21.95" customHeight="1" x14ac:dyDescent="0.15"/>
    <row r="7625" spans="3:3" customFormat="1" ht="21.95" customHeight="1" x14ac:dyDescent="0.15"/>
    <row r="7626" spans="3:3" customFormat="1" ht="21.95" customHeight="1" x14ac:dyDescent="0.15"/>
    <row r="7627" spans="3:3" customFormat="1" ht="21.95" customHeight="1" x14ac:dyDescent="0.15"/>
    <row r="7628" spans="3:3" s="76" customFormat="1" ht="21.95" customHeight="1" x14ac:dyDescent="0.15"/>
    <row r="7629" spans="3:3" s="76" customFormat="1" ht="21.95" customHeight="1" x14ac:dyDescent="0.15"/>
    <row r="7630" spans="3:3" s="76" customFormat="1" ht="21.95" customHeight="1" x14ac:dyDescent="0.15"/>
    <row r="7631" spans="3:3" s="76" customFormat="1" ht="21.95" customHeight="1" x14ac:dyDescent="0.15"/>
    <row r="7632" spans="3:3" customFormat="1" ht="21.95" customHeight="1" x14ac:dyDescent="0.15"/>
    <row r="7633" customFormat="1" ht="21.95" customHeight="1" x14ac:dyDescent="0.15"/>
    <row r="7634" customFormat="1" ht="21.95" customHeight="1" x14ac:dyDescent="0.15"/>
    <row r="7635" customFormat="1" ht="21.95" customHeight="1" x14ac:dyDescent="0.15"/>
    <row r="7636" customFormat="1" ht="21.95" customHeight="1" x14ac:dyDescent="0.15"/>
    <row r="7637" customFormat="1" ht="21.95" customHeight="1" x14ac:dyDescent="0.15"/>
    <row r="7638" customFormat="1" ht="21.95" customHeight="1" x14ac:dyDescent="0.15"/>
    <row r="7639" customFormat="1" ht="21.95" customHeight="1" x14ac:dyDescent="0.15"/>
    <row r="7640" customFormat="1" ht="21.95" customHeight="1" x14ac:dyDescent="0.15"/>
    <row r="7641" customFormat="1" ht="21.95" customHeight="1" x14ac:dyDescent="0.15"/>
    <row r="7642" customFormat="1" ht="21.95" customHeight="1" x14ac:dyDescent="0.15"/>
    <row r="7643" customFormat="1" ht="32.1" customHeight="1" x14ac:dyDescent="0.15"/>
    <row r="7644" customFormat="1" ht="32.1" customHeight="1" x14ac:dyDescent="0.15"/>
    <row r="7645" customFormat="1" ht="32.1" customHeight="1" x14ac:dyDescent="0.15"/>
    <row r="7646" customFormat="1" ht="32.1" customHeight="1" x14ac:dyDescent="0.15"/>
    <row r="7647" customFormat="1" ht="32.1" customHeight="1" x14ac:dyDescent="0.15"/>
    <row r="7648" customFormat="1" ht="32.1" customHeight="1" x14ac:dyDescent="0.15"/>
    <row r="7649" s="76" customFormat="1" ht="32.1" customHeight="1" x14ac:dyDescent="0.15"/>
    <row r="7650" s="76" customFormat="1" ht="32.1" customHeight="1" x14ac:dyDescent="0.15"/>
    <row r="7651" s="76" customFormat="1" ht="32.1" customHeight="1" x14ac:dyDescent="0.15"/>
    <row r="7652" s="76" customFormat="1" ht="32.1" customHeight="1" x14ac:dyDescent="0.15"/>
    <row r="7653" s="76" customFormat="1" ht="21.95" customHeight="1" x14ac:dyDescent="0.15"/>
    <row r="7654" s="76" customFormat="1" ht="54" customHeight="1" x14ac:dyDescent="0.15"/>
    <row r="7655" s="76" customFormat="1" ht="21.95" customHeight="1" x14ac:dyDescent="0.15"/>
    <row r="7656" s="76" customFormat="1" ht="21.95" customHeight="1" x14ac:dyDescent="0.15"/>
    <row r="7657" s="76" customFormat="1" ht="21.95" customHeight="1" x14ac:dyDescent="0.15"/>
    <row r="7658" s="76" customFormat="1" ht="21.95" customHeight="1" x14ac:dyDescent="0.15"/>
    <row r="7659" s="76" customFormat="1" ht="21.95" customHeight="1" x14ac:dyDescent="0.15"/>
    <row r="7660" s="76" customFormat="1" ht="21.95" customHeight="1" x14ac:dyDescent="0.15"/>
    <row r="7661" s="76" customFormat="1" ht="21.95" customHeight="1" x14ac:dyDescent="0.15"/>
    <row r="7662" s="76" customFormat="1" ht="21.95" customHeight="1" x14ac:dyDescent="0.15"/>
    <row r="7663" s="76" customFormat="1" ht="21.95" customHeight="1" x14ac:dyDescent="0.15"/>
    <row r="7664" s="76" customFormat="1" ht="21.95" customHeight="1" x14ac:dyDescent="0.15"/>
    <row r="7665" s="76" customFormat="1" ht="21.95" customHeight="1" x14ac:dyDescent="0.15"/>
    <row r="7666" s="76" customFormat="1" ht="21.95" customHeight="1" x14ac:dyDescent="0.15"/>
    <row r="7667" s="76" customFormat="1" ht="21.95" customHeight="1" x14ac:dyDescent="0.15"/>
    <row r="7668" s="76" customFormat="1" ht="21.95" customHeight="1" x14ac:dyDescent="0.15"/>
    <row r="7669" s="76" customFormat="1" ht="21.95" customHeight="1" x14ac:dyDescent="0.15"/>
    <row r="7670" s="76" customFormat="1" ht="21.95" customHeight="1" x14ac:dyDescent="0.15"/>
    <row r="7671" s="76" customFormat="1" ht="21.95" customHeight="1" x14ac:dyDescent="0.15"/>
    <row r="7672" s="76" customFormat="1" ht="21.95" customHeight="1" x14ac:dyDescent="0.15"/>
    <row r="7673" s="76" customFormat="1" ht="21.95" customHeight="1" x14ac:dyDescent="0.15"/>
    <row r="7674" s="76" customFormat="1" ht="21.95" customHeight="1" x14ac:dyDescent="0.15"/>
    <row r="7675" s="76" customFormat="1" ht="21.95" customHeight="1" x14ac:dyDescent="0.15"/>
    <row r="7676" s="76" customFormat="1" ht="21.95" customHeight="1" x14ac:dyDescent="0.15"/>
    <row r="7677" s="76" customFormat="1" ht="21.95" customHeight="1" x14ac:dyDescent="0.15"/>
    <row r="7678" s="76" customFormat="1" ht="21.95" customHeight="1" x14ac:dyDescent="0.15"/>
    <row r="7679" s="76" customFormat="1" ht="21.95" customHeight="1" x14ac:dyDescent="0.15"/>
    <row r="7680" s="76" customFormat="1" ht="21.95" customHeight="1" x14ac:dyDescent="0.15"/>
    <row r="7681" s="76" customFormat="1" ht="21.95" customHeight="1" x14ac:dyDescent="0.15"/>
    <row r="7682" s="76" customFormat="1" ht="21.95" customHeight="1" x14ac:dyDescent="0.15"/>
    <row r="7683" s="76" customFormat="1" ht="21.95" customHeight="1" x14ac:dyDescent="0.15"/>
    <row r="7684" s="76" customFormat="1" ht="21.95" customHeight="1" x14ac:dyDescent="0.15"/>
    <row r="7685" s="76" customFormat="1" ht="21.95" customHeight="1" x14ac:dyDescent="0.15"/>
    <row r="7686" s="76" customFormat="1" ht="21.95" customHeight="1" x14ac:dyDescent="0.15"/>
    <row r="7687" s="76" customFormat="1" ht="21.95" customHeight="1" x14ac:dyDescent="0.15"/>
    <row r="7688" s="76" customFormat="1" ht="21.95" customHeight="1" x14ac:dyDescent="0.15"/>
    <row r="7689" s="76" customFormat="1" ht="21.95" customHeight="1" x14ac:dyDescent="0.15"/>
    <row r="7690" s="76" customFormat="1" ht="21.95" customHeight="1" x14ac:dyDescent="0.15"/>
    <row r="7691" s="76" customFormat="1" ht="21.95" customHeight="1" x14ac:dyDescent="0.15"/>
    <row r="7692" s="76" customFormat="1" ht="21.95" customHeight="1" x14ac:dyDescent="0.15"/>
    <row r="7693" s="76" customFormat="1" ht="21.95" customHeight="1" x14ac:dyDescent="0.15"/>
    <row r="7694" s="76" customFormat="1" ht="21.95" customHeight="1" x14ac:dyDescent="0.15"/>
    <row r="7695" s="76" customFormat="1" ht="21.95" customHeight="1" x14ac:dyDescent="0.15"/>
    <row r="7696" s="76" customFormat="1" ht="21.95" customHeight="1" x14ac:dyDescent="0.15"/>
    <row r="7697" s="76" customFormat="1" ht="21.95" customHeight="1" x14ac:dyDescent="0.15"/>
    <row r="7698" s="76" customFormat="1" ht="21.95" customHeight="1" x14ac:dyDescent="0.15"/>
    <row r="7699" s="76" customFormat="1" ht="21.95" customHeight="1" x14ac:dyDescent="0.15"/>
    <row r="7700" s="76" customFormat="1" ht="21.95" customHeight="1" x14ac:dyDescent="0.15"/>
    <row r="7701" s="76" customFormat="1" ht="21.95" customHeight="1" x14ac:dyDescent="0.15"/>
    <row r="7702" s="76" customFormat="1" ht="21.95" customHeight="1" x14ac:dyDescent="0.15"/>
    <row r="7703" s="76" customFormat="1" ht="21.95" customHeight="1" x14ac:dyDescent="0.15"/>
    <row r="7704" s="76" customFormat="1" ht="21.95" customHeight="1" x14ac:dyDescent="0.15"/>
    <row r="7705" s="76" customFormat="1" ht="35.1" customHeight="1" x14ac:dyDescent="0.15"/>
    <row r="7706" s="76" customFormat="1" ht="21.95" customHeight="1" x14ac:dyDescent="0.15"/>
    <row r="7707" s="76" customFormat="1" ht="21.95" customHeight="1" x14ac:dyDescent="0.15"/>
    <row r="7708" s="76" customFormat="1" ht="21.95" customHeight="1" x14ac:dyDescent="0.15"/>
    <row r="7709" s="76" customFormat="1" ht="21.95" customHeight="1" x14ac:dyDescent="0.15"/>
    <row r="7710" s="76" customFormat="1" ht="21.95" customHeight="1" x14ac:dyDescent="0.15"/>
    <row r="7711" s="76" customFormat="1" ht="21.95" customHeight="1" x14ac:dyDescent="0.15"/>
    <row r="7712" s="76" customFormat="1" ht="21.95" customHeight="1" x14ac:dyDescent="0.15"/>
    <row r="7713" s="76" customFormat="1" ht="21.95" customHeight="1" x14ac:dyDescent="0.15"/>
    <row r="7714" s="76" customFormat="1" ht="21.95" customHeight="1" x14ac:dyDescent="0.15"/>
    <row r="7715" s="76" customFormat="1" ht="21.95" customHeight="1" x14ac:dyDescent="0.15"/>
    <row r="7716" s="76" customFormat="1" ht="21.95" customHeight="1" x14ac:dyDescent="0.15"/>
    <row r="7717" s="76" customFormat="1" ht="21.95" customHeight="1" x14ac:dyDescent="0.15"/>
    <row r="7718" s="76" customFormat="1" ht="21.95" customHeight="1" x14ac:dyDescent="0.15"/>
    <row r="7719" s="76" customFormat="1" ht="21.95" customHeight="1" x14ac:dyDescent="0.15"/>
    <row r="7720" s="76" customFormat="1" ht="21.95" customHeight="1" x14ac:dyDescent="0.15"/>
    <row r="7721" s="76" customFormat="1" ht="21.95" customHeight="1" x14ac:dyDescent="0.15"/>
    <row r="7722" s="76" customFormat="1" ht="21.95" customHeight="1" x14ac:dyDescent="0.15"/>
    <row r="7723" s="76" customFormat="1" ht="21.95" customHeight="1" x14ac:dyDescent="0.15"/>
    <row r="7724" s="76" customFormat="1" ht="21.95" customHeight="1" x14ac:dyDescent="0.15"/>
    <row r="7725" s="76" customFormat="1" ht="21.95" customHeight="1" x14ac:dyDescent="0.15"/>
    <row r="7726" s="76" customFormat="1" ht="21.95" customHeight="1" x14ac:dyDescent="0.15"/>
    <row r="7727" s="76" customFormat="1" ht="21.95" customHeight="1" x14ac:dyDescent="0.15"/>
    <row r="7728" s="76" customFormat="1" ht="21.95" customHeight="1" x14ac:dyDescent="0.15"/>
    <row r="7729" spans="3:3" customFormat="1" ht="21.95" customHeight="1" x14ac:dyDescent="0.15"/>
    <row r="7730" spans="3:3" customFormat="1" ht="21.95" customHeight="1" x14ac:dyDescent="0.15"/>
    <row r="7731" spans="3:3" customFormat="1" ht="21.95" customHeight="1" x14ac:dyDescent="0.15">
      <c r="C7731" s="94"/>
    </row>
    <row r="7732" spans="3:3" customFormat="1" ht="21.95" customHeight="1" x14ac:dyDescent="0.15">
      <c r="C7732" s="94"/>
    </row>
    <row r="7733" spans="3:3" customFormat="1" ht="21.95" customHeight="1" x14ac:dyDescent="0.15"/>
    <row r="7734" spans="3:3" customFormat="1" ht="21.95" customHeight="1" x14ac:dyDescent="0.15"/>
    <row r="7735" spans="3:3" customFormat="1" ht="21.95" customHeight="1" x14ac:dyDescent="0.15"/>
    <row r="7736" spans="3:3" customFormat="1" ht="21.95" customHeight="1" x14ac:dyDescent="0.15"/>
    <row r="7737" spans="3:3" customFormat="1" ht="21.95" customHeight="1" x14ac:dyDescent="0.15"/>
    <row r="7738" spans="3:3" customFormat="1" ht="21.95" customHeight="1" x14ac:dyDescent="0.15"/>
    <row r="7739" spans="3:3" customFormat="1" ht="21.95" customHeight="1" x14ac:dyDescent="0.15"/>
    <row r="7740" spans="3:3" s="76" customFormat="1" ht="21.95" customHeight="1" x14ac:dyDescent="0.15"/>
    <row r="7741" spans="3:3" s="76" customFormat="1" ht="21.95" customHeight="1" x14ac:dyDescent="0.15"/>
    <row r="7742" spans="3:3" s="76" customFormat="1" ht="21.95" customHeight="1" x14ac:dyDescent="0.15"/>
    <row r="7743" spans="3:3" s="76" customFormat="1" ht="21.95" customHeight="1" x14ac:dyDescent="0.15"/>
    <row r="7744" spans="3:3" customFormat="1" ht="21.95" customHeight="1" x14ac:dyDescent="0.15"/>
    <row r="7745" customFormat="1" ht="21.95" customHeight="1" x14ac:dyDescent="0.15"/>
    <row r="7746" customFormat="1" ht="21.95" customHeight="1" x14ac:dyDescent="0.15"/>
    <row r="7747" customFormat="1" ht="21.95" customHeight="1" x14ac:dyDescent="0.15"/>
    <row r="7748" customFormat="1" ht="21.95" customHeight="1" x14ac:dyDescent="0.15"/>
    <row r="7749" customFormat="1" ht="21.95" customHeight="1" x14ac:dyDescent="0.15"/>
    <row r="7750" customFormat="1" ht="21.95" customHeight="1" x14ac:dyDescent="0.15"/>
    <row r="7751" customFormat="1" ht="21.95" customHeight="1" x14ac:dyDescent="0.15"/>
    <row r="7752" customFormat="1" ht="21.95" customHeight="1" x14ac:dyDescent="0.15"/>
    <row r="7753" customFormat="1" ht="21.95" customHeight="1" x14ac:dyDescent="0.15"/>
    <row r="7754" customFormat="1" ht="21.95" customHeight="1" x14ac:dyDescent="0.15"/>
    <row r="7755" customFormat="1" ht="32.1" customHeight="1" x14ac:dyDescent="0.15"/>
    <row r="7756" customFormat="1" ht="32.1" customHeight="1" x14ac:dyDescent="0.15"/>
    <row r="7757" customFormat="1" ht="32.1" customHeight="1" x14ac:dyDescent="0.15"/>
    <row r="7758" customFormat="1" ht="32.1" customHeight="1" x14ac:dyDescent="0.15"/>
    <row r="7759" customFormat="1" ht="32.1" customHeight="1" x14ac:dyDescent="0.15"/>
    <row r="7760" customFormat="1" ht="32.1" customHeight="1" x14ac:dyDescent="0.15"/>
    <row r="7761" s="76" customFormat="1" ht="32.1" customHeight="1" x14ac:dyDescent="0.15"/>
    <row r="7762" s="76" customFormat="1" ht="32.1" customHeight="1" x14ac:dyDescent="0.15"/>
    <row r="7763" s="76" customFormat="1" ht="32.1" customHeight="1" x14ac:dyDescent="0.15"/>
    <row r="7764" s="76" customFormat="1" ht="32.1" customHeight="1" x14ac:dyDescent="0.15"/>
    <row r="7765" s="76" customFormat="1" ht="21.95" customHeight="1" x14ac:dyDescent="0.15"/>
    <row r="7766" s="76" customFormat="1" ht="54" customHeight="1" x14ac:dyDescent="0.15"/>
    <row r="7767" s="76" customFormat="1" ht="21.95" customHeight="1" x14ac:dyDescent="0.15"/>
    <row r="7768" s="76" customFormat="1" ht="21.95" customHeight="1" x14ac:dyDescent="0.15"/>
    <row r="7769" s="76" customFormat="1" ht="21.95" customHeight="1" x14ac:dyDescent="0.15"/>
    <row r="7770" s="76" customFormat="1" ht="21.95" customHeight="1" x14ac:dyDescent="0.15"/>
    <row r="7771" s="76" customFormat="1" ht="21.95" customHeight="1" x14ac:dyDescent="0.15"/>
    <row r="7772" s="76" customFormat="1" ht="21.95" customHeight="1" x14ac:dyDescent="0.15"/>
    <row r="7773" s="76" customFormat="1" ht="21.95" customHeight="1" x14ac:dyDescent="0.15"/>
    <row r="7774" s="76" customFormat="1" ht="21.95" customHeight="1" x14ac:dyDescent="0.15"/>
    <row r="7775" s="76" customFormat="1" ht="21.95" customHeight="1" x14ac:dyDescent="0.15"/>
    <row r="7776" s="76" customFormat="1" ht="21.95" customHeight="1" x14ac:dyDescent="0.15"/>
    <row r="7777" s="76" customFormat="1" ht="21.95" customHeight="1" x14ac:dyDescent="0.15"/>
    <row r="7778" s="76" customFormat="1" ht="21.95" customHeight="1" x14ac:dyDescent="0.15"/>
    <row r="7779" s="76" customFormat="1" ht="21.95" customHeight="1" x14ac:dyDescent="0.15"/>
    <row r="7780" s="76" customFormat="1" ht="21.95" customHeight="1" x14ac:dyDescent="0.15"/>
    <row r="7781" s="76" customFormat="1" ht="21.95" customHeight="1" x14ac:dyDescent="0.15"/>
    <row r="7782" s="76" customFormat="1" ht="21.95" customHeight="1" x14ac:dyDescent="0.15"/>
    <row r="7783" s="76" customFormat="1" ht="21.95" customHeight="1" x14ac:dyDescent="0.15"/>
    <row r="7784" s="76" customFormat="1" ht="21.95" customHeight="1" x14ac:dyDescent="0.15"/>
    <row r="7785" s="76" customFormat="1" ht="21.95" customHeight="1" x14ac:dyDescent="0.15"/>
    <row r="7786" s="76" customFormat="1" ht="21.95" customHeight="1" x14ac:dyDescent="0.15"/>
    <row r="7787" s="76" customFormat="1" ht="21.95" customHeight="1" x14ac:dyDescent="0.15"/>
    <row r="7788" s="76" customFormat="1" ht="21.95" customHeight="1" x14ac:dyDescent="0.15"/>
    <row r="7789" s="76" customFormat="1" ht="21.95" customHeight="1" x14ac:dyDescent="0.15"/>
    <row r="7790" s="76" customFormat="1" ht="21.95" customHeight="1" x14ac:dyDescent="0.15"/>
    <row r="7791" s="76" customFormat="1" ht="21.95" customHeight="1" x14ac:dyDescent="0.15"/>
    <row r="7792" s="76" customFormat="1" ht="21.95" customHeight="1" x14ac:dyDescent="0.15"/>
    <row r="7793" s="76" customFormat="1" ht="21.95" customHeight="1" x14ac:dyDescent="0.15"/>
    <row r="7794" s="76" customFormat="1" ht="21.95" customHeight="1" x14ac:dyDescent="0.15"/>
    <row r="7795" s="76" customFormat="1" ht="21.95" customHeight="1" x14ac:dyDescent="0.15"/>
    <row r="7796" s="76" customFormat="1" ht="21.95" customHeight="1" x14ac:dyDescent="0.15"/>
    <row r="7797" s="76" customFormat="1" ht="21.95" customHeight="1" x14ac:dyDescent="0.15"/>
    <row r="7798" s="76" customFormat="1" ht="21.95" customHeight="1" x14ac:dyDescent="0.15"/>
    <row r="7799" s="76" customFormat="1" ht="21.95" customHeight="1" x14ac:dyDescent="0.15"/>
    <row r="7800" s="76" customFormat="1" ht="21.95" customHeight="1" x14ac:dyDescent="0.15"/>
    <row r="7801" s="76" customFormat="1" ht="21.95" customHeight="1" x14ac:dyDescent="0.15"/>
    <row r="7802" s="76" customFormat="1" ht="21.95" customHeight="1" x14ac:dyDescent="0.15"/>
    <row r="7803" s="76" customFormat="1" ht="21.95" customHeight="1" x14ac:dyDescent="0.15"/>
    <row r="7804" s="76" customFormat="1" ht="21.95" customHeight="1" x14ac:dyDescent="0.15"/>
    <row r="7805" s="76" customFormat="1" ht="21.95" customHeight="1" x14ac:dyDescent="0.15"/>
    <row r="7806" s="76" customFormat="1" ht="21.95" customHeight="1" x14ac:dyDescent="0.15"/>
    <row r="7807" s="76" customFormat="1" ht="21.95" customHeight="1" x14ac:dyDescent="0.15"/>
    <row r="7808" s="76" customFormat="1" ht="21.95" customHeight="1" x14ac:dyDescent="0.15"/>
    <row r="7809" s="76" customFormat="1" ht="21.95" customHeight="1" x14ac:dyDescent="0.15"/>
    <row r="7810" s="76" customFormat="1" ht="21.95" customHeight="1" x14ac:dyDescent="0.15"/>
    <row r="7811" s="76" customFormat="1" ht="21.95" customHeight="1" x14ac:dyDescent="0.15"/>
    <row r="7812" s="76" customFormat="1" ht="21.95" customHeight="1" x14ac:dyDescent="0.15"/>
    <row r="7813" s="76" customFormat="1" ht="21.95" customHeight="1" x14ac:dyDescent="0.15"/>
    <row r="7814" s="76" customFormat="1" ht="21.95" customHeight="1" x14ac:dyDescent="0.15"/>
    <row r="7815" s="76" customFormat="1" ht="21.95" customHeight="1" x14ac:dyDescent="0.15"/>
    <row r="7816" s="76" customFormat="1" ht="21.95" customHeight="1" x14ac:dyDescent="0.15"/>
    <row r="7817" s="76" customFormat="1" ht="35.1" customHeight="1" x14ac:dyDescent="0.15"/>
    <row r="7818" s="76" customFormat="1" ht="21.95" customHeight="1" x14ac:dyDescent="0.15"/>
    <row r="7819" s="76" customFormat="1" ht="21.95" customHeight="1" x14ac:dyDescent="0.15"/>
    <row r="7820" s="76" customFormat="1" ht="21.95" customHeight="1" x14ac:dyDescent="0.15"/>
    <row r="7821" s="76" customFormat="1" ht="21.95" customHeight="1" x14ac:dyDescent="0.15"/>
    <row r="7822" s="76" customFormat="1" ht="21.95" customHeight="1" x14ac:dyDescent="0.15"/>
    <row r="7823" s="76" customFormat="1" ht="21.95" customHeight="1" x14ac:dyDescent="0.15"/>
    <row r="7824" s="76" customFormat="1" ht="21.95" customHeight="1" x14ac:dyDescent="0.15"/>
    <row r="7825" s="76" customFormat="1" ht="21.95" customHeight="1" x14ac:dyDescent="0.15"/>
    <row r="7826" s="76" customFormat="1" ht="21.95" customHeight="1" x14ac:dyDescent="0.15"/>
    <row r="7827" s="76" customFormat="1" ht="21.95" customHeight="1" x14ac:dyDescent="0.15"/>
    <row r="7828" s="76" customFormat="1" ht="21.95" customHeight="1" x14ac:dyDescent="0.15"/>
    <row r="7829" s="76" customFormat="1" ht="21.95" customHeight="1" x14ac:dyDescent="0.15"/>
    <row r="7830" s="76" customFormat="1" ht="21.95" customHeight="1" x14ac:dyDescent="0.15"/>
    <row r="7831" s="76" customFormat="1" ht="21.95" customHeight="1" x14ac:dyDescent="0.15"/>
    <row r="7832" s="76" customFormat="1" ht="21.95" customHeight="1" x14ac:dyDescent="0.15"/>
    <row r="7833" s="76" customFormat="1" ht="21.95" customHeight="1" x14ac:dyDescent="0.15"/>
    <row r="7834" s="76" customFormat="1" ht="21.95" customHeight="1" x14ac:dyDescent="0.15"/>
    <row r="7835" s="76" customFormat="1" ht="21.95" customHeight="1" x14ac:dyDescent="0.15"/>
    <row r="7836" s="76" customFormat="1" ht="21.95" customHeight="1" x14ac:dyDescent="0.15"/>
    <row r="7837" s="76" customFormat="1" ht="21.95" customHeight="1" x14ac:dyDescent="0.15"/>
    <row r="7838" s="76" customFormat="1" ht="21.95" customHeight="1" x14ac:dyDescent="0.15"/>
    <row r="7839" s="76" customFormat="1" ht="21.95" customHeight="1" x14ac:dyDescent="0.15"/>
    <row r="7840" s="76" customFormat="1" ht="21.95" customHeight="1" x14ac:dyDescent="0.15"/>
    <row r="7841" spans="3:3" customFormat="1" ht="21.95" customHeight="1" x14ac:dyDescent="0.15"/>
    <row r="7842" spans="3:3" customFormat="1" ht="21.95" customHeight="1" x14ac:dyDescent="0.15"/>
    <row r="7843" spans="3:3" customFormat="1" ht="21.95" customHeight="1" x14ac:dyDescent="0.15">
      <c r="C7843" s="94"/>
    </row>
    <row r="7844" spans="3:3" customFormat="1" ht="21.95" customHeight="1" x14ac:dyDescent="0.15">
      <c r="C7844" s="94"/>
    </row>
    <row r="7845" spans="3:3" customFormat="1" ht="21.95" customHeight="1" x14ac:dyDescent="0.15"/>
    <row r="7846" spans="3:3" customFormat="1" ht="21.95" customHeight="1" x14ac:dyDescent="0.15"/>
    <row r="7847" spans="3:3" customFormat="1" ht="21.95" customHeight="1" x14ac:dyDescent="0.15"/>
    <row r="7848" spans="3:3" customFormat="1" ht="21.95" customHeight="1" x14ac:dyDescent="0.15"/>
    <row r="7849" spans="3:3" customFormat="1" ht="21.95" customHeight="1" x14ac:dyDescent="0.15"/>
    <row r="7850" spans="3:3" customFormat="1" ht="21.95" customHeight="1" x14ac:dyDescent="0.15"/>
    <row r="7851" spans="3:3" customFormat="1" ht="21.95" customHeight="1" x14ac:dyDescent="0.15"/>
    <row r="7852" spans="3:3" s="76" customFormat="1" ht="21.95" customHeight="1" x14ac:dyDescent="0.15"/>
    <row r="7853" spans="3:3" s="76" customFormat="1" ht="21.95" customHeight="1" x14ac:dyDescent="0.15"/>
    <row r="7854" spans="3:3" s="76" customFormat="1" ht="21.95" customHeight="1" x14ac:dyDescent="0.15"/>
    <row r="7855" spans="3:3" s="76" customFormat="1" ht="21.95" customHeight="1" x14ac:dyDescent="0.15"/>
    <row r="7856" spans="3:3" customFormat="1" ht="21.95" customHeight="1" x14ac:dyDescent="0.15"/>
    <row r="7857" customFormat="1" ht="21.95" customHeight="1" x14ac:dyDescent="0.15"/>
    <row r="7858" customFormat="1" ht="21.95" customHeight="1" x14ac:dyDescent="0.15"/>
    <row r="7859" customFormat="1" ht="21.95" customHeight="1" x14ac:dyDescent="0.15"/>
    <row r="7860" customFormat="1" ht="21.95" customHeight="1" x14ac:dyDescent="0.15"/>
    <row r="7861" customFormat="1" ht="21.95" customHeight="1" x14ac:dyDescent="0.15"/>
    <row r="7862" customFormat="1" ht="21.95" customHeight="1" x14ac:dyDescent="0.15"/>
    <row r="7863" customFormat="1" ht="21.95" customHeight="1" x14ac:dyDescent="0.15"/>
    <row r="7864" customFormat="1" ht="21.95" customHeight="1" x14ac:dyDescent="0.15"/>
    <row r="7865" customFormat="1" ht="21.95" customHeight="1" x14ac:dyDescent="0.15"/>
    <row r="7866" customFormat="1" ht="21.95" customHeight="1" x14ac:dyDescent="0.15"/>
    <row r="7867" customFormat="1" ht="32.1" customHeight="1" x14ac:dyDescent="0.15"/>
    <row r="7868" customFormat="1" ht="32.1" customHeight="1" x14ac:dyDescent="0.15"/>
    <row r="7869" customFormat="1" ht="32.1" customHeight="1" x14ac:dyDescent="0.15"/>
    <row r="7870" customFormat="1" ht="32.1" customHeight="1" x14ac:dyDescent="0.15"/>
    <row r="7871" customFormat="1" ht="32.1" customHeight="1" x14ac:dyDescent="0.15"/>
    <row r="7872" customFormat="1" ht="32.1" customHeight="1" x14ac:dyDescent="0.15"/>
    <row r="7873" s="76" customFormat="1" ht="32.1" customHeight="1" x14ac:dyDescent="0.15"/>
    <row r="7874" s="76" customFormat="1" ht="32.1" customHeight="1" x14ac:dyDescent="0.15"/>
    <row r="7875" s="76" customFormat="1" ht="32.1" customHeight="1" x14ac:dyDescent="0.15"/>
    <row r="7876" s="76" customFormat="1" ht="32.1" customHeight="1" x14ac:dyDescent="0.15"/>
    <row r="7877" s="76" customFormat="1" ht="21.95" customHeight="1" x14ac:dyDescent="0.15"/>
    <row r="7878" s="76" customFormat="1" ht="54" customHeight="1" x14ac:dyDescent="0.15"/>
    <row r="7879" s="76" customFormat="1" ht="21.95" customHeight="1" x14ac:dyDescent="0.15"/>
    <row r="7880" s="76" customFormat="1" ht="21.95" customHeight="1" x14ac:dyDescent="0.15"/>
    <row r="7881" s="76" customFormat="1" ht="21.95" customHeight="1" x14ac:dyDescent="0.15"/>
    <row r="7882" s="76" customFormat="1" ht="21.95" customHeight="1" x14ac:dyDescent="0.15"/>
    <row r="7883" s="76" customFormat="1" ht="21.95" customHeight="1" x14ac:dyDescent="0.15"/>
    <row r="7884" s="76" customFormat="1" ht="21.95" customHeight="1" x14ac:dyDescent="0.15"/>
    <row r="7885" s="76" customFormat="1" ht="21.95" customHeight="1" x14ac:dyDescent="0.15"/>
    <row r="7886" s="76" customFormat="1" ht="21.95" customHeight="1" x14ac:dyDescent="0.15"/>
    <row r="7887" s="76" customFormat="1" ht="21.95" customHeight="1" x14ac:dyDescent="0.15"/>
    <row r="7888" s="76" customFormat="1" ht="21.95" customHeight="1" x14ac:dyDescent="0.15"/>
    <row r="7889" s="76" customFormat="1" ht="21.95" customHeight="1" x14ac:dyDescent="0.15"/>
    <row r="7890" s="76" customFormat="1" ht="21.95" customHeight="1" x14ac:dyDescent="0.15"/>
    <row r="7891" s="76" customFormat="1" ht="21.95" customHeight="1" x14ac:dyDescent="0.15"/>
    <row r="7892" s="76" customFormat="1" ht="21.95" customHeight="1" x14ac:dyDescent="0.15"/>
    <row r="7893" s="76" customFormat="1" ht="21.95" customHeight="1" x14ac:dyDescent="0.15"/>
    <row r="7894" s="76" customFormat="1" ht="21.95" customHeight="1" x14ac:dyDescent="0.15"/>
    <row r="7895" s="76" customFormat="1" ht="21.95" customHeight="1" x14ac:dyDescent="0.15"/>
    <row r="7896" s="76" customFormat="1" ht="21.95" customHeight="1" x14ac:dyDescent="0.15"/>
    <row r="7897" s="76" customFormat="1" ht="21.95" customHeight="1" x14ac:dyDescent="0.15"/>
    <row r="7898" s="76" customFormat="1" ht="21.95" customHeight="1" x14ac:dyDescent="0.15"/>
    <row r="7899" s="76" customFormat="1" ht="21.95" customHeight="1" x14ac:dyDescent="0.15"/>
    <row r="7900" s="76" customFormat="1" ht="21.95" customHeight="1" x14ac:dyDescent="0.15"/>
    <row r="7901" s="76" customFormat="1" ht="21.95" customHeight="1" x14ac:dyDescent="0.15"/>
    <row r="7902" s="76" customFormat="1" ht="21.95" customHeight="1" x14ac:dyDescent="0.15"/>
    <row r="7903" s="76" customFormat="1" ht="21.95" customHeight="1" x14ac:dyDescent="0.15"/>
    <row r="7904" s="76" customFormat="1" ht="21.95" customHeight="1" x14ac:dyDescent="0.15"/>
    <row r="7905" s="76" customFormat="1" ht="21.95" customHeight="1" x14ac:dyDescent="0.15"/>
    <row r="7906" s="76" customFormat="1" ht="21.95" customHeight="1" x14ac:dyDescent="0.15"/>
    <row r="7907" s="76" customFormat="1" ht="21.95" customHeight="1" x14ac:dyDescent="0.15"/>
    <row r="7908" s="76" customFormat="1" ht="21.95" customHeight="1" x14ac:dyDescent="0.15"/>
    <row r="7909" s="76" customFormat="1" ht="21.95" customHeight="1" x14ac:dyDescent="0.15"/>
    <row r="7910" s="76" customFormat="1" ht="21.95" customHeight="1" x14ac:dyDescent="0.15"/>
    <row r="7911" s="76" customFormat="1" ht="21.95" customHeight="1" x14ac:dyDescent="0.15"/>
    <row r="7912" s="76" customFormat="1" ht="21.95" customHeight="1" x14ac:dyDescent="0.15"/>
    <row r="7913" s="76" customFormat="1" ht="21.95" customHeight="1" x14ac:dyDescent="0.15"/>
    <row r="7914" s="76" customFormat="1" ht="21.95" customHeight="1" x14ac:dyDescent="0.15"/>
    <row r="7915" s="76" customFormat="1" ht="21.95" customHeight="1" x14ac:dyDescent="0.15"/>
    <row r="7916" s="76" customFormat="1" ht="21.95" customHeight="1" x14ac:dyDescent="0.15"/>
    <row r="7917" s="76" customFormat="1" ht="21.95" customHeight="1" x14ac:dyDescent="0.15"/>
    <row r="7918" s="76" customFormat="1" ht="21.95" customHeight="1" x14ac:dyDescent="0.15"/>
    <row r="7919" s="76" customFormat="1" ht="21.95" customHeight="1" x14ac:dyDescent="0.15"/>
    <row r="7920" s="76" customFormat="1" ht="21.95" customHeight="1" x14ac:dyDescent="0.15"/>
    <row r="7921" s="76" customFormat="1" ht="21.95" customHeight="1" x14ac:dyDescent="0.15"/>
    <row r="7922" s="76" customFormat="1" ht="21.95" customHeight="1" x14ac:dyDescent="0.15"/>
    <row r="7923" s="76" customFormat="1" ht="21.95" customHeight="1" x14ac:dyDescent="0.15"/>
    <row r="7924" s="76" customFormat="1" ht="21.95" customHeight="1" x14ac:dyDescent="0.15"/>
    <row r="7925" s="76" customFormat="1" ht="21.95" customHeight="1" x14ac:dyDescent="0.15"/>
    <row r="7926" s="76" customFormat="1" ht="21.95" customHeight="1" x14ac:dyDescent="0.15"/>
    <row r="7927" s="76" customFormat="1" ht="21.95" customHeight="1" x14ac:dyDescent="0.15"/>
    <row r="7928" s="76" customFormat="1" ht="21.95" customHeight="1" x14ac:dyDescent="0.15"/>
    <row r="7929" s="76" customFormat="1" ht="35.1" customHeight="1" x14ac:dyDescent="0.15"/>
    <row r="7930" s="76" customFormat="1" ht="21.95" customHeight="1" x14ac:dyDescent="0.15"/>
    <row r="7931" s="76" customFormat="1" ht="21.95" customHeight="1" x14ac:dyDescent="0.15"/>
    <row r="7932" s="76" customFormat="1" ht="21.95" customHeight="1" x14ac:dyDescent="0.15"/>
    <row r="7933" s="76" customFormat="1" ht="21.95" customHeight="1" x14ac:dyDescent="0.15"/>
    <row r="7934" s="76" customFormat="1" ht="21.95" customHeight="1" x14ac:dyDescent="0.15"/>
    <row r="7935" s="76" customFormat="1" ht="21.95" customHeight="1" x14ac:dyDescent="0.15"/>
    <row r="7936" s="76" customFormat="1" ht="21.95" customHeight="1" x14ac:dyDescent="0.15"/>
    <row r="7937" s="76" customFormat="1" ht="21.95" customHeight="1" x14ac:dyDescent="0.15"/>
    <row r="7938" s="76" customFormat="1" ht="21.95" customHeight="1" x14ac:dyDescent="0.15"/>
    <row r="7939" s="76" customFormat="1" ht="21.95" customHeight="1" x14ac:dyDescent="0.15"/>
    <row r="7940" s="76" customFormat="1" ht="21.95" customHeight="1" x14ac:dyDescent="0.15"/>
    <row r="7941" s="76" customFormat="1" ht="21.95" customHeight="1" x14ac:dyDescent="0.15"/>
    <row r="7942" s="76" customFormat="1" ht="21.95" customHeight="1" x14ac:dyDescent="0.15"/>
    <row r="7943" s="76" customFormat="1" ht="21.95" customHeight="1" x14ac:dyDescent="0.15"/>
    <row r="7944" s="76" customFormat="1" ht="21.95" customHeight="1" x14ac:dyDescent="0.15"/>
    <row r="7945" s="76" customFormat="1" ht="21.95" customHeight="1" x14ac:dyDescent="0.15"/>
    <row r="7946" s="76" customFormat="1" ht="21.95" customHeight="1" x14ac:dyDescent="0.15"/>
    <row r="7947" s="76" customFormat="1" ht="21.95" customHeight="1" x14ac:dyDescent="0.15"/>
    <row r="7948" s="76" customFormat="1" ht="21.95" customHeight="1" x14ac:dyDescent="0.15"/>
    <row r="7949" s="76" customFormat="1" ht="21.95" customHeight="1" x14ac:dyDescent="0.15"/>
    <row r="7950" s="76" customFormat="1" ht="21.95" customHeight="1" x14ac:dyDescent="0.15"/>
    <row r="7951" s="76" customFormat="1" ht="21.95" customHeight="1" x14ac:dyDescent="0.15"/>
    <row r="7952" s="76" customFormat="1" ht="21.95" customHeight="1" x14ac:dyDescent="0.15"/>
    <row r="7953" spans="3:3" customFormat="1" ht="21.95" customHeight="1" x14ac:dyDescent="0.15"/>
    <row r="7954" spans="3:3" customFormat="1" ht="21.95" customHeight="1" x14ac:dyDescent="0.15"/>
    <row r="7955" spans="3:3" customFormat="1" ht="21.95" customHeight="1" x14ac:dyDescent="0.15">
      <c r="C7955" s="94"/>
    </row>
    <row r="7956" spans="3:3" customFormat="1" ht="21.95" customHeight="1" x14ac:dyDescent="0.15">
      <c r="C7956" s="94"/>
    </row>
    <row r="7957" spans="3:3" customFormat="1" ht="21.95" customHeight="1" x14ac:dyDescent="0.15"/>
    <row r="7958" spans="3:3" customFormat="1" ht="21.95" customHeight="1" x14ac:dyDescent="0.15"/>
    <row r="7959" spans="3:3" customFormat="1" ht="21.95" customHeight="1" x14ac:dyDescent="0.15"/>
    <row r="7960" spans="3:3" customFormat="1" ht="21.95" customHeight="1" x14ac:dyDescent="0.15"/>
    <row r="7961" spans="3:3" customFormat="1" ht="21.95" customHeight="1" x14ac:dyDescent="0.15"/>
    <row r="7962" spans="3:3" customFormat="1" ht="21.95" customHeight="1" x14ac:dyDescent="0.15"/>
    <row r="7963" spans="3:3" customFormat="1" ht="21.95" customHeight="1" x14ac:dyDescent="0.15"/>
    <row r="7964" spans="3:3" s="76" customFormat="1" ht="21.95" customHeight="1" x14ac:dyDescent="0.15"/>
    <row r="7965" spans="3:3" s="76" customFormat="1" ht="21.95" customHeight="1" x14ac:dyDescent="0.15"/>
    <row r="7966" spans="3:3" s="76" customFormat="1" ht="21.95" customHeight="1" x14ac:dyDescent="0.15"/>
    <row r="7967" spans="3:3" s="76" customFormat="1" ht="21.95" customHeight="1" x14ac:dyDescent="0.15"/>
    <row r="7968" spans="3:3" customFormat="1" ht="21.95" customHeight="1" x14ac:dyDescent="0.15"/>
    <row r="7969" customFormat="1" ht="21.95" customHeight="1" x14ac:dyDescent="0.15"/>
    <row r="7970" customFormat="1" ht="21.95" customHeight="1" x14ac:dyDescent="0.15"/>
    <row r="7971" customFormat="1" ht="21.95" customHeight="1" x14ac:dyDescent="0.15"/>
    <row r="7972" customFormat="1" ht="21.95" customHeight="1" x14ac:dyDescent="0.15"/>
    <row r="7973" customFormat="1" ht="21.95" customHeight="1" x14ac:dyDescent="0.15"/>
    <row r="7974" customFormat="1" ht="21.95" customHeight="1" x14ac:dyDescent="0.15"/>
    <row r="7975" customFormat="1" ht="21.95" customHeight="1" x14ac:dyDescent="0.15"/>
    <row r="7976" customFormat="1" ht="21.95" customHeight="1" x14ac:dyDescent="0.15"/>
    <row r="7977" customFormat="1" ht="21.95" customHeight="1" x14ac:dyDescent="0.15"/>
    <row r="7978" customFormat="1" ht="21.95" customHeight="1" x14ac:dyDescent="0.15"/>
    <row r="7979" customFormat="1" ht="32.1" customHeight="1" x14ac:dyDescent="0.15"/>
    <row r="7980" customFormat="1" ht="32.1" customHeight="1" x14ac:dyDescent="0.15"/>
    <row r="7981" customFormat="1" ht="32.1" customHeight="1" x14ac:dyDescent="0.15"/>
    <row r="7982" customFormat="1" ht="32.1" customHeight="1" x14ac:dyDescent="0.15"/>
    <row r="7983" customFormat="1" ht="32.1" customHeight="1" x14ac:dyDescent="0.15"/>
    <row r="7984" customFormat="1" ht="32.1" customHeight="1" x14ac:dyDescent="0.15"/>
    <row r="7985" s="76" customFormat="1" ht="32.1" customHeight="1" x14ac:dyDescent="0.15"/>
    <row r="7986" s="76" customFormat="1" ht="32.1" customHeight="1" x14ac:dyDescent="0.15"/>
    <row r="7987" s="76" customFormat="1" ht="32.1" customHeight="1" x14ac:dyDescent="0.15"/>
    <row r="7988" s="76" customFormat="1" ht="32.1" customHeight="1" x14ac:dyDescent="0.15"/>
    <row r="7989" s="76" customFormat="1" ht="21.95" customHeight="1" x14ac:dyDescent="0.15"/>
    <row r="7990" s="76" customFormat="1" ht="54" customHeight="1" x14ac:dyDescent="0.15"/>
    <row r="7991" s="76" customFormat="1" ht="21.95" customHeight="1" x14ac:dyDescent="0.15"/>
    <row r="7992" s="76" customFormat="1" ht="21.95" customHeight="1" x14ac:dyDescent="0.15"/>
    <row r="7993" s="76" customFormat="1" ht="21.95" customHeight="1" x14ac:dyDescent="0.15"/>
    <row r="7994" s="76" customFormat="1" ht="21.95" customHeight="1" x14ac:dyDescent="0.15"/>
    <row r="7995" s="76" customFormat="1" ht="21.95" customHeight="1" x14ac:dyDescent="0.15"/>
    <row r="7996" s="76" customFormat="1" ht="21.95" customHeight="1" x14ac:dyDescent="0.15"/>
    <row r="7997" s="76" customFormat="1" ht="21.95" customHeight="1" x14ac:dyDescent="0.15"/>
    <row r="7998" s="76" customFormat="1" ht="21.95" customHeight="1" x14ac:dyDescent="0.15"/>
    <row r="7999" s="76" customFormat="1" ht="21.95" customHeight="1" x14ac:dyDescent="0.15"/>
    <row r="8000" s="76" customFormat="1" ht="21.95" customHeight="1" x14ac:dyDescent="0.15"/>
    <row r="8001" s="76" customFormat="1" ht="21.95" customHeight="1" x14ac:dyDescent="0.15"/>
    <row r="8002" s="76" customFormat="1" ht="21.95" customHeight="1" x14ac:dyDescent="0.15"/>
    <row r="8003" s="76" customFormat="1" ht="21.95" customHeight="1" x14ac:dyDescent="0.15"/>
    <row r="8004" s="76" customFormat="1" ht="21.95" customHeight="1" x14ac:dyDescent="0.15"/>
    <row r="8005" s="76" customFormat="1" ht="21.95" customHeight="1" x14ac:dyDescent="0.15"/>
    <row r="8006" s="76" customFormat="1" ht="21.95" customHeight="1" x14ac:dyDescent="0.15"/>
    <row r="8007" s="76" customFormat="1" ht="21.95" customHeight="1" x14ac:dyDescent="0.15"/>
    <row r="8008" s="76" customFormat="1" ht="21.95" customHeight="1" x14ac:dyDescent="0.15"/>
    <row r="8009" s="76" customFormat="1" ht="21.95" customHeight="1" x14ac:dyDescent="0.15"/>
    <row r="8010" s="76" customFormat="1" ht="21.95" customHeight="1" x14ac:dyDescent="0.15"/>
    <row r="8011" s="76" customFormat="1" ht="21.95" customHeight="1" x14ac:dyDescent="0.15"/>
    <row r="8012" s="76" customFormat="1" ht="21.95" customHeight="1" x14ac:dyDescent="0.15"/>
    <row r="8013" s="76" customFormat="1" ht="21.95" customHeight="1" x14ac:dyDescent="0.15"/>
    <row r="8014" s="76" customFormat="1" ht="21.95" customHeight="1" x14ac:dyDescent="0.15"/>
    <row r="8015" s="76" customFormat="1" ht="21.95" customHeight="1" x14ac:dyDescent="0.15"/>
    <row r="8016" s="76" customFormat="1" ht="21.95" customHeight="1" x14ac:dyDescent="0.15"/>
    <row r="8017" s="76" customFormat="1" ht="21.95" customHeight="1" x14ac:dyDescent="0.15"/>
    <row r="8018" s="76" customFormat="1" ht="21.95" customHeight="1" x14ac:dyDescent="0.15"/>
    <row r="8019" s="76" customFormat="1" ht="21.95" customHeight="1" x14ac:dyDescent="0.15"/>
    <row r="8020" s="76" customFormat="1" ht="21.95" customHeight="1" x14ac:dyDescent="0.15"/>
    <row r="8021" s="76" customFormat="1" ht="21.95" customHeight="1" x14ac:dyDescent="0.15"/>
    <row r="8022" s="76" customFormat="1" ht="21.95" customHeight="1" x14ac:dyDescent="0.15"/>
    <row r="8023" s="76" customFormat="1" ht="21.95" customHeight="1" x14ac:dyDescent="0.15"/>
    <row r="8024" s="76" customFormat="1" ht="21.95" customHeight="1" x14ac:dyDescent="0.15"/>
    <row r="8025" s="76" customFormat="1" ht="21.95" customHeight="1" x14ac:dyDescent="0.15"/>
    <row r="8026" s="76" customFormat="1" ht="21.95" customHeight="1" x14ac:dyDescent="0.15"/>
    <row r="8027" s="76" customFormat="1" ht="21.95" customHeight="1" x14ac:dyDescent="0.15"/>
    <row r="8028" s="76" customFormat="1" ht="21.95" customHeight="1" x14ac:dyDescent="0.15"/>
    <row r="8029" s="76" customFormat="1" ht="21.95" customHeight="1" x14ac:dyDescent="0.15"/>
    <row r="8030" s="76" customFormat="1" ht="21.95" customHeight="1" x14ac:dyDescent="0.15"/>
    <row r="8031" s="76" customFormat="1" ht="21.95" customHeight="1" x14ac:dyDescent="0.15"/>
    <row r="8032" s="76" customFormat="1" ht="21.95" customHeight="1" x14ac:dyDescent="0.15"/>
    <row r="8033" s="76" customFormat="1" ht="21.95" customHeight="1" x14ac:dyDescent="0.15"/>
    <row r="8034" s="76" customFormat="1" ht="21.95" customHeight="1" x14ac:dyDescent="0.15"/>
    <row r="8035" s="76" customFormat="1" ht="21.95" customHeight="1" x14ac:dyDescent="0.15"/>
    <row r="8036" s="76" customFormat="1" ht="21.95" customHeight="1" x14ac:dyDescent="0.15"/>
    <row r="8037" s="76" customFormat="1" ht="21.95" customHeight="1" x14ac:dyDescent="0.15"/>
    <row r="8038" s="76" customFormat="1" ht="21.95" customHeight="1" x14ac:dyDescent="0.15"/>
    <row r="8039" s="76" customFormat="1" ht="21.95" customHeight="1" x14ac:dyDescent="0.15"/>
    <row r="8040" s="76" customFormat="1" ht="21.95" customHeight="1" x14ac:dyDescent="0.15"/>
    <row r="8041" s="76" customFormat="1" ht="35.1" customHeight="1" x14ac:dyDescent="0.15"/>
    <row r="8042" s="76" customFormat="1" ht="21.95" customHeight="1" x14ac:dyDescent="0.15"/>
    <row r="8043" s="76" customFormat="1" ht="21.95" customHeight="1" x14ac:dyDescent="0.15"/>
    <row r="8044" s="76" customFormat="1" ht="21.95" customHeight="1" x14ac:dyDescent="0.15"/>
    <row r="8045" s="76" customFormat="1" ht="21.95" customHeight="1" x14ac:dyDescent="0.15"/>
    <row r="8046" s="76" customFormat="1" ht="21.95" customHeight="1" x14ac:dyDescent="0.15"/>
    <row r="8047" s="76" customFormat="1" ht="21.95" customHeight="1" x14ac:dyDescent="0.15"/>
    <row r="8048" s="76" customFormat="1" ht="21.95" customHeight="1" x14ac:dyDescent="0.15"/>
    <row r="8049" s="76" customFormat="1" ht="21.95" customHeight="1" x14ac:dyDescent="0.15"/>
    <row r="8050" s="76" customFormat="1" ht="21.95" customHeight="1" x14ac:dyDescent="0.15"/>
    <row r="8051" s="76" customFormat="1" ht="21.95" customHeight="1" x14ac:dyDescent="0.15"/>
    <row r="8052" s="76" customFormat="1" ht="21.95" customHeight="1" x14ac:dyDescent="0.15"/>
    <row r="8053" s="76" customFormat="1" ht="21.95" customHeight="1" x14ac:dyDescent="0.15"/>
    <row r="8054" s="76" customFormat="1" ht="21.95" customHeight="1" x14ac:dyDescent="0.15"/>
    <row r="8055" s="76" customFormat="1" ht="21.95" customHeight="1" x14ac:dyDescent="0.15"/>
    <row r="8056" s="76" customFormat="1" ht="21.95" customHeight="1" x14ac:dyDescent="0.15"/>
    <row r="8057" s="76" customFormat="1" ht="21.95" customHeight="1" x14ac:dyDescent="0.15"/>
    <row r="8058" s="76" customFormat="1" ht="21.95" customHeight="1" x14ac:dyDescent="0.15"/>
    <row r="8059" s="76" customFormat="1" ht="21.95" customHeight="1" x14ac:dyDescent="0.15"/>
    <row r="8060" s="76" customFormat="1" ht="21.95" customHeight="1" x14ac:dyDescent="0.15"/>
    <row r="8061" s="76" customFormat="1" ht="21.95" customHeight="1" x14ac:dyDescent="0.15"/>
    <row r="8062" s="76" customFormat="1" ht="21.95" customHeight="1" x14ac:dyDescent="0.15"/>
    <row r="8063" s="76" customFormat="1" ht="21.95" customHeight="1" x14ac:dyDescent="0.15"/>
    <row r="8064" s="76" customFormat="1" ht="21.95" customHeight="1" x14ac:dyDescent="0.15"/>
    <row r="8065" spans="3:3" customFormat="1" ht="21.95" customHeight="1" x14ac:dyDescent="0.15"/>
    <row r="8066" spans="3:3" customFormat="1" ht="21.95" customHeight="1" x14ac:dyDescent="0.15"/>
    <row r="8067" spans="3:3" customFormat="1" ht="21.95" customHeight="1" x14ac:dyDescent="0.15">
      <c r="C8067" s="94"/>
    </row>
    <row r="8068" spans="3:3" customFormat="1" ht="21.95" customHeight="1" x14ac:dyDescent="0.15">
      <c r="C8068" s="94"/>
    </row>
    <row r="8069" spans="3:3" customFormat="1" ht="21.95" customHeight="1" x14ac:dyDescent="0.15"/>
    <row r="8070" spans="3:3" customFormat="1" ht="21.95" customHeight="1" x14ac:dyDescent="0.15"/>
    <row r="8071" spans="3:3" customFormat="1" ht="21.95" customHeight="1" x14ac:dyDescent="0.15"/>
    <row r="8072" spans="3:3" customFormat="1" ht="21.95" customHeight="1" x14ac:dyDescent="0.15"/>
    <row r="8073" spans="3:3" customFormat="1" ht="21.95" customHeight="1" x14ac:dyDescent="0.15"/>
    <row r="8074" spans="3:3" customFormat="1" ht="21.95" customHeight="1" x14ac:dyDescent="0.15"/>
    <row r="8075" spans="3:3" customFormat="1" ht="21.95" customHeight="1" x14ac:dyDescent="0.15"/>
    <row r="8076" spans="3:3" s="76" customFormat="1" ht="21.95" customHeight="1" x14ac:dyDescent="0.15"/>
    <row r="8077" spans="3:3" s="76" customFormat="1" ht="21.95" customHeight="1" x14ac:dyDescent="0.15"/>
    <row r="8078" spans="3:3" s="76" customFormat="1" ht="21.95" customHeight="1" x14ac:dyDescent="0.15"/>
    <row r="8079" spans="3:3" s="76" customFormat="1" ht="21.95" customHeight="1" x14ac:dyDescent="0.15"/>
    <row r="8080" spans="3:3" customFormat="1" ht="21.95" customHeight="1" x14ac:dyDescent="0.15"/>
    <row r="8081" customFormat="1" ht="21.95" customHeight="1" x14ac:dyDescent="0.15"/>
    <row r="8082" customFormat="1" ht="21.95" customHeight="1" x14ac:dyDescent="0.15"/>
    <row r="8083" customFormat="1" ht="21.95" customHeight="1" x14ac:dyDescent="0.15"/>
    <row r="8084" customFormat="1" ht="21.95" customHeight="1" x14ac:dyDescent="0.15"/>
    <row r="8085" customFormat="1" ht="21.95" customHeight="1" x14ac:dyDescent="0.15"/>
    <row r="8086" customFormat="1" ht="21.95" customHeight="1" x14ac:dyDescent="0.15"/>
    <row r="8087" customFormat="1" ht="21.95" customHeight="1" x14ac:dyDescent="0.15"/>
    <row r="8088" customFormat="1" ht="21.95" customHeight="1" x14ac:dyDescent="0.15"/>
    <row r="8089" customFormat="1" ht="21.95" customHeight="1" x14ac:dyDescent="0.15"/>
    <row r="8090" customFormat="1" ht="21.95" customHeight="1" x14ac:dyDescent="0.15"/>
    <row r="8091" customFormat="1" ht="32.1" customHeight="1" x14ac:dyDescent="0.15"/>
    <row r="8092" customFormat="1" ht="32.1" customHeight="1" x14ac:dyDescent="0.15"/>
    <row r="8093" customFormat="1" ht="32.1" customHeight="1" x14ac:dyDescent="0.15"/>
    <row r="8094" customFormat="1" ht="32.1" customHeight="1" x14ac:dyDescent="0.15"/>
    <row r="8095" customFormat="1" ht="32.1" customHeight="1" x14ac:dyDescent="0.15"/>
    <row r="8096" customFormat="1" ht="32.1" customHeight="1" x14ac:dyDescent="0.15"/>
    <row r="8097" s="76" customFormat="1" ht="32.1" customHeight="1" x14ac:dyDescent="0.15"/>
    <row r="8098" s="76" customFormat="1" ht="32.1" customHeight="1" x14ac:dyDescent="0.15"/>
    <row r="8099" s="76" customFormat="1" ht="32.1" customHeight="1" x14ac:dyDescent="0.15"/>
    <row r="8100" s="76" customFormat="1" ht="32.1" customHeight="1" x14ac:dyDescent="0.15"/>
    <row r="8101" s="76" customFormat="1" ht="21.95" customHeight="1" x14ac:dyDescent="0.15"/>
    <row r="8102" s="76" customFormat="1" ht="54" customHeight="1" x14ac:dyDescent="0.15"/>
    <row r="8103" s="76" customFormat="1" ht="21.95" customHeight="1" x14ac:dyDescent="0.15"/>
    <row r="8104" s="76" customFormat="1" ht="21.95" customHeight="1" x14ac:dyDescent="0.15"/>
    <row r="8105" s="76" customFormat="1" ht="21.95" customHeight="1" x14ac:dyDescent="0.15"/>
    <row r="8106" s="76" customFormat="1" ht="21.95" customHeight="1" x14ac:dyDescent="0.15"/>
    <row r="8107" s="76" customFormat="1" ht="21.95" customHeight="1" x14ac:dyDescent="0.15"/>
    <row r="8108" s="76" customFormat="1" ht="21.95" customHeight="1" x14ac:dyDescent="0.15"/>
    <row r="8109" s="76" customFormat="1" ht="21.95" customHeight="1" x14ac:dyDescent="0.15"/>
    <row r="8110" s="76" customFormat="1" ht="21.95" customHeight="1" x14ac:dyDescent="0.15"/>
    <row r="8111" s="76" customFormat="1" ht="21.95" customHeight="1" x14ac:dyDescent="0.15"/>
    <row r="8112" s="76" customFormat="1" ht="21.95" customHeight="1" x14ac:dyDescent="0.15"/>
    <row r="8113" s="76" customFormat="1" ht="21.95" customHeight="1" x14ac:dyDescent="0.15"/>
    <row r="8114" s="76" customFormat="1" ht="21.95" customHeight="1" x14ac:dyDescent="0.15"/>
    <row r="8115" s="76" customFormat="1" ht="21.95" customHeight="1" x14ac:dyDescent="0.15"/>
    <row r="8116" s="76" customFormat="1" ht="21.95" customHeight="1" x14ac:dyDescent="0.15"/>
    <row r="8117" s="76" customFormat="1" ht="21.95" customHeight="1" x14ac:dyDescent="0.15"/>
    <row r="8118" s="76" customFormat="1" ht="21.95" customHeight="1" x14ac:dyDescent="0.15"/>
    <row r="8119" s="76" customFormat="1" ht="21.95" customHeight="1" x14ac:dyDescent="0.15"/>
    <row r="8120" s="76" customFormat="1" ht="21.95" customHeight="1" x14ac:dyDescent="0.15"/>
    <row r="8121" s="76" customFormat="1" ht="21.95" customHeight="1" x14ac:dyDescent="0.15"/>
    <row r="8122" s="76" customFormat="1" ht="21.95" customHeight="1" x14ac:dyDescent="0.15"/>
    <row r="8123" s="76" customFormat="1" ht="21.95" customHeight="1" x14ac:dyDescent="0.15"/>
    <row r="8124" s="76" customFormat="1" ht="21.95" customHeight="1" x14ac:dyDescent="0.15"/>
    <row r="8125" s="76" customFormat="1" ht="21.95" customHeight="1" x14ac:dyDescent="0.15"/>
    <row r="8126" s="76" customFormat="1" ht="21.95" customHeight="1" x14ac:dyDescent="0.15"/>
    <row r="8127" s="76" customFormat="1" ht="21.95" customHeight="1" x14ac:dyDescent="0.15"/>
    <row r="8128" s="76" customFormat="1" ht="21.95" customHeight="1" x14ac:dyDescent="0.15"/>
    <row r="8129" s="76" customFormat="1" ht="21.95" customHeight="1" x14ac:dyDescent="0.15"/>
    <row r="8130" s="76" customFormat="1" ht="21.95" customHeight="1" x14ac:dyDescent="0.15"/>
    <row r="8131" s="76" customFormat="1" ht="21.95" customHeight="1" x14ac:dyDescent="0.15"/>
    <row r="8132" s="76" customFormat="1" ht="21.95" customHeight="1" x14ac:dyDescent="0.15"/>
    <row r="8133" s="76" customFormat="1" ht="21.95" customHeight="1" x14ac:dyDescent="0.15"/>
    <row r="8134" s="76" customFormat="1" ht="21.95" customHeight="1" x14ac:dyDescent="0.15"/>
    <row r="8135" s="76" customFormat="1" ht="21.95" customHeight="1" x14ac:dyDescent="0.15"/>
    <row r="8136" s="76" customFormat="1" ht="21.95" customHeight="1" x14ac:dyDescent="0.15"/>
    <row r="8137" s="76" customFormat="1" ht="21.95" customHeight="1" x14ac:dyDescent="0.15"/>
    <row r="8138" s="76" customFormat="1" ht="21.95" customHeight="1" x14ac:dyDescent="0.15"/>
    <row r="8139" s="76" customFormat="1" ht="21.95" customHeight="1" x14ac:dyDescent="0.15"/>
    <row r="8140" s="76" customFormat="1" ht="21.95" customHeight="1" x14ac:dyDescent="0.15"/>
    <row r="8141" s="76" customFormat="1" ht="21.95" customHeight="1" x14ac:dyDescent="0.15"/>
    <row r="8142" s="76" customFormat="1" ht="21.95" customHeight="1" x14ac:dyDescent="0.15"/>
    <row r="8143" s="76" customFormat="1" ht="21.95" customHeight="1" x14ac:dyDescent="0.15"/>
    <row r="8144" s="76" customFormat="1" ht="21.95" customHeight="1" x14ac:dyDescent="0.15"/>
    <row r="8145" s="76" customFormat="1" ht="21.95" customHeight="1" x14ac:dyDescent="0.15"/>
    <row r="8146" s="76" customFormat="1" ht="21.95" customHeight="1" x14ac:dyDescent="0.15"/>
    <row r="8147" s="76" customFormat="1" ht="21.95" customHeight="1" x14ac:dyDescent="0.15"/>
    <row r="8148" s="76" customFormat="1" ht="21.95" customHeight="1" x14ac:dyDescent="0.15"/>
    <row r="8149" s="76" customFormat="1" ht="21.95" customHeight="1" x14ac:dyDescent="0.15"/>
    <row r="8150" s="76" customFormat="1" ht="21.95" customHeight="1" x14ac:dyDescent="0.15"/>
    <row r="8151" s="76" customFormat="1" ht="21.95" customHeight="1" x14ac:dyDescent="0.15"/>
    <row r="8152" s="76" customFormat="1" ht="21.95" customHeight="1" x14ac:dyDescent="0.15"/>
    <row r="8153" s="76" customFormat="1" ht="35.1" customHeight="1" x14ac:dyDescent="0.15"/>
    <row r="8154" s="76" customFormat="1" ht="21.95" customHeight="1" x14ac:dyDescent="0.15"/>
    <row r="8155" s="76" customFormat="1" ht="21.95" customHeight="1" x14ac:dyDescent="0.15"/>
    <row r="8156" s="76" customFormat="1" ht="21.95" customHeight="1" x14ac:dyDescent="0.15"/>
    <row r="8157" s="76" customFormat="1" ht="21.95" customHeight="1" x14ac:dyDescent="0.15"/>
    <row r="8158" s="76" customFormat="1" ht="21.95" customHeight="1" x14ac:dyDescent="0.15"/>
    <row r="8159" s="76" customFormat="1" ht="21.95" customHeight="1" x14ac:dyDescent="0.15"/>
    <row r="8160" s="76" customFormat="1" ht="21.95" customHeight="1" x14ac:dyDescent="0.15"/>
    <row r="8161" s="76" customFormat="1" ht="21.95" customHeight="1" x14ac:dyDescent="0.15"/>
    <row r="8162" s="76" customFormat="1" ht="21.95" customHeight="1" x14ac:dyDescent="0.15"/>
    <row r="8163" s="76" customFormat="1" ht="21.95" customHeight="1" x14ac:dyDescent="0.15"/>
    <row r="8164" s="76" customFormat="1" ht="21.95" customHeight="1" x14ac:dyDescent="0.15"/>
    <row r="8165" s="76" customFormat="1" ht="21.95" customHeight="1" x14ac:dyDescent="0.15"/>
    <row r="8166" s="76" customFormat="1" ht="21.95" customHeight="1" x14ac:dyDescent="0.15"/>
    <row r="8167" s="76" customFormat="1" ht="21.95" customHeight="1" x14ac:dyDescent="0.15"/>
    <row r="8168" s="76" customFormat="1" ht="21.95" customHeight="1" x14ac:dyDescent="0.15"/>
    <row r="8169" s="76" customFormat="1" ht="21.95" customHeight="1" x14ac:dyDescent="0.15"/>
    <row r="8170" s="76" customFormat="1" ht="21.95" customHeight="1" x14ac:dyDescent="0.15"/>
    <row r="8171" s="76" customFormat="1" ht="21.95" customHeight="1" x14ac:dyDescent="0.15"/>
    <row r="8172" s="76" customFormat="1" ht="21.95" customHeight="1" x14ac:dyDescent="0.15"/>
    <row r="8173" s="76" customFormat="1" ht="21.95" customHeight="1" x14ac:dyDescent="0.15"/>
    <row r="8174" s="76" customFormat="1" ht="21.95" customHeight="1" x14ac:dyDescent="0.15"/>
    <row r="8175" s="76" customFormat="1" ht="21.95" customHeight="1" x14ac:dyDescent="0.15"/>
    <row r="8176" s="76" customFormat="1" ht="21.95" customHeight="1" x14ac:dyDescent="0.15"/>
    <row r="8177" spans="3:3" customFormat="1" ht="21.95" customHeight="1" x14ac:dyDescent="0.15"/>
    <row r="8178" spans="3:3" customFormat="1" ht="21.95" customHeight="1" x14ac:dyDescent="0.15"/>
    <row r="8179" spans="3:3" customFormat="1" ht="21.95" customHeight="1" x14ac:dyDescent="0.15">
      <c r="C8179" s="94"/>
    </row>
    <row r="8180" spans="3:3" customFormat="1" ht="21.95" customHeight="1" x14ac:dyDescent="0.15">
      <c r="C8180" s="94"/>
    </row>
    <row r="8181" spans="3:3" customFormat="1" ht="21.95" customHeight="1" x14ac:dyDescent="0.15"/>
    <row r="8182" spans="3:3" customFormat="1" ht="21.95" customHeight="1" x14ac:dyDescent="0.15"/>
    <row r="8183" spans="3:3" customFormat="1" ht="21.95" customHeight="1" x14ac:dyDescent="0.15"/>
    <row r="8184" spans="3:3" customFormat="1" ht="21.95" customHeight="1" x14ac:dyDescent="0.15"/>
    <row r="8185" spans="3:3" customFormat="1" ht="21.95" customHeight="1" x14ac:dyDescent="0.15"/>
    <row r="8186" spans="3:3" customFormat="1" ht="21.95" customHeight="1" x14ac:dyDescent="0.15"/>
    <row r="8187" spans="3:3" customFormat="1" ht="21.95" customHeight="1" x14ac:dyDescent="0.15"/>
    <row r="8188" spans="3:3" s="76" customFormat="1" ht="21.95" customHeight="1" x14ac:dyDescent="0.15"/>
    <row r="8189" spans="3:3" s="76" customFormat="1" ht="21.95" customHeight="1" x14ac:dyDescent="0.15"/>
    <row r="8190" spans="3:3" s="76" customFormat="1" ht="21.95" customHeight="1" x14ac:dyDescent="0.15"/>
    <row r="8191" spans="3:3" s="76" customFormat="1" ht="21.95" customHeight="1" x14ac:dyDescent="0.15"/>
    <row r="8192" spans="3:3" customFormat="1" ht="21.95" customHeight="1" x14ac:dyDescent="0.15"/>
    <row r="8193" customFormat="1" ht="21.95" customHeight="1" x14ac:dyDescent="0.15"/>
    <row r="8194" customFormat="1" ht="21.95" customHeight="1" x14ac:dyDescent="0.15"/>
    <row r="8195" customFormat="1" ht="21.95" customHeight="1" x14ac:dyDescent="0.15"/>
    <row r="8196" customFormat="1" ht="21.95" customHeight="1" x14ac:dyDescent="0.15"/>
    <row r="8197" customFormat="1" ht="21.95" customHeight="1" x14ac:dyDescent="0.15"/>
    <row r="8198" customFormat="1" ht="21.95" customHeight="1" x14ac:dyDescent="0.15"/>
    <row r="8199" customFormat="1" ht="21.95" customHeight="1" x14ac:dyDescent="0.15"/>
    <row r="8200" customFormat="1" ht="21.95" customHeight="1" x14ac:dyDescent="0.15"/>
    <row r="8201" customFormat="1" ht="21.95" customHeight="1" x14ac:dyDescent="0.15"/>
    <row r="8202" customFormat="1" ht="21.95" customHeight="1" x14ac:dyDescent="0.15"/>
    <row r="8203" customFormat="1" ht="32.1" customHeight="1" x14ac:dyDescent="0.15"/>
    <row r="8204" customFormat="1" ht="32.1" customHeight="1" x14ac:dyDescent="0.15"/>
    <row r="8205" customFormat="1" ht="32.1" customHeight="1" x14ac:dyDescent="0.15"/>
    <row r="8206" customFormat="1" ht="32.1" customHeight="1" x14ac:dyDescent="0.15"/>
    <row r="8207" customFormat="1" ht="32.1" customHeight="1" x14ac:dyDescent="0.15"/>
    <row r="8208" customFormat="1" ht="32.1" customHeight="1" x14ac:dyDescent="0.15"/>
    <row r="8209" s="76" customFormat="1" ht="32.1" customHeight="1" x14ac:dyDescent="0.15"/>
    <row r="8210" s="76" customFormat="1" ht="32.1" customHeight="1" x14ac:dyDescent="0.15"/>
    <row r="8211" s="76" customFormat="1" ht="32.1" customHeight="1" x14ac:dyDescent="0.15"/>
    <row r="8212" s="76" customFormat="1" ht="32.1" customHeight="1" x14ac:dyDescent="0.15"/>
    <row r="8213" s="76" customFormat="1" ht="21.95" customHeight="1" x14ac:dyDescent="0.15"/>
    <row r="8214" s="76" customFormat="1" ht="54" customHeight="1" x14ac:dyDescent="0.15"/>
    <row r="8215" s="76" customFormat="1" ht="21.95" customHeight="1" x14ac:dyDescent="0.15"/>
    <row r="8216" s="76" customFormat="1" ht="21.95" customHeight="1" x14ac:dyDescent="0.15"/>
    <row r="8217" s="76" customFormat="1" ht="21.95" customHeight="1" x14ac:dyDescent="0.15"/>
    <row r="8218" s="76" customFormat="1" ht="21.95" customHeight="1" x14ac:dyDescent="0.15"/>
    <row r="8219" s="76" customFormat="1" ht="21.95" customHeight="1" x14ac:dyDescent="0.15"/>
    <row r="8220" s="76" customFormat="1" ht="21.95" customHeight="1" x14ac:dyDescent="0.15"/>
    <row r="8221" s="76" customFormat="1" ht="21.95" customHeight="1" x14ac:dyDescent="0.15"/>
    <row r="8222" s="76" customFormat="1" ht="21.95" customHeight="1" x14ac:dyDescent="0.15"/>
    <row r="8223" s="76" customFormat="1" ht="21.95" customHeight="1" x14ac:dyDescent="0.15"/>
    <row r="8224" s="76" customFormat="1" ht="21.95" customHeight="1" x14ac:dyDescent="0.15"/>
    <row r="8225" s="76" customFormat="1" ht="21.95" customHeight="1" x14ac:dyDescent="0.15"/>
    <row r="8226" s="76" customFormat="1" ht="21.95" customHeight="1" x14ac:dyDescent="0.15"/>
    <row r="8227" s="76" customFormat="1" ht="21.95" customHeight="1" x14ac:dyDescent="0.15"/>
    <row r="8228" s="76" customFormat="1" ht="21.95" customHeight="1" x14ac:dyDescent="0.15"/>
    <row r="8229" s="76" customFormat="1" ht="21.95" customHeight="1" x14ac:dyDescent="0.15"/>
    <row r="8230" s="76" customFormat="1" ht="21.95" customHeight="1" x14ac:dyDescent="0.15"/>
    <row r="8231" s="76" customFormat="1" ht="21.95" customHeight="1" x14ac:dyDescent="0.15"/>
    <row r="8232" s="76" customFormat="1" ht="21.95" customHeight="1" x14ac:dyDescent="0.15"/>
    <row r="8233" s="76" customFormat="1" ht="21.95" customHeight="1" x14ac:dyDescent="0.15"/>
    <row r="8234" s="76" customFormat="1" ht="21.95" customHeight="1" x14ac:dyDescent="0.15"/>
    <row r="8235" s="76" customFormat="1" ht="21.95" customHeight="1" x14ac:dyDescent="0.15"/>
    <row r="8236" s="76" customFormat="1" ht="21.95" customHeight="1" x14ac:dyDescent="0.15"/>
    <row r="8237" s="76" customFormat="1" ht="21.95" customHeight="1" x14ac:dyDescent="0.15"/>
    <row r="8238" s="76" customFormat="1" ht="21.95" customHeight="1" x14ac:dyDescent="0.15"/>
    <row r="8239" s="76" customFormat="1" ht="21.95" customHeight="1" x14ac:dyDescent="0.15"/>
    <row r="8240" s="76" customFormat="1" ht="21.95" customHeight="1" x14ac:dyDescent="0.15"/>
    <row r="8241" s="76" customFormat="1" ht="21.95" customHeight="1" x14ac:dyDescent="0.15"/>
    <row r="8242" s="76" customFormat="1" ht="21.95" customHeight="1" x14ac:dyDescent="0.15"/>
    <row r="8243" s="76" customFormat="1" ht="21.95" customHeight="1" x14ac:dyDescent="0.15"/>
    <row r="8244" s="76" customFormat="1" ht="21.95" customHeight="1" x14ac:dyDescent="0.15"/>
    <row r="8245" s="76" customFormat="1" ht="21.95" customHeight="1" x14ac:dyDescent="0.15"/>
    <row r="8246" s="76" customFormat="1" ht="21.95" customHeight="1" x14ac:dyDescent="0.15"/>
    <row r="8247" s="76" customFormat="1" ht="21.95" customHeight="1" x14ac:dyDescent="0.15"/>
    <row r="8248" s="76" customFormat="1" ht="21.95" customHeight="1" x14ac:dyDescent="0.15"/>
    <row r="8249" s="76" customFormat="1" ht="21.95" customHeight="1" x14ac:dyDescent="0.15"/>
    <row r="8250" s="76" customFormat="1" ht="21.95" customHeight="1" x14ac:dyDescent="0.15"/>
    <row r="8251" s="76" customFormat="1" ht="21.95" customHeight="1" x14ac:dyDescent="0.15"/>
    <row r="8252" s="76" customFormat="1" ht="21.95" customHeight="1" x14ac:dyDescent="0.15"/>
    <row r="8253" s="76" customFormat="1" ht="21.95" customHeight="1" x14ac:dyDescent="0.15"/>
    <row r="8254" s="76" customFormat="1" ht="21.95" customHeight="1" x14ac:dyDescent="0.15"/>
    <row r="8255" s="76" customFormat="1" ht="21.95" customHeight="1" x14ac:dyDescent="0.15"/>
    <row r="8256" s="76" customFormat="1" ht="21.95" customHeight="1" x14ac:dyDescent="0.15"/>
    <row r="8257" s="76" customFormat="1" ht="21.95" customHeight="1" x14ac:dyDescent="0.15"/>
    <row r="8258" s="76" customFormat="1" ht="21.95" customHeight="1" x14ac:dyDescent="0.15"/>
    <row r="8259" s="76" customFormat="1" ht="21.95" customHeight="1" x14ac:dyDescent="0.15"/>
    <row r="8260" s="76" customFormat="1" ht="21.95" customHeight="1" x14ac:dyDescent="0.15"/>
    <row r="8261" s="76" customFormat="1" ht="21.95" customHeight="1" x14ac:dyDescent="0.15"/>
    <row r="8262" s="76" customFormat="1" ht="21.95" customHeight="1" x14ac:dyDescent="0.15"/>
    <row r="8263" s="76" customFormat="1" ht="21.95" customHeight="1" x14ac:dyDescent="0.15"/>
    <row r="8264" s="76" customFormat="1" ht="21.95" customHeight="1" x14ac:dyDescent="0.15"/>
    <row r="8265" s="76" customFormat="1" ht="35.1" customHeight="1" x14ac:dyDescent="0.15"/>
    <row r="8266" s="76" customFormat="1" ht="21.95" customHeight="1" x14ac:dyDescent="0.15"/>
    <row r="8267" s="76" customFormat="1" ht="21.95" customHeight="1" x14ac:dyDescent="0.15"/>
    <row r="8268" s="76" customFormat="1" ht="21.95" customHeight="1" x14ac:dyDescent="0.15"/>
    <row r="8269" s="76" customFormat="1" ht="21.95" customHeight="1" x14ac:dyDescent="0.15"/>
    <row r="8270" s="76" customFormat="1" ht="21.95" customHeight="1" x14ac:dyDescent="0.15"/>
    <row r="8271" s="76" customFormat="1" ht="21.95" customHeight="1" x14ac:dyDescent="0.15"/>
    <row r="8272" s="76" customFormat="1" ht="21.95" customHeight="1" x14ac:dyDescent="0.15"/>
    <row r="8273" s="76" customFormat="1" ht="21.95" customHeight="1" x14ac:dyDescent="0.15"/>
    <row r="8274" s="76" customFormat="1" ht="21.95" customHeight="1" x14ac:dyDescent="0.15"/>
    <row r="8275" s="76" customFormat="1" ht="21.95" customHeight="1" x14ac:dyDescent="0.15"/>
    <row r="8276" s="76" customFormat="1" ht="21.95" customHeight="1" x14ac:dyDescent="0.15"/>
    <row r="8277" s="76" customFormat="1" ht="21.95" customHeight="1" x14ac:dyDescent="0.15"/>
    <row r="8278" s="76" customFormat="1" ht="21.95" customHeight="1" x14ac:dyDescent="0.15"/>
    <row r="8279" s="76" customFormat="1" ht="21.95" customHeight="1" x14ac:dyDescent="0.15"/>
    <row r="8280" s="76" customFormat="1" ht="21.95" customHeight="1" x14ac:dyDescent="0.15"/>
    <row r="8281" s="76" customFormat="1" ht="21.95" customHeight="1" x14ac:dyDescent="0.15"/>
    <row r="8282" s="76" customFormat="1" ht="21.95" customHeight="1" x14ac:dyDescent="0.15"/>
    <row r="8283" s="76" customFormat="1" ht="21.95" customHeight="1" x14ac:dyDescent="0.15"/>
    <row r="8284" s="76" customFormat="1" ht="21.95" customHeight="1" x14ac:dyDescent="0.15"/>
    <row r="8285" s="76" customFormat="1" ht="21.95" customHeight="1" x14ac:dyDescent="0.15"/>
    <row r="8286" s="76" customFormat="1" ht="21.95" customHeight="1" x14ac:dyDescent="0.15"/>
    <row r="8287" s="76" customFormat="1" ht="21.95" customHeight="1" x14ac:dyDescent="0.15"/>
    <row r="8288" s="76" customFormat="1" ht="21.95" customHeight="1" x14ac:dyDescent="0.15"/>
    <row r="8289" spans="3:3" customFormat="1" ht="21.95" customHeight="1" x14ac:dyDescent="0.15"/>
    <row r="8290" spans="3:3" customFormat="1" ht="21.95" customHeight="1" x14ac:dyDescent="0.15"/>
    <row r="8291" spans="3:3" customFormat="1" ht="21.95" customHeight="1" x14ac:dyDescent="0.15">
      <c r="C8291" s="94"/>
    </row>
    <row r="8292" spans="3:3" customFormat="1" ht="21.95" customHeight="1" x14ac:dyDescent="0.15">
      <c r="C8292" s="94"/>
    </row>
    <row r="8293" spans="3:3" customFormat="1" ht="21.95" customHeight="1" x14ac:dyDescent="0.15"/>
    <row r="8294" spans="3:3" customFormat="1" ht="21.95" customHeight="1" x14ac:dyDescent="0.15"/>
    <row r="8295" spans="3:3" customFormat="1" ht="21.95" customHeight="1" x14ac:dyDescent="0.15"/>
    <row r="8296" spans="3:3" customFormat="1" ht="21.95" customHeight="1" x14ac:dyDescent="0.15"/>
    <row r="8297" spans="3:3" customFormat="1" ht="21.95" customHeight="1" x14ac:dyDescent="0.15"/>
    <row r="8298" spans="3:3" customFormat="1" ht="21.95" customHeight="1" x14ac:dyDescent="0.15"/>
    <row r="8299" spans="3:3" customFormat="1" ht="21.95" customHeight="1" x14ac:dyDescent="0.15"/>
    <row r="8300" spans="3:3" s="76" customFormat="1" ht="21.95" customHeight="1" x14ac:dyDescent="0.15"/>
    <row r="8301" spans="3:3" s="76" customFormat="1" ht="21.95" customHeight="1" x14ac:dyDescent="0.15"/>
    <row r="8302" spans="3:3" s="76" customFormat="1" ht="21.95" customHeight="1" x14ac:dyDescent="0.15"/>
    <row r="8303" spans="3:3" s="76" customFormat="1" ht="21.95" customHeight="1" x14ac:dyDescent="0.15"/>
    <row r="8304" spans="3:3" customFormat="1" ht="21.95" customHeight="1" x14ac:dyDescent="0.15"/>
    <row r="8305" customFormat="1" ht="21.95" customHeight="1" x14ac:dyDescent="0.15"/>
    <row r="8306" customFormat="1" ht="21.95" customHeight="1" x14ac:dyDescent="0.15"/>
    <row r="8307" customFormat="1" ht="21.95" customHeight="1" x14ac:dyDescent="0.15"/>
    <row r="8308" customFormat="1" ht="21.95" customHeight="1" x14ac:dyDescent="0.15"/>
    <row r="8309" customFormat="1" ht="21.95" customHeight="1" x14ac:dyDescent="0.15"/>
    <row r="8310" customFormat="1" ht="21.95" customHeight="1" x14ac:dyDescent="0.15"/>
    <row r="8311" customFormat="1" ht="21.95" customHeight="1" x14ac:dyDescent="0.15"/>
    <row r="8312" customFormat="1" ht="21.95" customHeight="1" x14ac:dyDescent="0.15"/>
    <row r="8313" customFormat="1" ht="21.95" customHeight="1" x14ac:dyDescent="0.15"/>
    <row r="8314" customFormat="1" ht="21.95" customHeight="1" x14ac:dyDescent="0.15"/>
    <row r="8315" customFormat="1" ht="32.1" customHeight="1" x14ac:dyDescent="0.15"/>
    <row r="8316" customFormat="1" ht="32.1" customHeight="1" x14ac:dyDescent="0.15"/>
    <row r="8317" customFormat="1" ht="32.1" customHeight="1" x14ac:dyDescent="0.15"/>
    <row r="8318" customFormat="1" ht="32.1" customHeight="1" x14ac:dyDescent="0.15"/>
    <row r="8319" customFormat="1" ht="32.1" customHeight="1" x14ac:dyDescent="0.15"/>
    <row r="8320" customFormat="1" ht="32.1" customHeight="1" x14ac:dyDescent="0.15"/>
    <row r="8321" s="76" customFormat="1" ht="32.1" customHeight="1" x14ac:dyDescent="0.15"/>
    <row r="8322" s="76" customFormat="1" ht="32.1" customHeight="1" x14ac:dyDescent="0.15"/>
    <row r="8323" s="76" customFormat="1" ht="32.1" customHeight="1" x14ac:dyDescent="0.15"/>
    <row r="8324" s="76" customFormat="1" ht="32.1" customHeight="1" x14ac:dyDescent="0.15"/>
    <row r="8325" s="76" customFormat="1" ht="21.95" customHeight="1" x14ac:dyDescent="0.15"/>
    <row r="8326" s="76" customFormat="1" ht="54" customHeight="1" x14ac:dyDescent="0.15"/>
    <row r="8327" s="76" customFormat="1" ht="21.95" customHeight="1" x14ac:dyDescent="0.15"/>
    <row r="8328" s="76" customFormat="1" ht="21.95" customHeight="1" x14ac:dyDescent="0.15"/>
    <row r="8329" s="76" customFormat="1" ht="21.95" customHeight="1" x14ac:dyDescent="0.15"/>
    <row r="8330" s="76" customFormat="1" ht="21.95" customHeight="1" x14ac:dyDescent="0.15"/>
    <row r="8331" s="76" customFormat="1" ht="21.95" customHeight="1" x14ac:dyDescent="0.15"/>
    <row r="8332" s="76" customFormat="1" ht="21.95" customHeight="1" x14ac:dyDescent="0.15"/>
    <row r="8333" s="76" customFormat="1" ht="21.95" customHeight="1" x14ac:dyDescent="0.15"/>
    <row r="8334" s="76" customFormat="1" ht="21.95" customHeight="1" x14ac:dyDescent="0.15"/>
    <row r="8335" s="76" customFormat="1" ht="21.95" customHeight="1" x14ac:dyDescent="0.15"/>
    <row r="8336" s="76" customFormat="1" ht="21.95" customHeight="1" x14ac:dyDescent="0.15"/>
    <row r="8337" s="76" customFormat="1" ht="21.95" customHeight="1" x14ac:dyDescent="0.15"/>
    <row r="8338" s="76" customFormat="1" ht="21.95" customHeight="1" x14ac:dyDescent="0.15"/>
    <row r="8339" s="76" customFormat="1" ht="21.95" customHeight="1" x14ac:dyDescent="0.15"/>
    <row r="8340" s="76" customFormat="1" ht="21.95" customHeight="1" x14ac:dyDescent="0.15"/>
    <row r="8341" s="76" customFormat="1" ht="21.95" customHeight="1" x14ac:dyDescent="0.15"/>
    <row r="8342" s="76" customFormat="1" ht="21.95" customHeight="1" x14ac:dyDescent="0.15"/>
    <row r="8343" s="76" customFormat="1" ht="21.95" customHeight="1" x14ac:dyDescent="0.15"/>
    <row r="8344" s="76" customFormat="1" ht="21.95" customHeight="1" x14ac:dyDescent="0.15"/>
    <row r="8345" s="76" customFormat="1" ht="21.95" customHeight="1" x14ac:dyDescent="0.15"/>
    <row r="8346" s="76" customFormat="1" ht="21.95" customHeight="1" x14ac:dyDescent="0.15"/>
    <row r="8347" s="76" customFormat="1" ht="21.95" customHeight="1" x14ac:dyDescent="0.15"/>
    <row r="8348" s="76" customFormat="1" ht="21.95" customHeight="1" x14ac:dyDescent="0.15"/>
    <row r="8349" s="76" customFormat="1" ht="21.95" customHeight="1" x14ac:dyDescent="0.15"/>
    <row r="8350" s="76" customFormat="1" ht="21.95" customHeight="1" x14ac:dyDescent="0.15"/>
    <row r="8351" s="76" customFormat="1" ht="21.95" customHeight="1" x14ac:dyDescent="0.15"/>
    <row r="8352" s="76" customFormat="1" ht="21.95" customHeight="1" x14ac:dyDescent="0.15"/>
    <row r="8353" s="76" customFormat="1" ht="21.95" customHeight="1" x14ac:dyDescent="0.15"/>
    <row r="8354" s="76" customFormat="1" ht="21.95" customHeight="1" x14ac:dyDescent="0.15"/>
    <row r="8355" s="76" customFormat="1" ht="21.95" customHeight="1" x14ac:dyDescent="0.15"/>
    <row r="8356" s="76" customFormat="1" ht="21.95" customHeight="1" x14ac:dyDescent="0.15"/>
    <row r="8357" s="76" customFormat="1" ht="21.95" customHeight="1" x14ac:dyDescent="0.15"/>
    <row r="8358" s="76" customFormat="1" ht="21.95" customHeight="1" x14ac:dyDescent="0.15"/>
    <row r="8359" s="76" customFormat="1" ht="21.95" customHeight="1" x14ac:dyDescent="0.15"/>
    <row r="8360" s="76" customFormat="1" ht="21.95" customHeight="1" x14ac:dyDescent="0.15"/>
    <row r="8361" s="76" customFormat="1" ht="21.95" customHeight="1" x14ac:dyDescent="0.15"/>
    <row r="8362" s="76" customFormat="1" ht="21.95" customHeight="1" x14ac:dyDescent="0.15"/>
    <row r="8363" s="76" customFormat="1" ht="21.95" customHeight="1" x14ac:dyDescent="0.15"/>
    <row r="8364" s="76" customFormat="1" ht="21.95" customHeight="1" x14ac:dyDescent="0.15"/>
    <row r="8365" s="76" customFormat="1" ht="21.95" customHeight="1" x14ac:dyDescent="0.15"/>
    <row r="8366" s="76" customFormat="1" ht="21.95" customHeight="1" x14ac:dyDescent="0.15"/>
    <row r="8367" s="76" customFormat="1" ht="21.95" customHeight="1" x14ac:dyDescent="0.15"/>
    <row r="8368" s="76" customFormat="1" ht="21.95" customHeight="1" x14ac:dyDescent="0.15"/>
    <row r="8369" s="76" customFormat="1" ht="21.95" customHeight="1" x14ac:dyDescent="0.15"/>
    <row r="8370" s="76" customFormat="1" ht="21.95" customHeight="1" x14ac:dyDescent="0.15"/>
    <row r="8371" s="76" customFormat="1" ht="21.95" customHeight="1" x14ac:dyDescent="0.15"/>
    <row r="8372" s="76" customFormat="1" ht="21.95" customHeight="1" x14ac:dyDescent="0.15"/>
    <row r="8373" s="76" customFormat="1" ht="21.95" customHeight="1" x14ac:dyDescent="0.15"/>
    <row r="8374" s="76" customFormat="1" ht="21.95" customHeight="1" x14ac:dyDescent="0.15"/>
    <row r="8375" s="76" customFormat="1" ht="21.95" customHeight="1" x14ac:dyDescent="0.15"/>
    <row r="8376" s="76" customFormat="1" ht="21.95" customHeight="1" x14ac:dyDescent="0.15"/>
    <row r="8377" s="76" customFormat="1" ht="35.1" customHeight="1" x14ac:dyDescent="0.15"/>
    <row r="8378" s="76" customFormat="1" ht="21.95" customHeight="1" x14ac:dyDescent="0.15"/>
    <row r="8379" s="76" customFormat="1" ht="21.95" customHeight="1" x14ac:dyDescent="0.15"/>
    <row r="8380" s="76" customFormat="1" ht="21.95" customHeight="1" x14ac:dyDescent="0.15"/>
    <row r="8381" s="76" customFormat="1" ht="21.95" customHeight="1" x14ac:dyDescent="0.15"/>
    <row r="8382" s="76" customFormat="1" ht="21.95" customHeight="1" x14ac:dyDescent="0.15"/>
    <row r="8383" s="76" customFormat="1" ht="21.95" customHeight="1" x14ac:dyDescent="0.15"/>
    <row r="8384" s="76" customFormat="1" ht="21.95" customHeight="1" x14ac:dyDescent="0.15"/>
    <row r="8385" s="76" customFormat="1" ht="21.95" customHeight="1" x14ac:dyDescent="0.15"/>
    <row r="8386" s="76" customFormat="1" ht="21.95" customHeight="1" x14ac:dyDescent="0.15"/>
    <row r="8387" s="76" customFormat="1" ht="21.95" customHeight="1" x14ac:dyDescent="0.15"/>
    <row r="8388" s="76" customFormat="1" ht="21.95" customHeight="1" x14ac:dyDescent="0.15"/>
    <row r="8389" s="76" customFormat="1" ht="21.95" customHeight="1" x14ac:dyDescent="0.15"/>
    <row r="8390" s="76" customFormat="1" ht="21.95" customHeight="1" x14ac:dyDescent="0.15"/>
    <row r="8391" s="76" customFormat="1" ht="21.95" customHeight="1" x14ac:dyDescent="0.15"/>
    <row r="8392" s="76" customFormat="1" ht="21.95" customHeight="1" x14ac:dyDescent="0.15"/>
    <row r="8393" s="76" customFormat="1" ht="21.95" customHeight="1" x14ac:dyDescent="0.15"/>
    <row r="8394" s="76" customFormat="1" ht="21.95" customHeight="1" x14ac:dyDescent="0.15"/>
    <row r="8395" s="76" customFormat="1" ht="21.95" customHeight="1" x14ac:dyDescent="0.15"/>
    <row r="8396" s="76" customFormat="1" ht="21.95" customHeight="1" x14ac:dyDescent="0.15"/>
    <row r="8397" s="76" customFormat="1" ht="21.95" customHeight="1" x14ac:dyDescent="0.15"/>
    <row r="8398" s="76" customFormat="1" ht="21.95" customHeight="1" x14ac:dyDescent="0.15"/>
    <row r="8399" s="76" customFormat="1" ht="21.95" customHeight="1" x14ac:dyDescent="0.15"/>
    <row r="8400" s="76" customFormat="1" ht="21.95" customHeight="1" x14ac:dyDescent="0.15"/>
    <row r="8401" spans="3:3" customFormat="1" ht="21.95" customHeight="1" x14ac:dyDescent="0.15"/>
    <row r="8402" spans="3:3" customFormat="1" ht="21.95" customHeight="1" x14ac:dyDescent="0.15"/>
    <row r="8403" spans="3:3" customFormat="1" ht="21.95" customHeight="1" x14ac:dyDescent="0.15">
      <c r="C8403" s="94"/>
    </row>
    <row r="8404" spans="3:3" customFormat="1" ht="21.95" customHeight="1" x14ac:dyDescent="0.15">
      <c r="C8404" s="94"/>
    </row>
    <row r="8405" spans="3:3" customFormat="1" ht="21.95" customHeight="1" x14ac:dyDescent="0.15"/>
    <row r="8406" spans="3:3" customFormat="1" ht="21.95" customHeight="1" x14ac:dyDescent="0.15"/>
    <row r="8407" spans="3:3" customFormat="1" ht="21.95" customHeight="1" x14ac:dyDescent="0.15"/>
    <row r="8408" spans="3:3" customFormat="1" ht="21.95" customHeight="1" x14ac:dyDescent="0.15"/>
    <row r="8409" spans="3:3" customFormat="1" ht="21.95" customHeight="1" x14ac:dyDescent="0.15"/>
    <row r="8410" spans="3:3" customFormat="1" ht="21.95" customHeight="1" x14ac:dyDescent="0.15"/>
    <row r="8411" spans="3:3" customFormat="1" ht="21.95" customHeight="1" x14ac:dyDescent="0.15"/>
    <row r="8412" spans="3:3" s="76" customFormat="1" ht="21.95" customHeight="1" x14ac:dyDescent="0.15"/>
    <row r="8413" spans="3:3" s="76" customFormat="1" ht="21.95" customHeight="1" x14ac:dyDescent="0.15"/>
    <row r="8414" spans="3:3" s="76" customFormat="1" ht="21.95" customHeight="1" x14ac:dyDescent="0.15"/>
    <row r="8415" spans="3:3" s="76" customFormat="1" ht="21.95" customHeight="1" x14ac:dyDescent="0.15"/>
    <row r="8416" spans="3:3" customFormat="1" ht="21.95" customHeight="1" x14ac:dyDescent="0.15"/>
    <row r="8417" customFormat="1" ht="21.95" customHeight="1" x14ac:dyDescent="0.15"/>
    <row r="8418" customFormat="1" ht="21.95" customHeight="1" x14ac:dyDescent="0.15"/>
    <row r="8419" customFormat="1" ht="21.95" customHeight="1" x14ac:dyDescent="0.15"/>
    <row r="8420" customFormat="1" ht="21.95" customHeight="1" x14ac:dyDescent="0.15"/>
    <row r="8421" customFormat="1" ht="21.95" customHeight="1" x14ac:dyDescent="0.15"/>
    <row r="8422" customFormat="1" ht="21.95" customHeight="1" x14ac:dyDescent="0.15"/>
    <row r="8423" customFormat="1" ht="21.95" customHeight="1" x14ac:dyDescent="0.15"/>
    <row r="8424" customFormat="1" ht="21.95" customHeight="1" x14ac:dyDescent="0.15"/>
    <row r="8425" customFormat="1" ht="21.95" customHeight="1" x14ac:dyDescent="0.15"/>
    <row r="8426" customFormat="1" ht="21.95" customHeight="1" x14ac:dyDescent="0.15"/>
    <row r="8427" customFormat="1" ht="32.1" customHeight="1" x14ac:dyDescent="0.15"/>
    <row r="8428" customFormat="1" ht="32.1" customHeight="1" x14ac:dyDescent="0.15"/>
    <row r="8429" customFormat="1" ht="32.1" customHeight="1" x14ac:dyDescent="0.15"/>
    <row r="8430" customFormat="1" ht="32.1" customHeight="1" x14ac:dyDescent="0.15"/>
    <row r="8431" customFormat="1" ht="32.1" customHeight="1" x14ac:dyDescent="0.15"/>
    <row r="8432" customFormat="1" ht="32.1" customHeight="1" x14ac:dyDescent="0.15"/>
    <row r="8433" s="76" customFormat="1" ht="32.1" customHeight="1" x14ac:dyDescent="0.15"/>
    <row r="8434" s="76" customFormat="1" ht="32.1" customHeight="1" x14ac:dyDescent="0.15"/>
    <row r="8435" s="76" customFormat="1" ht="32.1" customHeight="1" x14ac:dyDescent="0.15"/>
    <row r="8436" s="76" customFormat="1" ht="32.1" customHeight="1" x14ac:dyDescent="0.15"/>
    <row r="8437" s="76" customFormat="1" ht="21.95" customHeight="1" x14ac:dyDescent="0.15"/>
    <row r="8438" s="76" customFormat="1" ht="54" customHeight="1" x14ac:dyDescent="0.15"/>
    <row r="8439" s="76" customFormat="1" ht="21.95" customHeight="1" x14ac:dyDescent="0.15"/>
    <row r="8440" s="76" customFormat="1" ht="21.95" customHeight="1" x14ac:dyDescent="0.15"/>
    <row r="8441" s="76" customFormat="1" ht="21.95" customHeight="1" x14ac:dyDescent="0.15"/>
    <row r="8442" s="76" customFormat="1" ht="21.95" customHeight="1" x14ac:dyDescent="0.15"/>
    <row r="8443" s="76" customFormat="1" ht="21.95" customHeight="1" x14ac:dyDescent="0.15"/>
    <row r="8444" s="76" customFormat="1" ht="21.95" customHeight="1" x14ac:dyDescent="0.15"/>
    <row r="8445" s="76" customFormat="1" ht="21.95" customHeight="1" x14ac:dyDescent="0.15"/>
    <row r="8446" s="76" customFormat="1" ht="21.95" customHeight="1" x14ac:dyDescent="0.15"/>
    <row r="8447" s="76" customFormat="1" ht="21.95" customHeight="1" x14ac:dyDescent="0.15"/>
    <row r="8448" s="76" customFormat="1" ht="21.95" customHeight="1" x14ac:dyDescent="0.15"/>
    <row r="8449" s="76" customFormat="1" ht="21.95" customHeight="1" x14ac:dyDescent="0.15"/>
    <row r="8450" s="76" customFormat="1" ht="21.95" customHeight="1" x14ac:dyDescent="0.15"/>
    <row r="8451" s="76" customFormat="1" ht="21.95" customHeight="1" x14ac:dyDescent="0.15"/>
    <row r="8452" s="76" customFormat="1" ht="21.95" customHeight="1" x14ac:dyDescent="0.15"/>
    <row r="8453" s="76" customFormat="1" ht="21.95" customHeight="1" x14ac:dyDescent="0.15"/>
    <row r="8454" s="76" customFormat="1" ht="21.95" customHeight="1" x14ac:dyDescent="0.15"/>
    <row r="8455" s="76" customFormat="1" ht="21.95" customHeight="1" x14ac:dyDescent="0.15"/>
    <row r="8456" s="76" customFormat="1" ht="21.95" customHeight="1" x14ac:dyDescent="0.15"/>
    <row r="8457" s="76" customFormat="1" ht="21.95" customHeight="1" x14ac:dyDescent="0.15"/>
    <row r="8458" s="76" customFormat="1" ht="21.95" customHeight="1" x14ac:dyDescent="0.15"/>
    <row r="8459" s="76" customFormat="1" ht="21.95" customHeight="1" x14ac:dyDescent="0.15"/>
    <row r="8460" s="76" customFormat="1" ht="21.95" customHeight="1" x14ac:dyDescent="0.15"/>
    <row r="8461" s="76" customFormat="1" ht="21.95" customHeight="1" x14ac:dyDescent="0.15"/>
    <row r="8462" s="76" customFormat="1" ht="21.95" customHeight="1" x14ac:dyDescent="0.15"/>
    <row r="8463" s="76" customFormat="1" ht="21.95" customHeight="1" x14ac:dyDescent="0.15"/>
    <row r="8464" s="76" customFormat="1" ht="21.95" customHeight="1" x14ac:dyDescent="0.15"/>
    <row r="8465" s="76" customFormat="1" ht="21.95" customHeight="1" x14ac:dyDescent="0.15"/>
    <row r="8466" s="76" customFormat="1" ht="21.95" customHeight="1" x14ac:dyDescent="0.15"/>
    <row r="8467" s="76" customFormat="1" ht="21.95" customHeight="1" x14ac:dyDescent="0.15"/>
    <row r="8468" s="76" customFormat="1" ht="21.95" customHeight="1" x14ac:dyDescent="0.15"/>
    <row r="8469" s="76" customFormat="1" ht="21.95" customHeight="1" x14ac:dyDescent="0.15"/>
    <row r="8470" s="76" customFormat="1" ht="21.95" customHeight="1" x14ac:dyDescent="0.15"/>
    <row r="8471" s="76" customFormat="1" ht="21.95" customHeight="1" x14ac:dyDescent="0.15"/>
    <row r="8472" s="76" customFormat="1" ht="21.95" customHeight="1" x14ac:dyDescent="0.15"/>
    <row r="8473" s="76" customFormat="1" ht="21.95" customHeight="1" x14ac:dyDescent="0.15"/>
    <row r="8474" s="76" customFormat="1" ht="21.95" customHeight="1" x14ac:dyDescent="0.15"/>
    <row r="8475" s="76" customFormat="1" ht="21.95" customHeight="1" x14ac:dyDescent="0.15"/>
    <row r="8476" s="76" customFormat="1" ht="21.95" customHeight="1" x14ac:dyDescent="0.15"/>
    <row r="8477" s="76" customFormat="1" ht="21.95" customHeight="1" x14ac:dyDescent="0.15"/>
    <row r="8478" s="76" customFormat="1" ht="21.95" customHeight="1" x14ac:dyDescent="0.15"/>
    <row r="8479" s="76" customFormat="1" ht="21.95" customHeight="1" x14ac:dyDescent="0.15"/>
    <row r="8480" s="76" customFormat="1" ht="21.95" customHeight="1" x14ac:dyDescent="0.15"/>
    <row r="8481" s="76" customFormat="1" ht="21.95" customHeight="1" x14ac:dyDescent="0.15"/>
    <row r="8482" s="76" customFormat="1" ht="21.95" customHeight="1" x14ac:dyDescent="0.15"/>
    <row r="8483" s="76" customFormat="1" ht="21.95" customHeight="1" x14ac:dyDescent="0.15"/>
    <row r="8484" s="76" customFormat="1" ht="21.95" customHeight="1" x14ac:dyDescent="0.15"/>
    <row r="8485" s="76" customFormat="1" ht="21.95" customHeight="1" x14ac:dyDescent="0.15"/>
    <row r="8486" s="76" customFormat="1" ht="21.95" customHeight="1" x14ac:dyDescent="0.15"/>
    <row r="8487" s="76" customFormat="1" ht="21.95" customHeight="1" x14ac:dyDescent="0.15"/>
    <row r="8488" s="76" customFormat="1" ht="21.95" customHeight="1" x14ac:dyDescent="0.15"/>
    <row r="8489" s="76" customFormat="1" ht="35.1" customHeight="1" x14ac:dyDescent="0.15"/>
    <row r="8490" s="76" customFormat="1" ht="21.95" customHeight="1" x14ac:dyDescent="0.15"/>
    <row r="8491" s="76" customFormat="1" ht="21.95" customHeight="1" x14ac:dyDescent="0.15"/>
    <row r="8492" s="76" customFormat="1" ht="21.95" customHeight="1" x14ac:dyDescent="0.15"/>
    <row r="8493" s="76" customFormat="1" ht="21.95" customHeight="1" x14ac:dyDescent="0.15"/>
    <row r="8494" s="76" customFormat="1" ht="21.95" customHeight="1" x14ac:dyDescent="0.15"/>
    <row r="8495" s="76" customFormat="1" ht="21.95" customHeight="1" x14ac:dyDescent="0.15"/>
    <row r="8496" s="76" customFormat="1" ht="21.95" customHeight="1" x14ac:dyDescent="0.15"/>
    <row r="8497" s="76" customFormat="1" ht="21.95" customHeight="1" x14ac:dyDescent="0.15"/>
    <row r="8498" s="76" customFormat="1" ht="21.95" customHeight="1" x14ac:dyDescent="0.15"/>
    <row r="8499" s="76" customFormat="1" ht="21.95" customHeight="1" x14ac:dyDescent="0.15"/>
    <row r="8500" s="76" customFormat="1" ht="21.95" customHeight="1" x14ac:dyDescent="0.15"/>
    <row r="8501" s="76" customFormat="1" ht="21.95" customHeight="1" x14ac:dyDescent="0.15"/>
    <row r="8502" s="76" customFormat="1" ht="21.95" customHeight="1" x14ac:dyDescent="0.15"/>
    <row r="8503" s="76" customFormat="1" ht="21.95" customHeight="1" x14ac:dyDescent="0.15"/>
    <row r="8504" s="76" customFormat="1" ht="21.95" customHeight="1" x14ac:dyDescent="0.15"/>
    <row r="8505" s="76" customFormat="1" ht="21.95" customHeight="1" x14ac:dyDescent="0.15"/>
    <row r="8506" s="76" customFormat="1" ht="21.95" customHeight="1" x14ac:dyDescent="0.15"/>
    <row r="8507" s="76" customFormat="1" ht="21.95" customHeight="1" x14ac:dyDescent="0.15"/>
    <row r="8508" s="76" customFormat="1" ht="21.95" customHeight="1" x14ac:dyDescent="0.15"/>
    <row r="8509" s="76" customFormat="1" ht="21.95" customHeight="1" x14ac:dyDescent="0.15"/>
    <row r="8510" s="76" customFormat="1" ht="21.95" customHeight="1" x14ac:dyDescent="0.15"/>
    <row r="8511" s="76" customFormat="1" ht="21.95" customHeight="1" x14ac:dyDescent="0.15"/>
    <row r="8512" s="76" customFormat="1" ht="21.95" customHeight="1" x14ac:dyDescent="0.15"/>
    <row r="8513" spans="3:3" customFormat="1" ht="21.95" customHeight="1" x14ac:dyDescent="0.15"/>
    <row r="8514" spans="3:3" customFormat="1" ht="21.95" customHeight="1" x14ac:dyDescent="0.15"/>
    <row r="8515" spans="3:3" customFormat="1" ht="21.95" customHeight="1" x14ac:dyDescent="0.15">
      <c r="C8515" s="94"/>
    </row>
    <row r="8516" spans="3:3" customFormat="1" ht="21.95" customHeight="1" x14ac:dyDescent="0.15">
      <c r="C8516" s="94"/>
    </row>
    <row r="8517" spans="3:3" customFormat="1" ht="21.95" customHeight="1" x14ac:dyDescent="0.15"/>
    <row r="8518" spans="3:3" customFormat="1" ht="21.95" customHeight="1" x14ac:dyDescent="0.15"/>
    <row r="8519" spans="3:3" customFormat="1" ht="21.95" customHeight="1" x14ac:dyDescent="0.15"/>
    <row r="8520" spans="3:3" customFormat="1" ht="21.95" customHeight="1" x14ac:dyDescent="0.15"/>
    <row r="8521" spans="3:3" customFormat="1" ht="21.95" customHeight="1" x14ac:dyDescent="0.15"/>
    <row r="8522" spans="3:3" customFormat="1" ht="21.95" customHeight="1" x14ac:dyDescent="0.15"/>
    <row r="8523" spans="3:3" customFormat="1" ht="21.95" customHeight="1" x14ac:dyDescent="0.15"/>
    <row r="8524" spans="3:3" s="76" customFormat="1" ht="21.95" customHeight="1" x14ac:dyDescent="0.15"/>
    <row r="8525" spans="3:3" s="76" customFormat="1" ht="21.95" customHeight="1" x14ac:dyDescent="0.15"/>
    <row r="8526" spans="3:3" s="76" customFormat="1" ht="21.95" customHeight="1" x14ac:dyDescent="0.15"/>
    <row r="8527" spans="3:3" s="76" customFormat="1" ht="21.95" customHeight="1" x14ac:dyDescent="0.15"/>
    <row r="8528" spans="3:3" customFormat="1" ht="21.95" customHeight="1" x14ac:dyDescent="0.15"/>
    <row r="8529" customFormat="1" ht="21.95" customHeight="1" x14ac:dyDescent="0.15"/>
    <row r="8530" customFormat="1" ht="21.95" customHeight="1" x14ac:dyDescent="0.15"/>
    <row r="8531" customFormat="1" ht="21.95" customHeight="1" x14ac:dyDescent="0.15"/>
    <row r="8532" customFormat="1" ht="21.95" customHeight="1" x14ac:dyDescent="0.15"/>
    <row r="8533" customFormat="1" ht="21.95" customHeight="1" x14ac:dyDescent="0.15"/>
    <row r="8534" customFormat="1" ht="21.95" customHeight="1" x14ac:dyDescent="0.15"/>
    <row r="8535" customFormat="1" ht="21.95" customHeight="1" x14ac:dyDescent="0.15"/>
    <row r="8536" customFormat="1" ht="21.95" customHeight="1" x14ac:dyDescent="0.15"/>
    <row r="8537" customFormat="1" ht="21.95" customHeight="1" x14ac:dyDescent="0.15"/>
    <row r="8538" customFormat="1" ht="21.95" customHeight="1" x14ac:dyDescent="0.15"/>
    <row r="8539" customFormat="1" ht="32.1" customHeight="1" x14ac:dyDescent="0.15"/>
    <row r="8540" customFormat="1" ht="32.1" customHeight="1" x14ac:dyDescent="0.15"/>
    <row r="8541" customFormat="1" ht="32.1" customHeight="1" x14ac:dyDescent="0.15"/>
    <row r="8542" customFormat="1" ht="32.1" customHeight="1" x14ac:dyDescent="0.15"/>
    <row r="8543" customFormat="1" ht="32.1" customHeight="1" x14ac:dyDescent="0.15"/>
    <row r="8544" customFormat="1" ht="32.1" customHeight="1" x14ac:dyDescent="0.15"/>
    <row r="8545" s="76" customFormat="1" ht="32.1" customHeight="1" x14ac:dyDescent="0.15"/>
    <row r="8546" s="76" customFormat="1" ht="32.1" customHeight="1" x14ac:dyDescent="0.15"/>
    <row r="8547" s="76" customFormat="1" ht="32.1" customHeight="1" x14ac:dyDescent="0.15"/>
    <row r="8548" s="76" customFormat="1" ht="32.1" customHeight="1" x14ac:dyDescent="0.15"/>
    <row r="8549" s="76" customFormat="1" ht="21.95" customHeight="1" x14ac:dyDescent="0.15"/>
    <row r="8550" s="76" customFormat="1" ht="54" customHeight="1" x14ac:dyDescent="0.15"/>
    <row r="8551" s="76" customFormat="1" ht="21.95" customHeight="1" x14ac:dyDescent="0.15"/>
    <row r="8552" s="76" customFormat="1" ht="21.95" customHeight="1" x14ac:dyDescent="0.15"/>
    <row r="8553" s="76" customFormat="1" ht="21.95" customHeight="1" x14ac:dyDescent="0.15"/>
    <row r="8554" s="76" customFormat="1" ht="21.95" customHeight="1" x14ac:dyDescent="0.15"/>
    <row r="8555" s="76" customFormat="1" ht="21.95" customHeight="1" x14ac:dyDescent="0.15"/>
    <row r="8556" s="76" customFormat="1" ht="21.95" customHeight="1" x14ac:dyDescent="0.15"/>
    <row r="8557" s="76" customFormat="1" ht="21.95" customHeight="1" x14ac:dyDescent="0.15"/>
    <row r="8558" s="76" customFormat="1" ht="21.95" customHeight="1" x14ac:dyDescent="0.15"/>
    <row r="8559" s="76" customFormat="1" ht="21.95" customHeight="1" x14ac:dyDescent="0.15"/>
    <row r="8560" s="76" customFormat="1" ht="21.95" customHeight="1" x14ac:dyDescent="0.15"/>
    <row r="8561" s="76" customFormat="1" ht="21.95" customHeight="1" x14ac:dyDescent="0.15"/>
    <row r="8562" s="76" customFormat="1" ht="21.95" customHeight="1" x14ac:dyDescent="0.15"/>
    <row r="8563" s="76" customFormat="1" ht="21.95" customHeight="1" x14ac:dyDescent="0.15"/>
    <row r="8564" s="76" customFormat="1" ht="21.95" customHeight="1" x14ac:dyDescent="0.15"/>
    <row r="8565" s="76" customFormat="1" ht="21.95" customHeight="1" x14ac:dyDescent="0.15"/>
    <row r="8566" s="76" customFormat="1" ht="21.95" customHeight="1" x14ac:dyDescent="0.15"/>
    <row r="8567" s="76" customFormat="1" ht="21.95" customHeight="1" x14ac:dyDescent="0.15"/>
    <row r="8568" s="76" customFormat="1" ht="21.95" customHeight="1" x14ac:dyDescent="0.15"/>
    <row r="8569" s="76" customFormat="1" ht="21.95" customHeight="1" x14ac:dyDescent="0.15"/>
    <row r="8570" s="76" customFormat="1" ht="21.95" customHeight="1" x14ac:dyDescent="0.15"/>
    <row r="8571" s="76" customFormat="1" ht="21.95" customHeight="1" x14ac:dyDescent="0.15"/>
    <row r="8572" s="76" customFormat="1" ht="21.95" customHeight="1" x14ac:dyDescent="0.15"/>
    <row r="8573" s="76" customFormat="1" ht="21.95" customHeight="1" x14ac:dyDescent="0.15"/>
    <row r="8574" s="76" customFormat="1" ht="21.95" customHeight="1" x14ac:dyDescent="0.15"/>
    <row r="8575" s="76" customFormat="1" ht="21.95" customHeight="1" x14ac:dyDescent="0.15"/>
    <row r="8576" s="76" customFormat="1" ht="21.95" customHeight="1" x14ac:dyDescent="0.15"/>
    <row r="8577" s="76" customFormat="1" ht="21.95" customHeight="1" x14ac:dyDescent="0.15"/>
    <row r="8578" s="76" customFormat="1" ht="21.95" customHeight="1" x14ac:dyDescent="0.15"/>
    <row r="8579" s="76" customFormat="1" ht="21.95" customHeight="1" x14ac:dyDescent="0.15"/>
    <row r="8580" s="76" customFormat="1" ht="21.95" customHeight="1" x14ac:dyDescent="0.15"/>
    <row r="8581" s="76" customFormat="1" ht="21.95" customHeight="1" x14ac:dyDescent="0.15"/>
    <row r="8582" s="76" customFormat="1" ht="21.95" customHeight="1" x14ac:dyDescent="0.15"/>
    <row r="8583" s="76" customFormat="1" ht="21.95" customHeight="1" x14ac:dyDescent="0.15"/>
    <row r="8584" s="76" customFormat="1" ht="21.95" customHeight="1" x14ac:dyDescent="0.15"/>
    <row r="8585" s="76" customFormat="1" ht="21.95" customHeight="1" x14ac:dyDescent="0.15"/>
    <row r="8586" s="76" customFormat="1" ht="21.95" customHeight="1" x14ac:dyDescent="0.15"/>
    <row r="8587" s="76" customFormat="1" ht="21.95" customHeight="1" x14ac:dyDescent="0.15"/>
    <row r="8588" s="76" customFormat="1" ht="21.95" customHeight="1" x14ac:dyDescent="0.15"/>
    <row r="8589" s="76" customFormat="1" ht="21.95" customHeight="1" x14ac:dyDescent="0.15"/>
    <row r="8590" s="76" customFormat="1" ht="21.95" customHeight="1" x14ac:dyDescent="0.15"/>
    <row r="8591" s="76" customFormat="1" ht="21.95" customHeight="1" x14ac:dyDescent="0.15"/>
    <row r="8592" s="76" customFormat="1" ht="21.95" customHeight="1" x14ac:dyDescent="0.15"/>
    <row r="8593" s="76" customFormat="1" ht="21.95" customHeight="1" x14ac:dyDescent="0.15"/>
    <row r="8594" s="76" customFormat="1" ht="21.95" customHeight="1" x14ac:dyDescent="0.15"/>
    <row r="8595" s="76" customFormat="1" ht="21.95" customHeight="1" x14ac:dyDescent="0.15"/>
    <row r="8596" s="76" customFormat="1" ht="21.95" customHeight="1" x14ac:dyDescent="0.15"/>
    <row r="8597" s="76" customFormat="1" ht="21.95" customHeight="1" x14ac:dyDescent="0.15"/>
    <row r="8598" s="76" customFormat="1" ht="21.95" customHeight="1" x14ac:dyDescent="0.15"/>
    <row r="8599" s="76" customFormat="1" ht="21.95" customHeight="1" x14ac:dyDescent="0.15"/>
    <row r="8600" s="76" customFormat="1" ht="21.95" customHeight="1" x14ac:dyDescent="0.15"/>
    <row r="8601" s="76" customFormat="1" ht="35.1" customHeight="1" x14ac:dyDescent="0.15"/>
    <row r="8602" s="76" customFormat="1" ht="21.95" customHeight="1" x14ac:dyDescent="0.15"/>
    <row r="8603" s="76" customFormat="1" ht="21.95" customHeight="1" x14ac:dyDescent="0.15"/>
    <row r="8604" s="76" customFormat="1" ht="21.95" customHeight="1" x14ac:dyDescent="0.15"/>
    <row r="8605" s="76" customFormat="1" ht="21.95" customHeight="1" x14ac:dyDescent="0.15"/>
    <row r="8606" s="76" customFormat="1" ht="21.95" customHeight="1" x14ac:dyDescent="0.15"/>
    <row r="8607" s="76" customFormat="1" ht="21.95" customHeight="1" x14ac:dyDescent="0.15"/>
    <row r="8608" s="76" customFormat="1" ht="21.95" customHeight="1" x14ac:dyDescent="0.15"/>
    <row r="8609" s="76" customFormat="1" ht="21.95" customHeight="1" x14ac:dyDescent="0.15"/>
    <row r="8610" s="76" customFormat="1" ht="21.95" customHeight="1" x14ac:dyDescent="0.15"/>
    <row r="8611" s="76" customFormat="1" ht="21.95" customHeight="1" x14ac:dyDescent="0.15"/>
    <row r="8612" s="76" customFormat="1" ht="21.95" customHeight="1" x14ac:dyDescent="0.15"/>
    <row r="8613" s="76" customFormat="1" ht="21.95" customHeight="1" x14ac:dyDescent="0.15"/>
    <row r="8614" s="76" customFormat="1" ht="21.95" customHeight="1" x14ac:dyDescent="0.15"/>
    <row r="8615" s="76" customFormat="1" ht="21.95" customHeight="1" x14ac:dyDescent="0.15"/>
    <row r="8616" s="76" customFormat="1" ht="21.95" customHeight="1" x14ac:dyDescent="0.15"/>
    <row r="8617" s="76" customFormat="1" ht="21.95" customHeight="1" x14ac:dyDescent="0.15"/>
    <row r="8618" s="76" customFormat="1" ht="21.95" customHeight="1" x14ac:dyDescent="0.15"/>
    <row r="8619" s="76" customFormat="1" ht="21.95" customHeight="1" x14ac:dyDescent="0.15"/>
    <row r="8620" s="76" customFormat="1" ht="21.95" customHeight="1" x14ac:dyDescent="0.15"/>
    <row r="8621" s="76" customFormat="1" ht="21.95" customHeight="1" x14ac:dyDescent="0.15"/>
    <row r="8622" s="76" customFormat="1" ht="21.95" customHeight="1" x14ac:dyDescent="0.15"/>
    <row r="8623" s="76" customFormat="1" ht="21.95" customHeight="1" x14ac:dyDescent="0.15"/>
    <row r="8624" s="76" customFormat="1" ht="21.95" customHeight="1" x14ac:dyDescent="0.15"/>
    <row r="8625" spans="3:3" customFormat="1" ht="21.95" customHeight="1" x14ac:dyDescent="0.15"/>
    <row r="8626" spans="3:3" customFormat="1" ht="21.95" customHeight="1" x14ac:dyDescent="0.15"/>
    <row r="8627" spans="3:3" customFormat="1" ht="21.95" customHeight="1" x14ac:dyDescent="0.15">
      <c r="C8627" s="94"/>
    </row>
    <row r="8628" spans="3:3" customFormat="1" ht="21.95" customHeight="1" x14ac:dyDescent="0.15">
      <c r="C8628" s="94"/>
    </row>
    <row r="8629" spans="3:3" customFormat="1" ht="21.95" customHeight="1" x14ac:dyDescent="0.15"/>
    <row r="8630" spans="3:3" customFormat="1" ht="21.95" customHeight="1" x14ac:dyDescent="0.15"/>
    <row r="8631" spans="3:3" customFormat="1" ht="21.95" customHeight="1" x14ac:dyDescent="0.15"/>
    <row r="8632" spans="3:3" customFormat="1" ht="21.95" customHeight="1" x14ac:dyDescent="0.15"/>
    <row r="8633" spans="3:3" customFormat="1" ht="21.95" customHeight="1" x14ac:dyDescent="0.15"/>
    <row r="8634" spans="3:3" customFormat="1" ht="21.95" customHeight="1" x14ac:dyDescent="0.15"/>
    <row r="8635" spans="3:3" customFormat="1" ht="21.95" customHeight="1" x14ac:dyDescent="0.15"/>
    <row r="8636" spans="3:3" s="76" customFormat="1" ht="21.95" customHeight="1" x14ac:dyDescent="0.15"/>
    <row r="8637" spans="3:3" s="76" customFormat="1" ht="21.95" customHeight="1" x14ac:dyDescent="0.15"/>
    <row r="8638" spans="3:3" s="76" customFormat="1" ht="21.95" customHeight="1" x14ac:dyDescent="0.15"/>
    <row r="8639" spans="3:3" s="76" customFormat="1" ht="21.95" customHeight="1" x14ac:dyDescent="0.15"/>
    <row r="8640" spans="3:3" customFormat="1" ht="21.95" customHeight="1" x14ac:dyDescent="0.15"/>
    <row r="8641" customFormat="1" ht="21.95" customHeight="1" x14ac:dyDescent="0.15"/>
    <row r="8642" customFormat="1" ht="21.95" customHeight="1" x14ac:dyDescent="0.15"/>
    <row r="8643" customFormat="1" ht="21.95" customHeight="1" x14ac:dyDescent="0.15"/>
    <row r="8644" customFormat="1" ht="21.95" customHeight="1" x14ac:dyDescent="0.15"/>
    <row r="8645" customFormat="1" ht="21.95" customHeight="1" x14ac:dyDescent="0.15"/>
    <row r="8646" customFormat="1" ht="21.95" customHeight="1" x14ac:dyDescent="0.15"/>
    <row r="8647" customFormat="1" ht="21.95" customHeight="1" x14ac:dyDescent="0.15"/>
    <row r="8648" customFormat="1" ht="21.95" customHeight="1" x14ac:dyDescent="0.15"/>
    <row r="8649" customFormat="1" ht="21.95" customHeight="1" x14ac:dyDescent="0.15"/>
    <row r="8650" customFormat="1" ht="21.95" customHeight="1" x14ac:dyDescent="0.15"/>
    <row r="8651" customFormat="1" ht="32.1" customHeight="1" x14ac:dyDescent="0.15"/>
    <row r="8652" customFormat="1" ht="32.1" customHeight="1" x14ac:dyDescent="0.15"/>
    <row r="8653" customFormat="1" ht="32.1" customHeight="1" x14ac:dyDescent="0.15"/>
    <row r="8654" customFormat="1" ht="32.1" customHeight="1" x14ac:dyDescent="0.15"/>
    <row r="8655" customFormat="1" ht="32.1" customHeight="1" x14ac:dyDescent="0.15"/>
    <row r="8656" customFormat="1" ht="32.1" customHeight="1" x14ac:dyDescent="0.15"/>
    <row r="8657" s="76" customFormat="1" ht="32.1" customHeight="1" x14ac:dyDescent="0.15"/>
    <row r="8658" s="76" customFormat="1" ht="32.1" customHeight="1" x14ac:dyDescent="0.15"/>
    <row r="8659" s="76" customFormat="1" ht="32.1" customHeight="1" x14ac:dyDescent="0.15"/>
    <row r="8660" s="76" customFormat="1" ht="32.1" customHeight="1" x14ac:dyDescent="0.15"/>
    <row r="8661" s="76" customFormat="1" ht="21.95" customHeight="1" x14ac:dyDescent="0.15"/>
    <row r="8662" s="76" customFormat="1" ht="54" customHeight="1" x14ac:dyDescent="0.15"/>
    <row r="8663" s="76" customFormat="1" ht="21.95" customHeight="1" x14ac:dyDescent="0.15"/>
    <row r="8664" s="76" customFormat="1" ht="21.95" customHeight="1" x14ac:dyDescent="0.15"/>
    <row r="8665" s="76" customFormat="1" ht="21.95" customHeight="1" x14ac:dyDescent="0.15"/>
    <row r="8666" s="76" customFormat="1" ht="21.95" customHeight="1" x14ac:dyDescent="0.15"/>
    <row r="8667" s="76" customFormat="1" ht="21.95" customHeight="1" x14ac:dyDescent="0.15"/>
    <row r="8668" s="76" customFormat="1" ht="21.95" customHeight="1" x14ac:dyDescent="0.15"/>
    <row r="8669" s="76" customFormat="1" ht="21.95" customHeight="1" x14ac:dyDescent="0.15"/>
    <row r="8670" s="76" customFormat="1" ht="21.95" customHeight="1" x14ac:dyDescent="0.15"/>
    <row r="8671" s="76" customFormat="1" ht="21.95" customHeight="1" x14ac:dyDescent="0.15"/>
    <row r="8672" s="76" customFormat="1" ht="21.95" customHeight="1" x14ac:dyDescent="0.15"/>
    <row r="8673" s="76" customFormat="1" ht="21.95" customHeight="1" x14ac:dyDescent="0.15"/>
    <row r="8674" s="76" customFormat="1" ht="21.95" customHeight="1" x14ac:dyDescent="0.15"/>
    <row r="8675" s="76" customFormat="1" ht="21.95" customHeight="1" x14ac:dyDescent="0.15"/>
    <row r="8676" s="76" customFormat="1" ht="21.95" customHeight="1" x14ac:dyDescent="0.15"/>
    <row r="8677" s="76" customFormat="1" ht="21.95" customHeight="1" x14ac:dyDescent="0.15"/>
    <row r="8678" s="76" customFormat="1" ht="21.95" customHeight="1" x14ac:dyDescent="0.15"/>
    <row r="8679" s="76" customFormat="1" ht="21.95" customHeight="1" x14ac:dyDescent="0.15"/>
    <row r="8680" s="76" customFormat="1" ht="21.95" customHeight="1" x14ac:dyDescent="0.15"/>
    <row r="8681" s="76" customFormat="1" ht="21.95" customHeight="1" x14ac:dyDescent="0.15"/>
    <row r="8682" s="76" customFormat="1" ht="21.95" customHeight="1" x14ac:dyDescent="0.15"/>
    <row r="8683" s="76" customFormat="1" ht="21.95" customHeight="1" x14ac:dyDescent="0.15"/>
    <row r="8684" s="76" customFormat="1" ht="21.95" customHeight="1" x14ac:dyDescent="0.15"/>
    <row r="8685" s="76" customFormat="1" ht="21.95" customHeight="1" x14ac:dyDescent="0.15"/>
    <row r="8686" s="76" customFormat="1" ht="21.95" customHeight="1" x14ac:dyDescent="0.15"/>
    <row r="8687" s="76" customFormat="1" ht="21.95" customHeight="1" x14ac:dyDescent="0.15"/>
    <row r="8688" s="76" customFormat="1" ht="21.95" customHeight="1" x14ac:dyDescent="0.15"/>
    <row r="8689" s="76" customFormat="1" ht="21.95" customHeight="1" x14ac:dyDescent="0.15"/>
    <row r="8690" s="76" customFormat="1" ht="21.95" customHeight="1" x14ac:dyDescent="0.15"/>
    <row r="8691" s="76" customFormat="1" ht="21.95" customHeight="1" x14ac:dyDescent="0.15"/>
    <row r="8692" s="76" customFormat="1" ht="21.95" customHeight="1" x14ac:dyDescent="0.15"/>
    <row r="8693" s="76" customFormat="1" ht="21.95" customHeight="1" x14ac:dyDescent="0.15"/>
    <row r="8694" s="76" customFormat="1" ht="21.95" customHeight="1" x14ac:dyDescent="0.15"/>
    <row r="8695" s="76" customFormat="1" ht="21.95" customHeight="1" x14ac:dyDescent="0.15"/>
    <row r="8696" s="76" customFormat="1" ht="21.95" customHeight="1" x14ac:dyDescent="0.15"/>
    <row r="8697" s="76" customFormat="1" ht="21.95" customHeight="1" x14ac:dyDescent="0.15"/>
    <row r="8698" s="76" customFormat="1" ht="21.95" customHeight="1" x14ac:dyDescent="0.15"/>
    <row r="8699" s="76" customFormat="1" ht="21.95" customHeight="1" x14ac:dyDescent="0.15"/>
    <row r="8700" s="76" customFormat="1" ht="21.95" customHeight="1" x14ac:dyDescent="0.15"/>
    <row r="8701" s="76" customFormat="1" ht="21.95" customHeight="1" x14ac:dyDescent="0.15"/>
    <row r="8702" s="76" customFormat="1" ht="21.95" customHeight="1" x14ac:dyDescent="0.15"/>
    <row r="8703" s="76" customFormat="1" ht="21.95" customHeight="1" x14ac:dyDescent="0.15"/>
    <row r="8704" s="76" customFormat="1" ht="21.95" customHeight="1" x14ac:dyDescent="0.15"/>
    <row r="8705" s="76" customFormat="1" ht="21.95" customHeight="1" x14ac:dyDescent="0.15"/>
    <row r="8706" s="76" customFormat="1" ht="21.95" customHeight="1" x14ac:dyDescent="0.15"/>
    <row r="8707" s="76" customFormat="1" ht="21.95" customHeight="1" x14ac:dyDescent="0.15"/>
    <row r="8708" s="76" customFormat="1" ht="21.95" customHeight="1" x14ac:dyDescent="0.15"/>
    <row r="8709" s="76" customFormat="1" ht="21.95" customHeight="1" x14ac:dyDescent="0.15"/>
    <row r="8710" s="76" customFormat="1" ht="21.95" customHeight="1" x14ac:dyDescent="0.15"/>
    <row r="8711" s="76" customFormat="1" ht="21.95" customHeight="1" x14ac:dyDescent="0.15"/>
    <row r="8712" s="76" customFormat="1" ht="21.95" customHeight="1" x14ac:dyDescent="0.15"/>
    <row r="8713" s="76" customFormat="1" ht="35.1" customHeight="1" x14ac:dyDescent="0.15"/>
    <row r="8714" s="76" customFormat="1" ht="21.95" customHeight="1" x14ac:dyDescent="0.15"/>
    <row r="8715" s="76" customFormat="1" ht="21.95" customHeight="1" x14ac:dyDescent="0.15"/>
    <row r="8716" s="76" customFormat="1" ht="21.95" customHeight="1" x14ac:dyDescent="0.15"/>
    <row r="8717" s="76" customFormat="1" ht="21.95" customHeight="1" x14ac:dyDescent="0.15"/>
    <row r="8718" s="76" customFormat="1" ht="21.95" customHeight="1" x14ac:dyDescent="0.15"/>
    <row r="8719" s="76" customFormat="1" ht="21.95" customHeight="1" x14ac:dyDescent="0.15"/>
    <row r="8720" s="76" customFormat="1" ht="21.95" customHeight="1" x14ac:dyDescent="0.15"/>
    <row r="8721" s="76" customFormat="1" ht="21.95" customHeight="1" x14ac:dyDescent="0.15"/>
    <row r="8722" s="76" customFormat="1" ht="21.95" customHeight="1" x14ac:dyDescent="0.15"/>
    <row r="8723" s="76" customFormat="1" ht="21.95" customHeight="1" x14ac:dyDescent="0.15"/>
    <row r="8724" s="76" customFormat="1" ht="21.95" customHeight="1" x14ac:dyDescent="0.15"/>
    <row r="8725" s="76" customFormat="1" ht="21.95" customHeight="1" x14ac:dyDescent="0.15"/>
    <row r="8726" s="76" customFormat="1" ht="21.95" customHeight="1" x14ac:dyDescent="0.15"/>
    <row r="8727" s="76" customFormat="1" ht="21.95" customHeight="1" x14ac:dyDescent="0.15"/>
    <row r="8728" s="76" customFormat="1" ht="21.95" customHeight="1" x14ac:dyDescent="0.15"/>
    <row r="8729" s="76" customFormat="1" ht="21.95" customHeight="1" x14ac:dyDescent="0.15"/>
    <row r="8730" s="76" customFormat="1" ht="21.95" customHeight="1" x14ac:dyDescent="0.15"/>
    <row r="8731" s="76" customFormat="1" ht="21.95" customHeight="1" x14ac:dyDescent="0.15"/>
    <row r="8732" s="76" customFormat="1" ht="21.95" customHeight="1" x14ac:dyDescent="0.15"/>
    <row r="8733" s="76" customFormat="1" ht="21.95" customHeight="1" x14ac:dyDescent="0.15"/>
    <row r="8734" s="76" customFormat="1" ht="21.95" customHeight="1" x14ac:dyDescent="0.15"/>
    <row r="8735" s="76" customFormat="1" ht="21.95" customHeight="1" x14ac:dyDescent="0.15"/>
    <row r="8736" s="76" customFormat="1" ht="21.95" customHeight="1" x14ac:dyDescent="0.15"/>
    <row r="8737" spans="3:3" customFormat="1" ht="21.95" customHeight="1" x14ac:dyDescent="0.15"/>
    <row r="8738" spans="3:3" customFormat="1" ht="21.95" customHeight="1" x14ac:dyDescent="0.15"/>
    <row r="8739" spans="3:3" customFormat="1" ht="21.95" customHeight="1" x14ac:dyDescent="0.15">
      <c r="C8739" s="94"/>
    </row>
    <row r="8740" spans="3:3" customFormat="1" ht="21.95" customHeight="1" x14ac:dyDescent="0.15">
      <c r="C8740" s="94"/>
    </row>
    <row r="8741" spans="3:3" customFormat="1" ht="21.95" customHeight="1" x14ac:dyDescent="0.15"/>
    <row r="8742" spans="3:3" customFormat="1" ht="21.95" customHeight="1" x14ac:dyDescent="0.15"/>
    <row r="8743" spans="3:3" customFormat="1" ht="21.95" customHeight="1" x14ac:dyDescent="0.15"/>
    <row r="8744" spans="3:3" customFormat="1" ht="21.95" customHeight="1" x14ac:dyDescent="0.15"/>
    <row r="8745" spans="3:3" customFormat="1" ht="21.95" customHeight="1" x14ac:dyDescent="0.15"/>
    <row r="8746" spans="3:3" customFormat="1" ht="21.95" customHeight="1" x14ac:dyDescent="0.15"/>
    <row r="8747" spans="3:3" customFormat="1" ht="21.95" customHeight="1" x14ac:dyDescent="0.15"/>
    <row r="8748" spans="3:3" s="76" customFormat="1" ht="21.95" customHeight="1" x14ac:dyDescent="0.15"/>
    <row r="8749" spans="3:3" s="76" customFormat="1" ht="21.95" customHeight="1" x14ac:dyDescent="0.15"/>
    <row r="8750" spans="3:3" s="76" customFormat="1" ht="21.95" customHeight="1" x14ac:dyDescent="0.15"/>
    <row r="8751" spans="3:3" s="76" customFormat="1" ht="21.95" customHeight="1" x14ac:dyDescent="0.15"/>
    <row r="8752" spans="3:3" customFormat="1" ht="21.95" customHeight="1" x14ac:dyDescent="0.15"/>
    <row r="8753" customFormat="1" ht="21.95" customHeight="1" x14ac:dyDescent="0.15"/>
    <row r="8754" customFormat="1" ht="21.95" customHeight="1" x14ac:dyDescent="0.15"/>
    <row r="8755" customFormat="1" ht="21.95" customHeight="1" x14ac:dyDescent="0.15"/>
    <row r="8756" customFormat="1" ht="21.95" customHeight="1" x14ac:dyDescent="0.15"/>
    <row r="8757" customFormat="1" ht="21.95" customHeight="1" x14ac:dyDescent="0.15"/>
    <row r="8758" customFormat="1" ht="21.95" customHeight="1" x14ac:dyDescent="0.15"/>
    <row r="8759" customFormat="1" ht="21.95" customHeight="1" x14ac:dyDescent="0.15"/>
    <row r="8760" customFormat="1" ht="21.95" customHeight="1" x14ac:dyDescent="0.15"/>
    <row r="8761" customFormat="1" ht="21.95" customHeight="1" x14ac:dyDescent="0.15"/>
    <row r="8762" customFormat="1" ht="21.95" customHeight="1" x14ac:dyDescent="0.15"/>
    <row r="8763" customFormat="1" ht="32.1" customHeight="1" x14ac:dyDescent="0.15"/>
    <row r="8764" customFormat="1" ht="32.1" customHeight="1" x14ac:dyDescent="0.15"/>
    <row r="8765" customFormat="1" ht="32.1" customHeight="1" x14ac:dyDescent="0.15"/>
    <row r="8766" customFormat="1" ht="32.1" customHeight="1" x14ac:dyDescent="0.15"/>
    <row r="8767" customFormat="1" ht="32.1" customHeight="1" x14ac:dyDescent="0.15"/>
    <row r="8768" customFormat="1" ht="32.1" customHeight="1" x14ac:dyDescent="0.15"/>
    <row r="8769" s="76" customFormat="1" ht="32.1" customHeight="1" x14ac:dyDescent="0.15"/>
    <row r="8770" s="76" customFormat="1" ht="32.1" customHeight="1" x14ac:dyDescent="0.15"/>
    <row r="8771" s="76" customFormat="1" ht="32.1" customHeight="1" x14ac:dyDescent="0.15"/>
    <row r="8772" s="76" customFormat="1" ht="32.1" customHeight="1" x14ac:dyDescent="0.15"/>
    <row r="8773" s="76" customFormat="1" ht="21.95" customHeight="1" x14ac:dyDescent="0.15"/>
    <row r="8774" s="76" customFormat="1" ht="54" customHeight="1" x14ac:dyDescent="0.15"/>
    <row r="8775" s="76" customFormat="1" ht="21.95" customHeight="1" x14ac:dyDescent="0.15"/>
    <row r="8776" s="76" customFormat="1" ht="21.95" customHeight="1" x14ac:dyDescent="0.15"/>
    <row r="8777" s="76" customFormat="1" ht="21.95" customHeight="1" x14ac:dyDescent="0.15"/>
    <row r="8778" s="76" customFormat="1" ht="21.95" customHeight="1" x14ac:dyDescent="0.15"/>
    <row r="8779" s="76" customFormat="1" ht="21.95" customHeight="1" x14ac:dyDescent="0.15"/>
    <row r="8780" s="76" customFormat="1" ht="21.95" customHeight="1" x14ac:dyDescent="0.15"/>
    <row r="8781" s="76" customFormat="1" ht="21.95" customHeight="1" x14ac:dyDescent="0.15"/>
    <row r="8782" s="76" customFormat="1" ht="21.95" customHeight="1" x14ac:dyDescent="0.15"/>
    <row r="8783" s="76" customFormat="1" ht="21.95" customHeight="1" x14ac:dyDescent="0.15"/>
    <row r="8784" s="76" customFormat="1" ht="21.95" customHeight="1" x14ac:dyDescent="0.15"/>
    <row r="8785" s="76" customFormat="1" ht="21.95" customHeight="1" x14ac:dyDescent="0.15"/>
    <row r="8786" s="76" customFormat="1" ht="21.95" customHeight="1" x14ac:dyDescent="0.15"/>
    <row r="8787" s="76" customFormat="1" ht="21.95" customHeight="1" x14ac:dyDescent="0.15"/>
    <row r="8788" s="76" customFormat="1" ht="21.95" customHeight="1" x14ac:dyDescent="0.15"/>
    <row r="8789" s="76" customFormat="1" ht="21.95" customHeight="1" x14ac:dyDescent="0.15"/>
    <row r="8790" s="76" customFormat="1" ht="21.95" customHeight="1" x14ac:dyDescent="0.15"/>
    <row r="8791" s="76" customFormat="1" ht="21.95" customHeight="1" x14ac:dyDescent="0.15"/>
    <row r="8792" s="76" customFormat="1" ht="21.95" customHeight="1" x14ac:dyDescent="0.15"/>
    <row r="8793" s="76" customFormat="1" ht="21.95" customHeight="1" x14ac:dyDescent="0.15"/>
    <row r="8794" s="76" customFormat="1" ht="21.95" customHeight="1" x14ac:dyDescent="0.15"/>
    <row r="8795" s="76" customFormat="1" ht="21.95" customHeight="1" x14ac:dyDescent="0.15"/>
    <row r="8796" s="76" customFormat="1" ht="21.95" customHeight="1" x14ac:dyDescent="0.15"/>
    <row r="8797" s="76" customFormat="1" ht="21.95" customHeight="1" x14ac:dyDescent="0.15"/>
    <row r="8798" s="76" customFormat="1" ht="21.95" customHeight="1" x14ac:dyDescent="0.15"/>
    <row r="8799" s="76" customFormat="1" ht="21.95" customHeight="1" x14ac:dyDescent="0.15"/>
    <row r="8800" s="76" customFormat="1" ht="21.95" customHeight="1" x14ac:dyDescent="0.15"/>
    <row r="8801" s="76" customFormat="1" ht="21.95" customHeight="1" x14ac:dyDescent="0.15"/>
    <row r="8802" s="76" customFormat="1" ht="21.95" customHeight="1" x14ac:dyDescent="0.15"/>
    <row r="8803" s="76" customFormat="1" ht="21.95" customHeight="1" x14ac:dyDescent="0.15"/>
    <row r="8804" s="76" customFormat="1" ht="21.95" customHeight="1" x14ac:dyDescent="0.15"/>
    <row r="8805" s="76" customFormat="1" ht="21.95" customHeight="1" x14ac:dyDescent="0.15"/>
    <row r="8806" s="76" customFormat="1" ht="21.95" customHeight="1" x14ac:dyDescent="0.15"/>
    <row r="8807" s="76" customFormat="1" ht="21.95" customHeight="1" x14ac:dyDescent="0.15"/>
    <row r="8808" s="76" customFormat="1" ht="21.95" customHeight="1" x14ac:dyDescent="0.15"/>
    <row r="8809" s="76" customFormat="1" ht="21.95" customHeight="1" x14ac:dyDescent="0.15"/>
    <row r="8810" s="76" customFormat="1" ht="21.95" customHeight="1" x14ac:dyDescent="0.15"/>
    <row r="8811" s="76" customFormat="1" ht="21.95" customHeight="1" x14ac:dyDescent="0.15"/>
    <row r="8812" s="76" customFormat="1" ht="21.95" customHeight="1" x14ac:dyDescent="0.15"/>
    <row r="8813" s="76" customFormat="1" ht="21.95" customHeight="1" x14ac:dyDescent="0.15"/>
    <row r="8814" s="76" customFormat="1" ht="21.95" customHeight="1" x14ac:dyDescent="0.15"/>
    <row r="8815" s="76" customFormat="1" ht="21.95" customHeight="1" x14ac:dyDescent="0.15"/>
    <row r="8816" s="76" customFormat="1" ht="21.95" customHeight="1" x14ac:dyDescent="0.15"/>
    <row r="8817" s="76" customFormat="1" ht="21.95" customHeight="1" x14ac:dyDescent="0.15"/>
    <row r="8818" s="76" customFormat="1" ht="21.95" customHeight="1" x14ac:dyDescent="0.15"/>
    <row r="8819" s="76" customFormat="1" ht="21.95" customHeight="1" x14ac:dyDescent="0.15"/>
    <row r="8820" s="76" customFormat="1" ht="21.95" customHeight="1" x14ac:dyDescent="0.15"/>
    <row r="8821" s="76" customFormat="1" ht="21.95" customHeight="1" x14ac:dyDescent="0.15"/>
    <row r="8822" s="76" customFormat="1" ht="21.95" customHeight="1" x14ac:dyDescent="0.15"/>
    <row r="8823" s="76" customFormat="1" ht="21.95" customHeight="1" x14ac:dyDescent="0.15"/>
    <row r="8824" s="76" customFormat="1" ht="21.95" customHeight="1" x14ac:dyDescent="0.15"/>
    <row r="8825" s="76" customFormat="1" ht="35.1" customHeight="1" x14ac:dyDescent="0.15"/>
    <row r="8826" s="76" customFormat="1" ht="21.95" customHeight="1" x14ac:dyDescent="0.15"/>
    <row r="8827" s="76" customFormat="1" ht="21.95" customHeight="1" x14ac:dyDescent="0.15"/>
    <row r="8828" s="76" customFormat="1" ht="21.95" customHeight="1" x14ac:dyDescent="0.15"/>
    <row r="8829" s="76" customFormat="1" ht="21.95" customHeight="1" x14ac:dyDescent="0.15"/>
    <row r="8830" s="76" customFormat="1" ht="21.95" customHeight="1" x14ac:dyDescent="0.15"/>
    <row r="8831" s="76" customFormat="1" ht="21.95" customHeight="1" x14ac:dyDescent="0.15"/>
    <row r="8832" s="76" customFormat="1" ht="21.95" customHeight="1" x14ac:dyDescent="0.15"/>
    <row r="8833" s="76" customFormat="1" ht="21.95" customHeight="1" x14ac:dyDescent="0.15"/>
    <row r="8834" s="76" customFormat="1" ht="21.95" customHeight="1" x14ac:dyDescent="0.15"/>
    <row r="8835" s="76" customFormat="1" ht="21.95" customHeight="1" x14ac:dyDescent="0.15"/>
    <row r="8836" s="76" customFormat="1" ht="21.95" customHeight="1" x14ac:dyDescent="0.15"/>
    <row r="8837" s="76" customFormat="1" ht="21.95" customHeight="1" x14ac:dyDescent="0.15"/>
    <row r="8838" s="76" customFormat="1" ht="21.95" customHeight="1" x14ac:dyDescent="0.15"/>
    <row r="8839" s="76" customFormat="1" ht="21.95" customHeight="1" x14ac:dyDescent="0.15"/>
    <row r="8840" s="76" customFormat="1" ht="21.95" customHeight="1" x14ac:dyDescent="0.15"/>
    <row r="8841" s="76" customFormat="1" ht="21.95" customHeight="1" x14ac:dyDescent="0.15"/>
    <row r="8842" s="76" customFormat="1" ht="21.95" customHeight="1" x14ac:dyDescent="0.15"/>
    <row r="8843" s="76" customFormat="1" ht="21.95" customHeight="1" x14ac:dyDescent="0.15"/>
    <row r="8844" s="76" customFormat="1" ht="21.95" customHeight="1" x14ac:dyDescent="0.15"/>
    <row r="8845" s="76" customFormat="1" ht="21.95" customHeight="1" x14ac:dyDescent="0.15"/>
    <row r="8846" s="76" customFormat="1" ht="21.95" customHeight="1" x14ac:dyDescent="0.15"/>
    <row r="8847" s="76" customFormat="1" ht="21.95" customHeight="1" x14ac:dyDescent="0.15"/>
    <row r="8848" s="76" customFormat="1" ht="21.95" customHeight="1" x14ac:dyDescent="0.15"/>
    <row r="8849" spans="3:3" customFormat="1" ht="21.95" customHeight="1" x14ac:dyDescent="0.15"/>
    <row r="8850" spans="3:3" customFormat="1" ht="21.95" customHeight="1" x14ac:dyDescent="0.15"/>
    <row r="8851" spans="3:3" customFormat="1" ht="21.95" customHeight="1" x14ac:dyDescent="0.15">
      <c r="C8851" s="94"/>
    </row>
    <row r="8852" spans="3:3" customFormat="1" ht="21.95" customHeight="1" x14ac:dyDescent="0.15">
      <c r="C8852" s="94"/>
    </row>
    <row r="8853" spans="3:3" customFormat="1" ht="21.95" customHeight="1" x14ac:dyDescent="0.15"/>
    <row r="8854" spans="3:3" customFormat="1" ht="21.95" customHeight="1" x14ac:dyDescent="0.15"/>
    <row r="8855" spans="3:3" customFormat="1" ht="21.95" customHeight="1" x14ac:dyDescent="0.15"/>
    <row r="8856" spans="3:3" customFormat="1" ht="21.95" customHeight="1" x14ac:dyDescent="0.15"/>
    <row r="8857" spans="3:3" customFormat="1" ht="21.95" customHeight="1" x14ac:dyDescent="0.15"/>
    <row r="8858" spans="3:3" customFormat="1" ht="21.95" customHeight="1" x14ac:dyDescent="0.15"/>
    <row r="8859" spans="3:3" customFormat="1" ht="21.95" customHeight="1" x14ac:dyDescent="0.15"/>
    <row r="8860" spans="3:3" s="76" customFormat="1" ht="21.95" customHeight="1" x14ac:dyDescent="0.15"/>
    <row r="8861" spans="3:3" s="76" customFormat="1" ht="21.95" customHeight="1" x14ac:dyDescent="0.15"/>
    <row r="8862" spans="3:3" s="76" customFormat="1" ht="21.95" customHeight="1" x14ac:dyDescent="0.15"/>
    <row r="8863" spans="3:3" s="76" customFormat="1" ht="21.95" customHeight="1" x14ac:dyDescent="0.15"/>
    <row r="8864" spans="3:3" customFormat="1" ht="21.95" customHeight="1" x14ac:dyDescent="0.15"/>
    <row r="8865" customFormat="1" ht="21.95" customHeight="1" x14ac:dyDescent="0.15"/>
    <row r="8866" customFormat="1" ht="21.95" customHeight="1" x14ac:dyDescent="0.15"/>
    <row r="8867" customFormat="1" ht="21.95" customHeight="1" x14ac:dyDescent="0.15"/>
    <row r="8868" customFormat="1" ht="21.95" customHeight="1" x14ac:dyDescent="0.15"/>
    <row r="8869" customFormat="1" ht="21.95" customHeight="1" x14ac:dyDescent="0.15"/>
    <row r="8870" customFormat="1" ht="21.95" customHeight="1" x14ac:dyDescent="0.15"/>
    <row r="8871" customFormat="1" ht="21.95" customHeight="1" x14ac:dyDescent="0.15"/>
    <row r="8872" customFormat="1" ht="21.95" customHeight="1" x14ac:dyDescent="0.15"/>
    <row r="8873" customFormat="1" ht="21.95" customHeight="1" x14ac:dyDescent="0.15"/>
    <row r="8874" customFormat="1" ht="21.95" customHeight="1" x14ac:dyDescent="0.15"/>
    <row r="8875" customFormat="1" ht="32.1" customHeight="1" x14ac:dyDescent="0.15"/>
    <row r="8876" customFormat="1" ht="32.1" customHeight="1" x14ac:dyDescent="0.15"/>
    <row r="8877" customFormat="1" ht="32.1" customHeight="1" x14ac:dyDescent="0.15"/>
    <row r="8878" customFormat="1" ht="32.1" customHeight="1" x14ac:dyDescent="0.15"/>
    <row r="8879" customFormat="1" ht="32.1" customHeight="1" x14ac:dyDescent="0.15"/>
    <row r="8880" customFormat="1" ht="32.1" customHeight="1" x14ac:dyDescent="0.15"/>
    <row r="8881" s="76" customFormat="1" ht="32.1" customHeight="1" x14ac:dyDescent="0.15"/>
    <row r="8882" s="76" customFormat="1" ht="32.1" customHeight="1" x14ac:dyDescent="0.15"/>
    <row r="8883" s="76" customFormat="1" ht="32.1" customHeight="1" x14ac:dyDescent="0.15"/>
    <row r="8884" s="76" customFormat="1" ht="32.1" customHeight="1" x14ac:dyDescent="0.15"/>
    <row r="8885" s="76" customFormat="1" ht="21.95" customHeight="1" x14ac:dyDescent="0.15"/>
    <row r="8886" s="76" customFormat="1" ht="54" customHeight="1" x14ac:dyDescent="0.15"/>
    <row r="8887" s="76" customFormat="1" ht="21.95" customHeight="1" x14ac:dyDescent="0.15"/>
    <row r="8888" s="76" customFormat="1" ht="21.95" customHeight="1" x14ac:dyDescent="0.15"/>
    <row r="8889" s="76" customFormat="1" ht="21.95" customHeight="1" x14ac:dyDescent="0.15"/>
    <row r="8890" s="76" customFormat="1" ht="21.95" customHeight="1" x14ac:dyDescent="0.15"/>
    <row r="8891" s="76" customFormat="1" ht="21.95" customHeight="1" x14ac:dyDescent="0.15"/>
    <row r="8892" s="76" customFormat="1" ht="21.95" customHeight="1" x14ac:dyDescent="0.15"/>
    <row r="8893" s="76" customFormat="1" ht="21.95" customHeight="1" x14ac:dyDescent="0.15"/>
    <row r="8894" s="76" customFormat="1" ht="21.95" customHeight="1" x14ac:dyDescent="0.15"/>
    <row r="8895" s="76" customFormat="1" ht="21.95" customHeight="1" x14ac:dyDescent="0.15"/>
    <row r="8896" s="76" customFormat="1" ht="21.95" customHeight="1" x14ac:dyDescent="0.15"/>
    <row r="8897" s="76" customFormat="1" ht="21.95" customHeight="1" x14ac:dyDescent="0.15"/>
    <row r="8898" s="76" customFormat="1" ht="21.95" customHeight="1" x14ac:dyDescent="0.15"/>
    <row r="8899" s="76" customFormat="1" ht="21.95" customHeight="1" x14ac:dyDescent="0.15"/>
    <row r="8900" s="76" customFormat="1" ht="21.95" customHeight="1" x14ac:dyDescent="0.15"/>
    <row r="8901" s="76" customFormat="1" ht="21.95" customHeight="1" x14ac:dyDescent="0.15"/>
    <row r="8902" s="76" customFormat="1" ht="21.95" customHeight="1" x14ac:dyDescent="0.15"/>
    <row r="8903" s="76" customFormat="1" ht="21.95" customHeight="1" x14ac:dyDescent="0.15"/>
    <row r="8904" s="76" customFormat="1" ht="21.95" customHeight="1" x14ac:dyDescent="0.15"/>
    <row r="8905" s="76" customFormat="1" ht="21.95" customHeight="1" x14ac:dyDescent="0.15"/>
    <row r="8906" s="76" customFormat="1" ht="21.95" customHeight="1" x14ac:dyDescent="0.15"/>
    <row r="8907" s="76" customFormat="1" ht="21.95" customHeight="1" x14ac:dyDescent="0.15"/>
    <row r="8908" s="76" customFormat="1" ht="21.95" customHeight="1" x14ac:dyDescent="0.15"/>
    <row r="8909" s="76" customFormat="1" ht="21.95" customHeight="1" x14ac:dyDescent="0.15"/>
    <row r="8910" s="76" customFormat="1" ht="21.95" customHeight="1" x14ac:dyDescent="0.15"/>
    <row r="8911" s="76" customFormat="1" ht="21.95" customHeight="1" x14ac:dyDescent="0.15"/>
    <row r="8912" s="76" customFormat="1" ht="21.95" customHeight="1" x14ac:dyDescent="0.15"/>
    <row r="8913" s="76" customFormat="1" ht="21.95" customHeight="1" x14ac:dyDescent="0.15"/>
    <row r="8914" s="76" customFormat="1" ht="21.95" customHeight="1" x14ac:dyDescent="0.15"/>
    <row r="8915" s="76" customFormat="1" ht="21.95" customHeight="1" x14ac:dyDescent="0.15"/>
    <row r="8916" s="76" customFormat="1" ht="21.95" customHeight="1" x14ac:dyDescent="0.15"/>
    <row r="8917" s="76" customFormat="1" ht="21.95" customHeight="1" x14ac:dyDescent="0.15"/>
    <row r="8918" s="76" customFormat="1" ht="21.95" customHeight="1" x14ac:dyDescent="0.15"/>
    <row r="8919" s="76" customFormat="1" ht="21.95" customHeight="1" x14ac:dyDescent="0.15"/>
    <row r="8920" s="76" customFormat="1" ht="21.95" customHeight="1" x14ac:dyDescent="0.15"/>
    <row r="8921" s="76" customFormat="1" ht="21.95" customHeight="1" x14ac:dyDescent="0.15"/>
    <row r="8922" s="76" customFormat="1" ht="21.95" customHeight="1" x14ac:dyDescent="0.15"/>
    <row r="8923" s="76" customFormat="1" ht="21.95" customHeight="1" x14ac:dyDescent="0.15"/>
    <row r="8924" s="76" customFormat="1" ht="21.95" customHeight="1" x14ac:dyDescent="0.15"/>
    <row r="8925" s="76" customFormat="1" ht="21.95" customHeight="1" x14ac:dyDescent="0.15"/>
    <row r="8926" s="76" customFormat="1" ht="21.95" customHeight="1" x14ac:dyDescent="0.15"/>
    <row r="8927" s="76" customFormat="1" ht="21.95" customHeight="1" x14ac:dyDescent="0.15"/>
    <row r="8928" s="76" customFormat="1" ht="21.95" customHeight="1" x14ac:dyDescent="0.15"/>
    <row r="8929" s="76" customFormat="1" ht="21.95" customHeight="1" x14ac:dyDescent="0.15"/>
    <row r="8930" s="76" customFormat="1" ht="21.95" customHeight="1" x14ac:dyDescent="0.15"/>
    <row r="8931" s="76" customFormat="1" ht="21.95" customHeight="1" x14ac:dyDescent="0.15"/>
    <row r="8932" s="76" customFormat="1" ht="21.95" customHeight="1" x14ac:dyDescent="0.15"/>
    <row r="8933" s="76" customFormat="1" ht="21.95" customHeight="1" x14ac:dyDescent="0.15"/>
    <row r="8934" s="76" customFormat="1" ht="21.95" customHeight="1" x14ac:dyDescent="0.15"/>
    <row r="8935" s="76" customFormat="1" ht="21.95" customHeight="1" x14ac:dyDescent="0.15"/>
    <row r="8936" s="76" customFormat="1" ht="21.95" customHeight="1" x14ac:dyDescent="0.15"/>
    <row r="8937" s="76" customFormat="1" ht="35.1" customHeight="1" x14ac:dyDescent="0.15"/>
    <row r="8938" s="76" customFormat="1" ht="21.95" customHeight="1" x14ac:dyDescent="0.15"/>
    <row r="8939" s="76" customFormat="1" ht="21.95" customHeight="1" x14ac:dyDescent="0.15"/>
    <row r="8940" s="76" customFormat="1" ht="21.95" customHeight="1" x14ac:dyDescent="0.15"/>
    <row r="8941" s="76" customFormat="1" ht="21.95" customHeight="1" x14ac:dyDescent="0.15"/>
    <row r="8942" s="76" customFormat="1" ht="21.95" customHeight="1" x14ac:dyDescent="0.15"/>
    <row r="8943" s="76" customFormat="1" ht="21.95" customHeight="1" x14ac:dyDescent="0.15"/>
    <row r="8944" s="76" customFormat="1" ht="21.95" customHeight="1" x14ac:dyDescent="0.15"/>
    <row r="8945" s="76" customFormat="1" ht="21.95" customHeight="1" x14ac:dyDescent="0.15"/>
    <row r="8946" s="76" customFormat="1" ht="21.95" customHeight="1" x14ac:dyDescent="0.15"/>
    <row r="8947" s="76" customFormat="1" ht="21.95" customHeight="1" x14ac:dyDescent="0.15"/>
    <row r="8948" s="76" customFormat="1" ht="21.95" customHeight="1" x14ac:dyDescent="0.15"/>
    <row r="8949" s="76" customFormat="1" ht="21.95" customHeight="1" x14ac:dyDescent="0.15"/>
    <row r="8950" s="76" customFormat="1" ht="21.95" customHeight="1" x14ac:dyDescent="0.15"/>
    <row r="8951" s="76" customFormat="1" ht="21.95" customHeight="1" x14ac:dyDescent="0.15"/>
    <row r="8952" s="76" customFormat="1" ht="21.95" customHeight="1" x14ac:dyDescent="0.15"/>
    <row r="8953" s="76" customFormat="1" ht="21.95" customHeight="1" x14ac:dyDescent="0.15"/>
    <row r="8954" s="76" customFormat="1" ht="21.95" customHeight="1" x14ac:dyDescent="0.15"/>
    <row r="8955" s="76" customFormat="1" ht="21.95" customHeight="1" x14ac:dyDescent="0.15"/>
    <row r="8956" s="76" customFormat="1" ht="21.95" customHeight="1" x14ac:dyDescent="0.15"/>
    <row r="8957" s="76" customFormat="1" ht="21.95" customHeight="1" x14ac:dyDescent="0.15"/>
    <row r="8958" s="76" customFormat="1" ht="21.95" customHeight="1" x14ac:dyDescent="0.15"/>
    <row r="8959" s="76" customFormat="1" ht="21.95" customHeight="1" x14ac:dyDescent="0.15"/>
    <row r="8960" s="76" customFormat="1" ht="21.95" customHeight="1" x14ac:dyDescent="0.15"/>
    <row r="8961" spans="3:3" customFormat="1" ht="21.95" customHeight="1" x14ac:dyDescent="0.15"/>
    <row r="8962" spans="3:3" customFormat="1" ht="21.95" customHeight="1" x14ac:dyDescent="0.15"/>
    <row r="8963" spans="3:3" customFormat="1" ht="21.95" customHeight="1" x14ac:dyDescent="0.15">
      <c r="C8963" s="94"/>
    </row>
    <row r="8964" spans="3:3" customFormat="1" ht="21.95" customHeight="1" x14ac:dyDescent="0.15">
      <c r="C8964" s="94"/>
    </row>
    <row r="8965" spans="3:3" customFormat="1" ht="21.95" customHeight="1" x14ac:dyDescent="0.15"/>
    <row r="8966" spans="3:3" customFormat="1" ht="21.95" customHeight="1" x14ac:dyDescent="0.15"/>
    <row r="8967" spans="3:3" customFormat="1" ht="21.95" customHeight="1" x14ac:dyDescent="0.15"/>
    <row r="8968" spans="3:3" customFormat="1" ht="21.95" customHeight="1" x14ac:dyDescent="0.15"/>
    <row r="8969" spans="3:3" customFormat="1" ht="21.95" customHeight="1" x14ac:dyDescent="0.15"/>
    <row r="8970" spans="3:3" customFormat="1" ht="21.95" customHeight="1" x14ac:dyDescent="0.15"/>
    <row r="8971" spans="3:3" customFormat="1" ht="21.95" customHeight="1" x14ac:dyDescent="0.15"/>
    <row r="8972" spans="3:3" s="76" customFormat="1" ht="21.95" customHeight="1" x14ac:dyDescent="0.15"/>
    <row r="8973" spans="3:3" s="76" customFormat="1" ht="21.95" customHeight="1" x14ac:dyDescent="0.15"/>
    <row r="8974" spans="3:3" s="76" customFormat="1" ht="21.95" customHeight="1" x14ac:dyDescent="0.15"/>
    <row r="8975" spans="3:3" s="76" customFormat="1" ht="21.95" customHeight="1" x14ac:dyDescent="0.15"/>
    <row r="8976" spans="3:3" customFormat="1" ht="21.95" customHeight="1" x14ac:dyDescent="0.15"/>
    <row r="8977" customFormat="1" ht="21.95" customHeight="1" x14ac:dyDescent="0.15"/>
    <row r="8978" customFormat="1" ht="21.95" customHeight="1" x14ac:dyDescent="0.15"/>
    <row r="8979" customFormat="1" ht="21.95" customHeight="1" x14ac:dyDescent="0.15"/>
    <row r="8980" customFormat="1" ht="21.95" customHeight="1" x14ac:dyDescent="0.15"/>
    <row r="8981" customFormat="1" ht="21.95" customHeight="1" x14ac:dyDescent="0.15"/>
    <row r="8982" customFormat="1" ht="21.95" customHeight="1" x14ac:dyDescent="0.15"/>
    <row r="8983" customFormat="1" ht="21.95" customHeight="1" x14ac:dyDescent="0.15"/>
    <row r="8984" customFormat="1" ht="21.95" customHeight="1" x14ac:dyDescent="0.15"/>
    <row r="8985" customFormat="1" ht="21.95" customHeight="1" x14ac:dyDescent="0.15"/>
    <row r="8986" customFormat="1" ht="21.95" customHeight="1" x14ac:dyDescent="0.15"/>
    <row r="8987" customFormat="1" ht="32.1" customHeight="1" x14ac:dyDescent="0.15"/>
    <row r="8988" customFormat="1" ht="32.1" customHeight="1" x14ac:dyDescent="0.15"/>
    <row r="8989" customFormat="1" ht="32.1" customHeight="1" x14ac:dyDescent="0.15"/>
    <row r="8990" customFormat="1" ht="32.1" customHeight="1" x14ac:dyDescent="0.15"/>
    <row r="8991" customFormat="1" ht="32.1" customHeight="1" x14ac:dyDescent="0.15"/>
    <row r="8992" customFormat="1" ht="32.1" customHeight="1" x14ac:dyDescent="0.15"/>
    <row r="8993" s="76" customFormat="1" ht="32.1" customHeight="1" x14ac:dyDescent="0.15"/>
    <row r="8994" s="76" customFormat="1" ht="32.1" customHeight="1" x14ac:dyDescent="0.15"/>
    <row r="8995" s="76" customFormat="1" ht="32.1" customHeight="1" x14ac:dyDescent="0.15"/>
    <row r="8996" s="76" customFormat="1" ht="32.1" customHeight="1" x14ac:dyDescent="0.15"/>
    <row r="8997" s="76" customFormat="1" ht="21.95" customHeight="1" x14ac:dyDescent="0.15"/>
    <row r="8998" s="76" customFormat="1" ht="54" customHeight="1" x14ac:dyDescent="0.15"/>
    <row r="8999" s="76" customFormat="1" ht="21.95" customHeight="1" x14ac:dyDescent="0.15"/>
    <row r="9000" s="76" customFormat="1" ht="21.95" customHeight="1" x14ac:dyDescent="0.15"/>
    <row r="9001" s="76" customFormat="1" ht="21.95" customHeight="1" x14ac:dyDescent="0.15"/>
    <row r="9002" s="76" customFormat="1" ht="21.95" customHeight="1" x14ac:dyDescent="0.15"/>
    <row r="9003" s="76" customFormat="1" ht="21.95" customHeight="1" x14ac:dyDescent="0.15"/>
    <row r="9004" s="76" customFormat="1" ht="21.95" customHeight="1" x14ac:dyDescent="0.15"/>
    <row r="9005" s="76" customFormat="1" ht="21.95" customHeight="1" x14ac:dyDescent="0.15"/>
    <row r="9006" s="76" customFormat="1" ht="21.95" customHeight="1" x14ac:dyDescent="0.15"/>
    <row r="9007" s="76" customFormat="1" ht="21.95" customHeight="1" x14ac:dyDescent="0.15"/>
    <row r="9008" s="76" customFormat="1" ht="21.95" customHeight="1" x14ac:dyDescent="0.15"/>
    <row r="9009" s="76" customFormat="1" ht="21.95" customHeight="1" x14ac:dyDescent="0.15"/>
    <row r="9010" s="76" customFormat="1" ht="21.95" customHeight="1" x14ac:dyDescent="0.15"/>
    <row r="9011" s="76" customFormat="1" ht="21.95" customHeight="1" x14ac:dyDescent="0.15"/>
    <row r="9012" s="76" customFormat="1" ht="21.95" customHeight="1" x14ac:dyDescent="0.15"/>
    <row r="9013" s="76" customFormat="1" ht="21.95" customHeight="1" x14ac:dyDescent="0.15"/>
    <row r="9014" s="76" customFormat="1" ht="21.95" customHeight="1" x14ac:dyDescent="0.15"/>
    <row r="9015" s="76" customFormat="1" ht="21.95" customHeight="1" x14ac:dyDescent="0.15"/>
    <row r="9016" s="76" customFormat="1" ht="21.95" customHeight="1" x14ac:dyDescent="0.15"/>
    <row r="9017" s="76" customFormat="1" ht="21.95" customHeight="1" x14ac:dyDescent="0.15"/>
    <row r="9018" s="76" customFormat="1" ht="21.95" customHeight="1" x14ac:dyDescent="0.15"/>
    <row r="9019" s="76" customFormat="1" ht="21.95" customHeight="1" x14ac:dyDescent="0.15"/>
    <row r="9020" s="76" customFormat="1" ht="21.95" customHeight="1" x14ac:dyDescent="0.15"/>
    <row r="9021" s="76" customFormat="1" ht="21.95" customHeight="1" x14ac:dyDescent="0.15"/>
    <row r="9022" s="76" customFormat="1" ht="21.95" customHeight="1" x14ac:dyDescent="0.15"/>
    <row r="9023" s="76" customFormat="1" ht="21.95" customHeight="1" x14ac:dyDescent="0.15"/>
    <row r="9024" s="76" customFormat="1" ht="21.95" customHeight="1" x14ac:dyDescent="0.15"/>
    <row r="9025" s="76" customFormat="1" ht="21.95" customHeight="1" x14ac:dyDescent="0.15"/>
    <row r="9026" s="76" customFormat="1" ht="21.95" customHeight="1" x14ac:dyDescent="0.15"/>
    <row r="9027" s="76" customFormat="1" ht="21.95" customHeight="1" x14ac:dyDescent="0.15"/>
    <row r="9028" s="76" customFormat="1" ht="21.95" customHeight="1" x14ac:dyDescent="0.15"/>
    <row r="9029" s="76" customFormat="1" ht="21.95" customHeight="1" x14ac:dyDescent="0.15"/>
    <row r="9030" s="76" customFormat="1" ht="21.95" customHeight="1" x14ac:dyDescent="0.15"/>
    <row r="9031" s="76" customFormat="1" ht="21.95" customHeight="1" x14ac:dyDescent="0.15"/>
    <row r="9032" s="76" customFormat="1" ht="21.95" customHeight="1" x14ac:dyDescent="0.15"/>
    <row r="9033" s="76" customFormat="1" ht="21.95" customHeight="1" x14ac:dyDescent="0.15"/>
    <row r="9034" s="76" customFormat="1" ht="21.95" customHeight="1" x14ac:dyDescent="0.15"/>
    <row r="9035" s="76" customFormat="1" ht="21.95" customHeight="1" x14ac:dyDescent="0.15"/>
    <row r="9036" s="76" customFormat="1" ht="21.95" customHeight="1" x14ac:dyDescent="0.15"/>
    <row r="9037" s="76" customFormat="1" ht="21.95" customHeight="1" x14ac:dyDescent="0.15"/>
    <row r="9038" s="76" customFormat="1" ht="21.95" customHeight="1" x14ac:dyDescent="0.15"/>
    <row r="9039" s="76" customFormat="1" ht="21.95" customHeight="1" x14ac:dyDescent="0.15"/>
    <row r="9040" s="76" customFormat="1" ht="21.95" customHeight="1" x14ac:dyDescent="0.15"/>
    <row r="9041" s="76" customFormat="1" ht="21.95" customHeight="1" x14ac:dyDescent="0.15"/>
    <row r="9042" s="76" customFormat="1" ht="21.95" customHeight="1" x14ac:dyDescent="0.15"/>
    <row r="9043" s="76" customFormat="1" ht="21.95" customHeight="1" x14ac:dyDescent="0.15"/>
    <row r="9044" s="76" customFormat="1" ht="21.95" customHeight="1" x14ac:dyDescent="0.15"/>
    <row r="9045" s="76" customFormat="1" ht="21.95" customHeight="1" x14ac:dyDescent="0.15"/>
    <row r="9046" s="76" customFormat="1" ht="21.95" customHeight="1" x14ac:dyDescent="0.15"/>
    <row r="9047" s="76" customFormat="1" ht="21.95" customHeight="1" x14ac:dyDescent="0.15"/>
    <row r="9048" s="76" customFormat="1" ht="21.95" customHeight="1" x14ac:dyDescent="0.15"/>
    <row r="9049" s="76" customFormat="1" ht="35.1" customHeight="1" x14ac:dyDescent="0.15"/>
    <row r="9050" s="76" customFormat="1" ht="21.95" customHeight="1" x14ac:dyDescent="0.15"/>
    <row r="9051" s="76" customFormat="1" ht="21.95" customHeight="1" x14ac:dyDescent="0.15"/>
    <row r="9052" s="76" customFormat="1" ht="21.95" customHeight="1" x14ac:dyDescent="0.15"/>
    <row r="9053" s="76" customFormat="1" ht="21.95" customHeight="1" x14ac:dyDescent="0.15"/>
    <row r="9054" s="76" customFormat="1" ht="21.95" customHeight="1" x14ac:dyDescent="0.15"/>
    <row r="9055" s="76" customFormat="1" ht="21.95" customHeight="1" x14ac:dyDescent="0.15"/>
    <row r="9056" s="76" customFormat="1" ht="21.95" customHeight="1" x14ac:dyDescent="0.15"/>
    <row r="9057" s="76" customFormat="1" ht="21.95" customHeight="1" x14ac:dyDescent="0.15"/>
    <row r="9058" s="76" customFormat="1" ht="21.95" customHeight="1" x14ac:dyDescent="0.15"/>
    <row r="9059" s="76" customFormat="1" ht="21.95" customHeight="1" x14ac:dyDescent="0.15"/>
    <row r="9060" s="76" customFormat="1" ht="21.95" customHeight="1" x14ac:dyDescent="0.15"/>
    <row r="9061" s="76" customFormat="1" ht="21.95" customHeight="1" x14ac:dyDescent="0.15"/>
    <row r="9062" s="76" customFormat="1" ht="21.95" customHeight="1" x14ac:dyDescent="0.15"/>
    <row r="9063" s="76" customFormat="1" ht="21.95" customHeight="1" x14ac:dyDescent="0.15"/>
    <row r="9064" s="76" customFormat="1" ht="21.95" customHeight="1" x14ac:dyDescent="0.15"/>
    <row r="9065" s="76" customFormat="1" ht="21.95" customHeight="1" x14ac:dyDescent="0.15"/>
    <row r="9066" s="76" customFormat="1" ht="21.95" customHeight="1" x14ac:dyDescent="0.15"/>
    <row r="9067" s="76" customFormat="1" ht="21.95" customHeight="1" x14ac:dyDescent="0.15"/>
    <row r="9068" s="76" customFormat="1" ht="21.95" customHeight="1" x14ac:dyDescent="0.15"/>
    <row r="9069" s="76" customFormat="1" ht="21.95" customHeight="1" x14ac:dyDescent="0.15"/>
    <row r="9070" s="76" customFormat="1" ht="21.95" customHeight="1" x14ac:dyDescent="0.15"/>
    <row r="9071" s="76" customFormat="1" ht="21.95" customHeight="1" x14ac:dyDescent="0.15"/>
    <row r="9072" s="76" customFormat="1" ht="21.95" customHeight="1" x14ac:dyDescent="0.15"/>
    <row r="9073" spans="3:3" customFormat="1" ht="21.95" customHeight="1" x14ac:dyDescent="0.15"/>
    <row r="9074" spans="3:3" customFormat="1" ht="21.95" customHeight="1" x14ac:dyDescent="0.15"/>
    <row r="9075" spans="3:3" customFormat="1" ht="21.95" customHeight="1" x14ac:dyDescent="0.15">
      <c r="C9075" s="94"/>
    </row>
    <row r="9076" spans="3:3" customFormat="1" ht="21.95" customHeight="1" x14ac:dyDescent="0.15">
      <c r="C9076" s="94"/>
    </row>
    <row r="9077" spans="3:3" customFormat="1" ht="21.95" customHeight="1" x14ac:dyDescent="0.15"/>
    <row r="9078" spans="3:3" customFormat="1" ht="21.95" customHeight="1" x14ac:dyDescent="0.15"/>
    <row r="9079" spans="3:3" customFormat="1" ht="21.95" customHeight="1" x14ac:dyDescent="0.15"/>
    <row r="9080" spans="3:3" customFormat="1" ht="21.95" customHeight="1" x14ac:dyDescent="0.15"/>
    <row r="9081" spans="3:3" customFormat="1" ht="21.95" customHeight="1" x14ac:dyDescent="0.15"/>
    <row r="9082" spans="3:3" customFormat="1" ht="21.95" customHeight="1" x14ac:dyDescent="0.15"/>
    <row r="9083" spans="3:3" customFormat="1" ht="21.95" customHeight="1" x14ac:dyDescent="0.15"/>
    <row r="9084" spans="3:3" s="76" customFormat="1" ht="21.95" customHeight="1" x14ac:dyDescent="0.15"/>
    <row r="9085" spans="3:3" s="76" customFormat="1" ht="21.95" customHeight="1" x14ac:dyDescent="0.15"/>
    <row r="9086" spans="3:3" s="76" customFormat="1" ht="21.95" customHeight="1" x14ac:dyDescent="0.15"/>
    <row r="9087" spans="3:3" s="76" customFormat="1" ht="21.95" customHeight="1" x14ac:dyDescent="0.15"/>
    <row r="9088" spans="3:3" customFormat="1" ht="21.95" customHeight="1" x14ac:dyDescent="0.15"/>
    <row r="9089" customFormat="1" ht="21.95" customHeight="1" x14ac:dyDescent="0.15"/>
    <row r="9090" customFormat="1" ht="21.95" customHeight="1" x14ac:dyDescent="0.15"/>
    <row r="9091" customFormat="1" ht="21.95" customHeight="1" x14ac:dyDescent="0.15"/>
    <row r="9092" customFormat="1" ht="21.95" customHeight="1" x14ac:dyDescent="0.15"/>
    <row r="9093" customFormat="1" ht="21.95" customHeight="1" x14ac:dyDescent="0.15"/>
    <row r="9094" customFormat="1" ht="21.95" customHeight="1" x14ac:dyDescent="0.15"/>
    <row r="9095" customFormat="1" ht="21.95" customHeight="1" x14ac:dyDescent="0.15"/>
    <row r="9096" customFormat="1" ht="21.95" customHeight="1" x14ac:dyDescent="0.15"/>
    <row r="9097" customFormat="1" ht="21.95" customHeight="1" x14ac:dyDescent="0.15"/>
    <row r="9098" customFormat="1" ht="21.95" customHeight="1" x14ac:dyDescent="0.15"/>
    <row r="9099" customFormat="1" ht="32.1" customHeight="1" x14ac:dyDescent="0.15"/>
    <row r="9100" customFormat="1" ht="32.1" customHeight="1" x14ac:dyDescent="0.15"/>
    <row r="9101" customFormat="1" ht="32.1" customHeight="1" x14ac:dyDescent="0.15"/>
    <row r="9102" customFormat="1" ht="32.1" customHeight="1" x14ac:dyDescent="0.15"/>
    <row r="9103" customFormat="1" ht="32.1" customHeight="1" x14ac:dyDescent="0.15"/>
    <row r="9104" customFormat="1" ht="32.1" customHeight="1" x14ac:dyDescent="0.15"/>
    <row r="9105" s="76" customFormat="1" ht="32.1" customHeight="1" x14ac:dyDescent="0.15"/>
    <row r="9106" s="76" customFormat="1" ht="32.1" customHeight="1" x14ac:dyDescent="0.15"/>
    <row r="9107" s="76" customFormat="1" ht="32.1" customHeight="1" x14ac:dyDescent="0.15"/>
    <row r="9108" s="76" customFormat="1" ht="32.1" customHeight="1" x14ac:dyDescent="0.15"/>
    <row r="9109" s="76" customFormat="1" ht="21.95" customHeight="1" x14ac:dyDescent="0.15"/>
    <row r="9110" s="76" customFormat="1" ht="54" customHeight="1" x14ac:dyDescent="0.15"/>
    <row r="9111" s="76" customFormat="1" ht="21.95" customHeight="1" x14ac:dyDescent="0.15"/>
    <row r="9112" s="76" customFormat="1" ht="21.95" customHeight="1" x14ac:dyDescent="0.15"/>
    <row r="9113" s="76" customFormat="1" ht="21.95" customHeight="1" x14ac:dyDescent="0.15"/>
    <row r="9114" s="76" customFormat="1" ht="21.95" customHeight="1" x14ac:dyDescent="0.15"/>
    <row r="9115" s="76" customFormat="1" ht="21.95" customHeight="1" x14ac:dyDescent="0.15"/>
    <row r="9116" s="76" customFormat="1" ht="21.95" customHeight="1" x14ac:dyDescent="0.15"/>
    <row r="9117" s="76" customFormat="1" ht="21.95" customHeight="1" x14ac:dyDescent="0.15"/>
    <row r="9118" s="76" customFormat="1" ht="21.95" customHeight="1" x14ac:dyDescent="0.15"/>
    <row r="9119" s="76" customFormat="1" ht="21.95" customHeight="1" x14ac:dyDescent="0.15"/>
    <row r="9120" s="76" customFormat="1" ht="21.95" customHeight="1" x14ac:dyDescent="0.15"/>
    <row r="9121" s="76" customFormat="1" ht="21.95" customHeight="1" x14ac:dyDescent="0.15"/>
    <row r="9122" s="76" customFormat="1" ht="21.95" customHeight="1" x14ac:dyDescent="0.15"/>
    <row r="9123" s="76" customFormat="1" ht="21.95" customHeight="1" x14ac:dyDescent="0.15"/>
    <row r="9124" s="76" customFormat="1" ht="21.95" customHeight="1" x14ac:dyDescent="0.15"/>
    <row r="9125" s="76" customFormat="1" ht="21.95" customHeight="1" x14ac:dyDescent="0.15"/>
    <row r="9126" s="76" customFormat="1" ht="21.95" customHeight="1" x14ac:dyDescent="0.15"/>
    <row r="9127" s="76" customFormat="1" ht="21.95" customHeight="1" x14ac:dyDescent="0.15"/>
    <row r="9128" s="76" customFormat="1" ht="21.95" customHeight="1" x14ac:dyDescent="0.15"/>
    <row r="9129" s="76" customFormat="1" ht="21.95" customHeight="1" x14ac:dyDescent="0.15"/>
    <row r="9130" s="76" customFormat="1" ht="21.95" customHeight="1" x14ac:dyDescent="0.15"/>
    <row r="9131" s="76" customFormat="1" ht="21.95" customHeight="1" x14ac:dyDescent="0.15"/>
    <row r="9132" s="76" customFormat="1" ht="21.95" customHeight="1" x14ac:dyDescent="0.15"/>
    <row r="9133" s="76" customFormat="1" ht="21.95" customHeight="1" x14ac:dyDescent="0.15"/>
    <row r="9134" s="76" customFormat="1" ht="21.95" customHeight="1" x14ac:dyDescent="0.15"/>
    <row r="9135" s="76" customFormat="1" ht="21.95" customHeight="1" x14ac:dyDescent="0.15"/>
    <row r="9136" s="76" customFormat="1" ht="21.95" customHeight="1" x14ac:dyDescent="0.15"/>
    <row r="9137" s="76" customFormat="1" ht="21.95" customHeight="1" x14ac:dyDescent="0.15"/>
    <row r="9138" s="76" customFormat="1" ht="21.95" customHeight="1" x14ac:dyDescent="0.15"/>
    <row r="9139" s="76" customFormat="1" ht="21.95" customHeight="1" x14ac:dyDescent="0.15"/>
    <row r="9140" s="76" customFormat="1" ht="21.95" customHeight="1" x14ac:dyDescent="0.15"/>
    <row r="9141" s="76" customFormat="1" ht="21.95" customHeight="1" x14ac:dyDescent="0.15"/>
    <row r="9142" s="76" customFormat="1" ht="21.95" customHeight="1" x14ac:dyDescent="0.15"/>
    <row r="9143" s="76" customFormat="1" ht="21.95" customHeight="1" x14ac:dyDescent="0.15"/>
    <row r="9144" s="76" customFormat="1" ht="21.95" customHeight="1" x14ac:dyDescent="0.15"/>
    <row r="9145" s="76" customFormat="1" ht="21.95" customHeight="1" x14ac:dyDescent="0.15"/>
    <row r="9146" s="76" customFormat="1" ht="21.95" customHeight="1" x14ac:dyDescent="0.15"/>
    <row r="9147" s="76" customFormat="1" ht="21.95" customHeight="1" x14ac:dyDescent="0.15"/>
    <row r="9148" s="76" customFormat="1" ht="21.95" customHeight="1" x14ac:dyDescent="0.15"/>
    <row r="9149" s="76" customFormat="1" ht="21.95" customHeight="1" x14ac:dyDescent="0.15"/>
    <row r="9150" s="76" customFormat="1" ht="21.95" customHeight="1" x14ac:dyDescent="0.15"/>
    <row r="9151" s="76" customFormat="1" ht="21.95" customHeight="1" x14ac:dyDescent="0.15"/>
    <row r="9152" s="76" customFormat="1" ht="21.95" customHeight="1" x14ac:dyDescent="0.15"/>
    <row r="9153" s="76" customFormat="1" ht="21.95" customHeight="1" x14ac:dyDescent="0.15"/>
    <row r="9154" s="76" customFormat="1" ht="21.95" customHeight="1" x14ac:dyDescent="0.15"/>
    <row r="9155" s="76" customFormat="1" ht="21.95" customHeight="1" x14ac:dyDescent="0.15"/>
    <row r="9156" s="76" customFormat="1" ht="21.95" customHeight="1" x14ac:dyDescent="0.15"/>
    <row r="9157" s="76" customFormat="1" ht="21.95" customHeight="1" x14ac:dyDescent="0.15"/>
    <row r="9158" s="76" customFormat="1" ht="21.95" customHeight="1" x14ac:dyDescent="0.15"/>
    <row r="9159" s="76" customFormat="1" ht="21.95" customHeight="1" x14ac:dyDescent="0.15"/>
    <row r="9160" s="76" customFormat="1" ht="21.95" customHeight="1" x14ac:dyDescent="0.15"/>
    <row r="9161" s="76" customFormat="1" ht="35.1" customHeight="1" x14ac:dyDescent="0.15"/>
    <row r="9162" s="76" customFormat="1" ht="21.95" customHeight="1" x14ac:dyDescent="0.15"/>
    <row r="9163" s="76" customFormat="1" ht="21.95" customHeight="1" x14ac:dyDescent="0.15"/>
    <row r="9164" s="76" customFormat="1" ht="21.95" customHeight="1" x14ac:dyDescent="0.15"/>
    <row r="9165" s="76" customFormat="1" ht="21.95" customHeight="1" x14ac:dyDescent="0.15"/>
    <row r="9166" s="76" customFormat="1" ht="21.95" customHeight="1" x14ac:dyDescent="0.15"/>
    <row r="9167" s="76" customFormat="1" ht="21.95" customHeight="1" x14ac:dyDescent="0.15"/>
    <row r="9168" s="76" customFormat="1" ht="21.95" customHeight="1" x14ac:dyDescent="0.15"/>
    <row r="9169" s="76" customFormat="1" ht="21.95" customHeight="1" x14ac:dyDescent="0.15"/>
    <row r="9170" s="76" customFormat="1" ht="21.95" customHeight="1" x14ac:dyDescent="0.15"/>
    <row r="9171" s="76" customFormat="1" ht="21.95" customHeight="1" x14ac:dyDescent="0.15"/>
    <row r="9172" s="76" customFormat="1" ht="21.95" customHeight="1" x14ac:dyDescent="0.15"/>
    <row r="9173" s="76" customFormat="1" ht="21.95" customHeight="1" x14ac:dyDescent="0.15"/>
    <row r="9174" s="76" customFormat="1" ht="21.95" customHeight="1" x14ac:dyDescent="0.15"/>
    <row r="9175" s="76" customFormat="1" ht="21.95" customHeight="1" x14ac:dyDescent="0.15"/>
    <row r="9176" s="76" customFormat="1" ht="21.95" customHeight="1" x14ac:dyDescent="0.15"/>
    <row r="9177" s="76" customFormat="1" ht="21.95" customHeight="1" x14ac:dyDescent="0.15"/>
    <row r="9178" s="76" customFormat="1" ht="21.95" customHeight="1" x14ac:dyDescent="0.15"/>
    <row r="9179" s="76" customFormat="1" ht="21.95" customHeight="1" x14ac:dyDescent="0.15"/>
    <row r="9180" s="76" customFormat="1" ht="21.95" customHeight="1" x14ac:dyDescent="0.15"/>
    <row r="9181" s="76" customFormat="1" ht="21.95" customHeight="1" x14ac:dyDescent="0.15"/>
    <row r="9182" s="76" customFormat="1" ht="21.95" customHeight="1" x14ac:dyDescent="0.15"/>
    <row r="9183" s="76" customFormat="1" ht="21.95" customHeight="1" x14ac:dyDescent="0.15"/>
    <row r="9184" s="76" customFormat="1" ht="21.95" customHeight="1" x14ac:dyDescent="0.15"/>
    <row r="9185" spans="3:3" customFormat="1" ht="21.95" customHeight="1" x14ac:dyDescent="0.15"/>
    <row r="9186" spans="3:3" customFormat="1" ht="21.95" customHeight="1" x14ac:dyDescent="0.15"/>
    <row r="9187" spans="3:3" customFormat="1" ht="21.95" customHeight="1" x14ac:dyDescent="0.15">
      <c r="C9187" s="94"/>
    </row>
    <row r="9188" spans="3:3" customFormat="1" ht="21.95" customHeight="1" x14ac:dyDescent="0.15">
      <c r="C9188" s="94"/>
    </row>
    <row r="9189" spans="3:3" customFormat="1" ht="21.95" customHeight="1" x14ac:dyDescent="0.15"/>
    <row r="9190" spans="3:3" customFormat="1" ht="21.95" customHeight="1" x14ac:dyDescent="0.15"/>
    <row r="9191" spans="3:3" customFormat="1" ht="21.95" customHeight="1" x14ac:dyDescent="0.15"/>
    <row r="9192" spans="3:3" customFormat="1" ht="21.95" customHeight="1" x14ac:dyDescent="0.15"/>
    <row r="9193" spans="3:3" customFormat="1" ht="21.95" customHeight="1" x14ac:dyDescent="0.15"/>
    <row r="9194" spans="3:3" customFormat="1" ht="21.95" customHeight="1" x14ac:dyDescent="0.15"/>
    <row r="9195" spans="3:3" customFormat="1" ht="21.95" customHeight="1" x14ac:dyDescent="0.15"/>
    <row r="9196" spans="3:3" s="76" customFormat="1" ht="21.95" customHeight="1" x14ac:dyDescent="0.15"/>
    <row r="9197" spans="3:3" s="76" customFormat="1" ht="21.95" customHeight="1" x14ac:dyDescent="0.15"/>
    <row r="9198" spans="3:3" s="76" customFormat="1" ht="21.95" customHeight="1" x14ac:dyDescent="0.15"/>
    <row r="9199" spans="3:3" s="76" customFormat="1" ht="21.95" customHeight="1" x14ac:dyDescent="0.15"/>
    <row r="9200" spans="3:3" customFormat="1" ht="21.95" customHeight="1" x14ac:dyDescent="0.15"/>
    <row r="9201" customFormat="1" ht="21.95" customHeight="1" x14ac:dyDescent="0.15"/>
    <row r="9202" customFormat="1" ht="21.95" customHeight="1" x14ac:dyDescent="0.15"/>
    <row r="9203" customFormat="1" ht="21.95" customHeight="1" x14ac:dyDescent="0.15"/>
    <row r="9204" customFormat="1" ht="21.95" customHeight="1" x14ac:dyDescent="0.15"/>
    <row r="9205" customFormat="1" ht="21.95" customHeight="1" x14ac:dyDescent="0.15"/>
    <row r="9206" customFormat="1" ht="21.95" customHeight="1" x14ac:dyDescent="0.15"/>
    <row r="9207" customFormat="1" ht="21.95" customHeight="1" x14ac:dyDescent="0.15"/>
    <row r="9208" customFormat="1" ht="21.95" customHeight="1" x14ac:dyDescent="0.15"/>
    <row r="9209" customFormat="1" ht="21.95" customHeight="1" x14ac:dyDescent="0.15"/>
    <row r="9210" customFormat="1" ht="21.95" customHeight="1" x14ac:dyDescent="0.15"/>
    <row r="9211" customFormat="1" ht="32.1" customHeight="1" x14ac:dyDescent="0.15"/>
    <row r="9212" customFormat="1" ht="32.1" customHeight="1" x14ac:dyDescent="0.15"/>
    <row r="9213" customFormat="1" ht="32.1" customHeight="1" x14ac:dyDescent="0.15"/>
    <row r="9214" customFormat="1" ht="32.1" customHeight="1" x14ac:dyDescent="0.15"/>
    <row r="9215" customFormat="1" ht="32.1" customHeight="1" x14ac:dyDescent="0.15"/>
    <row r="9216" customFormat="1" ht="32.1" customHeight="1" x14ac:dyDescent="0.15"/>
    <row r="9217" s="76" customFormat="1" ht="32.1" customHeight="1" x14ac:dyDescent="0.15"/>
    <row r="9218" s="76" customFormat="1" ht="32.1" customHeight="1" x14ac:dyDescent="0.15"/>
    <row r="9219" s="76" customFormat="1" ht="32.1" customHeight="1" x14ac:dyDescent="0.15"/>
    <row r="9220" s="76" customFormat="1" ht="32.1" customHeight="1" x14ac:dyDescent="0.15"/>
    <row r="9221" s="76" customFormat="1" ht="21.95" customHeight="1" x14ac:dyDescent="0.15"/>
    <row r="9222" s="76" customFormat="1" ht="54" customHeight="1" x14ac:dyDescent="0.15"/>
    <row r="9223" s="76" customFormat="1" ht="21.95" customHeight="1" x14ac:dyDescent="0.15"/>
    <row r="9224" s="76" customFormat="1" ht="21.95" customHeight="1" x14ac:dyDescent="0.15"/>
    <row r="9225" s="76" customFormat="1" ht="21.95" customHeight="1" x14ac:dyDescent="0.15"/>
    <row r="9226" s="76" customFormat="1" ht="21.95" customHeight="1" x14ac:dyDescent="0.15"/>
    <row r="9227" s="76" customFormat="1" ht="21.95" customHeight="1" x14ac:dyDescent="0.15"/>
    <row r="9228" s="76" customFormat="1" ht="21.95" customHeight="1" x14ac:dyDescent="0.15"/>
    <row r="9229" s="76" customFormat="1" ht="21.95" customHeight="1" x14ac:dyDescent="0.15"/>
    <row r="9230" s="76" customFormat="1" ht="21.95" customHeight="1" x14ac:dyDescent="0.15"/>
    <row r="9231" s="76" customFormat="1" ht="21.95" customHeight="1" x14ac:dyDescent="0.15"/>
    <row r="9232" s="76" customFormat="1" ht="21.95" customHeight="1" x14ac:dyDescent="0.15"/>
    <row r="9233" s="76" customFormat="1" ht="21.95" customHeight="1" x14ac:dyDescent="0.15"/>
    <row r="9234" s="76" customFormat="1" ht="21.95" customHeight="1" x14ac:dyDescent="0.15"/>
    <row r="9235" s="76" customFormat="1" ht="21.95" customHeight="1" x14ac:dyDescent="0.15"/>
    <row r="9236" s="76" customFormat="1" ht="21.95" customHeight="1" x14ac:dyDescent="0.15"/>
    <row r="9237" s="76" customFormat="1" ht="21.95" customHeight="1" x14ac:dyDescent="0.15"/>
    <row r="9238" s="76" customFormat="1" ht="21.95" customHeight="1" x14ac:dyDescent="0.15"/>
    <row r="9239" s="76" customFormat="1" ht="21.95" customHeight="1" x14ac:dyDescent="0.15"/>
    <row r="9240" s="76" customFormat="1" ht="21.95" customHeight="1" x14ac:dyDescent="0.15"/>
    <row r="9241" s="76" customFormat="1" ht="21.95" customHeight="1" x14ac:dyDescent="0.15"/>
    <row r="9242" s="76" customFormat="1" ht="21.95" customHeight="1" x14ac:dyDescent="0.15"/>
    <row r="9243" s="76" customFormat="1" ht="21.95" customHeight="1" x14ac:dyDescent="0.15"/>
    <row r="9244" s="76" customFormat="1" ht="21.95" customHeight="1" x14ac:dyDescent="0.15"/>
    <row r="9245" s="76" customFormat="1" ht="21.95" customHeight="1" x14ac:dyDescent="0.15"/>
    <row r="9246" s="76" customFormat="1" ht="21.95" customHeight="1" x14ac:dyDescent="0.15"/>
    <row r="9247" s="76" customFormat="1" ht="21.95" customHeight="1" x14ac:dyDescent="0.15"/>
    <row r="9248" s="76" customFormat="1" ht="21.95" customHeight="1" x14ac:dyDescent="0.15"/>
    <row r="9249" s="76" customFormat="1" ht="21.95" customHeight="1" x14ac:dyDescent="0.15"/>
    <row r="9250" s="76" customFormat="1" ht="21.95" customHeight="1" x14ac:dyDescent="0.15"/>
    <row r="9251" s="76" customFormat="1" ht="21.95" customHeight="1" x14ac:dyDescent="0.15"/>
    <row r="9252" s="76" customFormat="1" ht="21.95" customHeight="1" x14ac:dyDescent="0.15"/>
    <row r="9253" s="76" customFormat="1" ht="21.95" customHeight="1" x14ac:dyDescent="0.15"/>
    <row r="9254" s="76" customFormat="1" ht="21.95" customHeight="1" x14ac:dyDescent="0.15"/>
    <row r="9255" s="76" customFormat="1" ht="21.95" customHeight="1" x14ac:dyDescent="0.15"/>
    <row r="9256" s="76" customFormat="1" ht="21.95" customHeight="1" x14ac:dyDescent="0.15"/>
    <row r="9257" s="76" customFormat="1" ht="21.95" customHeight="1" x14ac:dyDescent="0.15"/>
    <row r="9258" s="76" customFormat="1" ht="21.95" customHeight="1" x14ac:dyDescent="0.15"/>
    <row r="9259" s="76" customFormat="1" ht="21.95" customHeight="1" x14ac:dyDescent="0.15"/>
    <row r="9260" s="76" customFormat="1" ht="21.95" customHeight="1" x14ac:dyDescent="0.15"/>
    <row r="9261" s="76" customFormat="1" ht="21.95" customHeight="1" x14ac:dyDescent="0.15"/>
    <row r="9262" s="76" customFormat="1" ht="21.95" customHeight="1" x14ac:dyDescent="0.15"/>
    <row r="9263" s="76" customFormat="1" ht="21.95" customHeight="1" x14ac:dyDescent="0.15"/>
    <row r="9264" s="76" customFormat="1" ht="21.95" customHeight="1" x14ac:dyDescent="0.15"/>
    <row r="9265" s="76" customFormat="1" ht="21.95" customHeight="1" x14ac:dyDescent="0.15"/>
    <row r="9266" s="76" customFormat="1" ht="21.95" customHeight="1" x14ac:dyDescent="0.15"/>
    <row r="9267" s="76" customFormat="1" ht="21.95" customHeight="1" x14ac:dyDescent="0.15"/>
    <row r="9268" s="76" customFormat="1" ht="21.95" customHeight="1" x14ac:dyDescent="0.15"/>
    <row r="9269" s="76" customFormat="1" ht="21.95" customHeight="1" x14ac:dyDescent="0.15"/>
    <row r="9270" s="76" customFormat="1" ht="21.95" customHeight="1" x14ac:dyDescent="0.15"/>
    <row r="9271" s="76" customFormat="1" ht="21.95" customHeight="1" x14ac:dyDescent="0.15"/>
    <row r="9272" s="76" customFormat="1" ht="21.95" customHeight="1" x14ac:dyDescent="0.15"/>
    <row r="9273" s="76" customFormat="1" ht="35.1" customHeight="1" x14ac:dyDescent="0.15"/>
    <row r="9274" s="76" customFormat="1" ht="21.95" customHeight="1" x14ac:dyDescent="0.15"/>
    <row r="9275" s="76" customFormat="1" ht="21.95" customHeight="1" x14ac:dyDescent="0.15"/>
    <row r="9276" s="76" customFormat="1" ht="21.95" customHeight="1" x14ac:dyDescent="0.15"/>
    <row r="9277" s="76" customFormat="1" ht="21.95" customHeight="1" x14ac:dyDescent="0.15"/>
    <row r="9278" s="76" customFormat="1" ht="21.95" customHeight="1" x14ac:dyDescent="0.15"/>
    <row r="9279" s="76" customFormat="1" ht="21.95" customHeight="1" x14ac:dyDescent="0.15"/>
    <row r="9280" s="76" customFormat="1" ht="21.95" customHeight="1" x14ac:dyDescent="0.15"/>
    <row r="9281" s="76" customFormat="1" ht="21.95" customHeight="1" x14ac:dyDescent="0.15"/>
    <row r="9282" s="76" customFormat="1" ht="21.95" customHeight="1" x14ac:dyDescent="0.15"/>
    <row r="9283" s="76" customFormat="1" ht="21.95" customHeight="1" x14ac:dyDescent="0.15"/>
    <row r="9284" s="76" customFormat="1" ht="21.95" customHeight="1" x14ac:dyDescent="0.15"/>
    <row r="9285" s="76" customFormat="1" ht="21.95" customHeight="1" x14ac:dyDescent="0.15"/>
    <row r="9286" s="76" customFormat="1" ht="21.95" customHeight="1" x14ac:dyDescent="0.15"/>
    <row r="9287" s="76" customFormat="1" ht="21.95" customHeight="1" x14ac:dyDescent="0.15"/>
    <row r="9288" s="76" customFormat="1" ht="21.95" customHeight="1" x14ac:dyDescent="0.15"/>
    <row r="9289" s="76" customFormat="1" ht="21.95" customHeight="1" x14ac:dyDescent="0.15"/>
    <row r="9290" s="76" customFormat="1" ht="21.95" customHeight="1" x14ac:dyDescent="0.15"/>
    <row r="9291" s="76" customFormat="1" ht="21.95" customHeight="1" x14ac:dyDescent="0.15"/>
    <row r="9292" s="76" customFormat="1" ht="21.95" customHeight="1" x14ac:dyDescent="0.15"/>
    <row r="9293" s="76" customFormat="1" ht="21.95" customHeight="1" x14ac:dyDescent="0.15"/>
    <row r="9294" s="76" customFormat="1" ht="21.95" customHeight="1" x14ac:dyDescent="0.15"/>
    <row r="9295" s="76" customFormat="1" ht="21.95" customHeight="1" x14ac:dyDescent="0.15"/>
    <row r="9296" s="76" customFormat="1" ht="21.95" customHeight="1" x14ac:dyDescent="0.15"/>
    <row r="9297" spans="3:3" customFormat="1" ht="21.95" customHeight="1" x14ac:dyDescent="0.15"/>
    <row r="9298" spans="3:3" customFormat="1" ht="21.95" customHeight="1" x14ac:dyDescent="0.15"/>
    <row r="9299" spans="3:3" customFormat="1" ht="21.95" customHeight="1" x14ac:dyDescent="0.15">
      <c r="C9299" s="94"/>
    </row>
    <row r="9300" spans="3:3" customFormat="1" ht="21.95" customHeight="1" x14ac:dyDescent="0.15">
      <c r="C9300" s="94"/>
    </row>
    <row r="9301" spans="3:3" customFormat="1" ht="21.95" customHeight="1" x14ac:dyDescent="0.15"/>
    <row r="9302" spans="3:3" customFormat="1" ht="21.95" customHeight="1" x14ac:dyDescent="0.15"/>
    <row r="9303" spans="3:3" customFormat="1" ht="21.95" customHeight="1" x14ac:dyDescent="0.15"/>
    <row r="9304" spans="3:3" customFormat="1" ht="21.95" customHeight="1" x14ac:dyDescent="0.15"/>
    <row r="9305" spans="3:3" customFormat="1" ht="21.95" customHeight="1" x14ac:dyDescent="0.15"/>
    <row r="9306" spans="3:3" customFormat="1" ht="21.95" customHeight="1" x14ac:dyDescent="0.15"/>
    <row r="9307" spans="3:3" customFormat="1" ht="21.95" customHeight="1" x14ac:dyDescent="0.15"/>
    <row r="9308" spans="3:3" s="76" customFormat="1" ht="21.95" customHeight="1" x14ac:dyDescent="0.15"/>
    <row r="9309" spans="3:3" s="76" customFormat="1" ht="21.95" customHeight="1" x14ac:dyDescent="0.15"/>
    <row r="9310" spans="3:3" s="76" customFormat="1" ht="21.95" customHeight="1" x14ac:dyDescent="0.15"/>
    <row r="9311" spans="3:3" s="76" customFormat="1" ht="21.95" customHeight="1" x14ac:dyDescent="0.15"/>
    <row r="9312" spans="3:3" customFormat="1" ht="21.95" customHeight="1" x14ac:dyDescent="0.15"/>
    <row r="9313" customFormat="1" ht="21.95" customHeight="1" x14ac:dyDescent="0.15"/>
    <row r="9314" customFormat="1" ht="21.95" customHeight="1" x14ac:dyDescent="0.15"/>
    <row r="9315" customFormat="1" ht="21.95" customHeight="1" x14ac:dyDescent="0.15"/>
    <row r="9316" customFormat="1" ht="21.95" customHeight="1" x14ac:dyDescent="0.15"/>
    <row r="9317" customFormat="1" ht="21.95" customHeight="1" x14ac:dyDescent="0.15"/>
    <row r="9318" customFormat="1" ht="21.95" customHeight="1" x14ac:dyDescent="0.15"/>
    <row r="9319" customFormat="1" ht="21.95" customHeight="1" x14ac:dyDescent="0.15"/>
    <row r="9320" customFormat="1" ht="21.95" customHeight="1" x14ac:dyDescent="0.15"/>
    <row r="9321" customFormat="1" ht="21.95" customHeight="1" x14ac:dyDescent="0.15"/>
    <row r="9322" customFormat="1" ht="21.95" customHeight="1" x14ac:dyDescent="0.15"/>
    <row r="9323" customFormat="1" ht="32.1" customHeight="1" x14ac:dyDescent="0.15"/>
    <row r="9324" customFormat="1" ht="32.1" customHeight="1" x14ac:dyDescent="0.15"/>
    <row r="9325" customFormat="1" ht="32.1" customHeight="1" x14ac:dyDescent="0.15"/>
    <row r="9326" customFormat="1" ht="32.1" customHeight="1" x14ac:dyDescent="0.15"/>
    <row r="9327" customFormat="1" ht="32.1" customHeight="1" x14ac:dyDescent="0.15"/>
    <row r="9328" customFormat="1" ht="32.1" customHeight="1" x14ac:dyDescent="0.15"/>
    <row r="9329" s="76" customFormat="1" ht="32.1" customHeight="1" x14ac:dyDescent="0.15"/>
    <row r="9330" s="76" customFormat="1" ht="32.1" customHeight="1" x14ac:dyDescent="0.15"/>
    <row r="9331" s="76" customFormat="1" ht="32.1" customHeight="1" x14ac:dyDescent="0.15"/>
    <row r="9332" s="76" customFormat="1" ht="32.1" customHeight="1" x14ac:dyDescent="0.15"/>
    <row r="9333" s="76" customFormat="1" ht="21.95" customHeight="1" x14ac:dyDescent="0.15"/>
    <row r="9334" s="76" customFormat="1" ht="54" customHeight="1" x14ac:dyDescent="0.15"/>
    <row r="9335" s="76" customFormat="1" ht="21.95" customHeight="1" x14ac:dyDescent="0.15"/>
    <row r="9336" s="76" customFormat="1" ht="21.95" customHeight="1" x14ac:dyDescent="0.15"/>
    <row r="9337" s="76" customFormat="1" ht="21.95" customHeight="1" x14ac:dyDescent="0.15"/>
    <row r="9338" s="76" customFormat="1" ht="21.95" customHeight="1" x14ac:dyDescent="0.15"/>
    <row r="9339" s="76" customFormat="1" ht="21.95" customHeight="1" x14ac:dyDescent="0.15"/>
    <row r="9340" s="76" customFormat="1" ht="21.95" customHeight="1" x14ac:dyDescent="0.15"/>
    <row r="9341" s="76" customFormat="1" ht="21.95" customHeight="1" x14ac:dyDescent="0.15"/>
    <row r="9342" s="76" customFormat="1" ht="21.95" customHeight="1" x14ac:dyDescent="0.15"/>
    <row r="9343" s="76" customFormat="1" ht="21.95" customHeight="1" x14ac:dyDescent="0.15"/>
    <row r="9344" s="76" customFormat="1" ht="21.95" customHeight="1" x14ac:dyDescent="0.15"/>
    <row r="9345" s="76" customFormat="1" ht="21.95" customHeight="1" x14ac:dyDescent="0.15"/>
    <row r="9346" s="76" customFormat="1" ht="21.95" customHeight="1" x14ac:dyDescent="0.15"/>
    <row r="9347" s="76" customFormat="1" ht="21.95" customHeight="1" x14ac:dyDescent="0.15"/>
    <row r="9348" s="76" customFormat="1" ht="21.95" customHeight="1" x14ac:dyDescent="0.15"/>
    <row r="9349" s="76" customFormat="1" ht="21.95" customHeight="1" x14ac:dyDescent="0.15"/>
    <row r="9350" s="76" customFormat="1" ht="21.95" customHeight="1" x14ac:dyDescent="0.15"/>
    <row r="9351" s="76" customFormat="1" ht="21.95" customHeight="1" x14ac:dyDescent="0.15"/>
    <row r="9352" s="76" customFormat="1" ht="21.95" customHeight="1" x14ac:dyDescent="0.15"/>
    <row r="9353" s="76" customFormat="1" ht="21.95" customHeight="1" x14ac:dyDescent="0.15"/>
    <row r="9354" s="76" customFormat="1" ht="21.95" customHeight="1" x14ac:dyDescent="0.15"/>
    <row r="9355" s="76" customFormat="1" ht="21.95" customHeight="1" x14ac:dyDescent="0.15"/>
    <row r="9356" s="76" customFormat="1" ht="21.95" customHeight="1" x14ac:dyDescent="0.15"/>
    <row r="9357" s="76" customFormat="1" ht="21.95" customHeight="1" x14ac:dyDescent="0.15"/>
    <row r="9358" s="76" customFormat="1" ht="21.95" customHeight="1" x14ac:dyDescent="0.15"/>
    <row r="9359" s="76" customFormat="1" ht="21.95" customHeight="1" x14ac:dyDescent="0.15"/>
    <row r="9360" s="76" customFormat="1" ht="21.95" customHeight="1" x14ac:dyDescent="0.15"/>
    <row r="9361" s="76" customFormat="1" ht="21.95" customHeight="1" x14ac:dyDescent="0.15"/>
    <row r="9362" s="76" customFormat="1" ht="21.95" customHeight="1" x14ac:dyDescent="0.15"/>
    <row r="9363" s="76" customFormat="1" ht="21.95" customHeight="1" x14ac:dyDescent="0.15"/>
    <row r="9364" s="76" customFormat="1" ht="21.95" customHeight="1" x14ac:dyDescent="0.15"/>
    <row r="9365" s="76" customFormat="1" ht="21.95" customHeight="1" x14ac:dyDescent="0.15"/>
    <row r="9366" s="76" customFormat="1" ht="21.95" customHeight="1" x14ac:dyDescent="0.15"/>
    <row r="9367" s="76" customFormat="1" ht="21.95" customHeight="1" x14ac:dyDescent="0.15"/>
    <row r="9368" s="76" customFormat="1" ht="21.95" customHeight="1" x14ac:dyDescent="0.15"/>
    <row r="9369" s="76" customFormat="1" ht="21.95" customHeight="1" x14ac:dyDescent="0.15"/>
    <row r="9370" s="76" customFormat="1" ht="21.95" customHeight="1" x14ac:dyDescent="0.15"/>
    <row r="9371" s="76" customFormat="1" ht="21.95" customHeight="1" x14ac:dyDescent="0.15"/>
    <row r="9372" s="76" customFormat="1" ht="21.95" customHeight="1" x14ac:dyDescent="0.15"/>
    <row r="9373" s="76" customFormat="1" ht="21.95" customHeight="1" x14ac:dyDescent="0.15"/>
    <row r="9374" s="76" customFormat="1" ht="21.95" customHeight="1" x14ac:dyDescent="0.15"/>
    <row r="9375" s="76" customFormat="1" ht="21.95" customHeight="1" x14ac:dyDescent="0.15"/>
    <row r="9376" s="76" customFormat="1" ht="21.95" customHeight="1" x14ac:dyDescent="0.15"/>
    <row r="9377" s="76" customFormat="1" ht="21.95" customHeight="1" x14ac:dyDescent="0.15"/>
    <row r="9378" s="76" customFormat="1" ht="21.95" customHeight="1" x14ac:dyDescent="0.15"/>
    <row r="9379" s="76" customFormat="1" ht="21.95" customHeight="1" x14ac:dyDescent="0.15"/>
    <row r="9380" s="76" customFormat="1" ht="21.95" customHeight="1" x14ac:dyDescent="0.15"/>
    <row r="9381" s="76" customFormat="1" ht="21.95" customHeight="1" x14ac:dyDescent="0.15"/>
    <row r="9382" s="76" customFormat="1" ht="21.95" customHeight="1" x14ac:dyDescent="0.15"/>
    <row r="9383" s="76" customFormat="1" ht="21.95" customHeight="1" x14ac:dyDescent="0.15"/>
    <row r="9384" s="76" customFormat="1" ht="21.95" customHeight="1" x14ac:dyDescent="0.15"/>
    <row r="9385" s="76" customFormat="1" ht="35.1" customHeight="1" x14ac:dyDescent="0.15"/>
    <row r="9386" s="76" customFormat="1" ht="21.95" customHeight="1" x14ac:dyDescent="0.15"/>
    <row r="9387" s="76" customFormat="1" ht="21.95" customHeight="1" x14ac:dyDescent="0.15"/>
    <row r="9388" s="76" customFormat="1" ht="21.95" customHeight="1" x14ac:dyDescent="0.15"/>
    <row r="9389" s="76" customFormat="1" ht="21.95" customHeight="1" x14ac:dyDescent="0.15"/>
    <row r="9390" s="76" customFormat="1" ht="21.95" customHeight="1" x14ac:dyDescent="0.15"/>
    <row r="9391" s="76" customFormat="1" ht="21.95" customHeight="1" x14ac:dyDescent="0.15"/>
    <row r="9392" s="76" customFormat="1" ht="21.95" customHeight="1" x14ac:dyDescent="0.15"/>
    <row r="9393" s="76" customFormat="1" ht="21.95" customHeight="1" x14ac:dyDescent="0.15"/>
    <row r="9394" s="76" customFormat="1" ht="21.95" customHeight="1" x14ac:dyDescent="0.15"/>
    <row r="9395" s="76" customFormat="1" ht="21.95" customHeight="1" x14ac:dyDescent="0.15"/>
    <row r="9396" s="76" customFormat="1" ht="21.95" customHeight="1" x14ac:dyDescent="0.15"/>
    <row r="9397" s="76" customFormat="1" ht="21.95" customHeight="1" x14ac:dyDescent="0.15"/>
    <row r="9398" s="76" customFormat="1" ht="21.95" customHeight="1" x14ac:dyDescent="0.15"/>
    <row r="9399" s="76" customFormat="1" ht="21.95" customHeight="1" x14ac:dyDescent="0.15"/>
    <row r="9400" s="76" customFormat="1" ht="21.95" customHeight="1" x14ac:dyDescent="0.15"/>
    <row r="9401" s="76" customFormat="1" ht="21.95" customHeight="1" x14ac:dyDescent="0.15"/>
    <row r="9402" s="76" customFormat="1" ht="21.95" customHeight="1" x14ac:dyDescent="0.15"/>
    <row r="9403" s="76" customFormat="1" ht="21.95" customHeight="1" x14ac:dyDescent="0.15"/>
    <row r="9404" s="76" customFormat="1" ht="21.95" customHeight="1" x14ac:dyDescent="0.15"/>
    <row r="9405" s="76" customFormat="1" ht="21.95" customHeight="1" x14ac:dyDescent="0.15"/>
    <row r="9406" s="76" customFormat="1" ht="21.95" customHeight="1" x14ac:dyDescent="0.15"/>
    <row r="9407" s="76" customFormat="1" ht="21.95" customHeight="1" x14ac:dyDescent="0.15"/>
    <row r="9408" s="76" customFormat="1" ht="21.95" customHeight="1" x14ac:dyDescent="0.15"/>
    <row r="9409" spans="3:3" customFormat="1" ht="21.95" customHeight="1" x14ac:dyDescent="0.15"/>
    <row r="9410" spans="3:3" customFormat="1" ht="21.95" customHeight="1" x14ac:dyDescent="0.15"/>
    <row r="9411" spans="3:3" customFormat="1" ht="21.95" customHeight="1" x14ac:dyDescent="0.15">
      <c r="C9411" s="94"/>
    </row>
    <row r="9412" spans="3:3" customFormat="1" ht="21.95" customHeight="1" x14ac:dyDescent="0.15">
      <c r="C9412" s="94"/>
    </row>
    <row r="9413" spans="3:3" customFormat="1" ht="21.95" customHeight="1" x14ac:dyDescent="0.15"/>
    <row r="9414" spans="3:3" customFormat="1" ht="21.95" customHeight="1" x14ac:dyDescent="0.15"/>
    <row r="9415" spans="3:3" customFormat="1" ht="21.95" customHeight="1" x14ac:dyDescent="0.15"/>
    <row r="9416" spans="3:3" customFormat="1" ht="21.95" customHeight="1" x14ac:dyDescent="0.15"/>
    <row r="9417" spans="3:3" customFormat="1" ht="21.95" customHeight="1" x14ac:dyDescent="0.15"/>
    <row r="9418" spans="3:3" customFormat="1" ht="21.95" customHeight="1" x14ac:dyDescent="0.15"/>
    <row r="9419" spans="3:3" customFormat="1" ht="21.95" customHeight="1" x14ac:dyDescent="0.15"/>
    <row r="9420" spans="3:3" s="76" customFormat="1" ht="21.95" customHeight="1" x14ac:dyDescent="0.15"/>
    <row r="9421" spans="3:3" s="76" customFormat="1" ht="21.95" customHeight="1" x14ac:dyDescent="0.15"/>
    <row r="9422" spans="3:3" s="76" customFormat="1" ht="21.95" customHeight="1" x14ac:dyDescent="0.15"/>
    <row r="9423" spans="3:3" s="76" customFormat="1" ht="21.95" customHeight="1" x14ac:dyDescent="0.15"/>
    <row r="9424" spans="3:3" customFormat="1" ht="21.95" customHeight="1" x14ac:dyDescent="0.15"/>
    <row r="9425" customFormat="1" ht="21.95" customHeight="1" x14ac:dyDescent="0.15"/>
    <row r="9426" customFormat="1" ht="21.95" customHeight="1" x14ac:dyDescent="0.15"/>
    <row r="9427" customFormat="1" ht="21.95" customHeight="1" x14ac:dyDescent="0.15"/>
    <row r="9428" customFormat="1" ht="21.95" customHeight="1" x14ac:dyDescent="0.15"/>
    <row r="9429" customFormat="1" ht="21.95" customHeight="1" x14ac:dyDescent="0.15"/>
    <row r="9430" customFormat="1" ht="21.95" customHeight="1" x14ac:dyDescent="0.15"/>
    <row r="9431" customFormat="1" ht="21.95" customHeight="1" x14ac:dyDescent="0.15"/>
    <row r="9432" customFormat="1" ht="21.95" customHeight="1" x14ac:dyDescent="0.15"/>
    <row r="9433" customFormat="1" ht="21.95" customHeight="1" x14ac:dyDescent="0.15"/>
    <row r="9434" customFormat="1" ht="21.95" customHeight="1" x14ac:dyDescent="0.15"/>
    <row r="9435" customFormat="1" ht="32.1" customHeight="1" x14ac:dyDescent="0.15"/>
    <row r="9436" customFormat="1" ht="32.1" customHeight="1" x14ac:dyDescent="0.15"/>
    <row r="9437" customFormat="1" ht="32.1" customHeight="1" x14ac:dyDescent="0.15"/>
    <row r="9438" customFormat="1" ht="32.1" customHeight="1" x14ac:dyDescent="0.15"/>
    <row r="9439" customFormat="1" ht="32.1" customHeight="1" x14ac:dyDescent="0.15"/>
    <row r="9440" customFormat="1" ht="32.1" customHeight="1" x14ac:dyDescent="0.15"/>
    <row r="9441" s="76" customFormat="1" ht="32.1" customHeight="1" x14ac:dyDescent="0.15"/>
    <row r="9442" s="76" customFormat="1" ht="32.1" customHeight="1" x14ac:dyDescent="0.15"/>
    <row r="9443" s="76" customFormat="1" ht="32.1" customHeight="1" x14ac:dyDescent="0.15"/>
    <row r="9444" s="76" customFormat="1" ht="32.1" customHeight="1" x14ac:dyDescent="0.15"/>
    <row r="9445" s="76" customFormat="1" ht="21.95" customHeight="1" x14ac:dyDescent="0.15"/>
    <row r="9446" s="76" customFormat="1" ht="54" customHeight="1" x14ac:dyDescent="0.15"/>
    <row r="9447" s="76" customFormat="1" ht="21.95" customHeight="1" x14ac:dyDescent="0.15"/>
    <row r="9448" s="76" customFormat="1" ht="21.95" customHeight="1" x14ac:dyDescent="0.15"/>
    <row r="9449" s="76" customFormat="1" ht="21.95" customHeight="1" x14ac:dyDescent="0.15"/>
    <row r="9450" s="76" customFormat="1" ht="21.95" customHeight="1" x14ac:dyDescent="0.15"/>
    <row r="9451" s="76" customFormat="1" ht="21.95" customHeight="1" x14ac:dyDescent="0.15"/>
    <row r="9452" s="76" customFormat="1" ht="21.95" customHeight="1" x14ac:dyDescent="0.15"/>
    <row r="9453" s="76" customFormat="1" ht="21.95" customHeight="1" x14ac:dyDescent="0.15"/>
    <row r="9454" s="76" customFormat="1" ht="21.95" customHeight="1" x14ac:dyDescent="0.15"/>
    <row r="9455" s="76" customFormat="1" ht="21.95" customHeight="1" x14ac:dyDescent="0.15"/>
    <row r="9456" s="76" customFormat="1" ht="21.95" customHeight="1" x14ac:dyDescent="0.15"/>
    <row r="9457" s="76" customFormat="1" ht="21.95" customHeight="1" x14ac:dyDescent="0.15"/>
    <row r="9458" s="76" customFormat="1" ht="21.95" customHeight="1" x14ac:dyDescent="0.15"/>
    <row r="9459" s="76" customFormat="1" ht="21.95" customHeight="1" x14ac:dyDescent="0.15"/>
    <row r="9460" s="76" customFormat="1" ht="21.95" customHeight="1" x14ac:dyDescent="0.15"/>
    <row r="9461" s="76" customFormat="1" ht="21.95" customHeight="1" x14ac:dyDescent="0.15"/>
    <row r="9462" s="76" customFormat="1" ht="21.95" customHeight="1" x14ac:dyDescent="0.15"/>
    <row r="9463" s="76" customFormat="1" ht="21.95" customHeight="1" x14ac:dyDescent="0.15"/>
    <row r="9464" s="76" customFormat="1" ht="21.95" customHeight="1" x14ac:dyDescent="0.15"/>
    <row r="9465" s="76" customFormat="1" ht="21.95" customHeight="1" x14ac:dyDescent="0.15"/>
    <row r="9466" s="76" customFormat="1" ht="21.95" customHeight="1" x14ac:dyDescent="0.15"/>
    <row r="9467" s="76" customFormat="1" ht="21.95" customHeight="1" x14ac:dyDescent="0.15"/>
    <row r="9468" s="76" customFormat="1" ht="21.95" customHeight="1" x14ac:dyDescent="0.15"/>
    <row r="9469" s="76" customFormat="1" ht="21.95" customHeight="1" x14ac:dyDescent="0.15"/>
    <row r="9470" s="76" customFormat="1" ht="21.95" customHeight="1" x14ac:dyDescent="0.15"/>
    <row r="9471" s="76" customFormat="1" ht="21.95" customHeight="1" x14ac:dyDescent="0.15"/>
    <row r="9472" s="76" customFormat="1" ht="21.95" customHeight="1" x14ac:dyDescent="0.15"/>
    <row r="9473" s="76" customFormat="1" ht="21.95" customHeight="1" x14ac:dyDescent="0.15"/>
    <row r="9474" s="76" customFormat="1" ht="21.95" customHeight="1" x14ac:dyDescent="0.15"/>
    <row r="9475" s="76" customFormat="1" ht="21.95" customHeight="1" x14ac:dyDescent="0.15"/>
    <row r="9476" s="76" customFormat="1" ht="21.95" customHeight="1" x14ac:dyDescent="0.15"/>
    <row r="9477" s="76" customFormat="1" ht="21.95" customHeight="1" x14ac:dyDescent="0.15"/>
    <row r="9478" s="76" customFormat="1" ht="21.95" customHeight="1" x14ac:dyDescent="0.15"/>
    <row r="9479" s="76" customFormat="1" ht="21.95" customHeight="1" x14ac:dyDescent="0.15"/>
    <row r="9480" s="76" customFormat="1" ht="21.95" customHeight="1" x14ac:dyDescent="0.15"/>
    <row r="9481" s="76" customFormat="1" ht="21.95" customHeight="1" x14ac:dyDescent="0.15"/>
    <row r="9482" s="76" customFormat="1" ht="21.95" customHeight="1" x14ac:dyDescent="0.15"/>
    <row r="9483" s="76" customFormat="1" ht="21.95" customHeight="1" x14ac:dyDescent="0.15"/>
    <row r="9484" s="76" customFormat="1" ht="21.95" customHeight="1" x14ac:dyDescent="0.15"/>
    <row r="9485" s="76" customFormat="1" ht="21.95" customHeight="1" x14ac:dyDescent="0.15"/>
    <row r="9486" s="76" customFormat="1" ht="21.95" customHeight="1" x14ac:dyDescent="0.15"/>
    <row r="9487" s="76" customFormat="1" ht="21.95" customHeight="1" x14ac:dyDescent="0.15"/>
    <row r="9488" s="76" customFormat="1" ht="21.95" customHeight="1" x14ac:dyDescent="0.15"/>
    <row r="9489" s="76" customFormat="1" ht="21.95" customHeight="1" x14ac:dyDescent="0.15"/>
    <row r="9490" s="76" customFormat="1" ht="21.95" customHeight="1" x14ac:dyDescent="0.15"/>
    <row r="9491" s="76" customFormat="1" ht="21.95" customHeight="1" x14ac:dyDescent="0.15"/>
    <row r="9492" s="76" customFormat="1" ht="21.95" customHeight="1" x14ac:dyDescent="0.15"/>
    <row r="9493" s="76" customFormat="1" ht="21.95" customHeight="1" x14ac:dyDescent="0.15"/>
    <row r="9494" s="76" customFormat="1" ht="21.95" customHeight="1" x14ac:dyDescent="0.15"/>
    <row r="9495" s="76" customFormat="1" ht="21.95" customHeight="1" x14ac:dyDescent="0.15"/>
    <row r="9496" s="76" customFormat="1" ht="21.95" customHeight="1" x14ac:dyDescent="0.15"/>
    <row r="9497" s="76" customFormat="1" ht="35.1" customHeight="1" x14ac:dyDescent="0.15"/>
    <row r="9498" s="76" customFormat="1" ht="21.95" customHeight="1" x14ac:dyDescent="0.15"/>
    <row r="9499" s="76" customFormat="1" ht="21.95" customHeight="1" x14ac:dyDescent="0.15"/>
    <row r="9500" s="76" customFormat="1" ht="21.95" customHeight="1" x14ac:dyDescent="0.15"/>
    <row r="9501" s="76" customFormat="1" ht="21.95" customHeight="1" x14ac:dyDescent="0.15"/>
    <row r="9502" s="76" customFormat="1" ht="21.95" customHeight="1" x14ac:dyDescent="0.15"/>
    <row r="9503" s="76" customFormat="1" ht="21.95" customHeight="1" x14ac:dyDescent="0.15"/>
    <row r="9504" s="76" customFormat="1" ht="21.95" customHeight="1" x14ac:dyDescent="0.15"/>
    <row r="9505" s="76" customFormat="1" ht="21.95" customHeight="1" x14ac:dyDescent="0.15"/>
    <row r="9506" s="76" customFormat="1" ht="21.95" customHeight="1" x14ac:dyDescent="0.15"/>
    <row r="9507" s="76" customFormat="1" ht="21.95" customHeight="1" x14ac:dyDescent="0.15"/>
    <row r="9508" s="76" customFormat="1" ht="21.95" customHeight="1" x14ac:dyDescent="0.15"/>
    <row r="9509" s="76" customFormat="1" ht="21.95" customHeight="1" x14ac:dyDescent="0.15"/>
    <row r="9510" s="76" customFormat="1" ht="21.95" customHeight="1" x14ac:dyDescent="0.15"/>
    <row r="9511" s="76" customFormat="1" ht="21.95" customHeight="1" x14ac:dyDescent="0.15"/>
    <row r="9512" s="76" customFormat="1" ht="21.95" customHeight="1" x14ac:dyDescent="0.15"/>
    <row r="9513" s="76" customFormat="1" ht="21.95" customHeight="1" x14ac:dyDescent="0.15"/>
    <row r="9514" s="76" customFormat="1" ht="21.95" customHeight="1" x14ac:dyDescent="0.15"/>
    <row r="9515" s="76" customFormat="1" ht="21.95" customHeight="1" x14ac:dyDescent="0.15"/>
    <row r="9516" s="76" customFormat="1" ht="21.95" customHeight="1" x14ac:dyDescent="0.15"/>
    <row r="9517" s="76" customFormat="1" ht="21.95" customHeight="1" x14ac:dyDescent="0.15"/>
    <row r="9518" s="76" customFormat="1" ht="21.95" customHeight="1" x14ac:dyDescent="0.15"/>
    <row r="9519" s="76" customFormat="1" ht="21.95" customHeight="1" x14ac:dyDescent="0.15"/>
    <row r="9520" s="76" customFormat="1" ht="21.95" customHeight="1" x14ac:dyDescent="0.15"/>
    <row r="9521" spans="3:3" customFormat="1" ht="21.95" customHeight="1" x14ac:dyDescent="0.15"/>
    <row r="9522" spans="3:3" customFormat="1" ht="21.95" customHeight="1" x14ac:dyDescent="0.15"/>
    <row r="9523" spans="3:3" customFormat="1" ht="21.95" customHeight="1" x14ac:dyDescent="0.15">
      <c r="C9523" s="94"/>
    </row>
    <row r="9524" spans="3:3" customFormat="1" ht="21.95" customHeight="1" x14ac:dyDescent="0.15">
      <c r="C9524" s="94"/>
    </row>
    <row r="9525" spans="3:3" customFormat="1" ht="21.95" customHeight="1" x14ac:dyDescent="0.15"/>
    <row r="9526" spans="3:3" customFormat="1" ht="21.95" customHeight="1" x14ac:dyDescent="0.15"/>
    <row r="9527" spans="3:3" customFormat="1" ht="21.95" customHeight="1" x14ac:dyDescent="0.15"/>
    <row r="9528" spans="3:3" customFormat="1" ht="21.95" customHeight="1" x14ac:dyDescent="0.15"/>
    <row r="9529" spans="3:3" customFormat="1" ht="21.95" customHeight="1" x14ac:dyDescent="0.15"/>
    <row r="9530" spans="3:3" customFormat="1" ht="21.95" customHeight="1" x14ac:dyDescent="0.15"/>
    <row r="9531" spans="3:3" customFormat="1" ht="21.95" customHeight="1" x14ac:dyDescent="0.15"/>
    <row r="9532" spans="3:3" s="76" customFormat="1" ht="21.95" customHeight="1" x14ac:dyDescent="0.15"/>
    <row r="9533" spans="3:3" s="76" customFormat="1" ht="21.95" customHeight="1" x14ac:dyDescent="0.15"/>
    <row r="9534" spans="3:3" s="76" customFormat="1" ht="21.95" customHeight="1" x14ac:dyDescent="0.15"/>
    <row r="9535" spans="3:3" s="76" customFormat="1" ht="21.95" customHeight="1" x14ac:dyDescent="0.15"/>
    <row r="9536" spans="3:3" customFormat="1" ht="21.95" customHeight="1" x14ac:dyDescent="0.15"/>
    <row r="9537" customFormat="1" ht="21.95" customHeight="1" x14ac:dyDescent="0.15"/>
    <row r="9538" customFormat="1" ht="21.95" customHeight="1" x14ac:dyDescent="0.15"/>
    <row r="9539" customFormat="1" ht="21.95" customHeight="1" x14ac:dyDescent="0.15"/>
    <row r="9540" customFormat="1" ht="21.95" customHeight="1" x14ac:dyDescent="0.15"/>
    <row r="9541" customFormat="1" ht="21.95" customHeight="1" x14ac:dyDescent="0.15"/>
    <row r="9542" customFormat="1" ht="21.95" customHeight="1" x14ac:dyDescent="0.15"/>
    <row r="9543" customFormat="1" ht="21.95" customHeight="1" x14ac:dyDescent="0.15"/>
    <row r="9544" customFormat="1" ht="21.95" customHeight="1" x14ac:dyDescent="0.15"/>
    <row r="9545" customFormat="1" ht="21.95" customHeight="1" x14ac:dyDescent="0.15"/>
    <row r="9546" customFormat="1" ht="21.95" customHeight="1" x14ac:dyDescent="0.15"/>
    <row r="9547" customFormat="1" ht="32.1" customHeight="1" x14ac:dyDescent="0.15"/>
    <row r="9548" customFormat="1" ht="32.1" customHeight="1" x14ac:dyDescent="0.15"/>
    <row r="9549" customFormat="1" ht="32.1" customHeight="1" x14ac:dyDescent="0.15"/>
    <row r="9550" customFormat="1" ht="32.1" customHeight="1" x14ac:dyDescent="0.15"/>
    <row r="9551" customFormat="1" ht="32.1" customHeight="1" x14ac:dyDescent="0.15"/>
    <row r="9552" customFormat="1" ht="32.1" customHeight="1" x14ac:dyDescent="0.15"/>
    <row r="9553" s="76" customFormat="1" ht="32.1" customHeight="1" x14ac:dyDescent="0.15"/>
    <row r="9554" s="76" customFormat="1" ht="32.1" customHeight="1" x14ac:dyDescent="0.15"/>
    <row r="9555" s="76" customFormat="1" ht="32.1" customHeight="1" x14ac:dyDescent="0.15"/>
    <row r="9556" s="76" customFormat="1" ht="32.1" customHeight="1" x14ac:dyDescent="0.15"/>
    <row r="9557" s="76" customFormat="1" ht="21.95" customHeight="1" x14ac:dyDescent="0.15"/>
    <row r="9558" s="76" customFormat="1" ht="54" customHeight="1" x14ac:dyDescent="0.15"/>
    <row r="9559" s="76" customFormat="1" ht="21.95" customHeight="1" x14ac:dyDescent="0.15"/>
    <row r="9560" s="76" customFormat="1" ht="21.95" customHeight="1" x14ac:dyDescent="0.15"/>
    <row r="9561" s="76" customFormat="1" ht="21.95" customHeight="1" x14ac:dyDescent="0.15"/>
    <row r="9562" s="76" customFormat="1" ht="21.95" customHeight="1" x14ac:dyDescent="0.15"/>
    <row r="9563" s="76" customFormat="1" ht="21.95" customHeight="1" x14ac:dyDescent="0.15"/>
    <row r="9564" s="76" customFormat="1" ht="21.95" customHeight="1" x14ac:dyDescent="0.15"/>
    <row r="9565" s="76" customFormat="1" ht="21.95" customHeight="1" x14ac:dyDescent="0.15"/>
    <row r="9566" s="76" customFormat="1" ht="21.95" customHeight="1" x14ac:dyDescent="0.15"/>
    <row r="9567" s="76" customFormat="1" ht="21.95" customHeight="1" x14ac:dyDescent="0.15"/>
    <row r="9568" s="76" customFormat="1" ht="21.95" customHeight="1" x14ac:dyDescent="0.15"/>
    <row r="9569" s="76" customFormat="1" ht="21.95" customHeight="1" x14ac:dyDescent="0.15"/>
    <row r="9570" s="76" customFormat="1" ht="21.95" customHeight="1" x14ac:dyDescent="0.15"/>
    <row r="9571" s="76" customFormat="1" ht="21.95" customHeight="1" x14ac:dyDescent="0.15"/>
    <row r="9572" s="76" customFormat="1" ht="21.95" customHeight="1" x14ac:dyDescent="0.15"/>
    <row r="9573" s="76" customFormat="1" ht="21.95" customHeight="1" x14ac:dyDescent="0.15"/>
    <row r="9574" s="76" customFormat="1" ht="21.95" customHeight="1" x14ac:dyDescent="0.15"/>
    <row r="9575" s="76" customFormat="1" ht="21.95" customHeight="1" x14ac:dyDescent="0.15"/>
    <row r="9576" s="76" customFormat="1" ht="21.95" customHeight="1" x14ac:dyDescent="0.15"/>
    <row r="9577" s="76" customFormat="1" ht="21.95" customHeight="1" x14ac:dyDescent="0.15"/>
    <row r="9578" s="76" customFormat="1" ht="21.95" customHeight="1" x14ac:dyDescent="0.15"/>
    <row r="9579" s="76" customFormat="1" ht="21.95" customHeight="1" x14ac:dyDescent="0.15"/>
    <row r="9580" s="76" customFormat="1" ht="21.95" customHeight="1" x14ac:dyDescent="0.15"/>
    <row r="9581" s="76" customFormat="1" ht="21.95" customHeight="1" x14ac:dyDescent="0.15"/>
    <row r="9582" s="76" customFormat="1" ht="21.95" customHeight="1" x14ac:dyDescent="0.15"/>
    <row r="9583" s="76" customFormat="1" ht="21.95" customHeight="1" x14ac:dyDescent="0.15"/>
    <row r="9584" s="76" customFormat="1" ht="21.95" customHeight="1" x14ac:dyDescent="0.15"/>
    <row r="9585" s="76" customFormat="1" ht="21.95" customHeight="1" x14ac:dyDescent="0.15"/>
    <row r="9586" s="76" customFormat="1" ht="21.95" customHeight="1" x14ac:dyDescent="0.15"/>
    <row r="9587" s="76" customFormat="1" ht="21.95" customHeight="1" x14ac:dyDescent="0.15"/>
    <row r="9588" s="76" customFormat="1" ht="21.95" customHeight="1" x14ac:dyDescent="0.15"/>
    <row r="9589" s="76" customFormat="1" ht="21.95" customHeight="1" x14ac:dyDescent="0.15"/>
    <row r="9590" s="76" customFormat="1" ht="21.95" customHeight="1" x14ac:dyDescent="0.15"/>
    <row r="9591" s="76" customFormat="1" ht="21.95" customHeight="1" x14ac:dyDescent="0.15"/>
    <row r="9592" s="76" customFormat="1" ht="21.95" customHeight="1" x14ac:dyDescent="0.15"/>
    <row r="9593" s="76" customFormat="1" ht="21.95" customHeight="1" x14ac:dyDescent="0.15"/>
    <row r="9594" s="76" customFormat="1" ht="21.95" customHeight="1" x14ac:dyDescent="0.15"/>
    <row r="9595" s="76" customFormat="1" ht="21.95" customHeight="1" x14ac:dyDescent="0.15"/>
    <row r="9596" s="76" customFormat="1" ht="21.95" customHeight="1" x14ac:dyDescent="0.15"/>
    <row r="9597" s="76" customFormat="1" ht="21.95" customHeight="1" x14ac:dyDescent="0.15"/>
    <row r="9598" s="76" customFormat="1" ht="21.95" customHeight="1" x14ac:dyDescent="0.15"/>
    <row r="9599" s="76" customFormat="1" ht="21.95" customHeight="1" x14ac:dyDescent="0.15"/>
    <row r="9600" s="76" customFormat="1" ht="21.95" customHeight="1" x14ac:dyDescent="0.15"/>
    <row r="9601" s="76" customFormat="1" ht="21.95" customHeight="1" x14ac:dyDescent="0.15"/>
    <row r="9602" s="76" customFormat="1" ht="21.95" customHeight="1" x14ac:dyDescent="0.15"/>
    <row r="9603" s="76" customFormat="1" ht="21.95" customHeight="1" x14ac:dyDescent="0.15"/>
    <row r="9604" s="76" customFormat="1" ht="21.95" customHeight="1" x14ac:dyDescent="0.15"/>
    <row r="9605" s="76" customFormat="1" ht="21.95" customHeight="1" x14ac:dyDescent="0.15"/>
    <row r="9606" s="76" customFormat="1" ht="21.95" customHeight="1" x14ac:dyDescent="0.15"/>
    <row r="9607" s="76" customFormat="1" ht="21.95" customHeight="1" x14ac:dyDescent="0.15"/>
    <row r="9608" s="76" customFormat="1" ht="21.95" customHeight="1" x14ac:dyDescent="0.15"/>
    <row r="9609" s="76" customFormat="1" ht="35.1" customHeight="1" x14ac:dyDescent="0.15"/>
    <row r="9610" s="76" customFormat="1" ht="21.95" customHeight="1" x14ac:dyDescent="0.15"/>
    <row r="9611" s="76" customFormat="1" ht="21.95" customHeight="1" x14ac:dyDescent="0.15"/>
    <row r="9612" s="76" customFormat="1" ht="21.95" customHeight="1" x14ac:dyDescent="0.15"/>
    <row r="9613" s="76" customFormat="1" ht="21.95" customHeight="1" x14ac:dyDescent="0.15"/>
    <row r="9614" s="76" customFormat="1" ht="21.95" customHeight="1" x14ac:dyDescent="0.15"/>
    <row r="9615" s="76" customFormat="1" ht="21.95" customHeight="1" x14ac:dyDescent="0.15"/>
    <row r="9616" s="76" customFormat="1" ht="21.95" customHeight="1" x14ac:dyDescent="0.15"/>
    <row r="9617" s="76" customFormat="1" ht="21.95" customHeight="1" x14ac:dyDescent="0.15"/>
    <row r="9618" s="76" customFormat="1" ht="21.95" customHeight="1" x14ac:dyDescent="0.15"/>
    <row r="9619" s="76" customFormat="1" ht="21.95" customHeight="1" x14ac:dyDescent="0.15"/>
    <row r="9620" s="76" customFormat="1" ht="21.95" customHeight="1" x14ac:dyDescent="0.15"/>
    <row r="9621" s="76" customFormat="1" ht="21.95" customHeight="1" x14ac:dyDescent="0.15"/>
    <row r="9622" s="76" customFormat="1" ht="21.95" customHeight="1" x14ac:dyDescent="0.15"/>
    <row r="9623" s="76" customFormat="1" ht="21.95" customHeight="1" x14ac:dyDescent="0.15"/>
    <row r="9624" s="76" customFormat="1" ht="21.95" customHeight="1" x14ac:dyDescent="0.15"/>
    <row r="9625" s="76" customFormat="1" ht="21.95" customHeight="1" x14ac:dyDescent="0.15"/>
    <row r="9626" s="76" customFormat="1" ht="21.95" customHeight="1" x14ac:dyDescent="0.15"/>
    <row r="9627" s="76" customFormat="1" ht="21.95" customHeight="1" x14ac:dyDescent="0.15"/>
    <row r="9628" s="76" customFormat="1" ht="21.95" customHeight="1" x14ac:dyDescent="0.15"/>
    <row r="9629" s="76" customFormat="1" ht="21.95" customHeight="1" x14ac:dyDescent="0.15"/>
    <row r="9630" s="76" customFormat="1" ht="21.95" customHeight="1" x14ac:dyDescent="0.15"/>
    <row r="9631" s="76" customFormat="1" ht="21.95" customHeight="1" x14ac:dyDescent="0.15"/>
    <row r="9632" s="76" customFormat="1" ht="21.95" customHeight="1" x14ac:dyDescent="0.15"/>
    <row r="9633" spans="3:3" customFormat="1" ht="21.95" customHeight="1" x14ac:dyDescent="0.15"/>
    <row r="9634" spans="3:3" customFormat="1" ht="21.95" customHeight="1" x14ac:dyDescent="0.15"/>
    <row r="9635" spans="3:3" customFormat="1" ht="21.95" customHeight="1" x14ac:dyDescent="0.15">
      <c r="C9635" s="94"/>
    </row>
    <row r="9636" spans="3:3" customFormat="1" ht="21.95" customHeight="1" x14ac:dyDescent="0.15">
      <c r="C9636" s="94"/>
    </row>
    <row r="9637" spans="3:3" customFormat="1" ht="21.95" customHeight="1" x14ac:dyDescent="0.15"/>
    <row r="9638" spans="3:3" customFormat="1" ht="21.95" customHeight="1" x14ac:dyDescent="0.15"/>
    <row r="9639" spans="3:3" customFormat="1" ht="21.95" customHeight="1" x14ac:dyDescent="0.15"/>
    <row r="9640" spans="3:3" customFormat="1" ht="21.95" customHeight="1" x14ac:dyDescent="0.15"/>
    <row r="9641" spans="3:3" customFormat="1" ht="21.95" customHeight="1" x14ac:dyDescent="0.15"/>
    <row r="9642" spans="3:3" customFormat="1" ht="21.95" customHeight="1" x14ac:dyDescent="0.15"/>
    <row r="9643" spans="3:3" customFormat="1" ht="21.95" customHeight="1" x14ac:dyDescent="0.15"/>
    <row r="9644" spans="3:3" s="76" customFormat="1" ht="21.95" customHeight="1" x14ac:dyDescent="0.15"/>
    <row r="9645" spans="3:3" s="76" customFormat="1" ht="21.95" customHeight="1" x14ac:dyDescent="0.15"/>
    <row r="9646" spans="3:3" s="76" customFormat="1" ht="21.95" customHeight="1" x14ac:dyDescent="0.15"/>
    <row r="9647" spans="3:3" s="76" customFormat="1" ht="21.95" customHeight="1" x14ac:dyDescent="0.15"/>
    <row r="9648" spans="3:3" customFormat="1" ht="21.95" customHeight="1" x14ac:dyDescent="0.15"/>
    <row r="9649" customFormat="1" ht="21.95" customHeight="1" x14ac:dyDescent="0.15"/>
    <row r="9650" customFormat="1" ht="21.95" customHeight="1" x14ac:dyDescent="0.15"/>
    <row r="9651" customFormat="1" ht="21.95" customHeight="1" x14ac:dyDescent="0.15"/>
    <row r="9652" customFormat="1" ht="21.95" customHeight="1" x14ac:dyDescent="0.15"/>
    <row r="9653" customFormat="1" ht="21.95" customHeight="1" x14ac:dyDescent="0.15"/>
    <row r="9654" customFormat="1" ht="21.95" customHeight="1" x14ac:dyDescent="0.15"/>
    <row r="9655" customFormat="1" ht="21.95" customHeight="1" x14ac:dyDescent="0.15"/>
    <row r="9656" customFormat="1" ht="21.95" customHeight="1" x14ac:dyDescent="0.15"/>
    <row r="9657" customFormat="1" ht="21.95" customHeight="1" x14ac:dyDescent="0.15"/>
    <row r="9658" customFormat="1" ht="21.95" customHeight="1" x14ac:dyDescent="0.15"/>
    <row r="9659" customFormat="1" ht="32.1" customHeight="1" x14ac:dyDescent="0.15"/>
    <row r="9660" customFormat="1" ht="32.1" customHeight="1" x14ac:dyDescent="0.15"/>
    <row r="9661" customFormat="1" ht="32.1" customHeight="1" x14ac:dyDescent="0.15"/>
    <row r="9662" customFormat="1" ht="32.1" customHeight="1" x14ac:dyDescent="0.15"/>
    <row r="9663" customFormat="1" ht="32.1" customHeight="1" x14ac:dyDescent="0.15"/>
    <row r="9664" customFormat="1" ht="32.1" customHeight="1" x14ac:dyDescent="0.15"/>
    <row r="9665" s="76" customFormat="1" ht="32.1" customHeight="1" x14ac:dyDescent="0.15"/>
    <row r="9666" s="76" customFormat="1" ht="32.1" customHeight="1" x14ac:dyDescent="0.15"/>
    <row r="9667" s="76" customFormat="1" ht="32.1" customHeight="1" x14ac:dyDescent="0.15"/>
    <row r="9668" s="76" customFormat="1" ht="32.1" customHeight="1" x14ac:dyDescent="0.15"/>
    <row r="9669" s="76" customFormat="1" ht="21.95" customHeight="1" x14ac:dyDescent="0.15"/>
    <row r="9670" s="76" customFormat="1" ht="54" customHeight="1" x14ac:dyDescent="0.15"/>
    <row r="9671" s="76" customFormat="1" ht="21.95" customHeight="1" x14ac:dyDescent="0.15"/>
    <row r="9672" s="76" customFormat="1" ht="21.95" customHeight="1" x14ac:dyDescent="0.15"/>
    <row r="9673" s="76" customFormat="1" ht="21.95" customHeight="1" x14ac:dyDescent="0.15"/>
    <row r="9674" s="76" customFormat="1" ht="21.95" customHeight="1" x14ac:dyDescent="0.15"/>
    <row r="9675" s="76" customFormat="1" ht="21.95" customHeight="1" x14ac:dyDescent="0.15"/>
    <row r="9676" s="76" customFormat="1" ht="21.95" customHeight="1" x14ac:dyDescent="0.15"/>
    <row r="9677" s="76" customFormat="1" ht="21.95" customHeight="1" x14ac:dyDescent="0.15"/>
    <row r="9678" s="76" customFormat="1" ht="21.95" customHeight="1" x14ac:dyDescent="0.15"/>
    <row r="9679" s="76" customFormat="1" ht="21.95" customHeight="1" x14ac:dyDescent="0.15"/>
    <row r="9680" s="76" customFormat="1" ht="21.95" customHeight="1" x14ac:dyDescent="0.15"/>
    <row r="9681" s="76" customFormat="1" ht="21.95" customHeight="1" x14ac:dyDescent="0.15"/>
    <row r="9682" s="76" customFormat="1" ht="21.95" customHeight="1" x14ac:dyDescent="0.15"/>
    <row r="9683" s="76" customFormat="1" ht="21.95" customHeight="1" x14ac:dyDescent="0.15"/>
    <row r="9684" s="76" customFormat="1" ht="21.95" customHeight="1" x14ac:dyDescent="0.15"/>
    <row r="9685" s="76" customFormat="1" ht="21.95" customHeight="1" x14ac:dyDescent="0.15"/>
    <row r="9686" s="76" customFormat="1" ht="21.95" customHeight="1" x14ac:dyDescent="0.15"/>
    <row r="9687" s="76" customFormat="1" ht="21.95" customHeight="1" x14ac:dyDescent="0.15"/>
    <row r="9688" s="76" customFormat="1" ht="21.95" customHeight="1" x14ac:dyDescent="0.15"/>
    <row r="9689" s="76" customFormat="1" ht="21.95" customHeight="1" x14ac:dyDescent="0.15"/>
    <row r="9690" s="76" customFormat="1" ht="21.95" customHeight="1" x14ac:dyDescent="0.15"/>
    <row r="9691" s="76" customFormat="1" ht="21.95" customHeight="1" x14ac:dyDescent="0.15"/>
    <row r="9692" s="76" customFormat="1" ht="21.95" customHeight="1" x14ac:dyDescent="0.15"/>
    <row r="9693" s="76" customFormat="1" ht="21.95" customHeight="1" x14ac:dyDescent="0.15"/>
    <row r="9694" s="76" customFormat="1" ht="21.95" customHeight="1" x14ac:dyDescent="0.15"/>
    <row r="9695" s="76" customFormat="1" ht="21.95" customHeight="1" x14ac:dyDescent="0.15"/>
    <row r="9696" s="76" customFormat="1" ht="21.95" customHeight="1" x14ac:dyDescent="0.15"/>
    <row r="9697" s="76" customFormat="1" ht="21.95" customHeight="1" x14ac:dyDescent="0.15"/>
    <row r="9698" s="76" customFormat="1" ht="21.95" customHeight="1" x14ac:dyDescent="0.15"/>
    <row r="9699" s="76" customFormat="1" ht="21.95" customHeight="1" x14ac:dyDescent="0.15"/>
    <row r="9700" s="76" customFormat="1" ht="21.95" customHeight="1" x14ac:dyDescent="0.15"/>
    <row r="9701" s="76" customFormat="1" ht="21.95" customHeight="1" x14ac:dyDescent="0.15"/>
    <row r="9702" s="76" customFormat="1" ht="21.95" customHeight="1" x14ac:dyDescent="0.15"/>
    <row r="9703" s="76" customFormat="1" ht="21.95" customHeight="1" x14ac:dyDescent="0.15"/>
    <row r="9704" s="76" customFormat="1" ht="21.95" customHeight="1" x14ac:dyDescent="0.15"/>
    <row r="9705" s="76" customFormat="1" ht="21.95" customHeight="1" x14ac:dyDescent="0.15"/>
    <row r="9706" s="76" customFormat="1" ht="21.95" customHeight="1" x14ac:dyDescent="0.15"/>
    <row r="9707" s="76" customFormat="1" ht="21.95" customHeight="1" x14ac:dyDescent="0.15"/>
    <row r="9708" s="76" customFormat="1" ht="21.95" customHeight="1" x14ac:dyDescent="0.15"/>
    <row r="9709" s="76" customFormat="1" ht="21.95" customHeight="1" x14ac:dyDescent="0.15"/>
    <row r="9710" s="76" customFormat="1" ht="21.95" customHeight="1" x14ac:dyDescent="0.15"/>
    <row r="9711" s="76" customFormat="1" ht="21.95" customHeight="1" x14ac:dyDescent="0.15"/>
    <row r="9712" s="76" customFormat="1" ht="21.95" customHeight="1" x14ac:dyDescent="0.15"/>
    <row r="9713" s="76" customFormat="1" ht="21.95" customHeight="1" x14ac:dyDescent="0.15"/>
    <row r="9714" s="76" customFormat="1" ht="21.95" customHeight="1" x14ac:dyDescent="0.15"/>
    <row r="9715" s="76" customFormat="1" ht="21.95" customHeight="1" x14ac:dyDescent="0.15"/>
    <row r="9716" s="76" customFormat="1" ht="21.95" customHeight="1" x14ac:dyDescent="0.15"/>
    <row r="9717" s="76" customFormat="1" ht="21.95" customHeight="1" x14ac:dyDescent="0.15"/>
    <row r="9718" s="76" customFormat="1" ht="21.95" customHeight="1" x14ac:dyDescent="0.15"/>
    <row r="9719" s="76" customFormat="1" ht="21.95" customHeight="1" x14ac:dyDescent="0.15"/>
    <row r="9720" s="76" customFormat="1" ht="21.95" customHeight="1" x14ac:dyDescent="0.15"/>
    <row r="9721" s="76" customFormat="1" ht="35.1" customHeight="1" x14ac:dyDescent="0.15"/>
    <row r="9722" s="76" customFormat="1" ht="21.95" customHeight="1" x14ac:dyDescent="0.15"/>
    <row r="9723" s="76" customFormat="1" ht="21.95" customHeight="1" x14ac:dyDescent="0.15"/>
    <row r="9724" s="76" customFormat="1" ht="21.95" customHeight="1" x14ac:dyDescent="0.15"/>
    <row r="9725" s="76" customFormat="1" ht="21.95" customHeight="1" x14ac:dyDescent="0.15"/>
    <row r="9726" s="76" customFormat="1" ht="21.95" customHeight="1" x14ac:dyDescent="0.15"/>
    <row r="9727" s="76" customFormat="1" ht="21.95" customHeight="1" x14ac:dyDescent="0.15"/>
    <row r="9728" s="76" customFormat="1" ht="21.95" customHeight="1" x14ac:dyDescent="0.15"/>
    <row r="9729" s="76" customFormat="1" ht="21.95" customHeight="1" x14ac:dyDescent="0.15"/>
    <row r="9730" s="76" customFormat="1" ht="21.95" customHeight="1" x14ac:dyDescent="0.15"/>
    <row r="9731" s="76" customFormat="1" ht="21.95" customHeight="1" x14ac:dyDescent="0.15"/>
    <row r="9732" s="76" customFormat="1" ht="21.95" customHeight="1" x14ac:dyDescent="0.15"/>
    <row r="9733" s="76" customFormat="1" ht="21.95" customHeight="1" x14ac:dyDescent="0.15"/>
    <row r="9734" s="76" customFormat="1" ht="21.95" customHeight="1" x14ac:dyDescent="0.15"/>
    <row r="9735" s="76" customFormat="1" ht="21.95" customHeight="1" x14ac:dyDescent="0.15"/>
    <row r="9736" s="76" customFormat="1" ht="21.95" customHeight="1" x14ac:dyDescent="0.15"/>
    <row r="9737" s="76" customFormat="1" ht="21.95" customHeight="1" x14ac:dyDescent="0.15"/>
    <row r="9738" s="76" customFormat="1" ht="21.95" customHeight="1" x14ac:dyDescent="0.15"/>
    <row r="9739" s="76" customFormat="1" ht="21.95" customHeight="1" x14ac:dyDescent="0.15"/>
    <row r="9740" s="76" customFormat="1" ht="21.95" customHeight="1" x14ac:dyDescent="0.15"/>
    <row r="9741" s="76" customFormat="1" ht="21.95" customHeight="1" x14ac:dyDescent="0.15"/>
    <row r="9742" s="76" customFormat="1" ht="21.95" customHeight="1" x14ac:dyDescent="0.15"/>
    <row r="9743" s="76" customFormat="1" ht="21.95" customHeight="1" x14ac:dyDescent="0.15"/>
    <row r="9744" s="76" customFormat="1" ht="21.95" customHeight="1" x14ac:dyDescent="0.15"/>
    <row r="9745" spans="3:3" customFormat="1" ht="21.95" customHeight="1" x14ac:dyDescent="0.15"/>
    <row r="9746" spans="3:3" customFormat="1" ht="21.95" customHeight="1" x14ac:dyDescent="0.15"/>
    <row r="9747" spans="3:3" customFormat="1" ht="21.95" customHeight="1" x14ac:dyDescent="0.15">
      <c r="C9747" s="94"/>
    </row>
    <row r="9748" spans="3:3" customFormat="1" ht="21.95" customHeight="1" x14ac:dyDescent="0.15">
      <c r="C9748" s="94"/>
    </row>
    <row r="9749" spans="3:3" customFormat="1" ht="21.95" customHeight="1" x14ac:dyDescent="0.15"/>
    <row r="9750" spans="3:3" customFormat="1" ht="21.95" customHeight="1" x14ac:dyDescent="0.15"/>
    <row r="9751" spans="3:3" customFormat="1" ht="21.95" customHeight="1" x14ac:dyDescent="0.15"/>
    <row r="9752" spans="3:3" customFormat="1" ht="21.95" customHeight="1" x14ac:dyDescent="0.15"/>
    <row r="9753" spans="3:3" customFormat="1" ht="21.95" customHeight="1" x14ac:dyDescent="0.15"/>
    <row r="9754" spans="3:3" customFormat="1" ht="21.95" customHeight="1" x14ac:dyDescent="0.15"/>
    <row r="9755" spans="3:3" customFormat="1" ht="21.95" customHeight="1" x14ac:dyDescent="0.15"/>
    <row r="9756" spans="3:3" s="76" customFormat="1" ht="21.95" customHeight="1" x14ac:dyDescent="0.15"/>
    <row r="9757" spans="3:3" s="76" customFormat="1" ht="21.95" customHeight="1" x14ac:dyDescent="0.15"/>
    <row r="9758" spans="3:3" s="76" customFormat="1" ht="21.95" customHeight="1" x14ac:dyDescent="0.15"/>
    <row r="9759" spans="3:3" s="76" customFormat="1" ht="21.95" customHeight="1" x14ac:dyDescent="0.15"/>
    <row r="9760" spans="3:3" customFormat="1" ht="21.95" customHeight="1" x14ac:dyDescent="0.15"/>
    <row r="9761" customFormat="1" ht="21.95" customHeight="1" x14ac:dyDescent="0.15"/>
    <row r="9762" customFormat="1" ht="21.95" customHeight="1" x14ac:dyDescent="0.15"/>
    <row r="9763" customFormat="1" ht="21.95" customHeight="1" x14ac:dyDescent="0.15"/>
    <row r="9764" customFormat="1" ht="21.95" customHeight="1" x14ac:dyDescent="0.15"/>
    <row r="9765" customFormat="1" ht="21.95" customHeight="1" x14ac:dyDescent="0.15"/>
    <row r="9766" customFormat="1" ht="21.95" customHeight="1" x14ac:dyDescent="0.15"/>
    <row r="9767" customFormat="1" ht="21.95" customHeight="1" x14ac:dyDescent="0.15"/>
    <row r="9768" customFormat="1" ht="21.95" customHeight="1" x14ac:dyDescent="0.15"/>
    <row r="9769" customFormat="1" ht="21.95" customHeight="1" x14ac:dyDescent="0.15"/>
    <row r="9770" customFormat="1" ht="21.95" customHeight="1" x14ac:dyDescent="0.15"/>
    <row r="9771" customFormat="1" ht="32.1" customHeight="1" x14ac:dyDescent="0.15"/>
    <row r="9772" customFormat="1" ht="32.1" customHeight="1" x14ac:dyDescent="0.15"/>
    <row r="9773" customFormat="1" ht="32.1" customHeight="1" x14ac:dyDescent="0.15"/>
    <row r="9774" customFormat="1" ht="32.1" customHeight="1" x14ac:dyDescent="0.15"/>
    <row r="9775" customFormat="1" ht="32.1" customHeight="1" x14ac:dyDescent="0.15"/>
    <row r="9776" customFormat="1" ht="32.1" customHeight="1" x14ac:dyDescent="0.15"/>
    <row r="9777" s="76" customFormat="1" ht="32.1" customHeight="1" x14ac:dyDescent="0.15"/>
    <row r="9778" s="76" customFormat="1" ht="32.1" customHeight="1" x14ac:dyDescent="0.15"/>
    <row r="9779" s="76" customFormat="1" ht="32.1" customHeight="1" x14ac:dyDescent="0.15"/>
    <row r="9780" s="76" customFormat="1" ht="32.1" customHeight="1" x14ac:dyDescent="0.15"/>
    <row r="9781" s="76" customFormat="1" ht="21.95" customHeight="1" x14ac:dyDescent="0.15"/>
    <row r="9782" s="76" customFormat="1" ht="54" customHeight="1" x14ac:dyDescent="0.15"/>
    <row r="9783" s="76" customFormat="1" ht="21.95" customHeight="1" x14ac:dyDescent="0.15"/>
    <row r="9784" s="76" customFormat="1" ht="21.95" customHeight="1" x14ac:dyDescent="0.15"/>
    <row r="9785" s="76" customFormat="1" ht="21.95" customHeight="1" x14ac:dyDescent="0.15"/>
    <row r="9786" s="76" customFormat="1" ht="21.95" customHeight="1" x14ac:dyDescent="0.15"/>
    <row r="9787" s="76" customFormat="1" ht="21.95" customHeight="1" x14ac:dyDescent="0.15"/>
    <row r="9788" s="76" customFormat="1" ht="21.95" customHeight="1" x14ac:dyDescent="0.15"/>
    <row r="9789" s="76" customFormat="1" ht="21.95" customHeight="1" x14ac:dyDescent="0.15"/>
    <row r="9790" s="76" customFormat="1" ht="21.95" customHeight="1" x14ac:dyDescent="0.15"/>
    <row r="9791" s="76" customFormat="1" ht="21.95" customHeight="1" x14ac:dyDescent="0.15"/>
    <row r="9792" s="76" customFormat="1" ht="21.95" customHeight="1" x14ac:dyDescent="0.15"/>
    <row r="9793" s="76" customFormat="1" ht="21.95" customHeight="1" x14ac:dyDescent="0.15"/>
    <row r="9794" s="76" customFormat="1" ht="21.95" customHeight="1" x14ac:dyDescent="0.15"/>
    <row r="9795" s="76" customFormat="1" ht="21.95" customHeight="1" x14ac:dyDescent="0.15"/>
    <row r="9796" s="76" customFormat="1" ht="21.95" customHeight="1" x14ac:dyDescent="0.15"/>
    <row r="9797" s="76" customFormat="1" ht="21.95" customHeight="1" x14ac:dyDescent="0.15"/>
    <row r="9798" s="76" customFormat="1" ht="21.95" customHeight="1" x14ac:dyDescent="0.15"/>
    <row r="9799" s="76" customFormat="1" ht="21.95" customHeight="1" x14ac:dyDescent="0.15"/>
    <row r="9800" s="76" customFormat="1" ht="21.95" customHeight="1" x14ac:dyDescent="0.15"/>
    <row r="9801" s="76" customFormat="1" ht="21.95" customHeight="1" x14ac:dyDescent="0.15"/>
    <row r="9802" s="76" customFormat="1" ht="21.95" customHeight="1" x14ac:dyDescent="0.15"/>
    <row r="9803" s="76" customFormat="1" ht="21.95" customHeight="1" x14ac:dyDescent="0.15"/>
    <row r="9804" s="76" customFormat="1" ht="21.95" customHeight="1" x14ac:dyDescent="0.15"/>
    <row r="9805" s="76" customFormat="1" ht="21.95" customHeight="1" x14ac:dyDescent="0.15"/>
    <row r="9806" s="76" customFormat="1" ht="21.95" customHeight="1" x14ac:dyDescent="0.15"/>
    <row r="9807" s="76" customFormat="1" ht="21.95" customHeight="1" x14ac:dyDescent="0.15"/>
    <row r="9808" s="76" customFormat="1" ht="21.95" customHeight="1" x14ac:dyDescent="0.15"/>
    <row r="9809" s="76" customFormat="1" ht="21.95" customHeight="1" x14ac:dyDescent="0.15"/>
    <row r="9810" s="76" customFormat="1" ht="21.95" customHeight="1" x14ac:dyDescent="0.15"/>
    <row r="9811" s="76" customFormat="1" ht="21.95" customHeight="1" x14ac:dyDescent="0.15"/>
    <row r="9812" s="76" customFormat="1" ht="21.95" customHeight="1" x14ac:dyDescent="0.15"/>
    <row r="9813" s="76" customFormat="1" ht="21.95" customHeight="1" x14ac:dyDescent="0.15"/>
    <row r="9814" s="76" customFormat="1" ht="21.95" customHeight="1" x14ac:dyDescent="0.15"/>
    <row r="9815" s="76" customFormat="1" ht="21.95" customHeight="1" x14ac:dyDescent="0.15"/>
    <row r="9816" s="76" customFormat="1" ht="21.95" customHeight="1" x14ac:dyDescent="0.15"/>
    <row r="9817" s="76" customFormat="1" ht="21.95" customHeight="1" x14ac:dyDescent="0.15"/>
    <row r="9818" s="76" customFormat="1" ht="21.95" customHeight="1" x14ac:dyDescent="0.15"/>
    <row r="9819" s="76" customFormat="1" ht="21.95" customHeight="1" x14ac:dyDescent="0.15"/>
    <row r="9820" s="76" customFormat="1" ht="21.95" customHeight="1" x14ac:dyDescent="0.15"/>
    <row r="9821" s="76" customFormat="1" ht="21.95" customHeight="1" x14ac:dyDescent="0.15"/>
    <row r="9822" s="76" customFormat="1" ht="21.95" customHeight="1" x14ac:dyDescent="0.15"/>
    <row r="9823" s="76" customFormat="1" ht="21.95" customHeight="1" x14ac:dyDescent="0.15"/>
    <row r="9824" s="76" customFormat="1" ht="21.95" customHeight="1" x14ac:dyDescent="0.15"/>
    <row r="9825" s="76" customFormat="1" ht="21.95" customHeight="1" x14ac:dyDescent="0.15"/>
    <row r="9826" s="76" customFormat="1" ht="21.95" customHeight="1" x14ac:dyDescent="0.15"/>
    <row r="9827" s="76" customFormat="1" ht="21.95" customHeight="1" x14ac:dyDescent="0.15"/>
    <row r="9828" s="76" customFormat="1" ht="21.95" customHeight="1" x14ac:dyDescent="0.15"/>
    <row r="9829" s="76" customFormat="1" ht="21.95" customHeight="1" x14ac:dyDescent="0.15"/>
    <row r="9830" s="76" customFormat="1" ht="21.95" customHeight="1" x14ac:dyDescent="0.15"/>
    <row r="9831" s="76" customFormat="1" ht="21.95" customHeight="1" x14ac:dyDescent="0.15"/>
    <row r="9832" s="76" customFormat="1" ht="21.95" customHeight="1" x14ac:dyDescent="0.15"/>
    <row r="9833" s="76" customFormat="1" ht="35.1" customHeight="1" x14ac:dyDescent="0.15"/>
    <row r="9834" s="76" customFormat="1" ht="21.95" customHeight="1" x14ac:dyDescent="0.15"/>
    <row r="9835" s="76" customFormat="1" ht="21.95" customHeight="1" x14ac:dyDescent="0.15"/>
    <row r="9836" s="76" customFormat="1" ht="21.95" customHeight="1" x14ac:dyDescent="0.15"/>
    <row r="9837" s="76" customFormat="1" ht="21.95" customHeight="1" x14ac:dyDescent="0.15"/>
    <row r="9838" s="76" customFormat="1" ht="21.95" customHeight="1" x14ac:dyDescent="0.15"/>
    <row r="9839" s="76" customFormat="1" ht="21.95" customHeight="1" x14ac:dyDescent="0.15"/>
    <row r="9840" s="76" customFormat="1" ht="21.95" customHeight="1" x14ac:dyDescent="0.15"/>
    <row r="9841" s="76" customFormat="1" ht="21.95" customHeight="1" x14ac:dyDescent="0.15"/>
    <row r="9842" s="76" customFormat="1" ht="21.95" customHeight="1" x14ac:dyDescent="0.15"/>
    <row r="9843" s="76" customFormat="1" ht="21.95" customHeight="1" x14ac:dyDescent="0.15"/>
    <row r="9844" s="76" customFormat="1" ht="21.95" customHeight="1" x14ac:dyDescent="0.15"/>
    <row r="9845" s="76" customFormat="1" ht="21.95" customHeight="1" x14ac:dyDescent="0.15"/>
    <row r="9846" s="76" customFormat="1" ht="21.95" customHeight="1" x14ac:dyDescent="0.15"/>
    <row r="9847" s="76" customFormat="1" ht="21.95" customHeight="1" x14ac:dyDescent="0.15"/>
    <row r="9848" s="76" customFormat="1" ht="21.95" customHeight="1" x14ac:dyDescent="0.15"/>
    <row r="9849" s="76" customFormat="1" ht="21.95" customHeight="1" x14ac:dyDescent="0.15"/>
    <row r="9850" s="76" customFormat="1" ht="21.95" customHeight="1" x14ac:dyDescent="0.15"/>
    <row r="9851" s="76" customFormat="1" ht="21.95" customHeight="1" x14ac:dyDescent="0.15"/>
    <row r="9852" s="76" customFormat="1" ht="21.95" customHeight="1" x14ac:dyDescent="0.15"/>
    <row r="9853" s="76" customFormat="1" ht="21.95" customHeight="1" x14ac:dyDescent="0.15"/>
    <row r="9854" s="76" customFormat="1" ht="21.95" customHeight="1" x14ac:dyDescent="0.15"/>
    <row r="9855" s="76" customFormat="1" ht="21.95" customHeight="1" x14ac:dyDescent="0.15"/>
    <row r="9856" s="76" customFormat="1" ht="21.95" customHeight="1" x14ac:dyDescent="0.15"/>
    <row r="9857" spans="3:3" customFormat="1" ht="21.95" customHeight="1" x14ac:dyDescent="0.15"/>
    <row r="9858" spans="3:3" customFormat="1" ht="21.95" customHeight="1" x14ac:dyDescent="0.15"/>
    <row r="9859" spans="3:3" customFormat="1" ht="21.95" customHeight="1" x14ac:dyDescent="0.15">
      <c r="C9859" s="94"/>
    </row>
    <row r="9860" spans="3:3" customFormat="1" ht="21.95" customHeight="1" x14ac:dyDescent="0.15">
      <c r="C9860" s="94"/>
    </row>
    <row r="9861" spans="3:3" customFormat="1" ht="21.95" customHeight="1" x14ac:dyDescent="0.15"/>
    <row r="9862" spans="3:3" customFormat="1" ht="21.95" customHeight="1" x14ac:dyDescent="0.15"/>
    <row r="9863" spans="3:3" customFormat="1" ht="21.95" customHeight="1" x14ac:dyDescent="0.15"/>
    <row r="9864" spans="3:3" customFormat="1" ht="21.95" customHeight="1" x14ac:dyDescent="0.15"/>
    <row r="9865" spans="3:3" customFormat="1" ht="21.95" customHeight="1" x14ac:dyDescent="0.15"/>
    <row r="9866" spans="3:3" customFormat="1" ht="21.95" customHeight="1" x14ac:dyDescent="0.15"/>
    <row r="9867" spans="3:3" customFormat="1" ht="21.95" customHeight="1" x14ac:dyDescent="0.15"/>
    <row r="9868" spans="3:3" s="76" customFormat="1" ht="21.95" customHeight="1" x14ac:dyDescent="0.15"/>
    <row r="9869" spans="3:3" s="76" customFormat="1" ht="21.95" customHeight="1" x14ac:dyDescent="0.15"/>
    <row r="9870" spans="3:3" s="76" customFormat="1" ht="21.95" customHeight="1" x14ac:dyDescent="0.15"/>
    <row r="9871" spans="3:3" s="76" customFormat="1" ht="21.95" customHeight="1" x14ac:dyDescent="0.15"/>
    <row r="9872" spans="3:3" customFormat="1" ht="21.95" customHeight="1" x14ac:dyDescent="0.15"/>
    <row r="9873" customFormat="1" ht="21.95" customHeight="1" x14ac:dyDescent="0.15"/>
    <row r="9874" customFormat="1" ht="21.95" customHeight="1" x14ac:dyDescent="0.15"/>
    <row r="9875" customFormat="1" ht="21.95" customHeight="1" x14ac:dyDescent="0.15"/>
    <row r="9876" customFormat="1" ht="21.95" customHeight="1" x14ac:dyDescent="0.15"/>
    <row r="9877" customFormat="1" ht="21.95" customHeight="1" x14ac:dyDescent="0.15"/>
    <row r="9878" customFormat="1" ht="21.95" customHeight="1" x14ac:dyDescent="0.15"/>
    <row r="9879" customFormat="1" ht="21.95" customHeight="1" x14ac:dyDescent="0.15"/>
    <row r="9880" customFormat="1" ht="21.95" customHeight="1" x14ac:dyDescent="0.15"/>
    <row r="9881" customFormat="1" ht="21.95" customHeight="1" x14ac:dyDescent="0.15"/>
    <row r="9882" customFormat="1" ht="21.95" customHeight="1" x14ac:dyDescent="0.15"/>
    <row r="9883" customFormat="1" ht="32.1" customHeight="1" x14ac:dyDescent="0.15"/>
    <row r="9884" customFormat="1" ht="32.1" customHeight="1" x14ac:dyDescent="0.15"/>
    <row r="9885" customFormat="1" ht="32.1" customHeight="1" x14ac:dyDescent="0.15"/>
    <row r="9886" customFormat="1" ht="32.1" customHeight="1" x14ac:dyDescent="0.15"/>
    <row r="9887" customFormat="1" ht="32.1" customHeight="1" x14ac:dyDescent="0.15"/>
    <row r="9888" customFormat="1" ht="32.1" customHeight="1" x14ac:dyDescent="0.15"/>
    <row r="9889" s="76" customFormat="1" ht="32.1" customHeight="1" x14ac:dyDescent="0.15"/>
    <row r="9890" s="76" customFormat="1" ht="32.1" customHeight="1" x14ac:dyDescent="0.15"/>
    <row r="9891" s="76" customFormat="1" ht="32.1" customHeight="1" x14ac:dyDescent="0.15"/>
    <row r="9892" s="76" customFormat="1" ht="32.1" customHeight="1" x14ac:dyDescent="0.15"/>
    <row r="9893" s="76" customFormat="1" ht="21.95" customHeight="1" x14ac:dyDescent="0.15"/>
    <row r="9894" s="76" customFormat="1" ht="54" customHeight="1" x14ac:dyDescent="0.15"/>
    <row r="9895" s="76" customFormat="1" ht="21.95" customHeight="1" x14ac:dyDescent="0.15"/>
    <row r="9896" s="76" customFormat="1" ht="21.95" customHeight="1" x14ac:dyDescent="0.15"/>
    <row r="9897" s="76" customFormat="1" ht="21.95" customHeight="1" x14ac:dyDescent="0.15"/>
    <row r="9898" s="76" customFormat="1" ht="21.95" customHeight="1" x14ac:dyDescent="0.15"/>
    <row r="9899" s="76" customFormat="1" ht="21.95" customHeight="1" x14ac:dyDescent="0.15"/>
    <row r="9900" s="76" customFormat="1" ht="21.95" customHeight="1" x14ac:dyDescent="0.15"/>
    <row r="9901" s="76" customFormat="1" ht="21.95" customHeight="1" x14ac:dyDescent="0.15"/>
    <row r="9902" s="76" customFormat="1" ht="21.95" customHeight="1" x14ac:dyDescent="0.15"/>
    <row r="9903" s="76" customFormat="1" ht="21.95" customHeight="1" x14ac:dyDescent="0.15"/>
    <row r="9904" s="76" customFormat="1" ht="21.95" customHeight="1" x14ac:dyDescent="0.15"/>
    <row r="9905" s="76" customFormat="1" ht="21.95" customHeight="1" x14ac:dyDescent="0.15"/>
    <row r="9906" s="76" customFormat="1" ht="21.95" customHeight="1" x14ac:dyDescent="0.15"/>
    <row r="9907" s="76" customFormat="1" ht="21.95" customHeight="1" x14ac:dyDescent="0.15"/>
    <row r="9908" s="76" customFormat="1" ht="21.95" customHeight="1" x14ac:dyDescent="0.15"/>
    <row r="9909" s="76" customFormat="1" ht="21.95" customHeight="1" x14ac:dyDescent="0.15"/>
    <row r="9910" s="76" customFormat="1" ht="21.95" customHeight="1" x14ac:dyDescent="0.15"/>
    <row r="9911" s="76" customFormat="1" ht="21.95" customHeight="1" x14ac:dyDescent="0.15"/>
    <row r="9912" s="76" customFormat="1" ht="21.95" customHeight="1" x14ac:dyDescent="0.15"/>
    <row r="9913" s="76" customFormat="1" ht="21.95" customHeight="1" x14ac:dyDescent="0.15"/>
    <row r="9914" s="76" customFormat="1" ht="21.95" customHeight="1" x14ac:dyDescent="0.15"/>
    <row r="9915" s="76" customFormat="1" ht="21.95" customHeight="1" x14ac:dyDescent="0.15"/>
    <row r="9916" s="76" customFormat="1" ht="21.95" customHeight="1" x14ac:dyDescent="0.15"/>
    <row r="9917" s="76" customFormat="1" ht="21.95" customHeight="1" x14ac:dyDescent="0.15"/>
    <row r="9918" s="76" customFormat="1" ht="21.95" customHeight="1" x14ac:dyDescent="0.15"/>
    <row r="9919" s="76" customFormat="1" ht="21.95" customHeight="1" x14ac:dyDescent="0.15"/>
    <row r="9920" s="76" customFormat="1" ht="21.95" customHeight="1" x14ac:dyDescent="0.15"/>
    <row r="9921" s="76" customFormat="1" ht="21.95" customHeight="1" x14ac:dyDescent="0.15"/>
    <row r="9922" s="76" customFormat="1" ht="21.95" customHeight="1" x14ac:dyDescent="0.15"/>
    <row r="9923" s="76" customFormat="1" ht="21.95" customHeight="1" x14ac:dyDescent="0.15"/>
    <row r="9924" s="76" customFormat="1" ht="21.95" customHeight="1" x14ac:dyDescent="0.15"/>
    <row r="9925" s="76" customFormat="1" ht="21.95" customHeight="1" x14ac:dyDescent="0.15"/>
    <row r="9926" s="76" customFormat="1" ht="21.95" customHeight="1" x14ac:dyDescent="0.15"/>
    <row r="9927" s="76" customFormat="1" ht="21.95" customHeight="1" x14ac:dyDescent="0.15"/>
    <row r="9928" s="76" customFormat="1" ht="21.95" customHeight="1" x14ac:dyDescent="0.15"/>
    <row r="9929" s="76" customFormat="1" ht="21.95" customHeight="1" x14ac:dyDescent="0.15"/>
    <row r="9930" s="76" customFormat="1" ht="21.95" customHeight="1" x14ac:dyDescent="0.15"/>
    <row r="9931" s="76" customFormat="1" ht="21.95" customHeight="1" x14ac:dyDescent="0.15"/>
    <row r="9932" s="76" customFormat="1" ht="21.95" customHeight="1" x14ac:dyDescent="0.15"/>
    <row r="9933" s="76" customFormat="1" ht="21.95" customHeight="1" x14ac:dyDescent="0.15"/>
    <row r="9934" s="76" customFormat="1" ht="21.95" customHeight="1" x14ac:dyDescent="0.15"/>
    <row r="9935" s="76" customFormat="1" ht="21.95" customHeight="1" x14ac:dyDescent="0.15"/>
    <row r="9936" s="76" customFormat="1" ht="21.95" customHeight="1" x14ac:dyDescent="0.15"/>
    <row r="9937" s="76" customFormat="1" ht="21.95" customHeight="1" x14ac:dyDescent="0.15"/>
    <row r="9938" s="76" customFormat="1" ht="21.95" customHeight="1" x14ac:dyDescent="0.15"/>
    <row r="9939" s="76" customFormat="1" ht="21.95" customHeight="1" x14ac:dyDescent="0.15"/>
    <row r="9940" s="76" customFormat="1" ht="21.95" customHeight="1" x14ac:dyDescent="0.15"/>
    <row r="9941" s="76" customFormat="1" ht="21.95" customHeight="1" x14ac:dyDescent="0.15"/>
    <row r="9942" s="76" customFormat="1" ht="21.95" customHeight="1" x14ac:dyDescent="0.15"/>
    <row r="9943" s="76" customFormat="1" ht="21.95" customHeight="1" x14ac:dyDescent="0.15"/>
    <row r="9944" s="76" customFormat="1" ht="21.95" customHeight="1" x14ac:dyDescent="0.15"/>
    <row r="9945" s="76" customFormat="1" ht="35.1" customHeight="1" x14ac:dyDescent="0.15"/>
    <row r="9946" s="76" customFormat="1" ht="21.95" customHeight="1" x14ac:dyDescent="0.15"/>
    <row r="9947" s="76" customFormat="1" ht="21.95" customHeight="1" x14ac:dyDescent="0.15"/>
    <row r="9948" s="76" customFormat="1" ht="21.95" customHeight="1" x14ac:dyDescent="0.15"/>
    <row r="9949" s="76" customFormat="1" ht="21.95" customHeight="1" x14ac:dyDescent="0.15"/>
    <row r="9950" s="76" customFormat="1" ht="21.95" customHeight="1" x14ac:dyDescent="0.15"/>
    <row r="9951" s="76" customFormat="1" ht="21.95" customHeight="1" x14ac:dyDescent="0.15"/>
    <row r="9952" s="76" customFormat="1" ht="21.95" customHeight="1" x14ac:dyDescent="0.15"/>
    <row r="9953" s="76" customFormat="1" ht="21.95" customHeight="1" x14ac:dyDescent="0.15"/>
    <row r="9954" s="76" customFormat="1" ht="21.95" customHeight="1" x14ac:dyDescent="0.15"/>
    <row r="9955" s="76" customFormat="1" ht="21.95" customHeight="1" x14ac:dyDescent="0.15"/>
    <row r="9956" s="76" customFormat="1" ht="21.95" customHeight="1" x14ac:dyDescent="0.15"/>
    <row r="9957" s="76" customFormat="1" ht="21.95" customHeight="1" x14ac:dyDescent="0.15"/>
    <row r="9958" s="76" customFormat="1" ht="21.95" customHeight="1" x14ac:dyDescent="0.15"/>
    <row r="9959" s="76" customFormat="1" ht="21.95" customHeight="1" x14ac:dyDescent="0.15"/>
    <row r="9960" s="76" customFormat="1" ht="21.95" customHeight="1" x14ac:dyDescent="0.15"/>
    <row r="9961" s="76" customFormat="1" ht="21.95" customHeight="1" x14ac:dyDescent="0.15"/>
    <row r="9962" s="76" customFormat="1" ht="21.95" customHeight="1" x14ac:dyDescent="0.15"/>
    <row r="9963" s="76" customFormat="1" ht="21.95" customHeight="1" x14ac:dyDescent="0.15"/>
    <row r="9964" s="76" customFormat="1" ht="21.95" customHeight="1" x14ac:dyDescent="0.15"/>
    <row r="9965" s="76" customFormat="1" ht="21.95" customHeight="1" x14ac:dyDescent="0.15"/>
    <row r="9966" s="76" customFormat="1" ht="21.95" customHeight="1" x14ac:dyDescent="0.15"/>
    <row r="9967" s="76" customFormat="1" ht="21.95" customHeight="1" x14ac:dyDescent="0.15"/>
    <row r="9968" s="76" customFormat="1" ht="21.95" customHeight="1" x14ac:dyDescent="0.15"/>
    <row r="9969" spans="3:3" customFormat="1" ht="21.95" customHeight="1" x14ac:dyDescent="0.15"/>
    <row r="9970" spans="3:3" customFormat="1" ht="21.95" customHeight="1" x14ac:dyDescent="0.15"/>
    <row r="9971" spans="3:3" customFormat="1" ht="21.95" customHeight="1" x14ac:dyDescent="0.15">
      <c r="C9971" s="94"/>
    </row>
    <row r="9972" spans="3:3" customFormat="1" ht="21.95" customHeight="1" x14ac:dyDescent="0.15">
      <c r="C9972" s="94"/>
    </row>
    <row r="9973" spans="3:3" customFormat="1" ht="21.95" customHeight="1" x14ac:dyDescent="0.15"/>
    <row r="9974" spans="3:3" customFormat="1" ht="21.95" customHeight="1" x14ac:dyDescent="0.15"/>
    <row r="9975" spans="3:3" customFormat="1" ht="21.95" customHeight="1" x14ac:dyDescent="0.15"/>
    <row r="9976" spans="3:3" customFormat="1" ht="21.95" customHeight="1" x14ac:dyDescent="0.15"/>
    <row r="9977" spans="3:3" customFormat="1" ht="21.95" customHeight="1" x14ac:dyDescent="0.15"/>
    <row r="9978" spans="3:3" customFormat="1" ht="21.95" customHeight="1" x14ac:dyDescent="0.15"/>
    <row r="9979" spans="3:3" customFormat="1" ht="21.95" customHeight="1" x14ac:dyDescent="0.15"/>
    <row r="9980" spans="3:3" s="76" customFormat="1" ht="21.95" customHeight="1" x14ac:dyDescent="0.15"/>
    <row r="9981" spans="3:3" s="76" customFormat="1" ht="21.95" customHeight="1" x14ac:dyDescent="0.15"/>
    <row r="9982" spans="3:3" s="76" customFormat="1" ht="21.95" customHeight="1" x14ac:dyDescent="0.15"/>
    <row r="9983" spans="3:3" s="76" customFormat="1" ht="21.95" customHeight="1" x14ac:dyDescent="0.15"/>
    <row r="9984" spans="3:3" customFormat="1" ht="21.95" customHeight="1" x14ac:dyDescent="0.15"/>
    <row r="9985" customFormat="1" ht="21.95" customHeight="1" x14ac:dyDescent="0.15"/>
    <row r="9986" customFormat="1" ht="21.95" customHeight="1" x14ac:dyDescent="0.15"/>
    <row r="9987" customFormat="1" ht="21.95" customHeight="1" x14ac:dyDescent="0.15"/>
    <row r="9988" customFormat="1" ht="21.95" customHeight="1" x14ac:dyDescent="0.15"/>
    <row r="9989" customFormat="1" ht="21.95" customHeight="1" x14ac:dyDescent="0.15"/>
    <row r="9990" customFormat="1" ht="21.95" customHeight="1" x14ac:dyDescent="0.15"/>
    <row r="9991" customFormat="1" ht="21.95" customHeight="1" x14ac:dyDescent="0.15"/>
    <row r="9992" customFormat="1" ht="21.95" customHeight="1" x14ac:dyDescent="0.15"/>
    <row r="9993" customFormat="1" ht="21.95" customHeight="1" x14ac:dyDescent="0.15"/>
    <row r="9994" customFormat="1" ht="21.95" customHeight="1" x14ac:dyDescent="0.15"/>
    <row r="9995" customFormat="1" ht="32.1" customHeight="1" x14ac:dyDescent="0.15"/>
    <row r="9996" customFormat="1" ht="32.1" customHeight="1" x14ac:dyDescent="0.15"/>
    <row r="9997" customFormat="1" ht="32.1" customHeight="1" x14ac:dyDescent="0.15"/>
    <row r="9998" customFormat="1" ht="32.1" customHeight="1" x14ac:dyDescent="0.15"/>
    <row r="9999" customFormat="1" ht="32.1" customHeight="1" x14ac:dyDescent="0.15"/>
    <row r="10000" customFormat="1" ht="32.1" customHeight="1" x14ac:dyDescent="0.15"/>
    <row r="10001" s="76" customFormat="1" ht="32.1" customHeight="1" x14ac:dyDescent="0.15"/>
    <row r="10002" s="76" customFormat="1" ht="32.1" customHeight="1" x14ac:dyDescent="0.15"/>
    <row r="10003" s="76" customFormat="1" ht="32.1" customHeight="1" x14ac:dyDescent="0.15"/>
    <row r="10004" s="76" customFormat="1" ht="32.1" customHeight="1" x14ac:dyDescent="0.15"/>
    <row r="10005" s="76" customFormat="1" ht="21.95" customHeight="1" x14ac:dyDescent="0.15"/>
    <row r="10006" s="76" customFormat="1" ht="54" customHeight="1" x14ac:dyDescent="0.15"/>
    <row r="10007" s="76" customFormat="1" ht="21.95" customHeight="1" x14ac:dyDescent="0.15"/>
    <row r="10008" s="76" customFormat="1" ht="21.95" customHeight="1" x14ac:dyDescent="0.15"/>
    <row r="10009" s="76" customFormat="1" ht="21.95" customHeight="1" x14ac:dyDescent="0.15"/>
    <row r="10010" s="76" customFormat="1" ht="21.95" customHeight="1" x14ac:dyDescent="0.15"/>
    <row r="10011" s="76" customFormat="1" ht="21.95" customHeight="1" x14ac:dyDescent="0.15"/>
    <row r="10012" s="76" customFormat="1" ht="21.95" customHeight="1" x14ac:dyDescent="0.15"/>
    <row r="10013" s="76" customFormat="1" ht="21.95" customHeight="1" x14ac:dyDescent="0.15"/>
    <row r="10014" s="76" customFormat="1" ht="21.95" customHeight="1" x14ac:dyDescent="0.15"/>
    <row r="10015" s="76" customFormat="1" ht="21.95" customHeight="1" x14ac:dyDescent="0.15"/>
    <row r="10016" s="76" customFormat="1" ht="21.95" customHeight="1" x14ac:dyDescent="0.15"/>
    <row r="10017" s="76" customFormat="1" ht="21.95" customHeight="1" x14ac:dyDescent="0.15"/>
    <row r="10018" s="76" customFormat="1" ht="21.95" customHeight="1" x14ac:dyDescent="0.15"/>
    <row r="10019" s="76" customFormat="1" ht="21.95" customHeight="1" x14ac:dyDescent="0.15"/>
    <row r="10020" s="76" customFormat="1" ht="21.95" customHeight="1" x14ac:dyDescent="0.15"/>
    <row r="10021" s="76" customFormat="1" ht="21.95" customHeight="1" x14ac:dyDescent="0.15"/>
    <row r="10022" s="76" customFormat="1" ht="21.95" customHeight="1" x14ac:dyDescent="0.15"/>
    <row r="10023" s="76" customFormat="1" ht="21.95" customHeight="1" x14ac:dyDescent="0.15"/>
    <row r="10024" s="76" customFormat="1" ht="21.95" customHeight="1" x14ac:dyDescent="0.15"/>
    <row r="10025" s="76" customFormat="1" ht="21.95" customHeight="1" x14ac:dyDescent="0.15"/>
    <row r="10026" s="76" customFormat="1" ht="21.95" customHeight="1" x14ac:dyDescent="0.15"/>
    <row r="10027" s="76" customFormat="1" ht="21.95" customHeight="1" x14ac:dyDescent="0.15"/>
    <row r="10028" s="76" customFormat="1" ht="21.95" customHeight="1" x14ac:dyDescent="0.15"/>
    <row r="10029" s="76" customFormat="1" ht="21.95" customHeight="1" x14ac:dyDescent="0.15"/>
    <row r="10030" s="76" customFormat="1" ht="21.95" customHeight="1" x14ac:dyDescent="0.15"/>
    <row r="10031" s="76" customFormat="1" ht="21.95" customHeight="1" x14ac:dyDescent="0.15"/>
    <row r="10032" s="76" customFormat="1" ht="21.95" customHeight="1" x14ac:dyDescent="0.15"/>
    <row r="10033" s="76" customFormat="1" ht="21.95" customHeight="1" x14ac:dyDescent="0.15"/>
    <row r="10034" s="76" customFormat="1" ht="21.95" customHeight="1" x14ac:dyDescent="0.15"/>
    <row r="10035" s="76" customFormat="1" ht="21.95" customHeight="1" x14ac:dyDescent="0.15"/>
    <row r="10036" s="76" customFormat="1" ht="21.95" customHeight="1" x14ac:dyDescent="0.15"/>
    <row r="10037" s="76" customFormat="1" ht="21.95" customHeight="1" x14ac:dyDescent="0.15"/>
    <row r="10038" s="76" customFormat="1" ht="21.95" customHeight="1" x14ac:dyDescent="0.15"/>
    <row r="10039" s="76" customFormat="1" ht="21.95" customHeight="1" x14ac:dyDescent="0.15"/>
    <row r="10040" s="76" customFormat="1" ht="21.95" customHeight="1" x14ac:dyDescent="0.15"/>
    <row r="10041" s="76" customFormat="1" ht="21.95" customHeight="1" x14ac:dyDescent="0.15"/>
    <row r="10042" s="76" customFormat="1" ht="21.95" customHeight="1" x14ac:dyDescent="0.15"/>
    <row r="10043" s="76" customFormat="1" ht="21.95" customHeight="1" x14ac:dyDescent="0.15"/>
    <row r="10044" s="76" customFormat="1" ht="21.95" customHeight="1" x14ac:dyDescent="0.15"/>
    <row r="10045" s="76" customFormat="1" ht="21.95" customHeight="1" x14ac:dyDescent="0.15"/>
    <row r="10046" s="76" customFormat="1" ht="21.95" customHeight="1" x14ac:dyDescent="0.15"/>
    <row r="10047" s="76" customFormat="1" ht="21.95" customHeight="1" x14ac:dyDescent="0.15"/>
    <row r="10048" s="76" customFormat="1" ht="21.95" customHeight="1" x14ac:dyDescent="0.15"/>
    <row r="10049" s="76" customFormat="1" ht="21.95" customHeight="1" x14ac:dyDescent="0.15"/>
    <row r="10050" s="76" customFormat="1" ht="21.95" customHeight="1" x14ac:dyDescent="0.15"/>
    <row r="10051" s="76" customFormat="1" ht="21.95" customHeight="1" x14ac:dyDescent="0.15"/>
    <row r="10052" s="76" customFormat="1" ht="21.95" customHeight="1" x14ac:dyDescent="0.15"/>
    <row r="10053" s="76" customFormat="1" ht="21.95" customHeight="1" x14ac:dyDescent="0.15"/>
    <row r="10054" s="76" customFormat="1" ht="21.95" customHeight="1" x14ac:dyDescent="0.15"/>
    <row r="10055" s="76" customFormat="1" ht="21.95" customHeight="1" x14ac:dyDescent="0.15"/>
    <row r="10056" s="76" customFormat="1" ht="21.95" customHeight="1" x14ac:dyDescent="0.15"/>
    <row r="10057" s="76" customFormat="1" ht="35.1" customHeight="1" x14ac:dyDescent="0.15"/>
    <row r="10058" s="76" customFormat="1" ht="21.95" customHeight="1" x14ac:dyDescent="0.15"/>
    <row r="10059" s="76" customFormat="1" ht="21.95" customHeight="1" x14ac:dyDescent="0.15"/>
    <row r="10060" s="76" customFormat="1" ht="21.95" customHeight="1" x14ac:dyDescent="0.15"/>
    <row r="10061" s="76" customFormat="1" ht="21.95" customHeight="1" x14ac:dyDescent="0.15"/>
    <row r="10062" s="76" customFormat="1" ht="21.95" customHeight="1" x14ac:dyDescent="0.15"/>
    <row r="10063" s="76" customFormat="1" ht="21.95" customHeight="1" x14ac:dyDescent="0.15"/>
    <row r="10064" s="76" customFormat="1" ht="21.95" customHeight="1" x14ac:dyDescent="0.15"/>
    <row r="10065" s="76" customFormat="1" ht="21.95" customHeight="1" x14ac:dyDescent="0.15"/>
    <row r="10066" s="76" customFormat="1" ht="21.95" customHeight="1" x14ac:dyDescent="0.15"/>
    <row r="10067" s="76" customFormat="1" ht="21.95" customHeight="1" x14ac:dyDescent="0.15"/>
    <row r="10068" s="76" customFormat="1" ht="21.95" customHeight="1" x14ac:dyDescent="0.15"/>
    <row r="10069" s="76" customFormat="1" ht="21.95" customHeight="1" x14ac:dyDescent="0.15"/>
    <row r="10070" s="76" customFormat="1" ht="21.95" customHeight="1" x14ac:dyDescent="0.15"/>
    <row r="10071" s="76" customFormat="1" ht="21.95" customHeight="1" x14ac:dyDescent="0.15"/>
    <row r="10072" s="76" customFormat="1" ht="21.95" customHeight="1" x14ac:dyDescent="0.15"/>
    <row r="10073" s="76" customFormat="1" ht="21.95" customHeight="1" x14ac:dyDescent="0.15"/>
    <row r="10074" s="76" customFormat="1" ht="21.95" customHeight="1" x14ac:dyDescent="0.15"/>
    <row r="10075" s="76" customFormat="1" ht="21.95" customHeight="1" x14ac:dyDescent="0.15"/>
    <row r="10076" s="76" customFormat="1" ht="21.95" customHeight="1" x14ac:dyDescent="0.15"/>
    <row r="10077" s="76" customFormat="1" ht="21.95" customHeight="1" x14ac:dyDescent="0.15"/>
    <row r="10078" s="76" customFormat="1" ht="21.95" customHeight="1" x14ac:dyDescent="0.15"/>
    <row r="10079" s="76" customFormat="1" ht="21.95" customHeight="1" x14ac:dyDescent="0.15"/>
    <row r="10080" s="76" customFormat="1" ht="21.95" customHeight="1" x14ac:dyDescent="0.15"/>
    <row r="10081" spans="3:3" customFormat="1" ht="21.95" customHeight="1" x14ac:dyDescent="0.15"/>
    <row r="10082" spans="3:3" customFormat="1" ht="21.95" customHeight="1" x14ac:dyDescent="0.15"/>
    <row r="10083" spans="3:3" customFormat="1" ht="21.95" customHeight="1" x14ac:dyDescent="0.15">
      <c r="C10083" s="94"/>
    </row>
    <row r="10084" spans="3:3" customFormat="1" ht="21.95" customHeight="1" x14ac:dyDescent="0.15">
      <c r="C10084" s="94"/>
    </row>
    <row r="10085" spans="3:3" customFormat="1" ht="21.95" customHeight="1" x14ac:dyDescent="0.15"/>
    <row r="10086" spans="3:3" customFormat="1" ht="21.95" customHeight="1" x14ac:dyDescent="0.15"/>
    <row r="10087" spans="3:3" customFormat="1" ht="21.95" customHeight="1" x14ac:dyDescent="0.15"/>
    <row r="10088" spans="3:3" customFormat="1" ht="21.95" customHeight="1" x14ac:dyDescent="0.15"/>
    <row r="10089" spans="3:3" customFormat="1" ht="21.95" customHeight="1" x14ac:dyDescent="0.15"/>
    <row r="10090" spans="3:3" customFormat="1" ht="21.95" customHeight="1" x14ac:dyDescent="0.15"/>
    <row r="10091" spans="3:3" customFormat="1" ht="21.95" customHeight="1" x14ac:dyDescent="0.15"/>
    <row r="10092" spans="3:3" s="76" customFormat="1" ht="21.95" customHeight="1" x14ac:dyDescent="0.15"/>
    <row r="10093" spans="3:3" s="76" customFormat="1" ht="21.95" customHeight="1" x14ac:dyDescent="0.15"/>
    <row r="10094" spans="3:3" s="76" customFormat="1" ht="21.95" customHeight="1" x14ac:dyDescent="0.15"/>
    <row r="10095" spans="3:3" s="76" customFormat="1" ht="21.95" customHeight="1" x14ac:dyDescent="0.15"/>
    <row r="10096" spans="3:3" customFormat="1" ht="21.95" customHeight="1" x14ac:dyDescent="0.15"/>
    <row r="10097" customFormat="1" ht="21.95" customHeight="1" x14ac:dyDescent="0.15"/>
    <row r="10098" customFormat="1" ht="21.95" customHeight="1" x14ac:dyDescent="0.15"/>
    <row r="10099" customFormat="1" ht="21.95" customHeight="1" x14ac:dyDescent="0.15"/>
    <row r="10100" customFormat="1" ht="21.95" customHeight="1" x14ac:dyDescent="0.15"/>
    <row r="10101" customFormat="1" ht="21.95" customHeight="1" x14ac:dyDescent="0.15"/>
    <row r="10102" customFormat="1" ht="21.95" customHeight="1" x14ac:dyDescent="0.15"/>
    <row r="10103" customFormat="1" ht="21.95" customHeight="1" x14ac:dyDescent="0.15"/>
    <row r="10104" customFormat="1" ht="21.95" customHeight="1" x14ac:dyDescent="0.15"/>
    <row r="10105" customFormat="1" ht="21.95" customHeight="1" x14ac:dyDescent="0.15"/>
    <row r="10106" customFormat="1" ht="21.95" customHeight="1" x14ac:dyDescent="0.15"/>
    <row r="10107" customFormat="1" ht="32.1" customHeight="1" x14ac:dyDescent="0.15"/>
    <row r="10108" customFormat="1" ht="32.1" customHeight="1" x14ac:dyDescent="0.15"/>
    <row r="10109" customFormat="1" ht="32.1" customHeight="1" x14ac:dyDescent="0.15"/>
    <row r="10110" customFormat="1" ht="32.1" customHeight="1" x14ac:dyDescent="0.15"/>
    <row r="10111" customFormat="1" ht="32.1" customHeight="1" x14ac:dyDescent="0.15"/>
    <row r="10112" customFormat="1" ht="32.1" customHeight="1" x14ac:dyDescent="0.15"/>
    <row r="10113" s="76" customFormat="1" ht="32.1" customHeight="1" x14ac:dyDescent="0.15"/>
    <row r="10114" s="76" customFormat="1" ht="32.1" customHeight="1" x14ac:dyDescent="0.15"/>
    <row r="10115" s="76" customFormat="1" ht="32.1" customHeight="1" x14ac:dyDescent="0.15"/>
    <row r="10116" s="76" customFormat="1" ht="32.1" customHeight="1" x14ac:dyDescent="0.15"/>
    <row r="10117" s="76" customFormat="1" ht="21.95" customHeight="1" x14ac:dyDescent="0.15"/>
    <row r="10118" s="76" customFormat="1" ht="54" customHeight="1" x14ac:dyDescent="0.15"/>
    <row r="10119" s="76" customFormat="1" ht="21.95" customHeight="1" x14ac:dyDescent="0.15"/>
    <row r="10120" s="76" customFormat="1" ht="21.95" customHeight="1" x14ac:dyDescent="0.15"/>
    <row r="10121" s="76" customFormat="1" ht="21.95" customHeight="1" x14ac:dyDescent="0.15"/>
    <row r="10122" s="76" customFormat="1" ht="21.95" customHeight="1" x14ac:dyDescent="0.15"/>
    <row r="10123" s="76" customFormat="1" ht="21.95" customHeight="1" x14ac:dyDescent="0.15"/>
    <row r="10124" s="76" customFormat="1" ht="21.95" customHeight="1" x14ac:dyDescent="0.15"/>
    <row r="10125" s="76" customFormat="1" ht="21.95" customHeight="1" x14ac:dyDescent="0.15"/>
    <row r="10126" s="76" customFormat="1" ht="21.95" customHeight="1" x14ac:dyDescent="0.15"/>
    <row r="10127" s="76" customFormat="1" ht="21.95" customHeight="1" x14ac:dyDescent="0.15"/>
    <row r="10128" s="76" customFormat="1" ht="21.95" customHeight="1" x14ac:dyDescent="0.15"/>
    <row r="10129" s="76" customFormat="1" ht="21.95" customHeight="1" x14ac:dyDescent="0.15"/>
    <row r="10130" s="76" customFormat="1" ht="21.95" customHeight="1" x14ac:dyDescent="0.15"/>
    <row r="10131" s="76" customFormat="1" ht="21.95" customHeight="1" x14ac:dyDescent="0.15"/>
    <row r="10132" s="76" customFormat="1" ht="21.95" customHeight="1" x14ac:dyDescent="0.15"/>
    <row r="10133" s="76" customFormat="1" ht="21.95" customHeight="1" x14ac:dyDescent="0.15"/>
    <row r="10134" s="76" customFormat="1" ht="21.95" customHeight="1" x14ac:dyDescent="0.15"/>
    <row r="10135" s="76" customFormat="1" ht="21.95" customHeight="1" x14ac:dyDescent="0.15"/>
    <row r="10136" s="76" customFormat="1" ht="21.95" customHeight="1" x14ac:dyDescent="0.15"/>
    <row r="10137" s="76" customFormat="1" ht="21.95" customHeight="1" x14ac:dyDescent="0.15"/>
    <row r="10138" s="76" customFormat="1" ht="21.95" customHeight="1" x14ac:dyDescent="0.15"/>
    <row r="10139" s="76" customFormat="1" ht="21.95" customHeight="1" x14ac:dyDescent="0.15"/>
    <row r="10140" s="76" customFormat="1" ht="21.95" customHeight="1" x14ac:dyDescent="0.15"/>
    <row r="10141" s="76" customFormat="1" ht="21.95" customHeight="1" x14ac:dyDescent="0.15"/>
    <row r="10142" s="76" customFormat="1" ht="21.95" customHeight="1" x14ac:dyDescent="0.15"/>
    <row r="10143" s="76" customFormat="1" ht="21.95" customHeight="1" x14ac:dyDescent="0.15"/>
    <row r="10144" s="76" customFormat="1" ht="21.95" customHeight="1" x14ac:dyDescent="0.15"/>
    <row r="10145" s="76" customFormat="1" ht="21.95" customHeight="1" x14ac:dyDescent="0.15"/>
    <row r="10146" s="76" customFormat="1" ht="21.95" customHeight="1" x14ac:dyDescent="0.15"/>
    <row r="10147" s="76" customFormat="1" ht="21.95" customHeight="1" x14ac:dyDescent="0.15"/>
    <row r="10148" s="76" customFormat="1" ht="21.95" customHeight="1" x14ac:dyDescent="0.15"/>
    <row r="10149" s="76" customFormat="1" ht="21.95" customHeight="1" x14ac:dyDescent="0.15"/>
    <row r="10150" s="76" customFormat="1" ht="21.95" customHeight="1" x14ac:dyDescent="0.15"/>
    <row r="10151" s="76" customFormat="1" ht="21.95" customHeight="1" x14ac:dyDescent="0.15"/>
    <row r="10152" s="76" customFormat="1" ht="21.95" customHeight="1" x14ac:dyDescent="0.15"/>
    <row r="10153" s="76" customFormat="1" ht="21.95" customHeight="1" x14ac:dyDescent="0.15"/>
    <row r="10154" s="76" customFormat="1" ht="21.95" customHeight="1" x14ac:dyDescent="0.15"/>
    <row r="10155" s="76" customFormat="1" ht="21.95" customHeight="1" x14ac:dyDescent="0.15"/>
    <row r="10156" s="76" customFormat="1" ht="21.95" customHeight="1" x14ac:dyDescent="0.15"/>
    <row r="10157" s="76" customFormat="1" ht="21.95" customHeight="1" x14ac:dyDescent="0.15"/>
    <row r="10158" s="76" customFormat="1" ht="21.95" customHeight="1" x14ac:dyDescent="0.15"/>
    <row r="10159" s="76" customFormat="1" ht="21.95" customHeight="1" x14ac:dyDescent="0.15"/>
    <row r="10160" s="76" customFormat="1" ht="21.95" customHeight="1" x14ac:dyDescent="0.15"/>
    <row r="10161" s="76" customFormat="1" ht="21.95" customHeight="1" x14ac:dyDescent="0.15"/>
    <row r="10162" s="76" customFormat="1" ht="21.95" customHeight="1" x14ac:dyDescent="0.15"/>
    <row r="10163" s="76" customFormat="1" ht="21.95" customHeight="1" x14ac:dyDescent="0.15"/>
    <row r="10164" s="76" customFormat="1" ht="21.95" customHeight="1" x14ac:dyDescent="0.15"/>
    <row r="10165" s="76" customFormat="1" ht="21.95" customHeight="1" x14ac:dyDescent="0.15"/>
    <row r="10166" s="76" customFormat="1" ht="21.95" customHeight="1" x14ac:dyDescent="0.15"/>
    <row r="10167" s="76" customFormat="1" ht="21.95" customHeight="1" x14ac:dyDescent="0.15"/>
    <row r="10168" s="76" customFormat="1" ht="21.95" customHeight="1" x14ac:dyDescent="0.15"/>
    <row r="10169" s="76" customFormat="1" ht="35.1" customHeight="1" x14ac:dyDescent="0.15"/>
    <row r="10170" s="76" customFormat="1" ht="21.95" customHeight="1" x14ac:dyDescent="0.15"/>
    <row r="10171" s="76" customFormat="1" ht="21.95" customHeight="1" x14ac:dyDescent="0.15"/>
    <row r="10172" s="76" customFormat="1" ht="21.95" customHeight="1" x14ac:dyDescent="0.15"/>
    <row r="10173" s="76" customFormat="1" ht="21.95" customHeight="1" x14ac:dyDescent="0.15"/>
    <row r="10174" s="76" customFormat="1" ht="21.95" customHeight="1" x14ac:dyDescent="0.15"/>
    <row r="10175" s="76" customFormat="1" ht="21.95" customHeight="1" x14ac:dyDescent="0.15"/>
    <row r="10176" s="76" customFormat="1" ht="21.95" customHeight="1" x14ac:dyDescent="0.15"/>
    <row r="10177" s="76" customFormat="1" ht="21.95" customHeight="1" x14ac:dyDescent="0.15"/>
    <row r="10178" s="76" customFormat="1" ht="21.95" customHeight="1" x14ac:dyDescent="0.15"/>
    <row r="10179" s="76" customFormat="1" ht="21.95" customHeight="1" x14ac:dyDescent="0.15"/>
    <row r="10180" s="76" customFormat="1" ht="21.95" customHeight="1" x14ac:dyDescent="0.15"/>
    <row r="10181" s="76" customFormat="1" ht="21.95" customHeight="1" x14ac:dyDescent="0.15"/>
    <row r="10182" s="76" customFormat="1" ht="21.95" customHeight="1" x14ac:dyDescent="0.15"/>
    <row r="10183" s="76" customFormat="1" ht="21.95" customHeight="1" x14ac:dyDescent="0.15"/>
    <row r="10184" s="76" customFormat="1" ht="21.95" customHeight="1" x14ac:dyDescent="0.15"/>
    <row r="10185" s="76" customFormat="1" ht="21.95" customHeight="1" x14ac:dyDescent="0.15"/>
    <row r="10186" s="76" customFormat="1" ht="21.95" customHeight="1" x14ac:dyDescent="0.15"/>
    <row r="10187" s="76" customFormat="1" ht="21.95" customHeight="1" x14ac:dyDescent="0.15"/>
    <row r="10188" s="76" customFormat="1" ht="21.95" customHeight="1" x14ac:dyDescent="0.15"/>
    <row r="10189" s="76" customFormat="1" ht="21.95" customHeight="1" x14ac:dyDescent="0.15"/>
    <row r="10190" s="76" customFormat="1" ht="21.95" customHeight="1" x14ac:dyDescent="0.15"/>
    <row r="10191" s="76" customFormat="1" ht="21.95" customHeight="1" x14ac:dyDescent="0.15"/>
    <row r="10192" s="76" customFormat="1" ht="21.95" customHeight="1" x14ac:dyDescent="0.15"/>
    <row r="10193" spans="3:3" customFormat="1" ht="21.95" customHeight="1" x14ac:dyDescent="0.15"/>
    <row r="10194" spans="3:3" customFormat="1" ht="21.95" customHeight="1" x14ac:dyDescent="0.15"/>
    <row r="10195" spans="3:3" customFormat="1" ht="21.95" customHeight="1" x14ac:dyDescent="0.15">
      <c r="C10195" s="94"/>
    </row>
    <row r="10196" spans="3:3" customFormat="1" ht="21.95" customHeight="1" x14ac:dyDescent="0.15">
      <c r="C10196" s="94"/>
    </row>
    <row r="10197" spans="3:3" customFormat="1" ht="21.95" customHeight="1" x14ac:dyDescent="0.15"/>
    <row r="10198" spans="3:3" customFormat="1" ht="21.95" customHeight="1" x14ac:dyDescent="0.15"/>
    <row r="10199" spans="3:3" customFormat="1" ht="21.95" customHeight="1" x14ac:dyDescent="0.15"/>
    <row r="10200" spans="3:3" customFormat="1" ht="21.95" customHeight="1" x14ac:dyDescent="0.15"/>
    <row r="10201" spans="3:3" customFormat="1" ht="21.95" customHeight="1" x14ac:dyDescent="0.15"/>
    <row r="10202" spans="3:3" customFormat="1" ht="21.95" customHeight="1" x14ac:dyDescent="0.15"/>
    <row r="10203" spans="3:3" customFormat="1" ht="21.95" customHeight="1" x14ac:dyDescent="0.15"/>
    <row r="10204" spans="3:3" s="76" customFormat="1" ht="21.95" customHeight="1" x14ac:dyDescent="0.15"/>
    <row r="10205" spans="3:3" s="76" customFormat="1" ht="21.95" customHeight="1" x14ac:dyDescent="0.15"/>
    <row r="10206" spans="3:3" s="76" customFormat="1" ht="21.95" customHeight="1" x14ac:dyDescent="0.15"/>
    <row r="10207" spans="3:3" s="76" customFormat="1" ht="21.95" customHeight="1" x14ac:dyDescent="0.15"/>
    <row r="10208" spans="3:3" customFormat="1" ht="21.95" customHeight="1" x14ac:dyDescent="0.15"/>
    <row r="10209" customFormat="1" ht="21.95" customHeight="1" x14ac:dyDescent="0.15"/>
    <row r="10210" customFormat="1" ht="21.95" customHeight="1" x14ac:dyDescent="0.15"/>
    <row r="10211" customFormat="1" ht="21.95" customHeight="1" x14ac:dyDescent="0.15"/>
    <row r="10212" customFormat="1" ht="21.95" customHeight="1" x14ac:dyDescent="0.15"/>
    <row r="10213" customFormat="1" ht="21.95" customHeight="1" x14ac:dyDescent="0.15"/>
    <row r="10214" customFormat="1" ht="21.95" customHeight="1" x14ac:dyDescent="0.15"/>
    <row r="10215" customFormat="1" ht="21.95" customHeight="1" x14ac:dyDescent="0.15"/>
    <row r="10216" customFormat="1" ht="21.95" customHeight="1" x14ac:dyDescent="0.15"/>
    <row r="10217" customFormat="1" ht="21.95" customHeight="1" x14ac:dyDescent="0.15"/>
    <row r="10218" customFormat="1" ht="21.95" customHeight="1" x14ac:dyDescent="0.15"/>
    <row r="10219" customFormat="1" ht="32.1" customHeight="1" x14ac:dyDescent="0.15"/>
    <row r="10220" customFormat="1" ht="32.1" customHeight="1" x14ac:dyDescent="0.15"/>
    <row r="10221" customFormat="1" ht="32.1" customHeight="1" x14ac:dyDescent="0.15"/>
    <row r="10222" customFormat="1" ht="32.1" customHeight="1" x14ac:dyDescent="0.15"/>
    <row r="10223" customFormat="1" ht="32.1" customHeight="1" x14ac:dyDescent="0.15"/>
    <row r="10224" customFormat="1" ht="32.1" customHeight="1" x14ac:dyDescent="0.15"/>
    <row r="10225" s="76" customFormat="1" ht="32.1" customHeight="1" x14ac:dyDescent="0.15"/>
    <row r="10226" s="76" customFormat="1" ht="32.1" customHeight="1" x14ac:dyDescent="0.15"/>
    <row r="10227" s="76" customFormat="1" ht="32.1" customHeight="1" x14ac:dyDescent="0.15"/>
    <row r="10228" s="76" customFormat="1" ht="32.1" customHeight="1" x14ac:dyDescent="0.15"/>
    <row r="10229" s="76" customFormat="1" ht="21.95" customHeight="1" x14ac:dyDescent="0.15"/>
    <row r="10230" s="76" customFormat="1" ht="54" customHeight="1" x14ac:dyDescent="0.15"/>
    <row r="10231" s="76" customFormat="1" ht="21.95" customHeight="1" x14ac:dyDescent="0.15"/>
    <row r="10232" s="76" customFormat="1" ht="21.95" customHeight="1" x14ac:dyDescent="0.15"/>
    <row r="10233" s="76" customFormat="1" ht="21.95" customHeight="1" x14ac:dyDescent="0.15"/>
    <row r="10234" s="76" customFormat="1" ht="21.95" customHeight="1" x14ac:dyDescent="0.15"/>
    <row r="10235" s="76" customFormat="1" ht="21.95" customHeight="1" x14ac:dyDescent="0.15"/>
    <row r="10236" s="76" customFormat="1" ht="21.95" customHeight="1" x14ac:dyDescent="0.15"/>
    <row r="10237" s="76" customFormat="1" ht="21.95" customHeight="1" x14ac:dyDescent="0.15"/>
    <row r="10238" s="76" customFormat="1" ht="21.95" customHeight="1" x14ac:dyDescent="0.15"/>
    <row r="10239" s="76" customFormat="1" ht="21.95" customHeight="1" x14ac:dyDescent="0.15"/>
    <row r="10240" s="76" customFormat="1" ht="21.95" customHeight="1" x14ac:dyDescent="0.15"/>
    <row r="10241" s="76" customFormat="1" ht="21.95" customHeight="1" x14ac:dyDescent="0.15"/>
    <row r="10242" s="76" customFormat="1" ht="21.95" customHeight="1" x14ac:dyDescent="0.15"/>
    <row r="10243" s="76" customFormat="1" ht="21.95" customHeight="1" x14ac:dyDescent="0.15"/>
    <row r="10244" s="76" customFormat="1" ht="21.95" customHeight="1" x14ac:dyDescent="0.15"/>
    <row r="10245" s="76" customFormat="1" ht="21.95" customHeight="1" x14ac:dyDescent="0.15"/>
    <row r="10246" s="76" customFormat="1" ht="21.95" customHeight="1" x14ac:dyDescent="0.15"/>
    <row r="10247" s="76" customFormat="1" ht="21.95" customHeight="1" x14ac:dyDescent="0.15"/>
    <row r="10248" s="76" customFormat="1" ht="21.95" customHeight="1" x14ac:dyDescent="0.15"/>
    <row r="10249" s="76" customFormat="1" ht="21.95" customHeight="1" x14ac:dyDescent="0.15"/>
    <row r="10250" s="76" customFormat="1" ht="21.95" customHeight="1" x14ac:dyDescent="0.15"/>
    <row r="10251" s="76" customFormat="1" ht="21.95" customHeight="1" x14ac:dyDescent="0.15"/>
    <row r="10252" s="76" customFormat="1" ht="21.95" customHeight="1" x14ac:dyDescent="0.15"/>
    <row r="10253" s="76" customFormat="1" ht="21.95" customHeight="1" x14ac:dyDescent="0.15"/>
    <row r="10254" s="76" customFormat="1" ht="21.95" customHeight="1" x14ac:dyDescent="0.15"/>
    <row r="10255" s="76" customFormat="1" ht="21.95" customHeight="1" x14ac:dyDescent="0.15"/>
    <row r="10256" s="76" customFormat="1" ht="21.95" customHeight="1" x14ac:dyDescent="0.15"/>
    <row r="10257" s="76" customFormat="1" ht="21.95" customHeight="1" x14ac:dyDescent="0.15"/>
    <row r="10258" s="76" customFormat="1" ht="21.95" customHeight="1" x14ac:dyDescent="0.15"/>
    <row r="10259" s="76" customFormat="1" ht="21.95" customHeight="1" x14ac:dyDescent="0.15"/>
    <row r="10260" s="76" customFormat="1" ht="21.95" customHeight="1" x14ac:dyDescent="0.15"/>
    <row r="10261" s="76" customFormat="1" ht="21.95" customHeight="1" x14ac:dyDescent="0.15"/>
    <row r="10262" s="76" customFormat="1" ht="21.95" customHeight="1" x14ac:dyDescent="0.15"/>
    <row r="10263" s="76" customFormat="1" ht="21.95" customHeight="1" x14ac:dyDescent="0.15"/>
    <row r="10264" s="76" customFormat="1" ht="21.95" customHeight="1" x14ac:dyDescent="0.15"/>
    <row r="10265" s="76" customFormat="1" ht="21.95" customHeight="1" x14ac:dyDescent="0.15"/>
    <row r="10266" s="76" customFormat="1" ht="21.95" customHeight="1" x14ac:dyDescent="0.15"/>
    <row r="10267" s="76" customFormat="1" ht="21.95" customHeight="1" x14ac:dyDescent="0.15"/>
    <row r="10268" s="76" customFormat="1" ht="21.95" customHeight="1" x14ac:dyDescent="0.15"/>
    <row r="10269" s="76" customFormat="1" ht="21.95" customHeight="1" x14ac:dyDescent="0.15"/>
    <row r="10270" s="76" customFormat="1" ht="21.95" customHeight="1" x14ac:dyDescent="0.15"/>
    <row r="10271" s="76" customFormat="1" ht="21.95" customHeight="1" x14ac:dyDescent="0.15"/>
    <row r="10272" s="76" customFormat="1" ht="21.95" customHeight="1" x14ac:dyDescent="0.15"/>
    <row r="10273" s="76" customFormat="1" ht="21.95" customHeight="1" x14ac:dyDescent="0.15"/>
    <row r="10274" s="76" customFormat="1" ht="21.95" customHeight="1" x14ac:dyDescent="0.15"/>
    <row r="10275" s="76" customFormat="1" ht="21.95" customHeight="1" x14ac:dyDescent="0.15"/>
    <row r="10276" s="76" customFormat="1" ht="21.95" customHeight="1" x14ac:dyDescent="0.15"/>
    <row r="10277" s="76" customFormat="1" ht="21.95" customHeight="1" x14ac:dyDescent="0.15"/>
    <row r="10278" s="76" customFormat="1" ht="21.95" customHeight="1" x14ac:dyDescent="0.15"/>
    <row r="10279" s="76" customFormat="1" ht="21.95" customHeight="1" x14ac:dyDescent="0.15"/>
    <row r="10280" s="76" customFormat="1" ht="21.95" customHeight="1" x14ac:dyDescent="0.15"/>
    <row r="10281" s="76" customFormat="1" ht="35.1" customHeight="1" x14ac:dyDescent="0.15"/>
    <row r="10282" s="76" customFormat="1" ht="21.95" customHeight="1" x14ac:dyDescent="0.15"/>
    <row r="10283" s="76" customFormat="1" ht="21.95" customHeight="1" x14ac:dyDescent="0.15"/>
    <row r="10284" s="76" customFormat="1" ht="21.95" customHeight="1" x14ac:dyDescent="0.15"/>
    <row r="10285" s="76" customFormat="1" ht="21.95" customHeight="1" x14ac:dyDescent="0.15"/>
    <row r="10286" s="76" customFormat="1" ht="21.95" customHeight="1" x14ac:dyDescent="0.15"/>
    <row r="10287" s="76" customFormat="1" ht="21.95" customHeight="1" x14ac:dyDescent="0.15"/>
    <row r="10288" s="76" customFormat="1" ht="21.95" customHeight="1" x14ac:dyDescent="0.15"/>
    <row r="10289" s="76" customFormat="1" ht="21.95" customHeight="1" x14ac:dyDescent="0.15"/>
    <row r="10290" s="76" customFormat="1" ht="21.95" customHeight="1" x14ac:dyDescent="0.15"/>
    <row r="10291" s="76" customFormat="1" ht="21.95" customHeight="1" x14ac:dyDescent="0.15"/>
    <row r="10292" s="76" customFormat="1" ht="21.95" customHeight="1" x14ac:dyDescent="0.15"/>
    <row r="10293" s="76" customFormat="1" ht="21.95" customHeight="1" x14ac:dyDescent="0.15"/>
    <row r="10294" s="76" customFormat="1" ht="21.95" customHeight="1" x14ac:dyDescent="0.15"/>
    <row r="10295" s="76" customFormat="1" ht="21.95" customHeight="1" x14ac:dyDescent="0.15"/>
    <row r="10296" s="76" customFormat="1" ht="21.95" customHeight="1" x14ac:dyDescent="0.15"/>
    <row r="10297" s="76" customFormat="1" ht="21.95" customHeight="1" x14ac:dyDescent="0.15"/>
    <row r="10298" s="76" customFormat="1" ht="21.95" customHeight="1" x14ac:dyDescent="0.15"/>
    <row r="10299" s="76" customFormat="1" ht="21.95" customHeight="1" x14ac:dyDescent="0.15"/>
    <row r="10300" s="76" customFormat="1" ht="21.95" customHeight="1" x14ac:dyDescent="0.15"/>
    <row r="10301" s="76" customFormat="1" ht="21.95" customHeight="1" x14ac:dyDescent="0.15"/>
    <row r="10302" s="76" customFormat="1" ht="21.95" customHeight="1" x14ac:dyDescent="0.15"/>
    <row r="10303" s="76" customFormat="1" ht="21.95" customHeight="1" x14ac:dyDescent="0.15"/>
    <row r="10304" s="76" customFormat="1" ht="21.95" customHeight="1" x14ac:dyDescent="0.15"/>
    <row r="10305" spans="3:3" customFormat="1" ht="21.95" customHeight="1" x14ac:dyDescent="0.15"/>
    <row r="10306" spans="3:3" customFormat="1" ht="21.95" customHeight="1" x14ac:dyDescent="0.15"/>
    <row r="10307" spans="3:3" customFormat="1" ht="21.95" customHeight="1" x14ac:dyDescent="0.15">
      <c r="C10307" s="94"/>
    </row>
    <row r="10308" spans="3:3" customFormat="1" ht="21.95" customHeight="1" x14ac:dyDescent="0.15">
      <c r="C10308" s="94"/>
    </row>
    <row r="10309" spans="3:3" customFormat="1" ht="21.95" customHeight="1" x14ac:dyDescent="0.15"/>
    <row r="10310" spans="3:3" customFormat="1" ht="21.95" customHeight="1" x14ac:dyDescent="0.15"/>
    <row r="10311" spans="3:3" customFormat="1" ht="21.95" customHeight="1" x14ac:dyDescent="0.15"/>
    <row r="10312" spans="3:3" customFormat="1" ht="21.95" customHeight="1" x14ac:dyDescent="0.15"/>
    <row r="10313" spans="3:3" customFormat="1" ht="21.95" customHeight="1" x14ac:dyDescent="0.15"/>
    <row r="10314" spans="3:3" customFormat="1" ht="21.95" customHeight="1" x14ac:dyDescent="0.15"/>
    <row r="10315" spans="3:3" customFormat="1" ht="21.95" customHeight="1" x14ac:dyDescent="0.15"/>
    <row r="10316" spans="3:3" s="76" customFormat="1" ht="21.95" customHeight="1" x14ac:dyDescent="0.15"/>
    <row r="10317" spans="3:3" s="76" customFormat="1" ht="21.95" customHeight="1" x14ac:dyDescent="0.15"/>
    <row r="10318" spans="3:3" s="76" customFormat="1" ht="21.95" customHeight="1" x14ac:dyDescent="0.15"/>
    <row r="10319" spans="3:3" s="76" customFormat="1" ht="21.95" customHeight="1" x14ac:dyDescent="0.15"/>
    <row r="10320" spans="3:3" customFormat="1" ht="21.95" customHeight="1" x14ac:dyDescent="0.15"/>
    <row r="10321" customFormat="1" ht="21.95" customHeight="1" x14ac:dyDescent="0.15"/>
    <row r="10322" customFormat="1" ht="21.95" customHeight="1" x14ac:dyDescent="0.15"/>
    <row r="10323" customFormat="1" ht="21.95" customHeight="1" x14ac:dyDescent="0.15"/>
    <row r="10324" customFormat="1" ht="21.95" customHeight="1" x14ac:dyDescent="0.15"/>
    <row r="10325" customFormat="1" ht="21.95" customHeight="1" x14ac:dyDescent="0.15"/>
    <row r="10326" customFormat="1" ht="21.95" customHeight="1" x14ac:dyDescent="0.15"/>
    <row r="10327" customFormat="1" ht="21.95" customHeight="1" x14ac:dyDescent="0.15"/>
    <row r="10328" customFormat="1" ht="21.95" customHeight="1" x14ac:dyDescent="0.15"/>
    <row r="10329" customFormat="1" ht="21.95" customHeight="1" x14ac:dyDescent="0.15"/>
    <row r="10330" customFormat="1" ht="21.95" customHeight="1" x14ac:dyDescent="0.15"/>
    <row r="10331" customFormat="1" ht="32.1" customHeight="1" x14ac:dyDescent="0.15"/>
    <row r="10332" customFormat="1" ht="32.1" customHeight="1" x14ac:dyDescent="0.15"/>
    <row r="10333" customFormat="1" ht="32.1" customHeight="1" x14ac:dyDescent="0.15"/>
    <row r="10334" customFormat="1" ht="32.1" customHeight="1" x14ac:dyDescent="0.15"/>
    <row r="10335" customFormat="1" ht="32.1" customHeight="1" x14ac:dyDescent="0.15"/>
    <row r="10336" customFormat="1" ht="32.1" customHeight="1" x14ac:dyDescent="0.15"/>
    <row r="10337" s="76" customFormat="1" ht="32.1" customHeight="1" x14ac:dyDescent="0.15"/>
    <row r="10338" s="76" customFormat="1" ht="32.1" customHeight="1" x14ac:dyDescent="0.15"/>
    <row r="10339" s="76" customFormat="1" ht="32.1" customHeight="1" x14ac:dyDescent="0.15"/>
    <row r="10340" s="76" customFormat="1" ht="32.1" customHeight="1" x14ac:dyDescent="0.15"/>
    <row r="10341" s="76" customFormat="1" ht="21.95" customHeight="1" x14ac:dyDescent="0.15"/>
    <row r="10342" s="76" customFormat="1" ht="54" customHeight="1" x14ac:dyDescent="0.15"/>
    <row r="10343" s="76" customFormat="1" ht="21.95" customHeight="1" x14ac:dyDescent="0.15"/>
    <row r="10344" s="76" customFormat="1" ht="21.95" customHeight="1" x14ac:dyDescent="0.15"/>
    <row r="10345" s="76" customFormat="1" ht="21.95" customHeight="1" x14ac:dyDescent="0.15"/>
    <row r="10346" s="76" customFormat="1" ht="21.95" customHeight="1" x14ac:dyDescent="0.15"/>
    <row r="10347" s="76" customFormat="1" ht="21.95" customHeight="1" x14ac:dyDescent="0.15"/>
    <row r="10348" s="76" customFormat="1" ht="21.95" customHeight="1" x14ac:dyDescent="0.15"/>
    <row r="10349" s="76" customFormat="1" ht="21.95" customHeight="1" x14ac:dyDescent="0.15"/>
    <row r="10350" s="76" customFormat="1" ht="21.95" customHeight="1" x14ac:dyDescent="0.15"/>
    <row r="10351" s="76" customFormat="1" ht="21.95" customHeight="1" x14ac:dyDescent="0.15"/>
    <row r="10352" s="76" customFormat="1" ht="21.95" customHeight="1" x14ac:dyDescent="0.15"/>
    <row r="10353" s="76" customFormat="1" ht="21.95" customHeight="1" x14ac:dyDescent="0.15"/>
    <row r="10354" s="76" customFormat="1" ht="21.95" customHeight="1" x14ac:dyDescent="0.15"/>
    <row r="10355" s="76" customFormat="1" ht="21.95" customHeight="1" x14ac:dyDescent="0.15"/>
    <row r="10356" s="76" customFormat="1" ht="21.95" customHeight="1" x14ac:dyDescent="0.15"/>
    <row r="10357" s="76" customFormat="1" ht="21.95" customHeight="1" x14ac:dyDescent="0.15"/>
    <row r="10358" s="76" customFormat="1" ht="21.95" customHeight="1" x14ac:dyDescent="0.15"/>
    <row r="10359" s="76" customFormat="1" ht="21.95" customHeight="1" x14ac:dyDescent="0.15"/>
    <row r="10360" s="76" customFormat="1" ht="21.95" customHeight="1" x14ac:dyDescent="0.15"/>
    <row r="10361" s="76" customFormat="1" ht="21.95" customHeight="1" x14ac:dyDescent="0.15"/>
    <row r="10362" s="76" customFormat="1" ht="21.95" customHeight="1" x14ac:dyDescent="0.15"/>
    <row r="10363" s="76" customFormat="1" ht="21.95" customHeight="1" x14ac:dyDescent="0.15"/>
    <row r="10364" s="76" customFormat="1" ht="21.95" customHeight="1" x14ac:dyDescent="0.15"/>
    <row r="10365" s="76" customFormat="1" ht="21.95" customHeight="1" x14ac:dyDescent="0.15"/>
    <row r="10366" s="76" customFormat="1" ht="21.95" customHeight="1" x14ac:dyDescent="0.15"/>
    <row r="10367" s="76" customFormat="1" ht="21.95" customHeight="1" x14ac:dyDescent="0.15"/>
    <row r="10368" s="76" customFormat="1" ht="21.95" customHeight="1" x14ac:dyDescent="0.15"/>
    <row r="10369" s="76" customFormat="1" ht="21.95" customHeight="1" x14ac:dyDescent="0.15"/>
    <row r="10370" s="76" customFormat="1" ht="21.95" customHeight="1" x14ac:dyDescent="0.15"/>
    <row r="10371" s="76" customFormat="1" ht="21.95" customHeight="1" x14ac:dyDescent="0.15"/>
    <row r="10372" s="76" customFormat="1" ht="21.95" customHeight="1" x14ac:dyDescent="0.15"/>
    <row r="10373" s="76" customFormat="1" ht="21.95" customHeight="1" x14ac:dyDescent="0.15"/>
    <row r="10374" s="76" customFormat="1" ht="21.95" customHeight="1" x14ac:dyDescent="0.15"/>
    <row r="10375" s="76" customFormat="1" ht="21.95" customHeight="1" x14ac:dyDescent="0.15"/>
    <row r="10376" s="76" customFormat="1" ht="21.95" customHeight="1" x14ac:dyDescent="0.15"/>
    <row r="10377" s="76" customFormat="1" ht="21.95" customHeight="1" x14ac:dyDescent="0.15"/>
    <row r="10378" s="76" customFormat="1" ht="21.95" customHeight="1" x14ac:dyDescent="0.15"/>
    <row r="10379" s="76" customFormat="1" ht="21.95" customHeight="1" x14ac:dyDescent="0.15"/>
    <row r="10380" s="76" customFormat="1" ht="21.95" customHeight="1" x14ac:dyDescent="0.15"/>
    <row r="10381" s="76" customFormat="1" ht="21.95" customHeight="1" x14ac:dyDescent="0.15"/>
    <row r="10382" s="76" customFormat="1" ht="21.95" customHeight="1" x14ac:dyDescent="0.15"/>
    <row r="10383" s="76" customFormat="1" ht="21.95" customHeight="1" x14ac:dyDescent="0.15"/>
    <row r="10384" s="76" customFormat="1" ht="21.95" customHeight="1" x14ac:dyDescent="0.15"/>
    <row r="10385" s="76" customFormat="1" ht="21.95" customHeight="1" x14ac:dyDescent="0.15"/>
    <row r="10386" s="76" customFormat="1" ht="21.95" customHeight="1" x14ac:dyDescent="0.15"/>
    <row r="10387" s="76" customFormat="1" ht="21.95" customHeight="1" x14ac:dyDescent="0.15"/>
    <row r="10388" s="76" customFormat="1" ht="21.95" customHeight="1" x14ac:dyDescent="0.15"/>
    <row r="10389" s="76" customFormat="1" ht="21.95" customHeight="1" x14ac:dyDescent="0.15"/>
    <row r="10390" s="76" customFormat="1" ht="21.95" customHeight="1" x14ac:dyDescent="0.15"/>
    <row r="10391" s="76" customFormat="1" ht="21.95" customHeight="1" x14ac:dyDescent="0.15"/>
    <row r="10392" s="76" customFormat="1" ht="21.95" customHeight="1" x14ac:dyDescent="0.15"/>
    <row r="10393" s="76" customFormat="1" ht="35.1" customHeight="1" x14ac:dyDescent="0.15"/>
    <row r="10394" s="76" customFormat="1" ht="21.95" customHeight="1" x14ac:dyDescent="0.15"/>
    <row r="10395" s="76" customFormat="1" ht="21.95" customHeight="1" x14ac:dyDescent="0.15"/>
    <row r="10396" s="76" customFormat="1" ht="21.95" customHeight="1" x14ac:dyDescent="0.15"/>
    <row r="10397" s="76" customFormat="1" ht="21.95" customHeight="1" x14ac:dyDescent="0.15"/>
    <row r="10398" s="76" customFormat="1" ht="21.95" customHeight="1" x14ac:dyDescent="0.15"/>
    <row r="10399" s="76" customFormat="1" ht="21.95" customHeight="1" x14ac:dyDescent="0.15"/>
    <row r="10400" s="76" customFormat="1" ht="21.95" customHeight="1" x14ac:dyDescent="0.15"/>
    <row r="10401" s="76" customFormat="1" ht="21.95" customHeight="1" x14ac:dyDescent="0.15"/>
    <row r="10402" s="76" customFormat="1" ht="21.95" customHeight="1" x14ac:dyDescent="0.15"/>
    <row r="10403" s="76" customFormat="1" ht="21.95" customHeight="1" x14ac:dyDescent="0.15"/>
    <row r="10404" s="76" customFormat="1" ht="21.95" customHeight="1" x14ac:dyDescent="0.15"/>
    <row r="10405" s="76" customFormat="1" ht="21.95" customHeight="1" x14ac:dyDescent="0.15"/>
    <row r="10406" s="76" customFormat="1" ht="21.95" customHeight="1" x14ac:dyDescent="0.15"/>
    <row r="10407" s="76" customFormat="1" ht="21.95" customHeight="1" x14ac:dyDescent="0.15"/>
    <row r="10408" s="76" customFormat="1" ht="21.95" customHeight="1" x14ac:dyDescent="0.15"/>
    <row r="10409" s="76" customFormat="1" ht="21.95" customHeight="1" x14ac:dyDescent="0.15"/>
    <row r="10410" s="76" customFormat="1" ht="21.95" customHeight="1" x14ac:dyDescent="0.15"/>
    <row r="10411" s="76" customFormat="1" ht="21.95" customHeight="1" x14ac:dyDescent="0.15"/>
    <row r="10412" s="76" customFormat="1" ht="21.95" customHeight="1" x14ac:dyDescent="0.15"/>
    <row r="10413" s="76" customFormat="1" ht="21.95" customHeight="1" x14ac:dyDescent="0.15"/>
    <row r="10414" s="76" customFormat="1" ht="21.95" customHeight="1" x14ac:dyDescent="0.15"/>
    <row r="10415" s="76" customFormat="1" ht="21.95" customHeight="1" x14ac:dyDescent="0.15"/>
    <row r="10416" s="76" customFormat="1" ht="21.95" customHeight="1" x14ac:dyDescent="0.15"/>
    <row r="10417" spans="3:3" customFormat="1" ht="21.95" customHeight="1" x14ac:dyDescent="0.15"/>
    <row r="10418" spans="3:3" customFormat="1" ht="21.95" customHeight="1" x14ac:dyDescent="0.15"/>
    <row r="10419" spans="3:3" customFormat="1" ht="21.95" customHeight="1" x14ac:dyDescent="0.15">
      <c r="C10419" s="94"/>
    </row>
    <row r="10420" spans="3:3" customFormat="1" ht="21.95" customHeight="1" x14ac:dyDescent="0.15">
      <c r="C10420" s="94"/>
    </row>
    <row r="10421" spans="3:3" customFormat="1" ht="21.95" customHeight="1" x14ac:dyDescent="0.15"/>
    <row r="10422" spans="3:3" customFormat="1" ht="21.95" customHeight="1" x14ac:dyDescent="0.15"/>
    <row r="10423" spans="3:3" customFormat="1" ht="21.95" customHeight="1" x14ac:dyDescent="0.15"/>
    <row r="10424" spans="3:3" customFormat="1" ht="21.95" customHeight="1" x14ac:dyDescent="0.15"/>
    <row r="10425" spans="3:3" customFormat="1" ht="21.95" customHeight="1" x14ac:dyDescent="0.15"/>
    <row r="10426" spans="3:3" customFormat="1" ht="21.95" customHeight="1" x14ac:dyDescent="0.15"/>
    <row r="10427" spans="3:3" customFormat="1" ht="21.95" customHeight="1" x14ac:dyDescent="0.15"/>
    <row r="10428" spans="3:3" s="76" customFormat="1" ht="21.95" customHeight="1" x14ac:dyDescent="0.15"/>
    <row r="10429" spans="3:3" s="76" customFormat="1" ht="21.95" customHeight="1" x14ac:dyDescent="0.15"/>
    <row r="10430" spans="3:3" s="76" customFormat="1" ht="21.95" customHeight="1" x14ac:dyDescent="0.15"/>
    <row r="10431" spans="3:3" s="76" customFormat="1" ht="21.95" customHeight="1" x14ac:dyDescent="0.15"/>
    <row r="10432" spans="3:3" customFormat="1" ht="21.95" customHeight="1" x14ac:dyDescent="0.15"/>
    <row r="10433" customFormat="1" ht="21.95" customHeight="1" x14ac:dyDescent="0.15"/>
    <row r="10434" customFormat="1" ht="21.95" customHeight="1" x14ac:dyDescent="0.15"/>
    <row r="10435" customFormat="1" ht="21.95" customHeight="1" x14ac:dyDescent="0.15"/>
    <row r="10436" customFormat="1" ht="21.95" customHeight="1" x14ac:dyDescent="0.15"/>
    <row r="10437" customFormat="1" ht="21.95" customHeight="1" x14ac:dyDescent="0.15"/>
    <row r="10438" customFormat="1" ht="21.95" customHeight="1" x14ac:dyDescent="0.15"/>
    <row r="10439" customFormat="1" ht="21.95" customHeight="1" x14ac:dyDescent="0.15"/>
    <row r="10440" customFormat="1" ht="21.95" customHeight="1" x14ac:dyDescent="0.15"/>
    <row r="10441" customFormat="1" ht="21.95" customHeight="1" x14ac:dyDescent="0.15"/>
    <row r="10442" customFormat="1" ht="21.95" customHeight="1" x14ac:dyDescent="0.15"/>
    <row r="10443" customFormat="1" ht="32.1" customHeight="1" x14ac:dyDescent="0.15"/>
    <row r="10444" customFormat="1" ht="32.1" customHeight="1" x14ac:dyDescent="0.15"/>
    <row r="10445" customFormat="1" ht="32.1" customHeight="1" x14ac:dyDescent="0.15"/>
    <row r="10446" customFormat="1" ht="32.1" customHeight="1" x14ac:dyDescent="0.15"/>
    <row r="10447" customFormat="1" ht="32.1" customHeight="1" x14ac:dyDescent="0.15"/>
    <row r="10448" customFormat="1" ht="32.1" customHeight="1" x14ac:dyDescent="0.15"/>
    <row r="10449" s="76" customFormat="1" ht="32.1" customHeight="1" x14ac:dyDescent="0.15"/>
    <row r="10450" s="76" customFormat="1" ht="32.1" customHeight="1" x14ac:dyDescent="0.15"/>
    <row r="10451" s="76" customFormat="1" ht="32.1" customHeight="1" x14ac:dyDescent="0.15"/>
    <row r="10452" s="76" customFormat="1" ht="32.1" customHeight="1" x14ac:dyDescent="0.15"/>
    <row r="10453" s="76" customFormat="1" ht="21.95" customHeight="1" x14ac:dyDescent="0.15"/>
    <row r="10454" s="76" customFormat="1" ht="54" customHeight="1" x14ac:dyDescent="0.15"/>
    <row r="10455" s="76" customFormat="1" ht="21.95" customHeight="1" x14ac:dyDescent="0.15"/>
    <row r="10456" s="76" customFormat="1" ht="21.95" customHeight="1" x14ac:dyDescent="0.15"/>
    <row r="10457" s="76" customFormat="1" ht="21.95" customHeight="1" x14ac:dyDescent="0.15"/>
    <row r="10458" s="76" customFormat="1" ht="21.95" customHeight="1" x14ac:dyDescent="0.15"/>
    <row r="10459" s="76" customFormat="1" ht="21.95" customHeight="1" x14ac:dyDescent="0.15"/>
    <row r="10460" s="76" customFormat="1" ht="21.95" customHeight="1" x14ac:dyDescent="0.15"/>
    <row r="10461" s="76" customFormat="1" ht="21.95" customHeight="1" x14ac:dyDescent="0.15"/>
    <row r="10462" s="76" customFormat="1" ht="21.95" customHeight="1" x14ac:dyDescent="0.15"/>
    <row r="10463" s="76" customFormat="1" ht="21.95" customHeight="1" x14ac:dyDescent="0.15"/>
    <row r="10464" s="76" customFormat="1" ht="21.95" customHeight="1" x14ac:dyDescent="0.15"/>
    <row r="10465" s="76" customFormat="1" ht="21.95" customHeight="1" x14ac:dyDescent="0.15"/>
    <row r="10466" s="76" customFormat="1" ht="21.95" customHeight="1" x14ac:dyDescent="0.15"/>
    <row r="10467" s="76" customFormat="1" ht="21.95" customHeight="1" x14ac:dyDescent="0.15"/>
    <row r="10468" s="76" customFormat="1" ht="21.95" customHeight="1" x14ac:dyDescent="0.15"/>
    <row r="10469" s="76" customFormat="1" ht="21.95" customHeight="1" x14ac:dyDescent="0.15"/>
    <row r="10470" s="76" customFormat="1" ht="21.95" customHeight="1" x14ac:dyDescent="0.15"/>
    <row r="10471" s="76" customFormat="1" ht="21.95" customHeight="1" x14ac:dyDescent="0.15"/>
    <row r="10472" s="76" customFormat="1" ht="21.95" customHeight="1" x14ac:dyDescent="0.15"/>
    <row r="10473" s="76" customFormat="1" ht="21.95" customHeight="1" x14ac:dyDescent="0.15"/>
    <row r="10474" s="76" customFormat="1" ht="21.95" customHeight="1" x14ac:dyDescent="0.15"/>
    <row r="10475" s="76" customFormat="1" ht="21.95" customHeight="1" x14ac:dyDescent="0.15"/>
    <row r="10476" s="76" customFormat="1" ht="21.95" customHeight="1" x14ac:dyDescent="0.15"/>
    <row r="10477" s="76" customFormat="1" ht="21.95" customHeight="1" x14ac:dyDescent="0.15"/>
    <row r="10478" s="76" customFormat="1" ht="21.95" customHeight="1" x14ac:dyDescent="0.15"/>
    <row r="10479" s="76" customFormat="1" ht="21.95" customHeight="1" x14ac:dyDescent="0.15"/>
    <row r="10480" s="76" customFormat="1" ht="21.95" customHeight="1" x14ac:dyDescent="0.15"/>
    <row r="10481" s="76" customFormat="1" ht="21.95" customHeight="1" x14ac:dyDescent="0.15"/>
    <row r="10482" s="76" customFormat="1" ht="21.95" customHeight="1" x14ac:dyDescent="0.15"/>
    <row r="10483" s="76" customFormat="1" ht="21.95" customHeight="1" x14ac:dyDescent="0.15"/>
    <row r="10484" s="76" customFormat="1" ht="21.95" customHeight="1" x14ac:dyDescent="0.15"/>
    <row r="10485" s="76" customFormat="1" ht="21.95" customHeight="1" x14ac:dyDescent="0.15"/>
    <row r="10486" s="76" customFormat="1" ht="21.95" customHeight="1" x14ac:dyDescent="0.15"/>
    <row r="10487" s="76" customFormat="1" ht="21.95" customHeight="1" x14ac:dyDescent="0.15"/>
    <row r="10488" s="76" customFormat="1" ht="21.95" customHeight="1" x14ac:dyDescent="0.15"/>
    <row r="10489" s="76" customFormat="1" ht="21.95" customHeight="1" x14ac:dyDescent="0.15"/>
    <row r="10490" s="76" customFormat="1" ht="21.95" customHeight="1" x14ac:dyDescent="0.15"/>
    <row r="10491" s="76" customFormat="1" ht="21.95" customHeight="1" x14ac:dyDescent="0.15"/>
    <row r="10492" s="76" customFormat="1" ht="21.95" customHeight="1" x14ac:dyDescent="0.15"/>
    <row r="10493" s="76" customFormat="1" ht="21.95" customHeight="1" x14ac:dyDescent="0.15"/>
    <row r="10494" s="76" customFormat="1" ht="21.95" customHeight="1" x14ac:dyDescent="0.15"/>
    <row r="10495" s="76" customFormat="1" ht="21.95" customHeight="1" x14ac:dyDescent="0.15"/>
    <row r="10496" s="76" customFormat="1" ht="21.95" customHeight="1" x14ac:dyDescent="0.15"/>
    <row r="10497" s="76" customFormat="1" ht="21.95" customHeight="1" x14ac:dyDescent="0.15"/>
    <row r="10498" s="76" customFormat="1" ht="21.95" customHeight="1" x14ac:dyDescent="0.15"/>
    <row r="10499" s="76" customFormat="1" ht="21.95" customHeight="1" x14ac:dyDescent="0.15"/>
    <row r="10500" s="76" customFormat="1" ht="21.95" customHeight="1" x14ac:dyDescent="0.15"/>
    <row r="10501" s="76" customFormat="1" ht="21.95" customHeight="1" x14ac:dyDescent="0.15"/>
    <row r="10502" s="76" customFormat="1" ht="21.95" customHeight="1" x14ac:dyDescent="0.15"/>
    <row r="10503" s="76" customFormat="1" ht="21.95" customHeight="1" x14ac:dyDescent="0.15"/>
    <row r="10504" s="76" customFormat="1" ht="21.95" customHeight="1" x14ac:dyDescent="0.15"/>
    <row r="10505" s="76" customFormat="1" ht="35.1" customHeight="1" x14ac:dyDescent="0.15"/>
    <row r="10506" s="76" customFormat="1" ht="21.95" customHeight="1" x14ac:dyDescent="0.15"/>
    <row r="10507" s="76" customFormat="1" ht="21.95" customHeight="1" x14ac:dyDescent="0.15"/>
    <row r="10508" s="76" customFormat="1" ht="21.95" customHeight="1" x14ac:dyDescent="0.15"/>
    <row r="10509" s="76" customFormat="1" ht="21.95" customHeight="1" x14ac:dyDescent="0.15"/>
    <row r="10510" s="76" customFormat="1" ht="21.95" customHeight="1" x14ac:dyDescent="0.15"/>
    <row r="10511" s="76" customFormat="1" ht="21.95" customHeight="1" x14ac:dyDescent="0.15"/>
    <row r="10512" s="76" customFormat="1" ht="21.95" customHeight="1" x14ac:dyDescent="0.15"/>
    <row r="10513" s="76" customFormat="1" ht="21.95" customHeight="1" x14ac:dyDescent="0.15"/>
    <row r="10514" s="76" customFormat="1" ht="21.95" customHeight="1" x14ac:dyDescent="0.15"/>
    <row r="10515" s="76" customFormat="1" ht="21.95" customHeight="1" x14ac:dyDescent="0.15"/>
    <row r="10516" s="76" customFormat="1" ht="21.95" customHeight="1" x14ac:dyDescent="0.15"/>
    <row r="10517" s="76" customFormat="1" ht="21.95" customHeight="1" x14ac:dyDescent="0.15"/>
    <row r="10518" s="76" customFormat="1" ht="21.95" customHeight="1" x14ac:dyDescent="0.15"/>
    <row r="10519" s="76" customFormat="1" ht="21.95" customHeight="1" x14ac:dyDescent="0.15"/>
    <row r="10520" s="76" customFormat="1" ht="21.95" customHeight="1" x14ac:dyDescent="0.15"/>
    <row r="10521" s="76" customFormat="1" ht="21.95" customHeight="1" x14ac:dyDescent="0.15"/>
    <row r="10522" s="76" customFormat="1" ht="21.95" customHeight="1" x14ac:dyDescent="0.15"/>
    <row r="10523" s="76" customFormat="1" ht="21.95" customHeight="1" x14ac:dyDescent="0.15"/>
    <row r="10524" s="76" customFormat="1" ht="21.95" customHeight="1" x14ac:dyDescent="0.15"/>
    <row r="10525" s="76" customFormat="1" ht="21.95" customHeight="1" x14ac:dyDescent="0.15"/>
    <row r="10526" s="76" customFormat="1" ht="21.95" customHeight="1" x14ac:dyDescent="0.15"/>
    <row r="10527" s="76" customFormat="1" ht="21.95" customHeight="1" x14ac:dyDescent="0.15"/>
    <row r="10528" s="76" customFormat="1" ht="21.95" customHeight="1" x14ac:dyDescent="0.15"/>
    <row r="10529" spans="3:3" customFormat="1" ht="21.95" customHeight="1" x14ac:dyDescent="0.15"/>
    <row r="10530" spans="3:3" customFormat="1" ht="21.95" customHeight="1" x14ac:dyDescent="0.15"/>
    <row r="10531" spans="3:3" customFormat="1" ht="21.95" customHeight="1" x14ac:dyDescent="0.15">
      <c r="C10531" s="94"/>
    </row>
    <row r="10532" spans="3:3" customFormat="1" ht="21.95" customHeight="1" x14ac:dyDescent="0.15">
      <c r="C10532" s="94"/>
    </row>
    <row r="10533" spans="3:3" customFormat="1" ht="21.95" customHeight="1" x14ac:dyDescent="0.15"/>
    <row r="10534" spans="3:3" customFormat="1" ht="21.95" customHeight="1" x14ac:dyDescent="0.15"/>
    <row r="10535" spans="3:3" customFormat="1" ht="21.95" customHeight="1" x14ac:dyDescent="0.15"/>
    <row r="10536" spans="3:3" customFormat="1" ht="21.95" customHeight="1" x14ac:dyDescent="0.15"/>
    <row r="10537" spans="3:3" customFormat="1" ht="21.95" customHeight="1" x14ac:dyDescent="0.15"/>
    <row r="10538" spans="3:3" customFormat="1" ht="21.95" customHeight="1" x14ac:dyDescent="0.15"/>
    <row r="10539" spans="3:3" customFormat="1" ht="21.95" customHeight="1" x14ac:dyDescent="0.15"/>
    <row r="10540" spans="3:3" s="76" customFormat="1" ht="21.95" customHeight="1" x14ac:dyDescent="0.15"/>
    <row r="10541" spans="3:3" s="76" customFormat="1" ht="21.95" customHeight="1" x14ac:dyDescent="0.15"/>
    <row r="10542" spans="3:3" s="76" customFormat="1" ht="21.95" customHeight="1" x14ac:dyDescent="0.15"/>
    <row r="10543" spans="3:3" s="76" customFormat="1" ht="21.95" customHeight="1" x14ac:dyDescent="0.15"/>
    <row r="10544" spans="3:3" customFormat="1" ht="21.95" customHeight="1" x14ac:dyDescent="0.15"/>
    <row r="10545" customFormat="1" ht="21.95" customHeight="1" x14ac:dyDescent="0.15"/>
    <row r="10546" customFormat="1" ht="21.95" customHeight="1" x14ac:dyDescent="0.15"/>
    <row r="10547" customFormat="1" ht="21.95" customHeight="1" x14ac:dyDescent="0.15"/>
    <row r="10548" customFormat="1" ht="21.95" customHeight="1" x14ac:dyDescent="0.15"/>
    <row r="10549" customFormat="1" ht="21.95" customHeight="1" x14ac:dyDescent="0.15"/>
    <row r="10550" customFormat="1" ht="21.95" customHeight="1" x14ac:dyDescent="0.15"/>
    <row r="10551" customFormat="1" ht="21.95" customHeight="1" x14ac:dyDescent="0.15"/>
    <row r="10552" customFormat="1" ht="21.95" customHeight="1" x14ac:dyDescent="0.15"/>
    <row r="10553" customFormat="1" ht="21.95" customHeight="1" x14ac:dyDescent="0.15"/>
    <row r="10554" customFormat="1" ht="21.95" customHeight="1" x14ac:dyDescent="0.15"/>
    <row r="10555" customFormat="1" ht="32.1" customHeight="1" x14ac:dyDescent="0.15"/>
    <row r="10556" customFormat="1" ht="32.1" customHeight="1" x14ac:dyDescent="0.15"/>
    <row r="10557" customFormat="1" ht="32.1" customHeight="1" x14ac:dyDescent="0.15"/>
    <row r="10558" customFormat="1" ht="32.1" customHeight="1" x14ac:dyDescent="0.15"/>
    <row r="10559" customFormat="1" ht="32.1" customHeight="1" x14ac:dyDescent="0.15"/>
    <row r="10560" customFormat="1" ht="32.1" customHeight="1" x14ac:dyDescent="0.15"/>
    <row r="10561" s="76" customFormat="1" ht="32.1" customHeight="1" x14ac:dyDescent="0.15"/>
    <row r="10562" s="76" customFormat="1" ht="32.1" customHeight="1" x14ac:dyDescent="0.15"/>
    <row r="10563" s="76" customFormat="1" ht="32.1" customHeight="1" x14ac:dyDescent="0.15"/>
    <row r="10564" s="76" customFormat="1" ht="32.1" customHeight="1" x14ac:dyDescent="0.15"/>
    <row r="10565" s="76" customFormat="1" ht="21.95" customHeight="1" x14ac:dyDescent="0.15"/>
    <row r="10566" s="76" customFormat="1" ht="54" customHeight="1" x14ac:dyDescent="0.15"/>
    <row r="10567" s="76" customFormat="1" ht="21.95" customHeight="1" x14ac:dyDescent="0.15"/>
    <row r="10568" s="76" customFormat="1" ht="21.95" customHeight="1" x14ac:dyDescent="0.15"/>
    <row r="10569" s="76" customFormat="1" ht="21.95" customHeight="1" x14ac:dyDescent="0.15"/>
    <row r="10570" s="76" customFormat="1" ht="21.95" customHeight="1" x14ac:dyDescent="0.15"/>
    <row r="10571" s="76" customFormat="1" ht="21.95" customHeight="1" x14ac:dyDescent="0.15"/>
    <row r="10572" s="76" customFormat="1" ht="21.95" customHeight="1" x14ac:dyDescent="0.15"/>
    <row r="10573" s="76" customFormat="1" ht="21.95" customHeight="1" x14ac:dyDescent="0.15"/>
    <row r="10574" s="76" customFormat="1" ht="21.95" customHeight="1" x14ac:dyDescent="0.15"/>
    <row r="10575" s="76" customFormat="1" ht="21.95" customHeight="1" x14ac:dyDescent="0.15"/>
    <row r="10576" s="76" customFormat="1" ht="21.95" customHeight="1" x14ac:dyDescent="0.15"/>
    <row r="10577" s="76" customFormat="1" ht="21.95" customHeight="1" x14ac:dyDescent="0.15"/>
    <row r="10578" s="76" customFormat="1" ht="21.95" customHeight="1" x14ac:dyDescent="0.15"/>
    <row r="10579" s="76" customFormat="1" ht="21.95" customHeight="1" x14ac:dyDescent="0.15"/>
    <row r="10580" s="76" customFormat="1" ht="21.95" customHeight="1" x14ac:dyDescent="0.15"/>
    <row r="10581" s="76" customFormat="1" ht="21.95" customHeight="1" x14ac:dyDescent="0.15"/>
    <row r="10582" s="76" customFormat="1" ht="21.95" customHeight="1" x14ac:dyDescent="0.15"/>
    <row r="10583" s="76" customFormat="1" ht="21.95" customHeight="1" x14ac:dyDescent="0.15"/>
    <row r="10584" s="76" customFormat="1" ht="21.95" customHeight="1" x14ac:dyDescent="0.15"/>
    <row r="10585" s="76" customFormat="1" ht="21.95" customHeight="1" x14ac:dyDescent="0.15"/>
    <row r="10586" s="76" customFormat="1" ht="21.95" customHeight="1" x14ac:dyDescent="0.15"/>
    <row r="10587" s="76" customFormat="1" ht="21.95" customHeight="1" x14ac:dyDescent="0.15"/>
    <row r="10588" s="76" customFormat="1" ht="21.95" customHeight="1" x14ac:dyDescent="0.15"/>
    <row r="10589" s="76" customFormat="1" ht="21.95" customHeight="1" x14ac:dyDescent="0.15"/>
    <row r="10590" s="76" customFormat="1" ht="21.95" customHeight="1" x14ac:dyDescent="0.15"/>
    <row r="10591" s="76" customFormat="1" ht="21.95" customHeight="1" x14ac:dyDescent="0.15"/>
    <row r="10592" s="76" customFormat="1" ht="21.95" customHeight="1" x14ac:dyDescent="0.15"/>
    <row r="10593" s="76" customFormat="1" ht="21.95" customHeight="1" x14ac:dyDescent="0.15"/>
    <row r="10594" s="76" customFormat="1" ht="21.95" customHeight="1" x14ac:dyDescent="0.15"/>
    <row r="10595" s="76" customFormat="1" ht="21.95" customHeight="1" x14ac:dyDescent="0.15"/>
    <row r="10596" s="76" customFormat="1" ht="21.95" customHeight="1" x14ac:dyDescent="0.15"/>
    <row r="10597" s="76" customFormat="1" ht="21.95" customHeight="1" x14ac:dyDescent="0.15"/>
    <row r="10598" s="76" customFormat="1" ht="21.95" customHeight="1" x14ac:dyDescent="0.15"/>
    <row r="10599" s="76" customFormat="1" ht="21.95" customHeight="1" x14ac:dyDescent="0.15"/>
    <row r="10600" s="76" customFormat="1" ht="21.95" customHeight="1" x14ac:dyDescent="0.15"/>
    <row r="10601" s="76" customFormat="1" ht="21.95" customHeight="1" x14ac:dyDescent="0.15"/>
    <row r="10602" s="76" customFormat="1" ht="21.95" customHeight="1" x14ac:dyDescent="0.15"/>
    <row r="10603" s="76" customFormat="1" ht="21.95" customHeight="1" x14ac:dyDescent="0.15"/>
    <row r="10604" s="76" customFormat="1" ht="21.95" customHeight="1" x14ac:dyDescent="0.15"/>
    <row r="10605" s="76" customFormat="1" ht="21.95" customHeight="1" x14ac:dyDescent="0.15"/>
    <row r="10606" s="76" customFormat="1" ht="21.95" customHeight="1" x14ac:dyDescent="0.15"/>
    <row r="10607" s="76" customFormat="1" ht="21.95" customHeight="1" x14ac:dyDescent="0.15"/>
    <row r="10608" s="76" customFormat="1" ht="21.95" customHeight="1" x14ac:dyDescent="0.15"/>
    <row r="10609" s="76" customFormat="1" ht="21.95" customHeight="1" x14ac:dyDescent="0.15"/>
    <row r="10610" s="76" customFormat="1" ht="21.95" customHeight="1" x14ac:dyDescent="0.15"/>
    <row r="10611" s="76" customFormat="1" ht="21.95" customHeight="1" x14ac:dyDescent="0.15"/>
    <row r="10612" s="76" customFormat="1" ht="21.95" customHeight="1" x14ac:dyDescent="0.15"/>
    <row r="10613" s="76" customFormat="1" ht="21.95" customHeight="1" x14ac:dyDescent="0.15"/>
    <row r="10614" s="76" customFormat="1" ht="21.95" customHeight="1" x14ac:dyDescent="0.15"/>
    <row r="10615" s="76" customFormat="1" ht="21.95" customHeight="1" x14ac:dyDescent="0.15"/>
    <row r="10616" s="76" customFormat="1" ht="21.95" customHeight="1" x14ac:dyDescent="0.15"/>
    <row r="10617" s="76" customFormat="1" ht="35.1" customHeight="1" x14ac:dyDescent="0.15"/>
    <row r="10618" s="76" customFormat="1" ht="21.95" customHeight="1" x14ac:dyDescent="0.15"/>
    <row r="10619" s="76" customFormat="1" ht="21.95" customHeight="1" x14ac:dyDescent="0.15"/>
    <row r="10620" s="76" customFormat="1" ht="21.95" customHeight="1" x14ac:dyDescent="0.15"/>
    <row r="10621" s="76" customFormat="1" ht="21.95" customHeight="1" x14ac:dyDescent="0.15"/>
    <row r="10622" s="76" customFormat="1" ht="21.95" customHeight="1" x14ac:dyDescent="0.15"/>
    <row r="10623" s="76" customFormat="1" ht="21.95" customHeight="1" x14ac:dyDescent="0.15"/>
    <row r="10624" s="76" customFormat="1" ht="21.95" customHeight="1" x14ac:dyDescent="0.15"/>
    <row r="10625" s="76" customFormat="1" ht="21.95" customHeight="1" x14ac:dyDescent="0.15"/>
    <row r="10626" s="76" customFormat="1" ht="21.95" customHeight="1" x14ac:dyDescent="0.15"/>
    <row r="10627" s="76" customFormat="1" ht="21.95" customHeight="1" x14ac:dyDescent="0.15"/>
    <row r="10628" s="76" customFormat="1" ht="21.95" customHeight="1" x14ac:dyDescent="0.15"/>
    <row r="10629" s="76" customFormat="1" ht="21.95" customHeight="1" x14ac:dyDescent="0.15"/>
    <row r="10630" s="76" customFormat="1" ht="21.95" customHeight="1" x14ac:dyDescent="0.15"/>
    <row r="10631" s="76" customFormat="1" ht="21.95" customHeight="1" x14ac:dyDescent="0.15"/>
    <row r="10632" s="76" customFormat="1" ht="21.95" customHeight="1" x14ac:dyDescent="0.15"/>
    <row r="10633" s="76" customFormat="1" ht="21.95" customHeight="1" x14ac:dyDescent="0.15"/>
    <row r="10634" s="76" customFormat="1" ht="21.95" customHeight="1" x14ac:dyDescent="0.15"/>
    <row r="10635" s="76" customFormat="1" ht="21.95" customHeight="1" x14ac:dyDescent="0.15"/>
    <row r="10636" s="76" customFormat="1" ht="21.95" customHeight="1" x14ac:dyDescent="0.15"/>
    <row r="10637" s="76" customFormat="1" ht="21.95" customHeight="1" x14ac:dyDescent="0.15"/>
    <row r="10638" s="76" customFormat="1" ht="21.95" customHeight="1" x14ac:dyDescent="0.15"/>
    <row r="10639" s="76" customFormat="1" ht="21.95" customHeight="1" x14ac:dyDescent="0.15"/>
    <row r="10640" s="76" customFormat="1" ht="21.95" customHeight="1" x14ac:dyDescent="0.15"/>
    <row r="10641" spans="3:3" customFormat="1" ht="21.95" customHeight="1" x14ac:dyDescent="0.15"/>
    <row r="10642" spans="3:3" customFormat="1" ht="21.95" customHeight="1" x14ac:dyDescent="0.15"/>
    <row r="10643" spans="3:3" customFormat="1" ht="21.95" customHeight="1" x14ac:dyDescent="0.15">
      <c r="C10643" s="94"/>
    </row>
    <row r="10644" spans="3:3" customFormat="1" ht="21.95" customHeight="1" x14ac:dyDescent="0.15">
      <c r="C10644" s="94"/>
    </row>
    <row r="10645" spans="3:3" customFormat="1" ht="21.95" customHeight="1" x14ac:dyDescent="0.15"/>
    <row r="10646" spans="3:3" customFormat="1" ht="21.95" customHeight="1" x14ac:dyDescent="0.15"/>
    <row r="10647" spans="3:3" customFormat="1" ht="21.95" customHeight="1" x14ac:dyDescent="0.15"/>
    <row r="10648" spans="3:3" customFormat="1" ht="21.95" customHeight="1" x14ac:dyDescent="0.15"/>
    <row r="10649" spans="3:3" customFormat="1" ht="21.95" customHeight="1" x14ac:dyDescent="0.15"/>
    <row r="10650" spans="3:3" customFormat="1" ht="21.95" customHeight="1" x14ac:dyDescent="0.15"/>
    <row r="10651" spans="3:3" customFormat="1" ht="21.95" customHeight="1" x14ac:dyDescent="0.15"/>
    <row r="10652" spans="3:3" s="76" customFormat="1" ht="21.95" customHeight="1" x14ac:dyDescent="0.15"/>
    <row r="10653" spans="3:3" s="76" customFormat="1" ht="21.95" customHeight="1" x14ac:dyDescent="0.15"/>
    <row r="10654" spans="3:3" s="76" customFormat="1" ht="21.95" customHeight="1" x14ac:dyDescent="0.15"/>
    <row r="10655" spans="3:3" s="76" customFormat="1" ht="21.95" customHeight="1" x14ac:dyDescent="0.15"/>
    <row r="10656" spans="3:3" customFormat="1" ht="21.95" customHeight="1" x14ac:dyDescent="0.15"/>
    <row r="10657" customFormat="1" ht="21.95" customHeight="1" x14ac:dyDescent="0.15"/>
    <row r="10658" customFormat="1" ht="21.95" customHeight="1" x14ac:dyDescent="0.15"/>
    <row r="10659" customFormat="1" ht="21.95" customHeight="1" x14ac:dyDescent="0.15"/>
    <row r="10660" customFormat="1" ht="21.95" customHeight="1" x14ac:dyDescent="0.15"/>
    <row r="10661" customFormat="1" ht="21.95" customHeight="1" x14ac:dyDescent="0.15"/>
    <row r="10662" customFormat="1" ht="21.95" customHeight="1" x14ac:dyDescent="0.15"/>
    <row r="10663" customFormat="1" ht="21.95" customHeight="1" x14ac:dyDescent="0.15"/>
    <row r="10664" customFormat="1" ht="21.95" customHeight="1" x14ac:dyDescent="0.15"/>
    <row r="10665" customFormat="1" ht="21.95" customHeight="1" x14ac:dyDescent="0.15"/>
    <row r="10666" customFormat="1" ht="21.95" customHeight="1" x14ac:dyDescent="0.15"/>
    <row r="10667" customFormat="1" ht="32.1" customHeight="1" x14ac:dyDescent="0.15"/>
    <row r="10668" customFormat="1" ht="32.1" customHeight="1" x14ac:dyDescent="0.15"/>
    <row r="10669" customFormat="1" ht="32.1" customHeight="1" x14ac:dyDescent="0.15"/>
    <row r="10670" customFormat="1" ht="32.1" customHeight="1" x14ac:dyDescent="0.15"/>
    <row r="10671" customFormat="1" ht="32.1" customHeight="1" x14ac:dyDescent="0.15"/>
    <row r="10672" customFormat="1" ht="32.1" customHeight="1" x14ac:dyDescent="0.15"/>
    <row r="10673" s="76" customFormat="1" ht="32.1" customHeight="1" x14ac:dyDescent="0.15"/>
    <row r="10674" s="76" customFormat="1" ht="32.1" customHeight="1" x14ac:dyDescent="0.15"/>
    <row r="10675" s="76" customFormat="1" ht="32.1" customHeight="1" x14ac:dyDescent="0.15"/>
    <row r="10676" s="76" customFormat="1" ht="32.1" customHeight="1" x14ac:dyDescent="0.15"/>
    <row r="10677" s="76" customFormat="1" ht="21.95" customHeight="1" x14ac:dyDescent="0.15"/>
    <row r="10678" s="76" customFormat="1" ht="54" customHeight="1" x14ac:dyDescent="0.15"/>
    <row r="10679" s="76" customFormat="1" ht="21.95" customHeight="1" x14ac:dyDescent="0.15"/>
    <row r="10680" s="76" customFormat="1" ht="21.95" customHeight="1" x14ac:dyDescent="0.15"/>
    <row r="10681" s="76" customFormat="1" ht="21.95" customHeight="1" x14ac:dyDescent="0.15"/>
    <row r="10682" s="76" customFormat="1" ht="21.95" customHeight="1" x14ac:dyDescent="0.15"/>
    <row r="10683" s="76" customFormat="1" ht="21.95" customHeight="1" x14ac:dyDescent="0.15"/>
    <row r="10684" s="76" customFormat="1" ht="21.95" customHeight="1" x14ac:dyDescent="0.15"/>
    <row r="10685" s="76" customFormat="1" ht="21.95" customHeight="1" x14ac:dyDescent="0.15"/>
    <row r="10686" s="76" customFormat="1" ht="21.95" customHeight="1" x14ac:dyDescent="0.15"/>
    <row r="10687" s="76" customFormat="1" ht="21.95" customHeight="1" x14ac:dyDescent="0.15"/>
    <row r="10688" s="76" customFormat="1" ht="21.95" customHeight="1" x14ac:dyDescent="0.15"/>
    <row r="10689" s="76" customFormat="1" ht="21.95" customHeight="1" x14ac:dyDescent="0.15"/>
    <row r="10690" s="76" customFormat="1" ht="21.95" customHeight="1" x14ac:dyDescent="0.15"/>
    <row r="10691" s="76" customFormat="1" ht="21.95" customHeight="1" x14ac:dyDescent="0.15"/>
    <row r="10692" s="76" customFormat="1" ht="21.95" customHeight="1" x14ac:dyDescent="0.15"/>
    <row r="10693" s="76" customFormat="1" ht="21.95" customHeight="1" x14ac:dyDescent="0.15"/>
    <row r="10694" s="76" customFormat="1" ht="21.95" customHeight="1" x14ac:dyDescent="0.15"/>
    <row r="10695" s="76" customFormat="1" ht="21.95" customHeight="1" x14ac:dyDescent="0.15"/>
    <row r="10696" s="76" customFormat="1" ht="21.95" customHeight="1" x14ac:dyDescent="0.15"/>
    <row r="10697" s="76" customFormat="1" ht="21.95" customHeight="1" x14ac:dyDescent="0.15"/>
    <row r="10698" s="76" customFormat="1" ht="21.95" customHeight="1" x14ac:dyDescent="0.15"/>
    <row r="10699" s="76" customFormat="1" ht="21.95" customHeight="1" x14ac:dyDescent="0.15"/>
    <row r="10700" s="76" customFormat="1" ht="21.95" customHeight="1" x14ac:dyDescent="0.15"/>
    <row r="10701" s="76" customFormat="1" ht="21.95" customHeight="1" x14ac:dyDescent="0.15"/>
    <row r="10702" s="76" customFormat="1" ht="21.95" customHeight="1" x14ac:dyDescent="0.15"/>
    <row r="10703" s="76" customFormat="1" ht="21.95" customHeight="1" x14ac:dyDescent="0.15"/>
    <row r="10704" s="76" customFormat="1" ht="21.95" customHeight="1" x14ac:dyDescent="0.15"/>
    <row r="10705" s="76" customFormat="1" ht="21.95" customHeight="1" x14ac:dyDescent="0.15"/>
    <row r="10706" s="76" customFormat="1" ht="21.95" customHeight="1" x14ac:dyDescent="0.15"/>
    <row r="10707" s="76" customFormat="1" ht="21.95" customHeight="1" x14ac:dyDescent="0.15"/>
    <row r="10708" s="76" customFormat="1" ht="21.95" customHeight="1" x14ac:dyDescent="0.15"/>
    <row r="10709" s="76" customFormat="1" ht="21.95" customHeight="1" x14ac:dyDescent="0.15"/>
    <row r="10710" s="76" customFormat="1" ht="21.95" customHeight="1" x14ac:dyDescent="0.15"/>
    <row r="10711" s="76" customFormat="1" ht="21.95" customHeight="1" x14ac:dyDescent="0.15"/>
    <row r="10712" s="76" customFormat="1" ht="21.95" customHeight="1" x14ac:dyDescent="0.15"/>
    <row r="10713" s="76" customFormat="1" ht="21.95" customHeight="1" x14ac:dyDescent="0.15"/>
    <row r="10714" s="76" customFormat="1" ht="21.95" customHeight="1" x14ac:dyDescent="0.15"/>
    <row r="10715" s="76" customFormat="1" ht="21.95" customHeight="1" x14ac:dyDescent="0.15"/>
    <row r="10716" s="76" customFormat="1" ht="21.95" customHeight="1" x14ac:dyDescent="0.15"/>
    <row r="10717" s="76" customFormat="1" ht="21.95" customHeight="1" x14ac:dyDescent="0.15"/>
    <row r="10718" s="76" customFormat="1" ht="21.95" customHeight="1" x14ac:dyDescent="0.15"/>
    <row r="10719" s="76" customFormat="1" ht="21.95" customHeight="1" x14ac:dyDescent="0.15"/>
    <row r="10720" s="76" customFormat="1" ht="21.95" customHeight="1" x14ac:dyDescent="0.15"/>
    <row r="10721" s="76" customFormat="1" ht="21.95" customHeight="1" x14ac:dyDescent="0.15"/>
    <row r="10722" s="76" customFormat="1" ht="21.95" customHeight="1" x14ac:dyDescent="0.15"/>
    <row r="10723" s="76" customFormat="1" ht="21.95" customHeight="1" x14ac:dyDescent="0.15"/>
    <row r="10724" s="76" customFormat="1" ht="21.95" customHeight="1" x14ac:dyDescent="0.15"/>
    <row r="10725" s="76" customFormat="1" ht="21.95" customHeight="1" x14ac:dyDescent="0.15"/>
    <row r="10726" s="76" customFormat="1" ht="21.95" customHeight="1" x14ac:dyDescent="0.15"/>
    <row r="10727" s="76" customFormat="1" ht="21.95" customHeight="1" x14ac:dyDescent="0.15"/>
    <row r="10728" s="76" customFormat="1" ht="21.95" customHeight="1" x14ac:dyDescent="0.15"/>
    <row r="10729" s="76" customFormat="1" ht="35.1" customHeight="1" x14ac:dyDescent="0.15"/>
    <row r="10730" s="76" customFormat="1" ht="21.95" customHeight="1" x14ac:dyDescent="0.15"/>
    <row r="10731" s="76" customFormat="1" ht="21.95" customHeight="1" x14ac:dyDescent="0.15"/>
    <row r="10732" s="76" customFormat="1" ht="21.95" customHeight="1" x14ac:dyDescent="0.15"/>
    <row r="10733" s="76" customFormat="1" ht="21.95" customHeight="1" x14ac:dyDescent="0.15"/>
    <row r="10734" s="76" customFormat="1" ht="21.95" customHeight="1" x14ac:dyDescent="0.15"/>
    <row r="10735" s="76" customFormat="1" ht="21.95" customHeight="1" x14ac:dyDescent="0.15"/>
    <row r="10736" s="76" customFormat="1" ht="21.95" customHeight="1" x14ac:dyDescent="0.15"/>
    <row r="10737" s="76" customFormat="1" ht="21.95" customHeight="1" x14ac:dyDescent="0.15"/>
    <row r="10738" s="76" customFormat="1" ht="21.95" customHeight="1" x14ac:dyDescent="0.15"/>
    <row r="10739" s="76" customFormat="1" ht="21.95" customHeight="1" x14ac:dyDescent="0.15"/>
    <row r="10740" s="76" customFormat="1" ht="21.95" customHeight="1" x14ac:dyDescent="0.15"/>
    <row r="10741" s="76" customFormat="1" ht="21.95" customHeight="1" x14ac:dyDescent="0.15"/>
    <row r="10742" s="76" customFormat="1" ht="21.95" customHeight="1" x14ac:dyDescent="0.15"/>
    <row r="10743" s="76" customFormat="1" ht="21.95" customHeight="1" x14ac:dyDescent="0.15"/>
    <row r="10744" s="76" customFormat="1" ht="21.95" customHeight="1" x14ac:dyDescent="0.15"/>
    <row r="10745" s="76" customFormat="1" ht="21.95" customHeight="1" x14ac:dyDescent="0.15"/>
    <row r="10746" s="76" customFormat="1" ht="21.95" customHeight="1" x14ac:dyDescent="0.15"/>
    <row r="10747" s="76" customFormat="1" ht="21.95" customHeight="1" x14ac:dyDescent="0.15"/>
    <row r="10748" s="76" customFormat="1" ht="21.95" customHeight="1" x14ac:dyDescent="0.15"/>
    <row r="10749" s="76" customFormat="1" ht="21.95" customHeight="1" x14ac:dyDescent="0.15"/>
    <row r="10750" s="76" customFormat="1" ht="21.95" customHeight="1" x14ac:dyDescent="0.15"/>
    <row r="10751" s="76" customFormat="1" ht="21.95" customHeight="1" x14ac:dyDescent="0.15"/>
    <row r="10752" s="76" customFormat="1" ht="21.95" customHeight="1" x14ac:dyDescent="0.15"/>
    <row r="10753" spans="3:3" customFormat="1" ht="21.95" customHeight="1" x14ac:dyDescent="0.15"/>
    <row r="10754" spans="3:3" customFormat="1" ht="21.95" customHeight="1" x14ac:dyDescent="0.15"/>
    <row r="10755" spans="3:3" customFormat="1" ht="21.95" customHeight="1" x14ac:dyDescent="0.15">
      <c r="C10755" s="94"/>
    </row>
    <row r="10756" spans="3:3" customFormat="1" ht="21.95" customHeight="1" x14ac:dyDescent="0.15">
      <c r="C10756" s="94"/>
    </row>
    <row r="10757" spans="3:3" customFormat="1" ht="21.95" customHeight="1" x14ac:dyDescent="0.15"/>
    <row r="10758" spans="3:3" customFormat="1" ht="21.95" customHeight="1" x14ac:dyDescent="0.15"/>
    <row r="10759" spans="3:3" customFormat="1" ht="21.95" customHeight="1" x14ac:dyDescent="0.15"/>
    <row r="10760" spans="3:3" customFormat="1" ht="21.95" customHeight="1" x14ac:dyDescent="0.15"/>
    <row r="10761" spans="3:3" customFormat="1" ht="21.95" customHeight="1" x14ac:dyDescent="0.15"/>
    <row r="10762" spans="3:3" customFormat="1" ht="21.95" customHeight="1" x14ac:dyDescent="0.15"/>
    <row r="10763" spans="3:3" customFormat="1" ht="21.95" customHeight="1" x14ac:dyDescent="0.15"/>
    <row r="10764" spans="3:3" s="76" customFormat="1" ht="21.95" customHeight="1" x14ac:dyDescent="0.15"/>
    <row r="10765" spans="3:3" s="76" customFormat="1" ht="21.95" customHeight="1" x14ac:dyDescent="0.15"/>
    <row r="10766" spans="3:3" s="76" customFormat="1" ht="21.95" customHeight="1" x14ac:dyDescent="0.15"/>
    <row r="10767" spans="3:3" s="76" customFormat="1" ht="21.95" customHeight="1" x14ac:dyDescent="0.15"/>
    <row r="10768" spans="3:3" customFormat="1" ht="21.95" customHeight="1" x14ac:dyDescent="0.15"/>
    <row r="10769" customFormat="1" ht="21.95" customHeight="1" x14ac:dyDescent="0.15"/>
    <row r="10770" customFormat="1" ht="21.95" customHeight="1" x14ac:dyDescent="0.15"/>
    <row r="10771" customFormat="1" ht="21.95" customHeight="1" x14ac:dyDescent="0.15"/>
    <row r="10772" customFormat="1" ht="21.95" customHeight="1" x14ac:dyDescent="0.15"/>
    <row r="10773" customFormat="1" ht="21.95" customHeight="1" x14ac:dyDescent="0.15"/>
    <row r="10774" customFormat="1" ht="21.95" customHeight="1" x14ac:dyDescent="0.15"/>
    <row r="10775" customFormat="1" ht="21.95" customHeight="1" x14ac:dyDescent="0.15"/>
    <row r="10776" customFormat="1" ht="21.95" customHeight="1" x14ac:dyDescent="0.15"/>
    <row r="10777" customFormat="1" ht="21.95" customHeight="1" x14ac:dyDescent="0.15"/>
    <row r="10778" customFormat="1" ht="21.95" customHeight="1" x14ac:dyDescent="0.15"/>
    <row r="10779" customFormat="1" ht="32.1" customHeight="1" x14ac:dyDescent="0.15"/>
    <row r="10780" customFormat="1" ht="32.1" customHeight="1" x14ac:dyDescent="0.15"/>
    <row r="10781" customFormat="1" ht="32.1" customHeight="1" x14ac:dyDescent="0.15"/>
    <row r="10782" customFormat="1" ht="32.1" customHeight="1" x14ac:dyDescent="0.15"/>
    <row r="10783" customFormat="1" ht="32.1" customHeight="1" x14ac:dyDescent="0.15"/>
    <row r="10784" customFormat="1" ht="32.1" customHeight="1" x14ac:dyDescent="0.15"/>
    <row r="10785" s="76" customFormat="1" ht="32.1" customHeight="1" x14ac:dyDescent="0.15"/>
    <row r="10786" s="76" customFormat="1" ht="32.1" customHeight="1" x14ac:dyDescent="0.15"/>
    <row r="10787" s="76" customFormat="1" ht="32.1" customHeight="1" x14ac:dyDescent="0.15"/>
    <row r="10788" s="76" customFormat="1" ht="32.1" customHeight="1" x14ac:dyDescent="0.15"/>
    <row r="10789" s="76" customFormat="1" ht="21.95" customHeight="1" x14ac:dyDescent="0.15"/>
    <row r="10790" s="76" customFormat="1" ht="54" customHeight="1" x14ac:dyDescent="0.15"/>
    <row r="10791" s="76" customFormat="1" ht="21.95" customHeight="1" x14ac:dyDescent="0.15"/>
    <row r="10792" s="76" customFormat="1" ht="21.95" customHeight="1" x14ac:dyDescent="0.15"/>
    <row r="10793" s="76" customFormat="1" ht="21.95" customHeight="1" x14ac:dyDescent="0.15"/>
    <row r="10794" s="76" customFormat="1" ht="21.95" customHeight="1" x14ac:dyDescent="0.15"/>
    <row r="10795" s="76" customFormat="1" ht="21.95" customHeight="1" x14ac:dyDescent="0.15"/>
    <row r="10796" s="76" customFormat="1" ht="21.95" customHeight="1" x14ac:dyDescent="0.15"/>
    <row r="10797" s="76" customFormat="1" ht="21.95" customHeight="1" x14ac:dyDescent="0.15"/>
    <row r="10798" s="76" customFormat="1" ht="21.95" customHeight="1" x14ac:dyDescent="0.15"/>
    <row r="10799" s="76" customFormat="1" ht="21.95" customHeight="1" x14ac:dyDescent="0.15"/>
    <row r="10800" s="76" customFormat="1" ht="21.95" customHeight="1" x14ac:dyDescent="0.15"/>
    <row r="10801" s="76" customFormat="1" ht="21.95" customHeight="1" x14ac:dyDescent="0.15"/>
    <row r="10802" s="76" customFormat="1" ht="21.95" customHeight="1" x14ac:dyDescent="0.15"/>
    <row r="10803" s="76" customFormat="1" ht="21.95" customHeight="1" x14ac:dyDescent="0.15"/>
    <row r="10804" s="76" customFormat="1" ht="21.95" customHeight="1" x14ac:dyDescent="0.15"/>
    <row r="10805" s="76" customFormat="1" ht="21.95" customHeight="1" x14ac:dyDescent="0.15"/>
    <row r="10806" s="76" customFormat="1" ht="21.95" customHeight="1" x14ac:dyDescent="0.15"/>
    <row r="10807" s="76" customFormat="1" ht="21.95" customHeight="1" x14ac:dyDescent="0.15"/>
    <row r="10808" s="76" customFormat="1" ht="21.95" customHeight="1" x14ac:dyDescent="0.15"/>
    <row r="10809" s="76" customFormat="1" ht="21.95" customHeight="1" x14ac:dyDescent="0.15"/>
    <row r="10810" s="76" customFormat="1" ht="21.95" customHeight="1" x14ac:dyDescent="0.15"/>
    <row r="10811" s="76" customFormat="1" ht="21.95" customHeight="1" x14ac:dyDescent="0.15"/>
    <row r="10812" s="76" customFormat="1" ht="21.95" customHeight="1" x14ac:dyDescent="0.15"/>
    <row r="10813" s="76" customFormat="1" ht="21.95" customHeight="1" x14ac:dyDescent="0.15"/>
    <row r="10814" s="76" customFormat="1" ht="21.95" customHeight="1" x14ac:dyDescent="0.15"/>
    <row r="10815" s="76" customFormat="1" ht="21.95" customHeight="1" x14ac:dyDescent="0.15"/>
    <row r="10816" s="76" customFormat="1" ht="21.95" customHeight="1" x14ac:dyDescent="0.15"/>
    <row r="10817" s="76" customFormat="1" ht="21.95" customHeight="1" x14ac:dyDescent="0.15"/>
    <row r="10818" s="76" customFormat="1" ht="21.95" customHeight="1" x14ac:dyDescent="0.15"/>
    <row r="10819" s="76" customFormat="1" ht="21.95" customHeight="1" x14ac:dyDescent="0.15"/>
    <row r="10820" s="76" customFormat="1" ht="21.95" customHeight="1" x14ac:dyDescent="0.15"/>
    <row r="10821" s="76" customFormat="1" ht="21.95" customHeight="1" x14ac:dyDescent="0.15"/>
    <row r="10822" s="76" customFormat="1" ht="21.95" customHeight="1" x14ac:dyDescent="0.15"/>
    <row r="10823" s="76" customFormat="1" ht="21.95" customHeight="1" x14ac:dyDescent="0.15"/>
    <row r="10824" s="76" customFormat="1" ht="21.95" customHeight="1" x14ac:dyDescent="0.15"/>
    <row r="10825" s="76" customFormat="1" ht="21.95" customHeight="1" x14ac:dyDescent="0.15"/>
    <row r="10826" s="76" customFormat="1" ht="21.95" customHeight="1" x14ac:dyDescent="0.15"/>
    <row r="10827" s="76" customFormat="1" ht="21.95" customHeight="1" x14ac:dyDescent="0.15"/>
    <row r="10828" s="76" customFormat="1" ht="21.95" customHeight="1" x14ac:dyDescent="0.15"/>
    <row r="10829" s="76" customFormat="1" ht="21.95" customHeight="1" x14ac:dyDescent="0.15"/>
    <row r="10830" s="76" customFormat="1" ht="21.95" customHeight="1" x14ac:dyDescent="0.15"/>
    <row r="10831" s="76" customFormat="1" ht="21.95" customHeight="1" x14ac:dyDescent="0.15"/>
    <row r="10832" s="76" customFormat="1" ht="21.95" customHeight="1" x14ac:dyDescent="0.15"/>
    <row r="10833" s="76" customFormat="1" ht="21.95" customHeight="1" x14ac:dyDescent="0.15"/>
    <row r="10834" s="76" customFormat="1" ht="21.95" customHeight="1" x14ac:dyDescent="0.15"/>
    <row r="10835" s="76" customFormat="1" ht="21.95" customHeight="1" x14ac:dyDescent="0.15"/>
    <row r="10836" s="76" customFormat="1" ht="21.95" customHeight="1" x14ac:dyDescent="0.15"/>
    <row r="10837" s="76" customFormat="1" ht="21.95" customHeight="1" x14ac:dyDescent="0.15"/>
    <row r="10838" s="76" customFormat="1" ht="21.95" customHeight="1" x14ac:dyDescent="0.15"/>
    <row r="10839" s="76" customFormat="1" ht="21.95" customHeight="1" x14ac:dyDescent="0.15"/>
    <row r="10840" s="76" customFormat="1" ht="21.95" customHeight="1" x14ac:dyDescent="0.15"/>
    <row r="10841" s="76" customFormat="1" ht="35.1" customHeight="1" x14ac:dyDescent="0.15"/>
    <row r="10842" s="76" customFormat="1" ht="21.95" customHeight="1" x14ac:dyDescent="0.15"/>
    <row r="10843" s="76" customFormat="1" ht="21.95" customHeight="1" x14ac:dyDescent="0.15"/>
    <row r="10844" s="76" customFormat="1" ht="21.95" customHeight="1" x14ac:dyDescent="0.15"/>
    <row r="10845" s="76" customFormat="1" ht="21.95" customHeight="1" x14ac:dyDescent="0.15"/>
    <row r="10846" s="76" customFormat="1" ht="21.95" customHeight="1" x14ac:dyDescent="0.15"/>
    <row r="10847" s="76" customFormat="1" ht="21.95" customHeight="1" x14ac:dyDescent="0.15"/>
    <row r="10848" s="76" customFormat="1" ht="21.95" customHeight="1" x14ac:dyDescent="0.15"/>
    <row r="10849" s="76" customFormat="1" ht="21.95" customHeight="1" x14ac:dyDescent="0.15"/>
    <row r="10850" s="76" customFormat="1" ht="21.95" customHeight="1" x14ac:dyDescent="0.15"/>
    <row r="10851" s="76" customFormat="1" ht="21.95" customHeight="1" x14ac:dyDescent="0.15"/>
    <row r="10852" s="76" customFormat="1" ht="21.95" customHeight="1" x14ac:dyDescent="0.15"/>
    <row r="10853" s="76" customFormat="1" ht="21.95" customHeight="1" x14ac:dyDescent="0.15"/>
    <row r="10854" s="76" customFormat="1" ht="21.95" customHeight="1" x14ac:dyDescent="0.15"/>
    <row r="10855" s="76" customFormat="1" ht="21.95" customHeight="1" x14ac:dyDescent="0.15"/>
    <row r="10856" s="76" customFormat="1" ht="21.95" customHeight="1" x14ac:dyDescent="0.15"/>
    <row r="10857" s="76" customFormat="1" ht="21.95" customHeight="1" x14ac:dyDescent="0.15"/>
    <row r="10858" s="76" customFormat="1" ht="21.95" customHeight="1" x14ac:dyDescent="0.15"/>
    <row r="10859" s="76" customFormat="1" ht="21.95" customHeight="1" x14ac:dyDescent="0.15"/>
    <row r="10860" s="76" customFormat="1" ht="21.95" customHeight="1" x14ac:dyDescent="0.15"/>
    <row r="10861" s="76" customFormat="1" ht="21.95" customHeight="1" x14ac:dyDescent="0.15"/>
    <row r="10862" s="76" customFormat="1" ht="21.95" customHeight="1" x14ac:dyDescent="0.15"/>
    <row r="10863" s="76" customFormat="1" ht="21.95" customHeight="1" x14ac:dyDescent="0.15"/>
    <row r="10864" s="76" customFormat="1" ht="21.95" customHeight="1" x14ac:dyDescent="0.15"/>
    <row r="10865" spans="3:3" customFormat="1" ht="21.95" customHeight="1" x14ac:dyDescent="0.15"/>
    <row r="10866" spans="3:3" customFormat="1" ht="21.95" customHeight="1" x14ac:dyDescent="0.15"/>
    <row r="10867" spans="3:3" customFormat="1" ht="21.95" customHeight="1" x14ac:dyDescent="0.15">
      <c r="C10867" s="94"/>
    </row>
    <row r="10868" spans="3:3" customFormat="1" ht="21.95" customHeight="1" x14ac:dyDescent="0.15">
      <c r="C10868" s="94"/>
    </row>
    <row r="10869" spans="3:3" customFormat="1" ht="21.95" customHeight="1" x14ac:dyDescent="0.15"/>
    <row r="10870" spans="3:3" customFormat="1" ht="21.95" customHeight="1" x14ac:dyDescent="0.15"/>
    <row r="10871" spans="3:3" customFormat="1" ht="21.95" customHeight="1" x14ac:dyDescent="0.15"/>
    <row r="10872" spans="3:3" customFormat="1" ht="21.95" customHeight="1" x14ac:dyDescent="0.15"/>
    <row r="10873" spans="3:3" customFormat="1" ht="21.95" customHeight="1" x14ac:dyDescent="0.15"/>
    <row r="10874" spans="3:3" customFormat="1" ht="21.95" customHeight="1" x14ac:dyDescent="0.15"/>
    <row r="10875" spans="3:3" customFormat="1" ht="21.95" customHeight="1" x14ac:dyDescent="0.15"/>
    <row r="10876" spans="3:3" s="76" customFormat="1" ht="21.95" customHeight="1" x14ac:dyDescent="0.15"/>
    <row r="10877" spans="3:3" s="76" customFormat="1" ht="21.95" customHeight="1" x14ac:dyDescent="0.15"/>
    <row r="10878" spans="3:3" s="76" customFormat="1" ht="21.95" customHeight="1" x14ac:dyDescent="0.15"/>
    <row r="10879" spans="3:3" s="76" customFormat="1" ht="21.95" customHeight="1" x14ac:dyDescent="0.15"/>
    <row r="10880" spans="3:3" customFormat="1" ht="21.95" customHeight="1" x14ac:dyDescent="0.15"/>
    <row r="10881" customFormat="1" ht="21.95" customHeight="1" x14ac:dyDescent="0.15"/>
    <row r="10882" customFormat="1" ht="21.95" customHeight="1" x14ac:dyDescent="0.15"/>
    <row r="10883" customFormat="1" ht="21.95" customHeight="1" x14ac:dyDescent="0.15"/>
    <row r="10884" customFormat="1" ht="21.95" customHeight="1" x14ac:dyDescent="0.15"/>
    <row r="10885" customFormat="1" ht="21.95" customHeight="1" x14ac:dyDescent="0.15"/>
    <row r="10886" customFormat="1" ht="21.95" customHeight="1" x14ac:dyDescent="0.15"/>
    <row r="10887" customFormat="1" ht="21.95" customHeight="1" x14ac:dyDescent="0.15"/>
    <row r="10888" customFormat="1" ht="21.95" customHeight="1" x14ac:dyDescent="0.15"/>
    <row r="10889" customFormat="1" ht="21.95" customHeight="1" x14ac:dyDescent="0.15"/>
    <row r="10890" customFormat="1" ht="21.95" customHeight="1" x14ac:dyDescent="0.15"/>
    <row r="10891" customFormat="1" ht="32.1" customHeight="1" x14ac:dyDescent="0.15"/>
    <row r="10892" customFormat="1" ht="32.1" customHeight="1" x14ac:dyDescent="0.15"/>
    <row r="10893" customFormat="1" ht="32.1" customHeight="1" x14ac:dyDescent="0.15"/>
    <row r="10894" customFormat="1" ht="32.1" customHeight="1" x14ac:dyDescent="0.15"/>
    <row r="10895" customFormat="1" ht="32.1" customHeight="1" x14ac:dyDescent="0.15"/>
    <row r="10896" customFormat="1" ht="32.1" customHeight="1" x14ac:dyDescent="0.15"/>
    <row r="10897" s="76" customFormat="1" ht="32.1" customHeight="1" x14ac:dyDescent="0.15"/>
    <row r="10898" s="76" customFormat="1" ht="32.1" customHeight="1" x14ac:dyDescent="0.15"/>
    <row r="10899" s="76" customFormat="1" ht="32.1" customHeight="1" x14ac:dyDescent="0.15"/>
    <row r="10900" s="76" customFormat="1" ht="32.1" customHeight="1" x14ac:dyDescent="0.15"/>
    <row r="10901" s="76" customFormat="1" ht="21.95" customHeight="1" x14ac:dyDescent="0.15"/>
    <row r="10902" s="76" customFormat="1" ht="54" customHeight="1" x14ac:dyDescent="0.15"/>
    <row r="10903" s="76" customFormat="1" ht="21.95" customHeight="1" x14ac:dyDescent="0.15"/>
    <row r="10904" s="76" customFormat="1" ht="21.95" customHeight="1" x14ac:dyDescent="0.15"/>
    <row r="10905" s="76" customFormat="1" ht="21.95" customHeight="1" x14ac:dyDescent="0.15"/>
    <row r="10906" s="76" customFormat="1" ht="21.95" customHeight="1" x14ac:dyDescent="0.15"/>
    <row r="10907" s="76" customFormat="1" ht="21.95" customHeight="1" x14ac:dyDescent="0.15"/>
    <row r="10908" s="76" customFormat="1" ht="21.95" customHeight="1" x14ac:dyDescent="0.15"/>
    <row r="10909" s="76" customFormat="1" ht="21.95" customHeight="1" x14ac:dyDescent="0.15"/>
    <row r="10910" s="76" customFormat="1" ht="21.95" customHeight="1" x14ac:dyDescent="0.15"/>
    <row r="10911" s="76" customFormat="1" ht="21.95" customHeight="1" x14ac:dyDescent="0.15"/>
    <row r="10912" s="76" customFormat="1" ht="21.95" customHeight="1" x14ac:dyDescent="0.15"/>
    <row r="10913" s="76" customFormat="1" ht="21.95" customHeight="1" x14ac:dyDescent="0.15"/>
    <row r="10914" s="76" customFormat="1" ht="21.95" customHeight="1" x14ac:dyDescent="0.15"/>
    <row r="10915" s="76" customFormat="1" ht="21.95" customHeight="1" x14ac:dyDescent="0.15"/>
    <row r="10916" s="76" customFormat="1" ht="21.95" customHeight="1" x14ac:dyDescent="0.15"/>
    <row r="10917" s="76" customFormat="1" ht="21.95" customHeight="1" x14ac:dyDescent="0.15"/>
    <row r="10918" s="76" customFormat="1" ht="21.95" customHeight="1" x14ac:dyDescent="0.15"/>
    <row r="10919" s="76" customFormat="1" ht="21.95" customHeight="1" x14ac:dyDescent="0.15"/>
    <row r="10920" s="76" customFormat="1" ht="21.95" customHeight="1" x14ac:dyDescent="0.15"/>
    <row r="10921" s="76" customFormat="1" ht="21.95" customHeight="1" x14ac:dyDescent="0.15"/>
    <row r="10922" s="76" customFormat="1" ht="21.95" customHeight="1" x14ac:dyDescent="0.15"/>
    <row r="10923" s="76" customFormat="1" ht="21.95" customHeight="1" x14ac:dyDescent="0.15"/>
    <row r="10924" s="76" customFormat="1" ht="21.95" customHeight="1" x14ac:dyDescent="0.15"/>
    <row r="10925" s="76" customFormat="1" ht="21.95" customHeight="1" x14ac:dyDescent="0.15"/>
    <row r="10926" s="76" customFormat="1" ht="21.95" customHeight="1" x14ac:dyDescent="0.15"/>
    <row r="10927" s="76" customFormat="1" ht="21.95" customHeight="1" x14ac:dyDescent="0.15"/>
    <row r="10928" s="76" customFormat="1" ht="21.95" customHeight="1" x14ac:dyDescent="0.15"/>
    <row r="10929" s="76" customFormat="1" ht="21.95" customHeight="1" x14ac:dyDescent="0.15"/>
    <row r="10930" s="76" customFormat="1" ht="21.95" customHeight="1" x14ac:dyDescent="0.15"/>
    <row r="10931" s="76" customFormat="1" ht="21.95" customHeight="1" x14ac:dyDescent="0.15"/>
    <row r="10932" s="76" customFormat="1" ht="21.95" customHeight="1" x14ac:dyDescent="0.15"/>
    <row r="10933" s="76" customFormat="1" ht="21.95" customHeight="1" x14ac:dyDescent="0.15"/>
    <row r="10934" s="76" customFormat="1" ht="21.95" customHeight="1" x14ac:dyDescent="0.15"/>
    <row r="10935" s="76" customFormat="1" ht="21.95" customHeight="1" x14ac:dyDescent="0.15"/>
    <row r="10936" s="76" customFormat="1" ht="21.95" customHeight="1" x14ac:dyDescent="0.15"/>
    <row r="10937" s="76" customFormat="1" ht="21.95" customHeight="1" x14ac:dyDescent="0.15"/>
    <row r="10938" s="76" customFormat="1" ht="21.95" customHeight="1" x14ac:dyDescent="0.15"/>
    <row r="10939" s="76" customFormat="1" ht="21.95" customHeight="1" x14ac:dyDescent="0.15"/>
    <row r="10940" s="76" customFormat="1" ht="21.95" customHeight="1" x14ac:dyDescent="0.15"/>
    <row r="10941" s="76" customFormat="1" ht="21.95" customHeight="1" x14ac:dyDescent="0.15"/>
    <row r="10942" s="76" customFormat="1" ht="21.95" customHeight="1" x14ac:dyDescent="0.15"/>
    <row r="10943" s="76" customFormat="1" ht="21.95" customHeight="1" x14ac:dyDescent="0.15"/>
    <row r="10944" s="76" customFormat="1" ht="21.95" customHeight="1" x14ac:dyDescent="0.15"/>
    <row r="10945" s="76" customFormat="1" ht="21.95" customHeight="1" x14ac:dyDescent="0.15"/>
    <row r="10946" s="76" customFormat="1" ht="21.95" customHeight="1" x14ac:dyDescent="0.15"/>
    <row r="10947" s="76" customFormat="1" ht="21.95" customHeight="1" x14ac:dyDescent="0.15"/>
    <row r="10948" s="76" customFormat="1" ht="21.95" customHeight="1" x14ac:dyDescent="0.15"/>
    <row r="10949" s="76" customFormat="1" ht="21.95" customHeight="1" x14ac:dyDescent="0.15"/>
    <row r="10950" s="76" customFormat="1" ht="21.95" customHeight="1" x14ac:dyDescent="0.15"/>
    <row r="10951" s="76" customFormat="1" ht="21.95" customHeight="1" x14ac:dyDescent="0.15"/>
    <row r="10952" s="76" customFormat="1" ht="21.95" customHeight="1" x14ac:dyDescent="0.15"/>
    <row r="10953" s="76" customFormat="1" ht="35.1" customHeight="1" x14ac:dyDescent="0.15"/>
    <row r="10954" s="76" customFormat="1" ht="21.95" customHeight="1" x14ac:dyDescent="0.15"/>
    <row r="10955" s="76" customFormat="1" ht="21.95" customHeight="1" x14ac:dyDescent="0.15"/>
    <row r="10956" s="76" customFormat="1" ht="21.95" customHeight="1" x14ac:dyDescent="0.15"/>
    <row r="10957" s="76" customFormat="1" ht="21.95" customHeight="1" x14ac:dyDescent="0.15"/>
    <row r="10958" s="76" customFormat="1" ht="21.95" customHeight="1" x14ac:dyDescent="0.15"/>
    <row r="10959" s="76" customFormat="1" ht="21.95" customHeight="1" x14ac:dyDescent="0.15"/>
    <row r="10960" s="76" customFormat="1" ht="21.95" customHeight="1" x14ac:dyDescent="0.15"/>
    <row r="10961" s="76" customFormat="1" ht="21.95" customHeight="1" x14ac:dyDescent="0.15"/>
    <row r="10962" s="76" customFormat="1" ht="21.95" customHeight="1" x14ac:dyDescent="0.15"/>
    <row r="10963" s="76" customFormat="1" ht="21.95" customHeight="1" x14ac:dyDescent="0.15"/>
    <row r="10964" s="76" customFormat="1" ht="21.95" customHeight="1" x14ac:dyDescent="0.15"/>
    <row r="10965" s="76" customFormat="1" ht="21.95" customHeight="1" x14ac:dyDescent="0.15"/>
    <row r="10966" s="76" customFormat="1" ht="21.95" customHeight="1" x14ac:dyDescent="0.15"/>
    <row r="10967" s="76" customFormat="1" ht="21.95" customHeight="1" x14ac:dyDescent="0.15"/>
    <row r="10968" s="76" customFormat="1" ht="21.95" customHeight="1" x14ac:dyDescent="0.15"/>
    <row r="10969" s="76" customFormat="1" ht="21.95" customHeight="1" x14ac:dyDescent="0.15"/>
    <row r="10970" s="76" customFormat="1" ht="21.95" customHeight="1" x14ac:dyDescent="0.15"/>
    <row r="10971" s="76" customFormat="1" ht="21.95" customHeight="1" x14ac:dyDescent="0.15"/>
    <row r="10972" s="76" customFormat="1" ht="21.95" customHeight="1" x14ac:dyDescent="0.15"/>
    <row r="10973" s="76" customFormat="1" ht="21.95" customHeight="1" x14ac:dyDescent="0.15"/>
    <row r="10974" s="76" customFormat="1" ht="21.95" customHeight="1" x14ac:dyDescent="0.15"/>
    <row r="10975" s="76" customFormat="1" ht="21.95" customHeight="1" x14ac:dyDescent="0.15"/>
    <row r="10976" s="76" customFormat="1" ht="21.95" customHeight="1" x14ac:dyDescent="0.15"/>
    <row r="10977" spans="3:3" customFormat="1" ht="21.95" customHeight="1" x14ac:dyDescent="0.15"/>
    <row r="10978" spans="3:3" customFormat="1" ht="21.95" customHeight="1" x14ac:dyDescent="0.15"/>
    <row r="10979" spans="3:3" customFormat="1" ht="21.95" customHeight="1" x14ac:dyDescent="0.15">
      <c r="C10979" s="94"/>
    </row>
    <row r="10980" spans="3:3" customFormat="1" ht="21.95" customHeight="1" x14ac:dyDescent="0.15">
      <c r="C10980" s="94"/>
    </row>
    <row r="10981" spans="3:3" customFormat="1" ht="21.95" customHeight="1" x14ac:dyDescent="0.15"/>
    <row r="10982" spans="3:3" customFormat="1" ht="21.95" customHeight="1" x14ac:dyDescent="0.15"/>
    <row r="10983" spans="3:3" customFormat="1" ht="21.95" customHeight="1" x14ac:dyDescent="0.15"/>
    <row r="10984" spans="3:3" customFormat="1" ht="21.95" customHeight="1" x14ac:dyDescent="0.15"/>
    <row r="10985" spans="3:3" customFormat="1" ht="21.95" customHeight="1" x14ac:dyDescent="0.15"/>
    <row r="10986" spans="3:3" customFormat="1" ht="21.95" customHeight="1" x14ac:dyDescent="0.15"/>
    <row r="10987" spans="3:3" customFormat="1" ht="21.95" customHeight="1" x14ac:dyDescent="0.15"/>
    <row r="10988" spans="3:3" s="76" customFormat="1" ht="21.95" customHeight="1" x14ac:dyDescent="0.15"/>
    <row r="10989" spans="3:3" s="76" customFormat="1" ht="21.95" customHeight="1" x14ac:dyDescent="0.15"/>
    <row r="10990" spans="3:3" s="76" customFormat="1" ht="21.95" customHeight="1" x14ac:dyDescent="0.15"/>
    <row r="10991" spans="3:3" s="76" customFormat="1" ht="21.95" customHeight="1" x14ac:dyDescent="0.15"/>
    <row r="10992" spans="3:3" customFormat="1" ht="21.95" customHeight="1" x14ac:dyDescent="0.15"/>
    <row r="10993" customFormat="1" ht="21.95" customHeight="1" x14ac:dyDescent="0.15"/>
    <row r="10994" customFormat="1" ht="21.95" customHeight="1" x14ac:dyDescent="0.15"/>
    <row r="10995" customFormat="1" ht="21.95" customHeight="1" x14ac:dyDescent="0.15"/>
    <row r="10996" customFormat="1" ht="21.95" customHeight="1" x14ac:dyDescent="0.15"/>
    <row r="10997" customFormat="1" ht="21.95" customHeight="1" x14ac:dyDescent="0.15"/>
    <row r="10998" customFormat="1" ht="21.95" customHeight="1" x14ac:dyDescent="0.15"/>
    <row r="10999" customFormat="1" ht="21.95" customHeight="1" x14ac:dyDescent="0.15"/>
    <row r="11000" customFormat="1" ht="21.95" customHeight="1" x14ac:dyDescent="0.15"/>
    <row r="11001" customFormat="1" ht="21.95" customHeight="1" x14ac:dyDescent="0.15"/>
    <row r="11002" customFormat="1" ht="21.95" customHeight="1" x14ac:dyDescent="0.15"/>
    <row r="11003" customFormat="1" ht="32.1" customHeight="1" x14ac:dyDescent="0.15"/>
    <row r="11004" customFormat="1" ht="32.1" customHeight="1" x14ac:dyDescent="0.15"/>
    <row r="11005" customFormat="1" ht="32.1" customHeight="1" x14ac:dyDescent="0.15"/>
    <row r="11006" customFormat="1" ht="32.1" customHeight="1" x14ac:dyDescent="0.15"/>
    <row r="11007" customFormat="1" ht="32.1" customHeight="1" x14ac:dyDescent="0.15"/>
    <row r="11008" customFormat="1" ht="32.1" customHeight="1" x14ac:dyDescent="0.15"/>
    <row r="11009" s="76" customFormat="1" ht="32.1" customHeight="1" x14ac:dyDescent="0.15"/>
    <row r="11010" s="76" customFormat="1" ht="32.1" customHeight="1" x14ac:dyDescent="0.15"/>
    <row r="11011" s="76" customFormat="1" ht="32.1" customHeight="1" x14ac:dyDescent="0.15"/>
    <row r="11012" s="76" customFormat="1" ht="32.1" customHeight="1" x14ac:dyDescent="0.15"/>
    <row r="11013" s="76" customFormat="1" ht="21.95" customHeight="1" x14ac:dyDescent="0.15"/>
    <row r="11014" s="76" customFormat="1" ht="54" customHeight="1" x14ac:dyDescent="0.15"/>
    <row r="11015" s="76" customFormat="1" ht="21.95" customHeight="1" x14ac:dyDescent="0.15"/>
    <row r="11016" s="76" customFormat="1" ht="21.95" customHeight="1" x14ac:dyDescent="0.15"/>
    <row r="11017" s="76" customFormat="1" ht="21.95" customHeight="1" x14ac:dyDescent="0.15"/>
    <row r="11018" s="76" customFormat="1" ht="21.95" customHeight="1" x14ac:dyDescent="0.15"/>
    <row r="11019" s="76" customFormat="1" ht="21.95" customHeight="1" x14ac:dyDescent="0.15"/>
    <row r="11020" s="76" customFormat="1" ht="21.95" customHeight="1" x14ac:dyDescent="0.15"/>
    <row r="11021" s="76" customFormat="1" ht="21.95" customHeight="1" x14ac:dyDescent="0.15"/>
    <row r="11022" s="76" customFormat="1" ht="21.95" customHeight="1" x14ac:dyDescent="0.15"/>
    <row r="11023" s="76" customFormat="1" ht="21.95" customHeight="1" x14ac:dyDescent="0.15"/>
    <row r="11024" s="76" customFormat="1" ht="21.95" customHeight="1" x14ac:dyDescent="0.15"/>
    <row r="11025" s="76" customFormat="1" ht="21.95" customHeight="1" x14ac:dyDescent="0.15"/>
    <row r="11026" s="76" customFormat="1" ht="21.95" customHeight="1" x14ac:dyDescent="0.15"/>
    <row r="11027" s="76" customFormat="1" ht="21.95" customHeight="1" x14ac:dyDescent="0.15"/>
    <row r="11028" s="76" customFormat="1" ht="21.95" customHeight="1" x14ac:dyDescent="0.15"/>
    <row r="11029" s="76" customFormat="1" ht="21.95" customHeight="1" x14ac:dyDescent="0.15"/>
    <row r="11030" s="76" customFormat="1" ht="21.95" customHeight="1" x14ac:dyDescent="0.15"/>
    <row r="11031" s="76" customFormat="1" ht="21.95" customHeight="1" x14ac:dyDescent="0.15"/>
    <row r="11032" s="76" customFormat="1" ht="21.95" customHeight="1" x14ac:dyDescent="0.15"/>
    <row r="11033" s="76" customFormat="1" ht="21.95" customHeight="1" x14ac:dyDescent="0.15"/>
    <row r="11034" s="76" customFormat="1" ht="21.95" customHeight="1" x14ac:dyDescent="0.15"/>
    <row r="11035" s="76" customFormat="1" ht="21.95" customHeight="1" x14ac:dyDescent="0.15"/>
    <row r="11036" s="76" customFormat="1" ht="21.95" customHeight="1" x14ac:dyDescent="0.15"/>
    <row r="11037" s="76" customFormat="1" ht="21.95" customHeight="1" x14ac:dyDescent="0.15"/>
    <row r="11038" s="76" customFormat="1" ht="21.95" customHeight="1" x14ac:dyDescent="0.15"/>
    <row r="11039" s="76" customFormat="1" ht="21.95" customHeight="1" x14ac:dyDescent="0.15"/>
    <row r="11040" s="76" customFormat="1" ht="21.95" customHeight="1" x14ac:dyDescent="0.15"/>
    <row r="11041" s="76" customFormat="1" ht="21.95" customHeight="1" x14ac:dyDescent="0.15"/>
    <row r="11042" s="76" customFormat="1" ht="21.95" customHeight="1" x14ac:dyDescent="0.15"/>
    <row r="11043" s="76" customFormat="1" ht="21.95" customHeight="1" x14ac:dyDescent="0.15"/>
    <row r="11044" s="76" customFormat="1" ht="21.95" customHeight="1" x14ac:dyDescent="0.15"/>
    <row r="11045" s="76" customFormat="1" ht="21.95" customHeight="1" x14ac:dyDescent="0.15"/>
    <row r="11046" s="76" customFormat="1" ht="21.95" customHeight="1" x14ac:dyDescent="0.15"/>
    <row r="11047" s="76" customFormat="1" ht="21.95" customHeight="1" x14ac:dyDescent="0.15"/>
    <row r="11048" s="76" customFormat="1" ht="21.95" customHeight="1" x14ac:dyDescent="0.15"/>
    <row r="11049" s="76" customFormat="1" ht="21.95" customHeight="1" x14ac:dyDescent="0.15"/>
    <row r="11050" s="76" customFormat="1" ht="21.95" customHeight="1" x14ac:dyDescent="0.15"/>
    <row r="11051" s="76" customFormat="1" ht="21.95" customHeight="1" x14ac:dyDescent="0.15"/>
    <row r="11052" s="76" customFormat="1" ht="21.95" customHeight="1" x14ac:dyDescent="0.15"/>
    <row r="11053" s="76" customFormat="1" ht="21.95" customHeight="1" x14ac:dyDescent="0.15"/>
    <row r="11054" s="76" customFormat="1" ht="21.95" customHeight="1" x14ac:dyDescent="0.15"/>
    <row r="11055" s="76" customFormat="1" ht="21.95" customHeight="1" x14ac:dyDescent="0.15"/>
    <row r="11056" s="76" customFormat="1" ht="21.95" customHeight="1" x14ac:dyDescent="0.15"/>
    <row r="11057" s="76" customFormat="1" ht="21.95" customHeight="1" x14ac:dyDescent="0.15"/>
    <row r="11058" s="76" customFormat="1" ht="21.95" customHeight="1" x14ac:dyDescent="0.15"/>
    <row r="11059" s="76" customFormat="1" ht="21.95" customHeight="1" x14ac:dyDescent="0.15"/>
    <row r="11060" s="76" customFormat="1" ht="21.95" customHeight="1" x14ac:dyDescent="0.15"/>
    <row r="11061" s="76" customFormat="1" ht="21.95" customHeight="1" x14ac:dyDescent="0.15"/>
    <row r="11062" s="76" customFormat="1" ht="21.95" customHeight="1" x14ac:dyDescent="0.15"/>
    <row r="11063" s="76" customFormat="1" ht="21.95" customHeight="1" x14ac:dyDescent="0.15"/>
    <row r="11064" s="76" customFormat="1" ht="21.95" customHeight="1" x14ac:dyDescent="0.15"/>
    <row r="11065" s="76" customFormat="1" ht="35.1" customHeight="1" x14ac:dyDescent="0.15"/>
    <row r="11066" s="76" customFormat="1" ht="21.95" customHeight="1" x14ac:dyDescent="0.15"/>
    <row r="11067" s="76" customFormat="1" ht="21.95" customHeight="1" x14ac:dyDescent="0.15"/>
    <row r="11068" s="76" customFormat="1" ht="21.95" customHeight="1" x14ac:dyDescent="0.15"/>
    <row r="11069" s="76" customFormat="1" ht="21.95" customHeight="1" x14ac:dyDescent="0.15"/>
    <row r="11070" s="76" customFormat="1" ht="21.95" customHeight="1" x14ac:dyDescent="0.15"/>
    <row r="11071" s="76" customFormat="1" ht="21.95" customHeight="1" x14ac:dyDescent="0.15"/>
    <row r="11072" s="76" customFormat="1" ht="21.95" customHeight="1" x14ac:dyDescent="0.15"/>
    <row r="11073" s="76" customFormat="1" ht="21.95" customHeight="1" x14ac:dyDescent="0.15"/>
    <row r="11074" s="76" customFormat="1" ht="21.95" customHeight="1" x14ac:dyDescent="0.15"/>
    <row r="11075" s="76" customFormat="1" ht="21.95" customHeight="1" x14ac:dyDescent="0.15"/>
    <row r="11076" s="76" customFormat="1" ht="21.95" customHeight="1" x14ac:dyDescent="0.15"/>
    <row r="11077" s="76" customFormat="1" ht="21.95" customHeight="1" x14ac:dyDescent="0.15"/>
    <row r="11078" s="76" customFormat="1" ht="21.95" customHeight="1" x14ac:dyDescent="0.15"/>
    <row r="11079" s="76" customFormat="1" ht="21.95" customHeight="1" x14ac:dyDescent="0.15"/>
    <row r="11080" s="76" customFormat="1" ht="21.95" customHeight="1" x14ac:dyDescent="0.15"/>
    <row r="11081" s="76" customFormat="1" ht="21.95" customHeight="1" x14ac:dyDescent="0.15"/>
    <row r="11082" s="76" customFormat="1" ht="21.95" customHeight="1" x14ac:dyDescent="0.15"/>
    <row r="11083" s="76" customFormat="1" ht="21.95" customHeight="1" x14ac:dyDescent="0.15"/>
    <row r="11084" s="76" customFormat="1" ht="21.95" customHeight="1" x14ac:dyDescent="0.15"/>
    <row r="11085" s="76" customFormat="1" ht="21.95" customHeight="1" x14ac:dyDescent="0.15"/>
    <row r="11086" s="76" customFormat="1" ht="21.95" customHeight="1" x14ac:dyDescent="0.15"/>
    <row r="11087" s="76" customFormat="1" ht="21.95" customHeight="1" x14ac:dyDescent="0.15"/>
    <row r="11088" s="76" customFormat="1" ht="21.95" customHeight="1" x14ac:dyDescent="0.15"/>
    <row r="11089" spans="3:3" customFormat="1" ht="21.95" customHeight="1" x14ac:dyDescent="0.15"/>
    <row r="11090" spans="3:3" customFormat="1" ht="21.95" customHeight="1" x14ac:dyDescent="0.15"/>
    <row r="11091" spans="3:3" customFormat="1" ht="21.95" customHeight="1" x14ac:dyDescent="0.15">
      <c r="C11091" s="94"/>
    </row>
    <row r="11092" spans="3:3" customFormat="1" ht="21.95" customHeight="1" x14ac:dyDescent="0.15">
      <c r="C11092" s="94"/>
    </row>
    <row r="11093" spans="3:3" customFormat="1" ht="21.95" customHeight="1" x14ac:dyDescent="0.15"/>
    <row r="11094" spans="3:3" customFormat="1" ht="21.95" customHeight="1" x14ac:dyDescent="0.15"/>
    <row r="11095" spans="3:3" customFormat="1" ht="21.95" customHeight="1" x14ac:dyDescent="0.15"/>
    <row r="11096" spans="3:3" customFormat="1" ht="21.95" customHeight="1" x14ac:dyDescent="0.15"/>
    <row r="11097" spans="3:3" customFormat="1" ht="21.95" customHeight="1" x14ac:dyDescent="0.15"/>
    <row r="11098" spans="3:3" customFormat="1" ht="21.95" customHeight="1" x14ac:dyDescent="0.15"/>
    <row r="11099" spans="3:3" customFormat="1" ht="21.95" customHeight="1" x14ac:dyDescent="0.15"/>
    <row r="11100" spans="3:3" s="76" customFormat="1" ht="21.95" customHeight="1" x14ac:dyDescent="0.15"/>
    <row r="11101" spans="3:3" s="76" customFormat="1" ht="21.95" customHeight="1" x14ac:dyDescent="0.15"/>
    <row r="11102" spans="3:3" s="76" customFormat="1" ht="21.95" customHeight="1" x14ac:dyDescent="0.15"/>
    <row r="11103" spans="3:3" s="76" customFormat="1" ht="21.95" customHeight="1" x14ac:dyDescent="0.15"/>
    <row r="11104" spans="3:3" customFormat="1" ht="21.95" customHeight="1" x14ac:dyDescent="0.15"/>
    <row r="11105" customFormat="1" ht="21.95" customHeight="1" x14ac:dyDescent="0.15"/>
    <row r="11106" customFormat="1" ht="21.95" customHeight="1" x14ac:dyDescent="0.15"/>
    <row r="11107" customFormat="1" ht="21.95" customHeight="1" x14ac:dyDescent="0.15"/>
    <row r="11108" customFormat="1" ht="21.95" customHeight="1" x14ac:dyDescent="0.15"/>
    <row r="11109" customFormat="1" ht="21.95" customHeight="1" x14ac:dyDescent="0.15"/>
    <row r="11110" customFormat="1" ht="21.95" customHeight="1" x14ac:dyDescent="0.15"/>
    <row r="11111" customFormat="1" ht="21.95" customHeight="1" x14ac:dyDescent="0.15"/>
    <row r="11112" customFormat="1" ht="21.95" customHeight="1" x14ac:dyDescent="0.15"/>
    <row r="11113" customFormat="1" ht="21.95" customHeight="1" x14ac:dyDescent="0.15"/>
    <row r="11114" customFormat="1" ht="21.95" customHeight="1" x14ac:dyDescent="0.15"/>
    <row r="11115" customFormat="1" ht="32.1" customHeight="1" x14ac:dyDescent="0.15"/>
    <row r="11116" customFormat="1" ht="32.1" customHeight="1" x14ac:dyDescent="0.15"/>
    <row r="11117" customFormat="1" ht="32.1" customHeight="1" x14ac:dyDescent="0.15"/>
    <row r="11118" customFormat="1" ht="32.1" customHeight="1" x14ac:dyDescent="0.15"/>
    <row r="11119" customFormat="1" ht="32.1" customHeight="1" x14ac:dyDescent="0.15"/>
    <row r="11120" customFormat="1" ht="32.1" customHeight="1" x14ac:dyDescent="0.15"/>
    <row r="11121" s="76" customFormat="1" ht="32.1" customHeight="1" x14ac:dyDescent="0.15"/>
    <row r="11122" s="76" customFormat="1" ht="32.1" customHeight="1" x14ac:dyDescent="0.15"/>
    <row r="11123" s="76" customFormat="1" ht="32.1" customHeight="1" x14ac:dyDescent="0.15"/>
    <row r="11124" s="76" customFormat="1" ht="32.1" customHeight="1" x14ac:dyDescent="0.15"/>
    <row r="11125" s="76" customFormat="1" ht="21.95" customHeight="1" x14ac:dyDescent="0.15"/>
    <row r="11126" s="76" customFormat="1" ht="54" customHeight="1" x14ac:dyDescent="0.15"/>
    <row r="11127" s="76" customFormat="1" ht="21.95" customHeight="1" x14ac:dyDescent="0.15"/>
    <row r="11128" s="76" customFormat="1" ht="21.95" customHeight="1" x14ac:dyDescent="0.15"/>
    <row r="11129" s="76" customFormat="1" ht="21.95" customHeight="1" x14ac:dyDescent="0.15"/>
    <row r="11130" s="76" customFormat="1" ht="21.95" customHeight="1" x14ac:dyDescent="0.15"/>
    <row r="11131" s="76" customFormat="1" ht="21.95" customHeight="1" x14ac:dyDescent="0.15"/>
    <row r="11132" s="76" customFormat="1" ht="21.95" customHeight="1" x14ac:dyDescent="0.15"/>
    <row r="11133" s="76" customFormat="1" ht="21.95" customHeight="1" x14ac:dyDescent="0.15"/>
    <row r="11134" s="76" customFormat="1" ht="21.95" customHeight="1" x14ac:dyDescent="0.15"/>
    <row r="11135" s="76" customFormat="1" ht="21.95" customHeight="1" x14ac:dyDescent="0.15"/>
    <row r="11136" s="76" customFormat="1" ht="21.95" customHeight="1" x14ac:dyDescent="0.15"/>
    <row r="11137" s="76" customFormat="1" ht="21.95" customHeight="1" x14ac:dyDescent="0.15"/>
    <row r="11138" s="76" customFormat="1" ht="21.95" customHeight="1" x14ac:dyDescent="0.15"/>
    <row r="11139" s="76" customFormat="1" ht="21.95" customHeight="1" x14ac:dyDescent="0.15"/>
    <row r="11140" s="76" customFormat="1" ht="21.95" customHeight="1" x14ac:dyDescent="0.15"/>
    <row r="11141" s="76" customFormat="1" ht="21.95" customHeight="1" x14ac:dyDescent="0.15"/>
    <row r="11142" s="76" customFormat="1" ht="21.95" customHeight="1" x14ac:dyDescent="0.15"/>
    <row r="11143" s="76" customFormat="1" ht="21.95" customHeight="1" x14ac:dyDescent="0.15"/>
    <row r="11144" s="76" customFormat="1" ht="21.95" customHeight="1" x14ac:dyDescent="0.15"/>
    <row r="11145" s="76" customFormat="1" ht="21.95" customHeight="1" x14ac:dyDescent="0.15"/>
    <row r="11146" s="76" customFormat="1" ht="21.95" customHeight="1" x14ac:dyDescent="0.15"/>
    <row r="11147" s="76" customFormat="1" ht="21.95" customHeight="1" x14ac:dyDescent="0.15"/>
    <row r="11148" s="76" customFormat="1" ht="21.95" customHeight="1" x14ac:dyDescent="0.15"/>
    <row r="11149" s="76" customFormat="1" ht="21.95" customHeight="1" x14ac:dyDescent="0.15"/>
    <row r="11150" s="76" customFormat="1" ht="21.95" customHeight="1" x14ac:dyDescent="0.15"/>
    <row r="11151" s="76" customFormat="1" ht="21.95" customHeight="1" x14ac:dyDescent="0.15"/>
    <row r="11152" s="76" customFormat="1" ht="21.95" customHeight="1" x14ac:dyDescent="0.15"/>
    <row r="11153" s="76" customFormat="1" ht="21.95" customHeight="1" x14ac:dyDescent="0.15"/>
    <row r="11154" s="76" customFormat="1" ht="21.95" customHeight="1" x14ac:dyDescent="0.15"/>
    <row r="11155" s="76" customFormat="1" ht="21.95" customHeight="1" x14ac:dyDescent="0.15"/>
    <row r="11156" s="76" customFormat="1" ht="21.95" customHeight="1" x14ac:dyDescent="0.15"/>
    <row r="11157" s="76" customFormat="1" ht="21.95" customHeight="1" x14ac:dyDescent="0.15"/>
    <row r="11158" s="76" customFormat="1" ht="21.95" customHeight="1" x14ac:dyDescent="0.15"/>
    <row r="11159" s="76" customFormat="1" ht="21.95" customHeight="1" x14ac:dyDescent="0.15"/>
    <row r="11160" s="76" customFormat="1" ht="21.95" customHeight="1" x14ac:dyDescent="0.15"/>
    <row r="11161" s="76" customFormat="1" ht="21.95" customHeight="1" x14ac:dyDescent="0.15"/>
    <row r="11162" s="76" customFormat="1" ht="21.95" customHeight="1" x14ac:dyDescent="0.15"/>
    <row r="11163" s="76" customFormat="1" ht="21.95" customHeight="1" x14ac:dyDescent="0.15"/>
    <row r="11164" s="76" customFormat="1" ht="21.95" customHeight="1" x14ac:dyDescent="0.15"/>
    <row r="11165" s="76" customFormat="1" ht="21.95" customHeight="1" x14ac:dyDescent="0.15"/>
    <row r="11166" s="76" customFormat="1" ht="21.95" customHeight="1" x14ac:dyDescent="0.15"/>
    <row r="11167" s="76" customFormat="1" ht="21.95" customHeight="1" x14ac:dyDescent="0.15"/>
    <row r="11168" s="76" customFormat="1" ht="21.95" customHeight="1" x14ac:dyDescent="0.15"/>
    <row r="11169" s="76" customFormat="1" ht="21.95" customHeight="1" x14ac:dyDescent="0.15"/>
    <row r="11170" s="76" customFormat="1" ht="21.95" customHeight="1" x14ac:dyDescent="0.15"/>
    <row r="11171" s="76" customFormat="1" ht="21.95" customHeight="1" x14ac:dyDescent="0.15"/>
    <row r="11172" s="76" customFormat="1" ht="21.95" customHeight="1" x14ac:dyDescent="0.15"/>
    <row r="11173" s="76" customFormat="1" ht="21.95" customHeight="1" x14ac:dyDescent="0.15"/>
    <row r="11174" s="76" customFormat="1" ht="21.95" customHeight="1" x14ac:dyDescent="0.15"/>
    <row r="11175" s="76" customFormat="1" ht="21.95" customHeight="1" x14ac:dyDescent="0.15"/>
    <row r="11176" s="76" customFormat="1" ht="21.95" customHeight="1" x14ac:dyDescent="0.15"/>
    <row r="11177" s="76" customFormat="1" ht="35.1" customHeight="1" x14ac:dyDescent="0.15"/>
    <row r="11178" s="76" customFormat="1" ht="21.95" customHeight="1" x14ac:dyDescent="0.15"/>
    <row r="11179" s="76" customFormat="1" ht="21.95" customHeight="1" x14ac:dyDescent="0.15"/>
    <row r="11180" s="76" customFormat="1" ht="21.95" customHeight="1" x14ac:dyDescent="0.15"/>
    <row r="11181" s="76" customFormat="1" ht="21.95" customHeight="1" x14ac:dyDescent="0.15"/>
    <row r="11182" s="76" customFormat="1" ht="21.95" customHeight="1" x14ac:dyDescent="0.15"/>
    <row r="11183" s="76" customFormat="1" ht="21.95" customHeight="1" x14ac:dyDescent="0.15"/>
    <row r="11184" s="76" customFormat="1" ht="21.95" customHeight="1" x14ac:dyDescent="0.15"/>
    <row r="11185" s="76" customFormat="1" ht="21.95" customHeight="1" x14ac:dyDescent="0.15"/>
    <row r="11186" s="76" customFormat="1" ht="21.95" customHeight="1" x14ac:dyDescent="0.15"/>
    <row r="11187" s="76" customFormat="1" ht="21.95" customHeight="1" x14ac:dyDescent="0.15"/>
    <row r="11188" s="76" customFormat="1" ht="21.95" customHeight="1" x14ac:dyDescent="0.15"/>
    <row r="11189" s="76" customFormat="1" ht="21.95" customHeight="1" x14ac:dyDescent="0.15"/>
    <row r="11190" s="76" customFormat="1" ht="21.95" customHeight="1" x14ac:dyDescent="0.15"/>
    <row r="11191" s="76" customFormat="1" ht="21.95" customHeight="1" x14ac:dyDescent="0.15"/>
    <row r="11192" s="76" customFormat="1" ht="21.95" customHeight="1" x14ac:dyDescent="0.15"/>
    <row r="11193" s="76" customFormat="1" ht="21.95" customHeight="1" x14ac:dyDescent="0.15"/>
    <row r="11194" s="76" customFormat="1" ht="21.95" customHeight="1" x14ac:dyDescent="0.15"/>
    <row r="11195" s="76" customFormat="1" ht="21.95" customHeight="1" x14ac:dyDescent="0.15"/>
    <row r="11196" s="76" customFormat="1" ht="21.95" customHeight="1" x14ac:dyDescent="0.15"/>
    <row r="11197" s="76" customFormat="1" ht="21.95" customHeight="1" x14ac:dyDescent="0.15"/>
    <row r="11198" s="76" customFormat="1" ht="21.95" customHeight="1" x14ac:dyDescent="0.15"/>
    <row r="11199" s="76" customFormat="1" ht="21.95" customHeight="1" x14ac:dyDescent="0.15"/>
    <row r="11200" s="76" customFormat="1" ht="21.95" customHeight="1" x14ac:dyDescent="0.15"/>
    <row r="11201" spans="3:3" customFormat="1" ht="21.95" customHeight="1" x14ac:dyDescent="0.15"/>
    <row r="11202" spans="3:3" customFormat="1" ht="21.95" customHeight="1" x14ac:dyDescent="0.15"/>
    <row r="11203" spans="3:3" customFormat="1" ht="21.95" customHeight="1" x14ac:dyDescent="0.15">
      <c r="C11203" s="94"/>
    </row>
    <row r="11204" spans="3:3" customFormat="1" ht="21.95" customHeight="1" x14ac:dyDescent="0.15">
      <c r="C11204" s="94"/>
    </row>
    <row r="11205" spans="3:3" customFormat="1" ht="21.95" customHeight="1" x14ac:dyDescent="0.15"/>
    <row r="11206" spans="3:3" customFormat="1" ht="21.95" customHeight="1" x14ac:dyDescent="0.15"/>
    <row r="11207" spans="3:3" customFormat="1" ht="21.95" customHeight="1" x14ac:dyDescent="0.15"/>
    <row r="11208" spans="3:3" customFormat="1" ht="21.95" customHeight="1" x14ac:dyDescent="0.15"/>
    <row r="11209" spans="3:3" customFormat="1" ht="21.95" customHeight="1" x14ac:dyDescent="0.15"/>
    <row r="11210" spans="3:3" customFormat="1" ht="21.95" customHeight="1" x14ac:dyDescent="0.15"/>
    <row r="11211" spans="3:3" customFormat="1" ht="21.95" customHeight="1" x14ac:dyDescent="0.15"/>
    <row r="11212" spans="3:3" s="76" customFormat="1" ht="21.95" customHeight="1" x14ac:dyDescent="0.15"/>
    <row r="11213" spans="3:3" s="76" customFormat="1" ht="21.95" customHeight="1" x14ac:dyDescent="0.15"/>
    <row r="11214" spans="3:3" s="76" customFormat="1" ht="21.95" customHeight="1" x14ac:dyDescent="0.15"/>
    <row r="11215" spans="3:3" s="76" customFormat="1" ht="21.95" customHeight="1" x14ac:dyDescent="0.15"/>
    <row r="11216" spans="3:3" customFormat="1" ht="21.95" customHeight="1" x14ac:dyDescent="0.15"/>
    <row r="11217" customFormat="1" ht="21.95" customHeight="1" x14ac:dyDescent="0.15"/>
    <row r="11218" customFormat="1" ht="21.95" customHeight="1" x14ac:dyDescent="0.15"/>
    <row r="11219" customFormat="1" ht="21.95" customHeight="1" x14ac:dyDescent="0.15"/>
    <row r="11220" customFormat="1" ht="21.95" customHeight="1" x14ac:dyDescent="0.15"/>
    <row r="11221" customFormat="1" ht="21.95" customHeight="1" x14ac:dyDescent="0.15"/>
    <row r="11222" customFormat="1" ht="21.95" customHeight="1" x14ac:dyDescent="0.15"/>
    <row r="11223" customFormat="1" ht="21.95" customHeight="1" x14ac:dyDescent="0.15"/>
    <row r="11224" customFormat="1" ht="21.95" customHeight="1" x14ac:dyDescent="0.15"/>
    <row r="11225" customFormat="1" ht="21.95" customHeight="1" x14ac:dyDescent="0.15"/>
    <row r="11226" customFormat="1" ht="21.95" customHeight="1" x14ac:dyDescent="0.15"/>
    <row r="11227" customFormat="1" ht="32.1" customHeight="1" x14ac:dyDescent="0.15"/>
    <row r="11228" customFormat="1" ht="32.1" customHeight="1" x14ac:dyDescent="0.15"/>
    <row r="11229" customFormat="1" ht="32.1" customHeight="1" x14ac:dyDescent="0.15"/>
    <row r="11230" customFormat="1" ht="32.1" customHeight="1" x14ac:dyDescent="0.15"/>
    <row r="11231" customFormat="1" ht="32.1" customHeight="1" x14ac:dyDescent="0.15"/>
    <row r="11232" customFormat="1" ht="32.1" customHeight="1" x14ac:dyDescent="0.15"/>
    <row r="11233" s="76" customFormat="1" ht="32.1" customHeight="1" x14ac:dyDescent="0.15"/>
    <row r="11234" s="76" customFormat="1" ht="32.1" customHeight="1" x14ac:dyDescent="0.15"/>
    <row r="11235" s="76" customFormat="1" ht="32.1" customHeight="1" x14ac:dyDescent="0.15"/>
    <row r="11236" s="76" customFormat="1" ht="32.1" customHeight="1" x14ac:dyDescent="0.15"/>
    <row r="11237" s="76" customFormat="1" ht="21.95" customHeight="1" x14ac:dyDescent="0.15"/>
    <row r="11238" s="76" customFormat="1" ht="54" customHeight="1" x14ac:dyDescent="0.15"/>
    <row r="11239" s="76" customFormat="1" ht="21.95" customHeight="1" x14ac:dyDescent="0.15"/>
    <row r="11240" s="76" customFormat="1" ht="21.95" customHeight="1" x14ac:dyDescent="0.15"/>
    <row r="11241" s="76" customFormat="1" ht="21.95" customHeight="1" x14ac:dyDescent="0.15"/>
    <row r="11242" s="76" customFormat="1" ht="21.95" customHeight="1" x14ac:dyDescent="0.15"/>
    <row r="11243" s="76" customFormat="1" ht="21.95" customHeight="1" x14ac:dyDescent="0.15"/>
    <row r="11244" s="76" customFormat="1" ht="21.95" customHeight="1" x14ac:dyDescent="0.15"/>
    <row r="11245" s="76" customFormat="1" ht="21.95" customHeight="1" x14ac:dyDescent="0.15"/>
    <row r="11246" s="76" customFormat="1" ht="21.95" customHeight="1" x14ac:dyDescent="0.15"/>
    <row r="11247" s="76" customFormat="1" ht="21.95" customHeight="1" x14ac:dyDescent="0.15"/>
    <row r="11248" s="76" customFormat="1" ht="21.95" customHeight="1" x14ac:dyDescent="0.15"/>
    <row r="11249" s="76" customFormat="1" ht="21.95" customHeight="1" x14ac:dyDescent="0.15"/>
    <row r="11250" s="76" customFormat="1" ht="21.95" customHeight="1" x14ac:dyDescent="0.15"/>
    <row r="11251" s="76" customFormat="1" ht="21.95" customHeight="1" x14ac:dyDescent="0.15"/>
    <row r="11252" s="76" customFormat="1" ht="21.95" customHeight="1" x14ac:dyDescent="0.15"/>
    <row r="11253" s="76" customFormat="1" ht="21.95" customHeight="1" x14ac:dyDescent="0.15"/>
    <row r="11254" s="76" customFormat="1" ht="21.95" customHeight="1" x14ac:dyDescent="0.15"/>
    <row r="11255" s="76" customFormat="1" ht="21.95" customHeight="1" x14ac:dyDescent="0.15"/>
    <row r="11256" s="76" customFormat="1" ht="21.95" customHeight="1" x14ac:dyDescent="0.15"/>
    <row r="11257" s="76" customFormat="1" ht="21.95" customHeight="1" x14ac:dyDescent="0.15"/>
    <row r="11258" s="76" customFormat="1" ht="21.95" customHeight="1" x14ac:dyDescent="0.15"/>
    <row r="11259" s="76" customFormat="1" ht="21.95" customHeight="1" x14ac:dyDescent="0.15"/>
    <row r="11260" s="76" customFormat="1" ht="21.95" customHeight="1" x14ac:dyDescent="0.15"/>
    <row r="11261" s="76" customFormat="1" ht="21.95" customHeight="1" x14ac:dyDescent="0.15"/>
    <row r="11262" s="76" customFormat="1" ht="21.95" customHeight="1" x14ac:dyDescent="0.15"/>
    <row r="11263" s="76" customFormat="1" ht="21.95" customHeight="1" x14ac:dyDescent="0.15"/>
    <row r="11264" s="76" customFormat="1" ht="21.95" customHeight="1" x14ac:dyDescent="0.15"/>
    <row r="11265" s="76" customFormat="1" ht="21.95" customHeight="1" x14ac:dyDescent="0.15"/>
    <row r="11266" s="76" customFormat="1" ht="21.95" customHeight="1" x14ac:dyDescent="0.15"/>
    <row r="11267" s="76" customFormat="1" ht="21.95" customHeight="1" x14ac:dyDescent="0.15"/>
    <row r="11268" s="76" customFormat="1" ht="21.95" customHeight="1" x14ac:dyDescent="0.15"/>
    <row r="11269" s="76" customFormat="1" ht="21.95" customHeight="1" x14ac:dyDescent="0.15"/>
    <row r="11270" s="76" customFormat="1" ht="21.95" customHeight="1" x14ac:dyDescent="0.15"/>
    <row r="11271" s="76" customFormat="1" ht="21.95" customHeight="1" x14ac:dyDescent="0.15"/>
    <row r="11272" s="76" customFormat="1" ht="21.95" customHeight="1" x14ac:dyDescent="0.15"/>
    <row r="11273" s="76" customFormat="1" ht="21.95" customHeight="1" x14ac:dyDescent="0.15"/>
    <row r="11274" s="76" customFormat="1" ht="21.95" customHeight="1" x14ac:dyDescent="0.15"/>
    <row r="11275" s="76" customFormat="1" ht="21.95" customHeight="1" x14ac:dyDescent="0.15"/>
    <row r="11276" s="76" customFormat="1" ht="21.95" customHeight="1" x14ac:dyDescent="0.15"/>
    <row r="11277" s="76" customFormat="1" ht="21.95" customHeight="1" x14ac:dyDescent="0.15"/>
    <row r="11278" s="76" customFormat="1" ht="21.95" customHeight="1" x14ac:dyDescent="0.15"/>
    <row r="11279" s="76" customFormat="1" ht="21.95" customHeight="1" x14ac:dyDescent="0.15"/>
    <row r="11280" s="76" customFormat="1" ht="21.95" customHeight="1" x14ac:dyDescent="0.15"/>
    <row r="11281" s="76" customFormat="1" ht="21.95" customHeight="1" x14ac:dyDescent="0.15"/>
    <row r="11282" s="76" customFormat="1" ht="21.95" customHeight="1" x14ac:dyDescent="0.15"/>
    <row r="11283" s="76" customFormat="1" ht="21.95" customHeight="1" x14ac:dyDescent="0.15"/>
    <row r="11284" s="76" customFormat="1" ht="21.95" customHeight="1" x14ac:dyDescent="0.15"/>
    <row r="11285" s="76" customFormat="1" ht="21.95" customHeight="1" x14ac:dyDescent="0.15"/>
    <row r="11286" s="76" customFormat="1" ht="21.95" customHeight="1" x14ac:dyDescent="0.15"/>
    <row r="11287" s="76" customFormat="1" ht="21.95" customHeight="1" x14ac:dyDescent="0.15"/>
    <row r="11288" s="76" customFormat="1" ht="21.95" customHeight="1" x14ac:dyDescent="0.15"/>
    <row r="11289" s="76" customFormat="1" ht="35.1" customHeight="1" x14ac:dyDescent="0.15"/>
    <row r="11290" s="76" customFormat="1" ht="21.95" customHeight="1" x14ac:dyDescent="0.15"/>
    <row r="11291" s="76" customFormat="1" ht="21.95" customHeight="1" x14ac:dyDescent="0.15"/>
    <row r="11292" s="76" customFormat="1" ht="21.95" customHeight="1" x14ac:dyDescent="0.15"/>
    <row r="11293" s="76" customFormat="1" ht="21.95" customHeight="1" x14ac:dyDescent="0.15"/>
    <row r="11294" s="76" customFormat="1" ht="21.95" customHeight="1" x14ac:dyDescent="0.15"/>
    <row r="11295" s="76" customFormat="1" ht="21.95" customHeight="1" x14ac:dyDescent="0.15"/>
    <row r="11296" s="76" customFormat="1" ht="21.95" customHeight="1" x14ac:dyDescent="0.15"/>
    <row r="11297" s="76" customFormat="1" ht="21.95" customHeight="1" x14ac:dyDescent="0.15"/>
    <row r="11298" s="76" customFormat="1" ht="21.95" customHeight="1" x14ac:dyDescent="0.15"/>
    <row r="11299" s="76" customFormat="1" ht="21.95" customHeight="1" x14ac:dyDescent="0.15"/>
    <row r="11300" s="76" customFormat="1" ht="21.95" customHeight="1" x14ac:dyDescent="0.15"/>
    <row r="11301" s="76" customFormat="1" ht="21.95" customHeight="1" x14ac:dyDescent="0.15"/>
    <row r="11302" s="76" customFormat="1" ht="21.95" customHeight="1" x14ac:dyDescent="0.15"/>
    <row r="11303" s="76" customFormat="1" ht="21.95" customHeight="1" x14ac:dyDescent="0.15"/>
    <row r="11304" s="76" customFormat="1" ht="21.95" customHeight="1" x14ac:dyDescent="0.15"/>
    <row r="11305" s="76" customFormat="1" ht="21.95" customHeight="1" x14ac:dyDescent="0.15"/>
    <row r="11306" s="76" customFormat="1" ht="21.95" customHeight="1" x14ac:dyDescent="0.15"/>
    <row r="11307" s="76" customFormat="1" ht="21.95" customHeight="1" x14ac:dyDescent="0.15"/>
    <row r="11308" s="76" customFormat="1" ht="21.95" customHeight="1" x14ac:dyDescent="0.15"/>
    <row r="11309" s="76" customFormat="1" ht="21.95" customHeight="1" x14ac:dyDescent="0.15"/>
    <row r="11310" s="76" customFormat="1" ht="21.95" customHeight="1" x14ac:dyDescent="0.15"/>
    <row r="11311" s="76" customFormat="1" ht="21.95" customHeight="1" x14ac:dyDescent="0.15"/>
    <row r="11312" s="76" customFormat="1" ht="21.95" customHeight="1" x14ac:dyDescent="0.15"/>
    <row r="11313" spans="3:3" customFormat="1" ht="21.95" customHeight="1" x14ac:dyDescent="0.15"/>
    <row r="11314" spans="3:3" customFormat="1" ht="21.95" customHeight="1" x14ac:dyDescent="0.15"/>
    <row r="11315" spans="3:3" customFormat="1" ht="21.95" customHeight="1" x14ac:dyDescent="0.15">
      <c r="C11315" s="94"/>
    </row>
    <row r="11316" spans="3:3" customFormat="1" ht="21.95" customHeight="1" x14ac:dyDescent="0.15">
      <c r="C11316" s="94"/>
    </row>
    <row r="11317" spans="3:3" customFormat="1" ht="21.95" customHeight="1" x14ac:dyDescent="0.15"/>
    <row r="11318" spans="3:3" customFormat="1" ht="21.95" customHeight="1" x14ac:dyDescent="0.15"/>
    <row r="11319" spans="3:3" customFormat="1" ht="21.95" customHeight="1" x14ac:dyDescent="0.15"/>
    <row r="11320" spans="3:3" customFormat="1" ht="21.95" customHeight="1" x14ac:dyDescent="0.15"/>
    <row r="11321" spans="3:3" customFormat="1" ht="21.95" customHeight="1" x14ac:dyDescent="0.15"/>
    <row r="11322" spans="3:3" customFormat="1" ht="21.95" customHeight="1" x14ac:dyDescent="0.15"/>
    <row r="11323" spans="3:3" customFormat="1" ht="21.95" customHeight="1" x14ac:dyDescent="0.15"/>
    <row r="11324" spans="3:3" s="76" customFormat="1" ht="21.95" customHeight="1" x14ac:dyDescent="0.15"/>
    <row r="11325" spans="3:3" s="76" customFormat="1" ht="21.95" customHeight="1" x14ac:dyDescent="0.15"/>
    <row r="11326" spans="3:3" s="76" customFormat="1" ht="21.95" customHeight="1" x14ac:dyDescent="0.15"/>
    <row r="11327" spans="3:3" s="76" customFormat="1" ht="21.95" customHeight="1" x14ac:dyDescent="0.15"/>
    <row r="11328" spans="3:3" customFormat="1" ht="21.95" customHeight="1" x14ac:dyDescent="0.15"/>
    <row r="11329" customFormat="1" ht="21.95" customHeight="1" x14ac:dyDescent="0.15"/>
    <row r="11330" customFormat="1" ht="21.95" customHeight="1" x14ac:dyDescent="0.15"/>
    <row r="11331" customFormat="1" ht="21.95" customHeight="1" x14ac:dyDescent="0.15"/>
    <row r="11332" customFormat="1" ht="21.95" customHeight="1" x14ac:dyDescent="0.15"/>
    <row r="11333" customFormat="1" ht="21.95" customHeight="1" x14ac:dyDescent="0.15"/>
    <row r="11334" customFormat="1" ht="21.95" customHeight="1" x14ac:dyDescent="0.15"/>
    <row r="11335" customFormat="1" ht="21.95" customHeight="1" x14ac:dyDescent="0.15"/>
    <row r="11336" customFormat="1" ht="21.95" customHeight="1" x14ac:dyDescent="0.15"/>
    <row r="11337" customFormat="1" ht="21.95" customHeight="1" x14ac:dyDescent="0.15"/>
    <row r="11338" customFormat="1" ht="21.95" customHeight="1" x14ac:dyDescent="0.15"/>
    <row r="11339" customFormat="1" ht="32.1" customHeight="1" x14ac:dyDescent="0.15"/>
    <row r="11340" customFormat="1" ht="32.1" customHeight="1" x14ac:dyDescent="0.15"/>
    <row r="11341" customFormat="1" ht="32.1" customHeight="1" x14ac:dyDescent="0.15"/>
    <row r="11342" customFormat="1" ht="32.1" customHeight="1" x14ac:dyDescent="0.15"/>
    <row r="11343" customFormat="1" ht="32.1" customHeight="1" x14ac:dyDescent="0.15"/>
    <row r="11344" customFormat="1" ht="32.1" customHeight="1" x14ac:dyDescent="0.15"/>
    <row r="11345" s="76" customFormat="1" ht="32.1" customHeight="1" x14ac:dyDescent="0.15"/>
    <row r="11346" s="76" customFormat="1" ht="32.1" customHeight="1" x14ac:dyDescent="0.15"/>
    <row r="11347" s="76" customFormat="1" ht="32.1" customHeight="1" x14ac:dyDescent="0.15"/>
    <row r="11348" s="76" customFormat="1" ht="32.1" customHeight="1" x14ac:dyDescent="0.15"/>
    <row r="11349" s="76" customFormat="1" ht="21.95" customHeight="1" x14ac:dyDescent="0.15"/>
    <row r="11350" s="76" customFormat="1" ht="54" customHeight="1" x14ac:dyDescent="0.15"/>
    <row r="11351" s="76" customFormat="1" ht="21.95" customHeight="1" x14ac:dyDescent="0.15"/>
    <row r="11352" s="76" customFormat="1" ht="21.95" customHeight="1" x14ac:dyDescent="0.15"/>
    <row r="11353" s="76" customFormat="1" ht="21.95" customHeight="1" x14ac:dyDescent="0.15"/>
    <row r="11354" s="76" customFormat="1" ht="21.95" customHeight="1" x14ac:dyDescent="0.15"/>
    <row r="11355" s="76" customFormat="1" ht="21.95" customHeight="1" x14ac:dyDescent="0.15"/>
    <row r="11356" s="76" customFormat="1" ht="21.95" customHeight="1" x14ac:dyDescent="0.15"/>
    <row r="11357" s="76" customFormat="1" ht="21.95" customHeight="1" x14ac:dyDescent="0.15"/>
    <row r="11358" s="76" customFormat="1" ht="21.95" customHeight="1" x14ac:dyDescent="0.15"/>
    <row r="11359" s="76" customFormat="1" ht="21.95" customHeight="1" x14ac:dyDescent="0.15"/>
    <row r="11360" s="76" customFormat="1" ht="21.95" customHeight="1" x14ac:dyDescent="0.15"/>
    <row r="11361" s="76" customFormat="1" ht="21.95" customHeight="1" x14ac:dyDescent="0.15"/>
    <row r="11362" s="76" customFormat="1" ht="21.95" customHeight="1" x14ac:dyDescent="0.15"/>
    <row r="11363" s="76" customFormat="1" ht="21.95" customHeight="1" x14ac:dyDescent="0.15"/>
    <row r="11364" s="76" customFormat="1" ht="21.95" customHeight="1" x14ac:dyDescent="0.15"/>
    <row r="11365" s="76" customFormat="1" ht="21.95" customHeight="1" x14ac:dyDescent="0.15"/>
    <row r="11366" s="76" customFormat="1" ht="21.95" customHeight="1" x14ac:dyDescent="0.15"/>
    <row r="11367" s="76" customFormat="1" ht="21.95" customHeight="1" x14ac:dyDescent="0.15"/>
    <row r="11368" s="76" customFormat="1" ht="21.95" customHeight="1" x14ac:dyDescent="0.15"/>
    <row r="11369" s="76" customFormat="1" ht="21.95" customHeight="1" x14ac:dyDescent="0.15"/>
    <row r="11370" s="76" customFormat="1" ht="21.95" customHeight="1" x14ac:dyDescent="0.15"/>
    <row r="11371" s="76" customFormat="1" ht="21.95" customHeight="1" x14ac:dyDescent="0.15"/>
    <row r="11372" s="76" customFormat="1" ht="21.95" customHeight="1" x14ac:dyDescent="0.15"/>
    <row r="11373" s="76" customFormat="1" ht="21.95" customHeight="1" x14ac:dyDescent="0.15"/>
    <row r="11374" s="76" customFormat="1" ht="21.95" customHeight="1" x14ac:dyDescent="0.15"/>
    <row r="11375" s="76" customFormat="1" ht="21.95" customHeight="1" x14ac:dyDescent="0.15"/>
    <row r="11376" s="76" customFormat="1" ht="21.95" customHeight="1" x14ac:dyDescent="0.15"/>
    <row r="11377" s="76" customFormat="1" ht="21.95" customHeight="1" x14ac:dyDescent="0.15"/>
    <row r="11378" s="76" customFormat="1" ht="21.95" customHeight="1" x14ac:dyDescent="0.15"/>
    <row r="11379" s="76" customFormat="1" ht="21.95" customHeight="1" x14ac:dyDescent="0.15"/>
    <row r="11380" s="76" customFormat="1" ht="21.95" customHeight="1" x14ac:dyDescent="0.15"/>
    <row r="11381" s="76" customFormat="1" ht="21.95" customHeight="1" x14ac:dyDescent="0.15"/>
    <row r="11382" s="76" customFormat="1" ht="21.95" customHeight="1" x14ac:dyDescent="0.15"/>
    <row r="11383" s="76" customFormat="1" ht="21.95" customHeight="1" x14ac:dyDescent="0.15"/>
    <row r="11384" s="76" customFormat="1" ht="21.95" customHeight="1" x14ac:dyDescent="0.15"/>
    <row r="11385" s="76" customFormat="1" ht="21.95" customHeight="1" x14ac:dyDescent="0.15"/>
    <row r="11386" s="76" customFormat="1" ht="21.95" customHeight="1" x14ac:dyDescent="0.15"/>
    <row r="11387" s="76" customFormat="1" ht="21.95" customHeight="1" x14ac:dyDescent="0.15"/>
    <row r="11388" s="76" customFormat="1" ht="21.95" customHeight="1" x14ac:dyDescent="0.15"/>
    <row r="11389" s="76" customFormat="1" ht="21.95" customHeight="1" x14ac:dyDescent="0.15"/>
    <row r="11390" s="76" customFormat="1" ht="21.95" customHeight="1" x14ac:dyDescent="0.15"/>
    <row r="11391" s="76" customFormat="1" ht="21.95" customHeight="1" x14ac:dyDescent="0.15"/>
    <row r="11392" s="76" customFormat="1" ht="21.95" customHeight="1" x14ac:dyDescent="0.15"/>
    <row r="11393" s="76" customFormat="1" ht="21.95" customHeight="1" x14ac:dyDescent="0.15"/>
    <row r="11394" s="76" customFormat="1" ht="21.95" customHeight="1" x14ac:dyDescent="0.15"/>
    <row r="11395" s="76" customFormat="1" ht="21.95" customHeight="1" x14ac:dyDescent="0.15"/>
    <row r="11396" s="76" customFormat="1" ht="21.95" customHeight="1" x14ac:dyDescent="0.15"/>
    <row r="11397" s="76" customFormat="1" ht="21.95" customHeight="1" x14ac:dyDescent="0.15"/>
    <row r="11398" s="76" customFormat="1" ht="21.95" customHeight="1" x14ac:dyDescent="0.15"/>
    <row r="11399" s="76" customFormat="1" ht="21.95" customHeight="1" x14ac:dyDescent="0.15"/>
    <row r="11400" s="76" customFormat="1" ht="21.95" customHeight="1" x14ac:dyDescent="0.15"/>
    <row r="11401" s="76" customFormat="1" ht="35.1" customHeight="1" x14ac:dyDescent="0.15"/>
    <row r="11402" s="76" customFormat="1" ht="21.95" customHeight="1" x14ac:dyDescent="0.15"/>
    <row r="11403" s="76" customFormat="1" ht="21.95" customHeight="1" x14ac:dyDescent="0.15"/>
    <row r="11404" s="76" customFormat="1" ht="21.95" customHeight="1" x14ac:dyDescent="0.15"/>
    <row r="11405" s="76" customFormat="1" ht="21.95" customHeight="1" x14ac:dyDescent="0.15"/>
    <row r="11406" s="76" customFormat="1" ht="21.95" customHeight="1" x14ac:dyDescent="0.15"/>
    <row r="11407" s="76" customFormat="1" ht="21.95" customHeight="1" x14ac:dyDescent="0.15"/>
    <row r="11408" s="76" customFormat="1" ht="21.95" customHeight="1" x14ac:dyDescent="0.15"/>
    <row r="11409" s="76" customFormat="1" ht="21.95" customHeight="1" x14ac:dyDescent="0.15"/>
    <row r="11410" s="76" customFormat="1" ht="21.95" customHeight="1" x14ac:dyDescent="0.15"/>
    <row r="11411" s="76" customFormat="1" ht="21.95" customHeight="1" x14ac:dyDescent="0.15"/>
    <row r="11412" s="76" customFormat="1" ht="21.95" customHeight="1" x14ac:dyDescent="0.15"/>
    <row r="11413" s="76" customFormat="1" ht="21.95" customHeight="1" x14ac:dyDescent="0.15"/>
    <row r="11414" s="76" customFormat="1" ht="21.95" customHeight="1" x14ac:dyDescent="0.15"/>
    <row r="11415" s="76" customFormat="1" ht="21.95" customHeight="1" x14ac:dyDescent="0.15"/>
    <row r="11416" s="76" customFormat="1" ht="21.95" customHeight="1" x14ac:dyDescent="0.15"/>
    <row r="11417" s="76" customFormat="1" ht="21.95" customHeight="1" x14ac:dyDescent="0.15"/>
    <row r="11418" s="76" customFormat="1" ht="21.95" customHeight="1" x14ac:dyDescent="0.15"/>
    <row r="11419" s="76" customFormat="1" ht="21.95" customHeight="1" x14ac:dyDescent="0.15"/>
    <row r="11420" s="76" customFormat="1" ht="21.95" customHeight="1" x14ac:dyDescent="0.15"/>
    <row r="11421" s="76" customFormat="1" ht="21.95" customHeight="1" x14ac:dyDescent="0.15"/>
    <row r="11422" s="76" customFormat="1" ht="21.95" customHeight="1" x14ac:dyDescent="0.15"/>
    <row r="11423" s="76" customFormat="1" ht="21.95" customHeight="1" x14ac:dyDescent="0.15"/>
    <row r="11424" s="76" customFormat="1" ht="21.95" customHeight="1" x14ac:dyDescent="0.15"/>
    <row r="11425" spans="3:3" customFormat="1" ht="21.95" customHeight="1" x14ac:dyDescent="0.15"/>
    <row r="11426" spans="3:3" customFormat="1" ht="21.95" customHeight="1" x14ac:dyDescent="0.15"/>
    <row r="11427" spans="3:3" customFormat="1" ht="21.95" customHeight="1" x14ac:dyDescent="0.15">
      <c r="C11427" s="94"/>
    </row>
    <row r="11428" spans="3:3" customFormat="1" ht="21.95" customHeight="1" x14ac:dyDescent="0.15">
      <c r="C11428" s="94"/>
    </row>
    <row r="11429" spans="3:3" customFormat="1" ht="21.95" customHeight="1" x14ac:dyDescent="0.15"/>
    <row r="11430" spans="3:3" customFormat="1" ht="21.95" customHeight="1" x14ac:dyDescent="0.15"/>
    <row r="11431" spans="3:3" customFormat="1" ht="21.95" customHeight="1" x14ac:dyDescent="0.15"/>
    <row r="11432" spans="3:3" customFormat="1" ht="21.95" customHeight="1" x14ac:dyDescent="0.15"/>
    <row r="11433" spans="3:3" customFormat="1" ht="21.95" customHeight="1" x14ac:dyDescent="0.15"/>
    <row r="11434" spans="3:3" customFormat="1" ht="21.95" customHeight="1" x14ac:dyDescent="0.15"/>
    <row r="11435" spans="3:3" customFormat="1" ht="21.95" customHeight="1" x14ac:dyDescent="0.15"/>
    <row r="11436" spans="3:3" s="76" customFormat="1" ht="21.95" customHeight="1" x14ac:dyDescent="0.15"/>
    <row r="11437" spans="3:3" s="76" customFormat="1" ht="21.95" customHeight="1" x14ac:dyDescent="0.15"/>
    <row r="11438" spans="3:3" s="76" customFormat="1" ht="21.95" customHeight="1" x14ac:dyDescent="0.15"/>
    <row r="11439" spans="3:3" s="76" customFormat="1" ht="21.95" customHeight="1" x14ac:dyDescent="0.15"/>
    <row r="11440" spans="3:3" customFormat="1" ht="21.95" customHeight="1" x14ac:dyDescent="0.15"/>
    <row r="11441" customFormat="1" ht="21.95" customHeight="1" x14ac:dyDescent="0.15"/>
    <row r="11442" customFormat="1" ht="21.95" customHeight="1" x14ac:dyDescent="0.15"/>
    <row r="11443" customFormat="1" ht="21.95" customHeight="1" x14ac:dyDescent="0.15"/>
    <row r="11444" customFormat="1" ht="21.95" customHeight="1" x14ac:dyDescent="0.15"/>
    <row r="11445" customFormat="1" ht="21.95" customHeight="1" x14ac:dyDescent="0.15"/>
    <row r="11446" customFormat="1" ht="21.95" customHeight="1" x14ac:dyDescent="0.15"/>
    <row r="11447" customFormat="1" ht="21.95" customHeight="1" x14ac:dyDescent="0.15"/>
    <row r="11448" customFormat="1" ht="21.95" customHeight="1" x14ac:dyDescent="0.15"/>
    <row r="11449" customFormat="1" ht="21.95" customHeight="1" x14ac:dyDescent="0.15"/>
    <row r="11450" customFormat="1" ht="21.95" customHeight="1" x14ac:dyDescent="0.15"/>
    <row r="11451" customFormat="1" ht="32.1" customHeight="1" x14ac:dyDescent="0.15"/>
    <row r="11452" customFormat="1" ht="32.1" customHeight="1" x14ac:dyDescent="0.15"/>
    <row r="11453" customFormat="1" ht="32.1" customHeight="1" x14ac:dyDescent="0.15"/>
    <row r="11454" customFormat="1" ht="32.1" customHeight="1" x14ac:dyDescent="0.15"/>
    <row r="11455" customFormat="1" ht="32.1" customHeight="1" x14ac:dyDescent="0.15"/>
    <row r="11456" customFormat="1" ht="32.1" customHeight="1" x14ac:dyDescent="0.15"/>
    <row r="11457" s="76" customFormat="1" ht="32.1" customHeight="1" x14ac:dyDescent="0.15"/>
    <row r="11458" s="76" customFormat="1" ht="32.1" customHeight="1" x14ac:dyDescent="0.15"/>
    <row r="11459" s="76" customFormat="1" ht="32.1" customHeight="1" x14ac:dyDescent="0.15"/>
    <row r="11460" s="76" customFormat="1" ht="32.1" customHeight="1" x14ac:dyDescent="0.15"/>
    <row r="11461" s="76" customFormat="1" ht="21.95" customHeight="1" x14ac:dyDescent="0.15"/>
    <row r="11462" s="76" customFormat="1" ht="54" customHeight="1" x14ac:dyDescent="0.15"/>
    <row r="11463" s="76" customFormat="1" ht="21.95" customHeight="1" x14ac:dyDescent="0.15"/>
    <row r="11464" s="76" customFormat="1" ht="21.95" customHeight="1" x14ac:dyDescent="0.15"/>
    <row r="11465" s="76" customFormat="1" ht="21.95" customHeight="1" x14ac:dyDescent="0.15"/>
    <row r="11466" s="76" customFormat="1" ht="21.95" customHeight="1" x14ac:dyDescent="0.15"/>
    <row r="11467" s="76" customFormat="1" ht="21.95" customHeight="1" x14ac:dyDescent="0.15"/>
    <row r="11468" s="76" customFormat="1" ht="21.95" customHeight="1" x14ac:dyDescent="0.15"/>
    <row r="11469" s="76" customFormat="1" ht="21.95" customHeight="1" x14ac:dyDescent="0.15"/>
    <row r="11470" s="76" customFormat="1" ht="21.95" customHeight="1" x14ac:dyDescent="0.15"/>
    <row r="11471" s="76" customFormat="1" ht="21.95" customHeight="1" x14ac:dyDescent="0.15"/>
    <row r="11472" s="76" customFormat="1" ht="21.95" customHeight="1" x14ac:dyDescent="0.15"/>
    <row r="11473" s="76" customFormat="1" ht="21.95" customHeight="1" x14ac:dyDescent="0.15"/>
    <row r="11474" s="76" customFormat="1" ht="21.95" customHeight="1" x14ac:dyDescent="0.15"/>
    <row r="11475" s="76" customFormat="1" ht="21.95" customHeight="1" x14ac:dyDescent="0.15"/>
    <row r="11476" s="76" customFormat="1" ht="21.95" customHeight="1" x14ac:dyDescent="0.15"/>
    <row r="11477" s="76" customFormat="1" ht="21.95" customHeight="1" x14ac:dyDescent="0.15"/>
    <row r="11478" s="76" customFormat="1" ht="21.95" customHeight="1" x14ac:dyDescent="0.15"/>
    <row r="11479" s="76" customFormat="1" ht="21.95" customHeight="1" x14ac:dyDescent="0.15"/>
    <row r="11480" s="76" customFormat="1" ht="21.95" customHeight="1" x14ac:dyDescent="0.15"/>
    <row r="11481" s="76" customFormat="1" ht="21.95" customHeight="1" x14ac:dyDescent="0.15"/>
    <row r="11482" s="76" customFormat="1" ht="21.95" customHeight="1" x14ac:dyDescent="0.15"/>
    <row r="11483" s="76" customFormat="1" ht="21.95" customHeight="1" x14ac:dyDescent="0.15"/>
    <row r="11484" s="76" customFormat="1" ht="21.95" customHeight="1" x14ac:dyDescent="0.15"/>
    <row r="11485" s="76" customFormat="1" ht="21.95" customHeight="1" x14ac:dyDescent="0.15"/>
    <row r="11486" s="76" customFormat="1" ht="21.95" customHeight="1" x14ac:dyDescent="0.15"/>
    <row r="11487" s="76" customFormat="1" ht="21.95" customHeight="1" x14ac:dyDescent="0.15"/>
    <row r="11488" s="76" customFormat="1" ht="21.95" customHeight="1" x14ac:dyDescent="0.15"/>
    <row r="11489" s="76" customFormat="1" ht="21.95" customHeight="1" x14ac:dyDescent="0.15"/>
    <row r="11490" s="76" customFormat="1" ht="21.95" customHeight="1" x14ac:dyDescent="0.15"/>
    <row r="11491" s="76" customFormat="1" ht="21.95" customHeight="1" x14ac:dyDescent="0.15"/>
    <row r="11492" s="76" customFormat="1" ht="21.95" customHeight="1" x14ac:dyDescent="0.15"/>
    <row r="11493" s="76" customFormat="1" ht="21.95" customHeight="1" x14ac:dyDescent="0.15"/>
    <row r="11494" s="76" customFormat="1" ht="21.95" customHeight="1" x14ac:dyDescent="0.15"/>
    <row r="11495" s="76" customFormat="1" ht="21.95" customHeight="1" x14ac:dyDescent="0.15"/>
    <row r="11496" s="76" customFormat="1" ht="21.95" customHeight="1" x14ac:dyDescent="0.15"/>
    <row r="11497" s="76" customFormat="1" ht="21.95" customHeight="1" x14ac:dyDescent="0.15"/>
    <row r="11498" s="76" customFormat="1" ht="21.95" customHeight="1" x14ac:dyDescent="0.15"/>
    <row r="11499" s="76" customFormat="1" ht="21.95" customHeight="1" x14ac:dyDescent="0.15"/>
    <row r="11500" s="76" customFormat="1" ht="21.95" customHeight="1" x14ac:dyDescent="0.15"/>
    <row r="11501" s="76" customFormat="1" ht="21.95" customHeight="1" x14ac:dyDescent="0.15"/>
    <row r="11502" s="76" customFormat="1" ht="21.95" customHeight="1" x14ac:dyDescent="0.15"/>
    <row r="11503" s="76" customFormat="1" ht="21.95" customHeight="1" x14ac:dyDescent="0.15"/>
    <row r="11504" s="76" customFormat="1" ht="21.95" customHeight="1" x14ac:dyDescent="0.15"/>
    <row r="11505" s="76" customFormat="1" ht="21.95" customHeight="1" x14ac:dyDescent="0.15"/>
    <row r="11506" s="76" customFormat="1" ht="21.95" customHeight="1" x14ac:dyDescent="0.15"/>
    <row r="11507" s="76" customFormat="1" ht="21.95" customHeight="1" x14ac:dyDescent="0.15"/>
    <row r="11508" s="76" customFormat="1" ht="21.95" customHeight="1" x14ac:dyDescent="0.15"/>
    <row r="11509" s="76" customFormat="1" ht="21.95" customHeight="1" x14ac:dyDescent="0.15"/>
    <row r="11510" s="76" customFormat="1" ht="21.95" customHeight="1" x14ac:dyDescent="0.15"/>
    <row r="11511" s="76" customFormat="1" ht="21.95" customHeight="1" x14ac:dyDescent="0.15"/>
    <row r="11512" s="76" customFormat="1" ht="21.95" customHeight="1" x14ac:dyDescent="0.15"/>
    <row r="11513" s="76" customFormat="1" ht="35.1" customHeight="1" x14ac:dyDescent="0.15"/>
    <row r="11514" s="76" customFormat="1" ht="21.95" customHeight="1" x14ac:dyDescent="0.15"/>
    <row r="11515" s="76" customFormat="1" ht="21.95" customHeight="1" x14ac:dyDescent="0.15"/>
    <row r="11516" s="76" customFormat="1" ht="21.95" customHeight="1" x14ac:dyDescent="0.15"/>
    <row r="11517" s="76" customFormat="1" ht="21.95" customHeight="1" x14ac:dyDescent="0.15"/>
    <row r="11518" s="76" customFormat="1" ht="21.95" customHeight="1" x14ac:dyDescent="0.15"/>
    <row r="11519" s="76" customFormat="1" ht="21.95" customHeight="1" x14ac:dyDescent="0.15"/>
    <row r="11520" s="76" customFormat="1" ht="21.95" customHeight="1" x14ac:dyDescent="0.15"/>
    <row r="11521" s="76" customFormat="1" ht="21.95" customHeight="1" x14ac:dyDescent="0.15"/>
    <row r="11522" s="76" customFormat="1" ht="21.95" customHeight="1" x14ac:dyDescent="0.15"/>
    <row r="11523" s="76" customFormat="1" ht="21.95" customHeight="1" x14ac:dyDescent="0.15"/>
    <row r="11524" s="76" customFormat="1" ht="21.95" customHeight="1" x14ac:dyDescent="0.15"/>
    <row r="11525" s="76" customFormat="1" ht="21.95" customHeight="1" x14ac:dyDescent="0.15"/>
    <row r="11526" s="76" customFormat="1" ht="21.95" customHeight="1" x14ac:dyDescent="0.15"/>
    <row r="11527" s="76" customFormat="1" ht="21.95" customHeight="1" x14ac:dyDescent="0.15"/>
    <row r="11528" s="76" customFormat="1" ht="21.95" customHeight="1" x14ac:dyDescent="0.15"/>
    <row r="11529" s="76" customFormat="1" ht="21.95" customHeight="1" x14ac:dyDescent="0.15"/>
    <row r="11530" s="76" customFormat="1" ht="21.95" customHeight="1" x14ac:dyDescent="0.15"/>
    <row r="11531" s="76" customFormat="1" ht="21.95" customHeight="1" x14ac:dyDescent="0.15"/>
    <row r="11532" s="76" customFormat="1" ht="21.95" customHeight="1" x14ac:dyDescent="0.15"/>
    <row r="11533" s="76" customFormat="1" ht="21.95" customHeight="1" x14ac:dyDescent="0.15"/>
    <row r="11534" s="76" customFormat="1" ht="21.95" customHeight="1" x14ac:dyDescent="0.15"/>
    <row r="11535" s="76" customFormat="1" ht="21.95" customHeight="1" x14ac:dyDescent="0.15"/>
    <row r="11536" s="76" customFormat="1" ht="21.95" customHeight="1" x14ac:dyDescent="0.15"/>
    <row r="11537" spans="3:3" customFormat="1" ht="21.95" customHeight="1" x14ac:dyDescent="0.15"/>
    <row r="11538" spans="3:3" customFormat="1" ht="21.95" customHeight="1" x14ac:dyDescent="0.15"/>
    <row r="11539" spans="3:3" customFormat="1" ht="21.95" customHeight="1" x14ac:dyDescent="0.15">
      <c r="C11539" s="94"/>
    </row>
    <row r="11540" spans="3:3" customFormat="1" ht="21.95" customHeight="1" x14ac:dyDescent="0.15">
      <c r="C11540" s="94"/>
    </row>
    <row r="11541" spans="3:3" customFormat="1" ht="21.95" customHeight="1" x14ac:dyDescent="0.15"/>
    <row r="11542" spans="3:3" customFormat="1" ht="21.95" customHeight="1" x14ac:dyDescent="0.15"/>
    <row r="11543" spans="3:3" customFormat="1" ht="21.95" customHeight="1" x14ac:dyDescent="0.15"/>
    <row r="11544" spans="3:3" customFormat="1" ht="21.95" customHeight="1" x14ac:dyDescent="0.15"/>
    <row r="11545" spans="3:3" customFormat="1" ht="21.95" customHeight="1" x14ac:dyDescent="0.15"/>
    <row r="11546" spans="3:3" customFormat="1" ht="21.95" customHeight="1" x14ac:dyDescent="0.15"/>
    <row r="11547" spans="3:3" customFormat="1" ht="21.95" customHeight="1" x14ac:dyDescent="0.15"/>
    <row r="11548" spans="3:3" s="76" customFormat="1" ht="21.95" customHeight="1" x14ac:dyDescent="0.15"/>
    <row r="11549" spans="3:3" s="76" customFormat="1" ht="21.95" customHeight="1" x14ac:dyDescent="0.15"/>
    <row r="11550" spans="3:3" s="76" customFormat="1" ht="21.95" customHeight="1" x14ac:dyDescent="0.15"/>
    <row r="11551" spans="3:3" s="76" customFormat="1" ht="21.95" customHeight="1" x14ac:dyDescent="0.15"/>
    <row r="11552" spans="3:3" customFormat="1" ht="21.95" customHeight="1" x14ac:dyDescent="0.15"/>
    <row r="11553" customFormat="1" ht="21.95" customHeight="1" x14ac:dyDescent="0.15"/>
    <row r="11554" customFormat="1" ht="21.95" customHeight="1" x14ac:dyDescent="0.15"/>
    <row r="11555" customFormat="1" ht="21.95" customHeight="1" x14ac:dyDescent="0.15"/>
    <row r="11556" customFormat="1" ht="21.95" customHeight="1" x14ac:dyDescent="0.15"/>
    <row r="11557" customFormat="1" ht="21.95" customHeight="1" x14ac:dyDescent="0.15"/>
    <row r="11558" customFormat="1" ht="21.95" customHeight="1" x14ac:dyDescent="0.15"/>
    <row r="11559" customFormat="1" ht="21.95" customHeight="1" x14ac:dyDescent="0.15"/>
    <row r="11560" customFormat="1" ht="21.95" customHeight="1" x14ac:dyDescent="0.15"/>
    <row r="11561" customFormat="1" ht="21.95" customHeight="1" x14ac:dyDescent="0.15"/>
    <row r="11562" customFormat="1" ht="21.95" customHeight="1" x14ac:dyDescent="0.15"/>
    <row r="11563" customFormat="1" ht="32.1" customHeight="1" x14ac:dyDescent="0.15"/>
    <row r="11564" customFormat="1" ht="32.1" customHeight="1" x14ac:dyDescent="0.15"/>
    <row r="11565" customFormat="1" ht="32.1" customHeight="1" x14ac:dyDescent="0.15"/>
    <row r="11566" customFormat="1" ht="32.1" customHeight="1" x14ac:dyDescent="0.15"/>
    <row r="11567" customFormat="1" ht="32.1" customHeight="1" x14ac:dyDescent="0.15"/>
    <row r="11568" customFormat="1" ht="32.1" customHeight="1" x14ac:dyDescent="0.15"/>
    <row r="11569" s="76" customFormat="1" ht="32.1" customHeight="1" x14ac:dyDescent="0.15"/>
    <row r="11570" s="76" customFormat="1" ht="32.1" customHeight="1" x14ac:dyDescent="0.15"/>
    <row r="11571" s="76" customFormat="1" ht="32.1" customHeight="1" x14ac:dyDescent="0.15"/>
    <row r="11572" s="76" customFormat="1" ht="32.1" customHeight="1" x14ac:dyDescent="0.15"/>
    <row r="11573" s="76" customFormat="1" ht="21.95" customHeight="1" x14ac:dyDescent="0.15"/>
    <row r="11574" s="76" customFormat="1" ht="54" customHeight="1" x14ac:dyDescent="0.15"/>
    <row r="11575" s="76" customFormat="1" ht="21.95" customHeight="1" x14ac:dyDescent="0.15"/>
    <row r="11576" s="76" customFormat="1" ht="21.95" customHeight="1" x14ac:dyDescent="0.15"/>
    <row r="11577" s="76" customFormat="1" ht="21.95" customHeight="1" x14ac:dyDescent="0.15"/>
    <row r="11578" s="76" customFormat="1" ht="21.95" customHeight="1" x14ac:dyDescent="0.15"/>
    <row r="11579" s="76" customFormat="1" ht="21.95" customHeight="1" x14ac:dyDescent="0.15"/>
    <row r="11580" s="76" customFormat="1" ht="21.95" customHeight="1" x14ac:dyDescent="0.15"/>
    <row r="11581" s="76" customFormat="1" ht="21.95" customHeight="1" x14ac:dyDescent="0.15"/>
    <row r="11582" s="76" customFormat="1" ht="21.95" customHeight="1" x14ac:dyDescent="0.15"/>
    <row r="11583" s="76" customFormat="1" ht="21.95" customHeight="1" x14ac:dyDescent="0.15"/>
    <row r="11584" s="76" customFormat="1" ht="21.95" customHeight="1" x14ac:dyDescent="0.15"/>
    <row r="11585" s="76" customFormat="1" ht="21.95" customHeight="1" x14ac:dyDescent="0.15"/>
    <row r="11586" s="76" customFormat="1" ht="21.95" customHeight="1" x14ac:dyDescent="0.15"/>
    <row r="11587" s="76" customFormat="1" ht="21.95" customHeight="1" x14ac:dyDescent="0.15"/>
    <row r="11588" s="76" customFormat="1" ht="21.95" customHeight="1" x14ac:dyDescent="0.15"/>
    <row r="11589" s="76" customFormat="1" ht="21.95" customHeight="1" x14ac:dyDescent="0.15"/>
    <row r="11590" s="76" customFormat="1" ht="21.95" customHeight="1" x14ac:dyDescent="0.15"/>
    <row r="11591" s="76" customFormat="1" ht="21.95" customHeight="1" x14ac:dyDescent="0.15"/>
    <row r="11592" s="76" customFormat="1" ht="21.95" customHeight="1" x14ac:dyDescent="0.15"/>
    <row r="11593" s="76" customFormat="1" ht="21.95" customHeight="1" x14ac:dyDescent="0.15"/>
    <row r="11594" s="76" customFormat="1" ht="21.95" customHeight="1" x14ac:dyDescent="0.15"/>
    <row r="11595" s="76" customFormat="1" ht="21.95" customHeight="1" x14ac:dyDescent="0.15"/>
    <row r="11596" s="76" customFormat="1" ht="21.95" customHeight="1" x14ac:dyDescent="0.15"/>
    <row r="11597" s="76" customFormat="1" ht="21.95" customHeight="1" x14ac:dyDescent="0.15"/>
    <row r="11598" s="76" customFormat="1" ht="21.95" customHeight="1" x14ac:dyDescent="0.15"/>
    <row r="11599" s="76" customFormat="1" ht="21.95" customHeight="1" x14ac:dyDescent="0.15"/>
    <row r="11600" s="76" customFormat="1" ht="21.95" customHeight="1" x14ac:dyDescent="0.15"/>
    <row r="11601" s="76" customFormat="1" ht="21.95" customHeight="1" x14ac:dyDescent="0.15"/>
    <row r="11602" s="76" customFormat="1" ht="21.95" customHeight="1" x14ac:dyDescent="0.15"/>
    <row r="11603" s="76" customFormat="1" ht="21.95" customHeight="1" x14ac:dyDescent="0.15"/>
    <row r="11604" s="76" customFormat="1" ht="21.95" customHeight="1" x14ac:dyDescent="0.15"/>
    <row r="11605" s="76" customFormat="1" ht="21.95" customHeight="1" x14ac:dyDescent="0.15"/>
    <row r="11606" s="76" customFormat="1" ht="21.95" customHeight="1" x14ac:dyDescent="0.15"/>
    <row r="11607" s="76" customFormat="1" ht="21.95" customHeight="1" x14ac:dyDescent="0.15"/>
    <row r="11608" s="76" customFormat="1" ht="21.95" customHeight="1" x14ac:dyDescent="0.15"/>
    <row r="11609" s="76" customFormat="1" ht="21.95" customHeight="1" x14ac:dyDescent="0.15"/>
    <row r="11610" s="76" customFormat="1" ht="21.95" customHeight="1" x14ac:dyDescent="0.15"/>
    <row r="11611" s="76" customFormat="1" ht="21.95" customHeight="1" x14ac:dyDescent="0.15"/>
    <row r="11612" s="76" customFormat="1" ht="21.95" customHeight="1" x14ac:dyDescent="0.15"/>
    <row r="11613" s="76" customFormat="1" ht="21.95" customHeight="1" x14ac:dyDescent="0.15"/>
    <row r="11614" s="76" customFormat="1" ht="21.95" customHeight="1" x14ac:dyDescent="0.15"/>
    <row r="11615" s="76" customFormat="1" ht="21.95" customHeight="1" x14ac:dyDescent="0.15"/>
    <row r="11616" s="76" customFormat="1" ht="21.95" customHeight="1" x14ac:dyDescent="0.15"/>
    <row r="11617" s="76" customFormat="1" ht="21.95" customHeight="1" x14ac:dyDescent="0.15"/>
    <row r="11618" s="76" customFormat="1" ht="21.95" customHeight="1" x14ac:dyDescent="0.15"/>
    <row r="11619" s="76" customFormat="1" ht="21.95" customHeight="1" x14ac:dyDescent="0.15"/>
    <row r="11620" s="76" customFormat="1" ht="21.95" customHeight="1" x14ac:dyDescent="0.15"/>
    <row r="11621" s="76" customFormat="1" ht="21.95" customHeight="1" x14ac:dyDescent="0.15"/>
    <row r="11622" s="76" customFormat="1" ht="21.95" customHeight="1" x14ac:dyDescent="0.15"/>
    <row r="11623" s="76" customFormat="1" ht="21.95" customHeight="1" x14ac:dyDescent="0.15"/>
    <row r="11624" s="76" customFormat="1" ht="21.95" customHeight="1" x14ac:dyDescent="0.15"/>
    <row r="11625" s="76" customFormat="1" ht="35.1" customHeight="1" x14ac:dyDescent="0.15"/>
    <row r="11626" s="76" customFormat="1" ht="21.95" customHeight="1" x14ac:dyDescent="0.15"/>
    <row r="11627" s="76" customFormat="1" ht="21.95" customHeight="1" x14ac:dyDescent="0.15"/>
    <row r="11628" s="76" customFormat="1" ht="21.95" customHeight="1" x14ac:dyDescent="0.15"/>
    <row r="11629" s="76" customFormat="1" ht="21.95" customHeight="1" x14ac:dyDescent="0.15"/>
    <row r="11630" s="76" customFormat="1" ht="21.95" customHeight="1" x14ac:dyDescent="0.15"/>
    <row r="11631" s="76" customFormat="1" ht="21.95" customHeight="1" x14ac:dyDescent="0.15"/>
    <row r="11632" s="76" customFormat="1" ht="21.95" customHeight="1" x14ac:dyDescent="0.15"/>
    <row r="11633" s="76" customFormat="1" ht="21.95" customHeight="1" x14ac:dyDescent="0.15"/>
    <row r="11634" s="76" customFormat="1" ht="21.95" customHeight="1" x14ac:dyDescent="0.15"/>
    <row r="11635" s="76" customFormat="1" ht="21.95" customHeight="1" x14ac:dyDescent="0.15"/>
    <row r="11636" s="76" customFormat="1" ht="21.95" customHeight="1" x14ac:dyDescent="0.15"/>
    <row r="11637" s="76" customFormat="1" ht="21.95" customHeight="1" x14ac:dyDescent="0.15"/>
    <row r="11638" s="76" customFormat="1" ht="21.95" customHeight="1" x14ac:dyDescent="0.15"/>
    <row r="11639" s="76" customFormat="1" ht="21.95" customHeight="1" x14ac:dyDescent="0.15"/>
    <row r="11640" s="76" customFormat="1" ht="21.95" customHeight="1" x14ac:dyDescent="0.15"/>
    <row r="11641" s="76" customFormat="1" ht="21.95" customHeight="1" x14ac:dyDescent="0.15"/>
    <row r="11642" s="76" customFormat="1" ht="21.95" customHeight="1" x14ac:dyDescent="0.15"/>
    <row r="11643" s="76" customFormat="1" ht="21.95" customHeight="1" x14ac:dyDescent="0.15"/>
    <row r="11644" s="76" customFormat="1" ht="21.95" customHeight="1" x14ac:dyDescent="0.15"/>
    <row r="11645" s="76" customFormat="1" ht="21.95" customHeight="1" x14ac:dyDescent="0.15"/>
    <row r="11646" s="76" customFormat="1" ht="21.95" customHeight="1" x14ac:dyDescent="0.15"/>
    <row r="11647" s="76" customFormat="1" ht="21.95" customHeight="1" x14ac:dyDescent="0.15"/>
    <row r="11648" s="76" customFormat="1" ht="21.95" customHeight="1" x14ac:dyDescent="0.15"/>
    <row r="11649" spans="3:3" customFormat="1" ht="21.95" customHeight="1" x14ac:dyDescent="0.15"/>
    <row r="11650" spans="3:3" customFormat="1" ht="21.95" customHeight="1" x14ac:dyDescent="0.15"/>
    <row r="11651" spans="3:3" customFormat="1" ht="21.95" customHeight="1" x14ac:dyDescent="0.15">
      <c r="C11651" s="94"/>
    </row>
    <row r="11652" spans="3:3" customFormat="1" ht="21.95" customHeight="1" x14ac:dyDescent="0.15">
      <c r="C11652" s="94"/>
    </row>
    <row r="11653" spans="3:3" customFormat="1" ht="21.95" customHeight="1" x14ac:dyDescent="0.15"/>
    <row r="11654" spans="3:3" customFormat="1" ht="21.95" customHeight="1" x14ac:dyDescent="0.15"/>
    <row r="11655" spans="3:3" customFormat="1" ht="21.95" customHeight="1" x14ac:dyDescent="0.15"/>
    <row r="11656" spans="3:3" customFormat="1" ht="21.95" customHeight="1" x14ac:dyDescent="0.15"/>
    <row r="11657" spans="3:3" customFormat="1" ht="21.95" customHeight="1" x14ac:dyDescent="0.15"/>
    <row r="11658" spans="3:3" customFormat="1" ht="21.95" customHeight="1" x14ac:dyDescent="0.15"/>
    <row r="11659" spans="3:3" customFormat="1" ht="21.95" customHeight="1" x14ac:dyDescent="0.15"/>
    <row r="11660" spans="3:3" s="76" customFormat="1" ht="21.95" customHeight="1" x14ac:dyDescent="0.15"/>
    <row r="11661" spans="3:3" s="76" customFormat="1" ht="21.95" customHeight="1" x14ac:dyDescent="0.15"/>
    <row r="11662" spans="3:3" s="76" customFormat="1" ht="21.95" customHeight="1" x14ac:dyDescent="0.15"/>
    <row r="11663" spans="3:3" s="76" customFormat="1" ht="21.95" customHeight="1" x14ac:dyDescent="0.15"/>
    <row r="11664" spans="3:3" customFormat="1" ht="21.95" customHeight="1" x14ac:dyDescent="0.15"/>
    <row r="11665" customFormat="1" ht="21.95" customHeight="1" x14ac:dyDescent="0.15"/>
    <row r="11666" customFormat="1" ht="21.95" customHeight="1" x14ac:dyDescent="0.15"/>
    <row r="11667" customFormat="1" ht="21.95" customHeight="1" x14ac:dyDescent="0.15"/>
    <row r="11668" customFormat="1" ht="21.95" customHeight="1" x14ac:dyDescent="0.15"/>
    <row r="11669" customFormat="1" ht="21.95" customHeight="1" x14ac:dyDescent="0.15"/>
    <row r="11670" customFormat="1" ht="21.95" customHeight="1" x14ac:dyDescent="0.15"/>
    <row r="11671" customFormat="1" ht="21.95" customHeight="1" x14ac:dyDescent="0.15"/>
    <row r="11672" customFormat="1" ht="21.95" customHeight="1" x14ac:dyDescent="0.15"/>
    <row r="11673" customFormat="1" ht="21.95" customHeight="1" x14ac:dyDescent="0.15"/>
    <row r="11674" customFormat="1" ht="21.95" customHeight="1" x14ac:dyDescent="0.15"/>
    <row r="11675" customFormat="1" ht="32.1" customHeight="1" x14ac:dyDescent="0.15"/>
    <row r="11676" customFormat="1" ht="32.1" customHeight="1" x14ac:dyDescent="0.15"/>
    <row r="11677" customFormat="1" ht="32.1" customHeight="1" x14ac:dyDescent="0.15"/>
    <row r="11678" customFormat="1" ht="32.1" customHeight="1" x14ac:dyDescent="0.15"/>
    <row r="11679" customFormat="1" ht="32.1" customHeight="1" x14ac:dyDescent="0.15"/>
    <row r="11680" customFormat="1" ht="32.1" customHeight="1" x14ac:dyDescent="0.15"/>
    <row r="11681" s="76" customFormat="1" ht="32.1" customHeight="1" x14ac:dyDescent="0.15"/>
    <row r="11682" s="76" customFormat="1" ht="32.1" customHeight="1" x14ac:dyDescent="0.15"/>
    <row r="11683" s="76" customFormat="1" ht="32.1" customHeight="1" x14ac:dyDescent="0.15"/>
    <row r="11684" s="76" customFormat="1" ht="32.1" customHeight="1" x14ac:dyDescent="0.15"/>
    <row r="11685" s="76" customFormat="1" ht="21.95" customHeight="1" x14ac:dyDescent="0.15"/>
    <row r="11686" s="76" customFormat="1" ht="54" customHeight="1" x14ac:dyDescent="0.15"/>
    <row r="11687" s="76" customFormat="1" ht="21.95" customHeight="1" x14ac:dyDescent="0.15"/>
    <row r="11688" s="76" customFormat="1" ht="21.95" customHeight="1" x14ac:dyDescent="0.15"/>
    <row r="11689" s="76" customFormat="1" ht="21.95" customHeight="1" x14ac:dyDescent="0.15"/>
    <row r="11690" s="76" customFormat="1" ht="21.95" customHeight="1" x14ac:dyDescent="0.15"/>
    <row r="11691" s="76" customFormat="1" ht="21.95" customHeight="1" x14ac:dyDescent="0.15"/>
    <row r="11692" s="76" customFormat="1" ht="21.95" customHeight="1" x14ac:dyDescent="0.15"/>
    <row r="11693" s="76" customFormat="1" ht="21.95" customHeight="1" x14ac:dyDescent="0.15"/>
    <row r="11694" s="76" customFormat="1" ht="21.95" customHeight="1" x14ac:dyDescent="0.15"/>
    <row r="11695" s="76" customFormat="1" ht="21.95" customHeight="1" x14ac:dyDescent="0.15"/>
    <row r="11696" s="76" customFormat="1" ht="21.95" customHeight="1" x14ac:dyDescent="0.15"/>
    <row r="11697" s="76" customFormat="1" ht="21.95" customHeight="1" x14ac:dyDescent="0.15"/>
    <row r="11698" s="76" customFormat="1" ht="21.95" customHeight="1" x14ac:dyDescent="0.15"/>
    <row r="11699" s="76" customFormat="1" ht="21.95" customHeight="1" x14ac:dyDescent="0.15"/>
    <row r="11700" s="76" customFormat="1" ht="21.95" customHeight="1" x14ac:dyDescent="0.15"/>
    <row r="11701" s="76" customFormat="1" ht="21.95" customHeight="1" x14ac:dyDescent="0.15"/>
    <row r="11702" s="76" customFormat="1" ht="21.95" customHeight="1" x14ac:dyDescent="0.15"/>
    <row r="11703" s="76" customFormat="1" ht="21.95" customHeight="1" x14ac:dyDescent="0.15"/>
    <row r="11704" s="76" customFormat="1" ht="21.95" customHeight="1" x14ac:dyDescent="0.15"/>
    <row r="11705" s="76" customFormat="1" ht="21.95" customHeight="1" x14ac:dyDescent="0.15"/>
    <row r="11706" s="76" customFormat="1" ht="21.95" customHeight="1" x14ac:dyDescent="0.15"/>
    <row r="11707" s="76" customFormat="1" ht="21.95" customHeight="1" x14ac:dyDescent="0.15"/>
    <row r="11708" s="76" customFormat="1" ht="21.95" customHeight="1" x14ac:dyDescent="0.15"/>
    <row r="11709" s="76" customFormat="1" ht="21.95" customHeight="1" x14ac:dyDescent="0.15"/>
    <row r="11710" s="76" customFormat="1" ht="21.95" customHeight="1" x14ac:dyDescent="0.15"/>
    <row r="11711" s="76" customFormat="1" ht="21.95" customHeight="1" x14ac:dyDescent="0.15"/>
    <row r="11712" s="76" customFormat="1" ht="21.95" customHeight="1" x14ac:dyDescent="0.15"/>
    <row r="11713" s="76" customFormat="1" ht="21.95" customHeight="1" x14ac:dyDescent="0.15"/>
    <row r="11714" s="76" customFormat="1" ht="21.95" customHeight="1" x14ac:dyDescent="0.15"/>
    <row r="11715" s="76" customFormat="1" ht="21.95" customHeight="1" x14ac:dyDescent="0.15"/>
    <row r="11716" s="76" customFormat="1" ht="21.95" customHeight="1" x14ac:dyDescent="0.15"/>
    <row r="11717" s="76" customFormat="1" ht="21.95" customHeight="1" x14ac:dyDescent="0.15"/>
    <row r="11718" s="76" customFormat="1" ht="21.95" customHeight="1" x14ac:dyDescent="0.15"/>
    <row r="11719" s="76" customFormat="1" ht="21.95" customHeight="1" x14ac:dyDescent="0.15"/>
    <row r="11720" s="76" customFormat="1" ht="21.95" customHeight="1" x14ac:dyDescent="0.15"/>
    <row r="11721" s="76" customFormat="1" ht="21.95" customHeight="1" x14ac:dyDescent="0.15"/>
    <row r="11722" s="76" customFormat="1" ht="21.95" customHeight="1" x14ac:dyDescent="0.15"/>
    <row r="11723" s="76" customFormat="1" ht="21.95" customHeight="1" x14ac:dyDescent="0.15"/>
    <row r="11724" s="76" customFormat="1" ht="21.95" customHeight="1" x14ac:dyDescent="0.15"/>
    <row r="11725" s="76" customFormat="1" ht="21.95" customHeight="1" x14ac:dyDescent="0.15"/>
    <row r="11726" s="76" customFormat="1" ht="21.95" customHeight="1" x14ac:dyDescent="0.15"/>
    <row r="11727" s="76" customFormat="1" ht="21.95" customHeight="1" x14ac:dyDescent="0.15"/>
    <row r="11728" s="76" customFormat="1" ht="21.95" customHeight="1" x14ac:dyDescent="0.15"/>
    <row r="11729" s="76" customFormat="1" ht="21.95" customHeight="1" x14ac:dyDescent="0.15"/>
    <row r="11730" s="76" customFormat="1" ht="21.95" customHeight="1" x14ac:dyDescent="0.15"/>
    <row r="11731" s="76" customFormat="1" ht="21.95" customHeight="1" x14ac:dyDescent="0.15"/>
    <row r="11732" s="76" customFormat="1" ht="21.95" customHeight="1" x14ac:dyDescent="0.15"/>
    <row r="11733" s="76" customFormat="1" ht="21.95" customHeight="1" x14ac:dyDescent="0.15"/>
    <row r="11734" s="76" customFormat="1" ht="21.95" customHeight="1" x14ac:dyDescent="0.15"/>
    <row r="11735" s="76" customFormat="1" ht="21.95" customHeight="1" x14ac:dyDescent="0.15"/>
    <row r="11736" s="76" customFormat="1" ht="21.95" customHeight="1" x14ac:dyDescent="0.15"/>
    <row r="11737" s="76" customFormat="1" ht="35.1" customHeight="1" x14ac:dyDescent="0.15"/>
    <row r="11738" s="76" customFormat="1" ht="21.95" customHeight="1" x14ac:dyDescent="0.15"/>
    <row r="11739" s="76" customFormat="1" ht="21.95" customHeight="1" x14ac:dyDescent="0.15"/>
    <row r="11740" s="76" customFormat="1" ht="21.95" customHeight="1" x14ac:dyDescent="0.15"/>
    <row r="11741" s="76" customFormat="1" ht="21.95" customHeight="1" x14ac:dyDescent="0.15"/>
    <row r="11742" s="76" customFormat="1" ht="21.95" customHeight="1" x14ac:dyDescent="0.15"/>
    <row r="11743" s="76" customFormat="1" ht="21.95" customHeight="1" x14ac:dyDescent="0.15"/>
    <row r="11744" s="76" customFormat="1" ht="21.95" customHeight="1" x14ac:dyDescent="0.15"/>
    <row r="11745" s="76" customFormat="1" ht="21.95" customHeight="1" x14ac:dyDescent="0.15"/>
    <row r="11746" s="76" customFormat="1" ht="21.95" customHeight="1" x14ac:dyDescent="0.15"/>
    <row r="11747" s="76" customFormat="1" ht="21.95" customHeight="1" x14ac:dyDescent="0.15"/>
    <row r="11748" s="76" customFormat="1" ht="21.95" customHeight="1" x14ac:dyDescent="0.15"/>
    <row r="11749" s="76" customFormat="1" ht="21.95" customHeight="1" x14ac:dyDescent="0.15"/>
    <row r="11750" s="76" customFormat="1" ht="21.95" customHeight="1" x14ac:dyDescent="0.15"/>
    <row r="11751" s="76" customFormat="1" ht="21.95" customHeight="1" x14ac:dyDescent="0.15"/>
    <row r="11752" s="76" customFormat="1" ht="21.95" customHeight="1" x14ac:dyDescent="0.15"/>
    <row r="11753" s="76" customFormat="1" ht="21.95" customHeight="1" x14ac:dyDescent="0.15"/>
    <row r="11754" s="76" customFormat="1" ht="21.95" customHeight="1" x14ac:dyDescent="0.15"/>
    <row r="11755" s="76" customFormat="1" ht="21.95" customHeight="1" x14ac:dyDescent="0.15"/>
    <row r="11756" s="76" customFormat="1" ht="21.95" customHeight="1" x14ac:dyDescent="0.15"/>
    <row r="11757" s="76" customFormat="1" ht="21.95" customHeight="1" x14ac:dyDescent="0.15"/>
    <row r="11758" s="76" customFormat="1" ht="21.95" customHeight="1" x14ac:dyDescent="0.15"/>
    <row r="11759" s="76" customFormat="1" ht="21.95" customHeight="1" x14ac:dyDescent="0.15"/>
    <row r="11760" s="76" customFormat="1" ht="21.95" customHeight="1" x14ac:dyDescent="0.15"/>
    <row r="11761" spans="3:3" customFormat="1" ht="21.95" customHeight="1" x14ac:dyDescent="0.15"/>
    <row r="11762" spans="3:3" customFormat="1" ht="21.95" customHeight="1" x14ac:dyDescent="0.15"/>
    <row r="11763" spans="3:3" customFormat="1" ht="21.95" customHeight="1" x14ac:dyDescent="0.15">
      <c r="C11763" s="94"/>
    </row>
    <row r="11764" spans="3:3" customFormat="1" ht="21.95" customHeight="1" x14ac:dyDescent="0.15">
      <c r="C11764" s="94"/>
    </row>
    <row r="11765" spans="3:3" customFormat="1" ht="21.95" customHeight="1" x14ac:dyDescent="0.15"/>
    <row r="11766" spans="3:3" customFormat="1" ht="21.95" customHeight="1" x14ac:dyDescent="0.15"/>
    <row r="11767" spans="3:3" customFormat="1" ht="21.95" customHeight="1" x14ac:dyDescent="0.15"/>
    <row r="11768" spans="3:3" customFormat="1" ht="21.95" customHeight="1" x14ac:dyDescent="0.15"/>
    <row r="11769" spans="3:3" customFormat="1" ht="21.95" customHeight="1" x14ac:dyDescent="0.15"/>
    <row r="11770" spans="3:3" customFormat="1" ht="21.95" customHeight="1" x14ac:dyDescent="0.15"/>
    <row r="11771" spans="3:3" customFormat="1" ht="21.95" customHeight="1" x14ac:dyDescent="0.15"/>
    <row r="11772" spans="3:3" s="76" customFormat="1" ht="21.95" customHeight="1" x14ac:dyDescent="0.15"/>
    <row r="11773" spans="3:3" s="76" customFormat="1" ht="21.95" customHeight="1" x14ac:dyDescent="0.15"/>
    <row r="11774" spans="3:3" s="76" customFormat="1" ht="21.95" customHeight="1" x14ac:dyDescent="0.15"/>
    <row r="11775" spans="3:3" s="76" customFormat="1" ht="21.95" customHeight="1" x14ac:dyDescent="0.15"/>
    <row r="11776" spans="3:3" customFormat="1" ht="21.95" customHeight="1" x14ac:dyDescent="0.15"/>
    <row r="11777" customFormat="1" ht="21.95" customHeight="1" x14ac:dyDescent="0.15"/>
    <row r="11778" customFormat="1" ht="21.95" customHeight="1" x14ac:dyDescent="0.15"/>
    <row r="11779" customFormat="1" ht="21.95" customHeight="1" x14ac:dyDescent="0.15"/>
    <row r="11780" customFormat="1" ht="21.95" customHeight="1" x14ac:dyDescent="0.15"/>
    <row r="11781" customFormat="1" ht="21.95" customHeight="1" x14ac:dyDescent="0.15"/>
    <row r="11782" customFormat="1" ht="21.95" customHeight="1" x14ac:dyDescent="0.15"/>
    <row r="11783" customFormat="1" ht="21.95" customHeight="1" x14ac:dyDescent="0.15"/>
    <row r="11784" customFormat="1" ht="21.95" customHeight="1" x14ac:dyDescent="0.15"/>
    <row r="11785" customFormat="1" ht="21.95" customHeight="1" x14ac:dyDescent="0.15"/>
    <row r="11786" customFormat="1" ht="21.95" customHeight="1" x14ac:dyDescent="0.15"/>
    <row r="11787" customFormat="1" ht="32.1" customHeight="1" x14ac:dyDescent="0.15"/>
    <row r="11788" customFormat="1" ht="32.1" customHeight="1" x14ac:dyDescent="0.15"/>
    <row r="11789" customFormat="1" ht="32.1" customHeight="1" x14ac:dyDescent="0.15"/>
    <row r="11790" customFormat="1" ht="32.1" customHeight="1" x14ac:dyDescent="0.15"/>
    <row r="11791" customFormat="1" ht="32.1" customHeight="1" x14ac:dyDescent="0.15"/>
    <row r="11792" customFormat="1" ht="32.1" customHeight="1" x14ac:dyDescent="0.15"/>
    <row r="11793" s="76" customFormat="1" ht="32.1" customHeight="1" x14ac:dyDescent="0.15"/>
    <row r="11794" s="76" customFormat="1" ht="32.1" customHeight="1" x14ac:dyDescent="0.15"/>
    <row r="11795" s="76" customFormat="1" ht="32.1" customHeight="1" x14ac:dyDescent="0.15"/>
    <row r="11796" s="76" customFormat="1" ht="32.1" customHeight="1" x14ac:dyDescent="0.15"/>
    <row r="11797" s="76" customFormat="1" ht="21.95" customHeight="1" x14ac:dyDescent="0.15"/>
    <row r="11798" s="76" customFormat="1" ht="54" customHeight="1" x14ac:dyDescent="0.15"/>
    <row r="11799" s="76" customFormat="1" ht="21.95" customHeight="1" x14ac:dyDescent="0.15"/>
    <row r="11800" s="76" customFormat="1" ht="21.95" customHeight="1" x14ac:dyDescent="0.15"/>
    <row r="11801" s="76" customFormat="1" ht="21.95" customHeight="1" x14ac:dyDescent="0.15"/>
    <row r="11802" s="76" customFormat="1" ht="21.95" customHeight="1" x14ac:dyDescent="0.15"/>
    <row r="11803" s="76" customFormat="1" ht="21.95" customHeight="1" x14ac:dyDescent="0.15"/>
    <row r="11804" s="76" customFormat="1" ht="21.95" customHeight="1" x14ac:dyDescent="0.15"/>
    <row r="11805" s="76" customFormat="1" ht="21.95" customHeight="1" x14ac:dyDescent="0.15"/>
    <row r="11806" s="76" customFormat="1" ht="21.95" customHeight="1" x14ac:dyDescent="0.15"/>
    <row r="11807" s="76" customFormat="1" ht="21.95" customHeight="1" x14ac:dyDescent="0.15"/>
    <row r="11808" s="76" customFormat="1" ht="21.95" customHeight="1" x14ac:dyDescent="0.15"/>
    <row r="11809" s="76" customFormat="1" ht="21.95" customHeight="1" x14ac:dyDescent="0.15"/>
    <row r="11810" s="76" customFormat="1" ht="21.95" customHeight="1" x14ac:dyDescent="0.15"/>
    <row r="11811" s="76" customFormat="1" ht="21.95" customHeight="1" x14ac:dyDescent="0.15"/>
    <row r="11812" s="76" customFormat="1" ht="21.95" customHeight="1" x14ac:dyDescent="0.15"/>
    <row r="11813" s="76" customFormat="1" ht="21.95" customHeight="1" x14ac:dyDescent="0.15"/>
    <row r="11814" s="76" customFormat="1" ht="21.95" customHeight="1" x14ac:dyDescent="0.15"/>
    <row r="11815" s="76" customFormat="1" ht="21.95" customHeight="1" x14ac:dyDescent="0.15"/>
    <row r="11816" s="76" customFormat="1" ht="21.95" customHeight="1" x14ac:dyDescent="0.15"/>
    <row r="11817" s="76" customFormat="1" ht="21.95" customHeight="1" x14ac:dyDescent="0.15"/>
    <row r="11818" s="76" customFormat="1" ht="21.95" customHeight="1" x14ac:dyDescent="0.15"/>
    <row r="11819" s="76" customFormat="1" ht="21.95" customHeight="1" x14ac:dyDescent="0.15"/>
    <row r="11820" s="76" customFormat="1" ht="21.95" customHeight="1" x14ac:dyDescent="0.15"/>
    <row r="11821" s="76" customFormat="1" ht="21.95" customHeight="1" x14ac:dyDescent="0.15"/>
    <row r="11822" s="76" customFormat="1" ht="21.95" customHeight="1" x14ac:dyDescent="0.15"/>
    <row r="11823" s="76" customFormat="1" ht="21.95" customHeight="1" x14ac:dyDescent="0.15"/>
    <row r="11824" s="76" customFormat="1" ht="21.95" customHeight="1" x14ac:dyDescent="0.15"/>
    <row r="11825" s="76" customFormat="1" ht="21.95" customHeight="1" x14ac:dyDescent="0.15"/>
    <row r="11826" s="76" customFormat="1" ht="21.95" customHeight="1" x14ac:dyDescent="0.15"/>
    <row r="11827" s="76" customFormat="1" ht="21.95" customHeight="1" x14ac:dyDescent="0.15"/>
    <row r="11828" s="76" customFormat="1" ht="21.95" customHeight="1" x14ac:dyDescent="0.15"/>
    <row r="11829" s="76" customFormat="1" ht="21.95" customHeight="1" x14ac:dyDescent="0.15"/>
    <row r="11830" s="76" customFormat="1" ht="21.95" customHeight="1" x14ac:dyDescent="0.15"/>
    <row r="11831" s="76" customFormat="1" ht="21.95" customHeight="1" x14ac:dyDescent="0.15"/>
    <row r="11832" s="76" customFormat="1" ht="21.95" customHeight="1" x14ac:dyDescent="0.15"/>
    <row r="11833" s="76" customFormat="1" ht="21.95" customHeight="1" x14ac:dyDescent="0.15"/>
    <row r="11834" s="76" customFormat="1" ht="21.95" customHeight="1" x14ac:dyDescent="0.15"/>
    <row r="11835" s="76" customFormat="1" ht="21.95" customHeight="1" x14ac:dyDescent="0.15"/>
    <row r="11836" s="76" customFormat="1" ht="21.95" customHeight="1" x14ac:dyDescent="0.15"/>
    <row r="11837" s="76" customFormat="1" ht="21.95" customHeight="1" x14ac:dyDescent="0.15"/>
    <row r="11838" s="76" customFormat="1" ht="21.95" customHeight="1" x14ac:dyDescent="0.15"/>
    <row r="11839" s="76" customFormat="1" ht="21.95" customHeight="1" x14ac:dyDescent="0.15"/>
    <row r="11840" s="76" customFormat="1" ht="21.95" customHeight="1" x14ac:dyDescent="0.15"/>
    <row r="11841" s="76" customFormat="1" ht="21.95" customHeight="1" x14ac:dyDescent="0.15"/>
    <row r="11842" s="76" customFormat="1" ht="21.95" customHeight="1" x14ac:dyDescent="0.15"/>
    <row r="11843" s="76" customFormat="1" ht="21.95" customHeight="1" x14ac:dyDescent="0.15"/>
    <row r="11844" s="76" customFormat="1" ht="21.95" customHeight="1" x14ac:dyDescent="0.15"/>
    <row r="11845" s="76" customFormat="1" ht="21.95" customHeight="1" x14ac:dyDescent="0.15"/>
    <row r="11846" s="76" customFormat="1" ht="21.95" customHeight="1" x14ac:dyDescent="0.15"/>
    <row r="11847" s="76" customFormat="1" ht="21.95" customHeight="1" x14ac:dyDescent="0.15"/>
    <row r="11848" s="76" customFormat="1" ht="21.95" customHeight="1" x14ac:dyDescent="0.15"/>
    <row r="11849" s="76" customFormat="1" ht="35.1" customHeight="1" x14ac:dyDescent="0.15"/>
    <row r="11850" s="76" customFormat="1" ht="21.95" customHeight="1" x14ac:dyDescent="0.15"/>
    <row r="11851" s="76" customFormat="1" ht="21.95" customHeight="1" x14ac:dyDescent="0.15"/>
    <row r="11852" s="76" customFormat="1" ht="21.95" customHeight="1" x14ac:dyDescent="0.15"/>
    <row r="11853" s="76" customFormat="1" ht="21.95" customHeight="1" x14ac:dyDescent="0.15"/>
    <row r="11854" s="76" customFormat="1" ht="21.95" customHeight="1" x14ac:dyDescent="0.15"/>
    <row r="11855" s="76" customFormat="1" ht="21.95" customHeight="1" x14ac:dyDescent="0.15"/>
    <row r="11856" s="76" customFormat="1" ht="21.95" customHeight="1" x14ac:dyDescent="0.15"/>
    <row r="11857" s="76" customFormat="1" ht="21.95" customHeight="1" x14ac:dyDescent="0.15"/>
    <row r="11858" s="76" customFormat="1" ht="21.95" customHeight="1" x14ac:dyDescent="0.15"/>
    <row r="11859" s="76" customFormat="1" ht="21.95" customHeight="1" x14ac:dyDescent="0.15"/>
    <row r="11860" s="76" customFormat="1" ht="21.95" customHeight="1" x14ac:dyDescent="0.15"/>
    <row r="11861" s="76" customFormat="1" ht="21.95" customHeight="1" x14ac:dyDescent="0.15"/>
    <row r="11862" s="76" customFormat="1" ht="21.95" customHeight="1" x14ac:dyDescent="0.15"/>
    <row r="11863" s="76" customFormat="1" ht="21.95" customHeight="1" x14ac:dyDescent="0.15"/>
    <row r="11864" s="76" customFormat="1" ht="21.95" customHeight="1" x14ac:dyDescent="0.15"/>
    <row r="11865" s="76" customFormat="1" ht="21.95" customHeight="1" x14ac:dyDescent="0.15"/>
    <row r="11866" s="76" customFormat="1" ht="21.95" customHeight="1" x14ac:dyDescent="0.15"/>
    <row r="11867" s="76" customFormat="1" ht="21.95" customHeight="1" x14ac:dyDescent="0.15"/>
    <row r="11868" s="76" customFormat="1" ht="21.95" customHeight="1" x14ac:dyDescent="0.15"/>
    <row r="11869" s="76" customFormat="1" ht="21.95" customHeight="1" x14ac:dyDescent="0.15"/>
    <row r="11870" s="76" customFormat="1" ht="21.95" customHeight="1" x14ac:dyDescent="0.15"/>
    <row r="11871" s="76" customFormat="1" ht="21.95" customHeight="1" x14ac:dyDescent="0.15"/>
    <row r="11872" s="76" customFormat="1" ht="21.95" customHeight="1" x14ac:dyDescent="0.15"/>
    <row r="11873" spans="3:3" customFormat="1" ht="21.95" customHeight="1" x14ac:dyDescent="0.15"/>
    <row r="11874" spans="3:3" customFormat="1" ht="21.95" customHeight="1" x14ac:dyDescent="0.15"/>
    <row r="11875" spans="3:3" customFormat="1" ht="21.95" customHeight="1" x14ac:dyDescent="0.15">
      <c r="C11875" s="94"/>
    </row>
    <row r="11876" spans="3:3" customFormat="1" ht="21.95" customHeight="1" x14ac:dyDescent="0.15">
      <c r="C11876" s="94"/>
    </row>
    <row r="11877" spans="3:3" customFormat="1" ht="21.95" customHeight="1" x14ac:dyDescent="0.15"/>
    <row r="11878" spans="3:3" customFormat="1" ht="21.95" customHeight="1" x14ac:dyDescent="0.15"/>
    <row r="11879" spans="3:3" customFormat="1" ht="21.95" customHeight="1" x14ac:dyDescent="0.15"/>
    <row r="11880" spans="3:3" customFormat="1" ht="21.95" customHeight="1" x14ac:dyDescent="0.15"/>
    <row r="11881" spans="3:3" customFormat="1" ht="21.95" customHeight="1" x14ac:dyDescent="0.15"/>
    <row r="11882" spans="3:3" customFormat="1" ht="21.95" customHeight="1" x14ac:dyDescent="0.15"/>
    <row r="11883" spans="3:3" customFormat="1" ht="21.95" customHeight="1" x14ac:dyDescent="0.15"/>
    <row r="11884" spans="3:3" s="76" customFormat="1" ht="21.95" customHeight="1" x14ac:dyDescent="0.15"/>
    <row r="11885" spans="3:3" s="76" customFormat="1" ht="21.95" customHeight="1" x14ac:dyDescent="0.15"/>
    <row r="11886" spans="3:3" s="76" customFormat="1" ht="21.95" customHeight="1" x14ac:dyDescent="0.15"/>
    <row r="11887" spans="3:3" s="76" customFormat="1" ht="21.95" customHeight="1" x14ac:dyDescent="0.15"/>
    <row r="11888" spans="3:3" customFormat="1" ht="21.95" customHeight="1" x14ac:dyDescent="0.15"/>
    <row r="11889" customFormat="1" ht="21.95" customHeight="1" x14ac:dyDescent="0.15"/>
    <row r="11890" customFormat="1" ht="21.95" customHeight="1" x14ac:dyDescent="0.15"/>
    <row r="11891" customFormat="1" ht="21.95" customHeight="1" x14ac:dyDescent="0.15"/>
    <row r="11892" customFormat="1" ht="21.95" customHeight="1" x14ac:dyDescent="0.15"/>
    <row r="11893" customFormat="1" ht="21.95" customHeight="1" x14ac:dyDescent="0.15"/>
    <row r="11894" customFormat="1" ht="21.95" customHeight="1" x14ac:dyDescent="0.15"/>
    <row r="11895" customFormat="1" ht="21.95" customHeight="1" x14ac:dyDescent="0.15"/>
    <row r="11896" customFormat="1" ht="21.95" customHeight="1" x14ac:dyDescent="0.15"/>
    <row r="11897" customFormat="1" ht="21.95" customHeight="1" x14ac:dyDescent="0.15"/>
    <row r="11898" customFormat="1" ht="21.95" customHeight="1" x14ac:dyDescent="0.15"/>
    <row r="11899" customFormat="1" ht="32.1" customHeight="1" x14ac:dyDescent="0.15"/>
    <row r="11900" customFormat="1" ht="32.1" customHeight="1" x14ac:dyDescent="0.15"/>
    <row r="11901" customFormat="1" ht="32.1" customHeight="1" x14ac:dyDescent="0.15"/>
    <row r="11902" customFormat="1" ht="32.1" customHeight="1" x14ac:dyDescent="0.15"/>
    <row r="11903" customFormat="1" ht="32.1" customHeight="1" x14ac:dyDescent="0.15"/>
    <row r="11904" customFormat="1" ht="32.1" customHeight="1" x14ac:dyDescent="0.15"/>
    <row r="11905" s="76" customFormat="1" ht="32.1" customHeight="1" x14ac:dyDescent="0.15"/>
    <row r="11906" s="76" customFormat="1" ht="32.1" customHeight="1" x14ac:dyDescent="0.15"/>
    <row r="11907" s="76" customFormat="1" ht="32.1" customHeight="1" x14ac:dyDescent="0.15"/>
    <row r="11908" s="76" customFormat="1" ht="32.1" customHeight="1" x14ac:dyDescent="0.15"/>
    <row r="11909" s="76" customFormat="1" ht="21.95" customHeight="1" x14ac:dyDescent="0.15"/>
    <row r="11910" s="76" customFormat="1" ht="54" customHeight="1" x14ac:dyDescent="0.15"/>
    <row r="11911" s="76" customFormat="1" ht="21.95" customHeight="1" x14ac:dyDescent="0.15"/>
    <row r="11912" s="76" customFormat="1" ht="21.95" customHeight="1" x14ac:dyDescent="0.15"/>
    <row r="11913" s="76" customFormat="1" ht="21.95" customHeight="1" x14ac:dyDescent="0.15"/>
    <row r="11914" s="76" customFormat="1" ht="21.95" customHeight="1" x14ac:dyDescent="0.15"/>
    <row r="11915" s="76" customFormat="1" ht="21.95" customHeight="1" x14ac:dyDescent="0.15"/>
    <row r="11916" s="76" customFormat="1" ht="21.95" customHeight="1" x14ac:dyDescent="0.15"/>
    <row r="11917" s="76" customFormat="1" ht="21.95" customHeight="1" x14ac:dyDescent="0.15"/>
    <row r="11918" s="76" customFormat="1" ht="21.95" customHeight="1" x14ac:dyDescent="0.15"/>
    <row r="11919" s="76" customFormat="1" ht="21.95" customHeight="1" x14ac:dyDescent="0.15"/>
    <row r="11920" s="76" customFormat="1" ht="21.95" customHeight="1" x14ac:dyDescent="0.15"/>
    <row r="11921" s="76" customFormat="1" ht="21.95" customHeight="1" x14ac:dyDescent="0.15"/>
    <row r="11922" s="76" customFormat="1" ht="21.95" customHeight="1" x14ac:dyDescent="0.15"/>
    <row r="11923" s="76" customFormat="1" ht="21.95" customHeight="1" x14ac:dyDescent="0.15"/>
    <row r="11924" s="76" customFormat="1" ht="21.95" customHeight="1" x14ac:dyDescent="0.15"/>
    <row r="11925" s="76" customFormat="1" ht="21.95" customHeight="1" x14ac:dyDescent="0.15"/>
    <row r="11926" s="76" customFormat="1" ht="21.95" customHeight="1" x14ac:dyDescent="0.15"/>
    <row r="11927" s="76" customFormat="1" ht="21.95" customHeight="1" x14ac:dyDescent="0.15"/>
    <row r="11928" s="76" customFormat="1" ht="21.95" customHeight="1" x14ac:dyDescent="0.15"/>
    <row r="11929" s="76" customFormat="1" ht="21.95" customHeight="1" x14ac:dyDescent="0.15"/>
    <row r="11930" s="76" customFormat="1" ht="21.95" customHeight="1" x14ac:dyDescent="0.15"/>
    <row r="11931" s="76" customFormat="1" ht="21.95" customHeight="1" x14ac:dyDescent="0.15"/>
    <row r="11932" s="76" customFormat="1" ht="21.95" customHeight="1" x14ac:dyDescent="0.15"/>
    <row r="11933" s="76" customFormat="1" ht="21.95" customHeight="1" x14ac:dyDescent="0.15"/>
    <row r="11934" s="76" customFormat="1" ht="21.95" customHeight="1" x14ac:dyDescent="0.15"/>
    <row r="11935" s="76" customFormat="1" ht="21.95" customHeight="1" x14ac:dyDescent="0.15"/>
    <row r="11936" s="76" customFormat="1" ht="21.95" customHeight="1" x14ac:dyDescent="0.15"/>
    <row r="11937" s="76" customFormat="1" ht="21.95" customHeight="1" x14ac:dyDescent="0.15"/>
    <row r="11938" s="76" customFormat="1" ht="21.95" customHeight="1" x14ac:dyDescent="0.15"/>
    <row r="11939" s="76" customFormat="1" ht="21.95" customHeight="1" x14ac:dyDescent="0.15"/>
    <row r="11940" s="76" customFormat="1" ht="21.95" customHeight="1" x14ac:dyDescent="0.15"/>
    <row r="11941" s="76" customFormat="1" ht="21.95" customHeight="1" x14ac:dyDescent="0.15"/>
    <row r="11942" s="76" customFormat="1" ht="21.95" customHeight="1" x14ac:dyDescent="0.15"/>
    <row r="11943" s="76" customFormat="1" ht="21.95" customHeight="1" x14ac:dyDescent="0.15"/>
    <row r="11944" s="76" customFormat="1" ht="21.95" customHeight="1" x14ac:dyDescent="0.15"/>
    <row r="11945" s="76" customFormat="1" ht="21.95" customHeight="1" x14ac:dyDescent="0.15"/>
    <row r="11946" s="76" customFormat="1" ht="21.95" customHeight="1" x14ac:dyDescent="0.15"/>
    <row r="11947" s="76" customFormat="1" ht="21.95" customHeight="1" x14ac:dyDescent="0.15"/>
    <row r="11948" s="76" customFormat="1" ht="21.95" customHeight="1" x14ac:dyDescent="0.15"/>
    <row r="11949" s="76" customFormat="1" ht="21.95" customHeight="1" x14ac:dyDescent="0.15"/>
    <row r="11950" s="76" customFormat="1" ht="21.95" customHeight="1" x14ac:dyDescent="0.15"/>
    <row r="11951" s="76" customFormat="1" ht="21.95" customHeight="1" x14ac:dyDescent="0.15"/>
    <row r="11952" s="76" customFormat="1" ht="21.95" customHeight="1" x14ac:dyDescent="0.15"/>
    <row r="11953" s="76" customFormat="1" ht="21.95" customHeight="1" x14ac:dyDescent="0.15"/>
    <row r="11954" s="76" customFormat="1" ht="21.95" customHeight="1" x14ac:dyDescent="0.15"/>
    <row r="11955" s="76" customFormat="1" ht="21.95" customHeight="1" x14ac:dyDescent="0.15"/>
    <row r="11956" s="76" customFormat="1" ht="21.95" customHeight="1" x14ac:dyDescent="0.15"/>
    <row r="11957" s="76" customFormat="1" ht="21.95" customHeight="1" x14ac:dyDescent="0.15"/>
    <row r="11958" s="76" customFormat="1" ht="21.95" customHeight="1" x14ac:dyDescent="0.15"/>
    <row r="11959" s="76" customFormat="1" ht="21.95" customHeight="1" x14ac:dyDescent="0.15"/>
    <row r="11960" s="76" customFormat="1" ht="21.95" customHeight="1" x14ac:dyDescent="0.15"/>
    <row r="11961" s="76" customFormat="1" ht="35.1" customHeight="1" x14ac:dyDescent="0.15"/>
    <row r="11962" s="76" customFormat="1" ht="21.95" customHeight="1" x14ac:dyDescent="0.15"/>
    <row r="11963" s="76" customFormat="1" ht="21.95" customHeight="1" x14ac:dyDescent="0.15"/>
    <row r="11964" s="76" customFormat="1" ht="21.95" customHeight="1" x14ac:dyDescent="0.15"/>
    <row r="11965" s="76" customFormat="1" ht="21.95" customHeight="1" x14ac:dyDescent="0.15"/>
    <row r="11966" s="76" customFormat="1" ht="21.95" customHeight="1" x14ac:dyDescent="0.15"/>
    <row r="11967" s="76" customFormat="1" ht="21.95" customHeight="1" x14ac:dyDescent="0.15"/>
    <row r="11968" s="76" customFormat="1" ht="21.95" customHeight="1" x14ac:dyDescent="0.15"/>
    <row r="11969" s="76" customFormat="1" ht="21.95" customHeight="1" x14ac:dyDescent="0.15"/>
    <row r="11970" s="76" customFormat="1" ht="21.95" customHeight="1" x14ac:dyDescent="0.15"/>
    <row r="11971" s="76" customFormat="1" ht="21.95" customHeight="1" x14ac:dyDescent="0.15"/>
    <row r="11972" s="76" customFormat="1" ht="21.95" customHeight="1" x14ac:dyDescent="0.15"/>
    <row r="11973" s="76" customFormat="1" ht="21.95" customHeight="1" x14ac:dyDescent="0.15"/>
    <row r="11974" s="76" customFormat="1" ht="21.95" customHeight="1" x14ac:dyDescent="0.15"/>
    <row r="11975" s="76" customFormat="1" ht="21.95" customHeight="1" x14ac:dyDescent="0.15"/>
    <row r="11976" s="76" customFormat="1" ht="21.95" customHeight="1" x14ac:dyDescent="0.15"/>
    <row r="11977" s="76" customFormat="1" ht="21.95" customHeight="1" x14ac:dyDescent="0.15"/>
    <row r="11978" s="76" customFormat="1" ht="21.95" customHeight="1" x14ac:dyDescent="0.15"/>
    <row r="11979" s="76" customFormat="1" ht="21.95" customHeight="1" x14ac:dyDescent="0.15"/>
    <row r="11980" s="76" customFormat="1" ht="21.95" customHeight="1" x14ac:dyDescent="0.15"/>
    <row r="11981" s="76" customFormat="1" ht="21.95" customHeight="1" x14ac:dyDescent="0.15"/>
    <row r="11982" s="76" customFormat="1" ht="21.95" customHeight="1" x14ac:dyDescent="0.15"/>
    <row r="11983" s="76" customFormat="1" ht="21.95" customHeight="1" x14ac:dyDescent="0.15"/>
    <row r="11984" s="76" customFormat="1" ht="21.95" customHeight="1" x14ac:dyDescent="0.15"/>
    <row r="11985" spans="3:3" customFormat="1" ht="21.95" customHeight="1" x14ac:dyDescent="0.15"/>
    <row r="11986" spans="3:3" customFormat="1" ht="21.95" customHeight="1" x14ac:dyDescent="0.15"/>
    <row r="11987" spans="3:3" customFormat="1" ht="21.95" customHeight="1" x14ac:dyDescent="0.15">
      <c r="C11987" s="94"/>
    </row>
    <row r="11988" spans="3:3" customFormat="1" ht="21.95" customHeight="1" x14ac:dyDescent="0.15">
      <c r="C11988" s="94"/>
    </row>
    <row r="11989" spans="3:3" customFormat="1" ht="21.95" customHeight="1" x14ac:dyDescent="0.15"/>
    <row r="11990" spans="3:3" customFormat="1" ht="21.95" customHeight="1" x14ac:dyDescent="0.15"/>
    <row r="11991" spans="3:3" customFormat="1" ht="21.95" customHeight="1" x14ac:dyDescent="0.15"/>
    <row r="11992" spans="3:3" customFormat="1" ht="21.95" customHeight="1" x14ac:dyDescent="0.15"/>
    <row r="11993" spans="3:3" customFormat="1" ht="21.95" customHeight="1" x14ac:dyDescent="0.15"/>
    <row r="11994" spans="3:3" customFormat="1" ht="21.95" customHeight="1" x14ac:dyDescent="0.15"/>
    <row r="11995" spans="3:3" customFormat="1" ht="21.95" customHeight="1" x14ac:dyDescent="0.15"/>
    <row r="11996" spans="3:3" s="76" customFormat="1" ht="21.95" customHeight="1" x14ac:dyDescent="0.15"/>
    <row r="11997" spans="3:3" s="76" customFormat="1" ht="21.95" customHeight="1" x14ac:dyDescent="0.15"/>
    <row r="11998" spans="3:3" s="76" customFormat="1" ht="21.95" customHeight="1" x14ac:dyDescent="0.15"/>
    <row r="11999" spans="3:3" s="76" customFormat="1" ht="21.95" customHeight="1" x14ac:dyDescent="0.15"/>
    <row r="12000" spans="3:3" customFormat="1" ht="21.95" customHeight="1" x14ac:dyDescent="0.15"/>
    <row r="12001" customFormat="1" ht="21.95" customHeight="1" x14ac:dyDescent="0.15"/>
    <row r="12002" customFormat="1" ht="21.95" customHeight="1" x14ac:dyDescent="0.15"/>
    <row r="12003" customFormat="1" ht="21.95" customHeight="1" x14ac:dyDescent="0.15"/>
    <row r="12004" customFormat="1" ht="21.95" customHeight="1" x14ac:dyDescent="0.15"/>
    <row r="12005" customFormat="1" ht="21.95" customHeight="1" x14ac:dyDescent="0.15"/>
    <row r="12006" customFormat="1" ht="21.95" customHeight="1" x14ac:dyDescent="0.15"/>
    <row r="12007" customFormat="1" ht="21.95" customHeight="1" x14ac:dyDescent="0.15"/>
    <row r="12008" customFormat="1" ht="21.95" customHeight="1" x14ac:dyDescent="0.15"/>
    <row r="12009" customFormat="1" ht="21.95" customHeight="1" x14ac:dyDescent="0.15"/>
    <row r="12010" customFormat="1" ht="21.95" customHeight="1" x14ac:dyDescent="0.15"/>
    <row r="12011" customFormat="1" ht="32.1" customHeight="1" x14ac:dyDescent="0.15"/>
    <row r="12012" customFormat="1" ht="32.1" customHeight="1" x14ac:dyDescent="0.15"/>
    <row r="12013" customFormat="1" ht="32.1" customHeight="1" x14ac:dyDescent="0.15"/>
    <row r="12014" customFormat="1" ht="32.1" customHeight="1" x14ac:dyDescent="0.15"/>
    <row r="12015" customFormat="1" ht="32.1" customHeight="1" x14ac:dyDescent="0.15"/>
    <row r="12016" customFormat="1" ht="32.1" customHeight="1" x14ac:dyDescent="0.15"/>
    <row r="12017" s="76" customFormat="1" ht="32.1" customHeight="1" x14ac:dyDescent="0.15"/>
    <row r="12018" s="76" customFormat="1" ht="32.1" customHeight="1" x14ac:dyDescent="0.15"/>
    <row r="12019" s="76" customFormat="1" ht="32.1" customHeight="1" x14ac:dyDescent="0.15"/>
    <row r="12020" s="76" customFormat="1" ht="32.1" customHeight="1" x14ac:dyDescent="0.15"/>
    <row r="12021" s="76" customFormat="1" ht="21.95" customHeight="1" x14ac:dyDescent="0.15"/>
    <row r="12022" s="76" customFormat="1" ht="54" customHeight="1" x14ac:dyDescent="0.15"/>
    <row r="12023" s="76" customFormat="1" ht="21.95" customHeight="1" x14ac:dyDescent="0.15"/>
    <row r="12024" s="76" customFormat="1" ht="21.95" customHeight="1" x14ac:dyDescent="0.15"/>
    <row r="12025" s="76" customFormat="1" ht="21.95" customHeight="1" x14ac:dyDescent="0.15"/>
    <row r="12026" s="76" customFormat="1" ht="21.95" customHeight="1" x14ac:dyDescent="0.15"/>
    <row r="12027" s="76" customFormat="1" ht="21.95" customHeight="1" x14ac:dyDescent="0.15"/>
    <row r="12028" s="76" customFormat="1" ht="21.95" customHeight="1" x14ac:dyDescent="0.15"/>
    <row r="12029" s="76" customFormat="1" ht="21.95" customHeight="1" x14ac:dyDescent="0.15"/>
    <row r="12030" s="76" customFormat="1" ht="21.95" customHeight="1" x14ac:dyDescent="0.15"/>
    <row r="12031" s="76" customFormat="1" ht="21.95" customHeight="1" x14ac:dyDescent="0.15"/>
    <row r="12032" s="76" customFormat="1" ht="21.95" customHeight="1" x14ac:dyDescent="0.15"/>
    <row r="12033" s="76" customFormat="1" ht="21.95" customHeight="1" x14ac:dyDescent="0.15"/>
    <row r="12034" s="76" customFormat="1" ht="21.95" customHeight="1" x14ac:dyDescent="0.15"/>
    <row r="12035" s="76" customFormat="1" ht="21.95" customHeight="1" x14ac:dyDescent="0.15"/>
    <row r="12036" s="76" customFormat="1" ht="21.95" customHeight="1" x14ac:dyDescent="0.15"/>
    <row r="12037" s="76" customFormat="1" ht="21.95" customHeight="1" x14ac:dyDescent="0.15"/>
    <row r="12038" s="76" customFormat="1" ht="21.95" customHeight="1" x14ac:dyDescent="0.15"/>
    <row r="12039" s="76" customFormat="1" ht="21.95" customHeight="1" x14ac:dyDescent="0.15"/>
    <row r="12040" s="76" customFormat="1" ht="21.95" customHeight="1" x14ac:dyDescent="0.15"/>
    <row r="12041" s="76" customFormat="1" ht="21.95" customHeight="1" x14ac:dyDescent="0.15"/>
    <row r="12042" s="76" customFormat="1" ht="21.95" customHeight="1" x14ac:dyDescent="0.15"/>
    <row r="12043" s="76" customFormat="1" ht="21.95" customHeight="1" x14ac:dyDescent="0.15"/>
    <row r="12044" s="76" customFormat="1" ht="21.95" customHeight="1" x14ac:dyDescent="0.15"/>
    <row r="12045" s="76" customFormat="1" ht="21.95" customHeight="1" x14ac:dyDescent="0.15"/>
    <row r="12046" s="76" customFormat="1" ht="21.95" customHeight="1" x14ac:dyDescent="0.15"/>
    <row r="12047" s="76" customFormat="1" ht="21.95" customHeight="1" x14ac:dyDescent="0.15"/>
    <row r="12048" s="76" customFormat="1" ht="21.95" customHeight="1" x14ac:dyDescent="0.15"/>
    <row r="12049" s="76" customFormat="1" ht="21.95" customHeight="1" x14ac:dyDescent="0.15"/>
    <row r="12050" s="76" customFormat="1" ht="21.95" customHeight="1" x14ac:dyDescent="0.15"/>
    <row r="12051" s="76" customFormat="1" ht="21.95" customHeight="1" x14ac:dyDescent="0.15"/>
    <row r="12052" s="76" customFormat="1" ht="21.95" customHeight="1" x14ac:dyDescent="0.15"/>
    <row r="12053" s="76" customFormat="1" ht="21.95" customHeight="1" x14ac:dyDescent="0.15"/>
    <row r="12054" s="76" customFormat="1" ht="21.95" customHeight="1" x14ac:dyDescent="0.15"/>
    <row r="12055" s="76" customFormat="1" ht="21.95" customHeight="1" x14ac:dyDescent="0.15"/>
    <row r="12056" s="76" customFormat="1" ht="21.95" customHeight="1" x14ac:dyDescent="0.15"/>
    <row r="12057" s="76" customFormat="1" ht="21.95" customHeight="1" x14ac:dyDescent="0.15"/>
    <row r="12058" s="76" customFormat="1" ht="21.95" customHeight="1" x14ac:dyDescent="0.15"/>
    <row r="12059" s="76" customFormat="1" ht="21.95" customHeight="1" x14ac:dyDescent="0.15"/>
    <row r="12060" s="76" customFormat="1" ht="21.95" customHeight="1" x14ac:dyDescent="0.15"/>
    <row r="12061" s="76" customFormat="1" ht="21.95" customHeight="1" x14ac:dyDescent="0.15"/>
    <row r="12062" s="76" customFormat="1" ht="21.95" customHeight="1" x14ac:dyDescent="0.15"/>
    <row r="12063" s="76" customFormat="1" ht="21.95" customHeight="1" x14ac:dyDescent="0.15"/>
    <row r="12064" s="76" customFormat="1" ht="21.95" customHeight="1" x14ac:dyDescent="0.15"/>
    <row r="12065" s="76" customFormat="1" ht="21.95" customHeight="1" x14ac:dyDescent="0.15"/>
    <row r="12066" s="76" customFormat="1" ht="21.95" customHeight="1" x14ac:dyDescent="0.15"/>
    <row r="12067" s="76" customFormat="1" ht="21.95" customHeight="1" x14ac:dyDescent="0.15"/>
    <row r="12068" s="76" customFormat="1" ht="21.95" customHeight="1" x14ac:dyDescent="0.15"/>
    <row r="12069" s="76" customFormat="1" ht="21.95" customHeight="1" x14ac:dyDescent="0.15"/>
    <row r="12070" s="76" customFormat="1" ht="21.95" customHeight="1" x14ac:dyDescent="0.15"/>
    <row r="12071" s="76" customFormat="1" ht="21.95" customHeight="1" x14ac:dyDescent="0.15"/>
    <row r="12072" s="76" customFormat="1" ht="21.95" customHeight="1" x14ac:dyDescent="0.15"/>
    <row r="12073" s="76" customFormat="1" ht="35.1" customHeight="1" x14ac:dyDescent="0.15"/>
    <row r="12074" s="76" customFormat="1" ht="21.95" customHeight="1" x14ac:dyDescent="0.15"/>
    <row r="12075" s="76" customFormat="1" ht="21.95" customHeight="1" x14ac:dyDescent="0.15"/>
    <row r="12076" s="76" customFormat="1" ht="21.95" customHeight="1" x14ac:dyDescent="0.15"/>
    <row r="12077" s="76" customFormat="1" ht="21.95" customHeight="1" x14ac:dyDescent="0.15"/>
    <row r="12078" s="76" customFormat="1" ht="21.95" customHeight="1" x14ac:dyDescent="0.15"/>
    <row r="12079" s="76" customFormat="1" ht="21.95" customHeight="1" x14ac:dyDescent="0.15"/>
    <row r="12080" s="76" customFormat="1" ht="21.95" customHeight="1" x14ac:dyDescent="0.15"/>
    <row r="12081" s="76" customFormat="1" ht="21.95" customHeight="1" x14ac:dyDescent="0.15"/>
    <row r="12082" s="76" customFormat="1" ht="21.95" customHeight="1" x14ac:dyDescent="0.15"/>
    <row r="12083" s="76" customFormat="1" ht="21.95" customHeight="1" x14ac:dyDescent="0.15"/>
    <row r="12084" s="76" customFormat="1" ht="21.95" customHeight="1" x14ac:dyDescent="0.15"/>
    <row r="12085" s="76" customFormat="1" ht="21.95" customHeight="1" x14ac:dyDescent="0.15"/>
    <row r="12086" s="76" customFormat="1" ht="21.95" customHeight="1" x14ac:dyDescent="0.15"/>
    <row r="12087" s="76" customFormat="1" ht="21.95" customHeight="1" x14ac:dyDescent="0.15"/>
    <row r="12088" s="76" customFormat="1" ht="21.95" customHeight="1" x14ac:dyDescent="0.15"/>
    <row r="12089" s="76" customFormat="1" ht="21.95" customHeight="1" x14ac:dyDescent="0.15"/>
    <row r="12090" s="76" customFormat="1" ht="21.95" customHeight="1" x14ac:dyDescent="0.15"/>
    <row r="12091" s="76" customFormat="1" ht="21.95" customHeight="1" x14ac:dyDescent="0.15"/>
    <row r="12092" s="76" customFormat="1" ht="21.95" customHeight="1" x14ac:dyDescent="0.15"/>
    <row r="12093" s="76" customFormat="1" ht="21.95" customHeight="1" x14ac:dyDescent="0.15"/>
    <row r="12094" s="76" customFormat="1" ht="21.95" customHeight="1" x14ac:dyDescent="0.15"/>
    <row r="12095" s="76" customFormat="1" ht="21.95" customHeight="1" x14ac:dyDescent="0.15"/>
    <row r="12096" s="76" customFormat="1" ht="21.95" customHeight="1" x14ac:dyDescent="0.15"/>
    <row r="12097" spans="3:3" customFormat="1" ht="21.95" customHeight="1" x14ac:dyDescent="0.15"/>
    <row r="12098" spans="3:3" customFormat="1" ht="21.95" customHeight="1" x14ac:dyDescent="0.15"/>
    <row r="12099" spans="3:3" customFormat="1" ht="21.95" customHeight="1" x14ac:dyDescent="0.15">
      <c r="C12099" s="94"/>
    </row>
    <row r="12100" spans="3:3" customFormat="1" ht="21.95" customHeight="1" x14ac:dyDescent="0.15">
      <c r="C12100" s="94"/>
    </row>
    <row r="12101" spans="3:3" customFormat="1" ht="21.95" customHeight="1" x14ac:dyDescent="0.15"/>
    <row r="12102" spans="3:3" customFormat="1" ht="21.95" customHeight="1" x14ac:dyDescent="0.15"/>
    <row r="12103" spans="3:3" customFormat="1" ht="21.95" customHeight="1" x14ac:dyDescent="0.15"/>
    <row r="12104" spans="3:3" customFormat="1" ht="21.95" customHeight="1" x14ac:dyDescent="0.15"/>
    <row r="12105" spans="3:3" customFormat="1" ht="21.95" customHeight="1" x14ac:dyDescent="0.15"/>
    <row r="12106" spans="3:3" customFormat="1" ht="21.95" customHeight="1" x14ac:dyDescent="0.15"/>
    <row r="12107" spans="3:3" customFormat="1" ht="21.95" customHeight="1" x14ac:dyDescent="0.15"/>
    <row r="12108" spans="3:3" s="76" customFormat="1" ht="21.95" customHeight="1" x14ac:dyDescent="0.15"/>
    <row r="12109" spans="3:3" s="76" customFormat="1" ht="21.95" customHeight="1" x14ac:dyDescent="0.15"/>
    <row r="12110" spans="3:3" s="76" customFormat="1" ht="21.95" customHeight="1" x14ac:dyDescent="0.15"/>
    <row r="12111" spans="3:3" s="76" customFormat="1" ht="21.95" customHeight="1" x14ac:dyDescent="0.15"/>
    <row r="12112" spans="3:3" customFormat="1" ht="21.95" customHeight="1" x14ac:dyDescent="0.15"/>
    <row r="12113" customFormat="1" ht="21.95" customHeight="1" x14ac:dyDescent="0.15"/>
    <row r="12114" customFormat="1" ht="21.95" customHeight="1" x14ac:dyDescent="0.15"/>
    <row r="12115" customFormat="1" ht="21.95" customHeight="1" x14ac:dyDescent="0.15"/>
    <row r="12116" customFormat="1" ht="21.95" customHeight="1" x14ac:dyDescent="0.15"/>
    <row r="12117" customFormat="1" ht="21.95" customHeight="1" x14ac:dyDescent="0.15"/>
    <row r="12118" customFormat="1" ht="21.95" customHeight="1" x14ac:dyDescent="0.15"/>
    <row r="12119" customFormat="1" ht="21.95" customHeight="1" x14ac:dyDescent="0.15"/>
    <row r="12120" customFormat="1" ht="21.95" customHeight="1" x14ac:dyDescent="0.15"/>
    <row r="12121" customFormat="1" ht="21.95" customHeight="1" x14ac:dyDescent="0.15"/>
    <row r="12122" customFormat="1" ht="21.95" customHeight="1" x14ac:dyDescent="0.15"/>
    <row r="12123" customFormat="1" ht="32.1" customHeight="1" x14ac:dyDescent="0.15"/>
    <row r="12124" customFormat="1" ht="32.1" customHeight="1" x14ac:dyDescent="0.15"/>
    <row r="12125" customFormat="1" ht="32.1" customHeight="1" x14ac:dyDescent="0.15"/>
    <row r="12126" customFormat="1" ht="32.1" customHeight="1" x14ac:dyDescent="0.15"/>
    <row r="12127" customFormat="1" ht="32.1" customHeight="1" x14ac:dyDescent="0.15"/>
    <row r="12128" customFormat="1" ht="32.1" customHeight="1" x14ac:dyDescent="0.15"/>
    <row r="12129" s="76" customFormat="1" ht="32.1" customHeight="1" x14ac:dyDescent="0.15"/>
    <row r="12130" s="76" customFormat="1" ht="32.1" customHeight="1" x14ac:dyDescent="0.15"/>
    <row r="12131" s="76" customFormat="1" ht="32.1" customHeight="1" x14ac:dyDescent="0.15"/>
    <row r="12132" s="76" customFormat="1" ht="32.1" customHeight="1" x14ac:dyDescent="0.15"/>
    <row r="12133" s="76" customFormat="1" ht="21.95" customHeight="1" x14ac:dyDescent="0.15"/>
    <row r="12134" s="76" customFormat="1" ht="54" customHeight="1" x14ac:dyDescent="0.15"/>
    <row r="12135" s="76" customFormat="1" ht="21.95" customHeight="1" x14ac:dyDescent="0.15"/>
    <row r="12136" s="76" customFormat="1" ht="21.95" customHeight="1" x14ac:dyDescent="0.15"/>
    <row r="12137" s="76" customFormat="1" ht="21.95" customHeight="1" x14ac:dyDescent="0.15"/>
    <row r="12138" s="76" customFormat="1" ht="21.95" customHeight="1" x14ac:dyDescent="0.15"/>
    <row r="12139" s="76" customFormat="1" ht="21.95" customHeight="1" x14ac:dyDescent="0.15"/>
    <row r="12140" s="76" customFormat="1" ht="21.95" customHeight="1" x14ac:dyDescent="0.15"/>
    <row r="12141" s="76" customFormat="1" ht="21.95" customHeight="1" x14ac:dyDescent="0.15"/>
    <row r="12142" s="76" customFormat="1" ht="21.95" customHeight="1" x14ac:dyDescent="0.15"/>
    <row r="12143" s="76" customFormat="1" ht="21.95" customHeight="1" x14ac:dyDescent="0.15"/>
    <row r="12144" s="76" customFormat="1" ht="21.95" customHeight="1" x14ac:dyDescent="0.15"/>
    <row r="12145" s="76" customFormat="1" ht="21.95" customHeight="1" x14ac:dyDescent="0.15"/>
    <row r="12146" s="76" customFormat="1" ht="21.95" customHeight="1" x14ac:dyDescent="0.15"/>
    <row r="12147" s="76" customFormat="1" ht="21.95" customHeight="1" x14ac:dyDescent="0.15"/>
    <row r="12148" s="76" customFormat="1" ht="21.95" customHeight="1" x14ac:dyDescent="0.15"/>
    <row r="12149" s="76" customFormat="1" ht="21.95" customHeight="1" x14ac:dyDescent="0.15"/>
    <row r="12150" s="76" customFormat="1" ht="21.95" customHeight="1" x14ac:dyDescent="0.15"/>
    <row r="12151" s="76" customFormat="1" ht="21.95" customHeight="1" x14ac:dyDescent="0.15"/>
    <row r="12152" s="76" customFormat="1" ht="21.95" customHeight="1" x14ac:dyDescent="0.15"/>
    <row r="12153" s="76" customFormat="1" ht="21.95" customHeight="1" x14ac:dyDescent="0.15"/>
    <row r="12154" s="76" customFormat="1" ht="21.95" customHeight="1" x14ac:dyDescent="0.15"/>
    <row r="12155" s="76" customFormat="1" ht="21.95" customHeight="1" x14ac:dyDescent="0.15"/>
    <row r="12156" s="76" customFormat="1" ht="21.95" customHeight="1" x14ac:dyDescent="0.15"/>
    <row r="12157" s="76" customFormat="1" ht="21.95" customHeight="1" x14ac:dyDescent="0.15"/>
    <row r="12158" s="76" customFormat="1" ht="21.95" customHeight="1" x14ac:dyDescent="0.15"/>
    <row r="12159" s="76" customFormat="1" ht="21.95" customHeight="1" x14ac:dyDescent="0.15"/>
    <row r="12160" s="76" customFormat="1" ht="21.95" customHeight="1" x14ac:dyDescent="0.15"/>
    <row r="12161" s="76" customFormat="1" ht="21.95" customHeight="1" x14ac:dyDescent="0.15"/>
    <row r="12162" s="76" customFormat="1" ht="21.95" customHeight="1" x14ac:dyDescent="0.15"/>
    <row r="12163" s="76" customFormat="1" ht="21.95" customHeight="1" x14ac:dyDescent="0.15"/>
    <row r="12164" s="76" customFormat="1" ht="21.95" customHeight="1" x14ac:dyDescent="0.15"/>
    <row r="12165" s="76" customFormat="1" ht="21.95" customHeight="1" x14ac:dyDescent="0.15"/>
    <row r="12166" s="76" customFormat="1" ht="21.95" customHeight="1" x14ac:dyDescent="0.15"/>
    <row r="12167" s="76" customFormat="1" ht="21.95" customHeight="1" x14ac:dyDescent="0.15"/>
    <row r="12168" s="76" customFormat="1" ht="21.95" customHeight="1" x14ac:dyDescent="0.15"/>
    <row r="12169" s="76" customFormat="1" ht="21.95" customHeight="1" x14ac:dyDescent="0.15"/>
    <row r="12170" s="76" customFormat="1" ht="21.95" customHeight="1" x14ac:dyDescent="0.15"/>
    <row r="12171" s="76" customFormat="1" ht="21.95" customHeight="1" x14ac:dyDescent="0.15"/>
    <row r="12172" s="76" customFormat="1" ht="21.95" customHeight="1" x14ac:dyDescent="0.15"/>
    <row r="12173" s="76" customFormat="1" ht="21.95" customHeight="1" x14ac:dyDescent="0.15"/>
    <row r="12174" s="76" customFormat="1" ht="21.95" customHeight="1" x14ac:dyDescent="0.15"/>
    <row r="12175" s="76" customFormat="1" ht="21.95" customHeight="1" x14ac:dyDescent="0.15"/>
    <row r="12176" s="76" customFormat="1" ht="21.95" customHeight="1" x14ac:dyDescent="0.15"/>
    <row r="12177" s="76" customFormat="1" ht="21.95" customHeight="1" x14ac:dyDescent="0.15"/>
    <row r="12178" s="76" customFormat="1" ht="21.95" customHeight="1" x14ac:dyDescent="0.15"/>
    <row r="12179" s="76" customFormat="1" ht="21.95" customHeight="1" x14ac:dyDescent="0.15"/>
    <row r="12180" s="76" customFormat="1" ht="21.95" customHeight="1" x14ac:dyDescent="0.15"/>
    <row r="12181" s="76" customFormat="1" ht="21.95" customHeight="1" x14ac:dyDescent="0.15"/>
    <row r="12182" s="76" customFormat="1" ht="21.95" customHeight="1" x14ac:dyDescent="0.15"/>
    <row r="12183" s="76" customFormat="1" ht="21.95" customHeight="1" x14ac:dyDescent="0.15"/>
    <row r="12184" s="76" customFormat="1" ht="21.95" customHeight="1" x14ac:dyDescent="0.15"/>
    <row r="12185" s="76" customFormat="1" ht="35.1" customHeight="1" x14ac:dyDescent="0.15"/>
    <row r="12186" s="76" customFormat="1" ht="21.95" customHeight="1" x14ac:dyDescent="0.15"/>
    <row r="12187" s="76" customFormat="1" ht="21.95" customHeight="1" x14ac:dyDescent="0.15"/>
    <row r="12188" s="76" customFormat="1" ht="21.95" customHeight="1" x14ac:dyDescent="0.15"/>
    <row r="12189" s="76" customFormat="1" ht="21.95" customHeight="1" x14ac:dyDescent="0.15"/>
    <row r="12190" s="76" customFormat="1" ht="21.95" customHeight="1" x14ac:dyDescent="0.15"/>
    <row r="12191" s="76" customFormat="1" ht="21.95" customHeight="1" x14ac:dyDescent="0.15"/>
    <row r="12192" s="76" customFormat="1" ht="21.95" customHeight="1" x14ac:dyDescent="0.15"/>
    <row r="12193" s="76" customFormat="1" ht="21.95" customHeight="1" x14ac:dyDescent="0.15"/>
    <row r="12194" s="76" customFormat="1" ht="21.95" customHeight="1" x14ac:dyDescent="0.15"/>
    <row r="12195" s="76" customFormat="1" ht="21.95" customHeight="1" x14ac:dyDescent="0.15"/>
    <row r="12196" s="76" customFormat="1" ht="21.95" customHeight="1" x14ac:dyDescent="0.15"/>
    <row r="12197" s="76" customFormat="1" ht="21.95" customHeight="1" x14ac:dyDescent="0.15"/>
    <row r="12198" s="76" customFormat="1" ht="21.95" customHeight="1" x14ac:dyDescent="0.15"/>
    <row r="12199" s="76" customFormat="1" ht="21.95" customHeight="1" x14ac:dyDescent="0.15"/>
    <row r="12200" s="76" customFormat="1" ht="21.95" customHeight="1" x14ac:dyDescent="0.15"/>
    <row r="12201" s="76" customFormat="1" ht="21.95" customHeight="1" x14ac:dyDescent="0.15"/>
    <row r="12202" s="76" customFormat="1" ht="21.95" customHeight="1" x14ac:dyDescent="0.15"/>
    <row r="12203" s="76" customFormat="1" ht="21.95" customHeight="1" x14ac:dyDescent="0.15"/>
    <row r="12204" s="76" customFormat="1" ht="21.95" customHeight="1" x14ac:dyDescent="0.15"/>
    <row r="12205" s="76" customFormat="1" ht="21.95" customHeight="1" x14ac:dyDescent="0.15"/>
    <row r="12206" s="76" customFormat="1" ht="21.95" customHeight="1" x14ac:dyDescent="0.15"/>
    <row r="12207" s="76" customFormat="1" ht="21.95" customHeight="1" x14ac:dyDescent="0.15"/>
    <row r="12208" s="76" customFormat="1" ht="21.95" customHeight="1" x14ac:dyDescent="0.15"/>
    <row r="12209" spans="3:3" customFormat="1" ht="21.95" customHeight="1" x14ac:dyDescent="0.15"/>
    <row r="12210" spans="3:3" customFormat="1" ht="21.95" customHeight="1" x14ac:dyDescent="0.15"/>
    <row r="12211" spans="3:3" customFormat="1" ht="21.95" customHeight="1" x14ac:dyDescent="0.15">
      <c r="C12211" s="94"/>
    </row>
    <row r="12212" spans="3:3" customFormat="1" ht="21.95" customHeight="1" x14ac:dyDescent="0.15">
      <c r="C12212" s="94"/>
    </row>
    <row r="12213" spans="3:3" customFormat="1" ht="21.95" customHeight="1" x14ac:dyDescent="0.15"/>
    <row r="12214" spans="3:3" customFormat="1" ht="21.95" customHeight="1" x14ac:dyDescent="0.15"/>
    <row r="12215" spans="3:3" customFormat="1" ht="21.95" customHeight="1" x14ac:dyDescent="0.15"/>
    <row r="12216" spans="3:3" customFormat="1" ht="21.95" customHeight="1" x14ac:dyDescent="0.15"/>
    <row r="12217" spans="3:3" customFormat="1" ht="21.95" customHeight="1" x14ac:dyDescent="0.15"/>
    <row r="12218" spans="3:3" customFormat="1" ht="21.95" customHeight="1" x14ac:dyDescent="0.15"/>
    <row r="12219" spans="3:3" customFormat="1" ht="21.95" customHeight="1" x14ac:dyDescent="0.15"/>
    <row r="12220" spans="3:3" s="76" customFormat="1" ht="21.95" customHeight="1" x14ac:dyDescent="0.15"/>
    <row r="12221" spans="3:3" s="76" customFormat="1" ht="21.95" customHeight="1" x14ac:dyDescent="0.15"/>
    <row r="12222" spans="3:3" s="76" customFormat="1" ht="21.95" customHeight="1" x14ac:dyDescent="0.15"/>
    <row r="12223" spans="3:3" s="76" customFormat="1" ht="21.95" customHeight="1" x14ac:dyDescent="0.15"/>
    <row r="12224" spans="3:3" customFormat="1" ht="21.95" customHeight="1" x14ac:dyDescent="0.15"/>
    <row r="12225" customFormat="1" ht="21.95" customHeight="1" x14ac:dyDescent="0.15"/>
    <row r="12226" customFormat="1" ht="21.95" customHeight="1" x14ac:dyDescent="0.15"/>
    <row r="12227" customFormat="1" ht="21.95" customHeight="1" x14ac:dyDescent="0.15"/>
    <row r="12228" customFormat="1" ht="21.95" customHeight="1" x14ac:dyDescent="0.15"/>
    <row r="12229" customFormat="1" ht="21.95" customHeight="1" x14ac:dyDescent="0.15"/>
    <row r="12230" customFormat="1" ht="21.95" customHeight="1" x14ac:dyDescent="0.15"/>
    <row r="12231" customFormat="1" ht="21.95" customHeight="1" x14ac:dyDescent="0.15"/>
    <row r="12232" customFormat="1" ht="21.95" customHeight="1" x14ac:dyDescent="0.15"/>
    <row r="12233" customFormat="1" ht="21.95" customHeight="1" x14ac:dyDescent="0.15"/>
    <row r="12234" customFormat="1" ht="21.95" customHeight="1" x14ac:dyDescent="0.15"/>
    <row r="12235" customFormat="1" ht="32.1" customHeight="1" x14ac:dyDescent="0.15"/>
    <row r="12236" customFormat="1" ht="32.1" customHeight="1" x14ac:dyDescent="0.15"/>
    <row r="12237" customFormat="1" ht="32.1" customHeight="1" x14ac:dyDescent="0.15"/>
    <row r="12238" customFormat="1" ht="32.1" customHeight="1" x14ac:dyDescent="0.15"/>
    <row r="12239" customFormat="1" ht="32.1" customHeight="1" x14ac:dyDescent="0.15"/>
    <row r="12240" customFormat="1" ht="32.1" customHeight="1" x14ac:dyDescent="0.15"/>
    <row r="12241" s="76" customFormat="1" ht="32.1" customHeight="1" x14ac:dyDescent="0.15"/>
    <row r="12242" s="76" customFormat="1" ht="32.1" customHeight="1" x14ac:dyDescent="0.15"/>
    <row r="12243" s="76" customFormat="1" ht="32.1" customHeight="1" x14ac:dyDescent="0.15"/>
    <row r="12244" s="76" customFormat="1" ht="32.1" customHeight="1" x14ac:dyDescent="0.15"/>
    <row r="12245" s="76" customFormat="1" ht="21.95" customHeight="1" x14ac:dyDescent="0.15"/>
    <row r="12246" s="76" customFormat="1" ht="54" customHeight="1" x14ac:dyDescent="0.15"/>
    <row r="12247" s="76" customFormat="1" ht="21.95" customHeight="1" x14ac:dyDescent="0.15"/>
    <row r="12248" s="76" customFormat="1" ht="21.95" customHeight="1" x14ac:dyDescent="0.15"/>
    <row r="12249" s="76" customFormat="1" ht="21.95" customHeight="1" x14ac:dyDescent="0.15"/>
    <row r="12250" s="76" customFormat="1" ht="21.95" customHeight="1" x14ac:dyDescent="0.15"/>
    <row r="12251" s="76" customFormat="1" ht="21.95" customHeight="1" x14ac:dyDescent="0.15"/>
    <row r="12252" s="76" customFormat="1" ht="21.95" customHeight="1" x14ac:dyDescent="0.15"/>
    <row r="12253" s="76" customFormat="1" ht="21.95" customHeight="1" x14ac:dyDescent="0.15"/>
    <row r="12254" s="76" customFormat="1" ht="21.95" customHeight="1" x14ac:dyDescent="0.15"/>
    <row r="12255" s="76" customFormat="1" ht="21.95" customHeight="1" x14ac:dyDescent="0.15"/>
    <row r="12256" s="76" customFormat="1" ht="21.95" customHeight="1" x14ac:dyDescent="0.15"/>
    <row r="12257" s="76" customFormat="1" ht="21.95" customHeight="1" x14ac:dyDescent="0.15"/>
    <row r="12258" s="76" customFormat="1" ht="21.95" customHeight="1" x14ac:dyDescent="0.15"/>
    <row r="12259" s="76" customFormat="1" ht="21.95" customHeight="1" x14ac:dyDescent="0.15"/>
    <row r="12260" s="76" customFormat="1" ht="21.95" customHeight="1" x14ac:dyDescent="0.15"/>
    <row r="12261" s="76" customFormat="1" ht="21.95" customHeight="1" x14ac:dyDescent="0.15"/>
    <row r="12262" s="76" customFormat="1" ht="21.95" customHeight="1" x14ac:dyDescent="0.15"/>
    <row r="12263" s="76" customFormat="1" ht="21.95" customHeight="1" x14ac:dyDescent="0.15"/>
    <row r="12264" s="76" customFormat="1" ht="21.95" customHeight="1" x14ac:dyDescent="0.15"/>
    <row r="12265" s="76" customFormat="1" ht="21.95" customHeight="1" x14ac:dyDescent="0.15"/>
    <row r="12266" s="76" customFormat="1" ht="21.95" customHeight="1" x14ac:dyDescent="0.15"/>
    <row r="12267" s="76" customFormat="1" ht="21.95" customHeight="1" x14ac:dyDescent="0.15"/>
    <row r="12268" s="76" customFormat="1" ht="21.95" customHeight="1" x14ac:dyDescent="0.15"/>
    <row r="12269" s="76" customFormat="1" ht="21.95" customHeight="1" x14ac:dyDescent="0.15"/>
    <row r="12270" s="76" customFormat="1" ht="21.95" customHeight="1" x14ac:dyDescent="0.15"/>
    <row r="12271" s="76" customFormat="1" ht="21.95" customHeight="1" x14ac:dyDescent="0.15"/>
    <row r="12272" s="76" customFormat="1" ht="21.95" customHeight="1" x14ac:dyDescent="0.15"/>
    <row r="12273" s="76" customFormat="1" ht="21.95" customHeight="1" x14ac:dyDescent="0.15"/>
    <row r="12274" s="76" customFormat="1" ht="21.95" customHeight="1" x14ac:dyDescent="0.15"/>
    <row r="12275" s="76" customFormat="1" ht="21.95" customHeight="1" x14ac:dyDescent="0.15"/>
    <row r="12276" s="76" customFormat="1" ht="21.95" customHeight="1" x14ac:dyDescent="0.15"/>
    <row r="12277" s="76" customFormat="1" ht="21.95" customHeight="1" x14ac:dyDescent="0.15"/>
    <row r="12278" s="76" customFormat="1" ht="21.95" customHeight="1" x14ac:dyDescent="0.15"/>
    <row r="12279" s="76" customFormat="1" ht="21.95" customHeight="1" x14ac:dyDescent="0.15"/>
    <row r="12280" s="76" customFormat="1" ht="21.95" customHeight="1" x14ac:dyDescent="0.15"/>
    <row r="12281" s="76" customFormat="1" ht="21.95" customHeight="1" x14ac:dyDescent="0.15"/>
    <row r="12282" s="76" customFormat="1" ht="21.95" customHeight="1" x14ac:dyDescent="0.15"/>
    <row r="12283" s="76" customFormat="1" ht="21.95" customHeight="1" x14ac:dyDescent="0.15"/>
    <row r="12284" s="76" customFormat="1" ht="21.95" customHeight="1" x14ac:dyDescent="0.15"/>
    <row r="12285" s="76" customFormat="1" ht="21.95" customHeight="1" x14ac:dyDescent="0.15"/>
    <row r="12286" s="76" customFormat="1" ht="21.95" customHeight="1" x14ac:dyDescent="0.15"/>
    <row r="12287" s="76" customFormat="1" ht="21.95" customHeight="1" x14ac:dyDescent="0.15"/>
    <row r="12288" s="76" customFormat="1" ht="21.95" customHeight="1" x14ac:dyDescent="0.15"/>
    <row r="12289" s="76" customFormat="1" ht="21.95" customHeight="1" x14ac:dyDescent="0.15"/>
    <row r="12290" s="76" customFormat="1" ht="21.95" customHeight="1" x14ac:dyDescent="0.15"/>
    <row r="12291" s="76" customFormat="1" ht="21.95" customHeight="1" x14ac:dyDescent="0.15"/>
    <row r="12292" s="76" customFormat="1" ht="21.95" customHeight="1" x14ac:dyDescent="0.15"/>
    <row r="12293" s="76" customFormat="1" ht="21.95" customHeight="1" x14ac:dyDescent="0.15"/>
    <row r="12294" s="76" customFormat="1" ht="21.95" customHeight="1" x14ac:dyDescent="0.15"/>
    <row r="12295" s="76" customFormat="1" ht="21.95" customHeight="1" x14ac:dyDescent="0.15"/>
    <row r="12296" s="76" customFormat="1" ht="21.95" customHeight="1" x14ac:dyDescent="0.15"/>
    <row r="12297" s="76" customFormat="1" ht="35.1" customHeight="1" x14ac:dyDescent="0.15"/>
    <row r="12298" s="76" customFormat="1" ht="21.95" customHeight="1" x14ac:dyDescent="0.15"/>
    <row r="12299" s="76" customFormat="1" ht="21.95" customHeight="1" x14ac:dyDescent="0.15"/>
    <row r="12300" s="76" customFormat="1" ht="21.95" customHeight="1" x14ac:dyDescent="0.15"/>
    <row r="12301" s="76" customFormat="1" ht="21.95" customHeight="1" x14ac:dyDescent="0.15"/>
    <row r="12302" s="76" customFormat="1" ht="21.95" customHeight="1" x14ac:dyDescent="0.15"/>
    <row r="12303" s="76" customFormat="1" ht="21.95" customHeight="1" x14ac:dyDescent="0.15"/>
    <row r="12304" s="76" customFormat="1" ht="21.95" customHeight="1" x14ac:dyDescent="0.15"/>
    <row r="12305" s="76" customFormat="1" ht="21.95" customHeight="1" x14ac:dyDescent="0.15"/>
    <row r="12306" s="76" customFormat="1" ht="21.95" customHeight="1" x14ac:dyDescent="0.15"/>
    <row r="12307" s="76" customFormat="1" ht="21.95" customHeight="1" x14ac:dyDescent="0.15"/>
    <row r="12308" s="76" customFormat="1" ht="21.95" customHeight="1" x14ac:dyDescent="0.15"/>
    <row r="12309" s="76" customFormat="1" ht="21.95" customHeight="1" x14ac:dyDescent="0.15"/>
    <row r="12310" s="76" customFormat="1" ht="21.95" customHeight="1" x14ac:dyDescent="0.15"/>
    <row r="12311" s="76" customFormat="1" ht="21.95" customHeight="1" x14ac:dyDescent="0.15"/>
    <row r="12312" s="76" customFormat="1" ht="21.95" customHeight="1" x14ac:dyDescent="0.15"/>
    <row r="12313" s="76" customFormat="1" ht="21.95" customHeight="1" x14ac:dyDescent="0.15"/>
    <row r="12314" s="76" customFormat="1" ht="21.95" customHeight="1" x14ac:dyDescent="0.15"/>
    <row r="12315" s="76" customFormat="1" ht="21.95" customHeight="1" x14ac:dyDescent="0.15"/>
    <row r="12316" s="76" customFormat="1" ht="21.95" customHeight="1" x14ac:dyDescent="0.15"/>
    <row r="12317" s="76" customFormat="1" ht="21.95" customHeight="1" x14ac:dyDescent="0.15"/>
    <row r="12318" s="76" customFormat="1" ht="21.95" customHeight="1" x14ac:dyDescent="0.15"/>
    <row r="12319" s="76" customFormat="1" ht="21.95" customHeight="1" x14ac:dyDescent="0.15"/>
    <row r="12320" s="76" customFormat="1" ht="21.95" customHeight="1" x14ac:dyDescent="0.15"/>
    <row r="12321" spans="3:3" customFormat="1" ht="21.95" customHeight="1" x14ac:dyDescent="0.15"/>
    <row r="12322" spans="3:3" customFormat="1" ht="21.95" customHeight="1" x14ac:dyDescent="0.15"/>
    <row r="12323" spans="3:3" customFormat="1" ht="21.95" customHeight="1" x14ac:dyDescent="0.15">
      <c r="C12323" s="94"/>
    </row>
    <row r="12324" spans="3:3" customFormat="1" ht="21.95" customHeight="1" x14ac:dyDescent="0.15">
      <c r="C12324" s="94"/>
    </row>
    <row r="12325" spans="3:3" customFormat="1" ht="21.95" customHeight="1" x14ac:dyDescent="0.15"/>
    <row r="12326" spans="3:3" customFormat="1" ht="21.95" customHeight="1" x14ac:dyDescent="0.15"/>
    <row r="12327" spans="3:3" customFormat="1" ht="21.95" customHeight="1" x14ac:dyDescent="0.15"/>
    <row r="12328" spans="3:3" customFormat="1" ht="21.95" customHeight="1" x14ac:dyDescent="0.15"/>
    <row r="12329" spans="3:3" customFormat="1" ht="21.95" customHeight="1" x14ac:dyDescent="0.15"/>
    <row r="12330" spans="3:3" customFormat="1" ht="21.95" customHeight="1" x14ac:dyDescent="0.15"/>
    <row r="12331" spans="3:3" customFormat="1" ht="21.95" customHeight="1" x14ac:dyDescent="0.15"/>
    <row r="12332" spans="3:3" s="76" customFormat="1" ht="21.95" customHeight="1" x14ac:dyDescent="0.15"/>
    <row r="12333" spans="3:3" s="76" customFormat="1" ht="21.95" customHeight="1" x14ac:dyDescent="0.15"/>
    <row r="12334" spans="3:3" s="76" customFormat="1" ht="21.95" customHeight="1" x14ac:dyDescent="0.15"/>
    <row r="12335" spans="3:3" s="76" customFormat="1" ht="21.95" customHeight="1" x14ac:dyDescent="0.15"/>
    <row r="12336" spans="3:3" customFormat="1" ht="21.95" customHeight="1" x14ac:dyDescent="0.15"/>
    <row r="12337" customFormat="1" ht="21.95" customHeight="1" x14ac:dyDescent="0.15"/>
    <row r="12338" customFormat="1" ht="21.95" customHeight="1" x14ac:dyDescent="0.15"/>
    <row r="12339" customFormat="1" ht="21.95" customHeight="1" x14ac:dyDescent="0.15"/>
    <row r="12340" customFormat="1" ht="21.95" customHeight="1" x14ac:dyDescent="0.15"/>
    <row r="12341" customFormat="1" ht="21.95" customHeight="1" x14ac:dyDescent="0.15"/>
    <row r="12342" customFormat="1" ht="21.95" customHeight="1" x14ac:dyDescent="0.15"/>
    <row r="12343" customFormat="1" ht="21.95" customHeight="1" x14ac:dyDescent="0.15"/>
    <row r="12344" customFormat="1" ht="21.95" customHeight="1" x14ac:dyDescent="0.15"/>
    <row r="12345" customFormat="1" ht="21.95" customHeight="1" x14ac:dyDescent="0.15"/>
    <row r="12346" customFormat="1" ht="21.95" customHeight="1" x14ac:dyDescent="0.15"/>
    <row r="12347" customFormat="1" ht="32.1" customHeight="1" x14ac:dyDescent="0.15"/>
    <row r="12348" customFormat="1" ht="32.1" customHeight="1" x14ac:dyDescent="0.15"/>
    <row r="12349" customFormat="1" ht="32.1" customHeight="1" x14ac:dyDescent="0.15"/>
    <row r="12350" customFormat="1" ht="32.1" customHeight="1" x14ac:dyDescent="0.15"/>
    <row r="12351" customFormat="1" ht="32.1" customHeight="1" x14ac:dyDescent="0.15"/>
    <row r="12352" customFormat="1" ht="32.1" customHeight="1" x14ac:dyDescent="0.15"/>
    <row r="12353" s="76" customFormat="1" ht="32.1" customHeight="1" x14ac:dyDescent="0.15"/>
    <row r="12354" s="76" customFormat="1" ht="32.1" customHeight="1" x14ac:dyDescent="0.15"/>
    <row r="12355" s="76" customFormat="1" ht="32.1" customHeight="1" x14ac:dyDescent="0.15"/>
    <row r="12356" s="76" customFormat="1" ht="32.1" customHeight="1" x14ac:dyDescent="0.15"/>
    <row r="12357" s="76" customFormat="1" ht="21.95" customHeight="1" x14ac:dyDescent="0.15"/>
    <row r="12358" s="76" customFormat="1" ht="54" customHeight="1" x14ac:dyDescent="0.15"/>
    <row r="12359" s="76" customFormat="1" ht="21.95" customHeight="1" x14ac:dyDescent="0.15"/>
    <row r="12360" s="76" customFormat="1" ht="21.95" customHeight="1" x14ac:dyDescent="0.15"/>
    <row r="12361" s="76" customFormat="1" ht="21.95" customHeight="1" x14ac:dyDescent="0.15"/>
    <row r="12362" s="76" customFormat="1" ht="21.95" customHeight="1" x14ac:dyDescent="0.15"/>
    <row r="12363" s="76" customFormat="1" ht="21.95" customHeight="1" x14ac:dyDescent="0.15"/>
    <row r="12364" s="76" customFormat="1" ht="21.95" customHeight="1" x14ac:dyDescent="0.15"/>
    <row r="12365" s="76" customFormat="1" ht="21.95" customHeight="1" x14ac:dyDescent="0.15"/>
    <row r="12366" s="76" customFormat="1" ht="21.95" customHeight="1" x14ac:dyDescent="0.15"/>
    <row r="12367" s="76" customFormat="1" ht="21.95" customHeight="1" x14ac:dyDescent="0.15"/>
    <row r="12368" s="76" customFormat="1" ht="21.95" customHeight="1" x14ac:dyDescent="0.15"/>
    <row r="12369" s="76" customFormat="1" ht="21.95" customHeight="1" x14ac:dyDescent="0.15"/>
    <row r="12370" s="76" customFormat="1" ht="21.95" customHeight="1" x14ac:dyDescent="0.15"/>
    <row r="12371" s="76" customFormat="1" ht="21.95" customHeight="1" x14ac:dyDescent="0.15"/>
    <row r="12372" s="76" customFormat="1" ht="21.95" customHeight="1" x14ac:dyDescent="0.15"/>
    <row r="12373" s="76" customFormat="1" ht="21.95" customHeight="1" x14ac:dyDescent="0.15"/>
    <row r="12374" s="76" customFormat="1" ht="21.95" customHeight="1" x14ac:dyDescent="0.15"/>
    <row r="12375" s="76" customFormat="1" ht="21.95" customHeight="1" x14ac:dyDescent="0.15"/>
    <row r="12376" s="76" customFormat="1" ht="21.95" customHeight="1" x14ac:dyDescent="0.15"/>
    <row r="12377" s="76" customFormat="1" ht="21.95" customHeight="1" x14ac:dyDescent="0.15"/>
    <row r="12378" s="76" customFormat="1" ht="21.95" customHeight="1" x14ac:dyDescent="0.15"/>
    <row r="12379" s="76" customFormat="1" ht="21.95" customHeight="1" x14ac:dyDescent="0.15"/>
    <row r="12380" s="76" customFormat="1" ht="21.95" customHeight="1" x14ac:dyDescent="0.15"/>
    <row r="12381" s="76" customFormat="1" ht="21.95" customHeight="1" x14ac:dyDescent="0.15"/>
    <row r="12382" s="76" customFormat="1" ht="21.95" customHeight="1" x14ac:dyDescent="0.15"/>
    <row r="12383" s="76" customFormat="1" ht="21.95" customHeight="1" x14ac:dyDescent="0.15"/>
    <row r="12384" s="76" customFormat="1" ht="21.95" customHeight="1" x14ac:dyDescent="0.15"/>
    <row r="12385" s="76" customFormat="1" ht="21.95" customHeight="1" x14ac:dyDescent="0.15"/>
    <row r="12386" s="76" customFormat="1" ht="21.95" customHeight="1" x14ac:dyDescent="0.15"/>
    <row r="12387" s="76" customFormat="1" ht="21.95" customHeight="1" x14ac:dyDescent="0.15"/>
    <row r="12388" s="76" customFormat="1" ht="21.95" customHeight="1" x14ac:dyDescent="0.15"/>
    <row r="12389" s="76" customFormat="1" ht="21.95" customHeight="1" x14ac:dyDescent="0.15"/>
    <row r="12390" s="76" customFormat="1" ht="21.95" customHeight="1" x14ac:dyDescent="0.15"/>
    <row r="12391" s="76" customFormat="1" ht="21.95" customHeight="1" x14ac:dyDescent="0.15"/>
    <row r="12392" s="76" customFormat="1" ht="21.95" customHeight="1" x14ac:dyDescent="0.15"/>
    <row r="12393" s="76" customFormat="1" ht="21.95" customHeight="1" x14ac:dyDescent="0.15"/>
    <row r="12394" s="76" customFormat="1" ht="21.95" customHeight="1" x14ac:dyDescent="0.15"/>
    <row r="12395" s="76" customFormat="1" ht="21.95" customHeight="1" x14ac:dyDescent="0.15"/>
    <row r="12396" s="76" customFormat="1" ht="21.95" customHeight="1" x14ac:dyDescent="0.15"/>
    <row r="12397" s="76" customFormat="1" ht="21.95" customHeight="1" x14ac:dyDescent="0.15"/>
    <row r="12398" s="76" customFormat="1" ht="21.95" customHeight="1" x14ac:dyDescent="0.15"/>
    <row r="12399" s="76" customFormat="1" ht="21.95" customHeight="1" x14ac:dyDescent="0.15"/>
    <row r="12400" s="76" customFormat="1" ht="21.95" customHeight="1" x14ac:dyDescent="0.15"/>
    <row r="12401" s="76" customFormat="1" ht="21.95" customHeight="1" x14ac:dyDescent="0.15"/>
    <row r="12402" s="76" customFormat="1" ht="21.95" customHeight="1" x14ac:dyDescent="0.15"/>
    <row r="12403" s="76" customFormat="1" ht="21.95" customHeight="1" x14ac:dyDescent="0.15"/>
    <row r="12404" s="76" customFormat="1" ht="21.95" customHeight="1" x14ac:dyDescent="0.15"/>
    <row r="12405" s="76" customFormat="1" ht="21.95" customHeight="1" x14ac:dyDescent="0.15"/>
    <row r="12406" s="76" customFormat="1" ht="21.95" customHeight="1" x14ac:dyDescent="0.15"/>
    <row r="12407" s="76" customFormat="1" ht="21.95" customHeight="1" x14ac:dyDescent="0.15"/>
    <row r="12408" s="76" customFormat="1" ht="21.95" customHeight="1" x14ac:dyDescent="0.15"/>
    <row r="12409" s="76" customFormat="1" ht="35.1" customHeight="1" x14ac:dyDescent="0.15"/>
    <row r="12410" s="76" customFormat="1" ht="21.95" customHeight="1" x14ac:dyDescent="0.15"/>
    <row r="12411" s="76" customFormat="1" ht="21.95" customHeight="1" x14ac:dyDescent="0.15"/>
    <row r="12412" s="76" customFormat="1" ht="21.95" customHeight="1" x14ac:dyDescent="0.15"/>
    <row r="12413" s="76" customFormat="1" ht="21.95" customHeight="1" x14ac:dyDescent="0.15"/>
    <row r="12414" s="76" customFormat="1" ht="21.95" customHeight="1" x14ac:dyDescent="0.15"/>
    <row r="12415" s="76" customFormat="1" ht="21.95" customHeight="1" x14ac:dyDescent="0.15"/>
    <row r="12416" s="76" customFormat="1" ht="21.95" customHeight="1" x14ac:dyDescent="0.15"/>
    <row r="12417" s="76" customFormat="1" ht="21.95" customHeight="1" x14ac:dyDescent="0.15"/>
    <row r="12418" s="76" customFormat="1" ht="21.95" customHeight="1" x14ac:dyDescent="0.15"/>
    <row r="12419" s="76" customFormat="1" ht="21.95" customHeight="1" x14ac:dyDescent="0.15"/>
    <row r="12420" s="76" customFormat="1" ht="21.95" customHeight="1" x14ac:dyDescent="0.15"/>
    <row r="12421" s="76" customFormat="1" ht="21.95" customHeight="1" x14ac:dyDescent="0.15"/>
    <row r="12422" s="76" customFormat="1" ht="21.95" customHeight="1" x14ac:dyDescent="0.15"/>
    <row r="12423" s="76" customFormat="1" ht="21.95" customHeight="1" x14ac:dyDescent="0.15"/>
    <row r="12424" s="76" customFormat="1" ht="21.95" customHeight="1" x14ac:dyDescent="0.15"/>
    <row r="12425" s="76" customFormat="1" ht="21.95" customHeight="1" x14ac:dyDescent="0.15"/>
    <row r="12426" s="76" customFormat="1" ht="21.95" customHeight="1" x14ac:dyDescent="0.15"/>
    <row r="12427" s="76" customFormat="1" ht="21.95" customHeight="1" x14ac:dyDescent="0.15"/>
    <row r="12428" s="76" customFormat="1" ht="21.95" customHeight="1" x14ac:dyDescent="0.15"/>
    <row r="12429" s="76" customFormat="1" ht="21.95" customHeight="1" x14ac:dyDescent="0.15"/>
    <row r="12430" s="76" customFormat="1" ht="21.95" customHeight="1" x14ac:dyDescent="0.15"/>
    <row r="12431" s="76" customFormat="1" ht="21.95" customHeight="1" x14ac:dyDescent="0.15"/>
    <row r="12432" s="76" customFormat="1" ht="21.95" customHeight="1" x14ac:dyDescent="0.15"/>
    <row r="12433" spans="3:3" customFormat="1" ht="21.95" customHeight="1" x14ac:dyDescent="0.15"/>
    <row r="12434" spans="3:3" customFormat="1" ht="21.95" customHeight="1" x14ac:dyDescent="0.15"/>
    <row r="12435" spans="3:3" customFormat="1" ht="21.95" customHeight="1" x14ac:dyDescent="0.15">
      <c r="C12435" s="94"/>
    </row>
    <row r="12436" spans="3:3" customFormat="1" ht="21.95" customHeight="1" x14ac:dyDescent="0.15">
      <c r="C12436" s="94"/>
    </row>
    <row r="12437" spans="3:3" customFormat="1" ht="21.95" customHeight="1" x14ac:dyDescent="0.15"/>
    <row r="12438" spans="3:3" customFormat="1" ht="21.95" customHeight="1" x14ac:dyDescent="0.15"/>
    <row r="12439" spans="3:3" customFormat="1" ht="21.95" customHeight="1" x14ac:dyDescent="0.15"/>
    <row r="12440" spans="3:3" customFormat="1" ht="21.95" customHeight="1" x14ac:dyDescent="0.15"/>
    <row r="12441" spans="3:3" customFormat="1" ht="21.95" customHeight="1" x14ac:dyDescent="0.15"/>
    <row r="12442" spans="3:3" customFormat="1" ht="21.95" customHeight="1" x14ac:dyDescent="0.15"/>
    <row r="12443" spans="3:3" customFormat="1" ht="21.95" customHeight="1" x14ac:dyDescent="0.15"/>
    <row r="12444" spans="3:3" s="76" customFormat="1" ht="21.95" customHeight="1" x14ac:dyDescent="0.15"/>
    <row r="12445" spans="3:3" s="76" customFormat="1" ht="21.95" customHeight="1" x14ac:dyDescent="0.15"/>
    <row r="12446" spans="3:3" s="76" customFormat="1" ht="21.95" customHeight="1" x14ac:dyDescent="0.15"/>
    <row r="12447" spans="3:3" s="76" customFormat="1" ht="21.95" customHeight="1" x14ac:dyDescent="0.15"/>
    <row r="12448" spans="3:3" customFormat="1" ht="21.95" customHeight="1" x14ac:dyDescent="0.15"/>
    <row r="12449" customFormat="1" ht="21.95" customHeight="1" x14ac:dyDescent="0.15"/>
    <row r="12450" customFormat="1" ht="21.95" customHeight="1" x14ac:dyDescent="0.15"/>
    <row r="12451" customFormat="1" ht="21.95" customHeight="1" x14ac:dyDescent="0.15"/>
    <row r="12452" customFormat="1" ht="21.95" customHeight="1" x14ac:dyDescent="0.15"/>
    <row r="12453" customFormat="1" ht="21.95" customHeight="1" x14ac:dyDescent="0.15"/>
    <row r="12454" customFormat="1" ht="21.95" customHeight="1" x14ac:dyDescent="0.15"/>
    <row r="12455" customFormat="1" ht="21.95" customHeight="1" x14ac:dyDescent="0.15"/>
    <row r="12456" customFormat="1" ht="21.95" customHeight="1" x14ac:dyDescent="0.15"/>
    <row r="12457" customFormat="1" ht="21.95" customHeight="1" x14ac:dyDescent="0.15"/>
    <row r="12458" customFormat="1" ht="21.95" customHeight="1" x14ac:dyDescent="0.15"/>
    <row r="12459" customFormat="1" ht="32.1" customHeight="1" x14ac:dyDescent="0.15"/>
    <row r="12460" customFormat="1" ht="32.1" customHeight="1" x14ac:dyDescent="0.15"/>
    <row r="12461" customFormat="1" ht="32.1" customHeight="1" x14ac:dyDescent="0.15"/>
    <row r="12462" customFormat="1" ht="32.1" customHeight="1" x14ac:dyDescent="0.15"/>
    <row r="12463" customFormat="1" ht="32.1" customHeight="1" x14ac:dyDescent="0.15"/>
    <row r="12464" customFormat="1" ht="32.1" customHeight="1" x14ac:dyDescent="0.15"/>
    <row r="12465" s="76" customFormat="1" ht="32.1" customHeight="1" x14ac:dyDescent="0.15"/>
    <row r="12466" s="76" customFormat="1" ht="32.1" customHeight="1" x14ac:dyDescent="0.15"/>
    <row r="12467" s="76" customFormat="1" ht="32.1" customHeight="1" x14ac:dyDescent="0.15"/>
    <row r="12468" s="76" customFormat="1" ht="32.1" customHeight="1" x14ac:dyDescent="0.15"/>
    <row r="12469" s="76" customFormat="1" ht="21.95" customHeight="1" x14ac:dyDescent="0.15"/>
    <row r="12470" s="76" customFormat="1" ht="54" customHeight="1" x14ac:dyDescent="0.15"/>
    <row r="12471" s="76" customFormat="1" ht="21.95" customHeight="1" x14ac:dyDescent="0.15"/>
    <row r="12472" s="76" customFormat="1" ht="21.95" customHeight="1" x14ac:dyDescent="0.15"/>
    <row r="12473" s="76" customFormat="1" ht="21.95" customHeight="1" x14ac:dyDescent="0.15"/>
    <row r="12474" s="76" customFormat="1" ht="21.95" customHeight="1" x14ac:dyDescent="0.15"/>
    <row r="12475" s="76" customFormat="1" ht="21.95" customHeight="1" x14ac:dyDescent="0.15"/>
    <row r="12476" s="76" customFormat="1" ht="21.95" customHeight="1" x14ac:dyDescent="0.15"/>
    <row r="12477" s="76" customFormat="1" ht="21.95" customHeight="1" x14ac:dyDescent="0.15"/>
    <row r="12478" s="76" customFormat="1" ht="21.95" customHeight="1" x14ac:dyDescent="0.15"/>
    <row r="12479" s="76" customFormat="1" ht="21.95" customHeight="1" x14ac:dyDescent="0.15"/>
    <row r="12480" s="76" customFormat="1" ht="21.95" customHeight="1" x14ac:dyDescent="0.15"/>
    <row r="12481" s="76" customFormat="1" ht="21.95" customHeight="1" x14ac:dyDescent="0.15"/>
    <row r="12482" s="76" customFormat="1" ht="21.95" customHeight="1" x14ac:dyDescent="0.15"/>
    <row r="12483" s="76" customFormat="1" ht="21.95" customHeight="1" x14ac:dyDescent="0.15"/>
    <row r="12484" s="76" customFormat="1" ht="21.95" customHeight="1" x14ac:dyDescent="0.15"/>
    <row r="12485" s="76" customFormat="1" ht="21.95" customHeight="1" x14ac:dyDescent="0.15"/>
    <row r="12486" s="76" customFormat="1" ht="21.95" customHeight="1" x14ac:dyDescent="0.15"/>
    <row r="12487" s="76" customFormat="1" ht="21.95" customHeight="1" x14ac:dyDescent="0.15"/>
    <row r="12488" s="76" customFormat="1" ht="21.95" customHeight="1" x14ac:dyDescent="0.15"/>
    <row r="12489" s="76" customFormat="1" ht="21.95" customHeight="1" x14ac:dyDescent="0.15"/>
    <row r="12490" s="76" customFormat="1" ht="21.95" customHeight="1" x14ac:dyDescent="0.15"/>
    <row r="12491" s="76" customFormat="1" ht="21.95" customHeight="1" x14ac:dyDescent="0.15"/>
    <row r="12492" s="76" customFormat="1" ht="21.95" customHeight="1" x14ac:dyDescent="0.15"/>
    <row r="12493" s="76" customFormat="1" ht="21.95" customHeight="1" x14ac:dyDescent="0.15"/>
    <row r="12494" s="76" customFormat="1" ht="21.95" customHeight="1" x14ac:dyDescent="0.15"/>
    <row r="12495" s="76" customFormat="1" ht="21.95" customHeight="1" x14ac:dyDescent="0.15"/>
    <row r="12496" s="76" customFormat="1" ht="21.95" customHeight="1" x14ac:dyDescent="0.15"/>
    <row r="12497" s="76" customFormat="1" ht="21.95" customHeight="1" x14ac:dyDescent="0.15"/>
    <row r="12498" s="76" customFormat="1" ht="21.95" customHeight="1" x14ac:dyDescent="0.15"/>
    <row r="12499" s="76" customFormat="1" ht="21.95" customHeight="1" x14ac:dyDescent="0.15"/>
    <row r="12500" s="76" customFormat="1" ht="21.95" customHeight="1" x14ac:dyDescent="0.15"/>
    <row r="12501" s="76" customFormat="1" ht="21.95" customHeight="1" x14ac:dyDescent="0.15"/>
    <row r="12502" s="76" customFormat="1" ht="21.95" customHeight="1" x14ac:dyDescent="0.15"/>
    <row r="12503" s="76" customFormat="1" ht="21.95" customHeight="1" x14ac:dyDescent="0.15"/>
    <row r="12504" s="76" customFormat="1" ht="21.95" customHeight="1" x14ac:dyDescent="0.15"/>
    <row r="12505" s="76" customFormat="1" ht="21.95" customHeight="1" x14ac:dyDescent="0.15"/>
    <row r="12506" s="76" customFormat="1" ht="21.95" customHeight="1" x14ac:dyDescent="0.15"/>
    <row r="12507" s="76" customFormat="1" ht="21.95" customHeight="1" x14ac:dyDescent="0.15"/>
    <row r="12508" s="76" customFormat="1" ht="21.95" customHeight="1" x14ac:dyDescent="0.15"/>
    <row r="12509" s="76" customFormat="1" ht="21.95" customHeight="1" x14ac:dyDescent="0.15"/>
    <row r="12510" s="76" customFormat="1" ht="21.95" customHeight="1" x14ac:dyDescent="0.15"/>
    <row r="12511" s="76" customFormat="1" ht="21.95" customHeight="1" x14ac:dyDescent="0.15"/>
    <row r="12512" s="76" customFormat="1" ht="21.95" customHeight="1" x14ac:dyDescent="0.15"/>
    <row r="12513" s="76" customFormat="1" ht="21.95" customHeight="1" x14ac:dyDescent="0.15"/>
    <row r="12514" s="76" customFormat="1" ht="21.95" customHeight="1" x14ac:dyDescent="0.15"/>
    <row r="12515" s="76" customFormat="1" ht="21.95" customHeight="1" x14ac:dyDescent="0.15"/>
    <row r="12516" s="76" customFormat="1" ht="21.95" customHeight="1" x14ac:dyDescent="0.15"/>
    <row r="12517" s="76" customFormat="1" ht="21.95" customHeight="1" x14ac:dyDescent="0.15"/>
    <row r="12518" s="76" customFormat="1" ht="21.95" customHeight="1" x14ac:dyDescent="0.15"/>
    <row r="12519" s="76" customFormat="1" ht="21.95" customHeight="1" x14ac:dyDescent="0.15"/>
    <row r="12520" s="76" customFormat="1" ht="21.95" customHeight="1" x14ac:dyDescent="0.15"/>
    <row r="12521" s="76" customFormat="1" ht="35.1" customHeight="1" x14ac:dyDescent="0.15"/>
    <row r="12522" s="76" customFormat="1" ht="21.95" customHeight="1" x14ac:dyDescent="0.15"/>
    <row r="12523" s="76" customFormat="1" ht="21.95" customHeight="1" x14ac:dyDescent="0.15"/>
    <row r="12524" s="76" customFormat="1" ht="21.95" customHeight="1" x14ac:dyDescent="0.15"/>
    <row r="12525" s="76" customFormat="1" ht="21.95" customHeight="1" x14ac:dyDescent="0.15"/>
    <row r="12526" s="76" customFormat="1" ht="21.95" customHeight="1" x14ac:dyDescent="0.15"/>
    <row r="12527" s="76" customFormat="1" ht="21.95" customHeight="1" x14ac:dyDescent="0.15"/>
    <row r="12528" s="76" customFormat="1" ht="21.95" customHeight="1" x14ac:dyDescent="0.15"/>
    <row r="12529" s="76" customFormat="1" ht="21.95" customHeight="1" x14ac:dyDescent="0.15"/>
    <row r="12530" s="76" customFormat="1" ht="21.95" customHeight="1" x14ac:dyDescent="0.15"/>
    <row r="12531" s="76" customFormat="1" ht="21.95" customHeight="1" x14ac:dyDescent="0.15"/>
    <row r="12532" s="76" customFormat="1" ht="21.95" customHeight="1" x14ac:dyDescent="0.15"/>
    <row r="12533" s="76" customFormat="1" ht="21.95" customHeight="1" x14ac:dyDescent="0.15"/>
    <row r="12534" s="76" customFormat="1" ht="21.95" customHeight="1" x14ac:dyDescent="0.15"/>
    <row r="12535" s="76" customFormat="1" ht="21.95" customHeight="1" x14ac:dyDescent="0.15"/>
    <row r="12536" s="76" customFormat="1" ht="21.95" customHeight="1" x14ac:dyDescent="0.15"/>
    <row r="12537" s="76" customFormat="1" ht="21.95" customHeight="1" x14ac:dyDescent="0.15"/>
    <row r="12538" s="76" customFormat="1" ht="21.95" customHeight="1" x14ac:dyDescent="0.15"/>
    <row r="12539" s="76" customFormat="1" ht="21.95" customHeight="1" x14ac:dyDescent="0.15"/>
    <row r="12540" s="76" customFormat="1" ht="21.95" customHeight="1" x14ac:dyDescent="0.15"/>
    <row r="12541" s="76" customFormat="1" ht="21.95" customHeight="1" x14ac:dyDescent="0.15"/>
    <row r="12542" s="76" customFormat="1" ht="21.95" customHeight="1" x14ac:dyDescent="0.15"/>
    <row r="12543" s="76" customFormat="1" ht="21.95" customHeight="1" x14ac:dyDescent="0.15"/>
    <row r="12544" s="76" customFormat="1" ht="21.95" customHeight="1" x14ac:dyDescent="0.15"/>
    <row r="12545" spans="3:3" customFormat="1" ht="21.95" customHeight="1" x14ac:dyDescent="0.15"/>
    <row r="12546" spans="3:3" customFormat="1" ht="21.95" customHeight="1" x14ac:dyDescent="0.15"/>
    <row r="12547" spans="3:3" customFormat="1" ht="21.95" customHeight="1" x14ac:dyDescent="0.15">
      <c r="C12547" s="94"/>
    </row>
    <row r="12548" spans="3:3" customFormat="1" ht="21.95" customHeight="1" x14ac:dyDescent="0.15">
      <c r="C12548" s="94"/>
    </row>
    <row r="12549" spans="3:3" customFormat="1" ht="21.95" customHeight="1" x14ac:dyDescent="0.15"/>
    <row r="12550" spans="3:3" customFormat="1" ht="21.95" customHeight="1" x14ac:dyDescent="0.15"/>
    <row r="12551" spans="3:3" customFormat="1" ht="21.95" customHeight="1" x14ac:dyDescent="0.15"/>
    <row r="12552" spans="3:3" customFormat="1" ht="21.95" customHeight="1" x14ac:dyDescent="0.15"/>
    <row r="12553" spans="3:3" customFormat="1" ht="21.95" customHeight="1" x14ac:dyDescent="0.15"/>
    <row r="12554" spans="3:3" customFormat="1" ht="21.95" customHeight="1" x14ac:dyDescent="0.15"/>
    <row r="12555" spans="3:3" customFormat="1" ht="21.95" customHeight="1" x14ac:dyDescent="0.15"/>
    <row r="12556" spans="3:3" s="76" customFormat="1" ht="21.95" customHeight="1" x14ac:dyDescent="0.15"/>
    <row r="12557" spans="3:3" s="76" customFormat="1" ht="21.95" customHeight="1" x14ac:dyDescent="0.15"/>
    <row r="12558" spans="3:3" s="76" customFormat="1" ht="21.95" customHeight="1" x14ac:dyDescent="0.15"/>
    <row r="12559" spans="3:3" s="76" customFormat="1" ht="21.95" customHeight="1" x14ac:dyDescent="0.15"/>
    <row r="12560" spans="3:3" customFormat="1" ht="21.95" customHeight="1" x14ac:dyDescent="0.15"/>
    <row r="12561" customFormat="1" ht="21.95" customHeight="1" x14ac:dyDescent="0.15"/>
    <row r="12562" customFormat="1" ht="21.95" customHeight="1" x14ac:dyDescent="0.15"/>
    <row r="12563" customFormat="1" ht="21.95" customHeight="1" x14ac:dyDescent="0.15"/>
    <row r="12564" customFormat="1" ht="21.95" customHeight="1" x14ac:dyDescent="0.15"/>
    <row r="12565" customFormat="1" ht="21.95" customHeight="1" x14ac:dyDescent="0.15"/>
    <row r="12566" customFormat="1" ht="21.95" customHeight="1" x14ac:dyDescent="0.15"/>
    <row r="12567" customFormat="1" ht="21.95" customHeight="1" x14ac:dyDescent="0.15"/>
    <row r="12568" customFormat="1" ht="21.95" customHeight="1" x14ac:dyDescent="0.15"/>
    <row r="12569" customFormat="1" ht="21.95" customHeight="1" x14ac:dyDescent="0.15"/>
    <row r="12570" customFormat="1" ht="21.95" customHeight="1" x14ac:dyDescent="0.15"/>
    <row r="12571" customFormat="1" ht="32.1" customHeight="1" x14ac:dyDescent="0.15"/>
    <row r="12572" customFormat="1" ht="32.1" customHeight="1" x14ac:dyDescent="0.15"/>
    <row r="12573" customFormat="1" ht="32.1" customHeight="1" x14ac:dyDescent="0.15"/>
    <row r="12574" customFormat="1" ht="32.1" customHeight="1" x14ac:dyDescent="0.15"/>
    <row r="12575" customFormat="1" ht="32.1" customHeight="1" x14ac:dyDescent="0.15"/>
    <row r="12576" customFormat="1" ht="32.1" customHeight="1" x14ac:dyDescent="0.15"/>
    <row r="12577" s="76" customFormat="1" ht="32.1" customHeight="1" x14ac:dyDescent="0.15"/>
    <row r="12578" s="76" customFormat="1" ht="32.1" customHeight="1" x14ac:dyDescent="0.15"/>
    <row r="12579" s="76" customFormat="1" ht="32.1" customHeight="1" x14ac:dyDescent="0.15"/>
    <row r="12580" s="76" customFormat="1" ht="32.1" customHeight="1" x14ac:dyDescent="0.15"/>
    <row r="12581" s="76" customFormat="1" ht="21.95" customHeight="1" x14ac:dyDescent="0.15"/>
    <row r="12582" s="76" customFormat="1" ht="54" customHeight="1" x14ac:dyDescent="0.15"/>
    <row r="12583" s="76" customFormat="1" ht="21.95" customHeight="1" x14ac:dyDescent="0.15"/>
    <row r="12584" s="76" customFormat="1" ht="21.95" customHeight="1" x14ac:dyDescent="0.15"/>
    <row r="12585" s="76" customFormat="1" ht="21.95" customHeight="1" x14ac:dyDescent="0.15"/>
    <row r="12586" s="76" customFormat="1" ht="21.95" customHeight="1" x14ac:dyDescent="0.15"/>
    <row r="12587" s="76" customFormat="1" ht="21.95" customHeight="1" x14ac:dyDescent="0.15"/>
    <row r="12588" s="76" customFormat="1" ht="21.95" customHeight="1" x14ac:dyDescent="0.15"/>
    <row r="12589" s="76" customFormat="1" ht="21.95" customHeight="1" x14ac:dyDescent="0.15"/>
    <row r="12590" s="76" customFormat="1" ht="21.95" customHeight="1" x14ac:dyDescent="0.15"/>
    <row r="12591" s="76" customFormat="1" ht="21.95" customHeight="1" x14ac:dyDescent="0.15"/>
    <row r="12592" s="76" customFormat="1" ht="21.95" customHeight="1" x14ac:dyDescent="0.15"/>
    <row r="12593" s="76" customFormat="1" ht="21.95" customHeight="1" x14ac:dyDescent="0.15"/>
    <row r="12594" s="76" customFormat="1" ht="21.95" customHeight="1" x14ac:dyDescent="0.15"/>
    <row r="12595" s="76" customFormat="1" ht="21.95" customHeight="1" x14ac:dyDescent="0.15"/>
    <row r="12596" s="76" customFormat="1" ht="21.95" customHeight="1" x14ac:dyDescent="0.15"/>
    <row r="12597" s="76" customFormat="1" ht="21.95" customHeight="1" x14ac:dyDescent="0.15"/>
    <row r="12598" s="76" customFormat="1" ht="21.95" customHeight="1" x14ac:dyDescent="0.15"/>
    <row r="12599" s="76" customFormat="1" ht="21.95" customHeight="1" x14ac:dyDescent="0.15"/>
    <row r="12600" s="76" customFormat="1" ht="21.95" customHeight="1" x14ac:dyDescent="0.15"/>
    <row r="12601" s="76" customFormat="1" ht="21.95" customHeight="1" x14ac:dyDescent="0.15"/>
    <row r="12602" s="76" customFormat="1" ht="21.95" customHeight="1" x14ac:dyDescent="0.15"/>
    <row r="12603" s="76" customFormat="1" ht="21.95" customHeight="1" x14ac:dyDescent="0.15"/>
    <row r="12604" s="76" customFormat="1" ht="21.95" customHeight="1" x14ac:dyDescent="0.15"/>
    <row r="12605" s="76" customFormat="1" ht="21.95" customHeight="1" x14ac:dyDescent="0.15"/>
    <row r="12606" s="76" customFormat="1" ht="21.95" customHeight="1" x14ac:dyDescent="0.15"/>
    <row r="12607" s="76" customFormat="1" ht="21.95" customHeight="1" x14ac:dyDescent="0.15"/>
    <row r="12608" s="76" customFormat="1" ht="21.95" customHeight="1" x14ac:dyDescent="0.15"/>
    <row r="12609" s="76" customFormat="1" ht="21.95" customHeight="1" x14ac:dyDescent="0.15"/>
    <row r="12610" s="76" customFormat="1" ht="21.95" customHeight="1" x14ac:dyDescent="0.15"/>
    <row r="12611" s="76" customFormat="1" ht="21.95" customHeight="1" x14ac:dyDescent="0.15"/>
    <row r="12612" s="76" customFormat="1" ht="21.95" customHeight="1" x14ac:dyDescent="0.15"/>
    <row r="12613" s="76" customFormat="1" ht="21.95" customHeight="1" x14ac:dyDescent="0.15"/>
    <row r="12614" s="76" customFormat="1" ht="21.95" customHeight="1" x14ac:dyDescent="0.15"/>
    <row r="12615" s="76" customFormat="1" ht="21.95" customHeight="1" x14ac:dyDescent="0.15"/>
    <row r="12616" s="76" customFormat="1" ht="21.95" customHeight="1" x14ac:dyDescent="0.15"/>
    <row r="12617" s="76" customFormat="1" ht="21.95" customHeight="1" x14ac:dyDescent="0.15"/>
    <row r="12618" s="76" customFormat="1" ht="21.95" customHeight="1" x14ac:dyDescent="0.15"/>
    <row r="12619" s="76" customFormat="1" ht="21.95" customHeight="1" x14ac:dyDescent="0.15"/>
    <row r="12620" s="76" customFormat="1" ht="21.95" customHeight="1" x14ac:dyDescent="0.15"/>
    <row r="12621" s="76" customFormat="1" ht="21.95" customHeight="1" x14ac:dyDescent="0.15"/>
    <row r="12622" s="76" customFormat="1" ht="21.95" customHeight="1" x14ac:dyDescent="0.15"/>
    <row r="12623" s="76" customFormat="1" ht="21.95" customHeight="1" x14ac:dyDescent="0.15"/>
    <row r="12624" s="76" customFormat="1" ht="21.95" customHeight="1" x14ac:dyDescent="0.15"/>
    <row r="12625" s="76" customFormat="1" ht="21.95" customHeight="1" x14ac:dyDescent="0.15"/>
    <row r="12626" s="76" customFormat="1" ht="21.95" customHeight="1" x14ac:dyDescent="0.15"/>
    <row r="12627" s="76" customFormat="1" ht="21.95" customHeight="1" x14ac:dyDescent="0.15"/>
    <row r="12628" s="76" customFormat="1" ht="21.95" customHeight="1" x14ac:dyDescent="0.15"/>
    <row r="12629" s="76" customFormat="1" ht="21.95" customHeight="1" x14ac:dyDescent="0.15"/>
    <row r="12630" s="76" customFormat="1" ht="21.95" customHeight="1" x14ac:dyDescent="0.15"/>
    <row r="12631" s="76" customFormat="1" ht="21.95" customHeight="1" x14ac:dyDescent="0.15"/>
    <row r="12632" s="76" customFormat="1" ht="21.95" customHeight="1" x14ac:dyDescent="0.15"/>
    <row r="12633" s="76" customFormat="1" ht="35.1" customHeight="1" x14ac:dyDescent="0.15"/>
    <row r="12634" s="76" customFormat="1" ht="21.95" customHeight="1" x14ac:dyDescent="0.15"/>
    <row r="12635" s="76" customFormat="1" ht="21.95" customHeight="1" x14ac:dyDescent="0.15"/>
    <row r="12636" s="76" customFormat="1" ht="21.95" customHeight="1" x14ac:dyDescent="0.15"/>
    <row r="12637" s="76" customFormat="1" ht="21.95" customHeight="1" x14ac:dyDescent="0.15"/>
    <row r="12638" s="76" customFormat="1" ht="21.95" customHeight="1" x14ac:dyDescent="0.15"/>
    <row r="12639" s="76" customFormat="1" ht="21.95" customHeight="1" x14ac:dyDescent="0.15"/>
    <row r="12640" s="76" customFormat="1" ht="21.95" customHeight="1" x14ac:dyDescent="0.15"/>
    <row r="12641" s="76" customFormat="1" ht="21.95" customHeight="1" x14ac:dyDescent="0.15"/>
    <row r="12642" s="76" customFormat="1" ht="21.95" customHeight="1" x14ac:dyDescent="0.15"/>
    <row r="12643" s="76" customFormat="1" ht="21.95" customHeight="1" x14ac:dyDescent="0.15"/>
    <row r="12644" s="76" customFormat="1" ht="21.95" customHeight="1" x14ac:dyDescent="0.15"/>
    <row r="12645" s="76" customFormat="1" ht="21.95" customHeight="1" x14ac:dyDescent="0.15"/>
    <row r="12646" s="76" customFormat="1" ht="21.95" customHeight="1" x14ac:dyDescent="0.15"/>
    <row r="12647" s="76" customFormat="1" ht="21.95" customHeight="1" x14ac:dyDescent="0.15"/>
    <row r="12648" s="76" customFormat="1" ht="21.95" customHeight="1" x14ac:dyDescent="0.15"/>
    <row r="12649" s="76" customFormat="1" ht="21.95" customHeight="1" x14ac:dyDescent="0.15"/>
    <row r="12650" s="76" customFormat="1" ht="21.95" customHeight="1" x14ac:dyDescent="0.15"/>
    <row r="12651" s="76" customFormat="1" ht="21.95" customHeight="1" x14ac:dyDescent="0.15"/>
    <row r="12652" s="76" customFormat="1" ht="21.95" customHeight="1" x14ac:dyDescent="0.15"/>
    <row r="12653" s="76" customFormat="1" ht="21.95" customHeight="1" x14ac:dyDescent="0.15"/>
    <row r="12654" s="76" customFormat="1" ht="21.95" customHeight="1" x14ac:dyDescent="0.15"/>
    <row r="12655" s="76" customFormat="1" ht="21.95" customHeight="1" x14ac:dyDescent="0.15"/>
    <row r="12656" s="76" customFormat="1" ht="21.95" customHeight="1" x14ac:dyDescent="0.15"/>
    <row r="12657" spans="3:3" customFormat="1" ht="21.95" customHeight="1" x14ac:dyDescent="0.15"/>
    <row r="12658" spans="3:3" customFormat="1" ht="21.95" customHeight="1" x14ac:dyDescent="0.15"/>
    <row r="12659" spans="3:3" customFormat="1" ht="21.95" customHeight="1" x14ac:dyDescent="0.15">
      <c r="C12659" s="94"/>
    </row>
    <row r="12660" spans="3:3" customFormat="1" ht="21.95" customHeight="1" x14ac:dyDescent="0.15">
      <c r="C12660" s="94"/>
    </row>
    <row r="12661" spans="3:3" customFormat="1" ht="21.95" customHeight="1" x14ac:dyDescent="0.15"/>
    <row r="12662" spans="3:3" customFormat="1" ht="21.95" customHeight="1" x14ac:dyDescent="0.15"/>
    <row r="12663" spans="3:3" customFormat="1" ht="21.95" customHeight="1" x14ac:dyDescent="0.15"/>
    <row r="12664" spans="3:3" customFormat="1" ht="21.95" customHeight="1" x14ac:dyDescent="0.15"/>
    <row r="12665" spans="3:3" customFormat="1" ht="21.95" customHeight="1" x14ac:dyDescent="0.15"/>
    <row r="12666" spans="3:3" customFormat="1" ht="21.95" customHeight="1" x14ac:dyDescent="0.15"/>
    <row r="12667" spans="3:3" customFormat="1" ht="21.95" customHeight="1" x14ac:dyDescent="0.15"/>
    <row r="12668" spans="3:3" s="76" customFormat="1" ht="21.95" customHeight="1" x14ac:dyDescent="0.15"/>
    <row r="12669" spans="3:3" s="76" customFormat="1" ht="21.95" customHeight="1" x14ac:dyDescent="0.15"/>
    <row r="12670" spans="3:3" s="76" customFormat="1" ht="21.95" customHeight="1" x14ac:dyDescent="0.15"/>
    <row r="12671" spans="3:3" s="76" customFormat="1" ht="21.95" customHeight="1" x14ac:dyDescent="0.15"/>
    <row r="12672" spans="3:3" customFormat="1" ht="21.95" customHeight="1" x14ac:dyDescent="0.15"/>
    <row r="12673" customFormat="1" ht="21.95" customHeight="1" x14ac:dyDescent="0.15"/>
    <row r="12674" customFormat="1" ht="21.95" customHeight="1" x14ac:dyDescent="0.15"/>
    <row r="12675" customFormat="1" ht="21.95" customHeight="1" x14ac:dyDescent="0.15"/>
    <row r="12676" customFormat="1" ht="21.95" customHeight="1" x14ac:dyDescent="0.15"/>
    <row r="12677" customFormat="1" ht="21.95" customHeight="1" x14ac:dyDescent="0.15"/>
    <row r="12678" customFormat="1" ht="21.95" customHeight="1" x14ac:dyDescent="0.15"/>
    <row r="12679" customFormat="1" ht="21.95" customHeight="1" x14ac:dyDescent="0.15"/>
    <row r="12680" customFormat="1" ht="21.95" customHeight="1" x14ac:dyDescent="0.15"/>
    <row r="12681" customFormat="1" ht="21.95" customHeight="1" x14ac:dyDescent="0.15"/>
    <row r="12682" customFormat="1" ht="21.95" customHeight="1" x14ac:dyDescent="0.15"/>
    <row r="12683" customFormat="1" ht="32.1" customHeight="1" x14ac:dyDescent="0.15"/>
    <row r="12684" customFormat="1" ht="32.1" customHeight="1" x14ac:dyDescent="0.15"/>
    <row r="12685" customFormat="1" ht="32.1" customHeight="1" x14ac:dyDescent="0.15"/>
    <row r="12686" customFormat="1" ht="32.1" customHeight="1" x14ac:dyDescent="0.15"/>
    <row r="12687" customFormat="1" ht="32.1" customHeight="1" x14ac:dyDescent="0.15"/>
    <row r="12688" customFormat="1" ht="32.1" customHeight="1" x14ac:dyDescent="0.15"/>
    <row r="12689" s="76" customFormat="1" ht="32.1" customHeight="1" x14ac:dyDescent="0.15"/>
    <row r="12690" s="76" customFormat="1" ht="32.1" customHeight="1" x14ac:dyDescent="0.15"/>
    <row r="12691" s="76" customFormat="1" ht="32.1" customHeight="1" x14ac:dyDescent="0.15"/>
    <row r="12692" s="76" customFormat="1" ht="32.1" customHeight="1" x14ac:dyDescent="0.15"/>
    <row r="12693" s="76" customFormat="1" ht="21.95" customHeight="1" x14ac:dyDescent="0.15"/>
    <row r="12694" s="76" customFormat="1" ht="54" customHeight="1" x14ac:dyDescent="0.15"/>
    <row r="12695" s="76" customFormat="1" ht="21.95" customHeight="1" x14ac:dyDescent="0.15"/>
    <row r="12696" s="76" customFormat="1" ht="21.95" customHeight="1" x14ac:dyDescent="0.15"/>
    <row r="12697" s="76" customFormat="1" ht="21.95" customHeight="1" x14ac:dyDescent="0.15"/>
    <row r="12698" s="76" customFormat="1" ht="21.95" customHeight="1" x14ac:dyDescent="0.15"/>
    <row r="12699" s="76" customFormat="1" ht="21.95" customHeight="1" x14ac:dyDescent="0.15"/>
    <row r="12700" s="76" customFormat="1" ht="21.95" customHeight="1" x14ac:dyDescent="0.15"/>
    <row r="12701" s="76" customFormat="1" ht="21.95" customHeight="1" x14ac:dyDescent="0.15"/>
    <row r="12702" s="76" customFormat="1" ht="21.95" customHeight="1" x14ac:dyDescent="0.15"/>
    <row r="12703" s="76" customFormat="1" ht="21.95" customHeight="1" x14ac:dyDescent="0.15"/>
    <row r="12704" s="76" customFormat="1" ht="21.95" customHeight="1" x14ac:dyDescent="0.15"/>
    <row r="12705" s="76" customFormat="1" ht="21.95" customHeight="1" x14ac:dyDescent="0.15"/>
    <row r="12706" s="76" customFormat="1" ht="21.95" customHeight="1" x14ac:dyDescent="0.15"/>
    <row r="12707" s="76" customFormat="1" ht="21.95" customHeight="1" x14ac:dyDescent="0.15"/>
    <row r="12708" s="76" customFormat="1" ht="21.95" customHeight="1" x14ac:dyDescent="0.15"/>
    <row r="12709" s="76" customFormat="1" ht="21.95" customHeight="1" x14ac:dyDescent="0.15"/>
    <row r="12710" s="76" customFormat="1" ht="21.95" customHeight="1" x14ac:dyDescent="0.15"/>
    <row r="12711" s="76" customFormat="1" ht="21.95" customHeight="1" x14ac:dyDescent="0.15"/>
    <row r="12712" s="76" customFormat="1" ht="21.95" customHeight="1" x14ac:dyDescent="0.15"/>
    <row r="12713" s="76" customFormat="1" ht="21.95" customHeight="1" x14ac:dyDescent="0.15"/>
    <row r="12714" s="76" customFormat="1" ht="21.95" customHeight="1" x14ac:dyDescent="0.15"/>
    <row r="12715" s="76" customFormat="1" ht="21.95" customHeight="1" x14ac:dyDescent="0.15"/>
    <row r="12716" s="76" customFormat="1" ht="21.95" customHeight="1" x14ac:dyDescent="0.15"/>
    <row r="12717" s="76" customFormat="1" ht="21.95" customHeight="1" x14ac:dyDescent="0.15"/>
    <row r="12718" s="76" customFormat="1" ht="21.95" customHeight="1" x14ac:dyDescent="0.15"/>
    <row r="12719" s="76" customFormat="1" ht="21.95" customHeight="1" x14ac:dyDescent="0.15"/>
    <row r="12720" s="76" customFormat="1" ht="21.95" customHeight="1" x14ac:dyDescent="0.15"/>
    <row r="12721" s="76" customFormat="1" ht="21.95" customHeight="1" x14ac:dyDescent="0.15"/>
    <row r="12722" s="76" customFormat="1" ht="21.95" customHeight="1" x14ac:dyDescent="0.15"/>
    <row r="12723" s="76" customFormat="1" ht="21.95" customHeight="1" x14ac:dyDescent="0.15"/>
    <row r="12724" s="76" customFormat="1" ht="21.95" customHeight="1" x14ac:dyDescent="0.15"/>
    <row r="12725" s="76" customFormat="1" ht="21.95" customHeight="1" x14ac:dyDescent="0.15"/>
    <row r="12726" s="76" customFormat="1" ht="21.95" customHeight="1" x14ac:dyDescent="0.15"/>
    <row r="12727" s="76" customFormat="1" ht="21.95" customHeight="1" x14ac:dyDescent="0.15"/>
    <row r="12728" s="76" customFormat="1" ht="21.95" customHeight="1" x14ac:dyDescent="0.15"/>
    <row r="12729" s="76" customFormat="1" ht="21.95" customHeight="1" x14ac:dyDescent="0.15"/>
    <row r="12730" s="76" customFormat="1" ht="21.95" customHeight="1" x14ac:dyDescent="0.15"/>
    <row r="12731" s="76" customFormat="1" ht="21.95" customHeight="1" x14ac:dyDescent="0.15"/>
    <row r="12732" s="76" customFormat="1" ht="21.95" customHeight="1" x14ac:dyDescent="0.15"/>
    <row r="12733" s="76" customFormat="1" ht="21.95" customHeight="1" x14ac:dyDescent="0.15"/>
    <row r="12734" s="76" customFormat="1" ht="21.95" customHeight="1" x14ac:dyDescent="0.15"/>
    <row r="12735" s="76" customFormat="1" ht="21.95" customHeight="1" x14ac:dyDescent="0.15"/>
    <row r="12736" s="76" customFormat="1" ht="21.95" customHeight="1" x14ac:dyDescent="0.15"/>
    <row r="12737" s="76" customFormat="1" ht="21.95" customHeight="1" x14ac:dyDescent="0.15"/>
    <row r="12738" s="76" customFormat="1" ht="21.95" customHeight="1" x14ac:dyDescent="0.15"/>
    <row r="12739" s="76" customFormat="1" ht="21.95" customHeight="1" x14ac:dyDescent="0.15"/>
    <row r="12740" s="76" customFormat="1" ht="21.95" customHeight="1" x14ac:dyDescent="0.15"/>
    <row r="12741" s="76" customFormat="1" ht="21.95" customHeight="1" x14ac:dyDescent="0.15"/>
    <row r="12742" s="76" customFormat="1" ht="21.95" customHeight="1" x14ac:dyDescent="0.15"/>
    <row r="12743" s="76" customFormat="1" ht="21.95" customHeight="1" x14ac:dyDescent="0.15"/>
    <row r="12744" s="76" customFormat="1" ht="21.95" customHeight="1" x14ac:dyDescent="0.15"/>
    <row r="12745" s="76" customFormat="1" ht="35.1" customHeight="1" x14ac:dyDescent="0.15"/>
    <row r="12746" s="76" customFormat="1" ht="21.95" customHeight="1" x14ac:dyDescent="0.15"/>
    <row r="12747" s="76" customFormat="1" ht="21.95" customHeight="1" x14ac:dyDescent="0.15"/>
    <row r="12748" s="76" customFormat="1" ht="21.95" customHeight="1" x14ac:dyDescent="0.15"/>
    <row r="12749" s="76" customFormat="1" ht="21.95" customHeight="1" x14ac:dyDescent="0.15"/>
    <row r="12750" s="76" customFormat="1" ht="21.95" customHeight="1" x14ac:dyDescent="0.15"/>
    <row r="12751" s="76" customFormat="1" ht="21.95" customHeight="1" x14ac:dyDescent="0.15"/>
    <row r="12752" s="76" customFormat="1" ht="21.95" customHeight="1" x14ac:dyDescent="0.15"/>
    <row r="12753" s="76" customFormat="1" ht="21.95" customHeight="1" x14ac:dyDescent="0.15"/>
    <row r="12754" s="76" customFormat="1" ht="21.95" customHeight="1" x14ac:dyDescent="0.15"/>
    <row r="12755" s="76" customFormat="1" ht="21.95" customHeight="1" x14ac:dyDescent="0.15"/>
    <row r="12756" s="76" customFormat="1" ht="21.95" customHeight="1" x14ac:dyDescent="0.15"/>
    <row r="12757" s="76" customFormat="1" ht="21.95" customHeight="1" x14ac:dyDescent="0.15"/>
    <row r="12758" s="76" customFormat="1" ht="21.95" customHeight="1" x14ac:dyDescent="0.15"/>
    <row r="12759" s="76" customFormat="1" ht="21.95" customHeight="1" x14ac:dyDescent="0.15"/>
    <row r="12760" s="76" customFormat="1" ht="21.95" customHeight="1" x14ac:dyDescent="0.15"/>
    <row r="12761" s="76" customFormat="1" ht="21.95" customHeight="1" x14ac:dyDescent="0.15"/>
    <row r="12762" s="76" customFormat="1" ht="21.95" customHeight="1" x14ac:dyDescent="0.15"/>
    <row r="12763" s="76" customFormat="1" ht="21.95" customHeight="1" x14ac:dyDescent="0.15"/>
    <row r="12764" s="76" customFormat="1" ht="21.95" customHeight="1" x14ac:dyDescent="0.15"/>
    <row r="12765" s="76" customFormat="1" ht="21.95" customHeight="1" x14ac:dyDescent="0.15"/>
    <row r="12766" s="76" customFormat="1" ht="21.95" customHeight="1" x14ac:dyDescent="0.15"/>
    <row r="12767" s="76" customFormat="1" ht="21.95" customHeight="1" x14ac:dyDescent="0.15"/>
    <row r="12768" s="76" customFormat="1" ht="21.95" customHeight="1" x14ac:dyDescent="0.15"/>
    <row r="12769" spans="3:3" customFormat="1" ht="21.95" customHeight="1" x14ac:dyDescent="0.15"/>
    <row r="12770" spans="3:3" customFormat="1" ht="21.95" customHeight="1" x14ac:dyDescent="0.15"/>
    <row r="12771" spans="3:3" customFormat="1" ht="21.95" customHeight="1" x14ac:dyDescent="0.15">
      <c r="C12771" s="94"/>
    </row>
    <row r="12772" spans="3:3" customFormat="1" ht="21.95" customHeight="1" x14ac:dyDescent="0.15">
      <c r="C12772" s="94"/>
    </row>
    <row r="12773" spans="3:3" customFormat="1" ht="21.95" customHeight="1" x14ac:dyDescent="0.15"/>
    <row r="12774" spans="3:3" customFormat="1" ht="21.95" customHeight="1" x14ac:dyDescent="0.15"/>
    <row r="12775" spans="3:3" customFormat="1" ht="21.95" customHeight="1" x14ac:dyDescent="0.15"/>
    <row r="12776" spans="3:3" customFormat="1" ht="21.95" customHeight="1" x14ac:dyDescent="0.15"/>
    <row r="12777" spans="3:3" customFormat="1" ht="21.95" customHeight="1" x14ac:dyDescent="0.15"/>
    <row r="12778" spans="3:3" customFormat="1" ht="21.95" customHeight="1" x14ac:dyDescent="0.15"/>
    <row r="12779" spans="3:3" customFormat="1" ht="21.95" customHeight="1" x14ac:dyDescent="0.15"/>
    <row r="12780" spans="3:3" s="76" customFormat="1" ht="21.95" customHeight="1" x14ac:dyDescent="0.15"/>
    <row r="12781" spans="3:3" s="76" customFormat="1" ht="21.95" customHeight="1" x14ac:dyDescent="0.15"/>
    <row r="12782" spans="3:3" s="76" customFormat="1" ht="21.95" customHeight="1" x14ac:dyDescent="0.15"/>
    <row r="12783" spans="3:3" s="76" customFormat="1" ht="21.95" customHeight="1" x14ac:dyDescent="0.15"/>
    <row r="12784" spans="3:3" customFormat="1" ht="21.95" customHeight="1" x14ac:dyDescent="0.15"/>
    <row r="12785" customFormat="1" ht="21.95" customHeight="1" x14ac:dyDescent="0.15"/>
    <row r="12786" customFormat="1" ht="21.95" customHeight="1" x14ac:dyDescent="0.15"/>
    <row r="12787" customFormat="1" ht="21.95" customHeight="1" x14ac:dyDescent="0.15"/>
    <row r="12788" customFormat="1" ht="21.95" customHeight="1" x14ac:dyDescent="0.15"/>
    <row r="12789" customFormat="1" ht="21.95" customHeight="1" x14ac:dyDescent="0.15"/>
    <row r="12790" customFormat="1" ht="21.95" customHeight="1" x14ac:dyDescent="0.15"/>
    <row r="12791" customFormat="1" ht="21.95" customHeight="1" x14ac:dyDescent="0.15"/>
    <row r="12792" customFormat="1" ht="21.95" customHeight="1" x14ac:dyDescent="0.15"/>
    <row r="12793" customFormat="1" ht="21.95" customHeight="1" x14ac:dyDescent="0.15"/>
    <row r="12794" customFormat="1" ht="21.95" customHeight="1" x14ac:dyDescent="0.15"/>
    <row r="12795" customFormat="1" ht="32.1" customHeight="1" x14ac:dyDescent="0.15"/>
    <row r="12796" customFormat="1" ht="32.1" customHeight="1" x14ac:dyDescent="0.15"/>
    <row r="12797" customFormat="1" ht="32.1" customHeight="1" x14ac:dyDescent="0.15"/>
    <row r="12798" customFormat="1" ht="32.1" customHeight="1" x14ac:dyDescent="0.15"/>
    <row r="12799" customFormat="1" ht="32.1" customHeight="1" x14ac:dyDescent="0.15"/>
    <row r="12800" customFormat="1" ht="32.1" customHeight="1" x14ac:dyDescent="0.15"/>
    <row r="12801" s="76" customFormat="1" ht="32.1" customHeight="1" x14ac:dyDescent="0.15"/>
    <row r="12802" s="76" customFormat="1" ht="32.1" customHeight="1" x14ac:dyDescent="0.15"/>
    <row r="12803" s="76" customFormat="1" ht="32.1" customHeight="1" x14ac:dyDescent="0.15"/>
    <row r="12804" s="76" customFormat="1" ht="32.1" customHeight="1" x14ac:dyDescent="0.15"/>
    <row r="12805" s="76" customFormat="1" ht="21.95" customHeight="1" x14ac:dyDescent="0.15"/>
    <row r="12806" s="76" customFormat="1" ht="54" customHeight="1" x14ac:dyDescent="0.15"/>
    <row r="12807" s="76" customFormat="1" ht="21.95" customHeight="1" x14ac:dyDescent="0.15"/>
    <row r="12808" s="76" customFormat="1" ht="21.95" customHeight="1" x14ac:dyDescent="0.15"/>
    <row r="12809" s="76" customFormat="1" ht="21.95" customHeight="1" x14ac:dyDescent="0.15"/>
    <row r="12810" s="76" customFormat="1" ht="21.95" customHeight="1" x14ac:dyDescent="0.15"/>
    <row r="12811" s="76" customFormat="1" ht="21.95" customHeight="1" x14ac:dyDescent="0.15"/>
    <row r="12812" s="76" customFormat="1" ht="21.95" customHeight="1" x14ac:dyDescent="0.15"/>
    <row r="12813" s="76" customFormat="1" ht="21.95" customHeight="1" x14ac:dyDescent="0.15"/>
    <row r="12814" s="76" customFormat="1" ht="21.95" customHeight="1" x14ac:dyDescent="0.15"/>
    <row r="12815" s="76" customFormat="1" ht="21.95" customHeight="1" x14ac:dyDescent="0.15"/>
    <row r="12816" s="76" customFormat="1" ht="21.95" customHeight="1" x14ac:dyDescent="0.15"/>
    <row r="12817" s="76" customFormat="1" ht="21.95" customHeight="1" x14ac:dyDescent="0.15"/>
    <row r="12818" s="76" customFormat="1" ht="21.95" customHeight="1" x14ac:dyDescent="0.15"/>
    <row r="12819" s="76" customFormat="1" ht="21.95" customHeight="1" x14ac:dyDescent="0.15"/>
    <row r="12820" s="76" customFormat="1" ht="21.95" customHeight="1" x14ac:dyDescent="0.15"/>
    <row r="12821" s="76" customFormat="1" ht="21.95" customHeight="1" x14ac:dyDescent="0.15"/>
    <row r="12822" s="76" customFormat="1" ht="21.95" customHeight="1" x14ac:dyDescent="0.15"/>
    <row r="12823" s="76" customFormat="1" ht="21.95" customHeight="1" x14ac:dyDescent="0.15"/>
    <row r="12824" s="76" customFormat="1" ht="21.95" customHeight="1" x14ac:dyDescent="0.15"/>
    <row r="12825" s="76" customFormat="1" ht="21.95" customHeight="1" x14ac:dyDescent="0.15"/>
    <row r="12826" s="76" customFormat="1" ht="21.95" customHeight="1" x14ac:dyDescent="0.15"/>
    <row r="12827" s="76" customFormat="1" ht="21.95" customHeight="1" x14ac:dyDescent="0.15"/>
    <row r="12828" s="76" customFormat="1" ht="21.95" customHeight="1" x14ac:dyDescent="0.15"/>
    <row r="12829" s="76" customFormat="1" ht="21.95" customHeight="1" x14ac:dyDescent="0.15"/>
    <row r="12830" s="76" customFormat="1" ht="21.95" customHeight="1" x14ac:dyDescent="0.15"/>
    <row r="12831" s="76" customFormat="1" ht="21.95" customHeight="1" x14ac:dyDescent="0.15"/>
    <row r="12832" s="76" customFormat="1" ht="21.95" customHeight="1" x14ac:dyDescent="0.15"/>
    <row r="12833" s="76" customFormat="1" ht="21.95" customHeight="1" x14ac:dyDescent="0.15"/>
    <row r="12834" s="76" customFormat="1" ht="21.95" customHeight="1" x14ac:dyDescent="0.15"/>
    <row r="12835" s="76" customFormat="1" ht="21.95" customHeight="1" x14ac:dyDescent="0.15"/>
    <row r="12836" s="76" customFormat="1" ht="21.95" customHeight="1" x14ac:dyDescent="0.15"/>
    <row r="12837" s="76" customFormat="1" ht="21.95" customHeight="1" x14ac:dyDescent="0.15"/>
    <row r="12838" s="76" customFormat="1" ht="21.95" customHeight="1" x14ac:dyDescent="0.15"/>
    <row r="12839" s="76" customFormat="1" ht="21.95" customHeight="1" x14ac:dyDescent="0.15"/>
    <row r="12840" s="76" customFormat="1" ht="21.95" customHeight="1" x14ac:dyDescent="0.15"/>
    <row r="12841" s="76" customFormat="1" ht="21.95" customHeight="1" x14ac:dyDescent="0.15"/>
    <row r="12842" s="76" customFormat="1" ht="21.95" customHeight="1" x14ac:dyDescent="0.15"/>
    <row r="12843" s="76" customFormat="1" ht="21.95" customHeight="1" x14ac:dyDescent="0.15"/>
    <row r="12844" s="76" customFormat="1" ht="21.95" customHeight="1" x14ac:dyDescent="0.15"/>
    <row r="12845" s="76" customFormat="1" ht="21.95" customHeight="1" x14ac:dyDescent="0.15"/>
    <row r="12846" s="76" customFormat="1" ht="21.95" customHeight="1" x14ac:dyDescent="0.15"/>
    <row r="12847" s="76" customFormat="1" ht="21.95" customHeight="1" x14ac:dyDescent="0.15"/>
    <row r="12848" s="76" customFormat="1" ht="21.95" customHeight="1" x14ac:dyDescent="0.15"/>
    <row r="12849" s="76" customFormat="1" ht="21.95" customHeight="1" x14ac:dyDescent="0.15"/>
    <row r="12850" s="76" customFormat="1" ht="21.95" customHeight="1" x14ac:dyDescent="0.15"/>
    <row r="12851" s="76" customFormat="1" ht="21.95" customHeight="1" x14ac:dyDescent="0.15"/>
    <row r="12852" s="76" customFormat="1" ht="21.95" customHeight="1" x14ac:dyDescent="0.15"/>
    <row r="12853" s="76" customFormat="1" ht="21.95" customHeight="1" x14ac:dyDescent="0.15"/>
    <row r="12854" s="76" customFormat="1" ht="21.95" customHeight="1" x14ac:dyDescent="0.15"/>
    <row r="12855" s="76" customFormat="1" ht="21.95" customHeight="1" x14ac:dyDescent="0.15"/>
    <row r="12856" s="76" customFormat="1" ht="21.95" customHeight="1" x14ac:dyDescent="0.15"/>
    <row r="12857" s="76" customFormat="1" ht="35.1" customHeight="1" x14ac:dyDescent="0.15"/>
    <row r="12858" s="76" customFormat="1" ht="21.95" customHeight="1" x14ac:dyDescent="0.15"/>
    <row r="12859" s="76" customFormat="1" ht="21.95" customHeight="1" x14ac:dyDescent="0.15"/>
    <row r="12860" s="76" customFormat="1" ht="21.95" customHeight="1" x14ac:dyDescent="0.15"/>
    <row r="12861" s="76" customFormat="1" ht="21.95" customHeight="1" x14ac:dyDescent="0.15"/>
    <row r="12862" s="76" customFormat="1" ht="21.95" customHeight="1" x14ac:dyDescent="0.15"/>
    <row r="12863" s="76" customFormat="1" ht="21.95" customHeight="1" x14ac:dyDescent="0.15"/>
    <row r="12864" s="76" customFormat="1" ht="21.95" customHeight="1" x14ac:dyDescent="0.15"/>
    <row r="12865" s="76" customFormat="1" ht="21.95" customHeight="1" x14ac:dyDescent="0.15"/>
    <row r="12866" s="76" customFormat="1" ht="21.95" customHeight="1" x14ac:dyDescent="0.15"/>
    <row r="12867" s="76" customFormat="1" ht="21.95" customHeight="1" x14ac:dyDescent="0.15"/>
    <row r="12868" s="76" customFormat="1" ht="21.95" customHeight="1" x14ac:dyDescent="0.15"/>
    <row r="12869" s="76" customFormat="1" ht="21.95" customHeight="1" x14ac:dyDescent="0.15"/>
    <row r="12870" s="76" customFormat="1" ht="21.95" customHeight="1" x14ac:dyDescent="0.15"/>
    <row r="12871" s="76" customFormat="1" ht="21.95" customHeight="1" x14ac:dyDescent="0.15"/>
    <row r="12872" s="76" customFormat="1" ht="21.95" customHeight="1" x14ac:dyDescent="0.15"/>
    <row r="12873" s="76" customFormat="1" ht="21.95" customHeight="1" x14ac:dyDescent="0.15"/>
    <row r="12874" s="76" customFormat="1" ht="21.95" customHeight="1" x14ac:dyDescent="0.15"/>
    <row r="12875" s="76" customFormat="1" ht="21.95" customHeight="1" x14ac:dyDescent="0.15"/>
    <row r="12876" s="76" customFormat="1" ht="21.95" customHeight="1" x14ac:dyDescent="0.15"/>
    <row r="12877" s="76" customFormat="1" ht="21.95" customHeight="1" x14ac:dyDescent="0.15"/>
    <row r="12878" s="76" customFormat="1" ht="21.95" customHeight="1" x14ac:dyDescent="0.15"/>
    <row r="12879" s="76" customFormat="1" ht="21.95" customHeight="1" x14ac:dyDescent="0.15"/>
    <row r="12880" s="76" customFormat="1" ht="21.95" customHeight="1" x14ac:dyDescent="0.15"/>
    <row r="12881" spans="3:3" customFormat="1" ht="21.95" customHeight="1" x14ac:dyDescent="0.15"/>
    <row r="12882" spans="3:3" customFormat="1" ht="21.95" customHeight="1" x14ac:dyDescent="0.15"/>
    <row r="12883" spans="3:3" customFormat="1" ht="21.95" customHeight="1" x14ac:dyDescent="0.15">
      <c r="C12883" s="94"/>
    </row>
    <row r="12884" spans="3:3" customFormat="1" ht="21.95" customHeight="1" x14ac:dyDescent="0.15">
      <c r="C12884" s="94"/>
    </row>
    <row r="12885" spans="3:3" customFormat="1" ht="21.95" customHeight="1" x14ac:dyDescent="0.15"/>
    <row r="12886" spans="3:3" customFormat="1" ht="21.95" customHeight="1" x14ac:dyDescent="0.15"/>
    <row r="12887" spans="3:3" customFormat="1" ht="21.95" customHeight="1" x14ac:dyDescent="0.15"/>
    <row r="12888" spans="3:3" customFormat="1" ht="21.95" customHeight="1" x14ac:dyDescent="0.15"/>
    <row r="12889" spans="3:3" customFormat="1" ht="21.95" customHeight="1" x14ac:dyDescent="0.15"/>
    <row r="12890" spans="3:3" customFormat="1" ht="21.95" customHeight="1" x14ac:dyDescent="0.15"/>
    <row r="12891" spans="3:3" customFormat="1" ht="21.95" customHeight="1" x14ac:dyDescent="0.15"/>
    <row r="12892" spans="3:3" s="76" customFormat="1" ht="21.95" customHeight="1" x14ac:dyDescent="0.15"/>
    <row r="12893" spans="3:3" s="76" customFormat="1" ht="21.95" customHeight="1" x14ac:dyDescent="0.15"/>
    <row r="12894" spans="3:3" s="76" customFormat="1" ht="21.95" customHeight="1" x14ac:dyDescent="0.15"/>
    <row r="12895" spans="3:3" s="76" customFormat="1" ht="21.95" customHeight="1" x14ac:dyDescent="0.15"/>
    <row r="12896" spans="3:3" customFormat="1" ht="21.95" customHeight="1" x14ac:dyDescent="0.15"/>
    <row r="12897" customFormat="1" ht="21.95" customHeight="1" x14ac:dyDescent="0.15"/>
    <row r="12898" customFormat="1" ht="21.95" customHeight="1" x14ac:dyDescent="0.15"/>
    <row r="12899" customFormat="1" ht="21.95" customHeight="1" x14ac:dyDescent="0.15"/>
    <row r="12900" customFormat="1" ht="21.95" customHeight="1" x14ac:dyDescent="0.15"/>
    <row r="12901" customFormat="1" ht="21.95" customHeight="1" x14ac:dyDescent="0.15"/>
    <row r="12902" customFormat="1" ht="21.95" customHeight="1" x14ac:dyDescent="0.15"/>
    <row r="12903" customFormat="1" ht="21.95" customHeight="1" x14ac:dyDescent="0.15"/>
    <row r="12904" customFormat="1" ht="21.95" customHeight="1" x14ac:dyDescent="0.15"/>
    <row r="12905" customFormat="1" ht="21.95" customHeight="1" x14ac:dyDescent="0.15"/>
    <row r="12906" customFormat="1" ht="21.95" customHeight="1" x14ac:dyDescent="0.15"/>
    <row r="12907" customFormat="1" ht="32.1" customHeight="1" x14ac:dyDescent="0.15"/>
    <row r="12908" customFormat="1" ht="32.1" customHeight="1" x14ac:dyDescent="0.15"/>
    <row r="12909" customFormat="1" ht="32.1" customHeight="1" x14ac:dyDescent="0.15"/>
    <row r="12910" customFormat="1" ht="32.1" customHeight="1" x14ac:dyDescent="0.15"/>
    <row r="12911" customFormat="1" ht="32.1" customHeight="1" x14ac:dyDescent="0.15"/>
    <row r="12912" customFormat="1" ht="32.1" customHeight="1" x14ac:dyDescent="0.15"/>
    <row r="12913" s="76" customFormat="1" ht="32.1" customHeight="1" x14ac:dyDescent="0.15"/>
    <row r="12914" s="76" customFormat="1" ht="32.1" customHeight="1" x14ac:dyDescent="0.15"/>
    <row r="12915" s="76" customFormat="1" ht="32.1" customHeight="1" x14ac:dyDescent="0.15"/>
    <row r="12916" s="76" customFormat="1" ht="32.1" customHeight="1" x14ac:dyDescent="0.15"/>
    <row r="12917" s="76" customFormat="1" ht="21.95" customHeight="1" x14ac:dyDescent="0.15"/>
    <row r="12918" s="76" customFormat="1" ht="54" customHeight="1" x14ac:dyDescent="0.15"/>
    <row r="12919" s="76" customFormat="1" ht="21.95" customHeight="1" x14ac:dyDescent="0.15"/>
    <row r="12920" s="76" customFormat="1" ht="21.95" customHeight="1" x14ac:dyDescent="0.15"/>
    <row r="12921" s="76" customFormat="1" ht="21.95" customHeight="1" x14ac:dyDescent="0.15"/>
    <row r="12922" s="76" customFormat="1" ht="21.95" customHeight="1" x14ac:dyDescent="0.15"/>
    <row r="12923" s="76" customFormat="1" ht="21.95" customHeight="1" x14ac:dyDescent="0.15"/>
    <row r="12924" s="76" customFormat="1" ht="21.95" customHeight="1" x14ac:dyDescent="0.15"/>
    <row r="12925" s="76" customFormat="1" ht="21.95" customHeight="1" x14ac:dyDescent="0.15"/>
    <row r="12926" s="76" customFormat="1" ht="21.95" customHeight="1" x14ac:dyDescent="0.15"/>
    <row r="12927" s="76" customFormat="1" ht="21.95" customHeight="1" x14ac:dyDescent="0.15"/>
    <row r="12928" s="76" customFormat="1" ht="21.95" customHeight="1" x14ac:dyDescent="0.15"/>
    <row r="12929" s="76" customFormat="1" ht="21.95" customHeight="1" x14ac:dyDescent="0.15"/>
    <row r="12930" s="76" customFormat="1" ht="21.95" customHeight="1" x14ac:dyDescent="0.15"/>
    <row r="12931" s="76" customFormat="1" ht="21.95" customHeight="1" x14ac:dyDescent="0.15"/>
    <row r="12932" s="76" customFormat="1" ht="21.95" customHeight="1" x14ac:dyDescent="0.15"/>
    <row r="12933" s="76" customFormat="1" ht="21.95" customHeight="1" x14ac:dyDescent="0.15"/>
    <row r="12934" s="76" customFormat="1" ht="21.95" customHeight="1" x14ac:dyDescent="0.15"/>
    <row r="12935" s="76" customFormat="1" ht="21.95" customHeight="1" x14ac:dyDescent="0.15"/>
    <row r="12936" s="76" customFormat="1" ht="21.95" customHeight="1" x14ac:dyDescent="0.15"/>
    <row r="12937" s="76" customFormat="1" ht="21.95" customHeight="1" x14ac:dyDescent="0.15"/>
    <row r="12938" s="76" customFormat="1" ht="21.95" customHeight="1" x14ac:dyDescent="0.15"/>
    <row r="12939" s="76" customFormat="1" ht="21.95" customHeight="1" x14ac:dyDescent="0.15"/>
    <row r="12940" s="76" customFormat="1" ht="21.95" customHeight="1" x14ac:dyDescent="0.15"/>
    <row r="12941" s="76" customFormat="1" ht="21.95" customHeight="1" x14ac:dyDescent="0.15"/>
    <row r="12942" s="76" customFormat="1" ht="21.95" customHeight="1" x14ac:dyDescent="0.15"/>
    <row r="12943" s="76" customFormat="1" ht="21.95" customHeight="1" x14ac:dyDescent="0.15"/>
    <row r="12944" s="76" customFormat="1" ht="21.95" customHeight="1" x14ac:dyDescent="0.15"/>
    <row r="12945" s="76" customFormat="1" ht="21.95" customHeight="1" x14ac:dyDescent="0.15"/>
    <row r="12946" s="76" customFormat="1" ht="21.95" customHeight="1" x14ac:dyDescent="0.15"/>
    <row r="12947" s="76" customFormat="1" ht="21.95" customHeight="1" x14ac:dyDescent="0.15"/>
    <row r="12948" s="76" customFormat="1" ht="21.95" customHeight="1" x14ac:dyDescent="0.15"/>
    <row r="12949" s="76" customFormat="1" ht="21.95" customHeight="1" x14ac:dyDescent="0.15"/>
    <row r="12950" s="76" customFormat="1" ht="21.95" customHeight="1" x14ac:dyDescent="0.15"/>
    <row r="12951" s="76" customFormat="1" ht="21.95" customHeight="1" x14ac:dyDescent="0.15"/>
    <row r="12952" s="76" customFormat="1" ht="21.95" customHeight="1" x14ac:dyDescent="0.15"/>
    <row r="12953" s="76" customFormat="1" ht="21.95" customHeight="1" x14ac:dyDescent="0.15"/>
    <row r="12954" s="76" customFormat="1" ht="21.95" customHeight="1" x14ac:dyDescent="0.15"/>
    <row r="12955" s="76" customFormat="1" ht="21.95" customHeight="1" x14ac:dyDescent="0.15"/>
    <row r="12956" s="76" customFormat="1" ht="21.95" customHeight="1" x14ac:dyDescent="0.15"/>
    <row r="12957" s="76" customFormat="1" ht="21.95" customHeight="1" x14ac:dyDescent="0.15"/>
    <row r="12958" s="76" customFormat="1" ht="21.95" customHeight="1" x14ac:dyDescent="0.15"/>
    <row r="12959" s="76" customFormat="1" ht="21.95" customHeight="1" x14ac:dyDescent="0.15"/>
    <row r="12960" s="76" customFormat="1" ht="21.95" customHeight="1" x14ac:dyDescent="0.15"/>
    <row r="12961" s="76" customFormat="1" ht="21.95" customHeight="1" x14ac:dyDescent="0.15"/>
    <row r="12962" s="76" customFormat="1" ht="21.95" customHeight="1" x14ac:dyDescent="0.15"/>
    <row r="12963" s="76" customFormat="1" ht="21.95" customHeight="1" x14ac:dyDescent="0.15"/>
    <row r="12964" s="76" customFormat="1" ht="21.95" customHeight="1" x14ac:dyDescent="0.15"/>
    <row r="12965" s="76" customFormat="1" ht="21.95" customHeight="1" x14ac:dyDescent="0.15"/>
    <row r="12966" s="76" customFormat="1" ht="21.95" customHeight="1" x14ac:dyDescent="0.15"/>
    <row r="12967" s="76" customFormat="1" ht="21.95" customHeight="1" x14ac:dyDescent="0.15"/>
    <row r="12968" s="76" customFormat="1" ht="21.95" customHeight="1" x14ac:dyDescent="0.15"/>
    <row r="12969" s="76" customFormat="1" ht="35.1" customHeight="1" x14ac:dyDescent="0.15"/>
    <row r="12970" s="76" customFormat="1" ht="21.95" customHeight="1" x14ac:dyDescent="0.15"/>
    <row r="12971" s="76" customFormat="1" ht="21.95" customHeight="1" x14ac:dyDescent="0.15"/>
    <row r="12972" s="76" customFormat="1" ht="21.95" customHeight="1" x14ac:dyDescent="0.15"/>
    <row r="12973" s="76" customFormat="1" ht="21.95" customHeight="1" x14ac:dyDescent="0.15"/>
    <row r="12974" s="76" customFormat="1" ht="21.95" customHeight="1" x14ac:dyDescent="0.15"/>
    <row r="12975" s="76" customFormat="1" ht="21.95" customHeight="1" x14ac:dyDescent="0.15"/>
    <row r="12976" s="76" customFormat="1" ht="21.95" customHeight="1" x14ac:dyDescent="0.15"/>
    <row r="12977" s="76" customFormat="1" ht="21.95" customHeight="1" x14ac:dyDescent="0.15"/>
    <row r="12978" s="76" customFormat="1" ht="21.95" customHeight="1" x14ac:dyDescent="0.15"/>
    <row r="12979" s="76" customFormat="1" ht="21.95" customHeight="1" x14ac:dyDescent="0.15"/>
    <row r="12980" s="76" customFormat="1" ht="21.95" customHeight="1" x14ac:dyDescent="0.15"/>
    <row r="12981" s="76" customFormat="1" ht="21.95" customHeight="1" x14ac:dyDescent="0.15"/>
    <row r="12982" s="76" customFormat="1" ht="21.95" customHeight="1" x14ac:dyDescent="0.15"/>
    <row r="12983" s="76" customFormat="1" ht="21.95" customHeight="1" x14ac:dyDescent="0.15"/>
    <row r="12984" s="76" customFormat="1" ht="21.95" customHeight="1" x14ac:dyDescent="0.15"/>
    <row r="12985" s="76" customFormat="1" ht="21.95" customHeight="1" x14ac:dyDescent="0.15"/>
    <row r="12986" s="76" customFormat="1" ht="21.95" customHeight="1" x14ac:dyDescent="0.15"/>
    <row r="12987" s="76" customFormat="1" ht="21.95" customHeight="1" x14ac:dyDescent="0.15"/>
    <row r="12988" s="76" customFormat="1" ht="21.95" customHeight="1" x14ac:dyDescent="0.15"/>
    <row r="12989" s="76" customFormat="1" ht="21.95" customHeight="1" x14ac:dyDescent="0.15"/>
    <row r="12990" s="76" customFormat="1" ht="21.95" customHeight="1" x14ac:dyDescent="0.15"/>
    <row r="12991" s="76" customFormat="1" ht="21.95" customHeight="1" x14ac:dyDescent="0.15"/>
    <row r="12992" s="76" customFormat="1" ht="21.95" customHeight="1" x14ac:dyDescent="0.15"/>
    <row r="12993" spans="3:3" customFormat="1" ht="21.95" customHeight="1" x14ac:dyDescent="0.15"/>
    <row r="12994" spans="3:3" customFormat="1" ht="21.95" customHeight="1" x14ac:dyDescent="0.15"/>
    <row r="12995" spans="3:3" customFormat="1" ht="21.95" customHeight="1" x14ac:dyDescent="0.15">
      <c r="C12995" s="94"/>
    </row>
    <row r="12996" spans="3:3" customFormat="1" ht="21.95" customHeight="1" x14ac:dyDescent="0.15">
      <c r="C12996" s="94"/>
    </row>
    <row r="12997" spans="3:3" customFormat="1" ht="21.95" customHeight="1" x14ac:dyDescent="0.15"/>
    <row r="12998" spans="3:3" customFormat="1" ht="21.95" customHeight="1" x14ac:dyDescent="0.15"/>
    <row r="12999" spans="3:3" customFormat="1" ht="21.95" customHeight="1" x14ac:dyDescent="0.15"/>
    <row r="13000" spans="3:3" customFormat="1" ht="21.95" customHeight="1" x14ac:dyDescent="0.15"/>
    <row r="13001" spans="3:3" customFormat="1" ht="21.95" customHeight="1" x14ac:dyDescent="0.15"/>
    <row r="13002" spans="3:3" customFormat="1" ht="21.95" customHeight="1" x14ac:dyDescent="0.15"/>
    <row r="13003" spans="3:3" customFormat="1" ht="21.95" customHeight="1" x14ac:dyDescent="0.15"/>
    <row r="13004" spans="3:3" s="76" customFormat="1" ht="21.95" customHeight="1" x14ac:dyDescent="0.15"/>
    <row r="13005" spans="3:3" s="76" customFormat="1" ht="21.95" customHeight="1" x14ac:dyDescent="0.15"/>
    <row r="13006" spans="3:3" s="76" customFormat="1" ht="21.95" customHeight="1" x14ac:dyDescent="0.15"/>
    <row r="13007" spans="3:3" s="76" customFormat="1" ht="21.95" customHeight="1" x14ac:dyDescent="0.15"/>
    <row r="13008" spans="3:3" customFormat="1" ht="21.95" customHeight="1" x14ac:dyDescent="0.15"/>
    <row r="13009" customFormat="1" ht="21.95" customHeight="1" x14ac:dyDescent="0.15"/>
    <row r="13010" customFormat="1" ht="21.95" customHeight="1" x14ac:dyDescent="0.15"/>
    <row r="13011" customFormat="1" ht="21.95" customHeight="1" x14ac:dyDescent="0.15"/>
    <row r="13012" customFormat="1" ht="21.95" customHeight="1" x14ac:dyDescent="0.15"/>
    <row r="13013" customFormat="1" ht="21.95" customHeight="1" x14ac:dyDescent="0.15"/>
    <row r="13014" customFormat="1" ht="21.95" customHeight="1" x14ac:dyDescent="0.15"/>
    <row r="13015" customFormat="1" ht="21.95" customHeight="1" x14ac:dyDescent="0.15"/>
    <row r="13016" customFormat="1" ht="21.95" customHeight="1" x14ac:dyDescent="0.15"/>
    <row r="13017" customFormat="1" ht="21.95" customHeight="1" x14ac:dyDescent="0.15"/>
    <row r="13018" customFormat="1" ht="21.95" customHeight="1" x14ac:dyDescent="0.15"/>
    <row r="13019" customFormat="1" ht="32.1" customHeight="1" x14ac:dyDescent="0.15"/>
    <row r="13020" customFormat="1" ht="32.1" customHeight="1" x14ac:dyDescent="0.15"/>
    <row r="13021" customFormat="1" ht="32.1" customHeight="1" x14ac:dyDescent="0.15"/>
    <row r="13022" customFormat="1" ht="32.1" customHeight="1" x14ac:dyDescent="0.15"/>
    <row r="13023" customFormat="1" ht="32.1" customHeight="1" x14ac:dyDescent="0.15"/>
    <row r="13024" customFormat="1" ht="32.1" customHeight="1" x14ac:dyDescent="0.15"/>
    <row r="13025" s="76" customFormat="1" ht="32.1" customHeight="1" x14ac:dyDescent="0.15"/>
    <row r="13026" s="76" customFormat="1" ht="32.1" customHeight="1" x14ac:dyDescent="0.15"/>
    <row r="13027" s="76" customFormat="1" ht="32.1" customHeight="1" x14ac:dyDescent="0.15"/>
    <row r="13028" s="76" customFormat="1" ht="32.1" customHeight="1" x14ac:dyDescent="0.15"/>
    <row r="13029" s="76" customFormat="1" ht="21.95" customHeight="1" x14ac:dyDescent="0.15"/>
    <row r="13030" s="76" customFormat="1" ht="54" customHeight="1" x14ac:dyDescent="0.15"/>
    <row r="13031" s="76" customFormat="1" ht="21.95" customHeight="1" x14ac:dyDescent="0.15"/>
    <row r="13032" s="76" customFormat="1" ht="21.95" customHeight="1" x14ac:dyDescent="0.15"/>
    <row r="13033" s="76" customFormat="1" ht="21.95" customHeight="1" x14ac:dyDescent="0.15"/>
    <row r="13034" s="76" customFormat="1" ht="21.95" customHeight="1" x14ac:dyDescent="0.15"/>
    <row r="13035" s="76" customFormat="1" ht="21.95" customHeight="1" x14ac:dyDescent="0.15"/>
    <row r="13036" s="76" customFormat="1" ht="21.95" customHeight="1" x14ac:dyDescent="0.15"/>
    <row r="13037" s="76" customFormat="1" ht="21.95" customHeight="1" x14ac:dyDescent="0.15"/>
    <row r="13038" s="76" customFormat="1" ht="21.95" customHeight="1" x14ac:dyDescent="0.15"/>
    <row r="13039" s="76" customFormat="1" ht="21.95" customHeight="1" x14ac:dyDescent="0.15"/>
    <row r="13040" s="76" customFormat="1" ht="21.95" customHeight="1" x14ac:dyDescent="0.15"/>
    <row r="13041" s="76" customFormat="1" ht="21.95" customHeight="1" x14ac:dyDescent="0.15"/>
    <row r="13042" s="76" customFormat="1" ht="21.95" customHeight="1" x14ac:dyDescent="0.15"/>
    <row r="13043" s="76" customFormat="1" ht="21.95" customHeight="1" x14ac:dyDescent="0.15"/>
    <row r="13044" s="76" customFormat="1" ht="21.95" customHeight="1" x14ac:dyDescent="0.15"/>
    <row r="13045" s="76" customFormat="1" ht="21.95" customHeight="1" x14ac:dyDescent="0.15"/>
    <row r="13046" s="76" customFormat="1" ht="21.95" customHeight="1" x14ac:dyDescent="0.15"/>
    <row r="13047" s="76" customFormat="1" ht="21.95" customHeight="1" x14ac:dyDescent="0.15"/>
    <row r="13048" s="76" customFormat="1" ht="21.95" customHeight="1" x14ac:dyDescent="0.15"/>
    <row r="13049" s="76" customFormat="1" ht="21.95" customHeight="1" x14ac:dyDescent="0.15"/>
    <row r="13050" s="76" customFormat="1" ht="21.95" customHeight="1" x14ac:dyDescent="0.15"/>
    <row r="13051" s="76" customFormat="1" ht="21.95" customHeight="1" x14ac:dyDescent="0.15"/>
    <row r="13052" s="76" customFormat="1" ht="21.95" customHeight="1" x14ac:dyDescent="0.15"/>
    <row r="13053" s="76" customFormat="1" ht="21.95" customHeight="1" x14ac:dyDescent="0.15"/>
    <row r="13054" s="76" customFormat="1" ht="21.95" customHeight="1" x14ac:dyDescent="0.15"/>
    <row r="13055" s="76" customFormat="1" ht="21.95" customHeight="1" x14ac:dyDescent="0.15"/>
    <row r="13056" s="76" customFormat="1" ht="21.95" customHeight="1" x14ac:dyDescent="0.15"/>
    <row r="13057" s="76" customFormat="1" ht="21.95" customHeight="1" x14ac:dyDescent="0.15"/>
    <row r="13058" s="76" customFormat="1" ht="21.95" customHeight="1" x14ac:dyDescent="0.15"/>
    <row r="13059" s="76" customFormat="1" ht="21.95" customHeight="1" x14ac:dyDescent="0.15"/>
    <row r="13060" s="76" customFormat="1" ht="21.95" customHeight="1" x14ac:dyDescent="0.15"/>
    <row r="13061" s="76" customFormat="1" ht="21.95" customHeight="1" x14ac:dyDescent="0.15"/>
    <row r="13062" s="76" customFormat="1" ht="21.95" customHeight="1" x14ac:dyDescent="0.15"/>
    <row r="13063" s="76" customFormat="1" ht="21.95" customHeight="1" x14ac:dyDescent="0.15"/>
    <row r="13064" s="76" customFormat="1" ht="21.95" customHeight="1" x14ac:dyDescent="0.15"/>
    <row r="13065" s="76" customFormat="1" ht="21.95" customHeight="1" x14ac:dyDescent="0.15"/>
    <row r="13066" s="76" customFormat="1" ht="21.95" customHeight="1" x14ac:dyDescent="0.15"/>
    <row r="13067" s="76" customFormat="1" ht="21.95" customHeight="1" x14ac:dyDescent="0.15"/>
    <row r="13068" s="76" customFormat="1" ht="21.95" customHeight="1" x14ac:dyDescent="0.15"/>
    <row r="13069" s="76" customFormat="1" ht="21.95" customHeight="1" x14ac:dyDescent="0.15"/>
    <row r="13070" s="76" customFormat="1" ht="21.95" customHeight="1" x14ac:dyDescent="0.15"/>
    <row r="13071" s="76" customFormat="1" ht="21.95" customHeight="1" x14ac:dyDescent="0.15"/>
    <row r="13072" s="76" customFormat="1" ht="21.95" customHeight="1" x14ac:dyDescent="0.15"/>
    <row r="13073" s="76" customFormat="1" ht="21.95" customHeight="1" x14ac:dyDescent="0.15"/>
    <row r="13074" s="76" customFormat="1" ht="21.95" customHeight="1" x14ac:dyDescent="0.15"/>
    <row r="13075" s="76" customFormat="1" ht="21.95" customHeight="1" x14ac:dyDescent="0.15"/>
    <row r="13076" s="76" customFormat="1" ht="21.95" customHeight="1" x14ac:dyDescent="0.15"/>
    <row r="13077" s="76" customFormat="1" ht="21.95" customHeight="1" x14ac:dyDescent="0.15"/>
    <row r="13078" s="76" customFormat="1" ht="21.95" customHeight="1" x14ac:dyDescent="0.15"/>
    <row r="13079" s="76" customFormat="1" ht="21.95" customHeight="1" x14ac:dyDescent="0.15"/>
    <row r="13080" s="76" customFormat="1" ht="21.95" customHeight="1" x14ac:dyDescent="0.15"/>
    <row r="13081" s="76" customFormat="1" ht="35.1" customHeight="1" x14ac:dyDescent="0.15"/>
    <row r="13082" s="76" customFormat="1" ht="21.95" customHeight="1" x14ac:dyDescent="0.15"/>
    <row r="13083" s="76" customFormat="1" ht="21.95" customHeight="1" x14ac:dyDescent="0.15"/>
    <row r="13084" s="76" customFormat="1" ht="21.95" customHeight="1" x14ac:dyDescent="0.15"/>
    <row r="13085" s="76" customFormat="1" ht="21.95" customHeight="1" x14ac:dyDescent="0.15"/>
    <row r="13086" s="76" customFormat="1" ht="21.95" customHeight="1" x14ac:dyDescent="0.15"/>
    <row r="13087" s="76" customFormat="1" ht="21.95" customHeight="1" x14ac:dyDescent="0.15"/>
    <row r="13088" s="76" customFormat="1" ht="21.95" customHeight="1" x14ac:dyDescent="0.15"/>
    <row r="13089" s="76" customFormat="1" ht="21.95" customHeight="1" x14ac:dyDescent="0.15"/>
    <row r="13090" s="76" customFormat="1" ht="21.95" customHeight="1" x14ac:dyDescent="0.15"/>
    <row r="13091" s="76" customFormat="1" ht="21.95" customHeight="1" x14ac:dyDescent="0.15"/>
    <row r="13092" s="76" customFormat="1" ht="21.95" customHeight="1" x14ac:dyDescent="0.15"/>
    <row r="13093" s="76" customFormat="1" ht="21.95" customHeight="1" x14ac:dyDescent="0.15"/>
    <row r="13094" s="76" customFormat="1" ht="21.95" customHeight="1" x14ac:dyDescent="0.15"/>
    <row r="13095" s="76" customFormat="1" ht="21.95" customHeight="1" x14ac:dyDescent="0.15"/>
    <row r="13096" s="76" customFormat="1" ht="21.95" customHeight="1" x14ac:dyDescent="0.15"/>
    <row r="13097" s="76" customFormat="1" ht="21.95" customHeight="1" x14ac:dyDescent="0.15"/>
    <row r="13098" s="76" customFormat="1" ht="21.95" customHeight="1" x14ac:dyDescent="0.15"/>
    <row r="13099" s="76" customFormat="1" ht="21.95" customHeight="1" x14ac:dyDescent="0.15"/>
    <row r="13100" s="76" customFormat="1" ht="21.95" customHeight="1" x14ac:dyDescent="0.15"/>
    <row r="13101" s="76" customFormat="1" ht="21.95" customHeight="1" x14ac:dyDescent="0.15"/>
    <row r="13102" s="76" customFormat="1" ht="21.95" customHeight="1" x14ac:dyDescent="0.15"/>
    <row r="13103" s="76" customFormat="1" ht="21.95" customHeight="1" x14ac:dyDescent="0.15"/>
    <row r="13104" s="76" customFormat="1" ht="21.95" customHeight="1" x14ac:dyDescent="0.15"/>
    <row r="13105" spans="3:3" customFormat="1" ht="21.95" customHeight="1" x14ac:dyDescent="0.15"/>
    <row r="13106" spans="3:3" customFormat="1" ht="21.95" customHeight="1" x14ac:dyDescent="0.15"/>
    <row r="13107" spans="3:3" customFormat="1" ht="21.95" customHeight="1" x14ac:dyDescent="0.15">
      <c r="C13107" s="94"/>
    </row>
    <row r="13108" spans="3:3" customFormat="1" ht="21.95" customHeight="1" x14ac:dyDescent="0.15">
      <c r="C13108" s="94"/>
    </row>
    <row r="13109" spans="3:3" customFormat="1" ht="21.95" customHeight="1" x14ac:dyDescent="0.15"/>
    <row r="13110" spans="3:3" customFormat="1" ht="21.95" customHeight="1" x14ac:dyDescent="0.15"/>
    <row r="13111" spans="3:3" customFormat="1" ht="21.95" customHeight="1" x14ac:dyDescent="0.15"/>
    <row r="13112" spans="3:3" customFormat="1" ht="21.95" customHeight="1" x14ac:dyDescent="0.15"/>
    <row r="13113" spans="3:3" customFormat="1" ht="21.95" customHeight="1" x14ac:dyDescent="0.15"/>
    <row r="13114" spans="3:3" customFormat="1" ht="21.95" customHeight="1" x14ac:dyDescent="0.15"/>
    <row r="13115" spans="3:3" customFormat="1" ht="21.95" customHeight="1" x14ac:dyDescent="0.15"/>
    <row r="13116" spans="3:3" s="76" customFormat="1" ht="21.95" customHeight="1" x14ac:dyDescent="0.15"/>
    <row r="13117" spans="3:3" s="76" customFormat="1" ht="21.95" customHeight="1" x14ac:dyDescent="0.15"/>
    <row r="13118" spans="3:3" s="76" customFormat="1" ht="21.95" customHeight="1" x14ac:dyDescent="0.15"/>
    <row r="13119" spans="3:3" s="76" customFormat="1" ht="21.95" customHeight="1" x14ac:dyDescent="0.15"/>
    <row r="13120" spans="3:3" customFormat="1" ht="21.95" customHeight="1" x14ac:dyDescent="0.15"/>
    <row r="13121" customFormat="1" ht="21.95" customHeight="1" x14ac:dyDescent="0.15"/>
    <row r="13122" customFormat="1" ht="21.95" customHeight="1" x14ac:dyDescent="0.15"/>
    <row r="13123" customFormat="1" ht="21.95" customHeight="1" x14ac:dyDescent="0.15"/>
    <row r="13124" customFormat="1" ht="21.95" customHeight="1" x14ac:dyDescent="0.15"/>
    <row r="13125" customFormat="1" ht="21.95" customHeight="1" x14ac:dyDescent="0.15"/>
    <row r="13126" customFormat="1" ht="21.95" customHeight="1" x14ac:dyDescent="0.15"/>
    <row r="13127" customFormat="1" ht="21.95" customHeight="1" x14ac:dyDescent="0.15"/>
    <row r="13128" customFormat="1" ht="21.95" customHeight="1" x14ac:dyDescent="0.15"/>
    <row r="13129" customFormat="1" ht="21.95" customHeight="1" x14ac:dyDescent="0.15"/>
    <row r="13130" customFormat="1" ht="21.95" customHeight="1" x14ac:dyDescent="0.15"/>
    <row r="13131" customFormat="1" ht="32.1" customHeight="1" x14ac:dyDescent="0.15"/>
    <row r="13132" customFormat="1" ht="32.1" customHeight="1" x14ac:dyDescent="0.15"/>
    <row r="13133" customFormat="1" ht="32.1" customHeight="1" x14ac:dyDescent="0.15"/>
    <row r="13134" customFormat="1" ht="32.1" customHeight="1" x14ac:dyDescent="0.15"/>
    <row r="13135" customFormat="1" ht="32.1" customHeight="1" x14ac:dyDescent="0.15"/>
    <row r="13136" customFormat="1" ht="32.1" customHeight="1" x14ac:dyDescent="0.15"/>
    <row r="13137" s="76" customFormat="1" ht="32.1" customHeight="1" x14ac:dyDescent="0.15"/>
    <row r="13138" s="76" customFormat="1" ht="32.1" customHeight="1" x14ac:dyDescent="0.15"/>
    <row r="13139" s="76" customFormat="1" ht="32.1" customHeight="1" x14ac:dyDescent="0.15"/>
    <row r="13140" s="76" customFormat="1" ht="32.1" customHeight="1" x14ac:dyDescent="0.15"/>
    <row r="13141" s="76" customFormat="1" ht="21.95" customHeight="1" x14ac:dyDescent="0.15"/>
    <row r="13142" s="76" customFormat="1" ht="54" customHeight="1" x14ac:dyDescent="0.15"/>
    <row r="13143" s="76" customFormat="1" ht="21.95" customHeight="1" x14ac:dyDescent="0.15"/>
    <row r="13144" s="76" customFormat="1" ht="21.95" customHeight="1" x14ac:dyDescent="0.15"/>
    <row r="13145" s="76" customFormat="1" ht="21.95" customHeight="1" x14ac:dyDescent="0.15"/>
    <row r="13146" s="76" customFormat="1" ht="21.95" customHeight="1" x14ac:dyDescent="0.15"/>
    <row r="13147" s="76" customFormat="1" ht="21.95" customHeight="1" x14ac:dyDescent="0.15"/>
    <row r="13148" s="76" customFormat="1" ht="21.95" customHeight="1" x14ac:dyDescent="0.15"/>
    <row r="13149" s="76" customFormat="1" ht="21.95" customHeight="1" x14ac:dyDescent="0.15"/>
    <row r="13150" s="76" customFormat="1" ht="21.95" customHeight="1" x14ac:dyDescent="0.15"/>
    <row r="13151" s="76" customFormat="1" ht="21.95" customHeight="1" x14ac:dyDescent="0.15"/>
    <row r="13152" s="76" customFormat="1" ht="21.95" customHeight="1" x14ac:dyDescent="0.15"/>
    <row r="13153" s="76" customFormat="1" ht="21.95" customHeight="1" x14ac:dyDescent="0.15"/>
    <row r="13154" s="76" customFormat="1" ht="21.95" customHeight="1" x14ac:dyDescent="0.15"/>
    <row r="13155" s="76" customFormat="1" ht="21.95" customHeight="1" x14ac:dyDescent="0.15"/>
    <row r="13156" s="76" customFormat="1" ht="21.95" customHeight="1" x14ac:dyDescent="0.15"/>
    <row r="13157" s="76" customFormat="1" ht="21.95" customHeight="1" x14ac:dyDescent="0.15"/>
    <row r="13158" s="76" customFormat="1" ht="21.95" customHeight="1" x14ac:dyDescent="0.15"/>
    <row r="13159" s="76" customFormat="1" ht="21.95" customHeight="1" x14ac:dyDescent="0.15"/>
    <row r="13160" s="76" customFormat="1" ht="21.95" customHeight="1" x14ac:dyDescent="0.15"/>
    <row r="13161" s="76" customFormat="1" ht="21.95" customHeight="1" x14ac:dyDescent="0.15"/>
    <row r="13162" s="76" customFormat="1" ht="21.95" customHeight="1" x14ac:dyDescent="0.15"/>
    <row r="13163" s="76" customFormat="1" ht="21.95" customHeight="1" x14ac:dyDescent="0.15"/>
    <row r="13164" s="76" customFormat="1" ht="21.95" customHeight="1" x14ac:dyDescent="0.15"/>
    <row r="13165" s="76" customFormat="1" ht="21.95" customHeight="1" x14ac:dyDescent="0.15"/>
    <row r="13166" s="76" customFormat="1" ht="21.95" customHeight="1" x14ac:dyDescent="0.15"/>
    <row r="13167" s="76" customFormat="1" ht="21.95" customHeight="1" x14ac:dyDescent="0.15"/>
    <row r="13168" s="76" customFormat="1" ht="21.95" customHeight="1" x14ac:dyDescent="0.15"/>
    <row r="13169" s="76" customFormat="1" ht="21.95" customHeight="1" x14ac:dyDescent="0.15"/>
    <row r="13170" s="76" customFormat="1" ht="21.95" customHeight="1" x14ac:dyDescent="0.15"/>
    <row r="13171" s="76" customFormat="1" ht="21.95" customHeight="1" x14ac:dyDescent="0.15"/>
    <row r="13172" s="76" customFormat="1" ht="21.95" customHeight="1" x14ac:dyDescent="0.15"/>
    <row r="13173" s="76" customFormat="1" ht="21.95" customHeight="1" x14ac:dyDescent="0.15"/>
    <row r="13174" s="76" customFormat="1" ht="21.95" customHeight="1" x14ac:dyDescent="0.15"/>
    <row r="13175" s="76" customFormat="1" ht="21.95" customHeight="1" x14ac:dyDescent="0.15"/>
    <row r="13176" s="76" customFormat="1" ht="21.95" customHeight="1" x14ac:dyDescent="0.15"/>
    <row r="13177" s="76" customFormat="1" ht="21.95" customHeight="1" x14ac:dyDescent="0.15"/>
    <row r="13178" s="76" customFormat="1" ht="21.95" customHeight="1" x14ac:dyDescent="0.15"/>
    <row r="13179" s="76" customFormat="1" ht="21.95" customHeight="1" x14ac:dyDescent="0.15"/>
    <row r="13180" s="76" customFormat="1" ht="21.95" customHeight="1" x14ac:dyDescent="0.15"/>
    <row r="13181" s="76" customFormat="1" ht="21.95" customHeight="1" x14ac:dyDescent="0.15"/>
    <row r="13182" s="76" customFormat="1" ht="21.95" customHeight="1" x14ac:dyDescent="0.15"/>
    <row r="13183" s="76" customFormat="1" ht="21.95" customHeight="1" x14ac:dyDescent="0.15"/>
    <row r="13184" s="76" customFormat="1" ht="21.95" customHeight="1" x14ac:dyDescent="0.15"/>
    <row r="13185" s="76" customFormat="1" ht="21.95" customHeight="1" x14ac:dyDescent="0.15"/>
    <row r="13186" s="76" customFormat="1" ht="21.95" customHeight="1" x14ac:dyDescent="0.15"/>
    <row r="13187" s="76" customFormat="1" ht="21.95" customHeight="1" x14ac:dyDescent="0.15"/>
    <row r="13188" s="76" customFormat="1" ht="21.95" customHeight="1" x14ac:dyDescent="0.15"/>
    <row r="13189" s="76" customFormat="1" ht="21.95" customHeight="1" x14ac:dyDescent="0.15"/>
    <row r="13190" s="76" customFormat="1" ht="21.95" customHeight="1" x14ac:dyDescent="0.15"/>
    <row r="13191" s="76" customFormat="1" ht="21.95" customHeight="1" x14ac:dyDescent="0.15"/>
    <row r="13192" s="76" customFormat="1" ht="21.95" customHeight="1" x14ac:dyDescent="0.15"/>
    <row r="13193" s="76" customFormat="1" ht="35.1" customHeight="1" x14ac:dyDescent="0.15"/>
    <row r="13194" s="76" customFormat="1" ht="21.95" customHeight="1" x14ac:dyDescent="0.15"/>
    <row r="13195" s="76" customFormat="1" ht="21.95" customHeight="1" x14ac:dyDescent="0.15"/>
    <row r="13196" s="76" customFormat="1" ht="21.95" customHeight="1" x14ac:dyDescent="0.15"/>
    <row r="13197" s="76" customFormat="1" ht="21.95" customHeight="1" x14ac:dyDescent="0.15"/>
    <row r="13198" s="76" customFormat="1" ht="21.95" customHeight="1" x14ac:dyDescent="0.15"/>
    <row r="13199" s="76" customFormat="1" ht="21.95" customHeight="1" x14ac:dyDescent="0.15"/>
    <row r="13200" s="76" customFormat="1" ht="21.95" customHeight="1" x14ac:dyDescent="0.15"/>
    <row r="13201" s="76" customFormat="1" ht="21.95" customHeight="1" x14ac:dyDescent="0.15"/>
    <row r="13202" s="76" customFormat="1" ht="21.95" customHeight="1" x14ac:dyDescent="0.15"/>
    <row r="13203" s="76" customFormat="1" ht="21.95" customHeight="1" x14ac:dyDescent="0.15"/>
    <row r="13204" s="76" customFormat="1" ht="21.95" customHeight="1" x14ac:dyDescent="0.15"/>
    <row r="13205" s="76" customFormat="1" ht="21.95" customHeight="1" x14ac:dyDescent="0.15"/>
    <row r="13206" s="76" customFormat="1" ht="21.95" customHeight="1" x14ac:dyDescent="0.15"/>
    <row r="13207" s="76" customFormat="1" ht="21.95" customHeight="1" x14ac:dyDescent="0.15"/>
    <row r="13208" s="76" customFormat="1" ht="21.95" customHeight="1" x14ac:dyDescent="0.15"/>
    <row r="13209" s="76" customFormat="1" ht="21.95" customHeight="1" x14ac:dyDescent="0.15"/>
    <row r="13210" s="76" customFormat="1" ht="21.95" customHeight="1" x14ac:dyDescent="0.15"/>
    <row r="13211" s="76" customFormat="1" ht="21.95" customHeight="1" x14ac:dyDescent="0.15"/>
    <row r="13212" s="76" customFormat="1" ht="21.95" customHeight="1" x14ac:dyDescent="0.15"/>
    <row r="13213" s="76" customFormat="1" ht="21.95" customHeight="1" x14ac:dyDescent="0.15"/>
    <row r="13214" s="76" customFormat="1" ht="21.95" customHeight="1" x14ac:dyDescent="0.15"/>
    <row r="13215" s="76" customFormat="1" ht="21.95" customHeight="1" x14ac:dyDescent="0.15"/>
    <row r="13216" s="76" customFormat="1" ht="21.95" customHeight="1" x14ac:dyDescent="0.15"/>
    <row r="13217" spans="3:3" customFormat="1" ht="21.95" customHeight="1" x14ac:dyDescent="0.15"/>
    <row r="13218" spans="3:3" customFormat="1" ht="21.95" customHeight="1" x14ac:dyDescent="0.15"/>
    <row r="13219" spans="3:3" customFormat="1" ht="21.95" customHeight="1" x14ac:dyDescent="0.15">
      <c r="C13219" s="94"/>
    </row>
    <row r="13220" spans="3:3" customFormat="1" ht="21.95" customHeight="1" x14ac:dyDescent="0.15">
      <c r="C13220" s="94"/>
    </row>
    <row r="13221" spans="3:3" customFormat="1" ht="21.95" customHeight="1" x14ac:dyDescent="0.15"/>
    <row r="13222" spans="3:3" customFormat="1" ht="21.95" customHeight="1" x14ac:dyDescent="0.15"/>
    <row r="13223" spans="3:3" customFormat="1" ht="21.95" customHeight="1" x14ac:dyDescent="0.15"/>
    <row r="13224" spans="3:3" customFormat="1" ht="21.95" customHeight="1" x14ac:dyDescent="0.15"/>
    <row r="13225" spans="3:3" customFormat="1" ht="21.95" customHeight="1" x14ac:dyDescent="0.15"/>
    <row r="13226" spans="3:3" customFormat="1" ht="21.95" customHeight="1" x14ac:dyDescent="0.15"/>
    <row r="13227" spans="3:3" customFormat="1" ht="21.95" customHeight="1" x14ac:dyDescent="0.15"/>
    <row r="13228" spans="3:3" s="76" customFormat="1" ht="21.95" customHeight="1" x14ac:dyDescent="0.15"/>
    <row r="13229" spans="3:3" s="76" customFormat="1" ht="21.95" customHeight="1" x14ac:dyDescent="0.15"/>
    <row r="13230" spans="3:3" s="76" customFormat="1" ht="21.95" customHeight="1" x14ac:dyDescent="0.15"/>
    <row r="13231" spans="3:3" s="76" customFormat="1" ht="21.95" customHeight="1" x14ac:dyDescent="0.15"/>
    <row r="13232" spans="3:3" customFormat="1" ht="21.95" customHeight="1" x14ac:dyDescent="0.15"/>
    <row r="13233" customFormat="1" ht="21.95" customHeight="1" x14ac:dyDescent="0.15"/>
    <row r="13234" customFormat="1" ht="21.95" customHeight="1" x14ac:dyDescent="0.15"/>
    <row r="13235" customFormat="1" ht="21.95" customHeight="1" x14ac:dyDescent="0.15"/>
    <row r="13236" customFormat="1" ht="21.95" customHeight="1" x14ac:dyDescent="0.15"/>
    <row r="13237" customFormat="1" ht="21.95" customHeight="1" x14ac:dyDescent="0.15"/>
    <row r="13238" customFormat="1" ht="21.95" customHeight="1" x14ac:dyDescent="0.15"/>
    <row r="13239" customFormat="1" ht="21.95" customHeight="1" x14ac:dyDescent="0.15"/>
    <row r="13240" customFormat="1" ht="21.95" customHeight="1" x14ac:dyDescent="0.15"/>
    <row r="13241" customFormat="1" ht="21.95" customHeight="1" x14ac:dyDescent="0.15"/>
    <row r="13242" customFormat="1" ht="21.95" customHeight="1" x14ac:dyDescent="0.15"/>
    <row r="13243" customFormat="1" ht="32.1" customHeight="1" x14ac:dyDescent="0.15"/>
    <row r="13244" customFormat="1" ht="32.1" customHeight="1" x14ac:dyDescent="0.15"/>
    <row r="13245" customFormat="1" ht="32.1" customHeight="1" x14ac:dyDescent="0.15"/>
    <row r="13246" customFormat="1" ht="32.1" customHeight="1" x14ac:dyDescent="0.15"/>
    <row r="13247" customFormat="1" ht="32.1" customHeight="1" x14ac:dyDescent="0.15"/>
    <row r="13248" customFormat="1" ht="32.1" customHeight="1" x14ac:dyDescent="0.15"/>
    <row r="13249" s="76" customFormat="1" ht="32.1" customHeight="1" x14ac:dyDescent="0.15"/>
    <row r="13250" s="76" customFormat="1" ht="32.1" customHeight="1" x14ac:dyDescent="0.15"/>
    <row r="13251" s="76" customFormat="1" ht="32.1" customHeight="1" x14ac:dyDescent="0.15"/>
    <row r="13252" s="76" customFormat="1" ht="32.1" customHeight="1" x14ac:dyDescent="0.15"/>
    <row r="13253" s="76" customFormat="1" ht="21.95" customHeight="1" x14ac:dyDescent="0.15"/>
    <row r="13254" s="76" customFormat="1" ht="54" customHeight="1" x14ac:dyDescent="0.15"/>
    <row r="13255" s="76" customFormat="1" ht="21.95" customHeight="1" x14ac:dyDescent="0.15"/>
    <row r="13256" s="76" customFormat="1" ht="21.95" customHeight="1" x14ac:dyDescent="0.15"/>
    <row r="13257" s="76" customFormat="1" ht="21.95" customHeight="1" x14ac:dyDescent="0.15"/>
    <row r="13258" s="76" customFormat="1" ht="21.95" customHeight="1" x14ac:dyDescent="0.15"/>
    <row r="13259" s="76" customFormat="1" ht="21.95" customHeight="1" x14ac:dyDescent="0.15"/>
    <row r="13260" s="76" customFormat="1" ht="21.95" customHeight="1" x14ac:dyDescent="0.15"/>
    <row r="13261" s="76" customFormat="1" ht="21.95" customHeight="1" x14ac:dyDescent="0.15"/>
    <row r="13262" s="76" customFormat="1" ht="21.95" customHeight="1" x14ac:dyDescent="0.15"/>
    <row r="13263" s="76" customFormat="1" ht="21.95" customHeight="1" x14ac:dyDescent="0.15"/>
    <row r="13264" s="76" customFormat="1" ht="21.95" customHeight="1" x14ac:dyDescent="0.15"/>
    <row r="13265" s="76" customFormat="1" ht="21.95" customHeight="1" x14ac:dyDescent="0.15"/>
    <row r="13266" s="76" customFormat="1" ht="21.95" customHeight="1" x14ac:dyDescent="0.15"/>
    <row r="13267" s="76" customFormat="1" ht="21.95" customHeight="1" x14ac:dyDescent="0.15"/>
    <row r="13268" s="76" customFormat="1" ht="21.95" customHeight="1" x14ac:dyDescent="0.15"/>
    <row r="13269" s="76" customFormat="1" ht="21.95" customHeight="1" x14ac:dyDescent="0.15"/>
    <row r="13270" s="76" customFormat="1" ht="21.95" customHeight="1" x14ac:dyDescent="0.15"/>
    <row r="13271" s="76" customFormat="1" ht="21.95" customHeight="1" x14ac:dyDescent="0.15"/>
    <row r="13272" s="76" customFormat="1" ht="21.95" customHeight="1" x14ac:dyDescent="0.15"/>
    <row r="13273" s="76" customFormat="1" ht="21.95" customHeight="1" x14ac:dyDescent="0.15"/>
    <row r="13274" s="76" customFormat="1" ht="21.95" customHeight="1" x14ac:dyDescent="0.15"/>
    <row r="13275" s="76" customFormat="1" ht="21.95" customHeight="1" x14ac:dyDescent="0.15"/>
    <row r="13276" s="76" customFormat="1" ht="21.95" customHeight="1" x14ac:dyDescent="0.15"/>
    <row r="13277" s="76" customFormat="1" ht="21.95" customHeight="1" x14ac:dyDescent="0.15"/>
    <row r="13278" s="76" customFormat="1" ht="21.95" customHeight="1" x14ac:dyDescent="0.15"/>
    <row r="13279" s="76" customFormat="1" ht="21.95" customHeight="1" x14ac:dyDescent="0.15"/>
    <row r="13280" s="76" customFormat="1" ht="21.95" customHeight="1" x14ac:dyDescent="0.15"/>
    <row r="13281" s="76" customFormat="1" ht="21.95" customHeight="1" x14ac:dyDescent="0.15"/>
    <row r="13282" s="76" customFormat="1" ht="21.95" customHeight="1" x14ac:dyDescent="0.15"/>
    <row r="13283" s="76" customFormat="1" ht="21.95" customHeight="1" x14ac:dyDescent="0.15"/>
    <row r="13284" s="76" customFormat="1" ht="21.95" customHeight="1" x14ac:dyDescent="0.15"/>
    <row r="13285" s="76" customFormat="1" ht="21.95" customHeight="1" x14ac:dyDescent="0.15"/>
    <row r="13286" s="76" customFormat="1" ht="21.95" customHeight="1" x14ac:dyDescent="0.15"/>
    <row r="13287" s="76" customFormat="1" ht="21.95" customHeight="1" x14ac:dyDescent="0.15"/>
    <row r="13288" s="76" customFormat="1" ht="21.95" customHeight="1" x14ac:dyDescent="0.15"/>
    <row r="13289" s="76" customFormat="1" ht="21.95" customHeight="1" x14ac:dyDescent="0.15"/>
    <row r="13290" s="76" customFormat="1" ht="21.95" customHeight="1" x14ac:dyDescent="0.15"/>
    <row r="13291" s="76" customFormat="1" ht="21.95" customHeight="1" x14ac:dyDescent="0.15"/>
    <row r="13292" s="76" customFormat="1" ht="21.95" customHeight="1" x14ac:dyDescent="0.15"/>
    <row r="13293" s="76" customFormat="1" ht="21.95" customHeight="1" x14ac:dyDescent="0.15"/>
    <row r="13294" s="76" customFormat="1" ht="21.95" customHeight="1" x14ac:dyDescent="0.15"/>
    <row r="13295" s="76" customFormat="1" ht="21.95" customHeight="1" x14ac:dyDescent="0.15"/>
    <row r="13296" s="76" customFormat="1" ht="21.95" customHeight="1" x14ac:dyDescent="0.15"/>
    <row r="13297" s="76" customFormat="1" ht="21.95" customHeight="1" x14ac:dyDescent="0.15"/>
    <row r="13298" s="76" customFormat="1" ht="21.95" customHeight="1" x14ac:dyDescent="0.15"/>
    <row r="13299" s="76" customFormat="1" ht="21.95" customHeight="1" x14ac:dyDescent="0.15"/>
    <row r="13300" s="76" customFormat="1" ht="21.95" customHeight="1" x14ac:dyDescent="0.15"/>
    <row r="13301" s="76" customFormat="1" ht="21.95" customHeight="1" x14ac:dyDescent="0.15"/>
    <row r="13302" s="76" customFormat="1" ht="21.95" customHeight="1" x14ac:dyDescent="0.15"/>
    <row r="13303" s="76" customFormat="1" ht="21.95" customHeight="1" x14ac:dyDescent="0.15"/>
    <row r="13304" s="76" customFormat="1" ht="21.95" customHeight="1" x14ac:dyDescent="0.15"/>
    <row r="13305" s="76" customFormat="1" ht="35.1" customHeight="1" x14ac:dyDescent="0.15"/>
    <row r="13306" s="76" customFormat="1" ht="21.95" customHeight="1" x14ac:dyDescent="0.15"/>
    <row r="13307" s="76" customFormat="1" ht="21.95" customHeight="1" x14ac:dyDescent="0.15"/>
    <row r="13308" s="76" customFormat="1" ht="21.95" customHeight="1" x14ac:dyDescent="0.15"/>
    <row r="13309" s="76" customFormat="1" ht="21.95" customHeight="1" x14ac:dyDescent="0.15"/>
    <row r="13310" s="76" customFormat="1" ht="21.95" customHeight="1" x14ac:dyDescent="0.15"/>
    <row r="13311" s="76" customFormat="1" ht="21.95" customHeight="1" x14ac:dyDescent="0.15"/>
    <row r="13312" s="76" customFormat="1" ht="21.95" customHeight="1" x14ac:dyDescent="0.15"/>
    <row r="13313" s="76" customFormat="1" ht="21.95" customHeight="1" x14ac:dyDescent="0.15"/>
    <row r="13314" s="76" customFormat="1" ht="21.95" customHeight="1" x14ac:dyDescent="0.15"/>
    <row r="13315" s="76" customFormat="1" ht="21.95" customHeight="1" x14ac:dyDescent="0.15"/>
    <row r="13316" s="76" customFormat="1" ht="21.95" customHeight="1" x14ac:dyDescent="0.15"/>
    <row r="13317" s="76" customFormat="1" ht="21.95" customHeight="1" x14ac:dyDescent="0.15"/>
    <row r="13318" s="76" customFormat="1" ht="21.95" customHeight="1" x14ac:dyDescent="0.15"/>
    <row r="13319" s="76" customFormat="1" ht="21.95" customHeight="1" x14ac:dyDescent="0.15"/>
    <row r="13320" s="76" customFormat="1" ht="21.95" customHeight="1" x14ac:dyDescent="0.15"/>
    <row r="13321" s="76" customFormat="1" ht="21.95" customHeight="1" x14ac:dyDescent="0.15"/>
    <row r="13322" s="76" customFormat="1" ht="21.95" customHeight="1" x14ac:dyDescent="0.15"/>
    <row r="13323" s="76" customFormat="1" ht="21.95" customHeight="1" x14ac:dyDescent="0.15"/>
    <row r="13324" s="76" customFormat="1" ht="21.95" customHeight="1" x14ac:dyDescent="0.15"/>
    <row r="13325" s="76" customFormat="1" ht="21.95" customHeight="1" x14ac:dyDescent="0.15"/>
    <row r="13326" s="76" customFormat="1" ht="21.95" customHeight="1" x14ac:dyDescent="0.15"/>
    <row r="13327" s="76" customFormat="1" ht="21.95" customHeight="1" x14ac:dyDescent="0.15"/>
    <row r="13328" s="76" customFormat="1" ht="21.95" customHeight="1" x14ac:dyDescent="0.15"/>
    <row r="13329" spans="3:3" customFormat="1" ht="21.95" customHeight="1" x14ac:dyDescent="0.15"/>
    <row r="13330" spans="3:3" customFormat="1" ht="21.95" customHeight="1" x14ac:dyDescent="0.15"/>
    <row r="13331" spans="3:3" customFormat="1" ht="21.95" customHeight="1" x14ac:dyDescent="0.15">
      <c r="C13331" s="94"/>
    </row>
    <row r="13332" spans="3:3" customFormat="1" ht="21.95" customHeight="1" x14ac:dyDescent="0.15">
      <c r="C13332" s="94"/>
    </row>
    <row r="13333" spans="3:3" customFormat="1" ht="21.95" customHeight="1" x14ac:dyDescent="0.15"/>
    <row r="13334" spans="3:3" customFormat="1" ht="21.95" customHeight="1" x14ac:dyDescent="0.15"/>
    <row r="13335" spans="3:3" customFormat="1" ht="21.95" customHeight="1" x14ac:dyDescent="0.15"/>
    <row r="13336" spans="3:3" customFormat="1" ht="21.95" customHeight="1" x14ac:dyDescent="0.15"/>
    <row r="13337" spans="3:3" customFormat="1" ht="21.95" customHeight="1" x14ac:dyDescent="0.15"/>
    <row r="13338" spans="3:3" customFormat="1" ht="21.95" customHeight="1" x14ac:dyDescent="0.15"/>
    <row r="13339" spans="3:3" customFormat="1" ht="21.95" customHeight="1" x14ac:dyDescent="0.15"/>
    <row r="13340" spans="3:3" s="76" customFormat="1" ht="21.95" customHeight="1" x14ac:dyDescent="0.15"/>
    <row r="13341" spans="3:3" s="76" customFormat="1" ht="21.95" customHeight="1" x14ac:dyDescent="0.15"/>
    <row r="13342" spans="3:3" s="76" customFormat="1" ht="21.95" customHeight="1" x14ac:dyDescent="0.15"/>
    <row r="13343" spans="3:3" s="76" customFormat="1" ht="21.95" customHeight="1" x14ac:dyDescent="0.15"/>
    <row r="13344" spans="3:3" customFormat="1" ht="21.95" customHeight="1" x14ac:dyDescent="0.15"/>
    <row r="13345" customFormat="1" ht="21.95" customHeight="1" x14ac:dyDescent="0.15"/>
    <row r="13346" customFormat="1" ht="21.95" customHeight="1" x14ac:dyDescent="0.15"/>
    <row r="13347" customFormat="1" ht="21.95" customHeight="1" x14ac:dyDescent="0.15"/>
    <row r="13348" customFormat="1" ht="21.95" customHeight="1" x14ac:dyDescent="0.15"/>
    <row r="13349" customFormat="1" ht="21.95" customHeight="1" x14ac:dyDescent="0.15"/>
    <row r="13350" customFormat="1" ht="21.95" customHeight="1" x14ac:dyDescent="0.15"/>
    <row r="13351" customFormat="1" ht="21.95" customHeight="1" x14ac:dyDescent="0.15"/>
    <row r="13352" customFormat="1" ht="21.95" customHeight="1" x14ac:dyDescent="0.15"/>
    <row r="13353" customFormat="1" ht="21.95" customHeight="1" x14ac:dyDescent="0.15"/>
    <row r="13354" customFormat="1" ht="21.95" customHeight="1" x14ac:dyDescent="0.15"/>
    <row r="13355" customFormat="1" ht="32.1" customHeight="1" x14ac:dyDescent="0.15"/>
    <row r="13356" customFormat="1" ht="32.1" customHeight="1" x14ac:dyDescent="0.15"/>
    <row r="13357" customFormat="1" ht="32.1" customHeight="1" x14ac:dyDescent="0.15"/>
    <row r="13358" customFormat="1" ht="32.1" customHeight="1" x14ac:dyDescent="0.15"/>
    <row r="13359" customFormat="1" ht="32.1" customHeight="1" x14ac:dyDescent="0.15"/>
    <row r="13360" customFormat="1" ht="32.1" customHeight="1" x14ac:dyDescent="0.15"/>
    <row r="13361" s="76" customFormat="1" ht="32.1" customHeight="1" x14ac:dyDescent="0.15"/>
    <row r="13362" s="76" customFormat="1" ht="32.1" customHeight="1" x14ac:dyDescent="0.15"/>
    <row r="13363" s="76" customFormat="1" ht="32.1" customHeight="1" x14ac:dyDescent="0.15"/>
    <row r="13364" s="76" customFormat="1" ht="32.1" customHeight="1" x14ac:dyDescent="0.15"/>
    <row r="13365" s="76" customFormat="1" ht="21.95" customHeight="1" x14ac:dyDescent="0.15"/>
    <row r="13366" s="76" customFormat="1" ht="54" customHeight="1" x14ac:dyDescent="0.15"/>
    <row r="13367" s="76" customFormat="1" ht="21.95" customHeight="1" x14ac:dyDescent="0.15"/>
    <row r="13368" s="76" customFormat="1" ht="21.95" customHeight="1" x14ac:dyDescent="0.15"/>
    <row r="13369" s="76" customFormat="1" ht="21.95" customHeight="1" x14ac:dyDescent="0.15"/>
    <row r="13370" s="76" customFormat="1" ht="21.95" customHeight="1" x14ac:dyDescent="0.15"/>
    <row r="13371" s="76" customFormat="1" ht="21.95" customHeight="1" x14ac:dyDescent="0.15"/>
    <row r="13372" s="76" customFormat="1" ht="21.95" customHeight="1" x14ac:dyDescent="0.15"/>
    <row r="13373" s="76" customFormat="1" ht="21.95" customHeight="1" x14ac:dyDescent="0.15"/>
    <row r="13374" s="76" customFormat="1" ht="21.95" customHeight="1" x14ac:dyDescent="0.15"/>
    <row r="13375" s="76" customFormat="1" ht="21.95" customHeight="1" x14ac:dyDescent="0.15"/>
    <row r="13376" s="76" customFormat="1" ht="21.95" customHeight="1" x14ac:dyDescent="0.15"/>
    <row r="13377" s="76" customFormat="1" ht="21.95" customHeight="1" x14ac:dyDescent="0.15"/>
    <row r="13378" s="76" customFormat="1" ht="21.95" customHeight="1" x14ac:dyDescent="0.15"/>
    <row r="13379" s="76" customFormat="1" ht="21.95" customHeight="1" x14ac:dyDescent="0.15"/>
    <row r="13380" s="76" customFormat="1" ht="21.95" customHeight="1" x14ac:dyDescent="0.15"/>
    <row r="13381" s="76" customFormat="1" ht="21.95" customHeight="1" x14ac:dyDescent="0.15"/>
    <row r="13382" s="76" customFormat="1" ht="21.95" customHeight="1" x14ac:dyDescent="0.15"/>
    <row r="13383" s="76" customFormat="1" ht="21.95" customHeight="1" x14ac:dyDescent="0.15"/>
    <row r="13384" s="76" customFormat="1" ht="21.95" customHeight="1" x14ac:dyDescent="0.15"/>
    <row r="13385" s="76" customFormat="1" ht="21.95" customHeight="1" x14ac:dyDescent="0.15"/>
    <row r="13386" s="76" customFormat="1" ht="21.95" customHeight="1" x14ac:dyDescent="0.15"/>
    <row r="13387" s="76" customFormat="1" ht="21.95" customHeight="1" x14ac:dyDescent="0.15"/>
    <row r="13388" s="76" customFormat="1" ht="21.95" customHeight="1" x14ac:dyDescent="0.15"/>
    <row r="13389" s="76" customFormat="1" ht="21.95" customHeight="1" x14ac:dyDescent="0.15"/>
    <row r="13390" s="76" customFormat="1" ht="21.95" customHeight="1" x14ac:dyDescent="0.15"/>
    <row r="13391" s="76" customFormat="1" ht="21.95" customHeight="1" x14ac:dyDescent="0.15"/>
    <row r="13392" s="76" customFormat="1" ht="21.95" customHeight="1" x14ac:dyDescent="0.15"/>
    <row r="13393" s="76" customFormat="1" ht="21.95" customHeight="1" x14ac:dyDescent="0.15"/>
    <row r="13394" s="76" customFormat="1" ht="21.95" customHeight="1" x14ac:dyDescent="0.15"/>
    <row r="13395" s="76" customFormat="1" ht="21.95" customHeight="1" x14ac:dyDescent="0.15"/>
    <row r="13396" s="76" customFormat="1" ht="21.95" customHeight="1" x14ac:dyDescent="0.15"/>
    <row r="13397" s="76" customFormat="1" ht="21.95" customHeight="1" x14ac:dyDescent="0.15"/>
    <row r="13398" s="76" customFormat="1" ht="21.95" customHeight="1" x14ac:dyDescent="0.15"/>
    <row r="13399" s="76" customFormat="1" ht="21.95" customHeight="1" x14ac:dyDescent="0.15"/>
    <row r="13400" s="76" customFormat="1" ht="21.95" customHeight="1" x14ac:dyDescent="0.15"/>
    <row r="13401" s="76" customFormat="1" ht="21.95" customHeight="1" x14ac:dyDescent="0.15"/>
    <row r="13402" s="76" customFormat="1" ht="21.95" customHeight="1" x14ac:dyDescent="0.15"/>
    <row r="13403" s="76" customFormat="1" ht="21.95" customHeight="1" x14ac:dyDescent="0.15"/>
    <row r="13404" s="76" customFormat="1" ht="21.95" customHeight="1" x14ac:dyDescent="0.15"/>
    <row r="13405" s="76" customFormat="1" ht="21.95" customHeight="1" x14ac:dyDescent="0.15"/>
    <row r="13406" s="76" customFormat="1" ht="21.95" customHeight="1" x14ac:dyDescent="0.15"/>
    <row r="13407" s="76" customFormat="1" ht="21.95" customHeight="1" x14ac:dyDescent="0.15"/>
    <row r="13408" s="76" customFormat="1" ht="21.95" customHeight="1" x14ac:dyDescent="0.15"/>
    <row r="13409" s="76" customFormat="1" ht="21.95" customHeight="1" x14ac:dyDescent="0.15"/>
    <row r="13410" s="76" customFormat="1" ht="21.95" customHeight="1" x14ac:dyDescent="0.15"/>
    <row r="13411" s="76" customFormat="1" ht="21.95" customHeight="1" x14ac:dyDescent="0.15"/>
    <row r="13412" s="76" customFormat="1" ht="21.95" customHeight="1" x14ac:dyDescent="0.15"/>
    <row r="13413" s="76" customFormat="1" ht="21.95" customHeight="1" x14ac:dyDescent="0.15"/>
    <row r="13414" s="76" customFormat="1" ht="21.95" customHeight="1" x14ac:dyDescent="0.15"/>
    <row r="13415" s="76" customFormat="1" ht="21.95" customHeight="1" x14ac:dyDescent="0.15"/>
    <row r="13416" s="76" customFormat="1" ht="21.95" customHeight="1" x14ac:dyDescent="0.15"/>
    <row r="13417" s="76" customFormat="1" ht="35.1" customHeight="1" x14ac:dyDescent="0.15"/>
    <row r="13418" s="76" customFormat="1" ht="21.95" customHeight="1" x14ac:dyDescent="0.15"/>
    <row r="13419" s="76" customFormat="1" ht="21.95" customHeight="1" x14ac:dyDescent="0.15"/>
    <row r="13420" s="76" customFormat="1" ht="21.95" customHeight="1" x14ac:dyDescent="0.15"/>
    <row r="13421" s="76" customFormat="1" ht="21.95" customHeight="1" x14ac:dyDescent="0.15"/>
    <row r="13422" s="76" customFormat="1" ht="21.95" customHeight="1" x14ac:dyDescent="0.15"/>
    <row r="13423" s="76" customFormat="1" ht="21.95" customHeight="1" x14ac:dyDescent="0.15"/>
    <row r="13424" s="76" customFormat="1" ht="21.95" customHeight="1" x14ac:dyDescent="0.15"/>
    <row r="13425" s="76" customFormat="1" ht="21.95" customHeight="1" x14ac:dyDescent="0.15"/>
    <row r="13426" s="76" customFormat="1" ht="21.95" customHeight="1" x14ac:dyDescent="0.15"/>
    <row r="13427" s="76" customFormat="1" ht="21.95" customHeight="1" x14ac:dyDescent="0.15"/>
    <row r="13428" s="76" customFormat="1" ht="21.95" customHeight="1" x14ac:dyDescent="0.15"/>
    <row r="13429" s="76" customFormat="1" ht="21.95" customHeight="1" x14ac:dyDescent="0.15"/>
    <row r="13430" s="76" customFormat="1" ht="21.95" customHeight="1" x14ac:dyDescent="0.15"/>
    <row r="13431" s="76" customFormat="1" ht="21.95" customHeight="1" x14ac:dyDescent="0.15"/>
    <row r="13432" s="76" customFormat="1" ht="21.95" customHeight="1" x14ac:dyDescent="0.15"/>
    <row r="13433" s="76" customFormat="1" ht="21.95" customHeight="1" x14ac:dyDescent="0.15"/>
    <row r="13434" s="76" customFormat="1" ht="21.95" customHeight="1" x14ac:dyDescent="0.15"/>
    <row r="13435" s="76" customFormat="1" ht="21.95" customHeight="1" x14ac:dyDescent="0.15"/>
    <row r="13436" s="76" customFormat="1" ht="21.95" customHeight="1" x14ac:dyDescent="0.15"/>
    <row r="13437" s="76" customFormat="1" ht="21.95" customHeight="1" x14ac:dyDescent="0.15"/>
    <row r="13438" s="76" customFormat="1" ht="21.95" customHeight="1" x14ac:dyDescent="0.15"/>
    <row r="13439" s="76" customFormat="1" ht="21.95" customHeight="1" x14ac:dyDescent="0.15"/>
    <row r="13440" s="76" customFormat="1" ht="21.95" customHeight="1" x14ac:dyDescent="0.15"/>
    <row r="13441" spans="3:3" customFormat="1" ht="21.95" customHeight="1" x14ac:dyDescent="0.15"/>
    <row r="13442" spans="3:3" customFormat="1" ht="21.95" customHeight="1" x14ac:dyDescent="0.15"/>
    <row r="13443" spans="3:3" customFormat="1" ht="21.95" customHeight="1" x14ac:dyDescent="0.15">
      <c r="C13443" s="94"/>
    </row>
    <row r="13444" spans="3:3" customFormat="1" ht="21.95" customHeight="1" x14ac:dyDescent="0.15">
      <c r="C13444" s="94"/>
    </row>
    <row r="13445" spans="3:3" customFormat="1" ht="21.95" customHeight="1" x14ac:dyDescent="0.15"/>
    <row r="13446" spans="3:3" customFormat="1" ht="21.95" customHeight="1" x14ac:dyDescent="0.15"/>
    <row r="13447" spans="3:3" customFormat="1" ht="21.95" customHeight="1" x14ac:dyDescent="0.15"/>
    <row r="13448" spans="3:3" customFormat="1" ht="21.95" customHeight="1" x14ac:dyDescent="0.15"/>
    <row r="13449" spans="3:3" customFormat="1" ht="21.95" customHeight="1" x14ac:dyDescent="0.15"/>
    <row r="13450" spans="3:3" customFormat="1" ht="21.95" customHeight="1" x14ac:dyDescent="0.15"/>
    <row r="13451" spans="3:3" customFormat="1" ht="21.95" customHeight="1" x14ac:dyDescent="0.15"/>
    <row r="13452" spans="3:3" s="76" customFormat="1" ht="21.95" customHeight="1" x14ac:dyDescent="0.15"/>
    <row r="13453" spans="3:3" s="76" customFormat="1" ht="21.95" customHeight="1" x14ac:dyDescent="0.15"/>
    <row r="13454" spans="3:3" s="76" customFormat="1" ht="21.95" customHeight="1" x14ac:dyDescent="0.15"/>
    <row r="13455" spans="3:3" s="76" customFormat="1" ht="21.95" customHeight="1" x14ac:dyDescent="0.15"/>
    <row r="13456" spans="3:3" customFormat="1" ht="21.95" customHeight="1" x14ac:dyDescent="0.15"/>
    <row r="13457" customFormat="1" ht="21.95" customHeight="1" x14ac:dyDescent="0.15"/>
    <row r="13458" customFormat="1" ht="21.95" customHeight="1" x14ac:dyDescent="0.15"/>
    <row r="13459" customFormat="1" ht="21.95" customHeight="1" x14ac:dyDescent="0.15"/>
    <row r="13460" customFormat="1" ht="21.95" customHeight="1" x14ac:dyDescent="0.15"/>
    <row r="13461" customFormat="1" ht="21.95" customHeight="1" x14ac:dyDescent="0.15"/>
    <row r="13462" customFormat="1" ht="21.95" customHeight="1" x14ac:dyDescent="0.15"/>
    <row r="13463" customFormat="1" ht="21.95" customHeight="1" x14ac:dyDescent="0.15"/>
    <row r="13464" customFormat="1" ht="21.95" customHeight="1" x14ac:dyDescent="0.15"/>
    <row r="13465" customFormat="1" ht="21.95" customHeight="1" x14ac:dyDescent="0.15"/>
    <row r="13466" customFormat="1" ht="21.95" customHeight="1" x14ac:dyDescent="0.15"/>
    <row r="13467" customFormat="1" ht="32.1" customHeight="1" x14ac:dyDescent="0.15"/>
    <row r="13468" customFormat="1" ht="32.1" customHeight="1" x14ac:dyDescent="0.15"/>
    <row r="13469" customFormat="1" ht="32.1" customHeight="1" x14ac:dyDescent="0.15"/>
    <row r="13470" customFormat="1" ht="32.1" customHeight="1" x14ac:dyDescent="0.15"/>
    <row r="13471" customFormat="1" ht="32.1" customHeight="1" x14ac:dyDescent="0.15"/>
    <row r="13472" customFormat="1" ht="32.1" customHeight="1" x14ac:dyDescent="0.15"/>
    <row r="13473" s="76" customFormat="1" ht="32.1" customHeight="1" x14ac:dyDescent="0.15"/>
    <row r="13474" s="76" customFormat="1" ht="32.1" customHeight="1" x14ac:dyDescent="0.15"/>
    <row r="13475" s="76" customFormat="1" ht="32.1" customHeight="1" x14ac:dyDescent="0.15"/>
    <row r="13476" s="76" customFormat="1" ht="32.1" customHeight="1" x14ac:dyDescent="0.15"/>
    <row r="13477" s="76" customFormat="1" ht="21.95" customHeight="1" x14ac:dyDescent="0.15"/>
    <row r="13478" s="76" customFormat="1" ht="54" customHeight="1" x14ac:dyDescent="0.15"/>
    <row r="13479" s="76" customFormat="1" ht="21.95" customHeight="1" x14ac:dyDescent="0.15"/>
    <row r="13480" s="76" customFormat="1" ht="21.95" customHeight="1" x14ac:dyDescent="0.15"/>
    <row r="13481" s="76" customFormat="1" ht="21.95" customHeight="1" x14ac:dyDescent="0.15"/>
    <row r="13482" s="76" customFormat="1" ht="21.95" customHeight="1" x14ac:dyDescent="0.15"/>
    <row r="13483" s="76" customFormat="1" ht="21.95" customHeight="1" x14ac:dyDescent="0.15"/>
    <row r="13484" s="76" customFormat="1" ht="21.95" customHeight="1" x14ac:dyDescent="0.15"/>
    <row r="13485" s="76" customFormat="1" ht="21.95" customHeight="1" x14ac:dyDescent="0.15"/>
    <row r="13486" s="76" customFormat="1" ht="21.95" customHeight="1" x14ac:dyDescent="0.15"/>
    <row r="13487" s="76" customFormat="1" ht="21.95" customHeight="1" x14ac:dyDescent="0.15"/>
    <row r="13488" s="76" customFormat="1" ht="21.95" customHeight="1" x14ac:dyDescent="0.15"/>
    <row r="13489" s="76" customFormat="1" ht="21.95" customHeight="1" x14ac:dyDescent="0.15"/>
    <row r="13490" s="76" customFormat="1" ht="21.95" customHeight="1" x14ac:dyDescent="0.15"/>
    <row r="13491" s="76" customFormat="1" ht="21.95" customHeight="1" x14ac:dyDescent="0.15"/>
    <row r="13492" s="76" customFormat="1" ht="21.95" customHeight="1" x14ac:dyDescent="0.15"/>
    <row r="13493" s="76" customFormat="1" ht="21.95" customHeight="1" x14ac:dyDescent="0.15"/>
    <row r="13494" s="76" customFormat="1" ht="21.95" customHeight="1" x14ac:dyDescent="0.15"/>
    <row r="13495" s="76" customFormat="1" ht="21.95" customHeight="1" x14ac:dyDescent="0.15"/>
    <row r="13496" s="76" customFormat="1" ht="21.95" customHeight="1" x14ac:dyDescent="0.15"/>
    <row r="13497" s="76" customFormat="1" ht="21.95" customHeight="1" x14ac:dyDescent="0.15"/>
    <row r="13498" s="76" customFormat="1" ht="21.95" customHeight="1" x14ac:dyDescent="0.15"/>
    <row r="13499" s="76" customFormat="1" ht="21.95" customHeight="1" x14ac:dyDescent="0.15"/>
    <row r="13500" s="76" customFormat="1" ht="21.95" customHeight="1" x14ac:dyDescent="0.15"/>
    <row r="13501" s="76" customFormat="1" ht="21.95" customHeight="1" x14ac:dyDescent="0.15"/>
    <row r="13502" s="76" customFormat="1" ht="21.95" customHeight="1" x14ac:dyDescent="0.15"/>
    <row r="13503" s="76" customFormat="1" ht="21.95" customHeight="1" x14ac:dyDescent="0.15"/>
    <row r="13504" s="76" customFormat="1" ht="21.95" customHeight="1" x14ac:dyDescent="0.15"/>
    <row r="13505" s="76" customFormat="1" ht="21.95" customHeight="1" x14ac:dyDescent="0.15"/>
    <row r="13506" s="76" customFormat="1" ht="21.95" customHeight="1" x14ac:dyDescent="0.15"/>
    <row r="13507" s="76" customFormat="1" ht="21.95" customHeight="1" x14ac:dyDescent="0.15"/>
    <row r="13508" s="76" customFormat="1" ht="21.95" customHeight="1" x14ac:dyDescent="0.15"/>
    <row r="13509" s="76" customFormat="1" ht="21.95" customHeight="1" x14ac:dyDescent="0.15"/>
    <row r="13510" s="76" customFormat="1" ht="21.95" customHeight="1" x14ac:dyDescent="0.15"/>
    <row r="13511" s="76" customFormat="1" ht="21.95" customHeight="1" x14ac:dyDescent="0.15"/>
    <row r="13512" s="76" customFormat="1" ht="21.95" customHeight="1" x14ac:dyDescent="0.15"/>
    <row r="13513" s="76" customFormat="1" ht="21.95" customHeight="1" x14ac:dyDescent="0.15"/>
    <row r="13514" s="76" customFormat="1" ht="21.95" customHeight="1" x14ac:dyDescent="0.15"/>
    <row r="13515" s="76" customFormat="1" ht="21.95" customHeight="1" x14ac:dyDescent="0.15"/>
    <row r="13516" s="76" customFormat="1" ht="21.95" customHeight="1" x14ac:dyDescent="0.15"/>
    <row r="13517" s="76" customFormat="1" ht="21.95" customHeight="1" x14ac:dyDescent="0.15"/>
    <row r="13518" s="76" customFormat="1" ht="21.95" customHeight="1" x14ac:dyDescent="0.15"/>
    <row r="13519" s="76" customFormat="1" ht="21.95" customHeight="1" x14ac:dyDescent="0.15"/>
    <row r="13520" s="76" customFormat="1" ht="21.95" customHeight="1" x14ac:dyDescent="0.15"/>
    <row r="13521" s="76" customFormat="1" ht="21.95" customHeight="1" x14ac:dyDescent="0.15"/>
    <row r="13522" s="76" customFormat="1" ht="21.95" customHeight="1" x14ac:dyDescent="0.15"/>
    <row r="13523" s="76" customFormat="1" ht="21.95" customHeight="1" x14ac:dyDescent="0.15"/>
    <row r="13524" s="76" customFormat="1" ht="21.95" customHeight="1" x14ac:dyDescent="0.15"/>
    <row r="13525" s="76" customFormat="1" ht="21.95" customHeight="1" x14ac:dyDescent="0.15"/>
    <row r="13526" s="76" customFormat="1" ht="21.95" customHeight="1" x14ac:dyDescent="0.15"/>
    <row r="13527" s="76" customFormat="1" ht="21.95" customHeight="1" x14ac:dyDescent="0.15"/>
    <row r="13528" s="76" customFormat="1" ht="21.95" customHeight="1" x14ac:dyDescent="0.15"/>
    <row r="13529" s="76" customFormat="1" ht="35.1" customHeight="1" x14ac:dyDescent="0.15"/>
    <row r="13530" s="76" customFormat="1" ht="21.95" customHeight="1" x14ac:dyDescent="0.15"/>
    <row r="13531" s="76" customFormat="1" ht="21.95" customHeight="1" x14ac:dyDescent="0.15"/>
    <row r="13532" s="76" customFormat="1" ht="21.95" customHeight="1" x14ac:dyDescent="0.15"/>
    <row r="13533" s="76" customFormat="1" ht="21.95" customHeight="1" x14ac:dyDescent="0.15"/>
    <row r="13534" s="76" customFormat="1" ht="21.95" customHeight="1" x14ac:dyDescent="0.15"/>
    <row r="13535" s="76" customFormat="1" ht="21.95" customHeight="1" x14ac:dyDescent="0.15"/>
    <row r="13536" s="76" customFormat="1" ht="21.95" customHeight="1" x14ac:dyDescent="0.15"/>
    <row r="13537" s="76" customFormat="1" ht="21.95" customHeight="1" x14ac:dyDescent="0.15"/>
    <row r="13538" s="76" customFormat="1" ht="21.95" customHeight="1" x14ac:dyDescent="0.15"/>
    <row r="13539" s="76" customFormat="1" ht="21.95" customHeight="1" x14ac:dyDescent="0.15"/>
    <row r="13540" s="76" customFormat="1" ht="21.95" customHeight="1" x14ac:dyDescent="0.15"/>
    <row r="13541" s="76" customFormat="1" ht="21.95" customHeight="1" x14ac:dyDescent="0.15"/>
    <row r="13542" s="76" customFormat="1" ht="21.95" customHeight="1" x14ac:dyDescent="0.15"/>
    <row r="13543" s="76" customFormat="1" ht="21.95" customHeight="1" x14ac:dyDescent="0.15"/>
    <row r="13544" s="76" customFormat="1" ht="21.95" customHeight="1" x14ac:dyDescent="0.15"/>
    <row r="13545" s="76" customFormat="1" ht="21.95" customHeight="1" x14ac:dyDescent="0.15"/>
    <row r="13546" s="76" customFormat="1" ht="21.95" customHeight="1" x14ac:dyDescent="0.15"/>
    <row r="13547" s="76" customFormat="1" ht="21.95" customHeight="1" x14ac:dyDescent="0.15"/>
    <row r="13548" s="76" customFormat="1" ht="21.95" customHeight="1" x14ac:dyDescent="0.15"/>
    <row r="13549" s="76" customFormat="1" ht="21.95" customHeight="1" x14ac:dyDescent="0.15"/>
    <row r="13550" s="76" customFormat="1" ht="21.95" customHeight="1" x14ac:dyDescent="0.15"/>
    <row r="13551" s="76" customFormat="1" ht="21.95" customHeight="1" x14ac:dyDescent="0.15"/>
    <row r="13552" s="76" customFormat="1" ht="21.95" customHeight="1" x14ac:dyDescent="0.15"/>
    <row r="13553" spans="3:3" customFormat="1" ht="21.95" customHeight="1" x14ac:dyDescent="0.15"/>
    <row r="13554" spans="3:3" customFormat="1" ht="21.95" customHeight="1" x14ac:dyDescent="0.15"/>
    <row r="13555" spans="3:3" customFormat="1" ht="21.95" customHeight="1" x14ac:dyDescent="0.15">
      <c r="C13555" s="94"/>
    </row>
    <row r="13556" spans="3:3" customFormat="1" ht="21.95" customHeight="1" x14ac:dyDescent="0.15">
      <c r="C13556" s="94"/>
    </row>
    <row r="13557" spans="3:3" customFormat="1" ht="21.95" customHeight="1" x14ac:dyDescent="0.15"/>
    <row r="13558" spans="3:3" customFormat="1" ht="21.95" customHeight="1" x14ac:dyDescent="0.15"/>
    <row r="13559" spans="3:3" customFormat="1" ht="21.95" customHeight="1" x14ac:dyDescent="0.15"/>
    <row r="13560" spans="3:3" customFormat="1" ht="21.95" customHeight="1" x14ac:dyDescent="0.15"/>
    <row r="13561" spans="3:3" customFormat="1" ht="21.95" customHeight="1" x14ac:dyDescent="0.15"/>
    <row r="13562" spans="3:3" customFormat="1" ht="21.95" customHeight="1" x14ac:dyDescent="0.15"/>
    <row r="13563" spans="3:3" customFormat="1" ht="21.95" customHeight="1" x14ac:dyDescent="0.15"/>
    <row r="13564" spans="3:3" s="76" customFormat="1" ht="21.95" customHeight="1" x14ac:dyDescent="0.15"/>
    <row r="13565" spans="3:3" s="76" customFormat="1" ht="21.95" customHeight="1" x14ac:dyDescent="0.15"/>
    <row r="13566" spans="3:3" s="76" customFormat="1" ht="21.95" customHeight="1" x14ac:dyDescent="0.15"/>
    <row r="13567" spans="3:3" s="76" customFormat="1" ht="21.95" customHeight="1" x14ac:dyDescent="0.15"/>
    <row r="13568" spans="3:3" customFormat="1" ht="21.95" customHeight="1" x14ac:dyDescent="0.15"/>
    <row r="13569" customFormat="1" ht="21.95" customHeight="1" x14ac:dyDescent="0.15"/>
    <row r="13570" customFormat="1" ht="21.95" customHeight="1" x14ac:dyDescent="0.15"/>
    <row r="13571" customFormat="1" ht="21.95" customHeight="1" x14ac:dyDescent="0.15"/>
    <row r="13572" customFormat="1" ht="21.95" customHeight="1" x14ac:dyDescent="0.15"/>
    <row r="13573" customFormat="1" ht="21.95" customHeight="1" x14ac:dyDescent="0.15"/>
    <row r="13574" customFormat="1" ht="21.95" customHeight="1" x14ac:dyDescent="0.15"/>
    <row r="13575" customFormat="1" ht="21.95" customHeight="1" x14ac:dyDescent="0.15"/>
    <row r="13576" customFormat="1" ht="21.95" customHeight="1" x14ac:dyDescent="0.15"/>
    <row r="13577" customFormat="1" ht="21.95" customHeight="1" x14ac:dyDescent="0.15"/>
    <row r="13578" customFormat="1" ht="21.95" customHeight="1" x14ac:dyDescent="0.15"/>
    <row r="13579" customFormat="1" ht="32.1" customHeight="1" x14ac:dyDescent="0.15"/>
    <row r="13580" customFormat="1" ht="32.1" customHeight="1" x14ac:dyDescent="0.15"/>
    <row r="13581" customFormat="1" ht="32.1" customHeight="1" x14ac:dyDescent="0.15"/>
    <row r="13582" customFormat="1" ht="32.1" customHeight="1" x14ac:dyDescent="0.15"/>
    <row r="13583" customFormat="1" ht="32.1" customHeight="1" x14ac:dyDescent="0.15"/>
    <row r="13584" customFormat="1" ht="32.1" customHeight="1" x14ac:dyDescent="0.15"/>
    <row r="13585" s="76" customFormat="1" ht="32.1" customHeight="1" x14ac:dyDescent="0.15"/>
    <row r="13586" s="76" customFormat="1" ht="32.1" customHeight="1" x14ac:dyDescent="0.15"/>
    <row r="13587" s="76" customFormat="1" ht="32.1" customHeight="1" x14ac:dyDescent="0.15"/>
    <row r="13588" s="76" customFormat="1" ht="32.1" customHeight="1" x14ac:dyDescent="0.15"/>
    <row r="13589" s="76" customFormat="1" ht="21.95" customHeight="1" x14ac:dyDescent="0.15"/>
    <row r="13590" s="76" customFormat="1" ht="54" customHeight="1" x14ac:dyDescent="0.15"/>
    <row r="13591" s="76" customFormat="1" ht="21.95" customHeight="1" x14ac:dyDescent="0.15"/>
    <row r="13592" s="76" customFormat="1" ht="21.95" customHeight="1" x14ac:dyDescent="0.15"/>
    <row r="13593" s="76" customFormat="1" ht="21.95" customHeight="1" x14ac:dyDescent="0.15"/>
    <row r="13594" s="76" customFormat="1" ht="21.95" customHeight="1" x14ac:dyDescent="0.15"/>
    <row r="13595" s="76" customFormat="1" ht="21.95" customHeight="1" x14ac:dyDescent="0.15"/>
    <row r="13596" s="76" customFormat="1" ht="21.95" customHeight="1" x14ac:dyDescent="0.15"/>
    <row r="13597" s="76" customFormat="1" ht="21.95" customHeight="1" x14ac:dyDescent="0.15"/>
    <row r="13598" s="76" customFormat="1" ht="21.95" customHeight="1" x14ac:dyDescent="0.15"/>
    <row r="13599" s="76" customFormat="1" ht="21.95" customHeight="1" x14ac:dyDescent="0.15"/>
    <row r="13600" s="76" customFormat="1" ht="21.95" customHeight="1" x14ac:dyDescent="0.15"/>
    <row r="13601" s="76" customFormat="1" ht="21.95" customHeight="1" x14ac:dyDescent="0.15"/>
    <row r="13602" s="76" customFormat="1" ht="21.95" customHeight="1" x14ac:dyDescent="0.15"/>
    <row r="13603" s="76" customFormat="1" ht="21.95" customHeight="1" x14ac:dyDescent="0.15"/>
    <row r="13604" s="76" customFormat="1" ht="21.95" customHeight="1" x14ac:dyDescent="0.15"/>
    <row r="13605" s="76" customFormat="1" ht="21.95" customHeight="1" x14ac:dyDescent="0.15"/>
    <row r="13606" s="76" customFormat="1" ht="21.95" customHeight="1" x14ac:dyDescent="0.15"/>
    <row r="13607" s="76" customFormat="1" ht="21.95" customHeight="1" x14ac:dyDescent="0.15"/>
    <row r="13608" s="76" customFormat="1" ht="21.95" customHeight="1" x14ac:dyDescent="0.15"/>
    <row r="13609" s="76" customFormat="1" ht="21.95" customHeight="1" x14ac:dyDescent="0.15"/>
    <row r="13610" s="76" customFormat="1" ht="21.95" customHeight="1" x14ac:dyDescent="0.15"/>
    <row r="13611" s="76" customFormat="1" ht="21.95" customHeight="1" x14ac:dyDescent="0.15"/>
    <row r="13612" s="76" customFormat="1" ht="21.95" customHeight="1" x14ac:dyDescent="0.15"/>
    <row r="13613" s="76" customFormat="1" ht="21.95" customHeight="1" x14ac:dyDescent="0.15"/>
    <row r="13614" s="76" customFormat="1" ht="21.95" customHeight="1" x14ac:dyDescent="0.15"/>
    <row r="13615" s="76" customFormat="1" ht="21.95" customHeight="1" x14ac:dyDescent="0.15"/>
    <row r="13616" s="76" customFormat="1" ht="21.95" customHeight="1" x14ac:dyDescent="0.15"/>
    <row r="13617" s="76" customFormat="1" ht="21.95" customHeight="1" x14ac:dyDescent="0.15"/>
    <row r="13618" s="76" customFormat="1" ht="21.95" customHeight="1" x14ac:dyDescent="0.15"/>
    <row r="13619" s="76" customFormat="1" ht="21.95" customHeight="1" x14ac:dyDescent="0.15"/>
    <row r="13620" s="76" customFormat="1" ht="21.95" customHeight="1" x14ac:dyDescent="0.15"/>
    <row r="13621" s="76" customFormat="1" ht="21.95" customHeight="1" x14ac:dyDescent="0.15"/>
    <row r="13622" s="76" customFormat="1" ht="21.95" customHeight="1" x14ac:dyDescent="0.15"/>
    <row r="13623" s="76" customFormat="1" ht="21.95" customHeight="1" x14ac:dyDescent="0.15"/>
    <row r="13624" s="76" customFormat="1" ht="21.95" customHeight="1" x14ac:dyDescent="0.15"/>
    <row r="13625" s="76" customFormat="1" ht="21.95" customHeight="1" x14ac:dyDescent="0.15"/>
    <row r="13626" s="76" customFormat="1" ht="21.95" customHeight="1" x14ac:dyDescent="0.15"/>
    <row r="13627" s="76" customFormat="1" ht="21.95" customHeight="1" x14ac:dyDescent="0.15"/>
    <row r="13628" s="76" customFormat="1" ht="21.95" customHeight="1" x14ac:dyDescent="0.15"/>
    <row r="13629" s="76" customFormat="1" ht="21.95" customHeight="1" x14ac:dyDescent="0.15"/>
    <row r="13630" s="76" customFormat="1" ht="21.95" customHeight="1" x14ac:dyDescent="0.15"/>
    <row r="13631" s="76" customFormat="1" ht="21.95" customHeight="1" x14ac:dyDescent="0.15"/>
    <row r="13632" s="76" customFormat="1" ht="21.95" customHeight="1" x14ac:dyDescent="0.15"/>
    <row r="13633" s="76" customFormat="1" ht="21.95" customHeight="1" x14ac:dyDescent="0.15"/>
    <row r="13634" s="76" customFormat="1" ht="21.95" customHeight="1" x14ac:dyDescent="0.15"/>
    <row r="13635" s="76" customFormat="1" ht="21.95" customHeight="1" x14ac:dyDescent="0.15"/>
    <row r="13636" s="76" customFormat="1" ht="21.95" customHeight="1" x14ac:dyDescent="0.15"/>
    <row r="13637" s="76" customFormat="1" ht="21.95" customHeight="1" x14ac:dyDescent="0.15"/>
    <row r="13638" s="76" customFormat="1" ht="21.95" customHeight="1" x14ac:dyDescent="0.15"/>
    <row r="13639" s="76" customFormat="1" ht="21.95" customHeight="1" x14ac:dyDescent="0.15"/>
    <row r="13640" s="76" customFormat="1" ht="21.95" customHeight="1" x14ac:dyDescent="0.15"/>
    <row r="13641" s="76" customFormat="1" ht="35.1" customHeight="1" x14ac:dyDescent="0.15"/>
    <row r="13642" s="76" customFormat="1" ht="21.95" customHeight="1" x14ac:dyDescent="0.15"/>
    <row r="13643" s="76" customFormat="1" ht="21.95" customHeight="1" x14ac:dyDescent="0.15"/>
    <row r="13644" s="76" customFormat="1" ht="21.95" customHeight="1" x14ac:dyDescent="0.15"/>
    <row r="13645" s="76" customFormat="1" ht="21.95" customHeight="1" x14ac:dyDescent="0.15"/>
    <row r="13646" s="76" customFormat="1" ht="21.95" customHeight="1" x14ac:dyDescent="0.15"/>
    <row r="13647" s="76" customFormat="1" ht="21.95" customHeight="1" x14ac:dyDescent="0.15"/>
    <row r="13648" s="76" customFormat="1" ht="21.95" customHeight="1" x14ac:dyDescent="0.15"/>
    <row r="13649" s="76" customFormat="1" ht="21.95" customHeight="1" x14ac:dyDescent="0.15"/>
    <row r="13650" s="76" customFormat="1" ht="21.95" customHeight="1" x14ac:dyDescent="0.15"/>
    <row r="13651" s="76" customFormat="1" ht="21.95" customHeight="1" x14ac:dyDescent="0.15"/>
    <row r="13652" s="76" customFormat="1" ht="21.95" customHeight="1" x14ac:dyDescent="0.15"/>
    <row r="13653" s="76" customFormat="1" ht="21.95" customHeight="1" x14ac:dyDescent="0.15"/>
    <row r="13654" s="76" customFormat="1" ht="21.95" customHeight="1" x14ac:dyDescent="0.15"/>
    <row r="13655" s="76" customFormat="1" ht="21.95" customHeight="1" x14ac:dyDescent="0.15"/>
    <row r="13656" s="76" customFormat="1" ht="21.95" customHeight="1" x14ac:dyDescent="0.15"/>
    <row r="13657" s="76" customFormat="1" ht="21.95" customHeight="1" x14ac:dyDescent="0.15"/>
    <row r="13658" s="76" customFormat="1" ht="21.95" customHeight="1" x14ac:dyDescent="0.15"/>
    <row r="13659" s="76" customFormat="1" ht="21.95" customHeight="1" x14ac:dyDescent="0.15"/>
    <row r="13660" s="76" customFormat="1" ht="21.95" customHeight="1" x14ac:dyDescent="0.15"/>
    <row r="13661" s="76" customFormat="1" ht="21.95" customHeight="1" x14ac:dyDescent="0.15"/>
    <row r="13662" s="76" customFormat="1" ht="21.95" customHeight="1" x14ac:dyDescent="0.15"/>
    <row r="13663" s="76" customFormat="1" ht="21.95" customHeight="1" x14ac:dyDescent="0.15"/>
    <row r="13664" s="76" customFormat="1" ht="21.95" customHeight="1" x14ac:dyDescent="0.15"/>
    <row r="13665" spans="3:3" customFormat="1" ht="21.95" customHeight="1" x14ac:dyDescent="0.15"/>
    <row r="13666" spans="3:3" customFormat="1" ht="21.95" customHeight="1" x14ac:dyDescent="0.15"/>
    <row r="13667" spans="3:3" customFormat="1" ht="21.95" customHeight="1" x14ac:dyDescent="0.15">
      <c r="C13667" s="94"/>
    </row>
    <row r="13668" spans="3:3" customFormat="1" ht="21.95" customHeight="1" x14ac:dyDescent="0.15">
      <c r="C13668" s="94"/>
    </row>
    <row r="13669" spans="3:3" customFormat="1" ht="21.95" customHeight="1" x14ac:dyDescent="0.15"/>
    <row r="13670" spans="3:3" customFormat="1" ht="21.95" customHeight="1" x14ac:dyDescent="0.15"/>
    <row r="13671" spans="3:3" customFormat="1" ht="21.95" customHeight="1" x14ac:dyDescent="0.15"/>
    <row r="13672" spans="3:3" customFormat="1" ht="21.95" customHeight="1" x14ac:dyDescent="0.15"/>
    <row r="13673" spans="3:3" customFormat="1" ht="21.95" customHeight="1" x14ac:dyDescent="0.15"/>
    <row r="13674" spans="3:3" customFormat="1" ht="21.95" customHeight="1" x14ac:dyDescent="0.15"/>
    <row r="13675" spans="3:3" customFormat="1" ht="21.95" customHeight="1" x14ac:dyDescent="0.15"/>
    <row r="13676" spans="3:3" s="76" customFormat="1" ht="21.95" customHeight="1" x14ac:dyDescent="0.15"/>
    <row r="13677" spans="3:3" s="76" customFormat="1" ht="21.95" customHeight="1" x14ac:dyDescent="0.15"/>
    <row r="13678" spans="3:3" s="76" customFormat="1" ht="21.95" customHeight="1" x14ac:dyDescent="0.15"/>
    <row r="13679" spans="3:3" s="76" customFormat="1" ht="21.95" customHeight="1" x14ac:dyDescent="0.15"/>
    <row r="13680" spans="3:3" customFormat="1" ht="21.95" customHeight="1" x14ac:dyDescent="0.15"/>
    <row r="13681" customFormat="1" ht="21.95" customHeight="1" x14ac:dyDescent="0.15"/>
    <row r="13682" customFormat="1" ht="21.95" customHeight="1" x14ac:dyDescent="0.15"/>
    <row r="13683" customFormat="1" ht="21.95" customHeight="1" x14ac:dyDescent="0.15"/>
    <row r="13684" customFormat="1" ht="21.95" customHeight="1" x14ac:dyDescent="0.15"/>
    <row r="13685" customFormat="1" ht="21.95" customHeight="1" x14ac:dyDescent="0.15"/>
    <row r="13686" customFormat="1" ht="21.95" customHeight="1" x14ac:dyDescent="0.15"/>
    <row r="13687" customFormat="1" ht="21.95" customHeight="1" x14ac:dyDescent="0.15"/>
    <row r="13688" customFormat="1" ht="21.95" customHeight="1" x14ac:dyDescent="0.15"/>
    <row r="13689" customFormat="1" ht="21.95" customHeight="1" x14ac:dyDescent="0.15"/>
    <row r="13690" customFormat="1" ht="21.95" customHeight="1" x14ac:dyDescent="0.15"/>
    <row r="13691" customFormat="1" ht="32.1" customHeight="1" x14ac:dyDescent="0.15"/>
    <row r="13692" customFormat="1" ht="32.1" customHeight="1" x14ac:dyDescent="0.15"/>
    <row r="13693" customFormat="1" ht="32.1" customHeight="1" x14ac:dyDescent="0.15"/>
    <row r="13694" customFormat="1" ht="32.1" customHeight="1" x14ac:dyDescent="0.15"/>
    <row r="13695" customFormat="1" ht="32.1" customHeight="1" x14ac:dyDescent="0.15"/>
    <row r="13696" customFormat="1" ht="32.1" customHeight="1" x14ac:dyDescent="0.15"/>
    <row r="13697" s="76" customFormat="1" ht="32.1" customHeight="1" x14ac:dyDescent="0.15"/>
    <row r="13698" s="76" customFormat="1" ht="32.1" customHeight="1" x14ac:dyDescent="0.15"/>
    <row r="13699" s="76" customFormat="1" ht="32.1" customHeight="1" x14ac:dyDescent="0.15"/>
    <row r="13700" s="76" customFormat="1" ht="32.1" customHeight="1" x14ac:dyDescent="0.15"/>
    <row r="13701" s="76" customFormat="1" ht="21.95" customHeight="1" x14ac:dyDescent="0.15"/>
    <row r="13702" s="76" customFormat="1" ht="54" customHeight="1" x14ac:dyDescent="0.15"/>
    <row r="13703" s="76" customFormat="1" ht="21.95" customHeight="1" x14ac:dyDescent="0.15"/>
    <row r="13704" s="76" customFormat="1" ht="21.95" customHeight="1" x14ac:dyDescent="0.15"/>
    <row r="13705" s="76" customFormat="1" ht="21.95" customHeight="1" x14ac:dyDescent="0.15"/>
    <row r="13706" s="76" customFormat="1" ht="21.95" customHeight="1" x14ac:dyDescent="0.15"/>
    <row r="13707" s="76" customFormat="1" ht="21.95" customHeight="1" x14ac:dyDescent="0.15"/>
    <row r="13708" s="76" customFormat="1" ht="21.95" customHeight="1" x14ac:dyDescent="0.15"/>
    <row r="13709" s="76" customFormat="1" ht="21.95" customHeight="1" x14ac:dyDescent="0.15"/>
    <row r="13710" s="76" customFormat="1" ht="21.95" customHeight="1" x14ac:dyDescent="0.15"/>
    <row r="13711" s="76" customFormat="1" ht="21.95" customHeight="1" x14ac:dyDescent="0.15"/>
    <row r="13712" s="76" customFormat="1" ht="21.95" customHeight="1" x14ac:dyDescent="0.15"/>
    <row r="13713" s="76" customFormat="1" ht="21.95" customHeight="1" x14ac:dyDescent="0.15"/>
    <row r="13714" s="76" customFormat="1" ht="21.95" customHeight="1" x14ac:dyDescent="0.15"/>
    <row r="13715" s="76" customFormat="1" ht="21.95" customHeight="1" x14ac:dyDescent="0.15"/>
    <row r="13716" s="76" customFormat="1" ht="21.95" customHeight="1" x14ac:dyDescent="0.15"/>
    <row r="13717" s="76" customFormat="1" ht="21.95" customHeight="1" x14ac:dyDescent="0.15"/>
    <row r="13718" s="76" customFormat="1" ht="21.95" customHeight="1" x14ac:dyDescent="0.15"/>
    <row r="13719" s="76" customFormat="1" ht="21.95" customHeight="1" x14ac:dyDescent="0.15"/>
    <row r="13720" s="76" customFormat="1" ht="21.95" customHeight="1" x14ac:dyDescent="0.15"/>
    <row r="13721" s="76" customFormat="1" ht="21.95" customHeight="1" x14ac:dyDescent="0.15"/>
    <row r="13722" s="76" customFormat="1" ht="21.95" customHeight="1" x14ac:dyDescent="0.15"/>
    <row r="13723" s="76" customFormat="1" ht="21.95" customHeight="1" x14ac:dyDescent="0.15"/>
    <row r="13724" s="76" customFormat="1" ht="21.95" customHeight="1" x14ac:dyDescent="0.15"/>
    <row r="13725" s="76" customFormat="1" ht="21.95" customHeight="1" x14ac:dyDescent="0.15"/>
    <row r="13726" s="76" customFormat="1" ht="21.95" customHeight="1" x14ac:dyDescent="0.15"/>
    <row r="13727" s="76" customFormat="1" ht="21.95" customHeight="1" x14ac:dyDescent="0.15"/>
    <row r="13728" s="76" customFormat="1" ht="21.95" customHeight="1" x14ac:dyDescent="0.15"/>
    <row r="13729" s="76" customFormat="1" ht="21.95" customHeight="1" x14ac:dyDescent="0.15"/>
    <row r="13730" s="76" customFormat="1" ht="21.95" customHeight="1" x14ac:dyDescent="0.15"/>
    <row r="13731" s="76" customFormat="1" ht="21.95" customHeight="1" x14ac:dyDescent="0.15"/>
    <row r="13732" s="76" customFormat="1" ht="21.95" customHeight="1" x14ac:dyDescent="0.15"/>
    <row r="13733" s="76" customFormat="1" ht="21.95" customHeight="1" x14ac:dyDescent="0.15"/>
    <row r="13734" s="76" customFormat="1" ht="21.95" customHeight="1" x14ac:dyDescent="0.15"/>
    <row r="13735" s="76" customFormat="1" ht="21.95" customHeight="1" x14ac:dyDescent="0.15"/>
    <row r="13736" s="76" customFormat="1" ht="21.95" customHeight="1" x14ac:dyDescent="0.15"/>
    <row r="13737" s="76" customFormat="1" ht="21.95" customHeight="1" x14ac:dyDescent="0.15"/>
    <row r="13738" s="76" customFormat="1" ht="21.95" customHeight="1" x14ac:dyDescent="0.15"/>
    <row r="13739" s="76" customFormat="1" ht="21.95" customHeight="1" x14ac:dyDescent="0.15"/>
    <row r="13740" s="76" customFormat="1" ht="21.95" customHeight="1" x14ac:dyDescent="0.15"/>
    <row r="13741" s="76" customFormat="1" ht="21.95" customHeight="1" x14ac:dyDescent="0.15"/>
    <row r="13742" s="76" customFormat="1" ht="21.95" customHeight="1" x14ac:dyDescent="0.15"/>
    <row r="13743" s="76" customFormat="1" ht="21.95" customHeight="1" x14ac:dyDescent="0.15"/>
    <row r="13744" s="76" customFormat="1" ht="21.95" customHeight="1" x14ac:dyDescent="0.15"/>
    <row r="13745" s="76" customFormat="1" ht="21.95" customHeight="1" x14ac:dyDescent="0.15"/>
    <row r="13746" s="76" customFormat="1" ht="21.95" customHeight="1" x14ac:dyDescent="0.15"/>
    <row r="13747" s="76" customFormat="1" ht="21.95" customHeight="1" x14ac:dyDescent="0.15"/>
    <row r="13748" s="76" customFormat="1" ht="21.95" customHeight="1" x14ac:dyDescent="0.15"/>
    <row r="13749" s="76" customFormat="1" ht="21.95" customHeight="1" x14ac:dyDescent="0.15"/>
    <row r="13750" s="76" customFormat="1" ht="21.95" customHeight="1" x14ac:dyDescent="0.15"/>
    <row r="13751" s="76" customFormat="1" ht="21.95" customHeight="1" x14ac:dyDescent="0.15"/>
    <row r="13752" s="76" customFormat="1" ht="21.95" customHeight="1" x14ac:dyDescent="0.15"/>
    <row r="13753" s="76" customFormat="1" ht="35.1" customHeight="1" x14ac:dyDescent="0.15"/>
    <row r="13754" s="76" customFormat="1" ht="21.95" customHeight="1" x14ac:dyDescent="0.15"/>
    <row r="13755" s="76" customFormat="1" ht="21.95" customHeight="1" x14ac:dyDescent="0.15"/>
    <row r="13756" s="76" customFormat="1" ht="21.95" customHeight="1" x14ac:dyDescent="0.15"/>
    <row r="13757" s="76" customFormat="1" ht="21.95" customHeight="1" x14ac:dyDescent="0.15"/>
    <row r="13758" s="76" customFormat="1" ht="21.95" customHeight="1" x14ac:dyDescent="0.15"/>
    <row r="13759" s="76" customFormat="1" ht="21.95" customHeight="1" x14ac:dyDescent="0.15"/>
    <row r="13760" s="76" customFormat="1" ht="21.95" customHeight="1" x14ac:dyDescent="0.15"/>
    <row r="13761" s="76" customFormat="1" ht="21.95" customHeight="1" x14ac:dyDescent="0.15"/>
    <row r="13762" s="76" customFormat="1" ht="21.95" customHeight="1" x14ac:dyDescent="0.15"/>
    <row r="13763" s="76" customFormat="1" ht="21.95" customHeight="1" x14ac:dyDescent="0.15"/>
    <row r="13764" s="76" customFormat="1" ht="21.95" customHeight="1" x14ac:dyDescent="0.15"/>
    <row r="13765" s="76" customFormat="1" ht="21.95" customHeight="1" x14ac:dyDescent="0.15"/>
    <row r="13766" s="76" customFormat="1" ht="21.95" customHeight="1" x14ac:dyDescent="0.15"/>
    <row r="13767" s="76" customFormat="1" ht="21.95" customHeight="1" x14ac:dyDescent="0.15"/>
    <row r="13768" s="76" customFormat="1" ht="21.95" customHeight="1" x14ac:dyDescent="0.15"/>
    <row r="13769" s="76" customFormat="1" ht="21.95" customHeight="1" x14ac:dyDescent="0.15"/>
    <row r="13770" s="76" customFormat="1" ht="21.95" customHeight="1" x14ac:dyDescent="0.15"/>
    <row r="13771" s="76" customFormat="1" ht="21.95" customHeight="1" x14ac:dyDescent="0.15"/>
    <row r="13772" s="76" customFormat="1" ht="21.95" customHeight="1" x14ac:dyDescent="0.15"/>
    <row r="13773" s="76" customFormat="1" ht="21.95" customHeight="1" x14ac:dyDescent="0.15"/>
    <row r="13774" s="76" customFormat="1" ht="21.95" customHeight="1" x14ac:dyDescent="0.15"/>
    <row r="13775" s="76" customFormat="1" ht="21.95" customHeight="1" x14ac:dyDescent="0.15"/>
    <row r="13776" s="76" customFormat="1" ht="21.95" customHeight="1" x14ac:dyDescent="0.15"/>
    <row r="13777" spans="3:3" customFormat="1" ht="21.95" customHeight="1" x14ac:dyDescent="0.15"/>
    <row r="13778" spans="3:3" customFormat="1" ht="21.95" customHeight="1" x14ac:dyDescent="0.15"/>
    <row r="13779" spans="3:3" customFormat="1" ht="21.95" customHeight="1" x14ac:dyDescent="0.15">
      <c r="C13779" s="94"/>
    </row>
    <row r="13780" spans="3:3" customFormat="1" ht="21.95" customHeight="1" x14ac:dyDescent="0.15">
      <c r="C13780" s="94"/>
    </row>
    <row r="13781" spans="3:3" customFormat="1" ht="21.95" customHeight="1" x14ac:dyDescent="0.15"/>
    <row r="13782" spans="3:3" customFormat="1" ht="21.95" customHeight="1" x14ac:dyDescent="0.15"/>
    <row r="13783" spans="3:3" customFormat="1" ht="21.95" customHeight="1" x14ac:dyDescent="0.15"/>
    <row r="13784" spans="3:3" customFormat="1" ht="21.95" customHeight="1" x14ac:dyDescent="0.15"/>
    <row r="13785" spans="3:3" customFormat="1" ht="21.95" customHeight="1" x14ac:dyDescent="0.15"/>
    <row r="13786" spans="3:3" customFormat="1" ht="21.95" customHeight="1" x14ac:dyDescent="0.15"/>
    <row r="13787" spans="3:3" customFormat="1" ht="21.95" customHeight="1" x14ac:dyDescent="0.15"/>
    <row r="13788" spans="3:3" s="76" customFormat="1" ht="21.95" customHeight="1" x14ac:dyDescent="0.15"/>
    <row r="13789" spans="3:3" s="76" customFormat="1" ht="21.95" customHeight="1" x14ac:dyDescent="0.15"/>
    <row r="13790" spans="3:3" s="76" customFormat="1" ht="21.95" customHeight="1" x14ac:dyDescent="0.15"/>
    <row r="13791" spans="3:3" s="76" customFormat="1" ht="21.95" customHeight="1" x14ac:dyDescent="0.15"/>
    <row r="13792" spans="3:3" customFormat="1" ht="21.95" customHeight="1" x14ac:dyDescent="0.15"/>
    <row r="13793" customFormat="1" ht="21.95" customHeight="1" x14ac:dyDescent="0.15"/>
    <row r="13794" customFormat="1" ht="21.95" customHeight="1" x14ac:dyDescent="0.15"/>
    <row r="13795" customFormat="1" ht="21.95" customHeight="1" x14ac:dyDescent="0.15"/>
    <row r="13796" customFormat="1" ht="21.95" customHeight="1" x14ac:dyDescent="0.15"/>
    <row r="13797" customFormat="1" ht="21.95" customHeight="1" x14ac:dyDescent="0.15"/>
    <row r="13798" customFormat="1" ht="21.95" customHeight="1" x14ac:dyDescent="0.15"/>
    <row r="13799" customFormat="1" ht="21.95" customHeight="1" x14ac:dyDescent="0.15"/>
    <row r="13800" customFormat="1" ht="21.95" customHeight="1" x14ac:dyDescent="0.15"/>
    <row r="13801" customFormat="1" ht="21.95" customHeight="1" x14ac:dyDescent="0.15"/>
    <row r="13802" customFormat="1" ht="21.95" customHeight="1" x14ac:dyDescent="0.15"/>
    <row r="13803" customFormat="1" ht="32.1" customHeight="1" x14ac:dyDescent="0.15"/>
    <row r="13804" customFormat="1" ht="32.1" customHeight="1" x14ac:dyDescent="0.15"/>
    <row r="13805" customFormat="1" ht="32.1" customHeight="1" x14ac:dyDescent="0.15"/>
    <row r="13806" customFormat="1" ht="32.1" customHeight="1" x14ac:dyDescent="0.15"/>
    <row r="13807" customFormat="1" ht="32.1" customHeight="1" x14ac:dyDescent="0.15"/>
    <row r="13808" customFormat="1" ht="32.1" customHeight="1" x14ac:dyDescent="0.15"/>
    <row r="13809" s="76" customFormat="1" ht="32.1" customHeight="1" x14ac:dyDescent="0.15"/>
    <row r="13810" s="76" customFormat="1" ht="32.1" customHeight="1" x14ac:dyDescent="0.15"/>
    <row r="13811" s="76" customFormat="1" ht="32.1" customHeight="1" x14ac:dyDescent="0.15"/>
    <row r="13812" s="76" customFormat="1" ht="32.1" customHeight="1" x14ac:dyDescent="0.15"/>
    <row r="13813" s="76" customFormat="1" ht="21.95" customHeight="1" x14ac:dyDescent="0.15"/>
    <row r="13814" s="76" customFormat="1" ht="54" customHeight="1" x14ac:dyDescent="0.15"/>
    <row r="13815" s="76" customFormat="1" ht="21.95" customHeight="1" x14ac:dyDescent="0.15"/>
    <row r="13816" s="76" customFormat="1" ht="21.95" customHeight="1" x14ac:dyDescent="0.15"/>
    <row r="13817" s="76" customFormat="1" ht="21.95" customHeight="1" x14ac:dyDescent="0.15"/>
    <row r="13818" s="76" customFormat="1" ht="21.95" customHeight="1" x14ac:dyDescent="0.15"/>
    <row r="13819" s="76" customFormat="1" ht="21.95" customHeight="1" x14ac:dyDescent="0.15"/>
    <row r="13820" s="76" customFormat="1" ht="21.95" customHeight="1" x14ac:dyDescent="0.15"/>
    <row r="13821" s="76" customFormat="1" ht="21.95" customHeight="1" x14ac:dyDescent="0.15"/>
    <row r="13822" s="76" customFormat="1" ht="21.95" customHeight="1" x14ac:dyDescent="0.15"/>
    <row r="13823" s="76" customFormat="1" ht="21.95" customHeight="1" x14ac:dyDescent="0.15"/>
    <row r="13824" s="76" customFormat="1" ht="21.95" customHeight="1" x14ac:dyDescent="0.15"/>
    <row r="13825" s="76" customFormat="1" ht="21.95" customHeight="1" x14ac:dyDescent="0.15"/>
    <row r="13826" s="76" customFormat="1" ht="21.95" customHeight="1" x14ac:dyDescent="0.15"/>
    <row r="13827" s="76" customFormat="1" ht="21.95" customHeight="1" x14ac:dyDescent="0.15"/>
    <row r="13828" s="76" customFormat="1" ht="21.95" customHeight="1" x14ac:dyDescent="0.15"/>
    <row r="13829" s="76" customFormat="1" ht="21.95" customHeight="1" x14ac:dyDescent="0.15"/>
    <row r="13830" s="76" customFormat="1" ht="21.95" customHeight="1" x14ac:dyDescent="0.15"/>
    <row r="13831" s="76" customFormat="1" ht="21.95" customHeight="1" x14ac:dyDescent="0.15"/>
    <row r="13832" s="76" customFormat="1" ht="21.95" customHeight="1" x14ac:dyDescent="0.15"/>
    <row r="13833" s="76" customFormat="1" ht="21.95" customHeight="1" x14ac:dyDescent="0.15"/>
    <row r="13834" s="76" customFormat="1" ht="21.95" customHeight="1" x14ac:dyDescent="0.15"/>
    <row r="13835" s="76" customFormat="1" ht="21.95" customHeight="1" x14ac:dyDescent="0.15"/>
    <row r="13836" s="76" customFormat="1" ht="21.95" customHeight="1" x14ac:dyDescent="0.15"/>
    <row r="13837" s="76" customFormat="1" ht="21.95" customHeight="1" x14ac:dyDescent="0.15"/>
    <row r="13838" s="76" customFormat="1" ht="21.95" customHeight="1" x14ac:dyDescent="0.15"/>
    <row r="13839" s="76" customFormat="1" ht="21.95" customHeight="1" x14ac:dyDescent="0.15"/>
    <row r="13840" s="76" customFormat="1" ht="21.95" customHeight="1" x14ac:dyDescent="0.15"/>
    <row r="13841" s="76" customFormat="1" ht="21.95" customHeight="1" x14ac:dyDescent="0.15"/>
    <row r="13842" s="76" customFormat="1" ht="21.95" customHeight="1" x14ac:dyDescent="0.15"/>
    <row r="13843" s="76" customFormat="1" ht="21.95" customHeight="1" x14ac:dyDescent="0.15"/>
    <row r="13844" s="76" customFormat="1" ht="21.95" customHeight="1" x14ac:dyDescent="0.15"/>
    <row r="13845" s="76" customFormat="1" ht="21.95" customHeight="1" x14ac:dyDescent="0.15"/>
    <row r="13846" s="76" customFormat="1" ht="21.95" customHeight="1" x14ac:dyDescent="0.15"/>
    <row r="13847" s="76" customFormat="1" ht="21.95" customHeight="1" x14ac:dyDescent="0.15"/>
    <row r="13848" s="76" customFormat="1" ht="21.95" customHeight="1" x14ac:dyDescent="0.15"/>
    <row r="13849" s="76" customFormat="1" ht="21.95" customHeight="1" x14ac:dyDescent="0.15"/>
    <row r="13850" s="76" customFormat="1" ht="21.95" customHeight="1" x14ac:dyDescent="0.15"/>
    <row r="13851" s="76" customFormat="1" ht="21.95" customHeight="1" x14ac:dyDescent="0.15"/>
    <row r="13852" s="76" customFormat="1" ht="21.95" customHeight="1" x14ac:dyDescent="0.15"/>
    <row r="13853" s="76" customFormat="1" ht="21.95" customHeight="1" x14ac:dyDescent="0.15"/>
    <row r="13854" s="76" customFormat="1" ht="21.95" customHeight="1" x14ac:dyDescent="0.15"/>
    <row r="13855" s="76" customFormat="1" ht="21.95" customHeight="1" x14ac:dyDescent="0.15"/>
    <row r="13856" s="76" customFormat="1" ht="21.95" customHeight="1" x14ac:dyDescent="0.15"/>
    <row r="13857" s="76" customFormat="1" ht="21.95" customHeight="1" x14ac:dyDescent="0.15"/>
    <row r="13858" s="76" customFormat="1" ht="21.95" customHeight="1" x14ac:dyDescent="0.15"/>
    <row r="13859" s="76" customFormat="1" ht="21.95" customHeight="1" x14ac:dyDescent="0.15"/>
    <row r="13860" s="76" customFormat="1" ht="21.95" customHeight="1" x14ac:dyDescent="0.15"/>
    <row r="13861" s="76" customFormat="1" ht="21.95" customHeight="1" x14ac:dyDescent="0.15"/>
    <row r="13862" s="76" customFormat="1" ht="21.95" customHeight="1" x14ac:dyDescent="0.15"/>
    <row r="13863" s="76" customFormat="1" ht="21.95" customHeight="1" x14ac:dyDescent="0.15"/>
    <row r="13864" s="76" customFormat="1" ht="21.95" customHeight="1" x14ac:dyDescent="0.15"/>
    <row r="13865" s="76" customFormat="1" ht="35.1" customHeight="1" x14ac:dyDescent="0.15"/>
    <row r="13866" s="76" customFormat="1" ht="21.95" customHeight="1" x14ac:dyDescent="0.15"/>
    <row r="13867" s="76" customFormat="1" ht="21.95" customHeight="1" x14ac:dyDescent="0.15"/>
    <row r="13868" s="76" customFormat="1" ht="21.95" customHeight="1" x14ac:dyDescent="0.15"/>
    <row r="13869" s="76" customFormat="1" ht="21.95" customHeight="1" x14ac:dyDescent="0.15"/>
    <row r="13870" s="76" customFormat="1" ht="21.95" customHeight="1" x14ac:dyDescent="0.15"/>
    <row r="13871" s="76" customFormat="1" ht="21.95" customHeight="1" x14ac:dyDescent="0.15"/>
    <row r="13872" s="76" customFormat="1" ht="21.95" customHeight="1" x14ac:dyDescent="0.15"/>
    <row r="13873" s="76" customFormat="1" ht="21.95" customHeight="1" x14ac:dyDescent="0.15"/>
    <row r="13874" s="76" customFormat="1" ht="21.95" customHeight="1" x14ac:dyDescent="0.15"/>
    <row r="13875" s="76" customFormat="1" ht="21.95" customHeight="1" x14ac:dyDescent="0.15"/>
    <row r="13876" s="76" customFormat="1" ht="21.95" customHeight="1" x14ac:dyDescent="0.15"/>
    <row r="13877" s="76" customFormat="1" ht="21.95" customHeight="1" x14ac:dyDescent="0.15"/>
    <row r="13878" s="76" customFormat="1" ht="21.95" customHeight="1" x14ac:dyDescent="0.15"/>
    <row r="13879" s="76" customFormat="1" ht="21.95" customHeight="1" x14ac:dyDescent="0.15"/>
    <row r="13880" s="76" customFormat="1" ht="21.95" customHeight="1" x14ac:dyDescent="0.15"/>
    <row r="13881" s="76" customFormat="1" ht="21.95" customHeight="1" x14ac:dyDescent="0.15"/>
    <row r="13882" s="76" customFormat="1" ht="21.95" customHeight="1" x14ac:dyDescent="0.15"/>
    <row r="13883" s="76" customFormat="1" ht="21.95" customHeight="1" x14ac:dyDescent="0.15"/>
    <row r="13884" s="76" customFormat="1" ht="21.95" customHeight="1" x14ac:dyDescent="0.15"/>
    <row r="13885" s="76" customFormat="1" ht="21.95" customHeight="1" x14ac:dyDescent="0.15"/>
    <row r="13886" s="76" customFormat="1" ht="21.95" customHeight="1" x14ac:dyDescent="0.15"/>
    <row r="13887" s="76" customFormat="1" ht="21.95" customHeight="1" x14ac:dyDescent="0.15"/>
    <row r="13888" s="76" customFormat="1" ht="21.95" customHeight="1" x14ac:dyDescent="0.15"/>
    <row r="13889" spans="3:3" customFormat="1" ht="21.95" customHeight="1" x14ac:dyDescent="0.15"/>
    <row r="13890" spans="3:3" customFormat="1" ht="21.95" customHeight="1" x14ac:dyDescent="0.15"/>
    <row r="13891" spans="3:3" customFormat="1" ht="21.95" customHeight="1" x14ac:dyDescent="0.15">
      <c r="C13891" s="94"/>
    </row>
    <row r="13892" spans="3:3" customFormat="1" ht="21.95" customHeight="1" x14ac:dyDescent="0.15">
      <c r="C13892" s="94"/>
    </row>
    <row r="13893" spans="3:3" customFormat="1" ht="21.95" customHeight="1" x14ac:dyDescent="0.15"/>
    <row r="13894" spans="3:3" customFormat="1" ht="21.95" customHeight="1" x14ac:dyDescent="0.15"/>
    <row r="13895" spans="3:3" customFormat="1" ht="21.95" customHeight="1" x14ac:dyDescent="0.15"/>
    <row r="13896" spans="3:3" customFormat="1" ht="21.95" customHeight="1" x14ac:dyDescent="0.15"/>
    <row r="13897" spans="3:3" customFormat="1" ht="21.95" customHeight="1" x14ac:dyDescent="0.15"/>
    <row r="13898" spans="3:3" customFormat="1" ht="21.95" customHeight="1" x14ac:dyDescent="0.15"/>
    <row r="13899" spans="3:3" customFormat="1" ht="21.95" customHeight="1" x14ac:dyDescent="0.15"/>
    <row r="13900" spans="3:3" s="76" customFormat="1" ht="21.95" customHeight="1" x14ac:dyDescent="0.15"/>
    <row r="13901" spans="3:3" s="76" customFormat="1" ht="21.95" customHeight="1" x14ac:dyDescent="0.15"/>
    <row r="13902" spans="3:3" s="76" customFormat="1" ht="21.95" customHeight="1" x14ac:dyDescent="0.15"/>
    <row r="13903" spans="3:3" s="76" customFormat="1" ht="21.95" customHeight="1" x14ac:dyDescent="0.15"/>
    <row r="13904" spans="3:3" customFormat="1" ht="21.95" customHeight="1" x14ac:dyDescent="0.15"/>
    <row r="13905" customFormat="1" ht="21.95" customHeight="1" x14ac:dyDescent="0.15"/>
    <row r="13906" customFormat="1" ht="21.95" customHeight="1" x14ac:dyDescent="0.15"/>
    <row r="13907" customFormat="1" ht="21.95" customHeight="1" x14ac:dyDescent="0.15"/>
    <row r="13908" customFormat="1" ht="21.95" customHeight="1" x14ac:dyDescent="0.15"/>
    <row r="13909" customFormat="1" ht="21.95" customHeight="1" x14ac:dyDescent="0.15"/>
    <row r="13910" customFormat="1" ht="21.95" customHeight="1" x14ac:dyDescent="0.15"/>
    <row r="13911" customFormat="1" ht="21.95" customHeight="1" x14ac:dyDescent="0.15"/>
    <row r="13912" customFormat="1" ht="21.95" customHeight="1" x14ac:dyDescent="0.15"/>
    <row r="13913" customFormat="1" ht="21.95" customHeight="1" x14ac:dyDescent="0.15"/>
    <row r="13914" customFormat="1" ht="21.95" customHeight="1" x14ac:dyDescent="0.15"/>
    <row r="13915" customFormat="1" ht="32.1" customHeight="1" x14ac:dyDescent="0.15"/>
    <row r="13916" customFormat="1" ht="32.1" customHeight="1" x14ac:dyDescent="0.15"/>
    <row r="13917" customFormat="1" ht="32.1" customHeight="1" x14ac:dyDescent="0.15"/>
    <row r="13918" customFormat="1" ht="32.1" customHeight="1" x14ac:dyDescent="0.15"/>
    <row r="13919" customFormat="1" ht="32.1" customHeight="1" x14ac:dyDescent="0.15"/>
    <row r="13920" customFormat="1" ht="32.1" customHeight="1" x14ac:dyDescent="0.15"/>
    <row r="13921" s="76" customFormat="1" ht="32.1" customHeight="1" x14ac:dyDescent="0.15"/>
    <row r="13922" s="76" customFormat="1" ht="32.1" customHeight="1" x14ac:dyDescent="0.15"/>
    <row r="13923" s="76" customFormat="1" ht="32.1" customHeight="1" x14ac:dyDescent="0.15"/>
    <row r="13924" s="76" customFormat="1" ht="32.1" customHeight="1" x14ac:dyDescent="0.15"/>
    <row r="13925" s="76" customFormat="1" ht="21.95" customHeight="1" x14ac:dyDescent="0.15"/>
    <row r="13926" s="76" customFormat="1" ht="54" customHeight="1" x14ac:dyDescent="0.15"/>
    <row r="13927" s="76" customFormat="1" ht="21.95" customHeight="1" x14ac:dyDescent="0.15"/>
    <row r="13928" s="76" customFormat="1" ht="21.95" customHeight="1" x14ac:dyDescent="0.15"/>
    <row r="13929" s="76" customFormat="1" ht="21.95" customHeight="1" x14ac:dyDescent="0.15"/>
    <row r="13930" s="76" customFormat="1" ht="21.95" customHeight="1" x14ac:dyDescent="0.15"/>
    <row r="13931" s="76" customFormat="1" ht="21.95" customHeight="1" x14ac:dyDescent="0.15"/>
    <row r="13932" s="76" customFormat="1" ht="21.95" customHeight="1" x14ac:dyDescent="0.15"/>
    <row r="13933" s="76" customFormat="1" ht="21.95" customHeight="1" x14ac:dyDescent="0.15"/>
    <row r="13934" s="76" customFormat="1" ht="21.95" customHeight="1" x14ac:dyDescent="0.15"/>
    <row r="13935" s="76" customFormat="1" ht="21.95" customHeight="1" x14ac:dyDescent="0.15"/>
    <row r="13936" s="76" customFormat="1" ht="21.95" customHeight="1" x14ac:dyDescent="0.15"/>
    <row r="13937" s="76" customFormat="1" ht="21.95" customHeight="1" x14ac:dyDescent="0.15"/>
    <row r="13938" s="76" customFormat="1" ht="21.95" customHeight="1" x14ac:dyDescent="0.15"/>
    <row r="13939" s="76" customFormat="1" ht="21.95" customHeight="1" x14ac:dyDescent="0.15"/>
    <row r="13940" s="76" customFormat="1" ht="21.95" customHeight="1" x14ac:dyDescent="0.15"/>
    <row r="13941" s="76" customFormat="1" ht="21.95" customHeight="1" x14ac:dyDescent="0.15"/>
    <row r="13942" s="76" customFormat="1" ht="21.95" customHeight="1" x14ac:dyDescent="0.15"/>
    <row r="13943" s="76" customFormat="1" ht="21.95" customHeight="1" x14ac:dyDescent="0.15"/>
    <row r="13944" s="76" customFormat="1" ht="21.95" customHeight="1" x14ac:dyDescent="0.15"/>
    <row r="13945" s="76" customFormat="1" ht="21.95" customHeight="1" x14ac:dyDescent="0.15"/>
    <row r="13946" s="76" customFormat="1" ht="21.95" customHeight="1" x14ac:dyDescent="0.15"/>
    <row r="13947" s="76" customFormat="1" ht="21.95" customHeight="1" x14ac:dyDescent="0.15"/>
    <row r="13948" s="76" customFormat="1" ht="21.95" customHeight="1" x14ac:dyDescent="0.15"/>
    <row r="13949" s="76" customFormat="1" ht="21.95" customHeight="1" x14ac:dyDescent="0.15"/>
    <row r="13950" s="76" customFormat="1" ht="21.95" customHeight="1" x14ac:dyDescent="0.15"/>
    <row r="13951" s="76" customFormat="1" ht="21.95" customHeight="1" x14ac:dyDescent="0.15"/>
    <row r="13952" s="76" customFormat="1" ht="21.95" customHeight="1" x14ac:dyDescent="0.15"/>
    <row r="13953" s="76" customFormat="1" ht="21.95" customHeight="1" x14ac:dyDescent="0.15"/>
    <row r="13954" s="76" customFormat="1" ht="21.95" customHeight="1" x14ac:dyDescent="0.15"/>
    <row r="13955" s="76" customFormat="1" ht="21.95" customHeight="1" x14ac:dyDescent="0.15"/>
    <row r="13956" s="76" customFormat="1" ht="21.95" customHeight="1" x14ac:dyDescent="0.15"/>
    <row r="13957" s="76" customFormat="1" ht="21.95" customHeight="1" x14ac:dyDescent="0.15"/>
    <row r="13958" s="76" customFormat="1" ht="21.95" customHeight="1" x14ac:dyDescent="0.15"/>
    <row r="13959" s="76" customFormat="1" ht="21.95" customHeight="1" x14ac:dyDescent="0.15"/>
    <row r="13960" s="76" customFormat="1" ht="21.95" customHeight="1" x14ac:dyDescent="0.15"/>
    <row r="13961" s="76" customFormat="1" ht="21.95" customHeight="1" x14ac:dyDescent="0.15"/>
    <row r="13962" s="76" customFormat="1" ht="21.95" customHeight="1" x14ac:dyDescent="0.15"/>
    <row r="13963" s="76" customFormat="1" ht="21.95" customHeight="1" x14ac:dyDescent="0.15"/>
    <row r="13964" s="76" customFormat="1" ht="21.95" customHeight="1" x14ac:dyDescent="0.15"/>
    <row r="13965" s="76" customFormat="1" ht="21.95" customHeight="1" x14ac:dyDescent="0.15"/>
    <row r="13966" s="76" customFormat="1" ht="21.95" customHeight="1" x14ac:dyDescent="0.15"/>
    <row r="13967" s="76" customFormat="1" ht="21.95" customHeight="1" x14ac:dyDescent="0.15"/>
    <row r="13968" s="76" customFormat="1" ht="21.95" customHeight="1" x14ac:dyDescent="0.15"/>
    <row r="13969" s="76" customFormat="1" ht="21.95" customHeight="1" x14ac:dyDescent="0.15"/>
    <row r="13970" s="76" customFormat="1" ht="21.95" customHeight="1" x14ac:dyDescent="0.15"/>
    <row r="13971" s="76" customFormat="1" ht="21.95" customHeight="1" x14ac:dyDescent="0.15"/>
    <row r="13972" s="76" customFormat="1" ht="21.95" customHeight="1" x14ac:dyDescent="0.15"/>
    <row r="13973" s="76" customFormat="1" ht="21.95" customHeight="1" x14ac:dyDescent="0.15"/>
    <row r="13974" s="76" customFormat="1" ht="21.95" customHeight="1" x14ac:dyDescent="0.15"/>
    <row r="13975" s="76" customFormat="1" ht="21.95" customHeight="1" x14ac:dyDescent="0.15"/>
    <row r="13976" s="76" customFormat="1" ht="21.95" customHeight="1" x14ac:dyDescent="0.15"/>
    <row r="13977" s="76" customFormat="1" ht="35.1" customHeight="1" x14ac:dyDescent="0.15"/>
    <row r="13978" s="76" customFormat="1" ht="21.95" customHeight="1" x14ac:dyDescent="0.15"/>
    <row r="13979" s="76" customFormat="1" ht="21.95" customHeight="1" x14ac:dyDescent="0.15"/>
    <row r="13980" s="76" customFormat="1" ht="21.95" customHeight="1" x14ac:dyDescent="0.15"/>
    <row r="13981" s="76" customFormat="1" ht="21.95" customHeight="1" x14ac:dyDescent="0.15"/>
    <row r="13982" s="76" customFormat="1" ht="21.95" customHeight="1" x14ac:dyDescent="0.15"/>
    <row r="13983" s="76" customFormat="1" ht="21.95" customHeight="1" x14ac:dyDescent="0.15"/>
    <row r="13984" s="76" customFormat="1" ht="21.95" customHeight="1" x14ac:dyDescent="0.15"/>
    <row r="13985" s="76" customFormat="1" ht="21.95" customHeight="1" x14ac:dyDescent="0.15"/>
    <row r="13986" s="76" customFormat="1" ht="21.95" customHeight="1" x14ac:dyDescent="0.15"/>
    <row r="13987" s="76" customFormat="1" ht="21.95" customHeight="1" x14ac:dyDescent="0.15"/>
    <row r="13988" s="76" customFormat="1" ht="21.95" customHeight="1" x14ac:dyDescent="0.15"/>
    <row r="13989" s="76" customFormat="1" ht="21.95" customHeight="1" x14ac:dyDescent="0.15"/>
    <row r="13990" s="76" customFormat="1" ht="21.95" customHeight="1" x14ac:dyDescent="0.15"/>
    <row r="13991" s="76" customFormat="1" ht="21.95" customHeight="1" x14ac:dyDescent="0.15"/>
    <row r="13992" s="76" customFormat="1" ht="21.95" customHeight="1" x14ac:dyDescent="0.15"/>
    <row r="13993" s="76" customFormat="1" ht="21.95" customHeight="1" x14ac:dyDescent="0.15"/>
    <row r="13994" s="76" customFormat="1" ht="21.95" customHeight="1" x14ac:dyDescent="0.15"/>
    <row r="13995" s="76" customFormat="1" ht="21.95" customHeight="1" x14ac:dyDescent="0.15"/>
    <row r="13996" s="76" customFormat="1" ht="21.95" customHeight="1" x14ac:dyDescent="0.15"/>
    <row r="13997" s="76" customFormat="1" ht="21.95" customHeight="1" x14ac:dyDescent="0.15"/>
    <row r="13998" s="76" customFormat="1" ht="21.95" customHeight="1" x14ac:dyDescent="0.15"/>
    <row r="13999" s="76" customFormat="1" ht="21.95" customHeight="1" x14ac:dyDescent="0.15"/>
    <row r="14000" s="76" customFormat="1" ht="21.95" customHeight="1" x14ac:dyDescent="0.15"/>
    <row r="14001" spans="3:3" customFormat="1" ht="21.95" customHeight="1" x14ac:dyDescent="0.15"/>
    <row r="14002" spans="3:3" customFormat="1" ht="21.95" customHeight="1" x14ac:dyDescent="0.15"/>
    <row r="14003" spans="3:3" customFormat="1" ht="21.95" customHeight="1" x14ac:dyDescent="0.15">
      <c r="C14003" s="94"/>
    </row>
    <row r="14004" spans="3:3" customFormat="1" ht="21.95" customHeight="1" x14ac:dyDescent="0.15">
      <c r="C14004" s="94"/>
    </row>
    <row r="14005" spans="3:3" customFormat="1" ht="21.95" customHeight="1" x14ac:dyDescent="0.15"/>
    <row r="14006" spans="3:3" customFormat="1" ht="21.95" customHeight="1" x14ac:dyDescent="0.15"/>
    <row r="14007" spans="3:3" customFormat="1" ht="21.95" customHeight="1" x14ac:dyDescent="0.15"/>
    <row r="14008" spans="3:3" customFormat="1" ht="21.95" customHeight="1" x14ac:dyDescent="0.15"/>
    <row r="14009" spans="3:3" customFormat="1" ht="21.95" customHeight="1" x14ac:dyDescent="0.15"/>
    <row r="14010" spans="3:3" customFormat="1" ht="21.95" customHeight="1" x14ac:dyDescent="0.15"/>
    <row r="14011" spans="3:3" customFormat="1" ht="21.95" customHeight="1" x14ac:dyDescent="0.15"/>
    <row r="14012" spans="3:3" s="76" customFormat="1" ht="21.95" customHeight="1" x14ac:dyDescent="0.15"/>
    <row r="14013" spans="3:3" s="76" customFormat="1" ht="21.95" customHeight="1" x14ac:dyDescent="0.15"/>
    <row r="14014" spans="3:3" s="76" customFormat="1" ht="21.95" customHeight="1" x14ac:dyDescent="0.15"/>
    <row r="14015" spans="3:3" s="76" customFormat="1" ht="21.95" customHeight="1" x14ac:dyDescent="0.15"/>
    <row r="14016" spans="3:3" customFormat="1" ht="21.95" customHeight="1" x14ac:dyDescent="0.15"/>
    <row r="14017" customFormat="1" ht="21.95" customHeight="1" x14ac:dyDescent="0.15"/>
    <row r="14018" customFormat="1" ht="21.95" customHeight="1" x14ac:dyDescent="0.15"/>
    <row r="14019" customFormat="1" ht="21.95" customHeight="1" x14ac:dyDescent="0.15"/>
    <row r="14020" customFormat="1" ht="21.95" customHeight="1" x14ac:dyDescent="0.15"/>
    <row r="14021" customFormat="1" ht="21.95" customHeight="1" x14ac:dyDescent="0.15"/>
    <row r="14022" customFormat="1" ht="21.95" customHeight="1" x14ac:dyDescent="0.15"/>
    <row r="14023" customFormat="1" ht="21.95" customHeight="1" x14ac:dyDescent="0.15"/>
    <row r="14024" customFormat="1" ht="21.95" customHeight="1" x14ac:dyDescent="0.15"/>
    <row r="14025" customFormat="1" ht="21.95" customHeight="1" x14ac:dyDescent="0.15"/>
    <row r="14026" customFormat="1" ht="21.95" customHeight="1" x14ac:dyDescent="0.15"/>
    <row r="14027" customFormat="1" ht="32.1" customHeight="1" x14ac:dyDescent="0.15"/>
    <row r="14028" customFormat="1" ht="32.1" customHeight="1" x14ac:dyDescent="0.15"/>
    <row r="14029" customFormat="1" ht="32.1" customHeight="1" x14ac:dyDescent="0.15"/>
    <row r="14030" customFormat="1" ht="32.1" customHeight="1" x14ac:dyDescent="0.15"/>
    <row r="14031" customFormat="1" ht="32.1" customHeight="1" x14ac:dyDescent="0.15"/>
    <row r="14032" customFormat="1" ht="32.1" customHeight="1" x14ac:dyDescent="0.15"/>
    <row r="14033" s="76" customFormat="1" ht="32.1" customHeight="1" x14ac:dyDescent="0.15"/>
    <row r="14034" s="76" customFormat="1" ht="32.1" customHeight="1" x14ac:dyDescent="0.15"/>
    <row r="14035" s="76" customFormat="1" ht="32.1" customHeight="1" x14ac:dyDescent="0.15"/>
    <row r="14036" s="76" customFormat="1" ht="32.1" customHeight="1" x14ac:dyDescent="0.15"/>
    <row r="14037" s="76" customFormat="1" ht="21.95" customHeight="1" x14ac:dyDescent="0.15"/>
    <row r="14038" s="76" customFormat="1" ht="54" customHeight="1" x14ac:dyDescent="0.15"/>
    <row r="14039" s="76" customFormat="1" ht="21.95" customHeight="1" x14ac:dyDescent="0.15"/>
    <row r="14040" s="76" customFormat="1" ht="21.95" customHeight="1" x14ac:dyDescent="0.15"/>
    <row r="14041" s="76" customFormat="1" ht="21.95" customHeight="1" x14ac:dyDescent="0.15"/>
    <row r="14042" s="76" customFormat="1" ht="21.95" customHeight="1" x14ac:dyDescent="0.15"/>
    <row r="14043" s="76" customFormat="1" ht="21.95" customHeight="1" x14ac:dyDescent="0.15"/>
    <row r="14044" s="76" customFormat="1" ht="21.95" customHeight="1" x14ac:dyDescent="0.15"/>
    <row r="14045" s="76" customFormat="1" ht="21.95" customHeight="1" x14ac:dyDescent="0.15"/>
    <row r="14046" s="76" customFormat="1" ht="21.95" customHeight="1" x14ac:dyDescent="0.15"/>
    <row r="14047" s="76" customFormat="1" ht="21.95" customHeight="1" x14ac:dyDescent="0.15"/>
    <row r="14048" s="76" customFormat="1" ht="21.95" customHeight="1" x14ac:dyDescent="0.15"/>
    <row r="14049" s="76" customFormat="1" ht="21.95" customHeight="1" x14ac:dyDescent="0.15"/>
    <row r="14050" s="76" customFormat="1" ht="21.95" customHeight="1" x14ac:dyDescent="0.15"/>
    <row r="14051" s="76" customFormat="1" ht="21.95" customHeight="1" x14ac:dyDescent="0.15"/>
    <row r="14052" s="76" customFormat="1" ht="21.95" customHeight="1" x14ac:dyDescent="0.15"/>
    <row r="14053" s="76" customFormat="1" ht="21.95" customHeight="1" x14ac:dyDescent="0.15"/>
    <row r="14054" s="76" customFormat="1" ht="21.95" customHeight="1" x14ac:dyDescent="0.15"/>
    <row r="14055" s="76" customFormat="1" ht="21.95" customHeight="1" x14ac:dyDescent="0.15"/>
    <row r="14056" s="76" customFormat="1" ht="21.95" customHeight="1" x14ac:dyDescent="0.15"/>
    <row r="14057" s="76" customFormat="1" ht="21.95" customHeight="1" x14ac:dyDescent="0.15"/>
    <row r="14058" s="76" customFormat="1" ht="21.95" customHeight="1" x14ac:dyDescent="0.15"/>
    <row r="14059" s="76" customFormat="1" ht="21.95" customHeight="1" x14ac:dyDescent="0.15"/>
    <row r="14060" s="76" customFormat="1" ht="21.95" customHeight="1" x14ac:dyDescent="0.15"/>
    <row r="14061" s="76" customFormat="1" ht="21.95" customHeight="1" x14ac:dyDescent="0.15"/>
    <row r="14062" s="76" customFormat="1" ht="21.95" customHeight="1" x14ac:dyDescent="0.15"/>
    <row r="14063" s="76" customFormat="1" ht="21.95" customHeight="1" x14ac:dyDescent="0.15"/>
    <row r="14064" s="76" customFormat="1" ht="21.95" customHeight="1" x14ac:dyDescent="0.15"/>
    <row r="14065" s="76" customFormat="1" ht="21.95" customHeight="1" x14ac:dyDescent="0.15"/>
    <row r="14066" s="76" customFormat="1" ht="21.95" customHeight="1" x14ac:dyDescent="0.15"/>
    <row r="14067" s="76" customFormat="1" ht="21.95" customHeight="1" x14ac:dyDescent="0.15"/>
    <row r="14068" s="76" customFormat="1" ht="21.95" customHeight="1" x14ac:dyDescent="0.15"/>
    <row r="14069" s="76" customFormat="1" ht="21.95" customHeight="1" x14ac:dyDescent="0.15"/>
    <row r="14070" s="76" customFormat="1" ht="21.95" customHeight="1" x14ac:dyDescent="0.15"/>
    <row r="14071" s="76" customFormat="1" ht="21.95" customHeight="1" x14ac:dyDescent="0.15"/>
    <row r="14072" s="76" customFormat="1" ht="21.95" customHeight="1" x14ac:dyDescent="0.15"/>
    <row r="14073" s="76" customFormat="1" ht="21.95" customHeight="1" x14ac:dyDescent="0.15"/>
    <row r="14074" s="76" customFormat="1" ht="21.95" customHeight="1" x14ac:dyDescent="0.15"/>
    <row r="14075" s="76" customFormat="1" ht="21.95" customHeight="1" x14ac:dyDescent="0.15"/>
    <row r="14076" s="76" customFormat="1" ht="21.95" customHeight="1" x14ac:dyDescent="0.15"/>
    <row r="14077" s="76" customFormat="1" ht="21.95" customHeight="1" x14ac:dyDescent="0.15"/>
    <row r="14078" s="76" customFormat="1" ht="21.95" customHeight="1" x14ac:dyDescent="0.15"/>
    <row r="14079" s="76" customFormat="1" ht="21.95" customHeight="1" x14ac:dyDescent="0.15"/>
    <row r="14080" s="76" customFormat="1" ht="21.95" customHeight="1" x14ac:dyDescent="0.15"/>
    <row r="14081" s="76" customFormat="1" ht="21.95" customHeight="1" x14ac:dyDescent="0.15"/>
    <row r="14082" s="76" customFormat="1" ht="21.95" customHeight="1" x14ac:dyDescent="0.15"/>
    <row r="14083" s="76" customFormat="1" ht="21.95" customHeight="1" x14ac:dyDescent="0.15"/>
    <row r="14084" s="76" customFormat="1" ht="21.95" customHeight="1" x14ac:dyDescent="0.15"/>
    <row r="14085" s="76" customFormat="1" ht="21.95" customHeight="1" x14ac:dyDescent="0.15"/>
    <row r="14086" s="76" customFormat="1" ht="21.95" customHeight="1" x14ac:dyDescent="0.15"/>
    <row r="14087" s="76" customFormat="1" ht="21.95" customHeight="1" x14ac:dyDescent="0.15"/>
    <row r="14088" s="76" customFormat="1" ht="21.95" customHeight="1" x14ac:dyDescent="0.15"/>
    <row r="14089" s="76" customFormat="1" ht="35.1" customHeight="1" x14ac:dyDescent="0.15"/>
    <row r="14090" s="76" customFormat="1" ht="21.95" customHeight="1" x14ac:dyDescent="0.15"/>
    <row r="14091" s="76" customFormat="1" ht="21.95" customHeight="1" x14ac:dyDescent="0.15"/>
    <row r="14092" s="76" customFormat="1" ht="21.95" customHeight="1" x14ac:dyDescent="0.15"/>
    <row r="14093" s="76" customFormat="1" ht="21.95" customHeight="1" x14ac:dyDescent="0.15"/>
    <row r="14094" s="76" customFormat="1" ht="21.95" customHeight="1" x14ac:dyDescent="0.15"/>
    <row r="14095" s="76" customFormat="1" ht="21.95" customHeight="1" x14ac:dyDescent="0.15"/>
    <row r="14096" s="76" customFormat="1" ht="21.95" customHeight="1" x14ac:dyDescent="0.15"/>
    <row r="14097" s="76" customFormat="1" ht="21.95" customHeight="1" x14ac:dyDescent="0.15"/>
    <row r="14098" s="76" customFormat="1" ht="21.95" customHeight="1" x14ac:dyDescent="0.15"/>
    <row r="14099" s="76" customFormat="1" ht="21.95" customHeight="1" x14ac:dyDescent="0.15"/>
    <row r="14100" s="76" customFormat="1" ht="21.95" customHeight="1" x14ac:dyDescent="0.15"/>
    <row r="14101" s="76" customFormat="1" ht="21.95" customHeight="1" x14ac:dyDescent="0.15"/>
    <row r="14102" s="76" customFormat="1" ht="21.95" customHeight="1" x14ac:dyDescent="0.15"/>
    <row r="14103" s="76" customFormat="1" ht="21.95" customHeight="1" x14ac:dyDescent="0.15"/>
    <row r="14104" s="76" customFormat="1" ht="21.95" customHeight="1" x14ac:dyDescent="0.15"/>
    <row r="14105" s="76" customFormat="1" ht="21.95" customHeight="1" x14ac:dyDescent="0.15"/>
    <row r="14106" s="76" customFormat="1" ht="21.95" customHeight="1" x14ac:dyDescent="0.15"/>
    <row r="14107" s="76" customFormat="1" ht="21.95" customHeight="1" x14ac:dyDescent="0.15"/>
    <row r="14108" s="76" customFormat="1" ht="21.95" customHeight="1" x14ac:dyDescent="0.15"/>
    <row r="14109" s="76" customFormat="1" ht="21.95" customHeight="1" x14ac:dyDescent="0.15"/>
    <row r="14110" s="76" customFormat="1" ht="21.95" customHeight="1" x14ac:dyDescent="0.15"/>
    <row r="14111" s="76" customFormat="1" ht="21.95" customHeight="1" x14ac:dyDescent="0.15"/>
    <row r="14112" s="76" customFormat="1" ht="21.95" customHeight="1" x14ac:dyDescent="0.15"/>
    <row r="14113" spans="3:3" customFormat="1" ht="21.95" customHeight="1" x14ac:dyDescent="0.15"/>
    <row r="14114" spans="3:3" customFormat="1" ht="21.95" customHeight="1" x14ac:dyDescent="0.15"/>
    <row r="14115" spans="3:3" customFormat="1" ht="21.95" customHeight="1" x14ac:dyDescent="0.15">
      <c r="C14115" s="94"/>
    </row>
    <row r="14116" spans="3:3" customFormat="1" ht="21.95" customHeight="1" x14ac:dyDescent="0.15">
      <c r="C14116" s="94"/>
    </row>
    <row r="14117" spans="3:3" customFormat="1" ht="21.95" customHeight="1" x14ac:dyDescent="0.15"/>
    <row r="14118" spans="3:3" customFormat="1" ht="21.95" customHeight="1" x14ac:dyDescent="0.15"/>
    <row r="14119" spans="3:3" customFormat="1" ht="21.95" customHeight="1" x14ac:dyDescent="0.15"/>
    <row r="14120" spans="3:3" customFormat="1" ht="21.95" customHeight="1" x14ac:dyDescent="0.15"/>
    <row r="14121" spans="3:3" customFormat="1" ht="21.95" customHeight="1" x14ac:dyDescent="0.15"/>
    <row r="14122" spans="3:3" customFormat="1" ht="21.95" customHeight="1" x14ac:dyDescent="0.15"/>
    <row r="14123" spans="3:3" customFormat="1" ht="21.95" customHeight="1" x14ac:dyDescent="0.15"/>
    <row r="14124" spans="3:3" s="76" customFormat="1" ht="21.95" customHeight="1" x14ac:dyDescent="0.15"/>
    <row r="14125" spans="3:3" s="76" customFormat="1" ht="21.95" customHeight="1" x14ac:dyDescent="0.15"/>
    <row r="14126" spans="3:3" s="76" customFormat="1" ht="21.95" customHeight="1" x14ac:dyDescent="0.15"/>
    <row r="14127" spans="3:3" s="76" customFormat="1" ht="21.95" customHeight="1" x14ac:dyDescent="0.15"/>
    <row r="14128" spans="3:3" customFormat="1" ht="21.95" customHeight="1" x14ac:dyDescent="0.15"/>
    <row r="14129" customFormat="1" ht="21.95" customHeight="1" x14ac:dyDescent="0.15"/>
    <row r="14130" customFormat="1" ht="21.95" customHeight="1" x14ac:dyDescent="0.15"/>
    <row r="14131" customFormat="1" ht="21.95" customHeight="1" x14ac:dyDescent="0.15"/>
    <row r="14132" customFormat="1" ht="21.95" customHeight="1" x14ac:dyDescent="0.15"/>
    <row r="14133" customFormat="1" ht="21.95" customHeight="1" x14ac:dyDescent="0.15"/>
    <row r="14134" customFormat="1" ht="21.95" customHeight="1" x14ac:dyDescent="0.15"/>
    <row r="14135" customFormat="1" ht="21.95" customHeight="1" x14ac:dyDescent="0.15"/>
    <row r="14136" customFormat="1" ht="21.95" customHeight="1" x14ac:dyDescent="0.15"/>
    <row r="14137" customFormat="1" ht="21.95" customHeight="1" x14ac:dyDescent="0.15"/>
    <row r="14138" customFormat="1" ht="21.95" customHeight="1" x14ac:dyDescent="0.15"/>
    <row r="14139" customFormat="1" ht="32.1" customHeight="1" x14ac:dyDescent="0.15"/>
    <row r="14140" customFormat="1" ht="32.1" customHeight="1" x14ac:dyDescent="0.15"/>
    <row r="14141" customFormat="1" ht="32.1" customHeight="1" x14ac:dyDescent="0.15"/>
    <row r="14142" customFormat="1" ht="32.1" customHeight="1" x14ac:dyDescent="0.15"/>
    <row r="14143" customFormat="1" ht="32.1" customHeight="1" x14ac:dyDescent="0.15"/>
    <row r="14144" customFormat="1" ht="32.1" customHeight="1" x14ac:dyDescent="0.15"/>
    <row r="14145" s="76" customFormat="1" ht="32.1" customHeight="1" x14ac:dyDescent="0.15"/>
    <row r="14146" s="76" customFormat="1" ht="32.1" customHeight="1" x14ac:dyDescent="0.15"/>
    <row r="14147" s="76" customFormat="1" ht="32.1" customHeight="1" x14ac:dyDescent="0.15"/>
    <row r="14148" s="76" customFormat="1" ht="32.1" customHeight="1" x14ac:dyDescent="0.15"/>
    <row r="14149" s="76" customFormat="1" ht="21.95" customHeight="1" x14ac:dyDescent="0.15"/>
    <row r="14150" s="76" customFormat="1" ht="54" customHeight="1" x14ac:dyDescent="0.15"/>
    <row r="14151" s="76" customFormat="1" ht="21.95" customHeight="1" x14ac:dyDescent="0.15"/>
    <row r="14152" s="76" customFormat="1" ht="21.95" customHeight="1" x14ac:dyDescent="0.15"/>
    <row r="14153" s="76" customFormat="1" ht="21.95" customHeight="1" x14ac:dyDescent="0.15"/>
    <row r="14154" s="76" customFormat="1" ht="21.95" customHeight="1" x14ac:dyDescent="0.15"/>
    <row r="14155" s="76" customFormat="1" ht="21.95" customHeight="1" x14ac:dyDescent="0.15"/>
    <row r="14156" s="76" customFormat="1" ht="21.95" customHeight="1" x14ac:dyDescent="0.15"/>
    <row r="14157" s="76" customFormat="1" ht="21.95" customHeight="1" x14ac:dyDescent="0.15"/>
    <row r="14158" s="76" customFormat="1" ht="21.95" customHeight="1" x14ac:dyDescent="0.15"/>
    <row r="14159" s="76" customFormat="1" ht="21.95" customHeight="1" x14ac:dyDescent="0.15"/>
    <row r="14160" s="76" customFormat="1" ht="21.95" customHeight="1" x14ac:dyDescent="0.15"/>
    <row r="14161" s="76" customFormat="1" ht="21.95" customHeight="1" x14ac:dyDescent="0.15"/>
    <row r="14162" s="76" customFormat="1" ht="21.95" customHeight="1" x14ac:dyDescent="0.15"/>
    <row r="14163" s="76" customFormat="1" ht="21.95" customHeight="1" x14ac:dyDescent="0.15"/>
    <row r="14164" s="76" customFormat="1" ht="21.95" customHeight="1" x14ac:dyDescent="0.15"/>
    <row r="14165" s="76" customFormat="1" ht="21.95" customHeight="1" x14ac:dyDescent="0.15"/>
    <row r="14166" s="76" customFormat="1" ht="21.95" customHeight="1" x14ac:dyDescent="0.15"/>
    <row r="14167" s="76" customFormat="1" ht="21.95" customHeight="1" x14ac:dyDescent="0.15"/>
    <row r="14168" s="76" customFormat="1" ht="21.95" customHeight="1" x14ac:dyDescent="0.15"/>
    <row r="14169" s="76" customFormat="1" ht="21.95" customHeight="1" x14ac:dyDescent="0.15"/>
    <row r="14170" s="76" customFormat="1" ht="21.95" customHeight="1" x14ac:dyDescent="0.15"/>
    <row r="14171" s="76" customFormat="1" ht="21.95" customHeight="1" x14ac:dyDescent="0.15"/>
    <row r="14172" s="76" customFormat="1" ht="21.95" customHeight="1" x14ac:dyDescent="0.15"/>
    <row r="14173" s="76" customFormat="1" ht="21.95" customHeight="1" x14ac:dyDescent="0.15"/>
    <row r="14174" s="76" customFormat="1" ht="21.95" customHeight="1" x14ac:dyDescent="0.15"/>
    <row r="14175" s="76" customFormat="1" ht="21.95" customHeight="1" x14ac:dyDescent="0.15"/>
    <row r="14176" s="76" customFormat="1" ht="21.95" customHeight="1" x14ac:dyDescent="0.15"/>
    <row r="14177" s="76" customFormat="1" ht="21.95" customHeight="1" x14ac:dyDescent="0.15"/>
    <row r="14178" s="76" customFormat="1" ht="21.95" customHeight="1" x14ac:dyDescent="0.15"/>
    <row r="14179" s="76" customFormat="1" ht="21.95" customHeight="1" x14ac:dyDescent="0.15"/>
    <row r="14180" s="76" customFormat="1" ht="21.95" customHeight="1" x14ac:dyDescent="0.15"/>
    <row r="14181" s="76" customFormat="1" ht="21.95" customHeight="1" x14ac:dyDescent="0.15"/>
    <row r="14182" s="76" customFormat="1" ht="21.95" customHeight="1" x14ac:dyDescent="0.15"/>
    <row r="14183" s="76" customFormat="1" ht="21.95" customHeight="1" x14ac:dyDescent="0.15"/>
    <row r="14184" s="76" customFormat="1" ht="21.95" customHeight="1" x14ac:dyDescent="0.15"/>
    <row r="14185" s="76" customFormat="1" ht="21.95" customHeight="1" x14ac:dyDescent="0.15"/>
    <row r="14186" s="76" customFormat="1" ht="21.95" customHeight="1" x14ac:dyDescent="0.15"/>
    <row r="14187" s="76" customFormat="1" ht="21.95" customHeight="1" x14ac:dyDescent="0.15"/>
    <row r="14188" s="76" customFormat="1" ht="21.95" customHeight="1" x14ac:dyDescent="0.15"/>
    <row r="14189" s="76" customFormat="1" ht="21.95" customHeight="1" x14ac:dyDescent="0.15"/>
    <row r="14190" s="76" customFormat="1" ht="21.95" customHeight="1" x14ac:dyDescent="0.15"/>
    <row r="14191" s="76" customFormat="1" ht="21.95" customHeight="1" x14ac:dyDescent="0.15"/>
    <row r="14192" s="76" customFormat="1" ht="21.95" customHeight="1" x14ac:dyDescent="0.15"/>
    <row r="14193" s="76" customFormat="1" ht="21.95" customHeight="1" x14ac:dyDescent="0.15"/>
    <row r="14194" s="76" customFormat="1" ht="21.95" customHeight="1" x14ac:dyDescent="0.15"/>
    <row r="14195" s="76" customFormat="1" ht="21.95" customHeight="1" x14ac:dyDescent="0.15"/>
    <row r="14196" s="76" customFormat="1" ht="21.95" customHeight="1" x14ac:dyDescent="0.15"/>
    <row r="14197" s="76" customFormat="1" ht="21.95" customHeight="1" x14ac:dyDescent="0.15"/>
    <row r="14198" s="76" customFormat="1" ht="21.95" customHeight="1" x14ac:dyDescent="0.15"/>
    <row r="14199" s="76" customFormat="1" ht="21.95" customHeight="1" x14ac:dyDescent="0.15"/>
    <row r="14200" s="76" customFormat="1" ht="21.95" customHeight="1" x14ac:dyDescent="0.15"/>
    <row r="14201" s="76" customFormat="1" ht="35.1" customHeight="1" x14ac:dyDescent="0.15"/>
    <row r="14202" s="76" customFormat="1" ht="21.95" customHeight="1" x14ac:dyDescent="0.15"/>
    <row r="14203" s="76" customFormat="1" ht="21.95" customHeight="1" x14ac:dyDescent="0.15"/>
    <row r="14204" s="76" customFormat="1" ht="21.95" customHeight="1" x14ac:dyDescent="0.15"/>
    <row r="14205" s="76" customFormat="1" ht="21.95" customHeight="1" x14ac:dyDescent="0.15"/>
    <row r="14206" s="76" customFormat="1" ht="21.95" customHeight="1" x14ac:dyDescent="0.15"/>
    <row r="14207" s="76" customFormat="1" ht="21.95" customHeight="1" x14ac:dyDescent="0.15"/>
    <row r="14208" s="76" customFormat="1" ht="21.95" customHeight="1" x14ac:dyDescent="0.15"/>
    <row r="14209" s="76" customFormat="1" ht="21.95" customHeight="1" x14ac:dyDescent="0.15"/>
    <row r="14210" s="76" customFormat="1" ht="21.95" customHeight="1" x14ac:dyDescent="0.15"/>
    <row r="14211" s="76" customFormat="1" ht="21.95" customHeight="1" x14ac:dyDescent="0.15"/>
    <row r="14212" s="76" customFormat="1" ht="21.95" customHeight="1" x14ac:dyDescent="0.15"/>
    <row r="14213" s="76" customFormat="1" ht="21.95" customHeight="1" x14ac:dyDescent="0.15"/>
    <row r="14214" s="76" customFormat="1" ht="21.95" customHeight="1" x14ac:dyDescent="0.15"/>
    <row r="14215" s="76" customFormat="1" ht="21.95" customHeight="1" x14ac:dyDescent="0.15"/>
    <row r="14216" s="76" customFormat="1" ht="21.95" customHeight="1" x14ac:dyDescent="0.15"/>
    <row r="14217" s="76" customFormat="1" ht="21.95" customHeight="1" x14ac:dyDescent="0.15"/>
    <row r="14218" s="76" customFormat="1" ht="21.95" customHeight="1" x14ac:dyDescent="0.15"/>
    <row r="14219" s="76" customFormat="1" ht="21.95" customHeight="1" x14ac:dyDescent="0.15"/>
    <row r="14220" s="76" customFormat="1" ht="21.95" customHeight="1" x14ac:dyDescent="0.15"/>
    <row r="14221" s="76" customFormat="1" ht="21.95" customHeight="1" x14ac:dyDescent="0.15"/>
    <row r="14222" s="76" customFormat="1" ht="21.95" customHeight="1" x14ac:dyDescent="0.15"/>
    <row r="14223" s="76" customFormat="1" ht="21.95" customHeight="1" x14ac:dyDescent="0.15"/>
    <row r="14224" s="76" customFormat="1" ht="21.95" customHeight="1" x14ac:dyDescent="0.15"/>
    <row r="14225" spans="3:3" customFormat="1" ht="21.95" customHeight="1" x14ac:dyDescent="0.15"/>
    <row r="14226" spans="3:3" customFormat="1" ht="21.95" customHeight="1" x14ac:dyDescent="0.15"/>
    <row r="14227" spans="3:3" customFormat="1" ht="21.95" customHeight="1" x14ac:dyDescent="0.15">
      <c r="C14227" s="94"/>
    </row>
    <row r="14228" spans="3:3" customFormat="1" ht="21.95" customHeight="1" x14ac:dyDescent="0.15">
      <c r="C14228" s="94"/>
    </row>
    <row r="14229" spans="3:3" customFormat="1" ht="21.95" customHeight="1" x14ac:dyDescent="0.15"/>
    <row r="14230" spans="3:3" customFormat="1" ht="21.95" customHeight="1" x14ac:dyDescent="0.15"/>
    <row r="14231" spans="3:3" customFormat="1" ht="21.95" customHeight="1" x14ac:dyDescent="0.15"/>
    <row r="14232" spans="3:3" customFormat="1" ht="21.95" customHeight="1" x14ac:dyDescent="0.15"/>
    <row r="14233" spans="3:3" customFormat="1" ht="21.95" customHeight="1" x14ac:dyDescent="0.15"/>
    <row r="14234" spans="3:3" customFormat="1" ht="21.95" customHeight="1" x14ac:dyDescent="0.15"/>
    <row r="14235" spans="3:3" customFormat="1" ht="21.95" customHeight="1" x14ac:dyDescent="0.15"/>
    <row r="14236" spans="3:3" s="76" customFormat="1" ht="21.95" customHeight="1" x14ac:dyDescent="0.15"/>
    <row r="14237" spans="3:3" s="76" customFormat="1" ht="21.95" customHeight="1" x14ac:dyDescent="0.15"/>
    <row r="14238" spans="3:3" s="76" customFormat="1" ht="21.95" customHeight="1" x14ac:dyDescent="0.15"/>
    <row r="14239" spans="3:3" s="76" customFormat="1" ht="21.95" customHeight="1" x14ac:dyDescent="0.15"/>
    <row r="14240" spans="3:3" customFormat="1" ht="21.95" customHeight="1" x14ac:dyDescent="0.15"/>
    <row r="14241" customFormat="1" ht="21.95" customHeight="1" x14ac:dyDescent="0.15"/>
    <row r="14242" customFormat="1" ht="21.95" customHeight="1" x14ac:dyDescent="0.15"/>
    <row r="14243" customFormat="1" ht="21.95" customHeight="1" x14ac:dyDescent="0.15"/>
    <row r="14244" customFormat="1" ht="21.95" customHeight="1" x14ac:dyDescent="0.15"/>
    <row r="14245" customFormat="1" ht="21.95" customHeight="1" x14ac:dyDescent="0.15"/>
    <row r="14246" customFormat="1" ht="21.95" customHeight="1" x14ac:dyDescent="0.15"/>
    <row r="14247" customFormat="1" ht="21.95" customHeight="1" x14ac:dyDescent="0.15"/>
    <row r="14248" customFormat="1" ht="21.95" customHeight="1" x14ac:dyDescent="0.15"/>
    <row r="14249" customFormat="1" ht="21.95" customHeight="1" x14ac:dyDescent="0.15"/>
    <row r="14250" customFormat="1" ht="21.95" customHeight="1" x14ac:dyDescent="0.15"/>
    <row r="14251" customFormat="1" ht="32.1" customHeight="1" x14ac:dyDescent="0.15"/>
    <row r="14252" customFormat="1" ht="32.1" customHeight="1" x14ac:dyDescent="0.15"/>
    <row r="14253" customFormat="1" ht="32.1" customHeight="1" x14ac:dyDescent="0.15"/>
    <row r="14254" customFormat="1" ht="32.1" customHeight="1" x14ac:dyDescent="0.15"/>
    <row r="14255" customFormat="1" ht="32.1" customHeight="1" x14ac:dyDescent="0.15"/>
    <row r="14256" customFormat="1" ht="32.1" customHeight="1" x14ac:dyDescent="0.15"/>
    <row r="14257" s="76" customFormat="1" ht="32.1" customHeight="1" x14ac:dyDescent="0.15"/>
    <row r="14258" s="76" customFormat="1" ht="32.1" customHeight="1" x14ac:dyDescent="0.15"/>
    <row r="14259" s="76" customFormat="1" ht="32.1" customHeight="1" x14ac:dyDescent="0.15"/>
    <row r="14260" s="76" customFormat="1" ht="32.1" customHeight="1" x14ac:dyDescent="0.15"/>
    <row r="14261" s="76" customFormat="1" ht="21.95" customHeight="1" x14ac:dyDescent="0.15"/>
    <row r="14262" s="76" customFormat="1" ht="54" customHeight="1" x14ac:dyDescent="0.15"/>
    <row r="14263" s="76" customFormat="1" ht="21.95" customHeight="1" x14ac:dyDescent="0.15"/>
    <row r="14264" s="76" customFormat="1" ht="21.95" customHeight="1" x14ac:dyDescent="0.15"/>
    <row r="14265" s="76" customFormat="1" ht="21.95" customHeight="1" x14ac:dyDescent="0.15"/>
    <row r="14266" s="76" customFormat="1" ht="21.95" customHeight="1" x14ac:dyDescent="0.15"/>
    <row r="14267" s="76" customFormat="1" ht="21.95" customHeight="1" x14ac:dyDescent="0.15"/>
    <row r="14268" s="76" customFormat="1" ht="21.95" customHeight="1" x14ac:dyDescent="0.15"/>
    <row r="14269" s="76" customFormat="1" ht="21.95" customHeight="1" x14ac:dyDescent="0.15"/>
    <row r="14270" s="76" customFormat="1" ht="21.95" customHeight="1" x14ac:dyDescent="0.15"/>
    <row r="14271" s="76" customFormat="1" ht="21.95" customHeight="1" x14ac:dyDescent="0.15"/>
    <row r="14272" s="76" customFormat="1" ht="21.95" customHeight="1" x14ac:dyDescent="0.15"/>
    <row r="14273" s="76" customFormat="1" ht="21.95" customHeight="1" x14ac:dyDescent="0.15"/>
    <row r="14274" s="76" customFormat="1" ht="21.95" customHeight="1" x14ac:dyDescent="0.15"/>
    <row r="14275" s="76" customFormat="1" ht="21.95" customHeight="1" x14ac:dyDescent="0.15"/>
    <row r="14276" s="76" customFormat="1" ht="21.95" customHeight="1" x14ac:dyDescent="0.15"/>
    <row r="14277" s="76" customFormat="1" ht="21.95" customHeight="1" x14ac:dyDescent="0.15"/>
    <row r="14278" s="76" customFormat="1" ht="21.95" customHeight="1" x14ac:dyDescent="0.15"/>
    <row r="14279" s="76" customFormat="1" ht="21.95" customHeight="1" x14ac:dyDescent="0.15"/>
    <row r="14280" s="76" customFormat="1" ht="21.95" customHeight="1" x14ac:dyDescent="0.15"/>
    <row r="14281" s="76" customFormat="1" ht="21.95" customHeight="1" x14ac:dyDescent="0.15"/>
    <row r="14282" s="76" customFormat="1" ht="21.95" customHeight="1" x14ac:dyDescent="0.15"/>
    <row r="14283" s="76" customFormat="1" ht="21.95" customHeight="1" x14ac:dyDescent="0.15"/>
    <row r="14284" s="76" customFormat="1" ht="21.95" customHeight="1" x14ac:dyDescent="0.15"/>
    <row r="14285" s="76" customFormat="1" ht="21.95" customHeight="1" x14ac:dyDescent="0.15"/>
    <row r="14286" s="76" customFormat="1" ht="21.95" customHeight="1" x14ac:dyDescent="0.15"/>
    <row r="14287" s="76" customFormat="1" ht="21.95" customHeight="1" x14ac:dyDescent="0.15"/>
    <row r="14288" s="76" customFormat="1" ht="21.95" customHeight="1" x14ac:dyDescent="0.15"/>
    <row r="14289" s="76" customFormat="1" ht="21.95" customHeight="1" x14ac:dyDescent="0.15"/>
    <row r="14290" s="76" customFormat="1" ht="21.95" customHeight="1" x14ac:dyDescent="0.15"/>
    <row r="14291" s="76" customFormat="1" ht="21.95" customHeight="1" x14ac:dyDescent="0.15"/>
    <row r="14292" s="76" customFormat="1" ht="21.95" customHeight="1" x14ac:dyDescent="0.15"/>
    <row r="14293" s="76" customFormat="1" ht="21.95" customHeight="1" x14ac:dyDescent="0.15"/>
    <row r="14294" s="76" customFormat="1" ht="21.95" customHeight="1" x14ac:dyDescent="0.15"/>
    <row r="14295" s="76" customFormat="1" ht="21.95" customHeight="1" x14ac:dyDescent="0.15"/>
    <row r="14296" s="76" customFormat="1" ht="21.95" customHeight="1" x14ac:dyDescent="0.15"/>
    <row r="14297" s="76" customFormat="1" ht="21.95" customHeight="1" x14ac:dyDescent="0.15"/>
    <row r="14298" s="76" customFormat="1" ht="21.95" customHeight="1" x14ac:dyDescent="0.15"/>
    <row r="14299" s="76" customFormat="1" ht="21.95" customHeight="1" x14ac:dyDescent="0.15"/>
    <row r="14300" s="76" customFormat="1" ht="21.95" customHeight="1" x14ac:dyDescent="0.15"/>
    <row r="14301" s="76" customFormat="1" ht="21.95" customHeight="1" x14ac:dyDescent="0.15"/>
    <row r="14302" s="76" customFormat="1" ht="21.95" customHeight="1" x14ac:dyDescent="0.15"/>
    <row r="14303" s="76" customFormat="1" ht="21.95" customHeight="1" x14ac:dyDescent="0.15"/>
    <row r="14304" s="76" customFormat="1" ht="21.95" customHeight="1" x14ac:dyDescent="0.15"/>
    <row r="14305" s="76" customFormat="1" ht="21.95" customHeight="1" x14ac:dyDescent="0.15"/>
    <row r="14306" s="76" customFormat="1" ht="21.95" customHeight="1" x14ac:dyDescent="0.15"/>
    <row r="14307" s="76" customFormat="1" ht="21.95" customHeight="1" x14ac:dyDescent="0.15"/>
    <row r="14308" s="76" customFormat="1" ht="21.95" customHeight="1" x14ac:dyDescent="0.15"/>
    <row r="14309" s="76" customFormat="1" ht="21.95" customHeight="1" x14ac:dyDescent="0.15"/>
    <row r="14310" s="76" customFormat="1" ht="21.95" customHeight="1" x14ac:dyDescent="0.15"/>
    <row r="14311" s="76" customFormat="1" ht="21.95" customHeight="1" x14ac:dyDescent="0.15"/>
    <row r="14312" s="76" customFormat="1" ht="21.95" customHeight="1" x14ac:dyDescent="0.15"/>
    <row r="14313" s="76" customFormat="1" ht="35.1" customHeight="1" x14ac:dyDescent="0.15"/>
    <row r="14314" s="76" customFormat="1" ht="21.95" customHeight="1" x14ac:dyDescent="0.15"/>
    <row r="14315" s="76" customFormat="1" ht="21.95" customHeight="1" x14ac:dyDescent="0.15"/>
    <row r="14316" s="76" customFormat="1" ht="21.95" customHeight="1" x14ac:dyDescent="0.15"/>
    <row r="14317" s="76" customFormat="1" ht="21.95" customHeight="1" x14ac:dyDescent="0.15"/>
    <row r="14318" s="76" customFormat="1" ht="21.95" customHeight="1" x14ac:dyDescent="0.15"/>
    <row r="14319" s="76" customFormat="1" ht="21.95" customHeight="1" x14ac:dyDescent="0.15"/>
    <row r="14320" s="76" customFormat="1" ht="21.95" customHeight="1" x14ac:dyDescent="0.15"/>
    <row r="14321" s="76" customFormat="1" ht="21.95" customHeight="1" x14ac:dyDescent="0.15"/>
    <row r="14322" s="76" customFormat="1" ht="21.95" customHeight="1" x14ac:dyDescent="0.15"/>
    <row r="14323" s="76" customFormat="1" ht="21.95" customHeight="1" x14ac:dyDescent="0.15"/>
    <row r="14324" s="76" customFormat="1" ht="21.95" customHeight="1" x14ac:dyDescent="0.15"/>
    <row r="14325" s="76" customFormat="1" ht="21.95" customHeight="1" x14ac:dyDescent="0.15"/>
    <row r="14326" s="76" customFormat="1" ht="21.95" customHeight="1" x14ac:dyDescent="0.15"/>
    <row r="14327" s="76" customFormat="1" ht="21.95" customHeight="1" x14ac:dyDescent="0.15"/>
    <row r="14328" s="76" customFormat="1" ht="21.95" customHeight="1" x14ac:dyDescent="0.15"/>
    <row r="14329" s="76" customFormat="1" ht="21.95" customHeight="1" x14ac:dyDescent="0.15"/>
    <row r="14330" s="76" customFormat="1" ht="21.95" customHeight="1" x14ac:dyDescent="0.15"/>
    <row r="14331" s="76" customFormat="1" ht="21.95" customHeight="1" x14ac:dyDescent="0.15"/>
    <row r="14332" s="76" customFormat="1" ht="21.95" customHeight="1" x14ac:dyDescent="0.15"/>
    <row r="14333" s="76" customFormat="1" ht="21.95" customHeight="1" x14ac:dyDescent="0.15"/>
    <row r="14334" s="76" customFormat="1" ht="21.95" customHeight="1" x14ac:dyDescent="0.15"/>
    <row r="14335" s="76" customFormat="1" ht="21.95" customHeight="1" x14ac:dyDescent="0.15"/>
    <row r="14336" s="76" customFormat="1" ht="21.95" customHeight="1" x14ac:dyDescent="0.15"/>
    <row r="14337" spans="3:3" customFormat="1" ht="21.95" customHeight="1" x14ac:dyDescent="0.15"/>
    <row r="14338" spans="3:3" customFormat="1" ht="21.95" customHeight="1" x14ac:dyDescent="0.15"/>
    <row r="14339" spans="3:3" customFormat="1" ht="21.95" customHeight="1" x14ac:dyDescent="0.15">
      <c r="C14339" s="94"/>
    </row>
    <row r="14340" spans="3:3" customFormat="1" ht="21.95" customHeight="1" x14ac:dyDescent="0.15">
      <c r="C14340" s="94"/>
    </row>
    <row r="14341" spans="3:3" customFormat="1" ht="21.95" customHeight="1" x14ac:dyDescent="0.15"/>
    <row r="14342" spans="3:3" customFormat="1" ht="21.95" customHeight="1" x14ac:dyDescent="0.15"/>
    <row r="14343" spans="3:3" customFormat="1" ht="21.95" customHeight="1" x14ac:dyDescent="0.15"/>
    <row r="14344" spans="3:3" customFormat="1" ht="21.95" customHeight="1" x14ac:dyDescent="0.15"/>
    <row r="14345" spans="3:3" customFormat="1" ht="21.95" customHeight="1" x14ac:dyDescent="0.15"/>
    <row r="14346" spans="3:3" customFormat="1" ht="21.95" customHeight="1" x14ac:dyDescent="0.15"/>
    <row r="14347" spans="3:3" customFormat="1" ht="21.95" customHeight="1" x14ac:dyDescent="0.15"/>
    <row r="14348" spans="3:3" s="76" customFormat="1" ht="21.95" customHeight="1" x14ac:dyDescent="0.15"/>
    <row r="14349" spans="3:3" s="76" customFormat="1" ht="21.95" customHeight="1" x14ac:dyDescent="0.15"/>
    <row r="14350" spans="3:3" s="76" customFormat="1" ht="21.95" customHeight="1" x14ac:dyDescent="0.15"/>
    <row r="14351" spans="3:3" s="76" customFormat="1" ht="21.95" customHeight="1" x14ac:dyDescent="0.15"/>
    <row r="14352" spans="3:3" customFormat="1" ht="21.95" customHeight="1" x14ac:dyDescent="0.15"/>
    <row r="14353" customFormat="1" ht="21.95" customHeight="1" x14ac:dyDescent="0.15"/>
    <row r="14354" customFormat="1" ht="21.95" customHeight="1" x14ac:dyDescent="0.15"/>
    <row r="14355" customFormat="1" ht="21.95" customHeight="1" x14ac:dyDescent="0.15"/>
    <row r="14356" customFormat="1" ht="21.95" customHeight="1" x14ac:dyDescent="0.15"/>
    <row r="14357" customFormat="1" ht="21.95" customHeight="1" x14ac:dyDescent="0.15"/>
    <row r="14358" customFormat="1" ht="21.95" customHeight="1" x14ac:dyDescent="0.15"/>
    <row r="14359" customFormat="1" ht="21.95" customHeight="1" x14ac:dyDescent="0.15"/>
    <row r="14360" customFormat="1" ht="21.95" customHeight="1" x14ac:dyDescent="0.15"/>
    <row r="14361" customFormat="1" ht="21.95" customHeight="1" x14ac:dyDescent="0.15"/>
    <row r="14362" customFormat="1" ht="21.95" customHeight="1" x14ac:dyDescent="0.15"/>
    <row r="14363" customFormat="1" ht="32.1" customHeight="1" x14ac:dyDescent="0.15"/>
    <row r="14364" customFormat="1" ht="32.1" customHeight="1" x14ac:dyDescent="0.15"/>
    <row r="14365" customFormat="1" ht="32.1" customHeight="1" x14ac:dyDescent="0.15"/>
    <row r="14366" customFormat="1" ht="32.1" customHeight="1" x14ac:dyDescent="0.15"/>
    <row r="14367" customFormat="1" ht="32.1" customHeight="1" x14ac:dyDescent="0.15"/>
    <row r="14368" customFormat="1" ht="32.1" customHeight="1" x14ac:dyDescent="0.15"/>
    <row r="14369" s="76" customFormat="1" ht="32.1" customHeight="1" x14ac:dyDescent="0.15"/>
    <row r="14370" s="76" customFormat="1" ht="32.1" customHeight="1" x14ac:dyDescent="0.15"/>
    <row r="14371" s="76" customFormat="1" ht="32.1" customHeight="1" x14ac:dyDescent="0.15"/>
    <row r="14372" s="76" customFormat="1" ht="32.1" customHeight="1" x14ac:dyDescent="0.15"/>
    <row r="14373" s="76" customFormat="1" ht="21.95" customHeight="1" x14ac:dyDescent="0.15"/>
    <row r="14374" s="76" customFormat="1" ht="54" customHeight="1" x14ac:dyDescent="0.15"/>
    <row r="14375" s="76" customFormat="1" ht="21.95" customHeight="1" x14ac:dyDescent="0.15"/>
    <row r="14376" s="76" customFormat="1" ht="21.95" customHeight="1" x14ac:dyDescent="0.15"/>
    <row r="14377" s="76" customFormat="1" ht="21.95" customHeight="1" x14ac:dyDescent="0.15"/>
    <row r="14378" s="76" customFormat="1" ht="21.95" customHeight="1" x14ac:dyDescent="0.15"/>
    <row r="14379" s="76" customFormat="1" ht="21.95" customHeight="1" x14ac:dyDescent="0.15"/>
    <row r="14380" s="76" customFormat="1" ht="21.95" customHeight="1" x14ac:dyDescent="0.15"/>
    <row r="14381" s="76" customFormat="1" ht="21.95" customHeight="1" x14ac:dyDescent="0.15"/>
    <row r="14382" s="76" customFormat="1" ht="21.95" customHeight="1" x14ac:dyDescent="0.15"/>
    <row r="14383" s="76" customFormat="1" ht="21.95" customHeight="1" x14ac:dyDescent="0.15"/>
    <row r="14384" s="76" customFormat="1" ht="21.95" customHeight="1" x14ac:dyDescent="0.15"/>
    <row r="14385" s="76" customFormat="1" ht="21.95" customHeight="1" x14ac:dyDescent="0.15"/>
    <row r="14386" s="76" customFormat="1" ht="21.95" customHeight="1" x14ac:dyDescent="0.15"/>
    <row r="14387" s="76" customFormat="1" ht="21.95" customHeight="1" x14ac:dyDescent="0.15"/>
    <row r="14388" s="76" customFormat="1" ht="21.95" customHeight="1" x14ac:dyDescent="0.15"/>
    <row r="14389" s="76" customFormat="1" ht="21.95" customHeight="1" x14ac:dyDescent="0.15"/>
    <row r="14390" s="76" customFormat="1" ht="21.95" customHeight="1" x14ac:dyDescent="0.15"/>
    <row r="14391" s="76" customFormat="1" ht="21.95" customHeight="1" x14ac:dyDescent="0.15"/>
    <row r="14392" s="76" customFormat="1" ht="21.95" customHeight="1" x14ac:dyDescent="0.15"/>
    <row r="14393" s="76" customFormat="1" ht="21.95" customHeight="1" x14ac:dyDescent="0.15"/>
    <row r="14394" s="76" customFormat="1" ht="21.95" customHeight="1" x14ac:dyDescent="0.15"/>
    <row r="14395" s="76" customFormat="1" ht="21.95" customHeight="1" x14ac:dyDescent="0.15"/>
    <row r="14396" s="76" customFormat="1" ht="21.95" customHeight="1" x14ac:dyDescent="0.15"/>
    <row r="14397" s="76" customFormat="1" ht="21.95" customHeight="1" x14ac:dyDescent="0.15"/>
    <row r="14398" s="76" customFormat="1" ht="21.95" customHeight="1" x14ac:dyDescent="0.15"/>
    <row r="14399" s="76" customFormat="1" ht="21.95" customHeight="1" x14ac:dyDescent="0.15"/>
    <row r="14400" s="76" customFormat="1" ht="21.95" customHeight="1" x14ac:dyDescent="0.15"/>
    <row r="14401" s="76" customFormat="1" ht="21.95" customHeight="1" x14ac:dyDescent="0.15"/>
    <row r="14402" s="76" customFormat="1" ht="21.95" customHeight="1" x14ac:dyDescent="0.15"/>
    <row r="14403" s="76" customFormat="1" ht="21.95" customHeight="1" x14ac:dyDescent="0.15"/>
    <row r="14404" s="76" customFormat="1" ht="21.95" customHeight="1" x14ac:dyDescent="0.15"/>
    <row r="14405" s="76" customFormat="1" ht="21.95" customHeight="1" x14ac:dyDescent="0.15"/>
    <row r="14406" s="76" customFormat="1" ht="21.95" customHeight="1" x14ac:dyDescent="0.15"/>
    <row r="14407" s="76" customFormat="1" ht="21.95" customHeight="1" x14ac:dyDescent="0.15"/>
    <row r="14408" s="76" customFormat="1" ht="21.95" customHeight="1" x14ac:dyDescent="0.15"/>
    <row r="14409" s="76" customFormat="1" ht="21.95" customHeight="1" x14ac:dyDescent="0.15"/>
    <row r="14410" s="76" customFormat="1" ht="21.95" customHeight="1" x14ac:dyDescent="0.15"/>
    <row r="14411" s="76" customFormat="1" ht="21.95" customHeight="1" x14ac:dyDescent="0.15"/>
    <row r="14412" s="76" customFormat="1" ht="21.95" customHeight="1" x14ac:dyDescent="0.15"/>
    <row r="14413" s="76" customFormat="1" ht="21.95" customHeight="1" x14ac:dyDescent="0.15"/>
    <row r="14414" s="76" customFormat="1" ht="21.95" customHeight="1" x14ac:dyDescent="0.15"/>
    <row r="14415" s="76" customFormat="1" ht="21.95" customHeight="1" x14ac:dyDescent="0.15"/>
    <row r="14416" s="76" customFormat="1" ht="21.95" customHeight="1" x14ac:dyDescent="0.15"/>
    <row r="14417" s="76" customFormat="1" ht="21.95" customHeight="1" x14ac:dyDescent="0.15"/>
    <row r="14418" s="76" customFormat="1" ht="21.95" customHeight="1" x14ac:dyDescent="0.15"/>
    <row r="14419" s="76" customFormat="1" ht="21.95" customHeight="1" x14ac:dyDescent="0.15"/>
    <row r="14420" s="76" customFormat="1" ht="21.95" customHeight="1" x14ac:dyDescent="0.15"/>
    <row r="14421" s="76" customFormat="1" ht="21.95" customHeight="1" x14ac:dyDescent="0.15"/>
    <row r="14422" s="76" customFormat="1" ht="21.95" customHeight="1" x14ac:dyDescent="0.15"/>
    <row r="14423" s="76" customFormat="1" ht="21.95" customHeight="1" x14ac:dyDescent="0.15"/>
    <row r="14424" s="76" customFormat="1" ht="21.95" customHeight="1" x14ac:dyDescent="0.15"/>
    <row r="14425" s="76" customFormat="1" ht="35.1" customHeight="1" x14ac:dyDescent="0.15"/>
    <row r="14426" s="76" customFormat="1" ht="21.95" customHeight="1" x14ac:dyDescent="0.15"/>
    <row r="14427" s="76" customFormat="1" ht="21.95" customHeight="1" x14ac:dyDescent="0.15"/>
    <row r="14428" s="76" customFormat="1" ht="21.95" customHeight="1" x14ac:dyDescent="0.15"/>
    <row r="14429" s="76" customFormat="1" ht="21.95" customHeight="1" x14ac:dyDescent="0.15"/>
    <row r="14430" s="76" customFormat="1" ht="21.95" customHeight="1" x14ac:dyDescent="0.15"/>
    <row r="14431" s="76" customFormat="1" ht="21.95" customHeight="1" x14ac:dyDescent="0.15"/>
    <row r="14432" s="76" customFormat="1" ht="21.95" customHeight="1" x14ac:dyDescent="0.15"/>
    <row r="14433" s="76" customFormat="1" ht="21.95" customHeight="1" x14ac:dyDescent="0.15"/>
    <row r="14434" s="76" customFormat="1" ht="21.95" customHeight="1" x14ac:dyDescent="0.15"/>
    <row r="14435" s="76" customFormat="1" ht="21.95" customHeight="1" x14ac:dyDescent="0.15"/>
    <row r="14436" s="76" customFormat="1" ht="21.95" customHeight="1" x14ac:dyDescent="0.15"/>
    <row r="14437" s="76" customFormat="1" ht="21.95" customHeight="1" x14ac:dyDescent="0.15"/>
    <row r="14438" s="76" customFormat="1" ht="21.95" customHeight="1" x14ac:dyDescent="0.15"/>
    <row r="14439" s="76" customFormat="1" ht="21.95" customHeight="1" x14ac:dyDescent="0.15"/>
    <row r="14440" s="76" customFormat="1" ht="21.95" customHeight="1" x14ac:dyDescent="0.15"/>
    <row r="14441" s="76" customFormat="1" ht="21.95" customHeight="1" x14ac:dyDescent="0.15"/>
    <row r="14442" s="76" customFormat="1" ht="21.95" customHeight="1" x14ac:dyDescent="0.15"/>
    <row r="14443" s="76" customFormat="1" ht="21.95" customHeight="1" x14ac:dyDescent="0.15"/>
    <row r="14444" s="76" customFormat="1" ht="21.95" customHeight="1" x14ac:dyDescent="0.15"/>
    <row r="14445" s="76" customFormat="1" ht="21.95" customHeight="1" x14ac:dyDescent="0.15"/>
    <row r="14446" s="76" customFormat="1" ht="21.95" customHeight="1" x14ac:dyDescent="0.15"/>
    <row r="14447" s="76" customFormat="1" ht="21.95" customHeight="1" x14ac:dyDescent="0.15"/>
    <row r="14448" s="76" customFormat="1" ht="21.95" customHeight="1" x14ac:dyDescent="0.15"/>
    <row r="14449" spans="3:3" customFormat="1" ht="21.95" customHeight="1" x14ac:dyDescent="0.15"/>
    <row r="14450" spans="3:3" customFormat="1" ht="21.95" customHeight="1" x14ac:dyDescent="0.15"/>
    <row r="14451" spans="3:3" customFormat="1" ht="21.95" customHeight="1" x14ac:dyDescent="0.15">
      <c r="C14451" s="94"/>
    </row>
    <row r="14452" spans="3:3" customFormat="1" ht="21.95" customHeight="1" x14ac:dyDescent="0.15">
      <c r="C14452" s="94"/>
    </row>
    <row r="14453" spans="3:3" customFormat="1" ht="21.95" customHeight="1" x14ac:dyDescent="0.15"/>
    <row r="14454" spans="3:3" customFormat="1" ht="21.95" customHeight="1" x14ac:dyDescent="0.15"/>
    <row r="14455" spans="3:3" customFormat="1" ht="21.95" customHeight="1" x14ac:dyDescent="0.15"/>
    <row r="14456" spans="3:3" customFormat="1" ht="21.95" customHeight="1" x14ac:dyDescent="0.15"/>
    <row r="14457" spans="3:3" customFormat="1" ht="21.95" customHeight="1" x14ac:dyDescent="0.15"/>
    <row r="14458" spans="3:3" customFormat="1" ht="21.95" customHeight="1" x14ac:dyDescent="0.15"/>
    <row r="14459" spans="3:3" customFormat="1" ht="21.95" customHeight="1" x14ac:dyDescent="0.15"/>
    <row r="14460" spans="3:3" s="76" customFormat="1" ht="21.95" customHeight="1" x14ac:dyDescent="0.15"/>
    <row r="14461" spans="3:3" s="76" customFormat="1" ht="21.95" customHeight="1" x14ac:dyDescent="0.15"/>
    <row r="14462" spans="3:3" s="76" customFormat="1" ht="21.95" customHeight="1" x14ac:dyDescent="0.15"/>
    <row r="14463" spans="3:3" s="76" customFormat="1" ht="21.95" customHeight="1" x14ac:dyDescent="0.15"/>
    <row r="14464" spans="3:3" customFormat="1" ht="21.95" customHeight="1" x14ac:dyDescent="0.15"/>
    <row r="14465" customFormat="1" ht="21.95" customHeight="1" x14ac:dyDescent="0.15"/>
    <row r="14466" customFormat="1" ht="21.95" customHeight="1" x14ac:dyDescent="0.15"/>
    <row r="14467" customFormat="1" ht="21.95" customHeight="1" x14ac:dyDescent="0.15"/>
    <row r="14468" customFormat="1" ht="21.95" customHeight="1" x14ac:dyDescent="0.15"/>
    <row r="14469" customFormat="1" ht="21.95" customHeight="1" x14ac:dyDescent="0.15"/>
    <row r="14470" customFormat="1" ht="21.95" customHeight="1" x14ac:dyDescent="0.15"/>
    <row r="14471" customFormat="1" ht="21.95" customHeight="1" x14ac:dyDescent="0.15"/>
    <row r="14472" customFormat="1" ht="21.95" customHeight="1" x14ac:dyDescent="0.15"/>
    <row r="14473" customFormat="1" ht="21.95" customHeight="1" x14ac:dyDescent="0.15"/>
    <row r="14474" customFormat="1" ht="21.95" customHeight="1" x14ac:dyDescent="0.15"/>
    <row r="14475" customFormat="1" ht="32.1" customHeight="1" x14ac:dyDescent="0.15"/>
    <row r="14476" customFormat="1" ht="32.1" customHeight="1" x14ac:dyDescent="0.15"/>
    <row r="14477" customFormat="1" ht="32.1" customHeight="1" x14ac:dyDescent="0.15"/>
    <row r="14478" customFormat="1" ht="32.1" customHeight="1" x14ac:dyDescent="0.15"/>
    <row r="14479" customFormat="1" ht="32.1" customHeight="1" x14ac:dyDescent="0.15"/>
    <row r="14480" customFormat="1" ht="32.1" customHeight="1" x14ac:dyDescent="0.15"/>
    <row r="14481" s="76" customFormat="1" ht="32.1" customHeight="1" x14ac:dyDescent="0.15"/>
    <row r="14482" s="76" customFormat="1" ht="32.1" customHeight="1" x14ac:dyDescent="0.15"/>
    <row r="14483" s="76" customFormat="1" ht="32.1" customHeight="1" x14ac:dyDescent="0.15"/>
    <row r="14484" s="76" customFormat="1" ht="32.1" customHeight="1" x14ac:dyDescent="0.15"/>
    <row r="14485" s="76" customFormat="1" ht="21.95" customHeight="1" x14ac:dyDescent="0.15"/>
    <row r="14486" s="76" customFormat="1" ht="54" customHeight="1" x14ac:dyDescent="0.15"/>
    <row r="14487" s="76" customFormat="1" ht="21.95" customHeight="1" x14ac:dyDescent="0.15"/>
    <row r="14488" s="76" customFormat="1" ht="21.95" customHeight="1" x14ac:dyDescent="0.15"/>
    <row r="14489" s="76" customFormat="1" ht="21.95" customHeight="1" x14ac:dyDescent="0.15"/>
    <row r="14490" s="76" customFormat="1" ht="21.95" customHeight="1" x14ac:dyDescent="0.15"/>
    <row r="14491" s="76" customFormat="1" ht="21.95" customHeight="1" x14ac:dyDescent="0.15"/>
    <row r="14492" s="76" customFormat="1" ht="21.95" customHeight="1" x14ac:dyDescent="0.15"/>
    <row r="14493" s="76" customFormat="1" ht="21.95" customHeight="1" x14ac:dyDescent="0.15"/>
    <row r="14494" s="76" customFormat="1" ht="21.95" customHeight="1" x14ac:dyDescent="0.15"/>
    <row r="14495" s="76" customFormat="1" ht="21.95" customHeight="1" x14ac:dyDescent="0.15"/>
    <row r="14496" s="76" customFormat="1" ht="21.95" customHeight="1" x14ac:dyDescent="0.15"/>
    <row r="14497" s="76" customFormat="1" ht="21.95" customHeight="1" x14ac:dyDescent="0.15"/>
    <row r="14498" s="76" customFormat="1" ht="21.95" customHeight="1" x14ac:dyDescent="0.15"/>
    <row r="14499" s="76" customFormat="1" ht="21.95" customHeight="1" x14ac:dyDescent="0.15"/>
    <row r="14500" s="76" customFormat="1" ht="21.95" customHeight="1" x14ac:dyDescent="0.15"/>
    <row r="14501" s="76" customFormat="1" ht="21.95" customHeight="1" x14ac:dyDescent="0.15"/>
    <row r="14502" s="76" customFormat="1" ht="21.95" customHeight="1" x14ac:dyDescent="0.15"/>
    <row r="14503" s="76" customFormat="1" ht="21.95" customHeight="1" x14ac:dyDescent="0.15"/>
    <row r="14504" s="76" customFormat="1" ht="21.95" customHeight="1" x14ac:dyDescent="0.15"/>
    <row r="14505" s="76" customFormat="1" ht="21.95" customHeight="1" x14ac:dyDescent="0.15"/>
    <row r="14506" s="76" customFormat="1" ht="21.95" customHeight="1" x14ac:dyDescent="0.15"/>
    <row r="14507" s="76" customFormat="1" ht="21.95" customHeight="1" x14ac:dyDescent="0.15"/>
    <row r="14508" s="76" customFormat="1" ht="21.95" customHeight="1" x14ac:dyDescent="0.15"/>
    <row r="14509" s="76" customFormat="1" ht="21.95" customHeight="1" x14ac:dyDescent="0.15"/>
    <row r="14510" s="76" customFormat="1" ht="21.95" customHeight="1" x14ac:dyDescent="0.15"/>
    <row r="14511" s="76" customFormat="1" ht="21.95" customHeight="1" x14ac:dyDescent="0.15"/>
    <row r="14512" s="76" customFormat="1" ht="21.95" customHeight="1" x14ac:dyDescent="0.15"/>
    <row r="14513" s="76" customFormat="1" ht="21.95" customHeight="1" x14ac:dyDescent="0.15"/>
    <row r="14514" s="76" customFormat="1" ht="21.95" customHeight="1" x14ac:dyDescent="0.15"/>
    <row r="14515" s="76" customFormat="1" ht="21.95" customHeight="1" x14ac:dyDescent="0.15"/>
    <row r="14516" s="76" customFormat="1" ht="21.95" customHeight="1" x14ac:dyDescent="0.15"/>
    <row r="14517" s="76" customFormat="1" ht="21.95" customHeight="1" x14ac:dyDescent="0.15"/>
    <row r="14518" s="76" customFormat="1" ht="21.95" customHeight="1" x14ac:dyDescent="0.15"/>
    <row r="14519" s="76" customFormat="1" ht="21.95" customHeight="1" x14ac:dyDescent="0.15"/>
    <row r="14520" s="76" customFormat="1" ht="21.95" customHeight="1" x14ac:dyDescent="0.15"/>
    <row r="14521" s="76" customFormat="1" ht="21.95" customHeight="1" x14ac:dyDescent="0.15"/>
    <row r="14522" s="76" customFormat="1" ht="21.95" customHeight="1" x14ac:dyDescent="0.15"/>
    <row r="14523" s="76" customFormat="1" ht="21.95" customHeight="1" x14ac:dyDescent="0.15"/>
    <row r="14524" s="76" customFormat="1" ht="21.95" customHeight="1" x14ac:dyDescent="0.15"/>
    <row r="14525" s="76" customFormat="1" ht="21.95" customHeight="1" x14ac:dyDescent="0.15"/>
    <row r="14526" s="76" customFormat="1" ht="21.95" customHeight="1" x14ac:dyDescent="0.15"/>
    <row r="14527" s="76" customFormat="1" ht="21.95" customHeight="1" x14ac:dyDescent="0.15"/>
    <row r="14528" s="76" customFormat="1" ht="21.95" customHeight="1" x14ac:dyDescent="0.15"/>
    <row r="14529" s="76" customFormat="1" ht="21.95" customHeight="1" x14ac:dyDescent="0.15"/>
    <row r="14530" s="76" customFormat="1" ht="21.95" customHeight="1" x14ac:dyDescent="0.15"/>
    <row r="14531" s="76" customFormat="1" ht="21.95" customHeight="1" x14ac:dyDescent="0.15"/>
    <row r="14532" s="76" customFormat="1" ht="21.95" customHeight="1" x14ac:dyDescent="0.15"/>
    <row r="14533" s="76" customFormat="1" ht="21.95" customHeight="1" x14ac:dyDescent="0.15"/>
    <row r="14534" s="76" customFormat="1" ht="21.95" customHeight="1" x14ac:dyDescent="0.15"/>
    <row r="14535" s="76" customFormat="1" ht="21.95" customHeight="1" x14ac:dyDescent="0.15"/>
    <row r="14536" s="76" customFormat="1" ht="21.95" customHeight="1" x14ac:dyDescent="0.15"/>
    <row r="14537" s="76" customFormat="1" ht="35.1" customHeight="1" x14ac:dyDescent="0.15"/>
    <row r="14538" s="76" customFormat="1" ht="21.95" customHeight="1" x14ac:dyDescent="0.15"/>
    <row r="14539" s="76" customFormat="1" ht="21.95" customHeight="1" x14ac:dyDescent="0.15"/>
    <row r="14540" s="76" customFormat="1" ht="21.95" customHeight="1" x14ac:dyDescent="0.15"/>
    <row r="14541" s="76" customFormat="1" ht="21.95" customHeight="1" x14ac:dyDescent="0.15"/>
    <row r="14542" s="76" customFormat="1" ht="21.95" customHeight="1" x14ac:dyDescent="0.15"/>
    <row r="14543" s="76" customFormat="1" ht="21.95" customHeight="1" x14ac:dyDescent="0.15"/>
    <row r="14544" s="76" customFormat="1" ht="21.95" customHeight="1" x14ac:dyDescent="0.15"/>
    <row r="14545" s="76" customFormat="1" ht="21.95" customHeight="1" x14ac:dyDescent="0.15"/>
    <row r="14546" s="76" customFormat="1" ht="21.95" customHeight="1" x14ac:dyDescent="0.15"/>
    <row r="14547" s="76" customFormat="1" ht="21.95" customHeight="1" x14ac:dyDescent="0.15"/>
    <row r="14548" s="76" customFormat="1" ht="21.95" customHeight="1" x14ac:dyDescent="0.15"/>
    <row r="14549" s="76" customFormat="1" ht="21.95" customHeight="1" x14ac:dyDescent="0.15"/>
    <row r="14550" s="76" customFormat="1" ht="21.95" customHeight="1" x14ac:dyDescent="0.15"/>
    <row r="14551" s="76" customFormat="1" ht="21.95" customHeight="1" x14ac:dyDescent="0.15"/>
    <row r="14552" s="76" customFormat="1" ht="21.95" customHeight="1" x14ac:dyDescent="0.15"/>
    <row r="14553" s="76" customFormat="1" ht="21.95" customHeight="1" x14ac:dyDescent="0.15"/>
    <row r="14554" s="76" customFormat="1" ht="21.95" customHeight="1" x14ac:dyDescent="0.15"/>
    <row r="14555" s="76" customFormat="1" ht="21.95" customHeight="1" x14ac:dyDescent="0.15"/>
    <row r="14556" s="76" customFormat="1" ht="21.95" customHeight="1" x14ac:dyDescent="0.15"/>
    <row r="14557" s="76" customFormat="1" ht="21.95" customHeight="1" x14ac:dyDescent="0.15"/>
    <row r="14558" s="76" customFormat="1" ht="21.95" customHeight="1" x14ac:dyDescent="0.15"/>
    <row r="14559" s="76" customFormat="1" ht="21.95" customHeight="1" x14ac:dyDescent="0.15"/>
    <row r="14560" s="76" customFormat="1" ht="21.95" customHeight="1" x14ac:dyDescent="0.15"/>
    <row r="14561" spans="3:3" customFormat="1" ht="21.95" customHeight="1" x14ac:dyDescent="0.15"/>
    <row r="14562" spans="3:3" customFormat="1" ht="21.95" customHeight="1" x14ac:dyDescent="0.15"/>
    <row r="14563" spans="3:3" customFormat="1" ht="21.95" customHeight="1" x14ac:dyDescent="0.15">
      <c r="C14563" s="94"/>
    </row>
    <row r="14564" spans="3:3" customFormat="1" ht="21.95" customHeight="1" x14ac:dyDescent="0.15">
      <c r="C14564" s="94"/>
    </row>
    <row r="14565" spans="3:3" customFormat="1" ht="21.95" customHeight="1" x14ac:dyDescent="0.15"/>
    <row r="14566" spans="3:3" customFormat="1" ht="21.95" customHeight="1" x14ac:dyDescent="0.15"/>
    <row r="14567" spans="3:3" customFormat="1" ht="21.95" customHeight="1" x14ac:dyDescent="0.15"/>
    <row r="14568" spans="3:3" customFormat="1" ht="21.95" customHeight="1" x14ac:dyDescent="0.15"/>
    <row r="14569" spans="3:3" customFormat="1" ht="21.95" customHeight="1" x14ac:dyDescent="0.15"/>
    <row r="14570" spans="3:3" customFormat="1" ht="21.95" customHeight="1" x14ac:dyDescent="0.15"/>
    <row r="14571" spans="3:3" customFormat="1" ht="21.95" customHeight="1" x14ac:dyDescent="0.15"/>
    <row r="14572" spans="3:3" s="76" customFormat="1" ht="21.95" customHeight="1" x14ac:dyDescent="0.15"/>
    <row r="14573" spans="3:3" s="76" customFormat="1" ht="21.95" customHeight="1" x14ac:dyDescent="0.15"/>
    <row r="14574" spans="3:3" s="76" customFormat="1" ht="21.95" customHeight="1" x14ac:dyDescent="0.15"/>
    <row r="14575" spans="3:3" s="76" customFormat="1" ht="21.95" customHeight="1" x14ac:dyDescent="0.15"/>
    <row r="14576" spans="3:3" customFormat="1" ht="21.95" customHeight="1" x14ac:dyDescent="0.15"/>
    <row r="14577" customFormat="1" ht="21.95" customHeight="1" x14ac:dyDescent="0.15"/>
    <row r="14578" customFormat="1" ht="21.95" customHeight="1" x14ac:dyDescent="0.15"/>
    <row r="14579" customFormat="1" ht="21.95" customHeight="1" x14ac:dyDescent="0.15"/>
    <row r="14580" customFormat="1" ht="21.95" customHeight="1" x14ac:dyDescent="0.15"/>
    <row r="14581" customFormat="1" ht="21.95" customHeight="1" x14ac:dyDescent="0.15"/>
    <row r="14582" customFormat="1" ht="21.95" customHeight="1" x14ac:dyDescent="0.15"/>
    <row r="14583" customFormat="1" ht="21.95" customHeight="1" x14ac:dyDescent="0.15"/>
    <row r="14584" customFormat="1" ht="21.95" customHeight="1" x14ac:dyDescent="0.15"/>
    <row r="14585" customFormat="1" ht="21.95" customHeight="1" x14ac:dyDescent="0.15"/>
    <row r="14586" customFormat="1" ht="21.95" customHeight="1" x14ac:dyDescent="0.15"/>
    <row r="14587" customFormat="1" ht="32.1" customHeight="1" x14ac:dyDescent="0.15"/>
    <row r="14588" customFormat="1" ht="32.1" customHeight="1" x14ac:dyDescent="0.15"/>
    <row r="14589" customFormat="1" ht="32.1" customHeight="1" x14ac:dyDescent="0.15"/>
    <row r="14590" customFormat="1" ht="32.1" customHeight="1" x14ac:dyDescent="0.15"/>
    <row r="14591" customFormat="1" ht="32.1" customHeight="1" x14ac:dyDescent="0.15"/>
    <row r="14592" customFormat="1" ht="32.1" customHeight="1" x14ac:dyDescent="0.15"/>
    <row r="14593" s="76" customFormat="1" ht="32.1" customHeight="1" x14ac:dyDescent="0.15"/>
    <row r="14594" s="76" customFormat="1" ht="32.1" customHeight="1" x14ac:dyDescent="0.15"/>
    <row r="14595" s="76" customFormat="1" ht="32.1" customHeight="1" x14ac:dyDescent="0.15"/>
    <row r="14596" s="76" customFormat="1" ht="32.1" customHeight="1" x14ac:dyDescent="0.15"/>
    <row r="14597" s="76" customFormat="1" ht="21.95" customHeight="1" x14ac:dyDescent="0.15"/>
    <row r="14598" s="76" customFormat="1" ht="54" customHeight="1" x14ac:dyDescent="0.15"/>
    <row r="14599" s="76" customFormat="1" ht="21.95" customHeight="1" x14ac:dyDescent="0.15"/>
    <row r="14600" s="76" customFormat="1" ht="21.95" customHeight="1" x14ac:dyDescent="0.15"/>
    <row r="14601" s="76" customFormat="1" ht="21.95" customHeight="1" x14ac:dyDescent="0.15"/>
    <row r="14602" s="76" customFormat="1" ht="21.95" customHeight="1" x14ac:dyDescent="0.15"/>
    <row r="14603" s="76" customFormat="1" ht="21.95" customHeight="1" x14ac:dyDescent="0.15"/>
    <row r="14604" s="76" customFormat="1" ht="21.95" customHeight="1" x14ac:dyDescent="0.15"/>
    <row r="14605" s="76" customFormat="1" ht="21.95" customHeight="1" x14ac:dyDescent="0.15"/>
    <row r="14606" s="76" customFormat="1" ht="21.95" customHeight="1" x14ac:dyDescent="0.15"/>
    <row r="14607" s="76" customFormat="1" ht="21.95" customHeight="1" x14ac:dyDescent="0.15"/>
    <row r="14608" s="76" customFormat="1" ht="21.95" customHeight="1" x14ac:dyDescent="0.15"/>
    <row r="14609" s="76" customFormat="1" ht="21.95" customHeight="1" x14ac:dyDescent="0.15"/>
    <row r="14610" s="76" customFormat="1" ht="21.95" customHeight="1" x14ac:dyDescent="0.15"/>
    <row r="14611" s="76" customFormat="1" ht="21.95" customHeight="1" x14ac:dyDescent="0.15"/>
    <row r="14612" s="76" customFormat="1" ht="21.95" customHeight="1" x14ac:dyDescent="0.15"/>
    <row r="14613" s="76" customFormat="1" ht="21.95" customHeight="1" x14ac:dyDescent="0.15"/>
    <row r="14614" s="76" customFormat="1" ht="21.95" customHeight="1" x14ac:dyDescent="0.15"/>
    <row r="14615" s="76" customFormat="1" ht="21.95" customHeight="1" x14ac:dyDescent="0.15"/>
    <row r="14616" s="76" customFormat="1" ht="21.95" customHeight="1" x14ac:dyDescent="0.15"/>
    <row r="14617" s="76" customFormat="1" ht="21.95" customHeight="1" x14ac:dyDescent="0.15"/>
    <row r="14618" s="76" customFormat="1" ht="21.95" customHeight="1" x14ac:dyDescent="0.15"/>
    <row r="14619" s="76" customFormat="1" ht="21.95" customHeight="1" x14ac:dyDescent="0.15"/>
    <row r="14620" s="76" customFormat="1" ht="21.95" customHeight="1" x14ac:dyDescent="0.15"/>
    <row r="14621" s="76" customFormat="1" ht="21.95" customHeight="1" x14ac:dyDescent="0.15"/>
    <row r="14622" s="76" customFormat="1" ht="21.95" customHeight="1" x14ac:dyDescent="0.15"/>
    <row r="14623" s="76" customFormat="1" ht="21.95" customHeight="1" x14ac:dyDescent="0.15"/>
    <row r="14624" s="76" customFormat="1" ht="21.95" customHeight="1" x14ac:dyDescent="0.15"/>
    <row r="14625" s="76" customFormat="1" ht="21.95" customHeight="1" x14ac:dyDescent="0.15"/>
    <row r="14626" s="76" customFormat="1" ht="21.95" customHeight="1" x14ac:dyDescent="0.15"/>
    <row r="14627" s="76" customFormat="1" ht="21.95" customHeight="1" x14ac:dyDescent="0.15"/>
    <row r="14628" s="76" customFormat="1" ht="21.95" customHeight="1" x14ac:dyDescent="0.15"/>
    <row r="14629" s="76" customFormat="1" ht="21.95" customHeight="1" x14ac:dyDescent="0.15"/>
    <row r="14630" s="76" customFormat="1" ht="21.95" customHeight="1" x14ac:dyDescent="0.15"/>
    <row r="14631" s="76" customFormat="1" ht="21.95" customHeight="1" x14ac:dyDescent="0.15"/>
    <row r="14632" s="76" customFormat="1" ht="21.95" customHeight="1" x14ac:dyDescent="0.15"/>
    <row r="14633" s="76" customFormat="1" ht="21.95" customHeight="1" x14ac:dyDescent="0.15"/>
    <row r="14634" s="76" customFormat="1" ht="21.95" customHeight="1" x14ac:dyDescent="0.15"/>
    <row r="14635" s="76" customFormat="1" ht="21.95" customHeight="1" x14ac:dyDescent="0.15"/>
    <row r="14636" s="76" customFormat="1" ht="21.95" customHeight="1" x14ac:dyDescent="0.15"/>
    <row r="14637" s="76" customFormat="1" ht="21.95" customHeight="1" x14ac:dyDescent="0.15"/>
    <row r="14638" s="76" customFormat="1" ht="21.95" customHeight="1" x14ac:dyDescent="0.15"/>
    <row r="14639" s="76" customFormat="1" ht="21.95" customHeight="1" x14ac:dyDescent="0.15"/>
    <row r="14640" s="76" customFormat="1" ht="21.95" customHeight="1" x14ac:dyDescent="0.15"/>
    <row r="14641" s="76" customFormat="1" ht="21.95" customHeight="1" x14ac:dyDescent="0.15"/>
    <row r="14642" s="76" customFormat="1" ht="21.95" customHeight="1" x14ac:dyDescent="0.15"/>
    <row r="14643" s="76" customFormat="1" ht="21.95" customHeight="1" x14ac:dyDescent="0.15"/>
    <row r="14644" s="76" customFormat="1" ht="21.95" customHeight="1" x14ac:dyDescent="0.15"/>
    <row r="14645" s="76" customFormat="1" ht="21.95" customHeight="1" x14ac:dyDescent="0.15"/>
    <row r="14646" s="76" customFormat="1" ht="21.95" customHeight="1" x14ac:dyDescent="0.15"/>
    <row r="14647" s="76" customFormat="1" ht="21.95" customHeight="1" x14ac:dyDescent="0.15"/>
    <row r="14648" s="76" customFormat="1" ht="21.95" customHeight="1" x14ac:dyDescent="0.15"/>
    <row r="14649" s="76" customFormat="1" ht="35.1" customHeight="1" x14ac:dyDescent="0.15"/>
    <row r="14650" s="76" customFormat="1" ht="21.95" customHeight="1" x14ac:dyDescent="0.15"/>
    <row r="14651" s="76" customFormat="1" ht="21.95" customHeight="1" x14ac:dyDescent="0.15"/>
    <row r="14652" s="76" customFormat="1" ht="21.95" customHeight="1" x14ac:dyDescent="0.15"/>
    <row r="14653" s="76" customFormat="1" ht="21.95" customHeight="1" x14ac:dyDescent="0.15"/>
    <row r="14654" s="76" customFormat="1" ht="21.95" customHeight="1" x14ac:dyDescent="0.15"/>
    <row r="14655" s="76" customFormat="1" ht="21.95" customHeight="1" x14ac:dyDescent="0.15"/>
    <row r="14656" s="76" customFormat="1" ht="21.95" customHeight="1" x14ac:dyDescent="0.15"/>
    <row r="14657" s="76" customFormat="1" ht="21.95" customHeight="1" x14ac:dyDescent="0.15"/>
    <row r="14658" s="76" customFormat="1" ht="21.95" customHeight="1" x14ac:dyDescent="0.15"/>
    <row r="14659" s="76" customFormat="1" ht="21.95" customHeight="1" x14ac:dyDescent="0.15"/>
    <row r="14660" s="76" customFormat="1" ht="21.95" customHeight="1" x14ac:dyDescent="0.15"/>
    <row r="14661" s="76" customFormat="1" ht="21.95" customHeight="1" x14ac:dyDescent="0.15"/>
    <row r="14662" s="76" customFormat="1" ht="21.95" customHeight="1" x14ac:dyDescent="0.15"/>
    <row r="14663" s="76" customFormat="1" ht="21.95" customHeight="1" x14ac:dyDescent="0.15"/>
    <row r="14664" s="76" customFormat="1" ht="21.95" customHeight="1" x14ac:dyDescent="0.15"/>
    <row r="14665" s="76" customFormat="1" ht="21.95" customHeight="1" x14ac:dyDescent="0.15"/>
    <row r="14666" s="76" customFormat="1" ht="21.95" customHeight="1" x14ac:dyDescent="0.15"/>
    <row r="14667" s="76" customFormat="1" ht="21.95" customHeight="1" x14ac:dyDescent="0.15"/>
    <row r="14668" s="76" customFormat="1" ht="21.95" customHeight="1" x14ac:dyDescent="0.15"/>
    <row r="14669" s="76" customFormat="1" ht="21.95" customHeight="1" x14ac:dyDescent="0.15"/>
    <row r="14670" s="76" customFormat="1" ht="21.95" customHeight="1" x14ac:dyDescent="0.15"/>
    <row r="14671" s="76" customFormat="1" ht="21.95" customHeight="1" x14ac:dyDescent="0.15"/>
    <row r="14672" s="76" customFormat="1" ht="21.95" customHeight="1" x14ac:dyDescent="0.15"/>
    <row r="14673" spans="3:3" customFormat="1" ht="21.95" customHeight="1" x14ac:dyDescent="0.15"/>
    <row r="14674" spans="3:3" customFormat="1" ht="21.95" customHeight="1" x14ac:dyDescent="0.15"/>
    <row r="14675" spans="3:3" customFormat="1" ht="21.95" customHeight="1" x14ac:dyDescent="0.15">
      <c r="C14675" s="94"/>
    </row>
    <row r="14676" spans="3:3" customFormat="1" ht="21.95" customHeight="1" x14ac:dyDescent="0.15">
      <c r="C14676" s="94"/>
    </row>
    <row r="14677" spans="3:3" customFormat="1" ht="21.95" customHeight="1" x14ac:dyDescent="0.15"/>
    <row r="14678" spans="3:3" customFormat="1" ht="21.95" customHeight="1" x14ac:dyDescent="0.15"/>
    <row r="14679" spans="3:3" customFormat="1" ht="21.95" customHeight="1" x14ac:dyDescent="0.15"/>
    <row r="14680" spans="3:3" customFormat="1" ht="21.95" customHeight="1" x14ac:dyDescent="0.15"/>
    <row r="14681" spans="3:3" customFormat="1" ht="21.95" customHeight="1" x14ac:dyDescent="0.15"/>
    <row r="14682" spans="3:3" customFormat="1" ht="21.95" customHeight="1" x14ac:dyDescent="0.15"/>
    <row r="14683" spans="3:3" customFormat="1" ht="21.95" customHeight="1" x14ac:dyDescent="0.15"/>
    <row r="14684" spans="3:3" s="76" customFormat="1" ht="21.95" customHeight="1" x14ac:dyDescent="0.15"/>
    <row r="14685" spans="3:3" s="76" customFormat="1" ht="21.95" customHeight="1" x14ac:dyDescent="0.15"/>
    <row r="14686" spans="3:3" s="76" customFormat="1" ht="21.95" customHeight="1" x14ac:dyDescent="0.15"/>
    <row r="14687" spans="3:3" s="76" customFormat="1" ht="21.95" customHeight="1" x14ac:dyDescent="0.15"/>
    <row r="14688" spans="3:3" customFormat="1" ht="21.95" customHeight="1" x14ac:dyDescent="0.15"/>
    <row r="14689" customFormat="1" ht="21.95" customHeight="1" x14ac:dyDescent="0.15"/>
    <row r="14690" customFormat="1" ht="21.95" customHeight="1" x14ac:dyDescent="0.15"/>
    <row r="14691" customFormat="1" ht="21.95" customHeight="1" x14ac:dyDescent="0.15"/>
    <row r="14692" customFormat="1" ht="21.95" customHeight="1" x14ac:dyDescent="0.15"/>
    <row r="14693" customFormat="1" ht="21.95" customHeight="1" x14ac:dyDescent="0.15"/>
    <row r="14694" customFormat="1" ht="21.95" customHeight="1" x14ac:dyDescent="0.15"/>
    <row r="14695" customFormat="1" ht="21.95" customHeight="1" x14ac:dyDescent="0.15"/>
    <row r="14696" customFormat="1" ht="21.95" customHeight="1" x14ac:dyDescent="0.15"/>
    <row r="14697" customFormat="1" ht="21.95" customHeight="1" x14ac:dyDescent="0.15"/>
    <row r="14698" customFormat="1" ht="21.95" customHeight="1" x14ac:dyDescent="0.15"/>
    <row r="14699" customFormat="1" ht="32.1" customHeight="1" x14ac:dyDescent="0.15"/>
    <row r="14700" customFormat="1" ht="32.1" customHeight="1" x14ac:dyDescent="0.15"/>
    <row r="14701" customFormat="1" ht="32.1" customHeight="1" x14ac:dyDescent="0.15"/>
    <row r="14702" customFormat="1" ht="32.1" customHeight="1" x14ac:dyDescent="0.15"/>
    <row r="14703" customFormat="1" ht="32.1" customHeight="1" x14ac:dyDescent="0.15"/>
    <row r="14704" customFormat="1" ht="32.1" customHeight="1" x14ac:dyDescent="0.15"/>
    <row r="14705" s="76" customFormat="1" ht="32.1" customHeight="1" x14ac:dyDescent="0.15"/>
    <row r="14706" s="76" customFormat="1" ht="32.1" customHeight="1" x14ac:dyDescent="0.15"/>
    <row r="14707" s="76" customFormat="1" ht="32.1" customHeight="1" x14ac:dyDescent="0.15"/>
    <row r="14708" s="76" customFormat="1" ht="32.1" customHeight="1" x14ac:dyDescent="0.15"/>
    <row r="14709" s="76" customFormat="1" ht="21.95" customHeight="1" x14ac:dyDescent="0.15"/>
    <row r="14710" s="76" customFormat="1" ht="54" customHeight="1" x14ac:dyDescent="0.15"/>
    <row r="14711" s="76" customFormat="1" ht="21.95" customHeight="1" x14ac:dyDescent="0.15"/>
    <row r="14712" s="76" customFormat="1" ht="21.95" customHeight="1" x14ac:dyDescent="0.15"/>
    <row r="14713" s="76" customFormat="1" ht="21.95" customHeight="1" x14ac:dyDescent="0.15"/>
    <row r="14714" s="76" customFormat="1" ht="21.95" customHeight="1" x14ac:dyDescent="0.15"/>
    <row r="14715" s="76" customFormat="1" ht="21.95" customHeight="1" x14ac:dyDescent="0.15"/>
    <row r="14716" s="76" customFormat="1" ht="21.95" customHeight="1" x14ac:dyDescent="0.15"/>
    <row r="14717" s="76" customFormat="1" ht="21.95" customHeight="1" x14ac:dyDescent="0.15"/>
    <row r="14718" s="76" customFormat="1" ht="21.95" customHeight="1" x14ac:dyDescent="0.15"/>
    <row r="14719" s="76" customFormat="1" ht="21.95" customHeight="1" x14ac:dyDescent="0.15"/>
    <row r="14720" s="76" customFormat="1" ht="21.95" customHeight="1" x14ac:dyDescent="0.15"/>
    <row r="14721" s="76" customFormat="1" ht="21.95" customHeight="1" x14ac:dyDescent="0.15"/>
    <row r="14722" s="76" customFormat="1" ht="21.95" customHeight="1" x14ac:dyDescent="0.15"/>
    <row r="14723" s="76" customFormat="1" ht="21.95" customHeight="1" x14ac:dyDescent="0.15"/>
    <row r="14724" s="76" customFormat="1" ht="21.95" customHeight="1" x14ac:dyDescent="0.15"/>
    <row r="14725" s="76" customFormat="1" ht="21.95" customHeight="1" x14ac:dyDescent="0.15"/>
    <row r="14726" s="76" customFormat="1" ht="21.95" customHeight="1" x14ac:dyDescent="0.15"/>
    <row r="14727" s="76" customFormat="1" ht="21.95" customHeight="1" x14ac:dyDescent="0.15"/>
    <row r="14728" s="76" customFormat="1" ht="21.95" customHeight="1" x14ac:dyDescent="0.15"/>
    <row r="14729" s="76" customFormat="1" ht="21.95" customHeight="1" x14ac:dyDescent="0.15"/>
    <row r="14730" s="76" customFormat="1" ht="21.95" customHeight="1" x14ac:dyDescent="0.15"/>
    <row r="14731" s="76" customFormat="1" ht="21.95" customHeight="1" x14ac:dyDescent="0.15"/>
    <row r="14732" s="76" customFormat="1" ht="21.95" customHeight="1" x14ac:dyDescent="0.15"/>
    <row r="14733" s="76" customFormat="1" ht="21.95" customHeight="1" x14ac:dyDescent="0.15"/>
    <row r="14734" s="76" customFormat="1" ht="21.95" customHeight="1" x14ac:dyDescent="0.15"/>
    <row r="14735" s="76" customFormat="1" ht="21.95" customHeight="1" x14ac:dyDescent="0.15"/>
    <row r="14736" s="76" customFormat="1" ht="21.95" customHeight="1" x14ac:dyDescent="0.15"/>
    <row r="14737" s="76" customFormat="1" ht="21.95" customHeight="1" x14ac:dyDescent="0.15"/>
    <row r="14738" s="76" customFormat="1" ht="21.95" customHeight="1" x14ac:dyDescent="0.15"/>
    <row r="14739" s="76" customFormat="1" ht="21.95" customHeight="1" x14ac:dyDescent="0.15"/>
    <row r="14740" s="76" customFormat="1" ht="21.95" customHeight="1" x14ac:dyDescent="0.15"/>
    <row r="14741" s="76" customFormat="1" ht="21.95" customHeight="1" x14ac:dyDescent="0.15"/>
    <row r="14742" s="76" customFormat="1" ht="21.95" customHeight="1" x14ac:dyDescent="0.15"/>
    <row r="14743" s="76" customFormat="1" ht="21.95" customHeight="1" x14ac:dyDescent="0.15"/>
    <row r="14744" s="76" customFormat="1" ht="21.95" customHeight="1" x14ac:dyDescent="0.15"/>
    <row r="14745" s="76" customFormat="1" ht="21.95" customHeight="1" x14ac:dyDescent="0.15"/>
    <row r="14746" s="76" customFormat="1" ht="21.95" customHeight="1" x14ac:dyDescent="0.15"/>
    <row r="14747" s="76" customFormat="1" ht="21.95" customHeight="1" x14ac:dyDescent="0.15"/>
    <row r="14748" s="76" customFormat="1" ht="21.95" customHeight="1" x14ac:dyDescent="0.15"/>
    <row r="14749" s="76" customFormat="1" ht="21.95" customHeight="1" x14ac:dyDescent="0.15"/>
    <row r="14750" s="76" customFormat="1" ht="21.95" customHeight="1" x14ac:dyDescent="0.15"/>
    <row r="14751" s="76" customFormat="1" ht="21.95" customHeight="1" x14ac:dyDescent="0.15"/>
    <row r="14752" s="76" customFormat="1" ht="21.95" customHeight="1" x14ac:dyDescent="0.15"/>
    <row r="14753" s="76" customFormat="1" ht="21.95" customHeight="1" x14ac:dyDescent="0.15"/>
    <row r="14754" s="76" customFormat="1" ht="21.95" customHeight="1" x14ac:dyDescent="0.15"/>
    <row r="14755" s="76" customFormat="1" ht="21.95" customHeight="1" x14ac:dyDescent="0.15"/>
    <row r="14756" s="76" customFormat="1" ht="21.95" customHeight="1" x14ac:dyDescent="0.15"/>
    <row r="14757" s="76" customFormat="1" ht="21.95" customHeight="1" x14ac:dyDescent="0.15"/>
    <row r="14758" s="76" customFormat="1" ht="21.95" customHeight="1" x14ac:dyDescent="0.15"/>
    <row r="14759" s="76" customFormat="1" ht="21.95" customHeight="1" x14ac:dyDescent="0.15"/>
    <row r="14760" s="76" customFormat="1" ht="21.95" customHeight="1" x14ac:dyDescent="0.15"/>
    <row r="14761" s="76" customFormat="1" ht="35.1" customHeight="1" x14ac:dyDescent="0.15"/>
    <row r="14762" s="76" customFormat="1" ht="21.95" customHeight="1" x14ac:dyDescent="0.15"/>
    <row r="14763" s="76" customFormat="1" ht="21.95" customHeight="1" x14ac:dyDescent="0.15"/>
    <row r="14764" s="76" customFormat="1" ht="21.95" customHeight="1" x14ac:dyDescent="0.15"/>
    <row r="14765" s="76" customFormat="1" ht="21.95" customHeight="1" x14ac:dyDescent="0.15"/>
    <row r="14766" s="76" customFormat="1" ht="21.95" customHeight="1" x14ac:dyDescent="0.15"/>
    <row r="14767" s="76" customFormat="1" ht="21.95" customHeight="1" x14ac:dyDescent="0.15"/>
    <row r="14768" s="76" customFormat="1" ht="21.95" customHeight="1" x14ac:dyDescent="0.15"/>
    <row r="14769" s="76" customFormat="1" ht="21.95" customHeight="1" x14ac:dyDescent="0.15"/>
    <row r="14770" s="76" customFormat="1" ht="21.95" customHeight="1" x14ac:dyDescent="0.15"/>
    <row r="14771" s="76" customFormat="1" ht="21.95" customHeight="1" x14ac:dyDescent="0.15"/>
    <row r="14772" s="76" customFormat="1" ht="21.95" customHeight="1" x14ac:dyDescent="0.15"/>
    <row r="14773" s="76" customFormat="1" ht="21.95" customHeight="1" x14ac:dyDescent="0.15"/>
    <row r="14774" s="76" customFormat="1" ht="21.95" customHeight="1" x14ac:dyDescent="0.15"/>
    <row r="14775" s="76" customFormat="1" ht="21.95" customHeight="1" x14ac:dyDescent="0.15"/>
    <row r="14776" s="76" customFormat="1" ht="21.95" customHeight="1" x14ac:dyDescent="0.15"/>
    <row r="14777" s="76" customFormat="1" ht="21.95" customHeight="1" x14ac:dyDescent="0.15"/>
    <row r="14778" s="76" customFormat="1" ht="21.95" customHeight="1" x14ac:dyDescent="0.15"/>
    <row r="14779" s="76" customFormat="1" ht="21.95" customHeight="1" x14ac:dyDescent="0.15"/>
    <row r="14780" s="76" customFormat="1" ht="21.95" customHeight="1" x14ac:dyDescent="0.15"/>
    <row r="14781" s="76" customFormat="1" ht="21.95" customHeight="1" x14ac:dyDescent="0.15"/>
    <row r="14782" s="76" customFormat="1" ht="21.95" customHeight="1" x14ac:dyDescent="0.15"/>
    <row r="14783" s="76" customFormat="1" ht="21.95" customHeight="1" x14ac:dyDescent="0.15"/>
    <row r="14784" s="76" customFormat="1" ht="21.95" customHeight="1" x14ac:dyDescent="0.15"/>
    <row r="14785" spans="3:3" customFormat="1" ht="21.95" customHeight="1" x14ac:dyDescent="0.15"/>
    <row r="14786" spans="3:3" customFormat="1" ht="21.95" customHeight="1" x14ac:dyDescent="0.15"/>
    <row r="14787" spans="3:3" customFormat="1" ht="21.95" customHeight="1" x14ac:dyDescent="0.15">
      <c r="C14787" s="94"/>
    </row>
    <row r="14788" spans="3:3" customFormat="1" ht="21.95" customHeight="1" x14ac:dyDescent="0.15">
      <c r="C14788" s="94"/>
    </row>
    <row r="14789" spans="3:3" customFormat="1" ht="21.95" customHeight="1" x14ac:dyDescent="0.15"/>
    <row r="14790" spans="3:3" customFormat="1" ht="21.95" customHeight="1" x14ac:dyDescent="0.15"/>
    <row r="14791" spans="3:3" customFormat="1" ht="21.95" customHeight="1" x14ac:dyDescent="0.15"/>
    <row r="14792" spans="3:3" customFormat="1" ht="21.95" customHeight="1" x14ac:dyDescent="0.15"/>
    <row r="14793" spans="3:3" customFormat="1" ht="21.95" customHeight="1" x14ac:dyDescent="0.15"/>
    <row r="14794" spans="3:3" customFormat="1" ht="21.95" customHeight="1" x14ac:dyDescent="0.15"/>
    <row r="14795" spans="3:3" customFormat="1" ht="21.95" customHeight="1" x14ac:dyDescent="0.15"/>
    <row r="14796" spans="3:3" s="76" customFormat="1" ht="21.95" customHeight="1" x14ac:dyDescent="0.15"/>
    <row r="14797" spans="3:3" s="76" customFormat="1" ht="21.95" customHeight="1" x14ac:dyDescent="0.15"/>
    <row r="14798" spans="3:3" s="76" customFormat="1" ht="21.95" customHeight="1" x14ac:dyDescent="0.15"/>
    <row r="14799" spans="3:3" s="76" customFormat="1" ht="21.95" customHeight="1" x14ac:dyDescent="0.15"/>
    <row r="14800" spans="3:3" customFormat="1" ht="21.95" customHeight="1" x14ac:dyDescent="0.15"/>
    <row r="14801" customFormat="1" ht="21.95" customHeight="1" x14ac:dyDescent="0.15"/>
    <row r="14802" customFormat="1" ht="21.95" customHeight="1" x14ac:dyDescent="0.15"/>
    <row r="14803" customFormat="1" ht="21.95" customHeight="1" x14ac:dyDescent="0.15"/>
    <row r="14804" customFormat="1" ht="21.95" customHeight="1" x14ac:dyDescent="0.15"/>
    <row r="14805" customFormat="1" ht="21.95" customHeight="1" x14ac:dyDescent="0.15"/>
    <row r="14806" customFormat="1" ht="21.95" customHeight="1" x14ac:dyDescent="0.15"/>
    <row r="14807" customFormat="1" ht="21.95" customHeight="1" x14ac:dyDescent="0.15"/>
    <row r="14808" customFormat="1" ht="21.95" customHeight="1" x14ac:dyDescent="0.15"/>
    <row r="14809" customFormat="1" ht="21.95" customHeight="1" x14ac:dyDescent="0.15"/>
    <row r="14810" customFormat="1" ht="21.95" customHeight="1" x14ac:dyDescent="0.15"/>
    <row r="14811" customFormat="1" ht="32.1" customHeight="1" x14ac:dyDescent="0.15"/>
    <row r="14812" customFormat="1" ht="32.1" customHeight="1" x14ac:dyDescent="0.15"/>
    <row r="14813" customFormat="1" ht="32.1" customHeight="1" x14ac:dyDescent="0.15"/>
    <row r="14814" customFormat="1" ht="32.1" customHeight="1" x14ac:dyDescent="0.15"/>
    <row r="14815" customFormat="1" ht="32.1" customHeight="1" x14ac:dyDescent="0.15"/>
    <row r="14816" customFormat="1" ht="32.1" customHeight="1" x14ac:dyDescent="0.15"/>
    <row r="14817" s="76" customFormat="1" ht="32.1" customHeight="1" x14ac:dyDescent="0.15"/>
    <row r="14818" s="76" customFormat="1" ht="32.1" customHeight="1" x14ac:dyDescent="0.15"/>
    <row r="14819" s="76" customFormat="1" ht="32.1" customHeight="1" x14ac:dyDescent="0.15"/>
    <row r="14820" s="76" customFormat="1" ht="32.1" customHeight="1" x14ac:dyDescent="0.15"/>
    <row r="14821" s="76" customFormat="1" ht="21.95" customHeight="1" x14ac:dyDescent="0.15"/>
    <row r="14822" s="76" customFormat="1" ht="54" customHeight="1" x14ac:dyDescent="0.15"/>
    <row r="14823" s="76" customFormat="1" ht="21.95" customHeight="1" x14ac:dyDescent="0.15"/>
    <row r="14824" s="76" customFormat="1" ht="21.95" customHeight="1" x14ac:dyDescent="0.15"/>
    <row r="14825" s="76" customFormat="1" ht="21.95" customHeight="1" x14ac:dyDescent="0.15"/>
    <row r="14826" s="76" customFormat="1" ht="21.95" customHeight="1" x14ac:dyDescent="0.15"/>
    <row r="14827" s="76" customFormat="1" ht="21.95" customHeight="1" x14ac:dyDescent="0.15"/>
    <row r="14828" s="76" customFormat="1" ht="21.95" customHeight="1" x14ac:dyDescent="0.15"/>
    <row r="14829" s="76" customFormat="1" ht="21.95" customHeight="1" x14ac:dyDescent="0.15"/>
    <row r="14830" s="76" customFormat="1" ht="21.95" customHeight="1" x14ac:dyDescent="0.15"/>
    <row r="14831" s="76" customFormat="1" ht="21.95" customHeight="1" x14ac:dyDescent="0.15"/>
    <row r="14832" s="76" customFormat="1" ht="21.95" customHeight="1" x14ac:dyDescent="0.15"/>
    <row r="14833" s="76" customFormat="1" ht="21.95" customHeight="1" x14ac:dyDescent="0.15"/>
    <row r="14834" s="76" customFormat="1" ht="21.95" customHeight="1" x14ac:dyDescent="0.15"/>
    <row r="14835" s="76" customFormat="1" ht="21.95" customHeight="1" x14ac:dyDescent="0.15"/>
    <row r="14836" s="76" customFormat="1" ht="21.95" customHeight="1" x14ac:dyDescent="0.15"/>
    <row r="14837" s="76" customFormat="1" ht="21.95" customHeight="1" x14ac:dyDescent="0.15"/>
    <row r="14838" s="76" customFormat="1" ht="21.95" customHeight="1" x14ac:dyDescent="0.15"/>
    <row r="14839" s="76" customFormat="1" ht="21.95" customHeight="1" x14ac:dyDescent="0.15"/>
    <row r="14840" s="76" customFormat="1" ht="21.95" customHeight="1" x14ac:dyDescent="0.15"/>
    <row r="14841" s="76" customFormat="1" ht="21.95" customHeight="1" x14ac:dyDescent="0.15"/>
    <row r="14842" s="76" customFormat="1" ht="21.95" customHeight="1" x14ac:dyDescent="0.15"/>
    <row r="14843" s="76" customFormat="1" ht="21.95" customHeight="1" x14ac:dyDescent="0.15"/>
    <row r="14844" s="76" customFormat="1" ht="21.95" customHeight="1" x14ac:dyDescent="0.15"/>
    <row r="14845" s="76" customFormat="1" ht="21.95" customHeight="1" x14ac:dyDescent="0.15"/>
    <row r="14846" s="76" customFormat="1" ht="21.95" customHeight="1" x14ac:dyDescent="0.15"/>
    <row r="14847" s="76" customFormat="1" ht="21.95" customHeight="1" x14ac:dyDescent="0.15"/>
    <row r="14848" s="76" customFormat="1" ht="21.95" customHeight="1" x14ac:dyDescent="0.15"/>
    <row r="14849" s="76" customFormat="1" ht="21.95" customHeight="1" x14ac:dyDescent="0.15"/>
    <row r="14850" s="76" customFormat="1" ht="21.95" customHeight="1" x14ac:dyDescent="0.15"/>
    <row r="14851" s="76" customFormat="1" ht="21.95" customHeight="1" x14ac:dyDescent="0.15"/>
    <row r="14852" s="76" customFormat="1" ht="21.95" customHeight="1" x14ac:dyDescent="0.15"/>
    <row r="14853" s="76" customFormat="1" ht="21.95" customHeight="1" x14ac:dyDescent="0.15"/>
    <row r="14854" s="76" customFormat="1" ht="21.95" customHeight="1" x14ac:dyDescent="0.15"/>
    <row r="14855" s="76" customFormat="1" ht="21.95" customHeight="1" x14ac:dyDescent="0.15"/>
    <row r="14856" s="76" customFormat="1" ht="21.95" customHeight="1" x14ac:dyDescent="0.15"/>
    <row r="14857" s="76" customFormat="1" ht="21.95" customHeight="1" x14ac:dyDescent="0.15"/>
    <row r="14858" s="76" customFormat="1" ht="21.95" customHeight="1" x14ac:dyDescent="0.15"/>
    <row r="14859" s="76" customFormat="1" ht="21.95" customHeight="1" x14ac:dyDescent="0.15"/>
    <row r="14860" s="76" customFormat="1" ht="21.95" customHeight="1" x14ac:dyDescent="0.15"/>
    <row r="14861" s="76" customFormat="1" ht="21.95" customHeight="1" x14ac:dyDescent="0.15"/>
    <row r="14862" s="76" customFormat="1" ht="21.95" customHeight="1" x14ac:dyDescent="0.15"/>
    <row r="14863" s="76" customFormat="1" ht="21.95" customHeight="1" x14ac:dyDescent="0.15"/>
    <row r="14864" s="76" customFormat="1" ht="21.95" customHeight="1" x14ac:dyDescent="0.15"/>
    <row r="14865" s="76" customFormat="1" ht="21.95" customHeight="1" x14ac:dyDescent="0.15"/>
    <row r="14866" s="76" customFormat="1" ht="21.95" customHeight="1" x14ac:dyDescent="0.15"/>
    <row r="14867" s="76" customFormat="1" ht="21.95" customHeight="1" x14ac:dyDescent="0.15"/>
    <row r="14868" s="76" customFormat="1" ht="21.95" customHeight="1" x14ac:dyDescent="0.15"/>
    <row r="14869" s="76" customFormat="1" ht="21.95" customHeight="1" x14ac:dyDescent="0.15"/>
    <row r="14870" s="76" customFormat="1" ht="21.95" customHeight="1" x14ac:dyDescent="0.15"/>
    <row r="14871" s="76" customFormat="1" ht="21.95" customHeight="1" x14ac:dyDescent="0.15"/>
    <row r="14872" s="76" customFormat="1" ht="21.95" customHeight="1" x14ac:dyDescent="0.15"/>
    <row r="14873" s="76" customFormat="1" ht="35.1" customHeight="1" x14ac:dyDescent="0.15"/>
    <row r="14874" s="76" customFormat="1" ht="21.95" customHeight="1" x14ac:dyDescent="0.15"/>
    <row r="14875" s="76" customFormat="1" ht="21.95" customHeight="1" x14ac:dyDescent="0.15"/>
    <row r="14876" s="76" customFormat="1" ht="21.95" customHeight="1" x14ac:dyDescent="0.15"/>
    <row r="14877" s="76" customFormat="1" ht="21.95" customHeight="1" x14ac:dyDescent="0.15"/>
    <row r="14878" s="76" customFormat="1" ht="21.95" customHeight="1" x14ac:dyDescent="0.15"/>
    <row r="14879" s="76" customFormat="1" ht="21.95" customHeight="1" x14ac:dyDescent="0.15"/>
    <row r="14880" s="76" customFormat="1" ht="21.95" customHeight="1" x14ac:dyDescent="0.15"/>
    <row r="14881" s="76" customFormat="1" ht="21.95" customHeight="1" x14ac:dyDescent="0.15"/>
    <row r="14882" s="76" customFormat="1" ht="21.95" customHeight="1" x14ac:dyDescent="0.15"/>
    <row r="14883" s="76" customFormat="1" ht="21.95" customHeight="1" x14ac:dyDescent="0.15"/>
    <row r="14884" s="76" customFormat="1" ht="21.95" customHeight="1" x14ac:dyDescent="0.15"/>
    <row r="14885" s="76" customFormat="1" ht="21.95" customHeight="1" x14ac:dyDescent="0.15"/>
    <row r="14886" s="76" customFormat="1" ht="21.95" customHeight="1" x14ac:dyDescent="0.15"/>
    <row r="14887" s="76" customFormat="1" ht="21.95" customHeight="1" x14ac:dyDescent="0.15"/>
    <row r="14888" s="76" customFormat="1" ht="21.95" customHeight="1" x14ac:dyDescent="0.15"/>
    <row r="14889" s="76" customFormat="1" ht="21.95" customHeight="1" x14ac:dyDescent="0.15"/>
    <row r="14890" s="76" customFormat="1" ht="21.95" customHeight="1" x14ac:dyDescent="0.15"/>
    <row r="14891" s="76" customFormat="1" ht="21.95" customHeight="1" x14ac:dyDescent="0.15"/>
    <row r="14892" s="76" customFormat="1" ht="21.95" customHeight="1" x14ac:dyDescent="0.15"/>
    <row r="14893" s="76" customFormat="1" ht="21.95" customHeight="1" x14ac:dyDescent="0.15"/>
    <row r="14894" s="76" customFormat="1" ht="21.95" customHeight="1" x14ac:dyDescent="0.15"/>
    <row r="14895" s="76" customFormat="1" ht="21.95" customHeight="1" x14ac:dyDescent="0.15"/>
    <row r="14896" s="76" customFormat="1" ht="21.95" customHeight="1" x14ac:dyDescent="0.15"/>
    <row r="14897" spans="3:3" customFormat="1" ht="21.95" customHeight="1" x14ac:dyDescent="0.15"/>
    <row r="14898" spans="3:3" customFormat="1" ht="21.95" customHeight="1" x14ac:dyDescent="0.15"/>
    <row r="14899" spans="3:3" customFormat="1" ht="21.95" customHeight="1" x14ac:dyDescent="0.15">
      <c r="C14899" s="94"/>
    </row>
    <row r="14900" spans="3:3" customFormat="1" ht="21.95" customHeight="1" x14ac:dyDescent="0.15">
      <c r="C14900" s="94"/>
    </row>
    <row r="14901" spans="3:3" customFormat="1" ht="21.95" customHeight="1" x14ac:dyDescent="0.15"/>
    <row r="14902" spans="3:3" customFormat="1" ht="21.95" customHeight="1" x14ac:dyDescent="0.15"/>
    <row r="14903" spans="3:3" customFormat="1" ht="21.95" customHeight="1" x14ac:dyDescent="0.15"/>
    <row r="14904" spans="3:3" customFormat="1" ht="21.95" customHeight="1" x14ac:dyDescent="0.15"/>
    <row r="14905" spans="3:3" customFormat="1" ht="21.95" customHeight="1" x14ac:dyDescent="0.15"/>
    <row r="14906" spans="3:3" customFormat="1" ht="21.95" customHeight="1" x14ac:dyDescent="0.15"/>
    <row r="14907" spans="3:3" customFormat="1" ht="21.95" customHeight="1" x14ac:dyDescent="0.15"/>
    <row r="14908" spans="3:3" s="76" customFormat="1" ht="21.95" customHeight="1" x14ac:dyDescent="0.15"/>
    <row r="14909" spans="3:3" s="76" customFormat="1" ht="21.95" customHeight="1" x14ac:dyDescent="0.15"/>
    <row r="14910" spans="3:3" s="76" customFormat="1" ht="21.95" customHeight="1" x14ac:dyDescent="0.15"/>
    <row r="14911" spans="3:3" s="76" customFormat="1" ht="21.95" customHeight="1" x14ac:dyDescent="0.15"/>
    <row r="14912" spans="3:3" customFormat="1" ht="21.95" customHeight="1" x14ac:dyDescent="0.15"/>
    <row r="14913" customFormat="1" ht="21.95" customHeight="1" x14ac:dyDescent="0.15"/>
    <row r="14914" customFormat="1" ht="21.95" customHeight="1" x14ac:dyDescent="0.15"/>
    <row r="14915" customFormat="1" ht="21.95" customHeight="1" x14ac:dyDescent="0.15"/>
    <row r="14916" customFormat="1" ht="21.95" customHeight="1" x14ac:dyDescent="0.15"/>
    <row r="14917" customFormat="1" ht="21.95" customHeight="1" x14ac:dyDescent="0.15"/>
    <row r="14918" customFormat="1" ht="21.95" customHeight="1" x14ac:dyDescent="0.15"/>
    <row r="14919" customFormat="1" ht="21.95" customHeight="1" x14ac:dyDescent="0.15"/>
    <row r="14920" customFormat="1" ht="21.95" customHeight="1" x14ac:dyDescent="0.15"/>
    <row r="14921" customFormat="1" ht="21.95" customHeight="1" x14ac:dyDescent="0.15"/>
    <row r="14922" customFormat="1" ht="21.95" customHeight="1" x14ac:dyDescent="0.15"/>
    <row r="14923" customFormat="1" ht="32.1" customHeight="1" x14ac:dyDescent="0.15"/>
    <row r="14924" customFormat="1" ht="32.1" customHeight="1" x14ac:dyDescent="0.15"/>
    <row r="14925" customFormat="1" ht="32.1" customHeight="1" x14ac:dyDescent="0.15"/>
    <row r="14926" customFormat="1" ht="32.1" customHeight="1" x14ac:dyDescent="0.15"/>
    <row r="14927" customFormat="1" ht="32.1" customHeight="1" x14ac:dyDescent="0.15"/>
    <row r="14928" customFormat="1" ht="32.1" customHeight="1" x14ac:dyDescent="0.15"/>
    <row r="14929" s="76" customFormat="1" ht="32.1" customHeight="1" x14ac:dyDescent="0.15"/>
    <row r="14930" s="76" customFormat="1" ht="32.1" customHeight="1" x14ac:dyDescent="0.15"/>
    <row r="14931" s="76" customFormat="1" ht="32.1" customHeight="1" x14ac:dyDescent="0.15"/>
    <row r="14932" s="76" customFormat="1" ht="32.1" customHeight="1" x14ac:dyDescent="0.15"/>
    <row r="14933" s="76" customFormat="1" ht="21.95" customHeight="1" x14ac:dyDescent="0.15"/>
    <row r="14934" s="76" customFormat="1" ht="54" customHeight="1" x14ac:dyDescent="0.15"/>
    <row r="14935" s="76" customFormat="1" ht="21.95" customHeight="1" x14ac:dyDescent="0.15"/>
    <row r="14936" s="76" customFormat="1" ht="21.95" customHeight="1" x14ac:dyDescent="0.15"/>
    <row r="14937" s="76" customFormat="1" ht="21.95" customHeight="1" x14ac:dyDescent="0.15"/>
    <row r="14938" s="76" customFormat="1" ht="21.95" customHeight="1" x14ac:dyDescent="0.15"/>
    <row r="14939" s="76" customFormat="1" ht="21.95" customHeight="1" x14ac:dyDescent="0.15"/>
    <row r="14940" s="76" customFormat="1" ht="21.95" customHeight="1" x14ac:dyDescent="0.15"/>
    <row r="14941" s="76" customFormat="1" ht="21.95" customHeight="1" x14ac:dyDescent="0.15"/>
    <row r="14942" s="76" customFormat="1" ht="21.95" customHeight="1" x14ac:dyDescent="0.15"/>
    <row r="14943" s="76" customFormat="1" ht="21.95" customHeight="1" x14ac:dyDescent="0.15"/>
    <row r="14944" s="76" customFormat="1" ht="21.95" customHeight="1" x14ac:dyDescent="0.15"/>
    <row r="14945" s="76" customFormat="1" ht="21.95" customHeight="1" x14ac:dyDescent="0.15"/>
    <row r="14946" s="76" customFormat="1" ht="21.95" customHeight="1" x14ac:dyDescent="0.15"/>
    <row r="14947" s="76" customFormat="1" ht="21.95" customHeight="1" x14ac:dyDescent="0.15"/>
    <row r="14948" s="76" customFormat="1" ht="21.95" customHeight="1" x14ac:dyDescent="0.15"/>
    <row r="14949" s="76" customFormat="1" ht="21.95" customHeight="1" x14ac:dyDescent="0.15"/>
    <row r="14950" s="76" customFormat="1" ht="21.95" customHeight="1" x14ac:dyDescent="0.15"/>
    <row r="14951" s="76" customFormat="1" ht="21.95" customHeight="1" x14ac:dyDescent="0.15"/>
    <row r="14952" s="76" customFormat="1" ht="21.95" customHeight="1" x14ac:dyDescent="0.15"/>
    <row r="14953" s="76" customFormat="1" ht="21.95" customHeight="1" x14ac:dyDescent="0.15"/>
    <row r="14954" s="76" customFormat="1" ht="21.95" customHeight="1" x14ac:dyDescent="0.15"/>
    <row r="14955" s="76" customFormat="1" ht="21.95" customHeight="1" x14ac:dyDescent="0.15"/>
    <row r="14956" s="76" customFormat="1" ht="21.95" customHeight="1" x14ac:dyDescent="0.15"/>
    <row r="14957" s="76" customFormat="1" ht="21.95" customHeight="1" x14ac:dyDescent="0.15"/>
    <row r="14958" s="76" customFormat="1" ht="21.95" customHeight="1" x14ac:dyDescent="0.15"/>
    <row r="14959" s="76" customFormat="1" ht="21.95" customHeight="1" x14ac:dyDescent="0.15"/>
    <row r="14960" s="76" customFormat="1" ht="21.95" customHeight="1" x14ac:dyDescent="0.15"/>
    <row r="14961" s="76" customFormat="1" ht="21.95" customHeight="1" x14ac:dyDescent="0.15"/>
    <row r="14962" s="76" customFormat="1" ht="21.95" customHeight="1" x14ac:dyDescent="0.15"/>
    <row r="14963" s="76" customFormat="1" ht="21.95" customHeight="1" x14ac:dyDescent="0.15"/>
    <row r="14964" s="76" customFormat="1" ht="21.95" customHeight="1" x14ac:dyDescent="0.15"/>
    <row r="14965" s="76" customFormat="1" ht="21.95" customHeight="1" x14ac:dyDescent="0.15"/>
    <row r="14966" s="76" customFormat="1" ht="21.95" customHeight="1" x14ac:dyDescent="0.15"/>
    <row r="14967" s="76" customFormat="1" ht="21.95" customHeight="1" x14ac:dyDescent="0.15"/>
    <row r="14968" s="76" customFormat="1" ht="21.95" customHeight="1" x14ac:dyDescent="0.15"/>
    <row r="14969" s="76" customFormat="1" ht="21.95" customHeight="1" x14ac:dyDescent="0.15"/>
    <row r="14970" s="76" customFormat="1" ht="21.95" customHeight="1" x14ac:dyDescent="0.15"/>
    <row r="14971" s="76" customFormat="1" ht="21.95" customHeight="1" x14ac:dyDescent="0.15"/>
    <row r="14972" s="76" customFormat="1" ht="21.95" customHeight="1" x14ac:dyDescent="0.15"/>
    <row r="14973" s="76" customFormat="1" ht="21.95" customHeight="1" x14ac:dyDescent="0.15"/>
    <row r="14974" s="76" customFormat="1" ht="21.95" customHeight="1" x14ac:dyDescent="0.15"/>
    <row r="14975" s="76" customFormat="1" ht="21.95" customHeight="1" x14ac:dyDescent="0.15"/>
    <row r="14976" s="76" customFormat="1" ht="21.95" customHeight="1" x14ac:dyDescent="0.15"/>
    <row r="14977" s="76" customFormat="1" ht="21.95" customHeight="1" x14ac:dyDescent="0.15"/>
    <row r="14978" s="76" customFormat="1" ht="21.95" customHeight="1" x14ac:dyDescent="0.15"/>
    <row r="14979" s="76" customFormat="1" ht="21.95" customHeight="1" x14ac:dyDescent="0.15"/>
    <row r="14980" s="76" customFormat="1" ht="21.95" customHeight="1" x14ac:dyDescent="0.15"/>
    <row r="14981" s="76" customFormat="1" ht="21.95" customHeight="1" x14ac:dyDescent="0.15"/>
    <row r="14982" s="76" customFormat="1" ht="21.95" customHeight="1" x14ac:dyDescent="0.15"/>
    <row r="14983" s="76" customFormat="1" ht="21.95" customHeight="1" x14ac:dyDescent="0.15"/>
    <row r="14984" s="76" customFormat="1" ht="21.95" customHeight="1" x14ac:dyDescent="0.15"/>
    <row r="14985" s="76" customFormat="1" ht="35.1" customHeight="1" x14ac:dyDescent="0.15"/>
    <row r="14986" s="76" customFormat="1" ht="21.95" customHeight="1" x14ac:dyDescent="0.15"/>
    <row r="14987" s="76" customFormat="1" ht="21.95" customHeight="1" x14ac:dyDescent="0.15"/>
    <row r="14988" s="76" customFormat="1" ht="21.95" customHeight="1" x14ac:dyDescent="0.15"/>
    <row r="14989" s="76" customFormat="1" ht="21.95" customHeight="1" x14ac:dyDescent="0.15"/>
    <row r="14990" s="76" customFormat="1" ht="21.95" customHeight="1" x14ac:dyDescent="0.15"/>
    <row r="14991" s="76" customFormat="1" ht="21.95" customHeight="1" x14ac:dyDescent="0.15"/>
    <row r="14992" s="76" customFormat="1" ht="21.95" customHeight="1" x14ac:dyDescent="0.15"/>
    <row r="14993" s="76" customFormat="1" ht="21.95" customHeight="1" x14ac:dyDescent="0.15"/>
    <row r="14994" s="76" customFormat="1" ht="21.95" customHeight="1" x14ac:dyDescent="0.15"/>
    <row r="14995" s="76" customFormat="1" ht="21.95" customHeight="1" x14ac:dyDescent="0.15"/>
    <row r="14996" s="76" customFormat="1" ht="21.95" customHeight="1" x14ac:dyDescent="0.15"/>
    <row r="14997" s="76" customFormat="1" ht="21.95" customHeight="1" x14ac:dyDescent="0.15"/>
    <row r="14998" s="76" customFormat="1" ht="21.95" customHeight="1" x14ac:dyDescent="0.15"/>
    <row r="14999" s="76" customFormat="1" ht="21.95" customHeight="1" x14ac:dyDescent="0.15"/>
    <row r="15000" s="76" customFormat="1" ht="21.95" customHeight="1" x14ac:dyDescent="0.15"/>
    <row r="15001" s="76" customFormat="1" ht="21.95" customHeight="1" x14ac:dyDescent="0.15"/>
    <row r="15002" s="76" customFormat="1" ht="21.95" customHeight="1" x14ac:dyDescent="0.15"/>
    <row r="15003" s="76" customFormat="1" ht="21.95" customHeight="1" x14ac:dyDescent="0.15"/>
    <row r="15004" s="76" customFormat="1" ht="21.95" customHeight="1" x14ac:dyDescent="0.15"/>
    <row r="15005" s="76" customFormat="1" ht="21.95" customHeight="1" x14ac:dyDescent="0.15"/>
    <row r="15006" s="76" customFormat="1" ht="21.95" customHeight="1" x14ac:dyDescent="0.15"/>
    <row r="15007" s="76" customFormat="1" ht="21.95" customHeight="1" x14ac:dyDescent="0.15"/>
    <row r="15008" s="76" customFormat="1" ht="21.95" customHeight="1" x14ac:dyDescent="0.15"/>
    <row r="15009" spans="3:3" customFormat="1" ht="21.95" customHeight="1" x14ac:dyDescent="0.15"/>
    <row r="15010" spans="3:3" customFormat="1" ht="21.95" customHeight="1" x14ac:dyDescent="0.15"/>
    <row r="15011" spans="3:3" customFormat="1" ht="21.95" customHeight="1" x14ac:dyDescent="0.15">
      <c r="C15011" s="94"/>
    </row>
    <row r="15012" spans="3:3" customFormat="1" ht="21.95" customHeight="1" x14ac:dyDescent="0.15">
      <c r="C15012" s="94"/>
    </row>
    <row r="15013" spans="3:3" customFormat="1" ht="21.95" customHeight="1" x14ac:dyDescent="0.15"/>
    <row r="15014" spans="3:3" customFormat="1" ht="21.95" customHeight="1" x14ac:dyDescent="0.15"/>
    <row r="15015" spans="3:3" customFormat="1" ht="21.95" customHeight="1" x14ac:dyDescent="0.15"/>
    <row r="15016" spans="3:3" customFormat="1" ht="21.95" customHeight="1" x14ac:dyDescent="0.15"/>
    <row r="15017" spans="3:3" customFormat="1" ht="21.95" customHeight="1" x14ac:dyDescent="0.15"/>
    <row r="15018" spans="3:3" customFormat="1" ht="21.95" customHeight="1" x14ac:dyDescent="0.15"/>
    <row r="15019" spans="3:3" customFormat="1" ht="21.95" customHeight="1" x14ac:dyDescent="0.15"/>
    <row r="15020" spans="3:3" s="76" customFormat="1" ht="21.95" customHeight="1" x14ac:dyDescent="0.15"/>
    <row r="15021" spans="3:3" s="76" customFormat="1" ht="21.95" customHeight="1" x14ac:dyDescent="0.15"/>
    <row r="15022" spans="3:3" s="76" customFormat="1" ht="21.95" customHeight="1" x14ac:dyDescent="0.15"/>
    <row r="15023" spans="3:3" s="76" customFormat="1" ht="21.95" customHeight="1" x14ac:dyDescent="0.15"/>
    <row r="15024" spans="3:3" customFormat="1" ht="21.95" customHeight="1" x14ac:dyDescent="0.15"/>
    <row r="15025" customFormat="1" ht="21.95" customHeight="1" x14ac:dyDescent="0.15"/>
    <row r="15026" customFormat="1" ht="21.95" customHeight="1" x14ac:dyDescent="0.15"/>
    <row r="15027" customFormat="1" ht="21.95" customHeight="1" x14ac:dyDescent="0.15"/>
    <row r="15028" customFormat="1" ht="21.95" customHeight="1" x14ac:dyDescent="0.15"/>
    <row r="15029" customFormat="1" ht="21.95" customHeight="1" x14ac:dyDescent="0.15"/>
    <row r="15030" customFormat="1" ht="21.95" customHeight="1" x14ac:dyDescent="0.15"/>
    <row r="15031" customFormat="1" ht="21.95" customHeight="1" x14ac:dyDescent="0.15"/>
    <row r="15032" customFormat="1" ht="21.95" customHeight="1" x14ac:dyDescent="0.15"/>
    <row r="15033" customFormat="1" ht="21.95" customHeight="1" x14ac:dyDescent="0.15"/>
    <row r="15034" customFormat="1" ht="21.95" customHeight="1" x14ac:dyDescent="0.15"/>
    <row r="15035" customFormat="1" ht="32.1" customHeight="1" x14ac:dyDescent="0.15"/>
    <row r="15036" customFormat="1" ht="32.1" customHeight="1" x14ac:dyDescent="0.15"/>
    <row r="15037" customFormat="1" ht="32.1" customHeight="1" x14ac:dyDescent="0.15"/>
    <row r="15038" customFormat="1" ht="32.1" customHeight="1" x14ac:dyDescent="0.15"/>
    <row r="15039" customFormat="1" ht="32.1" customHeight="1" x14ac:dyDescent="0.15"/>
    <row r="15040" customFormat="1" ht="32.1" customHeight="1" x14ac:dyDescent="0.15"/>
    <row r="15041" s="76" customFormat="1" ht="32.1" customHeight="1" x14ac:dyDescent="0.15"/>
    <row r="15042" s="76" customFormat="1" ht="32.1" customHeight="1" x14ac:dyDescent="0.15"/>
    <row r="15043" s="76" customFormat="1" ht="32.1" customHeight="1" x14ac:dyDescent="0.15"/>
    <row r="15044" s="76" customFormat="1" ht="32.1" customHeight="1" x14ac:dyDescent="0.15"/>
    <row r="15045" s="76" customFormat="1" ht="21.95" customHeight="1" x14ac:dyDescent="0.15"/>
    <row r="15046" s="76" customFormat="1" ht="54" customHeight="1" x14ac:dyDescent="0.15"/>
    <row r="15047" s="76" customFormat="1" ht="21.95" customHeight="1" x14ac:dyDescent="0.15"/>
    <row r="15048" s="76" customFormat="1" ht="21.95" customHeight="1" x14ac:dyDescent="0.15"/>
    <row r="15049" s="76" customFormat="1" ht="21.95" customHeight="1" x14ac:dyDescent="0.15"/>
    <row r="15050" s="76" customFormat="1" ht="21.95" customHeight="1" x14ac:dyDescent="0.15"/>
    <row r="15051" s="76" customFormat="1" ht="21.95" customHeight="1" x14ac:dyDescent="0.15"/>
    <row r="15052" s="76" customFormat="1" ht="21.95" customHeight="1" x14ac:dyDescent="0.15"/>
    <row r="15053" s="76" customFormat="1" ht="21.95" customHeight="1" x14ac:dyDescent="0.15"/>
    <row r="15054" s="76" customFormat="1" ht="21.95" customHeight="1" x14ac:dyDescent="0.15"/>
    <row r="15055" s="76" customFormat="1" ht="21.95" customHeight="1" x14ac:dyDescent="0.15"/>
    <row r="15056" s="76" customFormat="1" ht="21.95" customHeight="1" x14ac:dyDescent="0.15"/>
    <row r="15057" s="76" customFormat="1" ht="21.95" customHeight="1" x14ac:dyDescent="0.15"/>
    <row r="15058" s="76" customFormat="1" ht="21.95" customHeight="1" x14ac:dyDescent="0.15"/>
    <row r="15059" s="76" customFormat="1" ht="21.95" customHeight="1" x14ac:dyDescent="0.15"/>
    <row r="15060" s="76" customFormat="1" ht="21.95" customHeight="1" x14ac:dyDescent="0.15"/>
    <row r="15061" s="76" customFormat="1" ht="21.95" customHeight="1" x14ac:dyDescent="0.15"/>
    <row r="15062" s="76" customFormat="1" ht="21.95" customHeight="1" x14ac:dyDescent="0.15"/>
    <row r="15063" s="76" customFormat="1" ht="21.95" customHeight="1" x14ac:dyDescent="0.15"/>
    <row r="15064" s="76" customFormat="1" ht="21.95" customHeight="1" x14ac:dyDescent="0.15"/>
    <row r="15065" s="76" customFormat="1" ht="21.95" customHeight="1" x14ac:dyDescent="0.15"/>
    <row r="15066" s="76" customFormat="1" ht="21.95" customHeight="1" x14ac:dyDescent="0.15"/>
    <row r="15067" s="76" customFormat="1" ht="21.95" customHeight="1" x14ac:dyDescent="0.15"/>
    <row r="15068" s="76" customFormat="1" ht="21.95" customHeight="1" x14ac:dyDescent="0.15"/>
    <row r="15069" s="76" customFormat="1" ht="21.95" customHeight="1" x14ac:dyDescent="0.15"/>
    <row r="15070" s="76" customFormat="1" ht="21.95" customHeight="1" x14ac:dyDescent="0.15"/>
    <row r="15071" s="76" customFormat="1" ht="21.95" customHeight="1" x14ac:dyDescent="0.15"/>
    <row r="15072" s="76" customFormat="1" ht="21.95" customHeight="1" x14ac:dyDescent="0.15"/>
    <row r="15073" s="76" customFormat="1" ht="21.95" customHeight="1" x14ac:dyDescent="0.15"/>
    <row r="15074" s="76" customFormat="1" ht="21.95" customHeight="1" x14ac:dyDescent="0.15"/>
    <row r="15075" s="76" customFormat="1" ht="21.95" customHeight="1" x14ac:dyDescent="0.15"/>
    <row r="15076" s="76" customFormat="1" ht="21.95" customHeight="1" x14ac:dyDescent="0.15"/>
    <row r="15077" s="76" customFormat="1" ht="21.95" customHeight="1" x14ac:dyDescent="0.15"/>
    <row r="15078" s="76" customFormat="1" ht="21.95" customHeight="1" x14ac:dyDescent="0.15"/>
    <row r="15079" s="76" customFormat="1" ht="21.95" customHeight="1" x14ac:dyDescent="0.15"/>
    <row r="15080" s="76" customFormat="1" ht="21.95" customHeight="1" x14ac:dyDescent="0.15"/>
    <row r="15081" s="76" customFormat="1" ht="21.95" customHeight="1" x14ac:dyDescent="0.15"/>
    <row r="15082" s="76" customFormat="1" ht="21.95" customHeight="1" x14ac:dyDescent="0.15"/>
    <row r="15083" s="76" customFormat="1" ht="21.95" customHeight="1" x14ac:dyDescent="0.15"/>
    <row r="15084" s="76" customFormat="1" ht="21.95" customHeight="1" x14ac:dyDescent="0.15"/>
    <row r="15085" s="76" customFormat="1" ht="21.95" customHeight="1" x14ac:dyDescent="0.15"/>
    <row r="15086" s="76" customFormat="1" ht="21.95" customHeight="1" x14ac:dyDescent="0.15"/>
    <row r="15087" s="76" customFormat="1" ht="21.95" customHeight="1" x14ac:dyDescent="0.15"/>
    <row r="15088" s="76" customFormat="1" ht="21.95" customHeight="1" x14ac:dyDescent="0.15"/>
    <row r="15089" s="76" customFormat="1" ht="21.95" customHeight="1" x14ac:dyDescent="0.15"/>
    <row r="15090" s="76" customFormat="1" ht="21.95" customHeight="1" x14ac:dyDescent="0.15"/>
    <row r="15091" s="76" customFormat="1" ht="21.95" customHeight="1" x14ac:dyDescent="0.15"/>
    <row r="15092" s="76" customFormat="1" ht="21.95" customHeight="1" x14ac:dyDescent="0.15"/>
    <row r="15093" s="76" customFormat="1" ht="21.95" customHeight="1" x14ac:dyDescent="0.15"/>
    <row r="15094" s="76" customFormat="1" ht="21.95" customHeight="1" x14ac:dyDescent="0.15"/>
    <row r="15095" s="76" customFormat="1" ht="21.95" customHeight="1" x14ac:dyDescent="0.15"/>
    <row r="15096" s="76" customFormat="1" ht="21.95" customHeight="1" x14ac:dyDescent="0.15"/>
    <row r="15097" s="76" customFormat="1" ht="35.1" customHeight="1" x14ac:dyDescent="0.15"/>
    <row r="15098" s="76" customFormat="1" ht="21.95" customHeight="1" x14ac:dyDescent="0.15"/>
    <row r="15099" s="76" customFormat="1" ht="21.95" customHeight="1" x14ac:dyDescent="0.15"/>
    <row r="15100" s="76" customFormat="1" ht="21.95" customHeight="1" x14ac:dyDescent="0.15"/>
    <row r="15101" s="76" customFormat="1" ht="21.95" customHeight="1" x14ac:dyDescent="0.15"/>
    <row r="15102" s="76" customFormat="1" ht="21.95" customHeight="1" x14ac:dyDescent="0.15"/>
    <row r="15103" s="76" customFormat="1" ht="21.95" customHeight="1" x14ac:dyDescent="0.15"/>
    <row r="15104" s="76" customFormat="1" ht="21.95" customHeight="1" x14ac:dyDescent="0.15"/>
    <row r="15105" s="76" customFormat="1" ht="21.95" customHeight="1" x14ac:dyDescent="0.15"/>
    <row r="15106" s="76" customFormat="1" ht="21.95" customHeight="1" x14ac:dyDescent="0.15"/>
    <row r="15107" s="76" customFormat="1" ht="21.95" customHeight="1" x14ac:dyDescent="0.15"/>
    <row r="15108" s="76" customFormat="1" ht="21.95" customHeight="1" x14ac:dyDescent="0.15"/>
    <row r="15109" s="76" customFormat="1" ht="21.95" customHeight="1" x14ac:dyDescent="0.15"/>
    <row r="15110" s="76" customFormat="1" ht="21.95" customHeight="1" x14ac:dyDescent="0.15"/>
    <row r="15111" s="76" customFormat="1" ht="21.95" customHeight="1" x14ac:dyDescent="0.15"/>
    <row r="15112" s="76" customFormat="1" ht="21.95" customHeight="1" x14ac:dyDescent="0.15"/>
    <row r="15113" s="76" customFormat="1" ht="21.95" customHeight="1" x14ac:dyDescent="0.15"/>
    <row r="15114" s="76" customFormat="1" ht="21.95" customHeight="1" x14ac:dyDescent="0.15"/>
    <row r="15115" s="76" customFormat="1" ht="21.95" customHeight="1" x14ac:dyDescent="0.15"/>
    <row r="15116" s="76" customFormat="1" ht="21.95" customHeight="1" x14ac:dyDescent="0.15"/>
    <row r="15117" s="76" customFormat="1" ht="21.95" customHeight="1" x14ac:dyDescent="0.15"/>
    <row r="15118" s="76" customFormat="1" ht="21.95" customHeight="1" x14ac:dyDescent="0.15"/>
    <row r="15119" s="76" customFormat="1" ht="21.95" customHeight="1" x14ac:dyDescent="0.15"/>
    <row r="15120" s="76" customFormat="1" ht="21.95" customHeight="1" x14ac:dyDescent="0.15"/>
    <row r="15121" spans="3:3" customFormat="1" ht="21.95" customHeight="1" x14ac:dyDescent="0.15"/>
    <row r="15122" spans="3:3" customFormat="1" ht="21.95" customHeight="1" x14ac:dyDescent="0.15"/>
    <row r="15123" spans="3:3" customFormat="1" ht="21.95" customHeight="1" x14ac:dyDescent="0.15">
      <c r="C15123" s="94"/>
    </row>
    <row r="15124" spans="3:3" customFormat="1" ht="21.95" customHeight="1" x14ac:dyDescent="0.15">
      <c r="C15124" s="94"/>
    </row>
    <row r="15125" spans="3:3" customFormat="1" ht="21.95" customHeight="1" x14ac:dyDescent="0.15"/>
    <row r="15126" spans="3:3" customFormat="1" ht="21.95" customHeight="1" x14ac:dyDescent="0.15"/>
    <row r="15127" spans="3:3" customFormat="1" ht="21.95" customHeight="1" x14ac:dyDescent="0.15"/>
    <row r="15128" spans="3:3" customFormat="1" ht="21.95" customHeight="1" x14ac:dyDescent="0.15"/>
    <row r="15129" spans="3:3" customFormat="1" ht="21.95" customHeight="1" x14ac:dyDescent="0.15"/>
    <row r="15130" spans="3:3" customFormat="1" ht="21.95" customHeight="1" x14ac:dyDescent="0.15"/>
    <row r="15131" spans="3:3" customFormat="1" ht="21.95" customHeight="1" x14ac:dyDescent="0.15"/>
    <row r="15132" spans="3:3" s="76" customFormat="1" ht="21.95" customHeight="1" x14ac:dyDescent="0.15"/>
    <row r="15133" spans="3:3" s="76" customFormat="1" ht="21.95" customHeight="1" x14ac:dyDescent="0.15"/>
    <row r="15134" spans="3:3" s="76" customFormat="1" ht="21.95" customHeight="1" x14ac:dyDescent="0.15"/>
    <row r="15135" spans="3:3" s="76" customFormat="1" ht="21.95" customHeight="1" x14ac:dyDescent="0.15"/>
    <row r="15136" spans="3:3" customFormat="1" ht="21.95" customHeight="1" x14ac:dyDescent="0.15"/>
    <row r="15137" customFormat="1" ht="21.95" customHeight="1" x14ac:dyDescent="0.15"/>
    <row r="15138" customFormat="1" ht="21.95" customHeight="1" x14ac:dyDescent="0.15"/>
    <row r="15139" customFormat="1" ht="21.95" customHeight="1" x14ac:dyDescent="0.15"/>
    <row r="15140" customFormat="1" ht="21.95" customHeight="1" x14ac:dyDescent="0.15"/>
    <row r="15141" customFormat="1" ht="21.95" customHeight="1" x14ac:dyDescent="0.15"/>
    <row r="15142" customFormat="1" ht="21.95" customHeight="1" x14ac:dyDescent="0.15"/>
    <row r="15143" customFormat="1" ht="21.95" customHeight="1" x14ac:dyDescent="0.15"/>
    <row r="15144" customFormat="1" ht="21.95" customHeight="1" x14ac:dyDescent="0.15"/>
    <row r="15145" customFormat="1" ht="21.95" customHeight="1" x14ac:dyDescent="0.15"/>
    <row r="15146" customFormat="1" ht="21.95" customHeight="1" x14ac:dyDescent="0.15"/>
    <row r="15147" customFormat="1" ht="32.1" customHeight="1" x14ac:dyDescent="0.15"/>
    <row r="15148" customFormat="1" ht="32.1" customHeight="1" x14ac:dyDescent="0.15"/>
    <row r="15149" customFormat="1" ht="32.1" customHeight="1" x14ac:dyDescent="0.15"/>
    <row r="15150" customFormat="1" ht="32.1" customHeight="1" x14ac:dyDescent="0.15"/>
    <row r="15151" customFormat="1" ht="32.1" customHeight="1" x14ac:dyDescent="0.15"/>
    <row r="15152" customFormat="1" ht="32.1" customHeight="1" x14ac:dyDescent="0.15"/>
    <row r="15153" s="76" customFormat="1" ht="32.1" customHeight="1" x14ac:dyDescent="0.15"/>
    <row r="15154" s="76" customFormat="1" ht="32.1" customHeight="1" x14ac:dyDescent="0.15"/>
    <row r="15155" s="76" customFormat="1" ht="32.1" customHeight="1" x14ac:dyDescent="0.15"/>
    <row r="15156" s="76" customFormat="1" ht="32.1" customHeight="1" x14ac:dyDescent="0.15"/>
    <row r="15157" s="76" customFormat="1" ht="21.95" customHeight="1" x14ac:dyDescent="0.15"/>
    <row r="15158" s="76" customFormat="1" ht="54" customHeight="1" x14ac:dyDescent="0.15"/>
    <row r="15159" s="76" customFormat="1" ht="21.95" customHeight="1" x14ac:dyDescent="0.15"/>
    <row r="15160" s="76" customFormat="1" ht="21.95" customHeight="1" x14ac:dyDescent="0.15"/>
    <row r="15161" s="76" customFormat="1" ht="21.95" customHeight="1" x14ac:dyDescent="0.15"/>
    <row r="15162" s="76" customFormat="1" ht="21.95" customHeight="1" x14ac:dyDescent="0.15"/>
    <row r="15163" s="76" customFormat="1" ht="21.95" customHeight="1" x14ac:dyDescent="0.15"/>
    <row r="15164" s="76" customFormat="1" ht="21.95" customHeight="1" x14ac:dyDescent="0.15"/>
    <row r="15165" s="76" customFormat="1" ht="21.95" customHeight="1" x14ac:dyDescent="0.15"/>
    <row r="15166" s="76" customFormat="1" ht="21.95" customHeight="1" x14ac:dyDescent="0.15"/>
    <row r="15167" s="76" customFormat="1" ht="21.95" customHeight="1" x14ac:dyDescent="0.15"/>
    <row r="15168" s="76" customFormat="1" ht="21.95" customHeight="1" x14ac:dyDescent="0.15"/>
    <row r="15169" s="76" customFormat="1" ht="21.95" customHeight="1" x14ac:dyDescent="0.15"/>
    <row r="15170" s="76" customFormat="1" ht="21.95" customHeight="1" x14ac:dyDescent="0.15"/>
    <row r="15171" s="76" customFormat="1" ht="21.95" customHeight="1" x14ac:dyDescent="0.15"/>
    <row r="15172" s="76" customFormat="1" ht="21.95" customHeight="1" x14ac:dyDescent="0.15"/>
    <row r="15173" s="76" customFormat="1" ht="21.95" customHeight="1" x14ac:dyDescent="0.15"/>
    <row r="15174" s="76" customFormat="1" ht="21.95" customHeight="1" x14ac:dyDescent="0.15"/>
    <row r="15175" s="76" customFormat="1" ht="21.95" customHeight="1" x14ac:dyDescent="0.15"/>
    <row r="15176" s="76" customFormat="1" ht="21.95" customHeight="1" x14ac:dyDescent="0.15"/>
    <row r="15177" s="76" customFormat="1" ht="21.95" customHeight="1" x14ac:dyDescent="0.15"/>
    <row r="15178" s="76" customFormat="1" ht="21.95" customHeight="1" x14ac:dyDescent="0.15"/>
    <row r="15179" s="76" customFormat="1" ht="21.95" customHeight="1" x14ac:dyDescent="0.15"/>
    <row r="15180" s="76" customFormat="1" ht="21.95" customHeight="1" x14ac:dyDescent="0.15"/>
    <row r="15181" s="76" customFormat="1" ht="21.95" customHeight="1" x14ac:dyDescent="0.15"/>
    <row r="15182" s="76" customFormat="1" ht="21.95" customHeight="1" x14ac:dyDescent="0.15"/>
    <row r="15183" s="76" customFormat="1" ht="21.95" customHeight="1" x14ac:dyDescent="0.15"/>
    <row r="15184" s="76" customFormat="1" ht="21.95" customHeight="1" x14ac:dyDescent="0.15"/>
    <row r="15185" s="76" customFormat="1" ht="21.95" customHeight="1" x14ac:dyDescent="0.15"/>
    <row r="15186" s="76" customFormat="1" ht="21.95" customHeight="1" x14ac:dyDescent="0.15"/>
    <row r="15187" s="76" customFormat="1" ht="21.95" customHeight="1" x14ac:dyDescent="0.15"/>
    <row r="15188" s="76" customFormat="1" ht="21.95" customHeight="1" x14ac:dyDescent="0.15"/>
    <row r="15189" s="76" customFormat="1" ht="21.95" customHeight="1" x14ac:dyDescent="0.15"/>
    <row r="15190" s="76" customFormat="1" ht="21.95" customHeight="1" x14ac:dyDescent="0.15"/>
    <row r="15191" s="76" customFormat="1" ht="21.95" customHeight="1" x14ac:dyDescent="0.15"/>
    <row r="15192" s="76" customFormat="1" ht="21.95" customHeight="1" x14ac:dyDescent="0.15"/>
    <row r="15193" s="76" customFormat="1" ht="21.95" customHeight="1" x14ac:dyDescent="0.15"/>
    <row r="15194" s="76" customFormat="1" ht="21.95" customHeight="1" x14ac:dyDescent="0.15"/>
    <row r="15195" s="76" customFormat="1" ht="21.95" customHeight="1" x14ac:dyDescent="0.15"/>
    <row r="15196" s="76" customFormat="1" ht="21.95" customHeight="1" x14ac:dyDescent="0.15"/>
    <row r="15197" s="76" customFormat="1" ht="21.95" customHeight="1" x14ac:dyDescent="0.15"/>
    <row r="15198" s="76" customFormat="1" ht="21.95" customHeight="1" x14ac:dyDescent="0.15"/>
    <row r="15199" s="76" customFormat="1" ht="21.95" customHeight="1" x14ac:dyDescent="0.15"/>
    <row r="15200" s="76" customFormat="1" ht="21.95" customHeight="1" x14ac:dyDescent="0.15"/>
    <row r="15201" s="76" customFormat="1" ht="21.95" customHeight="1" x14ac:dyDescent="0.15"/>
    <row r="15202" s="76" customFormat="1" ht="21.95" customHeight="1" x14ac:dyDescent="0.15"/>
    <row r="15203" s="76" customFormat="1" ht="21.95" customHeight="1" x14ac:dyDescent="0.15"/>
    <row r="15204" s="76" customFormat="1" ht="21.95" customHeight="1" x14ac:dyDescent="0.15"/>
    <row r="15205" s="76" customFormat="1" ht="21.95" customHeight="1" x14ac:dyDescent="0.15"/>
    <row r="15206" s="76" customFormat="1" ht="21.95" customHeight="1" x14ac:dyDescent="0.15"/>
    <row r="15207" s="76" customFormat="1" ht="21.95" customHeight="1" x14ac:dyDescent="0.15"/>
    <row r="15208" s="76" customFormat="1" ht="21.95" customHeight="1" x14ac:dyDescent="0.15"/>
    <row r="15209" s="76" customFormat="1" ht="35.1" customHeight="1" x14ac:dyDescent="0.15"/>
    <row r="15210" s="76" customFormat="1" ht="21.95" customHeight="1" x14ac:dyDescent="0.15"/>
    <row r="15211" s="76" customFormat="1" ht="21.95" customHeight="1" x14ac:dyDescent="0.15"/>
    <row r="15212" s="76" customFormat="1" ht="21.95" customHeight="1" x14ac:dyDescent="0.15"/>
    <row r="15213" s="76" customFormat="1" ht="21.95" customHeight="1" x14ac:dyDescent="0.15"/>
    <row r="15214" s="76" customFormat="1" ht="21.95" customHeight="1" x14ac:dyDescent="0.15"/>
    <row r="15215" s="76" customFormat="1" ht="21.95" customHeight="1" x14ac:dyDescent="0.15"/>
    <row r="15216" s="76" customFormat="1" ht="21.95" customHeight="1" x14ac:dyDescent="0.15"/>
    <row r="15217" s="76" customFormat="1" ht="21.95" customHeight="1" x14ac:dyDescent="0.15"/>
    <row r="15218" s="76" customFormat="1" ht="21.95" customHeight="1" x14ac:dyDescent="0.15"/>
    <row r="15219" s="76" customFormat="1" ht="21.95" customHeight="1" x14ac:dyDescent="0.15"/>
    <row r="15220" s="76" customFormat="1" ht="21.95" customHeight="1" x14ac:dyDescent="0.15"/>
    <row r="15221" s="76" customFormat="1" ht="21.95" customHeight="1" x14ac:dyDescent="0.15"/>
    <row r="15222" s="76" customFormat="1" ht="21.95" customHeight="1" x14ac:dyDescent="0.15"/>
    <row r="15223" s="76" customFormat="1" ht="21.95" customHeight="1" x14ac:dyDescent="0.15"/>
    <row r="15224" s="76" customFormat="1" ht="21.95" customHeight="1" x14ac:dyDescent="0.15"/>
    <row r="15225" s="76" customFormat="1" ht="21.95" customHeight="1" x14ac:dyDescent="0.15"/>
    <row r="15226" s="76" customFormat="1" ht="21.95" customHeight="1" x14ac:dyDescent="0.15"/>
    <row r="15227" s="76" customFormat="1" ht="21.95" customHeight="1" x14ac:dyDescent="0.15"/>
    <row r="15228" s="76" customFormat="1" ht="21.95" customHeight="1" x14ac:dyDescent="0.15"/>
    <row r="15229" s="76" customFormat="1" ht="21.95" customHeight="1" x14ac:dyDescent="0.15"/>
    <row r="15230" s="76" customFormat="1" ht="21.95" customHeight="1" x14ac:dyDescent="0.15"/>
    <row r="15231" s="76" customFormat="1" ht="21.95" customHeight="1" x14ac:dyDescent="0.15"/>
    <row r="15232" s="76" customFormat="1" ht="21.95" customHeight="1" x14ac:dyDescent="0.15"/>
    <row r="15233" spans="3:3" customFormat="1" ht="21.95" customHeight="1" x14ac:dyDescent="0.15"/>
    <row r="15234" spans="3:3" customFormat="1" ht="21.95" customHeight="1" x14ac:dyDescent="0.15"/>
    <row r="15235" spans="3:3" customFormat="1" ht="21.95" customHeight="1" x14ac:dyDescent="0.15">
      <c r="C15235" s="94"/>
    </row>
    <row r="15236" spans="3:3" customFormat="1" ht="21.95" customHeight="1" x14ac:dyDescent="0.15">
      <c r="C15236" s="94"/>
    </row>
    <row r="15237" spans="3:3" customFormat="1" ht="21.95" customHeight="1" x14ac:dyDescent="0.15"/>
    <row r="15238" spans="3:3" customFormat="1" ht="21.95" customHeight="1" x14ac:dyDescent="0.15"/>
    <row r="15239" spans="3:3" customFormat="1" ht="21.95" customHeight="1" x14ac:dyDescent="0.15"/>
    <row r="15240" spans="3:3" customFormat="1" ht="21.95" customHeight="1" x14ac:dyDescent="0.15"/>
    <row r="15241" spans="3:3" customFormat="1" ht="21.95" customHeight="1" x14ac:dyDescent="0.15"/>
    <row r="15242" spans="3:3" customFormat="1" ht="21.95" customHeight="1" x14ac:dyDescent="0.15"/>
    <row r="15243" spans="3:3" customFormat="1" ht="21.95" customHeight="1" x14ac:dyDescent="0.15"/>
    <row r="15244" spans="3:3" s="76" customFormat="1" ht="21.95" customHeight="1" x14ac:dyDescent="0.15"/>
    <row r="15245" spans="3:3" s="76" customFormat="1" ht="21.95" customHeight="1" x14ac:dyDescent="0.15"/>
    <row r="15246" spans="3:3" s="76" customFormat="1" ht="21.95" customHeight="1" x14ac:dyDescent="0.15"/>
    <row r="15247" spans="3:3" s="76" customFormat="1" ht="21.95" customHeight="1" x14ac:dyDescent="0.15"/>
    <row r="15248" spans="3:3" customFormat="1" ht="21.95" customHeight="1" x14ac:dyDescent="0.15"/>
    <row r="15249" customFormat="1" ht="21.95" customHeight="1" x14ac:dyDescent="0.15"/>
    <row r="15250" customFormat="1" ht="21.95" customHeight="1" x14ac:dyDescent="0.15"/>
    <row r="15251" customFormat="1" ht="21.95" customHeight="1" x14ac:dyDescent="0.15"/>
    <row r="15252" customFormat="1" ht="21.95" customHeight="1" x14ac:dyDescent="0.15"/>
    <row r="15253" customFormat="1" ht="21.95" customHeight="1" x14ac:dyDescent="0.15"/>
    <row r="15254" customFormat="1" ht="21.95" customHeight="1" x14ac:dyDescent="0.15"/>
    <row r="15255" customFormat="1" ht="21.95" customHeight="1" x14ac:dyDescent="0.15"/>
    <row r="15256" customFormat="1" ht="21.95" customHeight="1" x14ac:dyDescent="0.15"/>
    <row r="15257" customFormat="1" ht="21.95" customHeight="1" x14ac:dyDescent="0.15"/>
    <row r="15258" customFormat="1" ht="21.95" customHeight="1" x14ac:dyDescent="0.15"/>
    <row r="15259" customFormat="1" ht="32.1" customHeight="1" x14ac:dyDescent="0.15"/>
    <row r="15260" customFormat="1" ht="32.1" customHeight="1" x14ac:dyDescent="0.15"/>
    <row r="15261" customFormat="1" ht="32.1" customHeight="1" x14ac:dyDescent="0.15"/>
    <row r="15262" customFormat="1" ht="32.1" customHeight="1" x14ac:dyDescent="0.15"/>
    <row r="15263" customFormat="1" ht="32.1" customHeight="1" x14ac:dyDescent="0.15"/>
    <row r="15264" customFormat="1" ht="32.1" customHeight="1" x14ac:dyDescent="0.15"/>
    <row r="15265" s="76" customFormat="1" ht="32.1" customHeight="1" x14ac:dyDescent="0.15"/>
    <row r="15266" s="76" customFormat="1" ht="32.1" customHeight="1" x14ac:dyDescent="0.15"/>
    <row r="15267" s="76" customFormat="1" ht="32.1" customHeight="1" x14ac:dyDescent="0.15"/>
    <row r="15268" s="76" customFormat="1" ht="32.1" customHeight="1" x14ac:dyDescent="0.15"/>
    <row r="15269" s="76" customFormat="1" ht="21.95" customHeight="1" x14ac:dyDescent="0.15"/>
    <row r="15270" s="76" customFormat="1" ht="54" customHeight="1" x14ac:dyDescent="0.15"/>
    <row r="15271" s="76" customFormat="1" ht="21.95" customHeight="1" x14ac:dyDescent="0.15"/>
    <row r="15272" s="76" customFormat="1" ht="21.95" customHeight="1" x14ac:dyDescent="0.15"/>
    <row r="15273" s="76" customFormat="1" ht="21.95" customHeight="1" x14ac:dyDescent="0.15"/>
    <row r="15274" s="76" customFormat="1" ht="21.95" customHeight="1" x14ac:dyDescent="0.15"/>
    <row r="15275" s="76" customFormat="1" ht="21.95" customHeight="1" x14ac:dyDescent="0.15"/>
    <row r="15276" s="76" customFormat="1" ht="21.95" customHeight="1" x14ac:dyDescent="0.15"/>
    <row r="15277" s="76" customFormat="1" ht="21.95" customHeight="1" x14ac:dyDescent="0.15"/>
    <row r="15278" s="76" customFormat="1" ht="21.95" customHeight="1" x14ac:dyDescent="0.15"/>
    <row r="15279" s="76" customFormat="1" ht="21.95" customHeight="1" x14ac:dyDescent="0.15"/>
    <row r="15280" s="76" customFormat="1" ht="21.95" customHeight="1" x14ac:dyDescent="0.15"/>
    <row r="15281" s="76" customFormat="1" ht="21.95" customHeight="1" x14ac:dyDescent="0.15"/>
    <row r="15282" s="76" customFormat="1" ht="21.95" customHeight="1" x14ac:dyDescent="0.15"/>
    <row r="15283" s="76" customFormat="1" ht="21.95" customHeight="1" x14ac:dyDescent="0.15"/>
    <row r="15284" s="76" customFormat="1" ht="21.95" customHeight="1" x14ac:dyDescent="0.15"/>
    <row r="15285" s="76" customFormat="1" ht="21.95" customHeight="1" x14ac:dyDescent="0.15"/>
    <row r="15286" s="76" customFormat="1" ht="21.95" customHeight="1" x14ac:dyDescent="0.15"/>
    <row r="15287" s="76" customFormat="1" ht="21.95" customHeight="1" x14ac:dyDescent="0.15"/>
    <row r="15288" s="76" customFormat="1" ht="21.95" customHeight="1" x14ac:dyDescent="0.15"/>
    <row r="15289" s="76" customFormat="1" ht="21.95" customHeight="1" x14ac:dyDescent="0.15"/>
    <row r="15290" s="76" customFormat="1" ht="21.95" customHeight="1" x14ac:dyDescent="0.15"/>
    <row r="15291" s="76" customFormat="1" ht="21.95" customHeight="1" x14ac:dyDescent="0.15"/>
    <row r="15292" s="76" customFormat="1" ht="21.95" customHeight="1" x14ac:dyDescent="0.15"/>
    <row r="15293" s="76" customFormat="1" ht="21.95" customHeight="1" x14ac:dyDescent="0.15"/>
    <row r="15294" s="76" customFormat="1" ht="21.95" customHeight="1" x14ac:dyDescent="0.15"/>
    <row r="15295" s="76" customFormat="1" ht="21.95" customHeight="1" x14ac:dyDescent="0.15"/>
    <row r="15296" s="76" customFormat="1" ht="21.95" customHeight="1" x14ac:dyDescent="0.15"/>
    <row r="15297" s="76" customFormat="1" ht="21.95" customHeight="1" x14ac:dyDescent="0.15"/>
    <row r="15298" s="76" customFormat="1" ht="21.95" customHeight="1" x14ac:dyDescent="0.15"/>
    <row r="15299" s="76" customFormat="1" ht="21.95" customHeight="1" x14ac:dyDescent="0.15"/>
    <row r="15300" s="76" customFormat="1" ht="21.95" customHeight="1" x14ac:dyDescent="0.15"/>
    <row r="15301" s="76" customFormat="1" ht="21.95" customHeight="1" x14ac:dyDescent="0.15"/>
    <row r="15302" s="76" customFormat="1" ht="21.95" customHeight="1" x14ac:dyDescent="0.15"/>
    <row r="15303" s="76" customFormat="1" ht="21.95" customHeight="1" x14ac:dyDescent="0.15"/>
    <row r="15304" s="76" customFormat="1" ht="21.95" customHeight="1" x14ac:dyDescent="0.15"/>
    <row r="15305" s="76" customFormat="1" ht="21.95" customHeight="1" x14ac:dyDescent="0.15"/>
    <row r="15306" s="76" customFormat="1" ht="21.95" customHeight="1" x14ac:dyDescent="0.15"/>
    <row r="15307" s="76" customFormat="1" ht="21.95" customHeight="1" x14ac:dyDescent="0.15"/>
    <row r="15308" s="76" customFormat="1" ht="21.95" customHeight="1" x14ac:dyDescent="0.15"/>
    <row r="15309" s="76" customFormat="1" ht="21.95" customHeight="1" x14ac:dyDescent="0.15"/>
    <row r="15310" s="76" customFormat="1" ht="21.95" customHeight="1" x14ac:dyDescent="0.15"/>
    <row r="15311" s="76" customFormat="1" ht="21.95" customHeight="1" x14ac:dyDescent="0.15"/>
    <row r="15312" s="76" customFormat="1" ht="21.95" customHeight="1" x14ac:dyDescent="0.15"/>
    <row r="15313" s="76" customFormat="1" ht="21.95" customHeight="1" x14ac:dyDescent="0.15"/>
    <row r="15314" s="76" customFormat="1" ht="21.95" customHeight="1" x14ac:dyDescent="0.15"/>
    <row r="15315" s="76" customFormat="1" ht="21.95" customHeight="1" x14ac:dyDescent="0.15"/>
    <row r="15316" s="76" customFormat="1" ht="21.95" customHeight="1" x14ac:dyDescent="0.15"/>
    <row r="15317" s="76" customFormat="1" ht="21.95" customHeight="1" x14ac:dyDescent="0.15"/>
    <row r="15318" s="76" customFormat="1" ht="21.95" customHeight="1" x14ac:dyDescent="0.15"/>
    <row r="15319" s="76" customFormat="1" ht="21.95" customHeight="1" x14ac:dyDescent="0.15"/>
    <row r="15320" s="76" customFormat="1" ht="21.95" customHeight="1" x14ac:dyDescent="0.15"/>
    <row r="15321" s="76" customFormat="1" ht="35.1" customHeight="1" x14ac:dyDescent="0.15"/>
    <row r="15322" s="76" customFormat="1" ht="21.95" customHeight="1" x14ac:dyDescent="0.15"/>
    <row r="15323" s="76" customFormat="1" ht="21.95" customHeight="1" x14ac:dyDescent="0.15"/>
    <row r="15324" s="76" customFormat="1" ht="21.95" customHeight="1" x14ac:dyDescent="0.15"/>
    <row r="15325" s="76" customFormat="1" ht="21.95" customHeight="1" x14ac:dyDescent="0.15"/>
    <row r="15326" s="76" customFormat="1" ht="21.95" customHeight="1" x14ac:dyDescent="0.15"/>
    <row r="15327" s="76" customFormat="1" ht="21.95" customHeight="1" x14ac:dyDescent="0.15"/>
    <row r="15328" s="76" customFormat="1" ht="21.95" customHeight="1" x14ac:dyDescent="0.15"/>
    <row r="15329" s="76" customFormat="1" ht="21.95" customHeight="1" x14ac:dyDescent="0.15"/>
    <row r="15330" s="76" customFormat="1" ht="21.95" customHeight="1" x14ac:dyDescent="0.15"/>
    <row r="15331" s="76" customFormat="1" ht="21.95" customHeight="1" x14ac:dyDescent="0.15"/>
    <row r="15332" s="76" customFormat="1" ht="21.95" customHeight="1" x14ac:dyDescent="0.15"/>
    <row r="15333" s="76" customFormat="1" ht="21.95" customHeight="1" x14ac:dyDescent="0.15"/>
    <row r="15334" s="76" customFormat="1" ht="21.95" customHeight="1" x14ac:dyDescent="0.15"/>
    <row r="15335" s="76" customFormat="1" ht="21.95" customHeight="1" x14ac:dyDescent="0.15"/>
    <row r="15336" s="76" customFormat="1" ht="21.95" customHeight="1" x14ac:dyDescent="0.15"/>
    <row r="15337" s="76" customFormat="1" ht="21.95" customHeight="1" x14ac:dyDescent="0.15"/>
    <row r="15338" s="76" customFormat="1" ht="21.95" customHeight="1" x14ac:dyDescent="0.15"/>
    <row r="15339" s="76" customFormat="1" ht="21.95" customHeight="1" x14ac:dyDescent="0.15"/>
    <row r="15340" s="76" customFormat="1" ht="21.95" customHeight="1" x14ac:dyDescent="0.15"/>
    <row r="15341" s="76" customFormat="1" ht="21.95" customHeight="1" x14ac:dyDescent="0.15"/>
    <row r="15342" s="76" customFormat="1" ht="21.95" customHeight="1" x14ac:dyDescent="0.15"/>
    <row r="15343" s="76" customFormat="1" ht="21.95" customHeight="1" x14ac:dyDescent="0.15"/>
    <row r="15344" s="76" customFormat="1" ht="21.95" customHeight="1" x14ac:dyDescent="0.15"/>
    <row r="15345" spans="3:3" customFormat="1" ht="21.95" customHeight="1" x14ac:dyDescent="0.15"/>
    <row r="15346" spans="3:3" customFormat="1" ht="21.95" customHeight="1" x14ac:dyDescent="0.15"/>
    <row r="15347" spans="3:3" customFormat="1" ht="21.95" customHeight="1" x14ac:dyDescent="0.15">
      <c r="C15347" s="94"/>
    </row>
    <row r="15348" spans="3:3" customFormat="1" ht="21.95" customHeight="1" x14ac:dyDescent="0.15">
      <c r="C15348" s="94"/>
    </row>
    <row r="15349" spans="3:3" customFormat="1" ht="21.95" customHeight="1" x14ac:dyDescent="0.15"/>
    <row r="15350" spans="3:3" customFormat="1" ht="21.95" customHeight="1" x14ac:dyDescent="0.15"/>
    <row r="15351" spans="3:3" customFormat="1" ht="21.95" customHeight="1" x14ac:dyDescent="0.15"/>
    <row r="15352" spans="3:3" customFormat="1" ht="21.95" customHeight="1" x14ac:dyDescent="0.15"/>
    <row r="15353" spans="3:3" customFormat="1" ht="21.95" customHeight="1" x14ac:dyDescent="0.15"/>
    <row r="15354" spans="3:3" customFormat="1" ht="21.95" customHeight="1" x14ac:dyDescent="0.15"/>
    <row r="15355" spans="3:3" customFormat="1" ht="21.95" customHeight="1" x14ac:dyDescent="0.15"/>
    <row r="15356" spans="3:3" s="76" customFormat="1" ht="21.95" customHeight="1" x14ac:dyDescent="0.15"/>
    <row r="15357" spans="3:3" s="76" customFormat="1" ht="21.95" customHeight="1" x14ac:dyDescent="0.15"/>
    <row r="15358" spans="3:3" s="76" customFormat="1" ht="21.95" customHeight="1" x14ac:dyDescent="0.15"/>
    <row r="15359" spans="3:3" s="76" customFormat="1" ht="21.95" customHeight="1" x14ac:dyDescent="0.15"/>
    <row r="15360" spans="3:3" customFormat="1" ht="21.95" customHeight="1" x14ac:dyDescent="0.15"/>
    <row r="15361" customFormat="1" ht="21.95" customHeight="1" x14ac:dyDescent="0.15"/>
    <row r="15362" customFormat="1" ht="21.95" customHeight="1" x14ac:dyDescent="0.15"/>
    <row r="15363" customFormat="1" ht="21.95" customHeight="1" x14ac:dyDescent="0.15"/>
    <row r="15364" customFormat="1" ht="21.95" customHeight="1" x14ac:dyDescent="0.15"/>
    <row r="15365" customFormat="1" ht="21.95" customHeight="1" x14ac:dyDescent="0.15"/>
    <row r="15366" customFormat="1" ht="21.95" customHeight="1" x14ac:dyDescent="0.15"/>
    <row r="15367" customFormat="1" ht="21.95" customHeight="1" x14ac:dyDescent="0.15"/>
    <row r="15368" customFormat="1" ht="21.95" customHeight="1" x14ac:dyDescent="0.15"/>
    <row r="15369" customFormat="1" ht="21.95" customHeight="1" x14ac:dyDescent="0.15"/>
    <row r="15370" customFormat="1" ht="21.95" customHeight="1" x14ac:dyDescent="0.15"/>
    <row r="15371" customFormat="1" ht="32.1" customHeight="1" x14ac:dyDescent="0.15"/>
    <row r="15372" customFormat="1" ht="32.1" customHeight="1" x14ac:dyDescent="0.15"/>
    <row r="15373" customFormat="1" ht="32.1" customHeight="1" x14ac:dyDescent="0.15"/>
    <row r="15374" customFormat="1" ht="32.1" customHeight="1" x14ac:dyDescent="0.15"/>
    <row r="15375" customFormat="1" ht="32.1" customHeight="1" x14ac:dyDescent="0.15"/>
    <row r="15376" customFormat="1" ht="32.1" customHeight="1" x14ac:dyDescent="0.15"/>
    <row r="15377" s="76" customFormat="1" ht="32.1" customHeight="1" x14ac:dyDescent="0.15"/>
    <row r="15378" s="76" customFormat="1" ht="32.1" customHeight="1" x14ac:dyDescent="0.15"/>
    <row r="15379" s="76" customFormat="1" ht="32.1" customHeight="1" x14ac:dyDescent="0.15"/>
    <row r="15380" s="76" customFormat="1" ht="32.1" customHeight="1" x14ac:dyDescent="0.15"/>
    <row r="15381" s="76" customFormat="1" ht="21.95" customHeight="1" x14ac:dyDescent="0.15"/>
    <row r="15382" s="76" customFormat="1" ht="54" customHeight="1" x14ac:dyDescent="0.15"/>
    <row r="15383" s="76" customFormat="1" ht="21.95" customHeight="1" x14ac:dyDescent="0.15"/>
    <row r="15384" s="76" customFormat="1" ht="21.95" customHeight="1" x14ac:dyDescent="0.15"/>
    <row r="15385" s="76" customFormat="1" ht="21.95" customHeight="1" x14ac:dyDescent="0.15"/>
    <row r="15386" s="76" customFormat="1" ht="21.95" customHeight="1" x14ac:dyDescent="0.15"/>
    <row r="15387" s="76" customFormat="1" ht="21.95" customHeight="1" x14ac:dyDescent="0.15"/>
    <row r="15388" s="76" customFormat="1" ht="21.95" customHeight="1" x14ac:dyDescent="0.15"/>
    <row r="15389" s="76" customFormat="1" ht="21.95" customHeight="1" x14ac:dyDescent="0.15"/>
    <row r="15390" s="76" customFormat="1" ht="21.95" customHeight="1" x14ac:dyDescent="0.15"/>
    <row r="15391" s="76" customFormat="1" ht="21.95" customHeight="1" x14ac:dyDescent="0.15"/>
    <row r="15392" s="76" customFormat="1" ht="21.95" customHeight="1" x14ac:dyDescent="0.15"/>
    <row r="15393" s="76" customFormat="1" ht="21.95" customHeight="1" x14ac:dyDescent="0.15"/>
    <row r="15394" s="76" customFormat="1" ht="21.95" customHeight="1" x14ac:dyDescent="0.15"/>
    <row r="15395" s="76" customFormat="1" ht="21.95" customHeight="1" x14ac:dyDescent="0.15"/>
    <row r="15396" s="76" customFormat="1" ht="21.95" customHeight="1" x14ac:dyDescent="0.15"/>
    <row r="15397" s="76" customFormat="1" ht="21.95" customHeight="1" x14ac:dyDescent="0.15"/>
    <row r="15398" s="76" customFormat="1" ht="21.95" customHeight="1" x14ac:dyDescent="0.15"/>
    <row r="15399" s="76" customFormat="1" ht="21.95" customHeight="1" x14ac:dyDescent="0.15"/>
    <row r="15400" s="76" customFormat="1" ht="21.95" customHeight="1" x14ac:dyDescent="0.15"/>
    <row r="15401" s="76" customFormat="1" ht="21.95" customHeight="1" x14ac:dyDescent="0.15"/>
    <row r="15402" s="76" customFormat="1" ht="21.95" customHeight="1" x14ac:dyDescent="0.15"/>
    <row r="15403" s="76" customFormat="1" ht="21.95" customHeight="1" x14ac:dyDescent="0.15"/>
    <row r="15404" s="76" customFormat="1" ht="21.95" customHeight="1" x14ac:dyDescent="0.15"/>
    <row r="15405" s="76" customFormat="1" ht="21.95" customHeight="1" x14ac:dyDescent="0.15"/>
    <row r="15406" s="76" customFormat="1" ht="21.95" customHeight="1" x14ac:dyDescent="0.15"/>
    <row r="15407" s="76" customFormat="1" ht="21.95" customHeight="1" x14ac:dyDescent="0.15"/>
    <row r="15408" s="76" customFormat="1" ht="21.95" customHeight="1" x14ac:dyDescent="0.15"/>
    <row r="15409" s="76" customFormat="1" ht="21.95" customHeight="1" x14ac:dyDescent="0.15"/>
    <row r="15410" s="76" customFormat="1" ht="21.95" customHeight="1" x14ac:dyDescent="0.15"/>
    <row r="15411" s="76" customFormat="1" ht="21.95" customHeight="1" x14ac:dyDescent="0.15"/>
    <row r="15412" s="76" customFormat="1" ht="21.95" customHeight="1" x14ac:dyDescent="0.15"/>
    <row r="15413" s="76" customFormat="1" ht="21.95" customHeight="1" x14ac:dyDescent="0.15"/>
    <row r="15414" s="76" customFormat="1" ht="21.95" customHeight="1" x14ac:dyDescent="0.15"/>
    <row r="15415" s="76" customFormat="1" ht="21.95" customHeight="1" x14ac:dyDescent="0.15"/>
    <row r="15416" s="76" customFormat="1" ht="21.95" customHeight="1" x14ac:dyDescent="0.15"/>
    <row r="15417" s="76" customFormat="1" ht="21.95" customHeight="1" x14ac:dyDescent="0.15"/>
    <row r="15418" s="76" customFormat="1" ht="21.95" customHeight="1" x14ac:dyDescent="0.15"/>
    <row r="15419" s="76" customFormat="1" ht="21.95" customHeight="1" x14ac:dyDescent="0.15"/>
    <row r="15420" s="76" customFormat="1" ht="21.95" customHeight="1" x14ac:dyDescent="0.15"/>
    <row r="15421" s="76" customFormat="1" ht="21.95" customHeight="1" x14ac:dyDescent="0.15"/>
    <row r="15422" s="76" customFormat="1" ht="21.95" customHeight="1" x14ac:dyDescent="0.15"/>
    <row r="15423" s="76" customFormat="1" ht="21.95" customHeight="1" x14ac:dyDescent="0.15"/>
    <row r="15424" s="76" customFormat="1" ht="21.95" customHeight="1" x14ac:dyDescent="0.15"/>
    <row r="15425" s="76" customFormat="1" ht="21.95" customHeight="1" x14ac:dyDescent="0.15"/>
    <row r="15426" s="76" customFormat="1" ht="21.95" customHeight="1" x14ac:dyDescent="0.15"/>
    <row r="15427" s="76" customFormat="1" ht="21.95" customHeight="1" x14ac:dyDescent="0.15"/>
    <row r="15428" s="76" customFormat="1" ht="21.95" customHeight="1" x14ac:dyDescent="0.15"/>
    <row r="15429" s="76" customFormat="1" ht="21.95" customHeight="1" x14ac:dyDescent="0.15"/>
    <row r="15430" s="76" customFormat="1" ht="21.95" customHeight="1" x14ac:dyDescent="0.15"/>
    <row r="15431" s="76" customFormat="1" ht="21.95" customHeight="1" x14ac:dyDescent="0.15"/>
    <row r="15432" s="76" customFormat="1" ht="21.95" customHeight="1" x14ac:dyDescent="0.15"/>
    <row r="15433" s="76" customFormat="1" ht="35.1" customHeight="1" x14ac:dyDescent="0.15"/>
    <row r="15434" s="76" customFormat="1" ht="21.95" customHeight="1" x14ac:dyDescent="0.15"/>
    <row r="15435" s="76" customFormat="1" ht="21.95" customHeight="1" x14ac:dyDescent="0.15"/>
    <row r="15436" s="76" customFormat="1" ht="21.95" customHeight="1" x14ac:dyDescent="0.15"/>
    <row r="15437" s="76" customFormat="1" ht="21.95" customHeight="1" x14ac:dyDescent="0.15"/>
    <row r="15438" s="76" customFormat="1" ht="21.95" customHeight="1" x14ac:dyDescent="0.15"/>
    <row r="15439" s="76" customFormat="1" ht="21.95" customHeight="1" x14ac:dyDescent="0.15"/>
    <row r="15440" s="76" customFormat="1" ht="21.95" customHeight="1" x14ac:dyDescent="0.15"/>
    <row r="15441" s="76" customFormat="1" ht="21.95" customHeight="1" x14ac:dyDescent="0.15"/>
    <row r="15442" s="76" customFormat="1" ht="21.95" customHeight="1" x14ac:dyDescent="0.15"/>
    <row r="15443" s="76" customFormat="1" ht="21.95" customHeight="1" x14ac:dyDescent="0.15"/>
    <row r="15444" s="76" customFormat="1" ht="21.95" customHeight="1" x14ac:dyDescent="0.15"/>
    <row r="15445" s="76" customFormat="1" ht="21.95" customHeight="1" x14ac:dyDescent="0.15"/>
    <row r="15446" s="76" customFormat="1" ht="21.95" customHeight="1" x14ac:dyDescent="0.15"/>
    <row r="15447" s="76" customFormat="1" ht="21.95" customHeight="1" x14ac:dyDescent="0.15"/>
    <row r="15448" s="76" customFormat="1" ht="21.95" customHeight="1" x14ac:dyDescent="0.15"/>
    <row r="15449" s="76" customFormat="1" ht="21.95" customHeight="1" x14ac:dyDescent="0.15"/>
    <row r="15450" s="76" customFormat="1" ht="21.95" customHeight="1" x14ac:dyDescent="0.15"/>
    <row r="15451" s="76" customFormat="1" ht="21.95" customHeight="1" x14ac:dyDescent="0.15"/>
    <row r="15452" s="76" customFormat="1" ht="21.95" customHeight="1" x14ac:dyDescent="0.15"/>
    <row r="15453" s="76" customFormat="1" ht="21.95" customHeight="1" x14ac:dyDescent="0.15"/>
    <row r="15454" s="76" customFormat="1" ht="21.95" customHeight="1" x14ac:dyDescent="0.15"/>
    <row r="15455" s="76" customFormat="1" ht="21.95" customHeight="1" x14ac:dyDescent="0.15"/>
    <row r="15456" s="76" customFormat="1" ht="21.95" customHeight="1" x14ac:dyDescent="0.15"/>
    <row r="15457" spans="3:3" customFormat="1" ht="21.95" customHeight="1" x14ac:dyDescent="0.15"/>
    <row r="15458" spans="3:3" customFormat="1" ht="21.95" customHeight="1" x14ac:dyDescent="0.15"/>
    <row r="15459" spans="3:3" customFormat="1" ht="21.95" customHeight="1" x14ac:dyDescent="0.15">
      <c r="C15459" s="94"/>
    </row>
    <row r="15460" spans="3:3" customFormat="1" ht="21.95" customHeight="1" x14ac:dyDescent="0.15">
      <c r="C15460" s="94"/>
    </row>
    <row r="15461" spans="3:3" customFormat="1" ht="21.95" customHeight="1" x14ac:dyDescent="0.15"/>
    <row r="15462" spans="3:3" customFormat="1" ht="21.95" customHeight="1" x14ac:dyDescent="0.15"/>
    <row r="15463" spans="3:3" customFormat="1" ht="21.95" customHeight="1" x14ac:dyDescent="0.15"/>
    <row r="15464" spans="3:3" customFormat="1" ht="21.95" customHeight="1" x14ac:dyDescent="0.15"/>
    <row r="15465" spans="3:3" customFormat="1" ht="21.95" customHeight="1" x14ac:dyDescent="0.15"/>
    <row r="15466" spans="3:3" customFormat="1" ht="21.95" customHeight="1" x14ac:dyDescent="0.15"/>
    <row r="15467" spans="3:3" customFormat="1" ht="21.95" customHeight="1" x14ac:dyDescent="0.15"/>
    <row r="15468" spans="3:3" s="76" customFormat="1" ht="21.95" customHeight="1" x14ac:dyDescent="0.15"/>
    <row r="15469" spans="3:3" s="76" customFormat="1" ht="21.95" customHeight="1" x14ac:dyDescent="0.15"/>
    <row r="15470" spans="3:3" s="76" customFormat="1" ht="21.95" customHeight="1" x14ac:dyDescent="0.15"/>
    <row r="15471" spans="3:3" s="76" customFormat="1" ht="21.95" customHeight="1" x14ac:dyDescent="0.15"/>
    <row r="15472" spans="3:3" customFormat="1" ht="21.95" customHeight="1" x14ac:dyDescent="0.15"/>
    <row r="15473" customFormat="1" ht="21.95" customHeight="1" x14ac:dyDescent="0.15"/>
    <row r="15474" customFormat="1" ht="21.95" customHeight="1" x14ac:dyDescent="0.15"/>
    <row r="15475" customFormat="1" ht="21.95" customHeight="1" x14ac:dyDescent="0.15"/>
    <row r="15476" customFormat="1" ht="21.95" customHeight="1" x14ac:dyDescent="0.15"/>
    <row r="15477" customFormat="1" ht="21.95" customHeight="1" x14ac:dyDescent="0.15"/>
    <row r="15478" customFormat="1" ht="21.95" customHeight="1" x14ac:dyDescent="0.15"/>
    <row r="15479" customFormat="1" ht="21.95" customHeight="1" x14ac:dyDescent="0.15"/>
    <row r="15480" customFormat="1" ht="21.95" customHeight="1" x14ac:dyDescent="0.15"/>
    <row r="15481" customFormat="1" ht="21.95" customHeight="1" x14ac:dyDescent="0.15"/>
    <row r="15482" customFormat="1" ht="21.95" customHeight="1" x14ac:dyDescent="0.15"/>
    <row r="15483" customFormat="1" ht="32.1" customHeight="1" x14ac:dyDescent="0.15"/>
    <row r="15484" customFormat="1" ht="32.1" customHeight="1" x14ac:dyDescent="0.15"/>
    <row r="15485" customFormat="1" ht="32.1" customHeight="1" x14ac:dyDescent="0.15"/>
    <row r="15486" customFormat="1" ht="32.1" customHeight="1" x14ac:dyDescent="0.15"/>
    <row r="15487" customFormat="1" ht="32.1" customHeight="1" x14ac:dyDescent="0.15"/>
    <row r="15488" customFormat="1" ht="32.1" customHeight="1" x14ac:dyDescent="0.15"/>
    <row r="15489" s="76" customFormat="1" ht="32.1" customHeight="1" x14ac:dyDescent="0.15"/>
    <row r="15490" s="76" customFormat="1" ht="32.1" customHeight="1" x14ac:dyDescent="0.15"/>
    <row r="15491" s="76" customFormat="1" ht="32.1" customHeight="1" x14ac:dyDescent="0.15"/>
    <row r="15492" s="76" customFormat="1" ht="32.1" customHeight="1" x14ac:dyDescent="0.15"/>
    <row r="15493" s="76" customFormat="1" ht="21.95" customHeight="1" x14ac:dyDescent="0.15"/>
    <row r="15494" s="76" customFormat="1" ht="54" customHeight="1" x14ac:dyDescent="0.15"/>
    <row r="15495" s="76" customFormat="1" ht="21.95" customHeight="1" x14ac:dyDescent="0.15"/>
    <row r="15496" s="76" customFormat="1" ht="21.95" customHeight="1" x14ac:dyDescent="0.15"/>
    <row r="15497" s="76" customFormat="1" ht="21.95" customHeight="1" x14ac:dyDescent="0.15"/>
    <row r="15498" s="76" customFormat="1" ht="21.95" customHeight="1" x14ac:dyDescent="0.15"/>
    <row r="15499" s="76" customFormat="1" ht="21.95" customHeight="1" x14ac:dyDescent="0.15"/>
    <row r="15500" s="76" customFormat="1" ht="21.95" customHeight="1" x14ac:dyDescent="0.15"/>
    <row r="15501" s="76" customFormat="1" ht="21.95" customHeight="1" x14ac:dyDescent="0.15"/>
    <row r="15502" s="76" customFormat="1" ht="21.95" customHeight="1" x14ac:dyDescent="0.15"/>
    <row r="15503" s="76" customFormat="1" ht="21.95" customHeight="1" x14ac:dyDescent="0.15"/>
    <row r="15504" s="76" customFormat="1" ht="21.95" customHeight="1" x14ac:dyDescent="0.15"/>
    <row r="15505" s="76" customFormat="1" ht="21.95" customHeight="1" x14ac:dyDescent="0.15"/>
    <row r="15506" s="76" customFormat="1" ht="21.95" customHeight="1" x14ac:dyDescent="0.15"/>
    <row r="15507" s="76" customFormat="1" ht="21.95" customHeight="1" x14ac:dyDescent="0.15"/>
    <row r="15508" s="76" customFormat="1" ht="21.95" customHeight="1" x14ac:dyDescent="0.15"/>
    <row r="15509" s="76" customFormat="1" ht="21.95" customHeight="1" x14ac:dyDescent="0.15"/>
    <row r="15510" s="76" customFormat="1" ht="21.95" customHeight="1" x14ac:dyDescent="0.15"/>
    <row r="15511" s="76" customFormat="1" ht="21.95" customHeight="1" x14ac:dyDescent="0.15"/>
    <row r="15512" s="76" customFormat="1" ht="21.95" customHeight="1" x14ac:dyDescent="0.15"/>
    <row r="15513" s="76" customFormat="1" ht="21.95" customHeight="1" x14ac:dyDescent="0.15"/>
    <row r="15514" s="76" customFormat="1" ht="21.95" customHeight="1" x14ac:dyDescent="0.15"/>
    <row r="15515" s="76" customFormat="1" ht="21.95" customHeight="1" x14ac:dyDescent="0.15"/>
    <row r="15516" s="76" customFormat="1" ht="21.95" customHeight="1" x14ac:dyDescent="0.15"/>
    <row r="15517" s="76" customFormat="1" ht="21.95" customHeight="1" x14ac:dyDescent="0.15"/>
    <row r="15518" s="76" customFormat="1" ht="21.95" customHeight="1" x14ac:dyDescent="0.15"/>
    <row r="15519" s="76" customFormat="1" ht="21.95" customHeight="1" x14ac:dyDescent="0.15"/>
    <row r="15520" s="76" customFormat="1" ht="21.95" customHeight="1" x14ac:dyDescent="0.15"/>
    <row r="15521" s="76" customFormat="1" ht="21.95" customHeight="1" x14ac:dyDescent="0.15"/>
    <row r="15522" s="76" customFormat="1" ht="21.95" customHeight="1" x14ac:dyDescent="0.15"/>
    <row r="15523" s="76" customFormat="1" ht="21.95" customHeight="1" x14ac:dyDescent="0.15"/>
    <row r="15524" s="76" customFormat="1" ht="21.95" customHeight="1" x14ac:dyDescent="0.15"/>
    <row r="15525" s="76" customFormat="1" ht="21.95" customHeight="1" x14ac:dyDescent="0.15"/>
    <row r="15526" s="76" customFormat="1" ht="21.95" customHeight="1" x14ac:dyDescent="0.15"/>
    <row r="15527" s="76" customFormat="1" ht="21.95" customHeight="1" x14ac:dyDescent="0.15"/>
    <row r="15528" s="76" customFormat="1" ht="21.95" customHeight="1" x14ac:dyDescent="0.15"/>
    <row r="15529" s="76" customFormat="1" ht="21.95" customHeight="1" x14ac:dyDescent="0.15"/>
    <row r="15530" s="76" customFormat="1" ht="21.95" customHeight="1" x14ac:dyDescent="0.15"/>
    <row r="15531" s="76" customFormat="1" ht="21.95" customHeight="1" x14ac:dyDescent="0.15"/>
    <row r="15532" s="76" customFormat="1" ht="21.95" customHeight="1" x14ac:dyDescent="0.15"/>
    <row r="15533" s="76" customFormat="1" ht="21.95" customHeight="1" x14ac:dyDescent="0.15"/>
    <row r="15534" s="76" customFormat="1" ht="21.95" customHeight="1" x14ac:dyDescent="0.15"/>
    <row r="15535" s="76" customFormat="1" ht="21.95" customHeight="1" x14ac:dyDescent="0.15"/>
    <row r="15536" s="76" customFormat="1" ht="21.95" customHeight="1" x14ac:dyDescent="0.15"/>
    <row r="15537" s="76" customFormat="1" ht="21.95" customHeight="1" x14ac:dyDescent="0.15"/>
    <row r="15538" s="76" customFormat="1" ht="21.95" customHeight="1" x14ac:dyDescent="0.15"/>
    <row r="15539" s="76" customFormat="1" ht="21.95" customHeight="1" x14ac:dyDescent="0.15"/>
    <row r="15540" s="76" customFormat="1" ht="21.95" customHeight="1" x14ac:dyDescent="0.15"/>
    <row r="15541" s="76" customFormat="1" ht="21.95" customHeight="1" x14ac:dyDescent="0.15"/>
    <row r="15542" s="76" customFormat="1" ht="21.95" customHeight="1" x14ac:dyDescent="0.15"/>
    <row r="15543" s="76" customFormat="1" ht="21.95" customHeight="1" x14ac:dyDescent="0.15"/>
    <row r="15544" s="76" customFormat="1" ht="21.95" customHeight="1" x14ac:dyDescent="0.15"/>
    <row r="15545" s="76" customFormat="1" ht="35.1" customHeight="1" x14ac:dyDescent="0.15"/>
    <row r="15546" s="76" customFormat="1" ht="21.95" customHeight="1" x14ac:dyDescent="0.15"/>
    <row r="15547" s="76" customFormat="1" ht="21.95" customHeight="1" x14ac:dyDescent="0.15"/>
    <row r="15548" s="76" customFormat="1" ht="21.95" customHeight="1" x14ac:dyDescent="0.15"/>
    <row r="15549" s="76" customFormat="1" ht="21.95" customHeight="1" x14ac:dyDescent="0.15"/>
    <row r="15550" s="76" customFormat="1" ht="21.95" customHeight="1" x14ac:dyDescent="0.15"/>
    <row r="15551" s="76" customFormat="1" ht="21.95" customHeight="1" x14ac:dyDescent="0.15"/>
    <row r="15552" s="76" customFormat="1" ht="21.95" customHeight="1" x14ac:dyDescent="0.15"/>
    <row r="15553" s="76" customFormat="1" ht="21.95" customHeight="1" x14ac:dyDescent="0.15"/>
    <row r="15554" s="76" customFormat="1" ht="21.95" customHeight="1" x14ac:dyDescent="0.15"/>
    <row r="15555" s="76" customFormat="1" ht="21.95" customHeight="1" x14ac:dyDescent="0.15"/>
    <row r="15556" s="76" customFormat="1" ht="21.95" customHeight="1" x14ac:dyDescent="0.15"/>
    <row r="15557" s="76" customFormat="1" ht="21.95" customHeight="1" x14ac:dyDescent="0.15"/>
    <row r="15558" s="76" customFormat="1" ht="21.95" customHeight="1" x14ac:dyDescent="0.15"/>
    <row r="15559" s="76" customFormat="1" ht="21.95" customHeight="1" x14ac:dyDescent="0.15"/>
    <row r="15560" s="76" customFormat="1" ht="21.95" customHeight="1" x14ac:dyDescent="0.15"/>
    <row r="15561" s="76" customFormat="1" ht="21.95" customHeight="1" x14ac:dyDescent="0.15"/>
    <row r="15562" s="76" customFormat="1" ht="21.95" customHeight="1" x14ac:dyDescent="0.15"/>
    <row r="15563" s="76" customFormat="1" ht="21.95" customHeight="1" x14ac:dyDescent="0.15"/>
    <row r="15564" s="76" customFormat="1" ht="21.95" customHeight="1" x14ac:dyDescent="0.15"/>
    <row r="15565" s="76" customFormat="1" ht="21.95" customHeight="1" x14ac:dyDescent="0.15"/>
    <row r="15566" s="76" customFormat="1" ht="21.95" customHeight="1" x14ac:dyDescent="0.15"/>
    <row r="15567" s="76" customFormat="1" ht="21.95" customHeight="1" x14ac:dyDescent="0.15"/>
    <row r="15568" s="76" customFormat="1" ht="21.95" customHeight="1" x14ac:dyDescent="0.15"/>
    <row r="15569" spans="3:3" customFormat="1" ht="21.95" customHeight="1" x14ac:dyDescent="0.15"/>
    <row r="15570" spans="3:3" customFormat="1" ht="21.95" customHeight="1" x14ac:dyDescent="0.15"/>
    <row r="15571" spans="3:3" customFormat="1" ht="21.95" customHeight="1" x14ac:dyDescent="0.15">
      <c r="C15571" s="94"/>
    </row>
    <row r="15572" spans="3:3" customFormat="1" ht="21.95" customHeight="1" x14ac:dyDescent="0.15">
      <c r="C15572" s="94"/>
    </row>
    <row r="15573" spans="3:3" customFormat="1" ht="21.95" customHeight="1" x14ac:dyDescent="0.15"/>
    <row r="15574" spans="3:3" customFormat="1" ht="21.95" customHeight="1" x14ac:dyDescent="0.15"/>
    <row r="15575" spans="3:3" customFormat="1" ht="21.95" customHeight="1" x14ac:dyDescent="0.15"/>
    <row r="15576" spans="3:3" customFormat="1" ht="21.95" customHeight="1" x14ac:dyDescent="0.15"/>
    <row r="15577" spans="3:3" customFormat="1" ht="21.95" customHeight="1" x14ac:dyDescent="0.15"/>
    <row r="15578" spans="3:3" customFormat="1" ht="21.95" customHeight="1" x14ac:dyDescent="0.15"/>
    <row r="15579" spans="3:3" customFormat="1" ht="21.95" customHeight="1" x14ac:dyDescent="0.15"/>
    <row r="15580" spans="3:3" s="76" customFormat="1" ht="21.95" customHeight="1" x14ac:dyDescent="0.15"/>
    <row r="15581" spans="3:3" s="76" customFormat="1" ht="21.95" customHeight="1" x14ac:dyDescent="0.15"/>
    <row r="15582" spans="3:3" s="76" customFormat="1" ht="21.95" customHeight="1" x14ac:dyDescent="0.15"/>
    <row r="15583" spans="3:3" s="76" customFormat="1" ht="21.95" customHeight="1" x14ac:dyDescent="0.15"/>
    <row r="15584" spans="3:3" customFormat="1" ht="21.95" customHeight="1" x14ac:dyDescent="0.15"/>
    <row r="15585" customFormat="1" ht="21.95" customHeight="1" x14ac:dyDescent="0.15"/>
    <row r="15586" customFormat="1" ht="21.95" customHeight="1" x14ac:dyDescent="0.15"/>
    <row r="15587" customFormat="1" ht="21.95" customHeight="1" x14ac:dyDescent="0.15"/>
    <row r="15588" customFormat="1" ht="21.95" customHeight="1" x14ac:dyDescent="0.15"/>
    <row r="15589" customFormat="1" ht="21.95" customHeight="1" x14ac:dyDescent="0.15"/>
    <row r="15590" customFormat="1" ht="21.95" customHeight="1" x14ac:dyDescent="0.15"/>
    <row r="15591" customFormat="1" ht="21.95" customHeight="1" x14ac:dyDescent="0.15"/>
    <row r="15592" customFormat="1" ht="21.95" customHeight="1" x14ac:dyDescent="0.15"/>
    <row r="15593" customFormat="1" ht="21.95" customHeight="1" x14ac:dyDescent="0.15"/>
    <row r="15594" customFormat="1" ht="21.95" customHeight="1" x14ac:dyDescent="0.15"/>
    <row r="15595" customFormat="1" ht="32.1" customHeight="1" x14ac:dyDescent="0.15"/>
    <row r="15596" customFormat="1" ht="32.1" customHeight="1" x14ac:dyDescent="0.15"/>
    <row r="15597" customFormat="1" ht="32.1" customHeight="1" x14ac:dyDescent="0.15"/>
    <row r="15598" customFormat="1" ht="32.1" customHeight="1" x14ac:dyDescent="0.15"/>
    <row r="15599" customFormat="1" ht="32.1" customHeight="1" x14ac:dyDescent="0.15"/>
    <row r="15600" customFormat="1" ht="32.1" customHeight="1" x14ac:dyDescent="0.15"/>
    <row r="15601" s="76" customFormat="1" ht="32.1" customHeight="1" x14ac:dyDescent="0.15"/>
    <row r="15602" s="76" customFormat="1" ht="32.1" customHeight="1" x14ac:dyDescent="0.15"/>
    <row r="15603" s="76" customFormat="1" ht="32.1" customHeight="1" x14ac:dyDescent="0.15"/>
    <row r="15604" s="76" customFormat="1" ht="32.1" customHeight="1" x14ac:dyDescent="0.15"/>
    <row r="15605" s="76" customFormat="1" ht="21.95" customHeight="1" x14ac:dyDescent="0.15"/>
    <row r="15606" s="76" customFormat="1" ht="54" customHeight="1" x14ac:dyDescent="0.15"/>
    <row r="15607" s="76" customFormat="1" ht="21.95" customHeight="1" x14ac:dyDescent="0.15"/>
    <row r="15608" s="76" customFormat="1" ht="21.95" customHeight="1" x14ac:dyDescent="0.15"/>
    <row r="15609" s="76" customFormat="1" ht="21.95" customHeight="1" x14ac:dyDescent="0.15"/>
    <row r="15610" s="76" customFormat="1" ht="21.95" customHeight="1" x14ac:dyDescent="0.15"/>
    <row r="15611" s="76" customFormat="1" ht="21.95" customHeight="1" x14ac:dyDescent="0.15"/>
    <row r="15612" s="76" customFormat="1" ht="21.95" customHeight="1" x14ac:dyDescent="0.15"/>
    <row r="15613" s="76" customFormat="1" ht="21.95" customHeight="1" x14ac:dyDescent="0.15"/>
    <row r="15614" s="76" customFormat="1" ht="21.95" customHeight="1" x14ac:dyDescent="0.15"/>
    <row r="15615" s="76" customFormat="1" ht="21.95" customHeight="1" x14ac:dyDescent="0.15"/>
    <row r="15616" s="76" customFormat="1" ht="21.95" customHeight="1" x14ac:dyDescent="0.15"/>
    <row r="15617" s="76" customFormat="1" ht="21.95" customHeight="1" x14ac:dyDescent="0.15"/>
    <row r="15618" s="76" customFormat="1" ht="21.95" customHeight="1" x14ac:dyDescent="0.15"/>
    <row r="15619" s="76" customFormat="1" ht="21.95" customHeight="1" x14ac:dyDescent="0.15"/>
    <row r="15620" s="76" customFormat="1" ht="21.95" customHeight="1" x14ac:dyDescent="0.15"/>
    <row r="15621" s="76" customFormat="1" ht="21.95" customHeight="1" x14ac:dyDescent="0.15"/>
    <row r="15622" s="76" customFormat="1" ht="21.95" customHeight="1" x14ac:dyDescent="0.15"/>
    <row r="15623" s="76" customFormat="1" ht="21.95" customHeight="1" x14ac:dyDescent="0.15"/>
    <row r="15624" s="76" customFormat="1" ht="21.95" customHeight="1" x14ac:dyDescent="0.15"/>
    <row r="15625" s="76" customFormat="1" ht="21.95" customHeight="1" x14ac:dyDescent="0.15"/>
    <row r="15626" s="76" customFormat="1" ht="21.95" customHeight="1" x14ac:dyDescent="0.15"/>
    <row r="15627" s="76" customFormat="1" ht="21.95" customHeight="1" x14ac:dyDescent="0.15"/>
    <row r="15628" s="76" customFormat="1" ht="21.95" customHeight="1" x14ac:dyDescent="0.15"/>
    <row r="15629" s="76" customFormat="1" ht="21.95" customHeight="1" x14ac:dyDescent="0.15"/>
    <row r="15630" s="76" customFormat="1" ht="21.95" customHeight="1" x14ac:dyDescent="0.15"/>
    <row r="15631" s="76" customFormat="1" ht="21.95" customHeight="1" x14ac:dyDescent="0.15"/>
    <row r="15632" s="76" customFormat="1" ht="21.95" customHeight="1" x14ac:dyDescent="0.15"/>
    <row r="15633" s="76" customFormat="1" ht="21.95" customHeight="1" x14ac:dyDescent="0.15"/>
    <row r="15634" s="76" customFormat="1" ht="21.95" customHeight="1" x14ac:dyDescent="0.15"/>
    <row r="15635" s="76" customFormat="1" ht="21.95" customHeight="1" x14ac:dyDescent="0.15"/>
    <row r="15636" s="76" customFormat="1" ht="21.95" customHeight="1" x14ac:dyDescent="0.15"/>
    <row r="15637" s="76" customFormat="1" ht="21.95" customHeight="1" x14ac:dyDescent="0.15"/>
    <row r="15638" s="76" customFormat="1" ht="21.95" customHeight="1" x14ac:dyDescent="0.15"/>
    <row r="15639" s="76" customFormat="1" ht="21.95" customHeight="1" x14ac:dyDescent="0.15"/>
    <row r="15640" s="76" customFormat="1" ht="21.95" customHeight="1" x14ac:dyDescent="0.15"/>
    <row r="15641" s="76" customFormat="1" ht="21.95" customHeight="1" x14ac:dyDescent="0.15"/>
    <row r="15642" s="76" customFormat="1" ht="21.95" customHeight="1" x14ac:dyDescent="0.15"/>
    <row r="15643" s="76" customFormat="1" ht="21.95" customHeight="1" x14ac:dyDescent="0.15"/>
    <row r="15644" s="76" customFormat="1" ht="21.95" customHeight="1" x14ac:dyDescent="0.15"/>
    <row r="15645" s="76" customFormat="1" ht="21.95" customHeight="1" x14ac:dyDescent="0.15"/>
    <row r="15646" s="76" customFormat="1" ht="21.95" customHeight="1" x14ac:dyDescent="0.15"/>
    <row r="15647" s="76" customFormat="1" ht="21.95" customHeight="1" x14ac:dyDescent="0.15"/>
    <row r="15648" s="76" customFormat="1" ht="21.95" customHeight="1" x14ac:dyDescent="0.15"/>
    <row r="15649" s="76" customFormat="1" ht="21.95" customHeight="1" x14ac:dyDescent="0.15"/>
    <row r="15650" s="76" customFormat="1" ht="21.95" customHeight="1" x14ac:dyDescent="0.15"/>
    <row r="15651" s="76" customFormat="1" ht="21.95" customHeight="1" x14ac:dyDescent="0.15"/>
    <row r="15652" s="76" customFormat="1" ht="21.95" customHeight="1" x14ac:dyDescent="0.15"/>
    <row r="15653" s="76" customFormat="1" ht="21.95" customHeight="1" x14ac:dyDescent="0.15"/>
    <row r="15654" s="76" customFormat="1" ht="21.95" customHeight="1" x14ac:dyDescent="0.15"/>
    <row r="15655" s="76" customFormat="1" ht="21.95" customHeight="1" x14ac:dyDescent="0.15"/>
    <row r="15656" s="76" customFormat="1" ht="21.95" customHeight="1" x14ac:dyDescent="0.15"/>
    <row r="15657" s="76" customFormat="1" ht="35.1" customHeight="1" x14ac:dyDescent="0.15"/>
    <row r="15658" s="76" customFormat="1" ht="21.95" customHeight="1" x14ac:dyDescent="0.15"/>
    <row r="15659" s="76" customFormat="1" ht="21.95" customHeight="1" x14ac:dyDescent="0.15"/>
    <row r="15660" s="76" customFormat="1" ht="21.95" customHeight="1" x14ac:dyDescent="0.15"/>
    <row r="15661" s="76" customFormat="1" ht="21.95" customHeight="1" x14ac:dyDescent="0.15"/>
    <row r="15662" s="76" customFormat="1" ht="21.95" customHeight="1" x14ac:dyDescent="0.15"/>
    <row r="15663" s="76" customFormat="1" ht="21.95" customHeight="1" x14ac:dyDescent="0.15"/>
    <row r="15664" s="76" customFormat="1" ht="21.95" customHeight="1" x14ac:dyDescent="0.15"/>
    <row r="15665" s="76" customFormat="1" ht="21.95" customHeight="1" x14ac:dyDescent="0.15"/>
    <row r="15666" s="76" customFormat="1" ht="21.95" customHeight="1" x14ac:dyDescent="0.15"/>
    <row r="15667" s="76" customFormat="1" ht="21.95" customHeight="1" x14ac:dyDescent="0.15"/>
    <row r="15668" s="76" customFormat="1" ht="21.95" customHeight="1" x14ac:dyDescent="0.15"/>
    <row r="15669" s="76" customFormat="1" ht="21.95" customHeight="1" x14ac:dyDescent="0.15"/>
    <row r="15670" s="76" customFormat="1" ht="21.95" customHeight="1" x14ac:dyDescent="0.15"/>
    <row r="15671" s="76" customFormat="1" ht="21.95" customHeight="1" x14ac:dyDescent="0.15"/>
    <row r="15672" s="76" customFormat="1" ht="21.95" customHeight="1" x14ac:dyDescent="0.15"/>
    <row r="15673" s="76" customFormat="1" ht="21.95" customHeight="1" x14ac:dyDescent="0.15"/>
    <row r="15674" s="76" customFormat="1" ht="21.95" customHeight="1" x14ac:dyDescent="0.15"/>
    <row r="15675" s="76" customFormat="1" ht="21.95" customHeight="1" x14ac:dyDescent="0.15"/>
    <row r="15676" s="76" customFormat="1" ht="21.95" customHeight="1" x14ac:dyDescent="0.15"/>
    <row r="15677" s="76" customFormat="1" ht="21.95" customHeight="1" x14ac:dyDescent="0.15"/>
    <row r="15678" s="76" customFormat="1" ht="21.95" customHeight="1" x14ac:dyDescent="0.15"/>
    <row r="15679" s="76" customFormat="1" ht="21.95" customHeight="1" x14ac:dyDescent="0.15"/>
    <row r="15680" s="76" customFormat="1" ht="21.95" customHeight="1" x14ac:dyDescent="0.15"/>
    <row r="15681" spans="3:3" customFormat="1" ht="21.95" customHeight="1" x14ac:dyDescent="0.15"/>
    <row r="15682" spans="3:3" customFormat="1" ht="21.95" customHeight="1" x14ac:dyDescent="0.15"/>
    <row r="15683" spans="3:3" customFormat="1" ht="21.95" customHeight="1" x14ac:dyDescent="0.15">
      <c r="C15683" s="94"/>
    </row>
    <row r="15684" spans="3:3" customFormat="1" ht="21.95" customHeight="1" x14ac:dyDescent="0.15">
      <c r="C15684" s="94"/>
    </row>
    <row r="15685" spans="3:3" customFormat="1" ht="21.95" customHeight="1" x14ac:dyDescent="0.15"/>
    <row r="15686" spans="3:3" customFormat="1" ht="21.95" customHeight="1" x14ac:dyDescent="0.15"/>
    <row r="15687" spans="3:3" customFormat="1" ht="21.95" customHeight="1" x14ac:dyDescent="0.15"/>
    <row r="15688" spans="3:3" customFormat="1" ht="21.95" customHeight="1" x14ac:dyDescent="0.15"/>
    <row r="15689" spans="3:3" customFormat="1" ht="21.95" customHeight="1" x14ac:dyDescent="0.15"/>
    <row r="15690" spans="3:3" customFormat="1" ht="21.95" customHeight="1" x14ac:dyDescent="0.15"/>
    <row r="15691" spans="3:3" customFormat="1" ht="21.95" customHeight="1" x14ac:dyDescent="0.15"/>
    <row r="15692" spans="3:3" s="76" customFormat="1" ht="21.95" customHeight="1" x14ac:dyDescent="0.15"/>
    <row r="15693" spans="3:3" s="76" customFormat="1" ht="21.95" customHeight="1" x14ac:dyDescent="0.15"/>
    <row r="15694" spans="3:3" s="76" customFormat="1" ht="21.95" customHeight="1" x14ac:dyDescent="0.15"/>
    <row r="15695" spans="3:3" s="76" customFormat="1" ht="21.95" customHeight="1" x14ac:dyDescent="0.15"/>
    <row r="15696" spans="3:3" customFormat="1" ht="21.95" customHeight="1" x14ac:dyDescent="0.15"/>
    <row r="15697" customFormat="1" ht="21.95" customHeight="1" x14ac:dyDescent="0.15"/>
    <row r="15698" customFormat="1" ht="21.95" customHeight="1" x14ac:dyDescent="0.15"/>
    <row r="15699" customFormat="1" ht="21.95" customHeight="1" x14ac:dyDescent="0.15"/>
    <row r="15700" customFormat="1" ht="21.95" customHeight="1" x14ac:dyDescent="0.15"/>
    <row r="15701" customFormat="1" ht="21.95" customHeight="1" x14ac:dyDescent="0.15"/>
    <row r="15702" customFormat="1" ht="21.95" customHeight="1" x14ac:dyDescent="0.15"/>
    <row r="15703" customFormat="1" ht="21.95" customHeight="1" x14ac:dyDescent="0.15"/>
    <row r="15704" customFormat="1" ht="21.95" customHeight="1" x14ac:dyDescent="0.15"/>
    <row r="15705" customFormat="1" ht="21.95" customHeight="1" x14ac:dyDescent="0.15"/>
    <row r="15706" customFormat="1" ht="21.95" customHeight="1" x14ac:dyDescent="0.15"/>
    <row r="15707" customFormat="1" ht="32.1" customHeight="1" x14ac:dyDescent="0.15"/>
    <row r="15708" customFormat="1" ht="32.1" customHeight="1" x14ac:dyDescent="0.15"/>
    <row r="15709" customFormat="1" ht="32.1" customHeight="1" x14ac:dyDescent="0.15"/>
    <row r="15710" customFormat="1" ht="32.1" customHeight="1" x14ac:dyDescent="0.15"/>
    <row r="15711" customFormat="1" ht="32.1" customHeight="1" x14ac:dyDescent="0.15"/>
    <row r="15712" customFormat="1" ht="32.1" customHeight="1" x14ac:dyDescent="0.15"/>
    <row r="15713" s="76" customFormat="1" ht="32.1" customHeight="1" x14ac:dyDescent="0.15"/>
    <row r="15714" s="76" customFormat="1" ht="32.1" customHeight="1" x14ac:dyDescent="0.15"/>
    <row r="15715" s="76" customFormat="1" ht="32.1" customHeight="1" x14ac:dyDescent="0.15"/>
    <row r="15716" s="76" customFormat="1" ht="32.1" customHeight="1" x14ac:dyDescent="0.15"/>
    <row r="15717" s="76" customFormat="1" ht="21.95" customHeight="1" x14ac:dyDescent="0.15"/>
    <row r="15718" s="76" customFormat="1" ht="54" customHeight="1" x14ac:dyDescent="0.15"/>
    <row r="15719" s="76" customFormat="1" ht="21.95" customHeight="1" x14ac:dyDescent="0.15"/>
    <row r="15720" s="76" customFormat="1" ht="21.95" customHeight="1" x14ac:dyDescent="0.15"/>
    <row r="15721" s="76" customFormat="1" ht="21.95" customHeight="1" x14ac:dyDescent="0.15"/>
    <row r="15722" s="76" customFormat="1" ht="21.95" customHeight="1" x14ac:dyDescent="0.15"/>
    <row r="15723" s="76" customFormat="1" ht="21.95" customHeight="1" x14ac:dyDescent="0.15"/>
    <row r="15724" s="76" customFormat="1" ht="21.95" customHeight="1" x14ac:dyDescent="0.15"/>
    <row r="15725" s="76" customFormat="1" ht="21.95" customHeight="1" x14ac:dyDescent="0.15"/>
    <row r="15726" s="76" customFormat="1" ht="21.95" customHeight="1" x14ac:dyDescent="0.15"/>
    <row r="15727" s="76" customFormat="1" ht="21.95" customHeight="1" x14ac:dyDescent="0.15"/>
    <row r="15728" s="76" customFormat="1" ht="21.95" customHeight="1" x14ac:dyDescent="0.15"/>
    <row r="15729" s="76" customFormat="1" ht="21.95" customHeight="1" x14ac:dyDescent="0.15"/>
    <row r="15730" s="76" customFormat="1" ht="21.95" customHeight="1" x14ac:dyDescent="0.15"/>
    <row r="15731" s="76" customFormat="1" ht="21.95" customHeight="1" x14ac:dyDescent="0.15"/>
    <row r="15732" s="76" customFormat="1" ht="21.95" customHeight="1" x14ac:dyDescent="0.15"/>
    <row r="15733" s="76" customFormat="1" ht="21.95" customHeight="1" x14ac:dyDescent="0.15"/>
    <row r="15734" s="76" customFormat="1" ht="21.95" customHeight="1" x14ac:dyDescent="0.15"/>
    <row r="15735" s="76" customFormat="1" ht="21.95" customHeight="1" x14ac:dyDescent="0.15"/>
    <row r="15736" s="76" customFormat="1" ht="21.95" customHeight="1" x14ac:dyDescent="0.15"/>
    <row r="15737" s="76" customFormat="1" ht="21.95" customHeight="1" x14ac:dyDescent="0.15"/>
    <row r="15738" s="76" customFormat="1" ht="21.95" customHeight="1" x14ac:dyDescent="0.15"/>
    <row r="15739" s="76" customFormat="1" ht="21.95" customHeight="1" x14ac:dyDescent="0.15"/>
    <row r="15740" s="76" customFormat="1" ht="21.95" customHeight="1" x14ac:dyDescent="0.15"/>
    <row r="15741" s="76" customFormat="1" ht="21.95" customHeight="1" x14ac:dyDescent="0.15"/>
    <row r="15742" s="76" customFormat="1" ht="21.95" customHeight="1" x14ac:dyDescent="0.15"/>
    <row r="15743" s="76" customFormat="1" ht="21.95" customHeight="1" x14ac:dyDescent="0.15"/>
    <row r="15744" s="76" customFormat="1" ht="21.95" customHeight="1" x14ac:dyDescent="0.15"/>
    <row r="15745" s="76" customFormat="1" ht="21.95" customHeight="1" x14ac:dyDescent="0.15"/>
    <row r="15746" s="76" customFormat="1" ht="21.95" customHeight="1" x14ac:dyDescent="0.15"/>
    <row r="15747" s="76" customFormat="1" ht="21.95" customHeight="1" x14ac:dyDescent="0.15"/>
    <row r="15748" s="76" customFormat="1" ht="21.95" customHeight="1" x14ac:dyDescent="0.15"/>
    <row r="15749" s="76" customFormat="1" ht="21.95" customHeight="1" x14ac:dyDescent="0.15"/>
    <row r="15750" s="76" customFormat="1" ht="21.95" customHeight="1" x14ac:dyDescent="0.15"/>
    <row r="15751" s="76" customFormat="1" ht="21.95" customHeight="1" x14ac:dyDescent="0.15"/>
    <row r="15752" s="76" customFormat="1" ht="21.95" customHeight="1" x14ac:dyDescent="0.15"/>
    <row r="15753" s="76" customFormat="1" ht="21.95" customHeight="1" x14ac:dyDescent="0.15"/>
    <row r="15754" s="76" customFormat="1" ht="21.95" customHeight="1" x14ac:dyDescent="0.15"/>
    <row r="15755" s="76" customFormat="1" ht="21.95" customHeight="1" x14ac:dyDescent="0.15"/>
    <row r="15756" s="76" customFormat="1" ht="21.95" customHeight="1" x14ac:dyDescent="0.15"/>
    <row r="15757" s="76" customFormat="1" ht="21.95" customHeight="1" x14ac:dyDescent="0.15"/>
    <row r="15758" s="76" customFormat="1" ht="21.95" customHeight="1" x14ac:dyDescent="0.15"/>
    <row r="15759" s="76" customFormat="1" ht="21.95" customHeight="1" x14ac:dyDescent="0.15"/>
    <row r="15760" s="76" customFormat="1" ht="21.95" customHeight="1" x14ac:dyDescent="0.15"/>
    <row r="15761" s="76" customFormat="1" ht="21.95" customHeight="1" x14ac:dyDescent="0.15"/>
    <row r="15762" s="76" customFormat="1" ht="21.95" customHeight="1" x14ac:dyDescent="0.15"/>
    <row r="15763" s="76" customFormat="1" ht="21.95" customHeight="1" x14ac:dyDescent="0.15"/>
    <row r="15764" s="76" customFormat="1" ht="21.95" customHeight="1" x14ac:dyDescent="0.15"/>
    <row r="15765" s="76" customFormat="1" ht="21.95" customHeight="1" x14ac:dyDescent="0.15"/>
    <row r="15766" s="76" customFormat="1" ht="21.95" customHeight="1" x14ac:dyDescent="0.15"/>
    <row r="15767" s="76" customFormat="1" ht="21.95" customHeight="1" x14ac:dyDescent="0.15"/>
    <row r="15768" s="76" customFormat="1" ht="21.95" customHeight="1" x14ac:dyDescent="0.15"/>
    <row r="15769" s="76" customFormat="1" ht="35.1" customHeight="1" x14ac:dyDescent="0.15"/>
    <row r="15770" s="76" customFormat="1" ht="21.95" customHeight="1" x14ac:dyDescent="0.15"/>
    <row r="15771" s="76" customFormat="1" ht="21.95" customHeight="1" x14ac:dyDescent="0.15"/>
    <row r="15772" s="76" customFormat="1" ht="21.95" customHeight="1" x14ac:dyDescent="0.15"/>
    <row r="15773" s="76" customFormat="1" ht="21.95" customHeight="1" x14ac:dyDescent="0.15"/>
    <row r="15774" s="76" customFormat="1" ht="21.95" customHeight="1" x14ac:dyDescent="0.15"/>
    <row r="15775" s="76" customFormat="1" ht="21.95" customHeight="1" x14ac:dyDescent="0.15"/>
    <row r="15776" s="76" customFormat="1" ht="21.95" customHeight="1" x14ac:dyDescent="0.15"/>
    <row r="15777" s="76" customFormat="1" ht="21.95" customHeight="1" x14ac:dyDescent="0.15"/>
    <row r="15778" s="76" customFormat="1" ht="21.95" customHeight="1" x14ac:dyDescent="0.15"/>
    <row r="15779" s="76" customFormat="1" ht="21.95" customHeight="1" x14ac:dyDescent="0.15"/>
    <row r="15780" s="76" customFormat="1" ht="21.95" customHeight="1" x14ac:dyDescent="0.15"/>
    <row r="15781" s="76" customFormat="1" ht="21.95" customHeight="1" x14ac:dyDescent="0.15"/>
    <row r="15782" s="76" customFormat="1" ht="21.95" customHeight="1" x14ac:dyDescent="0.15"/>
    <row r="15783" s="76" customFormat="1" ht="21.95" customHeight="1" x14ac:dyDescent="0.15"/>
    <row r="15784" s="76" customFormat="1" ht="21.95" customHeight="1" x14ac:dyDescent="0.15"/>
    <row r="15785" s="76" customFormat="1" ht="21.95" customHeight="1" x14ac:dyDescent="0.15"/>
    <row r="15786" s="76" customFormat="1" ht="21.95" customHeight="1" x14ac:dyDescent="0.15"/>
    <row r="15787" s="76" customFormat="1" ht="21.95" customHeight="1" x14ac:dyDescent="0.15"/>
    <row r="15788" s="76" customFormat="1" ht="21.95" customHeight="1" x14ac:dyDescent="0.15"/>
    <row r="15789" s="76" customFormat="1" ht="21.95" customHeight="1" x14ac:dyDescent="0.15"/>
    <row r="15790" s="76" customFormat="1" ht="21.95" customHeight="1" x14ac:dyDescent="0.15"/>
    <row r="15791" s="76" customFormat="1" ht="21.95" customHeight="1" x14ac:dyDescent="0.15"/>
    <row r="15792" s="76" customFormat="1" ht="21.95" customHeight="1" x14ac:dyDescent="0.15"/>
    <row r="15793" spans="3:3" customFormat="1" ht="21.95" customHeight="1" x14ac:dyDescent="0.15"/>
    <row r="15794" spans="3:3" customFormat="1" ht="21.95" customHeight="1" x14ac:dyDescent="0.15"/>
    <row r="15795" spans="3:3" customFormat="1" ht="21.95" customHeight="1" x14ac:dyDescent="0.15">
      <c r="C15795" s="94"/>
    </row>
    <row r="15796" spans="3:3" customFormat="1" ht="21.95" customHeight="1" x14ac:dyDescent="0.15">
      <c r="C15796" s="94"/>
    </row>
    <row r="15797" spans="3:3" customFormat="1" ht="21.95" customHeight="1" x14ac:dyDescent="0.15"/>
    <row r="15798" spans="3:3" customFormat="1" ht="21.95" customHeight="1" x14ac:dyDescent="0.15"/>
    <row r="15799" spans="3:3" customFormat="1" ht="21.95" customHeight="1" x14ac:dyDescent="0.15"/>
    <row r="15800" spans="3:3" customFormat="1" ht="21.95" customHeight="1" x14ac:dyDescent="0.15"/>
    <row r="15801" spans="3:3" customFormat="1" ht="21.95" customHeight="1" x14ac:dyDescent="0.15"/>
    <row r="15802" spans="3:3" customFormat="1" ht="21.95" customHeight="1" x14ac:dyDescent="0.15"/>
    <row r="15803" spans="3:3" customFormat="1" ht="21.95" customHeight="1" x14ac:dyDescent="0.15"/>
    <row r="15804" spans="3:3" s="76" customFormat="1" ht="21.95" customHeight="1" x14ac:dyDescent="0.15"/>
    <row r="15805" spans="3:3" s="76" customFormat="1" ht="21.95" customHeight="1" x14ac:dyDescent="0.15"/>
    <row r="15806" spans="3:3" s="76" customFormat="1" ht="21.95" customHeight="1" x14ac:dyDescent="0.15"/>
    <row r="15807" spans="3:3" s="76" customFormat="1" ht="21.95" customHeight="1" x14ac:dyDescent="0.15"/>
    <row r="15808" spans="3:3" customFormat="1" ht="21.95" customHeight="1" x14ac:dyDescent="0.15"/>
    <row r="15809" customFormat="1" ht="21.95" customHeight="1" x14ac:dyDescent="0.15"/>
    <row r="15810" customFormat="1" ht="21.95" customHeight="1" x14ac:dyDescent="0.15"/>
    <row r="15811" customFormat="1" ht="21.95" customHeight="1" x14ac:dyDescent="0.15"/>
    <row r="15812" customFormat="1" ht="21.95" customHeight="1" x14ac:dyDescent="0.15"/>
    <row r="15813" customFormat="1" ht="21.95" customHeight="1" x14ac:dyDescent="0.15"/>
    <row r="15814" customFormat="1" ht="21.95" customHeight="1" x14ac:dyDescent="0.15"/>
    <row r="15815" customFormat="1" ht="21.95" customHeight="1" x14ac:dyDescent="0.15"/>
    <row r="15816" customFormat="1" ht="21.95" customHeight="1" x14ac:dyDescent="0.15"/>
    <row r="15817" customFormat="1" ht="21.95" customHeight="1" x14ac:dyDescent="0.15"/>
    <row r="15818" customFormat="1" ht="21.95" customHeight="1" x14ac:dyDescent="0.15"/>
    <row r="15819" customFormat="1" ht="32.1" customHeight="1" x14ac:dyDescent="0.15"/>
    <row r="15820" customFormat="1" ht="32.1" customHeight="1" x14ac:dyDescent="0.15"/>
    <row r="15821" customFormat="1" ht="32.1" customHeight="1" x14ac:dyDescent="0.15"/>
    <row r="15822" customFormat="1" ht="32.1" customHeight="1" x14ac:dyDescent="0.15"/>
    <row r="15823" customFormat="1" ht="32.1" customHeight="1" x14ac:dyDescent="0.15"/>
    <row r="15824" customFormat="1" ht="32.1" customHeight="1" x14ac:dyDescent="0.15"/>
    <row r="15825" s="76" customFormat="1" ht="32.1" customHeight="1" x14ac:dyDescent="0.15"/>
    <row r="15826" s="76" customFormat="1" ht="32.1" customHeight="1" x14ac:dyDescent="0.15"/>
    <row r="15827" s="76" customFormat="1" ht="32.1" customHeight="1" x14ac:dyDescent="0.15"/>
    <row r="15828" s="76" customFormat="1" ht="32.1" customHeight="1" x14ac:dyDescent="0.15"/>
    <row r="15829" s="76" customFormat="1" ht="21.95" customHeight="1" x14ac:dyDescent="0.15"/>
    <row r="15830" s="76" customFormat="1" ht="54" customHeight="1" x14ac:dyDescent="0.15"/>
    <row r="15831" s="76" customFormat="1" ht="21.95" customHeight="1" x14ac:dyDescent="0.15"/>
    <row r="15832" s="76" customFormat="1" ht="21.95" customHeight="1" x14ac:dyDescent="0.15"/>
    <row r="15833" s="76" customFormat="1" ht="21.95" customHeight="1" x14ac:dyDescent="0.15"/>
    <row r="15834" s="76" customFormat="1" ht="21.95" customHeight="1" x14ac:dyDescent="0.15"/>
    <row r="15835" s="76" customFormat="1" ht="21.95" customHeight="1" x14ac:dyDescent="0.15"/>
    <row r="15836" s="76" customFormat="1" ht="21.95" customHeight="1" x14ac:dyDescent="0.15"/>
    <row r="15837" s="76" customFormat="1" ht="21.95" customHeight="1" x14ac:dyDescent="0.15"/>
    <row r="15838" s="76" customFormat="1" ht="21.95" customHeight="1" x14ac:dyDescent="0.15"/>
    <row r="15839" s="76" customFormat="1" ht="21.95" customHeight="1" x14ac:dyDescent="0.15"/>
    <row r="15840" s="76" customFormat="1" ht="21.95" customHeight="1" x14ac:dyDescent="0.15"/>
    <row r="15841" s="76" customFormat="1" ht="21.95" customHeight="1" x14ac:dyDescent="0.15"/>
    <row r="15842" s="76" customFormat="1" ht="21.95" customHeight="1" x14ac:dyDescent="0.15"/>
    <row r="15843" s="76" customFormat="1" ht="21.95" customHeight="1" x14ac:dyDescent="0.15"/>
    <row r="15844" s="76" customFormat="1" ht="21.95" customHeight="1" x14ac:dyDescent="0.15"/>
    <row r="15845" s="76" customFormat="1" ht="21.95" customHeight="1" x14ac:dyDescent="0.15"/>
    <row r="15846" s="76" customFormat="1" ht="21.95" customHeight="1" x14ac:dyDescent="0.15"/>
    <row r="15847" s="76" customFormat="1" ht="21.95" customHeight="1" x14ac:dyDescent="0.15"/>
    <row r="15848" s="76" customFormat="1" ht="21.95" customHeight="1" x14ac:dyDescent="0.15"/>
    <row r="15849" s="76" customFormat="1" ht="21.95" customHeight="1" x14ac:dyDescent="0.15"/>
    <row r="15850" s="76" customFormat="1" ht="21.95" customHeight="1" x14ac:dyDescent="0.15"/>
    <row r="15851" s="76" customFormat="1" ht="21.95" customHeight="1" x14ac:dyDescent="0.15"/>
    <row r="15852" s="76" customFormat="1" ht="21.95" customHeight="1" x14ac:dyDescent="0.15"/>
    <row r="15853" s="76" customFormat="1" ht="21.95" customHeight="1" x14ac:dyDescent="0.15"/>
    <row r="15854" s="76" customFormat="1" ht="21.95" customHeight="1" x14ac:dyDescent="0.15"/>
    <row r="15855" s="76" customFormat="1" ht="21.95" customHeight="1" x14ac:dyDescent="0.15"/>
    <row r="15856" s="76" customFormat="1" ht="21.95" customHeight="1" x14ac:dyDescent="0.15"/>
    <row r="15857" s="76" customFormat="1" ht="21.95" customHeight="1" x14ac:dyDescent="0.15"/>
    <row r="15858" s="76" customFormat="1" ht="21.95" customHeight="1" x14ac:dyDescent="0.15"/>
    <row r="15859" s="76" customFormat="1" ht="21.95" customHeight="1" x14ac:dyDescent="0.15"/>
    <row r="15860" s="76" customFormat="1" ht="21.95" customHeight="1" x14ac:dyDescent="0.15"/>
    <row r="15861" s="76" customFormat="1" ht="21.95" customHeight="1" x14ac:dyDescent="0.15"/>
    <row r="15862" s="76" customFormat="1" ht="21.95" customHeight="1" x14ac:dyDescent="0.15"/>
    <row r="15863" s="76" customFormat="1" ht="21.95" customHeight="1" x14ac:dyDescent="0.15"/>
    <row r="15864" s="76" customFormat="1" ht="21.95" customHeight="1" x14ac:dyDescent="0.15"/>
    <row r="15865" s="76" customFormat="1" ht="21.95" customHeight="1" x14ac:dyDescent="0.15"/>
    <row r="15866" s="76" customFormat="1" ht="21.95" customHeight="1" x14ac:dyDescent="0.15"/>
    <row r="15867" s="76" customFormat="1" ht="21.95" customHeight="1" x14ac:dyDescent="0.15"/>
    <row r="15868" s="76" customFormat="1" ht="21.95" customHeight="1" x14ac:dyDescent="0.15"/>
    <row r="15869" s="76" customFormat="1" ht="21.95" customHeight="1" x14ac:dyDescent="0.15"/>
    <row r="15870" s="76" customFormat="1" ht="21.95" customHeight="1" x14ac:dyDescent="0.15"/>
    <row r="15871" s="76" customFormat="1" ht="21.95" customHeight="1" x14ac:dyDescent="0.15"/>
    <row r="15872" s="76" customFormat="1" ht="21.95" customHeight="1" x14ac:dyDescent="0.15"/>
    <row r="15873" s="76" customFormat="1" ht="21.95" customHeight="1" x14ac:dyDescent="0.15"/>
    <row r="15874" s="76" customFormat="1" ht="21.95" customHeight="1" x14ac:dyDescent="0.15"/>
    <row r="15875" s="76" customFormat="1" ht="21.95" customHeight="1" x14ac:dyDescent="0.15"/>
    <row r="15876" s="76" customFormat="1" ht="21.95" customHeight="1" x14ac:dyDescent="0.15"/>
    <row r="15877" s="76" customFormat="1" ht="21.95" customHeight="1" x14ac:dyDescent="0.15"/>
    <row r="15878" s="76" customFormat="1" ht="21.95" customHeight="1" x14ac:dyDescent="0.15"/>
    <row r="15879" s="76" customFormat="1" ht="21.95" customHeight="1" x14ac:dyDescent="0.15"/>
    <row r="15880" s="76" customFormat="1" ht="21.95" customHeight="1" x14ac:dyDescent="0.15"/>
    <row r="15881" s="76" customFormat="1" ht="35.1" customHeight="1" x14ac:dyDescent="0.15"/>
    <row r="15882" s="76" customFormat="1" ht="21.95" customHeight="1" x14ac:dyDescent="0.15"/>
    <row r="15883" s="76" customFormat="1" ht="21.95" customHeight="1" x14ac:dyDescent="0.15"/>
    <row r="15884" s="76" customFormat="1" ht="21.95" customHeight="1" x14ac:dyDescent="0.15"/>
    <row r="15885" s="76" customFormat="1" ht="21.95" customHeight="1" x14ac:dyDescent="0.15"/>
    <row r="15886" s="76" customFormat="1" ht="21.95" customHeight="1" x14ac:dyDescent="0.15"/>
    <row r="15887" s="76" customFormat="1" ht="21.95" customHeight="1" x14ac:dyDescent="0.15"/>
    <row r="15888" s="76" customFormat="1" ht="21.95" customHeight="1" x14ac:dyDescent="0.15"/>
    <row r="15889" s="76" customFormat="1" ht="21.95" customHeight="1" x14ac:dyDescent="0.15"/>
    <row r="15890" s="76" customFormat="1" ht="21.95" customHeight="1" x14ac:dyDescent="0.15"/>
    <row r="15891" s="76" customFormat="1" ht="21.95" customHeight="1" x14ac:dyDescent="0.15"/>
    <row r="15892" s="76" customFormat="1" ht="21.95" customHeight="1" x14ac:dyDescent="0.15"/>
    <row r="15893" s="76" customFormat="1" ht="21.95" customHeight="1" x14ac:dyDescent="0.15"/>
    <row r="15894" s="76" customFormat="1" ht="21.95" customHeight="1" x14ac:dyDescent="0.15"/>
    <row r="15895" s="76" customFormat="1" ht="21.95" customHeight="1" x14ac:dyDescent="0.15"/>
    <row r="15896" s="76" customFormat="1" ht="21.95" customHeight="1" x14ac:dyDescent="0.15"/>
    <row r="15897" s="76" customFormat="1" ht="21.95" customHeight="1" x14ac:dyDescent="0.15"/>
    <row r="15898" s="76" customFormat="1" ht="21.95" customHeight="1" x14ac:dyDescent="0.15"/>
    <row r="15899" s="76" customFormat="1" ht="21.95" customHeight="1" x14ac:dyDescent="0.15"/>
    <row r="15900" s="76" customFormat="1" ht="21.95" customHeight="1" x14ac:dyDescent="0.15"/>
    <row r="15901" s="76" customFormat="1" ht="21.95" customHeight="1" x14ac:dyDescent="0.15"/>
    <row r="15902" s="76" customFormat="1" ht="21.95" customHeight="1" x14ac:dyDescent="0.15"/>
    <row r="15903" s="76" customFormat="1" ht="21.95" customHeight="1" x14ac:dyDescent="0.15"/>
    <row r="15904" s="76" customFormat="1" ht="21.95" customHeight="1" x14ac:dyDescent="0.15"/>
    <row r="15905" spans="3:3" customFormat="1" ht="21.95" customHeight="1" x14ac:dyDescent="0.15"/>
    <row r="15906" spans="3:3" customFormat="1" ht="21.95" customHeight="1" x14ac:dyDescent="0.15"/>
    <row r="15907" spans="3:3" customFormat="1" ht="21.95" customHeight="1" x14ac:dyDescent="0.15">
      <c r="C15907" s="94"/>
    </row>
    <row r="15908" spans="3:3" customFormat="1" ht="21.95" customHeight="1" x14ac:dyDescent="0.15">
      <c r="C15908" s="94"/>
    </row>
    <row r="15909" spans="3:3" customFormat="1" ht="21.95" customHeight="1" x14ac:dyDescent="0.15"/>
    <row r="15910" spans="3:3" customFormat="1" ht="21.95" customHeight="1" x14ac:dyDescent="0.15"/>
    <row r="15911" spans="3:3" customFormat="1" ht="21.95" customHeight="1" x14ac:dyDescent="0.15"/>
    <row r="15912" spans="3:3" customFormat="1" ht="21.95" customHeight="1" x14ac:dyDescent="0.15"/>
    <row r="15913" spans="3:3" customFormat="1" ht="21.95" customHeight="1" x14ac:dyDescent="0.15"/>
    <row r="15914" spans="3:3" customFormat="1" ht="21.95" customHeight="1" x14ac:dyDescent="0.15"/>
    <row r="15915" spans="3:3" customFormat="1" ht="21.95" customHeight="1" x14ac:dyDescent="0.15"/>
    <row r="15916" spans="3:3" s="76" customFormat="1" ht="21.95" customHeight="1" x14ac:dyDescent="0.15"/>
    <row r="15917" spans="3:3" s="76" customFormat="1" ht="21.95" customHeight="1" x14ac:dyDescent="0.15"/>
    <row r="15918" spans="3:3" s="76" customFormat="1" ht="21.95" customHeight="1" x14ac:dyDescent="0.15"/>
    <row r="15919" spans="3:3" s="76" customFormat="1" ht="21.95" customHeight="1" x14ac:dyDescent="0.15"/>
    <row r="15920" spans="3:3" customFormat="1" ht="21.95" customHeight="1" x14ac:dyDescent="0.15"/>
    <row r="15921" customFormat="1" ht="21.95" customHeight="1" x14ac:dyDescent="0.15"/>
    <row r="15922" customFormat="1" ht="21.95" customHeight="1" x14ac:dyDescent="0.15"/>
    <row r="15923" customFormat="1" ht="21.95" customHeight="1" x14ac:dyDescent="0.15"/>
    <row r="15924" customFormat="1" ht="21.95" customHeight="1" x14ac:dyDescent="0.15"/>
    <row r="15925" customFormat="1" ht="21.95" customHeight="1" x14ac:dyDescent="0.15"/>
    <row r="15926" customFormat="1" ht="21.95" customHeight="1" x14ac:dyDescent="0.15"/>
    <row r="15927" customFormat="1" ht="21.95" customHeight="1" x14ac:dyDescent="0.15"/>
    <row r="15928" customFormat="1" ht="21.95" customHeight="1" x14ac:dyDescent="0.15"/>
    <row r="15929" customFormat="1" ht="21.95" customHeight="1" x14ac:dyDescent="0.15"/>
    <row r="15930" customFormat="1" ht="21.95" customHeight="1" x14ac:dyDescent="0.15"/>
    <row r="15931" customFormat="1" ht="32.1" customHeight="1" x14ac:dyDescent="0.15"/>
    <row r="15932" customFormat="1" ht="32.1" customHeight="1" x14ac:dyDescent="0.15"/>
    <row r="15933" customFormat="1" ht="32.1" customHeight="1" x14ac:dyDescent="0.15"/>
    <row r="15934" customFormat="1" ht="32.1" customHeight="1" x14ac:dyDescent="0.15"/>
    <row r="15935" customFormat="1" ht="32.1" customHeight="1" x14ac:dyDescent="0.15"/>
    <row r="15936" customFormat="1" ht="32.1" customHeight="1" x14ac:dyDescent="0.15"/>
    <row r="15937" s="76" customFormat="1" ht="32.1" customHeight="1" x14ac:dyDescent="0.15"/>
    <row r="15938" s="76" customFormat="1" ht="32.1" customHeight="1" x14ac:dyDescent="0.15"/>
    <row r="15939" s="76" customFormat="1" ht="32.1" customHeight="1" x14ac:dyDescent="0.15"/>
    <row r="15940" s="76" customFormat="1" ht="32.1" customHeight="1" x14ac:dyDescent="0.15"/>
    <row r="15941" s="76" customFormat="1" ht="21.95" customHeight="1" x14ac:dyDescent="0.15"/>
    <row r="15942" s="76" customFormat="1" ht="54" customHeight="1" x14ac:dyDescent="0.15"/>
    <row r="15943" s="76" customFormat="1" ht="21.95" customHeight="1" x14ac:dyDescent="0.15"/>
    <row r="15944" s="76" customFormat="1" ht="21.95" customHeight="1" x14ac:dyDescent="0.15"/>
    <row r="15945" s="76" customFormat="1" ht="21.95" customHeight="1" x14ac:dyDescent="0.15"/>
    <row r="15946" s="76" customFormat="1" ht="21.95" customHeight="1" x14ac:dyDescent="0.15"/>
    <row r="15947" s="76" customFormat="1" ht="21.95" customHeight="1" x14ac:dyDescent="0.15"/>
    <row r="15948" s="76" customFormat="1" ht="21.95" customHeight="1" x14ac:dyDescent="0.15"/>
    <row r="15949" s="76" customFormat="1" ht="21.95" customHeight="1" x14ac:dyDescent="0.15"/>
    <row r="15950" s="76" customFormat="1" ht="21.95" customHeight="1" x14ac:dyDescent="0.15"/>
    <row r="15951" s="76" customFormat="1" ht="21.95" customHeight="1" x14ac:dyDescent="0.15"/>
    <row r="15952" s="76" customFormat="1" ht="21.95" customHeight="1" x14ac:dyDescent="0.15"/>
    <row r="15953" s="76" customFormat="1" ht="21.95" customHeight="1" x14ac:dyDescent="0.15"/>
    <row r="15954" s="76" customFormat="1" ht="21.95" customHeight="1" x14ac:dyDescent="0.15"/>
    <row r="15955" s="76" customFormat="1" ht="21.95" customHeight="1" x14ac:dyDescent="0.15"/>
    <row r="15956" s="76" customFormat="1" ht="21.95" customHeight="1" x14ac:dyDescent="0.15"/>
    <row r="15957" s="76" customFormat="1" ht="21.95" customHeight="1" x14ac:dyDescent="0.15"/>
    <row r="15958" s="76" customFormat="1" ht="21.95" customHeight="1" x14ac:dyDescent="0.15"/>
    <row r="15959" s="76" customFormat="1" ht="21.95" customHeight="1" x14ac:dyDescent="0.15"/>
    <row r="15960" s="76" customFormat="1" ht="21.95" customHeight="1" x14ac:dyDescent="0.15"/>
    <row r="15961" s="76" customFormat="1" ht="21.95" customHeight="1" x14ac:dyDescent="0.15"/>
    <row r="15962" s="76" customFormat="1" ht="21.95" customHeight="1" x14ac:dyDescent="0.15"/>
    <row r="15963" s="76" customFormat="1" ht="21.95" customHeight="1" x14ac:dyDescent="0.15"/>
    <row r="15964" s="76" customFormat="1" ht="21.95" customHeight="1" x14ac:dyDescent="0.15"/>
    <row r="15965" s="76" customFormat="1" ht="21.95" customHeight="1" x14ac:dyDescent="0.15"/>
    <row r="15966" s="76" customFormat="1" ht="21.95" customHeight="1" x14ac:dyDescent="0.15"/>
    <row r="15967" s="76" customFormat="1" ht="21.95" customHeight="1" x14ac:dyDescent="0.15"/>
    <row r="15968" s="76" customFormat="1" ht="21.95" customHeight="1" x14ac:dyDescent="0.15"/>
    <row r="15969" s="76" customFormat="1" ht="21.95" customHeight="1" x14ac:dyDescent="0.15"/>
    <row r="15970" s="76" customFormat="1" ht="21.95" customHeight="1" x14ac:dyDescent="0.15"/>
    <row r="15971" s="76" customFormat="1" ht="21.95" customHeight="1" x14ac:dyDescent="0.15"/>
    <row r="15972" s="76" customFormat="1" ht="21.95" customHeight="1" x14ac:dyDescent="0.15"/>
    <row r="15973" s="76" customFormat="1" ht="21.95" customHeight="1" x14ac:dyDescent="0.15"/>
    <row r="15974" s="76" customFormat="1" ht="21.95" customHeight="1" x14ac:dyDescent="0.15"/>
    <row r="15975" s="76" customFormat="1" ht="21.95" customHeight="1" x14ac:dyDescent="0.15"/>
    <row r="15976" s="76" customFormat="1" ht="21.95" customHeight="1" x14ac:dyDescent="0.15"/>
    <row r="15977" s="76" customFormat="1" ht="21.95" customHeight="1" x14ac:dyDescent="0.15"/>
    <row r="15978" s="76" customFormat="1" ht="21.95" customHeight="1" x14ac:dyDescent="0.15"/>
    <row r="15979" s="76" customFormat="1" ht="21.95" customHeight="1" x14ac:dyDescent="0.15"/>
    <row r="15980" s="76" customFormat="1" ht="21.95" customHeight="1" x14ac:dyDescent="0.15"/>
    <row r="15981" s="76" customFormat="1" ht="21.95" customHeight="1" x14ac:dyDescent="0.15"/>
    <row r="15982" s="76" customFormat="1" ht="21.95" customHeight="1" x14ac:dyDescent="0.15"/>
    <row r="15983" s="76" customFormat="1" ht="21.95" customHeight="1" x14ac:dyDescent="0.15"/>
    <row r="15984" s="76" customFormat="1" ht="21.95" customHeight="1" x14ac:dyDescent="0.15"/>
    <row r="15985" s="76" customFormat="1" ht="21.95" customHeight="1" x14ac:dyDescent="0.15"/>
    <row r="15986" s="76" customFormat="1" ht="21.95" customHeight="1" x14ac:dyDescent="0.15"/>
    <row r="15987" s="76" customFormat="1" ht="21.95" customHeight="1" x14ac:dyDescent="0.15"/>
    <row r="15988" s="76" customFormat="1" ht="21.95" customHeight="1" x14ac:dyDescent="0.15"/>
    <row r="15989" s="76" customFormat="1" ht="21.95" customHeight="1" x14ac:dyDescent="0.15"/>
    <row r="15990" s="76" customFormat="1" ht="21.95" customHeight="1" x14ac:dyDescent="0.15"/>
    <row r="15991" s="76" customFormat="1" ht="21.95" customHeight="1" x14ac:dyDescent="0.15"/>
    <row r="15992" s="76" customFormat="1" ht="21.95" customHeight="1" x14ac:dyDescent="0.15"/>
    <row r="15993" s="76" customFormat="1" ht="35.1" customHeight="1" x14ac:dyDescent="0.15"/>
    <row r="15994" s="76" customFormat="1" ht="21.95" customHeight="1" x14ac:dyDescent="0.15"/>
    <row r="15995" s="76" customFormat="1" ht="21.95" customHeight="1" x14ac:dyDescent="0.15"/>
    <row r="15996" s="76" customFormat="1" ht="21.95" customHeight="1" x14ac:dyDescent="0.15"/>
    <row r="15997" s="76" customFormat="1" ht="21.95" customHeight="1" x14ac:dyDescent="0.15"/>
    <row r="15998" s="76" customFormat="1" ht="21.95" customHeight="1" x14ac:dyDescent="0.15"/>
    <row r="15999" s="76" customFormat="1" ht="21.95" customHeight="1" x14ac:dyDescent="0.15"/>
    <row r="16000" s="76" customFormat="1" ht="21.95" customHeight="1" x14ac:dyDescent="0.15"/>
    <row r="16001" s="76" customFormat="1" ht="21.95" customHeight="1" x14ac:dyDescent="0.15"/>
    <row r="16002" s="76" customFormat="1" ht="21.95" customHeight="1" x14ac:dyDescent="0.15"/>
    <row r="16003" s="76" customFormat="1" ht="21.95" customHeight="1" x14ac:dyDescent="0.15"/>
    <row r="16004" s="76" customFormat="1" ht="21.95" customHeight="1" x14ac:dyDescent="0.15"/>
    <row r="16005" s="76" customFormat="1" ht="21.95" customHeight="1" x14ac:dyDescent="0.15"/>
    <row r="16006" s="76" customFormat="1" ht="21.95" customHeight="1" x14ac:dyDescent="0.15"/>
    <row r="16007" s="76" customFormat="1" ht="21.95" customHeight="1" x14ac:dyDescent="0.15"/>
    <row r="16008" s="76" customFormat="1" ht="21.95" customHeight="1" x14ac:dyDescent="0.15"/>
    <row r="16009" s="76" customFormat="1" ht="21.95" customHeight="1" x14ac:dyDescent="0.15"/>
    <row r="16010" s="76" customFormat="1" ht="21.95" customHeight="1" x14ac:dyDescent="0.15"/>
    <row r="16011" s="76" customFormat="1" ht="21.95" customHeight="1" x14ac:dyDescent="0.15"/>
    <row r="16012" s="76" customFormat="1" ht="21.95" customHeight="1" x14ac:dyDescent="0.15"/>
    <row r="16013" s="76" customFormat="1" ht="21.95" customHeight="1" x14ac:dyDescent="0.15"/>
    <row r="16014" s="76" customFormat="1" ht="21.95" customHeight="1" x14ac:dyDescent="0.15"/>
    <row r="16015" s="76" customFormat="1" ht="21.95" customHeight="1" x14ac:dyDescent="0.15"/>
    <row r="16016" s="76" customFormat="1" ht="21.95" customHeight="1" x14ac:dyDescent="0.15"/>
    <row r="16017" spans="3:3" customFormat="1" ht="21.95" customHeight="1" x14ac:dyDescent="0.15"/>
    <row r="16018" spans="3:3" customFormat="1" ht="21.95" customHeight="1" x14ac:dyDescent="0.15"/>
    <row r="16019" spans="3:3" customFormat="1" ht="21.95" customHeight="1" x14ac:dyDescent="0.15">
      <c r="C16019" s="94"/>
    </row>
    <row r="16020" spans="3:3" customFormat="1" ht="21.95" customHeight="1" x14ac:dyDescent="0.15">
      <c r="C16020" s="94"/>
    </row>
    <row r="16021" spans="3:3" customFormat="1" ht="21.95" customHeight="1" x14ac:dyDescent="0.15"/>
    <row r="16022" spans="3:3" customFormat="1" ht="21.95" customHeight="1" x14ac:dyDescent="0.15"/>
    <row r="16023" spans="3:3" customFormat="1" ht="21.95" customHeight="1" x14ac:dyDescent="0.15"/>
    <row r="16024" spans="3:3" customFormat="1" ht="21.95" customHeight="1" x14ac:dyDescent="0.15"/>
    <row r="16025" spans="3:3" customFormat="1" ht="21.95" customHeight="1" x14ac:dyDescent="0.15"/>
    <row r="16026" spans="3:3" customFormat="1" ht="21.95" customHeight="1" x14ac:dyDescent="0.15"/>
    <row r="16027" spans="3:3" customFormat="1" ht="21.95" customHeight="1" x14ac:dyDescent="0.15"/>
    <row r="16028" spans="3:3" s="76" customFormat="1" ht="21.95" customHeight="1" x14ac:dyDescent="0.15"/>
    <row r="16029" spans="3:3" s="76" customFormat="1" ht="21.95" customHeight="1" x14ac:dyDescent="0.15"/>
    <row r="16030" spans="3:3" s="76" customFormat="1" ht="21.95" customHeight="1" x14ac:dyDescent="0.15"/>
    <row r="16031" spans="3:3" s="76" customFormat="1" ht="21.95" customHeight="1" x14ac:dyDescent="0.15"/>
    <row r="16032" spans="3:3" customFormat="1" ht="21.95" customHeight="1" x14ac:dyDescent="0.15"/>
    <row r="16033" customFormat="1" ht="21.95" customHeight="1" x14ac:dyDescent="0.15"/>
    <row r="16034" customFormat="1" ht="21.95" customHeight="1" x14ac:dyDescent="0.15"/>
    <row r="16035" customFormat="1" ht="21.95" customHeight="1" x14ac:dyDescent="0.15"/>
    <row r="16036" customFormat="1" ht="21.95" customHeight="1" x14ac:dyDescent="0.15"/>
    <row r="16037" customFormat="1" ht="21.95" customHeight="1" x14ac:dyDescent="0.15"/>
    <row r="16038" customFormat="1" ht="21.95" customHeight="1" x14ac:dyDescent="0.15"/>
    <row r="16039" customFormat="1" ht="21.95" customHeight="1" x14ac:dyDescent="0.15"/>
    <row r="16040" customFormat="1" ht="21.95" customHeight="1" x14ac:dyDescent="0.15"/>
    <row r="16041" customFormat="1" ht="21.95" customHeight="1" x14ac:dyDescent="0.15"/>
    <row r="16042" customFormat="1" ht="21.95" customHeight="1" x14ac:dyDescent="0.15"/>
    <row r="16043" customFormat="1" ht="32.1" customHeight="1" x14ac:dyDescent="0.15"/>
    <row r="16044" customFormat="1" ht="32.1" customHeight="1" x14ac:dyDescent="0.15"/>
    <row r="16045" customFormat="1" ht="32.1" customHeight="1" x14ac:dyDescent="0.15"/>
    <row r="16046" customFormat="1" ht="32.1" customHeight="1" x14ac:dyDescent="0.15"/>
    <row r="16047" customFormat="1" ht="32.1" customHeight="1" x14ac:dyDescent="0.15"/>
    <row r="16048" customFormat="1" ht="32.1" customHeight="1" x14ac:dyDescent="0.15"/>
    <row r="16049" s="76" customFormat="1" ht="32.1" customHeight="1" x14ac:dyDescent="0.15"/>
    <row r="16050" s="76" customFormat="1" ht="32.1" customHeight="1" x14ac:dyDescent="0.15"/>
    <row r="16051" s="76" customFormat="1" ht="32.1" customHeight="1" x14ac:dyDescent="0.15"/>
    <row r="16052" s="76" customFormat="1" ht="32.1" customHeight="1" x14ac:dyDescent="0.15"/>
    <row r="16053" s="76" customFormat="1" ht="21.95" customHeight="1" x14ac:dyDescent="0.15"/>
    <row r="16054" s="76" customFormat="1" ht="54" customHeight="1" x14ac:dyDescent="0.15"/>
    <row r="16055" s="76" customFormat="1" ht="21.95" customHeight="1" x14ac:dyDescent="0.15"/>
    <row r="16056" s="76" customFormat="1" ht="21.95" customHeight="1" x14ac:dyDescent="0.15"/>
    <row r="16057" s="76" customFormat="1" ht="21.95" customHeight="1" x14ac:dyDescent="0.15"/>
    <row r="16058" s="76" customFormat="1" ht="21.95" customHeight="1" x14ac:dyDescent="0.15"/>
    <row r="16059" s="76" customFormat="1" ht="21.95" customHeight="1" x14ac:dyDescent="0.15"/>
    <row r="16060" s="76" customFormat="1" ht="21.95" customHeight="1" x14ac:dyDescent="0.15"/>
    <row r="16061" s="76" customFormat="1" ht="21.95" customHeight="1" x14ac:dyDescent="0.15"/>
    <row r="16062" s="76" customFormat="1" ht="21.95" customHeight="1" x14ac:dyDescent="0.15"/>
    <row r="16063" s="76" customFormat="1" ht="21.95" customHeight="1" x14ac:dyDescent="0.15"/>
    <row r="16064" s="76" customFormat="1" ht="21.95" customHeight="1" x14ac:dyDescent="0.15"/>
    <row r="16065" s="76" customFormat="1" ht="21.95" customHeight="1" x14ac:dyDescent="0.15"/>
    <row r="16066" s="76" customFormat="1" ht="21.95" customHeight="1" x14ac:dyDescent="0.15"/>
    <row r="16067" s="76" customFormat="1" ht="21.95" customHeight="1" x14ac:dyDescent="0.15"/>
    <row r="16068" s="76" customFormat="1" ht="21.95" customHeight="1" x14ac:dyDescent="0.15"/>
    <row r="16069" s="76" customFormat="1" ht="21.95" customHeight="1" x14ac:dyDescent="0.15"/>
    <row r="16070" s="76" customFormat="1" ht="21.95" customHeight="1" x14ac:dyDescent="0.15"/>
    <row r="16071" s="76" customFormat="1" ht="21.95" customHeight="1" x14ac:dyDescent="0.15"/>
    <row r="16072" s="76" customFormat="1" ht="21.95" customHeight="1" x14ac:dyDescent="0.15"/>
    <row r="16073" s="76" customFormat="1" ht="21.95" customHeight="1" x14ac:dyDescent="0.15"/>
    <row r="16074" s="76" customFormat="1" ht="21.95" customHeight="1" x14ac:dyDescent="0.15"/>
    <row r="16075" s="76" customFormat="1" ht="21.95" customHeight="1" x14ac:dyDescent="0.15"/>
    <row r="16076" s="76" customFormat="1" ht="21.95" customHeight="1" x14ac:dyDescent="0.15"/>
    <row r="16077" s="76" customFormat="1" ht="21.95" customHeight="1" x14ac:dyDescent="0.15"/>
    <row r="16078" s="76" customFormat="1" ht="21.95" customHeight="1" x14ac:dyDescent="0.15"/>
    <row r="16079" s="76" customFormat="1" ht="21.95" customHeight="1" x14ac:dyDescent="0.15"/>
    <row r="16080" s="76" customFormat="1" ht="21.95" customHeight="1" x14ac:dyDescent="0.15"/>
    <row r="16081" s="76" customFormat="1" ht="21.95" customHeight="1" x14ac:dyDescent="0.15"/>
    <row r="16082" s="76" customFormat="1" ht="21.95" customHeight="1" x14ac:dyDescent="0.15"/>
    <row r="16083" s="76" customFormat="1" ht="21.95" customHeight="1" x14ac:dyDescent="0.15"/>
    <row r="16084" s="76" customFormat="1" ht="21.95" customHeight="1" x14ac:dyDescent="0.15"/>
    <row r="16085" s="76" customFormat="1" ht="21.95" customHeight="1" x14ac:dyDescent="0.15"/>
    <row r="16086" s="76" customFormat="1" ht="21.95" customHeight="1" x14ac:dyDescent="0.15"/>
    <row r="16087" s="76" customFormat="1" ht="21.95" customHeight="1" x14ac:dyDescent="0.15"/>
    <row r="16088" s="76" customFormat="1" ht="21.95" customHeight="1" x14ac:dyDescent="0.15"/>
    <row r="16089" s="76" customFormat="1" ht="21.95" customHeight="1" x14ac:dyDescent="0.15"/>
    <row r="16090" s="76" customFormat="1" ht="21.95" customHeight="1" x14ac:dyDescent="0.15"/>
    <row r="16091" s="76" customFormat="1" ht="21.95" customHeight="1" x14ac:dyDescent="0.15"/>
    <row r="16092" s="76" customFormat="1" ht="21.95" customHeight="1" x14ac:dyDescent="0.15"/>
    <row r="16093" s="76" customFormat="1" ht="21.95" customHeight="1" x14ac:dyDescent="0.15"/>
    <row r="16094" s="76" customFormat="1" ht="21.95" customHeight="1" x14ac:dyDescent="0.15"/>
    <row r="16095" s="76" customFormat="1" ht="21.95" customHeight="1" x14ac:dyDescent="0.15"/>
    <row r="16096" s="76" customFormat="1" ht="21.95" customHeight="1" x14ac:dyDescent="0.15"/>
    <row r="16097" s="76" customFormat="1" ht="21.95" customHeight="1" x14ac:dyDescent="0.15"/>
    <row r="16098" s="76" customFormat="1" ht="21.95" customHeight="1" x14ac:dyDescent="0.15"/>
    <row r="16099" s="76" customFormat="1" ht="21.95" customHeight="1" x14ac:dyDescent="0.15"/>
    <row r="16100" s="76" customFormat="1" ht="21.95" customHeight="1" x14ac:dyDescent="0.15"/>
    <row r="16101" s="76" customFormat="1" ht="21.95" customHeight="1" x14ac:dyDescent="0.15"/>
    <row r="16102" s="76" customFormat="1" ht="21.95" customHeight="1" x14ac:dyDescent="0.15"/>
    <row r="16103" s="76" customFormat="1" ht="21.95" customHeight="1" x14ac:dyDescent="0.15"/>
    <row r="16104" s="76" customFormat="1" ht="21.95" customHeight="1" x14ac:dyDescent="0.15"/>
    <row r="16105" s="76" customFormat="1" ht="35.1" customHeight="1" x14ac:dyDescent="0.15"/>
    <row r="16106" s="76" customFormat="1" ht="21.95" customHeight="1" x14ac:dyDescent="0.15"/>
    <row r="16107" s="76" customFormat="1" ht="21.95" customHeight="1" x14ac:dyDescent="0.15"/>
    <row r="16108" s="76" customFormat="1" ht="21.95" customHeight="1" x14ac:dyDescent="0.15"/>
    <row r="16109" s="76" customFormat="1" ht="21.95" customHeight="1" x14ac:dyDescent="0.15"/>
    <row r="16110" s="76" customFormat="1" ht="21.95" customHeight="1" x14ac:dyDescent="0.15"/>
    <row r="16111" s="76" customFormat="1" ht="21.95" customHeight="1" x14ac:dyDescent="0.15"/>
    <row r="16112" s="76" customFormat="1" ht="21.95" customHeight="1" x14ac:dyDescent="0.15"/>
    <row r="16113" s="76" customFormat="1" ht="21.95" customHeight="1" x14ac:dyDescent="0.15"/>
    <row r="16114" s="76" customFormat="1" ht="21.95" customHeight="1" x14ac:dyDescent="0.15"/>
    <row r="16115" s="76" customFormat="1" ht="21.95" customHeight="1" x14ac:dyDescent="0.15"/>
    <row r="16116" s="76" customFormat="1" ht="21.95" customHeight="1" x14ac:dyDescent="0.15"/>
    <row r="16117" s="76" customFormat="1" ht="21.95" customHeight="1" x14ac:dyDescent="0.15"/>
    <row r="16118" s="76" customFormat="1" ht="21.95" customHeight="1" x14ac:dyDescent="0.15"/>
    <row r="16119" s="76" customFormat="1" ht="21.95" customHeight="1" x14ac:dyDescent="0.15"/>
    <row r="16120" s="76" customFormat="1" ht="21.95" customHeight="1" x14ac:dyDescent="0.15"/>
    <row r="16121" s="76" customFormat="1" ht="21.95" customHeight="1" x14ac:dyDescent="0.15"/>
    <row r="16122" s="76" customFormat="1" ht="21.95" customHeight="1" x14ac:dyDescent="0.15"/>
    <row r="16123" s="76" customFormat="1" ht="21.95" customHeight="1" x14ac:dyDescent="0.15"/>
    <row r="16124" s="76" customFormat="1" ht="21.95" customHeight="1" x14ac:dyDescent="0.15"/>
    <row r="16125" s="76" customFormat="1" ht="21.95" customHeight="1" x14ac:dyDescent="0.15"/>
    <row r="16126" s="76" customFormat="1" ht="21.95" customHeight="1" x14ac:dyDescent="0.15"/>
    <row r="16127" s="76" customFormat="1" ht="21.95" customHeight="1" x14ac:dyDescent="0.15"/>
    <row r="16128" s="76" customFormat="1" ht="21.95" customHeight="1" x14ac:dyDescent="0.15"/>
    <row r="16129" spans="3:3" customFormat="1" ht="21.95" customHeight="1" x14ac:dyDescent="0.15"/>
    <row r="16130" spans="3:3" customFormat="1" ht="21.95" customHeight="1" x14ac:dyDescent="0.15"/>
    <row r="16131" spans="3:3" customFormat="1" ht="21.95" customHeight="1" x14ac:dyDescent="0.15">
      <c r="C16131" s="94"/>
    </row>
    <row r="16132" spans="3:3" customFormat="1" ht="21.95" customHeight="1" x14ac:dyDescent="0.15">
      <c r="C16132" s="94"/>
    </row>
    <row r="16133" spans="3:3" customFormat="1" ht="21.95" customHeight="1" x14ac:dyDescent="0.15"/>
    <row r="16134" spans="3:3" customFormat="1" ht="21.95" customHeight="1" x14ac:dyDescent="0.15"/>
    <row r="16135" spans="3:3" customFormat="1" ht="21.95" customHeight="1" x14ac:dyDescent="0.15"/>
    <row r="16136" spans="3:3" customFormat="1" ht="21.95" customHeight="1" x14ac:dyDescent="0.15"/>
    <row r="16137" spans="3:3" customFormat="1" ht="21.95" customHeight="1" x14ac:dyDescent="0.15"/>
    <row r="16138" spans="3:3" customFormat="1" ht="21.95" customHeight="1" x14ac:dyDescent="0.15"/>
    <row r="16139" spans="3:3" customFormat="1" ht="21.95" customHeight="1" x14ac:dyDescent="0.15"/>
    <row r="16140" spans="3:3" s="76" customFormat="1" ht="21.95" customHeight="1" x14ac:dyDescent="0.15"/>
    <row r="16141" spans="3:3" s="76" customFormat="1" ht="21.95" customHeight="1" x14ac:dyDescent="0.15"/>
    <row r="16142" spans="3:3" s="76" customFormat="1" ht="21.95" customHeight="1" x14ac:dyDescent="0.15"/>
    <row r="16143" spans="3:3" s="76" customFormat="1" ht="21.95" customHeight="1" x14ac:dyDescent="0.15"/>
    <row r="16144" spans="3:3" customFormat="1" ht="21.95" customHeight="1" x14ac:dyDescent="0.15"/>
    <row r="16145" customFormat="1" ht="21.95" customHeight="1" x14ac:dyDescent="0.15"/>
    <row r="16146" customFormat="1" ht="21.95" customHeight="1" x14ac:dyDescent="0.15"/>
    <row r="16147" customFormat="1" ht="21.95" customHeight="1" x14ac:dyDescent="0.15"/>
    <row r="16148" customFormat="1" ht="21.95" customHeight="1" x14ac:dyDescent="0.15"/>
    <row r="16149" customFormat="1" ht="21.95" customHeight="1" x14ac:dyDescent="0.15"/>
    <row r="16150" customFormat="1" ht="21.95" customHeight="1" x14ac:dyDescent="0.15"/>
    <row r="16151" customFormat="1" ht="21.95" customHeight="1" x14ac:dyDescent="0.15"/>
    <row r="16152" customFormat="1" ht="21.95" customHeight="1" x14ac:dyDescent="0.15"/>
    <row r="16153" customFormat="1" ht="21.95" customHeight="1" x14ac:dyDescent="0.15"/>
    <row r="16154" customFormat="1" ht="21.95" customHeight="1" x14ac:dyDescent="0.15"/>
    <row r="16155" customFormat="1" ht="32.1" customHeight="1" x14ac:dyDescent="0.15"/>
    <row r="16156" customFormat="1" ht="32.1" customHeight="1" x14ac:dyDescent="0.15"/>
    <row r="16157" customFormat="1" ht="32.1" customHeight="1" x14ac:dyDescent="0.15"/>
    <row r="16158" customFormat="1" ht="32.1" customHeight="1" x14ac:dyDescent="0.15"/>
    <row r="16159" customFormat="1" ht="32.1" customHeight="1" x14ac:dyDescent="0.15"/>
    <row r="16160" customFormat="1" ht="32.1" customHeight="1" x14ac:dyDescent="0.15"/>
    <row r="16161" s="76" customFormat="1" ht="32.1" customHeight="1" x14ac:dyDescent="0.15"/>
    <row r="16162" s="76" customFormat="1" ht="32.1" customHeight="1" x14ac:dyDescent="0.15"/>
    <row r="16163" s="76" customFormat="1" ht="32.1" customHeight="1" x14ac:dyDescent="0.15"/>
    <row r="16164" s="76" customFormat="1" ht="32.1" customHeight="1" x14ac:dyDescent="0.15"/>
    <row r="16165" s="76" customFormat="1" ht="21.95" customHeight="1" x14ac:dyDescent="0.15"/>
    <row r="16166" s="76" customFormat="1" ht="54" customHeight="1" x14ac:dyDescent="0.15"/>
    <row r="16167" s="76" customFormat="1" ht="21.95" customHeight="1" x14ac:dyDescent="0.15"/>
    <row r="16168" s="76" customFormat="1" ht="21.95" customHeight="1" x14ac:dyDescent="0.15"/>
    <row r="16169" s="76" customFormat="1" ht="21.95" customHeight="1" x14ac:dyDescent="0.15"/>
    <row r="16170" s="76" customFormat="1" ht="21.95" customHeight="1" x14ac:dyDescent="0.15"/>
    <row r="16171" s="76" customFormat="1" ht="21.95" customHeight="1" x14ac:dyDescent="0.15"/>
    <row r="16172" s="76" customFormat="1" ht="21.95" customHeight="1" x14ac:dyDescent="0.15"/>
    <row r="16173" s="76" customFormat="1" ht="21.95" customHeight="1" x14ac:dyDescent="0.15"/>
    <row r="16174" s="76" customFormat="1" ht="21.95" customHeight="1" x14ac:dyDescent="0.15"/>
    <row r="16175" s="76" customFormat="1" ht="21.95" customHeight="1" x14ac:dyDescent="0.15"/>
    <row r="16176" s="76" customFormat="1" ht="21.95" customHeight="1" x14ac:dyDescent="0.15"/>
    <row r="16177" s="76" customFormat="1" ht="21.95" customHeight="1" x14ac:dyDescent="0.15"/>
    <row r="16178" s="76" customFormat="1" ht="21.95" customHeight="1" x14ac:dyDescent="0.15"/>
    <row r="16179" s="76" customFormat="1" ht="21.95" customHeight="1" x14ac:dyDescent="0.15"/>
    <row r="16180" s="76" customFormat="1" ht="21.95" customHeight="1" x14ac:dyDescent="0.15"/>
    <row r="16181" s="76" customFormat="1" ht="21.95" customHeight="1" x14ac:dyDescent="0.15"/>
    <row r="16182" s="76" customFormat="1" ht="21.95" customHeight="1" x14ac:dyDescent="0.15"/>
    <row r="16183" s="76" customFormat="1" ht="21.95" customHeight="1" x14ac:dyDescent="0.15"/>
    <row r="16184" s="76" customFormat="1" ht="21.95" customHeight="1" x14ac:dyDescent="0.15"/>
    <row r="16185" s="76" customFormat="1" ht="21.95" customHeight="1" x14ac:dyDescent="0.15"/>
    <row r="16186" s="76" customFormat="1" ht="21.95" customHeight="1" x14ac:dyDescent="0.15"/>
    <row r="16187" s="76" customFormat="1" ht="21.95" customHeight="1" x14ac:dyDescent="0.15"/>
    <row r="16188" s="76" customFormat="1" ht="21.95" customHeight="1" x14ac:dyDescent="0.15"/>
    <row r="16189" s="76" customFormat="1" ht="21.95" customHeight="1" x14ac:dyDescent="0.15"/>
    <row r="16190" s="76" customFormat="1" ht="21.95" customHeight="1" x14ac:dyDescent="0.15"/>
    <row r="16191" s="76" customFormat="1" ht="21.95" customHeight="1" x14ac:dyDescent="0.15"/>
    <row r="16192" s="76" customFormat="1" ht="21.95" customHeight="1" x14ac:dyDescent="0.15"/>
    <row r="16193" s="76" customFormat="1" ht="21.95" customHeight="1" x14ac:dyDescent="0.15"/>
    <row r="16194" s="76" customFormat="1" ht="21.95" customHeight="1" x14ac:dyDescent="0.15"/>
    <row r="16195" s="76" customFormat="1" ht="21.95" customHeight="1" x14ac:dyDescent="0.15"/>
    <row r="16196" s="76" customFormat="1" ht="21.95" customHeight="1" x14ac:dyDescent="0.15"/>
    <row r="16197" s="76" customFormat="1" ht="21.95" customHeight="1" x14ac:dyDescent="0.15"/>
    <row r="16198" s="76" customFormat="1" ht="21.95" customHeight="1" x14ac:dyDescent="0.15"/>
    <row r="16199" s="76" customFormat="1" ht="21.95" customHeight="1" x14ac:dyDescent="0.15"/>
    <row r="16200" s="76" customFormat="1" ht="21.95" customHeight="1" x14ac:dyDescent="0.15"/>
    <row r="16201" s="76" customFormat="1" ht="21.95" customHeight="1" x14ac:dyDescent="0.15"/>
    <row r="16202" s="76" customFormat="1" ht="21.95" customHeight="1" x14ac:dyDescent="0.15"/>
    <row r="16203" s="76" customFormat="1" ht="21.95" customHeight="1" x14ac:dyDescent="0.15"/>
    <row r="16204" s="76" customFormat="1" ht="21.95" customHeight="1" x14ac:dyDescent="0.15"/>
    <row r="16205" s="76" customFormat="1" ht="21.95" customHeight="1" x14ac:dyDescent="0.15"/>
    <row r="16206" s="76" customFormat="1" ht="21.95" customHeight="1" x14ac:dyDescent="0.15"/>
    <row r="16207" s="76" customFormat="1" ht="21.95" customHeight="1" x14ac:dyDescent="0.15"/>
    <row r="16208" s="76" customFormat="1" ht="21.95" customHeight="1" x14ac:dyDescent="0.15"/>
    <row r="16209" s="76" customFormat="1" ht="21.95" customHeight="1" x14ac:dyDescent="0.15"/>
    <row r="16210" s="76" customFormat="1" ht="21.95" customHeight="1" x14ac:dyDescent="0.15"/>
    <row r="16211" s="76" customFormat="1" ht="21.95" customHeight="1" x14ac:dyDescent="0.15"/>
    <row r="16212" s="76" customFormat="1" ht="21.95" customHeight="1" x14ac:dyDescent="0.15"/>
    <row r="16213" s="76" customFormat="1" ht="21.95" customHeight="1" x14ac:dyDescent="0.15"/>
    <row r="16214" s="76" customFormat="1" ht="21.95" customHeight="1" x14ac:dyDescent="0.15"/>
    <row r="16215" s="76" customFormat="1" ht="21.95" customHeight="1" x14ac:dyDescent="0.15"/>
    <row r="16216" s="76" customFormat="1" ht="21.95" customHeight="1" x14ac:dyDescent="0.15"/>
    <row r="16217" s="76" customFormat="1" ht="35.1" customHeight="1" x14ac:dyDescent="0.15"/>
    <row r="16218" s="76" customFormat="1" ht="21.95" customHeight="1" x14ac:dyDescent="0.15"/>
    <row r="16219" s="76" customFormat="1" ht="21.95" customHeight="1" x14ac:dyDescent="0.15"/>
    <row r="16220" s="76" customFormat="1" ht="21.95" customHeight="1" x14ac:dyDescent="0.15"/>
    <row r="16221" s="76" customFormat="1" ht="21.95" customHeight="1" x14ac:dyDescent="0.15"/>
    <row r="16222" s="76" customFormat="1" ht="21.95" customHeight="1" x14ac:dyDescent="0.15"/>
    <row r="16223" s="76" customFormat="1" ht="21.95" customHeight="1" x14ac:dyDescent="0.15"/>
    <row r="16224" s="76" customFormat="1" ht="21.95" customHeight="1" x14ac:dyDescent="0.15"/>
    <row r="16225" s="76" customFormat="1" ht="21.95" customHeight="1" x14ac:dyDescent="0.15"/>
    <row r="16226" s="76" customFormat="1" ht="21.95" customHeight="1" x14ac:dyDescent="0.15"/>
    <row r="16227" s="76" customFormat="1" ht="21.95" customHeight="1" x14ac:dyDescent="0.15"/>
    <row r="16228" s="76" customFormat="1" ht="21.95" customHeight="1" x14ac:dyDescent="0.15"/>
    <row r="16229" s="76" customFormat="1" ht="21.95" customHeight="1" x14ac:dyDescent="0.15"/>
    <row r="16230" s="76" customFormat="1" ht="21.95" customHeight="1" x14ac:dyDescent="0.15"/>
    <row r="16231" s="76" customFormat="1" ht="21.95" customHeight="1" x14ac:dyDescent="0.15"/>
    <row r="16232" s="76" customFormat="1" ht="21.95" customHeight="1" x14ac:dyDescent="0.15"/>
    <row r="16233" s="76" customFormat="1" ht="21.95" customHeight="1" x14ac:dyDescent="0.15"/>
    <row r="16234" s="76" customFormat="1" ht="21.95" customHeight="1" x14ac:dyDescent="0.15"/>
    <row r="16235" s="76" customFormat="1" ht="21.95" customHeight="1" x14ac:dyDescent="0.15"/>
    <row r="16236" s="76" customFormat="1" ht="21.95" customHeight="1" x14ac:dyDescent="0.15"/>
    <row r="16237" s="76" customFormat="1" ht="21.95" customHeight="1" x14ac:dyDescent="0.15"/>
    <row r="16238" s="76" customFormat="1" ht="21.95" customHeight="1" x14ac:dyDescent="0.15"/>
    <row r="16239" s="76" customFormat="1" ht="21.95" customHeight="1" x14ac:dyDescent="0.15"/>
    <row r="16240" s="76" customFormat="1" ht="21.95" customHeight="1" x14ac:dyDescent="0.15"/>
    <row r="16241" spans="3:3" customFormat="1" ht="21.95" customHeight="1" x14ac:dyDescent="0.15"/>
    <row r="16242" spans="3:3" customFormat="1" ht="21.95" customHeight="1" x14ac:dyDescent="0.15"/>
    <row r="16243" spans="3:3" customFormat="1" ht="21.95" customHeight="1" x14ac:dyDescent="0.15">
      <c r="C16243" s="94"/>
    </row>
    <row r="16244" spans="3:3" customFormat="1" ht="21.95" customHeight="1" x14ac:dyDescent="0.15">
      <c r="C16244" s="94"/>
    </row>
    <row r="16245" spans="3:3" customFormat="1" ht="21.95" customHeight="1" x14ac:dyDescent="0.15"/>
    <row r="16246" spans="3:3" customFormat="1" ht="21.95" customHeight="1" x14ac:dyDescent="0.15"/>
    <row r="16247" spans="3:3" customFormat="1" ht="21.95" customHeight="1" x14ac:dyDescent="0.15"/>
    <row r="16248" spans="3:3" customFormat="1" ht="21.95" customHeight="1" x14ac:dyDescent="0.15"/>
    <row r="16249" spans="3:3" customFormat="1" ht="21.95" customHeight="1" x14ac:dyDescent="0.15"/>
    <row r="16250" spans="3:3" customFormat="1" ht="21.95" customHeight="1" x14ac:dyDescent="0.15"/>
    <row r="16251" spans="3:3" customFormat="1" ht="21.95" customHeight="1" x14ac:dyDescent="0.15"/>
    <row r="16252" spans="3:3" s="76" customFormat="1" ht="21.95" customHeight="1" x14ac:dyDescent="0.15"/>
    <row r="16253" spans="3:3" s="76" customFormat="1" ht="21.95" customHeight="1" x14ac:dyDescent="0.15"/>
    <row r="16254" spans="3:3" s="76" customFormat="1" ht="21.95" customHeight="1" x14ac:dyDescent="0.15"/>
    <row r="16255" spans="3:3" s="76" customFormat="1" ht="21.95" customHeight="1" x14ac:dyDescent="0.15"/>
    <row r="16256" spans="3:3" customFormat="1" ht="21.95" customHeight="1" x14ac:dyDescent="0.15"/>
    <row r="16257" customFormat="1" ht="21.95" customHeight="1" x14ac:dyDescent="0.15"/>
    <row r="16258" customFormat="1" ht="21.95" customHeight="1" x14ac:dyDescent="0.15"/>
    <row r="16259" customFormat="1" ht="21.95" customHeight="1" x14ac:dyDescent="0.15"/>
    <row r="16260" customFormat="1" ht="21.95" customHeight="1" x14ac:dyDescent="0.15"/>
    <row r="16261" customFormat="1" ht="21.95" customHeight="1" x14ac:dyDescent="0.15"/>
    <row r="16262" customFormat="1" ht="21.95" customHeight="1" x14ac:dyDescent="0.15"/>
    <row r="16263" customFormat="1" ht="21.95" customHeight="1" x14ac:dyDescent="0.15"/>
    <row r="16264" customFormat="1" ht="21.95" customHeight="1" x14ac:dyDescent="0.15"/>
    <row r="16265" customFormat="1" ht="21.95" customHeight="1" x14ac:dyDescent="0.15"/>
    <row r="16266" customFormat="1" ht="21.95" customHeight="1" x14ac:dyDescent="0.15"/>
    <row r="16267" customFormat="1" ht="32.1" customHeight="1" x14ac:dyDescent="0.15"/>
    <row r="16268" customFormat="1" ht="32.1" customHeight="1" x14ac:dyDescent="0.15"/>
    <row r="16269" customFormat="1" ht="32.1" customHeight="1" x14ac:dyDescent="0.15"/>
    <row r="16270" customFormat="1" ht="32.1" customHeight="1" x14ac:dyDescent="0.15"/>
    <row r="16271" customFormat="1" ht="32.1" customHeight="1" x14ac:dyDescent="0.15"/>
    <row r="16272" customFormat="1" ht="32.1" customHeight="1" x14ac:dyDescent="0.15"/>
    <row r="16273" s="76" customFormat="1" ht="32.1" customHeight="1" x14ac:dyDescent="0.15"/>
    <row r="16274" s="76" customFormat="1" ht="32.1" customHeight="1" x14ac:dyDescent="0.15"/>
    <row r="16275" s="76" customFormat="1" ht="32.1" customHeight="1" x14ac:dyDescent="0.15"/>
    <row r="16276" s="76" customFormat="1" ht="32.1" customHeight="1" x14ac:dyDescent="0.15"/>
    <row r="16277" s="76" customFormat="1" ht="21.95" customHeight="1" x14ac:dyDescent="0.15"/>
    <row r="16278" s="76" customFormat="1" ht="54" customHeight="1" x14ac:dyDescent="0.15"/>
    <row r="16279" s="76" customFormat="1" ht="21.95" customHeight="1" x14ac:dyDescent="0.15"/>
    <row r="16280" s="76" customFormat="1" ht="21.95" customHeight="1" x14ac:dyDescent="0.15"/>
    <row r="16281" s="76" customFormat="1" ht="21.95" customHeight="1" x14ac:dyDescent="0.15"/>
    <row r="16282" s="76" customFormat="1" ht="21.95" customHeight="1" x14ac:dyDescent="0.15"/>
    <row r="16283" s="76" customFormat="1" ht="21.95" customHeight="1" x14ac:dyDescent="0.15"/>
    <row r="16284" s="76" customFormat="1" ht="21.95" customHeight="1" x14ac:dyDescent="0.15"/>
    <row r="16285" s="76" customFormat="1" ht="21.95" customHeight="1" x14ac:dyDescent="0.15"/>
    <row r="16286" s="76" customFormat="1" ht="21.95" customHeight="1" x14ac:dyDescent="0.15"/>
    <row r="16287" s="76" customFormat="1" ht="21.95" customHeight="1" x14ac:dyDescent="0.15"/>
    <row r="16288" s="76" customFormat="1" ht="21.95" customHeight="1" x14ac:dyDescent="0.15"/>
    <row r="16289" s="76" customFormat="1" ht="21.95" customHeight="1" x14ac:dyDescent="0.15"/>
    <row r="16290" s="76" customFormat="1" ht="21.95" customHeight="1" x14ac:dyDescent="0.15"/>
    <row r="16291" s="76" customFormat="1" ht="21.95" customHeight="1" x14ac:dyDescent="0.15"/>
    <row r="16292" s="76" customFormat="1" ht="21.95" customHeight="1" x14ac:dyDescent="0.15"/>
    <row r="16293" s="76" customFormat="1" ht="21.95" customHeight="1" x14ac:dyDescent="0.15"/>
    <row r="16294" s="76" customFormat="1" ht="21.95" customHeight="1" x14ac:dyDescent="0.15"/>
    <row r="16295" s="76" customFormat="1" ht="21.95" customHeight="1" x14ac:dyDescent="0.15"/>
    <row r="16296" s="76" customFormat="1" ht="21.95" customHeight="1" x14ac:dyDescent="0.15"/>
    <row r="16297" s="76" customFormat="1" ht="21.95" customHeight="1" x14ac:dyDescent="0.15"/>
    <row r="16298" s="76" customFormat="1" ht="21.95" customHeight="1" x14ac:dyDescent="0.15"/>
    <row r="16299" s="76" customFormat="1" ht="21.95" customHeight="1" x14ac:dyDescent="0.15"/>
    <row r="16300" s="76" customFormat="1" ht="21.95" customHeight="1" x14ac:dyDescent="0.15"/>
    <row r="16301" s="76" customFormat="1" ht="21.95" customHeight="1" x14ac:dyDescent="0.15"/>
    <row r="16302" s="76" customFormat="1" ht="21.95" customHeight="1" x14ac:dyDescent="0.15"/>
    <row r="16303" s="76" customFormat="1" ht="21.95" customHeight="1" x14ac:dyDescent="0.15"/>
    <row r="16304" s="76" customFormat="1" ht="21.95" customHeight="1" x14ac:dyDescent="0.15"/>
    <row r="16305" s="76" customFormat="1" ht="21.95" customHeight="1" x14ac:dyDescent="0.15"/>
    <row r="16306" s="76" customFormat="1" ht="21.95" customHeight="1" x14ac:dyDescent="0.15"/>
    <row r="16307" s="76" customFormat="1" ht="21.95" customHeight="1" x14ac:dyDescent="0.15"/>
    <row r="16308" s="76" customFormat="1" ht="21.95" customHeight="1" x14ac:dyDescent="0.15"/>
    <row r="16309" s="76" customFormat="1" ht="21.95" customHeight="1" x14ac:dyDescent="0.15"/>
    <row r="16310" s="76" customFormat="1" ht="21.95" customHeight="1" x14ac:dyDescent="0.15"/>
    <row r="16311" s="76" customFormat="1" ht="21.95" customHeight="1" x14ac:dyDescent="0.15"/>
    <row r="16312" s="76" customFormat="1" ht="21.95" customHeight="1" x14ac:dyDescent="0.15"/>
    <row r="16313" s="76" customFormat="1" ht="21.95" customHeight="1" x14ac:dyDescent="0.15"/>
    <row r="16314" s="76" customFormat="1" ht="21.95" customHeight="1" x14ac:dyDescent="0.15"/>
    <row r="16315" s="76" customFormat="1" ht="21.95" customHeight="1" x14ac:dyDescent="0.15"/>
    <row r="16316" s="76" customFormat="1" ht="21.95" customHeight="1" x14ac:dyDescent="0.15"/>
    <row r="16317" s="76" customFormat="1" ht="21.95" customHeight="1" x14ac:dyDescent="0.15"/>
    <row r="16318" s="76" customFormat="1" ht="21.95" customHeight="1" x14ac:dyDescent="0.15"/>
    <row r="16319" s="76" customFormat="1" ht="21.95" customHeight="1" x14ac:dyDescent="0.15"/>
    <row r="16320" s="76" customFormat="1" ht="21.95" customHeight="1" x14ac:dyDescent="0.15"/>
    <row r="16321" s="76" customFormat="1" ht="21.95" customHeight="1" x14ac:dyDescent="0.15"/>
    <row r="16322" s="76" customFormat="1" ht="21.95" customHeight="1" x14ac:dyDescent="0.15"/>
    <row r="16323" s="76" customFormat="1" ht="21.95" customHeight="1" x14ac:dyDescent="0.15"/>
    <row r="16324" s="76" customFormat="1" ht="21.95" customHeight="1" x14ac:dyDescent="0.15"/>
    <row r="16325" s="76" customFormat="1" ht="21.95" customHeight="1" x14ac:dyDescent="0.15"/>
    <row r="16326" s="76" customFormat="1" ht="21.95" customHeight="1" x14ac:dyDescent="0.15"/>
    <row r="16327" s="76" customFormat="1" ht="21.95" customHeight="1" x14ac:dyDescent="0.15"/>
    <row r="16328" s="76" customFormat="1" ht="21.95" customHeight="1" x14ac:dyDescent="0.15"/>
    <row r="16329" s="76" customFormat="1" ht="35.1" customHeight="1" x14ac:dyDescent="0.15"/>
    <row r="16330" s="76" customFormat="1" ht="21.95" customHeight="1" x14ac:dyDescent="0.15"/>
    <row r="16331" s="76" customFormat="1" ht="21.95" customHeight="1" x14ac:dyDescent="0.15"/>
    <row r="16332" s="76" customFormat="1" ht="21.95" customHeight="1" x14ac:dyDescent="0.15"/>
    <row r="16333" s="76" customFormat="1" ht="21.95" customHeight="1" x14ac:dyDescent="0.15"/>
    <row r="16334" s="76" customFormat="1" ht="21.95" customHeight="1" x14ac:dyDescent="0.15"/>
    <row r="16335" s="76" customFormat="1" ht="21.95" customHeight="1" x14ac:dyDescent="0.15"/>
    <row r="16336" s="76" customFormat="1" ht="21.95" customHeight="1" x14ac:dyDescent="0.15"/>
    <row r="16337" s="76" customFormat="1" ht="21.95" customHeight="1" x14ac:dyDescent="0.15"/>
    <row r="16338" s="76" customFormat="1" ht="21.95" customHeight="1" x14ac:dyDescent="0.15"/>
    <row r="16339" s="76" customFormat="1" ht="21.95" customHeight="1" x14ac:dyDescent="0.15"/>
    <row r="16340" s="76" customFormat="1" ht="21.95" customHeight="1" x14ac:dyDescent="0.15"/>
    <row r="16341" s="76" customFormat="1" ht="21.95" customHeight="1" x14ac:dyDescent="0.15"/>
    <row r="16342" s="76" customFormat="1" ht="21.95" customHeight="1" x14ac:dyDescent="0.15"/>
    <row r="16343" s="76" customFormat="1" ht="21.95" customHeight="1" x14ac:dyDescent="0.15"/>
    <row r="16344" s="76" customFormat="1" ht="21.95" customHeight="1" x14ac:dyDescent="0.15"/>
    <row r="16345" s="76" customFormat="1" ht="21.95" customHeight="1" x14ac:dyDescent="0.15"/>
    <row r="16346" s="76" customFormat="1" ht="21.95" customHeight="1" x14ac:dyDescent="0.15"/>
    <row r="16347" s="76" customFormat="1" ht="21.95" customHeight="1" x14ac:dyDescent="0.15"/>
    <row r="16348" s="76" customFormat="1" ht="21.95" customHeight="1" x14ac:dyDescent="0.15"/>
    <row r="16349" s="76" customFormat="1" ht="21.95" customHeight="1" x14ac:dyDescent="0.15"/>
    <row r="16350" s="76" customFormat="1" ht="21.95" customHeight="1" x14ac:dyDescent="0.15"/>
    <row r="16351" s="76" customFormat="1" ht="21.95" customHeight="1" x14ac:dyDescent="0.15"/>
    <row r="16352" s="76" customFormat="1" ht="21.95" customHeight="1" x14ac:dyDescent="0.15"/>
    <row r="16353" spans="3:3" customFormat="1" ht="21.95" customHeight="1" x14ac:dyDescent="0.15"/>
    <row r="16354" spans="3:3" customFormat="1" ht="21.95" customHeight="1" x14ac:dyDescent="0.15"/>
    <row r="16355" spans="3:3" customFormat="1" ht="21.95" customHeight="1" x14ac:dyDescent="0.15">
      <c r="C16355" s="94"/>
    </row>
    <row r="16356" spans="3:3" customFormat="1" ht="21.95" customHeight="1" x14ac:dyDescent="0.15">
      <c r="C16356" s="94"/>
    </row>
    <row r="16357" spans="3:3" customFormat="1" ht="21.95" customHeight="1" x14ac:dyDescent="0.15"/>
    <row r="16358" spans="3:3" customFormat="1" ht="21.95" customHeight="1" x14ac:dyDescent="0.15"/>
    <row r="16359" spans="3:3" customFormat="1" ht="21.95" customHeight="1" x14ac:dyDescent="0.15"/>
    <row r="16360" spans="3:3" customFormat="1" ht="21.95" customHeight="1" x14ac:dyDescent="0.15"/>
    <row r="16361" spans="3:3" customFormat="1" ht="21.95" customHeight="1" x14ac:dyDescent="0.15"/>
    <row r="16362" spans="3:3" customFormat="1" ht="21.95" customHeight="1" x14ac:dyDescent="0.15"/>
    <row r="16363" spans="3:3" customFormat="1" ht="21.95" customHeight="1" x14ac:dyDescent="0.15"/>
    <row r="16364" spans="3:3" s="76" customFormat="1" ht="21.95" customHeight="1" x14ac:dyDescent="0.15"/>
    <row r="16365" spans="3:3" s="76" customFormat="1" ht="21.95" customHeight="1" x14ac:dyDescent="0.15"/>
    <row r="16366" spans="3:3" s="76" customFormat="1" ht="21.95" customHeight="1" x14ac:dyDescent="0.15"/>
    <row r="16367" spans="3:3" s="76" customFormat="1" ht="21.95" customHeight="1" x14ac:dyDescent="0.15"/>
    <row r="16368" spans="3:3" customFormat="1" ht="21.95" customHeight="1" x14ac:dyDescent="0.15"/>
    <row r="16369" customFormat="1" ht="21.95" customHeight="1" x14ac:dyDescent="0.15"/>
    <row r="16370" customFormat="1" ht="21.95" customHeight="1" x14ac:dyDescent="0.15"/>
    <row r="16371" customFormat="1" ht="21.95" customHeight="1" x14ac:dyDescent="0.15"/>
    <row r="16372" customFormat="1" ht="21.95" customHeight="1" x14ac:dyDescent="0.15"/>
    <row r="16373" customFormat="1" ht="21.95" customHeight="1" x14ac:dyDescent="0.15"/>
    <row r="16374" customFormat="1" ht="21.95" customHeight="1" x14ac:dyDescent="0.15"/>
    <row r="16375" customFormat="1" ht="21.95" customHeight="1" x14ac:dyDescent="0.15"/>
    <row r="16376" customFormat="1" ht="21.95" customHeight="1" x14ac:dyDescent="0.15"/>
    <row r="16377" customFormat="1" ht="21.95" customHeight="1" x14ac:dyDescent="0.15"/>
    <row r="16378" customFormat="1" ht="21.95" customHeight="1" x14ac:dyDescent="0.15"/>
    <row r="16379" customFormat="1" ht="32.1" customHeight="1" x14ac:dyDescent="0.15"/>
    <row r="16380" customFormat="1" ht="32.1" customHeight="1" x14ac:dyDescent="0.15"/>
    <row r="16381" customFormat="1" ht="32.1" customHeight="1" x14ac:dyDescent="0.15"/>
    <row r="16382" customFormat="1" ht="32.1" customHeight="1" x14ac:dyDescent="0.15"/>
    <row r="16383" customFormat="1" ht="32.1" customHeight="1" x14ac:dyDescent="0.15"/>
    <row r="16384" customFormat="1" ht="32.1" customHeight="1" x14ac:dyDescent="0.15"/>
    <row r="16385" s="76" customFormat="1" ht="32.1" customHeight="1" x14ac:dyDescent="0.15"/>
    <row r="16386" s="76" customFormat="1" ht="32.1" customHeight="1" x14ac:dyDescent="0.15"/>
    <row r="16387" s="76" customFormat="1" ht="32.1" customHeight="1" x14ac:dyDescent="0.15"/>
    <row r="16388" s="76" customFormat="1" ht="32.1" customHeight="1" x14ac:dyDescent="0.15"/>
    <row r="16389" s="76" customFormat="1" ht="21.95" customHeight="1" x14ac:dyDescent="0.15"/>
    <row r="16390" s="76" customFormat="1" ht="54" customHeight="1" x14ac:dyDescent="0.15"/>
    <row r="16391" s="76" customFormat="1" ht="21.95" customHeight="1" x14ac:dyDescent="0.15"/>
    <row r="16392" s="76" customFormat="1" ht="21.95" customHeight="1" x14ac:dyDescent="0.15"/>
    <row r="16393" s="76" customFormat="1" ht="21.95" customHeight="1" x14ac:dyDescent="0.15"/>
    <row r="16394" s="76" customFormat="1" ht="21.95" customHeight="1" x14ac:dyDescent="0.15"/>
    <row r="16395" s="76" customFormat="1" ht="21.95" customHeight="1" x14ac:dyDescent="0.15"/>
    <row r="16396" s="76" customFormat="1" ht="21.95" customHeight="1" x14ac:dyDescent="0.15"/>
    <row r="16397" s="76" customFormat="1" ht="21.95" customHeight="1" x14ac:dyDescent="0.15"/>
    <row r="16398" s="76" customFormat="1" ht="21.95" customHeight="1" x14ac:dyDescent="0.15"/>
    <row r="16399" s="76" customFormat="1" ht="21.95" customHeight="1" x14ac:dyDescent="0.15"/>
    <row r="16400" s="76" customFormat="1" ht="21.95" customHeight="1" x14ac:dyDescent="0.15"/>
    <row r="16401" s="76" customFormat="1" ht="21.95" customHeight="1" x14ac:dyDescent="0.15"/>
    <row r="16402" s="76" customFormat="1" ht="21.95" customHeight="1" x14ac:dyDescent="0.15"/>
    <row r="16403" s="76" customFormat="1" ht="21.95" customHeight="1" x14ac:dyDescent="0.15"/>
    <row r="16404" s="76" customFormat="1" ht="21.95" customHeight="1" x14ac:dyDescent="0.15"/>
    <row r="16405" s="76" customFormat="1" ht="21.95" customHeight="1" x14ac:dyDescent="0.15"/>
    <row r="16406" s="76" customFormat="1" ht="21.95" customHeight="1" x14ac:dyDescent="0.15"/>
    <row r="16407" s="76" customFormat="1" ht="21.95" customHeight="1" x14ac:dyDescent="0.15"/>
    <row r="16408" s="76" customFormat="1" ht="21.95" customHeight="1" x14ac:dyDescent="0.15"/>
    <row r="16409" s="76" customFormat="1" ht="21.95" customHeight="1" x14ac:dyDescent="0.15"/>
    <row r="16410" s="76" customFormat="1" ht="21.95" customHeight="1" x14ac:dyDescent="0.15"/>
    <row r="16411" s="76" customFormat="1" ht="21.95" customHeight="1" x14ac:dyDescent="0.15"/>
    <row r="16412" s="76" customFormat="1" ht="21.95" customHeight="1" x14ac:dyDescent="0.15"/>
    <row r="16413" s="76" customFormat="1" ht="21.95" customHeight="1" x14ac:dyDescent="0.15"/>
    <row r="16414" s="76" customFormat="1" ht="21.95" customHeight="1" x14ac:dyDescent="0.15"/>
    <row r="16415" s="76" customFormat="1" ht="21.95" customHeight="1" x14ac:dyDescent="0.15"/>
    <row r="16416" s="76" customFormat="1" ht="21.95" customHeight="1" x14ac:dyDescent="0.15"/>
    <row r="16417" s="76" customFormat="1" ht="21.95" customHeight="1" x14ac:dyDescent="0.15"/>
    <row r="16418" s="76" customFormat="1" ht="21.95" customHeight="1" x14ac:dyDescent="0.15"/>
    <row r="16419" s="76" customFormat="1" ht="21.95" customHeight="1" x14ac:dyDescent="0.15"/>
    <row r="16420" s="76" customFormat="1" ht="21.95" customHeight="1" x14ac:dyDescent="0.15"/>
    <row r="16421" s="76" customFormat="1" ht="21.95" customHeight="1" x14ac:dyDescent="0.15"/>
    <row r="16422" s="76" customFormat="1" ht="21.95" customHeight="1" x14ac:dyDescent="0.15"/>
    <row r="16423" s="76" customFormat="1" ht="21.95" customHeight="1" x14ac:dyDescent="0.15"/>
    <row r="16424" s="76" customFormat="1" ht="21.95" customHeight="1" x14ac:dyDescent="0.15"/>
    <row r="16425" s="76" customFormat="1" ht="21.95" customHeight="1" x14ac:dyDescent="0.15"/>
    <row r="16426" s="76" customFormat="1" ht="21.95" customHeight="1" x14ac:dyDescent="0.15"/>
    <row r="16427" s="76" customFormat="1" ht="21.95" customHeight="1" x14ac:dyDescent="0.15"/>
    <row r="16428" s="76" customFormat="1" ht="21.95" customHeight="1" x14ac:dyDescent="0.15"/>
    <row r="16429" s="76" customFormat="1" ht="21.95" customHeight="1" x14ac:dyDescent="0.15"/>
    <row r="16430" s="76" customFormat="1" ht="21.95" customHeight="1" x14ac:dyDescent="0.15"/>
    <row r="16431" s="76" customFormat="1" ht="21.95" customHeight="1" x14ac:dyDescent="0.15"/>
    <row r="16432" s="76" customFormat="1" ht="21.95" customHeight="1" x14ac:dyDescent="0.15"/>
    <row r="16433" s="76" customFormat="1" ht="21.95" customHeight="1" x14ac:dyDescent="0.15"/>
    <row r="16434" s="76" customFormat="1" ht="21.95" customHeight="1" x14ac:dyDescent="0.15"/>
    <row r="16435" s="76" customFormat="1" ht="21.95" customHeight="1" x14ac:dyDescent="0.15"/>
    <row r="16436" s="76" customFormat="1" ht="21.95" customHeight="1" x14ac:dyDescent="0.15"/>
    <row r="16437" s="76" customFormat="1" ht="21.95" customHeight="1" x14ac:dyDescent="0.15"/>
    <row r="16438" s="76" customFormat="1" ht="21.95" customHeight="1" x14ac:dyDescent="0.15"/>
    <row r="16439" s="76" customFormat="1" ht="21.95" customHeight="1" x14ac:dyDescent="0.15"/>
    <row r="16440" s="76" customFormat="1" ht="21.95" customHeight="1" x14ac:dyDescent="0.15"/>
    <row r="16441" s="76" customFormat="1" ht="35.1" customHeight="1" x14ac:dyDescent="0.15"/>
    <row r="16442" s="76" customFormat="1" ht="21.95" customHeight="1" x14ac:dyDescent="0.15"/>
    <row r="16443" s="76" customFormat="1" ht="21.95" customHeight="1" x14ac:dyDescent="0.15"/>
    <row r="16444" s="76" customFormat="1" ht="21.95" customHeight="1" x14ac:dyDescent="0.15"/>
    <row r="16445" s="76" customFormat="1" ht="21.95" customHeight="1" x14ac:dyDescent="0.15"/>
    <row r="16446" s="76" customFormat="1" ht="21.95" customHeight="1" x14ac:dyDescent="0.15"/>
    <row r="16447" s="76" customFormat="1" ht="21.95" customHeight="1" x14ac:dyDescent="0.15"/>
    <row r="16448" s="76" customFormat="1" ht="21.95" customHeight="1" x14ac:dyDescent="0.15"/>
    <row r="16449" s="76" customFormat="1" ht="21.95" customHeight="1" x14ac:dyDescent="0.15"/>
    <row r="16450" s="76" customFormat="1" ht="21.95" customHeight="1" x14ac:dyDescent="0.15"/>
    <row r="16451" s="76" customFormat="1" ht="21.95" customHeight="1" x14ac:dyDescent="0.15"/>
    <row r="16452" s="76" customFormat="1" ht="21.95" customHeight="1" x14ac:dyDescent="0.15"/>
    <row r="16453" s="76" customFormat="1" ht="21.95" customHeight="1" x14ac:dyDescent="0.15"/>
    <row r="16454" s="76" customFormat="1" ht="21.95" customHeight="1" x14ac:dyDescent="0.15"/>
    <row r="16455" s="76" customFormat="1" ht="21.95" customHeight="1" x14ac:dyDescent="0.15"/>
    <row r="16456" s="76" customFormat="1" ht="21.95" customHeight="1" x14ac:dyDescent="0.15"/>
    <row r="16457" s="76" customFormat="1" ht="21.95" customHeight="1" x14ac:dyDescent="0.15"/>
    <row r="16458" s="76" customFormat="1" ht="21.95" customHeight="1" x14ac:dyDescent="0.15"/>
    <row r="16459" s="76" customFormat="1" ht="21.95" customHeight="1" x14ac:dyDescent="0.15"/>
    <row r="16460" s="76" customFormat="1" ht="21.95" customHeight="1" x14ac:dyDescent="0.15"/>
    <row r="16461" s="76" customFormat="1" ht="21.95" customHeight="1" x14ac:dyDescent="0.15"/>
    <row r="16462" s="76" customFormat="1" ht="21.95" customHeight="1" x14ac:dyDescent="0.15"/>
    <row r="16463" s="76" customFormat="1" ht="21.95" customHeight="1" x14ac:dyDescent="0.15"/>
    <row r="16464" s="76" customFormat="1" ht="21.95" customHeight="1" x14ac:dyDescent="0.15"/>
    <row r="16465" spans="3:3" customFormat="1" ht="21.95" customHeight="1" x14ac:dyDescent="0.15"/>
    <row r="16466" spans="3:3" customFormat="1" ht="21.95" customHeight="1" x14ac:dyDescent="0.15"/>
    <row r="16467" spans="3:3" customFormat="1" ht="21.95" customHeight="1" x14ac:dyDescent="0.15">
      <c r="C16467" s="94"/>
    </row>
    <row r="16468" spans="3:3" customFormat="1" ht="21.95" customHeight="1" x14ac:dyDescent="0.15">
      <c r="C16468" s="94"/>
    </row>
    <row r="16469" spans="3:3" customFormat="1" ht="21.95" customHeight="1" x14ac:dyDescent="0.15"/>
    <row r="16470" spans="3:3" customFormat="1" ht="21.95" customHeight="1" x14ac:dyDescent="0.15"/>
    <row r="16471" spans="3:3" customFormat="1" ht="21.95" customHeight="1" x14ac:dyDescent="0.15"/>
    <row r="16472" spans="3:3" customFormat="1" ht="21.95" customHeight="1" x14ac:dyDescent="0.15"/>
    <row r="16473" spans="3:3" customFormat="1" ht="21.95" customHeight="1" x14ac:dyDescent="0.15"/>
    <row r="16474" spans="3:3" customFormat="1" ht="21.95" customHeight="1" x14ac:dyDescent="0.15"/>
    <row r="16475" spans="3:3" customFormat="1" ht="21.95" customHeight="1" x14ac:dyDescent="0.15"/>
    <row r="16476" spans="3:3" s="76" customFormat="1" ht="21.95" customHeight="1" x14ac:dyDescent="0.15"/>
    <row r="16477" spans="3:3" s="76" customFormat="1" ht="21.95" customHeight="1" x14ac:dyDescent="0.15"/>
    <row r="16478" spans="3:3" s="76" customFormat="1" ht="21.95" customHeight="1" x14ac:dyDescent="0.15"/>
    <row r="16479" spans="3:3" s="76" customFormat="1" ht="21.95" customHeight="1" x14ac:dyDescent="0.15"/>
    <row r="16480" spans="3:3" customFormat="1" ht="21.95" customHeight="1" x14ac:dyDescent="0.15"/>
    <row r="16481" customFormat="1" ht="21.95" customHeight="1" x14ac:dyDescent="0.15"/>
    <row r="16482" customFormat="1" ht="21.95" customHeight="1" x14ac:dyDescent="0.15"/>
    <row r="16483" customFormat="1" ht="21.95" customHeight="1" x14ac:dyDescent="0.15"/>
    <row r="16484" customFormat="1" ht="21.95" customHeight="1" x14ac:dyDescent="0.15"/>
    <row r="16485" customFormat="1" ht="21.95" customHeight="1" x14ac:dyDescent="0.15"/>
    <row r="16486" customFormat="1" ht="21.95" customHeight="1" x14ac:dyDescent="0.15"/>
    <row r="16487" customFormat="1" ht="21.95" customHeight="1" x14ac:dyDescent="0.15"/>
    <row r="16488" customFormat="1" ht="21.95" customHeight="1" x14ac:dyDescent="0.15"/>
    <row r="16489" customFormat="1" ht="21.95" customHeight="1" x14ac:dyDescent="0.15"/>
    <row r="16490" customFormat="1" ht="21.95" customHeight="1" x14ac:dyDescent="0.15"/>
    <row r="16491" customFormat="1" ht="32.1" customHeight="1" x14ac:dyDescent="0.15"/>
    <row r="16492" customFormat="1" ht="32.1" customHeight="1" x14ac:dyDescent="0.15"/>
    <row r="16493" customFormat="1" ht="32.1" customHeight="1" x14ac:dyDescent="0.15"/>
    <row r="16494" customFormat="1" ht="32.1" customHeight="1" x14ac:dyDescent="0.15"/>
    <row r="16495" customFormat="1" ht="32.1" customHeight="1" x14ac:dyDescent="0.15"/>
    <row r="16496" customFormat="1" ht="32.1" customHeight="1" x14ac:dyDescent="0.15"/>
    <row r="16497" s="76" customFormat="1" ht="32.1" customHeight="1" x14ac:dyDescent="0.15"/>
    <row r="16498" s="76" customFormat="1" ht="32.1" customHeight="1" x14ac:dyDescent="0.15"/>
    <row r="16499" s="76" customFormat="1" ht="32.1" customHeight="1" x14ac:dyDescent="0.15"/>
    <row r="16500" s="76" customFormat="1" ht="32.1" customHeight="1" x14ac:dyDescent="0.15"/>
    <row r="16501" s="76" customFormat="1" ht="21.95" customHeight="1" x14ac:dyDescent="0.15"/>
    <row r="16502" s="76" customFormat="1" ht="54" customHeight="1" x14ac:dyDescent="0.15"/>
    <row r="16503" s="76" customFormat="1" ht="21.95" customHeight="1" x14ac:dyDescent="0.15"/>
    <row r="16504" s="76" customFormat="1" ht="21.95" customHeight="1" x14ac:dyDescent="0.15"/>
    <row r="16505" s="76" customFormat="1" ht="21.95" customHeight="1" x14ac:dyDescent="0.15"/>
    <row r="16506" s="76" customFormat="1" ht="21.95" customHeight="1" x14ac:dyDescent="0.15"/>
    <row r="16507" s="76" customFormat="1" ht="21.95" customHeight="1" x14ac:dyDescent="0.15"/>
    <row r="16508" s="76" customFormat="1" ht="21.95" customHeight="1" x14ac:dyDescent="0.15"/>
    <row r="16509" s="76" customFormat="1" ht="21.95" customHeight="1" x14ac:dyDescent="0.15"/>
    <row r="16510" s="76" customFormat="1" ht="21.95" customHeight="1" x14ac:dyDescent="0.15"/>
    <row r="16511" s="76" customFormat="1" ht="21.95" customHeight="1" x14ac:dyDescent="0.15"/>
    <row r="16512" s="76" customFormat="1" ht="21.95" customHeight="1" x14ac:dyDescent="0.15"/>
    <row r="16513" s="76" customFormat="1" ht="21.95" customHeight="1" x14ac:dyDescent="0.15"/>
    <row r="16514" s="76" customFormat="1" ht="21.95" customHeight="1" x14ac:dyDescent="0.15"/>
    <row r="16515" s="76" customFormat="1" ht="21.95" customHeight="1" x14ac:dyDescent="0.15"/>
    <row r="16516" s="76" customFormat="1" ht="21.95" customHeight="1" x14ac:dyDescent="0.15"/>
    <row r="16517" s="76" customFormat="1" ht="21.95" customHeight="1" x14ac:dyDescent="0.15"/>
    <row r="16518" s="76" customFormat="1" ht="21.95" customHeight="1" x14ac:dyDescent="0.15"/>
    <row r="16519" s="76" customFormat="1" ht="21.95" customHeight="1" x14ac:dyDescent="0.15"/>
    <row r="16520" s="76" customFormat="1" ht="21.95" customHeight="1" x14ac:dyDescent="0.15"/>
    <row r="16521" s="76" customFormat="1" ht="21.95" customHeight="1" x14ac:dyDescent="0.15"/>
    <row r="16522" s="76" customFormat="1" ht="21.95" customHeight="1" x14ac:dyDescent="0.15"/>
    <row r="16523" s="76" customFormat="1" ht="21.95" customHeight="1" x14ac:dyDescent="0.15"/>
    <row r="16524" s="76" customFormat="1" ht="21.95" customHeight="1" x14ac:dyDescent="0.15"/>
    <row r="16525" s="76" customFormat="1" ht="21.95" customHeight="1" x14ac:dyDescent="0.15"/>
    <row r="16526" s="76" customFormat="1" ht="21.95" customHeight="1" x14ac:dyDescent="0.15"/>
    <row r="16527" s="76" customFormat="1" ht="21.95" customHeight="1" x14ac:dyDescent="0.15"/>
    <row r="16528" s="76" customFormat="1" ht="21.95" customHeight="1" x14ac:dyDescent="0.15"/>
    <row r="16529" s="76" customFormat="1" ht="21.95" customHeight="1" x14ac:dyDescent="0.15"/>
    <row r="16530" s="76" customFormat="1" ht="21.95" customHeight="1" x14ac:dyDescent="0.15"/>
    <row r="16531" s="76" customFormat="1" ht="21.95" customHeight="1" x14ac:dyDescent="0.15"/>
    <row r="16532" s="76" customFormat="1" ht="21.95" customHeight="1" x14ac:dyDescent="0.15"/>
    <row r="16533" s="76" customFormat="1" ht="21.95" customHeight="1" x14ac:dyDescent="0.15"/>
    <row r="16534" s="76" customFormat="1" ht="21.95" customHeight="1" x14ac:dyDescent="0.15"/>
    <row r="16535" s="76" customFormat="1" ht="21.95" customHeight="1" x14ac:dyDescent="0.15"/>
    <row r="16536" s="76" customFormat="1" ht="21.95" customHeight="1" x14ac:dyDescent="0.15"/>
    <row r="16537" s="76" customFormat="1" ht="21.95" customHeight="1" x14ac:dyDescent="0.15"/>
    <row r="16538" s="76" customFormat="1" ht="21.95" customHeight="1" x14ac:dyDescent="0.15"/>
    <row r="16539" s="76" customFormat="1" ht="21.95" customHeight="1" x14ac:dyDescent="0.15"/>
    <row r="16540" s="76" customFormat="1" ht="21.95" customHeight="1" x14ac:dyDescent="0.15"/>
    <row r="16541" s="76" customFormat="1" ht="21.95" customHeight="1" x14ac:dyDescent="0.15"/>
    <row r="16542" s="76" customFormat="1" ht="21.95" customHeight="1" x14ac:dyDescent="0.15"/>
    <row r="16543" s="76" customFormat="1" ht="21.95" customHeight="1" x14ac:dyDescent="0.15"/>
    <row r="16544" s="76" customFormat="1" ht="21.95" customHeight="1" x14ac:dyDescent="0.15"/>
    <row r="16545" s="76" customFormat="1" ht="21.95" customHeight="1" x14ac:dyDescent="0.15"/>
    <row r="16546" s="76" customFormat="1" ht="21.95" customHeight="1" x14ac:dyDescent="0.15"/>
    <row r="16547" s="76" customFormat="1" ht="21.95" customHeight="1" x14ac:dyDescent="0.15"/>
    <row r="16548" s="76" customFormat="1" ht="21.95" customHeight="1" x14ac:dyDescent="0.15"/>
    <row r="16549" s="76" customFormat="1" ht="21.95" customHeight="1" x14ac:dyDescent="0.15"/>
    <row r="16550" s="76" customFormat="1" ht="21.95" customHeight="1" x14ac:dyDescent="0.15"/>
    <row r="16551" s="76" customFormat="1" ht="21.95" customHeight="1" x14ac:dyDescent="0.15"/>
    <row r="16552" s="76" customFormat="1" ht="21.95" customHeight="1" x14ac:dyDescent="0.15"/>
    <row r="16553" s="76" customFormat="1" ht="35.1" customHeight="1" x14ac:dyDescent="0.15"/>
    <row r="16554" s="76" customFormat="1" ht="21.95" customHeight="1" x14ac:dyDescent="0.15"/>
    <row r="16555" s="76" customFormat="1" ht="21.95" customHeight="1" x14ac:dyDescent="0.15"/>
    <row r="16556" s="76" customFormat="1" ht="21.95" customHeight="1" x14ac:dyDescent="0.15"/>
    <row r="16557" s="76" customFormat="1" ht="21.95" customHeight="1" x14ac:dyDescent="0.15"/>
    <row r="16558" s="76" customFormat="1" ht="21.95" customHeight="1" x14ac:dyDescent="0.15"/>
    <row r="16559" s="76" customFormat="1" ht="21.95" customHeight="1" x14ac:dyDescent="0.15"/>
    <row r="16560" s="76" customFormat="1" ht="21.95" customHeight="1" x14ac:dyDescent="0.15"/>
    <row r="16561" s="76" customFormat="1" ht="21.95" customHeight="1" x14ac:dyDescent="0.15"/>
    <row r="16562" s="76" customFormat="1" ht="21.95" customHeight="1" x14ac:dyDescent="0.15"/>
    <row r="16563" s="76" customFormat="1" ht="21.95" customHeight="1" x14ac:dyDescent="0.15"/>
    <row r="16564" s="76" customFormat="1" ht="21.95" customHeight="1" x14ac:dyDescent="0.15"/>
    <row r="16565" s="76" customFormat="1" ht="21.95" customHeight="1" x14ac:dyDescent="0.15"/>
    <row r="16566" s="76" customFormat="1" ht="21.95" customHeight="1" x14ac:dyDescent="0.15"/>
    <row r="16567" s="76" customFormat="1" ht="21.95" customHeight="1" x14ac:dyDescent="0.15"/>
    <row r="16568" s="76" customFormat="1" ht="21.95" customHeight="1" x14ac:dyDescent="0.15"/>
    <row r="16569" s="76" customFormat="1" ht="21.95" customHeight="1" x14ac:dyDescent="0.15"/>
    <row r="16570" s="76" customFormat="1" ht="21.95" customHeight="1" x14ac:dyDescent="0.15"/>
    <row r="16571" s="76" customFormat="1" ht="21.95" customHeight="1" x14ac:dyDescent="0.15"/>
    <row r="16572" s="76" customFormat="1" ht="21.95" customHeight="1" x14ac:dyDescent="0.15"/>
    <row r="16573" s="76" customFormat="1" ht="21.95" customHeight="1" x14ac:dyDescent="0.15"/>
    <row r="16574" s="76" customFormat="1" ht="21.95" customHeight="1" x14ac:dyDescent="0.15"/>
    <row r="16575" s="76" customFormat="1" ht="21.95" customHeight="1" x14ac:dyDescent="0.15"/>
    <row r="16576" s="76" customFormat="1" ht="21.95" customHeight="1" x14ac:dyDescent="0.15"/>
    <row r="16577" spans="3:3" customFormat="1" ht="21.95" customHeight="1" x14ac:dyDescent="0.15"/>
    <row r="16578" spans="3:3" customFormat="1" ht="21.95" customHeight="1" x14ac:dyDescent="0.15"/>
    <row r="16579" spans="3:3" customFormat="1" ht="21.95" customHeight="1" x14ac:dyDescent="0.15">
      <c r="C16579" s="94"/>
    </row>
    <row r="16580" spans="3:3" customFormat="1" ht="21.95" customHeight="1" x14ac:dyDescent="0.15">
      <c r="C16580" s="94"/>
    </row>
    <row r="16581" spans="3:3" customFormat="1" ht="21.95" customHeight="1" x14ac:dyDescent="0.15"/>
    <row r="16582" spans="3:3" customFormat="1" ht="21.95" customHeight="1" x14ac:dyDescent="0.15"/>
    <row r="16583" spans="3:3" customFormat="1" ht="21.95" customHeight="1" x14ac:dyDescent="0.15"/>
    <row r="16584" spans="3:3" customFormat="1" ht="21.95" customHeight="1" x14ac:dyDescent="0.15"/>
    <row r="16585" spans="3:3" customFormat="1" ht="21.95" customHeight="1" x14ac:dyDescent="0.15"/>
    <row r="16586" spans="3:3" customFormat="1" ht="21.95" customHeight="1" x14ac:dyDescent="0.15"/>
    <row r="16587" spans="3:3" customFormat="1" ht="21.95" customHeight="1" x14ac:dyDescent="0.15"/>
    <row r="16588" spans="3:3" s="76" customFormat="1" ht="21.95" customHeight="1" x14ac:dyDescent="0.15"/>
    <row r="16589" spans="3:3" s="76" customFormat="1" ht="21.95" customHeight="1" x14ac:dyDescent="0.15"/>
    <row r="16590" spans="3:3" s="76" customFormat="1" ht="21.95" customHeight="1" x14ac:dyDescent="0.15"/>
    <row r="16591" spans="3:3" s="76" customFormat="1" ht="21.95" customHeight="1" x14ac:dyDescent="0.15"/>
    <row r="16592" spans="3:3" customFormat="1" ht="21.95" customHeight="1" x14ac:dyDescent="0.15"/>
    <row r="16593" customFormat="1" ht="21.95" customHeight="1" x14ac:dyDescent="0.15"/>
    <row r="16594" customFormat="1" ht="21.95" customHeight="1" x14ac:dyDescent="0.15"/>
    <row r="16595" customFormat="1" ht="21.95" customHeight="1" x14ac:dyDescent="0.15"/>
    <row r="16596" customFormat="1" ht="21.95" customHeight="1" x14ac:dyDescent="0.15"/>
    <row r="16597" customFormat="1" ht="21.95" customHeight="1" x14ac:dyDescent="0.15"/>
    <row r="16598" customFormat="1" ht="21.95" customHeight="1" x14ac:dyDescent="0.15"/>
    <row r="16599" customFormat="1" ht="21.95" customHeight="1" x14ac:dyDescent="0.15"/>
    <row r="16600" customFormat="1" ht="21.95" customHeight="1" x14ac:dyDescent="0.15"/>
    <row r="16601" customFormat="1" ht="21.95" customHeight="1" x14ac:dyDescent="0.15"/>
    <row r="16602" customFormat="1" ht="21.95" customHeight="1" x14ac:dyDescent="0.15"/>
    <row r="16603" customFormat="1" ht="32.1" customHeight="1" x14ac:dyDescent="0.15"/>
    <row r="16604" customFormat="1" ht="32.1" customHeight="1" x14ac:dyDescent="0.15"/>
    <row r="16605" customFormat="1" ht="32.1" customHeight="1" x14ac:dyDescent="0.15"/>
    <row r="16606" customFormat="1" ht="32.1" customHeight="1" x14ac:dyDescent="0.15"/>
    <row r="16607" customFormat="1" ht="32.1" customHeight="1" x14ac:dyDescent="0.15"/>
    <row r="16608" customFormat="1" ht="32.1" customHeight="1" x14ac:dyDescent="0.15"/>
    <row r="16609" s="76" customFormat="1" ht="32.1" customHeight="1" x14ac:dyDescent="0.15"/>
    <row r="16610" s="76" customFormat="1" ht="32.1" customHeight="1" x14ac:dyDescent="0.15"/>
    <row r="16611" s="76" customFormat="1" ht="32.1" customHeight="1" x14ac:dyDescent="0.15"/>
    <row r="16612" s="76" customFormat="1" ht="32.1" customHeight="1" x14ac:dyDescent="0.15"/>
    <row r="16613" s="76" customFormat="1" ht="21.95" customHeight="1" x14ac:dyDescent="0.15"/>
    <row r="16614" s="76" customFormat="1" ht="54" customHeight="1" x14ac:dyDescent="0.15"/>
    <row r="16615" s="76" customFormat="1" ht="21.95" customHeight="1" x14ac:dyDescent="0.15"/>
    <row r="16616" s="76" customFormat="1" ht="21.95" customHeight="1" x14ac:dyDescent="0.15"/>
    <row r="16617" s="76" customFormat="1" ht="21.95" customHeight="1" x14ac:dyDescent="0.15"/>
    <row r="16618" s="76" customFormat="1" ht="21.95" customHeight="1" x14ac:dyDescent="0.15"/>
    <row r="16619" s="76" customFormat="1" ht="21.95" customHeight="1" x14ac:dyDescent="0.15"/>
    <row r="16620" s="76" customFormat="1" ht="21.95" customHeight="1" x14ac:dyDescent="0.15"/>
    <row r="16621" s="76" customFormat="1" ht="21.95" customHeight="1" x14ac:dyDescent="0.15"/>
    <row r="16622" s="76" customFormat="1" ht="21.95" customHeight="1" x14ac:dyDescent="0.15"/>
    <row r="16623" s="76" customFormat="1" ht="21.95" customHeight="1" x14ac:dyDescent="0.15"/>
    <row r="16624" s="76" customFormat="1" ht="21.95" customHeight="1" x14ac:dyDescent="0.15"/>
    <row r="16625" s="76" customFormat="1" ht="21.95" customHeight="1" x14ac:dyDescent="0.15"/>
    <row r="16626" s="76" customFormat="1" ht="21.95" customHeight="1" x14ac:dyDescent="0.15"/>
    <row r="16627" s="76" customFormat="1" ht="21.95" customHeight="1" x14ac:dyDescent="0.15"/>
    <row r="16628" s="76" customFormat="1" ht="21.95" customHeight="1" x14ac:dyDescent="0.15"/>
    <row r="16629" s="76" customFormat="1" ht="21.95" customHeight="1" x14ac:dyDescent="0.15"/>
    <row r="16630" s="76" customFormat="1" ht="21.95" customHeight="1" x14ac:dyDescent="0.15"/>
    <row r="16631" s="76" customFormat="1" ht="21.95" customHeight="1" x14ac:dyDescent="0.15"/>
    <row r="16632" s="76" customFormat="1" ht="21.95" customHeight="1" x14ac:dyDescent="0.15"/>
    <row r="16633" s="76" customFormat="1" ht="21.95" customHeight="1" x14ac:dyDescent="0.15"/>
    <row r="16634" s="76" customFormat="1" ht="21.95" customHeight="1" x14ac:dyDescent="0.15"/>
    <row r="16635" s="76" customFormat="1" ht="21.95" customHeight="1" x14ac:dyDescent="0.15"/>
    <row r="16636" s="76" customFormat="1" ht="21.95" customHeight="1" x14ac:dyDescent="0.15"/>
    <row r="16637" s="76" customFormat="1" ht="21.95" customHeight="1" x14ac:dyDescent="0.15"/>
    <row r="16638" s="76" customFormat="1" ht="21.95" customHeight="1" x14ac:dyDescent="0.15"/>
    <row r="16639" s="76" customFormat="1" ht="21.95" customHeight="1" x14ac:dyDescent="0.15"/>
    <row r="16640" s="76" customFormat="1" ht="21.95" customHeight="1" x14ac:dyDescent="0.15"/>
    <row r="16641" s="76" customFormat="1" ht="21.95" customHeight="1" x14ac:dyDescent="0.15"/>
    <row r="16642" s="76" customFormat="1" ht="21.95" customHeight="1" x14ac:dyDescent="0.15"/>
    <row r="16643" s="76" customFormat="1" ht="21.95" customHeight="1" x14ac:dyDescent="0.15"/>
    <row r="16644" s="76" customFormat="1" ht="21.95" customHeight="1" x14ac:dyDescent="0.15"/>
    <row r="16645" s="76" customFormat="1" ht="21.95" customHeight="1" x14ac:dyDescent="0.15"/>
    <row r="16646" s="76" customFormat="1" ht="21.95" customHeight="1" x14ac:dyDescent="0.15"/>
    <row r="16647" s="76" customFormat="1" ht="21.95" customHeight="1" x14ac:dyDescent="0.15"/>
    <row r="16648" s="76" customFormat="1" ht="21.95" customHeight="1" x14ac:dyDescent="0.15"/>
    <row r="16649" s="76" customFormat="1" ht="21.95" customHeight="1" x14ac:dyDescent="0.15"/>
    <row r="16650" s="76" customFormat="1" ht="21.95" customHeight="1" x14ac:dyDescent="0.15"/>
    <row r="16651" s="76" customFormat="1" ht="21.95" customHeight="1" x14ac:dyDescent="0.15"/>
    <row r="16652" s="76" customFormat="1" ht="21.95" customHeight="1" x14ac:dyDescent="0.15"/>
    <row r="16653" s="76" customFormat="1" ht="21.95" customHeight="1" x14ac:dyDescent="0.15"/>
    <row r="16654" s="76" customFormat="1" ht="21.95" customHeight="1" x14ac:dyDescent="0.15"/>
    <row r="16655" s="76" customFormat="1" ht="21.95" customHeight="1" x14ac:dyDescent="0.15"/>
    <row r="16656" s="76" customFormat="1" ht="21.95" customHeight="1" x14ac:dyDescent="0.15"/>
    <row r="16657" s="76" customFormat="1" ht="21.95" customHeight="1" x14ac:dyDescent="0.15"/>
    <row r="16658" s="76" customFormat="1" ht="21.95" customHeight="1" x14ac:dyDescent="0.15"/>
    <row r="16659" s="76" customFormat="1" ht="21.95" customHeight="1" x14ac:dyDescent="0.15"/>
    <row r="16660" s="76" customFormat="1" ht="21.95" customHeight="1" x14ac:dyDescent="0.15"/>
    <row r="16661" s="76" customFormat="1" ht="21.95" customHeight="1" x14ac:dyDescent="0.15"/>
    <row r="16662" s="76" customFormat="1" ht="21.95" customHeight="1" x14ac:dyDescent="0.15"/>
    <row r="16663" s="76" customFormat="1" ht="21.95" customHeight="1" x14ac:dyDescent="0.15"/>
    <row r="16664" s="76" customFormat="1" ht="21.95" customHeight="1" x14ac:dyDescent="0.15"/>
    <row r="16665" s="76" customFormat="1" ht="35.1" customHeight="1" x14ac:dyDescent="0.15"/>
    <row r="16666" s="76" customFormat="1" ht="21.95" customHeight="1" x14ac:dyDescent="0.15"/>
    <row r="16667" s="76" customFormat="1" ht="21.95" customHeight="1" x14ac:dyDescent="0.15"/>
    <row r="16668" s="76" customFormat="1" ht="21.95" customHeight="1" x14ac:dyDescent="0.15"/>
    <row r="16669" s="76" customFormat="1" ht="21.95" customHeight="1" x14ac:dyDescent="0.15"/>
    <row r="16670" s="76" customFormat="1" ht="21.95" customHeight="1" x14ac:dyDescent="0.15"/>
    <row r="16671" s="76" customFormat="1" ht="21.95" customHeight="1" x14ac:dyDescent="0.15"/>
    <row r="16672" s="76" customFormat="1" ht="21.95" customHeight="1" x14ac:dyDescent="0.15"/>
    <row r="16673" s="76" customFormat="1" ht="21.95" customHeight="1" x14ac:dyDescent="0.15"/>
    <row r="16674" s="76" customFormat="1" ht="21.95" customHeight="1" x14ac:dyDescent="0.15"/>
    <row r="16675" s="76" customFormat="1" ht="21.95" customHeight="1" x14ac:dyDescent="0.15"/>
    <row r="16676" s="76" customFormat="1" ht="21.95" customHeight="1" x14ac:dyDescent="0.15"/>
    <row r="16677" s="76" customFormat="1" ht="21.95" customHeight="1" x14ac:dyDescent="0.15"/>
    <row r="16678" s="76" customFormat="1" ht="21.95" customHeight="1" x14ac:dyDescent="0.15"/>
    <row r="16679" s="76" customFormat="1" ht="21.95" customHeight="1" x14ac:dyDescent="0.15"/>
    <row r="16680" s="76" customFormat="1" ht="21.95" customHeight="1" x14ac:dyDescent="0.15"/>
    <row r="16681" s="76" customFormat="1" ht="21.95" customHeight="1" x14ac:dyDescent="0.15"/>
    <row r="16682" s="76" customFormat="1" ht="21.95" customHeight="1" x14ac:dyDescent="0.15"/>
    <row r="16683" s="76" customFormat="1" ht="21.95" customHeight="1" x14ac:dyDescent="0.15"/>
    <row r="16684" s="76" customFormat="1" ht="21.95" customHeight="1" x14ac:dyDescent="0.15"/>
    <row r="16685" s="76" customFormat="1" ht="21.95" customHeight="1" x14ac:dyDescent="0.15"/>
    <row r="16686" s="76" customFormat="1" ht="21.95" customHeight="1" x14ac:dyDescent="0.15"/>
    <row r="16687" s="76" customFormat="1" ht="21.95" customHeight="1" x14ac:dyDescent="0.15"/>
    <row r="16688" s="76" customFormat="1" ht="21.95" customHeight="1" x14ac:dyDescent="0.15"/>
    <row r="16689" spans="3:3" customFormat="1" ht="21.95" customHeight="1" x14ac:dyDescent="0.15"/>
    <row r="16690" spans="3:3" customFormat="1" ht="21.95" customHeight="1" x14ac:dyDescent="0.15"/>
    <row r="16691" spans="3:3" customFormat="1" ht="21.95" customHeight="1" x14ac:dyDescent="0.15">
      <c r="C16691" s="94"/>
    </row>
    <row r="16692" spans="3:3" customFormat="1" ht="21.95" customHeight="1" x14ac:dyDescent="0.15">
      <c r="C16692" s="94"/>
    </row>
    <row r="16693" spans="3:3" customFormat="1" ht="21.95" customHeight="1" x14ac:dyDescent="0.15"/>
    <row r="16694" spans="3:3" customFormat="1" ht="21.95" customHeight="1" x14ac:dyDescent="0.15"/>
    <row r="16695" spans="3:3" customFormat="1" ht="21.95" customHeight="1" x14ac:dyDescent="0.15"/>
    <row r="16696" spans="3:3" customFormat="1" ht="21.95" customHeight="1" x14ac:dyDescent="0.15"/>
    <row r="16697" spans="3:3" customFormat="1" ht="21.95" customHeight="1" x14ac:dyDescent="0.15"/>
    <row r="16698" spans="3:3" customFormat="1" ht="21.95" customHeight="1" x14ac:dyDescent="0.15"/>
    <row r="16699" spans="3:3" customFormat="1" ht="21.95" customHeight="1" x14ac:dyDescent="0.15"/>
    <row r="16700" spans="3:3" s="76" customFormat="1" ht="21.95" customHeight="1" x14ac:dyDescent="0.15"/>
    <row r="16701" spans="3:3" s="76" customFormat="1" ht="21.95" customHeight="1" x14ac:dyDescent="0.15"/>
    <row r="16702" spans="3:3" s="76" customFormat="1" ht="21.95" customHeight="1" x14ac:dyDescent="0.15"/>
    <row r="16703" spans="3:3" s="76" customFormat="1" ht="21.95" customHeight="1" x14ac:dyDescent="0.15"/>
    <row r="16704" spans="3:3" customFormat="1" ht="21.95" customHeight="1" x14ac:dyDescent="0.15"/>
    <row r="16705" customFormat="1" ht="21.95" customHeight="1" x14ac:dyDescent="0.15"/>
    <row r="16706" customFormat="1" ht="21.95" customHeight="1" x14ac:dyDescent="0.15"/>
    <row r="16707" customFormat="1" ht="21.95" customHeight="1" x14ac:dyDescent="0.15"/>
    <row r="16708" customFormat="1" ht="21.95" customHeight="1" x14ac:dyDescent="0.15"/>
    <row r="16709" customFormat="1" ht="21.95" customHeight="1" x14ac:dyDescent="0.15"/>
    <row r="16710" customFormat="1" ht="21.95" customHeight="1" x14ac:dyDescent="0.15"/>
    <row r="16711" customFormat="1" ht="21.95" customHeight="1" x14ac:dyDescent="0.15"/>
    <row r="16712" customFormat="1" ht="21.95" customHeight="1" x14ac:dyDescent="0.15"/>
    <row r="16713" customFormat="1" ht="21.95" customHeight="1" x14ac:dyDescent="0.15"/>
    <row r="16714" customFormat="1" ht="21.95" customHeight="1" x14ac:dyDescent="0.15"/>
    <row r="16715" customFormat="1" ht="32.1" customHeight="1" x14ac:dyDescent="0.15"/>
    <row r="16716" customFormat="1" ht="32.1" customHeight="1" x14ac:dyDescent="0.15"/>
    <row r="16717" customFormat="1" ht="32.1" customHeight="1" x14ac:dyDescent="0.15"/>
    <row r="16718" customFormat="1" ht="32.1" customHeight="1" x14ac:dyDescent="0.15"/>
    <row r="16719" customFormat="1" ht="32.1" customHeight="1" x14ac:dyDescent="0.15"/>
    <row r="16720" customFormat="1" ht="32.1" customHeight="1" x14ac:dyDescent="0.15"/>
    <row r="16721" s="76" customFormat="1" ht="32.1" customHeight="1" x14ac:dyDescent="0.15"/>
    <row r="16722" s="76" customFormat="1" ht="32.1" customHeight="1" x14ac:dyDescent="0.15"/>
    <row r="16723" s="76" customFormat="1" ht="32.1" customHeight="1" x14ac:dyDescent="0.15"/>
    <row r="16724" s="76" customFormat="1" ht="32.1" customHeight="1" x14ac:dyDescent="0.15"/>
    <row r="16725" s="76" customFormat="1" ht="21.95" customHeight="1" x14ac:dyDescent="0.15"/>
    <row r="16726" s="76" customFormat="1" ht="54" customHeight="1" x14ac:dyDescent="0.15"/>
    <row r="16727" s="76" customFormat="1" ht="21.95" customHeight="1" x14ac:dyDescent="0.15"/>
    <row r="16728" s="76" customFormat="1" ht="21.95" customHeight="1" x14ac:dyDescent="0.15"/>
    <row r="16729" s="76" customFormat="1" ht="21.95" customHeight="1" x14ac:dyDescent="0.15"/>
    <row r="16730" s="76" customFormat="1" ht="21.95" customHeight="1" x14ac:dyDescent="0.15"/>
    <row r="16731" s="76" customFormat="1" ht="21.95" customHeight="1" x14ac:dyDescent="0.15"/>
    <row r="16732" s="76" customFormat="1" ht="21.95" customHeight="1" x14ac:dyDescent="0.15"/>
    <row r="16733" s="76" customFormat="1" ht="21.95" customHeight="1" x14ac:dyDescent="0.15"/>
    <row r="16734" s="76" customFormat="1" ht="21.95" customHeight="1" x14ac:dyDescent="0.15"/>
    <row r="16735" s="76" customFormat="1" ht="21.95" customHeight="1" x14ac:dyDescent="0.15"/>
    <row r="16736" s="76" customFormat="1" ht="21.95" customHeight="1" x14ac:dyDescent="0.15"/>
    <row r="16737" s="76" customFormat="1" ht="21.95" customHeight="1" x14ac:dyDescent="0.15"/>
    <row r="16738" s="76" customFormat="1" ht="21.95" customHeight="1" x14ac:dyDescent="0.15"/>
    <row r="16739" s="76" customFormat="1" ht="21.95" customHeight="1" x14ac:dyDescent="0.15"/>
    <row r="16740" s="76" customFormat="1" ht="21.95" customHeight="1" x14ac:dyDescent="0.15"/>
    <row r="16741" s="76" customFormat="1" ht="21.95" customHeight="1" x14ac:dyDescent="0.15"/>
    <row r="16742" s="76" customFormat="1" ht="21.95" customHeight="1" x14ac:dyDescent="0.15"/>
    <row r="16743" s="76" customFormat="1" ht="21.95" customHeight="1" x14ac:dyDescent="0.15"/>
    <row r="16744" s="76" customFormat="1" ht="21.95" customHeight="1" x14ac:dyDescent="0.15"/>
    <row r="16745" s="76" customFormat="1" ht="21.95" customHeight="1" x14ac:dyDescent="0.15"/>
    <row r="16746" s="76" customFormat="1" ht="21.95" customHeight="1" x14ac:dyDescent="0.15"/>
    <row r="16747" s="76" customFormat="1" ht="21.95" customHeight="1" x14ac:dyDescent="0.15"/>
    <row r="16748" s="76" customFormat="1" ht="21.95" customHeight="1" x14ac:dyDescent="0.15"/>
    <row r="16749" s="76" customFormat="1" ht="21.95" customHeight="1" x14ac:dyDescent="0.15"/>
    <row r="16750" s="76" customFormat="1" ht="21.95" customHeight="1" x14ac:dyDescent="0.15"/>
    <row r="16751" s="76" customFormat="1" ht="21.95" customHeight="1" x14ac:dyDescent="0.15"/>
    <row r="16752" s="76" customFormat="1" ht="21.95" customHeight="1" x14ac:dyDescent="0.15"/>
    <row r="16753" s="76" customFormat="1" ht="21.95" customHeight="1" x14ac:dyDescent="0.15"/>
    <row r="16754" s="76" customFormat="1" ht="21.95" customHeight="1" x14ac:dyDescent="0.15"/>
    <row r="16755" s="76" customFormat="1" ht="21.95" customHeight="1" x14ac:dyDescent="0.15"/>
    <row r="16756" s="76" customFormat="1" ht="21.95" customHeight="1" x14ac:dyDescent="0.15"/>
    <row r="16757" s="76" customFormat="1" ht="21.95" customHeight="1" x14ac:dyDescent="0.15"/>
    <row r="16758" s="76" customFormat="1" ht="21.95" customHeight="1" x14ac:dyDescent="0.15"/>
    <row r="16759" s="76" customFormat="1" ht="21.95" customHeight="1" x14ac:dyDescent="0.15"/>
    <row r="16760" s="76" customFormat="1" ht="21.95" customHeight="1" x14ac:dyDescent="0.15"/>
    <row r="16761" s="76" customFormat="1" ht="21.95" customHeight="1" x14ac:dyDescent="0.15"/>
    <row r="16762" s="76" customFormat="1" ht="21.95" customHeight="1" x14ac:dyDescent="0.15"/>
    <row r="16763" s="76" customFormat="1" ht="21.95" customHeight="1" x14ac:dyDescent="0.15"/>
    <row r="16764" s="76" customFormat="1" ht="21.95" customHeight="1" x14ac:dyDescent="0.15"/>
    <row r="16765" s="76" customFormat="1" ht="21.95" customHeight="1" x14ac:dyDescent="0.15"/>
    <row r="16766" s="76" customFormat="1" ht="21.95" customHeight="1" x14ac:dyDescent="0.15"/>
    <row r="16767" s="76" customFormat="1" ht="21.95" customHeight="1" x14ac:dyDescent="0.15"/>
    <row r="16768" s="76" customFormat="1" ht="21.95" customHeight="1" x14ac:dyDescent="0.15"/>
    <row r="16769" s="76" customFormat="1" ht="21.95" customHeight="1" x14ac:dyDescent="0.15"/>
    <row r="16770" s="76" customFormat="1" ht="21.95" customHeight="1" x14ac:dyDescent="0.15"/>
    <row r="16771" s="76" customFormat="1" ht="21.95" customHeight="1" x14ac:dyDescent="0.15"/>
    <row r="16772" s="76" customFormat="1" ht="21.95" customHeight="1" x14ac:dyDescent="0.15"/>
    <row r="16773" s="76" customFormat="1" ht="21.95" customHeight="1" x14ac:dyDescent="0.15"/>
    <row r="16774" s="76" customFormat="1" ht="21.95" customHeight="1" x14ac:dyDescent="0.15"/>
    <row r="16775" s="76" customFormat="1" ht="21.95" customHeight="1" x14ac:dyDescent="0.15"/>
    <row r="16776" s="76" customFormat="1" ht="21.95" customHeight="1" x14ac:dyDescent="0.15"/>
    <row r="16777" s="76" customFormat="1" ht="35.1" customHeight="1" x14ac:dyDescent="0.15"/>
    <row r="16778" s="76" customFormat="1" ht="21.95" customHeight="1" x14ac:dyDescent="0.15"/>
    <row r="16779" s="76" customFormat="1" ht="21.95" customHeight="1" x14ac:dyDescent="0.15"/>
    <row r="16780" s="76" customFormat="1" ht="21.95" customHeight="1" x14ac:dyDescent="0.15"/>
    <row r="16781" s="76" customFormat="1" ht="21.95" customHeight="1" x14ac:dyDescent="0.15"/>
    <row r="16782" s="76" customFormat="1" ht="21.95" customHeight="1" x14ac:dyDescent="0.15"/>
    <row r="16783" s="76" customFormat="1" ht="21.95" customHeight="1" x14ac:dyDescent="0.15"/>
    <row r="16784" s="76" customFormat="1" ht="21.95" customHeight="1" x14ac:dyDescent="0.15"/>
    <row r="16785" s="76" customFormat="1" ht="21.95" customHeight="1" x14ac:dyDescent="0.15"/>
    <row r="16786" s="76" customFormat="1" ht="21.95" customHeight="1" x14ac:dyDescent="0.15"/>
    <row r="16787" s="76" customFormat="1" ht="21.95" customHeight="1" x14ac:dyDescent="0.15"/>
    <row r="16788" s="76" customFormat="1" ht="21.95" customHeight="1" x14ac:dyDescent="0.15"/>
    <row r="16789" s="76" customFormat="1" ht="21.95" customHeight="1" x14ac:dyDescent="0.15"/>
    <row r="16790" s="76" customFormat="1" ht="21.95" customHeight="1" x14ac:dyDescent="0.15"/>
    <row r="16791" s="76" customFormat="1" ht="21.95" customHeight="1" x14ac:dyDescent="0.15"/>
    <row r="16792" s="76" customFormat="1" ht="21.95" customHeight="1" x14ac:dyDescent="0.15"/>
    <row r="16793" s="76" customFormat="1" ht="21.95" customHeight="1" x14ac:dyDescent="0.15"/>
    <row r="16794" s="76" customFormat="1" ht="21.95" customHeight="1" x14ac:dyDescent="0.15"/>
    <row r="16795" s="76" customFormat="1" ht="21.95" customHeight="1" x14ac:dyDescent="0.15"/>
    <row r="16796" s="76" customFormat="1" ht="21.95" customHeight="1" x14ac:dyDescent="0.15"/>
    <row r="16797" s="76" customFormat="1" ht="21.95" customHeight="1" x14ac:dyDescent="0.15"/>
    <row r="16798" s="76" customFormat="1" ht="21.95" customHeight="1" x14ac:dyDescent="0.15"/>
    <row r="16799" s="76" customFormat="1" ht="21.95" customHeight="1" x14ac:dyDescent="0.15"/>
    <row r="16800" s="76" customFormat="1" ht="21.95" customHeight="1" x14ac:dyDescent="0.15"/>
    <row r="16801" spans="3:3" customFormat="1" ht="21.95" customHeight="1" x14ac:dyDescent="0.15"/>
    <row r="16802" spans="3:3" customFormat="1" ht="21.95" customHeight="1" x14ac:dyDescent="0.15"/>
    <row r="16803" spans="3:3" customFormat="1" ht="21.95" customHeight="1" x14ac:dyDescent="0.15">
      <c r="C16803" s="94"/>
    </row>
    <row r="16804" spans="3:3" customFormat="1" ht="21.95" customHeight="1" x14ac:dyDescent="0.15">
      <c r="C16804" s="94"/>
    </row>
    <row r="16805" spans="3:3" customFormat="1" ht="21.95" customHeight="1" x14ac:dyDescent="0.15"/>
    <row r="16806" spans="3:3" customFormat="1" ht="21.95" customHeight="1" x14ac:dyDescent="0.15"/>
    <row r="16807" spans="3:3" customFormat="1" ht="21.95" customHeight="1" x14ac:dyDescent="0.15"/>
    <row r="16808" spans="3:3" customFormat="1" ht="21.95" customHeight="1" x14ac:dyDescent="0.15"/>
    <row r="16809" spans="3:3" customFormat="1" ht="21.95" customHeight="1" x14ac:dyDescent="0.15"/>
    <row r="16810" spans="3:3" customFormat="1" ht="21.95" customHeight="1" x14ac:dyDescent="0.15"/>
    <row r="16811" spans="3:3" customFormat="1" ht="21.95" customHeight="1" x14ac:dyDescent="0.15"/>
    <row r="16812" spans="3:3" s="76" customFormat="1" ht="21.95" customHeight="1" x14ac:dyDescent="0.15"/>
    <row r="16813" spans="3:3" s="76" customFormat="1" ht="21.95" customHeight="1" x14ac:dyDescent="0.15"/>
    <row r="16814" spans="3:3" s="76" customFormat="1" ht="21.95" customHeight="1" x14ac:dyDescent="0.15"/>
    <row r="16815" spans="3:3" s="76" customFormat="1" ht="21.95" customHeight="1" x14ac:dyDescent="0.15"/>
    <row r="16816" spans="3:3" customFormat="1" ht="21.95" customHeight="1" x14ac:dyDescent="0.15"/>
    <row r="16817" customFormat="1" ht="21.95" customHeight="1" x14ac:dyDescent="0.15"/>
    <row r="16818" customFormat="1" ht="21.95" customHeight="1" x14ac:dyDescent="0.15"/>
    <row r="16819" customFormat="1" ht="21.95" customHeight="1" x14ac:dyDescent="0.15"/>
    <row r="16820" customFormat="1" ht="21.95" customHeight="1" x14ac:dyDescent="0.15"/>
    <row r="16821" customFormat="1" ht="21.95" customHeight="1" x14ac:dyDescent="0.15"/>
    <row r="16822" customFormat="1" ht="21.95" customHeight="1" x14ac:dyDescent="0.15"/>
    <row r="16823" customFormat="1" ht="21.95" customHeight="1" x14ac:dyDescent="0.15"/>
    <row r="16824" customFormat="1" ht="21.95" customHeight="1" x14ac:dyDescent="0.15"/>
    <row r="16825" customFormat="1" ht="21.95" customHeight="1" x14ac:dyDescent="0.15"/>
    <row r="16826" customFormat="1" ht="21.95" customHeight="1" x14ac:dyDescent="0.15"/>
    <row r="16827" customFormat="1" ht="32.1" customHeight="1" x14ac:dyDescent="0.15"/>
    <row r="16828" customFormat="1" ht="32.1" customHeight="1" x14ac:dyDescent="0.15"/>
    <row r="16829" customFormat="1" ht="32.1" customHeight="1" x14ac:dyDescent="0.15"/>
    <row r="16830" customFormat="1" ht="32.1" customHeight="1" x14ac:dyDescent="0.15"/>
    <row r="16831" customFormat="1" ht="32.1" customHeight="1" x14ac:dyDescent="0.15"/>
    <row r="16832" customFormat="1" ht="32.1" customHeight="1" x14ac:dyDescent="0.15"/>
    <row r="16833" s="76" customFormat="1" ht="32.1" customHeight="1" x14ac:dyDescent="0.15"/>
    <row r="16834" s="76" customFormat="1" ht="32.1" customHeight="1" x14ac:dyDescent="0.15"/>
    <row r="16835" s="76" customFormat="1" ht="32.1" customHeight="1" x14ac:dyDescent="0.15"/>
    <row r="16836" s="76" customFormat="1" ht="32.1" customHeight="1" x14ac:dyDescent="0.15"/>
    <row r="16837" s="76" customFormat="1" ht="21.95" customHeight="1" x14ac:dyDescent="0.15"/>
    <row r="16838" s="76" customFormat="1" ht="54" customHeight="1" x14ac:dyDescent="0.15"/>
    <row r="16839" s="76" customFormat="1" ht="21.95" customHeight="1" x14ac:dyDescent="0.15"/>
    <row r="16840" s="76" customFormat="1" ht="21.95" customHeight="1" x14ac:dyDescent="0.15"/>
    <row r="16841" s="76" customFormat="1" ht="21.95" customHeight="1" x14ac:dyDescent="0.15"/>
    <row r="16842" s="76" customFormat="1" ht="21.95" customHeight="1" x14ac:dyDescent="0.15"/>
    <row r="16843" s="76" customFormat="1" ht="21.95" customHeight="1" x14ac:dyDescent="0.15"/>
    <row r="16844" s="76" customFormat="1" ht="21.95" customHeight="1" x14ac:dyDescent="0.15"/>
    <row r="16845" s="76" customFormat="1" ht="21.95" customHeight="1" x14ac:dyDescent="0.15"/>
    <row r="16846" s="76" customFormat="1" ht="21.95" customHeight="1" x14ac:dyDescent="0.15"/>
    <row r="16847" s="76" customFormat="1" ht="21.95" customHeight="1" x14ac:dyDescent="0.15"/>
    <row r="16848" s="76" customFormat="1" ht="21.95" customHeight="1" x14ac:dyDescent="0.15"/>
    <row r="16849" s="76" customFormat="1" ht="21.95" customHeight="1" x14ac:dyDescent="0.15"/>
    <row r="16850" s="76" customFormat="1" ht="21.95" customHeight="1" x14ac:dyDescent="0.15"/>
    <row r="16851" s="76" customFormat="1" ht="21.95" customHeight="1" x14ac:dyDescent="0.15"/>
    <row r="16852" s="76" customFormat="1" ht="21.95" customHeight="1" x14ac:dyDescent="0.15"/>
    <row r="16853" s="76" customFormat="1" ht="21.95" customHeight="1" x14ac:dyDescent="0.15"/>
    <row r="16854" s="76" customFormat="1" ht="21.95" customHeight="1" x14ac:dyDescent="0.15"/>
    <row r="16855" s="76" customFormat="1" ht="21.95" customHeight="1" x14ac:dyDescent="0.15"/>
    <row r="16856" s="76" customFormat="1" ht="21.95" customHeight="1" x14ac:dyDescent="0.15"/>
    <row r="16857" s="76" customFormat="1" ht="21.95" customHeight="1" x14ac:dyDescent="0.15"/>
    <row r="16858" s="76" customFormat="1" ht="21.95" customHeight="1" x14ac:dyDescent="0.15"/>
    <row r="16859" s="76" customFormat="1" ht="21.95" customHeight="1" x14ac:dyDescent="0.15"/>
    <row r="16860" s="76" customFormat="1" ht="21.95" customHeight="1" x14ac:dyDescent="0.15"/>
    <row r="16861" s="76" customFormat="1" ht="21.95" customHeight="1" x14ac:dyDescent="0.15"/>
    <row r="16862" s="76" customFormat="1" ht="21.95" customHeight="1" x14ac:dyDescent="0.15"/>
    <row r="16863" s="76" customFormat="1" ht="21.95" customHeight="1" x14ac:dyDescent="0.15"/>
    <row r="16864" s="76" customFormat="1" ht="21.95" customHeight="1" x14ac:dyDescent="0.15"/>
    <row r="16865" s="76" customFormat="1" ht="21.95" customHeight="1" x14ac:dyDescent="0.15"/>
    <row r="16866" s="76" customFormat="1" ht="21.95" customHeight="1" x14ac:dyDescent="0.15"/>
    <row r="16867" s="76" customFormat="1" ht="21.95" customHeight="1" x14ac:dyDescent="0.15"/>
    <row r="16868" s="76" customFormat="1" ht="21.95" customHeight="1" x14ac:dyDescent="0.15"/>
    <row r="16869" s="76" customFormat="1" ht="21.95" customHeight="1" x14ac:dyDescent="0.15"/>
    <row r="16870" s="76" customFormat="1" ht="21.95" customHeight="1" x14ac:dyDescent="0.15"/>
    <row r="16871" s="76" customFormat="1" ht="21.95" customHeight="1" x14ac:dyDescent="0.15"/>
    <row r="16872" s="76" customFormat="1" ht="21.95" customHeight="1" x14ac:dyDescent="0.15"/>
    <row r="16873" s="76" customFormat="1" ht="21.95" customHeight="1" x14ac:dyDescent="0.15"/>
    <row r="16874" s="76" customFormat="1" ht="21.95" customHeight="1" x14ac:dyDescent="0.15"/>
    <row r="16875" s="76" customFormat="1" ht="21.95" customHeight="1" x14ac:dyDescent="0.15"/>
    <row r="16876" s="76" customFormat="1" ht="21.95" customHeight="1" x14ac:dyDescent="0.15"/>
    <row r="16877" s="76" customFormat="1" ht="21.95" customHeight="1" x14ac:dyDescent="0.15"/>
    <row r="16878" s="76" customFormat="1" ht="21.95" customHeight="1" x14ac:dyDescent="0.15"/>
    <row r="16879" s="76" customFormat="1" ht="21.95" customHeight="1" x14ac:dyDescent="0.15"/>
    <row r="16880" s="76" customFormat="1" ht="21.95" customHeight="1" x14ac:dyDescent="0.15"/>
    <row r="16881" s="76" customFormat="1" ht="21.95" customHeight="1" x14ac:dyDescent="0.15"/>
    <row r="16882" s="76" customFormat="1" ht="21.95" customHeight="1" x14ac:dyDescent="0.15"/>
    <row r="16883" s="76" customFormat="1" ht="21.95" customHeight="1" x14ac:dyDescent="0.15"/>
    <row r="16884" s="76" customFormat="1" ht="21.95" customHeight="1" x14ac:dyDescent="0.15"/>
    <row r="16885" s="76" customFormat="1" ht="21.95" customHeight="1" x14ac:dyDescent="0.15"/>
    <row r="16886" s="76" customFormat="1" ht="21.95" customHeight="1" x14ac:dyDescent="0.15"/>
    <row r="16887" s="76" customFormat="1" ht="21.95" customHeight="1" x14ac:dyDescent="0.15"/>
    <row r="16888" s="76" customFormat="1" ht="21.95" customHeight="1" x14ac:dyDescent="0.15"/>
    <row r="16889" s="76" customFormat="1" ht="35.1" customHeight="1" x14ac:dyDescent="0.15"/>
    <row r="16890" s="76" customFormat="1" ht="21.95" customHeight="1" x14ac:dyDescent="0.15"/>
    <row r="16891" s="76" customFormat="1" ht="21.95" customHeight="1" x14ac:dyDescent="0.15"/>
    <row r="16892" s="76" customFormat="1" ht="21.95" customHeight="1" x14ac:dyDescent="0.15"/>
    <row r="16893" s="76" customFormat="1" ht="21.95" customHeight="1" x14ac:dyDescent="0.15"/>
    <row r="16894" s="76" customFormat="1" ht="21.95" customHeight="1" x14ac:dyDescent="0.15"/>
    <row r="16895" s="76" customFormat="1" ht="21.95" customHeight="1" x14ac:dyDescent="0.15"/>
    <row r="16896" s="76" customFormat="1" ht="21.95" customHeight="1" x14ac:dyDescent="0.15"/>
    <row r="16897" s="76" customFormat="1" ht="21.95" customHeight="1" x14ac:dyDescent="0.15"/>
    <row r="16898" s="76" customFormat="1" ht="21.95" customHeight="1" x14ac:dyDescent="0.15"/>
    <row r="16899" s="76" customFormat="1" ht="21.95" customHeight="1" x14ac:dyDescent="0.15"/>
    <row r="16900" s="76" customFormat="1" ht="21.95" customHeight="1" x14ac:dyDescent="0.15"/>
    <row r="16901" s="76" customFormat="1" ht="21.95" customHeight="1" x14ac:dyDescent="0.15"/>
    <row r="16902" s="76" customFormat="1" ht="21.95" customHeight="1" x14ac:dyDescent="0.15"/>
    <row r="16903" s="76" customFormat="1" ht="21.95" customHeight="1" x14ac:dyDescent="0.15"/>
    <row r="16904" s="76" customFormat="1" ht="21.95" customHeight="1" x14ac:dyDescent="0.15"/>
    <row r="16905" s="76" customFormat="1" ht="21.95" customHeight="1" x14ac:dyDescent="0.15"/>
    <row r="16906" s="76" customFormat="1" ht="21.95" customHeight="1" x14ac:dyDescent="0.15"/>
    <row r="16907" s="76" customFormat="1" ht="21.95" customHeight="1" x14ac:dyDescent="0.15"/>
    <row r="16908" s="76" customFormat="1" ht="21.95" customHeight="1" x14ac:dyDescent="0.15"/>
    <row r="16909" s="76" customFormat="1" ht="21.95" customHeight="1" x14ac:dyDescent="0.15"/>
    <row r="16910" s="76" customFormat="1" ht="21.95" customHeight="1" x14ac:dyDescent="0.15"/>
    <row r="16911" s="76" customFormat="1" ht="21.95" customHeight="1" x14ac:dyDescent="0.15"/>
    <row r="16912" s="76" customFormat="1" ht="21.95" customHeight="1" x14ac:dyDescent="0.15"/>
    <row r="16913" spans="3:3" customFormat="1" ht="21.95" customHeight="1" x14ac:dyDescent="0.15"/>
    <row r="16914" spans="3:3" customFormat="1" ht="21.95" customHeight="1" x14ac:dyDescent="0.15"/>
    <row r="16915" spans="3:3" customFormat="1" ht="21.95" customHeight="1" x14ac:dyDescent="0.15">
      <c r="C16915" s="94"/>
    </row>
    <row r="16916" spans="3:3" customFormat="1" ht="21.95" customHeight="1" x14ac:dyDescent="0.15">
      <c r="C16916" s="94"/>
    </row>
    <row r="16917" spans="3:3" customFormat="1" ht="21.95" customHeight="1" x14ac:dyDescent="0.15"/>
    <row r="16918" spans="3:3" customFormat="1" ht="21.95" customHeight="1" x14ac:dyDescent="0.15"/>
    <row r="16919" spans="3:3" customFormat="1" ht="21.95" customHeight="1" x14ac:dyDescent="0.15"/>
    <row r="16920" spans="3:3" customFormat="1" ht="21.95" customHeight="1" x14ac:dyDescent="0.15"/>
    <row r="16921" spans="3:3" customFormat="1" ht="21.95" customHeight="1" x14ac:dyDescent="0.15"/>
    <row r="16922" spans="3:3" customFormat="1" ht="21.95" customHeight="1" x14ac:dyDescent="0.15"/>
    <row r="16923" spans="3:3" customFormat="1" ht="21.95" customHeight="1" x14ac:dyDescent="0.15"/>
    <row r="16924" spans="3:3" s="76" customFormat="1" ht="21.95" customHeight="1" x14ac:dyDescent="0.15"/>
    <row r="16925" spans="3:3" s="76" customFormat="1" ht="21.95" customHeight="1" x14ac:dyDescent="0.15"/>
    <row r="16926" spans="3:3" s="76" customFormat="1" ht="21.95" customHeight="1" x14ac:dyDescent="0.15"/>
    <row r="16927" spans="3:3" s="76" customFormat="1" ht="21.95" customHeight="1" x14ac:dyDescent="0.15"/>
    <row r="16928" spans="3:3" customFormat="1" ht="21.95" customHeight="1" x14ac:dyDescent="0.15"/>
    <row r="16929" customFormat="1" ht="21.95" customHeight="1" x14ac:dyDescent="0.15"/>
    <row r="16930" customFormat="1" ht="21.95" customHeight="1" x14ac:dyDescent="0.15"/>
    <row r="16931" customFormat="1" ht="21.95" customHeight="1" x14ac:dyDescent="0.15"/>
    <row r="16932" customFormat="1" ht="21.95" customHeight="1" x14ac:dyDescent="0.15"/>
    <row r="16933" customFormat="1" ht="21.95" customHeight="1" x14ac:dyDescent="0.15"/>
    <row r="16934" customFormat="1" ht="21.95" customHeight="1" x14ac:dyDescent="0.15"/>
    <row r="16935" customFormat="1" ht="21.95" customHeight="1" x14ac:dyDescent="0.15"/>
    <row r="16936" customFormat="1" ht="21.95" customHeight="1" x14ac:dyDescent="0.15"/>
    <row r="16937" customFormat="1" ht="21.95" customHeight="1" x14ac:dyDescent="0.15"/>
    <row r="16938" customFormat="1" ht="21.95" customHeight="1" x14ac:dyDescent="0.15"/>
    <row r="16939" customFormat="1" ht="32.1" customHeight="1" x14ac:dyDescent="0.15"/>
    <row r="16940" customFormat="1" ht="32.1" customHeight="1" x14ac:dyDescent="0.15"/>
    <row r="16941" customFormat="1" ht="32.1" customHeight="1" x14ac:dyDescent="0.15"/>
    <row r="16942" customFormat="1" ht="32.1" customHeight="1" x14ac:dyDescent="0.15"/>
    <row r="16943" customFormat="1" ht="32.1" customHeight="1" x14ac:dyDescent="0.15"/>
    <row r="16944" customFormat="1" ht="32.1" customHeight="1" x14ac:dyDescent="0.15"/>
    <row r="16945" s="76" customFormat="1" ht="32.1" customHeight="1" x14ac:dyDescent="0.15"/>
    <row r="16946" s="76" customFormat="1" ht="32.1" customHeight="1" x14ac:dyDescent="0.15"/>
    <row r="16947" s="76" customFormat="1" ht="32.1" customHeight="1" x14ac:dyDescent="0.15"/>
    <row r="16948" s="76" customFormat="1" ht="32.1" customHeight="1" x14ac:dyDescent="0.15"/>
    <row r="16949" s="76" customFormat="1" ht="21.95" customHeight="1" x14ac:dyDescent="0.15"/>
    <row r="16950" s="76" customFormat="1" ht="54" customHeight="1" x14ac:dyDescent="0.15"/>
    <row r="16951" s="76" customFormat="1" ht="21.95" customHeight="1" x14ac:dyDescent="0.15"/>
    <row r="16952" s="76" customFormat="1" ht="21.95" customHeight="1" x14ac:dyDescent="0.15"/>
    <row r="16953" s="76" customFormat="1" ht="21.95" customHeight="1" x14ac:dyDescent="0.15"/>
    <row r="16954" s="76" customFormat="1" ht="21.95" customHeight="1" x14ac:dyDescent="0.15"/>
    <row r="16955" s="76" customFormat="1" ht="21.95" customHeight="1" x14ac:dyDescent="0.15"/>
    <row r="16956" s="76" customFormat="1" ht="21.95" customHeight="1" x14ac:dyDescent="0.15"/>
    <row r="16957" s="76" customFormat="1" ht="21.95" customHeight="1" x14ac:dyDescent="0.15"/>
    <row r="16958" s="76" customFormat="1" ht="21.95" customHeight="1" x14ac:dyDescent="0.15"/>
    <row r="16959" s="76" customFormat="1" ht="21.95" customHeight="1" x14ac:dyDescent="0.15"/>
    <row r="16960" s="76" customFormat="1" ht="21.95" customHeight="1" x14ac:dyDescent="0.15"/>
    <row r="16961" s="76" customFormat="1" ht="21.95" customHeight="1" x14ac:dyDescent="0.15"/>
    <row r="16962" s="76" customFormat="1" ht="21.95" customHeight="1" x14ac:dyDescent="0.15"/>
    <row r="16963" s="76" customFormat="1" ht="21.95" customHeight="1" x14ac:dyDescent="0.15"/>
    <row r="16964" s="76" customFormat="1" ht="21.95" customHeight="1" x14ac:dyDescent="0.15"/>
    <row r="16965" s="76" customFormat="1" ht="21.95" customHeight="1" x14ac:dyDescent="0.15"/>
    <row r="16966" s="76" customFormat="1" ht="21.95" customHeight="1" x14ac:dyDescent="0.15"/>
    <row r="16967" s="76" customFormat="1" ht="21.95" customHeight="1" x14ac:dyDescent="0.15"/>
    <row r="16968" s="76" customFormat="1" ht="21.95" customHeight="1" x14ac:dyDescent="0.15"/>
    <row r="16969" s="76" customFormat="1" ht="21.95" customHeight="1" x14ac:dyDescent="0.15"/>
    <row r="16970" s="76" customFormat="1" ht="21.95" customHeight="1" x14ac:dyDescent="0.15"/>
    <row r="16971" s="76" customFormat="1" ht="21.95" customHeight="1" x14ac:dyDescent="0.15"/>
    <row r="16972" s="76" customFormat="1" ht="21.95" customHeight="1" x14ac:dyDescent="0.15"/>
    <row r="16973" s="76" customFormat="1" ht="21.95" customHeight="1" x14ac:dyDescent="0.15"/>
    <row r="16974" s="76" customFormat="1" ht="21.95" customHeight="1" x14ac:dyDescent="0.15"/>
    <row r="16975" s="76" customFormat="1" ht="21.95" customHeight="1" x14ac:dyDescent="0.15"/>
    <row r="16976" s="76" customFormat="1" ht="21.95" customHeight="1" x14ac:dyDescent="0.15"/>
    <row r="16977" s="76" customFormat="1" ht="21.95" customHeight="1" x14ac:dyDescent="0.15"/>
    <row r="16978" s="76" customFormat="1" ht="21.95" customHeight="1" x14ac:dyDescent="0.15"/>
    <row r="16979" s="76" customFormat="1" ht="21.95" customHeight="1" x14ac:dyDescent="0.15"/>
    <row r="16980" s="76" customFormat="1" ht="21.95" customHeight="1" x14ac:dyDescent="0.15"/>
    <row r="16981" s="76" customFormat="1" ht="21.95" customHeight="1" x14ac:dyDescent="0.15"/>
    <row r="16982" s="76" customFormat="1" ht="21.95" customHeight="1" x14ac:dyDescent="0.15"/>
    <row r="16983" s="76" customFormat="1" ht="21.95" customHeight="1" x14ac:dyDescent="0.15"/>
    <row r="16984" s="76" customFormat="1" ht="21.95" customHeight="1" x14ac:dyDescent="0.15"/>
    <row r="16985" s="76" customFormat="1" ht="21.95" customHeight="1" x14ac:dyDescent="0.15"/>
    <row r="16986" s="76" customFormat="1" ht="21.95" customHeight="1" x14ac:dyDescent="0.15"/>
    <row r="16987" s="76" customFormat="1" ht="21.95" customHeight="1" x14ac:dyDescent="0.15"/>
    <row r="16988" s="76" customFormat="1" ht="21.95" customHeight="1" x14ac:dyDescent="0.15"/>
    <row r="16989" s="76" customFormat="1" ht="21.95" customHeight="1" x14ac:dyDescent="0.15"/>
    <row r="16990" s="76" customFormat="1" ht="21.95" customHeight="1" x14ac:dyDescent="0.15"/>
    <row r="16991" s="76" customFormat="1" ht="21.95" customHeight="1" x14ac:dyDescent="0.15"/>
    <row r="16992" s="76" customFormat="1" ht="21.95" customHeight="1" x14ac:dyDescent="0.15"/>
    <row r="16993" s="76" customFormat="1" ht="21.95" customHeight="1" x14ac:dyDescent="0.15"/>
    <row r="16994" s="76" customFormat="1" ht="21.95" customHeight="1" x14ac:dyDescent="0.15"/>
    <row r="16995" s="76" customFormat="1" ht="21.95" customHeight="1" x14ac:dyDescent="0.15"/>
    <row r="16996" s="76" customFormat="1" ht="21.95" customHeight="1" x14ac:dyDescent="0.15"/>
    <row r="16997" s="76" customFormat="1" ht="21.95" customHeight="1" x14ac:dyDescent="0.15"/>
    <row r="16998" s="76" customFormat="1" ht="21.95" customHeight="1" x14ac:dyDescent="0.15"/>
    <row r="16999" s="76" customFormat="1" ht="21.95" customHeight="1" x14ac:dyDescent="0.15"/>
    <row r="17000" s="76" customFormat="1" ht="21.95" customHeight="1" x14ac:dyDescent="0.15"/>
    <row r="17001" s="76" customFormat="1" ht="35.1" customHeight="1" x14ac:dyDescent="0.15"/>
    <row r="17002" s="76" customFormat="1" ht="21.95" customHeight="1" x14ac:dyDescent="0.15"/>
    <row r="17003" s="76" customFormat="1" ht="21.95" customHeight="1" x14ac:dyDescent="0.15"/>
    <row r="17004" s="76" customFormat="1" ht="21.95" customHeight="1" x14ac:dyDescent="0.15"/>
    <row r="17005" s="76" customFormat="1" ht="21.95" customHeight="1" x14ac:dyDescent="0.15"/>
    <row r="17006" s="76" customFormat="1" ht="21.95" customHeight="1" x14ac:dyDescent="0.15"/>
    <row r="17007" s="76" customFormat="1" ht="21.95" customHeight="1" x14ac:dyDescent="0.15"/>
    <row r="17008" s="76" customFormat="1" ht="21.95" customHeight="1" x14ac:dyDescent="0.15"/>
    <row r="17009" s="76" customFormat="1" ht="21.95" customHeight="1" x14ac:dyDescent="0.15"/>
    <row r="17010" s="76" customFormat="1" ht="21.95" customHeight="1" x14ac:dyDescent="0.15"/>
    <row r="17011" s="76" customFormat="1" ht="21.95" customHeight="1" x14ac:dyDescent="0.15"/>
    <row r="17012" s="76" customFormat="1" ht="21.95" customHeight="1" x14ac:dyDescent="0.15"/>
    <row r="17013" s="76" customFormat="1" ht="21.95" customHeight="1" x14ac:dyDescent="0.15"/>
    <row r="17014" s="76" customFormat="1" ht="21.95" customHeight="1" x14ac:dyDescent="0.15"/>
    <row r="17015" s="76" customFormat="1" ht="21.95" customHeight="1" x14ac:dyDescent="0.15"/>
    <row r="17016" s="76" customFormat="1" ht="21.95" customHeight="1" x14ac:dyDescent="0.15"/>
    <row r="17017" s="76" customFormat="1" ht="21.95" customHeight="1" x14ac:dyDescent="0.15"/>
    <row r="17018" s="76" customFormat="1" ht="21.95" customHeight="1" x14ac:dyDescent="0.15"/>
    <row r="17019" s="76" customFormat="1" ht="21.95" customHeight="1" x14ac:dyDescent="0.15"/>
    <row r="17020" s="76" customFormat="1" ht="21.95" customHeight="1" x14ac:dyDescent="0.15"/>
    <row r="17021" s="76" customFormat="1" ht="21.95" customHeight="1" x14ac:dyDescent="0.15"/>
    <row r="17022" s="76" customFormat="1" ht="21.95" customHeight="1" x14ac:dyDescent="0.15"/>
    <row r="17023" s="76" customFormat="1" ht="21.95" customHeight="1" x14ac:dyDescent="0.15"/>
    <row r="17024" s="76" customFormat="1" ht="21.95" customHeight="1" x14ac:dyDescent="0.15"/>
    <row r="17025" spans="3:3" customFormat="1" ht="21.95" customHeight="1" x14ac:dyDescent="0.15"/>
    <row r="17026" spans="3:3" customFormat="1" ht="21.95" customHeight="1" x14ac:dyDescent="0.15"/>
    <row r="17027" spans="3:3" customFormat="1" ht="21.95" customHeight="1" x14ac:dyDescent="0.15">
      <c r="C17027" s="94"/>
    </row>
    <row r="17028" spans="3:3" customFormat="1" ht="21.95" customHeight="1" x14ac:dyDescent="0.15">
      <c r="C17028" s="94"/>
    </row>
    <row r="17029" spans="3:3" customFormat="1" ht="21.95" customHeight="1" x14ac:dyDescent="0.15"/>
    <row r="17030" spans="3:3" customFormat="1" ht="21.95" customHeight="1" x14ac:dyDescent="0.15"/>
    <row r="17031" spans="3:3" customFormat="1" ht="21.95" customHeight="1" x14ac:dyDescent="0.15"/>
    <row r="17032" spans="3:3" customFormat="1" ht="21.95" customHeight="1" x14ac:dyDescent="0.15"/>
    <row r="17033" spans="3:3" customFormat="1" ht="21.95" customHeight="1" x14ac:dyDescent="0.15"/>
    <row r="17034" spans="3:3" customFormat="1" ht="21.95" customHeight="1" x14ac:dyDescent="0.15"/>
    <row r="17035" spans="3:3" customFormat="1" ht="21.95" customHeight="1" x14ac:dyDescent="0.15"/>
    <row r="17036" spans="3:3" s="76" customFormat="1" ht="21.95" customHeight="1" x14ac:dyDescent="0.15"/>
    <row r="17037" spans="3:3" s="76" customFormat="1" ht="21.95" customHeight="1" x14ac:dyDescent="0.15"/>
    <row r="17038" spans="3:3" s="76" customFormat="1" ht="21.95" customHeight="1" x14ac:dyDescent="0.15"/>
    <row r="17039" spans="3:3" s="76" customFormat="1" ht="21.95" customHeight="1" x14ac:dyDescent="0.15"/>
    <row r="17040" spans="3:3" customFormat="1" ht="21.95" customHeight="1" x14ac:dyDescent="0.15"/>
    <row r="17041" customFormat="1" ht="21.95" customHeight="1" x14ac:dyDescent="0.15"/>
    <row r="17042" customFormat="1" ht="21.95" customHeight="1" x14ac:dyDescent="0.15"/>
    <row r="17043" customFormat="1" ht="21.95" customHeight="1" x14ac:dyDescent="0.15"/>
    <row r="17044" customFormat="1" ht="21.95" customHeight="1" x14ac:dyDescent="0.15"/>
    <row r="17045" customFormat="1" ht="21.95" customHeight="1" x14ac:dyDescent="0.15"/>
    <row r="17046" customFormat="1" ht="21.95" customHeight="1" x14ac:dyDescent="0.15"/>
    <row r="17047" customFormat="1" ht="21.95" customHeight="1" x14ac:dyDescent="0.15"/>
    <row r="17048" customFormat="1" ht="21.95" customHeight="1" x14ac:dyDescent="0.15"/>
    <row r="17049" customFormat="1" ht="21.95" customHeight="1" x14ac:dyDescent="0.15"/>
    <row r="17050" customFormat="1" ht="21.95" customHeight="1" x14ac:dyDescent="0.15"/>
    <row r="17051" customFormat="1" ht="32.1" customHeight="1" x14ac:dyDescent="0.15"/>
    <row r="17052" customFormat="1" ht="32.1" customHeight="1" x14ac:dyDescent="0.15"/>
    <row r="17053" customFormat="1" ht="32.1" customHeight="1" x14ac:dyDescent="0.15"/>
    <row r="17054" customFormat="1" ht="32.1" customHeight="1" x14ac:dyDescent="0.15"/>
    <row r="17055" customFormat="1" ht="32.1" customHeight="1" x14ac:dyDescent="0.15"/>
    <row r="17056" customFormat="1" ht="32.1" customHeight="1" x14ac:dyDescent="0.15"/>
    <row r="17057" s="76" customFormat="1" ht="32.1" customHeight="1" x14ac:dyDescent="0.15"/>
    <row r="17058" s="76" customFormat="1" ht="32.1" customHeight="1" x14ac:dyDescent="0.15"/>
    <row r="17059" s="76" customFormat="1" ht="32.1" customHeight="1" x14ac:dyDescent="0.15"/>
    <row r="17060" s="76" customFormat="1" ht="32.1" customHeight="1" x14ac:dyDescent="0.15"/>
    <row r="17061" s="76" customFormat="1" ht="21.95" customHeight="1" x14ac:dyDescent="0.15"/>
    <row r="17062" s="76" customFormat="1" ht="54" customHeight="1" x14ac:dyDescent="0.15"/>
    <row r="17063" s="76" customFormat="1" ht="21.95" customHeight="1" x14ac:dyDescent="0.15"/>
    <row r="17064" s="76" customFormat="1" ht="21.95" customHeight="1" x14ac:dyDescent="0.15"/>
    <row r="17065" s="76" customFormat="1" ht="21.95" customHeight="1" x14ac:dyDescent="0.15"/>
    <row r="17066" s="76" customFormat="1" ht="21.95" customHeight="1" x14ac:dyDescent="0.15"/>
    <row r="17067" s="76" customFormat="1" ht="21.95" customHeight="1" x14ac:dyDescent="0.15"/>
    <row r="17068" s="76" customFormat="1" ht="21.95" customHeight="1" x14ac:dyDescent="0.15"/>
    <row r="17069" s="76" customFormat="1" ht="21.95" customHeight="1" x14ac:dyDescent="0.15"/>
    <row r="17070" s="76" customFormat="1" ht="21.95" customHeight="1" x14ac:dyDescent="0.15"/>
    <row r="17071" s="76" customFormat="1" ht="21.95" customHeight="1" x14ac:dyDescent="0.15"/>
    <row r="17072" s="76" customFormat="1" ht="21.95" customHeight="1" x14ac:dyDescent="0.15"/>
    <row r="17073" s="76" customFormat="1" ht="21.95" customHeight="1" x14ac:dyDescent="0.15"/>
    <row r="17074" s="76" customFormat="1" ht="21.95" customHeight="1" x14ac:dyDescent="0.15"/>
    <row r="17075" s="76" customFormat="1" ht="21.95" customHeight="1" x14ac:dyDescent="0.15"/>
    <row r="17076" s="76" customFormat="1" ht="21.95" customHeight="1" x14ac:dyDescent="0.15"/>
    <row r="17077" s="76" customFormat="1" ht="21.95" customHeight="1" x14ac:dyDescent="0.15"/>
    <row r="17078" s="76" customFormat="1" ht="21.95" customHeight="1" x14ac:dyDescent="0.15"/>
    <row r="17079" s="76" customFormat="1" ht="21.95" customHeight="1" x14ac:dyDescent="0.15"/>
    <row r="17080" s="76" customFormat="1" ht="21.95" customHeight="1" x14ac:dyDescent="0.15"/>
    <row r="17081" s="76" customFormat="1" ht="21.95" customHeight="1" x14ac:dyDescent="0.15"/>
    <row r="17082" s="76" customFormat="1" ht="21.95" customHeight="1" x14ac:dyDescent="0.15"/>
    <row r="17083" s="76" customFormat="1" ht="21.95" customHeight="1" x14ac:dyDescent="0.15"/>
    <row r="17084" s="76" customFormat="1" ht="21.95" customHeight="1" x14ac:dyDescent="0.15"/>
    <row r="17085" s="76" customFormat="1" ht="21.95" customHeight="1" x14ac:dyDescent="0.15"/>
    <row r="17086" s="76" customFormat="1" ht="21.95" customHeight="1" x14ac:dyDescent="0.15"/>
    <row r="17087" s="76" customFormat="1" ht="21.95" customHeight="1" x14ac:dyDescent="0.15"/>
    <row r="17088" s="76" customFormat="1" ht="21.95" customHeight="1" x14ac:dyDescent="0.15"/>
    <row r="17089" s="76" customFormat="1" ht="21.95" customHeight="1" x14ac:dyDescent="0.15"/>
    <row r="17090" s="76" customFormat="1" ht="21.95" customHeight="1" x14ac:dyDescent="0.15"/>
    <row r="17091" s="76" customFormat="1" ht="21.95" customHeight="1" x14ac:dyDescent="0.15"/>
    <row r="17092" s="76" customFormat="1" ht="21.95" customHeight="1" x14ac:dyDescent="0.15"/>
    <row r="17093" s="76" customFormat="1" ht="21.95" customHeight="1" x14ac:dyDescent="0.15"/>
    <row r="17094" s="76" customFormat="1" ht="21.95" customHeight="1" x14ac:dyDescent="0.15"/>
    <row r="17095" s="76" customFormat="1" ht="21.95" customHeight="1" x14ac:dyDescent="0.15"/>
    <row r="17096" s="76" customFormat="1" ht="21.95" customHeight="1" x14ac:dyDescent="0.15"/>
    <row r="17097" s="76" customFormat="1" ht="21.95" customHeight="1" x14ac:dyDescent="0.15"/>
    <row r="17098" s="76" customFormat="1" ht="21.95" customHeight="1" x14ac:dyDescent="0.15"/>
    <row r="17099" s="76" customFormat="1" ht="21.95" customHeight="1" x14ac:dyDescent="0.15"/>
    <row r="17100" s="76" customFormat="1" ht="21.95" customHeight="1" x14ac:dyDescent="0.15"/>
    <row r="17101" s="76" customFormat="1" ht="21.95" customHeight="1" x14ac:dyDescent="0.15"/>
    <row r="17102" s="76" customFormat="1" ht="21.95" customHeight="1" x14ac:dyDescent="0.15"/>
    <row r="17103" s="76" customFormat="1" ht="21.95" customHeight="1" x14ac:dyDescent="0.15"/>
    <row r="17104" s="76" customFormat="1" ht="21.95" customHeight="1" x14ac:dyDescent="0.15"/>
    <row r="17105" s="76" customFormat="1" ht="21.95" customHeight="1" x14ac:dyDescent="0.15"/>
    <row r="17106" s="76" customFormat="1" ht="21.95" customHeight="1" x14ac:dyDescent="0.15"/>
    <row r="17107" s="76" customFormat="1" ht="21.95" customHeight="1" x14ac:dyDescent="0.15"/>
    <row r="17108" s="76" customFormat="1" ht="21.95" customHeight="1" x14ac:dyDescent="0.15"/>
    <row r="17109" s="76" customFormat="1" ht="21.95" customHeight="1" x14ac:dyDescent="0.15"/>
    <row r="17110" s="76" customFormat="1" ht="21.95" customHeight="1" x14ac:dyDescent="0.15"/>
    <row r="17111" s="76" customFormat="1" ht="21.95" customHeight="1" x14ac:dyDescent="0.15"/>
    <row r="17112" s="76" customFormat="1" ht="21.95" customHeight="1" x14ac:dyDescent="0.15"/>
    <row r="17113" s="76" customFormat="1" ht="35.1" customHeight="1" x14ac:dyDescent="0.15"/>
    <row r="17114" s="76" customFormat="1" ht="21.95" customHeight="1" x14ac:dyDescent="0.15"/>
    <row r="17115" s="76" customFormat="1" ht="21.95" customHeight="1" x14ac:dyDescent="0.15"/>
    <row r="17116" s="76" customFormat="1" ht="21.95" customHeight="1" x14ac:dyDescent="0.15"/>
    <row r="17117" s="76" customFormat="1" ht="21.95" customHeight="1" x14ac:dyDescent="0.15"/>
    <row r="17118" s="76" customFormat="1" ht="21.95" customHeight="1" x14ac:dyDescent="0.15"/>
    <row r="17119" s="76" customFormat="1" ht="21.95" customHeight="1" x14ac:dyDescent="0.15"/>
    <row r="17120" s="76" customFormat="1" ht="21.95" customHeight="1" x14ac:dyDescent="0.15"/>
    <row r="17121" s="76" customFormat="1" ht="21.95" customHeight="1" x14ac:dyDescent="0.15"/>
    <row r="17122" s="76" customFormat="1" ht="21.95" customHeight="1" x14ac:dyDescent="0.15"/>
    <row r="17123" s="76" customFormat="1" ht="21.95" customHeight="1" x14ac:dyDescent="0.15"/>
    <row r="17124" s="76" customFormat="1" ht="21.95" customHeight="1" x14ac:dyDescent="0.15"/>
    <row r="17125" s="76" customFormat="1" ht="21.95" customHeight="1" x14ac:dyDescent="0.15"/>
    <row r="17126" s="76" customFormat="1" ht="21.95" customHeight="1" x14ac:dyDescent="0.15"/>
    <row r="17127" s="76" customFormat="1" ht="21.95" customHeight="1" x14ac:dyDescent="0.15"/>
    <row r="17128" s="76" customFormat="1" ht="21.95" customHeight="1" x14ac:dyDescent="0.15"/>
    <row r="17129" s="76" customFormat="1" ht="21.95" customHeight="1" x14ac:dyDescent="0.15"/>
    <row r="17130" s="76" customFormat="1" ht="21.95" customHeight="1" x14ac:dyDescent="0.15"/>
    <row r="17131" s="76" customFormat="1" ht="21.95" customHeight="1" x14ac:dyDescent="0.15"/>
    <row r="17132" s="76" customFormat="1" ht="21.95" customHeight="1" x14ac:dyDescent="0.15"/>
    <row r="17133" s="76" customFormat="1" ht="21.95" customHeight="1" x14ac:dyDescent="0.15"/>
    <row r="17134" s="76" customFormat="1" ht="21.95" customHeight="1" x14ac:dyDescent="0.15"/>
    <row r="17135" s="76" customFormat="1" ht="21.95" customHeight="1" x14ac:dyDescent="0.15"/>
    <row r="17136" s="76" customFormat="1" ht="21.95" customHeight="1" x14ac:dyDescent="0.15"/>
    <row r="17137" spans="3:3" customFormat="1" ht="21.95" customHeight="1" x14ac:dyDescent="0.15"/>
    <row r="17138" spans="3:3" customFormat="1" ht="21.95" customHeight="1" x14ac:dyDescent="0.15"/>
    <row r="17139" spans="3:3" customFormat="1" ht="21.95" customHeight="1" x14ac:dyDescent="0.15">
      <c r="C17139" s="94"/>
    </row>
    <row r="17140" spans="3:3" customFormat="1" ht="21.95" customHeight="1" x14ac:dyDescent="0.15">
      <c r="C17140" s="94"/>
    </row>
    <row r="17141" spans="3:3" customFormat="1" ht="21.95" customHeight="1" x14ac:dyDescent="0.15"/>
    <row r="17142" spans="3:3" customFormat="1" ht="21.95" customHeight="1" x14ac:dyDescent="0.15"/>
    <row r="17143" spans="3:3" customFormat="1" ht="21.95" customHeight="1" x14ac:dyDescent="0.15"/>
    <row r="17144" spans="3:3" customFormat="1" ht="21.95" customHeight="1" x14ac:dyDescent="0.15"/>
    <row r="17145" spans="3:3" customFormat="1" ht="21.95" customHeight="1" x14ac:dyDescent="0.15"/>
    <row r="17146" spans="3:3" customFormat="1" ht="21.95" customHeight="1" x14ac:dyDescent="0.15"/>
    <row r="17147" spans="3:3" customFormat="1" ht="21.95" customHeight="1" x14ac:dyDescent="0.15"/>
    <row r="17148" spans="3:3" s="76" customFormat="1" ht="21.95" customHeight="1" x14ac:dyDescent="0.15"/>
    <row r="17149" spans="3:3" s="76" customFormat="1" ht="21.95" customHeight="1" x14ac:dyDescent="0.15"/>
    <row r="17150" spans="3:3" s="76" customFormat="1" ht="21.95" customHeight="1" x14ac:dyDescent="0.15"/>
    <row r="17151" spans="3:3" s="76" customFormat="1" ht="21.95" customHeight="1" x14ac:dyDescent="0.15"/>
    <row r="17152" spans="3:3" customFormat="1" ht="21.95" customHeight="1" x14ac:dyDescent="0.15"/>
    <row r="17153" customFormat="1" ht="21.95" customHeight="1" x14ac:dyDescent="0.15"/>
    <row r="17154" customFormat="1" ht="21.95" customHeight="1" x14ac:dyDescent="0.15"/>
    <row r="17155" customFormat="1" ht="21.95" customHeight="1" x14ac:dyDescent="0.15"/>
    <row r="17156" customFormat="1" ht="21.95" customHeight="1" x14ac:dyDescent="0.15"/>
    <row r="17157" customFormat="1" ht="21.95" customHeight="1" x14ac:dyDescent="0.15"/>
    <row r="17158" customFormat="1" ht="21.95" customHeight="1" x14ac:dyDescent="0.15"/>
    <row r="17159" customFormat="1" ht="21.95" customHeight="1" x14ac:dyDescent="0.15"/>
    <row r="17160" customFormat="1" ht="21.95" customHeight="1" x14ac:dyDescent="0.15"/>
    <row r="17161" customFormat="1" ht="21.95" customHeight="1" x14ac:dyDescent="0.15"/>
    <row r="17162" customFormat="1" ht="21.95" customHeight="1" x14ac:dyDescent="0.15"/>
    <row r="17163" customFormat="1" ht="32.1" customHeight="1" x14ac:dyDescent="0.15"/>
    <row r="17164" customFormat="1" ht="32.1" customHeight="1" x14ac:dyDescent="0.15"/>
    <row r="17165" customFormat="1" ht="32.1" customHeight="1" x14ac:dyDescent="0.15"/>
    <row r="17166" customFormat="1" ht="32.1" customHeight="1" x14ac:dyDescent="0.15"/>
    <row r="17167" customFormat="1" ht="32.1" customHeight="1" x14ac:dyDescent="0.15"/>
    <row r="17168" customFormat="1" ht="32.1" customHeight="1" x14ac:dyDescent="0.15"/>
    <row r="17169" s="76" customFormat="1" ht="32.1" customHeight="1" x14ac:dyDescent="0.15"/>
    <row r="17170" s="76" customFormat="1" ht="32.1" customHeight="1" x14ac:dyDescent="0.15"/>
    <row r="17171" s="76" customFormat="1" ht="32.1" customHeight="1" x14ac:dyDescent="0.15"/>
    <row r="17172" s="76" customFormat="1" ht="32.1" customHeight="1" x14ac:dyDescent="0.15"/>
    <row r="17173" s="76" customFormat="1" ht="21.95" customHeight="1" x14ac:dyDescent="0.15"/>
    <row r="17174" s="76" customFormat="1" ht="54" customHeight="1" x14ac:dyDescent="0.15"/>
    <row r="17175" s="76" customFormat="1" ht="21.95" customHeight="1" x14ac:dyDescent="0.15"/>
    <row r="17176" s="76" customFormat="1" ht="21.95" customHeight="1" x14ac:dyDescent="0.15"/>
    <row r="17177" s="76" customFormat="1" ht="21.95" customHeight="1" x14ac:dyDescent="0.15"/>
    <row r="17178" s="76" customFormat="1" ht="21.95" customHeight="1" x14ac:dyDescent="0.15"/>
    <row r="17179" s="76" customFormat="1" ht="21.95" customHeight="1" x14ac:dyDescent="0.15"/>
    <row r="17180" s="76" customFormat="1" ht="21.95" customHeight="1" x14ac:dyDescent="0.15"/>
    <row r="17181" s="76" customFormat="1" ht="21.95" customHeight="1" x14ac:dyDescent="0.15"/>
    <row r="17182" s="76" customFormat="1" ht="21.95" customHeight="1" x14ac:dyDescent="0.15"/>
    <row r="17183" s="76" customFormat="1" ht="21.95" customHeight="1" x14ac:dyDescent="0.15"/>
    <row r="17184" s="76" customFormat="1" ht="21.95" customHeight="1" x14ac:dyDescent="0.15"/>
    <row r="17185" s="76" customFormat="1" ht="21.95" customHeight="1" x14ac:dyDescent="0.15"/>
    <row r="17186" s="76" customFormat="1" ht="21.95" customHeight="1" x14ac:dyDescent="0.15"/>
    <row r="17187" s="76" customFormat="1" ht="21.95" customHeight="1" x14ac:dyDescent="0.15"/>
    <row r="17188" s="76" customFormat="1" ht="21.95" customHeight="1" x14ac:dyDescent="0.15"/>
    <row r="17189" s="76" customFormat="1" ht="21.95" customHeight="1" x14ac:dyDescent="0.15"/>
    <row r="17190" s="76" customFormat="1" ht="21.95" customHeight="1" x14ac:dyDescent="0.15"/>
    <row r="17191" s="76" customFormat="1" ht="21.95" customHeight="1" x14ac:dyDescent="0.15"/>
    <row r="17192" s="76" customFormat="1" ht="21.95" customHeight="1" x14ac:dyDescent="0.15"/>
    <row r="17193" s="76" customFormat="1" ht="21.95" customHeight="1" x14ac:dyDescent="0.15"/>
    <row r="17194" s="76" customFormat="1" ht="21.95" customHeight="1" x14ac:dyDescent="0.15"/>
    <row r="17195" s="76" customFormat="1" ht="21.95" customHeight="1" x14ac:dyDescent="0.15"/>
    <row r="17196" s="76" customFormat="1" ht="21.95" customHeight="1" x14ac:dyDescent="0.15"/>
    <row r="17197" s="76" customFormat="1" ht="21.95" customHeight="1" x14ac:dyDescent="0.15"/>
    <row r="17198" s="76" customFormat="1" ht="21.95" customHeight="1" x14ac:dyDescent="0.15"/>
    <row r="17199" s="76" customFormat="1" ht="21.95" customHeight="1" x14ac:dyDescent="0.15"/>
    <row r="17200" s="76" customFormat="1" ht="21.95" customHeight="1" x14ac:dyDescent="0.15"/>
    <row r="17201" s="76" customFormat="1" ht="21.95" customHeight="1" x14ac:dyDescent="0.15"/>
    <row r="17202" s="76" customFormat="1" ht="21.95" customHeight="1" x14ac:dyDescent="0.15"/>
    <row r="17203" s="76" customFormat="1" ht="21.95" customHeight="1" x14ac:dyDescent="0.15"/>
    <row r="17204" s="76" customFormat="1" ht="21.95" customHeight="1" x14ac:dyDescent="0.15"/>
    <row r="17205" s="76" customFormat="1" ht="21.95" customHeight="1" x14ac:dyDescent="0.15"/>
    <row r="17206" s="76" customFormat="1" ht="21.95" customHeight="1" x14ac:dyDescent="0.15"/>
    <row r="17207" s="76" customFormat="1" ht="21.95" customHeight="1" x14ac:dyDescent="0.15"/>
    <row r="17208" s="76" customFormat="1" ht="21.95" customHeight="1" x14ac:dyDescent="0.15"/>
    <row r="17209" s="76" customFormat="1" ht="21.95" customHeight="1" x14ac:dyDescent="0.15"/>
    <row r="17210" s="76" customFormat="1" ht="21.95" customHeight="1" x14ac:dyDescent="0.15"/>
    <row r="17211" s="76" customFormat="1" ht="21.95" customHeight="1" x14ac:dyDescent="0.15"/>
    <row r="17212" s="76" customFormat="1" ht="21.95" customHeight="1" x14ac:dyDescent="0.15"/>
    <row r="17213" s="76" customFormat="1" ht="21.95" customHeight="1" x14ac:dyDescent="0.15"/>
    <row r="17214" s="76" customFormat="1" ht="21.95" customHeight="1" x14ac:dyDescent="0.15"/>
    <row r="17215" s="76" customFormat="1" ht="21.95" customHeight="1" x14ac:dyDescent="0.15"/>
    <row r="17216" s="76" customFormat="1" ht="21.95" customHeight="1" x14ac:dyDescent="0.15"/>
    <row r="17217" s="76" customFormat="1" ht="21.95" customHeight="1" x14ac:dyDescent="0.15"/>
    <row r="17218" s="76" customFormat="1" ht="21.95" customHeight="1" x14ac:dyDescent="0.15"/>
    <row r="17219" s="76" customFormat="1" ht="21.95" customHeight="1" x14ac:dyDescent="0.15"/>
    <row r="17220" s="76" customFormat="1" ht="21.95" customHeight="1" x14ac:dyDescent="0.15"/>
    <row r="17221" s="76" customFormat="1" ht="21.95" customHeight="1" x14ac:dyDescent="0.15"/>
    <row r="17222" s="76" customFormat="1" ht="21.95" customHeight="1" x14ac:dyDescent="0.15"/>
    <row r="17223" s="76" customFormat="1" ht="21.95" customHeight="1" x14ac:dyDescent="0.15"/>
    <row r="17224" s="76" customFormat="1" ht="21.95" customHeight="1" x14ac:dyDescent="0.15"/>
    <row r="17225" s="76" customFormat="1" ht="35.1" customHeight="1" x14ac:dyDescent="0.15"/>
    <row r="17226" s="76" customFormat="1" ht="21.95" customHeight="1" x14ac:dyDescent="0.15"/>
    <row r="17227" s="76" customFormat="1" ht="21.95" customHeight="1" x14ac:dyDescent="0.15"/>
    <row r="17228" s="76" customFormat="1" ht="21.95" customHeight="1" x14ac:dyDescent="0.15"/>
    <row r="17229" s="76" customFormat="1" ht="21.95" customHeight="1" x14ac:dyDescent="0.15"/>
    <row r="17230" s="76" customFormat="1" ht="21.95" customHeight="1" x14ac:dyDescent="0.15"/>
    <row r="17231" s="76" customFormat="1" ht="21.95" customHeight="1" x14ac:dyDescent="0.15"/>
    <row r="17232" s="76" customFormat="1" ht="21.95" customHeight="1" x14ac:dyDescent="0.15"/>
    <row r="17233" s="76" customFormat="1" ht="21.95" customHeight="1" x14ac:dyDescent="0.15"/>
    <row r="17234" s="76" customFormat="1" ht="21.95" customHeight="1" x14ac:dyDescent="0.15"/>
    <row r="17235" s="76" customFormat="1" ht="21.95" customHeight="1" x14ac:dyDescent="0.15"/>
    <row r="17236" s="76" customFormat="1" ht="21.95" customHeight="1" x14ac:dyDescent="0.15"/>
    <row r="17237" s="76" customFormat="1" ht="21.95" customHeight="1" x14ac:dyDescent="0.15"/>
    <row r="17238" s="76" customFormat="1" ht="21.95" customHeight="1" x14ac:dyDescent="0.15"/>
    <row r="17239" s="76" customFormat="1" ht="21.95" customHeight="1" x14ac:dyDescent="0.15"/>
    <row r="17240" s="76" customFormat="1" ht="21.95" customHeight="1" x14ac:dyDescent="0.15"/>
    <row r="17241" s="76" customFormat="1" ht="21.95" customHeight="1" x14ac:dyDescent="0.15"/>
    <row r="17242" s="76" customFormat="1" ht="21.95" customHeight="1" x14ac:dyDescent="0.15"/>
    <row r="17243" s="76" customFormat="1" ht="21.95" customHeight="1" x14ac:dyDescent="0.15"/>
    <row r="17244" s="76" customFormat="1" ht="21.95" customHeight="1" x14ac:dyDescent="0.15"/>
    <row r="17245" s="76" customFormat="1" ht="21.95" customHeight="1" x14ac:dyDescent="0.15"/>
    <row r="17246" s="76" customFormat="1" ht="21.95" customHeight="1" x14ac:dyDescent="0.15"/>
    <row r="17247" s="76" customFormat="1" ht="21.95" customHeight="1" x14ac:dyDescent="0.15"/>
    <row r="17248" s="76" customFormat="1" ht="21.95" customHeight="1" x14ac:dyDescent="0.15"/>
    <row r="17249" spans="3:3" customFormat="1" ht="21.95" customHeight="1" x14ac:dyDescent="0.15"/>
    <row r="17250" spans="3:3" customFormat="1" ht="21.95" customHeight="1" x14ac:dyDescent="0.15"/>
    <row r="17251" spans="3:3" customFormat="1" ht="21.95" customHeight="1" x14ac:dyDescent="0.15">
      <c r="C17251" s="94"/>
    </row>
    <row r="17252" spans="3:3" customFormat="1" ht="21.95" customHeight="1" x14ac:dyDescent="0.15">
      <c r="C17252" s="94"/>
    </row>
    <row r="17253" spans="3:3" customFormat="1" ht="21.95" customHeight="1" x14ac:dyDescent="0.15"/>
    <row r="17254" spans="3:3" customFormat="1" ht="21.95" customHeight="1" x14ac:dyDescent="0.15"/>
    <row r="17255" spans="3:3" customFormat="1" ht="21.95" customHeight="1" x14ac:dyDescent="0.15"/>
    <row r="17256" spans="3:3" customFormat="1" ht="21.95" customHeight="1" x14ac:dyDescent="0.15"/>
    <row r="17257" spans="3:3" customFormat="1" ht="21.95" customHeight="1" x14ac:dyDescent="0.15"/>
    <row r="17258" spans="3:3" customFormat="1" ht="21.95" customHeight="1" x14ac:dyDescent="0.15"/>
    <row r="17259" spans="3:3" customFormat="1" ht="21.95" customHeight="1" x14ac:dyDescent="0.15"/>
    <row r="17260" spans="3:3" s="76" customFormat="1" ht="21.95" customHeight="1" x14ac:dyDescent="0.15"/>
    <row r="17261" spans="3:3" s="76" customFormat="1" ht="21.95" customHeight="1" x14ac:dyDescent="0.15"/>
    <row r="17262" spans="3:3" s="76" customFormat="1" ht="21.95" customHeight="1" x14ac:dyDescent="0.15"/>
    <row r="17263" spans="3:3" s="76" customFormat="1" ht="21.95" customHeight="1" x14ac:dyDescent="0.15"/>
    <row r="17264" spans="3:3" customFormat="1" ht="21.95" customHeight="1" x14ac:dyDescent="0.15"/>
    <row r="17265" customFormat="1" ht="21.95" customHeight="1" x14ac:dyDescent="0.15"/>
    <row r="17266" customFormat="1" ht="21.95" customHeight="1" x14ac:dyDescent="0.15"/>
    <row r="17267" customFormat="1" ht="21.95" customHeight="1" x14ac:dyDescent="0.15"/>
    <row r="17268" customFormat="1" ht="21.95" customHeight="1" x14ac:dyDescent="0.15"/>
    <row r="17269" customFormat="1" ht="21.95" customHeight="1" x14ac:dyDescent="0.15"/>
    <row r="17270" customFormat="1" ht="21.95" customHeight="1" x14ac:dyDescent="0.15"/>
    <row r="17271" customFormat="1" ht="21.95" customHeight="1" x14ac:dyDescent="0.15"/>
    <row r="17272" customFormat="1" ht="21.95" customHeight="1" x14ac:dyDescent="0.15"/>
    <row r="17273" customFormat="1" ht="21.95" customHeight="1" x14ac:dyDescent="0.15"/>
    <row r="17274" customFormat="1" ht="21.95" customHeight="1" x14ac:dyDescent="0.15"/>
    <row r="17275" customFormat="1" ht="32.1" customHeight="1" x14ac:dyDescent="0.15"/>
    <row r="17276" customFormat="1" ht="32.1" customHeight="1" x14ac:dyDescent="0.15"/>
    <row r="17277" customFormat="1" ht="32.1" customHeight="1" x14ac:dyDescent="0.15"/>
    <row r="17278" customFormat="1" ht="32.1" customHeight="1" x14ac:dyDescent="0.15"/>
    <row r="17279" customFormat="1" ht="32.1" customHeight="1" x14ac:dyDescent="0.15"/>
    <row r="17280" customFormat="1" ht="32.1" customHeight="1" x14ac:dyDescent="0.15"/>
    <row r="17281" s="76" customFormat="1" ht="32.1" customHeight="1" x14ac:dyDescent="0.15"/>
    <row r="17282" s="76" customFormat="1" ht="32.1" customHeight="1" x14ac:dyDescent="0.15"/>
    <row r="17283" s="76" customFormat="1" ht="32.1" customHeight="1" x14ac:dyDescent="0.15"/>
    <row r="17284" s="76" customFormat="1" ht="32.1" customHeight="1" x14ac:dyDescent="0.15"/>
    <row r="17285" s="76" customFormat="1" ht="21.95" customHeight="1" x14ac:dyDescent="0.15"/>
    <row r="17286" s="76" customFormat="1" ht="54" customHeight="1" x14ac:dyDescent="0.15"/>
    <row r="17287" s="76" customFormat="1" ht="21.95" customHeight="1" x14ac:dyDescent="0.15"/>
    <row r="17288" s="76" customFormat="1" ht="21.95" customHeight="1" x14ac:dyDescent="0.15"/>
    <row r="17289" s="76" customFormat="1" ht="21.95" customHeight="1" x14ac:dyDescent="0.15"/>
    <row r="17290" s="76" customFormat="1" ht="21.95" customHeight="1" x14ac:dyDescent="0.15"/>
    <row r="17291" s="76" customFormat="1" ht="21.95" customHeight="1" x14ac:dyDescent="0.15"/>
    <row r="17292" s="76" customFormat="1" ht="21.95" customHeight="1" x14ac:dyDescent="0.15"/>
    <row r="17293" s="76" customFormat="1" ht="21.95" customHeight="1" x14ac:dyDescent="0.15"/>
    <row r="17294" s="76" customFormat="1" ht="21.95" customHeight="1" x14ac:dyDescent="0.15"/>
    <row r="17295" s="76" customFormat="1" ht="21.95" customHeight="1" x14ac:dyDescent="0.15"/>
    <row r="17296" s="76" customFormat="1" ht="21.95" customHeight="1" x14ac:dyDescent="0.15"/>
    <row r="17297" s="76" customFormat="1" ht="21.95" customHeight="1" x14ac:dyDescent="0.15"/>
    <row r="17298" s="76" customFormat="1" ht="21.95" customHeight="1" x14ac:dyDescent="0.15"/>
    <row r="17299" s="76" customFormat="1" ht="21.95" customHeight="1" x14ac:dyDescent="0.15"/>
    <row r="17300" s="76" customFormat="1" ht="21.95" customHeight="1" x14ac:dyDescent="0.15"/>
    <row r="17301" s="76" customFormat="1" ht="21.95" customHeight="1" x14ac:dyDescent="0.15"/>
    <row r="17302" s="76" customFormat="1" ht="21.95" customHeight="1" x14ac:dyDescent="0.15"/>
    <row r="17303" s="76" customFormat="1" ht="21.95" customHeight="1" x14ac:dyDescent="0.15"/>
    <row r="17304" s="76" customFormat="1" ht="21.95" customHeight="1" x14ac:dyDescent="0.15"/>
    <row r="17305" s="76" customFormat="1" ht="21.95" customHeight="1" x14ac:dyDescent="0.15"/>
    <row r="17306" s="76" customFormat="1" ht="21.95" customHeight="1" x14ac:dyDescent="0.15"/>
    <row r="17307" s="76" customFormat="1" ht="21.95" customHeight="1" x14ac:dyDescent="0.15"/>
    <row r="17308" s="76" customFormat="1" ht="21.95" customHeight="1" x14ac:dyDescent="0.15"/>
    <row r="17309" s="76" customFormat="1" ht="21.95" customHeight="1" x14ac:dyDescent="0.15"/>
    <row r="17310" s="76" customFormat="1" ht="21.95" customHeight="1" x14ac:dyDescent="0.15"/>
    <row r="17311" s="76" customFormat="1" ht="21.95" customHeight="1" x14ac:dyDescent="0.15"/>
    <row r="17312" s="76" customFormat="1" ht="21.95" customHeight="1" x14ac:dyDescent="0.15"/>
    <row r="17313" s="76" customFormat="1" ht="21.95" customHeight="1" x14ac:dyDescent="0.15"/>
    <row r="17314" s="76" customFormat="1" ht="21.95" customHeight="1" x14ac:dyDescent="0.15"/>
    <row r="17315" s="76" customFormat="1" ht="21.95" customHeight="1" x14ac:dyDescent="0.15"/>
    <row r="17316" s="76" customFormat="1" ht="21.95" customHeight="1" x14ac:dyDescent="0.15"/>
    <row r="17317" s="76" customFormat="1" ht="21.95" customHeight="1" x14ac:dyDescent="0.15"/>
    <row r="17318" s="76" customFormat="1" ht="21.95" customHeight="1" x14ac:dyDescent="0.15"/>
    <row r="17319" s="76" customFormat="1" ht="21.95" customHeight="1" x14ac:dyDescent="0.15"/>
    <row r="17320" s="76" customFormat="1" ht="21.95" customHeight="1" x14ac:dyDescent="0.15"/>
    <row r="17321" s="76" customFormat="1" ht="21.95" customHeight="1" x14ac:dyDescent="0.15"/>
    <row r="17322" s="76" customFormat="1" ht="21.95" customHeight="1" x14ac:dyDescent="0.15"/>
    <row r="17323" s="76" customFormat="1" ht="21.95" customHeight="1" x14ac:dyDescent="0.15"/>
    <row r="17324" s="76" customFormat="1" ht="21.95" customHeight="1" x14ac:dyDescent="0.15"/>
    <row r="17325" s="76" customFormat="1" ht="21.95" customHeight="1" x14ac:dyDescent="0.15"/>
    <row r="17326" s="76" customFormat="1" ht="21.95" customHeight="1" x14ac:dyDescent="0.15"/>
    <row r="17327" s="76" customFormat="1" ht="21.95" customHeight="1" x14ac:dyDescent="0.15"/>
    <row r="17328" s="76" customFormat="1" ht="21.95" customHeight="1" x14ac:dyDescent="0.15"/>
    <row r="17329" s="76" customFormat="1" ht="21.95" customHeight="1" x14ac:dyDescent="0.15"/>
    <row r="17330" s="76" customFormat="1" ht="21.95" customHeight="1" x14ac:dyDescent="0.15"/>
    <row r="17331" s="76" customFormat="1" ht="21.95" customHeight="1" x14ac:dyDescent="0.15"/>
    <row r="17332" s="76" customFormat="1" ht="21.95" customHeight="1" x14ac:dyDescent="0.15"/>
    <row r="17333" s="76" customFormat="1" ht="21.95" customHeight="1" x14ac:dyDescent="0.15"/>
    <row r="17334" s="76" customFormat="1" ht="21.95" customHeight="1" x14ac:dyDescent="0.15"/>
    <row r="17335" s="76" customFormat="1" ht="21.95" customHeight="1" x14ac:dyDescent="0.15"/>
    <row r="17336" s="76" customFormat="1" ht="21.95" customHeight="1" x14ac:dyDescent="0.15"/>
    <row r="17337" s="76" customFormat="1" ht="35.1" customHeight="1" x14ac:dyDescent="0.15"/>
    <row r="17338" s="76" customFormat="1" ht="21.95" customHeight="1" x14ac:dyDescent="0.15"/>
    <row r="17339" s="76" customFormat="1" ht="21.95" customHeight="1" x14ac:dyDescent="0.15"/>
    <row r="17340" s="76" customFormat="1" ht="21.95" customHeight="1" x14ac:dyDescent="0.15"/>
    <row r="17341" s="76" customFormat="1" ht="21.95" customHeight="1" x14ac:dyDescent="0.15"/>
    <row r="17342" s="76" customFormat="1" ht="21.95" customHeight="1" x14ac:dyDescent="0.15"/>
    <row r="17343" s="76" customFormat="1" ht="21.95" customHeight="1" x14ac:dyDescent="0.15"/>
    <row r="17344" s="76" customFormat="1" ht="21.95" customHeight="1" x14ac:dyDescent="0.15"/>
    <row r="17345" s="76" customFormat="1" ht="21.95" customHeight="1" x14ac:dyDescent="0.15"/>
    <row r="17346" s="76" customFormat="1" ht="21.95" customHeight="1" x14ac:dyDescent="0.15"/>
    <row r="17347" s="76" customFormat="1" ht="21.95" customHeight="1" x14ac:dyDescent="0.15"/>
    <row r="17348" s="76" customFormat="1" ht="21.95" customHeight="1" x14ac:dyDescent="0.15"/>
    <row r="17349" s="76" customFormat="1" ht="21.95" customHeight="1" x14ac:dyDescent="0.15"/>
    <row r="17350" s="76" customFormat="1" ht="21.95" customHeight="1" x14ac:dyDescent="0.15"/>
    <row r="17351" s="76" customFormat="1" ht="21.95" customHeight="1" x14ac:dyDescent="0.15"/>
    <row r="17352" s="76" customFormat="1" ht="21.95" customHeight="1" x14ac:dyDescent="0.15"/>
    <row r="17353" s="76" customFormat="1" ht="21.95" customHeight="1" x14ac:dyDescent="0.15"/>
    <row r="17354" s="76" customFormat="1" ht="21.95" customHeight="1" x14ac:dyDescent="0.15"/>
    <row r="17355" s="76" customFormat="1" ht="21.95" customHeight="1" x14ac:dyDescent="0.15"/>
    <row r="17356" s="76" customFormat="1" ht="21.95" customHeight="1" x14ac:dyDescent="0.15"/>
    <row r="17357" s="76" customFormat="1" ht="21.95" customHeight="1" x14ac:dyDescent="0.15"/>
    <row r="17358" s="76" customFormat="1" ht="21.95" customHeight="1" x14ac:dyDescent="0.15"/>
    <row r="17359" s="76" customFormat="1" ht="21.95" customHeight="1" x14ac:dyDescent="0.15"/>
    <row r="17360" s="76" customFormat="1" ht="21.95" customHeight="1" x14ac:dyDescent="0.15"/>
    <row r="17361" spans="3:3" customFormat="1" ht="21.95" customHeight="1" x14ac:dyDescent="0.15"/>
    <row r="17362" spans="3:3" customFormat="1" ht="21.95" customHeight="1" x14ac:dyDescent="0.15"/>
    <row r="17363" spans="3:3" customFormat="1" ht="21.95" customHeight="1" x14ac:dyDescent="0.15">
      <c r="C17363" s="94"/>
    </row>
    <row r="17364" spans="3:3" customFormat="1" ht="21.95" customHeight="1" x14ac:dyDescent="0.15">
      <c r="C17364" s="94"/>
    </row>
    <row r="17365" spans="3:3" customFormat="1" ht="21.95" customHeight="1" x14ac:dyDescent="0.15"/>
    <row r="17366" spans="3:3" customFormat="1" ht="21.95" customHeight="1" x14ac:dyDescent="0.15"/>
    <row r="17367" spans="3:3" customFormat="1" ht="21.95" customHeight="1" x14ac:dyDescent="0.15"/>
    <row r="17368" spans="3:3" customFormat="1" ht="21.95" customHeight="1" x14ac:dyDescent="0.15"/>
    <row r="17369" spans="3:3" customFormat="1" ht="21.95" customHeight="1" x14ac:dyDescent="0.15"/>
    <row r="17370" spans="3:3" customFormat="1" ht="21.95" customHeight="1" x14ac:dyDescent="0.15"/>
    <row r="17371" spans="3:3" customFormat="1" ht="21.95" customHeight="1" x14ac:dyDescent="0.15"/>
    <row r="17372" spans="3:3" s="76" customFormat="1" ht="21.95" customHeight="1" x14ac:dyDescent="0.15"/>
    <row r="17373" spans="3:3" s="76" customFormat="1" ht="21.95" customHeight="1" x14ac:dyDescent="0.15"/>
    <row r="17374" spans="3:3" s="76" customFormat="1" ht="21.95" customHeight="1" x14ac:dyDescent="0.15"/>
    <row r="17375" spans="3:3" s="76" customFormat="1" ht="21.95" customHeight="1" x14ac:dyDescent="0.15"/>
    <row r="17376" spans="3:3" customFormat="1" ht="21.95" customHeight="1" x14ac:dyDescent="0.15"/>
    <row r="17377" customFormat="1" ht="21.95" customHeight="1" x14ac:dyDescent="0.15"/>
    <row r="17378" customFormat="1" ht="21.95" customHeight="1" x14ac:dyDescent="0.15"/>
    <row r="17379" customFormat="1" ht="21.95" customHeight="1" x14ac:dyDescent="0.15"/>
    <row r="17380" customFormat="1" ht="21.95" customHeight="1" x14ac:dyDescent="0.15"/>
    <row r="17381" customFormat="1" ht="21.95" customHeight="1" x14ac:dyDescent="0.15"/>
    <row r="17382" customFormat="1" ht="21.95" customHeight="1" x14ac:dyDescent="0.15"/>
    <row r="17383" customFormat="1" ht="21.95" customHeight="1" x14ac:dyDescent="0.15"/>
    <row r="17384" customFormat="1" ht="21.95" customHeight="1" x14ac:dyDescent="0.15"/>
    <row r="17385" customFormat="1" ht="21.95" customHeight="1" x14ac:dyDescent="0.15"/>
    <row r="17386" customFormat="1" ht="21.95" customHeight="1" x14ac:dyDescent="0.15"/>
    <row r="17387" customFormat="1" ht="32.1" customHeight="1" x14ac:dyDescent="0.15"/>
    <row r="17388" customFormat="1" ht="32.1" customHeight="1" x14ac:dyDescent="0.15"/>
    <row r="17389" customFormat="1" ht="32.1" customHeight="1" x14ac:dyDescent="0.15"/>
    <row r="17390" customFormat="1" ht="32.1" customHeight="1" x14ac:dyDescent="0.15"/>
    <row r="17391" customFormat="1" ht="32.1" customHeight="1" x14ac:dyDescent="0.15"/>
    <row r="17392" customFormat="1" ht="32.1" customHeight="1" x14ac:dyDescent="0.15"/>
    <row r="17393" s="76" customFormat="1" ht="32.1" customHeight="1" x14ac:dyDescent="0.15"/>
    <row r="17394" s="76" customFormat="1" ht="32.1" customHeight="1" x14ac:dyDescent="0.15"/>
    <row r="17395" s="76" customFormat="1" ht="32.1" customHeight="1" x14ac:dyDescent="0.15"/>
    <row r="17396" s="76" customFormat="1" ht="32.1" customHeight="1" x14ac:dyDescent="0.15"/>
    <row r="17397" s="76" customFormat="1" ht="21.95" customHeight="1" x14ac:dyDescent="0.15"/>
    <row r="17398" s="76" customFormat="1" ht="54" customHeight="1" x14ac:dyDescent="0.15"/>
    <row r="17399" s="76" customFormat="1" ht="21.95" customHeight="1" x14ac:dyDescent="0.15"/>
    <row r="17400" s="76" customFormat="1" ht="21.95" customHeight="1" x14ac:dyDescent="0.15"/>
    <row r="17401" s="76" customFormat="1" ht="21.95" customHeight="1" x14ac:dyDescent="0.15"/>
    <row r="17402" s="76" customFormat="1" ht="21.95" customHeight="1" x14ac:dyDescent="0.15"/>
    <row r="17403" s="76" customFormat="1" ht="21.95" customHeight="1" x14ac:dyDescent="0.15"/>
    <row r="17404" s="76" customFormat="1" ht="21.95" customHeight="1" x14ac:dyDescent="0.15"/>
    <row r="17405" s="76" customFormat="1" ht="21.95" customHeight="1" x14ac:dyDescent="0.15"/>
    <row r="17406" s="76" customFormat="1" ht="21.95" customHeight="1" x14ac:dyDescent="0.15"/>
    <row r="17407" s="76" customFormat="1" ht="21.95" customHeight="1" x14ac:dyDescent="0.15"/>
    <row r="17408" s="76" customFormat="1" ht="21.95" customHeight="1" x14ac:dyDescent="0.15"/>
    <row r="17409" s="76" customFormat="1" ht="21.95" customHeight="1" x14ac:dyDescent="0.15"/>
    <row r="17410" s="76" customFormat="1" ht="21.95" customHeight="1" x14ac:dyDescent="0.15"/>
    <row r="17411" s="76" customFormat="1" ht="21.95" customHeight="1" x14ac:dyDescent="0.15"/>
    <row r="17412" s="76" customFormat="1" ht="21.95" customHeight="1" x14ac:dyDescent="0.15"/>
    <row r="17413" s="76" customFormat="1" ht="21.95" customHeight="1" x14ac:dyDescent="0.15"/>
    <row r="17414" s="76" customFormat="1" ht="21.95" customHeight="1" x14ac:dyDescent="0.15"/>
    <row r="17415" s="76" customFormat="1" ht="21.95" customHeight="1" x14ac:dyDescent="0.15"/>
    <row r="17416" s="76" customFormat="1" ht="21.95" customHeight="1" x14ac:dyDescent="0.15"/>
    <row r="17417" s="76" customFormat="1" ht="21.95" customHeight="1" x14ac:dyDescent="0.15"/>
    <row r="17418" s="76" customFormat="1" ht="21.95" customHeight="1" x14ac:dyDescent="0.15"/>
    <row r="17419" s="76" customFormat="1" ht="21.95" customHeight="1" x14ac:dyDescent="0.15"/>
    <row r="17420" s="76" customFormat="1" ht="21.95" customHeight="1" x14ac:dyDescent="0.15"/>
    <row r="17421" s="76" customFormat="1" ht="21.95" customHeight="1" x14ac:dyDescent="0.15"/>
    <row r="17422" s="76" customFormat="1" ht="21.95" customHeight="1" x14ac:dyDescent="0.15"/>
    <row r="17423" s="76" customFormat="1" ht="21.95" customHeight="1" x14ac:dyDescent="0.15"/>
    <row r="17424" s="76" customFormat="1" ht="21.95" customHeight="1" x14ac:dyDescent="0.15"/>
    <row r="17425" s="76" customFormat="1" ht="21.95" customHeight="1" x14ac:dyDescent="0.15"/>
    <row r="17426" s="76" customFormat="1" ht="21.95" customHeight="1" x14ac:dyDescent="0.15"/>
    <row r="17427" s="76" customFormat="1" ht="21.95" customHeight="1" x14ac:dyDescent="0.15"/>
    <row r="17428" s="76" customFormat="1" ht="21.95" customHeight="1" x14ac:dyDescent="0.15"/>
    <row r="17429" s="76" customFormat="1" ht="21.95" customHeight="1" x14ac:dyDescent="0.15"/>
    <row r="17430" s="76" customFormat="1" ht="21.95" customHeight="1" x14ac:dyDescent="0.15"/>
    <row r="17431" s="76" customFormat="1" ht="21.95" customHeight="1" x14ac:dyDescent="0.15"/>
    <row r="17432" s="76" customFormat="1" ht="21.95" customHeight="1" x14ac:dyDescent="0.15"/>
    <row r="17433" s="76" customFormat="1" ht="21.95" customHeight="1" x14ac:dyDescent="0.15"/>
    <row r="17434" s="76" customFormat="1" ht="21.95" customHeight="1" x14ac:dyDescent="0.15"/>
    <row r="17435" s="76" customFormat="1" ht="21.95" customHeight="1" x14ac:dyDescent="0.15"/>
    <row r="17436" s="76" customFormat="1" ht="21.95" customHeight="1" x14ac:dyDescent="0.15"/>
    <row r="17437" s="76" customFormat="1" ht="21.95" customHeight="1" x14ac:dyDescent="0.15"/>
    <row r="17438" s="76" customFormat="1" ht="21.95" customHeight="1" x14ac:dyDescent="0.15"/>
    <row r="17439" s="76" customFormat="1" ht="21.95" customHeight="1" x14ac:dyDescent="0.15"/>
    <row r="17440" s="76" customFormat="1" ht="21.95" customHeight="1" x14ac:dyDescent="0.15"/>
    <row r="17441" s="76" customFormat="1" ht="21.95" customHeight="1" x14ac:dyDescent="0.15"/>
    <row r="17442" s="76" customFormat="1" ht="21.95" customHeight="1" x14ac:dyDescent="0.15"/>
    <row r="17443" s="76" customFormat="1" ht="21.95" customHeight="1" x14ac:dyDescent="0.15"/>
    <row r="17444" s="76" customFormat="1" ht="21.95" customHeight="1" x14ac:dyDescent="0.15"/>
    <row r="17445" s="76" customFormat="1" ht="21.95" customHeight="1" x14ac:dyDescent="0.15"/>
    <row r="17446" s="76" customFormat="1" ht="21.95" customHeight="1" x14ac:dyDescent="0.15"/>
    <row r="17447" s="76" customFormat="1" ht="21.95" customHeight="1" x14ac:dyDescent="0.15"/>
    <row r="17448" s="76" customFormat="1" ht="21.95" customHeight="1" x14ac:dyDescent="0.15"/>
    <row r="17449" s="76" customFormat="1" ht="35.1" customHeight="1" x14ac:dyDescent="0.15"/>
    <row r="17450" s="76" customFormat="1" ht="21.95" customHeight="1" x14ac:dyDescent="0.15"/>
    <row r="17451" s="76" customFormat="1" ht="21.95" customHeight="1" x14ac:dyDescent="0.15"/>
    <row r="17452" s="76" customFormat="1" ht="21.95" customHeight="1" x14ac:dyDescent="0.15"/>
    <row r="17453" s="76" customFormat="1" ht="21.95" customHeight="1" x14ac:dyDescent="0.15"/>
    <row r="17454" s="76" customFormat="1" ht="21.95" customHeight="1" x14ac:dyDescent="0.15"/>
    <row r="17455" s="76" customFormat="1" ht="21.95" customHeight="1" x14ac:dyDescent="0.15"/>
    <row r="17456" s="76" customFormat="1" ht="21.95" customHeight="1" x14ac:dyDescent="0.15"/>
    <row r="17457" s="76" customFormat="1" ht="21.95" customHeight="1" x14ac:dyDescent="0.15"/>
    <row r="17458" s="76" customFormat="1" ht="21.95" customHeight="1" x14ac:dyDescent="0.15"/>
    <row r="17459" s="76" customFormat="1" ht="21.95" customHeight="1" x14ac:dyDescent="0.15"/>
    <row r="17460" s="76" customFormat="1" ht="21.95" customHeight="1" x14ac:dyDescent="0.15"/>
    <row r="17461" s="76" customFormat="1" ht="21.95" customHeight="1" x14ac:dyDescent="0.15"/>
    <row r="17462" s="76" customFormat="1" ht="21.95" customHeight="1" x14ac:dyDescent="0.15"/>
    <row r="17463" s="76" customFormat="1" ht="21.95" customHeight="1" x14ac:dyDescent="0.15"/>
    <row r="17464" s="76" customFormat="1" ht="21.95" customHeight="1" x14ac:dyDescent="0.15"/>
    <row r="17465" s="76" customFormat="1" ht="21.95" customHeight="1" x14ac:dyDescent="0.15"/>
    <row r="17466" s="76" customFormat="1" ht="21.95" customHeight="1" x14ac:dyDescent="0.15"/>
    <row r="17467" s="76" customFormat="1" ht="21.95" customHeight="1" x14ac:dyDescent="0.15"/>
    <row r="17468" s="76" customFormat="1" ht="21.95" customHeight="1" x14ac:dyDescent="0.15"/>
    <row r="17469" s="76" customFormat="1" ht="21.95" customHeight="1" x14ac:dyDescent="0.15"/>
    <row r="17470" s="76" customFormat="1" ht="21.95" customHeight="1" x14ac:dyDescent="0.15"/>
    <row r="17471" s="76" customFormat="1" ht="21.95" customHeight="1" x14ac:dyDescent="0.15"/>
    <row r="17472" s="76" customFormat="1" ht="21.95" customHeight="1" x14ac:dyDescent="0.15"/>
    <row r="17473" spans="3:3" customFormat="1" ht="21.95" customHeight="1" x14ac:dyDescent="0.15"/>
    <row r="17474" spans="3:3" customFormat="1" ht="21.95" customHeight="1" x14ac:dyDescent="0.15"/>
    <row r="17475" spans="3:3" customFormat="1" ht="21.95" customHeight="1" x14ac:dyDescent="0.15">
      <c r="C17475" s="94"/>
    </row>
    <row r="17476" spans="3:3" customFormat="1" ht="21.95" customHeight="1" x14ac:dyDescent="0.15">
      <c r="C17476" s="94"/>
    </row>
    <row r="17477" spans="3:3" customFormat="1" ht="21.95" customHeight="1" x14ac:dyDescent="0.15"/>
    <row r="17478" spans="3:3" customFormat="1" ht="21.95" customHeight="1" x14ac:dyDescent="0.15"/>
    <row r="17479" spans="3:3" customFormat="1" ht="21.95" customHeight="1" x14ac:dyDescent="0.15"/>
    <row r="17480" spans="3:3" customFormat="1" ht="21.95" customHeight="1" x14ac:dyDescent="0.15"/>
    <row r="17481" spans="3:3" customFormat="1" ht="21.95" customHeight="1" x14ac:dyDescent="0.15"/>
    <row r="17482" spans="3:3" customFormat="1" ht="21.95" customHeight="1" x14ac:dyDescent="0.15"/>
    <row r="17483" spans="3:3" customFormat="1" ht="21.95" customHeight="1" x14ac:dyDescent="0.15"/>
    <row r="17484" spans="3:3" s="76" customFormat="1" ht="21.95" customHeight="1" x14ac:dyDescent="0.15"/>
    <row r="17485" spans="3:3" s="76" customFormat="1" ht="21.95" customHeight="1" x14ac:dyDescent="0.15"/>
    <row r="17486" spans="3:3" s="76" customFormat="1" ht="21.95" customHeight="1" x14ac:dyDescent="0.15"/>
    <row r="17487" spans="3:3" s="76" customFormat="1" ht="21.95" customHeight="1" x14ac:dyDescent="0.15"/>
    <row r="17488" spans="3:3" customFormat="1" ht="21.95" customHeight="1" x14ac:dyDescent="0.15"/>
    <row r="17489" customFormat="1" ht="21.95" customHeight="1" x14ac:dyDescent="0.15"/>
    <row r="17490" customFormat="1" ht="21.95" customHeight="1" x14ac:dyDescent="0.15"/>
    <row r="17491" customFormat="1" ht="21.95" customHeight="1" x14ac:dyDescent="0.15"/>
    <row r="17492" customFormat="1" ht="21.95" customHeight="1" x14ac:dyDescent="0.15"/>
    <row r="17493" customFormat="1" ht="21.95" customHeight="1" x14ac:dyDescent="0.15"/>
    <row r="17494" customFormat="1" ht="21.95" customHeight="1" x14ac:dyDescent="0.15"/>
    <row r="17495" customFormat="1" ht="21.95" customHeight="1" x14ac:dyDescent="0.15"/>
    <row r="17496" customFormat="1" ht="21.95" customHeight="1" x14ac:dyDescent="0.15"/>
    <row r="17497" customFormat="1" ht="21.95" customHeight="1" x14ac:dyDescent="0.15"/>
    <row r="17498" customFormat="1" ht="21.95" customHeight="1" x14ac:dyDescent="0.15"/>
    <row r="17499" customFormat="1" ht="32.1" customHeight="1" x14ac:dyDescent="0.15"/>
    <row r="17500" customFormat="1" ht="32.1" customHeight="1" x14ac:dyDescent="0.15"/>
    <row r="17501" customFormat="1" ht="32.1" customHeight="1" x14ac:dyDescent="0.15"/>
    <row r="17502" customFormat="1" ht="32.1" customHeight="1" x14ac:dyDescent="0.15"/>
    <row r="17503" customFormat="1" ht="32.1" customHeight="1" x14ac:dyDescent="0.15"/>
    <row r="17504" customFormat="1" ht="32.1" customHeight="1" x14ac:dyDescent="0.15"/>
    <row r="17505" s="76" customFormat="1" ht="32.1" customHeight="1" x14ac:dyDescent="0.15"/>
    <row r="17506" s="76" customFormat="1" ht="32.1" customHeight="1" x14ac:dyDescent="0.15"/>
    <row r="17507" s="76" customFormat="1" ht="32.1" customHeight="1" x14ac:dyDescent="0.15"/>
    <row r="17508" s="76" customFormat="1" ht="32.1" customHeight="1" x14ac:dyDescent="0.15"/>
    <row r="17509" s="76" customFormat="1" ht="21.95" customHeight="1" x14ac:dyDescent="0.15"/>
    <row r="17510" s="76" customFormat="1" ht="54" customHeight="1" x14ac:dyDescent="0.15"/>
    <row r="17511" s="76" customFormat="1" ht="21.95" customHeight="1" x14ac:dyDescent="0.15"/>
    <row r="17512" s="76" customFormat="1" ht="21.95" customHeight="1" x14ac:dyDescent="0.15"/>
    <row r="17513" s="76" customFormat="1" ht="21.95" customHeight="1" x14ac:dyDescent="0.15"/>
    <row r="17514" s="76" customFormat="1" ht="21.95" customHeight="1" x14ac:dyDescent="0.15"/>
    <row r="17515" s="76" customFormat="1" ht="21.95" customHeight="1" x14ac:dyDescent="0.15"/>
    <row r="17516" s="76" customFormat="1" ht="21.95" customHeight="1" x14ac:dyDescent="0.15"/>
    <row r="17517" s="76" customFormat="1" ht="21.95" customHeight="1" x14ac:dyDescent="0.15"/>
    <row r="17518" s="76" customFormat="1" ht="21.95" customHeight="1" x14ac:dyDescent="0.15"/>
    <row r="17519" s="76" customFormat="1" ht="21.95" customHeight="1" x14ac:dyDescent="0.15"/>
    <row r="17520" s="76" customFormat="1" ht="21.95" customHeight="1" x14ac:dyDescent="0.15"/>
    <row r="17521" s="76" customFormat="1" ht="21.95" customHeight="1" x14ac:dyDescent="0.15"/>
    <row r="17522" s="76" customFormat="1" ht="21.95" customHeight="1" x14ac:dyDescent="0.15"/>
    <row r="17523" s="76" customFormat="1" ht="21.95" customHeight="1" x14ac:dyDescent="0.15"/>
    <row r="17524" s="76" customFormat="1" ht="21.95" customHeight="1" x14ac:dyDescent="0.15"/>
    <row r="17525" s="76" customFormat="1" ht="21.95" customHeight="1" x14ac:dyDescent="0.15"/>
    <row r="17526" s="76" customFormat="1" ht="21.95" customHeight="1" x14ac:dyDescent="0.15"/>
    <row r="17527" s="76" customFormat="1" ht="21.95" customHeight="1" x14ac:dyDescent="0.15"/>
    <row r="17528" s="76" customFormat="1" ht="21.95" customHeight="1" x14ac:dyDescent="0.15"/>
    <row r="17529" s="76" customFormat="1" ht="21.95" customHeight="1" x14ac:dyDescent="0.15"/>
    <row r="17530" s="76" customFormat="1" ht="21.95" customHeight="1" x14ac:dyDescent="0.15"/>
    <row r="17531" s="76" customFormat="1" ht="21.95" customHeight="1" x14ac:dyDescent="0.15"/>
    <row r="17532" s="76" customFormat="1" ht="21.95" customHeight="1" x14ac:dyDescent="0.15"/>
    <row r="17533" s="76" customFormat="1" ht="21.95" customHeight="1" x14ac:dyDescent="0.15"/>
    <row r="17534" s="76" customFormat="1" ht="21.95" customHeight="1" x14ac:dyDescent="0.15"/>
    <row r="17535" s="76" customFormat="1" ht="21.95" customHeight="1" x14ac:dyDescent="0.15"/>
    <row r="17536" s="76" customFormat="1" ht="21.95" customHeight="1" x14ac:dyDescent="0.15"/>
    <row r="17537" s="76" customFormat="1" ht="21.95" customHeight="1" x14ac:dyDescent="0.15"/>
    <row r="17538" s="76" customFormat="1" ht="21.95" customHeight="1" x14ac:dyDescent="0.15"/>
    <row r="17539" s="76" customFormat="1" ht="21.95" customHeight="1" x14ac:dyDescent="0.15"/>
    <row r="17540" s="76" customFormat="1" ht="21.95" customHeight="1" x14ac:dyDescent="0.15"/>
    <row r="17541" s="76" customFormat="1" ht="21.95" customHeight="1" x14ac:dyDescent="0.15"/>
    <row r="17542" s="76" customFormat="1" ht="21.95" customHeight="1" x14ac:dyDescent="0.15"/>
    <row r="17543" s="76" customFormat="1" ht="21.95" customHeight="1" x14ac:dyDescent="0.15"/>
    <row r="17544" s="76" customFormat="1" ht="21.95" customHeight="1" x14ac:dyDescent="0.15"/>
    <row r="17545" s="76" customFormat="1" ht="21.95" customHeight="1" x14ac:dyDescent="0.15"/>
    <row r="17546" s="76" customFormat="1" ht="21.95" customHeight="1" x14ac:dyDescent="0.15"/>
    <row r="17547" s="76" customFormat="1" ht="21.95" customHeight="1" x14ac:dyDescent="0.15"/>
    <row r="17548" s="76" customFormat="1" ht="21.95" customHeight="1" x14ac:dyDescent="0.15"/>
    <row r="17549" s="76" customFormat="1" ht="21.95" customHeight="1" x14ac:dyDescent="0.15"/>
    <row r="17550" s="76" customFormat="1" ht="21.95" customHeight="1" x14ac:dyDescent="0.15"/>
    <row r="17551" s="76" customFormat="1" ht="21.95" customHeight="1" x14ac:dyDescent="0.15"/>
    <row r="17552" s="76" customFormat="1" ht="21.95" customHeight="1" x14ac:dyDescent="0.15"/>
    <row r="17553" s="76" customFormat="1" ht="21.95" customHeight="1" x14ac:dyDescent="0.15"/>
    <row r="17554" s="76" customFormat="1" ht="21.95" customHeight="1" x14ac:dyDescent="0.15"/>
    <row r="17555" s="76" customFormat="1" ht="21.95" customHeight="1" x14ac:dyDescent="0.15"/>
    <row r="17556" s="76" customFormat="1" ht="21.95" customHeight="1" x14ac:dyDescent="0.15"/>
    <row r="17557" s="76" customFormat="1" ht="21.95" customHeight="1" x14ac:dyDescent="0.15"/>
    <row r="17558" s="76" customFormat="1" ht="21.95" customHeight="1" x14ac:dyDescent="0.15"/>
    <row r="17559" s="76" customFormat="1" ht="21.95" customHeight="1" x14ac:dyDescent="0.15"/>
    <row r="17560" s="76" customFormat="1" ht="21.95" customHeight="1" x14ac:dyDescent="0.15"/>
    <row r="17561" s="76" customFormat="1" ht="35.1" customHeight="1" x14ac:dyDescent="0.15"/>
    <row r="17562" s="76" customFormat="1" ht="21.95" customHeight="1" x14ac:dyDescent="0.15"/>
    <row r="17563" s="76" customFormat="1" ht="21.95" customHeight="1" x14ac:dyDescent="0.15"/>
    <row r="17564" s="76" customFormat="1" ht="21.95" customHeight="1" x14ac:dyDescent="0.15"/>
    <row r="17565" s="76" customFormat="1" ht="21.95" customHeight="1" x14ac:dyDescent="0.15"/>
    <row r="17566" s="76" customFormat="1" ht="21.95" customHeight="1" x14ac:dyDescent="0.15"/>
    <row r="17567" s="76" customFormat="1" ht="21.95" customHeight="1" x14ac:dyDescent="0.15"/>
    <row r="17568" s="76" customFormat="1" ht="21.95" customHeight="1" x14ac:dyDescent="0.15"/>
    <row r="17569" s="76" customFormat="1" ht="21.95" customHeight="1" x14ac:dyDescent="0.15"/>
    <row r="17570" s="76" customFormat="1" ht="21.95" customHeight="1" x14ac:dyDescent="0.15"/>
    <row r="17571" s="76" customFormat="1" ht="21.95" customHeight="1" x14ac:dyDescent="0.15"/>
    <row r="17572" s="76" customFormat="1" ht="21.95" customHeight="1" x14ac:dyDescent="0.15"/>
    <row r="17573" s="76" customFormat="1" ht="21.95" customHeight="1" x14ac:dyDescent="0.15"/>
    <row r="17574" s="76" customFormat="1" ht="21.95" customHeight="1" x14ac:dyDescent="0.15"/>
    <row r="17575" s="76" customFormat="1" ht="21.95" customHeight="1" x14ac:dyDescent="0.15"/>
    <row r="17576" s="76" customFormat="1" ht="21.95" customHeight="1" x14ac:dyDescent="0.15"/>
    <row r="17577" s="76" customFormat="1" ht="21.95" customHeight="1" x14ac:dyDescent="0.15"/>
    <row r="17578" s="76" customFormat="1" ht="21.95" customHeight="1" x14ac:dyDescent="0.15"/>
    <row r="17579" s="76" customFormat="1" ht="21.95" customHeight="1" x14ac:dyDescent="0.15"/>
    <row r="17580" s="76" customFormat="1" ht="21.95" customHeight="1" x14ac:dyDescent="0.15"/>
    <row r="17581" s="76" customFormat="1" ht="21.95" customHeight="1" x14ac:dyDescent="0.15"/>
    <row r="17582" s="76" customFormat="1" ht="21.95" customHeight="1" x14ac:dyDescent="0.15"/>
    <row r="17583" s="76" customFormat="1" ht="21.95" customHeight="1" x14ac:dyDescent="0.15"/>
    <row r="17584" s="76" customFormat="1" ht="21.95" customHeight="1" x14ac:dyDescent="0.15"/>
    <row r="17585" spans="3:3" customFormat="1" ht="21.95" customHeight="1" x14ac:dyDescent="0.15"/>
    <row r="17586" spans="3:3" customFormat="1" ht="21.95" customHeight="1" x14ac:dyDescent="0.15"/>
    <row r="17587" spans="3:3" customFormat="1" ht="21.95" customHeight="1" x14ac:dyDescent="0.15">
      <c r="C17587" s="94"/>
    </row>
    <row r="17588" spans="3:3" customFormat="1" ht="21.95" customHeight="1" x14ac:dyDescent="0.15">
      <c r="C17588" s="94"/>
    </row>
    <row r="17589" spans="3:3" customFormat="1" ht="21.95" customHeight="1" x14ac:dyDescent="0.15"/>
    <row r="17590" spans="3:3" customFormat="1" ht="21.95" customHeight="1" x14ac:dyDescent="0.15"/>
    <row r="17591" spans="3:3" customFormat="1" ht="21.95" customHeight="1" x14ac:dyDescent="0.15"/>
    <row r="17592" spans="3:3" customFormat="1" ht="21.95" customHeight="1" x14ac:dyDescent="0.15"/>
    <row r="17593" spans="3:3" customFormat="1" ht="21.95" customHeight="1" x14ac:dyDescent="0.15"/>
    <row r="17594" spans="3:3" customFormat="1" ht="21.95" customHeight="1" x14ac:dyDescent="0.15"/>
    <row r="17595" spans="3:3" customFormat="1" ht="21.95" customHeight="1" x14ac:dyDescent="0.15"/>
    <row r="17596" spans="3:3" s="76" customFormat="1" ht="21.95" customHeight="1" x14ac:dyDescent="0.15"/>
    <row r="17597" spans="3:3" s="76" customFormat="1" ht="21.95" customHeight="1" x14ac:dyDescent="0.15"/>
    <row r="17598" spans="3:3" s="76" customFormat="1" ht="21.95" customHeight="1" x14ac:dyDescent="0.15"/>
    <row r="17599" spans="3:3" s="76" customFormat="1" ht="21.95" customHeight="1" x14ac:dyDescent="0.15"/>
    <row r="17600" spans="3:3" customFormat="1" ht="21.95" customHeight="1" x14ac:dyDescent="0.15"/>
    <row r="17601" customFormat="1" ht="21.95" customHeight="1" x14ac:dyDescent="0.15"/>
    <row r="17602" customFormat="1" ht="21.95" customHeight="1" x14ac:dyDescent="0.15"/>
    <row r="17603" customFormat="1" ht="21.95" customHeight="1" x14ac:dyDescent="0.15"/>
    <row r="17604" customFormat="1" ht="21.95" customHeight="1" x14ac:dyDescent="0.15"/>
    <row r="17605" customFormat="1" ht="21.95" customHeight="1" x14ac:dyDescent="0.15"/>
    <row r="17606" customFormat="1" ht="21.95" customHeight="1" x14ac:dyDescent="0.15"/>
    <row r="17607" customFormat="1" ht="21.95" customHeight="1" x14ac:dyDescent="0.15"/>
    <row r="17608" customFormat="1" ht="21.95" customHeight="1" x14ac:dyDescent="0.15"/>
    <row r="17609" customFormat="1" ht="21.95" customHeight="1" x14ac:dyDescent="0.15"/>
    <row r="17610" customFormat="1" ht="21.95" customHeight="1" x14ac:dyDescent="0.15"/>
    <row r="17611" customFormat="1" ht="32.1" customHeight="1" x14ac:dyDescent="0.15"/>
    <row r="17612" customFormat="1" ht="32.1" customHeight="1" x14ac:dyDescent="0.15"/>
    <row r="17613" customFormat="1" ht="32.1" customHeight="1" x14ac:dyDescent="0.15"/>
    <row r="17614" customFormat="1" ht="32.1" customHeight="1" x14ac:dyDescent="0.15"/>
    <row r="17615" customFormat="1" ht="32.1" customHeight="1" x14ac:dyDescent="0.15"/>
    <row r="17616" customFormat="1" ht="32.1" customHeight="1" x14ac:dyDescent="0.15"/>
    <row r="17617" s="76" customFormat="1" ht="32.1" customHeight="1" x14ac:dyDescent="0.15"/>
    <row r="17618" s="76" customFormat="1" ht="32.1" customHeight="1" x14ac:dyDescent="0.15"/>
    <row r="17619" s="76" customFormat="1" ht="32.1" customHeight="1" x14ac:dyDescent="0.15"/>
    <row r="17620" s="76" customFormat="1" ht="32.1" customHeight="1" x14ac:dyDescent="0.15"/>
    <row r="17621" s="76" customFormat="1" ht="21.95" customHeight="1" x14ac:dyDescent="0.15"/>
    <row r="17622" s="76" customFormat="1" ht="54" customHeight="1" x14ac:dyDescent="0.15"/>
    <row r="17623" s="76" customFormat="1" ht="21.95" customHeight="1" x14ac:dyDescent="0.15"/>
    <row r="17624" s="76" customFormat="1" ht="21.95" customHeight="1" x14ac:dyDescent="0.15"/>
    <row r="17625" s="76" customFormat="1" ht="21.95" customHeight="1" x14ac:dyDescent="0.15"/>
    <row r="17626" s="76" customFormat="1" ht="21.95" customHeight="1" x14ac:dyDescent="0.15"/>
    <row r="17627" s="76" customFormat="1" ht="21.95" customHeight="1" x14ac:dyDescent="0.15"/>
    <row r="17628" s="76" customFormat="1" ht="21.95" customHeight="1" x14ac:dyDescent="0.15"/>
    <row r="17629" s="76" customFormat="1" ht="21.95" customHeight="1" x14ac:dyDescent="0.15"/>
    <row r="17630" s="76" customFormat="1" ht="21.95" customHeight="1" x14ac:dyDescent="0.15"/>
    <row r="17631" s="76" customFormat="1" ht="21.95" customHeight="1" x14ac:dyDescent="0.15"/>
    <row r="17632" s="76" customFormat="1" ht="21.95" customHeight="1" x14ac:dyDescent="0.15"/>
    <row r="17633" s="76" customFormat="1" ht="21.95" customHeight="1" x14ac:dyDescent="0.15"/>
    <row r="17634" s="76" customFormat="1" ht="21.95" customHeight="1" x14ac:dyDescent="0.15"/>
    <row r="17635" s="76" customFormat="1" ht="21.95" customHeight="1" x14ac:dyDescent="0.15"/>
    <row r="17636" s="76" customFormat="1" ht="21.95" customHeight="1" x14ac:dyDescent="0.15"/>
    <row r="17637" s="76" customFormat="1" ht="21.95" customHeight="1" x14ac:dyDescent="0.15"/>
    <row r="17638" s="76" customFormat="1" ht="21.95" customHeight="1" x14ac:dyDescent="0.15"/>
    <row r="17639" s="76" customFormat="1" ht="21.95" customHeight="1" x14ac:dyDescent="0.15"/>
    <row r="17640" s="76" customFormat="1" ht="21.95" customHeight="1" x14ac:dyDescent="0.15"/>
    <row r="17641" s="76" customFormat="1" ht="21.95" customHeight="1" x14ac:dyDescent="0.15"/>
    <row r="17642" s="76" customFormat="1" ht="21.95" customHeight="1" x14ac:dyDescent="0.15"/>
    <row r="17643" s="76" customFormat="1" ht="21.95" customHeight="1" x14ac:dyDescent="0.15"/>
    <row r="17644" s="76" customFormat="1" ht="21.95" customHeight="1" x14ac:dyDescent="0.15"/>
    <row r="17645" s="76" customFormat="1" ht="21.95" customHeight="1" x14ac:dyDescent="0.15"/>
    <row r="17646" s="76" customFormat="1" ht="21.95" customHeight="1" x14ac:dyDescent="0.15"/>
    <row r="17647" s="76" customFormat="1" ht="21.95" customHeight="1" x14ac:dyDescent="0.15"/>
    <row r="17648" s="76" customFormat="1" ht="21.95" customHeight="1" x14ac:dyDescent="0.15"/>
    <row r="17649" s="76" customFormat="1" ht="21.95" customHeight="1" x14ac:dyDescent="0.15"/>
    <row r="17650" s="76" customFormat="1" ht="21.95" customHeight="1" x14ac:dyDescent="0.15"/>
    <row r="17651" s="76" customFormat="1" ht="21.95" customHeight="1" x14ac:dyDescent="0.15"/>
    <row r="17652" s="76" customFormat="1" ht="21.95" customHeight="1" x14ac:dyDescent="0.15"/>
    <row r="17653" s="76" customFormat="1" ht="21.95" customHeight="1" x14ac:dyDescent="0.15"/>
    <row r="17654" s="76" customFormat="1" ht="21.95" customHeight="1" x14ac:dyDescent="0.15"/>
    <row r="17655" s="76" customFormat="1" ht="21.95" customHeight="1" x14ac:dyDescent="0.15"/>
    <row r="17656" s="76" customFormat="1" ht="21.95" customHeight="1" x14ac:dyDescent="0.15"/>
    <row r="17657" s="76" customFormat="1" ht="21.95" customHeight="1" x14ac:dyDescent="0.15"/>
    <row r="17658" s="76" customFormat="1" ht="21.95" customHeight="1" x14ac:dyDescent="0.15"/>
    <row r="17659" s="76" customFormat="1" ht="21.95" customHeight="1" x14ac:dyDescent="0.15"/>
    <row r="17660" s="76" customFormat="1" ht="21.95" customHeight="1" x14ac:dyDescent="0.15"/>
    <row r="17661" s="76" customFormat="1" ht="21.95" customHeight="1" x14ac:dyDescent="0.15"/>
    <row r="17662" s="76" customFormat="1" ht="21.95" customHeight="1" x14ac:dyDescent="0.15"/>
    <row r="17663" s="76" customFormat="1" ht="21.95" customHeight="1" x14ac:dyDescent="0.15"/>
    <row r="17664" s="76" customFormat="1" ht="21.95" customHeight="1" x14ac:dyDescent="0.15"/>
    <row r="17665" s="76" customFormat="1" ht="21.95" customHeight="1" x14ac:dyDescent="0.15"/>
    <row r="17666" s="76" customFormat="1" ht="21.95" customHeight="1" x14ac:dyDescent="0.15"/>
    <row r="17667" s="76" customFormat="1" ht="21.95" customHeight="1" x14ac:dyDescent="0.15"/>
    <row r="17668" s="76" customFormat="1" ht="21.95" customHeight="1" x14ac:dyDescent="0.15"/>
    <row r="17669" s="76" customFormat="1" ht="21.95" customHeight="1" x14ac:dyDescent="0.15"/>
    <row r="17670" s="76" customFormat="1" ht="21.95" customHeight="1" x14ac:dyDescent="0.15"/>
    <row r="17671" s="76" customFormat="1" ht="21.95" customHeight="1" x14ac:dyDescent="0.15"/>
    <row r="17672" s="76" customFormat="1" ht="21.95" customHeight="1" x14ac:dyDescent="0.15"/>
    <row r="17673" s="76" customFormat="1" ht="35.1" customHeight="1" x14ac:dyDescent="0.15"/>
    <row r="17674" s="76" customFormat="1" ht="21.95" customHeight="1" x14ac:dyDescent="0.15"/>
    <row r="17675" s="76" customFormat="1" ht="21.95" customHeight="1" x14ac:dyDescent="0.15"/>
    <row r="17676" s="76" customFormat="1" ht="21.95" customHeight="1" x14ac:dyDescent="0.15"/>
    <row r="17677" s="76" customFormat="1" ht="21.95" customHeight="1" x14ac:dyDescent="0.15"/>
    <row r="17678" s="76" customFormat="1" ht="21.95" customHeight="1" x14ac:dyDescent="0.15"/>
    <row r="17679" s="76" customFormat="1" ht="21.95" customHeight="1" x14ac:dyDescent="0.15"/>
    <row r="17680" s="76" customFormat="1" ht="21.95" customHeight="1" x14ac:dyDescent="0.15"/>
    <row r="17681" s="76" customFormat="1" ht="21.95" customHeight="1" x14ac:dyDescent="0.15"/>
    <row r="17682" s="76" customFormat="1" ht="21.95" customHeight="1" x14ac:dyDescent="0.15"/>
    <row r="17683" s="76" customFormat="1" ht="21.95" customHeight="1" x14ac:dyDescent="0.15"/>
    <row r="17684" s="76" customFormat="1" ht="21.95" customHeight="1" x14ac:dyDescent="0.15"/>
    <row r="17685" s="76" customFormat="1" ht="21.95" customHeight="1" x14ac:dyDescent="0.15"/>
    <row r="17686" s="76" customFormat="1" ht="21.95" customHeight="1" x14ac:dyDescent="0.15"/>
    <row r="17687" s="76" customFormat="1" ht="21.95" customHeight="1" x14ac:dyDescent="0.15"/>
    <row r="17688" s="76" customFormat="1" ht="21.95" customHeight="1" x14ac:dyDescent="0.15"/>
    <row r="17689" s="76" customFormat="1" ht="21.95" customHeight="1" x14ac:dyDescent="0.15"/>
    <row r="17690" s="76" customFormat="1" ht="21.95" customHeight="1" x14ac:dyDescent="0.15"/>
    <row r="17691" s="76" customFormat="1" ht="21.95" customHeight="1" x14ac:dyDescent="0.15"/>
    <row r="17692" s="76" customFormat="1" ht="21.95" customHeight="1" x14ac:dyDescent="0.15"/>
    <row r="17693" s="76" customFormat="1" ht="21.95" customHeight="1" x14ac:dyDescent="0.15"/>
    <row r="17694" s="76" customFormat="1" ht="21.95" customHeight="1" x14ac:dyDescent="0.15"/>
    <row r="17695" s="76" customFormat="1" ht="21.95" customHeight="1" x14ac:dyDescent="0.15"/>
    <row r="17696" s="76" customFormat="1" ht="21.95" customHeight="1" x14ac:dyDescent="0.15"/>
    <row r="17697" spans="3:3" customFormat="1" ht="21.95" customHeight="1" x14ac:dyDescent="0.15"/>
    <row r="17698" spans="3:3" customFormat="1" ht="21.95" customHeight="1" x14ac:dyDescent="0.15"/>
    <row r="17699" spans="3:3" customFormat="1" ht="21.95" customHeight="1" x14ac:dyDescent="0.15">
      <c r="C17699" s="94"/>
    </row>
    <row r="17700" spans="3:3" customFormat="1" ht="21.95" customHeight="1" x14ac:dyDescent="0.15">
      <c r="C17700" s="94"/>
    </row>
    <row r="17701" spans="3:3" customFormat="1" ht="21.95" customHeight="1" x14ac:dyDescent="0.15"/>
    <row r="17702" spans="3:3" customFormat="1" ht="21.95" customHeight="1" x14ac:dyDescent="0.15"/>
    <row r="17703" spans="3:3" customFormat="1" ht="21.95" customHeight="1" x14ac:dyDescent="0.15"/>
    <row r="17704" spans="3:3" customFormat="1" ht="21.95" customHeight="1" x14ac:dyDescent="0.15"/>
    <row r="17705" spans="3:3" customFormat="1" ht="21.95" customHeight="1" x14ac:dyDescent="0.15"/>
    <row r="17706" spans="3:3" customFormat="1" ht="21.95" customHeight="1" x14ac:dyDescent="0.15"/>
    <row r="17707" spans="3:3" customFormat="1" ht="21.95" customHeight="1" x14ac:dyDescent="0.15"/>
    <row r="17708" spans="3:3" s="76" customFormat="1" ht="21.95" customHeight="1" x14ac:dyDescent="0.15"/>
    <row r="17709" spans="3:3" s="76" customFormat="1" ht="21.95" customHeight="1" x14ac:dyDescent="0.15"/>
    <row r="17710" spans="3:3" s="76" customFormat="1" ht="21.95" customHeight="1" x14ac:dyDescent="0.15"/>
    <row r="17711" spans="3:3" s="76" customFormat="1" ht="21.95" customHeight="1" x14ac:dyDescent="0.15"/>
    <row r="17712" spans="3:3" customFormat="1" ht="21.95" customHeight="1" x14ac:dyDescent="0.15"/>
    <row r="17713" customFormat="1" ht="21.95" customHeight="1" x14ac:dyDescent="0.15"/>
    <row r="17714" customFormat="1" ht="21.95" customHeight="1" x14ac:dyDescent="0.15"/>
    <row r="17715" customFormat="1" ht="21.95" customHeight="1" x14ac:dyDescent="0.15"/>
    <row r="17716" customFormat="1" ht="21.95" customHeight="1" x14ac:dyDescent="0.15"/>
    <row r="17717" customFormat="1" ht="21.95" customHeight="1" x14ac:dyDescent="0.15"/>
    <row r="17718" customFormat="1" ht="21.95" customHeight="1" x14ac:dyDescent="0.15"/>
    <row r="17719" customFormat="1" ht="21.95" customHeight="1" x14ac:dyDescent="0.15"/>
    <row r="17720" customFormat="1" ht="21.95" customHeight="1" x14ac:dyDescent="0.15"/>
    <row r="17721" customFormat="1" ht="21.95" customHeight="1" x14ac:dyDescent="0.15"/>
    <row r="17722" customFormat="1" ht="21.95" customHeight="1" x14ac:dyDescent="0.15"/>
    <row r="17723" customFormat="1" ht="32.1" customHeight="1" x14ac:dyDescent="0.15"/>
    <row r="17724" customFormat="1" ht="32.1" customHeight="1" x14ac:dyDescent="0.15"/>
    <row r="17725" customFormat="1" ht="32.1" customHeight="1" x14ac:dyDescent="0.15"/>
    <row r="17726" customFormat="1" ht="32.1" customHeight="1" x14ac:dyDescent="0.15"/>
    <row r="17727" customFormat="1" ht="32.1" customHeight="1" x14ac:dyDescent="0.15"/>
    <row r="17728" customFormat="1" ht="32.1" customHeight="1" x14ac:dyDescent="0.15"/>
    <row r="17729" s="76" customFormat="1" ht="32.1" customHeight="1" x14ac:dyDescent="0.15"/>
    <row r="17730" s="76" customFormat="1" ht="32.1" customHeight="1" x14ac:dyDescent="0.15"/>
    <row r="17731" s="76" customFormat="1" ht="32.1" customHeight="1" x14ac:dyDescent="0.15"/>
    <row r="17732" s="76" customFormat="1" ht="32.1" customHeight="1" x14ac:dyDescent="0.15"/>
    <row r="17733" s="76" customFormat="1" ht="21.95" customHeight="1" x14ac:dyDescent="0.15"/>
    <row r="17734" s="76" customFormat="1" ht="54" customHeight="1" x14ac:dyDescent="0.15"/>
    <row r="17735" s="76" customFormat="1" ht="21.95" customHeight="1" x14ac:dyDescent="0.15"/>
    <row r="17736" s="76" customFormat="1" ht="21.95" customHeight="1" x14ac:dyDescent="0.15"/>
    <row r="17737" s="76" customFormat="1" ht="21.95" customHeight="1" x14ac:dyDescent="0.15"/>
    <row r="17738" s="76" customFormat="1" ht="21.95" customHeight="1" x14ac:dyDescent="0.15"/>
    <row r="17739" s="76" customFormat="1" ht="21.95" customHeight="1" x14ac:dyDescent="0.15"/>
    <row r="17740" s="76" customFormat="1" ht="21.95" customHeight="1" x14ac:dyDescent="0.15"/>
    <row r="17741" s="76" customFormat="1" ht="21.95" customHeight="1" x14ac:dyDescent="0.15"/>
    <row r="17742" s="76" customFormat="1" ht="21.95" customHeight="1" x14ac:dyDescent="0.15"/>
    <row r="17743" s="76" customFormat="1" ht="21.95" customHeight="1" x14ac:dyDescent="0.15"/>
    <row r="17744" s="76" customFormat="1" ht="21.95" customHeight="1" x14ac:dyDescent="0.15"/>
    <row r="17745" s="76" customFormat="1" ht="21.95" customHeight="1" x14ac:dyDescent="0.15"/>
    <row r="17746" s="76" customFormat="1" ht="21.95" customHeight="1" x14ac:dyDescent="0.15"/>
    <row r="17747" s="76" customFormat="1" ht="21.95" customHeight="1" x14ac:dyDescent="0.15"/>
    <row r="17748" s="76" customFormat="1" ht="21.95" customHeight="1" x14ac:dyDescent="0.15"/>
    <row r="17749" s="76" customFormat="1" ht="21.95" customHeight="1" x14ac:dyDescent="0.15"/>
    <row r="17750" s="76" customFormat="1" ht="21.95" customHeight="1" x14ac:dyDescent="0.15"/>
    <row r="17751" s="76" customFormat="1" ht="21.95" customHeight="1" x14ac:dyDescent="0.15"/>
    <row r="17752" s="76" customFormat="1" ht="21.95" customHeight="1" x14ac:dyDescent="0.15"/>
    <row r="17753" s="76" customFormat="1" ht="21.95" customHeight="1" x14ac:dyDescent="0.15"/>
    <row r="17754" s="76" customFormat="1" ht="21.95" customHeight="1" x14ac:dyDescent="0.15"/>
    <row r="17755" s="76" customFormat="1" ht="21.95" customHeight="1" x14ac:dyDescent="0.15"/>
    <row r="17756" s="76" customFormat="1" ht="21.95" customHeight="1" x14ac:dyDescent="0.15"/>
    <row r="17757" s="76" customFormat="1" ht="21.95" customHeight="1" x14ac:dyDescent="0.15"/>
    <row r="17758" s="76" customFormat="1" ht="21.95" customHeight="1" x14ac:dyDescent="0.15"/>
    <row r="17759" s="76" customFormat="1" ht="21.95" customHeight="1" x14ac:dyDescent="0.15"/>
    <row r="17760" s="76" customFormat="1" ht="21.95" customHeight="1" x14ac:dyDescent="0.15"/>
    <row r="17761" s="76" customFormat="1" ht="21.95" customHeight="1" x14ac:dyDescent="0.15"/>
    <row r="17762" s="76" customFormat="1" ht="21.95" customHeight="1" x14ac:dyDescent="0.15"/>
    <row r="17763" s="76" customFormat="1" ht="21.95" customHeight="1" x14ac:dyDescent="0.15"/>
    <row r="17764" s="76" customFormat="1" ht="21.95" customHeight="1" x14ac:dyDescent="0.15"/>
    <row r="17765" s="76" customFormat="1" ht="21.95" customHeight="1" x14ac:dyDescent="0.15"/>
    <row r="17766" s="76" customFormat="1" ht="21.95" customHeight="1" x14ac:dyDescent="0.15"/>
    <row r="17767" s="76" customFormat="1" ht="21.95" customHeight="1" x14ac:dyDescent="0.15"/>
    <row r="17768" s="76" customFormat="1" ht="21.95" customHeight="1" x14ac:dyDescent="0.15"/>
    <row r="17769" s="76" customFormat="1" ht="21.95" customHeight="1" x14ac:dyDescent="0.15"/>
    <row r="17770" s="76" customFormat="1" ht="21.95" customHeight="1" x14ac:dyDescent="0.15"/>
    <row r="17771" s="76" customFormat="1" ht="21.95" customHeight="1" x14ac:dyDescent="0.15"/>
    <row r="17772" s="76" customFormat="1" ht="21.95" customHeight="1" x14ac:dyDescent="0.15"/>
    <row r="17773" s="76" customFormat="1" ht="21.95" customHeight="1" x14ac:dyDescent="0.15"/>
    <row r="17774" s="76" customFormat="1" ht="21.95" customHeight="1" x14ac:dyDescent="0.15"/>
    <row r="17775" s="76" customFormat="1" ht="21.95" customHeight="1" x14ac:dyDescent="0.15"/>
    <row r="17776" s="76" customFormat="1" ht="21.95" customHeight="1" x14ac:dyDescent="0.15"/>
    <row r="17777" s="76" customFormat="1" ht="21.95" customHeight="1" x14ac:dyDescent="0.15"/>
    <row r="17778" s="76" customFormat="1" ht="21.95" customHeight="1" x14ac:dyDescent="0.15"/>
    <row r="17779" s="76" customFormat="1" ht="21.95" customHeight="1" x14ac:dyDescent="0.15"/>
    <row r="17780" s="76" customFormat="1" ht="21.95" customHeight="1" x14ac:dyDescent="0.15"/>
    <row r="17781" s="76" customFormat="1" ht="21.95" customHeight="1" x14ac:dyDescent="0.15"/>
    <row r="17782" s="76" customFormat="1" ht="21.95" customHeight="1" x14ac:dyDescent="0.15"/>
    <row r="17783" s="76" customFormat="1" ht="21.95" customHeight="1" x14ac:dyDescent="0.15"/>
    <row r="17784" s="76" customFormat="1" ht="21.95" customHeight="1" x14ac:dyDescent="0.15"/>
    <row r="17785" s="76" customFormat="1" ht="35.1" customHeight="1" x14ac:dyDescent="0.15"/>
    <row r="17786" s="76" customFormat="1" ht="21.95" customHeight="1" x14ac:dyDescent="0.15"/>
    <row r="17787" s="76" customFormat="1" ht="21.95" customHeight="1" x14ac:dyDescent="0.15"/>
    <row r="17788" s="76" customFormat="1" ht="21.95" customHeight="1" x14ac:dyDescent="0.15"/>
    <row r="17789" s="76" customFormat="1" ht="21.95" customHeight="1" x14ac:dyDescent="0.15"/>
    <row r="17790" s="76" customFormat="1" ht="21.95" customHeight="1" x14ac:dyDescent="0.15"/>
    <row r="17791" s="76" customFormat="1" ht="21.95" customHeight="1" x14ac:dyDescent="0.15"/>
    <row r="17792" s="76" customFormat="1" ht="21.95" customHeight="1" x14ac:dyDescent="0.15"/>
    <row r="17793" s="76" customFormat="1" ht="21.95" customHeight="1" x14ac:dyDescent="0.15"/>
    <row r="17794" s="76" customFormat="1" ht="21.95" customHeight="1" x14ac:dyDescent="0.15"/>
    <row r="17795" s="76" customFormat="1" ht="21.95" customHeight="1" x14ac:dyDescent="0.15"/>
    <row r="17796" s="76" customFormat="1" ht="21.95" customHeight="1" x14ac:dyDescent="0.15"/>
    <row r="17797" s="76" customFormat="1" ht="21.95" customHeight="1" x14ac:dyDescent="0.15"/>
    <row r="17798" s="76" customFormat="1" ht="21.95" customHeight="1" x14ac:dyDescent="0.15"/>
    <row r="17799" s="76" customFormat="1" ht="21.95" customHeight="1" x14ac:dyDescent="0.15"/>
    <row r="17800" s="76" customFormat="1" ht="21.95" customHeight="1" x14ac:dyDescent="0.15"/>
    <row r="17801" s="76" customFormat="1" ht="21.95" customHeight="1" x14ac:dyDescent="0.15"/>
    <row r="17802" s="76" customFormat="1" ht="21.95" customHeight="1" x14ac:dyDescent="0.15"/>
    <row r="17803" s="76" customFormat="1" ht="21.95" customHeight="1" x14ac:dyDescent="0.15"/>
    <row r="17804" s="76" customFormat="1" ht="21.95" customHeight="1" x14ac:dyDescent="0.15"/>
    <row r="17805" s="76" customFormat="1" ht="21.95" customHeight="1" x14ac:dyDescent="0.15"/>
    <row r="17806" s="76" customFormat="1" ht="21.95" customHeight="1" x14ac:dyDescent="0.15"/>
    <row r="17807" s="76" customFormat="1" ht="21.95" customHeight="1" x14ac:dyDescent="0.15"/>
    <row r="17808" s="76" customFormat="1" ht="21.95" customHeight="1" x14ac:dyDescent="0.15"/>
    <row r="17809" spans="3:3" customFormat="1" ht="21.95" customHeight="1" x14ac:dyDescent="0.15"/>
    <row r="17810" spans="3:3" customFormat="1" ht="21.95" customHeight="1" x14ac:dyDescent="0.15"/>
    <row r="17811" spans="3:3" customFormat="1" ht="21.95" customHeight="1" x14ac:dyDescent="0.15">
      <c r="C17811" s="94"/>
    </row>
    <row r="17812" spans="3:3" customFormat="1" ht="21.95" customHeight="1" x14ac:dyDescent="0.15">
      <c r="C17812" s="94"/>
    </row>
    <row r="17813" spans="3:3" customFormat="1" ht="21.95" customHeight="1" x14ac:dyDescent="0.15"/>
    <row r="17814" spans="3:3" customFormat="1" ht="21.95" customHeight="1" x14ac:dyDescent="0.15"/>
    <row r="17815" spans="3:3" customFormat="1" ht="21.95" customHeight="1" x14ac:dyDescent="0.15"/>
    <row r="17816" spans="3:3" customFormat="1" ht="21.95" customHeight="1" x14ac:dyDescent="0.15"/>
    <row r="17817" spans="3:3" customFormat="1" ht="21.95" customHeight="1" x14ac:dyDescent="0.15"/>
    <row r="17818" spans="3:3" customFormat="1" ht="21.95" customHeight="1" x14ac:dyDescent="0.15"/>
    <row r="17819" spans="3:3" customFormat="1" ht="21.95" customHeight="1" x14ac:dyDescent="0.15"/>
    <row r="17820" spans="3:3" s="76" customFormat="1" ht="21.95" customHeight="1" x14ac:dyDescent="0.15"/>
    <row r="17821" spans="3:3" s="76" customFormat="1" ht="21.95" customHeight="1" x14ac:dyDescent="0.15"/>
    <row r="17822" spans="3:3" s="76" customFormat="1" ht="21.95" customHeight="1" x14ac:dyDescent="0.15"/>
    <row r="17823" spans="3:3" s="76" customFormat="1" ht="21.95" customHeight="1" x14ac:dyDescent="0.15"/>
    <row r="17824" spans="3:3" customFormat="1" ht="21.95" customHeight="1" x14ac:dyDescent="0.15"/>
    <row r="17825" customFormat="1" ht="21.95" customHeight="1" x14ac:dyDescent="0.15"/>
    <row r="17826" customFormat="1" ht="21.95" customHeight="1" x14ac:dyDescent="0.15"/>
    <row r="17827" customFormat="1" ht="21.95" customHeight="1" x14ac:dyDescent="0.15"/>
    <row r="17828" customFormat="1" ht="21.95" customHeight="1" x14ac:dyDescent="0.15"/>
    <row r="17829" customFormat="1" ht="21.95" customHeight="1" x14ac:dyDescent="0.15"/>
    <row r="17830" customFormat="1" ht="21.95" customHeight="1" x14ac:dyDescent="0.15"/>
    <row r="17831" customFormat="1" ht="21.95" customHeight="1" x14ac:dyDescent="0.15"/>
    <row r="17832" customFormat="1" ht="21.95" customHeight="1" x14ac:dyDescent="0.15"/>
    <row r="17833" customFormat="1" ht="21.95" customHeight="1" x14ac:dyDescent="0.15"/>
    <row r="17834" customFormat="1" ht="21.95" customHeight="1" x14ac:dyDescent="0.15"/>
    <row r="17835" customFormat="1" ht="32.1" customHeight="1" x14ac:dyDescent="0.15"/>
    <row r="17836" customFormat="1" ht="32.1" customHeight="1" x14ac:dyDescent="0.15"/>
    <row r="17837" customFormat="1" ht="32.1" customHeight="1" x14ac:dyDescent="0.15"/>
    <row r="17838" customFormat="1" ht="32.1" customHeight="1" x14ac:dyDescent="0.15"/>
    <row r="17839" customFormat="1" ht="32.1" customHeight="1" x14ac:dyDescent="0.15"/>
    <row r="17840" customFormat="1" ht="32.1" customHeight="1" x14ac:dyDescent="0.15"/>
    <row r="17841" s="76" customFormat="1" ht="32.1" customHeight="1" x14ac:dyDescent="0.15"/>
    <row r="17842" s="76" customFormat="1" ht="32.1" customHeight="1" x14ac:dyDescent="0.15"/>
    <row r="17843" s="76" customFormat="1" ht="32.1" customHeight="1" x14ac:dyDescent="0.15"/>
    <row r="17844" s="76" customFormat="1" ht="32.1" customHeight="1" x14ac:dyDescent="0.15"/>
    <row r="17845" s="76" customFormat="1" ht="21.95" customHeight="1" x14ac:dyDescent="0.15"/>
    <row r="17846" s="76" customFormat="1" ht="54" customHeight="1" x14ac:dyDescent="0.15"/>
    <row r="17847" s="76" customFormat="1" ht="21.95" customHeight="1" x14ac:dyDescent="0.15"/>
    <row r="17848" s="76" customFormat="1" ht="21.95" customHeight="1" x14ac:dyDescent="0.15"/>
    <row r="17849" s="76" customFormat="1" ht="21.95" customHeight="1" x14ac:dyDescent="0.15"/>
    <row r="17850" s="76" customFormat="1" ht="21.95" customHeight="1" x14ac:dyDescent="0.15"/>
    <row r="17851" s="76" customFormat="1" ht="21.95" customHeight="1" x14ac:dyDescent="0.15"/>
    <row r="17852" s="76" customFormat="1" ht="21.95" customHeight="1" x14ac:dyDescent="0.15"/>
    <row r="17853" s="76" customFormat="1" ht="21.95" customHeight="1" x14ac:dyDescent="0.15"/>
    <row r="17854" s="76" customFormat="1" ht="21.95" customHeight="1" x14ac:dyDescent="0.15"/>
    <row r="17855" s="76" customFormat="1" ht="21.95" customHeight="1" x14ac:dyDescent="0.15"/>
    <row r="17856" s="76" customFormat="1" ht="21.95" customHeight="1" x14ac:dyDescent="0.15"/>
    <row r="17857" s="76" customFormat="1" ht="21.95" customHeight="1" x14ac:dyDescent="0.15"/>
    <row r="17858" s="76" customFormat="1" ht="21.95" customHeight="1" x14ac:dyDescent="0.15"/>
    <row r="17859" s="76" customFormat="1" ht="21.95" customHeight="1" x14ac:dyDescent="0.15"/>
    <row r="17860" s="76" customFormat="1" ht="21.95" customHeight="1" x14ac:dyDescent="0.15"/>
    <row r="17861" s="76" customFormat="1" ht="21.95" customHeight="1" x14ac:dyDescent="0.15"/>
    <row r="17862" s="76" customFormat="1" ht="21.95" customHeight="1" x14ac:dyDescent="0.15"/>
    <row r="17863" s="76" customFormat="1" ht="21.95" customHeight="1" x14ac:dyDescent="0.15"/>
    <row r="17864" s="76" customFormat="1" ht="21.95" customHeight="1" x14ac:dyDescent="0.15"/>
    <row r="17865" s="76" customFormat="1" ht="21.95" customHeight="1" x14ac:dyDescent="0.15"/>
    <row r="17866" s="76" customFormat="1" ht="21.95" customHeight="1" x14ac:dyDescent="0.15"/>
    <row r="17867" s="76" customFormat="1" ht="21.95" customHeight="1" x14ac:dyDescent="0.15"/>
    <row r="17868" s="76" customFormat="1" ht="21.95" customHeight="1" x14ac:dyDescent="0.15"/>
    <row r="17869" s="76" customFormat="1" ht="21.95" customHeight="1" x14ac:dyDescent="0.15"/>
    <row r="17870" s="76" customFormat="1" ht="21.95" customHeight="1" x14ac:dyDescent="0.15"/>
    <row r="17871" s="76" customFormat="1" ht="21.95" customHeight="1" x14ac:dyDescent="0.15"/>
    <row r="17872" s="76" customFormat="1" ht="21.95" customHeight="1" x14ac:dyDescent="0.15"/>
    <row r="17873" s="76" customFormat="1" ht="21.95" customHeight="1" x14ac:dyDescent="0.15"/>
    <row r="17874" s="76" customFormat="1" ht="21.95" customHeight="1" x14ac:dyDescent="0.15"/>
    <row r="17875" s="76" customFormat="1" ht="21.95" customHeight="1" x14ac:dyDescent="0.15"/>
    <row r="17876" s="76" customFormat="1" ht="21.95" customHeight="1" x14ac:dyDescent="0.15"/>
    <row r="17877" s="76" customFormat="1" ht="21.95" customHeight="1" x14ac:dyDescent="0.15"/>
    <row r="17878" s="76" customFormat="1" ht="21.95" customHeight="1" x14ac:dyDescent="0.15"/>
    <row r="17879" s="76" customFormat="1" ht="21.95" customHeight="1" x14ac:dyDescent="0.15"/>
    <row r="17880" s="76" customFormat="1" ht="21.95" customHeight="1" x14ac:dyDescent="0.15"/>
    <row r="17881" s="76" customFormat="1" ht="21.95" customHeight="1" x14ac:dyDescent="0.15"/>
    <row r="17882" s="76" customFormat="1" ht="21.95" customHeight="1" x14ac:dyDescent="0.15"/>
    <row r="17883" s="76" customFormat="1" ht="21.95" customHeight="1" x14ac:dyDescent="0.15"/>
    <row r="17884" s="76" customFormat="1" ht="21.95" customHeight="1" x14ac:dyDescent="0.15"/>
    <row r="17885" s="76" customFormat="1" ht="21.95" customHeight="1" x14ac:dyDescent="0.15"/>
    <row r="17886" s="76" customFormat="1" ht="21.95" customHeight="1" x14ac:dyDescent="0.15"/>
    <row r="17887" s="76" customFormat="1" ht="21.95" customHeight="1" x14ac:dyDescent="0.15"/>
    <row r="17888" s="76" customFormat="1" ht="21.95" customHeight="1" x14ac:dyDescent="0.15"/>
    <row r="17889" s="76" customFormat="1" ht="21.95" customHeight="1" x14ac:dyDescent="0.15"/>
    <row r="17890" s="76" customFormat="1" ht="21.95" customHeight="1" x14ac:dyDescent="0.15"/>
    <row r="17891" s="76" customFormat="1" ht="21.95" customHeight="1" x14ac:dyDescent="0.15"/>
    <row r="17892" s="76" customFormat="1" ht="21.95" customHeight="1" x14ac:dyDescent="0.15"/>
    <row r="17893" s="76" customFormat="1" ht="21.95" customHeight="1" x14ac:dyDescent="0.15"/>
    <row r="17894" s="76" customFormat="1" ht="21.95" customHeight="1" x14ac:dyDescent="0.15"/>
    <row r="17895" s="76" customFormat="1" ht="21.95" customHeight="1" x14ac:dyDescent="0.15"/>
    <row r="17896" s="76" customFormat="1" ht="21.95" customHeight="1" x14ac:dyDescent="0.15"/>
    <row r="17897" s="76" customFormat="1" ht="35.1" customHeight="1" x14ac:dyDescent="0.15"/>
    <row r="17898" s="76" customFormat="1" ht="21.95" customHeight="1" x14ac:dyDescent="0.15"/>
    <row r="17899" s="76" customFormat="1" ht="21.95" customHeight="1" x14ac:dyDescent="0.15"/>
    <row r="17900" s="76" customFormat="1" ht="21.95" customHeight="1" x14ac:dyDescent="0.15"/>
    <row r="17901" s="76" customFormat="1" ht="21.95" customHeight="1" x14ac:dyDescent="0.15"/>
    <row r="17902" s="76" customFormat="1" ht="21.95" customHeight="1" x14ac:dyDescent="0.15"/>
    <row r="17903" s="76" customFormat="1" ht="21.95" customHeight="1" x14ac:dyDescent="0.15"/>
    <row r="17904" s="76" customFormat="1" ht="21.95" customHeight="1" x14ac:dyDescent="0.15"/>
    <row r="17905" s="76" customFormat="1" ht="21.95" customHeight="1" x14ac:dyDescent="0.15"/>
    <row r="17906" s="76" customFormat="1" ht="21.95" customHeight="1" x14ac:dyDescent="0.15"/>
    <row r="17907" s="76" customFormat="1" ht="21.95" customHeight="1" x14ac:dyDescent="0.15"/>
    <row r="17908" s="76" customFormat="1" ht="21.95" customHeight="1" x14ac:dyDescent="0.15"/>
    <row r="17909" s="76" customFormat="1" ht="21.95" customHeight="1" x14ac:dyDescent="0.15"/>
    <row r="17910" s="76" customFormat="1" ht="21.95" customHeight="1" x14ac:dyDescent="0.15"/>
    <row r="17911" s="76" customFormat="1" ht="21.95" customHeight="1" x14ac:dyDescent="0.15"/>
    <row r="17912" s="76" customFormat="1" ht="21.95" customHeight="1" x14ac:dyDescent="0.15"/>
    <row r="17913" s="76" customFormat="1" ht="21.95" customHeight="1" x14ac:dyDescent="0.15"/>
    <row r="17914" s="76" customFormat="1" ht="21.95" customHeight="1" x14ac:dyDescent="0.15"/>
    <row r="17915" s="76" customFormat="1" ht="21.95" customHeight="1" x14ac:dyDescent="0.15"/>
    <row r="17916" s="76" customFormat="1" ht="21.95" customHeight="1" x14ac:dyDescent="0.15"/>
    <row r="17917" s="76" customFormat="1" ht="21.95" customHeight="1" x14ac:dyDescent="0.15"/>
    <row r="17918" s="76" customFormat="1" ht="21.95" customHeight="1" x14ac:dyDescent="0.15"/>
    <row r="17919" s="76" customFormat="1" ht="21.95" customHeight="1" x14ac:dyDescent="0.15"/>
    <row r="17920" s="76" customFormat="1" ht="21.95" customHeight="1" x14ac:dyDescent="0.15"/>
    <row r="17921" spans="3:3" customFormat="1" ht="21.95" customHeight="1" x14ac:dyDescent="0.15"/>
    <row r="17922" spans="3:3" customFormat="1" ht="21.95" customHeight="1" x14ac:dyDescent="0.15"/>
    <row r="17923" spans="3:3" customFormat="1" ht="21.95" customHeight="1" x14ac:dyDescent="0.15">
      <c r="C17923" s="94"/>
    </row>
    <row r="17924" spans="3:3" customFormat="1" ht="21.95" customHeight="1" x14ac:dyDescent="0.15">
      <c r="C17924" s="94"/>
    </row>
    <row r="17925" spans="3:3" customFormat="1" ht="21.95" customHeight="1" x14ac:dyDescent="0.15"/>
    <row r="17926" spans="3:3" customFormat="1" ht="21.95" customHeight="1" x14ac:dyDescent="0.15"/>
    <row r="17927" spans="3:3" customFormat="1" ht="21.95" customHeight="1" x14ac:dyDescent="0.15"/>
    <row r="17928" spans="3:3" customFormat="1" ht="21.95" customHeight="1" x14ac:dyDescent="0.15"/>
    <row r="17929" spans="3:3" customFormat="1" ht="21.95" customHeight="1" x14ac:dyDescent="0.15"/>
    <row r="17930" spans="3:3" customFormat="1" ht="21.95" customHeight="1" x14ac:dyDescent="0.15"/>
    <row r="17931" spans="3:3" customFormat="1" ht="21.95" customHeight="1" x14ac:dyDescent="0.15"/>
    <row r="17932" spans="3:3" s="76" customFormat="1" ht="21.95" customHeight="1" x14ac:dyDescent="0.15"/>
    <row r="17933" spans="3:3" s="76" customFormat="1" ht="21.95" customHeight="1" x14ac:dyDescent="0.15"/>
    <row r="17934" spans="3:3" s="76" customFormat="1" ht="21.95" customHeight="1" x14ac:dyDescent="0.15"/>
    <row r="17935" spans="3:3" s="76" customFormat="1" ht="21.95" customHeight="1" x14ac:dyDescent="0.15"/>
    <row r="17936" spans="3:3" customFormat="1" ht="21.95" customHeight="1" x14ac:dyDescent="0.15"/>
    <row r="17937" customFormat="1" ht="21.95" customHeight="1" x14ac:dyDescent="0.15"/>
    <row r="17938" customFormat="1" ht="21.95" customHeight="1" x14ac:dyDescent="0.15"/>
    <row r="17939" customFormat="1" ht="21.95" customHeight="1" x14ac:dyDescent="0.15"/>
    <row r="17940" customFormat="1" ht="21.95" customHeight="1" x14ac:dyDescent="0.15"/>
    <row r="17941" customFormat="1" ht="21.95" customHeight="1" x14ac:dyDescent="0.15"/>
    <row r="17942" customFormat="1" ht="21.95" customHeight="1" x14ac:dyDescent="0.15"/>
    <row r="17943" customFormat="1" ht="21.95" customHeight="1" x14ac:dyDescent="0.15"/>
    <row r="17944" customFormat="1" ht="21.95" customHeight="1" x14ac:dyDescent="0.15"/>
    <row r="17945" customFormat="1" ht="21.95" customHeight="1" x14ac:dyDescent="0.15"/>
    <row r="17946" customFormat="1" ht="21.95" customHeight="1" x14ac:dyDescent="0.15"/>
    <row r="17947" customFormat="1" ht="32.1" customHeight="1" x14ac:dyDescent="0.15"/>
    <row r="17948" customFormat="1" ht="32.1" customHeight="1" x14ac:dyDescent="0.15"/>
    <row r="17949" customFormat="1" ht="32.1" customHeight="1" x14ac:dyDescent="0.15"/>
    <row r="17950" customFormat="1" ht="32.1" customHeight="1" x14ac:dyDescent="0.15"/>
    <row r="17951" customFormat="1" ht="32.1" customHeight="1" x14ac:dyDescent="0.15"/>
    <row r="17952" customFormat="1" ht="32.1" customHeight="1" x14ac:dyDescent="0.15"/>
    <row r="17953" s="76" customFormat="1" ht="32.1" customHeight="1" x14ac:dyDescent="0.15"/>
    <row r="17954" s="76" customFormat="1" ht="32.1" customHeight="1" x14ac:dyDescent="0.15"/>
    <row r="17955" s="76" customFormat="1" ht="32.1" customHeight="1" x14ac:dyDescent="0.15"/>
    <row r="17956" s="76" customFormat="1" ht="32.1" customHeight="1" x14ac:dyDescent="0.15"/>
    <row r="17957" s="76" customFormat="1" ht="21.95" customHeight="1" x14ac:dyDescent="0.15"/>
    <row r="17958" s="76" customFormat="1" ht="54" customHeight="1" x14ac:dyDescent="0.15"/>
    <row r="17959" s="76" customFormat="1" ht="21.95" customHeight="1" x14ac:dyDescent="0.15"/>
    <row r="17960" s="76" customFormat="1" ht="21.95" customHeight="1" x14ac:dyDescent="0.15"/>
    <row r="17961" s="76" customFormat="1" ht="21.95" customHeight="1" x14ac:dyDescent="0.15"/>
    <row r="17962" s="76" customFormat="1" ht="21.95" customHeight="1" x14ac:dyDescent="0.15"/>
    <row r="17963" s="76" customFormat="1" ht="21.95" customHeight="1" x14ac:dyDescent="0.15"/>
    <row r="17964" s="76" customFormat="1" ht="21.95" customHeight="1" x14ac:dyDescent="0.15"/>
    <row r="17965" s="76" customFormat="1" ht="21.95" customHeight="1" x14ac:dyDescent="0.15"/>
    <row r="17966" s="76" customFormat="1" ht="21.95" customHeight="1" x14ac:dyDescent="0.15"/>
    <row r="17967" s="76" customFormat="1" ht="21.95" customHeight="1" x14ac:dyDescent="0.15"/>
    <row r="17968" s="76" customFormat="1" ht="21.95" customHeight="1" x14ac:dyDescent="0.15"/>
    <row r="17969" s="76" customFormat="1" ht="21.95" customHeight="1" x14ac:dyDescent="0.15"/>
    <row r="17970" s="76" customFormat="1" ht="21.95" customHeight="1" x14ac:dyDescent="0.15"/>
    <row r="17971" s="76" customFormat="1" ht="21.95" customHeight="1" x14ac:dyDescent="0.15"/>
    <row r="17972" s="76" customFormat="1" ht="21.95" customHeight="1" x14ac:dyDescent="0.15"/>
    <row r="17973" s="76" customFormat="1" ht="21.95" customHeight="1" x14ac:dyDescent="0.15"/>
    <row r="17974" s="76" customFormat="1" ht="21.95" customHeight="1" x14ac:dyDescent="0.15"/>
    <row r="17975" s="76" customFormat="1" ht="21.95" customHeight="1" x14ac:dyDescent="0.15"/>
    <row r="17976" s="76" customFormat="1" ht="21.95" customHeight="1" x14ac:dyDescent="0.15"/>
    <row r="17977" s="76" customFormat="1" ht="21.95" customHeight="1" x14ac:dyDescent="0.15"/>
    <row r="17978" s="76" customFormat="1" ht="21.95" customHeight="1" x14ac:dyDescent="0.15"/>
    <row r="17979" s="76" customFormat="1" ht="21.95" customHeight="1" x14ac:dyDescent="0.15"/>
    <row r="17980" s="76" customFormat="1" ht="21.95" customHeight="1" x14ac:dyDescent="0.15"/>
    <row r="17981" s="76" customFormat="1" ht="21.95" customHeight="1" x14ac:dyDescent="0.15"/>
    <row r="17982" s="76" customFormat="1" ht="21.95" customHeight="1" x14ac:dyDescent="0.15"/>
    <row r="17983" s="76" customFormat="1" ht="21.95" customHeight="1" x14ac:dyDescent="0.15"/>
    <row r="17984" s="76" customFormat="1" ht="21.95" customHeight="1" x14ac:dyDescent="0.15"/>
    <row r="17985" s="76" customFormat="1" ht="21.95" customHeight="1" x14ac:dyDescent="0.15"/>
    <row r="17986" s="76" customFormat="1" ht="21.95" customHeight="1" x14ac:dyDescent="0.15"/>
    <row r="17987" s="76" customFormat="1" ht="21.95" customHeight="1" x14ac:dyDescent="0.15"/>
    <row r="17988" s="76" customFormat="1" ht="21.95" customHeight="1" x14ac:dyDescent="0.15"/>
    <row r="17989" s="76" customFormat="1" ht="21.95" customHeight="1" x14ac:dyDescent="0.15"/>
    <row r="17990" s="76" customFormat="1" ht="21.95" customHeight="1" x14ac:dyDescent="0.15"/>
    <row r="17991" s="76" customFormat="1" ht="21.95" customHeight="1" x14ac:dyDescent="0.15"/>
    <row r="17992" s="76" customFormat="1" ht="21.95" customHeight="1" x14ac:dyDescent="0.15"/>
    <row r="17993" s="76" customFormat="1" ht="21.95" customHeight="1" x14ac:dyDescent="0.15"/>
    <row r="17994" s="76" customFormat="1" ht="21.95" customHeight="1" x14ac:dyDescent="0.15"/>
    <row r="17995" s="76" customFormat="1" ht="21.95" customHeight="1" x14ac:dyDescent="0.15"/>
    <row r="17996" s="76" customFormat="1" ht="21.95" customHeight="1" x14ac:dyDescent="0.15"/>
    <row r="17997" s="76" customFormat="1" ht="21.95" customHeight="1" x14ac:dyDescent="0.15"/>
    <row r="17998" s="76" customFormat="1" ht="21.95" customHeight="1" x14ac:dyDescent="0.15"/>
    <row r="17999" s="76" customFormat="1" ht="21.95" customHeight="1" x14ac:dyDescent="0.15"/>
    <row r="18000" s="76" customFormat="1" ht="21.95" customHeight="1" x14ac:dyDescent="0.15"/>
    <row r="18001" s="76" customFormat="1" ht="21.95" customHeight="1" x14ac:dyDescent="0.15"/>
    <row r="18002" s="76" customFormat="1" ht="21.95" customHeight="1" x14ac:dyDescent="0.15"/>
    <row r="18003" s="76" customFormat="1" ht="21.95" customHeight="1" x14ac:dyDescent="0.15"/>
    <row r="18004" s="76" customFormat="1" ht="21.95" customHeight="1" x14ac:dyDescent="0.15"/>
    <row r="18005" s="76" customFormat="1" ht="21.95" customHeight="1" x14ac:dyDescent="0.15"/>
    <row r="18006" s="76" customFormat="1" ht="21.95" customHeight="1" x14ac:dyDescent="0.15"/>
    <row r="18007" s="76" customFormat="1" ht="21.95" customHeight="1" x14ac:dyDescent="0.15"/>
    <row r="18008" s="76" customFormat="1" ht="21.95" customHeight="1" x14ac:dyDescent="0.15"/>
    <row r="18009" s="76" customFormat="1" ht="35.1" customHeight="1" x14ac:dyDescent="0.15"/>
    <row r="18010" s="76" customFormat="1" ht="21.95" customHeight="1" x14ac:dyDescent="0.15"/>
    <row r="18011" s="76" customFormat="1" ht="21.95" customHeight="1" x14ac:dyDescent="0.15"/>
    <row r="18012" s="76" customFormat="1" ht="21.95" customHeight="1" x14ac:dyDescent="0.15"/>
    <row r="18013" s="76" customFormat="1" ht="21.95" customHeight="1" x14ac:dyDescent="0.15"/>
    <row r="18014" s="76" customFormat="1" ht="21.95" customHeight="1" x14ac:dyDescent="0.15"/>
    <row r="18015" s="76" customFormat="1" ht="21.95" customHeight="1" x14ac:dyDescent="0.15"/>
    <row r="18016" s="76" customFormat="1" ht="21.95" customHeight="1" x14ac:dyDescent="0.15"/>
    <row r="18017" s="76" customFormat="1" ht="21.95" customHeight="1" x14ac:dyDescent="0.15"/>
    <row r="18018" s="76" customFormat="1" ht="21.95" customHeight="1" x14ac:dyDescent="0.15"/>
    <row r="18019" s="76" customFormat="1" ht="21.95" customHeight="1" x14ac:dyDescent="0.15"/>
    <row r="18020" s="76" customFormat="1" ht="21.95" customHeight="1" x14ac:dyDescent="0.15"/>
    <row r="18021" s="76" customFormat="1" ht="21.95" customHeight="1" x14ac:dyDescent="0.15"/>
    <row r="18022" s="76" customFormat="1" ht="21.95" customHeight="1" x14ac:dyDescent="0.15"/>
    <row r="18023" s="76" customFormat="1" ht="21.95" customHeight="1" x14ac:dyDescent="0.15"/>
    <row r="18024" s="76" customFormat="1" ht="21.95" customHeight="1" x14ac:dyDescent="0.15"/>
    <row r="18025" s="76" customFormat="1" ht="21.95" customHeight="1" x14ac:dyDescent="0.15"/>
    <row r="18026" s="76" customFormat="1" ht="21.95" customHeight="1" x14ac:dyDescent="0.15"/>
    <row r="18027" s="76" customFormat="1" ht="21.95" customHeight="1" x14ac:dyDescent="0.15"/>
    <row r="18028" s="76" customFormat="1" ht="21.95" customHeight="1" x14ac:dyDescent="0.15"/>
    <row r="18029" s="76" customFormat="1" ht="21.95" customHeight="1" x14ac:dyDescent="0.15"/>
    <row r="18030" s="76" customFormat="1" ht="21.95" customHeight="1" x14ac:dyDescent="0.15"/>
    <row r="18031" s="76" customFormat="1" ht="21.95" customHeight="1" x14ac:dyDescent="0.15"/>
    <row r="18032" s="76" customFormat="1" ht="21.95" customHeight="1" x14ac:dyDescent="0.15"/>
    <row r="18033" spans="3:3" customFormat="1" ht="21.95" customHeight="1" x14ac:dyDescent="0.15"/>
    <row r="18034" spans="3:3" customFormat="1" ht="21.95" customHeight="1" x14ac:dyDescent="0.15"/>
    <row r="18035" spans="3:3" customFormat="1" ht="21.95" customHeight="1" x14ac:dyDescent="0.15">
      <c r="C18035" s="94"/>
    </row>
    <row r="18036" spans="3:3" customFormat="1" ht="21.95" customHeight="1" x14ac:dyDescent="0.15">
      <c r="C18036" s="94"/>
    </row>
    <row r="18037" spans="3:3" customFormat="1" ht="21.95" customHeight="1" x14ac:dyDescent="0.15"/>
    <row r="18038" spans="3:3" customFormat="1" ht="21.95" customHeight="1" x14ac:dyDescent="0.15"/>
    <row r="18039" spans="3:3" customFormat="1" ht="21.95" customHeight="1" x14ac:dyDescent="0.15"/>
    <row r="18040" spans="3:3" customFormat="1" ht="21.95" customHeight="1" x14ac:dyDescent="0.15"/>
    <row r="18041" spans="3:3" customFormat="1" ht="21.95" customHeight="1" x14ac:dyDescent="0.15"/>
    <row r="18042" spans="3:3" customFormat="1" ht="21.95" customHeight="1" x14ac:dyDescent="0.15"/>
    <row r="18043" spans="3:3" customFormat="1" ht="21.95" customHeight="1" x14ac:dyDescent="0.15"/>
    <row r="18044" spans="3:3" s="76" customFormat="1" ht="21.95" customHeight="1" x14ac:dyDescent="0.15"/>
    <row r="18045" spans="3:3" s="76" customFormat="1" ht="21.95" customHeight="1" x14ac:dyDescent="0.15"/>
    <row r="18046" spans="3:3" s="76" customFormat="1" ht="21.95" customHeight="1" x14ac:dyDescent="0.15"/>
    <row r="18047" spans="3:3" s="76" customFormat="1" ht="21.95" customHeight="1" x14ac:dyDescent="0.15"/>
    <row r="18048" spans="3:3" customFormat="1" ht="21.95" customHeight="1" x14ac:dyDescent="0.15"/>
    <row r="18049" customFormat="1" ht="21.95" customHeight="1" x14ac:dyDescent="0.15"/>
    <row r="18050" customFormat="1" ht="21.95" customHeight="1" x14ac:dyDescent="0.15"/>
    <row r="18051" customFormat="1" ht="21.95" customHeight="1" x14ac:dyDescent="0.15"/>
    <row r="18052" customFormat="1" ht="21.95" customHeight="1" x14ac:dyDescent="0.15"/>
    <row r="18053" customFormat="1" ht="21.95" customHeight="1" x14ac:dyDescent="0.15"/>
    <row r="18054" customFormat="1" ht="21.95" customHeight="1" x14ac:dyDescent="0.15"/>
    <row r="18055" customFormat="1" ht="21.95" customHeight="1" x14ac:dyDescent="0.15"/>
    <row r="18056" customFormat="1" ht="21.95" customHeight="1" x14ac:dyDescent="0.15"/>
    <row r="18057" customFormat="1" ht="21.95" customHeight="1" x14ac:dyDescent="0.15"/>
    <row r="18058" customFormat="1" ht="21.95" customHeight="1" x14ac:dyDescent="0.15"/>
    <row r="18059" customFormat="1" ht="32.1" customHeight="1" x14ac:dyDescent="0.15"/>
    <row r="18060" customFormat="1" ht="32.1" customHeight="1" x14ac:dyDescent="0.15"/>
    <row r="18061" customFormat="1" ht="32.1" customHeight="1" x14ac:dyDescent="0.15"/>
    <row r="18062" customFormat="1" ht="32.1" customHeight="1" x14ac:dyDescent="0.15"/>
    <row r="18063" customFormat="1" ht="32.1" customHeight="1" x14ac:dyDescent="0.15"/>
    <row r="18064" customFormat="1" ht="32.1" customHeight="1" x14ac:dyDescent="0.15"/>
    <row r="18065" s="76" customFormat="1" ht="32.1" customHeight="1" x14ac:dyDescent="0.15"/>
    <row r="18066" s="76" customFormat="1" ht="32.1" customHeight="1" x14ac:dyDescent="0.15"/>
    <row r="18067" s="76" customFormat="1" ht="32.1" customHeight="1" x14ac:dyDescent="0.15"/>
    <row r="18068" s="76" customFormat="1" ht="32.1" customHeight="1" x14ac:dyDescent="0.15"/>
    <row r="18069" s="76" customFormat="1" ht="21.95" customHeight="1" x14ac:dyDescent="0.15"/>
    <row r="18070" s="76" customFormat="1" ht="54" customHeight="1" x14ac:dyDescent="0.15"/>
    <row r="18071" s="76" customFormat="1" ht="21.95" customHeight="1" x14ac:dyDescent="0.15"/>
    <row r="18072" s="76" customFormat="1" ht="21.95" customHeight="1" x14ac:dyDescent="0.15"/>
    <row r="18073" s="76" customFormat="1" ht="21.95" customHeight="1" x14ac:dyDescent="0.15"/>
    <row r="18074" s="76" customFormat="1" ht="21.95" customHeight="1" x14ac:dyDescent="0.15"/>
    <row r="18075" s="76" customFormat="1" ht="21.95" customHeight="1" x14ac:dyDescent="0.15"/>
    <row r="18076" s="76" customFormat="1" ht="21.95" customHeight="1" x14ac:dyDescent="0.15"/>
    <row r="18077" s="76" customFormat="1" ht="21.95" customHeight="1" x14ac:dyDescent="0.15"/>
    <row r="18078" s="76" customFormat="1" ht="21.95" customHeight="1" x14ac:dyDescent="0.15"/>
    <row r="18079" s="76" customFormat="1" ht="21.95" customHeight="1" x14ac:dyDescent="0.15"/>
    <row r="18080" s="76" customFormat="1" ht="21.95" customHeight="1" x14ac:dyDescent="0.15"/>
    <row r="18081" s="76" customFormat="1" ht="21.95" customHeight="1" x14ac:dyDescent="0.15"/>
    <row r="18082" s="76" customFormat="1" ht="21.95" customHeight="1" x14ac:dyDescent="0.15"/>
    <row r="18083" s="76" customFormat="1" ht="21.95" customHeight="1" x14ac:dyDescent="0.15"/>
    <row r="18084" s="76" customFormat="1" ht="21.95" customHeight="1" x14ac:dyDescent="0.15"/>
    <row r="18085" s="76" customFormat="1" ht="21.95" customHeight="1" x14ac:dyDescent="0.15"/>
    <row r="18086" s="76" customFormat="1" ht="21.95" customHeight="1" x14ac:dyDescent="0.15"/>
    <row r="18087" s="76" customFormat="1" ht="21.95" customHeight="1" x14ac:dyDescent="0.15"/>
    <row r="18088" s="76" customFormat="1" ht="21.95" customHeight="1" x14ac:dyDescent="0.15"/>
    <row r="18089" s="76" customFormat="1" ht="21.95" customHeight="1" x14ac:dyDescent="0.15"/>
    <row r="18090" s="76" customFormat="1" ht="21.95" customHeight="1" x14ac:dyDescent="0.15"/>
    <row r="18091" s="76" customFormat="1" ht="21.95" customHeight="1" x14ac:dyDescent="0.15"/>
    <row r="18092" s="76" customFormat="1" ht="21.95" customHeight="1" x14ac:dyDescent="0.15"/>
    <row r="18093" s="76" customFormat="1" ht="21.95" customHeight="1" x14ac:dyDescent="0.15"/>
    <row r="18094" s="76" customFormat="1" ht="21.95" customHeight="1" x14ac:dyDescent="0.15"/>
    <row r="18095" s="76" customFormat="1" ht="21.95" customHeight="1" x14ac:dyDescent="0.15"/>
    <row r="18096" s="76" customFormat="1" ht="21.95" customHeight="1" x14ac:dyDescent="0.15"/>
    <row r="18097" s="76" customFormat="1" ht="21.95" customHeight="1" x14ac:dyDescent="0.15"/>
    <row r="18098" s="76" customFormat="1" ht="21.95" customHeight="1" x14ac:dyDescent="0.15"/>
    <row r="18099" s="76" customFormat="1" ht="21.95" customHeight="1" x14ac:dyDescent="0.15"/>
    <row r="18100" s="76" customFormat="1" ht="21.95" customHeight="1" x14ac:dyDescent="0.15"/>
    <row r="18101" s="76" customFormat="1" ht="21.95" customHeight="1" x14ac:dyDescent="0.15"/>
    <row r="18102" s="76" customFormat="1" ht="21.95" customHeight="1" x14ac:dyDescent="0.15"/>
    <row r="18103" s="76" customFormat="1" ht="21.95" customHeight="1" x14ac:dyDescent="0.15"/>
    <row r="18104" s="76" customFormat="1" ht="21.95" customHeight="1" x14ac:dyDescent="0.15"/>
    <row r="18105" s="76" customFormat="1" ht="21.95" customHeight="1" x14ac:dyDescent="0.15"/>
    <row r="18106" s="76" customFormat="1" ht="21.95" customHeight="1" x14ac:dyDescent="0.15"/>
    <row r="18107" s="76" customFormat="1" ht="21.95" customHeight="1" x14ac:dyDescent="0.15"/>
    <row r="18108" s="76" customFormat="1" ht="21.95" customHeight="1" x14ac:dyDescent="0.15"/>
    <row r="18109" s="76" customFormat="1" ht="21.95" customHeight="1" x14ac:dyDescent="0.15"/>
    <row r="18110" s="76" customFormat="1" ht="21.95" customHeight="1" x14ac:dyDescent="0.15"/>
    <row r="18111" s="76" customFormat="1" ht="21.95" customHeight="1" x14ac:dyDescent="0.15"/>
    <row r="18112" s="76" customFormat="1" ht="21.95" customHeight="1" x14ac:dyDescent="0.15"/>
    <row r="18113" s="76" customFormat="1" ht="21.95" customHeight="1" x14ac:dyDescent="0.15"/>
    <row r="18114" s="76" customFormat="1" ht="21.95" customHeight="1" x14ac:dyDescent="0.15"/>
    <row r="18115" s="76" customFormat="1" ht="21.95" customHeight="1" x14ac:dyDescent="0.15"/>
    <row r="18116" s="76" customFormat="1" ht="21.95" customHeight="1" x14ac:dyDescent="0.15"/>
    <row r="18117" s="76" customFormat="1" ht="21.95" customHeight="1" x14ac:dyDescent="0.15"/>
    <row r="18118" s="76" customFormat="1" ht="21.95" customHeight="1" x14ac:dyDescent="0.15"/>
    <row r="18119" s="76" customFormat="1" ht="21.95" customHeight="1" x14ac:dyDescent="0.15"/>
    <row r="18120" s="76" customFormat="1" ht="21.95" customHeight="1" x14ac:dyDescent="0.15"/>
    <row r="18121" s="76" customFormat="1" ht="35.1" customHeight="1" x14ac:dyDescent="0.15"/>
    <row r="18122" s="76" customFormat="1" ht="21.95" customHeight="1" x14ac:dyDescent="0.15"/>
    <row r="18123" s="76" customFormat="1" ht="21.95" customHeight="1" x14ac:dyDescent="0.15"/>
    <row r="18124" s="76" customFormat="1" ht="21.95" customHeight="1" x14ac:dyDescent="0.15"/>
    <row r="18125" s="76" customFormat="1" ht="21.95" customHeight="1" x14ac:dyDescent="0.15"/>
    <row r="18126" s="76" customFormat="1" ht="21.95" customHeight="1" x14ac:dyDescent="0.15"/>
    <row r="18127" s="76" customFormat="1" ht="21.95" customHeight="1" x14ac:dyDescent="0.15"/>
    <row r="18128" s="76" customFormat="1" ht="21.95" customHeight="1" x14ac:dyDescent="0.15"/>
    <row r="18129" s="76" customFormat="1" ht="21.95" customHeight="1" x14ac:dyDescent="0.15"/>
    <row r="18130" s="76" customFormat="1" ht="21.95" customHeight="1" x14ac:dyDescent="0.15"/>
    <row r="18131" s="76" customFormat="1" ht="21.95" customHeight="1" x14ac:dyDescent="0.15"/>
    <row r="18132" s="76" customFormat="1" ht="21.95" customHeight="1" x14ac:dyDescent="0.15"/>
    <row r="18133" s="76" customFormat="1" ht="21.95" customHeight="1" x14ac:dyDescent="0.15"/>
    <row r="18134" s="76" customFormat="1" ht="21.95" customHeight="1" x14ac:dyDescent="0.15"/>
    <row r="18135" s="76" customFormat="1" ht="21.95" customHeight="1" x14ac:dyDescent="0.15"/>
    <row r="18136" s="76" customFormat="1" ht="21.95" customHeight="1" x14ac:dyDescent="0.15"/>
    <row r="18137" s="76" customFormat="1" ht="21.95" customHeight="1" x14ac:dyDescent="0.15"/>
    <row r="18138" s="76" customFormat="1" ht="21.95" customHeight="1" x14ac:dyDescent="0.15"/>
    <row r="18139" s="76" customFormat="1" ht="21.95" customHeight="1" x14ac:dyDescent="0.15"/>
    <row r="18140" s="76" customFormat="1" ht="21.95" customHeight="1" x14ac:dyDescent="0.15"/>
    <row r="18141" s="76" customFormat="1" ht="21.95" customHeight="1" x14ac:dyDescent="0.15"/>
    <row r="18142" s="76" customFormat="1" ht="21.95" customHeight="1" x14ac:dyDescent="0.15"/>
    <row r="18143" s="76" customFormat="1" ht="21.95" customHeight="1" x14ac:dyDescent="0.15"/>
    <row r="18144" s="76" customFormat="1" ht="21.95" customHeight="1" x14ac:dyDescent="0.15"/>
    <row r="18145" spans="3:3" customFormat="1" ht="21.95" customHeight="1" x14ac:dyDescent="0.15"/>
    <row r="18146" spans="3:3" customFormat="1" ht="21.95" customHeight="1" x14ac:dyDescent="0.15"/>
    <row r="18147" spans="3:3" customFormat="1" ht="21.95" customHeight="1" x14ac:dyDescent="0.15">
      <c r="C18147" s="94"/>
    </row>
    <row r="18148" spans="3:3" customFormat="1" ht="21.95" customHeight="1" x14ac:dyDescent="0.15">
      <c r="C18148" s="94"/>
    </row>
    <row r="18149" spans="3:3" customFormat="1" ht="21.95" customHeight="1" x14ac:dyDescent="0.15"/>
    <row r="18150" spans="3:3" customFormat="1" ht="21.95" customHeight="1" x14ac:dyDescent="0.15"/>
    <row r="18151" spans="3:3" customFormat="1" ht="21.95" customHeight="1" x14ac:dyDescent="0.15"/>
    <row r="18152" spans="3:3" customFormat="1" ht="21.95" customHeight="1" x14ac:dyDescent="0.15"/>
    <row r="18153" spans="3:3" customFormat="1" ht="21.95" customHeight="1" x14ac:dyDescent="0.15"/>
    <row r="18154" spans="3:3" customFormat="1" ht="21.95" customHeight="1" x14ac:dyDescent="0.15"/>
    <row r="18155" spans="3:3" customFormat="1" ht="21.95" customHeight="1" x14ac:dyDescent="0.15"/>
    <row r="18156" spans="3:3" s="76" customFormat="1" ht="21.95" customHeight="1" x14ac:dyDescent="0.15"/>
    <row r="18157" spans="3:3" s="76" customFormat="1" ht="21.95" customHeight="1" x14ac:dyDescent="0.15"/>
    <row r="18158" spans="3:3" s="76" customFormat="1" ht="21.95" customHeight="1" x14ac:dyDescent="0.15"/>
    <row r="18159" spans="3:3" s="76" customFormat="1" ht="21.95" customHeight="1" x14ac:dyDescent="0.15"/>
    <row r="18160" spans="3:3" customFormat="1" ht="21.95" customHeight="1" x14ac:dyDescent="0.15"/>
    <row r="18161" customFormat="1" ht="21.95" customHeight="1" x14ac:dyDescent="0.15"/>
    <row r="18162" customFormat="1" ht="21.95" customHeight="1" x14ac:dyDescent="0.15"/>
    <row r="18163" customFormat="1" ht="21.95" customHeight="1" x14ac:dyDescent="0.15"/>
    <row r="18164" customFormat="1" ht="21.95" customHeight="1" x14ac:dyDescent="0.15"/>
    <row r="18165" customFormat="1" ht="21.95" customHeight="1" x14ac:dyDescent="0.15"/>
    <row r="18166" customFormat="1" ht="21.95" customHeight="1" x14ac:dyDescent="0.15"/>
    <row r="18167" customFormat="1" ht="21.95" customHeight="1" x14ac:dyDescent="0.15"/>
    <row r="18168" customFormat="1" ht="21.95" customHeight="1" x14ac:dyDescent="0.15"/>
    <row r="18169" customFormat="1" ht="21.95" customHeight="1" x14ac:dyDescent="0.15"/>
    <row r="18170" customFormat="1" ht="21.95" customHeight="1" x14ac:dyDescent="0.15"/>
    <row r="18171" customFormat="1" ht="32.1" customHeight="1" x14ac:dyDescent="0.15"/>
    <row r="18172" customFormat="1" ht="32.1" customHeight="1" x14ac:dyDescent="0.15"/>
    <row r="18173" customFormat="1" ht="32.1" customHeight="1" x14ac:dyDescent="0.15"/>
    <row r="18174" customFormat="1" ht="32.1" customHeight="1" x14ac:dyDescent="0.15"/>
    <row r="18175" customFormat="1" ht="32.1" customHeight="1" x14ac:dyDescent="0.15"/>
    <row r="18176" customFormat="1" ht="32.1" customHeight="1" x14ac:dyDescent="0.15"/>
    <row r="18177" s="76" customFormat="1" ht="32.1" customHeight="1" x14ac:dyDescent="0.15"/>
    <row r="18178" s="76" customFormat="1" ht="32.1" customHeight="1" x14ac:dyDescent="0.15"/>
    <row r="18179" s="76" customFormat="1" ht="32.1" customHeight="1" x14ac:dyDescent="0.15"/>
    <row r="18180" s="76" customFormat="1" ht="32.1" customHeight="1" x14ac:dyDescent="0.15"/>
    <row r="18181" s="76" customFormat="1" ht="21.95" customHeight="1" x14ac:dyDescent="0.15"/>
    <row r="18182" s="76" customFormat="1" ht="54" customHeight="1" x14ac:dyDescent="0.15"/>
    <row r="18183" s="76" customFormat="1" ht="21.95" customHeight="1" x14ac:dyDescent="0.15"/>
    <row r="18184" s="76" customFormat="1" ht="21.95" customHeight="1" x14ac:dyDescent="0.15"/>
    <row r="18185" s="76" customFormat="1" ht="21.95" customHeight="1" x14ac:dyDescent="0.15"/>
    <row r="18186" s="76" customFormat="1" ht="21.95" customHeight="1" x14ac:dyDescent="0.15"/>
    <row r="18187" s="76" customFormat="1" ht="21.95" customHeight="1" x14ac:dyDescent="0.15"/>
    <row r="18188" s="76" customFormat="1" ht="21.95" customHeight="1" x14ac:dyDescent="0.15"/>
    <row r="18189" s="76" customFormat="1" ht="21.95" customHeight="1" x14ac:dyDescent="0.15"/>
    <row r="18190" s="76" customFormat="1" ht="21.95" customHeight="1" x14ac:dyDescent="0.15"/>
    <row r="18191" s="76" customFormat="1" ht="21.95" customHeight="1" x14ac:dyDescent="0.15"/>
    <row r="18192" s="76" customFormat="1" ht="21.95" customHeight="1" x14ac:dyDescent="0.15"/>
    <row r="18193" s="76" customFormat="1" ht="21.95" customHeight="1" x14ac:dyDescent="0.15"/>
    <row r="18194" s="76" customFormat="1" ht="21.95" customHeight="1" x14ac:dyDescent="0.15"/>
    <row r="18195" s="76" customFormat="1" ht="21.95" customHeight="1" x14ac:dyDescent="0.15"/>
    <row r="18196" s="76" customFormat="1" ht="21.95" customHeight="1" x14ac:dyDescent="0.15"/>
    <row r="18197" s="76" customFormat="1" ht="21.95" customHeight="1" x14ac:dyDescent="0.15"/>
    <row r="18198" s="76" customFormat="1" ht="21.95" customHeight="1" x14ac:dyDescent="0.15"/>
    <row r="18199" s="76" customFormat="1" ht="21.95" customHeight="1" x14ac:dyDescent="0.15"/>
    <row r="18200" s="76" customFormat="1" ht="21.95" customHeight="1" x14ac:dyDescent="0.15"/>
    <row r="18201" s="76" customFormat="1" ht="21.95" customHeight="1" x14ac:dyDescent="0.15"/>
    <row r="18202" s="76" customFormat="1" ht="21.95" customHeight="1" x14ac:dyDescent="0.15"/>
    <row r="18203" s="76" customFormat="1" ht="21.95" customHeight="1" x14ac:dyDescent="0.15"/>
    <row r="18204" s="76" customFormat="1" ht="21.95" customHeight="1" x14ac:dyDescent="0.15"/>
    <row r="18205" s="76" customFormat="1" ht="21.95" customHeight="1" x14ac:dyDescent="0.15"/>
    <row r="18206" s="76" customFormat="1" ht="21.95" customHeight="1" x14ac:dyDescent="0.15"/>
    <row r="18207" s="76" customFormat="1" ht="21.95" customHeight="1" x14ac:dyDescent="0.15"/>
    <row r="18208" s="76" customFormat="1" ht="21.95" customHeight="1" x14ac:dyDescent="0.15"/>
    <row r="18209" s="76" customFormat="1" ht="21.95" customHeight="1" x14ac:dyDescent="0.15"/>
    <row r="18210" s="76" customFormat="1" ht="21.95" customHeight="1" x14ac:dyDescent="0.15"/>
    <row r="18211" s="76" customFormat="1" ht="21.95" customHeight="1" x14ac:dyDescent="0.15"/>
    <row r="18212" s="76" customFormat="1" ht="21.95" customHeight="1" x14ac:dyDescent="0.15"/>
    <row r="18213" s="76" customFormat="1" ht="21.95" customHeight="1" x14ac:dyDescent="0.15"/>
    <row r="18214" s="76" customFormat="1" ht="21.95" customHeight="1" x14ac:dyDescent="0.15"/>
    <row r="18215" s="76" customFormat="1" ht="21.95" customHeight="1" x14ac:dyDescent="0.15"/>
    <row r="18216" s="76" customFormat="1" ht="21.95" customHeight="1" x14ac:dyDescent="0.15"/>
    <row r="18217" s="76" customFormat="1" ht="21.95" customHeight="1" x14ac:dyDescent="0.15"/>
    <row r="18218" s="76" customFormat="1" ht="21.95" customHeight="1" x14ac:dyDescent="0.15"/>
    <row r="18219" s="76" customFormat="1" ht="21.95" customHeight="1" x14ac:dyDescent="0.15"/>
    <row r="18220" s="76" customFormat="1" ht="21.95" customHeight="1" x14ac:dyDescent="0.15"/>
    <row r="18221" s="76" customFormat="1" ht="21.95" customHeight="1" x14ac:dyDescent="0.15"/>
    <row r="18222" s="76" customFormat="1" ht="21.95" customHeight="1" x14ac:dyDescent="0.15"/>
    <row r="18223" s="76" customFormat="1" ht="21.95" customHeight="1" x14ac:dyDescent="0.15"/>
    <row r="18224" s="76" customFormat="1" ht="21.95" customHeight="1" x14ac:dyDescent="0.15"/>
    <row r="18225" s="76" customFormat="1" ht="21.95" customHeight="1" x14ac:dyDescent="0.15"/>
    <row r="18226" s="76" customFormat="1" ht="21.95" customHeight="1" x14ac:dyDescent="0.15"/>
    <row r="18227" s="76" customFormat="1" ht="21.95" customHeight="1" x14ac:dyDescent="0.15"/>
    <row r="18228" s="76" customFormat="1" ht="21.95" customHeight="1" x14ac:dyDescent="0.15"/>
    <row r="18229" s="76" customFormat="1" ht="21.95" customHeight="1" x14ac:dyDescent="0.15"/>
    <row r="18230" s="76" customFormat="1" ht="21.95" customHeight="1" x14ac:dyDescent="0.15"/>
    <row r="18231" s="76" customFormat="1" ht="21.95" customHeight="1" x14ac:dyDescent="0.15"/>
    <row r="18232" s="76" customFormat="1" ht="21.95" customHeight="1" x14ac:dyDescent="0.15"/>
    <row r="18233" s="76" customFormat="1" ht="35.1" customHeight="1" x14ac:dyDescent="0.15"/>
    <row r="18234" s="76" customFormat="1" ht="21.95" customHeight="1" x14ac:dyDescent="0.15"/>
    <row r="18235" s="76" customFormat="1" ht="21.95" customHeight="1" x14ac:dyDescent="0.15"/>
    <row r="18236" s="76" customFormat="1" ht="21.95" customHeight="1" x14ac:dyDescent="0.15"/>
    <row r="18237" s="76" customFormat="1" ht="21.95" customHeight="1" x14ac:dyDescent="0.15"/>
    <row r="18238" s="76" customFormat="1" ht="21.95" customHeight="1" x14ac:dyDescent="0.15"/>
    <row r="18239" s="76" customFormat="1" ht="21.95" customHeight="1" x14ac:dyDescent="0.15"/>
    <row r="18240" s="76" customFormat="1" ht="21.95" customHeight="1" x14ac:dyDescent="0.15"/>
    <row r="18241" s="76" customFormat="1" ht="21.95" customHeight="1" x14ac:dyDescent="0.15"/>
    <row r="18242" s="76" customFormat="1" ht="21.95" customHeight="1" x14ac:dyDescent="0.15"/>
    <row r="18243" s="76" customFormat="1" ht="21.95" customHeight="1" x14ac:dyDescent="0.15"/>
    <row r="18244" s="76" customFormat="1" ht="21.95" customHeight="1" x14ac:dyDescent="0.15"/>
    <row r="18245" s="76" customFormat="1" ht="21.95" customHeight="1" x14ac:dyDescent="0.15"/>
    <row r="18246" s="76" customFormat="1" ht="21.95" customHeight="1" x14ac:dyDescent="0.15"/>
    <row r="18247" s="76" customFormat="1" ht="21.95" customHeight="1" x14ac:dyDescent="0.15"/>
    <row r="18248" s="76" customFormat="1" ht="21.95" customHeight="1" x14ac:dyDescent="0.15"/>
    <row r="18249" s="76" customFormat="1" ht="21.95" customHeight="1" x14ac:dyDescent="0.15"/>
    <row r="18250" s="76" customFormat="1" ht="21.95" customHeight="1" x14ac:dyDescent="0.15"/>
    <row r="18251" s="76" customFormat="1" ht="21.95" customHeight="1" x14ac:dyDescent="0.15"/>
    <row r="18252" s="76" customFormat="1" ht="21.95" customHeight="1" x14ac:dyDescent="0.15"/>
    <row r="18253" s="76" customFormat="1" ht="21.95" customHeight="1" x14ac:dyDescent="0.15"/>
    <row r="18254" s="76" customFormat="1" ht="21.95" customHeight="1" x14ac:dyDescent="0.15"/>
    <row r="18255" s="76" customFormat="1" ht="21.95" customHeight="1" x14ac:dyDescent="0.15"/>
    <row r="18256" s="76" customFormat="1" ht="21.95" customHeight="1" x14ac:dyDescent="0.15"/>
    <row r="18257" spans="3:3" customFormat="1" ht="21.95" customHeight="1" x14ac:dyDescent="0.15"/>
    <row r="18258" spans="3:3" customFormat="1" ht="21.95" customHeight="1" x14ac:dyDescent="0.15"/>
    <row r="18259" spans="3:3" customFormat="1" ht="21.95" customHeight="1" x14ac:dyDescent="0.15">
      <c r="C18259" s="94"/>
    </row>
    <row r="18260" spans="3:3" customFormat="1" ht="21.95" customHeight="1" x14ac:dyDescent="0.15">
      <c r="C18260" s="94"/>
    </row>
    <row r="18261" spans="3:3" customFormat="1" ht="21.95" customHeight="1" x14ac:dyDescent="0.15"/>
    <row r="18262" spans="3:3" customFormat="1" ht="21.95" customHeight="1" x14ac:dyDescent="0.15"/>
    <row r="18263" spans="3:3" customFormat="1" ht="21.95" customHeight="1" x14ac:dyDescent="0.15"/>
    <row r="18264" spans="3:3" customFormat="1" ht="21.95" customHeight="1" x14ac:dyDescent="0.15"/>
    <row r="18265" spans="3:3" customFormat="1" ht="21.95" customHeight="1" x14ac:dyDescent="0.15"/>
    <row r="18266" spans="3:3" customFormat="1" ht="21.95" customHeight="1" x14ac:dyDescent="0.15"/>
    <row r="18267" spans="3:3" customFormat="1" ht="21.95" customHeight="1" x14ac:dyDescent="0.15"/>
    <row r="18268" spans="3:3" s="76" customFormat="1" ht="21.95" customHeight="1" x14ac:dyDescent="0.15"/>
    <row r="18269" spans="3:3" s="76" customFormat="1" ht="21.95" customHeight="1" x14ac:dyDescent="0.15"/>
    <row r="18270" spans="3:3" s="76" customFormat="1" ht="21.95" customHeight="1" x14ac:dyDescent="0.15"/>
    <row r="18271" spans="3:3" s="76" customFormat="1" ht="21.95" customHeight="1" x14ac:dyDescent="0.15"/>
    <row r="18272" spans="3:3" customFormat="1" ht="21.95" customHeight="1" x14ac:dyDescent="0.15"/>
    <row r="18273" customFormat="1" ht="21.95" customHeight="1" x14ac:dyDescent="0.15"/>
    <row r="18274" customFormat="1" ht="21.95" customHeight="1" x14ac:dyDescent="0.15"/>
    <row r="18275" customFormat="1" ht="21.95" customHeight="1" x14ac:dyDescent="0.15"/>
    <row r="18276" customFormat="1" ht="21.95" customHeight="1" x14ac:dyDescent="0.15"/>
    <row r="18277" customFormat="1" ht="21.95" customHeight="1" x14ac:dyDescent="0.15"/>
    <row r="18278" customFormat="1" ht="21.95" customHeight="1" x14ac:dyDescent="0.15"/>
    <row r="18279" customFormat="1" ht="21.95" customHeight="1" x14ac:dyDescent="0.15"/>
    <row r="18280" customFormat="1" ht="21.95" customHeight="1" x14ac:dyDescent="0.15"/>
    <row r="18281" customFormat="1" ht="21.95" customHeight="1" x14ac:dyDescent="0.15"/>
    <row r="18282" customFormat="1" ht="21.95" customHeight="1" x14ac:dyDescent="0.15"/>
    <row r="18283" customFormat="1" ht="32.1" customHeight="1" x14ac:dyDescent="0.15"/>
    <row r="18284" customFormat="1" ht="32.1" customHeight="1" x14ac:dyDescent="0.15"/>
    <row r="18285" customFormat="1" ht="32.1" customHeight="1" x14ac:dyDescent="0.15"/>
    <row r="18286" customFormat="1" ht="32.1" customHeight="1" x14ac:dyDescent="0.15"/>
    <row r="18287" customFormat="1" ht="32.1" customHeight="1" x14ac:dyDescent="0.15"/>
    <row r="18288" customFormat="1" ht="32.1" customHeight="1" x14ac:dyDescent="0.15"/>
    <row r="18289" s="76" customFormat="1" ht="32.1" customHeight="1" x14ac:dyDescent="0.15"/>
    <row r="18290" s="76" customFormat="1" ht="32.1" customHeight="1" x14ac:dyDescent="0.15"/>
    <row r="18291" s="76" customFormat="1" ht="32.1" customHeight="1" x14ac:dyDescent="0.15"/>
    <row r="18292" s="76" customFormat="1" ht="32.1" customHeight="1" x14ac:dyDescent="0.15"/>
    <row r="18293" s="76" customFormat="1" ht="21.95" customHeight="1" x14ac:dyDescent="0.15"/>
    <row r="18294" s="76" customFormat="1" ht="54" customHeight="1" x14ac:dyDescent="0.15"/>
    <row r="18295" s="76" customFormat="1" ht="21.95" customHeight="1" x14ac:dyDescent="0.15"/>
    <row r="18296" s="76" customFormat="1" ht="21.95" customHeight="1" x14ac:dyDescent="0.15"/>
    <row r="18297" s="76" customFormat="1" ht="21.95" customHeight="1" x14ac:dyDescent="0.15"/>
    <row r="18298" s="76" customFormat="1" ht="21.95" customHeight="1" x14ac:dyDescent="0.15"/>
    <row r="18299" s="76" customFormat="1" ht="21.95" customHeight="1" x14ac:dyDescent="0.15"/>
    <row r="18300" s="76" customFormat="1" ht="21.95" customHeight="1" x14ac:dyDescent="0.15"/>
    <row r="18301" s="76" customFormat="1" ht="21.95" customHeight="1" x14ac:dyDescent="0.15"/>
    <row r="18302" s="76" customFormat="1" ht="21.95" customHeight="1" x14ac:dyDescent="0.15"/>
    <row r="18303" s="76" customFormat="1" ht="21.95" customHeight="1" x14ac:dyDescent="0.15"/>
    <row r="18304" s="76" customFormat="1" ht="21.95" customHeight="1" x14ac:dyDescent="0.15"/>
    <row r="18305" s="76" customFormat="1" ht="21.95" customHeight="1" x14ac:dyDescent="0.15"/>
    <row r="18306" s="76" customFormat="1" ht="21.95" customHeight="1" x14ac:dyDescent="0.15"/>
    <row r="18307" s="76" customFormat="1" ht="21.95" customHeight="1" x14ac:dyDescent="0.15"/>
    <row r="18308" s="76" customFormat="1" ht="21.95" customHeight="1" x14ac:dyDescent="0.15"/>
    <row r="18309" s="76" customFormat="1" ht="21.95" customHeight="1" x14ac:dyDescent="0.15"/>
    <row r="18310" s="76" customFormat="1" ht="21.95" customHeight="1" x14ac:dyDescent="0.15"/>
    <row r="18311" s="76" customFormat="1" ht="21.95" customHeight="1" x14ac:dyDescent="0.15"/>
    <row r="18312" s="76" customFormat="1" ht="21.95" customHeight="1" x14ac:dyDescent="0.15"/>
    <row r="18313" s="76" customFormat="1" ht="21.95" customHeight="1" x14ac:dyDescent="0.15"/>
    <row r="18314" s="76" customFormat="1" ht="21.95" customHeight="1" x14ac:dyDescent="0.15"/>
    <row r="18315" s="76" customFormat="1" ht="21.95" customHeight="1" x14ac:dyDescent="0.15"/>
    <row r="18316" s="76" customFormat="1" ht="21.95" customHeight="1" x14ac:dyDescent="0.15"/>
    <row r="18317" s="76" customFormat="1" ht="21.95" customHeight="1" x14ac:dyDescent="0.15"/>
    <row r="18318" s="76" customFormat="1" ht="21.95" customHeight="1" x14ac:dyDescent="0.15"/>
    <row r="18319" s="76" customFormat="1" ht="21.95" customHeight="1" x14ac:dyDescent="0.15"/>
    <row r="18320" s="76" customFormat="1" ht="21.95" customHeight="1" x14ac:dyDescent="0.15"/>
    <row r="18321" s="76" customFormat="1" ht="21.95" customHeight="1" x14ac:dyDescent="0.15"/>
    <row r="18322" s="76" customFormat="1" ht="21.95" customHeight="1" x14ac:dyDescent="0.15"/>
    <row r="18323" s="76" customFormat="1" ht="21.95" customHeight="1" x14ac:dyDescent="0.15"/>
    <row r="18324" s="76" customFormat="1" ht="21.95" customHeight="1" x14ac:dyDescent="0.15"/>
    <row r="18325" s="76" customFormat="1" ht="21.95" customHeight="1" x14ac:dyDescent="0.15"/>
    <row r="18326" s="76" customFormat="1" ht="21.95" customHeight="1" x14ac:dyDescent="0.15"/>
    <row r="18327" s="76" customFormat="1" ht="21.95" customHeight="1" x14ac:dyDescent="0.15"/>
    <row r="18328" s="76" customFormat="1" ht="21.95" customHeight="1" x14ac:dyDescent="0.15"/>
    <row r="18329" s="76" customFormat="1" ht="21.95" customHeight="1" x14ac:dyDescent="0.15"/>
    <row r="18330" s="76" customFormat="1" ht="21.95" customHeight="1" x14ac:dyDescent="0.15"/>
    <row r="18331" s="76" customFormat="1" ht="21.95" customHeight="1" x14ac:dyDescent="0.15"/>
    <row r="18332" s="76" customFormat="1" ht="21.95" customHeight="1" x14ac:dyDescent="0.15"/>
    <row r="18333" s="76" customFormat="1" ht="21.95" customHeight="1" x14ac:dyDescent="0.15"/>
    <row r="18334" s="76" customFormat="1" ht="21.95" customHeight="1" x14ac:dyDescent="0.15"/>
    <row r="18335" s="76" customFormat="1" ht="21.95" customHeight="1" x14ac:dyDescent="0.15"/>
    <row r="18336" s="76" customFormat="1" ht="21.95" customHeight="1" x14ac:dyDescent="0.15"/>
    <row r="18337" s="76" customFormat="1" ht="21.95" customHeight="1" x14ac:dyDescent="0.15"/>
    <row r="18338" s="76" customFormat="1" ht="21.95" customHeight="1" x14ac:dyDescent="0.15"/>
    <row r="18339" s="76" customFormat="1" ht="21.95" customHeight="1" x14ac:dyDescent="0.15"/>
    <row r="18340" s="76" customFormat="1" ht="21.95" customHeight="1" x14ac:dyDescent="0.15"/>
    <row r="18341" s="76" customFormat="1" ht="21.95" customHeight="1" x14ac:dyDescent="0.15"/>
    <row r="18342" s="76" customFormat="1" ht="21.95" customHeight="1" x14ac:dyDescent="0.15"/>
    <row r="18343" s="76" customFormat="1" ht="21.95" customHeight="1" x14ac:dyDescent="0.15"/>
    <row r="18344" s="76" customFormat="1" ht="21.95" customHeight="1" x14ac:dyDescent="0.15"/>
    <row r="18345" s="76" customFormat="1" ht="35.1" customHeight="1" x14ac:dyDescent="0.15"/>
    <row r="18346" s="76" customFormat="1" ht="21.95" customHeight="1" x14ac:dyDescent="0.15"/>
    <row r="18347" s="76" customFormat="1" ht="21.95" customHeight="1" x14ac:dyDescent="0.15"/>
    <row r="18348" s="76" customFormat="1" ht="21.95" customHeight="1" x14ac:dyDescent="0.15"/>
    <row r="18349" s="76" customFormat="1" ht="21.95" customHeight="1" x14ac:dyDescent="0.15"/>
    <row r="18350" s="76" customFormat="1" ht="21.95" customHeight="1" x14ac:dyDescent="0.15"/>
    <row r="18351" s="76" customFormat="1" ht="21.95" customHeight="1" x14ac:dyDescent="0.15"/>
    <row r="18352" s="76" customFormat="1" ht="21.95" customHeight="1" x14ac:dyDescent="0.15"/>
    <row r="18353" s="76" customFormat="1" ht="21.95" customHeight="1" x14ac:dyDescent="0.15"/>
    <row r="18354" s="76" customFormat="1" ht="21.95" customHeight="1" x14ac:dyDescent="0.15"/>
    <row r="18355" s="76" customFormat="1" ht="21.95" customHeight="1" x14ac:dyDescent="0.15"/>
    <row r="18356" s="76" customFormat="1" ht="21.95" customHeight="1" x14ac:dyDescent="0.15"/>
    <row r="18357" s="76" customFormat="1" ht="21.95" customHeight="1" x14ac:dyDescent="0.15"/>
    <row r="18358" s="76" customFormat="1" ht="21.95" customHeight="1" x14ac:dyDescent="0.15"/>
    <row r="18359" s="76" customFormat="1" ht="21.95" customHeight="1" x14ac:dyDescent="0.15"/>
    <row r="18360" s="76" customFormat="1" ht="21.95" customHeight="1" x14ac:dyDescent="0.15"/>
    <row r="18361" s="76" customFormat="1" ht="21.95" customHeight="1" x14ac:dyDescent="0.15"/>
    <row r="18362" s="76" customFormat="1" ht="21.95" customHeight="1" x14ac:dyDescent="0.15"/>
    <row r="18363" s="76" customFormat="1" ht="21.95" customHeight="1" x14ac:dyDescent="0.15"/>
    <row r="18364" s="76" customFormat="1" ht="21.95" customHeight="1" x14ac:dyDescent="0.15"/>
    <row r="18365" s="76" customFormat="1" ht="21.95" customHeight="1" x14ac:dyDescent="0.15"/>
    <row r="18366" s="76" customFormat="1" ht="21.95" customHeight="1" x14ac:dyDescent="0.15"/>
    <row r="18367" s="76" customFormat="1" ht="21.95" customHeight="1" x14ac:dyDescent="0.15"/>
    <row r="18368" s="76" customFormat="1" ht="21.95" customHeight="1" x14ac:dyDescent="0.15"/>
    <row r="18369" spans="3:3" customFormat="1" ht="21.95" customHeight="1" x14ac:dyDescent="0.15"/>
    <row r="18370" spans="3:3" customFormat="1" ht="21.95" customHeight="1" x14ac:dyDescent="0.15"/>
    <row r="18371" spans="3:3" customFormat="1" ht="21.95" customHeight="1" x14ac:dyDescent="0.15">
      <c r="C18371" s="94"/>
    </row>
    <row r="18372" spans="3:3" customFormat="1" ht="21.95" customHeight="1" x14ac:dyDescent="0.15">
      <c r="C18372" s="94"/>
    </row>
    <row r="18373" spans="3:3" customFormat="1" ht="21.95" customHeight="1" x14ac:dyDescent="0.15"/>
    <row r="18374" spans="3:3" customFormat="1" ht="21.95" customHeight="1" x14ac:dyDescent="0.15"/>
    <row r="18375" spans="3:3" customFormat="1" ht="21.95" customHeight="1" x14ac:dyDescent="0.15"/>
    <row r="18376" spans="3:3" customFormat="1" ht="21.95" customHeight="1" x14ac:dyDescent="0.15"/>
    <row r="18377" spans="3:3" customFormat="1" ht="21.95" customHeight="1" x14ac:dyDescent="0.15"/>
    <row r="18378" spans="3:3" customFormat="1" ht="21.95" customHeight="1" x14ac:dyDescent="0.15"/>
    <row r="18379" spans="3:3" customFormat="1" ht="21.95" customHeight="1" x14ac:dyDescent="0.15"/>
    <row r="18380" spans="3:3" s="76" customFormat="1" ht="21.95" customHeight="1" x14ac:dyDescent="0.15"/>
    <row r="18381" spans="3:3" s="76" customFormat="1" ht="21.95" customHeight="1" x14ac:dyDescent="0.15"/>
    <row r="18382" spans="3:3" s="76" customFormat="1" ht="21.95" customHeight="1" x14ac:dyDescent="0.15"/>
    <row r="18383" spans="3:3" s="76" customFormat="1" ht="21.95" customHeight="1" x14ac:dyDescent="0.15"/>
    <row r="18384" spans="3:3" customFormat="1" ht="21.95" customHeight="1" x14ac:dyDescent="0.15"/>
    <row r="18385" customFormat="1" ht="21.95" customHeight="1" x14ac:dyDescent="0.15"/>
    <row r="18386" customFormat="1" ht="21.95" customHeight="1" x14ac:dyDescent="0.15"/>
    <row r="18387" customFormat="1" ht="21.95" customHeight="1" x14ac:dyDescent="0.15"/>
    <row r="18388" customFormat="1" ht="21.95" customHeight="1" x14ac:dyDescent="0.15"/>
    <row r="18389" customFormat="1" ht="21.95" customHeight="1" x14ac:dyDescent="0.15"/>
    <row r="18390" customFormat="1" ht="21.95" customHeight="1" x14ac:dyDescent="0.15"/>
    <row r="18391" customFormat="1" ht="21.95" customHeight="1" x14ac:dyDescent="0.15"/>
    <row r="18392" customFormat="1" ht="21.95" customHeight="1" x14ac:dyDescent="0.15"/>
    <row r="18393" customFormat="1" ht="21.95" customHeight="1" x14ac:dyDescent="0.15"/>
    <row r="18394" customFormat="1" ht="21.95" customHeight="1" x14ac:dyDescent="0.15"/>
    <row r="18395" customFormat="1" ht="32.1" customHeight="1" x14ac:dyDescent="0.15"/>
    <row r="18396" customFormat="1" ht="32.1" customHeight="1" x14ac:dyDescent="0.15"/>
    <row r="18397" customFormat="1" ht="32.1" customHeight="1" x14ac:dyDescent="0.15"/>
    <row r="18398" customFormat="1" ht="32.1" customHeight="1" x14ac:dyDescent="0.15"/>
    <row r="18399" customFormat="1" ht="32.1" customHeight="1" x14ac:dyDescent="0.15"/>
    <row r="18400" customFormat="1" ht="32.1" customHeight="1" x14ac:dyDescent="0.15"/>
    <row r="18401" s="76" customFormat="1" ht="32.1" customHeight="1" x14ac:dyDescent="0.15"/>
    <row r="18402" s="76" customFormat="1" ht="32.1" customHeight="1" x14ac:dyDescent="0.15"/>
    <row r="18403" s="76" customFormat="1" ht="32.1" customHeight="1" x14ac:dyDescent="0.15"/>
    <row r="18404" s="76" customFormat="1" ht="32.1" customHeight="1" x14ac:dyDescent="0.15"/>
    <row r="18405" s="76" customFormat="1" ht="21.95" customHeight="1" x14ac:dyDescent="0.15"/>
    <row r="18406" s="76" customFormat="1" ht="54" customHeight="1" x14ac:dyDescent="0.15"/>
    <row r="18407" s="76" customFormat="1" ht="21.95" customHeight="1" x14ac:dyDescent="0.15"/>
    <row r="18408" s="76" customFormat="1" ht="21.95" customHeight="1" x14ac:dyDescent="0.15"/>
    <row r="18409" s="76" customFormat="1" ht="21.95" customHeight="1" x14ac:dyDescent="0.15"/>
    <row r="18410" s="76" customFormat="1" ht="21.95" customHeight="1" x14ac:dyDescent="0.15"/>
    <row r="18411" s="76" customFormat="1" ht="21.95" customHeight="1" x14ac:dyDescent="0.15"/>
    <row r="18412" s="76" customFormat="1" ht="21.95" customHeight="1" x14ac:dyDescent="0.15"/>
    <row r="18413" s="76" customFormat="1" ht="21.95" customHeight="1" x14ac:dyDescent="0.15"/>
    <row r="18414" s="76" customFormat="1" ht="21.95" customHeight="1" x14ac:dyDescent="0.15"/>
    <row r="18415" s="76" customFormat="1" ht="21.95" customHeight="1" x14ac:dyDescent="0.15"/>
    <row r="18416" s="76" customFormat="1" ht="21.95" customHeight="1" x14ac:dyDescent="0.15"/>
    <row r="18417" s="76" customFormat="1" ht="21.95" customHeight="1" x14ac:dyDescent="0.15"/>
    <row r="18418" s="76" customFormat="1" ht="21.95" customHeight="1" x14ac:dyDescent="0.15"/>
    <row r="18419" s="76" customFormat="1" ht="21.95" customHeight="1" x14ac:dyDescent="0.15"/>
    <row r="18420" s="76" customFormat="1" ht="21.95" customHeight="1" x14ac:dyDescent="0.15"/>
    <row r="18421" s="76" customFormat="1" ht="21.95" customHeight="1" x14ac:dyDescent="0.15"/>
    <row r="18422" s="76" customFormat="1" ht="21.95" customHeight="1" x14ac:dyDescent="0.15"/>
    <row r="18423" s="76" customFormat="1" ht="21.95" customHeight="1" x14ac:dyDescent="0.15"/>
    <row r="18424" s="76" customFormat="1" ht="21.95" customHeight="1" x14ac:dyDescent="0.15"/>
    <row r="18425" s="76" customFormat="1" ht="21.95" customHeight="1" x14ac:dyDescent="0.15"/>
    <row r="18426" s="76" customFormat="1" ht="21.95" customHeight="1" x14ac:dyDescent="0.15"/>
    <row r="18427" s="76" customFormat="1" ht="21.95" customHeight="1" x14ac:dyDescent="0.15"/>
    <row r="18428" s="76" customFormat="1" ht="21.95" customHeight="1" x14ac:dyDescent="0.15"/>
    <row r="18429" s="76" customFormat="1" ht="21.95" customHeight="1" x14ac:dyDescent="0.15"/>
    <row r="18430" s="76" customFormat="1" ht="21.95" customHeight="1" x14ac:dyDescent="0.15"/>
    <row r="18431" s="76" customFormat="1" ht="21.95" customHeight="1" x14ac:dyDescent="0.15"/>
    <row r="18432" s="76" customFormat="1" ht="21.95" customHeight="1" x14ac:dyDescent="0.15"/>
    <row r="18433" s="76" customFormat="1" ht="21.95" customHeight="1" x14ac:dyDescent="0.15"/>
    <row r="18434" s="76" customFormat="1" ht="21.95" customHeight="1" x14ac:dyDescent="0.15"/>
    <row r="18435" s="76" customFormat="1" ht="21.95" customHeight="1" x14ac:dyDescent="0.15"/>
    <row r="18436" s="76" customFormat="1" ht="21.95" customHeight="1" x14ac:dyDescent="0.15"/>
    <row r="18437" s="76" customFormat="1" ht="21.95" customHeight="1" x14ac:dyDescent="0.15"/>
    <row r="18438" s="76" customFormat="1" ht="21.95" customHeight="1" x14ac:dyDescent="0.15"/>
    <row r="18439" s="76" customFormat="1" ht="21.95" customHeight="1" x14ac:dyDescent="0.15"/>
    <row r="18440" s="76" customFormat="1" ht="21.95" customHeight="1" x14ac:dyDescent="0.15"/>
    <row r="18441" s="76" customFormat="1" ht="21.95" customHeight="1" x14ac:dyDescent="0.15"/>
    <row r="18442" s="76" customFormat="1" ht="21.95" customHeight="1" x14ac:dyDescent="0.15"/>
    <row r="18443" s="76" customFormat="1" ht="21.95" customHeight="1" x14ac:dyDescent="0.15"/>
    <row r="18444" s="76" customFormat="1" ht="21.95" customHeight="1" x14ac:dyDescent="0.15"/>
    <row r="18445" s="76" customFormat="1" ht="21.95" customHeight="1" x14ac:dyDescent="0.15"/>
    <row r="18446" s="76" customFormat="1" ht="21.95" customHeight="1" x14ac:dyDescent="0.15"/>
    <row r="18447" s="76" customFormat="1" ht="21.95" customHeight="1" x14ac:dyDescent="0.15"/>
    <row r="18448" s="76" customFormat="1" ht="21.95" customHeight="1" x14ac:dyDescent="0.15"/>
    <row r="18449" s="76" customFormat="1" ht="21.95" customHeight="1" x14ac:dyDescent="0.15"/>
    <row r="18450" s="76" customFormat="1" ht="21.95" customHeight="1" x14ac:dyDescent="0.15"/>
    <row r="18451" s="76" customFormat="1" ht="21.95" customHeight="1" x14ac:dyDescent="0.15"/>
    <row r="18452" s="76" customFormat="1" ht="21.95" customHeight="1" x14ac:dyDescent="0.15"/>
    <row r="18453" s="76" customFormat="1" ht="21.95" customHeight="1" x14ac:dyDescent="0.15"/>
    <row r="18454" s="76" customFormat="1" ht="21.95" customHeight="1" x14ac:dyDescent="0.15"/>
    <row r="18455" s="76" customFormat="1" ht="21.95" customHeight="1" x14ac:dyDescent="0.15"/>
    <row r="18456" s="76" customFormat="1" ht="21.95" customHeight="1" x14ac:dyDescent="0.15"/>
    <row r="18457" s="76" customFormat="1" ht="35.1" customHeight="1" x14ac:dyDescent="0.15"/>
    <row r="18458" s="76" customFormat="1" ht="21.95" customHeight="1" x14ac:dyDescent="0.15"/>
    <row r="18459" s="76" customFormat="1" ht="21.95" customHeight="1" x14ac:dyDescent="0.15"/>
    <row r="18460" s="76" customFormat="1" ht="21.95" customHeight="1" x14ac:dyDescent="0.15"/>
    <row r="18461" s="76" customFormat="1" ht="21.95" customHeight="1" x14ac:dyDescent="0.15"/>
    <row r="18462" s="76" customFormat="1" ht="21.95" customHeight="1" x14ac:dyDescent="0.15"/>
    <row r="18463" s="76" customFormat="1" ht="21.95" customHeight="1" x14ac:dyDescent="0.15"/>
    <row r="18464" s="76" customFormat="1" ht="21.95" customHeight="1" x14ac:dyDescent="0.15"/>
    <row r="18465" s="76" customFormat="1" ht="21.95" customHeight="1" x14ac:dyDescent="0.15"/>
    <row r="18466" s="76" customFormat="1" ht="21.95" customHeight="1" x14ac:dyDescent="0.15"/>
    <row r="18467" s="76" customFormat="1" ht="21.95" customHeight="1" x14ac:dyDescent="0.15"/>
    <row r="18468" s="76" customFormat="1" ht="21.95" customHeight="1" x14ac:dyDescent="0.15"/>
    <row r="18469" s="76" customFormat="1" ht="21.95" customHeight="1" x14ac:dyDescent="0.15"/>
    <row r="18470" s="76" customFormat="1" ht="21.95" customHeight="1" x14ac:dyDescent="0.15"/>
    <row r="18471" s="76" customFormat="1" ht="21.95" customHeight="1" x14ac:dyDescent="0.15"/>
    <row r="18472" s="76" customFormat="1" ht="21.95" customHeight="1" x14ac:dyDescent="0.15"/>
    <row r="18473" s="76" customFormat="1" ht="21.95" customHeight="1" x14ac:dyDescent="0.15"/>
    <row r="18474" s="76" customFormat="1" ht="21.95" customHeight="1" x14ac:dyDescent="0.15"/>
    <row r="18475" s="76" customFormat="1" ht="21.95" customHeight="1" x14ac:dyDescent="0.15"/>
    <row r="18476" s="76" customFormat="1" ht="21.95" customHeight="1" x14ac:dyDescent="0.15"/>
    <row r="18477" s="76" customFormat="1" ht="21.95" customHeight="1" x14ac:dyDescent="0.15"/>
    <row r="18478" s="76" customFormat="1" ht="21.95" customHeight="1" x14ac:dyDescent="0.15"/>
    <row r="18479" s="76" customFormat="1" ht="21.95" customHeight="1" x14ac:dyDescent="0.15"/>
    <row r="18480" s="76" customFormat="1" ht="21.95" customHeight="1" x14ac:dyDescent="0.15"/>
    <row r="18481" spans="3:3" customFormat="1" ht="21.95" customHeight="1" x14ac:dyDescent="0.15"/>
    <row r="18482" spans="3:3" customFormat="1" ht="21.95" customHeight="1" x14ac:dyDescent="0.15"/>
    <row r="18483" spans="3:3" customFormat="1" ht="21.95" customHeight="1" x14ac:dyDescent="0.15">
      <c r="C18483" s="94"/>
    </row>
    <row r="18484" spans="3:3" customFormat="1" ht="21.95" customHeight="1" x14ac:dyDescent="0.15">
      <c r="C18484" s="94"/>
    </row>
    <row r="18485" spans="3:3" customFormat="1" ht="21.95" customHeight="1" x14ac:dyDescent="0.15"/>
    <row r="18486" spans="3:3" customFormat="1" ht="21.95" customHeight="1" x14ac:dyDescent="0.15"/>
    <row r="18487" spans="3:3" customFormat="1" ht="21.95" customHeight="1" x14ac:dyDescent="0.15"/>
    <row r="18488" spans="3:3" customFormat="1" ht="21.95" customHeight="1" x14ac:dyDescent="0.15"/>
    <row r="18489" spans="3:3" customFormat="1" ht="21.95" customHeight="1" x14ac:dyDescent="0.15"/>
    <row r="18490" spans="3:3" customFormat="1" ht="21.95" customHeight="1" x14ac:dyDescent="0.15"/>
    <row r="18491" spans="3:3" customFormat="1" ht="21.95" customHeight="1" x14ac:dyDescent="0.15"/>
    <row r="18492" spans="3:3" s="76" customFormat="1" ht="21.95" customHeight="1" x14ac:dyDescent="0.15"/>
    <row r="18493" spans="3:3" s="76" customFormat="1" ht="21.95" customHeight="1" x14ac:dyDescent="0.15"/>
    <row r="18494" spans="3:3" s="76" customFormat="1" ht="21.95" customHeight="1" x14ac:dyDescent="0.15"/>
    <row r="18495" spans="3:3" s="76" customFormat="1" ht="21.95" customHeight="1" x14ac:dyDescent="0.15"/>
    <row r="18496" spans="3:3" customFormat="1" ht="21.95" customHeight="1" x14ac:dyDescent="0.15"/>
    <row r="18497" customFormat="1" ht="21.95" customHeight="1" x14ac:dyDescent="0.15"/>
    <row r="18498" customFormat="1" ht="21.95" customHeight="1" x14ac:dyDescent="0.15"/>
    <row r="18499" customFormat="1" ht="21.95" customHeight="1" x14ac:dyDescent="0.15"/>
    <row r="18500" customFormat="1" ht="21.95" customHeight="1" x14ac:dyDescent="0.15"/>
    <row r="18501" customFormat="1" ht="21.95" customHeight="1" x14ac:dyDescent="0.15"/>
    <row r="18502" customFormat="1" ht="21.95" customHeight="1" x14ac:dyDescent="0.15"/>
    <row r="18503" customFormat="1" ht="21.95" customHeight="1" x14ac:dyDescent="0.15"/>
    <row r="18504" customFormat="1" ht="21.95" customHeight="1" x14ac:dyDescent="0.15"/>
    <row r="18505" customFormat="1" ht="21.95" customHeight="1" x14ac:dyDescent="0.15"/>
    <row r="18506" customFormat="1" ht="21.95" customHeight="1" x14ac:dyDescent="0.15"/>
    <row r="18507" customFormat="1" ht="32.1" customHeight="1" x14ac:dyDescent="0.15"/>
    <row r="18508" customFormat="1" ht="32.1" customHeight="1" x14ac:dyDescent="0.15"/>
    <row r="18509" customFormat="1" ht="32.1" customHeight="1" x14ac:dyDescent="0.15"/>
    <row r="18510" customFormat="1" ht="32.1" customHeight="1" x14ac:dyDescent="0.15"/>
    <row r="18511" customFormat="1" ht="32.1" customHeight="1" x14ac:dyDescent="0.15"/>
    <row r="18512" customFormat="1" ht="32.1" customHeight="1" x14ac:dyDescent="0.15"/>
    <row r="18513" s="76" customFormat="1" ht="32.1" customHeight="1" x14ac:dyDescent="0.15"/>
    <row r="18514" s="76" customFormat="1" ht="32.1" customHeight="1" x14ac:dyDescent="0.15"/>
    <row r="18515" s="76" customFormat="1" ht="32.1" customHeight="1" x14ac:dyDescent="0.15"/>
    <row r="18516" s="76" customFormat="1" ht="32.1" customHeight="1" x14ac:dyDescent="0.15"/>
    <row r="18517" s="76" customFormat="1" ht="21.95" customHeight="1" x14ac:dyDescent="0.15"/>
    <row r="18518" s="76" customFormat="1" ht="54" customHeight="1" x14ac:dyDescent="0.15"/>
    <row r="18519" s="76" customFormat="1" ht="21.95" customHeight="1" x14ac:dyDescent="0.15"/>
    <row r="18520" s="76" customFormat="1" ht="21.95" customHeight="1" x14ac:dyDescent="0.15"/>
    <row r="18521" s="76" customFormat="1" ht="21.95" customHeight="1" x14ac:dyDescent="0.15"/>
    <row r="18522" s="76" customFormat="1" ht="21.95" customHeight="1" x14ac:dyDescent="0.15"/>
    <row r="18523" s="76" customFormat="1" ht="21.95" customHeight="1" x14ac:dyDescent="0.15"/>
    <row r="18524" s="76" customFormat="1" ht="21.95" customHeight="1" x14ac:dyDescent="0.15"/>
    <row r="18525" s="76" customFormat="1" ht="21.95" customHeight="1" x14ac:dyDescent="0.15"/>
    <row r="18526" s="76" customFormat="1" ht="21.95" customHeight="1" x14ac:dyDescent="0.15"/>
    <row r="18527" s="76" customFormat="1" ht="21.95" customHeight="1" x14ac:dyDescent="0.15"/>
    <row r="18528" s="76" customFormat="1" ht="21.95" customHeight="1" x14ac:dyDescent="0.15"/>
    <row r="18529" s="76" customFormat="1" ht="21.95" customHeight="1" x14ac:dyDescent="0.15"/>
    <row r="18530" s="76" customFormat="1" ht="21.95" customHeight="1" x14ac:dyDescent="0.15"/>
    <row r="18531" s="76" customFormat="1" ht="21.95" customHeight="1" x14ac:dyDescent="0.15"/>
    <row r="18532" s="76" customFormat="1" ht="21.95" customHeight="1" x14ac:dyDescent="0.15"/>
    <row r="18533" s="76" customFormat="1" ht="21.95" customHeight="1" x14ac:dyDescent="0.15"/>
    <row r="18534" s="76" customFormat="1" ht="21.95" customHeight="1" x14ac:dyDescent="0.15"/>
    <row r="18535" s="76" customFormat="1" ht="21.95" customHeight="1" x14ac:dyDescent="0.15"/>
    <row r="18536" s="76" customFormat="1" ht="21.95" customHeight="1" x14ac:dyDescent="0.15"/>
    <row r="18537" s="76" customFormat="1" ht="21.95" customHeight="1" x14ac:dyDescent="0.15"/>
    <row r="18538" s="76" customFormat="1" ht="21.95" customHeight="1" x14ac:dyDescent="0.15"/>
    <row r="18539" s="76" customFormat="1" ht="21.95" customHeight="1" x14ac:dyDescent="0.15"/>
    <row r="18540" s="76" customFormat="1" ht="21.95" customHeight="1" x14ac:dyDescent="0.15"/>
    <row r="18541" s="76" customFormat="1" ht="21.95" customHeight="1" x14ac:dyDescent="0.15"/>
    <row r="18542" s="76" customFormat="1" ht="21.95" customHeight="1" x14ac:dyDescent="0.15"/>
    <row r="18543" s="76" customFormat="1" ht="21.95" customHeight="1" x14ac:dyDescent="0.15"/>
    <row r="18544" s="76" customFormat="1" ht="21.95" customHeight="1" x14ac:dyDescent="0.15"/>
    <row r="18545" s="76" customFormat="1" ht="21.95" customHeight="1" x14ac:dyDescent="0.15"/>
    <row r="18546" s="76" customFormat="1" ht="21.95" customHeight="1" x14ac:dyDescent="0.15"/>
    <row r="18547" s="76" customFormat="1" ht="21.95" customHeight="1" x14ac:dyDescent="0.15"/>
    <row r="18548" s="76" customFormat="1" ht="21.95" customHeight="1" x14ac:dyDescent="0.15"/>
    <row r="18549" s="76" customFormat="1" ht="21.95" customHeight="1" x14ac:dyDescent="0.15"/>
    <row r="18550" s="76" customFormat="1" ht="21.95" customHeight="1" x14ac:dyDescent="0.15"/>
    <row r="18551" s="76" customFormat="1" ht="21.95" customHeight="1" x14ac:dyDescent="0.15"/>
    <row r="18552" s="76" customFormat="1" ht="21.95" customHeight="1" x14ac:dyDescent="0.15"/>
    <row r="18553" s="76" customFormat="1" ht="21.95" customHeight="1" x14ac:dyDescent="0.15"/>
    <row r="18554" s="76" customFormat="1" ht="21.95" customHeight="1" x14ac:dyDescent="0.15"/>
    <row r="18555" s="76" customFormat="1" ht="21.95" customHeight="1" x14ac:dyDescent="0.15"/>
    <row r="18556" s="76" customFormat="1" ht="21.95" customHeight="1" x14ac:dyDescent="0.15"/>
    <row r="18557" s="76" customFormat="1" ht="21.95" customHeight="1" x14ac:dyDescent="0.15"/>
    <row r="18558" s="76" customFormat="1" ht="21.95" customHeight="1" x14ac:dyDescent="0.15"/>
    <row r="18559" s="76" customFormat="1" ht="21.95" customHeight="1" x14ac:dyDescent="0.15"/>
    <row r="18560" s="76" customFormat="1" ht="21.95" customHeight="1" x14ac:dyDescent="0.15"/>
    <row r="18561" s="76" customFormat="1" ht="21.95" customHeight="1" x14ac:dyDescent="0.15"/>
    <row r="18562" s="76" customFormat="1" ht="21.95" customHeight="1" x14ac:dyDescent="0.15"/>
    <row r="18563" s="76" customFormat="1" ht="21.95" customHeight="1" x14ac:dyDescent="0.15"/>
    <row r="18564" s="76" customFormat="1" ht="21.95" customHeight="1" x14ac:dyDescent="0.15"/>
    <row r="18565" s="76" customFormat="1" ht="21.95" customHeight="1" x14ac:dyDescent="0.15"/>
    <row r="18566" s="76" customFormat="1" ht="21.95" customHeight="1" x14ac:dyDescent="0.15"/>
    <row r="18567" s="76" customFormat="1" ht="21.95" customHeight="1" x14ac:dyDescent="0.15"/>
    <row r="18568" s="76" customFormat="1" ht="21.95" customHeight="1" x14ac:dyDescent="0.15"/>
    <row r="18569" s="76" customFormat="1" ht="35.1" customHeight="1" x14ac:dyDescent="0.15"/>
    <row r="18570" s="76" customFormat="1" ht="21.95" customHeight="1" x14ac:dyDescent="0.15"/>
    <row r="18571" s="76" customFormat="1" ht="21.95" customHeight="1" x14ac:dyDescent="0.15"/>
    <row r="18572" s="76" customFormat="1" ht="21.95" customHeight="1" x14ac:dyDescent="0.15"/>
    <row r="18573" s="76" customFormat="1" ht="21.95" customHeight="1" x14ac:dyDescent="0.15"/>
    <row r="18574" s="76" customFormat="1" ht="21.95" customHeight="1" x14ac:dyDescent="0.15"/>
    <row r="18575" s="76" customFormat="1" ht="21.95" customHeight="1" x14ac:dyDescent="0.15"/>
    <row r="18576" s="76" customFormat="1" ht="21.95" customHeight="1" x14ac:dyDescent="0.15"/>
    <row r="18577" s="76" customFormat="1" ht="21.95" customHeight="1" x14ac:dyDescent="0.15"/>
    <row r="18578" s="76" customFormat="1" ht="21.95" customHeight="1" x14ac:dyDescent="0.15"/>
    <row r="18579" s="76" customFormat="1" ht="21.95" customHeight="1" x14ac:dyDescent="0.15"/>
    <row r="18580" s="76" customFormat="1" ht="21.95" customHeight="1" x14ac:dyDescent="0.15"/>
    <row r="18581" s="76" customFormat="1" ht="21.95" customHeight="1" x14ac:dyDescent="0.15"/>
    <row r="18582" s="76" customFormat="1" ht="21.95" customHeight="1" x14ac:dyDescent="0.15"/>
    <row r="18583" s="76" customFormat="1" ht="21.95" customHeight="1" x14ac:dyDescent="0.15"/>
    <row r="18584" s="76" customFormat="1" ht="21.95" customHeight="1" x14ac:dyDescent="0.15"/>
    <row r="18585" s="76" customFormat="1" ht="21.95" customHeight="1" x14ac:dyDescent="0.15"/>
    <row r="18586" s="76" customFormat="1" ht="21.95" customHeight="1" x14ac:dyDescent="0.15"/>
    <row r="18587" s="76" customFormat="1" ht="21.95" customHeight="1" x14ac:dyDescent="0.15"/>
    <row r="18588" s="76" customFormat="1" ht="21.95" customHeight="1" x14ac:dyDescent="0.15"/>
    <row r="18589" s="76" customFormat="1" ht="21.95" customHeight="1" x14ac:dyDescent="0.15"/>
    <row r="18590" s="76" customFormat="1" ht="21.95" customHeight="1" x14ac:dyDescent="0.15"/>
    <row r="18591" s="76" customFormat="1" ht="21.95" customHeight="1" x14ac:dyDescent="0.15"/>
    <row r="18592" s="76" customFormat="1" ht="21.95" customHeight="1" x14ac:dyDescent="0.15"/>
    <row r="18593" spans="3:3" customFormat="1" ht="21.95" customHeight="1" x14ac:dyDescent="0.15"/>
    <row r="18594" spans="3:3" customFormat="1" ht="21.95" customHeight="1" x14ac:dyDescent="0.15"/>
    <row r="18595" spans="3:3" customFormat="1" ht="21.95" customHeight="1" x14ac:dyDescent="0.15">
      <c r="C18595" s="94"/>
    </row>
    <row r="18596" spans="3:3" customFormat="1" ht="21.95" customHeight="1" x14ac:dyDescent="0.15">
      <c r="C18596" s="94"/>
    </row>
    <row r="18597" spans="3:3" customFormat="1" ht="21.95" customHeight="1" x14ac:dyDescent="0.15"/>
    <row r="18598" spans="3:3" customFormat="1" ht="21.95" customHeight="1" x14ac:dyDescent="0.15"/>
    <row r="18599" spans="3:3" customFormat="1" ht="21.95" customHeight="1" x14ac:dyDescent="0.15"/>
    <row r="18600" spans="3:3" customFormat="1" ht="21.95" customHeight="1" x14ac:dyDescent="0.15"/>
    <row r="18601" spans="3:3" customFormat="1" ht="21.95" customHeight="1" x14ac:dyDescent="0.15"/>
    <row r="18602" spans="3:3" customFormat="1" ht="21.95" customHeight="1" x14ac:dyDescent="0.15"/>
    <row r="18603" spans="3:3" customFormat="1" ht="21.95" customHeight="1" x14ac:dyDescent="0.15"/>
    <row r="18604" spans="3:3" s="76" customFormat="1" ht="21.95" customHeight="1" x14ac:dyDescent="0.15"/>
    <row r="18605" spans="3:3" s="76" customFormat="1" ht="21.95" customHeight="1" x14ac:dyDescent="0.15"/>
    <row r="18606" spans="3:3" s="76" customFormat="1" ht="21.95" customHeight="1" x14ac:dyDescent="0.15"/>
    <row r="18607" spans="3:3" s="76" customFormat="1" ht="21.95" customHeight="1" x14ac:dyDescent="0.15"/>
    <row r="18608" spans="3:3" customFormat="1" ht="21.95" customHeight="1" x14ac:dyDescent="0.15"/>
    <row r="18609" customFormat="1" ht="21.95" customHeight="1" x14ac:dyDescent="0.15"/>
    <row r="18610" customFormat="1" ht="21.95" customHeight="1" x14ac:dyDescent="0.15"/>
    <row r="18611" customFormat="1" ht="21.95" customHeight="1" x14ac:dyDescent="0.15"/>
    <row r="18612" customFormat="1" ht="21.95" customHeight="1" x14ac:dyDescent="0.15"/>
    <row r="18613" customFormat="1" ht="21.95" customHeight="1" x14ac:dyDescent="0.15"/>
    <row r="18614" customFormat="1" ht="21.95" customHeight="1" x14ac:dyDescent="0.15"/>
    <row r="18615" customFormat="1" ht="21.95" customHeight="1" x14ac:dyDescent="0.15"/>
    <row r="18616" customFormat="1" ht="21.95" customHeight="1" x14ac:dyDescent="0.15"/>
    <row r="18617" customFormat="1" ht="21.95" customHeight="1" x14ac:dyDescent="0.15"/>
    <row r="18618" customFormat="1" ht="21.95" customHeight="1" x14ac:dyDescent="0.15"/>
    <row r="18619" customFormat="1" ht="32.1" customHeight="1" x14ac:dyDescent="0.15"/>
    <row r="18620" customFormat="1" ht="32.1" customHeight="1" x14ac:dyDescent="0.15"/>
    <row r="18621" customFormat="1" ht="32.1" customHeight="1" x14ac:dyDescent="0.15"/>
    <row r="18622" customFormat="1" ht="32.1" customHeight="1" x14ac:dyDescent="0.15"/>
    <row r="18623" customFormat="1" ht="32.1" customHeight="1" x14ac:dyDescent="0.15"/>
    <row r="18624" customFormat="1" ht="32.1" customHeight="1" x14ac:dyDescent="0.15"/>
    <row r="18625" s="76" customFormat="1" ht="32.1" customHeight="1" x14ac:dyDescent="0.15"/>
    <row r="18626" s="76" customFormat="1" ht="32.1" customHeight="1" x14ac:dyDescent="0.15"/>
    <row r="18627" s="76" customFormat="1" ht="32.1" customHeight="1" x14ac:dyDescent="0.15"/>
    <row r="18628" s="76" customFormat="1" ht="32.1" customHeight="1" x14ac:dyDescent="0.15"/>
    <row r="18629" s="76" customFormat="1" ht="21.95" customHeight="1" x14ac:dyDescent="0.15"/>
    <row r="18630" s="76" customFormat="1" ht="54" customHeight="1" x14ac:dyDescent="0.15"/>
    <row r="18631" s="76" customFormat="1" ht="21.95" customHeight="1" x14ac:dyDescent="0.15"/>
    <row r="18632" s="76" customFormat="1" ht="21.95" customHeight="1" x14ac:dyDescent="0.15"/>
    <row r="18633" s="76" customFormat="1" ht="21.95" customHeight="1" x14ac:dyDescent="0.15"/>
    <row r="18634" s="76" customFormat="1" ht="21.95" customHeight="1" x14ac:dyDescent="0.15"/>
    <row r="18635" s="76" customFormat="1" ht="21.95" customHeight="1" x14ac:dyDescent="0.15"/>
    <row r="18636" s="76" customFormat="1" ht="21.95" customHeight="1" x14ac:dyDescent="0.15"/>
    <row r="18637" s="76" customFormat="1" ht="21.95" customHeight="1" x14ac:dyDescent="0.15"/>
    <row r="18638" s="76" customFormat="1" ht="21.95" customHeight="1" x14ac:dyDescent="0.15"/>
    <row r="18639" s="76" customFormat="1" ht="21.95" customHeight="1" x14ac:dyDescent="0.15"/>
    <row r="18640" s="76" customFormat="1" ht="21.95" customHeight="1" x14ac:dyDescent="0.15"/>
    <row r="18641" s="76" customFormat="1" ht="21.95" customHeight="1" x14ac:dyDescent="0.15"/>
    <row r="18642" s="76" customFormat="1" ht="21.95" customHeight="1" x14ac:dyDescent="0.15"/>
    <row r="18643" s="76" customFormat="1" ht="21.95" customHeight="1" x14ac:dyDescent="0.15"/>
    <row r="18644" s="76" customFormat="1" ht="21.95" customHeight="1" x14ac:dyDescent="0.15"/>
    <row r="18645" s="76" customFormat="1" ht="21.95" customHeight="1" x14ac:dyDescent="0.15"/>
    <row r="18646" s="76" customFormat="1" ht="21.95" customHeight="1" x14ac:dyDescent="0.15"/>
    <row r="18647" s="76" customFormat="1" ht="21.95" customHeight="1" x14ac:dyDescent="0.15"/>
    <row r="18648" s="76" customFormat="1" ht="21.95" customHeight="1" x14ac:dyDescent="0.15"/>
    <row r="18649" s="76" customFormat="1" ht="21.95" customHeight="1" x14ac:dyDescent="0.15"/>
    <row r="18650" s="76" customFormat="1" ht="21.95" customHeight="1" x14ac:dyDescent="0.15"/>
    <row r="18651" s="76" customFormat="1" ht="21.95" customHeight="1" x14ac:dyDescent="0.15"/>
    <row r="18652" s="76" customFormat="1" ht="21.95" customHeight="1" x14ac:dyDescent="0.15"/>
    <row r="18653" s="76" customFormat="1" ht="21.95" customHeight="1" x14ac:dyDescent="0.15"/>
    <row r="18654" s="76" customFormat="1" ht="21.95" customHeight="1" x14ac:dyDescent="0.15"/>
    <row r="18655" s="76" customFormat="1" ht="21.95" customHeight="1" x14ac:dyDescent="0.15"/>
    <row r="18656" s="76" customFormat="1" ht="21.95" customHeight="1" x14ac:dyDescent="0.15"/>
    <row r="18657" s="76" customFormat="1" ht="21.95" customHeight="1" x14ac:dyDescent="0.15"/>
    <row r="18658" s="76" customFormat="1" ht="21.95" customHeight="1" x14ac:dyDescent="0.15"/>
    <row r="18659" s="76" customFormat="1" ht="21.95" customHeight="1" x14ac:dyDescent="0.15"/>
    <row r="18660" s="76" customFormat="1" ht="21.95" customHeight="1" x14ac:dyDescent="0.15"/>
    <row r="18661" s="76" customFormat="1" ht="21.95" customHeight="1" x14ac:dyDescent="0.15"/>
    <row r="18662" s="76" customFormat="1" ht="21.95" customHeight="1" x14ac:dyDescent="0.15"/>
    <row r="18663" s="76" customFormat="1" ht="21.95" customHeight="1" x14ac:dyDescent="0.15"/>
    <row r="18664" s="76" customFormat="1" ht="21.95" customHeight="1" x14ac:dyDescent="0.15"/>
    <row r="18665" s="76" customFormat="1" ht="21.95" customHeight="1" x14ac:dyDescent="0.15"/>
    <row r="18666" s="76" customFormat="1" ht="21.95" customHeight="1" x14ac:dyDescent="0.15"/>
    <row r="18667" s="76" customFormat="1" ht="21.95" customHeight="1" x14ac:dyDescent="0.15"/>
    <row r="18668" s="76" customFormat="1" ht="21.95" customHeight="1" x14ac:dyDescent="0.15"/>
    <row r="18669" s="76" customFormat="1" ht="21.95" customHeight="1" x14ac:dyDescent="0.15"/>
    <row r="18670" s="76" customFormat="1" ht="21.95" customHeight="1" x14ac:dyDescent="0.15"/>
    <row r="18671" s="76" customFormat="1" ht="21.95" customHeight="1" x14ac:dyDescent="0.15"/>
    <row r="18672" s="76" customFormat="1" ht="21.95" customHeight="1" x14ac:dyDescent="0.15"/>
    <row r="18673" s="76" customFormat="1" ht="21.95" customHeight="1" x14ac:dyDescent="0.15"/>
    <row r="18674" s="76" customFormat="1" ht="21.95" customHeight="1" x14ac:dyDescent="0.15"/>
    <row r="18675" s="76" customFormat="1" ht="21.95" customHeight="1" x14ac:dyDescent="0.15"/>
    <row r="18676" s="76" customFormat="1" ht="21.95" customHeight="1" x14ac:dyDescent="0.15"/>
    <row r="18677" s="76" customFormat="1" ht="21.95" customHeight="1" x14ac:dyDescent="0.15"/>
    <row r="18678" s="76" customFormat="1" ht="21.95" customHeight="1" x14ac:dyDescent="0.15"/>
    <row r="18679" s="76" customFormat="1" ht="21.95" customHeight="1" x14ac:dyDescent="0.15"/>
    <row r="18680" s="76" customFormat="1" ht="21.95" customHeight="1" x14ac:dyDescent="0.15"/>
    <row r="18681" s="76" customFormat="1" ht="35.1" customHeight="1" x14ac:dyDescent="0.15"/>
    <row r="18682" s="76" customFormat="1" ht="21.95" customHeight="1" x14ac:dyDescent="0.15"/>
    <row r="18683" s="76" customFormat="1" ht="21.95" customHeight="1" x14ac:dyDescent="0.15"/>
    <row r="18684" s="76" customFormat="1" ht="21.95" customHeight="1" x14ac:dyDescent="0.15"/>
    <row r="18685" s="76" customFormat="1" ht="21.95" customHeight="1" x14ac:dyDescent="0.15"/>
    <row r="18686" s="76" customFormat="1" ht="21.95" customHeight="1" x14ac:dyDescent="0.15"/>
    <row r="18687" s="76" customFormat="1" ht="21.95" customHeight="1" x14ac:dyDescent="0.15"/>
    <row r="18688" s="76" customFormat="1" ht="21.95" customHeight="1" x14ac:dyDescent="0.15"/>
    <row r="18689" s="76" customFormat="1" ht="21.95" customHeight="1" x14ac:dyDescent="0.15"/>
    <row r="18690" s="76" customFormat="1" ht="21.95" customHeight="1" x14ac:dyDescent="0.15"/>
    <row r="18691" s="76" customFormat="1" ht="21.95" customHeight="1" x14ac:dyDescent="0.15"/>
    <row r="18692" s="76" customFormat="1" ht="21.95" customHeight="1" x14ac:dyDescent="0.15"/>
    <row r="18693" s="76" customFormat="1" ht="21.95" customHeight="1" x14ac:dyDescent="0.15"/>
    <row r="18694" s="76" customFormat="1" ht="21.95" customHeight="1" x14ac:dyDescent="0.15"/>
    <row r="18695" s="76" customFormat="1" ht="21.95" customHeight="1" x14ac:dyDescent="0.15"/>
    <row r="18696" s="76" customFormat="1" ht="21.95" customHeight="1" x14ac:dyDescent="0.15"/>
    <row r="18697" s="76" customFormat="1" ht="21.95" customHeight="1" x14ac:dyDescent="0.15"/>
    <row r="18698" s="76" customFormat="1" ht="21.95" customHeight="1" x14ac:dyDescent="0.15"/>
    <row r="18699" s="76" customFormat="1" ht="21.95" customHeight="1" x14ac:dyDescent="0.15"/>
    <row r="18700" s="76" customFormat="1" ht="21.95" customHeight="1" x14ac:dyDescent="0.15"/>
    <row r="18701" s="76" customFormat="1" ht="21.95" customHeight="1" x14ac:dyDescent="0.15"/>
    <row r="18702" s="76" customFormat="1" ht="21.95" customHeight="1" x14ac:dyDescent="0.15"/>
    <row r="18703" s="76" customFormat="1" ht="21.95" customHeight="1" x14ac:dyDescent="0.15"/>
    <row r="18704" s="76" customFormat="1" ht="21.95" customHeight="1" x14ac:dyDescent="0.15"/>
    <row r="18705" spans="3:3" customFormat="1" ht="21.95" customHeight="1" x14ac:dyDescent="0.15"/>
    <row r="18706" spans="3:3" customFormat="1" ht="21.95" customHeight="1" x14ac:dyDescent="0.15"/>
    <row r="18707" spans="3:3" customFormat="1" ht="21.95" customHeight="1" x14ac:dyDescent="0.15">
      <c r="C18707" s="94"/>
    </row>
    <row r="18708" spans="3:3" customFormat="1" ht="21.95" customHeight="1" x14ac:dyDescent="0.15">
      <c r="C18708" s="94"/>
    </row>
    <row r="18709" spans="3:3" customFormat="1" ht="21.95" customHeight="1" x14ac:dyDescent="0.15"/>
    <row r="18710" spans="3:3" customFormat="1" ht="21.95" customHeight="1" x14ac:dyDescent="0.15"/>
    <row r="18711" spans="3:3" customFormat="1" ht="21.95" customHeight="1" x14ac:dyDescent="0.15"/>
    <row r="18712" spans="3:3" customFormat="1" ht="21.95" customHeight="1" x14ac:dyDescent="0.15"/>
    <row r="18713" spans="3:3" customFormat="1" ht="21.95" customHeight="1" x14ac:dyDescent="0.15"/>
    <row r="18714" spans="3:3" customFormat="1" ht="21.95" customHeight="1" x14ac:dyDescent="0.15"/>
    <row r="18715" spans="3:3" customFormat="1" ht="21.95" customHeight="1" x14ac:dyDescent="0.15"/>
    <row r="18716" spans="3:3" s="76" customFormat="1" ht="21.95" customHeight="1" x14ac:dyDescent="0.15"/>
    <row r="18717" spans="3:3" s="76" customFormat="1" ht="21.95" customHeight="1" x14ac:dyDescent="0.15"/>
    <row r="18718" spans="3:3" s="76" customFormat="1" ht="21.95" customHeight="1" x14ac:dyDescent="0.15"/>
    <row r="18719" spans="3:3" s="76" customFormat="1" ht="21.95" customHeight="1" x14ac:dyDescent="0.15"/>
    <row r="18720" spans="3:3" customFormat="1" ht="21.95" customHeight="1" x14ac:dyDescent="0.15"/>
    <row r="18721" customFormat="1" ht="21.95" customHeight="1" x14ac:dyDescent="0.15"/>
    <row r="18722" customFormat="1" ht="21.95" customHeight="1" x14ac:dyDescent="0.15"/>
    <row r="18723" customFormat="1" ht="21.95" customHeight="1" x14ac:dyDescent="0.15"/>
    <row r="18724" customFormat="1" ht="21.95" customHeight="1" x14ac:dyDescent="0.15"/>
    <row r="18725" customFormat="1" ht="21.95" customHeight="1" x14ac:dyDescent="0.15"/>
    <row r="18726" customFormat="1" ht="21.95" customHeight="1" x14ac:dyDescent="0.15"/>
    <row r="18727" customFormat="1" ht="21.95" customHeight="1" x14ac:dyDescent="0.15"/>
    <row r="18728" customFormat="1" ht="21.95" customHeight="1" x14ac:dyDescent="0.15"/>
    <row r="18729" customFormat="1" ht="21.95" customHeight="1" x14ac:dyDescent="0.15"/>
    <row r="18730" customFormat="1" ht="21.95" customHeight="1" x14ac:dyDescent="0.15"/>
    <row r="18731" customFormat="1" ht="32.1" customHeight="1" x14ac:dyDescent="0.15"/>
    <row r="18732" customFormat="1" ht="32.1" customHeight="1" x14ac:dyDescent="0.15"/>
    <row r="18733" customFormat="1" ht="32.1" customHeight="1" x14ac:dyDescent="0.15"/>
    <row r="18734" customFormat="1" ht="32.1" customHeight="1" x14ac:dyDescent="0.15"/>
    <row r="18735" customFormat="1" ht="32.1" customHeight="1" x14ac:dyDescent="0.15"/>
    <row r="18736" customFormat="1" ht="32.1" customHeight="1" x14ac:dyDescent="0.15"/>
    <row r="18737" s="76" customFormat="1" ht="32.1" customHeight="1" x14ac:dyDescent="0.15"/>
    <row r="18738" s="76" customFormat="1" ht="32.1" customHeight="1" x14ac:dyDescent="0.15"/>
    <row r="18739" s="76" customFormat="1" ht="32.1" customHeight="1" x14ac:dyDescent="0.15"/>
    <row r="18740" s="76" customFormat="1" ht="32.1" customHeight="1" x14ac:dyDescent="0.15"/>
    <row r="18741" s="76" customFormat="1" ht="21.95" customHeight="1" x14ac:dyDescent="0.15"/>
    <row r="18742" s="76" customFormat="1" ht="54" customHeight="1" x14ac:dyDescent="0.15"/>
    <row r="18743" s="76" customFormat="1" ht="21.95" customHeight="1" x14ac:dyDescent="0.15"/>
    <row r="18744" s="76" customFormat="1" ht="21.95" customHeight="1" x14ac:dyDescent="0.15"/>
    <row r="18745" s="76" customFormat="1" ht="21.95" customHeight="1" x14ac:dyDescent="0.15"/>
    <row r="18746" s="76" customFormat="1" ht="21.95" customHeight="1" x14ac:dyDescent="0.15"/>
    <row r="18747" s="76" customFormat="1" ht="21.95" customHeight="1" x14ac:dyDescent="0.15"/>
    <row r="18748" s="76" customFormat="1" ht="21.95" customHeight="1" x14ac:dyDescent="0.15"/>
    <row r="18749" s="76" customFormat="1" ht="21.95" customHeight="1" x14ac:dyDescent="0.15"/>
    <row r="18750" s="76" customFormat="1" ht="21.95" customHeight="1" x14ac:dyDescent="0.15"/>
    <row r="18751" s="76" customFormat="1" ht="21.95" customHeight="1" x14ac:dyDescent="0.15"/>
    <row r="18752" s="76" customFormat="1" ht="21.95" customHeight="1" x14ac:dyDescent="0.15"/>
    <row r="18753" s="76" customFormat="1" ht="21.95" customHeight="1" x14ac:dyDescent="0.15"/>
    <row r="18754" s="76" customFormat="1" ht="21.95" customHeight="1" x14ac:dyDescent="0.15"/>
    <row r="18755" s="76" customFormat="1" ht="21.95" customHeight="1" x14ac:dyDescent="0.15"/>
    <row r="18756" s="76" customFormat="1" ht="21.95" customHeight="1" x14ac:dyDescent="0.15"/>
    <row r="18757" s="76" customFormat="1" ht="21.95" customHeight="1" x14ac:dyDescent="0.15"/>
    <row r="18758" s="76" customFormat="1" ht="21.95" customHeight="1" x14ac:dyDescent="0.15"/>
    <row r="18759" s="76" customFormat="1" ht="21.95" customHeight="1" x14ac:dyDescent="0.15"/>
    <row r="18760" s="76" customFormat="1" ht="21.95" customHeight="1" x14ac:dyDescent="0.15"/>
    <row r="18761" s="76" customFormat="1" ht="21.95" customHeight="1" x14ac:dyDescent="0.15"/>
    <row r="18762" s="76" customFormat="1" ht="21.95" customHeight="1" x14ac:dyDescent="0.15"/>
    <row r="18763" s="76" customFormat="1" ht="21.95" customHeight="1" x14ac:dyDescent="0.15"/>
    <row r="18764" s="76" customFormat="1" ht="21.95" customHeight="1" x14ac:dyDescent="0.15"/>
    <row r="18765" s="76" customFormat="1" ht="21.95" customHeight="1" x14ac:dyDescent="0.15"/>
    <row r="18766" s="76" customFormat="1" ht="21.95" customHeight="1" x14ac:dyDescent="0.15"/>
    <row r="18767" s="76" customFormat="1" ht="21.95" customHeight="1" x14ac:dyDescent="0.15"/>
    <row r="18768" s="76" customFormat="1" ht="21.95" customHeight="1" x14ac:dyDescent="0.15"/>
    <row r="18769" s="76" customFormat="1" ht="21.95" customHeight="1" x14ac:dyDescent="0.15"/>
    <row r="18770" s="76" customFormat="1" ht="21.95" customHeight="1" x14ac:dyDescent="0.15"/>
    <row r="18771" s="76" customFormat="1" ht="21.95" customHeight="1" x14ac:dyDescent="0.15"/>
    <row r="18772" s="76" customFormat="1" ht="21.95" customHeight="1" x14ac:dyDescent="0.15"/>
    <row r="18773" s="76" customFormat="1" ht="21.95" customHeight="1" x14ac:dyDescent="0.15"/>
    <row r="18774" s="76" customFormat="1" ht="21.95" customHeight="1" x14ac:dyDescent="0.15"/>
    <row r="18775" s="76" customFormat="1" ht="21.95" customHeight="1" x14ac:dyDescent="0.15"/>
    <row r="18776" s="76" customFormat="1" ht="21.95" customHeight="1" x14ac:dyDescent="0.15"/>
    <row r="18777" s="76" customFormat="1" ht="21.95" customHeight="1" x14ac:dyDescent="0.15"/>
    <row r="18778" s="76" customFormat="1" ht="21.95" customHeight="1" x14ac:dyDescent="0.15"/>
    <row r="18779" s="76" customFormat="1" ht="21.95" customHeight="1" x14ac:dyDescent="0.15"/>
    <row r="18780" s="76" customFormat="1" ht="21.95" customHeight="1" x14ac:dyDescent="0.15"/>
    <row r="18781" s="76" customFormat="1" ht="21.95" customHeight="1" x14ac:dyDescent="0.15"/>
    <row r="18782" s="76" customFormat="1" ht="21.95" customHeight="1" x14ac:dyDescent="0.15"/>
    <row r="18783" s="76" customFormat="1" ht="21.95" customHeight="1" x14ac:dyDescent="0.15"/>
    <row r="18784" s="76" customFormat="1" ht="21.95" customHeight="1" x14ac:dyDescent="0.15"/>
    <row r="18785" s="76" customFormat="1" ht="21.95" customHeight="1" x14ac:dyDescent="0.15"/>
    <row r="18786" s="76" customFormat="1" ht="21.95" customHeight="1" x14ac:dyDescent="0.15"/>
    <row r="18787" s="76" customFormat="1" ht="21.95" customHeight="1" x14ac:dyDescent="0.15"/>
    <row r="18788" s="76" customFormat="1" ht="21.95" customHeight="1" x14ac:dyDescent="0.15"/>
    <row r="18789" s="76" customFormat="1" ht="21.95" customHeight="1" x14ac:dyDescent="0.15"/>
    <row r="18790" s="76" customFormat="1" ht="21.95" customHeight="1" x14ac:dyDescent="0.15"/>
    <row r="18791" s="76" customFormat="1" ht="21.95" customHeight="1" x14ac:dyDescent="0.15"/>
    <row r="18792" s="76" customFormat="1" ht="21.95" customHeight="1" x14ac:dyDescent="0.15"/>
    <row r="18793" s="76" customFormat="1" ht="35.1" customHeight="1" x14ac:dyDescent="0.15"/>
    <row r="18794" s="76" customFormat="1" ht="21.95" customHeight="1" x14ac:dyDescent="0.15"/>
    <row r="18795" s="76" customFormat="1" ht="21.95" customHeight="1" x14ac:dyDescent="0.15"/>
    <row r="18796" s="76" customFormat="1" ht="21.95" customHeight="1" x14ac:dyDescent="0.15"/>
    <row r="18797" s="76" customFormat="1" ht="21.95" customHeight="1" x14ac:dyDescent="0.15"/>
    <row r="18798" s="76" customFormat="1" ht="21.95" customHeight="1" x14ac:dyDescent="0.15"/>
    <row r="18799" s="76" customFormat="1" ht="21.95" customHeight="1" x14ac:dyDescent="0.15"/>
    <row r="18800" s="76" customFormat="1" ht="21.95" customHeight="1" x14ac:dyDescent="0.15"/>
    <row r="18801" s="76" customFormat="1" ht="21.95" customHeight="1" x14ac:dyDescent="0.15"/>
    <row r="18802" s="76" customFormat="1" ht="21.95" customHeight="1" x14ac:dyDescent="0.15"/>
    <row r="18803" s="76" customFormat="1" ht="21.95" customHeight="1" x14ac:dyDescent="0.15"/>
    <row r="18804" s="76" customFormat="1" ht="21.95" customHeight="1" x14ac:dyDescent="0.15"/>
    <row r="18805" s="76" customFormat="1" ht="21.95" customHeight="1" x14ac:dyDescent="0.15"/>
    <row r="18806" s="76" customFormat="1" ht="21.95" customHeight="1" x14ac:dyDescent="0.15"/>
    <row r="18807" s="76" customFormat="1" ht="21.95" customHeight="1" x14ac:dyDescent="0.15"/>
    <row r="18808" s="76" customFormat="1" ht="21.95" customHeight="1" x14ac:dyDescent="0.15"/>
    <row r="18809" s="76" customFormat="1" ht="21.95" customHeight="1" x14ac:dyDescent="0.15"/>
    <row r="18810" s="76" customFormat="1" ht="21.95" customHeight="1" x14ac:dyDescent="0.15"/>
    <row r="18811" s="76" customFormat="1" ht="21.95" customHeight="1" x14ac:dyDescent="0.15"/>
    <row r="18812" s="76" customFormat="1" ht="21.95" customHeight="1" x14ac:dyDescent="0.15"/>
    <row r="18813" s="76" customFormat="1" ht="21.95" customHeight="1" x14ac:dyDescent="0.15"/>
    <row r="18814" s="76" customFormat="1" ht="21.95" customHeight="1" x14ac:dyDescent="0.15"/>
    <row r="18815" s="76" customFormat="1" ht="21.95" customHeight="1" x14ac:dyDescent="0.15"/>
    <row r="18816" s="76" customFormat="1" ht="21.95" customHeight="1" x14ac:dyDescent="0.15"/>
    <row r="18817" spans="3:3" customFormat="1" ht="21.95" customHeight="1" x14ac:dyDescent="0.15"/>
    <row r="18818" spans="3:3" customFormat="1" ht="21.95" customHeight="1" x14ac:dyDescent="0.15"/>
    <row r="18819" spans="3:3" customFormat="1" ht="21.95" customHeight="1" x14ac:dyDescent="0.15">
      <c r="C18819" s="94"/>
    </row>
    <row r="18820" spans="3:3" customFormat="1" ht="21.95" customHeight="1" x14ac:dyDescent="0.15">
      <c r="C18820" s="94"/>
    </row>
    <row r="18821" spans="3:3" customFormat="1" ht="21.95" customHeight="1" x14ac:dyDescent="0.15"/>
    <row r="18822" spans="3:3" customFormat="1" ht="21.95" customHeight="1" x14ac:dyDescent="0.15"/>
    <row r="18823" spans="3:3" customFormat="1" ht="21.95" customHeight="1" x14ac:dyDescent="0.15"/>
    <row r="18824" spans="3:3" customFormat="1" ht="21.95" customHeight="1" x14ac:dyDescent="0.15"/>
    <row r="18825" spans="3:3" customFormat="1" ht="21.95" customHeight="1" x14ac:dyDescent="0.15"/>
    <row r="18826" spans="3:3" customFormat="1" ht="21.95" customHeight="1" x14ac:dyDescent="0.15"/>
    <row r="18827" spans="3:3" customFormat="1" ht="21.95" customHeight="1" x14ac:dyDescent="0.15"/>
    <row r="18828" spans="3:3" s="76" customFormat="1" ht="21.95" customHeight="1" x14ac:dyDescent="0.15"/>
    <row r="18829" spans="3:3" s="76" customFormat="1" ht="21.95" customHeight="1" x14ac:dyDescent="0.15"/>
    <row r="18830" spans="3:3" s="76" customFormat="1" ht="21.95" customHeight="1" x14ac:dyDescent="0.15"/>
    <row r="18831" spans="3:3" s="76" customFormat="1" ht="21.95" customHeight="1" x14ac:dyDescent="0.15"/>
    <row r="18832" spans="3:3" customFormat="1" ht="21.95" customHeight="1" x14ac:dyDescent="0.15"/>
    <row r="18833" customFormat="1" ht="21.95" customHeight="1" x14ac:dyDescent="0.15"/>
    <row r="18834" customFormat="1" ht="21.95" customHeight="1" x14ac:dyDescent="0.15"/>
    <row r="18835" customFormat="1" ht="21.95" customHeight="1" x14ac:dyDescent="0.15"/>
    <row r="18836" customFormat="1" ht="21.95" customHeight="1" x14ac:dyDescent="0.15"/>
    <row r="18837" customFormat="1" ht="21.95" customHeight="1" x14ac:dyDescent="0.15"/>
    <row r="18838" customFormat="1" ht="21.95" customHeight="1" x14ac:dyDescent="0.15"/>
    <row r="18839" customFormat="1" ht="21.95" customHeight="1" x14ac:dyDescent="0.15"/>
    <row r="18840" customFormat="1" ht="21.95" customHeight="1" x14ac:dyDescent="0.15"/>
    <row r="18841" customFormat="1" ht="21.95" customHeight="1" x14ac:dyDescent="0.15"/>
    <row r="18842" customFormat="1" ht="21.95" customHeight="1" x14ac:dyDescent="0.15"/>
    <row r="18843" customFormat="1" ht="32.1" customHeight="1" x14ac:dyDescent="0.15"/>
    <row r="18844" customFormat="1" ht="32.1" customHeight="1" x14ac:dyDescent="0.15"/>
    <row r="18845" customFormat="1" ht="32.1" customHeight="1" x14ac:dyDescent="0.15"/>
    <row r="18846" customFormat="1" ht="32.1" customHeight="1" x14ac:dyDescent="0.15"/>
    <row r="18847" customFormat="1" ht="32.1" customHeight="1" x14ac:dyDescent="0.15"/>
    <row r="18848" customFormat="1" ht="32.1" customHeight="1" x14ac:dyDescent="0.15"/>
    <row r="18849" s="76" customFormat="1" ht="32.1" customHeight="1" x14ac:dyDescent="0.15"/>
    <row r="18850" s="76" customFormat="1" ht="32.1" customHeight="1" x14ac:dyDescent="0.15"/>
    <row r="18851" s="76" customFormat="1" ht="32.1" customHeight="1" x14ac:dyDescent="0.15"/>
    <row r="18852" s="76" customFormat="1" ht="32.1" customHeight="1" x14ac:dyDescent="0.15"/>
    <row r="18853" s="76" customFormat="1" ht="21.95" customHeight="1" x14ac:dyDescent="0.15"/>
    <row r="18854" s="76" customFormat="1" ht="54" customHeight="1" x14ac:dyDescent="0.15"/>
    <row r="18855" s="76" customFormat="1" ht="21.95" customHeight="1" x14ac:dyDescent="0.15"/>
    <row r="18856" s="76" customFormat="1" ht="21.95" customHeight="1" x14ac:dyDescent="0.15"/>
    <row r="18857" s="76" customFormat="1" ht="21.95" customHeight="1" x14ac:dyDescent="0.15"/>
    <row r="18858" s="76" customFormat="1" ht="21.95" customHeight="1" x14ac:dyDescent="0.15"/>
    <row r="18859" s="76" customFormat="1" ht="21.95" customHeight="1" x14ac:dyDescent="0.15"/>
    <row r="18860" s="76" customFormat="1" ht="21.95" customHeight="1" x14ac:dyDescent="0.15"/>
    <row r="18861" s="76" customFormat="1" ht="21.95" customHeight="1" x14ac:dyDescent="0.15"/>
    <row r="18862" s="76" customFormat="1" ht="21.95" customHeight="1" x14ac:dyDescent="0.15"/>
    <row r="18863" s="76" customFormat="1" ht="21.95" customHeight="1" x14ac:dyDescent="0.15"/>
    <row r="18864" s="76" customFormat="1" ht="21.95" customHeight="1" x14ac:dyDescent="0.15"/>
    <row r="18865" s="76" customFormat="1" ht="21.95" customHeight="1" x14ac:dyDescent="0.15"/>
    <row r="18866" s="76" customFormat="1" ht="21.95" customHeight="1" x14ac:dyDescent="0.15"/>
    <row r="18867" s="76" customFormat="1" ht="21.95" customHeight="1" x14ac:dyDescent="0.15"/>
    <row r="18868" s="76" customFormat="1" ht="21.95" customHeight="1" x14ac:dyDescent="0.15"/>
    <row r="18869" s="76" customFormat="1" ht="21.95" customHeight="1" x14ac:dyDescent="0.15"/>
    <row r="18870" s="76" customFormat="1" ht="21.95" customHeight="1" x14ac:dyDescent="0.15"/>
    <row r="18871" s="76" customFormat="1" ht="21.95" customHeight="1" x14ac:dyDescent="0.15"/>
    <row r="18872" s="76" customFormat="1" ht="21.95" customHeight="1" x14ac:dyDescent="0.15"/>
    <row r="18873" s="76" customFormat="1" ht="21.95" customHeight="1" x14ac:dyDescent="0.15"/>
    <row r="18874" s="76" customFormat="1" ht="21.95" customHeight="1" x14ac:dyDescent="0.15"/>
    <row r="18875" s="76" customFormat="1" ht="21.95" customHeight="1" x14ac:dyDescent="0.15"/>
    <row r="18876" s="76" customFormat="1" ht="21.95" customHeight="1" x14ac:dyDescent="0.15"/>
    <row r="18877" s="76" customFormat="1" ht="21.95" customHeight="1" x14ac:dyDescent="0.15"/>
    <row r="18878" s="76" customFormat="1" ht="21.95" customHeight="1" x14ac:dyDescent="0.15"/>
    <row r="18879" s="76" customFormat="1" ht="21.95" customHeight="1" x14ac:dyDescent="0.15"/>
    <row r="18880" s="76" customFormat="1" ht="21.95" customHeight="1" x14ac:dyDescent="0.15"/>
    <row r="18881" s="76" customFormat="1" ht="21.95" customHeight="1" x14ac:dyDescent="0.15"/>
    <row r="18882" s="76" customFormat="1" ht="21.95" customHeight="1" x14ac:dyDescent="0.15"/>
    <row r="18883" s="76" customFormat="1" ht="21.95" customHeight="1" x14ac:dyDescent="0.15"/>
    <row r="18884" s="76" customFormat="1" ht="21.95" customHeight="1" x14ac:dyDescent="0.15"/>
    <row r="18885" s="76" customFormat="1" ht="21.95" customHeight="1" x14ac:dyDescent="0.15"/>
    <row r="18886" s="76" customFormat="1" ht="21.95" customHeight="1" x14ac:dyDescent="0.15"/>
    <row r="18887" s="76" customFormat="1" ht="21.95" customHeight="1" x14ac:dyDescent="0.15"/>
    <row r="18888" s="76" customFormat="1" ht="21.95" customHeight="1" x14ac:dyDescent="0.15"/>
    <row r="18889" s="76" customFormat="1" ht="21.95" customHeight="1" x14ac:dyDescent="0.15"/>
    <row r="18890" s="76" customFormat="1" ht="21.95" customHeight="1" x14ac:dyDescent="0.15"/>
    <row r="18891" s="76" customFormat="1" ht="21.95" customHeight="1" x14ac:dyDescent="0.15"/>
    <row r="18892" s="76" customFormat="1" ht="21.95" customHeight="1" x14ac:dyDescent="0.15"/>
    <row r="18893" s="76" customFormat="1" ht="21.95" customHeight="1" x14ac:dyDescent="0.15"/>
    <row r="18894" s="76" customFormat="1" ht="21.95" customHeight="1" x14ac:dyDescent="0.15"/>
    <row r="18895" s="76" customFormat="1" ht="21.95" customHeight="1" x14ac:dyDescent="0.15"/>
    <row r="18896" s="76" customFormat="1" ht="21.95" customHeight="1" x14ac:dyDescent="0.15"/>
    <row r="18897" s="76" customFormat="1" ht="21.95" customHeight="1" x14ac:dyDescent="0.15"/>
    <row r="18898" s="76" customFormat="1" ht="21.95" customHeight="1" x14ac:dyDescent="0.15"/>
    <row r="18899" s="76" customFormat="1" ht="21.95" customHeight="1" x14ac:dyDescent="0.15"/>
    <row r="18900" s="76" customFormat="1" ht="21.95" customHeight="1" x14ac:dyDescent="0.15"/>
    <row r="18901" s="76" customFormat="1" ht="21.95" customHeight="1" x14ac:dyDescent="0.15"/>
    <row r="18902" s="76" customFormat="1" ht="21.95" customHeight="1" x14ac:dyDescent="0.15"/>
    <row r="18903" s="76" customFormat="1" ht="21.95" customHeight="1" x14ac:dyDescent="0.15"/>
    <row r="18904" s="76" customFormat="1" ht="21.95" customHeight="1" x14ac:dyDescent="0.15"/>
    <row r="18905" s="76" customFormat="1" ht="35.1" customHeight="1" x14ac:dyDescent="0.15"/>
    <row r="18906" s="76" customFormat="1" ht="21.95" customHeight="1" x14ac:dyDescent="0.15"/>
    <row r="18907" s="76" customFormat="1" ht="21.95" customHeight="1" x14ac:dyDescent="0.15"/>
    <row r="18908" s="76" customFormat="1" ht="21.95" customHeight="1" x14ac:dyDescent="0.15"/>
    <row r="18909" s="76" customFormat="1" ht="21.95" customHeight="1" x14ac:dyDescent="0.15"/>
    <row r="18910" s="76" customFormat="1" ht="21.95" customHeight="1" x14ac:dyDescent="0.15"/>
    <row r="18911" s="76" customFormat="1" ht="21.95" customHeight="1" x14ac:dyDescent="0.15"/>
    <row r="18912" s="76" customFormat="1" ht="21.95" customHeight="1" x14ac:dyDescent="0.15"/>
    <row r="18913" s="76" customFormat="1" ht="21.95" customHeight="1" x14ac:dyDescent="0.15"/>
    <row r="18914" s="76" customFormat="1" ht="21.95" customHeight="1" x14ac:dyDescent="0.15"/>
    <row r="18915" s="76" customFormat="1" ht="21.95" customHeight="1" x14ac:dyDescent="0.15"/>
    <row r="18916" s="76" customFormat="1" ht="21.95" customHeight="1" x14ac:dyDescent="0.15"/>
    <row r="18917" s="76" customFormat="1" ht="21.95" customHeight="1" x14ac:dyDescent="0.15"/>
    <row r="18918" s="76" customFormat="1" ht="21.95" customHeight="1" x14ac:dyDescent="0.15"/>
    <row r="18919" s="76" customFormat="1" ht="21.95" customHeight="1" x14ac:dyDescent="0.15"/>
    <row r="18920" s="76" customFormat="1" ht="21.95" customHeight="1" x14ac:dyDescent="0.15"/>
    <row r="18921" s="76" customFormat="1" ht="21.95" customHeight="1" x14ac:dyDescent="0.15"/>
    <row r="18922" s="76" customFormat="1" ht="21.95" customHeight="1" x14ac:dyDescent="0.15"/>
    <row r="18923" s="76" customFormat="1" ht="21.95" customHeight="1" x14ac:dyDescent="0.15"/>
    <row r="18924" s="76" customFormat="1" ht="21.95" customHeight="1" x14ac:dyDescent="0.15"/>
    <row r="18925" s="76" customFormat="1" ht="21.95" customHeight="1" x14ac:dyDescent="0.15"/>
    <row r="18926" s="76" customFormat="1" ht="21.95" customHeight="1" x14ac:dyDescent="0.15"/>
    <row r="18927" s="76" customFormat="1" ht="21.95" customHeight="1" x14ac:dyDescent="0.15"/>
    <row r="18928" s="76" customFormat="1" ht="21.95" customHeight="1" x14ac:dyDescent="0.15"/>
    <row r="18929" spans="3:3" customFormat="1" ht="21.95" customHeight="1" x14ac:dyDescent="0.15"/>
    <row r="18930" spans="3:3" customFormat="1" ht="21.95" customHeight="1" x14ac:dyDescent="0.15"/>
    <row r="18931" spans="3:3" customFormat="1" ht="21.95" customHeight="1" x14ac:dyDescent="0.15">
      <c r="C18931" s="94"/>
    </row>
    <row r="18932" spans="3:3" customFormat="1" ht="21.95" customHeight="1" x14ac:dyDescent="0.15">
      <c r="C18932" s="94"/>
    </row>
    <row r="18933" spans="3:3" customFormat="1" ht="21.95" customHeight="1" x14ac:dyDescent="0.15"/>
    <row r="18934" spans="3:3" customFormat="1" ht="21.95" customHeight="1" x14ac:dyDescent="0.15"/>
    <row r="18935" spans="3:3" customFormat="1" ht="21.95" customHeight="1" x14ac:dyDescent="0.15"/>
    <row r="18936" spans="3:3" customFormat="1" ht="21.95" customHeight="1" x14ac:dyDescent="0.15"/>
    <row r="18937" spans="3:3" customFormat="1" ht="21.95" customHeight="1" x14ac:dyDescent="0.15"/>
    <row r="18938" spans="3:3" customFormat="1" ht="21.95" customHeight="1" x14ac:dyDescent="0.15"/>
    <row r="18939" spans="3:3" customFormat="1" ht="21.95" customHeight="1" x14ac:dyDescent="0.15"/>
    <row r="18940" spans="3:3" s="76" customFormat="1" ht="21.95" customHeight="1" x14ac:dyDescent="0.15"/>
    <row r="18941" spans="3:3" s="76" customFormat="1" ht="21.95" customHeight="1" x14ac:dyDescent="0.15"/>
    <row r="18942" spans="3:3" s="76" customFormat="1" ht="21.95" customHeight="1" x14ac:dyDescent="0.15"/>
    <row r="18943" spans="3:3" s="76" customFormat="1" ht="21.95" customHeight="1" x14ac:dyDescent="0.15"/>
    <row r="18944" spans="3:3" customFormat="1" ht="21.95" customHeight="1" x14ac:dyDescent="0.15"/>
    <row r="18945" customFormat="1" ht="21.95" customHeight="1" x14ac:dyDescent="0.15"/>
    <row r="18946" customFormat="1" ht="21.95" customHeight="1" x14ac:dyDescent="0.15"/>
    <row r="18947" customFormat="1" ht="21.95" customHeight="1" x14ac:dyDescent="0.15"/>
    <row r="18948" customFormat="1" ht="21.95" customHeight="1" x14ac:dyDescent="0.15"/>
    <row r="18949" customFormat="1" ht="21.95" customHeight="1" x14ac:dyDescent="0.15"/>
    <row r="18950" customFormat="1" ht="21.95" customHeight="1" x14ac:dyDescent="0.15"/>
    <row r="18951" customFormat="1" ht="21.95" customHeight="1" x14ac:dyDescent="0.15"/>
    <row r="18952" customFormat="1" ht="21.95" customHeight="1" x14ac:dyDescent="0.15"/>
    <row r="18953" customFormat="1" ht="21.95" customHeight="1" x14ac:dyDescent="0.15"/>
    <row r="18954" customFormat="1" ht="21.95" customHeight="1" x14ac:dyDescent="0.15"/>
    <row r="18955" customFormat="1" ht="32.1" customHeight="1" x14ac:dyDescent="0.15"/>
    <row r="18956" customFormat="1" ht="32.1" customHeight="1" x14ac:dyDescent="0.15"/>
    <row r="18957" customFormat="1" ht="32.1" customHeight="1" x14ac:dyDescent="0.15"/>
    <row r="18958" customFormat="1" ht="32.1" customHeight="1" x14ac:dyDescent="0.15"/>
    <row r="18959" customFormat="1" ht="32.1" customHeight="1" x14ac:dyDescent="0.15"/>
    <row r="18960" customFormat="1" ht="32.1" customHeight="1" x14ac:dyDescent="0.15"/>
    <row r="18961" s="76" customFormat="1" ht="32.1" customHeight="1" x14ac:dyDescent="0.15"/>
    <row r="18962" s="76" customFormat="1" ht="32.1" customHeight="1" x14ac:dyDescent="0.15"/>
    <row r="18963" s="76" customFormat="1" ht="32.1" customHeight="1" x14ac:dyDescent="0.15"/>
    <row r="18964" s="76" customFormat="1" ht="32.1" customHeight="1" x14ac:dyDescent="0.15"/>
    <row r="18965" s="76" customFormat="1" ht="21.95" customHeight="1" x14ac:dyDescent="0.15"/>
    <row r="18966" s="76" customFormat="1" ht="54" customHeight="1" x14ac:dyDescent="0.15"/>
    <row r="18967" s="76" customFormat="1" ht="21.95" customHeight="1" x14ac:dyDescent="0.15"/>
    <row r="18968" s="76" customFormat="1" ht="21.95" customHeight="1" x14ac:dyDescent="0.15"/>
    <row r="18969" s="76" customFormat="1" ht="21.95" customHeight="1" x14ac:dyDescent="0.15"/>
    <row r="18970" s="76" customFormat="1" ht="21.95" customHeight="1" x14ac:dyDescent="0.15"/>
    <row r="18971" s="76" customFormat="1" ht="21.95" customHeight="1" x14ac:dyDescent="0.15"/>
    <row r="18972" s="76" customFormat="1" ht="21.95" customHeight="1" x14ac:dyDescent="0.15"/>
    <row r="18973" s="76" customFormat="1" ht="21.95" customHeight="1" x14ac:dyDescent="0.15"/>
    <row r="18974" s="76" customFormat="1" ht="21.95" customHeight="1" x14ac:dyDescent="0.15"/>
    <row r="18975" s="76" customFormat="1" ht="21.95" customHeight="1" x14ac:dyDescent="0.15"/>
    <row r="18976" s="76" customFormat="1" ht="21.95" customHeight="1" x14ac:dyDescent="0.15"/>
    <row r="18977" s="76" customFormat="1" ht="21.95" customHeight="1" x14ac:dyDescent="0.15"/>
    <row r="18978" s="76" customFormat="1" ht="21.95" customHeight="1" x14ac:dyDescent="0.15"/>
    <row r="18979" s="76" customFormat="1" ht="21.95" customHeight="1" x14ac:dyDescent="0.15"/>
    <row r="18980" s="76" customFormat="1" ht="21.95" customHeight="1" x14ac:dyDescent="0.15"/>
    <row r="18981" s="76" customFormat="1" ht="21.95" customHeight="1" x14ac:dyDescent="0.15"/>
    <row r="18982" s="76" customFormat="1" ht="21.95" customHeight="1" x14ac:dyDescent="0.15"/>
    <row r="18983" s="76" customFormat="1" ht="21.95" customHeight="1" x14ac:dyDescent="0.15"/>
    <row r="18984" s="76" customFormat="1" ht="21.95" customHeight="1" x14ac:dyDescent="0.15"/>
    <row r="18985" s="76" customFormat="1" ht="21.95" customHeight="1" x14ac:dyDescent="0.15"/>
    <row r="18986" s="76" customFormat="1" ht="21.95" customHeight="1" x14ac:dyDescent="0.15"/>
    <row r="18987" s="76" customFormat="1" ht="21.95" customHeight="1" x14ac:dyDescent="0.15"/>
    <row r="18988" s="76" customFormat="1" ht="21.95" customHeight="1" x14ac:dyDescent="0.15"/>
    <row r="18989" s="76" customFormat="1" ht="21.95" customHeight="1" x14ac:dyDescent="0.15"/>
    <row r="18990" s="76" customFormat="1" ht="21.95" customHeight="1" x14ac:dyDescent="0.15"/>
    <row r="18991" s="76" customFormat="1" ht="21.95" customHeight="1" x14ac:dyDescent="0.15"/>
    <row r="18992" s="76" customFormat="1" ht="21.95" customHeight="1" x14ac:dyDescent="0.15"/>
    <row r="18993" s="76" customFormat="1" ht="21.95" customHeight="1" x14ac:dyDescent="0.15"/>
    <row r="18994" s="76" customFormat="1" ht="21.95" customHeight="1" x14ac:dyDescent="0.15"/>
    <row r="18995" s="76" customFormat="1" ht="21.95" customHeight="1" x14ac:dyDescent="0.15"/>
    <row r="18996" s="76" customFormat="1" ht="21.95" customHeight="1" x14ac:dyDescent="0.15"/>
    <row r="18997" s="76" customFormat="1" ht="21.95" customHeight="1" x14ac:dyDescent="0.15"/>
    <row r="18998" s="76" customFormat="1" ht="21.95" customHeight="1" x14ac:dyDescent="0.15"/>
    <row r="18999" s="76" customFormat="1" ht="21.95" customHeight="1" x14ac:dyDescent="0.15"/>
    <row r="19000" s="76" customFormat="1" ht="21.95" customHeight="1" x14ac:dyDescent="0.15"/>
    <row r="19001" s="76" customFormat="1" ht="21.95" customHeight="1" x14ac:dyDescent="0.15"/>
    <row r="19002" s="76" customFormat="1" ht="21.95" customHeight="1" x14ac:dyDescent="0.15"/>
    <row r="19003" s="76" customFormat="1" ht="21.95" customHeight="1" x14ac:dyDescent="0.15"/>
    <row r="19004" s="76" customFormat="1" ht="21.95" customHeight="1" x14ac:dyDescent="0.15"/>
    <row r="19005" s="76" customFormat="1" ht="21.95" customHeight="1" x14ac:dyDescent="0.15"/>
    <row r="19006" s="76" customFormat="1" ht="21.95" customHeight="1" x14ac:dyDescent="0.15"/>
    <row r="19007" s="76" customFormat="1" ht="21.95" customHeight="1" x14ac:dyDescent="0.15"/>
    <row r="19008" s="76" customFormat="1" ht="21.95" customHeight="1" x14ac:dyDescent="0.15"/>
    <row r="19009" s="76" customFormat="1" ht="21.95" customHeight="1" x14ac:dyDescent="0.15"/>
    <row r="19010" s="76" customFormat="1" ht="21.95" customHeight="1" x14ac:dyDescent="0.15"/>
    <row r="19011" s="76" customFormat="1" ht="21.95" customHeight="1" x14ac:dyDescent="0.15"/>
    <row r="19012" s="76" customFormat="1" ht="21.95" customHeight="1" x14ac:dyDescent="0.15"/>
    <row r="19013" s="76" customFormat="1" ht="21.95" customHeight="1" x14ac:dyDescent="0.15"/>
    <row r="19014" s="76" customFormat="1" ht="21.95" customHeight="1" x14ac:dyDescent="0.15"/>
    <row r="19015" s="76" customFormat="1" ht="21.95" customHeight="1" x14ac:dyDescent="0.15"/>
    <row r="19016" s="76" customFormat="1" ht="21.95" customHeight="1" x14ac:dyDescent="0.15"/>
    <row r="19017" s="76" customFormat="1" ht="35.1" customHeight="1" x14ac:dyDescent="0.15"/>
    <row r="19018" s="76" customFormat="1" ht="21.95" customHeight="1" x14ac:dyDescent="0.15"/>
    <row r="19019" s="76" customFormat="1" ht="21.95" customHeight="1" x14ac:dyDescent="0.15"/>
    <row r="19020" s="76" customFormat="1" ht="21.95" customHeight="1" x14ac:dyDescent="0.15"/>
    <row r="19021" s="76" customFormat="1" ht="21.95" customHeight="1" x14ac:dyDescent="0.15"/>
    <row r="19022" s="76" customFormat="1" ht="21.95" customHeight="1" x14ac:dyDescent="0.15"/>
    <row r="19023" s="76" customFormat="1" ht="21.95" customHeight="1" x14ac:dyDescent="0.15"/>
    <row r="19024" s="76" customFormat="1" ht="21.95" customHeight="1" x14ac:dyDescent="0.15"/>
    <row r="19025" s="76" customFormat="1" ht="21.95" customHeight="1" x14ac:dyDescent="0.15"/>
    <row r="19026" s="76" customFormat="1" ht="21.95" customHeight="1" x14ac:dyDescent="0.15"/>
    <row r="19027" s="76" customFormat="1" ht="21.95" customHeight="1" x14ac:dyDescent="0.15"/>
    <row r="19028" s="76" customFormat="1" ht="21.95" customHeight="1" x14ac:dyDescent="0.15"/>
    <row r="19029" s="76" customFormat="1" ht="21.95" customHeight="1" x14ac:dyDescent="0.15"/>
    <row r="19030" s="76" customFormat="1" ht="21.95" customHeight="1" x14ac:dyDescent="0.15"/>
    <row r="19031" s="76" customFormat="1" ht="21.95" customHeight="1" x14ac:dyDescent="0.15"/>
    <row r="19032" s="76" customFormat="1" ht="21.95" customHeight="1" x14ac:dyDescent="0.15"/>
    <row r="19033" s="76" customFormat="1" ht="21.95" customHeight="1" x14ac:dyDescent="0.15"/>
    <row r="19034" s="76" customFormat="1" ht="21.95" customHeight="1" x14ac:dyDescent="0.15"/>
    <row r="19035" s="76" customFormat="1" ht="21.95" customHeight="1" x14ac:dyDescent="0.15"/>
    <row r="19036" s="76" customFormat="1" ht="21.95" customHeight="1" x14ac:dyDescent="0.15"/>
    <row r="19037" s="76" customFormat="1" ht="21.95" customHeight="1" x14ac:dyDescent="0.15"/>
    <row r="19038" s="76" customFormat="1" ht="21.95" customHeight="1" x14ac:dyDescent="0.15"/>
    <row r="19039" s="76" customFormat="1" ht="21.95" customHeight="1" x14ac:dyDescent="0.15"/>
    <row r="19040" s="76" customFormat="1" ht="21.95" customHeight="1" x14ac:dyDescent="0.15"/>
    <row r="19041" spans="3:3" customFormat="1" ht="21.95" customHeight="1" x14ac:dyDescent="0.15"/>
    <row r="19042" spans="3:3" customFormat="1" ht="21.95" customHeight="1" x14ac:dyDescent="0.15"/>
    <row r="19043" spans="3:3" customFormat="1" ht="21.95" customHeight="1" x14ac:dyDescent="0.15">
      <c r="C19043" s="94"/>
    </row>
    <row r="19044" spans="3:3" customFormat="1" ht="21.95" customHeight="1" x14ac:dyDescent="0.15">
      <c r="C19044" s="94"/>
    </row>
    <row r="19045" spans="3:3" customFormat="1" ht="21.95" customHeight="1" x14ac:dyDescent="0.15"/>
    <row r="19046" spans="3:3" customFormat="1" ht="21.95" customHeight="1" x14ac:dyDescent="0.15"/>
    <row r="19047" spans="3:3" customFormat="1" ht="21.95" customHeight="1" x14ac:dyDescent="0.15"/>
    <row r="19048" spans="3:3" customFormat="1" ht="21.95" customHeight="1" x14ac:dyDescent="0.15"/>
    <row r="19049" spans="3:3" customFormat="1" ht="21.95" customHeight="1" x14ac:dyDescent="0.15"/>
    <row r="19050" spans="3:3" customFormat="1" ht="21.95" customHeight="1" x14ac:dyDescent="0.15"/>
    <row r="19051" spans="3:3" customFormat="1" ht="21.95" customHeight="1" x14ac:dyDescent="0.15"/>
    <row r="19052" spans="3:3" s="76" customFormat="1" ht="21.95" customHeight="1" x14ac:dyDescent="0.15"/>
    <row r="19053" spans="3:3" s="76" customFormat="1" ht="21.95" customHeight="1" x14ac:dyDescent="0.15"/>
    <row r="19054" spans="3:3" s="76" customFormat="1" ht="21.95" customHeight="1" x14ac:dyDescent="0.15"/>
    <row r="19055" spans="3:3" s="76" customFormat="1" ht="21.95" customHeight="1" x14ac:dyDescent="0.15"/>
    <row r="19056" spans="3:3" customFormat="1" ht="21.95" customHeight="1" x14ac:dyDescent="0.15"/>
    <row r="19057" customFormat="1" ht="21.95" customHeight="1" x14ac:dyDescent="0.15"/>
    <row r="19058" customFormat="1" ht="21.95" customHeight="1" x14ac:dyDescent="0.15"/>
    <row r="19059" customFormat="1" ht="21.95" customHeight="1" x14ac:dyDescent="0.15"/>
    <row r="19060" customFormat="1" ht="21.95" customHeight="1" x14ac:dyDescent="0.15"/>
    <row r="19061" customFormat="1" ht="21.95" customHeight="1" x14ac:dyDescent="0.15"/>
    <row r="19062" customFormat="1" ht="21.95" customHeight="1" x14ac:dyDescent="0.15"/>
    <row r="19063" customFormat="1" ht="21.95" customHeight="1" x14ac:dyDescent="0.15"/>
    <row r="19064" customFormat="1" ht="21.95" customHeight="1" x14ac:dyDescent="0.15"/>
    <row r="19065" customFormat="1" ht="21.95" customHeight="1" x14ac:dyDescent="0.15"/>
    <row r="19066" customFormat="1" ht="21.95" customHeight="1" x14ac:dyDescent="0.15"/>
    <row r="19067" customFormat="1" ht="32.1" customHeight="1" x14ac:dyDescent="0.15"/>
    <row r="19068" customFormat="1" ht="32.1" customHeight="1" x14ac:dyDescent="0.15"/>
    <row r="19069" customFormat="1" ht="32.1" customHeight="1" x14ac:dyDescent="0.15"/>
    <row r="19070" customFormat="1" ht="32.1" customHeight="1" x14ac:dyDescent="0.15"/>
    <row r="19071" customFormat="1" ht="32.1" customHeight="1" x14ac:dyDescent="0.15"/>
    <row r="19072" customFormat="1" ht="32.1" customHeight="1" x14ac:dyDescent="0.15"/>
    <row r="19073" s="76" customFormat="1" ht="32.1" customHeight="1" x14ac:dyDescent="0.15"/>
    <row r="19074" s="76" customFormat="1" ht="32.1" customHeight="1" x14ac:dyDescent="0.15"/>
    <row r="19075" s="76" customFormat="1" ht="32.1" customHeight="1" x14ac:dyDescent="0.15"/>
    <row r="19076" s="76" customFormat="1" ht="32.1" customHeight="1" x14ac:dyDescent="0.15"/>
    <row r="19077" s="76" customFormat="1" ht="21.95" customHeight="1" x14ac:dyDescent="0.15"/>
    <row r="19078" s="76" customFormat="1" ht="54" customHeight="1" x14ac:dyDescent="0.15"/>
    <row r="19079" s="76" customFormat="1" ht="21.95" customHeight="1" x14ac:dyDescent="0.15"/>
    <row r="19080" s="76" customFormat="1" ht="21.95" customHeight="1" x14ac:dyDescent="0.15"/>
    <row r="19081" s="76" customFormat="1" ht="21.95" customHeight="1" x14ac:dyDescent="0.15"/>
    <row r="19082" s="76" customFormat="1" ht="21.95" customHeight="1" x14ac:dyDescent="0.15"/>
    <row r="19083" s="76" customFormat="1" ht="21.95" customHeight="1" x14ac:dyDescent="0.15"/>
    <row r="19084" s="76" customFormat="1" ht="21.95" customHeight="1" x14ac:dyDescent="0.15"/>
    <row r="19085" s="76" customFormat="1" ht="21.95" customHeight="1" x14ac:dyDescent="0.15"/>
    <row r="19086" s="76" customFormat="1" ht="21.95" customHeight="1" x14ac:dyDescent="0.15"/>
    <row r="19087" s="76" customFormat="1" ht="21.95" customHeight="1" x14ac:dyDescent="0.15"/>
    <row r="19088" s="76" customFormat="1" ht="21.95" customHeight="1" x14ac:dyDescent="0.15"/>
    <row r="19089" s="76" customFormat="1" ht="21.95" customHeight="1" x14ac:dyDescent="0.15"/>
    <row r="19090" s="76" customFormat="1" ht="21.95" customHeight="1" x14ac:dyDescent="0.15"/>
    <row r="19091" s="76" customFormat="1" ht="21.95" customHeight="1" x14ac:dyDescent="0.15"/>
    <row r="19092" s="76" customFormat="1" ht="21.95" customHeight="1" x14ac:dyDescent="0.15"/>
    <row r="19093" s="76" customFormat="1" ht="21.95" customHeight="1" x14ac:dyDescent="0.15"/>
    <row r="19094" s="76" customFormat="1" ht="21.95" customHeight="1" x14ac:dyDescent="0.15"/>
    <row r="19095" s="76" customFormat="1" ht="21.95" customHeight="1" x14ac:dyDescent="0.15"/>
    <row r="19096" s="76" customFormat="1" ht="21.95" customHeight="1" x14ac:dyDescent="0.15"/>
    <row r="19097" s="76" customFormat="1" ht="21.95" customHeight="1" x14ac:dyDescent="0.15"/>
    <row r="19098" s="76" customFormat="1" ht="21.95" customHeight="1" x14ac:dyDescent="0.15"/>
    <row r="19099" s="76" customFormat="1" ht="21.95" customHeight="1" x14ac:dyDescent="0.15"/>
    <row r="19100" s="76" customFormat="1" ht="21.95" customHeight="1" x14ac:dyDescent="0.15"/>
    <row r="19101" s="76" customFormat="1" ht="21.95" customHeight="1" x14ac:dyDescent="0.15"/>
    <row r="19102" s="76" customFormat="1" ht="21.95" customHeight="1" x14ac:dyDescent="0.15"/>
    <row r="19103" s="76" customFormat="1" ht="21.95" customHeight="1" x14ac:dyDescent="0.15"/>
    <row r="19104" s="76" customFormat="1" ht="21.95" customHeight="1" x14ac:dyDescent="0.15"/>
    <row r="19105" s="76" customFormat="1" ht="21.95" customHeight="1" x14ac:dyDescent="0.15"/>
    <row r="19106" s="76" customFormat="1" ht="21.95" customHeight="1" x14ac:dyDescent="0.15"/>
    <row r="19107" s="76" customFormat="1" ht="21.95" customHeight="1" x14ac:dyDescent="0.15"/>
    <row r="19108" s="76" customFormat="1" ht="21.95" customHeight="1" x14ac:dyDescent="0.15"/>
    <row r="19109" s="76" customFormat="1" ht="21.95" customHeight="1" x14ac:dyDescent="0.15"/>
    <row r="19110" s="76" customFormat="1" ht="21.95" customHeight="1" x14ac:dyDescent="0.15"/>
    <row r="19111" s="76" customFormat="1" ht="21.95" customHeight="1" x14ac:dyDescent="0.15"/>
    <row r="19112" s="76" customFormat="1" ht="21.95" customHeight="1" x14ac:dyDescent="0.15"/>
    <row r="19113" s="76" customFormat="1" ht="21.95" customHeight="1" x14ac:dyDescent="0.15"/>
    <row r="19114" s="76" customFormat="1" ht="21.95" customHeight="1" x14ac:dyDescent="0.15"/>
    <row r="19115" s="76" customFormat="1" ht="21.95" customHeight="1" x14ac:dyDescent="0.15"/>
    <row r="19116" s="76" customFormat="1" ht="21.95" customHeight="1" x14ac:dyDescent="0.15"/>
    <row r="19117" s="76" customFormat="1" ht="21.95" customHeight="1" x14ac:dyDescent="0.15"/>
    <row r="19118" s="76" customFormat="1" ht="21.95" customHeight="1" x14ac:dyDescent="0.15"/>
    <row r="19119" s="76" customFormat="1" ht="21.95" customHeight="1" x14ac:dyDescent="0.15"/>
    <row r="19120" s="76" customFormat="1" ht="21.95" customHeight="1" x14ac:dyDescent="0.15"/>
    <row r="19121" s="76" customFormat="1" ht="21.95" customHeight="1" x14ac:dyDescent="0.15"/>
    <row r="19122" s="76" customFormat="1" ht="21.95" customHeight="1" x14ac:dyDescent="0.15"/>
    <row r="19123" s="76" customFormat="1" ht="21.95" customHeight="1" x14ac:dyDescent="0.15"/>
    <row r="19124" s="76" customFormat="1" ht="21.95" customHeight="1" x14ac:dyDescent="0.15"/>
    <row r="19125" s="76" customFormat="1" ht="21.95" customHeight="1" x14ac:dyDescent="0.15"/>
    <row r="19126" s="76" customFormat="1" ht="21.95" customHeight="1" x14ac:dyDescent="0.15"/>
    <row r="19127" s="76" customFormat="1" ht="21.95" customHeight="1" x14ac:dyDescent="0.15"/>
    <row r="19128" s="76" customFormat="1" ht="21.95" customHeight="1" x14ac:dyDescent="0.15"/>
    <row r="19129" s="76" customFormat="1" ht="35.1" customHeight="1" x14ac:dyDescent="0.15"/>
    <row r="19130" s="76" customFormat="1" ht="21.95" customHeight="1" x14ac:dyDescent="0.15"/>
    <row r="19131" s="76" customFormat="1" ht="21.95" customHeight="1" x14ac:dyDescent="0.15"/>
    <row r="19132" s="76" customFormat="1" ht="21.95" customHeight="1" x14ac:dyDescent="0.15"/>
    <row r="19133" s="76" customFormat="1" ht="21.95" customHeight="1" x14ac:dyDescent="0.15"/>
    <row r="19134" s="76" customFormat="1" ht="21.95" customHeight="1" x14ac:dyDescent="0.15"/>
    <row r="19135" s="76" customFormat="1" ht="21.95" customHeight="1" x14ac:dyDescent="0.15"/>
    <row r="19136" s="76" customFormat="1" ht="21.95" customHeight="1" x14ac:dyDescent="0.15"/>
    <row r="19137" s="76" customFormat="1" ht="21.95" customHeight="1" x14ac:dyDescent="0.15"/>
    <row r="19138" s="76" customFormat="1" ht="21.95" customHeight="1" x14ac:dyDescent="0.15"/>
    <row r="19139" s="76" customFormat="1" ht="21.95" customHeight="1" x14ac:dyDescent="0.15"/>
    <row r="19140" s="76" customFormat="1" ht="21.95" customHeight="1" x14ac:dyDescent="0.15"/>
    <row r="19141" s="76" customFormat="1" ht="21.95" customHeight="1" x14ac:dyDescent="0.15"/>
    <row r="19142" s="76" customFormat="1" ht="21.95" customHeight="1" x14ac:dyDescent="0.15"/>
    <row r="19143" s="76" customFormat="1" ht="21.95" customHeight="1" x14ac:dyDescent="0.15"/>
    <row r="19144" s="76" customFormat="1" ht="21.95" customHeight="1" x14ac:dyDescent="0.15"/>
    <row r="19145" s="76" customFormat="1" ht="21.95" customHeight="1" x14ac:dyDescent="0.15"/>
    <row r="19146" s="76" customFormat="1" ht="21.95" customHeight="1" x14ac:dyDescent="0.15"/>
    <row r="19147" s="76" customFormat="1" ht="21.95" customHeight="1" x14ac:dyDescent="0.15"/>
    <row r="19148" s="76" customFormat="1" ht="21.95" customHeight="1" x14ac:dyDescent="0.15"/>
    <row r="19149" s="76" customFormat="1" ht="21.95" customHeight="1" x14ac:dyDescent="0.15"/>
    <row r="19150" s="76" customFormat="1" ht="21.95" customHeight="1" x14ac:dyDescent="0.15"/>
    <row r="19151" s="76" customFormat="1" ht="21.95" customHeight="1" x14ac:dyDescent="0.15"/>
    <row r="19152" s="76" customFormat="1" ht="21.95" customHeight="1" x14ac:dyDescent="0.15"/>
    <row r="19153" spans="3:3" customFormat="1" ht="21.95" customHeight="1" x14ac:dyDescent="0.15"/>
    <row r="19154" spans="3:3" customFormat="1" ht="21.95" customHeight="1" x14ac:dyDescent="0.15"/>
    <row r="19155" spans="3:3" customFormat="1" ht="21.95" customHeight="1" x14ac:dyDescent="0.15">
      <c r="C19155" s="94"/>
    </row>
    <row r="19156" spans="3:3" customFormat="1" ht="21.95" customHeight="1" x14ac:dyDescent="0.15">
      <c r="C19156" s="94"/>
    </row>
    <row r="19157" spans="3:3" customFormat="1" ht="21.95" customHeight="1" x14ac:dyDescent="0.15"/>
    <row r="19158" spans="3:3" customFormat="1" ht="21.95" customHeight="1" x14ac:dyDescent="0.15"/>
    <row r="19159" spans="3:3" customFormat="1" ht="21.95" customHeight="1" x14ac:dyDescent="0.15"/>
    <row r="19160" spans="3:3" customFormat="1" ht="21.95" customHeight="1" x14ac:dyDescent="0.15"/>
    <row r="19161" spans="3:3" customFormat="1" ht="21.95" customHeight="1" x14ac:dyDescent="0.15"/>
    <row r="19162" spans="3:3" customFormat="1" ht="21.95" customHeight="1" x14ac:dyDescent="0.15"/>
    <row r="19163" spans="3:3" customFormat="1" ht="21.95" customHeight="1" x14ac:dyDescent="0.15"/>
    <row r="19164" spans="3:3" s="76" customFormat="1" ht="21.95" customHeight="1" x14ac:dyDescent="0.15"/>
    <row r="19165" spans="3:3" s="76" customFormat="1" ht="21.95" customHeight="1" x14ac:dyDescent="0.15"/>
    <row r="19166" spans="3:3" s="76" customFormat="1" ht="21.95" customHeight="1" x14ac:dyDescent="0.15"/>
    <row r="19167" spans="3:3" s="76" customFormat="1" ht="21.95" customHeight="1" x14ac:dyDescent="0.15"/>
    <row r="19168" spans="3:3" customFormat="1" ht="21.95" customHeight="1" x14ac:dyDescent="0.15"/>
    <row r="19169" customFormat="1" ht="21.95" customHeight="1" x14ac:dyDescent="0.15"/>
    <row r="19170" customFormat="1" ht="21.95" customHeight="1" x14ac:dyDescent="0.15"/>
    <row r="19171" customFormat="1" ht="21.95" customHeight="1" x14ac:dyDescent="0.15"/>
    <row r="19172" customFormat="1" ht="21.95" customHeight="1" x14ac:dyDescent="0.15"/>
    <row r="19173" customFormat="1" ht="21.95" customHeight="1" x14ac:dyDescent="0.15"/>
    <row r="19174" customFormat="1" ht="21.95" customHeight="1" x14ac:dyDescent="0.15"/>
    <row r="19175" customFormat="1" ht="21.95" customHeight="1" x14ac:dyDescent="0.15"/>
    <row r="19176" customFormat="1" ht="21.95" customHeight="1" x14ac:dyDescent="0.15"/>
    <row r="19177" customFormat="1" ht="21.95" customHeight="1" x14ac:dyDescent="0.15"/>
    <row r="19178" customFormat="1" ht="21.95" customHeight="1" x14ac:dyDescent="0.15"/>
    <row r="19179" customFormat="1" ht="32.1" customHeight="1" x14ac:dyDescent="0.15"/>
    <row r="19180" customFormat="1" ht="32.1" customHeight="1" x14ac:dyDescent="0.15"/>
    <row r="19181" customFormat="1" ht="32.1" customHeight="1" x14ac:dyDescent="0.15"/>
    <row r="19182" customFormat="1" ht="32.1" customHeight="1" x14ac:dyDescent="0.15"/>
    <row r="19183" customFormat="1" ht="32.1" customHeight="1" x14ac:dyDescent="0.15"/>
    <row r="19184" customFormat="1" ht="32.1" customHeight="1" x14ac:dyDescent="0.15"/>
    <row r="19185" s="76" customFormat="1" ht="32.1" customHeight="1" x14ac:dyDescent="0.15"/>
    <row r="19186" s="76" customFormat="1" ht="32.1" customHeight="1" x14ac:dyDescent="0.15"/>
    <row r="19187" s="76" customFormat="1" ht="32.1" customHeight="1" x14ac:dyDescent="0.15"/>
    <row r="19188" s="76" customFormat="1" ht="32.1" customHeight="1" x14ac:dyDescent="0.15"/>
    <row r="19189" s="76" customFormat="1" ht="21.95" customHeight="1" x14ac:dyDescent="0.15"/>
    <row r="19190" s="76" customFormat="1" ht="54" customHeight="1" x14ac:dyDescent="0.15"/>
    <row r="19191" s="76" customFormat="1" ht="21.95" customHeight="1" x14ac:dyDescent="0.15"/>
    <row r="19192" s="76" customFormat="1" ht="21.95" customHeight="1" x14ac:dyDescent="0.15"/>
    <row r="19193" s="76" customFormat="1" ht="21.95" customHeight="1" x14ac:dyDescent="0.15"/>
    <row r="19194" s="76" customFormat="1" ht="21.95" customHeight="1" x14ac:dyDescent="0.15"/>
    <row r="19195" s="76" customFormat="1" ht="21.95" customHeight="1" x14ac:dyDescent="0.15"/>
    <row r="19196" s="76" customFormat="1" ht="21.95" customHeight="1" x14ac:dyDescent="0.15"/>
    <row r="19197" s="76" customFormat="1" ht="21.95" customHeight="1" x14ac:dyDescent="0.15"/>
    <row r="19198" s="76" customFormat="1" ht="21.95" customHeight="1" x14ac:dyDescent="0.15"/>
    <row r="19199" s="76" customFormat="1" ht="21.95" customHeight="1" x14ac:dyDescent="0.15"/>
    <row r="19200" s="76" customFormat="1" ht="21.95" customHeight="1" x14ac:dyDescent="0.15"/>
    <row r="19201" s="76" customFormat="1" ht="21.95" customHeight="1" x14ac:dyDescent="0.15"/>
    <row r="19202" s="76" customFormat="1" ht="21.95" customHeight="1" x14ac:dyDescent="0.15"/>
    <row r="19203" s="76" customFormat="1" ht="21.95" customHeight="1" x14ac:dyDescent="0.15"/>
    <row r="19204" s="76" customFormat="1" ht="21.95" customHeight="1" x14ac:dyDescent="0.15"/>
    <row r="19205" s="76" customFormat="1" ht="21.95" customHeight="1" x14ac:dyDescent="0.15"/>
    <row r="19206" s="76" customFormat="1" ht="21.95" customHeight="1" x14ac:dyDescent="0.15"/>
    <row r="19207" s="76" customFormat="1" ht="21.95" customHeight="1" x14ac:dyDescent="0.15"/>
    <row r="19208" s="76" customFormat="1" ht="21.95" customHeight="1" x14ac:dyDescent="0.15"/>
    <row r="19209" s="76" customFormat="1" ht="21.95" customHeight="1" x14ac:dyDescent="0.15"/>
    <row r="19210" s="76" customFormat="1" ht="21.95" customHeight="1" x14ac:dyDescent="0.15"/>
    <row r="19211" s="76" customFormat="1" ht="21.95" customHeight="1" x14ac:dyDescent="0.15"/>
    <row r="19212" s="76" customFormat="1" ht="21.95" customHeight="1" x14ac:dyDescent="0.15"/>
    <row r="19213" s="76" customFormat="1" ht="21.95" customHeight="1" x14ac:dyDescent="0.15"/>
    <row r="19214" s="76" customFormat="1" ht="21.95" customHeight="1" x14ac:dyDescent="0.15"/>
    <row r="19215" s="76" customFormat="1" ht="21.95" customHeight="1" x14ac:dyDescent="0.15"/>
    <row r="19216" s="76" customFormat="1" ht="21.95" customHeight="1" x14ac:dyDescent="0.15"/>
    <row r="19217" s="76" customFormat="1" ht="21.95" customHeight="1" x14ac:dyDescent="0.15"/>
    <row r="19218" s="76" customFormat="1" ht="21.95" customHeight="1" x14ac:dyDescent="0.15"/>
    <row r="19219" s="76" customFormat="1" ht="21.95" customHeight="1" x14ac:dyDescent="0.15"/>
    <row r="19220" s="76" customFormat="1" ht="21.95" customHeight="1" x14ac:dyDescent="0.15"/>
    <row r="19221" s="76" customFormat="1" ht="21.95" customHeight="1" x14ac:dyDescent="0.15"/>
    <row r="19222" s="76" customFormat="1" ht="21.95" customHeight="1" x14ac:dyDescent="0.15"/>
    <row r="19223" s="76" customFormat="1" ht="21.95" customHeight="1" x14ac:dyDescent="0.15"/>
    <row r="19224" s="76" customFormat="1" ht="21.95" customHeight="1" x14ac:dyDescent="0.15"/>
    <row r="19225" s="76" customFormat="1" ht="21.95" customHeight="1" x14ac:dyDescent="0.15"/>
    <row r="19226" s="76" customFormat="1" ht="21.95" customHeight="1" x14ac:dyDescent="0.15"/>
    <row r="19227" s="76" customFormat="1" ht="21.95" customHeight="1" x14ac:dyDescent="0.15"/>
    <row r="19228" s="76" customFormat="1" ht="21.95" customHeight="1" x14ac:dyDescent="0.15"/>
    <row r="19229" s="76" customFormat="1" ht="21.95" customHeight="1" x14ac:dyDescent="0.15"/>
    <row r="19230" s="76" customFormat="1" ht="21.95" customHeight="1" x14ac:dyDescent="0.15"/>
    <row r="19231" s="76" customFormat="1" ht="21.95" customHeight="1" x14ac:dyDescent="0.15"/>
    <row r="19232" s="76" customFormat="1" ht="21.95" customHeight="1" x14ac:dyDescent="0.15"/>
    <row r="19233" s="76" customFormat="1" ht="21.95" customHeight="1" x14ac:dyDescent="0.15"/>
    <row r="19234" s="76" customFormat="1" ht="21.95" customHeight="1" x14ac:dyDescent="0.15"/>
    <row r="19235" s="76" customFormat="1" ht="21.95" customHeight="1" x14ac:dyDescent="0.15"/>
    <row r="19236" s="76" customFormat="1" ht="21.95" customHeight="1" x14ac:dyDescent="0.15"/>
    <row r="19237" s="76" customFormat="1" ht="21.95" customHeight="1" x14ac:dyDescent="0.15"/>
    <row r="19238" s="76" customFormat="1" ht="21.95" customHeight="1" x14ac:dyDescent="0.15"/>
    <row r="19239" s="76" customFormat="1" ht="21.95" customHeight="1" x14ac:dyDescent="0.15"/>
    <row r="19240" s="76" customFormat="1" ht="21.95" customHeight="1" x14ac:dyDescent="0.15"/>
    <row r="19241" s="76" customFormat="1" ht="35.1" customHeight="1" x14ac:dyDescent="0.15"/>
    <row r="19242" s="76" customFormat="1" ht="21.95" customHeight="1" x14ac:dyDescent="0.15"/>
    <row r="19243" s="76" customFormat="1" ht="21.95" customHeight="1" x14ac:dyDescent="0.15"/>
    <row r="19244" s="76" customFormat="1" ht="21.95" customHeight="1" x14ac:dyDescent="0.15"/>
    <row r="19245" s="76" customFormat="1" ht="21.95" customHeight="1" x14ac:dyDescent="0.15"/>
    <row r="19246" s="76" customFormat="1" ht="21.95" customHeight="1" x14ac:dyDescent="0.15"/>
    <row r="19247" s="76" customFormat="1" ht="21.95" customHeight="1" x14ac:dyDescent="0.15"/>
    <row r="19248" s="76" customFormat="1" ht="21.95" customHeight="1" x14ac:dyDescent="0.15"/>
    <row r="19249" s="76" customFormat="1" ht="21.95" customHeight="1" x14ac:dyDescent="0.15"/>
    <row r="19250" s="76" customFormat="1" ht="21.95" customHeight="1" x14ac:dyDescent="0.15"/>
    <row r="19251" s="76" customFormat="1" ht="21.95" customHeight="1" x14ac:dyDescent="0.15"/>
    <row r="19252" s="76" customFormat="1" ht="21.95" customHeight="1" x14ac:dyDescent="0.15"/>
    <row r="19253" s="76" customFormat="1" ht="21.95" customHeight="1" x14ac:dyDescent="0.15"/>
    <row r="19254" s="76" customFormat="1" ht="21.95" customHeight="1" x14ac:dyDescent="0.15"/>
    <row r="19255" s="76" customFormat="1" ht="21.95" customHeight="1" x14ac:dyDescent="0.15"/>
    <row r="19256" s="76" customFormat="1" ht="21.95" customHeight="1" x14ac:dyDescent="0.15"/>
    <row r="19257" s="76" customFormat="1" ht="21.95" customHeight="1" x14ac:dyDescent="0.15"/>
    <row r="19258" s="76" customFormat="1" ht="21.95" customHeight="1" x14ac:dyDescent="0.15"/>
    <row r="19259" s="76" customFormat="1" ht="21.95" customHeight="1" x14ac:dyDescent="0.15"/>
    <row r="19260" s="76" customFormat="1" ht="21.95" customHeight="1" x14ac:dyDescent="0.15"/>
    <row r="19261" s="76" customFormat="1" ht="21.95" customHeight="1" x14ac:dyDescent="0.15"/>
    <row r="19262" s="76" customFormat="1" ht="21.95" customHeight="1" x14ac:dyDescent="0.15"/>
    <row r="19263" s="76" customFormat="1" ht="21.95" customHeight="1" x14ac:dyDescent="0.15"/>
    <row r="19264" s="76" customFormat="1" ht="21.95" customHeight="1" x14ac:dyDescent="0.15"/>
    <row r="19265" spans="3:3" customFormat="1" ht="21.95" customHeight="1" x14ac:dyDescent="0.15"/>
    <row r="19266" spans="3:3" customFormat="1" ht="21.95" customHeight="1" x14ac:dyDescent="0.15"/>
    <row r="19267" spans="3:3" customFormat="1" ht="21.95" customHeight="1" x14ac:dyDescent="0.15">
      <c r="C19267" s="94"/>
    </row>
    <row r="19268" spans="3:3" customFormat="1" ht="21.95" customHeight="1" x14ac:dyDescent="0.15">
      <c r="C19268" s="94"/>
    </row>
    <row r="19269" spans="3:3" customFormat="1" ht="21.95" customHeight="1" x14ac:dyDescent="0.15"/>
    <row r="19270" spans="3:3" customFormat="1" ht="21.95" customHeight="1" x14ac:dyDescent="0.15"/>
    <row r="19271" spans="3:3" customFormat="1" ht="21.95" customHeight="1" x14ac:dyDescent="0.15"/>
    <row r="19272" spans="3:3" customFormat="1" ht="21.95" customHeight="1" x14ac:dyDescent="0.15"/>
    <row r="19273" spans="3:3" customFormat="1" ht="21.95" customHeight="1" x14ac:dyDescent="0.15"/>
    <row r="19274" spans="3:3" customFormat="1" ht="21.95" customHeight="1" x14ac:dyDescent="0.15"/>
    <row r="19275" spans="3:3" customFormat="1" ht="21.95" customHeight="1" x14ac:dyDescent="0.15"/>
    <row r="19276" spans="3:3" s="76" customFormat="1" ht="21.95" customHeight="1" x14ac:dyDescent="0.15"/>
    <row r="19277" spans="3:3" s="76" customFormat="1" ht="21.95" customHeight="1" x14ac:dyDescent="0.15"/>
    <row r="19278" spans="3:3" s="76" customFormat="1" ht="21.95" customHeight="1" x14ac:dyDescent="0.15"/>
    <row r="19279" spans="3:3" s="76" customFormat="1" ht="21.95" customHeight="1" x14ac:dyDescent="0.15"/>
    <row r="19280" spans="3:3" customFormat="1" ht="21.95" customHeight="1" x14ac:dyDescent="0.15"/>
    <row r="19281" customFormat="1" ht="21.95" customHeight="1" x14ac:dyDescent="0.15"/>
    <row r="19282" customFormat="1" ht="21.95" customHeight="1" x14ac:dyDescent="0.15"/>
    <row r="19283" customFormat="1" ht="21.95" customHeight="1" x14ac:dyDescent="0.15"/>
    <row r="19284" customFormat="1" ht="21.95" customHeight="1" x14ac:dyDescent="0.15"/>
    <row r="19285" customFormat="1" ht="21.95" customHeight="1" x14ac:dyDescent="0.15"/>
    <row r="19286" customFormat="1" ht="21.95" customHeight="1" x14ac:dyDescent="0.15"/>
    <row r="19287" customFormat="1" ht="21.95" customHeight="1" x14ac:dyDescent="0.15"/>
    <row r="19288" customFormat="1" ht="21.95" customHeight="1" x14ac:dyDescent="0.15"/>
    <row r="19289" customFormat="1" ht="21.95" customHeight="1" x14ac:dyDescent="0.15"/>
    <row r="19290" customFormat="1" ht="21.95" customHeight="1" x14ac:dyDescent="0.15"/>
    <row r="19291" customFormat="1" ht="32.1" customHeight="1" x14ac:dyDescent="0.15"/>
    <row r="19292" customFormat="1" ht="32.1" customHeight="1" x14ac:dyDescent="0.15"/>
    <row r="19293" customFormat="1" ht="32.1" customHeight="1" x14ac:dyDescent="0.15"/>
    <row r="19294" customFormat="1" ht="32.1" customHeight="1" x14ac:dyDescent="0.15"/>
    <row r="19295" customFormat="1" ht="32.1" customHeight="1" x14ac:dyDescent="0.15"/>
    <row r="19296" customFormat="1" ht="32.1" customHeight="1" x14ac:dyDescent="0.15"/>
    <row r="19297" s="76" customFormat="1" ht="32.1" customHeight="1" x14ac:dyDescent="0.15"/>
    <row r="19298" s="76" customFormat="1" ht="32.1" customHeight="1" x14ac:dyDescent="0.15"/>
    <row r="19299" s="76" customFormat="1" ht="32.1" customHeight="1" x14ac:dyDescent="0.15"/>
    <row r="19300" s="76" customFormat="1" ht="32.1" customHeight="1" x14ac:dyDescent="0.15"/>
    <row r="19301" s="76" customFormat="1" ht="21.95" customHeight="1" x14ac:dyDescent="0.15"/>
    <row r="19302" s="76" customFormat="1" ht="54" customHeight="1" x14ac:dyDescent="0.15"/>
    <row r="19303" s="76" customFormat="1" ht="21.95" customHeight="1" x14ac:dyDescent="0.15"/>
    <row r="19304" s="76" customFormat="1" ht="21.95" customHeight="1" x14ac:dyDescent="0.15"/>
    <row r="19305" s="76" customFormat="1" ht="21.95" customHeight="1" x14ac:dyDescent="0.15"/>
    <row r="19306" s="76" customFormat="1" ht="21.95" customHeight="1" x14ac:dyDescent="0.15"/>
    <row r="19307" s="76" customFormat="1" ht="21.95" customHeight="1" x14ac:dyDescent="0.15"/>
    <row r="19308" s="76" customFormat="1" ht="21.95" customHeight="1" x14ac:dyDescent="0.15"/>
    <row r="19309" s="76" customFormat="1" ht="21.95" customHeight="1" x14ac:dyDescent="0.15"/>
    <row r="19310" s="76" customFormat="1" ht="21.95" customHeight="1" x14ac:dyDescent="0.15"/>
    <row r="19311" s="76" customFormat="1" ht="21.95" customHeight="1" x14ac:dyDescent="0.15"/>
    <row r="19312" s="76" customFormat="1" ht="21.95" customHeight="1" x14ac:dyDescent="0.15"/>
    <row r="19313" s="76" customFormat="1" ht="21.95" customHeight="1" x14ac:dyDescent="0.15"/>
    <row r="19314" s="76" customFormat="1" ht="21.95" customHeight="1" x14ac:dyDescent="0.15"/>
    <row r="19315" s="76" customFormat="1" ht="21.95" customHeight="1" x14ac:dyDescent="0.15"/>
    <row r="19316" s="76" customFormat="1" ht="21.95" customHeight="1" x14ac:dyDescent="0.15"/>
    <row r="19317" s="76" customFormat="1" ht="21.95" customHeight="1" x14ac:dyDescent="0.15"/>
    <row r="19318" s="76" customFormat="1" ht="21.95" customHeight="1" x14ac:dyDescent="0.15"/>
    <row r="19319" s="76" customFormat="1" ht="21.95" customHeight="1" x14ac:dyDescent="0.15"/>
    <row r="19320" s="76" customFormat="1" ht="21.95" customHeight="1" x14ac:dyDescent="0.15"/>
    <row r="19321" s="76" customFormat="1" ht="21.95" customHeight="1" x14ac:dyDescent="0.15"/>
    <row r="19322" s="76" customFormat="1" ht="21.95" customHeight="1" x14ac:dyDescent="0.15"/>
    <row r="19323" s="76" customFormat="1" ht="21.95" customHeight="1" x14ac:dyDescent="0.15"/>
    <row r="19324" s="76" customFormat="1" ht="21.95" customHeight="1" x14ac:dyDescent="0.15"/>
    <row r="19325" s="76" customFormat="1" ht="21.95" customHeight="1" x14ac:dyDescent="0.15"/>
    <row r="19326" s="76" customFormat="1" ht="21.95" customHeight="1" x14ac:dyDescent="0.15"/>
    <row r="19327" s="76" customFormat="1" ht="21.95" customHeight="1" x14ac:dyDescent="0.15"/>
    <row r="19328" s="76" customFormat="1" ht="21.95" customHeight="1" x14ac:dyDescent="0.15"/>
    <row r="19329" s="76" customFormat="1" ht="21.95" customHeight="1" x14ac:dyDescent="0.15"/>
    <row r="19330" s="76" customFormat="1" ht="21.95" customHeight="1" x14ac:dyDescent="0.15"/>
    <row r="19331" s="76" customFormat="1" ht="21.95" customHeight="1" x14ac:dyDescent="0.15"/>
    <row r="19332" s="76" customFormat="1" ht="21.95" customHeight="1" x14ac:dyDescent="0.15"/>
    <row r="19333" s="76" customFormat="1" ht="21.95" customHeight="1" x14ac:dyDescent="0.15"/>
    <row r="19334" s="76" customFormat="1" ht="21.95" customHeight="1" x14ac:dyDescent="0.15"/>
    <row r="19335" s="76" customFormat="1" ht="21.95" customHeight="1" x14ac:dyDescent="0.15"/>
    <row r="19336" s="76" customFormat="1" ht="21.95" customHeight="1" x14ac:dyDescent="0.15"/>
    <row r="19337" s="76" customFormat="1" ht="21.95" customHeight="1" x14ac:dyDescent="0.15"/>
    <row r="19338" s="76" customFormat="1" ht="21.95" customHeight="1" x14ac:dyDescent="0.15"/>
    <row r="19339" s="76" customFormat="1" ht="21.95" customHeight="1" x14ac:dyDescent="0.15"/>
    <row r="19340" s="76" customFormat="1" ht="21.95" customHeight="1" x14ac:dyDescent="0.15"/>
    <row r="19341" s="76" customFormat="1" ht="21.95" customHeight="1" x14ac:dyDescent="0.15"/>
    <row r="19342" s="76" customFormat="1" ht="21.95" customHeight="1" x14ac:dyDescent="0.15"/>
    <row r="19343" s="76" customFormat="1" ht="21.95" customHeight="1" x14ac:dyDescent="0.15"/>
    <row r="19344" s="76" customFormat="1" ht="21.95" customHeight="1" x14ac:dyDescent="0.15"/>
    <row r="19345" s="76" customFormat="1" ht="21.95" customHeight="1" x14ac:dyDescent="0.15"/>
    <row r="19346" s="76" customFormat="1" ht="21.95" customHeight="1" x14ac:dyDescent="0.15"/>
    <row r="19347" s="76" customFormat="1" ht="21.95" customHeight="1" x14ac:dyDescent="0.15"/>
    <row r="19348" s="76" customFormat="1" ht="21.95" customHeight="1" x14ac:dyDescent="0.15"/>
    <row r="19349" s="76" customFormat="1" ht="21.95" customHeight="1" x14ac:dyDescent="0.15"/>
    <row r="19350" s="76" customFormat="1" ht="21.95" customHeight="1" x14ac:dyDescent="0.15"/>
    <row r="19351" s="76" customFormat="1" ht="21.95" customHeight="1" x14ac:dyDescent="0.15"/>
    <row r="19352" s="76" customFormat="1" ht="21.95" customHeight="1" x14ac:dyDescent="0.15"/>
    <row r="19353" s="76" customFormat="1" ht="35.1" customHeight="1" x14ac:dyDescent="0.15"/>
    <row r="19354" s="76" customFormat="1" ht="21.95" customHeight="1" x14ac:dyDescent="0.15"/>
    <row r="19355" s="76" customFormat="1" ht="21.95" customHeight="1" x14ac:dyDescent="0.15"/>
    <row r="19356" s="76" customFormat="1" ht="21.95" customHeight="1" x14ac:dyDescent="0.15"/>
    <row r="19357" s="76" customFormat="1" ht="21.95" customHeight="1" x14ac:dyDescent="0.15"/>
    <row r="19358" s="76" customFormat="1" ht="21.95" customHeight="1" x14ac:dyDescent="0.15"/>
    <row r="19359" s="76" customFormat="1" ht="21.95" customHeight="1" x14ac:dyDescent="0.15"/>
    <row r="19360" s="76" customFormat="1" ht="21.95" customHeight="1" x14ac:dyDescent="0.15"/>
    <row r="19361" s="76" customFormat="1" ht="21.95" customHeight="1" x14ac:dyDescent="0.15"/>
    <row r="19362" s="76" customFormat="1" ht="21.95" customHeight="1" x14ac:dyDescent="0.15"/>
    <row r="19363" s="76" customFormat="1" ht="21.95" customHeight="1" x14ac:dyDescent="0.15"/>
    <row r="19364" s="76" customFormat="1" ht="21.95" customHeight="1" x14ac:dyDescent="0.15"/>
    <row r="19365" s="76" customFormat="1" ht="21.95" customHeight="1" x14ac:dyDescent="0.15"/>
    <row r="19366" s="76" customFormat="1" ht="21.95" customHeight="1" x14ac:dyDescent="0.15"/>
    <row r="19367" s="76" customFormat="1" ht="21.95" customHeight="1" x14ac:dyDescent="0.15"/>
    <row r="19368" s="76" customFormat="1" ht="21.95" customHeight="1" x14ac:dyDescent="0.15"/>
    <row r="19369" s="76" customFormat="1" ht="21.95" customHeight="1" x14ac:dyDescent="0.15"/>
    <row r="19370" s="76" customFormat="1" ht="21.95" customHeight="1" x14ac:dyDescent="0.15"/>
    <row r="19371" s="76" customFormat="1" ht="21.95" customHeight="1" x14ac:dyDescent="0.15"/>
    <row r="19372" s="76" customFormat="1" ht="21.95" customHeight="1" x14ac:dyDescent="0.15"/>
    <row r="19373" s="76" customFormat="1" ht="21.95" customHeight="1" x14ac:dyDescent="0.15"/>
    <row r="19374" s="76" customFormat="1" ht="21.95" customHeight="1" x14ac:dyDescent="0.15"/>
    <row r="19375" s="76" customFormat="1" ht="21.95" customHeight="1" x14ac:dyDescent="0.15"/>
    <row r="19376" s="76" customFormat="1" ht="21.95" customHeight="1" x14ac:dyDescent="0.15"/>
    <row r="19377" spans="3:3" customFormat="1" ht="21.95" customHeight="1" x14ac:dyDescent="0.15"/>
    <row r="19378" spans="3:3" customFormat="1" ht="21.95" customHeight="1" x14ac:dyDescent="0.15"/>
    <row r="19379" spans="3:3" customFormat="1" ht="21.95" customHeight="1" x14ac:dyDescent="0.15">
      <c r="C19379" s="94"/>
    </row>
    <row r="19380" spans="3:3" customFormat="1" ht="21.95" customHeight="1" x14ac:dyDescent="0.15">
      <c r="C19380" s="94"/>
    </row>
    <row r="19381" spans="3:3" customFormat="1" ht="21.95" customHeight="1" x14ac:dyDescent="0.15"/>
    <row r="19382" spans="3:3" customFormat="1" ht="21.95" customHeight="1" x14ac:dyDescent="0.15"/>
    <row r="19383" spans="3:3" customFormat="1" ht="21.95" customHeight="1" x14ac:dyDescent="0.15"/>
    <row r="19384" spans="3:3" customFormat="1" ht="21.95" customHeight="1" x14ac:dyDescent="0.15"/>
    <row r="19385" spans="3:3" customFormat="1" ht="21.95" customHeight="1" x14ac:dyDescent="0.15"/>
    <row r="19386" spans="3:3" customFormat="1" ht="21.95" customHeight="1" x14ac:dyDescent="0.15"/>
    <row r="19387" spans="3:3" customFormat="1" ht="21.95" customHeight="1" x14ac:dyDescent="0.15"/>
    <row r="19388" spans="3:3" s="76" customFormat="1" ht="21.95" customHeight="1" x14ac:dyDescent="0.15"/>
    <row r="19389" spans="3:3" s="76" customFormat="1" ht="21.95" customHeight="1" x14ac:dyDescent="0.15"/>
    <row r="19390" spans="3:3" s="76" customFormat="1" ht="21.95" customHeight="1" x14ac:dyDescent="0.15"/>
    <row r="19391" spans="3:3" s="76" customFormat="1" ht="21.95" customHeight="1" x14ac:dyDescent="0.15"/>
    <row r="19392" spans="3:3" customFormat="1" ht="21.95" customHeight="1" x14ac:dyDescent="0.15"/>
    <row r="19393" customFormat="1" ht="21.95" customHeight="1" x14ac:dyDescent="0.15"/>
    <row r="19394" customFormat="1" ht="21.95" customHeight="1" x14ac:dyDescent="0.15"/>
    <row r="19395" customFormat="1" ht="21.95" customHeight="1" x14ac:dyDescent="0.15"/>
    <row r="19396" customFormat="1" ht="21.95" customHeight="1" x14ac:dyDescent="0.15"/>
    <row r="19397" customFormat="1" ht="21.95" customHeight="1" x14ac:dyDescent="0.15"/>
    <row r="19398" customFormat="1" ht="21.95" customHeight="1" x14ac:dyDescent="0.15"/>
    <row r="19399" customFormat="1" ht="21.95" customHeight="1" x14ac:dyDescent="0.15"/>
    <row r="19400" customFormat="1" ht="21.95" customHeight="1" x14ac:dyDescent="0.15"/>
    <row r="19401" customFormat="1" ht="21.95" customHeight="1" x14ac:dyDescent="0.15"/>
    <row r="19402" customFormat="1" ht="21.95" customHeight="1" x14ac:dyDescent="0.15"/>
    <row r="19403" customFormat="1" ht="32.1" customHeight="1" x14ac:dyDescent="0.15"/>
    <row r="19404" customFormat="1" ht="32.1" customHeight="1" x14ac:dyDescent="0.15"/>
    <row r="19405" customFormat="1" ht="32.1" customHeight="1" x14ac:dyDescent="0.15"/>
    <row r="19406" customFormat="1" ht="32.1" customHeight="1" x14ac:dyDescent="0.15"/>
    <row r="19407" customFormat="1" ht="32.1" customHeight="1" x14ac:dyDescent="0.15"/>
    <row r="19408" customFormat="1" ht="32.1" customHeight="1" x14ac:dyDescent="0.15"/>
    <row r="19409" s="76" customFormat="1" ht="32.1" customHeight="1" x14ac:dyDescent="0.15"/>
    <row r="19410" s="76" customFormat="1" ht="32.1" customHeight="1" x14ac:dyDescent="0.15"/>
    <row r="19411" s="76" customFormat="1" ht="32.1" customHeight="1" x14ac:dyDescent="0.15"/>
    <row r="19412" s="76" customFormat="1" ht="32.1" customHeight="1" x14ac:dyDescent="0.15"/>
    <row r="19413" s="76" customFormat="1" ht="21.95" customHeight="1" x14ac:dyDescent="0.15"/>
    <row r="19414" s="76" customFormat="1" ht="54" customHeight="1" x14ac:dyDescent="0.15"/>
    <row r="19415" s="76" customFormat="1" ht="21.95" customHeight="1" x14ac:dyDescent="0.15"/>
    <row r="19416" s="76" customFormat="1" ht="21.95" customHeight="1" x14ac:dyDescent="0.15"/>
    <row r="19417" s="76" customFormat="1" ht="21.95" customHeight="1" x14ac:dyDescent="0.15"/>
    <row r="19418" s="76" customFormat="1" ht="21.95" customHeight="1" x14ac:dyDescent="0.15"/>
    <row r="19419" s="76" customFormat="1" ht="21.95" customHeight="1" x14ac:dyDescent="0.15"/>
    <row r="19420" s="76" customFormat="1" ht="21.95" customHeight="1" x14ac:dyDescent="0.15"/>
    <row r="19421" s="76" customFormat="1" ht="21.95" customHeight="1" x14ac:dyDescent="0.15"/>
    <row r="19422" s="76" customFormat="1" ht="21.95" customHeight="1" x14ac:dyDescent="0.15"/>
    <row r="19423" s="76" customFormat="1" ht="21.95" customHeight="1" x14ac:dyDescent="0.15"/>
    <row r="19424" s="76" customFormat="1" ht="21.95" customHeight="1" x14ac:dyDescent="0.15"/>
    <row r="19425" s="76" customFormat="1" ht="21.95" customHeight="1" x14ac:dyDescent="0.15"/>
    <row r="19426" s="76" customFormat="1" ht="21.95" customHeight="1" x14ac:dyDescent="0.15"/>
    <row r="19427" s="76" customFormat="1" ht="21.95" customHeight="1" x14ac:dyDescent="0.15"/>
    <row r="19428" s="76" customFormat="1" ht="21.95" customHeight="1" x14ac:dyDescent="0.15"/>
    <row r="19429" s="76" customFormat="1" ht="21.95" customHeight="1" x14ac:dyDescent="0.15"/>
    <row r="19430" s="76" customFormat="1" ht="21.95" customHeight="1" x14ac:dyDescent="0.15"/>
    <row r="19431" s="76" customFormat="1" ht="21.95" customHeight="1" x14ac:dyDescent="0.15"/>
    <row r="19432" s="76" customFormat="1" ht="21.95" customHeight="1" x14ac:dyDescent="0.15"/>
    <row r="19433" s="76" customFormat="1" ht="21.95" customHeight="1" x14ac:dyDescent="0.15"/>
    <row r="19434" s="76" customFormat="1" ht="21.95" customHeight="1" x14ac:dyDescent="0.15"/>
    <row r="19435" s="76" customFormat="1" ht="21.95" customHeight="1" x14ac:dyDescent="0.15"/>
    <row r="19436" s="76" customFormat="1" ht="21.95" customHeight="1" x14ac:dyDescent="0.15"/>
    <row r="19437" s="76" customFormat="1" ht="21.95" customHeight="1" x14ac:dyDescent="0.15"/>
    <row r="19438" s="76" customFormat="1" ht="21.95" customHeight="1" x14ac:dyDescent="0.15"/>
    <row r="19439" s="76" customFormat="1" ht="21.95" customHeight="1" x14ac:dyDescent="0.15"/>
    <row r="19440" s="76" customFormat="1" ht="21.95" customHeight="1" x14ac:dyDescent="0.15"/>
    <row r="19441" s="76" customFormat="1" ht="21.95" customHeight="1" x14ac:dyDescent="0.15"/>
    <row r="19442" s="76" customFormat="1" ht="21.95" customHeight="1" x14ac:dyDescent="0.15"/>
    <row r="19443" s="76" customFormat="1" ht="21.95" customHeight="1" x14ac:dyDescent="0.15"/>
    <row r="19444" s="76" customFormat="1" ht="21.95" customHeight="1" x14ac:dyDescent="0.15"/>
    <row r="19445" s="76" customFormat="1" ht="21.95" customHeight="1" x14ac:dyDescent="0.15"/>
    <row r="19446" s="76" customFormat="1" ht="21.95" customHeight="1" x14ac:dyDescent="0.15"/>
    <row r="19447" s="76" customFormat="1" ht="21.95" customHeight="1" x14ac:dyDescent="0.15"/>
    <row r="19448" s="76" customFormat="1" ht="21.95" customHeight="1" x14ac:dyDescent="0.15"/>
    <row r="19449" s="76" customFormat="1" ht="21.95" customHeight="1" x14ac:dyDescent="0.15"/>
    <row r="19450" s="76" customFormat="1" ht="21.95" customHeight="1" x14ac:dyDescent="0.15"/>
    <row r="19451" s="76" customFormat="1" ht="21.95" customHeight="1" x14ac:dyDescent="0.15"/>
    <row r="19452" s="76" customFormat="1" ht="21.95" customHeight="1" x14ac:dyDescent="0.15"/>
    <row r="19453" s="76" customFormat="1" ht="21.95" customHeight="1" x14ac:dyDescent="0.15"/>
    <row r="19454" s="76" customFormat="1" ht="21.95" customHeight="1" x14ac:dyDescent="0.15"/>
    <row r="19455" s="76" customFormat="1" ht="21.95" customHeight="1" x14ac:dyDescent="0.15"/>
    <row r="19456" s="76" customFormat="1" ht="21.95" customHeight="1" x14ac:dyDescent="0.15"/>
    <row r="19457" s="76" customFormat="1" ht="21.95" customHeight="1" x14ac:dyDescent="0.15"/>
    <row r="19458" s="76" customFormat="1" ht="21.95" customHeight="1" x14ac:dyDescent="0.15"/>
    <row r="19459" s="76" customFormat="1" ht="21.95" customHeight="1" x14ac:dyDescent="0.15"/>
    <row r="19460" s="76" customFormat="1" ht="21.95" customHeight="1" x14ac:dyDescent="0.15"/>
    <row r="19461" s="76" customFormat="1" ht="21.95" customHeight="1" x14ac:dyDescent="0.15"/>
    <row r="19462" s="76" customFormat="1" ht="21.95" customHeight="1" x14ac:dyDescent="0.15"/>
    <row r="19463" s="76" customFormat="1" ht="21.95" customHeight="1" x14ac:dyDescent="0.15"/>
    <row r="19464" s="76" customFormat="1" ht="21.95" customHeight="1" x14ac:dyDescent="0.15"/>
    <row r="19465" s="76" customFormat="1" ht="35.1" customHeight="1" x14ac:dyDescent="0.15"/>
    <row r="19466" s="76" customFormat="1" ht="21.95" customHeight="1" x14ac:dyDescent="0.15"/>
    <row r="19467" s="76" customFormat="1" ht="21.95" customHeight="1" x14ac:dyDescent="0.15"/>
    <row r="19468" s="76" customFormat="1" ht="21.95" customHeight="1" x14ac:dyDescent="0.15"/>
    <row r="19469" s="76" customFormat="1" ht="21.95" customHeight="1" x14ac:dyDescent="0.15"/>
    <row r="19470" s="76" customFormat="1" ht="21.95" customHeight="1" x14ac:dyDescent="0.15"/>
    <row r="19471" s="76" customFormat="1" ht="21.95" customHeight="1" x14ac:dyDescent="0.15"/>
    <row r="19472" s="76" customFormat="1" ht="21.95" customHeight="1" x14ac:dyDescent="0.15"/>
    <row r="19473" s="76" customFormat="1" ht="21.95" customHeight="1" x14ac:dyDescent="0.15"/>
    <row r="19474" s="76" customFormat="1" ht="21.95" customHeight="1" x14ac:dyDescent="0.15"/>
    <row r="19475" s="76" customFormat="1" ht="21.95" customHeight="1" x14ac:dyDescent="0.15"/>
    <row r="19476" s="76" customFormat="1" ht="21.95" customHeight="1" x14ac:dyDescent="0.15"/>
    <row r="19477" s="76" customFormat="1" ht="21.95" customHeight="1" x14ac:dyDescent="0.15"/>
    <row r="19478" s="76" customFormat="1" ht="21.95" customHeight="1" x14ac:dyDescent="0.15"/>
    <row r="19479" s="76" customFormat="1" ht="21.95" customHeight="1" x14ac:dyDescent="0.15"/>
    <row r="19480" s="76" customFormat="1" ht="21.95" customHeight="1" x14ac:dyDescent="0.15"/>
    <row r="19481" s="76" customFormat="1" ht="21.95" customHeight="1" x14ac:dyDescent="0.15"/>
    <row r="19482" s="76" customFormat="1" ht="21.95" customHeight="1" x14ac:dyDescent="0.15"/>
    <row r="19483" s="76" customFormat="1" ht="21.95" customHeight="1" x14ac:dyDescent="0.15"/>
    <row r="19484" s="76" customFormat="1" ht="21.95" customHeight="1" x14ac:dyDescent="0.15"/>
    <row r="19485" s="76" customFormat="1" ht="21.95" customHeight="1" x14ac:dyDescent="0.15"/>
    <row r="19486" s="76" customFormat="1" ht="21.95" customHeight="1" x14ac:dyDescent="0.15"/>
    <row r="19487" s="76" customFormat="1" ht="21.95" customHeight="1" x14ac:dyDescent="0.15"/>
    <row r="19488" s="76" customFormat="1" ht="21.95" customHeight="1" x14ac:dyDescent="0.15"/>
    <row r="19489" spans="3:3" customFormat="1" ht="21.95" customHeight="1" x14ac:dyDescent="0.15"/>
    <row r="19490" spans="3:3" customFormat="1" ht="21.95" customHeight="1" x14ac:dyDescent="0.15"/>
    <row r="19491" spans="3:3" customFormat="1" ht="21.95" customHeight="1" x14ac:dyDescent="0.15">
      <c r="C19491" s="94"/>
    </row>
    <row r="19492" spans="3:3" customFormat="1" ht="21.95" customHeight="1" x14ac:dyDescent="0.15">
      <c r="C19492" s="94"/>
    </row>
    <row r="19493" spans="3:3" customFormat="1" ht="21.95" customHeight="1" x14ac:dyDescent="0.15"/>
    <row r="19494" spans="3:3" customFormat="1" ht="21.95" customHeight="1" x14ac:dyDescent="0.15"/>
    <row r="19495" spans="3:3" customFormat="1" ht="21.95" customHeight="1" x14ac:dyDescent="0.15"/>
    <row r="19496" spans="3:3" customFormat="1" ht="21.95" customHeight="1" x14ac:dyDescent="0.15"/>
    <row r="19497" spans="3:3" customFormat="1" ht="21.95" customHeight="1" x14ac:dyDescent="0.15"/>
    <row r="19498" spans="3:3" customFormat="1" ht="21.95" customHeight="1" x14ac:dyDescent="0.15"/>
    <row r="19499" spans="3:3" customFormat="1" ht="21.95" customHeight="1" x14ac:dyDescent="0.15"/>
    <row r="19500" spans="3:3" s="76" customFormat="1" ht="21.95" customHeight="1" x14ac:dyDescent="0.15"/>
    <row r="19501" spans="3:3" s="76" customFormat="1" ht="21.95" customHeight="1" x14ac:dyDescent="0.15"/>
    <row r="19502" spans="3:3" s="76" customFormat="1" ht="21.95" customHeight="1" x14ac:dyDescent="0.15"/>
    <row r="19503" spans="3:3" s="76" customFormat="1" ht="21.95" customHeight="1" x14ac:dyDescent="0.15"/>
    <row r="19504" spans="3:3" customFormat="1" ht="21.95" customHeight="1" x14ac:dyDescent="0.15"/>
    <row r="19505" customFormat="1" ht="21.95" customHeight="1" x14ac:dyDescent="0.15"/>
    <row r="19506" customFormat="1" ht="21.95" customHeight="1" x14ac:dyDescent="0.15"/>
    <row r="19507" customFormat="1" ht="21.95" customHeight="1" x14ac:dyDescent="0.15"/>
    <row r="19508" customFormat="1" ht="21.95" customHeight="1" x14ac:dyDescent="0.15"/>
    <row r="19509" customFormat="1" ht="21.95" customHeight="1" x14ac:dyDescent="0.15"/>
    <row r="19510" customFormat="1" ht="21.95" customHeight="1" x14ac:dyDescent="0.15"/>
    <row r="19511" customFormat="1" ht="21.95" customHeight="1" x14ac:dyDescent="0.15"/>
    <row r="19512" customFormat="1" ht="21.95" customHeight="1" x14ac:dyDescent="0.15"/>
    <row r="19513" customFormat="1" ht="21.95" customHeight="1" x14ac:dyDescent="0.15"/>
    <row r="19514" customFormat="1" ht="21.95" customHeight="1" x14ac:dyDescent="0.15"/>
    <row r="19515" customFormat="1" ht="32.1" customHeight="1" x14ac:dyDescent="0.15"/>
    <row r="19516" customFormat="1" ht="32.1" customHeight="1" x14ac:dyDescent="0.15"/>
    <row r="19517" customFormat="1" ht="32.1" customHeight="1" x14ac:dyDescent="0.15"/>
    <row r="19518" customFormat="1" ht="32.1" customHeight="1" x14ac:dyDescent="0.15"/>
    <row r="19519" customFormat="1" ht="32.1" customHeight="1" x14ac:dyDescent="0.15"/>
    <row r="19520" customFormat="1" ht="32.1" customHeight="1" x14ac:dyDescent="0.15"/>
    <row r="19521" s="76" customFormat="1" ht="32.1" customHeight="1" x14ac:dyDescent="0.15"/>
    <row r="19522" s="76" customFormat="1" ht="32.1" customHeight="1" x14ac:dyDescent="0.15"/>
    <row r="19523" s="76" customFormat="1" ht="32.1" customHeight="1" x14ac:dyDescent="0.15"/>
    <row r="19524" s="76" customFormat="1" ht="32.1" customHeight="1" x14ac:dyDescent="0.15"/>
    <row r="19525" s="76" customFormat="1" ht="21.95" customHeight="1" x14ac:dyDescent="0.15"/>
    <row r="19526" s="76" customFormat="1" ht="54" customHeight="1" x14ac:dyDescent="0.15"/>
    <row r="19527" s="76" customFormat="1" ht="21.95" customHeight="1" x14ac:dyDescent="0.15"/>
    <row r="19528" s="76" customFormat="1" ht="21.95" customHeight="1" x14ac:dyDescent="0.15"/>
    <row r="19529" s="76" customFormat="1" ht="21.95" customHeight="1" x14ac:dyDescent="0.15"/>
    <row r="19530" s="76" customFormat="1" ht="21.95" customHeight="1" x14ac:dyDescent="0.15"/>
    <row r="19531" s="76" customFormat="1" ht="21.95" customHeight="1" x14ac:dyDescent="0.15"/>
    <row r="19532" s="76" customFormat="1" ht="21.95" customHeight="1" x14ac:dyDescent="0.15"/>
    <row r="19533" s="76" customFormat="1" ht="21.95" customHeight="1" x14ac:dyDescent="0.15"/>
    <row r="19534" s="76" customFormat="1" ht="21.95" customHeight="1" x14ac:dyDescent="0.15"/>
    <row r="19535" s="76" customFormat="1" ht="21.95" customHeight="1" x14ac:dyDescent="0.15"/>
    <row r="19536" s="76" customFormat="1" ht="21.95" customHeight="1" x14ac:dyDescent="0.15"/>
    <row r="19537" s="76" customFormat="1" ht="21.95" customHeight="1" x14ac:dyDescent="0.15"/>
    <row r="19538" s="76" customFormat="1" ht="21.95" customHeight="1" x14ac:dyDescent="0.15"/>
    <row r="19539" s="76" customFormat="1" ht="21.95" customHeight="1" x14ac:dyDescent="0.15"/>
    <row r="19540" s="76" customFormat="1" ht="21.95" customHeight="1" x14ac:dyDescent="0.15"/>
    <row r="19541" s="76" customFormat="1" ht="21.95" customHeight="1" x14ac:dyDescent="0.15"/>
    <row r="19542" s="76" customFormat="1" ht="21.95" customHeight="1" x14ac:dyDescent="0.15"/>
    <row r="19543" s="76" customFormat="1" ht="21.95" customHeight="1" x14ac:dyDescent="0.15"/>
    <row r="19544" s="76" customFormat="1" ht="21.95" customHeight="1" x14ac:dyDescent="0.15"/>
    <row r="19545" s="76" customFormat="1" ht="21.95" customHeight="1" x14ac:dyDescent="0.15"/>
    <row r="19546" s="76" customFormat="1" ht="21.95" customHeight="1" x14ac:dyDescent="0.15"/>
    <row r="19547" s="76" customFormat="1" ht="21.95" customHeight="1" x14ac:dyDescent="0.15"/>
    <row r="19548" s="76" customFormat="1" ht="21.95" customHeight="1" x14ac:dyDescent="0.15"/>
    <row r="19549" s="76" customFormat="1" ht="21.95" customHeight="1" x14ac:dyDescent="0.15"/>
    <row r="19550" s="76" customFormat="1" ht="21.95" customHeight="1" x14ac:dyDescent="0.15"/>
    <row r="19551" s="76" customFormat="1" ht="21.95" customHeight="1" x14ac:dyDescent="0.15"/>
    <row r="19552" s="76" customFormat="1" ht="21.95" customHeight="1" x14ac:dyDescent="0.15"/>
    <row r="19553" s="76" customFormat="1" ht="21.95" customHeight="1" x14ac:dyDescent="0.15"/>
    <row r="19554" s="76" customFormat="1" ht="21.95" customHeight="1" x14ac:dyDescent="0.15"/>
    <row r="19555" s="76" customFormat="1" ht="21.95" customHeight="1" x14ac:dyDescent="0.15"/>
    <row r="19556" s="76" customFormat="1" ht="21.95" customHeight="1" x14ac:dyDescent="0.15"/>
    <row r="19557" s="76" customFormat="1" ht="21.95" customHeight="1" x14ac:dyDescent="0.15"/>
    <row r="19558" s="76" customFormat="1" ht="21.95" customHeight="1" x14ac:dyDescent="0.15"/>
    <row r="19559" s="76" customFormat="1" ht="21.95" customHeight="1" x14ac:dyDescent="0.15"/>
    <row r="19560" s="76" customFormat="1" ht="21.95" customHeight="1" x14ac:dyDescent="0.15"/>
    <row r="19561" s="76" customFormat="1" ht="21.95" customHeight="1" x14ac:dyDescent="0.15"/>
    <row r="19562" s="76" customFormat="1" ht="21.95" customHeight="1" x14ac:dyDescent="0.15"/>
    <row r="19563" s="76" customFormat="1" ht="21.95" customHeight="1" x14ac:dyDescent="0.15"/>
    <row r="19564" s="76" customFormat="1" ht="21.95" customHeight="1" x14ac:dyDescent="0.15"/>
    <row r="19565" s="76" customFormat="1" ht="21.95" customHeight="1" x14ac:dyDescent="0.15"/>
    <row r="19566" s="76" customFormat="1" ht="21.95" customHeight="1" x14ac:dyDescent="0.15"/>
    <row r="19567" s="76" customFormat="1" ht="21.95" customHeight="1" x14ac:dyDescent="0.15"/>
    <row r="19568" s="76" customFormat="1" ht="21.95" customHeight="1" x14ac:dyDescent="0.15"/>
    <row r="19569" s="76" customFormat="1" ht="21.95" customHeight="1" x14ac:dyDescent="0.15"/>
    <row r="19570" s="76" customFormat="1" ht="21.95" customHeight="1" x14ac:dyDescent="0.15"/>
    <row r="19571" s="76" customFormat="1" ht="21.95" customHeight="1" x14ac:dyDescent="0.15"/>
    <row r="19572" s="76" customFormat="1" ht="21.95" customHeight="1" x14ac:dyDescent="0.15"/>
    <row r="19573" s="76" customFormat="1" ht="21.95" customHeight="1" x14ac:dyDescent="0.15"/>
    <row r="19574" s="76" customFormat="1" ht="21.95" customHeight="1" x14ac:dyDescent="0.15"/>
    <row r="19575" s="76" customFormat="1" ht="21.95" customHeight="1" x14ac:dyDescent="0.15"/>
    <row r="19576" s="76" customFormat="1" ht="21.95" customHeight="1" x14ac:dyDescent="0.15"/>
    <row r="19577" s="76" customFormat="1" ht="35.1" customHeight="1" x14ac:dyDescent="0.15"/>
    <row r="19578" s="76" customFormat="1" ht="21.95" customHeight="1" x14ac:dyDescent="0.15"/>
    <row r="19579" s="76" customFormat="1" ht="21.95" customHeight="1" x14ac:dyDescent="0.15"/>
    <row r="19580" s="76" customFormat="1" ht="21.95" customHeight="1" x14ac:dyDescent="0.15"/>
    <row r="19581" s="76" customFormat="1" ht="21.95" customHeight="1" x14ac:dyDescent="0.15"/>
    <row r="19582" s="76" customFormat="1" ht="21.95" customHeight="1" x14ac:dyDescent="0.15"/>
    <row r="19583" s="76" customFormat="1" ht="21.95" customHeight="1" x14ac:dyDescent="0.15"/>
    <row r="19584" s="76" customFormat="1" ht="21.95" customHeight="1" x14ac:dyDescent="0.15"/>
    <row r="19585" s="76" customFormat="1" ht="21.95" customHeight="1" x14ac:dyDescent="0.15"/>
    <row r="19586" s="76" customFormat="1" ht="21.95" customHeight="1" x14ac:dyDescent="0.15"/>
    <row r="19587" s="76" customFormat="1" ht="21.95" customHeight="1" x14ac:dyDescent="0.15"/>
    <row r="19588" s="76" customFormat="1" ht="21.95" customHeight="1" x14ac:dyDescent="0.15"/>
    <row r="19589" s="76" customFormat="1" ht="21.95" customHeight="1" x14ac:dyDescent="0.15"/>
    <row r="19590" s="76" customFormat="1" ht="21.95" customHeight="1" x14ac:dyDescent="0.15"/>
    <row r="19591" s="76" customFormat="1" ht="21.95" customHeight="1" x14ac:dyDescent="0.15"/>
    <row r="19592" s="76" customFormat="1" ht="21.95" customHeight="1" x14ac:dyDescent="0.15"/>
    <row r="19593" s="76" customFormat="1" ht="21.95" customHeight="1" x14ac:dyDescent="0.15"/>
    <row r="19594" s="76" customFormat="1" ht="21.95" customHeight="1" x14ac:dyDescent="0.15"/>
    <row r="19595" s="76" customFormat="1" ht="21.95" customHeight="1" x14ac:dyDescent="0.15"/>
    <row r="19596" s="76" customFormat="1" ht="21.95" customHeight="1" x14ac:dyDescent="0.15"/>
    <row r="19597" s="76" customFormat="1" ht="21.95" customHeight="1" x14ac:dyDescent="0.15"/>
    <row r="19598" s="76" customFormat="1" ht="21.95" customHeight="1" x14ac:dyDescent="0.15"/>
    <row r="19599" s="76" customFormat="1" ht="21.95" customHeight="1" x14ac:dyDescent="0.15"/>
    <row r="19600" s="76" customFormat="1" ht="21.95" customHeight="1" x14ac:dyDescent="0.15"/>
    <row r="19601" spans="3:3" customFormat="1" ht="21.95" customHeight="1" x14ac:dyDescent="0.15"/>
    <row r="19602" spans="3:3" customFormat="1" ht="21.95" customHeight="1" x14ac:dyDescent="0.15"/>
    <row r="19603" spans="3:3" customFormat="1" ht="21.95" customHeight="1" x14ac:dyDescent="0.15">
      <c r="C19603" s="94"/>
    </row>
    <row r="19604" spans="3:3" customFormat="1" ht="21.95" customHeight="1" x14ac:dyDescent="0.15">
      <c r="C19604" s="94"/>
    </row>
    <row r="19605" spans="3:3" customFormat="1" ht="21.95" customHeight="1" x14ac:dyDescent="0.15"/>
    <row r="19606" spans="3:3" customFormat="1" ht="21.95" customHeight="1" x14ac:dyDescent="0.15"/>
    <row r="19607" spans="3:3" customFormat="1" ht="21.95" customHeight="1" x14ac:dyDescent="0.15"/>
    <row r="19608" spans="3:3" customFormat="1" ht="21.95" customHeight="1" x14ac:dyDescent="0.15"/>
    <row r="19609" spans="3:3" customFormat="1" ht="21.95" customHeight="1" x14ac:dyDescent="0.15"/>
    <row r="19610" spans="3:3" customFormat="1" ht="21.95" customHeight="1" x14ac:dyDescent="0.15"/>
    <row r="19611" spans="3:3" customFormat="1" ht="21.95" customHeight="1" x14ac:dyDescent="0.15"/>
    <row r="19612" spans="3:3" s="76" customFormat="1" ht="21.95" customHeight="1" x14ac:dyDescent="0.15"/>
    <row r="19613" spans="3:3" s="76" customFormat="1" ht="21.95" customHeight="1" x14ac:dyDescent="0.15"/>
    <row r="19614" spans="3:3" s="76" customFormat="1" ht="21.95" customHeight="1" x14ac:dyDescent="0.15"/>
    <row r="19615" spans="3:3" s="76" customFormat="1" ht="21.95" customHeight="1" x14ac:dyDescent="0.15"/>
    <row r="19616" spans="3:3" customFormat="1" ht="21.95" customHeight="1" x14ac:dyDescent="0.15"/>
    <row r="19617" customFormat="1" ht="21.95" customHeight="1" x14ac:dyDescent="0.15"/>
    <row r="19618" customFormat="1" ht="21.95" customHeight="1" x14ac:dyDescent="0.15"/>
    <row r="19619" customFormat="1" ht="21.95" customHeight="1" x14ac:dyDescent="0.15"/>
    <row r="19620" customFormat="1" ht="21.95" customHeight="1" x14ac:dyDescent="0.15"/>
    <row r="19621" customFormat="1" ht="21.95" customHeight="1" x14ac:dyDescent="0.15"/>
    <row r="19622" customFormat="1" ht="21.95" customHeight="1" x14ac:dyDescent="0.15"/>
    <row r="19623" customFormat="1" ht="21.95" customHeight="1" x14ac:dyDescent="0.15"/>
    <row r="19624" customFormat="1" ht="21.95" customHeight="1" x14ac:dyDescent="0.15"/>
    <row r="19625" customFormat="1" ht="21.95" customHeight="1" x14ac:dyDescent="0.15"/>
    <row r="19626" customFormat="1" ht="21.95" customHeight="1" x14ac:dyDescent="0.15"/>
    <row r="19627" customFormat="1" ht="32.1" customHeight="1" x14ac:dyDescent="0.15"/>
    <row r="19628" customFormat="1" ht="32.1" customHeight="1" x14ac:dyDescent="0.15"/>
    <row r="19629" customFormat="1" ht="32.1" customHeight="1" x14ac:dyDescent="0.15"/>
    <row r="19630" customFormat="1" ht="32.1" customHeight="1" x14ac:dyDescent="0.15"/>
    <row r="19631" customFormat="1" ht="32.1" customHeight="1" x14ac:dyDescent="0.15"/>
    <row r="19632" customFormat="1" ht="32.1" customHeight="1" x14ac:dyDescent="0.15"/>
    <row r="19633" s="76" customFormat="1" ht="32.1" customHeight="1" x14ac:dyDescent="0.15"/>
    <row r="19634" s="76" customFormat="1" ht="32.1" customHeight="1" x14ac:dyDescent="0.15"/>
    <row r="19635" s="76" customFormat="1" ht="32.1" customHeight="1" x14ac:dyDescent="0.15"/>
    <row r="19636" s="76" customFormat="1" ht="32.1" customHeight="1" x14ac:dyDescent="0.15"/>
    <row r="19637" s="76" customFormat="1" ht="21.95" customHeight="1" x14ac:dyDescent="0.15"/>
    <row r="19638" s="76" customFormat="1" ht="54" customHeight="1" x14ac:dyDescent="0.15"/>
    <row r="19639" s="76" customFormat="1" ht="21.95" customHeight="1" x14ac:dyDescent="0.15"/>
    <row r="19640" s="76" customFormat="1" ht="21.95" customHeight="1" x14ac:dyDescent="0.15"/>
    <row r="19641" s="76" customFormat="1" ht="21.95" customHeight="1" x14ac:dyDescent="0.15"/>
    <row r="19642" s="76" customFormat="1" ht="21.95" customHeight="1" x14ac:dyDescent="0.15"/>
    <row r="19643" s="76" customFormat="1" ht="21.95" customHeight="1" x14ac:dyDescent="0.15"/>
    <row r="19644" s="76" customFormat="1" ht="21.95" customHeight="1" x14ac:dyDescent="0.15"/>
    <row r="19645" s="76" customFormat="1" ht="21.95" customHeight="1" x14ac:dyDescent="0.15"/>
    <row r="19646" s="76" customFormat="1" ht="21.95" customHeight="1" x14ac:dyDescent="0.15"/>
    <row r="19647" s="76" customFormat="1" ht="21.95" customHeight="1" x14ac:dyDescent="0.15"/>
    <row r="19648" s="76" customFormat="1" ht="21.95" customHeight="1" x14ac:dyDescent="0.15"/>
    <row r="19649" s="76" customFormat="1" ht="21.95" customHeight="1" x14ac:dyDescent="0.15"/>
    <row r="19650" s="76" customFormat="1" ht="21.95" customHeight="1" x14ac:dyDescent="0.15"/>
    <row r="19651" s="76" customFormat="1" ht="21.95" customHeight="1" x14ac:dyDescent="0.15"/>
    <row r="19652" s="76" customFormat="1" ht="21.95" customHeight="1" x14ac:dyDescent="0.15"/>
    <row r="19653" s="76" customFormat="1" ht="21.95" customHeight="1" x14ac:dyDescent="0.15"/>
    <row r="19654" s="76" customFormat="1" ht="21.95" customHeight="1" x14ac:dyDescent="0.15"/>
    <row r="19655" s="76" customFormat="1" ht="21.95" customHeight="1" x14ac:dyDescent="0.15"/>
    <row r="19656" s="76" customFormat="1" ht="21.95" customHeight="1" x14ac:dyDescent="0.15"/>
    <row r="19657" s="76" customFormat="1" ht="21.95" customHeight="1" x14ac:dyDescent="0.15"/>
    <row r="19658" s="76" customFormat="1" ht="21.95" customHeight="1" x14ac:dyDescent="0.15"/>
    <row r="19659" s="76" customFormat="1" ht="21.95" customHeight="1" x14ac:dyDescent="0.15"/>
    <row r="19660" s="76" customFormat="1" ht="21.95" customHeight="1" x14ac:dyDescent="0.15"/>
    <row r="19661" s="76" customFormat="1" ht="21.95" customHeight="1" x14ac:dyDescent="0.15"/>
    <row r="19662" s="76" customFormat="1" ht="21.95" customHeight="1" x14ac:dyDescent="0.15"/>
    <row r="19663" s="76" customFormat="1" ht="21.95" customHeight="1" x14ac:dyDescent="0.15"/>
    <row r="19664" s="76" customFormat="1" ht="21.95" customHeight="1" x14ac:dyDescent="0.15"/>
    <row r="19665" s="76" customFormat="1" ht="21.95" customHeight="1" x14ac:dyDescent="0.15"/>
    <row r="19666" s="76" customFormat="1" ht="21.95" customHeight="1" x14ac:dyDescent="0.15"/>
    <row r="19667" s="76" customFormat="1" ht="21.95" customHeight="1" x14ac:dyDescent="0.15"/>
    <row r="19668" s="76" customFormat="1" ht="21.95" customHeight="1" x14ac:dyDescent="0.15"/>
    <row r="19669" s="76" customFormat="1" ht="21.95" customHeight="1" x14ac:dyDescent="0.15"/>
    <row r="19670" s="76" customFormat="1" ht="21.95" customHeight="1" x14ac:dyDescent="0.15"/>
    <row r="19671" s="76" customFormat="1" ht="21.95" customHeight="1" x14ac:dyDescent="0.15"/>
    <row r="19672" s="76" customFormat="1" ht="21.95" customHeight="1" x14ac:dyDescent="0.15"/>
    <row r="19673" s="76" customFormat="1" ht="21.95" customHeight="1" x14ac:dyDescent="0.15"/>
    <row r="19674" s="76" customFormat="1" ht="21.95" customHeight="1" x14ac:dyDescent="0.15"/>
    <row r="19675" s="76" customFormat="1" ht="21.95" customHeight="1" x14ac:dyDescent="0.15"/>
    <row r="19676" s="76" customFormat="1" ht="21.95" customHeight="1" x14ac:dyDescent="0.15"/>
    <row r="19677" s="76" customFormat="1" ht="21.95" customHeight="1" x14ac:dyDescent="0.15"/>
    <row r="19678" s="76" customFormat="1" ht="21.95" customHeight="1" x14ac:dyDescent="0.15"/>
    <row r="19679" s="76" customFormat="1" ht="21.95" customHeight="1" x14ac:dyDescent="0.15"/>
    <row r="19680" s="76" customFormat="1" ht="21.95" customHeight="1" x14ac:dyDescent="0.15"/>
    <row r="19681" s="76" customFormat="1" ht="21.95" customHeight="1" x14ac:dyDescent="0.15"/>
    <row r="19682" s="76" customFormat="1" ht="21.95" customHeight="1" x14ac:dyDescent="0.15"/>
    <row r="19683" s="76" customFormat="1" ht="21.95" customHeight="1" x14ac:dyDescent="0.15"/>
    <row r="19684" s="76" customFormat="1" ht="21.95" customHeight="1" x14ac:dyDescent="0.15"/>
    <row r="19685" s="76" customFormat="1" ht="21.95" customHeight="1" x14ac:dyDescent="0.15"/>
    <row r="19686" s="76" customFormat="1" ht="21.95" customHeight="1" x14ac:dyDescent="0.15"/>
    <row r="19687" s="76" customFormat="1" ht="21.95" customHeight="1" x14ac:dyDescent="0.15"/>
    <row r="19688" s="76" customFormat="1" ht="21.95" customHeight="1" x14ac:dyDescent="0.15"/>
    <row r="19689" s="76" customFormat="1" ht="35.1" customHeight="1" x14ac:dyDescent="0.15"/>
    <row r="19690" s="76" customFormat="1" ht="21.95" customHeight="1" x14ac:dyDescent="0.15"/>
    <row r="19691" s="76" customFormat="1" ht="21.95" customHeight="1" x14ac:dyDescent="0.15"/>
    <row r="19692" s="76" customFormat="1" ht="21.95" customHeight="1" x14ac:dyDescent="0.15"/>
    <row r="19693" s="76" customFormat="1" ht="21.95" customHeight="1" x14ac:dyDescent="0.15"/>
    <row r="19694" s="76" customFormat="1" ht="21.95" customHeight="1" x14ac:dyDescent="0.15"/>
    <row r="19695" s="76" customFormat="1" ht="21.95" customHeight="1" x14ac:dyDescent="0.15"/>
    <row r="19696" s="76" customFormat="1" ht="21.95" customHeight="1" x14ac:dyDescent="0.15"/>
    <row r="19697" s="76" customFormat="1" ht="21.95" customHeight="1" x14ac:dyDescent="0.15"/>
    <row r="19698" s="76" customFormat="1" ht="21.95" customHeight="1" x14ac:dyDescent="0.15"/>
    <row r="19699" s="76" customFormat="1" ht="21.95" customHeight="1" x14ac:dyDescent="0.15"/>
    <row r="19700" s="76" customFormat="1" ht="21.95" customHeight="1" x14ac:dyDescent="0.15"/>
    <row r="19701" s="76" customFormat="1" ht="21.95" customHeight="1" x14ac:dyDescent="0.15"/>
    <row r="19702" s="76" customFormat="1" ht="21.95" customHeight="1" x14ac:dyDescent="0.15"/>
    <row r="19703" s="76" customFormat="1" ht="21.95" customHeight="1" x14ac:dyDescent="0.15"/>
    <row r="19704" s="76" customFormat="1" ht="21.95" customHeight="1" x14ac:dyDescent="0.15"/>
    <row r="19705" s="76" customFormat="1" ht="21.95" customHeight="1" x14ac:dyDescent="0.15"/>
    <row r="19706" s="76" customFormat="1" ht="21.95" customHeight="1" x14ac:dyDescent="0.15"/>
    <row r="19707" s="76" customFormat="1" ht="21.95" customHeight="1" x14ac:dyDescent="0.15"/>
    <row r="19708" s="76" customFormat="1" ht="21.95" customHeight="1" x14ac:dyDescent="0.15"/>
    <row r="19709" s="76" customFormat="1" ht="21.95" customHeight="1" x14ac:dyDescent="0.15"/>
    <row r="19710" s="76" customFormat="1" ht="21.95" customHeight="1" x14ac:dyDescent="0.15"/>
    <row r="19711" s="76" customFormat="1" ht="21.95" customHeight="1" x14ac:dyDescent="0.15"/>
    <row r="19712" s="76" customFormat="1" ht="21.95" customHeight="1" x14ac:dyDescent="0.15"/>
    <row r="19713" spans="3:3" customFormat="1" ht="21.95" customHeight="1" x14ac:dyDescent="0.15"/>
    <row r="19714" spans="3:3" customFormat="1" ht="21.95" customHeight="1" x14ac:dyDescent="0.15"/>
    <row r="19715" spans="3:3" customFormat="1" ht="21.95" customHeight="1" x14ac:dyDescent="0.15">
      <c r="C19715" s="94"/>
    </row>
    <row r="19716" spans="3:3" customFormat="1" ht="21.95" customHeight="1" x14ac:dyDescent="0.15">
      <c r="C19716" s="94"/>
    </row>
    <row r="19717" spans="3:3" customFormat="1" ht="21.95" customHeight="1" x14ac:dyDescent="0.15"/>
    <row r="19718" spans="3:3" customFormat="1" ht="21.95" customHeight="1" x14ac:dyDescent="0.15"/>
    <row r="19719" spans="3:3" customFormat="1" ht="21.95" customHeight="1" x14ac:dyDescent="0.15"/>
    <row r="19720" spans="3:3" customFormat="1" ht="21.95" customHeight="1" x14ac:dyDescent="0.15"/>
    <row r="19721" spans="3:3" customFormat="1" ht="21.95" customHeight="1" x14ac:dyDescent="0.15"/>
    <row r="19722" spans="3:3" customFormat="1" ht="21.95" customHeight="1" x14ac:dyDescent="0.15"/>
    <row r="19723" spans="3:3" customFormat="1" ht="21.95" customHeight="1" x14ac:dyDescent="0.15"/>
    <row r="19724" spans="3:3" s="76" customFormat="1" ht="21.95" customHeight="1" x14ac:dyDescent="0.15"/>
    <row r="19725" spans="3:3" s="76" customFormat="1" ht="21.95" customHeight="1" x14ac:dyDescent="0.15"/>
    <row r="19726" spans="3:3" s="76" customFormat="1" ht="21.95" customHeight="1" x14ac:dyDescent="0.15"/>
    <row r="19727" spans="3:3" s="76" customFormat="1" ht="21.95" customHeight="1" x14ac:dyDescent="0.15"/>
    <row r="19728" spans="3:3" customFormat="1" ht="21.95" customHeight="1" x14ac:dyDescent="0.15"/>
    <row r="19729" customFormat="1" ht="21.95" customHeight="1" x14ac:dyDescent="0.15"/>
    <row r="19730" customFormat="1" ht="21.95" customHeight="1" x14ac:dyDescent="0.15"/>
    <row r="19731" customFormat="1" ht="21.95" customHeight="1" x14ac:dyDescent="0.15"/>
    <row r="19732" customFormat="1" ht="21.95" customHeight="1" x14ac:dyDescent="0.15"/>
    <row r="19733" customFormat="1" ht="21.95" customHeight="1" x14ac:dyDescent="0.15"/>
    <row r="19734" customFormat="1" ht="21.95" customHeight="1" x14ac:dyDescent="0.15"/>
    <row r="19735" customFormat="1" ht="21.95" customHeight="1" x14ac:dyDescent="0.15"/>
    <row r="19736" customFormat="1" ht="21.95" customHeight="1" x14ac:dyDescent="0.15"/>
    <row r="19737" customFormat="1" ht="21.95" customHeight="1" x14ac:dyDescent="0.15"/>
    <row r="19738" customFormat="1" ht="21.95" customHeight="1" x14ac:dyDescent="0.15"/>
    <row r="19739" customFormat="1" ht="32.1" customHeight="1" x14ac:dyDescent="0.15"/>
    <row r="19740" customFormat="1" ht="32.1" customHeight="1" x14ac:dyDescent="0.15"/>
    <row r="19741" customFormat="1" ht="32.1" customHeight="1" x14ac:dyDescent="0.15"/>
    <row r="19742" customFormat="1" ht="32.1" customHeight="1" x14ac:dyDescent="0.15"/>
    <row r="19743" customFormat="1" ht="32.1" customHeight="1" x14ac:dyDescent="0.15"/>
    <row r="19744" customFormat="1" ht="32.1" customHeight="1" x14ac:dyDescent="0.15"/>
    <row r="19745" s="76" customFormat="1" ht="32.1" customHeight="1" x14ac:dyDescent="0.15"/>
    <row r="19746" s="76" customFormat="1" ht="32.1" customHeight="1" x14ac:dyDescent="0.15"/>
    <row r="19747" s="76" customFormat="1" ht="32.1" customHeight="1" x14ac:dyDescent="0.15"/>
    <row r="19748" s="76" customFormat="1" ht="32.1" customHeight="1" x14ac:dyDescent="0.15"/>
    <row r="19749" s="76" customFormat="1" ht="21.95" customHeight="1" x14ac:dyDescent="0.15"/>
    <row r="19750" s="76" customFormat="1" ht="54" customHeight="1" x14ac:dyDescent="0.15"/>
    <row r="19751" s="76" customFormat="1" ht="21.95" customHeight="1" x14ac:dyDescent="0.15"/>
    <row r="19752" s="76" customFormat="1" ht="21.95" customHeight="1" x14ac:dyDescent="0.15"/>
    <row r="19753" s="76" customFormat="1" ht="21.95" customHeight="1" x14ac:dyDescent="0.15"/>
    <row r="19754" s="76" customFormat="1" ht="21.95" customHeight="1" x14ac:dyDescent="0.15"/>
    <row r="19755" s="76" customFormat="1" ht="21.95" customHeight="1" x14ac:dyDescent="0.15"/>
    <row r="19756" s="76" customFormat="1" ht="21.95" customHeight="1" x14ac:dyDescent="0.15"/>
    <row r="19757" s="76" customFormat="1" ht="21.95" customHeight="1" x14ac:dyDescent="0.15"/>
    <row r="19758" s="76" customFormat="1" ht="21.95" customHeight="1" x14ac:dyDescent="0.15"/>
    <row r="19759" s="76" customFormat="1" ht="21.95" customHeight="1" x14ac:dyDescent="0.15"/>
    <row r="19760" s="76" customFormat="1" ht="21.95" customHeight="1" x14ac:dyDescent="0.15"/>
    <row r="19761" s="76" customFormat="1" ht="21.95" customHeight="1" x14ac:dyDescent="0.15"/>
    <row r="19762" s="76" customFormat="1" ht="21.95" customHeight="1" x14ac:dyDescent="0.15"/>
    <row r="19763" s="76" customFormat="1" ht="21.95" customHeight="1" x14ac:dyDescent="0.15"/>
    <row r="19764" s="76" customFormat="1" ht="21.95" customHeight="1" x14ac:dyDescent="0.15"/>
    <row r="19765" s="76" customFormat="1" ht="21.95" customHeight="1" x14ac:dyDescent="0.15"/>
    <row r="19766" s="76" customFormat="1" ht="21.95" customHeight="1" x14ac:dyDescent="0.15"/>
    <row r="19767" s="76" customFormat="1" ht="21.95" customHeight="1" x14ac:dyDescent="0.15"/>
    <row r="19768" s="76" customFormat="1" ht="21.95" customHeight="1" x14ac:dyDescent="0.15"/>
    <row r="19769" s="76" customFormat="1" ht="21.95" customHeight="1" x14ac:dyDescent="0.15"/>
    <row r="19770" s="76" customFormat="1" ht="21.95" customHeight="1" x14ac:dyDescent="0.15"/>
    <row r="19771" s="76" customFormat="1" ht="21.95" customHeight="1" x14ac:dyDescent="0.15"/>
    <row r="19772" s="76" customFormat="1" ht="21.95" customHeight="1" x14ac:dyDescent="0.15"/>
    <row r="19773" s="76" customFormat="1" ht="21.95" customHeight="1" x14ac:dyDescent="0.15"/>
    <row r="19774" s="76" customFormat="1" ht="21.95" customHeight="1" x14ac:dyDescent="0.15"/>
    <row r="19775" s="76" customFormat="1" ht="21.95" customHeight="1" x14ac:dyDescent="0.15"/>
    <row r="19776" s="76" customFormat="1" ht="21.95" customHeight="1" x14ac:dyDescent="0.15"/>
    <row r="19777" s="76" customFormat="1" ht="21.95" customHeight="1" x14ac:dyDescent="0.15"/>
    <row r="19778" s="76" customFormat="1" ht="21.95" customHeight="1" x14ac:dyDescent="0.15"/>
    <row r="19779" s="76" customFormat="1" ht="21.95" customHeight="1" x14ac:dyDescent="0.15"/>
    <row r="19780" s="76" customFormat="1" ht="21.95" customHeight="1" x14ac:dyDescent="0.15"/>
    <row r="19781" s="76" customFormat="1" ht="21.95" customHeight="1" x14ac:dyDescent="0.15"/>
    <row r="19782" s="76" customFormat="1" ht="21.95" customHeight="1" x14ac:dyDescent="0.15"/>
    <row r="19783" s="76" customFormat="1" ht="21.95" customHeight="1" x14ac:dyDescent="0.15"/>
    <row r="19784" s="76" customFormat="1" ht="21.95" customHeight="1" x14ac:dyDescent="0.15"/>
    <row r="19785" s="76" customFormat="1" ht="21.95" customHeight="1" x14ac:dyDescent="0.15"/>
    <row r="19786" s="76" customFormat="1" ht="21.95" customHeight="1" x14ac:dyDescent="0.15"/>
    <row r="19787" s="76" customFormat="1" ht="21.95" customHeight="1" x14ac:dyDescent="0.15"/>
    <row r="19788" s="76" customFormat="1" ht="21.95" customHeight="1" x14ac:dyDescent="0.15"/>
    <row r="19789" s="76" customFormat="1" ht="21.95" customHeight="1" x14ac:dyDescent="0.15"/>
    <row r="19790" s="76" customFormat="1" ht="21.95" customHeight="1" x14ac:dyDescent="0.15"/>
    <row r="19791" s="76" customFormat="1" ht="21.95" customHeight="1" x14ac:dyDescent="0.15"/>
    <row r="19792" s="76" customFormat="1" ht="21.95" customHeight="1" x14ac:dyDescent="0.15"/>
    <row r="19793" s="76" customFormat="1" ht="21.95" customHeight="1" x14ac:dyDescent="0.15"/>
    <row r="19794" s="76" customFormat="1" ht="21.95" customHeight="1" x14ac:dyDescent="0.15"/>
    <row r="19795" s="76" customFormat="1" ht="21.95" customHeight="1" x14ac:dyDescent="0.15"/>
    <row r="19796" s="76" customFormat="1" ht="21.95" customHeight="1" x14ac:dyDescent="0.15"/>
    <row r="19797" s="76" customFormat="1" ht="21.95" customHeight="1" x14ac:dyDescent="0.15"/>
    <row r="19798" s="76" customFormat="1" ht="21.95" customHeight="1" x14ac:dyDescent="0.15"/>
    <row r="19799" s="76" customFormat="1" ht="21.95" customHeight="1" x14ac:dyDescent="0.15"/>
    <row r="19800" s="76" customFormat="1" ht="21.95" customHeight="1" x14ac:dyDescent="0.15"/>
    <row r="19801" s="76" customFormat="1" ht="35.1" customHeight="1" x14ac:dyDescent="0.15"/>
    <row r="19802" s="76" customFormat="1" ht="21.95" customHeight="1" x14ac:dyDescent="0.15"/>
    <row r="19803" s="76" customFormat="1" ht="21.95" customHeight="1" x14ac:dyDescent="0.15"/>
    <row r="19804" s="76" customFormat="1" ht="21.95" customHeight="1" x14ac:dyDescent="0.15"/>
    <row r="19805" s="76" customFormat="1" ht="21.95" customHeight="1" x14ac:dyDescent="0.15"/>
    <row r="19806" s="76" customFormat="1" ht="21.95" customHeight="1" x14ac:dyDescent="0.15"/>
    <row r="19807" s="76" customFormat="1" ht="21.95" customHeight="1" x14ac:dyDescent="0.15"/>
    <row r="19808" s="76" customFormat="1" ht="21.95" customHeight="1" x14ac:dyDescent="0.15"/>
    <row r="19809" s="76" customFormat="1" ht="21.95" customHeight="1" x14ac:dyDescent="0.15"/>
    <row r="19810" s="76" customFormat="1" ht="21.95" customHeight="1" x14ac:dyDescent="0.15"/>
    <row r="19811" s="76" customFormat="1" ht="21.95" customHeight="1" x14ac:dyDescent="0.15"/>
    <row r="19812" s="76" customFormat="1" ht="21.95" customHeight="1" x14ac:dyDescent="0.15"/>
    <row r="19813" s="76" customFormat="1" ht="21.95" customHeight="1" x14ac:dyDescent="0.15"/>
    <row r="19814" s="76" customFormat="1" ht="21.95" customHeight="1" x14ac:dyDescent="0.15"/>
    <row r="19815" s="76" customFormat="1" ht="21.95" customHeight="1" x14ac:dyDescent="0.15"/>
    <row r="19816" s="76" customFormat="1" ht="21.95" customHeight="1" x14ac:dyDescent="0.15"/>
    <row r="19817" s="76" customFormat="1" ht="21.95" customHeight="1" x14ac:dyDescent="0.15"/>
    <row r="19818" s="76" customFormat="1" ht="21.95" customHeight="1" x14ac:dyDescent="0.15"/>
    <row r="19819" s="76" customFormat="1" ht="21.95" customHeight="1" x14ac:dyDescent="0.15"/>
    <row r="19820" s="76" customFormat="1" ht="21.95" customHeight="1" x14ac:dyDescent="0.15"/>
    <row r="19821" s="76" customFormat="1" ht="21.95" customHeight="1" x14ac:dyDescent="0.15"/>
    <row r="19822" s="76" customFormat="1" ht="21.95" customHeight="1" x14ac:dyDescent="0.15"/>
    <row r="19823" s="76" customFormat="1" ht="21.95" customHeight="1" x14ac:dyDescent="0.15"/>
    <row r="19824" s="76" customFormat="1" ht="21.95" customHeight="1" x14ac:dyDescent="0.15"/>
    <row r="19825" spans="3:3" customFormat="1" ht="21.95" customHeight="1" x14ac:dyDescent="0.15"/>
    <row r="19826" spans="3:3" customFormat="1" ht="21.95" customHeight="1" x14ac:dyDescent="0.15"/>
    <row r="19827" spans="3:3" customFormat="1" ht="21.95" customHeight="1" x14ac:dyDescent="0.15">
      <c r="C19827" s="94"/>
    </row>
    <row r="19828" spans="3:3" customFormat="1" ht="21.95" customHeight="1" x14ac:dyDescent="0.15">
      <c r="C19828" s="94"/>
    </row>
    <row r="19829" spans="3:3" customFormat="1" ht="21.95" customHeight="1" x14ac:dyDescent="0.15"/>
    <row r="19830" spans="3:3" customFormat="1" ht="21.95" customHeight="1" x14ac:dyDescent="0.15"/>
    <row r="19831" spans="3:3" customFormat="1" ht="21.95" customHeight="1" x14ac:dyDescent="0.15"/>
    <row r="19832" spans="3:3" customFormat="1" ht="21.95" customHeight="1" x14ac:dyDescent="0.15"/>
    <row r="19833" spans="3:3" customFormat="1" ht="21.95" customHeight="1" x14ac:dyDescent="0.15"/>
    <row r="19834" spans="3:3" customFormat="1" ht="21.95" customHeight="1" x14ac:dyDescent="0.15"/>
    <row r="19835" spans="3:3" customFormat="1" ht="21.95" customHeight="1" x14ac:dyDescent="0.15"/>
    <row r="19836" spans="3:3" s="76" customFormat="1" ht="21.95" customHeight="1" x14ac:dyDescent="0.15"/>
    <row r="19837" spans="3:3" s="76" customFormat="1" ht="21.95" customHeight="1" x14ac:dyDescent="0.15"/>
    <row r="19838" spans="3:3" s="76" customFormat="1" ht="21.95" customHeight="1" x14ac:dyDescent="0.15"/>
    <row r="19839" spans="3:3" s="76" customFormat="1" ht="21.95" customHeight="1" x14ac:dyDescent="0.15"/>
    <row r="19840" spans="3:3" customFormat="1" ht="21.95" customHeight="1" x14ac:dyDescent="0.15"/>
    <row r="19841" customFormat="1" ht="21.95" customHeight="1" x14ac:dyDescent="0.15"/>
    <row r="19842" customFormat="1" ht="21.95" customHeight="1" x14ac:dyDescent="0.15"/>
    <row r="19843" customFormat="1" ht="21.95" customHeight="1" x14ac:dyDescent="0.15"/>
    <row r="19844" customFormat="1" ht="21.95" customHeight="1" x14ac:dyDescent="0.15"/>
    <row r="19845" customFormat="1" ht="21.95" customHeight="1" x14ac:dyDescent="0.15"/>
    <row r="19846" customFormat="1" ht="21.95" customHeight="1" x14ac:dyDescent="0.15"/>
    <row r="19847" customFormat="1" ht="21.95" customHeight="1" x14ac:dyDescent="0.15"/>
    <row r="19848" customFormat="1" ht="21.95" customHeight="1" x14ac:dyDescent="0.15"/>
    <row r="19849" customFormat="1" ht="21.95" customHeight="1" x14ac:dyDescent="0.15"/>
    <row r="19850" customFormat="1" ht="21.95" customHeight="1" x14ac:dyDescent="0.15"/>
    <row r="19851" customFormat="1" ht="32.1" customHeight="1" x14ac:dyDescent="0.15"/>
    <row r="19852" customFormat="1" ht="32.1" customHeight="1" x14ac:dyDescent="0.15"/>
    <row r="19853" customFormat="1" ht="32.1" customHeight="1" x14ac:dyDescent="0.15"/>
    <row r="19854" customFormat="1" ht="32.1" customHeight="1" x14ac:dyDescent="0.15"/>
    <row r="19855" customFormat="1" ht="32.1" customHeight="1" x14ac:dyDescent="0.15"/>
    <row r="19856" customFormat="1" ht="32.1" customHeight="1" x14ac:dyDescent="0.15"/>
    <row r="19857" s="76" customFormat="1" ht="32.1" customHeight="1" x14ac:dyDescent="0.15"/>
    <row r="19858" s="76" customFormat="1" ht="32.1" customHeight="1" x14ac:dyDescent="0.15"/>
    <row r="19859" s="76" customFormat="1" ht="32.1" customHeight="1" x14ac:dyDescent="0.15"/>
    <row r="19860" s="76" customFormat="1" ht="32.1" customHeight="1" x14ac:dyDescent="0.15"/>
    <row r="19861" s="76" customFormat="1" ht="21.95" customHeight="1" x14ac:dyDescent="0.15"/>
    <row r="19862" s="76" customFormat="1" ht="54" customHeight="1" x14ac:dyDescent="0.15"/>
    <row r="19863" s="76" customFormat="1" ht="21.95" customHeight="1" x14ac:dyDescent="0.15"/>
    <row r="19864" s="76" customFormat="1" ht="21.95" customHeight="1" x14ac:dyDescent="0.15"/>
    <row r="19865" s="76" customFormat="1" ht="21.95" customHeight="1" x14ac:dyDescent="0.15"/>
    <row r="19866" s="76" customFormat="1" ht="21.95" customHeight="1" x14ac:dyDescent="0.15"/>
    <row r="19867" s="76" customFormat="1" ht="21.95" customHeight="1" x14ac:dyDescent="0.15"/>
    <row r="19868" s="76" customFormat="1" ht="21.95" customHeight="1" x14ac:dyDescent="0.15"/>
    <row r="19869" s="76" customFormat="1" ht="21.95" customHeight="1" x14ac:dyDescent="0.15"/>
    <row r="19870" s="76" customFormat="1" ht="21.95" customHeight="1" x14ac:dyDescent="0.15"/>
    <row r="19871" s="76" customFormat="1" ht="21.95" customHeight="1" x14ac:dyDescent="0.15"/>
    <row r="19872" s="76" customFormat="1" ht="21.95" customHeight="1" x14ac:dyDescent="0.15"/>
    <row r="19873" s="76" customFormat="1" ht="21.95" customHeight="1" x14ac:dyDescent="0.15"/>
    <row r="19874" s="76" customFormat="1" ht="21.95" customHeight="1" x14ac:dyDescent="0.15"/>
    <row r="19875" s="76" customFormat="1" ht="21.95" customHeight="1" x14ac:dyDescent="0.15"/>
    <row r="19876" s="76" customFormat="1" ht="21.95" customHeight="1" x14ac:dyDescent="0.15"/>
    <row r="19877" s="76" customFormat="1" ht="21.95" customHeight="1" x14ac:dyDescent="0.15"/>
    <row r="19878" s="76" customFormat="1" ht="21.95" customHeight="1" x14ac:dyDescent="0.15"/>
    <row r="19879" s="76" customFormat="1" ht="21.95" customHeight="1" x14ac:dyDescent="0.15"/>
    <row r="19880" s="76" customFormat="1" ht="21.95" customHeight="1" x14ac:dyDescent="0.15"/>
    <row r="19881" s="76" customFormat="1" ht="21.95" customHeight="1" x14ac:dyDescent="0.15"/>
    <row r="19882" s="76" customFormat="1" ht="21.95" customHeight="1" x14ac:dyDescent="0.15"/>
    <row r="19883" s="76" customFormat="1" ht="21.95" customHeight="1" x14ac:dyDescent="0.15"/>
    <row r="19884" s="76" customFormat="1" ht="21.95" customHeight="1" x14ac:dyDescent="0.15"/>
    <row r="19885" s="76" customFormat="1" ht="21.95" customHeight="1" x14ac:dyDescent="0.15"/>
    <row r="19886" s="76" customFormat="1" ht="21.95" customHeight="1" x14ac:dyDescent="0.15"/>
    <row r="19887" s="76" customFormat="1" ht="21.95" customHeight="1" x14ac:dyDescent="0.15"/>
    <row r="19888" s="76" customFormat="1" ht="21.95" customHeight="1" x14ac:dyDescent="0.15"/>
    <row r="19889" s="76" customFormat="1" ht="21.95" customHeight="1" x14ac:dyDescent="0.15"/>
    <row r="19890" s="76" customFormat="1" ht="21.95" customHeight="1" x14ac:dyDescent="0.15"/>
    <row r="19891" s="76" customFormat="1" ht="21.95" customHeight="1" x14ac:dyDescent="0.15"/>
    <row r="19892" s="76" customFormat="1" ht="21.95" customHeight="1" x14ac:dyDescent="0.15"/>
    <row r="19893" s="76" customFormat="1" ht="21.95" customHeight="1" x14ac:dyDescent="0.15"/>
    <row r="19894" s="76" customFormat="1" ht="21.95" customHeight="1" x14ac:dyDescent="0.15"/>
    <row r="19895" s="76" customFormat="1" ht="21.95" customHeight="1" x14ac:dyDescent="0.15"/>
    <row r="19896" s="76" customFormat="1" ht="21.95" customHeight="1" x14ac:dyDescent="0.15"/>
    <row r="19897" s="76" customFormat="1" ht="21.95" customHeight="1" x14ac:dyDescent="0.15"/>
    <row r="19898" s="76" customFormat="1" ht="21.95" customHeight="1" x14ac:dyDescent="0.15"/>
    <row r="19899" s="76" customFormat="1" ht="21.95" customHeight="1" x14ac:dyDescent="0.15"/>
    <row r="19900" s="76" customFormat="1" ht="21.95" customHeight="1" x14ac:dyDescent="0.15"/>
    <row r="19901" s="76" customFormat="1" ht="21.95" customHeight="1" x14ac:dyDescent="0.15"/>
    <row r="19902" s="76" customFormat="1" ht="21.95" customHeight="1" x14ac:dyDescent="0.15"/>
    <row r="19903" s="76" customFormat="1" ht="21.95" customHeight="1" x14ac:dyDescent="0.15"/>
    <row r="19904" s="76" customFormat="1" ht="21.95" customHeight="1" x14ac:dyDescent="0.15"/>
    <row r="19905" s="76" customFormat="1" ht="21.95" customHeight="1" x14ac:dyDescent="0.15"/>
    <row r="19906" s="76" customFormat="1" ht="21.95" customHeight="1" x14ac:dyDescent="0.15"/>
    <row r="19907" s="76" customFormat="1" ht="21.95" customHeight="1" x14ac:dyDescent="0.15"/>
    <row r="19908" s="76" customFormat="1" ht="21.95" customHeight="1" x14ac:dyDescent="0.15"/>
    <row r="19909" s="76" customFormat="1" ht="21.95" customHeight="1" x14ac:dyDescent="0.15"/>
    <row r="19910" s="76" customFormat="1" ht="21.95" customHeight="1" x14ac:dyDescent="0.15"/>
    <row r="19911" s="76" customFormat="1" ht="21.95" customHeight="1" x14ac:dyDescent="0.15"/>
    <row r="19912" s="76" customFormat="1" ht="21.95" customHeight="1" x14ac:dyDescent="0.15"/>
    <row r="19913" s="76" customFormat="1" ht="35.1" customHeight="1" x14ac:dyDescent="0.15"/>
    <row r="19914" s="76" customFormat="1" ht="21.95" customHeight="1" x14ac:dyDescent="0.15"/>
    <row r="19915" s="76" customFormat="1" ht="21.95" customHeight="1" x14ac:dyDescent="0.15"/>
    <row r="19916" s="76" customFormat="1" ht="21.95" customHeight="1" x14ac:dyDescent="0.15"/>
    <row r="19917" s="76" customFormat="1" ht="21.95" customHeight="1" x14ac:dyDescent="0.15"/>
    <row r="19918" s="76" customFormat="1" ht="21.95" customHeight="1" x14ac:dyDescent="0.15"/>
    <row r="19919" s="76" customFormat="1" ht="21.95" customHeight="1" x14ac:dyDescent="0.15"/>
    <row r="19920" s="76" customFormat="1" ht="21.95" customHeight="1" x14ac:dyDescent="0.15"/>
    <row r="19921" s="76" customFormat="1" ht="21.95" customHeight="1" x14ac:dyDescent="0.15"/>
    <row r="19922" s="76" customFormat="1" ht="21.95" customHeight="1" x14ac:dyDescent="0.15"/>
    <row r="19923" s="76" customFormat="1" ht="21.95" customHeight="1" x14ac:dyDescent="0.15"/>
    <row r="19924" s="76" customFormat="1" ht="21.95" customHeight="1" x14ac:dyDescent="0.15"/>
    <row r="19925" s="76" customFormat="1" ht="21.95" customHeight="1" x14ac:dyDescent="0.15"/>
    <row r="19926" s="76" customFormat="1" ht="21.95" customHeight="1" x14ac:dyDescent="0.15"/>
    <row r="19927" s="76" customFormat="1" ht="21.95" customHeight="1" x14ac:dyDescent="0.15"/>
    <row r="19928" s="76" customFormat="1" ht="21.95" customHeight="1" x14ac:dyDescent="0.15"/>
    <row r="19929" s="76" customFormat="1" ht="21.95" customHeight="1" x14ac:dyDescent="0.15"/>
    <row r="19930" s="76" customFormat="1" ht="21.95" customHeight="1" x14ac:dyDescent="0.15"/>
    <row r="19931" s="76" customFormat="1" ht="21.95" customHeight="1" x14ac:dyDescent="0.15"/>
    <row r="19932" s="76" customFormat="1" ht="21.95" customHeight="1" x14ac:dyDescent="0.15"/>
    <row r="19933" s="76" customFormat="1" ht="21.95" customHeight="1" x14ac:dyDescent="0.15"/>
    <row r="19934" s="76" customFormat="1" ht="21.95" customHeight="1" x14ac:dyDescent="0.15"/>
    <row r="19935" s="76" customFormat="1" ht="21.95" customHeight="1" x14ac:dyDescent="0.15"/>
    <row r="19936" s="76" customFormat="1" ht="21.95" customHeight="1" x14ac:dyDescent="0.15"/>
    <row r="19937" spans="3:3" customFormat="1" ht="21.95" customHeight="1" x14ac:dyDescent="0.15"/>
    <row r="19938" spans="3:3" customFormat="1" ht="21.95" customHeight="1" x14ac:dyDescent="0.15"/>
    <row r="19939" spans="3:3" customFormat="1" ht="21.95" customHeight="1" x14ac:dyDescent="0.15">
      <c r="C19939" s="94"/>
    </row>
    <row r="19940" spans="3:3" customFormat="1" ht="21.95" customHeight="1" x14ac:dyDescent="0.15">
      <c r="C19940" s="94"/>
    </row>
    <row r="19941" spans="3:3" customFormat="1" ht="21.95" customHeight="1" x14ac:dyDescent="0.15"/>
    <row r="19942" spans="3:3" customFormat="1" ht="21.95" customHeight="1" x14ac:dyDescent="0.15"/>
    <row r="19943" spans="3:3" customFormat="1" ht="21.95" customHeight="1" x14ac:dyDescent="0.15"/>
    <row r="19944" spans="3:3" customFormat="1" ht="21.95" customHeight="1" x14ac:dyDescent="0.15"/>
    <row r="19945" spans="3:3" customFormat="1" ht="21.95" customHeight="1" x14ac:dyDescent="0.15"/>
    <row r="19946" spans="3:3" customFormat="1" ht="21.95" customHeight="1" x14ac:dyDescent="0.15"/>
    <row r="19947" spans="3:3" customFormat="1" ht="21.95" customHeight="1" x14ac:dyDescent="0.15"/>
    <row r="19948" spans="3:3" s="76" customFormat="1" ht="21.95" customHeight="1" x14ac:dyDescent="0.15"/>
    <row r="19949" spans="3:3" s="76" customFormat="1" ht="21.95" customHeight="1" x14ac:dyDescent="0.15"/>
    <row r="19950" spans="3:3" s="76" customFormat="1" ht="21.95" customHeight="1" x14ac:dyDescent="0.15"/>
    <row r="19951" spans="3:3" s="76" customFormat="1" ht="21.95" customHeight="1" x14ac:dyDescent="0.15"/>
    <row r="19952" spans="3:3" customFormat="1" ht="21.95" customHeight="1" x14ac:dyDescent="0.15"/>
    <row r="19953" customFormat="1" ht="21.95" customHeight="1" x14ac:dyDescent="0.15"/>
    <row r="19954" customFormat="1" ht="21.95" customHeight="1" x14ac:dyDescent="0.15"/>
    <row r="19955" customFormat="1" ht="21.95" customHeight="1" x14ac:dyDescent="0.15"/>
    <row r="19956" customFormat="1" ht="21.95" customHeight="1" x14ac:dyDescent="0.15"/>
    <row r="19957" customFormat="1" ht="21.95" customHeight="1" x14ac:dyDescent="0.15"/>
    <row r="19958" customFormat="1" ht="21.95" customHeight="1" x14ac:dyDescent="0.15"/>
    <row r="19959" customFormat="1" ht="21.95" customHeight="1" x14ac:dyDescent="0.15"/>
    <row r="19960" customFormat="1" ht="21.95" customHeight="1" x14ac:dyDescent="0.15"/>
    <row r="19961" customFormat="1" ht="21.95" customHeight="1" x14ac:dyDescent="0.15"/>
    <row r="19962" customFormat="1" ht="21.95" customHeight="1" x14ac:dyDescent="0.15"/>
    <row r="19963" customFormat="1" ht="32.1" customHeight="1" x14ac:dyDescent="0.15"/>
    <row r="19964" customFormat="1" ht="32.1" customHeight="1" x14ac:dyDescent="0.15"/>
    <row r="19965" customFormat="1" ht="32.1" customHeight="1" x14ac:dyDescent="0.15"/>
    <row r="19966" customFormat="1" ht="32.1" customHeight="1" x14ac:dyDescent="0.15"/>
    <row r="19967" customFormat="1" ht="32.1" customHeight="1" x14ac:dyDescent="0.15"/>
    <row r="19968" customFormat="1" ht="32.1" customHeight="1" x14ac:dyDescent="0.15"/>
    <row r="19969" s="76" customFormat="1" ht="32.1" customHeight="1" x14ac:dyDescent="0.15"/>
    <row r="19970" s="76" customFormat="1" ht="32.1" customHeight="1" x14ac:dyDescent="0.15"/>
    <row r="19971" s="76" customFormat="1" ht="32.1" customHeight="1" x14ac:dyDescent="0.15"/>
    <row r="19972" s="76" customFormat="1" ht="32.1" customHeight="1" x14ac:dyDescent="0.15"/>
    <row r="19973" s="76" customFormat="1" ht="21.95" customHeight="1" x14ac:dyDescent="0.15"/>
    <row r="19974" s="76" customFormat="1" ht="54" customHeight="1" x14ac:dyDescent="0.15"/>
    <row r="19975" s="76" customFormat="1" ht="21.95" customHeight="1" x14ac:dyDescent="0.15"/>
    <row r="19976" s="76" customFormat="1" ht="21.95" customHeight="1" x14ac:dyDescent="0.15"/>
    <row r="19977" s="76" customFormat="1" ht="21.95" customHeight="1" x14ac:dyDescent="0.15"/>
    <row r="19978" s="76" customFormat="1" ht="21.95" customHeight="1" x14ac:dyDescent="0.15"/>
    <row r="19979" s="76" customFormat="1" ht="21.95" customHeight="1" x14ac:dyDescent="0.15"/>
    <row r="19980" s="76" customFormat="1" ht="21.95" customHeight="1" x14ac:dyDescent="0.15"/>
    <row r="19981" s="76" customFormat="1" ht="21.95" customHeight="1" x14ac:dyDescent="0.15"/>
    <row r="19982" s="76" customFormat="1" ht="21.95" customHeight="1" x14ac:dyDescent="0.15"/>
    <row r="19983" s="76" customFormat="1" ht="21.95" customHeight="1" x14ac:dyDescent="0.15"/>
    <row r="19984" s="76" customFormat="1" ht="21.95" customHeight="1" x14ac:dyDescent="0.15"/>
    <row r="19985" s="76" customFormat="1" ht="21.95" customHeight="1" x14ac:dyDescent="0.15"/>
    <row r="19986" s="76" customFormat="1" ht="21.95" customHeight="1" x14ac:dyDescent="0.15"/>
    <row r="19987" s="76" customFormat="1" ht="21.95" customHeight="1" x14ac:dyDescent="0.15"/>
    <row r="19988" s="76" customFormat="1" ht="21.95" customHeight="1" x14ac:dyDescent="0.15"/>
    <row r="19989" s="76" customFormat="1" ht="21.95" customHeight="1" x14ac:dyDescent="0.15"/>
    <row r="19990" s="76" customFormat="1" ht="21.95" customHeight="1" x14ac:dyDescent="0.15"/>
    <row r="19991" s="76" customFormat="1" ht="21.95" customHeight="1" x14ac:dyDescent="0.15"/>
    <row r="19992" s="76" customFormat="1" ht="21.95" customHeight="1" x14ac:dyDescent="0.15"/>
    <row r="19993" s="76" customFormat="1" ht="21.95" customHeight="1" x14ac:dyDescent="0.15"/>
    <row r="19994" s="76" customFormat="1" ht="21.95" customHeight="1" x14ac:dyDescent="0.15"/>
    <row r="19995" s="76" customFormat="1" ht="21.95" customHeight="1" x14ac:dyDescent="0.15"/>
    <row r="19996" s="76" customFormat="1" ht="21.95" customHeight="1" x14ac:dyDescent="0.15"/>
    <row r="19997" s="76" customFormat="1" ht="21.95" customHeight="1" x14ac:dyDescent="0.15"/>
    <row r="19998" s="76" customFormat="1" ht="21.95" customHeight="1" x14ac:dyDescent="0.15"/>
    <row r="19999" s="76" customFormat="1" ht="21.95" customHeight="1" x14ac:dyDescent="0.15"/>
    <row r="20000" s="76" customFormat="1" ht="21.95" customHeight="1" x14ac:dyDescent="0.15"/>
    <row r="20001" s="76" customFormat="1" ht="21.95" customHeight="1" x14ac:dyDescent="0.15"/>
    <row r="20002" s="76" customFormat="1" ht="21.95" customHeight="1" x14ac:dyDescent="0.15"/>
    <row r="20003" s="76" customFormat="1" ht="21.95" customHeight="1" x14ac:dyDescent="0.15"/>
    <row r="20004" s="76" customFormat="1" ht="21.95" customHeight="1" x14ac:dyDescent="0.15"/>
    <row r="20005" s="76" customFormat="1" ht="21.95" customHeight="1" x14ac:dyDescent="0.15"/>
    <row r="20006" s="76" customFormat="1" ht="21.95" customHeight="1" x14ac:dyDescent="0.15"/>
    <row r="20007" s="76" customFormat="1" ht="21.95" customHeight="1" x14ac:dyDescent="0.15"/>
    <row r="20008" s="76" customFormat="1" ht="21.95" customHeight="1" x14ac:dyDescent="0.15"/>
    <row r="20009" s="76" customFormat="1" ht="21.95" customHeight="1" x14ac:dyDescent="0.15"/>
    <row r="20010" s="76" customFormat="1" ht="21.95" customHeight="1" x14ac:dyDescent="0.15"/>
    <row r="20011" s="76" customFormat="1" ht="21.95" customHeight="1" x14ac:dyDescent="0.15"/>
    <row r="20012" s="76" customFormat="1" ht="21.95" customHeight="1" x14ac:dyDescent="0.15"/>
    <row r="20013" s="76" customFormat="1" ht="21.95" customHeight="1" x14ac:dyDescent="0.15"/>
    <row r="20014" s="76" customFormat="1" ht="21.95" customHeight="1" x14ac:dyDescent="0.15"/>
    <row r="20015" s="76" customFormat="1" ht="21.95" customHeight="1" x14ac:dyDescent="0.15"/>
    <row r="20016" s="76" customFormat="1" ht="21.95" customHeight="1" x14ac:dyDescent="0.15"/>
    <row r="20017" s="76" customFormat="1" ht="21.95" customHeight="1" x14ac:dyDescent="0.15"/>
    <row r="20018" s="76" customFormat="1" ht="21.95" customHeight="1" x14ac:dyDescent="0.15"/>
    <row r="20019" s="76" customFormat="1" ht="21.95" customHeight="1" x14ac:dyDescent="0.15"/>
    <row r="20020" s="76" customFormat="1" ht="21.95" customHeight="1" x14ac:dyDescent="0.15"/>
    <row r="20021" s="76" customFormat="1" ht="21.95" customHeight="1" x14ac:dyDescent="0.15"/>
    <row r="20022" s="76" customFormat="1" ht="21.95" customHeight="1" x14ac:dyDescent="0.15"/>
    <row r="20023" s="76" customFormat="1" ht="21.95" customHeight="1" x14ac:dyDescent="0.15"/>
    <row r="20024" s="76" customFormat="1" ht="21.95" customHeight="1" x14ac:dyDescent="0.15"/>
    <row r="20025" s="76" customFormat="1" ht="35.1" customHeight="1" x14ac:dyDescent="0.15"/>
    <row r="20026" s="76" customFormat="1" ht="21.95" customHeight="1" x14ac:dyDescent="0.15"/>
    <row r="20027" s="76" customFormat="1" ht="21.95" customHeight="1" x14ac:dyDescent="0.15"/>
    <row r="20028" s="76" customFormat="1" ht="21.95" customHeight="1" x14ac:dyDescent="0.15"/>
    <row r="20029" s="76" customFormat="1" ht="21.95" customHeight="1" x14ac:dyDescent="0.15"/>
    <row r="20030" s="76" customFormat="1" ht="21.95" customHeight="1" x14ac:dyDescent="0.15"/>
    <row r="20031" s="76" customFormat="1" ht="21.95" customHeight="1" x14ac:dyDescent="0.15"/>
    <row r="20032" s="76" customFormat="1" ht="21.95" customHeight="1" x14ac:dyDescent="0.15"/>
    <row r="20033" s="76" customFormat="1" ht="21.95" customHeight="1" x14ac:dyDescent="0.15"/>
    <row r="20034" s="76" customFormat="1" ht="21.95" customHeight="1" x14ac:dyDescent="0.15"/>
    <row r="20035" s="76" customFormat="1" ht="21.95" customHeight="1" x14ac:dyDescent="0.15"/>
    <row r="20036" s="76" customFormat="1" ht="21.95" customHeight="1" x14ac:dyDescent="0.15"/>
    <row r="20037" s="76" customFormat="1" ht="21.95" customHeight="1" x14ac:dyDescent="0.15"/>
    <row r="20038" s="76" customFormat="1" ht="21.95" customHeight="1" x14ac:dyDescent="0.15"/>
    <row r="20039" s="76" customFormat="1" ht="21.95" customHeight="1" x14ac:dyDescent="0.15"/>
    <row r="20040" s="76" customFormat="1" ht="21.95" customHeight="1" x14ac:dyDescent="0.15"/>
    <row r="20041" s="76" customFormat="1" ht="21.95" customHeight="1" x14ac:dyDescent="0.15"/>
    <row r="20042" s="76" customFormat="1" ht="21.95" customHeight="1" x14ac:dyDescent="0.15"/>
    <row r="20043" s="76" customFormat="1" ht="21.95" customHeight="1" x14ac:dyDescent="0.15"/>
    <row r="20044" s="76" customFormat="1" ht="21.95" customHeight="1" x14ac:dyDescent="0.15"/>
    <row r="20045" s="76" customFormat="1" ht="21.95" customHeight="1" x14ac:dyDescent="0.15"/>
    <row r="20046" s="76" customFormat="1" ht="21.95" customHeight="1" x14ac:dyDescent="0.15"/>
    <row r="20047" s="76" customFormat="1" ht="21.95" customHeight="1" x14ac:dyDescent="0.15"/>
    <row r="20048" s="76" customFormat="1" ht="21.95" customHeight="1" x14ac:dyDescent="0.15"/>
    <row r="20049" spans="3:3" customFormat="1" ht="21.95" customHeight="1" x14ac:dyDescent="0.15"/>
    <row r="20050" spans="3:3" customFormat="1" ht="21.95" customHeight="1" x14ac:dyDescent="0.15"/>
    <row r="20051" spans="3:3" customFormat="1" ht="21.95" customHeight="1" x14ac:dyDescent="0.15">
      <c r="C20051" s="94"/>
    </row>
    <row r="20052" spans="3:3" customFormat="1" ht="21.95" customHeight="1" x14ac:dyDescent="0.15">
      <c r="C20052" s="94"/>
    </row>
    <row r="20053" spans="3:3" customFormat="1" ht="21.95" customHeight="1" x14ac:dyDescent="0.15"/>
    <row r="20054" spans="3:3" customFormat="1" ht="21.95" customHeight="1" x14ac:dyDescent="0.15"/>
    <row r="20055" spans="3:3" customFormat="1" ht="21.95" customHeight="1" x14ac:dyDescent="0.15"/>
    <row r="20056" spans="3:3" customFormat="1" ht="21.95" customHeight="1" x14ac:dyDescent="0.15"/>
    <row r="20057" spans="3:3" customFormat="1" ht="21.95" customHeight="1" x14ac:dyDescent="0.15"/>
    <row r="20058" spans="3:3" customFormat="1" ht="21.95" customHeight="1" x14ac:dyDescent="0.15"/>
    <row r="20059" spans="3:3" customFormat="1" ht="21.95" customHeight="1" x14ac:dyDescent="0.15"/>
    <row r="20060" spans="3:3" s="76" customFormat="1" ht="21.95" customHeight="1" x14ac:dyDescent="0.15"/>
    <row r="20061" spans="3:3" s="76" customFormat="1" ht="21.95" customHeight="1" x14ac:dyDescent="0.15"/>
    <row r="20062" spans="3:3" s="76" customFormat="1" ht="21.95" customHeight="1" x14ac:dyDescent="0.15"/>
    <row r="20063" spans="3:3" s="76" customFormat="1" ht="21.95" customHeight="1" x14ac:dyDescent="0.15"/>
    <row r="20064" spans="3:3" customFormat="1" ht="21.95" customHeight="1" x14ac:dyDescent="0.15"/>
    <row r="20065" customFormat="1" ht="21.95" customHeight="1" x14ac:dyDescent="0.15"/>
    <row r="20066" customFormat="1" ht="21.95" customHeight="1" x14ac:dyDescent="0.15"/>
    <row r="20067" customFormat="1" ht="21.95" customHeight="1" x14ac:dyDescent="0.15"/>
    <row r="20068" customFormat="1" ht="21.95" customHeight="1" x14ac:dyDescent="0.15"/>
    <row r="20069" customFormat="1" ht="21.95" customHeight="1" x14ac:dyDescent="0.15"/>
    <row r="20070" customFormat="1" ht="21.95" customHeight="1" x14ac:dyDescent="0.15"/>
    <row r="20071" customFormat="1" ht="21.95" customHeight="1" x14ac:dyDescent="0.15"/>
    <row r="20072" customFormat="1" ht="21.95" customHeight="1" x14ac:dyDescent="0.15"/>
    <row r="20073" customFormat="1" ht="21.95" customHeight="1" x14ac:dyDescent="0.15"/>
    <row r="20074" customFormat="1" ht="21.95" customHeight="1" x14ac:dyDescent="0.15"/>
    <row r="20075" customFormat="1" ht="32.1" customHeight="1" x14ac:dyDescent="0.15"/>
    <row r="20076" customFormat="1" ht="32.1" customHeight="1" x14ac:dyDescent="0.15"/>
    <row r="20077" customFormat="1" ht="32.1" customHeight="1" x14ac:dyDescent="0.15"/>
    <row r="20078" customFormat="1" ht="32.1" customHeight="1" x14ac:dyDescent="0.15"/>
    <row r="20079" customFormat="1" ht="32.1" customHeight="1" x14ac:dyDescent="0.15"/>
    <row r="20080" customFormat="1" ht="32.1" customHeight="1" x14ac:dyDescent="0.15"/>
    <row r="20081" s="76" customFormat="1" ht="32.1" customHeight="1" x14ac:dyDescent="0.15"/>
    <row r="20082" s="76" customFormat="1" ht="32.1" customHeight="1" x14ac:dyDescent="0.15"/>
    <row r="20083" s="76" customFormat="1" ht="32.1" customHeight="1" x14ac:dyDescent="0.15"/>
    <row r="20084" s="76" customFormat="1" ht="32.1" customHeight="1" x14ac:dyDescent="0.15"/>
    <row r="20085" s="76" customFormat="1" ht="21.95" customHeight="1" x14ac:dyDescent="0.15"/>
    <row r="20086" s="76" customFormat="1" ht="54" customHeight="1" x14ac:dyDescent="0.15"/>
    <row r="20087" s="76" customFormat="1" ht="21.95" customHeight="1" x14ac:dyDescent="0.15"/>
    <row r="20088" s="76" customFormat="1" ht="21.95" customHeight="1" x14ac:dyDescent="0.15"/>
    <row r="20089" s="76" customFormat="1" ht="21.95" customHeight="1" x14ac:dyDescent="0.15"/>
    <row r="20090" s="76" customFormat="1" ht="21.95" customHeight="1" x14ac:dyDescent="0.15"/>
    <row r="20091" s="76" customFormat="1" ht="21.95" customHeight="1" x14ac:dyDescent="0.15"/>
    <row r="20092" s="76" customFormat="1" ht="21.95" customHeight="1" x14ac:dyDescent="0.15"/>
    <row r="20093" s="76" customFormat="1" ht="21.95" customHeight="1" x14ac:dyDescent="0.15"/>
    <row r="20094" s="76" customFormat="1" ht="21.95" customHeight="1" x14ac:dyDescent="0.15"/>
    <row r="20095" s="76" customFormat="1" ht="21.95" customHeight="1" x14ac:dyDescent="0.15"/>
    <row r="20096" s="76" customFormat="1" ht="21.95" customHeight="1" x14ac:dyDescent="0.15"/>
    <row r="20097" s="76" customFormat="1" ht="21.95" customHeight="1" x14ac:dyDescent="0.15"/>
    <row r="20098" s="76" customFormat="1" ht="21.95" customHeight="1" x14ac:dyDescent="0.15"/>
    <row r="20099" s="76" customFormat="1" ht="21.95" customHeight="1" x14ac:dyDescent="0.15"/>
    <row r="20100" s="76" customFormat="1" ht="21.95" customHeight="1" x14ac:dyDescent="0.15"/>
    <row r="20101" s="76" customFormat="1" ht="21.95" customHeight="1" x14ac:dyDescent="0.15"/>
    <row r="20102" s="76" customFormat="1" ht="21.95" customHeight="1" x14ac:dyDescent="0.15"/>
    <row r="20103" s="76" customFormat="1" ht="21.95" customHeight="1" x14ac:dyDescent="0.15"/>
    <row r="20104" s="76" customFormat="1" ht="21.95" customHeight="1" x14ac:dyDescent="0.15"/>
    <row r="20105" s="76" customFormat="1" ht="21.95" customHeight="1" x14ac:dyDescent="0.15"/>
    <row r="20106" s="76" customFormat="1" ht="21.95" customHeight="1" x14ac:dyDescent="0.15"/>
    <row r="20107" s="76" customFormat="1" ht="21.95" customHeight="1" x14ac:dyDescent="0.15"/>
    <row r="20108" s="76" customFormat="1" ht="21.95" customHeight="1" x14ac:dyDescent="0.15"/>
    <row r="20109" s="76" customFormat="1" ht="21.95" customHeight="1" x14ac:dyDescent="0.15"/>
    <row r="20110" s="76" customFormat="1" ht="21.95" customHeight="1" x14ac:dyDescent="0.15"/>
    <row r="20111" s="76" customFormat="1" ht="21.95" customHeight="1" x14ac:dyDescent="0.15"/>
    <row r="20112" s="76" customFormat="1" ht="21.95" customHeight="1" x14ac:dyDescent="0.15"/>
    <row r="20113" s="76" customFormat="1" ht="21.95" customHeight="1" x14ac:dyDescent="0.15"/>
    <row r="20114" s="76" customFormat="1" ht="21.95" customHeight="1" x14ac:dyDescent="0.15"/>
    <row r="20115" s="76" customFormat="1" ht="21.95" customHeight="1" x14ac:dyDescent="0.15"/>
    <row r="20116" s="76" customFormat="1" ht="21.95" customHeight="1" x14ac:dyDescent="0.15"/>
    <row r="20117" s="76" customFormat="1" ht="21.95" customHeight="1" x14ac:dyDescent="0.15"/>
    <row r="20118" s="76" customFormat="1" ht="21.95" customHeight="1" x14ac:dyDescent="0.15"/>
    <row r="20119" s="76" customFormat="1" ht="21.95" customHeight="1" x14ac:dyDescent="0.15"/>
    <row r="20120" s="76" customFormat="1" ht="21.95" customHeight="1" x14ac:dyDescent="0.15"/>
    <row r="20121" s="76" customFormat="1" ht="21.95" customHeight="1" x14ac:dyDescent="0.15"/>
    <row r="20122" s="76" customFormat="1" ht="21.95" customHeight="1" x14ac:dyDescent="0.15"/>
    <row r="20123" s="76" customFormat="1" ht="21.95" customHeight="1" x14ac:dyDescent="0.15"/>
    <row r="20124" s="76" customFormat="1" ht="21.95" customHeight="1" x14ac:dyDescent="0.15"/>
    <row r="20125" s="76" customFormat="1" ht="21.95" customHeight="1" x14ac:dyDescent="0.15"/>
    <row r="20126" s="76" customFormat="1" ht="21.95" customHeight="1" x14ac:dyDescent="0.15"/>
    <row r="20127" s="76" customFormat="1" ht="21.95" customHeight="1" x14ac:dyDescent="0.15"/>
    <row r="20128" s="76" customFormat="1" ht="21.95" customHeight="1" x14ac:dyDescent="0.15"/>
    <row r="20129" s="76" customFormat="1" ht="21.95" customHeight="1" x14ac:dyDescent="0.15"/>
    <row r="20130" s="76" customFormat="1" ht="21.95" customHeight="1" x14ac:dyDescent="0.15"/>
    <row r="20131" s="76" customFormat="1" ht="21.95" customHeight="1" x14ac:dyDescent="0.15"/>
    <row r="20132" s="76" customFormat="1" ht="21.95" customHeight="1" x14ac:dyDescent="0.15"/>
    <row r="20133" s="76" customFormat="1" ht="21.95" customHeight="1" x14ac:dyDescent="0.15"/>
    <row r="20134" s="76" customFormat="1" ht="21.95" customHeight="1" x14ac:dyDescent="0.15"/>
    <row r="20135" s="76" customFormat="1" ht="21.95" customHeight="1" x14ac:dyDescent="0.15"/>
    <row r="20136" s="76" customFormat="1" ht="21.95" customHeight="1" x14ac:dyDescent="0.15"/>
    <row r="20137" s="76" customFormat="1" ht="35.1" customHeight="1" x14ac:dyDescent="0.15"/>
    <row r="20138" s="76" customFormat="1" ht="21.95" customHeight="1" x14ac:dyDescent="0.15"/>
    <row r="20139" s="76" customFormat="1" ht="21.95" customHeight="1" x14ac:dyDescent="0.15"/>
    <row r="20140" s="76" customFormat="1" ht="21.95" customHeight="1" x14ac:dyDescent="0.15"/>
    <row r="20141" s="76" customFormat="1" ht="21.95" customHeight="1" x14ac:dyDescent="0.15"/>
    <row r="20142" s="76" customFormat="1" ht="21.95" customHeight="1" x14ac:dyDescent="0.15"/>
    <row r="20143" s="76" customFormat="1" ht="21.95" customHeight="1" x14ac:dyDescent="0.15"/>
    <row r="20144" s="76" customFormat="1" ht="21.95" customHeight="1" x14ac:dyDescent="0.15"/>
    <row r="20145" s="76" customFormat="1" ht="21.95" customHeight="1" x14ac:dyDescent="0.15"/>
    <row r="20146" s="76" customFormat="1" ht="21.95" customHeight="1" x14ac:dyDescent="0.15"/>
    <row r="20147" s="76" customFormat="1" ht="21.95" customHeight="1" x14ac:dyDescent="0.15"/>
    <row r="20148" s="76" customFormat="1" ht="21.95" customHeight="1" x14ac:dyDescent="0.15"/>
    <row r="20149" s="76" customFormat="1" ht="21.95" customHeight="1" x14ac:dyDescent="0.15"/>
    <row r="20150" s="76" customFormat="1" ht="21.95" customHeight="1" x14ac:dyDescent="0.15"/>
    <row r="20151" s="76" customFormat="1" ht="21.95" customHeight="1" x14ac:dyDescent="0.15"/>
    <row r="20152" s="76" customFormat="1" ht="21.95" customHeight="1" x14ac:dyDescent="0.15"/>
    <row r="20153" s="76" customFormat="1" ht="21.95" customHeight="1" x14ac:dyDescent="0.15"/>
    <row r="20154" s="76" customFormat="1" ht="21.95" customHeight="1" x14ac:dyDescent="0.15"/>
    <row r="20155" s="76" customFormat="1" ht="21.95" customHeight="1" x14ac:dyDescent="0.15"/>
    <row r="20156" s="76" customFormat="1" ht="21.95" customHeight="1" x14ac:dyDescent="0.15"/>
    <row r="20157" s="76" customFormat="1" ht="21.95" customHeight="1" x14ac:dyDescent="0.15"/>
    <row r="20158" s="76" customFormat="1" ht="21.95" customHeight="1" x14ac:dyDescent="0.15"/>
    <row r="20159" s="76" customFormat="1" ht="21.95" customHeight="1" x14ac:dyDescent="0.15"/>
    <row r="20160" s="76" customFormat="1" ht="21.95" customHeight="1" x14ac:dyDescent="0.15"/>
    <row r="20161" spans="3:3" customFormat="1" ht="21.95" customHeight="1" x14ac:dyDescent="0.15"/>
    <row r="20162" spans="3:3" customFormat="1" ht="21.95" customHeight="1" x14ac:dyDescent="0.15"/>
    <row r="20163" spans="3:3" customFormat="1" ht="21.95" customHeight="1" x14ac:dyDescent="0.15">
      <c r="C20163" s="94"/>
    </row>
    <row r="20164" spans="3:3" customFormat="1" ht="21.95" customHeight="1" x14ac:dyDescent="0.15">
      <c r="C20164" s="94"/>
    </row>
    <row r="20165" spans="3:3" customFormat="1" ht="21.95" customHeight="1" x14ac:dyDescent="0.15"/>
    <row r="20166" spans="3:3" customFormat="1" ht="21.95" customHeight="1" x14ac:dyDescent="0.15"/>
    <row r="20167" spans="3:3" customFormat="1" ht="21.95" customHeight="1" x14ac:dyDescent="0.15"/>
    <row r="20168" spans="3:3" customFormat="1" ht="21.95" customHeight="1" x14ac:dyDescent="0.15"/>
    <row r="20169" spans="3:3" customFormat="1" ht="21.95" customHeight="1" x14ac:dyDescent="0.15"/>
    <row r="20170" spans="3:3" customFormat="1" ht="21.95" customHeight="1" x14ac:dyDescent="0.15"/>
    <row r="20171" spans="3:3" customFormat="1" ht="21.95" customHeight="1" x14ac:dyDescent="0.15"/>
    <row r="20172" spans="3:3" s="76" customFormat="1" ht="21.95" customHeight="1" x14ac:dyDescent="0.15"/>
    <row r="20173" spans="3:3" s="76" customFormat="1" ht="21.95" customHeight="1" x14ac:dyDescent="0.15"/>
    <row r="20174" spans="3:3" s="76" customFormat="1" ht="21.95" customHeight="1" x14ac:dyDescent="0.15"/>
    <row r="20175" spans="3:3" s="76" customFormat="1" ht="21.95" customHeight="1" x14ac:dyDescent="0.15"/>
    <row r="20176" spans="3:3" customFormat="1" ht="21.95" customHeight="1" x14ac:dyDescent="0.15"/>
    <row r="20177" customFormat="1" ht="21.95" customHeight="1" x14ac:dyDescent="0.15"/>
    <row r="20178" customFormat="1" ht="21.95" customHeight="1" x14ac:dyDescent="0.15"/>
    <row r="20179" customFormat="1" ht="21.95" customHeight="1" x14ac:dyDescent="0.15"/>
    <row r="20180" customFormat="1" ht="21.95" customHeight="1" x14ac:dyDescent="0.15"/>
    <row r="20181" customFormat="1" ht="21.95" customHeight="1" x14ac:dyDescent="0.15"/>
    <row r="20182" customFormat="1" ht="21.95" customHeight="1" x14ac:dyDescent="0.15"/>
    <row r="20183" customFormat="1" ht="21.95" customHeight="1" x14ac:dyDescent="0.15"/>
    <row r="20184" customFormat="1" ht="21.95" customHeight="1" x14ac:dyDescent="0.15"/>
    <row r="20185" customFormat="1" ht="21.95" customHeight="1" x14ac:dyDescent="0.15"/>
    <row r="20186" customFormat="1" ht="21.95" customHeight="1" x14ac:dyDescent="0.15"/>
    <row r="20187" customFormat="1" ht="32.1" customHeight="1" x14ac:dyDescent="0.15"/>
    <row r="20188" customFormat="1" ht="32.1" customHeight="1" x14ac:dyDescent="0.15"/>
    <row r="20189" customFormat="1" ht="32.1" customHeight="1" x14ac:dyDescent="0.15"/>
    <row r="20190" customFormat="1" ht="32.1" customHeight="1" x14ac:dyDescent="0.15"/>
    <row r="20191" customFormat="1" ht="32.1" customHeight="1" x14ac:dyDescent="0.15"/>
    <row r="20192" customFormat="1" ht="32.1" customHeight="1" x14ac:dyDescent="0.15"/>
    <row r="20193" s="76" customFormat="1" ht="32.1" customHeight="1" x14ac:dyDescent="0.15"/>
    <row r="20194" s="76" customFormat="1" ht="32.1" customHeight="1" x14ac:dyDescent="0.15"/>
    <row r="20195" s="76" customFormat="1" ht="32.1" customHeight="1" x14ac:dyDescent="0.15"/>
    <row r="20196" s="76" customFormat="1" ht="32.1" customHeight="1" x14ac:dyDescent="0.15"/>
    <row r="20197" s="76" customFormat="1" ht="21.95" customHeight="1" x14ac:dyDescent="0.15"/>
    <row r="20198" s="76" customFormat="1" ht="54" customHeight="1" x14ac:dyDescent="0.15"/>
    <row r="20199" s="76" customFormat="1" ht="21.95" customHeight="1" x14ac:dyDescent="0.15"/>
    <row r="20200" s="76" customFormat="1" ht="21.95" customHeight="1" x14ac:dyDescent="0.15"/>
    <row r="20201" s="76" customFormat="1" ht="21.95" customHeight="1" x14ac:dyDescent="0.15"/>
    <row r="20202" s="76" customFormat="1" ht="21.95" customHeight="1" x14ac:dyDescent="0.15"/>
    <row r="20203" s="76" customFormat="1" ht="21.95" customHeight="1" x14ac:dyDescent="0.15"/>
    <row r="20204" s="76" customFormat="1" ht="21.95" customHeight="1" x14ac:dyDescent="0.15"/>
    <row r="20205" s="76" customFormat="1" ht="21.95" customHeight="1" x14ac:dyDescent="0.15"/>
    <row r="20206" s="76" customFormat="1" ht="21.95" customHeight="1" x14ac:dyDescent="0.15"/>
    <row r="20207" s="76" customFormat="1" ht="21.95" customHeight="1" x14ac:dyDescent="0.15"/>
    <row r="20208" s="76" customFormat="1" ht="21.95" customHeight="1" x14ac:dyDescent="0.15"/>
    <row r="20209" s="76" customFormat="1" ht="21.95" customHeight="1" x14ac:dyDescent="0.15"/>
    <row r="20210" s="76" customFormat="1" ht="21.95" customHeight="1" x14ac:dyDescent="0.15"/>
    <row r="20211" s="76" customFormat="1" ht="21.95" customHeight="1" x14ac:dyDescent="0.15"/>
    <row r="20212" s="76" customFormat="1" ht="21.95" customHeight="1" x14ac:dyDescent="0.15"/>
    <row r="20213" s="76" customFormat="1" ht="21.95" customHeight="1" x14ac:dyDescent="0.15"/>
    <row r="20214" s="76" customFormat="1" ht="21.95" customHeight="1" x14ac:dyDescent="0.15"/>
    <row r="20215" s="76" customFormat="1" ht="21.95" customHeight="1" x14ac:dyDescent="0.15"/>
    <row r="20216" s="76" customFormat="1" ht="21.95" customHeight="1" x14ac:dyDescent="0.15"/>
    <row r="20217" s="76" customFormat="1" ht="21.95" customHeight="1" x14ac:dyDescent="0.15"/>
    <row r="20218" s="76" customFormat="1" ht="21.95" customHeight="1" x14ac:dyDescent="0.15"/>
    <row r="20219" s="76" customFormat="1" ht="21.95" customHeight="1" x14ac:dyDescent="0.15"/>
    <row r="20220" s="76" customFormat="1" ht="21.95" customHeight="1" x14ac:dyDescent="0.15"/>
    <row r="20221" s="76" customFormat="1" ht="21.95" customHeight="1" x14ac:dyDescent="0.15"/>
    <row r="20222" s="76" customFormat="1" ht="21.95" customHeight="1" x14ac:dyDescent="0.15"/>
    <row r="20223" s="76" customFormat="1" ht="21.95" customHeight="1" x14ac:dyDescent="0.15"/>
    <row r="20224" s="76" customFormat="1" ht="21.95" customHeight="1" x14ac:dyDescent="0.15"/>
    <row r="20225" s="76" customFormat="1" ht="21.95" customHeight="1" x14ac:dyDescent="0.15"/>
    <row r="20226" s="76" customFormat="1" ht="21.95" customHeight="1" x14ac:dyDescent="0.15"/>
    <row r="20227" s="76" customFormat="1" ht="21.95" customHeight="1" x14ac:dyDescent="0.15"/>
    <row r="20228" s="76" customFormat="1" ht="21.95" customHeight="1" x14ac:dyDescent="0.15"/>
    <row r="20229" s="76" customFormat="1" ht="21.95" customHeight="1" x14ac:dyDescent="0.15"/>
    <row r="20230" s="76" customFormat="1" ht="21.95" customHeight="1" x14ac:dyDescent="0.15"/>
    <row r="20231" s="76" customFormat="1" ht="21.95" customHeight="1" x14ac:dyDescent="0.15"/>
    <row r="20232" s="76" customFormat="1" ht="21.95" customHeight="1" x14ac:dyDescent="0.15"/>
    <row r="20233" s="76" customFormat="1" ht="21.95" customHeight="1" x14ac:dyDescent="0.15"/>
    <row r="20234" s="76" customFormat="1" ht="21.95" customHeight="1" x14ac:dyDescent="0.15"/>
    <row r="20235" s="76" customFormat="1" ht="21.95" customHeight="1" x14ac:dyDescent="0.15"/>
    <row r="20236" s="76" customFormat="1" ht="21.95" customHeight="1" x14ac:dyDescent="0.15"/>
    <row r="20237" s="76" customFormat="1" ht="21.95" customHeight="1" x14ac:dyDescent="0.15"/>
    <row r="20238" s="76" customFormat="1" ht="21.95" customHeight="1" x14ac:dyDescent="0.15"/>
    <row r="20239" s="76" customFormat="1" ht="21.95" customHeight="1" x14ac:dyDescent="0.15"/>
    <row r="20240" s="76" customFormat="1" ht="21.95" customHeight="1" x14ac:dyDescent="0.15"/>
    <row r="20241" s="76" customFormat="1" ht="21.95" customHeight="1" x14ac:dyDescent="0.15"/>
    <row r="20242" s="76" customFormat="1" ht="21.95" customHeight="1" x14ac:dyDescent="0.15"/>
    <row r="20243" s="76" customFormat="1" ht="21.95" customHeight="1" x14ac:dyDescent="0.15"/>
    <row r="20244" s="76" customFormat="1" ht="21.95" customHeight="1" x14ac:dyDescent="0.15"/>
    <row r="20245" s="76" customFormat="1" ht="21.95" customHeight="1" x14ac:dyDescent="0.15"/>
    <row r="20246" s="76" customFormat="1" ht="21.95" customHeight="1" x14ac:dyDescent="0.15"/>
    <row r="20247" s="76" customFormat="1" ht="21.95" customHeight="1" x14ac:dyDescent="0.15"/>
    <row r="20248" s="76" customFormat="1" ht="21.95" customHeight="1" x14ac:dyDescent="0.15"/>
    <row r="20249" s="76" customFormat="1" ht="35.1" customHeight="1" x14ac:dyDescent="0.15"/>
    <row r="20250" s="76" customFormat="1" ht="21.95" customHeight="1" x14ac:dyDescent="0.15"/>
    <row r="20251" s="76" customFormat="1" ht="21.95" customHeight="1" x14ac:dyDescent="0.15"/>
    <row r="20252" s="76" customFormat="1" ht="21.95" customHeight="1" x14ac:dyDescent="0.15"/>
    <row r="20253" s="76" customFormat="1" ht="21.95" customHeight="1" x14ac:dyDescent="0.15"/>
    <row r="20254" s="76" customFormat="1" ht="21.95" customHeight="1" x14ac:dyDescent="0.15"/>
    <row r="20255" s="76" customFormat="1" ht="21.95" customHeight="1" x14ac:dyDescent="0.15"/>
    <row r="20256" s="76" customFormat="1" ht="21.95" customHeight="1" x14ac:dyDescent="0.15"/>
    <row r="20257" s="76" customFormat="1" ht="21.95" customHeight="1" x14ac:dyDescent="0.15"/>
    <row r="20258" s="76" customFormat="1" ht="21.95" customHeight="1" x14ac:dyDescent="0.15"/>
    <row r="20259" s="76" customFormat="1" ht="21.95" customHeight="1" x14ac:dyDescent="0.15"/>
    <row r="20260" s="76" customFormat="1" ht="21.95" customHeight="1" x14ac:dyDescent="0.15"/>
    <row r="20261" s="76" customFormat="1" ht="21.95" customHeight="1" x14ac:dyDescent="0.15"/>
    <row r="20262" s="76" customFormat="1" ht="21.95" customHeight="1" x14ac:dyDescent="0.15"/>
    <row r="20263" s="76" customFormat="1" ht="21.95" customHeight="1" x14ac:dyDescent="0.15"/>
    <row r="20264" s="76" customFormat="1" ht="21.95" customHeight="1" x14ac:dyDescent="0.15"/>
    <row r="20265" s="76" customFormat="1" ht="21.95" customHeight="1" x14ac:dyDescent="0.15"/>
    <row r="20266" s="76" customFormat="1" ht="21.95" customHeight="1" x14ac:dyDescent="0.15"/>
    <row r="20267" s="76" customFormat="1" ht="21.95" customHeight="1" x14ac:dyDescent="0.15"/>
    <row r="20268" s="76" customFormat="1" ht="21.95" customHeight="1" x14ac:dyDescent="0.15"/>
    <row r="20269" s="76" customFormat="1" ht="21.95" customHeight="1" x14ac:dyDescent="0.15"/>
    <row r="20270" s="76" customFormat="1" ht="21.95" customHeight="1" x14ac:dyDescent="0.15"/>
    <row r="20271" s="76" customFormat="1" ht="21.95" customHeight="1" x14ac:dyDescent="0.15"/>
    <row r="20272" s="76" customFormat="1" ht="21.95" customHeight="1" x14ac:dyDescent="0.15"/>
    <row r="20273" spans="3:3" customFormat="1" ht="21.95" customHeight="1" x14ac:dyDescent="0.15"/>
    <row r="20274" spans="3:3" customFormat="1" ht="21.95" customHeight="1" x14ac:dyDescent="0.15"/>
    <row r="20275" spans="3:3" customFormat="1" ht="21.95" customHeight="1" x14ac:dyDescent="0.15">
      <c r="C20275" s="94"/>
    </row>
    <row r="20276" spans="3:3" customFormat="1" ht="21.95" customHeight="1" x14ac:dyDescent="0.15">
      <c r="C20276" s="94"/>
    </row>
    <row r="20277" spans="3:3" customFormat="1" ht="21.95" customHeight="1" x14ac:dyDescent="0.15"/>
    <row r="20278" spans="3:3" customFormat="1" ht="21.95" customHeight="1" x14ac:dyDescent="0.15"/>
    <row r="20279" spans="3:3" customFormat="1" ht="21.95" customHeight="1" x14ac:dyDescent="0.15"/>
    <row r="20280" spans="3:3" customFormat="1" ht="21.95" customHeight="1" x14ac:dyDescent="0.15"/>
    <row r="20281" spans="3:3" customFormat="1" ht="21.95" customHeight="1" x14ac:dyDescent="0.15"/>
    <row r="20282" spans="3:3" customFormat="1" ht="21.95" customHeight="1" x14ac:dyDescent="0.15"/>
    <row r="20283" spans="3:3" customFormat="1" ht="21.95" customHeight="1" x14ac:dyDescent="0.15"/>
    <row r="20284" spans="3:3" s="76" customFormat="1" ht="21.95" customHeight="1" x14ac:dyDescent="0.15"/>
    <row r="20285" spans="3:3" s="76" customFormat="1" ht="21.95" customHeight="1" x14ac:dyDescent="0.15"/>
    <row r="20286" spans="3:3" s="76" customFormat="1" ht="21.95" customHeight="1" x14ac:dyDescent="0.15"/>
    <row r="20287" spans="3:3" s="76" customFormat="1" ht="21.95" customHeight="1" x14ac:dyDescent="0.15"/>
    <row r="20288" spans="3:3" customFormat="1" ht="21.95" customHeight="1" x14ac:dyDescent="0.15"/>
    <row r="20289" customFormat="1" ht="21.95" customHeight="1" x14ac:dyDescent="0.15"/>
    <row r="20290" customFormat="1" ht="21.95" customHeight="1" x14ac:dyDescent="0.15"/>
    <row r="20291" customFormat="1" ht="21.95" customHeight="1" x14ac:dyDescent="0.15"/>
    <row r="20292" customFormat="1" ht="21.95" customHeight="1" x14ac:dyDescent="0.15"/>
    <row r="20293" customFormat="1" ht="21.95" customHeight="1" x14ac:dyDescent="0.15"/>
    <row r="20294" customFormat="1" ht="21.95" customHeight="1" x14ac:dyDescent="0.15"/>
    <row r="20295" customFormat="1" ht="21.95" customHeight="1" x14ac:dyDescent="0.15"/>
    <row r="20296" customFormat="1" ht="21.95" customHeight="1" x14ac:dyDescent="0.15"/>
    <row r="20297" customFormat="1" ht="21.95" customHeight="1" x14ac:dyDescent="0.15"/>
    <row r="20298" customFormat="1" ht="21.95" customHeight="1" x14ac:dyDescent="0.15"/>
    <row r="20299" customFormat="1" ht="32.1" customHeight="1" x14ac:dyDescent="0.15"/>
    <row r="20300" customFormat="1" ht="32.1" customHeight="1" x14ac:dyDescent="0.15"/>
    <row r="20301" customFormat="1" ht="32.1" customHeight="1" x14ac:dyDescent="0.15"/>
    <row r="20302" customFormat="1" ht="32.1" customHeight="1" x14ac:dyDescent="0.15"/>
    <row r="20303" customFormat="1" ht="32.1" customHeight="1" x14ac:dyDescent="0.15"/>
    <row r="20304" customFormat="1" ht="32.1" customHeight="1" x14ac:dyDescent="0.15"/>
    <row r="20305" s="76" customFormat="1" ht="32.1" customHeight="1" x14ac:dyDescent="0.15"/>
    <row r="20306" s="76" customFormat="1" ht="32.1" customHeight="1" x14ac:dyDescent="0.15"/>
    <row r="20307" s="76" customFormat="1" ht="32.1" customHeight="1" x14ac:dyDescent="0.15"/>
    <row r="20308" s="76" customFormat="1" ht="32.1" customHeight="1" x14ac:dyDescent="0.15"/>
    <row r="20309" s="76" customFormat="1" ht="21.95" customHeight="1" x14ac:dyDescent="0.15"/>
    <row r="20310" s="76" customFormat="1" ht="54" customHeight="1" x14ac:dyDescent="0.15"/>
    <row r="20311" s="76" customFormat="1" ht="21.95" customHeight="1" x14ac:dyDescent="0.15"/>
    <row r="20312" s="76" customFormat="1" ht="21.95" customHeight="1" x14ac:dyDescent="0.15"/>
    <row r="20313" s="76" customFormat="1" ht="21.95" customHeight="1" x14ac:dyDescent="0.15"/>
    <row r="20314" s="76" customFormat="1" ht="21.95" customHeight="1" x14ac:dyDescent="0.15"/>
    <row r="20315" s="76" customFormat="1" ht="21.95" customHeight="1" x14ac:dyDescent="0.15"/>
    <row r="20316" s="76" customFormat="1" ht="21.95" customHeight="1" x14ac:dyDescent="0.15"/>
    <row r="20317" s="76" customFormat="1" ht="21.95" customHeight="1" x14ac:dyDescent="0.15"/>
    <row r="20318" s="76" customFormat="1" ht="21.95" customHeight="1" x14ac:dyDescent="0.15"/>
    <row r="20319" s="76" customFormat="1" ht="21.95" customHeight="1" x14ac:dyDescent="0.15"/>
    <row r="20320" s="76" customFormat="1" ht="21.95" customHeight="1" x14ac:dyDescent="0.15"/>
    <row r="20321" s="76" customFormat="1" ht="21.95" customHeight="1" x14ac:dyDescent="0.15"/>
    <row r="20322" s="76" customFormat="1" ht="21.95" customHeight="1" x14ac:dyDescent="0.15"/>
    <row r="20323" s="76" customFormat="1" ht="21.95" customHeight="1" x14ac:dyDescent="0.15"/>
    <row r="20324" s="76" customFormat="1" ht="21.95" customHeight="1" x14ac:dyDescent="0.15"/>
    <row r="20325" s="76" customFormat="1" ht="21.95" customHeight="1" x14ac:dyDescent="0.15"/>
    <row r="20326" s="76" customFormat="1" ht="21.95" customHeight="1" x14ac:dyDescent="0.15"/>
    <row r="20327" s="76" customFormat="1" ht="21.95" customHeight="1" x14ac:dyDescent="0.15"/>
    <row r="20328" s="76" customFormat="1" ht="21.95" customHeight="1" x14ac:dyDescent="0.15"/>
    <row r="20329" s="76" customFormat="1" ht="21.95" customHeight="1" x14ac:dyDescent="0.15"/>
    <row r="20330" s="76" customFormat="1" ht="21.95" customHeight="1" x14ac:dyDescent="0.15"/>
    <row r="20331" s="76" customFormat="1" ht="21.95" customHeight="1" x14ac:dyDescent="0.15"/>
    <row r="20332" s="76" customFormat="1" ht="21.95" customHeight="1" x14ac:dyDescent="0.15"/>
    <row r="20333" s="76" customFormat="1" ht="21.95" customHeight="1" x14ac:dyDescent="0.15"/>
    <row r="20334" s="76" customFormat="1" ht="21.95" customHeight="1" x14ac:dyDescent="0.15"/>
    <row r="20335" s="76" customFormat="1" ht="21.95" customHeight="1" x14ac:dyDescent="0.15"/>
    <row r="20336" s="76" customFormat="1" ht="21.95" customHeight="1" x14ac:dyDescent="0.15"/>
    <row r="20337" s="76" customFormat="1" ht="21.95" customHeight="1" x14ac:dyDescent="0.15"/>
    <row r="20338" s="76" customFormat="1" ht="21.95" customHeight="1" x14ac:dyDescent="0.15"/>
    <row r="20339" s="76" customFormat="1" ht="21.95" customHeight="1" x14ac:dyDescent="0.15"/>
    <row r="20340" s="76" customFormat="1" ht="21.95" customHeight="1" x14ac:dyDescent="0.15"/>
    <row r="20341" s="76" customFormat="1" ht="21.95" customHeight="1" x14ac:dyDescent="0.15"/>
    <row r="20342" s="76" customFormat="1" ht="21.95" customHeight="1" x14ac:dyDescent="0.15"/>
    <row r="20343" s="76" customFormat="1" ht="21.95" customHeight="1" x14ac:dyDescent="0.15"/>
    <row r="20344" s="76" customFormat="1" ht="21.95" customHeight="1" x14ac:dyDescent="0.15"/>
    <row r="20345" s="76" customFormat="1" ht="21.95" customHeight="1" x14ac:dyDescent="0.15"/>
    <row r="20346" s="76" customFormat="1" ht="21.95" customHeight="1" x14ac:dyDescent="0.15"/>
    <row r="20347" s="76" customFormat="1" ht="21.95" customHeight="1" x14ac:dyDescent="0.15"/>
    <row r="20348" s="76" customFormat="1" ht="21.95" customHeight="1" x14ac:dyDescent="0.15"/>
    <row r="20349" s="76" customFormat="1" ht="21.95" customHeight="1" x14ac:dyDescent="0.15"/>
    <row r="20350" s="76" customFormat="1" ht="21.95" customHeight="1" x14ac:dyDescent="0.15"/>
    <row r="20351" s="76" customFormat="1" ht="21.95" customHeight="1" x14ac:dyDescent="0.15"/>
    <row r="20352" s="76" customFormat="1" ht="21.95" customHeight="1" x14ac:dyDescent="0.15"/>
    <row r="20353" s="76" customFormat="1" ht="21.95" customHeight="1" x14ac:dyDescent="0.15"/>
    <row r="20354" s="76" customFormat="1" ht="21.95" customHeight="1" x14ac:dyDescent="0.15"/>
    <row r="20355" s="76" customFormat="1" ht="21.95" customHeight="1" x14ac:dyDescent="0.15"/>
    <row r="20356" s="76" customFormat="1" ht="21.95" customHeight="1" x14ac:dyDescent="0.15"/>
    <row r="20357" s="76" customFormat="1" ht="21.95" customHeight="1" x14ac:dyDescent="0.15"/>
    <row r="20358" s="76" customFormat="1" ht="21.95" customHeight="1" x14ac:dyDescent="0.15"/>
    <row r="20359" s="76" customFormat="1" ht="21.95" customHeight="1" x14ac:dyDescent="0.15"/>
    <row r="20360" s="76" customFormat="1" ht="21.95" customHeight="1" x14ac:dyDescent="0.15"/>
    <row r="20361" s="76" customFormat="1" ht="35.1" customHeight="1" x14ac:dyDescent="0.15"/>
    <row r="20362" s="76" customFormat="1" ht="21.95" customHeight="1" x14ac:dyDescent="0.15"/>
    <row r="20363" s="76" customFormat="1" ht="21.95" customHeight="1" x14ac:dyDescent="0.15"/>
    <row r="20364" s="76" customFormat="1" ht="21.95" customHeight="1" x14ac:dyDescent="0.15"/>
    <row r="20365" s="76" customFormat="1" ht="21.95" customHeight="1" x14ac:dyDescent="0.15"/>
    <row r="20366" s="76" customFormat="1" ht="21.95" customHeight="1" x14ac:dyDescent="0.15"/>
    <row r="20367" s="76" customFormat="1" ht="21.95" customHeight="1" x14ac:dyDescent="0.15"/>
    <row r="20368" s="76" customFormat="1" ht="21.95" customHeight="1" x14ac:dyDescent="0.15"/>
    <row r="20369" s="76" customFormat="1" ht="21.95" customHeight="1" x14ac:dyDescent="0.15"/>
    <row r="20370" s="76" customFormat="1" ht="21.95" customHeight="1" x14ac:dyDescent="0.15"/>
    <row r="20371" s="76" customFormat="1" ht="21.95" customHeight="1" x14ac:dyDescent="0.15"/>
    <row r="20372" s="76" customFormat="1" ht="21.95" customHeight="1" x14ac:dyDescent="0.15"/>
    <row r="20373" s="76" customFormat="1" ht="21.95" customHeight="1" x14ac:dyDescent="0.15"/>
    <row r="20374" s="76" customFormat="1" ht="21.95" customHeight="1" x14ac:dyDescent="0.15"/>
    <row r="20375" s="76" customFormat="1" ht="21.95" customHeight="1" x14ac:dyDescent="0.15"/>
    <row r="20376" s="76" customFormat="1" ht="21.95" customHeight="1" x14ac:dyDescent="0.15"/>
    <row r="20377" s="76" customFormat="1" ht="21.95" customHeight="1" x14ac:dyDescent="0.15"/>
    <row r="20378" s="76" customFormat="1" ht="21.95" customHeight="1" x14ac:dyDescent="0.15"/>
    <row r="20379" s="76" customFormat="1" ht="21.95" customHeight="1" x14ac:dyDescent="0.15"/>
    <row r="20380" s="76" customFormat="1" ht="21.95" customHeight="1" x14ac:dyDescent="0.15"/>
    <row r="20381" s="76" customFormat="1" ht="21.95" customHeight="1" x14ac:dyDescent="0.15"/>
    <row r="20382" s="76" customFormat="1" ht="21.95" customHeight="1" x14ac:dyDescent="0.15"/>
    <row r="20383" s="76" customFormat="1" ht="21.95" customHeight="1" x14ac:dyDescent="0.15"/>
    <row r="20384" s="76" customFormat="1" ht="21.95" customHeight="1" x14ac:dyDescent="0.15"/>
    <row r="20385" spans="3:3" customFormat="1" ht="21.95" customHeight="1" x14ac:dyDescent="0.15"/>
    <row r="20386" spans="3:3" customFormat="1" ht="21.95" customHeight="1" x14ac:dyDescent="0.15"/>
    <row r="20387" spans="3:3" customFormat="1" ht="21.95" customHeight="1" x14ac:dyDescent="0.15">
      <c r="C20387" s="94"/>
    </row>
    <row r="20388" spans="3:3" customFormat="1" ht="21.95" customHeight="1" x14ac:dyDescent="0.15">
      <c r="C20388" s="94"/>
    </row>
    <row r="20389" spans="3:3" customFormat="1" ht="21.95" customHeight="1" x14ac:dyDescent="0.15"/>
    <row r="20390" spans="3:3" customFormat="1" ht="21.95" customHeight="1" x14ac:dyDescent="0.15"/>
    <row r="20391" spans="3:3" customFormat="1" ht="21.95" customHeight="1" x14ac:dyDescent="0.15"/>
    <row r="20392" spans="3:3" customFormat="1" ht="21.95" customHeight="1" x14ac:dyDescent="0.15"/>
    <row r="20393" spans="3:3" customFormat="1" ht="21.95" customHeight="1" x14ac:dyDescent="0.15"/>
    <row r="20394" spans="3:3" customFormat="1" ht="21.95" customHeight="1" x14ac:dyDescent="0.15"/>
    <row r="20395" spans="3:3" customFormat="1" ht="21.95" customHeight="1" x14ac:dyDescent="0.15"/>
    <row r="20396" spans="3:3" s="76" customFormat="1" ht="21.95" customHeight="1" x14ac:dyDescent="0.15"/>
    <row r="20397" spans="3:3" s="76" customFormat="1" ht="21.95" customHeight="1" x14ac:dyDescent="0.15"/>
    <row r="20398" spans="3:3" s="76" customFormat="1" ht="21.95" customHeight="1" x14ac:dyDescent="0.15"/>
    <row r="20399" spans="3:3" s="76" customFormat="1" ht="21.95" customHeight="1" x14ac:dyDescent="0.15"/>
    <row r="20400" spans="3:3" customFormat="1" ht="21.95" customHeight="1" x14ac:dyDescent="0.15"/>
    <row r="20401" customFormat="1" ht="21.95" customHeight="1" x14ac:dyDescent="0.15"/>
    <row r="20402" customFormat="1" ht="21.95" customHeight="1" x14ac:dyDescent="0.15"/>
    <row r="20403" customFormat="1" ht="21.95" customHeight="1" x14ac:dyDescent="0.15"/>
    <row r="20404" customFormat="1" ht="21.95" customHeight="1" x14ac:dyDescent="0.15"/>
    <row r="20405" customFormat="1" ht="21.95" customHeight="1" x14ac:dyDescent="0.15"/>
    <row r="20406" customFormat="1" ht="21.95" customHeight="1" x14ac:dyDescent="0.15"/>
    <row r="20407" customFormat="1" ht="21.95" customHeight="1" x14ac:dyDescent="0.15"/>
    <row r="20408" customFormat="1" ht="21.95" customHeight="1" x14ac:dyDescent="0.15"/>
    <row r="20409" customFormat="1" ht="21.95" customHeight="1" x14ac:dyDescent="0.15"/>
    <row r="20410" customFormat="1" ht="21.95" customHeight="1" x14ac:dyDescent="0.15"/>
    <row r="20411" customFormat="1" ht="32.1" customHeight="1" x14ac:dyDescent="0.15"/>
    <row r="20412" customFormat="1" ht="32.1" customHeight="1" x14ac:dyDescent="0.15"/>
    <row r="20413" customFormat="1" ht="32.1" customHeight="1" x14ac:dyDescent="0.15"/>
    <row r="20414" customFormat="1" ht="32.1" customHeight="1" x14ac:dyDescent="0.15"/>
    <row r="20415" customFormat="1" ht="32.1" customHeight="1" x14ac:dyDescent="0.15"/>
    <row r="20416" customFormat="1" ht="32.1" customHeight="1" x14ac:dyDescent="0.15"/>
    <row r="20417" s="76" customFormat="1" ht="32.1" customHeight="1" x14ac:dyDescent="0.15"/>
    <row r="20418" s="76" customFormat="1" ht="32.1" customHeight="1" x14ac:dyDescent="0.15"/>
    <row r="20419" s="76" customFormat="1" ht="32.1" customHeight="1" x14ac:dyDescent="0.15"/>
    <row r="20420" s="76" customFormat="1" ht="32.1" customHeight="1" x14ac:dyDescent="0.15"/>
    <row r="20421" s="76" customFormat="1" ht="21.95" customHeight="1" x14ac:dyDescent="0.15"/>
    <row r="20422" s="76" customFormat="1" ht="54" customHeight="1" x14ac:dyDescent="0.15"/>
    <row r="20423" s="76" customFormat="1" ht="21.95" customHeight="1" x14ac:dyDescent="0.15"/>
    <row r="20424" s="76" customFormat="1" ht="21.95" customHeight="1" x14ac:dyDescent="0.15"/>
    <row r="20425" s="76" customFormat="1" ht="21.95" customHeight="1" x14ac:dyDescent="0.15"/>
    <row r="20426" s="76" customFormat="1" ht="21.95" customHeight="1" x14ac:dyDescent="0.15"/>
    <row r="20427" s="76" customFormat="1" ht="21.95" customHeight="1" x14ac:dyDescent="0.15"/>
    <row r="20428" s="76" customFormat="1" ht="21.95" customHeight="1" x14ac:dyDescent="0.15"/>
    <row r="20429" s="76" customFormat="1" ht="21.95" customHeight="1" x14ac:dyDescent="0.15"/>
    <row r="20430" s="76" customFormat="1" ht="21.95" customHeight="1" x14ac:dyDescent="0.15"/>
    <row r="20431" s="76" customFormat="1" ht="21.95" customHeight="1" x14ac:dyDescent="0.15"/>
    <row r="20432" s="76" customFormat="1" ht="21.95" customHeight="1" x14ac:dyDescent="0.15"/>
    <row r="20433" s="76" customFormat="1" ht="21.95" customHeight="1" x14ac:dyDescent="0.15"/>
    <row r="20434" s="76" customFormat="1" ht="21.95" customHeight="1" x14ac:dyDescent="0.15"/>
    <row r="20435" s="76" customFormat="1" ht="21.95" customHeight="1" x14ac:dyDescent="0.15"/>
    <row r="20436" s="76" customFormat="1" ht="21.95" customHeight="1" x14ac:dyDescent="0.15"/>
    <row r="20437" s="76" customFormat="1" ht="21.95" customHeight="1" x14ac:dyDescent="0.15"/>
    <row r="20438" s="76" customFormat="1" ht="21.95" customHeight="1" x14ac:dyDescent="0.15"/>
    <row r="20439" s="76" customFormat="1" ht="21.95" customHeight="1" x14ac:dyDescent="0.15"/>
    <row r="20440" s="76" customFormat="1" ht="21.95" customHeight="1" x14ac:dyDescent="0.15"/>
    <row r="20441" s="76" customFormat="1" ht="21.95" customHeight="1" x14ac:dyDescent="0.15"/>
    <row r="20442" s="76" customFormat="1" ht="21.95" customHeight="1" x14ac:dyDescent="0.15"/>
    <row r="20443" s="76" customFormat="1" ht="21.95" customHeight="1" x14ac:dyDescent="0.15"/>
    <row r="20444" s="76" customFormat="1" ht="21.95" customHeight="1" x14ac:dyDescent="0.15"/>
    <row r="20445" s="76" customFormat="1" ht="21.95" customHeight="1" x14ac:dyDescent="0.15"/>
    <row r="20446" s="76" customFormat="1" ht="21.95" customHeight="1" x14ac:dyDescent="0.15"/>
    <row r="20447" s="76" customFormat="1" ht="21.95" customHeight="1" x14ac:dyDescent="0.15"/>
    <row r="20448" s="76" customFormat="1" ht="21.95" customHeight="1" x14ac:dyDescent="0.15"/>
    <row r="20449" s="76" customFormat="1" ht="21.95" customHeight="1" x14ac:dyDescent="0.15"/>
    <row r="20450" s="76" customFormat="1" ht="21.95" customHeight="1" x14ac:dyDescent="0.15"/>
    <row r="20451" s="76" customFormat="1" ht="21.95" customHeight="1" x14ac:dyDescent="0.15"/>
    <row r="20452" s="76" customFormat="1" ht="21.95" customHeight="1" x14ac:dyDescent="0.15"/>
    <row r="20453" s="76" customFormat="1" ht="21.95" customHeight="1" x14ac:dyDescent="0.15"/>
    <row r="20454" s="76" customFormat="1" ht="21.95" customHeight="1" x14ac:dyDescent="0.15"/>
    <row r="20455" s="76" customFormat="1" ht="21.95" customHeight="1" x14ac:dyDescent="0.15"/>
    <row r="20456" s="76" customFormat="1" ht="21.95" customHeight="1" x14ac:dyDescent="0.15"/>
    <row r="20457" s="76" customFormat="1" ht="21.95" customHeight="1" x14ac:dyDescent="0.15"/>
    <row r="20458" s="76" customFormat="1" ht="21.95" customHeight="1" x14ac:dyDescent="0.15"/>
    <row r="20459" s="76" customFormat="1" ht="21.95" customHeight="1" x14ac:dyDescent="0.15"/>
    <row r="20460" s="76" customFormat="1" ht="21.95" customHeight="1" x14ac:dyDescent="0.15"/>
    <row r="20461" s="76" customFormat="1" ht="21.95" customHeight="1" x14ac:dyDescent="0.15"/>
    <row r="20462" s="76" customFormat="1" ht="21.95" customHeight="1" x14ac:dyDescent="0.15"/>
    <row r="20463" s="76" customFormat="1" ht="21.95" customHeight="1" x14ac:dyDescent="0.15"/>
    <row r="20464" s="76" customFormat="1" ht="21.95" customHeight="1" x14ac:dyDescent="0.15"/>
    <row r="20465" s="76" customFormat="1" ht="21.95" customHeight="1" x14ac:dyDescent="0.15"/>
    <row r="20466" s="76" customFormat="1" ht="21.95" customHeight="1" x14ac:dyDescent="0.15"/>
    <row r="20467" s="76" customFormat="1" ht="21.95" customHeight="1" x14ac:dyDescent="0.15"/>
    <row r="20468" s="76" customFormat="1" ht="21.95" customHeight="1" x14ac:dyDescent="0.15"/>
    <row r="20469" s="76" customFormat="1" ht="21.95" customHeight="1" x14ac:dyDescent="0.15"/>
    <row r="20470" s="76" customFormat="1" ht="21.95" customHeight="1" x14ac:dyDescent="0.15"/>
    <row r="20471" s="76" customFormat="1" ht="21.95" customHeight="1" x14ac:dyDescent="0.15"/>
    <row r="20472" s="76" customFormat="1" ht="21.95" customHeight="1" x14ac:dyDescent="0.15"/>
    <row r="20473" s="76" customFormat="1" ht="35.1" customHeight="1" x14ac:dyDescent="0.15"/>
    <row r="20474" s="76" customFormat="1" ht="21.95" customHeight="1" x14ac:dyDescent="0.15"/>
    <row r="20475" s="76" customFormat="1" ht="21.95" customHeight="1" x14ac:dyDescent="0.15"/>
    <row r="20476" s="76" customFormat="1" ht="21.95" customHeight="1" x14ac:dyDescent="0.15"/>
    <row r="20477" s="76" customFormat="1" ht="21.95" customHeight="1" x14ac:dyDescent="0.15"/>
    <row r="20478" s="76" customFormat="1" ht="21.95" customHeight="1" x14ac:dyDescent="0.15"/>
    <row r="20479" s="76" customFormat="1" ht="21.95" customHeight="1" x14ac:dyDescent="0.15"/>
    <row r="20480" s="76" customFormat="1" ht="21.95" customHeight="1" x14ac:dyDescent="0.15"/>
    <row r="20481" s="76" customFormat="1" ht="21.95" customHeight="1" x14ac:dyDescent="0.15"/>
    <row r="20482" s="76" customFormat="1" ht="21.95" customHeight="1" x14ac:dyDescent="0.15"/>
    <row r="20483" s="76" customFormat="1" ht="21.95" customHeight="1" x14ac:dyDescent="0.15"/>
    <row r="20484" s="76" customFormat="1" ht="21.95" customHeight="1" x14ac:dyDescent="0.15"/>
    <row r="20485" s="76" customFormat="1" ht="21.95" customHeight="1" x14ac:dyDescent="0.15"/>
    <row r="20486" s="76" customFormat="1" ht="21.95" customHeight="1" x14ac:dyDescent="0.15"/>
    <row r="20487" s="76" customFormat="1" ht="21.95" customHeight="1" x14ac:dyDescent="0.15"/>
    <row r="20488" s="76" customFormat="1" ht="21.95" customHeight="1" x14ac:dyDescent="0.15"/>
    <row r="20489" s="76" customFormat="1" ht="21.95" customHeight="1" x14ac:dyDescent="0.15"/>
    <row r="20490" s="76" customFormat="1" ht="21.95" customHeight="1" x14ac:dyDescent="0.15"/>
    <row r="20491" s="76" customFormat="1" ht="21.95" customHeight="1" x14ac:dyDescent="0.15"/>
    <row r="20492" s="76" customFormat="1" ht="21.95" customHeight="1" x14ac:dyDescent="0.15"/>
    <row r="20493" s="76" customFormat="1" ht="21.95" customHeight="1" x14ac:dyDescent="0.15"/>
    <row r="20494" s="76" customFormat="1" ht="21.95" customHeight="1" x14ac:dyDescent="0.15"/>
    <row r="20495" s="76" customFormat="1" ht="21.95" customHeight="1" x14ac:dyDescent="0.15"/>
    <row r="20496" s="76" customFormat="1" ht="21.95" customHeight="1" x14ac:dyDescent="0.15"/>
    <row r="20497" spans="3:3" customFormat="1" ht="21.95" customHeight="1" x14ac:dyDescent="0.15"/>
    <row r="20498" spans="3:3" customFormat="1" ht="21.95" customHeight="1" x14ac:dyDescent="0.15"/>
    <row r="20499" spans="3:3" customFormat="1" ht="21.95" customHeight="1" x14ac:dyDescent="0.15">
      <c r="C20499" s="94"/>
    </row>
    <row r="20500" spans="3:3" customFormat="1" ht="21.95" customHeight="1" x14ac:dyDescent="0.15">
      <c r="C20500" s="94"/>
    </row>
    <row r="20501" spans="3:3" customFormat="1" ht="21.95" customHeight="1" x14ac:dyDescent="0.15"/>
    <row r="20502" spans="3:3" customFormat="1" ht="21.95" customHeight="1" x14ac:dyDescent="0.15"/>
    <row r="20503" spans="3:3" customFormat="1" ht="21.95" customHeight="1" x14ac:dyDescent="0.15"/>
    <row r="20504" spans="3:3" customFormat="1" ht="21.95" customHeight="1" x14ac:dyDescent="0.15"/>
    <row r="20505" spans="3:3" customFormat="1" ht="21.95" customHeight="1" x14ac:dyDescent="0.15"/>
    <row r="20506" spans="3:3" customFormat="1" ht="21.95" customHeight="1" x14ac:dyDescent="0.15"/>
    <row r="20507" spans="3:3" customFormat="1" ht="21.95" customHeight="1" x14ac:dyDescent="0.15"/>
    <row r="20508" spans="3:3" s="76" customFormat="1" ht="21.95" customHeight="1" x14ac:dyDescent="0.15"/>
    <row r="20509" spans="3:3" s="76" customFormat="1" ht="21.95" customHeight="1" x14ac:dyDescent="0.15"/>
    <row r="20510" spans="3:3" s="76" customFormat="1" ht="21.95" customHeight="1" x14ac:dyDescent="0.15"/>
    <row r="20511" spans="3:3" s="76" customFormat="1" ht="21.95" customHeight="1" x14ac:dyDescent="0.15"/>
    <row r="20512" spans="3:3" customFormat="1" ht="21.95" customHeight="1" x14ac:dyDescent="0.15"/>
    <row r="20513" customFormat="1" ht="21.95" customHeight="1" x14ac:dyDescent="0.15"/>
    <row r="20514" customFormat="1" ht="21.95" customHeight="1" x14ac:dyDescent="0.15"/>
    <row r="20515" customFormat="1" ht="21.95" customHeight="1" x14ac:dyDescent="0.15"/>
    <row r="20516" customFormat="1" ht="21.95" customHeight="1" x14ac:dyDescent="0.15"/>
    <row r="20517" customFormat="1" ht="21.95" customHeight="1" x14ac:dyDescent="0.15"/>
    <row r="20518" customFormat="1" ht="21.95" customHeight="1" x14ac:dyDescent="0.15"/>
    <row r="20519" customFormat="1" ht="21.95" customHeight="1" x14ac:dyDescent="0.15"/>
    <row r="20520" customFormat="1" ht="21.95" customHeight="1" x14ac:dyDescent="0.15"/>
    <row r="20521" customFormat="1" ht="21.95" customHeight="1" x14ac:dyDescent="0.15"/>
    <row r="20522" customFormat="1" ht="21.95" customHeight="1" x14ac:dyDescent="0.15"/>
    <row r="20523" customFormat="1" ht="32.1" customHeight="1" x14ac:dyDescent="0.15"/>
    <row r="20524" customFormat="1" ht="32.1" customHeight="1" x14ac:dyDescent="0.15"/>
    <row r="20525" customFormat="1" ht="32.1" customHeight="1" x14ac:dyDescent="0.15"/>
    <row r="20526" customFormat="1" ht="32.1" customHeight="1" x14ac:dyDescent="0.15"/>
    <row r="20527" customFormat="1" ht="32.1" customHeight="1" x14ac:dyDescent="0.15"/>
    <row r="20528" customFormat="1" ht="32.1" customHeight="1" x14ac:dyDescent="0.15"/>
    <row r="20529" s="76" customFormat="1" ht="32.1" customHeight="1" x14ac:dyDescent="0.15"/>
    <row r="20530" s="76" customFormat="1" ht="32.1" customHeight="1" x14ac:dyDescent="0.15"/>
    <row r="20531" s="76" customFormat="1" ht="32.1" customHeight="1" x14ac:dyDescent="0.15"/>
    <row r="20532" s="76" customFormat="1" ht="32.1" customHeight="1" x14ac:dyDescent="0.15"/>
    <row r="20533" s="76" customFormat="1" ht="21.95" customHeight="1" x14ac:dyDescent="0.15"/>
    <row r="20534" s="76" customFormat="1" ht="54" customHeight="1" x14ac:dyDescent="0.15"/>
    <row r="20535" s="76" customFormat="1" ht="21.95" customHeight="1" x14ac:dyDescent="0.15"/>
    <row r="20536" s="76" customFormat="1" ht="21.95" customHeight="1" x14ac:dyDescent="0.15"/>
    <row r="20537" s="76" customFormat="1" ht="21.95" customHeight="1" x14ac:dyDescent="0.15"/>
    <row r="20538" s="76" customFormat="1" ht="21.95" customHeight="1" x14ac:dyDescent="0.15"/>
    <row r="20539" s="76" customFormat="1" ht="21.95" customHeight="1" x14ac:dyDescent="0.15"/>
    <row r="20540" s="76" customFormat="1" ht="21.95" customHeight="1" x14ac:dyDescent="0.15"/>
    <row r="20541" s="76" customFormat="1" ht="21.95" customHeight="1" x14ac:dyDescent="0.15"/>
    <row r="20542" s="76" customFormat="1" ht="21.95" customHeight="1" x14ac:dyDescent="0.15"/>
    <row r="20543" s="76" customFormat="1" ht="21.95" customHeight="1" x14ac:dyDescent="0.15"/>
    <row r="20544" s="76" customFormat="1" ht="21.95" customHeight="1" x14ac:dyDescent="0.15"/>
    <row r="20545" s="76" customFormat="1" ht="21.95" customHeight="1" x14ac:dyDescent="0.15"/>
    <row r="20546" s="76" customFormat="1" ht="21.95" customHeight="1" x14ac:dyDescent="0.15"/>
    <row r="20547" s="76" customFormat="1" ht="21.95" customHeight="1" x14ac:dyDescent="0.15"/>
    <row r="20548" s="76" customFormat="1" ht="21.95" customHeight="1" x14ac:dyDescent="0.15"/>
    <row r="20549" s="76" customFormat="1" ht="21.95" customHeight="1" x14ac:dyDescent="0.15"/>
    <row r="20550" s="76" customFormat="1" ht="21.95" customHeight="1" x14ac:dyDescent="0.15"/>
    <row r="20551" s="76" customFormat="1" ht="21.95" customHeight="1" x14ac:dyDescent="0.15"/>
    <row r="20552" s="76" customFormat="1" ht="21.95" customHeight="1" x14ac:dyDescent="0.15"/>
    <row r="20553" s="76" customFormat="1" ht="21.95" customHeight="1" x14ac:dyDescent="0.15"/>
    <row r="20554" s="76" customFormat="1" ht="21.95" customHeight="1" x14ac:dyDescent="0.15"/>
    <row r="20555" s="76" customFormat="1" ht="21.95" customHeight="1" x14ac:dyDescent="0.15"/>
    <row r="20556" s="76" customFormat="1" ht="21.95" customHeight="1" x14ac:dyDescent="0.15"/>
    <row r="20557" s="76" customFormat="1" ht="21.95" customHeight="1" x14ac:dyDescent="0.15"/>
    <row r="20558" s="76" customFormat="1" ht="21.95" customHeight="1" x14ac:dyDescent="0.15"/>
    <row r="20559" s="76" customFormat="1" ht="21.95" customHeight="1" x14ac:dyDescent="0.15"/>
    <row r="20560" s="76" customFormat="1" ht="21.95" customHeight="1" x14ac:dyDescent="0.15"/>
    <row r="20561" s="76" customFormat="1" ht="21.95" customHeight="1" x14ac:dyDescent="0.15"/>
    <row r="20562" s="76" customFormat="1" ht="21.95" customHeight="1" x14ac:dyDescent="0.15"/>
    <row r="20563" s="76" customFormat="1" ht="21.95" customHeight="1" x14ac:dyDescent="0.15"/>
    <row r="20564" s="76" customFormat="1" ht="21.95" customHeight="1" x14ac:dyDescent="0.15"/>
    <row r="20565" s="76" customFormat="1" ht="21.95" customHeight="1" x14ac:dyDescent="0.15"/>
    <row r="20566" s="76" customFormat="1" ht="21.95" customHeight="1" x14ac:dyDescent="0.15"/>
    <row r="20567" s="76" customFormat="1" ht="21.95" customHeight="1" x14ac:dyDescent="0.15"/>
    <row r="20568" s="76" customFormat="1" ht="21.95" customHeight="1" x14ac:dyDescent="0.15"/>
    <row r="20569" s="76" customFormat="1" ht="21.95" customHeight="1" x14ac:dyDescent="0.15"/>
    <row r="20570" s="76" customFormat="1" ht="21.95" customHeight="1" x14ac:dyDescent="0.15"/>
    <row r="20571" s="76" customFormat="1" ht="21.95" customHeight="1" x14ac:dyDescent="0.15"/>
    <row r="20572" s="76" customFormat="1" ht="21.95" customHeight="1" x14ac:dyDescent="0.15"/>
    <row r="20573" s="76" customFormat="1" ht="21.95" customHeight="1" x14ac:dyDescent="0.15"/>
    <row r="20574" s="76" customFormat="1" ht="21.95" customHeight="1" x14ac:dyDescent="0.15"/>
    <row r="20575" s="76" customFormat="1" ht="21.95" customHeight="1" x14ac:dyDescent="0.15"/>
    <row r="20576" s="76" customFormat="1" ht="21.95" customHeight="1" x14ac:dyDescent="0.15"/>
    <row r="20577" s="76" customFormat="1" ht="21.95" customHeight="1" x14ac:dyDescent="0.15"/>
    <row r="20578" s="76" customFormat="1" ht="21.95" customHeight="1" x14ac:dyDescent="0.15"/>
    <row r="20579" s="76" customFormat="1" ht="21.95" customHeight="1" x14ac:dyDescent="0.15"/>
    <row r="20580" s="76" customFormat="1" ht="21.95" customHeight="1" x14ac:dyDescent="0.15"/>
    <row r="20581" s="76" customFormat="1" ht="21.95" customHeight="1" x14ac:dyDescent="0.15"/>
    <row r="20582" s="76" customFormat="1" ht="21.95" customHeight="1" x14ac:dyDescent="0.15"/>
    <row r="20583" s="76" customFormat="1" ht="21.95" customHeight="1" x14ac:dyDescent="0.15"/>
    <row r="20584" s="76" customFormat="1" ht="21.95" customHeight="1" x14ac:dyDescent="0.15"/>
    <row r="20585" s="76" customFormat="1" ht="35.1" customHeight="1" x14ac:dyDescent="0.15"/>
    <row r="20586" s="76" customFormat="1" ht="21.95" customHeight="1" x14ac:dyDescent="0.15"/>
    <row r="20587" s="76" customFormat="1" ht="21.95" customHeight="1" x14ac:dyDescent="0.15"/>
    <row r="20588" s="76" customFormat="1" ht="21.95" customHeight="1" x14ac:dyDescent="0.15"/>
    <row r="20589" s="76" customFormat="1" ht="21.95" customHeight="1" x14ac:dyDescent="0.15"/>
    <row r="20590" s="76" customFormat="1" ht="21.95" customHeight="1" x14ac:dyDescent="0.15"/>
    <row r="20591" s="76" customFormat="1" ht="21.95" customHeight="1" x14ac:dyDescent="0.15"/>
    <row r="20592" s="76" customFormat="1" ht="21.95" customHeight="1" x14ac:dyDescent="0.15"/>
    <row r="20593" s="76" customFormat="1" ht="21.95" customHeight="1" x14ac:dyDescent="0.15"/>
    <row r="20594" s="76" customFormat="1" ht="21.95" customHeight="1" x14ac:dyDescent="0.15"/>
    <row r="20595" s="76" customFormat="1" ht="21.95" customHeight="1" x14ac:dyDescent="0.15"/>
    <row r="20596" s="76" customFormat="1" ht="21.95" customHeight="1" x14ac:dyDescent="0.15"/>
    <row r="20597" s="76" customFormat="1" ht="21.95" customHeight="1" x14ac:dyDescent="0.15"/>
    <row r="20598" s="76" customFormat="1" ht="21.95" customHeight="1" x14ac:dyDescent="0.15"/>
    <row r="20599" s="76" customFormat="1" ht="21.95" customHeight="1" x14ac:dyDescent="0.15"/>
    <row r="20600" s="76" customFormat="1" ht="21.95" customHeight="1" x14ac:dyDescent="0.15"/>
    <row r="20601" s="76" customFormat="1" ht="21.95" customHeight="1" x14ac:dyDescent="0.15"/>
    <row r="20602" s="76" customFormat="1" ht="21.95" customHeight="1" x14ac:dyDescent="0.15"/>
    <row r="20603" s="76" customFormat="1" ht="21.95" customHeight="1" x14ac:dyDescent="0.15"/>
    <row r="20604" s="76" customFormat="1" ht="21.95" customHeight="1" x14ac:dyDescent="0.15"/>
    <row r="20605" s="76" customFormat="1" ht="21.95" customHeight="1" x14ac:dyDescent="0.15"/>
    <row r="20606" s="76" customFormat="1" ht="21.95" customHeight="1" x14ac:dyDescent="0.15"/>
    <row r="20607" s="76" customFormat="1" ht="21.95" customHeight="1" x14ac:dyDescent="0.15"/>
    <row r="20608" s="76" customFormat="1" ht="21.95" customHeight="1" x14ac:dyDescent="0.15"/>
    <row r="20609" spans="3:3" customFormat="1" ht="21.95" customHeight="1" x14ac:dyDescent="0.15"/>
    <row r="20610" spans="3:3" customFormat="1" ht="21.95" customHeight="1" x14ac:dyDescent="0.15"/>
    <row r="20611" spans="3:3" customFormat="1" ht="21.95" customHeight="1" x14ac:dyDescent="0.15">
      <c r="C20611" s="94"/>
    </row>
    <row r="20612" spans="3:3" customFormat="1" ht="21.95" customHeight="1" x14ac:dyDescent="0.15">
      <c r="C20612" s="94"/>
    </row>
    <row r="20613" spans="3:3" customFormat="1" ht="21.95" customHeight="1" x14ac:dyDescent="0.15"/>
    <row r="20614" spans="3:3" customFormat="1" ht="21.95" customHeight="1" x14ac:dyDescent="0.15"/>
    <row r="20615" spans="3:3" customFormat="1" ht="21.95" customHeight="1" x14ac:dyDescent="0.15"/>
    <row r="20616" spans="3:3" customFormat="1" ht="21.95" customHeight="1" x14ac:dyDescent="0.15"/>
    <row r="20617" spans="3:3" customFormat="1" ht="21.95" customHeight="1" x14ac:dyDescent="0.15"/>
    <row r="20618" spans="3:3" customFormat="1" ht="21.95" customHeight="1" x14ac:dyDescent="0.15"/>
    <row r="20619" spans="3:3" customFormat="1" ht="21.95" customHeight="1" x14ac:dyDescent="0.15"/>
    <row r="20620" spans="3:3" s="76" customFormat="1" ht="21.95" customHeight="1" x14ac:dyDescent="0.15"/>
    <row r="20621" spans="3:3" s="76" customFormat="1" ht="21.95" customHeight="1" x14ac:dyDescent="0.15"/>
    <row r="20622" spans="3:3" s="76" customFormat="1" ht="21.95" customHeight="1" x14ac:dyDescent="0.15"/>
    <row r="20623" spans="3:3" s="76" customFormat="1" ht="21.95" customHeight="1" x14ac:dyDescent="0.15"/>
    <row r="20624" spans="3:3" customFormat="1" ht="21.95" customHeight="1" x14ac:dyDescent="0.15"/>
    <row r="20625" customFormat="1" ht="21.95" customHeight="1" x14ac:dyDescent="0.15"/>
    <row r="20626" customFormat="1" ht="21.95" customHeight="1" x14ac:dyDescent="0.15"/>
    <row r="20627" customFormat="1" ht="21.95" customHeight="1" x14ac:dyDescent="0.15"/>
    <row r="20628" customFormat="1" ht="21.95" customHeight="1" x14ac:dyDescent="0.15"/>
    <row r="20629" customFormat="1" ht="21.95" customHeight="1" x14ac:dyDescent="0.15"/>
    <row r="20630" customFormat="1" ht="21.95" customHeight="1" x14ac:dyDescent="0.15"/>
    <row r="20631" customFormat="1" ht="21.95" customHeight="1" x14ac:dyDescent="0.15"/>
    <row r="20632" customFormat="1" ht="21.95" customHeight="1" x14ac:dyDescent="0.15"/>
    <row r="20633" customFormat="1" ht="21.95" customHeight="1" x14ac:dyDescent="0.15"/>
    <row r="20634" customFormat="1" ht="21.95" customHeight="1" x14ac:dyDescent="0.15"/>
    <row r="20635" customFormat="1" ht="32.1" customHeight="1" x14ac:dyDescent="0.15"/>
    <row r="20636" customFormat="1" ht="32.1" customHeight="1" x14ac:dyDescent="0.15"/>
    <row r="20637" customFormat="1" ht="32.1" customHeight="1" x14ac:dyDescent="0.15"/>
    <row r="20638" customFormat="1" ht="32.1" customHeight="1" x14ac:dyDescent="0.15"/>
    <row r="20639" customFormat="1" ht="32.1" customHeight="1" x14ac:dyDescent="0.15"/>
    <row r="20640" customFormat="1" ht="32.1" customHeight="1" x14ac:dyDescent="0.15"/>
    <row r="20641" s="76" customFormat="1" ht="32.1" customHeight="1" x14ac:dyDescent="0.15"/>
    <row r="20642" s="76" customFormat="1" ht="32.1" customHeight="1" x14ac:dyDescent="0.15"/>
    <row r="20643" s="76" customFormat="1" ht="32.1" customHeight="1" x14ac:dyDescent="0.15"/>
    <row r="20644" s="76" customFormat="1" ht="32.1" customHeight="1" x14ac:dyDescent="0.15"/>
    <row r="20645" s="76" customFormat="1" ht="21.95" customHeight="1" x14ac:dyDescent="0.15"/>
    <row r="20646" s="76" customFormat="1" ht="54" customHeight="1" x14ac:dyDescent="0.15"/>
    <row r="20647" s="76" customFormat="1" ht="21.95" customHeight="1" x14ac:dyDescent="0.15"/>
    <row r="20648" s="76" customFormat="1" ht="21.95" customHeight="1" x14ac:dyDescent="0.15"/>
    <row r="20649" s="76" customFormat="1" ht="21.95" customHeight="1" x14ac:dyDescent="0.15"/>
    <row r="20650" s="76" customFormat="1" ht="21.95" customHeight="1" x14ac:dyDescent="0.15"/>
    <row r="20651" s="76" customFormat="1" ht="21.95" customHeight="1" x14ac:dyDescent="0.15"/>
    <row r="20652" s="76" customFormat="1" ht="21.95" customHeight="1" x14ac:dyDescent="0.15"/>
    <row r="20653" s="76" customFormat="1" ht="21.95" customHeight="1" x14ac:dyDescent="0.15"/>
    <row r="20654" s="76" customFormat="1" ht="21.95" customHeight="1" x14ac:dyDescent="0.15"/>
    <row r="20655" s="76" customFormat="1" ht="21.95" customHeight="1" x14ac:dyDescent="0.15"/>
    <row r="20656" s="76" customFormat="1" ht="21.95" customHeight="1" x14ac:dyDescent="0.15"/>
    <row r="20657" s="76" customFormat="1" ht="21.95" customHeight="1" x14ac:dyDescent="0.15"/>
    <row r="20658" s="76" customFormat="1" ht="21.95" customHeight="1" x14ac:dyDescent="0.15"/>
    <row r="20659" s="76" customFormat="1" ht="21.95" customHeight="1" x14ac:dyDescent="0.15"/>
    <row r="20660" s="76" customFormat="1" ht="21.95" customHeight="1" x14ac:dyDescent="0.15"/>
    <row r="20661" s="76" customFormat="1" ht="21.95" customHeight="1" x14ac:dyDescent="0.15"/>
    <row r="20662" s="76" customFormat="1" ht="21.95" customHeight="1" x14ac:dyDescent="0.15"/>
    <row r="20663" s="76" customFormat="1" ht="21.95" customHeight="1" x14ac:dyDescent="0.15"/>
    <row r="20664" s="76" customFormat="1" ht="21.95" customHeight="1" x14ac:dyDescent="0.15"/>
    <row r="20665" s="76" customFormat="1" ht="21.95" customHeight="1" x14ac:dyDescent="0.15"/>
    <row r="20666" s="76" customFormat="1" ht="21.95" customHeight="1" x14ac:dyDescent="0.15"/>
    <row r="20667" s="76" customFormat="1" ht="21.95" customHeight="1" x14ac:dyDescent="0.15"/>
    <row r="20668" s="76" customFormat="1" ht="21.95" customHeight="1" x14ac:dyDescent="0.15"/>
    <row r="20669" s="76" customFormat="1" ht="21.95" customHeight="1" x14ac:dyDescent="0.15"/>
    <row r="20670" s="76" customFormat="1" ht="21.95" customHeight="1" x14ac:dyDescent="0.15"/>
    <row r="20671" s="76" customFormat="1" ht="21.95" customHeight="1" x14ac:dyDescent="0.15"/>
    <row r="20672" s="76" customFormat="1" ht="21.95" customHeight="1" x14ac:dyDescent="0.15"/>
    <row r="20673" s="76" customFormat="1" ht="21.95" customHeight="1" x14ac:dyDescent="0.15"/>
    <row r="20674" s="76" customFormat="1" ht="21.95" customHeight="1" x14ac:dyDescent="0.15"/>
    <row r="20675" s="76" customFormat="1" ht="21.95" customHeight="1" x14ac:dyDescent="0.15"/>
    <row r="20676" s="76" customFormat="1" ht="21.95" customHeight="1" x14ac:dyDescent="0.15"/>
    <row r="20677" s="76" customFormat="1" ht="21.95" customHeight="1" x14ac:dyDescent="0.15"/>
    <row r="20678" s="76" customFormat="1" ht="21.95" customHeight="1" x14ac:dyDescent="0.15"/>
    <row r="20679" s="76" customFormat="1" ht="21.95" customHeight="1" x14ac:dyDescent="0.15"/>
    <row r="20680" s="76" customFormat="1" ht="21.95" customHeight="1" x14ac:dyDescent="0.15"/>
    <row r="20681" s="76" customFormat="1" ht="21.95" customHeight="1" x14ac:dyDescent="0.15"/>
    <row r="20682" s="76" customFormat="1" ht="21.95" customHeight="1" x14ac:dyDescent="0.15"/>
    <row r="20683" s="76" customFormat="1" ht="21.95" customHeight="1" x14ac:dyDescent="0.15"/>
    <row r="20684" s="76" customFormat="1" ht="21.95" customHeight="1" x14ac:dyDescent="0.15"/>
    <row r="20685" s="76" customFormat="1" ht="21.95" customHeight="1" x14ac:dyDescent="0.15"/>
    <row r="20686" s="76" customFormat="1" ht="21.95" customHeight="1" x14ac:dyDescent="0.15"/>
    <row r="20687" s="76" customFormat="1" ht="21.95" customHeight="1" x14ac:dyDescent="0.15"/>
    <row r="20688" s="76" customFormat="1" ht="21.95" customHeight="1" x14ac:dyDescent="0.15"/>
    <row r="20689" s="76" customFormat="1" ht="21.95" customHeight="1" x14ac:dyDescent="0.15"/>
    <row r="20690" s="76" customFormat="1" ht="21.95" customHeight="1" x14ac:dyDescent="0.15"/>
    <row r="20691" s="76" customFormat="1" ht="21.95" customHeight="1" x14ac:dyDescent="0.15"/>
    <row r="20692" s="76" customFormat="1" ht="21.95" customHeight="1" x14ac:dyDescent="0.15"/>
    <row r="20693" s="76" customFormat="1" ht="21.95" customHeight="1" x14ac:dyDescent="0.15"/>
    <row r="20694" s="76" customFormat="1" ht="21.95" customHeight="1" x14ac:dyDescent="0.15"/>
    <row r="20695" s="76" customFormat="1" ht="21.95" customHeight="1" x14ac:dyDescent="0.15"/>
    <row r="20696" s="76" customFormat="1" ht="21.95" customHeight="1" x14ac:dyDescent="0.15"/>
    <row r="20697" s="76" customFormat="1" ht="35.1" customHeight="1" x14ac:dyDescent="0.15"/>
    <row r="20698" s="76" customFormat="1" ht="21.95" customHeight="1" x14ac:dyDescent="0.15"/>
    <row r="20699" s="76" customFormat="1" ht="21.95" customHeight="1" x14ac:dyDescent="0.15"/>
    <row r="20700" s="76" customFormat="1" ht="21.95" customHeight="1" x14ac:dyDescent="0.15"/>
    <row r="20701" s="76" customFormat="1" ht="21.95" customHeight="1" x14ac:dyDescent="0.15"/>
    <row r="20702" s="76" customFormat="1" ht="21.95" customHeight="1" x14ac:dyDescent="0.15"/>
    <row r="20703" s="76" customFormat="1" ht="21.95" customHeight="1" x14ac:dyDescent="0.15"/>
    <row r="20704" s="76" customFormat="1" ht="21.95" customHeight="1" x14ac:dyDescent="0.15"/>
    <row r="20705" s="76" customFormat="1" ht="21.95" customHeight="1" x14ac:dyDescent="0.15"/>
    <row r="20706" s="76" customFormat="1" ht="21.95" customHeight="1" x14ac:dyDescent="0.15"/>
    <row r="20707" s="76" customFormat="1" ht="21.95" customHeight="1" x14ac:dyDescent="0.15"/>
    <row r="20708" s="76" customFormat="1" ht="21.95" customHeight="1" x14ac:dyDescent="0.15"/>
    <row r="20709" s="76" customFormat="1" ht="21.95" customHeight="1" x14ac:dyDescent="0.15"/>
    <row r="20710" s="76" customFormat="1" ht="21.95" customHeight="1" x14ac:dyDescent="0.15"/>
    <row r="20711" s="76" customFormat="1" ht="21.95" customHeight="1" x14ac:dyDescent="0.15"/>
    <row r="20712" s="76" customFormat="1" ht="21.95" customHeight="1" x14ac:dyDescent="0.15"/>
    <row r="20713" s="76" customFormat="1" ht="21.95" customHeight="1" x14ac:dyDescent="0.15"/>
    <row r="20714" s="76" customFormat="1" ht="21.95" customHeight="1" x14ac:dyDescent="0.15"/>
    <row r="20715" s="76" customFormat="1" ht="21.95" customHeight="1" x14ac:dyDescent="0.15"/>
    <row r="20716" s="76" customFormat="1" ht="21.95" customHeight="1" x14ac:dyDescent="0.15"/>
    <row r="20717" s="76" customFormat="1" ht="21.95" customHeight="1" x14ac:dyDescent="0.15"/>
    <row r="20718" s="76" customFormat="1" ht="21.95" customHeight="1" x14ac:dyDescent="0.15"/>
    <row r="20719" s="76" customFormat="1" ht="21.95" customHeight="1" x14ac:dyDescent="0.15"/>
    <row r="20720" s="76" customFormat="1" ht="21.95" customHeight="1" x14ac:dyDescent="0.15"/>
    <row r="20721" spans="3:3" customFormat="1" ht="21.95" customHeight="1" x14ac:dyDescent="0.15"/>
    <row r="20722" spans="3:3" customFormat="1" ht="21.95" customHeight="1" x14ac:dyDescent="0.15"/>
    <row r="20723" spans="3:3" customFormat="1" ht="21.95" customHeight="1" x14ac:dyDescent="0.15">
      <c r="C20723" s="94"/>
    </row>
    <row r="20724" spans="3:3" customFormat="1" ht="21.95" customHeight="1" x14ac:dyDescent="0.15">
      <c r="C20724" s="94"/>
    </row>
    <row r="20725" spans="3:3" customFormat="1" ht="21.95" customHeight="1" x14ac:dyDescent="0.15"/>
    <row r="20726" spans="3:3" customFormat="1" ht="21.95" customHeight="1" x14ac:dyDescent="0.15"/>
    <row r="20727" spans="3:3" customFormat="1" ht="21.95" customHeight="1" x14ac:dyDescent="0.15"/>
    <row r="20728" spans="3:3" customFormat="1" ht="21.95" customHeight="1" x14ac:dyDescent="0.15"/>
    <row r="20729" spans="3:3" customFormat="1" ht="21.95" customHeight="1" x14ac:dyDescent="0.15"/>
    <row r="20730" spans="3:3" customFormat="1" ht="21.95" customHeight="1" x14ac:dyDescent="0.15"/>
    <row r="20731" spans="3:3" customFormat="1" ht="21.95" customHeight="1" x14ac:dyDescent="0.15"/>
    <row r="20732" spans="3:3" s="76" customFormat="1" ht="21.95" customHeight="1" x14ac:dyDescent="0.15"/>
    <row r="20733" spans="3:3" s="76" customFormat="1" ht="21.95" customHeight="1" x14ac:dyDescent="0.15"/>
    <row r="20734" spans="3:3" s="76" customFormat="1" ht="21.95" customHeight="1" x14ac:dyDescent="0.15"/>
    <row r="20735" spans="3:3" s="76" customFormat="1" ht="21.95" customHeight="1" x14ac:dyDescent="0.15"/>
    <row r="20736" spans="3:3" customFormat="1" ht="21.95" customHeight="1" x14ac:dyDescent="0.15"/>
    <row r="20737" customFormat="1" ht="21.95" customHeight="1" x14ac:dyDescent="0.15"/>
    <row r="20738" customFormat="1" ht="21.95" customHeight="1" x14ac:dyDescent="0.15"/>
    <row r="20739" customFormat="1" ht="21.95" customHeight="1" x14ac:dyDescent="0.15"/>
    <row r="20740" customFormat="1" ht="21.95" customHeight="1" x14ac:dyDescent="0.15"/>
    <row r="20741" customFormat="1" ht="21.95" customHeight="1" x14ac:dyDescent="0.15"/>
    <row r="20742" customFormat="1" ht="21.95" customHeight="1" x14ac:dyDescent="0.15"/>
    <row r="20743" customFormat="1" ht="21.95" customHeight="1" x14ac:dyDescent="0.15"/>
    <row r="20744" customFormat="1" ht="21.95" customHeight="1" x14ac:dyDescent="0.15"/>
    <row r="20745" customFormat="1" ht="21.95" customHeight="1" x14ac:dyDescent="0.15"/>
    <row r="20746" customFormat="1" ht="21.95" customHeight="1" x14ac:dyDescent="0.15"/>
    <row r="20747" customFormat="1" ht="32.1" customHeight="1" x14ac:dyDescent="0.15"/>
    <row r="20748" customFormat="1" ht="32.1" customHeight="1" x14ac:dyDescent="0.15"/>
    <row r="20749" customFormat="1" ht="32.1" customHeight="1" x14ac:dyDescent="0.15"/>
    <row r="20750" customFormat="1" ht="32.1" customHeight="1" x14ac:dyDescent="0.15"/>
    <row r="20751" customFormat="1" ht="32.1" customHeight="1" x14ac:dyDescent="0.15"/>
    <row r="20752" customFormat="1" ht="32.1" customHeight="1" x14ac:dyDescent="0.15"/>
    <row r="20753" s="76" customFormat="1" ht="32.1" customHeight="1" x14ac:dyDescent="0.15"/>
    <row r="20754" s="76" customFormat="1" ht="32.1" customHeight="1" x14ac:dyDescent="0.15"/>
    <row r="20755" s="76" customFormat="1" ht="32.1" customHeight="1" x14ac:dyDescent="0.15"/>
    <row r="20756" s="76" customFormat="1" ht="32.1" customHeight="1" x14ac:dyDescent="0.15"/>
    <row r="20757" s="76" customFormat="1" ht="21.95" customHeight="1" x14ac:dyDescent="0.15"/>
    <row r="20758" s="76" customFormat="1" ht="54" customHeight="1" x14ac:dyDescent="0.15"/>
    <row r="20759" s="76" customFormat="1" ht="21.95" customHeight="1" x14ac:dyDescent="0.15"/>
    <row r="20760" s="76" customFormat="1" ht="21.95" customHeight="1" x14ac:dyDescent="0.15"/>
    <row r="20761" s="76" customFormat="1" ht="21.95" customHeight="1" x14ac:dyDescent="0.15"/>
    <row r="20762" s="76" customFormat="1" ht="21.95" customHeight="1" x14ac:dyDescent="0.15"/>
    <row r="20763" s="76" customFormat="1" ht="21.95" customHeight="1" x14ac:dyDescent="0.15"/>
    <row r="20764" s="76" customFormat="1" ht="21.95" customHeight="1" x14ac:dyDescent="0.15"/>
    <row r="20765" s="76" customFormat="1" ht="21.95" customHeight="1" x14ac:dyDescent="0.15"/>
    <row r="20766" s="76" customFormat="1" ht="21.95" customHeight="1" x14ac:dyDescent="0.15"/>
    <row r="20767" s="76" customFormat="1" ht="21.95" customHeight="1" x14ac:dyDescent="0.15"/>
    <row r="20768" s="76" customFormat="1" ht="21.95" customHeight="1" x14ac:dyDescent="0.15"/>
    <row r="20769" s="76" customFormat="1" ht="21.95" customHeight="1" x14ac:dyDescent="0.15"/>
    <row r="20770" s="76" customFormat="1" ht="21.95" customHeight="1" x14ac:dyDescent="0.15"/>
    <row r="20771" s="76" customFormat="1" ht="21.95" customHeight="1" x14ac:dyDescent="0.15"/>
    <row r="20772" s="76" customFormat="1" ht="21.95" customHeight="1" x14ac:dyDescent="0.15"/>
    <row r="20773" s="76" customFormat="1" ht="21.95" customHeight="1" x14ac:dyDescent="0.15"/>
    <row r="20774" s="76" customFormat="1" ht="21.95" customHeight="1" x14ac:dyDescent="0.15"/>
    <row r="20775" s="76" customFormat="1" ht="21.95" customHeight="1" x14ac:dyDescent="0.15"/>
    <row r="20776" s="76" customFormat="1" ht="21.95" customHeight="1" x14ac:dyDescent="0.15"/>
    <row r="20777" s="76" customFormat="1" ht="21.95" customHeight="1" x14ac:dyDescent="0.15"/>
    <row r="20778" s="76" customFormat="1" ht="21.95" customHeight="1" x14ac:dyDescent="0.15"/>
    <row r="20779" s="76" customFormat="1" ht="21.95" customHeight="1" x14ac:dyDescent="0.15"/>
    <row r="20780" s="76" customFormat="1" ht="21.95" customHeight="1" x14ac:dyDescent="0.15"/>
    <row r="20781" s="76" customFormat="1" ht="21.95" customHeight="1" x14ac:dyDescent="0.15"/>
    <row r="20782" s="76" customFormat="1" ht="21.95" customHeight="1" x14ac:dyDescent="0.15"/>
    <row r="20783" s="76" customFormat="1" ht="21.95" customHeight="1" x14ac:dyDescent="0.15"/>
    <row r="20784" s="76" customFormat="1" ht="21.95" customHeight="1" x14ac:dyDescent="0.15"/>
    <row r="20785" s="76" customFormat="1" ht="21.95" customHeight="1" x14ac:dyDescent="0.15"/>
    <row r="20786" s="76" customFormat="1" ht="21.95" customHeight="1" x14ac:dyDescent="0.15"/>
    <row r="20787" s="76" customFormat="1" ht="21.95" customHeight="1" x14ac:dyDescent="0.15"/>
    <row r="20788" s="76" customFormat="1" ht="21.95" customHeight="1" x14ac:dyDescent="0.15"/>
    <row r="20789" s="76" customFormat="1" ht="21.95" customHeight="1" x14ac:dyDescent="0.15"/>
    <row r="20790" s="76" customFormat="1" ht="21.95" customHeight="1" x14ac:dyDescent="0.15"/>
    <row r="20791" s="76" customFormat="1" ht="21.95" customHeight="1" x14ac:dyDescent="0.15"/>
    <row r="20792" s="76" customFormat="1" ht="21.95" customHeight="1" x14ac:dyDescent="0.15"/>
    <row r="20793" s="76" customFormat="1" ht="21.95" customHeight="1" x14ac:dyDescent="0.15"/>
    <row r="20794" s="76" customFormat="1" ht="21.95" customHeight="1" x14ac:dyDescent="0.15"/>
    <row r="20795" s="76" customFormat="1" ht="21.95" customHeight="1" x14ac:dyDescent="0.15"/>
    <row r="20796" s="76" customFormat="1" ht="21.95" customHeight="1" x14ac:dyDescent="0.15"/>
    <row r="20797" s="76" customFormat="1" ht="21.95" customHeight="1" x14ac:dyDescent="0.15"/>
    <row r="20798" s="76" customFormat="1" ht="21.95" customHeight="1" x14ac:dyDescent="0.15"/>
    <row r="20799" s="76" customFormat="1" ht="21.95" customHeight="1" x14ac:dyDescent="0.15"/>
    <row r="20800" s="76" customFormat="1" ht="21.95" customHeight="1" x14ac:dyDescent="0.15"/>
    <row r="20801" s="76" customFormat="1" ht="21.95" customHeight="1" x14ac:dyDescent="0.15"/>
    <row r="20802" s="76" customFormat="1" ht="21.95" customHeight="1" x14ac:dyDescent="0.15"/>
    <row r="20803" s="76" customFormat="1" ht="21.95" customHeight="1" x14ac:dyDescent="0.15"/>
    <row r="20804" s="76" customFormat="1" ht="21.95" customHeight="1" x14ac:dyDescent="0.15"/>
    <row r="20805" s="76" customFormat="1" ht="21.95" customHeight="1" x14ac:dyDescent="0.15"/>
    <row r="20806" s="76" customFormat="1" ht="21.95" customHeight="1" x14ac:dyDescent="0.15"/>
    <row r="20807" s="76" customFormat="1" ht="21.95" customHeight="1" x14ac:dyDescent="0.15"/>
    <row r="20808" s="76" customFormat="1" ht="21.95" customHeight="1" x14ac:dyDescent="0.15"/>
    <row r="20809" s="76" customFormat="1" ht="35.1" customHeight="1" x14ac:dyDescent="0.15"/>
    <row r="20810" s="76" customFormat="1" ht="21.95" customHeight="1" x14ac:dyDescent="0.15"/>
    <row r="20811" s="76" customFormat="1" ht="21.95" customHeight="1" x14ac:dyDescent="0.15"/>
    <row r="20812" s="76" customFormat="1" ht="21.95" customHeight="1" x14ac:dyDescent="0.15"/>
    <row r="20813" s="76" customFormat="1" ht="21.95" customHeight="1" x14ac:dyDescent="0.15"/>
    <row r="20814" s="76" customFormat="1" ht="21.95" customHeight="1" x14ac:dyDescent="0.15"/>
    <row r="20815" s="76" customFormat="1" ht="21.95" customHeight="1" x14ac:dyDescent="0.15"/>
    <row r="20816" s="76" customFormat="1" ht="21.95" customHeight="1" x14ac:dyDescent="0.15"/>
    <row r="20817" s="76" customFormat="1" ht="21.95" customHeight="1" x14ac:dyDescent="0.15"/>
    <row r="20818" s="76" customFormat="1" ht="21.95" customHeight="1" x14ac:dyDescent="0.15"/>
    <row r="20819" s="76" customFormat="1" ht="21.95" customHeight="1" x14ac:dyDescent="0.15"/>
    <row r="20820" s="76" customFormat="1" ht="21.95" customHeight="1" x14ac:dyDescent="0.15"/>
    <row r="20821" s="76" customFormat="1" ht="21.95" customHeight="1" x14ac:dyDescent="0.15"/>
    <row r="20822" s="76" customFormat="1" ht="21.95" customHeight="1" x14ac:dyDescent="0.15"/>
    <row r="20823" s="76" customFormat="1" ht="21.95" customHeight="1" x14ac:dyDescent="0.15"/>
    <row r="20824" s="76" customFormat="1" ht="21.95" customHeight="1" x14ac:dyDescent="0.15"/>
    <row r="20825" s="76" customFormat="1" ht="21.95" customHeight="1" x14ac:dyDescent="0.15"/>
    <row r="20826" s="76" customFormat="1" ht="21.95" customHeight="1" x14ac:dyDescent="0.15"/>
    <row r="20827" s="76" customFormat="1" ht="21.95" customHeight="1" x14ac:dyDescent="0.15"/>
    <row r="20828" s="76" customFormat="1" ht="21.95" customHeight="1" x14ac:dyDescent="0.15"/>
    <row r="20829" s="76" customFormat="1" ht="21.95" customHeight="1" x14ac:dyDescent="0.15"/>
    <row r="20830" s="76" customFormat="1" ht="21.95" customHeight="1" x14ac:dyDescent="0.15"/>
    <row r="20831" s="76" customFormat="1" ht="21.95" customHeight="1" x14ac:dyDescent="0.15"/>
    <row r="20832" s="76" customFormat="1" ht="21.95" customHeight="1" x14ac:dyDescent="0.15"/>
    <row r="20833" spans="3:3" customFormat="1" ht="21.95" customHeight="1" x14ac:dyDescent="0.15"/>
    <row r="20834" spans="3:3" customFormat="1" ht="21.95" customHeight="1" x14ac:dyDescent="0.15"/>
    <row r="20835" spans="3:3" customFormat="1" ht="21.95" customHeight="1" x14ac:dyDescent="0.15">
      <c r="C20835" s="94"/>
    </row>
    <row r="20836" spans="3:3" customFormat="1" ht="21.95" customHeight="1" x14ac:dyDescent="0.15">
      <c r="C20836" s="94"/>
    </row>
    <row r="20837" spans="3:3" customFormat="1" ht="21.95" customHeight="1" x14ac:dyDescent="0.15"/>
    <row r="20838" spans="3:3" customFormat="1" ht="21.95" customHeight="1" x14ac:dyDescent="0.15"/>
    <row r="20839" spans="3:3" customFormat="1" ht="21.95" customHeight="1" x14ac:dyDescent="0.15"/>
    <row r="20840" spans="3:3" customFormat="1" ht="21.95" customHeight="1" x14ac:dyDescent="0.15"/>
    <row r="20841" spans="3:3" customFormat="1" ht="21.95" customHeight="1" x14ac:dyDescent="0.15"/>
    <row r="20842" spans="3:3" customFormat="1" ht="21.95" customHeight="1" x14ac:dyDescent="0.15"/>
    <row r="20843" spans="3:3" customFormat="1" ht="21.95" customHeight="1" x14ac:dyDescent="0.15"/>
    <row r="20844" spans="3:3" s="76" customFormat="1" ht="21.95" customHeight="1" x14ac:dyDescent="0.15"/>
    <row r="20845" spans="3:3" s="76" customFormat="1" ht="21.95" customHeight="1" x14ac:dyDescent="0.15"/>
    <row r="20846" spans="3:3" s="76" customFormat="1" ht="21.95" customHeight="1" x14ac:dyDescent="0.15"/>
    <row r="20847" spans="3:3" s="76" customFormat="1" ht="21.95" customHeight="1" x14ac:dyDescent="0.15"/>
    <row r="20848" spans="3:3" customFormat="1" ht="21.95" customHeight="1" x14ac:dyDescent="0.15"/>
    <row r="20849" customFormat="1" ht="21.95" customHeight="1" x14ac:dyDescent="0.15"/>
    <row r="20850" customFormat="1" ht="21.95" customHeight="1" x14ac:dyDescent="0.15"/>
    <row r="20851" customFormat="1" ht="21.95" customHeight="1" x14ac:dyDescent="0.15"/>
    <row r="20852" customFormat="1" ht="21.95" customHeight="1" x14ac:dyDescent="0.15"/>
    <row r="20853" customFormat="1" ht="21.95" customHeight="1" x14ac:dyDescent="0.15"/>
    <row r="20854" customFormat="1" ht="21.95" customHeight="1" x14ac:dyDescent="0.15"/>
    <row r="20855" customFormat="1" ht="21.95" customHeight="1" x14ac:dyDescent="0.15"/>
    <row r="20856" customFormat="1" ht="21.95" customHeight="1" x14ac:dyDescent="0.15"/>
    <row r="20857" customFormat="1" ht="21.95" customHeight="1" x14ac:dyDescent="0.15"/>
    <row r="20858" customFormat="1" ht="21.95" customHeight="1" x14ac:dyDescent="0.15"/>
    <row r="20859" customFormat="1" ht="32.1" customHeight="1" x14ac:dyDescent="0.15"/>
    <row r="20860" customFormat="1" ht="32.1" customHeight="1" x14ac:dyDescent="0.15"/>
    <row r="20861" customFormat="1" ht="32.1" customHeight="1" x14ac:dyDescent="0.15"/>
    <row r="20862" customFormat="1" ht="32.1" customHeight="1" x14ac:dyDescent="0.15"/>
    <row r="20863" customFormat="1" ht="32.1" customHeight="1" x14ac:dyDescent="0.15"/>
    <row r="20864" customFormat="1" ht="32.1" customHeight="1" x14ac:dyDescent="0.15"/>
    <row r="20865" s="76" customFormat="1" ht="32.1" customHeight="1" x14ac:dyDescent="0.15"/>
    <row r="20866" s="76" customFormat="1" ht="32.1" customHeight="1" x14ac:dyDescent="0.15"/>
    <row r="20867" s="76" customFormat="1" ht="32.1" customHeight="1" x14ac:dyDescent="0.15"/>
    <row r="20868" s="76" customFormat="1" ht="32.1" customHeight="1" x14ac:dyDescent="0.15"/>
    <row r="20869" s="76" customFormat="1" ht="21.95" customHeight="1" x14ac:dyDescent="0.15"/>
    <row r="20870" s="76" customFormat="1" ht="54" customHeight="1" x14ac:dyDescent="0.15"/>
    <row r="20871" s="76" customFormat="1" ht="21.95" customHeight="1" x14ac:dyDescent="0.15"/>
    <row r="20872" s="76" customFormat="1" ht="21.95" customHeight="1" x14ac:dyDescent="0.15"/>
    <row r="20873" s="76" customFormat="1" ht="21.95" customHeight="1" x14ac:dyDescent="0.15"/>
    <row r="20874" s="76" customFormat="1" ht="21.95" customHeight="1" x14ac:dyDescent="0.15"/>
    <row r="20875" s="76" customFormat="1" ht="21.95" customHeight="1" x14ac:dyDescent="0.15"/>
    <row r="20876" s="76" customFormat="1" ht="21.95" customHeight="1" x14ac:dyDescent="0.15"/>
    <row r="20877" s="76" customFormat="1" ht="21.95" customHeight="1" x14ac:dyDescent="0.15"/>
    <row r="20878" s="76" customFormat="1" ht="21.95" customHeight="1" x14ac:dyDescent="0.15"/>
    <row r="20879" s="76" customFormat="1" ht="21.95" customHeight="1" x14ac:dyDescent="0.15"/>
    <row r="20880" s="76" customFormat="1" ht="21.95" customHeight="1" x14ac:dyDescent="0.15"/>
    <row r="20881" s="76" customFormat="1" ht="21.95" customHeight="1" x14ac:dyDescent="0.15"/>
    <row r="20882" s="76" customFormat="1" ht="21.95" customHeight="1" x14ac:dyDescent="0.15"/>
    <row r="20883" s="76" customFormat="1" ht="21.95" customHeight="1" x14ac:dyDescent="0.15"/>
    <row r="20884" s="76" customFormat="1" ht="21.95" customHeight="1" x14ac:dyDescent="0.15"/>
    <row r="20885" s="76" customFormat="1" ht="21.95" customHeight="1" x14ac:dyDescent="0.15"/>
    <row r="20886" s="76" customFormat="1" ht="21.95" customHeight="1" x14ac:dyDescent="0.15"/>
    <row r="20887" s="76" customFormat="1" ht="21.95" customHeight="1" x14ac:dyDescent="0.15"/>
    <row r="20888" s="76" customFormat="1" ht="21.95" customHeight="1" x14ac:dyDescent="0.15"/>
    <row r="20889" s="76" customFormat="1" ht="21.95" customHeight="1" x14ac:dyDescent="0.15"/>
    <row r="20890" s="76" customFormat="1" ht="21.95" customHeight="1" x14ac:dyDescent="0.15"/>
    <row r="20891" s="76" customFormat="1" ht="21.95" customHeight="1" x14ac:dyDescent="0.15"/>
    <row r="20892" s="76" customFormat="1" ht="21.95" customHeight="1" x14ac:dyDescent="0.15"/>
    <row r="20893" s="76" customFormat="1" ht="21.95" customHeight="1" x14ac:dyDescent="0.15"/>
    <row r="20894" s="76" customFormat="1" ht="21.95" customHeight="1" x14ac:dyDescent="0.15"/>
    <row r="20895" s="76" customFormat="1" ht="21.95" customHeight="1" x14ac:dyDescent="0.15"/>
    <row r="20896" s="76" customFormat="1" ht="21.95" customHeight="1" x14ac:dyDescent="0.15"/>
    <row r="20897" s="76" customFormat="1" ht="21.95" customHeight="1" x14ac:dyDescent="0.15"/>
    <row r="20898" s="76" customFormat="1" ht="21.95" customHeight="1" x14ac:dyDescent="0.15"/>
    <row r="20899" s="76" customFormat="1" ht="21.95" customHeight="1" x14ac:dyDescent="0.15"/>
    <row r="20900" s="76" customFormat="1" ht="21.95" customHeight="1" x14ac:dyDescent="0.15"/>
    <row r="20901" s="76" customFormat="1" ht="21.95" customHeight="1" x14ac:dyDescent="0.15"/>
    <row r="20902" s="76" customFormat="1" ht="21.95" customHeight="1" x14ac:dyDescent="0.15"/>
    <row r="20903" s="76" customFormat="1" ht="21.95" customHeight="1" x14ac:dyDescent="0.15"/>
    <row r="20904" s="76" customFormat="1" ht="21.95" customHeight="1" x14ac:dyDescent="0.15"/>
    <row r="20905" s="76" customFormat="1" ht="21.95" customHeight="1" x14ac:dyDescent="0.15"/>
    <row r="20906" s="76" customFormat="1" ht="21.95" customHeight="1" x14ac:dyDescent="0.15"/>
    <row r="20907" s="76" customFormat="1" ht="21.95" customHeight="1" x14ac:dyDescent="0.15"/>
    <row r="20908" s="76" customFormat="1" ht="21.95" customHeight="1" x14ac:dyDescent="0.15"/>
    <row r="20909" s="76" customFormat="1" ht="21.95" customHeight="1" x14ac:dyDescent="0.15"/>
    <row r="20910" s="76" customFormat="1" ht="21.95" customHeight="1" x14ac:dyDescent="0.15"/>
    <row r="20911" s="76" customFormat="1" ht="21.95" customHeight="1" x14ac:dyDescent="0.15"/>
    <row r="20912" s="76" customFormat="1" ht="21.95" customHeight="1" x14ac:dyDescent="0.15"/>
    <row r="20913" s="76" customFormat="1" ht="21.95" customHeight="1" x14ac:dyDescent="0.15"/>
    <row r="20914" s="76" customFormat="1" ht="21.95" customHeight="1" x14ac:dyDescent="0.15"/>
    <row r="20915" s="76" customFormat="1" ht="21.95" customHeight="1" x14ac:dyDescent="0.15"/>
    <row r="20916" s="76" customFormat="1" ht="21.95" customHeight="1" x14ac:dyDescent="0.15"/>
    <row r="20917" s="76" customFormat="1" ht="21.95" customHeight="1" x14ac:dyDescent="0.15"/>
    <row r="20918" s="76" customFormat="1" ht="21.95" customHeight="1" x14ac:dyDescent="0.15"/>
    <row r="20919" s="76" customFormat="1" ht="21.95" customHeight="1" x14ac:dyDescent="0.15"/>
    <row r="20920" s="76" customFormat="1" ht="21.95" customHeight="1" x14ac:dyDescent="0.15"/>
    <row r="20921" s="76" customFormat="1" ht="35.1" customHeight="1" x14ac:dyDescent="0.15"/>
    <row r="20922" s="76" customFormat="1" ht="21.95" customHeight="1" x14ac:dyDescent="0.15"/>
    <row r="20923" s="76" customFormat="1" ht="21.95" customHeight="1" x14ac:dyDescent="0.15"/>
    <row r="20924" s="76" customFormat="1" ht="21.95" customHeight="1" x14ac:dyDescent="0.15"/>
    <row r="20925" s="76" customFormat="1" ht="21.95" customHeight="1" x14ac:dyDescent="0.15"/>
    <row r="20926" s="76" customFormat="1" ht="21.95" customHeight="1" x14ac:dyDescent="0.15"/>
    <row r="20927" s="76" customFormat="1" ht="21.95" customHeight="1" x14ac:dyDescent="0.15"/>
    <row r="20928" s="76" customFormat="1" ht="21.95" customHeight="1" x14ac:dyDescent="0.15"/>
    <row r="20929" s="76" customFormat="1" ht="21.95" customHeight="1" x14ac:dyDescent="0.15"/>
    <row r="20930" s="76" customFormat="1" ht="21.95" customHeight="1" x14ac:dyDescent="0.15"/>
    <row r="20931" s="76" customFormat="1" ht="21.95" customHeight="1" x14ac:dyDescent="0.15"/>
    <row r="20932" s="76" customFormat="1" ht="21.95" customHeight="1" x14ac:dyDescent="0.15"/>
    <row r="20933" s="76" customFormat="1" ht="21.95" customHeight="1" x14ac:dyDescent="0.15"/>
    <row r="20934" s="76" customFormat="1" ht="21.95" customHeight="1" x14ac:dyDescent="0.15"/>
    <row r="20935" s="76" customFormat="1" ht="21.95" customHeight="1" x14ac:dyDescent="0.15"/>
    <row r="20936" s="76" customFormat="1" ht="21.95" customHeight="1" x14ac:dyDescent="0.15"/>
    <row r="20937" s="76" customFormat="1" ht="21.95" customHeight="1" x14ac:dyDescent="0.15"/>
    <row r="20938" s="76" customFormat="1" ht="21.95" customHeight="1" x14ac:dyDescent="0.15"/>
    <row r="20939" s="76" customFormat="1" ht="21.95" customHeight="1" x14ac:dyDescent="0.15"/>
    <row r="20940" s="76" customFormat="1" ht="21.95" customHeight="1" x14ac:dyDescent="0.15"/>
    <row r="20941" s="76" customFormat="1" ht="21.95" customHeight="1" x14ac:dyDescent="0.15"/>
    <row r="20942" s="76" customFormat="1" ht="21.95" customHeight="1" x14ac:dyDescent="0.15"/>
    <row r="20943" s="76" customFormat="1" ht="21.95" customHeight="1" x14ac:dyDescent="0.15"/>
    <row r="20944" s="76" customFormat="1" ht="21.95" customHeight="1" x14ac:dyDescent="0.15"/>
    <row r="20945" spans="3:3" customFormat="1" ht="21.95" customHeight="1" x14ac:dyDescent="0.15"/>
    <row r="20946" spans="3:3" customFormat="1" ht="21.95" customHeight="1" x14ac:dyDescent="0.15"/>
    <row r="20947" spans="3:3" customFormat="1" ht="21.95" customHeight="1" x14ac:dyDescent="0.15">
      <c r="C20947" s="94"/>
    </row>
    <row r="20948" spans="3:3" customFormat="1" ht="21.95" customHeight="1" x14ac:dyDescent="0.15">
      <c r="C20948" s="94"/>
    </row>
    <row r="20949" spans="3:3" customFormat="1" ht="21.95" customHeight="1" x14ac:dyDescent="0.15"/>
    <row r="20950" spans="3:3" customFormat="1" ht="21.95" customHeight="1" x14ac:dyDescent="0.15"/>
    <row r="20951" spans="3:3" customFormat="1" ht="21.95" customHeight="1" x14ac:dyDescent="0.15"/>
    <row r="20952" spans="3:3" customFormat="1" ht="21.95" customHeight="1" x14ac:dyDescent="0.15"/>
    <row r="20953" spans="3:3" customFormat="1" ht="21.95" customHeight="1" x14ac:dyDescent="0.15"/>
    <row r="20954" spans="3:3" customFormat="1" ht="21.95" customHeight="1" x14ac:dyDescent="0.15"/>
    <row r="20955" spans="3:3" customFormat="1" ht="21.95" customHeight="1" x14ac:dyDescent="0.15"/>
    <row r="20956" spans="3:3" s="76" customFormat="1" ht="21.95" customHeight="1" x14ac:dyDescent="0.15"/>
    <row r="20957" spans="3:3" s="76" customFormat="1" ht="21.95" customHeight="1" x14ac:dyDescent="0.15"/>
    <row r="20958" spans="3:3" s="76" customFormat="1" ht="21.95" customHeight="1" x14ac:dyDescent="0.15"/>
    <row r="20959" spans="3:3" s="76" customFormat="1" ht="21.95" customHeight="1" x14ac:dyDescent="0.15"/>
    <row r="20960" spans="3:3" customFormat="1" ht="21.95" customHeight="1" x14ac:dyDescent="0.15"/>
    <row r="20961" customFormat="1" ht="21.95" customHeight="1" x14ac:dyDescent="0.15"/>
    <row r="20962" customFormat="1" ht="21.95" customHeight="1" x14ac:dyDescent="0.15"/>
    <row r="20963" customFormat="1" ht="21.95" customHeight="1" x14ac:dyDescent="0.15"/>
    <row r="20964" customFormat="1" ht="21.95" customHeight="1" x14ac:dyDescent="0.15"/>
    <row r="20965" customFormat="1" ht="21.95" customHeight="1" x14ac:dyDescent="0.15"/>
    <row r="20966" customFormat="1" ht="21.95" customHeight="1" x14ac:dyDescent="0.15"/>
    <row r="20967" customFormat="1" ht="21.95" customHeight="1" x14ac:dyDescent="0.15"/>
    <row r="20968" customFormat="1" ht="21.95" customHeight="1" x14ac:dyDescent="0.15"/>
    <row r="20969" customFormat="1" ht="21.95" customHeight="1" x14ac:dyDescent="0.15"/>
    <row r="20970" customFormat="1" ht="21.95" customHeight="1" x14ac:dyDescent="0.15"/>
    <row r="20971" customFormat="1" ht="32.1" customHeight="1" x14ac:dyDescent="0.15"/>
    <row r="20972" customFormat="1" ht="32.1" customHeight="1" x14ac:dyDescent="0.15"/>
    <row r="20973" customFormat="1" ht="32.1" customHeight="1" x14ac:dyDescent="0.15"/>
    <row r="20974" customFormat="1" ht="32.1" customHeight="1" x14ac:dyDescent="0.15"/>
    <row r="20975" customFormat="1" ht="32.1" customHeight="1" x14ac:dyDescent="0.15"/>
    <row r="20976" customFormat="1" ht="32.1" customHeight="1" x14ac:dyDescent="0.15"/>
    <row r="20977" s="76" customFormat="1" ht="32.1" customHeight="1" x14ac:dyDescent="0.15"/>
    <row r="20978" s="76" customFormat="1" ht="32.1" customHeight="1" x14ac:dyDescent="0.15"/>
    <row r="20979" s="76" customFormat="1" ht="32.1" customHeight="1" x14ac:dyDescent="0.15"/>
    <row r="20980" s="76" customFormat="1" ht="32.1" customHeight="1" x14ac:dyDescent="0.15"/>
    <row r="20981" s="76" customFormat="1" ht="21.95" customHeight="1" x14ac:dyDescent="0.15"/>
    <row r="20982" s="76" customFormat="1" ht="54" customHeight="1" x14ac:dyDescent="0.15"/>
    <row r="20983" s="76" customFormat="1" ht="21.95" customHeight="1" x14ac:dyDescent="0.15"/>
    <row r="20984" s="76" customFormat="1" ht="21.95" customHeight="1" x14ac:dyDescent="0.15"/>
    <row r="20985" s="76" customFormat="1" ht="21.95" customHeight="1" x14ac:dyDescent="0.15"/>
    <row r="20986" s="76" customFormat="1" ht="21.95" customHeight="1" x14ac:dyDescent="0.15"/>
    <row r="20987" s="76" customFormat="1" ht="21.95" customHeight="1" x14ac:dyDescent="0.15"/>
    <row r="20988" s="76" customFormat="1" ht="21.95" customHeight="1" x14ac:dyDescent="0.15"/>
    <row r="20989" s="76" customFormat="1" ht="21.95" customHeight="1" x14ac:dyDescent="0.15"/>
    <row r="20990" s="76" customFormat="1" ht="21.95" customHeight="1" x14ac:dyDescent="0.15"/>
    <row r="20991" s="76" customFormat="1" ht="21.95" customHeight="1" x14ac:dyDescent="0.15"/>
    <row r="20992" s="76" customFormat="1" ht="21.95" customHeight="1" x14ac:dyDescent="0.15"/>
    <row r="20993" s="76" customFormat="1" ht="21.95" customHeight="1" x14ac:dyDescent="0.15"/>
    <row r="20994" s="76" customFormat="1" ht="21.95" customHeight="1" x14ac:dyDescent="0.15"/>
    <row r="20995" s="76" customFormat="1" ht="21.95" customHeight="1" x14ac:dyDescent="0.15"/>
    <row r="20996" s="76" customFormat="1" ht="21.95" customHeight="1" x14ac:dyDescent="0.15"/>
    <row r="20997" s="76" customFormat="1" ht="21.95" customHeight="1" x14ac:dyDescent="0.15"/>
    <row r="20998" s="76" customFormat="1" ht="21.95" customHeight="1" x14ac:dyDescent="0.15"/>
    <row r="20999" s="76" customFormat="1" ht="21.95" customHeight="1" x14ac:dyDescent="0.15"/>
    <row r="21000" s="76" customFormat="1" ht="21.95" customHeight="1" x14ac:dyDescent="0.15"/>
    <row r="21001" s="76" customFormat="1" ht="21.95" customHeight="1" x14ac:dyDescent="0.15"/>
    <row r="21002" s="76" customFormat="1" ht="21.95" customHeight="1" x14ac:dyDescent="0.15"/>
    <row r="21003" s="76" customFormat="1" ht="21.95" customHeight="1" x14ac:dyDescent="0.15"/>
    <row r="21004" s="76" customFormat="1" ht="21.95" customHeight="1" x14ac:dyDescent="0.15"/>
    <row r="21005" s="76" customFormat="1" ht="21.95" customHeight="1" x14ac:dyDescent="0.15"/>
    <row r="21006" s="76" customFormat="1" ht="21.95" customHeight="1" x14ac:dyDescent="0.15"/>
    <row r="21007" s="76" customFormat="1" ht="21.95" customHeight="1" x14ac:dyDescent="0.15"/>
    <row r="21008" s="76" customFormat="1" ht="21.95" customHeight="1" x14ac:dyDescent="0.15"/>
    <row r="21009" s="76" customFormat="1" ht="21.95" customHeight="1" x14ac:dyDescent="0.15"/>
    <row r="21010" s="76" customFormat="1" ht="21.95" customHeight="1" x14ac:dyDescent="0.15"/>
    <row r="21011" s="76" customFormat="1" ht="21.95" customHeight="1" x14ac:dyDescent="0.15"/>
    <row r="21012" s="76" customFormat="1" ht="21.95" customHeight="1" x14ac:dyDescent="0.15"/>
    <row r="21013" s="76" customFormat="1" ht="21.95" customHeight="1" x14ac:dyDescent="0.15"/>
    <row r="21014" s="76" customFormat="1" ht="21.95" customHeight="1" x14ac:dyDescent="0.15"/>
    <row r="21015" s="76" customFormat="1" ht="21.95" customHeight="1" x14ac:dyDescent="0.15"/>
    <row r="21016" s="76" customFormat="1" ht="21.95" customHeight="1" x14ac:dyDescent="0.15"/>
    <row r="21017" s="76" customFormat="1" ht="21.95" customHeight="1" x14ac:dyDescent="0.15"/>
    <row r="21018" s="76" customFormat="1" ht="21.95" customHeight="1" x14ac:dyDescent="0.15"/>
    <row r="21019" s="76" customFormat="1" ht="21.95" customHeight="1" x14ac:dyDescent="0.15"/>
    <row r="21020" s="76" customFormat="1" ht="21.95" customHeight="1" x14ac:dyDescent="0.15"/>
    <row r="21021" s="76" customFormat="1" ht="21.95" customHeight="1" x14ac:dyDescent="0.15"/>
    <row r="21022" s="76" customFormat="1" ht="21.95" customHeight="1" x14ac:dyDescent="0.15"/>
    <row r="21023" s="76" customFormat="1" ht="21.95" customHeight="1" x14ac:dyDescent="0.15"/>
    <row r="21024" s="76" customFormat="1" ht="21.95" customHeight="1" x14ac:dyDescent="0.15"/>
    <row r="21025" s="76" customFormat="1" ht="21.95" customHeight="1" x14ac:dyDescent="0.15"/>
    <row r="21026" s="76" customFormat="1" ht="21.95" customHeight="1" x14ac:dyDescent="0.15"/>
    <row r="21027" s="76" customFormat="1" ht="21.95" customHeight="1" x14ac:dyDescent="0.15"/>
    <row r="21028" s="76" customFormat="1" ht="21.95" customHeight="1" x14ac:dyDescent="0.15"/>
    <row r="21029" s="76" customFormat="1" ht="21.95" customHeight="1" x14ac:dyDescent="0.15"/>
    <row r="21030" s="76" customFormat="1" ht="21.95" customHeight="1" x14ac:dyDescent="0.15"/>
    <row r="21031" s="76" customFormat="1" ht="21.95" customHeight="1" x14ac:dyDescent="0.15"/>
    <row r="21032" s="76" customFormat="1" ht="21.95" customHeight="1" x14ac:dyDescent="0.15"/>
    <row r="21033" s="76" customFormat="1" ht="35.1" customHeight="1" x14ac:dyDescent="0.15"/>
    <row r="21034" s="76" customFormat="1" ht="21.95" customHeight="1" x14ac:dyDescent="0.15"/>
    <row r="21035" s="76" customFormat="1" ht="21.95" customHeight="1" x14ac:dyDescent="0.15"/>
    <row r="21036" s="76" customFormat="1" ht="21.95" customHeight="1" x14ac:dyDescent="0.15"/>
    <row r="21037" s="76" customFormat="1" ht="21.95" customHeight="1" x14ac:dyDescent="0.15"/>
    <row r="21038" s="76" customFormat="1" ht="21.95" customHeight="1" x14ac:dyDescent="0.15"/>
    <row r="21039" s="76" customFormat="1" ht="21.95" customHeight="1" x14ac:dyDescent="0.15"/>
    <row r="21040" s="76" customFormat="1" ht="21.95" customHeight="1" x14ac:dyDescent="0.15"/>
    <row r="21041" s="76" customFormat="1" ht="21.95" customHeight="1" x14ac:dyDescent="0.15"/>
    <row r="21042" s="76" customFormat="1" ht="21.95" customHeight="1" x14ac:dyDescent="0.15"/>
    <row r="21043" s="76" customFormat="1" ht="21.95" customHeight="1" x14ac:dyDescent="0.15"/>
    <row r="21044" s="76" customFormat="1" ht="21.95" customHeight="1" x14ac:dyDescent="0.15"/>
    <row r="21045" s="76" customFormat="1" ht="21.95" customHeight="1" x14ac:dyDescent="0.15"/>
    <row r="21046" s="76" customFormat="1" ht="21.95" customHeight="1" x14ac:dyDescent="0.15"/>
    <row r="21047" s="76" customFormat="1" ht="21.95" customHeight="1" x14ac:dyDescent="0.15"/>
    <row r="21048" s="76" customFormat="1" ht="21.95" customHeight="1" x14ac:dyDescent="0.15"/>
    <row r="21049" s="76" customFormat="1" ht="21.95" customHeight="1" x14ac:dyDescent="0.15"/>
    <row r="21050" s="76" customFormat="1" ht="21.95" customHeight="1" x14ac:dyDescent="0.15"/>
    <row r="21051" s="76" customFormat="1" ht="21.95" customHeight="1" x14ac:dyDescent="0.15"/>
    <row r="21052" s="76" customFormat="1" ht="21.95" customHeight="1" x14ac:dyDescent="0.15"/>
    <row r="21053" s="76" customFormat="1" ht="21.95" customHeight="1" x14ac:dyDescent="0.15"/>
    <row r="21054" s="76" customFormat="1" ht="21.95" customHeight="1" x14ac:dyDescent="0.15"/>
    <row r="21055" s="76" customFormat="1" ht="21.95" customHeight="1" x14ac:dyDescent="0.15"/>
    <row r="21056" s="76" customFormat="1" ht="21.95" customHeight="1" x14ac:dyDescent="0.15"/>
    <row r="21057" spans="3:3" customFormat="1" ht="21.95" customHeight="1" x14ac:dyDescent="0.15"/>
    <row r="21058" spans="3:3" customFormat="1" ht="21.95" customHeight="1" x14ac:dyDescent="0.15"/>
    <row r="21059" spans="3:3" customFormat="1" ht="21.95" customHeight="1" x14ac:dyDescent="0.15">
      <c r="C21059" s="94"/>
    </row>
    <row r="21060" spans="3:3" customFormat="1" ht="21.95" customHeight="1" x14ac:dyDescent="0.15">
      <c r="C21060" s="94"/>
    </row>
    <row r="21061" spans="3:3" customFormat="1" ht="21.95" customHeight="1" x14ac:dyDescent="0.15"/>
    <row r="21062" spans="3:3" customFormat="1" ht="21.95" customHeight="1" x14ac:dyDescent="0.15"/>
    <row r="21063" spans="3:3" customFormat="1" ht="21.95" customHeight="1" x14ac:dyDescent="0.15"/>
    <row r="21064" spans="3:3" customFormat="1" ht="21.95" customHeight="1" x14ac:dyDescent="0.15"/>
    <row r="21065" spans="3:3" customFormat="1" ht="21.95" customHeight="1" x14ac:dyDescent="0.15"/>
    <row r="21066" spans="3:3" customFormat="1" ht="21.95" customHeight="1" x14ac:dyDescent="0.15"/>
    <row r="21067" spans="3:3" customFormat="1" ht="21.95" customHeight="1" x14ac:dyDescent="0.15"/>
    <row r="21068" spans="3:3" s="76" customFormat="1" ht="21.95" customHeight="1" x14ac:dyDescent="0.15"/>
    <row r="21069" spans="3:3" s="76" customFormat="1" ht="21.95" customHeight="1" x14ac:dyDescent="0.15"/>
    <row r="21070" spans="3:3" s="76" customFormat="1" ht="21.95" customHeight="1" x14ac:dyDescent="0.15"/>
    <row r="21071" spans="3:3" s="76" customFormat="1" ht="21.95" customHeight="1" x14ac:dyDescent="0.15"/>
    <row r="21072" spans="3:3" customFormat="1" ht="21.95" customHeight="1" x14ac:dyDescent="0.15"/>
    <row r="21073" customFormat="1" ht="21.95" customHeight="1" x14ac:dyDescent="0.15"/>
    <row r="21074" customFormat="1" ht="21.95" customHeight="1" x14ac:dyDescent="0.15"/>
    <row r="21075" customFormat="1" ht="21.95" customHeight="1" x14ac:dyDescent="0.15"/>
    <row r="21076" customFormat="1" ht="21.95" customHeight="1" x14ac:dyDescent="0.15"/>
    <row r="21077" customFormat="1" ht="21.95" customHeight="1" x14ac:dyDescent="0.15"/>
    <row r="21078" customFormat="1" ht="21.95" customHeight="1" x14ac:dyDescent="0.15"/>
    <row r="21079" customFormat="1" ht="21.95" customHeight="1" x14ac:dyDescent="0.15"/>
    <row r="21080" customFormat="1" ht="21.95" customHeight="1" x14ac:dyDescent="0.15"/>
    <row r="21081" customFormat="1" ht="21.95" customHeight="1" x14ac:dyDescent="0.15"/>
    <row r="21082" customFormat="1" ht="21.95" customHeight="1" x14ac:dyDescent="0.15"/>
    <row r="21083" customFormat="1" ht="32.1" customHeight="1" x14ac:dyDescent="0.15"/>
    <row r="21084" customFormat="1" ht="32.1" customHeight="1" x14ac:dyDescent="0.15"/>
    <row r="21085" customFormat="1" ht="32.1" customHeight="1" x14ac:dyDescent="0.15"/>
    <row r="21086" customFormat="1" ht="32.1" customHeight="1" x14ac:dyDescent="0.15"/>
    <row r="21087" customFormat="1" ht="32.1" customHeight="1" x14ac:dyDescent="0.15"/>
    <row r="21088" customFormat="1" ht="32.1" customHeight="1" x14ac:dyDescent="0.15"/>
    <row r="21089" s="76" customFormat="1" ht="32.1" customHeight="1" x14ac:dyDescent="0.15"/>
    <row r="21090" s="76" customFormat="1" ht="32.1" customHeight="1" x14ac:dyDescent="0.15"/>
    <row r="21091" s="76" customFormat="1" ht="32.1" customHeight="1" x14ac:dyDescent="0.15"/>
    <row r="21092" s="76" customFormat="1" ht="32.1" customHeight="1" x14ac:dyDescent="0.15"/>
    <row r="21093" s="76" customFormat="1" ht="21.95" customHeight="1" x14ac:dyDescent="0.15"/>
    <row r="21094" s="76" customFormat="1" ht="54" customHeight="1" x14ac:dyDescent="0.15"/>
    <row r="21095" s="76" customFormat="1" ht="21.95" customHeight="1" x14ac:dyDescent="0.15"/>
    <row r="21096" s="76" customFormat="1" ht="21.95" customHeight="1" x14ac:dyDescent="0.15"/>
    <row r="21097" s="76" customFormat="1" ht="21.95" customHeight="1" x14ac:dyDescent="0.15"/>
    <row r="21098" s="76" customFormat="1" ht="21.95" customHeight="1" x14ac:dyDescent="0.15"/>
    <row r="21099" s="76" customFormat="1" ht="21.95" customHeight="1" x14ac:dyDescent="0.15"/>
    <row r="21100" s="76" customFormat="1" ht="21.95" customHeight="1" x14ac:dyDescent="0.15"/>
    <row r="21101" s="76" customFormat="1" ht="21.95" customHeight="1" x14ac:dyDescent="0.15"/>
    <row r="21102" s="76" customFormat="1" ht="21.95" customHeight="1" x14ac:dyDescent="0.15"/>
    <row r="21103" s="76" customFormat="1" ht="21.95" customHeight="1" x14ac:dyDescent="0.15"/>
    <row r="21104" s="76" customFormat="1" ht="21.95" customHeight="1" x14ac:dyDescent="0.15"/>
    <row r="21105" s="76" customFormat="1" ht="21.95" customHeight="1" x14ac:dyDescent="0.15"/>
    <row r="21106" s="76" customFormat="1" ht="21.95" customHeight="1" x14ac:dyDescent="0.15"/>
    <row r="21107" s="76" customFormat="1" ht="21.95" customHeight="1" x14ac:dyDescent="0.15"/>
    <row r="21108" s="76" customFormat="1" ht="21.95" customHeight="1" x14ac:dyDescent="0.15"/>
    <row r="21109" s="76" customFormat="1" ht="21.95" customHeight="1" x14ac:dyDescent="0.15"/>
    <row r="21110" s="76" customFormat="1" ht="21.95" customHeight="1" x14ac:dyDescent="0.15"/>
    <row r="21111" s="76" customFormat="1" ht="21.95" customHeight="1" x14ac:dyDescent="0.15"/>
    <row r="21112" s="76" customFormat="1" ht="21.95" customHeight="1" x14ac:dyDescent="0.15"/>
    <row r="21113" s="76" customFormat="1" ht="21.95" customHeight="1" x14ac:dyDescent="0.15"/>
    <row r="21114" s="76" customFormat="1" ht="21.95" customHeight="1" x14ac:dyDescent="0.15"/>
    <row r="21115" s="76" customFormat="1" ht="21.95" customHeight="1" x14ac:dyDescent="0.15"/>
    <row r="21116" s="76" customFormat="1" ht="21.95" customHeight="1" x14ac:dyDescent="0.15"/>
    <row r="21117" s="76" customFormat="1" ht="21.95" customHeight="1" x14ac:dyDescent="0.15"/>
    <row r="21118" s="76" customFormat="1" ht="21.95" customHeight="1" x14ac:dyDescent="0.15"/>
    <row r="21119" s="76" customFormat="1" ht="21.95" customHeight="1" x14ac:dyDescent="0.15"/>
    <row r="21120" s="76" customFormat="1" ht="21.95" customHeight="1" x14ac:dyDescent="0.15"/>
    <row r="21121" s="76" customFormat="1" ht="21.95" customHeight="1" x14ac:dyDescent="0.15"/>
    <row r="21122" s="76" customFormat="1" ht="21.95" customHeight="1" x14ac:dyDescent="0.15"/>
    <row r="21123" s="76" customFormat="1" ht="21.95" customHeight="1" x14ac:dyDescent="0.15"/>
    <row r="21124" s="76" customFormat="1" ht="21.95" customHeight="1" x14ac:dyDescent="0.15"/>
    <row r="21125" s="76" customFormat="1" ht="21.95" customHeight="1" x14ac:dyDescent="0.15"/>
    <row r="21126" s="76" customFormat="1" ht="21.95" customHeight="1" x14ac:dyDescent="0.15"/>
    <row r="21127" s="76" customFormat="1" ht="21.95" customHeight="1" x14ac:dyDescent="0.15"/>
    <row r="21128" s="76" customFormat="1" ht="21.95" customHeight="1" x14ac:dyDescent="0.15"/>
    <row r="21129" s="76" customFormat="1" ht="21.95" customHeight="1" x14ac:dyDescent="0.15"/>
    <row r="21130" s="76" customFormat="1" ht="21.95" customHeight="1" x14ac:dyDescent="0.15"/>
    <row r="21131" s="76" customFormat="1" ht="21.95" customHeight="1" x14ac:dyDescent="0.15"/>
    <row r="21132" s="76" customFormat="1" ht="21.95" customHeight="1" x14ac:dyDescent="0.15"/>
    <row r="21133" s="76" customFormat="1" ht="21.95" customHeight="1" x14ac:dyDescent="0.15"/>
    <row r="21134" s="76" customFormat="1" ht="21.95" customHeight="1" x14ac:dyDescent="0.15"/>
    <row r="21135" s="76" customFormat="1" ht="21.95" customHeight="1" x14ac:dyDescent="0.15"/>
    <row r="21136" s="76" customFormat="1" ht="21.95" customHeight="1" x14ac:dyDescent="0.15"/>
    <row r="21137" s="76" customFormat="1" ht="21.95" customHeight="1" x14ac:dyDescent="0.15"/>
    <row r="21138" s="76" customFormat="1" ht="21.95" customHeight="1" x14ac:dyDescent="0.15"/>
    <row r="21139" s="76" customFormat="1" ht="21.95" customHeight="1" x14ac:dyDescent="0.15"/>
    <row r="21140" s="76" customFormat="1" ht="21.95" customHeight="1" x14ac:dyDescent="0.15"/>
    <row r="21141" s="76" customFormat="1" ht="21.95" customHeight="1" x14ac:dyDescent="0.15"/>
    <row r="21142" s="76" customFormat="1" ht="21.95" customHeight="1" x14ac:dyDescent="0.15"/>
    <row r="21143" s="76" customFormat="1" ht="21.95" customHeight="1" x14ac:dyDescent="0.15"/>
    <row r="21144" s="76" customFormat="1" ht="21.95" customHeight="1" x14ac:dyDescent="0.15"/>
    <row r="21145" s="76" customFormat="1" ht="35.1" customHeight="1" x14ac:dyDescent="0.15"/>
    <row r="21146" s="76" customFormat="1" ht="21.95" customHeight="1" x14ac:dyDescent="0.15"/>
    <row r="21147" s="76" customFormat="1" ht="21.95" customHeight="1" x14ac:dyDescent="0.15"/>
    <row r="21148" s="76" customFormat="1" ht="21.95" customHeight="1" x14ac:dyDescent="0.15"/>
    <row r="21149" s="76" customFormat="1" ht="21.95" customHeight="1" x14ac:dyDescent="0.15"/>
    <row r="21150" s="76" customFormat="1" ht="21.95" customHeight="1" x14ac:dyDescent="0.15"/>
    <row r="21151" s="76" customFormat="1" ht="21.95" customHeight="1" x14ac:dyDescent="0.15"/>
    <row r="21152" s="76" customFormat="1" ht="21.95" customHeight="1" x14ac:dyDescent="0.15"/>
    <row r="21153" s="76" customFormat="1" ht="21.95" customHeight="1" x14ac:dyDescent="0.15"/>
    <row r="21154" s="76" customFormat="1" ht="21.95" customHeight="1" x14ac:dyDescent="0.15"/>
    <row r="21155" s="76" customFormat="1" ht="21.95" customHeight="1" x14ac:dyDescent="0.15"/>
    <row r="21156" s="76" customFormat="1" ht="21.95" customHeight="1" x14ac:dyDescent="0.15"/>
    <row r="21157" s="76" customFormat="1" ht="21.95" customHeight="1" x14ac:dyDescent="0.15"/>
    <row r="21158" s="76" customFormat="1" ht="21.95" customHeight="1" x14ac:dyDescent="0.15"/>
    <row r="21159" s="76" customFormat="1" ht="21.95" customHeight="1" x14ac:dyDescent="0.15"/>
    <row r="21160" s="76" customFormat="1" ht="21.95" customHeight="1" x14ac:dyDescent="0.15"/>
    <row r="21161" s="76" customFormat="1" ht="21.95" customHeight="1" x14ac:dyDescent="0.15"/>
    <row r="21162" s="76" customFormat="1" ht="21.95" customHeight="1" x14ac:dyDescent="0.15"/>
    <row r="21163" s="76" customFormat="1" ht="21.95" customHeight="1" x14ac:dyDescent="0.15"/>
    <row r="21164" s="76" customFormat="1" ht="21.95" customHeight="1" x14ac:dyDescent="0.15"/>
    <row r="21165" s="76" customFormat="1" ht="21.95" customHeight="1" x14ac:dyDescent="0.15"/>
    <row r="21166" s="76" customFormat="1" ht="21.95" customHeight="1" x14ac:dyDescent="0.15"/>
    <row r="21167" s="76" customFormat="1" ht="21.95" customHeight="1" x14ac:dyDescent="0.15"/>
    <row r="21168" s="76" customFormat="1" ht="21.95" customHeight="1" x14ac:dyDescent="0.15"/>
    <row r="21169" spans="3:3" customFormat="1" ht="21.95" customHeight="1" x14ac:dyDescent="0.15"/>
    <row r="21170" spans="3:3" customFormat="1" ht="21.95" customHeight="1" x14ac:dyDescent="0.15"/>
    <row r="21171" spans="3:3" customFormat="1" ht="21.95" customHeight="1" x14ac:dyDescent="0.15">
      <c r="C21171" s="94"/>
    </row>
    <row r="21172" spans="3:3" customFormat="1" ht="21.95" customHeight="1" x14ac:dyDescent="0.15">
      <c r="C21172" s="94"/>
    </row>
    <row r="21173" spans="3:3" customFormat="1" ht="21.95" customHeight="1" x14ac:dyDescent="0.15"/>
    <row r="21174" spans="3:3" customFormat="1" ht="21.95" customHeight="1" x14ac:dyDescent="0.15"/>
    <row r="21175" spans="3:3" customFormat="1" ht="21.95" customHeight="1" x14ac:dyDescent="0.15"/>
    <row r="21176" spans="3:3" customFormat="1" ht="21.95" customHeight="1" x14ac:dyDescent="0.15"/>
    <row r="21177" spans="3:3" customFormat="1" ht="21.95" customHeight="1" x14ac:dyDescent="0.15"/>
    <row r="21178" spans="3:3" customFormat="1" ht="21.95" customHeight="1" x14ac:dyDescent="0.15"/>
    <row r="21179" spans="3:3" customFormat="1" ht="21.95" customHeight="1" x14ac:dyDescent="0.15"/>
    <row r="21180" spans="3:3" s="76" customFormat="1" ht="21.95" customHeight="1" x14ac:dyDescent="0.15"/>
    <row r="21181" spans="3:3" s="76" customFormat="1" ht="21.95" customHeight="1" x14ac:dyDescent="0.15"/>
    <row r="21182" spans="3:3" s="76" customFormat="1" ht="21.95" customHeight="1" x14ac:dyDescent="0.15"/>
    <row r="21183" spans="3:3" s="76" customFormat="1" ht="21.95" customHeight="1" x14ac:dyDescent="0.15"/>
    <row r="21184" spans="3:3" customFormat="1" ht="21.95" customHeight="1" x14ac:dyDescent="0.15"/>
    <row r="21185" customFormat="1" ht="21.95" customHeight="1" x14ac:dyDescent="0.15"/>
    <row r="21186" customFormat="1" ht="21.95" customHeight="1" x14ac:dyDescent="0.15"/>
    <row r="21187" customFormat="1" ht="21.95" customHeight="1" x14ac:dyDescent="0.15"/>
    <row r="21188" customFormat="1" ht="21.95" customHeight="1" x14ac:dyDescent="0.15"/>
    <row r="21189" customFormat="1" ht="21.95" customHeight="1" x14ac:dyDescent="0.15"/>
    <row r="21190" customFormat="1" ht="21.95" customHeight="1" x14ac:dyDescent="0.15"/>
    <row r="21191" customFormat="1" ht="21.95" customHeight="1" x14ac:dyDescent="0.15"/>
    <row r="21192" customFormat="1" ht="21.95" customHeight="1" x14ac:dyDescent="0.15"/>
    <row r="21193" customFormat="1" ht="21.95" customHeight="1" x14ac:dyDescent="0.15"/>
    <row r="21194" customFormat="1" ht="21.95" customHeight="1" x14ac:dyDescent="0.15"/>
    <row r="21195" customFormat="1" ht="32.1" customHeight="1" x14ac:dyDescent="0.15"/>
    <row r="21196" customFormat="1" ht="32.1" customHeight="1" x14ac:dyDescent="0.15"/>
    <row r="21197" customFormat="1" ht="32.1" customHeight="1" x14ac:dyDescent="0.15"/>
    <row r="21198" customFormat="1" ht="32.1" customHeight="1" x14ac:dyDescent="0.15"/>
    <row r="21199" customFormat="1" ht="32.1" customHeight="1" x14ac:dyDescent="0.15"/>
    <row r="21200" customFormat="1" ht="32.1" customHeight="1" x14ac:dyDescent="0.15"/>
    <row r="21201" s="76" customFormat="1" ht="32.1" customHeight="1" x14ac:dyDescent="0.15"/>
    <row r="21202" s="76" customFormat="1" ht="32.1" customHeight="1" x14ac:dyDescent="0.15"/>
    <row r="21203" s="76" customFormat="1" ht="32.1" customHeight="1" x14ac:dyDescent="0.15"/>
    <row r="21204" s="76" customFormat="1" ht="32.1" customHeight="1" x14ac:dyDescent="0.15"/>
    <row r="21205" s="76" customFormat="1" ht="21.95" customHeight="1" x14ac:dyDescent="0.15"/>
    <row r="21206" s="76" customFormat="1" ht="54" customHeight="1" x14ac:dyDescent="0.15"/>
    <row r="21207" s="76" customFormat="1" ht="21.95" customHeight="1" x14ac:dyDescent="0.15"/>
    <row r="21208" s="76" customFormat="1" ht="21.95" customHeight="1" x14ac:dyDescent="0.15"/>
    <row r="21209" s="76" customFormat="1" ht="21.95" customHeight="1" x14ac:dyDescent="0.15"/>
    <row r="21210" s="76" customFormat="1" ht="21.95" customHeight="1" x14ac:dyDescent="0.15"/>
    <row r="21211" s="76" customFormat="1" ht="21.95" customHeight="1" x14ac:dyDescent="0.15"/>
    <row r="21212" s="76" customFormat="1" ht="21.95" customHeight="1" x14ac:dyDescent="0.15"/>
    <row r="21213" s="76" customFormat="1" ht="21.95" customHeight="1" x14ac:dyDescent="0.15"/>
    <row r="21214" s="76" customFormat="1" ht="21.95" customHeight="1" x14ac:dyDescent="0.15"/>
    <row r="21215" s="76" customFormat="1" ht="21.95" customHeight="1" x14ac:dyDescent="0.15"/>
    <row r="21216" s="76" customFormat="1" ht="21.95" customHeight="1" x14ac:dyDescent="0.15"/>
    <row r="21217" s="76" customFormat="1" ht="21.95" customHeight="1" x14ac:dyDescent="0.15"/>
    <row r="21218" s="76" customFormat="1" ht="21.95" customHeight="1" x14ac:dyDescent="0.15"/>
    <row r="21219" s="76" customFormat="1" ht="21.95" customHeight="1" x14ac:dyDescent="0.15"/>
    <row r="21220" s="76" customFormat="1" ht="21.95" customHeight="1" x14ac:dyDescent="0.15"/>
    <row r="21221" s="76" customFormat="1" ht="21.95" customHeight="1" x14ac:dyDescent="0.15"/>
    <row r="21222" s="76" customFormat="1" ht="21.95" customHeight="1" x14ac:dyDescent="0.15"/>
    <row r="21223" s="76" customFormat="1" ht="21.95" customHeight="1" x14ac:dyDescent="0.15"/>
    <row r="21224" s="76" customFormat="1" ht="21.95" customHeight="1" x14ac:dyDescent="0.15"/>
    <row r="21225" s="76" customFormat="1" ht="21.95" customHeight="1" x14ac:dyDescent="0.15"/>
    <row r="21226" s="76" customFormat="1" ht="21.95" customHeight="1" x14ac:dyDescent="0.15"/>
    <row r="21227" s="76" customFormat="1" ht="21.95" customHeight="1" x14ac:dyDescent="0.15"/>
    <row r="21228" s="76" customFormat="1" ht="21.95" customHeight="1" x14ac:dyDescent="0.15"/>
    <row r="21229" s="76" customFormat="1" ht="21.95" customHeight="1" x14ac:dyDescent="0.15"/>
    <row r="21230" s="76" customFormat="1" ht="21.95" customHeight="1" x14ac:dyDescent="0.15"/>
    <row r="21231" s="76" customFormat="1" ht="21.95" customHeight="1" x14ac:dyDescent="0.15"/>
    <row r="21232" s="76" customFormat="1" ht="21.95" customHeight="1" x14ac:dyDescent="0.15"/>
    <row r="21233" s="76" customFormat="1" ht="21.95" customHeight="1" x14ac:dyDescent="0.15"/>
    <row r="21234" s="76" customFormat="1" ht="21.95" customHeight="1" x14ac:dyDescent="0.15"/>
    <row r="21235" s="76" customFormat="1" ht="21.95" customHeight="1" x14ac:dyDescent="0.15"/>
    <row r="21236" s="76" customFormat="1" ht="21.95" customHeight="1" x14ac:dyDescent="0.15"/>
    <row r="21237" s="76" customFormat="1" ht="21.95" customHeight="1" x14ac:dyDescent="0.15"/>
    <row r="21238" s="76" customFormat="1" ht="21.95" customHeight="1" x14ac:dyDescent="0.15"/>
    <row r="21239" s="76" customFormat="1" ht="21.95" customHeight="1" x14ac:dyDescent="0.15"/>
    <row r="21240" s="76" customFormat="1" ht="21.95" customHeight="1" x14ac:dyDescent="0.15"/>
    <row r="21241" s="76" customFormat="1" ht="21.95" customHeight="1" x14ac:dyDescent="0.15"/>
    <row r="21242" s="76" customFormat="1" ht="21.95" customHeight="1" x14ac:dyDescent="0.15"/>
    <row r="21243" s="76" customFormat="1" ht="21.95" customHeight="1" x14ac:dyDescent="0.15"/>
    <row r="21244" s="76" customFormat="1" ht="21.95" customHeight="1" x14ac:dyDescent="0.15"/>
    <row r="21245" s="76" customFormat="1" ht="21.95" customHeight="1" x14ac:dyDescent="0.15"/>
    <row r="21246" s="76" customFormat="1" ht="21.95" customHeight="1" x14ac:dyDescent="0.15"/>
    <row r="21247" s="76" customFormat="1" ht="21.95" customHeight="1" x14ac:dyDescent="0.15"/>
    <row r="21248" s="76" customFormat="1" ht="21.95" customHeight="1" x14ac:dyDescent="0.15"/>
    <row r="21249" s="76" customFormat="1" ht="21.95" customHeight="1" x14ac:dyDescent="0.15"/>
    <row r="21250" s="76" customFormat="1" ht="21.95" customHeight="1" x14ac:dyDescent="0.15"/>
    <row r="21251" s="76" customFormat="1" ht="21.95" customHeight="1" x14ac:dyDescent="0.15"/>
    <row r="21252" s="76" customFormat="1" ht="21.95" customHeight="1" x14ac:dyDescent="0.15"/>
    <row r="21253" s="76" customFormat="1" ht="21.95" customHeight="1" x14ac:dyDescent="0.15"/>
    <row r="21254" s="76" customFormat="1" ht="21.95" customHeight="1" x14ac:dyDescent="0.15"/>
    <row r="21255" s="76" customFormat="1" ht="21.95" customHeight="1" x14ac:dyDescent="0.15"/>
    <row r="21256" s="76" customFormat="1" ht="21.95" customHeight="1" x14ac:dyDescent="0.15"/>
    <row r="21257" s="76" customFormat="1" ht="35.1" customHeight="1" x14ac:dyDescent="0.15"/>
    <row r="21258" s="76" customFormat="1" ht="21.95" customHeight="1" x14ac:dyDescent="0.15"/>
    <row r="21259" s="76" customFormat="1" ht="21.95" customHeight="1" x14ac:dyDescent="0.15"/>
    <row r="21260" s="76" customFormat="1" ht="21.95" customHeight="1" x14ac:dyDescent="0.15"/>
    <row r="21261" s="76" customFormat="1" ht="21.95" customHeight="1" x14ac:dyDescent="0.15"/>
    <row r="21262" s="76" customFormat="1" ht="21.95" customHeight="1" x14ac:dyDescent="0.15"/>
    <row r="21263" s="76" customFormat="1" ht="21.95" customHeight="1" x14ac:dyDescent="0.15"/>
    <row r="21264" s="76" customFormat="1" ht="21.95" customHeight="1" x14ac:dyDescent="0.15"/>
    <row r="21265" s="76" customFormat="1" ht="21.95" customHeight="1" x14ac:dyDescent="0.15"/>
    <row r="21266" s="76" customFormat="1" ht="21.95" customHeight="1" x14ac:dyDescent="0.15"/>
    <row r="21267" s="76" customFormat="1" ht="21.95" customHeight="1" x14ac:dyDescent="0.15"/>
    <row r="21268" s="76" customFormat="1" ht="21.95" customHeight="1" x14ac:dyDescent="0.15"/>
    <row r="21269" s="76" customFormat="1" ht="21.95" customHeight="1" x14ac:dyDescent="0.15"/>
    <row r="21270" s="76" customFormat="1" ht="21.95" customHeight="1" x14ac:dyDescent="0.15"/>
    <row r="21271" s="76" customFormat="1" ht="21.95" customHeight="1" x14ac:dyDescent="0.15"/>
    <row r="21272" s="76" customFormat="1" ht="21.95" customHeight="1" x14ac:dyDescent="0.15"/>
    <row r="21273" s="76" customFormat="1" ht="21.95" customHeight="1" x14ac:dyDescent="0.15"/>
    <row r="21274" s="76" customFormat="1" ht="21.95" customHeight="1" x14ac:dyDescent="0.15"/>
    <row r="21275" s="76" customFormat="1" ht="21.95" customHeight="1" x14ac:dyDescent="0.15"/>
    <row r="21276" s="76" customFormat="1" ht="21.95" customHeight="1" x14ac:dyDescent="0.15"/>
    <row r="21277" s="76" customFormat="1" ht="21.95" customHeight="1" x14ac:dyDescent="0.15"/>
    <row r="21278" s="76" customFormat="1" ht="21.95" customHeight="1" x14ac:dyDescent="0.15"/>
    <row r="21279" s="76" customFormat="1" ht="21.95" customHeight="1" x14ac:dyDescent="0.15"/>
    <row r="21280" s="76" customFormat="1" ht="21.95" customHeight="1" x14ac:dyDescent="0.15"/>
    <row r="21281" spans="3:3" customFormat="1" ht="21.95" customHeight="1" x14ac:dyDescent="0.15"/>
    <row r="21282" spans="3:3" customFormat="1" ht="21.95" customHeight="1" x14ac:dyDescent="0.15"/>
    <row r="21283" spans="3:3" customFormat="1" ht="21.95" customHeight="1" x14ac:dyDescent="0.15">
      <c r="C21283" s="94"/>
    </row>
    <row r="21284" spans="3:3" customFormat="1" ht="21.95" customHeight="1" x14ac:dyDescent="0.15">
      <c r="C21284" s="94"/>
    </row>
    <row r="21285" spans="3:3" customFormat="1" ht="21.95" customHeight="1" x14ac:dyDescent="0.15"/>
    <row r="21286" spans="3:3" customFormat="1" ht="21.95" customHeight="1" x14ac:dyDescent="0.15"/>
    <row r="21287" spans="3:3" customFormat="1" ht="21.95" customHeight="1" x14ac:dyDescent="0.15"/>
    <row r="21288" spans="3:3" customFormat="1" ht="21.95" customHeight="1" x14ac:dyDescent="0.15"/>
    <row r="21289" spans="3:3" customFormat="1" ht="21.95" customHeight="1" x14ac:dyDescent="0.15"/>
    <row r="21290" spans="3:3" customFormat="1" ht="21.95" customHeight="1" x14ac:dyDescent="0.15"/>
    <row r="21291" spans="3:3" customFormat="1" ht="21.95" customHeight="1" x14ac:dyDescent="0.15"/>
    <row r="21292" spans="3:3" s="76" customFormat="1" ht="21.95" customHeight="1" x14ac:dyDescent="0.15"/>
    <row r="21293" spans="3:3" s="76" customFormat="1" ht="21.95" customHeight="1" x14ac:dyDescent="0.15"/>
    <row r="21294" spans="3:3" s="76" customFormat="1" ht="21.95" customHeight="1" x14ac:dyDescent="0.15"/>
    <row r="21295" spans="3:3" s="76" customFormat="1" ht="21.95" customHeight="1" x14ac:dyDescent="0.15"/>
    <row r="21296" spans="3:3" customFormat="1" ht="21.95" customHeight="1" x14ac:dyDescent="0.15"/>
    <row r="21297" customFormat="1" ht="21.95" customHeight="1" x14ac:dyDescent="0.15"/>
    <row r="21298" customFormat="1" ht="21.95" customHeight="1" x14ac:dyDescent="0.15"/>
    <row r="21299" customFormat="1" ht="21.95" customHeight="1" x14ac:dyDescent="0.15"/>
    <row r="21300" customFormat="1" ht="21.95" customHeight="1" x14ac:dyDescent="0.15"/>
    <row r="21301" customFormat="1" ht="21.95" customHeight="1" x14ac:dyDescent="0.15"/>
    <row r="21302" customFormat="1" ht="21.95" customHeight="1" x14ac:dyDescent="0.15"/>
    <row r="21303" customFormat="1" ht="21.95" customHeight="1" x14ac:dyDescent="0.15"/>
    <row r="21304" customFormat="1" ht="21.95" customHeight="1" x14ac:dyDescent="0.15"/>
    <row r="21305" customFormat="1" ht="21.95" customHeight="1" x14ac:dyDescent="0.15"/>
    <row r="21306" customFormat="1" ht="21.95" customHeight="1" x14ac:dyDescent="0.15"/>
    <row r="21307" customFormat="1" ht="32.1" customHeight="1" x14ac:dyDescent="0.15"/>
    <row r="21308" customFormat="1" ht="32.1" customHeight="1" x14ac:dyDescent="0.15"/>
    <row r="21309" customFormat="1" ht="32.1" customHeight="1" x14ac:dyDescent="0.15"/>
    <row r="21310" customFormat="1" ht="32.1" customHeight="1" x14ac:dyDescent="0.15"/>
    <row r="21311" customFormat="1" ht="32.1" customHeight="1" x14ac:dyDescent="0.15"/>
    <row r="21312" customFormat="1" ht="32.1" customHeight="1" x14ac:dyDescent="0.15"/>
    <row r="21313" s="76" customFormat="1" ht="32.1" customHeight="1" x14ac:dyDescent="0.15"/>
    <row r="21314" s="76" customFormat="1" ht="32.1" customHeight="1" x14ac:dyDescent="0.15"/>
    <row r="21315" s="76" customFormat="1" ht="32.1" customHeight="1" x14ac:dyDescent="0.15"/>
    <row r="21316" s="76" customFormat="1" ht="32.1" customHeight="1" x14ac:dyDescent="0.15"/>
    <row r="21317" s="76" customFormat="1" ht="21.95" customHeight="1" x14ac:dyDescent="0.15"/>
    <row r="21318" s="76" customFormat="1" ht="54" customHeight="1" x14ac:dyDescent="0.15"/>
    <row r="21319" s="76" customFormat="1" ht="21.95" customHeight="1" x14ac:dyDescent="0.15"/>
    <row r="21320" s="76" customFormat="1" ht="21.95" customHeight="1" x14ac:dyDescent="0.15"/>
    <row r="21321" s="76" customFormat="1" ht="21.95" customHeight="1" x14ac:dyDescent="0.15"/>
    <row r="21322" s="76" customFormat="1" ht="21.95" customHeight="1" x14ac:dyDescent="0.15"/>
    <row r="21323" s="76" customFormat="1" ht="21.95" customHeight="1" x14ac:dyDescent="0.15"/>
    <row r="21324" s="76" customFormat="1" ht="21.95" customHeight="1" x14ac:dyDescent="0.15"/>
    <row r="21325" s="76" customFormat="1" ht="21.95" customHeight="1" x14ac:dyDescent="0.15"/>
    <row r="21326" s="76" customFormat="1" ht="21.95" customHeight="1" x14ac:dyDescent="0.15"/>
    <row r="21327" s="76" customFormat="1" ht="21.95" customHeight="1" x14ac:dyDescent="0.15"/>
    <row r="21328" s="76" customFormat="1" ht="21.95" customHeight="1" x14ac:dyDescent="0.15"/>
    <row r="21329" s="76" customFormat="1" ht="21.95" customHeight="1" x14ac:dyDescent="0.15"/>
    <row r="21330" s="76" customFormat="1" ht="21.95" customHeight="1" x14ac:dyDescent="0.15"/>
    <row r="21331" s="76" customFormat="1" ht="21.95" customHeight="1" x14ac:dyDescent="0.15"/>
    <row r="21332" s="76" customFormat="1" ht="21.95" customHeight="1" x14ac:dyDescent="0.15"/>
    <row r="21333" s="76" customFormat="1" ht="21.95" customHeight="1" x14ac:dyDescent="0.15"/>
    <row r="21334" s="76" customFormat="1" ht="21.95" customHeight="1" x14ac:dyDescent="0.15"/>
    <row r="21335" s="76" customFormat="1" ht="21.95" customHeight="1" x14ac:dyDescent="0.15"/>
    <row r="21336" s="76" customFormat="1" ht="21.95" customHeight="1" x14ac:dyDescent="0.15"/>
    <row r="21337" s="76" customFormat="1" ht="21.95" customHeight="1" x14ac:dyDescent="0.15"/>
    <row r="21338" s="76" customFormat="1" ht="21.95" customHeight="1" x14ac:dyDescent="0.15"/>
    <row r="21339" s="76" customFormat="1" ht="21.95" customHeight="1" x14ac:dyDescent="0.15"/>
    <row r="21340" s="76" customFormat="1" ht="21.95" customHeight="1" x14ac:dyDescent="0.15"/>
    <row r="21341" s="76" customFormat="1" ht="21.95" customHeight="1" x14ac:dyDescent="0.15"/>
    <row r="21342" s="76" customFormat="1" ht="21.95" customHeight="1" x14ac:dyDescent="0.15"/>
    <row r="21343" s="76" customFormat="1" ht="21.95" customHeight="1" x14ac:dyDescent="0.15"/>
    <row r="21344" s="76" customFormat="1" ht="21.95" customHeight="1" x14ac:dyDescent="0.15"/>
    <row r="21345" s="76" customFormat="1" ht="21.95" customHeight="1" x14ac:dyDescent="0.15"/>
    <row r="21346" s="76" customFormat="1" ht="21.95" customHeight="1" x14ac:dyDescent="0.15"/>
    <row r="21347" s="76" customFormat="1" ht="21.95" customHeight="1" x14ac:dyDescent="0.15"/>
    <row r="21348" s="76" customFormat="1" ht="21.95" customHeight="1" x14ac:dyDescent="0.15"/>
    <row r="21349" s="76" customFormat="1" ht="21.95" customHeight="1" x14ac:dyDescent="0.15"/>
    <row r="21350" s="76" customFormat="1" ht="21.95" customHeight="1" x14ac:dyDescent="0.15"/>
    <row r="21351" s="76" customFormat="1" ht="21.95" customHeight="1" x14ac:dyDescent="0.15"/>
    <row r="21352" s="76" customFormat="1" ht="21.95" customHeight="1" x14ac:dyDescent="0.15"/>
    <row r="21353" s="76" customFormat="1" ht="21.95" customHeight="1" x14ac:dyDescent="0.15"/>
    <row r="21354" s="76" customFormat="1" ht="21.95" customHeight="1" x14ac:dyDescent="0.15"/>
    <row r="21355" s="76" customFormat="1" ht="21.95" customHeight="1" x14ac:dyDescent="0.15"/>
    <row r="21356" s="76" customFormat="1" ht="21.95" customHeight="1" x14ac:dyDescent="0.15"/>
    <row r="21357" s="76" customFormat="1" ht="21.95" customHeight="1" x14ac:dyDescent="0.15"/>
    <row r="21358" s="76" customFormat="1" ht="21.95" customHeight="1" x14ac:dyDescent="0.15"/>
    <row r="21359" s="76" customFormat="1" ht="21.95" customHeight="1" x14ac:dyDescent="0.15"/>
    <row r="21360" s="76" customFormat="1" ht="21.95" customHeight="1" x14ac:dyDescent="0.15"/>
    <row r="21361" s="76" customFormat="1" ht="21.95" customHeight="1" x14ac:dyDescent="0.15"/>
    <row r="21362" s="76" customFormat="1" ht="21.95" customHeight="1" x14ac:dyDescent="0.15"/>
    <row r="21363" s="76" customFormat="1" ht="21.95" customHeight="1" x14ac:dyDescent="0.15"/>
    <row r="21364" s="76" customFormat="1" ht="21.95" customHeight="1" x14ac:dyDescent="0.15"/>
    <row r="21365" s="76" customFormat="1" ht="21.95" customHeight="1" x14ac:dyDescent="0.15"/>
    <row r="21366" s="76" customFormat="1" ht="21.95" customHeight="1" x14ac:dyDescent="0.15"/>
    <row r="21367" s="76" customFormat="1" ht="21.95" customHeight="1" x14ac:dyDescent="0.15"/>
    <row r="21368" s="76" customFormat="1" ht="21.95" customHeight="1" x14ac:dyDescent="0.15"/>
    <row r="21369" s="76" customFormat="1" ht="35.1" customHeight="1" x14ac:dyDescent="0.15"/>
    <row r="21370" s="76" customFormat="1" ht="21.95" customHeight="1" x14ac:dyDescent="0.15"/>
    <row r="21371" s="76" customFormat="1" ht="21.95" customHeight="1" x14ac:dyDescent="0.15"/>
    <row r="21372" s="76" customFormat="1" ht="21.95" customHeight="1" x14ac:dyDescent="0.15"/>
    <row r="21373" s="76" customFormat="1" ht="21.95" customHeight="1" x14ac:dyDescent="0.15"/>
    <row r="21374" s="76" customFormat="1" ht="21.95" customHeight="1" x14ac:dyDescent="0.15"/>
    <row r="21375" s="76" customFormat="1" ht="21.95" customHeight="1" x14ac:dyDescent="0.15"/>
    <row r="21376" s="76" customFormat="1" ht="21.95" customHeight="1" x14ac:dyDescent="0.15"/>
    <row r="21377" s="76" customFormat="1" ht="21.95" customHeight="1" x14ac:dyDescent="0.15"/>
    <row r="21378" s="76" customFormat="1" ht="21.95" customHeight="1" x14ac:dyDescent="0.15"/>
    <row r="21379" s="76" customFormat="1" ht="21.95" customHeight="1" x14ac:dyDescent="0.15"/>
    <row r="21380" s="76" customFormat="1" ht="21.95" customHeight="1" x14ac:dyDescent="0.15"/>
    <row r="21381" s="76" customFormat="1" ht="21.95" customHeight="1" x14ac:dyDescent="0.15"/>
    <row r="21382" s="76" customFormat="1" ht="21.95" customHeight="1" x14ac:dyDescent="0.15"/>
    <row r="21383" s="76" customFormat="1" ht="21.95" customHeight="1" x14ac:dyDescent="0.15"/>
    <row r="21384" s="76" customFormat="1" ht="21.95" customHeight="1" x14ac:dyDescent="0.15"/>
    <row r="21385" s="76" customFormat="1" ht="21.95" customHeight="1" x14ac:dyDescent="0.15"/>
    <row r="21386" s="76" customFormat="1" ht="21.95" customHeight="1" x14ac:dyDescent="0.15"/>
    <row r="21387" s="76" customFormat="1" ht="21.95" customHeight="1" x14ac:dyDescent="0.15"/>
    <row r="21388" s="76" customFormat="1" ht="21.95" customHeight="1" x14ac:dyDescent="0.15"/>
    <row r="21389" s="76" customFormat="1" ht="21.95" customHeight="1" x14ac:dyDescent="0.15"/>
    <row r="21390" s="76" customFormat="1" ht="21.95" customHeight="1" x14ac:dyDescent="0.15"/>
    <row r="21391" s="76" customFormat="1" ht="21.95" customHeight="1" x14ac:dyDescent="0.15"/>
    <row r="21392" s="76" customFormat="1" ht="21.95" customHeight="1" x14ac:dyDescent="0.15"/>
    <row r="21393" spans="3:3" customFormat="1" ht="21.95" customHeight="1" x14ac:dyDescent="0.15"/>
    <row r="21394" spans="3:3" customFormat="1" ht="21.95" customHeight="1" x14ac:dyDescent="0.15"/>
    <row r="21395" spans="3:3" customFormat="1" ht="21.95" customHeight="1" x14ac:dyDescent="0.15">
      <c r="C21395" s="94"/>
    </row>
    <row r="21396" spans="3:3" customFormat="1" ht="21.95" customHeight="1" x14ac:dyDescent="0.15">
      <c r="C21396" s="94"/>
    </row>
    <row r="21397" spans="3:3" customFormat="1" ht="21.95" customHeight="1" x14ac:dyDescent="0.15"/>
    <row r="21398" spans="3:3" customFormat="1" ht="21.95" customHeight="1" x14ac:dyDescent="0.15"/>
    <row r="21399" spans="3:3" customFormat="1" ht="21.95" customHeight="1" x14ac:dyDescent="0.15"/>
    <row r="21400" spans="3:3" customFormat="1" ht="21.95" customHeight="1" x14ac:dyDescent="0.15"/>
    <row r="21401" spans="3:3" customFormat="1" ht="21.95" customHeight="1" x14ac:dyDescent="0.15"/>
    <row r="21402" spans="3:3" customFormat="1" ht="21.95" customHeight="1" x14ac:dyDescent="0.15"/>
    <row r="21403" spans="3:3" customFormat="1" ht="21.95" customHeight="1" x14ac:dyDescent="0.15"/>
    <row r="21404" spans="3:3" s="76" customFormat="1" ht="21.95" customHeight="1" x14ac:dyDescent="0.15"/>
    <row r="21405" spans="3:3" s="76" customFormat="1" ht="21.95" customHeight="1" x14ac:dyDescent="0.15"/>
    <row r="21406" spans="3:3" s="76" customFormat="1" ht="21.95" customHeight="1" x14ac:dyDescent="0.15"/>
    <row r="21407" spans="3:3" s="76" customFormat="1" ht="21.95" customHeight="1" x14ac:dyDescent="0.15"/>
    <row r="21408" spans="3:3" customFormat="1" ht="21.95" customHeight="1" x14ac:dyDescent="0.15"/>
    <row r="21409" customFormat="1" ht="21.95" customHeight="1" x14ac:dyDescent="0.15"/>
    <row r="21410" customFormat="1" ht="21.95" customHeight="1" x14ac:dyDescent="0.15"/>
    <row r="21411" customFormat="1" ht="21.95" customHeight="1" x14ac:dyDescent="0.15"/>
    <row r="21412" customFormat="1" ht="21.95" customHeight="1" x14ac:dyDescent="0.15"/>
    <row r="21413" customFormat="1" ht="21.95" customHeight="1" x14ac:dyDescent="0.15"/>
    <row r="21414" customFormat="1" ht="21.95" customHeight="1" x14ac:dyDescent="0.15"/>
    <row r="21415" customFormat="1" ht="21.95" customHeight="1" x14ac:dyDescent="0.15"/>
    <row r="21416" customFormat="1" ht="21.95" customHeight="1" x14ac:dyDescent="0.15"/>
    <row r="21417" customFormat="1" ht="21.95" customHeight="1" x14ac:dyDescent="0.15"/>
    <row r="21418" customFormat="1" ht="21.95" customHeight="1" x14ac:dyDescent="0.15"/>
    <row r="21419" customFormat="1" ht="32.1" customHeight="1" x14ac:dyDescent="0.15"/>
    <row r="21420" customFormat="1" ht="32.1" customHeight="1" x14ac:dyDescent="0.15"/>
    <row r="21421" customFormat="1" ht="32.1" customHeight="1" x14ac:dyDescent="0.15"/>
    <row r="21422" customFormat="1" ht="32.1" customHeight="1" x14ac:dyDescent="0.15"/>
    <row r="21423" customFormat="1" ht="32.1" customHeight="1" x14ac:dyDescent="0.15"/>
    <row r="21424" customFormat="1" ht="32.1" customHeight="1" x14ac:dyDescent="0.15"/>
    <row r="21425" s="76" customFormat="1" ht="32.1" customHeight="1" x14ac:dyDescent="0.15"/>
    <row r="21426" s="76" customFormat="1" ht="32.1" customHeight="1" x14ac:dyDescent="0.15"/>
    <row r="21427" s="76" customFormat="1" ht="32.1" customHeight="1" x14ac:dyDescent="0.15"/>
    <row r="21428" s="76" customFormat="1" ht="32.1" customHeight="1" x14ac:dyDescent="0.15"/>
    <row r="21429" s="76" customFormat="1" ht="21.95" customHeight="1" x14ac:dyDescent="0.15"/>
    <row r="21430" s="76" customFormat="1" ht="54" customHeight="1" x14ac:dyDescent="0.15"/>
    <row r="21431" s="76" customFormat="1" ht="21.95" customHeight="1" x14ac:dyDescent="0.15"/>
    <row r="21432" s="76" customFormat="1" ht="21.95" customHeight="1" x14ac:dyDescent="0.15"/>
    <row r="21433" s="76" customFormat="1" ht="21.95" customHeight="1" x14ac:dyDescent="0.15"/>
    <row r="21434" s="76" customFormat="1" ht="21.95" customHeight="1" x14ac:dyDescent="0.15"/>
    <row r="21435" s="76" customFormat="1" ht="21.95" customHeight="1" x14ac:dyDescent="0.15"/>
    <row r="21436" s="76" customFormat="1" ht="21.95" customHeight="1" x14ac:dyDescent="0.15"/>
    <row r="21437" s="76" customFormat="1" ht="21.95" customHeight="1" x14ac:dyDescent="0.15"/>
    <row r="21438" s="76" customFormat="1" ht="21.95" customHeight="1" x14ac:dyDescent="0.15"/>
    <row r="21439" s="76" customFormat="1" ht="21.95" customHeight="1" x14ac:dyDescent="0.15"/>
    <row r="21440" s="76" customFormat="1" ht="21.95" customHeight="1" x14ac:dyDescent="0.15"/>
    <row r="21441" s="76" customFormat="1" ht="21.95" customHeight="1" x14ac:dyDescent="0.15"/>
    <row r="21442" s="76" customFormat="1" ht="21.95" customHeight="1" x14ac:dyDescent="0.15"/>
    <row r="21443" s="76" customFormat="1" ht="21.95" customHeight="1" x14ac:dyDescent="0.15"/>
    <row r="21444" s="76" customFormat="1" ht="21.95" customHeight="1" x14ac:dyDescent="0.15"/>
    <row r="21445" s="76" customFormat="1" ht="21.95" customHeight="1" x14ac:dyDescent="0.15"/>
    <row r="21446" s="76" customFormat="1" ht="21.95" customHeight="1" x14ac:dyDescent="0.15"/>
    <row r="21447" s="76" customFormat="1" ht="21.95" customHeight="1" x14ac:dyDescent="0.15"/>
    <row r="21448" s="76" customFormat="1" ht="21.95" customHeight="1" x14ac:dyDescent="0.15"/>
    <row r="21449" s="76" customFormat="1" ht="21.95" customHeight="1" x14ac:dyDescent="0.15"/>
    <row r="21450" s="76" customFormat="1" ht="21.95" customHeight="1" x14ac:dyDescent="0.15"/>
    <row r="21451" s="76" customFormat="1" ht="21.95" customHeight="1" x14ac:dyDescent="0.15"/>
    <row r="21452" s="76" customFormat="1" ht="21.95" customHeight="1" x14ac:dyDescent="0.15"/>
    <row r="21453" s="76" customFormat="1" ht="21.95" customHeight="1" x14ac:dyDescent="0.15"/>
    <row r="21454" s="76" customFormat="1" ht="21.95" customHeight="1" x14ac:dyDescent="0.15"/>
    <row r="21455" s="76" customFormat="1" ht="21.95" customHeight="1" x14ac:dyDescent="0.15"/>
    <row r="21456" s="76" customFormat="1" ht="21.95" customHeight="1" x14ac:dyDescent="0.15"/>
    <row r="21457" s="76" customFormat="1" ht="21.95" customHeight="1" x14ac:dyDescent="0.15"/>
    <row r="21458" s="76" customFormat="1" ht="21.95" customHeight="1" x14ac:dyDescent="0.15"/>
    <row r="21459" s="76" customFormat="1" ht="21.95" customHeight="1" x14ac:dyDescent="0.15"/>
    <row r="21460" s="76" customFormat="1" ht="21.95" customHeight="1" x14ac:dyDescent="0.15"/>
    <row r="21461" s="76" customFormat="1" ht="21.95" customHeight="1" x14ac:dyDescent="0.15"/>
    <row r="21462" s="76" customFormat="1" ht="21.95" customHeight="1" x14ac:dyDescent="0.15"/>
    <row r="21463" s="76" customFormat="1" ht="21.95" customHeight="1" x14ac:dyDescent="0.15"/>
    <row r="21464" s="76" customFormat="1" ht="21.95" customHeight="1" x14ac:dyDescent="0.15"/>
    <row r="21465" s="76" customFormat="1" ht="21.95" customHeight="1" x14ac:dyDescent="0.15"/>
    <row r="21466" s="76" customFormat="1" ht="21.95" customHeight="1" x14ac:dyDescent="0.15"/>
    <row r="21467" s="76" customFormat="1" ht="21.95" customHeight="1" x14ac:dyDescent="0.15"/>
    <row r="21468" s="76" customFormat="1" ht="21.95" customHeight="1" x14ac:dyDescent="0.15"/>
    <row r="21469" s="76" customFormat="1" ht="21.95" customHeight="1" x14ac:dyDescent="0.15"/>
    <row r="21470" s="76" customFormat="1" ht="21.95" customHeight="1" x14ac:dyDescent="0.15"/>
    <row r="21471" s="76" customFormat="1" ht="21.95" customHeight="1" x14ac:dyDescent="0.15"/>
    <row r="21472" s="76" customFormat="1" ht="21.95" customHeight="1" x14ac:dyDescent="0.15"/>
    <row r="21473" s="76" customFormat="1" ht="21.95" customHeight="1" x14ac:dyDescent="0.15"/>
    <row r="21474" s="76" customFormat="1" ht="21.95" customHeight="1" x14ac:dyDescent="0.15"/>
    <row r="21475" s="76" customFormat="1" ht="21.95" customHeight="1" x14ac:dyDescent="0.15"/>
    <row r="21476" s="76" customFormat="1" ht="21.95" customHeight="1" x14ac:dyDescent="0.15"/>
    <row r="21477" s="76" customFormat="1" ht="21.95" customHeight="1" x14ac:dyDescent="0.15"/>
    <row r="21478" s="76" customFormat="1" ht="21.95" customHeight="1" x14ac:dyDescent="0.15"/>
    <row r="21479" s="76" customFormat="1" ht="21.95" customHeight="1" x14ac:dyDescent="0.15"/>
    <row r="21480" s="76" customFormat="1" ht="21.95" customHeight="1" x14ac:dyDescent="0.15"/>
    <row r="21481" s="76" customFormat="1" ht="35.1" customHeight="1" x14ac:dyDescent="0.15"/>
    <row r="21482" s="76" customFormat="1" ht="21.95" customHeight="1" x14ac:dyDescent="0.15"/>
    <row r="21483" s="76" customFormat="1" ht="21.95" customHeight="1" x14ac:dyDescent="0.15"/>
    <row r="21484" s="76" customFormat="1" ht="21.95" customHeight="1" x14ac:dyDescent="0.15"/>
    <row r="21485" s="76" customFormat="1" ht="21.95" customHeight="1" x14ac:dyDescent="0.15"/>
    <row r="21486" s="76" customFormat="1" ht="21.95" customHeight="1" x14ac:dyDescent="0.15"/>
    <row r="21487" s="76" customFormat="1" ht="21.95" customHeight="1" x14ac:dyDescent="0.15"/>
    <row r="21488" s="76" customFormat="1" ht="21.95" customHeight="1" x14ac:dyDescent="0.15"/>
    <row r="21489" s="76" customFormat="1" ht="21.95" customHeight="1" x14ac:dyDescent="0.15"/>
    <row r="21490" s="76" customFormat="1" ht="21.95" customHeight="1" x14ac:dyDescent="0.15"/>
    <row r="21491" s="76" customFormat="1" ht="21.95" customHeight="1" x14ac:dyDescent="0.15"/>
    <row r="21492" s="76" customFormat="1" ht="21.95" customHeight="1" x14ac:dyDescent="0.15"/>
    <row r="21493" s="76" customFormat="1" ht="21.95" customHeight="1" x14ac:dyDescent="0.15"/>
    <row r="21494" s="76" customFormat="1" ht="21.95" customHeight="1" x14ac:dyDescent="0.15"/>
    <row r="21495" s="76" customFormat="1" ht="21.95" customHeight="1" x14ac:dyDescent="0.15"/>
    <row r="21496" s="76" customFormat="1" ht="21.95" customHeight="1" x14ac:dyDescent="0.15"/>
    <row r="21497" s="76" customFormat="1" ht="21.95" customHeight="1" x14ac:dyDescent="0.15"/>
    <row r="21498" s="76" customFormat="1" ht="21.95" customHeight="1" x14ac:dyDescent="0.15"/>
    <row r="21499" s="76" customFormat="1" ht="21.95" customHeight="1" x14ac:dyDescent="0.15"/>
    <row r="21500" s="76" customFormat="1" ht="21.95" customHeight="1" x14ac:dyDescent="0.15"/>
    <row r="21501" s="76" customFormat="1" ht="21.95" customHeight="1" x14ac:dyDescent="0.15"/>
    <row r="21502" s="76" customFormat="1" ht="21.95" customHeight="1" x14ac:dyDescent="0.15"/>
    <row r="21503" s="76" customFormat="1" ht="21.95" customHeight="1" x14ac:dyDescent="0.15"/>
    <row r="21504" s="76" customFormat="1" ht="21.95" customHeight="1" x14ac:dyDescent="0.15"/>
    <row r="21505" spans="3:3" customFormat="1" ht="21.95" customHeight="1" x14ac:dyDescent="0.15"/>
    <row r="21506" spans="3:3" customFormat="1" ht="21.95" customHeight="1" x14ac:dyDescent="0.15"/>
    <row r="21507" spans="3:3" customFormat="1" ht="21.95" customHeight="1" x14ac:dyDescent="0.15">
      <c r="C21507" s="94"/>
    </row>
    <row r="21508" spans="3:3" customFormat="1" ht="21.95" customHeight="1" x14ac:dyDescent="0.15">
      <c r="C21508" s="94"/>
    </row>
    <row r="21509" spans="3:3" customFormat="1" ht="21.95" customHeight="1" x14ac:dyDescent="0.15"/>
    <row r="21510" spans="3:3" customFormat="1" ht="21.95" customHeight="1" x14ac:dyDescent="0.15"/>
    <row r="21511" spans="3:3" customFormat="1" ht="21.95" customHeight="1" x14ac:dyDescent="0.15"/>
    <row r="21512" spans="3:3" customFormat="1" ht="21.95" customHeight="1" x14ac:dyDescent="0.15"/>
    <row r="21513" spans="3:3" customFormat="1" ht="21.95" customHeight="1" x14ac:dyDescent="0.15"/>
    <row r="21514" spans="3:3" customFormat="1" ht="21.95" customHeight="1" x14ac:dyDescent="0.15"/>
    <row r="21515" spans="3:3" customFormat="1" ht="21.95" customHeight="1" x14ac:dyDescent="0.15"/>
    <row r="21516" spans="3:3" s="76" customFormat="1" ht="21.95" customHeight="1" x14ac:dyDescent="0.15"/>
    <row r="21517" spans="3:3" s="76" customFormat="1" ht="21.95" customHeight="1" x14ac:dyDescent="0.15"/>
    <row r="21518" spans="3:3" s="76" customFormat="1" ht="21.95" customHeight="1" x14ac:dyDescent="0.15"/>
    <row r="21519" spans="3:3" s="76" customFormat="1" ht="21.95" customHeight="1" x14ac:dyDescent="0.15"/>
    <row r="21520" spans="3:3" customFormat="1" ht="21.95" customHeight="1" x14ac:dyDescent="0.15"/>
    <row r="21521" customFormat="1" ht="21.95" customHeight="1" x14ac:dyDescent="0.15"/>
    <row r="21522" customFormat="1" ht="21.95" customHeight="1" x14ac:dyDescent="0.15"/>
    <row r="21523" customFormat="1" ht="21.95" customHeight="1" x14ac:dyDescent="0.15"/>
    <row r="21524" customFormat="1" ht="21.95" customHeight="1" x14ac:dyDescent="0.15"/>
    <row r="21525" customFormat="1" ht="21.95" customHeight="1" x14ac:dyDescent="0.15"/>
    <row r="21526" customFormat="1" ht="21.95" customHeight="1" x14ac:dyDescent="0.15"/>
    <row r="21527" customFormat="1" ht="21.95" customHeight="1" x14ac:dyDescent="0.15"/>
    <row r="21528" customFormat="1" ht="21.95" customHeight="1" x14ac:dyDescent="0.15"/>
    <row r="21529" customFormat="1" ht="21.95" customHeight="1" x14ac:dyDescent="0.15"/>
    <row r="21530" customFormat="1" ht="21.95" customHeight="1" x14ac:dyDescent="0.15"/>
    <row r="21531" customFormat="1" ht="32.1" customHeight="1" x14ac:dyDescent="0.15"/>
    <row r="21532" customFormat="1" ht="32.1" customHeight="1" x14ac:dyDescent="0.15"/>
    <row r="21533" customFormat="1" ht="32.1" customHeight="1" x14ac:dyDescent="0.15"/>
    <row r="21534" customFormat="1" ht="32.1" customHeight="1" x14ac:dyDescent="0.15"/>
    <row r="21535" customFormat="1" ht="32.1" customHeight="1" x14ac:dyDescent="0.15"/>
    <row r="21536" customFormat="1" ht="32.1" customHeight="1" x14ac:dyDescent="0.15"/>
    <row r="21537" s="76" customFormat="1" ht="32.1" customHeight="1" x14ac:dyDescent="0.15"/>
    <row r="21538" s="76" customFormat="1" ht="32.1" customHeight="1" x14ac:dyDescent="0.15"/>
    <row r="21539" s="76" customFormat="1" ht="32.1" customHeight="1" x14ac:dyDescent="0.15"/>
    <row r="21540" s="76" customFormat="1" ht="32.1" customHeight="1" x14ac:dyDescent="0.15"/>
    <row r="21541" s="76" customFormat="1" ht="21.95" customHeight="1" x14ac:dyDescent="0.15"/>
    <row r="21542" s="76" customFormat="1" ht="54" customHeight="1" x14ac:dyDescent="0.15"/>
    <row r="21543" s="76" customFormat="1" ht="21.95" customHeight="1" x14ac:dyDescent="0.15"/>
    <row r="21544" s="76" customFormat="1" ht="21.95" customHeight="1" x14ac:dyDescent="0.15"/>
    <row r="21545" s="76" customFormat="1" ht="21.95" customHeight="1" x14ac:dyDescent="0.15"/>
    <row r="21546" s="76" customFormat="1" ht="21.95" customHeight="1" x14ac:dyDescent="0.15"/>
    <row r="21547" s="76" customFormat="1" ht="21.95" customHeight="1" x14ac:dyDescent="0.15"/>
    <row r="21548" s="76" customFormat="1" ht="21.95" customHeight="1" x14ac:dyDescent="0.15"/>
    <row r="21549" s="76" customFormat="1" ht="21.95" customHeight="1" x14ac:dyDescent="0.15"/>
    <row r="21550" s="76" customFormat="1" ht="21.95" customHeight="1" x14ac:dyDescent="0.15"/>
    <row r="21551" s="76" customFormat="1" ht="21.95" customHeight="1" x14ac:dyDescent="0.15"/>
    <row r="21552" s="76" customFormat="1" ht="21.95" customHeight="1" x14ac:dyDescent="0.15"/>
    <row r="21553" s="76" customFormat="1" ht="21.95" customHeight="1" x14ac:dyDescent="0.15"/>
    <row r="21554" s="76" customFormat="1" ht="21.95" customHeight="1" x14ac:dyDescent="0.15"/>
    <row r="21555" s="76" customFormat="1" ht="21.95" customHeight="1" x14ac:dyDescent="0.15"/>
    <row r="21556" s="76" customFormat="1" ht="21.95" customHeight="1" x14ac:dyDescent="0.15"/>
    <row r="21557" s="76" customFormat="1" ht="21.95" customHeight="1" x14ac:dyDescent="0.15"/>
    <row r="21558" s="76" customFormat="1" ht="21.95" customHeight="1" x14ac:dyDescent="0.15"/>
    <row r="21559" s="76" customFormat="1" ht="21.95" customHeight="1" x14ac:dyDescent="0.15"/>
    <row r="21560" s="76" customFormat="1" ht="21.95" customHeight="1" x14ac:dyDescent="0.15"/>
    <row r="21561" s="76" customFormat="1" ht="21.95" customHeight="1" x14ac:dyDescent="0.15"/>
    <row r="21562" s="76" customFormat="1" ht="21.95" customHeight="1" x14ac:dyDescent="0.15"/>
    <row r="21563" s="76" customFormat="1" ht="21.95" customHeight="1" x14ac:dyDescent="0.15"/>
    <row r="21564" s="76" customFormat="1" ht="21.95" customHeight="1" x14ac:dyDescent="0.15"/>
    <row r="21565" s="76" customFormat="1" ht="21.95" customHeight="1" x14ac:dyDescent="0.15"/>
    <row r="21566" s="76" customFormat="1" ht="21.95" customHeight="1" x14ac:dyDescent="0.15"/>
    <row r="21567" s="76" customFormat="1" ht="21.95" customHeight="1" x14ac:dyDescent="0.15"/>
    <row r="21568" s="76" customFormat="1" ht="21.95" customHeight="1" x14ac:dyDescent="0.15"/>
    <row r="21569" s="76" customFormat="1" ht="21.95" customHeight="1" x14ac:dyDescent="0.15"/>
    <row r="21570" s="76" customFormat="1" ht="21.95" customHeight="1" x14ac:dyDescent="0.15"/>
    <row r="21571" s="76" customFormat="1" ht="21.95" customHeight="1" x14ac:dyDescent="0.15"/>
    <row r="21572" s="76" customFormat="1" ht="21.95" customHeight="1" x14ac:dyDescent="0.15"/>
    <row r="21573" s="76" customFormat="1" ht="21.95" customHeight="1" x14ac:dyDescent="0.15"/>
    <row r="21574" s="76" customFormat="1" ht="21.95" customHeight="1" x14ac:dyDescent="0.15"/>
    <row r="21575" s="76" customFormat="1" ht="21.95" customHeight="1" x14ac:dyDescent="0.15"/>
    <row r="21576" s="76" customFormat="1" ht="21.95" customHeight="1" x14ac:dyDescent="0.15"/>
    <row r="21577" s="76" customFormat="1" ht="21.95" customHeight="1" x14ac:dyDescent="0.15"/>
    <row r="21578" s="76" customFormat="1" ht="21.95" customHeight="1" x14ac:dyDescent="0.15"/>
    <row r="21579" s="76" customFormat="1" ht="21.95" customHeight="1" x14ac:dyDescent="0.15"/>
    <row r="21580" s="76" customFormat="1" ht="21.95" customHeight="1" x14ac:dyDescent="0.15"/>
    <row r="21581" s="76" customFormat="1" ht="21.95" customHeight="1" x14ac:dyDescent="0.15"/>
    <row r="21582" s="76" customFormat="1" ht="21.95" customHeight="1" x14ac:dyDescent="0.15"/>
    <row r="21583" s="76" customFormat="1" ht="21.95" customHeight="1" x14ac:dyDescent="0.15"/>
    <row r="21584" s="76" customFormat="1" ht="21.95" customHeight="1" x14ac:dyDescent="0.15"/>
    <row r="21585" s="76" customFormat="1" ht="21.95" customHeight="1" x14ac:dyDescent="0.15"/>
    <row r="21586" s="76" customFormat="1" ht="21.95" customHeight="1" x14ac:dyDescent="0.15"/>
    <row r="21587" s="76" customFormat="1" ht="21.95" customHeight="1" x14ac:dyDescent="0.15"/>
    <row r="21588" s="76" customFormat="1" ht="21.95" customHeight="1" x14ac:dyDescent="0.15"/>
    <row r="21589" s="76" customFormat="1" ht="21.95" customHeight="1" x14ac:dyDescent="0.15"/>
    <row r="21590" s="76" customFormat="1" ht="21.95" customHeight="1" x14ac:dyDescent="0.15"/>
    <row r="21591" s="76" customFormat="1" ht="21.95" customHeight="1" x14ac:dyDescent="0.15"/>
    <row r="21592" s="76" customFormat="1" ht="21.95" customHeight="1" x14ac:dyDescent="0.15"/>
    <row r="21593" s="76" customFormat="1" ht="35.1" customHeight="1" x14ac:dyDescent="0.15"/>
    <row r="21594" s="76" customFormat="1" ht="21.95" customHeight="1" x14ac:dyDescent="0.15"/>
    <row r="21595" s="76" customFormat="1" ht="21.95" customHeight="1" x14ac:dyDescent="0.15"/>
    <row r="21596" s="76" customFormat="1" ht="21.95" customHeight="1" x14ac:dyDescent="0.15"/>
    <row r="21597" s="76" customFormat="1" ht="21.95" customHeight="1" x14ac:dyDescent="0.15"/>
    <row r="21598" s="76" customFormat="1" ht="21.95" customHeight="1" x14ac:dyDescent="0.15"/>
    <row r="21599" s="76" customFormat="1" ht="21.95" customHeight="1" x14ac:dyDescent="0.15"/>
    <row r="21600" s="76" customFormat="1" ht="21.95" customHeight="1" x14ac:dyDescent="0.15"/>
    <row r="21601" s="76" customFormat="1" ht="21.95" customHeight="1" x14ac:dyDescent="0.15"/>
    <row r="21602" s="76" customFormat="1" ht="21.95" customHeight="1" x14ac:dyDescent="0.15"/>
    <row r="21603" s="76" customFormat="1" ht="21.95" customHeight="1" x14ac:dyDescent="0.15"/>
    <row r="21604" s="76" customFormat="1" ht="21.95" customHeight="1" x14ac:dyDescent="0.15"/>
    <row r="21605" s="76" customFormat="1" ht="21.95" customHeight="1" x14ac:dyDescent="0.15"/>
    <row r="21606" s="76" customFormat="1" ht="21.95" customHeight="1" x14ac:dyDescent="0.15"/>
    <row r="21607" s="76" customFormat="1" ht="21.95" customHeight="1" x14ac:dyDescent="0.15"/>
    <row r="21608" s="76" customFormat="1" ht="21.95" customHeight="1" x14ac:dyDescent="0.15"/>
    <row r="21609" s="76" customFormat="1" ht="21.95" customHeight="1" x14ac:dyDescent="0.15"/>
    <row r="21610" s="76" customFormat="1" ht="21.95" customHeight="1" x14ac:dyDescent="0.15"/>
    <row r="21611" s="76" customFormat="1" ht="21.95" customHeight="1" x14ac:dyDescent="0.15"/>
    <row r="21612" s="76" customFormat="1" ht="21.95" customHeight="1" x14ac:dyDescent="0.15"/>
    <row r="21613" s="76" customFormat="1" ht="21.95" customHeight="1" x14ac:dyDescent="0.15"/>
    <row r="21614" s="76" customFormat="1" ht="21.95" customHeight="1" x14ac:dyDescent="0.15"/>
    <row r="21615" s="76" customFormat="1" ht="21.95" customHeight="1" x14ac:dyDescent="0.15"/>
    <row r="21616" s="76" customFormat="1" ht="21.95" customHeight="1" x14ac:dyDescent="0.15"/>
    <row r="21617" spans="3:3" customFormat="1" ht="21.95" customHeight="1" x14ac:dyDescent="0.15"/>
    <row r="21618" spans="3:3" customFormat="1" ht="21.95" customHeight="1" x14ac:dyDescent="0.15"/>
    <row r="21619" spans="3:3" customFormat="1" ht="21.95" customHeight="1" x14ac:dyDescent="0.15">
      <c r="C21619" s="94"/>
    </row>
    <row r="21620" spans="3:3" customFormat="1" ht="21.95" customHeight="1" x14ac:dyDescent="0.15">
      <c r="C21620" s="94"/>
    </row>
    <row r="21621" spans="3:3" customFormat="1" ht="21.95" customHeight="1" x14ac:dyDescent="0.15"/>
    <row r="21622" spans="3:3" customFormat="1" ht="21.95" customHeight="1" x14ac:dyDescent="0.15"/>
    <row r="21623" spans="3:3" customFormat="1" ht="21.95" customHeight="1" x14ac:dyDescent="0.15"/>
    <row r="21624" spans="3:3" customFormat="1" ht="21.95" customHeight="1" x14ac:dyDescent="0.15"/>
    <row r="21625" spans="3:3" customFormat="1" ht="21.95" customHeight="1" x14ac:dyDescent="0.15"/>
    <row r="21626" spans="3:3" customFormat="1" ht="21.95" customHeight="1" x14ac:dyDescent="0.15"/>
    <row r="21627" spans="3:3" customFormat="1" ht="21.95" customHeight="1" x14ac:dyDescent="0.15"/>
    <row r="21628" spans="3:3" s="76" customFormat="1" ht="21.95" customHeight="1" x14ac:dyDescent="0.15"/>
    <row r="21629" spans="3:3" s="76" customFormat="1" ht="21.95" customHeight="1" x14ac:dyDescent="0.15"/>
    <row r="21630" spans="3:3" s="76" customFormat="1" ht="21.95" customHeight="1" x14ac:dyDescent="0.15"/>
    <row r="21631" spans="3:3" s="76" customFormat="1" ht="21.95" customHeight="1" x14ac:dyDescent="0.15"/>
    <row r="21632" spans="3:3" customFormat="1" ht="21.95" customHeight="1" x14ac:dyDescent="0.15"/>
    <row r="21633" customFormat="1" ht="21.95" customHeight="1" x14ac:dyDescent="0.15"/>
    <row r="21634" customFormat="1" ht="21.95" customHeight="1" x14ac:dyDescent="0.15"/>
    <row r="21635" customFormat="1" ht="21.95" customHeight="1" x14ac:dyDescent="0.15"/>
    <row r="21636" customFormat="1" ht="21.95" customHeight="1" x14ac:dyDescent="0.15"/>
    <row r="21637" customFormat="1" ht="21.95" customHeight="1" x14ac:dyDescent="0.15"/>
    <row r="21638" customFormat="1" ht="21.95" customHeight="1" x14ac:dyDescent="0.15"/>
    <row r="21639" customFormat="1" ht="21.95" customHeight="1" x14ac:dyDescent="0.15"/>
    <row r="21640" customFormat="1" ht="21.95" customHeight="1" x14ac:dyDescent="0.15"/>
    <row r="21641" customFormat="1" ht="21.95" customHeight="1" x14ac:dyDescent="0.15"/>
    <row r="21642" customFormat="1" ht="21.95" customHeight="1" x14ac:dyDescent="0.15"/>
    <row r="21643" customFormat="1" ht="32.1" customHeight="1" x14ac:dyDescent="0.15"/>
    <row r="21644" customFormat="1" ht="32.1" customHeight="1" x14ac:dyDescent="0.15"/>
    <row r="21645" customFormat="1" ht="32.1" customHeight="1" x14ac:dyDescent="0.15"/>
    <row r="21646" customFormat="1" ht="32.1" customHeight="1" x14ac:dyDescent="0.15"/>
    <row r="21647" customFormat="1" ht="32.1" customHeight="1" x14ac:dyDescent="0.15"/>
    <row r="21648" customFormat="1" ht="32.1" customHeight="1" x14ac:dyDescent="0.15"/>
    <row r="21649" s="76" customFormat="1" ht="32.1" customHeight="1" x14ac:dyDescent="0.15"/>
    <row r="21650" s="76" customFormat="1" ht="32.1" customHeight="1" x14ac:dyDescent="0.15"/>
    <row r="21651" s="76" customFormat="1" ht="32.1" customHeight="1" x14ac:dyDescent="0.15"/>
    <row r="21652" s="76" customFormat="1" ht="32.1" customHeight="1" x14ac:dyDescent="0.15"/>
    <row r="21653" s="76" customFormat="1" ht="21.95" customHeight="1" x14ac:dyDescent="0.15"/>
    <row r="21654" s="76" customFormat="1" ht="54" customHeight="1" x14ac:dyDescent="0.15"/>
    <row r="21655" s="76" customFormat="1" ht="21.95" customHeight="1" x14ac:dyDescent="0.15"/>
    <row r="21656" s="76" customFormat="1" ht="21.95" customHeight="1" x14ac:dyDescent="0.15"/>
    <row r="21657" s="76" customFormat="1" ht="21.95" customHeight="1" x14ac:dyDescent="0.15"/>
    <row r="21658" s="76" customFormat="1" ht="21.95" customHeight="1" x14ac:dyDescent="0.15"/>
    <row r="21659" s="76" customFormat="1" ht="21.95" customHeight="1" x14ac:dyDescent="0.15"/>
    <row r="21660" s="76" customFormat="1" ht="21.95" customHeight="1" x14ac:dyDescent="0.15"/>
    <row r="21661" s="76" customFormat="1" ht="21.95" customHeight="1" x14ac:dyDescent="0.15"/>
    <row r="21662" s="76" customFormat="1" ht="21.95" customHeight="1" x14ac:dyDescent="0.15"/>
    <row r="21663" s="76" customFormat="1" ht="21.95" customHeight="1" x14ac:dyDescent="0.15"/>
    <row r="21664" s="76" customFormat="1" ht="21.95" customHeight="1" x14ac:dyDescent="0.15"/>
    <row r="21665" s="76" customFormat="1" ht="21.95" customHeight="1" x14ac:dyDescent="0.15"/>
    <row r="21666" s="76" customFormat="1" ht="21.95" customHeight="1" x14ac:dyDescent="0.15"/>
    <row r="21667" s="76" customFormat="1" ht="21.95" customHeight="1" x14ac:dyDescent="0.15"/>
    <row r="21668" s="76" customFormat="1" ht="21.95" customHeight="1" x14ac:dyDescent="0.15"/>
    <row r="21669" s="76" customFormat="1" ht="21.95" customHeight="1" x14ac:dyDescent="0.15"/>
    <row r="21670" s="76" customFormat="1" ht="21.95" customHeight="1" x14ac:dyDescent="0.15"/>
    <row r="21671" s="76" customFormat="1" ht="21.95" customHeight="1" x14ac:dyDescent="0.15"/>
    <row r="21672" s="76" customFormat="1" ht="21.95" customHeight="1" x14ac:dyDescent="0.15"/>
    <row r="21673" s="76" customFormat="1" ht="21.95" customHeight="1" x14ac:dyDescent="0.15"/>
    <row r="21674" s="76" customFormat="1" ht="21.95" customHeight="1" x14ac:dyDescent="0.15"/>
    <row r="21675" s="76" customFormat="1" ht="21.95" customHeight="1" x14ac:dyDescent="0.15"/>
    <row r="21676" s="76" customFormat="1" ht="21.95" customHeight="1" x14ac:dyDescent="0.15"/>
    <row r="21677" s="76" customFormat="1" ht="21.95" customHeight="1" x14ac:dyDescent="0.15"/>
    <row r="21678" s="76" customFormat="1" ht="21.95" customHeight="1" x14ac:dyDescent="0.15"/>
    <row r="21679" s="76" customFormat="1" ht="21.95" customHeight="1" x14ac:dyDescent="0.15"/>
    <row r="21680" s="76" customFormat="1" ht="21.95" customHeight="1" x14ac:dyDescent="0.15"/>
    <row r="21681" s="76" customFormat="1" ht="21.95" customHeight="1" x14ac:dyDescent="0.15"/>
    <row r="21682" s="76" customFormat="1" ht="21.95" customHeight="1" x14ac:dyDescent="0.15"/>
    <row r="21683" s="76" customFormat="1" ht="21.95" customHeight="1" x14ac:dyDescent="0.15"/>
    <row r="21684" s="76" customFormat="1" ht="21.95" customHeight="1" x14ac:dyDescent="0.15"/>
    <row r="21685" s="76" customFormat="1" ht="21.95" customHeight="1" x14ac:dyDescent="0.15"/>
    <row r="21686" s="76" customFormat="1" ht="21.95" customHeight="1" x14ac:dyDescent="0.15"/>
    <row r="21687" s="76" customFormat="1" ht="21.95" customHeight="1" x14ac:dyDescent="0.15"/>
    <row r="21688" s="76" customFormat="1" ht="21.95" customHeight="1" x14ac:dyDescent="0.15"/>
    <row r="21689" s="76" customFormat="1" ht="21.95" customHeight="1" x14ac:dyDescent="0.15"/>
    <row r="21690" s="76" customFormat="1" ht="21.95" customHeight="1" x14ac:dyDescent="0.15"/>
    <row r="21691" s="76" customFormat="1" ht="21.95" customHeight="1" x14ac:dyDescent="0.15"/>
    <row r="21692" s="76" customFormat="1" ht="21.95" customHeight="1" x14ac:dyDescent="0.15"/>
    <row r="21693" s="76" customFormat="1" ht="21.95" customHeight="1" x14ac:dyDescent="0.15"/>
    <row r="21694" s="76" customFormat="1" ht="21.95" customHeight="1" x14ac:dyDescent="0.15"/>
    <row r="21695" s="76" customFormat="1" ht="21.95" customHeight="1" x14ac:dyDescent="0.15"/>
    <row r="21696" s="76" customFormat="1" ht="21.95" customHeight="1" x14ac:dyDescent="0.15"/>
    <row r="21697" s="76" customFormat="1" ht="21.95" customHeight="1" x14ac:dyDescent="0.15"/>
    <row r="21698" s="76" customFormat="1" ht="21.95" customHeight="1" x14ac:dyDescent="0.15"/>
    <row r="21699" s="76" customFormat="1" ht="21.95" customHeight="1" x14ac:dyDescent="0.15"/>
    <row r="21700" s="76" customFormat="1" ht="21.95" customHeight="1" x14ac:dyDescent="0.15"/>
    <row r="21701" s="76" customFormat="1" ht="21.95" customHeight="1" x14ac:dyDescent="0.15"/>
    <row r="21702" s="76" customFormat="1" ht="21.95" customHeight="1" x14ac:dyDescent="0.15"/>
    <row r="21703" s="76" customFormat="1" ht="21.95" customHeight="1" x14ac:dyDescent="0.15"/>
    <row r="21704" s="76" customFormat="1" ht="21.95" customHeight="1" x14ac:dyDescent="0.15"/>
    <row r="21705" s="76" customFormat="1" ht="35.1" customHeight="1" x14ac:dyDescent="0.15"/>
    <row r="21706" s="76" customFormat="1" ht="21.95" customHeight="1" x14ac:dyDescent="0.15"/>
    <row r="21707" s="76" customFormat="1" ht="21.95" customHeight="1" x14ac:dyDescent="0.15"/>
    <row r="21708" s="76" customFormat="1" ht="21.95" customHeight="1" x14ac:dyDescent="0.15"/>
    <row r="21709" s="76" customFormat="1" ht="21.95" customHeight="1" x14ac:dyDescent="0.15"/>
    <row r="21710" s="76" customFormat="1" ht="21.95" customHeight="1" x14ac:dyDescent="0.15"/>
    <row r="21711" s="76" customFormat="1" ht="21.95" customHeight="1" x14ac:dyDescent="0.15"/>
    <row r="21712" s="76" customFormat="1" ht="21.95" customHeight="1" x14ac:dyDescent="0.15"/>
    <row r="21713" s="76" customFormat="1" ht="21.95" customHeight="1" x14ac:dyDescent="0.15"/>
    <row r="21714" s="76" customFormat="1" ht="21.95" customHeight="1" x14ac:dyDescent="0.15"/>
    <row r="21715" s="76" customFormat="1" ht="21.95" customHeight="1" x14ac:dyDescent="0.15"/>
    <row r="21716" s="76" customFormat="1" ht="21.95" customHeight="1" x14ac:dyDescent="0.15"/>
    <row r="21717" s="76" customFormat="1" ht="21.95" customHeight="1" x14ac:dyDescent="0.15"/>
    <row r="21718" s="76" customFormat="1" ht="21.95" customHeight="1" x14ac:dyDescent="0.15"/>
    <row r="21719" s="76" customFormat="1" ht="21.95" customHeight="1" x14ac:dyDescent="0.15"/>
    <row r="21720" s="76" customFormat="1" ht="21.95" customHeight="1" x14ac:dyDescent="0.15"/>
    <row r="21721" s="76" customFormat="1" ht="21.95" customHeight="1" x14ac:dyDescent="0.15"/>
    <row r="21722" s="76" customFormat="1" ht="21.95" customHeight="1" x14ac:dyDescent="0.15"/>
    <row r="21723" s="76" customFormat="1" ht="21.95" customHeight="1" x14ac:dyDescent="0.15"/>
    <row r="21724" s="76" customFormat="1" ht="21.95" customHeight="1" x14ac:dyDescent="0.15"/>
    <row r="21725" s="76" customFormat="1" ht="21.95" customHeight="1" x14ac:dyDescent="0.15"/>
    <row r="21726" s="76" customFormat="1" ht="21.95" customHeight="1" x14ac:dyDescent="0.15"/>
    <row r="21727" s="76" customFormat="1" ht="21.95" customHeight="1" x14ac:dyDescent="0.15"/>
    <row r="21728" s="76" customFormat="1" ht="21.95" customHeight="1" x14ac:dyDescent="0.15"/>
    <row r="21729" spans="3:3" customFormat="1" ht="21.95" customHeight="1" x14ac:dyDescent="0.15"/>
    <row r="21730" spans="3:3" customFormat="1" ht="21.95" customHeight="1" x14ac:dyDescent="0.15"/>
    <row r="21731" spans="3:3" customFormat="1" ht="21.95" customHeight="1" x14ac:dyDescent="0.15">
      <c r="C21731" s="94"/>
    </row>
    <row r="21732" spans="3:3" customFormat="1" ht="21.95" customHeight="1" x14ac:dyDescent="0.15">
      <c r="C21732" s="94"/>
    </row>
    <row r="21733" spans="3:3" customFormat="1" ht="21.95" customHeight="1" x14ac:dyDescent="0.15"/>
    <row r="21734" spans="3:3" customFormat="1" ht="21.95" customHeight="1" x14ac:dyDescent="0.15"/>
    <row r="21735" spans="3:3" customFormat="1" ht="21.95" customHeight="1" x14ac:dyDescent="0.15"/>
    <row r="21736" spans="3:3" customFormat="1" ht="21.95" customHeight="1" x14ac:dyDescent="0.15"/>
    <row r="21737" spans="3:3" customFormat="1" ht="21.95" customHeight="1" x14ac:dyDescent="0.15"/>
    <row r="21738" spans="3:3" customFormat="1" ht="21.95" customHeight="1" x14ac:dyDescent="0.15"/>
    <row r="21739" spans="3:3" customFormat="1" ht="21.95" customHeight="1" x14ac:dyDescent="0.15"/>
    <row r="21740" spans="3:3" s="76" customFormat="1" ht="21.95" customHeight="1" x14ac:dyDescent="0.15"/>
    <row r="21741" spans="3:3" s="76" customFormat="1" ht="21.95" customHeight="1" x14ac:dyDescent="0.15"/>
    <row r="21742" spans="3:3" s="76" customFormat="1" ht="21.95" customHeight="1" x14ac:dyDescent="0.15"/>
    <row r="21743" spans="3:3" s="76" customFormat="1" ht="21.95" customHeight="1" x14ac:dyDescent="0.15"/>
    <row r="21744" spans="3:3" customFormat="1" ht="21.95" customHeight="1" x14ac:dyDescent="0.15"/>
    <row r="21745" customFormat="1" ht="21.95" customHeight="1" x14ac:dyDescent="0.15"/>
    <row r="21746" customFormat="1" ht="21.95" customHeight="1" x14ac:dyDescent="0.15"/>
    <row r="21747" customFormat="1" ht="21.95" customHeight="1" x14ac:dyDescent="0.15"/>
    <row r="21748" customFormat="1" ht="21.95" customHeight="1" x14ac:dyDescent="0.15"/>
    <row r="21749" customFormat="1" ht="21.95" customHeight="1" x14ac:dyDescent="0.15"/>
    <row r="21750" customFormat="1" ht="21.95" customHeight="1" x14ac:dyDescent="0.15"/>
    <row r="21751" customFormat="1" ht="21.95" customHeight="1" x14ac:dyDescent="0.15"/>
    <row r="21752" customFormat="1" ht="21.95" customHeight="1" x14ac:dyDescent="0.15"/>
    <row r="21753" customFormat="1" ht="21.95" customHeight="1" x14ac:dyDescent="0.15"/>
    <row r="21754" customFormat="1" ht="21.95" customHeight="1" x14ac:dyDescent="0.15"/>
    <row r="21755" customFormat="1" ht="32.1" customHeight="1" x14ac:dyDescent="0.15"/>
    <row r="21756" customFormat="1" ht="32.1" customHeight="1" x14ac:dyDescent="0.15"/>
    <row r="21757" customFormat="1" ht="32.1" customHeight="1" x14ac:dyDescent="0.15"/>
    <row r="21758" customFormat="1" ht="32.1" customHeight="1" x14ac:dyDescent="0.15"/>
    <row r="21759" customFormat="1" ht="32.1" customHeight="1" x14ac:dyDescent="0.15"/>
    <row r="21760" customFormat="1" ht="32.1" customHeight="1" x14ac:dyDescent="0.15"/>
    <row r="21761" s="76" customFormat="1" ht="32.1" customHeight="1" x14ac:dyDescent="0.15"/>
    <row r="21762" s="76" customFormat="1" ht="32.1" customHeight="1" x14ac:dyDescent="0.15"/>
    <row r="21763" s="76" customFormat="1" ht="32.1" customHeight="1" x14ac:dyDescent="0.15"/>
    <row r="21764" s="76" customFormat="1" ht="32.1" customHeight="1" x14ac:dyDescent="0.15"/>
    <row r="21765" s="76" customFormat="1" ht="21.95" customHeight="1" x14ac:dyDescent="0.15"/>
    <row r="21766" s="76" customFormat="1" ht="54" customHeight="1" x14ac:dyDescent="0.15"/>
    <row r="21767" s="76" customFormat="1" ht="21.95" customHeight="1" x14ac:dyDescent="0.15"/>
    <row r="21768" s="76" customFormat="1" ht="21.95" customHeight="1" x14ac:dyDescent="0.15"/>
    <row r="21769" s="76" customFormat="1" ht="21.95" customHeight="1" x14ac:dyDescent="0.15"/>
    <row r="21770" s="76" customFormat="1" ht="21.95" customHeight="1" x14ac:dyDescent="0.15"/>
    <row r="21771" s="76" customFormat="1" ht="21.95" customHeight="1" x14ac:dyDescent="0.15"/>
    <row r="21772" s="76" customFormat="1" ht="21.95" customHeight="1" x14ac:dyDescent="0.15"/>
    <row r="21773" s="76" customFormat="1" ht="21.95" customHeight="1" x14ac:dyDescent="0.15"/>
    <row r="21774" s="76" customFormat="1" ht="21.95" customHeight="1" x14ac:dyDescent="0.15"/>
    <row r="21775" s="76" customFormat="1" ht="21.95" customHeight="1" x14ac:dyDescent="0.15"/>
    <row r="21776" s="76" customFormat="1" ht="21.95" customHeight="1" x14ac:dyDescent="0.15"/>
    <row r="21777" s="76" customFormat="1" ht="21.95" customHeight="1" x14ac:dyDescent="0.15"/>
    <row r="21778" s="76" customFormat="1" ht="21.95" customHeight="1" x14ac:dyDescent="0.15"/>
    <row r="21779" s="76" customFormat="1" ht="21.95" customHeight="1" x14ac:dyDescent="0.15"/>
    <row r="21780" s="76" customFormat="1" ht="21.95" customHeight="1" x14ac:dyDescent="0.15"/>
    <row r="21781" s="76" customFormat="1" ht="21.95" customHeight="1" x14ac:dyDescent="0.15"/>
    <row r="21782" s="76" customFormat="1" ht="21.95" customHeight="1" x14ac:dyDescent="0.15"/>
    <row r="21783" s="76" customFormat="1" ht="21.95" customHeight="1" x14ac:dyDescent="0.15"/>
    <row r="21784" s="76" customFormat="1" ht="21.95" customHeight="1" x14ac:dyDescent="0.15"/>
    <row r="21785" s="76" customFormat="1" ht="21.95" customHeight="1" x14ac:dyDescent="0.15"/>
    <row r="21786" s="76" customFormat="1" ht="21.95" customHeight="1" x14ac:dyDescent="0.15"/>
    <row r="21787" s="76" customFormat="1" ht="21.95" customHeight="1" x14ac:dyDescent="0.15"/>
    <row r="21788" s="76" customFormat="1" ht="21.95" customHeight="1" x14ac:dyDescent="0.15"/>
    <row r="21789" s="76" customFormat="1" ht="21.95" customHeight="1" x14ac:dyDescent="0.15"/>
    <row r="21790" s="76" customFormat="1" ht="21.95" customHeight="1" x14ac:dyDescent="0.15"/>
    <row r="21791" s="76" customFormat="1" ht="21.95" customHeight="1" x14ac:dyDescent="0.15"/>
    <row r="21792" s="76" customFormat="1" ht="21.95" customHeight="1" x14ac:dyDescent="0.15"/>
    <row r="21793" s="76" customFormat="1" ht="21.95" customHeight="1" x14ac:dyDescent="0.15"/>
    <row r="21794" s="76" customFormat="1" ht="21.95" customHeight="1" x14ac:dyDescent="0.15"/>
    <row r="21795" s="76" customFormat="1" ht="21.95" customHeight="1" x14ac:dyDescent="0.15"/>
    <row r="21796" s="76" customFormat="1" ht="21.95" customHeight="1" x14ac:dyDescent="0.15"/>
    <row r="21797" s="76" customFormat="1" ht="21.95" customHeight="1" x14ac:dyDescent="0.15"/>
    <row r="21798" s="76" customFormat="1" ht="21.95" customHeight="1" x14ac:dyDescent="0.15"/>
    <row r="21799" s="76" customFormat="1" ht="21.95" customHeight="1" x14ac:dyDescent="0.15"/>
    <row r="21800" s="76" customFormat="1" ht="21.95" customHeight="1" x14ac:dyDescent="0.15"/>
    <row r="21801" s="76" customFormat="1" ht="21.95" customHeight="1" x14ac:dyDescent="0.15"/>
    <row r="21802" s="76" customFormat="1" ht="21.95" customHeight="1" x14ac:dyDescent="0.15"/>
    <row r="21803" s="76" customFormat="1" ht="21.95" customHeight="1" x14ac:dyDescent="0.15"/>
    <row r="21804" s="76" customFormat="1" ht="21.95" customHeight="1" x14ac:dyDescent="0.15"/>
    <row r="21805" s="76" customFormat="1" ht="21.95" customHeight="1" x14ac:dyDescent="0.15"/>
    <row r="21806" s="76" customFormat="1" ht="21.95" customHeight="1" x14ac:dyDescent="0.15"/>
    <row r="21807" s="76" customFormat="1" ht="21.95" customHeight="1" x14ac:dyDescent="0.15"/>
    <row r="21808" s="76" customFormat="1" ht="21.95" customHeight="1" x14ac:dyDescent="0.15"/>
    <row r="21809" s="76" customFormat="1" ht="21.95" customHeight="1" x14ac:dyDescent="0.15"/>
    <row r="21810" s="76" customFormat="1" ht="21.95" customHeight="1" x14ac:dyDescent="0.15"/>
    <row r="21811" s="76" customFormat="1" ht="21.95" customHeight="1" x14ac:dyDescent="0.15"/>
    <row r="21812" s="76" customFormat="1" ht="21.95" customHeight="1" x14ac:dyDescent="0.15"/>
    <row r="21813" s="76" customFormat="1" ht="21.95" customHeight="1" x14ac:dyDescent="0.15"/>
    <row r="21814" s="76" customFormat="1" ht="21.95" customHeight="1" x14ac:dyDescent="0.15"/>
    <row r="21815" s="76" customFormat="1" ht="21.95" customHeight="1" x14ac:dyDescent="0.15"/>
    <row r="21816" s="76" customFormat="1" ht="21.95" customHeight="1" x14ac:dyDescent="0.15"/>
    <row r="21817" s="76" customFormat="1" ht="35.1" customHeight="1" x14ac:dyDescent="0.15"/>
    <row r="21818" s="76" customFormat="1" ht="21.95" customHeight="1" x14ac:dyDescent="0.15"/>
    <row r="21819" s="76" customFormat="1" ht="21.95" customHeight="1" x14ac:dyDescent="0.15"/>
    <row r="21820" s="76" customFormat="1" ht="21.95" customHeight="1" x14ac:dyDescent="0.15"/>
    <row r="21821" s="76" customFormat="1" ht="21.95" customHeight="1" x14ac:dyDescent="0.15"/>
    <row r="21822" s="76" customFormat="1" ht="21.95" customHeight="1" x14ac:dyDescent="0.15"/>
    <row r="21823" s="76" customFormat="1" ht="21.95" customHeight="1" x14ac:dyDescent="0.15"/>
    <row r="21824" s="76" customFormat="1" ht="21.95" customHeight="1" x14ac:dyDescent="0.15"/>
    <row r="21825" s="76" customFormat="1" ht="21.95" customHeight="1" x14ac:dyDescent="0.15"/>
    <row r="21826" s="76" customFormat="1" ht="21.95" customHeight="1" x14ac:dyDescent="0.15"/>
    <row r="21827" s="76" customFormat="1" ht="21.95" customHeight="1" x14ac:dyDescent="0.15"/>
    <row r="21828" s="76" customFormat="1" ht="21.95" customHeight="1" x14ac:dyDescent="0.15"/>
    <row r="21829" s="76" customFormat="1" ht="21.95" customHeight="1" x14ac:dyDescent="0.15"/>
    <row r="21830" s="76" customFormat="1" ht="21.95" customHeight="1" x14ac:dyDescent="0.15"/>
    <row r="21831" s="76" customFormat="1" ht="21.95" customHeight="1" x14ac:dyDescent="0.15"/>
    <row r="21832" s="76" customFormat="1" ht="21.95" customHeight="1" x14ac:dyDescent="0.15"/>
    <row r="21833" s="76" customFormat="1" ht="21.95" customHeight="1" x14ac:dyDescent="0.15"/>
    <row r="21834" s="76" customFormat="1" ht="21.95" customHeight="1" x14ac:dyDescent="0.15"/>
    <row r="21835" s="76" customFormat="1" ht="21.95" customHeight="1" x14ac:dyDescent="0.15"/>
    <row r="21836" s="76" customFormat="1" ht="21.95" customHeight="1" x14ac:dyDescent="0.15"/>
    <row r="21837" s="76" customFormat="1" ht="21.95" customHeight="1" x14ac:dyDescent="0.15"/>
    <row r="21838" s="76" customFormat="1" ht="21.95" customHeight="1" x14ac:dyDescent="0.15"/>
    <row r="21839" s="76" customFormat="1" ht="21.95" customHeight="1" x14ac:dyDescent="0.15"/>
    <row r="21840" s="76" customFormat="1" ht="21.95" customHeight="1" x14ac:dyDescent="0.15"/>
    <row r="21841" spans="3:3" customFormat="1" ht="21.95" customHeight="1" x14ac:dyDescent="0.15"/>
    <row r="21842" spans="3:3" customFormat="1" ht="21.95" customHeight="1" x14ac:dyDescent="0.15"/>
    <row r="21843" spans="3:3" customFormat="1" ht="21.95" customHeight="1" x14ac:dyDescent="0.15">
      <c r="C21843" s="94"/>
    </row>
    <row r="21844" spans="3:3" customFormat="1" ht="21.95" customHeight="1" x14ac:dyDescent="0.15">
      <c r="C21844" s="94"/>
    </row>
    <row r="21845" spans="3:3" customFormat="1" ht="21.95" customHeight="1" x14ac:dyDescent="0.15"/>
    <row r="21846" spans="3:3" customFormat="1" ht="21.95" customHeight="1" x14ac:dyDescent="0.15"/>
    <row r="21847" spans="3:3" customFormat="1" ht="21.95" customHeight="1" x14ac:dyDescent="0.15"/>
    <row r="21848" spans="3:3" customFormat="1" ht="21.95" customHeight="1" x14ac:dyDescent="0.15"/>
    <row r="21849" spans="3:3" customFormat="1" ht="21.95" customHeight="1" x14ac:dyDescent="0.15"/>
    <row r="21850" spans="3:3" customFormat="1" ht="21.95" customHeight="1" x14ac:dyDescent="0.15"/>
    <row r="21851" spans="3:3" customFormat="1" ht="21.95" customHeight="1" x14ac:dyDescent="0.15"/>
    <row r="21852" spans="3:3" s="76" customFormat="1" ht="21.95" customHeight="1" x14ac:dyDescent="0.15"/>
    <row r="21853" spans="3:3" s="76" customFormat="1" ht="21.95" customHeight="1" x14ac:dyDescent="0.15"/>
    <row r="21854" spans="3:3" s="76" customFormat="1" ht="21.95" customHeight="1" x14ac:dyDescent="0.15"/>
    <row r="21855" spans="3:3" s="76" customFormat="1" ht="21.95" customHeight="1" x14ac:dyDescent="0.15"/>
    <row r="21856" spans="3:3" customFormat="1" ht="21.95" customHeight="1" x14ac:dyDescent="0.15"/>
    <row r="21857" customFormat="1" ht="21.95" customHeight="1" x14ac:dyDescent="0.15"/>
    <row r="21858" customFormat="1" ht="21.95" customHeight="1" x14ac:dyDescent="0.15"/>
    <row r="21859" customFormat="1" ht="21.95" customHeight="1" x14ac:dyDescent="0.15"/>
    <row r="21860" customFormat="1" ht="21.95" customHeight="1" x14ac:dyDescent="0.15"/>
    <row r="21861" customFormat="1" ht="21.95" customHeight="1" x14ac:dyDescent="0.15"/>
    <row r="21862" customFormat="1" ht="21.95" customHeight="1" x14ac:dyDescent="0.15"/>
    <row r="21863" customFormat="1" ht="21.95" customHeight="1" x14ac:dyDescent="0.15"/>
    <row r="21864" customFormat="1" ht="21.95" customHeight="1" x14ac:dyDescent="0.15"/>
    <row r="21865" customFormat="1" ht="21.95" customHeight="1" x14ac:dyDescent="0.15"/>
    <row r="21866" customFormat="1" ht="21.95" customHeight="1" x14ac:dyDescent="0.15"/>
    <row r="21867" customFormat="1" ht="32.1" customHeight="1" x14ac:dyDescent="0.15"/>
    <row r="21868" customFormat="1" ht="32.1" customHeight="1" x14ac:dyDescent="0.15"/>
    <row r="21869" customFormat="1" ht="32.1" customHeight="1" x14ac:dyDescent="0.15"/>
    <row r="21870" customFormat="1" ht="32.1" customHeight="1" x14ac:dyDescent="0.15"/>
    <row r="21871" customFormat="1" ht="32.1" customHeight="1" x14ac:dyDescent="0.15"/>
    <row r="21872" customFormat="1" ht="32.1" customHeight="1" x14ac:dyDescent="0.15"/>
    <row r="21873" s="76" customFormat="1" ht="32.1" customHeight="1" x14ac:dyDescent="0.15"/>
    <row r="21874" s="76" customFormat="1" ht="32.1" customHeight="1" x14ac:dyDescent="0.15"/>
    <row r="21875" s="76" customFormat="1" ht="32.1" customHeight="1" x14ac:dyDescent="0.15"/>
    <row r="21876" s="76" customFormat="1" ht="32.1" customHeight="1" x14ac:dyDescent="0.15"/>
    <row r="21877" s="76" customFormat="1" ht="21.95" customHeight="1" x14ac:dyDescent="0.15"/>
    <row r="21878" s="76" customFormat="1" ht="54" customHeight="1" x14ac:dyDescent="0.15"/>
    <row r="21879" s="76" customFormat="1" ht="21.95" customHeight="1" x14ac:dyDescent="0.15"/>
    <row r="21880" s="76" customFormat="1" ht="21.95" customHeight="1" x14ac:dyDescent="0.15"/>
    <row r="21881" s="76" customFormat="1" ht="21.95" customHeight="1" x14ac:dyDescent="0.15"/>
    <row r="21882" s="76" customFormat="1" ht="21.95" customHeight="1" x14ac:dyDescent="0.15"/>
    <row r="21883" s="76" customFormat="1" ht="21.95" customHeight="1" x14ac:dyDescent="0.15"/>
    <row r="21884" s="76" customFormat="1" ht="21.95" customHeight="1" x14ac:dyDescent="0.15"/>
    <row r="21885" s="76" customFormat="1" ht="21.95" customHeight="1" x14ac:dyDescent="0.15"/>
    <row r="21886" s="76" customFormat="1" ht="21.95" customHeight="1" x14ac:dyDescent="0.15"/>
    <row r="21887" s="76" customFormat="1" ht="21.95" customHeight="1" x14ac:dyDescent="0.15"/>
    <row r="21888" s="76" customFormat="1" ht="21.95" customHeight="1" x14ac:dyDescent="0.15"/>
    <row r="21889" s="76" customFormat="1" ht="21.95" customHeight="1" x14ac:dyDescent="0.15"/>
    <row r="21890" s="76" customFormat="1" ht="21.95" customHeight="1" x14ac:dyDescent="0.15"/>
    <row r="21891" s="76" customFormat="1" ht="21.95" customHeight="1" x14ac:dyDescent="0.15"/>
    <row r="21892" s="76" customFormat="1" ht="21.95" customHeight="1" x14ac:dyDescent="0.15"/>
    <row r="21893" s="76" customFormat="1" ht="21.95" customHeight="1" x14ac:dyDescent="0.15"/>
    <row r="21894" s="76" customFormat="1" ht="21.95" customHeight="1" x14ac:dyDescent="0.15"/>
    <row r="21895" s="76" customFormat="1" ht="21.95" customHeight="1" x14ac:dyDescent="0.15"/>
    <row r="21896" s="76" customFormat="1" ht="21.95" customHeight="1" x14ac:dyDescent="0.15"/>
    <row r="21897" s="76" customFormat="1" ht="21.95" customHeight="1" x14ac:dyDescent="0.15"/>
    <row r="21898" s="76" customFormat="1" ht="21.95" customHeight="1" x14ac:dyDescent="0.15"/>
    <row r="21899" s="76" customFormat="1" ht="21.95" customHeight="1" x14ac:dyDescent="0.15"/>
    <row r="21900" s="76" customFormat="1" ht="21.95" customHeight="1" x14ac:dyDescent="0.15"/>
    <row r="21901" s="76" customFormat="1" ht="21.95" customHeight="1" x14ac:dyDescent="0.15"/>
    <row r="21902" s="76" customFormat="1" ht="21.95" customHeight="1" x14ac:dyDescent="0.15"/>
    <row r="21903" s="76" customFormat="1" ht="21.95" customHeight="1" x14ac:dyDescent="0.15"/>
    <row r="21904" s="76" customFormat="1" ht="21.95" customHeight="1" x14ac:dyDescent="0.15"/>
    <row r="21905" s="76" customFormat="1" ht="21.95" customHeight="1" x14ac:dyDescent="0.15"/>
    <row r="21906" s="76" customFormat="1" ht="21.95" customHeight="1" x14ac:dyDescent="0.15"/>
    <row r="21907" s="76" customFormat="1" ht="21.95" customHeight="1" x14ac:dyDescent="0.15"/>
    <row r="21908" s="76" customFormat="1" ht="21.95" customHeight="1" x14ac:dyDescent="0.15"/>
    <row r="21909" s="76" customFormat="1" ht="21.95" customHeight="1" x14ac:dyDescent="0.15"/>
    <row r="21910" s="76" customFormat="1" ht="21.95" customHeight="1" x14ac:dyDescent="0.15"/>
    <row r="21911" s="76" customFormat="1" ht="21.95" customHeight="1" x14ac:dyDescent="0.15"/>
    <row r="21912" s="76" customFormat="1" ht="21.95" customHeight="1" x14ac:dyDescent="0.15"/>
    <row r="21913" s="76" customFormat="1" ht="21.95" customHeight="1" x14ac:dyDescent="0.15"/>
    <row r="21914" s="76" customFormat="1" ht="21.95" customHeight="1" x14ac:dyDescent="0.15"/>
    <row r="21915" s="76" customFormat="1" ht="21.95" customHeight="1" x14ac:dyDescent="0.15"/>
    <row r="21916" s="76" customFormat="1" ht="21.95" customHeight="1" x14ac:dyDescent="0.15"/>
    <row r="21917" s="76" customFormat="1" ht="21.95" customHeight="1" x14ac:dyDescent="0.15"/>
    <row r="21918" s="76" customFormat="1" ht="21.95" customHeight="1" x14ac:dyDescent="0.15"/>
    <row r="21919" s="76" customFormat="1" ht="21.95" customHeight="1" x14ac:dyDescent="0.15"/>
    <row r="21920" s="76" customFormat="1" ht="21.95" customHeight="1" x14ac:dyDescent="0.15"/>
    <row r="21921" s="76" customFormat="1" ht="21.95" customHeight="1" x14ac:dyDescent="0.15"/>
    <row r="21922" s="76" customFormat="1" ht="21.95" customHeight="1" x14ac:dyDescent="0.15"/>
    <row r="21923" s="76" customFormat="1" ht="21.95" customHeight="1" x14ac:dyDescent="0.15"/>
    <row r="21924" s="76" customFormat="1" ht="21.95" customHeight="1" x14ac:dyDescent="0.15"/>
    <row r="21925" s="76" customFormat="1" ht="21.95" customHeight="1" x14ac:dyDescent="0.15"/>
    <row r="21926" s="76" customFormat="1" ht="21.95" customHeight="1" x14ac:dyDescent="0.15"/>
    <row r="21927" s="76" customFormat="1" ht="21.95" customHeight="1" x14ac:dyDescent="0.15"/>
    <row r="21928" s="76" customFormat="1" ht="21.95" customHeight="1" x14ac:dyDescent="0.15"/>
    <row r="21929" s="76" customFormat="1" ht="35.1" customHeight="1" x14ac:dyDescent="0.15"/>
    <row r="21930" s="76" customFormat="1" ht="21.95" customHeight="1" x14ac:dyDescent="0.15"/>
    <row r="21931" s="76" customFormat="1" ht="21.95" customHeight="1" x14ac:dyDescent="0.15"/>
    <row r="21932" s="76" customFormat="1" ht="21.95" customHeight="1" x14ac:dyDescent="0.15"/>
    <row r="21933" s="76" customFormat="1" ht="21.95" customHeight="1" x14ac:dyDescent="0.15"/>
    <row r="21934" s="76" customFormat="1" ht="21.95" customHeight="1" x14ac:dyDescent="0.15"/>
    <row r="21935" s="76" customFormat="1" ht="21.95" customHeight="1" x14ac:dyDescent="0.15"/>
    <row r="21936" s="76" customFormat="1" ht="21.95" customHeight="1" x14ac:dyDescent="0.15"/>
    <row r="21937" s="76" customFormat="1" ht="21.95" customHeight="1" x14ac:dyDescent="0.15"/>
    <row r="21938" s="76" customFormat="1" ht="21.95" customHeight="1" x14ac:dyDescent="0.15"/>
    <row r="21939" s="76" customFormat="1" ht="21.95" customHeight="1" x14ac:dyDescent="0.15"/>
    <row r="21940" s="76" customFormat="1" ht="21.95" customHeight="1" x14ac:dyDescent="0.15"/>
    <row r="21941" s="76" customFormat="1" ht="21.95" customHeight="1" x14ac:dyDescent="0.15"/>
    <row r="21942" s="76" customFormat="1" ht="21.95" customHeight="1" x14ac:dyDescent="0.15"/>
    <row r="21943" s="76" customFormat="1" ht="21.95" customHeight="1" x14ac:dyDescent="0.15"/>
    <row r="21944" s="76" customFormat="1" ht="21.95" customHeight="1" x14ac:dyDescent="0.15"/>
    <row r="21945" s="76" customFormat="1" ht="21.95" customHeight="1" x14ac:dyDescent="0.15"/>
    <row r="21946" s="76" customFormat="1" ht="21.95" customHeight="1" x14ac:dyDescent="0.15"/>
    <row r="21947" s="76" customFormat="1" ht="21.95" customHeight="1" x14ac:dyDescent="0.15"/>
    <row r="21948" s="76" customFormat="1" ht="21.95" customHeight="1" x14ac:dyDescent="0.15"/>
    <row r="21949" s="76" customFormat="1" ht="21.95" customHeight="1" x14ac:dyDescent="0.15"/>
    <row r="21950" s="76" customFormat="1" ht="21.95" customHeight="1" x14ac:dyDescent="0.15"/>
    <row r="21951" s="76" customFormat="1" ht="21.95" customHeight="1" x14ac:dyDescent="0.15"/>
    <row r="21952" s="76" customFormat="1" ht="21.95" customHeight="1" x14ac:dyDescent="0.15"/>
    <row r="21953" spans="3:3" customFormat="1" ht="21.95" customHeight="1" x14ac:dyDescent="0.15"/>
    <row r="21954" spans="3:3" customFormat="1" ht="21.95" customHeight="1" x14ac:dyDescent="0.15"/>
    <row r="21955" spans="3:3" customFormat="1" ht="21.95" customHeight="1" x14ac:dyDescent="0.15">
      <c r="C21955" s="94"/>
    </row>
    <row r="21956" spans="3:3" customFormat="1" ht="21.95" customHeight="1" x14ac:dyDescent="0.15">
      <c r="C21956" s="94"/>
    </row>
    <row r="21957" spans="3:3" customFormat="1" ht="21.95" customHeight="1" x14ac:dyDescent="0.15"/>
    <row r="21958" spans="3:3" customFormat="1" ht="21.95" customHeight="1" x14ac:dyDescent="0.15"/>
    <row r="21959" spans="3:3" customFormat="1" ht="21.95" customHeight="1" x14ac:dyDescent="0.15"/>
    <row r="21960" spans="3:3" customFormat="1" ht="21.95" customHeight="1" x14ac:dyDescent="0.15"/>
    <row r="21961" spans="3:3" customFormat="1" ht="21.95" customHeight="1" x14ac:dyDescent="0.15"/>
    <row r="21962" spans="3:3" customFormat="1" ht="21.95" customHeight="1" x14ac:dyDescent="0.15"/>
    <row r="21963" spans="3:3" customFormat="1" ht="21.95" customHeight="1" x14ac:dyDescent="0.15"/>
    <row r="21964" spans="3:3" s="76" customFormat="1" ht="21.95" customHeight="1" x14ac:dyDescent="0.15"/>
    <row r="21965" spans="3:3" s="76" customFormat="1" ht="21.95" customHeight="1" x14ac:dyDescent="0.15"/>
    <row r="21966" spans="3:3" s="76" customFormat="1" ht="21.95" customHeight="1" x14ac:dyDescent="0.15"/>
    <row r="21967" spans="3:3" s="76" customFormat="1" ht="21.95" customHeight="1" x14ac:dyDescent="0.15"/>
    <row r="21968" spans="3:3" customFormat="1" ht="21.95" customHeight="1" x14ac:dyDescent="0.15"/>
    <row r="21969" customFormat="1" ht="21.95" customHeight="1" x14ac:dyDescent="0.15"/>
    <row r="21970" customFormat="1" ht="21.95" customHeight="1" x14ac:dyDescent="0.15"/>
    <row r="21971" customFormat="1" ht="21.95" customHeight="1" x14ac:dyDescent="0.15"/>
    <row r="21972" customFormat="1" ht="21.95" customHeight="1" x14ac:dyDescent="0.15"/>
    <row r="21973" customFormat="1" ht="21.95" customHeight="1" x14ac:dyDescent="0.15"/>
    <row r="21974" customFormat="1" ht="21.95" customHeight="1" x14ac:dyDescent="0.15"/>
    <row r="21975" customFormat="1" ht="21.95" customHeight="1" x14ac:dyDescent="0.15"/>
    <row r="21976" customFormat="1" ht="21.95" customHeight="1" x14ac:dyDescent="0.15"/>
    <row r="21977" customFormat="1" ht="21.95" customHeight="1" x14ac:dyDescent="0.15"/>
    <row r="21978" customFormat="1" ht="21.95" customHeight="1" x14ac:dyDescent="0.15"/>
    <row r="21979" customFormat="1" ht="32.1" customHeight="1" x14ac:dyDescent="0.15"/>
    <row r="21980" customFormat="1" ht="32.1" customHeight="1" x14ac:dyDescent="0.15"/>
    <row r="21981" customFormat="1" ht="32.1" customHeight="1" x14ac:dyDescent="0.15"/>
    <row r="21982" customFormat="1" ht="32.1" customHeight="1" x14ac:dyDescent="0.15"/>
    <row r="21983" customFormat="1" ht="32.1" customHeight="1" x14ac:dyDescent="0.15"/>
    <row r="21984" customFormat="1" ht="32.1" customHeight="1" x14ac:dyDescent="0.15"/>
    <row r="21985" s="76" customFormat="1" ht="32.1" customHeight="1" x14ac:dyDescent="0.15"/>
    <row r="21986" s="76" customFormat="1" ht="32.1" customHeight="1" x14ac:dyDescent="0.15"/>
    <row r="21987" s="76" customFormat="1" ht="32.1" customHeight="1" x14ac:dyDescent="0.15"/>
    <row r="21988" s="76" customFormat="1" ht="32.1" customHeight="1" x14ac:dyDescent="0.15"/>
    <row r="21989" s="76" customFormat="1" ht="21.95" customHeight="1" x14ac:dyDescent="0.15"/>
    <row r="21990" s="76" customFormat="1" ht="54" customHeight="1" x14ac:dyDescent="0.15"/>
    <row r="21991" s="76" customFormat="1" ht="21.95" customHeight="1" x14ac:dyDescent="0.15"/>
    <row r="21992" s="76" customFormat="1" ht="21.95" customHeight="1" x14ac:dyDescent="0.15"/>
    <row r="21993" s="76" customFormat="1" ht="21.95" customHeight="1" x14ac:dyDescent="0.15"/>
    <row r="21994" s="76" customFormat="1" ht="21.95" customHeight="1" x14ac:dyDescent="0.15"/>
    <row r="21995" s="76" customFormat="1" ht="21.95" customHeight="1" x14ac:dyDescent="0.15"/>
    <row r="21996" s="76" customFormat="1" ht="21.95" customHeight="1" x14ac:dyDescent="0.15"/>
    <row r="21997" s="76" customFormat="1" ht="21.95" customHeight="1" x14ac:dyDescent="0.15"/>
    <row r="21998" s="76" customFormat="1" ht="21.95" customHeight="1" x14ac:dyDescent="0.15"/>
    <row r="21999" s="76" customFormat="1" ht="21.95" customHeight="1" x14ac:dyDescent="0.15"/>
    <row r="22000" s="76" customFormat="1" ht="21.95" customHeight="1" x14ac:dyDescent="0.15"/>
    <row r="22001" s="76" customFormat="1" ht="21.95" customHeight="1" x14ac:dyDescent="0.15"/>
    <row r="22002" s="76" customFormat="1" ht="21.95" customHeight="1" x14ac:dyDescent="0.15"/>
    <row r="22003" s="76" customFormat="1" ht="21.95" customHeight="1" x14ac:dyDescent="0.15"/>
    <row r="22004" s="76" customFormat="1" ht="21.95" customHeight="1" x14ac:dyDescent="0.15"/>
    <row r="22005" s="76" customFormat="1" ht="21.95" customHeight="1" x14ac:dyDescent="0.15"/>
    <row r="22006" s="76" customFormat="1" ht="21.95" customHeight="1" x14ac:dyDescent="0.15"/>
    <row r="22007" s="76" customFormat="1" ht="21.95" customHeight="1" x14ac:dyDescent="0.15"/>
    <row r="22008" s="76" customFormat="1" ht="21.95" customHeight="1" x14ac:dyDescent="0.15"/>
    <row r="22009" s="76" customFormat="1" ht="21.95" customHeight="1" x14ac:dyDescent="0.15"/>
    <row r="22010" s="76" customFormat="1" ht="21.95" customHeight="1" x14ac:dyDescent="0.15"/>
    <row r="22011" s="76" customFormat="1" ht="21.95" customHeight="1" x14ac:dyDescent="0.15"/>
    <row r="22012" s="76" customFormat="1" ht="21.95" customHeight="1" x14ac:dyDescent="0.15"/>
    <row r="22013" s="76" customFormat="1" ht="21.95" customHeight="1" x14ac:dyDescent="0.15"/>
    <row r="22014" s="76" customFormat="1" ht="21.95" customHeight="1" x14ac:dyDescent="0.15"/>
    <row r="22015" s="76" customFormat="1" ht="21.95" customHeight="1" x14ac:dyDescent="0.15"/>
    <row r="22016" s="76" customFormat="1" ht="21.95" customHeight="1" x14ac:dyDescent="0.15"/>
    <row r="22017" s="76" customFormat="1" ht="21.95" customHeight="1" x14ac:dyDescent="0.15"/>
    <row r="22018" s="76" customFormat="1" ht="21.95" customHeight="1" x14ac:dyDescent="0.15"/>
    <row r="22019" s="76" customFormat="1" ht="21.95" customHeight="1" x14ac:dyDescent="0.15"/>
    <row r="22020" s="76" customFormat="1" ht="21.95" customHeight="1" x14ac:dyDescent="0.15"/>
    <row r="22021" s="76" customFormat="1" ht="21.95" customHeight="1" x14ac:dyDescent="0.15"/>
    <row r="22022" s="76" customFormat="1" ht="21.95" customHeight="1" x14ac:dyDescent="0.15"/>
    <row r="22023" s="76" customFormat="1" ht="21.95" customHeight="1" x14ac:dyDescent="0.15"/>
    <row r="22024" s="76" customFormat="1" ht="21.95" customHeight="1" x14ac:dyDescent="0.15"/>
    <row r="22025" s="76" customFormat="1" ht="21.95" customHeight="1" x14ac:dyDescent="0.15"/>
    <row r="22026" s="76" customFormat="1" ht="21.95" customHeight="1" x14ac:dyDescent="0.15"/>
    <row r="22027" s="76" customFormat="1" ht="21.95" customHeight="1" x14ac:dyDescent="0.15"/>
    <row r="22028" s="76" customFormat="1" ht="21.95" customHeight="1" x14ac:dyDescent="0.15"/>
    <row r="22029" s="76" customFormat="1" ht="21.95" customHeight="1" x14ac:dyDescent="0.15"/>
    <row r="22030" s="76" customFormat="1" ht="21.95" customHeight="1" x14ac:dyDescent="0.15"/>
    <row r="22031" s="76" customFormat="1" ht="21.95" customHeight="1" x14ac:dyDescent="0.15"/>
    <row r="22032" s="76" customFormat="1" ht="21.95" customHeight="1" x14ac:dyDescent="0.15"/>
    <row r="22033" s="76" customFormat="1" ht="21.95" customHeight="1" x14ac:dyDescent="0.15"/>
    <row r="22034" s="76" customFormat="1" ht="21.95" customHeight="1" x14ac:dyDescent="0.15"/>
    <row r="22035" s="76" customFormat="1" ht="21.95" customHeight="1" x14ac:dyDescent="0.15"/>
    <row r="22036" s="76" customFormat="1" ht="21.95" customHeight="1" x14ac:dyDescent="0.15"/>
    <row r="22037" s="76" customFormat="1" ht="21.95" customHeight="1" x14ac:dyDescent="0.15"/>
    <row r="22038" s="76" customFormat="1" ht="21.95" customHeight="1" x14ac:dyDescent="0.15"/>
    <row r="22039" s="76" customFormat="1" ht="21.95" customHeight="1" x14ac:dyDescent="0.15"/>
    <row r="22040" s="76" customFormat="1" ht="21.95" customHeight="1" x14ac:dyDescent="0.15"/>
    <row r="22041" s="76" customFormat="1" ht="35.1" customHeight="1" x14ac:dyDescent="0.15"/>
    <row r="22042" s="76" customFormat="1" ht="21.95" customHeight="1" x14ac:dyDescent="0.15"/>
    <row r="22043" s="76" customFormat="1" ht="21.95" customHeight="1" x14ac:dyDescent="0.15"/>
    <row r="22044" s="76" customFormat="1" ht="21.95" customHeight="1" x14ac:dyDescent="0.15"/>
    <row r="22045" s="76" customFormat="1" ht="21.95" customHeight="1" x14ac:dyDescent="0.15"/>
    <row r="22046" s="76" customFormat="1" ht="21.95" customHeight="1" x14ac:dyDescent="0.15"/>
    <row r="22047" s="76" customFormat="1" ht="21.95" customHeight="1" x14ac:dyDescent="0.15"/>
    <row r="22048" s="76" customFormat="1" ht="21.95" customHeight="1" x14ac:dyDescent="0.15"/>
    <row r="22049" s="76" customFormat="1" ht="21.95" customHeight="1" x14ac:dyDescent="0.15"/>
    <row r="22050" s="76" customFormat="1" ht="21.95" customHeight="1" x14ac:dyDescent="0.15"/>
    <row r="22051" s="76" customFormat="1" ht="21.95" customHeight="1" x14ac:dyDescent="0.15"/>
    <row r="22052" s="76" customFormat="1" ht="21.95" customHeight="1" x14ac:dyDescent="0.15"/>
    <row r="22053" s="76" customFormat="1" ht="21.95" customHeight="1" x14ac:dyDescent="0.15"/>
    <row r="22054" s="76" customFormat="1" ht="21.95" customHeight="1" x14ac:dyDescent="0.15"/>
    <row r="22055" s="76" customFormat="1" ht="21.95" customHeight="1" x14ac:dyDescent="0.15"/>
    <row r="22056" s="76" customFormat="1" ht="21.95" customHeight="1" x14ac:dyDescent="0.15"/>
    <row r="22057" s="76" customFormat="1" ht="21.95" customHeight="1" x14ac:dyDescent="0.15"/>
    <row r="22058" s="76" customFormat="1" ht="21.95" customHeight="1" x14ac:dyDescent="0.15"/>
    <row r="22059" s="76" customFormat="1" ht="21.95" customHeight="1" x14ac:dyDescent="0.15"/>
    <row r="22060" s="76" customFormat="1" ht="21.95" customHeight="1" x14ac:dyDescent="0.15"/>
    <row r="22061" s="76" customFormat="1" ht="21.95" customHeight="1" x14ac:dyDescent="0.15"/>
    <row r="22062" s="76" customFormat="1" ht="21.95" customHeight="1" x14ac:dyDescent="0.15"/>
    <row r="22063" s="76" customFormat="1" ht="21.95" customHeight="1" x14ac:dyDescent="0.15"/>
    <row r="22064" s="76" customFormat="1" ht="21.95" customHeight="1" x14ac:dyDescent="0.15"/>
    <row r="22065" spans="3:3" customFormat="1" ht="21.95" customHeight="1" x14ac:dyDescent="0.15"/>
    <row r="22066" spans="3:3" customFormat="1" ht="21.95" customHeight="1" x14ac:dyDescent="0.15"/>
    <row r="22067" spans="3:3" customFormat="1" ht="21.95" customHeight="1" x14ac:dyDescent="0.15">
      <c r="C22067" s="94"/>
    </row>
    <row r="22068" spans="3:3" customFormat="1" ht="21.95" customHeight="1" x14ac:dyDescent="0.15">
      <c r="C22068" s="94"/>
    </row>
    <row r="22069" spans="3:3" customFormat="1" ht="21.95" customHeight="1" x14ac:dyDescent="0.15"/>
    <row r="22070" spans="3:3" customFormat="1" ht="21.95" customHeight="1" x14ac:dyDescent="0.15"/>
    <row r="22071" spans="3:3" customFormat="1" ht="21.95" customHeight="1" x14ac:dyDescent="0.15"/>
    <row r="22072" spans="3:3" customFormat="1" ht="21.95" customHeight="1" x14ac:dyDescent="0.15"/>
    <row r="22073" spans="3:3" customFormat="1" ht="21.95" customHeight="1" x14ac:dyDescent="0.15"/>
    <row r="22074" spans="3:3" customFormat="1" ht="21.95" customHeight="1" x14ac:dyDescent="0.15"/>
    <row r="22075" spans="3:3" customFormat="1" ht="21.95" customHeight="1" x14ac:dyDescent="0.15"/>
    <row r="22076" spans="3:3" s="76" customFormat="1" ht="21.95" customHeight="1" x14ac:dyDescent="0.15"/>
    <row r="22077" spans="3:3" s="76" customFormat="1" ht="21.95" customHeight="1" x14ac:dyDescent="0.15"/>
    <row r="22078" spans="3:3" s="76" customFormat="1" ht="21.95" customHeight="1" x14ac:dyDescent="0.15"/>
    <row r="22079" spans="3:3" s="76" customFormat="1" ht="21.95" customHeight="1" x14ac:dyDescent="0.15"/>
    <row r="22080" spans="3:3" customFormat="1" ht="21.95" customHeight="1" x14ac:dyDescent="0.15"/>
    <row r="22081" customFormat="1" ht="21.95" customHeight="1" x14ac:dyDescent="0.15"/>
    <row r="22082" customFormat="1" ht="21.95" customHeight="1" x14ac:dyDescent="0.15"/>
    <row r="22083" customFormat="1" ht="21.95" customHeight="1" x14ac:dyDescent="0.15"/>
    <row r="22084" customFormat="1" ht="21.95" customHeight="1" x14ac:dyDescent="0.15"/>
    <row r="22085" customFormat="1" ht="21.95" customHeight="1" x14ac:dyDescent="0.15"/>
    <row r="22086" customFormat="1" ht="21.95" customHeight="1" x14ac:dyDescent="0.15"/>
    <row r="22087" customFormat="1" ht="21.95" customHeight="1" x14ac:dyDescent="0.15"/>
    <row r="22088" customFormat="1" ht="21.95" customHeight="1" x14ac:dyDescent="0.15"/>
    <row r="22089" customFormat="1" ht="21.95" customHeight="1" x14ac:dyDescent="0.15"/>
    <row r="22090" customFormat="1" ht="21.95" customHeight="1" x14ac:dyDescent="0.15"/>
    <row r="22091" customFormat="1" ht="32.1" customHeight="1" x14ac:dyDescent="0.15"/>
    <row r="22092" customFormat="1" ht="32.1" customHeight="1" x14ac:dyDescent="0.15"/>
    <row r="22093" customFormat="1" ht="32.1" customHeight="1" x14ac:dyDescent="0.15"/>
    <row r="22094" customFormat="1" ht="32.1" customHeight="1" x14ac:dyDescent="0.15"/>
    <row r="22095" customFormat="1" ht="32.1" customHeight="1" x14ac:dyDescent="0.15"/>
    <row r="22096" customFormat="1" ht="32.1" customHeight="1" x14ac:dyDescent="0.15"/>
    <row r="22097" s="76" customFormat="1" ht="32.1" customHeight="1" x14ac:dyDescent="0.15"/>
    <row r="22098" s="76" customFormat="1" ht="32.1" customHeight="1" x14ac:dyDescent="0.15"/>
    <row r="22099" s="76" customFormat="1" ht="32.1" customHeight="1" x14ac:dyDescent="0.15"/>
    <row r="22100" s="76" customFormat="1" ht="32.1" customHeight="1" x14ac:dyDescent="0.15"/>
    <row r="22101" s="76" customFormat="1" ht="21.95" customHeight="1" x14ac:dyDescent="0.15"/>
    <row r="22102" s="76" customFormat="1" ht="54" customHeight="1" x14ac:dyDescent="0.15"/>
    <row r="22103" s="76" customFormat="1" ht="21.95" customHeight="1" x14ac:dyDescent="0.15"/>
    <row r="22104" s="76" customFormat="1" ht="21.95" customHeight="1" x14ac:dyDescent="0.15"/>
    <row r="22105" s="76" customFormat="1" ht="21.95" customHeight="1" x14ac:dyDescent="0.15"/>
    <row r="22106" s="76" customFormat="1" ht="21.95" customHeight="1" x14ac:dyDescent="0.15"/>
    <row r="22107" s="76" customFormat="1" ht="21.95" customHeight="1" x14ac:dyDescent="0.15"/>
    <row r="22108" s="76" customFormat="1" ht="21.95" customHeight="1" x14ac:dyDescent="0.15"/>
    <row r="22109" s="76" customFormat="1" ht="21.95" customHeight="1" x14ac:dyDescent="0.15"/>
    <row r="22110" s="76" customFormat="1" ht="21.95" customHeight="1" x14ac:dyDescent="0.15"/>
    <row r="22111" s="76" customFormat="1" ht="21.95" customHeight="1" x14ac:dyDescent="0.15"/>
    <row r="22112" s="76" customFormat="1" ht="21.95" customHeight="1" x14ac:dyDescent="0.15"/>
    <row r="22113" s="76" customFormat="1" ht="21.95" customHeight="1" x14ac:dyDescent="0.15"/>
    <row r="22114" s="76" customFormat="1" ht="21.95" customHeight="1" x14ac:dyDescent="0.15"/>
    <row r="22115" s="76" customFormat="1" ht="21.95" customHeight="1" x14ac:dyDescent="0.15"/>
    <row r="22116" s="76" customFormat="1" ht="21.95" customHeight="1" x14ac:dyDescent="0.15"/>
    <row r="22117" s="76" customFormat="1" ht="21.95" customHeight="1" x14ac:dyDescent="0.15"/>
    <row r="22118" s="76" customFormat="1" ht="21.95" customHeight="1" x14ac:dyDescent="0.15"/>
    <row r="22119" s="76" customFormat="1" ht="21.95" customHeight="1" x14ac:dyDescent="0.15"/>
    <row r="22120" s="76" customFormat="1" ht="21.95" customHeight="1" x14ac:dyDescent="0.15"/>
    <row r="22121" s="76" customFormat="1" ht="21.95" customHeight="1" x14ac:dyDescent="0.15"/>
    <row r="22122" s="76" customFormat="1" ht="21.95" customHeight="1" x14ac:dyDescent="0.15"/>
    <row r="22123" s="76" customFormat="1" ht="21.95" customHeight="1" x14ac:dyDescent="0.15"/>
    <row r="22124" s="76" customFormat="1" ht="21.95" customHeight="1" x14ac:dyDescent="0.15"/>
    <row r="22125" s="76" customFormat="1" ht="21.95" customHeight="1" x14ac:dyDescent="0.15"/>
    <row r="22126" s="76" customFormat="1" ht="21.95" customHeight="1" x14ac:dyDescent="0.15"/>
    <row r="22127" s="76" customFormat="1" ht="21.95" customHeight="1" x14ac:dyDescent="0.15"/>
    <row r="22128" s="76" customFormat="1" ht="21.95" customHeight="1" x14ac:dyDescent="0.15"/>
    <row r="22129" s="76" customFormat="1" ht="21.95" customHeight="1" x14ac:dyDescent="0.15"/>
    <row r="22130" s="76" customFormat="1" ht="21.95" customHeight="1" x14ac:dyDescent="0.15"/>
    <row r="22131" s="76" customFormat="1" ht="21.95" customHeight="1" x14ac:dyDescent="0.15"/>
    <row r="22132" s="76" customFormat="1" ht="21.95" customHeight="1" x14ac:dyDescent="0.15"/>
    <row r="22133" s="76" customFormat="1" ht="21.95" customHeight="1" x14ac:dyDescent="0.15"/>
    <row r="22134" s="76" customFormat="1" ht="21.95" customHeight="1" x14ac:dyDescent="0.15"/>
    <row r="22135" s="76" customFormat="1" ht="21.95" customHeight="1" x14ac:dyDescent="0.15"/>
    <row r="22136" s="76" customFormat="1" ht="21.95" customHeight="1" x14ac:dyDescent="0.15"/>
    <row r="22137" s="76" customFormat="1" ht="21.95" customHeight="1" x14ac:dyDescent="0.15"/>
    <row r="22138" s="76" customFormat="1" ht="21.95" customHeight="1" x14ac:dyDescent="0.15"/>
    <row r="22139" s="76" customFormat="1" ht="21.95" customHeight="1" x14ac:dyDescent="0.15"/>
    <row r="22140" s="76" customFormat="1" ht="21.95" customHeight="1" x14ac:dyDescent="0.15"/>
    <row r="22141" s="76" customFormat="1" ht="21.95" customHeight="1" x14ac:dyDescent="0.15"/>
    <row r="22142" s="76" customFormat="1" ht="21.95" customHeight="1" x14ac:dyDescent="0.15"/>
    <row r="22143" s="76" customFormat="1" ht="21.95" customHeight="1" x14ac:dyDescent="0.15"/>
    <row r="22144" s="76" customFormat="1" ht="21.95" customHeight="1" x14ac:dyDescent="0.15"/>
    <row r="22145" s="76" customFormat="1" ht="21.95" customHeight="1" x14ac:dyDescent="0.15"/>
    <row r="22146" s="76" customFormat="1" ht="21.95" customHeight="1" x14ac:dyDescent="0.15"/>
    <row r="22147" s="76" customFormat="1" ht="21.95" customHeight="1" x14ac:dyDescent="0.15"/>
    <row r="22148" s="76" customFormat="1" ht="21.95" customHeight="1" x14ac:dyDescent="0.15"/>
    <row r="22149" s="76" customFormat="1" ht="21.95" customHeight="1" x14ac:dyDescent="0.15"/>
    <row r="22150" s="76" customFormat="1" ht="21.95" customHeight="1" x14ac:dyDescent="0.15"/>
    <row r="22151" s="76" customFormat="1" ht="21.95" customHeight="1" x14ac:dyDescent="0.15"/>
    <row r="22152" s="76" customFormat="1" ht="21.95" customHeight="1" x14ac:dyDescent="0.15"/>
    <row r="22153" s="76" customFormat="1" ht="35.1" customHeight="1" x14ac:dyDescent="0.15"/>
    <row r="22154" s="76" customFormat="1" ht="21.95" customHeight="1" x14ac:dyDescent="0.15"/>
    <row r="22155" s="76" customFormat="1" ht="21.95" customHeight="1" x14ac:dyDescent="0.15"/>
    <row r="22156" s="76" customFormat="1" ht="21.95" customHeight="1" x14ac:dyDescent="0.15"/>
    <row r="22157" s="76" customFormat="1" ht="21.95" customHeight="1" x14ac:dyDescent="0.15"/>
    <row r="22158" s="76" customFormat="1" ht="21.95" customHeight="1" x14ac:dyDescent="0.15"/>
    <row r="22159" s="76" customFormat="1" ht="21.95" customHeight="1" x14ac:dyDescent="0.15"/>
    <row r="22160" s="76" customFormat="1" ht="21.95" customHeight="1" x14ac:dyDescent="0.15"/>
    <row r="22161" s="76" customFormat="1" ht="21.95" customHeight="1" x14ac:dyDescent="0.15"/>
    <row r="22162" s="76" customFormat="1" ht="21.95" customHeight="1" x14ac:dyDescent="0.15"/>
    <row r="22163" s="76" customFormat="1" ht="21.95" customHeight="1" x14ac:dyDescent="0.15"/>
    <row r="22164" s="76" customFormat="1" ht="21.95" customHeight="1" x14ac:dyDescent="0.15"/>
    <row r="22165" s="76" customFormat="1" ht="21.95" customHeight="1" x14ac:dyDescent="0.15"/>
    <row r="22166" s="76" customFormat="1" ht="21.95" customHeight="1" x14ac:dyDescent="0.15"/>
    <row r="22167" s="76" customFormat="1" ht="21.95" customHeight="1" x14ac:dyDescent="0.15"/>
    <row r="22168" s="76" customFormat="1" ht="21.95" customHeight="1" x14ac:dyDescent="0.15"/>
    <row r="22169" s="76" customFormat="1" ht="21.95" customHeight="1" x14ac:dyDescent="0.15"/>
    <row r="22170" s="76" customFormat="1" ht="21.95" customHeight="1" x14ac:dyDescent="0.15"/>
    <row r="22171" s="76" customFormat="1" ht="21.95" customHeight="1" x14ac:dyDescent="0.15"/>
    <row r="22172" s="76" customFormat="1" ht="21.95" customHeight="1" x14ac:dyDescent="0.15"/>
    <row r="22173" s="76" customFormat="1" ht="21.95" customHeight="1" x14ac:dyDescent="0.15"/>
    <row r="22174" s="76" customFormat="1" ht="21.95" customHeight="1" x14ac:dyDescent="0.15"/>
    <row r="22175" s="76" customFormat="1" ht="21.95" customHeight="1" x14ac:dyDescent="0.15"/>
    <row r="22176" s="76" customFormat="1" ht="21.95" customHeight="1" x14ac:dyDescent="0.15"/>
    <row r="22177" spans="3:3" customFormat="1" ht="21.95" customHeight="1" x14ac:dyDescent="0.15"/>
    <row r="22178" spans="3:3" customFormat="1" ht="21.95" customHeight="1" x14ac:dyDescent="0.15"/>
    <row r="22179" spans="3:3" customFormat="1" ht="21.95" customHeight="1" x14ac:dyDescent="0.15">
      <c r="C22179" s="94"/>
    </row>
    <row r="22180" spans="3:3" customFormat="1" ht="21.95" customHeight="1" x14ac:dyDescent="0.15">
      <c r="C22180" s="94"/>
    </row>
    <row r="22181" spans="3:3" customFormat="1" ht="21.95" customHeight="1" x14ac:dyDescent="0.15"/>
    <row r="22182" spans="3:3" customFormat="1" ht="21.95" customHeight="1" x14ac:dyDescent="0.15"/>
    <row r="22183" spans="3:3" customFormat="1" ht="21.95" customHeight="1" x14ac:dyDescent="0.15"/>
    <row r="22184" spans="3:3" customFormat="1" ht="21.95" customHeight="1" x14ac:dyDescent="0.15"/>
    <row r="22185" spans="3:3" customFormat="1" ht="21.95" customHeight="1" x14ac:dyDescent="0.15"/>
    <row r="22186" spans="3:3" customFormat="1" ht="21.95" customHeight="1" x14ac:dyDescent="0.15"/>
    <row r="22187" spans="3:3" customFormat="1" ht="21.95" customHeight="1" x14ac:dyDescent="0.15"/>
    <row r="22188" spans="3:3" s="76" customFormat="1" ht="21.95" customHeight="1" x14ac:dyDescent="0.15"/>
    <row r="22189" spans="3:3" s="76" customFormat="1" ht="21.95" customHeight="1" x14ac:dyDescent="0.15"/>
    <row r="22190" spans="3:3" s="76" customFormat="1" ht="21.95" customHeight="1" x14ac:dyDescent="0.15"/>
    <row r="22191" spans="3:3" s="76" customFormat="1" ht="21.95" customHeight="1" x14ac:dyDescent="0.15"/>
    <row r="22192" spans="3:3" customFormat="1" ht="21.95" customHeight="1" x14ac:dyDescent="0.15"/>
    <row r="22193" customFormat="1" ht="21.95" customHeight="1" x14ac:dyDescent="0.15"/>
    <row r="22194" customFormat="1" ht="21.95" customHeight="1" x14ac:dyDescent="0.15"/>
    <row r="22195" customFormat="1" ht="21.95" customHeight="1" x14ac:dyDescent="0.15"/>
    <row r="22196" customFormat="1" ht="21.95" customHeight="1" x14ac:dyDescent="0.15"/>
    <row r="22197" customFormat="1" ht="21.95" customHeight="1" x14ac:dyDescent="0.15"/>
    <row r="22198" customFormat="1" ht="21.95" customHeight="1" x14ac:dyDescent="0.15"/>
    <row r="22199" customFormat="1" ht="21.95" customHeight="1" x14ac:dyDescent="0.15"/>
    <row r="22200" customFormat="1" ht="21.95" customHeight="1" x14ac:dyDescent="0.15"/>
    <row r="22201" customFormat="1" ht="21.95" customHeight="1" x14ac:dyDescent="0.15"/>
    <row r="22202" customFormat="1" ht="21.95" customHeight="1" x14ac:dyDescent="0.15"/>
    <row r="22203" customFormat="1" ht="32.1" customHeight="1" x14ac:dyDescent="0.15"/>
    <row r="22204" customFormat="1" ht="32.1" customHeight="1" x14ac:dyDescent="0.15"/>
    <row r="22205" customFormat="1" ht="32.1" customHeight="1" x14ac:dyDescent="0.15"/>
    <row r="22206" customFormat="1" ht="32.1" customHeight="1" x14ac:dyDescent="0.15"/>
    <row r="22207" customFormat="1" ht="32.1" customHeight="1" x14ac:dyDescent="0.15"/>
    <row r="22208" customFormat="1" ht="32.1" customHeight="1" x14ac:dyDescent="0.15"/>
    <row r="22209" s="76" customFormat="1" ht="32.1" customHeight="1" x14ac:dyDescent="0.15"/>
    <row r="22210" s="76" customFormat="1" ht="32.1" customHeight="1" x14ac:dyDescent="0.15"/>
    <row r="22211" s="76" customFormat="1" ht="32.1" customHeight="1" x14ac:dyDescent="0.15"/>
    <row r="22212" s="76" customFormat="1" ht="32.1" customHeight="1" x14ac:dyDescent="0.15"/>
    <row r="22213" s="76" customFormat="1" ht="21.95" customHeight="1" x14ac:dyDescent="0.15"/>
    <row r="22214" s="76" customFormat="1" ht="54" customHeight="1" x14ac:dyDescent="0.15"/>
    <row r="22215" s="76" customFormat="1" ht="21.95" customHeight="1" x14ac:dyDescent="0.15"/>
    <row r="22216" s="76" customFormat="1" ht="21.95" customHeight="1" x14ac:dyDescent="0.15"/>
    <row r="22217" s="76" customFormat="1" ht="21.95" customHeight="1" x14ac:dyDescent="0.15"/>
    <row r="22218" s="76" customFormat="1" ht="21.95" customHeight="1" x14ac:dyDescent="0.15"/>
    <row r="22219" s="76" customFormat="1" ht="21.95" customHeight="1" x14ac:dyDescent="0.15"/>
    <row r="22220" s="76" customFormat="1" ht="21.95" customHeight="1" x14ac:dyDescent="0.15"/>
    <row r="22221" s="76" customFormat="1" ht="21.95" customHeight="1" x14ac:dyDescent="0.15"/>
    <row r="22222" s="76" customFormat="1" ht="21.95" customHeight="1" x14ac:dyDescent="0.15"/>
    <row r="22223" s="76" customFormat="1" ht="21.95" customHeight="1" x14ac:dyDescent="0.15"/>
    <row r="22224" s="76" customFormat="1" ht="21.95" customHeight="1" x14ac:dyDescent="0.15"/>
    <row r="22225" s="76" customFormat="1" ht="21.95" customHeight="1" x14ac:dyDescent="0.15"/>
    <row r="22226" s="76" customFormat="1" ht="21.95" customHeight="1" x14ac:dyDescent="0.15"/>
    <row r="22227" s="76" customFormat="1" ht="21.95" customHeight="1" x14ac:dyDescent="0.15"/>
    <row r="22228" s="76" customFormat="1" ht="21.95" customHeight="1" x14ac:dyDescent="0.15"/>
    <row r="22229" s="76" customFormat="1" ht="21.95" customHeight="1" x14ac:dyDescent="0.15"/>
    <row r="22230" s="76" customFormat="1" ht="21.95" customHeight="1" x14ac:dyDescent="0.15"/>
    <row r="22231" s="76" customFormat="1" ht="21.95" customHeight="1" x14ac:dyDescent="0.15"/>
    <row r="22232" s="76" customFormat="1" ht="21.95" customHeight="1" x14ac:dyDescent="0.15"/>
    <row r="22233" s="76" customFormat="1" ht="21.95" customHeight="1" x14ac:dyDescent="0.15"/>
    <row r="22234" s="76" customFormat="1" ht="21.95" customHeight="1" x14ac:dyDescent="0.15"/>
    <row r="22235" s="76" customFormat="1" ht="21.95" customHeight="1" x14ac:dyDescent="0.15"/>
    <row r="22236" s="76" customFormat="1" ht="21.95" customHeight="1" x14ac:dyDescent="0.15"/>
    <row r="22237" s="76" customFormat="1" ht="21.95" customHeight="1" x14ac:dyDescent="0.15"/>
    <row r="22238" s="76" customFormat="1" ht="21.95" customHeight="1" x14ac:dyDescent="0.15"/>
    <row r="22239" s="76" customFormat="1" ht="21.95" customHeight="1" x14ac:dyDescent="0.15"/>
    <row r="22240" s="76" customFormat="1" ht="21.95" customHeight="1" x14ac:dyDescent="0.15"/>
    <row r="22241" s="76" customFormat="1" ht="21.95" customHeight="1" x14ac:dyDescent="0.15"/>
    <row r="22242" s="76" customFormat="1" ht="21.95" customHeight="1" x14ac:dyDescent="0.15"/>
    <row r="22243" s="76" customFormat="1" ht="21.95" customHeight="1" x14ac:dyDescent="0.15"/>
    <row r="22244" s="76" customFormat="1" ht="21.95" customHeight="1" x14ac:dyDescent="0.15"/>
    <row r="22245" s="76" customFormat="1" ht="21.95" customHeight="1" x14ac:dyDescent="0.15"/>
    <row r="22246" s="76" customFormat="1" ht="21.95" customHeight="1" x14ac:dyDescent="0.15"/>
    <row r="22247" s="76" customFormat="1" ht="21.95" customHeight="1" x14ac:dyDescent="0.15"/>
    <row r="22248" s="76" customFormat="1" ht="21.95" customHeight="1" x14ac:dyDescent="0.15"/>
    <row r="22249" s="76" customFormat="1" ht="21.95" customHeight="1" x14ac:dyDescent="0.15"/>
    <row r="22250" s="76" customFormat="1" ht="21.95" customHeight="1" x14ac:dyDescent="0.15"/>
    <row r="22251" s="76" customFormat="1" ht="21.95" customHeight="1" x14ac:dyDescent="0.15"/>
    <row r="22252" s="76" customFormat="1" ht="21.95" customHeight="1" x14ac:dyDescent="0.15"/>
    <row r="22253" s="76" customFormat="1" ht="21.95" customHeight="1" x14ac:dyDescent="0.15"/>
    <row r="22254" s="76" customFormat="1" ht="21.95" customHeight="1" x14ac:dyDescent="0.15"/>
    <row r="22255" s="76" customFormat="1" ht="21.95" customHeight="1" x14ac:dyDescent="0.15"/>
    <row r="22256" s="76" customFormat="1" ht="21.95" customHeight="1" x14ac:dyDescent="0.15"/>
    <row r="22257" s="76" customFormat="1" ht="21.95" customHeight="1" x14ac:dyDescent="0.15"/>
    <row r="22258" s="76" customFormat="1" ht="21.95" customHeight="1" x14ac:dyDescent="0.15"/>
    <row r="22259" s="76" customFormat="1" ht="21.95" customHeight="1" x14ac:dyDescent="0.15"/>
    <row r="22260" s="76" customFormat="1" ht="21.95" customHeight="1" x14ac:dyDescent="0.15"/>
    <row r="22261" s="76" customFormat="1" ht="21.95" customHeight="1" x14ac:dyDescent="0.15"/>
    <row r="22262" s="76" customFormat="1" ht="21.95" customHeight="1" x14ac:dyDescent="0.15"/>
    <row r="22263" s="76" customFormat="1" ht="21.95" customHeight="1" x14ac:dyDescent="0.15"/>
    <row r="22264" s="76" customFormat="1" ht="21.95" customHeight="1" x14ac:dyDescent="0.15"/>
    <row r="22265" s="76" customFormat="1" ht="35.1" customHeight="1" x14ac:dyDescent="0.15"/>
    <row r="22266" s="76" customFormat="1" ht="21.95" customHeight="1" x14ac:dyDescent="0.15"/>
    <row r="22267" s="76" customFormat="1" ht="21.95" customHeight="1" x14ac:dyDescent="0.15"/>
    <row r="22268" s="76" customFormat="1" ht="21.95" customHeight="1" x14ac:dyDescent="0.15"/>
    <row r="22269" s="76" customFormat="1" ht="21.95" customHeight="1" x14ac:dyDescent="0.15"/>
    <row r="22270" s="76" customFormat="1" ht="21.95" customHeight="1" x14ac:dyDescent="0.15"/>
    <row r="22271" s="76" customFormat="1" ht="21.95" customHeight="1" x14ac:dyDescent="0.15"/>
    <row r="22272" s="76" customFormat="1" ht="21.95" customHeight="1" x14ac:dyDescent="0.15"/>
    <row r="22273" s="76" customFormat="1" ht="21.95" customHeight="1" x14ac:dyDescent="0.15"/>
    <row r="22274" s="76" customFormat="1" ht="21.95" customHeight="1" x14ac:dyDescent="0.15"/>
    <row r="22275" s="76" customFormat="1" ht="21.95" customHeight="1" x14ac:dyDescent="0.15"/>
    <row r="22276" s="76" customFormat="1" ht="21.95" customHeight="1" x14ac:dyDescent="0.15"/>
    <row r="22277" s="76" customFormat="1" ht="21.95" customHeight="1" x14ac:dyDescent="0.15"/>
    <row r="22278" s="76" customFormat="1" ht="21.95" customHeight="1" x14ac:dyDescent="0.15"/>
    <row r="22279" s="76" customFormat="1" ht="21.95" customHeight="1" x14ac:dyDescent="0.15"/>
    <row r="22280" s="76" customFormat="1" ht="21.95" customHeight="1" x14ac:dyDescent="0.15"/>
    <row r="22281" s="76" customFormat="1" ht="21.95" customHeight="1" x14ac:dyDescent="0.15"/>
    <row r="22282" s="76" customFormat="1" ht="21.95" customHeight="1" x14ac:dyDescent="0.15"/>
    <row r="22283" s="76" customFormat="1" ht="21.95" customHeight="1" x14ac:dyDescent="0.15"/>
    <row r="22284" s="76" customFormat="1" ht="21.95" customHeight="1" x14ac:dyDescent="0.15"/>
    <row r="22285" s="76" customFormat="1" ht="21.95" customHeight="1" x14ac:dyDescent="0.15"/>
    <row r="22286" s="76" customFormat="1" ht="21.95" customHeight="1" x14ac:dyDescent="0.15"/>
    <row r="22287" s="76" customFormat="1" ht="21.95" customHeight="1" x14ac:dyDescent="0.15"/>
    <row r="22288" s="76" customFormat="1" ht="21.95" customHeight="1" x14ac:dyDescent="0.15"/>
    <row r="22289" spans="3:3" customFormat="1" ht="21.95" customHeight="1" x14ac:dyDescent="0.15"/>
    <row r="22290" spans="3:3" customFormat="1" ht="21.95" customHeight="1" x14ac:dyDescent="0.15"/>
    <row r="22291" spans="3:3" customFormat="1" ht="21.95" customHeight="1" x14ac:dyDescent="0.15">
      <c r="C22291" s="94"/>
    </row>
    <row r="22292" spans="3:3" customFormat="1" ht="21.95" customHeight="1" x14ac:dyDescent="0.15">
      <c r="C22292" s="94"/>
    </row>
    <row r="22293" spans="3:3" customFormat="1" ht="21.95" customHeight="1" x14ac:dyDescent="0.15"/>
    <row r="22294" spans="3:3" customFormat="1" ht="21.95" customHeight="1" x14ac:dyDescent="0.15"/>
    <row r="22295" spans="3:3" customFormat="1" ht="21.95" customHeight="1" x14ac:dyDescent="0.15"/>
    <row r="22296" spans="3:3" customFormat="1" ht="21.95" customHeight="1" x14ac:dyDescent="0.15"/>
    <row r="22297" spans="3:3" customFormat="1" ht="21.95" customHeight="1" x14ac:dyDescent="0.15"/>
    <row r="22298" spans="3:3" customFormat="1" ht="21.95" customHeight="1" x14ac:dyDescent="0.15"/>
    <row r="22299" spans="3:3" customFormat="1" ht="21.95" customHeight="1" x14ac:dyDescent="0.15"/>
    <row r="22300" spans="3:3" s="76" customFormat="1" ht="21.95" customHeight="1" x14ac:dyDescent="0.15"/>
    <row r="22301" spans="3:3" s="76" customFormat="1" ht="21.95" customHeight="1" x14ac:dyDescent="0.15"/>
    <row r="22302" spans="3:3" s="76" customFormat="1" ht="21.95" customHeight="1" x14ac:dyDescent="0.15"/>
    <row r="22303" spans="3:3" s="76" customFormat="1" ht="21.95" customHeight="1" x14ac:dyDescent="0.15"/>
    <row r="22304" spans="3:3" customFormat="1" ht="21.95" customHeight="1" x14ac:dyDescent="0.15"/>
    <row r="22305" customFormat="1" ht="21.95" customHeight="1" x14ac:dyDescent="0.15"/>
    <row r="22306" customFormat="1" ht="21.95" customHeight="1" x14ac:dyDescent="0.15"/>
    <row r="22307" customFormat="1" ht="21.95" customHeight="1" x14ac:dyDescent="0.15"/>
    <row r="22308" customFormat="1" ht="21.95" customHeight="1" x14ac:dyDescent="0.15"/>
    <row r="22309" customFormat="1" ht="21.95" customHeight="1" x14ac:dyDescent="0.15"/>
    <row r="22310" customFormat="1" ht="21.95" customHeight="1" x14ac:dyDescent="0.15"/>
    <row r="22311" customFormat="1" ht="21.95" customHeight="1" x14ac:dyDescent="0.15"/>
    <row r="22312" customFormat="1" ht="21.95" customHeight="1" x14ac:dyDescent="0.15"/>
    <row r="22313" customFormat="1" ht="21.95" customHeight="1" x14ac:dyDescent="0.15"/>
    <row r="22314" customFormat="1" ht="21.95" customHeight="1" x14ac:dyDescent="0.15"/>
    <row r="22315" customFormat="1" ht="32.1" customHeight="1" x14ac:dyDescent="0.15"/>
    <row r="22316" customFormat="1" ht="32.1" customHeight="1" x14ac:dyDescent="0.15"/>
    <row r="22317" customFormat="1" ht="32.1" customHeight="1" x14ac:dyDescent="0.15"/>
    <row r="22318" customFormat="1" ht="32.1" customHeight="1" x14ac:dyDescent="0.15"/>
    <row r="22319" customFormat="1" ht="32.1" customHeight="1" x14ac:dyDescent="0.15"/>
    <row r="22320" customFormat="1" ht="32.1" customHeight="1" x14ac:dyDescent="0.15"/>
    <row r="22321" s="76" customFormat="1" ht="32.1" customHeight="1" x14ac:dyDescent="0.15"/>
    <row r="22322" s="76" customFormat="1" ht="32.1" customHeight="1" x14ac:dyDescent="0.15"/>
    <row r="22323" s="76" customFormat="1" ht="32.1" customHeight="1" x14ac:dyDescent="0.15"/>
    <row r="22324" s="76" customFormat="1" ht="32.1" customHeight="1" x14ac:dyDescent="0.15"/>
    <row r="22325" s="76" customFormat="1" ht="21.95" customHeight="1" x14ac:dyDescent="0.15"/>
    <row r="22326" s="76" customFormat="1" ht="54" customHeight="1" x14ac:dyDescent="0.15"/>
    <row r="22327" s="76" customFormat="1" ht="21.95" customHeight="1" x14ac:dyDescent="0.15"/>
    <row r="22328" s="76" customFormat="1" ht="21.95" customHeight="1" x14ac:dyDescent="0.15"/>
    <row r="22329" s="76" customFormat="1" ht="21.95" customHeight="1" x14ac:dyDescent="0.15"/>
    <row r="22330" s="76" customFormat="1" ht="21.95" customHeight="1" x14ac:dyDescent="0.15"/>
    <row r="22331" s="76" customFormat="1" ht="21.95" customHeight="1" x14ac:dyDescent="0.15"/>
    <row r="22332" s="76" customFormat="1" ht="21.95" customHeight="1" x14ac:dyDescent="0.15"/>
    <row r="22333" s="76" customFormat="1" ht="21.95" customHeight="1" x14ac:dyDescent="0.15"/>
    <row r="22334" s="76" customFormat="1" ht="21.95" customHeight="1" x14ac:dyDescent="0.15"/>
    <row r="22335" s="76" customFormat="1" ht="21.95" customHeight="1" x14ac:dyDescent="0.15"/>
    <row r="22336" s="76" customFormat="1" ht="21.95" customHeight="1" x14ac:dyDescent="0.15"/>
    <row r="22337" s="76" customFormat="1" ht="21.95" customHeight="1" x14ac:dyDescent="0.15"/>
    <row r="22338" s="76" customFormat="1" ht="21.95" customHeight="1" x14ac:dyDescent="0.15"/>
    <row r="22339" s="76" customFormat="1" ht="21.95" customHeight="1" x14ac:dyDescent="0.15"/>
    <row r="22340" s="76" customFormat="1" ht="21.95" customHeight="1" x14ac:dyDescent="0.15"/>
    <row r="22341" s="76" customFormat="1" ht="21.95" customHeight="1" x14ac:dyDescent="0.15"/>
    <row r="22342" s="76" customFormat="1" ht="21.95" customHeight="1" x14ac:dyDescent="0.15"/>
    <row r="22343" s="76" customFormat="1" ht="21.95" customHeight="1" x14ac:dyDescent="0.15"/>
    <row r="22344" s="76" customFormat="1" ht="21.95" customHeight="1" x14ac:dyDescent="0.15"/>
    <row r="22345" s="76" customFormat="1" ht="21.95" customHeight="1" x14ac:dyDescent="0.15"/>
    <row r="22346" s="76" customFormat="1" ht="21.95" customHeight="1" x14ac:dyDescent="0.15"/>
    <row r="22347" s="76" customFormat="1" ht="21.95" customHeight="1" x14ac:dyDescent="0.15"/>
    <row r="22348" s="76" customFormat="1" ht="21.95" customHeight="1" x14ac:dyDescent="0.15"/>
    <row r="22349" s="76" customFormat="1" ht="21.95" customHeight="1" x14ac:dyDescent="0.15"/>
    <row r="22350" s="76" customFormat="1" ht="21.95" customHeight="1" x14ac:dyDescent="0.15"/>
    <row r="22351" s="76" customFormat="1" ht="21.95" customHeight="1" x14ac:dyDescent="0.15"/>
    <row r="22352" s="76" customFormat="1" ht="21.95" customHeight="1" x14ac:dyDescent="0.15"/>
    <row r="22353" s="76" customFormat="1" ht="21.95" customHeight="1" x14ac:dyDescent="0.15"/>
    <row r="22354" s="76" customFormat="1" ht="21.95" customHeight="1" x14ac:dyDescent="0.15"/>
    <row r="22355" s="76" customFormat="1" ht="21.95" customHeight="1" x14ac:dyDescent="0.15"/>
    <row r="22356" s="76" customFormat="1" ht="21.95" customHeight="1" x14ac:dyDescent="0.15"/>
    <row r="22357" s="76" customFormat="1" ht="21.95" customHeight="1" x14ac:dyDescent="0.15"/>
    <row r="22358" s="76" customFormat="1" ht="21.95" customHeight="1" x14ac:dyDescent="0.15"/>
    <row r="22359" s="76" customFormat="1" ht="21.95" customHeight="1" x14ac:dyDescent="0.15"/>
    <row r="22360" s="76" customFormat="1" ht="21.95" customHeight="1" x14ac:dyDescent="0.15"/>
    <row r="22361" s="76" customFormat="1" ht="21.95" customHeight="1" x14ac:dyDescent="0.15"/>
    <row r="22362" s="76" customFormat="1" ht="21.95" customHeight="1" x14ac:dyDescent="0.15"/>
    <row r="22363" s="76" customFormat="1" ht="21.95" customHeight="1" x14ac:dyDescent="0.15"/>
    <row r="22364" s="76" customFormat="1" ht="21.95" customHeight="1" x14ac:dyDescent="0.15"/>
    <row r="22365" s="76" customFormat="1" ht="21.95" customHeight="1" x14ac:dyDescent="0.15"/>
    <row r="22366" s="76" customFormat="1" ht="21.95" customHeight="1" x14ac:dyDescent="0.15"/>
    <row r="22367" s="76" customFormat="1" ht="21.95" customHeight="1" x14ac:dyDescent="0.15"/>
    <row r="22368" s="76" customFormat="1" ht="21.95" customHeight="1" x14ac:dyDescent="0.15"/>
    <row r="22369" s="76" customFormat="1" ht="21.95" customHeight="1" x14ac:dyDescent="0.15"/>
    <row r="22370" s="76" customFormat="1" ht="21.95" customHeight="1" x14ac:dyDescent="0.15"/>
    <row r="22371" s="76" customFormat="1" ht="21.95" customHeight="1" x14ac:dyDescent="0.15"/>
    <row r="22372" s="76" customFormat="1" ht="21.95" customHeight="1" x14ac:dyDescent="0.15"/>
    <row r="22373" s="76" customFormat="1" ht="21.95" customHeight="1" x14ac:dyDescent="0.15"/>
    <row r="22374" s="76" customFormat="1" ht="21.95" customHeight="1" x14ac:dyDescent="0.15"/>
    <row r="22375" s="76" customFormat="1" ht="21.95" customHeight="1" x14ac:dyDescent="0.15"/>
    <row r="22376" s="76" customFormat="1" ht="21.95" customHeight="1" x14ac:dyDescent="0.15"/>
    <row r="22377" s="76" customFormat="1" ht="35.1" customHeight="1" x14ac:dyDescent="0.15"/>
    <row r="22378" s="76" customFormat="1" ht="21.95" customHeight="1" x14ac:dyDescent="0.15"/>
    <row r="22379" s="76" customFormat="1" ht="21.95" customHeight="1" x14ac:dyDescent="0.15"/>
    <row r="22380" s="76" customFormat="1" ht="21.95" customHeight="1" x14ac:dyDescent="0.15"/>
    <row r="22381" s="76" customFormat="1" ht="21.95" customHeight="1" x14ac:dyDescent="0.15"/>
    <row r="22382" s="76" customFormat="1" ht="21.95" customHeight="1" x14ac:dyDescent="0.15"/>
    <row r="22383" s="76" customFormat="1" ht="21.95" customHeight="1" x14ac:dyDescent="0.15"/>
    <row r="22384" s="76" customFormat="1" ht="21.95" customHeight="1" x14ac:dyDescent="0.15"/>
    <row r="22385" s="76" customFormat="1" ht="21.95" customHeight="1" x14ac:dyDescent="0.15"/>
    <row r="22386" s="76" customFormat="1" ht="21.95" customHeight="1" x14ac:dyDescent="0.15"/>
    <row r="22387" s="76" customFormat="1" ht="21.95" customHeight="1" x14ac:dyDescent="0.15"/>
    <row r="22388" s="76" customFormat="1" ht="21.95" customHeight="1" x14ac:dyDescent="0.15"/>
    <row r="22389" s="76" customFormat="1" ht="21.95" customHeight="1" x14ac:dyDescent="0.15"/>
    <row r="22390" s="76" customFormat="1" ht="21.95" customHeight="1" x14ac:dyDescent="0.15"/>
    <row r="22391" s="76" customFormat="1" ht="21.95" customHeight="1" x14ac:dyDescent="0.15"/>
    <row r="22392" s="76" customFormat="1" ht="21.95" customHeight="1" x14ac:dyDescent="0.15"/>
    <row r="22393" s="76" customFormat="1" ht="21.95" customHeight="1" x14ac:dyDescent="0.15"/>
    <row r="22394" s="76" customFormat="1" ht="21.95" customHeight="1" x14ac:dyDescent="0.15"/>
    <row r="22395" s="76" customFormat="1" ht="21.95" customHeight="1" x14ac:dyDescent="0.15"/>
    <row r="22396" s="76" customFormat="1" ht="21.95" customHeight="1" x14ac:dyDescent="0.15"/>
    <row r="22397" s="76" customFormat="1" ht="21.95" customHeight="1" x14ac:dyDescent="0.15"/>
    <row r="22398" s="76" customFormat="1" ht="21.95" customHeight="1" x14ac:dyDescent="0.15"/>
    <row r="22399" s="76" customFormat="1" ht="21.95" customHeight="1" x14ac:dyDescent="0.15"/>
    <row r="22400" s="76" customFormat="1" ht="21.95" customHeight="1" x14ac:dyDescent="0.15"/>
    <row r="22401" spans="3:3" customFormat="1" ht="21.95" customHeight="1" x14ac:dyDescent="0.15"/>
    <row r="22402" spans="3:3" customFormat="1" ht="21.95" customHeight="1" x14ac:dyDescent="0.15"/>
    <row r="22403" spans="3:3" customFormat="1" ht="21.95" customHeight="1" x14ac:dyDescent="0.15">
      <c r="C22403" s="94"/>
    </row>
    <row r="22404" spans="3:3" customFormat="1" ht="21.95" customHeight="1" x14ac:dyDescent="0.15">
      <c r="C22404" s="94"/>
    </row>
    <row r="22405" spans="3:3" customFormat="1" ht="21.95" customHeight="1" x14ac:dyDescent="0.15"/>
    <row r="22406" spans="3:3" customFormat="1" ht="21.95" customHeight="1" x14ac:dyDescent="0.15"/>
    <row r="22407" spans="3:3" customFormat="1" ht="21.95" customHeight="1" x14ac:dyDescent="0.15"/>
    <row r="22408" spans="3:3" customFormat="1" ht="21.95" customHeight="1" x14ac:dyDescent="0.15"/>
    <row r="22409" spans="3:3" customFormat="1" ht="21.95" customHeight="1" x14ac:dyDescent="0.15"/>
    <row r="22410" spans="3:3" customFormat="1" ht="21.95" customHeight="1" x14ac:dyDescent="0.15"/>
    <row r="22411" spans="3:3" customFormat="1" ht="21.95" customHeight="1" x14ac:dyDescent="0.15"/>
    <row r="22412" spans="3:3" s="76" customFormat="1" ht="21.95" customHeight="1" x14ac:dyDescent="0.15"/>
    <row r="22413" spans="3:3" s="76" customFormat="1" ht="21.95" customHeight="1" x14ac:dyDescent="0.15"/>
    <row r="22414" spans="3:3" s="76" customFormat="1" ht="21.95" customHeight="1" x14ac:dyDescent="0.15"/>
    <row r="22415" spans="3:3" s="76" customFormat="1" ht="21.95" customHeight="1" x14ac:dyDescent="0.15"/>
    <row r="22416" spans="3:3" customFormat="1" ht="21.95" customHeight="1" x14ac:dyDescent="0.15"/>
    <row r="22417" customFormat="1" ht="21.95" customHeight="1" x14ac:dyDescent="0.15"/>
    <row r="22418" customFormat="1" ht="21.95" customHeight="1" x14ac:dyDescent="0.15"/>
    <row r="22419" customFormat="1" ht="21.95" customHeight="1" x14ac:dyDescent="0.15"/>
    <row r="22420" customFormat="1" ht="21.95" customHeight="1" x14ac:dyDescent="0.15"/>
    <row r="22421" customFormat="1" ht="21.95" customHeight="1" x14ac:dyDescent="0.15"/>
    <row r="22422" customFormat="1" ht="21.95" customHeight="1" x14ac:dyDescent="0.15"/>
    <row r="22423" customFormat="1" ht="21.95" customHeight="1" x14ac:dyDescent="0.15"/>
    <row r="22424" customFormat="1" ht="21.95" customHeight="1" x14ac:dyDescent="0.15"/>
    <row r="22425" customFormat="1" ht="21.95" customHeight="1" x14ac:dyDescent="0.15"/>
    <row r="22426" customFormat="1" ht="21.95" customHeight="1" x14ac:dyDescent="0.15"/>
    <row r="22427" customFormat="1" ht="32.1" customHeight="1" x14ac:dyDescent="0.15"/>
    <row r="22428" customFormat="1" ht="32.1" customHeight="1" x14ac:dyDescent="0.15"/>
    <row r="22429" customFormat="1" ht="32.1" customHeight="1" x14ac:dyDescent="0.15"/>
    <row r="22430" customFormat="1" ht="32.1" customHeight="1" x14ac:dyDescent="0.15"/>
    <row r="22431" customFormat="1" ht="32.1" customHeight="1" x14ac:dyDescent="0.15"/>
    <row r="22432" customFormat="1" ht="32.1" customHeight="1" x14ac:dyDescent="0.15"/>
    <row r="22433" s="76" customFormat="1" ht="32.1" customHeight="1" x14ac:dyDescent="0.15"/>
    <row r="22434" s="76" customFormat="1" ht="32.1" customHeight="1" x14ac:dyDescent="0.15"/>
    <row r="22435" s="76" customFormat="1" ht="32.1" customHeight="1" x14ac:dyDescent="0.15"/>
    <row r="22436" s="76" customFormat="1" ht="32.1" customHeight="1" x14ac:dyDescent="0.15"/>
    <row r="22437" s="76" customFormat="1" ht="21.95" customHeight="1" x14ac:dyDescent="0.15"/>
    <row r="22438" s="76" customFormat="1" ht="54" customHeight="1" x14ac:dyDescent="0.15"/>
    <row r="22439" s="76" customFormat="1" ht="21.95" customHeight="1" x14ac:dyDescent="0.15"/>
    <row r="22440" s="76" customFormat="1" ht="21.95" customHeight="1" x14ac:dyDescent="0.15"/>
    <row r="22441" s="76" customFormat="1" ht="21.95" customHeight="1" x14ac:dyDescent="0.15"/>
    <row r="22442" s="76" customFormat="1" ht="21.95" customHeight="1" x14ac:dyDescent="0.15"/>
    <row r="22443" s="76" customFormat="1" ht="21.95" customHeight="1" x14ac:dyDescent="0.15"/>
    <row r="22444" s="76" customFormat="1" ht="21.95" customHeight="1" x14ac:dyDescent="0.15"/>
    <row r="22445" s="76" customFormat="1" ht="21.95" customHeight="1" x14ac:dyDescent="0.15"/>
    <row r="22446" s="76" customFormat="1" ht="21.95" customHeight="1" x14ac:dyDescent="0.15"/>
    <row r="22447" s="76" customFormat="1" ht="21.95" customHeight="1" x14ac:dyDescent="0.15"/>
    <row r="22448" s="76" customFormat="1" ht="21.95" customHeight="1" x14ac:dyDescent="0.15"/>
    <row r="22449" s="76" customFormat="1" ht="21.95" customHeight="1" x14ac:dyDescent="0.15"/>
    <row r="22450" s="76" customFormat="1" ht="21.95" customHeight="1" x14ac:dyDescent="0.15"/>
    <row r="22451" s="76" customFormat="1" ht="21.95" customHeight="1" x14ac:dyDescent="0.15"/>
    <row r="22452" s="76" customFormat="1" ht="21.95" customHeight="1" x14ac:dyDescent="0.15"/>
    <row r="22453" s="76" customFormat="1" ht="21.95" customHeight="1" x14ac:dyDescent="0.15"/>
    <row r="22454" s="76" customFormat="1" ht="21.95" customHeight="1" x14ac:dyDescent="0.15"/>
    <row r="22455" s="76" customFormat="1" ht="21.95" customHeight="1" x14ac:dyDescent="0.15"/>
    <row r="22456" s="76" customFormat="1" ht="21.95" customHeight="1" x14ac:dyDescent="0.15"/>
    <row r="22457" s="76" customFormat="1" ht="21.95" customHeight="1" x14ac:dyDescent="0.15"/>
    <row r="22458" s="76" customFormat="1" ht="21.95" customHeight="1" x14ac:dyDescent="0.15"/>
    <row r="22459" s="76" customFormat="1" ht="21.95" customHeight="1" x14ac:dyDescent="0.15"/>
    <row r="22460" s="76" customFormat="1" ht="21.95" customHeight="1" x14ac:dyDescent="0.15"/>
    <row r="22461" s="76" customFormat="1" ht="21.95" customHeight="1" x14ac:dyDescent="0.15"/>
    <row r="22462" s="76" customFormat="1" ht="21.95" customHeight="1" x14ac:dyDescent="0.15"/>
    <row r="22463" s="76" customFormat="1" ht="21.95" customHeight="1" x14ac:dyDescent="0.15"/>
    <row r="22464" s="76" customFormat="1" ht="21.95" customHeight="1" x14ac:dyDescent="0.15"/>
    <row r="22465" s="76" customFormat="1" ht="21.95" customHeight="1" x14ac:dyDescent="0.15"/>
    <row r="22466" s="76" customFormat="1" ht="21.95" customHeight="1" x14ac:dyDescent="0.15"/>
    <row r="22467" s="76" customFormat="1" ht="21.95" customHeight="1" x14ac:dyDescent="0.15"/>
    <row r="22468" s="76" customFormat="1" ht="21.95" customHeight="1" x14ac:dyDescent="0.15"/>
    <row r="22469" s="76" customFormat="1" ht="21.95" customHeight="1" x14ac:dyDescent="0.15"/>
    <row r="22470" s="76" customFormat="1" ht="21.95" customHeight="1" x14ac:dyDescent="0.15"/>
    <row r="22471" s="76" customFormat="1" ht="21.95" customHeight="1" x14ac:dyDescent="0.15"/>
    <row r="22472" s="76" customFormat="1" ht="21.95" customHeight="1" x14ac:dyDescent="0.15"/>
    <row r="22473" s="76" customFormat="1" ht="21.95" customHeight="1" x14ac:dyDescent="0.15"/>
    <row r="22474" s="76" customFormat="1" ht="21.95" customHeight="1" x14ac:dyDescent="0.15"/>
    <row r="22475" s="76" customFormat="1" ht="21.95" customHeight="1" x14ac:dyDescent="0.15"/>
    <row r="22476" s="76" customFormat="1" ht="21.95" customHeight="1" x14ac:dyDescent="0.15"/>
    <row r="22477" s="76" customFormat="1" ht="21.95" customHeight="1" x14ac:dyDescent="0.15"/>
    <row r="22478" s="76" customFormat="1" ht="21.95" customHeight="1" x14ac:dyDescent="0.15"/>
    <row r="22479" s="76" customFormat="1" ht="21.95" customHeight="1" x14ac:dyDescent="0.15"/>
    <row r="22480" s="76" customFormat="1" ht="21.95" customHeight="1" x14ac:dyDescent="0.15"/>
    <row r="22481" s="76" customFormat="1" ht="21.95" customHeight="1" x14ac:dyDescent="0.15"/>
    <row r="22482" s="76" customFormat="1" ht="21.95" customHeight="1" x14ac:dyDescent="0.15"/>
    <row r="22483" s="76" customFormat="1" ht="21.95" customHeight="1" x14ac:dyDescent="0.15"/>
    <row r="22484" s="76" customFormat="1" ht="21.95" customHeight="1" x14ac:dyDescent="0.15"/>
    <row r="22485" s="76" customFormat="1" ht="21.95" customHeight="1" x14ac:dyDescent="0.15"/>
    <row r="22486" s="76" customFormat="1" ht="21.95" customHeight="1" x14ac:dyDescent="0.15"/>
    <row r="22487" s="76" customFormat="1" ht="21.95" customHeight="1" x14ac:dyDescent="0.15"/>
    <row r="22488" s="76" customFormat="1" ht="21.95" customHeight="1" x14ac:dyDescent="0.15"/>
    <row r="22489" s="76" customFormat="1" ht="35.1" customHeight="1" x14ac:dyDescent="0.15"/>
    <row r="22490" s="76" customFormat="1" ht="21.95" customHeight="1" x14ac:dyDescent="0.15"/>
    <row r="22491" s="76" customFormat="1" ht="21.95" customHeight="1" x14ac:dyDescent="0.15"/>
    <row r="22492" s="76" customFormat="1" ht="21.95" customHeight="1" x14ac:dyDescent="0.15"/>
    <row r="22493" s="76" customFormat="1" ht="21.95" customHeight="1" x14ac:dyDescent="0.15"/>
    <row r="22494" s="76" customFormat="1" ht="21.95" customHeight="1" x14ac:dyDescent="0.15"/>
    <row r="22495" s="76" customFormat="1" ht="21.95" customHeight="1" x14ac:dyDescent="0.15"/>
    <row r="22496" s="76" customFormat="1" ht="21.95" customHeight="1" x14ac:dyDescent="0.15"/>
    <row r="22497" s="76" customFormat="1" ht="21.95" customHeight="1" x14ac:dyDescent="0.15"/>
    <row r="22498" s="76" customFormat="1" ht="21.95" customHeight="1" x14ac:dyDescent="0.15"/>
    <row r="22499" s="76" customFormat="1" ht="21.95" customHeight="1" x14ac:dyDescent="0.15"/>
    <row r="22500" s="76" customFormat="1" ht="21.95" customHeight="1" x14ac:dyDescent="0.15"/>
    <row r="22501" s="76" customFormat="1" ht="21.95" customHeight="1" x14ac:dyDescent="0.15"/>
    <row r="22502" s="76" customFormat="1" ht="21.95" customHeight="1" x14ac:dyDescent="0.15"/>
    <row r="22503" s="76" customFormat="1" ht="21.95" customHeight="1" x14ac:dyDescent="0.15"/>
    <row r="22504" s="76" customFormat="1" ht="21.95" customHeight="1" x14ac:dyDescent="0.15"/>
    <row r="22505" s="76" customFormat="1" ht="21.95" customHeight="1" x14ac:dyDescent="0.15"/>
    <row r="22506" s="76" customFormat="1" ht="21.95" customHeight="1" x14ac:dyDescent="0.15"/>
    <row r="22507" s="76" customFormat="1" ht="21.95" customHeight="1" x14ac:dyDescent="0.15"/>
    <row r="22508" s="76" customFormat="1" ht="21.95" customHeight="1" x14ac:dyDescent="0.15"/>
    <row r="22509" s="76" customFormat="1" ht="21.95" customHeight="1" x14ac:dyDescent="0.15"/>
    <row r="22510" s="76" customFormat="1" ht="21.95" customHeight="1" x14ac:dyDescent="0.15"/>
    <row r="22511" s="76" customFormat="1" ht="21.95" customHeight="1" x14ac:dyDescent="0.15"/>
    <row r="22512" s="76" customFormat="1" ht="21.95" customHeight="1" x14ac:dyDescent="0.15"/>
    <row r="22513" spans="3:3" customFormat="1" ht="21.95" customHeight="1" x14ac:dyDescent="0.15"/>
    <row r="22514" spans="3:3" customFormat="1" ht="21.95" customHeight="1" x14ac:dyDescent="0.15"/>
    <row r="22515" spans="3:3" customFormat="1" ht="21.95" customHeight="1" x14ac:dyDescent="0.15">
      <c r="C22515" s="94"/>
    </row>
    <row r="22516" spans="3:3" customFormat="1" ht="21.95" customHeight="1" x14ac:dyDescent="0.15">
      <c r="C22516" s="94"/>
    </row>
    <row r="22517" spans="3:3" customFormat="1" ht="21.95" customHeight="1" x14ac:dyDescent="0.15"/>
    <row r="22518" spans="3:3" customFormat="1" ht="21.95" customHeight="1" x14ac:dyDescent="0.15"/>
    <row r="22519" spans="3:3" customFormat="1" ht="21.95" customHeight="1" x14ac:dyDescent="0.15"/>
    <row r="22520" spans="3:3" customFormat="1" ht="21.95" customHeight="1" x14ac:dyDescent="0.15"/>
    <row r="22521" spans="3:3" customFormat="1" ht="21.95" customHeight="1" x14ac:dyDescent="0.15"/>
    <row r="22522" spans="3:3" customFormat="1" ht="21.95" customHeight="1" x14ac:dyDescent="0.15"/>
    <row r="22523" spans="3:3" customFormat="1" ht="21.95" customHeight="1" x14ac:dyDescent="0.15"/>
    <row r="22524" spans="3:3" s="76" customFormat="1" ht="21.95" customHeight="1" x14ac:dyDescent="0.15"/>
    <row r="22525" spans="3:3" s="76" customFormat="1" ht="21.95" customHeight="1" x14ac:dyDescent="0.15"/>
    <row r="22526" spans="3:3" s="76" customFormat="1" ht="21.95" customHeight="1" x14ac:dyDescent="0.15"/>
    <row r="22527" spans="3:3" s="76" customFormat="1" ht="21.95" customHeight="1" x14ac:dyDescent="0.15"/>
    <row r="22528" spans="3:3" customFormat="1" ht="21.95" customHeight="1" x14ac:dyDescent="0.15"/>
    <row r="22529" customFormat="1" ht="21.95" customHeight="1" x14ac:dyDescent="0.15"/>
    <row r="22530" customFormat="1" ht="21.95" customHeight="1" x14ac:dyDescent="0.15"/>
    <row r="22531" customFormat="1" ht="21.95" customHeight="1" x14ac:dyDescent="0.15"/>
    <row r="22532" customFormat="1" ht="21.95" customHeight="1" x14ac:dyDescent="0.15"/>
    <row r="22533" customFormat="1" ht="21.95" customHeight="1" x14ac:dyDescent="0.15"/>
    <row r="22534" customFormat="1" ht="21.95" customHeight="1" x14ac:dyDescent="0.15"/>
    <row r="22535" customFormat="1" ht="21.95" customHeight="1" x14ac:dyDescent="0.15"/>
    <row r="22536" customFormat="1" ht="21.95" customHeight="1" x14ac:dyDescent="0.15"/>
    <row r="22537" customFormat="1" ht="21.95" customHeight="1" x14ac:dyDescent="0.15"/>
    <row r="22538" customFormat="1" ht="21.95" customHeight="1" x14ac:dyDescent="0.15"/>
    <row r="22539" customFormat="1" ht="32.1" customHeight="1" x14ac:dyDescent="0.15"/>
    <row r="22540" customFormat="1" ht="32.1" customHeight="1" x14ac:dyDescent="0.15"/>
    <row r="22541" customFormat="1" ht="32.1" customHeight="1" x14ac:dyDescent="0.15"/>
    <row r="22542" customFormat="1" ht="32.1" customHeight="1" x14ac:dyDescent="0.15"/>
    <row r="22543" customFormat="1" ht="32.1" customHeight="1" x14ac:dyDescent="0.15"/>
    <row r="22544" customFormat="1" ht="32.1" customHeight="1" x14ac:dyDescent="0.15"/>
    <row r="22545" s="76" customFormat="1" ht="32.1" customHeight="1" x14ac:dyDescent="0.15"/>
    <row r="22546" s="76" customFormat="1" ht="32.1" customHeight="1" x14ac:dyDescent="0.15"/>
    <row r="22547" s="76" customFormat="1" ht="32.1" customHeight="1" x14ac:dyDescent="0.15"/>
    <row r="22548" s="76" customFormat="1" ht="32.1" customHeight="1" x14ac:dyDescent="0.15"/>
    <row r="22549" s="76" customFormat="1" ht="21.95" customHeight="1" x14ac:dyDescent="0.15"/>
    <row r="22550" s="76" customFormat="1" ht="54" customHeight="1" x14ac:dyDescent="0.15"/>
    <row r="22551" s="76" customFormat="1" ht="21.95" customHeight="1" x14ac:dyDescent="0.15"/>
    <row r="22552" s="76" customFormat="1" ht="21.95" customHeight="1" x14ac:dyDescent="0.15"/>
    <row r="22553" s="76" customFormat="1" ht="21.95" customHeight="1" x14ac:dyDescent="0.15"/>
    <row r="22554" s="76" customFormat="1" ht="21.95" customHeight="1" x14ac:dyDescent="0.15"/>
    <row r="22555" s="76" customFormat="1" ht="21.95" customHeight="1" x14ac:dyDescent="0.15"/>
    <row r="22556" s="76" customFormat="1" ht="21.95" customHeight="1" x14ac:dyDescent="0.15"/>
    <row r="22557" s="76" customFormat="1" ht="21.95" customHeight="1" x14ac:dyDescent="0.15"/>
    <row r="22558" s="76" customFormat="1" ht="21.95" customHeight="1" x14ac:dyDescent="0.15"/>
    <row r="22559" s="76" customFormat="1" ht="21.95" customHeight="1" x14ac:dyDescent="0.15"/>
    <row r="22560" s="76" customFormat="1" ht="21.95" customHeight="1" x14ac:dyDescent="0.15"/>
    <row r="22561" s="76" customFormat="1" ht="21.95" customHeight="1" x14ac:dyDescent="0.15"/>
    <row r="22562" s="76" customFormat="1" ht="21.95" customHeight="1" x14ac:dyDescent="0.15"/>
    <row r="22563" s="76" customFormat="1" ht="21.95" customHeight="1" x14ac:dyDescent="0.15"/>
    <row r="22564" s="76" customFormat="1" ht="21.95" customHeight="1" x14ac:dyDescent="0.15"/>
    <row r="22565" s="76" customFormat="1" ht="21.95" customHeight="1" x14ac:dyDescent="0.15"/>
    <row r="22566" s="76" customFormat="1" ht="21.95" customHeight="1" x14ac:dyDescent="0.15"/>
    <row r="22567" s="76" customFormat="1" ht="21.95" customHeight="1" x14ac:dyDescent="0.15"/>
    <row r="22568" s="76" customFormat="1" ht="21.95" customHeight="1" x14ac:dyDescent="0.15"/>
    <row r="22569" s="76" customFormat="1" ht="21.95" customHeight="1" x14ac:dyDescent="0.15"/>
    <row r="22570" s="76" customFormat="1" ht="21.95" customHeight="1" x14ac:dyDescent="0.15"/>
    <row r="22571" s="76" customFormat="1" ht="21.95" customHeight="1" x14ac:dyDescent="0.15"/>
    <row r="22572" s="76" customFormat="1" ht="21.95" customHeight="1" x14ac:dyDescent="0.15"/>
    <row r="22573" s="76" customFormat="1" ht="21.95" customHeight="1" x14ac:dyDescent="0.15"/>
    <row r="22574" s="76" customFormat="1" ht="21.95" customHeight="1" x14ac:dyDescent="0.15"/>
    <row r="22575" s="76" customFormat="1" ht="21.95" customHeight="1" x14ac:dyDescent="0.15"/>
    <row r="22576" s="76" customFormat="1" ht="21.95" customHeight="1" x14ac:dyDescent="0.15"/>
    <row r="22577" s="76" customFormat="1" ht="21.95" customHeight="1" x14ac:dyDescent="0.15"/>
    <row r="22578" s="76" customFormat="1" ht="21.95" customHeight="1" x14ac:dyDescent="0.15"/>
    <row r="22579" s="76" customFormat="1" ht="21.95" customHeight="1" x14ac:dyDescent="0.15"/>
    <row r="22580" s="76" customFormat="1" ht="21.95" customHeight="1" x14ac:dyDescent="0.15"/>
    <row r="22581" s="76" customFormat="1" ht="21.95" customHeight="1" x14ac:dyDescent="0.15"/>
    <row r="22582" s="76" customFormat="1" ht="21.95" customHeight="1" x14ac:dyDescent="0.15"/>
    <row r="22583" s="76" customFormat="1" ht="21.95" customHeight="1" x14ac:dyDescent="0.15"/>
    <row r="22584" s="76" customFormat="1" ht="21.95" customHeight="1" x14ac:dyDescent="0.15"/>
    <row r="22585" s="76" customFormat="1" ht="21.95" customHeight="1" x14ac:dyDescent="0.15"/>
    <row r="22586" s="76" customFormat="1" ht="21.95" customHeight="1" x14ac:dyDescent="0.15"/>
    <row r="22587" s="76" customFormat="1" ht="21.95" customHeight="1" x14ac:dyDescent="0.15"/>
    <row r="22588" s="76" customFormat="1" ht="21.95" customHeight="1" x14ac:dyDescent="0.15"/>
    <row r="22589" s="76" customFormat="1" ht="21.95" customHeight="1" x14ac:dyDescent="0.15"/>
    <row r="22590" s="76" customFormat="1" ht="21.95" customHeight="1" x14ac:dyDescent="0.15"/>
    <row r="22591" s="76" customFormat="1" ht="21.95" customHeight="1" x14ac:dyDescent="0.15"/>
    <row r="22592" s="76" customFormat="1" ht="21.95" customHeight="1" x14ac:dyDescent="0.15"/>
    <row r="22593" s="76" customFormat="1" ht="21.95" customHeight="1" x14ac:dyDescent="0.15"/>
    <row r="22594" s="76" customFormat="1" ht="21.95" customHeight="1" x14ac:dyDescent="0.15"/>
    <row r="22595" s="76" customFormat="1" ht="21.95" customHeight="1" x14ac:dyDescent="0.15"/>
    <row r="22596" s="76" customFormat="1" ht="21.95" customHeight="1" x14ac:dyDescent="0.15"/>
    <row r="22597" s="76" customFormat="1" ht="21.95" customHeight="1" x14ac:dyDescent="0.15"/>
    <row r="22598" s="76" customFormat="1" ht="21.95" customHeight="1" x14ac:dyDescent="0.15"/>
    <row r="22599" s="76" customFormat="1" ht="21.95" customHeight="1" x14ac:dyDescent="0.15"/>
    <row r="22600" s="76" customFormat="1" ht="21.95" customHeight="1" x14ac:dyDescent="0.15"/>
    <row r="22601" s="76" customFormat="1" ht="35.1" customHeight="1" x14ac:dyDescent="0.15"/>
    <row r="22602" s="76" customFormat="1" ht="21.95" customHeight="1" x14ac:dyDescent="0.15"/>
    <row r="22603" s="76" customFormat="1" ht="21.95" customHeight="1" x14ac:dyDescent="0.15"/>
    <row r="22604" s="76" customFormat="1" ht="21.95" customHeight="1" x14ac:dyDescent="0.15"/>
    <row r="22605" s="76" customFormat="1" ht="21.95" customHeight="1" x14ac:dyDescent="0.15"/>
    <row r="22606" s="76" customFormat="1" ht="21.95" customHeight="1" x14ac:dyDescent="0.15"/>
    <row r="22607" s="76" customFormat="1" ht="21.95" customHeight="1" x14ac:dyDescent="0.15"/>
    <row r="22608" s="76" customFormat="1" ht="21.95" customHeight="1" x14ac:dyDescent="0.15"/>
    <row r="22609" s="76" customFormat="1" ht="21.95" customHeight="1" x14ac:dyDescent="0.15"/>
    <row r="22610" s="76" customFormat="1" ht="21.95" customHeight="1" x14ac:dyDescent="0.15"/>
    <row r="22611" s="76" customFormat="1" ht="21.95" customHeight="1" x14ac:dyDescent="0.15"/>
    <row r="22612" s="76" customFormat="1" ht="21.95" customHeight="1" x14ac:dyDescent="0.15"/>
    <row r="22613" s="76" customFormat="1" ht="21.95" customHeight="1" x14ac:dyDescent="0.15"/>
    <row r="22614" s="76" customFormat="1" ht="21.95" customHeight="1" x14ac:dyDescent="0.15"/>
    <row r="22615" s="76" customFormat="1" ht="21.95" customHeight="1" x14ac:dyDescent="0.15"/>
    <row r="22616" s="76" customFormat="1" ht="21.95" customHeight="1" x14ac:dyDescent="0.15"/>
    <row r="22617" s="76" customFormat="1" ht="21.95" customHeight="1" x14ac:dyDescent="0.15"/>
    <row r="22618" s="76" customFormat="1" ht="21.95" customHeight="1" x14ac:dyDescent="0.15"/>
    <row r="22619" s="76" customFormat="1" ht="21.95" customHeight="1" x14ac:dyDescent="0.15"/>
    <row r="22620" s="76" customFormat="1" ht="21.95" customHeight="1" x14ac:dyDescent="0.15"/>
    <row r="22621" s="76" customFormat="1" ht="21.95" customHeight="1" x14ac:dyDescent="0.15"/>
    <row r="22622" s="76" customFormat="1" ht="21.95" customHeight="1" x14ac:dyDescent="0.15"/>
    <row r="22623" s="76" customFormat="1" ht="21.95" customHeight="1" x14ac:dyDescent="0.15"/>
    <row r="22624" s="76" customFormat="1" ht="21.95" customHeight="1" x14ac:dyDescent="0.15"/>
    <row r="22625" spans="3:3" customFormat="1" ht="21.95" customHeight="1" x14ac:dyDescent="0.15"/>
    <row r="22626" spans="3:3" customFormat="1" ht="21.95" customHeight="1" x14ac:dyDescent="0.15"/>
    <row r="22627" spans="3:3" customFormat="1" ht="21.95" customHeight="1" x14ac:dyDescent="0.15">
      <c r="C22627" s="94"/>
    </row>
    <row r="22628" spans="3:3" customFormat="1" ht="21.95" customHeight="1" x14ac:dyDescent="0.15">
      <c r="C22628" s="94"/>
    </row>
    <row r="22629" spans="3:3" customFormat="1" ht="21.95" customHeight="1" x14ac:dyDescent="0.15"/>
    <row r="22630" spans="3:3" customFormat="1" ht="21.95" customHeight="1" x14ac:dyDescent="0.15"/>
    <row r="22631" spans="3:3" customFormat="1" ht="21.95" customHeight="1" x14ac:dyDescent="0.15"/>
    <row r="22632" spans="3:3" customFormat="1" ht="21.95" customHeight="1" x14ac:dyDescent="0.15"/>
    <row r="22633" spans="3:3" customFormat="1" ht="21.95" customHeight="1" x14ac:dyDescent="0.15"/>
    <row r="22634" spans="3:3" customFormat="1" ht="21.95" customHeight="1" x14ac:dyDescent="0.15"/>
    <row r="22635" spans="3:3" customFormat="1" ht="21.95" customHeight="1" x14ac:dyDescent="0.15"/>
    <row r="22636" spans="3:3" s="76" customFormat="1" ht="21.95" customHeight="1" x14ac:dyDescent="0.15"/>
    <row r="22637" spans="3:3" s="76" customFormat="1" ht="21.95" customHeight="1" x14ac:dyDescent="0.15"/>
    <row r="22638" spans="3:3" s="76" customFormat="1" ht="21.95" customHeight="1" x14ac:dyDescent="0.15"/>
    <row r="22639" spans="3:3" s="76" customFormat="1" ht="21.95" customHeight="1" x14ac:dyDescent="0.15"/>
    <row r="22640" spans="3:3" customFormat="1" ht="21.95" customHeight="1" x14ac:dyDescent="0.15"/>
    <row r="22641" customFormat="1" ht="21.95" customHeight="1" x14ac:dyDescent="0.15"/>
    <row r="22642" customFormat="1" ht="21.95" customHeight="1" x14ac:dyDescent="0.15"/>
    <row r="22643" customFormat="1" ht="21.95" customHeight="1" x14ac:dyDescent="0.15"/>
    <row r="22644" customFormat="1" ht="21.95" customHeight="1" x14ac:dyDescent="0.15"/>
    <row r="22645" customFormat="1" ht="21.95" customHeight="1" x14ac:dyDescent="0.15"/>
    <row r="22646" customFormat="1" ht="21.95" customHeight="1" x14ac:dyDescent="0.15"/>
    <row r="22647" customFormat="1" ht="21.95" customHeight="1" x14ac:dyDescent="0.15"/>
    <row r="22648" customFormat="1" ht="21.95" customHeight="1" x14ac:dyDescent="0.15"/>
    <row r="22649" customFormat="1" ht="21.95" customHeight="1" x14ac:dyDescent="0.15"/>
    <row r="22650" customFormat="1" ht="21.95" customHeight="1" x14ac:dyDescent="0.15"/>
    <row r="22651" customFormat="1" ht="32.1" customHeight="1" x14ac:dyDescent="0.15"/>
    <row r="22652" customFormat="1" ht="32.1" customHeight="1" x14ac:dyDescent="0.15"/>
    <row r="22653" customFormat="1" ht="32.1" customHeight="1" x14ac:dyDescent="0.15"/>
    <row r="22654" customFormat="1" ht="32.1" customHeight="1" x14ac:dyDescent="0.15"/>
    <row r="22655" customFormat="1" ht="32.1" customHeight="1" x14ac:dyDescent="0.15"/>
    <row r="22656" customFormat="1" ht="32.1" customHeight="1" x14ac:dyDescent="0.15"/>
    <row r="22657" s="76" customFormat="1" ht="32.1" customHeight="1" x14ac:dyDescent="0.15"/>
    <row r="22658" s="76" customFormat="1" ht="32.1" customHeight="1" x14ac:dyDescent="0.15"/>
    <row r="22659" s="76" customFormat="1" ht="32.1" customHeight="1" x14ac:dyDescent="0.15"/>
    <row r="22660" s="76" customFormat="1" ht="32.1" customHeight="1" x14ac:dyDescent="0.15"/>
    <row r="22661" s="76" customFormat="1" ht="21.95" customHeight="1" x14ac:dyDescent="0.15"/>
    <row r="22662" s="76" customFormat="1" ht="54" customHeight="1" x14ac:dyDescent="0.15"/>
    <row r="22663" s="76" customFormat="1" ht="21.95" customHeight="1" x14ac:dyDescent="0.15"/>
    <row r="22664" s="76" customFormat="1" ht="21.95" customHeight="1" x14ac:dyDescent="0.15"/>
    <row r="22665" s="76" customFormat="1" ht="21.95" customHeight="1" x14ac:dyDescent="0.15"/>
    <row r="22666" s="76" customFormat="1" ht="21.95" customHeight="1" x14ac:dyDescent="0.15"/>
    <row r="22667" s="76" customFormat="1" ht="21.95" customHeight="1" x14ac:dyDescent="0.15"/>
    <row r="22668" s="76" customFormat="1" ht="21.95" customHeight="1" x14ac:dyDescent="0.15"/>
    <row r="22669" s="76" customFormat="1" ht="21.95" customHeight="1" x14ac:dyDescent="0.15"/>
    <row r="22670" s="76" customFormat="1" ht="21.95" customHeight="1" x14ac:dyDescent="0.15"/>
    <row r="22671" s="76" customFormat="1" ht="21.95" customHeight="1" x14ac:dyDescent="0.15"/>
    <row r="22672" s="76" customFormat="1" ht="21.95" customHeight="1" x14ac:dyDescent="0.15"/>
    <row r="22673" s="76" customFormat="1" ht="21.95" customHeight="1" x14ac:dyDescent="0.15"/>
    <row r="22674" s="76" customFormat="1" ht="21.95" customHeight="1" x14ac:dyDescent="0.15"/>
    <row r="22675" s="76" customFormat="1" ht="21.95" customHeight="1" x14ac:dyDescent="0.15"/>
    <row r="22676" s="76" customFormat="1" ht="21.95" customHeight="1" x14ac:dyDescent="0.15"/>
    <row r="22677" s="76" customFormat="1" ht="21.95" customHeight="1" x14ac:dyDescent="0.15"/>
    <row r="22678" s="76" customFormat="1" ht="21.95" customHeight="1" x14ac:dyDescent="0.15"/>
    <row r="22679" s="76" customFormat="1" ht="21.95" customHeight="1" x14ac:dyDescent="0.15"/>
    <row r="22680" s="76" customFormat="1" ht="21.95" customHeight="1" x14ac:dyDescent="0.15"/>
    <row r="22681" s="76" customFormat="1" ht="21.95" customHeight="1" x14ac:dyDescent="0.15"/>
    <row r="22682" s="76" customFormat="1" ht="21.95" customHeight="1" x14ac:dyDescent="0.15"/>
    <row r="22683" s="76" customFormat="1" ht="21.95" customHeight="1" x14ac:dyDescent="0.15"/>
    <row r="22684" s="76" customFormat="1" ht="21.95" customHeight="1" x14ac:dyDescent="0.15"/>
    <row r="22685" s="76" customFormat="1" ht="21.95" customHeight="1" x14ac:dyDescent="0.15"/>
    <row r="22686" s="76" customFormat="1" ht="21.95" customHeight="1" x14ac:dyDescent="0.15"/>
    <row r="22687" s="76" customFormat="1" ht="21.95" customHeight="1" x14ac:dyDescent="0.15"/>
    <row r="22688" s="76" customFormat="1" ht="21.95" customHeight="1" x14ac:dyDescent="0.15"/>
    <row r="22689" s="76" customFormat="1" ht="21.95" customHeight="1" x14ac:dyDescent="0.15"/>
    <row r="22690" s="76" customFormat="1" ht="21.95" customHeight="1" x14ac:dyDescent="0.15"/>
    <row r="22691" s="76" customFormat="1" ht="21.95" customHeight="1" x14ac:dyDescent="0.15"/>
    <row r="22692" s="76" customFormat="1" ht="21.95" customHeight="1" x14ac:dyDescent="0.15"/>
    <row r="22693" s="76" customFormat="1" ht="21.95" customHeight="1" x14ac:dyDescent="0.15"/>
    <row r="22694" s="76" customFormat="1" ht="21.95" customHeight="1" x14ac:dyDescent="0.15"/>
    <row r="22695" s="76" customFormat="1" ht="21.95" customHeight="1" x14ac:dyDescent="0.15"/>
    <row r="22696" s="76" customFormat="1" ht="21.95" customHeight="1" x14ac:dyDescent="0.15"/>
    <row r="22697" s="76" customFormat="1" ht="21.95" customHeight="1" x14ac:dyDescent="0.15"/>
    <row r="22698" s="76" customFormat="1" ht="21.95" customHeight="1" x14ac:dyDescent="0.15"/>
    <row r="22699" s="76" customFormat="1" ht="21.95" customHeight="1" x14ac:dyDescent="0.15"/>
    <row r="22700" s="76" customFormat="1" ht="21.95" customHeight="1" x14ac:dyDescent="0.15"/>
    <row r="22701" s="76" customFormat="1" ht="21.95" customHeight="1" x14ac:dyDescent="0.15"/>
    <row r="22702" s="76" customFormat="1" ht="21.95" customHeight="1" x14ac:dyDescent="0.15"/>
    <row r="22703" s="76" customFormat="1" ht="21.95" customHeight="1" x14ac:dyDescent="0.15"/>
    <row r="22704" s="76" customFormat="1" ht="21.95" customHeight="1" x14ac:dyDescent="0.15"/>
    <row r="22705" s="76" customFormat="1" ht="21.95" customHeight="1" x14ac:dyDescent="0.15"/>
    <row r="22706" s="76" customFormat="1" ht="21.95" customHeight="1" x14ac:dyDescent="0.15"/>
    <row r="22707" s="76" customFormat="1" ht="21.95" customHeight="1" x14ac:dyDescent="0.15"/>
    <row r="22708" s="76" customFormat="1" ht="21.95" customHeight="1" x14ac:dyDescent="0.15"/>
    <row r="22709" s="76" customFormat="1" ht="21.95" customHeight="1" x14ac:dyDescent="0.15"/>
    <row r="22710" s="76" customFormat="1" ht="21.95" customHeight="1" x14ac:dyDescent="0.15"/>
    <row r="22711" s="76" customFormat="1" ht="21.95" customHeight="1" x14ac:dyDescent="0.15"/>
    <row r="22712" s="76" customFormat="1" ht="21.95" customHeight="1" x14ac:dyDescent="0.15"/>
    <row r="22713" s="76" customFormat="1" ht="35.1" customHeight="1" x14ac:dyDescent="0.15"/>
    <row r="22714" s="76" customFormat="1" ht="21.95" customHeight="1" x14ac:dyDescent="0.15"/>
    <row r="22715" s="76" customFormat="1" ht="21.95" customHeight="1" x14ac:dyDescent="0.15"/>
    <row r="22716" s="76" customFormat="1" ht="21.95" customHeight="1" x14ac:dyDescent="0.15"/>
    <row r="22717" s="76" customFormat="1" ht="21.95" customHeight="1" x14ac:dyDescent="0.15"/>
    <row r="22718" s="76" customFormat="1" ht="21.95" customHeight="1" x14ac:dyDescent="0.15"/>
    <row r="22719" s="76" customFormat="1" ht="21.95" customHeight="1" x14ac:dyDescent="0.15"/>
    <row r="22720" s="76" customFormat="1" ht="21.95" customHeight="1" x14ac:dyDescent="0.15"/>
    <row r="22721" s="76" customFormat="1" ht="21.95" customHeight="1" x14ac:dyDescent="0.15"/>
    <row r="22722" s="76" customFormat="1" ht="21.95" customHeight="1" x14ac:dyDescent="0.15"/>
    <row r="22723" s="76" customFormat="1" ht="21.95" customHeight="1" x14ac:dyDescent="0.15"/>
    <row r="22724" s="76" customFormat="1" ht="21.95" customHeight="1" x14ac:dyDescent="0.15"/>
    <row r="22725" s="76" customFormat="1" ht="21.95" customHeight="1" x14ac:dyDescent="0.15"/>
    <row r="22726" s="76" customFormat="1" ht="21.95" customHeight="1" x14ac:dyDescent="0.15"/>
    <row r="22727" s="76" customFormat="1" ht="21.95" customHeight="1" x14ac:dyDescent="0.15"/>
    <row r="22728" s="76" customFormat="1" ht="21.95" customHeight="1" x14ac:dyDescent="0.15"/>
    <row r="22729" s="76" customFormat="1" ht="21.95" customHeight="1" x14ac:dyDescent="0.15"/>
    <row r="22730" s="76" customFormat="1" ht="21.95" customHeight="1" x14ac:dyDescent="0.15"/>
    <row r="22731" s="76" customFormat="1" ht="21.95" customHeight="1" x14ac:dyDescent="0.15"/>
    <row r="22732" s="76" customFormat="1" ht="21.95" customHeight="1" x14ac:dyDescent="0.15"/>
    <row r="22733" s="76" customFormat="1" ht="21.95" customHeight="1" x14ac:dyDescent="0.15"/>
    <row r="22734" s="76" customFormat="1" ht="21.95" customHeight="1" x14ac:dyDescent="0.15"/>
    <row r="22735" s="76" customFormat="1" ht="21.95" customHeight="1" x14ac:dyDescent="0.15"/>
    <row r="22736" s="76" customFormat="1" ht="21.95" customHeight="1" x14ac:dyDescent="0.15"/>
    <row r="22737" spans="3:3" customFormat="1" ht="21.95" customHeight="1" x14ac:dyDescent="0.15"/>
    <row r="22738" spans="3:3" customFormat="1" ht="21.95" customHeight="1" x14ac:dyDescent="0.15"/>
    <row r="22739" spans="3:3" customFormat="1" ht="21.95" customHeight="1" x14ac:dyDescent="0.15">
      <c r="C22739" s="94"/>
    </row>
    <row r="22740" spans="3:3" customFormat="1" ht="21.95" customHeight="1" x14ac:dyDescent="0.15">
      <c r="C22740" s="94"/>
    </row>
    <row r="22741" spans="3:3" customFormat="1" ht="21.95" customHeight="1" x14ac:dyDescent="0.15"/>
    <row r="22742" spans="3:3" customFormat="1" ht="21.95" customHeight="1" x14ac:dyDescent="0.15"/>
    <row r="22743" spans="3:3" customFormat="1" ht="21.95" customHeight="1" x14ac:dyDescent="0.15"/>
    <row r="22744" spans="3:3" customFormat="1" ht="21.95" customHeight="1" x14ac:dyDescent="0.15"/>
    <row r="22745" spans="3:3" customFormat="1" ht="21.95" customHeight="1" x14ac:dyDescent="0.15"/>
    <row r="22746" spans="3:3" customFormat="1" ht="21.95" customHeight="1" x14ac:dyDescent="0.15"/>
    <row r="22747" spans="3:3" customFormat="1" ht="21.95" customHeight="1" x14ac:dyDescent="0.15"/>
    <row r="22748" spans="3:3" s="76" customFormat="1" ht="21.95" customHeight="1" x14ac:dyDescent="0.15"/>
    <row r="22749" spans="3:3" s="76" customFormat="1" ht="21.95" customHeight="1" x14ac:dyDescent="0.15"/>
    <row r="22750" spans="3:3" s="76" customFormat="1" ht="21.95" customHeight="1" x14ac:dyDescent="0.15"/>
    <row r="22751" spans="3:3" s="76" customFormat="1" ht="21.95" customHeight="1" x14ac:dyDescent="0.15"/>
    <row r="22752" spans="3:3" customFormat="1" ht="21.95" customHeight="1" x14ac:dyDescent="0.15"/>
    <row r="22753" customFormat="1" ht="21.95" customHeight="1" x14ac:dyDescent="0.15"/>
    <row r="22754" customFormat="1" ht="21.95" customHeight="1" x14ac:dyDescent="0.15"/>
    <row r="22755" customFormat="1" ht="21.95" customHeight="1" x14ac:dyDescent="0.15"/>
    <row r="22756" customFormat="1" ht="21.95" customHeight="1" x14ac:dyDescent="0.15"/>
    <row r="22757" customFormat="1" ht="21.95" customHeight="1" x14ac:dyDescent="0.15"/>
    <row r="22758" customFormat="1" ht="21.95" customHeight="1" x14ac:dyDescent="0.15"/>
    <row r="22759" customFormat="1" ht="21.95" customHeight="1" x14ac:dyDescent="0.15"/>
    <row r="22760" customFormat="1" ht="21.95" customHeight="1" x14ac:dyDescent="0.15"/>
    <row r="22761" customFormat="1" ht="21.95" customHeight="1" x14ac:dyDescent="0.15"/>
    <row r="22762" customFormat="1" ht="21.95" customHeight="1" x14ac:dyDescent="0.15"/>
    <row r="22763" customFormat="1" ht="32.1" customHeight="1" x14ac:dyDescent="0.15"/>
    <row r="22764" customFormat="1" ht="32.1" customHeight="1" x14ac:dyDescent="0.15"/>
    <row r="22765" customFormat="1" ht="32.1" customHeight="1" x14ac:dyDescent="0.15"/>
    <row r="22766" customFormat="1" ht="32.1" customHeight="1" x14ac:dyDescent="0.15"/>
    <row r="22767" customFormat="1" ht="32.1" customHeight="1" x14ac:dyDescent="0.15"/>
    <row r="22768" customFormat="1" ht="32.1" customHeight="1" x14ac:dyDescent="0.15"/>
    <row r="22769" s="76" customFormat="1" ht="32.1" customHeight="1" x14ac:dyDescent="0.15"/>
    <row r="22770" s="76" customFormat="1" ht="32.1" customHeight="1" x14ac:dyDescent="0.15"/>
    <row r="22771" s="76" customFormat="1" ht="32.1" customHeight="1" x14ac:dyDescent="0.15"/>
    <row r="22772" s="76" customFormat="1" ht="32.1" customHeight="1" x14ac:dyDescent="0.15"/>
    <row r="22773" s="76" customFormat="1" ht="21.95" customHeight="1" x14ac:dyDescent="0.15"/>
    <row r="22774" s="76" customFormat="1" ht="54" customHeight="1" x14ac:dyDescent="0.15"/>
    <row r="22775" s="76" customFormat="1" ht="21.95" customHeight="1" x14ac:dyDescent="0.15"/>
    <row r="22776" s="76" customFormat="1" ht="21.95" customHeight="1" x14ac:dyDescent="0.15"/>
    <row r="22777" s="76" customFormat="1" ht="21.95" customHeight="1" x14ac:dyDescent="0.15"/>
    <row r="22778" s="76" customFormat="1" ht="21.95" customHeight="1" x14ac:dyDescent="0.15"/>
    <row r="22779" s="76" customFormat="1" ht="21.95" customHeight="1" x14ac:dyDescent="0.15"/>
    <row r="22780" s="76" customFormat="1" ht="21.95" customHeight="1" x14ac:dyDescent="0.15"/>
    <row r="22781" s="76" customFormat="1" ht="21.95" customHeight="1" x14ac:dyDescent="0.15"/>
    <row r="22782" s="76" customFormat="1" ht="21.95" customHeight="1" x14ac:dyDescent="0.15"/>
    <row r="22783" s="76" customFormat="1" ht="21.95" customHeight="1" x14ac:dyDescent="0.15"/>
    <row r="22784" s="76" customFormat="1" ht="21.95" customHeight="1" x14ac:dyDescent="0.15"/>
    <row r="22785" s="76" customFormat="1" ht="21.95" customHeight="1" x14ac:dyDescent="0.15"/>
    <row r="22786" s="76" customFormat="1" ht="21.95" customHeight="1" x14ac:dyDescent="0.15"/>
    <row r="22787" s="76" customFormat="1" ht="21.95" customHeight="1" x14ac:dyDescent="0.15"/>
    <row r="22788" s="76" customFormat="1" ht="21.95" customHeight="1" x14ac:dyDescent="0.15"/>
    <row r="22789" s="76" customFormat="1" ht="21.95" customHeight="1" x14ac:dyDescent="0.15"/>
    <row r="22790" s="76" customFormat="1" ht="21.95" customHeight="1" x14ac:dyDescent="0.15"/>
    <row r="22791" s="76" customFormat="1" ht="21.95" customHeight="1" x14ac:dyDescent="0.15"/>
    <row r="22792" s="76" customFormat="1" ht="21.95" customHeight="1" x14ac:dyDescent="0.15"/>
    <row r="22793" s="76" customFormat="1" ht="21.95" customHeight="1" x14ac:dyDescent="0.15"/>
    <row r="22794" s="76" customFormat="1" ht="21.95" customHeight="1" x14ac:dyDescent="0.15"/>
    <row r="22795" s="76" customFormat="1" ht="21.95" customHeight="1" x14ac:dyDescent="0.15"/>
    <row r="22796" s="76" customFormat="1" ht="21.95" customHeight="1" x14ac:dyDescent="0.15"/>
    <row r="22797" s="76" customFormat="1" ht="21.95" customHeight="1" x14ac:dyDescent="0.15"/>
    <row r="22798" s="76" customFormat="1" ht="21.95" customHeight="1" x14ac:dyDescent="0.15"/>
    <row r="22799" s="76" customFormat="1" ht="21.95" customHeight="1" x14ac:dyDescent="0.15"/>
    <row r="22800" s="76" customFormat="1" ht="21.95" customHeight="1" x14ac:dyDescent="0.15"/>
    <row r="22801" s="76" customFormat="1" ht="21.95" customHeight="1" x14ac:dyDescent="0.15"/>
    <row r="22802" s="76" customFormat="1" ht="21.95" customHeight="1" x14ac:dyDescent="0.15"/>
    <row r="22803" s="76" customFormat="1" ht="21.95" customHeight="1" x14ac:dyDescent="0.15"/>
    <row r="22804" s="76" customFormat="1" ht="21.95" customHeight="1" x14ac:dyDescent="0.15"/>
    <row r="22805" s="76" customFormat="1" ht="21.95" customHeight="1" x14ac:dyDescent="0.15"/>
    <row r="22806" s="76" customFormat="1" ht="21.95" customHeight="1" x14ac:dyDescent="0.15"/>
    <row r="22807" s="76" customFormat="1" ht="21.95" customHeight="1" x14ac:dyDescent="0.15"/>
    <row r="22808" s="76" customFormat="1" ht="21.95" customHeight="1" x14ac:dyDescent="0.15"/>
    <row r="22809" s="76" customFormat="1" ht="21.95" customHeight="1" x14ac:dyDescent="0.15"/>
    <row r="22810" s="76" customFormat="1" ht="21.95" customHeight="1" x14ac:dyDescent="0.15"/>
    <row r="22811" s="76" customFormat="1" ht="21.95" customHeight="1" x14ac:dyDescent="0.15"/>
    <row r="22812" s="76" customFormat="1" ht="21.95" customHeight="1" x14ac:dyDescent="0.15"/>
    <row r="22813" s="76" customFormat="1" ht="21.95" customHeight="1" x14ac:dyDescent="0.15"/>
    <row r="22814" s="76" customFormat="1" ht="21.95" customHeight="1" x14ac:dyDescent="0.15"/>
    <row r="22815" s="76" customFormat="1" ht="21.95" customHeight="1" x14ac:dyDescent="0.15"/>
    <row r="22816" s="76" customFormat="1" ht="21.95" customHeight="1" x14ac:dyDescent="0.15"/>
    <row r="22817" s="76" customFormat="1" ht="21.95" customHeight="1" x14ac:dyDescent="0.15"/>
    <row r="22818" s="76" customFormat="1" ht="21.95" customHeight="1" x14ac:dyDescent="0.15"/>
    <row r="22819" s="76" customFormat="1" ht="21.95" customHeight="1" x14ac:dyDescent="0.15"/>
    <row r="22820" s="76" customFormat="1" ht="21.95" customHeight="1" x14ac:dyDescent="0.15"/>
    <row r="22821" s="76" customFormat="1" ht="21.95" customHeight="1" x14ac:dyDescent="0.15"/>
    <row r="22822" s="76" customFormat="1" ht="21.95" customHeight="1" x14ac:dyDescent="0.15"/>
    <row r="22823" s="76" customFormat="1" ht="21.95" customHeight="1" x14ac:dyDescent="0.15"/>
    <row r="22824" s="76" customFormat="1" ht="21.95" customHeight="1" x14ac:dyDescent="0.15"/>
    <row r="22825" s="76" customFormat="1" ht="35.1" customHeight="1" x14ac:dyDescent="0.15"/>
    <row r="22826" s="76" customFormat="1" ht="21.95" customHeight="1" x14ac:dyDescent="0.15"/>
    <row r="22827" s="76" customFormat="1" ht="21.95" customHeight="1" x14ac:dyDescent="0.15"/>
    <row r="22828" s="76" customFormat="1" ht="21.95" customHeight="1" x14ac:dyDescent="0.15"/>
    <row r="22829" s="76" customFormat="1" ht="21.95" customHeight="1" x14ac:dyDescent="0.15"/>
    <row r="22830" s="76" customFormat="1" ht="21.95" customHeight="1" x14ac:dyDescent="0.15"/>
    <row r="22831" s="76" customFormat="1" ht="21.95" customHeight="1" x14ac:dyDescent="0.15"/>
    <row r="22832" s="76" customFormat="1" ht="21.95" customHeight="1" x14ac:dyDescent="0.15"/>
    <row r="22833" s="76" customFormat="1" ht="21.95" customHeight="1" x14ac:dyDescent="0.15"/>
    <row r="22834" s="76" customFormat="1" ht="21.95" customHeight="1" x14ac:dyDescent="0.15"/>
    <row r="22835" s="76" customFormat="1" ht="21.95" customHeight="1" x14ac:dyDescent="0.15"/>
    <row r="22836" s="76" customFormat="1" ht="21.95" customHeight="1" x14ac:dyDescent="0.15"/>
    <row r="22837" s="76" customFormat="1" ht="21.95" customHeight="1" x14ac:dyDescent="0.15"/>
    <row r="22838" s="76" customFormat="1" ht="21.95" customHeight="1" x14ac:dyDescent="0.15"/>
    <row r="22839" s="76" customFormat="1" ht="21.95" customHeight="1" x14ac:dyDescent="0.15"/>
    <row r="22840" s="76" customFormat="1" ht="21.95" customHeight="1" x14ac:dyDescent="0.15"/>
    <row r="22841" s="76" customFormat="1" ht="21.95" customHeight="1" x14ac:dyDescent="0.15"/>
    <row r="22842" s="76" customFormat="1" ht="21.95" customHeight="1" x14ac:dyDescent="0.15"/>
    <row r="22843" s="76" customFormat="1" ht="21.95" customHeight="1" x14ac:dyDescent="0.15"/>
    <row r="22844" s="76" customFormat="1" ht="21.95" customHeight="1" x14ac:dyDescent="0.15"/>
    <row r="22845" s="76" customFormat="1" ht="21.95" customHeight="1" x14ac:dyDescent="0.15"/>
    <row r="22846" s="76" customFormat="1" ht="21.95" customHeight="1" x14ac:dyDescent="0.15"/>
    <row r="22847" s="76" customFormat="1" ht="21.95" customHeight="1" x14ac:dyDescent="0.15"/>
    <row r="22848" s="76" customFormat="1" ht="21.95" customHeight="1" x14ac:dyDescent="0.15"/>
    <row r="22849" spans="3:3" customFormat="1" ht="21.95" customHeight="1" x14ac:dyDescent="0.15"/>
    <row r="22850" spans="3:3" customFormat="1" ht="21.95" customHeight="1" x14ac:dyDescent="0.15"/>
    <row r="22851" spans="3:3" customFormat="1" ht="21.95" customHeight="1" x14ac:dyDescent="0.15">
      <c r="C22851" s="94"/>
    </row>
    <row r="22852" spans="3:3" customFormat="1" ht="21.95" customHeight="1" x14ac:dyDescent="0.15">
      <c r="C22852" s="94"/>
    </row>
    <row r="22853" spans="3:3" customFormat="1" ht="21.95" customHeight="1" x14ac:dyDescent="0.15"/>
    <row r="22854" spans="3:3" customFormat="1" ht="21.95" customHeight="1" x14ac:dyDescent="0.15"/>
    <row r="22855" spans="3:3" customFormat="1" ht="21.95" customHeight="1" x14ac:dyDescent="0.15"/>
    <row r="22856" spans="3:3" customFormat="1" ht="21.95" customHeight="1" x14ac:dyDescent="0.15"/>
    <row r="22857" spans="3:3" customFormat="1" ht="21.95" customHeight="1" x14ac:dyDescent="0.15"/>
    <row r="22858" spans="3:3" customFormat="1" ht="21.95" customHeight="1" x14ac:dyDescent="0.15"/>
    <row r="22859" spans="3:3" customFormat="1" ht="21.95" customHeight="1" x14ac:dyDescent="0.15"/>
    <row r="22860" spans="3:3" s="76" customFormat="1" ht="21.95" customHeight="1" x14ac:dyDescent="0.15"/>
    <row r="22861" spans="3:3" s="76" customFormat="1" ht="21.95" customHeight="1" x14ac:dyDescent="0.15"/>
    <row r="22862" spans="3:3" s="76" customFormat="1" ht="21.95" customHeight="1" x14ac:dyDescent="0.15"/>
    <row r="22863" spans="3:3" s="76" customFormat="1" ht="21.95" customHeight="1" x14ac:dyDescent="0.15"/>
    <row r="22864" spans="3:3" customFormat="1" ht="21.95" customHeight="1" x14ac:dyDescent="0.15"/>
    <row r="22865" customFormat="1" ht="21.95" customHeight="1" x14ac:dyDescent="0.15"/>
    <row r="22866" customFormat="1" ht="21.95" customHeight="1" x14ac:dyDescent="0.15"/>
    <row r="22867" customFormat="1" ht="21.95" customHeight="1" x14ac:dyDescent="0.15"/>
    <row r="22868" customFormat="1" ht="21.95" customHeight="1" x14ac:dyDescent="0.15"/>
    <row r="22869" customFormat="1" ht="21.95" customHeight="1" x14ac:dyDescent="0.15"/>
    <row r="22870" customFormat="1" ht="21.95" customHeight="1" x14ac:dyDescent="0.15"/>
    <row r="22871" customFormat="1" ht="21.95" customHeight="1" x14ac:dyDescent="0.15"/>
    <row r="22872" customFormat="1" ht="21.95" customHeight="1" x14ac:dyDescent="0.15"/>
    <row r="22873" customFormat="1" ht="21.95" customHeight="1" x14ac:dyDescent="0.15"/>
    <row r="22874" customFormat="1" ht="21.95" customHeight="1" x14ac:dyDescent="0.15"/>
    <row r="22875" customFormat="1" ht="32.1" customHeight="1" x14ac:dyDescent="0.15"/>
    <row r="22876" customFormat="1" ht="32.1" customHeight="1" x14ac:dyDescent="0.15"/>
    <row r="22877" customFormat="1" ht="32.1" customHeight="1" x14ac:dyDescent="0.15"/>
    <row r="22878" customFormat="1" ht="32.1" customHeight="1" x14ac:dyDescent="0.15"/>
    <row r="22879" customFormat="1" ht="32.1" customHeight="1" x14ac:dyDescent="0.15"/>
    <row r="22880" customFormat="1" ht="32.1" customHeight="1" x14ac:dyDescent="0.15"/>
    <row r="22881" s="76" customFormat="1" ht="32.1" customHeight="1" x14ac:dyDescent="0.15"/>
    <row r="22882" s="76" customFormat="1" ht="32.1" customHeight="1" x14ac:dyDescent="0.15"/>
    <row r="22883" s="76" customFormat="1" ht="32.1" customHeight="1" x14ac:dyDescent="0.15"/>
    <row r="22884" s="76" customFormat="1" ht="32.1" customHeight="1" x14ac:dyDescent="0.15"/>
    <row r="22885" s="76" customFormat="1" ht="21.95" customHeight="1" x14ac:dyDescent="0.15"/>
    <row r="22886" s="76" customFormat="1" ht="54" customHeight="1" x14ac:dyDescent="0.15"/>
    <row r="22887" s="76" customFormat="1" ht="21.95" customHeight="1" x14ac:dyDescent="0.15"/>
    <row r="22888" s="76" customFormat="1" ht="21.95" customHeight="1" x14ac:dyDescent="0.15"/>
    <row r="22889" s="76" customFormat="1" ht="21.95" customHeight="1" x14ac:dyDescent="0.15"/>
    <row r="22890" s="76" customFormat="1" ht="21.95" customHeight="1" x14ac:dyDescent="0.15"/>
    <row r="22891" s="76" customFormat="1" ht="21.95" customHeight="1" x14ac:dyDescent="0.15"/>
    <row r="22892" s="76" customFormat="1" ht="21.95" customHeight="1" x14ac:dyDescent="0.15"/>
    <row r="22893" s="76" customFormat="1" ht="21.95" customHeight="1" x14ac:dyDescent="0.15"/>
    <row r="22894" s="76" customFormat="1" ht="21.95" customHeight="1" x14ac:dyDescent="0.15"/>
    <row r="22895" s="76" customFormat="1" ht="21.95" customHeight="1" x14ac:dyDescent="0.15"/>
    <row r="22896" s="76" customFormat="1" ht="21.95" customHeight="1" x14ac:dyDescent="0.15"/>
    <row r="22897" s="76" customFormat="1" ht="21.95" customHeight="1" x14ac:dyDescent="0.15"/>
    <row r="22898" s="76" customFormat="1" ht="21.95" customHeight="1" x14ac:dyDescent="0.15"/>
    <row r="22899" s="76" customFormat="1" ht="21.95" customHeight="1" x14ac:dyDescent="0.15"/>
    <row r="22900" s="76" customFormat="1" ht="21.95" customHeight="1" x14ac:dyDescent="0.15"/>
    <row r="22901" s="76" customFormat="1" ht="21.95" customHeight="1" x14ac:dyDescent="0.15"/>
    <row r="22902" s="76" customFormat="1" ht="21.95" customHeight="1" x14ac:dyDescent="0.15"/>
    <row r="22903" s="76" customFormat="1" ht="21.95" customHeight="1" x14ac:dyDescent="0.15"/>
    <row r="22904" s="76" customFormat="1" ht="21.95" customHeight="1" x14ac:dyDescent="0.15"/>
    <row r="22905" s="76" customFormat="1" ht="21.95" customHeight="1" x14ac:dyDescent="0.15"/>
    <row r="22906" s="76" customFormat="1" ht="21.95" customHeight="1" x14ac:dyDescent="0.15"/>
    <row r="22907" s="76" customFormat="1" ht="21.95" customHeight="1" x14ac:dyDescent="0.15"/>
    <row r="22908" s="76" customFormat="1" ht="21.95" customHeight="1" x14ac:dyDescent="0.15"/>
    <row r="22909" s="76" customFormat="1" ht="21.95" customHeight="1" x14ac:dyDescent="0.15"/>
    <row r="22910" s="76" customFormat="1" ht="21.95" customHeight="1" x14ac:dyDescent="0.15"/>
    <row r="22911" s="76" customFormat="1" ht="21.95" customHeight="1" x14ac:dyDescent="0.15"/>
    <row r="22912" s="76" customFormat="1" ht="21.95" customHeight="1" x14ac:dyDescent="0.15"/>
    <row r="22913" s="76" customFormat="1" ht="21.95" customHeight="1" x14ac:dyDescent="0.15"/>
    <row r="22914" s="76" customFormat="1" ht="21.95" customHeight="1" x14ac:dyDescent="0.15"/>
    <row r="22915" s="76" customFormat="1" ht="21.95" customHeight="1" x14ac:dyDescent="0.15"/>
    <row r="22916" s="76" customFormat="1" ht="21.95" customHeight="1" x14ac:dyDescent="0.15"/>
    <row r="22917" s="76" customFormat="1" ht="21.95" customHeight="1" x14ac:dyDescent="0.15"/>
    <row r="22918" s="76" customFormat="1" ht="21.95" customHeight="1" x14ac:dyDescent="0.15"/>
    <row r="22919" s="76" customFormat="1" ht="21.95" customHeight="1" x14ac:dyDescent="0.15"/>
    <row r="22920" s="76" customFormat="1" ht="21.95" customHeight="1" x14ac:dyDescent="0.15"/>
    <row r="22921" s="76" customFormat="1" ht="21.95" customHeight="1" x14ac:dyDescent="0.15"/>
    <row r="22922" s="76" customFormat="1" ht="21.95" customHeight="1" x14ac:dyDescent="0.15"/>
    <row r="22923" s="76" customFormat="1" ht="21.95" customHeight="1" x14ac:dyDescent="0.15"/>
    <row r="22924" s="76" customFormat="1" ht="21.95" customHeight="1" x14ac:dyDescent="0.15"/>
    <row r="22925" s="76" customFormat="1" ht="21.95" customHeight="1" x14ac:dyDescent="0.15"/>
    <row r="22926" s="76" customFormat="1" ht="21.95" customHeight="1" x14ac:dyDescent="0.15"/>
    <row r="22927" s="76" customFormat="1" ht="21.95" customHeight="1" x14ac:dyDescent="0.15"/>
    <row r="22928" s="76" customFormat="1" ht="21.95" customHeight="1" x14ac:dyDescent="0.15"/>
    <row r="22929" s="76" customFormat="1" ht="21.95" customHeight="1" x14ac:dyDescent="0.15"/>
    <row r="22930" s="76" customFormat="1" ht="21.95" customHeight="1" x14ac:dyDescent="0.15"/>
    <row r="22931" s="76" customFormat="1" ht="21.95" customHeight="1" x14ac:dyDescent="0.15"/>
    <row r="22932" s="76" customFormat="1" ht="21.95" customHeight="1" x14ac:dyDescent="0.15"/>
    <row r="22933" s="76" customFormat="1" ht="21.95" customHeight="1" x14ac:dyDescent="0.15"/>
    <row r="22934" s="76" customFormat="1" ht="21.95" customHeight="1" x14ac:dyDescent="0.15"/>
    <row r="22935" s="76" customFormat="1" ht="21.95" customHeight="1" x14ac:dyDescent="0.15"/>
    <row r="22936" s="76" customFormat="1" ht="21.95" customHeight="1" x14ac:dyDescent="0.15"/>
    <row r="22937" s="76" customFormat="1" ht="35.1" customHeight="1" x14ac:dyDescent="0.15"/>
    <row r="22938" s="76" customFormat="1" ht="21.95" customHeight="1" x14ac:dyDescent="0.15"/>
    <row r="22939" s="76" customFormat="1" ht="21.95" customHeight="1" x14ac:dyDescent="0.15"/>
    <row r="22940" s="76" customFormat="1" ht="21.95" customHeight="1" x14ac:dyDescent="0.15"/>
    <row r="22941" s="76" customFormat="1" ht="21.95" customHeight="1" x14ac:dyDescent="0.15"/>
    <row r="22942" s="76" customFormat="1" ht="21.95" customHeight="1" x14ac:dyDescent="0.15"/>
    <row r="22943" s="76" customFormat="1" ht="21.95" customHeight="1" x14ac:dyDescent="0.15"/>
    <row r="22944" s="76" customFormat="1" ht="21.95" customHeight="1" x14ac:dyDescent="0.15"/>
    <row r="22945" s="76" customFormat="1" ht="21.95" customHeight="1" x14ac:dyDescent="0.15"/>
    <row r="22946" s="76" customFormat="1" ht="21.95" customHeight="1" x14ac:dyDescent="0.15"/>
    <row r="22947" s="76" customFormat="1" ht="21.95" customHeight="1" x14ac:dyDescent="0.15"/>
    <row r="22948" s="76" customFormat="1" ht="21.95" customHeight="1" x14ac:dyDescent="0.15"/>
    <row r="22949" s="76" customFormat="1" ht="21.95" customHeight="1" x14ac:dyDescent="0.15"/>
    <row r="22950" s="76" customFormat="1" ht="21.95" customHeight="1" x14ac:dyDescent="0.15"/>
    <row r="22951" s="76" customFormat="1" ht="21.95" customHeight="1" x14ac:dyDescent="0.15"/>
    <row r="22952" s="76" customFormat="1" ht="21.95" customHeight="1" x14ac:dyDescent="0.15"/>
    <row r="22953" s="76" customFormat="1" ht="21.95" customHeight="1" x14ac:dyDescent="0.15"/>
    <row r="22954" s="76" customFormat="1" ht="21.95" customHeight="1" x14ac:dyDescent="0.15"/>
    <row r="22955" s="76" customFormat="1" ht="21.95" customHeight="1" x14ac:dyDescent="0.15"/>
    <row r="22956" s="76" customFormat="1" ht="21.95" customHeight="1" x14ac:dyDescent="0.15"/>
    <row r="22957" s="76" customFormat="1" ht="21.95" customHeight="1" x14ac:dyDescent="0.15"/>
    <row r="22958" s="76" customFormat="1" ht="21.95" customHeight="1" x14ac:dyDescent="0.15"/>
    <row r="22959" s="76" customFormat="1" ht="21.95" customHeight="1" x14ac:dyDescent="0.15"/>
    <row r="22960" s="76" customFormat="1" ht="21.95" customHeight="1" x14ac:dyDescent="0.15"/>
    <row r="22961" spans="3:3" customFormat="1" ht="21.95" customHeight="1" x14ac:dyDescent="0.15"/>
    <row r="22962" spans="3:3" customFormat="1" ht="21.95" customHeight="1" x14ac:dyDescent="0.15"/>
    <row r="22963" spans="3:3" customFormat="1" ht="21.95" customHeight="1" x14ac:dyDescent="0.15">
      <c r="C22963" s="94"/>
    </row>
    <row r="22964" spans="3:3" customFormat="1" ht="21.95" customHeight="1" x14ac:dyDescent="0.15">
      <c r="C22964" s="94"/>
    </row>
    <row r="22965" spans="3:3" customFormat="1" ht="21.95" customHeight="1" x14ac:dyDescent="0.15"/>
    <row r="22966" spans="3:3" customFormat="1" ht="21.95" customHeight="1" x14ac:dyDescent="0.15"/>
    <row r="22967" spans="3:3" customFormat="1" ht="21.95" customHeight="1" x14ac:dyDescent="0.15"/>
    <row r="22968" spans="3:3" customFormat="1" ht="21.95" customHeight="1" x14ac:dyDescent="0.15"/>
    <row r="22969" spans="3:3" customFormat="1" ht="21.95" customHeight="1" x14ac:dyDescent="0.15"/>
    <row r="22970" spans="3:3" customFormat="1" ht="21.95" customHeight="1" x14ac:dyDescent="0.15"/>
    <row r="22971" spans="3:3" customFormat="1" ht="21.95" customHeight="1" x14ac:dyDescent="0.15"/>
    <row r="22972" spans="3:3" s="76" customFormat="1" ht="21.95" customHeight="1" x14ac:dyDescent="0.15"/>
    <row r="22973" spans="3:3" s="76" customFormat="1" ht="21.95" customHeight="1" x14ac:dyDescent="0.15"/>
    <row r="22974" spans="3:3" s="76" customFormat="1" ht="21.95" customHeight="1" x14ac:dyDescent="0.15"/>
    <row r="22975" spans="3:3" s="76" customFormat="1" ht="21.95" customHeight="1" x14ac:dyDescent="0.15"/>
    <row r="22976" spans="3:3" customFormat="1" ht="21.95" customHeight="1" x14ac:dyDescent="0.15"/>
    <row r="22977" customFormat="1" ht="21.95" customHeight="1" x14ac:dyDescent="0.15"/>
    <row r="22978" customFormat="1" ht="21.95" customHeight="1" x14ac:dyDescent="0.15"/>
    <row r="22979" customFormat="1" ht="21.95" customHeight="1" x14ac:dyDescent="0.15"/>
    <row r="22980" customFormat="1" ht="21.95" customHeight="1" x14ac:dyDescent="0.15"/>
    <row r="22981" customFormat="1" ht="21.95" customHeight="1" x14ac:dyDescent="0.15"/>
    <row r="22982" customFormat="1" ht="21.95" customHeight="1" x14ac:dyDescent="0.15"/>
    <row r="22983" customFormat="1" ht="21.95" customHeight="1" x14ac:dyDescent="0.15"/>
    <row r="22984" customFormat="1" ht="21.95" customHeight="1" x14ac:dyDescent="0.15"/>
    <row r="22985" customFormat="1" ht="21.95" customHeight="1" x14ac:dyDescent="0.15"/>
    <row r="22986" customFormat="1" ht="21.95" customHeight="1" x14ac:dyDescent="0.15"/>
    <row r="22987" customFormat="1" ht="32.1" customHeight="1" x14ac:dyDescent="0.15"/>
    <row r="22988" customFormat="1" ht="32.1" customHeight="1" x14ac:dyDescent="0.15"/>
    <row r="22989" customFormat="1" ht="32.1" customHeight="1" x14ac:dyDescent="0.15"/>
    <row r="22990" customFormat="1" ht="32.1" customHeight="1" x14ac:dyDescent="0.15"/>
    <row r="22991" customFormat="1" ht="32.1" customHeight="1" x14ac:dyDescent="0.15"/>
    <row r="22992" customFormat="1" ht="32.1" customHeight="1" x14ac:dyDescent="0.15"/>
    <row r="22993" s="76" customFormat="1" ht="32.1" customHeight="1" x14ac:dyDescent="0.15"/>
    <row r="22994" s="76" customFormat="1" ht="32.1" customHeight="1" x14ac:dyDescent="0.15"/>
    <row r="22995" s="76" customFormat="1" ht="32.1" customHeight="1" x14ac:dyDescent="0.15"/>
    <row r="22996" s="76" customFormat="1" ht="32.1" customHeight="1" x14ac:dyDescent="0.15"/>
    <row r="22997" s="76" customFormat="1" ht="21.95" customHeight="1" x14ac:dyDescent="0.15"/>
    <row r="22998" s="76" customFormat="1" ht="54" customHeight="1" x14ac:dyDescent="0.15"/>
    <row r="22999" s="76" customFormat="1" ht="21.95" customHeight="1" x14ac:dyDescent="0.15"/>
    <row r="23000" s="76" customFormat="1" ht="21.95" customHeight="1" x14ac:dyDescent="0.15"/>
    <row r="23001" s="76" customFormat="1" ht="21.95" customHeight="1" x14ac:dyDescent="0.15"/>
    <row r="23002" s="76" customFormat="1" ht="21.95" customHeight="1" x14ac:dyDescent="0.15"/>
    <row r="23003" s="76" customFormat="1" ht="21.95" customHeight="1" x14ac:dyDescent="0.15"/>
    <row r="23004" s="76" customFormat="1" ht="21.95" customHeight="1" x14ac:dyDescent="0.15"/>
    <row r="23005" s="76" customFormat="1" ht="21.95" customHeight="1" x14ac:dyDescent="0.15"/>
    <row r="23006" s="76" customFormat="1" ht="21.95" customHeight="1" x14ac:dyDescent="0.15"/>
    <row r="23007" s="76" customFormat="1" ht="21.95" customHeight="1" x14ac:dyDescent="0.15"/>
    <row r="23008" s="76" customFormat="1" ht="21.95" customHeight="1" x14ac:dyDescent="0.15"/>
    <row r="23009" s="76" customFormat="1" ht="21.95" customHeight="1" x14ac:dyDescent="0.15"/>
    <row r="23010" s="76" customFormat="1" ht="21.95" customHeight="1" x14ac:dyDescent="0.15"/>
    <row r="23011" s="76" customFormat="1" ht="21.95" customHeight="1" x14ac:dyDescent="0.15"/>
    <row r="23012" s="76" customFormat="1" ht="21.95" customHeight="1" x14ac:dyDescent="0.15"/>
    <row r="23013" s="76" customFormat="1" ht="21.95" customHeight="1" x14ac:dyDescent="0.15"/>
    <row r="23014" s="76" customFormat="1" ht="21.95" customHeight="1" x14ac:dyDescent="0.15"/>
    <row r="23015" s="76" customFormat="1" ht="21.95" customHeight="1" x14ac:dyDescent="0.15"/>
    <row r="23016" s="76" customFormat="1" ht="21.95" customHeight="1" x14ac:dyDescent="0.15"/>
    <row r="23017" s="76" customFormat="1" ht="21.95" customHeight="1" x14ac:dyDescent="0.15"/>
    <row r="23018" s="76" customFormat="1" ht="21.95" customHeight="1" x14ac:dyDescent="0.15"/>
    <row r="23019" s="76" customFormat="1" ht="21.95" customHeight="1" x14ac:dyDescent="0.15"/>
    <row r="23020" s="76" customFormat="1" ht="21.95" customHeight="1" x14ac:dyDescent="0.15"/>
    <row r="23021" s="76" customFormat="1" ht="21.95" customHeight="1" x14ac:dyDescent="0.15"/>
    <row r="23022" s="76" customFormat="1" ht="21.95" customHeight="1" x14ac:dyDescent="0.15"/>
    <row r="23023" s="76" customFormat="1" ht="21.95" customHeight="1" x14ac:dyDescent="0.15"/>
    <row r="23024" s="76" customFormat="1" ht="21.95" customHeight="1" x14ac:dyDescent="0.15"/>
    <row r="23025" s="76" customFormat="1" ht="21.95" customHeight="1" x14ac:dyDescent="0.15"/>
    <row r="23026" s="76" customFormat="1" ht="21.95" customHeight="1" x14ac:dyDescent="0.15"/>
    <row r="23027" s="76" customFormat="1" ht="21.95" customHeight="1" x14ac:dyDescent="0.15"/>
    <row r="23028" s="76" customFormat="1" ht="21.95" customHeight="1" x14ac:dyDescent="0.15"/>
    <row r="23029" s="76" customFormat="1" ht="21.95" customHeight="1" x14ac:dyDescent="0.15"/>
    <row r="23030" s="76" customFormat="1" ht="21.95" customHeight="1" x14ac:dyDescent="0.15"/>
    <row r="23031" s="76" customFormat="1" ht="21.95" customHeight="1" x14ac:dyDescent="0.15"/>
    <row r="23032" s="76" customFormat="1" ht="21.95" customHeight="1" x14ac:dyDescent="0.15"/>
    <row r="23033" s="76" customFormat="1" ht="21.95" customHeight="1" x14ac:dyDescent="0.15"/>
    <row r="23034" s="76" customFormat="1" ht="21.95" customHeight="1" x14ac:dyDescent="0.15"/>
    <row r="23035" s="76" customFormat="1" ht="21.95" customHeight="1" x14ac:dyDescent="0.15"/>
    <row r="23036" s="76" customFormat="1" ht="21.95" customHeight="1" x14ac:dyDescent="0.15"/>
    <row r="23037" s="76" customFormat="1" ht="21.95" customHeight="1" x14ac:dyDescent="0.15"/>
    <row r="23038" s="76" customFormat="1" ht="21.95" customHeight="1" x14ac:dyDescent="0.15"/>
    <row r="23039" s="76" customFormat="1" ht="21.95" customHeight="1" x14ac:dyDescent="0.15"/>
    <row r="23040" s="76" customFormat="1" ht="21.95" customHeight="1" x14ac:dyDescent="0.15"/>
    <row r="23041" s="76" customFormat="1" ht="21.95" customHeight="1" x14ac:dyDescent="0.15"/>
    <row r="23042" s="76" customFormat="1" ht="21.95" customHeight="1" x14ac:dyDescent="0.15"/>
    <row r="23043" s="76" customFormat="1" ht="21.95" customHeight="1" x14ac:dyDescent="0.15"/>
    <row r="23044" s="76" customFormat="1" ht="21.95" customHeight="1" x14ac:dyDescent="0.15"/>
    <row r="23045" s="76" customFormat="1" ht="21.95" customHeight="1" x14ac:dyDescent="0.15"/>
    <row r="23046" s="76" customFormat="1" ht="21.95" customHeight="1" x14ac:dyDescent="0.15"/>
    <row r="23047" s="76" customFormat="1" ht="21.95" customHeight="1" x14ac:dyDescent="0.15"/>
    <row r="23048" s="76" customFormat="1" ht="21.95" customHeight="1" x14ac:dyDescent="0.15"/>
    <row r="23049" s="76" customFormat="1" ht="35.1" customHeight="1" x14ac:dyDescent="0.15"/>
    <row r="23050" s="76" customFormat="1" ht="21.95" customHeight="1" x14ac:dyDescent="0.15"/>
    <row r="23051" s="76" customFormat="1" ht="21.95" customHeight="1" x14ac:dyDescent="0.15"/>
    <row r="23052" s="76" customFormat="1" ht="21.95" customHeight="1" x14ac:dyDescent="0.15"/>
    <row r="23053" s="76" customFormat="1" ht="21.95" customHeight="1" x14ac:dyDescent="0.15"/>
    <row r="23054" s="76" customFormat="1" ht="21.95" customHeight="1" x14ac:dyDescent="0.15"/>
    <row r="23055" s="76" customFormat="1" ht="21.95" customHeight="1" x14ac:dyDescent="0.15"/>
    <row r="23056" s="76" customFormat="1" ht="21.95" customHeight="1" x14ac:dyDescent="0.15"/>
    <row r="23057" s="76" customFormat="1" ht="21.95" customHeight="1" x14ac:dyDescent="0.15"/>
    <row r="23058" s="76" customFormat="1" ht="21.95" customHeight="1" x14ac:dyDescent="0.15"/>
    <row r="23059" s="76" customFormat="1" ht="21.95" customHeight="1" x14ac:dyDescent="0.15"/>
    <row r="23060" s="76" customFormat="1" ht="21.95" customHeight="1" x14ac:dyDescent="0.15"/>
    <row r="23061" s="76" customFormat="1" ht="21.95" customHeight="1" x14ac:dyDescent="0.15"/>
    <row r="23062" s="76" customFormat="1" ht="21.95" customHeight="1" x14ac:dyDescent="0.15"/>
    <row r="23063" s="76" customFormat="1" ht="21.95" customHeight="1" x14ac:dyDescent="0.15"/>
    <row r="23064" s="76" customFormat="1" ht="21.95" customHeight="1" x14ac:dyDescent="0.15"/>
    <row r="23065" s="76" customFormat="1" ht="21.95" customHeight="1" x14ac:dyDescent="0.15"/>
    <row r="23066" s="76" customFormat="1" ht="21.95" customHeight="1" x14ac:dyDescent="0.15"/>
    <row r="23067" s="76" customFormat="1" ht="21.95" customHeight="1" x14ac:dyDescent="0.15"/>
    <row r="23068" s="76" customFormat="1" ht="21.95" customHeight="1" x14ac:dyDescent="0.15"/>
    <row r="23069" s="76" customFormat="1" ht="21.95" customHeight="1" x14ac:dyDescent="0.15"/>
    <row r="23070" s="76" customFormat="1" ht="21.95" customHeight="1" x14ac:dyDescent="0.15"/>
    <row r="23071" s="76" customFormat="1" ht="21.95" customHeight="1" x14ac:dyDescent="0.15"/>
    <row r="23072" s="76" customFormat="1" ht="21.95" customHeight="1" x14ac:dyDescent="0.15"/>
    <row r="23073" spans="3:3" customFormat="1" ht="21.95" customHeight="1" x14ac:dyDescent="0.15"/>
    <row r="23074" spans="3:3" customFormat="1" ht="21.95" customHeight="1" x14ac:dyDescent="0.15"/>
    <row r="23075" spans="3:3" customFormat="1" ht="21.95" customHeight="1" x14ac:dyDescent="0.15">
      <c r="C23075" s="94"/>
    </row>
    <row r="23076" spans="3:3" customFormat="1" ht="21.95" customHeight="1" x14ac:dyDescent="0.15">
      <c r="C23076" s="94"/>
    </row>
    <row r="23077" spans="3:3" customFormat="1" ht="21.95" customHeight="1" x14ac:dyDescent="0.15"/>
    <row r="23078" spans="3:3" customFormat="1" ht="21.95" customHeight="1" x14ac:dyDescent="0.15"/>
    <row r="23079" spans="3:3" customFormat="1" ht="21.95" customHeight="1" x14ac:dyDescent="0.15"/>
    <row r="23080" spans="3:3" customFormat="1" ht="21.95" customHeight="1" x14ac:dyDescent="0.15"/>
    <row r="23081" spans="3:3" customFormat="1" ht="21.95" customHeight="1" x14ac:dyDescent="0.15"/>
    <row r="23082" spans="3:3" customFormat="1" ht="21.95" customHeight="1" x14ac:dyDescent="0.15"/>
    <row r="23083" spans="3:3" customFormat="1" ht="21.95" customHeight="1" x14ac:dyDescent="0.15"/>
    <row r="23084" spans="3:3" s="76" customFormat="1" ht="21.95" customHeight="1" x14ac:dyDescent="0.15"/>
    <row r="23085" spans="3:3" s="76" customFormat="1" ht="21.95" customHeight="1" x14ac:dyDescent="0.15"/>
    <row r="23086" spans="3:3" s="76" customFormat="1" ht="21.95" customHeight="1" x14ac:dyDescent="0.15"/>
    <row r="23087" spans="3:3" s="76" customFormat="1" ht="21.95" customHeight="1" x14ac:dyDescent="0.15"/>
    <row r="23088" spans="3:3" customFormat="1" ht="21.95" customHeight="1" x14ac:dyDescent="0.15"/>
    <row r="23089" customFormat="1" ht="21.95" customHeight="1" x14ac:dyDescent="0.15"/>
    <row r="23090" customFormat="1" ht="21.95" customHeight="1" x14ac:dyDescent="0.15"/>
    <row r="23091" customFormat="1" ht="21.95" customHeight="1" x14ac:dyDescent="0.15"/>
    <row r="23092" customFormat="1" ht="21.95" customHeight="1" x14ac:dyDescent="0.15"/>
    <row r="23093" customFormat="1" ht="21.95" customHeight="1" x14ac:dyDescent="0.15"/>
    <row r="23094" customFormat="1" ht="21.95" customHeight="1" x14ac:dyDescent="0.15"/>
    <row r="23095" customFormat="1" ht="21.95" customHeight="1" x14ac:dyDescent="0.15"/>
    <row r="23096" customFormat="1" ht="21.95" customHeight="1" x14ac:dyDescent="0.15"/>
    <row r="23097" customFormat="1" ht="21.95" customHeight="1" x14ac:dyDescent="0.15"/>
    <row r="23098" customFormat="1" ht="21.95" customHeight="1" x14ac:dyDescent="0.15"/>
    <row r="23099" customFormat="1" ht="32.1" customHeight="1" x14ac:dyDescent="0.15"/>
    <row r="23100" customFormat="1" ht="32.1" customHeight="1" x14ac:dyDescent="0.15"/>
    <row r="23101" customFormat="1" ht="32.1" customHeight="1" x14ac:dyDescent="0.15"/>
    <row r="23102" customFormat="1" ht="32.1" customHeight="1" x14ac:dyDescent="0.15"/>
    <row r="23103" customFormat="1" ht="32.1" customHeight="1" x14ac:dyDescent="0.15"/>
    <row r="23104" customFormat="1" ht="32.1" customHeight="1" x14ac:dyDescent="0.15"/>
    <row r="23105" s="76" customFormat="1" ht="32.1" customHeight="1" x14ac:dyDescent="0.15"/>
    <row r="23106" s="76" customFormat="1" ht="32.1" customHeight="1" x14ac:dyDescent="0.15"/>
    <row r="23107" s="76" customFormat="1" ht="32.1" customHeight="1" x14ac:dyDescent="0.15"/>
    <row r="23108" s="76" customFormat="1" ht="32.1" customHeight="1" x14ac:dyDescent="0.15"/>
    <row r="23109" s="76" customFormat="1" ht="21.95" customHeight="1" x14ac:dyDescent="0.15"/>
    <row r="23110" s="76" customFormat="1" ht="54" customHeight="1" x14ac:dyDescent="0.15"/>
    <row r="23111" s="76" customFormat="1" ht="21.95" customHeight="1" x14ac:dyDescent="0.15"/>
    <row r="23112" s="76" customFormat="1" ht="21.95" customHeight="1" x14ac:dyDescent="0.15"/>
    <row r="23113" s="76" customFormat="1" ht="21.95" customHeight="1" x14ac:dyDescent="0.15"/>
    <row r="23114" s="76" customFormat="1" ht="21.95" customHeight="1" x14ac:dyDescent="0.15"/>
    <row r="23115" s="76" customFormat="1" ht="21.95" customHeight="1" x14ac:dyDescent="0.15"/>
    <row r="23116" s="76" customFormat="1" ht="21.95" customHeight="1" x14ac:dyDescent="0.15"/>
    <row r="23117" s="76" customFormat="1" ht="21.95" customHeight="1" x14ac:dyDescent="0.15"/>
    <row r="23118" s="76" customFormat="1" ht="21.95" customHeight="1" x14ac:dyDescent="0.15"/>
    <row r="23119" s="76" customFormat="1" ht="21.95" customHeight="1" x14ac:dyDescent="0.15"/>
    <row r="23120" s="76" customFormat="1" ht="21.95" customHeight="1" x14ac:dyDescent="0.15"/>
    <row r="23121" s="76" customFormat="1" ht="21.95" customHeight="1" x14ac:dyDescent="0.15"/>
    <row r="23122" s="76" customFormat="1" ht="21.95" customHeight="1" x14ac:dyDescent="0.15"/>
    <row r="23123" s="76" customFormat="1" ht="21.95" customHeight="1" x14ac:dyDescent="0.15"/>
    <row r="23124" s="76" customFormat="1" ht="21.95" customHeight="1" x14ac:dyDescent="0.15"/>
    <row r="23125" s="76" customFormat="1" ht="21.95" customHeight="1" x14ac:dyDescent="0.15"/>
    <row r="23126" s="76" customFormat="1" ht="21.95" customHeight="1" x14ac:dyDescent="0.15"/>
    <row r="23127" s="76" customFormat="1" ht="21.95" customHeight="1" x14ac:dyDescent="0.15"/>
    <row r="23128" s="76" customFormat="1" ht="21.95" customHeight="1" x14ac:dyDescent="0.15"/>
    <row r="23129" s="76" customFormat="1" ht="21.95" customHeight="1" x14ac:dyDescent="0.15"/>
    <row r="23130" s="76" customFormat="1" ht="21.95" customHeight="1" x14ac:dyDescent="0.15"/>
    <row r="23131" s="76" customFormat="1" ht="21.95" customHeight="1" x14ac:dyDescent="0.15"/>
    <row r="23132" s="76" customFormat="1" ht="21.95" customHeight="1" x14ac:dyDescent="0.15"/>
    <row r="23133" s="76" customFormat="1" ht="21.95" customHeight="1" x14ac:dyDescent="0.15"/>
    <row r="23134" s="76" customFormat="1" ht="21.95" customHeight="1" x14ac:dyDescent="0.15"/>
    <row r="23135" s="76" customFormat="1" ht="21.95" customHeight="1" x14ac:dyDescent="0.15"/>
    <row r="23136" s="76" customFormat="1" ht="21.95" customHeight="1" x14ac:dyDescent="0.15"/>
    <row r="23137" s="76" customFormat="1" ht="21.95" customHeight="1" x14ac:dyDescent="0.15"/>
    <row r="23138" s="76" customFormat="1" ht="21.95" customHeight="1" x14ac:dyDescent="0.15"/>
    <row r="23139" s="76" customFormat="1" ht="21.95" customHeight="1" x14ac:dyDescent="0.15"/>
    <row r="23140" s="76" customFormat="1" ht="21.95" customHeight="1" x14ac:dyDescent="0.15"/>
    <row r="23141" s="76" customFormat="1" ht="21.95" customHeight="1" x14ac:dyDescent="0.15"/>
    <row r="23142" s="76" customFormat="1" ht="21.95" customHeight="1" x14ac:dyDescent="0.15"/>
    <row r="23143" s="76" customFormat="1" ht="21.95" customHeight="1" x14ac:dyDescent="0.15"/>
    <row r="23144" s="76" customFormat="1" ht="21.95" customHeight="1" x14ac:dyDescent="0.15"/>
    <row r="23145" s="76" customFormat="1" ht="21.95" customHeight="1" x14ac:dyDescent="0.15"/>
    <row r="23146" s="76" customFormat="1" ht="21.95" customHeight="1" x14ac:dyDescent="0.15"/>
    <row r="23147" s="76" customFormat="1" ht="21.95" customHeight="1" x14ac:dyDescent="0.15"/>
    <row r="23148" s="76" customFormat="1" ht="21.95" customHeight="1" x14ac:dyDescent="0.15"/>
    <row r="23149" s="76" customFormat="1" ht="21.95" customHeight="1" x14ac:dyDescent="0.15"/>
    <row r="23150" s="76" customFormat="1" ht="21.95" customHeight="1" x14ac:dyDescent="0.15"/>
    <row r="23151" s="76" customFormat="1" ht="21.95" customHeight="1" x14ac:dyDescent="0.15"/>
    <row r="23152" s="76" customFormat="1" ht="21.95" customHeight="1" x14ac:dyDescent="0.15"/>
    <row r="23153" s="76" customFormat="1" ht="21.95" customHeight="1" x14ac:dyDescent="0.15"/>
    <row r="23154" s="76" customFormat="1" ht="21.95" customHeight="1" x14ac:dyDescent="0.15"/>
    <row r="23155" s="76" customFormat="1" ht="21.95" customHeight="1" x14ac:dyDescent="0.15"/>
    <row r="23156" s="76" customFormat="1" ht="21.95" customHeight="1" x14ac:dyDescent="0.15"/>
    <row r="23157" s="76" customFormat="1" ht="21.95" customHeight="1" x14ac:dyDescent="0.15"/>
    <row r="23158" s="76" customFormat="1" ht="21.95" customHeight="1" x14ac:dyDescent="0.15"/>
    <row r="23159" s="76" customFormat="1" ht="21.95" customHeight="1" x14ac:dyDescent="0.15"/>
    <row r="23160" s="76" customFormat="1" ht="21.95" customHeight="1" x14ac:dyDescent="0.15"/>
    <row r="23161" s="76" customFormat="1" ht="35.1" customHeight="1" x14ac:dyDescent="0.15"/>
    <row r="23162" s="76" customFormat="1" ht="21.95" customHeight="1" x14ac:dyDescent="0.15"/>
    <row r="23163" s="76" customFormat="1" ht="21.95" customHeight="1" x14ac:dyDescent="0.15"/>
    <row r="23164" s="76" customFormat="1" ht="21.95" customHeight="1" x14ac:dyDescent="0.15"/>
    <row r="23165" s="76" customFormat="1" ht="21.95" customHeight="1" x14ac:dyDescent="0.15"/>
    <row r="23166" s="76" customFormat="1" ht="21.95" customHeight="1" x14ac:dyDescent="0.15"/>
    <row r="23167" s="76" customFormat="1" ht="21.95" customHeight="1" x14ac:dyDescent="0.15"/>
    <row r="23168" s="76" customFormat="1" ht="21.95" customHeight="1" x14ac:dyDescent="0.15"/>
    <row r="23169" s="76" customFormat="1" ht="21.95" customHeight="1" x14ac:dyDescent="0.15"/>
    <row r="23170" s="76" customFormat="1" ht="21.95" customHeight="1" x14ac:dyDescent="0.15"/>
    <row r="23171" s="76" customFormat="1" ht="21.95" customHeight="1" x14ac:dyDescent="0.15"/>
    <row r="23172" s="76" customFormat="1" ht="21.95" customHeight="1" x14ac:dyDescent="0.15"/>
    <row r="23173" s="76" customFormat="1" ht="21.95" customHeight="1" x14ac:dyDescent="0.15"/>
    <row r="23174" s="76" customFormat="1" ht="21.95" customHeight="1" x14ac:dyDescent="0.15"/>
    <row r="23175" s="76" customFormat="1" ht="21.95" customHeight="1" x14ac:dyDescent="0.15"/>
    <row r="23176" s="76" customFormat="1" ht="21.95" customHeight="1" x14ac:dyDescent="0.15"/>
    <row r="23177" s="76" customFormat="1" ht="21.95" customHeight="1" x14ac:dyDescent="0.15"/>
    <row r="23178" s="76" customFormat="1" ht="21.95" customHeight="1" x14ac:dyDescent="0.15"/>
    <row r="23179" s="76" customFormat="1" ht="21.95" customHeight="1" x14ac:dyDescent="0.15"/>
    <row r="23180" s="76" customFormat="1" ht="21.95" customHeight="1" x14ac:dyDescent="0.15"/>
    <row r="23181" s="76" customFormat="1" ht="21.95" customHeight="1" x14ac:dyDescent="0.15"/>
    <row r="23182" s="76" customFormat="1" ht="21.95" customHeight="1" x14ac:dyDescent="0.15"/>
    <row r="23183" s="76" customFormat="1" ht="21.95" customHeight="1" x14ac:dyDescent="0.15"/>
    <row r="23184" s="76" customFormat="1" ht="21.95" customHeight="1" x14ac:dyDescent="0.15"/>
    <row r="23185" spans="3:3" customFormat="1" ht="21.95" customHeight="1" x14ac:dyDescent="0.15"/>
    <row r="23186" spans="3:3" customFormat="1" ht="21.95" customHeight="1" x14ac:dyDescent="0.15"/>
    <row r="23187" spans="3:3" customFormat="1" ht="21.95" customHeight="1" x14ac:dyDescent="0.15">
      <c r="C23187" s="94"/>
    </row>
    <row r="23188" spans="3:3" customFormat="1" ht="21.95" customHeight="1" x14ac:dyDescent="0.15">
      <c r="C23188" s="94"/>
    </row>
    <row r="23189" spans="3:3" customFormat="1" ht="21.95" customHeight="1" x14ac:dyDescent="0.15"/>
    <row r="23190" spans="3:3" customFormat="1" ht="21.95" customHeight="1" x14ac:dyDescent="0.15"/>
    <row r="23191" spans="3:3" customFormat="1" ht="21.95" customHeight="1" x14ac:dyDescent="0.15"/>
    <row r="23192" spans="3:3" customFormat="1" ht="21.95" customHeight="1" x14ac:dyDescent="0.15"/>
    <row r="23193" spans="3:3" customFormat="1" ht="21.95" customHeight="1" x14ac:dyDescent="0.15"/>
    <row r="23194" spans="3:3" customFormat="1" ht="21.95" customHeight="1" x14ac:dyDescent="0.15"/>
    <row r="23195" spans="3:3" customFormat="1" ht="21.95" customHeight="1" x14ac:dyDescent="0.15"/>
    <row r="23196" spans="3:3" s="76" customFormat="1" ht="21.95" customHeight="1" x14ac:dyDescent="0.15"/>
    <row r="23197" spans="3:3" s="76" customFormat="1" ht="21.95" customHeight="1" x14ac:dyDescent="0.15"/>
    <row r="23198" spans="3:3" s="76" customFormat="1" ht="21.95" customHeight="1" x14ac:dyDescent="0.15"/>
    <row r="23199" spans="3:3" s="76" customFormat="1" ht="21.95" customHeight="1" x14ac:dyDescent="0.15"/>
    <row r="23200" spans="3:3" customFormat="1" ht="21.95" customHeight="1" x14ac:dyDescent="0.15"/>
    <row r="23201" customFormat="1" ht="21.95" customHeight="1" x14ac:dyDescent="0.15"/>
    <row r="23202" customFormat="1" ht="21.95" customHeight="1" x14ac:dyDescent="0.15"/>
    <row r="23203" customFormat="1" ht="21.95" customHeight="1" x14ac:dyDescent="0.15"/>
    <row r="23204" customFormat="1" ht="21.95" customHeight="1" x14ac:dyDescent="0.15"/>
    <row r="23205" customFormat="1" ht="21.95" customHeight="1" x14ac:dyDescent="0.15"/>
    <row r="23206" customFormat="1" ht="21.95" customHeight="1" x14ac:dyDescent="0.15"/>
    <row r="23207" customFormat="1" ht="21.95" customHeight="1" x14ac:dyDescent="0.15"/>
    <row r="23208" customFormat="1" ht="21.95" customHeight="1" x14ac:dyDescent="0.15"/>
    <row r="23209" customFormat="1" ht="21.95" customHeight="1" x14ac:dyDescent="0.15"/>
    <row r="23210" customFormat="1" ht="21.95" customHeight="1" x14ac:dyDescent="0.15"/>
    <row r="23211" customFormat="1" ht="32.1" customHeight="1" x14ac:dyDescent="0.15"/>
    <row r="23212" customFormat="1" ht="32.1" customHeight="1" x14ac:dyDescent="0.15"/>
    <row r="23213" customFormat="1" ht="32.1" customHeight="1" x14ac:dyDescent="0.15"/>
    <row r="23214" customFormat="1" ht="32.1" customHeight="1" x14ac:dyDescent="0.15"/>
    <row r="23215" customFormat="1" ht="32.1" customHeight="1" x14ac:dyDescent="0.15"/>
    <row r="23216" customFormat="1" ht="32.1" customHeight="1" x14ac:dyDescent="0.15"/>
    <row r="23217" s="76" customFormat="1" ht="32.1" customHeight="1" x14ac:dyDescent="0.15"/>
    <row r="23218" s="76" customFormat="1" ht="32.1" customHeight="1" x14ac:dyDescent="0.15"/>
    <row r="23219" s="76" customFormat="1" ht="32.1" customHeight="1" x14ac:dyDescent="0.15"/>
    <row r="23220" s="76" customFormat="1" ht="32.1" customHeight="1" x14ac:dyDescent="0.15"/>
    <row r="23221" s="76" customFormat="1" ht="21.95" customHeight="1" x14ac:dyDescent="0.15"/>
    <row r="23222" s="76" customFormat="1" ht="54" customHeight="1" x14ac:dyDescent="0.15"/>
    <row r="23223" s="76" customFormat="1" ht="21.95" customHeight="1" x14ac:dyDescent="0.15"/>
    <row r="23224" s="76" customFormat="1" ht="21.95" customHeight="1" x14ac:dyDescent="0.15"/>
    <row r="23225" s="76" customFormat="1" ht="21.95" customHeight="1" x14ac:dyDescent="0.15"/>
    <row r="23226" s="76" customFormat="1" ht="21.95" customHeight="1" x14ac:dyDescent="0.15"/>
    <row r="23227" s="76" customFormat="1" ht="21.95" customHeight="1" x14ac:dyDescent="0.15"/>
    <row r="23228" s="76" customFormat="1" ht="21.95" customHeight="1" x14ac:dyDescent="0.15"/>
    <row r="23229" s="76" customFormat="1" ht="21.95" customHeight="1" x14ac:dyDescent="0.15"/>
    <row r="23230" s="76" customFormat="1" ht="21.95" customHeight="1" x14ac:dyDescent="0.15"/>
    <row r="23231" s="76" customFormat="1" ht="21.95" customHeight="1" x14ac:dyDescent="0.15"/>
    <row r="23232" s="76" customFormat="1" ht="21.95" customHeight="1" x14ac:dyDescent="0.15"/>
    <row r="23233" s="76" customFormat="1" ht="21.95" customHeight="1" x14ac:dyDescent="0.15"/>
    <row r="23234" s="76" customFormat="1" ht="21.95" customHeight="1" x14ac:dyDescent="0.15"/>
    <row r="23235" s="76" customFormat="1" ht="21.95" customHeight="1" x14ac:dyDescent="0.15"/>
    <row r="23236" s="76" customFormat="1" ht="21.95" customHeight="1" x14ac:dyDescent="0.15"/>
    <row r="23237" s="76" customFormat="1" ht="21.95" customHeight="1" x14ac:dyDescent="0.15"/>
    <row r="23238" s="76" customFormat="1" ht="21.95" customHeight="1" x14ac:dyDescent="0.15"/>
    <row r="23239" s="76" customFormat="1" ht="21.95" customHeight="1" x14ac:dyDescent="0.15"/>
    <row r="23240" s="76" customFormat="1" ht="21.95" customHeight="1" x14ac:dyDescent="0.15"/>
    <row r="23241" s="76" customFormat="1" ht="21.95" customHeight="1" x14ac:dyDescent="0.15"/>
    <row r="23242" s="76" customFormat="1" ht="21.95" customHeight="1" x14ac:dyDescent="0.15"/>
    <row r="23243" s="76" customFormat="1" ht="21.95" customHeight="1" x14ac:dyDescent="0.15"/>
    <row r="23244" s="76" customFormat="1" ht="21.95" customHeight="1" x14ac:dyDescent="0.15"/>
    <row r="23245" s="76" customFormat="1" ht="21.95" customHeight="1" x14ac:dyDescent="0.15"/>
    <row r="23246" s="76" customFormat="1" ht="21.95" customHeight="1" x14ac:dyDescent="0.15"/>
    <row r="23247" s="76" customFormat="1" ht="21.95" customHeight="1" x14ac:dyDescent="0.15"/>
    <row r="23248" s="76" customFormat="1" ht="21.95" customHeight="1" x14ac:dyDescent="0.15"/>
    <row r="23249" s="76" customFormat="1" ht="21.95" customHeight="1" x14ac:dyDescent="0.15"/>
    <row r="23250" s="76" customFormat="1" ht="21.95" customHeight="1" x14ac:dyDescent="0.15"/>
    <row r="23251" s="76" customFormat="1" ht="21.95" customHeight="1" x14ac:dyDescent="0.15"/>
    <row r="23252" s="76" customFormat="1" ht="21.95" customHeight="1" x14ac:dyDescent="0.15"/>
    <row r="23253" s="76" customFormat="1" ht="21.95" customHeight="1" x14ac:dyDescent="0.15"/>
    <row r="23254" s="76" customFormat="1" ht="21.95" customHeight="1" x14ac:dyDescent="0.15"/>
    <row r="23255" s="76" customFormat="1" ht="21.95" customHeight="1" x14ac:dyDescent="0.15"/>
    <row r="23256" s="76" customFormat="1" ht="21.95" customHeight="1" x14ac:dyDescent="0.15"/>
    <row r="23257" s="76" customFormat="1" ht="21.95" customHeight="1" x14ac:dyDescent="0.15"/>
    <row r="23258" s="76" customFormat="1" ht="21.95" customHeight="1" x14ac:dyDescent="0.15"/>
    <row r="23259" s="76" customFormat="1" ht="21.95" customHeight="1" x14ac:dyDescent="0.15"/>
    <row r="23260" s="76" customFormat="1" ht="21.95" customHeight="1" x14ac:dyDescent="0.15"/>
    <row r="23261" s="76" customFormat="1" ht="21.95" customHeight="1" x14ac:dyDescent="0.15"/>
    <row r="23262" s="76" customFormat="1" ht="21.95" customHeight="1" x14ac:dyDescent="0.15"/>
    <row r="23263" s="76" customFormat="1" ht="21.95" customHeight="1" x14ac:dyDescent="0.15"/>
    <row r="23264" s="76" customFormat="1" ht="21.95" customHeight="1" x14ac:dyDescent="0.15"/>
    <row r="23265" s="76" customFormat="1" ht="21.95" customHeight="1" x14ac:dyDescent="0.15"/>
    <row r="23266" s="76" customFormat="1" ht="21.95" customHeight="1" x14ac:dyDescent="0.15"/>
    <row r="23267" s="76" customFormat="1" ht="21.95" customHeight="1" x14ac:dyDescent="0.15"/>
    <row r="23268" s="76" customFormat="1" ht="21.95" customHeight="1" x14ac:dyDescent="0.15"/>
    <row r="23269" s="76" customFormat="1" ht="21.95" customHeight="1" x14ac:dyDescent="0.15"/>
    <row r="23270" s="76" customFormat="1" ht="21.95" customHeight="1" x14ac:dyDescent="0.15"/>
    <row r="23271" s="76" customFormat="1" ht="21.95" customHeight="1" x14ac:dyDescent="0.15"/>
    <row r="23272" s="76" customFormat="1" ht="21.95" customHeight="1" x14ac:dyDescent="0.15"/>
    <row r="23273" s="76" customFormat="1" ht="35.1" customHeight="1" x14ac:dyDescent="0.15"/>
    <row r="23274" s="76" customFormat="1" ht="21.95" customHeight="1" x14ac:dyDescent="0.15"/>
    <row r="23275" s="76" customFormat="1" ht="21.95" customHeight="1" x14ac:dyDescent="0.15"/>
    <row r="23276" s="76" customFormat="1" ht="21.95" customHeight="1" x14ac:dyDescent="0.15"/>
    <row r="23277" s="76" customFormat="1" ht="21.95" customHeight="1" x14ac:dyDescent="0.15"/>
    <row r="23278" s="76" customFormat="1" ht="21.95" customHeight="1" x14ac:dyDescent="0.15"/>
    <row r="23279" s="76" customFormat="1" ht="21.95" customHeight="1" x14ac:dyDescent="0.15"/>
    <row r="23280" s="76" customFormat="1" ht="21.95" customHeight="1" x14ac:dyDescent="0.15"/>
    <row r="23281" s="76" customFormat="1" ht="21.95" customHeight="1" x14ac:dyDescent="0.15"/>
    <row r="23282" s="76" customFormat="1" ht="21.95" customHeight="1" x14ac:dyDescent="0.15"/>
    <row r="23283" s="76" customFormat="1" ht="21.95" customHeight="1" x14ac:dyDescent="0.15"/>
    <row r="23284" s="76" customFormat="1" ht="21.95" customHeight="1" x14ac:dyDescent="0.15"/>
    <row r="23285" s="76" customFormat="1" ht="21.95" customHeight="1" x14ac:dyDescent="0.15"/>
    <row r="23286" s="76" customFormat="1" ht="21.95" customHeight="1" x14ac:dyDescent="0.15"/>
    <row r="23287" s="76" customFormat="1" ht="21.95" customHeight="1" x14ac:dyDescent="0.15"/>
    <row r="23288" s="76" customFormat="1" ht="21.95" customHeight="1" x14ac:dyDescent="0.15"/>
    <row r="23289" s="76" customFormat="1" ht="21.95" customHeight="1" x14ac:dyDescent="0.15"/>
    <row r="23290" s="76" customFormat="1" ht="21.95" customHeight="1" x14ac:dyDescent="0.15"/>
    <row r="23291" s="76" customFormat="1" ht="21.95" customHeight="1" x14ac:dyDescent="0.15"/>
    <row r="23292" s="76" customFormat="1" ht="21.95" customHeight="1" x14ac:dyDescent="0.15"/>
    <row r="23293" s="76" customFormat="1" ht="21.95" customHeight="1" x14ac:dyDescent="0.15"/>
    <row r="23294" s="76" customFormat="1" ht="21.95" customHeight="1" x14ac:dyDescent="0.15"/>
    <row r="23295" s="76" customFormat="1" ht="21.95" customHeight="1" x14ac:dyDescent="0.15"/>
    <row r="23296" s="76" customFormat="1" ht="21.95" customHeight="1" x14ac:dyDescent="0.15"/>
    <row r="23297" spans="3:3" customFormat="1" ht="21.95" customHeight="1" x14ac:dyDescent="0.15"/>
    <row r="23298" spans="3:3" customFormat="1" ht="21.95" customHeight="1" x14ac:dyDescent="0.15"/>
    <row r="23299" spans="3:3" customFormat="1" ht="21.95" customHeight="1" x14ac:dyDescent="0.15">
      <c r="C23299" s="94"/>
    </row>
    <row r="23300" spans="3:3" customFormat="1" ht="21.95" customHeight="1" x14ac:dyDescent="0.15">
      <c r="C23300" s="94"/>
    </row>
    <row r="23301" spans="3:3" customFormat="1" ht="21.95" customHeight="1" x14ac:dyDescent="0.15"/>
    <row r="23302" spans="3:3" customFormat="1" ht="21.95" customHeight="1" x14ac:dyDescent="0.15"/>
    <row r="23303" spans="3:3" customFormat="1" ht="21.95" customHeight="1" x14ac:dyDescent="0.15"/>
    <row r="23304" spans="3:3" customFormat="1" ht="21.95" customHeight="1" x14ac:dyDescent="0.15"/>
    <row r="23305" spans="3:3" customFormat="1" ht="21.95" customHeight="1" x14ac:dyDescent="0.15"/>
    <row r="23306" spans="3:3" customFormat="1" ht="21.95" customHeight="1" x14ac:dyDescent="0.15"/>
    <row r="23307" spans="3:3" customFormat="1" ht="21.95" customHeight="1" x14ac:dyDescent="0.15"/>
    <row r="23308" spans="3:3" s="76" customFormat="1" ht="21.95" customHeight="1" x14ac:dyDescent="0.15"/>
    <row r="23309" spans="3:3" s="76" customFormat="1" ht="21.95" customHeight="1" x14ac:dyDescent="0.15"/>
    <row r="23310" spans="3:3" s="76" customFormat="1" ht="21.95" customHeight="1" x14ac:dyDescent="0.15"/>
    <row r="23311" spans="3:3" s="76" customFormat="1" ht="21.95" customHeight="1" x14ac:dyDescent="0.15"/>
    <row r="23312" spans="3:3" customFormat="1" ht="21.95" customHeight="1" x14ac:dyDescent="0.15"/>
    <row r="23313" customFormat="1" ht="21.95" customHeight="1" x14ac:dyDescent="0.15"/>
    <row r="23314" customFormat="1" ht="21.95" customHeight="1" x14ac:dyDescent="0.15"/>
    <row r="23315" customFormat="1" ht="21.95" customHeight="1" x14ac:dyDescent="0.15"/>
    <row r="23316" customFormat="1" ht="21.95" customHeight="1" x14ac:dyDescent="0.15"/>
    <row r="23317" customFormat="1" ht="21.95" customHeight="1" x14ac:dyDescent="0.15"/>
    <row r="23318" customFormat="1" ht="21.95" customHeight="1" x14ac:dyDescent="0.15"/>
    <row r="23319" customFormat="1" ht="21.95" customHeight="1" x14ac:dyDescent="0.15"/>
    <row r="23320" customFormat="1" ht="21.95" customHeight="1" x14ac:dyDescent="0.15"/>
    <row r="23321" customFormat="1" ht="21.95" customHeight="1" x14ac:dyDescent="0.15"/>
    <row r="23322" customFormat="1" ht="21.95" customHeight="1" x14ac:dyDescent="0.15"/>
    <row r="23323" customFormat="1" ht="32.1" customHeight="1" x14ac:dyDescent="0.15"/>
    <row r="23324" customFormat="1" ht="32.1" customHeight="1" x14ac:dyDescent="0.15"/>
    <row r="23325" customFormat="1" ht="32.1" customHeight="1" x14ac:dyDescent="0.15"/>
    <row r="23326" customFormat="1" ht="32.1" customHeight="1" x14ac:dyDescent="0.15"/>
    <row r="23327" customFormat="1" ht="32.1" customHeight="1" x14ac:dyDescent="0.15"/>
    <row r="23328" customFormat="1" ht="32.1" customHeight="1" x14ac:dyDescent="0.15"/>
    <row r="23329" s="76" customFormat="1" ht="32.1" customHeight="1" x14ac:dyDescent="0.15"/>
    <row r="23330" s="76" customFormat="1" ht="32.1" customHeight="1" x14ac:dyDescent="0.15"/>
    <row r="23331" s="76" customFormat="1" ht="32.1" customHeight="1" x14ac:dyDescent="0.15"/>
    <row r="23332" s="76" customFormat="1" ht="32.1" customHeight="1" x14ac:dyDescent="0.15"/>
    <row r="23333" s="76" customFormat="1" ht="21.95" customHeight="1" x14ac:dyDescent="0.15"/>
    <row r="23334" s="76" customFormat="1" ht="54" customHeight="1" x14ac:dyDescent="0.15"/>
    <row r="23335" s="76" customFormat="1" ht="21.95" customHeight="1" x14ac:dyDescent="0.15"/>
    <row r="23336" s="76" customFormat="1" ht="21.95" customHeight="1" x14ac:dyDescent="0.15"/>
    <row r="23337" s="76" customFormat="1" ht="21.95" customHeight="1" x14ac:dyDescent="0.15"/>
    <row r="23338" s="76" customFormat="1" ht="21.95" customHeight="1" x14ac:dyDescent="0.15"/>
    <row r="23339" s="76" customFormat="1" ht="21.95" customHeight="1" x14ac:dyDescent="0.15"/>
    <row r="23340" s="76" customFormat="1" ht="21.95" customHeight="1" x14ac:dyDescent="0.15"/>
    <row r="23341" s="76" customFormat="1" ht="21.95" customHeight="1" x14ac:dyDescent="0.15"/>
    <row r="23342" s="76" customFormat="1" ht="21.95" customHeight="1" x14ac:dyDescent="0.15"/>
    <row r="23343" s="76" customFormat="1" ht="21.95" customHeight="1" x14ac:dyDescent="0.15"/>
    <row r="23344" s="76" customFormat="1" ht="21.95" customHeight="1" x14ac:dyDescent="0.15"/>
    <row r="23345" s="76" customFormat="1" ht="21.95" customHeight="1" x14ac:dyDescent="0.15"/>
    <row r="23346" s="76" customFormat="1" ht="21.95" customHeight="1" x14ac:dyDescent="0.15"/>
    <row r="23347" s="76" customFormat="1" ht="21.95" customHeight="1" x14ac:dyDescent="0.15"/>
    <row r="23348" s="76" customFormat="1" ht="21.95" customHeight="1" x14ac:dyDescent="0.15"/>
    <row r="23349" s="76" customFormat="1" ht="21.95" customHeight="1" x14ac:dyDescent="0.15"/>
    <row r="23350" s="76" customFormat="1" ht="21.95" customHeight="1" x14ac:dyDescent="0.15"/>
    <row r="23351" s="76" customFormat="1" ht="21.95" customHeight="1" x14ac:dyDescent="0.15"/>
    <row r="23352" s="76" customFormat="1" ht="21.95" customHeight="1" x14ac:dyDescent="0.15"/>
    <row r="23353" s="76" customFormat="1" ht="21.95" customHeight="1" x14ac:dyDescent="0.15"/>
    <row r="23354" s="76" customFormat="1" ht="21.95" customHeight="1" x14ac:dyDescent="0.15"/>
    <row r="23355" s="76" customFormat="1" ht="21.95" customHeight="1" x14ac:dyDescent="0.15"/>
    <row r="23356" s="76" customFormat="1" ht="21.95" customHeight="1" x14ac:dyDescent="0.15"/>
    <row r="23357" s="76" customFormat="1" ht="21.95" customHeight="1" x14ac:dyDescent="0.15"/>
    <row r="23358" s="76" customFormat="1" ht="21.95" customHeight="1" x14ac:dyDescent="0.15"/>
    <row r="23359" s="76" customFormat="1" ht="21.95" customHeight="1" x14ac:dyDescent="0.15"/>
    <row r="23360" s="76" customFormat="1" ht="21.95" customHeight="1" x14ac:dyDescent="0.15"/>
    <row r="23361" s="76" customFormat="1" ht="21.95" customHeight="1" x14ac:dyDescent="0.15"/>
    <row r="23362" s="76" customFormat="1" ht="21.95" customHeight="1" x14ac:dyDescent="0.15"/>
    <row r="23363" s="76" customFormat="1" ht="21.95" customHeight="1" x14ac:dyDescent="0.15"/>
    <row r="23364" s="76" customFormat="1" ht="21.95" customHeight="1" x14ac:dyDescent="0.15"/>
    <row r="23365" s="76" customFormat="1" ht="21.95" customHeight="1" x14ac:dyDescent="0.15"/>
    <row r="23366" s="76" customFormat="1" ht="21.95" customHeight="1" x14ac:dyDescent="0.15"/>
    <row r="23367" s="76" customFormat="1" ht="21.95" customHeight="1" x14ac:dyDescent="0.15"/>
    <row r="23368" s="76" customFormat="1" ht="21.95" customHeight="1" x14ac:dyDescent="0.15"/>
    <row r="23369" s="76" customFormat="1" ht="21.95" customHeight="1" x14ac:dyDescent="0.15"/>
    <row r="23370" s="76" customFormat="1" ht="21.95" customHeight="1" x14ac:dyDescent="0.15"/>
    <row r="23371" s="76" customFormat="1" ht="21.95" customHeight="1" x14ac:dyDescent="0.15"/>
    <row r="23372" s="76" customFormat="1" ht="21.95" customHeight="1" x14ac:dyDescent="0.15"/>
    <row r="23373" s="76" customFormat="1" ht="21.95" customHeight="1" x14ac:dyDescent="0.15"/>
    <row r="23374" s="76" customFormat="1" ht="21.95" customHeight="1" x14ac:dyDescent="0.15"/>
    <row r="23375" s="76" customFormat="1" ht="21.95" customHeight="1" x14ac:dyDescent="0.15"/>
    <row r="23376" s="76" customFormat="1" ht="21.95" customHeight="1" x14ac:dyDescent="0.15"/>
    <row r="23377" s="76" customFormat="1" ht="21.95" customHeight="1" x14ac:dyDescent="0.15"/>
    <row r="23378" s="76" customFormat="1" ht="21.95" customHeight="1" x14ac:dyDescent="0.15"/>
    <row r="23379" s="76" customFormat="1" ht="21.95" customHeight="1" x14ac:dyDescent="0.15"/>
    <row r="23380" s="76" customFormat="1" ht="21.95" customHeight="1" x14ac:dyDescent="0.15"/>
    <row r="23381" s="76" customFormat="1" ht="21.95" customHeight="1" x14ac:dyDescent="0.15"/>
    <row r="23382" s="76" customFormat="1" ht="21.95" customHeight="1" x14ac:dyDescent="0.15"/>
    <row r="23383" s="76" customFormat="1" ht="21.95" customHeight="1" x14ac:dyDescent="0.15"/>
    <row r="23384" s="76" customFormat="1" ht="21.95" customHeight="1" x14ac:dyDescent="0.15"/>
    <row r="23385" s="76" customFormat="1" ht="35.1" customHeight="1" x14ac:dyDescent="0.15"/>
    <row r="23386" s="76" customFormat="1" ht="21.95" customHeight="1" x14ac:dyDescent="0.15"/>
    <row r="23387" s="76" customFormat="1" ht="21.95" customHeight="1" x14ac:dyDescent="0.15"/>
    <row r="23388" s="76" customFormat="1" ht="21.95" customHeight="1" x14ac:dyDescent="0.15"/>
    <row r="23389" s="76" customFormat="1" ht="21.95" customHeight="1" x14ac:dyDescent="0.15"/>
    <row r="23390" s="76" customFormat="1" ht="21.95" customHeight="1" x14ac:dyDescent="0.15"/>
    <row r="23391" s="76" customFormat="1" ht="21.95" customHeight="1" x14ac:dyDescent="0.15"/>
    <row r="23392" s="76" customFormat="1" ht="21.95" customHeight="1" x14ac:dyDescent="0.15"/>
    <row r="23393" s="76" customFormat="1" ht="21.95" customHeight="1" x14ac:dyDescent="0.15"/>
    <row r="23394" s="76" customFormat="1" ht="21.95" customHeight="1" x14ac:dyDescent="0.15"/>
    <row r="23395" s="76" customFormat="1" ht="21.95" customHeight="1" x14ac:dyDescent="0.15"/>
    <row r="23396" s="76" customFormat="1" ht="21.95" customHeight="1" x14ac:dyDescent="0.15"/>
    <row r="23397" s="76" customFormat="1" ht="21.95" customHeight="1" x14ac:dyDescent="0.15"/>
    <row r="23398" s="76" customFormat="1" ht="21.95" customHeight="1" x14ac:dyDescent="0.15"/>
    <row r="23399" s="76" customFormat="1" ht="21.95" customHeight="1" x14ac:dyDescent="0.15"/>
    <row r="23400" s="76" customFormat="1" ht="21.95" customHeight="1" x14ac:dyDescent="0.15"/>
    <row r="23401" s="76" customFormat="1" ht="21.95" customHeight="1" x14ac:dyDescent="0.15"/>
    <row r="23402" s="76" customFormat="1" ht="21.95" customHeight="1" x14ac:dyDescent="0.15"/>
    <row r="23403" s="76" customFormat="1" ht="21.95" customHeight="1" x14ac:dyDescent="0.15"/>
    <row r="23404" s="76" customFormat="1" ht="21.95" customHeight="1" x14ac:dyDescent="0.15"/>
    <row r="23405" s="76" customFormat="1" ht="21.95" customHeight="1" x14ac:dyDescent="0.15"/>
    <row r="23406" s="76" customFormat="1" ht="21.95" customHeight="1" x14ac:dyDescent="0.15"/>
    <row r="23407" s="76" customFormat="1" ht="21.95" customHeight="1" x14ac:dyDescent="0.15"/>
    <row r="23408" s="76" customFormat="1" ht="21.95" customHeight="1" x14ac:dyDescent="0.15"/>
    <row r="23409" spans="3:3" customFormat="1" ht="21.95" customHeight="1" x14ac:dyDescent="0.15"/>
    <row r="23410" spans="3:3" customFormat="1" ht="21.95" customHeight="1" x14ac:dyDescent="0.15"/>
    <row r="23411" spans="3:3" customFormat="1" ht="21.95" customHeight="1" x14ac:dyDescent="0.15">
      <c r="C23411" s="94"/>
    </row>
    <row r="23412" spans="3:3" customFormat="1" ht="21.95" customHeight="1" x14ac:dyDescent="0.15">
      <c r="C23412" s="94"/>
    </row>
    <row r="23413" spans="3:3" customFormat="1" ht="21.95" customHeight="1" x14ac:dyDescent="0.15"/>
    <row r="23414" spans="3:3" customFormat="1" ht="21.95" customHeight="1" x14ac:dyDescent="0.15"/>
    <row r="23415" spans="3:3" customFormat="1" ht="21.95" customHeight="1" x14ac:dyDescent="0.15"/>
    <row r="23416" spans="3:3" customFormat="1" ht="21.95" customHeight="1" x14ac:dyDescent="0.15"/>
    <row r="23417" spans="3:3" customFormat="1" ht="21.95" customHeight="1" x14ac:dyDescent="0.15"/>
    <row r="23418" spans="3:3" customFormat="1" ht="21.95" customHeight="1" x14ac:dyDescent="0.15"/>
    <row r="23419" spans="3:3" customFormat="1" ht="21.95" customHeight="1" x14ac:dyDescent="0.15"/>
    <row r="23420" spans="3:3" s="76" customFormat="1" ht="21.95" customHeight="1" x14ac:dyDescent="0.15"/>
    <row r="23421" spans="3:3" s="76" customFormat="1" ht="21.95" customHeight="1" x14ac:dyDescent="0.15"/>
    <row r="23422" spans="3:3" s="76" customFormat="1" ht="21.95" customHeight="1" x14ac:dyDescent="0.15"/>
    <row r="23423" spans="3:3" s="76" customFormat="1" ht="21.95" customHeight="1" x14ac:dyDescent="0.15"/>
    <row r="23424" spans="3:3" customFormat="1" ht="21.95" customHeight="1" x14ac:dyDescent="0.15"/>
    <row r="23425" customFormat="1" ht="21.95" customHeight="1" x14ac:dyDescent="0.15"/>
    <row r="23426" customFormat="1" ht="21.95" customHeight="1" x14ac:dyDescent="0.15"/>
    <row r="23427" customFormat="1" ht="21.95" customHeight="1" x14ac:dyDescent="0.15"/>
    <row r="23428" customFormat="1" ht="21.95" customHeight="1" x14ac:dyDescent="0.15"/>
    <row r="23429" customFormat="1" ht="21.95" customHeight="1" x14ac:dyDescent="0.15"/>
    <row r="23430" customFormat="1" ht="21.95" customHeight="1" x14ac:dyDescent="0.15"/>
    <row r="23431" customFormat="1" ht="21.95" customHeight="1" x14ac:dyDescent="0.15"/>
    <row r="23432" customFormat="1" ht="21.95" customHeight="1" x14ac:dyDescent="0.15"/>
    <row r="23433" customFormat="1" ht="21.95" customHeight="1" x14ac:dyDescent="0.15"/>
    <row r="23434" customFormat="1" ht="21.95" customHeight="1" x14ac:dyDescent="0.15"/>
    <row r="23435" customFormat="1" ht="32.1" customHeight="1" x14ac:dyDescent="0.15"/>
    <row r="23436" customFormat="1" ht="32.1" customHeight="1" x14ac:dyDescent="0.15"/>
    <row r="23437" customFormat="1" ht="32.1" customHeight="1" x14ac:dyDescent="0.15"/>
    <row r="23438" customFormat="1" ht="32.1" customHeight="1" x14ac:dyDescent="0.15"/>
    <row r="23439" customFormat="1" ht="32.1" customHeight="1" x14ac:dyDescent="0.15"/>
    <row r="23440" customFormat="1" ht="32.1" customHeight="1" x14ac:dyDescent="0.15"/>
    <row r="23441" s="76" customFormat="1" ht="32.1" customHeight="1" x14ac:dyDescent="0.15"/>
    <row r="23442" s="76" customFormat="1" ht="32.1" customHeight="1" x14ac:dyDescent="0.15"/>
    <row r="23443" s="76" customFormat="1" ht="32.1" customHeight="1" x14ac:dyDescent="0.15"/>
    <row r="23444" s="76" customFormat="1" ht="32.1" customHeight="1" x14ac:dyDescent="0.15"/>
    <row r="23445" s="76" customFormat="1" ht="21.95" customHeight="1" x14ac:dyDescent="0.15"/>
    <row r="23446" s="76" customFormat="1" ht="54" customHeight="1" x14ac:dyDescent="0.15"/>
    <row r="23447" s="76" customFormat="1" ht="21.95" customHeight="1" x14ac:dyDescent="0.15"/>
    <row r="23448" s="76" customFormat="1" ht="21.95" customHeight="1" x14ac:dyDescent="0.15"/>
    <row r="23449" s="76" customFormat="1" ht="21.95" customHeight="1" x14ac:dyDescent="0.15"/>
    <row r="23450" s="76" customFormat="1" ht="21.95" customHeight="1" x14ac:dyDescent="0.15"/>
    <row r="23451" s="76" customFormat="1" ht="21.95" customHeight="1" x14ac:dyDescent="0.15"/>
    <row r="23452" s="76" customFormat="1" ht="21.95" customHeight="1" x14ac:dyDescent="0.15"/>
    <row r="23453" s="76" customFormat="1" ht="21.95" customHeight="1" x14ac:dyDescent="0.15"/>
    <row r="23454" s="76" customFormat="1" ht="21.95" customHeight="1" x14ac:dyDescent="0.15"/>
    <row r="23455" s="76" customFormat="1" ht="21.95" customHeight="1" x14ac:dyDescent="0.15"/>
    <row r="23456" s="76" customFormat="1" ht="21.95" customHeight="1" x14ac:dyDescent="0.15"/>
    <row r="23457" s="76" customFormat="1" ht="21.95" customHeight="1" x14ac:dyDescent="0.15"/>
    <row r="23458" s="76" customFormat="1" ht="21.95" customHeight="1" x14ac:dyDescent="0.15"/>
    <row r="23459" s="76" customFormat="1" ht="21.95" customHeight="1" x14ac:dyDescent="0.15"/>
    <row r="23460" s="76" customFormat="1" ht="21.95" customHeight="1" x14ac:dyDescent="0.15"/>
    <row r="23461" s="76" customFormat="1" ht="21.95" customHeight="1" x14ac:dyDescent="0.15"/>
    <row r="23462" s="76" customFormat="1" ht="21.95" customHeight="1" x14ac:dyDescent="0.15"/>
    <row r="23463" s="76" customFormat="1" ht="21.95" customHeight="1" x14ac:dyDescent="0.15"/>
    <row r="23464" s="76" customFormat="1" ht="21.95" customHeight="1" x14ac:dyDescent="0.15"/>
    <row r="23465" s="76" customFormat="1" ht="21.95" customHeight="1" x14ac:dyDescent="0.15"/>
    <row r="23466" s="76" customFormat="1" ht="21.95" customHeight="1" x14ac:dyDescent="0.15"/>
    <row r="23467" s="76" customFormat="1" ht="21.95" customHeight="1" x14ac:dyDescent="0.15"/>
    <row r="23468" s="76" customFormat="1" ht="21.95" customHeight="1" x14ac:dyDescent="0.15"/>
    <row r="23469" s="76" customFormat="1" ht="21.95" customHeight="1" x14ac:dyDescent="0.15"/>
    <row r="23470" s="76" customFormat="1" ht="21.95" customHeight="1" x14ac:dyDescent="0.15"/>
    <row r="23471" s="76" customFormat="1" ht="21.95" customHeight="1" x14ac:dyDescent="0.15"/>
    <row r="23472" s="76" customFormat="1" ht="21.95" customHeight="1" x14ac:dyDescent="0.15"/>
    <row r="23473" s="76" customFormat="1" ht="21.95" customHeight="1" x14ac:dyDescent="0.15"/>
    <row r="23474" s="76" customFormat="1" ht="21.95" customHeight="1" x14ac:dyDescent="0.15"/>
    <row r="23475" s="76" customFormat="1" ht="21.95" customHeight="1" x14ac:dyDescent="0.15"/>
    <row r="23476" s="76" customFormat="1" ht="21.95" customHeight="1" x14ac:dyDescent="0.15"/>
    <row r="23477" s="76" customFormat="1" ht="21.95" customHeight="1" x14ac:dyDescent="0.15"/>
    <row r="23478" s="76" customFormat="1" ht="21.95" customHeight="1" x14ac:dyDescent="0.15"/>
    <row r="23479" s="76" customFormat="1" ht="21.95" customHeight="1" x14ac:dyDescent="0.15"/>
    <row r="23480" s="76" customFormat="1" ht="21.95" customHeight="1" x14ac:dyDescent="0.15"/>
    <row r="23481" s="76" customFormat="1" ht="21.95" customHeight="1" x14ac:dyDescent="0.15"/>
    <row r="23482" s="76" customFormat="1" ht="21.95" customHeight="1" x14ac:dyDescent="0.15"/>
    <row r="23483" s="76" customFormat="1" ht="21.95" customHeight="1" x14ac:dyDescent="0.15"/>
    <row r="23484" s="76" customFormat="1" ht="21.95" customHeight="1" x14ac:dyDescent="0.15"/>
    <row r="23485" s="76" customFormat="1" ht="21.95" customHeight="1" x14ac:dyDescent="0.15"/>
    <row r="23486" s="76" customFormat="1" ht="21.95" customHeight="1" x14ac:dyDescent="0.15"/>
    <row r="23487" s="76" customFormat="1" ht="21.95" customHeight="1" x14ac:dyDescent="0.15"/>
    <row r="23488" s="76" customFormat="1" ht="21.95" customHeight="1" x14ac:dyDescent="0.15"/>
    <row r="23489" s="76" customFormat="1" ht="21.95" customHeight="1" x14ac:dyDescent="0.15"/>
    <row r="23490" s="76" customFormat="1" ht="21.95" customHeight="1" x14ac:dyDescent="0.15"/>
    <row r="23491" s="76" customFormat="1" ht="21.95" customHeight="1" x14ac:dyDescent="0.15"/>
    <row r="23492" s="76" customFormat="1" ht="21.95" customHeight="1" x14ac:dyDescent="0.15"/>
    <row r="23493" s="76" customFormat="1" ht="21.95" customHeight="1" x14ac:dyDescent="0.15"/>
    <row r="23494" s="76" customFormat="1" ht="21.95" customHeight="1" x14ac:dyDescent="0.15"/>
    <row r="23495" s="76" customFormat="1" ht="21.95" customHeight="1" x14ac:dyDescent="0.15"/>
    <row r="23496" s="76" customFormat="1" ht="21.95" customHeight="1" x14ac:dyDescent="0.15"/>
    <row r="23497" s="76" customFormat="1" ht="35.1" customHeight="1" x14ac:dyDescent="0.15"/>
    <row r="23498" s="76" customFormat="1" ht="21.95" customHeight="1" x14ac:dyDescent="0.15"/>
    <row r="23499" s="76" customFormat="1" ht="21.95" customHeight="1" x14ac:dyDescent="0.15"/>
    <row r="23500" s="76" customFormat="1" ht="21.95" customHeight="1" x14ac:dyDescent="0.15"/>
    <row r="23501" s="76" customFormat="1" ht="21.95" customHeight="1" x14ac:dyDescent="0.15"/>
    <row r="23502" s="76" customFormat="1" ht="21.95" customHeight="1" x14ac:dyDescent="0.15"/>
    <row r="23503" s="76" customFormat="1" ht="21.95" customHeight="1" x14ac:dyDescent="0.15"/>
    <row r="23504" s="76" customFormat="1" ht="21.95" customHeight="1" x14ac:dyDescent="0.15"/>
    <row r="23505" s="76" customFormat="1" ht="21.95" customHeight="1" x14ac:dyDescent="0.15"/>
    <row r="23506" s="76" customFormat="1" ht="21.95" customHeight="1" x14ac:dyDescent="0.15"/>
    <row r="23507" s="76" customFormat="1" ht="21.95" customHeight="1" x14ac:dyDescent="0.15"/>
    <row r="23508" s="76" customFormat="1" ht="21.95" customHeight="1" x14ac:dyDescent="0.15"/>
    <row r="23509" s="76" customFormat="1" ht="21.95" customHeight="1" x14ac:dyDescent="0.15"/>
    <row r="23510" s="76" customFormat="1" ht="21.95" customHeight="1" x14ac:dyDescent="0.15"/>
    <row r="23511" s="76" customFormat="1" ht="21.95" customHeight="1" x14ac:dyDescent="0.15"/>
    <row r="23512" s="76" customFormat="1" ht="21.95" customHeight="1" x14ac:dyDescent="0.15"/>
    <row r="23513" s="76" customFormat="1" ht="21.95" customHeight="1" x14ac:dyDescent="0.15"/>
    <row r="23514" s="76" customFormat="1" ht="21.95" customHeight="1" x14ac:dyDescent="0.15"/>
    <row r="23515" s="76" customFormat="1" ht="21.95" customHeight="1" x14ac:dyDescent="0.15"/>
    <row r="23516" s="76" customFormat="1" ht="21.95" customHeight="1" x14ac:dyDescent="0.15"/>
    <row r="23517" s="76" customFormat="1" ht="21.95" customHeight="1" x14ac:dyDescent="0.15"/>
    <row r="23518" s="76" customFormat="1" ht="21.95" customHeight="1" x14ac:dyDescent="0.15"/>
    <row r="23519" s="76" customFormat="1" ht="21.95" customHeight="1" x14ac:dyDescent="0.15"/>
    <row r="23520" s="76" customFormat="1" ht="21.95" customHeight="1" x14ac:dyDescent="0.15"/>
    <row r="23521" spans="3:3" customFormat="1" ht="21.95" customHeight="1" x14ac:dyDescent="0.15"/>
    <row r="23522" spans="3:3" customFormat="1" ht="21.95" customHeight="1" x14ac:dyDescent="0.15"/>
    <row r="23523" spans="3:3" customFormat="1" ht="21.95" customHeight="1" x14ac:dyDescent="0.15">
      <c r="C23523" s="94"/>
    </row>
    <row r="23524" spans="3:3" customFormat="1" ht="21.95" customHeight="1" x14ac:dyDescent="0.15">
      <c r="C23524" s="94"/>
    </row>
    <row r="23525" spans="3:3" customFormat="1" ht="21.95" customHeight="1" x14ac:dyDescent="0.15"/>
    <row r="23526" spans="3:3" customFormat="1" ht="21.95" customHeight="1" x14ac:dyDescent="0.15"/>
    <row r="23527" spans="3:3" customFormat="1" ht="21.95" customHeight="1" x14ac:dyDescent="0.15"/>
    <row r="23528" spans="3:3" customFormat="1" ht="21.95" customHeight="1" x14ac:dyDescent="0.15"/>
    <row r="23529" spans="3:3" customFormat="1" ht="21.95" customHeight="1" x14ac:dyDescent="0.15"/>
    <row r="23530" spans="3:3" customFormat="1" ht="21.95" customHeight="1" x14ac:dyDescent="0.15"/>
    <row r="23531" spans="3:3" customFormat="1" ht="21.95" customHeight="1" x14ac:dyDescent="0.15"/>
    <row r="23532" spans="3:3" s="76" customFormat="1" ht="21.95" customHeight="1" x14ac:dyDescent="0.15"/>
    <row r="23533" spans="3:3" s="76" customFormat="1" ht="21.95" customHeight="1" x14ac:dyDescent="0.15"/>
    <row r="23534" spans="3:3" s="76" customFormat="1" ht="21.95" customHeight="1" x14ac:dyDescent="0.15"/>
    <row r="23535" spans="3:3" s="76" customFormat="1" ht="21.95" customHeight="1" x14ac:dyDescent="0.15"/>
    <row r="23536" spans="3:3" customFormat="1" ht="21.95" customHeight="1" x14ac:dyDescent="0.15"/>
    <row r="23537" customFormat="1" ht="21.95" customHeight="1" x14ac:dyDescent="0.15"/>
    <row r="23538" customFormat="1" ht="21.95" customHeight="1" x14ac:dyDescent="0.15"/>
    <row r="23539" customFormat="1" ht="21.95" customHeight="1" x14ac:dyDescent="0.15"/>
    <row r="23540" customFormat="1" ht="21.95" customHeight="1" x14ac:dyDescent="0.15"/>
    <row r="23541" customFormat="1" ht="21.95" customHeight="1" x14ac:dyDescent="0.15"/>
    <row r="23542" customFormat="1" ht="21.95" customHeight="1" x14ac:dyDescent="0.15"/>
    <row r="23543" customFormat="1" ht="21.95" customHeight="1" x14ac:dyDescent="0.15"/>
    <row r="23544" customFormat="1" ht="21.95" customHeight="1" x14ac:dyDescent="0.15"/>
    <row r="23545" customFormat="1" ht="21.95" customHeight="1" x14ac:dyDescent="0.15"/>
    <row r="23546" customFormat="1" ht="21.95" customHeight="1" x14ac:dyDescent="0.15"/>
    <row r="23547" customFormat="1" ht="32.1" customHeight="1" x14ac:dyDescent="0.15"/>
    <row r="23548" customFormat="1" ht="32.1" customHeight="1" x14ac:dyDescent="0.15"/>
    <row r="23549" customFormat="1" ht="32.1" customHeight="1" x14ac:dyDescent="0.15"/>
    <row r="23550" customFormat="1" ht="32.1" customHeight="1" x14ac:dyDescent="0.15"/>
    <row r="23551" customFormat="1" ht="32.1" customHeight="1" x14ac:dyDescent="0.15"/>
    <row r="23552" customFormat="1" ht="32.1" customHeight="1" x14ac:dyDescent="0.15"/>
    <row r="23553" s="76" customFormat="1" ht="32.1" customHeight="1" x14ac:dyDescent="0.15"/>
    <row r="23554" s="76" customFormat="1" ht="32.1" customHeight="1" x14ac:dyDescent="0.15"/>
    <row r="23555" s="76" customFormat="1" ht="32.1" customHeight="1" x14ac:dyDescent="0.15"/>
    <row r="23556" s="76" customFormat="1" ht="32.1" customHeight="1" x14ac:dyDescent="0.15"/>
    <row r="23557" s="76" customFormat="1" ht="21.95" customHeight="1" x14ac:dyDescent="0.15"/>
    <row r="23558" s="76" customFormat="1" ht="54" customHeight="1" x14ac:dyDescent="0.15"/>
    <row r="23559" s="76" customFormat="1" ht="21.95" customHeight="1" x14ac:dyDescent="0.15"/>
    <row r="23560" s="76" customFormat="1" ht="21.95" customHeight="1" x14ac:dyDescent="0.15"/>
    <row r="23561" s="76" customFormat="1" ht="21.95" customHeight="1" x14ac:dyDescent="0.15"/>
    <row r="23562" s="76" customFormat="1" ht="21.95" customHeight="1" x14ac:dyDescent="0.15"/>
    <row r="23563" s="76" customFormat="1" ht="21.95" customHeight="1" x14ac:dyDescent="0.15"/>
    <row r="23564" s="76" customFormat="1" ht="21.95" customHeight="1" x14ac:dyDescent="0.15"/>
    <row r="23565" s="76" customFormat="1" ht="21.95" customHeight="1" x14ac:dyDescent="0.15"/>
    <row r="23566" s="76" customFormat="1" ht="21.95" customHeight="1" x14ac:dyDescent="0.15"/>
    <row r="23567" s="76" customFormat="1" ht="21.95" customHeight="1" x14ac:dyDescent="0.15"/>
    <row r="23568" s="76" customFormat="1" ht="21.95" customHeight="1" x14ac:dyDescent="0.15"/>
    <row r="23569" s="76" customFormat="1" ht="21.95" customHeight="1" x14ac:dyDescent="0.15"/>
    <row r="23570" s="76" customFormat="1" ht="21.95" customHeight="1" x14ac:dyDescent="0.15"/>
    <row r="23571" s="76" customFormat="1" ht="21.95" customHeight="1" x14ac:dyDescent="0.15"/>
    <row r="23572" s="76" customFormat="1" ht="21.95" customHeight="1" x14ac:dyDescent="0.15"/>
    <row r="23573" s="76" customFormat="1" ht="21.95" customHeight="1" x14ac:dyDescent="0.15"/>
    <row r="23574" s="76" customFormat="1" ht="21.95" customHeight="1" x14ac:dyDescent="0.15"/>
    <row r="23575" s="76" customFormat="1" ht="21.95" customHeight="1" x14ac:dyDescent="0.15"/>
    <row r="23576" s="76" customFormat="1" ht="21.95" customHeight="1" x14ac:dyDescent="0.15"/>
    <row r="23577" s="76" customFormat="1" ht="21.95" customHeight="1" x14ac:dyDescent="0.15"/>
    <row r="23578" s="76" customFormat="1" ht="21.95" customHeight="1" x14ac:dyDescent="0.15"/>
    <row r="23579" s="76" customFormat="1" ht="21.95" customHeight="1" x14ac:dyDescent="0.15"/>
    <row r="23580" s="76" customFormat="1" ht="21.95" customHeight="1" x14ac:dyDescent="0.15"/>
    <row r="23581" s="76" customFormat="1" ht="21.95" customHeight="1" x14ac:dyDescent="0.15"/>
    <row r="23582" s="76" customFormat="1" ht="21.95" customHeight="1" x14ac:dyDescent="0.15"/>
    <row r="23583" s="76" customFormat="1" ht="21.95" customHeight="1" x14ac:dyDescent="0.15"/>
    <row r="23584" s="76" customFormat="1" ht="21.95" customHeight="1" x14ac:dyDescent="0.15"/>
    <row r="23585" s="76" customFormat="1" ht="21.95" customHeight="1" x14ac:dyDescent="0.15"/>
    <row r="23586" s="76" customFormat="1" ht="21.95" customHeight="1" x14ac:dyDescent="0.15"/>
    <row r="23587" s="76" customFormat="1" ht="21.95" customHeight="1" x14ac:dyDescent="0.15"/>
    <row r="23588" s="76" customFormat="1" ht="21.95" customHeight="1" x14ac:dyDescent="0.15"/>
    <row r="23589" s="76" customFormat="1" ht="21.95" customHeight="1" x14ac:dyDescent="0.15"/>
    <row r="23590" s="76" customFormat="1" ht="21.95" customHeight="1" x14ac:dyDescent="0.15"/>
    <row r="23591" s="76" customFormat="1" ht="21.95" customHeight="1" x14ac:dyDescent="0.15"/>
    <row r="23592" s="76" customFormat="1" ht="21.95" customHeight="1" x14ac:dyDescent="0.15"/>
    <row r="23593" s="76" customFormat="1" ht="21.95" customHeight="1" x14ac:dyDescent="0.15"/>
    <row r="23594" s="76" customFormat="1" ht="21.95" customHeight="1" x14ac:dyDescent="0.15"/>
    <row r="23595" s="76" customFormat="1" ht="21.95" customHeight="1" x14ac:dyDescent="0.15"/>
    <row r="23596" s="76" customFormat="1" ht="21.95" customHeight="1" x14ac:dyDescent="0.15"/>
    <row r="23597" s="76" customFormat="1" ht="21.95" customHeight="1" x14ac:dyDescent="0.15"/>
    <row r="23598" s="76" customFormat="1" ht="21.95" customHeight="1" x14ac:dyDescent="0.15"/>
    <row r="23599" s="76" customFormat="1" ht="21.95" customHeight="1" x14ac:dyDescent="0.15"/>
    <row r="23600" s="76" customFormat="1" ht="21.95" customHeight="1" x14ac:dyDescent="0.15"/>
    <row r="23601" s="76" customFormat="1" ht="21.95" customHeight="1" x14ac:dyDescent="0.15"/>
    <row r="23602" s="76" customFormat="1" ht="21.95" customHeight="1" x14ac:dyDescent="0.15"/>
    <row r="23603" s="76" customFormat="1" ht="21.95" customHeight="1" x14ac:dyDescent="0.15"/>
    <row r="23604" s="76" customFormat="1" ht="21.95" customHeight="1" x14ac:dyDescent="0.15"/>
    <row r="23605" s="76" customFormat="1" ht="21.95" customHeight="1" x14ac:dyDescent="0.15"/>
    <row r="23606" s="76" customFormat="1" ht="21.95" customHeight="1" x14ac:dyDescent="0.15"/>
    <row r="23607" s="76" customFormat="1" ht="21.95" customHeight="1" x14ac:dyDescent="0.15"/>
    <row r="23608" s="76" customFormat="1" ht="21.95" customHeight="1" x14ac:dyDescent="0.15"/>
    <row r="23609" s="76" customFormat="1" ht="35.1" customHeight="1" x14ac:dyDescent="0.15"/>
    <row r="23610" s="76" customFormat="1" ht="21.95" customHeight="1" x14ac:dyDescent="0.15"/>
    <row r="23611" s="76" customFormat="1" ht="21.95" customHeight="1" x14ac:dyDescent="0.15"/>
    <row r="23612" s="76" customFormat="1" ht="21.95" customHeight="1" x14ac:dyDescent="0.15"/>
    <row r="23613" s="76" customFormat="1" ht="21.95" customHeight="1" x14ac:dyDescent="0.15"/>
    <row r="23614" s="76" customFormat="1" ht="21.95" customHeight="1" x14ac:dyDescent="0.15"/>
    <row r="23615" s="76" customFormat="1" ht="21.95" customHeight="1" x14ac:dyDescent="0.15"/>
    <row r="23616" s="76" customFormat="1" ht="21.95" customHeight="1" x14ac:dyDescent="0.15"/>
    <row r="23617" s="76" customFormat="1" ht="21.95" customHeight="1" x14ac:dyDescent="0.15"/>
    <row r="23618" s="76" customFormat="1" ht="21.95" customHeight="1" x14ac:dyDescent="0.15"/>
    <row r="23619" s="76" customFormat="1" ht="21.95" customHeight="1" x14ac:dyDescent="0.15"/>
    <row r="23620" s="76" customFormat="1" ht="21.95" customHeight="1" x14ac:dyDescent="0.15"/>
    <row r="23621" s="76" customFormat="1" ht="21.95" customHeight="1" x14ac:dyDescent="0.15"/>
    <row r="23622" s="76" customFormat="1" ht="21.95" customHeight="1" x14ac:dyDescent="0.15"/>
    <row r="23623" s="76" customFormat="1" ht="21.95" customHeight="1" x14ac:dyDescent="0.15"/>
    <row r="23624" s="76" customFormat="1" ht="21.95" customHeight="1" x14ac:dyDescent="0.15"/>
    <row r="23625" s="76" customFormat="1" ht="21.95" customHeight="1" x14ac:dyDescent="0.15"/>
    <row r="23626" s="76" customFormat="1" ht="21.95" customHeight="1" x14ac:dyDescent="0.15"/>
    <row r="23627" s="76" customFormat="1" ht="21.95" customHeight="1" x14ac:dyDescent="0.15"/>
    <row r="23628" s="76" customFormat="1" ht="21.95" customHeight="1" x14ac:dyDescent="0.15"/>
    <row r="23629" s="76" customFormat="1" ht="21.95" customHeight="1" x14ac:dyDescent="0.15"/>
    <row r="23630" s="76" customFormat="1" ht="21.95" customHeight="1" x14ac:dyDescent="0.15"/>
    <row r="23631" s="76" customFormat="1" ht="21.95" customHeight="1" x14ac:dyDescent="0.15"/>
    <row r="23632" s="76" customFormat="1" ht="21.95" customHeight="1" x14ac:dyDescent="0.15"/>
    <row r="23633" spans="3:3" customFormat="1" ht="21.95" customHeight="1" x14ac:dyDescent="0.15"/>
    <row r="23634" spans="3:3" customFormat="1" ht="21.95" customHeight="1" x14ac:dyDescent="0.15"/>
    <row r="23635" spans="3:3" customFormat="1" ht="21.95" customHeight="1" x14ac:dyDescent="0.15">
      <c r="C23635" s="94"/>
    </row>
    <row r="23636" spans="3:3" customFormat="1" ht="21.95" customHeight="1" x14ac:dyDescent="0.15">
      <c r="C23636" s="94"/>
    </row>
    <row r="23637" spans="3:3" customFormat="1" ht="21.95" customHeight="1" x14ac:dyDescent="0.15"/>
    <row r="23638" spans="3:3" customFormat="1" ht="21.95" customHeight="1" x14ac:dyDescent="0.15"/>
    <row r="23639" spans="3:3" customFormat="1" ht="21.95" customHeight="1" x14ac:dyDescent="0.15"/>
    <row r="23640" spans="3:3" customFormat="1" ht="21.95" customHeight="1" x14ac:dyDescent="0.15"/>
    <row r="23641" spans="3:3" customFormat="1" ht="21.95" customHeight="1" x14ac:dyDescent="0.15"/>
    <row r="23642" spans="3:3" customFormat="1" ht="21.95" customHeight="1" x14ac:dyDescent="0.15"/>
    <row r="23643" spans="3:3" customFormat="1" ht="21.95" customHeight="1" x14ac:dyDescent="0.15"/>
    <row r="23644" spans="3:3" s="76" customFormat="1" ht="21.95" customHeight="1" x14ac:dyDescent="0.15"/>
    <row r="23645" spans="3:3" s="76" customFormat="1" ht="21.95" customHeight="1" x14ac:dyDescent="0.15"/>
    <row r="23646" spans="3:3" s="76" customFormat="1" ht="21.95" customHeight="1" x14ac:dyDescent="0.15"/>
    <row r="23647" spans="3:3" s="76" customFormat="1" ht="21.95" customHeight="1" x14ac:dyDescent="0.15"/>
    <row r="23648" spans="3:3" customFormat="1" ht="21.95" customHeight="1" x14ac:dyDescent="0.15"/>
    <row r="23649" customFormat="1" ht="21.95" customHeight="1" x14ac:dyDescent="0.15"/>
    <row r="23650" customFormat="1" ht="21.95" customHeight="1" x14ac:dyDescent="0.15"/>
    <row r="23651" customFormat="1" ht="21.95" customHeight="1" x14ac:dyDescent="0.15"/>
    <row r="23652" customFormat="1" ht="21.95" customHeight="1" x14ac:dyDescent="0.15"/>
    <row r="23653" customFormat="1" ht="21.95" customHeight="1" x14ac:dyDescent="0.15"/>
    <row r="23654" customFormat="1" ht="21.95" customHeight="1" x14ac:dyDescent="0.15"/>
    <row r="23655" customFormat="1" ht="21.95" customHeight="1" x14ac:dyDescent="0.15"/>
    <row r="23656" customFormat="1" ht="21.95" customHeight="1" x14ac:dyDescent="0.15"/>
    <row r="23657" customFormat="1" ht="21.95" customHeight="1" x14ac:dyDescent="0.15"/>
    <row r="23658" customFormat="1" ht="21.95" customHeight="1" x14ac:dyDescent="0.15"/>
    <row r="23659" customFormat="1" ht="32.1" customHeight="1" x14ac:dyDescent="0.15"/>
    <row r="23660" customFormat="1" ht="32.1" customHeight="1" x14ac:dyDescent="0.15"/>
    <row r="23661" customFormat="1" ht="32.1" customHeight="1" x14ac:dyDescent="0.15"/>
    <row r="23662" customFormat="1" ht="32.1" customHeight="1" x14ac:dyDescent="0.15"/>
    <row r="23663" customFormat="1" ht="32.1" customHeight="1" x14ac:dyDescent="0.15"/>
    <row r="23664" customFormat="1" ht="32.1" customHeight="1" x14ac:dyDescent="0.15"/>
    <row r="23665" s="76" customFormat="1" ht="32.1" customHeight="1" x14ac:dyDescent="0.15"/>
    <row r="23666" s="76" customFormat="1" ht="32.1" customHeight="1" x14ac:dyDescent="0.15"/>
    <row r="23667" s="76" customFormat="1" ht="32.1" customHeight="1" x14ac:dyDescent="0.15"/>
    <row r="23668" s="76" customFormat="1" ht="32.1" customHeight="1" x14ac:dyDescent="0.15"/>
    <row r="23669" s="76" customFormat="1" ht="21.95" customHeight="1" x14ac:dyDescent="0.15"/>
    <row r="23670" s="76" customFormat="1" ht="54" customHeight="1" x14ac:dyDescent="0.15"/>
    <row r="23671" s="76" customFormat="1" ht="21.95" customHeight="1" x14ac:dyDescent="0.15"/>
    <row r="23672" s="76" customFormat="1" ht="21.95" customHeight="1" x14ac:dyDescent="0.15"/>
    <row r="23673" s="76" customFormat="1" ht="21.95" customHeight="1" x14ac:dyDescent="0.15"/>
    <row r="23674" s="76" customFormat="1" ht="21.95" customHeight="1" x14ac:dyDescent="0.15"/>
    <row r="23675" s="76" customFormat="1" ht="21.95" customHeight="1" x14ac:dyDescent="0.15"/>
    <row r="23676" s="76" customFormat="1" ht="21.95" customHeight="1" x14ac:dyDescent="0.15"/>
    <row r="23677" s="76" customFormat="1" ht="21.95" customHeight="1" x14ac:dyDescent="0.15"/>
    <row r="23678" s="76" customFormat="1" ht="21.95" customHeight="1" x14ac:dyDescent="0.15"/>
    <row r="23679" s="76" customFormat="1" ht="21.95" customHeight="1" x14ac:dyDescent="0.15"/>
    <row r="23680" s="76" customFormat="1" ht="21.95" customHeight="1" x14ac:dyDescent="0.15"/>
    <row r="23681" s="76" customFormat="1" ht="21.95" customHeight="1" x14ac:dyDescent="0.15"/>
    <row r="23682" s="76" customFormat="1" ht="21.95" customHeight="1" x14ac:dyDescent="0.15"/>
    <row r="23683" s="76" customFormat="1" ht="21.95" customHeight="1" x14ac:dyDescent="0.15"/>
    <row r="23684" s="76" customFormat="1" ht="21.95" customHeight="1" x14ac:dyDescent="0.15"/>
    <row r="23685" s="76" customFormat="1" ht="21.95" customHeight="1" x14ac:dyDescent="0.15"/>
    <row r="23686" s="76" customFormat="1" ht="21.95" customHeight="1" x14ac:dyDescent="0.15"/>
    <row r="23687" s="76" customFormat="1" ht="21.95" customHeight="1" x14ac:dyDescent="0.15"/>
    <row r="23688" s="76" customFormat="1" ht="21.95" customHeight="1" x14ac:dyDescent="0.15"/>
    <row r="23689" s="76" customFormat="1" ht="21.95" customHeight="1" x14ac:dyDescent="0.15"/>
    <row r="23690" s="76" customFormat="1" ht="21.95" customHeight="1" x14ac:dyDescent="0.15"/>
    <row r="23691" s="76" customFormat="1" ht="21.95" customHeight="1" x14ac:dyDescent="0.15"/>
    <row r="23692" s="76" customFormat="1" ht="21.95" customHeight="1" x14ac:dyDescent="0.15"/>
    <row r="23693" s="76" customFormat="1" ht="21.95" customHeight="1" x14ac:dyDescent="0.15"/>
    <row r="23694" s="76" customFormat="1" ht="21.95" customHeight="1" x14ac:dyDescent="0.15"/>
    <row r="23695" s="76" customFormat="1" ht="21.95" customHeight="1" x14ac:dyDescent="0.15"/>
    <row r="23696" s="76" customFormat="1" ht="21.95" customHeight="1" x14ac:dyDescent="0.15"/>
    <row r="23697" s="76" customFormat="1" ht="21.95" customHeight="1" x14ac:dyDescent="0.15"/>
    <row r="23698" s="76" customFormat="1" ht="21.95" customHeight="1" x14ac:dyDescent="0.15"/>
    <row r="23699" s="76" customFormat="1" ht="21.95" customHeight="1" x14ac:dyDescent="0.15"/>
    <row r="23700" s="76" customFormat="1" ht="21.95" customHeight="1" x14ac:dyDescent="0.15"/>
    <row r="23701" s="76" customFormat="1" ht="21.95" customHeight="1" x14ac:dyDescent="0.15"/>
    <row r="23702" s="76" customFormat="1" ht="21.95" customHeight="1" x14ac:dyDescent="0.15"/>
    <row r="23703" s="76" customFormat="1" ht="21.95" customHeight="1" x14ac:dyDescent="0.15"/>
    <row r="23704" s="76" customFormat="1" ht="21.95" customHeight="1" x14ac:dyDescent="0.15"/>
    <row r="23705" s="76" customFormat="1" ht="21.95" customHeight="1" x14ac:dyDescent="0.15"/>
    <row r="23706" s="76" customFormat="1" ht="21.95" customHeight="1" x14ac:dyDescent="0.15"/>
    <row r="23707" s="76" customFormat="1" ht="21.95" customHeight="1" x14ac:dyDescent="0.15"/>
    <row r="23708" s="76" customFormat="1" ht="21.95" customHeight="1" x14ac:dyDescent="0.15"/>
    <row r="23709" s="76" customFormat="1" ht="21.95" customHeight="1" x14ac:dyDescent="0.15"/>
    <row r="23710" s="76" customFormat="1" ht="21.95" customHeight="1" x14ac:dyDescent="0.15"/>
    <row r="23711" s="76" customFormat="1" ht="21.95" customHeight="1" x14ac:dyDescent="0.15"/>
    <row r="23712" s="76" customFormat="1" ht="21.95" customHeight="1" x14ac:dyDescent="0.15"/>
    <row r="23713" s="76" customFormat="1" ht="21.95" customHeight="1" x14ac:dyDescent="0.15"/>
    <row r="23714" s="76" customFormat="1" ht="21.95" customHeight="1" x14ac:dyDescent="0.15"/>
    <row r="23715" s="76" customFormat="1" ht="21.95" customHeight="1" x14ac:dyDescent="0.15"/>
    <row r="23716" s="76" customFormat="1" ht="21.95" customHeight="1" x14ac:dyDescent="0.15"/>
    <row r="23717" s="76" customFormat="1" ht="21.95" customHeight="1" x14ac:dyDescent="0.15"/>
    <row r="23718" s="76" customFormat="1" ht="21.95" customHeight="1" x14ac:dyDescent="0.15"/>
    <row r="23719" s="76" customFormat="1" ht="21.95" customHeight="1" x14ac:dyDescent="0.15"/>
    <row r="23720" s="76" customFormat="1" ht="21.95" customHeight="1" x14ac:dyDescent="0.15"/>
    <row r="23721" s="76" customFormat="1" ht="35.1" customHeight="1" x14ac:dyDescent="0.15"/>
    <row r="23722" s="76" customFormat="1" ht="21.95" customHeight="1" x14ac:dyDescent="0.15"/>
    <row r="23723" s="76" customFormat="1" ht="21.95" customHeight="1" x14ac:dyDescent="0.15"/>
    <row r="23724" s="76" customFormat="1" ht="21.95" customHeight="1" x14ac:dyDescent="0.15"/>
    <row r="23725" s="76" customFormat="1" ht="21.95" customHeight="1" x14ac:dyDescent="0.15"/>
    <row r="23726" s="76" customFormat="1" ht="21.95" customHeight="1" x14ac:dyDescent="0.15"/>
    <row r="23727" s="76" customFormat="1" ht="21.95" customHeight="1" x14ac:dyDescent="0.15"/>
    <row r="23728" s="76" customFormat="1" ht="21.95" customHeight="1" x14ac:dyDescent="0.15"/>
    <row r="23729" s="76" customFormat="1" ht="21.95" customHeight="1" x14ac:dyDescent="0.15"/>
    <row r="23730" s="76" customFormat="1" ht="21.95" customHeight="1" x14ac:dyDescent="0.15"/>
    <row r="23731" s="76" customFormat="1" ht="21.95" customHeight="1" x14ac:dyDescent="0.15"/>
    <row r="23732" s="76" customFormat="1" ht="21.95" customHeight="1" x14ac:dyDescent="0.15"/>
    <row r="23733" s="76" customFormat="1" ht="21.95" customHeight="1" x14ac:dyDescent="0.15"/>
    <row r="23734" s="76" customFormat="1" ht="21.95" customHeight="1" x14ac:dyDescent="0.15"/>
    <row r="23735" s="76" customFormat="1" ht="21.95" customHeight="1" x14ac:dyDescent="0.15"/>
    <row r="23736" s="76" customFormat="1" ht="21.95" customHeight="1" x14ac:dyDescent="0.15"/>
    <row r="23737" s="76" customFormat="1" ht="21.95" customHeight="1" x14ac:dyDescent="0.15"/>
    <row r="23738" s="76" customFormat="1" ht="21.95" customHeight="1" x14ac:dyDescent="0.15"/>
    <row r="23739" s="76" customFormat="1" ht="21.95" customHeight="1" x14ac:dyDescent="0.15"/>
    <row r="23740" s="76" customFormat="1" ht="21.95" customHeight="1" x14ac:dyDescent="0.15"/>
    <row r="23741" s="76" customFormat="1" ht="21.95" customHeight="1" x14ac:dyDescent="0.15"/>
    <row r="23742" s="76" customFormat="1" ht="21.95" customHeight="1" x14ac:dyDescent="0.15"/>
    <row r="23743" s="76" customFormat="1" ht="21.95" customHeight="1" x14ac:dyDescent="0.15"/>
    <row r="23744" s="76" customFormat="1" ht="21.95" customHeight="1" x14ac:dyDescent="0.15"/>
    <row r="23745" spans="3:3" customFormat="1" ht="21.95" customHeight="1" x14ac:dyDescent="0.15"/>
    <row r="23746" spans="3:3" customFormat="1" ht="21.95" customHeight="1" x14ac:dyDescent="0.15"/>
    <row r="23747" spans="3:3" customFormat="1" ht="21.95" customHeight="1" x14ac:dyDescent="0.15">
      <c r="C23747" s="94"/>
    </row>
    <row r="23748" spans="3:3" customFormat="1" ht="21.95" customHeight="1" x14ac:dyDescent="0.15">
      <c r="C23748" s="94"/>
    </row>
    <row r="23749" spans="3:3" customFormat="1" ht="21.95" customHeight="1" x14ac:dyDescent="0.15"/>
    <row r="23750" spans="3:3" customFormat="1" ht="21.95" customHeight="1" x14ac:dyDescent="0.15"/>
    <row r="23751" spans="3:3" customFormat="1" ht="21.95" customHeight="1" x14ac:dyDescent="0.15"/>
    <row r="23752" spans="3:3" customFormat="1" ht="21.95" customHeight="1" x14ac:dyDescent="0.15"/>
    <row r="23753" spans="3:3" customFormat="1" ht="21.95" customHeight="1" x14ac:dyDescent="0.15"/>
    <row r="23754" spans="3:3" customFormat="1" ht="21.95" customHeight="1" x14ac:dyDescent="0.15"/>
    <row r="23755" spans="3:3" customFormat="1" ht="21.95" customHeight="1" x14ac:dyDescent="0.15"/>
    <row r="23756" spans="3:3" s="76" customFormat="1" ht="21.95" customHeight="1" x14ac:dyDescent="0.15"/>
    <row r="23757" spans="3:3" s="76" customFormat="1" ht="21.95" customHeight="1" x14ac:dyDescent="0.15"/>
    <row r="23758" spans="3:3" s="76" customFormat="1" ht="21.95" customHeight="1" x14ac:dyDescent="0.15"/>
    <row r="23759" spans="3:3" s="76" customFormat="1" ht="21.95" customHeight="1" x14ac:dyDescent="0.15"/>
    <row r="23760" spans="3:3" customFormat="1" ht="21.95" customHeight="1" x14ac:dyDescent="0.15"/>
    <row r="23761" customFormat="1" ht="21.95" customHeight="1" x14ac:dyDescent="0.15"/>
    <row r="23762" customFormat="1" ht="21.95" customHeight="1" x14ac:dyDescent="0.15"/>
    <row r="23763" customFormat="1" ht="21.95" customHeight="1" x14ac:dyDescent="0.15"/>
    <row r="23764" customFormat="1" ht="21.95" customHeight="1" x14ac:dyDescent="0.15"/>
    <row r="23765" customFormat="1" ht="21.95" customHeight="1" x14ac:dyDescent="0.15"/>
    <row r="23766" customFormat="1" ht="21.95" customHeight="1" x14ac:dyDescent="0.15"/>
    <row r="23767" customFormat="1" ht="21.95" customHeight="1" x14ac:dyDescent="0.15"/>
    <row r="23768" customFormat="1" ht="21.95" customHeight="1" x14ac:dyDescent="0.15"/>
    <row r="23769" customFormat="1" ht="21.95" customHeight="1" x14ac:dyDescent="0.15"/>
    <row r="23770" customFormat="1" ht="21.95" customHeight="1" x14ac:dyDescent="0.15"/>
    <row r="23771" customFormat="1" ht="32.1" customHeight="1" x14ac:dyDescent="0.15"/>
    <row r="23772" customFormat="1" ht="32.1" customHeight="1" x14ac:dyDescent="0.15"/>
    <row r="23773" customFormat="1" ht="32.1" customHeight="1" x14ac:dyDescent="0.15"/>
    <row r="23774" customFormat="1" ht="32.1" customHeight="1" x14ac:dyDescent="0.15"/>
    <row r="23775" customFormat="1" ht="32.1" customHeight="1" x14ac:dyDescent="0.15"/>
    <row r="23776" customFormat="1" ht="32.1" customHeight="1" x14ac:dyDescent="0.15"/>
    <row r="23777" s="76" customFormat="1" ht="32.1" customHeight="1" x14ac:dyDescent="0.15"/>
    <row r="23778" s="76" customFormat="1" ht="32.1" customHeight="1" x14ac:dyDescent="0.15"/>
    <row r="23779" s="76" customFormat="1" ht="32.1" customHeight="1" x14ac:dyDescent="0.15"/>
    <row r="23780" s="76" customFormat="1" ht="32.1" customHeight="1" x14ac:dyDescent="0.15"/>
    <row r="23781" s="76" customFormat="1" ht="21.95" customHeight="1" x14ac:dyDescent="0.15"/>
    <row r="23782" s="76" customFormat="1" ht="54" customHeight="1" x14ac:dyDescent="0.15"/>
    <row r="23783" s="76" customFormat="1" ht="21.95" customHeight="1" x14ac:dyDescent="0.15"/>
    <row r="23784" s="76" customFormat="1" ht="21.95" customHeight="1" x14ac:dyDescent="0.15"/>
    <row r="23785" s="76" customFormat="1" ht="21.95" customHeight="1" x14ac:dyDescent="0.15"/>
    <row r="23786" s="76" customFormat="1" ht="21.95" customHeight="1" x14ac:dyDescent="0.15"/>
    <row r="23787" s="76" customFormat="1" ht="21.95" customHeight="1" x14ac:dyDescent="0.15"/>
    <row r="23788" s="76" customFormat="1" ht="21.95" customHeight="1" x14ac:dyDescent="0.15"/>
    <row r="23789" s="76" customFormat="1" ht="21.95" customHeight="1" x14ac:dyDescent="0.15"/>
    <row r="23790" s="76" customFormat="1" ht="21.95" customHeight="1" x14ac:dyDescent="0.15"/>
    <row r="23791" s="76" customFormat="1" ht="21.95" customHeight="1" x14ac:dyDescent="0.15"/>
    <row r="23792" s="76" customFormat="1" ht="21.95" customHeight="1" x14ac:dyDescent="0.15"/>
    <row r="23793" s="76" customFormat="1" ht="21.95" customHeight="1" x14ac:dyDescent="0.15"/>
    <row r="23794" s="76" customFormat="1" ht="21.95" customHeight="1" x14ac:dyDescent="0.15"/>
    <row r="23795" s="76" customFormat="1" ht="21.95" customHeight="1" x14ac:dyDescent="0.15"/>
    <row r="23796" s="76" customFormat="1" ht="21.95" customHeight="1" x14ac:dyDescent="0.15"/>
    <row r="23797" s="76" customFormat="1" ht="21.95" customHeight="1" x14ac:dyDescent="0.15"/>
    <row r="23798" s="76" customFormat="1" ht="21.95" customHeight="1" x14ac:dyDescent="0.15"/>
    <row r="23799" s="76" customFormat="1" ht="21.95" customHeight="1" x14ac:dyDescent="0.15"/>
    <row r="23800" s="76" customFormat="1" ht="21.95" customHeight="1" x14ac:dyDescent="0.15"/>
    <row r="23801" s="76" customFormat="1" ht="21.95" customHeight="1" x14ac:dyDescent="0.15"/>
    <row r="23802" s="76" customFormat="1" ht="21.95" customHeight="1" x14ac:dyDescent="0.15"/>
    <row r="23803" s="76" customFormat="1" ht="21.95" customHeight="1" x14ac:dyDescent="0.15"/>
    <row r="23804" s="76" customFormat="1" ht="21.95" customHeight="1" x14ac:dyDescent="0.15"/>
    <row r="23805" s="76" customFormat="1" ht="21.95" customHeight="1" x14ac:dyDescent="0.15"/>
    <row r="23806" s="76" customFormat="1" ht="21.95" customHeight="1" x14ac:dyDescent="0.15"/>
    <row r="23807" s="76" customFormat="1" ht="21.95" customHeight="1" x14ac:dyDescent="0.15"/>
    <row r="23808" s="76" customFormat="1" ht="21.95" customHeight="1" x14ac:dyDescent="0.15"/>
    <row r="23809" s="76" customFormat="1" ht="21.95" customHeight="1" x14ac:dyDescent="0.15"/>
    <row r="23810" s="76" customFormat="1" ht="21.95" customHeight="1" x14ac:dyDescent="0.15"/>
    <row r="23811" s="76" customFormat="1" ht="21.95" customHeight="1" x14ac:dyDescent="0.15"/>
    <row r="23812" s="76" customFormat="1" ht="21.95" customHeight="1" x14ac:dyDescent="0.15"/>
    <row r="23813" s="76" customFormat="1" ht="21.95" customHeight="1" x14ac:dyDescent="0.15"/>
    <row r="23814" s="76" customFormat="1" ht="21.95" customHeight="1" x14ac:dyDescent="0.15"/>
    <row r="23815" s="76" customFormat="1" ht="21.95" customHeight="1" x14ac:dyDescent="0.15"/>
    <row r="23816" s="76" customFormat="1" ht="21.95" customHeight="1" x14ac:dyDescent="0.15"/>
    <row r="23817" s="76" customFormat="1" ht="21.95" customHeight="1" x14ac:dyDescent="0.15"/>
    <row r="23818" s="76" customFormat="1" ht="21.95" customHeight="1" x14ac:dyDescent="0.15"/>
    <row r="23819" s="76" customFormat="1" ht="21.95" customHeight="1" x14ac:dyDescent="0.15"/>
    <row r="23820" s="76" customFormat="1" ht="21.95" customHeight="1" x14ac:dyDescent="0.15"/>
    <row r="23821" s="76" customFormat="1" ht="21.95" customHeight="1" x14ac:dyDescent="0.15"/>
    <row r="23822" s="76" customFormat="1" ht="21.95" customHeight="1" x14ac:dyDescent="0.15"/>
    <row r="23823" s="76" customFormat="1" ht="21.95" customHeight="1" x14ac:dyDescent="0.15"/>
    <row r="23824" s="76" customFormat="1" ht="21.95" customHeight="1" x14ac:dyDescent="0.15"/>
    <row r="23825" s="76" customFormat="1" ht="21.95" customHeight="1" x14ac:dyDescent="0.15"/>
    <row r="23826" s="76" customFormat="1" ht="21.95" customHeight="1" x14ac:dyDescent="0.15"/>
    <row r="23827" s="76" customFormat="1" ht="21.95" customHeight="1" x14ac:dyDescent="0.15"/>
    <row r="23828" s="76" customFormat="1" ht="21.95" customHeight="1" x14ac:dyDescent="0.15"/>
    <row r="23829" s="76" customFormat="1" ht="21.95" customHeight="1" x14ac:dyDescent="0.15"/>
    <row r="23830" s="76" customFormat="1" ht="21.95" customHeight="1" x14ac:dyDescent="0.15"/>
    <row r="23831" s="76" customFormat="1" ht="21.95" customHeight="1" x14ac:dyDescent="0.15"/>
    <row r="23832" s="76" customFormat="1" ht="21.95" customHeight="1" x14ac:dyDescent="0.15"/>
    <row r="23833" s="76" customFormat="1" ht="35.1" customHeight="1" x14ac:dyDescent="0.15"/>
    <row r="23834" s="76" customFormat="1" ht="21.95" customHeight="1" x14ac:dyDescent="0.15"/>
    <row r="23835" s="76" customFormat="1" ht="21.95" customHeight="1" x14ac:dyDescent="0.15"/>
    <row r="23836" s="76" customFormat="1" ht="21.95" customHeight="1" x14ac:dyDescent="0.15"/>
    <row r="23837" s="76" customFormat="1" ht="21.95" customHeight="1" x14ac:dyDescent="0.15"/>
    <row r="23838" s="76" customFormat="1" ht="21.95" customHeight="1" x14ac:dyDescent="0.15"/>
    <row r="23839" s="76" customFormat="1" ht="21.95" customHeight="1" x14ac:dyDescent="0.15"/>
    <row r="23840" s="76" customFormat="1" ht="21.95" customHeight="1" x14ac:dyDescent="0.15"/>
    <row r="23841" s="76" customFormat="1" ht="21.95" customHeight="1" x14ac:dyDescent="0.15"/>
    <row r="23842" s="76" customFormat="1" ht="21.95" customHeight="1" x14ac:dyDescent="0.15"/>
    <row r="23843" s="76" customFormat="1" ht="21.95" customHeight="1" x14ac:dyDescent="0.15"/>
    <row r="23844" s="76" customFormat="1" ht="21.95" customHeight="1" x14ac:dyDescent="0.15"/>
    <row r="23845" s="76" customFormat="1" ht="21.95" customHeight="1" x14ac:dyDescent="0.15"/>
    <row r="23846" s="76" customFormat="1" ht="21.95" customHeight="1" x14ac:dyDescent="0.15"/>
    <row r="23847" s="76" customFormat="1" ht="21.95" customHeight="1" x14ac:dyDescent="0.15"/>
    <row r="23848" s="76" customFormat="1" ht="21.95" customHeight="1" x14ac:dyDescent="0.15"/>
    <row r="23849" s="76" customFormat="1" ht="21.95" customHeight="1" x14ac:dyDescent="0.15"/>
    <row r="23850" s="76" customFormat="1" ht="21.95" customHeight="1" x14ac:dyDescent="0.15"/>
    <row r="23851" s="76" customFormat="1" ht="21.95" customHeight="1" x14ac:dyDescent="0.15"/>
    <row r="23852" s="76" customFormat="1" ht="21.95" customHeight="1" x14ac:dyDescent="0.15"/>
    <row r="23853" s="76" customFormat="1" ht="21.95" customHeight="1" x14ac:dyDescent="0.15"/>
    <row r="23854" s="76" customFormat="1" ht="21.95" customHeight="1" x14ac:dyDescent="0.15"/>
    <row r="23855" s="76" customFormat="1" ht="21.95" customHeight="1" x14ac:dyDescent="0.15"/>
    <row r="23856" s="76" customFormat="1" ht="21.95" customHeight="1" x14ac:dyDescent="0.15"/>
    <row r="23857" spans="3:3" customFormat="1" ht="21.95" customHeight="1" x14ac:dyDescent="0.15"/>
    <row r="23858" spans="3:3" customFormat="1" ht="21.95" customHeight="1" x14ac:dyDescent="0.15"/>
    <row r="23859" spans="3:3" customFormat="1" ht="21.95" customHeight="1" x14ac:dyDescent="0.15">
      <c r="C23859" s="94"/>
    </row>
    <row r="23860" spans="3:3" customFormat="1" ht="21.95" customHeight="1" x14ac:dyDescent="0.15">
      <c r="C23860" s="94"/>
    </row>
    <row r="23861" spans="3:3" customFormat="1" ht="21.95" customHeight="1" x14ac:dyDescent="0.15"/>
    <row r="23862" spans="3:3" customFormat="1" ht="21.95" customHeight="1" x14ac:dyDescent="0.15"/>
    <row r="23863" spans="3:3" customFormat="1" ht="21.95" customHeight="1" x14ac:dyDescent="0.15"/>
    <row r="23864" spans="3:3" customFormat="1" ht="21.95" customHeight="1" x14ac:dyDescent="0.15"/>
    <row r="23865" spans="3:3" customFormat="1" ht="21.95" customHeight="1" x14ac:dyDescent="0.15"/>
    <row r="23866" spans="3:3" customFormat="1" ht="21.95" customHeight="1" x14ac:dyDescent="0.15"/>
    <row r="23867" spans="3:3" customFormat="1" ht="21.95" customHeight="1" x14ac:dyDescent="0.15"/>
    <row r="23868" spans="3:3" s="76" customFormat="1" ht="21.95" customHeight="1" x14ac:dyDescent="0.15"/>
    <row r="23869" spans="3:3" s="76" customFormat="1" ht="21.95" customHeight="1" x14ac:dyDescent="0.15"/>
    <row r="23870" spans="3:3" s="76" customFormat="1" ht="21.95" customHeight="1" x14ac:dyDescent="0.15"/>
    <row r="23871" spans="3:3" s="76" customFormat="1" ht="21.95" customHeight="1" x14ac:dyDescent="0.15"/>
    <row r="23872" spans="3:3" customFormat="1" ht="21.95" customHeight="1" x14ac:dyDescent="0.15"/>
    <row r="23873" customFormat="1" ht="21.95" customHeight="1" x14ac:dyDescent="0.15"/>
    <row r="23874" customFormat="1" ht="21.95" customHeight="1" x14ac:dyDescent="0.15"/>
    <row r="23875" customFormat="1" ht="21.95" customHeight="1" x14ac:dyDescent="0.15"/>
    <row r="23876" customFormat="1" ht="21.95" customHeight="1" x14ac:dyDescent="0.15"/>
    <row r="23877" customFormat="1" ht="21.95" customHeight="1" x14ac:dyDescent="0.15"/>
    <row r="23878" customFormat="1" ht="21.95" customHeight="1" x14ac:dyDescent="0.15"/>
    <row r="23879" customFormat="1" ht="21.95" customHeight="1" x14ac:dyDescent="0.15"/>
    <row r="23880" customFormat="1" ht="21.95" customHeight="1" x14ac:dyDescent="0.15"/>
    <row r="23881" customFormat="1" ht="21.95" customHeight="1" x14ac:dyDescent="0.15"/>
    <row r="23882" customFormat="1" ht="21.95" customHeight="1" x14ac:dyDescent="0.15"/>
    <row r="23883" customFormat="1" ht="32.1" customHeight="1" x14ac:dyDescent="0.15"/>
    <row r="23884" customFormat="1" ht="32.1" customHeight="1" x14ac:dyDescent="0.15"/>
    <row r="23885" customFormat="1" ht="32.1" customHeight="1" x14ac:dyDescent="0.15"/>
    <row r="23886" customFormat="1" ht="32.1" customHeight="1" x14ac:dyDescent="0.15"/>
    <row r="23887" customFormat="1" ht="32.1" customHeight="1" x14ac:dyDescent="0.15"/>
    <row r="23888" customFormat="1" ht="32.1" customHeight="1" x14ac:dyDescent="0.15"/>
    <row r="23889" s="76" customFormat="1" ht="32.1" customHeight="1" x14ac:dyDescent="0.15"/>
    <row r="23890" s="76" customFormat="1" ht="32.1" customHeight="1" x14ac:dyDescent="0.15"/>
    <row r="23891" s="76" customFormat="1" ht="32.1" customHeight="1" x14ac:dyDescent="0.15"/>
    <row r="23892" s="76" customFormat="1" ht="32.1" customHeight="1" x14ac:dyDescent="0.15"/>
    <row r="23893" s="76" customFormat="1" ht="21.95" customHeight="1" x14ac:dyDescent="0.15"/>
    <row r="23894" s="76" customFormat="1" ht="54" customHeight="1" x14ac:dyDescent="0.15"/>
    <row r="23895" s="76" customFormat="1" ht="21.95" customHeight="1" x14ac:dyDescent="0.15"/>
    <row r="23896" s="76" customFormat="1" ht="21.95" customHeight="1" x14ac:dyDescent="0.15"/>
    <row r="23897" s="76" customFormat="1" ht="21.95" customHeight="1" x14ac:dyDescent="0.15"/>
    <row r="23898" s="76" customFormat="1" ht="21.95" customHeight="1" x14ac:dyDescent="0.15"/>
    <row r="23899" s="76" customFormat="1" ht="21.95" customHeight="1" x14ac:dyDescent="0.15"/>
    <row r="23900" s="76" customFormat="1" ht="21.95" customHeight="1" x14ac:dyDescent="0.15"/>
    <row r="23901" s="76" customFormat="1" ht="21.95" customHeight="1" x14ac:dyDescent="0.15"/>
    <row r="23902" s="76" customFormat="1" ht="21.95" customHeight="1" x14ac:dyDescent="0.15"/>
    <row r="23903" s="76" customFormat="1" ht="21.95" customHeight="1" x14ac:dyDescent="0.15"/>
    <row r="23904" s="76" customFormat="1" ht="21.95" customHeight="1" x14ac:dyDescent="0.15"/>
    <row r="23905" s="76" customFormat="1" ht="21.95" customHeight="1" x14ac:dyDescent="0.15"/>
    <row r="23906" s="76" customFormat="1" ht="21.95" customHeight="1" x14ac:dyDescent="0.15"/>
    <row r="23907" s="76" customFormat="1" ht="21.95" customHeight="1" x14ac:dyDescent="0.15"/>
    <row r="23908" s="76" customFormat="1" ht="21.95" customHeight="1" x14ac:dyDescent="0.15"/>
    <row r="23909" s="76" customFormat="1" ht="21.95" customHeight="1" x14ac:dyDescent="0.15"/>
    <row r="23910" s="76" customFormat="1" ht="21.95" customHeight="1" x14ac:dyDescent="0.15"/>
    <row r="23911" s="76" customFormat="1" ht="21.95" customHeight="1" x14ac:dyDescent="0.15"/>
    <row r="23912" s="76" customFormat="1" ht="21.95" customHeight="1" x14ac:dyDescent="0.15"/>
    <row r="23913" s="76" customFormat="1" ht="21.95" customHeight="1" x14ac:dyDescent="0.15"/>
    <row r="23914" s="76" customFormat="1" ht="21.95" customHeight="1" x14ac:dyDescent="0.15"/>
    <row r="23915" s="76" customFormat="1" ht="21.95" customHeight="1" x14ac:dyDescent="0.15"/>
    <row r="23916" s="76" customFormat="1" ht="21.95" customHeight="1" x14ac:dyDescent="0.15"/>
    <row r="23917" s="76" customFormat="1" ht="21.95" customHeight="1" x14ac:dyDescent="0.15"/>
    <row r="23918" s="76" customFormat="1" ht="21.95" customHeight="1" x14ac:dyDescent="0.15"/>
    <row r="23919" s="76" customFormat="1" ht="21.95" customHeight="1" x14ac:dyDescent="0.15"/>
    <row r="23920" s="76" customFormat="1" ht="21.95" customHeight="1" x14ac:dyDescent="0.15"/>
    <row r="23921" s="76" customFormat="1" ht="21.95" customHeight="1" x14ac:dyDescent="0.15"/>
    <row r="23922" s="76" customFormat="1" ht="21.95" customHeight="1" x14ac:dyDescent="0.15"/>
    <row r="23923" s="76" customFormat="1" ht="21.95" customHeight="1" x14ac:dyDescent="0.15"/>
    <row r="23924" s="76" customFormat="1" ht="21.95" customHeight="1" x14ac:dyDescent="0.15"/>
    <row r="23925" s="76" customFormat="1" ht="21.95" customHeight="1" x14ac:dyDescent="0.15"/>
    <row r="23926" s="76" customFormat="1" ht="21.95" customHeight="1" x14ac:dyDescent="0.15"/>
    <row r="23927" s="76" customFormat="1" ht="21.95" customHeight="1" x14ac:dyDescent="0.15"/>
    <row r="23928" s="76" customFormat="1" ht="21.95" customHeight="1" x14ac:dyDescent="0.15"/>
    <row r="23929" s="76" customFormat="1" ht="21.95" customHeight="1" x14ac:dyDescent="0.15"/>
    <row r="23930" s="76" customFormat="1" ht="21.95" customHeight="1" x14ac:dyDescent="0.15"/>
    <row r="23931" s="76" customFormat="1" ht="21.95" customHeight="1" x14ac:dyDescent="0.15"/>
    <row r="23932" s="76" customFormat="1" ht="21.95" customHeight="1" x14ac:dyDescent="0.15"/>
    <row r="23933" s="76" customFormat="1" ht="21.95" customHeight="1" x14ac:dyDescent="0.15"/>
    <row r="23934" s="76" customFormat="1" ht="21.95" customHeight="1" x14ac:dyDescent="0.15"/>
    <row r="23935" s="76" customFormat="1" ht="21.95" customHeight="1" x14ac:dyDescent="0.15"/>
    <row r="23936" s="76" customFormat="1" ht="21.95" customHeight="1" x14ac:dyDescent="0.15"/>
    <row r="23937" s="76" customFormat="1" ht="21.95" customHeight="1" x14ac:dyDescent="0.15"/>
    <row r="23938" s="76" customFormat="1" ht="21.95" customHeight="1" x14ac:dyDescent="0.15"/>
    <row r="23939" s="76" customFormat="1" ht="21.95" customHeight="1" x14ac:dyDescent="0.15"/>
    <row r="23940" s="76" customFormat="1" ht="21.95" customHeight="1" x14ac:dyDescent="0.15"/>
    <row r="23941" s="76" customFormat="1" ht="21.95" customHeight="1" x14ac:dyDescent="0.15"/>
    <row r="23942" s="76" customFormat="1" ht="21.95" customHeight="1" x14ac:dyDescent="0.15"/>
    <row r="23943" s="76" customFormat="1" ht="21.95" customHeight="1" x14ac:dyDescent="0.15"/>
    <row r="23944" s="76" customFormat="1" ht="21.95" customHeight="1" x14ac:dyDescent="0.15"/>
    <row r="23945" s="76" customFormat="1" ht="35.1" customHeight="1" x14ac:dyDescent="0.15"/>
    <row r="23946" s="76" customFormat="1" ht="21.95" customHeight="1" x14ac:dyDescent="0.15"/>
    <row r="23947" s="76" customFormat="1" ht="21.95" customHeight="1" x14ac:dyDescent="0.15"/>
    <row r="23948" s="76" customFormat="1" ht="21.95" customHeight="1" x14ac:dyDescent="0.15"/>
    <row r="23949" s="76" customFormat="1" ht="21.95" customHeight="1" x14ac:dyDescent="0.15"/>
    <row r="23950" s="76" customFormat="1" ht="21.95" customHeight="1" x14ac:dyDescent="0.15"/>
    <row r="23951" s="76" customFormat="1" ht="21.95" customHeight="1" x14ac:dyDescent="0.15"/>
    <row r="23952" s="76" customFormat="1" ht="21.95" customHeight="1" x14ac:dyDescent="0.15"/>
    <row r="23953" s="76" customFormat="1" ht="21.95" customHeight="1" x14ac:dyDescent="0.15"/>
    <row r="23954" s="76" customFormat="1" ht="21.95" customHeight="1" x14ac:dyDescent="0.15"/>
    <row r="23955" s="76" customFormat="1" ht="21.95" customHeight="1" x14ac:dyDescent="0.15"/>
    <row r="23956" s="76" customFormat="1" ht="21.95" customHeight="1" x14ac:dyDescent="0.15"/>
    <row r="23957" s="76" customFormat="1" ht="21.95" customHeight="1" x14ac:dyDescent="0.15"/>
    <row r="23958" s="76" customFormat="1" ht="21.95" customHeight="1" x14ac:dyDescent="0.15"/>
    <row r="23959" s="76" customFormat="1" ht="21.95" customHeight="1" x14ac:dyDescent="0.15"/>
    <row r="23960" s="76" customFormat="1" ht="21.95" customHeight="1" x14ac:dyDescent="0.15"/>
    <row r="23961" s="76" customFormat="1" ht="21.95" customHeight="1" x14ac:dyDescent="0.15"/>
    <row r="23962" s="76" customFormat="1" ht="21.95" customHeight="1" x14ac:dyDescent="0.15"/>
    <row r="23963" s="76" customFormat="1" ht="21.95" customHeight="1" x14ac:dyDescent="0.15"/>
    <row r="23964" s="76" customFormat="1" ht="21.95" customHeight="1" x14ac:dyDescent="0.15"/>
    <row r="23965" s="76" customFormat="1" ht="21.95" customHeight="1" x14ac:dyDescent="0.15"/>
    <row r="23966" s="76" customFormat="1" ht="21.95" customHeight="1" x14ac:dyDescent="0.15"/>
    <row r="23967" s="76" customFormat="1" ht="21.95" customHeight="1" x14ac:dyDescent="0.15"/>
    <row r="23968" s="76" customFormat="1" ht="21.95" customHeight="1" x14ac:dyDescent="0.15"/>
    <row r="23969" spans="3:3" customFormat="1" ht="21.95" customHeight="1" x14ac:dyDescent="0.15"/>
    <row r="23970" spans="3:3" customFormat="1" ht="21.95" customHeight="1" x14ac:dyDescent="0.15"/>
    <row r="23971" spans="3:3" customFormat="1" ht="21.95" customHeight="1" x14ac:dyDescent="0.15">
      <c r="C23971" s="94"/>
    </row>
    <row r="23972" spans="3:3" customFormat="1" ht="21.95" customHeight="1" x14ac:dyDescent="0.15">
      <c r="C23972" s="94"/>
    </row>
    <row r="23973" spans="3:3" customFormat="1" ht="21.95" customHeight="1" x14ac:dyDescent="0.15"/>
    <row r="23974" spans="3:3" customFormat="1" ht="21.95" customHeight="1" x14ac:dyDescent="0.15"/>
    <row r="23975" spans="3:3" customFormat="1" ht="21.95" customHeight="1" x14ac:dyDescent="0.15"/>
    <row r="23976" spans="3:3" customFormat="1" ht="21.95" customHeight="1" x14ac:dyDescent="0.15"/>
    <row r="23977" spans="3:3" customFormat="1" ht="21.95" customHeight="1" x14ac:dyDescent="0.15"/>
    <row r="23978" spans="3:3" customFormat="1" ht="21.95" customHeight="1" x14ac:dyDescent="0.15"/>
    <row r="23979" spans="3:3" customFormat="1" ht="21.95" customHeight="1" x14ac:dyDescent="0.15"/>
    <row r="23980" spans="3:3" s="76" customFormat="1" ht="21.95" customHeight="1" x14ac:dyDescent="0.15"/>
    <row r="23981" spans="3:3" s="76" customFormat="1" ht="21.95" customHeight="1" x14ac:dyDescent="0.15"/>
    <row r="23982" spans="3:3" s="76" customFormat="1" ht="21.95" customHeight="1" x14ac:dyDescent="0.15"/>
    <row r="23983" spans="3:3" s="76" customFormat="1" ht="21.95" customHeight="1" x14ac:dyDescent="0.15"/>
    <row r="23984" spans="3:3" customFormat="1" ht="21.95" customHeight="1" x14ac:dyDescent="0.15"/>
    <row r="23985" customFormat="1" ht="21.95" customHeight="1" x14ac:dyDescent="0.15"/>
    <row r="23986" customFormat="1" ht="21.95" customHeight="1" x14ac:dyDescent="0.15"/>
    <row r="23987" customFormat="1" ht="21.95" customHeight="1" x14ac:dyDescent="0.15"/>
    <row r="23988" customFormat="1" ht="21.95" customHeight="1" x14ac:dyDescent="0.15"/>
    <row r="23989" customFormat="1" ht="21.95" customHeight="1" x14ac:dyDescent="0.15"/>
    <row r="23990" customFormat="1" ht="21.95" customHeight="1" x14ac:dyDescent="0.15"/>
    <row r="23991" customFormat="1" ht="21.95" customHeight="1" x14ac:dyDescent="0.15"/>
    <row r="23992" customFormat="1" ht="21.95" customHeight="1" x14ac:dyDescent="0.15"/>
    <row r="23993" customFormat="1" ht="21.95" customHeight="1" x14ac:dyDescent="0.15"/>
    <row r="23994" customFormat="1" ht="21.95" customHeight="1" x14ac:dyDescent="0.15"/>
    <row r="23995" customFormat="1" ht="32.1" customHeight="1" x14ac:dyDescent="0.15"/>
    <row r="23996" customFormat="1" ht="32.1" customHeight="1" x14ac:dyDescent="0.15"/>
    <row r="23997" customFormat="1" ht="32.1" customHeight="1" x14ac:dyDescent="0.15"/>
    <row r="23998" customFormat="1" ht="32.1" customHeight="1" x14ac:dyDescent="0.15"/>
    <row r="23999" customFormat="1" ht="32.1" customHeight="1" x14ac:dyDescent="0.15"/>
    <row r="24000" customFormat="1" ht="32.1" customHeight="1" x14ac:dyDescent="0.15"/>
    <row r="24001" s="76" customFormat="1" ht="32.1" customHeight="1" x14ac:dyDescent="0.15"/>
    <row r="24002" s="76" customFormat="1" ht="32.1" customHeight="1" x14ac:dyDescent="0.15"/>
    <row r="24003" s="76" customFormat="1" ht="32.1" customHeight="1" x14ac:dyDescent="0.15"/>
    <row r="24004" s="76" customFormat="1" ht="32.1" customHeight="1" x14ac:dyDescent="0.15"/>
    <row r="24005" s="76" customFormat="1" ht="21.95" customHeight="1" x14ac:dyDescent="0.15"/>
    <row r="24006" s="76" customFormat="1" ht="54" customHeight="1" x14ac:dyDescent="0.15"/>
    <row r="24007" s="76" customFormat="1" ht="21.95" customHeight="1" x14ac:dyDescent="0.15"/>
    <row r="24008" s="76" customFormat="1" ht="21.95" customHeight="1" x14ac:dyDescent="0.15"/>
    <row r="24009" s="76" customFormat="1" ht="21.95" customHeight="1" x14ac:dyDescent="0.15"/>
    <row r="24010" s="76" customFormat="1" ht="21.95" customHeight="1" x14ac:dyDescent="0.15"/>
    <row r="24011" s="76" customFormat="1" ht="21.95" customHeight="1" x14ac:dyDescent="0.15"/>
    <row r="24012" s="76" customFormat="1" ht="21.95" customHeight="1" x14ac:dyDescent="0.15"/>
    <row r="24013" s="76" customFormat="1" ht="21.95" customHeight="1" x14ac:dyDescent="0.15"/>
    <row r="24014" s="76" customFormat="1" ht="21.95" customHeight="1" x14ac:dyDescent="0.15"/>
    <row r="24015" s="76" customFormat="1" ht="21.95" customHeight="1" x14ac:dyDescent="0.15"/>
    <row r="24016" s="76" customFormat="1" ht="21.95" customHeight="1" x14ac:dyDescent="0.15"/>
    <row r="24017" s="76" customFormat="1" ht="21.95" customHeight="1" x14ac:dyDescent="0.15"/>
    <row r="24018" s="76" customFormat="1" ht="21.95" customHeight="1" x14ac:dyDescent="0.15"/>
    <row r="24019" s="76" customFormat="1" ht="21.95" customHeight="1" x14ac:dyDescent="0.15"/>
    <row r="24020" s="76" customFormat="1" ht="21.95" customHeight="1" x14ac:dyDescent="0.15"/>
    <row r="24021" s="76" customFormat="1" ht="21.95" customHeight="1" x14ac:dyDescent="0.15"/>
    <row r="24022" s="76" customFormat="1" ht="21.95" customHeight="1" x14ac:dyDescent="0.15"/>
    <row r="24023" s="76" customFormat="1" ht="21.95" customHeight="1" x14ac:dyDescent="0.15"/>
    <row r="24024" s="76" customFormat="1" ht="21.95" customHeight="1" x14ac:dyDescent="0.15"/>
    <row r="24025" s="76" customFormat="1" ht="21.95" customHeight="1" x14ac:dyDescent="0.15"/>
    <row r="24026" s="76" customFormat="1" ht="21.95" customHeight="1" x14ac:dyDescent="0.15"/>
    <row r="24027" s="76" customFormat="1" ht="21.95" customHeight="1" x14ac:dyDescent="0.15"/>
    <row r="24028" s="76" customFormat="1" ht="21.95" customHeight="1" x14ac:dyDescent="0.15"/>
    <row r="24029" s="76" customFormat="1" ht="21.95" customHeight="1" x14ac:dyDescent="0.15"/>
    <row r="24030" s="76" customFormat="1" ht="21.95" customHeight="1" x14ac:dyDescent="0.15"/>
    <row r="24031" s="76" customFormat="1" ht="21.95" customHeight="1" x14ac:dyDescent="0.15"/>
    <row r="24032" s="76" customFormat="1" ht="21.95" customHeight="1" x14ac:dyDescent="0.15"/>
    <row r="24033" s="76" customFormat="1" ht="21.95" customHeight="1" x14ac:dyDescent="0.15"/>
    <row r="24034" s="76" customFormat="1" ht="21.95" customHeight="1" x14ac:dyDescent="0.15"/>
    <row r="24035" s="76" customFormat="1" ht="21.95" customHeight="1" x14ac:dyDescent="0.15"/>
    <row r="24036" s="76" customFormat="1" ht="21.95" customHeight="1" x14ac:dyDescent="0.15"/>
    <row r="24037" s="76" customFormat="1" ht="21.95" customHeight="1" x14ac:dyDescent="0.15"/>
    <row r="24038" s="76" customFormat="1" ht="21.95" customHeight="1" x14ac:dyDescent="0.15"/>
    <row r="24039" s="76" customFormat="1" ht="21.95" customHeight="1" x14ac:dyDescent="0.15"/>
    <row r="24040" s="76" customFormat="1" ht="21.95" customHeight="1" x14ac:dyDescent="0.15"/>
    <row r="24041" s="76" customFormat="1" ht="21.95" customHeight="1" x14ac:dyDescent="0.15"/>
    <row r="24042" s="76" customFormat="1" ht="21.95" customHeight="1" x14ac:dyDescent="0.15"/>
    <row r="24043" s="76" customFormat="1" ht="21.95" customHeight="1" x14ac:dyDescent="0.15"/>
    <row r="24044" s="76" customFormat="1" ht="21.95" customHeight="1" x14ac:dyDescent="0.15"/>
    <row r="24045" s="76" customFormat="1" ht="21.95" customHeight="1" x14ac:dyDescent="0.15"/>
    <row r="24046" s="76" customFormat="1" ht="21.95" customHeight="1" x14ac:dyDescent="0.15"/>
    <row r="24047" s="76" customFormat="1" ht="21.95" customHeight="1" x14ac:dyDescent="0.15"/>
    <row r="24048" s="76" customFormat="1" ht="21.95" customHeight="1" x14ac:dyDescent="0.15"/>
    <row r="24049" s="76" customFormat="1" ht="21.95" customHeight="1" x14ac:dyDescent="0.15"/>
    <row r="24050" s="76" customFormat="1" ht="21.95" customHeight="1" x14ac:dyDescent="0.15"/>
    <row r="24051" s="76" customFormat="1" ht="21.95" customHeight="1" x14ac:dyDescent="0.15"/>
    <row r="24052" s="76" customFormat="1" ht="21.95" customHeight="1" x14ac:dyDescent="0.15"/>
    <row r="24053" s="76" customFormat="1" ht="21.95" customHeight="1" x14ac:dyDescent="0.15"/>
    <row r="24054" s="76" customFormat="1" ht="21.95" customHeight="1" x14ac:dyDescent="0.15"/>
    <row r="24055" s="76" customFormat="1" ht="21.95" customHeight="1" x14ac:dyDescent="0.15"/>
    <row r="24056" s="76" customFormat="1" ht="21.95" customHeight="1" x14ac:dyDescent="0.15"/>
    <row r="24057" s="76" customFormat="1" ht="35.1" customHeight="1" x14ac:dyDescent="0.15"/>
    <row r="24058" s="76" customFormat="1" ht="21.95" customHeight="1" x14ac:dyDescent="0.15"/>
    <row r="24059" s="76" customFormat="1" ht="21.95" customHeight="1" x14ac:dyDescent="0.15"/>
    <row r="24060" s="76" customFormat="1" ht="21.95" customHeight="1" x14ac:dyDescent="0.15"/>
    <row r="24061" s="76" customFormat="1" ht="21.95" customHeight="1" x14ac:dyDescent="0.15"/>
    <row r="24062" s="76" customFormat="1" ht="21.95" customHeight="1" x14ac:dyDescent="0.15"/>
    <row r="24063" s="76" customFormat="1" ht="21.95" customHeight="1" x14ac:dyDescent="0.15"/>
    <row r="24064" s="76" customFormat="1" ht="21.95" customHeight="1" x14ac:dyDescent="0.15"/>
    <row r="24065" s="76" customFormat="1" ht="21.95" customHeight="1" x14ac:dyDescent="0.15"/>
    <row r="24066" s="76" customFormat="1" ht="21.95" customHeight="1" x14ac:dyDescent="0.15"/>
    <row r="24067" s="76" customFormat="1" ht="21.95" customHeight="1" x14ac:dyDescent="0.15"/>
    <row r="24068" s="76" customFormat="1" ht="21.95" customHeight="1" x14ac:dyDescent="0.15"/>
    <row r="24069" s="76" customFormat="1" ht="21.95" customHeight="1" x14ac:dyDescent="0.15"/>
    <row r="24070" s="76" customFormat="1" ht="21.95" customHeight="1" x14ac:dyDescent="0.15"/>
    <row r="24071" s="76" customFormat="1" ht="21.95" customHeight="1" x14ac:dyDescent="0.15"/>
    <row r="24072" s="76" customFormat="1" ht="21.95" customHeight="1" x14ac:dyDescent="0.15"/>
    <row r="24073" s="76" customFormat="1" ht="21.95" customHeight="1" x14ac:dyDescent="0.15"/>
    <row r="24074" s="76" customFormat="1" ht="21.95" customHeight="1" x14ac:dyDescent="0.15"/>
    <row r="24075" s="76" customFormat="1" ht="21.95" customHeight="1" x14ac:dyDescent="0.15"/>
    <row r="24076" s="76" customFormat="1" ht="21.95" customHeight="1" x14ac:dyDescent="0.15"/>
    <row r="24077" s="76" customFormat="1" ht="21.95" customHeight="1" x14ac:dyDescent="0.15"/>
    <row r="24078" s="76" customFormat="1" ht="21.95" customHeight="1" x14ac:dyDescent="0.15"/>
    <row r="24079" s="76" customFormat="1" ht="21.95" customHeight="1" x14ac:dyDescent="0.15"/>
    <row r="24080" s="76" customFormat="1" ht="21.95" customHeight="1" x14ac:dyDescent="0.15"/>
    <row r="24081" spans="3:3" customFormat="1" ht="21.95" customHeight="1" x14ac:dyDescent="0.15"/>
    <row r="24082" spans="3:3" customFormat="1" ht="21.95" customHeight="1" x14ac:dyDescent="0.15"/>
    <row r="24083" spans="3:3" customFormat="1" ht="21.95" customHeight="1" x14ac:dyDescent="0.15">
      <c r="C24083" s="94"/>
    </row>
    <row r="24084" spans="3:3" customFormat="1" ht="21.95" customHeight="1" x14ac:dyDescent="0.15">
      <c r="C24084" s="94"/>
    </row>
    <row r="24085" spans="3:3" customFormat="1" ht="21.95" customHeight="1" x14ac:dyDescent="0.15"/>
    <row r="24086" spans="3:3" customFormat="1" ht="21.95" customHeight="1" x14ac:dyDescent="0.15"/>
    <row r="24087" spans="3:3" customFormat="1" ht="21.95" customHeight="1" x14ac:dyDescent="0.15"/>
    <row r="24088" spans="3:3" customFormat="1" ht="21.95" customHeight="1" x14ac:dyDescent="0.15"/>
    <row r="24089" spans="3:3" customFormat="1" ht="21.95" customHeight="1" x14ac:dyDescent="0.15"/>
    <row r="24090" spans="3:3" customFormat="1" ht="21.95" customHeight="1" x14ac:dyDescent="0.15"/>
    <row r="24091" spans="3:3" customFormat="1" ht="21.95" customHeight="1" x14ac:dyDescent="0.15"/>
    <row r="24092" spans="3:3" s="76" customFormat="1" ht="21.95" customHeight="1" x14ac:dyDescent="0.15"/>
    <row r="24093" spans="3:3" s="76" customFormat="1" ht="21.95" customHeight="1" x14ac:dyDescent="0.15"/>
    <row r="24094" spans="3:3" s="76" customFormat="1" ht="21.95" customHeight="1" x14ac:dyDescent="0.15"/>
    <row r="24095" spans="3:3" s="76" customFormat="1" ht="21.95" customHeight="1" x14ac:dyDescent="0.15"/>
    <row r="24096" spans="3:3" customFormat="1" ht="21.95" customHeight="1" x14ac:dyDescent="0.15"/>
    <row r="24097" customFormat="1" ht="21.95" customHeight="1" x14ac:dyDescent="0.15"/>
    <row r="24098" customFormat="1" ht="21.95" customHeight="1" x14ac:dyDescent="0.15"/>
    <row r="24099" customFormat="1" ht="21.95" customHeight="1" x14ac:dyDescent="0.15"/>
    <row r="24100" customFormat="1" ht="21.95" customHeight="1" x14ac:dyDescent="0.15"/>
    <row r="24101" customFormat="1" ht="21.95" customHeight="1" x14ac:dyDescent="0.15"/>
    <row r="24102" customFormat="1" ht="21.95" customHeight="1" x14ac:dyDescent="0.15"/>
    <row r="24103" customFormat="1" ht="21.95" customHeight="1" x14ac:dyDescent="0.15"/>
    <row r="24104" customFormat="1" ht="21.95" customHeight="1" x14ac:dyDescent="0.15"/>
    <row r="24105" customFormat="1" ht="21.95" customHeight="1" x14ac:dyDescent="0.15"/>
    <row r="24106" customFormat="1" ht="21.95" customHeight="1" x14ac:dyDescent="0.15"/>
    <row r="24107" customFormat="1" ht="32.1" customHeight="1" x14ac:dyDescent="0.15"/>
    <row r="24108" customFormat="1" ht="32.1" customHeight="1" x14ac:dyDescent="0.15"/>
    <row r="24109" customFormat="1" ht="32.1" customHeight="1" x14ac:dyDescent="0.15"/>
    <row r="24110" customFormat="1" ht="32.1" customHeight="1" x14ac:dyDescent="0.15"/>
    <row r="24111" customFormat="1" ht="32.1" customHeight="1" x14ac:dyDescent="0.15"/>
    <row r="24112" customFormat="1" ht="32.1" customHeight="1" x14ac:dyDescent="0.15"/>
    <row r="24113" s="76" customFormat="1" ht="32.1" customHeight="1" x14ac:dyDescent="0.15"/>
    <row r="24114" s="76" customFormat="1" ht="32.1" customHeight="1" x14ac:dyDescent="0.15"/>
    <row r="24115" s="76" customFormat="1" ht="32.1" customHeight="1" x14ac:dyDescent="0.15"/>
    <row r="24116" s="76" customFormat="1" ht="32.1" customHeight="1" x14ac:dyDescent="0.15"/>
    <row r="24117" s="76" customFormat="1" ht="21.95" customHeight="1" x14ac:dyDescent="0.15"/>
    <row r="24118" s="76" customFormat="1" ht="54" customHeight="1" x14ac:dyDescent="0.15"/>
    <row r="24119" s="76" customFormat="1" ht="21.95" customHeight="1" x14ac:dyDescent="0.15"/>
    <row r="24120" s="76" customFormat="1" ht="21.95" customHeight="1" x14ac:dyDescent="0.15"/>
    <row r="24121" s="76" customFormat="1" ht="21.95" customHeight="1" x14ac:dyDescent="0.15"/>
    <row r="24122" s="76" customFormat="1" ht="21.95" customHeight="1" x14ac:dyDescent="0.15"/>
    <row r="24123" s="76" customFormat="1" ht="21.95" customHeight="1" x14ac:dyDescent="0.15"/>
    <row r="24124" s="76" customFormat="1" ht="21.95" customHeight="1" x14ac:dyDescent="0.15"/>
    <row r="24125" s="76" customFormat="1" ht="21.95" customHeight="1" x14ac:dyDescent="0.15"/>
    <row r="24126" s="76" customFormat="1" ht="21.95" customHeight="1" x14ac:dyDescent="0.15"/>
    <row r="24127" s="76" customFormat="1" ht="21.95" customHeight="1" x14ac:dyDescent="0.15"/>
    <row r="24128" s="76" customFormat="1" ht="21.95" customHeight="1" x14ac:dyDescent="0.15"/>
    <row r="24129" s="76" customFormat="1" ht="21.95" customHeight="1" x14ac:dyDescent="0.15"/>
    <row r="24130" s="76" customFormat="1" ht="21.95" customHeight="1" x14ac:dyDescent="0.15"/>
    <row r="24131" s="76" customFormat="1" ht="21.95" customHeight="1" x14ac:dyDescent="0.15"/>
    <row r="24132" s="76" customFormat="1" ht="21.95" customHeight="1" x14ac:dyDescent="0.15"/>
    <row r="24133" s="76" customFormat="1" ht="21.95" customHeight="1" x14ac:dyDescent="0.15"/>
    <row r="24134" s="76" customFormat="1" ht="21.95" customHeight="1" x14ac:dyDescent="0.15"/>
    <row r="24135" s="76" customFormat="1" ht="21.95" customHeight="1" x14ac:dyDescent="0.15"/>
    <row r="24136" s="76" customFormat="1" ht="21.95" customHeight="1" x14ac:dyDescent="0.15"/>
    <row r="24137" s="76" customFormat="1" ht="21.95" customHeight="1" x14ac:dyDescent="0.15"/>
    <row r="24138" s="76" customFormat="1" ht="21.95" customHeight="1" x14ac:dyDescent="0.15"/>
    <row r="24139" s="76" customFormat="1" ht="21.95" customHeight="1" x14ac:dyDescent="0.15"/>
    <row r="24140" s="76" customFormat="1" ht="21.95" customHeight="1" x14ac:dyDescent="0.15"/>
    <row r="24141" s="76" customFormat="1" ht="21.95" customHeight="1" x14ac:dyDescent="0.15"/>
    <row r="24142" s="76" customFormat="1" ht="21.95" customHeight="1" x14ac:dyDescent="0.15"/>
    <row r="24143" s="76" customFormat="1" ht="21.95" customHeight="1" x14ac:dyDescent="0.15"/>
    <row r="24144" s="76" customFormat="1" ht="21.95" customHeight="1" x14ac:dyDescent="0.15"/>
    <row r="24145" s="76" customFormat="1" ht="21.95" customHeight="1" x14ac:dyDescent="0.15"/>
    <row r="24146" s="76" customFormat="1" ht="21.95" customHeight="1" x14ac:dyDescent="0.15"/>
    <row r="24147" s="76" customFormat="1" ht="21.95" customHeight="1" x14ac:dyDescent="0.15"/>
    <row r="24148" s="76" customFormat="1" ht="21.95" customHeight="1" x14ac:dyDescent="0.15"/>
    <row r="24149" s="76" customFormat="1" ht="21.95" customHeight="1" x14ac:dyDescent="0.15"/>
    <row r="24150" s="76" customFormat="1" ht="21.95" customHeight="1" x14ac:dyDescent="0.15"/>
    <row r="24151" s="76" customFormat="1" ht="21.95" customHeight="1" x14ac:dyDescent="0.15"/>
    <row r="24152" s="76" customFormat="1" ht="21.95" customHeight="1" x14ac:dyDescent="0.15"/>
    <row r="24153" s="76" customFormat="1" ht="21.95" customHeight="1" x14ac:dyDescent="0.15"/>
    <row r="24154" s="76" customFormat="1" ht="21.95" customHeight="1" x14ac:dyDescent="0.15"/>
    <row r="24155" s="76" customFormat="1" ht="21.95" customHeight="1" x14ac:dyDescent="0.15"/>
    <row r="24156" s="76" customFormat="1" ht="21.95" customHeight="1" x14ac:dyDescent="0.15"/>
    <row r="24157" s="76" customFormat="1" ht="21.95" customHeight="1" x14ac:dyDescent="0.15"/>
    <row r="24158" s="76" customFormat="1" ht="21.95" customHeight="1" x14ac:dyDescent="0.15"/>
    <row r="24159" s="76" customFormat="1" ht="21.95" customHeight="1" x14ac:dyDescent="0.15"/>
    <row r="24160" s="76" customFormat="1" ht="21.95" customHeight="1" x14ac:dyDescent="0.15"/>
    <row r="24161" s="76" customFormat="1" ht="21.95" customHeight="1" x14ac:dyDescent="0.15"/>
    <row r="24162" s="76" customFormat="1" ht="21.95" customHeight="1" x14ac:dyDescent="0.15"/>
    <row r="24163" s="76" customFormat="1" ht="21.95" customHeight="1" x14ac:dyDescent="0.15"/>
    <row r="24164" s="76" customFormat="1" ht="21.95" customHeight="1" x14ac:dyDescent="0.15"/>
    <row r="24165" s="76" customFormat="1" ht="21.95" customHeight="1" x14ac:dyDescent="0.15"/>
    <row r="24166" s="76" customFormat="1" ht="21.95" customHeight="1" x14ac:dyDescent="0.15"/>
    <row r="24167" s="76" customFormat="1" ht="21.95" customHeight="1" x14ac:dyDescent="0.15"/>
    <row r="24168" s="76" customFormat="1" ht="21.95" customHeight="1" x14ac:dyDescent="0.15"/>
    <row r="24169" s="76" customFormat="1" ht="35.1" customHeight="1" x14ac:dyDescent="0.15"/>
    <row r="24170" s="76" customFormat="1" ht="21.95" customHeight="1" x14ac:dyDescent="0.15"/>
    <row r="24171" s="76" customFormat="1" ht="21.95" customHeight="1" x14ac:dyDescent="0.15"/>
    <row r="24172" s="76" customFormat="1" ht="21.95" customHeight="1" x14ac:dyDescent="0.15"/>
    <row r="24173" s="76" customFormat="1" ht="21.95" customHeight="1" x14ac:dyDescent="0.15"/>
    <row r="24174" s="76" customFormat="1" ht="21.95" customHeight="1" x14ac:dyDescent="0.15"/>
    <row r="24175" s="76" customFormat="1" ht="21.95" customHeight="1" x14ac:dyDescent="0.15"/>
    <row r="24176" s="76" customFormat="1" ht="21.95" customHeight="1" x14ac:dyDescent="0.15"/>
    <row r="24177" s="76" customFormat="1" ht="21.95" customHeight="1" x14ac:dyDescent="0.15"/>
    <row r="24178" s="76" customFormat="1" ht="21.95" customHeight="1" x14ac:dyDescent="0.15"/>
    <row r="24179" s="76" customFormat="1" ht="21.95" customHeight="1" x14ac:dyDescent="0.15"/>
    <row r="24180" s="76" customFormat="1" ht="21.95" customHeight="1" x14ac:dyDescent="0.15"/>
    <row r="24181" s="76" customFormat="1" ht="21.95" customHeight="1" x14ac:dyDescent="0.15"/>
    <row r="24182" s="76" customFormat="1" ht="21.95" customHeight="1" x14ac:dyDescent="0.15"/>
    <row r="24183" s="76" customFormat="1" ht="21.95" customHeight="1" x14ac:dyDescent="0.15"/>
    <row r="24184" s="76" customFormat="1" ht="21.95" customHeight="1" x14ac:dyDescent="0.15"/>
    <row r="24185" s="76" customFormat="1" ht="21.95" customHeight="1" x14ac:dyDescent="0.15"/>
    <row r="24186" s="76" customFormat="1" ht="21.95" customHeight="1" x14ac:dyDescent="0.15"/>
    <row r="24187" s="76" customFormat="1" ht="21.95" customHeight="1" x14ac:dyDescent="0.15"/>
    <row r="24188" s="76" customFormat="1" ht="21.95" customHeight="1" x14ac:dyDescent="0.15"/>
    <row r="24189" s="76" customFormat="1" ht="21.95" customHeight="1" x14ac:dyDescent="0.15"/>
    <row r="24190" s="76" customFormat="1" ht="21.95" customHeight="1" x14ac:dyDescent="0.15"/>
    <row r="24191" s="76" customFormat="1" ht="21.95" customHeight="1" x14ac:dyDescent="0.15"/>
    <row r="24192" s="76" customFormat="1" ht="21.95" customHeight="1" x14ac:dyDescent="0.15"/>
    <row r="24193" spans="3:3" customFormat="1" ht="21.95" customHeight="1" x14ac:dyDescent="0.15"/>
    <row r="24194" spans="3:3" customFormat="1" ht="21.95" customHeight="1" x14ac:dyDescent="0.15"/>
    <row r="24195" spans="3:3" customFormat="1" ht="21.95" customHeight="1" x14ac:dyDescent="0.15">
      <c r="C24195" s="94"/>
    </row>
    <row r="24196" spans="3:3" customFormat="1" ht="21.95" customHeight="1" x14ac:dyDescent="0.15">
      <c r="C24196" s="94"/>
    </row>
    <row r="24197" spans="3:3" customFormat="1" ht="21.95" customHeight="1" x14ac:dyDescent="0.15"/>
    <row r="24198" spans="3:3" customFormat="1" ht="21.95" customHeight="1" x14ac:dyDescent="0.15"/>
    <row r="24199" spans="3:3" customFormat="1" ht="21.95" customHeight="1" x14ac:dyDescent="0.15"/>
    <row r="24200" spans="3:3" customFormat="1" ht="21.95" customHeight="1" x14ac:dyDescent="0.15"/>
    <row r="24201" spans="3:3" customFormat="1" ht="21.95" customHeight="1" x14ac:dyDescent="0.15"/>
    <row r="24202" spans="3:3" customFormat="1" ht="21.95" customHeight="1" x14ac:dyDescent="0.15"/>
    <row r="24203" spans="3:3" customFormat="1" ht="21.95" customHeight="1" x14ac:dyDescent="0.15"/>
    <row r="24204" spans="3:3" s="76" customFormat="1" ht="21.95" customHeight="1" x14ac:dyDescent="0.15"/>
    <row r="24205" spans="3:3" s="76" customFormat="1" ht="21.95" customHeight="1" x14ac:dyDescent="0.15"/>
    <row r="24206" spans="3:3" s="76" customFormat="1" ht="21.95" customHeight="1" x14ac:dyDescent="0.15"/>
    <row r="24207" spans="3:3" s="76" customFormat="1" ht="21.95" customHeight="1" x14ac:dyDescent="0.15"/>
    <row r="24208" spans="3:3" customFormat="1" ht="21.95" customHeight="1" x14ac:dyDescent="0.15"/>
    <row r="24209" customFormat="1" ht="21.95" customHeight="1" x14ac:dyDescent="0.15"/>
    <row r="24210" customFormat="1" ht="21.95" customHeight="1" x14ac:dyDescent="0.15"/>
    <row r="24211" customFormat="1" ht="21.95" customHeight="1" x14ac:dyDescent="0.15"/>
    <row r="24212" customFormat="1" ht="21.95" customHeight="1" x14ac:dyDescent="0.15"/>
    <row r="24213" customFormat="1" ht="21.95" customHeight="1" x14ac:dyDescent="0.15"/>
    <row r="24214" customFormat="1" ht="21.95" customHeight="1" x14ac:dyDescent="0.15"/>
    <row r="24215" customFormat="1" ht="21.95" customHeight="1" x14ac:dyDescent="0.15"/>
    <row r="24216" customFormat="1" ht="21.95" customHeight="1" x14ac:dyDescent="0.15"/>
    <row r="24217" customFormat="1" ht="21.95" customHeight="1" x14ac:dyDescent="0.15"/>
    <row r="24218" customFormat="1" ht="21.95" customHeight="1" x14ac:dyDescent="0.15"/>
    <row r="24219" customFormat="1" ht="32.1" customHeight="1" x14ac:dyDescent="0.15"/>
    <row r="24220" customFormat="1" ht="32.1" customHeight="1" x14ac:dyDescent="0.15"/>
    <row r="24221" customFormat="1" ht="32.1" customHeight="1" x14ac:dyDescent="0.15"/>
    <row r="24222" customFormat="1" ht="32.1" customHeight="1" x14ac:dyDescent="0.15"/>
    <row r="24223" customFormat="1" ht="32.1" customHeight="1" x14ac:dyDescent="0.15"/>
    <row r="24224" customFormat="1" ht="32.1" customHeight="1" x14ac:dyDescent="0.15"/>
    <row r="24225" s="76" customFormat="1" ht="32.1" customHeight="1" x14ac:dyDescent="0.15"/>
    <row r="24226" s="76" customFormat="1" ht="32.1" customHeight="1" x14ac:dyDescent="0.15"/>
    <row r="24227" s="76" customFormat="1" ht="32.1" customHeight="1" x14ac:dyDescent="0.15"/>
    <row r="24228" s="76" customFormat="1" ht="32.1" customHeight="1" x14ac:dyDescent="0.15"/>
    <row r="24229" s="76" customFormat="1" ht="21.95" customHeight="1" x14ac:dyDescent="0.15"/>
    <row r="24230" s="76" customFormat="1" ht="54" customHeight="1" x14ac:dyDescent="0.15"/>
    <row r="24231" s="76" customFormat="1" ht="21.95" customHeight="1" x14ac:dyDescent="0.15"/>
    <row r="24232" s="76" customFormat="1" ht="21.95" customHeight="1" x14ac:dyDescent="0.15"/>
    <row r="24233" s="76" customFormat="1" ht="21.95" customHeight="1" x14ac:dyDescent="0.15"/>
    <row r="24234" s="76" customFormat="1" ht="21.95" customHeight="1" x14ac:dyDescent="0.15"/>
    <row r="24235" s="76" customFormat="1" ht="21.95" customHeight="1" x14ac:dyDescent="0.15"/>
    <row r="24236" s="76" customFormat="1" ht="21.95" customHeight="1" x14ac:dyDescent="0.15"/>
    <row r="24237" s="76" customFormat="1" ht="21.95" customHeight="1" x14ac:dyDescent="0.15"/>
    <row r="24238" s="76" customFormat="1" ht="21.95" customHeight="1" x14ac:dyDescent="0.15"/>
    <row r="24239" s="76" customFormat="1" ht="21.95" customHeight="1" x14ac:dyDescent="0.15"/>
    <row r="24240" s="76" customFormat="1" ht="21.95" customHeight="1" x14ac:dyDescent="0.15"/>
    <row r="24241" s="76" customFormat="1" ht="21.95" customHeight="1" x14ac:dyDescent="0.15"/>
    <row r="24242" s="76" customFormat="1" ht="21.95" customHeight="1" x14ac:dyDescent="0.15"/>
    <row r="24243" s="76" customFormat="1" ht="21.95" customHeight="1" x14ac:dyDescent="0.15"/>
    <row r="24244" s="76" customFormat="1" ht="21.95" customHeight="1" x14ac:dyDescent="0.15"/>
    <row r="24245" s="76" customFormat="1" ht="21.95" customHeight="1" x14ac:dyDescent="0.15"/>
    <row r="24246" s="76" customFormat="1" ht="21.95" customHeight="1" x14ac:dyDescent="0.15"/>
    <row r="24247" s="76" customFormat="1" ht="21.95" customHeight="1" x14ac:dyDescent="0.15"/>
    <row r="24248" s="76" customFormat="1" ht="21.95" customHeight="1" x14ac:dyDescent="0.15"/>
    <row r="24249" s="76" customFormat="1" ht="21.95" customHeight="1" x14ac:dyDescent="0.15"/>
    <row r="24250" s="76" customFormat="1" ht="21.95" customHeight="1" x14ac:dyDescent="0.15"/>
    <row r="24251" s="76" customFormat="1" ht="21.95" customHeight="1" x14ac:dyDescent="0.15"/>
    <row r="24252" s="76" customFormat="1" ht="21.95" customHeight="1" x14ac:dyDescent="0.15"/>
    <row r="24253" s="76" customFormat="1" ht="21.95" customHeight="1" x14ac:dyDescent="0.15"/>
    <row r="24254" s="76" customFormat="1" ht="21.95" customHeight="1" x14ac:dyDescent="0.15"/>
    <row r="24255" s="76" customFormat="1" ht="21.95" customHeight="1" x14ac:dyDescent="0.15"/>
    <row r="24256" s="76" customFormat="1" ht="21.95" customHeight="1" x14ac:dyDescent="0.15"/>
    <row r="24257" s="76" customFormat="1" ht="21.95" customHeight="1" x14ac:dyDescent="0.15"/>
    <row r="24258" s="76" customFormat="1" ht="21.95" customHeight="1" x14ac:dyDescent="0.15"/>
    <row r="24259" s="76" customFormat="1" ht="21.95" customHeight="1" x14ac:dyDescent="0.15"/>
    <row r="24260" s="76" customFormat="1" ht="21.95" customHeight="1" x14ac:dyDescent="0.15"/>
    <row r="24261" s="76" customFormat="1" ht="21.95" customHeight="1" x14ac:dyDescent="0.15"/>
    <row r="24262" s="76" customFormat="1" ht="21.95" customHeight="1" x14ac:dyDescent="0.15"/>
    <row r="24263" s="76" customFormat="1" ht="21.95" customHeight="1" x14ac:dyDescent="0.15"/>
    <row r="24264" s="76" customFormat="1" ht="21.95" customHeight="1" x14ac:dyDescent="0.15"/>
    <row r="24265" s="76" customFormat="1" ht="21.95" customHeight="1" x14ac:dyDescent="0.15"/>
    <row r="24266" s="76" customFormat="1" ht="21.95" customHeight="1" x14ac:dyDescent="0.15"/>
    <row r="24267" s="76" customFormat="1" ht="21.95" customHeight="1" x14ac:dyDescent="0.15"/>
    <row r="24268" s="76" customFormat="1" ht="21.95" customHeight="1" x14ac:dyDescent="0.15"/>
    <row r="24269" s="76" customFormat="1" ht="21.95" customHeight="1" x14ac:dyDescent="0.15"/>
    <row r="24270" s="76" customFormat="1" ht="21.95" customHeight="1" x14ac:dyDescent="0.15"/>
    <row r="24271" s="76" customFormat="1" ht="21.95" customHeight="1" x14ac:dyDescent="0.15"/>
    <row r="24272" s="76" customFormat="1" ht="21.95" customHeight="1" x14ac:dyDescent="0.15"/>
    <row r="24273" s="76" customFormat="1" ht="21.95" customHeight="1" x14ac:dyDescent="0.15"/>
    <row r="24274" s="76" customFormat="1" ht="21.95" customHeight="1" x14ac:dyDescent="0.15"/>
    <row r="24275" s="76" customFormat="1" ht="21.95" customHeight="1" x14ac:dyDescent="0.15"/>
    <row r="24276" s="76" customFormat="1" ht="21.95" customHeight="1" x14ac:dyDescent="0.15"/>
    <row r="24277" s="76" customFormat="1" ht="21.95" customHeight="1" x14ac:dyDescent="0.15"/>
    <row r="24278" s="76" customFormat="1" ht="21.95" customHeight="1" x14ac:dyDescent="0.15"/>
    <row r="24279" s="76" customFormat="1" ht="21.95" customHeight="1" x14ac:dyDescent="0.15"/>
    <row r="24280" s="76" customFormat="1" ht="21.95" customHeight="1" x14ac:dyDescent="0.15"/>
    <row r="24281" s="76" customFormat="1" ht="35.1" customHeight="1" x14ac:dyDescent="0.15"/>
    <row r="24282" s="76" customFormat="1" ht="21.95" customHeight="1" x14ac:dyDescent="0.15"/>
    <row r="24283" s="76" customFormat="1" ht="21.95" customHeight="1" x14ac:dyDescent="0.15"/>
    <row r="24284" s="76" customFormat="1" ht="21.95" customHeight="1" x14ac:dyDescent="0.15"/>
    <row r="24285" s="76" customFormat="1" ht="21.95" customHeight="1" x14ac:dyDescent="0.15"/>
    <row r="24286" s="76" customFormat="1" ht="21.95" customHeight="1" x14ac:dyDescent="0.15"/>
    <row r="24287" s="76" customFormat="1" ht="21.95" customHeight="1" x14ac:dyDescent="0.15"/>
    <row r="24288" s="76" customFormat="1" ht="21.95" customHeight="1" x14ac:dyDescent="0.15"/>
    <row r="24289" s="76" customFormat="1" ht="21.95" customHeight="1" x14ac:dyDescent="0.15"/>
    <row r="24290" s="76" customFormat="1" ht="21.95" customHeight="1" x14ac:dyDescent="0.15"/>
    <row r="24291" s="76" customFormat="1" ht="21.95" customHeight="1" x14ac:dyDescent="0.15"/>
    <row r="24292" s="76" customFormat="1" ht="21.95" customHeight="1" x14ac:dyDescent="0.15"/>
    <row r="24293" s="76" customFormat="1" ht="21.95" customHeight="1" x14ac:dyDescent="0.15"/>
    <row r="24294" s="76" customFormat="1" ht="21.95" customHeight="1" x14ac:dyDescent="0.15"/>
    <row r="24295" s="76" customFormat="1" ht="21.95" customHeight="1" x14ac:dyDescent="0.15"/>
    <row r="24296" s="76" customFormat="1" ht="21.95" customHeight="1" x14ac:dyDescent="0.15"/>
    <row r="24297" s="76" customFormat="1" ht="21.95" customHeight="1" x14ac:dyDescent="0.15"/>
    <row r="24298" s="76" customFormat="1" ht="21.95" customHeight="1" x14ac:dyDescent="0.15"/>
    <row r="24299" s="76" customFormat="1" ht="21.95" customHeight="1" x14ac:dyDescent="0.15"/>
    <row r="24300" s="76" customFormat="1" ht="21.95" customHeight="1" x14ac:dyDescent="0.15"/>
    <row r="24301" s="76" customFormat="1" ht="21.95" customHeight="1" x14ac:dyDescent="0.15"/>
    <row r="24302" s="76" customFormat="1" ht="21.95" customHeight="1" x14ac:dyDescent="0.15"/>
    <row r="24303" s="76" customFormat="1" ht="21.95" customHeight="1" x14ac:dyDescent="0.15"/>
    <row r="24304" s="76" customFormat="1" ht="21.95" customHeight="1" x14ac:dyDescent="0.15"/>
    <row r="24305" spans="3:3" customFormat="1" ht="21.95" customHeight="1" x14ac:dyDescent="0.15"/>
    <row r="24306" spans="3:3" customFormat="1" ht="21.95" customHeight="1" x14ac:dyDescent="0.15"/>
    <row r="24307" spans="3:3" customFormat="1" ht="21.95" customHeight="1" x14ac:dyDescent="0.15">
      <c r="C24307" s="94"/>
    </row>
    <row r="24308" spans="3:3" customFormat="1" ht="21.95" customHeight="1" x14ac:dyDescent="0.15">
      <c r="C24308" s="94"/>
    </row>
    <row r="24309" spans="3:3" customFormat="1" ht="21.95" customHeight="1" x14ac:dyDescent="0.15"/>
    <row r="24310" spans="3:3" customFormat="1" ht="21.95" customHeight="1" x14ac:dyDescent="0.15"/>
    <row r="24311" spans="3:3" customFormat="1" ht="21.95" customHeight="1" x14ac:dyDescent="0.15"/>
    <row r="24312" spans="3:3" customFormat="1" ht="21.95" customHeight="1" x14ac:dyDescent="0.15"/>
    <row r="24313" spans="3:3" customFormat="1" ht="21.95" customHeight="1" x14ac:dyDescent="0.15"/>
    <row r="24314" spans="3:3" customFormat="1" ht="21.95" customHeight="1" x14ac:dyDescent="0.15"/>
    <row r="24315" spans="3:3" customFormat="1" ht="21.95" customHeight="1" x14ac:dyDescent="0.15"/>
    <row r="24316" spans="3:3" s="76" customFormat="1" ht="21.95" customHeight="1" x14ac:dyDescent="0.15"/>
    <row r="24317" spans="3:3" s="76" customFormat="1" ht="21.95" customHeight="1" x14ac:dyDescent="0.15"/>
    <row r="24318" spans="3:3" s="76" customFormat="1" ht="21.95" customHeight="1" x14ac:dyDescent="0.15"/>
    <row r="24319" spans="3:3" s="76" customFormat="1" ht="21.95" customHeight="1" x14ac:dyDescent="0.15"/>
    <row r="24320" spans="3:3" customFormat="1" ht="21.95" customHeight="1" x14ac:dyDescent="0.15"/>
    <row r="24321" customFormat="1" ht="21.95" customHeight="1" x14ac:dyDescent="0.15"/>
    <row r="24322" customFormat="1" ht="21.95" customHeight="1" x14ac:dyDescent="0.15"/>
    <row r="24323" customFormat="1" ht="21.95" customHeight="1" x14ac:dyDescent="0.15"/>
    <row r="24324" customFormat="1" ht="21.95" customHeight="1" x14ac:dyDescent="0.15"/>
    <row r="24325" customFormat="1" ht="21.95" customHeight="1" x14ac:dyDescent="0.15"/>
    <row r="24326" customFormat="1" ht="21.95" customHeight="1" x14ac:dyDescent="0.15"/>
    <row r="24327" customFormat="1" ht="21.95" customHeight="1" x14ac:dyDescent="0.15"/>
    <row r="24328" customFormat="1" ht="21.95" customHeight="1" x14ac:dyDescent="0.15"/>
    <row r="24329" customFormat="1" ht="21.95" customHeight="1" x14ac:dyDescent="0.15"/>
    <row r="24330" customFormat="1" ht="21.95" customHeight="1" x14ac:dyDescent="0.15"/>
    <row r="24331" customFormat="1" ht="32.1" customHeight="1" x14ac:dyDescent="0.15"/>
    <row r="24332" customFormat="1" ht="32.1" customHeight="1" x14ac:dyDescent="0.15"/>
    <row r="24333" customFormat="1" ht="32.1" customHeight="1" x14ac:dyDescent="0.15"/>
    <row r="24334" customFormat="1" ht="32.1" customHeight="1" x14ac:dyDescent="0.15"/>
    <row r="24335" customFormat="1" ht="32.1" customHeight="1" x14ac:dyDescent="0.15"/>
    <row r="24336" customFormat="1" ht="32.1" customHeight="1" x14ac:dyDescent="0.15"/>
    <row r="24337" s="76" customFormat="1" ht="32.1" customHeight="1" x14ac:dyDescent="0.15"/>
    <row r="24338" s="76" customFormat="1" ht="32.1" customHeight="1" x14ac:dyDescent="0.15"/>
    <row r="24339" s="76" customFormat="1" ht="32.1" customHeight="1" x14ac:dyDescent="0.15"/>
    <row r="24340" s="76" customFormat="1" ht="32.1" customHeight="1" x14ac:dyDescent="0.15"/>
    <row r="24341" s="76" customFormat="1" ht="21.95" customHeight="1" x14ac:dyDescent="0.15"/>
    <row r="24342" s="76" customFormat="1" ht="54" customHeight="1" x14ac:dyDescent="0.15"/>
    <row r="24343" s="76" customFormat="1" ht="21.95" customHeight="1" x14ac:dyDescent="0.15"/>
    <row r="24344" s="76" customFormat="1" ht="21.95" customHeight="1" x14ac:dyDescent="0.15"/>
    <row r="24345" s="76" customFormat="1" ht="21.95" customHeight="1" x14ac:dyDescent="0.15"/>
    <row r="24346" s="76" customFormat="1" ht="21.95" customHeight="1" x14ac:dyDescent="0.15"/>
    <row r="24347" s="76" customFormat="1" ht="21.95" customHeight="1" x14ac:dyDescent="0.15"/>
    <row r="24348" s="76" customFormat="1" ht="21.95" customHeight="1" x14ac:dyDescent="0.15"/>
    <row r="24349" s="76" customFormat="1" ht="21.95" customHeight="1" x14ac:dyDescent="0.15"/>
    <row r="24350" s="76" customFormat="1" ht="21.95" customHeight="1" x14ac:dyDescent="0.15"/>
    <row r="24351" s="76" customFormat="1" ht="21.95" customHeight="1" x14ac:dyDescent="0.15"/>
    <row r="24352" s="76" customFormat="1" ht="21.95" customHeight="1" x14ac:dyDescent="0.15"/>
    <row r="24353" s="76" customFormat="1" ht="21.95" customHeight="1" x14ac:dyDescent="0.15"/>
    <row r="24354" s="76" customFormat="1" ht="21.95" customHeight="1" x14ac:dyDescent="0.15"/>
    <row r="24355" s="76" customFormat="1" ht="21.95" customHeight="1" x14ac:dyDescent="0.15"/>
    <row r="24356" s="76" customFormat="1" ht="21.95" customHeight="1" x14ac:dyDescent="0.15"/>
    <row r="24357" s="76" customFormat="1" ht="21.95" customHeight="1" x14ac:dyDescent="0.15"/>
    <row r="24358" s="76" customFormat="1" ht="21.95" customHeight="1" x14ac:dyDescent="0.15"/>
    <row r="24359" s="76" customFormat="1" ht="21.95" customHeight="1" x14ac:dyDescent="0.15"/>
    <row r="24360" s="76" customFormat="1" ht="21.95" customHeight="1" x14ac:dyDescent="0.15"/>
    <row r="24361" s="76" customFormat="1" ht="21.95" customHeight="1" x14ac:dyDescent="0.15"/>
    <row r="24362" s="76" customFormat="1" ht="21.95" customHeight="1" x14ac:dyDescent="0.15"/>
    <row r="24363" s="76" customFormat="1" ht="21.95" customHeight="1" x14ac:dyDescent="0.15"/>
    <row r="24364" s="76" customFormat="1" ht="21.95" customHeight="1" x14ac:dyDescent="0.15"/>
    <row r="24365" s="76" customFormat="1" ht="21.95" customHeight="1" x14ac:dyDescent="0.15"/>
    <row r="24366" s="76" customFormat="1" ht="21.95" customHeight="1" x14ac:dyDescent="0.15"/>
    <row r="24367" s="76" customFormat="1" ht="21.95" customHeight="1" x14ac:dyDescent="0.15"/>
    <row r="24368" s="76" customFormat="1" ht="21.95" customHeight="1" x14ac:dyDescent="0.15"/>
    <row r="24369" s="76" customFormat="1" ht="21.95" customHeight="1" x14ac:dyDescent="0.15"/>
    <row r="24370" s="76" customFormat="1" ht="21.95" customHeight="1" x14ac:dyDescent="0.15"/>
    <row r="24371" s="76" customFormat="1" ht="21.95" customHeight="1" x14ac:dyDescent="0.15"/>
    <row r="24372" s="76" customFormat="1" ht="21.95" customHeight="1" x14ac:dyDescent="0.15"/>
    <row r="24373" s="76" customFormat="1" ht="21.95" customHeight="1" x14ac:dyDescent="0.15"/>
    <row r="24374" s="76" customFormat="1" ht="21.95" customHeight="1" x14ac:dyDescent="0.15"/>
    <row r="24375" s="76" customFormat="1" ht="21.95" customHeight="1" x14ac:dyDescent="0.15"/>
    <row r="24376" s="76" customFormat="1" ht="21.95" customHeight="1" x14ac:dyDescent="0.15"/>
    <row r="24377" s="76" customFormat="1" ht="21.95" customHeight="1" x14ac:dyDescent="0.15"/>
    <row r="24378" s="76" customFormat="1" ht="21.95" customHeight="1" x14ac:dyDescent="0.15"/>
    <row r="24379" s="76" customFormat="1" ht="21.95" customHeight="1" x14ac:dyDescent="0.15"/>
    <row r="24380" s="76" customFormat="1" ht="21.95" customHeight="1" x14ac:dyDescent="0.15"/>
    <row r="24381" s="76" customFormat="1" ht="21.95" customHeight="1" x14ac:dyDescent="0.15"/>
    <row r="24382" s="76" customFormat="1" ht="21.95" customHeight="1" x14ac:dyDescent="0.15"/>
    <row r="24383" s="76" customFormat="1" ht="21.95" customHeight="1" x14ac:dyDescent="0.15"/>
    <row r="24384" s="76" customFormat="1" ht="21.95" customHeight="1" x14ac:dyDescent="0.15"/>
    <row r="24385" s="76" customFormat="1" ht="21.95" customHeight="1" x14ac:dyDescent="0.15"/>
    <row r="24386" s="76" customFormat="1" ht="21.95" customHeight="1" x14ac:dyDescent="0.15"/>
    <row r="24387" s="76" customFormat="1" ht="21.95" customHeight="1" x14ac:dyDescent="0.15"/>
    <row r="24388" s="76" customFormat="1" ht="21.95" customHeight="1" x14ac:dyDescent="0.15"/>
    <row r="24389" s="76" customFormat="1" ht="21.95" customHeight="1" x14ac:dyDescent="0.15"/>
    <row r="24390" s="76" customFormat="1" ht="21.95" customHeight="1" x14ac:dyDescent="0.15"/>
    <row r="24391" s="76" customFormat="1" ht="21.95" customHeight="1" x14ac:dyDescent="0.15"/>
    <row r="24392" s="76" customFormat="1" ht="21.95" customHeight="1" x14ac:dyDescent="0.15"/>
    <row r="24393" s="76" customFormat="1" ht="35.1" customHeight="1" x14ac:dyDescent="0.15"/>
    <row r="24394" s="76" customFormat="1" ht="21.95" customHeight="1" x14ac:dyDescent="0.15"/>
    <row r="24395" s="76" customFormat="1" ht="21.95" customHeight="1" x14ac:dyDescent="0.15"/>
    <row r="24396" s="76" customFormat="1" ht="21.95" customHeight="1" x14ac:dyDescent="0.15"/>
    <row r="24397" s="76" customFormat="1" ht="21.95" customHeight="1" x14ac:dyDescent="0.15"/>
    <row r="24398" s="76" customFormat="1" ht="21.95" customHeight="1" x14ac:dyDescent="0.15"/>
    <row r="24399" s="76" customFormat="1" ht="21.95" customHeight="1" x14ac:dyDescent="0.15"/>
    <row r="24400" s="76" customFormat="1" ht="21.95" customHeight="1" x14ac:dyDescent="0.15"/>
    <row r="24401" s="76" customFormat="1" ht="21.95" customHeight="1" x14ac:dyDescent="0.15"/>
    <row r="24402" s="76" customFormat="1" ht="21.95" customHeight="1" x14ac:dyDescent="0.15"/>
    <row r="24403" s="76" customFormat="1" ht="21.95" customHeight="1" x14ac:dyDescent="0.15"/>
    <row r="24404" s="76" customFormat="1" ht="21.95" customHeight="1" x14ac:dyDescent="0.15"/>
    <row r="24405" s="76" customFormat="1" ht="21.95" customHeight="1" x14ac:dyDescent="0.15"/>
    <row r="24406" s="76" customFormat="1" ht="21.95" customHeight="1" x14ac:dyDescent="0.15"/>
    <row r="24407" s="76" customFormat="1" ht="21.95" customHeight="1" x14ac:dyDescent="0.15"/>
    <row r="24408" s="76" customFormat="1" ht="21.95" customHeight="1" x14ac:dyDescent="0.15"/>
    <row r="24409" s="76" customFormat="1" ht="21.95" customHeight="1" x14ac:dyDescent="0.15"/>
    <row r="24410" s="76" customFormat="1" ht="21.95" customHeight="1" x14ac:dyDescent="0.15"/>
    <row r="24411" s="76" customFormat="1" ht="21.95" customHeight="1" x14ac:dyDescent="0.15"/>
    <row r="24412" s="76" customFormat="1" ht="21.95" customHeight="1" x14ac:dyDescent="0.15"/>
    <row r="24413" s="76" customFormat="1" ht="21.95" customHeight="1" x14ac:dyDescent="0.15"/>
    <row r="24414" s="76" customFormat="1" ht="21.95" customHeight="1" x14ac:dyDescent="0.15"/>
    <row r="24415" s="76" customFormat="1" ht="21.95" customHeight="1" x14ac:dyDescent="0.15"/>
    <row r="24416" s="76" customFormat="1" ht="21.95" customHeight="1" x14ac:dyDescent="0.15"/>
    <row r="24417" spans="3:3" customFormat="1" ht="21.95" customHeight="1" x14ac:dyDescent="0.15"/>
    <row r="24418" spans="3:3" customFormat="1" ht="21.95" customHeight="1" x14ac:dyDescent="0.15"/>
    <row r="24419" spans="3:3" customFormat="1" ht="21.95" customHeight="1" x14ac:dyDescent="0.15">
      <c r="C24419" s="94"/>
    </row>
    <row r="24420" spans="3:3" customFormat="1" ht="21.95" customHeight="1" x14ac:dyDescent="0.15">
      <c r="C24420" s="94"/>
    </row>
    <row r="24421" spans="3:3" customFormat="1" ht="21.95" customHeight="1" x14ac:dyDescent="0.15"/>
    <row r="24422" spans="3:3" customFormat="1" ht="21.95" customHeight="1" x14ac:dyDescent="0.15"/>
    <row r="24423" spans="3:3" customFormat="1" ht="21.95" customHeight="1" x14ac:dyDescent="0.15"/>
    <row r="24424" spans="3:3" customFormat="1" ht="21.95" customHeight="1" x14ac:dyDescent="0.15"/>
    <row r="24425" spans="3:3" customFormat="1" ht="21.95" customHeight="1" x14ac:dyDescent="0.15"/>
    <row r="24426" spans="3:3" customFormat="1" ht="21.95" customHeight="1" x14ac:dyDescent="0.15"/>
    <row r="24427" spans="3:3" customFormat="1" ht="21.95" customHeight="1" x14ac:dyDescent="0.15"/>
    <row r="24428" spans="3:3" s="76" customFormat="1" ht="21.95" customHeight="1" x14ac:dyDescent="0.15"/>
    <row r="24429" spans="3:3" s="76" customFormat="1" ht="21.95" customHeight="1" x14ac:dyDescent="0.15"/>
    <row r="24430" spans="3:3" s="76" customFormat="1" ht="21.95" customHeight="1" x14ac:dyDescent="0.15"/>
    <row r="24431" spans="3:3" s="76" customFormat="1" ht="21.95" customHeight="1" x14ac:dyDescent="0.15"/>
    <row r="24432" spans="3:3" customFormat="1" ht="21.95" customHeight="1" x14ac:dyDescent="0.15"/>
    <row r="24433" customFormat="1" ht="21.95" customHeight="1" x14ac:dyDescent="0.15"/>
    <row r="24434" customFormat="1" ht="21.95" customHeight="1" x14ac:dyDescent="0.15"/>
    <row r="24435" customFormat="1" ht="21.95" customHeight="1" x14ac:dyDescent="0.15"/>
    <row r="24436" customFormat="1" ht="21.95" customHeight="1" x14ac:dyDescent="0.15"/>
    <row r="24437" customFormat="1" ht="21.95" customHeight="1" x14ac:dyDescent="0.15"/>
    <row r="24438" customFormat="1" ht="21.95" customHeight="1" x14ac:dyDescent="0.15"/>
    <row r="24439" customFormat="1" ht="21.95" customHeight="1" x14ac:dyDescent="0.15"/>
    <row r="24440" customFormat="1" ht="21.95" customHeight="1" x14ac:dyDescent="0.15"/>
    <row r="24441" customFormat="1" ht="21.95" customHeight="1" x14ac:dyDescent="0.15"/>
    <row r="24442" customFormat="1" ht="21.95" customHeight="1" x14ac:dyDescent="0.15"/>
    <row r="24443" customFormat="1" ht="32.1" customHeight="1" x14ac:dyDescent="0.15"/>
    <row r="24444" customFormat="1" ht="32.1" customHeight="1" x14ac:dyDescent="0.15"/>
    <row r="24445" customFormat="1" ht="32.1" customHeight="1" x14ac:dyDescent="0.15"/>
    <row r="24446" customFormat="1" ht="32.1" customHeight="1" x14ac:dyDescent="0.15"/>
    <row r="24447" customFormat="1" ht="32.1" customHeight="1" x14ac:dyDescent="0.15"/>
    <row r="24448" customFormat="1" ht="32.1" customHeight="1" x14ac:dyDescent="0.15"/>
    <row r="24449" s="76" customFormat="1" ht="32.1" customHeight="1" x14ac:dyDescent="0.15"/>
    <row r="24450" s="76" customFormat="1" ht="32.1" customHeight="1" x14ac:dyDescent="0.15"/>
    <row r="24451" s="76" customFormat="1" ht="32.1" customHeight="1" x14ac:dyDescent="0.15"/>
    <row r="24452" s="76" customFormat="1" ht="32.1" customHeight="1" x14ac:dyDescent="0.15"/>
    <row r="24453" s="76" customFormat="1" ht="21.95" customHeight="1" x14ac:dyDescent="0.15"/>
    <row r="24454" s="76" customFormat="1" ht="54" customHeight="1" x14ac:dyDescent="0.15"/>
    <row r="24455" s="76" customFormat="1" ht="21.95" customHeight="1" x14ac:dyDescent="0.15"/>
    <row r="24456" s="76" customFormat="1" ht="21.95" customHeight="1" x14ac:dyDescent="0.15"/>
    <row r="24457" s="76" customFormat="1" ht="21.95" customHeight="1" x14ac:dyDescent="0.15"/>
    <row r="24458" s="76" customFormat="1" ht="21.95" customHeight="1" x14ac:dyDescent="0.15"/>
    <row r="24459" s="76" customFormat="1" ht="21.95" customHeight="1" x14ac:dyDescent="0.15"/>
    <row r="24460" s="76" customFormat="1" ht="21.95" customHeight="1" x14ac:dyDescent="0.15"/>
    <row r="24461" s="76" customFormat="1" ht="21.95" customHeight="1" x14ac:dyDescent="0.15"/>
    <row r="24462" s="76" customFormat="1" ht="21.95" customHeight="1" x14ac:dyDescent="0.15"/>
    <row r="24463" s="76" customFormat="1" ht="21.95" customHeight="1" x14ac:dyDescent="0.15"/>
    <row r="24464" s="76" customFormat="1" ht="21.95" customHeight="1" x14ac:dyDescent="0.15"/>
    <row r="24465" s="76" customFormat="1" ht="21.95" customHeight="1" x14ac:dyDescent="0.15"/>
    <row r="24466" s="76" customFormat="1" ht="21.95" customHeight="1" x14ac:dyDescent="0.15"/>
    <row r="24467" s="76" customFormat="1" ht="21.95" customHeight="1" x14ac:dyDescent="0.15"/>
    <row r="24468" s="76" customFormat="1" ht="21.95" customHeight="1" x14ac:dyDescent="0.15"/>
    <row r="24469" s="76" customFormat="1" ht="21.95" customHeight="1" x14ac:dyDescent="0.15"/>
    <row r="24470" s="76" customFormat="1" ht="21.95" customHeight="1" x14ac:dyDescent="0.15"/>
    <row r="24471" s="76" customFormat="1" ht="21.95" customHeight="1" x14ac:dyDescent="0.15"/>
    <row r="24472" s="76" customFormat="1" ht="21.95" customHeight="1" x14ac:dyDescent="0.15"/>
    <row r="24473" s="76" customFormat="1" ht="21.95" customHeight="1" x14ac:dyDescent="0.15"/>
    <row r="24474" s="76" customFormat="1" ht="21.95" customHeight="1" x14ac:dyDescent="0.15"/>
    <row r="24475" s="76" customFormat="1" ht="21.95" customHeight="1" x14ac:dyDescent="0.15"/>
    <row r="24476" s="76" customFormat="1" ht="21.95" customHeight="1" x14ac:dyDescent="0.15"/>
    <row r="24477" s="76" customFormat="1" ht="21.95" customHeight="1" x14ac:dyDescent="0.15"/>
    <row r="24478" s="76" customFormat="1" ht="21.95" customHeight="1" x14ac:dyDescent="0.15"/>
    <row r="24479" s="76" customFormat="1" ht="21.95" customHeight="1" x14ac:dyDescent="0.15"/>
    <row r="24480" s="76" customFormat="1" ht="21.95" customHeight="1" x14ac:dyDescent="0.15"/>
    <row r="24481" s="76" customFormat="1" ht="21.95" customHeight="1" x14ac:dyDescent="0.15"/>
    <row r="24482" s="76" customFormat="1" ht="21.95" customHeight="1" x14ac:dyDescent="0.15"/>
    <row r="24483" s="76" customFormat="1" ht="21.95" customHeight="1" x14ac:dyDescent="0.15"/>
    <row r="24484" s="76" customFormat="1" ht="21.95" customHeight="1" x14ac:dyDescent="0.15"/>
    <row r="24485" s="76" customFormat="1" ht="21.95" customHeight="1" x14ac:dyDescent="0.15"/>
    <row r="24486" s="76" customFormat="1" ht="21.95" customHeight="1" x14ac:dyDescent="0.15"/>
    <row r="24487" s="76" customFormat="1" ht="21.95" customHeight="1" x14ac:dyDescent="0.15"/>
    <row r="24488" s="76" customFormat="1" ht="21.95" customHeight="1" x14ac:dyDescent="0.15"/>
    <row r="24489" s="76" customFormat="1" ht="21.95" customHeight="1" x14ac:dyDescent="0.15"/>
    <row r="24490" s="76" customFormat="1" ht="21.95" customHeight="1" x14ac:dyDescent="0.15"/>
    <row r="24491" s="76" customFormat="1" ht="21.95" customHeight="1" x14ac:dyDescent="0.15"/>
    <row r="24492" s="76" customFormat="1" ht="21.95" customHeight="1" x14ac:dyDescent="0.15"/>
    <row r="24493" s="76" customFormat="1" ht="21.95" customHeight="1" x14ac:dyDescent="0.15"/>
    <row r="24494" s="76" customFormat="1" ht="21.95" customHeight="1" x14ac:dyDescent="0.15"/>
    <row r="24495" s="76" customFormat="1" ht="21.95" customHeight="1" x14ac:dyDescent="0.15"/>
    <row r="24496" s="76" customFormat="1" ht="21.95" customHeight="1" x14ac:dyDescent="0.15"/>
    <row r="24497" s="76" customFormat="1" ht="21.95" customHeight="1" x14ac:dyDescent="0.15"/>
    <row r="24498" s="76" customFormat="1" ht="21.95" customHeight="1" x14ac:dyDescent="0.15"/>
    <row r="24499" s="76" customFormat="1" ht="21.95" customHeight="1" x14ac:dyDescent="0.15"/>
    <row r="24500" s="76" customFormat="1" ht="21.95" customHeight="1" x14ac:dyDescent="0.15"/>
    <row r="24501" s="76" customFormat="1" ht="21.95" customHeight="1" x14ac:dyDescent="0.15"/>
    <row r="24502" s="76" customFormat="1" ht="21.95" customHeight="1" x14ac:dyDescent="0.15"/>
    <row r="24503" s="76" customFormat="1" ht="21.95" customHeight="1" x14ac:dyDescent="0.15"/>
    <row r="24504" s="76" customFormat="1" ht="21.95" customHeight="1" x14ac:dyDescent="0.15"/>
    <row r="24505" s="76" customFormat="1" ht="35.1" customHeight="1" x14ac:dyDescent="0.15"/>
    <row r="24506" s="76" customFormat="1" ht="21.95" customHeight="1" x14ac:dyDescent="0.15"/>
    <row r="24507" s="76" customFormat="1" ht="21.95" customHeight="1" x14ac:dyDescent="0.15"/>
    <row r="24508" s="76" customFormat="1" ht="21.95" customHeight="1" x14ac:dyDescent="0.15"/>
    <row r="24509" s="76" customFormat="1" ht="21.95" customHeight="1" x14ac:dyDescent="0.15"/>
    <row r="24510" s="76" customFormat="1" ht="21.95" customHeight="1" x14ac:dyDescent="0.15"/>
    <row r="24511" s="76" customFormat="1" ht="21.95" customHeight="1" x14ac:dyDescent="0.15"/>
    <row r="24512" s="76" customFormat="1" ht="21.95" customHeight="1" x14ac:dyDescent="0.15"/>
    <row r="24513" s="76" customFormat="1" ht="21.95" customHeight="1" x14ac:dyDescent="0.15"/>
    <row r="24514" s="76" customFormat="1" ht="21.95" customHeight="1" x14ac:dyDescent="0.15"/>
    <row r="24515" s="76" customFormat="1" ht="21.95" customHeight="1" x14ac:dyDescent="0.15"/>
    <row r="24516" s="76" customFormat="1" ht="21.95" customHeight="1" x14ac:dyDescent="0.15"/>
    <row r="24517" s="76" customFormat="1" ht="21.95" customHeight="1" x14ac:dyDescent="0.15"/>
    <row r="24518" s="76" customFormat="1" ht="21.95" customHeight="1" x14ac:dyDescent="0.15"/>
    <row r="24519" s="76" customFormat="1" ht="21.95" customHeight="1" x14ac:dyDescent="0.15"/>
    <row r="24520" s="76" customFormat="1" ht="21.95" customHeight="1" x14ac:dyDescent="0.15"/>
    <row r="24521" s="76" customFormat="1" ht="21.95" customHeight="1" x14ac:dyDescent="0.15"/>
    <row r="24522" s="76" customFormat="1" ht="21.95" customHeight="1" x14ac:dyDescent="0.15"/>
    <row r="24523" s="76" customFormat="1" ht="21.95" customHeight="1" x14ac:dyDescent="0.15"/>
    <row r="24524" s="76" customFormat="1" ht="21.95" customHeight="1" x14ac:dyDescent="0.15"/>
    <row r="24525" s="76" customFormat="1" ht="21.95" customHeight="1" x14ac:dyDescent="0.15"/>
    <row r="24526" s="76" customFormat="1" ht="21.95" customHeight="1" x14ac:dyDescent="0.15"/>
    <row r="24527" s="76" customFormat="1" ht="21.95" customHeight="1" x14ac:dyDescent="0.15"/>
    <row r="24528" s="76" customFormat="1" ht="21.95" customHeight="1" x14ac:dyDescent="0.15"/>
    <row r="24529" spans="3:3" customFormat="1" ht="21.95" customHeight="1" x14ac:dyDescent="0.15"/>
    <row r="24530" spans="3:3" customFormat="1" ht="21.95" customHeight="1" x14ac:dyDescent="0.15"/>
    <row r="24531" spans="3:3" customFormat="1" ht="21.95" customHeight="1" x14ac:dyDescent="0.15">
      <c r="C24531" s="94"/>
    </row>
    <row r="24532" spans="3:3" customFormat="1" ht="21.95" customHeight="1" x14ac:dyDescent="0.15">
      <c r="C24532" s="94"/>
    </row>
    <row r="24533" spans="3:3" customFormat="1" ht="21.95" customHeight="1" x14ac:dyDescent="0.15"/>
    <row r="24534" spans="3:3" customFormat="1" ht="21.95" customHeight="1" x14ac:dyDescent="0.15"/>
    <row r="24535" spans="3:3" customFormat="1" ht="21.95" customHeight="1" x14ac:dyDescent="0.15"/>
    <row r="24536" spans="3:3" customFormat="1" ht="21.95" customHeight="1" x14ac:dyDescent="0.15"/>
    <row r="24537" spans="3:3" customFormat="1" ht="21.95" customHeight="1" x14ac:dyDescent="0.15"/>
    <row r="24538" spans="3:3" customFormat="1" ht="21.95" customHeight="1" x14ac:dyDescent="0.15"/>
    <row r="24539" spans="3:3" customFormat="1" ht="21.95" customHeight="1" x14ac:dyDescent="0.15"/>
    <row r="24540" spans="3:3" s="76" customFormat="1" ht="21.95" customHeight="1" x14ac:dyDescent="0.15"/>
    <row r="24541" spans="3:3" s="76" customFormat="1" ht="21.95" customHeight="1" x14ac:dyDescent="0.15"/>
    <row r="24542" spans="3:3" s="76" customFormat="1" ht="21.95" customHeight="1" x14ac:dyDescent="0.15"/>
    <row r="24543" spans="3:3" s="76" customFormat="1" ht="21.95" customHeight="1" x14ac:dyDescent="0.15"/>
    <row r="24544" spans="3:3" customFormat="1" ht="21.95" customHeight="1" x14ac:dyDescent="0.15"/>
    <row r="24545" customFormat="1" ht="21.95" customHeight="1" x14ac:dyDescent="0.15"/>
    <row r="24546" customFormat="1" ht="21.95" customHeight="1" x14ac:dyDescent="0.15"/>
    <row r="24547" customFormat="1" ht="21.95" customHeight="1" x14ac:dyDescent="0.15"/>
    <row r="24548" customFormat="1" ht="21.95" customHeight="1" x14ac:dyDescent="0.15"/>
    <row r="24549" customFormat="1" ht="21.95" customHeight="1" x14ac:dyDescent="0.15"/>
    <row r="24550" customFormat="1" ht="21.95" customHeight="1" x14ac:dyDescent="0.15"/>
    <row r="24551" customFormat="1" ht="21.95" customHeight="1" x14ac:dyDescent="0.15"/>
    <row r="24552" customFormat="1" ht="21.95" customHeight="1" x14ac:dyDescent="0.15"/>
    <row r="24553" customFormat="1" ht="21.95" customHeight="1" x14ac:dyDescent="0.15"/>
    <row r="24554" customFormat="1" ht="21.95" customHeight="1" x14ac:dyDescent="0.15"/>
    <row r="24555" customFormat="1" ht="32.1" customHeight="1" x14ac:dyDescent="0.15"/>
    <row r="24556" customFormat="1" ht="32.1" customHeight="1" x14ac:dyDescent="0.15"/>
    <row r="24557" customFormat="1" ht="32.1" customHeight="1" x14ac:dyDescent="0.15"/>
    <row r="24558" customFormat="1" ht="32.1" customHeight="1" x14ac:dyDescent="0.15"/>
    <row r="24559" customFormat="1" ht="32.1" customHeight="1" x14ac:dyDescent="0.15"/>
    <row r="24560" customFormat="1" ht="32.1" customHeight="1" x14ac:dyDescent="0.15"/>
    <row r="24561" s="76" customFormat="1" ht="32.1" customHeight="1" x14ac:dyDescent="0.15"/>
    <row r="24562" s="76" customFormat="1" ht="32.1" customHeight="1" x14ac:dyDescent="0.15"/>
    <row r="24563" s="76" customFormat="1" ht="32.1" customHeight="1" x14ac:dyDescent="0.15"/>
    <row r="24564" s="76" customFormat="1" ht="32.1" customHeight="1" x14ac:dyDescent="0.15"/>
    <row r="24565" s="76" customFormat="1" ht="21.95" customHeight="1" x14ac:dyDescent="0.15"/>
    <row r="24566" s="76" customFormat="1" ht="54" customHeight="1" x14ac:dyDescent="0.15"/>
    <row r="24567" s="76" customFormat="1" ht="21.95" customHeight="1" x14ac:dyDescent="0.15"/>
    <row r="24568" s="76" customFormat="1" ht="21.95" customHeight="1" x14ac:dyDescent="0.15"/>
    <row r="24569" s="76" customFormat="1" ht="21.95" customHeight="1" x14ac:dyDescent="0.15"/>
    <row r="24570" s="76" customFormat="1" ht="21.95" customHeight="1" x14ac:dyDescent="0.15"/>
    <row r="24571" s="76" customFormat="1" ht="21.95" customHeight="1" x14ac:dyDescent="0.15"/>
    <row r="24572" s="76" customFormat="1" ht="21.95" customHeight="1" x14ac:dyDescent="0.15"/>
    <row r="24573" s="76" customFormat="1" ht="21.95" customHeight="1" x14ac:dyDescent="0.15"/>
    <row r="24574" s="76" customFormat="1" ht="21.95" customHeight="1" x14ac:dyDescent="0.15"/>
    <row r="24575" s="76" customFormat="1" ht="21.95" customHeight="1" x14ac:dyDescent="0.15"/>
    <row r="24576" s="76" customFormat="1" ht="21.95" customHeight="1" x14ac:dyDescent="0.15"/>
    <row r="24577" s="76" customFormat="1" ht="21.95" customHeight="1" x14ac:dyDescent="0.15"/>
    <row r="24578" s="76" customFormat="1" ht="21.95" customHeight="1" x14ac:dyDescent="0.15"/>
    <row r="24579" s="76" customFormat="1" ht="21.95" customHeight="1" x14ac:dyDescent="0.15"/>
    <row r="24580" s="76" customFormat="1" ht="21.95" customHeight="1" x14ac:dyDescent="0.15"/>
    <row r="24581" s="76" customFormat="1" ht="21.95" customHeight="1" x14ac:dyDescent="0.15"/>
    <row r="24582" s="76" customFormat="1" ht="21.95" customHeight="1" x14ac:dyDescent="0.15"/>
    <row r="24583" s="76" customFormat="1" ht="21.95" customHeight="1" x14ac:dyDescent="0.15"/>
    <row r="24584" s="76" customFormat="1" ht="21.95" customHeight="1" x14ac:dyDescent="0.15"/>
    <row r="24585" s="76" customFormat="1" ht="21.95" customHeight="1" x14ac:dyDescent="0.15"/>
    <row r="24586" s="76" customFormat="1" ht="21.95" customHeight="1" x14ac:dyDescent="0.15"/>
    <row r="24587" s="76" customFormat="1" ht="21.95" customHeight="1" x14ac:dyDescent="0.15"/>
    <row r="24588" s="76" customFormat="1" ht="21.95" customHeight="1" x14ac:dyDescent="0.15"/>
    <row r="24589" s="76" customFormat="1" ht="21.95" customHeight="1" x14ac:dyDescent="0.15"/>
    <row r="24590" s="76" customFormat="1" ht="21.95" customHeight="1" x14ac:dyDescent="0.15"/>
    <row r="24591" s="76" customFormat="1" ht="21.95" customHeight="1" x14ac:dyDescent="0.15"/>
    <row r="24592" s="76" customFormat="1" ht="21.95" customHeight="1" x14ac:dyDescent="0.15"/>
    <row r="24593" s="76" customFormat="1" ht="21.95" customHeight="1" x14ac:dyDescent="0.15"/>
    <row r="24594" s="76" customFormat="1" ht="21.95" customHeight="1" x14ac:dyDescent="0.15"/>
    <row r="24595" s="76" customFormat="1" ht="21.95" customHeight="1" x14ac:dyDescent="0.15"/>
    <row r="24596" s="76" customFormat="1" ht="21.95" customHeight="1" x14ac:dyDescent="0.15"/>
    <row r="24597" s="76" customFormat="1" ht="21.95" customHeight="1" x14ac:dyDescent="0.15"/>
    <row r="24598" s="76" customFormat="1" ht="21.95" customHeight="1" x14ac:dyDescent="0.15"/>
    <row r="24599" s="76" customFormat="1" ht="21.95" customHeight="1" x14ac:dyDescent="0.15"/>
    <row r="24600" s="76" customFormat="1" ht="21.95" customHeight="1" x14ac:dyDescent="0.15"/>
    <row r="24601" s="76" customFormat="1" ht="21.95" customHeight="1" x14ac:dyDescent="0.15"/>
    <row r="24602" s="76" customFormat="1" ht="21.95" customHeight="1" x14ac:dyDescent="0.15"/>
    <row r="24603" s="76" customFormat="1" ht="21.95" customHeight="1" x14ac:dyDescent="0.15"/>
    <row r="24604" s="76" customFormat="1" ht="21.95" customHeight="1" x14ac:dyDescent="0.15"/>
    <row r="24605" s="76" customFormat="1" ht="21.95" customHeight="1" x14ac:dyDescent="0.15"/>
    <row r="24606" s="76" customFormat="1" ht="21.95" customHeight="1" x14ac:dyDescent="0.15"/>
    <row r="24607" s="76" customFormat="1" ht="21.95" customHeight="1" x14ac:dyDescent="0.15"/>
    <row r="24608" s="76" customFormat="1" ht="21.95" customHeight="1" x14ac:dyDescent="0.15"/>
    <row r="24609" s="76" customFormat="1" ht="21.95" customHeight="1" x14ac:dyDescent="0.15"/>
    <row r="24610" s="76" customFormat="1" ht="21.95" customHeight="1" x14ac:dyDescent="0.15"/>
    <row r="24611" s="76" customFormat="1" ht="21.95" customHeight="1" x14ac:dyDescent="0.15"/>
    <row r="24612" s="76" customFormat="1" ht="21.95" customHeight="1" x14ac:dyDescent="0.15"/>
    <row r="24613" s="76" customFormat="1" ht="21.95" customHeight="1" x14ac:dyDescent="0.15"/>
    <row r="24614" s="76" customFormat="1" ht="21.95" customHeight="1" x14ac:dyDescent="0.15"/>
    <row r="24615" s="76" customFormat="1" ht="21.95" customHeight="1" x14ac:dyDescent="0.15"/>
    <row r="24616" s="76" customFormat="1" ht="21.95" customHeight="1" x14ac:dyDescent="0.15"/>
    <row r="24617" s="76" customFormat="1" ht="35.1" customHeight="1" x14ac:dyDescent="0.15"/>
    <row r="24618" s="76" customFormat="1" ht="21.95" customHeight="1" x14ac:dyDescent="0.15"/>
    <row r="24619" s="76" customFormat="1" ht="21.95" customHeight="1" x14ac:dyDescent="0.15"/>
    <row r="24620" s="76" customFormat="1" ht="21.95" customHeight="1" x14ac:dyDescent="0.15"/>
    <row r="24621" s="76" customFormat="1" ht="21.95" customHeight="1" x14ac:dyDescent="0.15"/>
    <row r="24622" s="76" customFormat="1" ht="21.95" customHeight="1" x14ac:dyDescent="0.15"/>
    <row r="24623" s="76" customFormat="1" ht="21.95" customHeight="1" x14ac:dyDescent="0.15"/>
    <row r="24624" s="76" customFormat="1" ht="21.95" customHeight="1" x14ac:dyDescent="0.15"/>
    <row r="24625" s="76" customFormat="1" ht="21.95" customHeight="1" x14ac:dyDescent="0.15"/>
    <row r="24626" s="76" customFormat="1" ht="21.95" customHeight="1" x14ac:dyDescent="0.15"/>
    <row r="24627" s="76" customFormat="1" ht="21.95" customHeight="1" x14ac:dyDescent="0.15"/>
    <row r="24628" s="76" customFormat="1" ht="21.95" customHeight="1" x14ac:dyDescent="0.15"/>
    <row r="24629" s="76" customFormat="1" ht="21.95" customHeight="1" x14ac:dyDescent="0.15"/>
    <row r="24630" s="76" customFormat="1" ht="21.95" customHeight="1" x14ac:dyDescent="0.15"/>
    <row r="24631" s="76" customFormat="1" ht="21.95" customHeight="1" x14ac:dyDescent="0.15"/>
    <row r="24632" s="76" customFormat="1" ht="21.95" customHeight="1" x14ac:dyDescent="0.15"/>
    <row r="24633" s="76" customFormat="1" ht="21.95" customHeight="1" x14ac:dyDescent="0.15"/>
    <row r="24634" s="76" customFormat="1" ht="21.95" customHeight="1" x14ac:dyDescent="0.15"/>
    <row r="24635" s="76" customFormat="1" ht="21.95" customHeight="1" x14ac:dyDescent="0.15"/>
    <row r="24636" s="76" customFormat="1" ht="21.95" customHeight="1" x14ac:dyDescent="0.15"/>
    <row r="24637" s="76" customFormat="1" ht="21.95" customHeight="1" x14ac:dyDescent="0.15"/>
    <row r="24638" s="76" customFormat="1" ht="21.95" customHeight="1" x14ac:dyDescent="0.15"/>
    <row r="24639" s="76" customFormat="1" ht="21.95" customHeight="1" x14ac:dyDescent="0.15"/>
    <row r="24640" s="76" customFormat="1" ht="21.95" customHeight="1" x14ac:dyDescent="0.15"/>
    <row r="24641" spans="3:3" customFormat="1" ht="21.95" customHeight="1" x14ac:dyDescent="0.15"/>
    <row r="24642" spans="3:3" customFormat="1" ht="21.95" customHeight="1" x14ac:dyDescent="0.15"/>
    <row r="24643" spans="3:3" customFormat="1" ht="21.95" customHeight="1" x14ac:dyDescent="0.15">
      <c r="C24643" s="94"/>
    </row>
    <row r="24644" spans="3:3" customFormat="1" ht="21.95" customHeight="1" x14ac:dyDescent="0.15">
      <c r="C24644" s="94"/>
    </row>
    <row r="24645" spans="3:3" customFormat="1" ht="21.95" customHeight="1" x14ac:dyDescent="0.15"/>
    <row r="24646" spans="3:3" customFormat="1" ht="21.95" customHeight="1" x14ac:dyDescent="0.15"/>
    <row r="24647" spans="3:3" customFormat="1" ht="21.95" customHeight="1" x14ac:dyDescent="0.15"/>
    <row r="24648" spans="3:3" customFormat="1" ht="21.95" customHeight="1" x14ac:dyDescent="0.15"/>
    <row r="24649" spans="3:3" customFormat="1" ht="21.95" customHeight="1" x14ac:dyDescent="0.15"/>
    <row r="24650" spans="3:3" customFormat="1" ht="21.95" customHeight="1" x14ac:dyDescent="0.15"/>
    <row r="24651" spans="3:3" customFormat="1" ht="21.95" customHeight="1" x14ac:dyDescent="0.15"/>
    <row r="24652" spans="3:3" s="76" customFormat="1" ht="21.95" customHeight="1" x14ac:dyDescent="0.15"/>
    <row r="24653" spans="3:3" s="76" customFormat="1" ht="21.95" customHeight="1" x14ac:dyDescent="0.15"/>
    <row r="24654" spans="3:3" s="76" customFormat="1" ht="21.95" customHeight="1" x14ac:dyDescent="0.15"/>
    <row r="24655" spans="3:3" s="76" customFormat="1" ht="21.95" customHeight="1" x14ac:dyDescent="0.15"/>
    <row r="24656" spans="3:3" customFormat="1" ht="21.95" customHeight="1" x14ac:dyDescent="0.15"/>
    <row r="24657" customFormat="1" ht="21.95" customHeight="1" x14ac:dyDescent="0.15"/>
    <row r="24658" customFormat="1" ht="21.95" customHeight="1" x14ac:dyDescent="0.15"/>
    <row r="24659" customFormat="1" ht="21.95" customHeight="1" x14ac:dyDescent="0.15"/>
    <row r="24660" customFormat="1" ht="21.95" customHeight="1" x14ac:dyDescent="0.15"/>
    <row r="24661" customFormat="1" ht="21.95" customHeight="1" x14ac:dyDescent="0.15"/>
    <row r="24662" customFormat="1" ht="21.95" customHeight="1" x14ac:dyDescent="0.15"/>
    <row r="24663" customFormat="1" ht="21.95" customHeight="1" x14ac:dyDescent="0.15"/>
    <row r="24664" customFormat="1" ht="21.95" customHeight="1" x14ac:dyDescent="0.15"/>
    <row r="24665" customFormat="1" ht="21.95" customHeight="1" x14ac:dyDescent="0.15"/>
    <row r="24666" customFormat="1" ht="21.95" customHeight="1" x14ac:dyDescent="0.15"/>
    <row r="24667" customFormat="1" ht="32.1" customHeight="1" x14ac:dyDescent="0.15"/>
    <row r="24668" customFormat="1" ht="32.1" customHeight="1" x14ac:dyDescent="0.15"/>
    <row r="24669" customFormat="1" ht="32.1" customHeight="1" x14ac:dyDescent="0.15"/>
    <row r="24670" customFormat="1" ht="32.1" customHeight="1" x14ac:dyDescent="0.15"/>
    <row r="24671" customFormat="1" ht="32.1" customHeight="1" x14ac:dyDescent="0.15"/>
    <row r="24672" customFormat="1" ht="32.1" customHeight="1" x14ac:dyDescent="0.15"/>
    <row r="24673" s="76" customFormat="1" ht="32.1" customHeight="1" x14ac:dyDescent="0.15"/>
    <row r="24674" s="76" customFormat="1" ht="32.1" customHeight="1" x14ac:dyDescent="0.15"/>
    <row r="24675" s="76" customFormat="1" ht="32.1" customHeight="1" x14ac:dyDescent="0.15"/>
    <row r="24676" s="76" customFormat="1" ht="32.1" customHeight="1" x14ac:dyDescent="0.15"/>
    <row r="24677" s="76" customFormat="1" ht="21.95" customHeight="1" x14ac:dyDescent="0.15"/>
    <row r="24678" s="76" customFormat="1" ht="54" customHeight="1" x14ac:dyDescent="0.15"/>
    <row r="24679" s="76" customFormat="1" ht="21.95" customHeight="1" x14ac:dyDescent="0.15"/>
    <row r="24680" s="76" customFormat="1" ht="21.95" customHeight="1" x14ac:dyDescent="0.15"/>
    <row r="24681" s="76" customFormat="1" ht="21.95" customHeight="1" x14ac:dyDescent="0.15"/>
    <row r="24682" s="76" customFormat="1" ht="21.95" customHeight="1" x14ac:dyDescent="0.15"/>
    <row r="24683" s="76" customFormat="1" ht="21.95" customHeight="1" x14ac:dyDescent="0.15"/>
    <row r="24684" s="76" customFormat="1" ht="21.95" customHeight="1" x14ac:dyDescent="0.15"/>
    <row r="24685" s="76" customFormat="1" ht="21.95" customHeight="1" x14ac:dyDescent="0.15"/>
    <row r="24686" s="76" customFormat="1" ht="21.95" customHeight="1" x14ac:dyDescent="0.15"/>
    <row r="24687" s="76" customFormat="1" ht="21.95" customHeight="1" x14ac:dyDescent="0.15"/>
    <row r="24688" s="76" customFormat="1" ht="21.95" customHeight="1" x14ac:dyDescent="0.15"/>
    <row r="24689" s="76" customFormat="1" ht="21.95" customHeight="1" x14ac:dyDescent="0.15"/>
    <row r="24690" s="76" customFormat="1" ht="21.95" customHeight="1" x14ac:dyDescent="0.15"/>
    <row r="24691" s="76" customFormat="1" ht="21.95" customHeight="1" x14ac:dyDescent="0.15"/>
    <row r="24692" s="76" customFormat="1" ht="21.95" customHeight="1" x14ac:dyDescent="0.15"/>
    <row r="24693" s="76" customFormat="1" ht="21.95" customHeight="1" x14ac:dyDescent="0.15"/>
    <row r="24694" s="76" customFormat="1" ht="21.95" customHeight="1" x14ac:dyDescent="0.15"/>
    <row r="24695" s="76" customFormat="1" ht="21.95" customHeight="1" x14ac:dyDescent="0.15"/>
    <row r="24696" s="76" customFormat="1" ht="21.95" customHeight="1" x14ac:dyDescent="0.15"/>
    <row r="24697" s="76" customFormat="1" ht="21.95" customHeight="1" x14ac:dyDescent="0.15"/>
    <row r="24698" s="76" customFormat="1" ht="21.95" customHeight="1" x14ac:dyDescent="0.15"/>
    <row r="24699" s="76" customFormat="1" ht="21.95" customHeight="1" x14ac:dyDescent="0.15"/>
    <row r="24700" s="76" customFormat="1" ht="21.95" customHeight="1" x14ac:dyDescent="0.15"/>
    <row r="24701" s="76" customFormat="1" ht="21.95" customHeight="1" x14ac:dyDescent="0.15"/>
    <row r="24702" s="76" customFormat="1" ht="21.95" customHeight="1" x14ac:dyDescent="0.15"/>
    <row r="24703" s="76" customFormat="1" ht="21.95" customHeight="1" x14ac:dyDescent="0.15"/>
    <row r="24704" s="76" customFormat="1" ht="21.95" customHeight="1" x14ac:dyDescent="0.15"/>
    <row r="24705" s="76" customFormat="1" ht="21.95" customHeight="1" x14ac:dyDescent="0.15"/>
    <row r="24706" s="76" customFormat="1" ht="21.95" customHeight="1" x14ac:dyDescent="0.15"/>
    <row r="24707" s="76" customFormat="1" ht="21.95" customHeight="1" x14ac:dyDescent="0.15"/>
    <row r="24708" s="76" customFormat="1" ht="21.95" customHeight="1" x14ac:dyDescent="0.15"/>
    <row r="24709" s="76" customFormat="1" ht="21.95" customHeight="1" x14ac:dyDescent="0.15"/>
    <row r="24710" s="76" customFormat="1" ht="21.95" customHeight="1" x14ac:dyDescent="0.15"/>
    <row r="24711" s="76" customFormat="1" ht="21.95" customHeight="1" x14ac:dyDescent="0.15"/>
    <row r="24712" s="76" customFormat="1" ht="21.95" customHeight="1" x14ac:dyDescent="0.15"/>
    <row r="24713" s="76" customFormat="1" ht="21.95" customHeight="1" x14ac:dyDescent="0.15"/>
    <row r="24714" s="76" customFormat="1" ht="21.95" customHeight="1" x14ac:dyDescent="0.15"/>
    <row r="24715" s="76" customFormat="1" ht="21.95" customHeight="1" x14ac:dyDescent="0.15"/>
    <row r="24716" s="76" customFormat="1" ht="21.95" customHeight="1" x14ac:dyDescent="0.15"/>
    <row r="24717" s="76" customFormat="1" ht="21.95" customHeight="1" x14ac:dyDescent="0.15"/>
    <row r="24718" s="76" customFormat="1" ht="21.95" customHeight="1" x14ac:dyDescent="0.15"/>
    <row r="24719" s="76" customFormat="1" ht="21.95" customHeight="1" x14ac:dyDescent="0.15"/>
    <row r="24720" s="76" customFormat="1" ht="21.95" customHeight="1" x14ac:dyDescent="0.15"/>
    <row r="24721" s="76" customFormat="1" ht="21.95" customHeight="1" x14ac:dyDescent="0.15"/>
    <row r="24722" s="76" customFormat="1" ht="21.95" customHeight="1" x14ac:dyDescent="0.15"/>
    <row r="24723" s="76" customFormat="1" ht="21.95" customHeight="1" x14ac:dyDescent="0.15"/>
    <row r="24724" s="76" customFormat="1" ht="21.95" customHeight="1" x14ac:dyDescent="0.15"/>
    <row r="24725" s="76" customFormat="1" ht="21.95" customHeight="1" x14ac:dyDescent="0.15"/>
    <row r="24726" s="76" customFormat="1" ht="21.95" customHeight="1" x14ac:dyDescent="0.15"/>
    <row r="24727" s="76" customFormat="1" ht="21.95" customHeight="1" x14ac:dyDescent="0.15"/>
    <row r="24728" s="76" customFormat="1" ht="21.95" customHeight="1" x14ac:dyDescent="0.15"/>
    <row r="24729" s="76" customFormat="1" ht="35.1" customHeight="1" x14ac:dyDescent="0.15"/>
    <row r="24730" s="76" customFormat="1" ht="21.95" customHeight="1" x14ac:dyDescent="0.15"/>
    <row r="24731" s="76" customFormat="1" ht="21.95" customHeight="1" x14ac:dyDescent="0.15"/>
    <row r="24732" s="76" customFormat="1" ht="21.95" customHeight="1" x14ac:dyDescent="0.15"/>
    <row r="24733" s="76" customFormat="1" ht="21.95" customHeight="1" x14ac:dyDescent="0.15"/>
    <row r="24734" s="76" customFormat="1" ht="21.95" customHeight="1" x14ac:dyDescent="0.15"/>
    <row r="24735" s="76" customFormat="1" ht="21.95" customHeight="1" x14ac:dyDescent="0.15"/>
    <row r="24736" s="76" customFormat="1" ht="21.95" customHeight="1" x14ac:dyDescent="0.15"/>
    <row r="24737" s="76" customFormat="1" ht="21.95" customHeight="1" x14ac:dyDescent="0.15"/>
    <row r="24738" s="76" customFormat="1" ht="21.95" customHeight="1" x14ac:dyDescent="0.15"/>
    <row r="24739" s="76" customFormat="1" ht="21.95" customHeight="1" x14ac:dyDescent="0.15"/>
    <row r="24740" s="76" customFormat="1" ht="21.95" customHeight="1" x14ac:dyDescent="0.15"/>
    <row r="24741" s="76" customFormat="1" ht="21.95" customHeight="1" x14ac:dyDescent="0.15"/>
    <row r="24742" s="76" customFormat="1" ht="21.95" customHeight="1" x14ac:dyDescent="0.15"/>
    <row r="24743" s="76" customFormat="1" ht="21.95" customHeight="1" x14ac:dyDescent="0.15"/>
    <row r="24744" s="76" customFormat="1" ht="21.95" customHeight="1" x14ac:dyDescent="0.15"/>
    <row r="24745" s="76" customFormat="1" ht="21.95" customHeight="1" x14ac:dyDescent="0.15"/>
    <row r="24746" s="76" customFormat="1" ht="21.95" customHeight="1" x14ac:dyDescent="0.15"/>
    <row r="24747" s="76" customFormat="1" ht="21.95" customHeight="1" x14ac:dyDescent="0.15"/>
    <row r="24748" s="76" customFormat="1" ht="21.95" customHeight="1" x14ac:dyDescent="0.15"/>
    <row r="24749" s="76" customFormat="1" ht="21.95" customHeight="1" x14ac:dyDescent="0.15"/>
    <row r="24750" s="76" customFormat="1" ht="21.95" customHeight="1" x14ac:dyDescent="0.15"/>
    <row r="24751" s="76" customFormat="1" ht="21.95" customHeight="1" x14ac:dyDescent="0.15"/>
    <row r="24752" s="76" customFormat="1" ht="21.95" customHeight="1" x14ac:dyDescent="0.15"/>
    <row r="24753" spans="3:3" customFormat="1" ht="21.95" customHeight="1" x14ac:dyDescent="0.15"/>
    <row r="24754" spans="3:3" customFormat="1" ht="21.95" customHeight="1" x14ac:dyDescent="0.15"/>
    <row r="24755" spans="3:3" customFormat="1" ht="21.95" customHeight="1" x14ac:dyDescent="0.15">
      <c r="C24755" s="94"/>
    </row>
    <row r="24756" spans="3:3" customFormat="1" ht="21.95" customHeight="1" x14ac:dyDescent="0.15">
      <c r="C24756" s="94"/>
    </row>
    <row r="24757" spans="3:3" customFormat="1" ht="21.95" customHeight="1" x14ac:dyDescent="0.15"/>
    <row r="24758" spans="3:3" customFormat="1" ht="21.95" customHeight="1" x14ac:dyDescent="0.15"/>
    <row r="24759" spans="3:3" customFormat="1" ht="21.95" customHeight="1" x14ac:dyDescent="0.15"/>
    <row r="24760" spans="3:3" customFormat="1" ht="21.95" customHeight="1" x14ac:dyDescent="0.15"/>
    <row r="24761" spans="3:3" customFormat="1" ht="21.95" customHeight="1" x14ac:dyDescent="0.15"/>
    <row r="24762" spans="3:3" customFormat="1" ht="21.95" customHeight="1" x14ac:dyDescent="0.15"/>
    <row r="24763" spans="3:3" customFormat="1" ht="21.95" customHeight="1" x14ac:dyDescent="0.15"/>
    <row r="24764" spans="3:3" s="76" customFormat="1" ht="21.95" customHeight="1" x14ac:dyDescent="0.15"/>
    <row r="24765" spans="3:3" s="76" customFormat="1" ht="21.95" customHeight="1" x14ac:dyDescent="0.15"/>
    <row r="24766" spans="3:3" s="76" customFormat="1" ht="21.95" customHeight="1" x14ac:dyDescent="0.15"/>
    <row r="24767" spans="3:3" s="76" customFormat="1" ht="21.95" customHeight="1" x14ac:dyDescent="0.15"/>
    <row r="24768" spans="3:3" customFormat="1" ht="21.95" customHeight="1" x14ac:dyDescent="0.15"/>
    <row r="24769" customFormat="1" ht="21.95" customHeight="1" x14ac:dyDescent="0.15"/>
    <row r="24770" customFormat="1" ht="21.95" customHeight="1" x14ac:dyDescent="0.15"/>
    <row r="24771" customFormat="1" ht="21.95" customHeight="1" x14ac:dyDescent="0.15"/>
    <row r="24772" customFormat="1" ht="21.95" customHeight="1" x14ac:dyDescent="0.15"/>
    <row r="24773" customFormat="1" ht="21.95" customHeight="1" x14ac:dyDescent="0.15"/>
    <row r="24774" customFormat="1" ht="21.95" customHeight="1" x14ac:dyDescent="0.15"/>
    <row r="24775" customFormat="1" ht="21.95" customHeight="1" x14ac:dyDescent="0.15"/>
    <row r="24776" customFormat="1" ht="21.95" customHeight="1" x14ac:dyDescent="0.15"/>
    <row r="24777" customFormat="1" ht="21.95" customHeight="1" x14ac:dyDescent="0.15"/>
    <row r="24778" customFormat="1" ht="21.95" customHeight="1" x14ac:dyDescent="0.15"/>
    <row r="24779" customFormat="1" ht="32.1" customHeight="1" x14ac:dyDescent="0.15"/>
    <row r="24780" customFormat="1" ht="32.1" customHeight="1" x14ac:dyDescent="0.15"/>
    <row r="24781" customFormat="1" ht="32.1" customHeight="1" x14ac:dyDescent="0.15"/>
    <row r="24782" customFormat="1" ht="32.1" customHeight="1" x14ac:dyDescent="0.15"/>
    <row r="24783" customFormat="1" ht="32.1" customHeight="1" x14ac:dyDescent="0.15"/>
    <row r="24784" customFormat="1" ht="32.1" customHeight="1" x14ac:dyDescent="0.15"/>
    <row r="24785" s="76" customFormat="1" ht="32.1" customHeight="1" x14ac:dyDescent="0.15"/>
    <row r="24786" s="76" customFormat="1" ht="32.1" customHeight="1" x14ac:dyDescent="0.15"/>
    <row r="24787" s="76" customFormat="1" ht="32.1" customHeight="1" x14ac:dyDescent="0.15"/>
    <row r="24788" s="76" customFormat="1" ht="32.1" customHeight="1" x14ac:dyDescent="0.15"/>
    <row r="24789" s="76" customFormat="1" ht="21.95" customHeight="1" x14ac:dyDescent="0.15"/>
    <row r="24790" s="76" customFormat="1" ht="54" customHeight="1" x14ac:dyDescent="0.15"/>
    <row r="24791" s="76" customFormat="1" ht="21.95" customHeight="1" x14ac:dyDescent="0.15"/>
    <row r="24792" s="76" customFormat="1" ht="21.95" customHeight="1" x14ac:dyDescent="0.15"/>
    <row r="24793" s="76" customFormat="1" ht="21.95" customHeight="1" x14ac:dyDescent="0.15"/>
    <row r="24794" s="76" customFormat="1" ht="21.95" customHeight="1" x14ac:dyDescent="0.15"/>
    <row r="24795" s="76" customFormat="1" ht="21.95" customHeight="1" x14ac:dyDescent="0.15"/>
    <row r="24796" s="76" customFormat="1" ht="21.95" customHeight="1" x14ac:dyDescent="0.15"/>
    <row r="24797" s="76" customFormat="1" ht="21.95" customHeight="1" x14ac:dyDescent="0.15"/>
    <row r="24798" s="76" customFormat="1" ht="21.95" customHeight="1" x14ac:dyDescent="0.15"/>
    <row r="24799" s="76" customFormat="1" ht="21.95" customHeight="1" x14ac:dyDescent="0.15"/>
    <row r="24800" s="76" customFormat="1" ht="21.95" customHeight="1" x14ac:dyDescent="0.15"/>
    <row r="24801" s="76" customFormat="1" ht="21.95" customHeight="1" x14ac:dyDescent="0.15"/>
    <row r="24802" s="76" customFormat="1" ht="21.95" customHeight="1" x14ac:dyDescent="0.15"/>
    <row r="24803" s="76" customFormat="1" ht="21.95" customHeight="1" x14ac:dyDescent="0.15"/>
    <row r="24804" s="76" customFormat="1" ht="21.95" customHeight="1" x14ac:dyDescent="0.15"/>
    <row r="24805" s="76" customFormat="1" ht="21.95" customHeight="1" x14ac:dyDescent="0.15"/>
    <row r="24806" s="76" customFormat="1" ht="21.95" customHeight="1" x14ac:dyDescent="0.15"/>
    <row r="24807" s="76" customFormat="1" ht="21.95" customHeight="1" x14ac:dyDescent="0.15"/>
    <row r="24808" s="76" customFormat="1" ht="21.95" customHeight="1" x14ac:dyDescent="0.15"/>
    <row r="24809" s="76" customFormat="1" ht="21.95" customHeight="1" x14ac:dyDescent="0.15"/>
    <row r="24810" s="76" customFormat="1" ht="21.95" customHeight="1" x14ac:dyDescent="0.15"/>
    <row r="24811" s="76" customFormat="1" ht="21.95" customHeight="1" x14ac:dyDescent="0.15"/>
    <row r="24812" s="76" customFormat="1" ht="21.95" customHeight="1" x14ac:dyDescent="0.15"/>
    <row r="24813" s="76" customFormat="1" ht="21.95" customHeight="1" x14ac:dyDescent="0.15"/>
    <row r="24814" s="76" customFormat="1" ht="21.95" customHeight="1" x14ac:dyDescent="0.15"/>
    <row r="24815" s="76" customFormat="1" ht="21.95" customHeight="1" x14ac:dyDescent="0.15"/>
    <row r="24816" s="76" customFormat="1" ht="21.95" customHeight="1" x14ac:dyDescent="0.15"/>
    <row r="24817" s="76" customFormat="1" ht="21.95" customHeight="1" x14ac:dyDescent="0.15"/>
    <row r="24818" s="76" customFormat="1" ht="21.95" customHeight="1" x14ac:dyDescent="0.15"/>
    <row r="24819" s="76" customFormat="1" ht="21.95" customHeight="1" x14ac:dyDescent="0.15"/>
    <row r="24820" s="76" customFormat="1" ht="21.95" customHeight="1" x14ac:dyDescent="0.15"/>
    <row r="24821" s="76" customFormat="1" ht="21.95" customHeight="1" x14ac:dyDescent="0.15"/>
    <row r="24822" s="76" customFormat="1" ht="21.95" customHeight="1" x14ac:dyDescent="0.15"/>
    <row r="24823" s="76" customFormat="1" ht="21.95" customHeight="1" x14ac:dyDescent="0.15"/>
    <row r="24824" s="76" customFormat="1" ht="21.95" customHeight="1" x14ac:dyDescent="0.15"/>
    <row r="24825" s="76" customFormat="1" ht="21.95" customHeight="1" x14ac:dyDescent="0.15"/>
    <row r="24826" s="76" customFormat="1" ht="21.95" customHeight="1" x14ac:dyDescent="0.15"/>
    <row r="24827" s="76" customFormat="1" ht="21.95" customHeight="1" x14ac:dyDescent="0.15"/>
    <row r="24828" s="76" customFormat="1" ht="21.95" customHeight="1" x14ac:dyDescent="0.15"/>
    <row r="24829" s="76" customFormat="1" ht="21.95" customHeight="1" x14ac:dyDescent="0.15"/>
    <row r="24830" s="76" customFormat="1" ht="21.95" customHeight="1" x14ac:dyDescent="0.15"/>
    <row r="24831" s="76" customFormat="1" ht="21.95" customHeight="1" x14ac:dyDescent="0.15"/>
    <row r="24832" s="76" customFormat="1" ht="21.95" customHeight="1" x14ac:dyDescent="0.15"/>
    <row r="24833" s="76" customFormat="1" ht="21.95" customHeight="1" x14ac:dyDescent="0.15"/>
    <row r="24834" s="76" customFormat="1" ht="21.95" customHeight="1" x14ac:dyDescent="0.15"/>
    <row r="24835" s="76" customFormat="1" ht="21.95" customHeight="1" x14ac:dyDescent="0.15"/>
    <row r="24836" s="76" customFormat="1" ht="21.95" customHeight="1" x14ac:dyDescent="0.15"/>
    <row r="24837" s="76" customFormat="1" ht="21.95" customHeight="1" x14ac:dyDescent="0.15"/>
    <row r="24838" s="76" customFormat="1" ht="21.95" customHeight="1" x14ac:dyDescent="0.15"/>
    <row r="24839" s="76" customFormat="1" ht="21.95" customHeight="1" x14ac:dyDescent="0.15"/>
    <row r="24840" s="76" customFormat="1" ht="21.95" customHeight="1" x14ac:dyDescent="0.15"/>
    <row r="24841" s="76" customFormat="1" ht="35.1" customHeight="1" x14ac:dyDescent="0.15"/>
    <row r="24842" s="76" customFormat="1" ht="21.95" customHeight="1" x14ac:dyDescent="0.15"/>
    <row r="24843" s="76" customFormat="1" ht="21.95" customHeight="1" x14ac:dyDescent="0.15"/>
    <row r="24844" s="76" customFormat="1" ht="21.95" customHeight="1" x14ac:dyDescent="0.15"/>
    <row r="24845" s="76" customFormat="1" ht="21.95" customHeight="1" x14ac:dyDescent="0.15"/>
    <row r="24846" s="76" customFormat="1" ht="21.95" customHeight="1" x14ac:dyDescent="0.15"/>
    <row r="24847" s="76" customFormat="1" ht="21.95" customHeight="1" x14ac:dyDescent="0.15"/>
    <row r="24848" s="76" customFormat="1" ht="21.95" customHeight="1" x14ac:dyDescent="0.15"/>
    <row r="24849" s="76" customFormat="1" ht="21.95" customHeight="1" x14ac:dyDescent="0.15"/>
    <row r="24850" s="76" customFormat="1" ht="21.95" customHeight="1" x14ac:dyDescent="0.15"/>
    <row r="24851" s="76" customFormat="1" ht="21.95" customHeight="1" x14ac:dyDescent="0.15"/>
    <row r="24852" s="76" customFormat="1" ht="21.95" customHeight="1" x14ac:dyDescent="0.15"/>
    <row r="24853" s="76" customFormat="1" ht="21.95" customHeight="1" x14ac:dyDescent="0.15"/>
    <row r="24854" s="76" customFormat="1" ht="21.95" customHeight="1" x14ac:dyDescent="0.15"/>
    <row r="24855" s="76" customFormat="1" ht="21.95" customHeight="1" x14ac:dyDescent="0.15"/>
    <row r="24856" s="76" customFormat="1" ht="21.95" customHeight="1" x14ac:dyDescent="0.15"/>
    <row r="24857" s="76" customFormat="1" ht="21.95" customHeight="1" x14ac:dyDescent="0.15"/>
    <row r="24858" s="76" customFormat="1" ht="21.95" customHeight="1" x14ac:dyDescent="0.15"/>
    <row r="24859" s="76" customFormat="1" ht="21.95" customHeight="1" x14ac:dyDescent="0.15"/>
    <row r="24860" s="76" customFormat="1" ht="21.95" customHeight="1" x14ac:dyDescent="0.15"/>
    <row r="24861" s="76" customFormat="1" ht="21.95" customHeight="1" x14ac:dyDescent="0.15"/>
    <row r="24862" s="76" customFormat="1" ht="21.95" customHeight="1" x14ac:dyDescent="0.15"/>
    <row r="24863" s="76" customFormat="1" ht="21.95" customHeight="1" x14ac:dyDescent="0.15"/>
    <row r="24864" s="76" customFormat="1" ht="21.95" customHeight="1" x14ac:dyDescent="0.15"/>
    <row r="24865" spans="3:3" customFormat="1" ht="21.95" customHeight="1" x14ac:dyDescent="0.15"/>
    <row r="24866" spans="3:3" customFormat="1" ht="21.95" customHeight="1" x14ac:dyDescent="0.15"/>
    <row r="24867" spans="3:3" customFormat="1" ht="21.95" customHeight="1" x14ac:dyDescent="0.15">
      <c r="C24867" s="94"/>
    </row>
    <row r="24868" spans="3:3" customFormat="1" ht="21.95" customHeight="1" x14ac:dyDescent="0.15">
      <c r="C24868" s="94"/>
    </row>
    <row r="24869" spans="3:3" customFormat="1" ht="21.95" customHeight="1" x14ac:dyDescent="0.15"/>
    <row r="24870" spans="3:3" customFormat="1" ht="21.95" customHeight="1" x14ac:dyDescent="0.15"/>
    <row r="24871" spans="3:3" customFormat="1" ht="21.95" customHeight="1" x14ac:dyDescent="0.15"/>
    <row r="24872" spans="3:3" customFormat="1" ht="21.95" customHeight="1" x14ac:dyDescent="0.15"/>
    <row r="24873" spans="3:3" customFormat="1" ht="21.95" customHeight="1" x14ac:dyDescent="0.15"/>
    <row r="24874" spans="3:3" customFormat="1" ht="21.95" customHeight="1" x14ac:dyDescent="0.15"/>
    <row r="24875" spans="3:3" customFormat="1" ht="21.95" customHeight="1" x14ac:dyDescent="0.15"/>
    <row r="24876" spans="3:3" s="76" customFormat="1" ht="21.95" customHeight="1" x14ac:dyDescent="0.15"/>
    <row r="24877" spans="3:3" s="76" customFormat="1" ht="21.95" customHeight="1" x14ac:dyDescent="0.15"/>
    <row r="24878" spans="3:3" s="76" customFormat="1" ht="21.95" customHeight="1" x14ac:dyDescent="0.15"/>
    <row r="24879" spans="3:3" s="76" customFormat="1" ht="21.95" customHeight="1" x14ac:dyDescent="0.15"/>
    <row r="24880" spans="3:3" customFormat="1" ht="21.95" customHeight="1" x14ac:dyDescent="0.15"/>
    <row r="24881" customFormat="1" ht="21.95" customHeight="1" x14ac:dyDescent="0.15"/>
    <row r="24882" customFormat="1" ht="21.95" customHeight="1" x14ac:dyDescent="0.15"/>
    <row r="24883" customFormat="1" ht="21.95" customHeight="1" x14ac:dyDescent="0.15"/>
    <row r="24884" customFormat="1" ht="21.95" customHeight="1" x14ac:dyDescent="0.15"/>
    <row r="24885" customFormat="1" ht="21.95" customHeight="1" x14ac:dyDescent="0.15"/>
    <row r="24886" customFormat="1" ht="21.95" customHeight="1" x14ac:dyDescent="0.15"/>
    <row r="24887" customFormat="1" ht="21.95" customHeight="1" x14ac:dyDescent="0.15"/>
    <row r="24888" customFormat="1" ht="21.95" customHeight="1" x14ac:dyDescent="0.15"/>
    <row r="24889" customFormat="1" ht="21.95" customHeight="1" x14ac:dyDescent="0.15"/>
    <row r="24890" customFormat="1" ht="21.95" customHeight="1" x14ac:dyDescent="0.15"/>
    <row r="24891" customFormat="1" ht="32.1" customHeight="1" x14ac:dyDescent="0.15"/>
    <row r="24892" customFormat="1" ht="32.1" customHeight="1" x14ac:dyDescent="0.15"/>
    <row r="24893" customFormat="1" ht="32.1" customHeight="1" x14ac:dyDescent="0.15"/>
    <row r="24894" customFormat="1" ht="32.1" customHeight="1" x14ac:dyDescent="0.15"/>
    <row r="24895" customFormat="1" ht="32.1" customHeight="1" x14ac:dyDescent="0.15"/>
    <row r="24896" customFormat="1" ht="32.1" customHeight="1" x14ac:dyDescent="0.15"/>
    <row r="24897" s="76" customFormat="1" ht="32.1" customHeight="1" x14ac:dyDescent="0.15"/>
    <row r="24898" s="76" customFormat="1" ht="32.1" customHeight="1" x14ac:dyDescent="0.15"/>
    <row r="24899" s="76" customFormat="1" ht="32.1" customHeight="1" x14ac:dyDescent="0.15"/>
    <row r="24900" s="76" customFormat="1" ht="32.1" customHeight="1" x14ac:dyDescent="0.15"/>
    <row r="24901" s="76" customFormat="1" ht="21.95" customHeight="1" x14ac:dyDescent="0.15"/>
    <row r="24902" s="76" customFormat="1" ht="54" customHeight="1" x14ac:dyDescent="0.15"/>
    <row r="24903" s="76" customFormat="1" ht="21.95" customHeight="1" x14ac:dyDescent="0.15"/>
    <row r="24904" s="76" customFormat="1" ht="21.95" customHeight="1" x14ac:dyDescent="0.15"/>
    <row r="24905" s="76" customFormat="1" ht="21.95" customHeight="1" x14ac:dyDescent="0.15"/>
    <row r="24906" s="76" customFormat="1" ht="21.95" customHeight="1" x14ac:dyDescent="0.15"/>
    <row r="24907" s="76" customFormat="1" ht="21.95" customHeight="1" x14ac:dyDescent="0.15"/>
    <row r="24908" s="76" customFormat="1" ht="21.95" customHeight="1" x14ac:dyDescent="0.15"/>
    <row r="24909" s="76" customFormat="1" ht="21.95" customHeight="1" x14ac:dyDescent="0.15"/>
    <row r="24910" s="76" customFormat="1" ht="21.95" customHeight="1" x14ac:dyDescent="0.15"/>
    <row r="24911" s="76" customFormat="1" ht="21.95" customHeight="1" x14ac:dyDescent="0.15"/>
    <row r="24912" s="76" customFormat="1" ht="21.95" customHeight="1" x14ac:dyDescent="0.15"/>
    <row r="24913" s="76" customFormat="1" ht="21.95" customHeight="1" x14ac:dyDescent="0.15"/>
    <row r="24914" s="76" customFormat="1" ht="21.95" customHeight="1" x14ac:dyDescent="0.15"/>
    <row r="24915" s="76" customFormat="1" ht="21.95" customHeight="1" x14ac:dyDescent="0.15"/>
    <row r="24916" s="76" customFormat="1" ht="21.95" customHeight="1" x14ac:dyDescent="0.15"/>
    <row r="24917" s="76" customFormat="1" ht="21.95" customHeight="1" x14ac:dyDescent="0.15"/>
    <row r="24918" s="76" customFormat="1" ht="21.95" customHeight="1" x14ac:dyDescent="0.15"/>
    <row r="24919" s="76" customFormat="1" ht="21.95" customHeight="1" x14ac:dyDescent="0.15"/>
    <row r="24920" s="76" customFormat="1" ht="21.95" customHeight="1" x14ac:dyDescent="0.15"/>
    <row r="24921" s="76" customFormat="1" ht="21.95" customHeight="1" x14ac:dyDescent="0.15"/>
    <row r="24922" s="76" customFormat="1" ht="21.95" customHeight="1" x14ac:dyDescent="0.15"/>
    <row r="24923" s="76" customFormat="1" ht="21.95" customHeight="1" x14ac:dyDescent="0.15"/>
    <row r="24924" s="76" customFormat="1" ht="21.95" customHeight="1" x14ac:dyDescent="0.15"/>
    <row r="24925" s="76" customFormat="1" ht="21.95" customHeight="1" x14ac:dyDescent="0.15"/>
    <row r="24926" s="76" customFormat="1" ht="21.95" customHeight="1" x14ac:dyDescent="0.15"/>
    <row r="24927" s="76" customFormat="1" ht="21.95" customHeight="1" x14ac:dyDescent="0.15"/>
    <row r="24928" s="76" customFormat="1" ht="21.95" customHeight="1" x14ac:dyDescent="0.15"/>
    <row r="24929" s="76" customFormat="1" ht="21.95" customHeight="1" x14ac:dyDescent="0.15"/>
    <row r="24930" s="76" customFormat="1" ht="21.95" customHeight="1" x14ac:dyDescent="0.15"/>
    <row r="24931" s="76" customFormat="1" ht="21.95" customHeight="1" x14ac:dyDescent="0.15"/>
    <row r="24932" s="76" customFormat="1" ht="21.95" customHeight="1" x14ac:dyDescent="0.15"/>
    <row r="24933" s="76" customFormat="1" ht="21.95" customHeight="1" x14ac:dyDescent="0.15"/>
    <row r="24934" s="76" customFormat="1" ht="21.95" customHeight="1" x14ac:dyDescent="0.15"/>
    <row r="24935" s="76" customFormat="1" ht="21.95" customHeight="1" x14ac:dyDescent="0.15"/>
    <row r="24936" s="76" customFormat="1" ht="21.95" customHeight="1" x14ac:dyDescent="0.15"/>
    <row r="24937" s="76" customFormat="1" ht="21.95" customHeight="1" x14ac:dyDescent="0.15"/>
    <row r="24938" s="76" customFormat="1" ht="21.95" customHeight="1" x14ac:dyDescent="0.15"/>
    <row r="24939" s="76" customFormat="1" ht="21.95" customHeight="1" x14ac:dyDescent="0.15"/>
    <row r="24940" s="76" customFormat="1" ht="21.95" customHeight="1" x14ac:dyDescent="0.15"/>
    <row r="24941" s="76" customFormat="1" ht="21.95" customHeight="1" x14ac:dyDescent="0.15"/>
    <row r="24942" s="76" customFormat="1" ht="21.95" customHeight="1" x14ac:dyDescent="0.15"/>
    <row r="24943" s="76" customFormat="1" ht="21.95" customHeight="1" x14ac:dyDescent="0.15"/>
    <row r="24944" s="76" customFormat="1" ht="21.95" customHeight="1" x14ac:dyDescent="0.15"/>
    <row r="24945" s="76" customFormat="1" ht="21.95" customHeight="1" x14ac:dyDescent="0.15"/>
    <row r="24946" s="76" customFormat="1" ht="21.95" customHeight="1" x14ac:dyDescent="0.15"/>
    <row r="24947" s="76" customFormat="1" ht="21.95" customHeight="1" x14ac:dyDescent="0.15"/>
    <row r="24948" s="76" customFormat="1" ht="21.95" customHeight="1" x14ac:dyDescent="0.15"/>
    <row r="24949" s="76" customFormat="1" ht="21.95" customHeight="1" x14ac:dyDescent="0.15"/>
    <row r="24950" s="76" customFormat="1" ht="21.95" customHeight="1" x14ac:dyDescent="0.15"/>
    <row r="24951" s="76" customFormat="1" ht="21.95" customHeight="1" x14ac:dyDescent="0.15"/>
    <row r="24952" s="76" customFormat="1" ht="21.95" customHeight="1" x14ac:dyDescent="0.15"/>
    <row r="24953" s="76" customFormat="1" ht="35.1" customHeight="1" x14ac:dyDescent="0.15"/>
    <row r="24954" s="76" customFormat="1" ht="21.95" customHeight="1" x14ac:dyDescent="0.15"/>
    <row r="24955" s="76" customFormat="1" ht="21.95" customHeight="1" x14ac:dyDescent="0.15"/>
    <row r="24956" s="76" customFormat="1" ht="21.95" customHeight="1" x14ac:dyDescent="0.15"/>
    <row r="24957" s="76" customFormat="1" ht="21.95" customHeight="1" x14ac:dyDescent="0.15"/>
    <row r="24958" s="76" customFormat="1" ht="21.95" customHeight="1" x14ac:dyDescent="0.15"/>
    <row r="24959" s="76" customFormat="1" ht="21.95" customHeight="1" x14ac:dyDescent="0.15"/>
    <row r="24960" s="76" customFormat="1" ht="21.95" customHeight="1" x14ac:dyDescent="0.15"/>
    <row r="24961" s="76" customFormat="1" ht="21.95" customHeight="1" x14ac:dyDescent="0.15"/>
    <row r="24962" s="76" customFormat="1" ht="21.95" customHeight="1" x14ac:dyDescent="0.15"/>
    <row r="24963" s="76" customFormat="1" ht="21.95" customHeight="1" x14ac:dyDescent="0.15"/>
    <row r="24964" s="76" customFormat="1" ht="21.95" customHeight="1" x14ac:dyDescent="0.15"/>
    <row r="24965" s="76" customFormat="1" ht="21.95" customHeight="1" x14ac:dyDescent="0.15"/>
    <row r="24966" s="76" customFormat="1" ht="21.95" customHeight="1" x14ac:dyDescent="0.15"/>
    <row r="24967" s="76" customFormat="1" ht="21.95" customHeight="1" x14ac:dyDescent="0.15"/>
    <row r="24968" s="76" customFormat="1" ht="21.95" customHeight="1" x14ac:dyDescent="0.15"/>
    <row r="24969" s="76" customFormat="1" ht="21.95" customHeight="1" x14ac:dyDescent="0.15"/>
    <row r="24970" s="76" customFormat="1" ht="21.95" customHeight="1" x14ac:dyDescent="0.15"/>
    <row r="24971" s="76" customFormat="1" ht="21.95" customHeight="1" x14ac:dyDescent="0.15"/>
    <row r="24972" s="76" customFormat="1" ht="21.95" customHeight="1" x14ac:dyDescent="0.15"/>
    <row r="24973" s="76" customFormat="1" ht="21.95" customHeight="1" x14ac:dyDescent="0.15"/>
    <row r="24974" s="76" customFormat="1" ht="21.95" customHeight="1" x14ac:dyDescent="0.15"/>
    <row r="24975" s="76" customFormat="1" ht="21.95" customHeight="1" x14ac:dyDescent="0.15"/>
    <row r="24976" s="76" customFormat="1" ht="21.95" customHeight="1" x14ac:dyDescent="0.15"/>
    <row r="24977" spans="3:3" customFormat="1" ht="21.95" customHeight="1" x14ac:dyDescent="0.15"/>
    <row r="24978" spans="3:3" customFormat="1" ht="21.95" customHeight="1" x14ac:dyDescent="0.15"/>
    <row r="24979" spans="3:3" customFormat="1" ht="21.95" customHeight="1" x14ac:dyDescent="0.15">
      <c r="C24979" s="94"/>
    </row>
    <row r="24980" spans="3:3" customFormat="1" ht="21.95" customHeight="1" x14ac:dyDescent="0.15">
      <c r="C24980" s="94"/>
    </row>
    <row r="24981" spans="3:3" customFormat="1" ht="21.95" customHeight="1" x14ac:dyDescent="0.15"/>
    <row r="24982" spans="3:3" customFormat="1" ht="21.95" customHeight="1" x14ac:dyDescent="0.15"/>
    <row r="24983" spans="3:3" customFormat="1" ht="21.95" customHeight="1" x14ac:dyDescent="0.15"/>
    <row r="24984" spans="3:3" customFormat="1" ht="21.95" customHeight="1" x14ac:dyDescent="0.15"/>
    <row r="24985" spans="3:3" customFormat="1" ht="21.95" customHeight="1" x14ac:dyDescent="0.15"/>
    <row r="24986" spans="3:3" customFormat="1" ht="21.95" customHeight="1" x14ac:dyDescent="0.15"/>
    <row r="24987" spans="3:3" customFormat="1" ht="21.95" customHeight="1" x14ac:dyDescent="0.15"/>
    <row r="24988" spans="3:3" s="76" customFormat="1" ht="21.95" customHeight="1" x14ac:dyDescent="0.15"/>
    <row r="24989" spans="3:3" s="76" customFormat="1" ht="21.95" customHeight="1" x14ac:dyDescent="0.15"/>
    <row r="24990" spans="3:3" s="76" customFormat="1" ht="21.95" customHeight="1" x14ac:dyDescent="0.15"/>
    <row r="24991" spans="3:3" s="76" customFormat="1" ht="21.95" customHeight="1" x14ac:dyDescent="0.15"/>
    <row r="24992" spans="3:3" customFormat="1" ht="21.95" customHeight="1" x14ac:dyDescent="0.15"/>
    <row r="24993" customFormat="1" ht="21.95" customHeight="1" x14ac:dyDescent="0.15"/>
    <row r="24994" customFormat="1" ht="21.95" customHeight="1" x14ac:dyDescent="0.15"/>
    <row r="24995" customFormat="1" ht="21.95" customHeight="1" x14ac:dyDescent="0.15"/>
    <row r="24996" customFormat="1" ht="21.95" customHeight="1" x14ac:dyDescent="0.15"/>
    <row r="24997" customFormat="1" ht="21.95" customHeight="1" x14ac:dyDescent="0.15"/>
    <row r="24998" customFormat="1" ht="21.95" customHeight="1" x14ac:dyDescent="0.15"/>
    <row r="24999" customFormat="1" ht="21.95" customHeight="1" x14ac:dyDescent="0.15"/>
    <row r="25000" customFormat="1" ht="21.95" customHeight="1" x14ac:dyDescent="0.15"/>
    <row r="25001" customFormat="1" ht="21.95" customHeight="1" x14ac:dyDescent="0.15"/>
    <row r="25002" customFormat="1" ht="21.95" customHeight="1" x14ac:dyDescent="0.15"/>
    <row r="25003" customFormat="1" ht="32.1" customHeight="1" x14ac:dyDescent="0.15"/>
    <row r="25004" customFormat="1" ht="32.1" customHeight="1" x14ac:dyDescent="0.15"/>
    <row r="25005" customFormat="1" ht="32.1" customHeight="1" x14ac:dyDescent="0.15"/>
    <row r="25006" customFormat="1" ht="32.1" customHeight="1" x14ac:dyDescent="0.15"/>
    <row r="25007" customFormat="1" ht="32.1" customHeight="1" x14ac:dyDescent="0.15"/>
    <row r="25008" customFormat="1" ht="32.1" customHeight="1" x14ac:dyDescent="0.15"/>
    <row r="25009" s="76" customFormat="1" ht="32.1" customHeight="1" x14ac:dyDescent="0.15"/>
    <row r="25010" s="76" customFormat="1" ht="32.1" customHeight="1" x14ac:dyDescent="0.15"/>
    <row r="25011" s="76" customFormat="1" ht="32.1" customHeight="1" x14ac:dyDescent="0.15"/>
    <row r="25012" s="76" customFormat="1" ht="32.1" customHeight="1" x14ac:dyDescent="0.15"/>
    <row r="25013" s="76" customFormat="1" ht="21.95" customHeight="1" x14ac:dyDescent="0.15"/>
    <row r="25014" s="76" customFormat="1" ht="54" customHeight="1" x14ac:dyDescent="0.15"/>
    <row r="25015" s="76" customFormat="1" ht="21.95" customHeight="1" x14ac:dyDescent="0.15"/>
    <row r="25016" s="76" customFormat="1" ht="21.95" customHeight="1" x14ac:dyDescent="0.15"/>
    <row r="25017" s="76" customFormat="1" ht="21.95" customHeight="1" x14ac:dyDescent="0.15"/>
    <row r="25018" s="76" customFormat="1" ht="21.95" customHeight="1" x14ac:dyDescent="0.15"/>
    <row r="25019" s="76" customFormat="1" ht="21.95" customHeight="1" x14ac:dyDescent="0.15"/>
    <row r="25020" s="76" customFormat="1" ht="21.95" customHeight="1" x14ac:dyDescent="0.15"/>
    <row r="25021" s="76" customFormat="1" ht="21.95" customHeight="1" x14ac:dyDescent="0.15"/>
    <row r="25022" s="76" customFormat="1" ht="21.95" customHeight="1" x14ac:dyDescent="0.15"/>
    <row r="25023" s="76" customFormat="1" ht="21.95" customHeight="1" x14ac:dyDescent="0.15"/>
    <row r="25024" s="76" customFormat="1" ht="21.95" customHeight="1" x14ac:dyDescent="0.15"/>
    <row r="25025" s="76" customFormat="1" ht="21.95" customHeight="1" x14ac:dyDescent="0.15"/>
    <row r="25026" s="76" customFormat="1" ht="21.95" customHeight="1" x14ac:dyDescent="0.15"/>
    <row r="25027" s="76" customFormat="1" ht="21.95" customHeight="1" x14ac:dyDescent="0.15"/>
    <row r="25028" s="76" customFormat="1" ht="21.95" customHeight="1" x14ac:dyDescent="0.15"/>
    <row r="25029" s="76" customFormat="1" ht="21.95" customHeight="1" x14ac:dyDescent="0.15"/>
    <row r="25030" s="76" customFormat="1" ht="21.95" customHeight="1" x14ac:dyDescent="0.15"/>
    <row r="25031" s="76" customFormat="1" ht="21.95" customHeight="1" x14ac:dyDescent="0.15"/>
    <row r="25032" s="76" customFormat="1" ht="21.95" customHeight="1" x14ac:dyDescent="0.15"/>
    <row r="25033" s="76" customFormat="1" ht="21.95" customHeight="1" x14ac:dyDescent="0.15"/>
    <row r="25034" s="76" customFormat="1" ht="21.95" customHeight="1" x14ac:dyDescent="0.15"/>
    <row r="25035" s="76" customFormat="1" ht="21.95" customHeight="1" x14ac:dyDescent="0.15"/>
    <row r="25036" s="76" customFormat="1" ht="21.95" customHeight="1" x14ac:dyDescent="0.15"/>
    <row r="25037" s="76" customFormat="1" ht="21.95" customHeight="1" x14ac:dyDescent="0.15"/>
    <row r="25038" s="76" customFormat="1" ht="21.95" customHeight="1" x14ac:dyDescent="0.15"/>
    <row r="25039" s="76" customFormat="1" ht="21.95" customHeight="1" x14ac:dyDescent="0.15"/>
    <row r="25040" s="76" customFormat="1" ht="21.95" customHeight="1" x14ac:dyDescent="0.15"/>
    <row r="25041" s="76" customFormat="1" ht="21.95" customHeight="1" x14ac:dyDescent="0.15"/>
    <row r="25042" s="76" customFormat="1" ht="21.95" customHeight="1" x14ac:dyDescent="0.15"/>
    <row r="25043" s="76" customFormat="1" ht="21.95" customHeight="1" x14ac:dyDescent="0.15"/>
    <row r="25044" s="76" customFormat="1" ht="21.95" customHeight="1" x14ac:dyDescent="0.15"/>
    <row r="25045" s="76" customFormat="1" ht="21.95" customHeight="1" x14ac:dyDescent="0.15"/>
    <row r="25046" s="76" customFormat="1" ht="21.95" customHeight="1" x14ac:dyDescent="0.15"/>
    <row r="25047" s="76" customFormat="1" ht="21.95" customHeight="1" x14ac:dyDescent="0.15"/>
    <row r="25048" s="76" customFormat="1" ht="21.95" customHeight="1" x14ac:dyDescent="0.15"/>
    <row r="25049" s="76" customFormat="1" ht="21.95" customHeight="1" x14ac:dyDescent="0.15"/>
    <row r="25050" s="76" customFormat="1" ht="21.95" customHeight="1" x14ac:dyDescent="0.15"/>
    <row r="25051" s="76" customFormat="1" ht="21.95" customHeight="1" x14ac:dyDescent="0.15"/>
    <row r="25052" s="76" customFormat="1" ht="21.95" customHeight="1" x14ac:dyDescent="0.15"/>
    <row r="25053" s="76" customFormat="1" ht="21.95" customHeight="1" x14ac:dyDescent="0.15"/>
    <row r="25054" s="76" customFormat="1" ht="21.95" customHeight="1" x14ac:dyDescent="0.15"/>
    <row r="25055" s="76" customFormat="1" ht="21.95" customHeight="1" x14ac:dyDescent="0.15"/>
    <row r="25056" s="76" customFormat="1" ht="21.95" customHeight="1" x14ac:dyDescent="0.15"/>
    <row r="25057" s="76" customFormat="1" ht="21.95" customHeight="1" x14ac:dyDescent="0.15"/>
    <row r="25058" s="76" customFormat="1" ht="21.95" customHeight="1" x14ac:dyDescent="0.15"/>
    <row r="25059" s="76" customFormat="1" ht="21.95" customHeight="1" x14ac:dyDescent="0.15"/>
    <row r="25060" s="76" customFormat="1" ht="21.95" customHeight="1" x14ac:dyDescent="0.15"/>
    <row r="25061" s="76" customFormat="1" ht="21.95" customHeight="1" x14ac:dyDescent="0.15"/>
    <row r="25062" s="76" customFormat="1" ht="21.95" customHeight="1" x14ac:dyDescent="0.15"/>
    <row r="25063" s="76" customFormat="1" ht="21.95" customHeight="1" x14ac:dyDescent="0.15"/>
    <row r="25064" s="76" customFormat="1" ht="21.95" customHeight="1" x14ac:dyDescent="0.15"/>
    <row r="25065" s="76" customFormat="1" ht="35.1" customHeight="1" x14ac:dyDescent="0.15"/>
    <row r="25066" s="76" customFormat="1" ht="21.95" customHeight="1" x14ac:dyDescent="0.15"/>
    <row r="25067" s="76" customFormat="1" ht="21.95" customHeight="1" x14ac:dyDescent="0.15"/>
    <row r="25068" s="76" customFormat="1" ht="21.95" customHeight="1" x14ac:dyDescent="0.15"/>
    <row r="25069" s="76" customFormat="1" ht="21.95" customHeight="1" x14ac:dyDescent="0.15"/>
    <row r="25070" s="76" customFormat="1" ht="21.95" customHeight="1" x14ac:dyDescent="0.15"/>
    <row r="25071" s="76" customFormat="1" ht="21.95" customHeight="1" x14ac:dyDescent="0.15"/>
    <row r="25072" s="76" customFormat="1" ht="21.95" customHeight="1" x14ac:dyDescent="0.15"/>
    <row r="25073" s="76" customFormat="1" ht="21.95" customHeight="1" x14ac:dyDescent="0.15"/>
    <row r="25074" s="76" customFormat="1" ht="21.95" customHeight="1" x14ac:dyDescent="0.15"/>
    <row r="25075" s="76" customFormat="1" ht="21.95" customHeight="1" x14ac:dyDescent="0.15"/>
    <row r="25076" s="76" customFormat="1" ht="21.95" customHeight="1" x14ac:dyDescent="0.15"/>
    <row r="25077" s="76" customFormat="1" ht="21.95" customHeight="1" x14ac:dyDescent="0.15"/>
    <row r="25078" s="76" customFormat="1" ht="21.95" customHeight="1" x14ac:dyDescent="0.15"/>
    <row r="25079" s="76" customFormat="1" ht="21.95" customHeight="1" x14ac:dyDescent="0.15"/>
    <row r="25080" s="76" customFormat="1" ht="21.95" customHeight="1" x14ac:dyDescent="0.15"/>
    <row r="25081" s="76" customFormat="1" ht="21.95" customHeight="1" x14ac:dyDescent="0.15"/>
    <row r="25082" s="76" customFormat="1" ht="21.95" customHeight="1" x14ac:dyDescent="0.15"/>
    <row r="25083" s="76" customFormat="1" ht="21.95" customHeight="1" x14ac:dyDescent="0.15"/>
    <row r="25084" s="76" customFormat="1" ht="21.95" customHeight="1" x14ac:dyDescent="0.15"/>
    <row r="25085" s="76" customFormat="1" ht="21.95" customHeight="1" x14ac:dyDescent="0.15"/>
    <row r="25086" s="76" customFormat="1" ht="21.95" customHeight="1" x14ac:dyDescent="0.15"/>
    <row r="25087" s="76" customFormat="1" ht="21.95" customHeight="1" x14ac:dyDescent="0.15"/>
    <row r="25088" s="76" customFormat="1" ht="21.95" customHeight="1" x14ac:dyDescent="0.15"/>
    <row r="25089" spans="3:3" customFormat="1" ht="21.95" customHeight="1" x14ac:dyDescent="0.15"/>
    <row r="25090" spans="3:3" customFormat="1" ht="21.95" customHeight="1" x14ac:dyDescent="0.15"/>
    <row r="25091" spans="3:3" customFormat="1" ht="21.95" customHeight="1" x14ac:dyDescent="0.15">
      <c r="C25091" s="94"/>
    </row>
    <row r="25092" spans="3:3" customFormat="1" ht="21.95" customHeight="1" x14ac:dyDescent="0.15">
      <c r="C25092" s="94"/>
    </row>
    <row r="25093" spans="3:3" customFormat="1" ht="21.95" customHeight="1" x14ac:dyDescent="0.15"/>
    <row r="25094" spans="3:3" customFormat="1" ht="21.95" customHeight="1" x14ac:dyDescent="0.15"/>
    <row r="25095" spans="3:3" customFormat="1" ht="21.95" customHeight="1" x14ac:dyDescent="0.15"/>
    <row r="25096" spans="3:3" customFormat="1" ht="21.95" customHeight="1" x14ac:dyDescent="0.15"/>
    <row r="25097" spans="3:3" customFormat="1" ht="21.95" customHeight="1" x14ac:dyDescent="0.15"/>
    <row r="25098" spans="3:3" customFormat="1" ht="21.95" customHeight="1" x14ac:dyDescent="0.15"/>
    <row r="25099" spans="3:3" customFormat="1" ht="21.95" customHeight="1" x14ac:dyDescent="0.15"/>
    <row r="25100" spans="3:3" s="76" customFormat="1" ht="21.95" customHeight="1" x14ac:dyDescent="0.15"/>
    <row r="25101" spans="3:3" s="76" customFormat="1" ht="21.95" customHeight="1" x14ac:dyDescent="0.15"/>
    <row r="25102" spans="3:3" s="76" customFormat="1" ht="21.95" customHeight="1" x14ac:dyDescent="0.15"/>
    <row r="25103" spans="3:3" s="76" customFormat="1" ht="21.95" customHeight="1" x14ac:dyDescent="0.15"/>
    <row r="25104" spans="3:3" customFormat="1" ht="21.95" customHeight="1" x14ac:dyDescent="0.15"/>
    <row r="25105" customFormat="1" ht="21.95" customHeight="1" x14ac:dyDescent="0.15"/>
    <row r="25106" customFormat="1" ht="21.95" customHeight="1" x14ac:dyDescent="0.15"/>
    <row r="25107" customFormat="1" ht="21.95" customHeight="1" x14ac:dyDescent="0.15"/>
    <row r="25108" customFormat="1" ht="21.95" customHeight="1" x14ac:dyDescent="0.15"/>
    <row r="25109" customFormat="1" ht="21.95" customHeight="1" x14ac:dyDescent="0.15"/>
    <row r="25110" customFormat="1" ht="21.95" customHeight="1" x14ac:dyDescent="0.15"/>
    <row r="25111" customFormat="1" ht="21.95" customHeight="1" x14ac:dyDescent="0.15"/>
    <row r="25112" customFormat="1" ht="21.95" customHeight="1" x14ac:dyDescent="0.15"/>
    <row r="25113" customFormat="1" ht="21.95" customHeight="1" x14ac:dyDescent="0.15"/>
    <row r="25114" customFormat="1" ht="21.95" customHeight="1" x14ac:dyDescent="0.15"/>
    <row r="25115" customFormat="1" ht="32.1" customHeight="1" x14ac:dyDescent="0.15"/>
    <row r="25116" customFormat="1" ht="32.1" customHeight="1" x14ac:dyDescent="0.15"/>
    <row r="25117" customFormat="1" ht="32.1" customHeight="1" x14ac:dyDescent="0.15"/>
    <row r="25118" customFormat="1" ht="32.1" customHeight="1" x14ac:dyDescent="0.15"/>
    <row r="25119" customFormat="1" ht="32.1" customHeight="1" x14ac:dyDescent="0.15"/>
    <row r="25120" customFormat="1" ht="32.1" customHeight="1" x14ac:dyDescent="0.15"/>
    <row r="25121" s="76" customFormat="1" ht="32.1" customHeight="1" x14ac:dyDescent="0.15"/>
    <row r="25122" s="76" customFormat="1" ht="32.1" customHeight="1" x14ac:dyDescent="0.15"/>
    <row r="25123" s="76" customFormat="1" ht="32.1" customHeight="1" x14ac:dyDescent="0.15"/>
    <row r="25124" s="76" customFormat="1" ht="32.1" customHeight="1" x14ac:dyDescent="0.15"/>
    <row r="25125" s="76" customFormat="1" ht="21.95" customHeight="1" x14ac:dyDescent="0.15"/>
    <row r="25126" s="76" customFormat="1" ht="54" customHeight="1" x14ac:dyDescent="0.15"/>
    <row r="25127" s="76" customFormat="1" ht="21.95" customHeight="1" x14ac:dyDescent="0.15"/>
    <row r="25128" s="76" customFormat="1" ht="21.95" customHeight="1" x14ac:dyDescent="0.15"/>
    <row r="25129" s="76" customFormat="1" ht="21.95" customHeight="1" x14ac:dyDescent="0.15"/>
    <row r="25130" s="76" customFormat="1" ht="21.95" customHeight="1" x14ac:dyDescent="0.15"/>
    <row r="25131" s="76" customFormat="1" ht="21.95" customHeight="1" x14ac:dyDescent="0.15"/>
    <row r="25132" s="76" customFormat="1" ht="21.95" customHeight="1" x14ac:dyDescent="0.15"/>
    <row r="25133" s="76" customFormat="1" ht="21.95" customHeight="1" x14ac:dyDescent="0.15"/>
    <row r="25134" s="76" customFormat="1" ht="21.95" customHeight="1" x14ac:dyDescent="0.15"/>
    <row r="25135" s="76" customFormat="1" ht="21.95" customHeight="1" x14ac:dyDescent="0.15"/>
    <row r="25136" s="76" customFormat="1" ht="21.95" customHeight="1" x14ac:dyDescent="0.15"/>
    <row r="25137" s="76" customFormat="1" ht="21.95" customHeight="1" x14ac:dyDescent="0.15"/>
    <row r="25138" s="76" customFormat="1" ht="21.95" customHeight="1" x14ac:dyDescent="0.15"/>
    <row r="25139" s="76" customFormat="1" ht="21.95" customHeight="1" x14ac:dyDescent="0.15"/>
    <row r="25140" s="76" customFormat="1" ht="21.95" customHeight="1" x14ac:dyDescent="0.15"/>
    <row r="25141" s="76" customFormat="1" ht="21.95" customHeight="1" x14ac:dyDescent="0.15"/>
    <row r="25142" s="76" customFormat="1" ht="21.95" customHeight="1" x14ac:dyDescent="0.15"/>
    <row r="25143" s="76" customFormat="1" ht="21.95" customHeight="1" x14ac:dyDescent="0.15"/>
    <row r="25144" s="76" customFormat="1" ht="21.95" customHeight="1" x14ac:dyDescent="0.15"/>
    <row r="25145" s="76" customFormat="1" ht="21.95" customHeight="1" x14ac:dyDescent="0.15"/>
    <row r="25146" s="76" customFormat="1" ht="21.95" customHeight="1" x14ac:dyDescent="0.15"/>
    <row r="25147" s="76" customFormat="1" ht="21.95" customHeight="1" x14ac:dyDescent="0.15"/>
    <row r="25148" s="76" customFormat="1" ht="21.95" customHeight="1" x14ac:dyDescent="0.15"/>
    <row r="25149" s="76" customFormat="1" ht="21.95" customHeight="1" x14ac:dyDescent="0.15"/>
    <row r="25150" s="76" customFormat="1" ht="21.95" customHeight="1" x14ac:dyDescent="0.15"/>
    <row r="25151" s="76" customFormat="1" ht="21.95" customHeight="1" x14ac:dyDescent="0.15"/>
    <row r="25152" s="76" customFormat="1" ht="21.95" customHeight="1" x14ac:dyDescent="0.15"/>
    <row r="25153" s="76" customFormat="1" ht="21.95" customHeight="1" x14ac:dyDescent="0.15"/>
    <row r="25154" s="76" customFormat="1" ht="21.95" customHeight="1" x14ac:dyDescent="0.15"/>
    <row r="25155" s="76" customFormat="1" ht="21.95" customHeight="1" x14ac:dyDescent="0.15"/>
    <row r="25156" s="76" customFormat="1" ht="21.95" customHeight="1" x14ac:dyDescent="0.15"/>
    <row r="25157" s="76" customFormat="1" ht="21.95" customHeight="1" x14ac:dyDescent="0.15"/>
    <row r="25158" s="76" customFormat="1" ht="21.95" customHeight="1" x14ac:dyDescent="0.15"/>
    <row r="25159" s="76" customFormat="1" ht="21.95" customHeight="1" x14ac:dyDescent="0.15"/>
    <row r="25160" s="76" customFormat="1" ht="21.95" customHeight="1" x14ac:dyDescent="0.15"/>
    <row r="25161" s="76" customFormat="1" ht="21.95" customHeight="1" x14ac:dyDescent="0.15"/>
    <row r="25162" s="76" customFormat="1" ht="21.95" customHeight="1" x14ac:dyDescent="0.15"/>
    <row r="25163" s="76" customFormat="1" ht="21.95" customHeight="1" x14ac:dyDescent="0.15"/>
    <row r="25164" s="76" customFormat="1" ht="21.95" customHeight="1" x14ac:dyDescent="0.15"/>
    <row r="25165" s="76" customFormat="1" ht="21.95" customHeight="1" x14ac:dyDescent="0.15"/>
    <row r="25166" s="76" customFormat="1" ht="21.95" customHeight="1" x14ac:dyDescent="0.15"/>
    <row r="25167" s="76" customFormat="1" ht="21.95" customHeight="1" x14ac:dyDescent="0.15"/>
    <row r="25168" s="76" customFormat="1" ht="21.95" customHeight="1" x14ac:dyDescent="0.15"/>
    <row r="25169" s="76" customFormat="1" ht="21.95" customHeight="1" x14ac:dyDescent="0.15"/>
    <row r="25170" s="76" customFormat="1" ht="21.95" customHeight="1" x14ac:dyDescent="0.15"/>
    <row r="25171" s="76" customFormat="1" ht="21.95" customHeight="1" x14ac:dyDescent="0.15"/>
    <row r="25172" s="76" customFormat="1" ht="21.95" customHeight="1" x14ac:dyDescent="0.15"/>
    <row r="25173" s="76" customFormat="1" ht="21.95" customHeight="1" x14ac:dyDescent="0.15"/>
    <row r="25174" s="76" customFormat="1" ht="21.95" customHeight="1" x14ac:dyDescent="0.15"/>
    <row r="25175" s="76" customFormat="1" ht="21.95" customHeight="1" x14ac:dyDescent="0.15"/>
    <row r="25176" s="76" customFormat="1" ht="21.95" customHeight="1" x14ac:dyDescent="0.15"/>
    <row r="25177" s="76" customFormat="1" ht="35.1" customHeight="1" x14ac:dyDescent="0.15"/>
    <row r="25178" s="76" customFormat="1" ht="21.95" customHeight="1" x14ac:dyDescent="0.15"/>
    <row r="25179" s="76" customFormat="1" ht="21.95" customHeight="1" x14ac:dyDescent="0.15"/>
    <row r="25180" s="76" customFormat="1" ht="21.95" customHeight="1" x14ac:dyDescent="0.15"/>
    <row r="25181" s="76" customFormat="1" ht="21.95" customHeight="1" x14ac:dyDescent="0.15"/>
    <row r="25182" s="76" customFormat="1" ht="21.95" customHeight="1" x14ac:dyDescent="0.15"/>
    <row r="25183" s="76" customFormat="1" ht="21.95" customHeight="1" x14ac:dyDescent="0.15"/>
    <row r="25184" s="76" customFormat="1" ht="21.95" customHeight="1" x14ac:dyDescent="0.15"/>
    <row r="25185" s="76" customFormat="1" ht="21.95" customHeight="1" x14ac:dyDescent="0.15"/>
    <row r="25186" s="76" customFormat="1" ht="21.95" customHeight="1" x14ac:dyDescent="0.15"/>
    <row r="25187" s="76" customFormat="1" ht="21.95" customHeight="1" x14ac:dyDescent="0.15"/>
    <row r="25188" s="76" customFormat="1" ht="21.95" customHeight="1" x14ac:dyDescent="0.15"/>
    <row r="25189" s="76" customFormat="1" ht="21.95" customHeight="1" x14ac:dyDescent="0.15"/>
    <row r="25190" s="76" customFormat="1" ht="21.95" customHeight="1" x14ac:dyDescent="0.15"/>
    <row r="25191" s="76" customFormat="1" ht="21.95" customHeight="1" x14ac:dyDescent="0.15"/>
    <row r="25192" s="76" customFormat="1" ht="21.95" customHeight="1" x14ac:dyDescent="0.15"/>
    <row r="25193" s="76" customFormat="1" ht="21.95" customHeight="1" x14ac:dyDescent="0.15"/>
    <row r="25194" s="76" customFormat="1" ht="21.95" customHeight="1" x14ac:dyDescent="0.15"/>
    <row r="25195" s="76" customFormat="1" ht="21.95" customHeight="1" x14ac:dyDescent="0.15"/>
    <row r="25196" s="76" customFormat="1" ht="21.95" customHeight="1" x14ac:dyDescent="0.15"/>
    <row r="25197" s="76" customFormat="1" ht="21.95" customHeight="1" x14ac:dyDescent="0.15"/>
    <row r="25198" s="76" customFormat="1" ht="21.95" customHeight="1" x14ac:dyDescent="0.15"/>
    <row r="25199" s="76" customFormat="1" ht="21.95" customHeight="1" x14ac:dyDescent="0.15"/>
    <row r="25200" s="76" customFormat="1" ht="21.95" customHeight="1" x14ac:dyDescent="0.15"/>
    <row r="25201" spans="3:3" customFormat="1" ht="21.95" customHeight="1" x14ac:dyDescent="0.15"/>
    <row r="25202" spans="3:3" customFormat="1" ht="21.95" customHeight="1" x14ac:dyDescent="0.15"/>
    <row r="25203" spans="3:3" customFormat="1" ht="21.95" customHeight="1" x14ac:dyDescent="0.15">
      <c r="C25203" s="94"/>
    </row>
    <row r="25204" spans="3:3" customFormat="1" ht="21.95" customHeight="1" x14ac:dyDescent="0.15">
      <c r="C25204" s="94"/>
    </row>
    <row r="25205" spans="3:3" customFormat="1" ht="21.95" customHeight="1" x14ac:dyDescent="0.15"/>
    <row r="25206" spans="3:3" customFormat="1" ht="21.95" customHeight="1" x14ac:dyDescent="0.15"/>
    <row r="25207" spans="3:3" customFormat="1" ht="21.95" customHeight="1" x14ac:dyDescent="0.15"/>
    <row r="25208" spans="3:3" customFormat="1" ht="21.95" customHeight="1" x14ac:dyDescent="0.15"/>
    <row r="25209" spans="3:3" customFormat="1" ht="21.95" customHeight="1" x14ac:dyDescent="0.15"/>
    <row r="25210" spans="3:3" customFormat="1" ht="21.95" customHeight="1" x14ac:dyDescent="0.15"/>
    <row r="25211" spans="3:3" customFormat="1" ht="21.95" customHeight="1" x14ac:dyDescent="0.15"/>
    <row r="25212" spans="3:3" s="76" customFormat="1" ht="21.95" customHeight="1" x14ac:dyDescent="0.15"/>
    <row r="25213" spans="3:3" s="76" customFormat="1" ht="21.95" customHeight="1" x14ac:dyDescent="0.15"/>
    <row r="25214" spans="3:3" s="76" customFormat="1" ht="21.95" customHeight="1" x14ac:dyDescent="0.15"/>
    <row r="25215" spans="3:3" s="76" customFormat="1" ht="21.95" customHeight="1" x14ac:dyDescent="0.15"/>
    <row r="25216" spans="3:3" customFormat="1" ht="21.95" customHeight="1" x14ac:dyDescent="0.15"/>
    <row r="25217" customFormat="1" ht="21.95" customHeight="1" x14ac:dyDescent="0.15"/>
    <row r="25218" customFormat="1" ht="21.95" customHeight="1" x14ac:dyDescent="0.15"/>
    <row r="25219" customFormat="1" ht="21.95" customHeight="1" x14ac:dyDescent="0.15"/>
    <row r="25220" customFormat="1" ht="21.95" customHeight="1" x14ac:dyDescent="0.15"/>
    <row r="25221" customFormat="1" ht="21.95" customHeight="1" x14ac:dyDescent="0.15"/>
    <row r="25222" customFormat="1" ht="21.95" customHeight="1" x14ac:dyDescent="0.15"/>
    <row r="25223" customFormat="1" ht="21.95" customHeight="1" x14ac:dyDescent="0.15"/>
    <row r="25224" customFormat="1" ht="21.95" customHeight="1" x14ac:dyDescent="0.15"/>
    <row r="25225" customFormat="1" ht="21.95" customHeight="1" x14ac:dyDescent="0.15"/>
    <row r="25226" customFormat="1" ht="21.95" customHeight="1" x14ac:dyDescent="0.15"/>
    <row r="25227" customFormat="1" ht="32.1" customHeight="1" x14ac:dyDescent="0.15"/>
    <row r="25228" customFormat="1" ht="32.1" customHeight="1" x14ac:dyDescent="0.15"/>
    <row r="25229" customFormat="1" ht="32.1" customHeight="1" x14ac:dyDescent="0.15"/>
    <row r="25230" customFormat="1" ht="32.1" customHeight="1" x14ac:dyDescent="0.15"/>
    <row r="25231" customFormat="1" ht="32.1" customHeight="1" x14ac:dyDescent="0.15"/>
    <row r="25232" customFormat="1" ht="32.1" customHeight="1" x14ac:dyDescent="0.15"/>
    <row r="25233" s="76" customFormat="1" ht="32.1" customHeight="1" x14ac:dyDescent="0.15"/>
    <row r="25234" s="76" customFormat="1" ht="32.1" customHeight="1" x14ac:dyDescent="0.15"/>
    <row r="25235" s="76" customFormat="1" ht="32.1" customHeight="1" x14ac:dyDescent="0.15"/>
    <row r="25236" s="76" customFormat="1" ht="32.1" customHeight="1" x14ac:dyDescent="0.15"/>
    <row r="25237" s="76" customFormat="1" ht="21.95" customHeight="1" x14ac:dyDescent="0.15"/>
    <row r="25238" s="76" customFormat="1" ht="54" customHeight="1" x14ac:dyDescent="0.15"/>
    <row r="25239" s="76" customFormat="1" ht="21.95" customHeight="1" x14ac:dyDescent="0.15"/>
    <row r="25240" s="76" customFormat="1" ht="21.95" customHeight="1" x14ac:dyDescent="0.15"/>
    <row r="25241" s="76" customFormat="1" ht="21.95" customHeight="1" x14ac:dyDescent="0.15"/>
    <row r="25242" s="76" customFormat="1" ht="21.95" customHeight="1" x14ac:dyDescent="0.15"/>
    <row r="25243" s="76" customFormat="1" ht="21.95" customHeight="1" x14ac:dyDescent="0.15"/>
    <row r="25244" s="76" customFormat="1" ht="21.95" customHeight="1" x14ac:dyDescent="0.15"/>
    <row r="25245" s="76" customFormat="1" ht="21.95" customHeight="1" x14ac:dyDescent="0.15"/>
    <row r="25246" s="76" customFormat="1" ht="21.95" customHeight="1" x14ac:dyDescent="0.15"/>
    <row r="25247" s="76" customFormat="1" ht="21.95" customHeight="1" x14ac:dyDescent="0.15"/>
    <row r="25248" s="76" customFormat="1" ht="21.95" customHeight="1" x14ac:dyDescent="0.15"/>
    <row r="25249" s="76" customFormat="1" ht="21.95" customHeight="1" x14ac:dyDescent="0.15"/>
    <row r="25250" s="76" customFormat="1" ht="21.95" customHeight="1" x14ac:dyDescent="0.15"/>
    <row r="25251" s="76" customFormat="1" ht="21.95" customHeight="1" x14ac:dyDescent="0.15"/>
    <row r="25252" s="76" customFormat="1" ht="21.95" customHeight="1" x14ac:dyDescent="0.15"/>
    <row r="25253" s="76" customFormat="1" ht="21.95" customHeight="1" x14ac:dyDescent="0.15"/>
    <row r="25254" s="76" customFormat="1" ht="21.95" customHeight="1" x14ac:dyDescent="0.15"/>
    <row r="25255" s="76" customFormat="1" ht="21.95" customHeight="1" x14ac:dyDescent="0.15"/>
    <row r="25256" s="76" customFormat="1" ht="21.95" customHeight="1" x14ac:dyDescent="0.15"/>
    <row r="25257" s="76" customFormat="1" ht="21.95" customHeight="1" x14ac:dyDescent="0.15"/>
    <row r="25258" s="76" customFormat="1" ht="21.95" customHeight="1" x14ac:dyDescent="0.15"/>
    <row r="25259" s="76" customFormat="1" ht="21.95" customHeight="1" x14ac:dyDescent="0.15"/>
    <row r="25260" s="76" customFormat="1" ht="21.95" customHeight="1" x14ac:dyDescent="0.15"/>
    <row r="25261" s="76" customFormat="1" ht="21.95" customHeight="1" x14ac:dyDescent="0.15"/>
    <row r="25262" s="76" customFormat="1" ht="21.95" customHeight="1" x14ac:dyDescent="0.15"/>
    <row r="25263" s="76" customFormat="1" ht="21.95" customHeight="1" x14ac:dyDescent="0.15"/>
    <row r="25264" s="76" customFormat="1" ht="21.95" customHeight="1" x14ac:dyDescent="0.15"/>
    <row r="25265" s="76" customFormat="1" ht="21.95" customHeight="1" x14ac:dyDescent="0.15"/>
    <row r="25266" s="76" customFormat="1" ht="21.95" customHeight="1" x14ac:dyDescent="0.15"/>
    <row r="25267" s="76" customFormat="1" ht="21.95" customHeight="1" x14ac:dyDescent="0.15"/>
    <row r="25268" s="76" customFormat="1" ht="21.95" customHeight="1" x14ac:dyDescent="0.15"/>
    <row r="25269" s="76" customFormat="1" ht="21.95" customHeight="1" x14ac:dyDescent="0.15"/>
    <row r="25270" s="76" customFormat="1" ht="21.95" customHeight="1" x14ac:dyDescent="0.15"/>
    <row r="25271" s="76" customFormat="1" ht="21.95" customHeight="1" x14ac:dyDescent="0.15"/>
    <row r="25272" s="76" customFormat="1" ht="21.95" customHeight="1" x14ac:dyDescent="0.15"/>
    <row r="25273" s="76" customFormat="1" ht="21.95" customHeight="1" x14ac:dyDescent="0.15"/>
    <row r="25274" s="76" customFormat="1" ht="21.95" customHeight="1" x14ac:dyDescent="0.15"/>
    <row r="25275" s="76" customFormat="1" ht="21.95" customHeight="1" x14ac:dyDescent="0.15"/>
    <row r="25276" s="76" customFormat="1" ht="21.95" customHeight="1" x14ac:dyDescent="0.15"/>
    <row r="25277" s="76" customFormat="1" ht="21.95" customHeight="1" x14ac:dyDescent="0.15"/>
    <row r="25278" s="76" customFormat="1" ht="21.95" customHeight="1" x14ac:dyDescent="0.15"/>
    <row r="25279" s="76" customFormat="1" ht="21.95" customHeight="1" x14ac:dyDescent="0.15"/>
    <row r="25280" s="76" customFormat="1" ht="21.95" customHeight="1" x14ac:dyDescent="0.15"/>
    <row r="25281" s="76" customFormat="1" ht="21.95" customHeight="1" x14ac:dyDescent="0.15"/>
    <row r="25282" s="76" customFormat="1" ht="21.95" customHeight="1" x14ac:dyDescent="0.15"/>
    <row r="25283" s="76" customFormat="1" ht="21.95" customHeight="1" x14ac:dyDescent="0.15"/>
    <row r="25284" s="76" customFormat="1" ht="21.95" customHeight="1" x14ac:dyDescent="0.15"/>
    <row r="25285" s="76" customFormat="1" ht="21.95" customHeight="1" x14ac:dyDescent="0.15"/>
    <row r="25286" s="76" customFormat="1" ht="21.95" customHeight="1" x14ac:dyDescent="0.15"/>
    <row r="25287" s="76" customFormat="1" ht="21.95" customHeight="1" x14ac:dyDescent="0.15"/>
    <row r="25288" s="76" customFormat="1" ht="21.95" customHeight="1" x14ac:dyDescent="0.15"/>
    <row r="25289" s="76" customFormat="1" ht="35.1" customHeight="1" x14ac:dyDescent="0.15"/>
    <row r="25290" s="76" customFormat="1" ht="21.95" customHeight="1" x14ac:dyDescent="0.15"/>
    <row r="25291" s="76" customFormat="1" ht="21.95" customHeight="1" x14ac:dyDescent="0.15"/>
    <row r="25292" s="76" customFormat="1" ht="21.95" customHeight="1" x14ac:dyDescent="0.15"/>
    <row r="25293" s="76" customFormat="1" ht="21.95" customHeight="1" x14ac:dyDescent="0.15"/>
    <row r="25294" s="76" customFormat="1" ht="21.95" customHeight="1" x14ac:dyDescent="0.15"/>
    <row r="25295" s="76" customFormat="1" ht="21.95" customHeight="1" x14ac:dyDescent="0.15"/>
    <row r="25296" s="76" customFormat="1" ht="21.95" customHeight="1" x14ac:dyDescent="0.15"/>
    <row r="25297" s="76" customFormat="1" ht="21.95" customHeight="1" x14ac:dyDescent="0.15"/>
    <row r="25298" s="76" customFormat="1" ht="21.95" customHeight="1" x14ac:dyDescent="0.15"/>
    <row r="25299" s="76" customFormat="1" ht="21.95" customHeight="1" x14ac:dyDescent="0.15"/>
    <row r="25300" s="76" customFormat="1" ht="21.95" customHeight="1" x14ac:dyDescent="0.15"/>
    <row r="25301" s="76" customFormat="1" ht="21.95" customHeight="1" x14ac:dyDescent="0.15"/>
    <row r="25302" s="76" customFormat="1" ht="21.95" customHeight="1" x14ac:dyDescent="0.15"/>
    <row r="25303" s="76" customFormat="1" ht="21.95" customHeight="1" x14ac:dyDescent="0.15"/>
    <row r="25304" s="76" customFormat="1" ht="21.95" customHeight="1" x14ac:dyDescent="0.15"/>
    <row r="25305" s="76" customFormat="1" ht="21.95" customHeight="1" x14ac:dyDescent="0.15"/>
    <row r="25306" s="76" customFormat="1" ht="21.95" customHeight="1" x14ac:dyDescent="0.15"/>
    <row r="25307" s="76" customFormat="1" ht="21.95" customHeight="1" x14ac:dyDescent="0.15"/>
    <row r="25308" s="76" customFormat="1" ht="21.95" customHeight="1" x14ac:dyDescent="0.15"/>
    <row r="25309" s="76" customFormat="1" ht="21.95" customHeight="1" x14ac:dyDescent="0.15"/>
    <row r="25310" s="76" customFormat="1" ht="21.95" customHeight="1" x14ac:dyDescent="0.15"/>
    <row r="25311" s="76" customFormat="1" ht="21.95" customHeight="1" x14ac:dyDescent="0.15"/>
    <row r="25312" s="76" customFormat="1" ht="21.95" customHeight="1" x14ac:dyDescent="0.15"/>
    <row r="25313" spans="3:3" customFormat="1" ht="21.95" customHeight="1" x14ac:dyDescent="0.15"/>
    <row r="25314" spans="3:3" customFormat="1" ht="21.95" customHeight="1" x14ac:dyDescent="0.15"/>
    <row r="25315" spans="3:3" customFormat="1" ht="21.95" customHeight="1" x14ac:dyDescent="0.15">
      <c r="C25315" s="94"/>
    </row>
    <row r="25316" spans="3:3" customFormat="1" ht="21.95" customHeight="1" x14ac:dyDescent="0.15">
      <c r="C25316" s="94"/>
    </row>
    <row r="25317" spans="3:3" customFormat="1" ht="21.95" customHeight="1" x14ac:dyDescent="0.15"/>
    <row r="25318" spans="3:3" customFormat="1" ht="21.95" customHeight="1" x14ac:dyDescent="0.15"/>
    <row r="25319" spans="3:3" customFormat="1" ht="21.95" customHeight="1" x14ac:dyDescent="0.15"/>
    <row r="25320" spans="3:3" customFormat="1" ht="21.95" customHeight="1" x14ac:dyDescent="0.15"/>
    <row r="25321" spans="3:3" customFormat="1" ht="21.95" customHeight="1" x14ac:dyDescent="0.15"/>
    <row r="25322" spans="3:3" customFormat="1" ht="21.95" customHeight="1" x14ac:dyDescent="0.15"/>
    <row r="25323" spans="3:3" customFormat="1" ht="21.95" customHeight="1" x14ac:dyDescent="0.15"/>
    <row r="25324" spans="3:3" s="76" customFormat="1" ht="21.95" customHeight="1" x14ac:dyDescent="0.15"/>
    <row r="25325" spans="3:3" s="76" customFormat="1" ht="21.95" customHeight="1" x14ac:dyDescent="0.15"/>
    <row r="25326" spans="3:3" s="76" customFormat="1" ht="21.95" customHeight="1" x14ac:dyDescent="0.15"/>
    <row r="25327" spans="3:3" s="76" customFormat="1" ht="21.95" customHeight="1" x14ac:dyDescent="0.15"/>
    <row r="25328" spans="3:3" customFormat="1" ht="21.95" customHeight="1" x14ac:dyDescent="0.15"/>
    <row r="25329" customFormat="1" ht="21.95" customHeight="1" x14ac:dyDescent="0.15"/>
    <row r="25330" customFormat="1" ht="21.95" customHeight="1" x14ac:dyDescent="0.15"/>
    <row r="25331" customFormat="1" ht="21.95" customHeight="1" x14ac:dyDescent="0.15"/>
    <row r="25332" customFormat="1" ht="21.95" customHeight="1" x14ac:dyDescent="0.15"/>
    <row r="25333" customFormat="1" ht="21.95" customHeight="1" x14ac:dyDescent="0.15"/>
    <row r="25334" customFormat="1" ht="21.95" customHeight="1" x14ac:dyDescent="0.15"/>
    <row r="25335" customFormat="1" ht="21.95" customHeight="1" x14ac:dyDescent="0.15"/>
    <row r="25336" customFormat="1" ht="21.95" customHeight="1" x14ac:dyDescent="0.15"/>
    <row r="25337" customFormat="1" ht="21.95" customHeight="1" x14ac:dyDescent="0.15"/>
    <row r="25338" customFormat="1" ht="21.95" customHeight="1" x14ac:dyDescent="0.15"/>
    <row r="25339" customFormat="1" ht="32.1" customHeight="1" x14ac:dyDescent="0.15"/>
    <row r="25340" customFormat="1" ht="32.1" customHeight="1" x14ac:dyDescent="0.15"/>
    <row r="25341" customFormat="1" ht="32.1" customHeight="1" x14ac:dyDescent="0.15"/>
    <row r="25342" customFormat="1" ht="32.1" customHeight="1" x14ac:dyDescent="0.15"/>
    <row r="25343" customFormat="1" ht="32.1" customHeight="1" x14ac:dyDescent="0.15"/>
    <row r="25344" customFormat="1" ht="32.1" customHeight="1" x14ac:dyDescent="0.15"/>
    <row r="25345" s="76" customFormat="1" ht="32.1" customHeight="1" x14ac:dyDescent="0.15"/>
    <row r="25346" s="76" customFormat="1" ht="32.1" customHeight="1" x14ac:dyDescent="0.15"/>
    <row r="25347" s="76" customFormat="1" ht="32.1" customHeight="1" x14ac:dyDescent="0.15"/>
    <row r="25348" s="76" customFormat="1" ht="32.1" customHeight="1" x14ac:dyDescent="0.15"/>
    <row r="25349" s="76" customFormat="1" ht="21.95" customHeight="1" x14ac:dyDescent="0.15"/>
    <row r="25350" s="76" customFormat="1" ht="54" customHeight="1" x14ac:dyDescent="0.15"/>
    <row r="25351" s="76" customFormat="1" ht="21.95" customHeight="1" x14ac:dyDescent="0.15"/>
    <row r="25352" s="76" customFormat="1" ht="21.95" customHeight="1" x14ac:dyDescent="0.15"/>
    <row r="25353" s="76" customFormat="1" ht="21.95" customHeight="1" x14ac:dyDescent="0.15"/>
    <row r="25354" s="76" customFormat="1" ht="21.95" customHeight="1" x14ac:dyDescent="0.15"/>
    <row r="25355" s="76" customFormat="1" ht="21.95" customHeight="1" x14ac:dyDescent="0.15"/>
    <row r="25356" s="76" customFormat="1" ht="21.95" customHeight="1" x14ac:dyDescent="0.15"/>
    <row r="25357" s="76" customFormat="1" ht="21.95" customHeight="1" x14ac:dyDescent="0.15"/>
    <row r="25358" s="76" customFormat="1" ht="21.95" customHeight="1" x14ac:dyDescent="0.15"/>
    <row r="25359" s="76" customFormat="1" ht="21.95" customHeight="1" x14ac:dyDescent="0.15"/>
    <row r="25360" s="76" customFormat="1" ht="21.95" customHeight="1" x14ac:dyDescent="0.15"/>
    <row r="25361" s="76" customFormat="1" ht="21.95" customHeight="1" x14ac:dyDescent="0.15"/>
    <row r="25362" s="76" customFormat="1" ht="21.95" customHeight="1" x14ac:dyDescent="0.15"/>
    <row r="25363" s="76" customFormat="1" ht="21.95" customHeight="1" x14ac:dyDescent="0.15"/>
    <row r="25364" s="76" customFormat="1" ht="21.95" customHeight="1" x14ac:dyDescent="0.15"/>
    <row r="25365" s="76" customFormat="1" ht="21.95" customHeight="1" x14ac:dyDescent="0.15"/>
    <row r="25366" s="76" customFormat="1" ht="21.95" customHeight="1" x14ac:dyDescent="0.15"/>
    <row r="25367" s="76" customFormat="1" ht="21.95" customHeight="1" x14ac:dyDescent="0.15"/>
    <row r="25368" s="76" customFormat="1" ht="21.95" customHeight="1" x14ac:dyDescent="0.15"/>
    <row r="25369" s="76" customFormat="1" ht="21.95" customHeight="1" x14ac:dyDescent="0.15"/>
    <row r="25370" s="76" customFormat="1" ht="21.95" customHeight="1" x14ac:dyDescent="0.15"/>
    <row r="25371" s="76" customFormat="1" ht="21.95" customHeight="1" x14ac:dyDescent="0.15"/>
    <row r="25372" s="76" customFormat="1" ht="21.95" customHeight="1" x14ac:dyDescent="0.15"/>
    <row r="25373" s="76" customFormat="1" ht="21.95" customHeight="1" x14ac:dyDescent="0.15"/>
    <row r="25374" s="76" customFormat="1" ht="21.95" customHeight="1" x14ac:dyDescent="0.15"/>
    <row r="25375" s="76" customFormat="1" ht="21.95" customHeight="1" x14ac:dyDescent="0.15"/>
    <row r="25376" s="76" customFormat="1" ht="21.95" customHeight="1" x14ac:dyDescent="0.15"/>
    <row r="25377" s="76" customFormat="1" ht="21.95" customHeight="1" x14ac:dyDescent="0.15"/>
    <row r="25378" s="76" customFormat="1" ht="21.95" customHeight="1" x14ac:dyDescent="0.15"/>
    <row r="25379" s="76" customFormat="1" ht="21.95" customHeight="1" x14ac:dyDescent="0.15"/>
    <row r="25380" s="76" customFormat="1" ht="21.95" customHeight="1" x14ac:dyDescent="0.15"/>
    <row r="25381" s="76" customFormat="1" ht="21.95" customHeight="1" x14ac:dyDescent="0.15"/>
    <row r="25382" s="76" customFormat="1" ht="21.95" customHeight="1" x14ac:dyDescent="0.15"/>
    <row r="25383" s="76" customFormat="1" ht="21.95" customHeight="1" x14ac:dyDescent="0.15"/>
    <row r="25384" s="76" customFormat="1" ht="21.95" customHeight="1" x14ac:dyDescent="0.15"/>
    <row r="25385" s="76" customFormat="1" ht="21.95" customHeight="1" x14ac:dyDescent="0.15"/>
    <row r="25386" s="76" customFormat="1" ht="21.95" customHeight="1" x14ac:dyDescent="0.15"/>
    <row r="25387" s="76" customFormat="1" ht="21.95" customHeight="1" x14ac:dyDescent="0.15"/>
    <row r="25388" s="76" customFormat="1" ht="21.95" customHeight="1" x14ac:dyDescent="0.15"/>
    <row r="25389" s="76" customFormat="1" ht="21.95" customHeight="1" x14ac:dyDescent="0.15"/>
    <row r="25390" s="76" customFormat="1" ht="21.95" customHeight="1" x14ac:dyDescent="0.15"/>
    <row r="25391" s="76" customFormat="1" ht="21.95" customHeight="1" x14ac:dyDescent="0.15"/>
    <row r="25392" s="76" customFormat="1" ht="21.95" customHeight="1" x14ac:dyDescent="0.15"/>
    <row r="25393" s="76" customFormat="1" ht="21.95" customHeight="1" x14ac:dyDescent="0.15"/>
    <row r="25394" s="76" customFormat="1" ht="21.95" customHeight="1" x14ac:dyDescent="0.15"/>
    <row r="25395" s="76" customFormat="1" ht="21.95" customHeight="1" x14ac:dyDescent="0.15"/>
    <row r="25396" s="76" customFormat="1" ht="21.95" customHeight="1" x14ac:dyDescent="0.15"/>
    <row r="25397" s="76" customFormat="1" ht="21.95" customHeight="1" x14ac:dyDescent="0.15"/>
    <row r="25398" s="76" customFormat="1" ht="21.95" customHeight="1" x14ac:dyDescent="0.15"/>
    <row r="25399" s="76" customFormat="1" ht="21.95" customHeight="1" x14ac:dyDescent="0.15"/>
    <row r="25400" s="76" customFormat="1" ht="21.95" customHeight="1" x14ac:dyDescent="0.15"/>
    <row r="25401" s="76" customFormat="1" ht="35.1" customHeight="1" x14ac:dyDescent="0.15"/>
    <row r="25402" s="76" customFormat="1" ht="21.95" customHeight="1" x14ac:dyDescent="0.15"/>
    <row r="25403" s="76" customFormat="1" ht="21.95" customHeight="1" x14ac:dyDescent="0.15"/>
    <row r="25404" s="76" customFormat="1" ht="21.95" customHeight="1" x14ac:dyDescent="0.15"/>
    <row r="25405" s="76" customFormat="1" ht="21.95" customHeight="1" x14ac:dyDescent="0.15"/>
    <row r="25406" s="76" customFormat="1" ht="21.95" customHeight="1" x14ac:dyDescent="0.15"/>
    <row r="25407" s="76" customFormat="1" ht="21.95" customHeight="1" x14ac:dyDescent="0.15"/>
    <row r="25408" s="76" customFormat="1" ht="21.95" customHeight="1" x14ac:dyDescent="0.15"/>
    <row r="25409" s="76" customFormat="1" ht="21.95" customHeight="1" x14ac:dyDescent="0.15"/>
    <row r="25410" s="76" customFormat="1" ht="21.95" customHeight="1" x14ac:dyDescent="0.15"/>
    <row r="25411" s="76" customFormat="1" ht="21.95" customHeight="1" x14ac:dyDescent="0.15"/>
    <row r="25412" s="76" customFormat="1" ht="21.95" customHeight="1" x14ac:dyDescent="0.15"/>
    <row r="25413" s="76" customFormat="1" ht="21.95" customHeight="1" x14ac:dyDescent="0.15"/>
    <row r="25414" s="76" customFormat="1" ht="21.95" customHeight="1" x14ac:dyDescent="0.15"/>
    <row r="25415" s="76" customFormat="1" ht="21.95" customHeight="1" x14ac:dyDescent="0.15"/>
    <row r="25416" s="76" customFormat="1" ht="21.95" customHeight="1" x14ac:dyDescent="0.15"/>
    <row r="25417" s="76" customFormat="1" ht="21.95" customHeight="1" x14ac:dyDescent="0.15"/>
    <row r="25418" s="76" customFormat="1" ht="21.95" customHeight="1" x14ac:dyDescent="0.15"/>
    <row r="25419" s="76" customFormat="1" ht="21.95" customHeight="1" x14ac:dyDescent="0.15"/>
    <row r="25420" s="76" customFormat="1" ht="21.95" customHeight="1" x14ac:dyDescent="0.15"/>
    <row r="25421" s="76" customFormat="1" ht="21.95" customHeight="1" x14ac:dyDescent="0.15"/>
    <row r="25422" s="76" customFormat="1" ht="21.95" customHeight="1" x14ac:dyDescent="0.15"/>
    <row r="25423" s="76" customFormat="1" ht="21.95" customHeight="1" x14ac:dyDescent="0.15"/>
    <row r="25424" s="76" customFormat="1" ht="21.95" customHeight="1" x14ac:dyDescent="0.15"/>
    <row r="25425" spans="3:3" customFormat="1" ht="21.95" customHeight="1" x14ac:dyDescent="0.15"/>
    <row r="25426" spans="3:3" customFormat="1" ht="21.95" customHeight="1" x14ac:dyDescent="0.15"/>
    <row r="25427" spans="3:3" customFormat="1" ht="21.95" customHeight="1" x14ac:dyDescent="0.15">
      <c r="C25427" s="94"/>
    </row>
    <row r="25428" spans="3:3" customFormat="1" ht="21.95" customHeight="1" x14ac:dyDescent="0.15">
      <c r="C25428" s="94"/>
    </row>
    <row r="25429" spans="3:3" customFormat="1" ht="21.95" customHeight="1" x14ac:dyDescent="0.15"/>
    <row r="25430" spans="3:3" customFormat="1" ht="21.95" customHeight="1" x14ac:dyDescent="0.15"/>
    <row r="25431" spans="3:3" customFormat="1" ht="21.95" customHeight="1" x14ac:dyDescent="0.15"/>
    <row r="25432" spans="3:3" customFormat="1" ht="21.95" customHeight="1" x14ac:dyDescent="0.15"/>
    <row r="25433" spans="3:3" customFormat="1" ht="21.95" customHeight="1" x14ac:dyDescent="0.15"/>
    <row r="25434" spans="3:3" customFormat="1" ht="21.95" customHeight="1" x14ac:dyDescent="0.15"/>
    <row r="25435" spans="3:3" customFormat="1" ht="21.95" customHeight="1" x14ac:dyDescent="0.15"/>
    <row r="25436" spans="3:3" s="76" customFormat="1" ht="21.95" customHeight="1" x14ac:dyDescent="0.15"/>
    <row r="25437" spans="3:3" s="76" customFormat="1" ht="21.95" customHeight="1" x14ac:dyDescent="0.15"/>
    <row r="25438" spans="3:3" s="76" customFormat="1" ht="21.95" customHeight="1" x14ac:dyDescent="0.15"/>
    <row r="25439" spans="3:3" s="76" customFormat="1" ht="21.95" customHeight="1" x14ac:dyDescent="0.15"/>
    <row r="25440" spans="3:3" customFormat="1" ht="21.95" customHeight="1" x14ac:dyDescent="0.15"/>
    <row r="25441" customFormat="1" ht="21.95" customHeight="1" x14ac:dyDescent="0.15"/>
    <row r="25442" customFormat="1" ht="21.95" customHeight="1" x14ac:dyDescent="0.15"/>
    <row r="25443" customFormat="1" ht="21.95" customHeight="1" x14ac:dyDescent="0.15"/>
    <row r="25444" customFormat="1" ht="21.95" customHeight="1" x14ac:dyDescent="0.15"/>
    <row r="25445" customFormat="1" ht="21.95" customHeight="1" x14ac:dyDescent="0.15"/>
    <row r="25446" customFormat="1" ht="21.95" customHeight="1" x14ac:dyDescent="0.15"/>
    <row r="25447" customFormat="1" ht="21.95" customHeight="1" x14ac:dyDescent="0.15"/>
    <row r="25448" customFormat="1" ht="21.95" customHeight="1" x14ac:dyDescent="0.15"/>
    <row r="25449" customFormat="1" ht="21.95" customHeight="1" x14ac:dyDescent="0.15"/>
    <row r="25450" customFormat="1" ht="21.95" customHeight="1" x14ac:dyDescent="0.15"/>
    <row r="25451" customFormat="1" ht="32.1" customHeight="1" x14ac:dyDescent="0.15"/>
    <row r="25452" customFormat="1" ht="32.1" customHeight="1" x14ac:dyDescent="0.15"/>
    <row r="25453" customFormat="1" ht="32.1" customHeight="1" x14ac:dyDescent="0.15"/>
    <row r="25454" customFormat="1" ht="32.1" customHeight="1" x14ac:dyDescent="0.15"/>
    <row r="25455" customFormat="1" ht="32.1" customHeight="1" x14ac:dyDescent="0.15"/>
    <row r="25456" customFormat="1" ht="32.1" customHeight="1" x14ac:dyDescent="0.15"/>
    <row r="25457" s="76" customFormat="1" ht="32.1" customHeight="1" x14ac:dyDescent="0.15"/>
    <row r="25458" s="76" customFormat="1" ht="32.1" customHeight="1" x14ac:dyDescent="0.15"/>
    <row r="25459" s="76" customFormat="1" ht="32.1" customHeight="1" x14ac:dyDescent="0.15"/>
    <row r="25460" s="76" customFormat="1" ht="32.1" customHeight="1" x14ac:dyDescent="0.15"/>
    <row r="25461" s="76" customFormat="1" ht="21.95" customHeight="1" x14ac:dyDescent="0.15"/>
    <row r="25462" s="76" customFormat="1" ht="54" customHeight="1" x14ac:dyDescent="0.15"/>
    <row r="25463" s="76" customFormat="1" ht="21.95" customHeight="1" x14ac:dyDescent="0.15"/>
    <row r="25464" s="76" customFormat="1" ht="21.95" customHeight="1" x14ac:dyDescent="0.15"/>
    <row r="25465" s="76" customFormat="1" ht="21.95" customHeight="1" x14ac:dyDescent="0.15"/>
    <row r="25466" s="76" customFormat="1" ht="21.95" customHeight="1" x14ac:dyDescent="0.15"/>
    <row r="25467" s="76" customFormat="1" ht="21.95" customHeight="1" x14ac:dyDescent="0.15"/>
    <row r="25468" s="76" customFormat="1" ht="21.95" customHeight="1" x14ac:dyDescent="0.15"/>
    <row r="25469" s="76" customFormat="1" ht="21.95" customHeight="1" x14ac:dyDescent="0.15"/>
    <row r="25470" s="76" customFormat="1" ht="21.95" customHeight="1" x14ac:dyDescent="0.15"/>
    <row r="25471" s="76" customFormat="1" ht="21.95" customHeight="1" x14ac:dyDescent="0.15"/>
    <row r="25472" s="76" customFormat="1" ht="21.95" customHeight="1" x14ac:dyDescent="0.15"/>
    <row r="25473" s="76" customFormat="1" ht="21.95" customHeight="1" x14ac:dyDescent="0.15"/>
    <row r="25474" s="76" customFormat="1" ht="21.95" customHeight="1" x14ac:dyDescent="0.15"/>
    <row r="25475" s="76" customFormat="1" ht="21.95" customHeight="1" x14ac:dyDescent="0.15"/>
    <row r="25476" s="76" customFormat="1" ht="21.95" customHeight="1" x14ac:dyDescent="0.15"/>
    <row r="25477" s="76" customFormat="1" ht="21.95" customHeight="1" x14ac:dyDescent="0.15"/>
    <row r="25478" s="76" customFormat="1" ht="21.95" customHeight="1" x14ac:dyDescent="0.15"/>
    <row r="25479" s="76" customFormat="1" ht="21.95" customHeight="1" x14ac:dyDescent="0.15"/>
    <row r="25480" s="76" customFormat="1" ht="21.95" customHeight="1" x14ac:dyDescent="0.15"/>
    <row r="25481" s="76" customFormat="1" ht="21.95" customHeight="1" x14ac:dyDescent="0.15"/>
    <row r="25482" s="76" customFormat="1" ht="21.95" customHeight="1" x14ac:dyDescent="0.15"/>
    <row r="25483" s="76" customFormat="1" ht="21.95" customHeight="1" x14ac:dyDescent="0.15"/>
    <row r="25484" s="76" customFormat="1" ht="21.95" customHeight="1" x14ac:dyDescent="0.15"/>
    <row r="25485" s="76" customFormat="1" ht="21.95" customHeight="1" x14ac:dyDescent="0.15"/>
    <row r="25486" s="76" customFormat="1" ht="21.95" customHeight="1" x14ac:dyDescent="0.15"/>
    <row r="25487" s="76" customFormat="1" ht="21.95" customHeight="1" x14ac:dyDescent="0.15"/>
    <row r="25488" s="76" customFormat="1" ht="21.95" customHeight="1" x14ac:dyDescent="0.15"/>
    <row r="25489" s="76" customFormat="1" ht="21.95" customHeight="1" x14ac:dyDescent="0.15"/>
    <row r="25490" s="76" customFormat="1" ht="21.95" customHeight="1" x14ac:dyDescent="0.15"/>
    <row r="25491" s="76" customFormat="1" ht="21.95" customHeight="1" x14ac:dyDescent="0.15"/>
    <row r="25492" s="76" customFormat="1" ht="21.95" customHeight="1" x14ac:dyDescent="0.15"/>
    <row r="25493" s="76" customFormat="1" ht="21.95" customHeight="1" x14ac:dyDescent="0.15"/>
    <row r="25494" s="76" customFormat="1" ht="21.95" customHeight="1" x14ac:dyDescent="0.15"/>
    <row r="25495" s="76" customFormat="1" ht="21.95" customHeight="1" x14ac:dyDescent="0.15"/>
    <row r="25496" s="76" customFormat="1" ht="21.95" customHeight="1" x14ac:dyDescent="0.15"/>
    <row r="25497" s="76" customFormat="1" ht="21.95" customHeight="1" x14ac:dyDescent="0.15"/>
    <row r="25498" s="76" customFormat="1" ht="21.95" customHeight="1" x14ac:dyDescent="0.15"/>
    <row r="25499" s="76" customFormat="1" ht="21.95" customHeight="1" x14ac:dyDescent="0.15"/>
    <row r="25500" s="76" customFormat="1" ht="21.95" customHeight="1" x14ac:dyDescent="0.15"/>
    <row r="25501" s="76" customFormat="1" ht="21.95" customHeight="1" x14ac:dyDescent="0.15"/>
    <row r="25502" s="76" customFormat="1" ht="21.95" customHeight="1" x14ac:dyDescent="0.15"/>
    <row r="25503" s="76" customFormat="1" ht="21.95" customHeight="1" x14ac:dyDescent="0.15"/>
    <row r="25504" s="76" customFormat="1" ht="21.95" customHeight="1" x14ac:dyDescent="0.15"/>
    <row r="25505" s="76" customFormat="1" ht="21.95" customHeight="1" x14ac:dyDescent="0.15"/>
    <row r="25506" s="76" customFormat="1" ht="21.95" customHeight="1" x14ac:dyDescent="0.15"/>
    <row r="25507" s="76" customFormat="1" ht="21.95" customHeight="1" x14ac:dyDescent="0.15"/>
    <row r="25508" s="76" customFormat="1" ht="21.95" customHeight="1" x14ac:dyDescent="0.15"/>
    <row r="25509" s="76" customFormat="1" ht="21.95" customHeight="1" x14ac:dyDescent="0.15"/>
    <row r="25510" s="76" customFormat="1" ht="21.95" customHeight="1" x14ac:dyDescent="0.15"/>
    <row r="25511" s="76" customFormat="1" ht="21.95" customHeight="1" x14ac:dyDescent="0.15"/>
    <row r="25512" s="76" customFormat="1" ht="21.95" customHeight="1" x14ac:dyDescent="0.15"/>
    <row r="25513" s="76" customFormat="1" ht="35.1" customHeight="1" x14ac:dyDescent="0.15"/>
    <row r="25514" s="76" customFormat="1" ht="21.95" customHeight="1" x14ac:dyDescent="0.15"/>
    <row r="25515" s="76" customFormat="1" ht="21.95" customHeight="1" x14ac:dyDescent="0.15"/>
    <row r="25516" s="76" customFormat="1" ht="21.95" customHeight="1" x14ac:dyDescent="0.15"/>
    <row r="25517" s="76" customFormat="1" ht="21.95" customHeight="1" x14ac:dyDescent="0.15"/>
    <row r="25518" s="76" customFormat="1" ht="21.95" customHeight="1" x14ac:dyDescent="0.15"/>
    <row r="25519" s="76" customFormat="1" ht="21.95" customHeight="1" x14ac:dyDescent="0.15"/>
    <row r="25520" s="76" customFormat="1" ht="21.95" customHeight="1" x14ac:dyDescent="0.15"/>
    <row r="25521" s="76" customFormat="1" ht="21.95" customHeight="1" x14ac:dyDescent="0.15"/>
    <row r="25522" s="76" customFormat="1" ht="21.95" customHeight="1" x14ac:dyDescent="0.15"/>
    <row r="25523" s="76" customFormat="1" ht="21.95" customHeight="1" x14ac:dyDescent="0.15"/>
    <row r="25524" s="76" customFormat="1" ht="21.95" customHeight="1" x14ac:dyDescent="0.15"/>
    <row r="25525" s="76" customFormat="1" ht="21.95" customHeight="1" x14ac:dyDescent="0.15"/>
    <row r="25526" s="76" customFormat="1" ht="21.95" customHeight="1" x14ac:dyDescent="0.15"/>
    <row r="25527" s="76" customFormat="1" ht="21.95" customHeight="1" x14ac:dyDescent="0.15"/>
    <row r="25528" s="76" customFormat="1" ht="21.95" customHeight="1" x14ac:dyDescent="0.15"/>
    <row r="25529" s="76" customFormat="1" ht="21.95" customHeight="1" x14ac:dyDescent="0.15"/>
    <row r="25530" s="76" customFormat="1" ht="21.95" customHeight="1" x14ac:dyDescent="0.15"/>
    <row r="25531" s="76" customFormat="1" ht="21.95" customHeight="1" x14ac:dyDescent="0.15"/>
    <row r="25532" s="76" customFormat="1" ht="21.95" customHeight="1" x14ac:dyDescent="0.15"/>
    <row r="25533" s="76" customFormat="1" ht="21.95" customHeight="1" x14ac:dyDescent="0.15"/>
    <row r="25534" s="76" customFormat="1" ht="21.95" customHeight="1" x14ac:dyDescent="0.15"/>
    <row r="25535" s="76" customFormat="1" ht="21.95" customHeight="1" x14ac:dyDescent="0.15"/>
    <row r="25536" s="76" customFormat="1" ht="21.95" customHeight="1" x14ac:dyDescent="0.15"/>
    <row r="25537" spans="3:3" customFormat="1" ht="21.95" customHeight="1" x14ac:dyDescent="0.15"/>
    <row r="25538" spans="3:3" customFormat="1" ht="21.95" customHeight="1" x14ac:dyDescent="0.15"/>
    <row r="25539" spans="3:3" customFormat="1" ht="21.95" customHeight="1" x14ac:dyDescent="0.15">
      <c r="C25539" s="94"/>
    </row>
    <row r="25540" spans="3:3" customFormat="1" ht="21.95" customHeight="1" x14ac:dyDescent="0.15">
      <c r="C25540" s="94"/>
    </row>
    <row r="25541" spans="3:3" customFormat="1" ht="21.95" customHeight="1" x14ac:dyDescent="0.15"/>
    <row r="25542" spans="3:3" customFormat="1" ht="21.95" customHeight="1" x14ac:dyDescent="0.15"/>
    <row r="25543" spans="3:3" customFormat="1" ht="21.95" customHeight="1" x14ac:dyDescent="0.15"/>
    <row r="25544" spans="3:3" customFormat="1" ht="21.95" customHeight="1" x14ac:dyDescent="0.15"/>
    <row r="25545" spans="3:3" customFormat="1" ht="21.95" customHeight="1" x14ac:dyDescent="0.15"/>
    <row r="25546" spans="3:3" customFormat="1" ht="21.95" customHeight="1" x14ac:dyDescent="0.15"/>
    <row r="25547" spans="3:3" customFormat="1" ht="21.95" customHeight="1" x14ac:dyDescent="0.15"/>
    <row r="25548" spans="3:3" s="76" customFormat="1" ht="21.95" customHeight="1" x14ac:dyDescent="0.15"/>
    <row r="25549" spans="3:3" s="76" customFormat="1" ht="21.95" customHeight="1" x14ac:dyDescent="0.15"/>
    <row r="25550" spans="3:3" s="76" customFormat="1" ht="21.95" customHeight="1" x14ac:dyDescent="0.15"/>
    <row r="25551" spans="3:3" s="76" customFormat="1" ht="21.95" customHeight="1" x14ac:dyDescent="0.15"/>
    <row r="25552" spans="3:3" customFormat="1" ht="21.95" customHeight="1" x14ac:dyDescent="0.15"/>
    <row r="25553" customFormat="1" ht="21.95" customHeight="1" x14ac:dyDescent="0.15"/>
    <row r="25554" customFormat="1" ht="21.95" customHeight="1" x14ac:dyDescent="0.15"/>
    <row r="25555" customFormat="1" ht="21.95" customHeight="1" x14ac:dyDescent="0.15"/>
    <row r="25556" customFormat="1" ht="21.95" customHeight="1" x14ac:dyDescent="0.15"/>
    <row r="25557" customFormat="1" ht="21.95" customHeight="1" x14ac:dyDescent="0.15"/>
    <row r="25558" customFormat="1" ht="21.95" customHeight="1" x14ac:dyDescent="0.15"/>
    <row r="25559" customFormat="1" ht="21.95" customHeight="1" x14ac:dyDescent="0.15"/>
    <row r="25560" customFormat="1" ht="21.95" customHeight="1" x14ac:dyDescent="0.15"/>
    <row r="25561" customFormat="1" ht="21.95" customHeight="1" x14ac:dyDescent="0.15"/>
    <row r="25562" customFormat="1" ht="21.95" customHeight="1" x14ac:dyDescent="0.15"/>
    <row r="25563" customFormat="1" ht="32.1" customHeight="1" x14ac:dyDescent="0.15"/>
    <row r="25564" customFormat="1" ht="32.1" customHeight="1" x14ac:dyDescent="0.15"/>
    <row r="25565" customFormat="1" ht="32.1" customHeight="1" x14ac:dyDescent="0.15"/>
    <row r="25566" customFormat="1" ht="32.1" customHeight="1" x14ac:dyDescent="0.15"/>
    <row r="25567" customFormat="1" ht="32.1" customHeight="1" x14ac:dyDescent="0.15"/>
    <row r="25568" customFormat="1" ht="32.1" customHeight="1" x14ac:dyDescent="0.15"/>
    <row r="25569" s="76" customFormat="1" ht="32.1" customHeight="1" x14ac:dyDescent="0.15"/>
    <row r="25570" s="76" customFormat="1" ht="32.1" customHeight="1" x14ac:dyDescent="0.15"/>
    <row r="25571" s="76" customFormat="1" ht="32.1" customHeight="1" x14ac:dyDescent="0.15"/>
    <row r="25572" s="76" customFormat="1" ht="32.1" customHeight="1" x14ac:dyDescent="0.15"/>
    <row r="25573" s="76" customFormat="1" ht="21.95" customHeight="1" x14ac:dyDescent="0.15"/>
    <row r="25574" s="76" customFormat="1" ht="54" customHeight="1" x14ac:dyDescent="0.15"/>
    <row r="25575" s="76" customFormat="1" ht="21.95" customHeight="1" x14ac:dyDescent="0.15"/>
    <row r="25576" s="76" customFormat="1" ht="21.95" customHeight="1" x14ac:dyDescent="0.15"/>
    <row r="25577" s="76" customFormat="1" ht="21.95" customHeight="1" x14ac:dyDescent="0.15"/>
    <row r="25578" s="76" customFormat="1" ht="21.95" customHeight="1" x14ac:dyDescent="0.15"/>
    <row r="25579" s="76" customFormat="1" ht="21.95" customHeight="1" x14ac:dyDescent="0.15"/>
    <row r="25580" s="76" customFormat="1" ht="21.95" customHeight="1" x14ac:dyDescent="0.15"/>
    <row r="25581" s="76" customFormat="1" ht="21.95" customHeight="1" x14ac:dyDescent="0.15"/>
    <row r="25582" s="76" customFormat="1" ht="21.95" customHeight="1" x14ac:dyDescent="0.15"/>
    <row r="25583" s="76" customFormat="1" ht="21.95" customHeight="1" x14ac:dyDescent="0.15"/>
    <row r="25584" s="76" customFormat="1" ht="21.95" customHeight="1" x14ac:dyDescent="0.15"/>
    <row r="25585" s="76" customFormat="1" ht="21.95" customHeight="1" x14ac:dyDescent="0.15"/>
    <row r="25586" s="76" customFormat="1" ht="21.95" customHeight="1" x14ac:dyDescent="0.15"/>
    <row r="25587" s="76" customFormat="1" ht="21.95" customHeight="1" x14ac:dyDescent="0.15"/>
    <row r="25588" s="76" customFormat="1" ht="21.95" customHeight="1" x14ac:dyDescent="0.15"/>
    <row r="25589" s="76" customFormat="1" ht="21.95" customHeight="1" x14ac:dyDescent="0.15"/>
    <row r="25590" s="76" customFormat="1" ht="21.95" customHeight="1" x14ac:dyDescent="0.15"/>
    <row r="25591" s="76" customFormat="1" ht="21.95" customHeight="1" x14ac:dyDescent="0.15"/>
    <row r="25592" s="76" customFormat="1" ht="21.95" customHeight="1" x14ac:dyDescent="0.15"/>
    <row r="25593" s="76" customFormat="1" ht="21.95" customHeight="1" x14ac:dyDescent="0.15"/>
    <row r="25594" s="76" customFormat="1" ht="21.95" customHeight="1" x14ac:dyDescent="0.15"/>
    <row r="25595" s="76" customFormat="1" ht="21.95" customHeight="1" x14ac:dyDescent="0.15"/>
    <row r="25596" s="76" customFormat="1" ht="21.95" customHeight="1" x14ac:dyDescent="0.15"/>
    <row r="25597" s="76" customFormat="1" ht="21.95" customHeight="1" x14ac:dyDescent="0.15"/>
    <row r="25598" s="76" customFormat="1" ht="21.95" customHeight="1" x14ac:dyDescent="0.15"/>
    <row r="25599" s="76" customFormat="1" ht="21.95" customHeight="1" x14ac:dyDescent="0.15"/>
    <row r="25600" s="76" customFormat="1" ht="21.95" customHeight="1" x14ac:dyDescent="0.15"/>
    <row r="25601" s="76" customFormat="1" ht="21.95" customHeight="1" x14ac:dyDescent="0.15"/>
    <row r="25602" s="76" customFormat="1" ht="21.95" customHeight="1" x14ac:dyDescent="0.15"/>
    <row r="25603" s="76" customFormat="1" ht="21.95" customHeight="1" x14ac:dyDescent="0.15"/>
    <row r="25604" s="76" customFormat="1" ht="21.95" customHeight="1" x14ac:dyDescent="0.15"/>
    <row r="25605" s="76" customFormat="1" ht="21.95" customHeight="1" x14ac:dyDescent="0.15"/>
    <row r="25606" s="76" customFormat="1" ht="21.95" customHeight="1" x14ac:dyDescent="0.15"/>
    <row r="25607" s="76" customFormat="1" ht="21.95" customHeight="1" x14ac:dyDescent="0.15"/>
    <row r="25608" s="76" customFormat="1" ht="21.95" customHeight="1" x14ac:dyDescent="0.15"/>
    <row r="25609" s="76" customFormat="1" ht="21.95" customHeight="1" x14ac:dyDescent="0.15"/>
    <row r="25610" s="76" customFormat="1" ht="21.95" customHeight="1" x14ac:dyDescent="0.15"/>
    <row r="25611" s="76" customFormat="1" ht="21.95" customHeight="1" x14ac:dyDescent="0.15"/>
    <row r="25612" s="76" customFormat="1" ht="21.95" customHeight="1" x14ac:dyDescent="0.15"/>
    <row r="25613" s="76" customFormat="1" ht="21.95" customHeight="1" x14ac:dyDescent="0.15"/>
    <row r="25614" s="76" customFormat="1" ht="21.95" customHeight="1" x14ac:dyDescent="0.15"/>
    <row r="25615" s="76" customFormat="1" ht="21.95" customHeight="1" x14ac:dyDescent="0.15"/>
    <row r="25616" s="76" customFormat="1" ht="21.95" customHeight="1" x14ac:dyDescent="0.15"/>
    <row r="25617" s="76" customFormat="1" ht="21.95" customHeight="1" x14ac:dyDescent="0.15"/>
    <row r="25618" s="76" customFormat="1" ht="21.95" customHeight="1" x14ac:dyDescent="0.15"/>
    <row r="25619" s="76" customFormat="1" ht="21.95" customHeight="1" x14ac:dyDescent="0.15"/>
    <row r="25620" s="76" customFormat="1" ht="21.95" customHeight="1" x14ac:dyDescent="0.15"/>
    <row r="25621" s="76" customFormat="1" ht="21.95" customHeight="1" x14ac:dyDescent="0.15"/>
    <row r="25622" s="76" customFormat="1" ht="21.95" customHeight="1" x14ac:dyDescent="0.15"/>
    <row r="25623" s="76" customFormat="1" ht="21.95" customHeight="1" x14ac:dyDescent="0.15"/>
    <row r="25624" s="76" customFormat="1" ht="21.95" customHeight="1" x14ac:dyDescent="0.15"/>
    <row r="25625" s="76" customFormat="1" ht="35.1" customHeight="1" x14ac:dyDescent="0.15"/>
    <row r="25626" s="76" customFormat="1" ht="21.95" customHeight="1" x14ac:dyDescent="0.15"/>
    <row r="25627" s="76" customFormat="1" ht="21.95" customHeight="1" x14ac:dyDescent="0.15"/>
    <row r="25628" s="76" customFormat="1" ht="21.95" customHeight="1" x14ac:dyDescent="0.15"/>
    <row r="25629" s="76" customFormat="1" ht="21.95" customHeight="1" x14ac:dyDescent="0.15"/>
    <row r="25630" s="76" customFormat="1" ht="21.95" customHeight="1" x14ac:dyDescent="0.15"/>
    <row r="25631" s="76" customFormat="1" ht="21.95" customHeight="1" x14ac:dyDescent="0.15"/>
    <row r="25632" s="76" customFormat="1" ht="21.95" customHeight="1" x14ac:dyDescent="0.15"/>
    <row r="25633" s="76" customFormat="1" ht="21.95" customHeight="1" x14ac:dyDescent="0.15"/>
    <row r="25634" s="76" customFormat="1" ht="21.95" customHeight="1" x14ac:dyDescent="0.15"/>
    <row r="25635" s="76" customFormat="1" ht="21.95" customHeight="1" x14ac:dyDescent="0.15"/>
    <row r="25636" s="76" customFormat="1" ht="21.95" customHeight="1" x14ac:dyDescent="0.15"/>
    <row r="25637" s="76" customFormat="1" ht="21.95" customHeight="1" x14ac:dyDescent="0.15"/>
    <row r="25638" s="76" customFormat="1" ht="21.95" customHeight="1" x14ac:dyDescent="0.15"/>
    <row r="25639" s="76" customFormat="1" ht="21.95" customHeight="1" x14ac:dyDescent="0.15"/>
    <row r="25640" s="76" customFormat="1" ht="21.95" customHeight="1" x14ac:dyDescent="0.15"/>
    <row r="25641" s="76" customFormat="1" ht="21.95" customHeight="1" x14ac:dyDescent="0.15"/>
    <row r="25642" s="76" customFormat="1" ht="21.95" customHeight="1" x14ac:dyDescent="0.15"/>
    <row r="25643" s="76" customFormat="1" ht="21.95" customHeight="1" x14ac:dyDescent="0.15"/>
    <row r="25644" s="76" customFormat="1" ht="21.95" customHeight="1" x14ac:dyDescent="0.15"/>
    <row r="25645" s="76" customFormat="1" ht="21.95" customHeight="1" x14ac:dyDescent="0.15"/>
    <row r="25646" s="76" customFormat="1" ht="21.95" customHeight="1" x14ac:dyDescent="0.15"/>
    <row r="25647" s="76" customFormat="1" ht="21.95" customHeight="1" x14ac:dyDescent="0.15"/>
    <row r="25648" s="76" customFormat="1" ht="21.95" customHeight="1" x14ac:dyDescent="0.15"/>
    <row r="25649" spans="3:3" customFormat="1" ht="21.95" customHeight="1" x14ac:dyDescent="0.15"/>
    <row r="25650" spans="3:3" customFormat="1" ht="21.95" customHeight="1" x14ac:dyDescent="0.15"/>
    <row r="25651" spans="3:3" customFormat="1" ht="21.95" customHeight="1" x14ac:dyDescent="0.15">
      <c r="C25651" s="94"/>
    </row>
    <row r="25652" spans="3:3" customFormat="1" ht="21.95" customHeight="1" x14ac:dyDescent="0.15">
      <c r="C25652" s="94"/>
    </row>
    <row r="25653" spans="3:3" customFormat="1" ht="21.95" customHeight="1" x14ac:dyDescent="0.15"/>
    <row r="25654" spans="3:3" customFormat="1" ht="21.95" customHeight="1" x14ac:dyDescent="0.15"/>
    <row r="25655" spans="3:3" customFormat="1" ht="21.95" customHeight="1" x14ac:dyDescent="0.15"/>
    <row r="25656" spans="3:3" customFormat="1" ht="21.95" customHeight="1" x14ac:dyDescent="0.15"/>
    <row r="25657" spans="3:3" customFormat="1" ht="21.95" customHeight="1" x14ac:dyDescent="0.15"/>
    <row r="25658" spans="3:3" customFormat="1" ht="21.95" customHeight="1" x14ac:dyDescent="0.15"/>
    <row r="25659" spans="3:3" customFormat="1" ht="21.95" customHeight="1" x14ac:dyDescent="0.15"/>
    <row r="25660" spans="3:3" s="76" customFormat="1" ht="21.95" customHeight="1" x14ac:dyDescent="0.15"/>
    <row r="25661" spans="3:3" s="76" customFormat="1" ht="21.95" customHeight="1" x14ac:dyDescent="0.15"/>
    <row r="25662" spans="3:3" s="76" customFormat="1" ht="21.95" customHeight="1" x14ac:dyDescent="0.15"/>
    <row r="25663" spans="3:3" s="76" customFormat="1" ht="21.95" customHeight="1" x14ac:dyDescent="0.15"/>
    <row r="25664" spans="3:3" customFormat="1" ht="21.95" customHeight="1" x14ac:dyDescent="0.15"/>
    <row r="25665" customFormat="1" ht="21.95" customHeight="1" x14ac:dyDescent="0.15"/>
    <row r="25666" customFormat="1" ht="21.95" customHeight="1" x14ac:dyDescent="0.15"/>
    <row r="25667" customFormat="1" ht="21.95" customHeight="1" x14ac:dyDescent="0.15"/>
    <row r="25668" customFormat="1" ht="21.95" customHeight="1" x14ac:dyDescent="0.15"/>
    <row r="25669" customFormat="1" ht="21.95" customHeight="1" x14ac:dyDescent="0.15"/>
    <row r="25670" customFormat="1" ht="21.95" customHeight="1" x14ac:dyDescent="0.15"/>
    <row r="25671" customFormat="1" ht="21.95" customHeight="1" x14ac:dyDescent="0.15"/>
    <row r="25672" customFormat="1" ht="21.95" customHeight="1" x14ac:dyDescent="0.15"/>
    <row r="25673" customFormat="1" ht="21.95" customHeight="1" x14ac:dyDescent="0.15"/>
    <row r="25674" customFormat="1" ht="21.95" customHeight="1" x14ac:dyDescent="0.15"/>
    <row r="25675" customFormat="1" ht="32.1" customHeight="1" x14ac:dyDescent="0.15"/>
    <row r="25676" customFormat="1" ht="32.1" customHeight="1" x14ac:dyDescent="0.15"/>
    <row r="25677" customFormat="1" ht="32.1" customHeight="1" x14ac:dyDescent="0.15"/>
    <row r="25678" customFormat="1" ht="32.1" customHeight="1" x14ac:dyDescent="0.15"/>
    <row r="25679" customFormat="1" ht="32.1" customHeight="1" x14ac:dyDescent="0.15"/>
    <row r="25680" customFormat="1" ht="32.1" customHeight="1" x14ac:dyDescent="0.15"/>
    <row r="25681" s="76" customFormat="1" ht="32.1" customHeight="1" x14ac:dyDescent="0.15"/>
    <row r="25682" s="76" customFormat="1" ht="32.1" customHeight="1" x14ac:dyDescent="0.15"/>
    <row r="25683" s="76" customFormat="1" ht="32.1" customHeight="1" x14ac:dyDescent="0.15"/>
    <row r="25684" s="76" customFormat="1" ht="32.1" customHeight="1" x14ac:dyDescent="0.15"/>
    <row r="25685" s="76" customFormat="1" ht="21.95" customHeight="1" x14ac:dyDescent="0.15"/>
    <row r="25686" s="76" customFormat="1" ht="54" customHeight="1" x14ac:dyDescent="0.15"/>
    <row r="25687" s="76" customFormat="1" ht="21.95" customHeight="1" x14ac:dyDescent="0.15"/>
    <row r="25688" s="76" customFormat="1" ht="21.95" customHeight="1" x14ac:dyDescent="0.15"/>
    <row r="25689" s="76" customFormat="1" ht="21.95" customHeight="1" x14ac:dyDescent="0.15"/>
    <row r="25690" s="76" customFormat="1" ht="21.95" customHeight="1" x14ac:dyDescent="0.15"/>
    <row r="25691" s="76" customFormat="1" ht="21.95" customHeight="1" x14ac:dyDescent="0.15"/>
    <row r="25692" s="76" customFormat="1" ht="21.95" customHeight="1" x14ac:dyDescent="0.15"/>
    <row r="25693" s="76" customFormat="1" ht="21.95" customHeight="1" x14ac:dyDescent="0.15"/>
    <row r="25694" s="76" customFormat="1" ht="21.95" customHeight="1" x14ac:dyDescent="0.15"/>
    <row r="25695" s="76" customFormat="1" ht="21.95" customHeight="1" x14ac:dyDescent="0.15"/>
    <row r="25696" s="76" customFormat="1" ht="21.95" customHeight="1" x14ac:dyDescent="0.15"/>
    <row r="25697" s="76" customFormat="1" ht="21.95" customHeight="1" x14ac:dyDescent="0.15"/>
    <row r="25698" s="76" customFormat="1" ht="21.95" customHeight="1" x14ac:dyDescent="0.15"/>
    <row r="25699" s="76" customFormat="1" ht="21.95" customHeight="1" x14ac:dyDescent="0.15"/>
    <row r="25700" s="76" customFormat="1" ht="21.95" customHeight="1" x14ac:dyDescent="0.15"/>
    <row r="25701" s="76" customFormat="1" ht="21.95" customHeight="1" x14ac:dyDescent="0.15"/>
    <row r="25702" s="76" customFormat="1" ht="21.95" customHeight="1" x14ac:dyDescent="0.15"/>
    <row r="25703" s="76" customFormat="1" ht="21.95" customHeight="1" x14ac:dyDescent="0.15"/>
    <row r="25704" s="76" customFormat="1" ht="21.95" customHeight="1" x14ac:dyDescent="0.15"/>
    <row r="25705" s="76" customFormat="1" ht="21.95" customHeight="1" x14ac:dyDescent="0.15"/>
    <row r="25706" s="76" customFormat="1" ht="21.95" customHeight="1" x14ac:dyDescent="0.15"/>
    <row r="25707" s="76" customFormat="1" ht="21.95" customHeight="1" x14ac:dyDescent="0.15"/>
    <row r="25708" s="76" customFormat="1" ht="21.95" customHeight="1" x14ac:dyDescent="0.15"/>
    <row r="25709" s="76" customFormat="1" ht="21.95" customHeight="1" x14ac:dyDescent="0.15"/>
    <row r="25710" s="76" customFormat="1" ht="21.95" customHeight="1" x14ac:dyDescent="0.15"/>
    <row r="25711" s="76" customFormat="1" ht="21.95" customHeight="1" x14ac:dyDescent="0.15"/>
    <row r="25712" s="76" customFormat="1" ht="21.95" customHeight="1" x14ac:dyDescent="0.15"/>
    <row r="25713" s="76" customFormat="1" ht="21.95" customHeight="1" x14ac:dyDescent="0.15"/>
    <row r="25714" s="76" customFormat="1" ht="21.95" customHeight="1" x14ac:dyDescent="0.15"/>
    <row r="25715" s="76" customFormat="1" ht="21.95" customHeight="1" x14ac:dyDescent="0.15"/>
    <row r="25716" s="76" customFormat="1" ht="21.95" customHeight="1" x14ac:dyDescent="0.15"/>
    <row r="25717" s="76" customFormat="1" ht="21.95" customHeight="1" x14ac:dyDescent="0.15"/>
    <row r="25718" s="76" customFormat="1" ht="21.95" customHeight="1" x14ac:dyDescent="0.15"/>
    <row r="25719" s="76" customFormat="1" ht="21.95" customHeight="1" x14ac:dyDescent="0.15"/>
    <row r="25720" s="76" customFormat="1" ht="21.95" customHeight="1" x14ac:dyDescent="0.15"/>
    <row r="25721" s="76" customFormat="1" ht="21.95" customHeight="1" x14ac:dyDescent="0.15"/>
    <row r="25722" s="76" customFormat="1" ht="21.95" customHeight="1" x14ac:dyDescent="0.15"/>
    <row r="25723" s="76" customFormat="1" ht="21.95" customHeight="1" x14ac:dyDescent="0.15"/>
    <row r="25724" s="76" customFormat="1" ht="21.95" customHeight="1" x14ac:dyDescent="0.15"/>
    <row r="25725" s="76" customFormat="1" ht="21.95" customHeight="1" x14ac:dyDescent="0.15"/>
    <row r="25726" s="76" customFormat="1" ht="21.95" customHeight="1" x14ac:dyDescent="0.15"/>
    <row r="25727" s="76" customFormat="1" ht="21.95" customHeight="1" x14ac:dyDescent="0.15"/>
    <row r="25728" s="76" customFormat="1" ht="21.95" customHeight="1" x14ac:dyDescent="0.15"/>
    <row r="25729" s="76" customFormat="1" ht="21.95" customHeight="1" x14ac:dyDescent="0.15"/>
    <row r="25730" s="76" customFormat="1" ht="21.95" customHeight="1" x14ac:dyDescent="0.15"/>
    <row r="25731" s="76" customFormat="1" ht="21.95" customHeight="1" x14ac:dyDescent="0.15"/>
    <row r="25732" s="76" customFormat="1" ht="21.95" customHeight="1" x14ac:dyDescent="0.15"/>
    <row r="25733" s="76" customFormat="1" ht="21.95" customHeight="1" x14ac:dyDescent="0.15"/>
    <row r="25734" s="76" customFormat="1" ht="21.95" customHeight="1" x14ac:dyDescent="0.15"/>
    <row r="25735" s="76" customFormat="1" ht="21.95" customHeight="1" x14ac:dyDescent="0.15"/>
    <row r="25736" s="76" customFormat="1" ht="21.95" customHeight="1" x14ac:dyDescent="0.15"/>
    <row r="25737" s="76" customFormat="1" ht="35.1" customHeight="1" x14ac:dyDescent="0.15"/>
    <row r="25738" s="76" customFormat="1" ht="21.95" customHeight="1" x14ac:dyDescent="0.15"/>
    <row r="25739" s="76" customFormat="1" ht="21.95" customHeight="1" x14ac:dyDescent="0.15"/>
    <row r="25740" s="76" customFormat="1" ht="21.95" customHeight="1" x14ac:dyDescent="0.15"/>
    <row r="25741" s="76" customFormat="1" ht="21.95" customHeight="1" x14ac:dyDescent="0.15"/>
    <row r="25742" s="76" customFormat="1" ht="21.95" customHeight="1" x14ac:dyDescent="0.15"/>
    <row r="25743" s="76" customFormat="1" ht="21.95" customHeight="1" x14ac:dyDescent="0.15"/>
    <row r="25744" s="76" customFormat="1" ht="21.95" customHeight="1" x14ac:dyDescent="0.15"/>
    <row r="25745" s="76" customFormat="1" ht="21.95" customHeight="1" x14ac:dyDescent="0.15"/>
    <row r="25746" s="76" customFormat="1" ht="21.95" customHeight="1" x14ac:dyDescent="0.15"/>
    <row r="25747" s="76" customFormat="1" ht="21.95" customHeight="1" x14ac:dyDescent="0.15"/>
    <row r="25748" s="76" customFormat="1" ht="21.95" customHeight="1" x14ac:dyDescent="0.15"/>
    <row r="25749" s="76" customFormat="1" ht="21.95" customHeight="1" x14ac:dyDescent="0.15"/>
    <row r="25750" s="76" customFormat="1" ht="21.95" customHeight="1" x14ac:dyDescent="0.15"/>
    <row r="25751" s="76" customFormat="1" ht="21.95" customHeight="1" x14ac:dyDescent="0.15"/>
    <row r="25752" s="76" customFormat="1" ht="21.95" customHeight="1" x14ac:dyDescent="0.15"/>
    <row r="25753" s="76" customFormat="1" ht="21.95" customHeight="1" x14ac:dyDescent="0.15"/>
    <row r="25754" s="76" customFormat="1" ht="21.95" customHeight="1" x14ac:dyDescent="0.15"/>
    <row r="25755" s="76" customFormat="1" ht="21.95" customHeight="1" x14ac:dyDescent="0.15"/>
    <row r="25756" s="76" customFormat="1" ht="21.95" customHeight="1" x14ac:dyDescent="0.15"/>
    <row r="25757" s="76" customFormat="1" ht="21.95" customHeight="1" x14ac:dyDescent="0.15"/>
    <row r="25758" s="76" customFormat="1" ht="21.95" customHeight="1" x14ac:dyDescent="0.15"/>
    <row r="25759" s="76" customFormat="1" ht="21.95" customHeight="1" x14ac:dyDescent="0.15"/>
    <row r="25760" s="76" customFormat="1" ht="21.95" customHeight="1" x14ac:dyDescent="0.15"/>
    <row r="25761" spans="3:3" customFormat="1" ht="21.95" customHeight="1" x14ac:dyDescent="0.15"/>
    <row r="25762" spans="3:3" customFormat="1" ht="21.95" customHeight="1" x14ac:dyDescent="0.15"/>
    <row r="25763" spans="3:3" customFormat="1" ht="21.95" customHeight="1" x14ac:dyDescent="0.15">
      <c r="C25763" s="94"/>
    </row>
    <row r="25764" spans="3:3" customFormat="1" ht="21.95" customHeight="1" x14ac:dyDescent="0.15">
      <c r="C25764" s="94"/>
    </row>
    <row r="25765" spans="3:3" customFormat="1" ht="21.95" customHeight="1" x14ac:dyDescent="0.15"/>
    <row r="25766" spans="3:3" customFormat="1" ht="21.95" customHeight="1" x14ac:dyDescent="0.15"/>
    <row r="25767" spans="3:3" customFormat="1" ht="21.95" customHeight="1" x14ac:dyDescent="0.15"/>
    <row r="25768" spans="3:3" customFormat="1" ht="21.95" customHeight="1" x14ac:dyDescent="0.15"/>
    <row r="25769" spans="3:3" customFormat="1" ht="21.95" customHeight="1" x14ac:dyDescent="0.15"/>
    <row r="25770" spans="3:3" customFormat="1" ht="21.95" customHeight="1" x14ac:dyDescent="0.15"/>
    <row r="25771" spans="3:3" customFormat="1" ht="21.95" customHeight="1" x14ac:dyDescent="0.15"/>
    <row r="25772" spans="3:3" s="76" customFormat="1" ht="21.95" customHeight="1" x14ac:dyDescent="0.15"/>
    <row r="25773" spans="3:3" s="76" customFormat="1" ht="21.95" customHeight="1" x14ac:dyDescent="0.15"/>
    <row r="25774" spans="3:3" s="76" customFormat="1" ht="21.95" customHeight="1" x14ac:dyDescent="0.15"/>
    <row r="25775" spans="3:3" s="76" customFormat="1" ht="21.95" customHeight="1" x14ac:dyDescent="0.15"/>
    <row r="25776" spans="3:3" customFormat="1" ht="21.95" customHeight="1" x14ac:dyDescent="0.15"/>
    <row r="25777" customFormat="1" ht="21.95" customHeight="1" x14ac:dyDescent="0.15"/>
    <row r="25778" customFormat="1" ht="21.95" customHeight="1" x14ac:dyDescent="0.15"/>
    <row r="25779" customFormat="1" ht="21.95" customHeight="1" x14ac:dyDescent="0.15"/>
    <row r="25780" customFormat="1" ht="21.95" customHeight="1" x14ac:dyDescent="0.15"/>
    <row r="25781" customFormat="1" ht="21.95" customHeight="1" x14ac:dyDescent="0.15"/>
    <row r="25782" customFormat="1" ht="21.95" customHeight="1" x14ac:dyDescent="0.15"/>
    <row r="25783" customFormat="1" ht="21.95" customHeight="1" x14ac:dyDescent="0.15"/>
    <row r="25784" customFormat="1" ht="21.95" customHeight="1" x14ac:dyDescent="0.15"/>
    <row r="25785" customFormat="1" ht="21.95" customHeight="1" x14ac:dyDescent="0.15"/>
    <row r="25786" customFormat="1" ht="21.95" customHeight="1" x14ac:dyDescent="0.15"/>
    <row r="25787" customFormat="1" ht="32.1" customHeight="1" x14ac:dyDescent="0.15"/>
    <row r="25788" customFormat="1" ht="32.1" customHeight="1" x14ac:dyDescent="0.15"/>
    <row r="25789" customFormat="1" ht="32.1" customHeight="1" x14ac:dyDescent="0.15"/>
    <row r="25790" customFormat="1" ht="32.1" customHeight="1" x14ac:dyDescent="0.15"/>
    <row r="25791" customFormat="1" ht="32.1" customHeight="1" x14ac:dyDescent="0.15"/>
    <row r="25792" customFormat="1" ht="32.1" customHeight="1" x14ac:dyDescent="0.15"/>
    <row r="25793" s="76" customFormat="1" ht="32.1" customHeight="1" x14ac:dyDescent="0.15"/>
    <row r="25794" s="76" customFormat="1" ht="32.1" customHeight="1" x14ac:dyDescent="0.15"/>
    <row r="25795" s="76" customFormat="1" ht="32.1" customHeight="1" x14ac:dyDescent="0.15"/>
    <row r="25796" s="76" customFormat="1" ht="32.1" customHeight="1" x14ac:dyDescent="0.15"/>
    <row r="25797" s="76" customFormat="1" ht="21.95" customHeight="1" x14ac:dyDescent="0.15"/>
    <row r="25798" s="76" customFormat="1" ht="54" customHeight="1" x14ac:dyDescent="0.15"/>
    <row r="25799" s="76" customFormat="1" ht="21.95" customHeight="1" x14ac:dyDescent="0.15"/>
    <row r="25800" s="76" customFormat="1" ht="21.95" customHeight="1" x14ac:dyDescent="0.15"/>
    <row r="25801" s="76" customFormat="1" ht="21.95" customHeight="1" x14ac:dyDescent="0.15"/>
    <row r="25802" s="76" customFormat="1" ht="21.95" customHeight="1" x14ac:dyDescent="0.15"/>
    <row r="25803" s="76" customFormat="1" ht="21.95" customHeight="1" x14ac:dyDescent="0.15"/>
    <row r="25804" s="76" customFormat="1" ht="21.95" customHeight="1" x14ac:dyDescent="0.15"/>
    <row r="25805" s="76" customFormat="1" ht="21.95" customHeight="1" x14ac:dyDescent="0.15"/>
    <row r="25806" s="76" customFormat="1" ht="21.95" customHeight="1" x14ac:dyDescent="0.15"/>
    <row r="25807" s="76" customFormat="1" ht="21.95" customHeight="1" x14ac:dyDescent="0.15"/>
    <row r="25808" s="76" customFormat="1" ht="21.95" customHeight="1" x14ac:dyDescent="0.15"/>
    <row r="25809" s="76" customFormat="1" ht="21.95" customHeight="1" x14ac:dyDescent="0.15"/>
    <row r="25810" s="76" customFormat="1" ht="21.95" customHeight="1" x14ac:dyDescent="0.15"/>
    <row r="25811" s="76" customFormat="1" ht="21.95" customHeight="1" x14ac:dyDescent="0.15"/>
    <row r="25812" s="76" customFormat="1" ht="21.95" customHeight="1" x14ac:dyDescent="0.15"/>
    <row r="25813" s="76" customFormat="1" ht="21.95" customHeight="1" x14ac:dyDescent="0.15"/>
    <row r="25814" s="76" customFormat="1" ht="21.95" customHeight="1" x14ac:dyDescent="0.15"/>
    <row r="25815" s="76" customFormat="1" ht="21.95" customHeight="1" x14ac:dyDescent="0.15"/>
    <row r="25816" s="76" customFormat="1" ht="21.95" customHeight="1" x14ac:dyDescent="0.15"/>
    <row r="25817" s="76" customFormat="1" ht="21.95" customHeight="1" x14ac:dyDescent="0.15"/>
    <row r="25818" s="76" customFormat="1" ht="21.95" customHeight="1" x14ac:dyDescent="0.15"/>
    <row r="25819" s="76" customFormat="1" ht="21.95" customHeight="1" x14ac:dyDescent="0.15"/>
    <row r="25820" s="76" customFormat="1" ht="21.95" customHeight="1" x14ac:dyDescent="0.15"/>
    <row r="25821" s="76" customFormat="1" ht="21.95" customHeight="1" x14ac:dyDescent="0.15"/>
    <row r="25822" s="76" customFormat="1" ht="21.95" customHeight="1" x14ac:dyDescent="0.15"/>
    <row r="25823" s="76" customFormat="1" ht="21.95" customHeight="1" x14ac:dyDescent="0.15"/>
    <row r="25824" s="76" customFormat="1" ht="21.95" customHeight="1" x14ac:dyDescent="0.15"/>
    <row r="25825" s="76" customFormat="1" ht="21.95" customHeight="1" x14ac:dyDescent="0.15"/>
    <row r="25826" s="76" customFormat="1" ht="21.95" customHeight="1" x14ac:dyDescent="0.15"/>
    <row r="25827" s="76" customFormat="1" ht="21.95" customHeight="1" x14ac:dyDescent="0.15"/>
    <row r="25828" s="76" customFormat="1" ht="21.95" customHeight="1" x14ac:dyDescent="0.15"/>
    <row r="25829" s="76" customFormat="1" ht="21.95" customHeight="1" x14ac:dyDescent="0.15"/>
    <row r="25830" s="76" customFormat="1" ht="21.95" customHeight="1" x14ac:dyDescent="0.15"/>
    <row r="25831" s="76" customFormat="1" ht="21.95" customHeight="1" x14ac:dyDescent="0.15"/>
    <row r="25832" s="76" customFormat="1" ht="21.95" customHeight="1" x14ac:dyDescent="0.15"/>
    <row r="25833" s="76" customFormat="1" ht="21.95" customHeight="1" x14ac:dyDescent="0.15"/>
    <row r="25834" s="76" customFormat="1" ht="21.95" customHeight="1" x14ac:dyDescent="0.15"/>
    <row r="25835" s="76" customFormat="1" ht="21.95" customHeight="1" x14ac:dyDescent="0.15"/>
    <row r="25836" s="76" customFormat="1" ht="21.95" customHeight="1" x14ac:dyDescent="0.15"/>
    <row r="25837" s="76" customFormat="1" ht="21.95" customHeight="1" x14ac:dyDescent="0.15"/>
    <row r="25838" s="76" customFormat="1" ht="21.95" customHeight="1" x14ac:dyDescent="0.15"/>
    <row r="25839" s="76" customFormat="1" ht="21.95" customHeight="1" x14ac:dyDescent="0.15"/>
    <row r="25840" s="76" customFormat="1" ht="21.95" customHeight="1" x14ac:dyDescent="0.15"/>
    <row r="25841" s="76" customFormat="1" ht="21.95" customHeight="1" x14ac:dyDescent="0.15"/>
    <row r="25842" s="76" customFormat="1" ht="21.95" customHeight="1" x14ac:dyDescent="0.15"/>
    <row r="25843" s="76" customFormat="1" ht="21.95" customHeight="1" x14ac:dyDescent="0.15"/>
    <row r="25844" s="76" customFormat="1" ht="21.95" customHeight="1" x14ac:dyDescent="0.15"/>
    <row r="25845" s="76" customFormat="1" ht="21.95" customHeight="1" x14ac:dyDescent="0.15"/>
    <row r="25846" s="76" customFormat="1" ht="21.95" customHeight="1" x14ac:dyDescent="0.15"/>
    <row r="25847" s="76" customFormat="1" ht="21.95" customHeight="1" x14ac:dyDescent="0.15"/>
    <row r="25848" s="76" customFormat="1" ht="21.95" customHeight="1" x14ac:dyDescent="0.15"/>
    <row r="25849" s="76" customFormat="1" ht="35.1" customHeight="1" x14ac:dyDescent="0.15"/>
    <row r="25850" s="76" customFormat="1" ht="21.95" customHeight="1" x14ac:dyDescent="0.15"/>
    <row r="25851" s="76" customFormat="1" ht="21.95" customHeight="1" x14ac:dyDescent="0.15"/>
    <row r="25852" s="76" customFormat="1" ht="21.95" customHeight="1" x14ac:dyDescent="0.15"/>
    <row r="25853" s="76" customFormat="1" ht="21.95" customHeight="1" x14ac:dyDescent="0.15"/>
    <row r="25854" s="76" customFormat="1" ht="21.95" customHeight="1" x14ac:dyDescent="0.15"/>
    <row r="25855" s="76" customFormat="1" ht="21.95" customHeight="1" x14ac:dyDescent="0.15"/>
    <row r="25856" s="76" customFormat="1" ht="21.95" customHeight="1" x14ac:dyDescent="0.15"/>
    <row r="25857" s="76" customFormat="1" ht="21.95" customHeight="1" x14ac:dyDescent="0.15"/>
    <row r="25858" s="76" customFormat="1" ht="21.95" customHeight="1" x14ac:dyDescent="0.15"/>
    <row r="25859" s="76" customFormat="1" ht="21.95" customHeight="1" x14ac:dyDescent="0.15"/>
    <row r="25860" s="76" customFormat="1" ht="21.95" customHeight="1" x14ac:dyDescent="0.15"/>
    <row r="25861" s="76" customFormat="1" ht="21.95" customHeight="1" x14ac:dyDescent="0.15"/>
    <row r="25862" s="76" customFormat="1" ht="21.95" customHeight="1" x14ac:dyDescent="0.15"/>
    <row r="25863" s="76" customFormat="1" ht="21.95" customHeight="1" x14ac:dyDescent="0.15"/>
    <row r="25864" s="76" customFormat="1" ht="21.95" customHeight="1" x14ac:dyDescent="0.15"/>
    <row r="25865" s="76" customFormat="1" ht="21.95" customHeight="1" x14ac:dyDescent="0.15"/>
    <row r="25866" s="76" customFormat="1" ht="21.95" customHeight="1" x14ac:dyDescent="0.15"/>
    <row r="25867" s="76" customFormat="1" ht="21.95" customHeight="1" x14ac:dyDescent="0.15"/>
    <row r="25868" s="76" customFormat="1" ht="21.95" customHeight="1" x14ac:dyDescent="0.15"/>
    <row r="25869" s="76" customFormat="1" ht="21.95" customHeight="1" x14ac:dyDescent="0.15"/>
    <row r="25870" s="76" customFormat="1" ht="21.95" customHeight="1" x14ac:dyDescent="0.15"/>
    <row r="25871" s="76" customFormat="1" ht="21.95" customHeight="1" x14ac:dyDescent="0.15"/>
    <row r="25872" s="76" customFormat="1" ht="21.95" customHeight="1" x14ac:dyDescent="0.15"/>
    <row r="25873" spans="3:3" customFormat="1" ht="21.95" customHeight="1" x14ac:dyDescent="0.15"/>
    <row r="25874" spans="3:3" customFormat="1" ht="21.95" customHeight="1" x14ac:dyDescent="0.15"/>
    <row r="25875" spans="3:3" customFormat="1" ht="21.95" customHeight="1" x14ac:dyDescent="0.15">
      <c r="C25875" s="94"/>
    </row>
    <row r="25876" spans="3:3" customFormat="1" ht="21.95" customHeight="1" x14ac:dyDescent="0.15">
      <c r="C25876" s="94"/>
    </row>
    <row r="25877" spans="3:3" customFormat="1" ht="21.95" customHeight="1" x14ac:dyDescent="0.15"/>
    <row r="25878" spans="3:3" customFormat="1" ht="21.95" customHeight="1" x14ac:dyDescent="0.15"/>
    <row r="25879" spans="3:3" customFormat="1" ht="21.95" customHeight="1" x14ac:dyDescent="0.15"/>
    <row r="25880" spans="3:3" customFormat="1" ht="21.95" customHeight="1" x14ac:dyDescent="0.15"/>
    <row r="25881" spans="3:3" customFormat="1" ht="21.95" customHeight="1" x14ac:dyDescent="0.15"/>
    <row r="25882" spans="3:3" customFormat="1" ht="21.95" customHeight="1" x14ac:dyDescent="0.15"/>
    <row r="25883" spans="3:3" customFormat="1" ht="21.95" customHeight="1" x14ac:dyDescent="0.15"/>
    <row r="25884" spans="3:3" s="76" customFormat="1" ht="21.95" customHeight="1" x14ac:dyDescent="0.15"/>
    <row r="25885" spans="3:3" s="76" customFormat="1" ht="21.95" customHeight="1" x14ac:dyDescent="0.15"/>
    <row r="25886" spans="3:3" s="76" customFormat="1" ht="21.95" customHeight="1" x14ac:dyDescent="0.15"/>
    <row r="25887" spans="3:3" s="76" customFormat="1" ht="21.95" customHeight="1" x14ac:dyDescent="0.15"/>
    <row r="25888" spans="3:3" customFormat="1" ht="21.95" customHeight="1" x14ac:dyDescent="0.15"/>
    <row r="25889" customFormat="1" ht="21.95" customHeight="1" x14ac:dyDescent="0.15"/>
    <row r="25890" customFormat="1" ht="21.95" customHeight="1" x14ac:dyDescent="0.15"/>
    <row r="25891" customFormat="1" ht="21.95" customHeight="1" x14ac:dyDescent="0.15"/>
    <row r="25892" customFormat="1" ht="21.95" customHeight="1" x14ac:dyDescent="0.15"/>
    <row r="25893" customFormat="1" ht="21.95" customHeight="1" x14ac:dyDescent="0.15"/>
    <row r="25894" customFormat="1" ht="21.95" customHeight="1" x14ac:dyDescent="0.15"/>
    <row r="25895" customFormat="1" ht="21.95" customHeight="1" x14ac:dyDescent="0.15"/>
    <row r="25896" customFormat="1" ht="21.95" customHeight="1" x14ac:dyDescent="0.15"/>
    <row r="25897" customFormat="1" ht="21.95" customHeight="1" x14ac:dyDescent="0.15"/>
    <row r="25898" customFormat="1" ht="21.95" customHeight="1" x14ac:dyDescent="0.15"/>
    <row r="25899" customFormat="1" ht="32.1" customHeight="1" x14ac:dyDescent="0.15"/>
    <row r="25900" customFormat="1" ht="32.1" customHeight="1" x14ac:dyDescent="0.15"/>
    <row r="25901" customFormat="1" ht="32.1" customHeight="1" x14ac:dyDescent="0.15"/>
    <row r="25902" customFormat="1" ht="32.1" customHeight="1" x14ac:dyDescent="0.15"/>
    <row r="25903" customFormat="1" ht="32.1" customHeight="1" x14ac:dyDescent="0.15"/>
    <row r="25904" customFormat="1" ht="32.1" customHeight="1" x14ac:dyDescent="0.15"/>
    <row r="25905" s="76" customFormat="1" ht="32.1" customHeight="1" x14ac:dyDescent="0.15"/>
    <row r="25906" s="76" customFormat="1" ht="32.1" customHeight="1" x14ac:dyDescent="0.15"/>
    <row r="25907" s="76" customFormat="1" ht="32.1" customHeight="1" x14ac:dyDescent="0.15"/>
    <row r="25908" s="76" customFormat="1" ht="32.1" customHeight="1" x14ac:dyDescent="0.15"/>
    <row r="25909" s="76" customFormat="1" ht="21.95" customHeight="1" x14ac:dyDescent="0.15"/>
    <row r="25910" s="76" customFormat="1" ht="54" customHeight="1" x14ac:dyDescent="0.15"/>
    <row r="25911" s="76" customFormat="1" ht="21.95" customHeight="1" x14ac:dyDescent="0.15"/>
    <row r="25912" s="76" customFormat="1" ht="21.95" customHeight="1" x14ac:dyDescent="0.15"/>
    <row r="25913" s="76" customFormat="1" ht="21.95" customHeight="1" x14ac:dyDescent="0.15"/>
    <row r="25914" s="76" customFormat="1" ht="21.95" customHeight="1" x14ac:dyDescent="0.15"/>
    <row r="25915" s="76" customFormat="1" ht="21.95" customHeight="1" x14ac:dyDescent="0.15"/>
    <row r="25916" s="76" customFormat="1" ht="21.95" customHeight="1" x14ac:dyDescent="0.15"/>
    <row r="25917" s="76" customFormat="1" ht="21.95" customHeight="1" x14ac:dyDescent="0.15"/>
    <row r="25918" s="76" customFormat="1" ht="21.95" customHeight="1" x14ac:dyDescent="0.15"/>
    <row r="25919" s="76" customFormat="1" ht="21.95" customHeight="1" x14ac:dyDescent="0.15"/>
    <row r="25920" s="76" customFormat="1" ht="21.95" customHeight="1" x14ac:dyDescent="0.15"/>
    <row r="25921" s="76" customFormat="1" ht="21.95" customHeight="1" x14ac:dyDescent="0.15"/>
    <row r="25922" s="76" customFormat="1" ht="21.95" customHeight="1" x14ac:dyDescent="0.15"/>
    <row r="25923" s="76" customFormat="1" ht="21.95" customHeight="1" x14ac:dyDescent="0.15"/>
    <row r="25924" s="76" customFormat="1" ht="21.95" customHeight="1" x14ac:dyDescent="0.15"/>
    <row r="25925" s="76" customFormat="1" ht="21.95" customHeight="1" x14ac:dyDescent="0.15"/>
    <row r="25926" s="76" customFormat="1" ht="21.95" customHeight="1" x14ac:dyDescent="0.15"/>
    <row r="25927" s="76" customFormat="1" ht="21.95" customHeight="1" x14ac:dyDescent="0.15"/>
    <row r="25928" s="76" customFormat="1" ht="21.95" customHeight="1" x14ac:dyDescent="0.15"/>
    <row r="25929" s="76" customFormat="1" ht="21.95" customHeight="1" x14ac:dyDescent="0.15"/>
    <row r="25930" s="76" customFormat="1" ht="21.95" customHeight="1" x14ac:dyDescent="0.15"/>
    <row r="25931" s="76" customFormat="1" ht="21.95" customHeight="1" x14ac:dyDescent="0.15"/>
    <row r="25932" s="76" customFormat="1" ht="21.95" customHeight="1" x14ac:dyDescent="0.15"/>
    <row r="25933" s="76" customFormat="1" ht="21.95" customHeight="1" x14ac:dyDescent="0.15"/>
    <row r="25934" s="76" customFormat="1" ht="21.95" customHeight="1" x14ac:dyDescent="0.15"/>
    <row r="25935" s="76" customFormat="1" ht="21.95" customHeight="1" x14ac:dyDescent="0.15"/>
    <row r="25936" s="76" customFormat="1" ht="21.95" customHeight="1" x14ac:dyDescent="0.15"/>
    <row r="25937" s="76" customFormat="1" ht="21.95" customHeight="1" x14ac:dyDescent="0.15"/>
    <row r="25938" s="76" customFormat="1" ht="21.95" customHeight="1" x14ac:dyDescent="0.15"/>
    <row r="25939" s="76" customFormat="1" ht="21.95" customHeight="1" x14ac:dyDescent="0.15"/>
    <row r="25940" s="76" customFormat="1" ht="21.95" customHeight="1" x14ac:dyDescent="0.15"/>
    <row r="25941" s="76" customFormat="1" ht="21.95" customHeight="1" x14ac:dyDescent="0.15"/>
    <row r="25942" s="76" customFormat="1" ht="21.95" customHeight="1" x14ac:dyDescent="0.15"/>
    <row r="25943" s="76" customFormat="1" ht="21.95" customHeight="1" x14ac:dyDescent="0.15"/>
    <row r="25944" s="76" customFormat="1" ht="21.95" customHeight="1" x14ac:dyDescent="0.15"/>
    <row r="25945" s="76" customFormat="1" ht="21.95" customHeight="1" x14ac:dyDescent="0.15"/>
    <row r="25946" s="76" customFormat="1" ht="21.95" customHeight="1" x14ac:dyDescent="0.15"/>
    <row r="25947" s="76" customFormat="1" ht="21.95" customHeight="1" x14ac:dyDescent="0.15"/>
    <row r="25948" s="76" customFormat="1" ht="21.95" customHeight="1" x14ac:dyDescent="0.15"/>
    <row r="25949" s="76" customFormat="1" ht="21.95" customHeight="1" x14ac:dyDescent="0.15"/>
    <row r="25950" s="76" customFormat="1" ht="21.95" customHeight="1" x14ac:dyDescent="0.15"/>
    <row r="25951" s="76" customFormat="1" ht="21.95" customHeight="1" x14ac:dyDescent="0.15"/>
    <row r="25952" s="76" customFormat="1" ht="21.95" customHeight="1" x14ac:dyDescent="0.15"/>
    <row r="25953" s="76" customFormat="1" ht="21.95" customHeight="1" x14ac:dyDescent="0.15"/>
    <row r="25954" s="76" customFormat="1" ht="21.95" customHeight="1" x14ac:dyDescent="0.15"/>
    <row r="25955" s="76" customFormat="1" ht="21.95" customHeight="1" x14ac:dyDescent="0.15"/>
    <row r="25956" s="76" customFormat="1" ht="21.95" customHeight="1" x14ac:dyDescent="0.15"/>
    <row r="25957" s="76" customFormat="1" ht="21.95" customHeight="1" x14ac:dyDescent="0.15"/>
    <row r="25958" s="76" customFormat="1" ht="21.95" customHeight="1" x14ac:dyDescent="0.15"/>
    <row r="25959" s="76" customFormat="1" ht="21.95" customHeight="1" x14ac:dyDescent="0.15"/>
    <row r="25960" s="76" customFormat="1" ht="21.95" customHeight="1" x14ac:dyDescent="0.15"/>
    <row r="25961" s="76" customFormat="1" ht="35.1" customHeight="1" x14ac:dyDescent="0.15"/>
    <row r="25962" s="76" customFormat="1" ht="21.95" customHeight="1" x14ac:dyDescent="0.15"/>
    <row r="25963" s="76" customFormat="1" ht="21.95" customHeight="1" x14ac:dyDescent="0.15"/>
    <row r="25964" s="76" customFormat="1" ht="21.95" customHeight="1" x14ac:dyDescent="0.15"/>
    <row r="25965" s="76" customFormat="1" ht="21.95" customHeight="1" x14ac:dyDescent="0.15"/>
    <row r="25966" s="76" customFormat="1" ht="21.95" customHeight="1" x14ac:dyDescent="0.15"/>
    <row r="25967" s="76" customFormat="1" ht="21.95" customHeight="1" x14ac:dyDescent="0.15"/>
    <row r="25968" s="76" customFormat="1" ht="21.95" customHeight="1" x14ac:dyDescent="0.15"/>
    <row r="25969" s="76" customFormat="1" ht="21.95" customHeight="1" x14ac:dyDescent="0.15"/>
    <row r="25970" s="76" customFormat="1" ht="21.95" customHeight="1" x14ac:dyDescent="0.15"/>
    <row r="25971" s="76" customFormat="1" ht="21.95" customHeight="1" x14ac:dyDescent="0.15"/>
    <row r="25972" s="76" customFormat="1" ht="21.95" customHeight="1" x14ac:dyDescent="0.15"/>
    <row r="25973" s="76" customFormat="1" ht="21.95" customHeight="1" x14ac:dyDescent="0.15"/>
    <row r="25974" s="76" customFormat="1" ht="21.95" customHeight="1" x14ac:dyDescent="0.15"/>
    <row r="25975" s="76" customFormat="1" ht="21.95" customHeight="1" x14ac:dyDescent="0.15"/>
    <row r="25976" s="76" customFormat="1" ht="21.95" customHeight="1" x14ac:dyDescent="0.15"/>
    <row r="25977" s="76" customFormat="1" ht="21.95" customHeight="1" x14ac:dyDescent="0.15"/>
    <row r="25978" s="76" customFormat="1" ht="21.95" customHeight="1" x14ac:dyDescent="0.15"/>
    <row r="25979" s="76" customFormat="1" ht="21.95" customHeight="1" x14ac:dyDescent="0.15"/>
    <row r="25980" s="76" customFormat="1" ht="21.95" customHeight="1" x14ac:dyDescent="0.15"/>
    <row r="25981" s="76" customFormat="1" ht="21.95" customHeight="1" x14ac:dyDescent="0.15"/>
    <row r="25982" s="76" customFormat="1" ht="21.95" customHeight="1" x14ac:dyDescent="0.15"/>
    <row r="25983" s="76" customFormat="1" ht="21.95" customHeight="1" x14ac:dyDescent="0.15"/>
    <row r="25984" s="76" customFormat="1" ht="21.95" customHeight="1" x14ac:dyDescent="0.15"/>
    <row r="25985" spans="3:3" customFormat="1" ht="21.95" customHeight="1" x14ac:dyDescent="0.15"/>
    <row r="25986" spans="3:3" customFormat="1" ht="21.95" customHeight="1" x14ac:dyDescent="0.15"/>
    <row r="25987" spans="3:3" customFormat="1" ht="21.95" customHeight="1" x14ac:dyDescent="0.15">
      <c r="C25987" s="94"/>
    </row>
    <row r="25988" spans="3:3" customFormat="1" ht="21.95" customHeight="1" x14ac:dyDescent="0.15">
      <c r="C25988" s="94"/>
    </row>
    <row r="25989" spans="3:3" customFormat="1" ht="21.95" customHeight="1" x14ac:dyDescent="0.15"/>
    <row r="25990" spans="3:3" customFormat="1" ht="21.95" customHeight="1" x14ac:dyDescent="0.15"/>
    <row r="25991" spans="3:3" customFormat="1" ht="21.95" customHeight="1" x14ac:dyDescent="0.15"/>
    <row r="25992" spans="3:3" customFormat="1" ht="21.95" customHeight="1" x14ac:dyDescent="0.15"/>
    <row r="25993" spans="3:3" customFormat="1" ht="21.95" customHeight="1" x14ac:dyDescent="0.15"/>
    <row r="25994" spans="3:3" customFormat="1" ht="21.95" customHeight="1" x14ac:dyDescent="0.15"/>
    <row r="25995" spans="3:3" customFormat="1" ht="21.95" customHeight="1" x14ac:dyDescent="0.15"/>
    <row r="25996" spans="3:3" s="76" customFormat="1" ht="21.95" customHeight="1" x14ac:dyDescent="0.15"/>
    <row r="25997" spans="3:3" s="76" customFormat="1" ht="21.95" customHeight="1" x14ac:dyDescent="0.15"/>
    <row r="25998" spans="3:3" s="76" customFormat="1" ht="21.95" customHeight="1" x14ac:dyDescent="0.15"/>
    <row r="25999" spans="3:3" s="76" customFormat="1" ht="21.95" customHeight="1" x14ac:dyDescent="0.15"/>
    <row r="26000" spans="3:3" customFormat="1" ht="21.95" customHeight="1" x14ac:dyDescent="0.15"/>
    <row r="26001" customFormat="1" ht="21.95" customHeight="1" x14ac:dyDescent="0.15"/>
    <row r="26002" customFormat="1" ht="21.95" customHeight="1" x14ac:dyDescent="0.15"/>
    <row r="26003" customFormat="1" ht="21.95" customHeight="1" x14ac:dyDescent="0.15"/>
    <row r="26004" customFormat="1" ht="21.95" customHeight="1" x14ac:dyDescent="0.15"/>
    <row r="26005" customFormat="1" ht="21.95" customHeight="1" x14ac:dyDescent="0.15"/>
    <row r="26006" customFormat="1" ht="21.95" customHeight="1" x14ac:dyDescent="0.15"/>
    <row r="26007" customFormat="1" ht="21.95" customHeight="1" x14ac:dyDescent="0.15"/>
    <row r="26008" customFormat="1" ht="21.95" customHeight="1" x14ac:dyDescent="0.15"/>
    <row r="26009" customFormat="1" ht="21.95" customHeight="1" x14ac:dyDescent="0.15"/>
    <row r="26010" customFormat="1" ht="21.95" customHeight="1" x14ac:dyDescent="0.15"/>
    <row r="26011" customFormat="1" ht="32.1" customHeight="1" x14ac:dyDescent="0.15"/>
    <row r="26012" customFormat="1" ht="32.1" customHeight="1" x14ac:dyDescent="0.15"/>
    <row r="26013" customFormat="1" ht="32.1" customHeight="1" x14ac:dyDescent="0.15"/>
    <row r="26014" customFormat="1" ht="32.1" customHeight="1" x14ac:dyDescent="0.15"/>
    <row r="26015" customFormat="1" ht="32.1" customHeight="1" x14ac:dyDescent="0.15"/>
    <row r="26016" customFormat="1" ht="32.1" customHeight="1" x14ac:dyDescent="0.15"/>
    <row r="26017" s="76" customFormat="1" ht="32.1" customHeight="1" x14ac:dyDescent="0.15"/>
    <row r="26018" s="76" customFormat="1" ht="32.1" customHeight="1" x14ac:dyDescent="0.15"/>
    <row r="26019" s="76" customFormat="1" ht="32.1" customHeight="1" x14ac:dyDescent="0.15"/>
    <row r="26020" s="76" customFormat="1" ht="32.1" customHeight="1" x14ac:dyDescent="0.15"/>
    <row r="26021" s="76" customFormat="1" ht="21.95" customHeight="1" x14ac:dyDescent="0.15"/>
    <row r="26022" s="76" customFormat="1" ht="54" customHeight="1" x14ac:dyDescent="0.15"/>
    <row r="26023" s="76" customFormat="1" ht="21.95" customHeight="1" x14ac:dyDescent="0.15"/>
    <row r="26024" s="76" customFormat="1" ht="21.95" customHeight="1" x14ac:dyDescent="0.15"/>
    <row r="26025" s="76" customFormat="1" ht="21.95" customHeight="1" x14ac:dyDescent="0.15"/>
    <row r="26026" s="76" customFormat="1" ht="21.95" customHeight="1" x14ac:dyDescent="0.15"/>
    <row r="26027" s="76" customFormat="1" ht="21.95" customHeight="1" x14ac:dyDescent="0.15"/>
    <row r="26028" s="76" customFormat="1" ht="21.95" customHeight="1" x14ac:dyDescent="0.15"/>
    <row r="26029" s="76" customFormat="1" ht="21.95" customHeight="1" x14ac:dyDescent="0.15"/>
    <row r="26030" s="76" customFormat="1" ht="21.95" customHeight="1" x14ac:dyDescent="0.15"/>
    <row r="26031" s="76" customFormat="1" ht="21.95" customHeight="1" x14ac:dyDescent="0.15"/>
    <row r="26032" s="76" customFormat="1" ht="21.95" customHeight="1" x14ac:dyDescent="0.15"/>
    <row r="26033" s="76" customFormat="1" ht="21.95" customHeight="1" x14ac:dyDescent="0.15"/>
    <row r="26034" s="76" customFormat="1" ht="21.95" customHeight="1" x14ac:dyDescent="0.15"/>
    <row r="26035" s="76" customFormat="1" ht="21.95" customHeight="1" x14ac:dyDescent="0.15"/>
    <row r="26036" s="76" customFormat="1" ht="21.95" customHeight="1" x14ac:dyDescent="0.15"/>
    <row r="26037" s="76" customFormat="1" ht="21.95" customHeight="1" x14ac:dyDescent="0.15"/>
    <row r="26038" s="76" customFormat="1" ht="21.95" customHeight="1" x14ac:dyDescent="0.15"/>
    <row r="26039" s="76" customFormat="1" ht="21.95" customHeight="1" x14ac:dyDescent="0.15"/>
    <row r="26040" s="76" customFormat="1" ht="21.95" customHeight="1" x14ac:dyDescent="0.15"/>
    <row r="26041" s="76" customFormat="1" ht="21.95" customHeight="1" x14ac:dyDescent="0.15"/>
    <row r="26042" s="76" customFormat="1" ht="21.95" customHeight="1" x14ac:dyDescent="0.15"/>
    <row r="26043" s="76" customFormat="1" ht="21.95" customHeight="1" x14ac:dyDescent="0.15"/>
    <row r="26044" s="76" customFormat="1" ht="21.95" customHeight="1" x14ac:dyDescent="0.15"/>
    <row r="26045" s="76" customFormat="1" ht="21.95" customHeight="1" x14ac:dyDescent="0.15"/>
    <row r="26046" s="76" customFormat="1" ht="21.95" customHeight="1" x14ac:dyDescent="0.15"/>
    <row r="26047" s="76" customFormat="1" ht="21.95" customHeight="1" x14ac:dyDescent="0.15"/>
    <row r="26048" s="76" customFormat="1" ht="21.95" customHeight="1" x14ac:dyDescent="0.15"/>
    <row r="26049" s="76" customFormat="1" ht="21.95" customHeight="1" x14ac:dyDescent="0.15"/>
    <row r="26050" s="76" customFormat="1" ht="21.95" customHeight="1" x14ac:dyDescent="0.15"/>
    <row r="26051" s="76" customFormat="1" ht="21.95" customHeight="1" x14ac:dyDescent="0.15"/>
    <row r="26052" s="76" customFormat="1" ht="21.95" customHeight="1" x14ac:dyDescent="0.15"/>
    <row r="26053" s="76" customFormat="1" ht="21.95" customHeight="1" x14ac:dyDescent="0.15"/>
    <row r="26054" s="76" customFormat="1" ht="21.95" customHeight="1" x14ac:dyDescent="0.15"/>
    <row r="26055" s="76" customFormat="1" ht="21.95" customHeight="1" x14ac:dyDescent="0.15"/>
    <row r="26056" s="76" customFormat="1" ht="21.95" customHeight="1" x14ac:dyDescent="0.15"/>
    <row r="26057" s="76" customFormat="1" ht="21.95" customHeight="1" x14ac:dyDescent="0.15"/>
    <row r="26058" s="76" customFormat="1" ht="21.95" customHeight="1" x14ac:dyDescent="0.15"/>
    <row r="26059" s="76" customFormat="1" ht="21.95" customHeight="1" x14ac:dyDescent="0.15"/>
    <row r="26060" s="76" customFormat="1" ht="21.95" customHeight="1" x14ac:dyDescent="0.15"/>
    <row r="26061" s="76" customFormat="1" ht="21.95" customHeight="1" x14ac:dyDescent="0.15"/>
    <row r="26062" s="76" customFormat="1" ht="21.95" customHeight="1" x14ac:dyDescent="0.15"/>
    <row r="26063" s="76" customFormat="1" ht="21.95" customHeight="1" x14ac:dyDescent="0.15"/>
    <row r="26064" s="76" customFormat="1" ht="21.95" customHeight="1" x14ac:dyDescent="0.15"/>
    <row r="26065" s="76" customFormat="1" ht="21.95" customHeight="1" x14ac:dyDescent="0.15"/>
    <row r="26066" s="76" customFormat="1" ht="21.95" customHeight="1" x14ac:dyDescent="0.15"/>
    <row r="26067" s="76" customFormat="1" ht="21.95" customHeight="1" x14ac:dyDescent="0.15"/>
    <row r="26068" s="76" customFormat="1" ht="21.95" customHeight="1" x14ac:dyDescent="0.15"/>
    <row r="26069" s="76" customFormat="1" ht="21.95" customHeight="1" x14ac:dyDescent="0.15"/>
    <row r="26070" s="76" customFormat="1" ht="21.95" customHeight="1" x14ac:dyDescent="0.15"/>
    <row r="26071" s="76" customFormat="1" ht="21.95" customHeight="1" x14ac:dyDescent="0.15"/>
    <row r="26072" s="76" customFormat="1" ht="21.95" customHeight="1" x14ac:dyDescent="0.15"/>
    <row r="26073" s="76" customFormat="1" ht="35.1" customHeight="1" x14ac:dyDescent="0.15"/>
    <row r="26074" s="76" customFormat="1" ht="21.95" customHeight="1" x14ac:dyDescent="0.15"/>
    <row r="26075" s="76" customFormat="1" ht="21.95" customHeight="1" x14ac:dyDescent="0.15"/>
    <row r="26076" s="76" customFormat="1" ht="21.95" customHeight="1" x14ac:dyDescent="0.15"/>
    <row r="26077" s="76" customFormat="1" ht="21.95" customHeight="1" x14ac:dyDescent="0.15"/>
    <row r="26078" s="76" customFormat="1" ht="21.95" customHeight="1" x14ac:dyDescent="0.15"/>
    <row r="26079" s="76" customFormat="1" ht="21.95" customHeight="1" x14ac:dyDescent="0.15"/>
    <row r="26080" s="76" customFormat="1" ht="21.95" customHeight="1" x14ac:dyDescent="0.15"/>
    <row r="26081" s="76" customFormat="1" ht="21.95" customHeight="1" x14ac:dyDescent="0.15"/>
    <row r="26082" s="76" customFormat="1" ht="21.95" customHeight="1" x14ac:dyDescent="0.15"/>
    <row r="26083" s="76" customFormat="1" ht="21.95" customHeight="1" x14ac:dyDescent="0.15"/>
    <row r="26084" s="76" customFormat="1" ht="21.95" customHeight="1" x14ac:dyDescent="0.15"/>
    <row r="26085" s="76" customFormat="1" ht="21.95" customHeight="1" x14ac:dyDescent="0.15"/>
    <row r="26086" s="76" customFormat="1" ht="21.95" customHeight="1" x14ac:dyDescent="0.15"/>
    <row r="26087" s="76" customFormat="1" ht="21.95" customHeight="1" x14ac:dyDescent="0.15"/>
    <row r="26088" s="76" customFormat="1" ht="21.95" customHeight="1" x14ac:dyDescent="0.15"/>
    <row r="26089" s="76" customFormat="1" ht="21.95" customHeight="1" x14ac:dyDescent="0.15"/>
    <row r="26090" s="76" customFormat="1" ht="21.95" customHeight="1" x14ac:dyDescent="0.15"/>
    <row r="26091" s="76" customFormat="1" ht="21.95" customHeight="1" x14ac:dyDescent="0.15"/>
    <row r="26092" s="76" customFormat="1" ht="21.95" customHeight="1" x14ac:dyDescent="0.15"/>
    <row r="26093" s="76" customFormat="1" ht="21.95" customHeight="1" x14ac:dyDescent="0.15"/>
    <row r="26094" s="76" customFormat="1" ht="21.95" customHeight="1" x14ac:dyDescent="0.15"/>
    <row r="26095" s="76" customFormat="1" ht="21.95" customHeight="1" x14ac:dyDescent="0.15"/>
    <row r="26096" s="76" customFormat="1" ht="21.95" customHeight="1" x14ac:dyDescent="0.15"/>
    <row r="26097" spans="3:3" customFormat="1" ht="21.95" customHeight="1" x14ac:dyDescent="0.15"/>
    <row r="26098" spans="3:3" customFormat="1" ht="21.95" customHeight="1" x14ac:dyDescent="0.15"/>
    <row r="26099" spans="3:3" customFormat="1" ht="21.95" customHeight="1" x14ac:dyDescent="0.15">
      <c r="C26099" s="94"/>
    </row>
    <row r="26100" spans="3:3" customFormat="1" ht="21.95" customHeight="1" x14ac:dyDescent="0.15">
      <c r="C26100" s="94"/>
    </row>
    <row r="26101" spans="3:3" customFormat="1" ht="21.95" customHeight="1" x14ac:dyDescent="0.15"/>
    <row r="26102" spans="3:3" customFormat="1" ht="21.95" customHeight="1" x14ac:dyDescent="0.15"/>
    <row r="26103" spans="3:3" customFormat="1" ht="21.95" customHeight="1" x14ac:dyDescent="0.15"/>
    <row r="26104" spans="3:3" customFormat="1" ht="21.95" customHeight="1" x14ac:dyDescent="0.15"/>
    <row r="26105" spans="3:3" customFormat="1" ht="21.95" customHeight="1" x14ac:dyDescent="0.15"/>
    <row r="26106" spans="3:3" customFormat="1" ht="21.95" customHeight="1" x14ac:dyDescent="0.15"/>
    <row r="26107" spans="3:3" customFormat="1" ht="21.95" customHeight="1" x14ac:dyDescent="0.15"/>
    <row r="26108" spans="3:3" s="76" customFormat="1" ht="21.95" customHeight="1" x14ac:dyDescent="0.15"/>
    <row r="26109" spans="3:3" s="76" customFormat="1" ht="21.95" customHeight="1" x14ac:dyDescent="0.15"/>
    <row r="26110" spans="3:3" s="76" customFormat="1" ht="21.95" customHeight="1" x14ac:dyDescent="0.15"/>
    <row r="26111" spans="3:3" s="76" customFormat="1" ht="21.95" customHeight="1" x14ac:dyDescent="0.15"/>
    <row r="26112" spans="3:3" customFormat="1" ht="21.95" customHeight="1" x14ac:dyDescent="0.15"/>
    <row r="26113" customFormat="1" ht="21.95" customHeight="1" x14ac:dyDescent="0.15"/>
    <row r="26114" customFormat="1" ht="21.95" customHeight="1" x14ac:dyDescent="0.15"/>
    <row r="26115" customFormat="1" ht="21.95" customHeight="1" x14ac:dyDescent="0.15"/>
    <row r="26116" customFormat="1" ht="21.95" customHeight="1" x14ac:dyDescent="0.15"/>
    <row r="26117" customFormat="1" ht="21.95" customHeight="1" x14ac:dyDescent="0.15"/>
    <row r="26118" customFormat="1" ht="21.95" customHeight="1" x14ac:dyDescent="0.15"/>
    <row r="26119" customFormat="1" ht="21.95" customHeight="1" x14ac:dyDescent="0.15"/>
    <row r="26120" customFormat="1" ht="21.95" customHeight="1" x14ac:dyDescent="0.15"/>
    <row r="26121" customFormat="1" ht="21.95" customHeight="1" x14ac:dyDescent="0.15"/>
    <row r="26122" customFormat="1" ht="21.95" customHeight="1" x14ac:dyDescent="0.15"/>
    <row r="26123" customFormat="1" ht="32.1" customHeight="1" x14ac:dyDescent="0.15"/>
    <row r="26124" customFormat="1" ht="32.1" customHeight="1" x14ac:dyDescent="0.15"/>
    <row r="26125" customFormat="1" ht="32.1" customHeight="1" x14ac:dyDescent="0.15"/>
    <row r="26126" customFormat="1" ht="32.1" customHeight="1" x14ac:dyDescent="0.15"/>
    <row r="26127" customFormat="1" ht="32.1" customHeight="1" x14ac:dyDescent="0.15"/>
    <row r="26128" customFormat="1" ht="32.1" customHeight="1" x14ac:dyDescent="0.15"/>
    <row r="26129" s="76" customFormat="1" ht="32.1" customHeight="1" x14ac:dyDescent="0.15"/>
    <row r="26130" s="76" customFormat="1" ht="32.1" customHeight="1" x14ac:dyDescent="0.15"/>
    <row r="26131" s="76" customFormat="1" ht="32.1" customHeight="1" x14ac:dyDescent="0.15"/>
    <row r="26132" s="76" customFormat="1" ht="32.1" customHeight="1" x14ac:dyDescent="0.15"/>
    <row r="26133" s="76" customFormat="1" ht="21.95" customHeight="1" x14ac:dyDescent="0.15"/>
    <row r="26134" s="76" customFormat="1" ht="54" customHeight="1" x14ac:dyDescent="0.15"/>
    <row r="26135" s="76" customFormat="1" ht="21.95" customHeight="1" x14ac:dyDescent="0.15"/>
    <row r="26136" s="76" customFormat="1" ht="21.95" customHeight="1" x14ac:dyDescent="0.15"/>
    <row r="26137" s="76" customFormat="1" ht="21.95" customHeight="1" x14ac:dyDescent="0.15"/>
    <row r="26138" s="76" customFormat="1" ht="21.95" customHeight="1" x14ac:dyDescent="0.15"/>
    <row r="26139" s="76" customFormat="1" ht="21.95" customHeight="1" x14ac:dyDescent="0.15"/>
    <row r="26140" s="76" customFormat="1" ht="21.95" customHeight="1" x14ac:dyDescent="0.15"/>
    <row r="26141" s="76" customFormat="1" ht="21.95" customHeight="1" x14ac:dyDescent="0.15"/>
    <row r="26142" s="76" customFormat="1" ht="21.95" customHeight="1" x14ac:dyDescent="0.15"/>
    <row r="26143" s="76" customFormat="1" ht="21.95" customHeight="1" x14ac:dyDescent="0.15"/>
    <row r="26144" s="76" customFormat="1" ht="21.95" customHeight="1" x14ac:dyDescent="0.15"/>
    <row r="26145" s="76" customFormat="1" ht="21.95" customHeight="1" x14ac:dyDescent="0.15"/>
    <row r="26146" s="76" customFormat="1" ht="21.95" customHeight="1" x14ac:dyDescent="0.15"/>
    <row r="26147" s="76" customFormat="1" ht="21.95" customHeight="1" x14ac:dyDescent="0.15"/>
    <row r="26148" s="76" customFormat="1" ht="21.95" customHeight="1" x14ac:dyDescent="0.15"/>
    <row r="26149" s="76" customFormat="1" ht="21.95" customHeight="1" x14ac:dyDescent="0.15"/>
    <row r="26150" s="76" customFormat="1" ht="21.95" customHeight="1" x14ac:dyDescent="0.15"/>
    <row r="26151" s="76" customFormat="1" ht="21.95" customHeight="1" x14ac:dyDescent="0.15"/>
    <row r="26152" s="76" customFormat="1" ht="21.95" customHeight="1" x14ac:dyDescent="0.15"/>
    <row r="26153" s="76" customFormat="1" ht="21.95" customHeight="1" x14ac:dyDescent="0.15"/>
    <row r="26154" s="76" customFormat="1" ht="21.95" customHeight="1" x14ac:dyDescent="0.15"/>
    <row r="26155" s="76" customFormat="1" ht="21.95" customHeight="1" x14ac:dyDescent="0.15"/>
    <row r="26156" s="76" customFormat="1" ht="21.95" customHeight="1" x14ac:dyDescent="0.15"/>
    <row r="26157" s="76" customFormat="1" ht="21.95" customHeight="1" x14ac:dyDescent="0.15"/>
    <row r="26158" s="76" customFormat="1" ht="21.95" customHeight="1" x14ac:dyDescent="0.15"/>
    <row r="26159" s="76" customFormat="1" ht="21.95" customHeight="1" x14ac:dyDescent="0.15"/>
    <row r="26160" s="76" customFormat="1" ht="21.95" customHeight="1" x14ac:dyDescent="0.15"/>
    <row r="26161" s="76" customFormat="1" ht="21.95" customHeight="1" x14ac:dyDescent="0.15"/>
    <row r="26162" s="76" customFormat="1" ht="21.95" customHeight="1" x14ac:dyDescent="0.15"/>
    <row r="26163" s="76" customFormat="1" ht="21.95" customHeight="1" x14ac:dyDescent="0.15"/>
    <row r="26164" s="76" customFormat="1" ht="21.95" customHeight="1" x14ac:dyDescent="0.15"/>
    <row r="26165" s="76" customFormat="1" ht="21.95" customHeight="1" x14ac:dyDescent="0.15"/>
    <row r="26166" s="76" customFormat="1" ht="21.95" customHeight="1" x14ac:dyDescent="0.15"/>
    <row r="26167" s="76" customFormat="1" ht="21.95" customHeight="1" x14ac:dyDescent="0.15"/>
    <row r="26168" s="76" customFormat="1" ht="21.95" customHeight="1" x14ac:dyDescent="0.15"/>
    <row r="26169" s="76" customFormat="1" ht="21.95" customHeight="1" x14ac:dyDescent="0.15"/>
    <row r="26170" s="76" customFormat="1" ht="21.95" customHeight="1" x14ac:dyDescent="0.15"/>
    <row r="26171" s="76" customFormat="1" ht="21.95" customHeight="1" x14ac:dyDescent="0.15"/>
    <row r="26172" s="76" customFormat="1" ht="21.95" customHeight="1" x14ac:dyDescent="0.15"/>
    <row r="26173" s="76" customFormat="1" ht="21.95" customHeight="1" x14ac:dyDescent="0.15"/>
    <row r="26174" s="76" customFormat="1" ht="21.95" customHeight="1" x14ac:dyDescent="0.15"/>
    <row r="26175" s="76" customFormat="1" ht="21.95" customHeight="1" x14ac:dyDescent="0.15"/>
    <row r="26176" s="76" customFormat="1" ht="21.95" customHeight="1" x14ac:dyDescent="0.15"/>
    <row r="26177" s="76" customFormat="1" ht="21.95" customHeight="1" x14ac:dyDescent="0.15"/>
    <row r="26178" s="76" customFormat="1" ht="21.95" customHeight="1" x14ac:dyDescent="0.15"/>
    <row r="26179" s="76" customFormat="1" ht="21.95" customHeight="1" x14ac:dyDescent="0.15"/>
    <row r="26180" s="76" customFormat="1" ht="21.95" customHeight="1" x14ac:dyDescent="0.15"/>
    <row r="26181" s="76" customFormat="1" ht="21.95" customHeight="1" x14ac:dyDescent="0.15"/>
    <row r="26182" s="76" customFormat="1" ht="21.95" customHeight="1" x14ac:dyDescent="0.15"/>
    <row r="26183" s="76" customFormat="1" ht="21.95" customHeight="1" x14ac:dyDescent="0.15"/>
    <row r="26184" s="76" customFormat="1" ht="21.95" customHeight="1" x14ac:dyDescent="0.15"/>
    <row r="26185" s="76" customFormat="1" ht="35.1" customHeight="1" x14ac:dyDescent="0.15"/>
    <row r="26186" s="76" customFormat="1" ht="21.95" customHeight="1" x14ac:dyDescent="0.15"/>
    <row r="26187" s="76" customFormat="1" ht="21.95" customHeight="1" x14ac:dyDescent="0.15"/>
    <row r="26188" s="76" customFormat="1" ht="21.95" customHeight="1" x14ac:dyDescent="0.15"/>
    <row r="26189" s="76" customFormat="1" ht="21.95" customHeight="1" x14ac:dyDescent="0.15"/>
    <row r="26190" s="76" customFormat="1" ht="21.95" customHeight="1" x14ac:dyDescent="0.15"/>
    <row r="26191" s="76" customFormat="1" ht="21.95" customHeight="1" x14ac:dyDescent="0.15"/>
    <row r="26192" s="76" customFormat="1" ht="21.95" customHeight="1" x14ac:dyDescent="0.15"/>
    <row r="26193" s="76" customFormat="1" ht="21.95" customHeight="1" x14ac:dyDescent="0.15"/>
    <row r="26194" s="76" customFormat="1" ht="21.95" customHeight="1" x14ac:dyDescent="0.15"/>
    <row r="26195" s="76" customFormat="1" ht="21.95" customHeight="1" x14ac:dyDescent="0.15"/>
    <row r="26196" s="76" customFormat="1" ht="21.95" customHeight="1" x14ac:dyDescent="0.15"/>
    <row r="26197" s="76" customFormat="1" ht="21.95" customHeight="1" x14ac:dyDescent="0.15"/>
    <row r="26198" s="76" customFormat="1" ht="21.95" customHeight="1" x14ac:dyDescent="0.15"/>
    <row r="26199" s="76" customFormat="1" ht="21.95" customHeight="1" x14ac:dyDescent="0.15"/>
    <row r="26200" s="76" customFormat="1" ht="21.95" customHeight="1" x14ac:dyDescent="0.15"/>
    <row r="26201" s="76" customFormat="1" ht="21.95" customHeight="1" x14ac:dyDescent="0.15"/>
    <row r="26202" s="76" customFormat="1" ht="21.95" customHeight="1" x14ac:dyDescent="0.15"/>
    <row r="26203" s="76" customFormat="1" ht="21.95" customHeight="1" x14ac:dyDescent="0.15"/>
    <row r="26204" s="76" customFormat="1" ht="21.95" customHeight="1" x14ac:dyDescent="0.15"/>
    <row r="26205" s="76" customFormat="1" ht="21.95" customHeight="1" x14ac:dyDescent="0.15"/>
    <row r="26206" s="76" customFormat="1" ht="21.95" customHeight="1" x14ac:dyDescent="0.15"/>
    <row r="26207" s="76" customFormat="1" ht="21.95" customHeight="1" x14ac:dyDescent="0.15"/>
    <row r="26208" s="76" customFormat="1" ht="21.95" customHeight="1" x14ac:dyDescent="0.15"/>
    <row r="26209" spans="3:3" customFormat="1" ht="21.95" customHeight="1" x14ac:dyDescent="0.15"/>
    <row r="26210" spans="3:3" customFormat="1" ht="21.95" customHeight="1" x14ac:dyDescent="0.15"/>
    <row r="26211" spans="3:3" customFormat="1" ht="21.95" customHeight="1" x14ac:dyDescent="0.15">
      <c r="C26211" s="94"/>
    </row>
    <row r="26212" spans="3:3" customFormat="1" ht="21.95" customHeight="1" x14ac:dyDescent="0.15">
      <c r="C26212" s="94"/>
    </row>
    <row r="26213" spans="3:3" customFormat="1" ht="21.95" customHeight="1" x14ac:dyDescent="0.15"/>
    <row r="26214" spans="3:3" customFormat="1" ht="21.95" customHeight="1" x14ac:dyDescent="0.15"/>
    <row r="26215" spans="3:3" customFormat="1" ht="21.95" customHeight="1" x14ac:dyDescent="0.15"/>
    <row r="26216" spans="3:3" customFormat="1" ht="21.95" customHeight="1" x14ac:dyDescent="0.15"/>
    <row r="26217" spans="3:3" customFormat="1" ht="21.95" customHeight="1" x14ac:dyDescent="0.15"/>
    <row r="26218" spans="3:3" customFormat="1" ht="21.95" customHeight="1" x14ac:dyDescent="0.15"/>
    <row r="26219" spans="3:3" customFormat="1" ht="21.95" customHeight="1" x14ac:dyDescent="0.15"/>
    <row r="26220" spans="3:3" s="76" customFormat="1" ht="21.95" customHeight="1" x14ac:dyDescent="0.15"/>
    <row r="26221" spans="3:3" s="76" customFormat="1" ht="21.95" customHeight="1" x14ac:dyDescent="0.15"/>
    <row r="26222" spans="3:3" s="76" customFormat="1" ht="21.95" customHeight="1" x14ac:dyDescent="0.15"/>
    <row r="26223" spans="3:3" s="76" customFormat="1" ht="21.95" customHeight="1" x14ac:dyDescent="0.15"/>
    <row r="26224" spans="3:3" customFormat="1" ht="21.95" customHeight="1" x14ac:dyDescent="0.15"/>
    <row r="26225" customFormat="1" ht="21.95" customHeight="1" x14ac:dyDescent="0.15"/>
    <row r="26226" customFormat="1" ht="21.95" customHeight="1" x14ac:dyDescent="0.15"/>
    <row r="26227" customFormat="1" ht="21.95" customHeight="1" x14ac:dyDescent="0.15"/>
    <row r="26228" customFormat="1" ht="21.95" customHeight="1" x14ac:dyDescent="0.15"/>
    <row r="26229" customFormat="1" ht="21.95" customHeight="1" x14ac:dyDescent="0.15"/>
    <row r="26230" customFormat="1" ht="21.95" customHeight="1" x14ac:dyDescent="0.15"/>
    <row r="26231" customFormat="1" ht="21.95" customHeight="1" x14ac:dyDescent="0.15"/>
    <row r="26232" customFormat="1" ht="21.95" customHeight="1" x14ac:dyDescent="0.15"/>
    <row r="26233" customFormat="1" ht="21.95" customHeight="1" x14ac:dyDescent="0.15"/>
    <row r="26234" customFormat="1" ht="21.95" customHeight="1" x14ac:dyDescent="0.15"/>
    <row r="26235" customFormat="1" ht="32.1" customHeight="1" x14ac:dyDescent="0.15"/>
    <row r="26236" customFormat="1" ht="32.1" customHeight="1" x14ac:dyDescent="0.15"/>
    <row r="26237" customFormat="1" ht="32.1" customHeight="1" x14ac:dyDescent="0.15"/>
    <row r="26238" customFormat="1" ht="32.1" customHeight="1" x14ac:dyDescent="0.15"/>
    <row r="26239" customFormat="1" ht="32.1" customHeight="1" x14ac:dyDescent="0.15"/>
    <row r="26240" customFormat="1" ht="32.1" customHeight="1" x14ac:dyDescent="0.15"/>
    <row r="26241" s="76" customFormat="1" ht="32.1" customHeight="1" x14ac:dyDescent="0.15"/>
    <row r="26242" s="76" customFormat="1" ht="32.1" customHeight="1" x14ac:dyDescent="0.15"/>
    <row r="26243" s="76" customFormat="1" ht="32.1" customHeight="1" x14ac:dyDescent="0.15"/>
    <row r="26244" s="76" customFormat="1" ht="32.1" customHeight="1" x14ac:dyDescent="0.15"/>
    <row r="26245" s="76" customFormat="1" ht="21.95" customHeight="1" x14ac:dyDescent="0.15"/>
    <row r="26246" s="76" customFormat="1" ht="54" customHeight="1" x14ac:dyDescent="0.15"/>
    <row r="26247" s="76" customFormat="1" ht="21.95" customHeight="1" x14ac:dyDescent="0.15"/>
    <row r="26248" s="76" customFormat="1" ht="21.95" customHeight="1" x14ac:dyDescent="0.15"/>
    <row r="26249" s="76" customFormat="1" ht="21.95" customHeight="1" x14ac:dyDescent="0.15"/>
    <row r="26250" s="76" customFormat="1" ht="21.95" customHeight="1" x14ac:dyDescent="0.15"/>
    <row r="26251" s="76" customFormat="1" ht="21.95" customHeight="1" x14ac:dyDescent="0.15"/>
    <row r="26252" s="76" customFormat="1" ht="21.95" customHeight="1" x14ac:dyDescent="0.15"/>
    <row r="26253" s="76" customFormat="1" ht="21.95" customHeight="1" x14ac:dyDescent="0.15"/>
    <row r="26254" s="76" customFormat="1" ht="21.95" customHeight="1" x14ac:dyDescent="0.15"/>
    <row r="26255" s="76" customFormat="1" ht="21.95" customHeight="1" x14ac:dyDescent="0.15"/>
    <row r="26256" s="76" customFormat="1" ht="21.95" customHeight="1" x14ac:dyDescent="0.15"/>
    <row r="26257" s="76" customFormat="1" ht="21.95" customHeight="1" x14ac:dyDescent="0.15"/>
    <row r="26258" s="76" customFormat="1" ht="21.95" customHeight="1" x14ac:dyDescent="0.15"/>
    <row r="26259" s="76" customFormat="1" ht="21.95" customHeight="1" x14ac:dyDescent="0.15"/>
    <row r="26260" s="76" customFormat="1" ht="21.95" customHeight="1" x14ac:dyDescent="0.15"/>
    <row r="26261" s="76" customFormat="1" ht="21.95" customHeight="1" x14ac:dyDescent="0.15"/>
    <row r="26262" s="76" customFormat="1" ht="21.95" customHeight="1" x14ac:dyDescent="0.15"/>
    <row r="26263" s="76" customFormat="1" ht="21.95" customHeight="1" x14ac:dyDescent="0.15"/>
    <row r="26264" s="76" customFormat="1" ht="21.95" customHeight="1" x14ac:dyDescent="0.15"/>
    <row r="26265" s="76" customFormat="1" ht="21.95" customHeight="1" x14ac:dyDescent="0.15"/>
    <row r="26266" s="76" customFormat="1" ht="21.95" customHeight="1" x14ac:dyDescent="0.15"/>
    <row r="26267" s="76" customFormat="1" ht="21.95" customHeight="1" x14ac:dyDescent="0.15"/>
    <row r="26268" s="76" customFormat="1" ht="21.95" customHeight="1" x14ac:dyDescent="0.15"/>
    <row r="26269" s="76" customFormat="1" ht="21.95" customHeight="1" x14ac:dyDescent="0.15"/>
    <row r="26270" s="76" customFormat="1" ht="21.95" customHeight="1" x14ac:dyDescent="0.15"/>
    <row r="26271" s="76" customFormat="1" ht="21.95" customHeight="1" x14ac:dyDescent="0.15"/>
    <row r="26272" s="76" customFormat="1" ht="21.95" customHeight="1" x14ac:dyDescent="0.15"/>
    <row r="26273" s="76" customFormat="1" ht="21.95" customHeight="1" x14ac:dyDescent="0.15"/>
    <row r="26274" s="76" customFormat="1" ht="21.95" customHeight="1" x14ac:dyDescent="0.15"/>
    <row r="26275" s="76" customFormat="1" ht="21.95" customHeight="1" x14ac:dyDescent="0.15"/>
    <row r="26276" s="76" customFormat="1" ht="21.95" customHeight="1" x14ac:dyDescent="0.15"/>
    <row r="26277" s="76" customFormat="1" ht="21.95" customHeight="1" x14ac:dyDescent="0.15"/>
    <row r="26278" s="76" customFormat="1" ht="21.95" customHeight="1" x14ac:dyDescent="0.15"/>
    <row r="26279" s="76" customFormat="1" ht="21.95" customHeight="1" x14ac:dyDescent="0.15"/>
    <row r="26280" s="76" customFormat="1" ht="21.95" customHeight="1" x14ac:dyDescent="0.15"/>
    <row r="26281" s="76" customFormat="1" ht="21.95" customHeight="1" x14ac:dyDescent="0.15"/>
    <row r="26282" s="76" customFormat="1" ht="21.95" customHeight="1" x14ac:dyDescent="0.15"/>
    <row r="26283" s="76" customFormat="1" ht="21.95" customHeight="1" x14ac:dyDescent="0.15"/>
    <row r="26284" s="76" customFormat="1" ht="21.95" customHeight="1" x14ac:dyDescent="0.15"/>
    <row r="26285" s="76" customFormat="1" ht="21.95" customHeight="1" x14ac:dyDescent="0.15"/>
    <row r="26286" s="76" customFormat="1" ht="21.95" customHeight="1" x14ac:dyDescent="0.15"/>
    <row r="26287" s="76" customFormat="1" ht="21.95" customHeight="1" x14ac:dyDescent="0.15"/>
    <row r="26288" s="76" customFormat="1" ht="21.95" customHeight="1" x14ac:dyDescent="0.15"/>
    <row r="26289" s="76" customFormat="1" ht="21.95" customHeight="1" x14ac:dyDescent="0.15"/>
    <row r="26290" s="76" customFormat="1" ht="21.95" customHeight="1" x14ac:dyDescent="0.15"/>
    <row r="26291" s="76" customFormat="1" ht="21.95" customHeight="1" x14ac:dyDescent="0.15"/>
    <row r="26292" s="76" customFormat="1" ht="21.95" customHeight="1" x14ac:dyDescent="0.15"/>
    <row r="26293" s="76" customFormat="1" ht="21.95" customHeight="1" x14ac:dyDescent="0.15"/>
    <row r="26294" s="76" customFormat="1" ht="21.95" customHeight="1" x14ac:dyDescent="0.15"/>
    <row r="26295" s="76" customFormat="1" ht="21.95" customHeight="1" x14ac:dyDescent="0.15"/>
    <row r="26296" s="76" customFormat="1" ht="21.95" customHeight="1" x14ac:dyDescent="0.15"/>
    <row r="26297" s="76" customFormat="1" ht="35.1" customHeight="1" x14ac:dyDescent="0.15"/>
    <row r="26298" s="76" customFormat="1" ht="21.95" customHeight="1" x14ac:dyDescent="0.15"/>
    <row r="26299" s="76" customFormat="1" ht="21.95" customHeight="1" x14ac:dyDescent="0.15"/>
    <row r="26300" s="76" customFormat="1" ht="21.95" customHeight="1" x14ac:dyDescent="0.15"/>
    <row r="26301" s="76" customFormat="1" ht="21.95" customHeight="1" x14ac:dyDescent="0.15"/>
    <row r="26302" s="76" customFormat="1" ht="21.95" customHeight="1" x14ac:dyDescent="0.15"/>
    <row r="26303" s="76" customFormat="1" ht="21.95" customHeight="1" x14ac:dyDescent="0.15"/>
    <row r="26304" s="76" customFormat="1" ht="21.95" customHeight="1" x14ac:dyDescent="0.15"/>
    <row r="26305" s="76" customFormat="1" ht="21.95" customHeight="1" x14ac:dyDescent="0.15"/>
    <row r="26306" s="76" customFormat="1" ht="21.95" customHeight="1" x14ac:dyDescent="0.15"/>
    <row r="26307" s="76" customFormat="1" ht="21.95" customHeight="1" x14ac:dyDescent="0.15"/>
    <row r="26308" s="76" customFormat="1" ht="21.95" customHeight="1" x14ac:dyDescent="0.15"/>
    <row r="26309" s="76" customFormat="1" ht="21.95" customHeight="1" x14ac:dyDescent="0.15"/>
    <row r="26310" s="76" customFormat="1" ht="21.95" customHeight="1" x14ac:dyDescent="0.15"/>
    <row r="26311" s="76" customFormat="1" ht="21.95" customHeight="1" x14ac:dyDescent="0.15"/>
    <row r="26312" s="76" customFormat="1" ht="21.95" customHeight="1" x14ac:dyDescent="0.15"/>
    <row r="26313" s="76" customFormat="1" ht="21.95" customHeight="1" x14ac:dyDescent="0.15"/>
    <row r="26314" s="76" customFormat="1" ht="21.95" customHeight="1" x14ac:dyDescent="0.15"/>
    <row r="26315" s="76" customFormat="1" ht="21.95" customHeight="1" x14ac:dyDescent="0.15"/>
    <row r="26316" s="76" customFormat="1" ht="21.95" customHeight="1" x14ac:dyDescent="0.15"/>
    <row r="26317" s="76" customFormat="1" ht="21.95" customHeight="1" x14ac:dyDescent="0.15"/>
    <row r="26318" s="76" customFormat="1" ht="21.95" customHeight="1" x14ac:dyDescent="0.15"/>
    <row r="26319" s="76" customFormat="1" ht="21.95" customHeight="1" x14ac:dyDescent="0.15"/>
    <row r="26320" s="76" customFormat="1" ht="21.95" customHeight="1" x14ac:dyDescent="0.15"/>
    <row r="26321" spans="3:3" customFormat="1" ht="21.95" customHeight="1" x14ac:dyDescent="0.15"/>
    <row r="26322" spans="3:3" customFormat="1" ht="21.95" customHeight="1" x14ac:dyDescent="0.15"/>
    <row r="26323" spans="3:3" customFormat="1" ht="21.95" customHeight="1" x14ac:dyDescent="0.15">
      <c r="C26323" s="94"/>
    </row>
    <row r="26324" spans="3:3" customFormat="1" ht="21.95" customHeight="1" x14ac:dyDescent="0.15">
      <c r="C26324" s="94"/>
    </row>
    <row r="26325" spans="3:3" customFormat="1" ht="21.95" customHeight="1" x14ac:dyDescent="0.15"/>
    <row r="26326" spans="3:3" customFormat="1" ht="21.95" customHeight="1" x14ac:dyDescent="0.15"/>
    <row r="26327" spans="3:3" customFormat="1" ht="21.95" customHeight="1" x14ac:dyDescent="0.15"/>
    <row r="26328" spans="3:3" customFormat="1" ht="21.95" customHeight="1" x14ac:dyDescent="0.15"/>
    <row r="26329" spans="3:3" customFormat="1" ht="21.95" customHeight="1" x14ac:dyDescent="0.15"/>
    <row r="26330" spans="3:3" customFormat="1" ht="21.95" customHeight="1" x14ac:dyDescent="0.15"/>
    <row r="26331" spans="3:3" customFormat="1" ht="21.95" customHeight="1" x14ac:dyDescent="0.15"/>
    <row r="26332" spans="3:3" s="76" customFormat="1" ht="21.95" customHeight="1" x14ac:dyDescent="0.15"/>
    <row r="26333" spans="3:3" s="76" customFormat="1" ht="21.95" customHeight="1" x14ac:dyDescent="0.15"/>
    <row r="26334" spans="3:3" s="76" customFormat="1" ht="21.95" customHeight="1" x14ac:dyDescent="0.15"/>
    <row r="26335" spans="3:3" s="76" customFormat="1" ht="21.95" customHeight="1" x14ac:dyDescent="0.15"/>
    <row r="26336" spans="3:3" customFormat="1" ht="21.95" customHeight="1" x14ac:dyDescent="0.15"/>
    <row r="26337" customFormat="1" ht="21.95" customHeight="1" x14ac:dyDescent="0.15"/>
    <row r="26338" customFormat="1" ht="21.95" customHeight="1" x14ac:dyDescent="0.15"/>
    <row r="26339" customFormat="1" ht="21.95" customHeight="1" x14ac:dyDescent="0.15"/>
    <row r="26340" customFormat="1" ht="21.95" customHeight="1" x14ac:dyDescent="0.15"/>
    <row r="26341" customFormat="1" ht="21.95" customHeight="1" x14ac:dyDescent="0.15"/>
    <row r="26342" customFormat="1" ht="21.95" customHeight="1" x14ac:dyDescent="0.15"/>
    <row r="26343" customFormat="1" ht="21.95" customHeight="1" x14ac:dyDescent="0.15"/>
    <row r="26344" customFormat="1" ht="21.95" customHeight="1" x14ac:dyDescent="0.15"/>
    <row r="26345" customFormat="1" ht="21.95" customHeight="1" x14ac:dyDescent="0.15"/>
    <row r="26346" customFormat="1" ht="21.95" customHeight="1" x14ac:dyDescent="0.15"/>
    <row r="26347" customFormat="1" ht="32.1" customHeight="1" x14ac:dyDescent="0.15"/>
    <row r="26348" customFormat="1" ht="32.1" customHeight="1" x14ac:dyDescent="0.15"/>
    <row r="26349" customFormat="1" ht="32.1" customHeight="1" x14ac:dyDescent="0.15"/>
    <row r="26350" customFormat="1" ht="32.1" customHeight="1" x14ac:dyDescent="0.15"/>
    <row r="26351" customFormat="1" ht="32.1" customHeight="1" x14ac:dyDescent="0.15"/>
    <row r="26352" customFormat="1" ht="32.1" customHeight="1" x14ac:dyDescent="0.15"/>
    <row r="26353" s="76" customFormat="1" ht="32.1" customHeight="1" x14ac:dyDescent="0.15"/>
    <row r="26354" s="76" customFormat="1" ht="32.1" customHeight="1" x14ac:dyDescent="0.15"/>
    <row r="26355" s="76" customFormat="1" ht="32.1" customHeight="1" x14ac:dyDescent="0.15"/>
    <row r="26356" s="76" customFormat="1" ht="32.1" customHeight="1" x14ac:dyDescent="0.15"/>
    <row r="26357" s="76" customFormat="1" ht="21.95" customHeight="1" x14ac:dyDescent="0.15"/>
    <row r="26358" s="76" customFormat="1" ht="54" customHeight="1" x14ac:dyDescent="0.15"/>
    <row r="26359" s="76" customFormat="1" ht="21.95" customHeight="1" x14ac:dyDescent="0.15"/>
    <row r="26360" s="76" customFormat="1" ht="21.95" customHeight="1" x14ac:dyDescent="0.15"/>
    <row r="26361" s="76" customFormat="1" ht="21.95" customHeight="1" x14ac:dyDescent="0.15"/>
    <row r="26362" s="76" customFormat="1" ht="21.95" customHeight="1" x14ac:dyDescent="0.15"/>
    <row r="26363" s="76" customFormat="1" ht="21.95" customHeight="1" x14ac:dyDescent="0.15"/>
    <row r="26364" s="76" customFormat="1" ht="21.95" customHeight="1" x14ac:dyDescent="0.15"/>
    <row r="26365" s="76" customFormat="1" ht="21.95" customHeight="1" x14ac:dyDescent="0.15"/>
    <row r="26366" s="76" customFormat="1" ht="21.95" customHeight="1" x14ac:dyDescent="0.15"/>
    <row r="26367" s="76" customFormat="1" ht="21.95" customHeight="1" x14ac:dyDescent="0.15"/>
    <row r="26368" s="76" customFormat="1" ht="21.95" customHeight="1" x14ac:dyDescent="0.15"/>
    <row r="26369" s="76" customFormat="1" ht="21.95" customHeight="1" x14ac:dyDescent="0.15"/>
    <row r="26370" s="76" customFormat="1" ht="21.95" customHeight="1" x14ac:dyDescent="0.15"/>
    <row r="26371" s="76" customFormat="1" ht="21.95" customHeight="1" x14ac:dyDescent="0.15"/>
    <row r="26372" s="76" customFormat="1" ht="21.95" customHeight="1" x14ac:dyDescent="0.15"/>
    <row r="26373" s="76" customFormat="1" ht="21.95" customHeight="1" x14ac:dyDescent="0.15"/>
    <row r="26374" s="76" customFormat="1" ht="21.95" customHeight="1" x14ac:dyDescent="0.15"/>
    <row r="26375" s="76" customFormat="1" ht="21.95" customHeight="1" x14ac:dyDescent="0.15"/>
    <row r="26376" s="76" customFormat="1" ht="21.95" customHeight="1" x14ac:dyDescent="0.15"/>
    <row r="26377" s="76" customFormat="1" ht="21.95" customHeight="1" x14ac:dyDescent="0.15"/>
    <row r="26378" s="76" customFormat="1" ht="21.95" customHeight="1" x14ac:dyDescent="0.15"/>
    <row r="26379" s="76" customFormat="1" ht="21.95" customHeight="1" x14ac:dyDescent="0.15"/>
    <row r="26380" s="76" customFormat="1" ht="21.95" customHeight="1" x14ac:dyDescent="0.15"/>
    <row r="26381" s="76" customFormat="1" ht="21.95" customHeight="1" x14ac:dyDescent="0.15"/>
    <row r="26382" s="76" customFormat="1" ht="21.95" customHeight="1" x14ac:dyDescent="0.15"/>
    <row r="26383" s="76" customFormat="1" ht="21.95" customHeight="1" x14ac:dyDescent="0.15"/>
    <row r="26384" s="76" customFormat="1" ht="21.95" customHeight="1" x14ac:dyDescent="0.15"/>
    <row r="26385" s="76" customFormat="1" ht="21.95" customHeight="1" x14ac:dyDescent="0.15"/>
    <row r="26386" s="76" customFormat="1" ht="21.95" customHeight="1" x14ac:dyDescent="0.15"/>
    <row r="26387" s="76" customFormat="1" ht="21.95" customHeight="1" x14ac:dyDescent="0.15"/>
    <row r="26388" s="76" customFormat="1" ht="21.95" customHeight="1" x14ac:dyDescent="0.15"/>
    <row r="26389" s="76" customFormat="1" ht="21.95" customHeight="1" x14ac:dyDescent="0.15"/>
    <row r="26390" s="76" customFormat="1" ht="21.95" customHeight="1" x14ac:dyDescent="0.15"/>
    <row r="26391" s="76" customFormat="1" ht="21.95" customHeight="1" x14ac:dyDescent="0.15"/>
    <row r="26392" s="76" customFormat="1" ht="21.95" customHeight="1" x14ac:dyDescent="0.15"/>
    <row r="26393" s="76" customFormat="1" ht="21.95" customHeight="1" x14ac:dyDescent="0.15"/>
    <row r="26394" s="76" customFormat="1" ht="21.95" customHeight="1" x14ac:dyDescent="0.15"/>
    <row r="26395" s="76" customFormat="1" ht="21.95" customHeight="1" x14ac:dyDescent="0.15"/>
    <row r="26396" s="76" customFormat="1" ht="21.95" customHeight="1" x14ac:dyDescent="0.15"/>
    <row r="26397" s="76" customFormat="1" ht="21.95" customHeight="1" x14ac:dyDescent="0.15"/>
    <row r="26398" s="76" customFormat="1" ht="21.95" customHeight="1" x14ac:dyDescent="0.15"/>
    <row r="26399" s="76" customFormat="1" ht="21.95" customHeight="1" x14ac:dyDescent="0.15"/>
    <row r="26400" s="76" customFormat="1" ht="21.95" customHeight="1" x14ac:dyDescent="0.15"/>
    <row r="26401" s="76" customFormat="1" ht="21.95" customHeight="1" x14ac:dyDescent="0.15"/>
    <row r="26402" s="76" customFormat="1" ht="21.95" customHeight="1" x14ac:dyDescent="0.15"/>
    <row r="26403" s="76" customFormat="1" ht="21.95" customHeight="1" x14ac:dyDescent="0.15"/>
    <row r="26404" s="76" customFormat="1" ht="21.95" customHeight="1" x14ac:dyDescent="0.15"/>
    <row r="26405" s="76" customFormat="1" ht="21.95" customHeight="1" x14ac:dyDescent="0.15"/>
    <row r="26406" s="76" customFormat="1" ht="21.95" customHeight="1" x14ac:dyDescent="0.15"/>
    <row r="26407" s="76" customFormat="1" ht="21.95" customHeight="1" x14ac:dyDescent="0.15"/>
    <row r="26408" s="76" customFormat="1" ht="21.95" customHeight="1" x14ac:dyDescent="0.15"/>
    <row r="26409" s="76" customFormat="1" ht="35.1" customHeight="1" x14ac:dyDescent="0.15"/>
    <row r="26410" s="76" customFormat="1" ht="21.95" customHeight="1" x14ac:dyDescent="0.15"/>
    <row r="26411" s="76" customFormat="1" ht="21.95" customHeight="1" x14ac:dyDescent="0.15"/>
    <row r="26412" s="76" customFormat="1" ht="21.95" customHeight="1" x14ac:dyDescent="0.15"/>
    <row r="26413" s="76" customFormat="1" ht="21.95" customHeight="1" x14ac:dyDescent="0.15"/>
    <row r="26414" s="76" customFormat="1" ht="21.95" customHeight="1" x14ac:dyDescent="0.15"/>
    <row r="26415" s="76" customFormat="1" ht="21.95" customHeight="1" x14ac:dyDescent="0.15"/>
    <row r="26416" s="76" customFormat="1" ht="21.95" customHeight="1" x14ac:dyDescent="0.15"/>
    <row r="26417" s="76" customFormat="1" ht="21.95" customHeight="1" x14ac:dyDescent="0.15"/>
    <row r="26418" s="76" customFormat="1" ht="21.95" customHeight="1" x14ac:dyDescent="0.15"/>
    <row r="26419" s="76" customFormat="1" ht="21.95" customHeight="1" x14ac:dyDescent="0.15"/>
    <row r="26420" s="76" customFormat="1" ht="21.95" customHeight="1" x14ac:dyDescent="0.15"/>
    <row r="26421" s="76" customFormat="1" ht="21.95" customHeight="1" x14ac:dyDescent="0.15"/>
    <row r="26422" s="76" customFormat="1" ht="21.95" customHeight="1" x14ac:dyDescent="0.15"/>
    <row r="26423" s="76" customFormat="1" ht="21.95" customHeight="1" x14ac:dyDescent="0.15"/>
    <row r="26424" s="76" customFormat="1" ht="21.95" customHeight="1" x14ac:dyDescent="0.15"/>
    <row r="26425" s="76" customFormat="1" ht="21.95" customHeight="1" x14ac:dyDescent="0.15"/>
    <row r="26426" s="76" customFormat="1" ht="21.95" customHeight="1" x14ac:dyDescent="0.15"/>
    <row r="26427" s="76" customFormat="1" ht="21.95" customHeight="1" x14ac:dyDescent="0.15"/>
    <row r="26428" s="76" customFormat="1" ht="21.95" customHeight="1" x14ac:dyDescent="0.15"/>
    <row r="26429" s="76" customFormat="1" ht="21.95" customHeight="1" x14ac:dyDescent="0.15"/>
    <row r="26430" s="76" customFormat="1" ht="21.95" customHeight="1" x14ac:dyDescent="0.15"/>
    <row r="26431" s="76" customFormat="1" ht="21.95" customHeight="1" x14ac:dyDescent="0.15"/>
    <row r="26432" s="76" customFormat="1" ht="21.95" customHeight="1" x14ac:dyDescent="0.15"/>
    <row r="26433" spans="3:3" customFormat="1" ht="21.95" customHeight="1" x14ac:dyDescent="0.15"/>
    <row r="26434" spans="3:3" customFormat="1" ht="21.95" customHeight="1" x14ac:dyDescent="0.15"/>
    <row r="26435" spans="3:3" customFormat="1" ht="21.95" customHeight="1" x14ac:dyDescent="0.15">
      <c r="C26435" s="94"/>
    </row>
    <row r="26436" spans="3:3" customFormat="1" ht="21.95" customHeight="1" x14ac:dyDescent="0.15">
      <c r="C26436" s="94"/>
    </row>
    <row r="26437" spans="3:3" customFormat="1" ht="21.95" customHeight="1" x14ac:dyDescent="0.15"/>
    <row r="26438" spans="3:3" customFormat="1" ht="21.95" customHeight="1" x14ac:dyDescent="0.15"/>
    <row r="26439" spans="3:3" customFormat="1" ht="21.95" customHeight="1" x14ac:dyDescent="0.15"/>
    <row r="26440" spans="3:3" customFormat="1" ht="21.95" customHeight="1" x14ac:dyDescent="0.15"/>
    <row r="26441" spans="3:3" customFormat="1" ht="21.95" customHeight="1" x14ac:dyDescent="0.15"/>
    <row r="26442" spans="3:3" customFormat="1" ht="21.95" customHeight="1" x14ac:dyDescent="0.15"/>
    <row r="26443" spans="3:3" customFormat="1" ht="21.95" customHeight="1" x14ac:dyDescent="0.15"/>
    <row r="26444" spans="3:3" s="76" customFormat="1" ht="21.95" customHeight="1" x14ac:dyDescent="0.15"/>
    <row r="26445" spans="3:3" s="76" customFormat="1" ht="21.95" customHeight="1" x14ac:dyDescent="0.15"/>
    <row r="26446" spans="3:3" s="76" customFormat="1" ht="21.95" customHeight="1" x14ac:dyDescent="0.15"/>
    <row r="26447" spans="3:3" s="76" customFormat="1" ht="21.95" customHeight="1" x14ac:dyDescent="0.15"/>
    <row r="26448" spans="3:3" customFormat="1" ht="21.95" customHeight="1" x14ac:dyDescent="0.15"/>
    <row r="26449" customFormat="1" ht="21.95" customHeight="1" x14ac:dyDescent="0.15"/>
    <row r="26450" customFormat="1" ht="21.95" customHeight="1" x14ac:dyDescent="0.15"/>
    <row r="26451" customFormat="1" ht="21.95" customHeight="1" x14ac:dyDescent="0.15"/>
    <row r="26452" customFormat="1" ht="21.95" customHeight="1" x14ac:dyDescent="0.15"/>
    <row r="26453" customFormat="1" ht="21.95" customHeight="1" x14ac:dyDescent="0.15"/>
    <row r="26454" customFormat="1" ht="21.95" customHeight="1" x14ac:dyDescent="0.15"/>
    <row r="26455" customFormat="1" ht="21.95" customHeight="1" x14ac:dyDescent="0.15"/>
    <row r="26456" customFormat="1" ht="21.95" customHeight="1" x14ac:dyDescent="0.15"/>
    <row r="26457" customFormat="1" ht="21.95" customHeight="1" x14ac:dyDescent="0.15"/>
    <row r="26458" customFormat="1" ht="21.95" customHeight="1" x14ac:dyDescent="0.15"/>
    <row r="26459" customFormat="1" ht="32.1" customHeight="1" x14ac:dyDescent="0.15"/>
    <row r="26460" customFormat="1" ht="32.1" customHeight="1" x14ac:dyDescent="0.15"/>
    <row r="26461" customFormat="1" ht="32.1" customHeight="1" x14ac:dyDescent="0.15"/>
    <row r="26462" customFormat="1" ht="32.1" customHeight="1" x14ac:dyDescent="0.15"/>
    <row r="26463" customFormat="1" ht="32.1" customHeight="1" x14ac:dyDescent="0.15"/>
    <row r="26464" customFormat="1" ht="32.1" customHeight="1" x14ac:dyDescent="0.15"/>
    <row r="26465" s="76" customFormat="1" ht="32.1" customHeight="1" x14ac:dyDescent="0.15"/>
    <row r="26466" s="76" customFormat="1" ht="32.1" customHeight="1" x14ac:dyDescent="0.15"/>
    <row r="26467" s="76" customFormat="1" ht="32.1" customHeight="1" x14ac:dyDescent="0.15"/>
    <row r="26468" s="76" customFormat="1" ht="32.1" customHeight="1" x14ac:dyDescent="0.15"/>
    <row r="26469" s="76" customFormat="1" ht="21.95" customHeight="1" x14ac:dyDescent="0.15"/>
    <row r="26470" s="76" customFormat="1" ht="54" customHeight="1" x14ac:dyDescent="0.15"/>
    <row r="26471" s="76" customFormat="1" ht="21.95" customHeight="1" x14ac:dyDescent="0.15"/>
    <row r="26472" s="76" customFormat="1" ht="21.95" customHeight="1" x14ac:dyDescent="0.15"/>
    <row r="26473" s="76" customFormat="1" ht="21.95" customHeight="1" x14ac:dyDescent="0.15"/>
    <row r="26474" s="76" customFormat="1" ht="21.95" customHeight="1" x14ac:dyDescent="0.15"/>
    <row r="26475" s="76" customFormat="1" ht="21.95" customHeight="1" x14ac:dyDescent="0.15"/>
    <row r="26476" s="76" customFormat="1" ht="21.95" customHeight="1" x14ac:dyDescent="0.15"/>
    <row r="26477" s="76" customFormat="1" ht="21.95" customHeight="1" x14ac:dyDescent="0.15"/>
    <row r="26478" s="76" customFormat="1" ht="21.95" customHeight="1" x14ac:dyDescent="0.15"/>
    <row r="26479" s="76" customFormat="1" ht="21.95" customHeight="1" x14ac:dyDescent="0.15"/>
    <row r="26480" s="76" customFormat="1" ht="21.95" customHeight="1" x14ac:dyDescent="0.15"/>
    <row r="26481" s="76" customFormat="1" ht="21.95" customHeight="1" x14ac:dyDescent="0.15"/>
    <row r="26482" s="76" customFormat="1" ht="21.95" customHeight="1" x14ac:dyDescent="0.15"/>
    <row r="26483" s="76" customFormat="1" ht="21.95" customHeight="1" x14ac:dyDescent="0.15"/>
    <row r="26484" s="76" customFormat="1" ht="21.95" customHeight="1" x14ac:dyDescent="0.15"/>
    <row r="26485" s="76" customFormat="1" ht="21.95" customHeight="1" x14ac:dyDescent="0.15"/>
    <row r="26486" s="76" customFormat="1" ht="21.95" customHeight="1" x14ac:dyDescent="0.15"/>
    <row r="26487" s="76" customFormat="1" ht="21.95" customHeight="1" x14ac:dyDescent="0.15"/>
    <row r="26488" s="76" customFormat="1" ht="21.95" customHeight="1" x14ac:dyDescent="0.15"/>
    <row r="26489" s="76" customFormat="1" ht="21.95" customHeight="1" x14ac:dyDescent="0.15"/>
    <row r="26490" s="76" customFormat="1" ht="21.95" customHeight="1" x14ac:dyDescent="0.15"/>
    <row r="26491" s="76" customFormat="1" ht="21.95" customHeight="1" x14ac:dyDescent="0.15"/>
    <row r="26492" s="76" customFormat="1" ht="21.95" customHeight="1" x14ac:dyDescent="0.15"/>
    <row r="26493" s="76" customFormat="1" ht="21.95" customHeight="1" x14ac:dyDescent="0.15"/>
    <row r="26494" s="76" customFormat="1" ht="21.95" customHeight="1" x14ac:dyDescent="0.15"/>
    <row r="26495" s="76" customFormat="1" ht="21.95" customHeight="1" x14ac:dyDescent="0.15"/>
    <row r="26496" s="76" customFormat="1" ht="21.95" customHeight="1" x14ac:dyDescent="0.15"/>
    <row r="26497" s="76" customFormat="1" ht="21.95" customHeight="1" x14ac:dyDescent="0.15"/>
    <row r="26498" s="76" customFormat="1" ht="21.95" customHeight="1" x14ac:dyDescent="0.15"/>
    <row r="26499" s="76" customFormat="1" ht="21.95" customHeight="1" x14ac:dyDescent="0.15"/>
    <row r="26500" s="76" customFormat="1" ht="21.95" customHeight="1" x14ac:dyDescent="0.15"/>
    <row r="26501" s="76" customFormat="1" ht="21.95" customHeight="1" x14ac:dyDescent="0.15"/>
    <row r="26502" s="76" customFormat="1" ht="21.95" customHeight="1" x14ac:dyDescent="0.15"/>
    <row r="26503" s="76" customFormat="1" ht="21.95" customHeight="1" x14ac:dyDescent="0.15"/>
    <row r="26504" s="76" customFormat="1" ht="21.95" customHeight="1" x14ac:dyDescent="0.15"/>
    <row r="26505" s="76" customFormat="1" ht="21.95" customHeight="1" x14ac:dyDescent="0.15"/>
    <row r="26506" s="76" customFormat="1" ht="21.95" customHeight="1" x14ac:dyDescent="0.15"/>
    <row r="26507" s="76" customFormat="1" ht="21.95" customHeight="1" x14ac:dyDescent="0.15"/>
    <row r="26508" s="76" customFormat="1" ht="21.95" customHeight="1" x14ac:dyDescent="0.15"/>
    <row r="26509" s="76" customFormat="1" ht="21.95" customHeight="1" x14ac:dyDescent="0.15"/>
    <row r="26510" s="76" customFormat="1" ht="21.95" customHeight="1" x14ac:dyDescent="0.15"/>
    <row r="26511" s="76" customFormat="1" ht="21.95" customHeight="1" x14ac:dyDescent="0.15"/>
    <row r="26512" s="76" customFormat="1" ht="21.95" customHeight="1" x14ac:dyDescent="0.15"/>
    <row r="26513" s="76" customFormat="1" ht="21.95" customHeight="1" x14ac:dyDescent="0.15"/>
    <row r="26514" s="76" customFormat="1" ht="21.95" customHeight="1" x14ac:dyDescent="0.15"/>
    <row r="26515" s="76" customFormat="1" ht="21.95" customHeight="1" x14ac:dyDescent="0.15"/>
    <row r="26516" s="76" customFormat="1" ht="21.95" customHeight="1" x14ac:dyDescent="0.15"/>
    <row r="26517" s="76" customFormat="1" ht="21.95" customHeight="1" x14ac:dyDescent="0.15"/>
    <row r="26518" s="76" customFormat="1" ht="21.95" customHeight="1" x14ac:dyDescent="0.15"/>
    <row r="26519" s="76" customFormat="1" ht="21.95" customHeight="1" x14ac:dyDescent="0.15"/>
    <row r="26520" s="76" customFormat="1" ht="21.95" customHeight="1" x14ac:dyDescent="0.15"/>
    <row r="26521" s="76" customFormat="1" ht="35.1" customHeight="1" x14ac:dyDescent="0.15"/>
    <row r="26522" s="76" customFormat="1" ht="21.95" customHeight="1" x14ac:dyDescent="0.15"/>
    <row r="26523" s="76" customFormat="1" ht="21.95" customHeight="1" x14ac:dyDescent="0.15"/>
    <row r="26524" s="76" customFormat="1" ht="21.95" customHeight="1" x14ac:dyDescent="0.15"/>
    <row r="26525" s="76" customFormat="1" ht="21.95" customHeight="1" x14ac:dyDescent="0.15"/>
    <row r="26526" s="76" customFormat="1" ht="21.95" customHeight="1" x14ac:dyDescent="0.15"/>
    <row r="26527" s="76" customFormat="1" ht="21.95" customHeight="1" x14ac:dyDescent="0.15"/>
    <row r="26528" s="76" customFormat="1" ht="21.95" customHeight="1" x14ac:dyDescent="0.15"/>
    <row r="26529" s="76" customFormat="1" ht="21.95" customHeight="1" x14ac:dyDescent="0.15"/>
    <row r="26530" s="76" customFormat="1" ht="21.95" customHeight="1" x14ac:dyDescent="0.15"/>
    <row r="26531" s="76" customFormat="1" ht="21.95" customHeight="1" x14ac:dyDescent="0.15"/>
    <row r="26532" s="76" customFormat="1" ht="21.95" customHeight="1" x14ac:dyDescent="0.15"/>
    <row r="26533" s="76" customFormat="1" ht="21.95" customHeight="1" x14ac:dyDescent="0.15"/>
    <row r="26534" s="76" customFormat="1" ht="21.95" customHeight="1" x14ac:dyDescent="0.15"/>
    <row r="26535" s="76" customFormat="1" ht="21.95" customHeight="1" x14ac:dyDescent="0.15"/>
    <row r="26536" s="76" customFormat="1" ht="21.95" customHeight="1" x14ac:dyDescent="0.15"/>
    <row r="26537" s="76" customFormat="1" ht="21.95" customHeight="1" x14ac:dyDescent="0.15"/>
    <row r="26538" s="76" customFormat="1" ht="21.95" customHeight="1" x14ac:dyDescent="0.15"/>
    <row r="26539" s="76" customFormat="1" ht="21.95" customHeight="1" x14ac:dyDescent="0.15"/>
    <row r="26540" s="76" customFormat="1" ht="21.95" customHeight="1" x14ac:dyDescent="0.15"/>
    <row r="26541" s="76" customFormat="1" ht="21.95" customHeight="1" x14ac:dyDescent="0.15"/>
    <row r="26542" s="76" customFormat="1" ht="21.95" customHeight="1" x14ac:dyDescent="0.15"/>
    <row r="26543" s="76" customFormat="1" ht="21.95" customHeight="1" x14ac:dyDescent="0.15"/>
    <row r="26544" s="76" customFormat="1" ht="21.95" customHeight="1" x14ac:dyDescent="0.15"/>
    <row r="26545" spans="3:3" customFormat="1" ht="21.95" customHeight="1" x14ac:dyDescent="0.15"/>
    <row r="26546" spans="3:3" customFormat="1" ht="21.95" customHeight="1" x14ac:dyDescent="0.15"/>
    <row r="26547" spans="3:3" customFormat="1" ht="21.95" customHeight="1" x14ac:dyDescent="0.15">
      <c r="C26547" s="94"/>
    </row>
    <row r="26548" spans="3:3" customFormat="1" ht="21.95" customHeight="1" x14ac:dyDescent="0.15">
      <c r="C26548" s="94"/>
    </row>
    <row r="26549" spans="3:3" customFormat="1" ht="21.95" customHeight="1" x14ac:dyDescent="0.15"/>
    <row r="26550" spans="3:3" customFormat="1" ht="21.95" customHeight="1" x14ac:dyDescent="0.15"/>
    <row r="26551" spans="3:3" customFormat="1" ht="21.95" customHeight="1" x14ac:dyDescent="0.15"/>
    <row r="26552" spans="3:3" customFormat="1" ht="21.95" customHeight="1" x14ac:dyDescent="0.15"/>
    <row r="26553" spans="3:3" customFormat="1" ht="21.95" customHeight="1" x14ac:dyDescent="0.15"/>
    <row r="26554" spans="3:3" customFormat="1" ht="21.95" customHeight="1" x14ac:dyDescent="0.15"/>
    <row r="26555" spans="3:3" customFormat="1" ht="21.95" customHeight="1" x14ac:dyDescent="0.15"/>
    <row r="26556" spans="3:3" s="76" customFormat="1" ht="21.95" customHeight="1" x14ac:dyDescent="0.15"/>
    <row r="26557" spans="3:3" s="76" customFormat="1" ht="21.95" customHeight="1" x14ac:dyDescent="0.15"/>
    <row r="26558" spans="3:3" s="76" customFormat="1" ht="21.95" customHeight="1" x14ac:dyDescent="0.15"/>
    <row r="26559" spans="3:3" s="76" customFormat="1" ht="21.95" customHeight="1" x14ac:dyDescent="0.15"/>
    <row r="26560" spans="3:3" customFormat="1" ht="21.95" customHeight="1" x14ac:dyDescent="0.15"/>
    <row r="26561" customFormat="1" ht="21.95" customHeight="1" x14ac:dyDescent="0.15"/>
    <row r="26562" customFormat="1" ht="21.95" customHeight="1" x14ac:dyDescent="0.15"/>
    <row r="26563" customFormat="1" ht="21.95" customHeight="1" x14ac:dyDescent="0.15"/>
    <row r="26564" customFormat="1" ht="21.95" customHeight="1" x14ac:dyDescent="0.15"/>
    <row r="26565" customFormat="1" ht="21.95" customHeight="1" x14ac:dyDescent="0.15"/>
    <row r="26566" customFormat="1" ht="21.95" customHeight="1" x14ac:dyDescent="0.15"/>
    <row r="26567" customFormat="1" ht="21.95" customHeight="1" x14ac:dyDescent="0.15"/>
    <row r="26568" customFormat="1" ht="21.95" customHeight="1" x14ac:dyDescent="0.15"/>
    <row r="26569" customFormat="1" ht="21.95" customHeight="1" x14ac:dyDescent="0.15"/>
    <row r="26570" customFormat="1" ht="21.95" customHeight="1" x14ac:dyDescent="0.15"/>
    <row r="26571" customFormat="1" ht="32.1" customHeight="1" x14ac:dyDescent="0.15"/>
    <row r="26572" customFormat="1" ht="32.1" customHeight="1" x14ac:dyDescent="0.15"/>
    <row r="26573" customFormat="1" ht="32.1" customHeight="1" x14ac:dyDescent="0.15"/>
    <row r="26574" customFormat="1" ht="32.1" customHeight="1" x14ac:dyDescent="0.15"/>
    <row r="26575" customFormat="1" ht="32.1" customHeight="1" x14ac:dyDescent="0.15"/>
    <row r="26576" customFormat="1" ht="32.1" customHeight="1" x14ac:dyDescent="0.15"/>
    <row r="26577" s="76" customFormat="1" ht="32.1" customHeight="1" x14ac:dyDescent="0.15"/>
    <row r="26578" s="76" customFormat="1" ht="32.1" customHeight="1" x14ac:dyDescent="0.15"/>
    <row r="26579" s="76" customFormat="1" ht="32.1" customHeight="1" x14ac:dyDescent="0.15"/>
    <row r="26580" s="76" customFormat="1" ht="32.1" customHeight="1" x14ac:dyDescent="0.15"/>
    <row r="26581" s="76" customFormat="1" ht="21.95" customHeight="1" x14ac:dyDescent="0.15"/>
    <row r="26582" s="76" customFormat="1" ht="54" customHeight="1" x14ac:dyDescent="0.15"/>
    <row r="26583" s="76" customFormat="1" ht="21.95" customHeight="1" x14ac:dyDescent="0.15"/>
    <row r="26584" s="76" customFormat="1" ht="21.95" customHeight="1" x14ac:dyDescent="0.15"/>
    <row r="26585" s="76" customFormat="1" ht="21.95" customHeight="1" x14ac:dyDescent="0.15"/>
    <row r="26586" s="76" customFormat="1" ht="21.95" customHeight="1" x14ac:dyDescent="0.15"/>
    <row r="26587" s="76" customFormat="1" ht="21.95" customHeight="1" x14ac:dyDescent="0.15"/>
    <row r="26588" s="76" customFormat="1" ht="21.95" customHeight="1" x14ac:dyDescent="0.15"/>
    <row r="26589" s="76" customFormat="1" ht="21.95" customHeight="1" x14ac:dyDescent="0.15"/>
    <row r="26590" s="76" customFormat="1" ht="21.95" customHeight="1" x14ac:dyDescent="0.15"/>
    <row r="26591" s="76" customFormat="1" ht="21.95" customHeight="1" x14ac:dyDescent="0.15"/>
    <row r="26592" s="76" customFormat="1" ht="21.95" customHeight="1" x14ac:dyDescent="0.15"/>
    <row r="26593" s="76" customFormat="1" ht="21.95" customHeight="1" x14ac:dyDescent="0.15"/>
    <row r="26594" s="76" customFormat="1" ht="21.95" customHeight="1" x14ac:dyDescent="0.15"/>
    <row r="26595" s="76" customFormat="1" ht="21.95" customHeight="1" x14ac:dyDescent="0.15"/>
    <row r="26596" s="76" customFormat="1" ht="21.95" customHeight="1" x14ac:dyDescent="0.15"/>
    <row r="26597" s="76" customFormat="1" ht="21.95" customHeight="1" x14ac:dyDescent="0.15"/>
    <row r="26598" s="76" customFormat="1" ht="21.95" customHeight="1" x14ac:dyDescent="0.15"/>
    <row r="26599" s="76" customFormat="1" ht="21.95" customHeight="1" x14ac:dyDescent="0.15"/>
    <row r="26600" s="76" customFormat="1" ht="21.95" customHeight="1" x14ac:dyDescent="0.15"/>
    <row r="26601" s="76" customFormat="1" ht="21.95" customHeight="1" x14ac:dyDescent="0.15"/>
    <row r="26602" s="76" customFormat="1" ht="21.95" customHeight="1" x14ac:dyDescent="0.15"/>
    <row r="26603" s="76" customFormat="1" ht="21.95" customHeight="1" x14ac:dyDescent="0.15"/>
    <row r="26604" s="76" customFormat="1" ht="21.95" customHeight="1" x14ac:dyDescent="0.15"/>
    <row r="26605" s="76" customFormat="1" ht="21.95" customHeight="1" x14ac:dyDescent="0.15"/>
    <row r="26606" s="76" customFormat="1" ht="21.95" customHeight="1" x14ac:dyDescent="0.15"/>
    <row r="26607" s="76" customFormat="1" ht="21.95" customHeight="1" x14ac:dyDescent="0.15"/>
    <row r="26608" s="76" customFormat="1" ht="21.95" customHeight="1" x14ac:dyDescent="0.15"/>
    <row r="26609" s="76" customFormat="1" ht="21.95" customHeight="1" x14ac:dyDescent="0.15"/>
    <row r="26610" s="76" customFormat="1" ht="21.95" customHeight="1" x14ac:dyDescent="0.15"/>
    <row r="26611" s="76" customFormat="1" ht="21.95" customHeight="1" x14ac:dyDescent="0.15"/>
    <row r="26612" s="76" customFormat="1" ht="21.95" customHeight="1" x14ac:dyDescent="0.15"/>
    <row r="26613" s="76" customFormat="1" ht="21.95" customHeight="1" x14ac:dyDescent="0.15"/>
    <row r="26614" s="76" customFormat="1" ht="21.95" customHeight="1" x14ac:dyDescent="0.15"/>
    <row r="26615" s="76" customFormat="1" ht="21.95" customHeight="1" x14ac:dyDescent="0.15"/>
    <row r="26616" s="76" customFormat="1" ht="21.95" customHeight="1" x14ac:dyDescent="0.15"/>
    <row r="26617" s="76" customFormat="1" ht="21.95" customHeight="1" x14ac:dyDescent="0.15"/>
    <row r="26618" s="76" customFormat="1" ht="21.95" customHeight="1" x14ac:dyDescent="0.15"/>
    <row r="26619" s="76" customFormat="1" ht="21.95" customHeight="1" x14ac:dyDescent="0.15"/>
    <row r="26620" s="76" customFormat="1" ht="21.95" customHeight="1" x14ac:dyDescent="0.15"/>
    <row r="26621" s="76" customFormat="1" ht="21.95" customHeight="1" x14ac:dyDescent="0.15"/>
    <row r="26622" s="76" customFormat="1" ht="21.95" customHeight="1" x14ac:dyDescent="0.15"/>
    <row r="26623" s="76" customFormat="1" ht="21.95" customHeight="1" x14ac:dyDescent="0.15"/>
    <row r="26624" s="76" customFormat="1" ht="21.95" customHeight="1" x14ac:dyDescent="0.15"/>
    <row r="26625" s="76" customFormat="1" ht="21.95" customHeight="1" x14ac:dyDescent="0.15"/>
    <row r="26626" s="76" customFormat="1" ht="21.95" customHeight="1" x14ac:dyDescent="0.15"/>
    <row r="26627" s="76" customFormat="1" ht="21.95" customHeight="1" x14ac:dyDescent="0.15"/>
    <row r="26628" s="76" customFormat="1" ht="21.95" customHeight="1" x14ac:dyDescent="0.15"/>
    <row r="26629" s="76" customFormat="1" ht="21.95" customHeight="1" x14ac:dyDescent="0.15"/>
    <row r="26630" s="76" customFormat="1" ht="21.95" customHeight="1" x14ac:dyDescent="0.15"/>
    <row r="26631" s="76" customFormat="1" ht="21.95" customHeight="1" x14ac:dyDescent="0.15"/>
    <row r="26632" s="76" customFormat="1" ht="21.95" customHeight="1" x14ac:dyDescent="0.15"/>
    <row r="26633" s="76" customFormat="1" ht="35.1" customHeight="1" x14ac:dyDescent="0.15"/>
    <row r="26634" s="76" customFormat="1" ht="21.95" customHeight="1" x14ac:dyDescent="0.15"/>
    <row r="26635" s="76" customFormat="1" ht="21.95" customHeight="1" x14ac:dyDescent="0.15"/>
    <row r="26636" s="76" customFormat="1" ht="21.95" customHeight="1" x14ac:dyDescent="0.15"/>
    <row r="26637" s="76" customFormat="1" ht="21.95" customHeight="1" x14ac:dyDescent="0.15"/>
    <row r="26638" s="76" customFormat="1" ht="21.95" customHeight="1" x14ac:dyDescent="0.15"/>
    <row r="26639" s="76" customFormat="1" ht="21.95" customHeight="1" x14ac:dyDescent="0.15"/>
    <row r="26640" s="76" customFormat="1" ht="21.95" customHeight="1" x14ac:dyDescent="0.15"/>
    <row r="26641" s="76" customFormat="1" ht="21.95" customHeight="1" x14ac:dyDescent="0.15"/>
    <row r="26642" s="76" customFormat="1" ht="21.95" customHeight="1" x14ac:dyDescent="0.15"/>
    <row r="26643" s="76" customFormat="1" ht="21.95" customHeight="1" x14ac:dyDescent="0.15"/>
    <row r="26644" s="76" customFormat="1" ht="21.95" customHeight="1" x14ac:dyDescent="0.15"/>
    <row r="26645" s="76" customFormat="1" ht="21.95" customHeight="1" x14ac:dyDescent="0.15"/>
    <row r="26646" s="76" customFormat="1" ht="21.95" customHeight="1" x14ac:dyDescent="0.15"/>
    <row r="26647" s="76" customFormat="1" ht="21.95" customHeight="1" x14ac:dyDescent="0.15"/>
    <row r="26648" s="76" customFormat="1" ht="21.95" customHeight="1" x14ac:dyDescent="0.15"/>
    <row r="26649" s="76" customFormat="1" ht="21.95" customHeight="1" x14ac:dyDescent="0.15"/>
    <row r="26650" s="76" customFormat="1" ht="21.95" customHeight="1" x14ac:dyDescent="0.15"/>
    <row r="26651" s="76" customFormat="1" ht="21.95" customHeight="1" x14ac:dyDescent="0.15"/>
    <row r="26652" s="76" customFormat="1" ht="21.95" customHeight="1" x14ac:dyDescent="0.15"/>
    <row r="26653" s="76" customFormat="1" ht="21.95" customHeight="1" x14ac:dyDescent="0.15"/>
    <row r="26654" s="76" customFormat="1" ht="21.95" customHeight="1" x14ac:dyDescent="0.15"/>
    <row r="26655" s="76" customFormat="1" ht="21.95" customHeight="1" x14ac:dyDescent="0.15"/>
    <row r="26656" s="76" customFormat="1" ht="21.95" customHeight="1" x14ac:dyDescent="0.15"/>
    <row r="26657" spans="3:3" customFormat="1" ht="21.95" customHeight="1" x14ac:dyDescent="0.15"/>
    <row r="26658" spans="3:3" customFormat="1" ht="21.95" customHeight="1" x14ac:dyDescent="0.15"/>
    <row r="26659" spans="3:3" customFormat="1" ht="21.95" customHeight="1" x14ac:dyDescent="0.15">
      <c r="C26659" s="94"/>
    </row>
    <row r="26660" spans="3:3" customFormat="1" ht="21.95" customHeight="1" x14ac:dyDescent="0.15">
      <c r="C26660" s="94"/>
    </row>
    <row r="26661" spans="3:3" customFormat="1" ht="21.95" customHeight="1" x14ac:dyDescent="0.15"/>
    <row r="26662" spans="3:3" customFormat="1" ht="21.95" customHeight="1" x14ac:dyDescent="0.15"/>
    <row r="26663" spans="3:3" customFormat="1" ht="21.95" customHeight="1" x14ac:dyDescent="0.15"/>
    <row r="26664" spans="3:3" customFormat="1" ht="21.95" customHeight="1" x14ac:dyDescent="0.15"/>
    <row r="26665" spans="3:3" customFormat="1" ht="21.95" customHeight="1" x14ac:dyDescent="0.15"/>
    <row r="26666" spans="3:3" customFormat="1" ht="21.95" customHeight="1" x14ac:dyDescent="0.15"/>
    <row r="26667" spans="3:3" customFormat="1" ht="21.95" customHeight="1" x14ac:dyDescent="0.15"/>
    <row r="26668" spans="3:3" s="76" customFormat="1" ht="21.95" customHeight="1" x14ac:dyDescent="0.15"/>
    <row r="26669" spans="3:3" s="76" customFormat="1" ht="21.95" customHeight="1" x14ac:dyDescent="0.15"/>
    <row r="26670" spans="3:3" s="76" customFormat="1" ht="21.95" customHeight="1" x14ac:dyDescent="0.15"/>
    <row r="26671" spans="3:3" s="76" customFormat="1" ht="21.95" customHeight="1" x14ac:dyDescent="0.15"/>
    <row r="26672" spans="3:3" customFormat="1" ht="21.95" customHeight="1" x14ac:dyDescent="0.15"/>
    <row r="26673" customFormat="1" ht="21.95" customHeight="1" x14ac:dyDescent="0.15"/>
    <row r="26674" customFormat="1" ht="21.95" customHeight="1" x14ac:dyDescent="0.15"/>
    <row r="26675" customFormat="1" ht="21.95" customHeight="1" x14ac:dyDescent="0.15"/>
    <row r="26676" customFormat="1" ht="21.95" customHeight="1" x14ac:dyDescent="0.15"/>
    <row r="26677" customFormat="1" ht="21.95" customHeight="1" x14ac:dyDescent="0.15"/>
    <row r="26678" customFormat="1" ht="21.95" customHeight="1" x14ac:dyDescent="0.15"/>
    <row r="26679" customFormat="1" ht="21.95" customHeight="1" x14ac:dyDescent="0.15"/>
    <row r="26680" customFormat="1" ht="21.95" customHeight="1" x14ac:dyDescent="0.15"/>
    <row r="26681" customFormat="1" ht="21.95" customHeight="1" x14ac:dyDescent="0.15"/>
    <row r="26682" customFormat="1" ht="21.95" customHeight="1" x14ac:dyDescent="0.15"/>
    <row r="26683" customFormat="1" ht="32.1" customHeight="1" x14ac:dyDescent="0.15"/>
    <row r="26684" customFormat="1" ht="32.1" customHeight="1" x14ac:dyDescent="0.15"/>
    <row r="26685" customFormat="1" ht="32.1" customHeight="1" x14ac:dyDescent="0.15"/>
    <row r="26686" customFormat="1" ht="32.1" customHeight="1" x14ac:dyDescent="0.15"/>
    <row r="26687" customFormat="1" ht="32.1" customHeight="1" x14ac:dyDescent="0.15"/>
    <row r="26688" customFormat="1" ht="32.1" customHeight="1" x14ac:dyDescent="0.15"/>
    <row r="26689" s="76" customFormat="1" ht="32.1" customHeight="1" x14ac:dyDescent="0.15"/>
    <row r="26690" s="76" customFormat="1" ht="32.1" customHeight="1" x14ac:dyDescent="0.15"/>
    <row r="26691" s="76" customFormat="1" ht="32.1" customHeight="1" x14ac:dyDescent="0.15"/>
    <row r="26692" s="76" customFormat="1" ht="32.1" customHeight="1" x14ac:dyDescent="0.15"/>
    <row r="26693" s="76" customFormat="1" ht="21.95" customHeight="1" x14ac:dyDescent="0.15"/>
    <row r="26694" s="76" customFormat="1" ht="54" customHeight="1" x14ac:dyDescent="0.15"/>
    <row r="26695" s="76" customFormat="1" ht="21.95" customHeight="1" x14ac:dyDescent="0.15"/>
    <row r="26696" s="76" customFormat="1" ht="21.95" customHeight="1" x14ac:dyDescent="0.15"/>
    <row r="26697" s="76" customFormat="1" ht="21.95" customHeight="1" x14ac:dyDescent="0.15"/>
    <row r="26698" s="76" customFormat="1" ht="21.95" customHeight="1" x14ac:dyDescent="0.15"/>
    <row r="26699" s="76" customFormat="1" ht="21.95" customHeight="1" x14ac:dyDescent="0.15"/>
    <row r="26700" s="76" customFormat="1" ht="21.95" customHeight="1" x14ac:dyDescent="0.15"/>
    <row r="26701" s="76" customFormat="1" ht="21.95" customHeight="1" x14ac:dyDescent="0.15"/>
    <row r="26702" s="76" customFormat="1" ht="21.95" customHeight="1" x14ac:dyDescent="0.15"/>
    <row r="26703" s="76" customFormat="1" ht="21.95" customHeight="1" x14ac:dyDescent="0.15"/>
    <row r="26704" s="76" customFormat="1" ht="21.95" customHeight="1" x14ac:dyDescent="0.15"/>
    <row r="26705" s="76" customFormat="1" ht="21.95" customHeight="1" x14ac:dyDescent="0.15"/>
    <row r="26706" s="76" customFormat="1" ht="21.95" customHeight="1" x14ac:dyDescent="0.15"/>
    <row r="26707" s="76" customFormat="1" ht="21.95" customHeight="1" x14ac:dyDescent="0.15"/>
    <row r="26708" s="76" customFormat="1" ht="21.95" customHeight="1" x14ac:dyDescent="0.15"/>
    <row r="26709" s="76" customFormat="1" ht="21.95" customHeight="1" x14ac:dyDescent="0.15"/>
    <row r="26710" s="76" customFormat="1" ht="21.95" customHeight="1" x14ac:dyDescent="0.15"/>
    <row r="26711" s="76" customFormat="1" ht="21.95" customHeight="1" x14ac:dyDescent="0.15"/>
    <row r="26712" s="76" customFormat="1" ht="21.95" customHeight="1" x14ac:dyDescent="0.15"/>
    <row r="26713" s="76" customFormat="1" ht="21.95" customHeight="1" x14ac:dyDescent="0.15"/>
    <row r="26714" s="76" customFormat="1" ht="21.95" customHeight="1" x14ac:dyDescent="0.15"/>
    <row r="26715" s="76" customFormat="1" ht="21.95" customHeight="1" x14ac:dyDescent="0.15"/>
    <row r="26716" s="76" customFormat="1" ht="21.95" customHeight="1" x14ac:dyDescent="0.15"/>
    <row r="26717" s="76" customFormat="1" ht="21.95" customHeight="1" x14ac:dyDescent="0.15"/>
    <row r="26718" s="76" customFormat="1" ht="21.95" customHeight="1" x14ac:dyDescent="0.15"/>
    <row r="26719" s="76" customFormat="1" ht="21.95" customHeight="1" x14ac:dyDescent="0.15"/>
    <row r="26720" s="76" customFormat="1" ht="21.95" customHeight="1" x14ac:dyDescent="0.15"/>
    <row r="26721" s="76" customFormat="1" ht="21.95" customHeight="1" x14ac:dyDescent="0.15"/>
    <row r="26722" s="76" customFormat="1" ht="21.95" customHeight="1" x14ac:dyDescent="0.15"/>
    <row r="26723" s="76" customFormat="1" ht="21.95" customHeight="1" x14ac:dyDescent="0.15"/>
    <row r="26724" s="76" customFormat="1" ht="21.95" customHeight="1" x14ac:dyDescent="0.15"/>
    <row r="26725" s="76" customFormat="1" ht="21.95" customHeight="1" x14ac:dyDescent="0.15"/>
    <row r="26726" s="76" customFormat="1" ht="21.95" customHeight="1" x14ac:dyDescent="0.15"/>
    <row r="26727" s="76" customFormat="1" ht="21.95" customHeight="1" x14ac:dyDescent="0.15"/>
    <row r="26728" s="76" customFormat="1" ht="21.95" customHeight="1" x14ac:dyDescent="0.15"/>
    <row r="26729" s="76" customFormat="1" ht="21.95" customHeight="1" x14ac:dyDescent="0.15"/>
    <row r="26730" s="76" customFormat="1" ht="21.95" customHeight="1" x14ac:dyDescent="0.15"/>
    <row r="26731" s="76" customFormat="1" ht="21.95" customHeight="1" x14ac:dyDescent="0.15"/>
    <row r="26732" s="76" customFormat="1" ht="21.95" customHeight="1" x14ac:dyDescent="0.15"/>
    <row r="26733" s="76" customFormat="1" ht="21.95" customHeight="1" x14ac:dyDescent="0.15"/>
    <row r="26734" s="76" customFormat="1" ht="21.95" customHeight="1" x14ac:dyDescent="0.15"/>
    <row r="26735" s="76" customFormat="1" ht="21.95" customHeight="1" x14ac:dyDescent="0.15"/>
    <row r="26736" s="76" customFormat="1" ht="21.95" customHeight="1" x14ac:dyDescent="0.15"/>
    <row r="26737" s="76" customFormat="1" ht="21.95" customHeight="1" x14ac:dyDescent="0.15"/>
    <row r="26738" s="76" customFormat="1" ht="21.95" customHeight="1" x14ac:dyDescent="0.15"/>
    <row r="26739" s="76" customFormat="1" ht="21.95" customHeight="1" x14ac:dyDescent="0.15"/>
    <row r="26740" s="76" customFormat="1" ht="21.95" customHeight="1" x14ac:dyDescent="0.15"/>
    <row r="26741" s="76" customFormat="1" ht="21.95" customHeight="1" x14ac:dyDescent="0.15"/>
    <row r="26742" s="76" customFormat="1" ht="21.95" customHeight="1" x14ac:dyDescent="0.15"/>
    <row r="26743" s="76" customFormat="1" ht="21.95" customHeight="1" x14ac:dyDescent="0.15"/>
    <row r="26744" s="76" customFormat="1" ht="21.95" customHeight="1" x14ac:dyDescent="0.15"/>
    <row r="26745" s="76" customFormat="1" ht="35.1" customHeight="1" x14ac:dyDescent="0.15"/>
    <row r="26746" s="76" customFormat="1" ht="21.95" customHeight="1" x14ac:dyDescent="0.15"/>
    <row r="26747" s="76" customFormat="1" ht="21.95" customHeight="1" x14ac:dyDescent="0.15"/>
    <row r="26748" s="76" customFormat="1" ht="21.95" customHeight="1" x14ac:dyDescent="0.15"/>
    <row r="26749" s="76" customFormat="1" ht="21.95" customHeight="1" x14ac:dyDescent="0.15"/>
    <row r="26750" s="76" customFormat="1" ht="21.95" customHeight="1" x14ac:dyDescent="0.15"/>
    <row r="26751" s="76" customFormat="1" ht="21.95" customHeight="1" x14ac:dyDescent="0.15"/>
    <row r="26752" s="76" customFormat="1" ht="21.95" customHeight="1" x14ac:dyDescent="0.15"/>
    <row r="26753" s="76" customFormat="1" ht="21.95" customHeight="1" x14ac:dyDescent="0.15"/>
    <row r="26754" s="76" customFormat="1" ht="21.95" customHeight="1" x14ac:dyDescent="0.15"/>
    <row r="26755" s="76" customFormat="1" ht="21.95" customHeight="1" x14ac:dyDescent="0.15"/>
    <row r="26756" s="76" customFormat="1" ht="21.95" customHeight="1" x14ac:dyDescent="0.15"/>
    <row r="26757" s="76" customFormat="1" ht="21.95" customHeight="1" x14ac:dyDescent="0.15"/>
    <row r="26758" s="76" customFormat="1" ht="21.95" customHeight="1" x14ac:dyDescent="0.15"/>
    <row r="26759" s="76" customFormat="1" ht="21.95" customHeight="1" x14ac:dyDescent="0.15"/>
    <row r="26760" s="76" customFormat="1" ht="21.95" customHeight="1" x14ac:dyDescent="0.15"/>
    <row r="26761" s="76" customFormat="1" ht="21.95" customHeight="1" x14ac:dyDescent="0.15"/>
    <row r="26762" s="76" customFormat="1" ht="21.95" customHeight="1" x14ac:dyDescent="0.15"/>
    <row r="26763" s="76" customFormat="1" ht="21.95" customHeight="1" x14ac:dyDescent="0.15"/>
    <row r="26764" s="76" customFormat="1" ht="21.95" customHeight="1" x14ac:dyDescent="0.15"/>
    <row r="26765" s="76" customFormat="1" ht="21.95" customHeight="1" x14ac:dyDescent="0.15"/>
    <row r="26766" s="76" customFormat="1" ht="21.95" customHeight="1" x14ac:dyDescent="0.15"/>
    <row r="26767" s="76" customFormat="1" ht="21.95" customHeight="1" x14ac:dyDescent="0.15"/>
    <row r="26768" s="76" customFormat="1" ht="21.95" customHeight="1" x14ac:dyDescent="0.15"/>
    <row r="26769" spans="3:3" customFormat="1" ht="21.95" customHeight="1" x14ac:dyDescent="0.15"/>
    <row r="26770" spans="3:3" customFormat="1" ht="21.95" customHeight="1" x14ac:dyDescent="0.15"/>
    <row r="26771" spans="3:3" customFormat="1" ht="21.95" customHeight="1" x14ac:dyDescent="0.15">
      <c r="C26771" s="94"/>
    </row>
    <row r="26772" spans="3:3" customFormat="1" ht="21.95" customHeight="1" x14ac:dyDescent="0.15">
      <c r="C26772" s="94"/>
    </row>
    <row r="26773" spans="3:3" customFormat="1" ht="21.95" customHeight="1" x14ac:dyDescent="0.15"/>
    <row r="26774" spans="3:3" customFormat="1" ht="21.95" customHeight="1" x14ac:dyDescent="0.15"/>
    <row r="26775" spans="3:3" customFormat="1" ht="21.95" customHeight="1" x14ac:dyDescent="0.15"/>
    <row r="26776" spans="3:3" customFormat="1" ht="21.95" customHeight="1" x14ac:dyDescent="0.15"/>
    <row r="26777" spans="3:3" customFormat="1" ht="21.95" customHeight="1" x14ac:dyDescent="0.15"/>
    <row r="26778" spans="3:3" customFormat="1" ht="21.95" customHeight="1" x14ac:dyDescent="0.15"/>
    <row r="26779" spans="3:3" customFormat="1" ht="21.95" customHeight="1" x14ac:dyDescent="0.15"/>
    <row r="26780" spans="3:3" s="76" customFormat="1" ht="21.95" customHeight="1" x14ac:dyDescent="0.15"/>
    <row r="26781" spans="3:3" s="76" customFormat="1" ht="21.95" customHeight="1" x14ac:dyDescent="0.15"/>
    <row r="26782" spans="3:3" s="76" customFormat="1" ht="21.95" customHeight="1" x14ac:dyDescent="0.15"/>
    <row r="26783" spans="3:3" s="76" customFormat="1" ht="21.95" customHeight="1" x14ac:dyDescent="0.15"/>
    <row r="26784" spans="3:3" customFormat="1" ht="21.95" customHeight="1" x14ac:dyDescent="0.15"/>
    <row r="26785" customFormat="1" ht="21.95" customHeight="1" x14ac:dyDescent="0.15"/>
    <row r="26786" customFormat="1" ht="21.95" customHeight="1" x14ac:dyDescent="0.15"/>
    <row r="26787" customFormat="1" ht="21.95" customHeight="1" x14ac:dyDescent="0.15"/>
    <row r="26788" customFormat="1" ht="21.95" customHeight="1" x14ac:dyDescent="0.15"/>
    <row r="26789" customFormat="1" ht="21.95" customHeight="1" x14ac:dyDescent="0.15"/>
    <row r="26790" customFormat="1" ht="21.95" customHeight="1" x14ac:dyDescent="0.15"/>
    <row r="26791" customFormat="1" ht="21.95" customHeight="1" x14ac:dyDescent="0.15"/>
    <row r="26792" customFormat="1" ht="21.95" customHeight="1" x14ac:dyDescent="0.15"/>
    <row r="26793" customFormat="1" ht="21.95" customHeight="1" x14ac:dyDescent="0.15"/>
    <row r="26794" customFormat="1" ht="21.95" customHeight="1" x14ac:dyDescent="0.15"/>
    <row r="26795" customFormat="1" ht="32.1" customHeight="1" x14ac:dyDescent="0.15"/>
    <row r="26796" customFormat="1" ht="32.1" customHeight="1" x14ac:dyDescent="0.15"/>
    <row r="26797" customFormat="1" ht="32.1" customHeight="1" x14ac:dyDescent="0.15"/>
    <row r="26798" customFormat="1" ht="32.1" customHeight="1" x14ac:dyDescent="0.15"/>
    <row r="26799" customFormat="1" ht="32.1" customHeight="1" x14ac:dyDescent="0.15"/>
    <row r="26800" customFormat="1" ht="32.1" customHeight="1" x14ac:dyDescent="0.15"/>
    <row r="26801" s="76" customFormat="1" ht="32.1" customHeight="1" x14ac:dyDescent="0.15"/>
    <row r="26802" s="76" customFormat="1" ht="32.1" customHeight="1" x14ac:dyDescent="0.15"/>
    <row r="26803" s="76" customFormat="1" ht="32.1" customHeight="1" x14ac:dyDescent="0.15"/>
    <row r="26804" s="76" customFormat="1" ht="32.1" customHeight="1" x14ac:dyDescent="0.15"/>
    <row r="26805" s="76" customFormat="1" ht="21.95" customHeight="1" x14ac:dyDescent="0.15"/>
    <row r="26806" s="76" customFormat="1" ht="54" customHeight="1" x14ac:dyDescent="0.15"/>
    <row r="26807" s="76" customFormat="1" ht="21.95" customHeight="1" x14ac:dyDescent="0.15"/>
    <row r="26808" s="76" customFormat="1" ht="21.95" customHeight="1" x14ac:dyDescent="0.15"/>
    <row r="26809" s="76" customFormat="1" ht="21.95" customHeight="1" x14ac:dyDescent="0.15"/>
    <row r="26810" s="76" customFormat="1" ht="21.95" customHeight="1" x14ac:dyDescent="0.15"/>
    <row r="26811" s="76" customFormat="1" ht="21.95" customHeight="1" x14ac:dyDescent="0.15"/>
    <row r="26812" s="76" customFormat="1" ht="21.95" customHeight="1" x14ac:dyDescent="0.15"/>
    <row r="26813" s="76" customFormat="1" ht="21.95" customHeight="1" x14ac:dyDescent="0.15"/>
    <row r="26814" s="76" customFormat="1" ht="21.95" customHeight="1" x14ac:dyDescent="0.15"/>
    <row r="26815" s="76" customFormat="1" ht="21.95" customHeight="1" x14ac:dyDescent="0.15"/>
    <row r="26816" s="76" customFormat="1" ht="21.95" customHeight="1" x14ac:dyDescent="0.15"/>
    <row r="26817" s="76" customFormat="1" ht="21.95" customHeight="1" x14ac:dyDescent="0.15"/>
    <row r="26818" s="76" customFormat="1" ht="21.95" customHeight="1" x14ac:dyDescent="0.15"/>
    <row r="26819" s="76" customFormat="1" ht="21.95" customHeight="1" x14ac:dyDescent="0.15"/>
    <row r="26820" s="76" customFormat="1" ht="21.95" customHeight="1" x14ac:dyDescent="0.15"/>
    <row r="26821" s="76" customFormat="1" ht="21.95" customHeight="1" x14ac:dyDescent="0.15"/>
    <row r="26822" s="76" customFormat="1" ht="21.95" customHeight="1" x14ac:dyDescent="0.15"/>
    <row r="26823" s="76" customFormat="1" ht="21.95" customHeight="1" x14ac:dyDescent="0.15"/>
    <row r="26824" s="76" customFormat="1" ht="21.95" customHeight="1" x14ac:dyDescent="0.15"/>
    <row r="26825" s="76" customFormat="1" ht="21.95" customHeight="1" x14ac:dyDescent="0.15"/>
    <row r="26826" s="76" customFormat="1" ht="21.95" customHeight="1" x14ac:dyDescent="0.15"/>
    <row r="26827" s="76" customFormat="1" ht="21.95" customHeight="1" x14ac:dyDescent="0.15"/>
    <row r="26828" s="76" customFormat="1" ht="21.95" customHeight="1" x14ac:dyDescent="0.15"/>
    <row r="26829" s="76" customFormat="1" ht="21.95" customHeight="1" x14ac:dyDescent="0.15"/>
    <row r="26830" s="76" customFormat="1" ht="21.95" customHeight="1" x14ac:dyDescent="0.15"/>
    <row r="26831" s="76" customFormat="1" ht="21.95" customHeight="1" x14ac:dyDescent="0.15"/>
    <row r="26832" s="76" customFormat="1" ht="21.95" customHeight="1" x14ac:dyDescent="0.15"/>
    <row r="26833" s="76" customFormat="1" ht="21.95" customHeight="1" x14ac:dyDescent="0.15"/>
    <row r="26834" s="76" customFormat="1" ht="21.95" customHeight="1" x14ac:dyDescent="0.15"/>
    <row r="26835" s="76" customFormat="1" ht="21.95" customHeight="1" x14ac:dyDescent="0.15"/>
    <row r="26836" s="76" customFormat="1" ht="21.95" customHeight="1" x14ac:dyDescent="0.15"/>
    <row r="26837" s="76" customFormat="1" ht="21.95" customHeight="1" x14ac:dyDescent="0.15"/>
    <row r="26838" s="76" customFormat="1" ht="21.95" customHeight="1" x14ac:dyDescent="0.15"/>
    <row r="26839" s="76" customFormat="1" ht="21.95" customHeight="1" x14ac:dyDescent="0.15"/>
    <row r="26840" s="76" customFormat="1" ht="21.95" customHeight="1" x14ac:dyDescent="0.15"/>
    <row r="26841" s="76" customFormat="1" ht="21.95" customHeight="1" x14ac:dyDescent="0.15"/>
    <row r="26842" s="76" customFormat="1" ht="21.95" customHeight="1" x14ac:dyDescent="0.15"/>
    <row r="26843" s="76" customFormat="1" ht="21.95" customHeight="1" x14ac:dyDescent="0.15"/>
    <row r="26844" s="76" customFormat="1" ht="21.95" customHeight="1" x14ac:dyDescent="0.15"/>
    <row r="26845" s="76" customFormat="1" ht="21.95" customHeight="1" x14ac:dyDescent="0.15"/>
    <row r="26846" s="76" customFormat="1" ht="21.95" customHeight="1" x14ac:dyDescent="0.15"/>
    <row r="26847" s="76" customFormat="1" ht="21.95" customHeight="1" x14ac:dyDescent="0.15"/>
    <row r="26848" s="76" customFormat="1" ht="21.95" customHeight="1" x14ac:dyDescent="0.15"/>
    <row r="26849" s="76" customFormat="1" ht="21.95" customHeight="1" x14ac:dyDescent="0.15"/>
    <row r="26850" s="76" customFormat="1" ht="21.95" customHeight="1" x14ac:dyDescent="0.15"/>
    <row r="26851" s="76" customFormat="1" ht="21.95" customHeight="1" x14ac:dyDescent="0.15"/>
    <row r="26852" s="76" customFormat="1" ht="21.95" customHeight="1" x14ac:dyDescent="0.15"/>
    <row r="26853" s="76" customFormat="1" ht="21.95" customHeight="1" x14ac:dyDescent="0.15"/>
    <row r="26854" s="76" customFormat="1" ht="21.95" customHeight="1" x14ac:dyDescent="0.15"/>
    <row r="26855" s="76" customFormat="1" ht="21.95" customHeight="1" x14ac:dyDescent="0.15"/>
    <row r="26856" s="76" customFormat="1" ht="21.95" customHeight="1" x14ac:dyDescent="0.15"/>
    <row r="26857" s="76" customFormat="1" ht="35.1" customHeight="1" x14ac:dyDescent="0.15"/>
    <row r="26858" s="76" customFormat="1" ht="21.95" customHeight="1" x14ac:dyDescent="0.15"/>
    <row r="26859" s="76" customFormat="1" ht="21.95" customHeight="1" x14ac:dyDescent="0.15"/>
    <row r="26860" s="76" customFormat="1" ht="21.95" customHeight="1" x14ac:dyDescent="0.15"/>
    <row r="26861" s="76" customFormat="1" ht="21.95" customHeight="1" x14ac:dyDescent="0.15"/>
    <row r="26862" s="76" customFormat="1" ht="21.95" customHeight="1" x14ac:dyDescent="0.15"/>
    <row r="26863" s="76" customFormat="1" ht="21.95" customHeight="1" x14ac:dyDescent="0.15"/>
    <row r="26864" s="76" customFormat="1" ht="21.95" customHeight="1" x14ac:dyDescent="0.15"/>
    <row r="26865" s="76" customFormat="1" ht="21.95" customHeight="1" x14ac:dyDescent="0.15"/>
    <row r="26866" s="76" customFormat="1" ht="21.95" customHeight="1" x14ac:dyDescent="0.15"/>
    <row r="26867" s="76" customFormat="1" ht="21.95" customHeight="1" x14ac:dyDescent="0.15"/>
    <row r="26868" s="76" customFormat="1" ht="21.95" customHeight="1" x14ac:dyDescent="0.15"/>
    <row r="26869" s="76" customFormat="1" ht="21.95" customHeight="1" x14ac:dyDescent="0.15"/>
    <row r="26870" s="76" customFormat="1" ht="21.95" customHeight="1" x14ac:dyDescent="0.15"/>
    <row r="26871" s="76" customFormat="1" ht="21.95" customHeight="1" x14ac:dyDescent="0.15"/>
    <row r="26872" s="76" customFormat="1" ht="21.95" customHeight="1" x14ac:dyDescent="0.15"/>
    <row r="26873" s="76" customFormat="1" ht="21.95" customHeight="1" x14ac:dyDescent="0.15"/>
    <row r="26874" s="76" customFormat="1" ht="21.95" customHeight="1" x14ac:dyDescent="0.15"/>
    <row r="26875" s="76" customFormat="1" ht="21.95" customHeight="1" x14ac:dyDescent="0.15"/>
    <row r="26876" s="76" customFormat="1" ht="21.95" customHeight="1" x14ac:dyDescent="0.15"/>
    <row r="26877" s="76" customFormat="1" ht="21.95" customHeight="1" x14ac:dyDescent="0.15"/>
    <row r="26878" s="76" customFormat="1" ht="21.95" customHeight="1" x14ac:dyDescent="0.15"/>
    <row r="26879" s="76" customFormat="1" ht="21.95" customHeight="1" x14ac:dyDescent="0.15"/>
    <row r="26880" s="76" customFormat="1" ht="21.95" customHeight="1" x14ac:dyDescent="0.15"/>
    <row r="26881" spans="3:3" customFormat="1" ht="21.95" customHeight="1" x14ac:dyDescent="0.15"/>
    <row r="26882" spans="3:3" customFormat="1" ht="21.95" customHeight="1" x14ac:dyDescent="0.15"/>
    <row r="26883" spans="3:3" customFormat="1" ht="21.95" customHeight="1" x14ac:dyDescent="0.15">
      <c r="C26883" s="94"/>
    </row>
    <row r="26884" spans="3:3" customFormat="1" ht="21.95" customHeight="1" x14ac:dyDescent="0.15">
      <c r="C26884" s="94"/>
    </row>
    <row r="26885" spans="3:3" customFormat="1" ht="21.95" customHeight="1" x14ac:dyDescent="0.15"/>
    <row r="26886" spans="3:3" customFormat="1" ht="21.95" customHeight="1" x14ac:dyDescent="0.15"/>
    <row r="26887" spans="3:3" customFormat="1" ht="21.95" customHeight="1" x14ac:dyDescent="0.15"/>
    <row r="26888" spans="3:3" customFormat="1" ht="21.95" customHeight="1" x14ac:dyDescent="0.15"/>
    <row r="26889" spans="3:3" customFormat="1" ht="21.95" customHeight="1" x14ac:dyDescent="0.15"/>
    <row r="26890" spans="3:3" customFormat="1" ht="21.95" customHeight="1" x14ac:dyDescent="0.15"/>
    <row r="26891" spans="3:3" customFormat="1" ht="21.95" customHeight="1" x14ac:dyDescent="0.15"/>
    <row r="26892" spans="3:3" s="76" customFormat="1" ht="21.95" customHeight="1" x14ac:dyDescent="0.15"/>
    <row r="26893" spans="3:3" s="76" customFormat="1" ht="21.95" customHeight="1" x14ac:dyDescent="0.15"/>
    <row r="26894" spans="3:3" s="76" customFormat="1" ht="21.95" customHeight="1" x14ac:dyDescent="0.15"/>
    <row r="26895" spans="3:3" s="76" customFormat="1" ht="21.95" customHeight="1" x14ac:dyDescent="0.15"/>
    <row r="26896" spans="3:3" customFormat="1" ht="21.95" customHeight="1" x14ac:dyDescent="0.15"/>
    <row r="26897" customFormat="1" ht="21.95" customHeight="1" x14ac:dyDescent="0.15"/>
    <row r="26898" customFormat="1" ht="21.95" customHeight="1" x14ac:dyDescent="0.15"/>
    <row r="26899" customFormat="1" ht="21.95" customHeight="1" x14ac:dyDescent="0.15"/>
    <row r="26900" customFormat="1" ht="21.95" customHeight="1" x14ac:dyDescent="0.15"/>
    <row r="26901" customFormat="1" ht="21.95" customHeight="1" x14ac:dyDescent="0.15"/>
    <row r="26902" customFormat="1" ht="21.95" customHeight="1" x14ac:dyDescent="0.15"/>
    <row r="26903" customFormat="1" ht="21.95" customHeight="1" x14ac:dyDescent="0.15"/>
    <row r="26904" customFormat="1" ht="21.95" customHeight="1" x14ac:dyDescent="0.15"/>
    <row r="26905" customFormat="1" ht="21.95" customHeight="1" x14ac:dyDescent="0.15"/>
    <row r="26906" customFormat="1" ht="21.95" customHeight="1" x14ac:dyDescent="0.15"/>
    <row r="26907" customFormat="1" ht="32.1" customHeight="1" x14ac:dyDescent="0.15"/>
    <row r="26908" customFormat="1" ht="32.1" customHeight="1" x14ac:dyDescent="0.15"/>
    <row r="26909" customFormat="1" ht="32.1" customHeight="1" x14ac:dyDescent="0.15"/>
    <row r="26910" customFormat="1" ht="32.1" customHeight="1" x14ac:dyDescent="0.15"/>
    <row r="26911" customFormat="1" ht="32.1" customHeight="1" x14ac:dyDescent="0.15"/>
    <row r="26912" customFormat="1" ht="32.1" customHeight="1" x14ac:dyDescent="0.15"/>
    <row r="26913" s="76" customFormat="1" ht="32.1" customHeight="1" x14ac:dyDescent="0.15"/>
    <row r="26914" s="76" customFormat="1" ht="32.1" customHeight="1" x14ac:dyDescent="0.15"/>
    <row r="26915" s="76" customFormat="1" ht="32.1" customHeight="1" x14ac:dyDescent="0.15"/>
    <row r="26916" s="76" customFormat="1" ht="32.1" customHeight="1" x14ac:dyDescent="0.15"/>
    <row r="26917" s="76" customFormat="1" ht="21.95" customHeight="1" x14ac:dyDescent="0.15"/>
    <row r="26918" s="76" customFormat="1" ht="54" customHeight="1" x14ac:dyDescent="0.15"/>
    <row r="26919" s="76" customFormat="1" ht="21.95" customHeight="1" x14ac:dyDescent="0.15"/>
    <row r="26920" s="76" customFormat="1" ht="21.95" customHeight="1" x14ac:dyDescent="0.15"/>
    <row r="26921" s="76" customFormat="1" ht="21.95" customHeight="1" x14ac:dyDescent="0.15"/>
    <row r="26922" s="76" customFormat="1" ht="21.95" customHeight="1" x14ac:dyDescent="0.15"/>
    <row r="26923" s="76" customFormat="1" ht="21.95" customHeight="1" x14ac:dyDescent="0.15"/>
    <row r="26924" s="76" customFormat="1" ht="21.95" customHeight="1" x14ac:dyDescent="0.15"/>
    <row r="26925" s="76" customFormat="1" ht="21.95" customHeight="1" x14ac:dyDescent="0.15"/>
    <row r="26926" s="76" customFormat="1" ht="21.95" customHeight="1" x14ac:dyDescent="0.15"/>
    <row r="26927" s="76" customFormat="1" ht="21.95" customHeight="1" x14ac:dyDescent="0.15"/>
    <row r="26928" s="76" customFormat="1" ht="21.95" customHeight="1" x14ac:dyDescent="0.15"/>
    <row r="26929" s="76" customFormat="1" ht="21.95" customHeight="1" x14ac:dyDescent="0.15"/>
    <row r="26930" s="76" customFormat="1" ht="21.95" customHeight="1" x14ac:dyDescent="0.15"/>
    <row r="26931" s="76" customFormat="1" ht="21.95" customHeight="1" x14ac:dyDescent="0.15"/>
    <row r="26932" s="76" customFormat="1" ht="21.95" customHeight="1" x14ac:dyDescent="0.15"/>
    <row r="26933" s="76" customFormat="1" ht="21.95" customHeight="1" x14ac:dyDescent="0.15"/>
    <row r="26934" s="76" customFormat="1" ht="21.95" customHeight="1" x14ac:dyDescent="0.15"/>
    <row r="26935" s="76" customFormat="1" ht="21.95" customHeight="1" x14ac:dyDescent="0.15"/>
    <row r="26936" s="76" customFormat="1" ht="21.95" customHeight="1" x14ac:dyDescent="0.15"/>
    <row r="26937" s="76" customFormat="1" ht="21.95" customHeight="1" x14ac:dyDescent="0.15"/>
    <row r="26938" s="76" customFormat="1" ht="21.95" customHeight="1" x14ac:dyDescent="0.15"/>
    <row r="26939" s="76" customFormat="1" ht="21.95" customHeight="1" x14ac:dyDescent="0.15"/>
    <row r="26940" s="76" customFormat="1" ht="21.95" customHeight="1" x14ac:dyDescent="0.15"/>
    <row r="26941" s="76" customFormat="1" ht="21.95" customHeight="1" x14ac:dyDescent="0.15"/>
    <row r="26942" s="76" customFormat="1" ht="21.95" customHeight="1" x14ac:dyDescent="0.15"/>
    <row r="26943" s="76" customFormat="1" ht="21.95" customHeight="1" x14ac:dyDescent="0.15"/>
    <row r="26944" s="76" customFormat="1" ht="21.95" customHeight="1" x14ac:dyDescent="0.15"/>
    <row r="26945" s="76" customFormat="1" ht="21.95" customHeight="1" x14ac:dyDescent="0.15"/>
    <row r="26946" s="76" customFormat="1" ht="21.95" customHeight="1" x14ac:dyDescent="0.15"/>
    <row r="26947" s="76" customFormat="1" ht="21.95" customHeight="1" x14ac:dyDescent="0.15"/>
    <row r="26948" s="76" customFormat="1" ht="21.95" customHeight="1" x14ac:dyDescent="0.15"/>
    <row r="26949" s="76" customFormat="1" ht="21.95" customHeight="1" x14ac:dyDescent="0.15"/>
    <row r="26950" s="76" customFormat="1" ht="21.95" customHeight="1" x14ac:dyDescent="0.15"/>
    <row r="26951" s="76" customFormat="1" ht="21.95" customHeight="1" x14ac:dyDescent="0.15"/>
    <row r="26952" s="76" customFormat="1" ht="21.95" customHeight="1" x14ac:dyDescent="0.15"/>
    <row r="26953" s="76" customFormat="1" ht="21.95" customHeight="1" x14ac:dyDescent="0.15"/>
    <row r="26954" s="76" customFormat="1" ht="21.95" customHeight="1" x14ac:dyDescent="0.15"/>
    <row r="26955" s="76" customFormat="1" ht="21.95" customHeight="1" x14ac:dyDescent="0.15"/>
    <row r="26956" s="76" customFormat="1" ht="21.95" customHeight="1" x14ac:dyDescent="0.15"/>
    <row r="26957" s="76" customFormat="1" ht="21.95" customHeight="1" x14ac:dyDescent="0.15"/>
    <row r="26958" s="76" customFormat="1" ht="21.95" customHeight="1" x14ac:dyDescent="0.15"/>
    <row r="26959" s="76" customFormat="1" ht="21.95" customHeight="1" x14ac:dyDescent="0.15"/>
    <row r="26960" s="76" customFormat="1" ht="21.95" customHeight="1" x14ac:dyDescent="0.15"/>
    <row r="26961" s="76" customFormat="1" ht="21.95" customHeight="1" x14ac:dyDescent="0.15"/>
    <row r="26962" s="76" customFormat="1" ht="21.95" customHeight="1" x14ac:dyDescent="0.15"/>
    <row r="26963" s="76" customFormat="1" ht="21.95" customHeight="1" x14ac:dyDescent="0.15"/>
    <row r="26964" s="76" customFormat="1" ht="21.95" customHeight="1" x14ac:dyDescent="0.15"/>
    <row r="26965" s="76" customFormat="1" ht="21.95" customHeight="1" x14ac:dyDescent="0.15"/>
    <row r="26966" s="76" customFormat="1" ht="21.95" customHeight="1" x14ac:dyDescent="0.15"/>
    <row r="26967" s="76" customFormat="1" ht="21.95" customHeight="1" x14ac:dyDescent="0.15"/>
    <row r="26968" s="76" customFormat="1" ht="21.95" customHeight="1" x14ac:dyDescent="0.15"/>
    <row r="26969" s="76" customFormat="1" ht="35.1" customHeight="1" x14ac:dyDescent="0.15"/>
    <row r="26970" s="76" customFormat="1" ht="21.95" customHeight="1" x14ac:dyDescent="0.15"/>
    <row r="26971" s="76" customFormat="1" ht="21.95" customHeight="1" x14ac:dyDescent="0.15"/>
    <row r="26972" s="76" customFormat="1" ht="21.95" customHeight="1" x14ac:dyDescent="0.15"/>
    <row r="26973" s="76" customFormat="1" ht="21.95" customHeight="1" x14ac:dyDescent="0.15"/>
    <row r="26974" s="76" customFormat="1" ht="21.95" customHeight="1" x14ac:dyDescent="0.15"/>
    <row r="26975" s="76" customFormat="1" ht="21.95" customHeight="1" x14ac:dyDescent="0.15"/>
    <row r="26976" s="76" customFormat="1" ht="21.95" customHeight="1" x14ac:dyDescent="0.15"/>
    <row r="26977" s="76" customFormat="1" ht="21.95" customHeight="1" x14ac:dyDescent="0.15"/>
    <row r="26978" s="76" customFormat="1" ht="21.95" customHeight="1" x14ac:dyDescent="0.15"/>
    <row r="26979" s="76" customFormat="1" ht="21.95" customHeight="1" x14ac:dyDescent="0.15"/>
    <row r="26980" s="76" customFormat="1" ht="21.95" customHeight="1" x14ac:dyDescent="0.15"/>
    <row r="26981" s="76" customFormat="1" ht="21.95" customHeight="1" x14ac:dyDescent="0.15"/>
    <row r="26982" s="76" customFormat="1" ht="21.95" customHeight="1" x14ac:dyDescent="0.15"/>
    <row r="26983" s="76" customFormat="1" ht="21.95" customHeight="1" x14ac:dyDescent="0.15"/>
    <row r="26984" s="76" customFormat="1" ht="21.95" customHeight="1" x14ac:dyDescent="0.15"/>
    <row r="26985" s="76" customFormat="1" ht="21.95" customHeight="1" x14ac:dyDescent="0.15"/>
    <row r="26986" s="76" customFormat="1" ht="21.95" customHeight="1" x14ac:dyDescent="0.15"/>
    <row r="26987" s="76" customFormat="1" ht="21.95" customHeight="1" x14ac:dyDescent="0.15"/>
    <row r="26988" s="76" customFormat="1" ht="21.95" customHeight="1" x14ac:dyDescent="0.15"/>
    <row r="26989" s="76" customFormat="1" ht="21.95" customHeight="1" x14ac:dyDescent="0.15"/>
    <row r="26990" s="76" customFormat="1" ht="21.95" customHeight="1" x14ac:dyDescent="0.15"/>
    <row r="26991" s="76" customFormat="1" ht="21.95" customHeight="1" x14ac:dyDescent="0.15"/>
    <row r="26992" s="76" customFormat="1" ht="21.95" customHeight="1" x14ac:dyDescent="0.15"/>
    <row r="26993" spans="3:3" customFormat="1" ht="21.95" customHeight="1" x14ac:dyDescent="0.15"/>
    <row r="26994" spans="3:3" customFormat="1" ht="21.95" customHeight="1" x14ac:dyDescent="0.15"/>
    <row r="26995" spans="3:3" customFormat="1" ht="21.95" customHeight="1" x14ac:dyDescent="0.15">
      <c r="C26995" s="94"/>
    </row>
    <row r="26996" spans="3:3" customFormat="1" ht="21.95" customHeight="1" x14ac:dyDescent="0.15">
      <c r="C26996" s="94"/>
    </row>
    <row r="26997" spans="3:3" customFormat="1" ht="21.95" customHeight="1" x14ac:dyDescent="0.15"/>
    <row r="26998" spans="3:3" customFormat="1" ht="21.95" customHeight="1" x14ac:dyDescent="0.15"/>
    <row r="26999" spans="3:3" customFormat="1" ht="21.95" customHeight="1" x14ac:dyDescent="0.15"/>
    <row r="27000" spans="3:3" customFormat="1" ht="21.95" customHeight="1" x14ac:dyDescent="0.15"/>
    <row r="27001" spans="3:3" customFormat="1" ht="21.95" customHeight="1" x14ac:dyDescent="0.15"/>
    <row r="27002" spans="3:3" customFormat="1" ht="21.95" customHeight="1" x14ac:dyDescent="0.15"/>
    <row r="27003" spans="3:3" customFormat="1" ht="21.95" customHeight="1" x14ac:dyDescent="0.15"/>
    <row r="27004" spans="3:3" s="76" customFormat="1" ht="21.95" customHeight="1" x14ac:dyDescent="0.15"/>
    <row r="27005" spans="3:3" s="76" customFormat="1" ht="21.95" customHeight="1" x14ac:dyDescent="0.15"/>
    <row r="27006" spans="3:3" s="76" customFormat="1" ht="21.95" customHeight="1" x14ac:dyDescent="0.15"/>
    <row r="27007" spans="3:3" s="76" customFormat="1" ht="21.95" customHeight="1" x14ac:dyDescent="0.15"/>
    <row r="27008" spans="3:3" customFormat="1" ht="21.95" customHeight="1" x14ac:dyDescent="0.15"/>
    <row r="27009" customFormat="1" ht="21.95" customHeight="1" x14ac:dyDescent="0.15"/>
    <row r="27010" customFormat="1" ht="21.95" customHeight="1" x14ac:dyDescent="0.15"/>
    <row r="27011" customFormat="1" ht="21.95" customHeight="1" x14ac:dyDescent="0.15"/>
    <row r="27012" customFormat="1" ht="21.95" customHeight="1" x14ac:dyDescent="0.15"/>
    <row r="27013" customFormat="1" ht="21.95" customHeight="1" x14ac:dyDescent="0.15"/>
    <row r="27014" customFormat="1" ht="21.95" customHeight="1" x14ac:dyDescent="0.15"/>
    <row r="27015" customFormat="1" ht="21.95" customHeight="1" x14ac:dyDescent="0.15"/>
    <row r="27016" customFormat="1" ht="21.95" customHeight="1" x14ac:dyDescent="0.15"/>
    <row r="27017" customFormat="1" ht="21.95" customHeight="1" x14ac:dyDescent="0.15"/>
    <row r="27018" customFormat="1" ht="21.95" customHeight="1" x14ac:dyDescent="0.15"/>
    <row r="27019" customFormat="1" ht="32.1" customHeight="1" x14ac:dyDescent="0.15"/>
    <row r="27020" customFormat="1" ht="32.1" customHeight="1" x14ac:dyDescent="0.15"/>
    <row r="27021" customFormat="1" ht="32.1" customHeight="1" x14ac:dyDescent="0.15"/>
    <row r="27022" customFormat="1" ht="32.1" customHeight="1" x14ac:dyDescent="0.15"/>
    <row r="27023" customFormat="1" ht="32.1" customHeight="1" x14ac:dyDescent="0.15"/>
    <row r="27024" customFormat="1" ht="32.1" customHeight="1" x14ac:dyDescent="0.15"/>
    <row r="27025" s="76" customFormat="1" ht="32.1" customHeight="1" x14ac:dyDescent="0.15"/>
    <row r="27026" s="76" customFormat="1" ht="32.1" customHeight="1" x14ac:dyDescent="0.15"/>
    <row r="27027" s="76" customFormat="1" ht="32.1" customHeight="1" x14ac:dyDescent="0.15"/>
    <row r="27028" s="76" customFormat="1" ht="32.1" customHeight="1" x14ac:dyDescent="0.15"/>
    <row r="27029" s="76" customFormat="1" ht="21.95" customHeight="1" x14ac:dyDescent="0.15"/>
    <row r="27030" s="76" customFormat="1" ht="54" customHeight="1" x14ac:dyDescent="0.15"/>
    <row r="27031" s="76" customFormat="1" ht="21.95" customHeight="1" x14ac:dyDescent="0.15"/>
    <row r="27032" s="76" customFormat="1" ht="21.95" customHeight="1" x14ac:dyDescent="0.15"/>
    <row r="27033" s="76" customFormat="1" ht="21.95" customHeight="1" x14ac:dyDescent="0.15"/>
    <row r="27034" s="76" customFormat="1" ht="21.95" customHeight="1" x14ac:dyDescent="0.15"/>
    <row r="27035" s="76" customFormat="1" ht="21.95" customHeight="1" x14ac:dyDescent="0.15"/>
    <row r="27036" s="76" customFormat="1" ht="21.95" customHeight="1" x14ac:dyDescent="0.15"/>
    <row r="27037" s="76" customFormat="1" ht="21.95" customHeight="1" x14ac:dyDescent="0.15"/>
    <row r="27038" s="76" customFormat="1" ht="21.95" customHeight="1" x14ac:dyDescent="0.15"/>
    <row r="27039" s="76" customFormat="1" ht="21.95" customHeight="1" x14ac:dyDescent="0.15"/>
    <row r="27040" s="76" customFormat="1" ht="21.95" customHeight="1" x14ac:dyDescent="0.15"/>
    <row r="27041" s="76" customFormat="1" ht="21.95" customHeight="1" x14ac:dyDescent="0.15"/>
    <row r="27042" s="76" customFormat="1" ht="21.95" customHeight="1" x14ac:dyDescent="0.15"/>
    <row r="27043" s="76" customFormat="1" ht="21.95" customHeight="1" x14ac:dyDescent="0.15"/>
    <row r="27044" s="76" customFormat="1" ht="21.95" customHeight="1" x14ac:dyDescent="0.15"/>
    <row r="27045" s="76" customFormat="1" ht="21.95" customHeight="1" x14ac:dyDescent="0.15"/>
    <row r="27046" s="76" customFormat="1" ht="21.95" customHeight="1" x14ac:dyDescent="0.15"/>
    <row r="27047" s="76" customFormat="1" ht="21.95" customHeight="1" x14ac:dyDescent="0.15"/>
    <row r="27048" s="76" customFormat="1" ht="21.95" customHeight="1" x14ac:dyDescent="0.15"/>
    <row r="27049" s="76" customFormat="1" ht="21.95" customHeight="1" x14ac:dyDescent="0.15"/>
    <row r="27050" s="76" customFormat="1" ht="21.95" customHeight="1" x14ac:dyDescent="0.15"/>
    <row r="27051" s="76" customFormat="1" ht="21.95" customHeight="1" x14ac:dyDescent="0.15"/>
    <row r="27052" s="76" customFormat="1" ht="21.95" customHeight="1" x14ac:dyDescent="0.15"/>
    <row r="27053" s="76" customFormat="1" ht="21.95" customHeight="1" x14ac:dyDescent="0.15"/>
    <row r="27054" s="76" customFormat="1" ht="21.95" customHeight="1" x14ac:dyDescent="0.15"/>
    <row r="27055" s="76" customFormat="1" ht="21.95" customHeight="1" x14ac:dyDescent="0.15"/>
    <row r="27056" s="76" customFormat="1" ht="21.95" customHeight="1" x14ac:dyDescent="0.15"/>
    <row r="27057" s="76" customFormat="1" ht="21.95" customHeight="1" x14ac:dyDescent="0.15"/>
    <row r="27058" s="76" customFormat="1" ht="21.95" customHeight="1" x14ac:dyDescent="0.15"/>
    <row r="27059" s="76" customFormat="1" ht="21.95" customHeight="1" x14ac:dyDescent="0.15"/>
    <row r="27060" s="76" customFormat="1" ht="21.95" customHeight="1" x14ac:dyDescent="0.15"/>
    <row r="27061" s="76" customFormat="1" ht="21.95" customHeight="1" x14ac:dyDescent="0.15"/>
    <row r="27062" s="76" customFormat="1" ht="21.95" customHeight="1" x14ac:dyDescent="0.15"/>
    <row r="27063" s="76" customFormat="1" ht="21.95" customHeight="1" x14ac:dyDescent="0.15"/>
    <row r="27064" s="76" customFormat="1" ht="21.95" customHeight="1" x14ac:dyDescent="0.15"/>
    <row r="27065" s="76" customFormat="1" ht="21.95" customHeight="1" x14ac:dyDescent="0.15"/>
    <row r="27066" s="76" customFormat="1" ht="21.95" customHeight="1" x14ac:dyDescent="0.15"/>
    <row r="27067" s="76" customFormat="1" ht="21.95" customHeight="1" x14ac:dyDescent="0.15"/>
    <row r="27068" s="76" customFormat="1" ht="21.95" customHeight="1" x14ac:dyDescent="0.15"/>
    <row r="27069" s="76" customFormat="1" ht="21.95" customHeight="1" x14ac:dyDescent="0.15"/>
    <row r="27070" s="76" customFormat="1" ht="21.95" customHeight="1" x14ac:dyDescent="0.15"/>
    <row r="27071" s="76" customFormat="1" ht="21.95" customHeight="1" x14ac:dyDescent="0.15"/>
    <row r="27072" s="76" customFormat="1" ht="21.95" customHeight="1" x14ac:dyDescent="0.15"/>
    <row r="27073" s="76" customFormat="1" ht="21.95" customHeight="1" x14ac:dyDescent="0.15"/>
    <row r="27074" s="76" customFormat="1" ht="21.95" customHeight="1" x14ac:dyDescent="0.15"/>
    <row r="27075" s="76" customFormat="1" ht="21.95" customHeight="1" x14ac:dyDescent="0.15"/>
    <row r="27076" s="76" customFormat="1" ht="21.95" customHeight="1" x14ac:dyDescent="0.15"/>
    <row r="27077" s="76" customFormat="1" ht="21.95" customHeight="1" x14ac:dyDescent="0.15"/>
    <row r="27078" s="76" customFormat="1" ht="21.95" customHeight="1" x14ac:dyDescent="0.15"/>
    <row r="27079" s="76" customFormat="1" ht="21.95" customHeight="1" x14ac:dyDescent="0.15"/>
    <row r="27080" s="76" customFormat="1" ht="21.95" customHeight="1" x14ac:dyDescent="0.15"/>
    <row r="27081" s="76" customFormat="1" ht="35.1" customHeight="1" x14ac:dyDescent="0.15"/>
    <row r="27082" s="76" customFormat="1" ht="21.95" customHeight="1" x14ac:dyDescent="0.15"/>
    <row r="27083" s="76" customFormat="1" ht="21.95" customHeight="1" x14ac:dyDescent="0.15"/>
    <row r="27084" s="76" customFormat="1" ht="21.95" customHeight="1" x14ac:dyDescent="0.15"/>
    <row r="27085" s="76" customFormat="1" ht="21.95" customHeight="1" x14ac:dyDescent="0.15"/>
    <row r="27086" s="76" customFormat="1" ht="21.95" customHeight="1" x14ac:dyDescent="0.15"/>
    <row r="27087" s="76" customFormat="1" ht="21.95" customHeight="1" x14ac:dyDescent="0.15"/>
    <row r="27088" s="76" customFormat="1" ht="21.95" customHeight="1" x14ac:dyDescent="0.15"/>
    <row r="27089" s="76" customFormat="1" ht="21.95" customHeight="1" x14ac:dyDescent="0.15"/>
    <row r="27090" s="76" customFormat="1" ht="21.95" customHeight="1" x14ac:dyDescent="0.15"/>
    <row r="27091" s="76" customFormat="1" ht="21.95" customHeight="1" x14ac:dyDescent="0.15"/>
    <row r="27092" s="76" customFormat="1" ht="21.95" customHeight="1" x14ac:dyDescent="0.15"/>
    <row r="27093" s="76" customFormat="1" ht="21.95" customHeight="1" x14ac:dyDescent="0.15"/>
    <row r="27094" s="76" customFormat="1" ht="21.95" customHeight="1" x14ac:dyDescent="0.15"/>
    <row r="27095" s="76" customFormat="1" ht="21.95" customHeight="1" x14ac:dyDescent="0.15"/>
    <row r="27096" s="76" customFormat="1" ht="21.95" customHeight="1" x14ac:dyDescent="0.15"/>
    <row r="27097" s="76" customFormat="1" ht="21.95" customHeight="1" x14ac:dyDescent="0.15"/>
    <row r="27098" s="76" customFormat="1" ht="21.95" customHeight="1" x14ac:dyDescent="0.15"/>
    <row r="27099" s="76" customFormat="1" ht="21.95" customHeight="1" x14ac:dyDescent="0.15"/>
    <row r="27100" s="76" customFormat="1" ht="21.95" customHeight="1" x14ac:dyDescent="0.15"/>
    <row r="27101" s="76" customFormat="1" ht="21.95" customHeight="1" x14ac:dyDescent="0.15"/>
    <row r="27102" s="76" customFormat="1" ht="21.95" customHeight="1" x14ac:dyDescent="0.15"/>
    <row r="27103" s="76" customFormat="1" ht="21.95" customHeight="1" x14ac:dyDescent="0.15"/>
    <row r="27104" s="76" customFormat="1" ht="21.95" customHeight="1" x14ac:dyDescent="0.15"/>
    <row r="27105" spans="3:3" customFormat="1" ht="21.95" customHeight="1" x14ac:dyDescent="0.15"/>
    <row r="27106" spans="3:3" customFormat="1" ht="21.95" customHeight="1" x14ac:dyDescent="0.15"/>
    <row r="27107" spans="3:3" customFormat="1" ht="21.95" customHeight="1" x14ac:dyDescent="0.15">
      <c r="C27107" s="94"/>
    </row>
    <row r="27108" spans="3:3" customFormat="1" ht="21.95" customHeight="1" x14ac:dyDescent="0.15">
      <c r="C27108" s="94"/>
    </row>
    <row r="27109" spans="3:3" customFormat="1" ht="21.95" customHeight="1" x14ac:dyDescent="0.15"/>
    <row r="27110" spans="3:3" customFormat="1" ht="21.95" customHeight="1" x14ac:dyDescent="0.15"/>
    <row r="27111" spans="3:3" customFormat="1" ht="21.95" customHeight="1" x14ac:dyDescent="0.15"/>
    <row r="27112" spans="3:3" customFormat="1" ht="21.95" customHeight="1" x14ac:dyDescent="0.15"/>
    <row r="27113" spans="3:3" customFormat="1" ht="21.95" customHeight="1" x14ac:dyDescent="0.15"/>
    <row r="27114" spans="3:3" customFormat="1" ht="21.95" customHeight="1" x14ac:dyDescent="0.15"/>
    <row r="27115" spans="3:3" customFormat="1" ht="21.95" customHeight="1" x14ac:dyDescent="0.15"/>
    <row r="27116" spans="3:3" s="76" customFormat="1" ht="21.95" customHeight="1" x14ac:dyDescent="0.15"/>
    <row r="27117" spans="3:3" s="76" customFormat="1" ht="21.95" customHeight="1" x14ac:dyDescent="0.15"/>
    <row r="27118" spans="3:3" s="76" customFormat="1" ht="21.95" customHeight="1" x14ac:dyDescent="0.15"/>
    <row r="27119" spans="3:3" s="76" customFormat="1" ht="21.95" customHeight="1" x14ac:dyDescent="0.15"/>
    <row r="27120" spans="3:3" customFormat="1" ht="21.95" customHeight="1" x14ac:dyDescent="0.15"/>
    <row r="27121" customFormat="1" ht="21.95" customHeight="1" x14ac:dyDescent="0.15"/>
    <row r="27122" customFormat="1" ht="21.95" customHeight="1" x14ac:dyDescent="0.15"/>
    <row r="27123" customFormat="1" ht="21.95" customHeight="1" x14ac:dyDescent="0.15"/>
    <row r="27124" customFormat="1" ht="21.95" customHeight="1" x14ac:dyDescent="0.15"/>
    <row r="27125" customFormat="1" ht="21.95" customHeight="1" x14ac:dyDescent="0.15"/>
    <row r="27126" customFormat="1" ht="21.95" customHeight="1" x14ac:dyDescent="0.15"/>
    <row r="27127" customFormat="1" ht="21.95" customHeight="1" x14ac:dyDescent="0.15"/>
    <row r="27128" customFormat="1" ht="21.95" customHeight="1" x14ac:dyDescent="0.15"/>
    <row r="27129" customFormat="1" ht="21.95" customHeight="1" x14ac:dyDescent="0.15"/>
    <row r="27130" customFormat="1" ht="21.95" customHeight="1" x14ac:dyDescent="0.15"/>
    <row r="27131" customFormat="1" ht="32.1" customHeight="1" x14ac:dyDescent="0.15"/>
    <row r="27132" customFormat="1" ht="32.1" customHeight="1" x14ac:dyDescent="0.15"/>
    <row r="27133" customFormat="1" ht="32.1" customHeight="1" x14ac:dyDescent="0.15"/>
    <row r="27134" customFormat="1" ht="32.1" customHeight="1" x14ac:dyDescent="0.15"/>
    <row r="27135" customFormat="1" ht="32.1" customHeight="1" x14ac:dyDescent="0.15"/>
    <row r="27136" customFormat="1" ht="32.1" customHeight="1" x14ac:dyDescent="0.15"/>
    <row r="27137" s="76" customFormat="1" ht="32.1" customHeight="1" x14ac:dyDescent="0.15"/>
    <row r="27138" s="76" customFormat="1" ht="32.1" customHeight="1" x14ac:dyDescent="0.15"/>
    <row r="27139" s="76" customFormat="1" ht="32.1" customHeight="1" x14ac:dyDescent="0.15"/>
    <row r="27140" s="76" customFormat="1" ht="32.1" customHeight="1" x14ac:dyDescent="0.15"/>
    <row r="27141" s="76" customFormat="1" ht="21.95" customHeight="1" x14ac:dyDescent="0.15"/>
    <row r="27142" s="76" customFormat="1" ht="54" customHeight="1" x14ac:dyDescent="0.15"/>
    <row r="27143" s="76" customFormat="1" ht="21.95" customHeight="1" x14ac:dyDescent="0.15"/>
    <row r="27144" s="76" customFormat="1" ht="21.95" customHeight="1" x14ac:dyDescent="0.15"/>
    <row r="27145" s="76" customFormat="1" ht="21.95" customHeight="1" x14ac:dyDescent="0.15"/>
    <row r="27146" s="76" customFormat="1" ht="21.95" customHeight="1" x14ac:dyDescent="0.15"/>
    <row r="27147" s="76" customFormat="1" ht="21.95" customHeight="1" x14ac:dyDescent="0.15"/>
    <row r="27148" s="76" customFormat="1" ht="21.95" customHeight="1" x14ac:dyDescent="0.15"/>
    <row r="27149" s="76" customFormat="1" ht="21.95" customHeight="1" x14ac:dyDescent="0.15"/>
    <row r="27150" s="76" customFormat="1" ht="21.95" customHeight="1" x14ac:dyDescent="0.15"/>
    <row r="27151" s="76" customFormat="1" ht="21.95" customHeight="1" x14ac:dyDescent="0.15"/>
    <row r="27152" s="76" customFormat="1" ht="21.95" customHeight="1" x14ac:dyDescent="0.15"/>
    <row r="27153" s="76" customFormat="1" ht="21.95" customHeight="1" x14ac:dyDescent="0.15"/>
    <row r="27154" s="76" customFormat="1" ht="21.95" customHeight="1" x14ac:dyDescent="0.15"/>
    <row r="27155" s="76" customFormat="1" ht="21.95" customHeight="1" x14ac:dyDescent="0.15"/>
    <row r="27156" s="76" customFormat="1" ht="21.95" customHeight="1" x14ac:dyDescent="0.15"/>
    <row r="27157" s="76" customFormat="1" ht="21.95" customHeight="1" x14ac:dyDescent="0.15"/>
    <row r="27158" s="76" customFormat="1" ht="21.95" customHeight="1" x14ac:dyDescent="0.15"/>
    <row r="27159" s="76" customFormat="1" ht="21.95" customHeight="1" x14ac:dyDescent="0.15"/>
    <row r="27160" s="76" customFormat="1" ht="21.95" customHeight="1" x14ac:dyDescent="0.15"/>
    <row r="27161" s="76" customFormat="1" ht="21.95" customHeight="1" x14ac:dyDescent="0.15"/>
    <row r="27162" s="76" customFormat="1" ht="21.95" customHeight="1" x14ac:dyDescent="0.15"/>
    <row r="27163" s="76" customFormat="1" ht="21.95" customHeight="1" x14ac:dyDescent="0.15"/>
    <row r="27164" s="76" customFormat="1" ht="21.95" customHeight="1" x14ac:dyDescent="0.15"/>
    <row r="27165" s="76" customFormat="1" ht="21.95" customHeight="1" x14ac:dyDescent="0.15"/>
    <row r="27166" s="76" customFormat="1" ht="21.95" customHeight="1" x14ac:dyDescent="0.15"/>
    <row r="27167" s="76" customFormat="1" ht="21.95" customHeight="1" x14ac:dyDescent="0.15"/>
    <row r="27168" s="76" customFormat="1" ht="21.95" customHeight="1" x14ac:dyDescent="0.15"/>
    <row r="27169" s="76" customFormat="1" ht="21.95" customHeight="1" x14ac:dyDescent="0.15"/>
    <row r="27170" s="76" customFormat="1" ht="21.95" customHeight="1" x14ac:dyDescent="0.15"/>
    <row r="27171" s="76" customFormat="1" ht="21.95" customHeight="1" x14ac:dyDescent="0.15"/>
    <row r="27172" s="76" customFormat="1" ht="21.95" customHeight="1" x14ac:dyDescent="0.15"/>
    <row r="27173" s="76" customFormat="1" ht="21.95" customHeight="1" x14ac:dyDescent="0.15"/>
    <row r="27174" s="76" customFormat="1" ht="21.95" customHeight="1" x14ac:dyDescent="0.15"/>
    <row r="27175" s="76" customFormat="1" ht="21.95" customHeight="1" x14ac:dyDescent="0.15"/>
    <row r="27176" s="76" customFormat="1" ht="21.95" customHeight="1" x14ac:dyDescent="0.15"/>
    <row r="27177" s="76" customFormat="1" ht="21.95" customHeight="1" x14ac:dyDescent="0.15"/>
    <row r="27178" s="76" customFormat="1" ht="21.95" customHeight="1" x14ac:dyDescent="0.15"/>
    <row r="27179" s="76" customFormat="1" ht="21.95" customHeight="1" x14ac:dyDescent="0.15"/>
    <row r="27180" s="76" customFormat="1" ht="21.95" customHeight="1" x14ac:dyDescent="0.15"/>
    <row r="27181" s="76" customFormat="1" ht="21.95" customHeight="1" x14ac:dyDescent="0.15"/>
    <row r="27182" s="76" customFormat="1" ht="21.95" customHeight="1" x14ac:dyDescent="0.15"/>
    <row r="27183" s="76" customFormat="1" ht="21.95" customHeight="1" x14ac:dyDescent="0.15"/>
    <row r="27184" s="76" customFormat="1" ht="21.95" customHeight="1" x14ac:dyDescent="0.15"/>
    <row r="27185" s="76" customFormat="1" ht="21.95" customHeight="1" x14ac:dyDescent="0.15"/>
    <row r="27186" s="76" customFormat="1" ht="21.95" customHeight="1" x14ac:dyDescent="0.15"/>
    <row r="27187" s="76" customFormat="1" ht="21.95" customHeight="1" x14ac:dyDescent="0.15"/>
    <row r="27188" s="76" customFormat="1" ht="21.95" customHeight="1" x14ac:dyDescent="0.15"/>
    <row r="27189" s="76" customFormat="1" ht="21.95" customHeight="1" x14ac:dyDescent="0.15"/>
    <row r="27190" s="76" customFormat="1" ht="21.95" customHeight="1" x14ac:dyDescent="0.15"/>
    <row r="27191" s="76" customFormat="1" ht="21.95" customHeight="1" x14ac:dyDescent="0.15"/>
    <row r="27192" s="76" customFormat="1" ht="21.95" customHeight="1" x14ac:dyDescent="0.15"/>
    <row r="27193" s="76" customFormat="1" ht="35.1" customHeight="1" x14ac:dyDescent="0.15"/>
    <row r="27194" s="76" customFormat="1" ht="21.95" customHeight="1" x14ac:dyDescent="0.15"/>
    <row r="27195" s="76" customFormat="1" ht="21.95" customHeight="1" x14ac:dyDescent="0.15"/>
    <row r="27196" s="76" customFormat="1" ht="21.95" customHeight="1" x14ac:dyDescent="0.15"/>
    <row r="27197" s="76" customFormat="1" ht="21.95" customHeight="1" x14ac:dyDescent="0.15"/>
    <row r="27198" s="76" customFormat="1" ht="21.95" customHeight="1" x14ac:dyDescent="0.15"/>
    <row r="27199" s="76" customFormat="1" ht="21.95" customHeight="1" x14ac:dyDescent="0.15"/>
    <row r="27200" s="76" customFormat="1" ht="21.95" customHeight="1" x14ac:dyDescent="0.15"/>
    <row r="27201" s="76" customFormat="1" ht="21.95" customHeight="1" x14ac:dyDescent="0.15"/>
    <row r="27202" s="76" customFormat="1" ht="21.95" customHeight="1" x14ac:dyDescent="0.15"/>
    <row r="27203" s="76" customFormat="1" ht="21.95" customHeight="1" x14ac:dyDescent="0.15"/>
    <row r="27204" s="76" customFormat="1" ht="21.95" customHeight="1" x14ac:dyDescent="0.15"/>
    <row r="27205" s="76" customFormat="1" ht="21.95" customHeight="1" x14ac:dyDescent="0.15"/>
    <row r="27206" s="76" customFormat="1" ht="21.95" customHeight="1" x14ac:dyDescent="0.15"/>
    <row r="27207" s="76" customFormat="1" ht="21.95" customHeight="1" x14ac:dyDescent="0.15"/>
    <row r="27208" s="76" customFormat="1" ht="21.95" customHeight="1" x14ac:dyDescent="0.15"/>
    <row r="27209" s="76" customFormat="1" ht="21.95" customHeight="1" x14ac:dyDescent="0.15"/>
    <row r="27210" s="76" customFormat="1" ht="21.95" customHeight="1" x14ac:dyDescent="0.15"/>
    <row r="27211" s="76" customFormat="1" ht="21.95" customHeight="1" x14ac:dyDescent="0.15"/>
    <row r="27212" s="76" customFormat="1" ht="21.95" customHeight="1" x14ac:dyDescent="0.15"/>
    <row r="27213" s="76" customFormat="1" ht="21.95" customHeight="1" x14ac:dyDescent="0.15"/>
    <row r="27214" s="76" customFormat="1" ht="21.95" customHeight="1" x14ac:dyDescent="0.15"/>
    <row r="27215" s="76" customFormat="1" ht="21.95" customHeight="1" x14ac:dyDescent="0.15"/>
    <row r="27216" s="76" customFormat="1" ht="21.95" customHeight="1" x14ac:dyDescent="0.15"/>
    <row r="27217" spans="3:3" customFormat="1" ht="21.95" customHeight="1" x14ac:dyDescent="0.15"/>
    <row r="27218" spans="3:3" customFormat="1" ht="21.95" customHeight="1" x14ac:dyDescent="0.15"/>
    <row r="27219" spans="3:3" customFormat="1" ht="21.95" customHeight="1" x14ac:dyDescent="0.15">
      <c r="C27219" s="94"/>
    </row>
    <row r="27220" spans="3:3" customFormat="1" ht="21.95" customHeight="1" x14ac:dyDescent="0.15">
      <c r="C27220" s="94"/>
    </row>
    <row r="27221" spans="3:3" customFormat="1" ht="21.95" customHeight="1" x14ac:dyDescent="0.15"/>
    <row r="27222" spans="3:3" customFormat="1" ht="21.95" customHeight="1" x14ac:dyDescent="0.15"/>
    <row r="27223" spans="3:3" customFormat="1" ht="21.95" customHeight="1" x14ac:dyDescent="0.15"/>
    <row r="27224" spans="3:3" customFormat="1" ht="21.95" customHeight="1" x14ac:dyDescent="0.15"/>
    <row r="27225" spans="3:3" customFormat="1" ht="21.95" customHeight="1" x14ac:dyDescent="0.15"/>
    <row r="27226" spans="3:3" customFormat="1" ht="21.95" customHeight="1" x14ac:dyDescent="0.15"/>
    <row r="27227" spans="3:3" customFormat="1" ht="21.95" customHeight="1" x14ac:dyDescent="0.15"/>
    <row r="27228" spans="3:3" s="76" customFormat="1" ht="21.95" customHeight="1" x14ac:dyDescent="0.15"/>
    <row r="27229" spans="3:3" s="76" customFormat="1" ht="21.95" customHeight="1" x14ac:dyDescent="0.15"/>
    <row r="27230" spans="3:3" s="76" customFormat="1" ht="21.95" customHeight="1" x14ac:dyDescent="0.15"/>
    <row r="27231" spans="3:3" s="76" customFormat="1" ht="21.95" customHeight="1" x14ac:dyDescent="0.15"/>
    <row r="27232" spans="3:3" customFormat="1" ht="21.95" customHeight="1" x14ac:dyDescent="0.15"/>
    <row r="27233" customFormat="1" ht="21.95" customHeight="1" x14ac:dyDescent="0.15"/>
    <row r="27234" customFormat="1" ht="21.95" customHeight="1" x14ac:dyDescent="0.15"/>
    <row r="27235" customFormat="1" ht="21.95" customHeight="1" x14ac:dyDescent="0.15"/>
    <row r="27236" customFormat="1" ht="21.95" customHeight="1" x14ac:dyDescent="0.15"/>
    <row r="27237" customFormat="1" ht="21.95" customHeight="1" x14ac:dyDescent="0.15"/>
    <row r="27238" customFormat="1" ht="21.95" customHeight="1" x14ac:dyDescent="0.15"/>
    <row r="27239" customFormat="1" ht="21.95" customHeight="1" x14ac:dyDescent="0.15"/>
    <row r="27240" customFormat="1" ht="21.95" customHeight="1" x14ac:dyDescent="0.15"/>
    <row r="27241" customFormat="1" ht="21.95" customHeight="1" x14ac:dyDescent="0.15"/>
    <row r="27242" customFormat="1" ht="21.95" customHeight="1" x14ac:dyDescent="0.15"/>
    <row r="27243" customFormat="1" ht="32.1" customHeight="1" x14ac:dyDescent="0.15"/>
    <row r="27244" customFormat="1" ht="32.1" customHeight="1" x14ac:dyDescent="0.15"/>
    <row r="27245" customFormat="1" ht="32.1" customHeight="1" x14ac:dyDescent="0.15"/>
    <row r="27246" customFormat="1" ht="32.1" customHeight="1" x14ac:dyDescent="0.15"/>
    <row r="27247" customFormat="1" ht="32.1" customHeight="1" x14ac:dyDescent="0.15"/>
    <row r="27248" customFormat="1" ht="32.1" customHeight="1" x14ac:dyDescent="0.15"/>
    <row r="27249" s="76" customFormat="1" ht="32.1" customHeight="1" x14ac:dyDescent="0.15"/>
    <row r="27250" s="76" customFormat="1" ht="32.1" customHeight="1" x14ac:dyDescent="0.15"/>
    <row r="27251" s="76" customFormat="1" ht="32.1" customHeight="1" x14ac:dyDescent="0.15"/>
    <row r="27252" s="76" customFormat="1" ht="32.1" customHeight="1" x14ac:dyDescent="0.15"/>
    <row r="27253" s="76" customFormat="1" ht="21.95" customHeight="1" x14ac:dyDescent="0.15"/>
    <row r="27254" s="76" customFormat="1" ht="54" customHeight="1" x14ac:dyDescent="0.15"/>
    <row r="27255" s="76" customFormat="1" ht="21.95" customHeight="1" x14ac:dyDescent="0.15"/>
    <row r="27256" s="76" customFormat="1" ht="21.95" customHeight="1" x14ac:dyDescent="0.15"/>
    <row r="27257" s="76" customFormat="1" ht="21.95" customHeight="1" x14ac:dyDescent="0.15"/>
    <row r="27258" s="76" customFormat="1" ht="21.95" customHeight="1" x14ac:dyDescent="0.15"/>
    <row r="27259" s="76" customFormat="1" ht="21.95" customHeight="1" x14ac:dyDescent="0.15"/>
    <row r="27260" s="76" customFormat="1" ht="21.95" customHeight="1" x14ac:dyDescent="0.15"/>
    <row r="27261" s="76" customFormat="1" ht="21.95" customHeight="1" x14ac:dyDescent="0.15"/>
    <row r="27262" s="76" customFormat="1" ht="21.95" customHeight="1" x14ac:dyDescent="0.15"/>
    <row r="27263" s="76" customFormat="1" ht="21.95" customHeight="1" x14ac:dyDescent="0.15"/>
    <row r="27264" s="76" customFormat="1" ht="21.95" customHeight="1" x14ac:dyDescent="0.15"/>
    <row r="27265" s="76" customFormat="1" ht="21.95" customHeight="1" x14ac:dyDescent="0.15"/>
    <row r="27266" s="76" customFormat="1" ht="21.95" customHeight="1" x14ac:dyDescent="0.15"/>
    <row r="27267" s="76" customFormat="1" ht="21.95" customHeight="1" x14ac:dyDescent="0.15"/>
    <row r="27268" s="76" customFormat="1" ht="21.95" customHeight="1" x14ac:dyDescent="0.15"/>
    <row r="27269" s="76" customFormat="1" ht="21.95" customHeight="1" x14ac:dyDescent="0.15"/>
    <row r="27270" s="76" customFormat="1" ht="21.95" customHeight="1" x14ac:dyDescent="0.15"/>
    <row r="27271" s="76" customFormat="1" ht="21.95" customHeight="1" x14ac:dyDescent="0.15"/>
    <row r="27272" s="76" customFormat="1" ht="21.95" customHeight="1" x14ac:dyDescent="0.15"/>
    <row r="27273" s="76" customFormat="1" ht="21.95" customHeight="1" x14ac:dyDescent="0.15"/>
    <row r="27274" s="76" customFormat="1" ht="21.95" customHeight="1" x14ac:dyDescent="0.15"/>
    <row r="27275" s="76" customFormat="1" ht="21.95" customHeight="1" x14ac:dyDescent="0.15"/>
    <row r="27276" s="76" customFormat="1" ht="21.95" customHeight="1" x14ac:dyDescent="0.15"/>
    <row r="27277" s="76" customFormat="1" ht="21.95" customHeight="1" x14ac:dyDescent="0.15"/>
    <row r="27278" s="76" customFormat="1" ht="21.95" customHeight="1" x14ac:dyDescent="0.15"/>
    <row r="27279" s="76" customFormat="1" ht="21.95" customHeight="1" x14ac:dyDescent="0.15"/>
    <row r="27280" s="76" customFormat="1" ht="21.95" customHeight="1" x14ac:dyDescent="0.15"/>
    <row r="27281" s="76" customFormat="1" ht="21.95" customHeight="1" x14ac:dyDescent="0.15"/>
    <row r="27282" s="76" customFormat="1" ht="21.95" customHeight="1" x14ac:dyDescent="0.15"/>
    <row r="27283" s="76" customFormat="1" ht="21.95" customHeight="1" x14ac:dyDescent="0.15"/>
    <row r="27284" s="76" customFormat="1" ht="21.95" customHeight="1" x14ac:dyDescent="0.15"/>
    <row r="27285" s="76" customFormat="1" ht="21.95" customHeight="1" x14ac:dyDescent="0.15"/>
    <row r="27286" s="76" customFormat="1" ht="21.95" customHeight="1" x14ac:dyDescent="0.15"/>
    <row r="27287" s="76" customFormat="1" ht="21.95" customHeight="1" x14ac:dyDescent="0.15"/>
    <row r="27288" s="76" customFormat="1" ht="21.95" customHeight="1" x14ac:dyDescent="0.15"/>
    <row r="27289" s="76" customFormat="1" ht="21.95" customHeight="1" x14ac:dyDescent="0.15"/>
    <row r="27290" s="76" customFormat="1" ht="21.95" customHeight="1" x14ac:dyDescent="0.15"/>
    <row r="27291" s="76" customFormat="1" ht="21.95" customHeight="1" x14ac:dyDescent="0.15"/>
    <row r="27292" s="76" customFormat="1" ht="21.95" customHeight="1" x14ac:dyDescent="0.15"/>
    <row r="27293" s="76" customFormat="1" ht="21.95" customHeight="1" x14ac:dyDescent="0.15"/>
    <row r="27294" s="76" customFormat="1" ht="21.95" customHeight="1" x14ac:dyDescent="0.15"/>
    <row r="27295" s="76" customFormat="1" ht="21.95" customHeight="1" x14ac:dyDescent="0.15"/>
    <row r="27296" s="76" customFormat="1" ht="21.95" customHeight="1" x14ac:dyDescent="0.15"/>
    <row r="27297" s="76" customFormat="1" ht="21.95" customHeight="1" x14ac:dyDescent="0.15"/>
    <row r="27298" s="76" customFormat="1" ht="21.95" customHeight="1" x14ac:dyDescent="0.15"/>
    <row r="27299" s="76" customFormat="1" ht="21.95" customHeight="1" x14ac:dyDescent="0.15"/>
    <row r="27300" s="76" customFormat="1" ht="21.95" customHeight="1" x14ac:dyDescent="0.15"/>
    <row r="27301" s="76" customFormat="1" ht="21.95" customHeight="1" x14ac:dyDescent="0.15"/>
    <row r="27302" s="76" customFormat="1" ht="21.95" customHeight="1" x14ac:dyDescent="0.15"/>
    <row r="27303" s="76" customFormat="1" ht="21.95" customHeight="1" x14ac:dyDescent="0.15"/>
    <row r="27304" s="76" customFormat="1" ht="21.95" customHeight="1" x14ac:dyDescent="0.15"/>
    <row r="27305" s="76" customFormat="1" ht="35.1" customHeight="1" x14ac:dyDescent="0.15"/>
    <row r="27306" s="76" customFormat="1" ht="21.95" customHeight="1" x14ac:dyDescent="0.15"/>
    <row r="27307" s="76" customFormat="1" ht="21.95" customHeight="1" x14ac:dyDescent="0.15"/>
    <row r="27308" s="76" customFormat="1" ht="21.95" customHeight="1" x14ac:dyDescent="0.15"/>
    <row r="27309" s="76" customFormat="1" ht="21.95" customHeight="1" x14ac:dyDescent="0.15"/>
    <row r="27310" s="76" customFormat="1" ht="21.95" customHeight="1" x14ac:dyDescent="0.15"/>
    <row r="27311" s="76" customFormat="1" ht="21.95" customHeight="1" x14ac:dyDescent="0.15"/>
    <row r="27312" s="76" customFormat="1" ht="21.95" customHeight="1" x14ac:dyDescent="0.15"/>
    <row r="27313" s="76" customFormat="1" ht="21.95" customHeight="1" x14ac:dyDescent="0.15"/>
    <row r="27314" s="76" customFormat="1" ht="21.95" customHeight="1" x14ac:dyDescent="0.15"/>
    <row r="27315" s="76" customFormat="1" ht="21.95" customHeight="1" x14ac:dyDescent="0.15"/>
    <row r="27316" s="76" customFormat="1" ht="21.95" customHeight="1" x14ac:dyDescent="0.15"/>
    <row r="27317" s="76" customFormat="1" ht="21.95" customHeight="1" x14ac:dyDescent="0.15"/>
    <row r="27318" s="76" customFormat="1" ht="21.95" customHeight="1" x14ac:dyDescent="0.15"/>
    <row r="27319" s="76" customFormat="1" ht="21.95" customHeight="1" x14ac:dyDescent="0.15"/>
    <row r="27320" s="76" customFormat="1" ht="21.95" customHeight="1" x14ac:dyDescent="0.15"/>
    <row r="27321" s="76" customFormat="1" ht="21.95" customHeight="1" x14ac:dyDescent="0.15"/>
    <row r="27322" s="76" customFormat="1" ht="21.95" customHeight="1" x14ac:dyDescent="0.15"/>
    <row r="27323" s="76" customFormat="1" ht="21.95" customHeight="1" x14ac:dyDescent="0.15"/>
    <row r="27324" s="76" customFormat="1" ht="21.95" customHeight="1" x14ac:dyDescent="0.15"/>
    <row r="27325" s="76" customFormat="1" ht="21.95" customHeight="1" x14ac:dyDescent="0.15"/>
    <row r="27326" s="76" customFormat="1" ht="21.95" customHeight="1" x14ac:dyDescent="0.15"/>
    <row r="27327" s="76" customFormat="1" ht="21.95" customHeight="1" x14ac:dyDescent="0.15"/>
    <row r="27328" s="76" customFormat="1" ht="21.95" customHeight="1" x14ac:dyDescent="0.15"/>
    <row r="27329" spans="3:3" customFormat="1" ht="21.95" customHeight="1" x14ac:dyDescent="0.15"/>
    <row r="27330" spans="3:3" customFormat="1" ht="21.95" customHeight="1" x14ac:dyDescent="0.15"/>
    <row r="27331" spans="3:3" customFormat="1" ht="21.95" customHeight="1" x14ac:dyDescent="0.15">
      <c r="C27331" s="94"/>
    </row>
    <row r="27332" spans="3:3" customFormat="1" ht="21.95" customHeight="1" x14ac:dyDescent="0.15">
      <c r="C27332" s="94"/>
    </row>
    <row r="27333" spans="3:3" customFormat="1" ht="21.95" customHeight="1" x14ac:dyDescent="0.15"/>
    <row r="27334" spans="3:3" customFormat="1" ht="21.95" customHeight="1" x14ac:dyDescent="0.15"/>
    <row r="27335" spans="3:3" customFormat="1" ht="21.95" customHeight="1" x14ac:dyDescent="0.15"/>
    <row r="27336" spans="3:3" customFormat="1" ht="21.95" customHeight="1" x14ac:dyDescent="0.15"/>
    <row r="27337" spans="3:3" customFormat="1" ht="21.95" customHeight="1" x14ac:dyDescent="0.15"/>
    <row r="27338" spans="3:3" customFormat="1" ht="21.95" customHeight="1" x14ac:dyDescent="0.15"/>
    <row r="27339" spans="3:3" customFormat="1" ht="21.95" customHeight="1" x14ac:dyDescent="0.15"/>
    <row r="27340" spans="3:3" s="76" customFormat="1" ht="21.95" customHeight="1" x14ac:dyDescent="0.15"/>
    <row r="27341" spans="3:3" s="76" customFormat="1" ht="21.95" customHeight="1" x14ac:dyDescent="0.15"/>
    <row r="27342" spans="3:3" s="76" customFormat="1" ht="21.95" customHeight="1" x14ac:dyDescent="0.15"/>
    <row r="27343" spans="3:3" s="76" customFormat="1" ht="21.95" customHeight="1" x14ac:dyDescent="0.15"/>
    <row r="27344" spans="3:3" customFormat="1" ht="21.95" customHeight="1" x14ac:dyDescent="0.15"/>
    <row r="27345" customFormat="1" ht="21.95" customHeight="1" x14ac:dyDescent="0.15"/>
    <row r="27346" customFormat="1" ht="21.95" customHeight="1" x14ac:dyDescent="0.15"/>
    <row r="27347" customFormat="1" ht="21.95" customHeight="1" x14ac:dyDescent="0.15"/>
    <row r="27348" customFormat="1" ht="21.95" customHeight="1" x14ac:dyDescent="0.15"/>
    <row r="27349" customFormat="1" ht="21.95" customHeight="1" x14ac:dyDescent="0.15"/>
    <row r="27350" customFormat="1" ht="21.95" customHeight="1" x14ac:dyDescent="0.15"/>
    <row r="27351" customFormat="1" ht="21.95" customHeight="1" x14ac:dyDescent="0.15"/>
    <row r="27352" customFormat="1" ht="21.95" customHeight="1" x14ac:dyDescent="0.15"/>
    <row r="27353" customFormat="1" ht="21.95" customHeight="1" x14ac:dyDescent="0.15"/>
    <row r="27354" customFormat="1" ht="21.95" customHeight="1" x14ac:dyDescent="0.15"/>
    <row r="27355" customFormat="1" ht="32.1" customHeight="1" x14ac:dyDescent="0.15"/>
    <row r="27356" customFormat="1" ht="32.1" customHeight="1" x14ac:dyDescent="0.15"/>
    <row r="27357" customFormat="1" ht="32.1" customHeight="1" x14ac:dyDescent="0.15"/>
    <row r="27358" customFormat="1" ht="32.1" customHeight="1" x14ac:dyDescent="0.15"/>
    <row r="27359" customFormat="1" ht="32.1" customHeight="1" x14ac:dyDescent="0.15"/>
    <row r="27360" customFormat="1" ht="32.1" customHeight="1" x14ac:dyDescent="0.15"/>
    <row r="27361" s="76" customFormat="1" ht="32.1" customHeight="1" x14ac:dyDescent="0.15"/>
    <row r="27362" s="76" customFormat="1" ht="32.1" customHeight="1" x14ac:dyDescent="0.15"/>
    <row r="27363" s="76" customFormat="1" ht="32.1" customHeight="1" x14ac:dyDescent="0.15"/>
    <row r="27364" s="76" customFormat="1" ht="32.1" customHeight="1" x14ac:dyDescent="0.15"/>
    <row r="27365" s="76" customFormat="1" ht="21.95" customHeight="1" x14ac:dyDescent="0.15"/>
    <row r="27366" s="76" customFormat="1" ht="54" customHeight="1" x14ac:dyDescent="0.15"/>
    <row r="27367" s="76" customFormat="1" ht="21.95" customHeight="1" x14ac:dyDescent="0.15"/>
    <row r="27368" s="76" customFormat="1" ht="21.95" customHeight="1" x14ac:dyDescent="0.15"/>
    <row r="27369" s="76" customFormat="1" ht="21.95" customHeight="1" x14ac:dyDescent="0.15"/>
    <row r="27370" s="76" customFormat="1" ht="21.95" customHeight="1" x14ac:dyDescent="0.15"/>
    <row r="27371" s="76" customFormat="1" ht="21.95" customHeight="1" x14ac:dyDescent="0.15"/>
    <row r="27372" s="76" customFormat="1" ht="21.95" customHeight="1" x14ac:dyDescent="0.15"/>
    <row r="27373" s="76" customFormat="1" ht="21.95" customHeight="1" x14ac:dyDescent="0.15"/>
    <row r="27374" s="76" customFormat="1" ht="21.95" customHeight="1" x14ac:dyDescent="0.15"/>
    <row r="27375" s="76" customFormat="1" ht="21.95" customHeight="1" x14ac:dyDescent="0.15"/>
    <row r="27376" s="76" customFormat="1" ht="21.95" customHeight="1" x14ac:dyDescent="0.15"/>
    <row r="27377" s="76" customFormat="1" ht="21.95" customHeight="1" x14ac:dyDescent="0.15"/>
    <row r="27378" s="76" customFormat="1" ht="21.95" customHeight="1" x14ac:dyDescent="0.15"/>
    <row r="27379" s="76" customFormat="1" ht="21.95" customHeight="1" x14ac:dyDescent="0.15"/>
    <row r="27380" s="76" customFormat="1" ht="21.95" customHeight="1" x14ac:dyDescent="0.15"/>
    <row r="27381" s="76" customFormat="1" ht="21.95" customHeight="1" x14ac:dyDescent="0.15"/>
    <row r="27382" s="76" customFormat="1" ht="21.95" customHeight="1" x14ac:dyDescent="0.15"/>
    <row r="27383" s="76" customFormat="1" ht="21.95" customHeight="1" x14ac:dyDescent="0.15"/>
    <row r="27384" s="76" customFormat="1" ht="21.95" customHeight="1" x14ac:dyDescent="0.15"/>
    <row r="27385" s="76" customFormat="1" ht="21.95" customHeight="1" x14ac:dyDescent="0.15"/>
    <row r="27386" s="76" customFormat="1" ht="21.95" customHeight="1" x14ac:dyDescent="0.15"/>
    <row r="27387" s="76" customFormat="1" ht="21.95" customHeight="1" x14ac:dyDescent="0.15"/>
    <row r="27388" s="76" customFormat="1" ht="21.95" customHeight="1" x14ac:dyDescent="0.15"/>
    <row r="27389" s="76" customFormat="1" ht="21.95" customHeight="1" x14ac:dyDescent="0.15"/>
    <row r="27390" s="76" customFormat="1" ht="21.95" customHeight="1" x14ac:dyDescent="0.15"/>
    <row r="27391" s="76" customFormat="1" ht="21.95" customHeight="1" x14ac:dyDescent="0.15"/>
    <row r="27392" s="76" customFormat="1" ht="21.95" customHeight="1" x14ac:dyDescent="0.15"/>
    <row r="27393" s="76" customFormat="1" ht="21.95" customHeight="1" x14ac:dyDescent="0.15"/>
    <row r="27394" s="76" customFormat="1" ht="21.95" customHeight="1" x14ac:dyDescent="0.15"/>
    <row r="27395" s="76" customFormat="1" ht="21.95" customHeight="1" x14ac:dyDescent="0.15"/>
    <row r="27396" s="76" customFormat="1" ht="21.95" customHeight="1" x14ac:dyDescent="0.15"/>
    <row r="27397" s="76" customFormat="1" ht="21.95" customHeight="1" x14ac:dyDescent="0.15"/>
    <row r="27398" s="76" customFormat="1" ht="21.95" customHeight="1" x14ac:dyDescent="0.15"/>
    <row r="27399" s="76" customFormat="1" ht="21.95" customHeight="1" x14ac:dyDescent="0.15"/>
    <row r="27400" s="76" customFormat="1" ht="21.95" customHeight="1" x14ac:dyDescent="0.15"/>
    <row r="27401" s="76" customFormat="1" ht="21.95" customHeight="1" x14ac:dyDescent="0.15"/>
    <row r="27402" s="76" customFormat="1" ht="21.95" customHeight="1" x14ac:dyDescent="0.15"/>
    <row r="27403" s="76" customFormat="1" ht="21.95" customHeight="1" x14ac:dyDescent="0.15"/>
    <row r="27404" s="76" customFormat="1" ht="21.95" customHeight="1" x14ac:dyDescent="0.15"/>
    <row r="27405" s="76" customFormat="1" ht="21.95" customHeight="1" x14ac:dyDescent="0.15"/>
    <row r="27406" s="76" customFormat="1" ht="21.95" customHeight="1" x14ac:dyDescent="0.15"/>
    <row r="27407" s="76" customFormat="1" ht="21.95" customHeight="1" x14ac:dyDescent="0.15"/>
    <row r="27408" s="76" customFormat="1" ht="21.95" customHeight="1" x14ac:dyDescent="0.15"/>
    <row r="27409" s="76" customFormat="1" ht="21.95" customHeight="1" x14ac:dyDescent="0.15"/>
    <row r="27410" s="76" customFormat="1" ht="21.95" customHeight="1" x14ac:dyDescent="0.15"/>
    <row r="27411" s="76" customFormat="1" ht="21.95" customHeight="1" x14ac:dyDescent="0.15"/>
    <row r="27412" s="76" customFormat="1" ht="21.95" customHeight="1" x14ac:dyDescent="0.15"/>
    <row r="27413" s="76" customFormat="1" ht="21.95" customHeight="1" x14ac:dyDescent="0.15"/>
    <row r="27414" s="76" customFormat="1" ht="21.95" customHeight="1" x14ac:dyDescent="0.15"/>
    <row r="27415" s="76" customFormat="1" ht="21.95" customHeight="1" x14ac:dyDescent="0.15"/>
    <row r="27416" s="76" customFormat="1" ht="21.95" customHeight="1" x14ac:dyDescent="0.15"/>
    <row r="27417" s="76" customFormat="1" ht="35.1" customHeight="1" x14ac:dyDescent="0.15"/>
    <row r="27418" s="76" customFormat="1" ht="21.95" customHeight="1" x14ac:dyDescent="0.15"/>
    <row r="27419" s="76" customFormat="1" ht="21.95" customHeight="1" x14ac:dyDescent="0.15"/>
    <row r="27420" s="76" customFormat="1" ht="21.95" customHeight="1" x14ac:dyDescent="0.15"/>
    <row r="27421" s="76" customFormat="1" ht="21.95" customHeight="1" x14ac:dyDescent="0.15"/>
    <row r="27422" s="76" customFormat="1" ht="21.95" customHeight="1" x14ac:dyDescent="0.15"/>
    <row r="27423" s="76" customFormat="1" ht="21.95" customHeight="1" x14ac:dyDescent="0.15"/>
    <row r="27424" s="76" customFormat="1" ht="21.95" customHeight="1" x14ac:dyDescent="0.15"/>
    <row r="27425" s="76" customFormat="1" ht="21.95" customHeight="1" x14ac:dyDescent="0.15"/>
    <row r="27426" s="76" customFormat="1" ht="21.95" customHeight="1" x14ac:dyDescent="0.15"/>
    <row r="27427" s="76" customFormat="1" ht="21.95" customHeight="1" x14ac:dyDescent="0.15"/>
    <row r="27428" s="76" customFormat="1" ht="21.95" customHeight="1" x14ac:dyDescent="0.15"/>
    <row r="27429" s="76" customFormat="1" ht="21.95" customHeight="1" x14ac:dyDescent="0.15"/>
    <row r="27430" s="76" customFormat="1" ht="21.95" customHeight="1" x14ac:dyDescent="0.15"/>
    <row r="27431" s="76" customFormat="1" ht="21.95" customHeight="1" x14ac:dyDescent="0.15"/>
    <row r="27432" s="76" customFormat="1" ht="21.95" customHeight="1" x14ac:dyDescent="0.15"/>
    <row r="27433" s="76" customFormat="1" ht="21.95" customHeight="1" x14ac:dyDescent="0.15"/>
    <row r="27434" s="76" customFormat="1" ht="21.95" customHeight="1" x14ac:dyDescent="0.15"/>
    <row r="27435" s="76" customFormat="1" ht="21.95" customHeight="1" x14ac:dyDescent="0.15"/>
    <row r="27436" s="76" customFormat="1" ht="21.95" customHeight="1" x14ac:dyDescent="0.15"/>
    <row r="27437" s="76" customFormat="1" ht="21.95" customHeight="1" x14ac:dyDescent="0.15"/>
    <row r="27438" s="76" customFormat="1" ht="21.95" customHeight="1" x14ac:dyDescent="0.15"/>
    <row r="27439" s="76" customFormat="1" ht="21.95" customHeight="1" x14ac:dyDescent="0.15"/>
    <row r="27440" s="76" customFormat="1" ht="21.95" customHeight="1" x14ac:dyDescent="0.15"/>
    <row r="27441" spans="3:3" customFormat="1" ht="21.95" customHeight="1" x14ac:dyDescent="0.15"/>
    <row r="27442" spans="3:3" customFormat="1" ht="21.95" customHeight="1" x14ac:dyDescent="0.15"/>
    <row r="27443" spans="3:3" customFormat="1" ht="21.95" customHeight="1" x14ac:dyDescent="0.15">
      <c r="C27443" s="94"/>
    </row>
    <row r="27444" spans="3:3" customFormat="1" ht="21.95" customHeight="1" x14ac:dyDescent="0.15">
      <c r="C27444" s="94"/>
    </row>
    <row r="27445" spans="3:3" customFormat="1" ht="21.95" customHeight="1" x14ac:dyDescent="0.15"/>
    <row r="27446" spans="3:3" customFormat="1" ht="21.95" customHeight="1" x14ac:dyDescent="0.15"/>
    <row r="27447" spans="3:3" customFormat="1" ht="21.95" customHeight="1" x14ac:dyDescent="0.15"/>
    <row r="27448" spans="3:3" customFormat="1" ht="21.95" customHeight="1" x14ac:dyDescent="0.15"/>
    <row r="27449" spans="3:3" customFormat="1" ht="21.95" customHeight="1" x14ac:dyDescent="0.15"/>
    <row r="27450" spans="3:3" customFormat="1" ht="21.95" customHeight="1" x14ac:dyDescent="0.15"/>
    <row r="27451" spans="3:3" customFormat="1" ht="21.95" customHeight="1" x14ac:dyDescent="0.15"/>
    <row r="27452" spans="3:3" s="76" customFormat="1" ht="21.95" customHeight="1" x14ac:dyDescent="0.15"/>
    <row r="27453" spans="3:3" s="76" customFormat="1" ht="21.95" customHeight="1" x14ac:dyDescent="0.15"/>
    <row r="27454" spans="3:3" s="76" customFormat="1" ht="21.95" customHeight="1" x14ac:dyDescent="0.15"/>
    <row r="27455" spans="3:3" s="76" customFormat="1" ht="21.95" customHeight="1" x14ac:dyDescent="0.15"/>
    <row r="27456" spans="3:3" customFormat="1" ht="21.95" customHeight="1" x14ac:dyDescent="0.15"/>
    <row r="27457" customFormat="1" ht="21.95" customHeight="1" x14ac:dyDescent="0.15"/>
    <row r="27458" customFormat="1" ht="21.95" customHeight="1" x14ac:dyDescent="0.15"/>
    <row r="27459" customFormat="1" ht="21.95" customHeight="1" x14ac:dyDescent="0.15"/>
    <row r="27460" customFormat="1" ht="21.95" customHeight="1" x14ac:dyDescent="0.15"/>
    <row r="27461" customFormat="1" ht="21.95" customHeight="1" x14ac:dyDescent="0.15"/>
    <row r="27462" customFormat="1" ht="21.95" customHeight="1" x14ac:dyDescent="0.15"/>
    <row r="27463" customFormat="1" ht="21.95" customHeight="1" x14ac:dyDescent="0.15"/>
    <row r="27464" customFormat="1" ht="21.95" customHeight="1" x14ac:dyDescent="0.15"/>
    <row r="27465" customFormat="1" ht="21.95" customHeight="1" x14ac:dyDescent="0.15"/>
    <row r="27466" customFormat="1" ht="21.95" customHeight="1" x14ac:dyDescent="0.15"/>
    <row r="27467" customFormat="1" ht="32.1" customHeight="1" x14ac:dyDescent="0.15"/>
    <row r="27468" customFormat="1" ht="32.1" customHeight="1" x14ac:dyDescent="0.15"/>
    <row r="27469" customFormat="1" ht="32.1" customHeight="1" x14ac:dyDescent="0.15"/>
    <row r="27470" customFormat="1" ht="32.1" customHeight="1" x14ac:dyDescent="0.15"/>
    <row r="27471" customFormat="1" ht="32.1" customHeight="1" x14ac:dyDescent="0.15"/>
    <row r="27472" customFormat="1" ht="32.1" customHeight="1" x14ac:dyDescent="0.15"/>
    <row r="27473" s="76" customFormat="1" ht="32.1" customHeight="1" x14ac:dyDescent="0.15"/>
    <row r="27474" s="76" customFormat="1" ht="32.1" customHeight="1" x14ac:dyDescent="0.15"/>
    <row r="27475" s="76" customFormat="1" ht="32.1" customHeight="1" x14ac:dyDescent="0.15"/>
    <row r="27476" s="76" customFormat="1" ht="32.1" customHeight="1" x14ac:dyDescent="0.15"/>
    <row r="27477" s="76" customFormat="1" ht="21.95" customHeight="1" x14ac:dyDescent="0.15"/>
    <row r="27478" s="76" customFormat="1" ht="54" customHeight="1" x14ac:dyDescent="0.15"/>
    <row r="27479" s="76" customFormat="1" ht="21.95" customHeight="1" x14ac:dyDescent="0.15"/>
    <row r="27480" s="76" customFormat="1" ht="21.95" customHeight="1" x14ac:dyDescent="0.15"/>
    <row r="27481" s="76" customFormat="1" ht="21.95" customHeight="1" x14ac:dyDescent="0.15"/>
    <row r="27482" s="76" customFormat="1" ht="21.95" customHeight="1" x14ac:dyDescent="0.15"/>
    <row r="27483" s="76" customFormat="1" ht="21.95" customHeight="1" x14ac:dyDescent="0.15"/>
    <row r="27484" s="76" customFormat="1" ht="21.95" customHeight="1" x14ac:dyDescent="0.15"/>
    <row r="27485" s="76" customFormat="1" ht="21.95" customHeight="1" x14ac:dyDescent="0.15"/>
    <row r="27486" s="76" customFormat="1" ht="21.95" customHeight="1" x14ac:dyDescent="0.15"/>
    <row r="27487" s="76" customFormat="1" ht="21.95" customHeight="1" x14ac:dyDescent="0.15"/>
    <row r="27488" s="76" customFormat="1" ht="21.95" customHeight="1" x14ac:dyDescent="0.15"/>
    <row r="27489" s="76" customFormat="1" ht="21.95" customHeight="1" x14ac:dyDescent="0.15"/>
    <row r="27490" s="76" customFormat="1" ht="21.95" customHeight="1" x14ac:dyDescent="0.15"/>
    <row r="27491" s="76" customFormat="1" ht="21.95" customHeight="1" x14ac:dyDescent="0.15"/>
    <row r="27492" s="76" customFormat="1" ht="21.95" customHeight="1" x14ac:dyDescent="0.15"/>
    <row r="27493" s="76" customFormat="1" ht="21.95" customHeight="1" x14ac:dyDescent="0.15"/>
    <row r="27494" s="76" customFormat="1" ht="21.95" customHeight="1" x14ac:dyDescent="0.15"/>
    <row r="27495" s="76" customFormat="1" ht="21.95" customHeight="1" x14ac:dyDescent="0.15"/>
    <row r="27496" s="76" customFormat="1" ht="21.95" customHeight="1" x14ac:dyDescent="0.15"/>
    <row r="27497" s="76" customFormat="1" ht="21.95" customHeight="1" x14ac:dyDescent="0.15"/>
    <row r="27498" s="76" customFormat="1" ht="21.95" customHeight="1" x14ac:dyDescent="0.15"/>
    <row r="27499" s="76" customFormat="1" ht="21.95" customHeight="1" x14ac:dyDescent="0.15"/>
    <row r="27500" s="76" customFormat="1" ht="21.95" customHeight="1" x14ac:dyDescent="0.15"/>
    <row r="27501" s="76" customFormat="1" ht="21.95" customHeight="1" x14ac:dyDescent="0.15"/>
    <row r="27502" s="76" customFormat="1" ht="21.95" customHeight="1" x14ac:dyDescent="0.15"/>
    <row r="27503" s="76" customFormat="1" ht="21.95" customHeight="1" x14ac:dyDescent="0.15"/>
    <row r="27504" s="76" customFormat="1" ht="21.95" customHeight="1" x14ac:dyDescent="0.15"/>
    <row r="27505" s="76" customFormat="1" ht="21.95" customHeight="1" x14ac:dyDescent="0.15"/>
    <row r="27506" s="76" customFormat="1" ht="21.95" customHeight="1" x14ac:dyDescent="0.15"/>
    <row r="27507" s="76" customFormat="1" ht="21.95" customHeight="1" x14ac:dyDescent="0.15"/>
    <row r="27508" s="76" customFormat="1" ht="21.95" customHeight="1" x14ac:dyDescent="0.15"/>
    <row r="27509" s="76" customFormat="1" ht="21.95" customHeight="1" x14ac:dyDescent="0.15"/>
    <row r="27510" s="76" customFormat="1" ht="21.95" customHeight="1" x14ac:dyDescent="0.15"/>
    <row r="27511" s="76" customFormat="1" ht="21.95" customHeight="1" x14ac:dyDescent="0.15"/>
    <row r="27512" s="76" customFormat="1" ht="21.95" customHeight="1" x14ac:dyDescent="0.15"/>
    <row r="27513" s="76" customFormat="1" ht="21.95" customHeight="1" x14ac:dyDescent="0.15"/>
    <row r="27514" s="76" customFormat="1" ht="21.95" customHeight="1" x14ac:dyDescent="0.15"/>
    <row r="27515" s="76" customFormat="1" ht="21.95" customHeight="1" x14ac:dyDescent="0.15"/>
    <row r="27516" s="76" customFormat="1" ht="21.95" customHeight="1" x14ac:dyDescent="0.15"/>
    <row r="27517" s="76" customFormat="1" ht="21.95" customHeight="1" x14ac:dyDescent="0.15"/>
    <row r="27518" s="76" customFormat="1" ht="21.95" customHeight="1" x14ac:dyDescent="0.15"/>
    <row r="27519" s="76" customFormat="1" ht="21.95" customHeight="1" x14ac:dyDescent="0.15"/>
    <row r="27520" s="76" customFormat="1" ht="21.95" customHeight="1" x14ac:dyDescent="0.15"/>
    <row r="27521" s="76" customFormat="1" ht="21.95" customHeight="1" x14ac:dyDescent="0.15"/>
    <row r="27522" s="76" customFormat="1" ht="21.95" customHeight="1" x14ac:dyDescent="0.15"/>
    <row r="27523" s="76" customFormat="1" ht="21.95" customHeight="1" x14ac:dyDescent="0.15"/>
    <row r="27524" s="76" customFormat="1" ht="21.95" customHeight="1" x14ac:dyDescent="0.15"/>
    <row r="27525" s="76" customFormat="1" ht="21.95" customHeight="1" x14ac:dyDescent="0.15"/>
    <row r="27526" s="76" customFormat="1" ht="21.95" customHeight="1" x14ac:dyDescent="0.15"/>
    <row r="27527" s="76" customFormat="1" ht="21.95" customHeight="1" x14ac:dyDescent="0.15"/>
    <row r="27528" s="76" customFormat="1" ht="21.95" customHeight="1" x14ac:dyDescent="0.15"/>
    <row r="27529" s="76" customFormat="1" ht="35.1" customHeight="1" x14ac:dyDescent="0.15"/>
    <row r="27530" s="76" customFormat="1" ht="21.95" customHeight="1" x14ac:dyDescent="0.15"/>
    <row r="27531" s="76" customFormat="1" ht="21.95" customHeight="1" x14ac:dyDescent="0.15"/>
    <row r="27532" s="76" customFormat="1" ht="21.95" customHeight="1" x14ac:dyDescent="0.15"/>
    <row r="27533" s="76" customFormat="1" ht="21.95" customHeight="1" x14ac:dyDescent="0.15"/>
    <row r="27534" s="76" customFormat="1" ht="21.95" customHeight="1" x14ac:dyDescent="0.15"/>
    <row r="27535" s="76" customFormat="1" ht="21.95" customHeight="1" x14ac:dyDescent="0.15"/>
    <row r="27536" s="76" customFormat="1" ht="21.95" customHeight="1" x14ac:dyDescent="0.15"/>
    <row r="27537" s="76" customFormat="1" ht="21.95" customHeight="1" x14ac:dyDescent="0.15"/>
    <row r="27538" s="76" customFormat="1" ht="21.95" customHeight="1" x14ac:dyDescent="0.15"/>
    <row r="27539" s="76" customFormat="1" ht="21.95" customHeight="1" x14ac:dyDescent="0.15"/>
    <row r="27540" s="76" customFormat="1" ht="21.95" customHeight="1" x14ac:dyDescent="0.15"/>
    <row r="27541" s="76" customFormat="1" ht="21.95" customHeight="1" x14ac:dyDescent="0.15"/>
    <row r="27542" s="76" customFormat="1" ht="21.95" customHeight="1" x14ac:dyDescent="0.15"/>
    <row r="27543" s="76" customFormat="1" ht="21.95" customHeight="1" x14ac:dyDescent="0.15"/>
    <row r="27544" s="76" customFormat="1" ht="21.95" customHeight="1" x14ac:dyDescent="0.15"/>
    <row r="27545" s="76" customFormat="1" ht="21.95" customHeight="1" x14ac:dyDescent="0.15"/>
    <row r="27546" s="76" customFormat="1" ht="21.95" customHeight="1" x14ac:dyDescent="0.15"/>
    <row r="27547" s="76" customFormat="1" ht="21.95" customHeight="1" x14ac:dyDescent="0.15"/>
    <row r="27548" s="76" customFormat="1" ht="21.95" customHeight="1" x14ac:dyDescent="0.15"/>
    <row r="27549" s="76" customFormat="1" ht="21.95" customHeight="1" x14ac:dyDescent="0.15"/>
    <row r="27550" s="76" customFormat="1" ht="21.95" customHeight="1" x14ac:dyDescent="0.15"/>
    <row r="27551" s="76" customFormat="1" ht="21.95" customHeight="1" x14ac:dyDescent="0.15"/>
    <row r="27552" s="76" customFormat="1" ht="21.95" customHeight="1" x14ac:dyDescent="0.15"/>
    <row r="27553" spans="3:3" customFormat="1" ht="21.95" customHeight="1" x14ac:dyDescent="0.15"/>
    <row r="27554" spans="3:3" customFormat="1" ht="21.95" customHeight="1" x14ac:dyDescent="0.15"/>
    <row r="27555" spans="3:3" customFormat="1" ht="21.95" customHeight="1" x14ac:dyDescent="0.15">
      <c r="C27555" s="94"/>
    </row>
    <row r="27556" spans="3:3" customFormat="1" ht="21.95" customHeight="1" x14ac:dyDescent="0.15">
      <c r="C27556" s="94"/>
    </row>
    <row r="27557" spans="3:3" customFormat="1" ht="21.95" customHeight="1" x14ac:dyDescent="0.15"/>
    <row r="27558" spans="3:3" customFormat="1" ht="21.95" customHeight="1" x14ac:dyDescent="0.15"/>
    <row r="27559" spans="3:3" customFormat="1" ht="21.95" customHeight="1" x14ac:dyDescent="0.15"/>
    <row r="27560" spans="3:3" customFormat="1" ht="21.95" customHeight="1" x14ac:dyDescent="0.15"/>
    <row r="27561" spans="3:3" customFormat="1" ht="21.95" customHeight="1" x14ac:dyDescent="0.15"/>
    <row r="27562" spans="3:3" customFormat="1" ht="21.95" customHeight="1" x14ac:dyDescent="0.15"/>
    <row r="27563" spans="3:3" customFormat="1" ht="21.95" customHeight="1" x14ac:dyDescent="0.15"/>
    <row r="27564" spans="3:3" s="76" customFormat="1" ht="21.95" customHeight="1" x14ac:dyDescent="0.15"/>
    <row r="27565" spans="3:3" s="76" customFormat="1" ht="21.95" customHeight="1" x14ac:dyDescent="0.15"/>
    <row r="27566" spans="3:3" s="76" customFormat="1" ht="21.95" customHeight="1" x14ac:dyDescent="0.15"/>
    <row r="27567" spans="3:3" s="76" customFormat="1" ht="21.95" customHeight="1" x14ac:dyDescent="0.15"/>
    <row r="27568" spans="3:3" customFormat="1" ht="21.95" customHeight="1" x14ac:dyDescent="0.15"/>
    <row r="27569" customFormat="1" ht="21.95" customHeight="1" x14ac:dyDescent="0.15"/>
    <row r="27570" customFormat="1" ht="21.95" customHeight="1" x14ac:dyDescent="0.15"/>
    <row r="27571" customFormat="1" ht="21.95" customHeight="1" x14ac:dyDescent="0.15"/>
    <row r="27572" customFormat="1" ht="21.95" customHeight="1" x14ac:dyDescent="0.15"/>
    <row r="27573" customFormat="1" ht="21.95" customHeight="1" x14ac:dyDescent="0.15"/>
    <row r="27574" customFormat="1" ht="21.95" customHeight="1" x14ac:dyDescent="0.15"/>
    <row r="27575" customFormat="1" ht="21.95" customHeight="1" x14ac:dyDescent="0.15"/>
    <row r="27576" customFormat="1" ht="21.95" customHeight="1" x14ac:dyDescent="0.15"/>
    <row r="27577" customFormat="1" ht="21.95" customHeight="1" x14ac:dyDescent="0.15"/>
    <row r="27578" customFormat="1" ht="21.95" customHeight="1" x14ac:dyDescent="0.15"/>
    <row r="27579" customFormat="1" ht="32.1" customHeight="1" x14ac:dyDescent="0.15"/>
    <row r="27580" customFormat="1" ht="32.1" customHeight="1" x14ac:dyDescent="0.15"/>
    <row r="27581" customFormat="1" ht="32.1" customHeight="1" x14ac:dyDescent="0.15"/>
    <row r="27582" customFormat="1" ht="32.1" customHeight="1" x14ac:dyDescent="0.15"/>
    <row r="27583" customFormat="1" ht="32.1" customHeight="1" x14ac:dyDescent="0.15"/>
    <row r="27584" customFormat="1" ht="32.1" customHeight="1" x14ac:dyDescent="0.15"/>
    <row r="27585" s="76" customFormat="1" ht="32.1" customHeight="1" x14ac:dyDescent="0.15"/>
    <row r="27586" s="76" customFormat="1" ht="32.1" customHeight="1" x14ac:dyDescent="0.15"/>
    <row r="27587" s="76" customFormat="1" ht="32.1" customHeight="1" x14ac:dyDescent="0.15"/>
    <row r="27588" s="76" customFormat="1" ht="32.1" customHeight="1" x14ac:dyDescent="0.15"/>
    <row r="27589" s="76" customFormat="1" ht="21.95" customHeight="1" x14ac:dyDescent="0.15"/>
    <row r="27590" s="76" customFormat="1" ht="54" customHeight="1" x14ac:dyDescent="0.15"/>
    <row r="27591" s="76" customFormat="1" ht="21.95" customHeight="1" x14ac:dyDescent="0.15"/>
    <row r="27592" s="76" customFormat="1" ht="21.95" customHeight="1" x14ac:dyDescent="0.15"/>
    <row r="27593" s="76" customFormat="1" ht="21.95" customHeight="1" x14ac:dyDescent="0.15"/>
    <row r="27594" s="76" customFormat="1" ht="21.95" customHeight="1" x14ac:dyDescent="0.15"/>
    <row r="27595" s="76" customFormat="1" ht="21.95" customHeight="1" x14ac:dyDescent="0.15"/>
    <row r="27596" s="76" customFormat="1" ht="21.95" customHeight="1" x14ac:dyDescent="0.15"/>
    <row r="27597" s="76" customFormat="1" ht="21.95" customHeight="1" x14ac:dyDescent="0.15"/>
    <row r="27598" s="76" customFormat="1" ht="21.95" customHeight="1" x14ac:dyDescent="0.15"/>
    <row r="27599" s="76" customFormat="1" ht="21.95" customHeight="1" x14ac:dyDescent="0.15"/>
    <row r="27600" s="76" customFormat="1" ht="21.95" customHeight="1" x14ac:dyDescent="0.15"/>
    <row r="27601" s="76" customFormat="1" ht="21.95" customHeight="1" x14ac:dyDescent="0.15"/>
    <row r="27602" s="76" customFormat="1" ht="21.95" customHeight="1" x14ac:dyDescent="0.15"/>
    <row r="27603" s="76" customFormat="1" ht="21.95" customHeight="1" x14ac:dyDescent="0.15"/>
    <row r="27604" s="76" customFormat="1" ht="21.95" customHeight="1" x14ac:dyDescent="0.15"/>
    <row r="27605" s="76" customFormat="1" ht="21.95" customHeight="1" x14ac:dyDescent="0.15"/>
    <row r="27606" s="76" customFormat="1" ht="21.95" customHeight="1" x14ac:dyDescent="0.15"/>
    <row r="27607" s="76" customFormat="1" ht="21.95" customHeight="1" x14ac:dyDescent="0.15"/>
    <row r="27608" s="76" customFormat="1" ht="21.95" customHeight="1" x14ac:dyDescent="0.15"/>
    <row r="27609" s="76" customFormat="1" ht="21.95" customHeight="1" x14ac:dyDescent="0.15"/>
    <row r="27610" s="76" customFormat="1" ht="21.95" customHeight="1" x14ac:dyDescent="0.15"/>
    <row r="27611" s="76" customFormat="1" ht="21.95" customHeight="1" x14ac:dyDescent="0.15"/>
    <row r="27612" s="76" customFormat="1" ht="21.95" customHeight="1" x14ac:dyDescent="0.15"/>
    <row r="27613" s="76" customFormat="1" ht="21.95" customHeight="1" x14ac:dyDescent="0.15"/>
    <row r="27614" s="76" customFormat="1" ht="21.95" customHeight="1" x14ac:dyDescent="0.15"/>
    <row r="27615" s="76" customFormat="1" ht="21.95" customHeight="1" x14ac:dyDescent="0.15"/>
    <row r="27616" s="76" customFormat="1" ht="21.95" customHeight="1" x14ac:dyDescent="0.15"/>
    <row r="27617" s="76" customFormat="1" ht="21.95" customHeight="1" x14ac:dyDescent="0.15"/>
    <row r="27618" s="76" customFormat="1" ht="21.95" customHeight="1" x14ac:dyDescent="0.15"/>
    <row r="27619" s="76" customFormat="1" ht="21.95" customHeight="1" x14ac:dyDescent="0.15"/>
    <row r="27620" s="76" customFormat="1" ht="21.95" customHeight="1" x14ac:dyDescent="0.15"/>
    <row r="27621" s="76" customFormat="1" ht="21.95" customHeight="1" x14ac:dyDescent="0.15"/>
    <row r="27622" s="76" customFormat="1" ht="21.95" customHeight="1" x14ac:dyDescent="0.15"/>
    <row r="27623" s="76" customFormat="1" ht="21.95" customHeight="1" x14ac:dyDescent="0.15"/>
    <row r="27624" s="76" customFormat="1" ht="21.95" customHeight="1" x14ac:dyDescent="0.15"/>
    <row r="27625" s="76" customFormat="1" ht="21.95" customHeight="1" x14ac:dyDescent="0.15"/>
    <row r="27626" s="76" customFormat="1" ht="21.95" customHeight="1" x14ac:dyDescent="0.15"/>
    <row r="27627" s="76" customFormat="1" ht="21.95" customHeight="1" x14ac:dyDescent="0.15"/>
    <row r="27628" s="76" customFormat="1" ht="21.95" customHeight="1" x14ac:dyDescent="0.15"/>
    <row r="27629" s="76" customFormat="1" ht="21.95" customHeight="1" x14ac:dyDescent="0.15"/>
    <row r="27630" s="76" customFormat="1" ht="21.95" customHeight="1" x14ac:dyDescent="0.15"/>
    <row r="27631" s="76" customFormat="1" ht="21.95" customHeight="1" x14ac:dyDescent="0.15"/>
    <row r="27632" s="76" customFormat="1" ht="21.95" customHeight="1" x14ac:dyDescent="0.15"/>
    <row r="27633" s="76" customFormat="1" ht="21.95" customHeight="1" x14ac:dyDescent="0.15"/>
    <row r="27634" s="76" customFormat="1" ht="21.95" customHeight="1" x14ac:dyDescent="0.15"/>
    <row r="27635" s="76" customFormat="1" ht="21.95" customHeight="1" x14ac:dyDescent="0.15"/>
    <row r="27636" s="76" customFormat="1" ht="21.95" customHeight="1" x14ac:dyDescent="0.15"/>
    <row r="27637" s="76" customFormat="1" ht="21.95" customHeight="1" x14ac:dyDescent="0.15"/>
    <row r="27638" s="76" customFormat="1" ht="21.95" customHeight="1" x14ac:dyDescent="0.15"/>
    <row r="27639" s="76" customFormat="1" ht="21.95" customHeight="1" x14ac:dyDescent="0.15"/>
    <row r="27640" s="76" customFormat="1" ht="21.95" customHeight="1" x14ac:dyDescent="0.15"/>
    <row r="27641" s="76" customFormat="1" ht="35.1" customHeight="1" x14ac:dyDescent="0.15"/>
    <row r="27642" s="76" customFormat="1" ht="21.95" customHeight="1" x14ac:dyDescent="0.15"/>
    <row r="27643" s="76" customFormat="1" ht="21.95" customHeight="1" x14ac:dyDescent="0.15"/>
    <row r="27644" s="76" customFormat="1" ht="21.95" customHeight="1" x14ac:dyDescent="0.15"/>
    <row r="27645" s="76" customFormat="1" ht="21.95" customHeight="1" x14ac:dyDescent="0.15"/>
    <row r="27646" s="76" customFormat="1" ht="21.95" customHeight="1" x14ac:dyDescent="0.15"/>
    <row r="27647" s="76" customFormat="1" ht="21.95" customHeight="1" x14ac:dyDescent="0.15"/>
    <row r="27648" s="76" customFormat="1" ht="21.95" customHeight="1" x14ac:dyDescent="0.15"/>
    <row r="27649" s="76" customFormat="1" ht="21.95" customHeight="1" x14ac:dyDescent="0.15"/>
    <row r="27650" s="76" customFormat="1" ht="21.95" customHeight="1" x14ac:dyDescent="0.15"/>
    <row r="27651" s="76" customFormat="1" ht="21.95" customHeight="1" x14ac:dyDescent="0.15"/>
    <row r="27652" s="76" customFormat="1" ht="21.95" customHeight="1" x14ac:dyDescent="0.15"/>
    <row r="27653" s="76" customFormat="1" ht="21.95" customHeight="1" x14ac:dyDescent="0.15"/>
    <row r="27654" s="76" customFormat="1" ht="21.95" customHeight="1" x14ac:dyDescent="0.15"/>
    <row r="27655" s="76" customFormat="1" ht="21.95" customHeight="1" x14ac:dyDescent="0.15"/>
    <row r="27656" s="76" customFormat="1" ht="21.95" customHeight="1" x14ac:dyDescent="0.15"/>
    <row r="27657" s="76" customFormat="1" ht="21.95" customHeight="1" x14ac:dyDescent="0.15"/>
    <row r="27658" s="76" customFormat="1" ht="21.95" customHeight="1" x14ac:dyDescent="0.15"/>
    <row r="27659" s="76" customFormat="1" ht="21.95" customHeight="1" x14ac:dyDescent="0.15"/>
    <row r="27660" s="76" customFormat="1" ht="21.95" customHeight="1" x14ac:dyDescent="0.15"/>
    <row r="27661" s="76" customFormat="1" ht="21.95" customHeight="1" x14ac:dyDescent="0.15"/>
    <row r="27662" s="76" customFormat="1" ht="21.95" customHeight="1" x14ac:dyDescent="0.15"/>
    <row r="27663" s="76" customFormat="1" ht="21.95" customHeight="1" x14ac:dyDescent="0.15"/>
    <row r="27664" s="76" customFormat="1" ht="21.95" customHeight="1" x14ac:dyDescent="0.15"/>
    <row r="27665" spans="3:3" customFormat="1" ht="21.95" customHeight="1" x14ac:dyDescent="0.15"/>
    <row r="27666" spans="3:3" customFormat="1" ht="21.95" customHeight="1" x14ac:dyDescent="0.15"/>
    <row r="27667" spans="3:3" customFormat="1" ht="21.95" customHeight="1" x14ac:dyDescent="0.15">
      <c r="C27667" s="94"/>
    </row>
    <row r="27668" spans="3:3" customFormat="1" ht="21.95" customHeight="1" x14ac:dyDescent="0.15">
      <c r="C27668" s="94"/>
    </row>
    <row r="27669" spans="3:3" customFormat="1" ht="21.95" customHeight="1" x14ac:dyDescent="0.15"/>
    <row r="27670" spans="3:3" customFormat="1" ht="21.95" customHeight="1" x14ac:dyDescent="0.15"/>
    <row r="27671" spans="3:3" customFormat="1" ht="21.95" customHeight="1" x14ac:dyDescent="0.15"/>
    <row r="27672" spans="3:3" customFormat="1" ht="21.95" customHeight="1" x14ac:dyDescent="0.15"/>
    <row r="27673" spans="3:3" customFormat="1" ht="21.95" customHeight="1" x14ac:dyDescent="0.15"/>
    <row r="27674" spans="3:3" customFormat="1" ht="21.95" customHeight="1" x14ac:dyDescent="0.15"/>
    <row r="27675" spans="3:3" customFormat="1" ht="21.95" customHeight="1" x14ac:dyDescent="0.15"/>
    <row r="27676" spans="3:3" s="76" customFormat="1" ht="21.95" customHeight="1" x14ac:dyDescent="0.15"/>
    <row r="27677" spans="3:3" s="76" customFormat="1" ht="21.95" customHeight="1" x14ac:dyDescent="0.15"/>
    <row r="27678" spans="3:3" s="76" customFormat="1" ht="21.95" customHeight="1" x14ac:dyDescent="0.15"/>
    <row r="27679" spans="3:3" s="76" customFormat="1" ht="21.95" customHeight="1" x14ac:dyDescent="0.15"/>
    <row r="27680" spans="3:3" customFormat="1" ht="21.95" customHeight="1" x14ac:dyDescent="0.15"/>
    <row r="27681" customFormat="1" ht="21.95" customHeight="1" x14ac:dyDescent="0.15"/>
    <row r="27682" customFormat="1" ht="21.95" customHeight="1" x14ac:dyDescent="0.15"/>
    <row r="27683" customFormat="1" ht="21.95" customHeight="1" x14ac:dyDescent="0.15"/>
    <row r="27684" customFormat="1" ht="21.95" customHeight="1" x14ac:dyDescent="0.15"/>
    <row r="27685" customFormat="1" ht="21.95" customHeight="1" x14ac:dyDescent="0.15"/>
    <row r="27686" customFormat="1" ht="21.95" customHeight="1" x14ac:dyDescent="0.15"/>
    <row r="27687" customFormat="1" ht="21.95" customHeight="1" x14ac:dyDescent="0.15"/>
    <row r="27688" customFormat="1" ht="21.95" customHeight="1" x14ac:dyDescent="0.15"/>
    <row r="27689" customFormat="1" ht="21.95" customHeight="1" x14ac:dyDescent="0.15"/>
    <row r="27690" customFormat="1" ht="21.95" customHeight="1" x14ac:dyDescent="0.15"/>
    <row r="27691" customFormat="1" ht="32.1" customHeight="1" x14ac:dyDescent="0.15"/>
    <row r="27692" customFormat="1" ht="32.1" customHeight="1" x14ac:dyDescent="0.15"/>
    <row r="27693" customFormat="1" ht="32.1" customHeight="1" x14ac:dyDescent="0.15"/>
    <row r="27694" customFormat="1" ht="32.1" customHeight="1" x14ac:dyDescent="0.15"/>
    <row r="27695" customFormat="1" ht="32.1" customHeight="1" x14ac:dyDescent="0.15"/>
    <row r="27696" customFormat="1" ht="32.1" customHeight="1" x14ac:dyDescent="0.15"/>
    <row r="27697" s="76" customFormat="1" ht="32.1" customHeight="1" x14ac:dyDescent="0.15"/>
    <row r="27698" s="76" customFormat="1" ht="32.1" customHeight="1" x14ac:dyDescent="0.15"/>
    <row r="27699" s="76" customFormat="1" ht="32.1" customHeight="1" x14ac:dyDescent="0.15"/>
    <row r="27700" s="76" customFormat="1" ht="32.1" customHeight="1" x14ac:dyDescent="0.15"/>
    <row r="27701" s="76" customFormat="1" ht="21.95" customHeight="1" x14ac:dyDescent="0.15"/>
    <row r="27702" s="76" customFormat="1" ht="54" customHeight="1" x14ac:dyDescent="0.15"/>
    <row r="27703" s="76" customFormat="1" ht="21.95" customHeight="1" x14ac:dyDescent="0.15"/>
    <row r="27704" s="76" customFormat="1" ht="21.95" customHeight="1" x14ac:dyDescent="0.15"/>
    <row r="27705" s="76" customFormat="1" ht="21.95" customHeight="1" x14ac:dyDescent="0.15"/>
    <row r="27706" s="76" customFormat="1" ht="21.95" customHeight="1" x14ac:dyDescent="0.15"/>
    <row r="27707" s="76" customFormat="1" ht="21.95" customHeight="1" x14ac:dyDescent="0.15"/>
    <row r="27708" s="76" customFormat="1" ht="21.95" customHeight="1" x14ac:dyDescent="0.15"/>
    <row r="27709" s="76" customFormat="1" ht="21.95" customHeight="1" x14ac:dyDescent="0.15"/>
    <row r="27710" s="76" customFormat="1" ht="21.95" customHeight="1" x14ac:dyDescent="0.15"/>
    <row r="27711" s="76" customFormat="1" ht="21.95" customHeight="1" x14ac:dyDescent="0.15"/>
    <row r="27712" s="76" customFormat="1" ht="21.95" customHeight="1" x14ac:dyDescent="0.15"/>
    <row r="27713" s="76" customFormat="1" ht="21.95" customHeight="1" x14ac:dyDescent="0.15"/>
    <row r="27714" s="76" customFormat="1" ht="21.95" customHeight="1" x14ac:dyDescent="0.15"/>
    <row r="27715" s="76" customFormat="1" ht="21.95" customHeight="1" x14ac:dyDescent="0.15"/>
    <row r="27716" s="76" customFormat="1" ht="21.95" customHeight="1" x14ac:dyDescent="0.15"/>
    <row r="27717" s="76" customFormat="1" ht="21.95" customHeight="1" x14ac:dyDescent="0.15"/>
    <row r="27718" s="76" customFormat="1" ht="21.95" customHeight="1" x14ac:dyDescent="0.15"/>
    <row r="27719" s="76" customFormat="1" ht="21.95" customHeight="1" x14ac:dyDescent="0.15"/>
    <row r="27720" s="76" customFormat="1" ht="21.95" customHeight="1" x14ac:dyDescent="0.15"/>
    <row r="27721" s="76" customFormat="1" ht="21.95" customHeight="1" x14ac:dyDescent="0.15"/>
    <row r="27722" s="76" customFormat="1" ht="21.95" customHeight="1" x14ac:dyDescent="0.15"/>
    <row r="27723" s="76" customFormat="1" ht="21.95" customHeight="1" x14ac:dyDescent="0.15"/>
    <row r="27724" s="76" customFormat="1" ht="21.95" customHeight="1" x14ac:dyDescent="0.15"/>
    <row r="27725" s="76" customFormat="1" ht="21.95" customHeight="1" x14ac:dyDescent="0.15"/>
    <row r="27726" s="76" customFormat="1" ht="21.95" customHeight="1" x14ac:dyDescent="0.15"/>
    <row r="27727" s="76" customFormat="1" ht="21.95" customHeight="1" x14ac:dyDescent="0.15"/>
    <row r="27728" s="76" customFormat="1" ht="21.95" customHeight="1" x14ac:dyDescent="0.15"/>
    <row r="27729" s="76" customFormat="1" ht="21.95" customHeight="1" x14ac:dyDescent="0.15"/>
    <row r="27730" s="76" customFormat="1" ht="21.95" customHeight="1" x14ac:dyDescent="0.15"/>
    <row r="27731" s="76" customFormat="1" ht="21.95" customHeight="1" x14ac:dyDescent="0.15"/>
    <row r="27732" s="76" customFormat="1" ht="21.95" customHeight="1" x14ac:dyDescent="0.15"/>
    <row r="27733" s="76" customFormat="1" ht="21.95" customHeight="1" x14ac:dyDescent="0.15"/>
    <row r="27734" s="76" customFormat="1" ht="21.95" customHeight="1" x14ac:dyDescent="0.15"/>
    <row r="27735" s="76" customFormat="1" ht="21.95" customHeight="1" x14ac:dyDescent="0.15"/>
    <row r="27736" s="76" customFormat="1" ht="21.95" customHeight="1" x14ac:dyDescent="0.15"/>
    <row r="27737" s="76" customFormat="1" ht="21.95" customHeight="1" x14ac:dyDescent="0.15"/>
    <row r="27738" s="76" customFormat="1" ht="21.95" customHeight="1" x14ac:dyDescent="0.15"/>
    <row r="27739" s="76" customFormat="1" ht="21.95" customHeight="1" x14ac:dyDescent="0.15"/>
    <row r="27740" s="76" customFormat="1" ht="21.95" customHeight="1" x14ac:dyDescent="0.15"/>
    <row r="27741" s="76" customFormat="1" ht="21.95" customHeight="1" x14ac:dyDescent="0.15"/>
    <row r="27742" s="76" customFormat="1" ht="21.95" customHeight="1" x14ac:dyDescent="0.15"/>
    <row r="27743" s="76" customFormat="1" ht="21.95" customHeight="1" x14ac:dyDescent="0.15"/>
    <row r="27744" s="76" customFormat="1" ht="21.95" customHeight="1" x14ac:dyDescent="0.15"/>
    <row r="27745" s="76" customFormat="1" ht="21.95" customHeight="1" x14ac:dyDescent="0.15"/>
    <row r="27746" s="76" customFormat="1" ht="21.95" customHeight="1" x14ac:dyDescent="0.15"/>
    <row r="27747" s="76" customFormat="1" ht="21.95" customHeight="1" x14ac:dyDescent="0.15"/>
    <row r="27748" s="76" customFormat="1" ht="21.95" customHeight="1" x14ac:dyDescent="0.15"/>
    <row r="27749" s="76" customFormat="1" ht="21.95" customHeight="1" x14ac:dyDescent="0.15"/>
    <row r="27750" s="76" customFormat="1" ht="21.95" customHeight="1" x14ac:dyDescent="0.15"/>
    <row r="27751" s="76" customFormat="1" ht="21.95" customHeight="1" x14ac:dyDescent="0.15"/>
    <row r="27752" s="76" customFormat="1" ht="21.95" customHeight="1" x14ac:dyDescent="0.15"/>
    <row r="27753" s="76" customFormat="1" ht="35.1" customHeight="1" x14ac:dyDescent="0.15"/>
    <row r="27754" s="76" customFormat="1" ht="21.95" customHeight="1" x14ac:dyDescent="0.15"/>
    <row r="27755" s="76" customFormat="1" ht="21.95" customHeight="1" x14ac:dyDescent="0.15"/>
    <row r="27756" s="76" customFormat="1" ht="21.95" customHeight="1" x14ac:dyDescent="0.15"/>
    <row r="27757" s="76" customFormat="1" ht="21.95" customHeight="1" x14ac:dyDescent="0.15"/>
    <row r="27758" s="76" customFormat="1" ht="21.95" customHeight="1" x14ac:dyDescent="0.15"/>
    <row r="27759" s="76" customFormat="1" ht="21.95" customHeight="1" x14ac:dyDescent="0.15"/>
    <row r="27760" s="76" customFormat="1" ht="21.95" customHeight="1" x14ac:dyDescent="0.15"/>
    <row r="27761" s="76" customFormat="1" ht="21.95" customHeight="1" x14ac:dyDescent="0.15"/>
    <row r="27762" s="76" customFormat="1" ht="21.95" customHeight="1" x14ac:dyDescent="0.15"/>
    <row r="27763" s="76" customFormat="1" ht="21.95" customHeight="1" x14ac:dyDescent="0.15"/>
    <row r="27764" s="76" customFormat="1" ht="21.95" customHeight="1" x14ac:dyDescent="0.15"/>
    <row r="27765" s="76" customFormat="1" ht="21.95" customHeight="1" x14ac:dyDescent="0.15"/>
    <row r="27766" s="76" customFormat="1" ht="21.95" customHeight="1" x14ac:dyDescent="0.15"/>
    <row r="27767" s="76" customFormat="1" ht="21.95" customHeight="1" x14ac:dyDescent="0.15"/>
    <row r="27768" s="76" customFormat="1" ht="21.95" customHeight="1" x14ac:dyDescent="0.15"/>
    <row r="27769" s="76" customFormat="1" ht="21.95" customHeight="1" x14ac:dyDescent="0.15"/>
    <row r="27770" s="76" customFormat="1" ht="21.95" customHeight="1" x14ac:dyDescent="0.15"/>
    <row r="27771" s="76" customFormat="1" ht="21.95" customHeight="1" x14ac:dyDescent="0.15"/>
    <row r="27772" s="76" customFormat="1" ht="21.95" customHeight="1" x14ac:dyDescent="0.15"/>
    <row r="27773" s="76" customFormat="1" ht="21.95" customHeight="1" x14ac:dyDescent="0.15"/>
    <row r="27774" s="76" customFormat="1" ht="21.95" customHeight="1" x14ac:dyDescent="0.15"/>
    <row r="27775" s="76" customFormat="1" ht="21.95" customHeight="1" x14ac:dyDescent="0.15"/>
    <row r="27776" s="76" customFormat="1" ht="21.95" customHeight="1" x14ac:dyDescent="0.15"/>
    <row r="27777" spans="3:3" customFormat="1" ht="21.95" customHeight="1" x14ac:dyDescent="0.15"/>
    <row r="27778" spans="3:3" customFormat="1" ht="21.95" customHeight="1" x14ac:dyDescent="0.15"/>
    <row r="27779" spans="3:3" customFormat="1" ht="21.95" customHeight="1" x14ac:dyDescent="0.15">
      <c r="C27779" s="94"/>
    </row>
    <row r="27780" spans="3:3" customFormat="1" ht="21.95" customHeight="1" x14ac:dyDescent="0.15">
      <c r="C27780" s="94"/>
    </row>
    <row r="27781" spans="3:3" customFormat="1" ht="21.95" customHeight="1" x14ac:dyDescent="0.15"/>
    <row r="27782" spans="3:3" customFormat="1" ht="21.95" customHeight="1" x14ac:dyDescent="0.15"/>
    <row r="27783" spans="3:3" customFormat="1" ht="21.95" customHeight="1" x14ac:dyDescent="0.15"/>
    <row r="27784" spans="3:3" customFormat="1" ht="21.95" customHeight="1" x14ac:dyDescent="0.15"/>
    <row r="27785" spans="3:3" customFormat="1" ht="21.95" customHeight="1" x14ac:dyDescent="0.15"/>
    <row r="27786" spans="3:3" customFormat="1" ht="21.95" customHeight="1" x14ac:dyDescent="0.15"/>
    <row r="27787" spans="3:3" customFormat="1" ht="21.95" customHeight="1" x14ac:dyDescent="0.15"/>
    <row r="27788" spans="3:3" s="76" customFormat="1" ht="21.95" customHeight="1" x14ac:dyDescent="0.15"/>
    <row r="27789" spans="3:3" s="76" customFormat="1" ht="21.95" customHeight="1" x14ac:dyDescent="0.15"/>
    <row r="27790" spans="3:3" s="76" customFormat="1" ht="21.95" customHeight="1" x14ac:dyDescent="0.15"/>
    <row r="27791" spans="3:3" s="76" customFormat="1" ht="21.95" customHeight="1" x14ac:dyDescent="0.15"/>
    <row r="27792" spans="3:3" customFormat="1" ht="21.95" customHeight="1" x14ac:dyDescent="0.15"/>
    <row r="27793" customFormat="1" ht="21.95" customHeight="1" x14ac:dyDescent="0.15"/>
    <row r="27794" customFormat="1" ht="21.95" customHeight="1" x14ac:dyDescent="0.15"/>
    <row r="27795" customFormat="1" ht="21.95" customHeight="1" x14ac:dyDescent="0.15"/>
    <row r="27796" customFormat="1" ht="21.95" customHeight="1" x14ac:dyDescent="0.15"/>
    <row r="27797" customFormat="1" ht="21.95" customHeight="1" x14ac:dyDescent="0.15"/>
    <row r="27798" customFormat="1" ht="21.95" customHeight="1" x14ac:dyDescent="0.15"/>
    <row r="27799" customFormat="1" ht="21.95" customHeight="1" x14ac:dyDescent="0.15"/>
    <row r="27800" customFormat="1" ht="21.95" customHeight="1" x14ac:dyDescent="0.15"/>
    <row r="27801" customFormat="1" ht="21.95" customHeight="1" x14ac:dyDescent="0.15"/>
    <row r="27802" customFormat="1" ht="21.95" customHeight="1" x14ac:dyDescent="0.15"/>
    <row r="27803" customFormat="1" ht="32.1" customHeight="1" x14ac:dyDescent="0.15"/>
    <row r="27804" customFormat="1" ht="32.1" customHeight="1" x14ac:dyDescent="0.15"/>
    <row r="27805" customFormat="1" ht="32.1" customHeight="1" x14ac:dyDescent="0.15"/>
    <row r="27806" customFormat="1" ht="32.1" customHeight="1" x14ac:dyDescent="0.15"/>
    <row r="27807" customFormat="1" ht="32.1" customHeight="1" x14ac:dyDescent="0.15"/>
    <row r="27808" customFormat="1" ht="32.1" customHeight="1" x14ac:dyDescent="0.15"/>
    <row r="27809" s="76" customFormat="1" ht="32.1" customHeight="1" x14ac:dyDescent="0.15"/>
    <row r="27810" s="76" customFormat="1" ht="32.1" customHeight="1" x14ac:dyDescent="0.15"/>
    <row r="27811" s="76" customFormat="1" ht="32.1" customHeight="1" x14ac:dyDescent="0.15"/>
    <row r="27812" s="76" customFormat="1" ht="32.1" customHeight="1" x14ac:dyDescent="0.15"/>
    <row r="27813" s="76" customFormat="1" ht="21.95" customHeight="1" x14ac:dyDescent="0.15"/>
    <row r="27814" s="76" customFormat="1" ht="54" customHeight="1" x14ac:dyDescent="0.15"/>
    <row r="27815" s="76" customFormat="1" ht="21.95" customHeight="1" x14ac:dyDescent="0.15"/>
    <row r="27816" s="76" customFormat="1" ht="21.95" customHeight="1" x14ac:dyDescent="0.15"/>
    <row r="27817" s="76" customFormat="1" ht="21.95" customHeight="1" x14ac:dyDescent="0.15"/>
    <row r="27818" s="76" customFormat="1" ht="21.95" customHeight="1" x14ac:dyDescent="0.15"/>
    <row r="27819" s="76" customFormat="1" ht="21.95" customHeight="1" x14ac:dyDescent="0.15"/>
    <row r="27820" s="76" customFormat="1" ht="21.95" customHeight="1" x14ac:dyDescent="0.15"/>
    <row r="27821" s="76" customFormat="1" ht="21.95" customHeight="1" x14ac:dyDescent="0.15"/>
    <row r="27822" s="76" customFormat="1" ht="21.95" customHeight="1" x14ac:dyDescent="0.15"/>
    <row r="27823" s="76" customFormat="1" ht="21.95" customHeight="1" x14ac:dyDescent="0.15"/>
    <row r="27824" s="76" customFormat="1" ht="21.95" customHeight="1" x14ac:dyDescent="0.15"/>
    <row r="27825" s="76" customFormat="1" ht="21.95" customHeight="1" x14ac:dyDescent="0.15"/>
    <row r="27826" s="76" customFormat="1" ht="21.95" customHeight="1" x14ac:dyDescent="0.15"/>
    <row r="27827" s="76" customFormat="1" ht="21.95" customHeight="1" x14ac:dyDescent="0.15"/>
    <row r="27828" s="76" customFormat="1" ht="21.95" customHeight="1" x14ac:dyDescent="0.15"/>
    <row r="27829" s="76" customFormat="1" ht="21.95" customHeight="1" x14ac:dyDescent="0.15"/>
    <row r="27830" s="76" customFormat="1" ht="21.95" customHeight="1" x14ac:dyDescent="0.15"/>
    <row r="27831" s="76" customFormat="1" ht="21.95" customHeight="1" x14ac:dyDescent="0.15"/>
    <row r="27832" s="76" customFormat="1" ht="21.95" customHeight="1" x14ac:dyDescent="0.15"/>
    <row r="27833" s="76" customFormat="1" ht="21.95" customHeight="1" x14ac:dyDescent="0.15"/>
    <row r="27834" s="76" customFormat="1" ht="21.95" customHeight="1" x14ac:dyDescent="0.15"/>
    <row r="27835" s="76" customFormat="1" ht="21.95" customHeight="1" x14ac:dyDescent="0.15"/>
    <row r="27836" s="76" customFormat="1" ht="21.95" customHeight="1" x14ac:dyDescent="0.15"/>
    <row r="27837" s="76" customFormat="1" ht="21.95" customHeight="1" x14ac:dyDescent="0.15"/>
    <row r="27838" s="76" customFormat="1" ht="21.95" customHeight="1" x14ac:dyDescent="0.15"/>
    <row r="27839" s="76" customFormat="1" ht="21.95" customHeight="1" x14ac:dyDescent="0.15"/>
    <row r="27840" s="76" customFormat="1" ht="21.95" customHeight="1" x14ac:dyDescent="0.15"/>
    <row r="27841" s="76" customFormat="1" ht="21.95" customHeight="1" x14ac:dyDescent="0.15"/>
    <row r="27842" s="76" customFormat="1" ht="21.95" customHeight="1" x14ac:dyDescent="0.15"/>
    <row r="27843" s="76" customFormat="1" ht="21.95" customHeight="1" x14ac:dyDescent="0.15"/>
    <row r="27844" s="76" customFormat="1" ht="21.95" customHeight="1" x14ac:dyDescent="0.15"/>
    <row r="27845" s="76" customFormat="1" ht="21.95" customHeight="1" x14ac:dyDescent="0.15"/>
    <row r="27846" s="76" customFormat="1" ht="21.95" customHeight="1" x14ac:dyDescent="0.15"/>
    <row r="27847" s="76" customFormat="1" ht="21.95" customHeight="1" x14ac:dyDescent="0.15"/>
    <row r="27848" s="76" customFormat="1" ht="21.95" customHeight="1" x14ac:dyDescent="0.15"/>
    <row r="27849" s="76" customFormat="1" ht="21.95" customHeight="1" x14ac:dyDescent="0.15"/>
    <row r="27850" s="76" customFormat="1" ht="21.95" customHeight="1" x14ac:dyDescent="0.15"/>
    <row r="27851" s="76" customFormat="1" ht="21.95" customHeight="1" x14ac:dyDescent="0.15"/>
    <row r="27852" s="76" customFormat="1" ht="21.95" customHeight="1" x14ac:dyDescent="0.15"/>
    <row r="27853" s="76" customFormat="1" ht="21.95" customHeight="1" x14ac:dyDescent="0.15"/>
    <row r="27854" s="76" customFormat="1" ht="21.95" customHeight="1" x14ac:dyDescent="0.15"/>
    <row r="27855" s="76" customFormat="1" ht="21.95" customHeight="1" x14ac:dyDescent="0.15"/>
    <row r="27856" s="76" customFormat="1" ht="21.95" customHeight="1" x14ac:dyDescent="0.15"/>
    <row r="27857" s="76" customFormat="1" ht="21.95" customHeight="1" x14ac:dyDescent="0.15"/>
    <row r="27858" s="76" customFormat="1" ht="21.95" customHeight="1" x14ac:dyDescent="0.15"/>
    <row r="27859" s="76" customFormat="1" ht="21.95" customHeight="1" x14ac:dyDescent="0.15"/>
    <row r="27860" s="76" customFormat="1" ht="21.95" customHeight="1" x14ac:dyDescent="0.15"/>
    <row r="27861" s="76" customFormat="1" ht="21.95" customHeight="1" x14ac:dyDescent="0.15"/>
    <row r="27862" s="76" customFormat="1" ht="21.95" customHeight="1" x14ac:dyDescent="0.15"/>
    <row r="27863" s="76" customFormat="1" ht="21.95" customHeight="1" x14ac:dyDescent="0.15"/>
    <row r="27864" s="76" customFormat="1" ht="21.95" customHeight="1" x14ac:dyDescent="0.15"/>
    <row r="27865" s="76" customFormat="1" ht="35.1" customHeight="1" x14ac:dyDescent="0.15"/>
    <row r="27866" s="76" customFormat="1" ht="21.95" customHeight="1" x14ac:dyDescent="0.15"/>
    <row r="27867" s="76" customFormat="1" ht="21.95" customHeight="1" x14ac:dyDescent="0.15"/>
    <row r="27868" s="76" customFormat="1" ht="21.95" customHeight="1" x14ac:dyDescent="0.15"/>
    <row r="27869" s="76" customFormat="1" ht="21.95" customHeight="1" x14ac:dyDescent="0.15"/>
    <row r="27870" s="76" customFormat="1" ht="21.95" customHeight="1" x14ac:dyDescent="0.15"/>
    <row r="27871" s="76" customFormat="1" ht="21.95" customHeight="1" x14ac:dyDescent="0.15"/>
    <row r="27872" s="76" customFormat="1" ht="21.95" customHeight="1" x14ac:dyDescent="0.15"/>
    <row r="27873" s="76" customFormat="1" ht="21.95" customHeight="1" x14ac:dyDescent="0.15"/>
    <row r="27874" s="76" customFormat="1" ht="21.95" customHeight="1" x14ac:dyDescent="0.15"/>
    <row r="27875" s="76" customFormat="1" ht="21.95" customHeight="1" x14ac:dyDescent="0.15"/>
    <row r="27876" s="76" customFormat="1" ht="21.95" customHeight="1" x14ac:dyDescent="0.15"/>
    <row r="27877" s="76" customFormat="1" ht="21.95" customHeight="1" x14ac:dyDescent="0.15"/>
    <row r="27878" s="76" customFormat="1" ht="21.95" customHeight="1" x14ac:dyDescent="0.15"/>
    <row r="27879" s="76" customFormat="1" ht="21.95" customHeight="1" x14ac:dyDescent="0.15"/>
    <row r="27880" s="76" customFormat="1" ht="21.95" customHeight="1" x14ac:dyDescent="0.15"/>
    <row r="27881" s="76" customFormat="1" ht="21.95" customHeight="1" x14ac:dyDescent="0.15"/>
    <row r="27882" s="76" customFormat="1" ht="21.95" customHeight="1" x14ac:dyDescent="0.15"/>
    <row r="27883" s="76" customFormat="1" ht="21.95" customHeight="1" x14ac:dyDescent="0.15"/>
    <row r="27884" s="76" customFormat="1" ht="21.95" customHeight="1" x14ac:dyDescent="0.15"/>
    <row r="27885" s="76" customFormat="1" ht="21.95" customHeight="1" x14ac:dyDescent="0.15"/>
    <row r="27886" s="76" customFormat="1" ht="21.95" customHeight="1" x14ac:dyDescent="0.15"/>
    <row r="27887" s="76" customFormat="1" ht="21.95" customHeight="1" x14ac:dyDescent="0.15"/>
    <row r="27888" s="76" customFormat="1" ht="21.95" customHeight="1" x14ac:dyDescent="0.15"/>
    <row r="27889" spans="3:3" customFormat="1" ht="21.95" customHeight="1" x14ac:dyDescent="0.15"/>
    <row r="27890" spans="3:3" customFormat="1" ht="21.95" customHeight="1" x14ac:dyDescent="0.15"/>
    <row r="27891" spans="3:3" customFormat="1" ht="21.95" customHeight="1" x14ac:dyDescent="0.15">
      <c r="C27891" s="94"/>
    </row>
    <row r="27892" spans="3:3" customFormat="1" ht="21.95" customHeight="1" x14ac:dyDescent="0.15">
      <c r="C27892" s="94"/>
    </row>
    <row r="27893" spans="3:3" customFormat="1" ht="21.95" customHeight="1" x14ac:dyDescent="0.15"/>
    <row r="27894" spans="3:3" customFormat="1" ht="21.95" customHeight="1" x14ac:dyDescent="0.15"/>
    <row r="27895" spans="3:3" customFormat="1" ht="21.95" customHeight="1" x14ac:dyDescent="0.15"/>
    <row r="27896" spans="3:3" customFormat="1" ht="21.95" customHeight="1" x14ac:dyDescent="0.15"/>
    <row r="27897" spans="3:3" customFormat="1" ht="21.95" customHeight="1" x14ac:dyDescent="0.15"/>
    <row r="27898" spans="3:3" customFormat="1" ht="21.95" customHeight="1" x14ac:dyDescent="0.15"/>
    <row r="27899" spans="3:3" customFormat="1" ht="21.95" customHeight="1" x14ac:dyDescent="0.15"/>
    <row r="27900" spans="3:3" s="76" customFormat="1" ht="21.95" customHeight="1" x14ac:dyDescent="0.15"/>
    <row r="27901" spans="3:3" s="76" customFormat="1" ht="21.95" customHeight="1" x14ac:dyDescent="0.15"/>
    <row r="27902" spans="3:3" s="76" customFormat="1" ht="21.95" customHeight="1" x14ac:dyDescent="0.15"/>
    <row r="27903" spans="3:3" s="76" customFormat="1" ht="21.95" customHeight="1" x14ac:dyDescent="0.15"/>
    <row r="27904" spans="3:3" customFormat="1" ht="21.95" customHeight="1" x14ac:dyDescent="0.15"/>
    <row r="27905" customFormat="1" ht="21.95" customHeight="1" x14ac:dyDescent="0.15"/>
    <row r="27906" customFormat="1" ht="21.95" customHeight="1" x14ac:dyDescent="0.15"/>
    <row r="27907" customFormat="1" ht="21.95" customHeight="1" x14ac:dyDescent="0.15"/>
    <row r="27908" customFormat="1" ht="21.95" customHeight="1" x14ac:dyDescent="0.15"/>
    <row r="27909" customFormat="1" ht="21.95" customHeight="1" x14ac:dyDescent="0.15"/>
    <row r="27910" customFormat="1" ht="21.95" customHeight="1" x14ac:dyDescent="0.15"/>
    <row r="27911" customFormat="1" ht="21.95" customHeight="1" x14ac:dyDescent="0.15"/>
    <row r="27912" customFormat="1" ht="21.95" customHeight="1" x14ac:dyDescent="0.15"/>
    <row r="27913" customFormat="1" ht="21.95" customHeight="1" x14ac:dyDescent="0.15"/>
    <row r="27914" customFormat="1" ht="21.95" customHeight="1" x14ac:dyDescent="0.15"/>
    <row r="27915" customFormat="1" ht="32.1" customHeight="1" x14ac:dyDescent="0.15"/>
    <row r="27916" customFormat="1" ht="32.1" customHeight="1" x14ac:dyDescent="0.15"/>
    <row r="27917" customFormat="1" ht="32.1" customHeight="1" x14ac:dyDescent="0.15"/>
    <row r="27918" customFormat="1" ht="32.1" customHeight="1" x14ac:dyDescent="0.15"/>
    <row r="27919" customFormat="1" ht="32.1" customHeight="1" x14ac:dyDescent="0.15"/>
    <row r="27920" customFormat="1" ht="32.1" customHeight="1" x14ac:dyDescent="0.15"/>
    <row r="27921" s="76" customFormat="1" ht="32.1" customHeight="1" x14ac:dyDescent="0.15"/>
    <row r="27922" s="76" customFormat="1" ht="32.1" customHeight="1" x14ac:dyDescent="0.15"/>
    <row r="27923" s="76" customFormat="1" ht="32.1" customHeight="1" x14ac:dyDescent="0.15"/>
    <row r="27924" s="76" customFormat="1" ht="32.1" customHeight="1" x14ac:dyDescent="0.15"/>
    <row r="27925" s="76" customFormat="1" ht="21.95" customHeight="1" x14ac:dyDescent="0.15"/>
    <row r="27926" s="76" customFormat="1" ht="54" customHeight="1" x14ac:dyDescent="0.15"/>
    <row r="27927" s="76" customFormat="1" ht="21.95" customHeight="1" x14ac:dyDescent="0.15"/>
    <row r="27928" s="76" customFormat="1" ht="21.95" customHeight="1" x14ac:dyDescent="0.15"/>
    <row r="27929" s="76" customFormat="1" ht="21.95" customHeight="1" x14ac:dyDescent="0.15"/>
    <row r="27930" s="76" customFormat="1" ht="21.95" customHeight="1" x14ac:dyDescent="0.15"/>
    <row r="27931" s="76" customFormat="1" ht="21.95" customHeight="1" x14ac:dyDescent="0.15"/>
    <row r="27932" s="76" customFormat="1" ht="21.95" customHeight="1" x14ac:dyDescent="0.15"/>
    <row r="27933" s="76" customFormat="1" ht="21.95" customHeight="1" x14ac:dyDescent="0.15"/>
    <row r="27934" s="76" customFormat="1" ht="21.95" customHeight="1" x14ac:dyDescent="0.15"/>
    <row r="27935" s="76" customFormat="1" ht="21.95" customHeight="1" x14ac:dyDescent="0.15"/>
    <row r="27936" s="76" customFormat="1" ht="21.95" customHeight="1" x14ac:dyDescent="0.15"/>
    <row r="27937" s="76" customFormat="1" ht="21.95" customHeight="1" x14ac:dyDescent="0.15"/>
    <row r="27938" s="76" customFormat="1" ht="21.95" customHeight="1" x14ac:dyDescent="0.15"/>
    <row r="27939" s="76" customFormat="1" ht="21.95" customHeight="1" x14ac:dyDescent="0.15"/>
    <row r="27940" s="76" customFormat="1" ht="21.95" customHeight="1" x14ac:dyDescent="0.15"/>
    <row r="27941" s="76" customFormat="1" ht="21.95" customHeight="1" x14ac:dyDescent="0.15"/>
    <row r="27942" s="76" customFormat="1" ht="21.95" customHeight="1" x14ac:dyDescent="0.15"/>
    <row r="27943" s="76" customFormat="1" ht="21.95" customHeight="1" x14ac:dyDescent="0.15"/>
    <row r="27944" s="76" customFormat="1" ht="21.95" customHeight="1" x14ac:dyDescent="0.15"/>
    <row r="27945" s="76" customFormat="1" ht="21.95" customHeight="1" x14ac:dyDescent="0.15"/>
    <row r="27946" s="76" customFormat="1" ht="21.95" customHeight="1" x14ac:dyDescent="0.15"/>
    <row r="27947" s="76" customFormat="1" ht="21.95" customHeight="1" x14ac:dyDescent="0.15"/>
    <row r="27948" s="76" customFormat="1" ht="21.95" customHeight="1" x14ac:dyDescent="0.15"/>
    <row r="27949" s="76" customFormat="1" ht="21.95" customHeight="1" x14ac:dyDescent="0.15"/>
    <row r="27950" s="76" customFormat="1" ht="21.95" customHeight="1" x14ac:dyDescent="0.15"/>
    <row r="27951" s="76" customFormat="1" ht="21.95" customHeight="1" x14ac:dyDescent="0.15"/>
    <row r="27952" s="76" customFormat="1" ht="21.95" customHeight="1" x14ac:dyDescent="0.15"/>
    <row r="27953" s="76" customFormat="1" ht="21.95" customHeight="1" x14ac:dyDescent="0.15"/>
    <row r="27954" s="76" customFormat="1" ht="21.95" customHeight="1" x14ac:dyDescent="0.15"/>
    <row r="27955" s="76" customFormat="1" ht="21.95" customHeight="1" x14ac:dyDescent="0.15"/>
    <row r="27956" s="76" customFormat="1" ht="21.95" customHeight="1" x14ac:dyDescent="0.15"/>
    <row r="27957" s="76" customFormat="1" ht="21.95" customHeight="1" x14ac:dyDescent="0.15"/>
    <row r="27958" s="76" customFormat="1" ht="21.95" customHeight="1" x14ac:dyDescent="0.15"/>
    <row r="27959" s="76" customFormat="1" ht="21.95" customHeight="1" x14ac:dyDescent="0.15"/>
    <row r="27960" s="76" customFormat="1" ht="21.95" customHeight="1" x14ac:dyDescent="0.15"/>
    <row r="27961" s="76" customFormat="1" ht="21.95" customHeight="1" x14ac:dyDescent="0.15"/>
    <row r="27962" s="76" customFormat="1" ht="21.95" customHeight="1" x14ac:dyDescent="0.15"/>
    <row r="27963" s="76" customFormat="1" ht="21.95" customHeight="1" x14ac:dyDescent="0.15"/>
    <row r="27964" s="76" customFormat="1" ht="21.95" customHeight="1" x14ac:dyDescent="0.15"/>
    <row r="27965" s="76" customFormat="1" ht="21.95" customHeight="1" x14ac:dyDescent="0.15"/>
    <row r="27966" s="76" customFormat="1" ht="21.95" customHeight="1" x14ac:dyDescent="0.15"/>
    <row r="27967" s="76" customFormat="1" ht="21.95" customHeight="1" x14ac:dyDescent="0.15"/>
    <row r="27968" s="76" customFormat="1" ht="21.95" customHeight="1" x14ac:dyDescent="0.15"/>
    <row r="27969" s="76" customFormat="1" ht="21.95" customHeight="1" x14ac:dyDescent="0.15"/>
    <row r="27970" s="76" customFormat="1" ht="21.95" customHeight="1" x14ac:dyDescent="0.15"/>
    <row r="27971" s="76" customFormat="1" ht="21.95" customHeight="1" x14ac:dyDescent="0.15"/>
    <row r="27972" s="76" customFormat="1" ht="21.95" customHeight="1" x14ac:dyDescent="0.15"/>
    <row r="27973" s="76" customFormat="1" ht="21.95" customHeight="1" x14ac:dyDescent="0.15"/>
    <row r="27974" s="76" customFormat="1" ht="21.95" customHeight="1" x14ac:dyDescent="0.15"/>
    <row r="27975" s="76" customFormat="1" ht="21.95" customHeight="1" x14ac:dyDescent="0.15"/>
    <row r="27976" s="76" customFormat="1" ht="21.95" customHeight="1" x14ac:dyDescent="0.15"/>
    <row r="27977" s="76" customFormat="1" ht="35.1" customHeight="1" x14ac:dyDescent="0.15"/>
    <row r="27978" s="76" customFormat="1" ht="21.95" customHeight="1" x14ac:dyDescent="0.15"/>
    <row r="27979" s="76" customFormat="1" ht="21.95" customHeight="1" x14ac:dyDescent="0.15"/>
    <row r="27980" s="76" customFormat="1" ht="21.95" customHeight="1" x14ac:dyDescent="0.15"/>
    <row r="27981" s="76" customFormat="1" ht="21.95" customHeight="1" x14ac:dyDescent="0.15"/>
    <row r="27982" s="76" customFormat="1" ht="21.95" customHeight="1" x14ac:dyDescent="0.15"/>
    <row r="27983" s="76" customFormat="1" ht="21.95" customHeight="1" x14ac:dyDescent="0.15"/>
    <row r="27984" s="76" customFormat="1" ht="21.95" customHeight="1" x14ac:dyDescent="0.15"/>
    <row r="27985" s="76" customFormat="1" ht="21.95" customHeight="1" x14ac:dyDescent="0.15"/>
    <row r="27986" s="76" customFormat="1" ht="21.95" customHeight="1" x14ac:dyDescent="0.15"/>
    <row r="27987" s="76" customFormat="1" ht="21.95" customHeight="1" x14ac:dyDescent="0.15"/>
    <row r="27988" s="76" customFormat="1" ht="21.95" customHeight="1" x14ac:dyDescent="0.15"/>
    <row r="27989" s="76" customFormat="1" ht="21.95" customHeight="1" x14ac:dyDescent="0.15"/>
    <row r="27990" s="76" customFormat="1" ht="21.95" customHeight="1" x14ac:dyDescent="0.15"/>
    <row r="27991" s="76" customFormat="1" ht="21.95" customHeight="1" x14ac:dyDescent="0.15"/>
    <row r="27992" s="76" customFormat="1" ht="21.95" customHeight="1" x14ac:dyDescent="0.15"/>
    <row r="27993" s="76" customFormat="1" ht="21.95" customHeight="1" x14ac:dyDescent="0.15"/>
    <row r="27994" s="76" customFormat="1" ht="21.95" customHeight="1" x14ac:dyDescent="0.15"/>
    <row r="27995" s="76" customFormat="1" ht="21.95" customHeight="1" x14ac:dyDescent="0.15"/>
    <row r="27996" s="76" customFormat="1" ht="21.95" customHeight="1" x14ac:dyDescent="0.15"/>
    <row r="27997" s="76" customFormat="1" ht="21.95" customHeight="1" x14ac:dyDescent="0.15"/>
    <row r="27998" s="76" customFormat="1" ht="21.95" customHeight="1" x14ac:dyDescent="0.15"/>
    <row r="27999" s="76" customFormat="1" ht="21.95" customHeight="1" x14ac:dyDescent="0.15"/>
    <row r="28000" s="76" customFormat="1" ht="21.95" customHeight="1" x14ac:dyDescent="0.15"/>
    <row r="28001" spans="3:3" customFormat="1" ht="21.95" customHeight="1" x14ac:dyDescent="0.15"/>
    <row r="28002" spans="3:3" customFormat="1" ht="21.95" customHeight="1" x14ac:dyDescent="0.15"/>
    <row r="28003" spans="3:3" customFormat="1" ht="21.95" customHeight="1" x14ac:dyDescent="0.15">
      <c r="C28003" s="94"/>
    </row>
    <row r="28004" spans="3:3" customFormat="1" ht="21.95" customHeight="1" x14ac:dyDescent="0.15">
      <c r="C28004" s="94"/>
    </row>
    <row r="28005" spans="3:3" customFormat="1" ht="21.95" customHeight="1" x14ac:dyDescent="0.15"/>
    <row r="28006" spans="3:3" customFormat="1" ht="21.95" customHeight="1" x14ac:dyDescent="0.15"/>
    <row r="28007" spans="3:3" customFormat="1" ht="21.95" customHeight="1" x14ac:dyDescent="0.15"/>
    <row r="28008" spans="3:3" customFormat="1" ht="21.95" customHeight="1" x14ac:dyDescent="0.15"/>
    <row r="28009" spans="3:3" customFormat="1" ht="21.95" customHeight="1" x14ac:dyDescent="0.15"/>
    <row r="28010" spans="3:3" customFormat="1" ht="21.95" customHeight="1" x14ac:dyDescent="0.15"/>
    <row r="28011" spans="3:3" customFormat="1" ht="21.95" customHeight="1" x14ac:dyDescent="0.15"/>
    <row r="28012" spans="3:3" s="76" customFormat="1" ht="21.95" customHeight="1" x14ac:dyDescent="0.15"/>
    <row r="28013" spans="3:3" s="76" customFormat="1" ht="21.95" customHeight="1" x14ac:dyDescent="0.15"/>
    <row r="28014" spans="3:3" s="76" customFormat="1" ht="21.95" customHeight="1" x14ac:dyDescent="0.15"/>
    <row r="28015" spans="3:3" s="76" customFormat="1" ht="21.95" customHeight="1" x14ac:dyDescent="0.15"/>
    <row r="28016" spans="3:3" customFormat="1" ht="21.95" customHeight="1" x14ac:dyDescent="0.15"/>
    <row r="28017" customFormat="1" ht="21.95" customHeight="1" x14ac:dyDescent="0.15"/>
    <row r="28018" customFormat="1" ht="21.95" customHeight="1" x14ac:dyDescent="0.15"/>
    <row r="28019" customFormat="1" ht="21.95" customHeight="1" x14ac:dyDescent="0.15"/>
    <row r="28020" customFormat="1" ht="21.95" customHeight="1" x14ac:dyDescent="0.15"/>
    <row r="28021" customFormat="1" ht="21.95" customHeight="1" x14ac:dyDescent="0.15"/>
    <row r="28022" customFormat="1" ht="21.95" customHeight="1" x14ac:dyDescent="0.15"/>
    <row r="28023" customFormat="1" ht="21.95" customHeight="1" x14ac:dyDescent="0.15"/>
    <row r="28024" customFormat="1" ht="21.95" customHeight="1" x14ac:dyDescent="0.15"/>
    <row r="28025" customFormat="1" ht="21.95" customHeight="1" x14ac:dyDescent="0.15"/>
    <row r="28026" customFormat="1" ht="21.95" customHeight="1" x14ac:dyDescent="0.15"/>
    <row r="28027" customFormat="1" ht="32.1" customHeight="1" x14ac:dyDescent="0.15"/>
    <row r="28028" customFormat="1" ht="32.1" customHeight="1" x14ac:dyDescent="0.15"/>
    <row r="28029" customFormat="1" ht="32.1" customHeight="1" x14ac:dyDescent="0.15"/>
    <row r="28030" customFormat="1" ht="32.1" customHeight="1" x14ac:dyDescent="0.15"/>
    <row r="28031" customFormat="1" ht="32.1" customHeight="1" x14ac:dyDescent="0.15"/>
    <row r="28032" customFormat="1" ht="32.1" customHeight="1" x14ac:dyDescent="0.15"/>
    <row r="28033" s="76" customFormat="1" ht="32.1" customHeight="1" x14ac:dyDescent="0.15"/>
    <row r="28034" s="76" customFormat="1" ht="32.1" customHeight="1" x14ac:dyDescent="0.15"/>
    <row r="28035" s="76" customFormat="1" ht="32.1" customHeight="1" x14ac:dyDescent="0.15"/>
    <row r="28036" s="76" customFormat="1" ht="32.1" customHeight="1" x14ac:dyDescent="0.15"/>
    <row r="28037" s="76" customFormat="1" ht="21.95" customHeight="1" x14ac:dyDescent="0.15"/>
    <row r="28038" s="76" customFormat="1" ht="54" customHeight="1" x14ac:dyDescent="0.15"/>
    <row r="28039" s="76" customFormat="1" ht="21.95" customHeight="1" x14ac:dyDescent="0.15"/>
    <row r="28040" s="76" customFormat="1" ht="21.95" customHeight="1" x14ac:dyDescent="0.15"/>
    <row r="28041" s="76" customFormat="1" ht="21.95" customHeight="1" x14ac:dyDescent="0.15"/>
    <row r="28042" s="76" customFormat="1" ht="21.95" customHeight="1" x14ac:dyDescent="0.15"/>
    <row r="28043" s="76" customFormat="1" ht="21.95" customHeight="1" x14ac:dyDescent="0.15"/>
    <row r="28044" s="76" customFormat="1" ht="21.95" customHeight="1" x14ac:dyDescent="0.15"/>
    <row r="28045" s="76" customFormat="1" ht="21.95" customHeight="1" x14ac:dyDescent="0.15"/>
    <row r="28046" s="76" customFormat="1" ht="21.95" customHeight="1" x14ac:dyDescent="0.15"/>
    <row r="28047" s="76" customFormat="1" ht="21.95" customHeight="1" x14ac:dyDescent="0.15"/>
    <row r="28048" s="76" customFormat="1" ht="21.95" customHeight="1" x14ac:dyDescent="0.15"/>
    <row r="28049" s="76" customFormat="1" ht="21.95" customHeight="1" x14ac:dyDescent="0.15"/>
    <row r="28050" s="76" customFormat="1" ht="21.95" customHeight="1" x14ac:dyDescent="0.15"/>
    <row r="28051" s="76" customFormat="1" ht="21.95" customHeight="1" x14ac:dyDescent="0.15"/>
    <row r="28052" s="76" customFormat="1" ht="21.95" customHeight="1" x14ac:dyDescent="0.15"/>
    <row r="28053" s="76" customFormat="1" ht="21.95" customHeight="1" x14ac:dyDescent="0.15"/>
    <row r="28054" s="76" customFormat="1" ht="21.95" customHeight="1" x14ac:dyDescent="0.15"/>
    <row r="28055" s="76" customFormat="1" ht="21.95" customHeight="1" x14ac:dyDescent="0.15"/>
    <row r="28056" s="76" customFormat="1" ht="21.95" customHeight="1" x14ac:dyDescent="0.15"/>
    <row r="28057" s="76" customFormat="1" ht="21.95" customHeight="1" x14ac:dyDescent="0.15"/>
    <row r="28058" s="76" customFormat="1" ht="21.95" customHeight="1" x14ac:dyDescent="0.15"/>
    <row r="28059" s="76" customFormat="1" ht="21.95" customHeight="1" x14ac:dyDescent="0.15"/>
    <row r="28060" s="76" customFormat="1" ht="21.95" customHeight="1" x14ac:dyDescent="0.15"/>
    <row r="28061" s="76" customFormat="1" ht="21.95" customHeight="1" x14ac:dyDescent="0.15"/>
    <row r="28062" s="76" customFormat="1" ht="21.95" customHeight="1" x14ac:dyDescent="0.15"/>
    <row r="28063" s="76" customFormat="1" ht="21.95" customHeight="1" x14ac:dyDescent="0.15"/>
    <row r="28064" s="76" customFormat="1" ht="21.95" customHeight="1" x14ac:dyDescent="0.15"/>
    <row r="28065" s="76" customFormat="1" ht="21.95" customHeight="1" x14ac:dyDescent="0.15"/>
    <row r="28066" s="76" customFormat="1" ht="21.95" customHeight="1" x14ac:dyDescent="0.15"/>
    <row r="28067" s="76" customFormat="1" ht="21.95" customHeight="1" x14ac:dyDescent="0.15"/>
    <row r="28068" s="76" customFormat="1" ht="21.95" customHeight="1" x14ac:dyDescent="0.15"/>
    <row r="28069" s="76" customFormat="1" ht="21.95" customHeight="1" x14ac:dyDescent="0.15"/>
    <row r="28070" s="76" customFormat="1" ht="21.95" customHeight="1" x14ac:dyDescent="0.15"/>
    <row r="28071" s="76" customFormat="1" ht="21.95" customHeight="1" x14ac:dyDescent="0.15"/>
    <row r="28072" s="76" customFormat="1" ht="21.95" customHeight="1" x14ac:dyDescent="0.15"/>
    <row r="28073" s="76" customFormat="1" ht="21.95" customHeight="1" x14ac:dyDescent="0.15"/>
    <row r="28074" s="76" customFormat="1" ht="21.95" customHeight="1" x14ac:dyDescent="0.15"/>
    <row r="28075" s="76" customFormat="1" ht="21.95" customHeight="1" x14ac:dyDescent="0.15"/>
    <row r="28076" s="76" customFormat="1" ht="21.95" customHeight="1" x14ac:dyDescent="0.15"/>
    <row r="28077" s="76" customFormat="1" ht="21.95" customHeight="1" x14ac:dyDescent="0.15"/>
    <row r="28078" s="76" customFormat="1" ht="21.95" customHeight="1" x14ac:dyDescent="0.15"/>
    <row r="28079" s="76" customFormat="1" ht="21.95" customHeight="1" x14ac:dyDescent="0.15"/>
    <row r="28080" s="76" customFormat="1" ht="21.95" customHeight="1" x14ac:dyDescent="0.15"/>
    <row r="28081" s="76" customFormat="1" ht="21.95" customHeight="1" x14ac:dyDescent="0.15"/>
    <row r="28082" s="76" customFormat="1" ht="21.95" customHeight="1" x14ac:dyDescent="0.15"/>
    <row r="28083" s="76" customFormat="1" ht="21.95" customHeight="1" x14ac:dyDescent="0.15"/>
    <row r="28084" s="76" customFormat="1" ht="21.95" customHeight="1" x14ac:dyDescent="0.15"/>
    <row r="28085" s="76" customFormat="1" ht="21.95" customHeight="1" x14ac:dyDescent="0.15"/>
    <row r="28086" s="76" customFormat="1" ht="21.95" customHeight="1" x14ac:dyDescent="0.15"/>
    <row r="28087" s="76" customFormat="1" ht="21.95" customHeight="1" x14ac:dyDescent="0.15"/>
    <row r="28088" s="76" customFormat="1" ht="21.95" customHeight="1" x14ac:dyDescent="0.15"/>
    <row r="28089" s="76" customFormat="1" ht="35.1" customHeight="1" x14ac:dyDescent="0.15"/>
    <row r="28090" s="76" customFormat="1" ht="21.95" customHeight="1" x14ac:dyDescent="0.15"/>
    <row r="28091" s="76" customFormat="1" ht="21.95" customHeight="1" x14ac:dyDescent="0.15"/>
    <row r="28092" s="76" customFormat="1" ht="21.95" customHeight="1" x14ac:dyDescent="0.15"/>
    <row r="28093" s="76" customFormat="1" ht="21.95" customHeight="1" x14ac:dyDescent="0.15"/>
    <row r="28094" s="76" customFormat="1" ht="21.95" customHeight="1" x14ac:dyDescent="0.15"/>
    <row r="28095" s="76" customFormat="1" ht="21.95" customHeight="1" x14ac:dyDescent="0.15"/>
    <row r="28096" s="76" customFormat="1" ht="21.95" customHeight="1" x14ac:dyDescent="0.15"/>
    <row r="28097" s="76" customFormat="1" ht="21.95" customHeight="1" x14ac:dyDescent="0.15"/>
    <row r="28098" s="76" customFormat="1" ht="21.95" customHeight="1" x14ac:dyDescent="0.15"/>
    <row r="28099" s="76" customFormat="1" ht="21.95" customHeight="1" x14ac:dyDescent="0.15"/>
    <row r="28100" s="76" customFormat="1" ht="21.95" customHeight="1" x14ac:dyDescent="0.15"/>
    <row r="28101" s="76" customFormat="1" ht="21.95" customHeight="1" x14ac:dyDescent="0.15"/>
    <row r="28102" s="76" customFormat="1" ht="21.95" customHeight="1" x14ac:dyDescent="0.15"/>
    <row r="28103" s="76" customFormat="1" ht="21.95" customHeight="1" x14ac:dyDescent="0.15"/>
    <row r="28104" s="76" customFormat="1" ht="21.95" customHeight="1" x14ac:dyDescent="0.15"/>
    <row r="28105" s="76" customFormat="1" ht="21.95" customHeight="1" x14ac:dyDescent="0.15"/>
    <row r="28106" s="76" customFormat="1" ht="21.95" customHeight="1" x14ac:dyDescent="0.15"/>
    <row r="28107" s="76" customFormat="1" ht="21.95" customHeight="1" x14ac:dyDescent="0.15"/>
    <row r="28108" s="76" customFormat="1" ht="21.95" customHeight="1" x14ac:dyDescent="0.15"/>
    <row r="28109" s="76" customFormat="1" ht="21.95" customHeight="1" x14ac:dyDescent="0.15"/>
    <row r="28110" s="76" customFormat="1" ht="21.95" customHeight="1" x14ac:dyDescent="0.15"/>
    <row r="28111" s="76" customFormat="1" ht="21.95" customHeight="1" x14ac:dyDescent="0.15"/>
    <row r="28112" s="76" customFormat="1" ht="21.95" customHeight="1" x14ac:dyDescent="0.15"/>
    <row r="28113" spans="3:3" customFormat="1" ht="21.95" customHeight="1" x14ac:dyDescent="0.15"/>
    <row r="28114" spans="3:3" customFormat="1" ht="21.95" customHeight="1" x14ac:dyDescent="0.15"/>
    <row r="28115" spans="3:3" customFormat="1" ht="21.95" customHeight="1" x14ac:dyDescent="0.15">
      <c r="C28115" s="94"/>
    </row>
    <row r="28116" spans="3:3" customFormat="1" ht="21.95" customHeight="1" x14ac:dyDescent="0.15">
      <c r="C28116" s="94"/>
    </row>
    <row r="28117" spans="3:3" customFormat="1" ht="21.95" customHeight="1" x14ac:dyDescent="0.15"/>
    <row r="28118" spans="3:3" customFormat="1" ht="21.95" customHeight="1" x14ac:dyDescent="0.15"/>
    <row r="28119" spans="3:3" customFormat="1" ht="21.95" customHeight="1" x14ac:dyDescent="0.15"/>
    <row r="28120" spans="3:3" customFormat="1" ht="21.95" customHeight="1" x14ac:dyDescent="0.15"/>
    <row r="28121" spans="3:3" customFormat="1" ht="21.95" customHeight="1" x14ac:dyDescent="0.15"/>
    <row r="28122" spans="3:3" customFormat="1" ht="21.95" customHeight="1" x14ac:dyDescent="0.15"/>
    <row r="28123" spans="3:3" customFormat="1" ht="21.95" customHeight="1" x14ac:dyDescent="0.15"/>
    <row r="28124" spans="3:3" s="76" customFormat="1" ht="21.95" customHeight="1" x14ac:dyDescent="0.15"/>
    <row r="28125" spans="3:3" s="76" customFormat="1" ht="21.95" customHeight="1" x14ac:dyDescent="0.15"/>
    <row r="28126" spans="3:3" s="76" customFormat="1" ht="21.95" customHeight="1" x14ac:dyDescent="0.15"/>
    <row r="28127" spans="3:3" s="76" customFormat="1" ht="21.95" customHeight="1" x14ac:dyDescent="0.15"/>
    <row r="28128" spans="3:3" customFormat="1" ht="21.95" customHeight="1" x14ac:dyDescent="0.15"/>
    <row r="28129" customFormat="1" ht="21.95" customHeight="1" x14ac:dyDescent="0.15"/>
    <row r="28130" customFormat="1" ht="21.95" customHeight="1" x14ac:dyDescent="0.15"/>
    <row r="28131" customFormat="1" ht="21.95" customHeight="1" x14ac:dyDescent="0.15"/>
    <row r="28132" customFormat="1" ht="21.95" customHeight="1" x14ac:dyDescent="0.15"/>
    <row r="28133" customFormat="1" ht="21.95" customHeight="1" x14ac:dyDescent="0.15"/>
    <row r="28134" customFormat="1" ht="21.95" customHeight="1" x14ac:dyDescent="0.15"/>
    <row r="28135" customFormat="1" ht="21.95" customHeight="1" x14ac:dyDescent="0.15"/>
    <row r="28136" customFormat="1" ht="21.95" customHeight="1" x14ac:dyDescent="0.15"/>
    <row r="28137" customFormat="1" ht="21.95" customHeight="1" x14ac:dyDescent="0.15"/>
    <row r="28138" customFormat="1" ht="21.95" customHeight="1" x14ac:dyDescent="0.15"/>
    <row r="28139" customFormat="1" ht="32.1" customHeight="1" x14ac:dyDescent="0.15"/>
    <row r="28140" customFormat="1" ht="32.1" customHeight="1" x14ac:dyDescent="0.15"/>
    <row r="28141" customFormat="1" ht="32.1" customHeight="1" x14ac:dyDescent="0.15"/>
    <row r="28142" customFormat="1" ht="32.1" customHeight="1" x14ac:dyDescent="0.15"/>
    <row r="28143" customFormat="1" ht="32.1" customHeight="1" x14ac:dyDescent="0.15"/>
    <row r="28144" customFormat="1" ht="32.1" customHeight="1" x14ac:dyDescent="0.15"/>
    <row r="28145" s="76" customFormat="1" ht="32.1" customHeight="1" x14ac:dyDescent="0.15"/>
    <row r="28146" s="76" customFormat="1" ht="32.1" customHeight="1" x14ac:dyDescent="0.15"/>
    <row r="28147" s="76" customFormat="1" ht="32.1" customHeight="1" x14ac:dyDescent="0.15"/>
    <row r="28148" s="76" customFormat="1" ht="32.1" customHeight="1" x14ac:dyDescent="0.15"/>
    <row r="28149" s="76" customFormat="1" ht="21.95" customHeight="1" x14ac:dyDescent="0.15"/>
    <row r="28150" s="76" customFormat="1" ht="54" customHeight="1" x14ac:dyDescent="0.15"/>
    <row r="28151" s="76" customFormat="1" ht="21.95" customHeight="1" x14ac:dyDescent="0.15"/>
    <row r="28152" s="76" customFormat="1" ht="21.95" customHeight="1" x14ac:dyDescent="0.15"/>
    <row r="28153" s="76" customFormat="1" ht="21.95" customHeight="1" x14ac:dyDescent="0.15"/>
    <row r="28154" s="76" customFormat="1" ht="21.95" customHeight="1" x14ac:dyDescent="0.15"/>
    <row r="28155" s="76" customFormat="1" ht="21.95" customHeight="1" x14ac:dyDescent="0.15"/>
    <row r="28156" s="76" customFormat="1" ht="21.95" customHeight="1" x14ac:dyDescent="0.15"/>
    <row r="28157" s="76" customFormat="1" ht="21.95" customHeight="1" x14ac:dyDescent="0.15"/>
    <row r="28158" s="76" customFormat="1" ht="21.95" customHeight="1" x14ac:dyDescent="0.15"/>
    <row r="28159" s="76" customFormat="1" ht="21.95" customHeight="1" x14ac:dyDescent="0.15"/>
    <row r="28160" s="76" customFormat="1" ht="21.95" customHeight="1" x14ac:dyDescent="0.15"/>
    <row r="28161" s="76" customFormat="1" ht="21.95" customHeight="1" x14ac:dyDescent="0.15"/>
    <row r="28162" s="76" customFormat="1" ht="21.95" customHeight="1" x14ac:dyDescent="0.15"/>
    <row r="28163" s="76" customFormat="1" ht="21.95" customHeight="1" x14ac:dyDescent="0.15"/>
    <row r="28164" s="76" customFormat="1" ht="21.95" customHeight="1" x14ac:dyDescent="0.15"/>
    <row r="28165" s="76" customFormat="1" ht="21.95" customHeight="1" x14ac:dyDescent="0.15"/>
    <row r="28166" s="76" customFormat="1" ht="21.95" customHeight="1" x14ac:dyDescent="0.15"/>
    <row r="28167" s="76" customFormat="1" ht="21.95" customHeight="1" x14ac:dyDescent="0.15"/>
    <row r="28168" s="76" customFormat="1" ht="21.95" customHeight="1" x14ac:dyDescent="0.15"/>
    <row r="28169" s="76" customFormat="1" ht="21.95" customHeight="1" x14ac:dyDescent="0.15"/>
    <row r="28170" s="76" customFormat="1" ht="21.95" customHeight="1" x14ac:dyDescent="0.15"/>
    <row r="28171" s="76" customFormat="1" ht="21.95" customHeight="1" x14ac:dyDescent="0.15"/>
    <row r="28172" s="76" customFormat="1" ht="21.95" customHeight="1" x14ac:dyDescent="0.15"/>
    <row r="28173" s="76" customFormat="1" ht="21.95" customHeight="1" x14ac:dyDescent="0.15"/>
    <row r="28174" s="76" customFormat="1" ht="21.95" customHeight="1" x14ac:dyDescent="0.15"/>
    <row r="28175" s="76" customFormat="1" ht="21.95" customHeight="1" x14ac:dyDescent="0.15"/>
    <row r="28176" s="76" customFormat="1" ht="21.95" customHeight="1" x14ac:dyDescent="0.15"/>
    <row r="28177" s="76" customFormat="1" ht="21.95" customHeight="1" x14ac:dyDescent="0.15"/>
    <row r="28178" s="76" customFormat="1" ht="21.95" customHeight="1" x14ac:dyDescent="0.15"/>
    <row r="28179" s="76" customFormat="1" ht="21.95" customHeight="1" x14ac:dyDescent="0.15"/>
    <row r="28180" s="76" customFormat="1" ht="21.95" customHeight="1" x14ac:dyDescent="0.15"/>
    <row r="28181" s="76" customFormat="1" ht="21.95" customHeight="1" x14ac:dyDescent="0.15"/>
    <row r="28182" s="76" customFormat="1" ht="21.95" customHeight="1" x14ac:dyDescent="0.15"/>
    <row r="28183" s="76" customFormat="1" ht="21.95" customHeight="1" x14ac:dyDescent="0.15"/>
    <row r="28184" s="76" customFormat="1" ht="21.95" customHeight="1" x14ac:dyDescent="0.15"/>
    <row r="28185" s="76" customFormat="1" ht="21.95" customHeight="1" x14ac:dyDescent="0.15"/>
    <row r="28186" s="76" customFormat="1" ht="21.95" customHeight="1" x14ac:dyDescent="0.15"/>
    <row r="28187" s="76" customFormat="1" ht="21.95" customHeight="1" x14ac:dyDescent="0.15"/>
    <row r="28188" s="76" customFormat="1" ht="21.95" customHeight="1" x14ac:dyDescent="0.15"/>
    <row r="28189" s="76" customFormat="1" ht="21.95" customHeight="1" x14ac:dyDescent="0.15"/>
    <row r="28190" s="76" customFormat="1" ht="21.95" customHeight="1" x14ac:dyDescent="0.15"/>
    <row r="28191" s="76" customFormat="1" ht="21.95" customHeight="1" x14ac:dyDescent="0.15"/>
    <row r="28192" s="76" customFormat="1" ht="21.95" customHeight="1" x14ac:dyDescent="0.15"/>
    <row r="28193" s="76" customFormat="1" ht="21.95" customHeight="1" x14ac:dyDescent="0.15"/>
    <row r="28194" s="76" customFormat="1" ht="21.95" customHeight="1" x14ac:dyDescent="0.15"/>
    <row r="28195" s="76" customFormat="1" ht="21.95" customHeight="1" x14ac:dyDescent="0.15"/>
    <row r="28196" s="76" customFormat="1" ht="21.95" customHeight="1" x14ac:dyDescent="0.15"/>
    <row r="28197" s="76" customFormat="1" ht="21.95" customHeight="1" x14ac:dyDescent="0.15"/>
    <row r="28198" s="76" customFormat="1" ht="21.95" customHeight="1" x14ac:dyDescent="0.15"/>
    <row r="28199" s="76" customFormat="1" ht="21.95" customHeight="1" x14ac:dyDescent="0.15"/>
    <row r="28200" s="76" customFormat="1" ht="21.95" customHeight="1" x14ac:dyDescent="0.15"/>
    <row r="28201" s="76" customFormat="1" ht="35.1" customHeight="1" x14ac:dyDescent="0.15"/>
    <row r="28202" s="76" customFormat="1" ht="21.95" customHeight="1" x14ac:dyDescent="0.15"/>
    <row r="28203" s="76" customFormat="1" ht="21.95" customHeight="1" x14ac:dyDescent="0.15"/>
    <row r="28204" s="76" customFormat="1" ht="21.95" customHeight="1" x14ac:dyDescent="0.15"/>
    <row r="28205" s="76" customFormat="1" ht="21.95" customHeight="1" x14ac:dyDescent="0.15"/>
    <row r="28206" s="76" customFormat="1" ht="21.95" customHeight="1" x14ac:dyDescent="0.15"/>
    <row r="28207" s="76" customFormat="1" ht="21.95" customHeight="1" x14ac:dyDescent="0.15"/>
    <row r="28208" s="76" customFormat="1" ht="21.95" customHeight="1" x14ac:dyDescent="0.15"/>
    <row r="28209" s="76" customFormat="1" ht="21.95" customHeight="1" x14ac:dyDescent="0.15"/>
    <row r="28210" s="76" customFormat="1" ht="21.95" customHeight="1" x14ac:dyDescent="0.15"/>
    <row r="28211" s="76" customFormat="1" ht="21.95" customHeight="1" x14ac:dyDescent="0.15"/>
    <row r="28212" s="76" customFormat="1" ht="21.95" customHeight="1" x14ac:dyDescent="0.15"/>
    <row r="28213" s="76" customFormat="1" ht="21.95" customHeight="1" x14ac:dyDescent="0.15"/>
    <row r="28214" s="76" customFormat="1" ht="21.95" customHeight="1" x14ac:dyDescent="0.15"/>
    <row r="28215" s="76" customFormat="1" ht="21.95" customHeight="1" x14ac:dyDescent="0.15"/>
    <row r="28216" s="76" customFormat="1" ht="21.95" customHeight="1" x14ac:dyDescent="0.15"/>
    <row r="28217" s="76" customFormat="1" ht="21.95" customHeight="1" x14ac:dyDescent="0.15"/>
    <row r="28218" s="76" customFormat="1" ht="21.95" customHeight="1" x14ac:dyDescent="0.15"/>
    <row r="28219" s="76" customFormat="1" ht="21.95" customHeight="1" x14ac:dyDescent="0.15"/>
    <row r="28220" s="76" customFormat="1" ht="21.95" customHeight="1" x14ac:dyDescent="0.15"/>
    <row r="28221" s="76" customFormat="1" ht="21.95" customHeight="1" x14ac:dyDescent="0.15"/>
    <row r="28222" s="76" customFormat="1" ht="21.95" customHeight="1" x14ac:dyDescent="0.15"/>
    <row r="28223" s="76" customFormat="1" ht="21.95" customHeight="1" x14ac:dyDescent="0.15"/>
    <row r="28224" s="76" customFormat="1" ht="21.95" customHeight="1" x14ac:dyDescent="0.15"/>
    <row r="28225" spans="3:3" customFormat="1" ht="21.95" customHeight="1" x14ac:dyDescent="0.15"/>
    <row r="28226" spans="3:3" customFormat="1" ht="21.95" customHeight="1" x14ac:dyDescent="0.15"/>
    <row r="28227" spans="3:3" customFormat="1" ht="21.95" customHeight="1" x14ac:dyDescent="0.15">
      <c r="C28227" s="94"/>
    </row>
    <row r="28228" spans="3:3" customFormat="1" ht="21.95" customHeight="1" x14ac:dyDescent="0.15">
      <c r="C28228" s="94"/>
    </row>
    <row r="28229" spans="3:3" customFormat="1" ht="21.95" customHeight="1" x14ac:dyDescent="0.15"/>
    <row r="28230" spans="3:3" customFormat="1" ht="21.95" customHeight="1" x14ac:dyDescent="0.15"/>
    <row r="28231" spans="3:3" customFormat="1" ht="21.95" customHeight="1" x14ac:dyDescent="0.15"/>
    <row r="28232" spans="3:3" customFormat="1" ht="21.95" customHeight="1" x14ac:dyDescent="0.15"/>
    <row r="28233" spans="3:3" customFormat="1" ht="21.95" customHeight="1" x14ac:dyDescent="0.15"/>
    <row r="28234" spans="3:3" customFormat="1" ht="21.95" customHeight="1" x14ac:dyDescent="0.15"/>
    <row r="28235" spans="3:3" customFormat="1" ht="21.95" customHeight="1" x14ac:dyDescent="0.15"/>
    <row r="28236" spans="3:3" s="76" customFormat="1" ht="21.95" customHeight="1" x14ac:dyDescent="0.15"/>
    <row r="28237" spans="3:3" s="76" customFormat="1" ht="21.95" customHeight="1" x14ac:dyDescent="0.15"/>
    <row r="28238" spans="3:3" s="76" customFormat="1" ht="21.95" customHeight="1" x14ac:dyDescent="0.15"/>
    <row r="28239" spans="3:3" s="76" customFormat="1" ht="21.95" customHeight="1" x14ac:dyDescent="0.15"/>
    <row r="28240" spans="3:3" customFormat="1" ht="21.95" customHeight="1" x14ac:dyDescent="0.15"/>
    <row r="28241" customFormat="1" ht="21.95" customHeight="1" x14ac:dyDescent="0.15"/>
    <row r="28242" customFormat="1" ht="21.95" customHeight="1" x14ac:dyDescent="0.15"/>
    <row r="28243" customFormat="1" ht="21.95" customHeight="1" x14ac:dyDescent="0.15"/>
    <row r="28244" customFormat="1" ht="21.95" customHeight="1" x14ac:dyDescent="0.15"/>
    <row r="28245" customFormat="1" ht="21.95" customHeight="1" x14ac:dyDescent="0.15"/>
    <row r="28246" customFormat="1" ht="21.95" customHeight="1" x14ac:dyDescent="0.15"/>
    <row r="28247" customFormat="1" ht="21.95" customHeight="1" x14ac:dyDescent="0.15"/>
    <row r="28248" customFormat="1" ht="21.95" customHeight="1" x14ac:dyDescent="0.15"/>
    <row r="28249" customFormat="1" ht="21.95" customHeight="1" x14ac:dyDescent="0.15"/>
    <row r="28250" customFormat="1" ht="21.95" customHeight="1" x14ac:dyDescent="0.15"/>
    <row r="28251" customFormat="1" ht="32.1" customHeight="1" x14ac:dyDescent="0.15"/>
    <row r="28252" customFormat="1" ht="32.1" customHeight="1" x14ac:dyDescent="0.15"/>
    <row r="28253" customFormat="1" ht="32.1" customHeight="1" x14ac:dyDescent="0.15"/>
    <row r="28254" customFormat="1" ht="32.1" customHeight="1" x14ac:dyDescent="0.15"/>
    <row r="28255" customFormat="1" ht="32.1" customHeight="1" x14ac:dyDescent="0.15"/>
    <row r="28256" customFormat="1" ht="32.1" customHeight="1" x14ac:dyDescent="0.15"/>
    <row r="28257" s="76" customFormat="1" ht="32.1" customHeight="1" x14ac:dyDescent="0.15"/>
    <row r="28258" s="76" customFormat="1" ht="32.1" customHeight="1" x14ac:dyDescent="0.15"/>
    <row r="28259" s="76" customFormat="1" ht="32.1" customHeight="1" x14ac:dyDescent="0.15"/>
    <row r="28260" s="76" customFormat="1" ht="32.1" customHeight="1" x14ac:dyDescent="0.15"/>
    <row r="28261" s="76" customFormat="1" ht="21.95" customHeight="1" x14ac:dyDescent="0.15"/>
    <row r="28262" s="76" customFormat="1" ht="54" customHeight="1" x14ac:dyDescent="0.15"/>
    <row r="28263" s="76" customFormat="1" ht="21.95" customHeight="1" x14ac:dyDescent="0.15"/>
    <row r="28264" s="76" customFormat="1" ht="21.95" customHeight="1" x14ac:dyDescent="0.15"/>
    <row r="28265" s="76" customFormat="1" ht="21.95" customHeight="1" x14ac:dyDescent="0.15"/>
    <row r="28266" s="76" customFormat="1" ht="21.95" customHeight="1" x14ac:dyDescent="0.15"/>
    <row r="28267" s="76" customFormat="1" ht="21.95" customHeight="1" x14ac:dyDescent="0.15"/>
    <row r="28268" s="76" customFormat="1" ht="21.95" customHeight="1" x14ac:dyDescent="0.15"/>
    <row r="28269" s="76" customFormat="1" ht="21.95" customHeight="1" x14ac:dyDescent="0.15"/>
    <row r="28270" s="76" customFormat="1" ht="21.95" customHeight="1" x14ac:dyDescent="0.15"/>
    <row r="28271" s="76" customFormat="1" ht="21.95" customHeight="1" x14ac:dyDescent="0.15"/>
    <row r="28272" s="76" customFormat="1" ht="21.95" customHeight="1" x14ac:dyDescent="0.15"/>
    <row r="28273" s="76" customFormat="1" ht="21.95" customHeight="1" x14ac:dyDescent="0.15"/>
    <row r="28274" s="76" customFormat="1" ht="21.95" customHeight="1" x14ac:dyDescent="0.15"/>
    <row r="28275" s="76" customFormat="1" ht="21.95" customHeight="1" x14ac:dyDescent="0.15"/>
    <row r="28276" s="76" customFormat="1" ht="21.95" customHeight="1" x14ac:dyDescent="0.15"/>
    <row r="28277" s="76" customFormat="1" ht="21.95" customHeight="1" x14ac:dyDescent="0.15"/>
    <row r="28278" s="76" customFormat="1" ht="21.95" customHeight="1" x14ac:dyDescent="0.15"/>
    <row r="28279" s="76" customFormat="1" ht="21.95" customHeight="1" x14ac:dyDescent="0.15"/>
    <row r="28280" s="76" customFormat="1" ht="21.95" customHeight="1" x14ac:dyDescent="0.15"/>
    <row r="28281" s="76" customFormat="1" ht="21.95" customHeight="1" x14ac:dyDescent="0.15"/>
    <row r="28282" s="76" customFormat="1" ht="21.95" customHeight="1" x14ac:dyDescent="0.15"/>
    <row r="28283" s="76" customFormat="1" ht="21.95" customHeight="1" x14ac:dyDescent="0.15"/>
    <row r="28284" s="76" customFormat="1" ht="21.95" customHeight="1" x14ac:dyDescent="0.15"/>
    <row r="28285" s="76" customFormat="1" ht="21.95" customHeight="1" x14ac:dyDescent="0.15"/>
    <row r="28286" s="76" customFormat="1" ht="21.95" customHeight="1" x14ac:dyDescent="0.15"/>
    <row r="28287" s="76" customFormat="1" ht="21.95" customHeight="1" x14ac:dyDescent="0.15"/>
    <row r="28288" s="76" customFormat="1" ht="21.95" customHeight="1" x14ac:dyDescent="0.15"/>
    <row r="28289" s="76" customFormat="1" ht="21.95" customHeight="1" x14ac:dyDescent="0.15"/>
    <row r="28290" s="76" customFormat="1" ht="21.95" customHeight="1" x14ac:dyDescent="0.15"/>
    <row r="28291" s="76" customFormat="1" ht="21.95" customHeight="1" x14ac:dyDescent="0.15"/>
    <row r="28292" s="76" customFormat="1" ht="21.95" customHeight="1" x14ac:dyDescent="0.15"/>
    <row r="28293" s="76" customFormat="1" ht="21.95" customHeight="1" x14ac:dyDescent="0.15"/>
    <row r="28294" s="76" customFormat="1" ht="21.95" customHeight="1" x14ac:dyDescent="0.15"/>
    <row r="28295" s="76" customFormat="1" ht="21.95" customHeight="1" x14ac:dyDescent="0.15"/>
    <row r="28296" s="76" customFormat="1" ht="21.95" customHeight="1" x14ac:dyDescent="0.15"/>
    <row r="28297" s="76" customFormat="1" ht="21.95" customHeight="1" x14ac:dyDescent="0.15"/>
    <row r="28298" s="76" customFormat="1" ht="21.95" customHeight="1" x14ac:dyDescent="0.15"/>
    <row r="28299" s="76" customFormat="1" ht="21.95" customHeight="1" x14ac:dyDescent="0.15"/>
    <row r="28300" s="76" customFormat="1" ht="21.95" customHeight="1" x14ac:dyDescent="0.15"/>
    <row r="28301" s="76" customFormat="1" ht="21.95" customHeight="1" x14ac:dyDescent="0.15"/>
    <row r="28302" s="76" customFormat="1" ht="21.95" customHeight="1" x14ac:dyDescent="0.15"/>
    <row r="28303" s="76" customFormat="1" ht="21.95" customHeight="1" x14ac:dyDescent="0.15"/>
    <row r="28304" s="76" customFormat="1" ht="21.95" customHeight="1" x14ac:dyDescent="0.15"/>
    <row r="28305" s="76" customFormat="1" ht="21.95" customHeight="1" x14ac:dyDescent="0.15"/>
    <row r="28306" s="76" customFormat="1" ht="21.95" customHeight="1" x14ac:dyDescent="0.15"/>
    <row r="28307" s="76" customFormat="1" ht="21.95" customHeight="1" x14ac:dyDescent="0.15"/>
    <row r="28308" s="76" customFormat="1" ht="21.95" customHeight="1" x14ac:dyDescent="0.15"/>
    <row r="28309" s="76" customFormat="1" ht="21.95" customHeight="1" x14ac:dyDescent="0.15"/>
    <row r="28310" s="76" customFormat="1" ht="21.95" customHeight="1" x14ac:dyDescent="0.15"/>
    <row r="28311" s="76" customFormat="1" ht="21.95" customHeight="1" x14ac:dyDescent="0.15"/>
    <row r="28312" s="76" customFormat="1" ht="21.95" customHeight="1" x14ac:dyDescent="0.15"/>
    <row r="28313" s="76" customFormat="1" ht="35.1" customHeight="1" x14ac:dyDescent="0.15"/>
    <row r="28314" s="76" customFormat="1" ht="21.95" customHeight="1" x14ac:dyDescent="0.15"/>
    <row r="28315" s="76" customFormat="1" ht="21.95" customHeight="1" x14ac:dyDescent="0.15"/>
    <row r="28316" s="76" customFormat="1" ht="21.95" customHeight="1" x14ac:dyDescent="0.15"/>
    <row r="28317" s="76" customFormat="1" ht="21.95" customHeight="1" x14ac:dyDescent="0.15"/>
    <row r="28318" s="76" customFormat="1" ht="21.95" customHeight="1" x14ac:dyDescent="0.15"/>
    <row r="28319" s="76" customFormat="1" ht="21.95" customHeight="1" x14ac:dyDescent="0.15"/>
    <row r="28320" s="76" customFormat="1" ht="21.95" customHeight="1" x14ac:dyDescent="0.15"/>
    <row r="28321" s="76" customFormat="1" ht="21.95" customHeight="1" x14ac:dyDescent="0.15"/>
    <row r="28322" s="76" customFormat="1" ht="21.95" customHeight="1" x14ac:dyDescent="0.15"/>
    <row r="28323" s="76" customFormat="1" ht="21.95" customHeight="1" x14ac:dyDescent="0.15"/>
    <row r="28324" s="76" customFormat="1" ht="21.95" customHeight="1" x14ac:dyDescent="0.15"/>
    <row r="28325" s="76" customFormat="1" ht="21.95" customHeight="1" x14ac:dyDescent="0.15"/>
    <row r="28326" s="76" customFormat="1" ht="21.95" customHeight="1" x14ac:dyDescent="0.15"/>
    <row r="28327" s="76" customFormat="1" ht="21.95" customHeight="1" x14ac:dyDescent="0.15"/>
    <row r="28328" s="76" customFormat="1" ht="21.95" customHeight="1" x14ac:dyDescent="0.15"/>
    <row r="28329" s="76" customFormat="1" ht="21.95" customHeight="1" x14ac:dyDescent="0.15"/>
    <row r="28330" s="76" customFormat="1" ht="21.95" customHeight="1" x14ac:dyDescent="0.15"/>
    <row r="28331" s="76" customFormat="1" ht="21.95" customHeight="1" x14ac:dyDescent="0.15"/>
    <row r="28332" s="76" customFormat="1" ht="21.95" customHeight="1" x14ac:dyDescent="0.15"/>
    <row r="28333" s="76" customFormat="1" ht="21.95" customHeight="1" x14ac:dyDescent="0.15"/>
    <row r="28334" s="76" customFormat="1" ht="21.95" customHeight="1" x14ac:dyDescent="0.15"/>
    <row r="28335" s="76" customFormat="1" ht="21.95" customHeight="1" x14ac:dyDescent="0.15"/>
    <row r="28336" s="76" customFormat="1" ht="21.95" customHeight="1" x14ac:dyDescent="0.15"/>
    <row r="28337" spans="3:3" customFormat="1" ht="21.95" customHeight="1" x14ac:dyDescent="0.15"/>
    <row r="28338" spans="3:3" customFormat="1" ht="21.95" customHeight="1" x14ac:dyDescent="0.15"/>
    <row r="28339" spans="3:3" customFormat="1" ht="21.95" customHeight="1" x14ac:dyDescent="0.15">
      <c r="C28339" s="94"/>
    </row>
    <row r="28340" spans="3:3" customFormat="1" ht="21.95" customHeight="1" x14ac:dyDescent="0.15">
      <c r="C28340" s="94"/>
    </row>
    <row r="28341" spans="3:3" customFormat="1" ht="21.95" customHeight="1" x14ac:dyDescent="0.15"/>
    <row r="28342" spans="3:3" customFormat="1" ht="21.95" customHeight="1" x14ac:dyDescent="0.15"/>
    <row r="28343" spans="3:3" customFormat="1" ht="21.95" customHeight="1" x14ac:dyDescent="0.15"/>
    <row r="28344" spans="3:3" customFormat="1" ht="21.95" customHeight="1" x14ac:dyDescent="0.15"/>
    <row r="28345" spans="3:3" customFormat="1" ht="21.95" customHeight="1" x14ac:dyDescent="0.15"/>
    <row r="28346" spans="3:3" customFormat="1" ht="21.95" customHeight="1" x14ac:dyDescent="0.15"/>
    <row r="28347" spans="3:3" customFormat="1" ht="21.95" customHeight="1" x14ac:dyDescent="0.15"/>
    <row r="28348" spans="3:3" s="76" customFormat="1" ht="21.95" customHeight="1" x14ac:dyDescent="0.15"/>
    <row r="28349" spans="3:3" s="76" customFormat="1" ht="21.95" customHeight="1" x14ac:dyDescent="0.15"/>
    <row r="28350" spans="3:3" s="76" customFormat="1" ht="21.95" customHeight="1" x14ac:dyDescent="0.15"/>
    <row r="28351" spans="3:3" s="76" customFormat="1" ht="21.95" customHeight="1" x14ac:dyDescent="0.15"/>
    <row r="28352" spans="3:3" customFormat="1" ht="21.95" customHeight="1" x14ac:dyDescent="0.15"/>
    <row r="28353" customFormat="1" ht="21.95" customHeight="1" x14ac:dyDescent="0.15"/>
    <row r="28354" customFormat="1" ht="21.95" customHeight="1" x14ac:dyDescent="0.15"/>
    <row r="28355" customFormat="1" ht="21.95" customHeight="1" x14ac:dyDescent="0.15"/>
    <row r="28356" customFormat="1" ht="21.95" customHeight="1" x14ac:dyDescent="0.15"/>
    <row r="28357" customFormat="1" ht="21.95" customHeight="1" x14ac:dyDescent="0.15"/>
    <row r="28358" customFormat="1" ht="21.95" customHeight="1" x14ac:dyDescent="0.15"/>
    <row r="28359" customFormat="1" ht="21.95" customHeight="1" x14ac:dyDescent="0.15"/>
    <row r="28360" customFormat="1" ht="21.95" customHeight="1" x14ac:dyDescent="0.15"/>
    <row r="28361" customFormat="1" ht="21.95" customHeight="1" x14ac:dyDescent="0.15"/>
    <row r="28362" customFormat="1" ht="21.95" customHeight="1" x14ac:dyDescent="0.15"/>
    <row r="28363" customFormat="1" ht="32.1" customHeight="1" x14ac:dyDescent="0.15"/>
    <row r="28364" customFormat="1" ht="32.1" customHeight="1" x14ac:dyDescent="0.15"/>
    <row r="28365" customFormat="1" ht="32.1" customHeight="1" x14ac:dyDescent="0.15"/>
    <row r="28366" customFormat="1" ht="32.1" customHeight="1" x14ac:dyDescent="0.15"/>
    <row r="28367" customFormat="1" ht="32.1" customHeight="1" x14ac:dyDescent="0.15"/>
    <row r="28368" customFormat="1" ht="32.1" customHeight="1" x14ac:dyDescent="0.15"/>
    <row r="28369" s="76" customFormat="1" ht="32.1" customHeight="1" x14ac:dyDescent="0.15"/>
    <row r="28370" s="76" customFormat="1" ht="32.1" customHeight="1" x14ac:dyDescent="0.15"/>
    <row r="28371" s="76" customFormat="1" ht="32.1" customHeight="1" x14ac:dyDescent="0.15"/>
    <row r="28372" s="76" customFormat="1" ht="32.1" customHeight="1" x14ac:dyDescent="0.15"/>
    <row r="28373" s="76" customFormat="1" ht="21.95" customHeight="1" x14ac:dyDescent="0.15"/>
    <row r="28374" s="76" customFormat="1" ht="54" customHeight="1" x14ac:dyDescent="0.15"/>
    <row r="28375" s="76" customFormat="1" ht="21.95" customHeight="1" x14ac:dyDescent="0.15"/>
    <row r="28376" s="76" customFormat="1" ht="21.95" customHeight="1" x14ac:dyDescent="0.15"/>
    <row r="28377" s="76" customFormat="1" ht="21.95" customHeight="1" x14ac:dyDescent="0.15"/>
    <row r="28378" s="76" customFormat="1" ht="21.95" customHeight="1" x14ac:dyDescent="0.15"/>
    <row r="28379" s="76" customFormat="1" ht="21.95" customHeight="1" x14ac:dyDescent="0.15"/>
    <row r="28380" s="76" customFormat="1" ht="21.95" customHeight="1" x14ac:dyDescent="0.15"/>
    <row r="28381" s="76" customFormat="1" ht="21.95" customHeight="1" x14ac:dyDescent="0.15"/>
    <row r="28382" s="76" customFormat="1" ht="21.95" customHeight="1" x14ac:dyDescent="0.15"/>
    <row r="28383" s="76" customFormat="1" ht="21.95" customHeight="1" x14ac:dyDescent="0.15"/>
    <row r="28384" s="76" customFormat="1" ht="21.95" customHeight="1" x14ac:dyDescent="0.15"/>
    <row r="28385" s="76" customFormat="1" ht="21.95" customHeight="1" x14ac:dyDescent="0.15"/>
    <row r="28386" s="76" customFormat="1" ht="21.95" customHeight="1" x14ac:dyDescent="0.15"/>
    <row r="28387" s="76" customFormat="1" ht="21.95" customHeight="1" x14ac:dyDescent="0.15"/>
    <row r="28388" s="76" customFormat="1" ht="21.95" customHeight="1" x14ac:dyDescent="0.15"/>
    <row r="28389" s="76" customFormat="1" ht="21.95" customHeight="1" x14ac:dyDescent="0.15"/>
    <row r="28390" s="76" customFormat="1" ht="21.95" customHeight="1" x14ac:dyDescent="0.15"/>
    <row r="28391" s="76" customFormat="1" ht="21.95" customHeight="1" x14ac:dyDescent="0.15"/>
    <row r="28392" s="76" customFormat="1" ht="21.95" customHeight="1" x14ac:dyDescent="0.15"/>
    <row r="28393" s="76" customFormat="1" ht="21.95" customHeight="1" x14ac:dyDescent="0.15"/>
    <row r="28394" s="76" customFormat="1" ht="21.95" customHeight="1" x14ac:dyDescent="0.15"/>
    <row r="28395" s="76" customFormat="1" ht="21.95" customHeight="1" x14ac:dyDescent="0.15"/>
    <row r="28396" s="76" customFormat="1" ht="21.95" customHeight="1" x14ac:dyDescent="0.15"/>
    <row r="28397" s="76" customFormat="1" ht="21.95" customHeight="1" x14ac:dyDescent="0.15"/>
    <row r="28398" s="76" customFormat="1" ht="21.95" customHeight="1" x14ac:dyDescent="0.15"/>
    <row r="28399" s="76" customFormat="1" ht="21.95" customHeight="1" x14ac:dyDescent="0.15"/>
    <row r="28400" s="76" customFormat="1" ht="21.95" customHeight="1" x14ac:dyDescent="0.15"/>
    <row r="28401" s="76" customFormat="1" ht="21.95" customHeight="1" x14ac:dyDescent="0.15"/>
    <row r="28402" s="76" customFormat="1" ht="21.95" customHeight="1" x14ac:dyDescent="0.15"/>
    <row r="28403" s="76" customFormat="1" ht="21.95" customHeight="1" x14ac:dyDescent="0.15"/>
    <row r="28404" s="76" customFormat="1" ht="21.95" customHeight="1" x14ac:dyDescent="0.15"/>
    <row r="28405" s="76" customFormat="1" ht="21.95" customHeight="1" x14ac:dyDescent="0.15"/>
    <row r="28406" s="76" customFormat="1" ht="21.95" customHeight="1" x14ac:dyDescent="0.15"/>
    <row r="28407" s="76" customFormat="1" ht="21.95" customHeight="1" x14ac:dyDescent="0.15"/>
    <row r="28408" s="76" customFormat="1" ht="21.95" customHeight="1" x14ac:dyDescent="0.15"/>
    <row r="28409" s="76" customFormat="1" ht="21.95" customHeight="1" x14ac:dyDescent="0.15"/>
    <row r="28410" s="76" customFormat="1" ht="21.95" customHeight="1" x14ac:dyDescent="0.15"/>
    <row r="28411" s="76" customFormat="1" ht="21.95" customHeight="1" x14ac:dyDescent="0.15"/>
    <row r="28412" s="76" customFormat="1" ht="21.95" customHeight="1" x14ac:dyDescent="0.15"/>
    <row r="28413" s="76" customFormat="1" ht="21.95" customHeight="1" x14ac:dyDescent="0.15"/>
    <row r="28414" s="76" customFormat="1" ht="21.95" customHeight="1" x14ac:dyDescent="0.15"/>
    <row r="28415" s="76" customFormat="1" ht="21.95" customHeight="1" x14ac:dyDescent="0.15"/>
    <row r="28416" s="76" customFormat="1" ht="21.95" customHeight="1" x14ac:dyDescent="0.15"/>
    <row r="28417" s="76" customFormat="1" ht="21.95" customHeight="1" x14ac:dyDescent="0.15"/>
    <row r="28418" s="76" customFormat="1" ht="21.95" customHeight="1" x14ac:dyDescent="0.15"/>
    <row r="28419" s="76" customFormat="1" ht="21.95" customHeight="1" x14ac:dyDescent="0.15"/>
    <row r="28420" s="76" customFormat="1" ht="21.95" customHeight="1" x14ac:dyDescent="0.15"/>
    <row r="28421" s="76" customFormat="1" ht="21.95" customHeight="1" x14ac:dyDescent="0.15"/>
    <row r="28422" s="76" customFormat="1" ht="21.95" customHeight="1" x14ac:dyDescent="0.15"/>
    <row r="28423" s="76" customFormat="1" ht="21.95" customHeight="1" x14ac:dyDescent="0.15"/>
    <row r="28424" s="76" customFormat="1" ht="21.95" customHeight="1" x14ac:dyDescent="0.15"/>
    <row r="28425" s="76" customFormat="1" ht="35.1" customHeight="1" x14ac:dyDescent="0.15"/>
    <row r="28426" s="76" customFormat="1" ht="21.95" customHeight="1" x14ac:dyDescent="0.15"/>
    <row r="28427" s="76" customFormat="1" ht="21.95" customHeight="1" x14ac:dyDescent="0.15"/>
    <row r="28428" s="76" customFormat="1" ht="21.95" customHeight="1" x14ac:dyDescent="0.15"/>
    <row r="28429" s="76" customFormat="1" ht="21.95" customHeight="1" x14ac:dyDescent="0.15"/>
    <row r="28430" s="76" customFormat="1" ht="21.95" customHeight="1" x14ac:dyDescent="0.15"/>
    <row r="28431" s="76" customFormat="1" ht="21.95" customHeight="1" x14ac:dyDescent="0.15"/>
    <row r="28432" s="76" customFormat="1" ht="21.95" customHeight="1" x14ac:dyDescent="0.15"/>
    <row r="28433" s="76" customFormat="1" ht="21.95" customHeight="1" x14ac:dyDescent="0.15"/>
    <row r="28434" s="76" customFormat="1" ht="21.95" customHeight="1" x14ac:dyDescent="0.15"/>
    <row r="28435" s="76" customFormat="1" ht="21.95" customHeight="1" x14ac:dyDescent="0.15"/>
    <row r="28436" s="76" customFormat="1" ht="21.95" customHeight="1" x14ac:dyDescent="0.15"/>
    <row r="28437" s="76" customFormat="1" ht="21.95" customHeight="1" x14ac:dyDescent="0.15"/>
    <row r="28438" s="76" customFormat="1" ht="21.95" customHeight="1" x14ac:dyDescent="0.15"/>
    <row r="28439" s="76" customFormat="1" ht="21.95" customHeight="1" x14ac:dyDescent="0.15"/>
    <row r="28440" s="76" customFormat="1" ht="21.95" customHeight="1" x14ac:dyDescent="0.15"/>
    <row r="28441" s="76" customFormat="1" ht="21.95" customHeight="1" x14ac:dyDescent="0.15"/>
    <row r="28442" s="76" customFormat="1" ht="21.95" customHeight="1" x14ac:dyDescent="0.15"/>
    <row r="28443" s="76" customFormat="1" ht="21.95" customHeight="1" x14ac:dyDescent="0.15"/>
    <row r="28444" s="76" customFormat="1" ht="21.95" customHeight="1" x14ac:dyDescent="0.15"/>
    <row r="28445" s="76" customFormat="1" ht="21.95" customHeight="1" x14ac:dyDescent="0.15"/>
    <row r="28446" s="76" customFormat="1" ht="21.95" customHeight="1" x14ac:dyDescent="0.15"/>
    <row r="28447" s="76" customFormat="1" ht="21.95" customHeight="1" x14ac:dyDescent="0.15"/>
    <row r="28448" s="76" customFormat="1" ht="21.95" customHeight="1" x14ac:dyDescent="0.15"/>
    <row r="28449" spans="3:3" customFormat="1" ht="21.95" customHeight="1" x14ac:dyDescent="0.15"/>
    <row r="28450" spans="3:3" customFormat="1" ht="21.95" customHeight="1" x14ac:dyDescent="0.15"/>
    <row r="28451" spans="3:3" customFormat="1" ht="21.95" customHeight="1" x14ac:dyDescent="0.15">
      <c r="C28451" s="94"/>
    </row>
    <row r="28452" spans="3:3" customFormat="1" ht="21.95" customHeight="1" x14ac:dyDescent="0.15">
      <c r="C28452" s="94"/>
    </row>
    <row r="28453" spans="3:3" customFormat="1" ht="21.95" customHeight="1" x14ac:dyDescent="0.15"/>
    <row r="28454" spans="3:3" customFormat="1" ht="21.95" customHeight="1" x14ac:dyDescent="0.15"/>
    <row r="28455" spans="3:3" customFormat="1" ht="21.95" customHeight="1" x14ac:dyDescent="0.15"/>
    <row r="28456" spans="3:3" customFormat="1" ht="21.95" customHeight="1" x14ac:dyDescent="0.15"/>
    <row r="28457" spans="3:3" customFormat="1" ht="21.95" customHeight="1" x14ac:dyDescent="0.15"/>
    <row r="28458" spans="3:3" customFormat="1" ht="21.95" customHeight="1" x14ac:dyDescent="0.15"/>
    <row r="28459" spans="3:3" customFormat="1" ht="21.95" customHeight="1" x14ac:dyDescent="0.15"/>
    <row r="28460" spans="3:3" s="76" customFormat="1" ht="21.95" customHeight="1" x14ac:dyDescent="0.15"/>
    <row r="28461" spans="3:3" s="76" customFormat="1" ht="21.95" customHeight="1" x14ac:dyDescent="0.15"/>
    <row r="28462" spans="3:3" s="76" customFormat="1" ht="21.95" customHeight="1" x14ac:dyDescent="0.15"/>
    <row r="28463" spans="3:3" s="76" customFormat="1" ht="21.95" customHeight="1" x14ac:dyDescent="0.15"/>
    <row r="28464" spans="3:3" customFormat="1" ht="21.95" customHeight="1" x14ac:dyDescent="0.15"/>
    <row r="28465" customFormat="1" ht="21.95" customHeight="1" x14ac:dyDescent="0.15"/>
    <row r="28466" customFormat="1" ht="21.95" customHeight="1" x14ac:dyDescent="0.15"/>
    <row r="28467" customFormat="1" ht="21.95" customHeight="1" x14ac:dyDescent="0.15"/>
    <row r="28468" customFormat="1" ht="21.95" customHeight="1" x14ac:dyDescent="0.15"/>
    <row r="28469" customFormat="1" ht="21.95" customHeight="1" x14ac:dyDescent="0.15"/>
    <row r="28470" customFormat="1" ht="21.95" customHeight="1" x14ac:dyDescent="0.15"/>
    <row r="28471" customFormat="1" ht="21.95" customHeight="1" x14ac:dyDescent="0.15"/>
    <row r="28472" customFormat="1" ht="21.95" customHeight="1" x14ac:dyDescent="0.15"/>
    <row r="28473" customFormat="1" ht="21.95" customHeight="1" x14ac:dyDescent="0.15"/>
    <row r="28474" customFormat="1" ht="21.95" customHeight="1" x14ac:dyDescent="0.15"/>
    <row r="28475" customFormat="1" ht="32.1" customHeight="1" x14ac:dyDescent="0.15"/>
    <row r="28476" customFormat="1" ht="32.1" customHeight="1" x14ac:dyDescent="0.15"/>
    <row r="28477" customFormat="1" ht="32.1" customHeight="1" x14ac:dyDescent="0.15"/>
    <row r="28478" customFormat="1" ht="32.1" customHeight="1" x14ac:dyDescent="0.15"/>
    <row r="28479" customFormat="1" ht="32.1" customHeight="1" x14ac:dyDescent="0.15"/>
    <row r="28480" customFormat="1" ht="32.1" customHeight="1" x14ac:dyDescent="0.15"/>
    <row r="28481" s="76" customFormat="1" ht="32.1" customHeight="1" x14ac:dyDescent="0.15"/>
    <row r="28482" s="76" customFormat="1" ht="32.1" customHeight="1" x14ac:dyDescent="0.15"/>
    <row r="28483" s="76" customFormat="1" ht="32.1" customHeight="1" x14ac:dyDescent="0.15"/>
    <row r="28484" s="76" customFormat="1" ht="32.1" customHeight="1" x14ac:dyDescent="0.15"/>
    <row r="28485" s="76" customFormat="1" ht="21.95" customHeight="1" x14ac:dyDescent="0.15"/>
    <row r="28486" s="76" customFormat="1" ht="54" customHeight="1" x14ac:dyDescent="0.15"/>
    <row r="28487" s="76" customFormat="1" ht="21.95" customHeight="1" x14ac:dyDescent="0.15"/>
    <row r="28488" s="76" customFormat="1" ht="21.95" customHeight="1" x14ac:dyDescent="0.15"/>
    <row r="28489" s="76" customFormat="1" ht="21.95" customHeight="1" x14ac:dyDescent="0.15"/>
    <row r="28490" s="76" customFormat="1" ht="21.95" customHeight="1" x14ac:dyDescent="0.15"/>
    <row r="28491" s="76" customFormat="1" ht="21.95" customHeight="1" x14ac:dyDescent="0.15"/>
    <row r="28492" s="76" customFormat="1" ht="21.95" customHeight="1" x14ac:dyDescent="0.15"/>
    <row r="28493" s="76" customFormat="1" ht="21.95" customHeight="1" x14ac:dyDescent="0.15"/>
    <row r="28494" s="76" customFormat="1" ht="21.95" customHeight="1" x14ac:dyDescent="0.15"/>
    <row r="28495" s="76" customFormat="1" ht="21.95" customHeight="1" x14ac:dyDescent="0.15"/>
    <row r="28496" s="76" customFormat="1" ht="21.95" customHeight="1" x14ac:dyDescent="0.15"/>
    <row r="28497" s="76" customFormat="1" ht="21.95" customHeight="1" x14ac:dyDescent="0.15"/>
    <row r="28498" s="76" customFormat="1" ht="21.95" customHeight="1" x14ac:dyDescent="0.15"/>
    <row r="28499" s="76" customFormat="1" ht="21.95" customHeight="1" x14ac:dyDescent="0.15"/>
    <row r="28500" s="76" customFormat="1" ht="21.95" customHeight="1" x14ac:dyDescent="0.15"/>
    <row r="28501" s="76" customFormat="1" ht="21.95" customHeight="1" x14ac:dyDescent="0.15"/>
    <row r="28502" s="76" customFormat="1" ht="21.95" customHeight="1" x14ac:dyDescent="0.15"/>
    <row r="28503" s="76" customFormat="1" ht="21.95" customHeight="1" x14ac:dyDescent="0.15"/>
    <row r="28504" s="76" customFormat="1" ht="21.95" customHeight="1" x14ac:dyDescent="0.15"/>
    <row r="28505" s="76" customFormat="1" ht="21.95" customHeight="1" x14ac:dyDescent="0.15"/>
    <row r="28506" s="76" customFormat="1" ht="21.95" customHeight="1" x14ac:dyDescent="0.15"/>
    <row r="28507" s="76" customFormat="1" ht="21.95" customHeight="1" x14ac:dyDescent="0.15"/>
    <row r="28508" s="76" customFormat="1" ht="21.95" customHeight="1" x14ac:dyDescent="0.15"/>
    <row r="28509" s="76" customFormat="1" ht="21.95" customHeight="1" x14ac:dyDescent="0.15"/>
    <row r="28510" s="76" customFormat="1" ht="21.95" customHeight="1" x14ac:dyDescent="0.15"/>
    <row r="28511" s="76" customFormat="1" ht="21.95" customHeight="1" x14ac:dyDescent="0.15"/>
    <row r="28512" s="76" customFormat="1" ht="21.95" customHeight="1" x14ac:dyDescent="0.15"/>
    <row r="28513" s="76" customFormat="1" ht="21.95" customHeight="1" x14ac:dyDescent="0.15"/>
    <row r="28514" s="76" customFormat="1" ht="21.95" customHeight="1" x14ac:dyDescent="0.15"/>
    <row r="28515" s="76" customFormat="1" ht="21.95" customHeight="1" x14ac:dyDescent="0.15"/>
    <row r="28516" s="76" customFormat="1" ht="21.95" customHeight="1" x14ac:dyDescent="0.15"/>
    <row r="28517" s="76" customFormat="1" ht="21.95" customHeight="1" x14ac:dyDescent="0.15"/>
    <row r="28518" s="76" customFormat="1" ht="21.95" customHeight="1" x14ac:dyDescent="0.15"/>
    <row r="28519" s="76" customFormat="1" ht="21.95" customHeight="1" x14ac:dyDescent="0.15"/>
    <row r="28520" s="76" customFormat="1" ht="21.95" customHeight="1" x14ac:dyDescent="0.15"/>
    <row r="28521" s="76" customFormat="1" ht="21.95" customHeight="1" x14ac:dyDescent="0.15"/>
    <row r="28522" s="76" customFormat="1" ht="21.95" customHeight="1" x14ac:dyDescent="0.15"/>
    <row r="28523" s="76" customFormat="1" ht="21.95" customHeight="1" x14ac:dyDescent="0.15"/>
    <row r="28524" s="76" customFormat="1" ht="21.95" customHeight="1" x14ac:dyDescent="0.15"/>
    <row r="28525" s="76" customFormat="1" ht="21.95" customHeight="1" x14ac:dyDescent="0.15"/>
    <row r="28526" s="76" customFormat="1" ht="21.95" customHeight="1" x14ac:dyDescent="0.15"/>
    <row r="28527" s="76" customFormat="1" ht="21.95" customHeight="1" x14ac:dyDescent="0.15"/>
    <row r="28528" s="76" customFormat="1" ht="21.95" customHeight="1" x14ac:dyDescent="0.15"/>
    <row r="28529" s="76" customFormat="1" ht="21.95" customHeight="1" x14ac:dyDescent="0.15"/>
    <row r="28530" s="76" customFormat="1" ht="21.95" customHeight="1" x14ac:dyDescent="0.15"/>
    <row r="28531" s="76" customFormat="1" ht="21.95" customHeight="1" x14ac:dyDescent="0.15"/>
    <row r="28532" s="76" customFormat="1" ht="21.95" customHeight="1" x14ac:dyDescent="0.15"/>
    <row r="28533" s="76" customFormat="1" ht="21.95" customHeight="1" x14ac:dyDescent="0.15"/>
    <row r="28534" s="76" customFormat="1" ht="21.95" customHeight="1" x14ac:dyDescent="0.15"/>
    <row r="28535" s="76" customFormat="1" ht="21.95" customHeight="1" x14ac:dyDescent="0.15"/>
    <row r="28536" s="76" customFormat="1" ht="21.95" customHeight="1" x14ac:dyDescent="0.15"/>
    <row r="28537" s="76" customFormat="1" ht="35.1" customHeight="1" x14ac:dyDescent="0.15"/>
    <row r="28538" s="76" customFormat="1" ht="21.95" customHeight="1" x14ac:dyDescent="0.15"/>
    <row r="28539" s="76" customFormat="1" ht="21.95" customHeight="1" x14ac:dyDescent="0.15"/>
    <row r="28540" s="76" customFormat="1" ht="21.95" customHeight="1" x14ac:dyDescent="0.15"/>
    <row r="28541" s="76" customFormat="1" ht="21.95" customHeight="1" x14ac:dyDescent="0.15"/>
    <row r="28542" s="76" customFormat="1" ht="21.95" customHeight="1" x14ac:dyDescent="0.15"/>
    <row r="28543" s="76" customFormat="1" ht="21.95" customHeight="1" x14ac:dyDescent="0.15"/>
    <row r="28544" s="76" customFormat="1" ht="21.95" customHeight="1" x14ac:dyDescent="0.15"/>
    <row r="28545" s="76" customFormat="1" ht="21.95" customHeight="1" x14ac:dyDescent="0.15"/>
    <row r="28546" s="76" customFormat="1" ht="21.95" customHeight="1" x14ac:dyDescent="0.15"/>
    <row r="28547" s="76" customFormat="1" ht="21.95" customHeight="1" x14ac:dyDescent="0.15"/>
    <row r="28548" s="76" customFormat="1" ht="21.95" customHeight="1" x14ac:dyDescent="0.15"/>
    <row r="28549" s="76" customFormat="1" ht="21.95" customHeight="1" x14ac:dyDescent="0.15"/>
    <row r="28550" s="76" customFormat="1" ht="21.95" customHeight="1" x14ac:dyDescent="0.15"/>
    <row r="28551" s="76" customFormat="1" ht="21.95" customHeight="1" x14ac:dyDescent="0.15"/>
    <row r="28552" s="76" customFormat="1" ht="21.95" customHeight="1" x14ac:dyDescent="0.15"/>
    <row r="28553" s="76" customFormat="1" ht="21.95" customHeight="1" x14ac:dyDescent="0.15"/>
    <row r="28554" s="76" customFormat="1" ht="21.95" customHeight="1" x14ac:dyDescent="0.15"/>
    <row r="28555" s="76" customFormat="1" ht="21.95" customHeight="1" x14ac:dyDescent="0.15"/>
    <row r="28556" s="76" customFormat="1" ht="21.95" customHeight="1" x14ac:dyDescent="0.15"/>
    <row r="28557" s="76" customFormat="1" ht="21.95" customHeight="1" x14ac:dyDescent="0.15"/>
    <row r="28558" s="76" customFormat="1" ht="21.95" customHeight="1" x14ac:dyDescent="0.15"/>
    <row r="28559" s="76" customFormat="1" ht="21.95" customHeight="1" x14ac:dyDescent="0.15"/>
    <row r="28560" s="76" customFormat="1" ht="21.95" customHeight="1" x14ac:dyDescent="0.15"/>
    <row r="28561" spans="3:3" customFormat="1" ht="21.95" customHeight="1" x14ac:dyDescent="0.15"/>
    <row r="28562" spans="3:3" customFormat="1" ht="21.95" customHeight="1" x14ac:dyDescent="0.15"/>
    <row r="28563" spans="3:3" customFormat="1" ht="21.95" customHeight="1" x14ac:dyDescent="0.15">
      <c r="C28563" s="94"/>
    </row>
    <row r="28564" spans="3:3" customFormat="1" ht="21.95" customHeight="1" x14ac:dyDescent="0.15">
      <c r="C28564" s="94"/>
    </row>
    <row r="28565" spans="3:3" customFormat="1" ht="21.95" customHeight="1" x14ac:dyDescent="0.15"/>
    <row r="28566" spans="3:3" customFormat="1" ht="21.95" customHeight="1" x14ac:dyDescent="0.15"/>
    <row r="28567" spans="3:3" customFormat="1" ht="21.95" customHeight="1" x14ac:dyDescent="0.15"/>
    <row r="28568" spans="3:3" customFormat="1" ht="21.95" customHeight="1" x14ac:dyDescent="0.15"/>
    <row r="28569" spans="3:3" customFormat="1" ht="21.95" customHeight="1" x14ac:dyDescent="0.15"/>
    <row r="28570" spans="3:3" customFormat="1" ht="21.95" customHeight="1" x14ac:dyDescent="0.15"/>
    <row r="28571" spans="3:3" customFormat="1" ht="21.95" customHeight="1" x14ac:dyDescent="0.15"/>
    <row r="28572" spans="3:3" s="76" customFormat="1" ht="21.95" customHeight="1" x14ac:dyDescent="0.15"/>
    <row r="28573" spans="3:3" s="76" customFormat="1" ht="21.95" customHeight="1" x14ac:dyDescent="0.15"/>
    <row r="28574" spans="3:3" s="76" customFormat="1" ht="21.95" customHeight="1" x14ac:dyDescent="0.15"/>
    <row r="28575" spans="3:3" s="76" customFormat="1" ht="21.95" customHeight="1" x14ac:dyDescent="0.15"/>
    <row r="28576" spans="3:3" customFormat="1" ht="21.95" customHeight="1" x14ac:dyDescent="0.15"/>
    <row r="28577" customFormat="1" ht="21.95" customHeight="1" x14ac:dyDescent="0.15"/>
    <row r="28578" customFormat="1" ht="21.95" customHeight="1" x14ac:dyDescent="0.15"/>
    <row r="28579" customFormat="1" ht="21.95" customHeight="1" x14ac:dyDescent="0.15"/>
    <row r="28580" customFormat="1" ht="21.95" customHeight="1" x14ac:dyDescent="0.15"/>
    <row r="28581" customFormat="1" ht="21.95" customHeight="1" x14ac:dyDescent="0.15"/>
    <row r="28582" customFormat="1" ht="21.95" customHeight="1" x14ac:dyDescent="0.15"/>
    <row r="28583" customFormat="1" ht="21.95" customHeight="1" x14ac:dyDescent="0.15"/>
    <row r="28584" customFormat="1" ht="21.95" customHeight="1" x14ac:dyDescent="0.15"/>
    <row r="28585" customFormat="1" ht="21.95" customHeight="1" x14ac:dyDescent="0.15"/>
    <row r="28586" customFormat="1" ht="21.95" customHeight="1" x14ac:dyDescent="0.15"/>
    <row r="28587" customFormat="1" ht="32.1" customHeight="1" x14ac:dyDescent="0.15"/>
    <row r="28588" customFormat="1" ht="32.1" customHeight="1" x14ac:dyDescent="0.15"/>
    <row r="28589" customFormat="1" ht="32.1" customHeight="1" x14ac:dyDescent="0.15"/>
    <row r="28590" customFormat="1" ht="32.1" customHeight="1" x14ac:dyDescent="0.15"/>
    <row r="28591" customFormat="1" ht="32.1" customHeight="1" x14ac:dyDescent="0.15"/>
    <row r="28592" customFormat="1" ht="32.1" customHeight="1" x14ac:dyDescent="0.15"/>
    <row r="28593" s="76" customFormat="1" ht="32.1" customHeight="1" x14ac:dyDescent="0.15"/>
    <row r="28594" s="76" customFormat="1" ht="32.1" customHeight="1" x14ac:dyDescent="0.15"/>
    <row r="28595" s="76" customFormat="1" ht="32.1" customHeight="1" x14ac:dyDescent="0.15"/>
    <row r="28596" s="76" customFormat="1" ht="32.1" customHeight="1" x14ac:dyDescent="0.15"/>
    <row r="28597" s="76" customFormat="1" ht="21.95" customHeight="1" x14ac:dyDescent="0.15"/>
    <row r="28598" s="76" customFormat="1" ht="54" customHeight="1" x14ac:dyDescent="0.15"/>
    <row r="28599" s="76" customFormat="1" ht="21.95" customHeight="1" x14ac:dyDescent="0.15"/>
    <row r="28600" s="76" customFormat="1" ht="21.95" customHeight="1" x14ac:dyDescent="0.15"/>
    <row r="28601" s="76" customFormat="1" ht="21.95" customHeight="1" x14ac:dyDescent="0.15"/>
    <row r="28602" s="76" customFormat="1" ht="21.95" customHeight="1" x14ac:dyDescent="0.15"/>
    <row r="28603" s="76" customFormat="1" ht="21.95" customHeight="1" x14ac:dyDescent="0.15"/>
    <row r="28604" s="76" customFormat="1" ht="21.95" customHeight="1" x14ac:dyDescent="0.15"/>
    <row r="28605" s="76" customFormat="1" ht="21.95" customHeight="1" x14ac:dyDescent="0.15"/>
    <row r="28606" s="76" customFormat="1" ht="21.95" customHeight="1" x14ac:dyDescent="0.15"/>
    <row r="28607" s="76" customFormat="1" ht="21.95" customHeight="1" x14ac:dyDescent="0.15"/>
    <row r="28608" s="76" customFormat="1" ht="21.95" customHeight="1" x14ac:dyDescent="0.15"/>
    <row r="28609" s="76" customFormat="1" ht="21.95" customHeight="1" x14ac:dyDescent="0.15"/>
    <row r="28610" s="76" customFormat="1" ht="21.95" customHeight="1" x14ac:dyDescent="0.15"/>
    <row r="28611" s="76" customFormat="1" ht="21.95" customHeight="1" x14ac:dyDescent="0.15"/>
    <row r="28612" s="76" customFormat="1" ht="21.95" customHeight="1" x14ac:dyDescent="0.15"/>
    <row r="28613" s="76" customFormat="1" ht="21.95" customHeight="1" x14ac:dyDescent="0.15"/>
    <row r="28614" s="76" customFormat="1" ht="21.95" customHeight="1" x14ac:dyDescent="0.15"/>
    <row r="28615" s="76" customFormat="1" ht="21.95" customHeight="1" x14ac:dyDescent="0.15"/>
    <row r="28616" s="76" customFormat="1" ht="21.95" customHeight="1" x14ac:dyDescent="0.15"/>
    <row r="28617" s="76" customFormat="1" ht="21.95" customHeight="1" x14ac:dyDescent="0.15"/>
    <row r="28618" s="76" customFormat="1" ht="21.95" customHeight="1" x14ac:dyDescent="0.15"/>
    <row r="28619" s="76" customFormat="1" ht="21.95" customHeight="1" x14ac:dyDescent="0.15"/>
    <row r="28620" s="76" customFormat="1" ht="21.95" customHeight="1" x14ac:dyDescent="0.15"/>
    <row r="28621" s="76" customFormat="1" ht="21.95" customHeight="1" x14ac:dyDescent="0.15"/>
    <row r="28622" s="76" customFormat="1" ht="21.95" customHeight="1" x14ac:dyDescent="0.15"/>
    <row r="28623" s="76" customFormat="1" ht="21.95" customHeight="1" x14ac:dyDescent="0.15"/>
    <row r="28624" s="76" customFormat="1" ht="21.95" customHeight="1" x14ac:dyDescent="0.15"/>
    <row r="28625" s="76" customFormat="1" ht="21.95" customHeight="1" x14ac:dyDescent="0.15"/>
    <row r="28626" s="76" customFormat="1" ht="21.95" customHeight="1" x14ac:dyDescent="0.15"/>
    <row r="28627" s="76" customFormat="1" ht="21.95" customHeight="1" x14ac:dyDescent="0.15"/>
    <row r="28628" s="76" customFormat="1" ht="21.95" customHeight="1" x14ac:dyDescent="0.15"/>
    <row r="28629" s="76" customFormat="1" ht="21.95" customHeight="1" x14ac:dyDescent="0.15"/>
    <row r="28630" s="76" customFormat="1" ht="21.95" customHeight="1" x14ac:dyDescent="0.15"/>
    <row r="28631" s="76" customFormat="1" ht="21.95" customHeight="1" x14ac:dyDescent="0.15"/>
    <row r="28632" s="76" customFormat="1" ht="21.95" customHeight="1" x14ac:dyDescent="0.15"/>
    <row r="28633" s="76" customFormat="1" ht="21.95" customHeight="1" x14ac:dyDescent="0.15"/>
    <row r="28634" s="76" customFormat="1" ht="21.95" customHeight="1" x14ac:dyDescent="0.15"/>
    <row r="28635" s="76" customFormat="1" ht="21.95" customHeight="1" x14ac:dyDescent="0.15"/>
    <row r="28636" s="76" customFormat="1" ht="21.95" customHeight="1" x14ac:dyDescent="0.15"/>
    <row r="28637" s="76" customFormat="1" ht="21.95" customHeight="1" x14ac:dyDescent="0.15"/>
    <row r="28638" s="76" customFormat="1" ht="21.95" customHeight="1" x14ac:dyDescent="0.15"/>
    <row r="28639" s="76" customFormat="1" ht="21.95" customHeight="1" x14ac:dyDescent="0.15"/>
    <row r="28640" s="76" customFormat="1" ht="21.95" customHeight="1" x14ac:dyDescent="0.15"/>
    <row r="28641" s="76" customFormat="1" ht="21.95" customHeight="1" x14ac:dyDescent="0.15"/>
    <row r="28642" s="76" customFormat="1" ht="21.95" customHeight="1" x14ac:dyDescent="0.15"/>
    <row r="28643" s="76" customFormat="1" ht="21.95" customHeight="1" x14ac:dyDescent="0.15"/>
    <row r="28644" s="76" customFormat="1" ht="21.95" customHeight="1" x14ac:dyDescent="0.15"/>
    <row r="28645" s="76" customFormat="1" ht="21.95" customHeight="1" x14ac:dyDescent="0.15"/>
    <row r="28646" s="76" customFormat="1" ht="21.95" customHeight="1" x14ac:dyDescent="0.15"/>
    <row r="28647" s="76" customFormat="1" ht="21.95" customHeight="1" x14ac:dyDescent="0.15"/>
    <row r="28648" s="76" customFormat="1" ht="21.95" customHeight="1" x14ac:dyDescent="0.15"/>
    <row r="28649" s="76" customFormat="1" ht="35.1" customHeight="1" x14ac:dyDescent="0.15"/>
    <row r="28650" s="76" customFormat="1" ht="21.95" customHeight="1" x14ac:dyDescent="0.15"/>
    <row r="28651" s="76" customFormat="1" ht="21.95" customHeight="1" x14ac:dyDescent="0.15"/>
    <row r="28652" s="76" customFormat="1" ht="21.95" customHeight="1" x14ac:dyDescent="0.15"/>
    <row r="28653" s="76" customFormat="1" ht="21.95" customHeight="1" x14ac:dyDescent="0.15"/>
    <row r="28654" s="76" customFormat="1" ht="21.95" customHeight="1" x14ac:dyDescent="0.15"/>
    <row r="28655" s="76" customFormat="1" ht="21.95" customHeight="1" x14ac:dyDescent="0.15"/>
    <row r="28656" s="76" customFormat="1" ht="21.95" customHeight="1" x14ac:dyDescent="0.15"/>
    <row r="28657" s="76" customFormat="1" ht="21.95" customHeight="1" x14ac:dyDescent="0.15"/>
    <row r="28658" s="76" customFormat="1" ht="21.95" customHeight="1" x14ac:dyDescent="0.15"/>
    <row r="28659" s="76" customFormat="1" ht="21.95" customHeight="1" x14ac:dyDescent="0.15"/>
    <row r="28660" s="76" customFormat="1" ht="21.95" customHeight="1" x14ac:dyDescent="0.15"/>
    <row r="28661" s="76" customFormat="1" ht="21.95" customHeight="1" x14ac:dyDescent="0.15"/>
    <row r="28662" s="76" customFormat="1" ht="21.95" customHeight="1" x14ac:dyDescent="0.15"/>
    <row r="28663" s="76" customFormat="1" ht="21.95" customHeight="1" x14ac:dyDescent="0.15"/>
    <row r="28664" s="76" customFormat="1" ht="21.95" customHeight="1" x14ac:dyDescent="0.15"/>
    <row r="28665" s="76" customFormat="1" ht="21.95" customHeight="1" x14ac:dyDescent="0.15"/>
    <row r="28666" s="76" customFormat="1" ht="21.95" customHeight="1" x14ac:dyDescent="0.15"/>
    <row r="28667" s="76" customFormat="1" ht="21.95" customHeight="1" x14ac:dyDescent="0.15"/>
    <row r="28668" s="76" customFormat="1" ht="21.95" customHeight="1" x14ac:dyDescent="0.15"/>
    <row r="28669" s="76" customFormat="1" ht="21.95" customHeight="1" x14ac:dyDescent="0.15"/>
    <row r="28670" s="76" customFormat="1" ht="21.95" customHeight="1" x14ac:dyDescent="0.15"/>
    <row r="28671" s="76" customFormat="1" ht="21.95" customHeight="1" x14ac:dyDescent="0.15"/>
    <row r="28672" s="76" customFormat="1" ht="21.95" customHeight="1" x14ac:dyDescent="0.15"/>
    <row r="28673" spans="3:3" customFormat="1" ht="21.95" customHeight="1" x14ac:dyDescent="0.15"/>
    <row r="28674" spans="3:3" customFormat="1" ht="21.95" customHeight="1" x14ac:dyDescent="0.15"/>
    <row r="28675" spans="3:3" customFormat="1" ht="21.95" customHeight="1" x14ac:dyDescent="0.15">
      <c r="C28675" s="94"/>
    </row>
    <row r="28676" spans="3:3" customFormat="1" ht="21.95" customHeight="1" x14ac:dyDescent="0.15">
      <c r="C28676" s="94"/>
    </row>
    <row r="28677" spans="3:3" customFormat="1" ht="21.95" customHeight="1" x14ac:dyDescent="0.15"/>
    <row r="28678" spans="3:3" customFormat="1" ht="21.95" customHeight="1" x14ac:dyDescent="0.15"/>
    <row r="28679" spans="3:3" customFormat="1" ht="21.95" customHeight="1" x14ac:dyDescent="0.15"/>
    <row r="28680" spans="3:3" customFormat="1" ht="21.95" customHeight="1" x14ac:dyDescent="0.15"/>
    <row r="28681" spans="3:3" customFormat="1" ht="21.95" customHeight="1" x14ac:dyDescent="0.15"/>
    <row r="28682" spans="3:3" customFormat="1" ht="21.95" customHeight="1" x14ac:dyDescent="0.15"/>
    <row r="28683" spans="3:3" customFormat="1" ht="21.95" customHeight="1" x14ac:dyDescent="0.15"/>
    <row r="28684" spans="3:3" s="76" customFormat="1" ht="21.95" customHeight="1" x14ac:dyDescent="0.15"/>
    <row r="28685" spans="3:3" s="76" customFormat="1" ht="21.95" customHeight="1" x14ac:dyDescent="0.15"/>
    <row r="28686" spans="3:3" s="76" customFormat="1" ht="21.95" customHeight="1" x14ac:dyDescent="0.15"/>
    <row r="28687" spans="3:3" s="76" customFormat="1" ht="21.95" customHeight="1" x14ac:dyDescent="0.15"/>
    <row r="28688" spans="3:3" customFormat="1" ht="21.95" customHeight="1" x14ac:dyDescent="0.15"/>
    <row r="28689" customFormat="1" ht="21.95" customHeight="1" x14ac:dyDescent="0.15"/>
    <row r="28690" customFormat="1" ht="21.95" customHeight="1" x14ac:dyDescent="0.15"/>
    <row r="28691" customFormat="1" ht="21.95" customHeight="1" x14ac:dyDescent="0.15"/>
    <row r="28692" customFormat="1" ht="21.95" customHeight="1" x14ac:dyDescent="0.15"/>
    <row r="28693" customFormat="1" ht="21.95" customHeight="1" x14ac:dyDescent="0.15"/>
    <row r="28694" customFormat="1" ht="21.95" customHeight="1" x14ac:dyDescent="0.15"/>
    <row r="28695" customFormat="1" ht="21.95" customHeight="1" x14ac:dyDescent="0.15"/>
    <row r="28696" customFormat="1" ht="21.95" customHeight="1" x14ac:dyDescent="0.15"/>
    <row r="28697" customFormat="1" ht="21.95" customHeight="1" x14ac:dyDescent="0.15"/>
    <row r="28698" customFormat="1" ht="21.95" customHeight="1" x14ac:dyDescent="0.15"/>
    <row r="28699" customFormat="1" ht="32.1" customHeight="1" x14ac:dyDescent="0.15"/>
    <row r="28700" customFormat="1" ht="32.1" customHeight="1" x14ac:dyDescent="0.15"/>
    <row r="28701" customFormat="1" ht="32.1" customHeight="1" x14ac:dyDescent="0.15"/>
    <row r="28702" customFormat="1" ht="32.1" customHeight="1" x14ac:dyDescent="0.15"/>
    <row r="28703" customFormat="1" ht="32.1" customHeight="1" x14ac:dyDescent="0.15"/>
    <row r="28704" customFormat="1" ht="32.1" customHeight="1" x14ac:dyDescent="0.15"/>
    <row r="28705" s="76" customFormat="1" ht="32.1" customHeight="1" x14ac:dyDescent="0.15"/>
    <row r="28706" s="76" customFormat="1" ht="32.1" customHeight="1" x14ac:dyDescent="0.15"/>
    <row r="28707" s="76" customFormat="1" ht="32.1" customHeight="1" x14ac:dyDescent="0.15"/>
    <row r="28708" s="76" customFormat="1" ht="32.1" customHeight="1" x14ac:dyDescent="0.15"/>
    <row r="28709" s="76" customFormat="1" ht="21.95" customHeight="1" x14ac:dyDescent="0.15"/>
    <row r="28710" s="76" customFormat="1" ht="54" customHeight="1" x14ac:dyDescent="0.15"/>
    <row r="28711" s="76" customFormat="1" ht="21.95" customHeight="1" x14ac:dyDescent="0.15"/>
    <row r="28712" s="76" customFormat="1" ht="21.95" customHeight="1" x14ac:dyDescent="0.15"/>
    <row r="28713" s="76" customFormat="1" ht="21.95" customHeight="1" x14ac:dyDescent="0.15"/>
    <row r="28714" s="76" customFormat="1" ht="21.95" customHeight="1" x14ac:dyDescent="0.15"/>
    <row r="28715" s="76" customFormat="1" ht="21.95" customHeight="1" x14ac:dyDescent="0.15"/>
    <row r="28716" s="76" customFormat="1" ht="21.95" customHeight="1" x14ac:dyDescent="0.15"/>
    <row r="28717" s="76" customFormat="1" ht="21.95" customHeight="1" x14ac:dyDescent="0.15"/>
    <row r="28718" s="76" customFormat="1" ht="21.95" customHeight="1" x14ac:dyDescent="0.15"/>
    <row r="28719" s="76" customFormat="1" ht="21.95" customHeight="1" x14ac:dyDescent="0.15"/>
    <row r="28720" s="76" customFormat="1" ht="21.95" customHeight="1" x14ac:dyDescent="0.15"/>
    <row r="28721" s="76" customFormat="1" ht="21.95" customHeight="1" x14ac:dyDescent="0.15"/>
    <row r="28722" s="76" customFormat="1" ht="21.95" customHeight="1" x14ac:dyDescent="0.15"/>
    <row r="28723" s="76" customFormat="1" ht="21.95" customHeight="1" x14ac:dyDescent="0.15"/>
    <row r="28724" s="76" customFormat="1" ht="21.95" customHeight="1" x14ac:dyDescent="0.15"/>
    <row r="28725" s="76" customFormat="1" ht="21.95" customHeight="1" x14ac:dyDescent="0.15"/>
    <row r="28726" s="76" customFormat="1" ht="21.95" customHeight="1" x14ac:dyDescent="0.15"/>
    <row r="28727" s="76" customFormat="1" ht="21.95" customHeight="1" x14ac:dyDescent="0.15"/>
    <row r="28728" s="76" customFormat="1" ht="21.95" customHeight="1" x14ac:dyDescent="0.15"/>
    <row r="28729" s="76" customFormat="1" ht="21.95" customHeight="1" x14ac:dyDescent="0.15"/>
    <row r="28730" s="76" customFormat="1" ht="21.95" customHeight="1" x14ac:dyDescent="0.15"/>
    <row r="28731" s="76" customFormat="1" ht="21.95" customHeight="1" x14ac:dyDescent="0.15"/>
    <row r="28732" s="76" customFormat="1" ht="21.95" customHeight="1" x14ac:dyDescent="0.15"/>
    <row r="28733" s="76" customFormat="1" ht="21.95" customHeight="1" x14ac:dyDescent="0.15"/>
    <row r="28734" s="76" customFormat="1" ht="21.95" customHeight="1" x14ac:dyDescent="0.15"/>
    <row r="28735" s="76" customFormat="1" ht="21.95" customHeight="1" x14ac:dyDescent="0.15"/>
    <row r="28736" s="76" customFormat="1" ht="21.95" customHeight="1" x14ac:dyDescent="0.15"/>
    <row r="28737" s="76" customFormat="1" ht="21.95" customHeight="1" x14ac:dyDescent="0.15"/>
    <row r="28738" s="76" customFormat="1" ht="21.95" customHeight="1" x14ac:dyDescent="0.15"/>
    <row r="28739" s="76" customFormat="1" ht="21.95" customHeight="1" x14ac:dyDescent="0.15"/>
    <row r="28740" s="76" customFormat="1" ht="21.95" customHeight="1" x14ac:dyDescent="0.15"/>
    <row r="28741" s="76" customFormat="1" ht="21.95" customHeight="1" x14ac:dyDescent="0.15"/>
    <row r="28742" s="76" customFormat="1" ht="21.95" customHeight="1" x14ac:dyDescent="0.15"/>
    <row r="28743" s="76" customFormat="1" ht="21.95" customHeight="1" x14ac:dyDescent="0.15"/>
    <row r="28744" s="76" customFormat="1" ht="21.95" customHeight="1" x14ac:dyDescent="0.15"/>
    <row r="28745" s="76" customFormat="1" ht="21.95" customHeight="1" x14ac:dyDescent="0.15"/>
    <row r="28746" s="76" customFormat="1" ht="21.95" customHeight="1" x14ac:dyDescent="0.15"/>
    <row r="28747" s="76" customFormat="1" ht="21.95" customHeight="1" x14ac:dyDescent="0.15"/>
    <row r="28748" s="76" customFormat="1" ht="21.95" customHeight="1" x14ac:dyDescent="0.15"/>
    <row r="28749" s="76" customFormat="1" ht="21.95" customHeight="1" x14ac:dyDescent="0.15"/>
    <row r="28750" s="76" customFormat="1" ht="21.95" customHeight="1" x14ac:dyDescent="0.15"/>
    <row r="28751" s="76" customFormat="1" ht="21.95" customHeight="1" x14ac:dyDescent="0.15"/>
    <row r="28752" s="76" customFormat="1" ht="21.95" customHeight="1" x14ac:dyDescent="0.15"/>
    <row r="28753" s="76" customFormat="1" ht="21.95" customHeight="1" x14ac:dyDescent="0.15"/>
    <row r="28754" s="76" customFormat="1" ht="21.95" customHeight="1" x14ac:dyDescent="0.15"/>
    <row r="28755" s="76" customFormat="1" ht="21.95" customHeight="1" x14ac:dyDescent="0.15"/>
    <row r="28756" s="76" customFormat="1" ht="21.95" customHeight="1" x14ac:dyDescent="0.15"/>
    <row r="28757" s="76" customFormat="1" ht="21.95" customHeight="1" x14ac:dyDescent="0.15"/>
    <row r="28758" s="76" customFormat="1" ht="21.95" customHeight="1" x14ac:dyDescent="0.15"/>
    <row r="28759" s="76" customFormat="1" ht="21.95" customHeight="1" x14ac:dyDescent="0.15"/>
    <row r="28760" s="76" customFormat="1" ht="21.95" customHeight="1" x14ac:dyDescent="0.15"/>
    <row r="28761" s="76" customFormat="1" ht="35.1" customHeight="1" x14ac:dyDescent="0.15"/>
    <row r="28762" s="76" customFormat="1" ht="21.95" customHeight="1" x14ac:dyDescent="0.15"/>
    <row r="28763" s="76" customFormat="1" ht="21.95" customHeight="1" x14ac:dyDescent="0.15"/>
    <row r="28764" s="76" customFormat="1" ht="21.95" customHeight="1" x14ac:dyDescent="0.15"/>
    <row r="28765" s="76" customFormat="1" ht="21.95" customHeight="1" x14ac:dyDescent="0.15"/>
    <row r="28766" s="76" customFormat="1" ht="21.95" customHeight="1" x14ac:dyDescent="0.15"/>
    <row r="28767" s="76" customFormat="1" ht="21.95" customHeight="1" x14ac:dyDescent="0.15"/>
    <row r="28768" s="76" customFormat="1" ht="21.95" customHeight="1" x14ac:dyDescent="0.15"/>
    <row r="28769" s="76" customFormat="1" ht="21.95" customHeight="1" x14ac:dyDescent="0.15"/>
    <row r="28770" s="76" customFormat="1" ht="21.95" customHeight="1" x14ac:dyDescent="0.15"/>
    <row r="28771" s="76" customFormat="1" ht="21.95" customHeight="1" x14ac:dyDescent="0.15"/>
    <row r="28772" s="76" customFormat="1" ht="21.95" customHeight="1" x14ac:dyDescent="0.15"/>
    <row r="28773" s="76" customFormat="1" ht="21.95" customHeight="1" x14ac:dyDescent="0.15"/>
    <row r="28774" s="76" customFormat="1" ht="21.95" customHeight="1" x14ac:dyDescent="0.15"/>
    <row r="28775" s="76" customFormat="1" ht="21.95" customHeight="1" x14ac:dyDescent="0.15"/>
    <row r="28776" s="76" customFormat="1" ht="21.95" customHeight="1" x14ac:dyDescent="0.15"/>
    <row r="28777" s="76" customFormat="1" ht="21.95" customHeight="1" x14ac:dyDescent="0.15"/>
    <row r="28778" s="76" customFormat="1" ht="21.95" customHeight="1" x14ac:dyDescent="0.15"/>
    <row r="28779" s="76" customFormat="1" ht="21.95" customHeight="1" x14ac:dyDescent="0.15"/>
    <row r="28780" s="76" customFormat="1" ht="21.95" customHeight="1" x14ac:dyDescent="0.15"/>
    <row r="28781" s="76" customFormat="1" ht="21.95" customHeight="1" x14ac:dyDescent="0.15"/>
    <row r="28782" s="76" customFormat="1" ht="21.95" customHeight="1" x14ac:dyDescent="0.15"/>
    <row r="28783" s="76" customFormat="1" ht="21.95" customHeight="1" x14ac:dyDescent="0.15"/>
    <row r="28784" s="76" customFormat="1" ht="21.95" customHeight="1" x14ac:dyDescent="0.15"/>
    <row r="28785" spans="3:3" customFormat="1" ht="21.95" customHeight="1" x14ac:dyDescent="0.15"/>
    <row r="28786" spans="3:3" customFormat="1" ht="21.95" customHeight="1" x14ac:dyDescent="0.15"/>
    <row r="28787" spans="3:3" customFormat="1" ht="21.95" customHeight="1" x14ac:dyDescent="0.15">
      <c r="C28787" s="94"/>
    </row>
    <row r="28788" spans="3:3" customFormat="1" ht="21.95" customHeight="1" x14ac:dyDescent="0.15">
      <c r="C28788" s="94"/>
    </row>
    <row r="28789" spans="3:3" customFormat="1" ht="21.95" customHeight="1" x14ac:dyDescent="0.15"/>
    <row r="28790" spans="3:3" customFormat="1" ht="21.95" customHeight="1" x14ac:dyDescent="0.15"/>
    <row r="28791" spans="3:3" customFormat="1" ht="21.95" customHeight="1" x14ac:dyDescent="0.15"/>
    <row r="28792" spans="3:3" customFormat="1" ht="21.95" customHeight="1" x14ac:dyDescent="0.15"/>
    <row r="28793" spans="3:3" customFormat="1" ht="21.95" customHeight="1" x14ac:dyDescent="0.15"/>
    <row r="28794" spans="3:3" customFormat="1" ht="21.95" customHeight="1" x14ac:dyDescent="0.15"/>
    <row r="28795" spans="3:3" customFormat="1" ht="21.95" customHeight="1" x14ac:dyDescent="0.15"/>
    <row r="28796" spans="3:3" s="76" customFormat="1" ht="21.95" customHeight="1" x14ac:dyDescent="0.15"/>
    <row r="28797" spans="3:3" s="76" customFormat="1" ht="21.95" customHeight="1" x14ac:dyDescent="0.15"/>
    <row r="28798" spans="3:3" s="76" customFormat="1" ht="21.95" customHeight="1" x14ac:dyDescent="0.15"/>
    <row r="28799" spans="3:3" s="76" customFormat="1" ht="21.95" customHeight="1" x14ac:dyDescent="0.15"/>
    <row r="28800" spans="3:3" customFormat="1" ht="21.95" customHeight="1" x14ac:dyDescent="0.15"/>
    <row r="28801" customFormat="1" ht="21.95" customHeight="1" x14ac:dyDescent="0.15"/>
    <row r="28802" customFormat="1" ht="21.95" customHeight="1" x14ac:dyDescent="0.15"/>
    <row r="28803" customFormat="1" ht="21.95" customHeight="1" x14ac:dyDescent="0.15"/>
    <row r="28804" customFormat="1" ht="21.95" customHeight="1" x14ac:dyDescent="0.15"/>
    <row r="28805" customFormat="1" ht="21.95" customHeight="1" x14ac:dyDescent="0.15"/>
    <row r="28806" customFormat="1" ht="21.95" customHeight="1" x14ac:dyDescent="0.15"/>
    <row r="28807" customFormat="1" ht="21.95" customHeight="1" x14ac:dyDescent="0.15"/>
    <row r="28808" customFormat="1" ht="21.95" customHeight="1" x14ac:dyDescent="0.15"/>
    <row r="28809" customFormat="1" ht="21.95" customHeight="1" x14ac:dyDescent="0.15"/>
    <row r="28810" customFormat="1" ht="21.95" customHeight="1" x14ac:dyDescent="0.15"/>
    <row r="28811" customFormat="1" ht="32.1" customHeight="1" x14ac:dyDescent="0.15"/>
    <row r="28812" customFormat="1" ht="32.1" customHeight="1" x14ac:dyDescent="0.15"/>
    <row r="28813" customFormat="1" ht="32.1" customHeight="1" x14ac:dyDescent="0.15"/>
    <row r="28814" customFormat="1" ht="32.1" customHeight="1" x14ac:dyDescent="0.15"/>
    <row r="28815" customFormat="1" ht="32.1" customHeight="1" x14ac:dyDescent="0.15"/>
    <row r="28816" customFormat="1" ht="32.1" customHeight="1" x14ac:dyDescent="0.15"/>
    <row r="28817" s="76" customFormat="1" ht="32.1" customHeight="1" x14ac:dyDescent="0.15"/>
    <row r="28818" s="76" customFormat="1" ht="32.1" customHeight="1" x14ac:dyDescent="0.15"/>
    <row r="28819" s="76" customFormat="1" ht="32.1" customHeight="1" x14ac:dyDescent="0.15"/>
    <row r="28820" s="76" customFormat="1" ht="32.1" customHeight="1" x14ac:dyDescent="0.15"/>
    <row r="28821" s="76" customFormat="1" ht="21.95" customHeight="1" x14ac:dyDescent="0.15"/>
    <row r="28822" s="76" customFormat="1" ht="54" customHeight="1" x14ac:dyDescent="0.15"/>
    <row r="28823" s="76" customFormat="1" ht="21.95" customHeight="1" x14ac:dyDescent="0.15"/>
    <row r="28824" s="76" customFormat="1" ht="21.95" customHeight="1" x14ac:dyDescent="0.15"/>
    <row r="28825" s="76" customFormat="1" ht="21.95" customHeight="1" x14ac:dyDescent="0.15"/>
    <row r="28826" s="76" customFormat="1" ht="21.95" customHeight="1" x14ac:dyDescent="0.15"/>
    <row r="28827" s="76" customFormat="1" ht="21.95" customHeight="1" x14ac:dyDescent="0.15"/>
    <row r="28828" s="76" customFormat="1" ht="21.95" customHeight="1" x14ac:dyDescent="0.15"/>
    <row r="28829" s="76" customFormat="1" ht="21.95" customHeight="1" x14ac:dyDescent="0.15"/>
    <row r="28830" s="76" customFormat="1" ht="21.95" customHeight="1" x14ac:dyDescent="0.15"/>
    <row r="28831" s="76" customFormat="1" ht="21.95" customHeight="1" x14ac:dyDescent="0.15"/>
    <row r="28832" s="76" customFormat="1" ht="21.95" customHeight="1" x14ac:dyDescent="0.15"/>
    <row r="28833" s="76" customFormat="1" ht="21.95" customHeight="1" x14ac:dyDescent="0.15"/>
    <row r="28834" s="76" customFormat="1" ht="21.95" customHeight="1" x14ac:dyDescent="0.15"/>
    <row r="28835" s="76" customFormat="1" ht="21.95" customHeight="1" x14ac:dyDescent="0.15"/>
    <row r="28836" s="76" customFormat="1" ht="21.95" customHeight="1" x14ac:dyDescent="0.15"/>
    <row r="28837" s="76" customFormat="1" ht="21.95" customHeight="1" x14ac:dyDescent="0.15"/>
    <row r="28838" s="76" customFormat="1" ht="21.95" customHeight="1" x14ac:dyDescent="0.15"/>
    <row r="28839" s="76" customFormat="1" ht="21.95" customHeight="1" x14ac:dyDescent="0.15"/>
    <row r="28840" s="76" customFormat="1" ht="21.95" customHeight="1" x14ac:dyDescent="0.15"/>
    <row r="28841" s="76" customFormat="1" ht="21.95" customHeight="1" x14ac:dyDescent="0.15"/>
    <row r="28842" s="76" customFormat="1" ht="21.95" customHeight="1" x14ac:dyDescent="0.15"/>
    <row r="28843" s="76" customFormat="1" ht="21.95" customHeight="1" x14ac:dyDescent="0.15"/>
    <row r="28844" s="76" customFormat="1" ht="21.95" customHeight="1" x14ac:dyDescent="0.15"/>
    <row r="28845" s="76" customFormat="1" ht="21.95" customHeight="1" x14ac:dyDescent="0.15"/>
    <row r="28846" s="76" customFormat="1" ht="21.95" customHeight="1" x14ac:dyDescent="0.15"/>
    <row r="28847" s="76" customFormat="1" ht="21.95" customHeight="1" x14ac:dyDescent="0.15"/>
    <row r="28848" s="76" customFormat="1" ht="21.95" customHeight="1" x14ac:dyDescent="0.15"/>
    <row r="28849" s="76" customFormat="1" ht="21.95" customHeight="1" x14ac:dyDescent="0.15"/>
    <row r="28850" s="76" customFormat="1" ht="21.95" customHeight="1" x14ac:dyDescent="0.15"/>
    <row r="28851" s="76" customFormat="1" ht="21.95" customHeight="1" x14ac:dyDescent="0.15"/>
    <row r="28852" s="76" customFormat="1" ht="21.95" customHeight="1" x14ac:dyDescent="0.15"/>
    <row r="28853" s="76" customFormat="1" ht="21.95" customHeight="1" x14ac:dyDescent="0.15"/>
    <row r="28854" s="76" customFormat="1" ht="21.95" customHeight="1" x14ac:dyDescent="0.15"/>
    <row r="28855" s="76" customFormat="1" ht="21.95" customHeight="1" x14ac:dyDescent="0.15"/>
    <row r="28856" s="76" customFormat="1" ht="21.95" customHeight="1" x14ac:dyDescent="0.15"/>
    <row r="28857" s="76" customFormat="1" ht="21.95" customHeight="1" x14ac:dyDescent="0.15"/>
    <row r="28858" s="76" customFormat="1" ht="21.95" customHeight="1" x14ac:dyDescent="0.15"/>
    <row r="28859" s="76" customFormat="1" ht="21.95" customHeight="1" x14ac:dyDescent="0.15"/>
    <row r="28860" s="76" customFormat="1" ht="21.95" customHeight="1" x14ac:dyDescent="0.15"/>
    <row r="28861" s="76" customFormat="1" ht="21.95" customHeight="1" x14ac:dyDescent="0.15"/>
    <row r="28862" s="76" customFormat="1" ht="21.95" customHeight="1" x14ac:dyDescent="0.15"/>
    <row r="28863" s="76" customFormat="1" ht="21.95" customHeight="1" x14ac:dyDescent="0.15"/>
    <row r="28864" s="76" customFormat="1" ht="21.95" customHeight="1" x14ac:dyDescent="0.15"/>
    <row r="28865" s="76" customFormat="1" ht="21.95" customHeight="1" x14ac:dyDescent="0.15"/>
    <row r="28866" s="76" customFormat="1" ht="21.95" customHeight="1" x14ac:dyDescent="0.15"/>
    <row r="28867" s="76" customFormat="1" ht="21.95" customHeight="1" x14ac:dyDescent="0.15"/>
    <row r="28868" s="76" customFormat="1" ht="21.95" customHeight="1" x14ac:dyDescent="0.15"/>
    <row r="28869" s="76" customFormat="1" ht="21.95" customHeight="1" x14ac:dyDescent="0.15"/>
    <row r="28870" s="76" customFormat="1" ht="21.95" customHeight="1" x14ac:dyDescent="0.15"/>
    <row r="28871" s="76" customFormat="1" ht="21.95" customHeight="1" x14ac:dyDescent="0.15"/>
    <row r="28872" s="76" customFormat="1" ht="21.95" customHeight="1" x14ac:dyDescent="0.15"/>
    <row r="28873" s="76" customFormat="1" ht="35.1" customHeight="1" x14ac:dyDescent="0.15"/>
    <row r="28874" s="76" customFormat="1" ht="21.95" customHeight="1" x14ac:dyDescent="0.15"/>
    <row r="28875" s="76" customFormat="1" ht="21.95" customHeight="1" x14ac:dyDescent="0.15"/>
    <row r="28876" s="76" customFormat="1" ht="21.95" customHeight="1" x14ac:dyDescent="0.15"/>
    <row r="28877" s="76" customFormat="1" ht="21.95" customHeight="1" x14ac:dyDescent="0.15"/>
    <row r="28878" s="76" customFormat="1" ht="21.95" customHeight="1" x14ac:dyDescent="0.15"/>
    <row r="28879" s="76" customFormat="1" ht="21.95" customHeight="1" x14ac:dyDescent="0.15"/>
    <row r="28880" s="76" customFormat="1" ht="21.95" customHeight="1" x14ac:dyDescent="0.15"/>
    <row r="28881" s="76" customFormat="1" ht="21.95" customHeight="1" x14ac:dyDescent="0.15"/>
    <row r="28882" s="76" customFormat="1" ht="21.95" customHeight="1" x14ac:dyDescent="0.15"/>
    <row r="28883" s="76" customFormat="1" ht="21.95" customHeight="1" x14ac:dyDescent="0.15"/>
    <row r="28884" s="76" customFormat="1" ht="21.95" customHeight="1" x14ac:dyDescent="0.15"/>
    <row r="28885" s="76" customFormat="1" ht="21.95" customHeight="1" x14ac:dyDescent="0.15"/>
    <row r="28886" s="76" customFormat="1" ht="21.95" customHeight="1" x14ac:dyDescent="0.15"/>
    <row r="28887" s="76" customFormat="1" ht="21.95" customHeight="1" x14ac:dyDescent="0.15"/>
    <row r="28888" s="76" customFormat="1" ht="21.95" customHeight="1" x14ac:dyDescent="0.15"/>
    <row r="28889" s="76" customFormat="1" ht="21.95" customHeight="1" x14ac:dyDescent="0.15"/>
    <row r="28890" s="76" customFormat="1" ht="21.95" customHeight="1" x14ac:dyDescent="0.15"/>
    <row r="28891" s="76" customFormat="1" ht="21.95" customHeight="1" x14ac:dyDescent="0.15"/>
    <row r="28892" s="76" customFormat="1" ht="21.95" customHeight="1" x14ac:dyDescent="0.15"/>
    <row r="28893" s="76" customFormat="1" ht="21.95" customHeight="1" x14ac:dyDescent="0.15"/>
    <row r="28894" s="76" customFormat="1" ht="21.95" customHeight="1" x14ac:dyDescent="0.15"/>
    <row r="28895" s="76" customFormat="1" ht="21.95" customHeight="1" x14ac:dyDescent="0.15"/>
    <row r="28896" s="76" customFormat="1" ht="21.95" customHeight="1" x14ac:dyDescent="0.15"/>
    <row r="28897" spans="3:3" customFormat="1" ht="21.95" customHeight="1" x14ac:dyDescent="0.15"/>
    <row r="28898" spans="3:3" customFormat="1" ht="21.95" customHeight="1" x14ac:dyDescent="0.15"/>
    <row r="28899" spans="3:3" customFormat="1" ht="21.95" customHeight="1" x14ac:dyDescent="0.15">
      <c r="C28899" s="94"/>
    </row>
    <row r="28900" spans="3:3" customFormat="1" ht="21.95" customHeight="1" x14ac:dyDescent="0.15">
      <c r="C28900" s="94"/>
    </row>
    <row r="28901" spans="3:3" customFormat="1" ht="21.95" customHeight="1" x14ac:dyDescent="0.15"/>
    <row r="28902" spans="3:3" customFormat="1" ht="21.95" customHeight="1" x14ac:dyDescent="0.15"/>
    <row r="28903" spans="3:3" customFormat="1" ht="21.95" customHeight="1" x14ac:dyDescent="0.15"/>
    <row r="28904" spans="3:3" customFormat="1" ht="21.95" customHeight="1" x14ac:dyDescent="0.15"/>
    <row r="28905" spans="3:3" customFormat="1" ht="21.95" customHeight="1" x14ac:dyDescent="0.15"/>
    <row r="28906" spans="3:3" customFormat="1" ht="21.95" customHeight="1" x14ac:dyDescent="0.15"/>
    <row r="28907" spans="3:3" customFormat="1" ht="21.95" customHeight="1" x14ac:dyDescent="0.15"/>
    <row r="28908" spans="3:3" s="76" customFormat="1" ht="21.95" customHeight="1" x14ac:dyDescent="0.15"/>
    <row r="28909" spans="3:3" s="76" customFormat="1" ht="21.95" customHeight="1" x14ac:dyDescent="0.15"/>
    <row r="28910" spans="3:3" s="76" customFormat="1" ht="21.95" customHeight="1" x14ac:dyDescent="0.15"/>
    <row r="28911" spans="3:3" s="76" customFormat="1" ht="21.95" customHeight="1" x14ac:dyDescent="0.15"/>
    <row r="28912" spans="3:3" customFormat="1" ht="21.95" customHeight="1" x14ac:dyDescent="0.15"/>
    <row r="28913" customFormat="1" ht="21.95" customHeight="1" x14ac:dyDescent="0.15"/>
    <row r="28914" customFormat="1" ht="21.95" customHeight="1" x14ac:dyDescent="0.15"/>
    <row r="28915" customFormat="1" ht="21.95" customHeight="1" x14ac:dyDescent="0.15"/>
    <row r="28916" customFormat="1" ht="21.95" customHeight="1" x14ac:dyDescent="0.15"/>
    <row r="28917" customFormat="1" ht="21.95" customHeight="1" x14ac:dyDescent="0.15"/>
    <row r="28918" customFormat="1" ht="21.95" customHeight="1" x14ac:dyDescent="0.15"/>
    <row r="28919" customFormat="1" ht="21.95" customHeight="1" x14ac:dyDescent="0.15"/>
    <row r="28920" customFormat="1" ht="21.95" customHeight="1" x14ac:dyDescent="0.15"/>
    <row r="28921" customFormat="1" ht="21.95" customHeight="1" x14ac:dyDescent="0.15"/>
    <row r="28922" customFormat="1" ht="21.95" customHeight="1" x14ac:dyDescent="0.15"/>
    <row r="28923" customFormat="1" ht="32.1" customHeight="1" x14ac:dyDescent="0.15"/>
    <row r="28924" customFormat="1" ht="32.1" customHeight="1" x14ac:dyDescent="0.15"/>
    <row r="28925" customFormat="1" ht="32.1" customHeight="1" x14ac:dyDescent="0.15"/>
    <row r="28926" customFormat="1" ht="32.1" customHeight="1" x14ac:dyDescent="0.15"/>
    <row r="28927" customFormat="1" ht="32.1" customHeight="1" x14ac:dyDescent="0.15"/>
    <row r="28928" customFormat="1" ht="32.1" customHeight="1" x14ac:dyDescent="0.15"/>
    <row r="28929" s="76" customFormat="1" ht="32.1" customHeight="1" x14ac:dyDescent="0.15"/>
    <row r="28930" s="76" customFormat="1" ht="32.1" customHeight="1" x14ac:dyDescent="0.15"/>
    <row r="28931" s="76" customFormat="1" ht="32.1" customHeight="1" x14ac:dyDescent="0.15"/>
    <row r="28932" s="76" customFormat="1" ht="32.1" customHeight="1" x14ac:dyDescent="0.15"/>
    <row r="28933" s="76" customFormat="1" ht="21.95" customHeight="1" x14ac:dyDescent="0.15"/>
    <row r="28934" s="76" customFormat="1" ht="54" customHeight="1" x14ac:dyDescent="0.15"/>
    <row r="28935" s="76" customFormat="1" ht="21.95" customHeight="1" x14ac:dyDescent="0.15"/>
    <row r="28936" s="76" customFormat="1" ht="21.95" customHeight="1" x14ac:dyDescent="0.15"/>
    <row r="28937" s="76" customFormat="1" ht="21.95" customHeight="1" x14ac:dyDescent="0.15"/>
    <row r="28938" s="76" customFormat="1" ht="21.95" customHeight="1" x14ac:dyDescent="0.15"/>
    <row r="28939" s="76" customFormat="1" ht="21.95" customHeight="1" x14ac:dyDescent="0.15"/>
    <row r="28940" s="76" customFormat="1" ht="21.95" customHeight="1" x14ac:dyDescent="0.15"/>
    <row r="28941" s="76" customFormat="1" ht="21.95" customHeight="1" x14ac:dyDescent="0.15"/>
    <row r="28942" s="76" customFormat="1" ht="21.95" customHeight="1" x14ac:dyDescent="0.15"/>
    <row r="28943" s="76" customFormat="1" ht="21.95" customHeight="1" x14ac:dyDescent="0.15"/>
    <row r="28944" s="76" customFormat="1" ht="21.95" customHeight="1" x14ac:dyDescent="0.15"/>
    <row r="28945" s="76" customFormat="1" ht="21.95" customHeight="1" x14ac:dyDescent="0.15"/>
    <row r="28946" s="76" customFormat="1" ht="21.95" customHeight="1" x14ac:dyDescent="0.15"/>
    <row r="28947" s="76" customFormat="1" ht="21.95" customHeight="1" x14ac:dyDescent="0.15"/>
    <row r="28948" s="76" customFormat="1" ht="21.95" customHeight="1" x14ac:dyDescent="0.15"/>
    <row r="28949" s="76" customFormat="1" ht="21.95" customHeight="1" x14ac:dyDescent="0.15"/>
    <row r="28950" s="76" customFormat="1" ht="21.95" customHeight="1" x14ac:dyDescent="0.15"/>
    <row r="28951" s="76" customFormat="1" ht="21.95" customHeight="1" x14ac:dyDescent="0.15"/>
    <row r="28952" s="76" customFormat="1" ht="21.95" customHeight="1" x14ac:dyDescent="0.15"/>
    <row r="28953" s="76" customFormat="1" ht="21.95" customHeight="1" x14ac:dyDescent="0.15"/>
    <row r="28954" s="76" customFormat="1" ht="21.95" customHeight="1" x14ac:dyDescent="0.15"/>
    <row r="28955" s="76" customFormat="1" ht="21.95" customHeight="1" x14ac:dyDescent="0.15"/>
    <row r="28956" s="76" customFormat="1" ht="21.95" customHeight="1" x14ac:dyDescent="0.15"/>
    <row r="28957" s="76" customFormat="1" ht="21.95" customHeight="1" x14ac:dyDescent="0.15"/>
    <row r="28958" s="76" customFormat="1" ht="21.95" customHeight="1" x14ac:dyDescent="0.15"/>
    <row r="28959" s="76" customFormat="1" ht="21.95" customHeight="1" x14ac:dyDescent="0.15"/>
    <row r="28960" s="76" customFormat="1" ht="21.95" customHeight="1" x14ac:dyDescent="0.15"/>
    <row r="28961" s="76" customFormat="1" ht="21.95" customHeight="1" x14ac:dyDescent="0.15"/>
    <row r="28962" s="76" customFormat="1" ht="21.95" customHeight="1" x14ac:dyDescent="0.15"/>
    <row r="28963" s="76" customFormat="1" ht="21.95" customHeight="1" x14ac:dyDescent="0.15"/>
    <row r="28964" s="76" customFormat="1" ht="21.95" customHeight="1" x14ac:dyDescent="0.15"/>
    <row r="28965" s="76" customFormat="1" ht="21.95" customHeight="1" x14ac:dyDescent="0.15"/>
    <row r="28966" s="76" customFormat="1" ht="21.95" customHeight="1" x14ac:dyDescent="0.15"/>
    <row r="28967" s="76" customFormat="1" ht="21.95" customHeight="1" x14ac:dyDescent="0.15"/>
    <row r="28968" s="76" customFormat="1" ht="21.95" customHeight="1" x14ac:dyDescent="0.15"/>
    <row r="28969" s="76" customFormat="1" ht="21.95" customHeight="1" x14ac:dyDescent="0.15"/>
    <row r="28970" s="76" customFormat="1" ht="21.95" customHeight="1" x14ac:dyDescent="0.15"/>
    <row r="28971" s="76" customFormat="1" ht="21.95" customHeight="1" x14ac:dyDescent="0.15"/>
    <row r="28972" s="76" customFormat="1" ht="21.95" customHeight="1" x14ac:dyDescent="0.15"/>
    <row r="28973" s="76" customFormat="1" ht="21.95" customHeight="1" x14ac:dyDescent="0.15"/>
    <row r="28974" s="76" customFormat="1" ht="21.95" customHeight="1" x14ac:dyDescent="0.15"/>
    <row r="28975" s="76" customFormat="1" ht="21.95" customHeight="1" x14ac:dyDescent="0.15"/>
    <row r="28976" s="76" customFormat="1" ht="21.95" customHeight="1" x14ac:dyDescent="0.15"/>
    <row r="28977" s="76" customFormat="1" ht="21.95" customHeight="1" x14ac:dyDescent="0.15"/>
    <row r="28978" s="76" customFormat="1" ht="21.95" customHeight="1" x14ac:dyDescent="0.15"/>
    <row r="28979" s="76" customFormat="1" ht="21.95" customHeight="1" x14ac:dyDescent="0.15"/>
    <row r="28980" s="76" customFormat="1" ht="21.95" customHeight="1" x14ac:dyDescent="0.15"/>
    <row r="28981" s="76" customFormat="1" ht="21.95" customHeight="1" x14ac:dyDescent="0.15"/>
    <row r="28982" s="76" customFormat="1" ht="21.95" customHeight="1" x14ac:dyDescent="0.15"/>
    <row r="28983" s="76" customFormat="1" ht="21.95" customHeight="1" x14ac:dyDescent="0.15"/>
    <row r="28984" s="76" customFormat="1" ht="21.95" customHeight="1" x14ac:dyDescent="0.15"/>
    <row r="28985" s="76" customFormat="1" ht="35.1" customHeight="1" x14ac:dyDescent="0.15"/>
    <row r="28986" s="76" customFormat="1" ht="21.95" customHeight="1" x14ac:dyDescent="0.15"/>
    <row r="28987" s="76" customFormat="1" ht="21.95" customHeight="1" x14ac:dyDescent="0.15"/>
    <row r="28988" s="76" customFormat="1" ht="21.95" customHeight="1" x14ac:dyDescent="0.15"/>
    <row r="28989" s="76" customFormat="1" ht="21.95" customHeight="1" x14ac:dyDescent="0.15"/>
    <row r="28990" s="76" customFormat="1" ht="21.95" customHeight="1" x14ac:dyDescent="0.15"/>
    <row r="28991" s="76" customFormat="1" ht="21.95" customHeight="1" x14ac:dyDescent="0.15"/>
    <row r="28992" s="76" customFormat="1" ht="21.95" customHeight="1" x14ac:dyDescent="0.15"/>
    <row r="28993" s="76" customFormat="1" ht="21.95" customHeight="1" x14ac:dyDescent="0.15"/>
    <row r="28994" s="76" customFormat="1" ht="21.95" customHeight="1" x14ac:dyDescent="0.15"/>
    <row r="28995" s="76" customFormat="1" ht="21.95" customHeight="1" x14ac:dyDescent="0.15"/>
    <row r="28996" s="76" customFormat="1" ht="21.95" customHeight="1" x14ac:dyDescent="0.15"/>
    <row r="28997" s="76" customFormat="1" ht="21.95" customHeight="1" x14ac:dyDescent="0.15"/>
    <row r="28998" s="76" customFormat="1" ht="21.95" customHeight="1" x14ac:dyDescent="0.15"/>
    <row r="28999" s="76" customFormat="1" ht="21.95" customHeight="1" x14ac:dyDescent="0.15"/>
    <row r="29000" s="76" customFormat="1" ht="21.95" customHeight="1" x14ac:dyDescent="0.15"/>
    <row r="29001" s="76" customFormat="1" ht="21.95" customHeight="1" x14ac:dyDescent="0.15"/>
    <row r="29002" s="76" customFormat="1" ht="21.95" customHeight="1" x14ac:dyDescent="0.15"/>
    <row r="29003" s="76" customFormat="1" ht="21.95" customHeight="1" x14ac:dyDescent="0.15"/>
    <row r="29004" s="76" customFormat="1" ht="21.95" customHeight="1" x14ac:dyDescent="0.15"/>
    <row r="29005" s="76" customFormat="1" ht="21.95" customHeight="1" x14ac:dyDescent="0.15"/>
    <row r="29006" s="76" customFormat="1" ht="21.95" customHeight="1" x14ac:dyDescent="0.15"/>
    <row r="29007" s="76" customFormat="1" ht="21.95" customHeight="1" x14ac:dyDescent="0.15"/>
    <row r="29008" s="76" customFormat="1" ht="21.95" customHeight="1" x14ac:dyDescent="0.15"/>
    <row r="29009" spans="3:3" customFormat="1" ht="21.95" customHeight="1" x14ac:dyDescent="0.15"/>
    <row r="29010" spans="3:3" customFormat="1" ht="21.95" customHeight="1" x14ac:dyDescent="0.15"/>
    <row r="29011" spans="3:3" customFormat="1" ht="21.95" customHeight="1" x14ac:dyDescent="0.15">
      <c r="C29011" s="94"/>
    </row>
    <row r="29012" spans="3:3" customFormat="1" ht="21.95" customHeight="1" x14ac:dyDescent="0.15">
      <c r="C29012" s="94"/>
    </row>
    <row r="29013" spans="3:3" customFormat="1" ht="21.95" customHeight="1" x14ac:dyDescent="0.15"/>
    <row r="29014" spans="3:3" customFormat="1" ht="21.95" customHeight="1" x14ac:dyDescent="0.15"/>
    <row r="29015" spans="3:3" customFormat="1" ht="21.95" customHeight="1" x14ac:dyDescent="0.15"/>
    <row r="29016" spans="3:3" customFormat="1" ht="21.95" customHeight="1" x14ac:dyDescent="0.15"/>
    <row r="29017" spans="3:3" customFormat="1" ht="21.95" customHeight="1" x14ac:dyDescent="0.15"/>
    <row r="29018" spans="3:3" customFormat="1" ht="21.95" customHeight="1" x14ac:dyDescent="0.15"/>
    <row r="29019" spans="3:3" customFormat="1" ht="21.95" customHeight="1" x14ac:dyDescent="0.15"/>
    <row r="29020" spans="3:3" s="76" customFormat="1" ht="21.95" customHeight="1" x14ac:dyDescent="0.15"/>
    <row r="29021" spans="3:3" s="76" customFormat="1" ht="21.95" customHeight="1" x14ac:dyDescent="0.15"/>
    <row r="29022" spans="3:3" s="76" customFormat="1" ht="21.95" customHeight="1" x14ac:dyDescent="0.15"/>
    <row r="29023" spans="3:3" s="76" customFormat="1" ht="21.95" customHeight="1" x14ac:dyDescent="0.15"/>
    <row r="29024" spans="3:3" customFormat="1" ht="21.95" customHeight="1" x14ac:dyDescent="0.15"/>
    <row r="29025" customFormat="1" ht="21.95" customHeight="1" x14ac:dyDescent="0.15"/>
    <row r="29026" customFormat="1" ht="21.95" customHeight="1" x14ac:dyDescent="0.15"/>
    <row r="29027" customFormat="1" ht="21.95" customHeight="1" x14ac:dyDescent="0.15"/>
    <row r="29028" customFormat="1" ht="21.95" customHeight="1" x14ac:dyDescent="0.15"/>
    <row r="29029" customFormat="1" ht="21.95" customHeight="1" x14ac:dyDescent="0.15"/>
    <row r="29030" customFormat="1" ht="21.95" customHeight="1" x14ac:dyDescent="0.15"/>
    <row r="29031" customFormat="1" ht="21.95" customHeight="1" x14ac:dyDescent="0.15"/>
    <row r="29032" customFormat="1" ht="21.95" customHeight="1" x14ac:dyDescent="0.15"/>
    <row r="29033" customFormat="1" ht="21.95" customHeight="1" x14ac:dyDescent="0.15"/>
    <row r="29034" customFormat="1" ht="21.95" customHeight="1" x14ac:dyDescent="0.15"/>
    <row r="29035" customFormat="1" ht="32.1" customHeight="1" x14ac:dyDescent="0.15"/>
    <row r="29036" customFormat="1" ht="32.1" customHeight="1" x14ac:dyDescent="0.15"/>
    <row r="29037" customFormat="1" ht="32.1" customHeight="1" x14ac:dyDescent="0.15"/>
    <row r="29038" customFormat="1" ht="32.1" customHeight="1" x14ac:dyDescent="0.15"/>
    <row r="29039" customFormat="1" ht="32.1" customHeight="1" x14ac:dyDescent="0.15"/>
    <row r="29040" customFormat="1" ht="32.1" customHeight="1" x14ac:dyDescent="0.15"/>
    <row r="29041" s="76" customFormat="1" ht="32.1" customHeight="1" x14ac:dyDescent="0.15"/>
    <row r="29042" s="76" customFormat="1" ht="32.1" customHeight="1" x14ac:dyDescent="0.15"/>
    <row r="29043" s="76" customFormat="1" ht="32.1" customHeight="1" x14ac:dyDescent="0.15"/>
    <row r="29044" s="76" customFormat="1" ht="32.1" customHeight="1" x14ac:dyDescent="0.15"/>
    <row r="29045" s="76" customFormat="1" ht="21.95" customHeight="1" x14ac:dyDescent="0.15"/>
    <row r="29046" s="76" customFormat="1" ht="54" customHeight="1" x14ac:dyDescent="0.15"/>
    <row r="29047" s="76" customFormat="1" ht="21.95" customHeight="1" x14ac:dyDescent="0.15"/>
    <row r="29048" s="76" customFormat="1" ht="21.95" customHeight="1" x14ac:dyDescent="0.15"/>
    <row r="29049" s="76" customFormat="1" ht="21.95" customHeight="1" x14ac:dyDescent="0.15"/>
    <row r="29050" s="76" customFormat="1" ht="21.95" customHeight="1" x14ac:dyDescent="0.15"/>
    <row r="29051" s="76" customFormat="1" ht="21.95" customHeight="1" x14ac:dyDescent="0.15"/>
    <row r="29052" s="76" customFormat="1" ht="21.95" customHeight="1" x14ac:dyDescent="0.15"/>
    <row r="29053" s="76" customFormat="1" ht="21.95" customHeight="1" x14ac:dyDescent="0.15"/>
    <row r="29054" s="76" customFormat="1" ht="21.95" customHeight="1" x14ac:dyDescent="0.15"/>
    <row r="29055" s="76" customFormat="1" ht="21.95" customHeight="1" x14ac:dyDescent="0.15"/>
    <row r="29056" s="76" customFormat="1" ht="21.95" customHeight="1" x14ac:dyDescent="0.15"/>
    <row r="29057" s="76" customFormat="1" ht="21.95" customHeight="1" x14ac:dyDescent="0.15"/>
    <row r="29058" s="76" customFormat="1" ht="21.95" customHeight="1" x14ac:dyDescent="0.15"/>
    <row r="29059" s="76" customFormat="1" ht="21.95" customHeight="1" x14ac:dyDescent="0.15"/>
    <row r="29060" s="76" customFormat="1" ht="21.95" customHeight="1" x14ac:dyDescent="0.15"/>
    <row r="29061" s="76" customFormat="1" ht="21.95" customHeight="1" x14ac:dyDescent="0.15"/>
    <row r="29062" s="76" customFormat="1" ht="21.95" customHeight="1" x14ac:dyDescent="0.15"/>
    <row r="29063" s="76" customFormat="1" ht="21.95" customHeight="1" x14ac:dyDescent="0.15"/>
    <row r="29064" s="76" customFormat="1" ht="21.95" customHeight="1" x14ac:dyDescent="0.15"/>
    <row r="29065" s="76" customFormat="1" ht="21.95" customHeight="1" x14ac:dyDescent="0.15"/>
    <row r="29066" s="76" customFormat="1" ht="21.95" customHeight="1" x14ac:dyDescent="0.15"/>
    <row r="29067" s="76" customFormat="1" ht="21.95" customHeight="1" x14ac:dyDescent="0.15"/>
    <row r="29068" s="76" customFormat="1" ht="21.95" customHeight="1" x14ac:dyDescent="0.15"/>
    <row r="29069" s="76" customFormat="1" ht="21.95" customHeight="1" x14ac:dyDescent="0.15"/>
    <row r="29070" s="76" customFormat="1" ht="21.95" customHeight="1" x14ac:dyDescent="0.15"/>
    <row r="29071" s="76" customFormat="1" ht="21.95" customHeight="1" x14ac:dyDescent="0.15"/>
    <row r="29072" s="76" customFormat="1" ht="21.95" customHeight="1" x14ac:dyDescent="0.15"/>
    <row r="29073" s="76" customFormat="1" ht="21.95" customHeight="1" x14ac:dyDescent="0.15"/>
    <row r="29074" s="76" customFormat="1" ht="21.95" customHeight="1" x14ac:dyDescent="0.15"/>
    <row r="29075" s="76" customFormat="1" ht="21.95" customHeight="1" x14ac:dyDescent="0.15"/>
    <row r="29076" s="76" customFormat="1" ht="21.95" customHeight="1" x14ac:dyDescent="0.15"/>
    <row r="29077" s="76" customFormat="1" ht="21.95" customHeight="1" x14ac:dyDescent="0.15"/>
    <row r="29078" s="76" customFormat="1" ht="21.95" customHeight="1" x14ac:dyDescent="0.15"/>
    <row r="29079" s="76" customFormat="1" ht="21.95" customHeight="1" x14ac:dyDescent="0.15"/>
    <row r="29080" s="76" customFormat="1" ht="21.95" customHeight="1" x14ac:dyDescent="0.15"/>
    <row r="29081" s="76" customFormat="1" ht="21.95" customHeight="1" x14ac:dyDescent="0.15"/>
    <row r="29082" s="76" customFormat="1" ht="21.95" customHeight="1" x14ac:dyDescent="0.15"/>
    <row r="29083" s="76" customFormat="1" ht="21.95" customHeight="1" x14ac:dyDescent="0.15"/>
    <row r="29084" s="76" customFormat="1" ht="21.95" customHeight="1" x14ac:dyDescent="0.15"/>
    <row r="29085" s="76" customFormat="1" ht="21.95" customHeight="1" x14ac:dyDescent="0.15"/>
    <row r="29086" s="76" customFormat="1" ht="21.95" customHeight="1" x14ac:dyDescent="0.15"/>
    <row r="29087" s="76" customFormat="1" ht="21.95" customHeight="1" x14ac:dyDescent="0.15"/>
    <row r="29088" s="76" customFormat="1" ht="21.95" customHeight="1" x14ac:dyDescent="0.15"/>
    <row r="29089" s="76" customFormat="1" ht="21.95" customHeight="1" x14ac:dyDescent="0.15"/>
    <row r="29090" s="76" customFormat="1" ht="21.95" customHeight="1" x14ac:dyDescent="0.15"/>
    <row r="29091" s="76" customFormat="1" ht="21.95" customHeight="1" x14ac:dyDescent="0.15"/>
    <row r="29092" s="76" customFormat="1" ht="21.95" customHeight="1" x14ac:dyDescent="0.15"/>
    <row r="29093" s="76" customFormat="1" ht="21.95" customHeight="1" x14ac:dyDescent="0.15"/>
    <row r="29094" s="76" customFormat="1" ht="21.95" customHeight="1" x14ac:dyDescent="0.15"/>
    <row r="29095" s="76" customFormat="1" ht="21.95" customHeight="1" x14ac:dyDescent="0.15"/>
    <row r="29096" s="76" customFormat="1" ht="21.95" customHeight="1" x14ac:dyDescent="0.15"/>
    <row r="29097" s="76" customFormat="1" ht="35.1" customHeight="1" x14ac:dyDescent="0.15"/>
    <row r="29098" s="76" customFormat="1" ht="21.95" customHeight="1" x14ac:dyDescent="0.15"/>
    <row r="29099" s="76" customFormat="1" ht="21.95" customHeight="1" x14ac:dyDescent="0.15"/>
    <row r="29100" s="76" customFormat="1" ht="21.95" customHeight="1" x14ac:dyDescent="0.15"/>
    <row r="29101" s="76" customFormat="1" ht="21.95" customHeight="1" x14ac:dyDescent="0.15"/>
    <row r="29102" s="76" customFormat="1" ht="21.95" customHeight="1" x14ac:dyDescent="0.15"/>
    <row r="29103" s="76" customFormat="1" ht="21.95" customHeight="1" x14ac:dyDescent="0.15"/>
    <row r="29104" s="76" customFormat="1" ht="21.95" customHeight="1" x14ac:dyDescent="0.15"/>
    <row r="29105" s="76" customFormat="1" ht="21.95" customHeight="1" x14ac:dyDescent="0.15"/>
    <row r="29106" s="76" customFormat="1" ht="21.95" customHeight="1" x14ac:dyDescent="0.15"/>
    <row r="29107" s="76" customFormat="1" ht="21.95" customHeight="1" x14ac:dyDescent="0.15"/>
    <row r="29108" s="76" customFormat="1" ht="21.95" customHeight="1" x14ac:dyDescent="0.15"/>
    <row r="29109" s="76" customFormat="1" ht="21.95" customHeight="1" x14ac:dyDescent="0.15"/>
    <row r="29110" s="76" customFormat="1" ht="21.95" customHeight="1" x14ac:dyDescent="0.15"/>
    <row r="29111" s="76" customFormat="1" ht="21.95" customHeight="1" x14ac:dyDescent="0.15"/>
    <row r="29112" s="76" customFormat="1" ht="21.95" customHeight="1" x14ac:dyDescent="0.15"/>
    <row r="29113" s="76" customFormat="1" ht="21.95" customHeight="1" x14ac:dyDescent="0.15"/>
    <row r="29114" s="76" customFormat="1" ht="21.95" customHeight="1" x14ac:dyDescent="0.15"/>
    <row r="29115" s="76" customFormat="1" ht="21.95" customHeight="1" x14ac:dyDescent="0.15"/>
    <row r="29116" s="76" customFormat="1" ht="21.95" customHeight="1" x14ac:dyDescent="0.15"/>
    <row r="29117" s="76" customFormat="1" ht="21.95" customHeight="1" x14ac:dyDescent="0.15"/>
    <row r="29118" s="76" customFormat="1" ht="21.95" customHeight="1" x14ac:dyDescent="0.15"/>
    <row r="29119" s="76" customFormat="1" ht="21.95" customHeight="1" x14ac:dyDescent="0.15"/>
    <row r="29120" s="76" customFormat="1" ht="21.95" customHeight="1" x14ac:dyDescent="0.15"/>
    <row r="29121" spans="3:3" customFormat="1" ht="21.95" customHeight="1" x14ac:dyDescent="0.15"/>
    <row r="29122" spans="3:3" customFormat="1" ht="21.95" customHeight="1" x14ac:dyDescent="0.15"/>
    <row r="29123" spans="3:3" customFormat="1" ht="21.95" customHeight="1" x14ac:dyDescent="0.15">
      <c r="C29123" s="94"/>
    </row>
    <row r="29124" spans="3:3" customFormat="1" ht="21.95" customHeight="1" x14ac:dyDescent="0.15">
      <c r="C29124" s="94"/>
    </row>
    <row r="29125" spans="3:3" customFormat="1" ht="21.95" customHeight="1" x14ac:dyDescent="0.15"/>
    <row r="29126" spans="3:3" customFormat="1" ht="21.95" customHeight="1" x14ac:dyDescent="0.15"/>
    <row r="29127" spans="3:3" customFormat="1" ht="21.95" customHeight="1" x14ac:dyDescent="0.15"/>
    <row r="29128" spans="3:3" customFormat="1" ht="21.95" customHeight="1" x14ac:dyDescent="0.15"/>
    <row r="29129" spans="3:3" customFormat="1" ht="21.95" customHeight="1" x14ac:dyDescent="0.15"/>
    <row r="29130" spans="3:3" customFormat="1" ht="21.95" customHeight="1" x14ac:dyDescent="0.15"/>
    <row r="29131" spans="3:3" customFormat="1" ht="21.95" customHeight="1" x14ac:dyDescent="0.15"/>
    <row r="29132" spans="3:3" s="76" customFormat="1" ht="21.95" customHeight="1" x14ac:dyDescent="0.15"/>
    <row r="29133" spans="3:3" s="76" customFormat="1" ht="21.95" customHeight="1" x14ac:dyDescent="0.15"/>
    <row r="29134" spans="3:3" s="76" customFormat="1" ht="21.95" customHeight="1" x14ac:dyDescent="0.15"/>
    <row r="29135" spans="3:3" s="76" customFormat="1" ht="21.95" customHeight="1" x14ac:dyDescent="0.15"/>
    <row r="29136" spans="3:3" customFormat="1" ht="21.95" customHeight="1" x14ac:dyDescent="0.15"/>
    <row r="29137" customFormat="1" ht="21.95" customHeight="1" x14ac:dyDescent="0.15"/>
    <row r="29138" customFormat="1" ht="21.95" customHeight="1" x14ac:dyDescent="0.15"/>
    <row r="29139" customFormat="1" ht="21.95" customHeight="1" x14ac:dyDescent="0.15"/>
    <row r="29140" customFormat="1" ht="21.95" customHeight="1" x14ac:dyDescent="0.15"/>
    <row r="29141" customFormat="1" ht="21.95" customHeight="1" x14ac:dyDescent="0.15"/>
    <row r="29142" customFormat="1" ht="21.95" customHeight="1" x14ac:dyDescent="0.15"/>
    <row r="29143" customFormat="1" ht="21.95" customHeight="1" x14ac:dyDescent="0.15"/>
    <row r="29144" customFormat="1" ht="21.95" customHeight="1" x14ac:dyDescent="0.15"/>
    <row r="29145" customFormat="1" ht="21.95" customHeight="1" x14ac:dyDescent="0.15"/>
    <row r="29146" customFormat="1" ht="21.95" customHeight="1" x14ac:dyDescent="0.15"/>
    <row r="29147" customFormat="1" ht="32.1" customHeight="1" x14ac:dyDescent="0.15"/>
    <row r="29148" customFormat="1" ht="32.1" customHeight="1" x14ac:dyDescent="0.15"/>
    <row r="29149" customFormat="1" ht="32.1" customHeight="1" x14ac:dyDescent="0.15"/>
    <row r="29150" customFormat="1" ht="32.1" customHeight="1" x14ac:dyDescent="0.15"/>
    <row r="29151" customFormat="1" ht="32.1" customHeight="1" x14ac:dyDescent="0.15"/>
    <row r="29152" customFormat="1" ht="32.1" customHeight="1" x14ac:dyDescent="0.15"/>
    <row r="29153" s="76" customFormat="1" ht="32.1" customHeight="1" x14ac:dyDescent="0.15"/>
    <row r="29154" s="76" customFormat="1" ht="32.1" customHeight="1" x14ac:dyDescent="0.15"/>
    <row r="29155" s="76" customFormat="1" ht="32.1" customHeight="1" x14ac:dyDescent="0.15"/>
    <row r="29156" s="76" customFormat="1" ht="32.1" customHeight="1" x14ac:dyDescent="0.15"/>
    <row r="29157" s="76" customFormat="1" ht="21.95" customHeight="1" x14ac:dyDescent="0.15"/>
    <row r="29158" s="76" customFormat="1" ht="54" customHeight="1" x14ac:dyDescent="0.15"/>
    <row r="29159" s="76" customFormat="1" ht="21.95" customHeight="1" x14ac:dyDescent="0.15"/>
    <row r="29160" s="76" customFormat="1" ht="21.95" customHeight="1" x14ac:dyDescent="0.15"/>
    <row r="29161" s="76" customFormat="1" ht="21.95" customHeight="1" x14ac:dyDescent="0.15"/>
    <row r="29162" s="76" customFormat="1" ht="21.95" customHeight="1" x14ac:dyDescent="0.15"/>
    <row r="29163" s="76" customFormat="1" ht="21.95" customHeight="1" x14ac:dyDescent="0.15"/>
    <row r="29164" s="76" customFormat="1" ht="21.95" customHeight="1" x14ac:dyDescent="0.15"/>
    <row r="29165" s="76" customFormat="1" ht="21.95" customHeight="1" x14ac:dyDescent="0.15"/>
    <row r="29166" s="76" customFormat="1" ht="21.95" customHeight="1" x14ac:dyDescent="0.15"/>
    <row r="29167" s="76" customFormat="1" ht="21.95" customHeight="1" x14ac:dyDescent="0.15"/>
    <row r="29168" s="76" customFormat="1" ht="21.95" customHeight="1" x14ac:dyDescent="0.15"/>
    <row r="29169" s="76" customFormat="1" ht="21.95" customHeight="1" x14ac:dyDescent="0.15"/>
    <row r="29170" s="76" customFormat="1" ht="21.95" customHeight="1" x14ac:dyDescent="0.15"/>
    <row r="29171" s="76" customFormat="1" ht="21.95" customHeight="1" x14ac:dyDescent="0.15"/>
    <row r="29172" s="76" customFormat="1" ht="21.95" customHeight="1" x14ac:dyDescent="0.15"/>
    <row r="29173" s="76" customFormat="1" ht="21.95" customHeight="1" x14ac:dyDescent="0.15"/>
    <row r="29174" s="76" customFormat="1" ht="21.95" customHeight="1" x14ac:dyDescent="0.15"/>
    <row r="29175" s="76" customFormat="1" ht="21.95" customHeight="1" x14ac:dyDescent="0.15"/>
    <row r="29176" s="76" customFormat="1" ht="21.95" customHeight="1" x14ac:dyDescent="0.15"/>
    <row r="29177" s="76" customFormat="1" ht="21.95" customHeight="1" x14ac:dyDescent="0.15"/>
    <row r="29178" s="76" customFormat="1" ht="21.95" customHeight="1" x14ac:dyDescent="0.15"/>
    <row r="29179" s="76" customFormat="1" ht="21.95" customHeight="1" x14ac:dyDescent="0.15"/>
    <row r="29180" s="76" customFormat="1" ht="21.95" customHeight="1" x14ac:dyDescent="0.15"/>
    <row r="29181" s="76" customFormat="1" ht="21.95" customHeight="1" x14ac:dyDescent="0.15"/>
    <row r="29182" s="76" customFormat="1" ht="21.95" customHeight="1" x14ac:dyDescent="0.15"/>
    <row r="29183" s="76" customFormat="1" ht="21.95" customHeight="1" x14ac:dyDescent="0.15"/>
    <row r="29184" s="76" customFormat="1" ht="21.95" customHeight="1" x14ac:dyDescent="0.15"/>
    <row r="29185" s="76" customFormat="1" ht="21.95" customHeight="1" x14ac:dyDescent="0.15"/>
    <row r="29186" s="76" customFormat="1" ht="21.95" customHeight="1" x14ac:dyDescent="0.15"/>
    <row r="29187" s="76" customFormat="1" ht="21.95" customHeight="1" x14ac:dyDescent="0.15"/>
    <row r="29188" s="76" customFormat="1" ht="21.95" customHeight="1" x14ac:dyDescent="0.15"/>
    <row r="29189" s="76" customFormat="1" ht="21.95" customHeight="1" x14ac:dyDescent="0.15"/>
    <row r="29190" s="76" customFormat="1" ht="21.95" customHeight="1" x14ac:dyDescent="0.15"/>
    <row r="29191" s="76" customFormat="1" ht="21.95" customHeight="1" x14ac:dyDescent="0.15"/>
    <row r="29192" s="76" customFormat="1" ht="21.95" customHeight="1" x14ac:dyDescent="0.15"/>
    <row r="29193" s="76" customFormat="1" ht="21.95" customHeight="1" x14ac:dyDescent="0.15"/>
    <row r="29194" s="76" customFormat="1" ht="21.95" customHeight="1" x14ac:dyDescent="0.15"/>
    <row r="29195" s="76" customFormat="1" ht="21.95" customHeight="1" x14ac:dyDescent="0.15"/>
    <row r="29196" s="76" customFormat="1" ht="21.95" customHeight="1" x14ac:dyDescent="0.15"/>
    <row r="29197" s="76" customFormat="1" ht="21.95" customHeight="1" x14ac:dyDescent="0.15"/>
    <row r="29198" s="76" customFormat="1" ht="21.95" customHeight="1" x14ac:dyDescent="0.15"/>
    <row r="29199" s="76" customFormat="1" ht="21.95" customHeight="1" x14ac:dyDescent="0.15"/>
    <row r="29200" s="76" customFormat="1" ht="21.95" customHeight="1" x14ac:dyDescent="0.15"/>
    <row r="29201" s="76" customFormat="1" ht="21.95" customHeight="1" x14ac:dyDescent="0.15"/>
    <row r="29202" s="76" customFormat="1" ht="21.95" customHeight="1" x14ac:dyDescent="0.15"/>
    <row r="29203" s="76" customFormat="1" ht="21.95" customHeight="1" x14ac:dyDescent="0.15"/>
    <row r="29204" s="76" customFormat="1" ht="21.95" customHeight="1" x14ac:dyDescent="0.15"/>
    <row r="29205" s="76" customFormat="1" ht="21.95" customHeight="1" x14ac:dyDescent="0.15"/>
    <row r="29206" s="76" customFormat="1" ht="21.95" customHeight="1" x14ac:dyDescent="0.15"/>
    <row r="29207" s="76" customFormat="1" ht="21.95" customHeight="1" x14ac:dyDescent="0.15"/>
    <row r="29208" s="76" customFormat="1" ht="21.95" customHeight="1" x14ac:dyDescent="0.15"/>
    <row r="29209" s="76" customFormat="1" ht="35.1" customHeight="1" x14ac:dyDescent="0.15"/>
    <row r="29210" s="76" customFormat="1" ht="21.95" customHeight="1" x14ac:dyDescent="0.15"/>
    <row r="29211" s="76" customFormat="1" ht="21.95" customHeight="1" x14ac:dyDescent="0.15"/>
    <row r="29212" s="76" customFormat="1" ht="21.95" customHeight="1" x14ac:dyDescent="0.15"/>
    <row r="29213" s="76" customFormat="1" ht="21.95" customHeight="1" x14ac:dyDescent="0.15"/>
    <row r="29214" s="76" customFormat="1" ht="21.95" customHeight="1" x14ac:dyDescent="0.15"/>
    <row r="29215" s="76" customFormat="1" ht="21.95" customHeight="1" x14ac:dyDescent="0.15"/>
    <row r="29216" s="76" customFormat="1" ht="21.95" customHeight="1" x14ac:dyDescent="0.15"/>
    <row r="29217" s="76" customFormat="1" ht="21.95" customHeight="1" x14ac:dyDescent="0.15"/>
    <row r="29218" s="76" customFormat="1" ht="21.95" customHeight="1" x14ac:dyDescent="0.15"/>
    <row r="29219" s="76" customFormat="1" ht="21.95" customHeight="1" x14ac:dyDescent="0.15"/>
    <row r="29220" s="76" customFormat="1" ht="21.95" customHeight="1" x14ac:dyDescent="0.15"/>
    <row r="29221" s="76" customFormat="1" ht="21.95" customHeight="1" x14ac:dyDescent="0.15"/>
    <row r="29222" s="76" customFormat="1" ht="21.95" customHeight="1" x14ac:dyDescent="0.15"/>
    <row r="29223" s="76" customFormat="1" ht="21.95" customHeight="1" x14ac:dyDescent="0.15"/>
    <row r="29224" s="76" customFormat="1" ht="21.95" customHeight="1" x14ac:dyDescent="0.15"/>
    <row r="29225" s="76" customFormat="1" ht="21.95" customHeight="1" x14ac:dyDescent="0.15"/>
    <row r="29226" s="76" customFormat="1" ht="21.95" customHeight="1" x14ac:dyDescent="0.15"/>
    <row r="29227" s="76" customFormat="1" ht="21.95" customHeight="1" x14ac:dyDescent="0.15"/>
    <row r="29228" s="76" customFormat="1" ht="21.95" customHeight="1" x14ac:dyDescent="0.15"/>
    <row r="29229" s="76" customFormat="1" ht="21.95" customHeight="1" x14ac:dyDescent="0.15"/>
    <row r="29230" s="76" customFormat="1" ht="21.95" customHeight="1" x14ac:dyDescent="0.15"/>
    <row r="29231" s="76" customFormat="1" ht="21.95" customHeight="1" x14ac:dyDescent="0.15"/>
    <row r="29232" s="76" customFormat="1" ht="21.95" customHeight="1" x14ac:dyDescent="0.15"/>
    <row r="29233" spans="3:3" customFormat="1" ht="21.95" customHeight="1" x14ac:dyDescent="0.15"/>
    <row r="29234" spans="3:3" customFormat="1" ht="21.95" customHeight="1" x14ac:dyDescent="0.15"/>
    <row r="29235" spans="3:3" customFormat="1" ht="21.95" customHeight="1" x14ac:dyDescent="0.15">
      <c r="C29235" s="94"/>
    </row>
    <row r="29236" spans="3:3" customFormat="1" ht="21.95" customHeight="1" x14ac:dyDescent="0.15">
      <c r="C29236" s="94"/>
    </row>
    <row r="29237" spans="3:3" customFormat="1" ht="21.95" customHeight="1" x14ac:dyDescent="0.15"/>
    <row r="29238" spans="3:3" customFormat="1" ht="21.95" customHeight="1" x14ac:dyDescent="0.15"/>
    <row r="29239" spans="3:3" customFormat="1" ht="21.95" customHeight="1" x14ac:dyDescent="0.15"/>
    <row r="29240" spans="3:3" customFormat="1" ht="21.95" customHeight="1" x14ac:dyDescent="0.15"/>
    <row r="29241" spans="3:3" customFormat="1" ht="21.95" customHeight="1" x14ac:dyDescent="0.15"/>
    <row r="29242" spans="3:3" customFormat="1" ht="21.95" customHeight="1" x14ac:dyDescent="0.15"/>
    <row r="29243" spans="3:3" customFormat="1" ht="21.95" customHeight="1" x14ac:dyDescent="0.15"/>
    <row r="29244" spans="3:3" s="76" customFormat="1" ht="21.95" customHeight="1" x14ac:dyDescent="0.15"/>
    <row r="29245" spans="3:3" s="76" customFormat="1" ht="21.95" customHeight="1" x14ac:dyDescent="0.15"/>
    <row r="29246" spans="3:3" s="76" customFormat="1" ht="21.95" customHeight="1" x14ac:dyDescent="0.15"/>
    <row r="29247" spans="3:3" s="76" customFormat="1" ht="21.95" customHeight="1" x14ac:dyDescent="0.15"/>
    <row r="29248" spans="3:3" customFormat="1" ht="21.95" customHeight="1" x14ac:dyDescent="0.15"/>
    <row r="29249" customFormat="1" ht="21.95" customHeight="1" x14ac:dyDescent="0.15"/>
    <row r="29250" customFormat="1" ht="21.95" customHeight="1" x14ac:dyDescent="0.15"/>
    <row r="29251" customFormat="1" ht="21.95" customHeight="1" x14ac:dyDescent="0.15"/>
    <row r="29252" customFormat="1" ht="21.95" customHeight="1" x14ac:dyDescent="0.15"/>
    <row r="29253" customFormat="1" ht="21.95" customHeight="1" x14ac:dyDescent="0.15"/>
    <row r="29254" customFormat="1" ht="21.95" customHeight="1" x14ac:dyDescent="0.15"/>
    <row r="29255" customFormat="1" ht="21.95" customHeight="1" x14ac:dyDescent="0.15"/>
    <row r="29256" customFormat="1" ht="21.95" customHeight="1" x14ac:dyDescent="0.15"/>
    <row r="29257" customFormat="1" ht="21.95" customHeight="1" x14ac:dyDescent="0.15"/>
    <row r="29258" customFormat="1" ht="21.95" customHeight="1" x14ac:dyDescent="0.15"/>
    <row r="29259" customFormat="1" ht="32.1" customHeight="1" x14ac:dyDescent="0.15"/>
    <row r="29260" customFormat="1" ht="32.1" customHeight="1" x14ac:dyDescent="0.15"/>
    <row r="29261" customFormat="1" ht="32.1" customHeight="1" x14ac:dyDescent="0.15"/>
    <row r="29262" customFormat="1" ht="32.1" customHeight="1" x14ac:dyDescent="0.15"/>
    <row r="29263" customFormat="1" ht="32.1" customHeight="1" x14ac:dyDescent="0.15"/>
    <row r="29264" customFormat="1" ht="32.1" customHeight="1" x14ac:dyDescent="0.15"/>
    <row r="29265" s="76" customFormat="1" ht="32.1" customHeight="1" x14ac:dyDescent="0.15"/>
    <row r="29266" s="76" customFormat="1" ht="32.1" customHeight="1" x14ac:dyDescent="0.15"/>
    <row r="29267" s="76" customFormat="1" ht="32.1" customHeight="1" x14ac:dyDescent="0.15"/>
    <row r="29268" s="76" customFormat="1" ht="32.1" customHeight="1" x14ac:dyDescent="0.15"/>
    <row r="29269" s="76" customFormat="1" ht="21.95" customHeight="1" x14ac:dyDescent="0.15"/>
    <row r="29270" s="76" customFormat="1" ht="54" customHeight="1" x14ac:dyDescent="0.15"/>
    <row r="29271" s="76" customFormat="1" ht="21.95" customHeight="1" x14ac:dyDescent="0.15"/>
    <row r="29272" s="76" customFormat="1" ht="21.95" customHeight="1" x14ac:dyDescent="0.15"/>
    <row r="29273" s="76" customFormat="1" ht="21.95" customHeight="1" x14ac:dyDescent="0.15"/>
    <row r="29274" s="76" customFormat="1" ht="21.95" customHeight="1" x14ac:dyDescent="0.15"/>
    <row r="29275" s="76" customFormat="1" ht="21.95" customHeight="1" x14ac:dyDescent="0.15"/>
    <row r="29276" s="76" customFormat="1" ht="21.95" customHeight="1" x14ac:dyDescent="0.15"/>
    <row r="29277" s="76" customFormat="1" ht="21.95" customHeight="1" x14ac:dyDescent="0.15"/>
    <row r="29278" s="76" customFormat="1" ht="21.95" customHeight="1" x14ac:dyDescent="0.15"/>
    <row r="29279" s="76" customFormat="1" ht="21.95" customHeight="1" x14ac:dyDescent="0.15"/>
    <row r="29280" s="76" customFormat="1" ht="21.95" customHeight="1" x14ac:dyDescent="0.15"/>
    <row r="29281" s="76" customFormat="1" ht="21.95" customHeight="1" x14ac:dyDescent="0.15"/>
    <row r="29282" s="76" customFormat="1" ht="21.95" customHeight="1" x14ac:dyDescent="0.15"/>
    <row r="29283" s="76" customFormat="1" ht="21.95" customHeight="1" x14ac:dyDescent="0.15"/>
    <row r="29284" s="76" customFormat="1" ht="21.95" customHeight="1" x14ac:dyDescent="0.15"/>
    <row r="29285" s="76" customFormat="1" ht="21.95" customHeight="1" x14ac:dyDescent="0.15"/>
    <row r="29286" s="76" customFormat="1" ht="21.95" customHeight="1" x14ac:dyDescent="0.15"/>
    <row r="29287" s="76" customFormat="1" ht="21.95" customHeight="1" x14ac:dyDescent="0.15"/>
    <row r="29288" s="76" customFormat="1" ht="21.95" customHeight="1" x14ac:dyDescent="0.15"/>
    <row r="29289" s="76" customFormat="1" ht="21.95" customHeight="1" x14ac:dyDescent="0.15"/>
    <row r="29290" s="76" customFormat="1" ht="21.95" customHeight="1" x14ac:dyDescent="0.15"/>
    <row r="29291" s="76" customFormat="1" ht="21.95" customHeight="1" x14ac:dyDescent="0.15"/>
    <row r="29292" s="76" customFormat="1" ht="21.95" customHeight="1" x14ac:dyDescent="0.15"/>
    <row r="29293" s="76" customFormat="1" ht="21.95" customHeight="1" x14ac:dyDescent="0.15"/>
    <row r="29294" s="76" customFormat="1" ht="21.95" customHeight="1" x14ac:dyDescent="0.15"/>
    <row r="29295" s="76" customFormat="1" ht="21.95" customHeight="1" x14ac:dyDescent="0.15"/>
    <row r="29296" s="76" customFormat="1" ht="21.95" customHeight="1" x14ac:dyDescent="0.15"/>
    <row r="29297" s="76" customFormat="1" ht="21.95" customHeight="1" x14ac:dyDescent="0.15"/>
    <row r="29298" s="76" customFormat="1" ht="21.95" customHeight="1" x14ac:dyDescent="0.15"/>
    <row r="29299" s="76" customFormat="1" ht="21.95" customHeight="1" x14ac:dyDescent="0.15"/>
    <row r="29300" s="76" customFormat="1" ht="21.95" customHeight="1" x14ac:dyDescent="0.15"/>
    <row r="29301" s="76" customFormat="1" ht="21.95" customHeight="1" x14ac:dyDescent="0.15"/>
    <row r="29302" s="76" customFormat="1" ht="21.95" customHeight="1" x14ac:dyDescent="0.15"/>
    <row r="29303" s="76" customFormat="1" ht="21.95" customHeight="1" x14ac:dyDescent="0.15"/>
    <row r="29304" s="76" customFormat="1" ht="21.95" customHeight="1" x14ac:dyDescent="0.15"/>
    <row r="29305" s="76" customFormat="1" ht="21.95" customHeight="1" x14ac:dyDescent="0.15"/>
    <row r="29306" s="76" customFormat="1" ht="21.95" customHeight="1" x14ac:dyDescent="0.15"/>
    <row r="29307" s="76" customFormat="1" ht="21.95" customHeight="1" x14ac:dyDescent="0.15"/>
    <row r="29308" s="76" customFormat="1" ht="21.95" customHeight="1" x14ac:dyDescent="0.15"/>
    <row r="29309" s="76" customFormat="1" ht="21.95" customHeight="1" x14ac:dyDescent="0.15"/>
    <row r="29310" s="76" customFormat="1" ht="21.95" customHeight="1" x14ac:dyDescent="0.15"/>
    <row r="29311" s="76" customFormat="1" ht="21.95" customHeight="1" x14ac:dyDescent="0.15"/>
    <row r="29312" s="76" customFormat="1" ht="21.95" customHeight="1" x14ac:dyDescent="0.15"/>
    <row r="29313" s="76" customFormat="1" ht="21.95" customHeight="1" x14ac:dyDescent="0.15"/>
    <row r="29314" s="76" customFormat="1" ht="21.95" customHeight="1" x14ac:dyDescent="0.15"/>
    <row r="29315" s="76" customFormat="1" ht="21.95" customHeight="1" x14ac:dyDescent="0.15"/>
    <row r="29316" s="76" customFormat="1" ht="21.95" customHeight="1" x14ac:dyDescent="0.15"/>
    <row r="29317" s="76" customFormat="1" ht="21.95" customHeight="1" x14ac:dyDescent="0.15"/>
    <row r="29318" s="76" customFormat="1" ht="21.95" customHeight="1" x14ac:dyDescent="0.15"/>
    <row r="29319" s="76" customFormat="1" ht="21.95" customHeight="1" x14ac:dyDescent="0.15"/>
    <row r="29320" s="76" customFormat="1" ht="21.95" customHeight="1" x14ac:dyDescent="0.15"/>
    <row r="29321" s="76" customFormat="1" ht="35.1" customHeight="1" x14ac:dyDescent="0.15"/>
    <row r="29322" s="76" customFormat="1" ht="21.95" customHeight="1" x14ac:dyDescent="0.15"/>
    <row r="29323" s="76" customFormat="1" ht="21.95" customHeight="1" x14ac:dyDescent="0.15"/>
    <row r="29324" s="76" customFormat="1" ht="21.95" customHeight="1" x14ac:dyDescent="0.15"/>
    <row r="29325" s="76" customFormat="1" ht="21.95" customHeight="1" x14ac:dyDescent="0.15"/>
    <row r="29326" s="76" customFormat="1" ht="21.95" customHeight="1" x14ac:dyDescent="0.15"/>
    <row r="29327" s="76" customFormat="1" ht="21.95" customHeight="1" x14ac:dyDescent="0.15"/>
    <row r="29328" s="76" customFormat="1" ht="21.95" customHeight="1" x14ac:dyDescent="0.15"/>
    <row r="29329" s="76" customFormat="1" ht="21.95" customHeight="1" x14ac:dyDescent="0.15"/>
    <row r="29330" s="76" customFormat="1" ht="21.95" customHeight="1" x14ac:dyDescent="0.15"/>
    <row r="29331" s="76" customFormat="1" ht="21.95" customHeight="1" x14ac:dyDescent="0.15"/>
    <row r="29332" s="76" customFormat="1" ht="21.95" customHeight="1" x14ac:dyDescent="0.15"/>
    <row r="29333" s="76" customFormat="1" ht="21.95" customHeight="1" x14ac:dyDescent="0.15"/>
    <row r="29334" s="76" customFormat="1" ht="21.95" customHeight="1" x14ac:dyDescent="0.15"/>
    <row r="29335" s="76" customFormat="1" ht="21.95" customHeight="1" x14ac:dyDescent="0.15"/>
    <row r="29336" s="76" customFormat="1" ht="21.95" customHeight="1" x14ac:dyDescent="0.15"/>
    <row r="29337" s="76" customFormat="1" ht="21.95" customHeight="1" x14ac:dyDescent="0.15"/>
    <row r="29338" s="76" customFormat="1" ht="21.95" customHeight="1" x14ac:dyDescent="0.15"/>
    <row r="29339" s="76" customFormat="1" ht="21.95" customHeight="1" x14ac:dyDescent="0.15"/>
    <row r="29340" s="76" customFormat="1" ht="21.95" customHeight="1" x14ac:dyDescent="0.15"/>
    <row r="29341" s="76" customFormat="1" ht="21.95" customHeight="1" x14ac:dyDescent="0.15"/>
    <row r="29342" s="76" customFormat="1" ht="21.95" customHeight="1" x14ac:dyDescent="0.15"/>
    <row r="29343" s="76" customFormat="1" ht="21.95" customHeight="1" x14ac:dyDescent="0.15"/>
    <row r="29344" s="76" customFormat="1" ht="21.95" customHeight="1" x14ac:dyDescent="0.15"/>
    <row r="29345" spans="3:3" customFormat="1" ht="21.95" customHeight="1" x14ac:dyDescent="0.15"/>
    <row r="29346" spans="3:3" customFormat="1" ht="21.95" customHeight="1" x14ac:dyDescent="0.15"/>
    <row r="29347" spans="3:3" customFormat="1" ht="21.95" customHeight="1" x14ac:dyDescent="0.15">
      <c r="C29347" s="94"/>
    </row>
    <row r="29348" spans="3:3" customFormat="1" ht="21.95" customHeight="1" x14ac:dyDescent="0.15">
      <c r="C29348" s="94"/>
    </row>
    <row r="29349" spans="3:3" customFormat="1" ht="21.95" customHeight="1" x14ac:dyDescent="0.15"/>
    <row r="29350" spans="3:3" customFormat="1" ht="21.95" customHeight="1" x14ac:dyDescent="0.15"/>
    <row r="29351" spans="3:3" customFormat="1" ht="21.95" customHeight="1" x14ac:dyDescent="0.15"/>
    <row r="29352" spans="3:3" customFormat="1" ht="21.95" customHeight="1" x14ac:dyDescent="0.15"/>
    <row r="29353" spans="3:3" customFormat="1" ht="21.95" customHeight="1" x14ac:dyDescent="0.15"/>
    <row r="29354" spans="3:3" customFormat="1" ht="21.95" customHeight="1" x14ac:dyDescent="0.15"/>
    <row r="29355" spans="3:3" customFormat="1" ht="21.95" customHeight="1" x14ac:dyDescent="0.15"/>
    <row r="29356" spans="3:3" s="76" customFormat="1" ht="21.95" customHeight="1" x14ac:dyDescent="0.15"/>
    <row r="29357" spans="3:3" s="76" customFormat="1" ht="21.95" customHeight="1" x14ac:dyDescent="0.15"/>
    <row r="29358" spans="3:3" s="76" customFormat="1" ht="21.95" customHeight="1" x14ac:dyDescent="0.15"/>
    <row r="29359" spans="3:3" s="76" customFormat="1" ht="21.95" customHeight="1" x14ac:dyDescent="0.15"/>
    <row r="29360" spans="3:3" customFormat="1" ht="21.95" customHeight="1" x14ac:dyDescent="0.15"/>
    <row r="29361" customFormat="1" ht="21.95" customHeight="1" x14ac:dyDescent="0.15"/>
    <row r="29362" customFormat="1" ht="21.95" customHeight="1" x14ac:dyDescent="0.15"/>
    <row r="29363" customFormat="1" ht="21.95" customHeight="1" x14ac:dyDescent="0.15"/>
    <row r="29364" customFormat="1" ht="21.95" customHeight="1" x14ac:dyDescent="0.15"/>
    <row r="29365" customFormat="1" ht="21.95" customHeight="1" x14ac:dyDescent="0.15"/>
    <row r="29366" customFormat="1" ht="21.95" customHeight="1" x14ac:dyDescent="0.15"/>
    <row r="29367" customFormat="1" ht="21.95" customHeight="1" x14ac:dyDescent="0.15"/>
    <row r="29368" customFormat="1" ht="21.95" customHeight="1" x14ac:dyDescent="0.15"/>
    <row r="29369" customFormat="1" ht="21.95" customHeight="1" x14ac:dyDescent="0.15"/>
    <row r="29370" customFormat="1" ht="21.95" customHeight="1" x14ac:dyDescent="0.15"/>
    <row r="29371" customFormat="1" ht="32.1" customHeight="1" x14ac:dyDescent="0.15"/>
    <row r="29372" customFormat="1" ht="32.1" customHeight="1" x14ac:dyDescent="0.15"/>
    <row r="29373" customFormat="1" ht="32.1" customHeight="1" x14ac:dyDescent="0.15"/>
    <row r="29374" customFormat="1" ht="32.1" customHeight="1" x14ac:dyDescent="0.15"/>
    <row r="29375" customFormat="1" ht="32.1" customHeight="1" x14ac:dyDescent="0.15"/>
    <row r="29376" customFormat="1" ht="32.1" customHeight="1" x14ac:dyDescent="0.15"/>
    <row r="29377" s="76" customFormat="1" ht="32.1" customHeight="1" x14ac:dyDescent="0.15"/>
    <row r="29378" s="76" customFormat="1" ht="32.1" customHeight="1" x14ac:dyDescent="0.15"/>
    <row r="29379" s="76" customFormat="1" ht="32.1" customHeight="1" x14ac:dyDescent="0.15"/>
    <row r="29380" s="76" customFormat="1" ht="32.1" customHeight="1" x14ac:dyDescent="0.15"/>
    <row r="29381" s="76" customFormat="1" ht="21.95" customHeight="1" x14ac:dyDescent="0.15"/>
    <row r="29382" s="76" customFormat="1" ht="54" customHeight="1" x14ac:dyDescent="0.15"/>
    <row r="29383" s="76" customFormat="1" ht="21.95" customHeight="1" x14ac:dyDescent="0.15"/>
    <row r="29384" s="76" customFormat="1" ht="21.95" customHeight="1" x14ac:dyDescent="0.15"/>
    <row r="29385" s="76" customFormat="1" ht="21.95" customHeight="1" x14ac:dyDescent="0.15"/>
    <row r="29386" s="76" customFormat="1" ht="21.95" customHeight="1" x14ac:dyDescent="0.15"/>
    <row r="29387" s="76" customFormat="1" ht="21.95" customHeight="1" x14ac:dyDescent="0.15"/>
    <row r="29388" s="76" customFormat="1" ht="21.95" customHeight="1" x14ac:dyDescent="0.15"/>
    <row r="29389" s="76" customFormat="1" ht="21.95" customHeight="1" x14ac:dyDescent="0.15"/>
    <row r="29390" s="76" customFormat="1" ht="21.95" customHeight="1" x14ac:dyDescent="0.15"/>
    <row r="29391" s="76" customFormat="1" ht="21.95" customHeight="1" x14ac:dyDescent="0.15"/>
    <row r="29392" s="76" customFormat="1" ht="21.95" customHeight="1" x14ac:dyDescent="0.15"/>
    <row r="29393" s="76" customFormat="1" ht="21.95" customHeight="1" x14ac:dyDescent="0.15"/>
    <row r="29394" s="76" customFormat="1" ht="21.95" customHeight="1" x14ac:dyDescent="0.15"/>
    <row r="29395" s="76" customFormat="1" ht="21.95" customHeight="1" x14ac:dyDescent="0.15"/>
    <row r="29396" s="76" customFormat="1" ht="21.95" customHeight="1" x14ac:dyDescent="0.15"/>
    <row r="29397" s="76" customFormat="1" ht="21.95" customHeight="1" x14ac:dyDescent="0.15"/>
    <row r="29398" s="76" customFormat="1" ht="21.95" customHeight="1" x14ac:dyDescent="0.15"/>
    <row r="29399" s="76" customFormat="1" ht="21.95" customHeight="1" x14ac:dyDescent="0.15"/>
    <row r="29400" s="76" customFormat="1" ht="21.95" customHeight="1" x14ac:dyDescent="0.15"/>
    <row r="29401" s="76" customFormat="1" ht="21.95" customHeight="1" x14ac:dyDescent="0.15"/>
    <row r="29402" s="76" customFormat="1" ht="21.95" customHeight="1" x14ac:dyDescent="0.15"/>
    <row r="29403" s="76" customFormat="1" ht="21.95" customHeight="1" x14ac:dyDescent="0.15"/>
    <row r="29404" s="76" customFormat="1" ht="21.95" customHeight="1" x14ac:dyDescent="0.15"/>
    <row r="29405" s="76" customFormat="1" ht="21.95" customHeight="1" x14ac:dyDescent="0.15"/>
    <row r="29406" s="76" customFormat="1" ht="21.95" customHeight="1" x14ac:dyDescent="0.15"/>
    <row r="29407" s="76" customFormat="1" ht="21.95" customHeight="1" x14ac:dyDescent="0.15"/>
    <row r="29408" s="76" customFormat="1" ht="21.95" customHeight="1" x14ac:dyDescent="0.15"/>
    <row r="29409" s="76" customFormat="1" ht="21.95" customHeight="1" x14ac:dyDescent="0.15"/>
    <row r="29410" s="76" customFormat="1" ht="21.95" customHeight="1" x14ac:dyDescent="0.15"/>
    <row r="29411" s="76" customFormat="1" ht="21.95" customHeight="1" x14ac:dyDescent="0.15"/>
    <row r="29412" s="76" customFormat="1" ht="21.95" customHeight="1" x14ac:dyDescent="0.15"/>
    <row r="29413" s="76" customFormat="1" ht="21.95" customHeight="1" x14ac:dyDescent="0.15"/>
    <row r="29414" s="76" customFormat="1" ht="21.95" customHeight="1" x14ac:dyDescent="0.15"/>
    <row r="29415" s="76" customFormat="1" ht="21.95" customHeight="1" x14ac:dyDescent="0.15"/>
    <row r="29416" s="76" customFormat="1" ht="21.95" customHeight="1" x14ac:dyDescent="0.15"/>
    <row r="29417" s="76" customFormat="1" ht="21.95" customHeight="1" x14ac:dyDescent="0.15"/>
    <row r="29418" s="76" customFormat="1" ht="21.95" customHeight="1" x14ac:dyDescent="0.15"/>
    <row r="29419" s="76" customFormat="1" ht="21.95" customHeight="1" x14ac:dyDescent="0.15"/>
    <row r="29420" s="76" customFormat="1" ht="21.95" customHeight="1" x14ac:dyDescent="0.15"/>
    <row r="29421" s="76" customFormat="1" ht="21.95" customHeight="1" x14ac:dyDescent="0.15"/>
    <row r="29422" s="76" customFormat="1" ht="21.95" customHeight="1" x14ac:dyDescent="0.15"/>
    <row r="29423" s="76" customFormat="1" ht="21.95" customHeight="1" x14ac:dyDescent="0.15"/>
    <row r="29424" s="76" customFormat="1" ht="21.95" customHeight="1" x14ac:dyDescent="0.15"/>
    <row r="29425" s="76" customFormat="1" ht="21.95" customHeight="1" x14ac:dyDescent="0.15"/>
    <row r="29426" s="76" customFormat="1" ht="21.95" customHeight="1" x14ac:dyDescent="0.15"/>
    <row r="29427" s="76" customFormat="1" ht="21.95" customHeight="1" x14ac:dyDescent="0.15"/>
    <row r="29428" s="76" customFormat="1" ht="21.95" customHeight="1" x14ac:dyDescent="0.15"/>
    <row r="29429" s="76" customFormat="1" ht="21.95" customHeight="1" x14ac:dyDescent="0.15"/>
    <row r="29430" s="76" customFormat="1" ht="21.95" customHeight="1" x14ac:dyDescent="0.15"/>
    <row r="29431" s="76" customFormat="1" ht="21.95" customHeight="1" x14ac:dyDescent="0.15"/>
    <row r="29432" s="76" customFormat="1" ht="21.95" customHeight="1" x14ac:dyDescent="0.15"/>
    <row r="29433" s="76" customFormat="1" ht="35.1" customHeight="1" x14ac:dyDescent="0.15"/>
    <row r="29434" s="76" customFormat="1" ht="21.95" customHeight="1" x14ac:dyDescent="0.15"/>
    <row r="29435" s="76" customFormat="1" ht="21.95" customHeight="1" x14ac:dyDescent="0.15"/>
    <row r="29436" s="76" customFormat="1" ht="21.95" customHeight="1" x14ac:dyDescent="0.15"/>
    <row r="29437" s="76" customFormat="1" ht="21.95" customHeight="1" x14ac:dyDescent="0.15"/>
    <row r="29438" s="76" customFormat="1" ht="21.95" customHeight="1" x14ac:dyDescent="0.15"/>
    <row r="29439" s="76" customFormat="1" ht="21.95" customHeight="1" x14ac:dyDescent="0.15"/>
    <row r="29440" s="76" customFormat="1" ht="21.95" customHeight="1" x14ac:dyDescent="0.15"/>
    <row r="29441" s="76" customFormat="1" ht="21.95" customHeight="1" x14ac:dyDescent="0.15"/>
    <row r="29442" s="76" customFormat="1" ht="21.95" customHeight="1" x14ac:dyDescent="0.15"/>
    <row r="29443" s="76" customFormat="1" ht="21.95" customHeight="1" x14ac:dyDescent="0.15"/>
    <row r="29444" s="76" customFormat="1" ht="21.95" customHeight="1" x14ac:dyDescent="0.15"/>
    <row r="29445" s="76" customFormat="1" ht="21.95" customHeight="1" x14ac:dyDescent="0.15"/>
    <row r="29446" s="76" customFormat="1" ht="21.95" customHeight="1" x14ac:dyDescent="0.15"/>
    <row r="29447" s="76" customFormat="1" ht="21.95" customHeight="1" x14ac:dyDescent="0.15"/>
    <row r="29448" s="76" customFormat="1" ht="21.95" customHeight="1" x14ac:dyDescent="0.15"/>
    <row r="29449" s="76" customFormat="1" ht="21.95" customHeight="1" x14ac:dyDescent="0.15"/>
    <row r="29450" s="76" customFormat="1" ht="21.95" customHeight="1" x14ac:dyDescent="0.15"/>
    <row r="29451" s="76" customFormat="1" ht="21.95" customHeight="1" x14ac:dyDescent="0.15"/>
    <row r="29452" s="76" customFormat="1" ht="21.95" customHeight="1" x14ac:dyDescent="0.15"/>
    <row r="29453" s="76" customFormat="1" ht="21.95" customHeight="1" x14ac:dyDescent="0.15"/>
    <row r="29454" s="76" customFormat="1" ht="21.95" customHeight="1" x14ac:dyDescent="0.15"/>
    <row r="29455" s="76" customFormat="1" ht="21.95" customHeight="1" x14ac:dyDescent="0.15"/>
    <row r="29456" s="76" customFormat="1" ht="21.95" customHeight="1" x14ac:dyDescent="0.15"/>
    <row r="29457" spans="3:3" customFormat="1" ht="21.95" customHeight="1" x14ac:dyDescent="0.15"/>
    <row r="29458" spans="3:3" customFormat="1" ht="21.95" customHeight="1" x14ac:dyDescent="0.15"/>
    <row r="29459" spans="3:3" customFormat="1" ht="21.95" customHeight="1" x14ac:dyDescent="0.15">
      <c r="C29459" s="94"/>
    </row>
    <row r="29460" spans="3:3" customFormat="1" ht="21.95" customHeight="1" x14ac:dyDescent="0.15">
      <c r="C29460" s="94"/>
    </row>
    <row r="29461" spans="3:3" customFormat="1" ht="21.95" customHeight="1" x14ac:dyDescent="0.15"/>
    <row r="29462" spans="3:3" customFormat="1" ht="21.95" customHeight="1" x14ac:dyDescent="0.15"/>
    <row r="29463" spans="3:3" customFormat="1" ht="21.95" customHeight="1" x14ac:dyDescent="0.15"/>
    <row r="29464" spans="3:3" customFormat="1" ht="21.95" customHeight="1" x14ac:dyDescent="0.15"/>
    <row r="29465" spans="3:3" customFormat="1" ht="21.95" customHeight="1" x14ac:dyDescent="0.15"/>
    <row r="29466" spans="3:3" customFormat="1" ht="21.95" customHeight="1" x14ac:dyDescent="0.15"/>
    <row r="29467" spans="3:3" customFormat="1" ht="21.95" customHeight="1" x14ac:dyDescent="0.15"/>
    <row r="29468" spans="3:3" s="76" customFormat="1" ht="21.95" customHeight="1" x14ac:dyDescent="0.15"/>
    <row r="29469" spans="3:3" s="76" customFormat="1" ht="21.95" customHeight="1" x14ac:dyDescent="0.15"/>
    <row r="29470" spans="3:3" s="76" customFormat="1" ht="21.95" customHeight="1" x14ac:dyDescent="0.15"/>
    <row r="29471" spans="3:3" s="76" customFormat="1" ht="21.95" customHeight="1" x14ac:dyDescent="0.15"/>
    <row r="29472" spans="3:3" customFormat="1" ht="21.95" customHeight="1" x14ac:dyDescent="0.15"/>
    <row r="29473" customFormat="1" ht="21.95" customHeight="1" x14ac:dyDescent="0.15"/>
    <row r="29474" customFormat="1" ht="21.95" customHeight="1" x14ac:dyDescent="0.15"/>
    <row r="29475" customFormat="1" ht="21.95" customHeight="1" x14ac:dyDescent="0.15"/>
    <row r="29476" customFormat="1" ht="21.95" customHeight="1" x14ac:dyDescent="0.15"/>
    <row r="29477" customFormat="1" ht="21.95" customHeight="1" x14ac:dyDescent="0.15"/>
    <row r="29478" customFormat="1" ht="21.95" customHeight="1" x14ac:dyDescent="0.15"/>
    <row r="29479" customFormat="1" ht="21.95" customHeight="1" x14ac:dyDescent="0.15"/>
    <row r="29480" customFormat="1" ht="21.95" customHeight="1" x14ac:dyDescent="0.15"/>
    <row r="29481" customFormat="1" ht="21.95" customHeight="1" x14ac:dyDescent="0.15"/>
    <row r="29482" customFormat="1" ht="21.95" customHeight="1" x14ac:dyDescent="0.15"/>
    <row r="29483" customFormat="1" ht="32.1" customHeight="1" x14ac:dyDescent="0.15"/>
    <row r="29484" customFormat="1" ht="32.1" customHeight="1" x14ac:dyDescent="0.15"/>
    <row r="29485" customFormat="1" ht="32.1" customHeight="1" x14ac:dyDescent="0.15"/>
    <row r="29486" customFormat="1" ht="32.1" customHeight="1" x14ac:dyDescent="0.15"/>
    <row r="29487" customFormat="1" ht="32.1" customHeight="1" x14ac:dyDescent="0.15"/>
    <row r="29488" customFormat="1" ht="32.1" customHeight="1" x14ac:dyDescent="0.15"/>
    <row r="29489" s="76" customFormat="1" ht="32.1" customHeight="1" x14ac:dyDescent="0.15"/>
    <row r="29490" s="76" customFormat="1" ht="32.1" customHeight="1" x14ac:dyDescent="0.15"/>
    <row r="29491" s="76" customFormat="1" ht="32.1" customHeight="1" x14ac:dyDescent="0.15"/>
    <row r="29492" s="76" customFormat="1" ht="32.1" customHeight="1" x14ac:dyDescent="0.15"/>
    <row r="29493" s="76" customFormat="1" ht="21.95" customHeight="1" x14ac:dyDescent="0.15"/>
    <row r="29494" s="76" customFormat="1" ht="54" customHeight="1" x14ac:dyDescent="0.15"/>
    <row r="29495" s="76" customFormat="1" ht="21.95" customHeight="1" x14ac:dyDescent="0.15"/>
    <row r="29496" s="76" customFormat="1" ht="21.95" customHeight="1" x14ac:dyDescent="0.15"/>
    <row r="29497" s="76" customFormat="1" ht="21.95" customHeight="1" x14ac:dyDescent="0.15"/>
    <row r="29498" s="76" customFormat="1" ht="21.95" customHeight="1" x14ac:dyDescent="0.15"/>
    <row r="29499" s="76" customFormat="1" ht="21.95" customHeight="1" x14ac:dyDescent="0.15"/>
    <row r="29500" s="76" customFormat="1" ht="21.95" customHeight="1" x14ac:dyDescent="0.15"/>
    <row r="29501" s="76" customFormat="1" ht="21.95" customHeight="1" x14ac:dyDescent="0.15"/>
    <row r="29502" s="76" customFormat="1" ht="21.95" customHeight="1" x14ac:dyDescent="0.15"/>
    <row r="29503" s="76" customFormat="1" ht="21.95" customHeight="1" x14ac:dyDescent="0.15"/>
    <row r="29504" s="76" customFormat="1" ht="21.95" customHeight="1" x14ac:dyDescent="0.15"/>
    <row r="29505" s="76" customFormat="1" ht="21.95" customHeight="1" x14ac:dyDescent="0.15"/>
    <row r="29506" s="76" customFormat="1" ht="21.95" customHeight="1" x14ac:dyDescent="0.15"/>
    <row r="29507" s="76" customFormat="1" ht="21.95" customHeight="1" x14ac:dyDescent="0.15"/>
    <row r="29508" s="76" customFormat="1" ht="21.95" customHeight="1" x14ac:dyDescent="0.15"/>
    <row r="29509" s="76" customFormat="1" ht="21.95" customHeight="1" x14ac:dyDescent="0.15"/>
    <row r="29510" s="76" customFormat="1" ht="21.95" customHeight="1" x14ac:dyDescent="0.15"/>
    <row r="29511" s="76" customFormat="1" ht="21.95" customHeight="1" x14ac:dyDescent="0.15"/>
    <row r="29512" s="76" customFormat="1" ht="21.95" customHeight="1" x14ac:dyDescent="0.15"/>
    <row r="29513" s="76" customFormat="1" ht="21.95" customHeight="1" x14ac:dyDescent="0.15"/>
    <row r="29514" s="76" customFormat="1" ht="21.95" customHeight="1" x14ac:dyDescent="0.15"/>
    <row r="29515" s="76" customFormat="1" ht="21.95" customHeight="1" x14ac:dyDescent="0.15"/>
    <row r="29516" s="76" customFormat="1" ht="21.95" customHeight="1" x14ac:dyDescent="0.15"/>
    <row r="29517" s="76" customFormat="1" ht="21.95" customHeight="1" x14ac:dyDescent="0.15"/>
    <row r="29518" s="76" customFormat="1" ht="21.95" customHeight="1" x14ac:dyDescent="0.15"/>
    <row r="29519" s="76" customFormat="1" ht="21.95" customHeight="1" x14ac:dyDescent="0.15"/>
    <row r="29520" s="76" customFormat="1" ht="21.95" customHeight="1" x14ac:dyDescent="0.15"/>
    <row r="29521" s="76" customFormat="1" ht="21.95" customHeight="1" x14ac:dyDescent="0.15"/>
    <row r="29522" s="76" customFormat="1" ht="21.95" customHeight="1" x14ac:dyDescent="0.15"/>
    <row r="29523" s="76" customFormat="1" ht="21.95" customHeight="1" x14ac:dyDescent="0.15"/>
    <row r="29524" s="76" customFormat="1" ht="21.95" customHeight="1" x14ac:dyDescent="0.15"/>
    <row r="29525" s="76" customFormat="1" ht="21.95" customHeight="1" x14ac:dyDescent="0.15"/>
    <row r="29526" s="76" customFormat="1" ht="21.95" customHeight="1" x14ac:dyDescent="0.15"/>
    <row r="29527" s="76" customFormat="1" ht="21.95" customHeight="1" x14ac:dyDescent="0.15"/>
    <row r="29528" s="76" customFormat="1" ht="21.95" customHeight="1" x14ac:dyDescent="0.15"/>
    <row r="29529" s="76" customFormat="1" ht="21.95" customHeight="1" x14ac:dyDescent="0.15"/>
    <row r="29530" s="76" customFormat="1" ht="21.95" customHeight="1" x14ac:dyDescent="0.15"/>
    <row r="29531" s="76" customFormat="1" ht="21.95" customHeight="1" x14ac:dyDescent="0.15"/>
    <row r="29532" s="76" customFormat="1" ht="21.95" customHeight="1" x14ac:dyDescent="0.15"/>
    <row r="29533" s="76" customFormat="1" ht="21.95" customHeight="1" x14ac:dyDescent="0.15"/>
    <row r="29534" s="76" customFormat="1" ht="21.95" customHeight="1" x14ac:dyDescent="0.15"/>
    <row r="29535" s="76" customFormat="1" ht="21.95" customHeight="1" x14ac:dyDescent="0.15"/>
    <row r="29536" s="76" customFormat="1" ht="21.95" customHeight="1" x14ac:dyDescent="0.15"/>
    <row r="29537" s="76" customFormat="1" ht="21.95" customHeight="1" x14ac:dyDescent="0.15"/>
    <row r="29538" s="76" customFormat="1" ht="21.95" customHeight="1" x14ac:dyDescent="0.15"/>
    <row r="29539" s="76" customFormat="1" ht="21.95" customHeight="1" x14ac:dyDescent="0.15"/>
    <row r="29540" s="76" customFormat="1" ht="21.95" customHeight="1" x14ac:dyDescent="0.15"/>
    <row r="29541" s="76" customFormat="1" ht="21.95" customHeight="1" x14ac:dyDescent="0.15"/>
    <row r="29542" s="76" customFormat="1" ht="21.95" customHeight="1" x14ac:dyDescent="0.15"/>
    <row r="29543" s="76" customFormat="1" ht="21.95" customHeight="1" x14ac:dyDescent="0.15"/>
    <row r="29544" s="76" customFormat="1" ht="21.95" customHeight="1" x14ac:dyDescent="0.15"/>
    <row r="29545" s="76" customFormat="1" ht="35.1" customHeight="1" x14ac:dyDescent="0.15"/>
    <row r="29546" s="76" customFormat="1" ht="21.95" customHeight="1" x14ac:dyDescent="0.15"/>
    <row r="29547" s="76" customFormat="1" ht="21.95" customHeight="1" x14ac:dyDescent="0.15"/>
    <row r="29548" s="76" customFormat="1" ht="21.95" customHeight="1" x14ac:dyDescent="0.15"/>
    <row r="29549" s="76" customFormat="1" ht="21.95" customHeight="1" x14ac:dyDescent="0.15"/>
    <row r="29550" s="76" customFormat="1" ht="21.95" customHeight="1" x14ac:dyDescent="0.15"/>
    <row r="29551" s="76" customFormat="1" ht="21.95" customHeight="1" x14ac:dyDescent="0.15"/>
    <row r="29552" s="76" customFormat="1" ht="21.95" customHeight="1" x14ac:dyDescent="0.15"/>
    <row r="29553" s="76" customFormat="1" ht="21.95" customHeight="1" x14ac:dyDescent="0.15"/>
    <row r="29554" s="76" customFormat="1" ht="21.95" customHeight="1" x14ac:dyDescent="0.15"/>
    <row r="29555" s="76" customFormat="1" ht="21.95" customHeight="1" x14ac:dyDescent="0.15"/>
    <row r="29556" s="76" customFormat="1" ht="21.95" customHeight="1" x14ac:dyDescent="0.15"/>
    <row r="29557" s="76" customFormat="1" ht="21.95" customHeight="1" x14ac:dyDescent="0.15"/>
    <row r="29558" s="76" customFormat="1" ht="21.95" customHeight="1" x14ac:dyDescent="0.15"/>
    <row r="29559" s="76" customFormat="1" ht="21.95" customHeight="1" x14ac:dyDescent="0.15"/>
    <row r="29560" s="76" customFormat="1" ht="21.95" customHeight="1" x14ac:dyDescent="0.15"/>
    <row r="29561" s="76" customFormat="1" ht="21.95" customHeight="1" x14ac:dyDescent="0.15"/>
    <row r="29562" s="76" customFormat="1" ht="21.95" customHeight="1" x14ac:dyDescent="0.15"/>
    <row r="29563" s="76" customFormat="1" ht="21.95" customHeight="1" x14ac:dyDescent="0.15"/>
    <row r="29564" s="76" customFormat="1" ht="21.95" customHeight="1" x14ac:dyDescent="0.15"/>
    <row r="29565" s="76" customFormat="1" ht="21.95" customHeight="1" x14ac:dyDescent="0.15"/>
    <row r="29566" s="76" customFormat="1" ht="21.95" customHeight="1" x14ac:dyDescent="0.15"/>
    <row r="29567" s="76" customFormat="1" ht="21.95" customHeight="1" x14ac:dyDescent="0.15"/>
    <row r="29568" s="76" customFormat="1" ht="21.95" customHeight="1" x14ac:dyDescent="0.15"/>
    <row r="29569" spans="3:3" customFormat="1" ht="21.95" customHeight="1" x14ac:dyDescent="0.15"/>
    <row r="29570" spans="3:3" customFormat="1" ht="21.95" customHeight="1" x14ac:dyDescent="0.15"/>
    <row r="29571" spans="3:3" customFormat="1" ht="21.95" customHeight="1" x14ac:dyDescent="0.15">
      <c r="C29571" s="94"/>
    </row>
    <row r="29572" spans="3:3" customFormat="1" ht="21.95" customHeight="1" x14ac:dyDescent="0.15">
      <c r="C29572" s="94"/>
    </row>
    <row r="29573" spans="3:3" customFormat="1" ht="21.95" customHeight="1" x14ac:dyDescent="0.15"/>
    <row r="29574" spans="3:3" customFormat="1" ht="21.95" customHeight="1" x14ac:dyDescent="0.15"/>
    <row r="29575" spans="3:3" customFormat="1" ht="21.95" customHeight="1" x14ac:dyDescent="0.15"/>
    <row r="29576" spans="3:3" customFormat="1" ht="21.95" customHeight="1" x14ac:dyDescent="0.15"/>
    <row r="29577" spans="3:3" customFormat="1" ht="21.95" customHeight="1" x14ac:dyDescent="0.15"/>
    <row r="29578" spans="3:3" customFormat="1" ht="21.95" customHeight="1" x14ac:dyDescent="0.15"/>
    <row r="29579" spans="3:3" customFormat="1" ht="21.95" customHeight="1" x14ac:dyDescent="0.15"/>
    <row r="29580" spans="3:3" s="76" customFormat="1" ht="21.95" customHeight="1" x14ac:dyDescent="0.15"/>
    <row r="29581" spans="3:3" s="76" customFormat="1" ht="21.95" customHeight="1" x14ac:dyDescent="0.15"/>
    <row r="29582" spans="3:3" s="76" customFormat="1" ht="21.95" customHeight="1" x14ac:dyDescent="0.15"/>
    <row r="29583" spans="3:3" s="76" customFormat="1" ht="21.95" customHeight="1" x14ac:dyDescent="0.15"/>
    <row r="29584" spans="3:3" customFormat="1" ht="21.95" customHeight="1" x14ac:dyDescent="0.15"/>
    <row r="29585" customFormat="1" ht="21.95" customHeight="1" x14ac:dyDescent="0.15"/>
    <row r="29586" customFormat="1" ht="21.95" customHeight="1" x14ac:dyDescent="0.15"/>
    <row r="29587" customFormat="1" ht="21.95" customHeight="1" x14ac:dyDescent="0.15"/>
    <row r="29588" customFormat="1" ht="21.95" customHeight="1" x14ac:dyDescent="0.15"/>
    <row r="29589" customFormat="1" ht="21.95" customHeight="1" x14ac:dyDescent="0.15"/>
    <row r="29590" customFormat="1" ht="21.95" customHeight="1" x14ac:dyDescent="0.15"/>
    <row r="29591" customFormat="1" ht="21.95" customHeight="1" x14ac:dyDescent="0.15"/>
    <row r="29592" customFormat="1" ht="21.95" customHeight="1" x14ac:dyDescent="0.15"/>
    <row r="29593" customFormat="1" ht="21.95" customHeight="1" x14ac:dyDescent="0.15"/>
    <row r="29594" customFormat="1" ht="21.95" customHeight="1" x14ac:dyDescent="0.15"/>
    <row r="29595" customFormat="1" ht="32.1" customHeight="1" x14ac:dyDescent="0.15"/>
    <row r="29596" customFormat="1" ht="32.1" customHeight="1" x14ac:dyDescent="0.15"/>
    <row r="29597" customFormat="1" ht="32.1" customHeight="1" x14ac:dyDescent="0.15"/>
    <row r="29598" customFormat="1" ht="32.1" customHeight="1" x14ac:dyDescent="0.15"/>
    <row r="29599" customFormat="1" ht="32.1" customHeight="1" x14ac:dyDescent="0.15"/>
    <row r="29600" customFormat="1" ht="32.1" customHeight="1" x14ac:dyDescent="0.15"/>
    <row r="29601" s="76" customFormat="1" ht="32.1" customHeight="1" x14ac:dyDescent="0.15"/>
    <row r="29602" s="76" customFormat="1" ht="32.1" customHeight="1" x14ac:dyDescent="0.15"/>
    <row r="29603" s="76" customFormat="1" ht="32.1" customHeight="1" x14ac:dyDescent="0.15"/>
    <row r="29604" s="76" customFormat="1" ht="32.1" customHeight="1" x14ac:dyDescent="0.15"/>
    <row r="29605" s="76" customFormat="1" ht="21.95" customHeight="1" x14ac:dyDescent="0.15"/>
    <row r="29606" s="76" customFormat="1" ht="54" customHeight="1" x14ac:dyDescent="0.15"/>
    <row r="29607" s="76" customFormat="1" ht="21.95" customHeight="1" x14ac:dyDescent="0.15"/>
    <row r="29608" s="76" customFormat="1" ht="21.95" customHeight="1" x14ac:dyDescent="0.15"/>
    <row r="29609" s="76" customFormat="1" ht="21.95" customHeight="1" x14ac:dyDescent="0.15"/>
    <row r="29610" s="76" customFormat="1" ht="21.95" customHeight="1" x14ac:dyDescent="0.15"/>
    <row r="29611" s="76" customFormat="1" ht="21.95" customHeight="1" x14ac:dyDescent="0.15"/>
    <row r="29612" s="76" customFormat="1" ht="21.95" customHeight="1" x14ac:dyDescent="0.15"/>
    <row r="29613" s="76" customFormat="1" ht="21.95" customHeight="1" x14ac:dyDescent="0.15"/>
    <row r="29614" s="76" customFormat="1" ht="21.95" customHeight="1" x14ac:dyDescent="0.15"/>
    <row r="29615" s="76" customFormat="1" ht="21.95" customHeight="1" x14ac:dyDescent="0.15"/>
    <row r="29616" s="76" customFormat="1" ht="21.95" customHeight="1" x14ac:dyDescent="0.15"/>
    <row r="29617" s="76" customFormat="1" ht="21.95" customHeight="1" x14ac:dyDescent="0.15"/>
    <row r="29618" s="76" customFormat="1" ht="21.95" customHeight="1" x14ac:dyDescent="0.15"/>
    <row r="29619" s="76" customFormat="1" ht="21.95" customHeight="1" x14ac:dyDescent="0.15"/>
    <row r="29620" s="76" customFormat="1" ht="21.95" customHeight="1" x14ac:dyDescent="0.15"/>
    <row r="29621" s="76" customFormat="1" ht="21.95" customHeight="1" x14ac:dyDescent="0.15"/>
    <row r="29622" s="76" customFormat="1" ht="21.95" customHeight="1" x14ac:dyDescent="0.15"/>
    <row r="29623" s="76" customFormat="1" ht="21.95" customHeight="1" x14ac:dyDescent="0.15"/>
    <row r="29624" s="76" customFormat="1" ht="21.95" customHeight="1" x14ac:dyDescent="0.15"/>
    <row r="29625" s="76" customFormat="1" ht="21.95" customHeight="1" x14ac:dyDescent="0.15"/>
    <row r="29626" s="76" customFormat="1" ht="21.95" customHeight="1" x14ac:dyDescent="0.15"/>
    <row r="29627" s="76" customFormat="1" ht="21.95" customHeight="1" x14ac:dyDescent="0.15"/>
    <row r="29628" s="76" customFormat="1" ht="21.95" customHeight="1" x14ac:dyDescent="0.15"/>
    <row r="29629" s="76" customFormat="1" ht="21.95" customHeight="1" x14ac:dyDescent="0.15"/>
    <row r="29630" s="76" customFormat="1" ht="21.95" customHeight="1" x14ac:dyDescent="0.15"/>
    <row r="29631" s="76" customFormat="1" ht="21.95" customHeight="1" x14ac:dyDescent="0.15"/>
    <row r="29632" s="76" customFormat="1" ht="21.95" customHeight="1" x14ac:dyDescent="0.15"/>
    <row r="29633" s="76" customFormat="1" ht="21.95" customHeight="1" x14ac:dyDescent="0.15"/>
    <row r="29634" s="76" customFormat="1" ht="21.95" customHeight="1" x14ac:dyDescent="0.15"/>
    <row r="29635" s="76" customFormat="1" ht="21.95" customHeight="1" x14ac:dyDescent="0.15"/>
    <row r="29636" s="76" customFormat="1" ht="21.95" customHeight="1" x14ac:dyDescent="0.15"/>
    <row r="29637" s="76" customFormat="1" ht="21.95" customHeight="1" x14ac:dyDescent="0.15"/>
    <row r="29638" s="76" customFormat="1" ht="21.95" customHeight="1" x14ac:dyDescent="0.15"/>
    <row r="29639" s="76" customFormat="1" ht="21.95" customHeight="1" x14ac:dyDescent="0.15"/>
    <row r="29640" s="76" customFormat="1" ht="21.95" customHeight="1" x14ac:dyDescent="0.15"/>
    <row r="29641" s="76" customFormat="1" ht="21.95" customHeight="1" x14ac:dyDescent="0.15"/>
    <row r="29642" s="76" customFormat="1" ht="21.95" customHeight="1" x14ac:dyDescent="0.15"/>
    <row r="29643" s="76" customFormat="1" ht="21.95" customHeight="1" x14ac:dyDescent="0.15"/>
    <row r="29644" s="76" customFormat="1" ht="21.95" customHeight="1" x14ac:dyDescent="0.15"/>
    <row r="29645" s="76" customFormat="1" ht="21.95" customHeight="1" x14ac:dyDescent="0.15"/>
    <row r="29646" s="76" customFormat="1" ht="21.95" customHeight="1" x14ac:dyDescent="0.15"/>
    <row r="29647" s="76" customFormat="1" ht="21.95" customHeight="1" x14ac:dyDescent="0.15"/>
    <row r="29648" s="76" customFormat="1" ht="21.95" customHeight="1" x14ac:dyDescent="0.15"/>
    <row r="29649" s="76" customFormat="1" ht="21.95" customHeight="1" x14ac:dyDescent="0.15"/>
    <row r="29650" s="76" customFormat="1" ht="21.95" customHeight="1" x14ac:dyDescent="0.15"/>
    <row r="29651" s="76" customFormat="1" ht="21.95" customHeight="1" x14ac:dyDescent="0.15"/>
    <row r="29652" s="76" customFormat="1" ht="21.95" customHeight="1" x14ac:dyDescent="0.15"/>
    <row r="29653" s="76" customFormat="1" ht="21.95" customHeight="1" x14ac:dyDescent="0.15"/>
    <row r="29654" s="76" customFormat="1" ht="21.95" customHeight="1" x14ac:dyDescent="0.15"/>
    <row r="29655" s="76" customFormat="1" ht="21.95" customHeight="1" x14ac:dyDescent="0.15"/>
    <row r="29656" s="76" customFormat="1" ht="21.95" customHeight="1" x14ac:dyDescent="0.15"/>
    <row r="29657" s="76" customFormat="1" ht="35.1" customHeight="1" x14ac:dyDescent="0.15"/>
    <row r="29658" s="76" customFormat="1" ht="21.95" customHeight="1" x14ac:dyDescent="0.15"/>
    <row r="29659" s="76" customFormat="1" ht="21.95" customHeight="1" x14ac:dyDescent="0.15"/>
    <row r="29660" s="76" customFormat="1" ht="21.95" customHeight="1" x14ac:dyDescent="0.15"/>
    <row r="29661" s="76" customFormat="1" ht="21.95" customHeight="1" x14ac:dyDescent="0.15"/>
    <row r="29662" s="76" customFormat="1" ht="21.95" customHeight="1" x14ac:dyDescent="0.15"/>
    <row r="29663" s="76" customFormat="1" ht="21.95" customHeight="1" x14ac:dyDescent="0.15"/>
    <row r="29664" s="76" customFormat="1" ht="21.95" customHeight="1" x14ac:dyDescent="0.15"/>
    <row r="29665" s="76" customFormat="1" ht="21.95" customHeight="1" x14ac:dyDescent="0.15"/>
    <row r="29666" s="76" customFormat="1" ht="21.95" customHeight="1" x14ac:dyDescent="0.15"/>
    <row r="29667" s="76" customFormat="1" ht="21.95" customHeight="1" x14ac:dyDescent="0.15"/>
    <row r="29668" s="76" customFormat="1" ht="21.95" customHeight="1" x14ac:dyDescent="0.15"/>
    <row r="29669" s="76" customFormat="1" ht="21.95" customHeight="1" x14ac:dyDescent="0.15"/>
    <row r="29670" s="76" customFormat="1" ht="21.95" customHeight="1" x14ac:dyDescent="0.15"/>
    <row r="29671" s="76" customFormat="1" ht="21.95" customHeight="1" x14ac:dyDescent="0.15"/>
    <row r="29672" s="76" customFormat="1" ht="21.95" customHeight="1" x14ac:dyDescent="0.15"/>
    <row r="29673" s="76" customFormat="1" ht="21.95" customHeight="1" x14ac:dyDescent="0.15"/>
    <row r="29674" s="76" customFormat="1" ht="21.95" customHeight="1" x14ac:dyDescent="0.15"/>
    <row r="29675" s="76" customFormat="1" ht="21.95" customHeight="1" x14ac:dyDescent="0.15"/>
    <row r="29676" s="76" customFormat="1" ht="21.95" customHeight="1" x14ac:dyDescent="0.15"/>
    <row r="29677" s="76" customFormat="1" ht="21.95" customHeight="1" x14ac:dyDescent="0.15"/>
    <row r="29678" s="76" customFormat="1" ht="21.95" customHeight="1" x14ac:dyDescent="0.15"/>
    <row r="29679" s="76" customFormat="1" ht="21.95" customHeight="1" x14ac:dyDescent="0.15"/>
    <row r="29680" s="76" customFormat="1" ht="21.95" customHeight="1" x14ac:dyDescent="0.15"/>
    <row r="29681" spans="3:3" customFormat="1" ht="21.95" customHeight="1" x14ac:dyDescent="0.15"/>
    <row r="29682" spans="3:3" customFormat="1" ht="21.95" customHeight="1" x14ac:dyDescent="0.15"/>
    <row r="29683" spans="3:3" customFormat="1" ht="21.95" customHeight="1" x14ac:dyDescent="0.15">
      <c r="C29683" s="94"/>
    </row>
    <row r="29684" spans="3:3" customFormat="1" ht="21.95" customHeight="1" x14ac:dyDescent="0.15">
      <c r="C29684" s="94"/>
    </row>
    <row r="29685" spans="3:3" customFormat="1" ht="21.95" customHeight="1" x14ac:dyDescent="0.15"/>
    <row r="29686" spans="3:3" customFormat="1" ht="21.95" customHeight="1" x14ac:dyDescent="0.15"/>
    <row r="29687" spans="3:3" customFormat="1" ht="21.95" customHeight="1" x14ac:dyDescent="0.15"/>
    <row r="29688" spans="3:3" customFormat="1" ht="21.95" customHeight="1" x14ac:dyDescent="0.15"/>
    <row r="29689" spans="3:3" customFormat="1" ht="21.95" customHeight="1" x14ac:dyDescent="0.15"/>
    <row r="29690" spans="3:3" customFormat="1" ht="21.95" customHeight="1" x14ac:dyDescent="0.15"/>
    <row r="29691" spans="3:3" customFormat="1" ht="21.95" customHeight="1" x14ac:dyDescent="0.15"/>
    <row r="29692" spans="3:3" s="76" customFormat="1" ht="21.95" customHeight="1" x14ac:dyDescent="0.15"/>
    <row r="29693" spans="3:3" s="76" customFormat="1" ht="21.95" customHeight="1" x14ac:dyDescent="0.15"/>
    <row r="29694" spans="3:3" s="76" customFormat="1" ht="21.95" customHeight="1" x14ac:dyDescent="0.15"/>
    <row r="29695" spans="3:3" s="76" customFormat="1" ht="21.95" customHeight="1" x14ac:dyDescent="0.15"/>
    <row r="29696" spans="3:3" customFormat="1" ht="21.95" customHeight="1" x14ac:dyDescent="0.15"/>
    <row r="29697" customFormat="1" ht="21.95" customHeight="1" x14ac:dyDescent="0.15"/>
    <row r="29698" customFormat="1" ht="21.95" customHeight="1" x14ac:dyDescent="0.15"/>
    <row r="29699" customFormat="1" ht="21.95" customHeight="1" x14ac:dyDescent="0.15"/>
    <row r="29700" customFormat="1" ht="21.95" customHeight="1" x14ac:dyDescent="0.15"/>
    <row r="29701" customFormat="1" ht="21.95" customHeight="1" x14ac:dyDescent="0.15"/>
    <row r="29702" customFormat="1" ht="21.95" customHeight="1" x14ac:dyDescent="0.15"/>
    <row r="29703" customFormat="1" ht="21.95" customHeight="1" x14ac:dyDescent="0.15"/>
    <row r="29704" customFormat="1" ht="21.95" customHeight="1" x14ac:dyDescent="0.15"/>
    <row r="29705" customFormat="1" ht="21.95" customHeight="1" x14ac:dyDescent="0.15"/>
    <row r="29706" customFormat="1" ht="21.95" customHeight="1" x14ac:dyDescent="0.15"/>
    <row r="29707" customFormat="1" ht="32.1" customHeight="1" x14ac:dyDescent="0.15"/>
    <row r="29708" customFormat="1" ht="32.1" customHeight="1" x14ac:dyDescent="0.15"/>
    <row r="29709" customFormat="1" ht="32.1" customHeight="1" x14ac:dyDescent="0.15"/>
    <row r="29710" customFormat="1" ht="32.1" customHeight="1" x14ac:dyDescent="0.15"/>
    <row r="29711" customFormat="1" ht="32.1" customHeight="1" x14ac:dyDescent="0.15"/>
    <row r="29712" customFormat="1" ht="32.1" customHeight="1" x14ac:dyDescent="0.15"/>
    <row r="29713" s="76" customFormat="1" ht="32.1" customHeight="1" x14ac:dyDescent="0.15"/>
    <row r="29714" s="76" customFormat="1" ht="32.1" customHeight="1" x14ac:dyDescent="0.15"/>
    <row r="29715" s="76" customFormat="1" ht="32.1" customHeight="1" x14ac:dyDescent="0.15"/>
    <row r="29716" s="76" customFormat="1" ht="32.1" customHeight="1" x14ac:dyDescent="0.15"/>
    <row r="29717" s="76" customFormat="1" ht="21.95" customHeight="1" x14ac:dyDescent="0.15"/>
    <row r="29718" s="76" customFormat="1" ht="54" customHeight="1" x14ac:dyDescent="0.15"/>
    <row r="29719" s="76" customFormat="1" ht="21.95" customHeight="1" x14ac:dyDescent="0.15"/>
    <row r="29720" s="76" customFormat="1" ht="21.95" customHeight="1" x14ac:dyDescent="0.15"/>
    <row r="29721" s="76" customFormat="1" ht="21.95" customHeight="1" x14ac:dyDescent="0.15"/>
    <row r="29722" s="76" customFormat="1" ht="21.95" customHeight="1" x14ac:dyDescent="0.15"/>
    <row r="29723" s="76" customFormat="1" ht="21.95" customHeight="1" x14ac:dyDescent="0.15"/>
    <row r="29724" s="76" customFormat="1" ht="21.95" customHeight="1" x14ac:dyDescent="0.15"/>
    <row r="29725" s="76" customFormat="1" ht="21.95" customHeight="1" x14ac:dyDescent="0.15"/>
    <row r="29726" s="76" customFormat="1" ht="21.95" customHeight="1" x14ac:dyDescent="0.15"/>
    <row r="29727" s="76" customFormat="1" ht="21.95" customHeight="1" x14ac:dyDescent="0.15"/>
    <row r="29728" s="76" customFormat="1" ht="21.95" customHeight="1" x14ac:dyDescent="0.15"/>
    <row r="29729" s="76" customFormat="1" ht="21.95" customHeight="1" x14ac:dyDescent="0.15"/>
    <row r="29730" s="76" customFormat="1" ht="21.95" customHeight="1" x14ac:dyDescent="0.15"/>
    <row r="29731" s="76" customFormat="1" ht="21.95" customHeight="1" x14ac:dyDescent="0.15"/>
    <row r="29732" s="76" customFormat="1" ht="21.95" customHeight="1" x14ac:dyDescent="0.15"/>
    <row r="29733" s="76" customFormat="1" ht="21.95" customHeight="1" x14ac:dyDescent="0.15"/>
    <row r="29734" s="76" customFormat="1" ht="21.95" customHeight="1" x14ac:dyDescent="0.15"/>
    <row r="29735" s="76" customFormat="1" ht="21.95" customHeight="1" x14ac:dyDescent="0.15"/>
    <row r="29736" s="76" customFormat="1" ht="21.95" customHeight="1" x14ac:dyDescent="0.15"/>
    <row r="29737" s="76" customFormat="1" ht="21.95" customHeight="1" x14ac:dyDescent="0.15"/>
    <row r="29738" s="76" customFormat="1" ht="21.95" customHeight="1" x14ac:dyDescent="0.15"/>
    <row r="29739" s="76" customFormat="1" ht="21.95" customHeight="1" x14ac:dyDescent="0.15"/>
    <row r="29740" s="76" customFormat="1" ht="21.95" customHeight="1" x14ac:dyDescent="0.15"/>
    <row r="29741" s="76" customFormat="1" ht="21.95" customHeight="1" x14ac:dyDescent="0.15"/>
    <row r="29742" s="76" customFormat="1" ht="21.95" customHeight="1" x14ac:dyDescent="0.15"/>
    <row r="29743" s="76" customFormat="1" ht="21.95" customHeight="1" x14ac:dyDescent="0.15"/>
    <row r="29744" s="76" customFormat="1" ht="21.95" customHeight="1" x14ac:dyDescent="0.15"/>
    <row r="29745" s="76" customFormat="1" ht="21.95" customHeight="1" x14ac:dyDescent="0.15"/>
    <row r="29746" s="76" customFormat="1" ht="21.95" customHeight="1" x14ac:dyDescent="0.15"/>
    <row r="29747" s="76" customFormat="1" ht="21.95" customHeight="1" x14ac:dyDescent="0.15"/>
    <row r="29748" s="76" customFormat="1" ht="21.95" customHeight="1" x14ac:dyDescent="0.15"/>
    <row r="29749" s="76" customFormat="1" ht="21.95" customHeight="1" x14ac:dyDescent="0.15"/>
    <row r="29750" s="76" customFormat="1" ht="21.95" customHeight="1" x14ac:dyDescent="0.15"/>
    <row r="29751" s="76" customFormat="1" ht="21.95" customHeight="1" x14ac:dyDescent="0.15"/>
    <row r="29752" s="76" customFormat="1" ht="21.95" customHeight="1" x14ac:dyDescent="0.15"/>
    <row r="29753" s="76" customFormat="1" ht="21.95" customHeight="1" x14ac:dyDescent="0.15"/>
    <row r="29754" s="76" customFormat="1" ht="21.95" customHeight="1" x14ac:dyDescent="0.15"/>
    <row r="29755" s="76" customFormat="1" ht="21.95" customHeight="1" x14ac:dyDescent="0.15"/>
    <row r="29756" s="76" customFormat="1" ht="21.95" customHeight="1" x14ac:dyDescent="0.15"/>
    <row r="29757" s="76" customFormat="1" ht="21.95" customHeight="1" x14ac:dyDescent="0.15"/>
    <row r="29758" s="76" customFormat="1" ht="21.95" customHeight="1" x14ac:dyDescent="0.15"/>
    <row r="29759" s="76" customFormat="1" ht="21.95" customHeight="1" x14ac:dyDescent="0.15"/>
    <row r="29760" s="76" customFormat="1" ht="21.95" customHeight="1" x14ac:dyDescent="0.15"/>
    <row r="29761" s="76" customFormat="1" ht="21.95" customHeight="1" x14ac:dyDescent="0.15"/>
    <row r="29762" s="76" customFormat="1" ht="21.95" customHeight="1" x14ac:dyDescent="0.15"/>
    <row r="29763" s="76" customFormat="1" ht="21.95" customHeight="1" x14ac:dyDescent="0.15"/>
    <row r="29764" s="76" customFormat="1" ht="21.95" customHeight="1" x14ac:dyDescent="0.15"/>
    <row r="29765" s="76" customFormat="1" ht="21.95" customHeight="1" x14ac:dyDescent="0.15"/>
    <row r="29766" s="76" customFormat="1" ht="21.95" customHeight="1" x14ac:dyDescent="0.15"/>
    <row r="29767" s="76" customFormat="1" ht="21.95" customHeight="1" x14ac:dyDescent="0.15"/>
    <row r="29768" s="76" customFormat="1" ht="21.95" customHeight="1" x14ac:dyDescent="0.15"/>
    <row r="29769" s="76" customFormat="1" ht="35.1" customHeight="1" x14ac:dyDescent="0.15"/>
    <row r="29770" s="76" customFormat="1" ht="21.95" customHeight="1" x14ac:dyDescent="0.15"/>
    <row r="29771" s="76" customFormat="1" ht="21.95" customHeight="1" x14ac:dyDescent="0.15"/>
    <row r="29772" s="76" customFormat="1" ht="21.95" customHeight="1" x14ac:dyDescent="0.15"/>
    <row r="29773" s="76" customFormat="1" ht="21.95" customHeight="1" x14ac:dyDescent="0.15"/>
    <row r="29774" s="76" customFormat="1" ht="21.95" customHeight="1" x14ac:dyDescent="0.15"/>
    <row r="29775" s="76" customFormat="1" ht="21.95" customHeight="1" x14ac:dyDescent="0.15"/>
    <row r="29776" s="76" customFormat="1" ht="21.95" customHeight="1" x14ac:dyDescent="0.15"/>
    <row r="29777" s="76" customFormat="1" ht="21.95" customHeight="1" x14ac:dyDescent="0.15"/>
    <row r="29778" s="76" customFormat="1" ht="21.95" customHeight="1" x14ac:dyDescent="0.15"/>
    <row r="29779" s="76" customFormat="1" ht="21.95" customHeight="1" x14ac:dyDescent="0.15"/>
    <row r="29780" s="76" customFormat="1" ht="21.95" customHeight="1" x14ac:dyDescent="0.15"/>
    <row r="29781" s="76" customFormat="1" ht="21.95" customHeight="1" x14ac:dyDescent="0.15"/>
    <row r="29782" s="76" customFormat="1" ht="21.95" customHeight="1" x14ac:dyDescent="0.15"/>
    <row r="29783" s="76" customFormat="1" ht="21.95" customHeight="1" x14ac:dyDescent="0.15"/>
    <row r="29784" s="76" customFormat="1" ht="21.95" customHeight="1" x14ac:dyDescent="0.15"/>
    <row r="29785" s="76" customFormat="1" ht="21.95" customHeight="1" x14ac:dyDescent="0.15"/>
    <row r="29786" s="76" customFormat="1" ht="21.95" customHeight="1" x14ac:dyDescent="0.15"/>
    <row r="29787" s="76" customFormat="1" ht="21.95" customHeight="1" x14ac:dyDescent="0.15"/>
    <row r="29788" s="76" customFormat="1" ht="21.95" customHeight="1" x14ac:dyDescent="0.15"/>
    <row r="29789" s="76" customFormat="1" ht="21.95" customHeight="1" x14ac:dyDescent="0.15"/>
    <row r="29790" s="76" customFormat="1" ht="21.95" customHeight="1" x14ac:dyDescent="0.15"/>
    <row r="29791" s="76" customFormat="1" ht="21.95" customHeight="1" x14ac:dyDescent="0.15"/>
    <row r="29792" s="76" customFormat="1" ht="21.95" customHeight="1" x14ac:dyDescent="0.15"/>
    <row r="29793" spans="3:3" customFormat="1" ht="21.95" customHeight="1" x14ac:dyDescent="0.15"/>
    <row r="29794" spans="3:3" customFormat="1" ht="21.95" customHeight="1" x14ac:dyDescent="0.15"/>
    <row r="29795" spans="3:3" customFormat="1" ht="21.95" customHeight="1" x14ac:dyDescent="0.15">
      <c r="C29795" s="94"/>
    </row>
    <row r="29796" spans="3:3" customFormat="1" ht="21.95" customHeight="1" x14ac:dyDescent="0.15">
      <c r="C29796" s="94"/>
    </row>
    <row r="29797" spans="3:3" customFormat="1" ht="21.95" customHeight="1" x14ac:dyDescent="0.15"/>
    <row r="29798" spans="3:3" customFormat="1" ht="21.95" customHeight="1" x14ac:dyDescent="0.15"/>
    <row r="29799" spans="3:3" customFormat="1" ht="21.95" customHeight="1" x14ac:dyDescent="0.15"/>
    <row r="29800" spans="3:3" customFormat="1" ht="21.95" customHeight="1" x14ac:dyDescent="0.15"/>
    <row r="29801" spans="3:3" customFormat="1" ht="21.95" customHeight="1" x14ac:dyDescent="0.15"/>
    <row r="29802" spans="3:3" customFormat="1" ht="21.95" customHeight="1" x14ac:dyDescent="0.15"/>
    <row r="29803" spans="3:3" customFormat="1" ht="21.95" customHeight="1" x14ac:dyDescent="0.15"/>
    <row r="29804" spans="3:3" s="76" customFormat="1" ht="21.95" customHeight="1" x14ac:dyDescent="0.15"/>
    <row r="29805" spans="3:3" s="76" customFormat="1" ht="21.95" customHeight="1" x14ac:dyDescent="0.15"/>
    <row r="29806" spans="3:3" s="76" customFormat="1" ht="21.95" customHeight="1" x14ac:dyDescent="0.15"/>
    <row r="29807" spans="3:3" s="76" customFormat="1" ht="21.95" customHeight="1" x14ac:dyDescent="0.15"/>
    <row r="29808" spans="3:3" customFormat="1" ht="21.95" customHeight="1" x14ac:dyDescent="0.15"/>
    <row r="29809" customFormat="1" ht="21.95" customHeight="1" x14ac:dyDescent="0.15"/>
    <row r="29810" customFormat="1" ht="21.95" customHeight="1" x14ac:dyDescent="0.15"/>
    <row r="29811" customFormat="1" ht="21.95" customHeight="1" x14ac:dyDescent="0.15"/>
    <row r="29812" customFormat="1" ht="21.95" customHeight="1" x14ac:dyDescent="0.15"/>
    <row r="29813" customFormat="1" ht="21.95" customHeight="1" x14ac:dyDescent="0.15"/>
    <row r="29814" customFormat="1" ht="21.95" customHeight="1" x14ac:dyDescent="0.15"/>
    <row r="29815" customFormat="1" ht="21.95" customHeight="1" x14ac:dyDescent="0.15"/>
    <row r="29816" customFormat="1" ht="21.95" customHeight="1" x14ac:dyDescent="0.15"/>
    <row r="29817" customFormat="1" ht="21.95" customHeight="1" x14ac:dyDescent="0.15"/>
    <row r="29818" customFormat="1" ht="21.95" customHeight="1" x14ac:dyDescent="0.15"/>
    <row r="29819" customFormat="1" ht="32.1" customHeight="1" x14ac:dyDescent="0.15"/>
    <row r="29820" customFormat="1" ht="32.1" customHeight="1" x14ac:dyDescent="0.15"/>
    <row r="29821" customFormat="1" ht="32.1" customHeight="1" x14ac:dyDescent="0.15"/>
    <row r="29822" customFormat="1" ht="32.1" customHeight="1" x14ac:dyDescent="0.15"/>
    <row r="29823" customFormat="1" ht="32.1" customHeight="1" x14ac:dyDescent="0.15"/>
    <row r="29824" customFormat="1" ht="32.1" customHeight="1" x14ac:dyDescent="0.15"/>
    <row r="29825" s="76" customFormat="1" ht="32.1" customHeight="1" x14ac:dyDescent="0.15"/>
    <row r="29826" s="76" customFormat="1" ht="32.1" customHeight="1" x14ac:dyDescent="0.15"/>
    <row r="29827" s="76" customFormat="1" ht="32.1" customHeight="1" x14ac:dyDescent="0.15"/>
    <row r="29828" s="76" customFormat="1" ht="32.1" customHeight="1" x14ac:dyDescent="0.15"/>
    <row r="29829" s="76" customFormat="1" ht="21.95" customHeight="1" x14ac:dyDescent="0.15"/>
    <row r="29830" s="76" customFormat="1" ht="54" customHeight="1" x14ac:dyDescent="0.15"/>
    <row r="29831" s="76" customFormat="1" ht="21.95" customHeight="1" x14ac:dyDescent="0.15"/>
    <row r="29832" s="76" customFormat="1" ht="21.95" customHeight="1" x14ac:dyDescent="0.15"/>
    <row r="29833" s="76" customFormat="1" ht="21.95" customHeight="1" x14ac:dyDescent="0.15"/>
    <row r="29834" s="76" customFormat="1" ht="21.95" customHeight="1" x14ac:dyDescent="0.15"/>
    <row r="29835" s="76" customFormat="1" ht="21.95" customHeight="1" x14ac:dyDescent="0.15"/>
    <row r="29836" s="76" customFormat="1" ht="21.95" customHeight="1" x14ac:dyDescent="0.15"/>
    <row r="29837" s="76" customFormat="1" ht="21.95" customHeight="1" x14ac:dyDescent="0.15"/>
    <row r="29838" s="76" customFormat="1" ht="21.95" customHeight="1" x14ac:dyDescent="0.15"/>
    <row r="29839" s="76" customFormat="1" ht="21.95" customHeight="1" x14ac:dyDescent="0.15"/>
    <row r="29840" s="76" customFormat="1" ht="21.95" customHeight="1" x14ac:dyDescent="0.15"/>
    <row r="29841" s="76" customFormat="1" ht="21.95" customHeight="1" x14ac:dyDescent="0.15"/>
    <row r="29842" s="76" customFormat="1" ht="21.95" customHeight="1" x14ac:dyDescent="0.15"/>
    <row r="29843" s="76" customFormat="1" ht="21.95" customHeight="1" x14ac:dyDescent="0.15"/>
    <row r="29844" s="76" customFormat="1" ht="21.95" customHeight="1" x14ac:dyDescent="0.15"/>
    <row r="29845" s="76" customFormat="1" ht="21.95" customHeight="1" x14ac:dyDescent="0.15"/>
    <row r="29846" s="76" customFormat="1" ht="21.95" customHeight="1" x14ac:dyDescent="0.15"/>
    <row r="29847" s="76" customFormat="1" ht="21.95" customHeight="1" x14ac:dyDescent="0.15"/>
    <row r="29848" s="76" customFormat="1" ht="21.95" customHeight="1" x14ac:dyDescent="0.15"/>
    <row r="29849" s="76" customFormat="1" ht="21.95" customHeight="1" x14ac:dyDescent="0.15"/>
    <row r="29850" s="76" customFormat="1" ht="21.95" customHeight="1" x14ac:dyDescent="0.15"/>
    <row r="29851" s="76" customFormat="1" ht="21.95" customHeight="1" x14ac:dyDescent="0.15"/>
    <row r="29852" s="76" customFormat="1" ht="21.95" customHeight="1" x14ac:dyDescent="0.15"/>
    <row r="29853" s="76" customFormat="1" ht="21.95" customHeight="1" x14ac:dyDescent="0.15"/>
    <row r="29854" s="76" customFormat="1" ht="21.95" customHeight="1" x14ac:dyDescent="0.15"/>
    <row r="29855" s="76" customFormat="1" ht="21.95" customHeight="1" x14ac:dyDescent="0.15"/>
    <row r="29856" s="76" customFormat="1" ht="21.95" customHeight="1" x14ac:dyDescent="0.15"/>
    <row r="29857" s="76" customFormat="1" ht="21.95" customHeight="1" x14ac:dyDescent="0.15"/>
    <row r="29858" s="76" customFormat="1" ht="21.95" customHeight="1" x14ac:dyDescent="0.15"/>
    <row r="29859" s="76" customFormat="1" ht="21.95" customHeight="1" x14ac:dyDescent="0.15"/>
    <row r="29860" s="76" customFormat="1" ht="21.95" customHeight="1" x14ac:dyDescent="0.15"/>
    <row r="29861" s="76" customFormat="1" ht="21.95" customHeight="1" x14ac:dyDescent="0.15"/>
    <row r="29862" s="76" customFormat="1" ht="21.95" customHeight="1" x14ac:dyDescent="0.15"/>
    <row r="29863" s="76" customFormat="1" ht="21.95" customHeight="1" x14ac:dyDescent="0.15"/>
    <row r="29864" s="76" customFormat="1" ht="21.95" customHeight="1" x14ac:dyDescent="0.15"/>
    <row r="29865" s="76" customFormat="1" ht="21.95" customHeight="1" x14ac:dyDescent="0.15"/>
    <row r="29866" s="76" customFormat="1" ht="21.95" customHeight="1" x14ac:dyDescent="0.15"/>
    <row r="29867" s="76" customFormat="1" ht="21.95" customHeight="1" x14ac:dyDescent="0.15"/>
    <row r="29868" s="76" customFormat="1" ht="21.95" customHeight="1" x14ac:dyDescent="0.15"/>
    <row r="29869" s="76" customFormat="1" ht="21.95" customHeight="1" x14ac:dyDescent="0.15"/>
    <row r="29870" s="76" customFormat="1" ht="21.95" customHeight="1" x14ac:dyDescent="0.15"/>
    <row r="29871" s="76" customFormat="1" ht="21.95" customHeight="1" x14ac:dyDescent="0.15"/>
    <row r="29872" s="76" customFormat="1" ht="21.95" customHeight="1" x14ac:dyDescent="0.15"/>
    <row r="29873" s="76" customFormat="1" ht="21.95" customHeight="1" x14ac:dyDescent="0.15"/>
    <row r="29874" s="76" customFormat="1" ht="21.95" customHeight="1" x14ac:dyDescent="0.15"/>
    <row r="29875" s="76" customFormat="1" ht="21.95" customHeight="1" x14ac:dyDescent="0.15"/>
    <row r="29876" s="76" customFormat="1" ht="21.95" customHeight="1" x14ac:dyDescent="0.15"/>
    <row r="29877" s="76" customFormat="1" ht="21.95" customHeight="1" x14ac:dyDescent="0.15"/>
    <row r="29878" s="76" customFormat="1" ht="21.95" customHeight="1" x14ac:dyDescent="0.15"/>
    <row r="29879" s="76" customFormat="1" ht="21.95" customHeight="1" x14ac:dyDescent="0.15"/>
    <row r="29880" s="76" customFormat="1" ht="21.95" customHeight="1" x14ac:dyDescent="0.15"/>
    <row r="29881" s="76" customFormat="1" ht="35.1" customHeight="1" x14ac:dyDescent="0.15"/>
    <row r="29882" s="76" customFormat="1" ht="21.95" customHeight="1" x14ac:dyDescent="0.15"/>
    <row r="29883" s="76" customFormat="1" ht="21.95" customHeight="1" x14ac:dyDescent="0.15"/>
    <row r="29884" s="76" customFormat="1" ht="21.95" customHeight="1" x14ac:dyDescent="0.15"/>
    <row r="29885" s="76" customFormat="1" ht="21.95" customHeight="1" x14ac:dyDescent="0.15"/>
    <row r="29886" s="76" customFormat="1" ht="21.95" customHeight="1" x14ac:dyDescent="0.15"/>
    <row r="29887" s="76" customFormat="1" ht="21.95" customHeight="1" x14ac:dyDescent="0.15"/>
    <row r="29888" s="76" customFormat="1" ht="21.95" customHeight="1" x14ac:dyDescent="0.15"/>
    <row r="29889" s="76" customFormat="1" ht="21.95" customHeight="1" x14ac:dyDescent="0.15"/>
    <row r="29890" s="76" customFormat="1" ht="21.95" customHeight="1" x14ac:dyDescent="0.15"/>
    <row r="29891" s="76" customFormat="1" ht="21.95" customHeight="1" x14ac:dyDescent="0.15"/>
    <row r="29892" s="76" customFormat="1" ht="21.95" customHeight="1" x14ac:dyDescent="0.15"/>
    <row r="29893" s="76" customFormat="1" ht="21.95" customHeight="1" x14ac:dyDescent="0.15"/>
    <row r="29894" s="76" customFormat="1" ht="21.95" customHeight="1" x14ac:dyDescent="0.15"/>
    <row r="29895" s="76" customFormat="1" ht="21.95" customHeight="1" x14ac:dyDescent="0.15"/>
    <row r="29896" s="76" customFormat="1" ht="21.95" customHeight="1" x14ac:dyDescent="0.15"/>
    <row r="29897" s="76" customFormat="1" ht="21.95" customHeight="1" x14ac:dyDescent="0.15"/>
    <row r="29898" s="76" customFormat="1" ht="21.95" customHeight="1" x14ac:dyDescent="0.15"/>
    <row r="29899" s="76" customFormat="1" ht="21.95" customHeight="1" x14ac:dyDescent="0.15"/>
    <row r="29900" s="76" customFormat="1" ht="21.95" customHeight="1" x14ac:dyDescent="0.15"/>
    <row r="29901" s="76" customFormat="1" ht="21.95" customHeight="1" x14ac:dyDescent="0.15"/>
    <row r="29902" s="76" customFormat="1" ht="21.95" customHeight="1" x14ac:dyDescent="0.15"/>
    <row r="29903" s="76" customFormat="1" ht="21.95" customHeight="1" x14ac:dyDescent="0.15"/>
    <row r="29904" s="76" customFormat="1" ht="21.95" customHeight="1" x14ac:dyDescent="0.15"/>
    <row r="29905" spans="3:3" customFormat="1" ht="21.95" customHeight="1" x14ac:dyDescent="0.15"/>
    <row r="29906" spans="3:3" customFormat="1" ht="21.95" customHeight="1" x14ac:dyDescent="0.15"/>
    <row r="29907" spans="3:3" customFormat="1" ht="21.95" customHeight="1" x14ac:dyDescent="0.15">
      <c r="C29907" s="94"/>
    </row>
    <row r="29908" spans="3:3" customFormat="1" ht="21.95" customHeight="1" x14ac:dyDescent="0.15">
      <c r="C29908" s="94"/>
    </row>
    <row r="29909" spans="3:3" customFormat="1" ht="21.95" customHeight="1" x14ac:dyDescent="0.15"/>
    <row r="29910" spans="3:3" customFormat="1" ht="21.95" customHeight="1" x14ac:dyDescent="0.15"/>
    <row r="29911" spans="3:3" customFormat="1" ht="21.95" customHeight="1" x14ac:dyDescent="0.15"/>
    <row r="29912" spans="3:3" customFormat="1" ht="21.95" customHeight="1" x14ac:dyDescent="0.15"/>
    <row r="29913" spans="3:3" customFormat="1" ht="21.95" customHeight="1" x14ac:dyDescent="0.15"/>
    <row r="29914" spans="3:3" customFormat="1" ht="21.95" customHeight="1" x14ac:dyDescent="0.15"/>
    <row r="29915" spans="3:3" customFormat="1" ht="21.95" customHeight="1" x14ac:dyDescent="0.15"/>
    <row r="29916" spans="3:3" s="76" customFormat="1" ht="21.95" customHeight="1" x14ac:dyDescent="0.15"/>
    <row r="29917" spans="3:3" s="76" customFormat="1" ht="21.95" customHeight="1" x14ac:dyDescent="0.15"/>
    <row r="29918" spans="3:3" s="76" customFormat="1" ht="21.95" customHeight="1" x14ac:dyDescent="0.15"/>
    <row r="29919" spans="3:3" s="76" customFormat="1" ht="21.95" customHeight="1" x14ac:dyDescent="0.15"/>
    <row r="29920" spans="3:3" customFormat="1" ht="21.95" customHeight="1" x14ac:dyDescent="0.15"/>
    <row r="29921" customFormat="1" ht="21.95" customHeight="1" x14ac:dyDescent="0.15"/>
    <row r="29922" customFormat="1" ht="21.95" customHeight="1" x14ac:dyDescent="0.15"/>
    <row r="29923" customFormat="1" ht="21.95" customHeight="1" x14ac:dyDescent="0.15"/>
    <row r="29924" customFormat="1" ht="21.95" customHeight="1" x14ac:dyDescent="0.15"/>
    <row r="29925" customFormat="1" ht="21.95" customHeight="1" x14ac:dyDescent="0.15"/>
    <row r="29926" customFormat="1" ht="21.95" customHeight="1" x14ac:dyDescent="0.15"/>
    <row r="29927" customFormat="1" ht="21.95" customHeight="1" x14ac:dyDescent="0.15"/>
    <row r="29928" customFormat="1" ht="21.95" customHeight="1" x14ac:dyDescent="0.15"/>
    <row r="29929" customFormat="1" ht="21.95" customHeight="1" x14ac:dyDescent="0.15"/>
    <row r="29930" customFormat="1" ht="21.95" customHeight="1" x14ac:dyDescent="0.15"/>
    <row r="29931" customFormat="1" ht="32.1" customHeight="1" x14ac:dyDescent="0.15"/>
    <row r="29932" customFormat="1" ht="32.1" customHeight="1" x14ac:dyDescent="0.15"/>
    <row r="29933" customFormat="1" ht="32.1" customHeight="1" x14ac:dyDescent="0.15"/>
    <row r="29934" customFormat="1" ht="32.1" customHeight="1" x14ac:dyDescent="0.15"/>
    <row r="29935" customFormat="1" ht="32.1" customHeight="1" x14ac:dyDescent="0.15"/>
    <row r="29936" customFormat="1" ht="32.1" customHeight="1" x14ac:dyDescent="0.15"/>
    <row r="29937" s="76" customFormat="1" ht="32.1" customHeight="1" x14ac:dyDescent="0.15"/>
    <row r="29938" s="76" customFormat="1" ht="32.1" customHeight="1" x14ac:dyDescent="0.15"/>
    <row r="29939" s="76" customFormat="1" ht="32.1" customHeight="1" x14ac:dyDescent="0.15"/>
    <row r="29940" s="76" customFormat="1" ht="32.1" customHeight="1" x14ac:dyDescent="0.15"/>
    <row r="29941" s="76" customFormat="1" ht="21.95" customHeight="1" x14ac:dyDescent="0.15"/>
    <row r="29942" s="76" customFormat="1" ht="54" customHeight="1" x14ac:dyDescent="0.15"/>
    <row r="29943" s="76" customFormat="1" ht="21.95" customHeight="1" x14ac:dyDescent="0.15"/>
    <row r="29944" s="76" customFormat="1" ht="21.95" customHeight="1" x14ac:dyDescent="0.15"/>
    <row r="29945" s="76" customFormat="1" ht="21.95" customHeight="1" x14ac:dyDescent="0.15"/>
    <row r="29946" s="76" customFormat="1" ht="21.95" customHeight="1" x14ac:dyDescent="0.15"/>
    <row r="29947" s="76" customFormat="1" ht="21.95" customHeight="1" x14ac:dyDescent="0.15"/>
    <row r="29948" s="76" customFormat="1" ht="21.95" customHeight="1" x14ac:dyDescent="0.15"/>
    <row r="29949" s="76" customFormat="1" ht="21.95" customHeight="1" x14ac:dyDescent="0.15"/>
    <row r="29950" s="76" customFormat="1" ht="21.95" customHeight="1" x14ac:dyDescent="0.15"/>
    <row r="29951" s="76" customFormat="1" ht="21.95" customHeight="1" x14ac:dyDescent="0.15"/>
    <row r="29952" s="76" customFormat="1" ht="21.95" customHeight="1" x14ac:dyDescent="0.15"/>
    <row r="29953" s="76" customFormat="1" ht="21.95" customHeight="1" x14ac:dyDescent="0.15"/>
    <row r="29954" s="76" customFormat="1" ht="21.95" customHeight="1" x14ac:dyDescent="0.15"/>
    <row r="29955" s="76" customFormat="1" ht="21.95" customHeight="1" x14ac:dyDescent="0.15"/>
    <row r="29956" s="76" customFormat="1" ht="21.95" customHeight="1" x14ac:dyDescent="0.15"/>
    <row r="29957" s="76" customFormat="1" ht="21.95" customHeight="1" x14ac:dyDescent="0.15"/>
    <row r="29958" s="76" customFormat="1" ht="21.95" customHeight="1" x14ac:dyDescent="0.15"/>
    <row r="29959" s="76" customFormat="1" ht="21.95" customHeight="1" x14ac:dyDescent="0.15"/>
    <row r="29960" s="76" customFormat="1" ht="21.95" customHeight="1" x14ac:dyDescent="0.15"/>
    <row r="29961" s="76" customFormat="1" ht="21.95" customHeight="1" x14ac:dyDescent="0.15"/>
    <row r="29962" s="76" customFormat="1" ht="21.95" customHeight="1" x14ac:dyDescent="0.15"/>
    <row r="29963" s="76" customFormat="1" ht="21.95" customHeight="1" x14ac:dyDescent="0.15"/>
    <row r="29964" s="76" customFormat="1" ht="21.95" customHeight="1" x14ac:dyDescent="0.15"/>
    <row r="29965" s="76" customFormat="1" ht="21.95" customHeight="1" x14ac:dyDescent="0.15"/>
    <row r="29966" s="76" customFormat="1" ht="21.95" customHeight="1" x14ac:dyDescent="0.15"/>
    <row r="29967" s="76" customFormat="1" ht="21.95" customHeight="1" x14ac:dyDescent="0.15"/>
    <row r="29968" s="76" customFormat="1" ht="21.95" customHeight="1" x14ac:dyDescent="0.15"/>
    <row r="29969" s="76" customFormat="1" ht="21.95" customHeight="1" x14ac:dyDescent="0.15"/>
    <row r="29970" s="76" customFormat="1" ht="21.95" customHeight="1" x14ac:dyDescent="0.15"/>
    <row r="29971" s="76" customFormat="1" ht="21.95" customHeight="1" x14ac:dyDescent="0.15"/>
    <row r="29972" s="76" customFormat="1" ht="21.95" customHeight="1" x14ac:dyDescent="0.15"/>
    <row r="29973" s="76" customFormat="1" ht="21.95" customHeight="1" x14ac:dyDescent="0.15"/>
    <row r="29974" s="76" customFormat="1" ht="21.95" customHeight="1" x14ac:dyDescent="0.15"/>
    <row r="29975" s="76" customFormat="1" ht="21.95" customHeight="1" x14ac:dyDescent="0.15"/>
    <row r="29976" s="76" customFormat="1" ht="21.95" customHeight="1" x14ac:dyDescent="0.15"/>
    <row r="29977" s="76" customFormat="1" ht="21.95" customHeight="1" x14ac:dyDescent="0.15"/>
    <row r="29978" s="76" customFormat="1" ht="21.95" customHeight="1" x14ac:dyDescent="0.15"/>
    <row r="29979" s="76" customFormat="1" ht="21.95" customHeight="1" x14ac:dyDescent="0.15"/>
    <row r="29980" s="76" customFormat="1" ht="21.95" customHeight="1" x14ac:dyDescent="0.15"/>
    <row r="29981" s="76" customFormat="1" ht="21.95" customHeight="1" x14ac:dyDescent="0.15"/>
    <row r="29982" s="76" customFormat="1" ht="21.95" customHeight="1" x14ac:dyDescent="0.15"/>
    <row r="29983" s="76" customFormat="1" ht="21.95" customHeight="1" x14ac:dyDescent="0.15"/>
    <row r="29984" s="76" customFormat="1" ht="21.95" customHeight="1" x14ac:dyDescent="0.15"/>
    <row r="29985" s="76" customFormat="1" ht="21.95" customHeight="1" x14ac:dyDescent="0.15"/>
    <row r="29986" s="76" customFormat="1" ht="21.95" customHeight="1" x14ac:dyDescent="0.15"/>
    <row r="29987" s="76" customFormat="1" ht="21.95" customHeight="1" x14ac:dyDescent="0.15"/>
    <row r="29988" s="76" customFormat="1" ht="21.95" customHeight="1" x14ac:dyDescent="0.15"/>
    <row r="29989" s="76" customFormat="1" ht="21.95" customHeight="1" x14ac:dyDescent="0.15"/>
    <row r="29990" s="76" customFormat="1" ht="21.95" customHeight="1" x14ac:dyDescent="0.15"/>
    <row r="29991" s="76" customFormat="1" ht="21.95" customHeight="1" x14ac:dyDescent="0.15"/>
    <row r="29992" s="76" customFormat="1" ht="21.95" customHeight="1" x14ac:dyDescent="0.15"/>
    <row r="29993" s="76" customFormat="1" ht="35.1" customHeight="1" x14ac:dyDescent="0.15"/>
    <row r="29994" s="76" customFormat="1" ht="21.95" customHeight="1" x14ac:dyDescent="0.15"/>
    <row r="29995" s="76" customFormat="1" ht="21.95" customHeight="1" x14ac:dyDescent="0.15"/>
    <row r="29996" s="76" customFormat="1" ht="21.95" customHeight="1" x14ac:dyDescent="0.15"/>
    <row r="29997" s="76" customFormat="1" ht="21.95" customHeight="1" x14ac:dyDescent="0.15"/>
    <row r="29998" s="76" customFormat="1" ht="21.95" customHeight="1" x14ac:dyDescent="0.15"/>
    <row r="29999" s="76" customFormat="1" ht="21.95" customHeight="1" x14ac:dyDescent="0.15"/>
    <row r="30000" s="76" customFormat="1" ht="21.95" customHeight="1" x14ac:dyDescent="0.15"/>
    <row r="30001" s="76" customFormat="1" ht="21.95" customHeight="1" x14ac:dyDescent="0.15"/>
    <row r="30002" s="76" customFormat="1" ht="21.95" customHeight="1" x14ac:dyDescent="0.15"/>
    <row r="30003" s="76" customFormat="1" ht="21.95" customHeight="1" x14ac:dyDescent="0.15"/>
    <row r="30004" s="76" customFormat="1" ht="21.95" customHeight="1" x14ac:dyDescent="0.15"/>
    <row r="30005" s="76" customFormat="1" ht="21.95" customHeight="1" x14ac:dyDescent="0.15"/>
    <row r="30006" s="76" customFormat="1" ht="21.95" customHeight="1" x14ac:dyDescent="0.15"/>
    <row r="30007" s="76" customFormat="1" ht="21.95" customHeight="1" x14ac:dyDescent="0.15"/>
    <row r="30008" s="76" customFormat="1" ht="21.95" customHeight="1" x14ac:dyDescent="0.15"/>
    <row r="30009" s="76" customFormat="1" ht="21.95" customHeight="1" x14ac:dyDescent="0.15"/>
    <row r="30010" s="76" customFormat="1" ht="21.95" customHeight="1" x14ac:dyDescent="0.15"/>
    <row r="30011" s="76" customFormat="1" ht="21.95" customHeight="1" x14ac:dyDescent="0.15"/>
    <row r="30012" s="76" customFormat="1" ht="21.95" customHeight="1" x14ac:dyDescent="0.15"/>
    <row r="30013" s="76" customFormat="1" ht="21.95" customHeight="1" x14ac:dyDescent="0.15"/>
    <row r="30014" s="76" customFormat="1" ht="21.95" customHeight="1" x14ac:dyDescent="0.15"/>
    <row r="30015" s="76" customFormat="1" ht="21.95" customHeight="1" x14ac:dyDescent="0.15"/>
    <row r="30016" s="76" customFormat="1" ht="21.95" customHeight="1" x14ac:dyDescent="0.15"/>
    <row r="30017" spans="3:3" customFormat="1" ht="21.95" customHeight="1" x14ac:dyDescent="0.15"/>
    <row r="30018" spans="3:3" customFormat="1" ht="21.95" customHeight="1" x14ac:dyDescent="0.15"/>
    <row r="30019" spans="3:3" customFormat="1" ht="21.95" customHeight="1" x14ac:dyDescent="0.15">
      <c r="C30019" s="94"/>
    </row>
    <row r="30020" spans="3:3" customFormat="1" ht="21.95" customHeight="1" x14ac:dyDescent="0.15">
      <c r="C30020" s="94"/>
    </row>
    <row r="30021" spans="3:3" customFormat="1" ht="21.95" customHeight="1" x14ac:dyDescent="0.15"/>
    <row r="30022" spans="3:3" customFormat="1" ht="21.95" customHeight="1" x14ac:dyDescent="0.15"/>
    <row r="30023" spans="3:3" customFormat="1" ht="21.95" customHeight="1" x14ac:dyDescent="0.15"/>
    <row r="30024" spans="3:3" customFormat="1" ht="21.95" customHeight="1" x14ac:dyDescent="0.15"/>
    <row r="30025" spans="3:3" customFormat="1" ht="21.95" customHeight="1" x14ac:dyDescent="0.15"/>
    <row r="30026" spans="3:3" customFormat="1" ht="21.95" customHeight="1" x14ac:dyDescent="0.15"/>
    <row r="30027" spans="3:3" customFormat="1" ht="21.95" customHeight="1" x14ac:dyDescent="0.15"/>
    <row r="30028" spans="3:3" s="76" customFormat="1" ht="21.95" customHeight="1" x14ac:dyDescent="0.15"/>
    <row r="30029" spans="3:3" s="76" customFormat="1" ht="21.95" customHeight="1" x14ac:dyDescent="0.15"/>
    <row r="30030" spans="3:3" s="76" customFormat="1" ht="21.95" customHeight="1" x14ac:dyDescent="0.15"/>
    <row r="30031" spans="3:3" s="76" customFormat="1" ht="21.95" customHeight="1" x14ac:dyDescent="0.15"/>
    <row r="30032" spans="3:3" customFormat="1" ht="21.95" customHeight="1" x14ac:dyDescent="0.15"/>
    <row r="30033" customFormat="1" ht="21.95" customHeight="1" x14ac:dyDescent="0.15"/>
    <row r="30034" customFormat="1" ht="21.95" customHeight="1" x14ac:dyDescent="0.15"/>
    <row r="30035" customFormat="1" ht="21.95" customHeight="1" x14ac:dyDescent="0.15"/>
    <row r="30036" customFormat="1" ht="21.95" customHeight="1" x14ac:dyDescent="0.15"/>
    <row r="30037" customFormat="1" ht="21.95" customHeight="1" x14ac:dyDescent="0.15"/>
    <row r="30038" customFormat="1" ht="21.95" customHeight="1" x14ac:dyDescent="0.15"/>
    <row r="30039" customFormat="1" ht="21.95" customHeight="1" x14ac:dyDescent="0.15"/>
    <row r="30040" customFormat="1" ht="21.95" customHeight="1" x14ac:dyDescent="0.15"/>
    <row r="30041" customFormat="1" ht="21.95" customHeight="1" x14ac:dyDescent="0.15"/>
    <row r="30042" customFormat="1" ht="21.95" customHeight="1" x14ac:dyDescent="0.15"/>
    <row r="30043" customFormat="1" ht="32.1" customHeight="1" x14ac:dyDescent="0.15"/>
    <row r="30044" customFormat="1" ht="32.1" customHeight="1" x14ac:dyDescent="0.15"/>
    <row r="30045" customFormat="1" ht="32.1" customHeight="1" x14ac:dyDescent="0.15"/>
    <row r="30046" customFormat="1" ht="32.1" customHeight="1" x14ac:dyDescent="0.15"/>
    <row r="30047" customFormat="1" ht="32.1" customHeight="1" x14ac:dyDescent="0.15"/>
    <row r="30048" customFormat="1" ht="32.1" customHeight="1" x14ac:dyDescent="0.15"/>
    <row r="30049" s="76" customFormat="1" ht="32.1" customHeight="1" x14ac:dyDescent="0.15"/>
    <row r="30050" s="76" customFormat="1" ht="32.1" customHeight="1" x14ac:dyDescent="0.15"/>
    <row r="30051" s="76" customFormat="1" ht="32.1" customHeight="1" x14ac:dyDescent="0.15"/>
    <row r="30052" s="76" customFormat="1" ht="32.1" customHeight="1" x14ac:dyDescent="0.15"/>
    <row r="30053" s="76" customFormat="1" ht="21.95" customHeight="1" x14ac:dyDescent="0.15"/>
    <row r="30054" s="76" customFormat="1" ht="54" customHeight="1" x14ac:dyDescent="0.15"/>
    <row r="30055" s="76" customFormat="1" ht="21.95" customHeight="1" x14ac:dyDescent="0.15"/>
    <row r="30056" s="76" customFormat="1" ht="21.95" customHeight="1" x14ac:dyDescent="0.15"/>
    <row r="30057" s="76" customFormat="1" ht="21.95" customHeight="1" x14ac:dyDescent="0.15"/>
    <row r="30058" s="76" customFormat="1" ht="21.95" customHeight="1" x14ac:dyDescent="0.15"/>
    <row r="30059" s="76" customFormat="1" ht="21.95" customHeight="1" x14ac:dyDescent="0.15"/>
    <row r="30060" s="76" customFormat="1" ht="21.95" customHeight="1" x14ac:dyDescent="0.15"/>
    <row r="30061" s="76" customFormat="1" ht="21.95" customHeight="1" x14ac:dyDescent="0.15"/>
    <row r="30062" s="76" customFormat="1" ht="21.95" customHeight="1" x14ac:dyDescent="0.15"/>
    <row r="30063" s="76" customFormat="1" ht="21.95" customHeight="1" x14ac:dyDescent="0.15"/>
    <row r="30064" s="76" customFormat="1" ht="21.95" customHeight="1" x14ac:dyDescent="0.15"/>
    <row r="30065" s="76" customFormat="1" ht="21.95" customHeight="1" x14ac:dyDescent="0.15"/>
    <row r="30066" s="76" customFormat="1" ht="21.95" customHeight="1" x14ac:dyDescent="0.15"/>
    <row r="30067" s="76" customFormat="1" ht="21.95" customHeight="1" x14ac:dyDescent="0.15"/>
    <row r="30068" s="76" customFormat="1" ht="21.95" customHeight="1" x14ac:dyDescent="0.15"/>
    <row r="30069" s="76" customFormat="1" ht="21.95" customHeight="1" x14ac:dyDescent="0.15"/>
    <row r="30070" s="76" customFormat="1" ht="21.95" customHeight="1" x14ac:dyDescent="0.15"/>
    <row r="30071" s="76" customFormat="1" ht="21.95" customHeight="1" x14ac:dyDescent="0.15"/>
    <row r="30072" s="76" customFormat="1" ht="21.95" customHeight="1" x14ac:dyDescent="0.15"/>
    <row r="30073" s="76" customFormat="1" ht="21.95" customHeight="1" x14ac:dyDescent="0.15"/>
    <row r="30074" s="76" customFormat="1" ht="21.95" customHeight="1" x14ac:dyDescent="0.15"/>
    <row r="30075" s="76" customFormat="1" ht="21.95" customHeight="1" x14ac:dyDescent="0.15"/>
    <row r="30076" s="76" customFormat="1" ht="21.95" customHeight="1" x14ac:dyDescent="0.15"/>
    <row r="30077" s="76" customFormat="1" ht="21.95" customHeight="1" x14ac:dyDescent="0.15"/>
    <row r="30078" s="76" customFormat="1" ht="21.95" customHeight="1" x14ac:dyDescent="0.15"/>
    <row r="30079" s="76" customFormat="1" ht="21.95" customHeight="1" x14ac:dyDescent="0.15"/>
    <row r="30080" s="76" customFormat="1" ht="21.95" customHeight="1" x14ac:dyDescent="0.15"/>
    <row r="30081" s="76" customFormat="1" ht="21.95" customHeight="1" x14ac:dyDescent="0.15"/>
    <row r="30082" s="76" customFormat="1" ht="21.95" customHeight="1" x14ac:dyDescent="0.15"/>
    <row r="30083" s="76" customFormat="1" ht="21.95" customHeight="1" x14ac:dyDescent="0.15"/>
    <row r="30084" s="76" customFormat="1" ht="21.95" customHeight="1" x14ac:dyDescent="0.15"/>
    <row r="30085" s="76" customFormat="1" ht="21.95" customHeight="1" x14ac:dyDescent="0.15"/>
    <row r="30086" s="76" customFormat="1" ht="21.95" customHeight="1" x14ac:dyDescent="0.15"/>
    <row r="30087" s="76" customFormat="1" ht="21.95" customHeight="1" x14ac:dyDescent="0.15"/>
    <row r="30088" s="76" customFormat="1" ht="21.95" customHeight="1" x14ac:dyDescent="0.15"/>
    <row r="30089" s="76" customFormat="1" ht="21.95" customHeight="1" x14ac:dyDescent="0.15"/>
    <row r="30090" s="76" customFormat="1" ht="21.95" customHeight="1" x14ac:dyDescent="0.15"/>
    <row r="30091" s="76" customFormat="1" ht="21.95" customHeight="1" x14ac:dyDescent="0.15"/>
    <row r="30092" s="76" customFormat="1" ht="21.95" customHeight="1" x14ac:dyDescent="0.15"/>
    <row r="30093" s="76" customFormat="1" ht="21.95" customHeight="1" x14ac:dyDescent="0.15"/>
    <row r="30094" s="76" customFormat="1" ht="21.95" customHeight="1" x14ac:dyDescent="0.15"/>
    <row r="30095" s="76" customFormat="1" ht="21.95" customHeight="1" x14ac:dyDescent="0.15"/>
    <row r="30096" s="76" customFormat="1" ht="21.95" customHeight="1" x14ac:dyDescent="0.15"/>
    <row r="30097" s="76" customFormat="1" ht="21.95" customHeight="1" x14ac:dyDescent="0.15"/>
    <row r="30098" s="76" customFormat="1" ht="21.95" customHeight="1" x14ac:dyDescent="0.15"/>
    <row r="30099" s="76" customFormat="1" ht="21.95" customHeight="1" x14ac:dyDescent="0.15"/>
    <row r="30100" s="76" customFormat="1" ht="21.95" customHeight="1" x14ac:dyDescent="0.15"/>
    <row r="30101" s="76" customFormat="1" ht="21.95" customHeight="1" x14ac:dyDescent="0.15"/>
    <row r="30102" s="76" customFormat="1" ht="21.95" customHeight="1" x14ac:dyDescent="0.15"/>
    <row r="30103" s="76" customFormat="1" ht="21.95" customHeight="1" x14ac:dyDescent="0.15"/>
    <row r="30104" s="76" customFormat="1" ht="21.95" customHeight="1" x14ac:dyDescent="0.15"/>
    <row r="30105" s="76" customFormat="1" ht="35.1" customHeight="1" x14ac:dyDescent="0.15"/>
    <row r="30106" s="76" customFormat="1" ht="21.95" customHeight="1" x14ac:dyDescent="0.15"/>
    <row r="30107" s="76" customFormat="1" ht="21.95" customHeight="1" x14ac:dyDescent="0.15"/>
    <row r="30108" s="76" customFormat="1" ht="21.95" customHeight="1" x14ac:dyDescent="0.15"/>
    <row r="30109" s="76" customFormat="1" ht="21.95" customHeight="1" x14ac:dyDescent="0.15"/>
    <row r="30110" s="76" customFormat="1" ht="21.95" customHeight="1" x14ac:dyDescent="0.15"/>
    <row r="30111" s="76" customFormat="1" ht="21.95" customHeight="1" x14ac:dyDescent="0.15"/>
    <row r="30112" s="76" customFormat="1" ht="21.95" customHeight="1" x14ac:dyDescent="0.15"/>
    <row r="30113" s="76" customFormat="1" ht="21.95" customHeight="1" x14ac:dyDescent="0.15"/>
    <row r="30114" s="76" customFormat="1" ht="21.95" customHeight="1" x14ac:dyDescent="0.15"/>
    <row r="30115" s="76" customFormat="1" ht="21.95" customHeight="1" x14ac:dyDescent="0.15"/>
    <row r="30116" s="76" customFormat="1" ht="21.95" customHeight="1" x14ac:dyDescent="0.15"/>
    <row r="30117" s="76" customFormat="1" ht="21.95" customHeight="1" x14ac:dyDescent="0.15"/>
    <row r="30118" s="76" customFormat="1" ht="21.95" customHeight="1" x14ac:dyDescent="0.15"/>
    <row r="30119" s="76" customFormat="1" ht="21.95" customHeight="1" x14ac:dyDescent="0.15"/>
    <row r="30120" s="76" customFormat="1" ht="21.95" customHeight="1" x14ac:dyDescent="0.15"/>
    <row r="30121" s="76" customFormat="1" ht="21.95" customHeight="1" x14ac:dyDescent="0.15"/>
    <row r="30122" s="76" customFormat="1" ht="21.95" customHeight="1" x14ac:dyDescent="0.15"/>
    <row r="30123" s="76" customFormat="1" ht="21.95" customHeight="1" x14ac:dyDescent="0.15"/>
    <row r="30124" s="76" customFormat="1" ht="21.95" customHeight="1" x14ac:dyDescent="0.15"/>
    <row r="30125" s="76" customFormat="1" ht="21.95" customHeight="1" x14ac:dyDescent="0.15"/>
    <row r="30126" s="76" customFormat="1" ht="21.95" customHeight="1" x14ac:dyDescent="0.15"/>
    <row r="30127" s="76" customFormat="1" ht="21.95" customHeight="1" x14ac:dyDescent="0.15"/>
    <row r="30128" s="76" customFormat="1" ht="21.95" customHeight="1" x14ac:dyDescent="0.15"/>
    <row r="30129" spans="3:3" customFormat="1" ht="21.95" customHeight="1" x14ac:dyDescent="0.15"/>
    <row r="30130" spans="3:3" customFormat="1" ht="21.95" customHeight="1" x14ac:dyDescent="0.15"/>
    <row r="30131" spans="3:3" customFormat="1" ht="21.95" customHeight="1" x14ac:dyDescent="0.15">
      <c r="C30131" s="94"/>
    </row>
    <row r="30132" spans="3:3" customFormat="1" ht="21.95" customHeight="1" x14ac:dyDescent="0.15">
      <c r="C30132" s="94"/>
    </row>
    <row r="30133" spans="3:3" customFormat="1" ht="21.95" customHeight="1" x14ac:dyDescent="0.15"/>
    <row r="30134" spans="3:3" customFormat="1" ht="21.95" customHeight="1" x14ac:dyDescent="0.15"/>
    <row r="30135" spans="3:3" customFormat="1" ht="21.95" customHeight="1" x14ac:dyDescent="0.15"/>
    <row r="30136" spans="3:3" customFormat="1" ht="21.95" customHeight="1" x14ac:dyDescent="0.15"/>
    <row r="30137" spans="3:3" customFormat="1" ht="21.95" customHeight="1" x14ac:dyDescent="0.15"/>
    <row r="30138" spans="3:3" customFormat="1" ht="21.95" customHeight="1" x14ac:dyDescent="0.15"/>
    <row r="30139" spans="3:3" customFormat="1" ht="21.95" customHeight="1" x14ac:dyDescent="0.15"/>
    <row r="30140" spans="3:3" s="76" customFormat="1" ht="21.95" customHeight="1" x14ac:dyDescent="0.15"/>
    <row r="30141" spans="3:3" s="76" customFormat="1" ht="21.95" customHeight="1" x14ac:dyDescent="0.15"/>
    <row r="30142" spans="3:3" s="76" customFormat="1" ht="21.95" customHeight="1" x14ac:dyDescent="0.15"/>
    <row r="30143" spans="3:3" s="76" customFormat="1" ht="21.95" customHeight="1" x14ac:dyDescent="0.15"/>
    <row r="30144" spans="3:3" customFormat="1" ht="21.95" customHeight="1" x14ac:dyDescent="0.15"/>
    <row r="30145" customFormat="1" ht="21.95" customHeight="1" x14ac:dyDescent="0.15"/>
    <row r="30146" customFormat="1" ht="21.95" customHeight="1" x14ac:dyDescent="0.15"/>
    <row r="30147" customFormat="1" ht="21.95" customHeight="1" x14ac:dyDescent="0.15"/>
    <row r="30148" customFormat="1" ht="21.95" customHeight="1" x14ac:dyDescent="0.15"/>
    <row r="30149" customFormat="1" ht="21.95" customHeight="1" x14ac:dyDescent="0.15"/>
    <row r="30150" customFormat="1" ht="21.95" customHeight="1" x14ac:dyDescent="0.15"/>
    <row r="30151" customFormat="1" ht="21.95" customHeight="1" x14ac:dyDescent="0.15"/>
    <row r="30152" customFormat="1" ht="21.95" customHeight="1" x14ac:dyDescent="0.15"/>
    <row r="30153" customFormat="1" ht="21.95" customHeight="1" x14ac:dyDescent="0.15"/>
    <row r="30154" customFormat="1" ht="21.95" customHeight="1" x14ac:dyDescent="0.15"/>
    <row r="30155" customFormat="1" ht="32.1" customHeight="1" x14ac:dyDescent="0.15"/>
    <row r="30156" customFormat="1" ht="32.1" customHeight="1" x14ac:dyDescent="0.15"/>
    <row r="30157" customFormat="1" ht="32.1" customHeight="1" x14ac:dyDescent="0.15"/>
    <row r="30158" customFormat="1" ht="32.1" customHeight="1" x14ac:dyDescent="0.15"/>
    <row r="30159" customFormat="1" ht="32.1" customHeight="1" x14ac:dyDescent="0.15"/>
    <row r="30160" customFormat="1" ht="32.1" customHeight="1" x14ac:dyDescent="0.15"/>
    <row r="30161" s="76" customFormat="1" ht="32.1" customHeight="1" x14ac:dyDescent="0.15"/>
    <row r="30162" s="76" customFormat="1" ht="32.1" customHeight="1" x14ac:dyDescent="0.15"/>
    <row r="30163" s="76" customFormat="1" ht="32.1" customHeight="1" x14ac:dyDescent="0.15"/>
    <row r="30164" s="76" customFormat="1" ht="32.1" customHeight="1" x14ac:dyDescent="0.15"/>
    <row r="30165" s="76" customFormat="1" ht="21.95" customHeight="1" x14ac:dyDescent="0.15"/>
    <row r="30166" s="76" customFormat="1" ht="54" customHeight="1" x14ac:dyDescent="0.15"/>
    <row r="30167" s="76" customFormat="1" ht="21.95" customHeight="1" x14ac:dyDescent="0.15"/>
    <row r="30168" s="76" customFormat="1" ht="21.95" customHeight="1" x14ac:dyDescent="0.15"/>
    <row r="30169" s="76" customFormat="1" ht="21.95" customHeight="1" x14ac:dyDescent="0.15"/>
    <row r="30170" s="76" customFormat="1" ht="21.95" customHeight="1" x14ac:dyDescent="0.15"/>
    <row r="30171" s="76" customFormat="1" ht="21.95" customHeight="1" x14ac:dyDescent="0.15"/>
    <row r="30172" s="76" customFormat="1" ht="21.95" customHeight="1" x14ac:dyDescent="0.15"/>
    <row r="30173" s="76" customFormat="1" ht="21.95" customHeight="1" x14ac:dyDescent="0.15"/>
    <row r="30174" s="76" customFormat="1" ht="21.95" customHeight="1" x14ac:dyDescent="0.15"/>
    <row r="30175" s="76" customFormat="1" ht="21.95" customHeight="1" x14ac:dyDescent="0.15"/>
    <row r="30176" s="76" customFormat="1" ht="21.95" customHeight="1" x14ac:dyDescent="0.15"/>
    <row r="30177" s="76" customFormat="1" ht="21.95" customHeight="1" x14ac:dyDescent="0.15"/>
    <row r="30178" s="76" customFormat="1" ht="21.95" customHeight="1" x14ac:dyDescent="0.15"/>
    <row r="30179" s="76" customFormat="1" ht="21.95" customHeight="1" x14ac:dyDescent="0.15"/>
    <row r="30180" s="76" customFormat="1" ht="21.95" customHeight="1" x14ac:dyDescent="0.15"/>
    <row r="30181" s="76" customFormat="1" ht="21.95" customHeight="1" x14ac:dyDescent="0.15"/>
    <row r="30182" s="76" customFormat="1" ht="21.95" customHeight="1" x14ac:dyDescent="0.15"/>
    <row r="30183" s="76" customFormat="1" ht="21.95" customHeight="1" x14ac:dyDescent="0.15"/>
    <row r="30184" s="76" customFormat="1" ht="21.95" customHeight="1" x14ac:dyDescent="0.15"/>
    <row r="30185" s="76" customFormat="1" ht="21.95" customHeight="1" x14ac:dyDescent="0.15"/>
    <row r="30186" s="76" customFormat="1" ht="21.95" customHeight="1" x14ac:dyDescent="0.15"/>
    <row r="30187" s="76" customFormat="1" ht="21.95" customHeight="1" x14ac:dyDescent="0.15"/>
    <row r="30188" s="76" customFormat="1" ht="21.95" customHeight="1" x14ac:dyDescent="0.15"/>
    <row r="30189" s="76" customFormat="1" ht="21.95" customHeight="1" x14ac:dyDescent="0.15"/>
    <row r="30190" s="76" customFormat="1" ht="21.95" customHeight="1" x14ac:dyDescent="0.15"/>
    <row r="30191" s="76" customFormat="1" ht="21.95" customHeight="1" x14ac:dyDescent="0.15"/>
    <row r="30192" s="76" customFormat="1" ht="21.95" customHeight="1" x14ac:dyDescent="0.15"/>
    <row r="30193" s="76" customFormat="1" ht="21.95" customHeight="1" x14ac:dyDescent="0.15"/>
    <row r="30194" s="76" customFormat="1" ht="21.95" customHeight="1" x14ac:dyDescent="0.15"/>
    <row r="30195" s="76" customFormat="1" ht="21.95" customHeight="1" x14ac:dyDescent="0.15"/>
    <row r="30196" s="76" customFormat="1" ht="21.95" customHeight="1" x14ac:dyDescent="0.15"/>
    <row r="30197" s="76" customFormat="1" ht="21.95" customHeight="1" x14ac:dyDescent="0.15"/>
    <row r="30198" s="76" customFormat="1" ht="21.95" customHeight="1" x14ac:dyDescent="0.15"/>
    <row r="30199" s="76" customFormat="1" ht="21.95" customHeight="1" x14ac:dyDescent="0.15"/>
    <row r="30200" s="76" customFormat="1" ht="21.95" customHeight="1" x14ac:dyDescent="0.15"/>
    <row r="30201" s="76" customFormat="1" ht="21.95" customHeight="1" x14ac:dyDescent="0.15"/>
    <row r="30202" s="76" customFormat="1" ht="21.95" customHeight="1" x14ac:dyDescent="0.15"/>
    <row r="30203" s="76" customFormat="1" ht="21.95" customHeight="1" x14ac:dyDescent="0.15"/>
    <row r="30204" s="76" customFormat="1" ht="21.95" customHeight="1" x14ac:dyDescent="0.15"/>
    <row r="30205" s="76" customFormat="1" ht="21.95" customHeight="1" x14ac:dyDescent="0.15"/>
    <row r="30206" s="76" customFormat="1" ht="21.95" customHeight="1" x14ac:dyDescent="0.15"/>
    <row r="30207" s="76" customFormat="1" ht="21.95" customHeight="1" x14ac:dyDescent="0.15"/>
    <row r="30208" s="76" customFormat="1" ht="21.95" customHeight="1" x14ac:dyDescent="0.15"/>
    <row r="30209" s="76" customFormat="1" ht="21.95" customHeight="1" x14ac:dyDescent="0.15"/>
    <row r="30210" s="76" customFormat="1" ht="21.95" customHeight="1" x14ac:dyDescent="0.15"/>
    <row r="30211" s="76" customFormat="1" ht="21.95" customHeight="1" x14ac:dyDescent="0.15"/>
    <row r="30212" s="76" customFormat="1" ht="21.95" customHeight="1" x14ac:dyDescent="0.15"/>
    <row r="30213" s="76" customFormat="1" ht="21.95" customHeight="1" x14ac:dyDescent="0.15"/>
    <row r="30214" s="76" customFormat="1" ht="21.95" customHeight="1" x14ac:dyDescent="0.15"/>
    <row r="30215" s="76" customFormat="1" ht="21.95" customHeight="1" x14ac:dyDescent="0.15"/>
    <row r="30216" s="76" customFormat="1" ht="21.95" customHeight="1" x14ac:dyDescent="0.15"/>
    <row r="30217" s="76" customFormat="1" ht="35.1" customHeight="1" x14ac:dyDescent="0.15"/>
    <row r="30218" s="76" customFormat="1" ht="21.95" customHeight="1" x14ac:dyDescent="0.15"/>
    <row r="30219" s="76" customFormat="1" ht="21.95" customHeight="1" x14ac:dyDescent="0.15"/>
    <row r="30220" s="76" customFormat="1" ht="21.95" customHeight="1" x14ac:dyDescent="0.15"/>
    <row r="30221" s="76" customFormat="1" ht="21.95" customHeight="1" x14ac:dyDescent="0.15"/>
    <row r="30222" s="76" customFormat="1" ht="21.95" customHeight="1" x14ac:dyDescent="0.15"/>
    <row r="30223" s="76" customFormat="1" ht="21.95" customHeight="1" x14ac:dyDescent="0.15"/>
    <row r="30224" s="76" customFormat="1" ht="21.95" customHeight="1" x14ac:dyDescent="0.15"/>
    <row r="30225" s="76" customFormat="1" ht="21.95" customHeight="1" x14ac:dyDescent="0.15"/>
    <row r="30226" s="76" customFormat="1" ht="21.95" customHeight="1" x14ac:dyDescent="0.15"/>
    <row r="30227" s="76" customFormat="1" ht="21.95" customHeight="1" x14ac:dyDescent="0.15"/>
    <row r="30228" s="76" customFormat="1" ht="21.95" customHeight="1" x14ac:dyDescent="0.15"/>
    <row r="30229" s="76" customFormat="1" ht="21.95" customHeight="1" x14ac:dyDescent="0.15"/>
    <row r="30230" s="76" customFormat="1" ht="21.95" customHeight="1" x14ac:dyDescent="0.15"/>
    <row r="30231" s="76" customFormat="1" ht="21.95" customHeight="1" x14ac:dyDescent="0.15"/>
    <row r="30232" s="76" customFormat="1" ht="21.95" customHeight="1" x14ac:dyDescent="0.15"/>
    <row r="30233" s="76" customFormat="1" ht="21.95" customHeight="1" x14ac:dyDescent="0.15"/>
    <row r="30234" s="76" customFormat="1" ht="21.95" customHeight="1" x14ac:dyDescent="0.15"/>
    <row r="30235" s="76" customFormat="1" ht="21.95" customHeight="1" x14ac:dyDescent="0.15"/>
    <row r="30236" s="76" customFormat="1" ht="21.95" customHeight="1" x14ac:dyDescent="0.15"/>
    <row r="30237" s="76" customFormat="1" ht="21.95" customHeight="1" x14ac:dyDescent="0.15"/>
    <row r="30238" s="76" customFormat="1" ht="21.95" customHeight="1" x14ac:dyDescent="0.15"/>
    <row r="30239" s="76" customFormat="1" ht="21.95" customHeight="1" x14ac:dyDescent="0.15"/>
    <row r="30240" s="76" customFormat="1" ht="21.95" customHeight="1" x14ac:dyDescent="0.15"/>
    <row r="30241" spans="3:3" customFormat="1" ht="21.95" customHeight="1" x14ac:dyDescent="0.15"/>
    <row r="30242" spans="3:3" customFormat="1" ht="21.95" customHeight="1" x14ac:dyDescent="0.15"/>
    <row r="30243" spans="3:3" customFormat="1" ht="21.95" customHeight="1" x14ac:dyDescent="0.15">
      <c r="C30243" s="94"/>
    </row>
    <row r="30244" spans="3:3" customFormat="1" ht="21.95" customHeight="1" x14ac:dyDescent="0.15">
      <c r="C30244" s="94"/>
    </row>
    <row r="30245" spans="3:3" customFormat="1" ht="21.95" customHeight="1" x14ac:dyDescent="0.15"/>
    <row r="30246" spans="3:3" customFormat="1" ht="21.95" customHeight="1" x14ac:dyDescent="0.15"/>
    <row r="30247" spans="3:3" customFormat="1" ht="21.95" customHeight="1" x14ac:dyDescent="0.15"/>
    <row r="30248" spans="3:3" customFormat="1" ht="21.95" customHeight="1" x14ac:dyDescent="0.15"/>
    <row r="30249" spans="3:3" customFormat="1" ht="21.95" customHeight="1" x14ac:dyDescent="0.15"/>
    <row r="30250" spans="3:3" customFormat="1" ht="21.95" customHeight="1" x14ac:dyDescent="0.15"/>
    <row r="30251" spans="3:3" customFormat="1" ht="21.95" customHeight="1" x14ac:dyDescent="0.15"/>
    <row r="30252" spans="3:3" s="76" customFormat="1" ht="21.95" customHeight="1" x14ac:dyDescent="0.15"/>
    <row r="30253" spans="3:3" s="76" customFormat="1" ht="21.95" customHeight="1" x14ac:dyDescent="0.15"/>
    <row r="30254" spans="3:3" s="76" customFormat="1" ht="21.95" customHeight="1" x14ac:dyDescent="0.15"/>
    <row r="30255" spans="3:3" s="76" customFormat="1" ht="21.95" customHeight="1" x14ac:dyDescent="0.15"/>
    <row r="30256" spans="3:3" customFormat="1" ht="21.95" customHeight="1" x14ac:dyDescent="0.15"/>
    <row r="30257" customFormat="1" ht="21.95" customHeight="1" x14ac:dyDescent="0.15"/>
    <row r="30258" customFormat="1" ht="21.95" customHeight="1" x14ac:dyDescent="0.15"/>
    <row r="30259" customFormat="1" ht="21.95" customHeight="1" x14ac:dyDescent="0.15"/>
    <row r="30260" customFormat="1" ht="21.95" customHeight="1" x14ac:dyDescent="0.15"/>
    <row r="30261" customFormat="1" ht="21.95" customHeight="1" x14ac:dyDescent="0.15"/>
    <row r="30262" customFormat="1" ht="21.95" customHeight="1" x14ac:dyDescent="0.15"/>
    <row r="30263" customFormat="1" ht="21.95" customHeight="1" x14ac:dyDescent="0.15"/>
    <row r="30264" customFormat="1" ht="21.95" customHeight="1" x14ac:dyDescent="0.15"/>
    <row r="30265" customFormat="1" ht="21.95" customHeight="1" x14ac:dyDescent="0.15"/>
    <row r="30266" customFormat="1" ht="21.95" customHeight="1" x14ac:dyDescent="0.15"/>
    <row r="30267" customFormat="1" ht="32.1" customHeight="1" x14ac:dyDescent="0.15"/>
    <row r="30268" customFormat="1" ht="32.1" customHeight="1" x14ac:dyDescent="0.15"/>
    <row r="30269" customFormat="1" ht="32.1" customHeight="1" x14ac:dyDescent="0.15"/>
    <row r="30270" customFormat="1" ht="32.1" customHeight="1" x14ac:dyDescent="0.15"/>
    <row r="30271" customFormat="1" ht="32.1" customHeight="1" x14ac:dyDescent="0.15"/>
    <row r="30272" customFormat="1" ht="32.1" customHeight="1" x14ac:dyDescent="0.15"/>
    <row r="30273" s="76" customFormat="1" ht="32.1" customHeight="1" x14ac:dyDescent="0.15"/>
    <row r="30274" s="76" customFormat="1" ht="32.1" customHeight="1" x14ac:dyDescent="0.15"/>
    <row r="30275" s="76" customFormat="1" ht="32.1" customHeight="1" x14ac:dyDescent="0.15"/>
    <row r="30276" s="76" customFormat="1" ht="32.1" customHeight="1" x14ac:dyDescent="0.15"/>
    <row r="30277" s="76" customFormat="1" ht="21.95" customHeight="1" x14ac:dyDescent="0.15"/>
    <row r="30278" s="76" customFormat="1" ht="54" customHeight="1" x14ac:dyDescent="0.15"/>
    <row r="30279" s="76" customFormat="1" ht="21.95" customHeight="1" x14ac:dyDescent="0.15"/>
    <row r="30280" s="76" customFormat="1" ht="21.95" customHeight="1" x14ac:dyDescent="0.15"/>
    <row r="30281" s="76" customFormat="1" ht="21.95" customHeight="1" x14ac:dyDescent="0.15"/>
    <row r="30282" s="76" customFormat="1" ht="21.95" customHeight="1" x14ac:dyDescent="0.15"/>
    <row r="30283" s="76" customFormat="1" ht="21.95" customHeight="1" x14ac:dyDescent="0.15"/>
    <row r="30284" s="76" customFormat="1" ht="21.95" customHeight="1" x14ac:dyDescent="0.15"/>
    <row r="30285" s="76" customFormat="1" ht="21.95" customHeight="1" x14ac:dyDescent="0.15"/>
    <row r="30286" s="76" customFormat="1" ht="21.95" customHeight="1" x14ac:dyDescent="0.15"/>
    <row r="30287" s="76" customFormat="1" ht="21.95" customHeight="1" x14ac:dyDescent="0.15"/>
    <row r="30288" s="76" customFormat="1" ht="21.95" customHeight="1" x14ac:dyDescent="0.15"/>
    <row r="30289" s="76" customFormat="1" ht="21.95" customHeight="1" x14ac:dyDescent="0.15"/>
    <row r="30290" s="76" customFormat="1" ht="21.95" customHeight="1" x14ac:dyDescent="0.15"/>
    <row r="30291" s="76" customFormat="1" ht="21.95" customHeight="1" x14ac:dyDescent="0.15"/>
    <row r="30292" s="76" customFormat="1" ht="21.95" customHeight="1" x14ac:dyDescent="0.15"/>
    <row r="30293" s="76" customFormat="1" ht="21.95" customHeight="1" x14ac:dyDescent="0.15"/>
    <row r="30294" s="76" customFormat="1" ht="21.95" customHeight="1" x14ac:dyDescent="0.15"/>
    <row r="30295" s="76" customFormat="1" ht="21.95" customHeight="1" x14ac:dyDescent="0.15"/>
    <row r="30296" s="76" customFormat="1" ht="21.95" customHeight="1" x14ac:dyDescent="0.15"/>
    <row r="30297" s="76" customFormat="1" ht="21.95" customHeight="1" x14ac:dyDescent="0.15"/>
    <row r="30298" s="76" customFormat="1" ht="21.95" customHeight="1" x14ac:dyDescent="0.15"/>
    <row r="30299" s="76" customFormat="1" ht="21.95" customHeight="1" x14ac:dyDescent="0.15"/>
    <row r="30300" s="76" customFormat="1" ht="21.95" customHeight="1" x14ac:dyDescent="0.15"/>
    <row r="30301" s="76" customFormat="1" ht="21.95" customHeight="1" x14ac:dyDescent="0.15"/>
    <row r="30302" s="76" customFormat="1" ht="21.95" customHeight="1" x14ac:dyDescent="0.15"/>
    <row r="30303" s="76" customFormat="1" ht="21.95" customHeight="1" x14ac:dyDescent="0.15"/>
    <row r="30304" s="76" customFormat="1" ht="21.95" customHeight="1" x14ac:dyDescent="0.15"/>
    <row r="30305" s="76" customFormat="1" ht="21.95" customHeight="1" x14ac:dyDescent="0.15"/>
    <row r="30306" s="76" customFormat="1" ht="21.95" customHeight="1" x14ac:dyDescent="0.15"/>
    <row r="30307" s="76" customFormat="1" ht="21.95" customHeight="1" x14ac:dyDescent="0.15"/>
    <row r="30308" s="76" customFormat="1" ht="21.95" customHeight="1" x14ac:dyDescent="0.15"/>
    <row r="30309" s="76" customFormat="1" ht="21.95" customHeight="1" x14ac:dyDescent="0.15"/>
    <row r="30310" s="76" customFormat="1" ht="21.95" customHeight="1" x14ac:dyDescent="0.15"/>
    <row r="30311" s="76" customFormat="1" ht="21.95" customHeight="1" x14ac:dyDescent="0.15"/>
    <row r="30312" s="76" customFormat="1" ht="21.95" customHeight="1" x14ac:dyDescent="0.15"/>
    <row r="30313" s="76" customFormat="1" ht="21.95" customHeight="1" x14ac:dyDescent="0.15"/>
    <row r="30314" s="76" customFormat="1" ht="21.95" customHeight="1" x14ac:dyDescent="0.15"/>
    <row r="30315" s="76" customFormat="1" ht="21.95" customHeight="1" x14ac:dyDescent="0.15"/>
    <row r="30316" s="76" customFormat="1" ht="21.95" customHeight="1" x14ac:dyDescent="0.15"/>
    <row r="30317" s="76" customFormat="1" ht="21.95" customHeight="1" x14ac:dyDescent="0.15"/>
    <row r="30318" s="76" customFormat="1" ht="21.95" customHeight="1" x14ac:dyDescent="0.15"/>
    <row r="30319" s="76" customFormat="1" ht="21.95" customHeight="1" x14ac:dyDescent="0.15"/>
    <row r="30320" s="76" customFormat="1" ht="21.95" customHeight="1" x14ac:dyDescent="0.15"/>
    <row r="30321" s="76" customFormat="1" ht="21.95" customHeight="1" x14ac:dyDescent="0.15"/>
    <row r="30322" s="76" customFormat="1" ht="21.95" customHeight="1" x14ac:dyDescent="0.15"/>
    <row r="30323" s="76" customFormat="1" ht="21.95" customHeight="1" x14ac:dyDescent="0.15"/>
    <row r="30324" s="76" customFormat="1" ht="21.95" customHeight="1" x14ac:dyDescent="0.15"/>
    <row r="30325" s="76" customFormat="1" ht="21.95" customHeight="1" x14ac:dyDescent="0.15"/>
    <row r="30326" s="76" customFormat="1" ht="21.95" customHeight="1" x14ac:dyDescent="0.15"/>
    <row r="30327" s="76" customFormat="1" ht="21.95" customHeight="1" x14ac:dyDescent="0.15"/>
    <row r="30328" s="76" customFormat="1" ht="21.95" customHeight="1" x14ac:dyDescent="0.15"/>
    <row r="30329" s="76" customFormat="1" ht="35.1" customHeight="1" x14ac:dyDescent="0.15"/>
    <row r="30330" s="76" customFormat="1" ht="21.95" customHeight="1" x14ac:dyDescent="0.15"/>
    <row r="30331" s="76" customFormat="1" ht="21.95" customHeight="1" x14ac:dyDescent="0.15"/>
    <row r="30332" s="76" customFormat="1" ht="21.95" customHeight="1" x14ac:dyDescent="0.15"/>
    <row r="30333" s="76" customFormat="1" ht="21.95" customHeight="1" x14ac:dyDescent="0.15"/>
    <row r="30334" s="76" customFormat="1" ht="21.95" customHeight="1" x14ac:dyDescent="0.15"/>
    <row r="30335" s="76" customFormat="1" ht="21.95" customHeight="1" x14ac:dyDescent="0.15"/>
    <row r="30336" s="76" customFormat="1" ht="21.95" customHeight="1" x14ac:dyDescent="0.15"/>
    <row r="30337" s="76" customFormat="1" ht="21.95" customHeight="1" x14ac:dyDescent="0.15"/>
    <row r="30338" s="76" customFormat="1" ht="21.95" customHeight="1" x14ac:dyDescent="0.15"/>
    <row r="30339" s="76" customFormat="1" ht="21.95" customHeight="1" x14ac:dyDescent="0.15"/>
    <row r="30340" s="76" customFormat="1" ht="21.95" customHeight="1" x14ac:dyDescent="0.15"/>
    <row r="30341" s="76" customFormat="1" ht="21.95" customHeight="1" x14ac:dyDescent="0.15"/>
    <row r="30342" s="76" customFormat="1" ht="21.95" customHeight="1" x14ac:dyDescent="0.15"/>
    <row r="30343" s="76" customFormat="1" ht="21.95" customHeight="1" x14ac:dyDescent="0.15"/>
    <row r="30344" s="76" customFormat="1" ht="21.95" customHeight="1" x14ac:dyDescent="0.15"/>
    <row r="30345" s="76" customFormat="1" ht="21.95" customHeight="1" x14ac:dyDescent="0.15"/>
    <row r="30346" s="76" customFormat="1" ht="21.95" customHeight="1" x14ac:dyDescent="0.15"/>
    <row r="30347" s="76" customFormat="1" ht="21.95" customHeight="1" x14ac:dyDescent="0.15"/>
    <row r="30348" s="76" customFormat="1" ht="21.95" customHeight="1" x14ac:dyDescent="0.15"/>
    <row r="30349" s="76" customFormat="1" ht="21.95" customHeight="1" x14ac:dyDescent="0.15"/>
    <row r="30350" s="76" customFormat="1" ht="21.95" customHeight="1" x14ac:dyDescent="0.15"/>
    <row r="30351" s="76" customFormat="1" ht="21.95" customHeight="1" x14ac:dyDescent="0.15"/>
    <row r="30352" s="76" customFormat="1" ht="21.95" customHeight="1" x14ac:dyDescent="0.15"/>
    <row r="30353" spans="3:3" customFormat="1" ht="21.95" customHeight="1" x14ac:dyDescent="0.15"/>
    <row r="30354" spans="3:3" customFormat="1" ht="21.95" customHeight="1" x14ac:dyDescent="0.15"/>
    <row r="30355" spans="3:3" customFormat="1" ht="21.95" customHeight="1" x14ac:dyDescent="0.15">
      <c r="C30355" s="94"/>
    </row>
    <row r="30356" spans="3:3" customFormat="1" ht="21.95" customHeight="1" x14ac:dyDescent="0.15">
      <c r="C30356" s="94"/>
    </row>
    <row r="30357" spans="3:3" customFormat="1" ht="21.95" customHeight="1" x14ac:dyDescent="0.15"/>
    <row r="30358" spans="3:3" customFormat="1" ht="21.95" customHeight="1" x14ac:dyDescent="0.15"/>
    <row r="30359" spans="3:3" customFormat="1" ht="21.95" customHeight="1" x14ac:dyDescent="0.15"/>
    <row r="30360" spans="3:3" customFormat="1" ht="21.95" customHeight="1" x14ac:dyDescent="0.15"/>
    <row r="30361" spans="3:3" customFormat="1" ht="21.95" customHeight="1" x14ac:dyDescent="0.15"/>
    <row r="30362" spans="3:3" customFormat="1" ht="21.95" customHeight="1" x14ac:dyDescent="0.15"/>
    <row r="30363" spans="3:3" customFormat="1" ht="21.95" customHeight="1" x14ac:dyDescent="0.15"/>
    <row r="30364" spans="3:3" s="76" customFormat="1" ht="21.95" customHeight="1" x14ac:dyDescent="0.15"/>
    <row r="30365" spans="3:3" s="76" customFormat="1" ht="21.95" customHeight="1" x14ac:dyDescent="0.15"/>
    <row r="30366" spans="3:3" s="76" customFormat="1" ht="21.95" customHeight="1" x14ac:dyDescent="0.15"/>
    <row r="30367" spans="3:3" s="76" customFormat="1" ht="21.95" customHeight="1" x14ac:dyDescent="0.15"/>
    <row r="30368" spans="3:3" customFormat="1" ht="21.95" customHeight="1" x14ac:dyDescent="0.15"/>
    <row r="30369" customFormat="1" ht="21.95" customHeight="1" x14ac:dyDescent="0.15"/>
    <row r="30370" customFormat="1" ht="21.95" customHeight="1" x14ac:dyDescent="0.15"/>
    <row r="30371" customFormat="1" ht="21.95" customHeight="1" x14ac:dyDescent="0.15"/>
    <row r="30372" customFormat="1" ht="21.95" customHeight="1" x14ac:dyDescent="0.15"/>
    <row r="30373" customFormat="1" ht="21.95" customHeight="1" x14ac:dyDescent="0.15"/>
    <row r="30374" customFormat="1" ht="21.95" customHeight="1" x14ac:dyDescent="0.15"/>
    <row r="30375" customFormat="1" ht="21.95" customHeight="1" x14ac:dyDescent="0.15"/>
    <row r="30376" customFormat="1" ht="21.95" customHeight="1" x14ac:dyDescent="0.15"/>
    <row r="30377" customFormat="1" ht="21.95" customHeight="1" x14ac:dyDescent="0.15"/>
    <row r="30378" customFormat="1" ht="21.95" customHeight="1" x14ac:dyDescent="0.15"/>
    <row r="30379" customFormat="1" ht="32.1" customHeight="1" x14ac:dyDescent="0.15"/>
    <row r="30380" customFormat="1" ht="32.1" customHeight="1" x14ac:dyDescent="0.15"/>
    <row r="30381" customFormat="1" ht="32.1" customHeight="1" x14ac:dyDescent="0.15"/>
    <row r="30382" customFormat="1" ht="32.1" customHeight="1" x14ac:dyDescent="0.15"/>
    <row r="30383" customFormat="1" ht="32.1" customHeight="1" x14ac:dyDescent="0.15"/>
    <row r="30384" customFormat="1" ht="32.1" customHeight="1" x14ac:dyDescent="0.15"/>
    <row r="30385" s="76" customFormat="1" ht="32.1" customHeight="1" x14ac:dyDescent="0.15"/>
    <row r="30386" s="76" customFormat="1" ht="32.1" customHeight="1" x14ac:dyDescent="0.15"/>
    <row r="30387" s="76" customFormat="1" ht="32.1" customHeight="1" x14ac:dyDescent="0.15"/>
    <row r="30388" s="76" customFormat="1" ht="32.1" customHeight="1" x14ac:dyDescent="0.15"/>
    <row r="30389" s="76" customFormat="1" ht="21.95" customHeight="1" x14ac:dyDescent="0.15"/>
    <row r="30390" s="76" customFormat="1" ht="54" customHeight="1" x14ac:dyDescent="0.15"/>
    <row r="30391" s="76" customFormat="1" ht="21.95" customHeight="1" x14ac:dyDescent="0.15"/>
    <row r="30392" s="76" customFormat="1" ht="21.95" customHeight="1" x14ac:dyDescent="0.15"/>
    <row r="30393" s="76" customFormat="1" ht="21.95" customHeight="1" x14ac:dyDescent="0.15"/>
    <row r="30394" s="76" customFormat="1" ht="21.95" customHeight="1" x14ac:dyDescent="0.15"/>
    <row r="30395" s="76" customFormat="1" ht="21.95" customHeight="1" x14ac:dyDescent="0.15"/>
    <row r="30396" s="76" customFormat="1" ht="21.95" customHeight="1" x14ac:dyDescent="0.15"/>
    <row r="30397" s="76" customFormat="1" ht="21.95" customHeight="1" x14ac:dyDescent="0.15"/>
    <row r="30398" s="76" customFormat="1" ht="21.95" customHeight="1" x14ac:dyDescent="0.15"/>
    <row r="30399" s="76" customFormat="1" ht="21.95" customHeight="1" x14ac:dyDescent="0.15"/>
    <row r="30400" s="76" customFormat="1" ht="21.95" customHeight="1" x14ac:dyDescent="0.15"/>
    <row r="30401" s="76" customFormat="1" ht="21.95" customHeight="1" x14ac:dyDescent="0.15"/>
    <row r="30402" s="76" customFormat="1" ht="21.95" customHeight="1" x14ac:dyDescent="0.15"/>
    <row r="30403" s="76" customFormat="1" ht="21.95" customHeight="1" x14ac:dyDescent="0.15"/>
    <row r="30404" s="76" customFormat="1" ht="21.95" customHeight="1" x14ac:dyDescent="0.15"/>
    <row r="30405" s="76" customFormat="1" ht="21.95" customHeight="1" x14ac:dyDescent="0.15"/>
    <row r="30406" s="76" customFormat="1" ht="21.95" customHeight="1" x14ac:dyDescent="0.15"/>
    <row r="30407" s="76" customFormat="1" ht="21.95" customHeight="1" x14ac:dyDescent="0.15"/>
    <row r="30408" s="76" customFormat="1" ht="21.95" customHeight="1" x14ac:dyDescent="0.15"/>
    <row r="30409" s="76" customFormat="1" ht="21.95" customHeight="1" x14ac:dyDescent="0.15"/>
    <row r="30410" s="76" customFormat="1" ht="21.95" customHeight="1" x14ac:dyDescent="0.15"/>
    <row r="30411" s="76" customFormat="1" ht="21.95" customHeight="1" x14ac:dyDescent="0.15"/>
    <row r="30412" s="76" customFormat="1" ht="21.95" customHeight="1" x14ac:dyDescent="0.15"/>
    <row r="30413" s="76" customFormat="1" ht="21.95" customHeight="1" x14ac:dyDescent="0.15"/>
    <row r="30414" s="76" customFormat="1" ht="21.95" customHeight="1" x14ac:dyDescent="0.15"/>
    <row r="30415" s="76" customFormat="1" ht="21.95" customHeight="1" x14ac:dyDescent="0.15"/>
    <row r="30416" s="76" customFormat="1" ht="21.95" customHeight="1" x14ac:dyDescent="0.15"/>
    <row r="30417" s="76" customFormat="1" ht="21.95" customHeight="1" x14ac:dyDescent="0.15"/>
    <row r="30418" s="76" customFormat="1" ht="21.95" customHeight="1" x14ac:dyDescent="0.15"/>
    <row r="30419" s="76" customFormat="1" ht="21.95" customHeight="1" x14ac:dyDescent="0.15"/>
    <row r="30420" s="76" customFormat="1" ht="21.95" customHeight="1" x14ac:dyDescent="0.15"/>
    <row r="30421" s="76" customFormat="1" ht="21.95" customHeight="1" x14ac:dyDescent="0.15"/>
    <row r="30422" s="76" customFormat="1" ht="21.95" customHeight="1" x14ac:dyDescent="0.15"/>
    <row r="30423" s="76" customFormat="1" ht="21.95" customHeight="1" x14ac:dyDescent="0.15"/>
    <row r="30424" s="76" customFormat="1" ht="21.95" customHeight="1" x14ac:dyDescent="0.15"/>
    <row r="30425" s="76" customFormat="1" ht="21.95" customHeight="1" x14ac:dyDescent="0.15"/>
    <row r="30426" s="76" customFormat="1" ht="21.95" customHeight="1" x14ac:dyDescent="0.15"/>
    <row r="30427" s="76" customFormat="1" ht="21.95" customHeight="1" x14ac:dyDescent="0.15"/>
    <row r="30428" s="76" customFormat="1" ht="21.95" customHeight="1" x14ac:dyDescent="0.15"/>
    <row r="30429" s="76" customFormat="1" ht="21.95" customHeight="1" x14ac:dyDescent="0.15"/>
    <row r="30430" s="76" customFormat="1" ht="21.95" customHeight="1" x14ac:dyDescent="0.15"/>
    <row r="30431" s="76" customFormat="1" ht="21.95" customHeight="1" x14ac:dyDescent="0.15"/>
    <row r="30432" s="76" customFormat="1" ht="21.95" customHeight="1" x14ac:dyDescent="0.15"/>
    <row r="30433" s="76" customFormat="1" ht="21.95" customHeight="1" x14ac:dyDescent="0.15"/>
    <row r="30434" s="76" customFormat="1" ht="21.95" customHeight="1" x14ac:dyDescent="0.15"/>
    <row r="30435" s="76" customFormat="1" ht="21.95" customHeight="1" x14ac:dyDescent="0.15"/>
    <row r="30436" s="76" customFormat="1" ht="21.95" customHeight="1" x14ac:dyDescent="0.15"/>
    <row r="30437" s="76" customFormat="1" ht="21.95" customHeight="1" x14ac:dyDescent="0.15"/>
    <row r="30438" s="76" customFormat="1" ht="21.95" customHeight="1" x14ac:dyDescent="0.15"/>
    <row r="30439" s="76" customFormat="1" ht="21.95" customHeight="1" x14ac:dyDescent="0.15"/>
    <row r="30440" s="76" customFormat="1" ht="21.95" customHeight="1" x14ac:dyDescent="0.15"/>
    <row r="30441" s="76" customFormat="1" ht="35.1" customHeight="1" x14ac:dyDescent="0.15"/>
    <row r="30442" s="76" customFormat="1" ht="21.95" customHeight="1" x14ac:dyDescent="0.15"/>
    <row r="30443" s="76" customFormat="1" ht="21.95" customHeight="1" x14ac:dyDescent="0.15"/>
    <row r="30444" s="76" customFormat="1" ht="21.95" customHeight="1" x14ac:dyDescent="0.15"/>
    <row r="30445" s="76" customFormat="1" ht="21.95" customHeight="1" x14ac:dyDescent="0.15"/>
    <row r="30446" s="76" customFormat="1" ht="21.95" customHeight="1" x14ac:dyDescent="0.15"/>
    <row r="30447" s="76" customFormat="1" ht="21.95" customHeight="1" x14ac:dyDescent="0.15"/>
    <row r="30448" s="76" customFormat="1" ht="21.95" customHeight="1" x14ac:dyDescent="0.15"/>
    <row r="30449" s="76" customFormat="1" ht="21.95" customHeight="1" x14ac:dyDescent="0.15"/>
    <row r="30450" s="76" customFormat="1" ht="21.95" customHeight="1" x14ac:dyDescent="0.15"/>
    <row r="30451" s="76" customFormat="1" ht="21.95" customHeight="1" x14ac:dyDescent="0.15"/>
    <row r="30452" s="76" customFormat="1" ht="21.95" customHeight="1" x14ac:dyDescent="0.15"/>
    <row r="30453" s="76" customFormat="1" ht="21.95" customHeight="1" x14ac:dyDescent="0.15"/>
    <row r="30454" s="76" customFormat="1" ht="21.95" customHeight="1" x14ac:dyDescent="0.15"/>
    <row r="30455" s="76" customFormat="1" ht="21.95" customHeight="1" x14ac:dyDescent="0.15"/>
    <row r="30456" s="76" customFormat="1" ht="21.95" customHeight="1" x14ac:dyDescent="0.15"/>
    <row r="30457" s="76" customFormat="1" ht="21.95" customHeight="1" x14ac:dyDescent="0.15"/>
    <row r="30458" s="76" customFormat="1" ht="21.95" customHeight="1" x14ac:dyDescent="0.15"/>
    <row r="30459" s="76" customFormat="1" ht="21.95" customHeight="1" x14ac:dyDescent="0.15"/>
    <row r="30460" s="76" customFormat="1" ht="21.95" customHeight="1" x14ac:dyDescent="0.15"/>
    <row r="30461" s="76" customFormat="1" ht="21.95" customHeight="1" x14ac:dyDescent="0.15"/>
    <row r="30462" s="76" customFormat="1" ht="21.95" customHeight="1" x14ac:dyDescent="0.15"/>
    <row r="30463" s="76" customFormat="1" ht="21.95" customHeight="1" x14ac:dyDescent="0.15"/>
    <row r="30464" s="76" customFormat="1" ht="21.95" customHeight="1" x14ac:dyDescent="0.15"/>
    <row r="30465" spans="3:3" customFormat="1" ht="21.95" customHeight="1" x14ac:dyDescent="0.15"/>
    <row r="30466" spans="3:3" customFormat="1" ht="21.95" customHeight="1" x14ac:dyDescent="0.15"/>
    <row r="30467" spans="3:3" customFormat="1" ht="21.95" customHeight="1" x14ac:dyDescent="0.15">
      <c r="C30467" s="94"/>
    </row>
    <row r="30468" spans="3:3" customFormat="1" ht="21.95" customHeight="1" x14ac:dyDescent="0.15">
      <c r="C30468" s="94"/>
    </row>
    <row r="30469" spans="3:3" customFormat="1" ht="21.95" customHeight="1" x14ac:dyDescent="0.15"/>
    <row r="30470" spans="3:3" customFormat="1" ht="21.95" customHeight="1" x14ac:dyDescent="0.15"/>
    <row r="30471" spans="3:3" customFormat="1" ht="21.95" customHeight="1" x14ac:dyDescent="0.15"/>
    <row r="30472" spans="3:3" customFormat="1" ht="21.95" customHeight="1" x14ac:dyDescent="0.15"/>
    <row r="30473" spans="3:3" customFormat="1" ht="21.95" customHeight="1" x14ac:dyDescent="0.15"/>
    <row r="30474" spans="3:3" customFormat="1" ht="21.95" customHeight="1" x14ac:dyDescent="0.15"/>
    <row r="30475" spans="3:3" customFormat="1" ht="21.95" customHeight="1" x14ac:dyDescent="0.15"/>
    <row r="30476" spans="3:3" s="76" customFormat="1" ht="21.95" customHeight="1" x14ac:dyDescent="0.15"/>
    <row r="30477" spans="3:3" s="76" customFormat="1" ht="21.95" customHeight="1" x14ac:dyDescent="0.15"/>
    <row r="30478" spans="3:3" s="76" customFormat="1" ht="21.95" customHeight="1" x14ac:dyDescent="0.15"/>
    <row r="30479" spans="3:3" s="76" customFormat="1" ht="21.95" customHeight="1" x14ac:dyDescent="0.15"/>
    <row r="30480" spans="3:3" customFormat="1" ht="21.95" customHeight="1" x14ac:dyDescent="0.15"/>
    <row r="30481" customFormat="1" ht="21.95" customHeight="1" x14ac:dyDescent="0.15"/>
    <row r="30482" customFormat="1" ht="21.95" customHeight="1" x14ac:dyDescent="0.15"/>
    <row r="30483" customFormat="1" ht="21.95" customHeight="1" x14ac:dyDescent="0.15"/>
    <row r="30484" customFormat="1" ht="21.95" customHeight="1" x14ac:dyDescent="0.15"/>
    <row r="30485" customFormat="1" ht="21.95" customHeight="1" x14ac:dyDescent="0.15"/>
    <row r="30486" customFormat="1" ht="21.95" customHeight="1" x14ac:dyDescent="0.15"/>
    <row r="30487" customFormat="1" ht="21.95" customHeight="1" x14ac:dyDescent="0.15"/>
    <row r="30488" customFormat="1" ht="21.95" customHeight="1" x14ac:dyDescent="0.15"/>
    <row r="30489" customFormat="1" ht="21.95" customHeight="1" x14ac:dyDescent="0.15"/>
    <row r="30490" customFormat="1" ht="21.95" customHeight="1" x14ac:dyDescent="0.15"/>
    <row r="30491" customFormat="1" ht="32.1" customHeight="1" x14ac:dyDescent="0.15"/>
    <row r="30492" customFormat="1" ht="32.1" customHeight="1" x14ac:dyDescent="0.15"/>
    <row r="30493" customFormat="1" ht="32.1" customHeight="1" x14ac:dyDescent="0.15"/>
    <row r="30494" customFormat="1" ht="32.1" customHeight="1" x14ac:dyDescent="0.15"/>
    <row r="30495" customFormat="1" ht="32.1" customHeight="1" x14ac:dyDescent="0.15"/>
    <row r="30496" customFormat="1" ht="32.1" customHeight="1" x14ac:dyDescent="0.15"/>
    <row r="30497" s="76" customFormat="1" ht="32.1" customHeight="1" x14ac:dyDescent="0.15"/>
    <row r="30498" s="76" customFormat="1" ht="32.1" customHeight="1" x14ac:dyDescent="0.15"/>
    <row r="30499" s="76" customFormat="1" ht="32.1" customHeight="1" x14ac:dyDescent="0.15"/>
    <row r="30500" s="76" customFormat="1" ht="32.1" customHeight="1" x14ac:dyDescent="0.15"/>
    <row r="30501" s="76" customFormat="1" ht="21.95" customHeight="1" x14ac:dyDescent="0.15"/>
    <row r="30502" s="76" customFormat="1" ht="54" customHeight="1" x14ac:dyDescent="0.15"/>
    <row r="30503" s="76" customFormat="1" ht="21.95" customHeight="1" x14ac:dyDescent="0.15"/>
    <row r="30504" s="76" customFormat="1" ht="21.95" customHeight="1" x14ac:dyDescent="0.15"/>
    <row r="30505" s="76" customFormat="1" ht="21.95" customHeight="1" x14ac:dyDescent="0.15"/>
    <row r="30506" s="76" customFormat="1" ht="21.95" customHeight="1" x14ac:dyDescent="0.15"/>
    <row r="30507" s="76" customFormat="1" ht="21.95" customHeight="1" x14ac:dyDescent="0.15"/>
    <row r="30508" s="76" customFormat="1" ht="21.95" customHeight="1" x14ac:dyDescent="0.15"/>
    <row r="30509" s="76" customFormat="1" ht="21.95" customHeight="1" x14ac:dyDescent="0.15"/>
    <row r="30510" s="76" customFormat="1" ht="21.95" customHeight="1" x14ac:dyDescent="0.15"/>
    <row r="30511" s="76" customFormat="1" ht="21.95" customHeight="1" x14ac:dyDescent="0.15"/>
    <row r="30512" s="76" customFormat="1" ht="21.95" customHeight="1" x14ac:dyDescent="0.15"/>
    <row r="30513" s="76" customFormat="1" ht="21.95" customHeight="1" x14ac:dyDescent="0.15"/>
    <row r="30514" s="76" customFormat="1" ht="21.95" customHeight="1" x14ac:dyDescent="0.15"/>
    <row r="30515" s="76" customFormat="1" ht="21.95" customHeight="1" x14ac:dyDescent="0.15"/>
    <row r="30516" s="76" customFormat="1" ht="21.95" customHeight="1" x14ac:dyDescent="0.15"/>
    <row r="30517" s="76" customFormat="1" ht="21.95" customHeight="1" x14ac:dyDescent="0.15"/>
    <row r="30518" s="76" customFormat="1" ht="21.95" customHeight="1" x14ac:dyDescent="0.15"/>
    <row r="30519" s="76" customFormat="1" ht="21.95" customHeight="1" x14ac:dyDescent="0.15"/>
    <row r="30520" s="76" customFormat="1" ht="21.95" customHeight="1" x14ac:dyDescent="0.15"/>
    <row r="30521" s="76" customFormat="1" ht="21.95" customHeight="1" x14ac:dyDescent="0.15"/>
    <row r="30522" s="76" customFormat="1" ht="21.95" customHeight="1" x14ac:dyDescent="0.15"/>
    <row r="30523" s="76" customFormat="1" ht="21.95" customHeight="1" x14ac:dyDescent="0.15"/>
    <row r="30524" s="76" customFormat="1" ht="21.95" customHeight="1" x14ac:dyDescent="0.15"/>
    <row r="30525" s="76" customFormat="1" ht="21.95" customHeight="1" x14ac:dyDescent="0.15"/>
    <row r="30526" s="76" customFormat="1" ht="21.95" customHeight="1" x14ac:dyDescent="0.15"/>
    <row r="30527" s="76" customFormat="1" ht="21.95" customHeight="1" x14ac:dyDescent="0.15"/>
    <row r="30528" s="76" customFormat="1" ht="21.95" customHeight="1" x14ac:dyDescent="0.15"/>
    <row r="30529" s="76" customFormat="1" ht="21.95" customHeight="1" x14ac:dyDescent="0.15"/>
    <row r="30530" s="76" customFormat="1" ht="21.95" customHeight="1" x14ac:dyDescent="0.15"/>
    <row r="30531" s="76" customFormat="1" ht="21.95" customHeight="1" x14ac:dyDescent="0.15"/>
    <row r="30532" s="76" customFormat="1" ht="21.95" customHeight="1" x14ac:dyDescent="0.15"/>
    <row r="30533" s="76" customFormat="1" ht="21.95" customHeight="1" x14ac:dyDescent="0.15"/>
    <row r="30534" s="76" customFormat="1" ht="21.95" customHeight="1" x14ac:dyDescent="0.15"/>
    <row r="30535" s="76" customFormat="1" ht="21.95" customHeight="1" x14ac:dyDescent="0.15"/>
    <row r="30536" s="76" customFormat="1" ht="21.95" customHeight="1" x14ac:dyDescent="0.15"/>
    <row r="30537" s="76" customFormat="1" ht="21.95" customHeight="1" x14ac:dyDescent="0.15"/>
    <row r="30538" s="76" customFormat="1" ht="21.95" customHeight="1" x14ac:dyDescent="0.15"/>
    <row r="30539" s="76" customFormat="1" ht="21.95" customHeight="1" x14ac:dyDescent="0.15"/>
    <row r="30540" s="76" customFormat="1" ht="21.95" customHeight="1" x14ac:dyDescent="0.15"/>
    <row r="30541" s="76" customFormat="1" ht="21.95" customHeight="1" x14ac:dyDescent="0.15"/>
    <row r="30542" s="76" customFormat="1" ht="21.95" customHeight="1" x14ac:dyDescent="0.15"/>
    <row r="30543" s="76" customFormat="1" ht="21.95" customHeight="1" x14ac:dyDescent="0.15"/>
    <row r="30544" s="76" customFormat="1" ht="21.95" customHeight="1" x14ac:dyDescent="0.15"/>
    <row r="30545" s="76" customFormat="1" ht="21.95" customHeight="1" x14ac:dyDescent="0.15"/>
    <row r="30546" s="76" customFormat="1" ht="21.95" customHeight="1" x14ac:dyDescent="0.15"/>
    <row r="30547" s="76" customFormat="1" ht="21.95" customHeight="1" x14ac:dyDescent="0.15"/>
    <row r="30548" s="76" customFormat="1" ht="21.95" customHeight="1" x14ac:dyDescent="0.15"/>
    <row r="30549" s="76" customFormat="1" ht="21.95" customHeight="1" x14ac:dyDescent="0.15"/>
    <row r="30550" s="76" customFormat="1" ht="21.95" customHeight="1" x14ac:dyDescent="0.15"/>
    <row r="30551" s="76" customFormat="1" ht="21.95" customHeight="1" x14ac:dyDescent="0.15"/>
    <row r="30552" s="76" customFormat="1" ht="21.95" customHeight="1" x14ac:dyDescent="0.15"/>
    <row r="30553" s="76" customFormat="1" ht="35.1" customHeight="1" x14ac:dyDescent="0.15"/>
    <row r="30554" s="76" customFormat="1" ht="21.95" customHeight="1" x14ac:dyDescent="0.15"/>
    <row r="30555" s="76" customFormat="1" ht="21.95" customHeight="1" x14ac:dyDescent="0.15"/>
    <row r="30556" s="76" customFormat="1" ht="21.95" customHeight="1" x14ac:dyDescent="0.15"/>
    <row r="30557" s="76" customFormat="1" ht="21.95" customHeight="1" x14ac:dyDescent="0.15"/>
    <row r="30558" s="76" customFormat="1" ht="21.95" customHeight="1" x14ac:dyDescent="0.15"/>
    <row r="30559" s="76" customFormat="1" ht="21.95" customHeight="1" x14ac:dyDescent="0.15"/>
    <row r="30560" s="76" customFormat="1" ht="21.95" customHeight="1" x14ac:dyDescent="0.15"/>
    <row r="30561" s="76" customFormat="1" ht="21.95" customHeight="1" x14ac:dyDescent="0.15"/>
    <row r="30562" s="76" customFormat="1" ht="21.95" customHeight="1" x14ac:dyDescent="0.15"/>
    <row r="30563" s="76" customFormat="1" ht="21.95" customHeight="1" x14ac:dyDescent="0.15"/>
    <row r="30564" s="76" customFormat="1" ht="21.95" customHeight="1" x14ac:dyDescent="0.15"/>
    <row r="30565" s="76" customFormat="1" ht="21.95" customHeight="1" x14ac:dyDescent="0.15"/>
    <row r="30566" s="76" customFormat="1" ht="21.95" customHeight="1" x14ac:dyDescent="0.15"/>
    <row r="30567" s="76" customFormat="1" ht="21.95" customHeight="1" x14ac:dyDescent="0.15"/>
    <row r="30568" s="76" customFormat="1" ht="21.95" customHeight="1" x14ac:dyDescent="0.15"/>
    <row r="30569" s="76" customFormat="1" ht="21.95" customHeight="1" x14ac:dyDescent="0.15"/>
    <row r="30570" s="76" customFormat="1" ht="21.95" customHeight="1" x14ac:dyDescent="0.15"/>
    <row r="30571" s="76" customFormat="1" ht="21.95" customHeight="1" x14ac:dyDescent="0.15"/>
    <row r="30572" s="76" customFormat="1" ht="21.95" customHeight="1" x14ac:dyDescent="0.15"/>
    <row r="30573" s="76" customFormat="1" ht="21.95" customHeight="1" x14ac:dyDescent="0.15"/>
    <row r="30574" s="76" customFormat="1" ht="21.95" customHeight="1" x14ac:dyDescent="0.15"/>
    <row r="30575" s="76" customFormat="1" ht="21.95" customHeight="1" x14ac:dyDescent="0.15"/>
    <row r="30576" s="76" customFormat="1" ht="21.95" customHeight="1" x14ac:dyDescent="0.15"/>
    <row r="30577" spans="3:3" customFormat="1" ht="21.95" customHeight="1" x14ac:dyDescent="0.15"/>
    <row r="30578" spans="3:3" customFormat="1" ht="21.95" customHeight="1" x14ac:dyDescent="0.15"/>
    <row r="30579" spans="3:3" customFormat="1" ht="21.95" customHeight="1" x14ac:dyDescent="0.15">
      <c r="C30579" s="94"/>
    </row>
    <row r="30580" spans="3:3" customFormat="1" ht="21.95" customHeight="1" x14ac:dyDescent="0.15">
      <c r="C30580" s="94"/>
    </row>
    <row r="30581" spans="3:3" customFormat="1" ht="21.95" customHeight="1" x14ac:dyDescent="0.15"/>
    <row r="30582" spans="3:3" customFormat="1" ht="21.95" customHeight="1" x14ac:dyDescent="0.15"/>
    <row r="30583" spans="3:3" customFormat="1" ht="21.95" customHeight="1" x14ac:dyDescent="0.15"/>
    <row r="30584" spans="3:3" customFormat="1" ht="21.95" customHeight="1" x14ac:dyDescent="0.15"/>
    <row r="30585" spans="3:3" customFormat="1" ht="21.95" customHeight="1" x14ac:dyDescent="0.15"/>
    <row r="30586" spans="3:3" customFormat="1" ht="21.95" customHeight="1" x14ac:dyDescent="0.15"/>
    <row r="30587" spans="3:3" customFormat="1" ht="21.95" customHeight="1" x14ac:dyDescent="0.15"/>
    <row r="30588" spans="3:3" s="76" customFormat="1" ht="21.95" customHeight="1" x14ac:dyDescent="0.15"/>
    <row r="30589" spans="3:3" s="76" customFormat="1" ht="21.95" customHeight="1" x14ac:dyDescent="0.15"/>
    <row r="30590" spans="3:3" s="76" customFormat="1" ht="21.95" customHeight="1" x14ac:dyDescent="0.15"/>
    <row r="30591" spans="3:3" s="76" customFormat="1" ht="21.95" customHeight="1" x14ac:dyDescent="0.15"/>
    <row r="30592" spans="3:3" customFormat="1" ht="21.95" customHeight="1" x14ac:dyDescent="0.15"/>
    <row r="30593" customFormat="1" ht="21.95" customHeight="1" x14ac:dyDescent="0.15"/>
    <row r="30594" customFormat="1" ht="21.95" customHeight="1" x14ac:dyDescent="0.15"/>
    <row r="30595" customFormat="1" ht="21.95" customHeight="1" x14ac:dyDescent="0.15"/>
    <row r="30596" customFormat="1" ht="21.95" customHeight="1" x14ac:dyDescent="0.15"/>
    <row r="30597" customFormat="1" ht="21.95" customHeight="1" x14ac:dyDescent="0.15"/>
    <row r="30598" customFormat="1" ht="21.95" customHeight="1" x14ac:dyDescent="0.15"/>
    <row r="30599" customFormat="1" ht="21.95" customHeight="1" x14ac:dyDescent="0.15"/>
    <row r="30600" customFormat="1" ht="21.95" customHeight="1" x14ac:dyDescent="0.15"/>
    <row r="30601" customFormat="1" ht="21.95" customHeight="1" x14ac:dyDescent="0.15"/>
    <row r="30602" customFormat="1" ht="21.95" customHeight="1" x14ac:dyDescent="0.15"/>
    <row r="30603" customFormat="1" ht="32.1" customHeight="1" x14ac:dyDescent="0.15"/>
    <row r="30604" customFormat="1" ht="32.1" customHeight="1" x14ac:dyDescent="0.15"/>
    <row r="30605" customFormat="1" ht="32.1" customHeight="1" x14ac:dyDescent="0.15"/>
    <row r="30606" customFormat="1" ht="32.1" customHeight="1" x14ac:dyDescent="0.15"/>
    <row r="30607" customFormat="1" ht="32.1" customHeight="1" x14ac:dyDescent="0.15"/>
    <row r="30608" customFormat="1" ht="32.1" customHeight="1" x14ac:dyDescent="0.15"/>
    <row r="30609" s="76" customFormat="1" ht="32.1" customHeight="1" x14ac:dyDescent="0.15"/>
    <row r="30610" s="76" customFormat="1" ht="32.1" customHeight="1" x14ac:dyDescent="0.15"/>
    <row r="30611" s="76" customFormat="1" ht="32.1" customHeight="1" x14ac:dyDescent="0.15"/>
    <row r="30612" s="76" customFormat="1" ht="32.1" customHeight="1" x14ac:dyDescent="0.15"/>
    <row r="30613" s="76" customFormat="1" ht="21.95" customHeight="1" x14ac:dyDescent="0.15"/>
    <row r="30614" s="76" customFormat="1" ht="54" customHeight="1" x14ac:dyDescent="0.15"/>
    <row r="30615" s="76" customFormat="1" ht="21.95" customHeight="1" x14ac:dyDescent="0.15"/>
    <row r="30616" s="76" customFormat="1" ht="21.95" customHeight="1" x14ac:dyDescent="0.15"/>
    <row r="30617" s="76" customFormat="1" ht="21.95" customHeight="1" x14ac:dyDescent="0.15"/>
    <row r="30618" s="76" customFormat="1" ht="21.95" customHeight="1" x14ac:dyDescent="0.15"/>
    <row r="30619" s="76" customFormat="1" ht="21.95" customHeight="1" x14ac:dyDescent="0.15"/>
    <row r="30620" s="76" customFormat="1" ht="21.95" customHeight="1" x14ac:dyDescent="0.15"/>
    <row r="30621" s="76" customFormat="1" ht="21.95" customHeight="1" x14ac:dyDescent="0.15"/>
    <row r="30622" s="76" customFormat="1" ht="21.95" customHeight="1" x14ac:dyDescent="0.15"/>
    <row r="30623" s="76" customFormat="1" ht="21.95" customHeight="1" x14ac:dyDescent="0.15"/>
    <row r="30624" s="76" customFormat="1" ht="21.95" customHeight="1" x14ac:dyDescent="0.15"/>
    <row r="30625" s="76" customFormat="1" ht="21.95" customHeight="1" x14ac:dyDescent="0.15"/>
    <row r="30626" s="76" customFormat="1" ht="21.95" customHeight="1" x14ac:dyDescent="0.15"/>
    <row r="30627" s="76" customFormat="1" ht="21.95" customHeight="1" x14ac:dyDescent="0.15"/>
    <row r="30628" s="76" customFormat="1" ht="21.95" customHeight="1" x14ac:dyDescent="0.15"/>
    <row r="30629" s="76" customFormat="1" ht="21.95" customHeight="1" x14ac:dyDescent="0.15"/>
    <row r="30630" s="76" customFormat="1" ht="21.95" customHeight="1" x14ac:dyDescent="0.15"/>
    <row r="30631" s="76" customFormat="1" ht="21.95" customHeight="1" x14ac:dyDescent="0.15"/>
    <row r="30632" s="76" customFormat="1" ht="21.95" customHeight="1" x14ac:dyDescent="0.15"/>
    <row r="30633" s="76" customFormat="1" ht="21.95" customHeight="1" x14ac:dyDescent="0.15"/>
    <row r="30634" s="76" customFormat="1" ht="21.95" customHeight="1" x14ac:dyDescent="0.15"/>
    <row r="30635" s="76" customFormat="1" ht="21.95" customHeight="1" x14ac:dyDescent="0.15"/>
    <row r="30636" s="76" customFormat="1" ht="21.95" customHeight="1" x14ac:dyDescent="0.15"/>
    <row r="30637" s="76" customFormat="1" ht="21.95" customHeight="1" x14ac:dyDescent="0.15"/>
    <row r="30638" s="76" customFormat="1" ht="21.95" customHeight="1" x14ac:dyDescent="0.15"/>
    <row r="30639" s="76" customFormat="1" ht="21.95" customHeight="1" x14ac:dyDescent="0.15"/>
    <row r="30640" s="76" customFormat="1" ht="21.95" customHeight="1" x14ac:dyDescent="0.15"/>
    <row r="30641" s="76" customFormat="1" ht="21.95" customHeight="1" x14ac:dyDescent="0.15"/>
    <row r="30642" s="76" customFormat="1" ht="21.95" customHeight="1" x14ac:dyDescent="0.15"/>
    <row r="30643" s="76" customFormat="1" ht="21.95" customHeight="1" x14ac:dyDescent="0.15"/>
    <row r="30644" s="76" customFormat="1" ht="21.95" customHeight="1" x14ac:dyDescent="0.15"/>
    <row r="30645" s="76" customFormat="1" ht="21.95" customHeight="1" x14ac:dyDescent="0.15"/>
    <row r="30646" s="76" customFormat="1" ht="21.95" customHeight="1" x14ac:dyDescent="0.15"/>
    <row r="30647" s="76" customFormat="1" ht="21.95" customHeight="1" x14ac:dyDescent="0.15"/>
    <row r="30648" s="76" customFormat="1" ht="21.95" customHeight="1" x14ac:dyDescent="0.15"/>
    <row r="30649" s="76" customFormat="1" ht="21.95" customHeight="1" x14ac:dyDescent="0.15"/>
    <row r="30650" s="76" customFormat="1" ht="21.95" customHeight="1" x14ac:dyDescent="0.15"/>
    <row r="30651" s="76" customFormat="1" ht="21.95" customHeight="1" x14ac:dyDescent="0.15"/>
    <row r="30652" s="76" customFormat="1" ht="21.95" customHeight="1" x14ac:dyDescent="0.15"/>
    <row r="30653" s="76" customFormat="1" ht="21.95" customHeight="1" x14ac:dyDescent="0.15"/>
    <row r="30654" s="76" customFormat="1" ht="21.95" customHeight="1" x14ac:dyDescent="0.15"/>
    <row r="30655" s="76" customFormat="1" ht="21.95" customHeight="1" x14ac:dyDescent="0.15"/>
    <row r="30656" s="76" customFormat="1" ht="21.95" customHeight="1" x14ac:dyDescent="0.15"/>
    <row r="30657" s="76" customFormat="1" ht="21.95" customHeight="1" x14ac:dyDescent="0.15"/>
    <row r="30658" s="76" customFormat="1" ht="21.95" customHeight="1" x14ac:dyDescent="0.15"/>
    <row r="30659" s="76" customFormat="1" ht="21.95" customHeight="1" x14ac:dyDescent="0.15"/>
    <row r="30660" s="76" customFormat="1" ht="21.95" customHeight="1" x14ac:dyDescent="0.15"/>
    <row r="30661" s="76" customFormat="1" ht="21.95" customHeight="1" x14ac:dyDescent="0.15"/>
    <row r="30662" s="76" customFormat="1" ht="21.95" customHeight="1" x14ac:dyDescent="0.15"/>
    <row r="30663" s="76" customFormat="1" ht="21.95" customHeight="1" x14ac:dyDescent="0.15"/>
    <row r="30664" s="76" customFormat="1" ht="21.95" customHeight="1" x14ac:dyDescent="0.15"/>
    <row r="30665" s="76" customFormat="1" ht="35.1" customHeight="1" x14ac:dyDescent="0.15"/>
    <row r="30666" s="76" customFormat="1" ht="21.95" customHeight="1" x14ac:dyDescent="0.15"/>
    <row r="30667" s="76" customFormat="1" ht="21.95" customHeight="1" x14ac:dyDescent="0.15"/>
    <row r="30668" s="76" customFormat="1" ht="21.95" customHeight="1" x14ac:dyDescent="0.15"/>
    <row r="30669" s="76" customFormat="1" ht="21.95" customHeight="1" x14ac:dyDescent="0.15"/>
    <row r="30670" s="76" customFormat="1" ht="21.95" customHeight="1" x14ac:dyDescent="0.15"/>
    <row r="30671" s="76" customFormat="1" ht="21.95" customHeight="1" x14ac:dyDescent="0.15"/>
    <row r="30672" s="76" customFormat="1" ht="21.95" customHeight="1" x14ac:dyDescent="0.15"/>
    <row r="30673" s="76" customFormat="1" ht="21.95" customHeight="1" x14ac:dyDescent="0.15"/>
    <row r="30674" s="76" customFormat="1" ht="21.95" customHeight="1" x14ac:dyDescent="0.15"/>
    <row r="30675" s="76" customFormat="1" ht="21.95" customHeight="1" x14ac:dyDescent="0.15"/>
    <row r="30676" s="76" customFormat="1" ht="21.95" customHeight="1" x14ac:dyDescent="0.15"/>
    <row r="30677" s="76" customFormat="1" ht="21.95" customHeight="1" x14ac:dyDescent="0.15"/>
    <row r="30678" s="76" customFormat="1" ht="21.95" customHeight="1" x14ac:dyDescent="0.15"/>
    <row r="30679" s="76" customFormat="1" ht="21.95" customHeight="1" x14ac:dyDescent="0.15"/>
    <row r="30680" s="76" customFormat="1" ht="21.95" customHeight="1" x14ac:dyDescent="0.15"/>
    <row r="30681" s="76" customFormat="1" ht="21.95" customHeight="1" x14ac:dyDescent="0.15"/>
    <row r="30682" s="76" customFormat="1" ht="21.95" customHeight="1" x14ac:dyDescent="0.15"/>
    <row r="30683" s="76" customFormat="1" ht="21.95" customHeight="1" x14ac:dyDescent="0.15"/>
    <row r="30684" s="76" customFormat="1" ht="21.95" customHeight="1" x14ac:dyDescent="0.15"/>
    <row r="30685" s="76" customFormat="1" ht="21.95" customHeight="1" x14ac:dyDescent="0.15"/>
    <row r="30686" s="76" customFormat="1" ht="21.95" customHeight="1" x14ac:dyDescent="0.15"/>
    <row r="30687" s="76" customFormat="1" ht="21.95" customHeight="1" x14ac:dyDescent="0.15"/>
    <row r="30688" s="76" customFormat="1" ht="21.95" customHeight="1" x14ac:dyDescent="0.15"/>
    <row r="30689" spans="3:3" customFormat="1" ht="21.95" customHeight="1" x14ac:dyDescent="0.15"/>
    <row r="30690" spans="3:3" customFormat="1" ht="21.95" customHeight="1" x14ac:dyDescent="0.15"/>
    <row r="30691" spans="3:3" customFormat="1" ht="21.95" customHeight="1" x14ac:dyDescent="0.15">
      <c r="C30691" s="94"/>
    </row>
    <row r="30692" spans="3:3" customFormat="1" ht="21.95" customHeight="1" x14ac:dyDescent="0.15">
      <c r="C30692" s="94"/>
    </row>
    <row r="30693" spans="3:3" customFormat="1" ht="21.95" customHeight="1" x14ac:dyDescent="0.15"/>
    <row r="30694" spans="3:3" customFormat="1" ht="21.95" customHeight="1" x14ac:dyDescent="0.15"/>
    <row r="30695" spans="3:3" customFormat="1" ht="21.95" customHeight="1" x14ac:dyDescent="0.15"/>
    <row r="30696" spans="3:3" customFormat="1" ht="21.95" customHeight="1" x14ac:dyDescent="0.15"/>
    <row r="30697" spans="3:3" customFormat="1" ht="21.95" customHeight="1" x14ac:dyDescent="0.15"/>
    <row r="30698" spans="3:3" customFormat="1" ht="21.95" customHeight="1" x14ac:dyDescent="0.15"/>
    <row r="30699" spans="3:3" customFormat="1" ht="21.95" customHeight="1" x14ac:dyDescent="0.15"/>
    <row r="30700" spans="3:3" s="76" customFormat="1" ht="21.95" customHeight="1" x14ac:dyDescent="0.15"/>
    <row r="30701" spans="3:3" s="76" customFormat="1" ht="21.95" customHeight="1" x14ac:dyDescent="0.15"/>
    <row r="30702" spans="3:3" s="76" customFormat="1" ht="21.95" customHeight="1" x14ac:dyDescent="0.15"/>
    <row r="30703" spans="3:3" s="76" customFormat="1" ht="21.95" customHeight="1" x14ac:dyDescent="0.15"/>
    <row r="30704" spans="3:3" customFormat="1" ht="21.95" customHeight="1" x14ac:dyDescent="0.15"/>
    <row r="30705" customFormat="1" ht="21.95" customHeight="1" x14ac:dyDescent="0.15"/>
    <row r="30706" customFormat="1" ht="21.95" customHeight="1" x14ac:dyDescent="0.15"/>
    <row r="30707" customFormat="1" ht="21.95" customHeight="1" x14ac:dyDescent="0.15"/>
    <row r="30708" customFormat="1" ht="21.95" customHeight="1" x14ac:dyDescent="0.15"/>
    <row r="30709" customFormat="1" ht="21.95" customHeight="1" x14ac:dyDescent="0.15"/>
    <row r="30710" customFormat="1" ht="21.95" customHeight="1" x14ac:dyDescent="0.15"/>
    <row r="30711" customFormat="1" ht="21.95" customHeight="1" x14ac:dyDescent="0.15"/>
    <row r="30712" customFormat="1" ht="21.95" customHeight="1" x14ac:dyDescent="0.15"/>
    <row r="30713" customFormat="1" ht="21.95" customHeight="1" x14ac:dyDescent="0.15"/>
    <row r="30714" customFormat="1" ht="21.95" customHeight="1" x14ac:dyDescent="0.15"/>
    <row r="30715" customFormat="1" ht="32.1" customHeight="1" x14ac:dyDescent="0.15"/>
    <row r="30716" customFormat="1" ht="32.1" customHeight="1" x14ac:dyDescent="0.15"/>
    <row r="30717" customFormat="1" ht="32.1" customHeight="1" x14ac:dyDescent="0.15"/>
    <row r="30718" customFormat="1" ht="32.1" customHeight="1" x14ac:dyDescent="0.15"/>
    <row r="30719" customFormat="1" ht="32.1" customHeight="1" x14ac:dyDescent="0.15"/>
    <row r="30720" customFormat="1" ht="32.1" customHeight="1" x14ac:dyDescent="0.15"/>
    <row r="30721" s="76" customFormat="1" ht="32.1" customHeight="1" x14ac:dyDescent="0.15"/>
    <row r="30722" s="76" customFormat="1" ht="32.1" customHeight="1" x14ac:dyDescent="0.15"/>
    <row r="30723" s="76" customFormat="1" ht="32.1" customHeight="1" x14ac:dyDescent="0.15"/>
    <row r="30724" s="76" customFormat="1" ht="32.1" customHeight="1" x14ac:dyDescent="0.15"/>
    <row r="30725" s="76" customFormat="1" ht="21.95" customHeight="1" x14ac:dyDescent="0.15"/>
    <row r="30726" s="76" customFormat="1" ht="54" customHeight="1" x14ac:dyDescent="0.15"/>
    <row r="30727" s="76" customFormat="1" ht="21.95" customHeight="1" x14ac:dyDescent="0.15"/>
    <row r="30728" s="76" customFormat="1" ht="21.95" customHeight="1" x14ac:dyDescent="0.15"/>
    <row r="30729" s="76" customFormat="1" ht="21.95" customHeight="1" x14ac:dyDescent="0.15"/>
    <row r="30730" s="76" customFormat="1" ht="21.95" customHeight="1" x14ac:dyDescent="0.15"/>
    <row r="30731" s="76" customFormat="1" ht="21.95" customHeight="1" x14ac:dyDescent="0.15"/>
    <row r="30732" s="76" customFormat="1" ht="21.95" customHeight="1" x14ac:dyDescent="0.15"/>
    <row r="30733" s="76" customFormat="1" ht="21.95" customHeight="1" x14ac:dyDescent="0.15"/>
    <row r="30734" s="76" customFormat="1" ht="21.95" customHeight="1" x14ac:dyDescent="0.15"/>
    <row r="30735" s="76" customFormat="1" ht="21.95" customHeight="1" x14ac:dyDescent="0.15"/>
    <row r="30736" s="76" customFormat="1" ht="21.95" customHeight="1" x14ac:dyDescent="0.15"/>
    <row r="30737" s="76" customFormat="1" ht="21.95" customHeight="1" x14ac:dyDescent="0.15"/>
    <row r="30738" s="76" customFormat="1" ht="21.95" customHeight="1" x14ac:dyDescent="0.15"/>
    <row r="30739" s="76" customFormat="1" ht="21.95" customHeight="1" x14ac:dyDescent="0.15"/>
    <row r="30740" s="76" customFormat="1" ht="21.95" customHeight="1" x14ac:dyDescent="0.15"/>
    <row r="30741" s="76" customFormat="1" ht="21.95" customHeight="1" x14ac:dyDescent="0.15"/>
    <row r="30742" s="76" customFormat="1" ht="21.95" customHeight="1" x14ac:dyDescent="0.15"/>
    <row r="30743" s="76" customFormat="1" ht="21.95" customHeight="1" x14ac:dyDescent="0.15"/>
    <row r="30744" s="76" customFormat="1" ht="21.95" customHeight="1" x14ac:dyDescent="0.15"/>
    <row r="30745" s="76" customFormat="1" ht="21.95" customHeight="1" x14ac:dyDescent="0.15"/>
    <row r="30746" s="76" customFormat="1" ht="21.95" customHeight="1" x14ac:dyDescent="0.15"/>
    <row r="30747" s="76" customFormat="1" ht="21.95" customHeight="1" x14ac:dyDescent="0.15"/>
    <row r="30748" s="76" customFormat="1" ht="21.95" customHeight="1" x14ac:dyDescent="0.15"/>
    <row r="30749" s="76" customFormat="1" ht="21.95" customHeight="1" x14ac:dyDescent="0.15"/>
    <row r="30750" s="76" customFormat="1" ht="21.95" customHeight="1" x14ac:dyDescent="0.15"/>
    <row r="30751" s="76" customFormat="1" ht="21.95" customHeight="1" x14ac:dyDescent="0.15"/>
    <row r="30752" s="76" customFormat="1" ht="21.95" customHeight="1" x14ac:dyDescent="0.15"/>
    <row r="30753" s="76" customFormat="1" ht="21.95" customHeight="1" x14ac:dyDescent="0.15"/>
    <row r="30754" s="76" customFormat="1" ht="21.95" customHeight="1" x14ac:dyDescent="0.15"/>
    <row r="30755" s="76" customFormat="1" ht="21.95" customHeight="1" x14ac:dyDescent="0.15"/>
    <row r="30756" s="76" customFormat="1" ht="21.95" customHeight="1" x14ac:dyDescent="0.15"/>
    <row r="30757" s="76" customFormat="1" ht="21.95" customHeight="1" x14ac:dyDescent="0.15"/>
    <row r="30758" s="76" customFormat="1" ht="21.95" customHeight="1" x14ac:dyDescent="0.15"/>
    <row r="30759" s="76" customFormat="1" ht="21.95" customHeight="1" x14ac:dyDescent="0.15"/>
    <row r="30760" s="76" customFormat="1" ht="21.95" customHeight="1" x14ac:dyDescent="0.15"/>
    <row r="30761" s="76" customFormat="1" ht="21.95" customHeight="1" x14ac:dyDescent="0.15"/>
    <row r="30762" s="76" customFormat="1" ht="21.95" customHeight="1" x14ac:dyDescent="0.15"/>
    <row r="30763" s="76" customFormat="1" ht="21.95" customHeight="1" x14ac:dyDescent="0.15"/>
    <row r="30764" s="76" customFormat="1" ht="21.95" customHeight="1" x14ac:dyDescent="0.15"/>
    <row r="30765" s="76" customFormat="1" ht="21.95" customHeight="1" x14ac:dyDescent="0.15"/>
    <row r="30766" s="76" customFormat="1" ht="21.95" customHeight="1" x14ac:dyDescent="0.15"/>
    <row r="30767" s="76" customFormat="1" ht="21.95" customHeight="1" x14ac:dyDescent="0.15"/>
    <row r="30768" s="76" customFormat="1" ht="21.95" customHeight="1" x14ac:dyDescent="0.15"/>
    <row r="30769" s="76" customFormat="1" ht="21.95" customHeight="1" x14ac:dyDescent="0.15"/>
    <row r="30770" s="76" customFormat="1" ht="21.95" customHeight="1" x14ac:dyDescent="0.15"/>
    <row r="30771" s="76" customFormat="1" ht="21.95" customHeight="1" x14ac:dyDescent="0.15"/>
    <row r="30772" s="76" customFormat="1" ht="21.95" customHeight="1" x14ac:dyDescent="0.15"/>
    <row r="30773" s="76" customFormat="1" ht="21.95" customHeight="1" x14ac:dyDescent="0.15"/>
    <row r="30774" s="76" customFormat="1" ht="21.95" customHeight="1" x14ac:dyDescent="0.15"/>
    <row r="30775" s="76" customFormat="1" ht="21.95" customHeight="1" x14ac:dyDescent="0.15"/>
    <row r="30776" s="76" customFormat="1" ht="21.95" customHeight="1" x14ac:dyDescent="0.15"/>
    <row r="30777" s="76" customFormat="1" ht="35.1" customHeight="1" x14ac:dyDescent="0.15"/>
    <row r="30778" s="76" customFormat="1" ht="21.95" customHeight="1" x14ac:dyDescent="0.15"/>
    <row r="30779" s="76" customFormat="1" ht="21.95" customHeight="1" x14ac:dyDescent="0.15"/>
    <row r="30780" s="76" customFormat="1" ht="21.95" customHeight="1" x14ac:dyDescent="0.15"/>
    <row r="30781" s="76" customFormat="1" ht="21.95" customHeight="1" x14ac:dyDescent="0.15"/>
    <row r="30782" s="76" customFormat="1" ht="21.95" customHeight="1" x14ac:dyDescent="0.15"/>
    <row r="30783" s="76" customFormat="1" ht="21.95" customHeight="1" x14ac:dyDescent="0.15"/>
    <row r="30784" s="76" customFormat="1" ht="21.95" customHeight="1" x14ac:dyDescent="0.15"/>
    <row r="30785" s="76" customFormat="1" ht="21.95" customHeight="1" x14ac:dyDescent="0.15"/>
    <row r="30786" s="76" customFormat="1" ht="21.95" customHeight="1" x14ac:dyDescent="0.15"/>
    <row r="30787" s="76" customFormat="1" ht="21.95" customHeight="1" x14ac:dyDescent="0.15"/>
    <row r="30788" s="76" customFormat="1" ht="21.95" customHeight="1" x14ac:dyDescent="0.15"/>
    <row r="30789" s="76" customFormat="1" ht="21.95" customHeight="1" x14ac:dyDescent="0.15"/>
    <row r="30790" s="76" customFormat="1" ht="21.95" customHeight="1" x14ac:dyDescent="0.15"/>
    <row r="30791" s="76" customFormat="1" ht="21.95" customHeight="1" x14ac:dyDescent="0.15"/>
    <row r="30792" s="76" customFormat="1" ht="21.95" customHeight="1" x14ac:dyDescent="0.15"/>
    <row r="30793" s="76" customFormat="1" ht="21.95" customHeight="1" x14ac:dyDescent="0.15"/>
    <row r="30794" s="76" customFormat="1" ht="21.95" customHeight="1" x14ac:dyDescent="0.15"/>
    <row r="30795" s="76" customFormat="1" ht="21.95" customHeight="1" x14ac:dyDescent="0.15"/>
    <row r="30796" s="76" customFormat="1" ht="21.95" customHeight="1" x14ac:dyDescent="0.15"/>
    <row r="30797" s="76" customFormat="1" ht="21.95" customHeight="1" x14ac:dyDescent="0.15"/>
    <row r="30798" s="76" customFormat="1" ht="21.95" customHeight="1" x14ac:dyDescent="0.15"/>
    <row r="30799" s="76" customFormat="1" ht="21.95" customHeight="1" x14ac:dyDescent="0.15"/>
    <row r="30800" s="76" customFormat="1" ht="21.95" customHeight="1" x14ac:dyDescent="0.15"/>
    <row r="30801" spans="3:3" customFormat="1" ht="21.95" customHeight="1" x14ac:dyDescent="0.15"/>
    <row r="30802" spans="3:3" customFormat="1" ht="21.95" customHeight="1" x14ac:dyDescent="0.15"/>
    <row r="30803" spans="3:3" customFormat="1" ht="21.95" customHeight="1" x14ac:dyDescent="0.15">
      <c r="C30803" s="94"/>
    </row>
    <row r="30804" spans="3:3" customFormat="1" ht="21.95" customHeight="1" x14ac:dyDescent="0.15">
      <c r="C30804" s="94"/>
    </row>
    <row r="30805" spans="3:3" customFormat="1" ht="21.95" customHeight="1" x14ac:dyDescent="0.15"/>
    <row r="30806" spans="3:3" customFormat="1" ht="21.95" customHeight="1" x14ac:dyDescent="0.15"/>
    <row r="30807" spans="3:3" customFormat="1" ht="21.95" customHeight="1" x14ac:dyDescent="0.15"/>
    <row r="30808" spans="3:3" customFormat="1" ht="21.95" customHeight="1" x14ac:dyDescent="0.15"/>
    <row r="30809" spans="3:3" customFormat="1" ht="21.95" customHeight="1" x14ac:dyDescent="0.15"/>
    <row r="30810" spans="3:3" customFormat="1" ht="21.95" customHeight="1" x14ac:dyDescent="0.15"/>
    <row r="30811" spans="3:3" customFormat="1" ht="21.95" customHeight="1" x14ac:dyDescent="0.15"/>
    <row r="30812" spans="3:3" s="76" customFormat="1" ht="21.95" customHeight="1" x14ac:dyDescent="0.15"/>
    <row r="30813" spans="3:3" s="76" customFormat="1" ht="21.95" customHeight="1" x14ac:dyDescent="0.15"/>
    <row r="30814" spans="3:3" s="76" customFormat="1" ht="21.95" customHeight="1" x14ac:dyDescent="0.15"/>
    <row r="30815" spans="3:3" s="76" customFormat="1" ht="21.95" customHeight="1" x14ac:dyDescent="0.15"/>
    <row r="30816" spans="3:3" customFormat="1" ht="21.95" customHeight="1" x14ac:dyDescent="0.15"/>
    <row r="30817" customFormat="1" ht="21.95" customHeight="1" x14ac:dyDescent="0.15"/>
    <row r="30818" customFormat="1" ht="21.95" customHeight="1" x14ac:dyDescent="0.15"/>
    <row r="30819" customFormat="1" ht="21.95" customHeight="1" x14ac:dyDescent="0.15"/>
    <row r="30820" customFormat="1" ht="21.95" customHeight="1" x14ac:dyDescent="0.15"/>
    <row r="30821" customFormat="1" ht="21.95" customHeight="1" x14ac:dyDescent="0.15"/>
    <row r="30822" customFormat="1" ht="21.95" customHeight="1" x14ac:dyDescent="0.15"/>
    <row r="30823" customFormat="1" ht="21.95" customHeight="1" x14ac:dyDescent="0.15"/>
    <row r="30824" customFormat="1" ht="21.95" customHeight="1" x14ac:dyDescent="0.15"/>
    <row r="30825" customFormat="1" ht="21.95" customHeight="1" x14ac:dyDescent="0.15"/>
    <row r="30826" customFormat="1" ht="21.95" customHeight="1" x14ac:dyDescent="0.15"/>
    <row r="30827" customFormat="1" ht="32.1" customHeight="1" x14ac:dyDescent="0.15"/>
    <row r="30828" customFormat="1" ht="32.1" customHeight="1" x14ac:dyDescent="0.15"/>
    <row r="30829" customFormat="1" ht="32.1" customHeight="1" x14ac:dyDescent="0.15"/>
    <row r="30830" customFormat="1" ht="32.1" customHeight="1" x14ac:dyDescent="0.15"/>
    <row r="30831" customFormat="1" ht="32.1" customHeight="1" x14ac:dyDescent="0.15"/>
    <row r="30832" customFormat="1" ht="32.1" customHeight="1" x14ac:dyDescent="0.15"/>
    <row r="30833" s="76" customFormat="1" ht="32.1" customHeight="1" x14ac:dyDescent="0.15"/>
    <row r="30834" s="76" customFormat="1" ht="32.1" customHeight="1" x14ac:dyDescent="0.15"/>
    <row r="30835" s="76" customFormat="1" ht="32.1" customHeight="1" x14ac:dyDescent="0.15"/>
    <row r="30836" s="76" customFormat="1" ht="32.1" customHeight="1" x14ac:dyDescent="0.15"/>
    <row r="30837" s="76" customFormat="1" ht="21.95" customHeight="1" x14ac:dyDescent="0.15"/>
    <row r="30838" s="76" customFormat="1" ht="54" customHeight="1" x14ac:dyDescent="0.15"/>
    <row r="30839" s="76" customFormat="1" ht="21.95" customHeight="1" x14ac:dyDescent="0.15"/>
    <row r="30840" s="76" customFormat="1" ht="21.95" customHeight="1" x14ac:dyDescent="0.15"/>
    <row r="30841" s="76" customFormat="1" ht="21.95" customHeight="1" x14ac:dyDescent="0.15"/>
    <row r="30842" s="76" customFormat="1" ht="21.95" customHeight="1" x14ac:dyDescent="0.15"/>
    <row r="30843" s="76" customFormat="1" ht="21.95" customHeight="1" x14ac:dyDescent="0.15"/>
    <row r="30844" s="76" customFormat="1" ht="21.95" customHeight="1" x14ac:dyDescent="0.15"/>
    <row r="30845" s="76" customFormat="1" ht="21.95" customHeight="1" x14ac:dyDescent="0.15"/>
    <row r="30846" s="76" customFormat="1" ht="21.95" customHeight="1" x14ac:dyDescent="0.15"/>
    <row r="30847" s="76" customFormat="1" ht="21.95" customHeight="1" x14ac:dyDescent="0.15"/>
    <row r="30848" s="76" customFormat="1" ht="21.95" customHeight="1" x14ac:dyDescent="0.15"/>
    <row r="30849" s="76" customFormat="1" ht="21.95" customHeight="1" x14ac:dyDescent="0.15"/>
    <row r="30850" s="76" customFormat="1" ht="21.95" customHeight="1" x14ac:dyDescent="0.15"/>
    <row r="30851" s="76" customFormat="1" ht="21.95" customHeight="1" x14ac:dyDescent="0.15"/>
    <row r="30852" s="76" customFormat="1" ht="21.95" customHeight="1" x14ac:dyDescent="0.15"/>
    <row r="30853" s="76" customFormat="1" ht="21.95" customHeight="1" x14ac:dyDescent="0.15"/>
    <row r="30854" s="76" customFormat="1" ht="21.95" customHeight="1" x14ac:dyDescent="0.15"/>
    <row r="30855" s="76" customFormat="1" ht="21.95" customHeight="1" x14ac:dyDescent="0.15"/>
    <row r="30856" s="76" customFormat="1" ht="21.95" customHeight="1" x14ac:dyDescent="0.15"/>
    <row r="30857" s="76" customFormat="1" ht="21.95" customHeight="1" x14ac:dyDescent="0.15"/>
    <row r="30858" s="76" customFormat="1" ht="21.95" customHeight="1" x14ac:dyDescent="0.15"/>
    <row r="30859" s="76" customFormat="1" ht="21.95" customHeight="1" x14ac:dyDescent="0.15"/>
    <row r="30860" s="76" customFormat="1" ht="21.95" customHeight="1" x14ac:dyDescent="0.15"/>
    <row r="30861" s="76" customFormat="1" ht="21.95" customHeight="1" x14ac:dyDescent="0.15"/>
    <row r="30862" s="76" customFormat="1" ht="21.95" customHeight="1" x14ac:dyDescent="0.15"/>
    <row r="30863" s="76" customFormat="1" ht="21.95" customHeight="1" x14ac:dyDescent="0.15"/>
    <row r="30864" s="76" customFormat="1" ht="21.95" customHeight="1" x14ac:dyDescent="0.15"/>
    <row r="30865" s="76" customFormat="1" ht="21.95" customHeight="1" x14ac:dyDescent="0.15"/>
    <row r="30866" s="76" customFormat="1" ht="21.95" customHeight="1" x14ac:dyDescent="0.15"/>
    <row r="30867" s="76" customFormat="1" ht="21.95" customHeight="1" x14ac:dyDescent="0.15"/>
    <row r="30868" s="76" customFormat="1" ht="21.95" customHeight="1" x14ac:dyDescent="0.15"/>
    <row r="30869" s="76" customFormat="1" ht="21.95" customHeight="1" x14ac:dyDescent="0.15"/>
    <row r="30870" s="76" customFormat="1" ht="21.95" customHeight="1" x14ac:dyDescent="0.15"/>
    <row r="30871" s="76" customFormat="1" ht="21.95" customHeight="1" x14ac:dyDescent="0.15"/>
    <row r="30872" s="76" customFormat="1" ht="21.95" customHeight="1" x14ac:dyDescent="0.15"/>
    <row r="30873" s="76" customFormat="1" ht="21.95" customHeight="1" x14ac:dyDescent="0.15"/>
    <row r="30874" s="76" customFormat="1" ht="21.95" customHeight="1" x14ac:dyDescent="0.15"/>
    <row r="30875" s="76" customFormat="1" ht="21.95" customHeight="1" x14ac:dyDescent="0.15"/>
    <row r="30876" s="76" customFormat="1" ht="21.95" customHeight="1" x14ac:dyDescent="0.15"/>
    <row r="30877" s="76" customFormat="1" ht="21.95" customHeight="1" x14ac:dyDescent="0.15"/>
    <row r="30878" s="76" customFormat="1" ht="21.95" customHeight="1" x14ac:dyDescent="0.15"/>
    <row r="30879" s="76" customFormat="1" ht="21.95" customHeight="1" x14ac:dyDescent="0.15"/>
    <row r="30880" s="76" customFormat="1" ht="21.95" customHeight="1" x14ac:dyDescent="0.15"/>
    <row r="30881" s="76" customFormat="1" ht="21.95" customHeight="1" x14ac:dyDescent="0.15"/>
    <row r="30882" s="76" customFormat="1" ht="21.95" customHeight="1" x14ac:dyDescent="0.15"/>
    <row r="30883" s="76" customFormat="1" ht="21.95" customHeight="1" x14ac:dyDescent="0.15"/>
    <row r="30884" s="76" customFormat="1" ht="21.95" customHeight="1" x14ac:dyDescent="0.15"/>
    <row r="30885" s="76" customFormat="1" ht="21.95" customHeight="1" x14ac:dyDescent="0.15"/>
    <row r="30886" s="76" customFormat="1" ht="21.95" customHeight="1" x14ac:dyDescent="0.15"/>
    <row r="30887" s="76" customFormat="1" ht="21.95" customHeight="1" x14ac:dyDescent="0.15"/>
    <row r="30888" s="76" customFormat="1" ht="21.95" customHeight="1" x14ac:dyDescent="0.15"/>
    <row r="30889" s="76" customFormat="1" ht="35.1" customHeight="1" x14ac:dyDescent="0.15"/>
    <row r="30890" s="76" customFormat="1" ht="21.95" customHeight="1" x14ac:dyDescent="0.15"/>
    <row r="30891" s="76" customFormat="1" ht="21.95" customHeight="1" x14ac:dyDescent="0.15"/>
    <row r="30892" s="76" customFormat="1" ht="21.95" customHeight="1" x14ac:dyDescent="0.15"/>
    <row r="30893" s="76" customFormat="1" ht="21.95" customHeight="1" x14ac:dyDescent="0.15"/>
    <row r="30894" s="76" customFormat="1" ht="21.95" customHeight="1" x14ac:dyDescent="0.15"/>
    <row r="30895" s="76" customFormat="1" ht="21.95" customHeight="1" x14ac:dyDescent="0.15"/>
    <row r="30896" s="76" customFormat="1" ht="21.95" customHeight="1" x14ac:dyDescent="0.15"/>
    <row r="30897" s="76" customFormat="1" ht="21.95" customHeight="1" x14ac:dyDescent="0.15"/>
    <row r="30898" s="76" customFormat="1" ht="21.95" customHeight="1" x14ac:dyDescent="0.15"/>
    <row r="30899" s="76" customFormat="1" ht="21.95" customHeight="1" x14ac:dyDescent="0.15"/>
    <row r="30900" s="76" customFormat="1" ht="21.95" customHeight="1" x14ac:dyDescent="0.15"/>
    <row r="30901" s="76" customFormat="1" ht="21.95" customHeight="1" x14ac:dyDescent="0.15"/>
    <row r="30902" s="76" customFormat="1" ht="21.95" customHeight="1" x14ac:dyDescent="0.15"/>
    <row r="30903" s="76" customFormat="1" ht="21.95" customHeight="1" x14ac:dyDescent="0.15"/>
    <row r="30904" s="76" customFormat="1" ht="21.95" customHeight="1" x14ac:dyDescent="0.15"/>
    <row r="30905" s="76" customFormat="1" ht="21.95" customHeight="1" x14ac:dyDescent="0.15"/>
    <row r="30906" s="76" customFormat="1" ht="21.95" customHeight="1" x14ac:dyDescent="0.15"/>
    <row r="30907" s="76" customFormat="1" ht="21.95" customHeight="1" x14ac:dyDescent="0.15"/>
    <row r="30908" s="76" customFormat="1" ht="21.95" customHeight="1" x14ac:dyDescent="0.15"/>
    <row r="30909" s="76" customFormat="1" ht="21.95" customHeight="1" x14ac:dyDescent="0.15"/>
    <row r="30910" s="76" customFormat="1" ht="21.95" customHeight="1" x14ac:dyDescent="0.15"/>
    <row r="30911" s="76" customFormat="1" ht="21.95" customHeight="1" x14ac:dyDescent="0.15"/>
    <row r="30912" s="76" customFormat="1" ht="21.95" customHeight="1" x14ac:dyDescent="0.15"/>
    <row r="30913" spans="3:3" customFormat="1" ht="21.95" customHeight="1" x14ac:dyDescent="0.15"/>
    <row r="30914" spans="3:3" customFormat="1" ht="21.95" customHeight="1" x14ac:dyDescent="0.15"/>
    <row r="30915" spans="3:3" customFormat="1" ht="21.95" customHeight="1" x14ac:dyDescent="0.15">
      <c r="C30915" s="94"/>
    </row>
    <row r="30916" spans="3:3" customFormat="1" ht="21.95" customHeight="1" x14ac:dyDescent="0.15">
      <c r="C30916" s="94"/>
    </row>
    <row r="30917" spans="3:3" customFormat="1" ht="21.95" customHeight="1" x14ac:dyDescent="0.15"/>
    <row r="30918" spans="3:3" customFormat="1" ht="21.95" customHeight="1" x14ac:dyDescent="0.15"/>
    <row r="30919" spans="3:3" customFormat="1" ht="21.95" customHeight="1" x14ac:dyDescent="0.15"/>
    <row r="30920" spans="3:3" customFormat="1" ht="21.95" customHeight="1" x14ac:dyDescent="0.15"/>
    <row r="30921" spans="3:3" customFormat="1" ht="21.95" customHeight="1" x14ac:dyDescent="0.15"/>
    <row r="30922" spans="3:3" customFormat="1" ht="21.95" customHeight="1" x14ac:dyDescent="0.15"/>
    <row r="30923" spans="3:3" customFormat="1" ht="21.95" customHeight="1" x14ac:dyDescent="0.15"/>
    <row r="30924" spans="3:3" s="76" customFormat="1" ht="21.95" customHeight="1" x14ac:dyDescent="0.15"/>
    <row r="30925" spans="3:3" s="76" customFormat="1" ht="21.95" customHeight="1" x14ac:dyDescent="0.15"/>
    <row r="30926" spans="3:3" s="76" customFormat="1" ht="21.95" customHeight="1" x14ac:dyDescent="0.15"/>
    <row r="30927" spans="3:3" s="76" customFormat="1" ht="21.95" customHeight="1" x14ac:dyDescent="0.15"/>
    <row r="30928" spans="3:3" customFormat="1" ht="21.95" customHeight="1" x14ac:dyDescent="0.15"/>
    <row r="30929" customFormat="1" ht="21.95" customHeight="1" x14ac:dyDescent="0.15"/>
    <row r="30930" customFormat="1" ht="21.95" customHeight="1" x14ac:dyDescent="0.15"/>
    <row r="30931" customFormat="1" ht="21.95" customHeight="1" x14ac:dyDescent="0.15"/>
    <row r="30932" customFormat="1" ht="21.95" customHeight="1" x14ac:dyDescent="0.15"/>
    <row r="30933" customFormat="1" ht="21.95" customHeight="1" x14ac:dyDescent="0.15"/>
    <row r="30934" customFormat="1" ht="21.95" customHeight="1" x14ac:dyDescent="0.15"/>
    <row r="30935" customFormat="1" ht="21.95" customHeight="1" x14ac:dyDescent="0.15"/>
    <row r="30936" customFormat="1" ht="21.95" customHeight="1" x14ac:dyDescent="0.15"/>
    <row r="30937" customFormat="1" ht="21.95" customHeight="1" x14ac:dyDescent="0.15"/>
    <row r="30938" customFormat="1" ht="21.95" customHeight="1" x14ac:dyDescent="0.15"/>
    <row r="30939" customFormat="1" ht="32.1" customHeight="1" x14ac:dyDescent="0.15"/>
    <row r="30940" customFormat="1" ht="32.1" customHeight="1" x14ac:dyDescent="0.15"/>
    <row r="30941" customFormat="1" ht="32.1" customHeight="1" x14ac:dyDescent="0.15"/>
    <row r="30942" customFormat="1" ht="32.1" customHeight="1" x14ac:dyDescent="0.15"/>
    <row r="30943" customFormat="1" ht="32.1" customHeight="1" x14ac:dyDescent="0.15"/>
    <row r="30944" customFormat="1" ht="32.1" customHeight="1" x14ac:dyDescent="0.15"/>
    <row r="30945" s="76" customFormat="1" ht="32.1" customHeight="1" x14ac:dyDescent="0.15"/>
    <row r="30946" s="76" customFormat="1" ht="32.1" customHeight="1" x14ac:dyDescent="0.15"/>
    <row r="30947" s="76" customFormat="1" ht="32.1" customHeight="1" x14ac:dyDescent="0.15"/>
    <row r="30948" s="76" customFormat="1" ht="32.1" customHeight="1" x14ac:dyDescent="0.15"/>
    <row r="30949" s="76" customFormat="1" ht="21.95" customHeight="1" x14ac:dyDescent="0.15"/>
    <row r="30950" s="76" customFormat="1" ht="54" customHeight="1" x14ac:dyDescent="0.15"/>
    <row r="30951" s="76" customFormat="1" ht="21.95" customHeight="1" x14ac:dyDescent="0.15"/>
    <row r="30952" s="76" customFormat="1" ht="21.95" customHeight="1" x14ac:dyDescent="0.15"/>
    <row r="30953" s="76" customFormat="1" ht="21.95" customHeight="1" x14ac:dyDescent="0.15"/>
    <row r="30954" s="76" customFormat="1" ht="21.95" customHeight="1" x14ac:dyDescent="0.15"/>
    <row r="30955" s="76" customFormat="1" ht="21.95" customHeight="1" x14ac:dyDescent="0.15"/>
    <row r="30956" s="76" customFormat="1" ht="21.95" customHeight="1" x14ac:dyDescent="0.15"/>
    <row r="30957" s="76" customFormat="1" ht="21.95" customHeight="1" x14ac:dyDescent="0.15"/>
    <row r="30958" s="76" customFormat="1" ht="21.95" customHeight="1" x14ac:dyDescent="0.15"/>
    <row r="30959" s="76" customFormat="1" ht="21.95" customHeight="1" x14ac:dyDescent="0.15"/>
    <row r="30960" s="76" customFormat="1" ht="21.95" customHeight="1" x14ac:dyDescent="0.15"/>
    <row r="30961" s="76" customFormat="1" ht="21.95" customHeight="1" x14ac:dyDescent="0.15"/>
    <row r="30962" s="76" customFormat="1" ht="21.95" customHeight="1" x14ac:dyDescent="0.15"/>
    <row r="30963" s="76" customFormat="1" ht="21.95" customHeight="1" x14ac:dyDescent="0.15"/>
    <row r="30964" s="76" customFormat="1" ht="21.95" customHeight="1" x14ac:dyDescent="0.15"/>
    <row r="30965" s="76" customFormat="1" ht="21.95" customHeight="1" x14ac:dyDescent="0.15"/>
    <row r="30966" s="76" customFormat="1" ht="21.95" customHeight="1" x14ac:dyDescent="0.15"/>
    <row r="30967" s="76" customFormat="1" ht="21.95" customHeight="1" x14ac:dyDescent="0.15"/>
    <row r="30968" s="76" customFormat="1" ht="21.95" customHeight="1" x14ac:dyDescent="0.15"/>
    <row r="30969" s="76" customFormat="1" ht="21.95" customHeight="1" x14ac:dyDescent="0.15"/>
    <row r="30970" s="76" customFormat="1" ht="21.95" customHeight="1" x14ac:dyDescent="0.15"/>
    <row r="30971" s="76" customFormat="1" ht="21.95" customHeight="1" x14ac:dyDescent="0.15"/>
    <row r="30972" s="76" customFormat="1" ht="21.95" customHeight="1" x14ac:dyDescent="0.15"/>
    <row r="30973" s="76" customFormat="1" ht="21.95" customHeight="1" x14ac:dyDescent="0.15"/>
    <row r="30974" s="76" customFormat="1" ht="21.95" customHeight="1" x14ac:dyDescent="0.15"/>
    <row r="30975" s="76" customFormat="1" ht="21.95" customHeight="1" x14ac:dyDescent="0.15"/>
    <row r="30976" s="76" customFormat="1" ht="21.95" customHeight="1" x14ac:dyDescent="0.15"/>
    <row r="30977" s="76" customFormat="1" ht="21.95" customHeight="1" x14ac:dyDescent="0.15"/>
    <row r="30978" s="76" customFormat="1" ht="21.95" customHeight="1" x14ac:dyDescent="0.15"/>
    <row r="30979" s="76" customFormat="1" ht="21.95" customHeight="1" x14ac:dyDescent="0.15"/>
    <row r="30980" s="76" customFormat="1" ht="21.95" customHeight="1" x14ac:dyDescent="0.15"/>
    <row r="30981" s="76" customFormat="1" ht="21.95" customHeight="1" x14ac:dyDescent="0.15"/>
    <row r="30982" s="76" customFormat="1" ht="21.95" customHeight="1" x14ac:dyDescent="0.15"/>
    <row r="30983" s="76" customFormat="1" ht="21.95" customHeight="1" x14ac:dyDescent="0.15"/>
    <row r="30984" s="76" customFormat="1" ht="21.95" customHeight="1" x14ac:dyDescent="0.15"/>
    <row r="30985" s="76" customFormat="1" ht="21.95" customHeight="1" x14ac:dyDescent="0.15"/>
    <row r="30986" s="76" customFormat="1" ht="21.95" customHeight="1" x14ac:dyDescent="0.15"/>
    <row r="30987" s="76" customFormat="1" ht="21.95" customHeight="1" x14ac:dyDescent="0.15"/>
    <row r="30988" s="76" customFormat="1" ht="21.95" customHeight="1" x14ac:dyDescent="0.15"/>
    <row r="30989" s="76" customFormat="1" ht="21.95" customHeight="1" x14ac:dyDescent="0.15"/>
    <row r="30990" s="76" customFormat="1" ht="21.95" customHeight="1" x14ac:dyDescent="0.15"/>
    <row r="30991" s="76" customFormat="1" ht="21.95" customHeight="1" x14ac:dyDescent="0.15"/>
    <row r="30992" s="76" customFormat="1" ht="21.95" customHeight="1" x14ac:dyDescent="0.15"/>
    <row r="30993" s="76" customFormat="1" ht="21.95" customHeight="1" x14ac:dyDescent="0.15"/>
    <row r="30994" s="76" customFormat="1" ht="21.95" customHeight="1" x14ac:dyDescent="0.15"/>
    <row r="30995" s="76" customFormat="1" ht="21.95" customHeight="1" x14ac:dyDescent="0.15"/>
    <row r="30996" s="76" customFormat="1" ht="21.95" customHeight="1" x14ac:dyDescent="0.15"/>
    <row r="30997" s="76" customFormat="1" ht="21.95" customHeight="1" x14ac:dyDescent="0.15"/>
    <row r="30998" s="76" customFormat="1" ht="21.95" customHeight="1" x14ac:dyDescent="0.15"/>
    <row r="30999" s="76" customFormat="1" ht="21.95" customHeight="1" x14ac:dyDescent="0.15"/>
    <row r="31000" s="76" customFormat="1" ht="21.95" customHeight="1" x14ac:dyDescent="0.15"/>
    <row r="31001" s="76" customFormat="1" ht="35.1" customHeight="1" x14ac:dyDescent="0.15"/>
    <row r="31002" s="76" customFormat="1" ht="21.95" customHeight="1" x14ac:dyDescent="0.15"/>
    <row r="31003" s="76" customFormat="1" ht="21.95" customHeight="1" x14ac:dyDescent="0.15"/>
    <row r="31004" s="76" customFormat="1" ht="21.95" customHeight="1" x14ac:dyDescent="0.15"/>
    <row r="31005" s="76" customFormat="1" ht="21.95" customHeight="1" x14ac:dyDescent="0.15"/>
    <row r="31006" s="76" customFormat="1" ht="21.95" customHeight="1" x14ac:dyDescent="0.15"/>
    <row r="31007" s="76" customFormat="1" ht="21.95" customHeight="1" x14ac:dyDescent="0.15"/>
    <row r="31008" s="76" customFormat="1" ht="21.95" customHeight="1" x14ac:dyDescent="0.15"/>
    <row r="31009" s="76" customFormat="1" ht="21.95" customHeight="1" x14ac:dyDescent="0.15"/>
    <row r="31010" s="76" customFormat="1" ht="21.95" customHeight="1" x14ac:dyDescent="0.15"/>
    <row r="31011" s="76" customFormat="1" ht="21.95" customHeight="1" x14ac:dyDescent="0.15"/>
    <row r="31012" s="76" customFormat="1" ht="21.95" customHeight="1" x14ac:dyDescent="0.15"/>
    <row r="31013" s="76" customFormat="1" ht="21.95" customHeight="1" x14ac:dyDescent="0.15"/>
    <row r="31014" s="76" customFormat="1" ht="21.95" customHeight="1" x14ac:dyDescent="0.15"/>
    <row r="31015" s="76" customFormat="1" ht="21.95" customHeight="1" x14ac:dyDescent="0.15"/>
    <row r="31016" s="76" customFormat="1" ht="21.95" customHeight="1" x14ac:dyDescent="0.15"/>
    <row r="31017" s="76" customFormat="1" ht="21.95" customHeight="1" x14ac:dyDescent="0.15"/>
    <row r="31018" s="76" customFormat="1" ht="21.95" customHeight="1" x14ac:dyDescent="0.15"/>
    <row r="31019" s="76" customFormat="1" ht="21.95" customHeight="1" x14ac:dyDescent="0.15"/>
    <row r="31020" s="76" customFormat="1" ht="21.95" customHeight="1" x14ac:dyDescent="0.15"/>
    <row r="31021" s="76" customFormat="1" ht="21.95" customHeight="1" x14ac:dyDescent="0.15"/>
    <row r="31022" s="76" customFormat="1" ht="21.95" customHeight="1" x14ac:dyDescent="0.15"/>
    <row r="31023" s="76" customFormat="1" ht="21.95" customHeight="1" x14ac:dyDescent="0.15"/>
    <row r="31024" s="76" customFormat="1" ht="21.95" customHeight="1" x14ac:dyDescent="0.15"/>
    <row r="31025" spans="3:3" customFormat="1" ht="21.95" customHeight="1" x14ac:dyDescent="0.15"/>
    <row r="31026" spans="3:3" customFormat="1" ht="21.95" customHeight="1" x14ac:dyDescent="0.15"/>
    <row r="31027" spans="3:3" customFormat="1" ht="21.95" customHeight="1" x14ac:dyDescent="0.15">
      <c r="C31027" s="94"/>
    </row>
    <row r="31028" spans="3:3" customFormat="1" ht="21.95" customHeight="1" x14ac:dyDescent="0.15">
      <c r="C31028" s="94"/>
    </row>
    <row r="31029" spans="3:3" customFormat="1" ht="21.95" customHeight="1" x14ac:dyDescent="0.15"/>
    <row r="31030" spans="3:3" customFormat="1" ht="21.95" customHeight="1" x14ac:dyDescent="0.15"/>
    <row r="31031" spans="3:3" customFormat="1" ht="21.95" customHeight="1" x14ac:dyDescent="0.15"/>
    <row r="31032" spans="3:3" customFormat="1" ht="21.95" customHeight="1" x14ac:dyDescent="0.15"/>
    <row r="31033" spans="3:3" customFormat="1" ht="21.95" customHeight="1" x14ac:dyDescent="0.15"/>
    <row r="31034" spans="3:3" customFormat="1" ht="21.95" customHeight="1" x14ac:dyDescent="0.15"/>
    <row r="31035" spans="3:3" customFormat="1" ht="21.95" customHeight="1" x14ac:dyDescent="0.15"/>
    <row r="31036" spans="3:3" s="76" customFormat="1" ht="21.95" customHeight="1" x14ac:dyDescent="0.15"/>
    <row r="31037" spans="3:3" s="76" customFormat="1" ht="21.95" customHeight="1" x14ac:dyDescent="0.15"/>
    <row r="31038" spans="3:3" s="76" customFormat="1" ht="21.95" customHeight="1" x14ac:dyDescent="0.15"/>
    <row r="31039" spans="3:3" s="76" customFormat="1" ht="21.95" customHeight="1" x14ac:dyDescent="0.15"/>
    <row r="31040" spans="3:3" customFormat="1" ht="21.95" customHeight="1" x14ac:dyDescent="0.15"/>
    <row r="31041" customFormat="1" ht="21.95" customHeight="1" x14ac:dyDescent="0.15"/>
    <row r="31042" customFormat="1" ht="21.95" customHeight="1" x14ac:dyDescent="0.15"/>
    <row r="31043" customFormat="1" ht="21.95" customHeight="1" x14ac:dyDescent="0.15"/>
    <row r="31044" customFormat="1" ht="21.95" customHeight="1" x14ac:dyDescent="0.15"/>
    <row r="31045" customFormat="1" ht="21.95" customHeight="1" x14ac:dyDescent="0.15"/>
    <row r="31046" customFormat="1" ht="21.95" customHeight="1" x14ac:dyDescent="0.15"/>
    <row r="31047" customFormat="1" ht="21.95" customHeight="1" x14ac:dyDescent="0.15"/>
    <row r="31048" customFormat="1" ht="21.95" customHeight="1" x14ac:dyDescent="0.15"/>
    <row r="31049" customFormat="1" ht="21.95" customHeight="1" x14ac:dyDescent="0.15"/>
    <row r="31050" customFormat="1" ht="21.95" customHeight="1" x14ac:dyDescent="0.15"/>
    <row r="31051" customFormat="1" ht="32.1" customHeight="1" x14ac:dyDescent="0.15"/>
    <row r="31052" customFormat="1" ht="32.1" customHeight="1" x14ac:dyDescent="0.15"/>
    <row r="31053" customFormat="1" ht="32.1" customHeight="1" x14ac:dyDescent="0.15"/>
    <row r="31054" customFormat="1" ht="32.1" customHeight="1" x14ac:dyDescent="0.15"/>
    <row r="31055" customFormat="1" ht="32.1" customHeight="1" x14ac:dyDescent="0.15"/>
    <row r="31056" customFormat="1" ht="32.1" customHeight="1" x14ac:dyDescent="0.15"/>
    <row r="31057" s="76" customFormat="1" ht="32.1" customHeight="1" x14ac:dyDescent="0.15"/>
    <row r="31058" s="76" customFormat="1" ht="32.1" customHeight="1" x14ac:dyDescent="0.15"/>
    <row r="31059" s="76" customFormat="1" ht="32.1" customHeight="1" x14ac:dyDescent="0.15"/>
    <row r="31060" s="76" customFormat="1" ht="32.1" customHeight="1" x14ac:dyDescent="0.15"/>
    <row r="31061" s="76" customFormat="1" ht="21.95" customHeight="1" x14ac:dyDescent="0.15"/>
    <row r="31062" s="76" customFormat="1" ht="54" customHeight="1" x14ac:dyDescent="0.15"/>
    <row r="31063" s="76" customFormat="1" ht="21.95" customHeight="1" x14ac:dyDescent="0.15"/>
    <row r="31064" s="76" customFormat="1" ht="21.95" customHeight="1" x14ac:dyDescent="0.15"/>
    <row r="31065" s="76" customFormat="1" ht="21.95" customHeight="1" x14ac:dyDescent="0.15"/>
    <row r="31066" s="76" customFormat="1" ht="21.95" customHeight="1" x14ac:dyDescent="0.15"/>
    <row r="31067" s="76" customFormat="1" ht="21.95" customHeight="1" x14ac:dyDescent="0.15"/>
    <row r="31068" s="76" customFormat="1" ht="21.95" customHeight="1" x14ac:dyDescent="0.15"/>
    <row r="31069" s="76" customFormat="1" ht="21.95" customHeight="1" x14ac:dyDescent="0.15"/>
    <row r="31070" s="76" customFormat="1" ht="21.95" customHeight="1" x14ac:dyDescent="0.15"/>
    <row r="31071" s="76" customFormat="1" ht="21.95" customHeight="1" x14ac:dyDescent="0.15"/>
    <row r="31072" s="76" customFormat="1" ht="21.95" customHeight="1" x14ac:dyDescent="0.15"/>
    <row r="31073" s="76" customFormat="1" ht="21.95" customHeight="1" x14ac:dyDescent="0.15"/>
    <row r="31074" s="76" customFormat="1" ht="21.95" customHeight="1" x14ac:dyDescent="0.15"/>
    <row r="31075" s="76" customFormat="1" ht="21.95" customHeight="1" x14ac:dyDescent="0.15"/>
    <row r="31076" s="76" customFormat="1" ht="21.95" customHeight="1" x14ac:dyDescent="0.15"/>
    <row r="31077" s="76" customFormat="1" ht="21.95" customHeight="1" x14ac:dyDescent="0.15"/>
    <row r="31078" s="76" customFormat="1" ht="21.95" customHeight="1" x14ac:dyDescent="0.15"/>
    <row r="31079" s="76" customFormat="1" ht="21.95" customHeight="1" x14ac:dyDescent="0.15"/>
    <row r="31080" s="76" customFormat="1" ht="21.95" customHeight="1" x14ac:dyDescent="0.15"/>
    <row r="31081" s="76" customFormat="1" ht="21.95" customHeight="1" x14ac:dyDescent="0.15"/>
    <row r="31082" s="76" customFormat="1" ht="21.95" customHeight="1" x14ac:dyDescent="0.15"/>
    <row r="31083" s="76" customFormat="1" ht="21.95" customHeight="1" x14ac:dyDescent="0.15"/>
    <row r="31084" s="76" customFormat="1" ht="21.95" customHeight="1" x14ac:dyDescent="0.15"/>
    <row r="31085" s="76" customFormat="1" ht="21.95" customHeight="1" x14ac:dyDescent="0.15"/>
    <row r="31086" s="76" customFormat="1" ht="21.95" customHeight="1" x14ac:dyDescent="0.15"/>
    <row r="31087" s="76" customFormat="1" ht="21.95" customHeight="1" x14ac:dyDescent="0.15"/>
    <row r="31088" s="76" customFormat="1" ht="21.95" customHeight="1" x14ac:dyDescent="0.15"/>
    <row r="31089" s="76" customFormat="1" ht="21.95" customHeight="1" x14ac:dyDescent="0.15"/>
    <row r="31090" s="76" customFormat="1" ht="21.95" customHeight="1" x14ac:dyDescent="0.15"/>
    <row r="31091" s="76" customFormat="1" ht="21.95" customHeight="1" x14ac:dyDescent="0.15"/>
    <row r="31092" s="76" customFormat="1" ht="21.95" customHeight="1" x14ac:dyDescent="0.15"/>
    <row r="31093" s="76" customFormat="1" ht="21.95" customHeight="1" x14ac:dyDescent="0.15"/>
    <row r="31094" s="76" customFormat="1" ht="21.95" customHeight="1" x14ac:dyDescent="0.15"/>
    <row r="31095" s="76" customFormat="1" ht="21.95" customHeight="1" x14ac:dyDescent="0.15"/>
    <row r="31096" s="76" customFormat="1" ht="21.95" customHeight="1" x14ac:dyDescent="0.15"/>
    <row r="31097" s="76" customFormat="1" ht="21.95" customHeight="1" x14ac:dyDescent="0.15"/>
    <row r="31098" s="76" customFormat="1" ht="21.95" customHeight="1" x14ac:dyDescent="0.15"/>
    <row r="31099" s="76" customFormat="1" ht="21.95" customHeight="1" x14ac:dyDescent="0.15"/>
    <row r="31100" s="76" customFormat="1" ht="21.95" customHeight="1" x14ac:dyDescent="0.15"/>
    <row r="31101" s="76" customFormat="1" ht="21.95" customHeight="1" x14ac:dyDescent="0.15"/>
    <row r="31102" s="76" customFormat="1" ht="21.95" customHeight="1" x14ac:dyDescent="0.15"/>
    <row r="31103" s="76" customFormat="1" ht="21.95" customHeight="1" x14ac:dyDescent="0.15"/>
    <row r="31104" s="76" customFormat="1" ht="21.95" customHeight="1" x14ac:dyDescent="0.15"/>
    <row r="31105" s="76" customFormat="1" ht="21.95" customHeight="1" x14ac:dyDescent="0.15"/>
    <row r="31106" s="76" customFormat="1" ht="21.95" customHeight="1" x14ac:dyDescent="0.15"/>
    <row r="31107" s="76" customFormat="1" ht="21.95" customHeight="1" x14ac:dyDescent="0.15"/>
    <row r="31108" s="76" customFormat="1" ht="21.95" customHeight="1" x14ac:dyDescent="0.15"/>
    <row r="31109" s="76" customFormat="1" ht="21.95" customHeight="1" x14ac:dyDescent="0.15"/>
    <row r="31110" s="76" customFormat="1" ht="21.95" customHeight="1" x14ac:dyDescent="0.15"/>
    <row r="31111" s="76" customFormat="1" ht="21.95" customHeight="1" x14ac:dyDescent="0.15"/>
    <row r="31112" s="76" customFormat="1" ht="21.95" customHeight="1" x14ac:dyDescent="0.15"/>
    <row r="31113" s="76" customFormat="1" ht="35.1" customHeight="1" x14ac:dyDescent="0.15"/>
    <row r="31114" s="76" customFormat="1" ht="21.95" customHeight="1" x14ac:dyDescent="0.15"/>
    <row r="31115" s="76" customFormat="1" ht="21.95" customHeight="1" x14ac:dyDescent="0.15"/>
    <row r="31116" s="76" customFormat="1" ht="21.95" customHeight="1" x14ac:dyDescent="0.15"/>
    <row r="31117" s="76" customFormat="1" ht="21.95" customHeight="1" x14ac:dyDescent="0.15"/>
    <row r="31118" s="76" customFormat="1" ht="21.95" customHeight="1" x14ac:dyDescent="0.15"/>
    <row r="31119" s="76" customFormat="1" ht="21.95" customHeight="1" x14ac:dyDescent="0.15"/>
    <row r="31120" s="76" customFormat="1" ht="21.95" customHeight="1" x14ac:dyDescent="0.15"/>
    <row r="31121" s="76" customFormat="1" ht="21.95" customHeight="1" x14ac:dyDescent="0.15"/>
    <row r="31122" s="76" customFormat="1" ht="21.95" customHeight="1" x14ac:dyDescent="0.15"/>
    <row r="31123" s="76" customFormat="1" ht="21.95" customHeight="1" x14ac:dyDescent="0.15"/>
    <row r="31124" s="76" customFormat="1" ht="21.95" customHeight="1" x14ac:dyDescent="0.15"/>
    <row r="31125" s="76" customFormat="1" ht="21.95" customHeight="1" x14ac:dyDescent="0.15"/>
    <row r="31126" s="76" customFormat="1" ht="21.95" customHeight="1" x14ac:dyDescent="0.15"/>
    <row r="31127" s="76" customFormat="1" ht="21.95" customHeight="1" x14ac:dyDescent="0.15"/>
    <row r="31128" s="76" customFormat="1" ht="21.95" customHeight="1" x14ac:dyDescent="0.15"/>
    <row r="31129" s="76" customFormat="1" ht="21.95" customHeight="1" x14ac:dyDescent="0.15"/>
    <row r="31130" s="76" customFormat="1" ht="21.95" customHeight="1" x14ac:dyDescent="0.15"/>
    <row r="31131" s="76" customFormat="1" ht="21.95" customHeight="1" x14ac:dyDescent="0.15"/>
    <row r="31132" s="76" customFormat="1" ht="21.95" customHeight="1" x14ac:dyDescent="0.15"/>
    <row r="31133" s="76" customFormat="1" ht="21.95" customHeight="1" x14ac:dyDescent="0.15"/>
    <row r="31134" s="76" customFormat="1" ht="21.95" customHeight="1" x14ac:dyDescent="0.15"/>
    <row r="31135" s="76" customFormat="1" ht="21.95" customHeight="1" x14ac:dyDescent="0.15"/>
    <row r="31136" s="76" customFormat="1" ht="21.95" customHeight="1" x14ac:dyDescent="0.15"/>
    <row r="31137" spans="3:3" customFormat="1" ht="21.95" customHeight="1" x14ac:dyDescent="0.15"/>
    <row r="31138" spans="3:3" customFormat="1" ht="21.95" customHeight="1" x14ac:dyDescent="0.15"/>
    <row r="31139" spans="3:3" customFormat="1" ht="21.95" customHeight="1" x14ac:dyDescent="0.15">
      <c r="C31139" s="94"/>
    </row>
    <row r="31140" spans="3:3" customFormat="1" ht="21.95" customHeight="1" x14ac:dyDescent="0.15">
      <c r="C31140" s="94"/>
    </row>
    <row r="31141" spans="3:3" customFormat="1" ht="21.95" customHeight="1" x14ac:dyDescent="0.15"/>
    <row r="31142" spans="3:3" customFormat="1" ht="21.95" customHeight="1" x14ac:dyDescent="0.15"/>
    <row r="31143" spans="3:3" customFormat="1" ht="21.95" customHeight="1" x14ac:dyDescent="0.15"/>
    <row r="31144" spans="3:3" customFormat="1" ht="21.95" customHeight="1" x14ac:dyDescent="0.15"/>
    <row r="31145" spans="3:3" customFormat="1" ht="21.95" customHeight="1" x14ac:dyDescent="0.15"/>
    <row r="31146" spans="3:3" customFormat="1" ht="21.95" customHeight="1" x14ac:dyDescent="0.15"/>
    <row r="31147" spans="3:3" customFormat="1" ht="21.95" customHeight="1" x14ac:dyDescent="0.15"/>
    <row r="31148" spans="3:3" s="76" customFormat="1" ht="21.95" customHeight="1" x14ac:dyDescent="0.15"/>
    <row r="31149" spans="3:3" s="76" customFormat="1" ht="21.95" customHeight="1" x14ac:dyDescent="0.15"/>
    <row r="31150" spans="3:3" s="76" customFormat="1" ht="21.95" customHeight="1" x14ac:dyDescent="0.15"/>
    <row r="31151" spans="3:3" s="76" customFormat="1" ht="21.95" customHeight="1" x14ac:dyDescent="0.15"/>
    <row r="31152" spans="3:3" customFormat="1" ht="21.95" customHeight="1" x14ac:dyDescent="0.15"/>
    <row r="31153" customFormat="1" ht="21.95" customHeight="1" x14ac:dyDescent="0.15"/>
    <row r="31154" customFormat="1" ht="21.95" customHeight="1" x14ac:dyDescent="0.15"/>
    <row r="31155" customFormat="1" ht="21.95" customHeight="1" x14ac:dyDescent="0.15"/>
    <row r="31156" customFormat="1" ht="21.95" customHeight="1" x14ac:dyDescent="0.15"/>
    <row r="31157" customFormat="1" ht="21.95" customHeight="1" x14ac:dyDescent="0.15"/>
    <row r="31158" customFormat="1" ht="21.95" customHeight="1" x14ac:dyDescent="0.15"/>
    <row r="31159" customFormat="1" ht="21.95" customHeight="1" x14ac:dyDescent="0.15"/>
    <row r="31160" customFormat="1" ht="21.95" customHeight="1" x14ac:dyDescent="0.15"/>
    <row r="31161" customFormat="1" ht="21.95" customHeight="1" x14ac:dyDescent="0.15"/>
    <row r="31162" customFormat="1" ht="21.95" customHeight="1" x14ac:dyDescent="0.15"/>
    <row r="31163" customFormat="1" ht="32.1" customHeight="1" x14ac:dyDescent="0.15"/>
    <row r="31164" customFormat="1" ht="32.1" customHeight="1" x14ac:dyDescent="0.15"/>
    <row r="31165" customFormat="1" ht="32.1" customHeight="1" x14ac:dyDescent="0.15"/>
    <row r="31166" customFormat="1" ht="32.1" customHeight="1" x14ac:dyDescent="0.15"/>
    <row r="31167" customFormat="1" ht="32.1" customHeight="1" x14ac:dyDescent="0.15"/>
    <row r="31168" customFormat="1" ht="32.1" customHeight="1" x14ac:dyDescent="0.15"/>
    <row r="31169" s="76" customFormat="1" ht="32.1" customHeight="1" x14ac:dyDescent="0.15"/>
    <row r="31170" s="76" customFormat="1" ht="32.1" customHeight="1" x14ac:dyDescent="0.15"/>
    <row r="31171" s="76" customFormat="1" ht="32.1" customHeight="1" x14ac:dyDescent="0.15"/>
    <row r="31172" s="76" customFormat="1" ht="32.1" customHeight="1" x14ac:dyDescent="0.15"/>
    <row r="31173" s="76" customFormat="1" ht="21.95" customHeight="1" x14ac:dyDescent="0.15"/>
    <row r="31174" s="76" customFormat="1" ht="54" customHeight="1" x14ac:dyDescent="0.15"/>
    <row r="31175" s="76" customFormat="1" ht="21.95" customHeight="1" x14ac:dyDescent="0.15"/>
    <row r="31176" s="76" customFormat="1" ht="21.95" customHeight="1" x14ac:dyDescent="0.15"/>
    <row r="31177" s="76" customFormat="1" ht="21.95" customHeight="1" x14ac:dyDescent="0.15"/>
    <row r="31178" s="76" customFormat="1" ht="21.95" customHeight="1" x14ac:dyDescent="0.15"/>
    <row r="31179" s="76" customFormat="1" ht="21.95" customHeight="1" x14ac:dyDescent="0.15"/>
    <row r="31180" s="76" customFormat="1" ht="21.95" customHeight="1" x14ac:dyDescent="0.15"/>
    <row r="31181" s="76" customFormat="1" ht="21.95" customHeight="1" x14ac:dyDescent="0.15"/>
    <row r="31182" s="76" customFormat="1" ht="21.95" customHeight="1" x14ac:dyDescent="0.15"/>
    <row r="31183" s="76" customFormat="1" ht="21.95" customHeight="1" x14ac:dyDescent="0.15"/>
    <row r="31184" s="76" customFormat="1" ht="21.95" customHeight="1" x14ac:dyDescent="0.15"/>
    <row r="31185" s="76" customFormat="1" ht="21.95" customHeight="1" x14ac:dyDescent="0.15"/>
    <row r="31186" s="76" customFormat="1" ht="21.95" customHeight="1" x14ac:dyDescent="0.15"/>
    <row r="31187" s="76" customFormat="1" ht="21.95" customHeight="1" x14ac:dyDescent="0.15"/>
    <row r="31188" s="76" customFormat="1" ht="21.95" customHeight="1" x14ac:dyDescent="0.15"/>
    <row r="31189" s="76" customFormat="1" ht="21.95" customHeight="1" x14ac:dyDescent="0.15"/>
    <row r="31190" s="76" customFormat="1" ht="21.95" customHeight="1" x14ac:dyDescent="0.15"/>
    <row r="31191" s="76" customFormat="1" ht="21.95" customHeight="1" x14ac:dyDescent="0.15"/>
    <row r="31192" s="76" customFormat="1" ht="21.95" customHeight="1" x14ac:dyDescent="0.15"/>
    <row r="31193" s="76" customFormat="1" ht="21.95" customHeight="1" x14ac:dyDescent="0.15"/>
    <row r="31194" s="76" customFormat="1" ht="21.95" customHeight="1" x14ac:dyDescent="0.15"/>
    <row r="31195" s="76" customFormat="1" ht="21.95" customHeight="1" x14ac:dyDescent="0.15"/>
    <row r="31196" s="76" customFormat="1" ht="21.95" customHeight="1" x14ac:dyDescent="0.15"/>
    <row r="31197" s="76" customFormat="1" ht="21.95" customHeight="1" x14ac:dyDescent="0.15"/>
    <row r="31198" s="76" customFormat="1" ht="21.95" customHeight="1" x14ac:dyDescent="0.15"/>
    <row r="31199" s="76" customFormat="1" ht="21.95" customHeight="1" x14ac:dyDescent="0.15"/>
    <row r="31200" s="76" customFormat="1" ht="21.95" customHeight="1" x14ac:dyDescent="0.15"/>
    <row r="31201" s="76" customFormat="1" ht="21.95" customHeight="1" x14ac:dyDescent="0.15"/>
    <row r="31202" s="76" customFormat="1" ht="21.95" customHeight="1" x14ac:dyDescent="0.15"/>
    <row r="31203" s="76" customFormat="1" ht="21.95" customHeight="1" x14ac:dyDescent="0.15"/>
    <row r="31204" s="76" customFormat="1" ht="21.95" customHeight="1" x14ac:dyDescent="0.15"/>
    <row r="31205" s="76" customFormat="1" ht="21.95" customHeight="1" x14ac:dyDescent="0.15"/>
    <row r="31206" s="76" customFormat="1" ht="21.95" customHeight="1" x14ac:dyDescent="0.15"/>
    <row r="31207" s="76" customFormat="1" ht="21.95" customHeight="1" x14ac:dyDescent="0.15"/>
    <row r="31208" s="76" customFormat="1" ht="21.95" customHeight="1" x14ac:dyDescent="0.15"/>
    <row r="31209" s="76" customFormat="1" ht="21.95" customHeight="1" x14ac:dyDescent="0.15"/>
    <row r="31210" s="76" customFormat="1" ht="21.95" customHeight="1" x14ac:dyDescent="0.15"/>
    <row r="31211" s="76" customFormat="1" ht="21.95" customHeight="1" x14ac:dyDescent="0.15"/>
    <row r="31212" s="76" customFormat="1" ht="21.95" customHeight="1" x14ac:dyDescent="0.15"/>
    <row r="31213" s="76" customFormat="1" ht="21.95" customHeight="1" x14ac:dyDescent="0.15"/>
    <row r="31214" s="76" customFormat="1" ht="21.95" customHeight="1" x14ac:dyDescent="0.15"/>
    <row r="31215" s="76" customFormat="1" ht="21.95" customHeight="1" x14ac:dyDescent="0.15"/>
    <row r="31216" s="76" customFormat="1" ht="21.95" customHeight="1" x14ac:dyDescent="0.15"/>
    <row r="31217" s="76" customFormat="1" ht="21.95" customHeight="1" x14ac:dyDescent="0.15"/>
    <row r="31218" s="76" customFormat="1" ht="21.95" customHeight="1" x14ac:dyDescent="0.15"/>
    <row r="31219" s="76" customFormat="1" ht="21.95" customHeight="1" x14ac:dyDescent="0.15"/>
    <row r="31220" s="76" customFormat="1" ht="21.95" customHeight="1" x14ac:dyDescent="0.15"/>
    <row r="31221" s="76" customFormat="1" ht="21.95" customHeight="1" x14ac:dyDescent="0.15"/>
    <row r="31222" s="76" customFormat="1" ht="21.95" customHeight="1" x14ac:dyDescent="0.15"/>
    <row r="31223" s="76" customFormat="1" ht="21.95" customHeight="1" x14ac:dyDescent="0.15"/>
    <row r="31224" s="76" customFormat="1" ht="21.95" customHeight="1" x14ac:dyDescent="0.15"/>
    <row r="31225" s="76" customFormat="1" ht="35.1" customHeight="1" x14ac:dyDescent="0.15"/>
    <row r="31226" s="76" customFormat="1" ht="21.95" customHeight="1" x14ac:dyDescent="0.15"/>
    <row r="31227" s="76" customFormat="1" ht="21.95" customHeight="1" x14ac:dyDescent="0.15"/>
    <row r="31228" s="76" customFormat="1" ht="21.95" customHeight="1" x14ac:dyDescent="0.15"/>
    <row r="31229" s="76" customFormat="1" ht="21.95" customHeight="1" x14ac:dyDescent="0.15"/>
    <row r="31230" s="76" customFormat="1" ht="21.95" customHeight="1" x14ac:dyDescent="0.15"/>
    <row r="31231" s="76" customFormat="1" ht="21.95" customHeight="1" x14ac:dyDescent="0.15"/>
    <row r="31232" s="76" customFormat="1" ht="21.95" customHeight="1" x14ac:dyDescent="0.15"/>
    <row r="31233" s="76" customFormat="1" ht="21.95" customHeight="1" x14ac:dyDescent="0.15"/>
    <row r="31234" s="76" customFormat="1" ht="21.95" customHeight="1" x14ac:dyDescent="0.15"/>
    <row r="31235" s="76" customFormat="1" ht="21.95" customHeight="1" x14ac:dyDescent="0.15"/>
    <row r="31236" s="76" customFormat="1" ht="21.95" customHeight="1" x14ac:dyDescent="0.15"/>
    <row r="31237" s="76" customFormat="1" ht="21.95" customHeight="1" x14ac:dyDescent="0.15"/>
    <row r="31238" s="76" customFormat="1" ht="21.95" customHeight="1" x14ac:dyDescent="0.15"/>
    <row r="31239" s="76" customFormat="1" ht="21.95" customHeight="1" x14ac:dyDescent="0.15"/>
    <row r="31240" s="76" customFormat="1" ht="21.95" customHeight="1" x14ac:dyDescent="0.15"/>
    <row r="31241" s="76" customFormat="1" ht="21.95" customHeight="1" x14ac:dyDescent="0.15"/>
    <row r="31242" s="76" customFormat="1" ht="21.95" customHeight="1" x14ac:dyDescent="0.15"/>
    <row r="31243" s="76" customFormat="1" ht="21.95" customHeight="1" x14ac:dyDescent="0.15"/>
    <row r="31244" s="76" customFormat="1" ht="21.95" customHeight="1" x14ac:dyDescent="0.15"/>
    <row r="31245" s="76" customFormat="1" ht="21.95" customHeight="1" x14ac:dyDescent="0.15"/>
    <row r="31246" s="76" customFormat="1" ht="21.95" customHeight="1" x14ac:dyDescent="0.15"/>
    <row r="31247" s="76" customFormat="1" ht="21.95" customHeight="1" x14ac:dyDescent="0.15"/>
    <row r="31248" s="76" customFormat="1" ht="21.95" customHeight="1" x14ac:dyDescent="0.15"/>
    <row r="31249" spans="3:3" customFormat="1" ht="21.95" customHeight="1" x14ac:dyDescent="0.15"/>
    <row r="31250" spans="3:3" customFormat="1" ht="21.95" customHeight="1" x14ac:dyDescent="0.15"/>
    <row r="31251" spans="3:3" customFormat="1" ht="21.95" customHeight="1" x14ac:dyDescent="0.15">
      <c r="C31251" s="94"/>
    </row>
    <row r="31252" spans="3:3" customFormat="1" ht="21.95" customHeight="1" x14ac:dyDescent="0.15">
      <c r="C31252" s="94"/>
    </row>
    <row r="31253" spans="3:3" customFormat="1" ht="21.95" customHeight="1" x14ac:dyDescent="0.15"/>
    <row r="31254" spans="3:3" customFormat="1" ht="21.95" customHeight="1" x14ac:dyDescent="0.15"/>
    <row r="31255" spans="3:3" customFormat="1" ht="21.95" customHeight="1" x14ac:dyDescent="0.15"/>
    <row r="31256" spans="3:3" customFormat="1" ht="21.95" customHeight="1" x14ac:dyDescent="0.15"/>
    <row r="31257" spans="3:3" customFormat="1" ht="21.95" customHeight="1" x14ac:dyDescent="0.15"/>
    <row r="31258" spans="3:3" customFormat="1" ht="21.95" customHeight="1" x14ac:dyDescent="0.15"/>
    <row r="31259" spans="3:3" customFormat="1" ht="21.95" customHeight="1" x14ac:dyDescent="0.15"/>
    <row r="31260" spans="3:3" s="76" customFormat="1" ht="21.95" customHeight="1" x14ac:dyDescent="0.15"/>
    <row r="31261" spans="3:3" s="76" customFormat="1" ht="21.95" customHeight="1" x14ac:dyDescent="0.15"/>
    <row r="31262" spans="3:3" s="76" customFormat="1" ht="21.95" customHeight="1" x14ac:dyDescent="0.15"/>
    <row r="31263" spans="3:3" s="76" customFormat="1" ht="21.95" customHeight="1" x14ac:dyDescent="0.15"/>
    <row r="31264" spans="3:3" customFormat="1" ht="21.95" customHeight="1" x14ac:dyDescent="0.15"/>
    <row r="31265" customFormat="1" ht="21.95" customHeight="1" x14ac:dyDescent="0.15"/>
    <row r="31266" customFormat="1" ht="21.95" customHeight="1" x14ac:dyDescent="0.15"/>
    <row r="31267" customFormat="1" ht="21.95" customHeight="1" x14ac:dyDescent="0.15"/>
    <row r="31268" customFormat="1" ht="21.95" customHeight="1" x14ac:dyDescent="0.15"/>
    <row r="31269" customFormat="1" ht="21.95" customHeight="1" x14ac:dyDescent="0.15"/>
    <row r="31270" customFormat="1" ht="21.95" customHeight="1" x14ac:dyDescent="0.15"/>
    <row r="31271" customFormat="1" ht="21.95" customHeight="1" x14ac:dyDescent="0.15"/>
    <row r="31272" customFormat="1" ht="21.95" customHeight="1" x14ac:dyDescent="0.15"/>
    <row r="31273" customFormat="1" ht="21.95" customHeight="1" x14ac:dyDescent="0.15"/>
    <row r="31274" customFormat="1" ht="21.95" customHeight="1" x14ac:dyDescent="0.15"/>
    <row r="31275" customFormat="1" ht="32.1" customHeight="1" x14ac:dyDescent="0.15"/>
    <row r="31276" customFormat="1" ht="32.1" customHeight="1" x14ac:dyDescent="0.15"/>
    <row r="31277" customFormat="1" ht="32.1" customHeight="1" x14ac:dyDescent="0.15"/>
    <row r="31278" customFormat="1" ht="32.1" customHeight="1" x14ac:dyDescent="0.15"/>
    <row r="31279" customFormat="1" ht="32.1" customHeight="1" x14ac:dyDescent="0.15"/>
    <row r="31280" customFormat="1" ht="32.1" customHeight="1" x14ac:dyDescent="0.15"/>
    <row r="31281" s="76" customFormat="1" ht="32.1" customHeight="1" x14ac:dyDescent="0.15"/>
    <row r="31282" s="76" customFormat="1" ht="32.1" customHeight="1" x14ac:dyDescent="0.15"/>
    <row r="31283" s="76" customFormat="1" ht="32.1" customHeight="1" x14ac:dyDescent="0.15"/>
    <row r="31284" s="76" customFormat="1" ht="32.1" customHeight="1" x14ac:dyDescent="0.15"/>
    <row r="31285" s="76" customFormat="1" ht="21.95" customHeight="1" x14ac:dyDescent="0.15"/>
    <row r="31286" s="76" customFormat="1" ht="54" customHeight="1" x14ac:dyDescent="0.15"/>
    <row r="31287" s="76" customFormat="1" ht="21.95" customHeight="1" x14ac:dyDescent="0.15"/>
    <row r="31288" s="76" customFormat="1" ht="21.95" customHeight="1" x14ac:dyDescent="0.15"/>
    <row r="31289" s="76" customFormat="1" ht="21.95" customHeight="1" x14ac:dyDescent="0.15"/>
    <row r="31290" s="76" customFormat="1" ht="21.95" customHeight="1" x14ac:dyDescent="0.15"/>
    <row r="31291" s="76" customFormat="1" ht="21.95" customHeight="1" x14ac:dyDescent="0.15"/>
    <row r="31292" s="76" customFormat="1" ht="21.95" customHeight="1" x14ac:dyDescent="0.15"/>
    <row r="31293" s="76" customFormat="1" ht="21.95" customHeight="1" x14ac:dyDescent="0.15"/>
    <row r="31294" s="76" customFormat="1" ht="21.95" customHeight="1" x14ac:dyDescent="0.15"/>
    <row r="31295" s="76" customFormat="1" ht="21.95" customHeight="1" x14ac:dyDescent="0.15"/>
    <row r="31296" s="76" customFormat="1" ht="21.95" customHeight="1" x14ac:dyDescent="0.15"/>
    <row r="31297" s="76" customFormat="1" ht="21.95" customHeight="1" x14ac:dyDescent="0.15"/>
    <row r="31298" s="76" customFormat="1" ht="21.95" customHeight="1" x14ac:dyDescent="0.15"/>
    <row r="31299" s="76" customFormat="1" ht="21.95" customHeight="1" x14ac:dyDescent="0.15"/>
    <row r="31300" s="76" customFormat="1" ht="21.95" customHeight="1" x14ac:dyDescent="0.15"/>
    <row r="31301" s="76" customFormat="1" ht="21.95" customHeight="1" x14ac:dyDescent="0.15"/>
    <row r="31302" s="76" customFormat="1" ht="21.95" customHeight="1" x14ac:dyDescent="0.15"/>
    <row r="31303" s="76" customFormat="1" ht="21.95" customHeight="1" x14ac:dyDescent="0.15"/>
    <row r="31304" s="76" customFormat="1" ht="21.95" customHeight="1" x14ac:dyDescent="0.15"/>
    <row r="31305" s="76" customFormat="1" ht="21.95" customHeight="1" x14ac:dyDescent="0.15"/>
    <row r="31306" s="76" customFormat="1" ht="21.95" customHeight="1" x14ac:dyDescent="0.15"/>
    <row r="31307" s="76" customFormat="1" ht="21.95" customHeight="1" x14ac:dyDescent="0.15"/>
    <row r="31308" s="76" customFormat="1" ht="21.95" customHeight="1" x14ac:dyDescent="0.15"/>
    <row r="31309" s="76" customFormat="1" ht="21.95" customHeight="1" x14ac:dyDescent="0.15"/>
    <row r="31310" s="76" customFormat="1" ht="21.95" customHeight="1" x14ac:dyDescent="0.15"/>
    <row r="31311" s="76" customFormat="1" ht="21.95" customHeight="1" x14ac:dyDescent="0.15"/>
    <row r="31312" s="76" customFormat="1" ht="21.95" customHeight="1" x14ac:dyDescent="0.15"/>
    <row r="31313" s="76" customFormat="1" ht="21.95" customHeight="1" x14ac:dyDescent="0.15"/>
    <row r="31314" s="76" customFormat="1" ht="21.95" customHeight="1" x14ac:dyDescent="0.15"/>
    <row r="31315" s="76" customFormat="1" ht="21.95" customHeight="1" x14ac:dyDescent="0.15"/>
    <row r="31316" s="76" customFormat="1" ht="21.95" customHeight="1" x14ac:dyDescent="0.15"/>
    <row r="31317" s="76" customFormat="1" ht="21.95" customHeight="1" x14ac:dyDescent="0.15"/>
    <row r="31318" s="76" customFormat="1" ht="21.95" customHeight="1" x14ac:dyDescent="0.15"/>
    <row r="31319" s="76" customFormat="1" ht="21.95" customHeight="1" x14ac:dyDescent="0.15"/>
    <row r="31320" s="76" customFormat="1" ht="21.95" customHeight="1" x14ac:dyDescent="0.15"/>
    <row r="31321" s="76" customFormat="1" ht="21.95" customHeight="1" x14ac:dyDescent="0.15"/>
    <row r="31322" s="76" customFormat="1" ht="21.95" customHeight="1" x14ac:dyDescent="0.15"/>
    <row r="31323" s="76" customFormat="1" ht="21.95" customHeight="1" x14ac:dyDescent="0.15"/>
    <row r="31324" s="76" customFormat="1" ht="21.95" customHeight="1" x14ac:dyDescent="0.15"/>
    <row r="31325" s="76" customFormat="1" ht="21.95" customHeight="1" x14ac:dyDescent="0.15"/>
    <row r="31326" s="76" customFormat="1" ht="21.95" customHeight="1" x14ac:dyDescent="0.15"/>
    <row r="31327" s="76" customFormat="1" ht="21.95" customHeight="1" x14ac:dyDescent="0.15"/>
    <row r="31328" s="76" customFormat="1" ht="21.95" customHeight="1" x14ac:dyDescent="0.15"/>
    <row r="31329" s="76" customFormat="1" ht="21.95" customHeight="1" x14ac:dyDescent="0.15"/>
    <row r="31330" s="76" customFormat="1" ht="21.95" customHeight="1" x14ac:dyDescent="0.15"/>
    <row r="31331" s="76" customFormat="1" ht="21.95" customHeight="1" x14ac:dyDescent="0.15"/>
    <row r="31332" s="76" customFormat="1" ht="21.95" customHeight="1" x14ac:dyDescent="0.15"/>
    <row r="31333" s="76" customFormat="1" ht="21.95" customHeight="1" x14ac:dyDescent="0.15"/>
    <row r="31334" s="76" customFormat="1" ht="21.95" customHeight="1" x14ac:dyDescent="0.15"/>
    <row r="31335" s="76" customFormat="1" ht="21.95" customHeight="1" x14ac:dyDescent="0.15"/>
    <row r="31336" s="76" customFormat="1" ht="21.95" customHeight="1" x14ac:dyDescent="0.15"/>
    <row r="31337" s="76" customFormat="1" ht="35.1" customHeight="1" x14ac:dyDescent="0.15"/>
    <row r="31338" s="76" customFormat="1" ht="21.95" customHeight="1" x14ac:dyDescent="0.15"/>
    <row r="31339" s="76" customFormat="1" ht="21.95" customHeight="1" x14ac:dyDescent="0.15"/>
    <row r="31340" s="76" customFormat="1" ht="21.95" customHeight="1" x14ac:dyDescent="0.15"/>
    <row r="31341" s="76" customFormat="1" ht="21.95" customHeight="1" x14ac:dyDescent="0.15"/>
    <row r="31342" s="76" customFormat="1" ht="21.95" customHeight="1" x14ac:dyDescent="0.15"/>
    <row r="31343" s="76" customFormat="1" ht="21.95" customHeight="1" x14ac:dyDescent="0.15"/>
    <row r="31344" s="76" customFormat="1" ht="21.95" customHeight="1" x14ac:dyDescent="0.15"/>
    <row r="31345" s="76" customFormat="1" ht="21.95" customHeight="1" x14ac:dyDescent="0.15"/>
    <row r="31346" s="76" customFormat="1" ht="21.95" customHeight="1" x14ac:dyDescent="0.15"/>
    <row r="31347" s="76" customFormat="1" ht="21.95" customHeight="1" x14ac:dyDescent="0.15"/>
    <row r="31348" s="76" customFormat="1" ht="21.95" customHeight="1" x14ac:dyDescent="0.15"/>
    <row r="31349" s="76" customFormat="1" ht="21.95" customHeight="1" x14ac:dyDescent="0.15"/>
    <row r="31350" s="76" customFormat="1" ht="21.95" customHeight="1" x14ac:dyDescent="0.15"/>
    <row r="31351" s="76" customFormat="1" ht="21.95" customHeight="1" x14ac:dyDescent="0.15"/>
    <row r="31352" s="76" customFormat="1" ht="21.95" customHeight="1" x14ac:dyDescent="0.15"/>
    <row r="31353" s="76" customFormat="1" ht="21.95" customHeight="1" x14ac:dyDescent="0.15"/>
    <row r="31354" s="76" customFormat="1" ht="21.95" customHeight="1" x14ac:dyDescent="0.15"/>
    <row r="31355" s="76" customFormat="1" ht="21.95" customHeight="1" x14ac:dyDescent="0.15"/>
    <row r="31356" s="76" customFormat="1" ht="21.95" customHeight="1" x14ac:dyDescent="0.15"/>
    <row r="31357" s="76" customFormat="1" ht="21.95" customHeight="1" x14ac:dyDescent="0.15"/>
    <row r="31358" s="76" customFormat="1" ht="21.95" customHeight="1" x14ac:dyDescent="0.15"/>
    <row r="31359" s="76" customFormat="1" ht="21.95" customHeight="1" x14ac:dyDescent="0.15"/>
    <row r="31360" s="76" customFormat="1" ht="21.95" customHeight="1" x14ac:dyDescent="0.15"/>
    <row r="31361" spans="3:3" customFormat="1" ht="21.95" customHeight="1" x14ac:dyDescent="0.15"/>
    <row r="31362" spans="3:3" customFormat="1" ht="21.95" customHeight="1" x14ac:dyDescent="0.15"/>
    <row r="31363" spans="3:3" customFormat="1" ht="21.95" customHeight="1" x14ac:dyDescent="0.15">
      <c r="C31363" s="94"/>
    </row>
    <row r="31364" spans="3:3" customFormat="1" ht="21.95" customHeight="1" x14ac:dyDescent="0.15">
      <c r="C31364" s="94"/>
    </row>
    <row r="31365" spans="3:3" customFormat="1" ht="21.95" customHeight="1" x14ac:dyDescent="0.15"/>
    <row r="31366" spans="3:3" customFormat="1" ht="21.95" customHeight="1" x14ac:dyDescent="0.15"/>
    <row r="31367" spans="3:3" customFormat="1" ht="21.95" customHeight="1" x14ac:dyDescent="0.15"/>
    <row r="31368" spans="3:3" customFormat="1" ht="21.95" customHeight="1" x14ac:dyDescent="0.15"/>
    <row r="31369" spans="3:3" customFormat="1" ht="21.95" customHeight="1" x14ac:dyDescent="0.15"/>
    <row r="31370" spans="3:3" customFormat="1" ht="21.95" customHeight="1" x14ac:dyDescent="0.15"/>
    <row r="31371" spans="3:3" customFormat="1" ht="21.95" customHeight="1" x14ac:dyDescent="0.15"/>
    <row r="31372" spans="3:3" s="76" customFormat="1" ht="21.95" customHeight="1" x14ac:dyDescent="0.15"/>
    <row r="31373" spans="3:3" s="76" customFormat="1" ht="21.95" customHeight="1" x14ac:dyDescent="0.15"/>
    <row r="31374" spans="3:3" s="76" customFormat="1" ht="21.95" customHeight="1" x14ac:dyDescent="0.15"/>
    <row r="31375" spans="3:3" s="76" customFormat="1" ht="21.95" customHeight="1" x14ac:dyDescent="0.15"/>
    <row r="31376" spans="3:3" customFormat="1" ht="21.95" customHeight="1" x14ac:dyDescent="0.15"/>
    <row r="31377" customFormat="1" ht="21.95" customHeight="1" x14ac:dyDescent="0.15"/>
    <row r="31378" customFormat="1" ht="21.95" customHeight="1" x14ac:dyDescent="0.15"/>
    <row r="31379" customFormat="1" ht="21.95" customHeight="1" x14ac:dyDescent="0.15"/>
    <row r="31380" customFormat="1" ht="21.95" customHeight="1" x14ac:dyDescent="0.15"/>
    <row r="31381" customFormat="1" ht="21.95" customHeight="1" x14ac:dyDescent="0.15"/>
    <row r="31382" customFormat="1" ht="21.95" customHeight="1" x14ac:dyDescent="0.15"/>
    <row r="31383" customFormat="1" ht="21.95" customHeight="1" x14ac:dyDescent="0.15"/>
    <row r="31384" customFormat="1" ht="21.95" customHeight="1" x14ac:dyDescent="0.15"/>
    <row r="31385" customFormat="1" ht="21.95" customHeight="1" x14ac:dyDescent="0.15"/>
    <row r="31386" customFormat="1" ht="21.95" customHeight="1" x14ac:dyDescent="0.15"/>
    <row r="31387" customFormat="1" ht="32.1" customHeight="1" x14ac:dyDescent="0.15"/>
    <row r="31388" customFormat="1" ht="32.1" customHeight="1" x14ac:dyDescent="0.15"/>
    <row r="31389" customFormat="1" ht="32.1" customHeight="1" x14ac:dyDescent="0.15"/>
    <row r="31390" customFormat="1" ht="32.1" customHeight="1" x14ac:dyDescent="0.15"/>
    <row r="31391" customFormat="1" ht="32.1" customHeight="1" x14ac:dyDescent="0.15"/>
    <row r="31392" customFormat="1" ht="32.1" customHeight="1" x14ac:dyDescent="0.15"/>
    <row r="31393" s="76" customFormat="1" ht="32.1" customHeight="1" x14ac:dyDescent="0.15"/>
    <row r="31394" s="76" customFormat="1" ht="32.1" customHeight="1" x14ac:dyDescent="0.15"/>
    <row r="31395" s="76" customFormat="1" ht="32.1" customHeight="1" x14ac:dyDescent="0.15"/>
    <row r="31396" s="76" customFormat="1" ht="32.1" customHeight="1" x14ac:dyDescent="0.15"/>
    <row r="31397" s="76" customFormat="1" ht="21.95" customHeight="1" x14ac:dyDescent="0.15"/>
    <row r="31398" s="76" customFormat="1" ht="54" customHeight="1" x14ac:dyDescent="0.15"/>
    <row r="31399" s="76" customFormat="1" ht="21.95" customHeight="1" x14ac:dyDescent="0.15"/>
    <row r="31400" s="76" customFormat="1" ht="21.95" customHeight="1" x14ac:dyDescent="0.15"/>
    <row r="31401" s="76" customFormat="1" ht="21.95" customHeight="1" x14ac:dyDescent="0.15"/>
    <row r="31402" s="76" customFormat="1" ht="21.95" customHeight="1" x14ac:dyDescent="0.15"/>
    <row r="31403" s="76" customFormat="1" ht="21.95" customHeight="1" x14ac:dyDescent="0.15"/>
    <row r="31404" s="76" customFormat="1" ht="21.95" customHeight="1" x14ac:dyDescent="0.15"/>
    <row r="31405" s="76" customFormat="1" ht="21.95" customHeight="1" x14ac:dyDescent="0.15"/>
    <row r="31406" s="76" customFormat="1" ht="21.95" customHeight="1" x14ac:dyDescent="0.15"/>
    <row r="31407" s="76" customFormat="1" ht="21.95" customHeight="1" x14ac:dyDescent="0.15"/>
    <row r="31408" s="76" customFormat="1" ht="21.95" customHeight="1" x14ac:dyDescent="0.15"/>
    <row r="31409" s="76" customFormat="1" ht="21.95" customHeight="1" x14ac:dyDescent="0.15"/>
    <row r="31410" s="76" customFormat="1" ht="21.95" customHeight="1" x14ac:dyDescent="0.15"/>
    <row r="31411" s="76" customFormat="1" ht="21.95" customHeight="1" x14ac:dyDescent="0.15"/>
    <row r="31412" s="76" customFormat="1" ht="21.95" customHeight="1" x14ac:dyDescent="0.15"/>
    <row r="31413" s="76" customFormat="1" ht="21.95" customHeight="1" x14ac:dyDescent="0.15"/>
    <row r="31414" s="76" customFormat="1" ht="21.95" customHeight="1" x14ac:dyDescent="0.15"/>
    <row r="31415" s="76" customFormat="1" ht="21.95" customHeight="1" x14ac:dyDescent="0.15"/>
    <row r="31416" s="76" customFormat="1" ht="21.95" customHeight="1" x14ac:dyDescent="0.15"/>
    <row r="31417" s="76" customFormat="1" ht="21.95" customHeight="1" x14ac:dyDescent="0.15"/>
    <row r="31418" s="76" customFormat="1" ht="21.95" customHeight="1" x14ac:dyDescent="0.15"/>
    <row r="31419" s="76" customFormat="1" ht="21.95" customHeight="1" x14ac:dyDescent="0.15"/>
    <row r="31420" s="76" customFormat="1" ht="21.95" customHeight="1" x14ac:dyDescent="0.15"/>
    <row r="31421" s="76" customFormat="1" ht="21.95" customHeight="1" x14ac:dyDescent="0.15"/>
    <row r="31422" s="76" customFormat="1" ht="21.95" customHeight="1" x14ac:dyDescent="0.15"/>
    <row r="31423" s="76" customFormat="1" ht="21.95" customHeight="1" x14ac:dyDescent="0.15"/>
    <row r="31424" s="76" customFormat="1" ht="21.95" customHeight="1" x14ac:dyDescent="0.15"/>
    <row r="31425" s="76" customFormat="1" ht="21.95" customHeight="1" x14ac:dyDescent="0.15"/>
    <row r="31426" s="76" customFormat="1" ht="21.95" customHeight="1" x14ac:dyDescent="0.15"/>
    <row r="31427" s="76" customFormat="1" ht="21.95" customHeight="1" x14ac:dyDescent="0.15"/>
    <row r="31428" s="76" customFormat="1" ht="21.95" customHeight="1" x14ac:dyDescent="0.15"/>
    <row r="31429" s="76" customFormat="1" ht="21.95" customHeight="1" x14ac:dyDescent="0.15"/>
    <row r="31430" s="76" customFormat="1" ht="21.95" customHeight="1" x14ac:dyDescent="0.15"/>
    <row r="31431" s="76" customFormat="1" ht="21.95" customHeight="1" x14ac:dyDescent="0.15"/>
    <row r="31432" s="76" customFormat="1" ht="21.95" customHeight="1" x14ac:dyDescent="0.15"/>
    <row r="31433" s="76" customFormat="1" ht="21.95" customHeight="1" x14ac:dyDescent="0.15"/>
    <row r="31434" s="76" customFormat="1" ht="21.95" customHeight="1" x14ac:dyDescent="0.15"/>
    <row r="31435" s="76" customFormat="1" ht="21.95" customHeight="1" x14ac:dyDescent="0.15"/>
    <row r="31436" s="76" customFormat="1" ht="21.95" customHeight="1" x14ac:dyDescent="0.15"/>
    <row r="31437" s="76" customFormat="1" ht="21.95" customHeight="1" x14ac:dyDescent="0.15"/>
    <row r="31438" s="76" customFormat="1" ht="21.95" customHeight="1" x14ac:dyDescent="0.15"/>
    <row r="31439" s="76" customFormat="1" ht="21.95" customHeight="1" x14ac:dyDescent="0.15"/>
    <row r="31440" s="76" customFormat="1" ht="21.95" customHeight="1" x14ac:dyDescent="0.15"/>
    <row r="31441" s="76" customFormat="1" ht="21.95" customHeight="1" x14ac:dyDescent="0.15"/>
    <row r="31442" s="76" customFormat="1" ht="21.95" customHeight="1" x14ac:dyDescent="0.15"/>
    <row r="31443" s="76" customFormat="1" ht="21.95" customHeight="1" x14ac:dyDescent="0.15"/>
    <row r="31444" s="76" customFormat="1" ht="21.95" customHeight="1" x14ac:dyDescent="0.15"/>
    <row r="31445" s="76" customFormat="1" ht="21.95" customHeight="1" x14ac:dyDescent="0.15"/>
    <row r="31446" s="76" customFormat="1" ht="21.95" customHeight="1" x14ac:dyDescent="0.15"/>
    <row r="31447" s="76" customFormat="1" ht="21.95" customHeight="1" x14ac:dyDescent="0.15"/>
    <row r="31448" s="76" customFormat="1" ht="21.95" customHeight="1" x14ac:dyDescent="0.15"/>
    <row r="31449" s="76" customFormat="1" ht="35.1" customHeight="1" x14ac:dyDescent="0.15"/>
    <row r="31450" s="76" customFormat="1" ht="21.95" customHeight="1" x14ac:dyDescent="0.15"/>
    <row r="31451" s="76" customFormat="1" ht="21.95" customHeight="1" x14ac:dyDescent="0.15"/>
    <row r="31452" s="76" customFormat="1" ht="21.95" customHeight="1" x14ac:dyDescent="0.15"/>
    <row r="31453" s="76" customFormat="1" ht="21.95" customHeight="1" x14ac:dyDescent="0.15"/>
    <row r="31454" s="76" customFormat="1" ht="21.95" customHeight="1" x14ac:dyDescent="0.15"/>
    <row r="31455" s="76" customFormat="1" ht="21.95" customHeight="1" x14ac:dyDescent="0.15"/>
    <row r="31456" s="76" customFormat="1" ht="21.95" customHeight="1" x14ac:dyDescent="0.15"/>
    <row r="31457" s="76" customFormat="1" ht="21.95" customHeight="1" x14ac:dyDescent="0.15"/>
    <row r="31458" s="76" customFormat="1" ht="21.95" customHeight="1" x14ac:dyDescent="0.15"/>
    <row r="31459" s="76" customFormat="1" ht="21.95" customHeight="1" x14ac:dyDescent="0.15"/>
    <row r="31460" s="76" customFormat="1" ht="21.95" customHeight="1" x14ac:dyDescent="0.15"/>
    <row r="31461" s="76" customFormat="1" ht="21.95" customHeight="1" x14ac:dyDescent="0.15"/>
    <row r="31462" s="76" customFormat="1" ht="21.95" customHeight="1" x14ac:dyDescent="0.15"/>
    <row r="31463" s="76" customFormat="1" ht="21.95" customHeight="1" x14ac:dyDescent="0.15"/>
    <row r="31464" s="76" customFormat="1" ht="21.95" customHeight="1" x14ac:dyDescent="0.15"/>
    <row r="31465" s="76" customFormat="1" ht="21.95" customHeight="1" x14ac:dyDescent="0.15"/>
    <row r="31466" s="76" customFormat="1" ht="21.95" customHeight="1" x14ac:dyDescent="0.15"/>
    <row r="31467" s="76" customFormat="1" ht="21.95" customHeight="1" x14ac:dyDescent="0.15"/>
    <row r="31468" s="76" customFormat="1" ht="21.95" customHeight="1" x14ac:dyDescent="0.15"/>
    <row r="31469" s="76" customFormat="1" ht="21.95" customHeight="1" x14ac:dyDescent="0.15"/>
    <row r="31470" s="76" customFormat="1" ht="21.95" customHeight="1" x14ac:dyDescent="0.15"/>
    <row r="31471" s="76" customFormat="1" ht="21.95" customHeight="1" x14ac:dyDescent="0.15"/>
    <row r="31472" s="76" customFormat="1" ht="21.95" customHeight="1" x14ac:dyDescent="0.15"/>
    <row r="31473" spans="3:3" customFormat="1" ht="21.95" customHeight="1" x14ac:dyDescent="0.15"/>
    <row r="31474" spans="3:3" customFormat="1" ht="21.95" customHeight="1" x14ac:dyDescent="0.15"/>
    <row r="31475" spans="3:3" customFormat="1" ht="21.95" customHeight="1" x14ac:dyDescent="0.15">
      <c r="C31475" s="94"/>
    </row>
    <row r="31476" spans="3:3" customFormat="1" ht="21.95" customHeight="1" x14ac:dyDescent="0.15">
      <c r="C31476" s="94"/>
    </row>
    <row r="31477" spans="3:3" customFormat="1" ht="21.95" customHeight="1" x14ac:dyDescent="0.15"/>
    <row r="31478" spans="3:3" customFormat="1" ht="21.95" customHeight="1" x14ac:dyDescent="0.15"/>
    <row r="31479" spans="3:3" customFormat="1" ht="21.95" customHeight="1" x14ac:dyDescent="0.15"/>
    <row r="31480" spans="3:3" customFormat="1" ht="21.95" customHeight="1" x14ac:dyDescent="0.15"/>
    <row r="31481" spans="3:3" customFormat="1" ht="21.95" customHeight="1" x14ac:dyDescent="0.15"/>
    <row r="31482" spans="3:3" customFormat="1" ht="21.95" customHeight="1" x14ac:dyDescent="0.15"/>
    <row r="31483" spans="3:3" customFormat="1" ht="21.95" customHeight="1" x14ac:dyDescent="0.15"/>
    <row r="31484" spans="3:3" s="76" customFormat="1" ht="21.95" customHeight="1" x14ac:dyDescent="0.15"/>
    <row r="31485" spans="3:3" s="76" customFormat="1" ht="21.95" customHeight="1" x14ac:dyDescent="0.15"/>
    <row r="31486" spans="3:3" s="76" customFormat="1" ht="21.95" customHeight="1" x14ac:dyDescent="0.15"/>
    <row r="31487" spans="3:3" s="76" customFormat="1" ht="21.95" customHeight="1" x14ac:dyDescent="0.15"/>
    <row r="31488" spans="3:3" customFormat="1" ht="21.95" customHeight="1" x14ac:dyDescent="0.15"/>
    <row r="31489" customFormat="1" ht="21.95" customHeight="1" x14ac:dyDescent="0.15"/>
    <row r="31490" customFormat="1" ht="21.95" customHeight="1" x14ac:dyDescent="0.15"/>
    <row r="31491" customFormat="1" ht="21.95" customHeight="1" x14ac:dyDescent="0.15"/>
    <row r="31492" customFormat="1" ht="21.95" customHeight="1" x14ac:dyDescent="0.15"/>
    <row r="31493" customFormat="1" ht="21.95" customHeight="1" x14ac:dyDescent="0.15"/>
    <row r="31494" customFormat="1" ht="21.95" customHeight="1" x14ac:dyDescent="0.15"/>
    <row r="31495" customFormat="1" ht="21.95" customHeight="1" x14ac:dyDescent="0.15"/>
    <row r="31496" customFormat="1" ht="21.95" customHeight="1" x14ac:dyDescent="0.15"/>
    <row r="31497" customFormat="1" ht="21.95" customHeight="1" x14ac:dyDescent="0.15"/>
    <row r="31498" customFormat="1" ht="21.95" customHeight="1" x14ac:dyDescent="0.15"/>
    <row r="31499" customFormat="1" ht="32.1" customHeight="1" x14ac:dyDescent="0.15"/>
    <row r="31500" customFormat="1" ht="32.1" customHeight="1" x14ac:dyDescent="0.15"/>
    <row r="31501" customFormat="1" ht="32.1" customHeight="1" x14ac:dyDescent="0.15"/>
    <row r="31502" customFormat="1" ht="32.1" customHeight="1" x14ac:dyDescent="0.15"/>
    <row r="31503" customFormat="1" ht="32.1" customHeight="1" x14ac:dyDescent="0.15"/>
    <row r="31504" customFormat="1" ht="32.1" customHeight="1" x14ac:dyDescent="0.15"/>
    <row r="31505" s="76" customFormat="1" ht="32.1" customHeight="1" x14ac:dyDescent="0.15"/>
    <row r="31506" s="76" customFormat="1" ht="32.1" customHeight="1" x14ac:dyDescent="0.15"/>
    <row r="31507" s="76" customFormat="1" ht="32.1" customHeight="1" x14ac:dyDescent="0.15"/>
    <row r="31508" s="76" customFormat="1" ht="32.1" customHeight="1" x14ac:dyDescent="0.15"/>
    <row r="31509" s="76" customFormat="1" ht="21.95" customHeight="1" x14ac:dyDescent="0.15"/>
    <row r="31510" s="76" customFormat="1" ht="54" customHeight="1" x14ac:dyDescent="0.15"/>
    <row r="31511" s="76" customFormat="1" ht="21.95" customHeight="1" x14ac:dyDescent="0.15"/>
    <row r="31512" s="76" customFormat="1" ht="21.95" customHeight="1" x14ac:dyDescent="0.15"/>
    <row r="31513" s="76" customFormat="1" ht="21.95" customHeight="1" x14ac:dyDescent="0.15"/>
    <row r="31514" s="76" customFormat="1" ht="21.95" customHeight="1" x14ac:dyDescent="0.15"/>
    <row r="31515" s="76" customFormat="1" ht="21.95" customHeight="1" x14ac:dyDescent="0.15"/>
    <row r="31516" s="76" customFormat="1" ht="21.95" customHeight="1" x14ac:dyDescent="0.15"/>
    <row r="31517" s="76" customFormat="1" ht="21.95" customHeight="1" x14ac:dyDescent="0.15"/>
    <row r="31518" s="76" customFormat="1" ht="21.95" customHeight="1" x14ac:dyDescent="0.15"/>
    <row r="31519" s="76" customFormat="1" ht="21.95" customHeight="1" x14ac:dyDescent="0.15"/>
    <row r="31520" s="76" customFormat="1" ht="21.95" customHeight="1" x14ac:dyDescent="0.15"/>
    <row r="31521" s="76" customFormat="1" ht="21.95" customHeight="1" x14ac:dyDescent="0.15"/>
    <row r="31522" s="76" customFormat="1" ht="21.95" customHeight="1" x14ac:dyDescent="0.15"/>
    <row r="31523" s="76" customFormat="1" ht="21.95" customHeight="1" x14ac:dyDescent="0.15"/>
    <row r="31524" s="76" customFormat="1" ht="21.95" customHeight="1" x14ac:dyDescent="0.15"/>
    <row r="31525" s="76" customFormat="1" ht="21.95" customHeight="1" x14ac:dyDescent="0.15"/>
    <row r="31526" s="76" customFormat="1" ht="21.95" customHeight="1" x14ac:dyDescent="0.15"/>
    <row r="31527" s="76" customFormat="1" ht="21.95" customHeight="1" x14ac:dyDescent="0.15"/>
    <row r="31528" s="76" customFormat="1" ht="21.95" customHeight="1" x14ac:dyDescent="0.15"/>
    <row r="31529" s="76" customFormat="1" ht="21.95" customHeight="1" x14ac:dyDescent="0.15"/>
    <row r="31530" s="76" customFormat="1" ht="21.95" customHeight="1" x14ac:dyDescent="0.15"/>
    <row r="31531" s="76" customFormat="1" ht="21.95" customHeight="1" x14ac:dyDescent="0.15"/>
    <row r="31532" s="76" customFormat="1" ht="21.95" customHeight="1" x14ac:dyDescent="0.15"/>
    <row r="31533" s="76" customFormat="1" ht="21.95" customHeight="1" x14ac:dyDescent="0.15"/>
    <row r="31534" s="76" customFormat="1" ht="21.95" customHeight="1" x14ac:dyDescent="0.15"/>
    <row r="31535" s="76" customFormat="1" ht="21.95" customHeight="1" x14ac:dyDescent="0.15"/>
    <row r="31536" s="76" customFormat="1" ht="21.95" customHeight="1" x14ac:dyDescent="0.15"/>
    <row r="31537" s="76" customFormat="1" ht="21.95" customHeight="1" x14ac:dyDescent="0.15"/>
    <row r="31538" s="76" customFormat="1" ht="21.95" customHeight="1" x14ac:dyDescent="0.15"/>
    <row r="31539" s="76" customFormat="1" ht="21.95" customHeight="1" x14ac:dyDescent="0.15"/>
    <row r="31540" s="76" customFormat="1" ht="21.95" customHeight="1" x14ac:dyDescent="0.15"/>
    <row r="31541" s="76" customFormat="1" ht="21.95" customHeight="1" x14ac:dyDescent="0.15"/>
    <row r="31542" s="76" customFormat="1" ht="21.95" customHeight="1" x14ac:dyDescent="0.15"/>
    <row r="31543" s="76" customFormat="1" ht="21.95" customHeight="1" x14ac:dyDescent="0.15"/>
    <row r="31544" s="76" customFormat="1" ht="21.95" customHeight="1" x14ac:dyDescent="0.15"/>
    <row r="31545" s="76" customFormat="1" ht="21.95" customHeight="1" x14ac:dyDescent="0.15"/>
    <row r="31546" s="76" customFormat="1" ht="21.95" customHeight="1" x14ac:dyDescent="0.15"/>
    <row r="31547" s="76" customFormat="1" ht="21.95" customHeight="1" x14ac:dyDescent="0.15"/>
    <row r="31548" s="76" customFormat="1" ht="21.95" customHeight="1" x14ac:dyDescent="0.15"/>
    <row r="31549" s="76" customFormat="1" ht="21.95" customHeight="1" x14ac:dyDescent="0.15"/>
    <row r="31550" s="76" customFormat="1" ht="21.95" customHeight="1" x14ac:dyDescent="0.15"/>
    <row r="31551" s="76" customFormat="1" ht="21.95" customHeight="1" x14ac:dyDescent="0.15"/>
    <row r="31552" s="76" customFormat="1" ht="21.95" customHeight="1" x14ac:dyDescent="0.15"/>
    <row r="31553" s="76" customFormat="1" ht="21.95" customHeight="1" x14ac:dyDescent="0.15"/>
    <row r="31554" s="76" customFormat="1" ht="21.95" customHeight="1" x14ac:dyDescent="0.15"/>
    <row r="31555" s="76" customFormat="1" ht="21.95" customHeight="1" x14ac:dyDescent="0.15"/>
    <row r="31556" s="76" customFormat="1" ht="21.95" customHeight="1" x14ac:dyDescent="0.15"/>
    <row r="31557" s="76" customFormat="1" ht="21.95" customHeight="1" x14ac:dyDescent="0.15"/>
    <row r="31558" s="76" customFormat="1" ht="21.95" customHeight="1" x14ac:dyDescent="0.15"/>
    <row r="31559" s="76" customFormat="1" ht="21.95" customHeight="1" x14ac:dyDescent="0.15"/>
    <row r="31560" s="76" customFormat="1" ht="21.95" customHeight="1" x14ac:dyDescent="0.15"/>
    <row r="31561" s="76" customFormat="1" ht="35.1" customHeight="1" x14ac:dyDescent="0.15"/>
    <row r="31562" s="76" customFormat="1" ht="21.95" customHeight="1" x14ac:dyDescent="0.15"/>
    <row r="31563" s="76" customFormat="1" ht="21.95" customHeight="1" x14ac:dyDescent="0.15"/>
    <row r="31564" s="76" customFormat="1" ht="21.95" customHeight="1" x14ac:dyDescent="0.15"/>
    <row r="31565" s="76" customFormat="1" ht="21.95" customHeight="1" x14ac:dyDescent="0.15"/>
    <row r="31566" s="76" customFormat="1" ht="21.95" customHeight="1" x14ac:dyDescent="0.15"/>
    <row r="31567" s="76" customFormat="1" ht="21.95" customHeight="1" x14ac:dyDescent="0.15"/>
    <row r="31568" s="76" customFormat="1" ht="21.95" customHeight="1" x14ac:dyDescent="0.15"/>
    <row r="31569" s="76" customFormat="1" ht="21.95" customHeight="1" x14ac:dyDescent="0.15"/>
    <row r="31570" s="76" customFormat="1" ht="21.95" customHeight="1" x14ac:dyDescent="0.15"/>
    <row r="31571" s="76" customFormat="1" ht="21.95" customHeight="1" x14ac:dyDescent="0.15"/>
    <row r="31572" s="76" customFormat="1" ht="21.95" customHeight="1" x14ac:dyDescent="0.15"/>
    <row r="31573" s="76" customFormat="1" ht="21.95" customHeight="1" x14ac:dyDescent="0.15"/>
    <row r="31574" s="76" customFormat="1" ht="21.95" customHeight="1" x14ac:dyDescent="0.15"/>
    <row r="31575" s="76" customFormat="1" ht="21.95" customHeight="1" x14ac:dyDescent="0.15"/>
    <row r="31576" s="76" customFormat="1" ht="21.95" customHeight="1" x14ac:dyDescent="0.15"/>
    <row r="31577" s="76" customFormat="1" ht="21.95" customHeight="1" x14ac:dyDescent="0.15"/>
    <row r="31578" s="76" customFormat="1" ht="21.95" customHeight="1" x14ac:dyDescent="0.15"/>
    <row r="31579" s="76" customFormat="1" ht="21.95" customHeight="1" x14ac:dyDescent="0.15"/>
    <row r="31580" s="76" customFormat="1" ht="21.95" customHeight="1" x14ac:dyDescent="0.15"/>
    <row r="31581" s="76" customFormat="1" ht="21.95" customHeight="1" x14ac:dyDescent="0.15"/>
    <row r="31582" s="76" customFormat="1" ht="21.95" customHeight="1" x14ac:dyDescent="0.15"/>
    <row r="31583" s="76" customFormat="1" ht="21.95" customHeight="1" x14ac:dyDescent="0.15"/>
    <row r="31584" s="76" customFormat="1" ht="21.95" customHeight="1" x14ac:dyDescent="0.15"/>
    <row r="31585" spans="3:3" customFormat="1" ht="21.95" customHeight="1" x14ac:dyDescent="0.15"/>
    <row r="31586" spans="3:3" customFormat="1" ht="21.95" customHeight="1" x14ac:dyDescent="0.15"/>
    <row r="31587" spans="3:3" customFormat="1" ht="21.95" customHeight="1" x14ac:dyDescent="0.15">
      <c r="C31587" s="94"/>
    </row>
    <row r="31588" spans="3:3" customFormat="1" ht="21.95" customHeight="1" x14ac:dyDescent="0.15">
      <c r="C31588" s="94"/>
    </row>
    <row r="31589" spans="3:3" customFormat="1" ht="21.95" customHeight="1" x14ac:dyDescent="0.15"/>
    <row r="31590" spans="3:3" customFormat="1" ht="21.95" customHeight="1" x14ac:dyDescent="0.15"/>
    <row r="31591" spans="3:3" customFormat="1" ht="21.95" customHeight="1" x14ac:dyDescent="0.15"/>
    <row r="31592" spans="3:3" customFormat="1" ht="21.95" customHeight="1" x14ac:dyDescent="0.15"/>
    <row r="31593" spans="3:3" customFormat="1" ht="21.95" customHeight="1" x14ac:dyDescent="0.15"/>
    <row r="31594" spans="3:3" customFormat="1" ht="21.95" customHeight="1" x14ac:dyDescent="0.15"/>
    <row r="31595" spans="3:3" customFormat="1" ht="21.95" customHeight="1" x14ac:dyDescent="0.15"/>
    <row r="31596" spans="3:3" s="76" customFormat="1" ht="21.95" customHeight="1" x14ac:dyDescent="0.15"/>
    <row r="31597" spans="3:3" s="76" customFormat="1" ht="21.95" customHeight="1" x14ac:dyDescent="0.15"/>
    <row r="31598" spans="3:3" s="76" customFormat="1" ht="21.95" customHeight="1" x14ac:dyDescent="0.15"/>
    <row r="31599" spans="3:3" s="76" customFormat="1" ht="21.95" customHeight="1" x14ac:dyDescent="0.15"/>
    <row r="31600" spans="3:3" customFormat="1" ht="21.95" customHeight="1" x14ac:dyDescent="0.15"/>
    <row r="31601" customFormat="1" ht="21.95" customHeight="1" x14ac:dyDescent="0.15"/>
    <row r="31602" customFormat="1" ht="21.95" customHeight="1" x14ac:dyDescent="0.15"/>
    <row r="31603" customFormat="1" ht="21.95" customHeight="1" x14ac:dyDescent="0.15"/>
    <row r="31604" customFormat="1" ht="21.95" customHeight="1" x14ac:dyDescent="0.15"/>
    <row r="31605" customFormat="1" ht="21.95" customHeight="1" x14ac:dyDescent="0.15"/>
    <row r="31606" customFormat="1" ht="21.95" customHeight="1" x14ac:dyDescent="0.15"/>
    <row r="31607" customFormat="1" ht="21.95" customHeight="1" x14ac:dyDescent="0.15"/>
    <row r="31608" customFormat="1" ht="21.95" customHeight="1" x14ac:dyDescent="0.15"/>
    <row r="31609" customFormat="1" ht="21.95" customHeight="1" x14ac:dyDescent="0.15"/>
    <row r="31610" customFormat="1" ht="21.95" customHeight="1" x14ac:dyDescent="0.15"/>
    <row r="31611" customFormat="1" ht="32.1" customHeight="1" x14ac:dyDescent="0.15"/>
    <row r="31612" customFormat="1" ht="32.1" customHeight="1" x14ac:dyDescent="0.15"/>
    <row r="31613" customFormat="1" ht="32.1" customHeight="1" x14ac:dyDescent="0.15"/>
    <row r="31614" customFormat="1" ht="32.1" customHeight="1" x14ac:dyDescent="0.15"/>
    <row r="31615" customFormat="1" ht="32.1" customHeight="1" x14ac:dyDescent="0.15"/>
    <row r="31616" customFormat="1" ht="32.1" customHeight="1" x14ac:dyDescent="0.15"/>
    <row r="31617" s="76" customFormat="1" ht="32.1" customHeight="1" x14ac:dyDescent="0.15"/>
    <row r="31618" s="76" customFormat="1" ht="32.1" customHeight="1" x14ac:dyDescent="0.15"/>
    <row r="31619" s="76" customFormat="1" ht="32.1" customHeight="1" x14ac:dyDescent="0.15"/>
    <row r="31620" s="76" customFormat="1" ht="32.1" customHeight="1" x14ac:dyDescent="0.15"/>
    <row r="31621" s="76" customFormat="1" ht="21.95" customHeight="1" x14ac:dyDescent="0.15"/>
    <row r="31622" s="76" customFormat="1" ht="54" customHeight="1" x14ac:dyDescent="0.15"/>
    <row r="31623" s="76" customFormat="1" ht="21.95" customHeight="1" x14ac:dyDescent="0.15"/>
    <row r="31624" s="76" customFormat="1" ht="21.95" customHeight="1" x14ac:dyDescent="0.15"/>
    <row r="31625" s="76" customFormat="1" ht="21.95" customHeight="1" x14ac:dyDescent="0.15"/>
    <row r="31626" s="76" customFormat="1" ht="21.95" customHeight="1" x14ac:dyDescent="0.15"/>
    <row r="31627" s="76" customFormat="1" ht="21.95" customHeight="1" x14ac:dyDescent="0.15"/>
    <row r="31628" s="76" customFormat="1" ht="21.95" customHeight="1" x14ac:dyDescent="0.15"/>
    <row r="31629" s="76" customFormat="1" ht="21.95" customHeight="1" x14ac:dyDescent="0.15"/>
    <row r="31630" s="76" customFormat="1" ht="21.95" customHeight="1" x14ac:dyDescent="0.15"/>
    <row r="31631" s="76" customFormat="1" ht="21.95" customHeight="1" x14ac:dyDescent="0.15"/>
    <row r="31632" s="76" customFormat="1" ht="21.95" customHeight="1" x14ac:dyDescent="0.15"/>
    <row r="31633" s="76" customFormat="1" ht="21.95" customHeight="1" x14ac:dyDescent="0.15"/>
    <row r="31634" s="76" customFormat="1" ht="21.95" customHeight="1" x14ac:dyDescent="0.15"/>
    <row r="31635" s="76" customFormat="1" ht="21.95" customHeight="1" x14ac:dyDescent="0.15"/>
    <row r="31636" s="76" customFormat="1" ht="21.95" customHeight="1" x14ac:dyDescent="0.15"/>
    <row r="31637" s="76" customFormat="1" ht="21.95" customHeight="1" x14ac:dyDescent="0.15"/>
    <row r="31638" s="76" customFormat="1" ht="21.95" customHeight="1" x14ac:dyDescent="0.15"/>
    <row r="31639" s="76" customFormat="1" ht="21.95" customHeight="1" x14ac:dyDescent="0.15"/>
    <row r="31640" s="76" customFormat="1" ht="21.95" customHeight="1" x14ac:dyDescent="0.15"/>
    <row r="31641" s="76" customFormat="1" ht="21.95" customHeight="1" x14ac:dyDescent="0.15"/>
    <row r="31642" s="76" customFormat="1" ht="21.95" customHeight="1" x14ac:dyDescent="0.15"/>
    <row r="31643" s="76" customFormat="1" ht="21.95" customHeight="1" x14ac:dyDescent="0.15"/>
    <row r="31644" s="76" customFormat="1" ht="21.95" customHeight="1" x14ac:dyDescent="0.15"/>
    <row r="31645" s="76" customFormat="1" ht="21.95" customHeight="1" x14ac:dyDescent="0.15"/>
    <row r="31646" s="76" customFormat="1" ht="21.95" customHeight="1" x14ac:dyDescent="0.15"/>
    <row r="31647" s="76" customFormat="1" ht="21.95" customHeight="1" x14ac:dyDescent="0.15"/>
    <row r="31648" s="76" customFormat="1" ht="21.95" customHeight="1" x14ac:dyDescent="0.15"/>
    <row r="31649" s="76" customFormat="1" ht="21.95" customHeight="1" x14ac:dyDescent="0.15"/>
    <row r="31650" s="76" customFormat="1" ht="21.95" customHeight="1" x14ac:dyDescent="0.15"/>
    <row r="31651" s="76" customFormat="1" ht="21.95" customHeight="1" x14ac:dyDescent="0.15"/>
    <row r="31652" s="76" customFormat="1" ht="21.95" customHeight="1" x14ac:dyDescent="0.15"/>
    <row r="31653" s="76" customFormat="1" ht="21.95" customHeight="1" x14ac:dyDescent="0.15"/>
    <row r="31654" s="76" customFormat="1" ht="21.95" customHeight="1" x14ac:dyDescent="0.15"/>
    <row r="31655" s="76" customFormat="1" ht="21.95" customHeight="1" x14ac:dyDescent="0.15"/>
    <row r="31656" s="76" customFormat="1" ht="21.95" customHeight="1" x14ac:dyDescent="0.15"/>
    <row r="31657" s="76" customFormat="1" ht="21.95" customHeight="1" x14ac:dyDescent="0.15"/>
    <row r="31658" s="76" customFormat="1" ht="21.95" customHeight="1" x14ac:dyDescent="0.15"/>
    <row r="31659" s="76" customFormat="1" ht="21.95" customHeight="1" x14ac:dyDescent="0.15"/>
    <row r="31660" s="76" customFormat="1" ht="21.95" customHeight="1" x14ac:dyDescent="0.15"/>
    <row r="31661" s="76" customFormat="1" ht="21.95" customHeight="1" x14ac:dyDescent="0.15"/>
    <row r="31662" s="76" customFormat="1" ht="21.95" customHeight="1" x14ac:dyDescent="0.15"/>
    <row r="31663" s="76" customFormat="1" ht="21.95" customHeight="1" x14ac:dyDescent="0.15"/>
    <row r="31664" s="76" customFormat="1" ht="21.95" customHeight="1" x14ac:dyDescent="0.15"/>
    <row r="31665" s="76" customFormat="1" ht="21.95" customHeight="1" x14ac:dyDescent="0.15"/>
    <row r="31666" s="76" customFormat="1" ht="21.95" customHeight="1" x14ac:dyDescent="0.15"/>
    <row r="31667" s="76" customFormat="1" ht="21.95" customHeight="1" x14ac:dyDescent="0.15"/>
    <row r="31668" s="76" customFormat="1" ht="21.95" customHeight="1" x14ac:dyDescent="0.15"/>
    <row r="31669" s="76" customFormat="1" ht="21.95" customHeight="1" x14ac:dyDescent="0.15"/>
    <row r="31670" s="76" customFormat="1" ht="21.95" customHeight="1" x14ac:dyDescent="0.15"/>
    <row r="31671" s="76" customFormat="1" ht="21.95" customHeight="1" x14ac:dyDescent="0.15"/>
    <row r="31672" s="76" customFormat="1" ht="21.95" customHeight="1" x14ac:dyDescent="0.15"/>
    <row r="31673" s="76" customFormat="1" ht="35.1" customHeight="1" x14ac:dyDescent="0.15"/>
    <row r="31674" s="76" customFormat="1" ht="21.95" customHeight="1" x14ac:dyDescent="0.15"/>
    <row r="31675" s="76" customFormat="1" ht="21.95" customHeight="1" x14ac:dyDescent="0.15"/>
    <row r="31676" s="76" customFormat="1" ht="21.95" customHeight="1" x14ac:dyDescent="0.15"/>
    <row r="31677" s="76" customFormat="1" ht="21.95" customHeight="1" x14ac:dyDescent="0.15"/>
    <row r="31678" s="76" customFormat="1" ht="21.95" customHeight="1" x14ac:dyDescent="0.15"/>
    <row r="31679" s="76" customFormat="1" ht="21.95" customHeight="1" x14ac:dyDescent="0.15"/>
    <row r="31680" s="76" customFormat="1" ht="21.95" customHeight="1" x14ac:dyDescent="0.15"/>
    <row r="31681" s="76" customFormat="1" ht="21.95" customHeight="1" x14ac:dyDescent="0.15"/>
    <row r="31682" s="76" customFormat="1" ht="21.95" customHeight="1" x14ac:dyDescent="0.15"/>
    <row r="31683" s="76" customFormat="1" ht="21.95" customHeight="1" x14ac:dyDescent="0.15"/>
    <row r="31684" s="76" customFormat="1" ht="21.95" customHeight="1" x14ac:dyDescent="0.15"/>
    <row r="31685" s="76" customFormat="1" ht="21.95" customHeight="1" x14ac:dyDescent="0.15"/>
    <row r="31686" s="76" customFormat="1" ht="21.95" customHeight="1" x14ac:dyDescent="0.15"/>
    <row r="31687" s="76" customFormat="1" ht="21.95" customHeight="1" x14ac:dyDescent="0.15"/>
    <row r="31688" s="76" customFormat="1" ht="21.95" customHeight="1" x14ac:dyDescent="0.15"/>
    <row r="31689" s="76" customFormat="1" ht="21.95" customHeight="1" x14ac:dyDescent="0.15"/>
    <row r="31690" s="76" customFormat="1" ht="21.95" customHeight="1" x14ac:dyDescent="0.15"/>
    <row r="31691" s="76" customFormat="1" ht="21.95" customHeight="1" x14ac:dyDescent="0.15"/>
    <row r="31692" s="76" customFormat="1" ht="21.95" customHeight="1" x14ac:dyDescent="0.15"/>
    <row r="31693" s="76" customFormat="1" ht="21.95" customHeight="1" x14ac:dyDescent="0.15"/>
    <row r="31694" s="76" customFormat="1" ht="21.95" customHeight="1" x14ac:dyDescent="0.15"/>
    <row r="31695" s="76" customFormat="1" ht="21.95" customHeight="1" x14ac:dyDescent="0.15"/>
    <row r="31696" s="76" customFormat="1" ht="21.95" customHeight="1" x14ac:dyDescent="0.15"/>
    <row r="31697" spans="3:3" customFormat="1" ht="21.95" customHeight="1" x14ac:dyDescent="0.15"/>
    <row r="31698" spans="3:3" customFormat="1" ht="21.95" customHeight="1" x14ac:dyDescent="0.15"/>
    <row r="31699" spans="3:3" customFormat="1" ht="21.95" customHeight="1" x14ac:dyDescent="0.15">
      <c r="C31699" s="94"/>
    </row>
    <row r="31700" spans="3:3" customFormat="1" ht="21.95" customHeight="1" x14ac:dyDescent="0.15">
      <c r="C31700" s="94"/>
    </row>
    <row r="31701" spans="3:3" customFormat="1" ht="21.95" customHeight="1" x14ac:dyDescent="0.15"/>
    <row r="31702" spans="3:3" customFormat="1" ht="21.95" customHeight="1" x14ac:dyDescent="0.15"/>
    <row r="31703" spans="3:3" customFormat="1" ht="21.95" customHeight="1" x14ac:dyDescent="0.15"/>
    <row r="31704" spans="3:3" customFormat="1" ht="21.95" customHeight="1" x14ac:dyDescent="0.15"/>
    <row r="31705" spans="3:3" customFormat="1" ht="21.95" customHeight="1" x14ac:dyDescent="0.15"/>
    <row r="31706" spans="3:3" customFormat="1" ht="21.95" customHeight="1" x14ac:dyDescent="0.15"/>
    <row r="31707" spans="3:3" customFormat="1" ht="21.95" customHeight="1" x14ac:dyDescent="0.15"/>
    <row r="31708" spans="3:3" s="76" customFormat="1" ht="21.95" customHeight="1" x14ac:dyDescent="0.15"/>
    <row r="31709" spans="3:3" s="76" customFormat="1" ht="21.95" customHeight="1" x14ac:dyDescent="0.15"/>
    <row r="31710" spans="3:3" s="76" customFormat="1" ht="21.95" customHeight="1" x14ac:dyDescent="0.15"/>
    <row r="31711" spans="3:3" s="76" customFormat="1" ht="21.95" customHeight="1" x14ac:dyDescent="0.15"/>
    <row r="31712" spans="3:3" customFormat="1" ht="21.95" customHeight="1" x14ac:dyDescent="0.15"/>
    <row r="31713" customFormat="1" ht="21.95" customHeight="1" x14ac:dyDescent="0.15"/>
    <row r="31714" customFormat="1" ht="21.95" customHeight="1" x14ac:dyDescent="0.15"/>
    <row r="31715" customFormat="1" ht="21.95" customHeight="1" x14ac:dyDescent="0.15"/>
    <row r="31716" customFormat="1" ht="21.95" customHeight="1" x14ac:dyDescent="0.15"/>
    <row r="31717" customFormat="1" ht="21.95" customHeight="1" x14ac:dyDescent="0.15"/>
    <row r="31718" customFormat="1" ht="21.95" customHeight="1" x14ac:dyDescent="0.15"/>
    <row r="31719" customFormat="1" ht="21.95" customHeight="1" x14ac:dyDescent="0.15"/>
    <row r="31720" customFormat="1" ht="21.95" customHeight="1" x14ac:dyDescent="0.15"/>
    <row r="31721" customFormat="1" ht="21.95" customHeight="1" x14ac:dyDescent="0.15"/>
    <row r="31722" customFormat="1" ht="21.95" customHeight="1" x14ac:dyDescent="0.15"/>
    <row r="31723" customFormat="1" ht="32.1" customHeight="1" x14ac:dyDescent="0.15"/>
    <row r="31724" customFormat="1" ht="32.1" customHeight="1" x14ac:dyDescent="0.15"/>
    <row r="31725" customFormat="1" ht="32.1" customHeight="1" x14ac:dyDescent="0.15"/>
    <row r="31726" customFormat="1" ht="32.1" customHeight="1" x14ac:dyDescent="0.15"/>
    <row r="31727" customFormat="1" ht="32.1" customHeight="1" x14ac:dyDescent="0.15"/>
    <row r="31728" customFormat="1" ht="32.1" customHeight="1" x14ac:dyDescent="0.15"/>
    <row r="31729" s="76" customFormat="1" ht="32.1" customHeight="1" x14ac:dyDescent="0.15"/>
    <row r="31730" s="76" customFormat="1" ht="32.1" customHeight="1" x14ac:dyDescent="0.15"/>
    <row r="31731" s="76" customFormat="1" ht="32.1" customHeight="1" x14ac:dyDescent="0.15"/>
    <row r="31732" s="76" customFormat="1" ht="32.1" customHeight="1" x14ac:dyDescent="0.15"/>
    <row r="31733" s="76" customFormat="1" ht="21.95" customHeight="1" x14ac:dyDescent="0.15"/>
    <row r="31734" s="76" customFormat="1" ht="54" customHeight="1" x14ac:dyDescent="0.15"/>
    <row r="31735" s="76" customFormat="1" ht="21.95" customHeight="1" x14ac:dyDescent="0.15"/>
    <row r="31736" s="76" customFormat="1" ht="21.95" customHeight="1" x14ac:dyDescent="0.15"/>
    <row r="31737" s="76" customFormat="1" ht="21.95" customHeight="1" x14ac:dyDescent="0.15"/>
    <row r="31738" s="76" customFormat="1" ht="21.95" customHeight="1" x14ac:dyDescent="0.15"/>
    <row r="31739" s="76" customFormat="1" ht="21.95" customHeight="1" x14ac:dyDescent="0.15"/>
    <row r="31740" s="76" customFormat="1" ht="21.95" customHeight="1" x14ac:dyDescent="0.15"/>
    <row r="31741" s="76" customFormat="1" ht="21.95" customHeight="1" x14ac:dyDescent="0.15"/>
    <row r="31742" s="76" customFormat="1" ht="21.95" customHeight="1" x14ac:dyDescent="0.15"/>
    <row r="31743" s="76" customFormat="1" ht="21.95" customHeight="1" x14ac:dyDescent="0.15"/>
    <row r="31744" s="76" customFormat="1" ht="21.95" customHeight="1" x14ac:dyDescent="0.15"/>
    <row r="31745" s="76" customFormat="1" ht="21.95" customHeight="1" x14ac:dyDescent="0.15"/>
    <row r="31746" s="76" customFormat="1" ht="21.95" customHeight="1" x14ac:dyDescent="0.15"/>
    <row r="31747" s="76" customFormat="1" ht="21.95" customHeight="1" x14ac:dyDescent="0.15"/>
    <row r="31748" s="76" customFormat="1" ht="21.95" customHeight="1" x14ac:dyDescent="0.15"/>
    <row r="31749" s="76" customFormat="1" ht="21.95" customHeight="1" x14ac:dyDescent="0.15"/>
    <row r="31750" s="76" customFormat="1" ht="21.95" customHeight="1" x14ac:dyDescent="0.15"/>
    <row r="31751" s="76" customFormat="1" ht="21.95" customHeight="1" x14ac:dyDescent="0.15"/>
    <row r="31752" s="76" customFormat="1" ht="21.95" customHeight="1" x14ac:dyDescent="0.15"/>
    <row r="31753" s="76" customFormat="1" ht="21.95" customHeight="1" x14ac:dyDescent="0.15"/>
    <row r="31754" s="76" customFormat="1" ht="21.95" customHeight="1" x14ac:dyDescent="0.15"/>
    <row r="31755" s="76" customFormat="1" ht="21.95" customHeight="1" x14ac:dyDescent="0.15"/>
    <row r="31756" s="76" customFormat="1" ht="21.95" customHeight="1" x14ac:dyDescent="0.15"/>
    <row r="31757" s="76" customFormat="1" ht="21.95" customHeight="1" x14ac:dyDescent="0.15"/>
    <row r="31758" s="76" customFormat="1" ht="21.95" customHeight="1" x14ac:dyDescent="0.15"/>
    <row r="31759" s="76" customFormat="1" ht="21.95" customHeight="1" x14ac:dyDescent="0.15"/>
    <row r="31760" s="76" customFormat="1" ht="21.95" customHeight="1" x14ac:dyDescent="0.15"/>
    <row r="31761" s="76" customFormat="1" ht="21.95" customHeight="1" x14ac:dyDescent="0.15"/>
    <row r="31762" s="76" customFormat="1" ht="21.95" customHeight="1" x14ac:dyDescent="0.15"/>
    <row r="31763" s="76" customFormat="1" ht="21.95" customHeight="1" x14ac:dyDescent="0.15"/>
    <row r="31764" s="76" customFormat="1" ht="21.95" customHeight="1" x14ac:dyDescent="0.15"/>
    <row r="31765" s="76" customFormat="1" ht="21.95" customHeight="1" x14ac:dyDescent="0.15"/>
    <row r="31766" s="76" customFormat="1" ht="21.95" customHeight="1" x14ac:dyDescent="0.15"/>
    <row r="31767" s="76" customFormat="1" ht="21.95" customHeight="1" x14ac:dyDescent="0.15"/>
    <row r="31768" s="76" customFormat="1" ht="21.95" customHeight="1" x14ac:dyDescent="0.15"/>
    <row r="31769" s="76" customFormat="1" ht="21.95" customHeight="1" x14ac:dyDescent="0.15"/>
    <row r="31770" s="76" customFormat="1" ht="21.95" customHeight="1" x14ac:dyDescent="0.15"/>
    <row r="31771" s="76" customFormat="1" ht="21.95" customHeight="1" x14ac:dyDescent="0.15"/>
    <row r="31772" s="76" customFormat="1" ht="21.95" customHeight="1" x14ac:dyDescent="0.15"/>
    <row r="31773" s="76" customFormat="1" ht="21.95" customHeight="1" x14ac:dyDescent="0.15"/>
    <row r="31774" s="76" customFormat="1" ht="21.95" customHeight="1" x14ac:dyDescent="0.15"/>
    <row r="31775" s="76" customFormat="1" ht="21.95" customHeight="1" x14ac:dyDescent="0.15"/>
    <row r="31776" s="76" customFormat="1" ht="21.95" customHeight="1" x14ac:dyDescent="0.15"/>
    <row r="31777" s="76" customFormat="1" ht="21.95" customHeight="1" x14ac:dyDescent="0.15"/>
    <row r="31778" s="76" customFormat="1" ht="21.95" customHeight="1" x14ac:dyDescent="0.15"/>
    <row r="31779" s="76" customFormat="1" ht="21.95" customHeight="1" x14ac:dyDescent="0.15"/>
    <row r="31780" s="76" customFormat="1" ht="21.95" customHeight="1" x14ac:dyDescent="0.15"/>
    <row r="31781" s="76" customFormat="1" ht="21.95" customHeight="1" x14ac:dyDescent="0.15"/>
    <row r="31782" s="76" customFormat="1" ht="21.95" customHeight="1" x14ac:dyDescent="0.15"/>
    <row r="31783" s="76" customFormat="1" ht="21.95" customHeight="1" x14ac:dyDescent="0.15"/>
    <row r="31784" s="76" customFormat="1" ht="21.95" customHeight="1" x14ac:dyDescent="0.15"/>
    <row r="31785" s="76" customFormat="1" ht="35.1" customHeight="1" x14ac:dyDescent="0.15"/>
    <row r="31786" s="76" customFormat="1" ht="21.95" customHeight="1" x14ac:dyDescent="0.15"/>
    <row r="31787" s="76" customFormat="1" ht="21.95" customHeight="1" x14ac:dyDescent="0.15"/>
    <row r="31788" s="76" customFormat="1" ht="21.95" customHeight="1" x14ac:dyDescent="0.15"/>
    <row r="31789" s="76" customFormat="1" ht="21.95" customHeight="1" x14ac:dyDescent="0.15"/>
    <row r="31790" s="76" customFormat="1" ht="21.95" customHeight="1" x14ac:dyDescent="0.15"/>
    <row r="31791" s="76" customFormat="1" ht="21.95" customHeight="1" x14ac:dyDescent="0.15"/>
    <row r="31792" s="76" customFormat="1" ht="21.95" customHeight="1" x14ac:dyDescent="0.15"/>
    <row r="31793" s="76" customFormat="1" ht="21.95" customHeight="1" x14ac:dyDescent="0.15"/>
    <row r="31794" s="76" customFormat="1" ht="21.95" customHeight="1" x14ac:dyDescent="0.15"/>
    <row r="31795" s="76" customFormat="1" ht="21.95" customHeight="1" x14ac:dyDescent="0.15"/>
    <row r="31796" s="76" customFormat="1" ht="21.95" customHeight="1" x14ac:dyDescent="0.15"/>
    <row r="31797" s="76" customFormat="1" ht="21.95" customHeight="1" x14ac:dyDescent="0.15"/>
    <row r="31798" s="76" customFormat="1" ht="21.95" customHeight="1" x14ac:dyDescent="0.15"/>
    <row r="31799" s="76" customFormat="1" ht="21.95" customHeight="1" x14ac:dyDescent="0.15"/>
    <row r="31800" s="76" customFormat="1" ht="21.95" customHeight="1" x14ac:dyDescent="0.15"/>
    <row r="31801" s="76" customFormat="1" ht="21.95" customHeight="1" x14ac:dyDescent="0.15"/>
    <row r="31802" s="76" customFormat="1" ht="21.95" customHeight="1" x14ac:dyDescent="0.15"/>
    <row r="31803" s="76" customFormat="1" ht="21.95" customHeight="1" x14ac:dyDescent="0.15"/>
    <row r="31804" s="76" customFormat="1" ht="21.95" customHeight="1" x14ac:dyDescent="0.15"/>
    <row r="31805" s="76" customFormat="1" ht="21.95" customHeight="1" x14ac:dyDescent="0.15"/>
    <row r="31806" s="76" customFormat="1" ht="21.95" customHeight="1" x14ac:dyDescent="0.15"/>
    <row r="31807" s="76" customFormat="1" ht="21.95" customHeight="1" x14ac:dyDescent="0.15"/>
    <row r="31808" s="76" customFormat="1" ht="21.95" customHeight="1" x14ac:dyDescent="0.15"/>
    <row r="31809" spans="3:3" customFormat="1" ht="21.95" customHeight="1" x14ac:dyDescent="0.15"/>
    <row r="31810" spans="3:3" customFormat="1" ht="21.95" customHeight="1" x14ac:dyDescent="0.15"/>
    <row r="31811" spans="3:3" customFormat="1" ht="21.95" customHeight="1" x14ac:dyDescent="0.15">
      <c r="C31811" s="94"/>
    </row>
    <row r="31812" spans="3:3" customFormat="1" ht="21.95" customHeight="1" x14ac:dyDescent="0.15">
      <c r="C31812" s="94"/>
    </row>
    <row r="31813" spans="3:3" customFormat="1" ht="21.95" customHeight="1" x14ac:dyDescent="0.15"/>
    <row r="31814" spans="3:3" customFormat="1" ht="21.95" customHeight="1" x14ac:dyDescent="0.15"/>
    <row r="31815" spans="3:3" customFormat="1" ht="21.95" customHeight="1" x14ac:dyDescent="0.15"/>
    <row r="31816" spans="3:3" customFormat="1" ht="21.95" customHeight="1" x14ac:dyDescent="0.15"/>
    <row r="31817" spans="3:3" customFormat="1" ht="21.95" customHeight="1" x14ac:dyDescent="0.15"/>
    <row r="31818" spans="3:3" customFormat="1" ht="21.95" customHeight="1" x14ac:dyDescent="0.15"/>
    <row r="31819" spans="3:3" customFormat="1" ht="21.95" customHeight="1" x14ac:dyDescent="0.15"/>
    <row r="31820" spans="3:3" s="76" customFormat="1" ht="21.95" customHeight="1" x14ac:dyDescent="0.15"/>
    <row r="31821" spans="3:3" s="76" customFormat="1" ht="21.95" customHeight="1" x14ac:dyDescent="0.15"/>
    <row r="31822" spans="3:3" s="76" customFormat="1" ht="21.95" customHeight="1" x14ac:dyDescent="0.15"/>
    <row r="31823" spans="3:3" s="76" customFormat="1" ht="21.95" customHeight="1" x14ac:dyDescent="0.15"/>
    <row r="31824" spans="3:3" customFormat="1" ht="21.95" customHeight="1" x14ac:dyDescent="0.15"/>
    <row r="31825" customFormat="1" ht="21.95" customHeight="1" x14ac:dyDescent="0.15"/>
    <row r="31826" customFormat="1" ht="21.95" customHeight="1" x14ac:dyDescent="0.15"/>
    <row r="31827" customFormat="1" ht="21.95" customHeight="1" x14ac:dyDescent="0.15"/>
    <row r="31828" customFormat="1" ht="21.95" customHeight="1" x14ac:dyDescent="0.15"/>
    <row r="31829" customFormat="1" ht="21.95" customHeight="1" x14ac:dyDescent="0.15"/>
    <row r="31830" customFormat="1" ht="21.95" customHeight="1" x14ac:dyDescent="0.15"/>
    <row r="31831" customFormat="1" ht="21.95" customHeight="1" x14ac:dyDescent="0.15"/>
    <row r="31832" customFormat="1" ht="21.95" customHeight="1" x14ac:dyDescent="0.15"/>
    <row r="31833" customFormat="1" ht="21.95" customHeight="1" x14ac:dyDescent="0.15"/>
    <row r="31834" customFormat="1" ht="21.95" customHeight="1" x14ac:dyDescent="0.15"/>
    <row r="31835" customFormat="1" ht="32.1" customHeight="1" x14ac:dyDescent="0.15"/>
    <row r="31836" customFormat="1" ht="32.1" customHeight="1" x14ac:dyDescent="0.15"/>
    <row r="31837" customFormat="1" ht="32.1" customHeight="1" x14ac:dyDescent="0.15"/>
    <row r="31838" customFormat="1" ht="32.1" customHeight="1" x14ac:dyDescent="0.15"/>
    <row r="31839" customFormat="1" ht="32.1" customHeight="1" x14ac:dyDescent="0.15"/>
    <row r="31840" customFormat="1" ht="32.1" customHeight="1" x14ac:dyDescent="0.15"/>
    <row r="31841" s="76" customFormat="1" ht="32.1" customHeight="1" x14ac:dyDescent="0.15"/>
    <row r="31842" s="76" customFormat="1" ht="32.1" customHeight="1" x14ac:dyDescent="0.15"/>
    <row r="31843" s="76" customFormat="1" ht="32.1" customHeight="1" x14ac:dyDescent="0.15"/>
    <row r="31844" s="76" customFormat="1" ht="32.1" customHeight="1" x14ac:dyDescent="0.15"/>
    <row r="31845" s="76" customFormat="1" ht="21.95" customHeight="1" x14ac:dyDescent="0.15"/>
    <row r="31846" s="76" customFormat="1" ht="54" customHeight="1" x14ac:dyDescent="0.15"/>
    <row r="31847" s="76" customFormat="1" ht="21.95" customHeight="1" x14ac:dyDescent="0.15"/>
    <row r="31848" s="76" customFormat="1" ht="21.95" customHeight="1" x14ac:dyDescent="0.15"/>
    <row r="31849" s="76" customFormat="1" ht="21.95" customHeight="1" x14ac:dyDescent="0.15"/>
    <row r="31850" s="76" customFormat="1" ht="21.95" customHeight="1" x14ac:dyDescent="0.15"/>
    <row r="31851" s="76" customFormat="1" ht="21.95" customHeight="1" x14ac:dyDescent="0.15"/>
    <row r="31852" s="76" customFormat="1" ht="21.95" customHeight="1" x14ac:dyDescent="0.15"/>
    <row r="31853" s="76" customFormat="1" ht="21.95" customHeight="1" x14ac:dyDescent="0.15"/>
    <row r="31854" s="76" customFormat="1" ht="21.95" customHeight="1" x14ac:dyDescent="0.15"/>
    <row r="31855" s="76" customFormat="1" ht="21.95" customHeight="1" x14ac:dyDescent="0.15"/>
    <row r="31856" s="76" customFormat="1" ht="21.95" customHeight="1" x14ac:dyDescent="0.15"/>
    <row r="31857" s="76" customFormat="1" ht="21.95" customHeight="1" x14ac:dyDescent="0.15"/>
    <row r="31858" s="76" customFormat="1" ht="21.95" customHeight="1" x14ac:dyDescent="0.15"/>
    <row r="31859" s="76" customFormat="1" ht="21.95" customHeight="1" x14ac:dyDescent="0.15"/>
    <row r="31860" s="76" customFormat="1" ht="21.95" customHeight="1" x14ac:dyDescent="0.15"/>
    <row r="31861" s="76" customFormat="1" ht="21.95" customHeight="1" x14ac:dyDescent="0.15"/>
    <row r="31862" s="76" customFormat="1" ht="21.95" customHeight="1" x14ac:dyDescent="0.15"/>
    <row r="31863" s="76" customFormat="1" ht="21.95" customHeight="1" x14ac:dyDescent="0.15"/>
    <row r="31864" s="76" customFormat="1" ht="21.95" customHeight="1" x14ac:dyDescent="0.15"/>
    <row r="31865" s="76" customFormat="1" ht="21.95" customHeight="1" x14ac:dyDescent="0.15"/>
    <row r="31866" s="76" customFormat="1" ht="21.95" customHeight="1" x14ac:dyDescent="0.15"/>
    <row r="31867" s="76" customFormat="1" ht="21.95" customHeight="1" x14ac:dyDescent="0.15"/>
    <row r="31868" s="76" customFormat="1" ht="21.95" customHeight="1" x14ac:dyDescent="0.15"/>
    <row r="31869" s="76" customFormat="1" ht="21.95" customHeight="1" x14ac:dyDescent="0.15"/>
    <row r="31870" s="76" customFormat="1" ht="21.95" customHeight="1" x14ac:dyDescent="0.15"/>
    <row r="31871" s="76" customFormat="1" ht="21.95" customHeight="1" x14ac:dyDescent="0.15"/>
    <row r="31872" s="76" customFormat="1" ht="21.95" customHeight="1" x14ac:dyDescent="0.15"/>
    <row r="31873" s="76" customFormat="1" ht="21.95" customHeight="1" x14ac:dyDescent="0.15"/>
    <row r="31874" s="76" customFormat="1" ht="21.95" customHeight="1" x14ac:dyDescent="0.15"/>
    <row r="31875" s="76" customFormat="1" ht="21.95" customHeight="1" x14ac:dyDescent="0.15"/>
    <row r="31876" s="76" customFormat="1" ht="21.95" customHeight="1" x14ac:dyDescent="0.15"/>
    <row r="31877" s="76" customFormat="1" ht="21.95" customHeight="1" x14ac:dyDescent="0.15"/>
    <row r="31878" s="76" customFormat="1" ht="21.95" customHeight="1" x14ac:dyDescent="0.15"/>
    <row r="31879" s="76" customFormat="1" ht="21.95" customHeight="1" x14ac:dyDescent="0.15"/>
    <row r="31880" s="76" customFormat="1" ht="21.95" customHeight="1" x14ac:dyDescent="0.15"/>
    <row r="31881" s="76" customFormat="1" ht="21.95" customHeight="1" x14ac:dyDescent="0.15"/>
    <row r="31882" s="76" customFormat="1" ht="21.95" customHeight="1" x14ac:dyDescent="0.15"/>
    <row r="31883" s="76" customFormat="1" ht="21.95" customHeight="1" x14ac:dyDescent="0.15"/>
    <row r="31884" s="76" customFormat="1" ht="21.95" customHeight="1" x14ac:dyDescent="0.15"/>
    <row r="31885" s="76" customFormat="1" ht="21.95" customHeight="1" x14ac:dyDescent="0.15"/>
    <row r="31886" s="76" customFormat="1" ht="21.95" customHeight="1" x14ac:dyDescent="0.15"/>
    <row r="31887" s="76" customFormat="1" ht="21.95" customHeight="1" x14ac:dyDescent="0.15"/>
    <row r="31888" s="76" customFormat="1" ht="21.95" customHeight="1" x14ac:dyDescent="0.15"/>
    <row r="31889" s="76" customFormat="1" ht="21.95" customHeight="1" x14ac:dyDescent="0.15"/>
    <row r="31890" s="76" customFormat="1" ht="21.95" customHeight="1" x14ac:dyDescent="0.15"/>
    <row r="31891" s="76" customFormat="1" ht="21.95" customHeight="1" x14ac:dyDescent="0.15"/>
    <row r="31892" s="76" customFormat="1" ht="21.95" customHeight="1" x14ac:dyDescent="0.15"/>
    <row r="31893" s="76" customFormat="1" ht="21.95" customHeight="1" x14ac:dyDescent="0.15"/>
    <row r="31894" s="76" customFormat="1" ht="21.95" customHeight="1" x14ac:dyDescent="0.15"/>
    <row r="31895" s="76" customFormat="1" ht="21.95" customHeight="1" x14ac:dyDescent="0.15"/>
    <row r="31896" s="76" customFormat="1" ht="21.95" customHeight="1" x14ac:dyDescent="0.15"/>
    <row r="31897" s="76" customFormat="1" ht="35.1" customHeight="1" x14ac:dyDescent="0.15"/>
    <row r="31898" s="76" customFormat="1" ht="21.95" customHeight="1" x14ac:dyDescent="0.15"/>
    <row r="31899" s="76" customFormat="1" ht="21.95" customHeight="1" x14ac:dyDescent="0.15"/>
    <row r="31900" s="76" customFormat="1" ht="21.95" customHeight="1" x14ac:dyDescent="0.15"/>
    <row r="31901" s="76" customFormat="1" ht="21.95" customHeight="1" x14ac:dyDescent="0.15"/>
    <row r="31902" s="76" customFormat="1" ht="21.95" customHeight="1" x14ac:dyDescent="0.15"/>
    <row r="31903" s="76" customFormat="1" ht="21.95" customHeight="1" x14ac:dyDescent="0.15"/>
    <row r="31904" s="76" customFormat="1" ht="21.95" customHeight="1" x14ac:dyDescent="0.15"/>
    <row r="31905" s="76" customFormat="1" ht="21.95" customHeight="1" x14ac:dyDescent="0.15"/>
    <row r="31906" s="76" customFormat="1" ht="21.95" customHeight="1" x14ac:dyDescent="0.15"/>
    <row r="31907" s="76" customFormat="1" ht="21.95" customHeight="1" x14ac:dyDescent="0.15"/>
    <row r="31908" s="76" customFormat="1" ht="21.95" customHeight="1" x14ac:dyDescent="0.15"/>
    <row r="31909" s="76" customFormat="1" ht="21.95" customHeight="1" x14ac:dyDescent="0.15"/>
    <row r="31910" s="76" customFormat="1" ht="21.95" customHeight="1" x14ac:dyDescent="0.15"/>
    <row r="31911" s="76" customFormat="1" ht="21.95" customHeight="1" x14ac:dyDescent="0.15"/>
    <row r="31912" s="76" customFormat="1" ht="21.95" customHeight="1" x14ac:dyDescent="0.15"/>
    <row r="31913" s="76" customFormat="1" ht="21.95" customHeight="1" x14ac:dyDescent="0.15"/>
    <row r="31914" s="76" customFormat="1" ht="21.95" customHeight="1" x14ac:dyDescent="0.15"/>
    <row r="31915" s="76" customFormat="1" ht="21.95" customHeight="1" x14ac:dyDescent="0.15"/>
    <row r="31916" s="76" customFormat="1" ht="21.95" customHeight="1" x14ac:dyDescent="0.15"/>
    <row r="31917" s="76" customFormat="1" ht="21.95" customHeight="1" x14ac:dyDescent="0.15"/>
    <row r="31918" s="76" customFormat="1" ht="21.95" customHeight="1" x14ac:dyDescent="0.15"/>
    <row r="31919" s="76" customFormat="1" ht="21.95" customHeight="1" x14ac:dyDescent="0.15"/>
    <row r="31920" s="76" customFormat="1" ht="21.95" customHeight="1" x14ac:dyDescent="0.15"/>
    <row r="31921" spans="3:3" customFormat="1" ht="21.95" customHeight="1" x14ac:dyDescent="0.15"/>
    <row r="31922" spans="3:3" customFormat="1" ht="21.95" customHeight="1" x14ac:dyDescent="0.15"/>
    <row r="31923" spans="3:3" customFormat="1" ht="21.95" customHeight="1" x14ac:dyDescent="0.15">
      <c r="C31923" s="94"/>
    </row>
    <row r="31924" spans="3:3" customFormat="1" ht="21.95" customHeight="1" x14ac:dyDescent="0.15">
      <c r="C31924" s="94"/>
    </row>
    <row r="31925" spans="3:3" customFormat="1" ht="21.95" customHeight="1" x14ac:dyDescent="0.15"/>
    <row r="31926" spans="3:3" customFormat="1" ht="21.95" customHeight="1" x14ac:dyDescent="0.15"/>
    <row r="31927" spans="3:3" customFormat="1" ht="21.95" customHeight="1" x14ac:dyDescent="0.15"/>
    <row r="31928" spans="3:3" customFormat="1" ht="21.95" customHeight="1" x14ac:dyDescent="0.15"/>
    <row r="31929" spans="3:3" customFormat="1" ht="21.95" customHeight="1" x14ac:dyDescent="0.15"/>
    <row r="31930" spans="3:3" customFormat="1" ht="21.95" customHeight="1" x14ac:dyDescent="0.15"/>
    <row r="31931" spans="3:3" customFormat="1" ht="21.95" customHeight="1" x14ac:dyDescent="0.15"/>
    <row r="31932" spans="3:3" s="76" customFormat="1" ht="21.95" customHeight="1" x14ac:dyDescent="0.15"/>
    <row r="31933" spans="3:3" s="76" customFormat="1" ht="21.95" customHeight="1" x14ac:dyDescent="0.15"/>
    <row r="31934" spans="3:3" s="76" customFormat="1" ht="21.95" customHeight="1" x14ac:dyDescent="0.15"/>
    <row r="31935" spans="3:3" s="76" customFormat="1" ht="21.95" customHeight="1" x14ac:dyDescent="0.15"/>
    <row r="31936" spans="3:3" customFormat="1" ht="21.95" customHeight="1" x14ac:dyDescent="0.15"/>
    <row r="31937" customFormat="1" ht="21.95" customHeight="1" x14ac:dyDescent="0.15"/>
    <row r="31938" customFormat="1" ht="21.95" customHeight="1" x14ac:dyDescent="0.15"/>
    <row r="31939" customFormat="1" ht="21.95" customHeight="1" x14ac:dyDescent="0.15"/>
    <row r="31940" customFormat="1" ht="21.95" customHeight="1" x14ac:dyDescent="0.15"/>
    <row r="31941" customFormat="1" ht="21.95" customHeight="1" x14ac:dyDescent="0.15"/>
    <row r="31942" customFormat="1" ht="21.95" customHeight="1" x14ac:dyDescent="0.15"/>
    <row r="31943" customFormat="1" ht="21.95" customHeight="1" x14ac:dyDescent="0.15"/>
    <row r="31944" customFormat="1" ht="21.95" customHeight="1" x14ac:dyDescent="0.15"/>
    <row r="31945" customFormat="1" ht="21.95" customHeight="1" x14ac:dyDescent="0.15"/>
    <row r="31946" customFormat="1" ht="21.95" customHeight="1" x14ac:dyDescent="0.15"/>
    <row r="31947" customFormat="1" ht="32.1" customHeight="1" x14ac:dyDescent="0.15"/>
    <row r="31948" customFormat="1" ht="32.1" customHeight="1" x14ac:dyDescent="0.15"/>
    <row r="31949" customFormat="1" ht="32.1" customHeight="1" x14ac:dyDescent="0.15"/>
    <row r="31950" customFormat="1" ht="32.1" customHeight="1" x14ac:dyDescent="0.15"/>
    <row r="31951" customFormat="1" ht="32.1" customHeight="1" x14ac:dyDescent="0.15"/>
    <row r="31952" customFormat="1" ht="32.1" customHeight="1" x14ac:dyDescent="0.15"/>
    <row r="31953" s="76" customFormat="1" ht="32.1" customHeight="1" x14ac:dyDescent="0.15"/>
    <row r="31954" s="76" customFormat="1" ht="32.1" customHeight="1" x14ac:dyDescent="0.15"/>
    <row r="31955" s="76" customFormat="1" ht="32.1" customHeight="1" x14ac:dyDescent="0.15"/>
    <row r="31956" s="76" customFormat="1" ht="32.1" customHeight="1" x14ac:dyDescent="0.15"/>
    <row r="31957" s="76" customFormat="1" ht="21.95" customHeight="1" x14ac:dyDescent="0.15"/>
    <row r="31958" s="76" customFormat="1" ht="54" customHeight="1" x14ac:dyDescent="0.15"/>
    <row r="31959" s="76" customFormat="1" ht="21.95" customHeight="1" x14ac:dyDescent="0.15"/>
    <row r="31960" s="76" customFormat="1" ht="21.95" customHeight="1" x14ac:dyDescent="0.15"/>
    <row r="31961" s="76" customFormat="1" ht="21.95" customHeight="1" x14ac:dyDescent="0.15"/>
    <row r="31962" s="76" customFormat="1" ht="21.95" customHeight="1" x14ac:dyDescent="0.15"/>
    <row r="31963" s="76" customFormat="1" ht="21.95" customHeight="1" x14ac:dyDescent="0.15"/>
    <row r="31964" s="76" customFormat="1" ht="21.95" customHeight="1" x14ac:dyDescent="0.15"/>
    <row r="31965" s="76" customFormat="1" ht="21.95" customHeight="1" x14ac:dyDescent="0.15"/>
    <row r="31966" s="76" customFormat="1" ht="21.95" customHeight="1" x14ac:dyDescent="0.15"/>
    <row r="31967" s="76" customFormat="1" ht="21.95" customHeight="1" x14ac:dyDescent="0.15"/>
    <row r="31968" s="76" customFormat="1" ht="21.95" customHeight="1" x14ac:dyDescent="0.15"/>
    <row r="31969" s="76" customFormat="1" ht="21.95" customHeight="1" x14ac:dyDescent="0.15"/>
    <row r="31970" s="76" customFormat="1" ht="21.95" customHeight="1" x14ac:dyDescent="0.15"/>
    <row r="31971" s="76" customFormat="1" ht="21.95" customHeight="1" x14ac:dyDescent="0.15"/>
    <row r="31972" s="76" customFormat="1" ht="21.95" customHeight="1" x14ac:dyDescent="0.15"/>
    <row r="31973" s="76" customFormat="1" ht="21.95" customHeight="1" x14ac:dyDescent="0.15"/>
    <row r="31974" s="76" customFormat="1" ht="21.95" customHeight="1" x14ac:dyDescent="0.15"/>
    <row r="31975" s="76" customFormat="1" ht="21.95" customHeight="1" x14ac:dyDescent="0.15"/>
    <row r="31976" s="76" customFormat="1" ht="21.95" customHeight="1" x14ac:dyDescent="0.15"/>
    <row r="31977" s="76" customFormat="1" ht="21.95" customHeight="1" x14ac:dyDescent="0.15"/>
    <row r="31978" s="76" customFormat="1" ht="21.95" customHeight="1" x14ac:dyDescent="0.15"/>
    <row r="31979" s="76" customFormat="1" ht="21.95" customHeight="1" x14ac:dyDescent="0.15"/>
    <row r="31980" s="76" customFormat="1" ht="21.95" customHeight="1" x14ac:dyDescent="0.15"/>
    <row r="31981" s="76" customFormat="1" ht="21.95" customHeight="1" x14ac:dyDescent="0.15"/>
    <row r="31982" s="76" customFormat="1" ht="21.95" customHeight="1" x14ac:dyDescent="0.15"/>
    <row r="31983" s="76" customFormat="1" ht="21.95" customHeight="1" x14ac:dyDescent="0.15"/>
    <row r="31984" s="76" customFormat="1" ht="21.95" customHeight="1" x14ac:dyDescent="0.15"/>
    <row r="31985" s="76" customFormat="1" ht="21.95" customHeight="1" x14ac:dyDescent="0.15"/>
    <row r="31986" s="76" customFormat="1" ht="21.95" customHeight="1" x14ac:dyDescent="0.15"/>
    <row r="31987" s="76" customFormat="1" ht="21.95" customHeight="1" x14ac:dyDescent="0.15"/>
    <row r="31988" s="76" customFormat="1" ht="21.95" customHeight="1" x14ac:dyDescent="0.15"/>
    <row r="31989" s="76" customFormat="1" ht="21.95" customHeight="1" x14ac:dyDescent="0.15"/>
    <row r="31990" s="76" customFormat="1" ht="21.95" customHeight="1" x14ac:dyDescent="0.15"/>
    <row r="31991" s="76" customFormat="1" ht="21.95" customHeight="1" x14ac:dyDescent="0.15"/>
    <row r="31992" s="76" customFormat="1" ht="21.95" customHeight="1" x14ac:dyDescent="0.15"/>
    <row r="31993" s="76" customFormat="1" ht="21.95" customHeight="1" x14ac:dyDescent="0.15"/>
    <row r="31994" s="76" customFormat="1" ht="21.95" customHeight="1" x14ac:dyDescent="0.15"/>
    <row r="31995" s="76" customFormat="1" ht="21.95" customHeight="1" x14ac:dyDescent="0.15"/>
    <row r="31996" s="76" customFormat="1" ht="21.95" customHeight="1" x14ac:dyDescent="0.15"/>
    <row r="31997" s="76" customFormat="1" ht="21.95" customHeight="1" x14ac:dyDescent="0.15"/>
    <row r="31998" s="76" customFormat="1" ht="21.95" customHeight="1" x14ac:dyDescent="0.15"/>
    <row r="31999" s="76" customFormat="1" ht="21.95" customHeight="1" x14ac:dyDescent="0.15"/>
    <row r="32000" s="76" customFormat="1" ht="21.95" customHeight="1" x14ac:dyDescent="0.15"/>
    <row r="32001" s="76" customFormat="1" ht="21.95" customHeight="1" x14ac:dyDescent="0.15"/>
    <row r="32002" s="76" customFormat="1" ht="21.95" customHeight="1" x14ac:dyDescent="0.15"/>
    <row r="32003" s="76" customFormat="1" ht="21.95" customHeight="1" x14ac:dyDescent="0.15"/>
    <row r="32004" s="76" customFormat="1" ht="21.95" customHeight="1" x14ac:dyDescent="0.15"/>
    <row r="32005" s="76" customFormat="1" ht="21.95" customHeight="1" x14ac:dyDescent="0.15"/>
    <row r="32006" s="76" customFormat="1" ht="21.95" customHeight="1" x14ac:dyDescent="0.15"/>
    <row r="32007" s="76" customFormat="1" ht="21.95" customHeight="1" x14ac:dyDescent="0.15"/>
    <row r="32008" s="76" customFormat="1" ht="21.95" customHeight="1" x14ac:dyDescent="0.15"/>
    <row r="32009" s="76" customFormat="1" ht="35.1" customHeight="1" x14ac:dyDescent="0.15"/>
    <row r="32010" s="76" customFormat="1" ht="21.95" customHeight="1" x14ac:dyDescent="0.15"/>
    <row r="32011" s="76" customFormat="1" ht="21.95" customHeight="1" x14ac:dyDescent="0.15"/>
    <row r="32012" s="76" customFormat="1" ht="21.95" customHeight="1" x14ac:dyDescent="0.15"/>
    <row r="32013" s="76" customFormat="1" ht="21.95" customHeight="1" x14ac:dyDescent="0.15"/>
    <row r="32014" s="76" customFormat="1" ht="21.95" customHeight="1" x14ac:dyDescent="0.15"/>
    <row r="32015" s="76" customFormat="1" ht="21.95" customHeight="1" x14ac:dyDescent="0.15"/>
    <row r="32016" s="76" customFormat="1" ht="21.95" customHeight="1" x14ac:dyDescent="0.15"/>
    <row r="32017" s="76" customFormat="1" ht="21.95" customHeight="1" x14ac:dyDescent="0.15"/>
    <row r="32018" s="76" customFormat="1" ht="21.95" customHeight="1" x14ac:dyDescent="0.15"/>
    <row r="32019" s="76" customFormat="1" ht="21.95" customHeight="1" x14ac:dyDescent="0.15"/>
    <row r="32020" s="76" customFormat="1" ht="21.95" customHeight="1" x14ac:dyDescent="0.15"/>
    <row r="32021" s="76" customFormat="1" ht="21.95" customHeight="1" x14ac:dyDescent="0.15"/>
    <row r="32022" s="76" customFormat="1" ht="21.95" customHeight="1" x14ac:dyDescent="0.15"/>
    <row r="32023" s="76" customFormat="1" ht="21.95" customHeight="1" x14ac:dyDescent="0.15"/>
    <row r="32024" s="76" customFormat="1" ht="21.95" customHeight="1" x14ac:dyDescent="0.15"/>
    <row r="32025" s="76" customFormat="1" ht="21.95" customHeight="1" x14ac:dyDescent="0.15"/>
    <row r="32026" s="76" customFormat="1" ht="21.95" customHeight="1" x14ac:dyDescent="0.15"/>
    <row r="32027" s="76" customFormat="1" ht="21.95" customHeight="1" x14ac:dyDescent="0.15"/>
    <row r="32028" s="76" customFormat="1" ht="21.95" customHeight="1" x14ac:dyDescent="0.15"/>
    <row r="32029" s="76" customFormat="1" ht="21.95" customHeight="1" x14ac:dyDescent="0.15"/>
    <row r="32030" s="76" customFormat="1" ht="21.95" customHeight="1" x14ac:dyDescent="0.15"/>
    <row r="32031" s="76" customFormat="1" ht="21.95" customHeight="1" x14ac:dyDescent="0.15"/>
    <row r="32032" s="76" customFormat="1" ht="21.95" customHeight="1" x14ac:dyDescent="0.15"/>
    <row r="32033" spans="3:3" customFormat="1" ht="21.95" customHeight="1" x14ac:dyDescent="0.15"/>
    <row r="32034" spans="3:3" customFormat="1" ht="21.95" customHeight="1" x14ac:dyDescent="0.15"/>
    <row r="32035" spans="3:3" customFormat="1" ht="21.95" customHeight="1" x14ac:dyDescent="0.15">
      <c r="C32035" s="94"/>
    </row>
    <row r="32036" spans="3:3" customFormat="1" ht="21.95" customHeight="1" x14ac:dyDescent="0.15">
      <c r="C32036" s="94"/>
    </row>
    <row r="32037" spans="3:3" customFormat="1" ht="21.95" customHeight="1" x14ac:dyDescent="0.15"/>
    <row r="32038" spans="3:3" customFormat="1" ht="21.95" customHeight="1" x14ac:dyDescent="0.15"/>
    <row r="32039" spans="3:3" customFormat="1" ht="21.95" customHeight="1" x14ac:dyDescent="0.15"/>
    <row r="32040" spans="3:3" customFormat="1" ht="21.95" customHeight="1" x14ac:dyDescent="0.15"/>
    <row r="32041" spans="3:3" customFormat="1" ht="21.95" customHeight="1" x14ac:dyDescent="0.15"/>
    <row r="32042" spans="3:3" customFormat="1" ht="21.95" customHeight="1" x14ac:dyDescent="0.15"/>
    <row r="32043" spans="3:3" customFormat="1" ht="21.95" customHeight="1" x14ac:dyDescent="0.15"/>
    <row r="32044" spans="3:3" s="76" customFormat="1" ht="21.95" customHeight="1" x14ac:dyDescent="0.15"/>
    <row r="32045" spans="3:3" s="76" customFormat="1" ht="21.95" customHeight="1" x14ac:dyDescent="0.15"/>
    <row r="32046" spans="3:3" s="76" customFormat="1" ht="21.95" customHeight="1" x14ac:dyDescent="0.15"/>
    <row r="32047" spans="3:3" s="76" customFormat="1" ht="21.95" customHeight="1" x14ac:dyDescent="0.15"/>
    <row r="32048" spans="3:3" customFormat="1" ht="21.95" customHeight="1" x14ac:dyDescent="0.15"/>
    <row r="32049" customFormat="1" ht="21.95" customHeight="1" x14ac:dyDescent="0.15"/>
    <row r="32050" customFormat="1" ht="21.95" customHeight="1" x14ac:dyDescent="0.15"/>
    <row r="32051" customFormat="1" ht="21.95" customHeight="1" x14ac:dyDescent="0.15"/>
    <row r="32052" customFormat="1" ht="21.95" customHeight="1" x14ac:dyDescent="0.15"/>
    <row r="32053" customFormat="1" ht="21.95" customHeight="1" x14ac:dyDescent="0.15"/>
    <row r="32054" customFormat="1" ht="21.95" customHeight="1" x14ac:dyDescent="0.15"/>
    <row r="32055" customFormat="1" ht="21.95" customHeight="1" x14ac:dyDescent="0.15"/>
    <row r="32056" customFormat="1" ht="21.95" customHeight="1" x14ac:dyDescent="0.15"/>
    <row r="32057" customFormat="1" ht="21.95" customHeight="1" x14ac:dyDescent="0.15"/>
    <row r="32058" customFormat="1" ht="21.95" customHeight="1" x14ac:dyDescent="0.15"/>
    <row r="32059" customFormat="1" ht="32.1" customHeight="1" x14ac:dyDescent="0.15"/>
    <row r="32060" customFormat="1" ht="32.1" customHeight="1" x14ac:dyDescent="0.15"/>
    <row r="32061" customFormat="1" ht="32.1" customHeight="1" x14ac:dyDescent="0.15"/>
    <row r="32062" customFormat="1" ht="32.1" customHeight="1" x14ac:dyDescent="0.15"/>
    <row r="32063" customFormat="1" ht="32.1" customHeight="1" x14ac:dyDescent="0.15"/>
    <row r="32064" customFormat="1" ht="32.1" customHeight="1" x14ac:dyDescent="0.15"/>
    <row r="32065" s="76" customFormat="1" ht="32.1" customHeight="1" x14ac:dyDescent="0.15"/>
    <row r="32066" s="76" customFormat="1" ht="32.1" customHeight="1" x14ac:dyDescent="0.15"/>
    <row r="32067" s="76" customFormat="1" ht="32.1" customHeight="1" x14ac:dyDescent="0.15"/>
    <row r="32068" s="76" customFormat="1" ht="32.1" customHeight="1" x14ac:dyDescent="0.15"/>
    <row r="32069" s="76" customFormat="1" ht="21.95" customHeight="1" x14ac:dyDescent="0.15"/>
    <row r="32070" s="76" customFormat="1" ht="54" customHeight="1" x14ac:dyDescent="0.15"/>
    <row r="32071" s="76" customFormat="1" ht="21.95" customHeight="1" x14ac:dyDescent="0.15"/>
    <row r="32072" s="76" customFormat="1" ht="21.95" customHeight="1" x14ac:dyDescent="0.15"/>
    <row r="32073" s="76" customFormat="1" ht="21.95" customHeight="1" x14ac:dyDescent="0.15"/>
    <row r="32074" s="76" customFormat="1" ht="21.95" customHeight="1" x14ac:dyDescent="0.15"/>
    <row r="32075" s="76" customFormat="1" ht="21.95" customHeight="1" x14ac:dyDescent="0.15"/>
    <row r="32076" s="76" customFormat="1" ht="21.95" customHeight="1" x14ac:dyDescent="0.15"/>
    <row r="32077" s="76" customFormat="1" ht="21.95" customHeight="1" x14ac:dyDescent="0.15"/>
    <row r="32078" s="76" customFormat="1" ht="21.95" customHeight="1" x14ac:dyDescent="0.15"/>
    <row r="32079" s="76" customFormat="1" ht="21.95" customHeight="1" x14ac:dyDescent="0.15"/>
    <row r="32080" s="76" customFormat="1" ht="21.95" customHeight="1" x14ac:dyDescent="0.15"/>
    <row r="32081" s="76" customFormat="1" ht="21.95" customHeight="1" x14ac:dyDescent="0.15"/>
    <row r="32082" s="76" customFormat="1" ht="21.95" customHeight="1" x14ac:dyDescent="0.15"/>
    <row r="32083" s="76" customFormat="1" ht="21.95" customHeight="1" x14ac:dyDescent="0.15"/>
    <row r="32084" s="76" customFormat="1" ht="21.95" customHeight="1" x14ac:dyDescent="0.15"/>
    <row r="32085" s="76" customFormat="1" ht="21.95" customHeight="1" x14ac:dyDescent="0.15"/>
    <row r="32086" s="76" customFormat="1" ht="21.95" customHeight="1" x14ac:dyDescent="0.15"/>
    <row r="32087" s="76" customFormat="1" ht="21.95" customHeight="1" x14ac:dyDescent="0.15"/>
    <row r="32088" s="76" customFormat="1" ht="21.95" customHeight="1" x14ac:dyDescent="0.15"/>
    <row r="32089" s="76" customFormat="1" ht="21.95" customHeight="1" x14ac:dyDescent="0.15"/>
    <row r="32090" s="76" customFormat="1" ht="21.95" customHeight="1" x14ac:dyDescent="0.15"/>
    <row r="32091" s="76" customFormat="1" ht="21.95" customHeight="1" x14ac:dyDescent="0.15"/>
    <row r="32092" s="76" customFormat="1" ht="21.95" customHeight="1" x14ac:dyDescent="0.15"/>
    <row r="32093" s="76" customFormat="1" ht="21.95" customHeight="1" x14ac:dyDescent="0.15"/>
    <row r="32094" s="76" customFormat="1" ht="21.95" customHeight="1" x14ac:dyDescent="0.15"/>
    <row r="32095" s="76" customFormat="1" ht="21.95" customHeight="1" x14ac:dyDescent="0.15"/>
    <row r="32096" s="76" customFormat="1" ht="21.95" customHeight="1" x14ac:dyDescent="0.15"/>
    <row r="32097" s="76" customFormat="1" ht="21.95" customHeight="1" x14ac:dyDescent="0.15"/>
    <row r="32098" s="76" customFormat="1" ht="21.95" customHeight="1" x14ac:dyDescent="0.15"/>
    <row r="32099" s="76" customFormat="1" ht="21.95" customHeight="1" x14ac:dyDescent="0.15"/>
    <row r="32100" s="76" customFormat="1" ht="21.95" customHeight="1" x14ac:dyDescent="0.15"/>
    <row r="32101" s="76" customFormat="1" ht="21.95" customHeight="1" x14ac:dyDescent="0.15"/>
    <row r="32102" s="76" customFormat="1" ht="21.95" customHeight="1" x14ac:dyDescent="0.15"/>
    <row r="32103" s="76" customFormat="1" ht="21.95" customHeight="1" x14ac:dyDescent="0.15"/>
    <row r="32104" s="76" customFormat="1" ht="21.95" customHeight="1" x14ac:dyDescent="0.15"/>
    <row r="32105" s="76" customFormat="1" ht="21.95" customHeight="1" x14ac:dyDescent="0.15"/>
    <row r="32106" s="76" customFormat="1" ht="21.95" customHeight="1" x14ac:dyDescent="0.15"/>
    <row r="32107" s="76" customFormat="1" ht="21.95" customHeight="1" x14ac:dyDescent="0.15"/>
    <row r="32108" s="76" customFormat="1" ht="21.95" customHeight="1" x14ac:dyDescent="0.15"/>
    <row r="32109" s="76" customFormat="1" ht="21.95" customHeight="1" x14ac:dyDescent="0.15"/>
    <row r="32110" s="76" customFormat="1" ht="21.95" customHeight="1" x14ac:dyDescent="0.15"/>
    <row r="32111" s="76" customFormat="1" ht="21.95" customHeight="1" x14ac:dyDescent="0.15"/>
    <row r="32112" s="76" customFormat="1" ht="21.95" customHeight="1" x14ac:dyDescent="0.15"/>
    <row r="32113" s="76" customFormat="1" ht="21.95" customHeight="1" x14ac:dyDescent="0.15"/>
    <row r="32114" s="76" customFormat="1" ht="21.95" customHeight="1" x14ac:dyDescent="0.15"/>
    <row r="32115" s="76" customFormat="1" ht="21.95" customHeight="1" x14ac:dyDescent="0.15"/>
    <row r="32116" s="76" customFormat="1" ht="21.95" customHeight="1" x14ac:dyDescent="0.15"/>
    <row r="32117" s="76" customFormat="1" ht="21.95" customHeight="1" x14ac:dyDescent="0.15"/>
    <row r="32118" s="76" customFormat="1" ht="21.95" customHeight="1" x14ac:dyDescent="0.15"/>
    <row r="32119" s="76" customFormat="1" ht="21.95" customHeight="1" x14ac:dyDescent="0.15"/>
    <row r="32120" s="76" customFormat="1" ht="21.95" customHeight="1" x14ac:dyDescent="0.15"/>
    <row r="32121" s="76" customFormat="1" ht="35.1" customHeight="1" x14ac:dyDescent="0.15"/>
    <row r="32122" s="76" customFormat="1" ht="21.95" customHeight="1" x14ac:dyDescent="0.15"/>
    <row r="32123" s="76" customFormat="1" ht="21.95" customHeight="1" x14ac:dyDescent="0.15"/>
    <row r="32124" s="76" customFormat="1" ht="21.95" customHeight="1" x14ac:dyDescent="0.15"/>
    <row r="32125" s="76" customFormat="1" ht="21.95" customHeight="1" x14ac:dyDescent="0.15"/>
    <row r="32126" s="76" customFormat="1" ht="21.95" customHeight="1" x14ac:dyDescent="0.15"/>
    <row r="32127" s="76" customFormat="1" ht="21.95" customHeight="1" x14ac:dyDescent="0.15"/>
    <row r="32128" s="76" customFormat="1" ht="21.95" customHeight="1" x14ac:dyDescent="0.15"/>
    <row r="32129" s="76" customFormat="1" ht="21.95" customHeight="1" x14ac:dyDescent="0.15"/>
    <row r="32130" s="76" customFormat="1" ht="21.95" customHeight="1" x14ac:dyDescent="0.15"/>
    <row r="32131" s="76" customFormat="1" ht="21.95" customHeight="1" x14ac:dyDescent="0.15"/>
    <row r="32132" s="76" customFormat="1" ht="21.95" customHeight="1" x14ac:dyDescent="0.15"/>
    <row r="32133" s="76" customFormat="1" ht="21.95" customHeight="1" x14ac:dyDescent="0.15"/>
    <row r="32134" s="76" customFormat="1" ht="21.95" customHeight="1" x14ac:dyDescent="0.15"/>
    <row r="32135" s="76" customFormat="1" ht="21.95" customHeight="1" x14ac:dyDescent="0.15"/>
    <row r="32136" s="76" customFormat="1" ht="21.95" customHeight="1" x14ac:dyDescent="0.15"/>
    <row r="32137" s="76" customFormat="1" ht="21.95" customHeight="1" x14ac:dyDescent="0.15"/>
    <row r="32138" s="76" customFormat="1" ht="21.95" customHeight="1" x14ac:dyDescent="0.15"/>
    <row r="32139" s="76" customFormat="1" ht="21.95" customHeight="1" x14ac:dyDescent="0.15"/>
    <row r="32140" s="76" customFormat="1" ht="21.95" customHeight="1" x14ac:dyDescent="0.15"/>
    <row r="32141" s="76" customFormat="1" ht="21.95" customHeight="1" x14ac:dyDescent="0.15"/>
    <row r="32142" s="76" customFormat="1" ht="21.95" customHeight="1" x14ac:dyDescent="0.15"/>
    <row r="32143" s="76" customFormat="1" ht="21.95" customHeight="1" x14ac:dyDescent="0.15"/>
    <row r="32144" s="76" customFormat="1" ht="21.95" customHeight="1" x14ac:dyDescent="0.15"/>
    <row r="32145" spans="3:3" customFormat="1" ht="21.95" customHeight="1" x14ac:dyDescent="0.15"/>
    <row r="32146" spans="3:3" customFormat="1" ht="21.95" customHeight="1" x14ac:dyDescent="0.15"/>
    <row r="32147" spans="3:3" customFormat="1" ht="21.95" customHeight="1" x14ac:dyDescent="0.15">
      <c r="C32147" s="94"/>
    </row>
    <row r="32148" spans="3:3" customFormat="1" ht="21.95" customHeight="1" x14ac:dyDescent="0.15">
      <c r="C32148" s="94"/>
    </row>
    <row r="32149" spans="3:3" customFormat="1" ht="21.95" customHeight="1" x14ac:dyDescent="0.15"/>
    <row r="32150" spans="3:3" customFormat="1" ht="21.95" customHeight="1" x14ac:dyDescent="0.15"/>
    <row r="32151" spans="3:3" customFormat="1" ht="21.95" customHeight="1" x14ac:dyDescent="0.15"/>
    <row r="32152" spans="3:3" customFormat="1" ht="21.95" customHeight="1" x14ac:dyDescent="0.15"/>
    <row r="32153" spans="3:3" customFormat="1" ht="21.95" customHeight="1" x14ac:dyDescent="0.15"/>
    <row r="32154" spans="3:3" customFormat="1" ht="21.95" customHeight="1" x14ac:dyDescent="0.15"/>
    <row r="32155" spans="3:3" customFormat="1" ht="21.95" customHeight="1" x14ac:dyDescent="0.15"/>
    <row r="32156" spans="3:3" s="76" customFormat="1" ht="21.95" customHeight="1" x14ac:dyDescent="0.15"/>
    <row r="32157" spans="3:3" s="76" customFormat="1" ht="21.95" customHeight="1" x14ac:dyDescent="0.15"/>
    <row r="32158" spans="3:3" s="76" customFormat="1" ht="21.95" customHeight="1" x14ac:dyDescent="0.15"/>
    <row r="32159" spans="3:3" s="76" customFormat="1" ht="21.95" customHeight="1" x14ac:dyDescent="0.15"/>
    <row r="32160" spans="3:3" customFormat="1" ht="21.95" customHeight="1" x14ac:dyDescent="0.15"/>
    <row r="32161" customFormat="1" ht="21.95" customHeight="1" x14ac:dyDescent="0.15"/>
    <row r="32162" customFormat="1" ht="21.95" customHeight="1" x14ac:dyDescent="0.15"/>
    <row r="32163" customFormat="1" ht="21.95" customHeight="1" x14ac:dyDescent="0.15"/>
    <row r="32164" customFormat="1" ht="21.95" customHeight="1" x14ac:dyDescent="0.15"/>
    <row r="32165" customFormat="1" ht="21.95" customHeight="1" x14ac:dyDescent="0.15"/>
    <row r="32166" customFormat="1" ht="21.95" customHeight="1" x14ac:dyDescent="0.15"/>
    <row r="32167" customFormat="1" ht="21.95" customHeight="1" x14ac:dyDescent="0.15"/>
    <row r="32168" customFormat="1" ht="21.95" customHeight="1" x14ac:dyDescent="0.15"/>
    <row r="32169" customFormat="1" ht="21.95" customHeight="1" x14ac:dyDescent="0.15"/>
    <row r="32170" customFormat="1" ht="21.95" customHeight="1" x14ac:dyDescent="0.15"/>
    <row r="32171" customFormat="1" ht="32.1" customHeight="1" x14ac:dyDescent="0.15"/>
    <row r="32172" customFormat="1" ht="32.1" customHeight="1" x14ac:dyDescent="0.15"/>
    <row r="32173" customFormat="1" ht="32.1" customHeight="1" x14ac:dyDescent="0.15"/>
    <row r="32174" customFormat="1" ht="32.1" customHeight="1" x14ac:dyDescent="0.15"/>
    <row r="32175" customFormat="1" ht="32.1" customHeight="1" x14ac:dyDescent="0.15"/>
    <row r="32176" customFormat="1" ht="32.1" customHeight="1" x14ac:dyDescent="0.15"/>
    <row r="32177" s="76" customFormat="1" ht="32.1" customHeight="1" x14ac:dyDescent="0.15"/>
    <row r="32178" s="76" customFormat="1" ht="32.1" customHeight="1" x14ac:dyDescent="0.15"/>
    <row r="32179" s="76" customFormat="1" ht="32.1" customHeight="1" x14ac:dyDescent="0.15"/>
    <row r="32180" s="76" customFormat="1" ht="32.1" customHeight="1" x14ac:dyDescent="0.15"/>
    <row r="32181" s="76" customFormat="1" ht="21.95" customHeight="1" x14ac:dyDescent="0.15"/>
    <row r="32182" s="76" customFormat="1" ht="54" customHeight="1" x14ac:dyDescent="0.15"/>
    <row r="32183" s="76" customFormat="1" ht="21.95" customHeight="1" x14ac:dyDescent="0.15"/>
    <row r="32184" s="76" customFormat="1" ht="21.95" customHeight="1" x14ac:dyDescent="0.15"/>
    <row r="32185" s="76" customFormat="1" ht="21.95" customHeight="1" x14ac:dyDescent="0.15"/>
    <row r="32186" s="76" customFormat="1" ht="21.95" customHeight="1" x14ac:dyDescent="0.15"/>
    <row r="32187" s="76" customFormat="1" ht="21.95" customHeight="1" x14ac:dyDescent="0.15"/>
    <row r="32188" s="76" customFormat="1" ht="21.95" customHeight="1" x14ac:dyDescent="0.15"/>
    <row r="32189" s="76" customFormat="1" ht="21.95" customHeight="1" x14ac:dyDescent="0.15"/>
    <row r="32190" s="76" customFormat="1" ht="21.95" customHeight="1" x14ac:dyDescent="0.15"/>
    <row r="32191" s="76" customFormat="1" ht="21.95" customHeight="1" x14ac:dyDescent="0.15"/>
    <row r="32192" s="76" customFormat="1" ht="21.95" customHeight="1" x14ac:dyDescent="0.15"/>
    <row r="32193" s="76" customFormat="1" ht="21.95" customHeight="1" x14ac:dyDescent="0.15"/>
    <row r="32194" s="76" customFormat="1" ht="21.95" customHeight="1" x14ac:dyDescent="0.15"/>
    <row r="32195" s="76" customFormat="1" ht="21.95" customHeight="1" x14ac:dyDescent="0.15"/>
    <row r="32196" s="76" customFormat="1" ht="21.95" customHeight="1" x14ac:dyDescent="0.15"/>
    <row r="32197" s="76" customFormat="1" ht="21.95" customHeight="1" x14ac:dyDescent="0.15"/>
    <row r="32198" s="76" customFormat="1" ht="21.95" customHeight="1" x14ac:dyDescent="0.15"/>
    <row r="32199" s="76" customFormat="1" ht="21.95" customHeight="1" x14ac:dyDescent="0.15"/>
    <row r="32200" s="76" customFormat="1" ht="21.95" customHeight="1" x14ac:dyDescent="0.15"/>
    <row r="32201" s="76" customFormat="1" ht="21.95" customHeight="1" x14ac:dyDescent="0.15"/>
    <row r="32202" s="76" customFormat="1" ht="21.95" customHeight="1" x14ac:dyDescent="0.15"/>
    <row r="32203" s="76" customFormat="1" ht="21.95" customHeight="1" x14ac:dyDescent="0.15"/>
    <row r="32204" s="76" customFormat="1" ht="21.95" customHeight="1" x14ac:dyDescent="0.15"/>
    <row r="32205" s="76" customFormat="1" ht="21.95" customHeight="1" x14ac:dyDescent="0.15"/>
    <row r="32206" s="76" customFormat="1" ht="21.95" customHeight="1" x14ac:dyDescent="0.15"/>
    <row r="32207" s="76" customFormat="1" ht="21.95" customHeight="1" x14ac:dyDescent="0.15"/>
    <row r="32208" s="76" customFormat="1" ht="21.95" customHeight="1" x14ac:dyDescent="0.15"/>
    <row r="32209" s="76" customFormat="1" ht="21.95" customHeight="1" x14ac:dyDescent="0.15"/>
    <row r="32210" s="76" customFormat="1" ht="21.95" customHeight="1" x14ac:dyDescent="0.15"/>
    <row r="32211" s="76" customFormat="1" ht="21.95" customHeight="1" x14ac:dyDescent="0.15"/>
    <row r="32212" s="76" customFormat="1" ht="21.95" customHeight="1" x14ac:dyDescent="0.15"/>
    <row r="32213" s="76" customFormat="1" ht="21.95" customHeight="1" x14ac:dyDescent="0.15"/>
    <row r="32214" s="76" customFormat="1" ht="21.95" customHeight="1" x14ac:dyDescent="0.15"/>
    <row r="32215" s="76" customFormat="1" ht="21.95" customHeight="1" x14ac:dyDescent="0.15"/>
    <row r="32216" s="76" customFormat="1" ht="21.95" customHeight="1" x14ac:dyDescent="0.15"/>
    <row r="32217" s="76" customFormat="1" ht="21.95" customHeight="1" x14ac:dyDescent="0.15"/>
    <row r="32218" s="76" customFormat="1" ht="21.95" customHeight="1" x14ac:dyDescent="0.15"/>
    <row r="32219" s="76" customFormat="1" ht="21.95" customHeight="1" x14ac:dyDescent="0.15"/>
    <row r="32220" s="76" customFormat="1" ht="21.95" customHeight="1" x14ac:dyDescent="0.15"/>
    <row r="32221" s="76" customFormat="1" ht="21.95" customHeight="1" x14ac:dyDescent="0.15"/>
    <row r="32222" s="76" customFormat="1" ht="21.95" customHeight="1" x14ac:dyDescent="0.15"/>
    <row r="32223" s="76" customFormat="1" ht="21.95" customHeight="1" x14ac:dyDescent="0.15"/>
    <row r="32224" s="76" customFormat="1" ht="21.95" customHeight="1" x14ac:dyDescent="0.15"/>
    <row r="32225" s="76" customFormat="1" ht="21.95" customHeight="1" x14ac:dyDescent="0.15"/>
    <row r="32226" s="76" customFormat="1" ht="21.95" customHeight="1" x14ac:dyDescent="0.15"/>
    <row r="32227" s="76" customFormat="1" ht="21.95" customHeight="1" x14ac:dyDescent="0.15"/>
    <row r="32228" s="76" customFormat="1" ht="21.95" customHeight="1" x14ac:dyDescent="0.15"/>
    <row r="32229" s="76" customFormat="1" ht="21.95" customHeight="1" x14ac:dyDescent="0.15"/>
    <row r="32230" s="76" customFormat="1" ht="21.95" customHeight="1" x14ac:dyDescent="0.15"/>
    <row r="32231" s="76" customFormat="1" ht="21.95" customHeight="1" x14ac:dyDescent="0.15"/>
    <row r="32232" s="76" customFormat="1" ht="21.95" customHeight="1" x14ac:dyDescent="0.15"/>
    <row r="32233" s="76" customFormat="1" ht="35.1" customHeight="1" x14ac:dyDescent="0.15"/>
    <row r="32234" s="76" customFormat="1" ht="21.95" customHeight="1" x14ac:dyDescent="0.15"/>
    <row r="32235" s="76" customFormat="1" ht="21.95" customHeight="1" x14ac:dyDescent="0.15"/>
    <row r="32236" s="76" customFormat="1" ht="21.95" customHeight="1" x14ac:dyDescent="0.15"/>
    <row r="32237" s="76" customFormat="1" ht="21.95" customHeight="1" x14ac:dyDescent="0.15"/>
    <row r="32238" s="76" customFormat="1" ht="21.95" customHeight="1" x14ac:dyDescent="0.15"/>
    <row r="32239" s="76" customFormat="1" ht="21.95" customHeight="1" x14ac:dyDescent="0.15"/>
    <row r="32240" s="76" customFormat="1" ht="21.95" customHeight="1" x14ac:dyDescent="0.15"/>
    <row r="32241" s="76" customFormat="1" ht="21.95" customHeight="1" x14ac:dyDescent="0.15"/>
    <row r="32242" s="76" customFormat="1" ht="21.95" customHeight="1" x14ac:dyDescent="0.15"/>
    <row r="32243" s="76" customFormat="1" ht="21.95" customHeight="1" x14ac:dyDescent="0.15"/>
    <row r="32244" s="76" customFormat="1" ht="21.95" customHeight="1" x14ac:dyDescent="0.15"/>
    <row r="32245" s="76" customFormat="1" ht="21.95" customHeight="1" x14ac:dyDescent="0.15"/>
    <row r="32246" s="76" customFormat="1" ht="21.95" customHeight="1" x14ac:dyDescent="0.15"/>
    <row r="32247" s="76" customFormat="1" ht="21.95" customHeight="1" x14ac:dyDescent="0.15"/>
    <row r="32248" s="76" customFormat="1" ht="21.95" customHeight="1" x14ac:dyDescent="0.15"/>
    <row r="32249" s="76" customFormat="1" ht="21.95" customHeight="1" x14ac:dyDescent="0.15"/>
    <row r="32250" s="76" customFormat="1" ht="21.95" customHeight="1" x14ac:dyDescent="0.15"/>
    <row r="32251" s="76" customFormat="1" ht="21.95" customHeight="1" x14ac:dyDescent="0.15"/>
    <row r="32252" s="76" customFormat="1" ht="21.95" customHeight="1" x14ac:dyDescent="0.15"/>
    <row r="32253" s="76" customFormat="1" ht="21.95" customHeight="1" x14ac:dyDescent="0.15"/>
    <row r="32254" s="76" customFormat="1" ht="21.95" customHeight="1" x14ac:dyDescent="0.15"/>
    <row r="32255" s="76" customFormat="1" ht="21.95" customHeight="1" x14ac:dyDescent="0.15"/>
    <row r="32256" s="76" customFormat="1" ht="21.95" customHeight="1" x14ac:dyDescent="0.15"/>
    <row r="32257" spans="3:3" customFormat="1" ht="21.95" customHeight="1" x14ac:dyDescent="0.15"/>
    <row r="32258" spans="3:3" customFormat="1" ht="21.95" customHeight="1" x14ac:dyDescent="0.15"/>
    <row r="32259" spans="3:3" customFormat="1" ht="21.95" customHeight="1" x14ac:dyDescent="0.15">
      <c r="C32259" s="94"/>
    </row>
    <row r="32260" spans="3:3" customFormat="1" ht="21.95" customHeight="1" x14ac:dyDescent="0.15">
      <c r="C32260" s="94"/>
    </row>
    <row r="32261" spans="3:3" customFormat="1" ht="21.95" customHeight="1" x14ac:dyDescent="0.15"/>
    <row r="32262" spans="3:3" customFormat="1" ht="21.95" customHeight="1" x14ac:dyDescent="0.15"/>
    <row r="32263" spans="3:3" customFormat="1" ht="21.95" customHeight="1" x14ac:dyDescent="0.15"/>
    <row r="32264" spans="3:3" customFormat="1" ht="21.95" customHeight="1" x14ac:dyDescent="0.15"/>
    <row r="32265" spans="3:3" customFormat="1" ht="21.95" customHeight="1" x14ac:dyDescent="0.15"/>
    <row r="32266" spans="3:3" customFormat="1" ht="21.95" customHeight="1" x14ac:dyDescent="0.15"/>
    <row r="32267" spans="3:3" customFormat="1" ht="21.95" customHeight="1" x14ac:dyDescent="0.15"/>
    <row r="32268" spans="3:3" s="76" customFormat="1" ht="21.95" customHeight="1" x14ac:dyDescent="0.15"/>
    <row r="32269" spans="3:3" s="76" customFormat="1" ht="21.95" customHeight="1" x14ac:dyDescent="0.15"/>
    <row r="32270" spans="3:3" s="76" customFormat="1" ht="21.95" customHeight="1" x14ac:dyDescent="0.15"/>
    <row r="32271" spans="3:3" s="76" customFormat="1" ht="21.95" customHeight="1" x14ac:dyDescent="0.15"/>
    <row r="32272" spans="3:3" customFormat="1" ht="21.95" customHeight="1" x14ac:dyDescent="0.15"/>
    <row r="32273" customFormat="1" ht="21.95" customHeight="1" x14ac:dyDescent="0.15"/>
    <row r="32274" customFormat="1" ht="21.95" customHeight="1" x14ac:dyDescent="0.15"/>
    <row r="32275" customFormat="1" ht="21.95" customHeight="1" x14ac:dyDescent="0.15"/>
    <row r="32276" customFormat="1" ht="21.95" customHeight="1" x14ac:dyDescent="0.15"/>
    <row r="32277" customFormat="1" ht="21.95" customHeight="1" x14ac:dyDescent="0.15"/>
    <row r="32278" customFormat="1" ht="21.95" customHeight="1" x14ac:dyDescent="0.15"/>
    <row r="32279" customFormat="1" ht="21.95" customHeight="1" x14ac:dyDescent="0.15"/>
    <row r="32280" customFormat="1" ht="21.95" customHeight="1" x14ac:dyDescent="0.15"/>
    <row r="32281" customFormat="1" ht="21.95" customHeight="1" x14ac:dyDescent="0.15"/>
    <row r="32282" customFormat="1" ht="21.95" customHeight="1" x14ac:dyDescent="0.15"/>
    <row r="32283" customFormat="1" ht="32.1" customHeight="1" x14ac:dyDescent="0.15"/>
    <row r="32284" customFormat="1" ht="32.1" customHeight="1" x14ac:dyDescent="0.15"/>
    <row r="32285" customFormat="1" ht="32.1" customHeight="1" x14ac:dyDescent="0.15"/>
    <row r="32286" customFormat="1" ht="32.1" customHeight="1" x14ac:dyDescent="0.15"/>
    <row r="32287" customFormat="1" ht="32.1" customHeight="1" x14ac:dyDescent="0.15"/>
    <row r="32288" customFormat="1" ht="32.1" customHeight="1" x14ac:dyDescent="0.15"/>
    <row r="32289" s="76" customFormat="1" ht="32.1" customHeight="1" x14ac:dyDescent="0.15"/>
    <row r="32290" s="76" customFormat="1" ht="32.1" customHeight="1" x14ac:dyDescent="0.15"/>
    <row r="32291" s="76" customFormat="1" ht="32.1" customHeight="1" x14ac:dyDescent="0.15"/>
    <row r="32292" s="76" customFormat="1" ht="32.1" customHeight="1" x14ac:dyDescent="0.15"/>
    <row r="32293" s="76" customFormat="1" ht="21.95" customHeight="1" x14ac:dyDescent="0.15"/>
    <row r="32294" s="76" customFormat="1" ht="54" customHeight="1" x14ac:dyDescent="0.15"/>
    <row r="32295" s="76" customFormat="1" ht="21.95" customHeight="1" x14ac:dyDescent="0.15"/>
    <row r="32296" s="76" customFormat="1" ht="21.95" customHeight="1" x14ac:dyDescent="0.15"/>
    <row r="32297" s="76" customFormat="1" ht="21.95" customHeight="1" x14ac:dyDescent="0.15"/>
    <row r="32298" s="76" customFormat="1" ht="21.95" customHeight="1" x14ac:dyDescent="0.15"/>
    <row r="32299" s="76" customFormat="1" ht="21.95" customHeight="1" x14ac:dyDescent="0.15"/>
    <row r="32300" s="76" customFormat="1" ht="21.95" customHeight="1" x14ac:dyDescent="0.15"/>
    <row r="32301" s="76" customFormat="1" ht="21.95" customHeight="1" x14ac:dyDescent="0.15"/>
    <row r="32302" s="76" customFormat="1" ht="21.95" customHeight="1" x14ac:dyDescent="0.15"/>
    <row r="32303" s="76" customFormat="1" ht="21.95" customHeight="1" x14ac:dyDescent="0.15"/>
    <row r="32304" s="76" customFormat="1" ht="21.95" customHeight="1" x14ac:dyDescent="0.15"/>
    <row r="32305" s="76" customFormat="1" ht="21.95" customHeight="1" x14ac:dyDescent="0.15"/>
    <row r="32306" s="76" customFormat="1" ht="21.95" customHeight="1" x14ac:dyDescent="0.15"/>
    <row r="32307" s="76" customFormat="1" ht="21.95" customHeight="1" x14ac:dyDescent="0.15"/>
    <row r="32308" s="76" customFormat="1" ht="21.95" customHeight="1" x14ac:dyDescent="0.15"/>
    <row r="32309" s="76" customFormat="1" ht="21.95" customHeight="1" x14ac:dyDescent="0.15"/>
    <row r="32310" s="76" customFormat="1" ht="21.95" customHeight="1" x14ac:dyDescent="0.15"/>
    <row r="32311" s="76" customFormat="1" ht="21.95" customHeight="1" x14ac:dyDescent="0.15"/>
    <row r="32312" s="76" customFormat="1" ht="21.95" customHeight="1" x14ac:dyDescent="0.15"/>
    <row r="32313" s="76" customFormat="1" ht="21.95" customHeight="1" x14ac:dyDescent="0.15"/>
    <row r="32314" s="76" customFormat="1" ht="21.95" customHeight="1" x14ac:dyDescent="0.15"/>
    <row r="32315" s="76" customFormat="1" ht="21.95" customHeight="1" x14ac:dyDescent="0.15"/>
    <row r="32316" s="76" customFormat="1" ht="21.95" customHeight="1" x14ac:dyDescent="0.15"/>
    <row r="32317" s="76" customFormat="1" ht="21.95" customHeight="1" x14ac:dyDescent="0.15"/>
    <row r="32318" s="76" customFormat="1" ht="21.95" customHeight="1" x14ac:dyDescent="0.15"/>
    <row r="32319" s="76" customFormat="1" ht="21.95" customHeight="1" x14ac:dyDescent="0.15"/>
    <row r="32320" s="76" customFormat="1" ht="21.95" customHeight="1" x14ac:dyDescent="0.15"/>
    <row r="32321" s="76" customFormat="1" ht="21.95" customHeight="1" x14ac:dyDescent="0.15"/>
    <row r="32322" s="76" customFormat="1" ht="21.95" customHeight="1" x14ac:dyDescent="0.15"/>
    <row r="32323" s="76" customFormat="1" ht="21.95" customHeight="1" x14ac:dyDescent="0.15"/>
    <row r="32324" s="76" customFormat="1" ht="21.95" customHeight="1" x14ac:dyDescent="0.15"/>
    <row r="32325" s="76" customFormat="1" ht="21.95" customHeight="1" x14ac:dyDescent="0.15"/>
    <row r="32326" s="76" customFormat="1" ht="21.95" customHeight="1" x14ac:dyDescent="0.15"/>
    <row r="32327" s="76" customFormat="1" ht="21.95" customHeight="1" x14ac:dyDescent="0.15"/>
    <row r="32328" s="76" customFormat="1" ht="21.95" customHeight="1" x14ac:dyDescent="0.15"/>
    <row r="32329" s="76" customFormat="1" ht="21.95" customHeight="1" x14ac:dyDescent="0.15"/>
    <row r="32330" s="76" customFormat="1" ht="21.95" customHeight="1" x14ac:dyDescent="0.15"/>
    <row r="32331" s="76" customFormat="1" ht="21.95" customHeight="1" x14ac:dyDescent="0.15"/>
    <row r="32332" s="76" customFormat="1" ht="21.95" customHeight="1" x14ac:dyDescent="0.15"/>
    <row r="32333" s="76" customFormat="1" ht="21.95" customHeight="1" x14ac:dyDescent="0.15"/>
    <row r="32334" s="76" customFormat="1" ht="21.95" customHeight="1" x14ac:dyDescent="0.15"/>
    <row r="32335" s="76" customFormat="1" ht="21.95" customHeight="1" x14ac:dyDescent="0.15"/>
    <row r="32336" s="76" customFormat="1" ht="21.95" customHeight="1" x14ac:dyDescent="0.15"/>
    <row r="32337" s="76" customFormat="1" ht="21.95" customHeight="1" x14ac:dyDescent="0.15"/>
    <row r="32338" s="76" customFormat="1" ht="21.95" customHeight="1" x14ac:dyDescent="0.15"/>
    <row r="32339" s="76" customFormat="1" ht="21.95" customHeight="1" x14ac:dyDescent="0.15"/>
    <row r="32340" s="76" customFormat="1" ht="21.95" customHeight="1" x14ac:dyDescent="0.15"/>
    <row r="32341" s="76" customFormat="1" ht="21.95" customHeight="1" x14ac:dyDescent="0.15"/>
    <row r="32342" s="76" customFormat="1" ht="21.95" customHeight="1" x14ac:dyDescent="0.15"/>
    <row r="32343" s="76" customFormat="1" ht="21.95" customHeight="1" x14ac:dyDescent="0.15"/>
    <row r="32344" s="76" customFormat="1" ht="21.95" customHeight="1" x14ac:dyDescent="0.15"/>
    <row r="32345" s="76" customFormat="1" ht="35.1" customHeight="1" x14ac:dyDescent="0.15"/>
    <row r="32346" s="76" customFormat="1" ht="21.95" customHeight="1" x14ac:dyDescent="0.15"/>
    <row r="32347" s="76" customFormat="1" ht="21.95" customHeight="1" x14ac:dyDescent="0.15"/>
    <row r="32348" s="76" customFormat="1" ht="21.95" customHeight="1" x14ac:dyDescent="0.15"/>
    <row r="32349" s="76" customFormat="1" ht="21.95" customHeight="1" x14ac:dyDescent="0.15"/>
    <row r="32350" s="76" customFormat="1" ht="21.95" customHeight="1" x14ac:dyDescent="0.15"/>
    <row r="32351" s="76" customFormat="1" ht="21.95" customHeight="1" x14ac:dyDescent="0.15"/>
    <row r="32352" s="76" customFormat="1" ht="21.95" customHeight="1" x14ac:dyDescent="0.15"/>
    <row r="32353" s="76" customFormat="1" ht="21.95" customHeight="1" x14ac:dyDescent="0.15"/>
    <row r="32354" s="76" customFormat="1" ht="21.95" customHeight="1" x14ac:dyDescent="0.15"/>
    <row r="32355" s="76" customFormat="1" ht="21.95" customHeight="1" x14ac:dyDescent="0.15"/>
    <row r="32356" s="76" customFormat="1" ht="21.95" customHeight="1" x14ac:dyDescent="0.15"/>
    <row r="32357" s="76" customFormat="1" ht="21.95" customHeight="1" x14ac:dyDescent="0.15"/>
    <row r="32358" s="76" customFormat="1" ht="21.95" customHeight="1" x14ac:dyDescent="0.15"/>
    <row r="32359" s="76" customFormat="1" ht="21.95" customHeight="1" x14ac:dyDescent="0.15"/>
    <row r="32360" s="76" customFormat="1" ht="21.95" customHeight="1" x14ac:dyDescent="0.15"/>
    <row r="32361" s="76" customFormat="1" ht="21.95" customHeight="1" x14ac:dyDescent="0.15"/>
    <row r="32362" s="76" customFormat="1" ht="21.95" customHeight="1" x14ac:dyDescent="0.15"/>
    <row r="32363" s="76" customFormat="1" ht="21.95" customHeight="1" x14ac:dyDescent="0.15"/>
    <row r="32364" s="76" customFormat="1" ht="21.95" customHeight="1" x14ac:dyDescent="0.15"/>
    <row r="32365" s="76" customFormat="1" ht="21.95" customHeight="1" x14ac:dyDescent="0.15"/>
    <row r="32366" s="76" customFormat="1" ht="21.95" customHeight="1" x14ac:dyDescent="0.15"/>
    <row r="32367" s="76" customFormat="1" ht="21.95" customHeight="1" x14ac:dyDescent="0.15"/>
    <row r="32368" s="76" customFormat="1" ht="21.95" customHeight="1" x14ac:dyDescent="0.15"/>
    <row r="32369" spans="3:3" customFormat="1" ht="21.95" customHeight="1" x14ac:dyDescent="0.15"/>
    <row r="32370" spans="3:3" customFormat="1" ht="21.95" customHeight="1" x14ac:dyDescent="0.15"/>
    <row r="32371" spans="3:3" customFormat="1" ht="21.95" customHeight="1" x14ac:dyDescent="0.15">
      <c r="C32371" s="94"/>
    </row>
    <row r="32372" spans="3:3" customFormat="1" ht="21.95" customHeight="1" x14ac:dyDescent="0.15">
      <c r="C32372" s="94"/>
    </row>
    <row r="32373" spans="3:3" customFormat="1" ht="21.95" customHeight="1" x14ac:dyDescent="0.15"/>
    <row r="32374" spans="3:3" customFormat="1" ht="21.95" customHeight="1" x14ac:dyDescent="0.15"/>
    <row r="32375" spans="3:3" customFormat="1" ht="21.95" customHeight="1" x14ac:dyDescent="0.15"/>
    <row r="32376" spans="3:3" customFormat="1" ht="21.95" customHeight="1" x14ac:dyDescent="0.15"/>
    <row r="32377" spans="3:3" customFormat="1" ht="21.95" customHeight="1" x14ac:dyDescent="0.15"/>
    <row r="32378" spans="3:3" customFormat="1" ht="21.95" customHeight="1" x14ac:dyDescent="0.15"/>
    <row r="32379" spans="3:3" customFormat="1" ht="21.95" customHeight="1" x14ac:dyDescent="0.15"/>
    <row r="32380" spans="3:3" s="76" customFormat="1" ht="21.95" customHeight="1" x14ac:dyDescent="0.15"/>
    <row r="32381" spans="3:3" s="76" customFormat="1" ht="21.95" customHeight="1" x14ac:dyDescent="0.15"/>
    <row r="32382" spans="3:3" s="76" customFormat="1" ht="21.95" customHeight="1" x14ac:dyDescent="0.15"/>
    <row r="32383" spans="3:3" s="76" customFormat="1" ht="21.95" customHeight="1" x14ac:dyDescent="0.15"/>
    <row r="32384" spans="3:3" customFormat="1" ht="21.95" customHeight="1" x14ac:dyDescent="0.15"/>
    <row r="32385" customFormat="1" ht="21.95" customHeight="1" x14ac:dyDescent="0.15"/>
    <row r="32386" customFormat="1" ht="21.95" customHeight="1" x14ac:dyDescent="0.15"/>
    <row r="32387" customFormat="1" ht="21.95" customHeight="1" x14ac:dyDescent="0.15"/>
    <row r="32388" customFormat="1" ht="21.95" customHeight="1" x14ac:dyDescent="0.15"/>
    <row r="32389" customFormat="1" ht="21.95" customHeight="1" x14ac:dyDescent="0.15"/>
    <row r="32390" customFormat="1" ht="21.95" customHeight="1" x14ac:dyDescent="0.15"/>
    <row r="32391" customFormat="1" ht="21.95" customHeight="1" x14ac:dyDescent="0.15"/>
    <row r="32392" customFormat="1" ht="21.95" customHeight="1" x14ac:dyDescent="0.15"/>
    <row r="32393" customFormat="1" ht="21.95" customHeight="1" x14ac:dyDescent="0.15"/>
    <row r="32394" customFormat="1" ht="21.95" customHeight="1" x14ac:dyDescent="0.15"/>
    <row r="32395" customFormat="1" ht="32.1" customHeight="1" x14ac:dyDescent="0.15"/>
    <row r="32396" customFormat="1" ht="32.1" customHeight="1" x14ac:dyDescent="0.15"/>
    <row r="32397" customFormat="1" ht="32.1" customHeight="1" x14ac:dyDescent="0.15"/>
    <row r="32398" customFormat="1" ht="32.1" customHeight="1" x14ac:dyDescent="0.15"/>
    <row r="32399" customFormat="1" ht="32.1" customHeight="1" x14ac:dyDescent="0.15"/>
    <row r="32400" customFormat="1" ht="32.1" customHeight="1" x14ac:dyDescent="0.15"/>
    <row r="32401" s="76" customFormat="1" ht="32.1" customHeight="1" x14ac:dyDescent="0.15"/>
    <row r="32402" s="76" customFormat="1" ht="32.1" customHeight="1" x14ac:dyDescent="0.15"/>
    <row r="32403" s="76" customFormat="1" ht="32.1" customHeight="1" x14ac:dyDescent="0.15"/>
    <row r="32404" s="76" customFormat="1" ht="32.1" customHeight="1" x14ac:dyDescent="0.15"/>
    <row r="32405" s="76" customFormat="1" ht="21.95" customHeight="1" x14ac:dyDescent="0.15"/>
    <row r="32406" s="76" customFormat="1" ht="54" customHeight="1" x14ac:dyDescent="0.15"/>
    <row r="32407" s="76" customFormat="1" ht="21.95" customHeight="1" x14ac:dyDescent="0.15"/>
    <row r="32408" s="76" customFormat="1" ht="21.95" customHeight="1" x14ac:dyDescent="0.15"/>
    <row r="32409" s="76" customFormat="1" ht="21.95" customHeight="1" x14ac:dyDescent="0.15"/>
    <row r="32410" s="76" customFormat="1" ht="21.95" customHeight="1" x14ac:dyDescent="0.15"/>
    <row r="32411" s="76" customFormat="1" ht="21.95" customHeight="1" x14ac:dyDescent="0.15"/>
    <row r="32412" s="76" customFormat="1" ht="21.95" customHeight="1" x14ac:dyDescent="0.15"/>
    <row r="32413" s="76" customFormat="1" ht="21.95" customHeight="1" x14ac:dyDescent="0.15"/>
    <row r="32414" s="76" customFormat="1" ht="21.95" customHeight="1" x14ac:dyDescent="0.15"/>
    <row r="32415" s="76" customFormat="1" ht="21.95" customHeight="1" x14ac:dyDescent="0.15"/>
    <row r="32416" s="76" customFormat="1" ht="21.95" customHeight="1" x14ac:dyDescent="0.15"/>
    <row r="32417" s="76" customFormat="1" ht="21.95" customHeight="1" x14ac:dyDescent="0.15"/>
    <row r="32418" s="76" customFormat="1" ht="21.95" customHeight="1" x14ac:dyDescent="0.15"/>
    <row r="32419" s="76" customFormat="1" ht="21.95" customHeight="1" x14ac:dyDescent="0.15"/>
    <row r="32420" s="76" customFormat="1" ht="21.95" customHeight="1" x14ac:dyDescent="0.15"/>
    <row r="32421" s="76" customFormat="1" ht="21.95" customHeight="1" x14ac:dyDescent="0.15"/>
    <row r="32422" s="76" customFormat="1" ht="21.95" customHeight="1" x14ac:dyDescent="0.15"/>
    <row r="32423" s="76" customFormat="1" ht="21.95" customHeight="1" x14ac:dyDescent="0.15"/>
    <row r="32424" s="76" customFormat="1" ht="21.95" customHeight="1" x14ac:dyDescent="0.15"/>
    <row r="32425" s="76" customFormat="1" ht="21.95" customHeight="1" x14ac:dyDescent="0.15"/>
    <row r="32426" s="76" customFormat="1" ht="21.95" customHeight="1" x14ac:dyDescent="0.15"/>
    <row r="32427" s="76" customFormat="1" ht="21.95" customHeight="1" x14ac:dyDescent="0.15"/>
    <row r="32428" s="76" customFormat="1" ht="21.95" customHeight="1" x14ac:dyDescent="0.15"/>
    <row r="32429" s="76" customFormat="1" ht="21.95" customHeight="1" x14ac:dyDescent="0.15"/>
    <row r="32430" s="76" customFormat="1" ht="21.95" customHeight="1" x14ac:dyDescent="0.15"/>
    <row r="32431" s="76" customFormat="1" ht="21.95" customHeight="1" x14ac:dyDescent="0.15"/>
    <row r="32432" s="76" customFormat="1" ht="21.95" customHeight="1" x14ac:dyDescent="0.15"/>
    <row r="32433" s="76" customFormat="1" ht="21.95" customHeight="1" x14ac:dyDescent="0.15"/>
    <row r="32434" s="76" customFormat="1" ht="21.95" customHeight="1" x14ac:dyDescent="0.15"/>
    <row r="32435" s="76" customFormat="1" ht="21.95" customHeight="1" x14ac:dyDescent="0.15"/>
    <row r="32436" s="76" customFormat="1" ht="21.95" customHeight="1" x14ac:dyDescent="0.15"/>
    <row r="32437" s="76" customFormat="1" ht="21.95" customHeight="1" x14ac:dyDescent="0.15"/>
    <row r="32438" s="76" customFormat="1" ht="21.95" customHeight="1" x14ac:dyDescent="0.15"/>
    <row r="32439" s="76" customFormat="1" ht="21.95" customHeight="1" x14ac:dyDescent="0.15"/>
    <row r="32440" s="76" customFormat="1" ht="21.95" customHeight="1" x14ac:dyDescent="0.15"/>
    <row r="32441" s="76" customFormat="1" ht="21.95" customHeight="1" x14ac:dyDescent="0.15"/>
    <row r="32442" s="76" customFormat="1" ht="21.95" customHeight="1" x14ac:dyDescent="0.15"/>
    <row r="32443" s="76" customFormat="1" ht="21.95" customHeight="1" x14ac:dyDescent="0.15"/>
    <row r="32444" s="76" customFormat="1" ht="21.95" customHeight="1" x14ac:dyDescent="0.15"/>
    <row r="32445" s="76" customFormat="1" ht="21.95" customHeight="1" x14ac:dyDescent="0.15"/>
    <row r="32446" s="76" customFormat="1" ht="21.95" customHeight="1" x14ac:dyDescent="0.15"/>
    <row r="32447" s="76" customFormat="1" ht="21.95" customHeight="1" x14ac:dyDescent="0.15"/>
    <row r="32448" s="76" customFormat="1" ht="21.95" customHeight="1" x14ac:dyDescent="0.15"/>
    <row r="32449" s="76" customFormat="1" ht="21.95" customHeight="1" x14ac:dyDescent="0.15"/>
    <row r="32450" s="76" customFormat="1" ht="21.95" customHeight="1" x14ac:dyDescent="0.15"/>
    <row r="32451" s="76" customFormat="1" ht="21.95" customHeight="1" x14ac:dyDescent="0.15"/>
    <row r="32452" s="76" customFormat="1" ht="21.95" customHeight="1" x14ac:dyDescent="0.15"/>
    <row r="32453" s="76" customFormat="1" ht="21.95" customHeight="1" x14ac:dyDescent="0.15"/>
    <row r="32454" s="76" customFormat="1" ht="21.95" customHeight="1" x14ac:dyDescent="0.15"/>
    <row r="32455" s="76" customFormat="1" ht="21.95" customHeight="1" x14ac:dyDescent="0.15"/>
    <row r="32456" s="76" customFormat="1" ht="21.95" customHeight="1" x14ac:dyDescent="0.15"/>
    <row r="32457" s="76" customFormat="1" ht="35.1" customHeight="1" x14ac:dyDescent="0.15"/>
    <row r="32458" s="76" customFormat="1" ht="21.95" customHeight="1" x14ac:dyDescent="0.15"/>
    <row r="32459" s="76" customFormat="1" ht="21.95" customHeight="1" x14ac:dyDescent="0.15"/>
    <row r="32460" s="76" customFormat="1" ht="21.95" customHeight="1" x14ac:dyDescent="0.15"/>
    <row r="32461" s="76" customFormat="1" ht="21.95" customHeight="1" x14ac:dyDescent="0.15"/>
    <row r="32462" s="76" customFormat="1" ht="21.95" customHeight="1" x14ac:dyDescent="0.15"/>
    <row r="32463" s="76" customFormat="1" ht="21.95" customHeight="1" x14ac:dyDescent="0.15"/>
    <row r="32464" s="76" customFormat="1" ht="21.95" customHeight="1" x14ac:dyDescent="0.15"/>
    <row r="32465" s="76" customFormat="1" ht="21.95" customHeight="1" x14ac:dyDescent="0.15"/>
    <row r="32466" s="76" customFormat="1" ht="21.95" customHeight="1" x14ac:dyDescent="0.15"/>
    <row r="32467" s="76" customFormat="1" ht="21.95" customHeight="1" x14ac:dyDescent="0.15"/>
    <row r="32468" s="76" customFormat="1" ht="21.95" customHeight="1" x14ac:dyDescent="0.15"/>
    <row r="32469" s="76" customFormat="1" ht="21.95" customHeight="1" x14ac:dyDescent="0.15"/>
    <row r="32470" s="76" customFormat="1" ht="21.95" customHeight="1" x14ac:dyDescent="0.15"/>
    <row r="32471" s="76" customFormat="1" ht="21.95" customHeight="1" x14ac:dyDescent="0.15"/>
    <row r="32472" s="76" customFormat="1" ht="21.95" customHeight="1" x14ac:dyDescent="0.15"/>
    <row r="32473" s="76" customFormat="1" ht="21.95" customHeight="1" x14ac:dyDescent="0.15"/>
    <row r="32474" s="76" customFormat="1" ht="21.95" customHeight="1" x14ac:dyDescent="0.15"/>
    <row r="32475" s="76" customFormat="1" ht="21.95" customHeight="1" x14ac:dyDescent="0.15"/>
    <row r="32476" s="76" customFormat="1" ht="21.95" customHeight="1" x14ac:dyDescent="0.15"/>
    <row r="32477" s="76" customFormat="1" ht="21.95" customHeight="1" x14ac:dyDescent="0.15"/>
    <row r="32478" s="76" customFormat="1" ht="21.95" customHeight="1" x14ac:dyDescent="0.15"/>
    <row r="32479" s="76" customFormat="1" ht="21.95" customHeight="1" x14ac:dyDescent="0.15"/>
    <row r="32480" s="76" customFormat="1" ht="21.95" customHeight="1" x14ac:dyDescent="0.15"/>
    <row r="32481" spans="3:3" customFormat="1" ht="21.95" customHeight="1" x14ac:dyDescent="0.15"/>
    <row r="32482" spans="3:3" customFormat="1" ht="21.95" customHeight="1" x14ac:dyDescent="0.15"/>
    <row r="32483" spans="3:3" customFormat="1" ht="21.95" customHeight="1" x14ac:dyDescent="0.15">
      <c r="C32483" s="94"/>
    </row>
    <row r="32484" spans="3:3" customFormat="1" ht="21.95" customHeight="1" x14ac:dyDescent="0.15">
      <c r="C32484" s="94"/>
    </row>
    <row r="32485" spans="3:3" customFormat="1" ht="21.95" customHeight="1" x14ac:dyDescent="0.15"/>
    <row r="32486" spans="3:3" customFormat="1" ht="21.95" customHeight="1" x14ac:dyDescent="0.15"/>
    <row r="32487" spans="3:3" customFormat="1" ht="21.95" customHeight="1" x14ac:dyDescent="0.15"/>
    <row r="32488" spans="3:3" customFormat="1" ht="21.95" customHeight="1" x14ac:dyDescent="0.15"/>
    <row r="32489" spans="3:3" customFormat="1" ht="21.95" customHeight="1" x14ac:dyDescent="0.15"/>
    <row r="32490" spans="3:3" customFormat="1" ht="21.95" customHeight="1" x14ac:dyDescent="0.15"/>
    <row r="32491" spans="3:3" customFormat="1" ht="21.95" customHeight="1" x14ac:dyDescent="0.15"/>
    <row r="32492" spans="3:3" s="76" customFormat="1" ht="21.95" customHeight="1" x14ac:dyDescent="0.15"/>
    <row r="32493" spans="3:3" s="76" customFormat="1" ht="21.95" customHeight="1" x14ac:dyDescent="0.15"/>
    <row r="32494" spans="3:3" s="76" customFormat="1" ht="21.95" customHeight="1" x14ac:dyDescent="0.15"/>
    <row r="32495" spans="3:3" s="76" customFormat="1" ht="21.95" customHeight="1" x14ac:dyDescent="0.15"/>
    <row r="32496" spans="3:3" customFormat="1" ht="21.95" customHeight="1" x14ac:dyDescent="0.15"/>
    <row r="32497" customFormat="1" ht="21.95" customHeight="1" x14ac:dyDescent="0.15"/>
    <row r="32498" customFormat="1" ht="21.95" customHeight="1" x14ac:dyDescent="0.15"/>
    <row r="32499" customFormat="1" ht="21.95" customHeight="1" x14ac:dyDescent="0.15"/>
    <row r="32500" customFormat="1" ht="21.95" customHeight="1" x14ac:dyDescent="0.15"/>
    <row r="32501" customFormat="1" ht="21.95" customHeight="1" x14ac:dyDescent="0.15"/>
    <row r="32502" customFormat="1" ht="21.95" customHeight="1" x14ac:dyDescent="0.15"/>
    <row r="32503" customFormat="1" ht="21.95" customHeight="1" x14ac:dyDescent="0.15"/>
    <row r="32504" customFormat="1" ht="21.95" customHeight="1" x14ac:dyDescent="0.15"/>
    <row r="32505" customFormat="1" ht="21.95" customHeight="1" x14ac:dyDescent="0.15"/>
    <row r="32506" customFormat="1" ht="21.95" customHeight="1" x14ac:dyDescent="0.15"/>
    <row r="32507" customFormat="1" ht="32.1" customHeight="1" x14ac:dyDescent="0.15"/>
    <row r="32508" customFormat="1" ht="32.1" customHeight="1" x14ac:dyDescent="0.15"/>
    <row r="32509" customFormat="1" ht="32.1" customHeight="1" x14ac:dyDescent="0.15"/>
    <row r="32510" customFormat="1" ht="32.1" customHeight="1" x14ac:dyDescent="0.15"/>
    <row r="32511" customFormat="1" ht="32.1" customHeight="1" x14ac:dyDescent="0.15"/>
    <row r="32512" customFormat="1" ht="32.1" customHeight="1" x14ac:dyDescent="0.15"/>
    <row r="32513" s="76" customFormat="1" ht="32.1" customHeight="1" x14ac:dyDescent="0.15"/>
    <row r="32514" s="76" customFormat="1" ht="32.1" customHeight="1" x14ac:dyDescent="0.15"/>
    <row r="32515" s="76" customFormat="1" ht="32.1" customHeight="1" x14ac:dyDescent="0.15"/>
    <row r="32516" s="76" customFormat="1" ht="32.1" customHeight="1" x14ac:dyDescent="0.15"/>
    <row r="32517" s="76" customFormat="1" ht="21.95" customHeight="1" x14ac:dyDescent="0.15"/>
    <row r="32518" s="76" customFormat="1" ht="54" customHeight="1" x14ac:dyDescent="0.15"/>
    <row r="32519" s="76" customFormat="1" ht="21.95" customHeight="1" x14ac:dyDescent="0.15"/>
    <row r="32520" s="76" customFormat="1" ht="21.95" customHeight="1" x14ac:dyDescent="0.15"/>
    <row r="32521" s="76" customFormat="1" ht="21.95" customHeight="1" x14ac:dyDescent="0.15"/>
    <row r="32522" s="76" customFormat="1" ht="21.95" customHeight="1" x14ac:dyDescent="0.15"/>
    <row r="32523" s="76" customFormat="1" ht="21.95" customHeight="1" x14ac:dyDescent="0.15"/>
    <row r="32524" s="76" customFormat="1" ht="21.95" customHeight="1" x14ac:dyDescent="0.15"/>
    <row r="32525" s="76" customFormat="1" ht="21.95" customHeight="1" x14ac:dyDescent="0.15"/>
    <row r="32526" s="76" customFormat="1" ht="21.95" customHeight="1" x14ac:dyDescent="0.15"/>
    <row r="32527" s="76" customFormat="1" ht="21.95" customHeight="1" x14ac:dyDescent="0.15"/>
    <row r="32528" s="76" customFormat="1" ht="21.95" customHeight="1" x14ac:dyDescent="0.15"/>
    <row r="32529" s="76" customFormat="1" ht="21.95" customHeight="1" x14ac:dyDescent="0.15"/>
    <row r="32530" s="76" customFormat="1" ht="21.95" customHeight="1" x14ac:dyDescent="0.15"/>
    <row r="32531" s="76" customFormat="1" ht="21.95" customHeight="1" x14ac:dyDescent="0.15"/>
    <row r="32532" s="76" customFormat="1" ht="21.95" customHeight="1" x14ac:dyDescent="0.15"/>
    <row r="32533" s="76" customFormat="1" ht="21.95" customHeight="1" x14ac:dyDescent="0.15"/>
    <row r="32534" s="76" customFormat="1" ht="21.95" customHeight="1" x14ac:dyDescent="0.15"/>
    <row r="32535" s="76" customFormat="1" ht="21.95" customHeight="1" x14ac:dyDescent="0.15"/>
    <row r="32536" s="76" customFormat="1" ht="21.95" customHeight="1" x14ac:dyDescent="0.15"/>
    <row r="32537" s="76" customFormat="1" ht="21.95" customHeight="1" x14ac:dyDescent="0.15"/>
    <row r="32538" s="76" customFormat="1" ht="21.95" customHeight="1" x14ac:dyDescent="0.15"/>
    <row r="32539" s="76" customFormat="1" ht="21.95" customHeight="1" x14ac:dyDescent="0.15"/>
    <row r="32540" s="76" customFormat="1" ht="21.95" customHeight="1" x14ac:dyDescent="0.15"/>
    <row r="32541" s="76" customFormat="1" ht="21.95" customHeight="1" x14ac:dyDescent="0.15"/>
    <row r="32542" s="76" customFormat="1" ht="21.95" customHeight="1" x14ac:dyDescent="0.15"/>
    <row r="32543" s="76" customFormat="1" ht="21.95" customHeight="1" x14ac:dyDescent="0.15"/>
    <row r="32544" s="76" customFormat="1" ht="21.95" customHeight="1" x14ac:dyDescent="0.15"/>
    <row r="32545" s="76" customFormat="1" ht="21.95" customHeight="1" x14ac:dyDescent="0.15"/>
    <row r="32546" s="76" customFormat="1" ht="21.95" customHeight="1" x14ac:dyDescent="0.15"/>
    <row r="32547" s="76" customFormat="1" ht="21.95" customHeight="1" x14ac:dyDescent="0.15"/>
    <row r="32548" s="76" customFormat="1" ht="21.95" customHeight="1" x14ac:dyDescent="0.15"/>
    <row r="32549" s="76" customFormat="1" ht="21.95" customHeight="1" x14ac:dyDescent="0.15"/>
    <row r="32550" s="76" customFormat="1" ht="21.95" customHeight="1" x14ac:dyDescent="0.15"/>
    <row r="32551" s="76" customFormat="1" ht="21.95" customHeight="1" x14ac:dyDescent="0.15"/>
    <row r="32552" s="76" customFormat="1" ht="21.95" customHeight="1" x14ac:dyDescent="0.15"/>
    <row r="32553" s="76" customFormat="1" ht="21.95" customHeight="1" x14ac:dyDescent="0.15"/>
    <row r="32554" s="76" customFormat="1" ht="21.95" customHeight="1" x14ac:dyDescent="0.15"/>
    <row r="32555" s="76" customFormat="1" ht="21.95" customHeight="1" x14ac:dyDescent="0.15"/>
    <row r="32556" s="76" customFormat="1" ht="21.95" customHeight="1" x14ac:dyDescent="0.15"/>
    <row r="32557" s="76" customFormat="1" ht="21.95" customHeight="1" x14ac:dyDescent="0.15"/>
    <row r="32558" s="76" customFormat="1" ht="21.95" customHeight="1" x14ac:dyDescent="0.15"/>
    <row r="32559" s="76" customFormat="1" ht="21.95" customHeight="1" x14ac:dyDescent="0.15"/>
    <row r="32560" s="76" customFormat="1" ht="21.95" customHeight="1" x14ac:dyDescent="0.15"/>
    <row r="32561" s="76" customFormat="1" ht="21.95" customHeight="1" x14ac:dyDescent="0.15"/>
    <row r="32562" s="76" customFormat="1" ht="21.95" customHeight="1" x14ac:dyDescent="0.15"/>
    <row r="32563" s="76" customFormat="1" ht="21.95" customHeight="1" x14ac:dyDescent="0.15"/>
    <row r="32564" s="76" customFormat="1" ht="21.95" customHeight="1" x14ac:dyDescent="0.15"/>
    <row r="32565" s="76" customFormat="1" ht="21.95" customHeight="1" x14ac:dyDescent="0.15"/>
    <row r="32566" s="76" customFormat="1" ht="21.95" customHeight="1" x14ac:dyDescent="0.15"/>
    <row r="32567" s="76" customFormat="1" ht="21.95" customHeight="1" x14ac:dyDescent="0.15"/>
    <row r="32568" s="76" customFormat="1" ht="21.95" customHeight="1" x14ac:dyDescent="0.15"/>
    <row r="32569" s="76" customFormat="1" ht="35.1" customHeight="1" x14ac:dyDescent="0.15"/>
    <row r="32570" s="76" customFormat="1" ht="21.95" customHeight="1" x14ac:dyDescent="0.15"/>
    <row r="32571" s="76" customFormat="1" ht="21.95" customHeight="1" x14ac:dyDescent="0.15"/>
    <row r="32572" s="76" customFormat="1" ht="21.95" customHeight="1" x14ac:dyDescent="0.15"/>
    <row r="32573" s="76" customFormat="1" ht="21.95" customHeight="1" x14ac:dyDescent="0.15"/>
    <row r="32574" s="76" customFormat="1" ht="21.95" customHeight="1" x14ac:dyDescent="0.15"/>
    <row r="32575" s="76" customFormat="1" ht="21.95" customHeight="1" x14ac:dyDescent="0.15"/>
    <row r="32576" s="76" customFormat="1" ht="21.95" customHeight="1" x14ac:dyDescent="0.15"/>
    <row r="32577" s="76" customFormat="1" ht="21.95" customHeight="1" x14ac:dyDescent="0.15"/>
    <row r="32578" s="76" customFormat="1" ht="21.95" customHeight="1" x14ac:dyDescent="0.15"/>
    <row r="32579" s="76" customFormat="1" ht="21.95" customHeight="1" x14ac:dyDescent="0.15"/>
    <row r="32580" s="76" customFormat="1" ht="21.95" customHeight="1" x14ac:dyDescent="0.15"/>
    <row r="32581" s="76" customFormat="1" ht="21.95" customHeight="1" x14ac:dyDescent="0.15"/>
    <row r="32582" s="76" customFormat="1" ht="21.95" customHeight="1" x14ac:dyDescent="0.15"/>
    <row r="32583" s="76" customFormat="1" ht="21.95" customHeight="1" x14ac:dyDescent="0.15"/>
    <row r="32584" s="76" customFormat="1" ht="21.95" customHeight="1" x14ac:dyDescent="0.15"/>
    <row r="32585" s="76" customFormat="1" ht="21.95" customHeight="1" x14ac:dyDescent="0.15"/>
    <row r="32586" s="76" customFormat="1" ht="21.95" customHeight="1" x14ac:dyDescent="0.15"/>
    <row r="32587" s="76" customFormat="1" ht="21.95" customHeight="1" x14ac:dyDescent="0.15"/>
    <row r="32588" s="76" customFormat="1" ht="21.95" customHeight="1" x14ac:dyDescent="0.15"/>
    <row r="32589" s="76" customFormat="1" ht="21.95" customHeight="1" x14ac:dyDescent="0.15"/>
    <row r="32590" s="76" customFormat="1" ht="21.95" customHeight="1" x14ac:dyDescent="0.15"/>
    <row r="32591" s="76" customFormat="1" ht="21.95" customHeight="1" x14ac:dyDescent="0.15"/>
    <row r="32592" s="76" customFormat="1" ht="21.95" customHeight="1" x14ac:dyDescent="0.15"/>
    <row r="32593" spans="3:3" customFormat="1" ht="21.95" customHeight="1" x14ac:dyDescent="0.15"/>
    <row r="32594" spans="3:3" customFormat="1" ht="21.95" customHeight="1" x14ac:dyDescent="0.15"/>
    <row r="32595" spans="3:3" customFormat="1" ht="21.95" customHeight="1" x14ac:dyDescent="0.15">
      <c r="C32595" s="94"/>
    </row>
    <row r="32596" spans="3:3" customFormat="1" ht="21.95" customHeight="1" x14ac:dyDescent="0.15">
      <c r="C32596" s="94"/>
    </row>
    <row r="32597" spans="3:3" customFormat="1" ht="21.95" customHeight="1" x14ac:dyDescent="0.15"/>
    <row r="32598" spans="3:3" customFormat="1" ht="21.95" customHeight="1" x14ac:dyDescent="0.15"/>
    <row r="32599" spans="3:3" customFormat="1" ht="21.95" customHeight="1" x14ac:dyDescent="0.15"/>
    <row r="32600" spans="3:3" customFormat="1" ht="21.95" customHeight="1" x14ac:dyDescent="0.15"/>
    <row r="32601" spans="3:3" customFormat="1" ht="21.95" customHeight="1" x14ac:dyDescent="0.15"/>
    <row r="32602" spans="3:3" customFormat="1" ht="21.95" customHeight="1" x14ac:dyDescent="0.15"/>
    <row r="32603" spans="3:3" customFormat="1" ht="21.95" customHeight="1" x14ac:dyDescent="0.15"/>
    <row r="32604" spans="3:3" s="76" customFormat="1" ht="21.95" customHeight="1" x14ac:dyDescent="0.15"/>
    <row r="32605" spans="3:3" s="76" customFormat="1" ht="21.95" customHeight="1" x14ac:dyDescent="0.15"/>
    <row r="32606" spans="3:3" s="76" customFormat="1" ht="21.95" customHeight="1" x14ac:dyDescent="0.15"/>
    <row r="32607" spans="3:3" s="76" customFormat="1" ht="21.95" customHeight="1" x14ac:dyDescent="0.15"/>
    <row r="32608" spans="3:3" customFormat="1" ht="21.95" customHeight="1" x14ac:dyDescent="0.15"/>
    <row r="32609" customFormat="1" ht="21.95" customHeight="1" x14ac:dyDescent="0.15"/>
    <row r="32610" customFormat="1" ht="21.95" customHeight="1" x14ac:dyDescent="0.15"/>
    <row r="32611" customFormat="1" ht="21.95" customHeight="1" x14ac:dyDescent="0.15"/>
    <row r="32612" customFormat="1" ht="21.95" customHeight="1" x14ac:dyDescent="0.15"/>
    <row r="32613" customFormat="1" ht="21.95" customHeight="1" x14ac:dyDescent="0.15"/>
    <row r="32614" customFormat="1" ht="21.95" customHeight="1" x14ac:dyDescent="0.15"/>
    <row r="32615" customFormat="1" ht="21.95" customHeight="1" x14ac:dyDescent="0.15"/>
    <row r="32616" customFormat="1" ht="21.95" customHeight="1" x14ac:dyDescent="0.15"/>
    <row r="32617" customFormat="1" ht="21.95" customHeight="1" x14ac:dyDescent="0.15"/>
    <row r="32618" customFormat="1" ht="21.95" customHeight="1" x14ac:dyDescent="0.15"/>
    <row r="32619" customFormat="1" ht="32.1" customHeight="1" x14ac:dyDescent="0.15"/>
    <row r="32620" customFormat="1" ht="32.1" customHeight="1" x14ac:dyDescent="0.15"/>
    <row r="32621" customFormat="1" ht="32.1" customHeight="1" x14ac:dyDescent="0.15"/>
    <row r="32622" customFormat="1" ht="32.1" customHeight="1" x14ac:dyDescent="0.15"/>
    <row r="32623" customFormat="1" ht="32.1" customHeight="1" x14ac:dyDescent="0.15"/>
    <row r="32624" customFormat="1" ht="32.1" customHeight="1" x14ac:dyDescent="0.15"/>
    <row r="32625" s="76" customFormat="1" ht="32.1" customHeight="1" x14ac:dyDescent="0.15"/>
    <row r="32626" s="76" customFormat="1" ht="32.1" customHeight="1" x14ac:dyDescent="0.15"/>
    <row r="32627" s="76" customFormat="1" ht="32.1" customHeight="1" x14ac:dyDescent="0.15"/>
    <row r="32628" s="76" customFormat="1" ht="32.1" customHeight="1" x14ac:dyDescent="0.15"/>
    <row r="32629" s="76" customFormat="1" ht="21.95" customHeight="1" x14ac:dyDescent="0.15"/>
    <row r="32630" s="76" customFormat="1" ht="54" customHeight="1" x14ac:dyDescent="0.15"/>
    <row r="32631" s="76" customFormat="1" ht="21.95" customHeight="1" x14ac:dyDescent="0.15"/>
    <row r="32632" s="76" customFormat="1" ht="21.95" customHeight="1" x14ac:dyDescent="0.15"/>
    <row r="32633" s="76" customFormat="1" ht="21.95" customHeight="1" x14ac:dyDescent="0.15"/>
    <row r="32634" s="76" customFormat="1" ht="21.95" customHeight="1" x14ac:dyDescent="0.15"/>
    <row r="32635" s="76" customFormat="1" ht="21.95" customHeight="1" x14ac:dyDescent="0.15"/>
    <row r="32636" s="76" customFormat="1" ht="21.95" customHeight="1" x14ac:dyDescent="0.15"/>
    <row r="32637" s="76" customFormat="1" ht="21.95" customHeight="1" x14ac:dyDescent="0.15"/>
    <row r="32638" s="76" customFormat="1" ht="21.95" customHeight="1" x14ac:dyDescent="0.15"/>
    <row r="32639" s="76" customFormat="1" ht="21.95" customHeight="1" x14ac:dyDescent="0.15"/>
    <row r="32640" s="76" customFormat="1" ht="21.95" customHeight="1" x14ac:dyDescent="0.15"/>
    <row r="32641" s="76" customFormat="1" ht="21.95" customHeight="1" x14ac:dyDescent="0.15"/>
    <row r="32642" s="76" customFormat="1" ht="21.95" customHeight="1" x14ac:dyDescent="0.15"/>
    <row r="32643" s="76" customFormat="1" ht="21.95" customHeight="1" x14ac:dyDescent="0.15"/>
    <row r="32644" s="76" customFormat="1" ht="21.95" customHeight="1" x14ac:dyDescent="0.15"/>
    <row r="32645" s="76" customFormat="1" ht="21.95" customHeight="1" x14ac:dyDescent="0.15"/>
    <row r="32646" s="76" customFormat="1" ht="21.95" customHeight="1" x14ac:dyDescent="0.15"/>
    <row r="32647" s="76" customFormat="1" ht="21.95" customHeight="1" x14ac:dyDescent="0.15"/>
    <row r="32648" s="76" customFormat="1" ht="21.95" customHeight="1" x14ac:dyDescent="0.15"/>
    <row r="32649" s="76" customFormat="1" ht="21.95" customHeight="1" x14ac:dyDescent="0.15"/>
    <row r="32650" s="76" customFormat="1" ht="21.95" customHeight="1" x14ac:dyDescent="0.15"/>
    <row r="32651" s="76" customFormat="1" ht="21.95" customHeight="1" x14ac:dyDescent="0.15"/>
    <row r="32652" s="76" customFormat="1" ht="21.95" customHeight="1" x14ac:dyDescent="0.15"/>
    <row r="32653" s="76" customFormat="1" ht="21.95" customHeight="1" x14ac:dyDescent="0.15"/>
    <row r="32654" s="76" customFormat="1" ht="21.95" customHeight="1" x14ac:dyDescent="0.15"/>
    <row r="32655" s="76" customFormat="1" ht="21.95" customHeight="1" x14ac:dyDescent="0.15"/>
    <row r="32656" s="76" customFormat="1" ht="21.95" customHeight="1" x14ac:dyDescent="0.15"/>
    <row r="32657" s="76" customFormat="1" ht="21.95" customHeight="1" x14ac:dyDescent="0.15"/>
    <row r="32658" s="76" customFormat="1" ht="21.95" customHeight="1" x14ac:dyDescent="0.15"/>
    <row r="32659" s="76" customFormat="1" ht="21.95" customHeight="1" x14ac:dyDescent="0.15"/>
    <row r="32660" s="76" customFormat="1" ht="21.95" customHeight="1" x14ac:dyDescent="0.15"/>
    <row r="32661" s="76" customFormat="1" ht="21.95" customHeight="1" x14ac:dyDescent="0.15"/>
    <row r="32662" s="76" customFormat="1" ht="21.95" customHeight="1" x14ac:dyDescent="0.15"/>
    <row r="32663" s="76" customFormat="1" ht="21.95" customHeight="1" x14ac:dyDescent="0.15"/>
    <row r="32664" s="76" customFormat="1" ht="21.95" customHeight="1" x14ac:dyDescent="0.15"/>
    <row r="32665" s="76" customFormat="1" ht="21.95" customHeight="1" x14ac:dyDescent="0.15"/>
    <row r="32666" s="76" customFormat="1" ht="21.95" customHeight="1" x14ac:dyDescent="0.15"/>
    <row r="32667" s="76" customFormat="1" ht="21.95" customHeight="1" x14ac:dyDescent="0.15"/>
    <row r="32668" s="76" customFormat="1" ht="21.95" customHeight="1" x14ac:dyDescent="0.15"/>
    <row r="32669" s="76" customFormat="1" ht="21.95" customHeight="1" x14ac:dyDescent="0.15"/>
    <row r="32670" s="76" customFormat="1" ht="21.95" customHeight="1" x14ac:dyDescent="0.15"/>
    <row r="32671" s="76" customFormat="1" ht="21.95" customHeight="1" x14ac:dyDescent="0.15"/>
    <row r="32672" s="76" customFormat="1" ht="21.95" customHeight="1" x14ac:dyDescent="0.15"/>
    <row r="32673" s="76" customFormat="1" ht="21.95" customHeight="1" x14ac:dyDescent="0.15"/>
    <row r="32674" s="76" customFormat="1" ht="21.95" customHeight="1" x14ac:dyDescent="0.15"/>
    <row r="32675" s="76" customFormat="1" ht="21.95" customHeight="1" x14ac:dyDescent="0.15"/>
    <row r="32676" s="76" customFormat="1" ht="21.95" customHeight="1" x14ac:dyDescent="0.15"/>
    <row r="32677" s="76" customFormat="1" ht="21.95" customHeight="1" x14ac:dyDescent="0.15"/>
    <row r="32678" s="76" customFormat="1" ht="21.95" customHeight="1" x14ac:dyDescent="0.15"/>
    <row r="32679" s="76" customFormat="1" ht="21.95" customHeight="1" x14ac:dyDescent="0.15"/>
    <row r="32680" s="76" customFormat="1" ht="21.95" customHeight="1" x14ac:dyDescent="0.15"/>
    <row r="32681" s="76" customFormat="1" ht="35.1" customHeight="1" x14ac:dyDescent="0.15"/>
    <row r="32682" s="76" customFormat="1" ht="21.95" customHeight="1" x14ac:dyDescent="0.15"/>
    <row r="32683" s="76" customFormat="1" ht="21.95" customHeight="1" x14ac:dyDescent="0.15"/>
    <row r="32684" s="76" customFormat="1" ht="21.95" customHeight="1" x14ac:dyDescent="0.15"/>
    <row r="32685" s="76" customFormat="1" ht="21.95" customHeight="1" x14ac:dyDescent="0.15"/>
    <row r="32686" s="76" customFormat="1" ht="21.95" customHeight="1" x14ac:dyDescent="0.15"/>
    <row r="32687" s="76" customFormat="1" ht="21.95" customHeight="1" x14ac:dyDescent="0.15"/>
    <row r="32688" s="76" customFormat="1" ht="21.95" customHeight="1" x14ac:dyDescent="0.15"/>
    <row r="32689" s="76" customFormat="1" ht="21.95" customHeight="1" x14ac:dyDescent="0.15"/>
    <row r="32690" s="76" customFormat="1" ht="21.95" customHeight="1" x14ac:dyDescent="0.15"/>
    <row r="32691" s="76" customFormat="1" ht="21.95" customHeight="1" x14ac:dyDescent="0.15"/>
    <row r="32692" s="76" customFormat="1" ht="21.95" customHeight="1" x14ac:dyDescent="0.15"/>
    <row r="32693" s="76" customFormat="1" ht="21.95" customHeight="1" x14ac:dyDescent="0.15"/>
    <row r="32694" s="76" customFormat="1" ht="21.95" customHeight="1" x14ac:dyDescent="0.15"/>
    <row r="32695" s="76" customFormat="1" ht="21.95" customHeight="1" x14ac:dyDescent="0.15"/>
    <row r="32696" s="76" customFormat="1" ht="21.95" customHeight="1" x14ac:dyDescent="0.15"/>
    <row r="32697" s="76" customFormat="1" ht="21.95" customHeight="1" x14ac:dyDescent="0.15"/>
    <row r="32698" s="76" customFormat="1" ht="21.95" customHeight="1" x14ac:dyDescent="0.15"/>
    <row r="32699" s="76" customFormat="1" ht="21.95" customHeight="1" x14ac:dyDescent="0.15"/>
    <row r="32700" s="76" customFormat="1" ht="21.95" customHeight="1" x14ac:dyDescent="0.15"/>
    <row r="32701" s="76" customFormat="1" ht="21.95" customHeight="1" x14ac:dyDescent="0.15"/>
    <row r="32702" s="76" customFormat="1" ht="21.95" customHeight="1" x14ac:dyDescent="0.15"/>
    <row r="32703" s="76" customFormat="1" ht="21.95" customHeight="1" x14ac:dyDescent="0.15"/>
    <row r="32704" s="76" customFormat="1" ht="21.95" customHeight="1" x14ac:dyDescent="0.15"/>
    <row r="32705" spans="3:3" customFormat="1" ht="21.95" customHeight="1" x14ac:dyDescent="0.15"/>
    <row r="32706" spans="3:3" customFormat="1" ht="21.95" customHeight="1" x14ac:dyDescent="0.15"/>
    <row r="32707" spans="3:3" customFormat="1" ht="21.95" customHeight="1" x14ac:dyDescent="0.15">
      <c r="C32707" s="94"/>
    </row>
    <row r="32708" spans="3:3" customFormat="1" ht="21.95" customHeight="1" x14ac:dyDescent="0.15">
      <c r="C32708" s="94"/>
    </row>
    <row r="32709" spans="3:3" customFormat="1" ht="21.95" customHeight="1" x14ac:dyDescent="0.15"/>
    <row r="32710" spans="3:3" customFormat="1" ht="21.95" customHeight="1" x14ac:dyDescent="0.15"/>
    <row r="32711" spans="3:3" customFormat="1" ht="21.95" customHeight="1" x14ac:dyDescent="0.15"/>
    <row r="32712" spans="3:3" customFormat="1" ht="21.95" customHeight="1" x14ac:dyDescent="0.15"/>
    <row r="32713" spans="3:3" customFormat="1" ht="21.95" customHeight="1" x14ac:dyDescent="0.15"/>
    <row r="32714" spans="3:3" customFormat="1" ht="21.95" customHeight="1" x14ac:dyDescent="0.15"/>
    <row r="32715" spans="3:3" customFormat="1" ht="21.95" customHeight="1" x14ac:dyDescent="0.15"/>
    <row r="32716" spans="3:3" s="76" customFormat="1" ht="21.95" customHeight="1" x14ac:dyDescent="0.15"/>
    <row r="32717" spans="3:3" s="76" customFormat="1" ht="21.95" customHeight="1" x14ac:dyDescent="0.15"/>
    <row r="32718" spans="3:3" s="76" customFormat="1" ht="21.95" customHeight="1" x14ac:dyDescent="0.15"/>
    <row r="32719" spans="3:3" s="76" customFormat="1" ht="21.95" customHeight="1" x14ac:dyDescent="0.15"/>
    <row r="32720" spans="3:3" customFormat="1" ht="21.95" customHeight="1" x14ac:dyDescent="0.15"/>
    <row r="32721" customFormat="1" ht="21.95" customHeight="1" x14ac:dyDescent="0.15"/>
    <row r="32722" customFormat="1" ht="21.95" customHeight="1" x14ac:dyDescent="0.15"/>
    <row r="32723" customFormat="1" ht="21.95" customHeight="1" x14ac:dyDescent="0.15"/>
    <row r="32724" customFormat="1" ht="21.95" customHeight="1" x14ac:dyDescent="0.15"/>
    <row r="32725" customFormat="1" ht="21.95" customHeight="1" x14ac:dyDescent="0.15"/>
    <row r="32726" customFormat="1" ht="21.95" customHeight="1" x14ac:dyDescent="0.15"/>
    <row r="32727" customFormat="1" ht="21.95" customHeight="1" x14ac:dyDescent="0.15"/>
    <row r="32728" customFormat="1" ht="21.95" customHeight="1" x14ac:dyDescent="0.15"/>
    <row r="32729" customFormat="1" ht="21.95" customHeight="1" x14ac:dyDescent="0.15"/>
    <row r="32730" customFormat="1" ht="21.95" customHeight="1" x14ac:dyDescent="0.15"/>
    <row r="32731" customFormat="1" ht="32.1" customHeight="1" x14ac:dyDescent="0.15"/>
    <row r="32732" customFormat="1" ht="32.1" customHeight="1" x14ac:dyDescent="0.15"/>
    <row r="32733" customFormat="1" ht="32.1" customHeight="1" x14ac:dyDescent="0.15"/>
    <row r="32734" customFormat="1" ht="32.1" customHeight="1" x14ac:dyDescent="0.15"/>
    <row r="32735" customFormat="1" ht="32.1" customHeight="1" x14ac:dyDescent="0.15"/>
    <row r="32736" customFormat="1" ht="32.1" customHeight="1" x14ac:dyDescent="0.15"/>
    <row r="32737" s="76" customFormat="1" ht="32.1" customHeight="1" x14ac:dyDescent="0.15"/>
    <row r="32738" s="76" customFormat="1" ht="32.1" customHeight="1" x14ac:dyDescent="0.15"/>
    <row r="32739" s="76" customFormat="1" ht="32.1" customHeight="1" x14ac:dyDescent="0.15"/>
    <row r="32740" s="76" customFormat="1" ht="32.1" customHeight="1" x14ac:dyDescent="0.15"/>
    <row r="32741" s="76" customFormat="1" ht="21.95" customHeight="1" x14ac:dyDescent="0.15"/>
    <row r="32742" s="76" customFormat="1" ht="54" customHeight="1" x14ac:dyDescent="0.15"/>
    <row r="32743" s="76" customFormat="1" ht="21.95" customHeight="1" x14ac:dyDescent="0.15"/>
    <row r="32744" s="76" customFormat="1" ht="21.95" customHeight="1" x14ac:dyDescent="0.15"/>
    <row r="32745" s="76" customFormat="1" ht="21.95" customHeight="1" x14ac:dyDescent="0.15"/>
    <row r="32746" s="76" customFormat="1" ht="21.95" customHeight="1" x14ac:dyDescent="0.15"/>
    <row r="32747" s="76" customFormat="1" ht="21.95" customHeight="1" x14ac:dyDescent="0.15"/>
    <row r="32748" s="76" customFormat="1" ht="21.95" customHeight="1" x14ac:dyDescent="0.15"/>
    <row r="32749" s="76" customFormat="1" ht="21.95" customHeight="1" x14ac:dyDescent="0.15"/>
    <row r="32750" s="76" customFormat="1" ht="21.95" customHeight="1" x14ac:dyDescent="0.15"/>
    <row r="32751" s="76" customFormat="1" ht="21.95" customHeight="1" x14ac:dyDescent="0.15"/>
    <row r="32752" s="76" customFormat="1" ht="21.95" customHeight="1" x14ac:dyDescent="0.15"/>
    <row r="32753" s="76" customFormat="1" ht="21.95" customHeight="1" x14ac:dyDescent="0.15"/>
    <row r="32754" s="76" customFormat="1" ht="21.95" customHeight="1" x14ac:dyDescent="0.15"/>
    <row r="32755" s="76" customFormat="1" ht="21.95" customHeight="1" x14ac:dyDescent="0.15"/>
    <row r="32756" s="76" customFormat="1" ht="21.95" customHeight="1" x14ac:dyDescent="0.15"/>
    <row r="32757" s="76" customFormat="1" ht="21.95" customHeight="1" x14ac:dyDescent="0.15"/>
    <row r="32758" s="76" customFormat="1" ht="21.95" customHeight="1" x14ac:dyDescent="0.15"/>
    <row r="32759" s="76" customFormat="1" ht="21.95" customHeight="1" x14ac:dyDescent="0.15"/>
    <row r="32760" s="76" customFormat="1" ht="21.95" customHeight="1" x14ac:dyDescent="0.15"/>
    <row r="32761" s="76" customFormat="1" ht="21.95" customHeight="1" x14ac:dyDescent="0.15"/>
    <row r="32762" s="76" customFormat="1" ht="21.95" customHeight="1" x14ac:dyDescent="0.15"/>
    <row r="32763" s="76" customFormat="1" ht="21.95" customHeight="1" x14ac:dyDescent="0.15"/>
    <row r="32764" s="76" customFormat="1" ht="21.95" customHeight="1" x14ac:dyDescent="0.15"/>
    <row r="32765" s="76" customFormat="1" ht="21.95" customHeight="1" x14ac:dyDescent="0.15"/>
    <row r="32766" s="76" customFormat="1" ht="21.95" customHeight="1" x14ac:dyDescent="0.15"/>
    <row r="32767" s="76" customFormat="1" ht="21.95" customHeight="1" x14ac:dyDescent="0.15"/>
    <row r="32768" s="76" customFormat="1" ht="21.95" customHeight="1" x14ac:dyDescent="0.15"/>
    <row r="32769" s="76" customFormat="1" ht="21.95" customHeight="1" x14ac:dyDescent="0.15"/>
    <row r="32770" s="76" customFormat="1" ht="21.95" customHeight="1" x14ac:dyDescent="0.15"/>
    <row r="32771" s="76" customFormat="1" ht="21.95" customHeight="1" x14ac:dyDescent="0.15"/>
    <row r="32772" s="76" customFormat="1" ht="21.95" customHeight="1" x14ac:dyDescent="0.15"/>
    <row r="32773" s="76" customFormat="1" ht="21.95" customHeight="1" x14ac:dyDescent="0.15"/>
    <row r="32774" s="76" customFormat="1" ht="21.95" customHeight="1" x14ac:dyDescent="0.15"/>
    <row r="32775" s="76" customFormat="1" ht="21.95" customHeight="1" x14ac:dyDescent="0.15"/>
    <row r="32776" s="76" customFormat="1" ht="21.95" customHeight="1" x14ac:dyDescent="0.15"/>
    <row r="32777" s="76" customFormat="1" ht="21.95" customHeight="1" x14ac:dyDescent="0.15"/>
    <row r="32778" s="76" customFormat="1" ht="21.95" customHeight="1" x14ac:dyDescent="0.15"/>
    <row r="32779" s="76" customFormat="1" ht="21.95" customHeight="1" x14ac:dyDescent="0.15"/>
    <row r="32780" s="76" customFormat="1" ht="21.95" customHeight="1" x14ac:dyDescent="0.15"/>
    <row r="32781" s="76" customFormat="1" ht="21.95" customHeight="1" x14ac:dyDescent="0.15"/>
    <row r="32782" s="76" customFormat="1" ht="21.95" customHeight="1" x14ac:dyDescent="0.15"/>
    <row r="32783" s="76" customFormat="1" ht="21.95" customHeight="1" x14ac:dyDescent="0.15"/>
    <row r="32784" s="76" customFormat="1" ht="21.95" customHeight="1" x14ac:dyDescent="0.15"/>
    <row r="32785" s="76" customFormat="1" ht="21.95" customHeight="1" x14ac:dyDescent="0.15"/>
    <row r="32786" s="76" customFormat="1" ht="21.95" customHeight="1" x14ac:dyDescent="0.15"/>
    <row r="32787" s="76" customFormat="1" ht="21.95" customHeight="1" x14ac:dyDescent="0.15"/>
    <row r="32788" s="76" customFormat="1" ht="21.95" customHeight="1" x14ac:dyDescent="0.15"/>
    <row r="32789" s="76" customFormat="1" ht="21.95" customHeight="1" x14ac:dyDescent="0.15"/>
    <row r="32790" s="76" customFormat="1" ht="21.95" customHeight="1" x14ac:dyDescent="0.15"/>
    <row r="32791" s="76" customFormat="1" ht="21.95" customHeight="1" x14ac:dyDescent="0.15"/>
    <row r="32792" s="76" customFormat="1" ht="21.95" customHeight="1" x14ac:dyDescent="0.15"/>
    <row r="32793" s="76" customFormat="1" ht="35.1" customHeight="1" x14ac:dyDescent="0.15"/>
    <row r="32794" s="76" customFormat="1" ht="21.95" customHeight="1" x14ac:dyDescent="0.15"/>
    <row r="32795" s="76" customFormat="1" ht="21.95" customHeight="1" x14ac:dyDescent="0.15"/>
    <row r="32796" s="76" customFormat="1" ht="21.95" customHeight="1" x14ac:dyDescent="0.15"/>
    <row r="32797" s="76" customFormat="1" ht="21.95" customHeight="1" x14ac:dyDescent="0.15"/>
    <row r="32798" s="76" customFormat="1" ht="21.95" customHeight="1" x14ac:dyDescent="0.15"/>
    <row r="32799" s="76" customFormat="1" ht="21.95" customHeight="1" x14ac:dyDescent="0.15"/>
    <row r="32800" s="76" customFormat="1" ht="21.95" customHeight="1" x14ac:dyDescent="0.15"/>
    <row r="32801" s="76" customFormat="1" ht="21.95" customHeight="1" x14ac:dyDescent="0.15"/>
    <row r="32802" s="76" customFormat="1" ht="21.95" customHeight="1" x14ac:dyDescent="0.15"/>
    <row r="32803" s="76" customFormat="1" ht="21.95" customHeight="1" x14ac:dyDescent="0.15"/>
    <row r="32804" s="76" customFormat="1" ht="21.95" customHeight="1" x14ac:dyDescent="0.15"/>
    <row r="32805" s="76" customFormat="1" ht="21.95" customHeight="1" x14ac:dyDescent="0.15"/>
    <row r="32806" s="76" customFormat="1" ht="21.95" customHeight="1" x14ac:dyDescent="0.15"/>
    <row r="32807" s="76" customFormat="1" ht="21.95" customHeight="1" x14ac:dyDescent="0.15"/>
    <row r="32808" s="76" customFormat="1" ht="21.95" customHeight="1" x14ac:dyDescent="0.15"/>
    <row r="32809" s="76" customFormat="1" ht="21.95" customHeight="1" x14ac:dyDescent="0.15"/>
    <row r="32810" s="76" customFormat="1" ht="21.95" customHeight="1" x14ac:dyDescent="0.15"/>
    <row r="32811" s="76" customFormat="1" ht="21.95" customHeight="1" x14ac:dyDescent="0.15"/>
    <row r="32812" s="76" customFormat="1" ht="21.95" customHeight="1" x14ac:dyDescent="0.15"/>
    <row r="32813" s="76" customFormat="1" ht="21.95" customHeight="1" x14ac:dyDescent="0.15"/>
    <row r="32814" s="76" customFormat="1" ht="21.95" customHeight="1" x14ac:dyDescent="0.15"/>
    <row r="32815" s="76" customFormat="1" ht="21.95" customHeight="1" x14ac:dyDescent="0.15"/>
    <row r="32816" s="76" customFormat="1" ht="21.95" customHeight="1" x14ac:dyDescent="0.15"/>
    <row r="32817" spans="3:3" customFormat="1" ht="21.95" customHeight="1" x14ac:dyDescent="0.15"/>
    <row r="32818" spans="3:3" customFormat="1" ht="21.95" customHeight="1" x14ac:dyDescent="0.15"/>
    <row r="32819" spans="3:3" customFormat="1" ht="21.95" customHeight="1" x14ac:dyDescent="0.15">
      <c r="C32819" s="94"/>
    </row>
    <row r="32820" spans="3:3" customFormat="1" ht="21.95" customHeight="1" x14ac:dyDescent="0.15">
      <c r="C32820" s="94"/>
    </row>
    <row r="32821" spans="3:3" customFormat="1" ht="21.95" customHeight="1" x14ac:dyDescent="0.15"/>
    <row r="32822" spans="3:3" customFormat="1" ht="21.95" customHeight="1" x14ac:dyDescent="0.15"/>
    <row r="32823" spans="3:3" customFormat="1" ht="21.95" customHeight="1" x14ac:dyDescent="0.15"/>
    <row r="32824" spans="3:3" customFormat="1" ht="21.95" customHeight="1" x14ac:dyDescent="0.15"/>
    <row r="32825" spans="3:3" customFormat="1" ht="21.95" customHeight="1" x14ac:dyDescent="0.15"/>
    <row r="32826" spans="3:3" customFormat="1" ht="21.95" customHeight="1" x14ac:dyDescent="0.15"/>
    <row r="32827" spans="3:3" customFormat="1" ht="21.95" customHeight="1" x14ac:dyDescent="0.15"/>
    <row r="32828" spans="3:3" s="76" customFormat="1" ht="21.95" customHeight="1" x14ac:dyDescent="0.15"/>
    <row r="32829" spans="3:3" s="76" customFormat="1" ht="21.95" customHeight="1" x14ac:dyDescent="0.15"/>
    <row r="32830" spans="3:3" s="76" customFormat="1" ht="21.95" customHeight="1" x14ac:dyDescent="0.15"/>
    <row r="32831" spans="3:3" s="76" customFormat="1" ht="21.95" customHeight="1" x14ac:dyDescent="0.15"/>
    <row r="32832" spans="3:3" customFormat="1" ht="21.95" customHeight="1" x14ac:dyDescent="0.15"/>
    <row r="32833" customFormat="1" ht="21.95" customHeight="1" x14ac:dyDescent="0.15"/>
    <row r="32834" customFormat="1" ht="21.95" customHeight="1" x14ac:dyDescent="0.15"/>
    <row r="32835" customFormat="1" ht="21.95" customHeight="1" x14ac:dyDescent="0.15"/>
    <row r="32836" customFormat="1" ht="21.95" customHeight="1" x14ac:dyDescent="0.15"/>
    <row r="32837" customFormat="1" ht="21.95" customHeight="1" x14ac:dyDescent="0.15"/>
    <row r="32838" customFormat="1" ht="21.95" customHeight="1" x14ac:dyDescent="0.15"/>
    <row r="32839" customFormat="1" ht="21.95" customHeight="1" x14ac:dyDescent="0.15"/>
    <row r="32840" customFormat="1" ht="21.95" customHeight="1" x14ac:dyDescent="0.15"/>
    <row r="32841" customFormat="1" ht="21.95" customHeight="1" x14ac:dyDescent="0.15"/>
    <row r="32842" customFormat="1" ht="21.95" customHeight="1" x14ac:dyDescent="0.15"/>
    <row r="32843" customFormat="1" ht="32.1" customHeight="1" x14ac:dyDescent="0.15"/>
    <row r="32844" customFormat="1" ht="32.1" customHeight="1" x14ac:dyDescent="0.15"/>
    <row r="32845" customFormat="1" ht="32.1" customHeight="1" x14ac:dyDescent="0.15"/>
    <row r="32846" customFormat="1" ht="32.1" customHeight="1" x14ac:dyDescent="0.15"/>
    <row r="32847" customFormat="1" ht="32.1" customHeight="1" x14ac:dyDescent="0.15"/>
    <row r="32848" customFormat="1" ht="32.1" customHeight="1" x14ac:dyDescent="0.15"/>
    <row r="32849" s="76" customFormat="1" ht="32.1" customHeight="1" x14ac:dyDescent="0.15"/>
    <row r="32850" s="76" customFormat="1" ht="32.1" customHeight="1" x14ac:dyDescent="0.15"/>
    <row r="32851" s="76" customFormat="1" ht="32.1" customHeight="1" x14ac:dyDescent="0.15"/>
    <row r="32852" s="76" customFormat="1" ht="32.1" customHeight="1" x14ac:dyDescent="0.15"/>
    <row r="32853" s="76" customFormat="1" ht="21.95" customHeight="1" x14ac:dyDescent="0.15"/>
    <row r="32854" s="76" customFormat="1" ht="54" customHeight="1" x14ac:dyDescent="0.15"/>
    <row r="32855" s="76" customFormat="1" ht="21.95" customHeight="1" x14ac:dyDescent="0.15"/>
    <row r="32856" s="76" customFormat="1" ht="21.95" customHeight="1" x14ac:dyDescent="0.15"/>
    <row r="32857" s="76" customFormat="1" ht="21.95" customHeight="1" x14ac:dyDescent="0.15"/>
    <row r="32858" s="76" customFormat="1" ht="21.95" customHeight="1" x14ac:dyDescent="0.15"/>
    <row r="32859" s="76" customFormat="1" ht="21.95" customHeight="1" x14ac:dyDescent="0.15"/>
    <row r="32860" s="76" customFormat="1" ht="21.95" customHeight="1" x14ac:dyDescent="0.15"/>
    <row r="32861" s="76" customFormat="1" ht="21.95" customHeight="1" x14ac:dyDescent="0.15"/>
    <row r="32862" s="76" customFormat="1" ht="21.95" customHeight="1" x14ac:dyDescent="0.15"/>
    <row r="32863" s="76" customFormat="1" ht="21.95" customHeight="1" x14ac:dyDescent="0.15"/>
    <row r="32864" s="76" customFormat="1" ht="21.95" customHeight="1" x14ac:dyDescent="0.15"/>
    <row r="32865" s="76" customFormat="1" ht="21.95" customHeight="1" x14ac:dyDescent="0.15"/>
    <row r="32866" s="76" customFormat="1" ht="21.95" customHeight="1" x14ac:dyDescent="0.15"/>
    <row r="32867" s="76" customFormat="1" ht="21.95" customHeight="1" x14ac:dyDescent="0.15"/>
    <row r="32868" s="76" customFormat="1" ht="21.95" customHeight="1" x14ac:dyDescent="0.15"/>
    <row r="32869" s="76" customFormat="1" ht="21.95" customHeight="1" x14ac:dyDescent="0.15"/>
    <row r="32870" s="76" customFormat="1" ht="21.95" customHeight="1" x14ac:dyDescent="0.15"/>
    <row r="32871" s="76" customFormat="1" ht="21.95" customHeight="1" x14ac:dyDescent="0.15"/>
    <row r="32872" s="76" customFormat="1" ht="21.95" customHeight="1" x14ac:dyDescent="0.15"/>
    <row r="32873" s="76" customFormat="1" ht="21.95" customHeight="1" x14ac:dyDescent="0.15"/>
    <row r="32874" s="76" customFormat="1" ht="21.95" customHeight="1" x14ac:dyDescent="0.15"/>
    <row r="32875" s="76" customFormat="1" ht="21.95" customHeight="1" x14ac:dyDescent="0.15"/>
    <row r="32876" s="76" customFormat="1" ht="21.95" customHeight="1" x14ac:dyDescent="0.15"/>
    <row r="32877" s="76" customFormat="1" ht="21.95" customHeight="1" x14ac:dyDescent="0.15"/>
    <row r="32878" s="76" customFormat="1" ht="21.95" customHeight="1" x14ac:dyDescent="0.15"/>
    <row r="32879" s="76" customFormat="1" ht="21.95" customHeight="1" x14ac:dyDescent="0.15"/>
    <row r="32880" s="76" customFormat="1" ht="21.95" customHeight="1" x14ac:dyDescent="0.15"/>
    <row r="32881" s="76" customFormat="1" ht="21.95" customHeight="1" x14ac:dyDescent="0.15"/>
    <row r="32882" s="76" customFormat="1" ht="21.95" customHeight="1" x14ac:dyDescent="0.15"/>
    <row r="32883" s="76" customFormat="1" ht="21.95" customHeight="1" x14ac:dyDescent="0.15"/>
    <row r="32884" s="76" customFormat="1" ht="21.95" customHeight="1" x14ac:dyDescent="0.15"/>
    <row r="32885" s="76" customFormat="1" ht="21.95" customHeight="1" x14ac:dyDescent="0.15"/>
    <row r="32886" s="76" customFormat="1" ht="21.95" customHeight="1" x14ac:dyDescent="0.15"/>
    <row r="32887" s="76" customFormat="1" ht="21.95" customHeight="1" x14ac:dyDescent="0.15"/>
    <row r="32888" s="76" customFormat="1" ht="21.95" customHeight="1" x14ac:dyDescent="0.15"/>
    <row r="32889" s="76" customFormat="1" ht="21.95" customHeight="1" x14ac:dyDescent="0.15"/>
    <row r="32890" s="76" customFormat="1" ht="21.95" customHeight="1" x14ac:dyDescent="0.15"/>
    <row r="32891" s="76" customFormat="1" ht="21.95" customHeight="1" x14ac:dyDescent="0.15"/>
    <row r="32892" s="76" customFormat="1" ht="21.95" customHeight="1" x14ac:dyDescent="0.15"/>
    <row r="32893" s="76" customFormat="1" ht="21.95" customHeight="1" x14ac:dyDescent="0.15"/>
    <row r="32894" s="76" customFormat="1" ht="21.95" customHeight="1" x14ac:dyDescent="0.15"/>
    <row r="32895" s="76" customFormat="1" ht="21.95" customHeight="1" x14ac:dyDescent="0.15"/>
    <row r="32896" s="76" customFormat="1" ht="21.95" customHeight="1" x14ac:dyDescent="0.15"/>
    <row r="32897" s="76" customFormat="1" ht="21.95" customHeight="1" x14ac:dyDescent="0.15"/>
    <row r="32898" s="76" customFormat="1" ht="21.95" customHeight="1" x14ac:dyDescent="0.15"/>
    <row r="32899" s="76" customFormat="1" ht="21.95" customHeight="1" x14ac:dyDescent="0.15"/>
    <row r="32900" s="76" customFormat="1" ht="21.95" customHeight="1" x14ac:dyDescent="0.15"/>
    <row r="32901" s="76" customFormat="1" ht="21.95" customHeight="1" x14ac:dyDescent="0.15"/>
    <row r="32902" s="76" customFormat="1" ht="21.95" customHeight="1" x14ac:dyDescent="0.15"/>
    <row r="32903" s="76" customFormat="1" ht="21.95" customHeight="1" x14ac:dyDescent="0.15"/>
    <row r="32904" s="76" customFormat="1" ht="21.95" customHeight="1" x14ac:dyDescent="0.15"/>
    <row r="32905" s="76" customFormat="1" ht="35.1" customHeight="1" x14ac:dyDescent="0.15"/>
    <row r="32906" s="76" customFormat="1" ht="21.95" customHeight="1" x14ac:dyDescent="0.15"/>
    <row r="32907" s="76" customFormat="1" ht="21.95" customHeight="1" x14ac:dyDescent="0.15"/>
    <row r="32908" s="76" customFormat="1" ht="21.95" customHeight="1" x14ac:dyDescent="0.15"/>
    <row r="32909" s="76" customFormat="1" ht="21.95" customHeight="1" x14ac:dyDescent="0.15"/>
    <row r="32910" s="76" customFormat="1" ht="21.95" customHeight="1" x14ac:dyDescent="0.15"/>
    <row r="32911" s="76" customFormat="1" ht="21.95" customHeight="1" x14ac:dyDescent="0.15"/>
    <row r="32912" s="76" customFormat="1" ht="21.95" customHeight="1" x14ac:dyDescent="0.15"/>
    <row r="32913" s="76" customFormat="1" ht="21.95" customHeight="1" x14ac:dyDescent="0.15"/>
    <row r="32914" s="76" customFormat="1" ht="21.95" customHeight="1" x14ac:dyDescent="0.15"/>
    <row r="32915" s="76" customFormat="1" ht="21.95" customHeight="1" x14ac:dyDescent="0.15"/>
    <row r="32916" s="76" customFormat="1" ht="21.95" customHeight="1" x14ac:dyDescent="0.15"/>
    <row r="32917" s="76" customFormat="1" ht="21.95" customHeight="1" x14ac:dyDescent="0.15"/>
    <row r="32918" s="76" customFormat="1" ht="21.95" customHeight="1" x14ac:dyDescent="0.15"/>
    <row r="32919" s="76" customFormat="1" ht="21.95" customHeight="1" x14ac:dyDescent="0.15"/>
    <row r="32920" s="76" customFormat="1" ht="21.95" customHeight="1" x14ac:dyDescent="0.15"/>
    <row r="32921" s="76" customFormat="1" ht="21.95" customHeight="1" x14ac:dyDescent="0.15"/>
    <row r="32922" s="76" customFormat="1" ht="21.95" customHeight="1" x14ac:dyDescent="0.15"/>
    <row r="32923" s="76" customFormat="1" ht="21.95" customHeight="1" x14ac:dyDescent="0.15"/>
    <row r="32924" s="76" customFormat="1" ht="21.95" customHeight="1" x14ac:dyDescent="0.15"/>
    <row r="32925" s="76" customFormat="1" ht="21.95" customHeight="1" x14ac:dyDescent="0.15"/>
    <row r="32926" s="76" customFormat="1" ht="21.95" customHeight="1" x14ac:dyDescent="0.15"/>
    <row r="32927" s="76" customFormat="1" ht="21.95" customHeight="1" x14ac:dyDescent="0.15"/>
    <row r="32928" s="76" customFormat="1" ht="21.95" customHeight="1" x14ac:dyDescent="0.15"/>
    <row r="32929" spans="3:3" customFormat="1" ht="21.95" customHeight="1" x14ac:dyDescent="0.15"/>
    <row r="32930" spans="3:3" customFormat="1" ht="21.95" customHeight="1" x14ac:dyDescent="0.15"/>
    <row r="32931" spans="3:3" customFormat="1" ht="21.95" customHeight="1" x14ac:dyDescent="0.15">
      <c r="C32931" s="94"/>
    </row>
    <row r="32932" spans="3:3" customFormat="1" ht="21.95" customHeight="1" x14ac:dyDescent="0.15">
      <c r="C32932" s="94"/>
    </row>
    <row r="32933" spans="3:3" customFormat="1" ht="21.95" customHeight="1" x14ac:dyDescent="0.15"/>
    <row r="32934" spans="3:3" customFormat="1" ht="21.95" customHeight="1" x14ac:dyDescent="0.15"/>
    <row r="32935" spans="3:3" customFormat="1" ht="21.95" customHeight="1" x14ac:dyDescent="0.15"/>
    <row r="32936" spans="3:3" customFormat="1" ht="21.95" customHeight="1" x14ac:dyDescent="0.15"/>
    <row r="32937" spans="3:3" customFormat="1" ht="21.95" customHeight="1" x14ac:dyDescent="0.15"/>
    <row r="32938" spans="3:3" customFormat="1" ht="21.95" customHeight="1" x14ac:dyDescent="0.15"/>
    <row r="32939" spans="3:3" customFormat="1" ht="21.95" customHeight="1" x14ac:dyDescent="0.15"/>
    <row r="32940" spans="3:3" s="76" customFormat="1" ht="21.95" customHeight="1" x14ac:dyDescent="0.15"/>
    <row r="32941" spans="3:3" s="76" customFormat="1" ht="21.95" customHeight="1" x14ac:dyDescent="0.15"/>
    <row r="32942" spans="3:3" s="76" customFormat="1" ht="21.95" customHeight="1" x14ac:dyDescent="0.15"/>
    <row r="32943" spans="3:3" s="76" customFormat="1" ht="21.95" customHeight="1" x14ac:dyDescent="0.15"/>
    <row r="32944" spans="3:3" customFormat="1" ht="21.95" customHeight="1" x14ac:dyDescent="0.15"/>
    <row r="32945" customFormat="1" ht="21.95" customHeight="1" x14ac:dyDescent="0.15"/>
    <row r="32946" customFormat="1" ht="21.95" customHeight="1" x14ac:dyDescent="0.15"/>
    <row r="32947" customFormat="1" ht="21.95" customHeight="1" x14ac:dyDescent="0.15"/>
    <row r="32948" customFormat="1" ht="21.95" customHeight="1" x14ac:dyDescent="0.15"/>
    <row r="32949" customFormat="1" ht="21.95" customHeight="1" x14ac:dyDescent="0.15"/>
    <row r="32950" customFormat="1" ht="21.95" customHeight="1" x14ac:dyDescent="0.15"/>
    <row r="32951" customFormat="1" ht="21.95" customHeight="1" x14ac:dyDescent="0.15"/>
    <row r="32952" customFormat="1" ht="21.95" customHeight="1" x14ac:dyDescent="0.15"/>
    <row r="32953" customFormat="1" ht="21.95" customHeight="1" x14ac:dyDescent="0.15"/>
    <row r="32954" customFormat="1" ht="21.95" customHeight="1" x14ac:dyDescent="0.15"/>
    <row r="32955" customFormat="1" ht="32.1" customHeight="1" x14ac:dyDescent="0.15"/>
    <row r="32956" customFormat="1" ht="32.1" customHeight="1" x14ac:dyDescent="0.15"/>
    <row r="32957" customFormat="1" ht="32.1" customHeight="1" x14ac:dyDescent="0.15"/>
    <row r="32958" customFormat="1" ht="32.1" customHeight="1" x14ac:dyDescent="0.15"/>
    <row r="32959" customFormat="1" ht="32.1" customHeight="1" x14ac:dyDescent="0.15"/>
    <row r="32960" customFormat="1" ht="32.1" customHeight="1" x14ac:dyDescent="0.15"/>
    <row r="32961" s="76" customFormat="1" ht="32.1" customHeight="1" x14ac:dyDescent="0.15"/>
    <row r="32962" s="76" customFormat="1" ht="32.1" customHeight="1" x14ac:dyDescent="0.15"/>
    <row r="32963" s="76" customFormat="1" ht="32.1" customHeight="1" x14ac:dyDescent="0.15"/>
    <row r="32964" s="76" customFormat="1" ht="32.1" customHeight="1" x14ac:dyDescent="0.15"/>
    <row r="32965" s="76" customFormat="1" ht="21.95" customHeight="1" x14ac:dyDescent="0.15"/>
    <row r="32966" s="76" customFormat="1" ht="54" customHeight="1" x14ac:dyDescent="0.15"/>
    <row r="32967" s="76" customFormat="1" ht="21.95" customHeight="1" x14ac:dyDescent="0.15"/>
    <row r="32968" s="76" customFormat="1" ht="21.95" customHeight="1" x14ac:dyDescent="0.15"/>
    <row r="32969" s="76" customFormat="1" ht="21.95" customHeight="1" x14ac:dyDescent="0.15"/>
    <row r="32970" s="76" customFormat="1" ht="21.95" customHeight="1" x14ac:dyDescent="0.15"/>
    <row r="32971" s="76" customFormat="1" ht="21.95" customHeight="1" x14ac:dyDescent="0.15"/>
    <row r="32972" s="76" customFormat="1" ht="21.95" customHeight="1" x14ac:dyDescent="0.15"/>
    <row r="32973" s="76" customFormat="1" ht="21.95" customHeight="1" x14ac:dyDescent="0.15"/>
    <row r="32974" s="76" customFormat="1" ht="21.95" customHeight="1" x14ac:dyDescent="0.15"/>
    <row r="32975" s="76" customFormat="1" ht="21.95" customHeight="1" x14ac:dyDescent="0.15"/>
    <row r="32976" s="76" customFormat="1" ht="21.95" customHeight="1" x14ac:dyDescent="0.15"/>
    <row r="32977" s="76" customFormat="1" ht="21.95" customHeight="1" x14ac:dyDescent="0.15"/>
    <row r="32978" s="76" customFormat="1" ht="21.95" customHeight="1" x14ac:dyDescent="0.15"/>
    <row r="32979" s="76" customFormat="1" ht="21.95" customHeight="1" x14ac:dyDescent="0.15"/>
    <row r="32980" s="76" customFormat="1" ht="21.95" customHeight="1" x14ac:dyDescent="0.15"/>
    <row r="32981" s="76" customFormat="1" ht="21.95" customHeight="1" x14ac:dyDescent="0.15"/>
    <row r="32982" s="76" customFormat="1" ht="21.95" customHeight="1" x14ac:dyDescent="0.15"/>
    <row r="32983" s="76" customFormat="1" ht="21.95" customHeight="1" x14ac:dyDescent="0.15"/>
    <row r="32984" s="76" customFormat="1" ht="21.95" customHeight="1" x14ac:dyDescent="0.15"/>
    <row r="32985" s="76" customFormat="1" ht="21.95" customHeight="1" x14ac:dyDescent="0.15"/>
    <row r="32986" s="76" customFormat="1" ht="21.95" customHeight="1" x14ac:dyDescent="0.15"/>
    <row r="32987" s="76" customFormat="1" ht="21.95" customHeight="1" x14ac:dyDescent="0.15"/>
    <row r="32988" s="76" customFormat="1" ht="21.95" customHeight="1" x14ac:dyDescent="0.15"/>
    <row r="32989" s="76" customFormat="1" ht="21.95" customHeight="1" x14ac:dyDescent="0.15"/>
    <row r="32990" s="76" customFormat="1" ht="21.95" customHeight="1" x14ac:dyDescent="0.15"/>
    <row r="32991" s="76" customFormat="1" ht="21.95" customHeight="1" x14ac:dyDescent="0.15"/>
    <row r="32992" s="76" customFormat="1" ht="21.95" customHeight="1" x14ac:dyDescent="0.15"/>
    <row r="32993" s="76" customFormat="1" ht="21.95" customHeight="1" x14ac:dyDescent="0.15"/>
    <row r="32994" s="76" customFormat="1" ht="21.95" customHeight="1" x14ac:dyDescent="0.15"/>
    <row r="32995" s="76" customFormat="1" ht="21.95" customHeight="1" x14ac:dyDescent="0.15"/>
    <row r="32996" s="76" customFormat="1" ht="21.95" customHeight="1" x14ac:dyDescent="0.15"/>
    <row r="32997" s="76" customFormat="1" ht="21.95" customHeight="1" x14ac:dyDescent="0.15"/>
    <row r="32998" s="76" customFormat="1" ht="21.95" customHeight="1" x14ac:dyDescent="0.15"/>
    <row r="32999" s="76" customFormat="1" ht="21.95" customHeight="1" x14ac:dyDescent="0.15"/>
    <row r="33000" s="76" customFormat="1" ht="21.95" customHeight="1" x14ac:dyDescent="0.15"/>
    <row r="33001" s="76" customFormat="1" ht="21.95" customHeight="1" x14ac:dyDescent="0.15"/>
    <row r="33002" s="76" customFormat="1" ht="21.95" customHeight="1" x14ac:dyDescent="0.15"/>
    <row r="33003" s="76" customFormat="1" ht="21.95" customHeight="1" x14ac:dyDescent="0.15"/>
    <row r="33004" s="76" customFormat="1" ht="21.95" customHeight="1" x14ac:dyDescent="0.15"/>
    <row r="33005" s="76" customFormat="1" ht="21.95" customHeight="1" x14ac:dyDescent="0.15"/>
    <row r="33006" s="76" customFormat="1" ht="21.95" customHeight="1" x14ac:dyDescent="0.15"/>
    <row r="33007" s="76" customFormat="1" ht="21.95" customHeight="1" x14ac:dyDescent="0.15"/>
    <row r="33008" s="76" customFormat="1" ht="21.95" customHeight="1" x14ac:dyDescent="0.15"/>
    <row r="33009" s="76" customFormat="1" ht="21.95" customHeight="1" x14ac:dyDescent="0.15"/>
    <row r="33010" s="76" customFormat="1" ht="21.95" customHeight="1" x14ac:dyDescent="0.15"/>
    <row r="33011" s="76" customFormat="1" ht="21.95" customHeight="1" x14ac:dyDescent="0.15"/>
    <row r="33012" s="76" customFormat="1" ht="21.95" customHeight="1" x14ac:dyDescent="0.15"/>
    <row r="33013" s="76" customFormat="1" ht="21.95" customHeight="1" x14ac:dyDescent="0.15"/>
    <row r="33014" s="76" customFormat="1" ht="21.95" customHeight="1" x14ac:dyDescent="0.15"/>
    <row r="33015" s="76" customFormat="1" ht="21.95" customHeight="1" x14ac:dyDescent="0.15"/>
    <row r="33016" s="76" customFormat="1" ht="21.95" customHeight="1" x14ac:dyDescent="0.15"/>
    <row r="33017" s="76" customFormat="1" ht="35.1" customHeight="1" x14ac:dyDescent="0.15"/>
    <row r="33018" s="76" customFormat="1" ht="21.95" customHeight="1" x14ac:dyDescent="0.15"/>
    <row r="33019" s="76" customFormat="1" ht="21.95" customHeight="1" x14ac:dyDescent="0.15"/>
    <row r="33020" s="76" customFormat="1" ht="21.95" customHeight="1" x14ac:dyDescent="0.15"/>
    <row r="33021" s="76" customFormat="1" ht="21.95" customHeight="1" x14ac:dyDescent="0.15"/>
    <row r="33022" s="76" customFormat="1" ht="21.95" customHeight="1" x14ac:dyDescent="0.15"/>
    <row r="33023" s="76" customFormat="1" ht="21.95" customHeight="1" x14ac:dyDescent="0.15"/>
    <row r="33024" s="76" customFormat="1" ht="21.95" customHeight="1" x14ac:dyDescent="0.15"/>
    <row r="33025" s="76" customFormat="1" ht="21.95" customHeight="1" x14ac:dyDescent="0.15"/>
    <row r="33026" s="76" customFormat="1" ht="21.95" customHeight="1" x14ac:dyDescent="0.15"/>
    <row r="33027" s="76" customFormat="1" ht="21.95" customHeight="1" x14ac:dyDescent="0.15"/>
    <row r="33028" s="76" customFormat="1" ht="21.95" customHeight="1" x14ac:dyDescent="0.15"/>
    <row r="33029" s="76" customFormat="1" ht="21.95" customHeight="1" x14ac:dyDescent="0.15"/>
    <row r="33030" s="76" customFormat="1" ht="21.95" customHeight="1" x14ac:dyDescent="0.15"/>
    <row r="33031" s="76" customFormat="1" ht="21.95" customHeight="1" x14ac:dyDescent="0.15"/>
    <row r="33032" s="76" customFormat="1" ht="21.95" customHeight="1" x14ac:dyDescent="0.15"/>
    <row r="33033" s="76" customFormat="1" ht="21.95" customHeight="1" x14ac:dyDescent="0.15"/>
    <row r="33034" s="76" customFormat="1" ht="21.95" customHeight="1" x14ac:dyDescent="0.15"/>
    <row r="33035" s="76" customFormat="1" ht="21.95" customHeight="1" x14ac:dyDescent="0.15"/>
    <row r="33036" s="76" customFormat="1" ht="21.95" customHeight="1" x14ac:dyDescent="0.15"/>
    <row r="33037" s="76" customFormat="1" ht="21.95" customHeight="1" x14ac:dyDescent="0.15"/>
    <row r="33038" s="76" customFormat="1" ht="21.95" customHeight="1" x14ac:dyDescent="0.15"/>
    <row r="33039" s="76" customFormat="1" ht="21.95" customHeight="1" x14ac:dyDescent="0.15"/>
    <row r="33040" s="76" customFormat="1" ht="21.95" customHeight="1" x14ac:dyDescent="0.15"/>
    <row r="33041" spans="3:3" customFormat="1" ht="21.95" customHeight="1" x14ac:dyDescent="0.15"/>
    <row r="33042" spans="3:3" customFormat="1" ht="21.95" customHeight="1" x14ac:dyDescent="0.15"/>
    <row r="33043" spans="3:3" customFormat="1" ht="21.95" customHeight="1" x14ac:dyDescent="0.15">
      <c r="C33043" s="94"/>
    </row>
    <row r="33044" spans="3:3" customFormat="1" ht="21.95" customHeight="1" x14ac:dyDescent="0.15">
      <c r="C33044" s="94"/>
    </row>
    <row r="33045" spans="3:3" customFormat="1" ht="21.95" customHeight="1" x14ac:dyDescent="0.15"/>
    <row r="33046" spans="3:3" customFormat="1" ht="21.95" customHeight="1" x14ac:dyDescent="0.15"/>
    <row r="33047" spans="3:3" customFormat="1" ht="21.95" customHeight="1" x14ac:dyDescent="0.15"/>
    <row r="33048" spans="3:3" customFormat="1" ht="21.95" customHeight="1" x14ac:dyDescent="0.15"/>
    <row r="33049" spans="3:3" customFormat="1" ht="21.95" customHeight="1" x14ac:dyDescent="0.15"/>
    <row r="33050" spans="3:3" customFormat="1" ht="21.95" customHeight="1" x14ac:dyDescent="0.15"/>
    <row r="33051" spans="3:3" customFormat="1" ht="21.95" customHeight="1" x14ac:dyDescent="0.15"/>
    <row r="33052" spans="3:3" s="76" customFormat="1" ht="21.95" customHeight="1" x14ac:dyDescent="0.15"/>
    <row r="33053" spans="3:3" s="76" customFormat="1" ht="21.95" customHeight="1" x14ac:dyDescent="0.15"/>
    <row r="33054" spans="3:3" s="76" customFormat="1" ht="21.95" customHeight="1" x14ac:dyDescent="0.15"/>
    <row r="33055" spans="3:3" s="76" customFormat="1" ht="21.95" customHeight="1" x14ac:dyDescent="0.15"/>
    <row r="33056" spans="3:3" customFormat="1" ht="21.95" customHeight="1" x14ac:dyDescent="0.15"/>
    <row r="33057" customFormat="1" ht="21.95" customHeight="1" x14ac:dyDescent="0.15"/>
    <row r="33058" customFormat="1" ht="21.95" customHeight="1" x14ac:dyDescent="0.15"/>
    <row r="33059" customFormat="1" ht="21.95" customHeight="1" x14ac:dyDescent="0.15"/>
    <row r="33060" customFormat="1" ht="21.95" customHeight="1" x14ac:dyDescent="0.15"/>
    <row r="33061" customFormat="1" ht="21.95" customHeight="1" x14ac:dyDescent="0.15"/>
    <row r="33062" customFormat="1" ht="21.95" customHeight="1" x14ac:dyDescent="0.15"/>
    <row r="33063" customFormat="1" ht="21.95" customHeight="1" x14ac:dyDescent="0.15"/>
    <row r="33064" customFormat="1" ht="21.95" customHeight="1" x14ac:dyDescent="0.15"/>
    <row r="33065" customFormat="1" ht="21.95" customHeight="1" x14ac:dyDescent="0.15"/>
    <row r="33066" customFormat="1" ht="21.95" customHeight="1" x14ac:dyDescent="0.15"/>
    <row r="33067" customFormat="1" ht="32.1" customHeight="1" x14ac:dyDescent="0.15"/>
    <row r="33068" customFormat="1" ht="32.1" customHeight="1" x14ac:dyDescent="0.15"/>
    <row r="33069" customFormat="1" ht="32.1" customHeight="1" x14ac:dyDescent="0.15"/>
    <row r="33070" customFormat="1" ht="32.1" customHeight="1" x14ac:dyDescent="0.15"/>
    <row r="33071" customFormat="1" ht="32.1" customHeight="1" x14ac:dyDescent="0.15"/>
    <row r="33072" customFormat="1" ht="32.1" customHeight="1" x14ac:dyDescent="0.15"/>
    <row r="33073" s="76" customFormat="1" ht="32.1" customHeight="1" x14ac:dyDescent="0.15"/>
    <row r="33074" s="76" customFormat="1" ht="32.1" customHeight="1" x14ac:dyDescent="0.15"/>
    <row r="33075" s="76" customFormat="1" ht="32.1" customHeight="1" x14ac:dyDescent="0.15"/>
    <row r="33076" s="76" customFormat="1" ht="32.1" customHeight="1" x14ac:dyDescent="0.15"/>
    <row r="33077" s="76" customFormat="1" ht="21.95" customHeight="1" x14ac:dyDescent="0.15"/>
    <row r="33078" s="76" customFormat="1" ht="54" customHeight="1" x14ac:dyDescent="0.15"/>
    <row r="33079" s="76" customFormat="1" ht="21.95" customHeight="1" x14ac:dyDescent="0.15"/>
    <row r="33080" s="76" customFormat="1" ht="21.95" customHeight="1" x14ac:dyDescent="0.15"/>
    <row r="33081" s="76" customFormat="1" ht="21.95" customHeight="1" x14ac:dyDescent="0.15"/>
    <row r="33082" s="76" customFormat="1" ht="21.95" customHeight="1" x14ac:dyDescent="0.15"/>
    <row r="33083" s="76" customFormat="1" ht="21.95" customHeight="1" x14ac:dyDescent="0.15"/>
    <row r="33084" s="76" customFormat="1" ht="21.95" customHeight="1" x14ac:dyDescent="0.15"/>
    <row r="33085" s="76" customFormat="1" ht="21.95" customHeight="1" x14ac:dyDescent="0.15"/>
    <row r="33086" s="76" customFormat="1" ht="21.95" customHeight="1" x14ac:dyDescent="0.15"/>
    <row r="33087" s="76" customFormat="1" ht="21.95" customHeight="1" x14ac:dyDescent="0.15"/>
    <row r="33088" s="76" customFormat="1" ht="21.95" customHeight="1" x14ac:dyDescent="0.15"/>
    <row r="33089" s="76" customFormat="1" ht="21.95" customHeight="1" x14ac:dyDescent="0.15"/>
    <row r="33090" s="76" customFormat="1" ht="21.95" customHeight="1" x14ac:dyDescent="0.15"/>
    <row r="33091" s="76" customFormat="1" ht="21.95" customHeight="1" x14ac:dyDescent="0.15"/>
    <row r="33092" s="76" customFormat="1" ht="21.95" customHeight="1" x14ac:dyDescent="0.15"/>
    <row r="33093" s="76" customFormat="1" ht="21.95" customHeight="1" x14ac:dyDescent="0.15"/>
    <row r="33094" s="76" customFormat="1" ht="21.95" customHeight="1" x14ac:dyDescent="0.15"/>
    <row r="33095" s="76" customFormat="1" ht="21.95" customHeight="1" x14ac:dyDescent="0.15"/>
    <row r="33096" s="76" customFormat="1" ht="21.95" customHeight="1" x14ac:dyDescent="0.15"/>
    <row r="33097" s="76" customFormat="1" ht="21.95" customHeight="1" x14ac:dyDescent="0.15"/>
    <row r="33098" s="76" customFormat="1" ht="21.95" customHeight="1" x14ac:dyDescent="0.15"/>
    <row r="33099" s="76" customFormat="1" ht="21.95" customHeight="1" x14ac:dyDescent="0.15"/>
    <row r="33100" s="76" customFormat="1" ht="21.95" customHeight="1" x14ac:dyDescent="0.15"/>
    <row r="33101" s="76" customFormat="1" ht="21.95" customHeight="1" x14ac:dyDescent="0.15"/>
    <row r="33102" s="76" customFormat="1" ht="21.95" customHeight="1" x14ac:dyDescent="0.15"/>
    <row r="33103" s="76" customFormat="1" ht="21.95" customHeight="1" x14ac:dyDescent="0.15"/>
    <row r="33104" s="76" customFormat="1" ht="21.95" customHeight="1" x14ac:dyDescent="0.15"/>
    <row r="33105" s="76" customFormat="1" ht="21.95" customHeight="1" x14ac:dyDescent="0.15"/>
    <row r="33106" s="76" customFormat="1" ht="21.95" customHeight="1" x14ac:dyDescent="0.15"/>
    <row r="33107" s="76" customFormat="1" ht="21.95" customHeight="1" x14ac:dyDescent="0.15"/>
    <row r="33108" s="76" customFormat="1" ht="21.95" customHeight="1" x14ac:dyDescent="0.15"/>
    <row r="33109" s="76" customFormat="1" ht="21.95" customHeight="1" x14ac:dyDescent="0.15"/>
    <row r="33110" s="76" customFormat="1" ht="21.95" customHeight="1" x14ac:dyDescent="0.15"/>
    <row r="33111" s="76" customFormat="1" ht="21.95" customHeight="1" x14ac:dyDescent="0.15"/>
    <row r="33112" s="76" customFormat="1" ht="21.95" customHeight="1" x14ac:dyDescent="0.15"/>
    <row r="33113" s="76" customFormat="1" ht="21.95" customHeight="1" x14ac:dyDescent="0.15"/>
    <row r="33114" s="76" customFormat="1" ht="21.95" customHeight="1" x14ac:dyDescent="0.15"/>
    <row r="33115" s="76" customFormat="1" ht="21.95" customHeight="1" x14ac:dyDescent="0.15"/>
    <row r="33116" s="76" customFormat="1" ht="21.95" customHeight="1" x14ac:dyDescent="0.15"/>
    <row r="33117" s="76" customFormat="1" ht="21.95" customHeight="1" x14ac:dyDescent="0.15"/>
    <row r="33118" s="76" customFormat="1" ht="21.95" customHeight="1" x14ac:dyDescent="0.15"/>
    <row r="33119" s="76" customFormat="1" ht="21.95" customHeight="1" x14ac:dyDescent="0.15"/>
    <row r="33120" s="76" customFormat="1" ht="21.95" customHeight="1" x14ac:dyDescent="0.15"/>
    <row r="33121" s="76" customFormat="1" ht="21.95" customHeight="1" x14ac:dyDescent="0.15"/>
    <row r="33122" s="76" customFormat="1" ht="21.95" customHeight="1" x14ac:dyDescent="0.15"/>
    <row r="33123" s="76" customFormat="1" ht="21.95" customHeight="1" x14ac:dyDescent="0.15"/>
    <row r="33124" s="76" customFormat="1" ht="21.95" customHeight="1" x14ac:dyDescent="0.15"/>
    <row r="33125" s="76" customFormat="1" ht="21.95" customHeight="1" x14ac:dyDescent="0.15"/>
    <row r="33126" s="76" customFormat="1" ht="21.95" customHeight="1" x14ac:dyDescent="0.15"/>
    <row r="33127" s="76" customFormat="1" ht="21.95" customHeight="1" x14ac:dyDescent="0.15"/>
    <row r="33128" s="76" customFormat="1" ht="21.95" customHeight="1" x14ac:dyDescent="0.15"/>
    <row r="33129" s="76" customFormat="1" ht="35.1" customHeight="1" x14ac:dyDescent="0.15"/>
    <row r="33130" s="76" customFormat="1" ht="21.95" customHeight="1" x14ac:dyDescent="0.15"/>
    <row r="33131" s="76" customFormat="1" ht="21.95" customHeight="1" x14ac:dyDescent="0.15"/>
    <row r="33132" s="76" customFormat="1" ht="21.95" customHeight="1" x14ac:dyDescent="0.15"/>
    <row r="33133" s="76" customFormat="1" ht="21.95" customHeight="1" x14ac:dyDescent="0.15"/>
    <row r="33134" s="76" customFormat="1" ht="21.95" customHeight="1" x14ac:dyDescent="0.15"/>
    <row r="33135" s="76" customFormat="1" ht="21.95" customHeight="1" x14ac:dyDescent="0.15"/>
    <row r="33136" s="76" customFormat="1" ht="21.95" customHeight="1" x14ac:dyDescent="0.15"/>
    <row r="33137" s="76" customFormat="1" ht="21.95" customHeight="1" x14ac:dyDescent="0.15"/>
    <row r="33138" s="76" customFormat="1" ht="21.95" customHeight="1" x14ac:dyDescent="0.15"/>
    <row r="33139" s="76" customFormat="1" ht="21.95" customHeight="1" x14ac:dyDescent="0.15"/>
    <row r="33140" s="76" customFormat="1" ht="21.95" customHeight="1" x14ac:dyDescent="0.15"/>
    <row r="33141" s="76" customFormat="1" ht="21.95" customHeight="1" x14ac:dyDescent="0.15"/>
    <row r="33142" s="76" customFormat="1" ht="21.95" customHeight="1" x14ac:dyDescent="0.15"/>
    <row r="33143" s="76" customFormat="1" ht="21.95" customHeight="1" x14ac:dyDescent="0.15"/>
    <row r="33144" s="76" customFormat="1" ht="21.95" customHeight="1" x14ac:dyDescent="0.15"/>
    <row r="33145" s="76" customFormat="1" ht="21.95" customHeight="1" x14ac:dyDescent="0.15"/>
    <row r="33146" s="76" customFormat="1" ht="21.95" customHeight="1" x14ac:dyDescent="0.15"/>
    <row r="33147" s="76" customFormat="1" ht="21.95" customHeight="1" x14ac:dyDescent="0.15"/>
    <row r="33148" s="76" customFormat="1" ht="21.95" customHeight="1" x14ac:dyDescent="0.15"/>
    <row r="33149" s="76" customFormat="1" ht="21.95" customHeight="1" x14ac:dyDescent="0.15"/>
    <row r="33150" s="76" customFormat="1" ht="21.95" customHeight="1" x14ac:dyDescent="0.15"/>
    <row r="33151" s="76" customFormat="1" ht="21.95" customHeight="1" x14ac:dyDescent="0.15"/>
    <row r="33152" s="76" customFormat="1" ht="21.95" customHeight="1" x14ac:dyDescent="0.15"/>
    <row r="33153" spans="3:3" customFormat="1" ht="21.95" customHeight="1" x14ac:dyDescent="0.15"/>
    <row r="33154" spans="3:3" customFormat="1" ht="21.95" customHeight="1" x14ac:dyDescent="0.15"/>
    <row r="33155" spans="3:3" customFormat="1" ht="21.95" customHeight="1" x14ac:dyDescent="0.15">
      <c r="C33155" s="94"/>
    </row>
    <row r="33156" spans="3:3" customFormat="1" ht="21.95" customHeight="1" x14ac:dyDescent="0.15">
      <c r="C33156" s="94"/>
    </row>
    <row r="33157" spans="3:3" customFormat="1" ht="21.95" customHeight="1" x14ac:dyDescent="0.15"/>
    <row r="33158" spans="3:3" customFormat="1" ht="21.95" customHeight="1" x14ac:dyDescent="0.15"/>
    <row r="33159" spans="3:3" customFormat="1" ht="21.95" customHeight="1" x14ac:dyDescent="0.15"/>
    <row r="33160" spans="3:3" customFormat="1" ht="21.95" customHeight="1" x14ac:dyDescent="0.15"/>
    <row r="33161" spans="3:3" customFormat="1" ht="21.95" customHeight="1" x14ac:dyDescent="0.15"/>
    <row r="33162" spans="3:3" customFormat="1" ht="21.95" customHeight="1" x14ac:dyDescent="0.15"/>
    <row r="33163" spans="3:3" customFormat="1" ht="21.95" customHeight="1" x14ac:dyDescent="0.15"/>
    <row r="33164" spans="3:3" s="76" customFormat="1" ht="21.95" customHeight="1" x14ac:dyDescent="0.15"/>
    <row r="33165" spans="3:3" s="76" customFormat="1" ht="21.95" customHeight="1" x14ac:dyDescent="0.15"/>
    <row r="33166" spans="3:3" s="76" customFormat="1" ht="21.95" customHeight="1" x14ac:dyDescent="0.15"/>
    <row r="33167" spans="3:3" s="76" customFormat="1" ht="21.95" customHeight="1" x14ac:dyDescent="0.15"/>
    <row r="33168" spans="3:3" customFormat="1" ht="21.95" customHeight="1" x14ac:dyDescent="0.15"/>
    <row r="33169" customFormat="1" ht="21.95" customHeight="1" x14ac:dyDescent="0.15"/>
    <row r="33170" customFormat="1" ht="21.95" customHeight="1" x14ac:dyDescent="0.15"/>
    <row r="33171" customFormat="1" ht="21.95" customHeight="1" x14ac:dyDescent="0.15"/>
    <row r="33172" customFormat="1" ht="21.95" customHeight="1" x14ac:dyDescent="0.15"/>
    <row r="33173" customFormat="1" ht="21.95" customHeight="1" x14ac:dyDescent="0.15"/>
    <row r="33174" customFormat="1" ht="21.95" customHeight="1" x14ac:dyDescent="0.15"/>
    <row r="33175" customFormat="1" ht="21.95" customHeight="1" x14ac:dyDescent="0.15"/>
    <row r="33176" customFormat="1" ht="21.95" customHeight="1" x14ac:dyDescent="0.15"/>
    <row r="33177" customFormat="1" ht="21.95" customHeight="1" x14ac:dyDescent="0.15"/>
    <row r="33178" customFormat="1" ht="21.95" customHeight="1" x14ac:dyDescent="0.15"/>
    <row r="33179" customFormat="1" ht="32.1" customHeight="1" x14ac:dyDescent="0.15"/>
    <row r="33180" customFormat="1" ht="32.1" customHeight="1" x14ac:dyDescent="0.15"/>
    <row r="33181" customFormat="1" ht="32.1" customHeight="1" x14ac:dyDescent="0.15"/>
    <row r="33182" customFormat="1" ht="32.1" customHeight="1" x14ac:dyDescent="0.15"/>
    <row r="33183" customFormat="1" ht="32.1" customHeight="1" x14ac:dyDescent="0.15"/>
    <row r="33184" customFormat="1" ht="32.1" customHeight="1" x14ac:dyDescent="0.15"/>
    <row r="33185" s="76" customFormat="1" ht="32.1" customHeight="1" x14ac:dyDescent="0.15"/>
    <row r="33186" s="76" customFormat="1" ht="32.1" customHeight="1" x14ac:dyDescent="0.15"/>
    <row r="33187" s="76" customFormat="1" ht="32.1" customHeight="1" x14ac:dyDescent="0.15"/>
    <row r="33188" s="76" customFormat="1" ht="32.1" customHeight="1" x14ac:dyDescent="0.15"/>
    <row r="33189" s="76" customFormat="1" ht="21.95" customHeight="1" x14ac:dyDescent="0.15"/>
    <row r="33190" s="76" customFormat="1" ht="54" customHeight="1" x14ac:dyDescent="0.15"/>
    <row r="33191" s="76" customFormat="1" ht="21.95" customHeight="1" x14ac:dyDescent="0.15"/>
    <row r="33192" s="76" customFormat="1" ht="21.95" customHeight="1" x14ac:dyDescent="0.15"/>
    <row r="33193" s="76" customFormat="1" ht="21.95" customHeight="1" x14ac:dyDescent="0.15"/>
    <row r="33194" s="76" customFormat="1" ht="21.95" customHeight="1" x14ac:dyDescent="0.15"/>
    <row r="33195" s="76" customFormat="1" ht="21.95" customHeight="1" x14ac:dyDescent="0.15"/>
    <row r="33196" s="76" customFormat="1" ht="21.95" customHeight="1" x14ac:dyDescent="0.15"/>
    <row r="33197" s="76" customFormat="1" ht="21.95" customHeight="1" x14ac:dyDescent="0.15"/>
    <row r="33198" s="76" customFormat="1" ht="21.95" customHeight="1" x14ac:dyDescent="0.15"/>
    <row r="33199" s="76" customFormat="1" ht="21.95" customHeight="1" x14ac:dyDescent="0.15"/>
    <row r="33200" s="76" customFormat="1" ht="21.95" customHeight="1" x14ac:dyDescent="0.15"/>
    <row r="33201" s="76" customFormat="1" ht="21.95" customHeight="1" x14ac:dyDescent="0.15"/>
    <row r="33202" s="76" customFormat="1" ht="21.95" customHeight="1" x14ac:dyDescent="0.15"/>
    <row r="33203" s="76" customFormat="1" ht="21.95" customHeight="1" x14ac:dyDescent="0.15"/>
    <row r="33204" s="76" customFormat="1" ht="21.95" customHeight="1" x14ac:dyDescent="0.15"/>
    <row r="33205" s="76" customFormat="1" ht="21.95" customHeight="1" x14ac:dyDescent="0.15"/>
    <row r="33206" s="76" customFormat="1" ht="21.95" customHeight="1" x14ac:dyDescent="0.15"/>
    <row r="33207" s="76" customFormat="1" ht="21.95" customHeight="1" x14ac:dyDescent="0.15"/>
    <row r="33208" s="76" customFormat="1" ht="21.95" customHeight="1" x14ac:dyDescent="0.15"/>
    <row r="33209" s="76" customFormat="1" ht="21.95" customHeight="1" x14ac:dyDescent="0.15"/>
    <row r="33210" s="76" customFormat="1" ht="21.95" customHeight="1" x14ac:dyDescent="0.15"/>
    <row r="33211" s="76" customFormat="1" ht="21.95" customHeight="1" x14ac:dyDescent="0.15"/>
    <row r="33212" s="76" customFormat="1" ht="21.95" customHeight="1" x14ac:dyDescent="0.15"/>
    <row r="33213" s="76" customFormat="1" ht="21.95" customHeight="1" x14ac:dyDescent="0.15"/>
    <row r="33214" s="76" customFormat="1" ht="21.95" customHeight="1" x14ac:dyDescent="0.15"/>
    <row r="33215" s="76" customFormat="1" ht="21.95" customHeight="1" x14ac:dyDescent="0.15"/>
    <row r="33216" s="76" customFormat="1" ht="21.95" customHeight="1" x14ac:dyDescent="0.15"/>
    <row r="33217" s="76" customFormat="1" ht="21.95" customHeight="1" x14ac:dyDescent="0.15"/>
    <row r="33218" s="76" customFormat="1" ht="21.95" customHeight="1" x14ac:dyDescent="0.15"/>
    <row r="33219" s="76" customFormat="1" ht="21.95" customHeight="1" x14ac:dyDescent="0.15"/>
    <row r="33220" s="76" customFormat="1" ht="21.95" customHeight="1" x14ac:dyDescent="0.15"/>
    <row r="33221" s="76" customFormat="1" ht="21.95" customHeight="1" x14ac:dyDescent="0.15"/>
    <row r="33222" s="76" customFormat="1" ht="21.95" customHeight="1" x14ac:dyDescent="0.15"/>
    <row r="33223" s="76" customFormat="1" ht="21.95" customHeight="1" x14ac:dyDescent="0.15"/>
    <row r="33224" s="76" customFormat="1" ht="21.95" customHeight="1" x14ac:dyDescent="0.15"/>
    <row r="33225" s="76" customFormat="1" ht="21.95" customHeight="1" x14ac:dyDescent="0.15"/>
    <row r="33226" s="76" customFormat="1" ht="21.95" customHeight="1" x14ac:dyDescent="0.15"/>
    <row r="33227" s="76" customFormat="1" ht="21.95" customHeight="1" x14ac:dyDescent="0.15"/>
    <row r="33228" s="76" customFormat="1" ht="21.95" customHeight="1" x14ac:dyDescent="0.15"/>
    <row r="33229" s="76" customFormat="1" ht="21.95" customHeight="1" x14ac:dyDescent="0.15"/>
    <row r="33230" s="76" customFormat="1" ht="21.95" customHeight="1" x14ac:dyDescent="0.15"/>
    <row r="33231" s="76" customFormat="1" ht="21.95" customHeight="1" x14ac:dyDescent="0.15"/>
    <row r="33232" s="76" customFormat="1" ht="21.95" customHeight="1" x14ac:dyDescent="0.15"/>
    <row r="33233" s="76" customFormat="1" ht="21.95" customHeight="1" x14ac:dyDescent="0.15"/>
    <row r="33234" s="76" customFormat="1" ht="21.95" customHeight="1" x14ac:dyDescent="0.15"/>
    <row r="33235" s="76" customFormat="1" ht="21.95" customHeight="1" x14ac:dyDescent="0.15"/>
    <row r="33236" s="76" customFormat="1" ht="21.95" customHeight="1" x14ac:dyDescent="0.15"/>
    <row r="33237" s="76" customFormat="1" ht="21.95" customHeight="1" x14ac:dyDescent="0.15"/>
    <row r="33238" s="76" customFormat="1" ht="21.95" customHeight="1" x14ac:dyDescent="0.15"/>
    <row r="33239" s="76" customFormat="1" ht="21.95" customHeight="1" x14ac:dyDescent="0.15"/>
    <row r="33240" s="76" customFormat="1" ht="21.95" customHeight="1" x14ac:dyDescent="0.15"/>
    <row r="33241" s="76" customFormat="1" ht="35.1" customHeight="1" x14ac:dyDescent="0.15"/>
    <row r="33242" s="76" customFormat="1" ht="21.95" customHeight="1" x14ac:dyDescent="0.15"/>
    <row r="33243" s="76" customFormat="1" ht="21.95" customHeight="1" x14ac:dyDescent="0.15"/>
    <row r="33244" s="76" customFormat="1" ht="21.95" customHeight="1" x14ac:dyDescent="0.15"/>
    <row r="33245" s="76" customFormat="1" ht="21.95" customHeight="1" x14ac:dyDescent="0.15"/>
    <row r="33246" s="76" customFormat="1" ht="21.95" customHeight="1" x14ac:dyDescent="0.15"/>
    <row r="33247" s="76" customFormat="1" ht="21.95" customHeight="1" x14ac:dyDescent="0.15"/>
    <row r="33248" s="76" customFormat="1" ht="21.95" customHeight="1" x14ac:dyDescent="0.15"/>
    <row r="33249" s="76" customFormat="1" ht="21.95" customHeight="1" x14ac:dyDescent="0.15"/>
    <row r="33250" s="76" customFormat="1" ht="21.95" customHeight="1" x14ac:dyDescent="0.15"/>
    <row r="33251" s="76" customFormat="1" ht="21.95" customHeight="1" x14ac:dyDescent="0.15"/>
    <row r="33252" s="76" customFormat="1" ht="21.95" customHeight="1" x14ac:dyDescent="0.15"/>
    <row r="33253" s="76" customFormat="1" ht="21.95" customHeight="1" x14ac:dyDescent="0.15"/>
    <row r="33254" s="76" customFormat="1" ht="21.95" customHeight="1" x14ac:dyDescent="0.15"/>
    <row r="33255" s="76" customFormat="1" ht="21.95" customHeight="1" x14ac:dyDescent="0.15"/>
    <row r="33256" s="76" customFormat="1" ht="21.95" customHeight="1" x14ac:dyDescent="0.15"/>
    <row r="33257" s="76" customFormat="1" ht="21.95" customHeight="1" x14ac:dyDescent="0.15"/>
    <row r="33258" s="76" customFormat="1" ht="21.95" customHeight="1" x14ac:dyDescent="0.15"/>
    <row r="33259" s="76" customFormat="1" ht="21.95" customHeight="1" x14ac:dyDescent="0.15"/>
    <row r="33260" s="76" customFormat="1" ht="21.95" customHeight="1" x14ac:dyDescent="0.15"/>
    <row r="33261" s="76" customFormat="1" ht="21.95" customHeight="1" x14ac:dyDescent="0.15"/>
    <row r="33262" s="76" customFormat="1" ht="21.95" customHeight="1" x14ac:dyDescent="0.15"/>
    <row r="33263" s="76" customFormat="1" ht="21.95" customHeight="1" x14ac:dyDescent="0.15"/>
    <row r="33264" s="76" customFormat="1" ht="21.95" customHeight="1" x14ac:dyDescent="0.15"/>
    <row r="33265" spans="3:3" customFormat="1" ht="21.95" customHeight="1" x14ac:dyDescent="0.15"/>
    <row r="33266" spans="3:3" customFormat="1" ht="21.95" customHeight="1" x14ac:dyDescent="0.15"/>
    <row r="33267" spans="3:3" customFormat="1" ht="21.95" customHeight="1" x14ac:dyDescent="0.15">
      <c r="C33267" s="94"/>
    </row>
    <row r="33268" spans="3:3" customFormat="1" ht="21.95" customHeight="1" x14ac:dyDescent="0.15">
      <c r="C33268" s="94"/>
    </row>
    <row r="33269" spans="3:3" customFormat="1" ht="21.95" customHeight="1" x14ac:dyDescent="0.15"/>
    <row r="33270" spans="3:3" customFormat="1" ht="21.95" customHeight="1" x14ac:dyDescent="0.15"/>
    <row r="33271" spans="3:3" customFormat="1" ht="21.95" customHeight="1" x14ac:dyDescent="0.15"/>
    <row r="33272" spans="3:3" customFormat="1" ht="21.95" customHeight="1" x14ac:dyDescent="0.15"/>
    <row r="33273" spans="3:3" customFormat="1" ht="21.95" customHeight="1" x14ac:dyDescent="0.15"/>
    <row r="33274" spans="3:3" customFormat="1" ht="21.95" customHeight="1" x14ac:dyDescent="0.15"/>
    <row r="33275" spans="3:3" customFormat="1" ht="21.95" customHeight="1" x14ac:dyDescent="0.15"/>
    <row r="33276" spans="3:3" s="76" customFormat="1" ht="21.95" customHeight="1" x14ac:dyDescent="0.15"/>
    <row r="33277" spans="3:3" s="76" customFormat="1" ht="21.95" customHeight="1" x14ac:dyDescent="0.15"/>
    <row r="33278" spans="3:3" s="76" customFormat="1" ht="21.95" customHeight="1" x14ac:dyDescent="0.15"/>
    <row r="33279" spans="3:3" s="76" customFormat="1" ht="21.95" customHeight="1" x14ac:dyDescent="0.15"/>
    <row r="33280" spans="3:3" customFormat="1" ht="21.95" customHeight="1" x14ac:dyDescent="0.15"/>
    <row r="33281" customFormat="1" ht="21.95" customHeight="1" x14ac:dyDescent="0.15"/>
    <row r="33282" customFormat="1" ht="21.95" customHeight="1" x14ac:dyDescent="0.15"/>
    <row r="33283" customFormat="1" ht="21.95" customHeight="1" x14ac:dyDescent="0.15"/>
    <row r="33284" customFormat="1" ht="21.95" customHeight="1" x14ac:dyDescent="0.15"/>
    <row r="33285" customFormat="1" ht="21.95" customHeight="1" x14ac:dyDescent="0.15"/>
    <row r="33286" customFormat="1" ht="21.95" customHeight="1" x14ac:dyDescent="0.15"/>
    <row r="33287" customFormat="1" ht="21.95" customHeight="1" x14ac:dyDescent="0.15"/>
    <row r="33288" customFormat="1" ht="21.95" customHeight="1" x14ac:dyDescent="0.15"/>
    <row r="33289" customFormat="1" ht="21.95" customHeight="1" x14ac:dyDescent="0.15"/>
    <row r="33290" customFormat="1" ht="21.95" customHeight="1" x14ac:dyDescent="0.15"/>
    <row r="33291" customFormat="1" ht="32.1" customHeight="1" x14ac:dyDescent="0.15"/>
    <row r="33292" customFormat="1" ht="32.1" customHeight="1" x14ac:dyDescent="0.15"/>
    <row r="33293" customFormat="1" ht="32.1" customHeight="1" x14ac:dyDescent="0.15"/>
    <row r="33294" customFormat="1" ht="32.1" customHeight="1" x14ac:dyDescent="0.15"/>
    <row r="33295" customFormat="1" ht="32.1" customHeight="1" x14ac:dyDescent="0.15"/>
    <row r="33296" customFormat="1" ht="32.1" customHeight="1" x14ac:dyDescent="0.15"/>
    <row r="33297" s="76" customFormat="1" ht="32.1" customHeight="1" x14ac:dyDescent="0.15"/>
    <row r="33298" s="76" customFormat="1" ht="32.1" customHeight="1" x14ac:dyDescent="0.15"/>
    <row r="33299" s="76" customFormat="1" ht="32.1" customHeight="1" x14ac:dyDescent="0.15"/>
    <row r="33300" s="76" customFormat="1" ht="32.1" customHeight="1" x14ac:dyDescent="0.15"/>
    <row r="33301" s="76" customFormat="1" ht="21.95" customHeight="1" x14ac:dyDescent="0.15"/>
    <row r="33302" s="76" customFormat="1" ht="54" customHeight="1" x14ac:dyDescent="0.15"/>
    <row r="33303" s="76" customFormat="1" ht="21.95" customHeight="1" x14ac:dyDescent="0.15"/>
    <row r="33304" s="76" customFormat="1" ht="21.95" customHeight="1" x14ac:dyDescent="0.15"/>
    <row r="33305" s="76" customFormat="1" ht="21.95" customHeight="1" x14ac:dyDescent="0.15"/>
    <row r="33306" s="76" customFormat="1" ht="21.95" customHeight="1" x14ac:dyDescent="0.15"/>
    <row r="33307" s="76" customFormat="1" ht="21.95" customHeight="1" x14ac:dyDescent="0.15"/>
    <row r="33308" s="76" customFormat="1" ht="21.95" customHeight="1" x14ac:dyDescent="0.15"/>
    <row r="33309" s="76" customFormat="1" ht="21.95" customHeight="1" x14ac:dyDescent="0.15"/>
    <row r="33310" s="76" customFormat="1" ht="21.95" customHeight="1" x14ac:dyDescent="0.15"/>
    <row r="33311" s="76" customFormat="1" ht="21.95" customHeight="1" x14ac:dyDescent="0.15"/>
    <row r="33312" s="76" customFormat="1" ht="21.95" customHeight="1" x14ac:dyDescent="0.15"/>
    <row r="33313" s="76" customFormat="1" ht="21.95" customHeight="1" x14ac:dyDescent="0.15"/>
    <row r="33314" s="76" customFormat="1" ht="21.95" customHeight="1" x14ac:dyDescent="0.15"/>
    <row r="33315" s="76" customFormat="1" ht="21.95" customHeight="1" x14ac:dyDescent="0.15"/>
    <row r="33316" s="76" customFormat="1" ht="21.95" customHeight="1" x14ac:dyDescent="0.15"/>
    <row r="33317" s="76" customFormat="1" ht="21.95" customHeight="1" x14ac:dyDescent="0.15"/>
    <row r="33318" s="76" customFormat="1" ht="21.95" customHeight="1" x14ac:dyDescent="0.15"/>
    <row r="33319" s="76" customFormat="1" ht="21.95" customHeight="1" x14ac:dyDescent="0.15"/>
    <row r="33320" s="76" customFormat="1" ht="21.95" customHeight="1" x14ac:dyDescent="0.15"/>
    <row r="33321" s="76" customFormat="1" ht="21.95" customHeight="1" x14ac:dyDescent="0.15"/>
    <row r="33322" s="76" customFormat="1" ht="21.95" customHeight="1" x14ac:dyDescent="0.15"/>
    <row r="33323" s="76" customFormat="1" ht="21.95" customHeight="1" x14ac:dyDescent="0.15"/>
    <row r="33324" s="76" customFormat="1" ht="21.95" customHeight="1" x14ac:dyDescent="0.15"/>
    <row r="33325" s="76" customFormat="1" ht="21.95" customHeight="1" x14ac:dyDescent="0.15"/>
    <row r="33326" s="76" customFormat="1" ht="21.95" customHeight="1" x14ac:dyDescent="0.15"/>
    <row r="33327" s="76" customFormat="1" ht="21.95" customHeight="1" x14ac:dyDescent="0.15"/>
    <row r="33328" s="76" customFormat="1" ht="21.95" customHeight="1" x14ac:dyDescent="0.15"/>
    <row r="33329" s="76" customFormat="1" ht="21.95" customHeight="1" x14ac:dyDescent="0.15"/>
    <row r="33330" s="76" customFormat="1" ht="21.95" customHeight="1" x14ac:dyDescent="0.15"/>
    <row r="33331" s="76" customFormat="1" ht="21.95" customHeight="1" x14ac:dyDescent="0.15"/>
    <row r="33332" s="76" customFormat="1" ht="21.95" customHeight="1" x14ac:dyDescent="0.15"/>
    <row r="33333" s="76" customFormat="1" ht="21.95" customHeight="1" x14ac:dyDescent="0.15"/>
    <row r="33334" s="76" customFormat="1" ht="21.95" customHeight="1" x14ac:dyDescent="0.15"/>
    <row r="33335" s="76" customFormat="1" ht="21.95" customHeight="1" x14ac:dyDescent="0.15"/>
    <row r="33336" s="76" customFormat="1" ht="21.95" customHeight="1" x14ac:dyDescent="0.15"/>
    <row r="33337" s="76" customFormat="1" ht="21.95" customHeight="1" x14ac:dyDescent="0.15"/>
    <row r="33338" s="76" customFormat="1" ht="21.95" customHeight="1" x14ac:dyDescent="0.15"/>
    <row r="33339" s="76" customFormat="1" ht="21.95" customHeight="1" x14ac:dyDescent="0.15"/>
    <row r="33340" s="76" customFormat="1" ht="21.95" customHeight="1" x14ac:dyDescent="0.15"/>
    <row r="33341" s="76" customFormat="1" ht="21.95" customHeight="1" x14ac:dyDescent="0.15"/>
    <row r="33342" s="76" customFormat="1" ht="21.95" customHeight="1" x14ac:dyDescent="0.15"/>
    <row r="33343" s="76" customFormat="1" ht="21.95" customHeight="1" x14ac:dyDescent="0.15"/>
    <row r="33344" s="76" customFormat="1" ht="21.95" customHeight="1" x14ac:dyDescent="0.15"/>
    <row r="33345" s="76" customFormat="1" ht="21.95" customHeight="1" x14ac:dyDescent="0.15"/>
    <row r="33346" s="76" customFormat="1" ht="21.95" customHeight="1" x14ac:dyDescent="0.15"/>
    <row r="33347" s="76" customFormat="1" ht="21.95" customHeight="1" x14ac:dyDescent="0.15"/>
    <row r="33348" s="76" customFormat="1" ht="21.95" customHeight="1" x14ac:dyDescent="0.15"/>
    <row r="33349" s="76" customFormat="1" ht="21.95" customHeight="1" x14ac:dyDescent="0.15"/>
    <row r="33350" s="76" customFormat="1" ht="21.95" customHeight="1" x14ac:dyDescent="0.15"/>
    <row r="33351" s="76" customFormat="1" ht="21.95" customHeight="1" x14ac:dyDescent="0.15"/>
    <row r="33352" s="76" customFormat="1" ht="21.95" customHeight="1" x14ac:dyDescent="0.15"/>
    <row r="33353" s="76" customFormat="1" ht="35.1" customHeight="1" x14ac:dyDescent="0.15"/>
    <row r="33354" s="76" customFormat="1" ht="21.95" customHeight="1" x14ac:dyDescent="0.15"/>
    <row r="33355" s="76" customFormat="1" ht="21.95" customHeight="1" x14ac:dyDescent="0.15"/>
    <row r="33356" s="76" customFormat="1" ht="21.95" customHeight="1" x14ac:dyDescent="0.15"/>
    <row r="33357" s="76" customFormat="1" ht="21.95" customHeight="1" x14ac:dyDescent="0.15"/>
    <row r="33358" s="76" customFormat="1" ht="21.95" customHeight="1" x14ac:dyDescent="0.15"/>
    <row r="33359" s="76" customFormat="1" ht="21.95" customHeight="1" x14ac:dyDescent="0.15"/>
    <row r="33360" s="76" customFormat="1" ht="21.95" customHeight="1" x14ac:dyDescent="0.15"/>
    <row r="33361" s="76" customFormat="1" ht="21.95" customHeight="1" x14ac:dyDescent="0.15"/>
    <row r="33362" s="76" customFormat="1" ht="21.95" customHeight="1" x14ac:dyDescent="0.15"/>
    <row r="33363" s="76" customFormat="1" ht="21.95" customHeight="1" x14ac:dyDescent="0.15"/>
    <row r="33364" s="76" customFormat="1" ht="21.95" customHeight="1" x14ac:dyDescent="0.15"/>
    <row r="33365" s="76" customFormat="1" ht="21.95" customHeight="1" x14ac:dyDescent="0.15"/>
    <row r="33366" s="76" customFormat="1" ht="21.95" customHeight="1" x14ac:dyDescent="0.15"/>
    <row r="33367" s="76" customFormat="1" ht="21.95" customHeight="1" x14ac:dyDescent="0.15"/>
    <row r="33368" s="76" customFormat="1" ht="21.95" customHeight="1" x14ac:dyDescent="0.15"/>
    <row r="33369" s="76" customFormat="1" ht="21.95" customHeight="1" x14ac:dyDescent="0.15"/>
    <row r="33370" s="76" customFormat="1" ht="21.95" customHeight="1" x14ac:dyDescent="0.15"/>
    <row r="33371" s="76" customFormat="1" ht="21.95" customHeight="1" x14ac:dyDescent="0.15"/>
    <row r="33372" s="76" customFormat="1" ht="21.95" customHeight="1" x14ac:dyDescent="0.15"/>
    <row r="33373" s="76" customFormat="1" ht="21.95" customHeight="1" x14ac:dyDescent="0.15"/>
    <row r="33374" s="76" customFormat="1" ht="21.95" customHeight="1" x14ac:dyDescent="0.15"/>
    <row r="33375" s="76" customFormat="1" ht="21.95" customHeight="1" x14ac:dyDescent="0.15"/>
    <row r="33376" s="76" customFormat="1" ht="21.95" customHeight="1" x14ac:dyDescent="0.15"/>
    <row r="33377" spans="3:3" customFormat="1" ht="21.95" customHeight="1" x14ac:dyDescent="0.15"/>
    <row r="33378" spans="3:3" customFormat="1" ht="21.95" customHeight="1" x14ac:dyDescent="0.15"/>
    <row r="33379" spans="3:3" customFormat="1" ht="21.95" customHeight="1" x14ac:dyDescent="0.15">
      <c r="C33379" s="94"/>
    </row>
    <row r="33380" spans="3:3" customFormat="1" ht="21.95" customHeight="1" x14ac:dyDescent="0.15">
      <c r="C33380" s="94"/>
    </row>
    <row r="33381" spans="3:3" customFormat="1" ht="21.95" customHeight="1" x14ac:dyDescent="0.15"/>
    <row r="33382" spans="3:3" customFormat="1" ht="21.95" customHeight="1" x14ac:dyDescent="0.15"/>
    <row r="33383" spans="3:3" customFormat="1" ht="21.95" customHeight="1" x14ac:dyDescent="0.15"/>
    <row r="33384" spans="3:3" customFormat="1" ht="21.95" customHeight="1" x14ac:dyDescent="0.15"/>
    <row r="33385" spans="3:3" customFormat="1" ht="21.95" customHeight="1" x14ac:dyDescent="0.15"/>
    <row r="33386" spans="3:3" customFormat="1" ht="21.95" customHeight="1" x14ac:dyDescent="0.15"/>
    <row r="33387" spans="3:3" customFormat="1" ht="21.95" customHeight="1" x14ac:dyDescent="0.15"/>
    <row r="33388" spans="3:3" s="76" customFormat="1" ht="21.95" customHeight="1" x14ac:dyDescent="0.15"/>
    <row r="33389" spans="3:3" s="76" customFormat="1" ht="21.95" customHeight="1" x14ac:dyDescent="0.15"/>
    <row r="33390" spans="3:3" s="76" customFormat="1" ht="21.95" customHeight="1" x14ac:dyDescent="0.15"/>
    <row r="33391" spans="3:3" s="76" customFormat="1" ht="21.95" customHeight="1" x14ac:dyDescent="0.15"/>
    <row r="33392" spans="3:3" customFormat="1" ht="21.95" customHeight="1" x14ac:dyDescent="0.15"/>
    <row r="33393" customFormat="1" ht="21.95" customHeight="1" x14ac:dyDescent="0.15"/>
    <row r="33394" customFormat="1" ht="21.95" customHeight="1" x14ac:dyDescent="0.15"/>
    <row r="33395" customFormat="1" ht="21.95" customHeight="1" x14ac:dyDescent="0.15"/>
    <row r="33396" customFormat="1" ht="21.95" customHeight="1" x14ac:dyDescent="0.15"/>
    <row r="33397" customFormat="1" ht="21.95" customHeight="1" x14ac:dyDescent="0.15"/>
    <row r="33398" customFormat="1" ht="21.95" customHeight="1" x14ac:dyDescent="0.15"/>
    <row r="33399" customFormat="1" ht="21.95" customHeight="1" x14ac:dyDescent="0.15"/>
    <row r="33400" customFormat="1" ht="21.95" customHeight="1" x14ac:dyDescent="0.15"/>
    <row r="33401" customFormat="1" ht="21.95" customHeight="1" x14ac:dyDescent="0.15"/>
    <row r="33402" customFormat="1" ht="21.95" customHeight="1" x14ac:dyDescent="0.15"/>
    <row r="33403" customFormat="1" ht="32.1" customHeight="1" x14ac:dyDescent="0.15"/>
    <row r="33404" customFormat="1" ht="32.1" customHeight="1" x14ac:dyDescent="0.15"/>
    <row r="33405" customFormat="1" ht="32.1" customHeight="1" x14ac:dyDescent="0.15"/>
    <row r="33406" customFormat="1" ht="32.1" customHeight="1" x14ac:dyDescent="0.15"/>
    <row r="33407" customFormat="1" ht="32.1" customHeight="1" x14ac:dyDescent="0.15"/>
    <row r="33408" customFormat="1" ht="32.1" customHeight="1" x14ac:dyDescent="0.15"/>
    <row r="33409" s="76" customFormat="1" ht="32.1" customHeight="1" x14ac:dyDescent="0.15"/>
    <row r="33410" s="76" customFormat="1" ht="32.1" customHeight="1" x14ac:dyDescent="0.15"/>
    <row r="33411" s="76" customFormat="1" ht="32.1" customHeight="1" x14ac:dyDescent="0.15"/>
    <row r="33412" s="76" customFormat="1" ht="32.1" customHeight="1" x14ac:dyDescent="0.15"/>
    <row r="33413" s="76" customFormat="1" ht="21.95" customHeight="1" x14ac:dyDescent="0.15"/>
    <row r="33414" s="76" customFormat="1" ht="54" customHeight="1" x14ac:dyDescent="0.15"/>
    <row r="33415" s="76" customFormat="1" ht="21.95" customHeight="1" x14ac:dyDescent="0.15"/>
    <row r="33416" s="76" customFormat="1" ht="21.95" customHeight="1" x14ac:dyDescent="0.15"/>
    <row r="33417" s="76" customFormat="1" ht="21.95" customHeight="1" x14ac:dyDescent="0.15"/>
    <row r="33418" s="76" customFormat="1" ht="21.95" customHeight="1" x14ac:dyDescent="0.15"/>
    <row r="33419" s="76" customFormat="1" ht="21.95" customHeight="1" x14ac:dyDescent="0.15"/>
    <row r="33420" s="76" customFormat="1" ht="21.95" customHeight="1" x14ac:dyDescent="0.15"/>
    <row r="33421" s="76" customFormat="1" ht="21.95" customHeight="1" x14ac:dyDescent="0.15"/>
    <row r="33422" s="76" customFormat="1" ht="21.95" customHeight="1" x14ac:dyDescent="0.15"/>
    <row r="33423" s="76" customFormat="1" ht="21.95" customHeight="1" x14ac:dyDescent="0.15"/>
    <row r="33424" s="76" customFormat="1" ht="21.95" customHeight="1" x14ac:dyDescent="0.15"/>
    <row r="33425" s="76" customFormat="1" ht="21.95" customHeight="1" x14ac:dyDescent="0.15"/>
    <row r="33426" s="76" customFormat="1" ht="21.95" customHeight="1" x14ac:dyDescent="0.15"/>
    <row r="33427" s="76" customFormat="1" ht="21.95" customHeight="1" x14ac:dyDescent="0.15"/>
    <row r="33428" s="76" customFormat="1" ht="21.95" customHeight="1" x14ac:dyDescent="0.15"/>
    <row r="33429" s="76" customFormat="1" ht="21.95" customHeight="1" x14ac:dyDescent="0.15"/>
    <row r="33430" s="76" customFormat="1" ht="21.95" customHeight="1" x14ac:dyDescent="0.15"/>
    <row r="33431" s="76" customFormat="1" ht="21.95" customHeight="1" x14ac:dyDescent="0.15"/>
    <row r="33432" s="76" customFormat="1" ht="21.95" customHeight="1" x14ac:dyDescent="0.15"/>
    <row r="33433" s="76" customFormat="1" ht="21.95" customHeight="1" x14ac:dyDescent="0.15"/>
    <row r="33434" s="76" customFormat="1" ht="21.95" customHeight="1" x14ac:dyDescent="0.15"/>
    <row r="33435" s="76" customFormat="1" ht="21.95" customHeight="1" x14ac:dyDescent="0.15"/>
    <row r="33436" s="76" customFormat="1" ht="21.95" customHeight="1" x14ac:dyDescent="0.15"/>
    <row r="33437" s="76" customFormat="1" ht="21.95" customHeight="1" x14ac:dyDescent="0.15"/>
    <row r="33438" s="76" customFormat="1" ht="21.95" customHeight="1" x14ac:dyDescent="0.15"/>
    <row r="33439" s="76" customFormat="1" ht="21.95" customHeight="1" x14ac:dyDescent="0.15"/>
    <row r="33440" s="76" customFormat="1" ht="21.95" customHeight="1" x14ac:dyDescent="0.15"/>
    <row r="33441" s="76" customFormat="1" ht="21.95" customHeight="1" x14ac:dyDescent="0.15"/>
    <row r="33442" s="76" customFormat="1" ht="21.95" customHeight="1" x14ac:dyDescent="0.15"/>
    <row r="33443" s="76" customFormat="1" ht="21.95" customHeight="1" x14ac:dyDescent="0.15"/>
    <row r="33444" s="76" customFormat="1" ht="21.95" customHeight="1" x14ac:dyDescent="0.15"/>
    <row r="33445" s="76" customFormat="1" ht="21.95" customHeight="1" x14ac:dyDescent="0.15"/>
    <row r="33446" s="76" customFormat="1" ht="21.95" customHeight="1" x14ac:dyDescent="0.15"/>
    <row r="33447" s="76" customFormat="1" ht="21.95" customHeight="1" x14ac:dyDescent="0.15"/>
    <row r="33448" s="76" customFormat="1" ht="21.95" customHeight="1" x14ac:dyDescent="0.15"/>
    <row r="33449" s="76" customFormat="1" ht="21.95" customHeight="1" x14ac:dyDescent="0.15"/>
    <row r="33450" s="76" customFormat="1" ht="21.95" customHeight="1" x14ac:dyDescent="0.15"/>
    <row r="33451" s="76" customFormat="1" ht="21.95" customHeight="1" x14ac:dyDescent="0.15"/>
    <row r="33452" s="76" customFormat="1" ht="21.95" customHeight="1" x14ac:dyDescent="0.15"/>
    <row r="33453" s="76" customFormat="1" ht="21.95" customHeight="1" x14ac:dyDescent="0.15"/>
    <row r="33454" s="76" customFormat="1" ht="21.95" customHeight="1" x14ac:dyDescent="0.15"/>
    <row r="33455" s="76" customFormat="1" ht="21.95" customHeight="1" x14ac:dyDescent="0.15"/>
    <row r="33456" s="76" customFormat="1" ht="21.95" customHeight="1" x14ac:dyDescent="0.15"/>
    <row r="33457" s="76" customFormat="1" ht="21.95" customHeight="1" x14ac:dyDescent="0.15"/>
    <row r="33458" s="76" customFormat="1" ht="21.95" customHeight="1" x14ac:dyDescent="0.15"/>
    <row r="33459" s="76" customFormat="1" ht="21.95" customHeight="1" x14ac:dyDescent="0.15"/>
    <row r="33460" s="76" customFormat="1" ht="21.95" customHeight="1" x14ac:dyDescent="0.15"/>
    <row r="33461" s="76" customFormat="1" ht="21.95" customHeight="1" x14ac:dyDescent="0.15"/>
    <row r="33462" s="76" customFormat="1" ht="21.95" customHeight="1" x14ac:dyDescent="0.15"/>
    <row r="33463" s="76" customFormat="1" ht="21.95" customHeight="1" x14ac:dyDescent="0.15"/>
    <row r="33464" s="76" customFormat="1" ht="21.95" customHeight="1" x14ac:dyDescent="0.15"/>
    <row r="33465" s="76" customFormat="1" ht="35.1" customHeight="1" x14ac:dyDescent="0.15"/>
    <row r="33466" s="76" customFormat="1" ht="21.95" customHeight="1" x14ac:dyDescent="0.15"/>
    <row r="33467" s="76" customFormat="1" ht="21.95" customHeight="1" x14ac:dyDescent="0.15"/>
    <row r="33468" s="76" customFormat="1" ht="21.95" customHeight="1" x14ac:dyDescent="0.15"/>
    <row r="33469" s="76" customFormat="1" ht="21.95" customHeight="1" x14ac:dyDescent="0.15"/>
    <row r="33470" s="76" customFormat="1" ht="21.95" customHeight="1" x14ac:dyDescent="0.15"/>
    <row r="33471" s="76" customFormat="1" ht="21.95" customHeight="1" x14ac:dyDescent="0.15"/>
    <row r="33472" s="76" customFormat="1" ht="21.95" customHeight="1" x14ac:dyDescent="0.15"/>
    <row r="33473" s="76" customFormat="1" ht="21.95" customHeight="1" x14ac:dyDescent="0.15"/>
    <row r="33474" s="76" customFormat="1" ht="21.95" customHeight="1" x14ac:dyDescent="0.15"/>
    <row r="33475" s="76" customFormat="1" ht="21.95" customHeight="1" x14ac:dyDescent="0.15"/>
    <row r="33476" s="76" customFormat="1" ht="21.95" customHeight="1" x14ac:dyDescent="0.15"/>
    <row r="33477" s="76" customFormat="1" ht="21.95" customHeight="1" x14ac:dyDescent="0.15"/>
    <row r="33478" s="76" customFormat="1" ht="21.95" customHeight="1" x14ac:dyDescent="0.15"/>
    <row r="33479" s="76" customFormat="1" ht="21.95" customHeight="1" x14ac:dyDescent="0.15"/>
    <row r="33480" s="76" customFormat="1" ht="21.95" customHeight="1" x14ac:dyDescent="0.15"/>
    <row r="33481" s="76" customFormat="1" ht="21.95" customHeight="1" x14ac:dyDescent="0.15"/>
    <row r="33482" s="76" customFormat="1" ht="21.95" customHeight="1" x14ac:dyDescent="0.15"/>
    <row r="33483" s="76" customFormat="1" ht="21.95" customHeight="1" x14ac:dyDescent="0.15"/>
    <row r="33484" s="76" customFormat="1" ht="21.95" customHeight="1" x14ac:dyDescent="0.15"/>
    <row r="33485" s="76" customFormat="1" ht="21.95" customHeight="1" x14ac:dyDescent="0.15"/>
    <row r="33486" s="76" customFormat="1" ht="21.95" customHeight="1" x14ac:dyDescent="0.15"/>
    <row r="33487" s="76" customFormat="1" ht="21.95" customHeight="1" x14ac:dyDescent="0.15"/>
    <row r="33488" s="76" customFormat="1" ht="21.95" customHeight="1" x14ac:dyDescent="0.15"/>
    <row r="33489" spans="3:3" customFormat="1" ht="21.95" customHeight="1" x14ac:dyDescent="0.15"/>
    <row r="33490" spans="3:3" customFormat="1" ht="21.95" customHeight="1" x14ac:dyDescent="0.15"/>
    <row r="33491" spans="3:3" customFormat="1" ht="21.95" customHeight="1" x14ac:dyDescent="0.15">
      <c r="C33491" s="94"/>
    </row>
    <row r="33492" spans="3:3" customFormat="1" ht="21.95" customHeight="1" x14ac:dyDescent="0.15">
      <c r="C33492" s="94"/>
    </row>
    <row r="33493" spans="3:3" customFormat="1" ht="21.95" customHeight="1" x14ac:dyDescent="0.15"/>
    <row r="33494" spans="3:3" customFormat="1" ht="21.95" customHeight="1" x14ac:dyDescent="0.15"/>
    <row r="33495" spans="3:3" customFormat="1" ht="21.95" customHeight="1" x14ac:dyDescent="0.15"/>
    <row r="33496" spans="3:3" customFormat="1" ht="21.95" customHeight="1" x14ac:dyDescent="0.15"/>
    <row r="33497" spans="3:3" customFormat="1" ht="21.95" customHeight="1" x14ac:dyDescent="0.15"/>
    <row r="33498" spans="3:3" customFormat="1" ht="21.95" customHeight="1" x14ac:dyDescent="0.15"/>
    <row r="33499" spans="3:3" customFormat="1" ht="21.95" customHeight="1" x14ac:dyDescent="0.15"/>
    <row r="33500" spans="3:3" s="76" customFormat="1" ht="21.95" customHeight="1" x14ac:dyDescent="0.15"/>
    <row r="33501" spans="3:3" s="76" customFormat="1" ht="21.95" customHeight="1" x14ac:dyDescent="0.15"/>
    <row r="33502" spans="3:3" s="76" customFormat="1" ht="21.95" customHeight="1" x14ac:dyDescent="0.15"/>
    <row r="33503" spans="3:3" s="76" customFormat="1" ht="21.95" customHeight="1" x14ac:dyDescent="0.15"/>
    <row r="33504" spans="3:3" customFormat="1" ht="21.95" customHeight="1" x14ac:dyDescent="0.15"/>
    <row r="33505" customFormat="1" ht="21.95" customHeight="1" x14ac:dyDescent="0.15"/>
    <row r="33506" customFormat="1" ht="21.95" customHeight="1" x14ac:dyDescent="0.15"/>
    <row r="33507" customFormat="1" ht="21.95" customHeight="1" x14ac:dyDescent="0.15"/>
    <row r="33508" customFormat="1" ht="21.95" customHeight="1" x14ac:dyDescent="0.15"/>
    <row r="33509" customFormat="1" ht="21.95" customHeight="1" x14ac:dyDescent="0.15"/>
    <row r="33510" customFormat="1" ht="21.95" customHeight="1" x14ac:dyDescent="0.15"/>
    <row r="33511" customFormat="1" ht="21.95" customHeight="1" x14ac:dyDescent="0.15"/>
    <row r="33512" customFormat="1" ht="21.95" customHeight="1" x14ac:dyDescent="0.15"/>
    <row r="33513" customFormat="1" ht="21.95" customHeight="1" x14ac:dyDescent="0.15"/>
    <row r="33514" customFormat="1" ht="21.95" customHeight="1" x14ac:dyDescent="0.15"/>
    <row r="33515" customFormat="1" ht="32.1" customHeight="1" x14ac:dyDescent="0.15"/>
    <row r="33516" customFormat="1" ht="32.1" customHeight="1" x14ac:dyDescent="0.15"/>
    <row r="33517" customFormat="1" ht="32.1" customHeight="1" x14ac:dyDescent="0.15"/>
    <row r="33518" customFormat="1" ht="32.1" customHeight="1" x14ac:dyDescent="0.15"/>
    <row r="33519" customFormat="1" ht="32.1" customHeight="1" x14ac:dyDescent="0.15"/>
    <row r="33520" customFormat="1" ht="32.1" customHeight="1" x14ac:dyDescent="0.15"/>
    <row r="33521" s="76" customFormat="1" ht="32.1" customHeight="1" x14ac:dyDescent="0.15"/>
    <row r="33522" s="76" customFormat="1" ht="32.1" customHeight="1" x14ac:dyDescent="0.15"/>
    <row r="33523" s="76" customFormat="1" ht="32.1" customHeight="1" x14ac:dyDescent="0.15"/>
    <row r="33524" s="76" customFormat="1" ht="32.1" customHeight="1" x14ac:dyDescent="0.15"/>
    <row r="33525" s="76" customFormat="1" ht="21.95" customHeight="1" x14ac:dyDescent="0.15"/>
    <row r="33526" s="76" customFormat="1" ht="54" customHeight="1" x14ac:dyDescent="0.15"/>
    <row r="33527" s="76" customFormat="1" ht="21.95" customHeight="1" x14ac:dyDescent="0.15"/>
    <row r="33528" s="76" customFormat="1" ht="21.95" customHeight="1" x14ac:dyDescent="0.15"/>
    <row r="33529" s="76" customFormat="1" ht="21.95" customHeight="1" x14ac:dyDescent="0.15"/>
    <row r="33530" s="76" customFormat="1" ht="21.95" customHeight="1" x14ac:dyDescent="0.15"/>
    <row r="33531" s="76" customFormat="1" ht="21.95" customHeight="1" x14ac:dyDescent="0.15"/>
    <row r="33532" s="76" customFormat="1" ht="21.95" customHeight="1" x14ac:dyDescent="0.15"/>
    <row r="33533" s="76" customFormat="1" ht="21.95" customHeight="1" x14ac:dyDescent="0.15"/>
    <row r="33534" s="76" customFormat="1" ht="21.95" customHeight="1" x14ac:dyDescent="0.15"/>
    <row r="33535" s="76" customFormat="1" ht="21.95" customHeight="1" x14ac:dyDescent="0.15"/>
    <row r="33536" s="76" customFormat="1" ht="21.95" customHeight="1" x14ac:dyDescent="0.15"/>
    <row r="33537" s="76" customFormat="1" ht="21.95" customHeight="1" x14ac:dyDescent="0.15"/>
    <row r="33538" s="76" customFormat="1" ht="21.95" customHeight="1" x14ac:dyDescent="0.15"/>
    <row r="33539" s="76" customFormat="1" ht="21.95" customHeight="1" x14ac:dyDescent="0.15"/>
    <row r="33540" s="76" customFormat="1" ht="21.95" customHeight="1" x14ac:dyDescent="0.15"/>
    <row r="33541" s="76" customFormat="1" ht="21.95" customHeight="1" x14ac:dyDescent="0.15"/>
    <row r="33542" s="76" customFormat="1" ht="21.95" customHeight="1" x14ac:dyDescent="0.15"/>
    <row r="33543" s="76" customFormat="1" ht="21.95" customHeight="1" x14ac:dyDescent="0.15"/>
    <row r="33544" s="76" customFormat="1" ht="21.95" customHeight="1" x14ac:dyDescent="0.15"/>
    <row r="33545" s="76" customFormat="1" ht="21.95" customHeight="1" x14ac:dyDescent="0.15"/>
    <row r="33546" s="76" customFormat="1" ht="21.95" customHeight="1" x14ac:dyDescent="0.15"/>
    <row r="33547" s="76" customFormat="1" ht="21.95" customHeight="1" x14ac:dyDescent="0.15"/>
    <row r="33548" s="76" customFormat="1" ht="21.95" customHeight="1" x14ac:dyDescent="0.15"/>
    <row r="33549" s="76" customFormat="1" ht="21.95" customHeight="1" x14ac:dyDescent="0.15"/>
    <row r="33550" s="76" customFormat="1" ht="21.95" customHeight="1" x14ac:dyDescent="0.15"/>
    <row r="33551" s="76" customFormat="1" ht="21.95" customHeight="1" x14ac:dyDescent="0.15"/>
    <row r="33552" s="76" customFormat="1" ht="21.95" customHeight="1" x14ac:dyDescent="0.15"/>
    <row r="33553" s="76" customFormat="1" ht="21.95" customHeight="1" x14ac:dyDescent="0.15"/>
    <row r="33554" s="76" customFormat="1" ht="21.95" customHeight="1" x14ac:dyDescent="0.15"/>
    <row r="33555" s="76" customFormat="1" ht="21.95" customHeight="1" x14ac:dyDescent="0.15"/>
    <row r="33556" s="76" customFormat="1" ht="21.95" customHeight="1" x14ac:dyDescent="0.15"/>
    <row r="33557" s="76" customFormat="1" ht="21.95" customHeight="1" x14ac:dyDescent="0.15"/>
    <row r="33558" s="76" customFormat="1" ht="21.95" customHeight="1" x14ac:dyDescent="0.15"/>
    <row r="33559" s="76" customFormat="1" ht="21.95" customHeight="1" x14ac:dyDescent="0.15"/>
    <row r="33560" s="76" customFormat="1" ht="21.95" customHeight="1" x14ac:dyDescent="0.15"/>
    <row r="33561" s="76" customFormat="1" ht="21.95" customHeight="1" x14ac:dyDescent="0.15"/>
    <row r="33562" s="76" customFormat="1" ht="21.95" customHeight="1" x14ac:dyDescent="0.15"/>
    <row r="33563" s="76" customFormat="1" ht="21.95" customHeight="1" x14ac:dyDescent="0.15"/>
    <row r="33564" s="76" customFormat="1" ht="21.95" customHeight="1" x14ac:dyDescent="0.15"/>
    <row r="33565" s="76" customFormat="1" ht="21.95" customHeight="1" x14ac:dyDescent="0.15"/>
    <row r="33566" s="76" customFormat="1" ht="21.95" customHeight="1" x14ac:dyDescent="0.15"/>
    <row r="33567" s="76" customFormat="1" ht="21.95" customHeight="1" x14ac:dyDescent="0.15"/>
    <row r="33568" s="76" customFormat="1" ht="21.95" customHeight="1" x14ac:dyDescent="0.15"/>
    <row r="33569" s="76" customFormat="1" ht="21.95" customHeight="1" x14ac:dyDescent="0.15"/>
    <row r="33570" s="76" customFormat="1" ht="21.95" customHeight="1" x14ac:dyDescent="0.15"/>
    <row r="33571" s="76" customFormat="1" ht="21.95" customHeight="1" x14ac:dyDescent="0.15"/>
    <row r="33572" s="76" customFormat="1" ht="21.95" customHeight="1" x14ac:dyDescent="0.15"/>
    <row r="33573" s="76" customFormat="1" ht="21.95" customHeight="1" x14ac:dyDescent="0.15"/>
    <row r="33574" s="76" customFormat="1" ht="21.95" customHeight="1" x14ac:dyDescent="0.15"/>
    <row r="33575" s="76" customFormat="1" ht="21.95" customHeight="1" x14ac:dyDescent="0.15"/>
    <row r="33576" s="76" customFormat="1" ht="21.95" customHeight="1" x14ac:dyDescent="0.15"/>
    <row r="33577" s="76" customFormat="1" ht="35.1" customHeight="1" x14ac:dyDescent="0.15"/>
    <row r="33578" s="76" customFormat="1" ht="21.95" customHeight="1" x14ac:dyDescent="0.15"/>
    <row r="33579" s="76" customFormat="1" ht="21.95" customHeight="1" x14ac:dyDescent="0.15"/>
    <row r="33580" s="76" customFormat="1" ht="21.95" customHeight="1" x14ac:dyDescent="0.15"/>
    <row r="33581" s="76" customFormat="1" ht="21.95" customHeight="1" x14ac:dyDescent="0.15"/>
    <row r="33582" s="76" customFormat="1" ht="21.95" customHeight="1" x14ac:dyDescent="0.15"/>
    <row r="33583" s="76" customFormat="1" ht="21.95" customHeight="1" x14ac:dyDescent="0.15"/>
    <row r="33584" s="76" customFormat="1" ht="21.95" customHeight="1" x14ac:dyDescent="0.15"/>
    <row r="33585" s="76" customFormat="1" ht="21.95" customHeight="1" x14ac:dyDescent="0.15"/>
    <row r="33586" s="76" customFormat="1" ht="21.95" customHeight="1" x14ac:dyDescent="0.15"/>
    <row r="33587" s="76" customFormat="1" ht="21.95" customHeight="1" x14ac:dyDescent="0.15"/>
    <row r="33588" s="76" customFormat="1" ht="21.95" customHeight="1" x14ac:dyDescent="0.15"/>
    <row r="33589" s="76" customFormat="1" ht="21.95" customHeight="1" x14ac:dyDescent="0.15"/>
    <row r="33590" s="76" customFormat="1" ht="21.95" customHeight="1" x14ac:dyDescent="0.15"/>
    <row r="33591" s="76" customFormat="1" ht="21.95" customHeight="1" x14ac:dyDescent="0.15"/>
    <row r="33592" s="76" customFormat="1" ht="21.95" customHeight="1" x14ac:dyDescent="0.15"/>
    <row r="33593" s="76" customFormat="1" ht="21.95" customHeight="1" x14ac:dyDescent="0.15"/>
    <row r="33594" s="76" customFormat="1" ht="21.95" customHeight="1" x14ac:dyDescent="0.15"/>
    <row r="33595" s="76" customFormat="1" ht="21.95" customHeight="1" x14ac:dyDescent="0.15"/>
    <row r="33596" s="76" customFormat="1" ht="21.95" customHeight="1" x14ac:dyDescent="0.15"/>
    <row r="33597" s="76" customFormat="1" ht="21.95" customHeight="1" x14ac:dyDescent="0.15"/>
    <row r="33598" s="76" customFormat="1" ht="21.95" customHeight="1" x14ac:dyDescent="0.15"/>
    <row r="33599" s="76" customFormat="1" ht="21.95" customHeight="1" x14ac:dyDescent="0.15"/>
    <row r="33600" s="76" customFormat="1" ht="21.95" customHeight="1" x14ac:dyDescent="0.15"/>
    <row r="33601" spans="3:3" customFormat="1" ht="21.95" customHeight="1" x14ac:dyDescent="0.15"/>
    <row r="33602" spans="3:3" customFormat="1" ht="21.95" customHeight="1" x14ac:dyDescent="0.15"/>
    <row r="33603" spans="3:3" customFormat="1" ht="21.95" customHeight="1" x14ac:dyDescent="0.15">
      <c r="C33603" s="94"/>
    </row>
    <row r="33604" spans="3:3" customFormat="1" ht="21.95" customHeight="1" x14ac:dyDescent="0.15">
      <c r="C33604" s="94"/>
    </row>
    <row r="33605" spans="3:3" customFormat="1" ht="21.95" customHeight="1" x14ac:dyDescent="0.15"/>
    <row r="33606" spans="3:3" customFormat="1" ht="21.95" customHeight="1" x14ac:dyDescent="0.15"/>
    <row r="33607" spans="3:3" customFormat="1" ht="21.95" customHeight="1" x14ac:dyDescent="0.15"/>
    <row r="33608" spans="3:3" customFormat="1" ht="21.95" customHeight="1" x14ac:dyDescent="0.15"/>
    <row r="33609" spans="3:3" customFormat="1" ht="21.95" customHeight="1" x14ac:dyDescent="0.15"/>
    <row r="33610" spans="3:3" customFormat="1" ht="21.95" customHeight="1" x14ac:dyDescent="0.15"/>
    <row r="33611" spans="3:3" customFormat="1" ht="21.95" customHeight="1" x14ac:dyDescent="0.15"/>
    <row r="33612" spans="3:3" s="76" customFormat="1" ht="21.95" customHeight="1" x14ac:dyDescent="0.15"/>
    <row r="33613" spans="3:3" s="76" customFormat="1" ht="21.95" customHeight="1" x14ac:dyDescent="0.15"/>
    <row r="33614" spans="3:3" s="76" customFormat="1" ht="21.95" customHeight="1" x14ac:dyDescent="0.15"/>
    <row r="33615" spans="3:3" s="76" customFormat="1" ht="21.95" customHeight="1" x14ac:dyDescent="0.15"/>
    <row r="33616" spans="3:3" customFormat="1" ht="21.95" customHeight="1" x14ac:dyDescent="0.15"/>
    <row r="33617" customFormat="1" ht="21.95" customHeight="1" x14ac:dyDescent="0.15"/>
    <row r="33618" customFormat="1" ht="21.95" customHeight="1" x14ac:dyDescent="0.15"/>
    <row r="33619" customFormat="1" ht="21.95" customHeight="1" x14ac:dyDescent="0.15"/>
    <row r="33620" customFormat="1" ht="21.95" customHeight="1" x14ac:dyDescent="0.15"/>
    <row r="33621" customFormat="1" ht="21.95" customHeight="1" x14ac:dyDescent="0.15"/>
    <row r="33622" customFormat="1" ht="21.95" customHeight="1" x14ac:dyDescent="0.15"/>
    <row r="33623" customFormat="1" ht="21.95" customHeight="1" x14ac:dyDescent="0.15"/>
    <row r="33624" customFormat="1" ht="21.95" customHeight="1" x14ac:dyDescent="0.15"/>
    <row r="33625" customFormat="1" ht="21.95" customHeight="1" x14ac:dyDescent="0.15"/>
    <row r="33626" customFormat="1" ht="21.95" customHeight="1" x14ac:dyDescent="0.15"/>
    <row r="33627" customFormat="1" ht="32.1" customHeight="1" x14ac:dyDescent="0.15"/>
    <row r="33628" customFormat="1" ht="32.1" customHeight="1" x14ac:dyDescent="0.15"/>
    <row r="33629" customFormat="1" ht="32.1" customHeight="1" x14ac:dyDescent="0.15"/>
    <row r="33630" customFormat="1" ht="32.1" customHeight="1" x14ac:dyDescent="0.15"/>
    <row r="33631" customFormat="1" ht="32.1" customHeight="1" x14ac:dyDescent="0.15"/>
    <row r="33632" customFormat="1" ht="32.1" customHeight="1" x14ac:dyDescent="0.15"/>
    <row r="33633" s="76" customFormat="1" ht="32.1" customHeight="1" x14ac:dyDescent="0.15"/>
    <row r="33634" s="76" customFormat="1" ht="32.1" customHeight="1" x14ac:dyDescent="0.15"/>
    <row r="33635" s="76" customFormat="1" ht="32.1" customHeight="1" x14ac:dyDescent="0.15"/>
    <row r="33636" s="76" customFormat="1" ht="32.1" customHeight="1" x14ac:dyDescent="0.15"/>
    <row r="33637" s="76" customFormat="1" ht="21.95" customHeight="1" x14ac:dyDescent="0.15"/>
    <row r="33638" s="76" customFormat="1" ht="54" customHeight="1" x14ac:dyDescent="0.15"/>
    <row r="33639" s="76" customFormat="1" ht="21.95" customHeight="1" x14ac:dyDescent="0.15"/>
    <row r="33640" s="76" customFormat="1" ht="21.95" customHeight="1" x14ac:dyDescent="0.15"/>
    <row r="33641" s="76" customFormat="1" ht="21.95" customHeight="1" x14ac:dyDescent="0.15"/>
    <row r="33642" s="76" customFormat="1" ht="21.95" customHeight="1" x14ac:dyDescent="0.15"/>
    <row r="33643" s="76" customFormat="1" ht="21.95" customHeight="1" x14ac:dyDescent="0.15"/>
    <row r="33644" s="76" customFormat="1" ht="21.95" customHeight="1" x14ac:dyDescent="0.15"/>
    <row r="33645" s="76" customFormat="1" ht="21.95" customHeight="1" x14ac:dyDescent="0.15"/>
    <row r="33646" s="76" customFormat="1" ht="21.95" customHeight="1" x14ac:dyDescent="0.15"/>
    <row r="33647" s="76" customFormat="1" ht="21.95" customHeight="1" x14ac:dyDescent="0.15"/>
    <row r="33648" s="76" customFormat="1" ht="21.95" customHeight="1" x14ac:dyDescent="0.15"/>
    <row r="33649" s="76" customFormat="1" ht="21.95" customHeight="1" x14ac:dyDescent="0.15"/>
    <row r="33650" s="76" customFormat="1" ht="21.95" customHeight="1" x14ac:dyDescent="0.15"/>
    <row r="33651" s="76" customFormat="1" ht="21.95" customHeight="1" x14ac:dyDescent="0.15"/>
    <row r="33652" s="76" customFormat="1" ht="21.95" customHeight="1" x14ac:dyDescent="0.15"/>
    <row r="33653" s="76" customFormat="1" ht="21.95" customHeight="1" x14ac:dyDescent="0.15"/>
    <row r="33654" s="76" customFormat="1" ht="21.95" customHeight="1" x14ac:dyDescent="0.15"/>
    <row r="33655" s="76" customFormat="1" ht="21.95" customHeight="1" x14ac:dyDescent="0.15"/>
    <row r="33656" s="76" customFormat="1" ht="21.95" customHeight="1" x14ac:dyDescent="0.15"/>
    <row r="33657" s="76" customFormat="1" ht="21.95" customHeight="1" x14ac:dyDescent="0.15"/>
    <row r="33658" s="76" customFormat="1" ht="21.95" customHeight="1" x14ac:dyDescent="0.15"/>
    <row r="33659" s="76" customFormat="1" ht="21.95" customHeight="1" x14ac:dyDescent="0.15"/>
    <row r="33660" s="76" customFormat="1" ht="21.95" customHeight="1" x14ac:dyDescent="0.15"/>
    <row r="33661" s="76" customFormat="1" ht="21.95" customHeight="1" x14ac:dyDescent="0.15"/>
    <row r="33662" s="76" customFormat="1" ht="21.95" customHeight="1" x14ac:dyDescent="0.15"/>
    <row r="33663" s="76" customFormat="1" ht="21.95" customHeight="1" x14ac:dyDescent="0.15"/>
    <row r="33664" s="76" customFormat="1" ht="21.95" customHeight="1" x14ac:dyDescent="0.15"/>
    <row r="33665" s="76" customFormat="1" ht="21.95" customHeight="1" x14ac:dyDescent="0.15"/>
    <row r="33666" s="76" customFormat="1" ht="21.95" customHeight="1" x14ac:dyDescent="0.15"/>
    <row r="33667" s="76" customFormat="1" ht="21.95" customHeight="1" x14ac:dyDescent="0.15"/>
    <row r="33668" s="76" customFormat="1" ht="21.95" customHeight="1" x14ac:dyDescent="0.15"/>
    <row r="33669" s="76" customFormat="1" ht="21.95" customHeight="1" x14ac:dyDescent="0.15"/>
    <row r="33670" s="76" customFormat="1" ht="21.95" customHeight="1" x14ac:dyDescent="0.15"/>
    <row r="33671" s="76" customFormat="1" ht="21.95" customHeight="1" x14ac:dyDescent="0.15"/>
    <row r="33672" s="76" customFormat="1" ht="21.95" customHeight="1" x14ac:dyDescent="0.15"/>
    <row r="33673" s="76" customFormat="1" ht="21.95" customHeight="1" x14ac:dyDescent="0.15"/>
    <row r="33674" s="76" customFormat="1" ht="21.95" customHeight="1" x14ac:dyDescent="0.15"/>
    <row r="33675" s="76" customFormat="1" ht="21.95" customHeight="1" x14ac:dyDescent="0.15"/>
    <row r="33676" s="76" customFormat="1" ht="21.95" customHeight="1" x14ac:dyDescent="0.15"/>
    <row r="33677" s="76" customFormat="1" ht="21.95" customHeight="1" x14ac:dyDescent="0.15"/>
    <row r="33678" s="76" customFormat="1" ht="21.95" customHeight="1" x14ac:dyDescent="0.15"/>
    <row r="33679" s="76" customFormat="1" ht="21.95" customHeight="1" x14ac:dyDescent="0.15"/>
    <row r="33680" s="76" customFormat="1" ht="21.95" customHeight="1" x14ac:dyDescent="0.15"/>
    <row r="33681" s="76" customFormat="1" ht="21.95" customHeight="1" x14ac:dyDescent="0.15"/>
    <row r="33682" s="76" customFormat="1" ht="21.95" customHeight="1" x14ac:dyDescent="0.15"/>
    <row r="33683" s="76" customFormat="1" ht="21.95" customHeight="1" x14ac:dyDescent="0.15"/>
    <row r="33684" s="76" customFormat="1" ht="21.95" customHeight="1" x14ac:dyDescent="0.15"/>
    <row r="33685" s="76" customFormat="1" ht="21.95" customHeight="1" x14ac:dyDescent="0.15"/>
    <row r="33686" s="76" customFormat="1" ht="21.95" customHeight="1" x14ac:dyDescent="0.15"/>
    <row r="33687" s="76" customFormat="1" ht="21.95" customHeight="1" x14ac:dyDescent="0.15"/>
    <row r="33688" s="76" customFormat="1" ht="21.95" customHeight="1" x14ac:dyDescent="0.15"/>
    <row r="33689" s="76" customFormat="1" ht="35.1" customHeight="1" x14ac:dyDescent="0.15"/>
    <row r="33690" s="76" customFormat="1" ht="21.95" customHeight="1" x14ac:dyDescent="0.15"/>
    <row r="33691" s="76" customFormat="1" ht="21.95" customHeight="1" x14ac:dyDescent="0.15"/>
    <row r="33692" s="76" customFormat="1" ht="21.95" customHeight="1" x14ac:dyDescent="0.15"/>
    <row r="33693" s="76" customFormat="1" ht="21.95" customHeight="1" x14ac:dyDescent="0.15"/>
    <row r="33694" s="76" customFormat="1" ht="21.95" customHeight="1" x14ac:dyDescent="0.15"/>
    <row r="33695" s="76" customFormat="1" ht="21.95" customHeight="1" x14ac:dyDescent="0.15"/>
    <row r="33696" s="76" customFormat="1" ht="21.95" customHeight="1" x14ac:dyDescent="0.15"/>
    <row r="33697" s="76" customFormat="1" ht="21.95" customHeight="1" x14ac:dyDescent="0.15"/>
    <row r="33698" s="76" customFormat="1" ht="21.95" customHeight="1" x14ac:dyDescent="0.15"/>
    <row r="33699" s="76" customFormat="1" ht="21.95" customHeight="1" x14ac:dyDescent="0.15"/>
    <row r="33700" s="76" customFormat="1" ht="21.95" customHeight="1" x14ac:dyDescent="0.15"/>
    <row r="33701" s="76" customFormat="1" ht="21.95" customHeight="1" x14ac:dyDescent="0.15"/>
    <row r="33702" s="76" customFormat="1" ht="21.95" customHeight="1" x14ac:dyDescent="0.15"/>
    <row r="33703" s="76" customFormat="1" ht="21.95" customHeight="1" x14ac:dyDescent="0.15"/>
    <row r="33704" s="76" customFormat="1" ht="21.95" customHeight="1" x14ac:dyDescent="0.15"/>
    <row r="33705" s="76" customFormat="1" ht="21.95" customHeight="1" x14ac:dyDescent="0.15"/>
    <row r="33706" s="76" customFormat="1" ht="21.95" customHeight="1" x14ac:dyDescent="0.15"/>
    <row r="33707" s="76" customFormat="1" ht="21.95" customHeight="1" x14ac:dyDescent="0.15"/>
    <row r="33708" s="76" customFormat="1" ht="21.95" customHeight="1" x14ac:dyDescent="0.15"/>
    <row r="33709" s="76" customFormat="1" ht="21.95" customHeight="1" x14ac:dyDescent="0.15"/>
    <row r="33710" s="76" customFormat="1" ht="21.95" customHeight="1" x14ac:dyDescent="0.15"/>
    <row r="33711" s="76" customFormat="1" ht="21.95" customHeight="1" x14ac:dyDescent="0.15"/>
    <row r="33712" s="76" customFormat="1" ht="21.95" customHeight="1" x14ac:dyDescent="0.15"/>
    <row r="33713" spans="3:3" customFormat="1" ht="21.95" customHeight="1" x14ac:dyDescent="0.15"/>
    <row r="33714" spans="3:3" customFormat="1" ht="21.95" customHeight="1" x14ac:dyDescent="0.15"/>
    <row r="33715" spans="3:3" customFormat="1" ht="21.95" customHeight="1" x14ac:dyDescent="0.15">
      <c r="C33715" s="94"/>
    </row>
    <row r="33716" spans="3:3" customFormat="1" ht="21.95" customHeight="1" x14ac:dyDescent="0.15">
      <c r="C33716" s="94"/>
    </row>
    <row r="33717" spans="3:3" customFormat="1" ht="21.95" customHeight="1" x14ac:dyDescent="0.15"/>
    <row r="33718" spans="3:3" customFormat="1" ht="21.95" customHeight="1" x14ac:dyDescent="0.15"/>
    <row r="33719" spans="3:3" customFormat="1" ht="21.95" customHeight="1" x14ac:dyDescent="0.15"/>
    <row r="33720" spans="3:3" customFormat="1" ht="21.95" customHeight="1" x14ac:dyDescent="0.15"/>
    <row r="33721" spans="3:3" customFormat="1" ht="21.95" customHeight="1" x14ac:dyDescent="0.15"/>
    <row r="33722" spans="3:3" customFormat="1" ht="21.95" customHeight="1" x14ac:dyDescent="0.15"/>
    <row r="33723" spans="3:3" customFormat="1" ht="21.95" customHeight="1" x14ac:dyDescent="0.15"/>
    <row r="33724" spans="3:3" s="76" customFormat="1" ht="21.95" customHeight="1" x14ac:dyDescent="0.15"/>
    <row r="33725" spans="3:3" s="76" customFormat="1" ht="21.95" customHeight="1" x14ac:dyDescent="0.15"/>
    <row r="33726" spans="3:3" s="76" customFormat="1" ht="21.95" customHeight="1" x14ac:dyDescent="0.15"/>
    <row r="33727" spans="3:3" s="76" customFormat="1" ht="21.95" customHeight="1" x14ac:dyDescent="0.15"/>
    <row r="33728" spans="3:3" customFormat="1" ht="21.95" customHeight="1" x14ac:dyDescent="0.15"/>
    <row r="33729" customFormat="1" ht="21.95" customHeight="1" x14ac:dyDescent="0.15"/>
    <row r="33730" customFormat="1" ht="21.95" customHeight="1" x14ac:dyDescent="0.15"/>
    <row r="33731" customFormat="1" ht="21.95" customHeight="1" x14ac:dyDescent="0.15"/>
    <row r="33732" customFormat="1" ht="21.95" customHeight="1" x14ac:dyDescent="0.15"/>
    <row r="33733" customFormat="1" ht="21.95" customHeight="1" x14ac:dyDescent="0.15"/>
    <row r="33734" customFormat="1" ht="21.95" customHeight="1" x14ac:dyDescent="0.15"/>
    <row r="33735" customFormat="1" ht="21.95" customHeight="1" x14ac:dyDescent="0.15"/>
    <row r="33736" customFormat="1" ht="21.95" customHeight="1" x14ac:dyDescent="0.15"/>
    <row r="33737" customFormat="1" ht="21.95" customHeight="1" x14ac:dyDescent="0.15"/>
    <row r="33738" customFormat="1" ht="21.95" customHeight="1" x14ac:dyDescent="0.15"/>
    <row r="33739" customFormat="1" ht="32.1" customHeight="1" x14ac:dyDescent="0.15"/>
    <row r="33740" customFormat="1" ht="32.1" customHeight="1" x14ac:dyDescent="0.15"/>
    <row r="33741" customFormat="1" ht="32.1" customHeight="1" x14ac:dyDescent="0.15"/>
    <row r="33742" customFormat="1" ht="32.1" customHeight="1" x14ac:dyDescent="0.15"/>
    <row r="33743" customFormat="1" ht="32.1" customHeight="1" x14ac:dyDescent="0.15"/>
    <row r="33744" customFormat="1" ht="32.1" customHeight="1" x14ac:dyDescent="0.15"/>
    <row r="33745" s="76" customFormat="1" ht="32.1" customHeight="1" x14ac:dyDescent="0.15"/>
    <row r="33746" s="76" customFormat="1" ht="32.1" customHeight="1" x14ac:dyDescent="0.15"/>
    <row r="33747" s="76" customFormat="1" ht="32.1" customHeight="1" x14ac:dyDescent="0.15"/>
    <row r="33748" s="76" customFormat="1" ht="32.1" customHeight="1" x14ac:dyDescent="0.15"/>
    <row r="33749" s="76" customFormat="1" ht="21.95" customHeight="1" x14ac:dyDescent="0.15"/>
    <row r="33750" s="76" customFormat="1" ht="54" customHeight="1" x14ac:dyDescent="0.15"/>
    <row r="33751" s="76" customFormat="1" ht="21.95" customHeight="1" x14ac:dyDescent="0.15"/>
    <row r="33752" s="76" customFormat="1" ht="21.95" customHeight="1" x14ac:dyDescent="0.15"/>
    <row r="33753" s="76" customFormat="1" ht="21.95" customHeight="1" x14ac:dyDescent="0.15"/>
    <row r="33754" s="76" customFormat="1" ht="21.95" customHeight="1" x14ac:dyDescent="0.15"/>
    <row r="33755" s="76" customFormat="1" ht="21.95" customHeight="1" x14ac:dyDescent="0.15"/>
    <row r="33756" s="76" customFormat="1" ht="21.95" customHeight="1" x14ac:dyDescent="0.15"/>
    <row r="33757" s="76" customFormat="1" ht="21.95" customHeight="1" x14ac:dyDescent="0.15"/>
    <row r="33758" s="76" customFormat="1" ht="21.95" customHeight="1" x14ac:dyDescent="0.15"/>
    <row r="33759" s="76" customFormat="1" ht="21.95" customHeight="1" x14ac:dyDescent="0.15"/>
    <row r="33760" s="76" customFormat="1" ht="21.95" customHeight="1" x14ac:dyDescent="0.15"/>
    <row r="33761" s="76" customFormat="1" ht="21.95" customHeight="1" x14ac:dyDescent="0.15"/>
    <row r="33762" s="76" customFormat="1" ht="21.95" customHeight="1" x14ac:dyDescent="0.15"/>
    <row r="33763" s="76" customFormat="1" ht="21.95" customHeight="1" x14ac:dyDescent="0.15"/>
    <row r="33764" s="76" customFormat="1" ht="21.95" customHeight="1" x14ac:dyDescent="0.15"/>
    <row r="33765" s="76" customFormat="1" ht="21.95" customHeight="1" x14ac:dyDescent="0.15"/>
    <row r="33766" s="76" customFormat="1" ht="21.95" customHeight="1" x14ac:dyDescent="0.15"/>
    <row r="33767" s="76" customFormat="1" ht="21.95" customHeight="1" x14ac:dyDescent="0.15"/>
    <row r="33768" s="76" customFormat="1" ht="21.95" customHeight="1" x14ac:dyDescent="0.15"/>
    <row r="33769" s="76" customFormat="1" ht="21.95" customHeight="1" x14ac:dyDescent="0.15"/>
    <row r="33770" s="76" customFormat="1" ht="21.95" customHeight="1" x14ac:dyDescent="0.15"/>
    <row r="33771" s="76" customFormat="1" ht="21.95" customHeight="1" x14ac:dyDescent="0.15"/>
    <row r="33772" s="76" customFormat="1" ht="21.95" customHeight="1" x14ac:dyDescent="0.15"/>
    <row r="33773" s="76" customFormat="1" ht="21.95" customHeight="1" x14ac:dyDescent="0.15"/>
    <row r="33774" s="76" customFormat="1" ht="21.95" customHeight="1" x14ac:dyDescent="0.15"/>
    <row r="33775" s="76" customFormat="1" ht="21.95" customHeight="1" x14ac:dyDescent="0.15"/>
    <row r="33776" s="76" customFormat="1" ht="21.95" customHeight="1" x14ac:dyDescent="0.15"/>
    <row r="33777" s="76" customFormat="1" ht="21.95" customHeight="1" x14ac:dyDescent="0.15"/>
    <row r="33778" s="76" customFormat="1" ht="21.95" customHeight="1" x14ac:dyDescent="0.15"/>
    <row r="33779" s="76" customFormat="1" ht="21.95" customHeight="1" x14ac:dyDescent="0.15"/>
    <row r="33780" s="76" customFormat="1" ht="21.95" customHeight="1" x14ac:dyDescent="0.15"/>
    <row r="33781" s="76" customFormat="1" ht="21.95" customHeight="1" x14ac:dyDescent="0.15"/>
    <row r="33782" s="76" customFormat="1" ht="21.95" customHeight="1" x14ac:dyDescent="0.15"/>
    <row r="33783" s="76" customFormat="1" ht="21.95" customHeight="1" x14ac:dyDescent="0.15"/>
    <row r="33784" s="76" customFormat="1" ht="21.95" customHeight="1" x14ac:dyDescent="0.15"/>
    <row r="33785" s="76" customFormat="1" ht="21.95" customHeight="1" x14ac:dyDescent="0.15"/>
    <row r="33786" s="76" customFormat="1" ht="21.95" customHeight="1" x14ac:dyDescent="0.15"/>
    <row r="33787" s="76" customFormat="1" ht="21.95" customHeight="1" x14ac:dyDescent="0.15"/>
    <row r="33788" s="76" customFormat="1" ht="21.95" customHeight="1" x14ac:dyDescent="0.15"/>
    <row r="33789" s="76" customFormat="1" ht="21.95" customHeight="1" x14ac:dyDescent="0.15"/>
    <row r="33790" s="76" customFormat="1" ht="21.95" customHeight="1" x14ac:dyDescent="0.15"/>
    <row r="33791" s="76" customFormat="1" ht="21.95" customHeight="1" x14ac:dyDescent="0.15"/>
    <row r="33792" s="76" customFormat="1" ht="21.95" customHeight="1" x14ac:dyDescent="0.15"/>
    <row r="33793" s="76" customFormat="1" ht="21.95" customHeight="1" x14ac:dyDescent="0.15"/>
    <row r="33794" s="76" customFormat="1" ht="21.95" customHeight="1" x14ac:dyDescent="0.15"/>
    <row r="33795" s="76" customFormat="1" ht="21.95" customHeight="1" x14ac:dyDescent="0.15"/>
    <row r="33796" s="76" customFormat="1" ht="21.95" customHeight="1" x14ac:dyDescent="0.15"/>
    <row r="33797" s="76" customFormat="1" ht="21.95" customHeight="1" x14ac:dyDescent="0.15"/>
    <row r="33798" s="76" customFormat="1" ht="21.95" customHeight="1" x14ac:dyDescent="0.15"/>
    <row r="33799" s="76" customFormat="1" ht="21.95" customHeight="1" x14ac:dyDescent="0.15"/>
    <row r="33800" s="76" customFormat="1" ht="21.95" customHeight="1" x14ac:dyDescent="0.15"/>
    <row r="33801" s="76" customFormat="1" ht="35.1" customHeight="1" x14ac:dyDescent="0.15"/>
    <row r="33802" s="76" customFormat="1" ht="21.95" customHeight="1" x14ac:dyDescent="0.15"/>
    <row r="33803" s="76" customFormat="1" ht="21.95" customHeight="1" x14ac:dyDescent="0.15"/>
    <row r="33804" s="76" customFormat="1" ht="21.95" customHeight="1" x14ac:dyDescent="0.15"/>
    <row r="33805" s="76" customFormat="1" ht="21.95" customHeight="1" x14ac:dyDescent="0.15"/>
    <row r="33806" s="76" customFormat="1" ht="21.95" customHeight="1" x14ac:dyDescent="0.15"/>
    <row r="33807" s="76" customFormat="1" ht="21.95" customHeight="1" x14ac:dyDescent="0.15"/>
    <row r="33808" s="76" customFormat="1" ht="21.95" customHeight="1" x14ac:dyDescent="0.15"/>
    <row r="33809" s="76" customFormat="1" ht="21.95" customHeight="1" x14ac:dyDescent="0.15"/>
    <row r="33810" s="76" customFormat="1" ht="21.95" customHeight="1" x14ac:dyDescent="0.15"/>
    <row r="33811" s="76" customFormat="1" ht="21.95" customHeight="1" x14ac:dyDescent="0.15"/>
    <row r="33812" s="76" customFormat="1" ht="21.95" customHeight="1" x14ac:dyDescent="0.15"/>
    <row r="33813" s="76" customFormat="1" ht="21.95" customHeight="1" x14ac:dyDescent="0.15"/>
    <row r="33814" s="76" customFormat="1" ht="21.95" customHeight="1" x14ac:dyDescent="0.15"/>
    <row r="33815" s="76" customFormat="1" ht="21.95" customHeight="1" x14ac:dyDescent="0.15"/>
    <row r="33816" s="76" customFormat="1" ht="21.95" customHeight="1" x14ac:dyDescent="0.15"/>
    <row r="33817" s="76" customFormat="1" ht="21.95" customHeight="1" x14ac:dyDescent="0.15"/>
    <row r="33818" s="76" customFormat="1" ht="21.95" customHeight="1" x14ac:dyDescent="0.15"/>
    <row r="33819" s="76" customFormat="1" ht="21.95" customHeight="1" x14ac:dyDescent="0.15"/>
    <row r="33820" s="76" customFormat="1" ht="21.95" customHeight="1" x14ac:dyDescent="0.15"/>
    <row r="33821" s="76" customFormat="1" ht="21.95" customHeight="1" x14ac:dyDescent="0.15"/>
    <row r="33822" s="76" customFormat="1" ht="21.95" customHeight="1" x14ac:dyDescent="0.15"/>
    <row r="33823" s="76" customFormat="1" ht="21.95" customHeight="1" x14ac:dyDescent="0.15"/>
    <row r="33824" s="76" customFormat="1" ht="21.95" customHeight="1" x14ac:dyDescent="0.15"/>
    <row r="33825" spans="3:3" customFormat="1" ht="21.95" customHeight="1" x14ac:dyDescent="0.15"/>
    <row r="33826" spans="3:3" customFormat="1" ht="21.95" customHeight="1" x14ac:dyDescent="0.15"/>
    <row r="33827" spans="3:3" customFormat="1" ht="21.95" customHeight="1" x14ac:dyDescent="0.15">
      <c r="C33827" s="94"/>
    </row>
    <row r="33828" spans="3:3" customFormat="1" ht="21.95" customHeight="1" x14ac:dyDescent="0.15">
      <c r="C33828" s="94"/>
    </row>
    <row r="33829" spans="3:3" customFormat="1" ht="21.95" customHeight="1" x14ac:dyDescent="0.15"/>
    <row r="33830" spans="3:3" customFormat="1" ht="21.95" customHeight="1" x14ac:dyDescent="0.15"/>
    <row r="33831" spans="3:3" customFormat="1" ht="21.95" customHeight="1" x14ac:dyDescent="0.15"/>
    <row r="33832" spans="3:3" customFormat="1" ht="21.95" customHeight="1" x14ac:dyDescent="0.15"/>
    <row r="33833" spans="3:3" customFormat="1" ht="21.95" customHeight="1" x14ac:dyDescent="0.15"/>
    <row r="33834" spans="3:3" customFormat="1" ht="21.95" customHeight="1" x14ac:dyDescent="0.15"/>
    <row r="33835" spans="3:3" customFormat="1" ht="21.95" customHeight="1" x14ac:dyDescent="0.15"/>
    <row r="33836" spans="3:3" s="76" customFormat="1" ht="21.95" customHeight="1" x14ac:dyDescent="0.15"/>
    <row r="33837" spans="3:3" s="76" customFormat="1" ht="21.95" customHeight="1" x14ac:dyDescent="0.15"/>
    <row r="33838" spans="3:3" s="76" customFormat="1" ht="21.95" customHeight="1" x14ac:dyDescent="0.15"/>
    <row r="33839" spans="3:3" s="76" customFormat="1" ht="21.95" customHeight="1" x14ac:dyDescent="0.15"/>
    <row r="33840" spans="3:3" customFormat="1" ht="21.95" customHeight="1" x14ac:dyDescent="0.15"/>
    <row r="33841" customFormat="1" ht="21.95" customHeight="1" x14ac:dyDescent="0.15"/>
    <row r="33842" customFormat="1" ht="21.95" customHeight="1" x14ac:dyDescent="0.15"/>
    <row r="33843" customFormat="1" ht="21.95" customHeight="1" x14ac:dyDescent="0.15"/>
    <row r="33844" customFormat="1" ht="21.95" customHeight="1" x14ac:dyDescent="0.15"/>
    <row r="33845" customFormat="1" ht="21.95" customHeight="1" x14ac:dyDescent="0.15"/>
    <row r="33846" customFormat="1" ht="21.95" customHeight="1" x14ac:dyDescent="0.15"/>
    <row r="33847" customFormat="1" ht="21.95" customHeight="1" x14ac:dyDescent="0.15"/>
    <row r="33848" customFormat="1" ht="21.95" customHeight="1" x14ac:dyDescent="0.15"/>
    <row r="33849" customFormat="1" ht="21.95" customHeight="1" x14ac:dyDescent="0.15"/>
    <row r="33850" customFormat="1" ht="21.95" customHeight="1" x14ac:dyDescent="0.15"/>
    <row r="33851" customFormat="1" ht="32.1" customHeight="1" x14ac:dyDescent="0.15"/>
    <row r="33852" customFormat="1" ht="32.1" customHeight="1" x14ac:dyDescent="0.15"/>
    <row r="33853" customFormat="1" ht="32.1" customHeight="1" x14ac:dyDescent="0.15"/>
    <row r="33854" customFormat="1" ht="32.1" customHeight="1" x14ac:dyDescent="0.15"/>
    <row r="33855" customFormat="1" ht="32.1" customHeight="1" x14ac:dyDescent="0.15"/>
    <row r="33856" customFormat="1" ht="32.1" customHeight="1" x14ac:dyDescent="0.15"/>
    <row r="33857" s="76" customFormat="1" ht="32.1" customHeight="1" x14ac:dyDescent="0.15"/>
    <row r="33858" s="76" customFormat="1" ht="32.1" customHeight="1" x14ac:dyDescent="0.15"/>
    <row r="33859" s="76" customFormat="1" ht="32.1" customHeight="1" x14ac:dyDescent="0.15"/>
    <row r="33860" s="76" customFormat="1" ht="32.1" customHeight="1" x14ac:dyDescent="0.15"/>
    <row r="33861" s="76" customFormat="1" ht="21.95" customHeight="1" x14ac:dyDescent="0.15"/>
    <row r="33862" s="76" customFormat="1" ht="54" customHeight="1" x14ac:dyDescent="0.15"/>
    <row r="33863" s="76" customFormat="1" ht="21.95" customHeight="1" x14ac:dyDescent="0.15"/>
    <row r="33864" s="76" customFormat="1" ht="21.95" customHeight="1" x14ac:dyDescent="0.15"/>
    <row r="33865" s="76" customFormat="1" ht="21.95" customHeight="1" x14ac:dyDescent="0.15"/>
    <row r="33866" s="76" customFormat="1" ht="21.95" customHeight="1" x14ac:dyDescent="0.15"/>
    <row r="33867" s="76" customFormat="1" ht="21.95" customHeight="1" x14ac:dyDescent="0.15"/>
    <row r="33868" s="76" customFormat="1" ht="21.95" customHeight="1" x14ac:dyDescent="0.15"/>
    <row r="33869" s="76" customFormat="1" ht="21.95" customHeight="1" x14ac:dyDescent="0.15"/>
    <row r="33870" s="76" customFormat="1" ht="21.95" customHeight="1" x14ac:dyDescent="0.15"/>
    <row r="33871" s="76" customFormat="1" ht="21.95" customHeight="1" x14ac:dyDescent="0.15"/>
    <row r="33872" s="76" customFormat="1" ht="21.95" customHeight="1" x14ac:dyDescent="0.15"/>
    <row r="33873" s="76" customFormat="1" ht="21.95" customHeight="1" x14ac:dyDescent="0.15"/>
    <row r="33874" s="76" customFormat="1" ht="21.95" customHeight="1" x14ac:dyDescent="0.15"/>
    <row r="33875" s="76" customFormat="1" ht="21.95" customHeight="1" x14ac:dyDescent="0.15"/>
    <row r="33876" s="76" customFormat="1" ht="21.95" customHeight="1" x14ac:dyDescent="0.15"/>
    <row r="33877" s="76" customFormat="1" ht="21.95" customHeight="1" x14ac:dyDescent="0.15"/>
    <row r="33878" s="76" customFormat="1" ht="21.95" customHeight="1" x14ac:dyDescent="0.15"/>
    <row r="33879" s="76" customFormat="1" ht="21.95" customHeight="1" x14ac:dyDescent="0.15"/>
    <row r="33880" s="76" customFormat="1" ht="21.95" customHeight="1" x14ac:dyDescent="0.15"/>
    <row r="33881" s="76" customFormat="1" ht="21.95" customHeight="1" x14ac:dyDescent="0.15"/>
    <row r="33882" s="76" customFormat="1" ht="21.95" customHeight="1" x14ac:dyDescent="0.15"/>
    <row r="33883" s="76" customFormat="1" ht="21.95" customHeight="1" x14ac:dyDescent="0.15"/>
    <row r="33884" s="76" customFormat="1" ht="21.95" customHeight="1" x14ac:dyDescent="0.15"/>
    <row r="33885" s="76" customFormat="1" ht="21.95" customHeight="1" x14ac:dyDescent="0.15"/>
    <row r="33886" s="76" customFormat="1" ht="21.95" customHeight="1" x14ac:dyDescent="0.15"/>
    <row r="33887" s="76" customFormat="1" ht="21.95" customHeight="1" x14ac:dyDescent="0.15"/>
    <row r="33888" s="76" customFormat="1" ht="21.95" customHeight="1" x14ac:dyDescent="0.15"/>
    <row r="33889" s="76" customFormat="1" ht="21.95" customHeight="1" x14ac:dyDescent="0.15"/>
    <row r="33890" s="76" customFormat="1" ht="21.95" customHeight="1" x14ac:dyDescent="0.15"/>
    <row r="33891" s="76" customFormat="1" ht="21.95" customHeight="1" x14ac:dyDescent="0.15"/>
    <row r="33892" s="76" customFormat="1" ht="21.95" customHeight="1" x14ac:dyDescent="0.15"/>
    <row r="33893" s="76" customFormat="1" ht="21.95" customHeight="1" x14ac:dyDescent="0.15"/>
    <row r="33894" s="76" customFormat="1" ht="21.95" customHeight="1" x14ac:dyDescent="0.15"/>
    <row r="33895" s="76" customFormat="1" ht="21.95" customHeight="1" x14ac:dyDescent="0.15"/>
    <row r="33896" s="76" customFormat="1" ht="21.95" customHeight="1" x14ac:dyDescent="0.15"/>
    <row r="33897" s="76" customFormat="1" ht="21.95" customHeight="1" x14ac:dyDescent="0.15"/>
    <row r="33898" s="76" customFormat="1" ht="21.95" customHeight="1" x14ac:dyDescent="0.15"/>
    <row r="33899" s="76" customFormat="1" ht="21.95" customHeight="1" x14ac:dyDescent="0.15"/>
    <row r="33900" s="76" customFormat="1" ht="21.95" customHeight="1" x14ac:dyDescent="0.15"/>
    <row r="33901" s="76" customFormat="1" ht="21.95" customHeight="1" x14ac:dyDescent="0.15"/>
    <row r="33902" s="76" customFormat="1" ht="21.95" customHeight="1" x14ac:dyDescent="0.15"/>
    <row r="33903" s="76" customFormat="1" ht="21.95" customHeight="1" x14ac:dyDescent="0.15"/>
    <row r="33904" s="76" customFormat="1" ht="21.95" customHeight="1" x14ac:dyDescent="0.15"/>
    <row r="33905" s="76" customFormat="1" ht="21.95" customHeight="1" x14ac:dyDescent="0.15"/>
    <row r="33906" s="76" customFormat="1" ht="21.95" customHeight="1" x14ac:dyDescent="0.15"/>
    <row r="33907" s="76" customFormat="1" ht="21.95" customHeight="1" x14ac:dyDescent="0.15"/>
    <row r="33908" s="76" customFormat="1" ht="21.95" customHeight="1" x14ac:dyDescent="0.15"/>
    <row r="33909" s="76" customFormat="1" ht="21.95" customHeight="1" x14ac:dyDescent="0.15"/>
    <row r="33910" s="76" customFormat="1" ht="21.95" customHeight="1" x14ac:dyDescent="0.15"/>
    <row r="33911" s="76" customFormat="1" ht="21.95" customHeight="1" x14ac:dyDescent="0.15"/>
    <row r="33912" s="76" customFormat="1" ht="21.95" customHeight="1" x14ac:dyDescent="0.15"/>
    <row r="33913" s="76" customFormat="1" ht="35.1" customHeight="1" x14ac:dyDescent="0.15"/>
    <row r="33914" s="76" customFormat="1" ht="21.95" customHeight="1" x14ac:dyDescent="0.15"/>
    <row r="33915" s="76" customFormat="1" ht="21.95" customHeight="1" x14ac:dyDescent="0.15"/>
    <row r="33916" s="76" customFormat="1" ht="21.95" customHeight="1" x14ac:dyDescent="0.15"/>
    <row r="33917" s="76" customFormat="1" ht="21.95" customHeight="1" x14ac:dyDescent="0.15"/>
    <row r="33918" s="76" customFormat="1" ht="21.95" customHeight="1" x14ac:dyDescent="0.15"/>
    <row r="33919" s="76" customFormat="1" ht="21.95" customHeight="1" x14ac:dyDescent="0.15"/>
    <row r="33920" s="76" customFormat="1" ht="21.95" customHeight="1" x14ac:dyDescent="0.15"/>
    <row r="33921" s="76" customFormat="1" ht="21.95" customHeight="1" x14ac:dyDescent="0.15"/>
    <row r="33922" s="76" customFormat="1" ht="21.95" customHeight="1" x14ac:dyDescent="0.15"/>
    <row r="33923" s="76" customFormat="1" ht="21.95" customHeight="1" x14ac:dyDescent="0.15"/>
    <row r="33924" s="76" customFormat="1" ht="21.95" customHeight="1" x14ac:dyDescent="0.15"/>
    <row r="33925" s="76" customFormat="1" ht="21.95" customHeight="1" x14ac:dyDescent="0.15"/>
    <row r="33926" s="76" customFormat="1" ht="21.95" customHeight="1" x14ac:dyDescent="0.15"/>
    <row r="33927" s="76" customFormat="1" ht="21.95" customHeight="1" x14ac:dyDescent="0.15"/>
    <row r="33928" s="76" customFormat="1" ht="21.95" customHeight="1" x14ac:dyDescent="0.15"/>
    <row r="33929" s="76" customFormat="1" ht="21.95" customHeight="1" x14ac:dyDescent="0.15"/>
    <row r="33930" s="76" customFormat="1" ht="21.95" customHeight="1" x14ac:dyDescent="0.15"/>
    <row r="33931" s="76" customFormat="1" ht="21.95" customHeight="1" x14ac:dyDescent="0.15"/>
    <row r="33932" s="76" customFormat="1" ht="21.95" customHeight="1" x14ac:dyDescent="0.15"/>
    <row r="33933" s="76" customFormat="1" ht="21.95" customHeight="1" x14ac:dyDescent="0.15"/>
    <row r="33934" s="76" customFormat="1" ht="21.95" customHeight="1" x14ac:dyDescent="0.15"/>
    <row r="33935" s="76" customFormat="1" ht="21.95" customHeight="1" x14ac:dyDescent="0.15"/>
    <row r="33936" s="76" customFormat="1" ht="21.95" customHeight="1" x14ac:dyDescent="0.15"/>
    <row r="33937" spans="3:3" customFormat="1" ht="21.95" customHeight="1" x14ac:dyDescent="0.15"/>
    <row r="33938" spans="3:3" customFormat="1" ht="21.95" customHeight="1" x14ac:dyDescent="0.15"/>
    <row r="33939" spans="3:3" customFormat="1" ht="21.95" customHeight="1" x14ac:dyDescent="0.15">
      <c r="C33939" s="94"/>
    </row>
    <row r="33940" spans="3:3" customFormat="1" ht="21.95" customHeight="1" x14ac:dyDescent="0.15">
      <c r="C33940" s="94"/>
    </row>
    <row r="33941" spans="3:3" customFormat="1" ht="21.95" customHeight="1" x14ac:dyDescent="0.15"/>
    <row r="33942" spans="3:3" customFormat="1" ht="21.95" customHeight="1" x14ac:dyDescent="0.15"/>
    <row r="33943" spans="3:3" customFormat="1" ht="21.95" customHeight="1" x14ac:dyDescent="0.15"/>
    <row r="33944" spans="3:3" customFormat="1" ht="21.95" customHeight="1" x14ac:dyDescent="0.15"/>
    <row r="33945" spans="3:3" customFormat="1" ht="21.95" customHeight="1" x14ac:dyDescent="0.15"/>
    <row r="33946" spans="3:3" customFormat="1" ht="21.95" customHeight="1" x14ac:dyDescent="0.15"/>
    <row r="33947" spans="3:3" customFormat="1" ht="21.95" customHeight="1" x14ac:dyDescent="0.15"/>
    <row r="33948" spans="3:3" s="76" customFormat="1" ht="21.95" customHeight="1" x14ac:dyDescent="0.15"/>
    <row r="33949" spans="3:3" s="76" customFormat="1" ht="21.95" customHeight="1" x14ac:dyDescent="0.15"/>
    <row r="33950" spans="3:3" s="76" customFormat="1" ht="21.95" customHeight="1" x14ac:dyDescent="0.15"/>
    <row r="33951" spans="3:3" s="76" customFormat="1" ht="21.95" customHeight="1" x14ac:dyDescent="0.15"/>
    <row r="33952" spans="3:3" customFormat="1" ht="21.95" customHeight="1" x14ac:dyDescent="0.15"/>
    <row r="33953" customFormat="1" ht="21.95" customHeight="1" x14ac:dyDescent="0.15"/>
    <row r="33954" customFormat="1" ht="21.95" customHeight="1" x14ac:dyDescent="0.15"/>
    <row r="33955" customFormat="1" ht="21.95" customHeight="1" x14ac:dyDescent="0.15"/>
    <row r="33956" customFormat="1" ht="21.95" customHeight="1" x14ac:dyDescent="0.15"/>
    <row r="33957" customFormat="1" ht="21.95" customHeight="1" x14ac:dyDescent="0.15"/>
    <row r="33958" customFormat="1" ht="21.95" customHeight="1" x14ac:dyDescent="0.15"/>
    <row r="33959" customFormat="1" ht="21.95" customHeight="1" x14ac:dyDescent="0.15"/>
    <row r="33960" customFormat="1" ht="21.95" customHeight="1" x14ac:dyDescent="0.15"/>
    <row r="33961" customFormat="1" ht="21.95" customHeight="1" x14ac:dyDescent="0.15"/>
    <row r="33962" customFormat="1" ht="21.95" customHeight="1" x14ac:dyDescent="0.15"/>
    <row r="33963" customFormat="1" ht="32.1" customHeight="1" x14ac:dyDescent="0.15"/>
    <row r="33964" customFormat="1" ht="32.1" customHeight="1" x14ac:dyDescent="0.15"/>
    <row r="33965" customFormat="1" ht="32.1" customHeight="1" x14ac:dyDescent="0.15"/>
    <row r="33966" customFormat="1" ht="32.1" customHeight="1" x14ac:dyDescent="0.15"/>
    <row r="33967" customFormat="1" ht="32.1" customHeight="1" x14ac:dyDescent="0.15"/>
    <row r="33968" customFormat="1" ht="32.1" customHeight="1" x14ac:dyDescent="0.15"/>
    <row r="33969" s="76" customFormat="1" ht="32.1" customHeight="1" x14ac:dyDescent="0.15"/>
    <row r="33970" s="76" customFormat="1" ht="32.1" customHeight="1" x14ac:dyDescent="0.15"/>
    <row r="33971" s="76" customFormat="1" ht="32.1" customHeight="1" x14ac:dyDescent="0.15"/>
    <row r="33972" s="76" customFormat="1" ht="32.1" customHeight="1" x14ac:dyDescent="0.15"/>
    <row r="33973" s="76" customFormat="1" ht="21.95" customHeight="1" x14ac:dyDescent="0.15"/>
    <row r="33974" s="76" customFormat="1" ht="54" customHeight="1" x14ac:dyDescent="0.15"/>
    <row r="33975" s="76" customFormat="1" ht="21.95" customHeight="1" x14ac:dyDescent="0.15"/>
    <row r="33976" s="76" customFormat="1" ht="21.95" customHeight="1" x14ac:dyDescent="0.15"/>
    <row r="33977" s="76" customFormat="1" ht="21.95" customHeight="1" x14ac:dyDescent="0.15"/>
    <row r="33978" s="76" customFormat="1" ht="21.95" customHeight="1" x14ac:dyDescent="0.15"/>
    <row r="33979" s="76" customFormat="1" ht="21.95" customHeight="1" x14ac:dyDescent="0.15"/>
    <row r="33980" s="76" customFormat="1" ht="21.95" customHeight="1" x14ac:dyDescent="0.15"/>
    <row r="33981" s="76" customFormat="1" ht="21.95" customHeight="1" x14ac:dyDescent="0.15"/>
    <row r="33982" s="76" customFormat="1" ht="21.95" customHeight="1" x14ac:dyDescent="0.15"/>
    <row r="33983" s="76" customFormat="1" ht="21.95" customHeight="1" x14ac:dyDescent="0.15"/>
    <row r="33984" s="76" customFormat="1" ht="21.95" customHeight="1" x14ac:dyDescent="0.15"/>
    <row r="33985" s="76" customFormat="1" ht="21.95" customHeight="1" x14ac:dyDescent="0.15"/>
    <row r="33986" s="76" customFormat="1" ht="21.95" customHeight="1" x14ac:dyDescent="0.15"/>
    <row r="33987" s="76" customFormat="1" ht="21.95" customHeight="1" x14ac:dyDescent="0.15"/>
    <row r="33988" s="76" customFormat="1" ht="21.95" customHeight="1" x14ac:dyDescent="0.15"/>
    <row r="33989" s="76" customFormat="1" ht="21.95" customHeight="1" x14ac:dyDescent="0.15"/>
    <row r="33990" s="76" customFormat="1" ht="21.95" customHeight="1" x14ac:dyDescent="0.15"/>
    <row r="33991" s="76" customFormat="1" ht="21.95" customHeight="1" x14ac:dyDescent="0.15"/>
    <row r="33992" s="76" customFormat="1" ht="21.95" customHeight="1" x14ac:dyDescent="0.15"/>
    <row r="33993" s="76" customFormat="1" ht="21.95" customHeight="1" x14ac:dyDescent="0.15"/>
    <row r="33994" s="76" customFormat="1" ht="21.95" customHeight="1" x14ac:dyDescent="0.15"/>
    <row r="33995" s="76" customFormat="1" ht="21.95" customHeight="1" x14ac:dyDescent="0.15"/>
    <row r="33996" s="76" customFormat="1" ht="21.95" customHeight="1" x14ac:dyDescent="0.15"/>
    <row r="33997" s="76" customFormat="1" ht="21.95" customHeight="1" x14ac:dyDescent="0.15"/>
    <row r="33998" s="76" customFormat="1" ht="21.95" customHeight="1" x14ac:dyDescent="0.15"/>
    <row r="33999" s="76" customFormat="1" ht="21.95" customHeight="1" x14ac:dyDescent="0.15"/>
    <row r="34000" s="76" customFormat="1" ht="21.95" customHeight="1" x14ac:dyDescent="0.15"/>
    <row r="34001" s="76" customFormat="1" ht="21.95" customHeight="1" x14ac:dyDescent="0.15"/>
    <row r="34002" s="76" customFormat="1" ht="21.95" customHeight="1" x14ac:dyDescent="0.15"/>
    <row r="34003" s="76" customFormat="1" ht="21.95" customHeight="1" x14ac:dyDescent="0.15"/>
    <row r="34004" s="76" customFormat="1" ht="21.95" customHeight="1" x14ac:dyDescent="0.15"/>
    <row r="34005" s="76" customFormat="1" ht="21.95" customHeight="1" x14ac:dyDescent="0.15"/>
    <row r="34006" s="76" customFormat="1" ht="21.95" customHeight="1" x14ac:dyDescent="0.15"/>
    <row r="34007" s="76" customFormat="1" ht="21.95" customHeight="1" x14ac:dyDescent="0.15"/>
    <row r="34008" s="76" customFormat="1" ht="21.95" customHeight="1" x14ac:dyDescent="0.15"/>
    <row r="34009" s="76" customFormat="1" ht="21.95" customHeight="1" x14ac:dyDescent="0.15"/>
    <row r="34010" s="76" customFormat="1" ht="21.95" customHeight="1" x14ac:dyDescent="0.15"/>
    <row r="34011" s="76" customFormat="1" ht="21.95" customHeight="1" x14ac:dyDescent="0.15"/>
    <row r="34012" s="76" customFormat="1" ht="21.95" customHeight="1" x14ac:dyDescent="0.15"/>
    <row r="34013" s="76" customFormat="1" ht="21.95" customHeight="1" x14ac:dyDescent="0.15"/>
    <row r="34014" s="76" customFormat="1" ht="21.95" customHeight="1" x14ac:dyDescent="0.15"/>
    <row r="34015" s="76" customFormat="1" ht="21.95" customHeight="1" x14ac:dyDescent="0.15"/>
    <row r="34016" s="76" customFormat="1" ht="21.95" customHeight="1" x14ac:dyDescent="0.15"/>
    <row r="34017" s="76" customFormat="1" ht="21.95" customHeight="1" x14ac:dyDescent="0.15"/>
    <row r="34018" s="76" customFormat="1" ht="21.95" customHeight="1" x14ac:dyDescent="0.15"/>
    <row r="34019" s="76" customFormat="1" ht="21.95" customHeight="1" x14ac:dyDescent="0.15"/>
    <row r="34020" s="76" customFormat="1" ht="21.95" customHeight="1" x14ac:dyDescent="0.15"/>
    <row r="34021" s="76" customFormat="1" ht="21.95" customHeight="1" x14ac:dyDescent="0.15"/>
    <row r="34022" s="76" customFormat="1" ht="21.95" customHeight="1" x14ac:dyDescent="0.15"/>
    <row r="34023" s="76" customFormat="1" ht="21.95" customHeight="1" x14ac:dyDescent="0.15"/>
    <row r="34024" s="76" customFormat="1" ht="21.95" customHeight="1" x14ac:dyDescent="0.15"/>
    <row r="34025" s="76" customFormat="1" ht="35.1" customHeight="1" x14ac:dyDescent="0.15"/>
    <row r="34026" s="76" customFormat="1" ht="21.95" customHeight="1" x14ac:dyDescent="0.15"/>
    <row r="34027" s="76" customFormat="1" ht="21.95" customHeight="1" x14ac:dyDescent="0.15"/>
    <row r="34028" s="76" customFormat="1" ht="21.95" customHeight="1" x14ac:dyDescent="0.15"/>
    <row r="34029" s="76" customFormat="1" ht="21.95" customHeight="1" x14ac:dyDescent="0.15"/>
    <row r="34030" s="76" customFormat="1" ht="21.95" customHeight="1" x14ac:dyDescent="0.15"/>
    <row r="34031" s="76" customFormat="1" ht="21.95" customHeight="1" x14ac:dyDescent="0.15"/>
    <row r="34032" s="76" customFormat="1" ht="21.95" customHeight="1" x14ac:dyDescent="0.15"/>
    <row r="34033" s="76" customFormat="1" ht="21.95" customHeight="1" x14ac:dyDescent="0.15"/>
    <row r="34034" s="76" customFormat="1" ht="21.95" customHeight="1" x14ac:dyDescent="0.15"/>
    <row r="34035" s="76" customFormat="1" ht="21.95" customHeight="1" x14ac:dyDescent="0.15"/>
    <row r="34036" s="76" customFormat="1" ht="21.95" customHeight="1" x14ac:dyDescent="0.15"/>
    <row r="34037" s="76" customFormat="1" ht="21.95" customHeight="1" x14ac:dyDescent="0.15"/>
    <row r="34038" s="76" customFormat="1" ht="21.95" customHeight="1" x14ac:dyDescent="0.15"/>
    <row r="34039" s="76" customFormat="1" ht="21.95" customHeight="1" x14ac:dyDescent="0.15"/>
    <row r="34040" s="76" customFormat="1" ht="21.95" customHeight="1" x14ac:dyDescent="0.15"/>
    <row r="34041" s="76" customFormat="1" ht="21.95" customHeight="1" x14ac:dyDescent="0.15"/>
    <row r="34042" s="76" customFormat="1" ht="21.95" customHeight="1" x14ac:dyDescent="0.15"/>
    <row r="34043" s="76" customFormat="1" ht="21.95" customHeight="1" x14ac:dyDescent="0.15"/>
    <row r="34044" s="76" customFormat="1" ht="21.95" customHeight="1" x14ac:dyDescent="0.15"/>
    <row r="34045" s="76" customFormat="1" ht="21.95" customHeight="1" x14ac:dyDescent="0.15"/>
    <row r="34046" s="76" customFormat="1" ht="21.95" customHeight="1" x14ac:dyDescent="0.15"/>
    <row r="34047" s="76" customFormat="1" ht="21.95" customHeight="1" x14ac:dyDescent="0.15"/>
    <row r="34048" s="76" customFormat="1" ht="21.95" customHeight="1" x14ac:dyDescent="0.15"/>
    <row r="34049" spans="3:3" customFormat="1" ht="21.95" customHeight="1" x14ac:dyDescent="0.15"/>
    <row r="34050" spans="3:3" customFormat="1" ht="21.95" customHeight="1" x14ac:dyDescent="0.15"/>
    <row r="34051" spans="3:3" customFormat="1" ht="21.95" customHeight="1" x14ac:dyDescent="0.15">
      <c r="C34051" s="94"/>
    </row>
    <row r="34052" spans="3:3" customFormat="1" ht="21.95" customHeight="1" x14ac:dyDescent="0.15">
      <c r="C34052" s="94"/>
    </row>
    <row r="34053" spans="3:3" customFormat="1" ht="21.95" customHeight="1" x14ac:dyDescent="0.15"/>
    <row r="34054" spans="3:3" customFormat="1" ht="21.95" customHeight="1" x14ac:dyDescent="0.15"/>
    <row r="34055" spans="3:3" customFormat="1" ht="21.95" customHeight="1" x14ac:dyDescent="0.15"/>
    <row r="34056" spans="3:3" customFormat="1" ht="21.95" customHeight="1" x14ac:dyDescent="0.15"/>
    <row r="34057" spans="3:3" customFormat="1" ht="21.95" customHeight="1" x14ac:dyDescent="0.15"/>
    <row r="34058" spans="3:3" customFormat="1" ht="21.95" customHeight="1" x14ac:dyDescent="0.15"/>
    <row r="34059" spans="3:3" customFormat="1" ht="21.95" customHeight="1" x14ac:dyDescent="0.15"/>
    <row r="34060" spans="3:3" s="76" customFormat="1" ht="21.95" customHeight="1" x14ac:dyDescent="0.15"/>
    <row r="34061" spans="3:3" s="76" customFormat="1" ht="21.95" customHeight="1" x14ac:dyDescent="0.15"/>
    <row r="34062" spans="3:3" s="76" customFormat="1" ht="21.95" customHeight="1" x14ac:dyDescent="0.15"/>
    <row r="34063" spans="3:3" s="76" customFormat="1" ht="21.95" customHeight="1" x14ac:dyDescent="0.15"/>
    <row r="34064" spans="3:3" customFormat="1" ht="21.95" customHeight="1" x14ac:dyDescent="0.15"/>
    <row r="34065" customFormat="1" ht="21.95" customHeight="1" x14ac:dyDescent="0.15"/>
    <row r="34066" customFormat="1" ht="21.95" customHeight="1" x14ac:dyDescent="0.15"/>
    <row r="34067" customFormat="1" ht="21.95" customHeight="1" x14ac:dyDescent="0.15"/>
    <row r="34068" customFormat="1" ht="21.95" customHeight="1" x14ac:dyDescent="0.15"/>
    <row r="34069" customFormat="1" ht="21.95" customHeight="1" x14ac:dyDescent="0.15"/>
    <row r="34070" customFormat="1" ht="21.95" customHeight="1" x14ac:dyDescent="0.15"/>
    <row r="34071" customFormat="1" ht="21.95" customHeight="1" x14ac:dyDescent="0.15"/>
    <row r="34072" customFormat="1" ht="21.95" customHeight="1" x14ac:dyDescent="0.15"/>
    <row r="34073" customFormat="1" ht="21.95" customHeight="1" x14ac:dyDescent="0.15"/>
    <row r="34074" customFormat="1" ht="21.95" customHeight="1" x14ac:dyDescent="0.15"/>
    <row r="34075" customFormat="1" ht="32.1" customHeight="1" x14ac:dyDescent="0.15"/>
    <row r="34076" customFormat="1" ht="32.1" customHeight="1" x14ac:dyDescent="0.15"/>
    <row r="34077" customFormat="1" ht="32.1" customHeight="1" x14ac:dyDescent="0.15"/>
    <row r="34078" customFormat="1" ht="32.1" customHeight="1" x14ac:dyDescent="0.15"/>
    <row r="34079" customFormat="1" ht="32.1" customHeight="1" x14ac:dyDescent="0.15"/>
    <row r="34080" customFormat="1" ht="32.1" customHeight="1" x14ac:dyDescent="0.15"/>
    <row r="34081" s="76" customFormat="1" ht="32.1" customHeight="1" x14ac:dyDescent="0.15"/>
    <row r="34082" s="76" customFormat="1" ht="32.1" customHeight="1" x14ac:dyDescent="0.15"/>
    <row r="34083" s="76" customFormat="1" ht="32.1" customHeight="1" x14ac:dyDescent="0.15"/>
    <row r="34084" s="76" customFormat="1" ht="32.1" customHeight="1" x14ac:dyDescent="0.15"/>
    <row r="34085" s="76" customFormat="1" ht="21.95" customHeight="1" x14ac:dyDescent="0.15"/>
    <row r="34086" s="76" customFormat="1" ht="54" customHeight="1" x14ac:dyDescent="0.15"/>
    <row r="34087" s="76" customFormat="1" ht="21.95" customHeight="1" x14ac:dyDescent="0.15"/>
    <row r="34088" s="76" customFormat="1" ht="21.95" customHeight="1" x14ac:dyDescent="0.15"/>
    <row r="34089" s="76" customFormat="1" ht="21.95" customHeight="1" x14ac:dyDescent="0.15"/>
    <row r="34090" s="76" customFormat="1" ht="21.95" customHeight="1" x14ac:dyDescent="0.15"/>
    <row r="34091" s="76" customFormat="1" ht="21.95" customHeight="1" x14ac:dyDescent="0.15"/>
    <row r="34092" s="76" customFormat="1" ht="21.95" customHeight="1" x14ac:dyDescent="0.15"/>
    <row r="34093" s="76" customFormat="1" ht="21.95" customHeight="1" x14ac:dyDescent="0.15"/>
    <row r="34094" s="76" customFormat="1" ht="21.95" customHeight="1" x14ac:dyDescent="0.15"/>
    <row r="34095" s="76" customFormat="1" ht="21.95" customHeight="1" x14ac:dyDescent="0.15"/>
    <row r="34096" s="76" customFormat="1" ht="21.95" customHeight="1" x14ac:dyDescent="0.15"/>
    <row r="34097" s="76" customFormat="1" ht="21.95" customHeight="1" x14ac:dyDescent="0.15"/>
    <row r="34098" s="76" customFormat="1" ht="21.95" customHeight="1" x14ac:dyDescent="0.15"/>
    <row r="34099" s="76" customFormat="1" ht="21.95" customHeight="1" x14ac:dyDescent="0.15"/>
    <row r="34100" s="76" customFormat="1" ht="21.95" customHeight="1" x14ac:dyDescent="0.15"/>
    <row r="34101" s="76" customFormat="1" ht="21.95" customHeight="1" x14ac:dyDescent="0.15"/>
    <row r="34102" s="76" customFormat="1" ht="21.95" customHeight="1" x14ac:dyDescent="0.15"/>
    <row r="34103" s="76" customFormat="1" ht="21.95" customHeight="1" x14ac:dyDescent="0.15"/>
    <row r="34104" s="76" customFormat="1" ht="21.95" customHeight="1" x14ac:dyDescent="0.15"/>
    <row r="34105" s="76" customFormat="1" ht="21.95" customHeight="1" x14ac:dyDescent="0.15"/>
    <row r="34106" s="76" customFormat="1" ht="21.95" customHeight="1" x14ac:dyDescent="0.15"/>
    <row r="34107" s="76" customFormat="1" ht="21.95" customHeight="1" x14ac:dyDescent="0.15"/>
    <row r="34108" s="76" customFormat="1" ht="21.95" customHeight="1" x14ac:dyDescent="0.15"/>
    <row r="34109" s="76" customFormat="1" ht="21.95" customHeight="1" x14ac:dyDescent="0.15"/>
    <row r="34110" s="76" customFormat="1" ht="21.95" customHeight="1" x14ac:dyDescent="0.15"/>
    <row r="34111" s="76" customFormat="1" ht="21.95" customHeight="1" x14ac:dyDescent="0.15"/>
    <row r="34112" s="76" customFormat="1" ht="21.95" customHeight="1" x14ac:dyDescent="0.15"/>
    <row r="34113" s="76" customFormat="1" ht="21.95" customHeight="1" x14ac:dyDescent="0.15"/>
    <row r="34114" s="76" customFormat="1" ht="21.95" customHeight="1" x14ac:dyDescent="0.15"/>
    <row r="34115" s="76" customFormat="1" ht="21.95" customHeight="1" x14ac:dyDescent="0.15"/>
    <row r="34116" s="76" customFormat="1" ht="21.95" customHeight="1" x14ac:dyDescent="0.15"/>
    <row r="34117" s="76" customFormat="1" ht="21.95" customHeight="1" x14ac:dyDescent="0.15"/>
    <row r="34118" s="76" customFormat="1" ht="21.95" customHeight="1" x14ac:dyDescent="0.15"/>
    <row r="34119" s="76" customFormat="1" ht="21.95" customHeight="1" x14ac:dyDescent="0.15"/>
    <row r="34120" s="76" customFormat="1" ht="21.95" customHeight="1" x14ac:dyDescent="0.15"/>
    <row r="34121" s="76" customFormat="1" ht="21.95" customHeight="1" x14ac:dyDescent="0.15"/>
    <row r="34122" s="76" customFormat="1" ht="21.95" customHeight="1" x14ac:dyDescent="0.15"/>
    <row r="34123" s="76" customFormat="1" ht="21.95" customHeight="1" x14ac:dyDescent="0.15"/>
    <row r="34124" s="76" customFormat="1" ht="21.95" customHeight="1" x14ac:dyDescent="0.15"/>
    <row r="34125" s="76" customFormat="1" ht="21.95" customHeight="1" x14ac:dyDescent="0.15"/>
    <row r="34126" s="76" customFormat="1" ht="21.95" customHeight="1" x14ac:dyDescent="0.15"/>
    <row r="34127" s="76" customFormat="1" ht="21.95" customHeight="1" x14ac:dyDescent="0.15"/>
    <row r="34128" s="76" customFormat="1" ht="21.95" customHeight="1" x14ac:dyDescent="0.15"/>
    <row r="34129" s="76" customFormat="1" ht="21.95" customHeight="1" x14ac:dyDescent="0.15"/>
    <row r="34130" s="76" customFormat="1" ht="21.95" customHeight="1" x14ac:dyDescent="0.15"/>
    <row r="34131" s="76" customFormat="1" ht="21.95" customHeight="1" x14ac:dyDescent="0.15"/>
    <row r="34132" s="76" customFormat="1" ht="21.95" customHeight="1" x14ac:dyDescent="0.15"/>
    <row r="34133" s="76" customFormat="1" ht="21.95" customHeight="1" x14ac:dyDescent="0.15"/>
    <row r="34134" s="76" customFormat="1" ht="21.95" customHeight="1" x14ac:dyDescent="0.15"/>
    <row r="34135" s="76" customFormat="1" ht="21.95" customHeight="1" x14ac:dyDescent="0.15"/>
    <row r="34136" s="76" customFormat="1" ht="21.95" customHeight="1" x14ac:dyDescent="0.15"/>
    <row r="34137" s="76" customFormat="1" ht="35.1" customHeight="1" x14ac:dyDescent="0.15"/>
    <row r="34138" s="76" customFormat="1" ht="21.95" customHeight="1" x14ac:dyDescent="0.15"/>
    <row r="34139" s="76" customFormat="1" ht="21.95" customHeight="1" x14ac:dyDescent="0.15"/>
    <row r="34140" s="76" customFormat="1" ht="21.95" customHeight="1" x14ac:dyDescent="0.15"/>
    <row r="34141" s="76" customFormat="1" ht="21.95" customHeight="1" x14ac:dyDescent="0.15"/>
    <row r="34142" s="76" customFormat="1" ht="21.95" customHeight="1" x14ac:dyDescent="0.15"/>
    <row r="34143" s="76" customFormat="1" ht="21.95" customHeight="1" x14ac:dyDescent="0.15"/>
    <row r="34144" s="76" customFormat="1" ht="21.95" customHeight="1" x14ac:dyDescent="0.15"/>
    <row r="34145" s="76" customFormat="1" ht="21.95" customHeight="1" x14ac:dyDescent="0.15"/>
    <row r="34146" s="76" customFormat="1" ht="21.95" customHeight="1" x14ac:dyDescent="0.15"/>
    <row r="34147" s="76" customFormat="1" ht="21.95" customHeight="1" x14ac:dyDescent="0.15"/>
    <row r="34148" s="76" customFormat="1" ht="21.95" customHeight="1" x14ac:dyDescent="0.15"/>
    <row r="34149" s="76" customFormat="1" ht="21.95" customHeight="1" x14ac:dyDescent="0.15"/>
    <row r="34150" s="76" customFormat="1" ht="21.95" customHeight="1" x14ac:dyDescent="0.15"/>
    <row r="34151" s="76" customFormat="1" ht="21.95" customHeight="1" x14ac:dyDescent="0.15"/>
    <row r="34152" s="76" customFormat="1" ht="21.95" customHeight="1" x14ac:dyDescent="0.15"/>
    <row r="34153" s="76" customFormat="1" ht="21.95" customHeight="1" x14ac:dyDescent="0.15"/>
    <row r="34154" s="76" customFormat="1" ht="21.95" customHeight="1" x14ac:dyDescent="0.15"/>
    <row r="34155" s="76" customFormat="1" ht="21.95" customHeight="1" x14ac:dyDescent="0.15"/>
    <row r="34156" s="76" customFormat="1" ht="21.95" customHeight="1" x14ac:dyDescent="0.15"/>
    <row r="34157" s="76" customFormat="1" ht="21.95" customHeight="1" x14ac:dyDescent="0.15"/>
    <row r="34158" s="76" customFormat="1" ht="21.95" customHeight="1" x14ac:dyDescent="0.15"/>
    <row r="34159" s="76" customFormat="1" ht="21.95" customHeight="1" x14ac:dyDescent="0.15"/>
    <row r="34160" s="76" customFormat="1" ht="21.95" customHeight="1" x14ac:dyDescent="0.15"/>
    <row r="34161" spans="3:3" customFormat="1" ht="21.95" customHeight="1" x14ac:dyDescent="0.15"/>
    <row r="34162" spans="3:3" customFormat="1" ht="21.95" customHeight="1" x14ac:dyDescent="0.15"/>
    <row r="34163" spans="3:3" customFormat="1" ht="21.95" customHeight="1" x14ac:dyDescent="0.15">
      <c r="C34163" s="94"/>
    </row>
    <row r="34164" spans="3:3" customFormat="1" ht="21.95" customHeight="1" x14ac:dyDescent="0.15">
      <c r="C34164" s="94"/>
    </row>
    <row r="34165" spans="3:3" customFormat="1" ht="21.95" customHeight="1" x14ac:dyDescent="0.15"/>
    <row r="34166" spans="3:3" customFormat="1" ht="21.95" customHeight="1" x14ac:dyDescent="0.15"/>
    <row r="34167" spans="3:3" customFormat="1" ht="21.95" customHeight="1" x14ac:dyDescent="0.15"/>
    <row r="34168" spans="3:3" customFormat="1" ht="21.95" customHeight="1" x14ac:dyDescent="0.15"/>
    <row r="34169" spans="3:3" customFormat="1" ht="21.95" customHeight="1" x14ac:dyDescent="0.15"/>
    <row r="34170" spans="3:3" customFormat="1" ht="21.95" customHeight="1" x14ac:dyDescent="0.15"/>
    <row r="34171" spans="3:3" customFormat="1" ht="21.95" customHeight="1" x14ac:dyDescent="0.15"/>
    <row r="34172" spans="3:3" s="76" customFormat="1" ht="21.95" customHeight="1" x14ac:dyDescent="0.15"/>
    <row r="34173" spans="3:3" s="76" customFormat="1" ht="21.95" customHeight="1" x14ac:dyDescent="0.15"/>
    <row r="34174" spans="3:3" s="76" customFormat="1" ht="21.95" customHeight="1" x14ac:dyDescent="0.15"/>
    <row r="34175" spans="3:3" s="76" customFormat="1" ht="21.95" customHeight="1" x14ac:dyDescent="0.15"/>
    <row r="34176" spans="3:3" customFormat="1" ht="21.95" customHeight="1" x14ac:dyDescent="0.15"/>
    <row r="34177" customFormat="1" ht="21.95" customHeight="1" x14ac:dyDescent="0.15"/>
    <row r="34178" customFormat="1" ht="21.95" customHeight="1" x14ac:dyDescent="0.15"/>
    <row r="34179" customFormat="1" ht="21.95" customHeight="1" x14ac:dyDescent="0.15"/>
    <row r="34180" customFormat="1" ht="21.95" customHeight="1" x14ac:dyDescent="0.15"/>
    <row r="34181" customFormat="1" ht="21.95" customHeight="1" x14ac:dyDescent="0.15"/>
    <row r="34182" customFormat="1" ht="21.95" customHeight="1" x14ac:dyDescent="0.15"/>
    <row r="34183" customFormat="1" ht="21.95" customHeight="1" x14ac:dyDescent="0.15"/>
    <row r="34184" customFormat="1" ht="21.95" customHeight="1" x14ac:dyDescent="0.15"/>
    <row r="34185" customFormat="1" ht="21.95" customHeight="1" x14ac:dyDescent="0.15"/>
    <row r="34186" customFormat="1" ht="21.95" customHeight="1" x14ac:dyDescent="0.15"/>
    <row r="34187" customFormat="1" ht="32.1" customHeight="1" x14ac:dyDescent="0.15"/>
    <row r="34188" customFormat="1" ht="32.1" customHeight="1" x14ac:dyDescent="0.15"/>
    <row r="34189" customFormat="1" ht="32.1" customHeight="1" x14ac:dyDescent="0.15"/>
    <row r="34190" customFormat="1" ht="32.1" customHeight="1" x14ac:dyDescent="0.15"/>
    <row r="34191" customFormat="1" ht="32.1" customHeight="1" x14ac:dyDescent="0.15"/>
    <row r="34192" customFormat="1" ht="32.1" customHeight="1" x14ac:dyDescent="0.15"/>
    <row r="34193" s="76" customFormat="1" ht="32.1" customHeight="1" x14ac:dyDescent="0.15"/>
    <row r="34194" s="76" customFormat="1" ht="32.1" customHeight="1" x14ac:dyDescent="0.15"/>
    <row r="34195" s="76" customFormat="1" ht="32.1" customHeight="1" x14ac:dyDescent="0.15"/>
    <row r="34196" s="76" customFormat="1" ht="32.1" customHeight="1" x14ac:dyDescent="0.15"/>
    <row r="34197" s="76" customFormat="1" ht="21.95" customHeight="1" x14ac:dyDescent="0.15"/>
    <row r="34198" s="76" customFormat="1" ht="54" customHeight="1" x14ac:dyDescent="0.15"/>
    <row r="34199" s="76" customFormat="1" ht="21.95" customHeight="1" x14ac:dyDescent="0.15"/>
    <row r="34200" s="76" customFormat="1" ht="21.95" customHeight="1" x14ac:dyDescent="0.15"/>
    <row r="34201" s="76" customFormat="1" ht="21.95" customHeight="1" x14ac:dyDescent="0.15"/>
    <row r="34202" s="76" customFormat="1" ht="21.95" customHeight="1" x14ac:dyDescent="0.15"/>
    <row r="34203" s="76" customFormat="1" ht="21.95" customHeight="1" x14ac:dyDescent="0.15"/>
    <row r="34204" s="76" customFormat="1" ht="21.95" customHeight="1" x14ac:dyDescent="0.15"/>
    <row r="34205" s="76" customFormat="1" ht="21.95" customHeight="1" x14ac:dyDescent="0.15"/>
    <row r="34206" s="76" customFormat="1" ht="21.95" customHeight="1" x14ac:dyDescent="0.15"/>
    <row r="34207" s="76" customFormat="1" ht="21.95" customHeight="1" x14ac:dyDescent="0.15"/>
    <row r="34208" s="76" customFormat="1" ht="21.95" customHeight="1" x14ac:dyDescent="0.15"/>
    <row r="34209" s="76" customFormat="1" ht="21.95" customHeight="1" x14ac:dyDescent="0.15"/>
    <row r="34210" s="76" customFormat="1" ht="21.95" customHeight="1" x14ac:dyDescent="0.15"/>
    <row r="34211" s="76" customFormat="1" ht="21.95" customHeight="1" x14ac:dyDescent="0.15"/>
    <row r="34212" s="76" customFormat="1" ht="21.95" customHeight="1" x14ac:dyDescent="0.15"/>
    <row r="34213" s="76" customFormat="1" ht="21.95" customHeight="1" x14ac:dyDescent="0.15"/>
    <row r="34214" s="76" customFormat="1" ht="21.95" customHeight="1" x14ac:dyDescent="0.15"/>
    <row r="34215" s="76" customFormat="1" ht="21.95" customHeight="1" x14ac:dyDescent="0.15"/>
    <row r="34216" s="76" customFormat="1" ht="21.95" customHeight="1" x14ac:dyDescent="0.15"/>
    <row r="34217" s="76" customFormat="1" ht="21.95" customHeight="1" x14ac:dyDescent="0.15"/>
    <row r="34218" s="76" customFormat="1" ht="21.95" customHeight="1" x14ac:dyDescent="0.15"/>
    <row r="34219" s="76" customFormat="1" ht="21.95" customHeight="1" x14ac:dyDescent="0.15"/>
    <row r="34220" s="76" customFormat="1" ht="21.95" customHeight="1" x14ac:dyDescent="0.15"/>
    <row r="34221" s="76" customFormat="1" ht="21.95" customHeight="1" x14ac:dyDescent="0.15"/>
    <row r="34222" s="76" customFormat="1" ht="21.95" customHeight="1" x14ac:dyDescent="0.15"/>
    <row r="34223" s="76" customFormat="1" ht="21.95" customHeight="1" x14ac:dyDescent="0.15"/>
    <row r="34224" s="76" customFormat="1" ht="21.95" customHeight="1" x14ac:dyDescent="0.15"/>
    <row r="34225" s="76" customFormat="1" ht="21.95" customHeight="1" x14ac:dyDescent="0.15"/>
    <row r="34226" s="76" customFormat="1" ht="21.95" customHeight="1" x14ac:dyDescent="0.15"/>
    <row r="34227" s="76" customFormat="1" ht="21.95" customHeight="1" x14ac:dyDescent="0.15"/>
    <row r="34228" s="76" customFormat="1" ht="21.95" customHeight="1" x14ac:dyDescent="0.15"/>
    <row r="34229" s="76" customFormat="1" ht="21.95" customHeight="1" x14ac:dyDescent="0.15"/>
    <row r="34230" s="76" customFormat="1" ht="21.95" customHeight="1" x14ac:dyDescent="0.15"/>
    <row r="34231" s="76" customFormat="1" ht="21.95" customHeight="1" x14ac:dyDescent="0.15"/>
    <row r="34232" s="76" customFormat="1" ht="21.95" customHeight="1" x14ac:dyDescent="0.15"/>
    <row r="34233" s="76" customFormat="1" ht="21.95" customHeight="1" x14ac:dyDescent="0.15"/>
    <row r="34234" s="76" customFormat="1" ht="21.95" customHeight="1" x14ac:dyDescent="0.15"/>
    <row r="34235" s="76" customFormat="1" ht="21.95" customHeight="1" x14ac:dyDescent="0.15"/>
    <row r="34236" s="76" customFormat="1" ht="21.95" customHeight="1" x14ac:dyDescent="0.15"/>
    <row r="34237" s="76" customFormat="1" ht="21.95" customHeight="1" x14ac:dyDescent="0.15"/>
    <row r="34238" s="76" customFormat="1" ht="21.95" customHeight="1" x14ac:dyDescent="0.15"/>
    <row r="34239" s="76" customFormat="1" ht="21.95" customHeight="1" x14ac:dyDescent="0.15"/>
    <row r="34240" s="76" customFormat="1" ht="21.95" customHeight="1" x14ac:dyDescent="0.15"/>
    <row r="34241" s="76" customFormat="1" ht="21.95" customHeight="1" x14ac:dyDescent="0.15"/>
    <row r="34242" s="76" customFormat="1" ht="21.95" customHeight="1" x14ac:dyDescent="0.15"/>
    <row r="34243" s="76" customFormat="1" ht="21.95" customHeight="1" x14ac:dyDescent="0.15"/>
    <row r="34244" s="76" customFormat="1" ht="21.95" customHeight="1" x14ac:dyDescent="0.15"/>
    <row r="34245" s="76" customFormat="1" ht="21.95" customHeight="1" x14ac:dyDescent="0.15"/>
    <row r="34246" s="76" customFormat="1" ht="21.95" customHeight="1" x14ac:dyDescent="0.15"/>
    <row r="34247" s="76" customFormat="1" ht="21.95" customHeight="1" x14ac:dyDescent="0.15"/>
    <row r="34248" s="76" customFormat="1" ht="21.95" customHeight="1" x14ac:dyDescent="0.15"/>
    <row r="34249" s="76" customFormat="1" ht="35.1" customHeight="1" x14ac:dyDescent="0.15"/>
    <row r="34250" s="76" customFormat="1" ht="21.95" customHeight="1" x14ac:dyDescent="0.15"/>
    <row r="34251" s="76" customFormat="1" ht="21.95" customHeight="1" x14ac:dyDescent="0.15"/>
    <row r="34252" s="76" customFormat="1" ht="21.95" customHeight="1" x14ac:dyDescent="0.15"/>
    <row r="34253" s="76" customFormat="1" ht="21.95" customHeight="1" x14ac:dyDescent="0.15"/>
    <row r="34254" s="76" customFormat="1" ht="21.95" customHeight="1" x14ac:dyDescent="0.15"/>
    <row r="34255" s="76" customFormat="1" ht="21.95" customHeight="1" x14ac:dyDescent="0.15"/>
    <row r="34256" s="76" customFormat="1" ht="21.95" customHeight="1" x14ac:dyDescent="0.15"/>
    <row r="34257" s="76" customFormat="1" ht="21.95" customHeight="1" x14ac:dyDescent="0.15"/>
    <row r="34258" s="76" customFormat="1" ht="21.95" customHeight="1" x14ac:dyDescent="0.15"/>
    <row r="34259" s="76" customFormat="1" ht="21.95" customHeight="1" x14ac:dyDescent="0.15"/>
    <row r="34260" s="76" customFormat="1" ht="21.95" customHeight="1" x14ac:dyDescent="0.15"/>
    <row r="34261" s="76" customFormat="1" ht="21.95" customHeight="1" x14ac:dyDescent="0.15"/>
    <row r="34262" s="76" customFormat="1" ht="21.95" customHeight="1" x14ac:dyDescent="0.15"/>
    <row r="34263" s="76" customFormat="1" ht="21.95" customHeight="1" x14ac:dyDescent="0.15"/>
    <row r="34264" s="76" customFormat="1" ht="21.95" customHeight="1" x14ac:dyDescent="0.15"/>
    <row r="34265" s="76" customFormat="1" ht="21.95" customHeight="1" x14ac:dyDescent="0.15"/>
    <row r="34266" s="76" customFormat="1" ht="21.95" customHeight="1" x14ac:dyDescent="0.15"/>
    <row r="34267" s="76" customFormat="1" ht="21.95" customHeight="1" x14ac:dyDescent="0.15"/>
    <row r="34268" s="76" customFormat="1" ht="21.95" customHeight="1" x14ac:dyDescent="0.15"/>
    <row r="34269" s="76" customFormat="1" ht="21.95" customHeight="1" x14ac:dyDescent="0.15"/>
    <row r="34270" s="76" customFormat="1" ht="21.95" customHeight="1" x14ac:dyDescent="0.15"/>
    <row r="34271" s="76" customFormat="1" ht="21.95" customHeight="1" x14ac:dyDescent="0.15"/>
    <row r="34272" s="76" customFormat="1" ht="21.95" customHeight="1" x14ac:dyDescent="0.15"/>
    <row r="34273" spans="3:3" customFormat="1" ht="21.95" customHeight="1" x14ac:dyDescent="0.15"/>
    <row r="34274" spans="3:3" customFormat="1" ht="21.95" customHeight="1" x14ac:dyDescent="0.15"/>
    <row r="34275" spans="3:3" customFormat="1" ht="21.95" customHeight="1" x14ac:dyDescent="0.15">
      <c r="C34275" s="94"/>
    </row>
    <row r="34276" spans="3:3" customFormat="1" ht="21.95" customHeight="1" x14ac:dyDescent="0.15">
      <c r="C34276" s="94"/>
    </row>
    <row r="34277" spans="3:3" customFormat="1" ht="21.95" customHeight="1" x14ac:dyDescent="0.15"/>
    <row r="34278" spans="3:3" customFormat="1" ht="21.95" customHeight="1" x14ac:dyDescent="0.15"/>
    <row r="34279" spans="3:3" customFormat="1" ht="21.95" customHeight="1" x14ac:dyDescent="0.15"/>
    <row r="34280" spans="3:3" customFormat="1" ht="21.95" customHeight="1" x14ac:dyDescent="0.15"/>
    <row r="34281" spans="3:3" customFormat="1" ht="21.95" customHeight="1" x14ac:dyDescent="0.15"/>
    <row r="34282" spans="3:3" customFormat="1" ht="21.95" customHeight="1" x14ac:dyDescent="0.15"/>
    <row r="34283" spans="3:3" customFormat="1" ht="21.95" customHeight="1" x14ac:dyDescent="0.15"/>
    <row r="34284" spans="3:3" s="76" customFormat="1" ht="21.95" customHeight="1" x14ac:dyDescent="0.15"/>
    <row r="34285" spans="3:3" s="76" customFormat="1" ht="21.95" customHeight="1" x14ac:dyDescent="0.15"/>
    <row r="34286" spans="3:3" s="76" customFormat="1" ht="21.95" customHeight="1" x14ac:dyDescent="0.15"/>
    <row r="34287" spans="3:3" s="76" customFormat="1" ht="21.95" customHeight="1" x14ac:dyDescent="0.15"/>
    <row r="34288" spans="3:3" customFormat="1" ht="21.95" customHeight="1" x14ac:dyDescent="0.15"/>
    <row r="34289" customFormat="1" ht="21.95" customHeight="1" x14ac:dyDescent="0.15"/>
    <row r="34290" customFormat="1" ht="21.95" customHeight="1" x14ac:dyDescent="0.15"/>
    <row r="34291" customFormat="1" ht="21.95" customHeight="1" x14ac:dyDescent="0.15"/>
    <row r="34292" customFormat="1" ht="21.95" customHeight="1" x14ac:dyDescent="0.15"/>
    <row r="34293" customFormat="1" ht="21.95" customHeight="1" x14ac:dyDescent="0.15"/>
    <row r="34294" customFormat="1" ht="21.95" customHeight="1" x14ac:dyDescent="0.15"/>
    <row r="34295" customFormat="1" ht="21.95" customHeight="1" x14ac:dyDescent="0.15"/>
    <row r="34296" customFormat="1" ht="21.95" customHeight="1" x14ac:dyDescent="0.15"/>
    <row r="34297" customFormat="1" ht="21.95" customHeight="1" x14ac:dyDescent="0.15"/>
    <row r="34298" customFormat="1" ht="21.95" customHeight="1" x14ac:dyDescent="0.15"/>
    <row r="34299" customFormat="1" ht="32.1" customHeight="1" x14ac:dyDescent="0.15"/>
    <row r="34300" customFormat="1" ht="32.1" customHeight="1" x14ac:dyDescent="0.15"/>
    <row r="34301" customFormat="1" ht="32.1" customHeight="1" x14ac:dyDescent="0.15"/>
    <row r="34302" customFormat="1" ht="32.1" customHeight="1" x14ac:dyDescent="0.15"/>
    <row r="34303" customFormat="1" ht="32.1" customHeight="1" x14ac:dyDescent="0.15"/>
    <row r="34304" customFormat="1" ht="32.1" customHeight="1" x14ac:dyDescent="0.15"/>
    <row r="34305" s="76" customFormat="1" ht="32.1" customHeight="1" x14ac:dyDescent="0.15"/>
    <row r="34306" s="76" customFormat="1" ht="32.1" customHeight="1" x14ac:dyDescent="0.15"/>
    <row r="34307" s="76" customFormat="1" ht="32.1" customHeight="1" x14ac:dyDescent="0.15"/>
    <row r="34308" s="76" customFormat="1" ht="32.1" customHeight="1" x14ac:dyDescent="0.15"/>
    <row r="34309" s="76" customFormat="1" ht="21.95" customHeight="1" x14ac:dyDescent="0.15"/>
    <row r="34310" s="76" customFormat="1" ht="54" customHeight="1" x14ac:dyDescent="0.15"/>
    <row r="34311" s="76" customFormat="1" ht="21.95" customHeight="1" x14ac:dyDescent="0.15"/>
    <row r="34312" s="76" customFormat="1" ht="21.95" customHeight="1" x14ac:dyDescent="0.15"/>
    <row r="34313" s="76" customFormat="1" ht="21.95" customHeight="1" x14ac:dyDescent="0.15"/>
    <row r="34314" s="76" customFormat="1" ht="21.95" customHeight="1" x14ac:dyDescent="0.15"/>
    <row r="34315" s="76" customFormat="1" ht="21.95" customHeight="1" x14ac:dyDescent="0.15"/>
    <row r="34316" s="76" customFormat="1" ht="21.95" customHeight="1" x14ac:dyDescent="0.15"/>
    <row r="34317" s="76" customFormat="1" ht="21.95" customHeight="1" x14ac:dyDescent="0.15"/>
    <row r="34318" s="76" customFormat="1" ht="21.95" customHeight="1" x14ac:dyDescent="0.15"/>
    <row r="34319" s="76" customFormat="1" ht="21.95" customHeight="1" x14ac:dyDescent="0.15"/>
    <row r="34320" s="76" customFormat="1" ht="21.95" customHeight="1" x14ac:dyDescent="0.15"/>
    <row r="34321" s="76" customFormat="1" ht="21.95" customHeight="1" x14ac:dyDescent="0.15"/>
    <row r="34322" s="76" customFormat="1" ht="21.95" customHeight="1" x14ac:dyDescent="0.15"/>
    <row r="34323" s="76" customFormat="1" ht="21.95" customHeight="1" x14ac:dyDescent="0.15"/>
    <row r="34324" s="76" customFormat="1" ht="21.95" customHeight="1" x14ac:dyDescent="0.15"/>
    <row r="34325" s="76" customFormat="1" ht="21.95" customHeight="1" x14ac:dyDescent="0.15"/>
    <row r="34326" s="76" customFormat="1" ht="21.95" customHeight="1" x14ac:dyDescent="0.15"/>
    <row r="34327" s="76" customFormat="1" ht="21.95" customHeight="1" x14ac:dyDescent="0.15"/>
    <row r="34328" s="76" customFormat="1" ht="21.95" customHeight="1" x14ac:dyDescent="0.15"/>
    <row r="34329" s="76" customFormat="1" ht="21.95" customHeight="1" x14ac:dyDescent="0.15"/>
    <row r="34330" s="76" customFormat="1" ht="21.95" customHeight="1" x14ac:dyDescent="0.15"/>
    <row r="34331" s="76" customFormat="1" ht="21.95" customHeight="1" x14ac:dyDescent="0.15"/>
    <row r="34332" s="76" customFormat="1" ht="21.95" customHeight="1" x14ac:dyDescent="0.15"/>
    <row r="34333" s="76" customFormat="1" ht="21.95" customHeight="1" x14ac:dyDescent="0.15"/>
    <row r="34334" s="76" customFormat="1" ht="21.95" customHeight="1" x14ac:dyDescent="0.15"/>
    <row r="34335" s="76" customFormat="1" ht="21.95" customHeight="1" x14ac:dyDescent="0.15"/>
    <row r="34336" s="76" customFormat="1" ht="21.95" customHeight="1" x14ac:dyDescent="0.15"/>
    <row r="34337" s="76" customFormat="1" ht="21.95" customHeight="1" x14ac:dyDescent="0.15"/>
    <row r="34338" s="76" customFormat="1" ht="21.95" customHeight="1" x14ac:dyDescent="0.15"/>
    <row r="34339" s="76" customFormat="1" ht="21.95" customHeight="1" x14ac:dyDescent="0.15"/>
    <row r="34340" s="76" customFormat="1" ht="21.95" customHeight="1" x14ac:dyDescent="0.15"/>
    <row r="34341" s="76" customFormat="1" ht="21.95" customHeight="1" x14ac:dyDescent="0.15"/>
    <row r="34342" s="76" customFormat="1" ht="21.95" customHeight="1" x14ac:dyDescent="0.15"/>
    <row r="34343" s="76" customFormat="1" ht="21.95" customHeight="1" x14ac:dyDescent="0.15"/>
    <row r="34344" s="76" customFormat="1" ht="21.95" customHeight="1" x14ac:dyDescent="0.15"/>
    <row r="34345" s="76" customFormat="1" ht="21.95" customHeight="1" x14ac:dyDescent="0.15"/>
    <row r="34346" s="76" customFormat="1" ht="21.95" customHeight="1" x14ac:dyDescent="0.15"/>
    <row r="34347" s="76" customFormat="1" ht="21.95" customHeight="1" x14ac:dyDescent="0.15"/>
    <row r="34348" s="76" customFormat="1" ht="21.95" customHeight="1" x14ac:dyDescent="0.15"/>
    <row r="34349" s="76" customFormat="1" ht="21.95" customHeight="1" x14ac:dyDescent="0.15"/>
    <row r="34350" s="76" customFormat="1" ht="21.95" customHeight="1" x14ac:dyDescent="0.15"/>
    <row r="34351" s="76" customFormat="1" ht="21.95" customHeight="1" x14ac:dyDescent="0.15"/>
    <row r="34352" s="76" customFormat="1" ht="21.95" customHeight="1" x14ac:dyDescent="0.15"/>
    <row r="34353" s="76" customFormat="1" ht="21.95" customHeight="1" x14ac:dyDescent="0.15"/>
    <row r="34354" s="76" customFormat="1" ht="21.95" customHeight="1" x14ac:dyDescent="0.15"/>
    <row r="34355" s="76" customFormat="1" ht="21.95" customHeight="1" x14ac:dyDescent="0.15"/>
    <row r="34356" s="76" customFormat="1" ht="21.95" customHeight="1" x14ac:dyDescent="0.15"/>
    <row r="34357" s="76" customFormat="1" ht="21.95" customHeight="1" x14ac:dyDescent="0.15"/>
    <row r="34358" s="76" customFormat="1" ht="21.95" customHeight="1" x14ac:dyDescent="0.15"/>
    <row r="34359" s="76" customFormat="1" ht="21.95" customHeight="1" x14ac:dyDescent="0.15"/>
    <row r="34360" s="76" customFormat="1" ht="21.95" customHeight="1" x14ac:dyDescent="0.15"/>
    <row r="34361" s="76" customFormat="1" ht="35.1" customHeight="1" x14ac:dyDescent="0.15"/>
    <row r="34362" s="76" customFormat="1" ht="21.95" customHeight="1" x14ac:dyDescent="0.15"/>
    <row r="34363" s="76" customFormat="1" ht="21.95" customHeight="1" x14ac:dyDescent="0.15"/>
    <row r="34364" s="76" customFormat="1" ht="21.95" customHeight="1" x14ac:dyDescent="0.15"/>
    <row r="34365" s="76" customFormat="1" ht="21.95" customHeight="1" x14ac:dyDescent="0.15"/>
    <row r="34366" s="76" customFormat="1" ht="21.95" customHeight="1" x14ac:dyDescent="0.15"/>
    <row r="34367" s="76" customFormat="1" ht="21.95" customHeight="1" x14ac:dyDescent="0.15"/>
    <row r="34368" s="76" customFormat="1" ht="21.95" customHeight="1" x14ac:dyDescent="0.15"/>
    <row r="34369" s="76" customFormat="1" ht="21.95" customHeight="1" x14ac:dyDescent="0.15"/>
    <row r="34370" s="76" customFormat="1" ht="21.95" customHeight="1" x14ac:dyDescent="0.15"/>
    <row r="34371" s="76" customFormat="1" ht="21.95" customHeight="1" x14ac:dyDescent="0.15"/>
    <row r="34372" s="76" customFormat="1" ht="21.95" customHeight="1" x14ac:dyDescent="0.15"/>
    <row r="34373" s="76" customFormat="1" ht="21.95" customHeight="1" x14ac:dyDescent="0.15"/>
    <row r="34374" s="76" customFormat="1" ht="21.95" customHeight="1" x14ac:dyDescent="0.15"/>
    <row r="34375" s="76" customFormat="1" ht="21.95" customHeight="1" x14ac:dyDescent="0.15"/>
    <row r="34376" s="76" customFormat="1" ht="21.95" customHeight="1" x14ac:dyDescent="0.15"/>
    <row r="34377" s="76" customFormat="1" ht="21.95" customHeight="1" x14ac:dyDescent="0.15"/>
    <row r="34378" s="76" customFormat="1" ht="21.95" customHeight="1" x14ac:dyDescent="0.15"/>
    <row r="34379" s="76" customFormat="1" ht="21.95" customHeight="1" x14ac:dyDescent="0.15"/>
    <row r="34380" s="76" customFormat="1" ht="21.95" customHeight="1" x14ac:dyDescent="0.15"/>
    <row r="34381" s="76" customFormat="1" ht="21.95" customHeight="1" x14ac:dyDescent="0.15"/>
    <row r="34382" s="76" customFormat="1" ht="21.95" customHeight="1" x14ac:dyDescent="0.15"/>
    <row r="34383" s="76" customFormat="1" ht="21.95" customHeight="1" x14ac:dyDescent="0.15"/>
    <row r="34384" s="76" customFormat="1" ht="21.95" customHeight="1" x14ac:dyDescent="0.15"/>
    <row r="34385" spans="3:3" customFormat="1" ht="21.95" customHeight="1" x14ac:dyDescent="0.15"/>
    <row r="34386" spans="3:3" customFormat="1" ht="21.95" customHeight="1" x14ac:dyDescent="0.15"/>
    <row r="34387" spans="3:3" customFormat="1" ht="21.95" customHeight="1" x14ac:dyDescent="0.15">
      <c r="C34387" s="94"/>
    </row>
    <row r="34388" spans="3:3" customFormat="1" ht="21.95" customHeight="1" x14ac:dyDescent="0.15">
      <c r="C34388" s="94"/>
    </row>
    <row r="34389" spans="3:3" customFormat="1" ht="21.95" customHeight="1" x14ac:dyDescent="0.15"/>
    <row r="34390" spans="3:3" customFormat="1" ht="21.95" customHeight="1" x14ac:dyDescent="0.15"/>
    <row r="34391" spans="3:3" customFormat="1" ht="21.95" customHeight="1" x14ac:dyDescent="0.15"/>
    <row r="34392" spans="3:3" customFormat="1" ht="21.95" customHeight="1" x14ac:dyDescent="0.15"/>
    <row r="34393" spans="3:3" customFormat="1" ht="21.95" customHeight="1" x14ac:dyDescent="0.15"/>
    <row r="34394" spans="3:3" customFormat="1" ht="21.95" customHeight="1" x14ac:dyDescent="0.15"/>
    <row r="34395" spans="3:3" customFormat="1" ht="21.95" customHeight="1" x14ac:dyDescent="0.15"/>
    <row r="34396" spans="3:3" s="76" customFormat="1" ht="21.95" customHeight="1" x14ac:dyDescent="0.15"/>
    <row r="34397" spans="3:3" s="76" customFormat="1" ht="21.95" customHeight="1" x14ac:dyDescent="0.15"/>
    <row r="34398" spans="3:3" s="76" customFormat="1" ht="21.95" customHeight="1" x14ac:dyDescent="0.15"/>
    <row r="34399" spans="3:3" s="76" customFormat="1" ht="21.95" customHeight="1" x14ac:dyDescent="0.15"/>
    <row r="34400" spans="3:3" customFormat="1" ht="21.95" customHeight="1" x14ac:dyDescent="0.15"/>
    <row r="34401" customFormat="1" ht="21.95" customHeight="1" x14ac:dyDescent="0.15"/>
    <row r="34402" customFormat="1" ht="21.95" customHeight="1" x14ac:dyDescent="0.15"/>
    <row r="34403" customFormat="1" ht="21.95" customHeight="1" x14ac:dyDescent="0.15"/>
    <row r="34404" customFormat="1" ht="21.95" customHeight="1" x14ac:dyDescent="0.15"/>
    <row r="34405" customFormat="1" ht="21.95" customHeight="1" x14ac:dyDescent="0.15"/>
    <row r="34406" customFormat="1" ht="21.95" customHeight="1" x14ac:dyDescent="0.15"/>
    <row r="34407" customFormat="1" ht="21.95" customHeight="1" x14ac:dyDescent="0.15"/>
    <row r="34408" customFormat="1" ht="21.95" customHeight="1" x14ac:dyDescent="0.15"/>
    <row r="34409" customFormat="1" ht="21.95" customHeight="1" x14ac:dyDescent="0.15"/>
    <row r="34410" customFormat="1" ht="21.95" customHeight="1" x14ac:dyDescent="0.15"/>
    <row r="34411" customFormat="1" ht="32.1" customHeight="1" x14ac:dyDescent="0.15"/>
    <row r="34412" customFormat="1" ht="32.1" customHeight="1" x14ac:dyDescent="0.15"/>
    <row r="34413" customFormat="1" ht="32.1" customHeight="1" x14ac:dyDescent="0.15"/>
    <row r="34414" customFormat="1" ht="32.1" customHeight="1" x14ac:dyDescent="0.15"/>
    <row r="34415" customFormat="1" ht="32.1" customHeight="1" x14ac:dyDescent="0.15"/>
    <row r="34416" customFormat="1" ht="32.1" customHeight="1" x14ac:dyDescent="0.15"/>
    <row r="34417" s="76" customFormat="1" ht="32.1" customHeight="1" x14ac:dyDescent="0.15"/>
    <row r="34418" s="76" customFormat="1" ht="32.1" customHeight="1" x14ac:dyDescent="0.15"/>
    <row r="34419" s="76" customFormat="1" ht="32.1" customHeight="1" x14ac:dyDescent="0.15"/>
    <row r="34420" s="76" customFormat="1" ht="32.1" customHeight="1" x14ac:dyDescent="0.15"/>
    <row r="34421" s="76" customFormat="1" ht="21.95" customHeight="1" x14ac:dyDescent="0.15"/>
    <row r="34422" s="76" customFormat="1" ht="54" customHeight="1" x14ac:dyDescent="0.15"/>
    <row r="34423" s="76" customFormat="1" ht="21.95" customHeight="1" x14ac:dyDescent="0.15"/>
    <row r="34424" s="76" customFormat="1" ht="21.95" customHeight="1" x14ac:dyDescent="0.15"/>
    <row r="34425" s="76" customFormat="1" ht="21.95" customHeight="1" x14ac:dyDescent="0.15"/>
    <row r="34426" s="76" customFormat="1" ht="21.95" customHeight="1" x14ac:dyDescent="0.15"/>
    <row r="34427" s="76" customFormat="1" ht="21.95" customHeight="1" x14ac:dyDescent="0.15"/>
    <row r="34428" s="76" customFormat="1" ht="21.95" customHeight="1" x14ac:dyDescent="0.15"/>
    <row r="34429" s="76" customFormat="1" ht="21.95" customHeight="1" x14ac:dyDescent="0.15"/>
    <row r="34430" s="76" customFormat="1" ht="21.95" customHeight="1" x14ac:dyDescent="0.15"/>
    <row r="34431" s="76" customFormat="1" ht="21.95" customHeight="1" x14ac:dyDescent="0.15"/>
    <row r="34432" s="76" customFormat="1" ht="21.95" customHeight="1" x14ac:dyDescent="0.15"/>
    <row r="34433" s="76" customFormat="1" ht="21.95" customHeight="1" x14ac:dyDescent="0.15"/>
    <row r="34434" s="76" customFormat="1" ht="21.95" customHeight="1" x14ac:dyDescent="0.15"/>
    <row r="34435" s="76" customFormat="1" ht="21.95" customHeight="1" x14ac:dyDescent="0.15"/>
    <row r="34436" s="76" customFormat="1" ht="21.95" customHeight="1" x14ac:dyDescent="0.15"/>
    <row r="34437" s="76" customFormat="1" ht="21.95" customHeight="1" x14ac:dyDescent="0.15"/>
    <row r="34438" s="76" customFormat="1" ht="21.95" customHeight="1" x14ac:dyDescent="0.15"/>
    <row r="34439" s="76" customFormat="1" ht="21.95" customHeight="1" x14ac:dyDescent="0.15"/>
    <row r="34440" s="76" customFormat="1" ht="21.95" customHeight="1" x14ac:dyDescent="0.15"/>
    <row r="34441" s="76" customFormat="1" ht="21.95" customHeight="1" x14ac:dyDescent="0.15"/>
    <row r="34442" s="76" customFormat="1" ht="21.95" customHeight="1" x14ac:dyDescent="0.15"/>
    <row r="34443" s="76" customFormat="1" ht="21.95" customHeight="1" x14ac:dyDescent="0.15"/>
    <row r="34444" s="76" customFormat="1" ht="21.95" customHeight="1" x14ac:dyDescent="0.15"/>
    <row r="34445" s="76" customFormat="1" ht="21.95" customHeight="1" x14ac:dyDescent="0.15"/>
    <row r="34446" s="76" customFormat="1" ht="21.95" customHeight="1" x14ac:dyDescent="0.15"/>
    <row r="34447" s="76" customFormat="1" ht="21.95" customHeight="1" x14ac:dyDescent="0.15"/>
    <row r="34448" s="76" customFormat="1" ht="21.95" customHeight="1" x14ac:dyDescent="0.15"/>
    <row r="34449" s="76" customFormat="1" ht="21.95" customHeight="1" x14ac:dyDescent="0.15"/>
    <row r="34450" s="76" customFormat="1" ht="21.95" customHeight="1" x14ac:dyDescent="0.15"/>
    <row r="34451" s="76" customFormat="1" ht="21.95" customHeight="1" x14ac:dyDescent="0.15"/>
    <row r="34452" s="76" customFormat="1" ht="21.95" customHeight="1" x14ac:dyDescent="0.15"/>
    <row r="34453" s="76" customFormat="1" ht="21.95" customHeight="1" x14ac:dyDescent="0.15"/>
    <row r="34454" s="76" customFormat="1" ht="21.95" customHeight="1" x14ac:dyDescent="0.15"/>
    <row r="34455" s="76" customFormat="1" ht="21.95" customHeight="1" x14ac:dyDescent="0.15"/>
    <row r="34456" s="76" customFormat="1" ht="21.95" customHeight="1" x14ac:dyDescent="0.15"/>
    <row r="34457" s="76" customFormat="1" ht="21.95" customHeight="1" x14ac:dyDescent="0.15"/>
    <row r="34458" s="76" customFormat="1" ht="21.95" customHeight="1" x14ac:dyDescent="0.15"/>
    <row r="34459" s="76" customFormat="1" ht="21.95" customHeight="1" x14ac:dyDescent="0.15"/>
    <row r="34460" s="76" customFormat="1" ht="21.95" customHeight="1" x14ac:dyDescent="0.15"/>
    <row r="34461" s="76" customFormat="1" ht="21.95" customHeight="1" x14ac:dyDescent="0.15"/>
    <row r="34462" s="76" customFormat="1" ht="21.95" customHeight="1" x14ac:dyDescent="0.15"/>
    <row r="34463" s="76" customFormat="1" ht="21.95" customHeight="1" x14ac:dyDescent="0.15"/>
    <row r="34464" s="76" customFormat="1" ht="21.95" customHeight="1" x14ac:dyDescent="0.15"/>
    <row r="34465" s="76" customFormat="1" ht="21.95" customHeight="1" x14ac:dyDescent="0.15"/>
    <row r="34466" s="76" customFormat="1" ht="21.95" customHeight="1" x14ac:dyDescent="0.15"/>
    <row r="34467" s="76" customFormat="1" ht="21.95" customHeight="1" x14ac:dyDescent="0.15"/>
    <row r="34468" s="76" customFormat="1" ht="21.95" customHeight="1" x14ac:dyDescent="0.15"/>
    <row r="34469" s="76" customFormat="1" ht="21.95" customHeight="1" x14ac:dyDescent="0.15"/>
    <row r="34470" s="76" customFormat="1" ht="21.95" customHeight="1" x14ac:dyDescent="0.15"/>
    <row r="34471" s="76" customFormat="1" ht="21.95" customHeight="1" x14ac:dyDescent="0.15"/>
    <row r="34472" s="76" customFormat="1" ht="21.95" customHeight="1" x14ac:dyDescent="0.15"/>
    <row r="34473" s="76" customFormat="1" ht="35.1" customHeight="1" x14ac:dyDescent="0.15"/>
    <row r="34474" s="76" customFormat="1" ht="21.95" customHeight="1" x14ac:dyDescent="0.15"/>
    <row r="34475" s="76" customFormat="1" ht="21.95" customHeight="1" x14ac:dyDescent="0.15"/>
    <row r="34476" s="76" customFormat="1" ht="21.95" customHeight="1" x14ac:dyDescent="0.15"/>
    <row r="34477" s="76" customFormat="1" ht="21.95" customHeight="1" x14ac:dyDescent="0.15"/>
    <row r="34478" s="76" customFormat="1" ht="21.95" customHeight="1" x14ac:dyDescent="0.15"/>
    <row r="34479" s="76" customFormat="1" ht="21.95" customHeight="1" x14ac:dyDescent="0.15"/>
    <row r="34480" s="76" customFormat="1" ht="21.95" customHeight="1" x14ac:dyDescent="0.15"/>
    <row r="34481" s="76" customFormat="1" ht="21.95" customHeight="1" x14ac:dyDescent="0.15"/>
    <row r="34482" s="76" customFormat="1" ht="21.95" customHeight="1" x14ac:dyDescent="0.15"/>
    <row r="34483" s="76" customFormat="1" ht="21.95" customHeight="1" x14ac:dyDescent="0.15"/>
    <row r="34484" s="76" customFormat="1" ht="21.95" customHeight="1" x14ac:dyDescent="0.15"/>
    <row r="34485" s="76" customFormat="1" ht="21.95" customHeight="1" x14ac:dyDescent="0.15"/>
    <row r="34486" s="76" customFormat="1" ht="21.95" customHeight="1" x14ac:dyDescent="0.15"/>
    <row r="34487" s="76" customFormat="1" ht="21.95" customHeight="1" x14ac:dyDescent="0.15"/>
    <row r="34488" s="76" customFormat="1" ht="21.95" customHeight="1" x14ac:dyDescent="0.15"/>
    <row r="34489" s="76" customFormat="1" ht="21.95" customHeight="1" x14ac:dyDescent="0.15"/>
    <row r="34490" s="76" customFormat="1" ht="21.95" customHeight="1" x14ac:dyDescent="0.15"/>
    <row r="34491" s="76" customFormat="1" ht="21.95" customHeight="1" x14ac:dyDescent="0.15"/>
    <row r="34492" s="76" customFormat="1" ht="21.95" customHeight="1" x14ac:dyDescent="0.15"/>
    <row r="34493" s="76" customFormat="1" ht="21.95" customHeight="1" x14ac:dyDescent="0.15"/>
    <row r="34494" s="76" customFormat="1" ht="21.95" customHeight="1" x14ac:dyDescent="0.15"/>
    <row r="34495" s="76" customFormat="1" ht="21.95" customHeight="1" x14ac:dyDescent="0.15"/>
    <row r="34496" s="76" customFormat="1" ht="21.95" customHeight="1" x14ac:dyDescent="0.15"/>
    <row r="34497" spans="3:3" customFormat="1" ht="21.95" customHeight="1" x14ac:dyDescent="0.15"/>
    <row r="34498" spans="3:3" customFormat="1" ht="21.95" customHeight="1" x14ac:dyDescent="0.15"/>
    <row r="34499" spans="3:3" customFormat="1" ht="21.95" customHeight="1" x14ac:dyDescent="0.15">
      <c r="C34499" s="94"/>
    </row>
    <row r="34500" spans="3:3" customFormat="1" ht="21.95" customHeight="1" x14ac:dyDescent="0.15">
      <c r="C34500" s="94"/>
    </row>
    <row r="34501" spans="3:3" customFormat="1" ht="21.95" customHeight="1" x14ac:dyDescent="0.15"/>
    <row r="34502" spans="3:3" customFormat="1" ht="21.95" customHeight="1" x14ac:dyDescent="0.15"/>
    <row r="34503" spans="3:3" customFormat="1" ht="21.95" customHeight="1" x14ac:dyDescent="0.15"/>
    <row r="34504" spans="3:3" customFormat="1" ht="21.95" customHeight="1" x14ac:dyDescent="0.15"/>
    <row r="34505" spans="3:3" customFormat="1" ht="21.95" customHeight="1" x14ac:dyDescent="0.15"/>
    <row r="34506" spans="3:3" customFormat="1" ht="21.95" customHeight="1" x14ac:dyDescent="0.15"/>
    <row r="34507" spans="3:3" customFormat="1" ht="21.95" customHeight="1" x14ac:dyDescent="0.15"/>
    <row r="34508" spans="3:3" s="76" customFormat="1" ht="21.95" customHeight="1" x14ac:dyDescent="0.15"/>
    <row r="34509" spans="3:3" s="76" customFormat="1" ht="21.95" customHeight="1" x14ac:dyDescent="0.15"/>
    <row r="34510" spans="3:3" s="76" customFormat="1" ht="21.95" customHeight="1" x14ac:dyDescent="0.15"/>
    <row r="34511" spans="3:3" s="76" customFormat="1" ht="21.95" customHeight="1" x14ac:dyDescent="0.15"/>
    <row r="34512" spans="3:3" customFormat="1" ht="21.95" customHeight="1" x14ac:dyDescent="0.15"/>
    <row r="34513" customFormat="1" ht="21.95" customHeight="1" x14ac:dyDescent="0.15"/>
    <row r="34514" customFormat="1" ht="21.95" customHeight="1" x14ac:dyDescent="0.15"/>
    <row r="34515" customFormat="1" ht="21.95" customHeight="1" x14ac:dyDescent="0.15"/>
    <row r="34516" customFormat="1" ht="21.95" customHeight="1" x14ac:dyDescent="0.15"/>
    <row r="34517" customFormat="1" ht="21.95" customHeight="1" x14ac:dyDescent="0.15"/>
    <row r="34518" customFormat="1" ht="21.95" customHeight="1" x14ac:dyDescent="0.15"/>
    <row r="34519" customFormat="1" ht="21.95" customHeight="1" x14ac:dyDescent="0.15"/>
    <row r="34520" customFormat="1" ht="21.95" customHeight="1" x14ac:dyDescent="0.15"/>
    <row r="34521" customFormat="1" ht="21.95" customHeight="1" x14ac:dyDescent="0.15"/>
    <row r="34522" customFormat="1" ht="21.95" customHeight="1" x14ac:dyDescent="0.15"/>
    <row r="34523" customFormat="1" ht="32.1" customHeight="1" x14ac:dyDescent="0.15"/>
    <row r="34524" customFormat="1" ht="32.1" customHeight="1" x14ac:dyDescent="0.15"/>
    <row r="34525" customFormat="1" ht="32.1" customHeight="1" x14ac:dyDescent="0.15"/>
    <row r="34526" customFormat="1" ht="32.1" customHeight="1" x14ac:dyDescent="0.15"/>
    <row r="34527" customFormat="1" ht="32.1" customHeight="1" x14ac:dyDescent="0.15"/>
    <row r="34528" customFormat="1" ht="32.1" customHeight="1" x14ac:dyDescent="0.15"/>
    <row r="34529" s="76" customFormat="1" ht="32.1" customHeight="1" x14ac:dyDescent="0.15"/>
    <row r="34530" s="76" customFormat="1" ht="32.1" customHeight="1" x14ac:dyDescent="0.15"/>
    <row r="34531" s="76" customFormat="1" ht="32.1" customHeight="1" x14ac:dyDescent="0.15"/>
    <row r="34532" s="76" customFormat="1" ht="32.1" customHeight="1" x14ac:dyDescent="0.15"/>
    <row r="34533" s="76" customFormat="1" ht="21.95" customHeight="1" x14ac:dyDescent="0.15"/>
    <row r="34534" s="76" customFormat="1" ht="54" customHeight="1" x14ac:dyDescent="0.15"/>
    <row r="34535" s="76" customFormat="1" ht="21.95" customHeight="1" x14ac:dyDescent="0.15"/>
    <row r="34536" s="76" customFormat="1" ht="21.95" customHeight="1" x14ac:dyDescent="0.15"/>
    <row r="34537" s="76" customFormat="1" ht="21.95" customHeight="1" x14ac:dyDescent="0.15"/>
    <row r="34538" s="76" customFormat="1" ht="21.95" customHeight="1" x14ac:dyDescent="0.15"/>
    <row r="34539" s="76" customFormat="1" ht="21.95" customHeight="1" x14ac:dyDescent="0.15"/>
    <row r="34540" s="76" customFormat="1" ht="21.95" customHeight="1" x14ac:dyDescent="0.15"/>
    <row r="34541" s="76" customFormat="1" ht="21.95" customHeight="1" x14ac:dyDescent="0.15"/>
    <row r="34542" s="76" customFormat="1" ht="21.95" customHeight="1" x14ac:dyDescent="0.15"/>
    <row r="34543" s="76" customFormat="1" ht="21.95" customHeight="1" x14ac:dyDescent="0.15"/>
    <row r="34544" s="76" customFormat="1" ht="21.95" customHeight="1" x14ac:dyDescent="0.15"/>
    <row r="34545" s="76" customFormat="1" ht="21.95" customHeight="1" x14ac:dyDescent="0.15"/>
    <row r="34546" s="76" customFormat="1" ht="21.95" customHeight="1" x14ac:dyDescent="0.15"/>
    <row r="34547" s="76" customFormat="1" ht="21.95" customHeight="1" x14ac:dyDescent="0.15"/>
    <row r="34548" s="76" customFormat="1" ht="21.95" customHeight="1" x14ac:dyDescent="0.15"/>
    <row r="34549" s="76" customFormat="1" ht="21.95" customHeight="1" x14ac:dyDescent="0.15"/>
    <row r="34550" s="76" customFormat="1" ht="21.95" customHeight="1" x14ac:dyDescent="0.15"/>
    <row r="34551" s="76" customFormat="1" ht="21.95" customHeight="1" x14ac:dyDescent="0.15"/>
    <row r="34552" s="76" customFormat="1" ht="21.95" customHeight="1" x14ac:dyDescent="0.15"/>
    <row r="34553" s="76" customFormat="1" ht="21.95" customHeight="1" x14ac:dyDescent="0.15"/>
    <row r="34554" s="76" customFormat="1" ht="21.95" customHeight="1" x14ac:dyDescent="0.15"/>
    <row r="34555" s="76" customFormat="1" ht="21.95" customHeight="1" x14ac:dyDescent="0.15"/>
    <row r="34556" s="76" customFormat="1" ht="21.95" customHeight="1" x14ac:dyDescent="0.15"/>
    <row r="34557" s="76" customFormat="1" ht="21.95" customHeight="1" x14ac:dyDescent="0.15"/>
    <row r="34558" s="76" customFormat="1" ht="21.95" customHeight="1" x14ac:dyDescent="0.15"/>
    <row r="34559" s="76" customFormat="1" ht="21.95" customHeight="1" x14ac:dyDescent="0.15"/>
    <row r="34560" s="76" customFormat="1" ht="21.95" customHeight="1" x14ac:dyDescent="0.15"/>
    <row r="34561" s="76" customFormat="1" ht="21.95" customHeight="1" x14ac:dyDescent="0.15"/>
    <row r="34562" s="76" customFormat="1" ht="21.95" customHeight="1" x14ac:dyDescent="0.15"/>
    <row r="34563" s="76" customFormat="1" ht="21.95" customHeight="1" x14ac:dyDescent="0.15"/>
    <row r="34564" s="76" customFormat="1" ht="21.95" customHeight="1" x14ac:dyDescent="0.15"/>
    <row r="34565" s="76" customFormat="1" ht="21.95" customHeight="1" x14ac:dyDescent="0.15"/>
    <row r="34566" s="76" customFormat="1" ht="21.95" customHeight="1" x14ac:dyDescent="0.15"/>
    <row r="34567" s="76" customFormat="1" ht="21.95" customHeight="1" x14ac:dyDescent="0.15"/>
    <row r="34568" s="76" customFormat="1" ht="21.95" customHeight="1" x14ac:dyDescent="0.15"/>
    <row r="34569" s="76" customFormat="1" ht="21.95" customHeight="1" x14ac:dyDescent="0.15"/>
    <row r="34570" s="76" customFormat="1" ht="21.95" customHeight="1" x14ac:dyDescent="0.15"/>
    <row r="34571" s="76" customFormat="1" ht="21.95" customHeight="1" x14ac:dyDescent="0.15"/>
    <row r="34572" s="76" customFormat="1" ht="21.95" customHeight="1" x14ac:dyDescent="0.15"/>
    <row r="34573" s="76" customFormat="1" ht="21.95" customHeight="1" x14ac:dyDescent="0.15"/>
    <row r="34574" s="76" customFormat="1" ht="21.95" customHeight="1" x14ac:dyDescent="0.15"/>
    <row r="34575" s="76" customFormat="1" ht="21.95" customHeight="1" x14ac:dyDescent="0.15"/>
    <row r="34576" s="76" customFormat="1" ht="21.95" customHeight="1" x14ac:dyDescent="0.15"/>
    <row r="34577" s="76" customFormat="1" ht="21.95" customHeight="1" x14ac:dyDescent="0.15"/>
    <row r="34578" s="76" customFormat="1" ht="21.95" customHeight="1" x14ac:dyDescent="0.15"/>
    <row r="34579" s="76" customFormat="1" ht="21.95" customHeight="1" x14ac:dyDescent="0.15"/>
    <row r="34580" s="76" customFormat="1" ht="21.95" customHeight="1" x14ac:dyDescent="0.15"/>
    <row r="34581" s="76" customFormat="1" ht="21.95" customHeight="1" x14ac:dyDescent="0.15"/>
    <row r="34582" s="76" customFormat="1" ht="21.95" customHeight="1" x14ac:dyDescent="0.15"/>
    <row r="34583" s="76" customFormat="1" ht="21.95" customHeight="1" x14ac:dyDescent="0.15"/>
    <row r="34584" s="76" customFormat="1" ht="21.95" customHeight="1" x14ac:dyDescent="0.15"/>
    <row r="34585" s="76" customFormat="1" ht="35.1" customHeight="1" x14ac:dyDescent="0.15"/>
    <row r="34586" s="76" customFormat="1" ht="21.95" customHeight="1" x14ac:dyDescent="0.15"/>
    <row r="34587" s="76" customFormat="1" ht="21.95" customHeight="1" x14ac:dyDescent="0.15"/>
    <row r="34588" s="76" customFormat="1" ht="21.95" customHeight="1" x14ac:dyDescent="0.15"/>
    <row r="34589" s="76" customFormat="1" ht="21.95" customHeight="1" x14ac:dyDescent="0.15"/>
    <row r="34590" s="76" customFormat="1" ht="21.95" customHeight="1" x14ac:dyDescent="0.15"/>
    <row r="34591" s="76" customFormat="1" ht="21.95" customHeight="1" x14ac:dyDescent="0.15"/>
    <row r="34592" s="76" customFormat="1" ht="21.95" customHeight="1" x14ac:dyDescent="0.15"/>
    <row r="34593" s="76" customFormat="1" ht="21.95" customHeight="1" x14ac:dyDescent="0.15"/>
    <row r="34594" s="76" customFormat="1" ht="21.95" customHeight="1" x14ac:dyDescent="0.15"/>
    <row r="34595" s="76" customFormat="1" ht="21.95" customHeight="1" x14ac:dyDescent="0.15"/>
    <row r="34596" s="76" customFormat="1" ht="21.95" customHeight="1" x14ac:dyDescent="0.15"/>
    <row r="34597" s="76" customFormat="1" ht="21.95" customHeight="1" x14ac:dyDescent="0.15"/>
    <row r="34598" s="76" customFormat="1" ht="21.95" customHeight="1" x14ac:dyDescent="0.15"/>
    <row r="34599" s="76" customFormat="1" ht="21.95" customHeight="1" x14ac:dyDescent="0.15"/>
    <row r="34600" s="76" customFormat="1" ht="21.95" customHeight="1" x14ac:dyDescent="0.15"/>
    <row r="34601" s="76" customFormat="1" ht="21.95" customHeight="1" x14ac:dyDescent="0.15"/>
    <row r="34602" s="76" customFormat="1" ht="21.95" customHeight="1" x14ac:dyDescent="0.15"/>
    <row r="34603" s="76" customFormat="1" ht="21.95" customHeight="1" x14ac:dyDescent="0.15"/>
    <row r="34604" s="76" customFormat="1" ht="21.95" customHeight="1" x14ac:dyDescent="0.15"/>
    <row r="34605" s="76" customFormat="1" ht="21.95" customHeight="1" x14ac:dyDescent="0.15"/>
    <row r="34606" s="76" customFormat="1" ht="21.95" customHeight="1" x14ac:dyDescent="0.15"/>
    <row r="34607" s="76" customFormat="1" ht="21.95" customHeight="1" x14ac:dyDescent="0.15"/>
    <row r="34608" s="76" customFormat="1" ht="21.95" customHeight="1" x14ac:dyDescent="0.15"/>
    <row r="34609" spans="3:3" customFormat="1" ht="21.95" customHeight="1" x14ac:dyDescent="0.15"/>
    <row r="34610" spans="3:3" customFormat="1" ht="21.95" customHeight="1" x14ac:dyDescent="0.15"/>
    <row r="34611" spans="3:3" customFormat="1" ht="21.95" customHeight="1" x14ac:dyDescent="0.15">
      <c r="C34611" s="94"/>
    </row>
    <row r="34612" spans="3:3" customFormat="1" ht="21.95" customHeight="1" x14ac:dyDescent="0.15">
      <c r="C34612" s="94"/>
    </row>
    <row r="34613" spans="3:3" customFormat="1" ht="21.95" customHeight="1" x14ac:dyDescent="0.15"/>
    <row r="34614" spans="3:3" customFormat="1" ht="21.95" customHeight="1" x14ac:dyDescent="0.15"/>
    <row r="34615" spans="3:3" customFormat="1" ht="21.95" customHeight="1" x14ac:dyDescent="0.15"/>
    <row r="34616" spans="3:3" customFormat="1" ht="21.95" customHeight="1" x14ac:dyDescent="0.15"/>
    <row r="34617" spans="3:3" customFormat="1" ht="21.95" customHeight="1" x14ac:dyDescent="0.15"/>
    <row r="34618" spans="3:3" customFormat="1" ht="21.95" customHeight="1" x14ac:dyDescent="0.15"/>
    <row r="34619" spans="3:3" customFormat="1" ht="21.95" customHeight="1" x14ac:dyDescent="0.15"/>
    <row r="34620" spans="3:3" s="76" customFormat="1" ht="21.95" customHeight="1" x14ac:dyDescent="0.15"/>
    <row r="34621" spans="3:3" s="76" customFormat="1" ht="21.95" customHeight="1" x14ac:dyDescent="0.15"/>
    <row r="34622" spans="3:3" s="76" customFormat="1" ht="21.95" customHeight="1" x14ac:dyDescent="0.15"/>
    <row r="34623" spans="3:3" s="76" customFormat="1" ht="21.95" customHeight="1" x14ac:dyDescent="0.15"/>
    <row r="34624" spans="3:3" customFormat="1" ht="21.95" customHeight="1" x14ac:dyDescent="0.15"/>
    <row r="34625" customFormat="1" ht="21.95" customHeight="1" x14ac:dyDescent="0.15"/>
    <row r="34626" customFormat="1" ht="21.95" customHeight="1" x14ac:dyDescent="0.15"/>
    <row r="34627" customFormat="1" ht="21.95" customHeight="1" x14ac:dyDescent="0.15"/>
    <row r="34628" customFormat="1" ht="21.95" customHeight="1" x14ac:dyDescent="0.15"/>
    <row r="34629" customFormat="1" ht="21.95" customHeight="1" x14ac:dyDescent="0.15"/>
    <row r="34630" customFormat="1" ht="21.95" customHeight="1" x14ac:dyDescent="0.15"/>
    <row r="34631" customFormat="1" ht="21.95" customHeight="1" x14ac:dyDescent="0.15"/>
    <row r="34632" customFormat="1" ht="21.95" customHeight="1" x14ac:dyDescent="0.15"/>
    <row r="34633" customFormat="1" ht="21.95" customHeight="1" x14ac:dyDescent="0.15"/>
    <row r="34634" customFormat="1" ht="21.95" customHeight="1" x14ac:dyDescent="0.15"/>
    <row r="34635" customFormat="1" ht="32.1" customHeight="1" x14ac:dyDescent="0.15"/>
    <row r="34636" customFormat="1" ht="32.1" customHeight="1" x14ac:dyDescent="0.15"/>
    <row r="34637" customFormat="1" ht="32.1" customHeight="1" x14ac:dyDescent="0.15"/>
    <row r="34638" customFormat="1" ht="32.1" customHeight="1" x14ac:dyDescent="0.15"/>
    <row r="34639" customFormat="1" ht="32.1" customHeight="1" x14ac:dyDescent="0.15"/>
    <row r="34640" customFormat="1" ht="32.1" customHeight="1" x14ac:dyDescent="0.15"/>
    <row r="34641" s="76" customFormat="1" ht="32.1" customHeight="1" x14ac:dyDescent="0.15"/>
    <row r="34642" s="76" customFormat="1" ht="32.1" customHeight="1" x14ac:dyDescent="0.15"/>
    <row r="34643" s="76" customFormat="1" ht="32.1" customHeight="1" x14ac:dyDescent="0.15"/>
    <row r="34644" s="76" customFormat="1" ht="32.1" customHeight="1" x14ac:dyDescent="0.15"/>
    <row r="34645" s="76" customFormat="1" ht="21.95" customHeight="1" x14ac:dyDescent="0.15"/>
    <row r="34646" s="76" customFormat="1" ht="54" customHeight="1" x14ac:dyDescent="0.15"/>
    <row r="34647" s="76" customFormat="1" ht="21.95" customHeight="1" x14ac:dyDescent="0.15"/>
    <row r="34648" s="76" customFormat="1" ht="21.95" customHeight="1" x14ac:dyDescent="0.15"/>
    <row r="34649" s="76" customFormat="1" ht="21.95" customHeight="1" x14ac:dyDescent="0.15"/>
    <row r="34650" s="76" customFormat="1" ht="21.95" customHeight="1" x14ac:dyDescent="0.15"/>
    <row r="34651" s="76" customFormat="1" ht="21.95" customHeight="1" x14ac:dyDescent="0.15"/>
    <row r="34652" s="76" customFormat="1" ht="21.95" customHeight="1" x14ac:dyDescent="0.15"/>
    <row r="34653" s="76" customFormat="1" ht="21.95" customHeight="1" x14ac:dyDescent="0.15"/>
    <row r="34654" s="76" customFormat="1" ht="21.95" customHeight="1" x14ac:dyDescent="0.15"/>
    <row r="34655" s="76" customFormat="1" ht="21.95" customHeight="1" x14ac:dyDescent="0.15"/>
    <row r="34656" s="76" customFormat="1" ht="21.95" customHeight="1" x14ac:dyDescent="0.15"/>
    <row r="34657" s="76" customFormat="1" ht="21.95" customHeight="1" x14ac:dyDescent="0.15"/>
    <row r="34658" s="76" customFormat="1" ht="21.95" customHeight="1" x14ac:dyDescent="0.15"/>
    <row r="34659" s="76" customFormat="1" ht="21.95" customHeight="1" x14ac:dyDescent="0.15"/>
    <row r="34660" s="76" customFormat="1" ht="21.95" customHeight="1" x14ac:dyDescent="0.15"/>
    <row r="34661" s="76" customFormat="1" ht="21.95" customHeight="1" x14ac:dyDescent="0.15"/>
    <row r="34662" s="76" customFormat="1" ht="21.95" customHeight="1" x14ac:dyDescent="0.15"/>
    <row r="34663" s="76" customFormat="1" ht="21.95" customHeight="1" x14ac:dyDescent="0.15"/>
    <row r="34664" s="76" customFormat="1" ht="21.95" customHeight="1" x14ac:dyDescent="0.15"/>
    <row r="34665" s="76" customFormat="1" ht="21.95" customHeight="1" x14ac:dyDescent="0.15"/>
    <row r="34666" s="76" customFormat="1" ht="21.95" customHeight="1" x14ac:dyDescent="0.15"/>
    <row r="34667" s="76" customFormat="1" ht="21.95" customHeight="1" x14ac:dyDescent="0.15"/>
    <row r="34668" s="76" customFormat="1" ht="21.95" customHeight="1" x14ac:dyDescent="0.15"/>
    <row r="34669" s="76" customFormat="1" ht="21.95" customHeight="1" x14ac:dyDescent="0.15"/>
    <row r="34670" s="76" customFormat="1" ht="21.95" customHeight="1" x14ac:dyDescent="0.15"/>
    <row r="34671" s="76" customFormat="1" ht="21.95" customHeight="1" x14ac:dyDescent="0.15"/>
    <row r="34672" s="76" customFormat="1" ht="21.95" customHeight="1" x14ac:dyDescent="0.15"/>
    <row r="34673" s="76" customFormat="1" ht="21.95" customHeight="1" x14ac:dyDescent="0.15"/>
    <row r="34674" s="76" customFormat="1" ht="21.95" customHeight="1" x14ac:dyDescent="0.15"/>
    <row r="34675" s="76" customFormat="1" ht="21.95" customHeight="1" x14ac:dyDescent="0.15"/>
    <row r="34676" s="76" customFormat="1" ht="21.95" customHeight="1" x14ac:dyDescent="0.15"/>
    <row r="34677" s="76" customFormat="1" ht="21.95" customHeight="1" x14ac:dyDescent="0.15"/>
    <row r="34678" s="76" customFormat="1" ht="21.95" customHeight="1" x14ac:dyDescent="0.15"/>
    <row r="34679" s="76" customFormat="1" ht="21.95" customHeight="1" x14ac:dyDescent="0.15"/>
    <row r="34680" s="76" customFormat="1" ht="21.95" customHeight="1" x14ac:dyDescent="0.15"/>
    <row r="34681" s="76" customFormat="1" ht="21.95" customHeight="1" x14ac:dyDescent="0.15"/>
    <row r="34682" s="76" customFormat="1" ht="21.95" customHeight="1" x14ac:dyDescent="0.15"/>
    <row r="34683" s="76" customFormat="1" ht="21.95" customHeight="1" x14ac:dyDescent="0.15"/>
    <row r="34684" s="76" customFormat="1" ht="21.95" customHeight="1" x14ac:dyDescent="0.15"/>
    <row r="34685" s="76" customFormat="1" ht="21.95" customHeight="1" x14ac:dyDescent="0.15"/>
    <row r="34686" s="76" customFormat="1" ht="21.95" customHeight="1" x14ac:dyDescent="0.15"/>
    <row r="34687" s="76" customFormat="1" ht="21.95" customHeight="1" x14ac:dyDescent="0.15"/>
    <row r="34688" s="76" customFormat="1" ht="21.95" customHeight="1" x14ac:dyDescent="0.15"/>
    <row r="34689" s="76" customFormat="1" ht="21.95" customHeight="1" x14ac:dyDescent="0.15"/>
    <row r="34690" s="76" customFormat="1" ht="21.95" customHeight="1" x14ac:dyDescent="0.15"/>
    <row r="34691" s="76" customFormat="1" ht="21.95" customHeight="1" x14ac:dyDescent="0.15"/>
    <row r="34692" s="76" customFormat="1" ht="21.95" customHeight="1" x14ac:dyDescent="0.15"/>
    <row r="34693" s="76" customFormat="1" ht="21.95" customHeight="1" x14ac:dyDescent="0.15"/>
    <row r="34694" s="76" customFormat="1" ht="21.95" customHeight="1" x14ac:dyDescent="0.15"/>
    <row r="34695" s="76" customFormat="1" ht="21.95" customHeight="1" x14ac:dyDescent="0.15"/>
    <row r="34696" s="76" customFormat="1" ht="21.95" customHeight="1" x14ac:dyDescent="0.15"/>
    <row r="34697" s="76" customFormat="1" ht="35.1" customHeight="1" x14ac:dyDescent="0.15"/>
    <row r="34698" s="76" customFormat="1" ht="21.95" customHeight="1" x14ac:dyDescent="0.15"/>
    <row r="34699" s="76" customFormat="1" ht="21.95" customHeight="1" x14ac:dyDescent="0.15"/>
    <row r="34700" s="76" customFormat="1" ht="21.95" customHeight="1" x14ac:dyDescent="0.15"/>
    <row r="34701" s="76" customFormat="1" ht="21.95" customHeight="1" x14ac:dyDescent="0.15"/>
    <row r="34702" s="76" customFormat="1" ht="21.95" customHeight="1" x14ac:dyDescent="0.15"/>
    <row r="34703" s="76" customFormat="1" ht="21.95" customHeight="1" x14ac:dyDescent="0.15"/>
    <row r="34704" s="76" customFormat="1" ht="21.95" customHeight="1" x14ac:dyDescent="0.15"/>
    <row r="34705" s="76" customFormat="1" ht="21.95" customHeight="1" x14ac:dyDescent="0.15"/>
    <row r="34706" s="76" customFormat="1" ht="21.95" customHeight="1" x14ac:dyDescent="0.15"/>
    <row r="34707" s="76" customFormat="1" ht="21.95" customHeight="1" x14ac:dyDescent="0.15"/>
    <row r="34708" s="76" customFormat="1" ht="21.95" customHeight="1" x14ac:dyDescent="0.15"/>
    <row r="34709" s="76" customFormat="1" ht="21.95" customHeight="1" x14ac:dyDescent="0.15"/>
    <row r="34710" s="76" customFormat="1" ht="21.95" customHeight="1" x14ac:dyDescent="0.15"/>
    <row r="34711" s="76" customFormat="1" ht="21.95" customHeight="1" x14ac:dyDescent="0.15"/>
    <row r="34712" s="76" customFormat="1" ht="21.95" customHeight="1" x14ac:dyDescent="0.15"/>
    <row r="34713" s="76" customFormat="1" ht="21.95" customHeight="1" x14ac:dyDescent="0.15"/>
    <row r="34714" s="76" customFormat="1" ht="21.95" customHeight="1" x14ac:dyDescent="0.15"/>
    <row r="34715" s="76" customFormat="1" ht="21.95" customHeight="1" x14ac:dyDescent="0.15"/>
    <row r="34716" s="76" customFormat="1" ht="21.95" customHeight="1" x14ac:dyDescent="0.15"/>
    <row r="34717" s="76" customFormat="1" ht="21.95" customHeight="1" x14ac:dyDescent="0.15"/>
    <row r="34718" s="76" customFormat="1" ht="21.95" customHeight="1" x14ac:dyDescent="0.15"/>
    <row r="34719" s="76" customFormat="1" ht="21.95" customHeight="1" x14ac:dyDescent="0.15"/>
    <row r="34720" s="76" customFormat="1" ht="21.95" customHeight="1" x14ac:dyDescent="0.15"/>
    <row r="34721" spans="3:3" customFormat="1" ht="21.95" customHeight="1" x14ac:dyDescent="0.15"/>
    <row r="34722" spans="3:3" customFormat="1" ht="21.95" customHeight="1" x14ac:dyDescent="0.15"/>
    <row r="34723" spans="3:3" customFormat="1" ht="21.95" customHeight="1" x14ac:dyDescent="0.15">
      <c r="C34723" s="94"/>
    </row>
    <row r="34724" spans="3:3" customFormat="1" ht="21.95" customHeight="1" x14ac:dyDescent="0.15">
      <c r="C34724" s="94"/>
    </row>
    <row r="34725" spans="3:3" customFormat="1" ht="21.95" customHeight="1" x14ac:dyDescent="0.15"/>
    <row r="34726" spans="3:3" customFormat="1" ht="21.95" customHeight="1" x14ac:dyDescent="0.15"/>
    <row r="34727" spans="3:3" customFormat="1" ht="21.95" customHeight="1" x14ac:dyDescent="0.15"/>
    <row r="34728" spans="3:3" customFormat="1" ht="21.95" customHeight="1" x14ac:dyDescent="0.15"/>
    <row r="34729" spans="3:3" customFormat="1" ht="21.95" customHeight="1" x14ac:dyDescent="0.15"/>
    <row r="34730" spans="3:3" customFormat="1" ht="21.95" customHeight="1" x14ac:dyDescent="0.15"/>
    <row r="34731" spans="3:3" customFormat="1" ht="21.95" customHeight="1" x14ac:dyDescent="0.15"/>
    <row r="34732" spans="3:3" s="76" customFormat="1" ht="21.95" customHeight="1" x14ac:dyDescent="0.15"/>
    <row r="34733" spans="3:3" s="76" customFormat="1" ht="21.95" customHeight="1" x14ac:dyDescent="0.15"/>
    <row r="34734" spans="3:3" s="76" customFormat="1" ht="21.95" customHeight="1" x14ac:dyDescent="0.15"/>
    <row r="34735" spans="3:3" s="76" customFormat="1" ht="21.95" customHeight="1" x14ac:dyDescent="0.15"/>
    <row r="34736" spans="3:3" customFormat="1" ht="21.95" customHeight="1" x14ac:dyDescent="0.15"/>
    <row r="34737" customFormat="1" ht="21.95" customHeight="1" x14ac:dyDescent="0.15"/>
    <row r="34738" customFormat="1" ht="21.95" customHeight="1" x14ac:dyDescent="0.15"/>
    <row r="34739" customFormat="1" ht="21.95" customHeight="1" x14ac:dyDescent="0.15"/>
    <row r="34740" customFormat="1" ht="21.95" customHeight="1" x14ac:dyDescent="0.15"/>
    <row r="34741" customFormat="1" ht="21.95" customHeight="1" x14ac:dyDescent="0.15"/>
    <row r="34742" customFormat="1" ht="21.95" customHeight="1" x14ac:dyDescent="0.15"/>
    <row r="34743" customFormat="1" ht="21.95" customHeight="1" x14ac:dyDescent="0.15"/>
    <row r="34744" customFormat="1" ht="21.95" customHeight="1" x14ac:dyDescent="0.15"/>
    <row r="34745" customFormat="1" ht="21.95" customHeight="1" x14ac:dyDescent="0.15"/>
    <row r="34746" customFormat="1" ht="21.95" customHeight="1" x14ac:dyDescent="0.15"/>
    <row r="34747" customFormat="1" ht="32.1" customHeight="1" x14ac:dyDescent="0.15"/>
    <row r="34748" customFormat="1" ht="32.1" customHeight="1" x14ac:dyDescent="0.15"/>
    <row r="34749" customFormat="1" ht="32.1" customHeight="1" x14ac:dyDescent="0.15"/>
    <row r="34750" customFormat="1" ht="32.1" customHeight="1" x14ac:dyDescent="0.15"/>
    <row r="34751" customFormat="1" ht="32.1" customHeight="1" x14ac:dyDescent="0.15"/>
    <row r="34752" customFormat="1" ht="32.1" customHeight="1" x14ac:dyDescent="0.15"/>
    <row r="34753" s="76" customFormat="1" ht="32.1" customHeight="1" x14ac:dyDescent="0.15"/>
    <row r="34754" s="76" customFormat="1" ht="32.1" customHeight="1" x14ac:dyDescent="0.15"/>
    <row r="34755" s="76" customFormat="1" ht="32.1" customHeight="1" x14ac:dyDescent="0.15"/>
    <row r="34756" s="76" customFormat="1" ht="32.1" customHeight="1" x14ac:dyDescent="0.15"/>
    <row r="34757" s="76" customFormat="1" ht="21.95" customHeight="1" x14ac:dyDescent="0.15"/>
    <row r="34758" s="76" customFormat="1" ht="54" customHeight="1" x14ac:dyDescent="0.15"/>
    <row r="34759" s="76" customFormat="1" ht="21.95" customHeight="1" x14ac:dyDescent="0.15"/>
    <row r="34760" s="76" customFormat="1" ht="21.95" customHeight="1" x14ac:dyDescent="0.15"/>
    <row r="34761" s="76" customFormat="1" ht="21.95" customHeight="1" x14ac:dyDescent="0.15"/>
    <row r="34762" s="76" customFormat="1" ht="21.95" customHeight="1" x14ac:dyDescent="0.15"/>
    <row r="34763" s="76" customFormat="1" ht="21.95" customHeight="1" x14ac:dyDescent="0.15"/>
    <row r="34764" s="76" customFormat="1" ht="21.95" customHeight="1" x14ac:dyDescent="0.15"/>
    <row r="34765" s="76" customFormat="1" ht="21.95" customHeight="1" x14ac:dyDescent="0.15"/>
    <row r="34766" s="76" customFormat="1" ht="21.95" customHeight="1" x14ac:dyDescent="0.15"/>
    <row r="34767" s="76" customFormat="1" ht="21.95" customHeight="1" x14ac:dyDescent="0.15"/>
    <row r="34768" s="76" customFormat="1" ht="21.95" customHeight="1" x14ac:dyDescent="0.15"/>
    <row r="34769" s="76" customFormat="1" ht="21.95" customHeight="1" x14ac:dyDescent="0.15"/>
    <row r="34770" s="76" customFormat="1" ht="21.95" customHeight="1" x14ac:dyDescent="0.15"/>
    <row r="34771" s="76" customFormat="1" ht="21.95" customHeight="1" x14ac:dyDescent="0.15"/>
    <row r="34772" s="76" customFormat="1" ht="21.95" customHeight="1" x14ac:dyDescent="0.15"/>
    <row r="34773" s="76" customFormat="1" ht="21.95" customHeight="1" x14ac:dyDescent="0.15"/>
    <row r="34774" s="76" customFormat="1" ht="21.95" customHeight="1" x14ac:dyDescent="0.15"/>
    <row r="34775" s="76" customFormat="1" ht="21.95" customHeight="1" x14ac:dyDescent="0.15"/>
    <row r="34776" s="76" customFormat="1" ht="21.95" customHeight="1" x14ac:dyDescent="0.15"/>
    <row r="34777" s="76" customFormat="1" ht="21.95" customHeight="1" x14ac:dyDescent="0.15"/>
    <row r="34778" s="76" customFormat="1" ht="21.95" customHeight="1" x14ac:dyDescent="0.15"/>
    <row r="34779" s="76" customFormat="1" ht="21.95" customHeight="1" x14ac:dyDescent="0.15"/>
    <row r="34780" s="76" customFormat="1" ht="21.95" customHeight="1" x14ac:dyDescent="0.15"/>
    <row r="34781" s="76" customFormat="1" ht="21.95" customHeight="1" x14ac:dyDescent="0.15"/>
    <row r="34782" s="76" customFormat="1" ht="21.95" customHeight="1" x14ac:dyDescent="0.15"/>
    <row r="34783" s="76" customFormat="1" ht="21.95" customHeight="1" x14ac:dyDescent="0.15"/>
    <row r="34784" s="76" customFormat="1" ht="21.95" customHeight="1" x14ac:dyDescent="0.15"/>
    <row r="34785" s="76" customFormat="1" ht="21.95" customHeight="1" x14ac:dyDescent="0.15"/>
    <row r="34786" s="76" customFormat="1" ht="21.95" customHeight="1" x14ac:dyDescent="0.15"/>
    <row r="34787" s="76" customFormat="1" ht="21.95" customHeight="1" x14ac:dyDescent="0.15"/>
    <row r="34788" s="76" customFormat="1" ht="21.95" customHeight="1" x14ac:dyDescent="0.15"/>
    <row r="34789" s="76" customFormat="1" ht="21.95" customHeight="1" x14ac:dyDescent="0.15"/>
    <row r="34790" s="76" customFormat="1" ht="21.95" customHeight="1" x14ac:dyDescent="0.15"/>
    <row r="34791" s="76" customFormat="1" ht="21.95" customHeight="1" x14ac:dyDescent="0.15"/>
    <row r="34792" s="76" customFormat="1" ht="21.95" customHeight="1" x14ac:dyDescent="0.15"/>
    <row r="34793" s="76" customFormat="1" ht="21.95" customHeight="1" x14ac:dyDescent="0.15"/>
    <row r="34794" s="76" customFormat="1" ht="21.95" customHeight="1" x14ac:dyDescent="0.15"/>
    <row r="34795" s="76" customFormat="1" ht="21.95" customHeight="1" x14ac:dyDescent="0.15"/>
    <row r="34796" s="76" customFormat="1" ht="21.95" customHeight="1" x14ac:dyDescent="0.15"/>
    <row r="34797" s="76" customFormat="1" ht="21.95" customHeight="1" x14ac:dyDescent="0.15"/>
    <row r="34798" s="76" customFormat="1" ht="21.95" customHeight="1" x14ac:dyDescent="0.15"/>
    <row r="34799" s="76" customFormat="1" ht="21.95" customHeight="1" x14ac:dyDescent="0.15"/>
    <row r="34800" s="76" customFormat="1" ht="21.95" customHeight="1" x14ac:dyDescent="0.15"/>
    <row r="34801" s="76" customFormat="1" ht="21.95" customHeight="1" x14ac:dyDescent="0.15"/>
    <row r="34802" s="76" customFormat="1" ht="21.95" customHeight="1" x14ac:dyDescent="0.15"/>
    <row r="34803" s="76" customFormat="1" ht="21.95" customHeight="1" x14ac:dyDescent="0.15"/>
    <row r="34804" s="76" customFormat="1" ht="21.95" customHeight="1" x14ac:dyDescent="0.15"/>
    <row r="34805" s="76" customFormat="1" ht="21.95" customHeight="1" x14ac:dyDescent="0.15"/>
    <row r="34806" s="76" customFormat="1" ht="21.95" customHeight="1" x14ac:dyDescent="0.15"/>
    <row r="34807" s="76" customFormat="1" ht="21.95" customHeight="1" x14ac:dyDescent="0.15"/>
    <row r="34808" s="76" customFormat="1" ht="21.95" customHeight="1" x14ac:dyDescent="0.15"/>
    <row r="34809" s="76" customFormat="1" ht="35.1" customHeight="1" x14ac:dyDescent="0.15"/>
    <row r="34810" s="76" customFormat="1" ht="21.95" customHeight="1" x14ac:dyDescent="0.15"/>
    <row r="34811" s="76" customFormat="1" ht="21.95" customHeight="1" x14ac:dyDescent="0.15"/>
    <row r="34812" s="76" customFormat="1" ht="21.95" customHeight="1" x14ac:dyDescent="0.15"/>
    <row r="34813" s="76" customFormat="1" ht="21.95" customHeight="1" x14ac:dyDescent="0.15"/>
    <row r="34814" s="76" customFormat="1" ht="21.95" customHeight="1" x14ac:dyDescent="0.15"/>
    <row r="34815" s="76" customFormat="1" ht="21.95" customHeight="1" x14ac:dyDescent="0.15"/>
    <row r="34816" s="76" customFormat="1" ht="21.95" customHeight="1" x14ac:dyDescent="0.15"/>
    <row r="34817" s="76" customFormat="1" ht="21.95" customHeight="1" x14ac:dyDescent="0.15"/>
    <row r="34818" s="76" customFormat="1" ht="21.95" customHeight="1" x14ac:dyDescent="0.15"/>
    <row r="34819" s="76" customFormat="1" ht="21.95" customHeight="1" x14ac:dyDescent="0.15"/>
    <row r="34820" s="76" customFormat="1" ht="21.95" customHeight="1" x14ac:dyDescent="0.15"/>
    <row r="34821" s="76" customFormat="1" ht="21.95" customHeight="1" x14ac:dyDescent="0.15"/>
    <row r="34822" s="76" customFormat="1" ht="21.95" customHeight="1" x14ac:dyDescent="0.15"/>
    <row r="34823" s="76" customFormat="1" ht="21.95" customHeight="1" x14ac:dyDescent="0.15"/>
    <row r="34824" s="76" customFormat="1" ht="21.95" customHeight="1" x14ac:dyDescent="0.15"/>
    <row r="34825" s="76" customFormat="1" ht="21.95" customHeight="1" x14ac:dyDescent="0.15"/>
    <row r="34826" s="76" customFormat="1" ht="21.95" customHeight="1" x14ac:dyDescent="0.15"/>
    <row r="34827" s="76" customFormat="1" ht="21.95" customHeight="1" x14ac:dyDescent="0.15"/>
    <row r="34828" s="76" customFormat="1" ht="21.95" customHeight="1" x14ac:dyDescent="0.15"/>
    <row r="34829" s="76" customFormat="1" ht="21.95" customHeight="1" x14ac:dyDescent="0.15"/>
    <row r="34830" s="76" customFormat="1" ht="21.95" customHeight="1" x14ac:dyDescent="0.15"/>
    <row r="34831" s="76" customFormat="1" ht="21.95" customHeight="1" x14ac:dyDescent="0.15"/>
    <row r="34832" s="76" customFormat="1" ht="21.95" customHeight="1" x14ac:dyDescent="0.15"/>
    <row r="34833" spans="3:3" customFormat="1" ht="21.95" customHeight="1" x14ac:dyDescent="0.15"/>
    <row r="34834" spans="3:3" customFormat="1" ht="21.95" customHeight="1" x14ac:dyDescent="0.15"/>
    <row r="34835" spans="3:3" customFormat="1" ht="21.95" customHeight="1" x14ac:dyDescent="0.15">
      <c r="C34835" s="94"/>
    </row>
    <row r="34836" spans="3:3" customFormat="1" ht="21.95" customHeight="1" x14ac:dyDescent="0.15">
      <c r="C34836" s="94"/>
    </row>
    <row r="34837" spans="3:3" customFormat="1" ht="21.95" customHeight="1" x14ac:dyDescent="0.15"/>
    <row r="34838" spans="3:3" customFormat="1" ht="21.95" customHeight="1" x14ac:dyDescent="0.15"/>
    <row r="34839" spans="3:3" customFormat="1" ht="21.95" customHeight="1" x14ac:dyDescent="0.15"/>
    <row r="34840" spans="3:3" customFormat="1" ht="21.95" customHeight="1" x14ac:dyDescent="0.15"/>
    <row r="34841" spans="3:3" customFormat="1" ht="21.95" customHeight="1" x14ac:dyDescent="0.15"/>
    <row r="34842" spans="3:3" customFormat="1" ht="21.95" customHeight="1" x14ac:dyDescent="0.15"/>
    <row r="34843" spans="3:3" customFormat="1" ht="21.95" customHeight="1" x14ac:dyDescent="0.15"/>
    <row r="34844" spans="3:3" s="76" customFormat="1" ht="21.95" customHeight="1" x14ac:dyDescent="0.15"/>
    <row r="34845" spans="3:3" s="76" customFormat="1" ht="21.95" customHeight="1" x14ac:dyDescent="0.15"/>
    <row r="34846" spans="3:3" s="76" customFormat="1" ht="21.95" customHeight="1" x14ac:dyDescent="0.15"/>
    <row r="34847" spans="3:3" s="76" customFormat="1" ht="21.95" customHeight="1" x14ac:dyDescent="0.15"/>
    <row r="34848" spans="3:3" customFormat="1" ht="21.95" customHeight="1" x14ac:dyDescent="0.15"/>
    <row r="34849" customFormat="1" ht="21.95" customHeight="1" x14ac:dyDescent="0.15"/>
    <row r="34850" customFormat="1" ht="21.95" customHeight="1" x14ac:dyDescent="0.15"/>
    <row r="34851" customFormat="1" ht="21.95" customHeight="1" x14ac:dyDescent="0.15"/>
    <row r="34852" customFormat="1" ht="21.95" customHeight="1" x14ac:dyDescent="0.15"/>
    <row r="34853" customFormat="1" ht="21.95" customHeight="1" x14ac:dyDescent="0.15"/>
    <row r="34854" customFormat="1" ht="21.95" customHeight="1" x14ac:dyDescent="0.15"/>
    <row r="34855" customFormat="1" ht="21.95" customHeight="1" x14ac:dyDescent="0.15"/>
    <row r="34856" customFormat="1" ht="21.95" customHeight="1" x14ac:dyDescent="0.15"/>
    <row r="34857" customFormat="1" ht="21.95" customHeight="1" x14ac:dyDescent="0.15"/>
    <row r="34858" customFormat="1" ht="21.95" customHeight="1" x14ac:dyDescent="0.15"/>
    <row r="34859" customFormat="1" ht="32.1" customHeight="1" x14ac:dyDescent="0.15"/>
    <row r="34860" customFormat="1" ht="32.1" customHeight="1" x14ac:dyDescent="0.15"/>
    <row r="34861" customFormat="1" ht="32.1" customHeight="1" x14ac:dyDescent="0.15"/>
    <row r="34862" customFormat="1" ht="32.1" customHeight="1" x14ac:dyDescent="0.15"/>
    <row r="34863" customFormat="1" ht="32.1" customHeight="1" x14ac:dyDescent="0.15"/>
    <row r="34864" customFormat="1" ht="32.1" customHeight="1" x14ac:dyDescent="0.15"/>
    <row r="34865" s="76" customFormat="1" ht="32.1" customHeight="1" x14ac:dyDescent="0.15"/>
    <row r="34866" s="76" customFormat="1" ht="32.1" customHeight="1" x14ac:dyDescent="0.15"/>
    <row r="34867" s="76" customFormat="1" ht="32.1" customHeight="1" x14ac:dyDescent="0.15"/>
    <row r="34868" s="76" customFormat="1" ht="32.1" customHeight="1" x14ac:dyDescent="0.15"/>
    <row r="34869" s="76" customFormat="1" ht="21.95" customHeight="1" x14ac:dyDescent="0.15"/>
    <row r="34870" s="76" customFormat="1" ht="54" customHeight="1" x14ac:dyDescent="0.15"/>
    <row r="34871" s="76" customFormat="1" ht="21.95" customHeight="1" x14ac:dyDescent="0.15"/>
    <row r="34872" s="76" customFormat="1" ht="21.95" customHeight="1" x14ac:dyDescent="0.15"/>
    <row r="34873" s="76" customFormat="1" ht="21.95" customHeight="1" x14ac:dyDescent="0.15"/>
    <row r="34874" s="76" customFormat="1" ht="21.95" customHeight="1" x14ac:dyDescent="0.15"/>
    <row r="34875" s="76" customFormat="1" ht="21.95" customHeight="1" x14ac:dyDescent="0.15"/>
    <row r="34876" s="76" customFormat="1" ht="21.95" customHeight="1" x14ac:dyDescent="0.15"/>
    <row r="34877" s="76" customFormat="1" ht="21.95" customHeight="1" x14ac:dyDescent="0.15"/>
    <row r="34878" s="76" customFormat="1" ht="21.95" customHeight="1" x14ac:dyDescent="0.15"/>
    <row r="34879" s="76" customFormat="1" ht="21.95" customHeight="1" x14ac:dyDescent="0.15"/>
    <row r="34880" s="76" customFormat="1" ht="21.95" customHeight="1" x14ac:dyDescent="0.15"/>
    <row r="34881" s="76" customFormat="1" ht="21.95" customHeight="1" x14ac:dyDescent="0.15"/>
    <row r="34882" s="76" customFormat="1" ht="21.95" customHeight="1" x14ac:dyDescent="0.15"/>
    <row r="34883" s="76" customFormat="1" ht="21.95" customHeight="1" x14ac:dyDescent="0.15"/>
    <row r="34884" s="76" customFormat="1" ht="21.95" customHeight="1" x14ac:dyDescent="0.15"/>
    <row r="34885" s="76" customFormat="1" ht="21.95" customHeight="1" x14ac:dyDescent="0.15"/>
    <row r="34886" s="76" customFormat="1" ht="21.95" customHeight="1" x14ac:dyDescent="0.15"/>
    <row r="34887" s="76" customFormat="1" ht="21.95" customHeight="1" x14ac:dyDescent="0.15"/>
    <row r="34888" s="76" customFormat="1" ht="21.95" customHeight="1" x14ac:dyDescent="0.15"/>
    <row r="34889" s="76" customFormat="1" ht="21.95" customHeight="1" x14ac:dyDescent="0.15"/>
    <row r="34890" s="76" customFormat="1" ht="21.95" customHeight="1" x14ac:dyDescent="0.15"/>
    <row r="34891" s="76" customFormat="1" ht="21.95" customHeight="1" x14ac:dyDescent="0.15"/>
    <row r="34892" s="76" customFormat="1" ht="21.95" customHeight="1" x14ac:dyDescent="0.15"/>
    <row r="34893" s="76" customFormat="1" ht="21.95" customHeight="1" x14ac:dyDescent="0.15"/>
    <row r="34894" s="76" customFormat="1" ht="21.95" customHeight="1" x14ac:dyDescent="0.15"/>
    <row r="34895" s="76" customFormat="1" ht="21.95" customHeight="1" x14ac:dyDescent="0.15"/>
    <row r="34896" s="76" customFormat="1" ht="21.95" customHeight="1" x14ac:dyDescent="0.15"/>
    <row r="34897" s="76" customFormat="1" ht="21.95" customHeight="1" x14ac:dyDescent="0.15"/>
    <row r="34898" s="76" customFormat="1" ht="21.95" customHeight="1" x14ac:dyDescent="0.15"/>
    <row r="34899" s="76" customFormat="1" ht="21.95" customHeight="1" x14ac:dyDescent="0.15"/>
    <row r="34900" s="76" customFormat="1" ht="21.95" customHeight="1" x14ac:dyDescent="0.15"/>
    <row r="34901" s="76" customFormat="1" ht="21.95" customHeight="1" x14ac:dyDescent="0.15"/>
    <row r="34902" s="76" customFormat="1" ht="21.95" customHeight="1" x14ac:dyDescent="0.15"/>
    <row r="34903" s="76" customFormat="1" ht="21.95" customHeight="1" x14ac:dyDescent="0.15"/>
    <row r="34904" s="76" customFormat="1" ht="21.95" customHeight="1" x14ac:dyDescent="0.15"/>
    <row r="34905" s="76" customFormat="1" ht="21.95" customHeight="1" x14ac:dyDescent="0.15"/>
    <row r="34906" s="76" customFormat="1" ht="21.95" customHeight="1" x14ac:dyDescent="0.15"/>
    <row r="34907" s="76" customFormat="1" ht="21.95" customHeight="1" x14ac:dyDescent="0.15"/>
    <row r="34908" s="76" customFormat="1" ht="21.95" customHeight="1" x14ac:dyDescent="0.15"/>
    <row r="34909" s="76" customFormat="1" ht="21.95" customHeight="1" x14ac:dyDescent="0.15"/>
    <row r="34910" s="76" customFormat="1" ht="21.95" customHeight="1" x14ac:dyDescent="0.15"/>
    <row r="34911" s="76" customFormat="1" ht="21.95" customHeight="1" x14ac:dyDescent="0.15"/>
    <row r="34912" s="76" customFormat="1" ht="21.95" customHeight="1" x14ac:dyDescent="0.15"/>
    <row r="34913" s="76" customFormat="1" ht="21.95" customHeight="1" x14ac:dyDescent="0.15"/>
    <row r="34914" s="76" customFormat="1" ht="21.95" customHeight="1" x14ac:dyDescent="0.15"/>
    <row r="34915" s="76" customFormat="1" ht="21.95" customHeight="1" x14ac:dyDescent="0.15"/>
    <row r="34916" s="76" customFormat="1" ht="21.95" customHeight="1" x14ac:dyDescent="0.15"/>
    <row r="34917" s="76" customFormat="1" ht="21.95" customHeight="1" x14ac:dyDescent="0.15"/>
    <row r="34918" s="76" customFormat="1" ht="21.95" customHeight="1" x14ac:dyDescent="0.15"/>
    <row r="34919" s="76" customFormat="1" ht="21.95" customHeight="1" x14ac:dyDescent="0.15"/>
    <row r="34920" s="76" customFormat="1" ht="21.95" customHeight="1" x14ac:dyDescent="0.15"/>
    <row r="34921" s="76" customFormat="1" ht="35.1" customHeight="1" x14ac:dyDescent="0.15"/>
    <row r="34922" s="76" customFormat="1" ht="21.95" customHeight="1" x14ac:dyDescent="0.15"/>
    <row r="34923" s="76" customFormat="1" ht="21.95" customHeight="1" x14ac:dyDescent="0.15"/>
    <row r="34924" s="76" customFormat="1" ht="21.95" customHeight="1" x14ac:dyDescent="0.15"/>
    <row r="34925" s="76" customFormat="1" ht="21.95" customHeight="1" x14ac:dyDescent="0.15"/>
    <row r="34926" s="76" customFormat="1" ht="21.95" customHeight="1" x14ac:dyDescent="0.15"/>
    <row r="34927" s="76" customFormat="1" ht="21.95" customHeight="1" x14ac:dyDescent="0.15"/>
    <row r="34928" s="76" customFormat="1" ht="21.95" customHeight="1" x14ac:dyDescent="0.15"/>
    <row r="34929" s="76" customFormat="1" ht="21.95" customHeight="1" x14ac:dyDescent="0.15"/>
    <row r="34930" s="76" customFormat="1" ht="21.95" customHeight="1" x14ac:dyDescent="0.15"/>
    <row r="34931" s="76" customFormat="1" ht="21.95" customHeight="1" x14ac:dyDescent="0.15"/>
    <row r="34932" s="76" customFormat="1" ht="21.95" customHeight="1" x14ac:dyDescent="0.15"/>
    <row r="34933" s="76" customFormat="1" ht="21.95" customHeight="1" x14ac:dyDescent="0.15"/>
    <row r="34934" s="76" customFormat="1" ht="21.95" customHeight="1" x14ac:dyDescent="0.15"/>
    <row r="34935" s="76" customFormat="1" ht="21.95" customHeight="1" x14ac:dyDescent="0.15"/>
    <row r="34936" s="76" customFormat="1" ht="21.95" customHeight="1" x14ac:dyDescent="0.15"/>
    <row r="34937" s="76" customFormat="1" ht="21.95" customHeight="1" x14ac:dyDescent="0.15"/>
    <row r="34938" s="76" customFormat="1" ht="21.95" customHeight="1" x14ac:dyDescent="0.15"/>
    <row r="34939" s="76" customFormat="1" ht="21.95" customHeight="1" x14ac:dyDescent="0.15"/>
    <row r="34940" s="76" customFormat="1" ht="21.95" customHeight="1" x14ac:dyDescent="0.15"/>
    <row r="34941" s="76" customFormat="1" ht="21.95" customHeight="1" x14ac:dyDescent="0.15"/>
    <row r="34942" s="76" customFormat="1" ht="21.95" customHeight="1" x14ac:dyDescent="0.15"/>
    <row r="34943" s="76" customFormat="1" ht="21.95" customHeight="1" x14ac:dyDescent="0.15"/>
    <row r="34944" s="76" customFormat="1" ht="21.95" customHeight="1" x14ac:dyDescent="0.15"/>
    <row r="34945" spans="3:3" customFormat="1" ht="21.95" customHeight="1" x14ac:dyDescent="0.15"/>
    <row r="34946" spans="3:3" customFormat="1" ht="21.95" customHeight="1" x14ac:dyDescent="0.15"/>
    <row r="34947" spans="3:3" customFormat="1" ht="21.95" customHeight="1" x14ac:dyDescent="0.15">
      <c r="C34947" s="94"/>
    </row>
    <row r="34948" spans="3:3" customFormat="1" ht="21.95" customHeight="1" x14ac:dyDescent="0.15">
      <c r="C34948" s="94"/>
    </row>
    <row r="34949" spans="3:3" customFormat="1" ht="21.95" customHeight="1" x14ac:dyDescent="0.15"/>
    <row r="34950" spans="3:3" customFormat="1" ht="21.95" customHeight="1" x14ac:dyDescent="0.15"/>
    <row r="34951" spans="3:3" customFormat="1" ht="21.95" customHeight="1" x14ac:dyDescent="0.15"/>
    <row r="34952" spans="3:3" customFormat="1" ht="21.95" customHeight="1" x14ac:dyDescent="0.15"/>
    <row r="34953" spans="3:3" customFormat="1" ht="21.95" customHeight="1" x14ac:dyDescent="0.15"/>
    <row r="34954" spans="3:3" customFormat="1" ht="21.95" customHeight="1" x14ac:dyDescent="0.15"/>
    <row r="34955" spans="3:3" customFormat="1" ht="21.95" customHeight="1" x14ac:dyDescent="0.15"/>
    <row r="34956" spans="3:3" s="76" customFormat="1" ht="21.95" customHeight="1" x14ac:dyDescent="0.15"/>
    <row r="34957" spans="3:3" s="76" customFormat="1" ht="21.95" customHeight="1" x14ac:dyDescent="0.15"/>
    <row r="34958" spans="3:3" s="76" customFormat="1" ht="21.95" customHeight="1" x14ac:dyDescent="0.15"/>
    <row r="34959" spans="3:3" s="76" customFormat="1" ht="21.95" customHeight="1" x14ac:dyDescent="0.15"/>
    <row r="34960" spans="3:3" customFormat="1" ht="21.95" customHeight="1" x14ac:dyDescent="0.15"/>
    <row r="34961" customFormat="1" ht="21.95" customHeight="1" x14ac:dyDescent="0.15"/>
    <row r="34962" customFormat="1" ht="21.95" customHeight="1" x14ac:dyDescent="0.15"/>
    <row r="34963" customFormat="1" ht="21.95" customHeight="1" x14ac:dyDescent="0.15"/>
    <row r="34964" customFormat="1" ht="21.95" customHeight="1" x14ac:dyDescent="0.15"/>
    <row r="34965" customFormat="1" ht="21.95" customHeight="1" x14ac:dyDescent="0.15"/>
    <row r="34966" customFormat="1" ht="21.95" customHeight="1" x14ac:dyDescent="0.15"/>
    <row r="34967" customFormat="1" ht="21.95" customHeight="1" x14ac:dyDescent="0.15"/>
    <row r="34968" customFormat="1" ht="21.95" customHeight="1" x14ac:dyDescent="0.15"/>
    <row r="34969" customFormat="1" ht="21.95" customHeight="1" x14ac:dyDescent="0.15"/>
    <row r="34970" customFormat="1" ht="21.95" customHeight="1" x14ac:dyDescent="0.15"/>
    <row r="34971" customFormat="1" ht="32.1" customHeight="1" x14ac:dyDescent="0.15"/>
    <row r="34972" customFormat="1" ht="32.1" customHeight="1" x14ac:dyDescent="0.15"/>
    <row r="34973" customFormat="1" ht="32.1" customHeight="1" x14ac:dyDescent="0.15"/>
    <row r="34974" customFormat="1" ht="32.1" customHeight="1" x14ac:dyDescent="0.15"/>
    <row r="34975" customFormat="1" ht="32.1" customHeight="1" x14ac:dyDescent="0.15"/>
    <row r="34976" customFormat="1" ht="32.1" customHeight="1" x14ac:dyDescent="0.15"/>
    <row r="34977" s="76" customFormat="1" ht="32.1" customHeight="1" x14ac:dyDescent="0.15"/>
    <row r="34978" s="76" customFormat="1" ht="32.1" customHeight="1" x14ac:dyDescent="0.15"/>
    <row r="34979" s="76" customFormat="1" ht="32.1" customHeight="1" x14ac:dyDescent="0.15"/>
    <row r="34980" s="76" customFormat="1" ht="32.1" customHeight="1" x14ac:dyDescent="0.15"/>
    <row r="34981" s="76" customFormat="1" ht="21.95" customHeight="1" x14ac:dyDescent="0.15"/>
    <row r="34982" s="76" customFormat="1" ht="54" customHeight="1" x14ac:dyDescent="0.15"/>
    <row r="34983" s="76" customFormat="1" ht="21.95" customHeight="1" x14ac:dyDescent="0.15"/>
    <row r="34984" s="76" customFormat="1" ht="21.95" customHeight="1" x14ac:dyDescent="0.15"/>
    <row r="34985" s="76" customFormat="1" ht="21.95" customHeight="1" x14ac:dyDescent="0.15"/>
    <row r="34986" s="76" customFormat="1" ht="21.95" customHeight="1" x14ac:dyDescent="0.15"/>
    <row r="34987" s="76" customFormat="1" ht="21.95" customHeight="1" x14ac:dyDescent="0.15"/>
    <row r="34988" s="76" customFormat="1" ht="21.95" customHeight="1" x14ac:dyDescent="0.15"/>
    <row r="34989" s="76" customFormat="1" ht="21.95" customHeight="1" x14ac:dyDescent="0.15"/>
    <row r="34990" s="76" customFormat="1" ht="21.95" customHeight="1" x14ac:dyDescent="0.15"/>
    <row r="34991" s="76" customFormat="1" ht="21.95" customHeight="1" x14ac:dyDescent="0.15"/>
    <row r="34992" s="76" customFormat="1" ht="21.95" customHeight="1" x14ac:dyDescent="0.15"/>
    <row r="34993" s="76" customFormat="1" ht="21.95" customHeight="1" x14ac:dyDescent="0.15"/>
    <row r="34994" s="76" customFormat="1" ht="21.95" customHeight="1" x14ac:dyDescent="0.15"/>
    <row r="34995" s="76" customFormat="1" ht="21.95" customHeight="1" x14ac:dyDescent="0.15"/>
    <row r="34996" s="76" customFormat="1" ht="21.95" customHeight="1" x14ac:dyDescent="0.15"/>
    <row r="34997" s="76" customFormat="1" ht="21.95" customHeight="1" x14ac:dyDescent="0.15"/>
    <row r="34998" s="76" customFormat="1" ht="21.95" customHeight="1" x14ac:dyDescent="0.15"/>
    <row r="34999" s="76" customFormat="1" ht="21.95" customHeight="1" x14ac:dyDescent="0.15"/>
    <row r="35000" s="76" customFormat="1" ht="21.95" customHeight="1" x14ac:dyDescent="0.15"/>
    <row r="35001" s="76" customFormat="1" ht="21.95" customHeight="1" x14ac:dyDescent="0.15"/>
    <row r="35002" s="76" customFormat="1" ht="21.95" customHeight="1" x14ac:dyDescent="0.15"/>
    <row r="35003" s="76" customFormat="1" ht="21.95" customHeight="1" x14ac:dyDescent="0.15"/>
    <row r="35004" s="76" customFormat="1" ht="21.95" customHeight="1" x14ac:dyDescent="0.15"/>
    <row r="35005" s="76" customFormat="1" ht="21.95" customHeight="1" x14ac:dyDescent="0.15"/>
    <row r="35006" s="76" customFormat="1" ht="21.95" customHeight="1" x14ac:dyDescent="0.15"/>
    <row r="35007" s="76" customFormat="1" ht="21.95" customHeight="1" x14ac:dyDescent="0.15"/>
    <row r="35008" s="76" customFormat="1" ht="21.95" customHeight="1" x14ac:dyDescent="0.15"/>
    <row r="35009" s="76" customFormat="1" ht="21.95" customHeight="1" x14ac:dyDescent="0.15"/>
    <row r="35010" s="76" customFormat="1" ht="21.95" customHeight="1" x14ac:dyDescent="0.15"/>
    <row r="35011" s="76" customFormat="1" ht="21.95" customHeight="1" x14ac:dyDescent="0.15"/>
    <row r="35012" s="76" customFormat="1" ht="21.95" customHeight="1" x14ac:dyDescent="0.15"/>
    <row r="35013" s="76" customFormat="1" ht="21.95" customHeight="1" x14ac:dyDescent="0.15"/>
    <row r="35014" s="76" customFormat="1" ht="21.95" customHeight="1" x14ac:dyDescent="0.15"/>
    <row r="35015" s="76" customFormat="1" ht="21.95" customHeight="1" x14ac:dyDescent="0.15"/>
    <row r="35016" s="76" customFormat="1" ht="21.95" customHeight="1" x14ac:dyDescent="0.15"/>
    <row r="35017" s="76" customFormat="1" ht="21.95" customHeight="1" x14ac:dyDescent="0.15"/>
    <row r="35018" s="76" customFormat="1" ht="21.95" customHeight="1" x14ac:dyDescent="0.15"/>
    <row r="35019" s="76" customFormat="1" ht="21.95" customHeight="1" x14ac:dyDescent="0.15"/>
    <row r="35020" s="76" customFormat="1" ht="21.95" customHeight="1" x14ac:dyDescent="0.15"/>
    <row r="35021" s="76" customFormat="1" ht="21.95" customHeight="1" x14ac:dyDescent="0.15"/>
    <row r="35022" s="76" customFormat="1" ht="21.95" customHeight="1" x14ac:dyDescent="0.15"/>
    <row r="35023" s="76" customFormat="1" ht="21.95" customHeight="1" x14ac:dyDescent="0.15"/>
    <row r="35024" s="76" customFormat="1" ht="21.95" customHeight="1" x14ac:dyDescent="0.15"/>
    <row r="35025" s="76" customFormat="1" ht="21.95" customHeight="1" x14ac:dyDescent="0.15"/>
    <row r="35026" s="76" customFormat="1" ht="21.95" customHeight="1" x14ac:dyDescent="0.15"/>
    <row r="35027" s="76" customFormat="1" ht="21.95" customHeight="1" x14ac:dyDescent="0.15"/>
    <row r="35028" s="76" customFormat="1" ht="21.95" customHeight="1" x14ac:dyDescent="0.15"/>
    <row r="35029" s="76" customFormat="1" ht="21.95" customHeight="1" x14ac:dyDescent="0.15"/>
    <row r="35030" s="76" customFormat="1" ht="21.95" customHeight="1" x14ac:dyDescent="0.15"/>
    <row r="35031" s="76" customFormat="1" ht="21.95" customHeight="1" x14ac:dyDescent="0.15"/>
    <row r="35032" s="76" customFormat="1" ht="21.95" customHeight="1" x14ac:dyDescent="0.15"/>
    <row r="35033" s="76" customFormat="1" ht="35.1" customHeight="1" x14ac:dyDescent="0.15"/>
    <row r="35034" s="76" customFormat="1" ht="21.95" customHeight="1" x14ac:dyDescent="0.15"/>
    <row r="35035" s="76" customFormat="1" ht="21.95" customHeight="1" x14ac:dyDescent="0.15"/>
    <row r="35036" s="76" customFormat="1" ht="21.95" customHeight="1" x14ac:dyDescent="0.15"/>
    <row r="35037" s="76" customFormat="1" ht="21.95" customHeight="1" x14ac:dyDescent="0.15"/>
    <row r="35038" s="76" customFormat="1" ht="21.95" customHeight="1" x14ac:dyDescent="0.15"/>
    <row r="35039" s="76" customFormat="1" ht="21.95" customHeight="1" x14ac:dyDescent="0.15"/>
    <row r="35040" s="76" customFormat="1" ht="21.95" customHeight="1" x14ac:dyDescent="0.15"/>
    <row r="35041" s="76" customFormat="1" ht="21.95" customHeight="1" x14ac:dyDescent="0.15"/>
    <row r="35042" s="76" customFormat="1" ht="21.95" customHeight="1" x14ac:dyDescent="0.15"/>
    <row r="35043" s="76" customFormat="1" ht="21.95" customHeight="1" x14ac:dyDescent="0.15"/>
    <row r="35044" s="76" customFormat="1" ht="21.95" customHeight="1" x14ac:dyDescent="0.15"/>
    <row r="35045" s="76" customFormat="1" ht="21.95" customHeight="1" x14ac:dyDescent="0.15"/>
    <row r="35046" s="76" customFormat="1" ht="21.95" customHeight="1" x14ac:dyDescent="0.15"/>
    <row r="35047" s="76" customFormat="1" ht="21.95" customHeight="1" x14ac:dyDescent="0.15"/>
    <row r="35048" s="76" customFormat="1" ht="21.95" customHeight="1" x14ac:dyDescent="0.15"/>
    <row r="35049" s="76" customFormat="1" ht="21.95" customHeight="1" x14ac:dyDescent="0.15"/>
    <row r="35050" s="76" customFormat="1" ht="21.95" customHeight="1" x14ac:dyDescent="0.15"/>
    <row r="35051" s="76" customFormat="1" ht="21.95" customHeight="1" x14ac:dyDescent="0.15"/>
    <row r="35052" s="76" customFormat="1" ht="21.95" customHeight="1" x14ac:dyDescent="0.15"/>
    <row r="35053" s="76" customFormat="1" ht="21.95" customHeight="1" x14ac:dyDescent="0.15"/>
    <row r="35054" s="76" customFormat="1" ht="21.95" customHeight="1" x14ac:dyDescent="0.15"/>
    <row r="35055" s="76" customFormat="1" ht="21.95" customHeight="1" x14ac:dyDescent="0.15"/>
    <row r="35056" s="76" customFormat="1" ht="21.95" customHeight="1" x14ac:dyDescent="0.15"/>
    <row r="35057" spans="3:3" customFormat="1" ht="21.95" customHeight="1" x14ac:dyDescent="0.15"/>
    <row r="35058" spans="3:3" customFormat="1" ht="21.95" customHeight="1" x14ac:dyDescent="0.15"/>
    <row r="35059" spans="3:3" customFormat="1" ht="21.95" customHeight="1" x14ac:dyDescent="0.15">
      <c r="C35059" s="94"/>
    </row>
    <row r="35060" spans="3:3" customFormat="1" ht="21.95" customHeight="1" x14ac:dyDescent="0.15">
      <c r="C35060" s="94"/>
    </row>
    <row r="35061" spans="3:3" customFormat="1" ht="21.95" customHeight="1" x14ac:dyDescent="0.15"/>
    <row r="35062" spans="3:3" customFormat="1" ht="21.95" customHeight="1" x14ac:dyDescent="0.15"/>
    <row r="35063" spans="3:3" customFormat="1" ht="21.95" customHeight="1" x14ac:dyDescent="0.15"/>
    <row r="35064" spans="3:3" customFormat="1" ht="21.95" customHeight="1" x14ac:dyDescent="0.15"/>
    <row r="35065" spans="3:3" customFormat="1" ht="21.95" customHeight="1" x14ac:dyDescent="0.15"/>
    <row r="35066" spans="3:3" customFormat="1" ht="21.95" customHeight="1" x14ac:dyDescent="0.15"/>
    <row r="35067" spans="3:3" customFormat="1" ht="21.95" customHeight="1" x14ac:dyDescent="0.15"/>
    <row r="35068" spans="3:3" s="76" customFormat="1" ht="21.95" customHeight="1" x14ac:dyDescent="0.15"/>
    <row r="35069" spans="3:3" s="76" customFormat="1" ht="21.95" customHeight="1" x14ac:dyDescent="0.15"/>
    <row r="35070" spans="3:3" s="76" customFormat="1" ht="21.95" customHeight="1" x14ac:dyDescent="0.15"/>
    <row r="35071" spans="3:3" s="76" customFormat="1" ht="21.95" customHeight="1" x14ac:dyDescent="0.15"/>
    <row r="35072" spans="3:3" customFormat="1" ht="21.95" customHeight="1" x14ac:dyDescent="0.15"/>
    <row r="35073" customFormat="1" ht="21.95" customHeight="1" x14ac:dyDescent="0.15"/>
    <row r="35074" customFormat="1" ht="21.95" customHeight="1" x14ac:dyDescent="0.15"/>
    <row r="35075" customFormat="1" ht="21.95" customHeight="1" x14ac:dyDescent="0.15"/>
    <row r="35076" customFormat="1" ht="21.95" customHeight="1" x14ac:dyDescent="0.15"/>
    <row r="35077" customFormat="1" ht="21.95" customHeight="1" x14ac:dyDescent="0.15"/>
    <row r="35078" customFormat="1" ht="21.95" customHeight="1" x14ac:dyDescent="0.15"/>
    <row r="35079" customFormat="1" ht="21.95" customHeight="1" x14ac:dyDescent="0.15"/>
    <row r="35080" customFormat="1" ht="21.95" customHeight="1" x14ac:dyDescent="0.15"/>
    <row r="35081" customFormat="1" ht="21.95" customHeight="1" x14ac:dyDescent="0.15"/>
    <row r="35082" customFormat="1" ht="21.95" customHeight="1" x14ac:dyDescent="0.15"/>
    <row r="35083" customFormat="1" ht="32.1" customHeight="1" x14ac:dyDescent="0.15"/>
    <row r="35084" customFormat="1" ht="32.1" customHeight="1" x14ac:dyDescent="0.15"/>
    <row r="35085" customFormat="1" ht="32.1" customHeight="1" x14ac:dyDescent="0.15"/>
    <row r="35086" customFormat="1" ht="32.1" customHeight="1" x14ac:dyDescent="0.15"/>
    <row r="35087" customFormat="1" ht="32.1" customHeight="1" x14ac:dyDescent="0.15"/>
    <row r="35088" customFormat="1" ht="32.1" customHeight="1" x14ac:dyDescent="0.15"/>
    <row r="35089" s="76" customFormat="1" ht="32.1" customHeight="1" x14ac:dyDescent="0.15"/>
    <row r="35090" s="76" customFormat="1" ht="32.1" customHeight="1" x14ac:dyDescent="0.15"/>
    <row r="35091" s="76" customFormat="1" ht="32.1" customHeight="1" x14ac:dyDescent="0.15"/>
    <row r="35092" s="76" customFormat="1" ht="32.1" customHeight="1" x14ac:dyDescent="0.15"/>
    <row r="35093" s="76" customFormat="1" ht="21.95" customHeight="1" x14ac:dyDescent="0.15"/>
    <row r="35094" s="76" customFormat="1" ht="54" customHeight="1" x14ac:dyDescent="0.15"/>
    <row r="35095" s="76" customFormat="1" ht="21.95" customHeight="1" x14ac:dyDescent="0.15"/>
    <row r="35096" s="76" customFormat="1" ht="21.95" customHeight="1" x14ac:dyDescent="0.15"/>
    <row r="35097" s="76" customFormat="1" ht="21.95" customHeight="1" x14ac:dyDescent="0.15"/>
    <row r="35098" s="76" customFormat="1" ht="21.95" customHeight="1" x14ac:dyDescent="0.15"/>
    <row r="35099" s="76" customFormat="1" ht="21.95" customHeight="1" x14ac:dyDescent="0.15"/>
    <row r="35100" s="76" customFormat="1" ht="21.95" customHeight="1" x14ac:dyDescent="0.15"/>
    <row r="35101" s="76" customFormat="1" ht="21.95" customHeight="1" x14ac:dyDescent="0.15"/>
    <row r="35102" s="76" customFormat="1" ht="21.95" customHeight="1" x14ac:dyDescent="0.15"/>
    <row r="35103" s="76" customFormat="1" ht="21.95" customHeight="1" x14ac:dyDescent="0.15"/>
    <row r="35104" s="76" customFormat="1" ht="21.95" customHeight="1" x14ac:dyDescent="0.15"/>
    <row r="35105" s="76" customFormat="1" ht="21.95" customHeight="1" x14ac:dyDescent="0.15"/>
    <row r="35106" s="76" customFormat="1" ht="21.95" customHeight="1" x14ac:dyDescent="0.15"/>
    <row r="35107" s="76" customFormat="1" ht="21.95" customHeight="1" x14ac:dyDescent="0.15"/>
    <row r="35108" s="76" customFormat="1" ht="21.95" customHeight="1" x14ac:dyDescent="0.15"/>
    <row r="35109" s="76" customFormat="1" ht="21.95" customHeight="1" x14ac:dyDescent="0.15"/>
    <row r="35110" s="76" customFormat="1" ht="21.95" customHeight="1" x14ac:dyDescent="0.15"/>
    <row r="35111" s="76" customFormat="1" ht="21.95" customHeight="1" x14ac:dyDescent="0.15"/>
    <row r="35112" s="76" customFormat="1" ht="21.95" customHeight="1" x14ac:dyDescent="0.15"/>
    <row r="35113" s="76" customFormat="1" ht="21.95" customHeight="1" x14ac:dyDescent="0.15"/>
    <row r="35114" s="76" customFormat="1" ht="21.95" customHeight="1" x14ac:dyDescent="0.15"/>
    <row r="35115" s="76" customFormat="1" ht="21.95" customHeight="1" x14ac:dyDescent="0.15"/>
    <row r="35116" s="76" customFormat="1" ht="21.95" customHeight="1" x14ac:dyDescent="0.15"/>
    <row r="35117" s="76" customFormat="1" ht="21.95" customHeight="1" x14ac:dyDescent="0.15"/>
    <row r="35118" s="76" customFormat="1" ht="21.95" customHeight="1" x14ac:dyDescent="0.15"/>
    <row r="35119" s="76" customFormat="1" ht="21.95" customHeight="1" x14ac:dyDescent="0.15"/>
    <row r="35120" s="76" customFormat="1" ht="21.95" customHeight="1" x14ac:dyDescent="0.15"/>
    <row r="35121" s="76" customFormat="1" ht="21.95" customHeight="1" x14ac:dyDescent="0.15"/>
    <row r="35122" s="76" customFormat="1" ht="21.95" customHeight="1" x14ac:dyDescent="0.15"/>
    <row r="35123" s="76" customFormat="1" ht="21.95" customHeight="1" x14ac:dyDescent="0.15"/>
    <row r="35124" s="76" customFormat="1" ht="21.95" customHeight="1" x14ac:dyDescent="0.15"/>
    <row r="35125" s="76" customFormat="1" ht="21.95" customHeight="1" x14ac:dyDescent="0.15"/>
    <row r="35126" s="76" customFormat="1" ht="21.95" customHeight="1" x14ac:dyDescent="0.15"/>
    <row r="35127" s="76" customFormat="1" ht="21.95" customHeight="1" x14ac:dyDescent="0.15"/>
    <row r="35128" s="76" customFormat="1" ht="21.95" customHeight="1" x14ac:dyDescent="0.15"/>
    <row r="35129" s="76" customFormat="1" ht="21.95" customHeight="1" x14ac:dyDescent="0.15"/>
    <row r="35130" s="76" customFormat="1" ht="21.95" customHeight="1" x14ac:dyDescent="0.15"/>
    <row r="35131" s="76" customFormat="1" ht="21.95" customHeight="1" x14ac:dyDescent="0.15"/>
    <row r="35132" s="76" customFormat="1" ht="21.95" customHeight="1" x14ac:dyDescent="0.15"/>
    <row r="35133" s="76" customFormat="1" ht="21.95" customHeight="1" x14ac:dyDescent="0.15"/>
    <row r="35134" s="76" customFormat="1" ht="21.95" customHeight="1" x14ac:dyDescent="0.15"/>
    <row r="35135" s="76" customFormat="1" ht="21.95" customHeight="1" x14ac:dyDescent="0.15"/>
    <row r="35136" s="76" customFormat="1" ht="21.95" customHeight="1" x14ac:dyDescent="0.15"/>
    <row r="35137" s="76" customFormat="1" ht="21.95" customHeight="1" x14ac:dyDescent="0.15"/>
    <row r="35138" s="76" customFormat="1" ht="21.95" customHeight="1" x14ac:dyDescent="0.15"/>
    <row r="35139" s="76" customFormat="1" ht="21.95" customHeight="1" x14ac:dyDescent="0.15"/>
    <row r="35140" s="76" customFormat="1" ht="21.95" customHeight="1" x14ac:dyDescent="0.15"/>
    <row r="35141" s="76" customFormat="1" ht="21.95" customHeight="1" x14ac:dyDescent="0.15"/>
    <row r="35142" s="76" customFormat="1" ht="21.95" customHeight="1" x14ac:dyDescent="0.15"/>
    <row r="35143" s="76" customFormat="1" ht="21.95" customHeight="1" x14ac:dyDescent="0.15"/>
    <row r="35144" s="76" customFormat="1" ht="21.95" customHeight="1" x14ac:dyDescent="0.15"/>
    <row r="35145" s="76" customFormat="1" ht="35.1" customHeight="1" x14ac:dyDescent="0.15"/>
    <row r="35146" s="76" customFormat="1" ht="21.95" customHeight="1" x14ac:dyDescent="0.15"/>
    <row r="35147" s="76" customFormat="1" ht="21.95" customHeight="1" x14ac:dyDescent="0.15"/>
    <row r="35148" s="76" customFormat="1" ht="21.95" customHeight="1" x14ac:dyDescent="0.15"/>
    <row r="35149" s="76" customFormat="1" ht="21.95" customHeight="1" x14ac:dyDescent="0.15"/>
    <row r="35150" s="76" customFormat="1" ht="21.95" customHeight="1" x14ac:dyDescent="0.15"/>
    <row r="35151" s="76" customFormat="1" ht="21.95" customHeight="1" x14ac:dyDescent="0.15"/>
    <row r="35152" s="76" customFormat="1" ht="21.95" customHeight="1" x14ac:dyDescent="0.15"/>
    <row r="35153" s="76" customFormat="1" ht="21.95" customHeight="1" x14ac:dyDescent="0.15"/>
    <row r="35154" s="76" customFormat="1" ht="21.95" customHeight="1" x14ac:dyDescent="0.15"/>
    <row r="35155" s="76" customFormat="1" ht="21.95" customHeight="1" x14ac:dyDescent="0.15"/>
    <row r="35156" s="76" customFormat="1" ht="21.95" customHeight="1" x14ac:dyDescent="0.15"/>
    <row r="35157" s="76" customFormat="1" ht="21.95" customHeight="1" x14ac:dyDescent="0.15"/>
    <row r="35158" s="76" customFormat="1" ht="21.95" customHeight="1" x14ac:dyDescent="0.15"/>
    <row r="35159" s="76" customFormat="1" ht="21.95" customHeight="1" x14ac:dyDescent="0.15"/>
    <row r="35160" s="76" customFormat="1" ht="21.95" customHeight="1" x14ac:dyDescent="0.15"/>
    <row r="35161" s="76" customFormat="1" ht="21.95" customHeight="1" x14ac:dyDescent="0.15"/>
    <row r="35162" s="76" customFormat="1" ht="21.95" customHeight="1" x14ac:dyDescent="0.15"/>
    <row r="35163" s="76" customFormat="1" ht="21.95" customHeight="1" x14ac:dyDescent="0.15"/>
    <row r="35164" s="76" customFormat="1" ht="21.95" customHeight="1" x14ac:dyDescent="0.15"/>
    <row r="35165" s="76" customFormat="1" ht="21.95" customHeight="1" x14ac:dyDescent="0.15"/>
    <row r="35166" s="76" customFormat="1" ht="21.95" customHeight="1" x14ac:dyDescent="0.15"/>
    <row r="35167" s="76" customFormat="1" ht="21.95" customHeight="1" x14ac:dyDescent="0.15"/>
    <row r="35168" s="76" customFormat="1" ht="21.95" customHeight="1" x14ac:dyDescent="0.15"/>
    <row r="35169" spans="3:3" customFormat="1" ht="21.95" customHeight="1" x14ac:dyDescent="0.15"/>
    <row r="35170" spans="3:3" customFormat="1" ht="21.95" customHeight="1" x14ac:dyDescent="0.15"/>
    <row r="35171" spans="3:3" customFormat="1" ht="21.95" customHeight="1" x14ac:dyDescent="0.15">
      <c r="C35171" s="94"/>
    </row>
    <row r="35172" spans="3:3" customFormat="1" ht="21.95" customHeight="1" x14ac:dyDescent="0.15">
      <c r="C35172" s="94"/>
    </row>
    <row r="35173" spans="3:3" customFormat="1" ht="21.95" customHeight="1" x14ac:dyDescent="0.15"/>
    <row r="35174" spans="3:3" customFormat="1" ht="21.95" customHeight="1" x14ac:dyDescent="0.15"/>
    <row r="35175" spans="3:3" customFormat="1" ht="21.95" customHeight="1" x14ac:dyDescent="0.15"/>
    <row r="35176" spans="3:3" customFormat="1" ht="21.95" customHeight="1" x14ac:dyDescent="0.15"/>
    <row r="35177" spans="3:3" customFormat="1" ht="21.95" customHeight="1" x14ac:dyDescent="0.15"/>
    <row r="35178" spans="3:3" customFormat="1" ht="21.95" customHeight="1" x14ac:dyDescent="0.15"/>
    <row r="35179" spans="3:3" customFormat="1" ht="21.95" customHeight="1" x14ac:dyDescent="0.15"/>
    <row r="35180" spans="3:3" s="76" customFormat="1" ht="21.95" customHeight="1" x14ac:dyDescent="0.15"/>
    <row r="35181" spans="3:3" s="76" customFormat="1" ht="21.95" customHeight="1" x14ac:dyDescent="0.15"/>
    <row r="35182" spans="3:3" s="76" customFormat="1" ht="21.95" customHeight="1" x14ac:dyDescent="0.15"/>
    <row r="35183" spans="3:3" s="76" customFormat="1" ht="21.95" customHeight="1" x14ac:dyDescent="0.15"/>
    <row r="35184" spans="3:3" customFormat="1" ht="21.95" customHeight="1" x14ac:dyDescent="0.15"/>
    <row r="35185" customFormat="1" ht="21.95" customHeight="1" x14ac:dyDescent="0.15"/>
    <row r="35186" customFormat="1" ht="21.95" customHeight="1" x14ac:dyDescent="0.15"/>
    <row r="35187" customFormat="1" ht="21.95" customHeight="1" x14ac:dyDescent="0.15"/>
    <row r="35188" customFormat="1" ht="21.95" customHeight="1" x14ac:dyDescent="0.15"/>
    <row r="35189" customFormat="1" ht="21.95" customHeight="1" x14ac:dyDescent="0.15"/>
    <row r="35190" customFormat="1" ht="21.95" customHeight="1" x14ac:dyDescent="0.15"/>
    <row r="35191" customFormat="1" ht="21.95" customHeight="1" x14ac:dyDescent="0.15"/>
    <row r="35192" customFormat="1" ht="21.95" customHeight="1" x14ac:dyDescent="0.15"/>
    <row r="35193" customFormat="1" ht="21.95" customHeight="1" x14ac:dyDescent="0.15"/>
    <row r="35194" customFormat="1" ht="21.95" customHeight="1" x14ac:dyDescent="0.15"/>
    <row r="35195" customFormat="1" ht="32.1" customHeight="1" x14ac:dyDescent="0.15"/>
    <row r="35196" customFormat="1" ht="32.1" customHeight="1" x14ac:dyDescent="0.15"/>
    <row r="35197" customFormat="1" ht="32.1" customHeight="1" x14ac:dyDescent="0.15"/>
    <row r="35198" customFormat="1" ht="32.1" customHeight="1" x14ac:dyDescent="0.15"/>
    <row r="35199" customFormat="1" ht="32.1" customHeight="1" x14ac:dyDescent="0.15"/>
    <row r="35200" customFormat="1" ht="32.1" customHeight="1" x14ac:dyDescent="0.15"/>
    <row r="35201" s="76" customFormat="1" ht="32.1" customHeight="1" x14ac:dyDescent="0.15"/>
    <row r="35202" s="76" customFormat="1" ht="32.1" customHeight="1" x14ac:dyDescent="0.15"/>
    <row r="35203" s="76" customFormat="1" ht="32.1" customHeight="1" x14ac:dyDescent="0.15"/>
    <row r="35204" s="76" customFormat="1" ht="32.1" customHeight="1" x14ac:dyDescent="0.15"/>
    <row r="35205" s="76" customFormat="1" ht="21.95" customHeight="1" x14ac:dyDescent="0.15"/>
    <row r="35206" s="76" customFormat="1" ht="54" customHeight="1" x14ac:dyDescent="0.15"/>
    <row r="35207" s="76" customFormat="1" ht="21.95" customHeight="1" x14ac:dyDescent="0.15"/>
    <row r="35208" s="76" customFormat="1" ht="21.95" customHeight="1" x14ac:dyDescent="0.15"/>
    <row r="35209" s="76" customFormat="1" ht="21.95" customHeight="1" x14ac:dyDescent="0.15"/>
    <row r="35210" s="76" customFormat="1" ht="21.95" customHeight="1" x14ac:dyDescent="0.15"/>
    <row r="35211" s="76" customFormat="1" ht="21.95" customHeight="1" x14ac:dyDescent="0.15"/>
    <row r="35212" s="76" customFormat="1" ht="21.95" customHeight="1" x14ac:dyDescent="0.15"/>
    <row r="35213" s="76" customFormat="1" ht="21.95" customHeight="1" x14ac:dyDescent="0.15"/>
    <row r="35214" s="76" customFormat="1" ht="21.95" customHeight="1" x14ac:dyDescent="0.15"/>
    <row r="35215" s="76" customFormat="1" ht="21.95" customHeight="1" x14ac:dyDescent="0.15"/>
    <row r="35216" s="76" customFormat="1" ht="21.95" customHeight="1" x14ac:dyDescent="0.15"/>
    <row r="35217" s="76" customFormat="1" ht="21.95" customHeight="1" x14ac:dyDescent="0.15"/>
    <row r="35218" s="76" customFormat="1" ht="21.95" customHeight="1" x14ac:dyDescent="0.15"/>
    <row r="35219" s="76" customFormat="1" ht="21.95" customHeight="1" x14ac:dyDescent="0.15"/>
    <row r="35220" s="76" customFormat="1" ht="21.95" customHeight="1" x14ac:dyDescent="0.15"/>
    <row r="35221" s="76" customFormat="1" ht="21.95" customHeight="1" x14ac:dyDescent="0.15"/>
    <row r="35222" s="76" customFormat="1" ht="21.95" customHeight="1" x14ac:dyDescent="0.15"/>
    <row r="35223" s="76" customFormat="1" ht="21.95" customHeight="1" x14ac:dyDescent="0.15"/>
    <row r="35224" s="76" customFormat="1" ht="21.95" customHeight="1" x14ac:dyDescent="0.15"/>
    <row r="35225" s="76" customFormat="1" ht="21.95" customHeight="1" x14ac:dyDescent="0.15"/>
    <row r="35226" s="76" customFormat="1" ht="21.95" customHeight="1" x14ac:dyDescent="0.15"/>
    <row r="35227" s="76" customFormat="1" ht="21.95" customHeight="1" x14ac:dyDescent="0.15"/>
    <row r="35228" s="76" customFormat="1" ht="21.95" customHeight="1" x14ac:dyDescent="0.15"/>
    <row r="35229" s="76" customFormat="1" ht="21.95" customHeight="1" x14ac:dyDescent="0.15"/>
    <row r="35230" s="76" customFormat="1" ht="21.95" customHeight="1" x14ac:dyDescent="0.15"/>
    <row r="35231" s="76" customFormat="1" ht="21.95" customHeight="1" x14ac:dyDescent="0.15"/>
    <row r="35232" s="76" customFormat="1" ht="21.95" customHeight="1" x14ac:dyDescent="0.15"/>
    <row r="35233" s="76" customFormat="1" ht="21.95" customHeight="1" x14ac:dyDescent="0.15"/>
    <row r="35234" s="76" customFormat="1" ht="21.95" customHeight="1" x14ac:dyDescent="0.15"/>
    <row r="35235" s="76" customFormat="1" ht="21.95" customHeight="1" x14ac:dyDescent="0.15"/>
    <row r="35236" s="76" customFormat="1" ht="21.95" customHeight="1" x14ac:dyDescent="0.15"/>
    <row r="35237" s="76" customFormat="1" ht="21.95" customHeight="1" x14ac:dyDescent="0.15"/>
    <row r="35238" s="76" customFormat="1" ht="21.95" customHeight="1" x14ac:dyDescent="0.15"/>
    <row r="35239" s="76" customFormat="1" ht="21.95" customHeight="1" x14ac:dyDescent="0.15"/>
    <row r="35240" s="76" customFormat="1" ht="21.95" customHeight="1" x14ac:dyDescent="0.15"/>
    <row r="35241" s="76" customFormat="1" ht="21.95" customHeight="1" x14ac:dyDescent="0.15"/>
    <row r="35242" s="76" customFormat="1" ht="21.95" customHeight="1" x14ac:dyDescent="0.15"/>
    <row r="35243" s="76" customFormat="1" ht="21.95" customHeight="1" x14ac:dyDescent="0.15"/>
    <row r="35244" s="76" customFormat="1" ht="21.95" customHeight="1" x14ac:dyDescent="0.15"/>
    <row r="35245" s="76" customFormat="1" ht="21.95" customHeight="1" x14ac:dyDescent="0.15"/>
    <row r="35246" s="76" customFormat="1" ht="21.95" customHeight="1" x14ac:dyDescent="0.15"/>
    <row r="35247" s="76" customFormat="1" ht="21.95" customHeight="1" x14ac:dyDescent="0.15"/>
    <row r="35248" s="76" customFormat="1" ht="21.95" customHeight="1" x14ac:dyDescent="0.15"/>
    <row r="35249" s="76" customFormat="1" ht="21.95" customHeight="1" x14ac:dyDescent="0.15"/>
    <row r="35250" s="76" customFormat="1" ht="21.95" customHeight="1" x14ac:dyDescent="0.15"/>
    <row r="35251" s="76" customFormat="1" ht="21.95" customHeight="1" x14ac:dyDescent="0.15"/>
    <row r="35252" s="76" customFormat="1" ht="21.95" customHeight="1" x14ac:dyDescent="0.15"/>
    <row r="35253" s="76" customFormat="1" ht="21.95" customHeight="1" x14ac:dyDescent="0.15"/>
    <row r="35254" s="76" customFormat="1" ht="21.95" customHeight="1" x14ac:dyDescent="0.15"/>
    <row r="35255" s="76" customFormat="1" ht="21.95" customHeight="1" x14ac:dyDescent="0.15"/>
    <row r="35256" s="76" customFormat="1" ht="21.95" customHeight="1" x14ac:dyDescent="0.15"/>
    <row r="35257" s="76" customFormat="1" ht="35.1" customHeight="1" x14ac:dyDescent="0.15"/>
    <row r="35258" s="76" customFormat="1" ht="21.95" customHeight="1" x14ac:dyDescent="0.15"/>
    <row r="35259" s="76" customFormat="1" ht="21.95" customHeight="1" x14ac:dyDescent="0.15"/>
    <row r="35260" s="76" customFormat="1" ht="21.95" customHeight="1" x14ac:dyDescent="0.15"/>
    <row r="35261" s="76" customFormat="1" ht="21.95" customHeight="1" x14ac:dyDescent="0.15"/>
    <row r="35262" s="76" customFormat="1" ht="21.95" customHeight="1" x14ac:dyDescent="0.15"/>
    <row r="35263" s="76" customFormat="1" ht="21.95" customHeight="1" x14ac:dyDescent="0.15"/>
    <row r="35264" s="76" customFormat="1" ht="21.95" customHeight="1" x14ac:dyDescent="0.15"/>
    <row r="35265" s="76" customFormat="1" ht="21.95" customHeight="1" x14ac:dyDescent="0.15"/>
    <row r="35266" s="76" customFormat="1" ht="21.95" customHeight="1" x14ac:dyDescent="0.15"/>
    <row r="35267" s="76" customFormat="1" ht="21.95" customHeight="1" x14ac:dyDescent="0.15"/>
    <row r="35268" s="76" customFormat="1" ht="21.95" customHeight="1" x14ac:dyDescent="0.15"/>
    <row r="35269" s="76" customFormat="1" ht="21.95" customHeight="1" x14ac:dyDescent="0.15"/>
    <row r="35270" s="76" customFormat="1" ht="21.95" customHeight="1" x14ac:dyDescent="0.15"/>
    <row r="35271" s="76" customFormat="1" ht="21.95" customHeight="1" x14ac:dyDescent="0.15"/>
    <row r="35272" s="76" customFormat="1" ht="21.95" customHeight="1" x14ac:dyDescent="0.15"/>
    <row r="35273" s="76" customFormat="1" ht="21.95" customHeight="1" x14ac:dyDescent="0.15"/>
    <row r="35274" s="76" customFormat="1" ht="21.95" customHeight="1" x14ac:dyDescent="0.15"/>
    <row r="35275" s="76" customFormat="1" ht="21.95" customHeight="1" x14ac:dyDescent="0.15"/>
    <row r="35276" s="76" customFormat="1" ht="21.95" customHeight="1" x14ac:dyDescent="0.15"/>
    <row r="35277" s="76" customFormat="1" ht="21.95" customHeight="1" x14ac:dyDescent="0.15"/>
    <row r="35278" s="76" customFormat="1" ht="21.95" customHeight="1" x14ac:dyDescent="0.15"/>
    <row r="35279" s="76" customFormat="1" ht="21.95" customHeight="1" x14ac:dyDescent="0.15"/>
    <row r="35280" s="76" customFormat="1" ht="21.95" customHeight="1" x14ac:dyDescent="0.15"/>
    <row r="35281" spans="3:3" customFormat="1" ht="21.95" customHeight="1" x14ac:dyDescent="0.15"/>
    <row r="35282" spans="3:3" customFormat="1" ht="21.95" customHeight="1" x14ac:dyDescent="0.15"/>
    <row r="35283" spans="3:3" customFormat="1" ht="21.95" customHeight="1" x14ac:dyDescent="0.15">
      <c r="C35283" s="94"/>
    </row>
    <row r="35284" spans="3:3" customFormat="1" ht="21.95" customHeight="1" x14ac:dyDescent="0.15">
      <c r="C35284" s="94"/>
    </row>
    <row r="35285" spans="3:3" customFormat="1" ht="21.95" customHeight="1" x14ac:dyDescent="0.15"/>
    <row r="35286" spans="3:3" customFormat="1" ht="21.95" customHeight="1" x14ac:dyDescent="0.15"/>
    <row r="35287" spans="3:3" customFormat="1" ht="21.95" customHeight="1" x14ac:dyDescent="0.15"/>
    <row r="35288" spans="3:3" customFormat="1" ht="21.95" customHeight="1" x14ac:dyDescent="0.15"/>
    <row r="35289" spans="3:3" customFormat="1" ht="21.95" customHeight="1" x14ac:dyDescent="0.15"/>
    <row r="35290" spans="3:3" customFormat="1" ht="21.95" customHeight="1" x14ac:dyDescent="0.15"/>
    <row r="35291" spans="3:3" customFormat="1" ht="21.95" customHeight="1" x14ac:dyDescent="0.15"/>
    <row r="35292" spans="3:3" s="76" customFormat="1" ht="21.95" customHeight="1" x14ac:dyDescent="0.15"/>
    <row r="35293" spans="3:3" s="76" customFormat="1" ht="21.95" customHeight="1" x14ac:dyDescent="0.15"/>
    <row r="35294" spans="3:3" s="76" customFormat="1" ht="21.95" customHeight="1" x14ac:dyDescent="0.15"/>
    <row r="35295" spans="3:3" s="76" customFormat="1" ht="21.95" customHeight="1" x14ac:dyDescent="0.15"/>
    <row r="35296" spans="3:3" customFormat="1" ht="21.95" customHeight="1" x14ac:dyDescent="0.15"/>
    <row r="35297" customFormat="1" ht="21.95" customHeight="1" x14ac:dyDescent="0.15"/>
    <row r="35298" customFormat="1" ht="21.95" customHeight="1" x14ac:dyDescent="0.15"/>
    <row r="35299" customFormat="1" ht="21.95" customHeight="1" x14ac:dyDescent="0.15"/>
    <row r="35300" customFormat="1" ht="21.95" customHeight="1" x14ac:dyDescent="0.15"/>
    <row r="35301" customFormat="1" ht="21.95" customHeight="1" x14ac:dyDescent="0.15"/>
    <row r="35302" customFormat="1" ht="21.95" customHeight="1" x14ac:dyDescent="0.15"/>
    <row r="35303" customFormat="1" ht="21.95" customHeight="1" x14ac:dyDescent="0.15"/>
    <row r="35304" customFormat="1" ht="21.95" customHeight="1" x14ac:dyDescent="0.15"/>
    <row r="35305" customFormat="1" ht="21.95" customHeight="1" x14ac:dyDescent="0.15"/>
    <row r="35306" customFormat="1" ht="21.95" customHeight="1" x14ac:dyDescent="0.15"/>
    <row r="35307" customFormat="1" ht="32.1" customHeight="1" x14ac:dyDescent="0.15"/>
    <row r="35308" customFormat="1" ht="32.1" customHeight="1" x14ac:dyDescent="0.15"/>
    <row r="35309" customFormat="1" ht="32.1" customHeight="1" x14ac:dyDescent="0.15"/>
    <row r="35310" customFormat="1" ht="32.1" customHeight="1" x14ac:dyDescent="0.15"/>
    <row r="35311" customFormat="1" ht="32.1" customHeight="1" x14ac:dyDescent="0.15"/>
    <row r="35312" customFormat="1" ht="32.1" customHeight="1" x14ac:dyDescent="0.15"/>
    <row r="35313" s="76" customFormat="1" ht="32.1" customHeight="1" x14ac:dyDescent="0.15"/>
    <row r="35314" s="76" customFormat="1" ht="32.1" customHeight="1" x14ac:dyDescent="0.15"/>
    <row r="35315" s="76" customFormat="1" ht="32.1" customHeight="1" x14ac:dyDescent="0.15"/>
    <row r="35316" s="76" customFormat="1" ht="32.1" customHeight="1" x14ac:dyDescent="0.15"/>
    <row r="35317" s="76" customFormat="1" ht="21.95" customHeight="1" x14ac:dyDescent="0.15"/>
    <row r="35318" s="76" customFormat="1" ht="54" customHeight="1" x14ac:dyDescent="0.15"/>
    <row r="35319" s="76" customFormat="1" ht="21.95" customHeight="1" x14ac:dyDescent="0.15"/>
    <row r="35320" s="76" customFormat="1" ht="21.95" customHeight="1" x14ac:dyDescent="0.15"/>
    <row r="35321" s="76" customFormat="1" ht="21.95" customHeight="1" x14ac:dyDescent="0.15"/>
    <row r="35322" s="76" customFormat="1" ht="21.95" customHeight="1" x14ac:dyDescent="0.15"/>
    <row r="35323" s="76" customFormat="1" ht="21.95" customHeight="1" x14ac:dyDescent="0.15"/>
    <row r="35324" s="76" customFormat="1" ht="21.95" customHeight="1" x14ac:dyDescent="0.15"/>
    <row r="35325" s="76" customFormat="1" ht="21.95" customHeight="1" x14ac:dyDescent="0.15"/>
    <row r="35326" s="76" customFormat="1" ht="21.95" customHeight="1" x14ac:dyDescent="0.15"/>
    <row r="35327" s="76" customFormat="1" ht="21.95" customHeight="1" x14ac:dyDescent="0.15"/>
    <row r="35328" s="76" customFormat="1" ht="21.95" customHeight="1" x14ac:dyDescent="0.15"/>
    <row r="35329" s="76" customFormat="1" ht="21.95" customHeight="1" x14ac:dyDescent="0.15"/>
    <row r="35330" s="76" customFormat="1" ht="21.95" customHeight="1" x14ac:dyDescent="0.15"/>
    <row r="35331" s="76" customFormat="1" ht="21.95" customHeight="1" x14ac:dyDescent="0.15"/>
    <row r="35332" s="76" customFormat="1" ht="21.95" customHeight="1" x14ac:dyDescent="0.15"/>
    <row r="35333" s="76" customFormat="1" ht="21.95" customHeight="1" x14ac:dyDescent="0.15"/>
    <row r="35334" s="76" customFormat="1" ht="21.95" customHeight="1" x14ac:dyDescent="0.15"/>
    <row r="35335" s="76" customFormat="1" ht="21.95" customHeight="1" x14ac:dyDescent="0.15"/>
    <row r="35336" s="76" customFormat="1" ht="21.95" customHeight="1" x14ac:dyDescent="0.15"/>
    <row r="35337" s="76" customFormat="1" ht="21.95" customHeight="1" x14ac:dyDescent="0.15"/>
    <row r="35338" s="76" customFormat="1" ht="21.95" customHeight="1" x14ac:dyDescent="0.15"/>
    <row r="35339" s="76" customFormat="1" ht="21.95" customHeight="1" x14ac:dyDescent="0.15"/>
    <row r="35340" s="76" customFormat="1" ht="21.95" customHeight="1" x14ac:dyDescent="0.15"/>
    <row r="35341" s="76" customFormat="1" ht="21.95" customHeight="1" x14ac:dyDescent="0.15"/>
    <row r="35342" s="76" customFormat="1" ht="21.95" customHeight="1" x14ac:dyDescent="0.15"/>
    <row r="35343" s="76" customFormat="1" ht="21.95" customHeight="1" x14ac:dyDescent="0.15"/>
    <row r="35344" s="76" customFormat="1" ht="21.95" customHeight="1" x14ac:dyDescent="0.15"/>
    <row r="35345" s="76" customFormat="1" ht="21.95" customHeight="1" x14ac:dyDescent="0.15"/>
    <row r="35346" s="76" customFormat="1" ht="21.95" customHeight="1" x14ac:dyDescent="0.15"/>
    <row r="35347" s="76" customFormat="1" ht="21.95" customHeight="1" x14ac:dyDescent="0.15"/>
    <row r="35348" s="76" customFormat="1" ht="21.95" customHeight="1" x14ac:dyDescent="0.15"/>
    <row r="35349" s="76" customFormat="1" ht="21.95" customHeight="1" x14ac:dyDescent="0.15"/>
    <row r="35350" s="76" customFormat="1" ht="21.95" customHeight="1" x14ac:dyDescent="0.15"/>
    <row r="35351" s="76" customFormat="1" ht="21.95" customHeight="1" x14ac:dyDescent="0.15"/>
    <row r="35352" s="76" customFormat="1" ht="21.95" customHeight="1" x14ac:dyDescent="0.15"/>
    <row r="35353" s="76" customFormat="1" ht="21.95" customHeight="1" x14ac:dyDescent="0.15"/>
    <row r="35354" s="76" customFormat="1" ht="21.95" customHeight="1" x14ac:dyDescent="0.15"/>
    <row r="35355" s="76" customFormat="1" ht="21.95" customHeight="1" x14ac:dyDescent="0.15"/>
    <row r="35356" s="76" customFormat="1" ht="21.95" customHeight="1" x14ac:dyDescent="0.15"/>
    <row r="35357" s="76" customFormat="1" ht="21.95" customHeight="1" x14ac:dyDescent="0.15"/>
    <row r="35358" s="76" customFormat="1" ht="21.95" customHeight="1" x14ac:dyDescent="0.15"/>
    <row r="35359" s="76" customFormat="1" ht="21.95" customHeight="1" x14ac:dyDescent="0.15"/>
    <row r="35360" s="76" customFormat="1" ht="21.95" customHeight="1" x14ac:dyDescent="0.15"/>
    <row r="35361" s="76" customFormat="1" ht="21.95" customHeight="1" x14ac:dyDescent="0.15"/>
    <row r="35362" s="76" customFormat="1" ht="21.95" customHeight="1" x14ac:dyDescent="0.15"/>
    <row r="35363" s="76" customFormat="1" ht="21.95" customHeight="1" x14ac:dyDescent="0.15"/>
    <row r="35364" s="76" customFormat="1" ht="21.95" customHeight="1" x14ac:dyDescent="0.15"/>
    <row r="35365" s="76" customFormat="1" ht="21.95" customHeight="1" x14ac:dyDescent="0.15"/>
    <row r="35366" s="76" customFormat="1" ht="21.95" customHeight="1" x14ac:dyDescent="0.15"/>
    <row r="35367" s="76" customFormat="1" ht="21.95" customHeight="1" x14ac:dyDescent="0.15"/>
    <row r="35368" s="76" customFormat="1" ht="21.95" customHeight="1" x14ac:dyDescent="0.15"/>
    <row r="35369" s="76" customFormat="1" ht="35.1" customHeight="1" x14ac:dyDescent="0.15"/>
    <row r="35370" s="76" customFormat="1" ht="21.95" customHeight="1" x14ac:dyDescent="0.15"/>
    <row r="35371" s="76" customFormat="1" ht="21.95" customHeight="1" x14ac:dyDescent="0.15"/>
    <row r="35372" s="76" customFormat="1" ht="21.95" customHeight="1" x14ac:dyDescent="0.15"/>
    <row r="35373" s="76" customFormat="1" ht="21.95" customHeight="1" x14ac:dyDescent="0.15"/>
    <row r="35374" s="76" customFormat="1" ht="21.95" customHeight="1" x14ac:dyDescent="0.15"/>
    <row r="35375" s="76" customFormat="1" ht="21.95" customHeight="1" x14ac:dyDescent="0.15"/>
    <row r="35376" s="76" customFormat="1" ht="21.95" customHeight="1" x14ac:dyDescent="0.15"/>
    <row r="35377" s="76" customFormat="1" ht="21.95" customHeight="1" x14ac:dyDescent="0.15"/>
    <row r="35378" s="76" customFormat="1" ht="21.95" customHeight="1" x14ac:dyDescent="0.15"/>
    <row r="35379" s="76" customFormat="1" ht="21.95" customHeight="1" x14ac:dyDescent="0.15"/>
    <row r="35380" s="76" customFormat="1" ht="21.95" customHeight="1" x14ac:dyDescent="0.15"/>
    <row r="35381" s="76" customFormat="1" ht="21.95" customHeight="1" x14ac:dyDescent="0.15"/>
    <row r="35382" s="76" customFormat="1" ht="21.95" customHeight="1" x14ac:dyDescent="0.15"/>
    <row r="35383" s="76" customFormat="1" ht="21.95" customHeight="1" x14ac:dyDescent="0.15"/>
    <row r="35384" s="76" customFormat="1" ht="21.95" customHeight="1" x14ac:dyDescent="0.15"/>
    <row r="35385" s="76" customFormat="1" ht="21.95" customHeight="1" x14ac:dyDescent="0.15"/>
    <row r="35386" s="76" customFormat="1" ht="21.95" customHeight="1" x14ac:dyDescent="0.15"/>
    <row r="35387" s="76" customFormat="1" ht="21.95" customHeight="1" x14ac:dyDescent="0.15"/>
    <row r="35388" s="76" customFormat="1" ht="21.95" customHeight="1" x14ac:dyDescent="0.15"/>
    <row r="35389" s="76" customFormat="1" ht="21.95" customHeight="1" x14ac:dyDescent="0.15"/>
    <row r="35390" s="76" customFormat="1" ht="21.95" customHeight="1" x14ac:dyDescent="0.15"/>
    <row r="35391" s="76" customFormat="1" ht="21.95" customHeight="1" x14ac:dyDescent="0.15"/>
    <row r="35392" s="76" customFormat="1" ht="21.95" customHeight="1" x14ac:dyDescent="0.15"/>
    <row r="35393" spans="3:3" customFormat="1" ht="21.95" customHeight="1" x14ac:dyDescent="0.15"/>
    <row r="35394" spans="3:3" customFormat="1" ht="21.95" customHeight="1" x14ac:dyDescent="0.15"/>
    <row r="35395" spans="3:3" customFormat="1" ht="21.95" customHeight="1" x14ac:dyDescent="0.15">
      <c r="C35395" s="94"/>
    </row>
    <row r="35396" spans="3:3" customFormat="1" ht="21.95" customHeight="1" x14ac:dyDescent="0.15">
      <c r="C35396" s="94"/>
    </row>
    <row r="35397" spans="3:3" customFormat="1" ht="21.95" customHeight="1" x14ac:dyDescent="0.15"/>
    <row r="35398" spans="3:3" customFormat="1" ht="21.95" customHeight="1" x14ac:dyDescent="0.15"/>
    <row r="35399" spans="3:3" customFormat="1" ht="21.95" customHeight="1" x14ac:dyDescent="0.15"/>
    <row r="35400" spans="3:3" customFormat="1" ht="21.95" customHeight="1" x14ac:dyDescent="0.15"/>
    <row r="35401" spans="3:3" customFormat="1" ht="21.95" customHeight="1" x14ac:dyDescent="0.15"/>
    <row r="35402" spans="3:3" customFormat="1" ht="21.95" customHeight="1" x14ac:dyDescent="0.15"/>
    <row r="35403" spans="3:3" customFormat="1" ht="21.95" customHeight="1" x14ac:dyDescent="0.15"/>
    <row r="35404" spans="3:3" s="76" customFormat="1" ht="21.95" customHeight="1" x14ac:dyDescent="0.15"/>
    <row r="35405" spans="3:3" s="76" customFormat="1" ht="21.95" customHeight="1" x14ac:dyDescent="0.15"/>
    <row r="35406" spans="3:3" s="76" customFormat="1" ht="21.95" customHeight="1" x14ac:dyDescent="0.15"/>
    <row r="35407" spans="3:3" s="76" customFormat="1" ht="21.95" customHeight="1" x14ac:dyDescent="0.15"/>
    <row r="35408" spans="3:3" customFormat="1" ht="21.95" customHeight="1" x14ac:dyDescent="0.15"/>
    <row r="35409" customFormat="1" ht="21.95" customHeight="1" x14ac:dyDescent="0.15"/>
    <row r="35410" customFormat="1" ht="21.95" customHeight="1" x14ac:dyDescent="0.15"/>
    <row r="35411" customFormat="1" ht="21.95" customHeight="1" x14ac:dyDescent="0.15"/>
    <row r="35412" customFormat="1" ht="21.95" customHeight="1" x14ac:dyDescent="0.15"/>
    <row r="35413" customFormat="1" ht="21.95" customHeight="1" x14ac:dyDescent="0.15"/>
    <row r="35414" customFormat="1" ht="21.95" customHeight="1" x14ac:dyDescent="0.15"/>
    <row r="35415" customFormat="1" ht="21.95" customHeight="1" x14ac:dyDescent="0.15"/>
    <row r="35416" customFormat="1" ht="21.95" customHeight="1" x14ac:dyDescent="0.15"/>
    <row r="35417" customFormat="1" ht="21.95" customHeight="1" x14ac:dyDescent="0.15"/>
    <row r="35418" customFormat="1" ht="21.95" customHeight="1" x14ac:dyDescent="0.15"/>
    <row r="35419" customFormat="1" ht="32.1" customHeight="1" x14ac:dyDescent="0.15"/>
    <row r="35420" customFormat="1" ht="32.1" customHeight="1" x14ac:dyDescent="0.15"/>
    <row r="35421" customFormat="1" ht="32.1" customHeight="1" x14ac:dyDescent="0.15"/>
    <row r="35422" customFormat="1" ht="32.1" customHeight="1" x14ac:dyDescent="0.15"/>
    <row r="35423" customFormat="1" ht="32.1" customHeight="1" x14ac:dyDescent="0.15"/>
    <row r="35424" customFormat="1" ht="32.1" customHeight="1" x14ac:dyDescent="0.15"/>
    <row r="35425" s="76" customFormat="1" ht="32.1" customHeight="1" x14ac:dyDescent="0.15"/>
    <row r="35426" s="76" customFormat="1" ht="32.1" customHeight="1" x14ac:dyDescent="0.15"/>
    <row r="35427" s="76" customFormat="1" ht="32.1" customHeight="1" x14ac:dyDescent="0.15"/>
    <row r="35428" s="76" customFormat="1" ht="32.1" customHeight="1" x14ac:dyDescent="0.15"/>
    <row r="35429" s="76" customFormat="1" ht="21.95" customHeight="1" x14ac:dyDescent="0.15"/>
    <row r="35430" s="76" customFormat="1" ht="54" customHeight="1" x14ac:dyDescent="0.15"/>
    <row r="35431" s="76" customFormat="1" ht="21.95" customHeight="1" x14ac:dyDescent="0.15"/>
    <row r="35432" s="76" customFormat="1" ht="21.95" customHeight="1" x14ac:dyDescent="0.15"/>
    <row r="35433" s="76" customFormat="1" ht="21.95" customHeight="1" x14ac:dyDescent="0.15"/>
    <row r="35434" s="76" customFormat="1" ht="21.95" customHeight="1" x14ac:dyDescent="0.15"/>
    <row r="35435" s="76" customFormat="1" ht="21.95" customHeight="1" x14ac:dyDescent="0.15"/>
    <row r="35436" s="76" customFormat="1" ht="21.95" customHeight="1" x14ac:dyDescent="0.15"/>
    <row r="35437" s="76" customFormat="1" ht="21.95" customHeight="1" x14ac:dyDescent="0.15"/>
    <row r="35438" s="76" customFormat="1" ht="21.95" customHeight="1" x14ac:dyDescent="0.15"/>
    <row r="35439" s="76" customFormat="1" ht="21.95" customHeight="1" x14ac:dyDescent="0.15"/>
    <row r="35440" s="76" customFormat="1" ht="21.95" customHeight="1" x14ac:dyDescent="0.15"/>
    <row r="35441" s="76" customFormat="1" ht="21.95" customHeight="1" x14ac:dyDescent="0.15"/>
    <row r="35442" s="76" customFormat="1" ht="21.95" customHeight="1" x14ac:dyDescent="0.15"/>
    <row r="35443" s="76" customFormat="1" ht="21.95" customHeight="1" x14ac:dyDescent="0.15"/>
    <row r="35444" s="76" customFormat="1" ht="21.95" customHeight="1" x14ac:dyDescent="0.15"/>
    <row r="35445" s="76" customFormat="1" ht="21.95" customHeight="1" x14ac:dyDescent="0.15"/>
    <row r="35446" s="76" customFormat="1" ht="21.95" customHeight="1" x14ac:dyDescent="0.15"/>
    <row r="35447" s="76" customFormat="1" ht="21.95" customHeight="1" x14ac:dyDescent="0.15"/>
    <row r="35448" s="76" customFormat="1" ht="21.95" customHeight="1" x14ac:dyDescent="0.15"/>
    <row r="35449" s="76" customFormat="1" ht="21.95" customHeight="1" x14ac:dyDescent="0.15"/>
    <row r="35450" s="76" customFormat="1" ht="21.95" customHeight="1" x14ac:dyDescent="0.15"/>
    <row r="35451" s="76" customFormat="1" ht="21.95" customHeight="1" x14ac:dyDescent="0.15"/>
    <row r="35452" s="76" customFormat="1" ht="21.95" customHeight="1" x14ac:dyDescent="0.15"/>
    <row r="35453" s="76" customFormat="1" ht="21.95" customHeight="1" x14ac:dyDescent="0.15"/>
    <row r="35454" s="76" customFormat="1" ht="21.95" customHeight="1" x14ac:dyDescent="0.15"/>
    <row r="35455" s="76" customFormat="1" ht="21.95" customHeight="1" x14ac:dyDescent="0.15"/>
    <row r="35456" s="76" customFormat="1" ht="21.95" customHeight="1" x14ac:dyDescent="0.15"/>
    <row r="35457" s="76" customFormat="1" ht="21.95" customHeight="1" x14ac:dyDescent="0.15"/>
    <row r="35458" s="76" customFormat="1" ht="21.95" customHeight="1" x14ac:dyDescent="0.15"/>
    <row r="35459" s="76" customFormat="1" ht="21.95" customHeight="1" x14ac:dyDescent="0.15"/>
    <row r="35460" s="76" customFormat="1" ht="21.95" customHeight="1" x14ac:dyDescent="0.15"/>
    <row r="35461" s="76" customFormat="1" ht="21.95" customHeight="1" x14ac:dyDescent="0.15"/>
    <row r="35462" s="76" customFormat="1" ht="21.95" customHeight="1" x14ac:dyDescent="0.15"/>
    <row r="35463" s="76" customFormat="1" ht="21.95" customHeight="1" x14ac:dyDescent="0.15"/>
    <row r="35464" s="76" customFormat="1" ht="21.95" customHeight="1" x14ac:dyDescent="0.15"/>
    <row r="35465" s="76" customFormat="1" ht="21.95" customHeight="1" x14ac:dyDescent="0.15"/>
    <row r="35466" s="76" customFormat="1" ht="21.95" customHeight="1" x14ac:dyDescent="0.15"/>
    <row r="35467" s="76" customFormat="1" ht="21.95" customHeight="1" x14ac:dyDescent="0.15"/>
    <row r="35468" s="76" customFormat="1" ht="21.95" customHeight="1" x14ac:dyDescent="0.15"/>
    <row r="35469" s="76" customFormat="1" ht="21.95" customHeight="1" x14ac:dyDescent="0.15"/>
    <row r="35470" s="76" customFormat="1" ht="21.95" customHeight="1" x14ac:dyDescent="0.15"/>
    <row r="35471" s="76" customFormat="1" ht="21.95" customHeight="1" x14ac:dyDescent="0.15"/>
    <row r="35472" s="76" customFormat="1" ht="21.95" customHeight="1" x14ac:dyDescent="0.15"/>
    <row r="35473" s="76" customFormat="1" ht="21.95" customHeight="1" x14ac:dyDescent="0.15"/>
    <row r="35474" s="76" customFormat="1" ht="21.95" customHeight="1" x14ac:dyDescent="0.15"/>
    <row r="35475" s="76" customFormat="1" ht="21.95" customHeight="1" x14ac:dyDescent="0.15"/>
    <row r="35476" s="76" customFormat="1" ht="21.95" customHeight="1" x14ac:dyDescent="0.15"/>
    <row r="35477" s="76" customFormat="1" ht="21.95" customHeight="1" x14ac:dyDescent="0.15"/>
    <row r="35478" s="76" customFormat="1" ht="21.95" customHeight="1" x14ac:dyDescent="0.15"/>
    <row r="35479" s="76" customFormat="1" ht="21.95" customHeight="1" x14ac:dyDescent="0.15"/>
    <row r="35480" s="76" customFormat="1" ht="21.95" customHeight="1" x14ac:dyDescent="0.15"/>
    <row r="35481" s="76" customFormat="1" ht="35.1" customHeight="1" x14ac:dyDescent="0.15"/>
    <row r="35482" s="76" customFormat="1" ht="21.95" customHeight="1" x14ac:dyDescent="0.15"/>
    <row r="35483" s="76" customFormat="1" ht="21.95" customHeight="1" x14ac:dyDescent="0.15"/>
    <row r="35484" s="76" customFormat="1" ht="21.95" customHeight="1" x14ac:dyDescent="0.15"/>
    <row r="35485" s="76" customFormat="1" ht="21.95" customHeight="1" x14ac:dyDescent="0.15"/>
    <row r="35486" s="76" customFormat="1" ht="21.95" customHeight="1" x14ac:dyDescent="0.15"/>
    <row r="35487" s="76" customFormat="1" ht="21.95" customHeight="1" x14ac:dyDescent="0.15"/>
    <row r="35488" s="76" customFormat="1" ht="21.95" customHeight="1" x14ac:dyDescent="0.15"/>
    <row r="35489" s="76" customFormat="1" ht="21.95" customHeight="1" x14ac:dyDescent="0.15"/>
    <row r="35490" s="76" customFormat="1" ht="21.95" customHeight="1" x14ac:dyDescent="0.15"/>
    <row r="35491" s="76" customFormat="1" ht="21.95" customHeight="1" x14ac:dyDescent="0.15"/>
    <row r="35492" s="76" customFormat="1" ht="21.95" customHeight="1" x14ac:dyDescent="0.15"/>
    <row r="35493" s="76" customFormat="1" ht="21.95" customHeight="1" x14ac:dyDescent="0.15"/>
    <row r="35494" s="76" customFormat="1" ht="21.95" customHeight="1" x14ac:dyDescent="0.15"/>
    <row r="35495" s="76" customFormat="1" ht="21.95" customHeight="1" x14ac:dyDescent="0.15"/>
    <row r="35496" s="76" customFormat="1" ht="21.95" customHeight="1" x14ac:dyDescent="0.15"/>
    <row r="35497" s="76" customFormat="1" ht="21.95" customHeight="1" x14ac:dyDescent="0.15"/>
    <row r="35498" s="76" customFormat="1" ht="21.95" customHeight="1" x14ac:dyDescent="0.15"/>
    <row r="35499" s="76" customFormat="1" ht="21.95" customHeight="1" x14ac:dyDescent="0.15"/>
    <row r="35500" s="76" customFormat="1" ht="21.95" customHeight="1" x14ac:dyDescent="0.15"/>
    <row r="35501" s="76" customFormat="1" ht="21.95" customHeight="1" x14ac:dyDescent="0.15"/>
    <row r="35502" s="76" customFormat="1" ht="21.95" customHeight="1" x14ac:dyDescent="0.15"/>
    <row r="35503" s="76" customFormat="1" ht="21.95" customHeight="1" x14ac:dyDescent="0.15"/>
    <row r="35504" s="76" customFormat="1" ht="21.95" customHeight="1" x14ac:dyDescent="0.15"/>
    <row r="35505" spans="3:3" customFormat="1" ht="21.95" customHeight="1" x14ac:dyDescent="0.15"/>
    <row r="35506" spans="3:3" customFormat="1" ht="21.95" customHeight="1" x14ac:dyDescent="0.15"/>
    <row r="35507" spans="3:3" customFormat="1" ht="21.95" customHeight="1" x14ac:dyDescent="0.15">
      <c r="C35507" s="94"/>
    </row>
    <row r="35508" spans="3:3" customFormat="1" ht="21.95" customHeight="1" x14ac:dyDescent="0.15">
      <c r="C35508" s="94"/>
    </row>
    <row r="35509" spans="3:3" customFormat="1" ht="21.95" customHeight="1" x14ac:dyDescent="0.15"/>
    <row r="35510" spans="3:3" customFormat="1" ht="21.95" customHeight="1" x14ac:dyDescent="0.15"/>
    <row r="35511" spans="3:3" customFormat="1" ht="21.95" customHeight="1" x14ac:dyDescent="0.15"/>
    <row r="35512" spans="3:3" customFormat="1" ht="21.95" customHeight="1" x14ac:dyDescent="0.15"/>
    <row r="35513" spans="3:3" customFormat="1" ht="21.95" customHeight="1" x14ac:dyDescent="0.15"/>
    <row r="35514" spans="3:3" customFormat="1" ht="21.95" customHeight="1" x14ac:dyDescent="0.15"/>
    <row r="35515" spans="3:3" customFormat="1" ht="21.95" customHeight="1" x14ac:dyDescent="0.15"/>
    <row r="35516" spans="3:3" s="76" customFormat="1" ht="21.95" customHeight="1" x14ac:dyDescent="0.15"/>
    <row r="35517" spans="3:3" s="76" customFormat="1" ht="21.95" customHeight="1" x14ac:dyDescent="0.15"/>
    <row r="35518" spans="3:3" s="76" customFormat="1" ht="21.95" customHeight="1" x14ac:dyDescent="0.15"/>
    <row r="35519" spans="3:3" s="76" customFormat="1" ht="21.95" customHeight="1" x14ac:dyDescent="0.15"/>
    <row r="35520" spans="3:3" customFormat="1" ht="21.95" customHeight="1" x14ac:dyDescent="0.15"/>
    <row r="35521" customFormat="1" ht="21.95" customHeight="1" x14ac:dyDescent="0.15"/>
    <row r="35522" customFormat="1" ht="21.95" customHeight="1" x14ac:dyDescent="0.15"/>
    <row r="35523" customFormat="1" ht="21.95" customHeight="1" x14ac:dyDescent="0.15"/>
    <row r="35524" customFormat="1" ht="21.95" customHeight="1" x14ac:dyDescent="0.15"/>
    <row r="35525" customFormat="1" ht="21.95" customHeight="1" x14ac:dyDescent="0.15"/>
    <row r="35526" customFormat="1" ht="21.95" customHeight="1" x14ac:dyDescent="0.15"/>
    <row r="35527" customFormat="1" ht="21.95" customHeight="1" x14ac:dyDescent="0.15"/>
    <row r="35528" customFormat="1" ht="21.95" customHeight="1" x14ac:dyDescent="0.15"/>
    <row r="35529" customFormat="1" ht="21.95" customHeight="1" x14ac:dyDescent="0.15"/>
    <row r="35530" customFormat="1" ht="21.95" customHeight="1" x14ac:dyDescent="0.15"/>
    <row r="35531" customFormat="1" ht="32.1" customHeight="1" x14ac:dyDescent="0.15"/>
    <row r="35532" customFormat="1" ht="32.1" customHeight="1" x14ac:dyDescent="0.15"/>
    <row r="35533" customFormat="1" ht="32.1" customHeight="1" x14ac:dyDescent="0.15"/>
    <row r="35534" customFormat="1" ht="32.1" customHeight="1" x14ac:dyDescent="0.15"/>
    <row r="35535" customFormat="1" ht="32.1" customHeight="1" x14ac:dyDescent="0.15"/>
    <row r="35536" customFormat="1" ht="32.1" customHeight="1" x14ac:dyDescent="0.15"/>
    <row r="35537" s="76" customFormat="1" ht="32.1" customHeight="1" x14ac:dyDescent="0.15"/>
    <row r="35538" s="76" customFormat="1" ht="32.1" customHeight="1" x14ac:dyDescent="0.15"/>
    <row r="35539" s="76" customFormat="1" ht="32.1" customHeight="1" x14ac:dyDescent="0.15"/>
    <row r="35540" s="76" customFormat="1" ht="32.1" customHeight="1" x14ac:dyDescent="0.15"/>
    <row r="35541" s="76" customFormat="1" ht="21.95" customHeight="1" x14ac:dyDescent="0.15"/>
    <row r="35542" s="76" customFormat="1" ht="54" customHeight="1" x14ac:dyDescent="0.15"/>
    <row r="35543" s="76" customFormat="1" ht="21.95" customHeight="1" x14ac:dyDescent="0.15"/>
    <row r="35544" s="76" customFormat="1" ht="21.95" customHeight="1" x14ac:dyDescent="0.15"/>
    <row r="35545" s="76" customFormat="1" ht="21.95" customHeight="1" x14ac:dyDescent="0.15"/>
    <row r="35546" s="76" customFormat="1" ht="21.95" customHeight="1" x14ac:dyDescent="0.15"/>
    <row r="35547" s="76" customFormat="1" ht="21.95" customHeight="1" x14ac:dyDescent="0.15"/>
    <row r="35548" s="76" customFormat="1" ht="21.95" customHeight="1" x14ac:dyDescent="0.15"/>
    <row r="35549" s="76" customFormat="1" ht="21.95" customHeight="1" x14ac:dyDescent="0.15"/>
    <row r="35550" s="76" customFormat="1" ht="21.95" customHeight="1" x14ac:dyDescent="0.15"/>
    <row r="35551" s="76" customFormat="1" ht="21.95" customHeight="1" x14ac:dyDescent="0.15"/>
    <row r="35552" s="76" customFormat="1" ht="21.95" customHeight="1" x14ac:dyDescent="0.15"/>
    <row r="35553" s="76" customFormat="1" ht="21.95" customHeight="1" x14ac:dyDescent="0.15"/>
    <row r="35554" s="76" customFormat="1" ht="21.95" customHeight="1" x14ac:dyDescent="0.15"/>
    <row r="35555" s="76" customFormat="1" ht="21.95" customHeight="1" x14ac:dyDescent="0.15"/>
    <row r="35556" s="76" customFormat="1" ht="21.95" customHeight="1" x14ac:dyDescent="0.15"/>
    <row r="35557" s="76" customFormat="1" ht="21.95" customHeight="1" x14ac:dyDescent="0.15"/>
    <row r="35558" s="76" customFormat="1" ht="21.95" customHeight="1" x14ac:dyDescent="0.15"/>
    <row r="35559" s="76" customFormat="1" ht="21.95" customHeight="1" x14ac:dyDescent="0.15"/>
    <row r="35560" s="76" customFormat="1" ht="21.95" customHeight="1" x14ac:dyDescent="0.15"/>
    <row r="35561" s="76" customFormat="1" ht="21.95" customHeight="1" x14ac:dyDescent="0.15"/>
    <row r="35562" s="76" customFormat="1" ht="21.95" customHeight="1" x14ac:dyDescent="0.15"/>
    <row r="35563" s="76" customFormat="1" ht="21.95" customHeight="1" x14ac:dyDescent="0.15"/>
    <row r="35564" s="76" customFormat="1" ht="21.95" customHeight="1" x14ac:dyDescent="0.15"/>
    <row r="35565" s="76" customFormat="1" ht="21.95" customHeight="1" x14ac:dyDescent="0.15"/>
    <row r="35566" s="76" customFormat="1" ht="21.95" customHeight="1" x14ac:dyDescent="0.15"/>
    <row r="35567" s="76" customFormat="1" ht="21.95" customHeight="1" x14ac:dyDescent="0.15"/>
    <row r="35568" s="76" customFormat="1" ht="21.95" customHeight="1" x14ac:dyDescent="0.15"/>
    <row r="35569" s="76" customFormat="1" ht="21.95" customHeight="1" x14ac:dyDescent="0.15"/>
    <row r="35570" s="76" customFormat="1" ht="21.95" customHeight="1" x14ac:dyDescent="0.15"/>
    <row r="35571" s="76" customFormat="1" ht="21.95" customHeight="1" x14ac:dyDescent="0.15"/>
    <row r="35572" s="76" customFormat="1" ht="21.95" customHeight="1" x14ac:dyDescent="0.15"/>
    <row r="35573" s="76" customFormat="1" ht="21.95" customHeight="1" x14ac:dyDescent="0.15"/>
    <row r="35574" s="76" customFormat="1" ht="21.95" customHeight="1" x14ac:dyDescent="0.15"/>
    <row r="35575" s="76" customFormat="1" ht="21.95" customHeight="1" x14ac:dyDescent="0.15"/>
    <row r="35576" s="76" customFormat="1" ht="21.95" customHeight="1" x14ac:dyDescent="0.15"/>
    <row r="35577" s="76" customFormat="1" ht="21.95" customHeight="1" x14ac:dyDescent="0.15"/>
    <row r="35578" s="76" customFormat="1" ht="21.95" customHeight="1" x14ac:dyDescent="0.15"/>
    <row r="35579" s="76" customFormat="1" ht="21.95" customHeight="1" x14ac:dyDescent="0.15"/>
    <row r="35580" s="76" customFormat="1" ht="21.95" customHeight="1" x14ac:dyDescent="0.15"/>
    <row r="35581" s="76" customFormat="1" ht="21.95" customHeight="1" x14ac:dyDescent="0.15"/>
    <row r="35582" s="76" customFormat="1" ht="21.95" customHeight="1" x14ac:dyDescent="0.15"/>
    <row r="35583" s="76" customFormat="1" ht="21.95" customHeight="1" x14ac:dyDescent="0.15"/>
    <row r="35584" s="76" customFormat="1" ht="21.95" customHeight="1" x14ac:dyDescent="0.15"/>
    <row r="35585" s="76" customFormat="1" ht="21.95" customHeight="1" x14ac:dyDescent="0.15"/>
    <row r="35586" s="76" customFormat="1" ht="21.95" customHeight="1" x14ac:dyDescent="0.15"/>
    <row r="35587" s="76" customFormat="1" ht="21.95" customHeight="1" x14ac:dyDescent="0.15"/>
    <row r="35588" s="76" customFormat="1" ht="21.95" customHeight="1" x14ac:dyDescent="0.15"/>
    <row r="35589" s="76" customFormat="1" ht="21.95" customHeight="1" x14ac:dyDescent="0.15"/>
    <row r="35590" s="76" customFormat="1" ht="21.95" customHeight="1" x14ac:dyDescent="0.15"/>
    <row r="35591" s="76" customFormat="1" ht="21.95" customHeight="1" x14ac:dyDescent="0.15"/>
    <row r="35592" s="76" customFormat="1" ht="21.95" customHeight="1" x14ac:dyDescent="0.15"/>
    <row r="35593" s="76" customFormat="1" ht="35.1" customHeight="1" x14ac:dyDescent="0.15"/>
    <row r="35594" s="76" customFormat="1" ht="21.95" customHeight="1" x14ac:dyDescent="0.15"/>
    <row r="35595" s="76" customFormat="1" ht="21.95" customHeight="1" x14ac:dyDescent="0.15"/>
    <row r="35596" s="76" customFormat="1" ht="21.95" customHeight="1" x14ac:dyDescent="0.15"/>
    <row r="35597" s="76" customFormat="1" ht="21.95" customHeight="1" x14ac:dyDescent="0.15"/>
    <row r="35598" s="76" customFormat="1" ht="21.95" customHeight="1" x14ac:dyDescent="0.15"/>
    <row r="35599" s="76" customFormat="1" ht="21.95" customHeight="1" x14ac:dyDescent="0.15"/>
    <row r="35600" s="76" customFormat="1" ht="21.95" customHeight="1" x14ac:dyDescent="0.15"/>
    <row r="35601" s="76" customFormat="1" ht="21.95" customHeight="1" x14ac:dyDescent="0.15"/>
    <row r="35602" s="76" customFormat="1" ht="21.95" customHeight="1" x14ac:dyDescent="0.15"/>
    <row r="35603" s="76" customFormat="1" ht="21.95" customHeight="1" x14ac:dyDescent="0.15"/>
    <row r="35604" s="76" customFormat="1" ht="21.95" customHeight="1" x14ac:dyDescent="0.15"/>
    <row r="35605" s="76" customFormat="1" ht="21.95" customHeight="1" x14ac:dyDescent="0.15"/>
    <row r="35606" s="76" customFormat="1" ht="21.95" customHeight="1" x14ac:dyDescent="0.15"/>
    <row r="35607" s="76" customFormat="1" ht="21.95" customHeight="1" x14ac:dyDescent="0.15"/>
    <row r="35608" s="76" customFormat="1" ht="21.95" customHeight="1" x14ac:dyDescent="0.15"/>
    <row r="35609" s="76" customFormat="1" ht="21.95" customHeight="1" x14ac:dyDescent="0.15"/>
    <row r="35610" s="76" customFormat="1" ht="21.95" customHeight="1" x14ac:dyDescent="0.15"/>
    <row r="35611" s="76" customFormat="1" ht="21.95" customHeight="1" x14ac:dyDescent="0.15"/>
    <row r="35612" s="76" customFormat="1" ht="21.95" customHeight="1" x14ac:dyDescent="0.15"/>
    <row r="35613" s="76" customFormat="1" ht="21.95" customHeight="1" x14ac:dyDescent="0.15"/>
    <row r="35614" s="76" customFormat="1" ht="21.95" customHeight="1" x14ac:dyDescent="0.15"/>
    <row r="35615" s="76" customFormat="1" ht="21.95" customHeight="1" x14ac:dyDescent="0.15"/>
    <row r="35616" s="76" customFormat="1" ht="21.95" customHeight="1" x14ac:dyDescent="0.15"/>
    <row r="35617" spans="3:3" customFormat="1" ht="21.95" customHeight="1" x14ac:dyDescent="0.15"/>
    <row r="35618" spans="3:3" customFormat="1" ht="21.95" customHeight="1" x14ac:dyDescent="0.15"/>
    <row r="35619" spans="3:3" customFormat="1" ht="21.95" customHeight="1" x14ac:dyDescent="0.15">
      <c r="C35619" s="94"/>
    </row>
    <row r="35620" spans="3:3" customFormat="1" ht="21.95" customHeight="1" x14ac:dyDescent="0.15">
      <c r="C35620" s="94"/>
    </row>
    <row r="35621" spans="3:3" customFormat="1" ht="21.95" customHeight="1" x14ac:dyDescent="0.15"/>
    <row r="35622" spans="3:3" customFormat="1" ht="21.95" customHeight="1" x14ac:dyDescent="0.15"/>
    <row r="35623" spans="3:3" customFormat="1" ht="21.95" customHeight="1" x14ac:dyDescent="0.15"/>
    <row r="35624" spans="3:3" customFormat="1" ht="21.95" customHeight="1" x14ac:dyDescent="0.15"/>
    <row r="35625" spans="3:3" customFormat="1" ht="21.95" customHeight="1" x14ac:dyDescent="0.15"/>
    <row r="35626" spans="3:3" customFormat="1" ht="21.95" customHeight="1" x14ac:dyDescent="0.15"/>
    <row r="35627" spans="3:3" customFormat="1" ht="21.95" customHeight="1" x14ac:dyDescent="0.15"/>
    <row r="35628" spans="3:3" s="76" customFormat="1" ht="21.95" customHeight="1" x14ac:dyDescent="0.15"/>
    <row r="35629" spans="3:3" s="76" customFormat="1" ht="21.95" customHeight="1" x14ac:dyDescent="0.15"/>
    <row r="35630" spans="3:3" s="76" customFormat="1" ht="21.95" customHeight="1" x14ac:dyDescent="0.15"/>
    <row r="35631" spans="3:3" s="76" customFormat="1" ht="21.95" customHeight="1" x14ac:dyDescent="0.15"/>
    <row r="35632" spans="3:3" customFormat="1" ht="21.95" customHeight="1" x14ac:dyDescent="0.15"/>
    <row r="35633" customFormat="1" ht="21.95" customHeight="1" x14ac:dyDescent="0.15"/>
    <row r="35634" customFormat="1" ht="21.95" customHeight="1" x14ac:dyDescent="0.15"/>
    <row r="35635" customFormat="1" ht="21.95" customHeight="1" x14ac:dyDescent="0.15"/>
    <row r="35636" customFormat="1" ht="21.95" customHeight="1" x14ac:dyDescent="0.15"/>
    <row r="35637" customFormat="1" ht="21.95" customHeight="1" x14ac:dyDescent="0.15"/>
    <row r="35638" customFormat="1" ht="21.95" customHeight="1" x14ac:dyDescent="0.15"/>
    <row r="35639" customFormat="1" ht="21.95" customHeight="1" x14ac:dyDescent="0.15"/>
    <row r="35640" customFormat="1" ht="21.95" customHeight="1" x14ac:dyDescent="0.15"/>
    <row r="35641" customFormat="1" ht="21.95" customHeight="1" x14ac:dyDescent="0.15"/>
    <row r="35642" customFormat="1" ht="21.95" customHeight="1" x14ac:dyDescent="0.15"/>
    <row r="35643" customFormat="1" ht="32.1" customHeight="1" x14ac:dyDescent="0.15"/>
    <row r="35644" customFormat="1" ht="32.1" customHeight="1" x14ac:dyDescent="0.15"/>
    <row r="35645" customFormat="1" ht="32.1" customHeight="1" x14ac:dyDescent="0.15"/>
    <row r="35646" customFormat="1" ht="32.1" customHeight="1" x14ac:dyDescent="0.15"/>
    <row r="35647" customFormat="1" ht="32.1" customHeight="1" x14ac:dyDescent="0.15"/>
    <row r="35648" customFormat="1" ht="32.1" customHeight="1" x14ac:dyDescent="0.15"/>
    <row r="35649" s="76" customFormat="1" ht="32.1" customHeight="1" x14ac:dyDescent="0.15"/>
    <row r="35650" s="76" customFormat="1" ht="32.1" customHeight="1" x14ac:dyDescent="0.15"/>
    <row r="35651" s="76" customFormat="1" ht="32.1" customHeight="1" x14ac:dyDescent="0.15"/>
    <row r="35652" s="76" customFormat="1" ht="32.1" customHeight="1" x14ac:dyDescent="0.15"/>
    <row r="35653" s="76" customFormat="1" ht="21.95" customHeight="1" x14ac:dyDescent="0.15"/>
    <row r="35654" s="76" customFormat="1" ht="54" customHeight="1" x14ac:dyDescent="0.15"/>
    <row r="35655" s="76" customFormat="1" ht="21.95" customHeight="1" x14ac:dyDescent="0.15"/>
    <row r="35656" s="76" customFormat="1" ht="21.95" customHeight="1" x14ac:dyDescent="0.15"/>
    <row r="35657" s="76" customFormat="1" ht="21.95" customHeight="1" x14ac:dyDescent="0.15"/>
    <row r="35658" s="76" customFormat="1" ht="21.95" customHeight="1" x14ac:dyDescent="0.15"/>
    <row r="35659" s="76" customFormat="1" ht="21.95" customHeight="1" x14ac:dyDescent="0.15"/>
    <row r="35660" s="76" customFormat="1" ht="21.95" customHeight="1" x14ac:dyDescent="0.15"/>
    <row r="35661" s="76" customFormat="1" ht="21.95" customHeight="1" x14ac:dyDescent="0.15"/>
    <row r="35662" s="76" customFormat="1" ht="21.95" customHeight="1" x14ac:dyDescent="0.15"/>
    <row r="35663" s="76" customFormat="1" ht="21.95" customHeight="1" x14ac:dyDescent="0.15"/>
    <row r="35664" s="76" customFormat="1" ht="21.95" customHeight="1" x14ac:dyDescent="0.15"/>
    <row r="35665" s="76" customFormat="1" ht="21.95" customHeight="1" x14ac:dyDescent="0.15"/>
    <row r="35666" s="76" customFormat="1" ht="21.95" customHeight="1" x14ac:dyDescent="0.15"/>
    <row r="35667" s="76" customFormat="1" ht="21.95" customHeight="1" x14ac:dyDescent="0.15"/>
    <row r="35668" s="76" customFormat="1" ht="21.95" customHeight="1" x14ac:dyDescent="0.15"/>
    <row r="35669" s="76" customFormat="1" ht="21.95" customHeight="1" x14ac:dyDescent="0.15"/>
    <row r="35670" s="76" customFormat="1" ht="21.95" customHeight="1" x14ac:dyDescent="0.15"/>
    <row r="35671" s="76" customFormat="1" ht="21.95" customHeight="1" x14ac:dyDescent="0.15"/>
    <row r="35672" s="76" customFormat="1" ht="21.95" customHeight="1" x14ac:dyDescent="0.15"/>
    <row r="35673" s="76" customFormat="1" ht="21.95" customHeight="1" x14ac:dyDescent="0.15"/>
    <row r="35674" s="76" customFormat="1" ht="21.95" customHeight="1" x14ac:dyDescent="0.15"/>
    <row r="35675" s="76" customFormat="1" ht="21.95" customHeight="1" x14ac:dyDescent="0.15"/>
    <row r="35676" s="76" customFormat="1" ht="21.95" customHeight="1" x14ac:dyDescent="0.15"/>
    <row r="35677" s="76" customFormat="1" ht="21.95" customHeight="1" x14ac:dyDescent="0.15"/>
    <row r="35678" s="76" customFormat="1" ht="21.95" customHeight="1" x14ac:dyDescent="0.15"/>
    <row r="35679" s="76" customFormat="1" ht="21.95" customHeight="1" x14ac:dyDescent="0.15"/>
    <row r="35680" s="76" customFormat="1" ht="21.95" customHeight="1" x14ac:dyDescent="0.15"/>
    <row r="35681" s="76" customFormat="1" ht="21.95" customHeight="1" x14ac:dyDescent="0.15"/>
    <row r="35682" s="76" customFormat="1" ht="21.95" customHeight="1" x14ac:dyDescent="0.15"/>
    <row r="35683" s="76" customFormat="1" ht="21.95" customHeight="1" x14ac:dyDescent="0.15"/>
    <row r="35684" s="76" customFormat="1" ht="21.95" customHeight="1" x14ac:dyDescent="0.15"/>
    <row r="35685" s="76" customFormat="1" ht="21.95" customHeight="1" x14ac:dyDescent="0.15"/>
    <row r="35686" s="76" customFormat="1" ht="21.95" customHeight="1" x14ac:dyDescent="0.15"/>
    <row r="35687" s="76" customFormat="1" ht="21.95" customHeight="1" x14ac:dyDescent="0.15"/>
    <row r="35688" s="76" customFormat="1" ht="21.95" customHeight="1" x14ac:dyDescent="0.15"/>
    <row r="35689" s="76" customFormat="1" ht="21.95" customHeight="1" x14ac:dyDescent="0.15"/>
    <row r="35690" s="76" customFormat="1" ht="21.95" customHeight="1" x14ac:dyDescent="0.15"/>
    <row r="35691" s="76" customFormat="1" ht="21.95" customHeight="1" x14ac:dyDescent="0.15"/>
    <row r="35692" s="76" customFormat="1" ht="21.95" customHeight="1" x14ac:dyDescent="0.15"/>
    <row r="35693" s="76" customFormat="1" ht="21.95" customHeight="1" x14ac:dyDescent="0.15"/>
    <row r="35694" s="76" customFormat="1" ht="21.95" customHeight="1" x14ac:dyDescent="0.15"/>
    <row r="35695" s="76" customFormat="1" ht="21.95" customHeight="1" x14ac:dyDescent="0.15"/>
    <row r="35696" s="76" customFormat="1" ht="21.95" customHeight="1" x14ac:dyDescent="0.15"/>
    <row r="35697" s="76" customFormat="1" ht="21.95" customHeight="1" x14ac:dyDescent="0.15"/>
    <row r="35698" s="76" customFormat="1" ht="21.95" customHeight="1" x14ac:dyDescent="0.15"/>
    <row r="35699" s="76" customFormat="1" ht="21.95" customHeight="1" x14ac:dyDescent="0.15"/>
    <row r="35700" s="76" customFormat="1" ht="21.95" customHeight="1" x14ac:dyDescent="0.15"/>
    <row r="35701" s="76" customFormat="1" ht="21.95" customHeight="1" x14ac:dyDescent="0.15"/>
    <row r="35702" s="76" customFormat="1" ht="21.95" customHeight="1" x14ac:dyDescent="0.15"/>
    <row r="35703" s="76" customFormat="1" ht="21.95" customHeight="1" x14ac:dyDescent="0.15"/>
    <row r="35704" s="76" customFormat="1" ht="21.95" customHeight="1" x14ac:dyDescent="0.15"/>
    <row r="35705" s="76" customFormat="1" ht="35.1" customHeight="1" x14ac:dyDescent="0.15"/>
    <row r="35706" s="76" customFormat="1" ht="21.95" customHeight="1" x14ac:dyDescent="0.15"/>
    <row r="35707" s="76" customFormat="1" ht="21.95" customHeight="1" x14ac:dyDescent="0.15"/>
    <row r="35708" s="76" customFormat="1" ht="21.95" customHeight="1" x14ac:dyDescent="0.15"/>
    <row r="35709" s="76" customFormat="1" ht="21.95" customHeight="1" x14ac:dyDescent="0.15"/>
    <row r="35710" s="76" customFormat="1" ht="21.95" customHeight="1" x14ac:dyDescent="0.15"/>
    <row r="35711" s="76" customFormat="1" ht="21.95" customHeight="1" x14ac:dyDescent="0.15"/>
    <row r="35712" s="76" customFormat="1" ht="21.95" customHeight="1" x14ac:dyDescent="0.15"/>
    <row r="35713" s="76" customFormat="1" ht="21.95" customHeight="1" x14ac:dyDescent="0.15"/>
    <row r="35714" s="76" customFormat="1" ht="21.95" customHeight="1" x14ac:dyDescent="0.15"/>
    <row r="35715" s="76" customFormat="1" ht="21.95" customHeight="1" x14ac:dyDescent="0.15"/>
    <row r="35716" s="76" customFormat="1" ht="21.95" customHeight="1" x14ac:dyDescent="0.15"/>
    <row r="35717" s="76" customFormat="1" ht="21.95" customHeight="1" x14ac:dyDescent="0.15"/>
    <row r="35718" s="76" customFormat="1" ht="21.95" customHeight="1" x14ac:dyDescent="0.15"/>
    <row r="35719" s="76" customFormat="1" ht="21.95" customHeight="1" x14ac:dyDescent="0.15"/>
    <row r="35720" s="76" customFormat="1" ht="21.95" customHeight="1" x14ac:dyDescent="0.15"/>
    <row r="35721" s="76" customFormat="1" ht="21.95" customHeight="1" x14ac:dyDescent="0.15"/>
    <row r="35722" s="76" customFormat="1" ht="21.95" customHeight="1" x14ac:dyDescent="0.15"/>
    <row r="35723" s="76" customFormat="1" ht="21.95" customHeight="1" x14ac:dyDescent="0.15"/>
    <row r="35724" s="76" customFormat="1" ht="21.95" customHeight="1" x14ac:dyDescent="0.15"/>
    <row r="35725" s="76" customFormat="1" ht="21.95" customHeight="1" x14ac:dyDescent="0.15"/>
    <row r="35726" s="76" customFormat="1" ht="21.95" customHeight="1" x14ac:dyDescent="0.15"/>
    <row r="35727" s="76" customFormat="1" ht="21.95" customHeight="1" x14ac:dyDescent="0.15"/>
    <row r="35728" s="76" customFormat="1" ht="21.95" customHeight="1" x14ac:dyDescent="0.15"/>
    <row r="35729" spans="3:3" customFormat="1" ht="21.95" customHeight="1" x14ac:dyDescent="0.15"/>
    <row r="35730" spans="3:3" customFormat="1" ht="21.95" customHeight="1" x14ac:dyDescent="0.15"/>
    <row r="35731" spans="3:3" customFormat="1" ht="21.95" customHeight="1" x14ac:dyDescent="0.15">
      <c r="C35731" s="94"/>
    </row>
    <row r="35732" spans="3:3" customFormat="1" ht="21.95" customHeight="1" x14ac:dyDescent="0.15">
      <c r="C35732" s="94"/>
    </row>
    <row r="35733" spans="3:3" customFormat="1" ht="21.95" customHeight="1" x14ac:dyDescent="0.15"/>
    <row r="35734" spans="3:3" customFormat="1" ht="21.95" customHeight="1" x14ac:dyDescent="0.15"/>
    <row r="35735" spans="3:3" customFormat="1" ht="21.95" customHeight="1" x14ac:dyDescent="0.15"/>
    <row r="35736" spans="3:3" customFormat="1" ht="21.95" customHeight="1" x14ac:dyDescent="0.15"/>
    <row r="35737" spans="3:3" customFormat="1" ht="21.95" customHeight="1" x14ac:dyDescent="0.15"/>
    <row r="35738" spans="3:3" customFormat="1" ht="21.95" customHeight="1" x14ac:dyDescent="0.15"/>
    <row r="35739" spans="3:3" customFormat="1" ht="21.95" customHeight="1" x14ac:dyDescent="0.15"/>
    <row r="35740" spans="3:3" s="76" customFormat="1" ht="21.95" customHeight="1" x14ac:dyDescent="0.15"/>
    <row r="35741" spans="3:3" s="76" customFormat="1" ht="21.95" customHeight="1" x14ac:dyDescent="0.15"/>
    <row r="35742" spans="3:3" s="76" customFormat="1" ht="21.95" customHeight="1" x14ac:dyDescent="0.15"/>
    <row r="35743" spans="3:3" s="76" customFormat="1" ht="21.95" customHeight="1" x14ac:dyDescent="0.15"/>
    <row r="35744" spans="3:3" customFormat="1" ht="21.95" customHeight="1" x14ac:dyDescent="0.15"/>
    <row r="35745" customFormat="1" ht="21.95" customHeight="1" x14ac:dyDescent="0.15"/>
    <row r="35746" customFormat="1" ht="21.95" customHeight="1" x14ac:dyDescent="0.15"/>
    <row r="35747" customFormat="1" ht="21.95" customHeight="1" x14ac:dyDescent="0.15"/>
    <row r="35748" customFormat="1" ht="21.95" customHeight="1" x14ac:dyDescent="0.15"/>
    <row r="35749" customFormat="1" ht="21.95" customHeight="1" x14ac:dyDescent="0.15"/>
    <row r="35750" customFormat="1" ht="21.95" customHeight="1" x14ac:dyDescent="0.15"/>
    <row r="35751" customFormat="1" ht="21.95" customHeight="1" x14ac:dyDescent="0.15"/>
    <row r="35752" customFormat="1" ht="21.95" customHeight="1" x14ac:dyDescent="0.15"/>
    <row r="35753" customFormat="1" ht="21.95" customHeight="1" x14ac:dyDescent="0.15"/>
    <row r="35754" customFormat="1" ht="21.95" customHeight="1" x14ac:dyDescent="0.15"/>
    <row r="35755" customFormat="1" ht="32.1" customHeight="1" x14ac:dyDescent="0.15"/>
    <row r="35756" customFormat="1" ht="32.1" customHeight="1" x14ac:dyDescent="0.15"/>
    <row r="35757" customFormat="1" ht="32.1" customHeight="1" x14ac:dyDescent="0.15"/>
    <row r="35758" customFormat="1" ht="32.1" customHeight="1" x14ac:dyDescent="0.15"/>
    <row r="35759" customFormat="1" ht="32.1" customHeight="1" x14ac:dyDescent="0.15"/>
    <row r="35760" customFormat="1" ht="32.1" customHeight="1" x14ac:dyDescent="0.15"/>
    <row r="35761" s="76" customFormat="1" ht="32.1" customHeight="1" x14ac:dyDescent="0.15"/>
    <row r="35762" s="76" customFormat="1" ht="32.1" customHeight="1" x14ac:dyDescent="0.15"/>
    <row r="35763" s="76" customFormat="1" ht="32.1" customHeight="1" x14ac:dyDescent="0.15"/>
    <row r="35764" s="76" customFormat="1" ht="32.1" customHeight="1" x14ac:dyDescent="0.15"/>
    <row r="35765" s="76" customFormat="1" ht="21.95" customHeight="1" x14ac:dyDescent="0.15"/>
    <row r="35766" s="76" customFormat="1" ht="54" customHeight="1" x14ac:dyDescent="0.15"/>
    <row r="35767" s="76" customFormat="1" ht="21.95" customHeight="1" x14ac:dyDescent="0.15"/>
    <row r="35768" s="76" customFormat="1" ht="21.95" customHeight="1" x14ac:dyDescent="0.15"/>
    <row r="35769" s="76" customFormat="1" ht="21.95" customHeight="1" x14ac:dyDescent="0.15"/>
    <row r="35770" s="76" customFormat="1" ht="21.95" customHeight="1" x14ac:dyDescent="0.15"/>
    <row r="35771" s="76" customFormat="1" ht="21.95" customHeight="1" x14ac:dyDescent="0.15"/>
    <row r="35772" s="76" customFormat="1" ht="21.95" customHeight="1" x14ac:dyDescent="0.15"/>
    <row r="35773" s="76" customFormat="1" ht="21.95" customHeight="1" x14ac:dyDescent="0.15"/>
    <row r="35774" s="76" customFormat="1" ht="21.95" customHeight="1" x14ac:dyDescent="0.15"/>
    <row r="35775" s="76" customFormat="1" ht="21.95" customHeight="1" x14ac:dyDescent="0.15"/>
    <row r="35776" s="76" customFormat="1" ht="21.95" customHeight="1" x14ac:dyDescent="0.15"/>
    <row r="35777" s="76" customFormat="1" ht="21.95" customHeight="1" x14ac:dyDescent="0.15"/>
    <row r="35778" s="76" customFormat="1" ht="21.95" customHeight="1" x14ac:dyDescent="0.15"/>
    <row r="35779" s="76" customFormat="1" ht="21.95" customHeight="1" x14ac:dyDescent="0.15"/>
    <row r="35780" s="76" customFormat="1" ht="21.95" customHeight="1" x14ac:dyDescent="0.15"/>
    <row r="35781" s="76" customFormat="1" ht="21.95" customHeight="1" x14ac:dyDescent="0.15"/>
    <row r="35782" s="76" customFormat="1" ht="21.95" customHeight="1" x14ac:dyDescent="0.15"/>
    <row r="35783" s="76" customFormat="1" ht="21.95" customHeight="1" x14ac:dyDescent="0.15"/>
    <row r="35784" s="76" customFormat="1" ht="21.95" customHeight="1" x14ac:dyDescent="0.15"/>
    <row r="35785" s="76" customFormat="1" ht="21.95" customHeight="1" x14ac:dyDescent="0.15"/>
    <row r="35786" s="76" customFormat="1" ht="21.95" customHeight="1" x14ac:dyDescent="0.15"/>
    <row r="35787" s="76" customFormat="1" ht="21.95" customHeight="1" x14ac:dyDescent="0.15"/>
    <row r="35788" s="76" customFormat="1" ht="21.95" customHeight="1" x14ac:dyDescent="0.15"/>
    <row r="35789" s="76" customFormat="1" ht="21.95" customHeight="1" x14ac:dyDescent="0.15"/>
    <row r="35790" s="76" customFormat="1" ht="21.95" customHeight="1" x14ac:dyDescent="0.15"/>
    <row r="35791" s="76" customFormat="1" ht="21.95" customHeight="1" x14ac:dyDescent="0.15"/>
    <row r="35792" s="76" customFormat="1" ht="21.95" customHeight="1" x14ac:dyDescent="0.15"/>
    <row r="35793" s="76" customFormat="1" ht="21.95" customHeight="1" x14ac:dyDescent="0.15"/>
    <row r="35794" s="76" customFormat="1" ht="21.95" customHeight="1" x14ac:dyDescent="0.15"/>
    <row r="35795" s="76" customFormat="1" ht="21.95" customHeight="1" x14ac:dyDescent="0.15"/>
    <row r="35796" s="76" customFormat="1" ht="21.95" customHeight="1" x14ac:dyDescent="0.15"/>
    <row r="35797" s="76" customFormat="1" ht="21.95" customHeight="1" x14ac:dyDescent="0.15"/>
    <row r="35798" s="76" customFormat="1" ht="21.95" customHeight="1" x14ac:dyDescent="0.15"/>
    <row r="35799" s="76" customFormat="1" ht="21.95" customHeight="1" x14ac:dyDescent="0.15"/>
    <row r="35800" s="76" customFormat="1" ht="21.95" customHeight="1" x14ac:dyDescent="0.15"/>
    <row r="35801" s="76" customFormat="1" ht="21.95" customHeight="1" x14ac:dyDescent="0.15"/>
    <row r="35802" s="76" customFormat="1" ht="21.95" customHeight="1" x14ac:dyDescent="0.15"/>
    <row r="35803" s="76" customFormat="1" ht="21.95" customHeight="1" x14ac:dyDescent="0.15"/>
    <row r="35804" s="76" customFormat="1" ht="21.95" customHeight="1" x14ac:dyDescent="0.15"/>
    <row r="35805" s="76" customFormat="1" ht="21.95" customHeight="1" x14ac:dyDescent="0.15"/>
    <row r="35806" s="76" customFormat="1" ht="21.95" customHeight="1" x14ac:dyDescent="0.15"/>
    <row r="35807" s="76" customFormat="1" ht="21.95" customHeight="1" x14ac:dyDescent="0.15"/>
    <row r="35808" s="76" customFormat="1" ht="21.95" customHeight="1" x14ac:dyDescent="0.15"/>
    <row r="35809" s="76" customFormat="1" ht="21.95" customHeight="1" x14ac:dyDescent="0.15"/>
    <row r="35810" s="76" customFormat="1" ht="21.95" customHeight="1" x14ac:dyDescent="0.15"/>
    <row r="35811" s="76" customFormat="1" ht="21.95" customHeight="1" x14ac:dyDescent="0.15"/>
    <row r="35812" s="76" customFormat="1" ht="21.95" customHeight="1" x14ac:dyDescent="0.15"/>
    <row r="35813" s="76" customFormat="1" ht="21.95" customHeight="1" x14ac:dyDescent="0.15"/>
    <row r="35814" s="76" customFormat="1" ht="21.95" customHeight="1" x14ac:dyDescent="0.15"/>
    <row r="35815" s="76" customFormat="1" ht="21.95" customHeight="1" x14ac:dyDescent="0.15"/>
    <row r="35816" s="76" customFormat="1" ht="21.95" customHeight="1" x14ac:dyDescent="0.15"/>
    <row r="35817" s="76" customFormat="1" ht="35.1" customHeight="1" x14ac:dyDescent="0.15"/>
    <row r="35818" s="76" customFormat="1" ht="21.95" customHeight="1" x14ac:dyDescent="0.15"/>
    <row r="35819" s="76" customFormat="1" ht="21.95" customHeight="1" x14ac:dyDescent="0.15"/>
    <row r="35820" s="76" customFormat="1" ht="21.95" customHeight="1" x14ac:dyDescent="0.15"/>
    <row r="35821" s="76" customFormat="1" ht="21.95" customHeight="1" x14ac:dyDescent="0.15"/>
    <row r="35822" s="76" customFormat="1" ht="21.95" customHeight="1" x14ac:dyDescent="0.15"/>
    <row r="35823" s="76" customFormat="1" ht="21.95" customHeight="1" x14ac:dyDescent="0.15"/>
    <row r="35824" s="76" customFormat="1" ht="21.95" customHeight="1" x14ac:dyDescent="0.15"/>
    <row r="35825" s="76" customFormat="1" ht="21.95" customHeight="1" x14ac:dyDescent="0.15"/>
    <row r="35826" s="76" customFormat="1" ht="21.95" customHeight="1" x14ac:dyDescent="0.15"/>
    <row r="35827" s="76" customFormat="1" ht="21.95" customHeight="1" x14ac:dyDescent="0.15"/>
    <row r="35828" s="76" customFormat="1" ht="21.95" customHeight="1" x14ac:dyDescent="0.15"/>
    <row r="35829" s="76" customFormat="1" ht="21.95" customHeight="1" x14ac:dyDescent="0.15"/>
    <row r="35830" s="76" customFormat="1" ht="21.95" customHeight="1" x14ac:dyDescent="0.15"/>
    <row r="35831" s="76" customFormat="1" ht="21.95" customHeight="1" x14ac:dyDescent="0.15"/>
    <row r="35832" s="76" customFormat="1" ht="21.95" customHeight="1" x14ac:dyDescent="0.15"/>
    <row r="35833" s="76" customFormat="1" ht="21.95" customHeight="1" x14ac:dyDescent="0.15"/>
    <row r="35834" s="76" customFormat="1" ht="21.95" customHeight="1" x14ac:dyDescent="0.15"/>
    <row r="35835" s="76" customFormat="1" ht="21.95" customHeight="1" x14ac:dyDescent="0.15"/>
    <row r="35836" s="76" customFormat="1" ht="21.95" customHeight="1" x14ac:dyDescent="0.15"/>
    <row r="35837" s="76" customFormat="1" ht="21.95" customHeight="1" x14ac:dyDescent="0.15"/>
    <row r="35838" s="76" customFormat="1" ht="21.95" customHeight="1" x14ac:dyDescent="0.15"/>
    <row r="35839" s="76" customFormat="1" ht="21.95" customHeight="1" x14ac:dyDescent="0.15"/>
    <row r="35840" s="76" customFormat="1" ht="21.95" customHeight="1" x14ac:dyDescent="0.15"/>
    <row r="35841" spans="3:3" customFormat="1" ht="21.95" customHeight="1" x14ac:dyDescent="0.15"/>
    <row r="35842" spans="3:3" customFormat="1" ht="21.95" customHeight="1" x14ac:dyDescent="0.15"/>
    <row r="35843" spans="3:3" customFormat="1" ht="21.95" customHeight="1" x14ac:dyDescent="0.15">
      <c r="C35843" s="94"/>
    </row>
    <row r="35844" spans="3:3" customFormat="1" ht="21.95" customHeight="1" x14ac:dyDescent="0.15">
      <c r="C35844" s="94"/>
    </row>
    <row r="35845" spans="3:3" customFormat="1" ht="21.95" customHeight="1" x14ac:dyDescent="0.15"/>
    <row r="35846" spans="3:3" customFormat="1" ht="21.95" customHeight="1" x14ac:dyDescent="0.15"/>
    <row r="35847" spans="3:3" customFormat="1" ht="21.95" customHeight="1" x14ac:dyDescent="0.15"/>
    <row r="35848" spans="3:3" customFormat="1" ht="21.95" customHeight="1" x14ac:dyDescent="0.15"/>
    <row r="35849" spans="3:3" customFormat="1" ht="21.95" customHeight="1" x14ac:dyDescent="0.15"/>
    <row r="35850" spans="3:3" customFormat="1" ht="21.95" customHeight="1" x14ac:dyDescent="0.15"/>
    <row r="35851" spans="3:3" customFormat="1" ht="21.95" customHeight="1" x14ac:dyDescent="0.15"/>
    <row r="35852" spans="3:3" s="76" customFormat="1" ht="21.95" customHeight="1" x14ac:dyDescent="0.15"/>
    <row r="35853" spans="3:3" s="76" customFormat="1" ht="21.95" customHeight="1" x14ac:dyDescent="0.15"/>
    <row r="35854" spans="3:3" s="76" customFormat="1" ht="21.95" customHeight="1" x14ac:dyDescent="0.15"/>
    <row r="35855" spans="3:3" s="76" customFormat="1" ht="21.95" customHeight="1" x14ac:dyDescent="0.15"/>
    <row r="35856" spans="3:3" customFormat="1" ht="21.95" customHeight="1" x14ac:dyDescent="0.15"/>
    <row r="35857" customFormat="1" ht="21.95" customHeight="1" x14ac:dyDescent="0.15"/>
    <row r="35858" customFormat="1" ht="21.95" customHeight="1" x14ac:dyDescent="0.15"/>
    <row r="35859" customFormat="1" ht="21.95" customHeight="1" x14ac:dyDescent="0.15"/>
    <row r="35860" customFormat="1" ht="21.95" customHeight="1" x14ac:dyDescent="0.15"/>
    <row r="35861" customFormat="1" ht="21.95" customHeight="1" x14ac:dyDescent="0.15"/>
    <row r="35862" customFormat="1" ht="21.95" customHeight="1" x14ac:dyDescent="0.15"/>
    <row r="35863" customFormat="1" ht="21.95" customHeight="1" x14ac:dyDescent="0.15"/>
    <row r="35864" customFormat="1" ht="21.95" customHeight="1" x14ac:dyDescent="0.15"/>
    <row r="35865" customFormat="1" ht="21.95" customHeight="1" x14ac:dyDescent="0.15"/>
    <row r="35866" customFormat="1" ht="21.95" customHeight="1" x14ac:dyDescent="0.15"/>
    <row r="35867" customFormat="1" ht="32.1" customHeight="1" x14ac:dyDescent="0.15"/>
    <row r="35868" customFormat="1" ht="32.1" customHeight="1" x14ac:dyDescent="0.15"/>
    <row r="35869" customFormat="1" ht="32.1" customHeight="1" x14ac:dyDescent="0.15"/>
    <row r="35870" customFormat="1" ht="32.1" customHeight="1" x14ac:dyDescent="0.15"/>
    <row r="35871" customFormat="1" ht="32.1" customHeight="1" x14ac:dyDescent="0.15"/>
    <row r="35872" customFormat="1" ht="32.1" customHeight="1" x14ac:dyDescent="0.15"/>
    <row r="35873" s="76" customFormat="1" ht="32.1" customHeight="1" x14ac:dyDescent="0.15"/>
    <row r="35874" s="76" customFormat="1" ht="32.1" customHeight="1" x14ac:dyDescent="0.15"/>
    <row r="35875" s="76" customFormat="1" ht="32.1" customHeight="1" x14ac:dyDescent="0.15"/>
    <row r="35876" s="76" customFormat="1" ht="32.1" customHeight="1" x14ac:dyDescent="0.15"/>
    <row r="35877" s="76" customFormat="1" ht="21.95" customHeight="1" x14ac:dyDescent="0.15"/>
    <row r="35878" s="76" customFormat="1" ht="54" customHeight="1" x14ac:dyDescent="0.15"/>
    <row r="35879" s="76" customFormat="1" ht="21.95" customHeight="1" x14ac:dyDescent="0.15"/>
    <row r="35880" s="76" customFormat="1" ht="21.95" customHeight="1" x14ac:dyDescent="0.15"/>
    <row r="35881" s="76" customFormat="1" ht="21.95" customHeight="1" x14ac:dyDescent="0.15"/>
    <row r="35882" s="76" customFormat="1" ht="21.95" customHeight="1" x14ac:dyDescent="0.15"/>
    <row r="35883" s="76" customFormat="1" ht="21.95" customHeight="1" x14ac:dyDescent="0.15"/>
    <row r="35884" s="76" customFormat="1" ht="21.95" customHeight="1" x14ac:dyDescent="0.15"/>
    <row r="35885" s="76" customFormat="1" ht="21.95" customHeight="1" x14ac:dyDescent="0.15"/>
    <row r="35886" s="76" customFormat="1" ht="21.95" customHeight="1" x14ac:dyDescent="0.15"/>
    <row r="35887" s="76" customFormat="1" ht="21.95" customHeight="1" x14ac:dyDescent="0.15"/>
    <row r="35888" s="76" customFormat="1" ht="21.95" customHeight="1" x14ac:dyDescent="0.15"/>
    <row r="35889" s="76" customFormat="1" ht="21.95" customHeight="1" x14ac:dyDescent="0.15"/>
    <row r="35890" s="76" customFormat="1" ht="21.95" customHeight="1" x14ac:dyDescent="0.15"/>
    <row r="35891" s="76" customFormat="1" ht="21.95" customHeight="1" x14ac:dyDescent="0.15"/>
    <row r="35892" s="76" customFormat="1" ht="21.95" customHeight="1" x14ac:dyDescent="0.15"/>
    <row r="35893" s="76" customFormat="1" ht="21.95" customHeight="1" x14ac:dyDescent="0.15"/>
    <row r="35894" s="76" customFormat="1" ht="21.95" customHeight="1" x14ac:dyDescent="0.15"/>
    <row r="35895" s="76" customFormat="1" ht="21.95" customHeight="1" x14ac:dyDescent="0.15"/>
    <row r="35896" s="76" customFormat="1" ht="21.95" customHeight="1" x14ac:dyDescent="0.15"/>
    <row r="35897" s="76" customFormat="1" ht="21.95" customHeight="1" x14ac:dyDescent="0.15"/>
    <row r="35898" s="76" customFormat="1" ht="21.95" customHeight="1" x14ac:dyDescent="0.15"/>
    <row r="35899" s="76" customFormat="1" ht="21.95" customHeight="1" x14ac:dyDescent="0.15"/>
    <row r="35900" s="76" customFormat="1" ht="21.95" customHeight="1" x14ac:dyDescent="0.15"/>
    <row r="35901" s="76" customFormat="1" ht="21.95" customHeight="1" x14ac:dyDescent="0.15"/>
    <row r="35902" s="76" customFormat="1" ht="21.95" customHeight="1" x14ac:dyDescent="0.15"/>
    <row r="35903" s="76" customFormat="1" ht="21.95" customHeight="1" x14ac:dyDescent="0.15"/>
    <row r="35904" s="76" customFormat="1" ht="21.95" customHeight="1" x14ac:dyDescent="0.15"/>
    <row r="35905" s="76" customFormat="1" ht="21.95" customHeight="1" x14ac:dyDescent="0.15"/>
    <row r="35906" s="76" customFormat="1" ht="21.95" customHeight="1" x14ac:dyDescent="0.15"/>
    <row r="35907" s="76" customFormat="1" ht="21.95" customHeight="1" x14ac:dyDescent="0.15"/>
    <row r="35908" s="76" customFormat="1" ht="21.95" customHeight="1" x14ac:dyDescent="0.15"/>
    <row r="35909" s="76" customFormat="1" ht="21.95" customHeight="1" x14ac:dyDescent="0.15"/>
    <row r="35910" s="76" customFormat="1" ht="21.95" customHeight="1" x14ac:dyDescent="0.15"/>
    <row r="35911" s="76" customFormat="1" ht="21.95" customHeight="1" x14ac:dyDescent="0.15"/>
    <row r="35912" s="76" customFormat="1" ht="21.95" customHeight="1" x14ac:dyDescent="0.15"/>
    <row r="35913" s="76" customFormat="1" ht="21.95" customHeight="1" x14ac:dyDescent="0.15"/>
    <row r="35914" s="76" customFormat="1" ht="21.95" customHeight="1" x14ac:dyDescent="0.15"/>
    <row r="35915" s="76" customFormat="1" ht="21.95" customHeight="1" x14ac:dyDescent="0.15"/>
    <row r="35916" s="76" customFormat="1" ht="21.95" customHeight="1" x14ac:dyDescent="0.15"/>
    <row r="35917" s="76" customFormat="1" ht="21.95" customHeight="1" x14ac:dyDescent="0.15"/>
    <row r="35918" s="76" customFormat="1" ht="21.95" customHeight="1" x14ac:dyDescent="0.15"/>
    <row r="35919" s="76" customFormat="1" ht="21.95" customHeight="1" x14ac:dyDescent="0.15"/>
    <row r="35920" s="76" customFormat="1" ht="21.95" customHeight="1" x14ac:dyDescent="0.15"/>
    <row r="35921" s="76" customFormat="1" ht="21.95" customHeight="1" x14ac:dyDescent="0.15"/>
    <row r="35922" s="76" customFormat="1" ht="21.95" customHeight="1" x14ac:dyDescent="0.15"/>
    <row r="35923" s="76" customFormat="1" ht="21.95" customHeight="1" x14ac:dyDescent="0.15"/>
    <row r="35924" s="76" customFormat="1" ht="21.95" customHeight="1" x14ac:dyDescent="0.15"/>
    <row r="35925" s="76" customFormat="1" ht="21.95" customHeight="1" x14ac:dyDescent="0.15"/>
    <row r="35926" s="76" customFormat="1" ht="21.95" customHeight="1" x14ac:dyDescent="0.15"/>
    <row r="35927" s="76" customFormat="1" ht="21.95" customHeight="1" x14ac:dyDescent="0.15"/>
    <row r="35928" s="76" customFormat="1" ht="21.95" customHeight="1" x14ac:dyDescent="0.15"/>
    <row r="35929" s="76" customFormat="1" ht="35.1" customHeight="1" x14ac:dyDescent="0.15"/>
    <row r="35930" s="76" customFormat="1" ht="21.95" customHeight="1" x14ac:dyDescent="0.15"/>
    <row r="35931" s="76" customFormat="1" ht="21.95" customHeight="1" x14ac:dyDescent="0.15"/>
    <row r="35932" s="76" customFormat="1" ht="21.95" customHeight="1" x14ac:dyDescent="0.15"/>
    <row r="35933" s="76" customFormat="1" ht="21.95" customHeight="1" x14ac:dyDescent="0.15"/>
    <row r="35934" s="76" customFormat="1" ht="21.95" customHeight="1" x14ac:dyDescent="0.15"/>
    <row r="35935" s="76" customFormat="1" ht="21.95" customHeight="1" x14ac:dyDescent="0.15"/>
    <row r="35936" s="76" customFormat="1" ht="21.95" customHeight="1" x14ac:dyDescent="0.15"/>
    <row r="35937" s="76" customFormat="1" ht="21.95" customHeight="1" x14ac:dyDescent="0.15"/>
    <row r="35938" s="76" customFormat="1" ht="21.95" customHeight="1" x14ac:dyDescent="0.15"/>
    <row r="35939" s="76" customFormat="1" ht="21.95" customHeight="1" x14ac:dyDescent="0.15"/>
    <row r="35940" s="76" customFormat="1" ht="21.95" customHeight="1" x14ac:dyDescent="0.15"/>
    <row r="35941" s="76" customFormat="1" ht="21.95" customHeight="1" x14ac:dyDescent="0.15"/>
    <row r="35942" s="76" customFormat="1" ht="21.95" customHeight="1" x14ac:dyDescent="0.15"/>
    <row r="35943" s="76" customFormat="1" ht="21.95" customHeight="1" x14ac:dyDescent="0.15"/>
    <row r="35944" s="76" customFormat="1" ht="21.95" customHeight="1" x14ac:dyDescent="0.15"/>
    <row r="35945" s="76" customFormat="1" ht="21.95" customHeight="1" x14ac:dyDescent="0.15"/>
    <row r="35946" s="76" customFormat="1" ht="21.95" customHeight="1" x14ac:dyDescent="0.15"/>
    <row r="35947" s="76" customFormat="1" ht="21.95" customHeight="1" x14ac:dyDescent="0.15"/>
    <row r="35948" s="76" customFormat="1" ht="21.95" customHeight="1" x14ac:dyDescent="0.15"/>
    <row r="35949" s="76" customFormat="1" ht="21.95" customHeight="1" x14ac:dyDescent="0.15"/>
    <row r="35950" s="76" customFormat="1" ht="21.95" customHeight="1" x14ac:dyDescent="0.15"/>
    <row r="35951" s="76" customFormat="1" ht="21.95" customHeight="1" x14ac:dyDescent="0.15"/>
    <row r="35952" s="76" customFormat="1" ht="21.95" customHeight="1" x14ac:dyDescent="0.15"/>
    <row r="35953" spans="3:3" customFormat="1" ht="21.95" customHeight="1" x14ac:dyDescent="0.15"/>
    <row r="35954" spans="3:3" customFormat="1" ht="21.95" customHeight="1" x14ac:dyDescent="0.15"/>
    <row r="35955" spans="3:3" customFormat="1" ht="21.95" customHeight="1" x14ac:dyDescent="0.15">
      <c r="C35955" s="94"/>
    </row>
    <row r="35956" spans="3:3" customFormat="1" ht="21.95" customHeight="1" x14ac:dyDescent="0.15">
      <c r="C35956" s="94"/>
    </row>
    <row r="35957" spans="3:3" customFormat="1" ht="21.95" customHeight="1" x14ac:dyDescent="0.15"/>
    <row r="35958" spans="3:3" customFormat="1" ht="21.95" customHeight="1" x14ac:dyDescent="0.15"/>
    <row r="35959" spans="3:3" customFormat="1" ht="21.95" customHeight="1" x14ac:dyDescent="0.15"/>
    <row r="35960" spans="3:3" customFormat="1" ht="21.95" customHeight="1" x14ac:dyDescent="0.15"/>
    <row r="35961" spans="3:3" customFormat="1" ht="21.95" customHeight="1" x14ac:dyDescent="0.15"/>
    <row r="35962" spans="3:3" customFormat="1" ht="21.95" customHeight="1" x14ac:dyDescent="0.15"/>
    <row r="35963" spans="3:3" customFormat="1" ht="21.95" customHeight="1" x14ac:dyDescent="0.15"/>
    <row r="35964" spans="3:3" s="76" customFormat="1" ht="21.95" customHeight="1" x14ac:dyDescent="0.15"/>
    <row r="35965" spans="3:3" s="76" customFormat="1" ht="21.95" customHeight="1" x14ac:dyDescent="0.15"/>
    <row r="35966" spans="3:3" s="76" customFormat="1" ht="21.95" customHeight="1" x14ac:dyDescent="0.15"/>
    <row r="35967" spans="3:3" s="76" customFormat="1" ht="21.95" customHeight="1" x14ac:dyDescent="0.15"/>
    <row r="35968" spans="3:3" customFormat="1" ht="21.95" customHeight="1" x14ac:dyDescent="0.15"/>
    <row r="35969" customFormat="1" ht="21.95" customHeight="1" x14ac:dyDescent="0.15"/>
    <row r="35970" customFormat="1" ht="21.95" customHeight="1" x14ac:dyDescent="0.15"/>
    <row r="35971" customFormat="1" ht="21.95" customHeight="1" x14ac:dyDescent="0.15"/>
    <row r="35972" customFormat="1" ht="21.95" customHeight="1" x14ac:dyDescent="0.15"/>
    <row r="35973" customFormat="1" ht="21.95" customHeight="1" x14ac:dyDescent="0.15"/>
    <row r="35974" customFormat="1" ht="21.95" customHeight="1" x14ac:dyDescent="0.15"/>
    <row r="35975" customFormat="1" ht="21.95" customHeight="1" x14ac:dyDescent="0.15"/>
    <row r="35976" customFormat="1" ht="21.95" customHeight="1" x14ac:dyDescent="0.15"/>
    <row r="35977" customFormat="1" ht="21.95" customHeight="1" x14ac:dyDescent="0.15"/>
    <row r="35978" customFormat="1" ht="21.95" customHeight="1" x14ac:dyDescent="0.15"/>
    <row r="35979" customFormat="1" ht="32.1" customHeight="1" x14ac:dyDescent="0.15"/>
    <row r="35980" customFormat="1" ht="32.1" customHeight="1" x14ac:dyDescent="0.15"/>
    <row r="35981" customFormat="1" ht="32.1" customHeight="1" x14ac:dyDescent="0.15"/>
    <row r="35982" customFormat="1" ht="32.1" customHeight="1" x14ac:dyDescent="0.15"/>
    <row r="35983" customFormat="1" ht="32.1" customHeight="1" x14ac:dyDescent="0.15"/>
    <row r="35984" customFormat="1" ht="32.1" customHeight="1" x14ac:dyDescent="0.15"/>
    <row r="35985" s="76" customFormat="1" ht="32.1" customHeight="1" x14ac:dyDescent="0.15"/>
    <row r="35986" s="76" customFormat="1" ht="32.1" customHeight="1" x14ac:dyDescent="0.15"/>
    <row r="35987" s="76" customFormat="1" ht="32.1" customHeight="1" x14ac:dyDescent="0.15"/>
    <row r="35988" s="76" customFormat="1" ht="32.1" customHeight="1" x14ac:dyDescent="0.15"/>
    <row r="35989" s="76" customFormat="1" ht="21.95" customHeight="1" x14ac:dyDescent="0.15"/>
    <row r="35990" s="76" customFormat="1" ht="54" customHeight="1" x14ac:dyDescent="0.15"/>
    <row r="35991" s="76" customFormat="1" ht="21.95" customHeight="1" x14ac:dyDescent="0.15"/>
    <row r="35992" s="76" customFormat="1" ht="21.95" customHeight="1" x14ac:dyDescent="0.15"/>
    <row r="35993" s="76" customFormat="1" ht="21.95" customHeight="1" x14ac:dyDescent="0.15"/>
    <row r="35994" s="76" customFormat="1" ht="21.95" customHeight="1" x14ac:dyDescent="0.15"/>
    <row r="35995" s="76" customFormat="1" ht="21.95" customHeight="1" x14ac:dyDescent="0.15"/>
    <row r="35996" s="76" customFormat="1" ht="21.95" customHeight="1" x14ac:dyDescent="0.15"/>
    <row r="35997" s="76" customFormat="1" ht="21.95" customHeight="1" x14ac:dyDescent="0.15"/>
    <row r="35998" s="76" customFormat="1" ht="21.95" customHeight="1" x14ac:dyDescent="0.15"/>
    <row r="35999" s="76" customFormat="1" ht="21.95" customHeight="1" x14ac:dyDescent="0.15"/>
    <row r="36000" s="76" customFormat="1" ht="21.95" customHeight="1" x14ac:dyDescent="0.15"/>
    <row r="36001" s="76" customFormat="1" ht="21.95" customHeight="1" x14ac:dyDescent="0.15"/>
    <row r="36002" s="76" customFormat="1" ht="21.95" customHeight="1" x14ac:dyDescent="0.15"/>
    <row r="36003" s="76" customFormat="1" ht="21.95" customHeight="1" x14ac:dyDescent="0.15"/>
    <row r="36004" s="76" customFormat="1" ht="21.95" customHeight="1" x14ac:dyDescent="0.15"/>
    <row r="36005" s="76" customFormat="1" ht="21.95" customHeight="1" x14ac:dyDescent="0.15"/>
    <row r="36006" s="76" customFormat="1" ht="21.95" customHeight="1" x14ac:dyDescent="0.15"/>
    <row r="36007" s="76" customFormat="1" ht="21.95" customHeight="1" x14ac:dyDescent="0.15"/>
    <row r="36008" s="76" customFormat="1" ht="21.95" customHeight="1" x14ac:dyDescent="0.15"/>
    <row r="36009" s="76" customFormat="1" ht="21.95" customHeight="1" x14ac:dyDescent="0.15"/>
    <row r="36010" s="76" customFormat="1" ht="21.95" customHeight="1" x14ac:dyDescent="0.15"/>
    <row r="36011" s="76" customFormat="1" ht="21.95" customHeight="1" x14ac:dyDescent="0.15"/>
    <row r="36012" s="76" customFormat="1" ht="21.95" customHeight="1" x14ac:dyDescent="0.15"/>
    <row r="36013" s="76" customFormat="1" ht="21.95" customHeight="1" x14ac:dyDescent="0.15"/>
    <row r="36014" s="76" customFormat="1" ht="21.95" customHeight="1" x14ac:dyDescent="0.15"/>
    <row r="36015" s="76" customFormat="1" ht="21.95" customHeight="1" x14ac:dyDescent="0.15"/>
    <row r="36016" s="76" customFormat="1" ht="21.95" customHeight="1" x14ac:dyDescent="0.15"/>
    <row r="36017" s="76" customFormat="1" ht="21.95" customHeight="1" x14ac:dyDescent="0.15"/>
    <row r="36018" s="76" customFormat="1" ht="21.95" customHeight="1" x14ac:dyDescent="0.15"/>
    <row r="36019" s="76" customFormat="1" ht="21.95" customHeight="1" x14ac:dyDescent="0.15"/>
    <row r="36020" s="76" customFormat="1" ht="21.95" customHeight="1" x14ac:dyDescent="0.15"/>
    <row r="36021" s="76" customFormat="1" ht="21.95" customHeight="1" x14ac:dyDescent="0.15"/>
    <row r="36022" s="76" customFormat="1" ht="21.95" customHeight="1" x14ac:dyDescent="0.15"/>
    <row r="36023" s="76" customFormat="1" ht="21.95" customHeight="1" x14ac:dyDescent="0.15"/>
    <row r="36024" s="76" customFormat="1" ht="21.95" customHeight="1" x14ac:dyDescent="0.15"/>
    <row r="36025" s="76" customFormat="1" ht="21.95" customHeight="1" x14ac:dyDescent="0.15"/>
    <row r="36026" s="76" customFormat="1" ht="21.95" customHeight="1" x14ac:dyDescent="0.15"/>
    <row r="36027" s="76" customFormat="1" ht="21.95" customHeight="1" x14ac:dyDescent="0.15"/>
    <row r="36028" s="76" customFormat="1" ht="21.95" customHeight="1" x14ac:dyDescent="0.15"/>
    <row r="36029" s="76" customFormat="1" ht="21.95" customHeight="1" x14ac:dyDescent="0.15"/>
    <row r="36030" s="76" customFormat="1" ht="21.95" customHeight="1" x14ac:dyDescent="0.15"/>
    <row r="36031" s="76" customFormat="1" ht="21.95" customHeight="1" x14ac:dyDescent="0.15"/>
    <row r="36032" s="76" customFormat="1" ht="21.95" customHeight="1" x14ac:dyDescent="0.15"/>
    <row r="36033" s="76" customFormat="1" ht="21.95" customHeight="1" x14ac:dyDescent="0.15"/>
    <row r="36034" s="76" customFormat="1" ht="21.95" customHeight="1" x14ac:dyDescent="0.15"/>
    <row r="36035" s="76" customFormat="1" ht="21.95" customHeight="1" x14ac:dyDescent="0.15"/>
    <row r="36036" s="76" customFormat="1" ht="21.95" customHeight="1" x14ac:dyDescent="0.15"/>
    <row r="36037" s="76" customFormat="1" ht="21.95" customHeight="1" x14ac:dyDescent="0.15"/>
    <row r="36038" s="76" customFormat="1" ht="21.95" customHeight="1" x14ac:dyDescent="0.15"/>
    <row r="36039" s="76" customFormat="1" ht="21.95" customHeight="1" x14ac:dyDescent="0.15"/>
    <row r="36040" s="76" customFormat="1" ht="21.95" customHeight="1" x14ac:dyDescent="0.15"/>
    <row r="36041" s="76" customFormat="1" ht="35.1" customHeight="1" x14ac:dyDescent="0.15"/>
    <row r="36042" s="76" customFormat="1" ht="21.95" customHeight="1" x14ac:dyDescent="0.15"/>
    <row r="36043" s="76" customFormat="1" ht="21.95" customHeight="1" x14ac:dyDescent="0.15"/>
    <row r="36044" s="76" customFormat="1" ht="21.95" customHeight="1" x14ac:dyDescent="0.15"/>
    <row r="36045" s="76" customFormat="1" ht="21.95" customHeight="1" x14ac:dyDescent="0.15"/>
    <row r="36046" s="76" customFormat="1" ht="21.95" customHeight="1" x14ac:dyDescent="0.15"/>
    <row r="36047" s="76" customFormat="1" ht="21.95" customHeight="1" x14ac:dyDescent="0.15"/>
    <row r="36048" s="76" customFormat="1" ht="21.95" customHeight="1" x14ac:dyDescent="0.15"/>
    <row r="36049" s="76" customFormat="1" ht="21.95" customHeight="1" x14ac:dyDescent="0.15"/>
    <row r="36050" s="76" customFormat="1" ht="21.95" customHeight="1" x14ac:dyDescent="0.15"/>
    <row r="36051" s="76" customFormat="1" ht="21.95" customHeight="1" x14ac:dyDescent="0.15"/>
    <row r="36052" s="76" customFormat="1" ht="21.95" customHeight="1" x14ac:dyDescent="0.15"/>
    <row r="36053" s="76" customFormat="1" ht="21.95" customHeight="1" x14ac:dyDescent="0.15"/>
    <row r="36054" s="76" customFormat="1" ht="21.95" customHeight="1" x14ac:dyDescent="0.15"/>
    <row r="36055" s="76" customFormat="1" ht="21.95" customHeight="1" x14ac:dyDescent="0.15"/>
    <row r="36056" s="76" customFormat="1" ht="21.95" customHeight="1" x14ac:dyDescent="0.15"/>
    <row r="36057" s="76" customFormat="1" ht="21.95" customHeight="1" x14ac:dyDescent="0.15"/>
    <row r="36058" s="76" customFormat="1" ht="21.95" customHeight="1" x14ac:dyDescent="0.15"/>
    <row r="36059" s="76" customFormat="1" ht="21.95" customHeight="1" x14ac:dyDescent="0.15"/>
    <row r="36060" s="76" customFormat="1" ht="21.95" customHeight="1" x14ac:dyDescent="0.15"/>
    <row r="36061" s="76" customFormat="1" ht="21.95" customHeight="1" x14ac:dyDescent="0.15"/>
    <row r="36062" s="76" customFormat="1" ht="21.95" customHeight="1" x14ac:dyDescent="0.15"/>
    <row r="36063" s="76" customFormat="1" ht="21.95" customHeight="1" x14ac:dyDescent="0.15"/>
    <row r="36064" s="76" customFormat="1" ht="21.95" customHeight="1" x14ac:dyDescent="0.15"/>
    <row r="36065" spans="3:3" customFormat="1" ht="21.95" customHeight="1" x14ac:dyDescent="0.15"/>
    <row r="36066" spans="3:3" customFormat="1" ht="21.95" customHeight="1" x14ac:dyDescent="0.15"/>
    <row r="36067" spans="3:3" customFormat="1" ht="21.95" customHeight="1" x14ac:dyDescent="0.15">
      <c r="C36067" s="94"/>
    </row>
    <row r="36068" spans="3:3" customFormat="1" ht="21.95" customHeight="1" x14ac:dyDescent="0.15">
      <c r="C36068" s="94"/>
    </row>
    <row r="36069" spans="3:3" customFormat="1" ht="21.95" customHeight="1" x14ac:dyDescent="0.15"/>
    <row r="36070" spans="3:3" customFormat="1" ht="21.95" customHeight="1" x14ac:dyDescent="0.15"/>
    <row r="36071" spans="3:3" customFormat="1" ht="21.95" customHeight="1" x14ac:dyDescent="0.15"/>
    <row r="36072" spans="3:3" customFormat="1" ht="21.95" customHeight="1" x14ac:dyDescent="0.15"/>
    <row r="36073" spans="3:3" customFormat="1" ht="21.95" customHeight="1" x14ac:dyDescent="0.15"/>
    <row r="36074" spans="3:3" customFormat="1" ht="21.95" customHeight="1" x14ac:dyDescent="0.15"/>
    <row r="36075" spans="3:3" customFormat="1" ht="21.95" customHeight="1" x14ac:dyDescent="0.15"/>
    <row r="36076" spans="3:3" s="76" customFormat="1" ht="21.95" customHeight="1" x14ac:dyDescent="0.15"/>
    <row r="36077" spans="3:3" s="76" customFormat="1" ht="21.95" customHeight="1" x14ac:dyDescent="0.15"/>
    <row r="36078" spans="3:3" s="76" customFormat="1" ht="21.95" customHeight="1" x14ac:dyDescent="0.15"/>
    <row r="36079" spans="3:3" s="76" customFormat="1" ht="21.95" customHeight="1" x14ac:dyDescent="0.15"/>
    <row r="36080" spans="3:3" customFormat="1" ht="21.95" customHeight="1" x14ac:dyDescent="0.15"/>
    <row r="36081" customFormat="1" ht="21.95" customHeight="1" x14ac:dyDescent="0.15"/>
    <row r="36082" customFormat="1" ht="21.95" customHeight="1" x14ac:dyDescent="0.15"/>
    <row r="36083" customFormat="1" ht="21.95" customHeight="1" x14ac:dyDescent="0.15"/>
    <row r="36084" customFormat="1" ht="21.95" customHeight="1" x14ac:dyDescent="0.15"/>
    <row r="36085" customFormat="1" ht="21.95" customHeight="1" x14ac:dyDescent="0.15"/>
    <row r="36086" customFormat="1" ht="21.95" customHeight="1" x14ac:dyDescent="0.15"/>
    <row r="36087" customFormat="1" ht="21.95" customHeight="1" x14ac:dyDescent="0.15"/>
    <row r="36088" customFormat="1" ht="21.95" customHeight="1" x14ac:dyDescent="0.15"/>
    <row r="36089" customFormat="1" ht="21.95" customHeight="1" x14ac:dyDescent="0.15"/>
    <row r="36090" customFormat="1" ht="21.95" customHeight="1" x14ac:dyDescent="0.15"/>
    <row r="36091" customFormat="1" ht="32.1" customHeight="1" x14ac:dyDescent="0.15"/>
    <row r="36092" customFormat="1" ht="32.1" customHeight="1" x14ac:dyDescent="0.15"/>
    <row r="36093" customFormat="1" ht="32.1" customHeight="1" x14ac:dyDescent="0.15"/>
    <row r="36094" customFormat="1" ht="32.1" customHeight="1" x14ac:dyDescent="0.15"/>
    <row r="36095" customFormat="1" ht="32.1" customHeight="1" x14ac:dyDescent="0.15"/>
    <row r="36096" customFormat="1" ht="32.1" customHeight="1" x14ac:dyDescent="0.15"/>
    <row r="36097" s="76" customFormat="1" ht="32.1" customHeight="1" x14ac:dyDescent="0.15"/>
    <row r="36098" s="76" customFormat="1" ht="32.1" customHeight="1" x14ac:dyDescent="0.15"/>
    <row r="36099" s="76" customFormat="1" ht="32.1" customHeight="1" x14ac:dyDescent="0.15"/>
    <row r="36100" s="76" customFormat="1" ht="32.1" customHeight="1" x14ac:dyDescent="0.15"/>
    <row r="36101" s="76" customFormat="1" ht="21.95" customHeight="1" x14ac:dyDescent="0.15"/>
    <row r="36102" s="76" customFormat="1" ht="54" customHeight="1" x14ac:dyDescent="0.15"/>
    <row r="36103" s="76" customFormat="1" ht="21.95" customHeight="1" x14ac:dyDescent="0.15"/>
    <row r="36104" s="76" customFormat="1" ht="21.95" customHeight="1" x14ac:dyDescent="0.15"/>
    <row r="36105" s="76" customFormat="1" ht="21.95" customHeight="1" x14ac:dyDescent="0.15"/>
    <row r="36106" s="76" customFormat="1" ht="21.95" customHeight="1" x14ac:dyDescent="0.15"/>
    <row r="36107" s="76" customFormat="1" ht="21.95" customHeight="1" x14ac:dyDescent="0.15"/>
    <row r="36108" s="76" customFormat="1" ht="21.95" customHeight="1" x14ac:dyDescent="0.15"/>
    <row r="36109" s="76" customFormat="1" ht="21.95" customHeight="1" x14ac:dyDescent="0.15"/>
    <row r="36110" s="76" customFormat="1" ht="21.95" customHeight="1" x14ac:dyDescent="0.15"/>
    <row r="36111" s="76" customFormat="1" ht="21.95" customHeight="1" x14ac:dyDescent="0.15"/>
    <row r="36112" s="76" customFormat="1" ht="21.95" customHeight="1" x14ac:dyDescent="0.15"/>
    <row r="36113" s="76" customFormat="1" ht="21.95" customHeight="1" x14ac:dyDescent="0.15"/>
    <row r="36114" s="76" customFormat="1" ht="21.95" customHeight="1" x14ac:dyDescent="0.15"/>
    <row r="36115" s="76" customFormat="1" ht="21.95" customHeight="1" x14ac:dyDescent="0.15"/>
    <row r="36116" s="76" customFormat="1" ht="21.95" customHeight="1" x14ac:dyDescent="0.15"/>
    <row r="36117" s="76" customFormat="1" ht="21.95" customHeight="1" x14ac:dyDescent="0.15"/>
    <row r="36118" s="76" customFormat="1" ht="21.95" customHeight="1" x14ac:dyDescent="0.15"/>
    <row r="36119" s="76" customFormat="1" ht="21.95" customHeight="1" x14ac:dyDescent="0.15"/>
    <row r="36120" s="76" customFormat="1" ht="21.95" customHeight="1" x14ac:dyDescent="0.15"/>
    <row r="36121" s="76" customFormat="1" ht="21.95" customHeight="1" x14ac:dyDescent="0.15"/>
    <row r="36122" s="76" customFormat="1" ht="21.95" customHeight="1" x14ac:dyDescent="0.15"/>
    <row r="36123" s="76" customFormat="1" ht="21.95" customHeight="1" x14ac:dyDescent="0.15"/>
    <row r="36124" s="76" customFormat="1" ht="21.95" customHeight="1" x14ac:dyDescent="0.15"/>
    <row r="36125" s="76" customFormat="1" ht="21.95" customHeight="1" x14ac:dyDescent="0.15"/>
    <row r="36126" s="76" customFormat="1" ht="21.95" customHeight="1" x14ac:dyDescent="0.15"/>
    <row r="36127" s="76" customFormat="1" ht="21.95" customHeight="1" x14ac:dyDescent="0.15"/>
    <row r="36128" s="76" customFormat="1" ht="21.95" customHeight="1" x14ac:dyDescent="0.15"/>
    <row r="36129" s="76" customFormat="1" ht="21.95" customHeight="1" x14ac:dyDescent="0.15"/>
    <row r="36130" s="76" customFormat="1" ht="21.95" customHeight="1" x14ac:dyDescent="0.15"/>
    <row r="36131" s="76" customFormat="1" ht="21.95" customHeight="1" x14ac:dyDescent="0.15"/>
    <row r="36132" s="76" customFormat="1" ht="21.95" customHeight="1" x14ac:dyDescent="0.15"/>
    <row r="36133" s="76" customFormat="1" ht="21.95" customHeight="1" x14ac:dyDescent="0.15"/>
    <row r="36134" s="76" customFormat="1" ht="21.95" customHeight="1" x14ac:dyDescent="0.15"/>
    <row r="36135" s="76" customFormat="1" ht="21.95" customHeight="1" x14ac:dyDescent="0.15"/>
    <row r="36136" s="76" customFormat="1" ht="21.95" customHeight="1" x14ac:dyDescent="0.15"/>
    <row r="36137" s="76" customFormat="1" ht="21.95" customHeight="1" x14ac:dyDescent="0.15"/>
    <row r="36138" s="76" customFormat="1" ht="21.95" customHeight="1" x14ac:dyDescent="0.15"/>
    <row r="36139" s="76" customFormat="1" ht="21.95" customHeight="1" x14ac:dyDescent="0.15"/>
    <row r="36140" s="76" customFormat="1" ht="21.95" customHeight="1" x14ac:dyDescent="0.15"/>
    <row r="36141" s="76" customFormat="1" ht="21.95" customHeight="1" x14ac:dyDescent="0.15"/>
    <row r="36142" s="76" customFormat="1" ht="21.95" customHeight="1" x14ac:dyDescent="0.15"/>
    <row r="36143" s="76" customFormat="1" ht="21.95" customHeight="1" x14ac:dyDescent="0.15"/>
    <row r="36144" s="76" customFormat="1" ht="21.95" customHeight="1" x14ac:dyDescent="0.15"/>
    <row r="36145" s="76" customFormat="1" ht="21.95" customHeight="1" x14ac:dyDescent="0.15"/>
    <row r="36146" s="76" customFormat="1" ht="21.95" customHeight="1" x14ac:dyDescent="0.15"/>
    <row r="36147" s="76" customFormat="1" ht="21.95" customHeight="1" x14ac:dyDescent="0.15"/>
    <row r="36148" s="76" customFormat="1" ht="21.95" customHeight="1" x14ac:dyDescent="0.15"/>
    <row r="36149" s="76" customFormat="1" ht="21.95" customHeight="1" x14ac:dyDescent="0.15"/>
    <row r="36150" s="76" customFormat="1" ht="21.95" customHeight="1" x14ac:dyDescent="0.15"/>
    <row r="36151" s="76" customFormat="1" ht="21.95" customHeight="1" x14ac:dyDescent="0.15"/>
    <row r="36152" s="76" customFormat="1" ht="21.95" customHeight="1" x14ac:dyDescent="0.15"/>
    <row r="36153" s="76" customFormat="1" ht="35.1" customHeight="1" x14ac:dyDescent="0.15"/>
    <row r="36154" s="76" customFormat="1" ht="21.95" customHeight="1" x14ac:dyDescent="0.15"/>
    <row r="36155" s="76" customFormat="1" ht="21.95" customHeight="1" x14ac:dyDescent="0.15"/>
    <row r="36156" s="76" customFormat="1" ht="21.95" customHeight="1" x14ac:dyDescent="0.15"/>
    <row r="36157" s="76" customFormat="1" ht="21.95" customHeight="1" x14ac:dyDescent="0.15"/>
    <row r="36158" s="76" customFormat="1" ht="21.95" customHeight="1" x14ac:dyDescent="0.15"/>
    <row r="36159" s="76" customFormat="1" ht="21.95" customHeight="1" x14ac:dyDescent="0.15"/>
    <row r="36160" s="76" customFormat="1" ht="21.95" customHeight="1" x14ac:dyDescent="0.15"/>
    <row r="36161" s="76" customFormat="1" ht="21.95" customHeight="1" x14ac:dyDescent="0.15"/>
    <row r="36162" s="76" customFormat="1" ht="21.95" customHeight="1" x14ac:dyDescent="0.15"/>
    <row r="36163" s="76" customFormat="1" ht="21.95" customHeight="1" x14ac:dyDescent="0.15"/>
    <row r="36164" s="76" customFormat="1" ht="21.95" customHeight="1" x14ac:dyDescent="0.15"/>
    <row r="36165" s="76" customFormat="1" ht="21.95" customHeight="1" x14ac:dyDescent="0.15"/>
    <row r="36166" s="76" customFormat="1" ht="21.95" customHeight="1" x14ac:dyDescent="0.15"/>
    <row r="36167" s="76" customFormat="1" ht="21.95" customHeight="1" x14ac:dyDescent="0.15"/>
    <row r="36168" s="76" customFormat="1" ht="21.95" customHeight="1" x14ac:dyDescent="0.15"/>
    <row r="36169" s="76" customFormat="1" ht="21.95" customHeight="1" x14ac:dyDescent="0.15"/>
    <row r="36170" s="76" customFormat="1" ht="21.95" customHeight="1" x14ac:dyDescent="0.15"/>
    <row r="36171" s="76" customFormat="1" ht="21.95" customHeight="1" x14ac:dyDescent="0.15"/>
    <row r="36172" s="76" customFormat="1" ht="21.95" customHeight="1" x14ac:dyDescent="0.15"/>
    <row r="36173" s="76" customFormat="1" ht="21.95" customHeight="1" x14ac:dyDescent="0.15"/>
    <row r="36174" s="76" customFormat="1" ht="21.95" customHeight="1" x14ac:dyDescent="0.15"/>
    <row r="36175" s="76" customFormat="1" ht="21.95" customHeight="1" x14ac:dyDescent="0.15"/>
    <row r="36176" s="76" customFormat="1" ht="21.95" customHeight="1" x14ac:dyDescent="0.15"/>
    <row r="36177" spans="3:3" customFormat="1" ht="21.95" customHeight="1" x14ac:dyDescent="0.15"/>
    <row r="36178" spans="3:3" customFormat="1" ht="21.95" customHeight="1" x14ac:dyDescent="0.15"/>
    <row r="36179" spans="3:3" customFormat="1" ht="21.95" customHeight="1" x14ac:dyDescent="0.15">
      <c r="C36179" s="94"/>
    </row>
    <row r="36180" spans="3:3" customFormat="1" ht="21.95" customHeight="1" x14ac:dyDescent="0.15">
      <c r="C36180" s="94"/>
    </row>
    <row r="36181" spans="3:3" customFormat="1" ht="21.95" customHeight="1" x14ac:dyDescent="0.15"/>
    <row r="36182" spans="3:3" customFormat="1" ht="21.95" customHeight="1" x14ac:dyDescent="0.15"/>
    <row r="36183" spans="3:3" customFormat="1" ht="21.95" customHeight="1" x14ac:dyDescent="0.15"/>
    <row r="36184" spans="3:3" customFormat="1" ht="21.95" customHeight="1" x14ac:dyDescent="0.15"/>
    <row r="36185" spans="3:3" customFormat="1" ht="21.95" customHeight="1" x14ac:dyDescent="0.15"/>
    <row r="36186" spans="3:3" customFormat="1" ht="21.95" customHeight="1" x14ac:dyDescent="0.15"/>
    <row r="36187" spans="3:3" customFormat="1" ht="21.95" customHeight="1" x14ac:dyDescent="0.15"/>
    <row r="36188" spans="3:3" s="76" customFormat="1" ht="21.95" customHeight="1" x14ac:dyDescent="0.15"/>
    <row r="36189" spans="3:3" s="76" customFormat="1" ht="21.95" customHeight="1" x14ac:dyDescent="0.15"/>
    <row r="36190" spans="3:3" s="76" customFormat="1" ht="21.95" customHeight="1" x14ac:dyDescent="0.15"/>
    <row r="36191" spans="3:3" s="76" customFormat="1" ht="21.95" customHeight="1" x14ac:dyDescent="0.15"/>
    <row r="36192" spans="3:3" customFormat="1" ht="21.95" customHeight="1" x14ac:dyDescent="0.15"/>
    <row r="36193" customFormat="1" ht="21.95" customHeight="1" x14ac:dyDescent="0.15"/>
    <row r="36194" customFormat="1" ht="21.95" customHeight="1" x14ac:dyDescent="0.15"/>
    <row r="36195" customFormat="1" ht="21.95" customHeight="1" x14ac:dyDescent="0.15"/>
    <row r="36196" customFormat="1" ht="21.95" customHeight="1" x14ac:dyDescent="0.15"/>
    <row r="36197" customFormat="1" ht="21.95" customHeight="1" x14ac:dyDescent="0.15"/>
    <row r="36198" customFormat="1" ht="21.95" customHeight="1" x14ac:dyDescent="0.15"/>
    <row r="36199" customFormat="1" ht="21.95" customHeight="1" x14ac:dyDescent="0.15"/>
    <row r="36200" customFormat="1" ht="21.95" customHeight="1" x14ac:dyDescent="0.15"/>
    <row r="36201" customFormat="1" ht="21.95" customHeight="1" x14ac:dyDescent="0.15"/>
    <row r="36202" customFormat="1" ht="21.95" customHeight="1" x14ac:dyDescent="0.15"/>
    <row r="36203" customFormat="1" ht="32.1" customHeight="1" x14ac:dyDescent="0.15"/>
    <row r="36204" customFormat="1" ht="32.1" customHeight="1" x14ac:dyDescent="0.15"/>
    <row r="36205" customFormat="1" ht="32.1" customHeight="1" x14ac:dyDescent="0.15"/>
    <row r="36206" customFormat="1" ht="32.1" customHeight="1" x14ac:dyDescent="0.15"/>
    <row r="36207" customFormat="1" ht="32.1" customHeight="1" x14ac:dyDescent="0.15"/>
    <row r="36208" customFormat="1" ht="32.1" customHeight="1" x14ac:dyDescent="0.15"/>
    <row r="36209" s="76" customFormat="1" ht="32.1" customHeight="1" x14ac:dyDescent="0.15"/>
    <row r="36210" s="76" customFormat="1" ht="32.1" customHeight="1" x14ac:dyDescent="0.15"/>
    <row r="36211" s="76" customFormat="1" ht="32.1" customHeight="1" x14ac:dyDescent="0.15"/>
    <row r="36212" s="76" customFormat="1" ht="32.1" customHeight="1" x14ac:dyDescent="0.15"/>
    <row r="36213" s="76" customFormat="1" ht="21.95" customHeight="1" x14ac:dyDescent="0.15"/>
    <row r="36214" s="76" customFormat="1" ht="54" customHeight="1" x14ac:dyDescent="0.15"/>
    <row r="36215" s="76" customFormat="1" ht="21.95" customHeight="1" x14ac:dyDescent="0.15"/>
    <row r="36216" s="76" customFormat="1" ht="21.95" customHeight="1" x14ac:dyDescent="0.15"/>
    <row r="36217" s="76" customFormat="1" ht="21.95" customHeight="1" x14ac:dyDescent="0.15"/>
    <row r="36218" s="76" customFormat="1" ht="21.95" customHeight="1" x14ac:dyDescent="0.15"/>
    <row r="36219" s="76" customFormat="1" ht="21.95" customHeight="1" x14ac:dyDescent="0.15"/>
    <row r="36220" s="76" customFormat="1" ht="21.95" customHeight="1" x14ac:dyDescent="0.15"/>
    <row r="36221" s="76" customFormat="1" ht="21.95" customHeight="1" x14ac:dyDescent="0.15"/>
    <row r="36222" s="76" customFormat="1" ht="21.95" customHeight="1" x14ac:dyDescent="0.15"/>
    <row r="36223" s="76" customFormat="1" ht="21.95" customHeight="1" x14ac:dyDescent="0.15"/>
    <row r="36224" s="76" customFormat="1" ht="21.95" customHeight="1" x14ac:dyDescent="0.15"/>
    <row r="36225" s="76" customFormat="1" ht="21.95" customHeight="1" x14ac:dyDescent="0.15"/>
    <row r="36226" s="76" customFormat="1" ht="21.95" customHeight="1" x14ac:dyDescent="0.15"/>
    <row r="36227" s="76" customFormat="1" ht="21.95" customHeight="1" x14ac:dyDescent="0.15"/>
    <row r="36228" s="76" customFormat="1" ht="21.95" customHeight="1" x14ac:dyDescent="0.15"/>
    <row r="36229" s="76" customFormat="1" ht="21.95" customHeight="1" x14ac:dyDescent="0.15"/>
    <row r="36230" s="76" customFormat="1" ht="21.95" customHeight="1" x14ac:dyDescent="0.15"/>
    <row r="36231" s="76" customFormat="1" ht="21.95" customHeight="1" x14ac:dyDescent="0.15"/>
    <row r="36232" s="76" customFormat="1" ht="21.95" customHeight="1" x14ac:dyDescent="0.15"/>
    <row r="36233" s="76" customFormat="1" ht="21.95" customHeight="1" x14ac:dyDescent="0.15"/>
    <row r="36234" s="76" customFormat="1" ht="21.95" customHeight="1" x14ac:dyDescent="0.15"/>
    <row r="36235" s="76" customFormat="1" ht="21.95" customHeight="1" x14ac:dyDescent="0.15"/>
    <row r="36236" s="76" customFormat="1" ht="21.95" customHeight="1" x14ac:dyDescent="0.15"/>
    <row r="36237" s="76" customFormat="1" ht="21.95" customHeight="1" x14ac:dyDescent="0.15"/>
    <row r="36238" s="76" customFormat="1" ht="21.95" customHeight="1" x14ac:dyDescent="0.15"/>
    <row r="36239" s="76" customFormat="1" ht="21.95" customHeight="1" x14ac:dyDescent="0.15"/>
    <row r="36240" s="76" customFormat="1" ht="21.95" customHeight="1" x14ac:dyDescent="0.15"/>
    <row r="36241" s="76" customFormat="1" ht="21.95" customHeight="1" x14ac:dyDescent="0.15"/>
    <row r="36242" s="76" customFormat="1" ht="21.95" customHeight="1" x14ac:dyDescent="0.15"/>
    <row r="36243" s="76" customFormat="1" ht="21.95" customHeight="1" x14ac:dyDescent="0.15"/>
    <row r="36244" s="76" customFormat="1" ht="21.95" customHeight="1" x14ac:dyDescent="0.15"/>
    <row r="36245" s="76" customFormat="1" ht="21.95" customHeight="1" x14ac:dyDescent="0.15"/>
    <row r="36246" s="76" customFormat="1" ht="21.95" customHeight="1" x14ac:dyDescent="0.15"/>
    <row r="36247" s="76" customFormat="1" ht="21.95" customHeight="1" x14ac:dyDescent="0.15"/>
    <row r="36248" s="76" customFormat="1" ht="21.95" customHeight="1" x14ac:dyDescent="0.15"/>
    <row r="36249" s="76" customFormat="1" ht="21.95" customHeight="1" x14ac:dyDescent="0.15"/>
    <row r="36250" s="76" customFormat="1" ht="21.95" customHeight="1" x14ac:dyDescent="0.15"/>
    <row r="36251" s="76" customFormat="1" ht="21.95" customHeight="1" x14ac:dyDescent="0.15"/>
    <row r="36252" s="76" customFormat="1" ht="21.95" customHeight="1" x14ac:dyDescent="0.15"/>
    <row r="36253" s="76" customFormat="1" ht="21.95" customHeight="1" x14ac:dyDescent="0.15"/>
    <row r="36254" s="76" customFormat="1" ht="21.95" customHeight="1" x14ac:dyDescent="0.15"/>
    <row r="36255" s="76" customFormat="1" ht="21.95" customHeight="1" x14ac:dyDescent="0.15"/>
    <row r="36256" s="76" customFormat="1" ht="21.95" customHeight="1" x14ac:dyDescent="0.15"/>
    <row r="36257" s="76" customFormat="1" ht="21.95" customHeight="1" x14ac:dyDescent="0.15"/>
    <row r="36258" s="76" customFormat="1" ht="21.95" customHeight="1" x14ac:dyDescent="0.15"/>
    <row r="36259" s="76" customFormat="1" ht="21.95" customHeight="1" x14ac:dyDescent="0.15"/>
    <row r="36260" s="76" customFormat="1" ht="21.95" customHeight="1" x14ac:dyDescent="0.15"/>
    <row r="36261" s="76" customFormat="1" ht="21.95" customHeight="1" x14ac:dyDescent="0.15"/>
    <row r="36262" s="76" customFormat="1" ht="21.95" customHeight="1" x14ac:dyDescent="0.15"/>
    <row r="36263" s="76" customFormat="1" ht="21.95" customHeight="1" x14ac:dyDescent="0.15"/>
    <row r="36264" s="76" customFormat="1" ht="21.95" customHeight="1" x14ac:dyDescent="0.15"/>
    <row r="36265" s="76" customFormat="1" ht="35.1" customHeight="1" x14ac:dyDescent="0.15"/>
    <row r="36266" s="76" customFormat="1" ht="21.95" customHeight="1" x14ac:dyDescent="0.15"/>
    <row r="36267" s="76" customFormat="1" ht="21.95" customHeight="1" x14ac:dyDescent="0.15"/>
    <row r="36268" s="76" customFormat="1" ht="21.95" customHeight="1" x14ac:dyDescent="0.15"/>
    <row r="36269" s="76" customFormat="1" ht="21.95" customHeight="1" x14ac:dyDescent="0.15"/>
    <row r="36270" s="76" customFormat="1" ht="21.95" customHeight="1" x14ac:dyDescent="0.15"/>
    <row r="36271" s="76" customFormat="1" ht="21.95" customHeight="1" x14ac:dyDescent="0.15"/>
    <row r="36272" s="76" customFormat="1" ht="21.95" customHeight="1" x14ac:dyDescent="0.15"/>
    <row r="36273" s="76" customFormat="1" ht="21.95" customHeight="1" x14ac:dyDescent="0.15"/>
    <row r="36274" s="76" customFormat="1" ht="21.95" customHeight="1" x14ac:dyDescent="0.15"/>
    <row r="36275" s="76" customFormat="1" ht="21.95" customHeight="1" x14ac:dyDescent="0.15"/>
    <row r="36276" s="76" customFormat="1" ht="21.95" customHeight="1" x14ac:dyDescent="0.15"/>
    <row r="36277" s="76" customFormat="1" ht="21.95" customHeight="1" x14ac:dyDescent="0.15"/>
    <row r="36278" s="76" customFormat="1" ht="21.95" customHeight="1" x14ac:dyDescent="0.15"/>
    <row r="36279" s="76" customFormat="1" ht="21.95" customHeight="1" x14ac:dyDescent="0.15"/>
    <row r="36280" s="76" customFormat="1" ht="21.95" customHeight="1" x14ac:dyDescent="0.15"/>
    <row r="36281" s="76" customFormat="1" ht="21.95" customHeight="1" x14ac:dyDescent="0.15"/>
    <row r="36282" s="76" customFormat="1" ht="21.95" customHeight="1" x14ac:dyDescent="0.15"/>
    <row r="36283" s="76" customFormat="1" ht="21.95" customHeight="1" x14ac:dyDescent="0.15"/>
    <row r="36284" s="76" customFormat="1" ht="21.95" customHeight="1" x14ac:dyDescent="0.15"/>
    <row r="36285" s="76" customFormat="1" ht="21.95" customHeight="1" x14ac:dyDescent="0.15"/>
    <row r="36286" s="76" customFormat="1" ht="21.95" customHeight="1" x14ac:dyDescent="0.15"/>
    <row r="36287" s="76" customFormat="1" ht="21.95" customHeight="1" x14ac:dyDescent="0.15"/>
    <row r="36288" s="76" customFormat="1" ht="21.95" customHeight="1" x14ac:dyDescent="0.15"/>
    <row r="36289" spans="3:3" customFormat="1" ht="21.95" customHeight="1" x14ac:dyDescent="0.15"/>
    <row r="36290" spans="3:3" customFormat="1" ht="21.95" customHeight="1" x14ac:dyDescent="0.15"/>
    <row r="36291" spans="3:3" customFormat="1" ht="21.95" customHeight="1" x14ac:dyDescent="0.15">
      <c r="C36291" s="94"/>
    </row>
    <row r="36292" spans="3:3" customFormat="1" ht="21.95" customHeight="1" x14ac:dyDescent="0.15">
      <c r="C36292" s="94"/>
    </row>
    <row r="36293" spans="3:3" customFormat="1" ht="21.95" customHeight="1" x14ac:dyDescent="0.15"/>
    <row r="36294" spans="3:3" customFormat="1" ht="21.95" customHeight="1" x14ac:dyDescent="0.15"/>
    <row r="36295" spans="3:3" customFormat="1" ht="21.95" customHeight="1" x14ac:dyDescent="0.15"/>
    <row r="36296" spans="3:3" customFormat="1" ht="21.95" customHeight="1" x14ac:dyDescent="0.15"/>
    <row r="36297" spans="3:3" customFormat="1" ht="21.95" customHeight="1" x14ac:dyDescent="0.15"/>
    <row r="36298" spans="3:3" customFormat="1" ht="21.95" customHeight="1" x14ac:dyDescent="0.15"/>
    <row r="36299" spans="3:3" customFormat="1" ht="21.95" customHeight="1" x14ac:dyDescent="0.15"/>
    <row r="36300" spans="3:3" s="76" customFormat="1" ht="21.95" customHeight="1" x14ac:dyDescent="0.15"/>
    <row r="36301" spans="3:3" s="76" customFormat="1" ht="21.95" customHeight="1" x14ac:dyDescent="0.15"/>
    <row r="36302" spans="3:3" s="76" customFormat="1" ht="21.95" customHeight="1" x14ac:dyDescent="0.15"/>
    <row r="36303" spans="3:3" s="76" customFormat="1" ht="21.95" customHeight="1" x14ac:dyDescent="0.15"/>
    <row r="36304" spans="3:3" customFormat="1" ht="21.95" customHeight="1" x14ac:dyDescent="0.15"/>
    <row r="36305" customFormat="1" ht="21.95" customHeight="1" x14ac:dyDescent="0.15"/>
    <row r="36306" customFormat="1" ht="21.95" customHeight="1" x14ac:dyDescent="0.15"/>
    <row r="36307" customFormat="1" ht="21.95" customHeight="1" x14ac:dyDescent="0.15"/>
    <row r="36308" customFormat="1" ht="21.95" customHeight="1" x14ac:dyDescent="0.15"/>
    <row r="36309" customFormat="1" ht="21.95" customHeight="1" x14ac:dyDescent="0.15"/>
    <row r="36310" customFormat="1" ht="21.95" customHeight="1" x14ac:dyDescent="0.15"/>
    <row r="36311" customFormat="1" ht="21.95" customHeight="1" x14ac:dyDescent="0.15"/>
    <row r="36312" customFormat="1" ht="21.95" customHeight="1" x14ac:dyDescent="0.15"/>
    <row r="36313" customFormat="1" ht="21.95" customHeight="1" x14ac:dyDescent="0.15"/>
    <row r="36314" customFormat="1" ht="21.95" customHeight="1" x14ac:dyDescent="0.15"/>
    <row r="36315" customFormat="1" ht="32.1" customHeight="1" x14ac:dyDescent="0.15"/>
    <row r="36316" customFormat="1" ht="32.1" customHeight="1" x14ac:dyDescent="0.15"/>
    <row r="36317" customFormat="1" ht="32.1" customHeight="1" x14ac:dyDescent="0.15"/>
    <row r="36318" customFormat="1" ht="32.1" customHeight="1" x14ac:dyDescent="0.15"/>
    <row r="36319" customFormat="1" ht="32.1" customHeight="1" x14ac:dyDescent="0.15"/>
    <row r="36320" customFormat="1" ht="32.1" customHeight="1" x14ac:dyDescent="0.15"/>
    <row r="36321" s="76" customFormat="1" ht="32.1" customHeight="1" x14ac:dyDescent="0.15"/>
    <row r="36322" s="76" customFormat="1" ht="32.1" customHeight="1" x14ac:dyDescent="0.15"/>
    <row r="36323" s="76" customFormat="1" ht="32.1" customHeight="1" x14ac:dyDescent="0.15"/>
    <row r="36324" s="76" customFormat="1" ht="32.1" customHeight="1" x14ac:dyDescent="0.15"/>
    <row r="36325" s="76" customFormat="1" ht="21.95" customHeight="1" x14ac:dyDescent="0.15"/>
    <row r="36326" s="76" customFormat="1" ht="54" customHeight="1" x14ac:dyDescent="0.15"/>
    <row r="36327" s="76" customFormat="1" ht="21.95" customHeight="1" x14ac:dyDescent="0.15"/>
    <row r="36328" s="76" customFormat="1" ht="21.95" customHeight="1" x14ac:dyDescent="0.15"/>
    <row r="36329" s="76" customFormat="1" ht="21.95" customHeight="1" x14ac:dyDescent="0.15"/>
    <row r="36330" s="76" customFormat="1" ht="21.95" customHeight="1" x14ac:dyDescent="0.15"/>
    <row r="36331" s="76" customFormat="1" ht="21.95" customHeight="1" x14ac:dyDescent="0.15"/>
    <row r="36332" s="76" customFormat="1" ht="21.95" customHeight="1" x14ac:dyDescent="0.15"/>
    <row r="36333" s="76" customFormat="1" ht="21.95" customHeight="1" x14ac:dyDescent="0.15"/>
    <row r="36334" s="76" customFormat="1" ht="21.95" customHeight="1" x14ac:dyDescent="0.15"/>
    <row r="36335" s="76" customFormat="1" ht="21.95" customHeight="1" x14ac:dyDescent="0.15"/>
    <row r="36336" s="76" customFormat="1" ht="21.95" customHeight="1" x14ac:dyDescent="0.15"/>
    <row r="36337" s="76" customFormat="1" ht="21.95" customHeight="1" x14ac:dyDescent="0.15"/>
    <row r="36338" s="76" customFormat="1" ht="21.95" customHeight="1" x14ac:dyDescent="0.15"/>
    <row r="36339" s="76" customFormat="1" ht="21.95" customHeight="1" x14ac:dyDescent="0.15"/>
    <row r="36340" s="76" customFormat="1" ht="21.95" customHeight="1" x14ac:dyDescent="0.15"/>
    <row r="36341" s="76" customFormat="1" ht="21.95" customHeight="1" x14ac:dyDescent="0.15"/>
    <row r="36342" s="76" customFormat="1" ht="21.95" customHeight="1" x14ac:dyDescent="0.15"/>
    <row r="36343" s="76" customFormat="1" ht="21.95" customHeight="1" x14ac:dyDescent="0.15"/>
    <row r="36344" s="76" customFormat="1" ht="21.95" customHeight="1" x14ac:dyDescent="0.15"/>
    <row r="36345" s="76" customFormat="1" ht="21.95" customHeight="1" x14ac:dyDescent="0.15"/>
    <row r="36346" s="76" customFormat="1" ht="21.95" customHeight="1" x14ac:dyDescent="0.15"/>
    <row r="36347" s="76" customFormat="1" ht="21.95" customHeight="1" x14ac:dyDescent="0.15"/>
    <row r="36348" s="76" customFormat="1" ht="21.95" customHeight="1" x14ac:dyDescent="0.15"/>
    <row r="36349" s="76" customFormat="1" ht="21.95" customHeight="1" x14ac:dyDescent="0.15"/>
    <row r="36350" s="76" customFormat="1" ht="21.95" customHeight="1" x14ac:dyDescent="0.15"/>
    <row r="36351" s="76" customFormat="1" ht="21.95" customHeight="1" x14ac:dyDescent="0.15"/>
    <row r="36352" s="76" customFormat="1" ht="21.95" customHeight="1" x14ac:dyDescent="0.15"/>
    <row r="36353" s="76" customFormat="1" ht="21.95" customHeight="1" x14ac:dyDescent="0.15"/>
    <row r="36354" s="76" customFormat="1" ht="21.95" customHeight="1" x14ac:dyDescent="0.15"/>
    <row r="36355" s="76" customFormat="1" ht="21.95" customHeight="1" x14ac:dyDescent="0.15"/>
    <row r="36356" s="76" customFormat="1" ht="21.95" customHeight="1" x14ac:dyDescent="0.15"/>
    <row r="36357" s="76" customFormat="1" ht="21.95" customHeight="1" x14ac:dyDescent="0.15"/>
    <row r="36358" s="76" customFormat="1" ht="21.95" customHeight="1" x14ac:dyDescent="0.15"/>
    <row r="36359" s="76" customFormat="1" ht="21.95" customHeight="1" x14ac:dyDescent="0.15"/>
    <row r="36360" s="76" customFormat="1" ht="21.95" customHeight="1" x14ac:dyDescent="0.15"/>
    <row r="36361" s="76" customFormat="1" ht="21.95" customHeight="1" x14ac:dyDescent="0.15"/>
    <row r="36362" s="76" customFormat="1" ht="21.95" customHeight="1" x14ac:dyDescent="0.15"/>
    <row r="36363" s="76" customFormat="1" ht="21.95" customHeight="1" x14ac:dyDescent="0.15"/>
    <row r="36364" s="76" customFormat="1" ht="21.95" customHeight="1" x14ac:dyDescent="0.15"/>
    <row r="36365" s="76" customFormat="1" ht="21.95" customHeight="1" x14ac:dyDescent="0.15"/>
    <row r="36366" s="76" customFormat="1" ht="21.95" customHeight="1" x14ac:dyDescent="0.15"/>
    <row r="36367" s="76" customFormat="1" ht="21.95" customHeight="1" x14ac:dyDescent="0.15"/>
    <row r="36368" s="76" customFormat="1" ht="21.95" customHeight="1" x14ac:dyDescent="0.15"/>
    <row r="36369" s="76" customFormat="1" ht="21.95" customHeight="1" x14ac:dyDescent="0.15"/>
    <row r="36370" s="76" customFormat="1" ht="21.95" customHeight="1" x14ac:dyDescent="0.15"/>
    <row r="36371" s="76" customFormat="1" ht="21.95" customHeight="1" x14ac:dyDescent="0.15"/>
    <row r="36372" s="76" customFormat="1" ht="21.95" customHeight="1" x14ac:dyDescent="0.15"/>
    <row r="36373" s="76" customFormat="1" ht="21.95" customHeight="1" x14ac:dyDescent="0.15"/>
    <row r="36374" s="76" customFormat="1" ht="21.95" customHeight="1" x14ac:dyDescent="0.15"/>
    <row r="36375" s="76" customFormat="1" ht="21.95" customHeight="1" x14ac:dyDescent="0.15"/>
    <row r="36376" s="76" customFormat="1" ht="21.95" customHeight="1" x14ac:dyDescent="0.15"/>
    <row r="36377" s="76" customFormat="1" ht="35.1" customHeight="1" x14ac:dyDescent="0.15"/>
    <row r="36378" s="76" customFormat="1" ht="21.95" customHeight="1" x14ac:dyDescent="0.15"/>
    <row r="36379" s="76" customFormat="1" ht="21.95" customHeight="1" x14ac:dyDescent="0.15"/>
    <row r="36380" s="76" customFormat="1" ht="21.95" customHeight="1" x14ac:dyDescent="0.15"/>
    <row r="36381" s="76" customFormat="1" ht="21.95" customHeight="1" x14ac:dyDescent="0.15"/>
    <row r="36382" s="76" customFormat="1" ht="21.95" customHeight="1" x14ac:dyDescent="0.15"/>
    <row r="36383" s="76" customFormat="1" ht="21.95" customHeight="1" x14ac:dyDescent="0.15"/>
    <row r="36384" s="76" customFormat="1" ht="21.95" customHeight="1" x14ac:dyDescent="0.15"/>
    <row r="36385" s="76" customFormat="1" ht="21.95" customHeight="1" x14ac:dyDescent="0.15"/>
    <row r="36386" s="76" customFormat="1" ht="21.95" customHeight="1" x14ac:dyDescent="0.15"/>
    <row r="36387" s="76" customFormat="1" ht="21.95" customHeight="1" x14ac:dyDescent="0.15"/>
    <row r="36388" s="76" customFormat="1" ht="21.95" customHeight="1" x14ac:dyDescent="0.15"/>
    <row r="36389" s="76" customFormat="1" ht="21.95" customHeight="1" x14ac:dyDescent="0.15"/>
    <row r="36390" s="76" customFormat="1" ht="21.95" customHeight="1" x14ac:dyDescent="0.15"/>
    <row r="36391" s="76" customFormat="1" ht="21.95" customHeight="1" x14ac:dyDescent="0.15"/>
    <row r="36392" s="76" customFormat="1" ht="21.95" customHeight="1" x14ac:dyDescent="0.15"/>
    <row r="36393" s="76" customFormat="1" ht="21.95" customHeight="1" x14ac:dyDescent="0.15"/>
    <row r="36394" s="76" customFormat="1" ht="21.95" customHeight="1" x14ac:dyDescent="0.15"/>
    <row r="36395" s="76" customFormat="1" ht="21.95" customHeight="1" x14ac:dyDescent="0.15"/>
    <row r="36396" s="76" customFormat="1" ht="21.95" customHeight="1" x14ac:dyDescent="0.15"/>
    <row r="36397" s="76" customFormat="1" ht="21.95" customHeight="1" x14ac:dyDescent="0.15"/>
    <row r="36398" s="76" customFormat="1" ht="21.95" customHeight="1" x14ac:dyDescent="0.15"/>
    <row r="36399" s="76" customFormat="1" ht="21.95" customHeight="1" x14ac:dyDescent="0.15"/>
    <row r="36400" s="76" customFormat="1" ht="21.95" customHeight="1" x14ac:dyDescent="0.15"/>
    <row r="36401" spans="3:3" customFormat="1" ht="21.95" customHeight="1" x14ac:dyDescent="0.15"/>
    <row r="36402" spans="3:3" customFormat="1" ht="21.95" customHeight="1" x14ac:dyDescent="0.15"/>
    <row r="36403" spans="3:3" customFormat="1" ht="21.95" customHeight="1" x14ac:dyDescent="0.15">
      <c r="C36403" s="94"/>
    </row>
    <row r="36404" spans="3:3" customFormat="1" ht="21.95" customHeight="1" x14ac:dyDescent="0.15">
      <c r="C36404" s="94"/>
    </row>
    <row r="36405" spans="3:3" customFormat="1" ht="21.95" customHeight="1" x14ac:dyDescent="0.15"/>
    <row r="36406" spans="3:3" customFormat="1" ht="21.95" customHeight="1" x14ac:dyDescent="0.15"/>
    <row r="36407" spans="3:3" customFormat="1" ht="21.95" customHeight="1" x14ac:dyDescent="0.15"/>
    <row r="36408" spans="3:3" customFormat="1" ht="21.95" customHeight="1" x14ac:dyDescent="0.15"/>
    <row r="36409" spans="3:3" customFormat="1" ht="21.95" customHeight="1" x14ac:dyDescent="0.15"/>
    <row r="36410" spans="3:3" customFormat="1" ht="21.95" customHeight="1" x14ac:dyDescent="0.15"/>
    <row r="36411" spans="3:3" customFormat="1" ht="21.95" customHeight="1" x14ac:dyDescent="0.15"/>
    <row r="36412" spans="3:3" s="76" customFormat="1" ht="21.95" customHeight="1" x14ac:dyDescent="0.15"/>
    <row r="36413" spans="3:3" s="76" customFormat="1" ht="21.95" customHeight="1" x14ac:dyDescent="0.15"/>
    <row r="36414" spans="3:3" s="76" customFormat="1" ht="21.95" customHeight="1" x14ac:dyDescent="0.15"/>
    <row r="36415" spans="3:3" s="76" customFormat="1" ht="21.95" customHeight="1" x14ac:dyDescent="0.15"/>
    <row r="36416" spans="3:3" customFormat="1" ht="21.95" customHeight="1" x14ac:dyDescent="0.15"/>
    <row r="36417" customFormat="1" ht="21.95" customHeight="1" x14ac:dyDescent="0.15"/>
    <row r="36418" customFormat="1" ht="21.95" customHeight="1" x14ac:dyDescent="0.15"/>
    <row r="36419" customFormat="1" ht="21.95" customHeight="1" x14ac:dyDescent="0.15"/>
    <row r="36420" customFormat="1" ht="21.95" customHeight="1" x14ac:dyDescent="0.15"/>
    <row r="36421" customFormat="1" ht="21.95" customHeight="1" x14ac:dyDescent="0.15"/>
    <row r="36422" customFormat="1" ht="21.95" customHeight="1" x14ac:dyDescent="0.15"/>
    <row r="36423" customFormat="1" ht="21.95" customHeight="1" x14ac:dyDescent="0.15"/>
    <row r="36424" customFormat="1" ht="21.95" customHeight="1" x14ac:dyDescent="0.15"/>
    <row r="36425" customFormat="1" ht="21.95" customHeight="1" x14ac:dyDescent="0.15"/>
    <row r="36426" customFormat="1" ht="21.95" customHeight="1" x14ac:dyDescent="0.15"/>
    <row r="36427" customFormat="1" ht="32.1" customHeight="1" x14ac:dyDescent="0.15"/>
    <row r="36428" customFormat="1" ht="32.1" customHeight="1" x14ac:dyDescent="0.15"/>
    <row r="36429" customFormat="1" ht="32.1" customHeight="1" x14ac:dyDescent="0.15"/>
    <row r="36430" customFormat="1" ht="32.1" customHeight="1" x14ac:dyDescent="0.15"/>
    <row r="36431" customFormat="1" ht="32.1" customHeight="1" x14ac:dyDescent="0.15"/>
    <row r="36432" customFormat="1" ht="32.1" customHeight="1" x14ac:dyDescent="0.15"/>
    <row r="36433" s="76" customFormat="1" ht="32.1" customHeight="1" x14ac:dyDescent="0.15"/>
    <row r="36434" s="76" customFormat="1" ht="32.1" customHeight="1" x14ac:dyDescent="0.15"/>
    <row r="36435" s="76" customFormat="1" ht="32.1" customHeight="1" x14ac:dyDescent="0.15"/>
    <row r="36436" s="76" customFormat="1" ht="32.1" customHeight="1" x14ac:dyDescent="0.15"/>
    <row r="36437" s="76" customFormat="1" ht="21.95" customHeight="1" x14ac:dyDescent="0.15"/>
    <row r="36438" s="76" customFormat="1" ht="54" customHeight="1" x14ac:dyDescent="0.15"/>
    <row r="36439" s="76" customFormat="1" ht="21.95" customHeight="1" x14ac:dyDescent="0.15"/>
    <row r="36440" s="76" customFormat="1" ht="21.95" customHeight="1" x14ac:dyDescent="0.15"/>
    <row r="36441" s="76" customFormat="1" ht="21.95" customHeight="1" x14ac:dyDescent="0.15"/>
    <row r="36442" s="76" customFormat="1" ht="21.95" customHeight="1" x14ac:dyDescent="0.15"/>
    <row r="36443" s="76" customFormat="1" ht="21.95" customHeight="1" x14ac:dyDescent="0.15"/>
    <row r="36444" s="76" customFormat="1" ht="21.95" customHeight="1" x14ac:dyDescent="0.15"/>
    <row r="36445" s="76" customFormat="1" ht="21.95" customHeight="1" x14ac:dyDescent="0.15"/>
    <row r="36446" s="76" customFormat="1" ht="21.95" customHeight="1" x14ac:dyDescent="0.15"/>
    <row r="36447" s="76" customFormat="1" ht="21.95" customHeight="1" x14ac:dyDescent="0.15"/>
    <row r="36448" s="76" customFormat="1" ht="21.95" customHeight="1" x14ac:dyDescent="0.15"/>
    <row r="36449" s="76" customFormat="1" ht="21.95" customHeight="1" x14ac:dyDescent="0.15"/>
    <row r="36450" s="76" customFormat="1" ht="21.95" customHeight="1" x14ac:dyDescent="0.15"/>
    <row r="36451" s="76" customFormat="1" ht="21.95" customHeight="1" x14ac:dyDescent="0.15"/>
    <row r="36452" s="76" customFormat="1" ht="21.95" customHeight="1" x14ac:dyDescent="0.15"/>
    <row r="36453" s="76" customFormat="1" ht="21.95" customHeight="1" x14ac:dyDescent="0.15"/>
    <row r="36454" s="76" customFormat="1" ht="21.95" customHeight="1" x14ac:dyDescent="0.15"/>
    <row r="36455" s="76" customFormat="1" ht="21.95" customHeight="1" x14ac:dyDescent="0.15"/>
    <row r="36456" s="76" customFormat="1" ht="21.95" customHeight="1" x14ac:dyDescent="0.15"/>
    <row r="36457" s="76" customFormat="1" ht="21.95" customHeight="1" x14ac:dyDescent="0.15"/>
    <row r="36458" s="76" customFormat="1" ht="21.95" customHeight="1" x14ac:dyDescent="0.15"/>
    <row r="36459" s="76" customFormat="1" ht="21.95" customHeight="1" x14ac:dyDescent="0.15"/>
    <row r="36460" s="76" customFormat="1" ht="21.95" customHeight="1" x14ac:dyDescent="0.15"/>
    <row r="36461" s="76" customFormat="1" ht="21.95" customHeight="1" x14ac:dyDescent="0.15"/>
    <row r="36462" s="76" customFormat="1" ht="21.95" customHeight="1" x14ac:dyDescent="0.15"/>
    <row r="36463" s="76" customFormat="1" ht="21.95" customHeight="1" x14ac:dyDescent="0.15"/>
    <row r="36464" s="76" customFormat="1" ht="21.95" customHeight="1" x14ac:dyDescent="0.15"/>
    <row r="36465" s="76" customFormat="1" ht="21.95" customHeight="1" x14ac:dyDescent="0.15"/>
    <row r="36466" s="76" customFormat="1" ht="21.95" customHeight="1" x14ac:dyDescent="0.15"/>
    <row r="36467" s="76" customFormat="1" ht="21.95" customHeight="1" x14ac:dyDescent="0.15"/>
    <row r="36468" s="76" customFormat="1" ht="21.95" customHeight="1" x14ac:dyDescent="0.15"/>
    <row r="36469" s="76" customFormat="1" ht="21.95" customHeight="1" x14ac:dyDescent="0.15"/>
    <row r="36470" s="76" customFormat="1" ht="21.95" customHeight="1" x14ac:dyDescent="0.15"/>
    <row r="36471" s="76" customFormat="1" ht="21.95" customHeight="1" x14ac:dyDescent="0.15"/>
    <row r="36472" s="76" customFormat="1" ht="21.95" customHeight="1" x14ac:dyDescent="0.15"/>
    <row r="36473" s="76" customFormat="1" ht="21.95" customHeight="1" x14ac:dyDescent="0.15"/>
    <row r="36474" s="76" customFormat="1" ht="21.95" customHeight="1" x14ac:dyDescent="0.15"/>
    <row r="36475" s="76" customFormat="1" ht="21.95" customHeight="1" x14ac:dyDescent="0.15"/>
    <row r="36476" s="76" customFormat="1" ht="21.95" customHeight="1" x14ac:dyDescent="0.15"/>
    <row r="36477" s="76" customFormat="1" ht="21.95" customHeight="1" x14ac:dyDescent="0.15"/>
    <row r="36478" s="76" customFormat="1" ht="21.95" customHeight="1" x14ac:dyDescent="0.15"/>
    <row r="36479" s="76" customFormat="1" ht="21.95" customHeight="1" x14ac:dyDescent="0.15"/>
    <row r="36480" s="76" customFormat="1" ht="21.95" customHeight="1" x14ac:dyDescent="0.15"/>
    <row r="36481" s="76" customFormat="1" ht="21.95" customHeight="1" x14ac:dyDescent="0.15"/>
    <row r="36482" s="76" customFormat="1" ht="21.95" customHeight="1" x14ac:dyDescent="0.15"/>
    <row r="36483" s="76" customFormat="1" ht="21.95" customHeight="1" x14ac:dyDescent="0.15"/>
    <row r="36484" s="76" customFormat="1" ht="21.95" customHeight="1" x14ac:dyDescent="0.15"/>
    <row r="36485" s="76" customFormat="1" ht="21.95" customHeight="1" x14ac:dyDescent="0.15"/>
    <row r="36486" s="76" customFormat="1" ht="21.95" customHeight="1" x14ac:dyDescent="0.15"/>
    <row r="36487" s="76" customFormat="1" ht="21.95" customHeight="1" x14ac:dyDescent="0.15"/>
    <row r="36488" s="76" customFormat="1" ht="21.95" customHeight="1" x14ac:dyDescent="0.15"/>
    <row r="36489" s="76" customFormat="1" ht="35.1" customHeight="1" x14ac:dyDescent="0.15"/>
    <row r="36490" s="76" customFormat="1" ht="21.95" customHeight="1" x14ac:dyDescent="0.15"/>
    <row r="36491" s="76" customFormat="1" ht="21.95" customHeight="1" x14ac:dyDescent="0.15"/>
    <row r="36492" s="76" customFormat="1" ht="21.95" customHeight="1" x14ac:dyDescent="0.15"/>
    <row r="36493" s="76" customFormat="1" ht="21.95" customHeight="1" x14ac:dyDescent="0.15"/>
    <row r="36494" s="76" customFormat="1" ht="21.95" customHeight="1" x14ac:dyDescent="0.15"/>
    <row r="36495" s="76" customFormat="1" ht="21.95" customHeight="1" x14ac:dyDescent="0.15"/>
    <row r="36496" s="76" customFormat="1" ht="21.95" customHeight="1" x14ac:dyDescent="0.15"/>
    <row r="36497" s="76" customFormat="1" ht="21.95" customHeight="1" x14ac:dyDescent="0.15"/>
    <row r="36498" s="76" customFormat="1" ht="21.95" customHeight="1" x14ac:dyDescent="0.15"/>
    <row r="36499" s="76" customFormat="1" ht="21.95" customHeight="1" x14ac:dyDescent="0.15"/>
    <row r="36500" s="76" customFormat="1" ht="21.95" customHeight="1" x14ac:dyDescent="0.15"/>
    <row r="36501" s="76" customFormat="1" ht="21.95" customHeight="1" x14ac:dyDescent="0.15"/>
    <row r="36502" s="76" customFormat="1" ht="21.95" customHeight="1" x14ac:dyDescent="0.15"/>
    <row r="36503" s="76" customFormat="1" ht="21.95" customHeight="1" x14ac:dyDescent="0.15"/>
    <row r="36504" s="76" customFormat="1" ht="21.95" customHeight="1" x14ac:dyDescent="0.15"/>
    <row r="36505" s="76" customFormat="1" ht="21.95" customHeight="1" x14ac:dyDescent="0.15"/>
    <row r="36506" s="76" customFormat="1" ht="21.95" customHeight="1" x14ac:dyDescent="0.15"/>
    <row r="36507" s="76" customFormat="1" ht="21.95" customHeight="1" x14ac:dyDescent="0.15"/>
    <row r="36508" s="76" customFormat="1" ht="21.95" customHeight="1" x14ac:dyDescent="0.15"/>
    <row r="36509" s="76" customFormat="1" ht="21.95" customHeight="1" x14ac:dyDescent="0.15"/>
    <row r="36510" s="76" customFormat="1" ht="21.95" customHeight="1" x14ac:dyDescent="0.15"/>
    <row r="36511" s="76" customFormat="1" ht="21.95" customHeight="1" x14ac:dyDescent="0.15"/>
    <row r="36512" s="76" customFormat="1" ht="21.95" customHeight="1" x14ac:dyDescent="0.15"/>
    <row r="36513" spans="3:3" customFormat="1" ht="21.95" customHeight="1" x14ac:dyDescent="0.15"/>
    <row r="36514" spans="3:3" customFormat="1" ht="21.95" customHeight="1" x14ac:dyDescent="0.15"/>
    <row r="36515" spans="3:3" customFormat="1" ht="21.95" customHeight="1" x14ac:dyDescent="0.15">
      <c r="C36515" s="94"/>
    </row>
    <row r="36516" spans="3:3" customFormat="1" ht="21.95" customHeight="1" x14ac:dyDescent="0.15">
      <c r="C36516" s="94"/>
    </row>
    <row r="36517" spans="3:3" customFormat="1" ht="21.95" customHeight="1" x14ac:dyDescent="0.15"/>
    <row r="36518" spans="3:3" customFormat="1" ht="21.95" customHeight="1" x14ac:dyDescent="0.15"/>
    <row r="36519" spans="3:3" customFormat="1" ht="21.95" customHeight="1" x14ac:dyDescent="0.15"/>
    <row r="36520" spans="3:3" customFormat="1" ht="21.95" customHeight="1" x14ac:dyDescent="0.15"/>
    <row r="36521" spans="3:3" customFormat="1" ht="21.95" customHeight="1" x14ac:dyDescent="0.15"/>
    <row r="36522" spans="3:3" customFormat="1" ht="21.95" customHeight="1" x14ac:dyDescent="0.15"/>
    <row r="36523" spans="3:3" customFormat="1" ht="21.95" customHeight="1" x14ac:dyDescent="0.15"/>
    <row r="36524" spans="3:3" s="76" customFormat="1" ht="21.95" customHeight="1" x14ac:dyDescent="0.15"/>
    <row r="36525" spans="3:3" s="76" customFormat="1" ht="21.95" customHeight="1" x14ac:dyDescent="0.15"/>
    <row r="36526" spans="3:3" s="76" customFormat="1" ht="21.95" customHeight="1" x14ac:dyDescent="0.15"/>
    <row r="36527" spans="3:3" s="76" customFormat="1" ht="21.95" customHeight="1" x14ac:dyDescent="0.15"/>
    <row r="36528" spans="3:3" customFormat="1" ht="21.95" customHeight="1" x14ac:dyDescent="0.15"/>
    <row r="36529" customFormat="1" ht="21.95" customHeight="1" x14ac:dyDescent="0.15"/>
    <row r="36530" customFormat="1" ht="21.95" customHeight="1" x14ac:dyDescent="0.15"/>
    <row r="36531" customFormat="1" ht="21.95" customHeight="1" x14ac:dyDescent="0.15"/>
    <row r="36532" customFormat="1" ht="21.95" customHeight="1" x14ac:dyDescent="0.15"/>
    <row r="36533" customFormat="1" ht="21.95" customHeight="1" x14ac:dyDescent="0.15"/>
    <row r="36534" customFormat="1" ht="21.95" customHeight="1" x14ac:dyDescent="0.15"/>
    <row r="36535" customFormat="1" ht="21.95" customHeight="1" x14ac:dyDescent="0.15"/>
    <row r="36536" customFormat="1" ht="21.95" customHeight="1" x14ac:dyDescent="0.15"/>
    <row r="36537" customFormat="1" ht="21.95" customHeight="1" x14ac:dyDescent="0.15"/>
    <row r="36538" customFormat="1" ht="21.95" customHeight="1" x14ac:dyDescent="0.15"/>
    <row r="36539" customFormat="1" ht="32.1" customHeight="1" x14ac:dyDescent="0.15"/>
    <row r="36540" customFormat="1" ht="32.1" customHeight="1" x14ac:dyDescent="0.15"/>
    <row r="36541" customFormat="1" ht="32.1" customHeight="1" x14ac:dyDescent="0.15"/>
    <row r="36542" customFormat="1" ht="32.1" customHeight="1" x14ac:dyDescent="0.15"/>
    <row r="36543" customFormat="1" ht="32.1" customHeight="1" x14ac:dyDescent="0.15"/>
    <row r="36544" customFormat="1" ht="32.1" customHeight="1" x14ac:dyDescent="0.15"/>
    <row r="36545" s="76" customFormat="1" ht="32.1" customHeight="1" x14ac:dyDescent="0.15"/>
    <row r="36546" s="76" customFormat="1" ht="32.1" customHeight="1" x14ac:dyDescent="0.15"/>
    <row r="36547" s="76" customFormat="1" ht="32.1" customHeight="1" x14ac:dyDescent="0.15"/>
    <row r="36548" s="76" customFormat="1" ht="32.1" customHeight="1" x14ac:dyDescent="0.15"/>
    <row r="36549" s="76" customFormat="1" ht="21.95" customHeight="1" x14ac:dyDescent="0.15"/>
    <row r="36550" s="76" customFormat="1" ht="54" customHeight="1" x14ac:dyDescent="0.15"/>
    <row r="36551" s="76" customFormat="1" ht="21.95" customHeight="1" x14ac:dyDescent="0.15"/>
    <row r="36552" s="76" customFormat="1" ht="21.95" customHeight="1" x14ac:dyDescent="0.15"/>
    <row r="36553" s="76" customFormat="1" ht="21.95" customHeight="1" x14ac:dyDescent="0.15"/>
    <row r="36554" s="76" customFormat="1" ht="21.95" customHeight="1" x14ac:dyDescent="0.15"/>
    <row r="36555" s="76" customFormat="1" ht="21.95" customHeight="1" x14ac:dyDescent="0.15"/>
    <row r="36556" s="76" customFormat="1" ht="21.95" customHeight="1" x14ac:dyDescent="0.15"/>
    <row r="36557" s="76" customFormat="1" ht="21.95" customHeight="1" x14ac:dyDescent="0.15"/>
    <row r="36558" s="76" customFormat="1" ht="21.95" customHeight="1" x14ac:dyDescent="0.15"/>
    <row r="36559" s="76" customFormat="1" ht="21.95" customHeight="1" x14ac:dyDescent="0.15"/>
    <row r="36560" s="76" customFormat="1" ht="21.95" customHeight="1" x14ac:dyDescent="0.15"/>
    <row r="36561" s="76" customFormat="1" ht="21.95" customHeight="1" x14ac:dyDescent="0.15"/>
    <row r="36562" s="76" customFormat="1" ht="21.95" customHeight="1" x14ac:dyDescent="0.15"/>
    <row r="36563" s="76" customFormat="1" ht="21.95" customHeight="1" x14ac:dyDescent="0.15"/>
    <row r="36564" s="76" customFormat="1" ht="21.95" customHeight="1" x14ac:dyDescent="0.15"/>
    <row r="36565" s="76" customFormat="1" ht="21.95" customHeight="1" x14ac:dyDescent="0.15"/>
    <row r="36566" s="76" customFormat="1" ht="21.95" customHeight="1" x14ac:dyDescent="0.15"/>
    <row r="36567" s="76" customFormat="1" ht="21.95" customHeight="1" x14ac:dyDescent="0.15"/>
    <row r="36568" s="76" customFormat="1" ht="21.95" customHeight="1" x14ac:dyDescent="0.15"/>
    <row r="36569" s="76" customFormat="1" ht="21.95" customHeight="1" x14ac:dyDescent="0.15"/>
    <row r="36570" s="76" customFormat="1" ht="21.95" customHeight="1" x14ac:dyDescent="0.15"/>
    <row r="36571" s="76" customFormat="1" ht="21.95" customHeight="1" x14ac:dyDescent="0.15"/>
    <row r="36572" s="76" customFormat="1" ht="21.95" customHeight="1" x14ac:dyDescent="0.15"/>
    <row r="36573" s="76" customFormat="1" ht="21.95" customHeight="1" x14ac:dyDescent="0.15"/>
    <row r="36574" s="76" customFormat="1" ht="21.95" customHeight="1" x14ac:dyDescent="0.15"/>
    <row r="36575" s="76" customFormat="1" ht="21.95" customHeight="1" x14ac:dyDescent="0.15"/>
    <row r="36576" s="76" customFormat="1" ht="21.95" customHeight="1" x14ac:dyDescent="0.15"/>
    <row r="36577" s="76" customFormat="1" ht="21.95" customHeight="1" x14ac:dyDescent="0.15"/>
    <row r="36578" s="76" customFormat="1" ht="21.95" customHeight="1" x14ac:dyDescent="0.15"/>
    <row r="36579" s="76" customFormat="1" ht="21.95" customHeight="1" x14ac:dyDescent="0.15"/>
    <row r="36580" s="76" customFormat="1" ht="21.95" customHeight="1" x14ac:dyDescent="0.15"/>
    <row r="36581" s="76" customFormat="1" ht="21.95" customHeight="1" x14ac:dyDescent="0.15"/>
    <row r="36582" s="76" customFormat="1" ht="21.95" customHeight="1" x14ac:dyDescent="0.15"/>
    <row r="36583" s="76" customFormat="1" ht="21.95" customHeight="1" x14ac:dyDescent="0.15"/>
    <row r="36584" s="76" customFormat="1" ht="21.95" customHeight="1" x14ac:dyDescent="0.15"/>
    <row r="36585" s="76" customFormat="1" ht="21.95" customHeight="1" x14ac:dyDescent="0.15"/>
    <row r="36586" s="76" customFormat="1" ht="21.95" customHeight="1" x14ac:dyDescent="0.15"/>
    <row r="36587" s="76" customFormat="1" ht="21.95" customHeight="1" x14ac:dyDescent="0.15"/>
    <row r="36588" s="76" customFormat="1" ht="21.95" customHeight="1" x14ac:dyDescent="0.15"/>
    <row r="36589" s="76" customFormat="1" ht="21.95" customHeight="1" x14ac:dyDescent="0.15"/>
    <row r="36590" s="76" customFormat="1" ht="21.95" customHeight="1" x14ac:dyDescent="0.15"/>
    <row r="36591" s="76" customFormat="1" ht="21.95" customHeight="1" x14ac:dyDescent="0.15"/>
    <row r="36592" s="76" customFormat="1" ht="21.95" customHeight="1" x14ac:dyDescent="0.15"/>
    <row r="36593" s="76" customFormat="1" ht="21.95" customHeight="1" x14ac:dyDescent="0.15"/>
    <row r="36594" s="76" customFormat="1" ht="21.95" customHeight="1" x14ac:dyDescent="0.15"/>
    <row r="36595" s="76" customFormat="1" ht="21.95" customHeight="1" x14ac:dyDescent="0.15"/>
    <row r="36596" s="76" customFormat="1" ht="21.95" customHeight="1" x14ac:dyDescent="0.15"/>
    <row r="36597" s="76" customFormat="1" ht="21.95" customHeight="1" x14ac:dyDescent="0.15"/>
    <row r="36598" s="76" customFormat="1" ht="21.95" customHeight="1" x14ac:dyDescent="0.15"/>
    <row r="36599" s="76" customFormat="1" ht="21.95" customHeight="1" x14ac:dyDescent="0.15"/>
    <row r="36600" s="76" customFormat="1" ht="21.95" customHeight="1" x14ac:dyDescent="0.15"/>
    <row r="36601" s="76" customFormat="1" ht="35.1" customHeight="1" x14ac:dyDescent="0.15"/>
    <row r="36602" s="76" customFormat="1" ht="21.95" customHeight="1" x14ac:dyDescent="0.15"/>
    <row r="36603" s="76" customFormat="1" ht="21.95" customHeight="1" x14ac:dyDescent="0.15"/>
    <row r="36604" s="76" customFormat="1" ht="21.95" customHeight="1" x14ac:dyDescent="0.15"/>
    <row r="36605" s="76" customFormat="1" ht="21.95" customHeight="1" x14ac:dyDescent="0.15"/>
    <row r="36606" s="76" customFormat="1" ht="21.95" customHeight="1" x14ac:dyDescent="0.15"/>
    <row r="36607" s="76" customFormat="1" ht="21.95" customHeight="1" x14ac:dyDescent="0.15"/>
    <row r="36608" s="76" customFormat="1" ht="21.95" customHeight="1" x14ac:dyDescent="0.15"/>
    <row r="36609" s="76" customFormat="1" ht="21.95" customHeight="1" x14ac:dyDescent="0.15"/>
    <row r="36610" s="76" customFormat="1" ht="21.95" customHeight="1" x14ac:dyDescent="0.15"/>
    <row r="36611" s="76" customFormat="1" ht="21.95" customHeight="1" x14ac:dyDescent="0.15"/>
    <row r="36612" s="76" customFormat="1" ht="21.95" customHeight="1" x14ac:dyDescent="0.15"/>
    <row r="36613" s="76" customFormat="1" ht="21.95" customHeight="1" x14ac:dyDescent="0.15"/>
    <row r="36614" s="76" customFormat="1" ht="21.95" customHeight="1" x14ac:dyDescent="0.15"/>
    <row r="36615" s="76" customFormat="1" ht="21.95" customHeight="1" x14ac:dyDescent="0.15"/>
    <row r="36616" s="76" customFormat="1" ht="21.95" customHeight="1" x14ac:dyDescent="0.15"/>
    <row r="36617" s="76" customFormat="1" ht="21.95" customHeight="1" x14ac:dyDescent="0.15"/>
    <row r="36618" s="76" customFormat="1" ht="21.95" customHeight="1" x14ac:dyDescent="0.15"/>
    <row r="36619" s="76" customFormat="1" ht="21.95" customHeight="1" x14ac:dyDescent="0.15"/>
    <row r="36620" s="76" customFormat="1" ht="21.95" customHeight="1" x14ac:dyDescent="0.15"/>
    <row r="36621" s="76" customFormat="1" ht="21.95" customHeight="1" x14ac:dyDescent="0.15"/>
    <row r="36622" s="76" customFormat="1" ht="21.95" customHeight="1" x14ac:dyDescent="0.15"/>
    <row r="36623" s="76" customFormat="1" ht="21.95" customHeight="1" x14ac:dyDescent="0.15"/>
    <row r="36624" s="76" customFormat="1" ht="21.95" customHeight="1" x14ac:dyDescent="0.15"/>
    <row r="36625" spans="3:3" customFormat="1" ht="21.95" customHeight="1" x14ac:dyDescent="0.15"/>
    <row r="36626" spans="3:3" customFormat="1" ht="21.95" customHeight="1" x14ac:dyDescent="0.15"/>
    <row r="36627" spans="3:3" customFormat="1" ht="21.95" customHeight="1" x14ac:dyDescent="0.15">
      <c r="C36627" s="94"/>
    </row>
    <row r="36628" spans="3:3" customFormat="1" ht="21.95" customHeight="1" x14ac:dyDescent="0.15">
      <c r="C36628" s="94"/>
    </row>
    <row r="36629" spans="3:3" customFormat="1" ht="21.95" customHeight="1" x14ac:dyDescent="0.15"/>
    <row r="36630" spans="3:3" customFormat="1" ht="21.95" customHeight="1" x14ac:dyDescent="0.15"/>
    <row r="36631" spans="3:3" customFormat="1" ht="21.95" customHeight="1" x14ac:dyDescent="0.15"/>
    <row r="36632" spans="3:3" customFormat="1" ht="21.95" customHeight="1" x14ac:dyDescent="0.15"/>
    <row r="36633" spans="3:3" customFormat="1" ht="21.95" customHeight="1" x14ac:dyDescent="0.15"/>
    <row r="36634" spans="3:3" customFormat="1" ht="21.95" customHeight="1" x14ac:dyDescent="0.15"/>
    <row r="36635" spans="3:3" customFormat="1" ht="21.95" customHeight="1" x14ac:dyDescent="0.15"/>
    <row r="36636" spans="3:3" s="76" customFormat="1" ht="21.95" customHeight="1" x14ac:dyDescent="0.15"/>
    <row r="36637" spans="3:3" s="76" customFormat="1" ht="21.95" customHeight="1" x14ac:dyDescent="0.15"/>
    <row r="36638" spans="3:3" s="76" customFormat="1" ht="21.95" customHeight="1" x14ac:dyDescent="0.15"/>
    <row r="36639" spans="3:3" s="76" customFormat="1" ht="21.95" customHeight="1" x14ac:dyDescent="0.15"/>
    <row r="36640" spans="3:3" customFormat="1" ht="21.95" customHeight="1" x14ac:dyDescent="0.15"/>
    <row r="36641" customFormat="1" ht="21.95" customHeight="1" x14ac:dyDescent="0.15"/>
    <row r="36642" customFormat="1" ht="21.95" customHeight="1" x14ac:dyDescent="0.15"/>
    <row r="36643" customFormat="1" ht="21.95" customHeight="1" x14ac:dyDescent="0.15"/>
    <row r="36644" customFormat="1" ht="21.95" customHeight="1" x14ac:dyDescent="0.15"/>
    <row r="36645" customFormat="1" ht="21.95" customHeight="1" x14ac:dyDescent="0.15"/>
    <row r="36646" customFormat="1" ht="21.95" customHeight="1" x14ac:dyDescent="0.15"/>
    <row r="36647" customFormat="1" ht="21.95" customHeight="1" x14ac:dyDescent="0.15"/>
    <row r="36648" customFormat="1" ht="21.95" customHeight="1" x14ac:dyDescent="0.15"/>
    <row r="36649" customFormat="1" ht="21.95" customHeight="1" x14ac:dyDescent="0.15"/>
    <row r="36650" customFormat="1" ht="21.95" customHeight="1" x14ac:dyDescent="0.15"/>
    <row r="36651" customFormat="1" ht="32.1" customHeight="1" x14ac:dyDescent="0.15"/>
    <row r="36652" customFormat="1" ht="32.1" customHeight="1" x14ac:dyDescent="0.15"/>
    <row r="36653" customFormat="1" ht="32.1" customHeight="1" x14ac:dyDescent="0.15"/>
    <row r="36654" customFormat="1" ht="32.1" customHeight="1" x14ac:dyDescent="0.15"/>
    <row r="36655" customFormat="1" ht="32.1" customHeight="1" x14ac:dyDescent="0.15"/>
    <row r="36656" customFormat="1" ht="32.1" customHeight="1" x14ac:dyDescent="0.15"/>
    <row r="36657" s="76" customFormat="1" ht="32.1" customHeight="1" x14ac:dyDescent="0.15"/>
    <row r="36658" s="76" customFormat="1" ht="32.1" customHeight="1" x14ac:dyDescent="0.15"/>
    <row r="36659" s="76" customFormat="1" ht="32.1" customHeight="1" x14ac:dyDescent="0.15"/>
    <row r="36660" s="76" customFormat="1" ht="32.1" customHeight="1" x14ac:dyDescent="0.15"/>
    <row r="36661" s="76" customFormat="1" ht="21.95" customHeight="1" x14ac:dyDescent="0.15"/>
    <row r="36662" s="76" customFormat="1" ht="54" customHeight="1" x14ac:dyDescent="0.15"/>
    <row r="36663" s="76" customFormat="1" ht="21.95" customHeight="1" x14ac:dyDescent="0.15"/>
    <row r="36664" s="76" customFormat="1" ht="21.95" customHeight="1" x14ac:dyDescent="0.15"/>
    <row r="36665" s="76" customFormat="1" ht="21.95" customHeight="1" x14ac:dyDescent="0.15"/>
    <row r="36666" s="76" customFormat="1" ht="21.95" customHeight="1" x14ac:dyDescent="0.15"/>
    <row r="36667" s="76" customFormat="1" ht="21.95" customHeight="1" x14ac:dyDescent="0.15"/>
    <row r="36668" s="76" customFormat="1" ht="21.95" customHeight="1" x14ac:dyDescent="0.15"/>
    <row r="36669" s="76" customFormat="1" ht="21.95" customHeight="1" x14ac:dyDescent="0.15"/>
    <row r="36670" s="76" customFormat="1" ht="21.95" customHeight="1" x14ac:dyDescent="0.15"/>
    <row r="36671" s="76" customFormat="1" ht="21.95" customHeight="1" x14ac:dyDescent="0.15"/>
    <row r="36672" s="76" customFormat="1" ht="21.95" customHeight="1" x14ac:dyDescent="0.15"/>
    <row r="36673" s="76" customFormat="1" ht="21.95" customHeight="1" x14ac:dyDescent="0.15"/>
    <row r="36674" s="76" customFormat="1" ht="21.95" customHeight="1" x14ac:dyDescent="0.15"/>
    <row r="36675" s="76" customFormat="1" ht="21.95" customHeight="1" x14ac:dyDescent="0.15"/>
    <row r="36676" s="76" customFormat="1" ht="21.95" customHeight="1" x14ac:dyDescent="0.15"/>
    <row r="36677" s="76" customFormat="1" ht="21.95" customHeight="1" x14ac:dyDescent="0.15"/>
    <row r="36678" s="76" customFormat="1" ht="21.95" customHeight="1" x14ac:dyDescent="0.15"/>
    <row r="36679" s="76" customFormat="1" ht="21.95" customHeight="1" x14ac:dyDescent="0.15"/>
    <row r="36680" s="76" customFormat="1" ht="21.95" customHeight="1" x14ac:dyDescent="0.15"/>
    <row r="36681" s="76" customFormat="1" ht="21.95" customHeight="1" x14ac:dyDescent="0.15"/>
    <row r="36682" s="76" customFormat="1" ht="21.95" customHeight="1" x14ac:dyDescent="0.15"/>
    <row r="36683" s="76" customFormat="1" ht="21.95" customHeight="1" x14ac:dyDescent="0.15"/>
    <row r="36684" s="76" customFormat="1" ht="21.95" customHeight="1" x14ac:dyDescent="0.15"/>
    <row r="36685" s="76" customFormat="1" ht="21.95" customHeight="1" x14ac:dyDescent="0.15"/>
    <row r="36686" s="76" customFormat="1" ht="21.95" customHeight="1" x14ac:dyDescent="0.15"/>
    <row r="36687" s="76" customFormat="1" ht="21.95" customHeight="1" x14ac:dyDescent="0.15"/>
    <row r="36688" s="76" customFormat="1" ht="21.95" customHeight="1" x14ac:dyDescent="0.15"/>
    <row r="36689" s="76" customFormat="1" ht="21.95" customHeight="1" x14ac:dyDescent="0.15"/>
    <row r="36690" s="76" customFormat="1" ht="21.95" customHeight="1" x14ac:dyDescent="0.15"/>
    <row r="36691" s="76" customFormat="1" ht="21.95" customHeight="1" x14ac:dyDescent="0.15"/>
    <row r="36692" s="76" customFormat="1" ht="21.95" customHeight="1" x14ac:dyDescent="0.15"/>
    <row r="36693" s="76" customFormat="1" ht="21.95" customHeight="1" x14ac:dyDescent="0.15"/>
    <row r="36694" s="76" customFormat="1" ht="21.95" customHeight="1" x14ac:dyDescent="0.15"/>
    <row r="36695" s="76" customFormat="1" ht="21.95" customHeight="1" x14ac:dyDescent="0.15"/>
    <row r="36696" s="76" customFormat="1" ht="21.95" customHeight="1" x14ac:dyDescent="0.15"/>
    <row r="36697" s="76" customFormat="1" ht="21.95" customHeight="1" x14ac:dyDescent="0.15"/>
    <row r="36698" s="76" customFormat="1" ht="21.95" customHeight="1" x14ac:dyDescent="0.15"/>
    <row r="36699" s="76" customFormat="1" ht="21.95" customHeight="1" x14ac:dyDescent="0.15"/>
    <row r="36700" s="76" customFormat="1" ht="21.95" customHeight="1" x14ac:dyDescent="0.15"/>
    <row r="36701" s="76" customFormat="1" ht="21.95" customHeight="1" x14ac:dyDescent="0.15"/>
    <row r="36702" s="76" customFormat="1" ht="21.95" customHeight="1" x14ac:dyDescent="0.15"/>
    <row r="36703" s="76" customFormat="1" ht="21.95" customHeight="1" x14ac:dyDescent="0.15"/>
    <row r="36704" s="76" customFormat="1" ht="21.95" customHeight="1" x14ac:dyDescent="0.15"/>
    <row r="36705" s="76" customFormat="1" ht="21.95" customHeight="1" x14ac:dyDescent="0.15"/>
    <row r="36706" s="76" customFormat="1" ht="21.95" customHeight="1" x14ac:dyDescent="0.15"/>
    <row r="36707" s="76" customFormat="1" ht="21.95" customHeight="1" x14ac:dyDescent="0.15"/>
    <row r="36708" s="76" customFormat="1" ht="21.95" customHeight="1" x14ac:dyDescent="0.15"/>
    <row r="36709" s="76" customFormat="1" ht="21.95" customHeight="1" x14ac:dyDescent="0.15"/>
    <row r="36710" s="76" customFormat="1" ht="21.95" customHeight="1" x14ac:dyDescent="0.15"/>
    <row r="36711" s="76" customFormat="1" ht="21.95" customHeight="1" x14ac:dyDescent="0.15"/>
    <row r="36712" s="76" customFormat="1" ht="21.95" customHeight="1" x14ac:dyDescent="0.15"/>
    <row r="36713" s="76" customFormat="1" ht="35.1" customHeight="1" x14ac:dyDescent="0.15"/>
    <row r="36714" s="76" customFormat="1" ht="21.95" customHeight="1" x14ac:dyDescent="0.15"/>
    <row r="36715" s="76" customFormat="1" ht="21.95" customHeight="1" x14ac:dyDescent="0.15"/>
    <row r="36716" s="76" customFormat="1" ht="21.95" customHeight="1" x14ac:dyDescent="0.15"/>
    <row r="36717" s="76" customFormat="1" ht="21.95" customHeight="1" x14ac:dyDescent="0.15"/>
    <row r="36718" s="76" customFormat="1" ht="21.95" customHeight="1" x14ac:dyDescent="0.15"/>
    <row r="36719" s="76" customFormat="1" ht="21.95" customHeight="1" x14ac:dyDescent="0.15"/>
    <row r="36720" s="76" customFormat="1" ht="21.95" customHeight="1" x14ac:dyDescent="0.15"/>
    <row r="36721" s="76" customFormat="1" ht="21.95" customHeight="1" x14ac:dyDescent="0.15"/>
    <row r="36722" s="76" customFormat="1" ht="21.95" customHeight="1" x14ac:dyDescent="0.15"/>
    <row r="36723" s="76" customFormat="1" ht="21.95" customHeight="1" x14ac:dyDescent="0.15"/>
    <row r="36724" s="76" customFormat="1" ht="21.95" customHeight="1" x14ac:dyDescent="0.15"/>
    <row r="36725" s="76" customFormat="1" ht="21.95" customHeight="1" x14ac:dyDescent="0.15"/>
    <row r="36726" s="76" customFormat="1" ht="21.95" customHeight="1" x14ac:dyDescent="0.15"/>
    <row r="36727" s="76" customFormat="1" ht="21.95" customHeight="1" x14ac:dyDescent="0.15"/>
    <row r="36728" s="76" customFormat="1" ht="21.95" customHeight="1" x14ac:dyDescent="0.15"/>
    <row r="36729" s="76" customFormat="1" ht="21.95" customHeight="1" x14ac:dyDescent="0.15"/>
    <row r="36730" s="76" customFormat="1" ht="21.95" customHeight="1" x14ac:dyDescent="0.15"/>
    <row r="36731" s="76" customFormat="1" ht="21.95" customHeight="1" x14ac:dyDescent="0.15"/>
    <row r="36732" s="76" customFormat="1" ht="21.95" customHeight="1" x14ac:dyDescent="0.15"/>
    <row r="36733" s="76" customFormat="1" ht="21.95" customHeight="1" x14ac:dyDescent="0.15"/>
    <row r="36734" s="76" customFormat="1" ht="21.95" customHeight="1" x14ac:dyDescent="0.15"/>
    <row r="36735" s="76" customFormat="1" ht="21.95" customHeight="1" x14ac:dyDescent="0.15"/>
    <row r="36736" s="76" customFormat="1" ht="21.95" customHeight="1" x14ac:dyDescent="0.15"/>
    <row r="36737" spans="3:3" customFormat="1" ht="21.95" customHeight="1" x14ac:dyDescent="0.15"/>
    <row r="36738" spans="3:3" customFormat="1" ht="21.95" customHeight="1" x14ac:dyDescent="0.15"/>
    <row r="36739" spans="3:3" customFormat="1" ht="21.95" customHeight="1" x14ac:dyDescent="0.15">
      <c r="C36739" s="94"/>
    </row>
    <row r="36740" spans="3:3" customFormat="1" ht="21.95" customHeight="1" x14ac:dyDescent="0.15">
      <c r="C36740" s="94"/>
    </row>
    <row r="36741" spans="3:3" customFormat="1" ht="21.95" customHeight="1" x14ac:dyDescent="0.15"/>
    <row r="36742" spans="3:3" customFormat="1" ht="21.95" customHeight="1" x14ac:dyDescent="0.15"/>
    <row r="36743" spans="3:3" customFormat="1" ht="21.95" customHeight="1" x14ac:dyDescent="0.15"/>
    <row r="36744" spans="3:3" customFormat="1" ht="21.95" customHeight="1" x14ac:dyDescent="0.15"/>
    <row r="36745" spans="3:3" customFormat="1" ht="21.95" customHeight="1" x14ac:dyDescent="0.15"/>
    <row r="36746" spans="3:3" customFormat="1" ht="21.95" customHeight="1" x14ac:dyDescent="0.15"/>
    <row r="36747" spans="3:3" customFormat="1" ht="21.95" customHeight="1" x14ac:dyDescent="0.15"/>
    <row r="36748" spans="3:3" s="76" customFormat="1" ht="21.95" customHeight="1" x14ac:dyDescent="0.15"/>
    <row r="36749" spans="3:3" s="76" customFormat="1" ht="21.95" customHeight="1" x14ac:dyDescent="0.15"/>
    <row r="36750" spans="3:3" s="76" customFormat="1" ht="21.95" customHeight="1" x14ac:dyDescent="0.15"/>
    <row r="36751" spans="3:3" s="76" customFormat="1" ht="21.95" customHeight="1" x14ac:dyDescent="0.15"/>
    <row r="36752" spans="3:3" customFormat="1" ht="21.95" customHeight="1" x14ac:dyDescent="0.15"/>
    <row r="36753" customFormat="1" ht="21.95" customHeight="1" x14ac:dyDescent="0.15"/>
    <row r="36754" customFormat="1" ht="21.95" customHeight="1" x14ac:dyDescent="0.15"/>
    <row r="36755" customFormat="1" ht="21.95" customHeight="1" x14ac:dyDescent="0.15"/>
    <row r="36756" customFormat="1" ht="21.95" customHeight="1" x14ac:dyDescent="0.15"/>
    <row r="36757" customFormat="1" ht="21.95" customHeight="1" x14ac:dyDescent="0.15"/>
    <row r="36758" customFormat="1" ht="21.95" customHeight="1" x14ac:dyDescent="0.15"/>
    <row r="36759" customFormat="1" ht="21.95" customHeight="1" x14ac:dyDescent="0.15"/>
    <row r="36760" customFormat="1" ht="21.95" customHeight="1" x14ac:dyDescent="0.15"/>
    <row r="36761" customFormat="1" ht="21.95" customHeight="1" x14ac:dyDescent="0.15"/>
    <row r="36762" customFormat="1" ht="21.95" customHeight="1" x14ac:dyDescent="0.15"/>
    <row r="36763" customFormat="1" ht="32.1" customHeight="1" x14ac:dyDescent="0.15"/>
    <row r="36764" customFormat="1" ht="32.1" customHeight="1" x14ac:dyDescent="0.15"/>
    <row r="36765" customFormat="1" ht="32.1" customHeight="1" x14ac:dyDescent="0.15"/>
    <row r="36766" customFormat="1" ht="32.1" customHeight="1" x14ac:dyDescent="0.15"/>
    <row r="36767" customFormat="1" ht="32.1" customHeight="1" x14ac:dyDescent="0.15"/>
    <row r="36768" customFormat="1" ht="32.1" customHeight="1" x14ac:dyDescent="0.15"/>
    <row r="36769" s="76" customFormat="1" ht="32.1" customHeight="1" x14ac:dyDescent="0.15"/>
    <row r="36770" s="76" customFormat="1" ht="32.1" customHeight="1" x14ac:dyDescent="0.15"/>
    <row r="36771" s="76" customFormat="1" ht="32.1" customHeight="1" x14ac:dyDescent="0.15"/>
    <row r="36772" s="76" customFormat="1" ht="32.1" customHeight="1" x14ac:dyDescent="0.15"/>
    <row r="36773" s="76" customFormat="1" ht="21.95" customHeight="1" x14ac:dyDescent="0.15"/>
    <row r="36774" s="76" customFormat="1" ht="54" customHeight="1" x14ac:dyDescent="0.15"/>
    <row r="36775" s="76" customFormat="1" ht="21.95" customHeight="1" x14ac:dyDescent="0.15"/>
    <row r="36776" s="76" customFormat="1" ht="21.95" customHeight="1" x14ac:dyDescent="0.15"/>
    <row r="36777" s="76" customFormat="1" ht="21.95" customHeight="1" x14ac:dyDescent="0.15"/>
    <row r="36778" s="76" customFormat="1" ht="21.95" customHeight="1" x14ac:dyDescent="0.15"/>
    <row r="36779" s="76" customFormat="1" ht="21.95" customHeight="1" x14ac:dyDescent="0.15"/>
    <row r="36780" s="76" customFormat="1" ht="21.95" customHeight="1" x14ac:dyDescent="0.15"/>
    <row r="36781" s="76" customFormat="1" ht="21.95" customHeight="1" x14ac:dyDescent="0.15"/>
    <row r="36782" s="76" customFormat="1" ht="21.95" customHeight="1" x14ac:dyDescent="0.15"/>
    <row r="36783" s="76" customFormat="1" ht="21.95" customHeight="1" x14ac:dyDescent="0.15"/>
    <row r="36784" s="76" customFormat="1" ht="21.95" customHeight="1" x14ac:dyDescent="0.15"/>
    <row r="36785" s="76" customFormat="1" ht="21.95" customHeight="1" x14ac:dyDescent="0.15"/>
    <row r="36786" s="76" customFormat="1" ht="21.95" customHeight="1" x14ac:dyDescent="0.15"/>
    <row r="36787" s="76" customFormat="1" ht="21.95" customHeight="1" x14ac:dyDescent="0.15"/>
    <row r="36788" s="76" customFormat="1" ht="21.95" customHeight="1" x14ac:dyDescent="0.15"/>
    <row r="36789" s="76" customFormat="1" ht="21.95" customHeight="1" x14ac:dyDescent="0.15"/>
    <row r="36790" s="76" customFormat="1" ht="21.95" customHeight="1" x14ac:dyDescent="0.15"/>
    <row r="36791" s="76" customFormat="1" ht="21.95" customHeight="1" x14ac:dyDescent="0.15"/>
    <row r="36792" s="76" customFormat="1" ht="21.95" customHeight="1" x14ac:dyDescent="0.15"/>
    <row r="36793" s="76" customFormat="1" ht="21.95" customHeight="1" x14ac:dyDescent="0.15"/>
    <row r="36794" s="76" customFormat="1" ht="21.95" customHeight="1" x14ac:dyDescent="0.15"/>
    <row r="36795" s="76" customFormat="1" ht="21.95" customHeight="1" x14ac:dyDescent="0.15"/>
    <row r="36796" s="76" customFormat="1" ht="21.95" customHeight="1" x14ac:dyDescent="0.15"/>
    <row r="36797" s="76" customFormat="1" ht="21.95" customHeight="1" x14ac:dyDescent="0.15"/>
    <row r="36798" s="76" customFormat="1" ht="21.95" customHeight="1" x14ac:dyDescent="0.15"/>
    <row r="36799" s="76" customFormat="1" ht="21.95" customHeight="1" x14ac:dyDescent="0.15"/>
    <row r="36800" s="76" customFormat="1" ht="21.95" customHeight="1" x14ac:dyDescent="0.15"/>
    <row r="36801" s="76" customFormat="1" ht="21.95" customHeight="1" x14ac:dyDescent="0.15"/>
    <row r="36802" s="76" customFormat="1" ht="21.95" customHeight="1" x14ac:dyDescent="0.15"/>
    <row r="36803" s="76" customFormat="1" ht="21.95" customHeight="1" x14ac:dyDescent="0.15"/>
    <row r="36804" s="76" customFormat="1" ht="21.95" customHeight="1" x14ac:dyDescent="0.15"/>
    <row r="36805" s="76" customFormat="1" ht="21.95" customHeight="1" x14ac:dyDescent="0.15"/>
    <row r="36806" s="76" customFormat="1" ht="21.95" customHeight="1" x14ac:dyDescent="0.15"/>
    <row r="36807" s="76" customFormat="1" ht="21.95" customHeight="1" x14ac:dyDescent="0.15"/>
    <row r="36808" s="76" customFormat="1" ht="21.95" customHeight="1" x14ac:dyDescent="0.15"/>
    <row r="36809" s="76" customFormat="1" ht="21.95" customHeight="1" x14ac:dyDescent="0.15"/>
    <row r="36810" s="76" customFormat="1" ht="21.95" customHeight="1" x14ac:dyDescent="0.15"/>
    <row r="36811" s="76" customFormat="1" ht="21.95" customHeight="1" x14ac:dyDescent="0.15"/>
    <row r="36812" s="76" customFormat="1" ht="21.95" customHeight="1" x14ac:dyDescent="0.15"/>
    <row r="36813" s="76" customFormat="1" ht="21.95" customHeight="1" x14ac:dyDescent="0.15"/>
    <row r="36814" s="76" customFormat="1" ht="21.95" customHeight="1" x14ac:dyDescent="0.15"/>
    <row r="36815" s="76" customFormat="1" ht="21.95" customHeight="1" x14ac:dyDescent="0.15"/>
    <row r="36816" s="76" customFormat="1" ht="21.95" customHeight="1" x14ac:dyDescent="0.15"/>
    <row r="36817" s="76" customFormat="1" ht="21.95" customHeight="1" x14ac:dyDescent="0.15"/>
    <row r="36818" s="76" customFormat="1" ht="21.95" customHeight="1" x14ac:dyDescent="0.15"/>
    <row r="36819" s="76" customFormat="1" ht="21.95" customHeight="1" x14ac:dyDescent="0.15"/>
    <row r="36820" s="76" customFormat="1" ht="21.95" customHeight="1" x14ac:dyDescent="0.15"/>
    <row r="36821" s="76" customFormat="1" ht="21.95" customHeight="1" x14ac:dyDescent="0.15"/>
    <row r="36822" s="76" customFormat="1" ht="21.95" customHeight="1" x14ac:dyDescent="0.15"/>
    <row r="36823" s="76" customFormat="1" ht="21.95" customHeight="1" x14ac:dyDescent="0.15"/>
    <row r="36824" s="76" customFormat="1" ht="21.95" customHeight="1" x14ac:dyDescent="0.15"/>
    <row r="36825" s="76" customFormat="1" ht="35.1" customHeight="1" x14ac:dyDescent="0.15"/>
    <row r="36826" s="76" customFormat="1" ht="21.95" customHeight="1" x14ac:dyDescent="0.15"/>
    <row r="36827" s="76" customFormat="1" ht="21.95" customHeight="1" x14ac:dyDescent="0.15"/>
    <row r="36828" s="76" customFormat="1" ht="21.95" customHeight="1" x14ac:dyDescent="0.15"/>
    <row r="36829" s="76" customFormat="1" ht="21.95" customHeight="1" x14ac:dyDescent="0.15"/>
    <row r="36830" s="76" customFormat="1" ht="21.95" customHeight="1" x14ac:dyDescent="0.15"/>
    <row r="36831" s="76" customFormat="1" ht="21.95" customHeight="1" x14ac:dyDescent="0.15"/>
    <row r="36832" s="76" customFormat="1" ht="21.95" customHeight="1" x14ac:dyDescent="0.15"/>
    <row r="36833" s="76" customFormat="1" ht="21.95" customHeight="1" x14ac:dyDescent="0.15"/>
    <row r="36834" s="76" customFormat="1" ht="21.95" customHeight="1" x14ac:dyDescent="0.15"/>
    <row r="36835" s="76" customFormat="1" ht="21.95" customHeight="1" x14ac:dyDescent="0.15"/>
    <row r="36836" s="76" customFormat="1" ht="21.95" customHeight="1" x14ac:dyDescent="0.15"/>
    <row r="36837" s="76" customFormat="1" ht="21.95" customHeight="1" x14ac:dyDescent="0.15"/>
    <row r="36838" s="76" customFormat="1" ht="21.95" customHeight="1" x14ac:dyDescent="0.15"/>
    <row r="36839" s="76" customFormat="1" ht="21.95" customHeight="1" x14ac:dyDescent="0.15"/>
    <row r="36840" s="76" customFormat="1" ht="21.95" customHeight="1" x14ac:dyDescent="0.15"/>
    <row r="36841" s="76" customFormat="1" ht="21.95" customHeight="1" x14ac:dyDescent="0.15"/>
    <row r="36842" s="76" customFormat="1" ht="21.95" customHeight="1" x14ac:dyDescent="0.15"/>
    <row r="36843" s="76" customFormat="1" ht="21.95" customHeight="1" x14ac:dyDescent="0.15"/>
    <row r="36844" s="76" customFormat="1" ht="21.95" customHeight="1" x14ac:dyDescent="0.15"/>
    <row r="36845" s="76" customFormat="1" ht="21.95" customHeight="1" x14ac:dyDescent="0.15"/>
    <row r="36846" s="76" customFormat="1" ht="21.95" customHeight="1" x14ac:dyDescent="0.15"/>
    <row r="36847" s="76" customFormat="1" ht="21.95" customHeight="1" x14ac:dyDescent="0.15"/>
    <row r="36848" s="76" customFormat="1" ht="21.95" customHeight="1" x14ac:dyDescent="0.15"/>
    <row r="36849" spans="3:3" customFormat="1" ht="21.95" customHeight="1" x14ac:dyDescent="0.15"/>
    <row r="36850" spans="3:3" customFormat="1" ht="21.95" customHeight="1" x14ac:dyDescent="0.15"/>
    <row r="36851" spans="3:3" customFormat="1" ht="21.95" customHeight="1" x14ac:dyDescent="0.15">
      <c r="C36851" s="94"/>
    </row>
    <row r="36852" spans="3:3" customFormat="1" ht="21.95" customHeight="1" x14ac:dyDescent="0.15">
      <c r="C36852" s="94"/>
    </row>
    <row r="36853" spans="3:3" customFormat="1" ht="21.95" customHeight="1" x14ac:dyDescent="0.15"/>
    <row r="36854" spans="3:3" customFormat="1" ht="21.95" customHeight="1" x14ac:dyDescent="0.15"/>
    <row r="36855" spans="3:3" customFormat="1" ht="21.95" customHeight="1" x14ac:dyDescent="0.15"/>
    <row r="36856" spans="3:3" customFormat="1" ht="21.95" customHeight="1" x14ac:dyDescent="0.15"/>
    <row r="36857" spans="3:3" customFormat="1" ht="21.95" customHeight="1" x14ac:dyDescent="0.15"/>
    <row r="36858" spans="3:3" customFormat="1" ht="21.95" customHeight="1" x14ac:dyDescent="0.15"/>
    <row r="36859" spans="3:3" customFormat="1" ht="21.95" customHeight="1" x14ac:dyDescent="0.15"/>
    <row r="36860" spans="3:3" s="76" customFormat="1" ht="21.95" customHeight="1" x14ac:dyDescent="0.15"/>
    <row r="36861" spans="3:3" s="76" customFormat="1" ht="21.95" customHeight="1" x14ac:dyDescent="0.15"/>
    <row r="36862" spans="3:3" s="76" customFormat="1" ht="21.95" customHeight="1" x14ac:dyDescent="0.15"/>
    <row r="36863" spans="3:3" s="76" customFormat="1" ht="21.95" customHeight="1" x14ac:dyDescent="0.15"/>
    <row r="36864" spans="3:3" customFormat="1" ht="21.95" customHeight="1" x14ac:dyDescent="0.15"/>
    <row r="36865" customFormat="1" ht="21.95" customHeight="1" x14ac:dyDescent="0.15"/>
    <row r="36866" customFormat="1" ht="21.95" customHeight="1" x14ac:dyDescent="0.15"/>
    <row r="36867" customFormat="1" ht="21.95" customHeight="1" x14ac:dyDescent="0.15"/>
    <row r="36868" customFormat="1" ht="21.95" customHeight="1" x14ac:dyDescent="0.15"/>
    <row r="36869" customFormat="1" ht="21.95" customHeight="1" x14ac:dyDescent="0.15"/>
    <row r="36870" customFormat="1" ht="21.95" customHeight="1" x14ac:dyDescent="0.15"/>
    <row r="36871" customFormat="1" ht="21.95" customHeight="1" x14ac:dyDescent="0.15"/>
    <row r="36872" customFormat="1" ht="21.95" customHeight="1" x14ac:dyDescent="0.15"/>
    <row r="36873" customFormat="1" ht="21.95" customHeight="1" x14ac:dyDescent="0.15"/>
    <row r="36874" customFormat="1" ht="21.95" customHeight="1" x14ac:dyDescent="0.15"/>
    <row r="36875" customFormat="1" ht="32.1" customHeight="1" x14ac:dyDescent="0.15"/>
    <row r="36876" customFormat="1" ht="32.1" customHeight="1" x14ac:dyDescent="0.15"/>
    <row r="36877" customFormat="1" ht="32.1" customHeight="1" x14ac:dyDescent="0.15"/>
    <row r="36878" customFormat="1" ht="32.1" customHeight="1" x14ac:dyDescent="0.15"/>
    <row r="36879" customFormat="1" ht="32.1" customHeight="1" x14ac:dyDescent="0.15"/>
    <row r="36880" customFormat="1" ht="32.1" customHeight="1" x14ac:dyDescent="0.15"/>
    <row r="36881" s="76" customFormat="1" ht="32.1" customHeight="1" x14ac:dyDescent="0.15"/>
    <row r="36882" s="76" customFormat="1" ht="32.1" customHeight="1" x14ac:dyDescent="0.15"/>
    <row r="36883" s="76" customFormat="1" ht="32.1" customHeight="1" x14ac:dyDescent="0.15"/>
    <row r="36884" s="76" customFormat="1" ht="32.1" customHeight="1" x14ac:dyDescent="0.15"/>
    <row r="36885" s="76" customFormat="1" ht="21.95" customHeight="1" x14ac:dyDescent="0.15"/>
    <row r="36886" s="76" customFormat="1" ht="54" customHeight="1" x14ac:dyDescent="0.15"/>
    <row r="36887" s="76" customFormat="1" ht="21.95" customHeight="1" x14ac:dyDescent="0.15"/>
    <row r="36888" s="76" customFormat="1" ht="21.95" customHeight="1" x14ac:dyDescent="0.15"/>
    <row r="36889" s="76" customFormat="1" ht="21.95" customHeight="1" x14ac:dyDescent="0.15"/>
    <row r="36890" s="76" customFormat="1" ht="21.95" customHeight="1" x14ac:dyDescent="0.15"/>
    <row r="36891" s="76" customFormat="1" ht="21.95" customHeight="1" x14ac:dyDescent="0.15"/>
    <row r="36892" s="76" customFormat="1" ht="21.95" customHeight="1" x14ac:dyDescent="0.15"/>
    <row r="36893" s="76" customFormat="1" ht="21.95" customHeight="1" x14ac:dyDescent="0.15"/>
    <row r="36894" s="76" customFormat="1" ht="21.95" customHeight="1" x14ac:dyDescent="0.15"/>
    <row r="36895" s="76" customFormat="1" ht="21.95" customHeight="1" x14ac:dyDescent="0.15"/>
    <row r="36896" s="76" customFormat="1" ht="21.95" customHeight="1" x14ac:dyDescent="0.15"/>
    <row r="36897" s="76" customFormat="1" ht="21.95" customHeight="1" x14ac:dyDescent="0.15"/>
    <row r="36898" s="76" customFormat="1" ht="21.95" customHeight="1" x14ac:dyDescent="0.15"/>
    <row r="36899" s="76" customFormat="1" ht="21.95" customHeight="1" x14ac:dyDescent="0.15"/>
    <row r="36900" s="76" customFormat="1" ht="21.95" customHeight="1" x14ac:dyDescent="0.15"/>
    <row r="36901" s="76" customFormat="1" ht="21.95" customHeight="1" x14ac:dyDescent="0.15"/>
    <row r="36902" s="76" customFormat="1" ht="21.95" customHeight="1" x14ac:dyDescent="0.15"/>
    <row r="36903" s="76" customFormat="1" ht="21.95" customHeight="1" x14ac:dyDescent="0.15"/>
    <row r="36904" s="76" customFormat="1" ht="21.95" customHeight="1" x14ac:dyDescent="0.15"/>
    <row r="36905" s="76" customFormat="1" ht="21.95" customHeight="1" x14ac:dyDescent="0.15"/>
    <row r="36906" s="76" customFormat="1" ht="21.95" customHeight="1" x14ac:dyDescent="0.15"/>
    <row r="36907" s="76" customFormat="1" ht="21.95" customHeight="1" x14ac:dyDescent="0.15"/>
    <row r="36908" s="76" customFormat="1" ht="21.95" customHeight="1" x14ac:dyDescent="0.15"/>
    <row r="36909" s="76" customFormat="1" ht="21.95" customHeight="1" x14ac:dyDescent="0.15"/>
    <row r="36910" s="76" customFormat="1" ht="21.95" customHeight="1" x14ac:dyDescent="0.15"/>
    <row r="36911" s="76" customFormat="1" ht="21.95" customHeight="1" x14ac:dyDescent="0.15"/>
    <row r="36912" s="76" customFormat="1" ht="21.95" customHeight="1" x14ac:dyDescent="0.15"/>
    <row r="36913" s="76" customFormat="1" ht="21.95" customHeight="1" x14ac:dyDescent="0.15"/>
    <row r="36914" s="76" customFormat="1" ht="21.95" customHeight="1" x14ac:dyDescent="0.15"/>
    <row r="36915" s="76" customFormat="1" ht="21.95" customHeight="1" x14ac:dyDescent="0.15"/>
    <row r="36916" s="76" customFormat="1" ht="21.95" customHeight="1" x14ac:dyDescent="0.15"/>
    <row r="36917" s="76" customFormat="1" ht="21.95" customHeight="1" x14ac:dyDescent="0.15"/>
    <row r="36918" s="76" customFormat="1" ht="21.95" customHeight="1" x14ac:dyDescent="0.15"/>
    <row r="36919" s="76" customFormat="1" ht="21.95" customHeight="1" x14ac:dyDescent="0.15"/>
    <row r="36920" s="76" customFormat="1" ht="21.95" customHeight="1" x14ac:dyDescent="0.15"/>
    <row r="36921" s="76" customFormat="1" ht="21.95" customHeight="1" x14ac:dyDescent="0.15"/>
    <row r="36922" s="76" customFormat="1" ht="21.95" customHeight="1" x14ac:dyDescent="0.15"/>
    <row r="36923" s="76" customFormat="1" ht="21.95" customHeight="1" x14ac:dyDescent="0.15"/>
    <row r="36924" s="76" customFormat="1" ht="21.95" customHeight="1" x14ac:dyDescent="0.15"/>
    <row r="36925" s="76" customFormat="1" ht="21.95" customHeight="1" x14ac:dyDescent="0.15"/>
    <row r="36926" s="76" customFormat="1" ht="21.95" customHeight="1" x14ac:dyDescent="0.15"/>
    <row r="36927" s="76" customFormat="1" ht="21.95" customHeight="1" x14ac:dyDescent="0.15"/>
    <row r="36928" s="76" customFormat="1" ht="21.95" customHeight="1" x14ac:dyDescent="0.15"/>
    <row r="36929" s="76" customFormat="1" ht="21.95" customHeight="1" x14ac:dyDescent="0.15"/>
    <row r="36930" s="76" customFormat="1" ht="21.95" customHeight="1" x14ac:dyDescent="0.15"/>
    <row r="36931" s="76" customFormat="1" ht="21.95" customHeight="1" x14ac:dyDescent="0.15"/>
    <row r="36932" s="76" customFormat="1" ht="21.95" customHeight="1" x14ac:dyDescent="0.15"/>
    <row r="36933" s="76" customFormat="1" ht="21.95" customHeight="1" x14ac:dyDescent="0.15"/>
    <row r="36934" s="76" customFormat="1" ht="21.95" customHeight="1" x14ac:dyDescent="0.15"/>
    <row r="36935" s="76" customFormat="1" ht="21.95" customHeight="1" x14ac:dyDescent="0.15"/>
    <row r="36936" s="76" customFormat="1" ht="21.95" customHeight="1" x14ac:dyDescent="0.15"/>
    <row r="36937" s="76" customFormat="1" ht="35.1" customHeight="1" x14ac:dyDescent="0.15"/>
    <row r="36938" s="76" customFormat="1" ht="21.95" customHeight="1" x14ac:dyDescent="0.15"/>
    <row r="36939" s="76" customFormat="1" ht="21.95" customHeight="1" x14ac:dyDescent="0.15"/>
    <row r="36940" s="76" customFormat="1" ht="21.95" customHeight="1" x14ac:dyDescent="0.15"/>
    <row r="36941" s="76" customFormat="1" ht="21.95" customHeight="1" x14ac:dyDescent="0.15"/>
    <row r="36942" s="76" customFormat="1" ht="21.95" customHeight="1" x14ac:dyDescent="0.15"/>
    <row r="36943" s="76" customFormat="1" ht="21.95" customHeight="1" x14ac:dyDescent="0.15"/>
    <row r="36944" s="76" customFormat="1" ht="21.95" customHeight="1" x14ac:dyDescent="0.15"/>
    <row r="36945" s="76" customFormat="1" ht="21.95" customHeight="1" x14ac:dyDescent="0.15"/>
    <row r="36946" s="76" customFormat="1" ht="21.95" customHeight="1" x14ac:dyDescent="0.15"/>
    <row r="36947" s="76" customFormat="1" ht="21.95" customHeight="1" x14ac:dyDescent="0.15"/>
    <row r="36948" s="76" customFormat="1" ht="21.95" customHeight="1" x14ac:dyDescent="0.15"/>
    <row r="36949" s="76" customFormat="1" ht="21.95" customHeight="1" x14ac:dyDescent="0.15"/>
    <row r="36950" s="76" customFormat="1" ht="21.95" customHeight="1" x14ac:dyDescent="0.15"/>
    <row r="36951" s="76" customFormat="1" ht="21.95" customHeight="1" x14ac:dyDescent="0.15"/>
    <row r="36952" s="76" customFormat="1" ht="21.95" customHeight="1" x14ac:dyDescent="0.15"/>
    <row r="36953" s="76" customFormat="1" ht="21.95" customHeight="1" x14ac:dyDescent="0.15"/>
    <row r="36954" s="76" customFormat="1" ht="21.95" customHeight="1" x14ac:dyDescent="0.15"/>
    <row r="36955" s="76" customFormat="1" ht="21.95" customHeight="1" x14ac:dyDescent="0.15"/>
    <row r="36956" s="76" customFormat="1" ht="21.95" customHeight="1" x14ac:dyDescent="0.15"/>
    <row r="36957" s="76" customFormat="1" ht="21.95" customHeight="1" x14ac:dyDescent="0.15"/>
    <row r="36958" s="76" customFormat="1" ht="21.95" customHeight="1" x14ac:dyDescent="0.15"/>
    <row r="36959" s="76" customFormat="1" ht="21.95" customHeight="1" x14ac:dyDescent="0.15"/>
    <row r="36960" s="76" customFormat="1" ht="21.95" customHeight="1" x14ac:dyDescent="0.15"/>
    <row r="36961" spans="3:3" customFormat="1" ht="21.95" customHeight="1" x14ac:dyDescent="0.15"/>
    <row r="36962" spans="3:3" customFormat="1" ht="21.95" customHeight="1" x14ac:dyDescent="0.15"/>
    <row r="36963" spans="3:3" customFormat="1" ht="21.95" customHeight="1" x14ac:dyDescent="0.15">
      <c r="C36963" s="94"/>
    </row>
    <row r="36964" spans="3:3" customFormat="1" ht="21.95" customHeight="1" x14ac:dyDescent="0.15">
      <c r="C36964" s="94"/>
    </row>
    <row r="36965" spans="3:3" customFormat="1" ht="21.95" customHeight="1" x14ac:dyDescent="0.15"/>
    <row r="36966" spans="3:3" customFormat="1" ht="21.95" customHeight="1" x14ac:dyDescent="0.15"/>
    <row r="36967" spans="3:3" customFormat="1" ht="21.95" customHeight="1" x14ac:dyDescent="0.15"/>
    <row r="36968" spans="3:3" customFormat="1" ht="21.95" customHeight="1" x14ac:dyDescent="0.15"/>
    <row r="36969" spans="3:3" customFormat="1" ht="21.95" customHeight="1" x14ac:dyDescent="0.15"/>
    <row r="36970" spans="3:3" customFormat="1" ht="21.95" customHeight="1" x14ac:dyDescent="0.15"/>
    <row r="36971" spans="3:3" customFormat="1" ht="21.95" customHeight="1" x14ac:dyDescent="0.15"/>
    <row r="36972" spans="3:3" s="76" customFormat="1" ht="21.95" customHeight="1" x14ac:dyDescent="0.15"/>
    <row r="36973" spans="3:3" s="76" customFormat="1" ht="21.95" customHeight="1" x14ac:dyDescent="0.15"/>
    <row r="36974" spans="3:3" s="76" customFormat="1" ht="21.95" customHeight="1" x14ac:dyDescent="0.15"/>
    <row r="36975" spans="3:3" s="76" customFormat="1" ht="21.95" customHeight="1" x14ac:dyDescent="0.15"/>
    <row r="36976" spans="3:3" customFormat="1" ht="21.95" customHeight="1" x14ac:dyDescent="0.15"/>
    <row r="36977" customFormat="1" ht="21.95" customHeight="1" x14ac:dyDescent="0.15"/>
    <row r="36978" customFormat="1" ht="21.95" customHeight="1" x14ac:dyDescent="0.15"/>
    <row r="36979" customFormat="1" ht="21.95" customHeight="1" x14ac:dyDescent="0.15"/>
    <row r="36980" customFormat="1" ht="21.95" customHeight="1" x14ac:dyDescent="0.15"/>
    <row r="36981" customFormat="1" ht="21.95" customHeight="1" x14ac:dyDescent="0.15"/>
    <row r="36982" customFormat="1" ht="21.95" customHeight="1" x14ac:dyDescent="0.15"/>
    <row r="36983" customFormat="1" ht="21.95" customHeight="1" x14ac:dyDescent="0.15"/>
    <row r="36984" customFormat="1" ht="21.95" customHeight="1" x14ac:dyDescent="0.15"/>
    <row r="36985" customFormat="1" ht="21.95" customHeight="1" x14ac:dyDescent="0.15"/>
    <row r="36986" customFormat="1" ht="21.95" customHeight="1" x14ac:dyDescent="0.15"/>
    <row r="36987" customFormat="1" ht="32.1" customHeight="1" x14ac:dyDescent="0.15"/>
    <row r="36988" customFormat="1" ht="32.1" customHeight="1" x14ac:dyDescent="0.15"/>
    <row r="36989" customFormat="1" ht="32.1" customHeight="1" x14ac:dyDescent="0.15"/>
    <row r="36990" customFormat="1" ht="32.1" customHeight="1" x14ac:dyDescent="0.15"/>
    <row r="36991" customFormat="1" ht="32.1" customHeight="1" x14ac:dyDescent="0.15"/>
    <row r="36992" customFormat="1" ht="32.1" customHeight="1" x14ac:dyDescent="0.15"/>
    <row r="36993" s="76" customFormat="1" ht="32.1" customHeight="1" x14ac:dyDescent="0.15"/>
    <row r="36994" s="76" customFormat="1" ht="32.1" customHeight="1" x14ac:dyDescent="0.15"/>
    <row r="36995" s="76" customFormat="1" ht="32.1" customHeight="1" x14ac:dyDescent="0.15"/>
    <row r="36996" s="76" customFormat="1" ht="32.1" customHeight="1" x14ac:dyDescent="0.15"/>
    <row r="36997" s="76" customFormat="1" ht="21.95" customHeight="1" x14ac:dyDescent="0.15"/>
    <row r="36998" s="76" customFormat="1" ht="54" customHeight="1" x14ac:dyDescent="0.15"/>
    <row r="36999" s="76" customFormat="1" ht="21.95" customHeight="1" x14ac:dyDescent="0.15"/>
    <row r="37000" s="76" customFormat="1" ht="21.95" customHeight="1" x14ac:dyDescent="0.15"/>
    <row r="37001" s="76" customFormat="1" ht="21.95" customHeight="1" x14ac:dyDescent="0.15"/>
    <row r="37002" s="76" customFormat="1" ht="21.95" customHeight="1" x14ac:dyDescent="0.15"/>
    <row r="37003" s="76" customFormat="1" ht="21.95" customHeight="1" x14ac:dyDescent="0.15"/>
    <row r="37004" s="76" customFormat="1" ht="21.95" customHeight="1" x14ac:dyDescent="0.15"/>
    <row r="37005" s="76" customFormat="1" ht="21.95" customHeight="1" x14ac:dyDescent="0.15"/>
    <row r="37006" s="76" customFormat="1" ht="21.95" customHeight="1" x14ac:dyDescent="0.15"/>
    <row r="37007" s="76" customFormat="1" ht="21.95" customHeight="1" x14ac:dyDescent="0.15"/>
    <row r="37008" s="76" customFormat="1" ht="21.95" customHeight="1" x14ac:dyDescent="0.15"/>
    <row r="37009" s="76" customFormat="1" ht="21.95" customHeight="1" x14ac:dyDescent="0.15"/>
    <row r="37010" s="76" customFormat="1" ht="21.95" customHeight="1" x14ac:dyDescent="0.15"/>
    <row r="37011" s="76" customFormat="1" ht="21.95" customHeight="1" x14ac:dyDescent="0.15"/>
    <row r="37012" s="76" customFormat="1" ht="21.95" customHeight="1" x14ac:dyDescent="0.15"/>
    <row r="37013" s="76" customFormat="1" ht="21.95" customHeight="1" x14ac:dyDescent="0.15"/>
    <row r="37014" s="76" customFormat="1" ht="21.95" customHeight="1" x14ac:dyDescent="0.15"/>
    <row r="37015" s="76" customFormat="1" ht="21.95" customHeight="1" x14ac:dyDescent="0.15"/>
    <row r="37016" s="76" customFormat="1" ht="21.95" customHeight="1" x14ac:dyDescent="0.15"/>
    <row r="37017" s="76" customFormat="1" ht="21.95" customHeight="1" x14ac:dyDescent="0.15"/>
    <row r="37018" s="76" customFormat="1" ht="21.95" customHeight="1" x14ac:dyDescent="0.15"/>
    <row r="37019" s="76" customFormat="1" ht="21.95" customHeight="1" x14ac:dyDescent="0.15"/>
    <row r="37020" s="76" customFormat="1" ht="21.95" customHeight="1" x14ac:dyDescent="0.15"/>
    <row r="37021" s="76" customFormat="1" ht="21.95" customHeight="1" x14ac:dyDescent="0.15"/>
    <row r="37022" s="76" customFormat="1" ht="21.95" customHeight="1" x14ac:dyDescent="0.15"/>
    <row r="37023" s="76" customFormat="1" ht="21.95" customHeight="1" x14ac:dyDescent="0.15"/>
    <row r="37024" s="76" customFormat="1" ht="21.95" customHeight="1" x14ac:dyDescent="0.15"/>
    <row r="37025" s="76" customFormat="1" ht="21.95" customHeight="1" x14ac:dyDescent="0.15"/>
    <row r="37026" s="76" customFormat="1" ht="21.95" customHeight="1" x14ac:dyDescent="0.15"/>
    <row r="37027" s="76" customFormat="1" ht="21.95" customHeight="1" x14ac:dyDescent="0.15"/>
    <row r="37028" s="76" customFormat="1" ht="21.95" customHeight="1" x14ac:dyDescent="0.15"/>
    <row r="37029" s="76" customFormat="1" ht="21.95" customHeight="1" x14ac:dyDescent="0.15"/>
    <row r="37030" s="76" customFormat="1" ht="21.95" customHeight="1" x14ac:dyDescent="0.15"/>
    <row r="37031" s="76" customFormat="1" ht="21.95" customHeight="1" x14ac:dyDescent="0.15"/>
    <row r="37032" s="76" customFormat="1" ht="21.95" customHeight="1" x14ac:dyDescent="0.15"/>
    <row r="37033" s="76" customFormat="1" ht="21.95" customHeight="1" x14ac:dyDescent="0.15"/>
    <row r="37034" s="76" customFormat="1" ht="21.95" customHeight="1" x14ac:dyDescent="0.15"/>
    <row r="37035" s="76" customFormat="1" ht="21.95" customHeight="1" x14ac:dyDescent="0.15"/>
    <row r="37036" s="76" customFormat="1" ht="21.95" customHeight="1" x14ac:dyDescent="0.15"/>
    <row r="37037" s="76" customFormat="1" ht="21.95" customHeight="1" x14ac:dyDescent="0.15"/>
    <row r="37038" s="76" customFormat="1" ht="21.95" customHeight="1" x14ac:dyDescent="0.15"/>
    <row r="37039" s="76" customFormat="1" ht="21.95" customHeight="1" x14ac:dyDescent="0.15"/>
    <row r="37040" s="76" customFormat="1" ht="21.95" customHeight="1" x14ac:dyDescent="0.15"/>
    <row r="37041" s="76" customFormat="1" ht="21.95" customHeight="1" x14ac:dyDescent="0.15"/>
    <row r="37042" s="76" customFormat="1" ht="21.95" customHeight="1" x14ac:dyDescent="0.15"/>
    <row r="37043" s="76" customFormat="1" ht="21.95" customHeight="1" x14ac:dyDescent="0.15"/>
    <row r="37044" s="76" customFormat="1" ht="21.95" customHeight="1" x14ac:dyDescent="0.15"/>
    <row r="37045" s="76" customFormat="1" ht="21.95" customHeight="1" x14ac:dyDescent="0.15"/>
    <row r="37046" s="76" customFormat="1" ht="21.95" customHeight="1" x14ac:dyDescent="0.15"/>
    <row r="37047" s="76" customFormat="1" ht="21.95" customHeight="1" x14ac:dyDescent="0.15"/>
    <row r="37048" s="76" customFormat="1" ht="21.95" customHeight="1" x14ac:dyDescent="0.15"/>
    <row r="37049" s="76" customFormat="1" ht="35.1" customHeight="1" x14ac:dyDescent="0.15"/>
    <row r="37050" s="76" customFormat="1" ht="21.95" customHeight="1" x14ac:dyDescent="0.15"/>
    <row r="37051" s="76" customFormat="1" ht="21.95" customHeight="1" x14ac:dyDescent="0.15"/>
    <row r="37052" s="76" customFormat="1" ht="21.95" customHeight="1" x14ac:dyDescent="0.15"/>
    <row r="37053" s="76" customFormat="1" ht="21.95" customHeight="1" x14ac:dyDescent="0.15"/>
    <row r="37054" s="76" customFormat="1" ht="21.95" customHeight="1" x14ac:dyDescent="0.15"/>
    <row r="37055" s="76" customFormat="1" ht="21.95" customHeight="1" x14ac:dyDescent="0.15"/>
    <row r="37056" s="76" customFormat="1" ht="21.95" customHeight="1" x14ac:dyDescent="0.15"/>
    <row r="37057" s="76" customFormat="1" ht="21.95" customHeight="1" x14ac:dyDescent="0.15"/>
    <row r="37058" s="76" customFormat="1" ht="21.95" customHeight="1" x14ac:dyDescent="0.15"/>
    <row r="37059" s="76" customFormat="1" ht="21.95" customHeight="1" x14ac:dyDescent="0.15"/>
    <row r="37060" s="76" customFormat="1" ht="21.95" customHeight="1" x14ac:dyDescent="0.15"/>
    <row r="37061" s="76" customFormat="1" ht="21.95" customHeight="1" x14ac:dyDescent="0.15"/>
    <row r="37062" s="76" customFormat="1" ht="21.95" customHeight="1" x14ac:dyDescent="0.15"/>
    <row r="37063" s="76" customFormat="1" ht="21.95" customHeight="1" x14ac:dyDescent="0.15"/>
    <row r="37064" s="76" customFormat="1" ht="21.95" customHeight="1" x14ac:dyDescent="0.15"/>
    <row r="37065" s="76" customFormat="1" ht="21.95" customHeight="1" x14ac:dyDescent="0.15"/>
    <row r="37066" s="76" customFormat="1" ht="21.95" customHeight="1" x14ac:dyDescent="0.15"/>
    <row r="37067" s="76" customFormat="1" ht="21.95" customHeight="1" x14ac:dyDescent="0.15"/>
    <row r="37068" s="76" customFormat="1" ht="21.95" customHeight="1" x14ac:dyDescent="0.15"/>
    <row r="37069" s="76" customFormat="1" ht="21.95" customHeight="1" x14ac:dyDescent="0.15"/>
    <row r="37070" s="76" customFormat="1" ht="21.95" customHeight="1" x14ac:dyDescent="0.15"/>
    <row r="37071" s="76" customFormat="1" ht="21.95" customHeight="1" x14ac:dyDescent="0.15"/>
    <row r="37072" s="76" customFormat="1" ht="21.95" customHeight="1" x14ac:dyDescent="0.15"/>
    <row r="37073" spans="3:3" customFormat="1" ht="21.95" customHeight="1" x14ac:dyDescent="0.15"/>
    <row r="37074" spans="3:3" customFormat="1" ht="21.95" customHeight="1" x14ac:dyDescent="0.15"/>
    <row r="37075" spans="3:3" customFormat="1" ht="21.95" customHeight="1" x14ac:dyDescent="0.15">
      <c r="C37075" s="94"/>
    </row>
    <row r="37076" spans="3:3" customFormat="1" ht="21.95" customHeight="1" x14ac:dyDescent="0.15">
      <c r="C37076" s="94"/>
    </row>
    <row r="37077" spans="3:3" customFormat="1" ht="21.95" customHeight="1" x14ac:dyDescent="0.15"/>
    <row r="37078" spans="3:3" customFormat="1" ht="21.95" customHeight="1" x14ac:dyDescent="0.15"/>
    <row r="37079" spans="3:3" customFormat="1" ht="21.95" customHeight="1" x14ac:dyDescent="0.15"/>
    <row r="37080" spans="3:3" customFormat="1" ht="21.95" customHeight="1" x14ac:dyDescent="0.15"/>
    <row r="37081" spans="3:3" customFormat="1" ht="21.95" customHeight="1" x14ac:dyDescent="0.15"/>
    <row r="37082" spans="3:3" customFormat="1" ht="21.95" customHeight="1" x14ac:dyDescent="0.15"/>
    <row r="37083" spans="3:3" customFormat="1" ht="21.95" customHeight="1" x14ac:dyDescent="0.15"/>
    <row r="37084" spans="3:3" s="76" customFormat="1" ht="21.95" customHeight="1" x14ac:dyDescent="0.15"/>
    <row r="37085" spans="3:3" s="76" customFormat="1" ht="21.95" customHeight="1" x14ac:dyDescent="0.15"/>
    <row r="37086" spans="3:3" s="76" customFormat="1" ht="21.95" customHeight="1" x14ac:dyDescent="0.15"/>
    <row r="37087" spans="3:3" s="76" customFormat="1" ht="21.95" customHeight="1" x14ac:dyDescent="0.15"/>
    <row r="37088" spans="3:3" customFormat="1" ht="21.95" customHeight="1" x14ac:dyDescent="0.15"/>
    <row r="37089" customFormat="1" ht="21.95" customHeight="1" x14ac:dyDescent="0.15"/>
    <row r="37090" customFormat="1" ht="21.95" customHeight="1" x14ac:dyDescent="0.15"/>
    <row r="37091" customFormat="1" ht="21.95" customHeight="1" x14ac:dyDescent="0.15"/>
    <row r="37092" customFormat="1" ht="21.95" customHeight="1" x14ac:dyDescent="0.15"/>
    <row r="37093" customFormat="1" ht="21.95" customHeight="1" x14ac:dyDescent="0.15"/>
    <row r="37094" customFormat="1" ht="21.95" customHeight="1" x14ac:dyDescent="0.15"/>
    <row r="37095" customFormat="1" ht="21.95" customHeight="1" x14ac:dyDescent="0.15"/>
    <row r="37096" customFormat="1" ht="21.95" customHeight="1" x14ac:dyDescent="0.15"/>
    <row r="37097" customFormat="1" ht="21.95" customHeight="1" x14ac:dyDescent="0.15"/>
    <row r="37098" customFormat="1" ht="21.95" customHeight="1" x14ac:dyDescent="0.15"/>
    <row r="37099" customFormat="1" ht="32.1" customHeight="1" x14ac:dyDescent="0.15"/>
    <row r="37100" customFormat="1" ht="32.1" customHeight="1" x14ac:dyDescent="0.15"/>
    <row r="37101" customFormat="1" ht="32.1" customHeight="1" x14ac:dyDescent="0.15"/>
    <row r="37102" customFormat="1" ht="32.1" customHeight="1" x14ac:dyDescent="0.15"/>
    <row r="37103" customFormat="1" ht="32.1" customHeight="1" x14ac:dyDescent="0.15"/>
    <row r="37104" customFormat="1" ht="32.1" customHeight="1" x14ac:dyDescent="0.15"/>
    <row r="37105" s="76" customFormat="1" ht="32.1" customHeight="1" x14ac:dyDescent="0.15"/>
    <row r="37106" s="76" customFormat="1" ht="32.1" customHeight="1" x14ac:dyDescent="0.15"/>
    <row r="37107" s="76" customFormat="1" ht="32.1" customHeight="1" x14ac:dyDescent="0.15"/>
    <row r="37108" s="76" customFormat="1" ht="32.1" customHeight="1" x14ac:dyDescent="0.15"/>
    <row r="37109" s="76" customFormat="1" ht="21.95" customHeight="1" x14ac:dyDescent="0.15"/>
    <row r="37110" s="76" customFormat="1" ht="54" customHeight="1" x14ac:dyDescent="0.15"/>
    <row r="37111" s="76" customFormat="1" ht="21.95" customHeight="1" x14ac:dyDescent="0.15"/>
    <row r="37112" s="76" customFormat="1" ht="21.95" customHeight="1" x14ac:dyDescent="0.15"/>
    <row r="37113" s="76" customFormat="1" ht="21.95" customHeight="1" x14ac:dyDescent="0.15"/>
    <row r="37114" s="76" customFormat="1" ht="21.95" customHeight="1" x14ac:dyDescent="0.15"/>
    <row r="37115" s="76" customFormat="1" ht="21.95" customHeight="1" x14ac:dyDescent="0.15"/>
    <row r="37116" s="76" customFormat="1" ht="21.95" customHeight="1" x14ac:dyDescent="0.15"/>
    <row r="37117" s="76" customFormat="1" ht="21.95" customHeight="1" x14ac:dyDescent="0.15"/>
    <row r="37118" s="76" customFormat="1" ht="21.95" customHeight="1" x14ac:dyDescent="0.15"/>
    <row r="37119" s="76" customFormat="1" ht="21.95" customHeight="1" x14ac:dyDescent="0.15"/>
    <row r="37120" s="76" customFormat="1" ht="21.95" customHeight="1" x14ac:dyDescent="0.15"/>
    <row r="37121" s="76" customFormat="1" ht="21.95" customHeight="1" x14ac:dyDescent="0.15"/>
    <row r="37122" s="76" customFormat="1" ht="21.95" customHeight="1" x14ac:dyDescent="0.15"/>
    <row r="37123" s="76" customFormat="1" ht="21.95" customHeight="1" x14ac:dyDescent="0.15"/>
    <row r="37124" s="76" customFormat="1" ht="21.95" customHeight="1" x14ac:dyDescent="0.15"/>
    <row r="37125" s="76" customFormat="1" ht="21.95" customHeight="1" x14ac:dyDescent="0.15"/>
    <row r="37126" s="76" customFormat="1" ht="21.95" customHeight="1" x14ac:dyDescent="0.15"/>
    <row r="37127" s="76" customFormat="1" ht="21.95" customHeight="1" x14ac:dyDescent="0.15"/>
    <row r="37128" s="76" customFormat="1" ht="21.95" customHeight="1" x14ac:dyDescent="0.15"/>
    <row r="37129" s="76" customFormat="1" ht="21.95" customHeight="1" x14ac:dyDescent="0.15"/>
    <row r="37130" s="76" customFormat="1" ht="21.95" customHeight="1" x14ac:dyDescent="0.15"/>
    <row r="37131" s="76" customFormat="1" ht="21.95" customHeight="1" x14ac:dyDescent="0.15"/>
    <row r="37132" s="76" customFormat="1" ht="21.95" customHeight="1" x14ac:dyDescent="0.15"/>
    <row r="37133" s="76" customFormat="1" ht="21.95" customHeight="1" x14ac:dyDescent="0.15"/>
    <row r="37134" s="76" customFormat="1" ht="21.95" customHeight="1" x14ac:dyDescent="0.15"/>
    <row r="37135" s="76" customFormat="1" ht="21.95" customHeight="1" x14ac:dyDescent="0.15"/>
    <row r="37136" s="76" customFormat="1" ht="21.95" customHeight="1" x14ac:dyDescent="0.15"/>
    <row r="37137" s="76" customFormat="1" ht="21.95" customHeight="1" x14ac:dyDescent="0.15"/>
    <row r="37138" s="76" customFormat="1" ht="21.95" customHeight="1" x14ac:dyDescent="0.15"/>
    <row r="37139" s="76" customFormat="1" ht="21.95" customHeight="1" x14ac:dyDescent="0.15"/>
    <row r="37140" s="76" customFormat="1" ht="21.95" customHeight="1" x14ac:dyDescent="0.15"/>
    <row r="37141" s="76" customFormat="1" ht="21.95" customHeight="1" x14ac:dyDescent="0.15"/>
    <row r="37142" s="76" customFormat="1" ht="21.95" customHeight="1" x14ac:dyDescent="0.15"/>
    <row r="37143" s="76" customFormat="1" ht="21.95" customHeight="1" x14ac:dyDescent="0.15"/>
    <row r="37144" s="76" customFormat="1" ht="21.95" customHeight="1" x14ac:dyDescent="0.15"/>
    <row r="37145" s="76" customFormat="1" ht="21.95" customHeight="1" x14ac:dyDescent="0.15"/>
    <row r="37146" s="76" customFormat="1" ht="21.95" customHeight="1" x14ac:dyDescent="0.15"/>
    <row r="37147" s="76" customFormat="1" ht="21.95" customHeight="1" x14ac:dyDescent="0.15"/>
    <row r="37148" s="76" customFormat="1" ht="21.95" customHeight="1" x14ac:dyDescent="0.15"/>
    <row r="37149" s="76" customFormat="1" ht="21.95" customHeight="1" x14ac:dyDescent="0.15"/>
    <row r="37150" s="76" customFormat="1" ht="21.95" customHeight="1" x14ac:dyDescent="0.15"/>
    <row r="37151" s="76" customFormat="1" ht="21.95" customHeight="1" x14ac:dyDescent="0.15"/>
    <row r="37152" s="76" customFormat="1" ht="21.95" customHeight="1" x14ac:dyDescent="0.15"/>
    <row r="37153" s="76" customFormat="1" ht="21.95" customHeight="1" x14ac:dyDescent="0.15"/>
    <row r="37154" s="76" customFormat="1" ht="21.95" customHeight="1" x14ac:dyDescent="0.15"/>
    <row r="37155" s="76" customFormat="1" ht="21.95" customHeight="1" x14ac:dyDescent="0.15"/>
    <row r="37156" s="76" customFormat="1" ht="21.95" customHeight="1" x14ac:dyDescent="0.15"/>
    <row r="37157" s="76" customFormat="1" ht="21.95" customHeight="1" x14ac:dyDescent="0.15"/>
    <row r="37158" s="76" customFormat="1" ht="21.95" customHeight="1" x14ac:dyDescent="0.15"/>
    <row r="37159" s="76" customFormat="1" ht="21.95" customHeight="1" x14ac:dyDescent="0.15"/>
    <row r="37160" s="76" customFormat="1" ht="21.95" customHeight="1" x14ac:dyDescent="0.15"/>
    <row r="37161" s="76" customFormat="1" ht="35.1" customHeight="1" x14ac:dyDescent="0.15"/>
    <row r="37162" s="76" customFormat="1" ht="21.95" customHeight="1" x14ac:dyDescent="0.15"/>
    <row r="37163" s="76" customFormat="1" ht="21.95" customHeight="1" x14ac:dyDescent="0.15"/>
    <row r="37164" s="76" customFormat="1" ht="21.95" customHeight="1" x14ac:dyDescent="0.15"/>
    <row r="37165" s="76" customFormat="1" ht="21.95" customHeight="1" x14ac:dyDescent="0.15"/>
    <row r="37166" s="76" customFormat="1" ht="21.95" customHeight="1" x14ac:dyDescent="0.15"/>
    <row r="37167" s="76" customFormat="1" ht="21.95" customHeight="1" x14ac:dyDescent="0.15"/>
    <row r="37168" s="76" customFormat="1" ht="21.95" customHeight="1" x14ac:dyDescent="0.15"/>
    <row r="37169" s="76" customFormat="1" ht="21.95" customHeight="1" x14ac:dyDescent="0.15"/>
    <row r="37170" s="76" customFormat="1" ht="21.95" customHeight="1" x14ac:dyDescent="0.15"/>
    <row r="37171" s="76" customFormat="1" ht="21.95" customHeight="1" x14ac:dyDescent="0.15"/>
    <row r="37172" s="76" customFormat="1" ht="21.95" customHeight="1" x14ac:dyDescent="0.15"/>
    <row r="37173" s="76" customFormat="1" ht="21.95" customHeight="1" x14ac:dyDescent="0.15"/>
    <row r="37174" s="76" customFormat="1" ht="21.95" customHeight="1" x14ac:dyDescent="0.15"/>
    <row r="37175" s="76" customFormat="1" ht="21.95" customHeight="1" x14ac:dyDescent="0.15"/>
    <row r="37176" s="76" customFormat="1" ht="21.95" customHeight="1" x14ac:dyDescent="0.15"/>
    <row r="37177" s="76" customFormat="1" ht="21.95" customHeight="1" x14ac:dyDescent="0.15"/>
    <row r="37178" s="76" customFormat="1" ht="21.95" customHeight="1" x14ac:dyDescent="0.15"/>
    <row r="37179" s="76" customFormat="1" ht="21.95" customHeight="1" x14ac:dyDescent="0.15"/>
    <row r="37180" s="76" customFormat="1" ht="21.95" customHeight="1" x14ac:dyDescent="0.15"/>
    <row r="37181" s="76" customFormat="1" ht="21.95" customHeight="1" x14ac:dyDescent="0.15"/>
    <row r="37182" s="76" customFormat="1" ht="21.95" customHeight="1" x14ac:dyDescent="0.15"/>
    <row r="37183" s="76" customFormat="1" ht="21.95" customHeight="1" x14ac:dyDescent="0.15"/>
    <row r="37184" s="76" customFormat="1" ht="21.95" customHeight="1" x14ac:dyDescent="0.15"/>
    <row r="37185" spans="3:3" customFormat="1" ht="21.95" customHeight="1" x14ac:dyDescent="0.15"/>
    <row r="37186" spans="3:3" customFormat="1" ht="21.95" customHeight="1" x14ac:dyDescent="0.15"/>
    <row r="37187" spans="3:3" customFormat="1" ht="21.95" customHeight="1" x14ac:dyDescent="0.15">
      <c r="C37187" s="94"/>
    </row>
    <row r="37188" spans="3:3" customFormat="1" ht="21.95" customHeight="1" x14ac:dyDescent="0.15">
      <c r="C37188" s="94"/>
    </row>
    <row r="37189" spans="3:3" customFormat="1" ht="21.95" customHeight="1" x14ac:dyDescent="0.15"/>
    <row r="37190" spans="3:3" customFormat="1" ht="21.95" customHeight="1" x14ac:dyDescent="0.15"/>
    <row r="37191" spans="3:3" customFormat="1" ht="21.95" customHeight="1" x14ac:dyDescent="0.15"/>
    <row r="37192" spans="3:3" customFormat="1" ht="21.95" customHeight="1" x14ac:dyDescent="0.15"/>
    <row r="37193" spans="3:3" customFormat="1" ht="21.95" customHeight="1" x14ac:dyDescent="0.15"/>
    <row r="37194" spans="3:3" customFormat="1" ht="21.95" customHeight="1" x14ac:dyDescent="0.15"/>
    <row r="37195" spans="3:3" customFormat="1" ht="21.95" customHeight="1" x14ac:dyDescent="0.15"/>
    <row r="37196" spans="3:3" s="76" customFormat="1" ht="21.95" customHeight="1" x14ac:dyDescent="0.15"/>
    <row r="37197" spans="3:3" s="76" customFormat="1" ht="21.95" customHeight="1" x14ac:dyDescent="0.15"/>
    <row r="37198" spans="3:3" s="76" customFormat="1" ht="21.95" customHeight="1" x14ac:dyDescent="0.15"/>
    <row r="37199" spans="3:3" s="76" customFormat="1" ht="21.95" customHeight="1" x14ac:dyDescent="0.15"/>
    <row r="37200" spans="3:3" customFormat="1" ht="21.95" customHeight="1" x14ac:dyDescent="0.15"/>
    <row r="37201" customFormat="1" ht="21.95" customHeight="1" x14ac:dyDescent="0.15"/>
    <row r="37202" customFormat="1" ht="21.95" customHeight="1" x14ac:dyDescent="0.15"/>
    <row r="37203" customFormat="1" ht="21.95" customHeight="1" x14ac:dyDescent="0.15"/>
    <row r="37204" customFormat="1" ht="21.95" customHeight="1" x14ac:dyDescent="0.15"/>
    <row r="37205" customFormat="1" ht="21.95" customHeight="1" x14ac:dyDescent="0.15"/>
    <row r="37206" customFormat="1" ht="21.95" customHeight="1" x14ac:dyDescent="0.15"/>
    <row r="37207" customFormat="1" ht="21.95" customHeight="1" x14ac:dyDescent="0.15"/>
    <row r="37208" customFormat="1" ht="21.95" customHeight="1" x14ac:dyDescent="0.15"/>
    <row r="37209" customFormat="1" ht="21.95" customHeight="1" x14ac:dyDescent="0.15"/>
    <row r="37210" customFormat="1" ht="21.95" customHeight="1" x14ac:dyDescent="0.15"/>
    <row r="37211" customFormat="1" ht="32.1" customHeight="1" x14ac:dyDescent="0.15"/>
    <row r="37212" customFormat="1" ht="32.1" customHeight="1" x14ac:dyDescent="0.15"/>
    <row r="37213" customFormat="1" ht="32.1" customHeight="1" x14ac:dyDescent="0.15"/>
    <row r="37214" customFormat="1" ht="32.1" customHeight="1" x14ac:dyDescent="0.15"/>
    <row r="37215" customFormat="1" ht="32.1" customHeight="1" x14ac:dyDescent="0.15"/>
    <row r="37216" customFormat="1" ht="32.1" customHeight="1" x14ac:dyDescent="0.15"/>
    <row r="37217" s="76" customFormat="1" ht="32.1" customHeight="1" x14ac:dyDescent="0.15"/>
    <row r="37218" s="76" customFormat="1" ht="32.1" customHeight="1" x14ac:dyDescent="0.15"/>
    <row r="37219" s="76" customFormat="1" ht="32.1" customHeight="1" x14ac:dyDescent="0.15"/>
    <row r="37220" s="76" customFormat="1" ht="32.1" customHeight="1" x14ac:dyDescent="0.15"/>
    <row r="37221" s="76" customFormat="1" ht="21.95" customHeight="1" x14ac:dyDescent="0.15"/>
    <row r="37222" s="76" customFormat="1" ht="54" customHeight="1" x14ac:dyDescent="0.15"/>
    <row r="37223" s="76" customFormat="1" ht="21.95" customHeight="1" x14ac:dyDescent="0.15"/>
    <row r="37224" s="76" customFormat="1" ht="21.95" customHeight="1" x14ac:dyDescent="0.15"/>
    <row r="37225" s="76" customFormat="1" ht="21.95" customHeight="1" x14ac:dyDescent="0.15"/>
    <row r="37226" s="76" customFormat="1" ht="21.95" customHeight="1" x14ac:dyDescent="0.15"/>
    <row r="37227" s="76" customFormat="1" ht="21.95" customHeight="1" x14ac:dyDescent="0.15"/>
    <row r="37228" s="76" customFormat="1" ht="21.95" customHeight="1" x14ac:dyDescent="0.15"/>
    <row r="37229" s="76" customFormat="1" ht="21.95" customHeight="1" x14ac:dyDescent="0.15"/>
    <row r="37230" s="76" customFormat="1" ht="21.95" customHeight="1" x14ac:dyDescent="0.15"/>
    <row r="37231" s="76" customFormat="1" ht="21.95" customHeight="1" x14ac:dyDescent="0.15"/>
    <row r="37232" s="76" customFormat="1" ht="21.95" customHeight="1" x14ac:dyDescent="0.15"/>
    <row r="37233" s="76" customFormat="1" ht="21.95" customHeight="1" x14ac:dyDescent="0.15"/>
    <row r="37234" s="76" customFormat="1" ht="21.95" customHeight="1" x14ac:dyDescent="0.15"/>
    <row r="37235" s="76" customFormat="1" ht="21.95" customHeight="1" x14ac:dyDescent="0.15"/>
    <row r="37236" s="76" customFormat="1" ht="21.95" customHeight="1" x14ac:dyDescent="0.15"/>
    <row r="37237" s="76" customFormat="1" ht="21.95" customHeight="1" x14ac:dyDescent="0.15"/>
    <row r="37238" s="76" customFormat="1" ht="21.95" customHeight="1" x14ac:dyDescent="0.15"/>
    <row r="37239" s="76" customFormat="1" ht="21.95" customHeight="1" x14ac:dyDescent="0.15"/>
    <row r="37240" s="76" customFormat="1" ht="21.95" customHeight="1" x14ac:dyDescent="0.15"/>
    <row r="37241" s="76" customFormat="1" ht="21.95" customHeight="1" x14ac:dyDescent="0.15"/>
    <row r="37242" s="76" customFormat="1" ht="21.95" customHeight="1" x14ac:dyDescent="0.15"/>
    <row r="37243" s="76" customFormat="1" ht="21.95" customHeight="1" x14ac:dyDescent="0.15"/>
    <row r="37244" s="76" customFormat="1" ht="21.95" customHeight="1" x14ac:dyDescent="0.15"/>
    <row r="37245" s="76" customFormat="1" ht="21.95" customHeight="1" x14ac:dyDescent="0.15"/>
    <row r="37246" s="76" customFormat="1" ht="21.95" customHeight="1" x14ac:dyDescent="0.15"/>
    <row r="37247" s="76" customFormat="1" ht="21.95" customHeight="1" x14ac:dyDescent="0.15"/>
    <row r="37248" s="76" customFormat="1" ht="21.95" customHeight="1" x14ac:dyDescent="0.15"/>
    <row r="37249" s="76" customFormat="1" ht="21.95" customHeight="1" x14ac:dyDescent="0.15"/>
    <row r="37250" s="76" customFormat="1" ht="21.95" customHeight="1" x14ac:dyDescent="0.15"/>
    <row r="37251" s="76" customFormat="1" ht="21.95" customHeight="1" x14ac:dyDescent="0.15"/>
    <row r="37252" s="76" customFormat="1" ht="21.95" customHeight="1" x14ac:dyDescent="0.15"/>
    <row r="37253" s="76" customFormat="1" ht="21.95" customHeight="1" x14ac:dyDescent="0.15"/>
    <row r="37254" s="76" customFormat="1" ht="21.95" customHeight="1" x14ac:dyDescent="0.15"/>
    <row r="37255" s="76" customFormat="1" ht="21.95" customHeight="1" x14ac:dyDescent="0.15"/>
    <row r="37256" s="76" customFormat="1" ht="21.95" customHeight="1" x14ac:dyDescent="0.15"/>
    <row r="37257" s="76" customFormat="1" ht="21.95" customHeight="1" x14ac:dyDescent="0.15"/>
    <row r="37258" s="76" customFormat="1" ht="21.95" customHeight="1" x14ac:dyDescent="0.15"/>
    <row r="37259" s="76" customFormat="1" ht="21.95" customHeight="1" x14ac:dyDescent="0.15"/>
    <row r="37260" s="76" customFormat="1" ht="21.95" customHeight="1" x14ac:dyDescent="0.15"/>
    <row r="37261" s="76" customFormat="1" ht="21.95" customHeight="1" x14ac:dyDescent="0.15"/>
    <row r="37262" s="76" customFormat="1" ht="21.95" customHeight="1" x14ac:dyDescent="0.15"/>
    <row r="37263" s="76" customFormat="1" ht="21.95" customHeight="1" x14ac:dyDescent="0.15"/>
    <row r="37264" s="76" customFormat="1" ht="21.95" customHeight="1" x14ac:dyDescent="0.15"/>
    <row r="37265" s="76" customFormat="1" ht="21.95" customHeight="1" x14ac:dyDescent="0.15"/>
    <row r="37266" s="76" customFormat="1" ht="21.95" customHeight="1" x14ac:dyDescent="0.15"/>
    <row r="37267" s="76" customFormat="1" ht="21.95" customHeight="1" x14ac:dyDescent="0.15"/>
    <row r="37268" s="76" customFormat="1" ht="21.95" customHeight="1" x14ac:dyDescent="0.15"/>
    <row r="37269" s="76" customFormat="1" ht="21.95" customHeight="1" x14ac:dyDescent="0.15"/>
    <row r="37270" s="76" customFormat="1" ht="21.95" customHeight="1" x14ac:dyDescent="0.15"/>
    <row r="37271" s="76" customFormat="1" ht="21.95" customHeight="1" x14ac:dyDescent="0.15"/>
    <row r="37272" s="76" customFormat="1" ht="21.95" customHeight="1" x14ac:dyDescent="0.15"/>
    <row r="37273" s="76" customFormat="1" ht="35.1" customHeight="1" x14ac:dyDescent="0.15"/>
    <row r="37274" s="76" customFormat="1" ht="21.95" customHeight="1" x14ac:dyDescent="0.15"/>
    <row r="37275" s="76" customFormat="1" ht="21.95" customHeight="1" x14ac:dyDescent="0.15"/>
    <row r="37276" s="76" customFormat="1" ht="21.95" customHeight="1" x14ac:dyDescent="0.15"/>
    <row r="37277" s="76" customFormat="1" ht="21.95" customHeight="1" x14ac:dyDescent="0.15"/>
    <row r="37278" s="76" customFormat="1" ht="21.95" customHeight="1" x14ac:dyDescent="0.15"/>
    <row r="37279" s="76" customFormat="1" ht="21.95" customHeight="1" x14ac:dyDescent="0.15"/>
    <row r="37280" s="76" customFormat="1" ht="21.95" customHeight="1" x14ac:dyDescent="0.15"/>
    <row r="37281" s="76" customFormat="1" ht="21.95" customHeight="1" x14ac:dyDescent="0.15"/>
    <row r="37282" s="76" customFormat="1" ht="21.95" customHeight="1" x14ac:dyDescent="0.15"/>
    <row r="37283" s="76" customFormat="1" ht="21.95" customHeight="1" x14ac:dyDescent="0.15"/>
    <row r="37284" s="76" customFormat="1" ht="21.95" customHeight="1" x14ac:dyDescent="0.15"/>
    <row r="37285" s="76" customFormat="1" ht="21.95" customHeight="1" x14ac:dyDescent="0.15"/>
    <row r="37286" s="76" customFormat="1" ht="21.95" customHeight="1" x14ac:dyDescent="0.15"/>
    <row r="37287" s="76" customFormat="1" ht="21.95" customHeight="1" x14ac:dyDescent="0.15"/>
    <row r="37288" s="76" customFormat="1" ht="21.95" customHeight="1" x14ac:dyDescent="0.15"/>
    <row r="37289" s="76" customFormat="1" ht="21.95" customHeight="1" x14ac:dyDescent="0.15"/>
    <row r="37290" s="76" customFormat="1" ht="21.95" customHeight="1" x14ac:dyDescent="0.15"/>
    <row r="37291" s="76" customFormat="1" ht="21.95" customHeight="1" x14ac:dyDescent="0.15"/>
    <row r="37292" s="76" customFormat="1" ht="21.95" customHeight="1" x14ac:dyDescent="0.15"/>
    <row r="37293" s="76" customFormat="1" ht="21.95" customHeight="1" x14ac:dyDescent="0.15"/>
    <row r="37294" s="76" customFormat="1" ht="21.95" customHeight="1" x14ac:dyDescent="0.15"/>
    <row r="37295" s="76" customFormat="1" ht="21.95" customHeight="1" x14ac:dyDescent="0.15"/>
    <row r="37296" s="76" customFormat="1" ht="21.95" customHeight="1" x14ac:dyDescent="0.15"/>
    <row r="37297" spans="3:3" customFormat="1" ht="21.95" customHeight="1" x14ac:dyDescent="0.15"/>
    <row r="37298" spans="3:3" customFormat="1" ht="21.95" customHeight="1" x14ac:dyDescent="0.15"/>
    <row r="37299" spans="3:3" customFormat="1" ht="21.95" customHeight="1" x14ac:dyDescent="0.15">
      <c r="C37299" s="94"/>
    </row>
    <row r="37300" spans="3:3" customFormat="1" ht="21.95" customHeight="1" x14ac:dyDescent="0.15">
      <c r="C37300" s="94"/>
    </row>
    <row r="37301" spans="3:3" customFormat="1" ht="21.95" customHeight="1" x14ac:dyDescent="0.15"/>
    <row r="37302" spans="3:3" customFormat="1" ht="21.95" customHeight="1" x14ac:dyDescent="0.15"/>
    <row r="37303" spans="3:3" customFormat="1" ht="21.95" customHeight="1" x14ac:dyDescent="0.15"/>
    <row r="37304" spans="3:3" customFormat="1" ht="21.95" customHeight="1" x14ac:dyDescent="0.15"/>
    <row r="37305" spans="3:3" customFormat="1" ht="21.95" customHeight="1" x14ac:dyDescent="0.15"/>
    <row r="37306" spans="3:3" customFormat="1" ht="21.95" customHeight="1" x14ac:dyDescent="0.15"/>
    <row r="37307" spans="3:3" customFormat="1" ht="21.95" customHeight="1" x14ac:dyDescent="0.15"/>
    <row r="37308" spans="3:3" s="76" customFormat="1" ht="21.95" customHeight="1" x14ac:dyDescent="0.15"/>
    <row r="37309" spans="3:3" s="76" customFormat="1" ht="21.95" customHeight="1" x14ac:dyDescent="0.15"/>
    <row r="37310" spans="3:3" s="76" customFormat="1" ht="21.95" customHeight="1" x14ac:dyDescent="0.15"/>
    <row r="37311" spans="3:3" s="76" customFormat="1" ht="21.95" customHeight="1" x14ac:dyDescent="0.15"/>
    <row r="37312" spans="3:3" customFormat="1" ht="21.95" customHeight="1" x14ac:dyDescent="0.15"/>
    <row r="37313" customFormat="1" ht="21.95" customHeight="1" x14ac:dyDescent="0.15"/>
    <row r="37314" customFormat="1" ht="21.95" customHeight="1" x14ac:dyDescent="0.15"/>
    <row r="37315" customFormat="1" ht="21.95" customHeight="1" x14ac:dyDescent="0.15"/>
    <row r="37316" customFormat="1" ht="21.95" customHeight="1" x14ac:dyDescent="0.15"/>
    <row r="37317" customFormat="1" ht="21.95" customHeight="1" x14ac:dyDescent="0.15"/>
    <row r="37318" customFormat="1" ht="21.95" customHeight="1" x14ac:dyDescent="0.15"/>
    <row r="37319" customFormat="1" ht="21.95" customHeight="1" x14ac:dyDescent="0.15"/>
    <row r="37320" customFormat="1" ht="21.95" customHeight="1" x14ac:dyDescent="0.15"/>
    <row r="37321" customFormat="1" ht="21.95" customHeight="1" x14ac:dyDescent="0.15"/>
    <row r="37322" customFormat="1" ht="21.95" customHeight="1" x14ac:dyDescent="0.15"/>
    <row r="37323" customFormat="1" ht="32.1" customHeight="1" x14ac:dyDescent="0.15"/>
    <row r="37324" customFormat="1" ht="32.1" customHeight="1" x14ac:dyDescent="0.15"/>
    <row r="37325" customFormat="1" ht="32.1" customHeight="1" x14ac:dyDescent="0.15"/>
    <row r="37326" customFormat="1" ht="32.1" customHeight="1" x14ac:dyDescent="0.15"/>
    <row r="37327" customFormat="1" ht="32.1" customHeight="1" x14ac:dyDescent="0.15"/>
    <row r="37328" customFormat="1" ht="32.1" customHeight="1" x14ac:dyDescent="0.15"/>
    <row r="37329" s="76" customFormat="1" ht="32.1" customHeight="1" x14ac:dyDescent="0.15"/>
    <row r="37330" s="76" customFormat="1" ht="32.1" customHeight="1" x14ac:dyDescent="0.15"/>
    <row r="37331" s="76" customFormat="1" ht="32.1" customHeight="1" x14ac:dyDescent="0.15"/>
    <row r="37332" s="76" customFormat="1" ht="32.1" customHeight="1" x14ac:dyDescent="0.15"/>
    <row r="37333" s="76" customFormat="1" ht="21.95" customHeight="1" x14ac:dyDescent="0.15"/>
    <row r="37334" s="76" customFormat="1" ht="54" customHeight="1" x14ac:dyDescent="0.15"/>
    <row r="37335" s="76" customFormat="1" ht="21.95" customHeight="1" x14ac:dyDescent="0.15"/>
    <row r="37336" s="76" customFormat="1" ht="21.95" customHeight="1" x14ac:dyDescent="0.15"/>
    <row r="37337" s="76" customFormat="1" ht="21.95" customHeight="1" x14ac:dyDescent="0.15"/>
    <row r="37338" s="76" customFormat="1" ht="21.95" customHeight="1" x14ac:dyDescent="0.15"/>
    <row r="37339" s="76" customFormat="1" ht="21.95" customHeight="1" x14ac:dyDescent="0.15"/>
    <row r="37340" s="76" customFormat="1" ht="21.95" customHeight="1" x14ac:dyDescent="0.15"/>
    <row r="37341" s="76" customFormat="1" ht="21.95" customHeight="1" x14ac:dyDescent="0.15"/>
    <row r="37342" s="76" customFormat="1" ht="21.95" customHeight="1" x14ac:dyDescent="0.15"/>
    <row r="37343" s="76" customFormat="1" ht="21.95" customHeight="1" x14ac:dyDescent="0.15"/>
    <row r="37344" s="76" customFormat="1" ht="21.95" customHeight="1" x14ac:dyDescent="0.15"/>
    <row r="37345" s="76" customFormat="1" ht="21.95" customHeight="1" x14ac:dyDescent="0.15"/>
    <row r="37346" s="76" customFormat="1" ht="21.95" customHeight="1" x14ac:dyDescent="0.15"/>
    <row r="37347" s="76" customFormat="1" ht="21.95" customHeight="1" x14ac:dyDescent="0.15"/>
    <row r="37348" s="76" customFormat="1" ht="21.95" customHeight="1" x14ac:dyDescent="0.15"/>
    <row r="37349" s="76" customFormat="1" ht="21.95" customHeight="1" x14ac:dyDescent="0.15"/>
    <row r="37350" s="76" customFormat="1" ht="21.95" customHeight="1" x14ac:dyDescent="0.15"/>
    <row r="37351" s="76" customFormat="1" ht="21.95" customHeight="1" x14ac:dyDescent="0.15"/>
    <row r="37352" s="76" customFormat="1" ht="21.95" customHeight="1" x14ac:dyDescent="0.15"/>
    <row r="37353" s="76" customFormat="1" ht="21.95" customHeight="1" x14ac:dyDescent="0.15"/>
    <row r="37354" s="76" customFormat="1" ht="21.95" customHeight="1" x14ac:dyDescent="0.15"/>
    <row r="37355" s="76" customFormat="1" ht="21.95" customHeight="1" x14ac:dyDescent="0.15"/>
    <row r="37356" s="76" customFormat="1" ht="21.95" customHeight="1" x14ac:dyDescent="0.15"/>
    <row r="37357" s="76" customFormat="1" ht="21.95" customHeight="1" x14ac:dyDescent="0.15"/>
    <row r="37358" s="76" customFormat="1" ht="21.95" customHeight="1" x14ac:dyDescent="0.15"/>
    <row r="37359" s="76" customFormat="1" ht="21.95" customHeight="1" x14ac:dyDescent="0.15"/>
    <row r="37360" s="76" customFormat="1" ht="21.95" customHeight="1" x14ac:dyDescent="0.15"/>
    <row r="37361" s="76" customFormat="1" ht="21.95" customHeight="1" x14ac:dyDescent="0.15"/>
    <row r="37362" s="76" customFormat="1" ht="21.95" customHeight="1" x14ac:dyDescent="0.15"/>
    <row r="37363" s="76" customFormat="1" ht="21.95" customHeight="1" x14ac:dyDescent="0.15"/>
    <row r="37364" s="76" customFormat="1" ht="21.95" customHeight="1" x14ac:dyDescent="0.15"/>
    <row r="37365" s="76" customFormat="1" ht="21.95" customHeight="1" x14ac:dyDescent="0.15"/>
    <row r="37366" s="76" customFormat="1" ht="21.95" customHeight="1" x14ac:dyDescent="0.15"/>
    <row r="37367" s="76" customFormat="1" ht="21.95" customHeight="1" x14ac:dyDescent="0.15"/>
    <row r="37368" s="76" customFormat="1" ht="21.95" customHeight="1" x14ac:dyDescent="0.15"/>
    <row r="37369" s="76" customFormat="1" ht="21.95" customHeight="1" x14ac:dyDescent="0.15"/>
    <row r="37370" s="76" customFormat="1" ht="21.95" customHeight="1" x14ac:dyDescent="0.15"/>
    <row r="37371" s="76" customFormat="1" ht="21.95" customHeight="1" x14ac:dyDescent="0.15"/>
    <row r="37372" s="76" customFormat="1" ht="21.95" customHeight="1" x14ac:dyDescent="0.15"/>
    <row r="37373" s="76" customFormat="1" ht="21.95" customHeight="1" x14ac:dyDescent="0.15"/>
    <row r="37374" s="76" customFormat="1" ht="21.95" customHeight="1" x14ac:dyDescent="0.15"/>
    <row r="37375" s="76" customFormat="1" ht="21.95" customHeight="1" x14ac:dyDescent="0.15"/>
    <row r="37376" s="76" customFormat="1" ht="21.95" customHeight="1" x14ac:dyDescent="0.15"/>
    <row r="37377" s="76" customFormat="1" ht="21.95" customHeight="1" x14ac:dyDescent="0.15"/>
    <row r="37378" s="76" customFormat="1" ht="21.95" customHeight="1" x14ac:dyDescent="0.15"/>
    <row r="37379" s="76" customFormat="1" ht="21.95" customHeight="1" x14ac:dyDescent="0.15"/>
    <row r="37380" s="76" customFormat="1" ht="21.95" customHeight="1" x14ac:dyDescent="0.15"/>
    <row r="37381" s="76" customFormat="1" ht="21.95" customHeight="1" x14ac:dyDescent="0.15"/>
    <row r="37382" s="76" customFormat="1" ht="21.95" customHeight="1" x14ac:dyDescent="0.15"/>
    <row r="37383" s="76" customFormat="1" ht="21.95" customHeight="1" x14ac:dyDescent="0.15"/>
    <row r="37384" s="76" customFormat="1" ht="21.95" customHeight="1" x14ac:dyDescent="0.15"/>
    <row r="37385" s="76" customFormat="1" ht="35.1" customHeight="1" x14ac:dyDescent="0.15"/>
    <row r="37386" s="76" customFormat="1" ht="21.95" customHeight="1" x14ac:dyDescent="0.15"/>
    <row r="37387" s="76" customFormat="1" ht="21.95" customHeight="1" x14ac:dyDescent="0.15"/>
    <row r="37388" s="76" customFormat="1" ht="21.95" customHeight="1" x14ac:dyDescent="0.15"/>
    <row r="37389" s="76" customFormat="1" ht="21.95" customHeight="1" x14ac:dyDescent="0.15"/>
    <row r="37390" s="76" customFormat="1" ht="21.95" customHeight="1" x14ac:dyDescent="0.15"/>
    <row r="37391" s="76" customFormat="1" ht="21.95" customHeight="1" x14ac:dyDescent="0.15"/>
    <row r="37392" s="76" customFormat="1" ht="21.95" customHeight="1" x14ac:dyDescent="0.15"/>
    <row r="37393" s="76" customFormat="1" ht="21.95" customHeight="1" x14ac:dyDescent="0.15"/>
    <row r="37394" s="76" customFormat="1" ht="21.95" customHeight="1" x14ac:dyDescent="0.15"/>
    <row r="37395" s="76" customFormat="1" ht="21.95" customHeight="1" x14ac:dyDescent="0.15"/>
    <row r="37396" s="76" customFormat="1" ht="21.95" customHeight="1" x14ac:dyDescent="0.15"/>
    <row r="37397" s="76" customFormat="1" ht="21.95" customHeight="1" x14ac:dyDescent="0.15"/>
    <row r="37398" s="76" customFormat="1" ht="21.95" customHeight="1" x14ac:dyDescent="0.15"/>
    <row r="37399" s="76" customFormat="1" ht="21.95" customHeight="1" x14ac:dyDescent="0.15"/>
    <row r="37400" s="76" customFormat="1" ht="21.95" customHeight="1" x14ac:dyDescent="0.15"/>
    <row r="37401" s="76" customFormat="1" ht="21.95" customHeight="1" x14ac:dyDescent="0.15"/>
    <row r="37402" s="76" customFormat="1" ht="21.95" customHeight="1" x14ac:dyDescent="0.15"/>
    <row r="37403" s="76" customFormat="1" ht="21.95" customHeight="1" x14ac:dyDescent="0.15"/>
    <row r="37404" s="76" customFormat="1" ht="21.95" customHeight="1" x14ac:dyDescent="0.15"/>
    <row r="37405" s="76" customFormat="1" ht="21.95" customHeight="1" x14ac:dyDescent="0.15"/>
    <row r="37406" s="76" customFormat="1" ht="21.95" customHeight="1" x14ac:dyDescent="0.15"/>
    <row r="37407" s="76" customFormat="1" ht="21.95" customHeight="1" x14ac:dyDescent="0.15"/>
    <row r="37408" s="76" customFormat="1" ht="21.95" customHeight="1" x14ac:dyDescent="0.15"/>
    <row r="37409" spans="3:3" customFormat="1" ht="21.95" customHeight="1" x14ac:dyDescent="0.15"/>
    <row r="37410" spans="3:3" customFormat="1" ht="21.95" customHeight="1" x14ac:dyDescent="0.15"/>
    <row r="37411" spans="3:3" customFormat="1" ht="21.95" customHeight="1" x14ac:dyDescent="0.15">
      <c r="C37411" s="94"/>
    </row>
    <row r="37412" spans="3:3" customFormat="1" ht="21.95" customHeight="1" x14ac:dyDescent="0.15">
      <c r="C37412" s="94"/>
    </row>
    <row r="37413" spans="3:3" customFormat="1" ht="21.95" customHeight="1" x14ac:dyDescent="0.15"/>
    <row r="37414" spans="3:3" customFormat="1" ht="21.95" customHeight="1" x14ac:dyDescent="0.15"/>
    <row r="37415" spans="3:3" customFormat="1" ht="21.95" customHeight="1" x14ac:dyDescent="0.15"/>
    <row r="37416" spans="3:3" customFormat="1" ht="21.95" customHeight="1" x14ac:dyDescent="0.15"/>
    <row r="37417" spans="3:3" customFormat="1" ht="21.95" customHeight="1" x14ac:dyDescent="0.15"/>
    <row r="37418" spans="3:3" customFormat="1" ht="21.95" customHeight="1" x14ac:dyDescent="0.15"/>
    <row r="37419" spans="3:3" customFormat="1" ht="21.95" customHeight="1" x14ac:dyDescent="0.15"/>
    <row r="37420" spans="3:3" s="76" customFormat="1" ht="21.95" customHeight="1" x14ac:dyDescent="0.15"/>
    <row r="37421" spans="3:3" s="76" customFormat="1" ht="21.95" customHeight="1" x14ac:dyDescent="0.15"/>
    <row r="37422" spans="3:3" s="76" customFormat="1" ht="21.95" customHeight="1" x14ac:dyDescent="0.15"/>
    <row r="37423" spans="3:3" s="76" customFormat="1" ht="21.95" customHeight="1" x14ac:dyDescent="0.15"/>
    <row r="37424" spans="3:3" customFormat="1" ht="21.95" customHeight="1" x14ac:dyDescent="0.15"/>
    <row r="37425" customFormat="1" ht="21.95" customHeight="1" x14ac:dyDescent="0.15"/>
    <row r="37426" customFormat="1" ht="21.95" customHeight="1" x14ac:dyDescent="0.15"/>
    <row r="37427" customFormat="1" ht="21.95" customHeight="1" x14ac:dyDescent="0.15"/>
    <row r="37428" customFormat="1" ht="21.95" customHeight="1" x14ac:dyDescent="0.15"/>
    <row r="37429" customFormat="1" ht="21.95" customHeight="1" x14ac:dyDescent="0.15"/>
    <row r="37430" customFormat="1" ht="21.95" customHeight="1" x14ac:dyDescent="0.15"/>
    <row r="37431" customFormat="1" ht="21.95" customHeight="1" x14ac:dyDescent="0.15"/>
    <row r="37432" customFormat="1" ht="21.95" customHeight="1" x14ac:dyDescent="0.15"/>
    <row r="37433" customFormat="1" ht="21.95" customHeight="1" x14ac:dyDescent="0.15"/>
    <row r="37434" customFormat="1" ht="21.95" customHeight="1" x14ac:dyDescent="0.15"/>
    <row r="37435" customFormat="1" ht="32.1" customHeight="1" x14ac:dyDescent="0.15"/>
    <row r="37436" customFormat="1" ht="32.1" customHeight="1" x14ac:dyDescent="0.15"/>
    <row r="37437" customFormat="1" ht="32.1" customHeight="1" x14ac:dyDescent="0.15"/>
    <row r="37438" customFormat="1" ht="32.1" customHeight="1" x14ac:dyDescent="0.15"/>
    <row r="37439" customFormat="1" ht="32.1" customHeight="1" x14ac:dyDescent="0.15"/>
    <row r="37440" customFormat="1" ht="32.1" customHeight="1" x14ac:dyDescent="0.15"/>
    <row r="37441" s="76" customFormat="1" ht="32.1" customHeight="1" x14ac:dyDescent="0.15"/>
    <row r="37442" s="76" customFormat="1" ht="32.1" customHeight="1" x14ac:dyDescent="0.15"/>
    <row r="37443" s="76" customFormat="1" ht="32.1" customHeight="1" x14ac:dyDescent="0.15"/>
    <row r="37444" s="76" customFormat="1" ht="32.1" customHeight="1" x14ac:dyDescent="0.15"/>
    <row r="37445" s="76" customFormat="1" ht="21.95" customHeight="1" x14ac:dyDescent="0.15"/>
    <row r="37446" s="76" customFormat="1" ht="54" customHeight="1" x14ac:dyDescent="0.15"/>
    <row r="37447" s="76" customFormat="1" ht="21.95" customHeight="1" x14ac:dyDescent="0.15"/>
    <row r="37448" s="76" customFormat="1" ht="21.95" customHeight="1" x14ac:dyDescent="0.15"/>
    <row r="37449" s="76" customFormat="1" ht="21.95" customHeight="1" x14ac:dyDescent="0.15"/>
    <row r="37450" s="76" customFormat="1" ht="21.95" customHeight="1" x14ac:dyDescent="0.15"/>
    <row r="37451" s="76" customFormat="1" ht="21.95" customHeight="1" x14ac:dyDescent="0.15"/>
    <row r="37452" s="76" customFormat="1" ht="21.95" customHeight="1" x14ac:dyDescent="0.15"/>
    <row r="37453" s="76" customFormat="1" ht="21.95" customHeight="1" x14ac:dyDescent="0.15"/>
    <row r="37454" s="76" customFormat="1" ht="21.95" customHeight="1" x14ac:dyDescent="0.15"/>
    <row r="37455" s="76" customFormat="1" ht="21.95" customHeight="1" x14ac:dyDescent="0.15"/>
    <row r="37456" s="76" customFormat="1" ht="21.95" customHeight="1" x14ac:dyDescent="0.15"/>
    <row r="37457" s="76" customFormat="1" ht="21.95" customHeight="1" x14ac:dyDescent="0.15"/>
    <row r="37458" s="76" customFormat="1" ht="21.95" customHeight="1" x14ac:dyDescent="0.15"/>
    <row r="37459" s="76" customFormat="1" ht="21.95" customHeight="1" x14ac:dyDescent="0.15"/>
    <row r="37460" s="76" customFormat="1" ht="21.95" customHeight="1" x14ac:dyDescent="0.15"/>
    <row r="37461" s="76" customFormat="1" ht="21.95" customHeight="1" x14ac:dyDescent="0.15"/>
    <row r="37462" s="76" customFormat="1" ht="21.95" customHeight="1" x14ac:dyDescent="0.15"/>
    <row r="37463" s="76" customFormat="1" ht="21.95" customHeight="1" x14ac:dyDescent="0.15"/>
    <row r="37464" s="76" customFormat="1" ht="21.95" customHeight="1" x14ac:dyDescent="0.15"/>
    <row r="37465" s="76" customFormat="1" ht="21.95" customHeight="1" x14ac:dyDescent="0.15"/>
    <row r="37466" s="76" customFormat="1" ht="21.95" customHeight="1" x14ac:dyDescent="0.15"/>
    <row r="37467" s="76" customFormat="1" ht="21.95" customHeight="1" x14ac:dyDescent="0.15"/>
    <row r="37468" s="76" customFormat="1" ht="21.95" customHeight="1" x14ac:dyDescent="0.15"/>
    <row r="37469" s="76" customFormat="1" ht="21.95" customHeight="1" x14ac:dyDescent="0.15"/>
    <row r="37470" s="76" customFormat="1" ht="21.95" customHeight="1" x14ac:dyDescent="0.15"/>
    <row r="37471" s="76" customFormat="1" ht="21.95" customHeight="1" x14ac:dyDescent="0.15"/>
    <row r="37472" s="76" customFormat="1" ht="21.95" customHeight="1" x14ac:dyDescent="0.15"/>
    <row r="37473" s="76" customFormat="1" ht="21.95" customHeight="1" x14ac:dyDescent="0.15"/>
    <row r="37474" s="76" customFormat="1" ht="21.95" customHeight="1" x14ac:dyDescent="0.15"/>
    <row r="37475" s="76" customFormat="1" ht="21.95" customHeight="1" x14ac:dyDescent="0.15"/>
    <row r="37476" s="76" customFormat="1" ht="21.95" customHeight="1" x14ac:dyDescent="0.15"/>
    <row r="37477" s="76" customFormat="1" ht="21.95" customHeight="1" x14ac:dyDescent="0.15"/>
    <row r="37478" s="76" customFormat="1" ht="21.95" customHeight="1" x14ac:dyDescent="0.15"/>
    <row r="37479" s="76" customFormat="1" ht="21.95" customHeight="1" x14ac:dyDescent="0.15"/>
    <row r="37480" s="76" customFormat="1" ht="21.95" customHeight="1" x14ac:dyDescent="0.15"/>
    <row r="37481" s="76" customFormat="1" ht="21.95" customHeight="1" x14ac:dyDescent="0.15"/>
    <row r="37482" s="76" customFormat="1" ht="21.95" customHeight="1" x14ac:dyDescent="0.15"/>
    <row r="37483" s="76" customFormat="1" ht="21.95" customHeight="1" x14ac:dyDescent="0.15"/>
    <row r="37484" s="76" customFormat="1" ht="21.95" customHeight="1" x14ac:dyDescent="0.15"/>
    <row r="37485" s="76" customFormat="1" ht="21.95" customHeight="1" x14ac:dyDescent="0.15"/>
    <row r="37486" s="76" customFormat="1" ht="21.95" customHeight="1" x14ac:dyDescent="0.15"/>
    <row r="37487" s="76" customFormat="1" ht="21.95" customHeight="1" x14ac:dyDescent="0.15"/>
    <row r="37488" s="76" customFormat="1" ht="21.95" customHeight="1" x14ac:dyDescent="0.15"/>
    <row r="37489" s="76" customFormat="1" ht="21.95" customHeight="1" x14ac:dyDescent="0.15"/>
    <row r="37490" s="76" customFormat="1" ht="21.95" customHeight="1" x14ac:dyDescent="0.15"/>
    <row r="37491" s="76" customFormat="1" ht="21.95" customHeight="1" x14ac:dyDescent="0.15"/>
    <row r="37492" s="76" customFormat="1" ht="21.95" customHeight="1" x14ac:dyDescent="0.15"/>
    <row r="37493" s="76" customFormat="1" ht="21.95" customHeight="1" x14ac:dyDescent="0.15"/>
    <row r="37494" s="76" customFormat="1" ht="21.95" customHeight="1" x14ac:dyDescent="0.15"/>
    <row r="37495" s="76" customFormat="1" ht="21.95" customHeight="1" x14ac:dyDescent="0.15"/>
    <row r="37496" s="76" customFormat="1" ht="21.95" customHeight="1" x14ac:dyDescent="0.15"/>
    <row r="37497" s="76" customFormat="1" ht="35.1" customHeight="1" x14ac:dyDescent="0.15"/>
    <row r="37498" s="76" customFormat="1" ht="21.95" customHeight="1" x14ac:dyDescent="0.15"/>
    <row r="37499" s="76" customFormat="1" ht="21.95" customHeight="1" x14ac:dyDescent="0.15"/>
    <row r="37500" s="76" customFormat="1" ht="21.95" customHeight="1" x14ac:dyDescent="0.15"/>
    <row r="37501" s="76" customFormat="1" ht="21.95" customHeight="1" x14ac:dyDescent="0.15"/>
    <row r="37502" s="76" customFormat="1" ht="21.95" customHeight="1" x14ac:dyDescent="0.15"/>
    <row r="37503" s="76" customFormat="1" ht="21.95" customHeight="1" x14ac:dyDescent="0.15"/>
    <row r="37504" s="76" customFormat="1" ht="21.95" customHeight="1" x14ac:dyDescent="0.15"/>
    <row r="37505" s="76" customFormat="1" ht="21.95" customHeight="1" x14ac:dyDescent="0.15"/>
    <row r="37506" s="76" customFormat="1" ht="21.95" customHeight="1" x14ac:dyDescent="0.15"/>
    <row r="37507" s="76" customFormat="1" ht="21.95" customHeight="1" x14ac:dyDescent="0.15"/>
    <row r="37508" s="76" customFormat="1" ht="21.95" customHeight="1" x14ac:dyDescent="0.15"/>
    <row r="37509" s="76" customFormat="1" ht="21.95" customHeight="1" x14ac:dyDescent="0.15"/>
    <row r="37510" s="76" customFormat="1" ht="21.95" customHeight="1" x14ac:dyDescent="0.15"/>
    <row r="37511" s="76" customFormat="1" ht="21.95" customHeight="1" x14ac:dyDescent="0.15"/>
    <row r="37512" s="76" customFormat="1" ht="21.95" customHeight="1" x14ac:dyDescent="0.15"/>
    <row r="37513" s="76" customFormat="1" ht="21.95" customHeight="1" x14ac:dyDescent="0.15"/>
    <row r="37514" s="76" customFormat="1" ht="21.95" customHeight="1" x14ac:dyDescent="0.15"/>
    <row r="37515" s="76" customFormat="1" ht="21.95" customHeight="1" x14ac:dyDescent="0.15"/>
    <row r="37516" s="76" customFormat="1" ht="21.95" customHeight="1" x14ac:dyDescent="0.15"/>
    <row r="37517" s="76" customFormat="1" ht="21.95" customHeight="1" x14ac:dyDescent="0.15"/>
    <row r="37518" s="76" customFormat="1" ht="21.95" customHeight="1" x14ac:dyDescent="0.15"/>
    <row r="37519" s="76" customFormat="1" ht="21.95" customHeight="1" x14ac:dyDescent="0.15"/>
    <row r="37520" s="76" customFormat="1" ht="21.95" customHeight="1" x14ac:dyDescent="0.15"/>
    <row r="37521" spans="3:3" customFormat="1" ht="21.95" customHeight="1" x14ac:dyDescent="0.15"/>
    <row r="37522" spans="3:3" customFormat="1" ht="21.95" customHeight="1" x14ac:dyDescent="0.15"/>
    <row r="37523" spans="3:3" customFormat="1" ht="21.95" customHeight="1" x14ac:dyDescent="0.15">
      <c r="C37523" s="94"/>
    </row>
    <row r="37524" spans="3:3" customFormat="1" ht="21.95" customHeight="1" x14ac:dyDescent="0.15">
      <c r="C37524" s="94"/>
    </row>
    <row r="37525" spans="3:3" customFormat="1" ht="21.95" customHeight="1" x14ac:dyDescent="0.15"/>
    <row r="37526" spans="3:3" customFormat="1" ht="21.95" customHeight="1" x14ac:dyDescent="0.15"/>
    <row r="37527" spans="3:3" customFormat="1" ht="21.95" customHeight="1" x14ac:dyDescent="0.15"/>
    <row r="37528" spans="3:3" customFormat="1" ht="21.95" customHeight="1" x14ac:dyDescent="0.15"/>
    <row r="37529" spans="3:3" customFormat="1" ht="21.95" customHeight="1" x14ac:dyDescent="0.15"/>
    <row r="37530" spans="3:3" customFormat="1" ht="21.95" customHeight="1" x14ac:dyDescent="0.15"/>
    <row r="37531" spans="3:3" customFormat="1" ht="21.95" customHeight="1" x14ac:dyDescent="0.15"/>
    <row r="37532" spans="3:3" s="76" customFormat="1" ht="21.95" customHeight="1" x14ac:dyDescent="0.15"/>
    <row r="37533" spans="3:3" s="76" customFormat="1" ht="21.95" customHeight="1" x14ac:dyDescent="0.15"/>
    <row r="37534" spans="3:3" s="76" customFormat="1" ht="21.95" customHeight="1" x14ac:dyDescent="0.15"/>
    <row r="37535" spans="3:3" s="76" customFormat="1" ht="21.95" customHeight="1" x14ac:dyDescent="0.15"/>
    <row r="37536" spans="3:3" customFormat="1" ht="21.95" customHeight="1" x14ac:dyDescent="0.15"/>
    <row r="37537" customFormat="1" ht="21.95" customHeight="1" x14ac:dyDescent="0.15"/>
    <row r="37538" customFormat="1" ht="21.95" customHeight="1" x14ac:dyDescent="0.15"/>
    <row r="37539" customFormat="1" ht="21.95" customHeight="1" x14ac:dyDescent="0.15"/>
    <row r="37540" customFormat="1" ht="21.95" customHeight="1" x14ac:dyDescent="0.15"/>
    <row r="37541" customFormat="1" ht="21.95" customHeight="1" x14ac:dyDescent="0.15"/>
    <row r="37542" customFormat="1" ht="21.95" customHeight="1" x14ac:dyDescent="0.15"/>
    <row r="37543" customFormat="1" ht="21.95" customHeight="1" x14ac:dyDescent="0.15"/>
    <row r="37544" customFormat="1" ht="21.95" customHeight="1" x14ac:dyDescent="0.15"/>
    <row r="37545" customFormat="1" ht="21.95" customHeight="1" x14ac:dyDescent="0.15"/>
    <row r="37546" customFormat="1" ht="21.95" customHeight="1" x14ac:dyDescent="0.15"/>
    <row r="37547" customFormat="1" ht="32.1" customHeight="1" x14ac:dyDescent="0.15"/>
    <row r="37548" customFormat="1" ht="32.1" customHeight="1" x14ac:dyDescent="0.15"/>
    <row r="37549" customFormat="1" ht="32.1" customHeight="1" x14ac:dyDescent="0.15"/>
    <row r="37550" customFormat="1" ht="32.1" customHeight="1" x14ac:dyDescent="0.15"/>
    <row r="37551" customFormat="1" ht="32.1" customHeight="1" x14ac:dyDescent="0.15"/>
    <row r="37552" customFormat="1" ht="32.1" customHeight="1" x14ac:dyDescent="0.15"/>
    <row r="37553" s="76" customFormat="1" ht="32.1" customHeight="1" x14ac:dyDescent="0.15"/>
    <row r="37554" s="76" customFormat="1" ht="32.1" customHeight="1" x14ac:dyDescent="0.15"/>
    <row r="37555" s="76" customFormat="1" ht="32.1" customHeight="1" x14ac:dyDescent="0.15"/>
    <row r="37556" s="76" customFormat="1" ht="32.1" customHeight="1" x14ac:dyDescent="0.15"/>
    <row r="37557" s="76" customFormat="1" ht="21.95" customHeight="1" x14ac:dyDescent="0.15"/>
    <row r="37558" s="76" customFormat="1" ht="54" customHeight="1" x14ac:dyDescent="0.15"/>
    <row r="37559" s="76" customFormat="1" ht="21.95" customHeight="1" x14ac:dyDescent="0.15"/>
    <row r="37560" s="76" customFormat="1" ht="21.95" customHeight="1" x14ac:dyDescent="0.15"/>
    <row r="37561" s="76" customFormat="1" ht="21.95" customHeight="1" x14ac:dyDescent="0.15"/>
    <row r="37562" s="76" customFormat="1" ht="21.95" customHeight="1" x14ac:dyDescent="0.15"/>
    <row r="37563" s="76" customFormat="1" ht="21.95" customHeight="1" x14ac:dyDescent="0.15"/>
    <row r="37564" s="76" customFormat="1" ht="21.95" customHeight="1" x14ac:dyDescent="0.15"/>
    <row r="37565" s="76" customFormat="1" ht="21.95" customHeight="1" x14ac:dyDescent="0.15"/>
    <row r="37566" s="76" customFormat="1" ht="21.95" customHeight="1" x14ac:dyDescent="0.15"/>
    <row r="37567" s="76" customFormat="1" ht="21.95" customHeight="1" x14ac:dyDescent="0.15"/>
    <row r="37568" s="76" customFormat="1" ht="21.95" customHeight="1" x14ac:dyDescent="0.15"/>
    <row r="37569" s="76" customFormat="1" ht="21.95" customHeight="1" x14ac:dyDescent="0.15"/>
    <row r="37570" s="76" customFormat="1" ht="21.95" customHeight="1" x14ac:dyDescent="0.15"/>
    <row r="37571" s="76" customFormat="1" ht="21.95" customHeight="1" x14ac:dyDescent="0.15"/>
    <row r="37572" s="76" customFormat="1" ht="21.95" customHeight="1" x14ac:dyDescent="0.15"/>
    <row r="37573" s="76" customFormat="1" ht="21.95" customHeight="1" x14ac:dyDescent="0.15"/>
    <row r="37574" s="76" customFormat="1" ht="21.95" customHeight="1" x14ac:dyDescent="0.15"/>
    <row r="37575" s="76" customFormat="1" ht="21.95" customHeight="1" x14ac:dyDescent="0.15"/>
    <row r="37576" s="76" customFormat="1" ht="21.95" customHeight="1" x14ac:dyDescent="0.15"/>
    <row r="37577" s="76" customFormat="1" ht="21.95" customHeight="1" x14ac:dyDescent="0.15"/>
    <row r="37578" s="76" customFormat="1" ht="21.95" customHeight="1" x14ac:dyDescent="0.15"/>
    <row r="37579" s="76" customFormat="1" ht="21.95" customHeight="1" x14ac:dyDescent="0.15"/>
    <row r="37580" s="76" customFormat="1" ht="21.95" customHeight="1" x14ac:dyDescent="0.15"/>
    <row r="37581" s="76" customFormat="1" ht="21.95" customHeight="1" x14ac:dyDescent="0.15"/>
    <row r="37582" s="76" customFormat="1" ht="21.95" customHeight="1" x14ac:dyDescent="0.15"/>
    <row r="37583" s="76" customFormat="1" ht="21.95" customHeight="1" x14ac:dyDescent="0.15"/>
    <row r="37584" s="76" customFormat="1" ht="21.95" customHeight="1" x14ac:dyDescent="0.15"/>
    <row r="37585" s="76" customFormat="1" ht="21.95" customHeight="1" x14ac:dyDescent="0.15"/>
    <row r="37586" s="76" customFormat="1" ht="21.95" customHeight="1" x14ac:dyDescent="0.15"/>
    <row r="37587" s="76" customFormat="1" ht="21.95" customHeight="1" x14ac:dyDescent="0.15"/>
    <row r="37588" s="76" customFormat="1" ht="21.95" customHeight="1" x14ac:dyDescent="0.15"/>
    <row r="37589" s="76" customFormat="1" ht="21.95" customHeight="1" x14ac:dyDescent="0.15"/>
    <row r="37590" s="76" customFormat="1" ht="21.95" customHeight="1" x14ac:dyDescent="0.15"/>
    <row r="37591" s="76" customFormat="1" ht="21.95" customHeight="1" x14ac:dyDescent="0.15"/>
    <row r="37592" s="76" customFormat="1" ht="21.95" customHeight="1" x14ac:dyDescent="0.15"/>
    <row r="37593" s="76" customFormat="1" ht="21.95" customHeight="1" x14ac:dyDescent="0.15"/>
    <row r="37594" s="76" customFormat="1" ht="21.95" customHeight="1" x14ac:dyDescent="0.15"/>
    <row r="37595" s="76" customFormat="1" ht="21.95" customHeight="1" x14ac:dyDescent="0.15"/>
    <row r="37596" s="76" customFormat="1" ht="21.95" customHeight="1" x14ac:dyDescent="0.15"/>
    <row r="37597" s="76" customFormat="1" ht="21.95" customHeight="1" x14ac:dyDescent="0.15"/>
    <row r="37598" s="76" customFormat="1" ht="21.95" customHeight="1" x14ac:dyDescent="0.15"/>
    <row r="37599" s="76" customFormat="1" ht="21.95" customHeight="1" x14ac:dyDescent="0.15"/>
    <row r="37600" s="76" customFormat="1" ht="21.95" customHeight="1" x14ac:dyDescent="0.15"/>
    <row r="37601" s="76" customFormat="1" ht="21.95" customHeight="1" x14ac:dyDescent="0.15"/>
    <row r="37602" s="76" customFormat="1" ht="21.95" customHeight="1" x14ac:dyDescent="0.15"/>
    <row r="37603" s="76" customFormat="1" ht="21.95" customHeight="1" x14ac:dyDescent="0.15"/>
    <row r="37604" s="76" customFormat="1" ht="21.95" customHeight="1" x14ac:dyDescent="0.15"/>
    <row r="37605" s="76" customFormat="1" ht="21.95" customHeight="1" x14ac:dyDescent="0.15"/>
    <row r="37606" s="76" customFormat="1" ht="21.95" customHeight="1" x14ac:dyDescent="0.15"/>
    <row r="37607" s="76" customFormat="1" ht="21.95" customHeight="1" x14ac:dyDescent="0.15"/>
    <row r="37608" s="76" customFormat="1" ht="21.95" customHeight="1" x14ac:dyDescent="0.15"/>
    <row r="37609" s="76" customFormat="1" ht="35.1" customHeight="1" x14ac:dyDescent="0.15"/>
    <row r="37610" s="76" customFormat="1" ht="21.95" customHeight="1" x14ac:dyDescent="0.15"/>
    <row r="37611" s="76" customFormat="1" ht="21.95" customHeight="1" x14ac:dyDescent="0.15"/>
    <row r="37612" s="76" customFormat="1" ht="21.95" customHeight="1" x14ac:dyDescent="0.15"/>
    <row r="37613" s="76" customFormat="1" ht="21.95" customHeight="1" x14ac:dyDescent="0.15"/>
    <row r="37614" s="76" customFormat="1" ht="21.95" customHeight="1" x14ac:dyDescent="0.15"/>
    <row r="37615" s="76" customFormat="1" ht="21.95" customHeight="1" x14ac:dyDescent="0.15"/>
    <row r="37616" s="76" customFormat="1" ht="21.95" customHeight="1" x14ac:dyDescent="0.15"/>
    <row r="37617" s="76" customFormat="1" ht="21.95" customHeight="1" x14ac:dyDescent="0.15"/>
    <row r="37618" s="76" customFormat="1" ht="21.95" customHeight="1" x14ac:dyDescent="0.15"/>
    <row r="37619" s="76" customFormat="1" ht="21.95" customHeight="1" x14ac:dyDescent="0.15"/>
    <row r="37620" s="76" customFormat="1" ht="21.95" customHeight="1" x14ac:dyDescent="0.15"/>
    <row r="37621" s="76" customFormat="1" ht="21.95" customHeight="1" x14ac:dyDescent="0.15"/>
    <row r="37622" s="76" customFormat="1" ht="21.95" customHeight="1" x14ac:dyDescent="0.15"/>
    <row r="37623" s="76" customFormat="1" ht="21.95" customHeight="1" x14ac:dyDescent="0.15"/>
    <row r="37624" s="76" customFormat="1" ht="21.95" customHeight="1" x14ac:dyDescent="0.15"/>
    <row r="37625" s="76" customFormat="1" ht="21.95" customHeight="1" x14ac:dyDescent="0.15"/>
    <row r="37626" s="76" customFormat="1" ht="21.95" customHeight="1" x14ac:dyDescent="0.15"/>
    <row r="37627" s="76" customFormat="1" ht="21.95" customHeight="1" x14ac:dyDescent="0.15"/>
    <row r="37628" s="76" customFormat="1" ht="21.95" customHeight="1" x14ac:dyDescent="0.15"/>
    <row r="37629" s="76" customFormat="1" ht="21.95" customHeight="1" x14ac:dyDescent="0.15"/>
    <row r="37630" s="76" customFormat="1" ht="21.95" customHeight="1" x14ac:dyDescent="0.15"/>
    <row r="37631" s="76" customFormat="1" ht="21.95" customHeight="1" x14ac:dyDescent="0.15"/>
    <row r="37632" s="76" customFormat="1" ht="21.95" customHeight="1" x14ac:dyDescent="0.15"/>
    <row r="37633" spans="3:3" customFormat="1" ht="21.95" customHeight="1" x14ac:dyDescent="0.15"/>
    <row r="37634" spans="3:3" customFormat="1" ht="21.95" customHeight="1" x14ac:dyDescent="0.15"/>
    <row r="37635" spans="3:3" customFormat="1" ht="21.95" customHeight="1" x14ac:dyDescent="0.15">
      <c r="C37635" s="94"/>
    </row>
    <row r="37636" spans="3:3" customFormat="1" ht="21.95" customHeight="1" x14ac:dyDescent="0.15">
      <c r="C37636" s="94"/>
    </row>
    <row r="37637" spans="3:3" customFormat="1" ht="21.95" customHeight="1" x14ac:dyDescent="0.15"/>
    <row r="37638" spans="3:3" customFormat="1" ht="21.95" customHeight="1" x14ac:dyDescent="0.15"/>
    <row r="37639" spans="3:3" customFormat="1" ht="21.95" customHeight="1" x14ac:dyDescent="0.15"/>
    <row r="37640" spans="3:3" customFormat="1" ht="21.95" customHeight="1" x14ac:dyDescent="0.15"/>
    <row r="37641" spans="3:3" customFormat="1" ht="21.95" customHeight="1" x14ac:dyDescent="0.15"/>
    <row r="37642" spans="3:3" customFormat="1" ht="21.95" customHeight="1" x14ac:dyDescent="0.15"/>
    <row r="37643" spans="3:3" customFormat="1" ht="21.95" customHeight="1" x14ac:dyDescent="0.15"/>
    <row r="37644" spans="3:3" s="76" customFormat="1" ht="21.95" customHeight="1" x14ac:dyDescent="0.15"/>
    <row r="37645" spans="3:3" s="76" customFormat="1" ht="21.95" customHeight="1" x14ac:dyDescent="0.15"/>
    <row r="37646" spans="3:3" s="76" customFormat="1" ht="21.95" customHeight="1" x14ac:dyDescent="0.15"/>
    <row r="37647" spans="3:3" s="76" customFormat="1" ht="21.95" customHeight="1" x14ac:dyDescent="0.15"/>
    <row r="37648" spans="3:3" customFormat="1" ht="21.95" customHeight="1" x14ac:dyDescent="0.15"/>
    <row r="37649" customFormat="1" ht="21.95" customHeight="1" x14ac:dyDescent="0.15"/>
    <row r="37650" customFormat="1" ht="21.95" customHeight="1" x14ac:dyDescent="0.15"/>
    <row r="37651" customFormat="1" ht="21.95" customHeight="1" x14ac:dyDescent="0.15"/>
    <row r="37652" customFormat="1" ht="21.95" customHeight="1" x14ac:dyDescent="0.15"/>
    <row r="37653" customFormat="1" ht="21.95" customHeight="1" x14ac:dyDescent="0.15"/>
    <row r="37654" customFormat="1" ht="21.95" customHeight="1" x14ac:dyDescent="0.15"/>
    <row r="37655" customFormat="1" ht="21.95" customHeight="1" x14ac:dyDescent="0.15"/>
    <row r="37656" customFormat="1" ht="21.95" customHeight="1" x14ac:dyDescent="0.15"/>
    <row r="37657" customFormat="1" ht="21.95" customHeight="1" x14ac:dyDescent="0.15"/>
    <row r="37658" customFormat="1" ht="21.95" customHeight="1" x14ac:dyDescent="0.15"/>
    <row r="37659" customFormat="1" ht="32.1" customHeight="1" x14ac:dyDescent="0.15"/>
    <row r="37660" customFormat="1" ht="32.1" customHeight="1" x14ac:dyDescent="0.15"/>
    <row r="37661" customFormat="1" ht="32.1" customHeight="1" x14ac:dyDescent="0.15"/>
    <row r="37662" customFormat="1" ht="32.1" customHeight="1" x14ac:dyDescent="0.15"/>
    <row r="37663" customFormat="1" ht="32.1" customHeight="1" x14ac:dyDescent="0.15"/>
    <row r="37664" customFormat="1" ht="32.1" customHeight="1" x14ac:dyDescent="0.15"/>
    <row r="37665" s="76" customFormat="1" ht="32.1" customHeight="1" x14ac:dyDescent="0.15"/>
    <row r="37666" s="76" customFormat="1" ht="32.1" customHeight="1" x14ac:dyDescent="0.15"/>
    <row r="37667" s="76" customFormat="1" ht="32.1" customHeight="1" x14ac:dyDescent="0.15"/>
    <row r="37668" s="76" customFormat="1" ht="32.1" customHeight="1" x14ac:dyDescent="0.15"/>
    <row r="37669" s="76" customFormat="1" ht="21.95" customHeight="1" x14ac:dyDescent="0.15"/>
    <row r="37670" s="76" customFormat="1" ht="54" customHeight="1" x14ac:dyDescent="0.15"/>
    <row r="37671" s="76" customFormat="1" ht="21.95" customHeight="1" x14ac:dyDescent="0.15"/>
    <row r="37672" s="76" customFormat="1" ht="21.95" customHeight="1" x14ac:dyDescent="0.15"/>
    <row r="37673" s="76" customFormat="1" ht="21.95" customHeight="1" x14ac:dyDescent="0.15"/>
    <row r="37674" s="76" customFormat="1" ht="21.95" customHeight="1" x14ac:dyDescent="0.15"/>
    <row r="37675" s="76" customFormat="1" ht="21.95" customHeight="1" x14ac:dyDescent="0.15"/>
    <row r="37676" s="76" customFormat="1" ht="21.95" customHeight="1" x14ac:dyDescent="0.15"/>
    <row r="37677" s="76" customFormat="1" ht="21.95" customHeight="1" x14ac:dyDescent="0.15"/>
    <row r="37678" s="76" customFormat="1" ht="21.95" customHeight="1" x14ac:dyDescent="0.15"/>
    <row r="37679" s="76" customFormat="1" ht="21.95" customHeight="1" x14ac:dyDescent="0.15"/>
    <row r="37680" s="76" customFormat="1" ht="21.95" customHeight="1" x14ac:dyDescent="0.15"/>
    <row r="37681" s="76" customFormat="1" ht="21.95" customHeight="1" x14ac:dyDescent="0.15"/>
    <row r="37682" s="76" customFormat="1" ht="21.95" customHeight="1" x14ac:dyDescent="0.15"/>
    <row r="37683" s="76" customFormat="1" ht="21.95" customHeight="1" x14ac:dyDescent="0.15"/>
    <row r="37684" s="76" customFormat="1" ht="21.95" customHeight="1" x14ac:dyDescent="0.15"/>
    <row r="37685" s="76" customFormat="1" ht="21.95" customHeight="1" x14ac:dyDescent="0.15"/>
    <row r="37686" s="76" customFormat="1" ht="21.95" customHeight="1" x14ac:dyDescent="0.15"/>
    <row r="37687" s="76" customFormat="1" ht="21.95" customHeight="1" x14ac:dyDescent="0.15"/>
    <row r="37688" s="76" customFormat="1" ht="21.95" customHeight="1" x14ac:dyDescent="0.15"/>
    <row r="37689" s="76" customFormat="1" ht="21.95" customHeight="1" x14ac:dyDescent="0.15"/>
    <row r="37690" s="76" customFormat="1" ht="21.95" customHeight="1" x14ac:dyDescent="0.15"/>
    <row r="37691" s="76" customFormat="1" ht="21.95" customHeight="1" x14ac:dyDescent="0.15"/>
    <row r="37692" s="76" customFormat="1" ht="21.95" customHeight="1" x14ac:dyDescent="0.15"/>
    <row r="37693" s="76" customFormat="1" ht="21.95" customHeight="1" x14ac:dyDescent="0.15"/>
    <row r="37694" s="76" customFormat="1" ht="21.95" customHeight="1" x14ac:dyDescent="0.15"/>
    <row r="37695" s="76" customFormat="1" ht="21.95" customHeight="1" x14ac:dyDescent="0.15"/>
    <row r="37696" s="76" customFormat="1" ht="21.95" customHeight="1" x14ac:dyDescent="0.15"/>
    <row r="37697" s="76" customFormat="1" ht="21.95" customHeight="1" x14ac:dyDescent="0.15"/>
    <row r="37698" s="76" customFormat="1" ht="21.95" customHeight="1" x14ac:dyDescent="0.15"/>
    <row r="37699" s="76" customFormat="1" ht="21.95" customHeight="1" x14ac:dyDescent="0.15"/>
    <row r="37700" s="76" customFormat="1" ht="21.95" customHeight="1" x14ac:dyDescent="0.15"/>
    <row r="37701" s="76" customFormat="1" ht="21.95" customHeight="1" x14ac:dyDescent="0.15"/>
    <row r="37702" s="76" customFormat="1" ht="21.95" customHeight="1" x14ac:dyDescent="0.15"/>
    <row r="37703" s="76" customFormat="1" ht="21.95" customHeight="1" x14ac:dyDescent="0.15"/>
    <row r="37704" s="76" customFormat="1" ht="21.95" customHeight="1" x14ac:dyDescent="0.15"/>
    <row r="37705" s="76" customFormat="1" ht="21.95" customHeight="1" x14ac:dyDescent="0.15"/>
    <row r="37706" s="76" customFormat="1" ht="21.95" customHeight="1" x14ac:dyDescent="0.15"/>
    <row r="37707" s="76" customFormat="1" ht="21.95" customHeight="1" x14ac:dyDescent="0.15"/>
    <row r="37708" s="76" customFormat="1" ht="21.95" customHeight="1" x14ac:dyDescent="0.15"/>
    <row r="37709" s="76" customFormat="1" ht="21.95" customHeight="1" x14ac:dyDescent="0.15"/>
    <row r="37710" s="76" customFormat="1" ht="21.95" customHeight="1" x14ac:dyDescent="0.15"/>
    <row r="37711" s="76" customFormat="1" ht="21.95" customHeight="1" x14ac:dyDescent="0.15"/>
    <row r="37712" s="76" customFormat="1" ht="21.95" customHeight="1" x14ac:dyDescent="0.15"/>
    <row r="37713" s="76" customFormat="1" ht="21.95" customHeight="1" x14ac:dyDescent="0.15"/>
    <row r="37714" s="76" customFormat="1" ht="21.95" customHeight="1" x14ac:dyDescent="0.15"/>
    <row r="37715" s="76" customFormat="1" ht="21.95" customHeight="1" x14ac:dyDescent="0.15"/>
    <row r="37716" s="76" customFormat="1" ht="21.95" customHeight="1" x14ac:dyDescent="0.15"/>
    <row r="37717" s="76" customFormat="1" ht="21.95" customHeight="1" x14ac:dyDescent="0.15"/>
    <row r="37718" s="76" customFormat="1" ht="21.95" customHeight="1" x14ac:dyDescent="0.15"/>
    <row r="37719" s="76" customFormat="1" ht="21.95" customHeight="1" x14ac:dyDescent="0.15"/>
    <row r="37720" s="76" customFormat="1" ht="21.95" customHeight="1" x14ac:dyDescent="0.15"/>
    <row r="37721" s="76" customFormat="1" ht="35.1" customHeight="1" x14ac:dyDescent="0.15"/>
    <row r="37722" s="76" customFormat="1" ht="21.95" customHeight="1" x14ac:dyDescent="0.15"/>
    <row r="37723" s="76" customFormat="1" ht="21.95" customHeight="1" x14ac:dyDescent="0.15"/>
    <row r="37724" s="76" customFormat="1" ht="21.95" customHeight="1" x14ac:dyDescent="0.15"/>
    <row r="37725" s="76" customFormat="1" ht="21.95" customHeight="1" x14ac:dyDescent="0.15"/>
    <row r="37726" s="76" customFormat="1" ht="21.95" customHeight="1" x14ac:dyDescent="0.15"/>
    <row r="37727" s="76" customFormat="1" ht="21.95" customHeight="1" x14ac:dyDescent="0.15"/>
    <row r="37728" s="76" customFormat="1" ht="21.95" customHeight="1" x14ac:dyDescent="0.15"/>
    <row r="37729" s="76" customFormat="1" ht="21.95" customHeight="1" x14ac:dyDescent="0.15"/>
    <row r="37730" s="76" customFormat="1" ht="21.95" customHeight="1" x14ac:dyDescent="0.15"/>
    <row r="37731" s="76" customFormat="1" ht="21.95" customHeight="1" x14ac:dyDescent="0.15"/>
    <row r="37732" s="76" customFormat="1" ht="21.95" customHeight="1" x14ac:dyDescent="0.15"/>
    <row r="37733" s="76" customFormat="1" ht="21.95" customHeight="1" x14ac:dyDescent="0.15"/>
    <row r="37734" s="76" customFormat="1" ht="21.95" customHeight="1" x14ac:dyDescent="0.15"/>
    <row r="37735" s="76" customFormat="1" ht="21.95" customHeight="1" x14ac:dyDescent="0.15"/>
    <row r="37736" s="76" customFormat="1" ht="21.95" customHeight="1" x14ac:dyDescent="0.15"/>
    <row r="37737" s="76" customFormat="1" ht="21.95" customHeight="1" x14ac:dyDescent="0.15"/>
    <row r="37738" s="76" customFormat="1" ht="21.95" customHeight="1" x14ac:dyDescent="0.15"/>
    <row r="37739" s="76" customFormat="1" ht="21.95" customHeight="1" x14ac:dyDescent="0.15"/>
    <row r="37740" s="76" customFormat="1" ht="21.95" customHeight="1" x14ac:dyDescent="0.15"/>
    <row r="37741" s="76" customFormat="1" ht="21.95" customHeight="1" x14ac:dyDescent="0.15"/>
    <row r="37742" s="76" customFormat="1" ht="21.95" customHeight="1" x14ac:dyDescent="0.15"/>
    <row r="37743" s="76" customFormat="1" ht="21.95" customHeight="1" x14ac:dyDescent="0.15"/>
    <row r="37744" s="76" customFormat="1" ht="21.95" customHeight="1" x14ac:dyDescent="0.15"/>
    <row r="37745" spans="3:3" customFormat="1" ht="21.95" customHeight="1" x14ac:dyDescent="0.15"/>
    <row r="37746" spans="3:3" customFormat="1" ht="21.95" customHeight="1" x14ac:dyDescent="0.15"/>
    <row r="37747" spans="3:3" customFormat="1" ht="21.95" customHeight="1" x14ac:dyDescent="0.15">
      <c r="C37747" s="94"/>
    </row>
    <row r="37748" spans="3:3" customFormat="1" ht="21.95" customHeight="1" x14ac:dyDescent="0.15">
      <c r="C37748" s="94"/>
    </row>
    <row r="37749" spans="3:3" customFormat="1" ht="21.95" customHeight="1" x14ac:dyDescent="0.15"/>
    <row r="37750" spans="3:3" customFormat="1" ht="21.95" customHeight="1" x14ac:dyDescent="0.15"/>
    <row r="37751" spans="3:3" customFormat="1" ht="21.95" customHeight="1" x14ac:dyDescent="0.15"/>
    <row r="37752" spans="3:3" customFormat="1" ht="21.95" customHeight="1" x14ac:dyDescent="0.15"/>
    <row r="37753" spans="3:3" customFormat="1" ht="21.95" customHeight="1" x14ac:dyDescent="0.15"/>
    <row r="37754" spans="3:3" customFormat="1" ht="21.95" customHeight="1" x14ac:dyDescent="0.15"/>
    <row r="37755" spans="3:3" customFormat="1" ht="21.95" customHeight="1" x14ac:dyDescent="0.15"/>
    <row r="37756" spans="3:3" s="76" customFormat="1" ht="21.95" customHeight="1" x14ac:dyDescent="0.15"/>
    <row r="37757" spans="3:3" s="76" customFormat="1" ht="21.95" customHeight="1" x14ac:dyDescent="0.15"/>
    <row r="37758" spans="3:3" s="76" customFormat="1" ht="21.95" customHeight="1" x14ac:dyDescent="0.15"/>
    <row r="37759" spans="3:3" s="76" customFormat="1" ht="21.95" customHeight="1" x14ac:dyDescent="0.15"/>
    <row r="37760" spans="3:3" customFormat="1" ht="21.95" customHeight="1" x14ac:dyDescent="0.15"/>
    <row r="37761" customFormat="1" ht="21.95" customHeight="1" x14ac:dyDescent="0.15"/>
    <row r="37762" customFormat="1" ht="21.95" customHeight="1" x14ac:dyDescent="0.15"/>
    <row r="37763" customFormat="1" ht="21.95" customHeight="1" x14ac:dyDescent="0.15"/>
    <row r="37764" customFormat="1" ht="21.95" customHeight="1" x14ac:dyDescent="0.15"/>
    <row r="37765" customFormat="1" ht="21.95" customHeight="1" x14ac:dyDescent="0.15"/>
    <row r="37766" customFormat="1" ht="21.95" customHeight="1" x14ac:dyDescent="0.15"/>
    <row r="37767" customFormat="1" ht="21.95" customHeight="1" x14ac:dyDescent="0.15"/>
    <row r="37768" customFormat="1" ht="21.95" customHeight="1" x14ac:dyDescent="0.15"/>
    <row r="37769" customFormat="1" ht="21.95" customHeight="1" x14ac:dyDescent="0.15"/>
    <row r="37770" customFormat="1" ht="21.95" customHeight="1" x14ac:dyDescent="0.15"/>
    <row r="37771" customFormat="1" ht="32.1" customHeight="1" x14ac:dyDescent="0.15"/>
    <row r="37772" customFormat="1" ht="32.1" customHeight="1" x14ac:dyDescent="0.15"/>
    <row r="37773" customFormat="1" ht="32.1" customHeight="1" x14ac:dyDescent="0.15"/>
    <row r="37774" customFormat="1" ht="32.1" customHeight="1" x14ac:dyDescent="0.15"/>
    <row r="37775" customFormat="1" ht="32.1" customHeight="1" x14ac:dyDescent="0.15"/>
    <row r="37776" customFormat="1" ht="32.1" customHeight="1" x14ac:dyDescent="0.15"/>
    <row r="37777" s="76" customFormat="1" ht="32.1" customHeight="1" x14ac:dyDescent="0.15"/>
    <row r="37778" s="76" customFormat="1" ht="32.1" customHeight="1" x14ac:dyDescent="0.15"/>
    <row r="37779" s="76" customFormat="1" ht="32.1" customHeight="1" x14ac:dyDescent="0.15"/>
    <row r="37780" s="76" customFormat="1" ht="32.1" customHeight="1" x14ac:dyDescent="0.15"/>
    <row r="37781" s="76" customFormat="1" ht="21.95" customHeight="1" x14ac:dyDescent="0.15"/>
    <row r="37782" s="76" customFormat="1" ht="54" customHeight="1" x14ac:dyDescent="0.15"/>
    <row r="37783" s="76" customFormat="1" ht="21.95" customHeight="1" x14ac:dyDescent="0.15"/>
    <row r="37784" s="76" customFormat="1" ht="21.95" customHeight="1" x14ac:dyDescent="0.15"/>
    <row r="37785" s="76" customFormat="1" ht="21.95" customHeight="1" x14ac:dyDescent="0.15"/>
    <row r="37786" s="76" customFormat="1" ht="21.95" customHeight="1" x14ac:dyDescent="0.15"/>
    <row r="37787" s="76" customFormat="1" ht="21.95" customHeight="1" x14ac:dyDescent="0.15"/>
    <row r="37788" s="76" customFormat="1" ht="21.95" customHeight="1" x14ac:dyDescent="0.15"/>
    <row r="37789" s="76" customFormat="1" ht="21.95" customHeight="1" x14ac:dyDescent="0.15"/>
    <row r="37790" s="76" customFormat="1" ht="21.95" customHeight="1" x14ac:dyDescent="0.15"/>
    <row r="37791" s="76" customFormat="1" ht="21.95" customHeight="1" x14ac:dyDescent="0.15"/>
    <row r="37792" s="76" customFormat="1" ht="21.95" customHeight="1" x14ac:dyDescent="0.15"/>
    <row r="37793" s="76" customFormat="1" ht="21.95" customHeight="1" x14ac:dyDescent="0.15"/>
    <row r="37794" s="76" customFormat="1" ht="21.95" customHeight="1" x14ac:dyDescent="0.15"/>
    <row r="37795" s="76" customFormat="1" ht="21.95" customHeight="1" x14ac:dyDescent="0.15"/>
    <row r="37796" s="76" customFormat="1" ht="21.95" customHeight="1" x14ac:dyDescent="0.15"/>
    <row r="37797" s="76" customFormat="1" ht="21.95" customHeight="1" x14ac:dyDescent="0.15"/>
    <row r="37798" s="76" customFormat="1" ht="21.95" customHeight="1" x14ac:dyDescent="0.15"/>
    <row r="37799" s="76" customFormat="1" ht="21.95" customHeight="1" x14ac:dyDescent="0.15"/>
    <row r="37800" s="76" customFormat="1" ht="21.95" customHeight="1" x14ac:dyDescent="0.15"/>
    <row r="37801" s="76" customFormat="1" ht="21.95" customHeight="1" x14ac:dyDescent="0.15"/>
    <row r="37802" s="76" customFormat="1" ht="21.95" customHeight="1" x14ac:dyDescent="0.15"/>
    <row r="37803" s="76" customFormat="1" ht="21.95" customHeight="1" x14ac:dyDescent="0.15"/>
    <row r="37804" s="76" customFormat="1" ht="21.95" customHeight="1" x14ac:dyDescent="0.15"/>
    <row r="37805" s="76" customFormat="1" ht="21.95" customHeight="1" x14ac:dyDescent="0.15"/>
    <row r="37806" s="76" customFormat="1" ht="21.95" customHeight="1" x14ac:dyDescent="0.15"/>
    <row r="37807" s="76" customFormat="1" ht="21.95" customHeight="1" x14ac:dyDescent="0.15"/>
    <row r="37808" s="76" customFormat="1" ht="21.95" customHeight="1" x14ac:dyDescent="0.15"/>
    <row r="37809" s="76" customFormat="1" ht="21.95" customHeight="1" x14ac:dyDescent="0.15"/>
    <row r="37810" s="76" customFormat="1" ht="21.95" customHeight="1" x14ac:dyDescent="0.15"/>
    <row r="37811" s="76" customFormat="1" ht="21.95" customHeight="1" x14ac:dyDescent="0.15"/>
    <row r="37812" s="76" customFormat="1" ht="21.95" customHeight="1" x14ac:dyDescent="0.15"/>
    <row r="37813" s="76" customFormat="1" ht="21.95" customHeight="1" x14ac:dyDescent="0.15"/>
    <row r="37814" s="76" customFormat="1" ht="21.95" customHeight="1" x14ac:dyDescent="0.15"/>
    <row r="37815" s="76" customFormat="1" ht="21.95" customHeight="1" x14ac:dyDescent="0.15"/>
    <row r="37816" s="76" customFormat="1" ht="21.95" customHeight="1" x14ac:dyDescent="0.15"/>
    <row r="37817" s="76" customFormat="1" ht="21.95" customHeight="1" x14ac:dyDescent="0.15"/>
    <row r="37818" s="76" customFormat="1" ht="21.95" customHeight="1" x14ac:dyDescent="0.15"/>
    <row r="37819" s="76" customFormat="1" ht="21.95" customHeight="1" x14ac:dyDescent="0.15"/>
    <row r="37820" s="76" customFormat="1" ht="21.95" customHeight="1" x14ac:dyDescent="0.15"/>
    <row r="37821" s="76" customFormat="1" ht="21.95" customHeight="1" x14ac:dyDescent="0.15"/>
    <row r="37822" s="76" customFormat="1" ht="21.95" customHeight="1" x14ac:dyDescent="0.15"/>
    <row r="37823" s="76" customFormat="1" ht="21.95" customHeight="1" x14ac:dyDescent="0.15"/>
    <row r="37824" s="76" customFormat="1" ht="21.95" customHeight="1" x14ac:dyDescent="0.15"/>
    <row r="37825" s="76" customFormat="1" ht="21.95" customHeight="1" x14ac:dyDescent="0.15"/>
    <row r="37826" s="76" customFormat="1" ht="21.95" customHeight="1" x14ac:dyDescent="0.15"/>
    <row r="37827" s="76" customFormat="1" ht="21.95" customHeight="1" x14ac:dyDescent="0.15"/>
    <row r="37828" s="76" customFormat="1" ht="21.95" customHeight="1" x14ac:dyDescent="0.15"/>
    <row r="37829" s="76" customFormat="1" ht="21.95" customHeight="1" x14ac:dyDescent="0.15"/>
    <row r="37830" s="76" customFormat="1" ht="21.95" customHeight="1" x14ac:dyDescent="0.15"/>
    <row r="37831" s="76" customFormat="1" ht="21.95" customHeight="1" x14ac:dyDescent="0.15"/>
    <row r="37832" s="76" customFormat="1" ht="21.95" customHeight="1" x14ac:dyDescent="0.15"/>
    <row r="37833" s="76" customFormat="1" ht="35.1" customHeight="1" x14ac:dyDescent="0.15"/>
    <row r="37834" s="76" customFormat="1" ht="21.95" customHeight="1" x14ac:dyDescent="0.15"/>
    <row r="37835" s="76" customFormat="1" ht="21.95" customHeight="1" x14ac:dyDescent="0.15"/>
    <row r="37836" s="76" customFormat="1" ht="21.95" customHeight="1" x14ac:dyDescent="0.15"/>
    <row r="37837" s="76" customFormat="1" ht="21.95" customHeight="1" x14ac:dyDescent="0.15"/>
    <row r="37838" s="76" customFormat="1" ht="21.95" customHeight="1" x14ac:dyDescent="0.15"/>
    <row r="37839" s="76" customFormat="1" ht="21.95" customHeight="1" x14ac:dyDescent="0.15"/>
    <row r="37840" s="76" customFormat="1" ht="21.95" customHeight="1" x14ac:dyDescent="0.15"/>
    <row r="37841" s="76" customFormat="1" ht="21.95" customHeight="1" x14ac:dyDescent="0.15"/>
    <row r="37842" s="76" customFormat="1" ht="21.95" customHeight="1" x14ac:dyDescent="0.15"/>
    <row r="37843" s="76" customFormat="1" ht="21.95" customHeight="1" x14ac:dyDescent="0.15"/>
    <row r="37844" s="76" customFormat="1" ht="21.95" customHeight="1" x14ac:dyDescent="0.15"/>
    <row r="37845" s="76" customFormat="1" ht="21.95" customHeight="1" x14ac:dyDescent="0.15"/>
    <row r="37846" s="76" customFormat="1" ht="21.95" customHeight="1" x14ac:dyDescent="0.15"/>
    <row r="37847" s="76" customFormat="1" ht="21.95" customHeight="1" x14ac:dyDescent="0.15"/>
    <row r="37848" s="76" customFormat="1" ht="21.95" customHeight="1" x14ac:dyDescent="0.15"/>
    <row r="37849" s="76" customFormat="1" ht="21.95" customHeight="1" x14ac:dyDescent="0.15"/>
    <row r="37850" s="76" customFormat="1" ht="21.95" customHeight="1" x14ac:dyDescent="0.15"/>
    <row r="37851" s="76" customFormat="1" ht="21.95" customHeight="1" x14ac:dyDescent="0.15"/>
    <row r="37852" s="76" customFormat="1" ht="21.95" customHeight="1" x14ac:dyDescent="0.15"/>
    <row r="37853" s="76" customFormat="1" ht="21.95" customHeight="1" x14ac:dyDescent="0.15"/>
    <row r="37854" s="76" customFormat="1" ht="21.95" customHeight="1" x14ac:dyDescent="0.15"/>
    <row r="37855" s="76" customFormat="1" ht="21.95" customHeight="1" x14ac:dyDescent="0.15"/>
    <row r="37856" s="76" customFormat="1" ht="21.95" customHeight="1" x14ac:dyDescent="0.15"/>
    <row r="37857" spans="3:3" customFormat="1" ht="21.95" customHeight="1" x14ac:dyDescent="0.15"/>
    <row r="37858" spans="3:3" customFormat="1" ht="21.95" customHeight="1" x14ac:dyDescent="0.15"/>
    <row r="37859" spans="3:3" customFormat="1" ht="21.95" customHeight="1" x14ac:dyDescent="0.15">
      <c r="C37859" s="94"/>
    </row>
    <row r="37860" spans="3:3" customFormat="1" ht="21.95" customHeight="1" x14ac:dyDescent="0.15">
      <c r="C37860" s="94"/>
    </row>
    <row r="37861" spans="3:3" customFormat="1" ht="21.95" customHeight="1" x14ac:dyDescent="0.15"/>
    <row r="37862" spans="3:3" customFormat="1" ht="21.95" customHeight="1" x14ac:dyDescent="0.15"/>
    <row r="37863" spans="3:3" customFormat="1" ht="21.95" customHeight="1" x14ac:dyDescent="0.15"/>
    <row r="37864" spans="3:3" customFormat="1" ht="21.95" customHeight="1" x14ac:dyDescent="0.15"/>
    <row r="37865" spans="3:3" customFormat="1" ht="21.95" customHeight="1" x14ac:dyDescent="0.15"/>
    <row r="37866" spans="3:3" customFormat="1" ht="21.95" customHeight="1" x14ac:dyDescent="0.15"/>
    <row r="37867" spans="3:3" customFormat="1" ht="21.95" customHeight="1" x14ac:dyDescent="0.15"/>
    <row r="37868" spans="3:3" s="76" customFormat="1" ht="21.95" customHeight="1" x14ac:dyDescent="0.15"/>
    <row r="37869" spans="3:3" s="76" customFormat="1" ht="21.95" customHeight="1" x14ac:dyDescent="0.15"/>
    <row r="37870" spans="3:3" s="76" customFormat="1" ht="21.95" customHeight="1" x14ac:dyDescent="0.15"/>
    <row r="37871" spans="3:3" s="76" customFormat="1" ht="21.95" customHeight="1" x14ac:dyDescent="0.15"/>
    <row r="37872" spans="3:3" customFormat="1" ht="21.95" customHeight="1" x14ac:dyDescent="0.15"/>
    <row r="37873" customFormat="1" ht="21.95" customHeight="1" x14ac:dyDescent="0.15"/>
    <row r="37874" customFormat="1" ht="21.95" customHeight="1" x14ac:dyDescent="0.15"/>
    <row r="37875" customFormat="1" ht="21.95" customHeight="1" x14ac:dyDescent="0.15"/>
    <row r="37876" customFormat="1" ht="21.95" customHeight="1" x14ac:dyDescent="0.15"/>
    <row r="37877" customFormat="1" ht="21.95" customHeight="1" x14ac:dyDescent="0.15"/>
    <row r="37878" customFormat="1" ht="21.95" customHeight="1" x14ac:dyDescent="0.15"/>
    <row r="37879" customFormat="1" ht="21.95" customHeight="1" x14ac:dyDescent="0.15"/>
    <row r="37880" customFormat="1" ht="21.95" customHeight="1" x14ac:dyDescent="0.15"/>
    <row r="37881" customFormat="1" ht="21.95" customHeight="1" x14ac:dyDescent="0.15"/>
    <row r="37882" customFormat="1" ht="21.95" customHeight="1" x14ac:dyDescent="0.15"/>
    <row r="37883" customFormat="1" ht="32.1" customHeight="1" x14ac:dyDescent="0.15"/>
    <row r="37884" customFormat="1" ht="32.1" customHeight="1" x14ac:dyDescent="0.15"/>
    <row r="37885" customFormat="1" ht="32.1" customHeight="1" x14ac:dyDescent="0.15"/>
    <row r="37886" customFormat="1" ht="32.1" customHeight="1" x14ac:dyDescent="0.15"/>
    <row r="37887" customFormat="1" ht="32.1" customHeight="1" x14ac:dyDescent="0.15"/>
    <row r="37888" customFormat="1" ht="32.1" customHeight="1" x14ac:dyDescent="0.15"/>
    <row r="37889" s="76" customFormat="1" ht="32.1" customHeight="1" x14ac:dyDescent="0.15"/>
    <row r="37890" s="76" customFormat="1" ht="32.1" customHeight="1" x14ac:dyDescent="0.15"/>
    <row r="37891" s="76" customFormat="1" ht="32.1" customHeight="1" x14ac:dyDescent="0.15"/>
    <row r="37892" s="76" customFormat="1" ht="32.1" customHeight="1" x14ac:dyDescent="0.15"/>
    <row r="37893" s="76" customFormat="1" ht="21.95" customHeight="1" x14ac:dyDescent="0.15"/>
    <row r="37894" s="76" customFormat="1" ht="54" customHeight="1" x14ac:dyDescent="0.15"/>
    <row r="37895" s="76" customFormat="1" ht="21.95" customHeight="1" x14ac:dyDescent="0.15"/>
    <row r="37896" s="76" customFormat="1" ht="21.95" customHeight="1" x14ac:dyDescent="0.15"/>
    <row r="37897" s="76" customFormat="1" ht="21.95" customHeight="1" x14ac:dyDescent="0.15"/>
    <row r="37898" s="76" customFormat="1" ht="21.95" customHeight="1" x14ac:dyDescent="0.15"/>
    <row r="37899" s="76" customFormat="1" ht="21.95" customHeight="1" x14ac:dyDescent="0.15"/>
    <row r="37900" s="76" customFormat="1" ht="21.95" customHeight="1" x14ac:dyDescent="0.15"/>
    <row r="37901" s="76" customFormat="1" ht="21.95" customHeight="1" x14ac:dyDescent="0.15"/>
    <row r="37902" s="76" customFormat="1" ht="21.95" customHeight="1" x14ac:dyDescent="0.15"/>
    <row r="37903" s="76" customFormat="1" ht="21.95" customHeight="1" x14ac:dyDescent="0.15"/>
    <row r="37904" s="76" customFormat="1" ht="21.95" customHeight="1" x14ac:dyDescent="0.15"/>
    <row r="37905" s="76" customFormat="1" ht="21.95" customHeight="1" x14ac:dyDescent="0.15"/>
    <row r="37906" s="76" customFormat="1" ht="21.95" customHeight="1" x14ac:dyDescent="0.15"/>
    <row r="37907" s="76" customFormat="1" ht="21.95" customHeight="1" x14ac:dyDescent="0.15"/>
    <row r="37908" s="76" customFormat="1" ht="21.95" customHeight="1" x14ac:dyDescent="0.15"/>
    <row r="37909" s="76" customFormat="1" ht="21.95" customHeight="1" x14ac:dyDescent="0.15"/>
    <row r="37910" s="76" customFormat="1" ht="21.95" customHeight="1" x14ac:dyDescent="0.15"/>
    <row r="37911" s="76" customFormat="1" ht="21.95" customHeight="1" x14ac:dyDescent="0.15"/>
    <row r="37912" s="76" customFormat="1" ht="21.95" customHeight="1" x14ac:dyDescent="0.15"/>
    <row r="37913" s="76" customFormat="1" ht="21.95" customHeight="1" x14ac:dyDescent="0.15"/>
    <row r="37914" s="76" customFormat="1" ht="21.95" customHeight="1" x14ac:dyDescent="0.15"/>
    <row r="37915" s="76" customFormat="1" ht="21.95" customHeight="1" x14ac:dyDescent="0.15"/>
    <row r="37916" s="76" customFormat="1" ht="21.95" customHeight="1" x14ac:dyDescent="0.15"/>
    <row r="37917" s="76" customFormat="1" ht="21.95" customHeight="1" x14ac:dyDescent="0.15"/>
    <row r="37918" s="76" customFormat="1" ht="21.95" customHeight="1" x14ac:dyDescent="0.15"/>
    <row r="37919" s="76" customFormat="1" ht="21.95" customHeight="1" x14ac:dyDescent="0.15"/>
    <row r="37920" s="76" customFormat="1" ht="21.95" customHeight="1" x14ac:dyDescent="0.15"/>
    <row r="37921" s="76" customFormat="1" ht="21.95" customHeight="1" x14ac:dyDescent="0.15"/>
    <row r="37922" s="76" customFormat="1" ht="21.95" customHeight="1" x14ac:dyDescent="0.15"/>
    <row r="37923" s="76" customFormat="1" ht="21.95" customHeight="1" x14ac:dyDescent="0.15"/>
    <row r="37924" s="76" customFormat="1" ht="21.95" customHeight="1" x14ac:dyDescent="0.15"/>
    <row r="37925" s="76" customFormat="1" ht="21.95" customHeight="1" x14ac:dyDescent="0.15"/>
    <row r="37926" s="76" customFormat="1" ht="21.95" customHeight="1" x14ac:dyDescent="0.15"/>
    <row r="37927" s="76" customFormat="1" ht="21.95" customHeight="1" x14ac:dyDescent="0.15"/>
    <row r="37928" s="76" customFormat="1" ht="21.95" customHeight="1" x14ac:dyDescent="0.15"/>
    <row r="37929" s="76" customFormat="1" ht="21.95" customHeight="1" x14ac:dyDescent="0.15"/>
    <row r="37930" s="76" customFormat="1" ht="21.95" customHeight="1" x14ac:dyDescent="0.15"/>
    <row r="37931" s="76" customFormat="1" ht="21.95" customHeight="1" x14ac:dyDescent="0.15"/>
    <row r="37932" s="76" customFormat="1" ht="21.95" customHeight="1" x14ac:dyDescent="0.15"/>
    <row r="37933" s="76" customFormat="1" ht="21.95" customHeight="1" x14ac:dyDescent="0.15"/>
    <row r="37934" s="76" customFormat="1" ht="21.95" customHeight="1" x14ac:dyDescent="0.15"/>
    <row r="37935" s="76" customFormat="1" ht="21.95" customHeight="1" x14ac:dyDescent="0.15"/>
    <row r="37936" s="76" customFormat="1" ht="21.95" customHeight="1" x14ac:dyDescent="0.15"/>
    <row r="37937" s="76" customFormat="1" ht="21.95" customHeight="1" x14ac:dyDescent="0.15"/>
    <row r="37938" s="76" customFormat="1" ht="21.95" customHeight="1" x14ac:dyDescent="0.15"/>
    <row r="37939" s="76" customFormat="1" ht="21.95" customHeight="1" x14ac:dyDescent="0.15"/>
    <row r="37940" s="76" customFormat="1" ht="21.95" customHeight="1" x14ac:dyDescent="0.15"/>
    <row r="37941" s="76" customFormat="1" ht="21.95" customHeight="1" x14ac:dyDescent="0.15"/>
    <row r="37942" s="76" customFormat="1" ht="21.95" customHeight="1" x14ac:dyDescent="0.15"/>
    <row r="37943" s="76" customFormat="1" ht="21.95" customHeight="1" x14ac:dyDescent="0.15"/>
    <row r="37944" s="76" customFormat="1" ht="21.95" customHeight="1" x14ac:dyDescent="0.15"/>
    <row r="37945" s="76" customFormat="1" ht="35.1" customHeight="1" x14ac:dyDescent="0.15"/>
    <row r="37946" s="76" customFormat="1" ht="21.95" customHeight="1" x14ac:dyDescent="0.15"/>
    <row r="37947" s="76" customFormat="1" ht="21.95" customHeight="1" x14ac:dyDescent="0.15"/>
    <row r="37948" s="76" customFormat="1" ht="21.95" customHeight="1" x14ac:dyDescent="0.15"/>
    <row r="37949" s="76" customFormat="1" ht="21.95" customHeight="1" x14ac:dyDescent="0.15"/>
    <row r="37950" s="76" customFormat="1" ht="21.95" customHeight="1" x14ac:dyDescent="0.15"/>
    <row r="37951" s="76" customFormat="1" ht="21.95" customHeight="1" x14ac:dyDescent="0.15"/>
    <row r="37952" s="76" customFormat="1" ht="21.95" customHeight="1" x14ac:dyDescent="0.15"/>
    <row r="37953" s="76" customFormat="1" ht="21.95" customHeight="1" x14ac:dyDescent="0.15"/>
    <row r="37954" s="76" customFormat="1" ht="21.95" customHeight="1" x14ac:dyDescent="0.15"/>
    <row r="37955" s="76" customFormat="1" ht="21.95" customHeight="1" x14ac:dyDescent="0.15"/>
    <row r="37956" s="76" customFormat="1" ht="21.95" customHeight="1" x14ac:dyDescent="0.15"/>
    <row r="37957" s="76" customFormat="1" ht="21.95" customHeight="1" x14ac:dyDescent="0.15"/>
    <row r="37958" s="76" customFormat="1" ht="21.95" customHeight="1" x14ac:dyDescent="0.15"/>
    <row r="37959" s="76" customFormat="1" ht="21.95" customHeight="1" x14ac:dyDescent="0.15"/>
    <row r="37960" s="76" customFormat="1" ht="21.95" customHeight="1" x14ac:dyDescent="0.15"/>
    <row r="37961" s="76" customFormat="1" ht="21.95" customHeight="1" x14ac:dyDescent="0.15"/>
    <row r="37962" s="76" customFormat="1" ht="21.95" customHeight="1" x14ac:dyDescent="0.15"/>
    <row r="37963" s="76" customFormat="1" ht="21.95" customHeight="1" x14ac:dyDescent="0.15"/>
    <row r="37964" s="76" customFormat="1" ht="21.95" customHeight="1" x14ac:dyDescent="0.15"/>
    <row r="37965" s="76" customFormat="1" ht="21.95" customHeight="1" x14ac:dyDescent="0.15"/>
    <row r="37966" s="76" customFormat="1" ht="21.95" customHeight="1" x14ac:dyDescent="0.15"/>
    <row r="37967" s="76" customFormat="1" ht="21.95" customHeight="1" x14ac:dyDescent="0.15"/>
    <row r="37968" s="76" customFormat="1" ht="21.95" customHeight="1" x14ac:dyDescent="0.15"/>
    <row r="37969" spans="3:3" customFormat="1" ht="21.95" customHeight="1" x14ac:dyDescent="0.15"/>
    <row r="37970" spans="3:3" customFormat="1" ht="21.95" customHeight="1" x14ac:dyDescent="0.15"/>
    <row r="37971" spans="3:3" customFormat="1" ht="21.95" customHeight="1" x14ac:dyDescent="0.15">
      <c r="C37971" s="94"/>
    </row>
    <row r="37972" spans="3:3" customFormat="1" ht="21.95" customHeight="1" x14ac:dyDescent="0.15">
      <c r="C37972" s="94"/>
    </row>
    <row r="37973" spans="3:3" customFormat="1" ht="21.95" customHeight="1" x14ac:dyDescent="0.15"/>
    <row r="37974" spans="3:3" customFormat="1" ht="21.95" customHeight="1" x14ac:dyDescent="0.15"/>
    <row r="37975" spans="3:3" customFormat="1" ht="21.95" customHeight="1" x14ac:dyDescent="0.15"/>
    <row r="37976" spans="3:3" customFormat="1" ht="21.95" customHeight="1" x14ac:dyDescent="0.15"/>
    <row r="37977" spans="3:3" customFormat="1" ht="21.95" customHeight="1" x14ac:dyDescent="0.15"/>
    <row r="37978" spans="3:3" customFormat="1" ht="21.95" customHeight="1" x14ac:dyDescent="0.15"/>
    <row r="37979" spans="3:3" customFormat="1" ht="21.95" customHeight="1" x14ac:dyDescent="0.15"/>
    <row r="37980" spans="3:3" s="76" customFormat="1" ht="21.95" customHeight="1" x14ac:dyDescent="0.15"/>
    <row r="37981" spans="3:3" s="76" customFormat="1" ht="21.95" customHeight="1" x14ac:dyDescent="0.15"/>
    <row r="37982" spans="3:3" s="76" customFormat="1" ht="21.95" customHeight="1" x14ac:dyDescent="0.15"/>
    <row r="37983" spans="3:3" s="76" customFormat="1" ht="21.95" customHeight="1" x14ac:dyDescent="0.15"/>
    <row r="37984" spans="3:3" customFormat="1" ht="21.95" customHeight="1" x14ac:dyDescent="0.15"/>
    <row r="37985" customFormat="1" ht="21.95" customHeight="1" x14ac:dyDescent="0.15"/>
    <row r="37986" customFormat="1" ht="21.95" customHeight="1" x14ac:dyDescent="0.15"/>
    <row r="37987" customFormat="1" ht="21.95" customHeight="1" x14ac:dyDescent="0.15"/>
    <row r="37988" customFormat="1" ht="21.95" customHeight="1" x14ac:dyDescent="0.15"/>
    <row r="37989" customFormat="1" ht="21.95" customHeight="1" x14ac:dyDescent="0.15"/>
    <row r="37990" customFormat="1" ht="21.95" customHeight="1" x14ac:dyDescent="0.15"/>
    <row r="37991" customFormat="1" ht="21.95" customHeight="1" x14ac:dyDescent="0.15"/>
    <row r="37992" customFormat="1" ht="21.95" customHeight="1" x14ac:dyDescent="0.15"/>
    <row r="37993" customFormat="1" ht="21.95" customHeight="1" x14ac:dyDescent="0.15"/>
    <row r="37994" customFormat="1" ht="21.95" customHeight="1" x14ac:dyDescent="0.15"/>
    <row r="37995" customFormat="1" ht="32.1" customHeight="1" x14ac:dyDescent="0.15"/>
    <row r="37996" customFormat="1" ht="32.1" customHeight="1" x14ac:dyDescent="0.15"/>
    <row r="37997" customFormat="1" ht="32.1" customHeight="1" x14ac:dyDescent="0.15"/>
    <row r="37998" customFormat="1" ht="32.1" customHeight="1" x14ac:dyDescent="0.15"/>
    <row r="37999" customFormat="1" ht="32.1" customHeight="1" x14ac:dyDescent="0.15"/>
    <row r="38000" customFormat="1" ht="32.1" customHeight="1" x14ac:dyDescent="0.15"/>
    <row r="38001" s="76" customFormat="1" ht="32.1" customHeight="1" x14ac:dyDescent="0.15"/>
    <row r="38002" s="76" customFormat="1" ht="32.1" customHeight="1" x14ac:dyDescent="0.15"/>
    <row r="38003" s="76" customFormat="1" ht="32.1" customHeight="1" x14ac:dyDescent="0.15"/>
    <row r="38004" s="76" customFormat="1" ht="32.1" customHeight="1" x14ac:dyDescent="0.15"/>
    <row r="38005" s="76" customFormat="1" ht="21.95" customHeight="1" x14ac:dyDescent="0.15"/>
    <row r="38006" s="76" customFormat="1" ht="54" customHeight="1" x14ac:dyDescent="0.15"/>
    <row r="38007" s="76" customFormat="1" ht="21.95" customHeight="1" x14ac:dyDescent="0.15"/>
    <row r="38008" s="76" customFormat="1" ht="21.95" customHeight="1" x14ac:dyDescent="0.15"/>
    <row r="38009" s="76" customFormat="1" ht="21.95" customHeight="1" x14ac:dyDescent="0.15"/>
    <row r="38010" s="76" customFormat="1" ht="21.95" customHeight="1" x14ac:dyDescent="0.15"/>
    <row r="38011" s="76" customFormat="1" ht="21.95" customHeight="1" x14ac:dyDescent="0.15"/>
    <row r="38012" s="76" customFormat="1" ht="21.95" customHeight="1" x14ac:dyDescent="0.15"/>
    <row r="38013" s="76" customFormat="1" ht="21.95" customHeight="1" x14ac:dyDescent="0.15"/>
    <row r="38014" s="76" customFormat="1" ht="21.95" customHeight="1" x14ac:dyDescent="0.15"/>
    <row r="38015" s="76" customFormat="1" ht="21.95" customHeight="1" x14ac:dyDescent="0.15"/>
    <row r="38016" s="76" customFormat="1" ht="21.95" customHeight="1" x14ac:dyDescent="0.15"/>
    <row r="38017" s="76" customFormat="1" ht="21.95" customHeight="1" x14ac:dyDescent="0.15"/>
    <row r="38018" s="76" customFormat="1" ht="21.95" customHeight="1" x14ac:dyDescent="0.15"/>
    <row r="38019" s="76" customFormat="1" ht="21.95" customHeight="1" x14ac:dyDescent="0.15"/>
    <row r="38020" s="76" customFormat="1" ht="21.95" customHeight="1" x14ac:dyDescent="0.15"/>
    <row r="38021" s="76" customFormat="1" ht="21.95" customHeight="1" x14ac:dyDescent="0.15"/>
    <row r="38022" s="76" customFormat="1" ht="21.95" customHeight="1" x14ac:dyDescent="0.15"/>
    <row r="38023" s="76" customFormat="1" ht="21.95" customHeight="1" x14ac:dyDescent="0.15"/>
    <row r="38024" s="76" customFormat="1" ht="21.95" customHeight="1" x14ac:dyDescent="0.15"/>
    <row r="38025" s="76" customFormat="1" ht="21.95" customHeight="1" x14ac:dyDescent="0.15"/>
    <row r="38026" s="76" customFormat="1" ht="21.95" customHeight="1" x14ac:dyDescent="0.15"/>
    <row r="38027" s="76" customFormat="1" ht="21.95" customHeight="1" x14ac:dyDescent="0.15"/>
    <row r="38028" s="76" customFormat="1" ht="21.95" customHeight="1" x14ac:dyDescent="0.15"/>
    <row r="38029" s="76" customFormat="1" ht="21.95" customHeight="1" x14ac:dyDescent="0.15"/>
    <row r="38030" s="76" customFormat="1" ht="21.95" customHeight="1" x14ac:dyDescent="0.15"/>
    <row r="38031" s="76" customFormat="1" ht="21.95" customHeight="1" x14ac:dyDescent="0.15"/>
    <row r="38032" s="76" customFormat="1" ht="21.95" customHeight="1" x14ac:dyDescent="0.15"/>
    <row r="38033" s="76" customFormat="1" ht="21.95" customHeight="1" x14ac:dyDescent="0.15"/>
    <row r="38034" s="76" customFormat="1" ht="21.95" customHeight="1" x14ac:dyDescent="0.15"/>
    <row r="38035" s="76" customFormat="1" ht="21.95" customHeight="1" x14ac:dyDescent="0.15"/>
    <row r="38036" s="76" customFormat="1" ht="21.95" customHeight="1" x14ac:dyDescent="0.15"/>
    <row r="38037" s="76" customFormat="1" ht="21.95" customHeight="1" x14ac:dyDescent="0.15"/>
    <row r="38038" s="76" customFormat="1" ht="21.95" customHeight="1" x14ac:dyDescent="0.15"/>
    <row r="38039" s="76" customFormat="1" ht="21.95" customHeight="1" x14ac:dyDescent="0.15"/>
    <row r="38040" s="76" customFormat="1" ht="21.95" customHeight="1" x14ac:dyDescent="0.15"/>
    <row r="38041" s="76" customFormat="1" ht="21.95" customHeight="1" x14ac:dyDescent="0.15"/>
    <row r="38042" s="76" customFormat="1" ht="21.95" customHeight="1" x14ac:dyDescent="0.15"/>
    <row r="38043" s="76" customFormat="1" ht="21.95" customHeight="1" x14ac:dyDescent="0.15"/>
    <row r="38044" s="76" customFormat="1" ht="21.95" customHeight="1" x14ac:dyDescent="0.15"/>
    <row r="38045" s="76" customFormat="1" ht="21.95" customHeight="1" x14ac:dyDescent="0.15"/>
    <row r="38046" s="76" customFormat="1" ht="21.95" customHeight="1" x14ac:dyDescent="0.15"/>
    <row r="38047" s="76" customFormat="1" ht="21.95" customHeight="1" x14ac:dyDescent="0.15"/>
    <row r="38048" s="76" customFormat="1" ht="21.95" customHeight="1" x14ac:dyDescent="0.15"/>
    <row r="38049" s="76" customFormat="1" ht="21.95" customHeight="1" x14ac:dyDescent="0.15"/>
    <row r="38050" s="76" customFormat="1" ht="21.95" customHeight="1" x14ac:dyDescent="0.15"/>
    <row r="38051" s="76" customFormat="1" ht="21.95" customHeight="1" x14ac:dyDescent="0.15"/>
    <row r="38052" s="76" customFormat="1" ht="21.95" customHeight="1" x14ac:dyDescent="0.15"/>
    <row r="38053" s="76" customFormat="1" ht="21.95" customHeight="1" x14ac:dyDescent="0.15"/>
    <row r="38054" s="76" customFormat="1" ht="21.95" customHeight="1" x14ac:dyDescent="0.15"/>
    <row r="38055" s="76" customFormat="1" ht="21.95" customHeight="1" x14ac:dyDescent="0.15"/>
    <row r="38056" s="76" customFormat="1" ht="21.95" customHeight="1" x14ac:dyDescent="0.15"/>
    <row r="38057" s="76" customFormat="1" ht="35.1" customHeight="1" x14ac:dyDescent="0.15"/>
    <row r="38058" s="76" customFormat="1" ht="21.95" customHeight="1" x14ac:dyDescent="0.15"/>
    <row r="38059" s="76" customFormat="1" ht="21.95" customHeight="1" x14ac:dyDescent="0.15"/>
    <row r="38060" s="76" customFormat="1" ht="21.95" customHeight="1" x14ac:dyDescent="0.15"/>
    <row r="38061" s="76" customFormat="1" ht="21.95" customHeight="1" x14ac:dyDescent="0.15"/>
    <row r="38062" s="76" customFormat="1" ht="21.95" customHeight="1" x14ac:dyDescent="0.15"/>
    <row r="38063" s="76" customFormat="1" ht="21.95" customHeight="1" x14ac:dyDescent="0.15"/>
    <row r="38064" s="76" customFormat="1" ht="21.95" customHeight="1" x14ac:dyDescent="0.15"/>
    <row r="38065" s="76" customFormat="1" ht="21.95" customHeight="1" x14ac:dyDescent="0.15"/>
    <row r="38066" s="76" customFormat="1" ht="21.95" customHeight="1" x14ac:dyDescent="0.15"/>
    <row r="38067" s="76" customFormat="1" ht="21.95" customHeight="1" x14ac:dyDescent="0.15"/>
    <row r="38068" s="76" customFormat="1" ht="21.95" customHeight="1" x14ac:dyDescent="0.15"/>
    <row r="38069" s="76" customFormat="1" ht="21.95" customHeight="1" x14ac:dyDescent="0.15"/>
    <row r="38070" s="76" customFormat="1" ht="21.95" customHeight="1" x14ac:dyDescent="0.15"/>
    <row r="38071" s="76" customFormat="1" ht="21.95" customHeight="1" x14ac:dyDescent="0.15"/>
    <row r="38072" s="76" customFormat="1" ht="21.95" customHeight="1" x14ac:dyDescent="0.15"/>
    <row r="38073" s="76" customFormat="1" ht="21.95" customHeight="1" x14ac:dyDescent="0.15"/>
    <row r="38074" s="76" customFormat="1" ht="21.95" customHeight="1" x14ac:dyDescent="0.15"/>
    <row r="38075" s="76" customFormat="1" ht="21.95" customHeight="1" x14ac:dyDescent="0.15"/>
    <row r="38076" s="76" customFormat="1" ht="21.95" customHeight="1" x14ac:dyDescent="0.15"/>
    <row r="38077" s="76" customFormat="1" ht="21.95" customHeight="1" x14ac:dyDescent="0.15"/>
    <row r="38078" s="76" customFormat="1" ht="21.95" customHeight="1" x14ac:dyDescent="0.15"/>
    <row r="38079" s="76" customFormat="1" ht="21.95" customHeight="1" x14ac:dyDescent="0.15"/>
    <row r="38080" s="76" customFormat="1" ht="21.95" customHeight="1" x14ac:dyDescent="0.15"/>
    <row r="38081" spans="3:3" customFormat="1" ht="21.95" customHeight="1" x14ac:dyDescent="0.15"/>
    <row r="38082" spans="3:3" customFormat="1" ht="21.95" customHeight="1" x14ac:dyDescent="0.15"/>
    <row r="38083" spans="3:3" customFormat="1" ht="21.95" customHeight="1" x14ac:dyDescent="0.15">
      <c r="C38083" s="94"/>
    </row>
    <row r="38084" spans="3:3" customFormat="1" ht="21.95" customHeight="1" x14ac:dyDescent="0.15">
      <c r="C38084" s="94"/>
    </row>
    <row r="38085" spans="3:3" customFormat="1" ht="21.95" customHeight="1" x14ac:dyDescent="0.15"/>
    <row r="38086" spans="3:3" customFormat="1" ht="21.95" customHeight="1" x14ac:dyDescent="0.15"/>
    <row r="38087" spans="3:3" customFormat="1" ht="21.95" customHeight="1" x14ac:dyDescent="0.15"/>
    <row r="38088" spans="3:3" customFormat="1" ht="21.95" customHeight="1" x14ac:dyDescent="0.15"/>
    <row r="38089" spans="3:3" customFormat="1" ht="21.95" customHeight="1" x14ac:dyDescent="0.15"/>
    <row r="38090" spans="3:3" customFormat="1" ht="21.95" customHeight="1" x14ac:dyDescent="0.15"/>
    <row r="38091" spans="3:3" customFormat="1" ht="21.95" customHeight="1" x14ac:dyDescent="0.15"/>
    <row r="38092" spans="3:3" s="76" customFormat="1" ht="21.95" customHeight="1" x14ac:dyDescent="0.15"/>
    <row r="38093" spans="3:3" s="76" customFormat="1" ht="21.95" customHeight="1" x14ac:dyDescent="0.15"/>
    <row r="38094" spans="3:3" s="76" customFormat="1" ht="21.95" customHeight="1" x14ac:dyDescent="0.15"/>
    <row r="38095" spans="3:3" s="76" customFormat="1" ht="21.95" customHeight="1" x14ac:dyDescent="0.15"/>
    <row r="38096" spans="3:3" customFormat="1" ht="21.95" customHeight="1" x14ac:dyDescent="0.15"/>
    <row r="38097" customFormat="1" ht="21.95" customHeight="1" x14ac:dyDescent="0.15"/>
    <row r="38098" customFormat="1" ht="21.95" customHeight="1" x14ac:dyDescent="0.15"/>
    <row r="38099" customFormat="1" ht="21.95" customHeight="1" x14ac:dyDescent="0.15"/>
    <row r="38100" customFormat="1" ht="21.95" customHeight="1" x14ac:dyDescent="0.15"/>
    <row r="38101" customFormat="1" ht="21.95" customHeight="1" x14ac:dyDescent="0.15"/>
    <row r="38102" customFormat="1" ht="21.95" customHeight="1" x14ac:dyDescent="0.15"/>
    <row r="38103" customFormat="1" ht="21.95" customHeight="1" x14ac:dyDescent="0.15"/>
    <row r="38104" customFormat="1" ht="21.95" customHeight="1" x14ac:dyDescent="0.15"/>
    <row r="38105" customFormat="1" ht="21.95" customHeight="1" x14ac:dyDescent="0.15"/>
    <row r="38106" customFormat="1" ht="21.95" customHeight="1" x14ac:dyDescent="0.15"/>
    <row r="38107" customFormat="1" ht="32.1" customHeight="1" x14ac:dyDescent="0.15"/>
    <row r="38108" customFormat="1" ht="32.1" customHeight="1" x14ac:dyDescent="0.15"/>
    <row r="38109" customFormat="1" ht="32.1" customHeight="1" x14ac:dyDescent="0.15"/>
    <row r="38110" customFormat="1" ht="32.1" customHeight="1" x14ac:dyDescent="0.15"/>
    <row r="38111" customFormat="1" ht="32.1" customHeight="1" x14ac:dyDescent="0.15"/>
    <row r="38112" customFormat="1" ht="32.1" customHeight="1" x14ac:dyDescent="0.15"/>
    <row r="38113" s="76" customFormat="1" ht="32.1" customHeight="1" x14ac:dyDescent="0.15"/>
    <row r="38114" s="76" customFormat="1" ht="32.1" customHeight="1" x14ac:dyDescent="0.15"/>
    <row r="38115" s="76" customFormat="1" ht="32.1" customHeight="1" x14ac:dyDescent="0.15"/>
    <row r="38116" s="76" customFormat="1" ht="32.1" customHeight="1" x14ac:dyDescent="0.15"/>
    <row r="38117" s="76" customFormat="1" ht="21.95" customHeight="1" x14ac:dyDescent="0.15"/>
    <row r="38118" s="76" customFormat="1" ht="54" customHeight="1" x14ac:dyDescent="0.15"/>
    <row r="38119" s="76" customFormat="1" ht="21.95" customHeight="1" x14ac:dyDescent="0.15"/>
    <row r="38120" s="76" customFormat="1" ht="21.95" customHeight="1" x14ac:dyDescent="0.15"/>
    <row r="38121" s="76" customFormat="1" ht="21.95" customHeight="1" x14ac:dyDescent="0.15"/>
    <row r="38122" s="76" customFormat="1" ht="21.95" customHeight="1" x14ac:dyDescent="0.15"/>
    <row r="38123" s="76" customFormat="1" ht="21.95" customHeight="1" x14ac:dyDescent="0.15"/>
    <row r="38124" s="76" customFormat="1" ht="21.95" customHeight="1" x14ac:dyDescent="0.15"/>
    <row r="38125" s="76" customFormat="1" ht="21.95" customHeight="1" x14ac:dyDescent="0.15"/>
    <row r="38126" s="76" customFormat="1" ht="21.95" customHeight="1" x14ac:dyDescent="0.15"/>
    <row r="38127" s="76" customFormat="1" ht="21.95" customHeight="1" x14ac:dyDescent="0.15"/>
    <row r="38128" s="76" customFormat="1" ht="21.95" customHeight="1" x14ac:dyDescent="0.15"/>
    <row r="38129" s="76" customFormat="1" ht="21.95" customHeight="1" x14ac:dyDescent="0.15"/>
    <row r="38130" s="76" customFormat="1" ht="21.95" customHeight="1" x14ac:dyDescent="0.15"/>
    <row r="38131" s="76" customFormat="1" ht="21.95" customHeight="1" x14ac:dyDescent="0.15"/>
    <row r="38132" s="76" customFormat="1" ht="21.95" customHeight="1" x14ac:dyDescent="0.15"/>
    <row r="38133" s="76" customFormat="1" ht="21.95" customHeight="1" x14ac:dyDescent="0.15"/>
    <row r="38134" s="76" customFormat="1" ht="21.95" customHeight="1" x14ac:dyDescent="0.15"/>
    <row r="38135" s="76" customFormat="1" ht="21.95" customHeight="1" x14ac:dyDescent="0.15"/>
    <row r="38136" s="76" customFormat="1" ht="21.95" customHeight="1" x14ac:dyDescent="0.15"/>
    <row r="38137" s="76" customFormat="1" ht="21.95" customHeight="1" x14ac:dyDescent="0.15"/>
    <row r="38138" s="76" customFormat="1" ht="21.95" customHeight="1" x14ac:dyDescent="0.15"/>
    <row r="38139" s="76" customFormat="1" ht="21.95" customHeight="1" x14ac:dyDescent="0.15"/>
    <row r="38140" s="76" customFormat="1" ht="21.95" customHeight="1" x14ac:dyDescent="0.15"/>
    <row r="38141" s="76" customFormat="1" ht="21.95" customHeight="1" x14ac:dyDescent="0.15"/>
    <row r="38142" s="76" customFormat="1" ht="21.95" customHeight="1" x14ac:dyDescent="0.15"/>
    <row r="38143" s="76" customFormat="1" ht="21.95" customHeight="1" x14ac:dyDescent="0.15"/>
    <row r="38144" s="76" customFormat="1" ht="21.95" customHeight="1" x14ac:dyDescent="0.15"/>
    <row r="38145" s="76" customFormat="1" ht="21.95" customHeight="1" x14ac:dyDescent="0.15"/>
    <row r="38146" s="76" customFormat="1" ht="21.95" customHeight="1" x14ac:dyDescent="0.15"/>
    <row r="38147" s="76" customFormat="1" ht="21.95" customHeight="1" x14ac:dyDescent="0.15"/>
    <row r="38148" s="76" customFormat="1" ht="21.95" customHeight="1" x14ac:dyDescent="0.15"/>
    <row r="38149" s="76" customFormat="1" ht="21.95" customHeight="1" x14ac:dyDescent="0.15"/>
    <row r="38150" s="76" customFormat="1" ht="21.95" customHeight="1" x14ac:dyDescent="0.15"/>
    <row r="38151" s="76" customFormat="1" ht="21.95" customHeight="1" x14ac:dyDescent="0.15"/>
    <row r="38152" s="76" customFormat="1" ht="21.95" customHeight="1" x14ac:dyDescent="0.15"/>
    <row r="38153" s="76" customFormat="1" ht="21.95" customHeight="1" x14ac:dyDescent="0.15"/>
    <row r="38154" s="76" customFormat="1" ht="21.95" customHeight="1" x14ac:dyDescent="0.15"/>
    <row r="38155" s="76" customFormat="1" ht="21.95" customHeight="1" x14ac:dyDescent="0.15"/>
    <row r="38156" s="76" customFormat="1" ht="21.95" customHeight="1" x14ac:dyDescent="0.15"/>
    <row r="38157" s="76" customFormat="1" ht="21.95" customHeight="1" x14ac:dyDescent="0.15"/>
    <row r="38158" s="76" customFormat="1" ht="21.95" customHeight="1" x14ac:dyDescent="0.15"/>
    <row r="38159" s="76" customFormat="1" ht="21.95" customHeight="1" x14ac:dyDescent="0.15"/>
    <row r="38160" s="76" customFormat="1" ht="21.95" customHeight="1" x14ac:dyDescent="0.15"/>
    <row r="38161" s="76" customFormat="1" ht="21.95" customHeight="1" x14ac:dyDescent="0.15"/>
    <row r="38162" s="76" customFormat="1" ht="21.95" customHeight="1" x14ac:dyDescent="0.15"/>
    <row r="38163" s="76" customFormat="1" ht="21.95" customHeight="1" x14ac:dyDescent="0.15"/>
    <row r="38164" s="76" customFormat="1" ht="21.95" customHeight="1" x14ac:dyDescent="0.15"/>
    <row r="38165" s="76" customFormat="1" ht="21.95" customHeight="1" x14ac:dyDescent="0.15"/>
    <row r="38166" s="76" customFormat="1" ht="21.95" customHeight="1" x14ac:dyDescent="0.15"/>
    <row r="38167" s="76" customFormat="1" ht="21.95" customHeight="1" x14ac:dyDescent="0.15"/>
    <row r="38168" s="76" customFormat="1" ht="21.95" customHeight="1" x14ac:dyDescent="0.15"/>
    <row r="38169" s="76" customFormat="1" ht="35.1" customHeight="1" x14ac:dyDescent="0.15"/>
    <row r="38170" s="76" customFormat="1" ht="21.95" customHeight="1" x14ac:dyDescent="0.15"/>
    <row r="38171" s="76" customFormat="1" ht="21.95" customHeight="1" x14ac:dyDescent="0.15"/>
    <row r="38172" s="76" customFormat="1" ht="21.95" customHeight="1" x14ac:dyDescent="0.15"/>
    <row r="38173" s="76" customFormat="1" ht="21.95" customHeight="1" x14ac:dyDescent="0.15"/>
    <row r="38174" s="76" customFormat="1" ht="21.95" customHeight="1" x14ac:dyDescent="0.15"/>
    <row r="38175" s="76" customFormat="1" ht="21.95" customHeight="1" x14ac:dyDescent="0.15"/>
    <row r="38176" s="76" customFormat="1" ht="21.95" customHeight="1" x14ac:dyDescent="0.15"/>
    <row r="38177" s="76" customFormat="1" ht="21.95" customHeight="1" x14ac:dyDescent="0.15"/>
    <row r="38178" s="76" customFormat="1" ht="21.95" customHeight="1" x14ac:dyDescent="0.15"/>
    <row r="38179" s="76" customFormat="1" ht="21.95" customHeight="1" x14ac:dyDescent="0.15"/>
    <row r="38180" s="76" customFormat="1" ht="21.95" customHeight="1" x14ac:dyDescent="0.15"/>
    <row r="38181" s="76" customFormat="1" ht="21.95" customHeight="1" x14ac:dyDescent="0.15"/>
    <row r="38182" s="76" customFormat="1" ht="21.95" customHeight="1" x14ac:dyDescent="0.15"/>
    <row r="38183" s="76" customFormat="1" ht="21.95" customHeight="1" x14ac:dyDescent="0.15"/>
    <row r="38184" s="76" customFormat="1" ht="21.95" customHeight="1" x14ac:dyDescent="0.15"/>
    <row r="38185" s="76" customFormat="1" ht="21.95" customHeight="1" x14ac:dyDescent="0.15"/>
    <row r="38186" s="76" customFormat="1" ht="21.95" customHeight="1" x14ac:dyDescent="0.15"/>
    <row r="38187" s="76" customFormat="1" ht="21.95" customHeight="1" x14ac:dyDescent="0.15"/>
    <row r="38188" s="76" customFormat="1" ht="21.95" customHeight="1" x14ac:dyDescent="0.15"/>
    <row r="38189" s="76" customFormat="1" ht="21.95" customHeight="1" x14ac:dyDescent="0.15"/>
    <row r="38190" s="76" customFormat="1" ht="21.95" customHeight="1" x14ac:dyDescent="0.15"/>
    <row r="38191" s="76" customFormat="1" ht="21.95" customHeight="1" x14ac:dyDescent="0.15"/>
    <row r="38192" s="76" customFormat="1" ht="21.95" customHeight="1" x14ac:dyDescent="0.15"/>
    <row r="38193" spans="3:3" customFormat="1" ht="21.95" customHeight="1" x14ac:dyDescent="0.15"/>
    <row r="38194" spans="3:3" customFormat="1" ht="21.95" customHeight="1" x14ac:dyDescent="0.15"/>
    <row r="38195" spans="3:3" customFormat="1" ht="21.95" customHeight="1" x14ac:dyDescent="0.15">
      <c r="C38195" s="94"/>
    </row>
    <row r="38196" spans="3:3" customFormat="1" ht="21.95" customHeight="1" x14ac:dyDescent="0.15">
      <c r="C38196" s="94"/>
    </row>
    <row r="38197" spans="3:3" customFormat="1" ht="21.95" customHeight="1" x14ac:dyDescent="0.15"/>
    <row r="38198" spans="3:3" customFormat="1" ht="21.95" customHeight="1" x14ac:dyDescent="0.15"/>
    <row r="38199" spans="3:3" customFormat="1" ht="21.95" customHeight="1" x14ac:dyDescent="0.15"/>
    <row r="38200" spans="3:3" customFormat="1" ht="21.95" customHeight="1" x14ac:dyDescent="0.15"/>
    <row r="38201" spans="3:3" customFormat="1" ht="21.95" customHeight="1" x14ac:dyDescent="0.15"/>
    <row r="38202" spans="3:3" customFormat="1" ht="21.95" customHeight="1" x14ac:dyDescent="0.15"/>
    <row r="38203" spans="3:3" customFormat="1" ht="21.95" customHeight="1" x14ac:dyDescent="0.15"/>
    <row r="38204" spans="3:3" s="76" customFormat="1" ht="21.95" customHeight="1" x14ac:dyDescent="0.15"/>
    <row r="38205" spans="3:3" s="76" customFormat="1" ht="21.95" customHeight="1" x14ac:dyDescent="0.15"/>
    <row r="38206" spans="3:3" s="76" customFormat="1" ht="21.95" customHeight="1" x14ac:dyDescent="0.15"/>
    <row r="38207" spans="3:3" s="76" customFormat="1" ht="21.95" customHeight="1" x14ac:dyDescent="0.15"/>
    <row r="38208" spans="3:3" customFormat="1" ht="21.95" customHeight="1" x14ac:dyDescent="0.15"/>
    <row r="38209" customFormat="1" ht="21.95" customHeight="1" x14ac:dyDescent="0.15"/>
    <row r="38210" customFormat="1" ht="21.95" customHeight="1" x14ac:dyDescent="0.15"/>
    <row r="38211" customFormat="1" ht="21.95" customHeight="1" x14ac:dyDescent="0.15"/>
    <row r="38212" customFormat="1" ht="21.95" customHeight="1" x14ac:dyDescent="0.15"/>
    <row r="38213" customFormat="1" ht="21.95" customHeight="1" x14ac:dyDescent="0.15"/>
    <row r="38214" customFormat="1" ht="21.95" customHeight="1" x14ac:dyDescent="0.15"/>
    <row r="38215" customFormat="1" ht="21.95" customHeight="1" x14ac:dyDescent="0.15"/>
    <row r="38216" customFormat="1" ht="21.95" customHeight="1" x14ac:dyDescent="0.15"/>
    <row r="38217" customFormat="1" ht="21.95" customHeight="1" x14ac:dyDescent="0.15"/>
    <row r="38218" customFormat="1" ht="21.95" customHeight="1" x14ac:dyDescent="0.15"/>
    <row r="38219" customFormat="1" ht="32.1" customHeight="1" x14ac:dyDescent="0.15"/>
    <row r="38220" customFormat="1" ht="32.1" customHeight="1" x14ac:dyDescent="0.15"/>
    <row r="38221" customFormat="1" ht="32.1" customHeight="1" x14ac:dyDescent="0.15"/>
    <row r="38222" customFormat="1" ht="32.1" customHeight="1" x14ac:dyDescent="0.15"/>
    <row r="38223" customFormat="1" ht="32.1" customHeight="1" x14ac:dyDescent="0.15"/>
    <row r="38224" customFormat="1" ht="32.1" customHeight="1" x14ac:dyDescent="0.15"/>
    <row r="38225" s="76" customFormat="1" ht="32.1" customHeight="1" x14ac:dyDescent="0.15"/>
    <row r="38226" s="76" customFormat="1" ht="32.1" customHeight="1" x14ac:dyDescent="0.15"/>
    <row r="38227" s="76" customFormat="1" ht="32.1" customHeight="1" x14ac:dyDescent="0.15"/>
    <row r="38228" s="76" customFormat="1" ht="32.1" customHeight="1" x14ac:dyDescent="0.15"/>
    <row r="38229" s="76" customFormat="1" ht="21.95" customHeight="1" x14ac:dyDescent="0.15"/>
    <row r="38230" s="76" customFormat="1" ht="54" customHeight="1" x14ac:dyDescent="0.15"/>
    <row r="38231" s="76" customFormat="1" ht="21.95" customHeight="1" x14ac:dyDescent="0.15"/>
    <row r="38232" s="76" customFormat="1" ht="21.95" customHeight="1" x14ac:dyDescent="0.15"/>
    <row r="38233" s="76" customFormat="1" ht="21.95" customHeight="1" x14ac:dyDescent="0.15"/>
    <row r="38234" s="76" customFormat="1" ht="21.95" customHeight="1" x14ac:dyDescent="0.15"/>
    <row r="38235" s="76" customFormat="1" ht="21.95" customHeight="1" x14ac:dyDescent="0.15"/>
    <row r="38236" s="76" customFormat="1" ht="21.95" customHeight="1" x14ac:dyDescent="0.15"/>
    <row r="38237" s="76" customFormat="1" ht="21.95" customHeight="1" x14ac:dyDescent="0.15"/>
    <row r="38238" s="76" customFormat="1" ht="21.95" customHeight="1" x14ac:dyDescent="0.15"/>
    <row r="38239" s="76" customFormat="1" ht="21.95" customHeight="1" x14ac:dyDescent="0.15"/>
    <row r="38240" s="76" customFormat="1" ht="21.95" customHeight="1" x14ac:dyDescent="0.15"/>
    <row r="38241" s="76" customFormat="1" ht="21.95" customHeight="1" x14ac:dyDescent="0.15"/>
    <row r="38242" s="76" customFormat="1" ht="21.95" customHeight="1" x14ac:dyDescent="0.15"/>
    <row r="38243" s="76" customFormat="1" ht="21.95" customHeight="1" x14ac:dyDescent="0.15"/>
    <row r="38244" s="76" customFormat="1" ht="21.95" customHeight="1" x14ac:dyDescent="0.15"/>
    <row r="38245" s="76" customFormat="1" ht="21.95" customHeight="1" x14ac:dyDescent="0.15"/>
    <row r="38246" s="76" customFormat="1" ht="21.95" customHeight="1" x14ac:dyDescent="0.15"/>
    <row r="38247" s="76" customFormat="1" ht="21.95" customHeight="1" x14ac:dyDescent="0.15"/>
    <row r="38248" s="76" customFormat="1" ht="21.95" customHeight="1" x14ac:dyDescent="0.15"/>
    <row r="38249" s="76" customFormat="1" ht="21.95" customHeight="1" x14ac:dyDescent="0.15"/>
    <row r="38250" s="76" customFormat="1" ht="21.95" customHeight="1" x14ac:dyDescent="0.15"/>
    <row r="38251" s="76" customFormat="1" ht="21.95" customHeight="1" x14ac:dyDescent="0.15"/>
    <row r="38252" s="76" customFormat="1" ht="21.95" customHeight="1" x14ac:dyDescent="0.15"/>
    <row r="38253" s="76" customFormat="1" ht="21.95" customHeight="1" x14ac:dyDescent="0.15"/>
    <row r="38254" s="76" customFormat="1" ht="21.95" customHeight="1" x14ac:dyDescent="0.15"/>
    <row r="38255" s="76" customFormat="1" ht="21.95" customHeight="1" x14ac:dyDescent="0.15"/>
    <row r="38256" s="76" customFormat="1" ht="21.95" customHeight="1" x14ac:dyDescent="0.15"/>
    <row r="38257" s="76" customFormat="1" ht="21.95" customHeight="1" x14ac:dyDescent="0.15"/>
    <row r="38258" s="76" customFormat="1" ht="21.95" customHeight="1" x14ac:dyDescent="0.15"/>
    <row r="38259" s="76" customFormat="1" ht="21.95" customHeight="1" x14ac:dyDescent="0.15"/>
    <row r="38260" s="76" customFormat="1" ht="21.95" customHeight="1" x14ac:dyDescent="0.15"/>
    <row r="38261" s="76" customFormat="1" ht="21.95" customHeight="1" x14ac:dyDescent="0.15"/>
    <row r="38262" s="76" customFormat="1" ht="21.95" customHeight="1" x14ac:dyDescent="0.15"/>
    <row r="38263" s="76" customFormat="1" ht="21.95" customHeight="1" x14ac:dyDescent="0.15"/>
    <row r="38264" s="76" customFormat="1" ht="21.95" customHeight="1" x14ac:dyDescent="0.15"/>
    <row r="38265" s="76" customFormat="1" ht="21.95" customHeight="1" x14ac:dyDescent="0.15"/>
    <row r="38266" s="76" customFormat="1" ht="21.95" customHeight="1" x14ac:dyDescent="0.15"/>
    <row r="38267" s="76" customFormat="1" ht="21.95" customHeight="1" x14ac:dyDescent="0.15"/>
    <row r="38268" s="76" customFormat="1" ht="21.95" customHeight="1" x14ac:dyDescent="0.15"/>
    <row r="38269" s="76" customFormat="1" ht="21.95" customHeight="1" x14ac:dyDescent="0.15"/>
    <row r="38270" s="76" customFormat="1" ht="21.95" customHeight="1" x14ac:dyDescent="0.15"/>
    <row r="38271" s="76" customFormat="1" ht="21.95" customHeight="1" x14ac:dyDescent="0.15"/>
    <row r="38272" s="76" customFormat="1" ht="21.95" customHeight="1" x14ac:dyDescent="0.15"/>
    <row r="38273" s="76" customFormat="1" ht="21.95" customHeight="1" x14ac:dyDescent="0.15"/>
    <row r="38274" s="76" customFormat="1" ht="21.95" customHeight="1" x14ac:dyDescent="0.15"/>
    <row r="38275" s="76" customFormat="1" ht="21.95" customHeight="1" x14ac:dyDescent="0.15"/>
    <row r="38276" s="76" customFormat="1" ht="21.95" customHeight="1" x14ac:dyDescent="0.15"/>
    <row r="38277" s="76" customFormat="1" ht="21.95" customHeight="1" x14ac:dyDescent="0.15"/>
    <row r="38278" s="76" customFormat="1" ht="21.95" customHeight="1" x14ac:dyDescent="0.15"/>
    <row r="38279" s="76" customFormat="1" ht="21.95" customHeight="1" x14ac:dyDescent="0.15"/>
    <row r="38280" s="76" customFormat="1" ht="21.95" customHeight="1" x14ac:dyDescent="0.15"/>
    <row r="38281" s="76" customFormat="1" ht="35.1" customHeight="1" x14ac:dyDescent="0.15"/>
    <row r="38282" s="76" customFormat="1" ht="21.95" customHeight="1" x14ac:dyDescent="0.15"/>
    <row r="38283" s="76" customFormat="1" ht="21.95" customHeight="1" x14ac:dyDescent="0.15"/>
    <row r="38284" s="76" customFormat="1" ht="21.95" customHeight="1" x14ac:dyDescent="0.15"/>
    <row r="38285" s="76" customFormat="1" ht="21.95" customHeight="1" x14ac:dyDescent="0.15"/>
    <row r="38286" s="76" customFormat="1" ht="21.95" customHeight="1" x14ac:dyDescent="0.15"/>
    <row r="38287" s="76" customFormat="1" ht="21.95" customHeight="1" x14ac:dyDescent="0.15"/>
    <row r="38288" s="76" customFormat="1" ht="21.95" customHeight="1" x14ac:dyDescent="0.15"/>
    <row r="38289" s="76" customFormat="1" ht="21.95" customHeight="1" x14ac:dyDescent="0.15"/>
    <row r="38290" s="76" customFormat="1" ht="21.95" customHeight="1" x14ac:dyDescent="0.15"/>
    <row r="38291" s="76" customFormat="1" ht="21.95" customHeight="1" x14ac:dyDescent="0.15"/>
    <row r="38292" s="76" customFormat="1" ht="21.95" customHeight="1" x14ac:dyDescent="0.15"/>
    <row r="38293" s="76" customFormat="1" ht="21.95" customHeight="1" x14ac:dyDescent="0.15"/>
    <row r="38294" s="76" customFormat="1" ht="21.95" customHeight="1" x14ac:dyDescent="0.15"/>
    <row r="38295" s="76" customFormat="1" ht="21.95" customHeight="1" x14ac:dyDescent="0.15"/>
    <row r="38296" s="76" customFormat="1" ht="21.95" customHeight="1" x14ac:dyDescent="0.15"/>
    <row r="38297" s="76" customFormat="1" ht="21.95" customHeight="1" x14ac:dyDescent="0.15"/>
    <row r="38298" s="76" customFormat="1" ht="21.95" customHeight="1" x14ac:dyDescent="0.15"/>
    <row r="38299" s="76" customFormat="1" ht="21.95" customHeight="1" x14ac:dyDescent="0.15"/>
    <row r="38300" s="76" customFormat="1" ht="21.95" customHeight="1" x14ac:dyDescent="0.15"/>
    <row r="38301" s="76" customFormat="1" ht="21.95" customHeight="1" x14ac:dyDescent="0.15"/>
    <row r="38302" s="76" customFormat="1" ht="21.95" customHeight="1" x14ac:dyDescent="0.15"/>
    <row r="38303" s="76" customFormat="1" ht="21.95" customHeight="1" x14ac:dyDescent="0.15"/>
    <row r="38304" s="76" customFormat="1" ht="21.95" customHeight="1" x14ac:dyDescent="0.15"/>
    <row r="38305" spans="3:3" customFormat="1" ht="21.95" customHeight="1" x14ac:dyDescent="0.15"/>
    <row r="38306" spans="3:3" customFormat="1" ht="21.95" customHeight="1" x14ac:dyDescent="0.15"/>
    <row r="38307" spans="3:3" customFormat="1" ht="21.95" customHeight="1" x14ac:dyDescent="0.15">
      <c r="C38307" s="94"/>
    </row>
    <row r="38308" spans="3:3" customFormat="1" ht="21.95" customHeight="1" x14ac:dyDescent="0.15">
      <c r="C38308" s="94"/>
    </row>
    <row r="38309" spans="3:3" customFormat="1" ht="21.95" customHeight="1" x14ac:dyDescent="0.15"/>
    <row r="38310" spans="3:3" customFormat="1" ht="21.95" customHeight="1" x14ac:dyDescent="0.15"/>
    <row r="38311" spans="3:3" customFormat="1" ht="21.95" customHeight="1" x14ac:dyDescent="0.15"/>
    <row r="38312" spans="3:3" customFormat="1" ht="21.95" customHeight="1" x14ac:dyDescent="0.15"/>
    <row r="38313" spans="3:3" customFormat="1" ht="21.95" customHeight="1" x14ac:dyDescent="0.15"/>
    <row r="38314" spans="3:3" customFormat="1" ht="21.95" customHeight="1" x14ac:dyDescent="0.15"/>
    <row r="38315" spans="3:3" customFormat="1" ht="21.95" customHeight="1" x14ac:dyDescent="0.15"/>
    <row r="38316" spans="3:3" s="76" customFormat="1" ht="21.95" customHeight="1" x14ac:dyDescent="0.15"/>
    <row r="38317" spans="3:3" s="76" customFormat="1" ht="21.95" customHeight="1" x14ac:dyDescent="0.15"/>
    <row r="38318" spans="3:3" s="76" customFormat="1" ht="21.95" customHeight="1" x14ac:dyDescent="0.15"/>
    <row r="38319" spans="3:3" s="76" customFormat="1" ht="21.95" customHeight="1" x14ac:dyDescent="0.15"/>
    <row r="38320" spans="3:3" customFormat="1" ht="21.95" customHeight="1" x14ac:dyDescent="0.15"/>
    <row r="38321" customFormat="1" ht="21.95" customHeight="1" x14ac:dyDescent="0.15"/>
    <row r="38322" customFormat="1" ht="21.95" customHeight="1" x14ac:dyDescent="0.15"/>
    <row r="38323" customFormat="1" ht="21.95" customHeight="1" x14ac:dyDescent="0.15"/>
    <row r="38324" customFormat="1" ht="21.95" customHeight="1" x14ac:dyDescent="0.15"/>
    <row r="38325" customFormat="1" ht="21.95" customHeight="1" x14ac:dyDescent="0.15"/>
    <row r="38326" customFormat="1" ht="21.95" customHeight="1" x14ac:dyDescent="0.15"/>
    <row r="38327" customFormat="1" ht="21.95" customHeight="1" x14ac:dyDescent="0.15"/>
    <row r="38328" customFormat="1" ht="21.95" customHeight="1" x14ac:dyDescent="0.15"/>
    <row r="38329" customFormat="1" ht="21.95" customHeight="1" x14ac:dyDescent="0.15"/>
    <row r="38330" customFormat="1" ht="21.95" customHeight="1" x14ac:dyDescent="0.15"/>
    <row r="38331" customFormat="1" ht="32.1" customHeight="1" x14ac:dyDescent="0.15"/>
    <row r="38332" customFormat="1" ht="32.1" customHeight="1" x14ac:dyDescent="0.15"/>
    <row r="38333" customFormat="1" ht="32.1" customHeight="1" x14ac:dyDescent="0.15"/>
    <row r="38334" customFormat="1" ht="32.1" customHeight="1" x14ac:dyDescent="0.15"/>
    <row r="38335" customFormat="1" ht="32.1" customHeight="1" x14ac:dyDescent="0.15"/>
    <row r="38336" customFormat="1" ht="32.1" customHeight="1" x14ac:dyDescent="0.15"/>
    <row r="38337" s="76" customFormat="1" ht="32.1" customHeight="1" x14ac:dyDescent="0.15"/>
    <row r="38338" s="76" customFormat="1" ht="32.1" customHeight="1" x14ac:dyDescent="0.15"/>
    <row r="38339" s="76" customFormat="1" ht="32.1" customHeight="1" x14ac:dyDescent="0.15"/>
    <row r="38340" s="76" customFormat="1" ht="32.1" customHeight="1" x14ac:dyDescent="0.15"/>
    <row r="38341" s="76" customFormat="1" ht="21.95" customHeight="1" x14ac:dyDescent="0.15"/>
    <row r="38342" s="76" customFormat="1" ht="54" customHeight="1" x14ac:dyDescent="0.15"/>
    <row r="38343" s="76" customFormat="1" ht="21.95" customHeight="1" x14ac:dyDescent="0.15"/>
    <row r="38344" s="76" customFormat="1" ht="21.95" customHeight="1" x14ac:dyDescent="0.15"/>
    <row r="38345" s="76" customFormat="1" ht="21.95" customHeight="1" x14ac:dyDescent="0.15"/>
    <row r="38346" s="76" customFormat="1" ht="21.95" customHeight="1" x14ac:dyDescent="0.15"/>
    <row r="38347" s="76" customFormat="1" ht="21.95" customHeight="1" x14ac:dyDescent="0.15"/>
    <row r="38348" s="76" customFormat="1" ht="21.95" customHeight="1" x14ac:dyDescent="0.15"/>
    <row r="38349" s="76" customFormat="1" ht="21.95" customHeight="1" x14ac:dyDescent="0.15"/>
    <row r="38350" s="76" customFormat="1" ht="21.95" customHeight="1" x14ac:dyDescent="0.15"/>
    <row r="38351" s="76" customFormat="1" ht="21.95" customHeight="1" x14ac:dyDescent="0.15"/>
    <row r="38352" s="76" customFormat="1" ht="21.95" customHeight="1" x14ac:dyDescent="0.15"/>
    <row r="38353" s="76" customFormat="1" ht="21.95" customHeight="1" x14ac:dyDescent="0.15"/>
    <row r="38354" s="76" customFormat="1" ht="21.95" customHeight="1" x14ac:dyDescent="0.15"/>
    <row r="38355" s="76" customFormat="1" ht="21.95" customHeight="1" x14ac:dyDescent="0.15"/>
    <row r="38356" s="76" customFormat="1" ht="21.95" customHeight="1" x14ac:dyDescent="0.15"/>
    <row r="38357" s="76" customFormat="1" ht="21.95" customHeight="1" x14ac:dyDescent="0.15"/>
    <row r="38358" s="76" customFormat="1" ht="21.95" customHeight="1" x14ac:dyDescent="0.15"/>
    <row r="38359" s="76" customFormat="1" ht="21.95" customHeight="1" x14ac:dyDescent="0.15"/>
    <row r="38360" s="76" customFormat="1" ht="21.95" customHeight="1" x14ac:dyDescent="0.15"/>
    <row r="38361" s="76" customFormat="1" ht="21.95" customHeight="1" x14ac:dyDescent="0.15"/>
    <row r="38362" s="76" customFormat="1" ht="21.95" customHeight="1" x14ac:dyDescent="0.15"/>
    <row r="38363" s="76" customFormat="1" ht="21.95" customHeight="1" x14ac:dyDescent="0.15"/>
    <row r="38364" s="76" customFormat="1" ht="21.95" customHeight="1" x14ac:dyDescent="0.15"/>
    <row r="38365" s="76" customFormat="1" ht="21.95" customHeight="1" x14ac:dyDescent="0.15"/>
    <row r="38366" s="76" customFormat="1" ht="21.95" customHeight="1" x14ac:dyDescent="0.15"/>
    <row r="38367" s="76" customFormat="1" ht="21.95" customHeight="1" x14ac:dyDescent="0.15"/>
    <row r="38368" s="76" customFormat="1" ht="21.95" customHeight="1" x14ac:dyDescent="0.15"/>
    <row r="38369" s="76" customFormat="1" ht="21.95" customHeight="1" x14ac:dyDescent="0.15"/>
    <row r="38370" s="76" customFormat="1" ht="21.95" customHeight="1" x14ac:dyDescent="0.15"/>
    <row r="38371" s="76" customFormat="1" ht="21.95" customHeight="1" x14ac:dyDescent="0.15"/>
    <row r="38372" s="76" customFormat="1" ht="21.95" customHeight="1" x14ac:dyDescent="0.15"/>
    <row r="38373" s="76" customFormat="1" ht="21.95" customHeight="1" x14ac:dyDescent="0.15"/>
    <row r="38374" s="76" customFormat="1" ht="21.95" customHeight="1" x14ac:dyDescent="0.15"/>
    <row r="38375" s="76" customFormat="1" ht="21.95" customHeight="1" x14ac:dyDescent="0.15"/>
    <row r="38376" s="76" customFormat="1" ht="21.95" customHeight="1" x14ac:dyDescent="0.15"/>
    <row r="38377" s="76" customFormat="1" ht="21.95" customHeight="1" x14ac:dyDescent="0.15"/>
    <row r="38378" s="76" customFormat="1" ht="21.95" customHeight="1" x14ac:dyDescent="0.15"/>
    <row r="38379" s="76" customFormat="1" ht="21.95" customHeight="1" x14ac:dyDescent="0.15"/>
    <row r="38380" s="76" customFormat="1" ht="21.95" customHeight="1" x14ac:dyDescent="0.15"/>
    <row r="38381" s="76" customFormat="1" ht="21.95" customHeight="1" x14ac:dyDescent="0.15"/>
    <row r="38382" s="76" customFormat="1" ht="21.95" customHeight="1" x14ac:dyDescent="0.15"/>
    <row r="38383" s="76" customFormat="1" ht="21.95" customHeight="1" x14ac:dyDescent="0.15"/>
    <row r="38384" s="76" customFormat="1" ht="21.95" customHeight="1" x14ac:dyDescent="0.15"/>
    <row r="38385" s="76" customFormat="1" ht="21.95" customHeight="1" x14ac:dyDescent="0.15"/>
    <row r="38386" s="76" customFormat="1" ht="21.95" customHeight="1" x14ac:dyDescent="0.15"/>
    <row r="38387" s="76" customFormat="1" ht="21.95" customHeight="1" x14ac:dyDescent="0.15"/>
    <row r="38388" s="76" customFormat="1" ht="21.95" customHeight="1" x14ac:dyDescent="0.15"/>
    <row r="38389" s="76" customFormat="1" ht="21.95" customHeight="1" x14ac:dyDescent="0.15"/>
    <row r="38390" s="76" customFormat="1" ht="21.95" customHeight="1" x14ac:dyDescent="0.15"/>
    <row r="38391" s="76" customFormat="1" ht="21.95" customHeight="1" x14ac:dyDescent="0.15"/>
    <row r="38392" s="76" customFormat="1" ht="21.95" customHeight="1" x14ac:dyDescent="0.15"/>
    <row r="38393" s="76" customFormat="1" ht="35.1" customHeight="1" x14ac:dyDescent="0.15"/>
    <row r="38394" s="76" customFormat="1" ht="21.95" customHeight="1" x14ac:dyDescent="0.15"/>
    <row r="38395" s="76" customFormat="1" ht="21.95" customHeight="1" x14ac:dyDescent="0.15"/>
    <row r="38396" s="76" customFormat="1" ht="21.95" customHeight="1" x14ac:dyDescent="0.15"/>
    <row r="38397" s="76" customFormat="1" ht="21.95" customHeight="1" x14ac:dyDescent="0.15"/>
    <row r="38398" s="76" customFormat="1" ht="21.95" customHeight="1" x14ac:dyDescent="0.15"/>
    <row r="38399" s="76" customFormat="1" ht="21.95" customHeight="1" x14ac:dyDescent="0.15"/>
    <row r="38400" s="76" customFormat="1" ht="21.95" customHeight="1" x14ac:dyDescent="0.15"/>
    <row r="38401" s="76" customFormat="1" ht="21.95" customHeight="1" x14ac:dyDescent="0.15"/>
    <row r="38402" s="76" customFormat="1" ht="21.95" customHeight="1" x14ac:dyDescent="0.15"/>
    <row r="38403" s="76" customFormat="1" ht="21.95" customHeight="1" x14ac:dyDescent="0.15"/>
    <row r="38404" s="76" customFormat="1" ht="21.95" customHeight="1" x14ac:dyDescent="0.15"/>
    <row r="38405" s="76" customFormat="1" ht="21.95" customHeight="1" x14ac:dyDescent="0.15"/>
    <row r="38406" s="76" customFormat="1" ht="21.95" customHeight="1" x14ac:dyDescent="0.15"/>
    <row r="38407" s="76" customFormat="1" ht="21.95" customHeight="1" x14ac:dyDescent="0.15"/>
    <row r="38408" s="76" customFormat="1" ht="21.95" customHeight="1" x14ac:dyDescent="0.15"/>
    <row r="38409" s="76" customFormat="1" ht="21.95" customHeight="1" x14ac:dyDescent="0.15"/>
    <row r="38410" s="76" customFormat="1" ht="21.95" customHeight="1" x14ac:dyDescent="0.15"/>
    <row r="38411" s="76" customFormat="1" ht="21.95" customHeight="1" x14ac:dyDescent="0.15"/>
    <row r="38412" s="76" customFormat="1" ht="21.95" customHeight="1" x14ac:dyDescent="0.15"/>
    <row r="38413" s="76" customFormat="1" ht="21.95" customHeight="1" x14ac:dyDescent="0.15"/>
    <row r="38414" s="76" customFormat="1" ht="21.95" customHeight="1" x14ac:dyDescent="0.15"/>
    <row r="38415" s="76" customFormat="1" ht="21.95" customHeight="1" x14ac:dyDescent="0.15"/>
    <row r="38416" s="76" customFormat="1" ht="21.95" customHeight="1" x14ac:dyDescent="0.15"/>
    <row r="38417" spans="3:3" customFormat="1" ht="21.95" customHeight="1" x14ac:dyDescent="0.15"/>
    <row r="38418" spans="3:3" customFormat="1" ht="21.95" customHeight="1" x14ac:dyDescent="0.15"/>
    <row r="38419" spans="3:3" customFormat="1" ht="21.95" customHeight="1" x14ac:dyDescent="0.15">
      <c r="C38419" s="94"/>
    </row>
    <row r="38420" spans="3:3" customFormat="1" ht="21.95" customHeight="1" x14ac:dyDescent="0.15">
      <c r="C38420" s="94"/>
    </row>
    <row r="38421" spans="3:3" customFormat="1" ht="21.95" customHeight="1" x14ac:dyDescent="0.15"/>
    <row r="38422" spans="3:3" customFormat="1" ht="21.95" customHeight="1" x14ac:dyDescent="0.15"/>
    <row r="38423" spans="3:3" customFormat="1" ht="21.95" customHeight="1" x14ac:dyDescent="0.15"/>
    <row r="38424" spans="3:3" customFormat="1" ht="21.95" customHeight="1" x14ac:dyDescent="0.15"/>
    <row r="38425" spans="3:3" customFormat="1" ht="21.95" customHeight="1" x14ac:dyDescent="0.15"/>
    <row r="38426" spans="3:3" customFormat="1" ht="21.95" customHeight="1" x14ac:dyDescent="0.15"/>
    <row r="38427" spans="3:3" customFormat="1" ht="21.95" customHeight="1" x14ac:dyDescent="0.15"/>
    <row r="38428" spans="3:3" s="76" customFormat="1" ht="21.95" customHeight="1" x14ac:dyDescent="0.15"/>
    <row r="38429" spans="3:3" s="76" customFormat="1" ht="21.95" customHeight="1" x14ac:dyDescent="0.15"/>
    <row r="38430" spans="3:3" s="76" customFormat="1" ht="21.95" customHeight="1" x14ac:dyDescent="0.15"/>
    <row r="38431" spans="3:3" s="76" customFormat="1" ht="21.95" customHeight="1" x14ac:dyDescent="0.15"/>
    <row r="38432" spans="3:3" customFormat="1" ht="21.95" customHeight="1" x14ac:dyDescent="0.15"/>
    <row r="38433" customFormat="1" ht="21.95" customHeight="1" x14ac:dyDescent="0.15"/>
    <row r="38434" customFormat="1" ht="21.95" customHeight="1" x14ac:dyDescent="0.15"/>
    <row r="38435" customFormat="1" ht="21.95" customHeight="1" x14ac:dyDescent="0.15"/>
    <row r="38436" customFormat="1" ht="21.95" customHeight="1" x14ac:dyDescent="0.15"/>
    <row r="38437" customFormat="1" ht="21.95" customHeight="1" x14ac:dyDescent="0.15"/>
    <row r="38438" customFormat="1" ht="21.95" customHeight="1" x14ac:dyDescent="0.15"/>
    <row r="38439" customFormat="1" ht="21.95" customHeight="1" x14ac:dyDescent="0.15"/>
    <row r="38440" customFormat="1" ht="21.95" customHeight="1" x14ac:dyDescent="0.15"/>
    <row r="38441" customFormat="1" ht="21.95" customHeight="1" x14ac:dyDescent="0.15"/>
    <row r="38442" customFormat="1" ht="21.95" customHeight="1" x14ac:dyDescent="0.15"/>
    <row r="38443" customFormat="1" ht="32.1" customHeight="1" x14ac:dyDescent="0.15"/>
    <row r="38444" customFormat="1" ht="32.1" customHeight="1" x14ac:dyDescent="0.15"/>
    <row r="38445" customFormat="1" ht="32.1" customHeight="1" x14ac:dyDescent="0.15"/>
    <row r="38446" customFormat="1" ht="32.1" customHeight="1" x14ac:dyDescent="0.15"/>
    <row r="38447" customFormat="1" ht="32.1" customHeight="1" x14ac:dyDescent="0.15"/>
    <row r="38448" customFormat="1" ht="32.1" customHeight="1" x14ac:dyDescent="0.15"/>
    <row r="38449" s="76" customFormat="1" ht="32.1" customHeight="1" x14ac:dyDescent="0.15"/>
    <row r="38450" s="76" customFormat="1" ht="32.1" customHeight="1" x14ac:dyDescent="0.15"/>
    <row r="38451" s="76" customFormat="1" ht="32.1" customHeight="1" x14ac:dyDescent="0.15"/>
    <row r="38452" s="76" customFormat="1" ht="32.1" customHeight="1" x14ac:dyDescent="0.15"/>
    <row r="38453" s="76" customFormat="1" ht="21.95" customHeight="1" x14ac:dyDescent="0.15"/>
    <row r="38454" s="76" customFormat="1" ht="54" customHeight="1" x14ac:dyDescent="0.15"/>
    <row r="38455" s="76" customFormat="1" ht="21.95" customHeight="1" x14ac:dyDescent="0.15"/>
    <row r="38456" s="76" customFormat="1" ht="21.95" customHeight="1" x14ac:dyDescent="0.15"/>
    <row r="38457" s="76" customFormat="1" ht="21.95" customHeight="1" x14ac:dyDescent="0.15"/>
    <row r="38458" s="76" customFormat="1" ht="21.95" customHeight="1" x14ac:dyDescent="0.15"/>
    <row r="38459" s="76" customFormat="1" ht="21.95" customHeight="1" x14ac:dyDescent="0.15"/>
    <row r="38460" s="76" customFormat="1" ht="21.95" customHeight="1" x14ac:dyDescent="0.15"/>
    <row r="38461" s="76" customFormat="1" ht="21.95" customHeight="1" x14ac:dyDescent="0.15"/>
    <row r="38462" s="76" customFormat="1" ht="21.95" customHeight="1" x14ac:dyDescent="0.15"/>
    <row r="38463" s="76" customFormat="1" ht="21.95" customHeight="1" x14ac:dyDescent="0.15"/>
    <row r="38464" s="76" customFormat="1" ht="21.95" customHeight="1" x14ac:dyDescent="0.15"/>
    <row r="38465" s="76" customFormat="1" ht="21.95" customHeight="1" x14ac:dyDescent="0.15"/>
    <row r="38466" s="76" customFormat="1" ht="21.95" customHeight="1" x14ac:dyDescent="0.15"/>
    <row r="38467" s="76" customFormat="1" ht="21.95" customHeight="1" x14ac:dyDescent="0.15"/>
    <row r="38468" s="76" customFormat="1" ht="21.95" customHeight="1" x14ac:dyDescent="0.15"/>
    <row r="38469" s="76" customFormat="1" ht="21.95" customHeight="1" x14ac:dyDescent="0.15"/>
    <row r="38470" s="76" customFormat="1" ht="21.95" customHeight="1" x14ac:dyDescent="0.15"/>
    <row r="38471" s="76" customFormat="1" ht="21.95" customHeight="1" x14ac:dyDescent="0.15"/>
    <row r="38472" s="76" customFormat="1" ht="21.95" customHeight="1" x14ac:dyDescent="0.15"/>
    <row r="38473" s="76" customFormat="1" ht="21.95" customHeight="1" x14ac:dyDescent="0.15"/>
    <row r="38474" s="76" customFormat="1" ht="21.95" customHeight="1" x14ac:dyDescent="0.15"/>
    <row r="38475" s="76" customFormat="1" ht="21.95" customHeight="1" x14ac:dyDescent="0.15"/>
    <row r="38476" s="76" customFormat="1" ht="21.95" customHeight="1" x14ac:dyDescent="0.15"/>
    <row r="38477" s="76" customFormat="1" ht="21.95" customHeight="1" x14ac:dyDescent="0.15"/>
    <row r="38478" s="76" customFormat="1" ht="21.95" customHeight="1" x14ac:dyDescent="0.15"/>
    <row r="38479" s="76" customFormat="1" ht="21.95" customHeight="1" x14ac:dyDescent="0.15"/>
    <row r="38480" s="76" customFormat="1" ht="21.95" customHeight="1" x14ac:dyDescent="0.15"/>
    <row r="38481" s="76" customFormat="1" ht="21.95" customHeight="1" x14ac:dyDescent="0.15"/>
    <row r="38482" s="76" customFormat="1" ht="21.95" customHeight="1" x14ac:dyDescent="0.15"/>
    <row r="38483" s="76" customFormat="1" ht="21.95" customHeight="1" x14ac:dyDescent="0.15"/>
    <row r="38484" s="76" customFormat="1" ht="21.95" customHeight="1" x14ac:dyDescent="0.15"/>
    <row r="38485" s="76" customFormat="1" ht="21.95" customHeight="1" x14ac:dyDescent="0.15"/>
    <row r="38486" s="76" customFormat="1" ht="21.95" customHeight="1" x14ac:dyDescent="0.15"/>
    <row r="38487" s="76" customFormat="1" ht="21.95" customHeight="1" x14ac:dyDescent="0.15"/>
    <row r="38488" s="76" customFormat="1" ht="21.95" customHeight="1" x14ac:dyDescent="0.15"/>
    <row r="38489" s="76" customFormat="1" ht="21.95" customHeight="1" x14ac:dyDescent="0.15"/>
    <row r="38490" s="76" customFormat="1" ht="21.95" customHeight="1" x14ac:dyDescent="0.15"/>
    <row r="38491" s="76" customFormat="1" ht="21.95" customHeight="1" x14ac:dyDescent="0.15"/>
    <row r="38492" s="76" customFormat="1" ht="21.95" customHeight="1" x14ac:dyDescent="0.15"/>
    <row r="38493" s="76" customFormat="1" ht="21.95" customHeight="1" x14ac:dyDescent="0.15"/>
    <row r="38494" s="76" customFormat="1" ht="21.95" customHeight="1" x14ac:dyDescent="0.15"/>
    <row r="38495" s="76" customFormat="1" ht="21.95" customHeight="1" x14ac:dyDescent="0.15"/>
    <row r="38496" s="76" customFormat="1" ht="21.95" customHeight="1" x14ac:dyDescent="0.15"/>
    <row r="38497" s="76" customFormat="1" ht="21.95" customHeight="1" x14ac:dyDescent="0.15"/>
    <row r="38498" s="76" customFormat="1" ht="21.95" customHeight="1" x14ac:dyDescent="0.15"/>
    <row r="38499" s="76" customFormat="1" ht="21.95" customHeight="1" x14ac:dyDescent="0.15"/>
    <row r="38500" s="76" customFormat="1" ht="21.95" customHeight="1" x14ac:dyDescent="0.15"/>
    <row r="38501" s="76" customFormat="1" ht="21.95" customHeight="1" x14ac:dyDescent="0.15"/>
    <row r="38502" s="76" customFormat="1" ht="21.95" customHeight="1" x14ac:dyDescent="0.15"/>
    <row r="38503" s="76" customFormat="1" ht="21.95" customHeight="1" x14ac:dyDescent="0.15"/>
    <row r="38504" s="76" customFormat="1" ht="21.95" customHeight="1" x14ac:dyDescent="0.15"/>
    <row r="38505" s="76" customFormat="1" ht="35.1" customHeight="1" x14ac:dyDescent="0.15"/>
    <row r="38506" s="76" customFormat="1" ht="21.95" customHeight="1" x14ac:dyDescent="0.15"/>
    <row r="38507" s="76" customFormat="1" ht="21.95" customHeight="1" x14ac:dyDescent="0.15"/>
    <row r="38508" s="76" customFormat="1" ht="21.95" customHeight="1" x14ac:dyDescent="0.15"/>
    <row r="38509" s="76" customFormat="1" ht="21.95" customHeight="1" x14ac:dyDescent="0.15"/>
    <row r="38510" s="76" customFormat="1" ht="21.95" customHeight="1" x14ac:dyDescent="0.15"/>
    <row r="38511" s="76" customFormat="1" ht="21.95" customHeight="1" x14ac:dyDescent="0.15"/>
    <row r="38512" s="76" customFormat="1" ht="21.95" customHeight="1" x14ac:dyDescent="0.15"/>
    <row r="38513" s="76" customFormat="1" ht="21.95" customHeight="1" x14ac:dyDescent="0.15"/>
    <row r="38514" s="76" customFormat="1" ht="21.95" customHeight="1" x14ac:dyDescent="0.15"/>
    <row r="38515" s="76" customFormat="1" ht="21.95" customHeight="1" x14ac:dyDescent="0.15"/>
    <row r="38516" s="76" customFormat="1" ht="21.95" customHeight="1" x14ac:dyDescent="0.15"/>
    <row r="38517" s="76" customFormat="1" ht="21.95" customHeight="1" x14ac:dyDescent="0.15"/>
    <row r="38518" s="76" customFormat="1" ht="21.95" customHeight="1" x14ac:dyDescent="0.15"/>
    <row r="38519" s="76" customFormat="1" ht="21.95" customHeight="1" x14ac:dyDescent="0.15"/>
    <row r="38520" s="76" customFormat="1" ht="21.95" customHeight="1" x14ac:dyDescent="0.15"/>
    <row r="38521" s="76" customFormat="1" ht="21.95" customHeight="1" x14ac:dyDescent="0.15"/>
    <row r="38522" s="76" customFormat="1" ht="21.95" customHeight="1" x14ac:dyDescent="0.15"/>
    <row r="38523" s="76" customFormat="1" ht="21.95" customHeight="1" x14ac:dyDescent="0.15"/>
    <row r="38524" s="76" customFormat="1" ht="21.95" customHeight="1" x14ac:dyDescent="0.15"/>
    <row r="38525" s="76" customFormat="1" ht="21.95" customHeight="1" x14ac:dyDescent="0.15"/>
    <row r="38526" s="76" customFormat="1" ht="21.95" customHeight="1" x14ac:dyDescent="0.15"/>
    <row r="38527" s="76" customFormat="1" ht="21.95" customHeight="1" x14ac:dyDescent="0.15"/>
    <row r="38528" s="76" customFormat="1" ht="21.95" customHeight="1" x14ac:dyDescent="0.15"/>
    <row r="38529" spans="3:3" customFormat="1" ht="21.95" customHeight="1" x14ac:dyDescent="0.15"/>
    <row r="38530" spans="3:3" customFormat="1" ht="21.95" customHeight="1" x14ac:dyDescent="0.15"/>
    <row r="38531" spans="3:3" customFormat="1" ht="21.95" customHeight="1" x14ac:dyDescent="0.15">
      <c r="C38531" s="94"/>
    </row>
    <row r="38532" spans="3:3" customFormat="1" ht="21.95" customHeight="1" x14ac:dyDescent="0.15">
      <c r="C38532" s="94"/>
    </row>
    <row r="38533" spans="3:3" customFormat="1" ht="21.95" customHeight="1" x14ac:dyDescent="0.15"/>
    <row r="38534" spans="3:3" customFormat="1" ht="21.95" customHeight="1" x14ac:dyDescent="0.15"/>
    <row r="38535" spans="3:3" customFormat="1" ht="21.95" customHeight="1" x14ac:dyDescent="0.15"/>
    <row r="38536" spans="3:3" customFormat="1" ht="21.95" customHeight="1" x14ac:dyDescent="0.15"/>
    <row r="38537" spans="3:3" customFormat="1" ht="21.95" customHeight="1" x14ac:dyDescent="0.15"/>
    <row r="38538" spans="3:3" customFormat="1" ht="21.95" customHeight="1" x14ac:dyDescent="0.15"/>
    <row r="38539" spans="3:3" customFormat="1" ht="21.95" customHeight="1" x14ac:dyDescent="0.15"/>
    <row r="38540" spans="3:3" s="76" customFormat="1" ht="21.95" customHeight="1" x14ac:dyDescent="0.15"/>
    <row r="38541" spans="3:3" s="76" customFormat="1" ht="21.95" customHeight="1" x14ac:dyDescent="0.15"/>
    <row r="38542" spans="3:3" s="76" customFormat="1" ht="21.95" customHeight="1" x14ac:dyDescent="0.15"/>
    <row r="38543" spans="3:3" s="76" customFormat="1" ht="21.95" customHeight="1" x14ac:dyDescent="0.15"/>
    <row r="38544" spans="3:3" customFormat="1" ht="21.95" customHeight="1" x14ac:dyDescent="0.15"/>
    <row r="38545" customFormat="1" ht="21.95" customHeight="1" x14ac:dyDescent="0.15"/>
    <row r="38546" customFormat="1" ht="21.95" customHeight="1" x14ac:dyDescent="0.15"/>
    <row r="38547" customFormat="1" ht="21.95" customHeight="1" x14ac:dyDescent="0.15"/>
    <row r="38548" customFormat="1" ht="21.95" customHeight="1" x14ac:dyDescent="0.15"/>
    <row r="38549" customFormat="1" ht="21.95" customHeight="1" x14ac:dyDescent="0.15"/>
    <row r="38550" customFormat="1" ht="21.95" customHeight="1" x14ac:dyDescent="0.15"/>
    <row r="38551" customFormat="1" ht="21.95" customHeight="1" x14ac:dyDescent="0.15"/>
    <row r="38552" customFormat="1" ht="21.95" customHeight="1" x14ac:dyDescent="0.15"/>
    <row r="38553" customFormat="1" ht="21.95" customHeight="1" x14ac:dyDescent="0.15"/>
    <row r="38554" customFormat="1" ht="21.95" customHeight="1" x14ac:dyDescent="0.15"/>
    <row r="38555" customFormat="1" ht="32.1" customHeight="1" x14ac:dyDescent="0.15"/>
    <row r="38556" customFormat="1" ht="32.1" customHeight="1" x14ac:dyDescent="0.15"/>
    <row r="38557" customFormat="1" ht="32.1" customHeight="1" x14ac:dyDescent="0.15"/>
    <row r="38558" customFormat="1" ht="32.1" customHeight="1" x14ac:dyDescent="0.15"/>
    <row r="38559" customFormat="1" ht="32.1" customHeight="1" x14ac:dyDescent="0.15"/>
    <row r="38560" customFormat="1" ht="32.1" customHeight="1" x14ac:dyDescent="0.15"/>
    <row r="38561" s="76" customFormat="1" ht="32.1" customHeight="1" x14ac:dyDescent="0.15"/>
    <row r="38562" s="76" customFormat="1" ht="32.1" customHeight="1" x14ac:dyDescent="0.15"/>
    <row r="38563" s="76" customFormat="1" ht="32.1" customHeight="1" x14ac:dyDescent="0.15"/>
    <row r="38564" s="76" customFormat="1" ht="32.1" customHeight="1" x14ac:dyDescent="0.15"/>
    <row r="38565" s="76" customFormat="1" ht="21.95" customHeight="1" x14ac:dyDescent="0.15"/>
    <row r="38566" s="76" customFormat="1" ht="54" customHeight="1" x14ac:dyDescent="0.15"/>
    <row r="38567" s="76" customFormat="1" ht="21.95" customHeight="1" x14ac:dyDescent="0.15"/>
    <row r="38568" s="76" customFormat="1" ht="21.95" customHeight="1" x14ac:dyDescent="0.15"/>
    <row r="38569" s="76" customFormat="1" ht="21.95" customHeight="1" x14ac:dyDescent="0.15"/>
    <row r="38570" s="76" customFormat="1" ht="21.95" customHeight="1" x14ac:dyDescent="0.15"/>
    <row r="38571" s="76" customFormat="1" ht="21.95" customHeight="1" x14ac:dyDescent="0.15"/>
    <row r="38572" s="76" customFormat="1" ht="21.95" customHeight="1" x14ac:dyDescent="0.15"/>
    <row r="38573" s="76" customFormat="1" ht="21.95" customHeight="1" x14ac:dyDescent="0.15"/>
    <row r="38574" s="76" customFormat="1" ht="21.95" customHeight="1" x14ac:dyDescent="0.15"/>
    <row r="38575" s="76" customFormat="1" ht="21.95" customHeight="1" x14ac:dyDescent="0.15"/>
    <row r="38576" s="76" customFormat="1" ht="21.95" customHeight="1" x14ac:dyDescent="0.15"/>
    <row r="38577" s="76" customFormat="1" ht="21.95" customHeight="1" x14ac:dyDescent="0.15"/>
    <row r="38578" s="76" customFormat="1" ht="21.95" customHeight="1" x14ac:dyDescent="0.15"/>
    <row r="38579" s="76" customFormat="1" ht="21.95" customHeight="1" x14ac:dyDescent="0.15"/>
    <row r="38580" s="76" customFormat="1" ht="21.95" customHeight="1" x14ac:dyDescent="0.15"/>
    <row r="38581" s="76" customFormat="1" ht="21.95" customHeight="1" x14ac:dyDescent="0.15"/>
    <row r="38582" s="76" customFormat="1" ht="21.95" customHeight="1" x14ac:dyDescent="0.15"/>
    <row r="38583" s="76" customFormat="1" ht="21.95" customHeight="1" x14ac:dyDescent="0.15"/>
    <row r="38584" s="76" customFormat="1" ht="21.95" customHeight="1" x14ac:dyDescent="0.15"/>
    <row r="38585" s="76" customFormat="1" ht="21.95" customHeight="1" x14ac:dyDescent="0.15"/>
    <row r="38586" s="76" customFormat="1" ht="21.95" customHeight="1" x14ac:dyDescent="0.15"/>
    <row r="38587" s="76" customFormat="1" ht="21.95" customHeight="1" x14ac:dyDescent="0.15"/>
    <row r="38588" s="76" customFormat="1" ht="21.95" customHeight="1" x14ac:dyDescent="0.15"/>
    <row r="38589" s="76" customFormat="1" ht="21.95" customHeight="1" x14ac:dyDescent="0.15"/>
    <row r="38590" s="76" customFormat="1" ht="21.95" customHeight="1" x14ac:dyDescent="0.15"/>
    <row r="38591" s="76" customFormat="1" ht="21.95" customHeight="1" x14ac:dyDescent="0.15"/>
    <row r="38592" s="76" customFormat="1" ht="21.95" customHeight="1" x14ac:dyDescent="0.15"/>
    <row r="38593" s="76" customFormat="1" ht="21.95" customHeight="1" x14ac:dyDescent="0.15"/>
    <row r="38594" s="76" customFormat="1" ht="21.95" customHeight="1" x14ac:dyDescent="0.15"/>
    <row r="38595" s="76" customFormat="1" ht="21.95" customHeight="1" x14ac:dyDescent="0.15"/>
    <row r="38596" s="76" customFormat="1" ht="21.95" customHeight="1" x14ac:dyDescent="0.15"/>
    <row r="38597" s="76" customFormat="1" ht="21.95" customHeight="1" x14ac:dyDescent="0.15"/>
    <row r="38598" s="76" customFormat="1" ht="21.95" customHeight="1" x14ac:dyDescent="0.15"/>
    <row r="38599" s="76" customFormat="1" ht="21.95" customHeight="1" x14ac:dyDescent="0.15"/>
    <row r="38600" s="76" customFormat="1" ht="21.95" customHeight="1" x14ac:dyDescent="0.15"/>
    <row r="38601" s="76" customFormat="1" ht="21.95" customHeight="1" x14ac:dyDescent="0.15"/>
    <row r="38602" s="76" customFormat="1" ht="21.95" customHeight="1" x14ac:dyDescent="0.15"/>
    <row r="38603" s="76" customFormat="1" ht="21.95" customHeight="1" x14ac:dyDescent="0.15"/>
    <row r="38604" s="76" customFormat="1" ht="21.95" customHeight="1" x14ac:dyDescent="0.15"/>
    <row r="38605" s="76" customFormat="1" ht="21.95" customHeight="1" x14ac:dyDescent="0.15"/>
    <row r="38606" s="76" customFormat="1" ht="21.95" customHeight="1" x14ac:dyDescent="0.15"/>
    <row r="38607" s="76" customFormat="1" ht="21.95" customHeight="1" x14ac:dyDescent="0.15"/>
    <row r="38608" s="76" customFormat="1" ht="21.95" customHeight="1" x14ac:dyDescent="0.15"/>
    <row r="38609" s="76" customFormat="1" ht="21.95" customHeight="1" x14ac:dyDescent="0.15"/>
    <row r="38610" s="76" customFormat="1" ht="21.95" customHeight="1" x14ac:dyDescent="0.15"/>
    <row r="38611" s="76" customFormat="1" ht="21.95" customHeight="1" x14ac:dyDescent="0.15"/>
    <row r="38612" s="76" customFormat="1" ht="21.95" customHeight="1" x14ac:dyDescent="0.15"/>
    <row r="38613" s="76" customFormat="1" ht="21.95" customHeight="1" x14ac:dyDescent="0.15"/>
    <row r="38614" s="76" customFormat="1" ht="21.95" customHeight="1" x14ac:dyDescent="0.15"/>
    <row r="38615" s="76" customFormat="1" ht="21.95" customHeight="1" x14ac:dyDescent="0.15"/>
    <row r="38616" s="76" customFormat="1" ht="21.95" customHeight="1" x14ac:dyDescent="0.15"/>
    <row r="38617" s="76" customFormat="1" ht="35.1" customHeight="1" x14ac:dyDescent="0.15"/>
    <row r="38618" s="76" customFormat="1" ht="21.95" customHeight="1" x14ac:dyDescent="0.15"/>
    <row r="38619" s="76" customFormat="1" ht="21.95" customHeight="1" x14ac:dyDescent="0.15"/>
    <row r="38620" s="76" customFormat="1" ht="21.95" customHeight="1" x14ac:dyDescent="0.15"/>
    <row r="38621" s="76" customFormat="1" ht="21.95" customHeight="1" x14ac:dyDescent="0.15"/>
    <row r="38622" s="76" customFormat="1" ht="21.95" customHeight="1" x14ac:dyDescent="0.15"/>
    <row r="38623" s="76" customFormat="1" ht="21.95" customHeight="1" x14ac:dyDescent="0.15"/>
    <row r="38624" s="76" customFormat="1" ht="21.95" customHeight="1" x14ac:dyDescent="0.15"/>
    <row r="38625" s="76" customFormat="1" ht="21.95" customHeight="1" x14ac:dyDescent="0.15"/>
    <row r="38626" s="76" customFormat="1" ht="21.95" customHeight="1" x14ac:dyDescent="0.15"/>
    <row r="38627" s="76" customFormat="1" ht="21.95" customHeight="1" x14ac:dyDescent="0.15"/>
    <row r="38628" s="76" customFormat="1" ht="21.95" customHeight="1" x14ac:dyDescent="0.15"/>
    <row r="38629" s="76" customFormat="1" ht="21.95" customHeight="1" x14ac:dyDescent="0.15"/>
    <row r="38630" s="76" customFormat="1" ht="21.95" customHeight="1" x14ac:dyDescent="0.15"/>
    <row r="38631" s="76" customFormat="1" ht="21.95" customHeight="1" x14ac:dyDescent="0.15"/>
    <row r="38632" s="76" customFormat="1" ht="21.95" customHeight="1" x14ac:dyDescent="0.15"/>
    <row r="38633" s="76" customFormat="1" ht="21.95" customHeight="1" x14ac:dyDescent="0.15"/>
    <row r="38634" s="76" customFormat="1" ht="21.95" customHeight="1" x14ac:dyDescent="0.15"/>
    <row r="38635" s="76" customFormat="1" ht="21.95" customHeight="1" x14ac:dyDescent="0.15"/>
    <row r="38636" s="76" customFormat="1" ht="21.95" customHeight="1" x14ac:dyDescent="0.15"/>
    <row r="38637" s="76" customFormat="1" ht="21.95" customHeight="1" x14ac:dyDescent="0.15"/>
    <row r="38638" s="76" customFormat="1" ht="21.95" customHeight="1" x14ac:dyDescent="0.15"/>
    <row r="38639" s="76" customFormat="1" ht="21.95" customHeight="1" x14ac:dyDescent="0.15"/>
    <row r="38640" s="76" customFormat="1" ht="21.95" customHeight="1" x14ac:dyDescent="0.15"/>
    <row r="38641" spans="3:3" customFormat="1" ht="21.95" customHeight="1" x14ac:dyDescent="0.15"/>
    <row r="38642" spans="3:3" customFormat="1" ht="21.95" customHeight="1" x14ac:dyDescent="0.15"/>
    <row r="38643" spans="3:3" customFormat="1" ht="21.95" customHeight="1" x14ac:dyDescent="0.15">
      <c r="C38643" s="94"/>
    </row>
    <row r="38644" spans="3:3" customFormat="1" ht="21.95" customHeight="1" x14ac:dyDescent="0.15">
      <c r="C38644" s="94"/>
    </row>
    <row r="38645" spans="3:3" customFormat="1" ht="21.95" customHeight="1" x14ac:dyDescent="0.15"/>
    <row r="38646" spans="3:3" customFormat="1" ht="21.95" customHeight="1" x14ac:dyDescent="0.15"/>
    <row r="38647" spans="3:3" customFormat="1" ht="21.95" customHeight="1" x14ac:dyDescent="0.15"/>
    <row r="38648" spans="3:3" customFormat="1" ht="21.95" customHeight="1" x14ac:dyDescent="0.15"/>
    <row r="38649" spans="3:3" customFormat="1" ht="21.95" customHeight="1" x14ac:dyDescent="0.15"/>
    <row r="38650" spans="3:3" customFormat="1" ht="21.95" customHeight="1" x14ac:dyDescent="0.15"/>
    <row r="38651" spans="3:3" customFormat="1" ht="21.95" customHeight="1" x14ac:dyDescent="0.15"/>
    <row r="38652" spans="3:3" s="76" customFormat="1" ht="21.95" customHeight="1" x14ac:dyDescent="0.15"/>
    <row r="38653" spans="3:3" s="76" customFormat="1" ht="21.95" customHeight="1" x14ac:dyDescent="0.15"/>
    <row r="38654" spans="3:3" s="76" customFormat="1" ht="21.95" customHeight="1" x14ac:dyDescent="0.15"/>
    <row r="38655" spans="3:3" s="76" customFormat="1" ht="21.95" customHeight="1" x14ac:dyDescent="0.15"/>
    <row r="38656" spans="3:3" customFormat="1" ht="21.95" customHeight="1" x14ac:dyDescent="0.15"/>
    <row r="38657" customFormat="1" ht="21.95" customHeight="1" x14ac:dyDescent="0.15"/>
    <row r="38658" customFormat="1" ht="21.95" customHeight="1" x14ac:dyDescent="0.15"/>
    <row r="38659" customFormat="1" ht="21.95" customHeight="1" x14ac:dyDescent="0.15"/>
    <row r="38660" customFormat="1" ht="21.95" customHeight="1" x14ac:dyDescent="0.15"/>
    <row r="38661" customFormat="1" ht="21.95" customHeight="1" x14ac:dyDescent="0.15"/>
    <row r="38662" customFormat="1" ht="21.95" customHeight="1" x14ac:dyDescent="0.15"/>
    <row r="38663" customFormat="1" ht="21.95" customHeight="1" x14ac:dyDescent="0.15"/>
    <row r="38664" customFormat="1" ht="21.95" customHeight="1" x14ac:dyDescent="0.15"/>
    <row r="38665" customFormat="1" ht="21.95" customHeight="1" x14ac:dyDescent="0.15"/>
    <row r="38666" customFormat="1" ht="21.95" customHeight="1" x14ac:dyDescent="0.15"/>
    <row r="38667" customFormat="1" ht="32.1" customHeight="1" x14ac:dyDescent="0.15"/>
    <row r="38668" customFormat="1" ht="32.1" customHeight="1" x14ac:dyDescent="0.15"/>
    <row r="38669" customFormat="1" ht="32.1" customHeight="1" x14ac:dyDescent="0.15"/>
    <row r="38670" customFormat="1" ht="32.1" customHeight="1" x14ac:dyDescent="0.15"/>
    <row r="38671" customFormat="1" ht="32.1" customHeight="1" x14ac:dyDescent="0.15"/>
    <row r="38672" customFormat="1" ht="32.1" customHeight="1" x14ac:dyDescent="0.15"/>
    <row r="38673" s="76" customFormat="1" ht="32.1" customHeight="1" x14ac:dyDescent="0.15"/>
    <row r="38674" s="76" customFormat="1" ht="32.1" customHeight="1" x14ac:dyDescent="0.15"/>
    <row r="38675" s="76" customFormat="1" ht="32.1" customHeight="1" x14ac:dyDescent="0.15"/>
    <row r="38676" s="76" customFormat="1" ht="32.1" customHeight="1" x14ac:dyDescent="0.15"/>
    <row r="38677" s="76" customFormat="1" ht="21.95" customHeight="1" x14ac:dyDescent="0.15"/>
    <row r="38678" s="76" customFormat="1" ht="54" customHeight="1" x14ac:dyDescent="0.15"/>
    <row r="38679" s="76" customFormat="1" ht="21.95" customHeight="1" x14ac:dyDescent="0.15"/>
    <row r="38680" s="76" customFormat="1" ht="21.95" customHeight="1" x14ac:dyDescent="0.15"/>
    <row r="38681" s="76" customFormat="1" ht="21.95" customHeight="1" x14ac:dyDescent="0.15"/>
    <row r="38682" s="76" customFormat="1" ht="21.95" customHeight="1" x14ac:dyDescent="0.15"/>
    <row r="38683" s="76" customFormat="1" ht="21.95" customHeight="1" x14ac:dyDescent="0.15"/>
    <row r="38684" s="76" customFormat="1" ht="21.95" customHeight="1" x14ac:dyDescent="0.15"/>
    <row r="38685" s="76" customFormat="1" ht="21.95" customHeight="1" x14ac:dyDescent="0.15"/>
    <row r="38686" s="76" customFormat="1" ht="21.95" customHeight="1" x14ac:dyDescent="0.15"/>
    <row r="38687" s="76" customFormat="1" ht="21.95" customHeight="1" x14ac:dyDescent="0.15"/>
    <row r="38688" s="76" customFormat="1" ht="21.95" customHeight="1" x14ac:dyDescent="0.15"/>
    <row r="38689" s="76" customFormat="1" ht="21.95" customHeight="1" x14ac:dyDescent="0.15"/>
    <row r="38690" s="76" customFormat="1" ht="21.95" customHeight="1" x14ac:dyDescent="0.15"/>
    <row r="38691" s="76" customFormat="1" ht="21.95" customHeight="1" x14ac:dyDescent="0.15"/>
    <row r="38692" s="76" customFormat="1" ht="21.95" customHeight="1" x14ac:dyDescent="0.15"/>
    <row r="38693" s="76" customFormat="1" ht="21.95" customHeight="1" x14ac:dyDescent="0.15"/>
    <row r="38694" s="76" customFormat="1" ht="21.95" customHeight="1" x14ac:dyDescent="0.15"/>
    <row r="38695" s="76" customFormat="1" ht="21.95" customHeight="1" x14ac:dyDescent="0.15"/>
    <row r="38696" s="76" customFormat="1" ht="21.95" customHeight="1" x14ac:dyDescent="0.15"/>
    <row r="38697" s="76" customFormat="1" ht="21.95" customHeight="1" x14ac:dyDescent="0.15"/>
    <row r="38698" s="76" customFormat="1" ht="21.95" customHeight="1" x14ac:dyDescent="0.15"/>
    <row r="38699" s="76" customFormat="1" ht="21.95" customHeight="1" x14ac:dyDescent="0.15"/>
    <row r="38700" s="76" customFormat="1" ht="21.95" customHeight="1" x14ac:dyDescent="0.15"/>
    <row r="38701" s="76" customFormat="1" ht="21.95" customHeight="1" x14ac:dyDescent="0.15"/>
    <row r="38702" s="76" customFormat="1" ht="21.95" customHeight="1" x14ac:dyDescent="0.15"/>
    <row r="38703" s="76" customFormat="1" ht="21.95" customHeight="1" x14ac:dyDescent="0.15"/>
    <row r="38704" s="76" customFormat="1" ht="21.95" customHeight="1" x14ac:dyDescent="0.15"/>
    <row r="38705" s="76" customFormat="1" ht="21.95" customHeight="1" x14ac:dyDescent="0.15"/>
    <row r="38706" s="76" customFormat="1" ht="21.95" customHeight="1" x14ac:dyDescent="0.15"/>
    <row r="38707" s="76" customFormat="1" ht="21.95" customHeight="1" x14ac:dyDescent="0.15"/>
    <row r="38708" s="76" customFormat="1" ht="21.95" customHeight="1" x14ac:dyDescent="0.15"/>
    <row r="38709" s="76" customFormat="1" ht="21.95" customHeight="1" x14ac:dyDescent="0.15"/>
    <row r="38710" s="76" customFormat="1" ht="21.95" customHeight="1" x14ac:dyDescent="0.15"/>
    <row r="38711" s="76" customFormat="1" ht="21.95" customHeight="1" x14ac:dyDescent="0.15"/>
    <row r="38712" s="76" customFormat="1" ht="21.95" customHeight="1" x14ac:dyDescent="0.15"/>
    <row r="38713" s="76" customFormat="1" ht="21.95" customHeight="1" x14ac:dyDescent="0.15"/>
    <row r="38714" s="76" customFormat="1" ht="21.95" customHeight="1" x14ac:dyDescent="0.15"/>
    <row r="38715" s="76" customFormat="1" ht="21.95" customHeight="1" x14ac:dyDescent="0.15"/>
    <row r="38716" s="76" customFormat="1" ht="21.95" customHeight="1" x14ac:dyDescent="0.15"/>
    <row r="38717" s="76" customFormat="1" ht="21.95" customHeight="1" x14ac:dyDescent="0.15"/>
    <row r="38718" s="76" customFormat="1" ht="21.95" customHeight="1" x14ac:dyDescent="0.15"/>
    <row r="38719" s="76" customFormat="1" ht="21.95" customHeight="1" x14ac:dyDescent="0.15"/>
    <row r="38720" s="76" customFormat="1" ht="21.95" customHeight="1" x14ac:dyDescent="0.15"/>
    <row r="38721" s="76" customFormat="1" ht="21.95" customHeight="1" x14ac:dyDescent="0.15"/>
    <row r="38722" s="76" customFormat="1" ht="21.95" customHeight="1" x14ac:dyDescent="0.15"/>
    <row r="38723" s="76" customFormat="1" ht="21.95" customHeight="1" x14ac:dyDescent="0.15"/>
    <row r="38724" s="76" customFormat="1" ht="21.95" customHeight="1" x14ac:dyDescent="0.15"/>
    <row r="38725" s="76" customFormat="1" ht="21.95" customHeight="1" x14ac:dyDescent="0.15"/>
    <row r="38726" s="76" customFormat="1" ht="21.95" customHeight="1" x14ac:dyDescent="0.15"/>
    <row r="38727" s="76" customFormat="1" ht="21.95" customHeight="1" x14ac:dyDescent="0.15"/>
    <row r="38728" s="76" customFormat="1" ht="21.95" customHeight="1" x14ac:dyDescent="0.15"/>
    <row r="38729" s="76" customFormat="1" ht="35.1" customHeight="1" x14ac:dyDescent="0.15"/>
    <row r="38730" s="76" customFormat="1" ht="21.95" customHeight="1" x14ac:dyDescent="0.15"/>
    <row r="38731" s="76" customFormat="1" ht="21.95" customHeight="1" x14ac:dyDescent="0.15"/>
    <row r="38732" s="76" customFormat="1" ht="21.95" customHeight="1" x14ac:dyDescent="0.15"/>
    <row r="38733" s="76" customFormat="1" ht="21.95" customHeight="1" x14ac:dyDescent="0.15"/>
    <row r="38734" s="76" customFormat="1" ht="21.95" customHeight="1" x14ac:dyDescent="0.15"/>
    <row r="38735" s="76" customFormat="1" ht="21.95" customHeight="1" x14ac:dyDescent="0.15"/>
    <row r="38736" s="76" customFormat="1" ht="21.95" customHeight="1" x14ac:dyDescent="0.15"/>
    <row r="38737" s="76" customFormat="1" ht="21.95" customHeight="1" x14ac:dyDescent="0.15"/>
    <row r="38738" s="76" customFormat="1" ht="21.95" customHeight="1" x14ac:dyDescent="0.15"/>
    <row r="38739" s="76" customFormat="1" ht="21.95" customHeight="1" x14ac:dyDescent="0.15"/>
    <row r="38740" s="76" customFormat="1" ht="21.95" customHeight="1" x14ac:dyDescent="0.15"/>
    <row r="38741" s="76" customFormat="1" ht="21.95" customHeight="1" x14ac:dyDescent="0.15"/>
    <row r="38742" s="76" customFormat="1" ht="21.95" customHeight="1" x14ac:dyDescent="0.15"/>
    <row r="38743" s="76" customFormat="1" ht="21.95" customHeight="1" x14ac:dyDescent="0.15"/>
    <row r="38744" s="76" customFormat="1" ht="21.95" customHeight="1" x14ac:dyDescent="0.15"/>
    <row r="38745" s="76" customFormat="1" ht="21.95" customHeight="1" x14ac:dyDescent="0.15"/>
    <row r="38746" s="76" customFormat="1" ht="21.95" customHeight="1" x14ac:dyDescent="0.15"/>
    <row r="38747" s="76" customFormat="1" ht="21.95" customHeight="1" x14ac:dyDescent="0.15"/>
    <row r="38748" s="76" customFormat="1" ht="21.95" customHeight="1" x14ac:dyDescent="0.15"/>
    <row r="38749" s="76" customFormat="1" ht="21.95" customHeight="1" x14ac:dyDescent="0.15"/>
    <row r="38750" s="76" customFormat="1" ht="21.95" customHeight="1" x14ac:dyDescent="0.15"/>
    <row r="38751" s="76" customFormat="1" ht="21.95" customHeight="1" x14ac:dyDescent="0.15"/>
    <row r="38752" s="76" customFormat="1" ht="21.95" customHeight="1" x14ac:dyDescent="0.15"/>
    <row r="38753" spans="3:3" customFormat="1" ht="21.95" customHeight="1" x14ac:dyDescent="0.15"/>
    <row r="38754" spans="3:3" customFormat="1" ht="21.95" customHeight="1" x14ac:dyDescent="0.15"/>
    <row r="38755" spans="3:3" customFormat="1" ht="21.95" customHeight="1" x14ac:dyDescent="0.15">
      <c r="C38755" s="94"/>
    </row>
    <row r="38756" spans="3:3" customFormat="1" ht="21.95" customHeight="1" x14ac:dyDescent="0.15">
      <c r="C38756" s="94"/>
    </row>
    <row r="38757" spans="3:3" customFormat="1" ht="21.95" customHeight="1" x14ac:dyDescent="0.15"/>
    <row r="38758" spans="3:3" customFormat="1" ht="21.95" customHeight="1" x14ac:dyDescent="0.15"/>
    <row r="38759" spans="3:3" customFormat="1" ht="21.95" customHeight="1" x14ac:dyDescent="0.15"/>
    <row r="38760" spans="3:3" customFormat="1" ht="21.95" customHeight="1" x14ac:dyDescent="0.15"/>
    <row r="38761" spans="3:3" customFormat="1" ht="21.95" customHeight="1" x14ac:dyDescent="0.15"/>
    <row r="38762" spans="3:3" customFormat="1" ht="21.95" customHeight="1" x14ac:dyDescent="0.15"/>
    <row r="38763" spans="3:3" customFormat="1" ht="21.95" customHeight="1" x14ac:dyDescent="0.15"/>
    <row r="38764" spans="3:3" s="76" customFormat="1" ht="21.95" customHeight="1" x14ac:dyDescent="0.15"/>
    <row r="38765" spans="3:3" s="76" customFormat="1" ht="21.95" customHeight="1" x14ac:dyDescent="0.15"/>
    <row r="38766" spans="3:3" s="76" customFormat="1" ht="21.95" customHeight="1" x14ac:dyDescent="0.15"/>
    <row r="38767" spans="3:3" s="76" customFormat="1" ht="21.95" customHeight="1" x14ac:dyDescent="0.15"/>
    <row r="38768" spans="3:3" customFormat="1" ht="21.95" customHeight="1" x14ac:dyDescent="0.15"/>
    <row r="38769" customFormat="1" ht="21.95" customHeight="1" x14ac:dyDescent="0.15"/>
    <row r="38770" customFormat="1" ht="21.95" customHeight="1" x14ac:dyDescent="0.15"/>
    <row r="38771" customFormat="1" ht="21.95" customHeight="1" x14ac:dyDescent="0.15"/>
    <row r="38772" customFormat="1" ht="21.95" customHeight="1" x14ac:dyDescent="0.15"/>
    <row r="38773" customFormat="1" ht="21.95" customHeight="1" x14ac:dyDescent="0.15"/>
    <row r="38774" customFormat="1" ht="21.95" customHeight="1" x14ac:dyDescent="0.15"/>
    <row r="38775" customFormat="1" ht="21.95" customHeight="1" x14ac:dyDescent="0.15"/>
    <row r="38776" customFormat="1" ht="21.95" customHeight="1" x14ac:dyDescent="0.15"/>
    <row r="38777" customFormat="1" ht="21.95" customHeight="1" x14ac:dyDescent="0.15"/>
    <row r="38778" customFormat="1" ht="21.95" customHeight="1" x14ac:dyDescent="0.15"/>
    <row r="38779" customFormat="1" ht="32.1" customHeight="1" x14ac:dyDescent="0.15"/>
    <row r="38780" customFormat="1" ht="32.1" customHeight="1" x14ac:dyDescent="0.15"/>
    <row r="38781" customFormat="1" ht="32.1" customHeight="1" x14ac:dyDescent="0.15"/>
    <row r="38782" customFormat="1" ht="32.1" customHeight="1" x14ac:dyDescent="0.15"/>
    <row r="38783" customFormat="1" ht="32.1" customHeight="1" x14ac:dyDescent="0.15"/>
    <row r="38784" customFormat="1" ht="32.1" customHeight="1" x14ac:dyDescent="0.15"/>
    <row r="38785" s="76" customFormat="1" ht="32.1" customHeight="1" x14ac:dyDescent="0.15"/>
    <row r="38786" s="76" customFormat="1" ht="32.1" customHeight="1" x14ac:dyDescent="0.15"/>
    <row r="38787" s="76" customFormat="1" ht="32.1" customHeight="1" x14ac:dyDescent="0.15"/>
    <row r="38788" s="76" customFormat="1" ht="32.1" customHeight="1" x14ac:dyDescent="0.15"/>
    <row r="38789" s="76" customFormat="1" ht="21.95" customHeight="1" x14ac:dyDescent="0.15"/>
    <row r="38790" s="76" customFormat="1" ht="54" customHeight="1" x14ac:dyDescent="0.15"/>
    <row r="38791" s="76" customFormat="1" ht="21.95" customHeight="1" x14ac:dyDescent="0.15"/>
    <row r="38792" s="76" customFormat="1" ht="21.95" customHeight="1" x14ac:dyDescent="0.15"/>
    <row r="38793" s="76" customFormat="1" ht="21.95" customHeight="1" x14ac:dyDescent="0.15"/>
    <row r="38794" s="76" customFormat="1" ht="21.95" customHeight="1" x14ac:dyDescent="0.15"/>
    <row r="38795" s="76" customFormat="1" ht="21.95" customHeight="1" x14ac:dyDescent="0.15"/>
    <row r="38796" s="76" customFormat="1" ht="21.95" customHeight="1" x14ac:dyDescent="0.15"/>
    <row r="38797" s="76" customFormat="1" ht="21.95" customHeight="1" x14ac:dyDescent="0.15"/>
    <row r="38798" s="76" customFormat="1" ht="21.95" customHeight="1" x14ac:dyDescent="0.15"/>
    <row r="38799" s="76" customFormat="1" ht="21.95" customHeight="1" x14ac:dyDescent="0.15"/>
    <row r="38800" s="76" customFormat="1" ht="21.95" customHeight="1" x14ac:dyDescent="0.15"/>
    <row r="38801" s="76" customFormat="1" ht="21.95" customHeight="1" x14ac:dyDescent="0.15"/>
    <row r="38802" s="76" customFormat="1" ht="21.95" customHeight="1" x14ac:dyDescent="0.15"/>
    <row r="38803" s="76" customFormat="1" ht="21.95" customHeight="1" x14ac:dyDescent="0.15"/>
    <row r="38804" s="76" customFormat="1" ht="21.95" customHeight="1" x14ac:dyDescent="0.15"/>
    <row r="38805" s="76" customFormat="1" ht="21.95" customHeight="1" x14ac:dyDescent="0.15"/>
    <row r="38806" s="76" customFormat="1" ht="21.95" customHeight="1" x14ac:dyDescent="0.15"/>
    <row r="38807" s="76" customFormat="1" ht="21.95" customHeight="1" x14ac:dyDescent="0.15"/>
    <row r="38808" s="76" customFormat="1" ht="21.95" customHeight="1" x14ac:dyDescent="0.15"/>
    <row r="38809" s="76" customFormat="1" ht="21.95" customHeight="1" x14ac:dyDescent="0.15"/>
    <row r="38810" s="76" customFormat="1" ht="21.95" customHeight="1" x14ac:dyDescent="0.15"/>
    <row r="38811" s="76" customFormat="1" ht="21.95" customHeight="1" x14ac:dyDescent="0.15"/>
    <row r="38812" s="76" customFormat="1" ht="21.95" customHeight="1" x14ac:dyDescent="0.15"/>
    <row r="38813" s="76" customFormat="1" ht="21.95" customHeight="1" x14ac:dyDescent="0.15"/>
    <row r="38814" s="76" customFormat="1" ht="21.95" customHeight="1" x14ac:dyDescent="0.15"/>
    <row r="38815" s="76" customFormat="1" ht="21.95" customHeight="1" x14ac:dyDescent="0.15"/>
    <row r="38816" s="76" customFormat="1" ht="21.95" customHeight="1" x14ac:dyDescent="0.15"/>
    <row r="38817" s="76" customFormat="1" ht="21.95" customHeight="1" x14ac:dyDescent="0.15"/>
    <row r="38818" s="76" customFormat="1" ht="21.95" customHeight="1" x14ac:dyDescent="0.15"/>
    <row r="38819" s="76" customFormat="1" ht="21.95" customHeight="1" x14ac:dyDescent="0.15"/>
    <row r="38820" s="76" customFormat="1" ht="21.95" customHeight="1" x14ac:dyDescent="0.15"/>
    <row r="38821" s="76" customFormat="1" ht="21.95" customHeight="1" x14ac:dyDescent="0.15"/>
    <row r="38822" s="76" customFormat="1" ht="21.95" customHeight="1" x14ac:dyDescent="0.15"/>
    <row r="38823" s="76" customFormat="1" ht="21.95" customHeight="1" x14ac:dyDescent="0.15"/>
    <row r="38824" s="76" customFormat="1" ht="21.95" customHeight="1" x14ac:dyDescent="0.15"/>
    <row r="38825" s="76" customFormat="1" ht="21.95" customHeight="1" x14ac:dyDescent="0.15"/>
    <row r="38826" s="76" customFormat="1" ht="21.95" customHeight="1" x14ac:dyDescent="0.15"/>
    <row r="38827" s="76" customFormat="1" ht="21.95" customHeight="1" x14ac:dyDescent="0.15"/>
    <row r="38828" s="76" customFormat="1" ht="21.95" customHeight="1" x14ac:dyDescent="0.15"/>
    <row r="38829" s="76" customFormat="1" ht="21.95" customHeight="1" x14ac:dyDescent="0.15"/>
    <row r="38830" s="76" customFormat="1" ht="21.95" customHeight="1" x14ac:dyDescent="0.15"/>
    <row r="38831" s="76" customFormat="1" ht="21.95" customHeight="1" x14ac:dyDescent="0.15"/>
    <row r="38832" s="76" customFormat="1" ht="21.95" customHeight="1" x14ac:dyDescent="0.15"/>
    <row r="38833" s="76" customFormat="1" ht="21.95" customHeight="1" x14ac:dyDescent="0.15"/>
    <row r="38834" s="76" customFormat="1" ht="21.95" customHeight="1" x14ac:dyDescent="0.15"/>
    <row r="38835" s="76" customFormat="1" ht="21.95" customHeight="1" x14ac:dyDescent="0.15"/>
    <row r="38836" s="76" customFormat="1" ht="21.95" customHeight="1" x14ac:dyDescent="0.15"/>
    <row r="38837" s="76" customFormat="1" ht="21.95" customHeight="1" x14ac:dyDescent="0.15"/>
    <row r="38838" s="76" customFormat="1" ht="21.95" customHeight="1" x14ac:dyDescent="0.15"/>
    <row r="38839" s="76" customFormat="1" ht="21.95" customHeight="1" x14ac:dyDescent="0.15"/>
    <row r="38840" s="76" customFormat="1" ht="21.95" customHeight="1" x14ac:dyDescent="0.15"/>
    <row r="38841" s="76" customFormat="1" ht="35.1" customHeight="1" x14ac:dyDescent="0.15"/>
    <row r="38842" s="76" customFormat="1" ht="21.95" customHeight="1" x14ac:dyDescent="0.15"/>
    <row r="38843" s="76" customFormat="1" ht="21.95" customHeight="1" x14ac:dyDescent="0.15"/>
    <row r="38844" s="76" customFormat="1" ht="21.95" customHeight="1" x14ac:dyDescent="0.15"/>
    <row r="38845" s="76" customFormat="1" ht="21.95" customHeight="1" x14ac:dyDescent="0.15"/>
    <row r="38846" s="76" customFormat="1" ht="21.95" customHeight="1" x14ac:dyDescent="0.15"/>
    <row r="38847" s="76" customFormat="1" ht="21.95" customHeight="1" x14ac:dyDescent="0.15"/>
    <row r="38848" s="76" customFormat="1" ht="21.95" customHeight="1" x14ac:dyDescent="0.15"/>
    <row r="38849" s="76" customFormat="1" ht="21.95" customHeight="1" x14ac:dyDescent="0.15"/>
    <row r="38850" s="76" customFormat="1" ht="21.95" customHeight="1" x14ac:dyDescent="0.15"/>
    <row r="38851" s="76" customFormat="1" ht="21.95" customHeight="1" x14ac:dyDescent="0.15"/>
    <row r="38852" s="76" customFormat="1" ht="21.95" customHeight="1" x14ac:dyDescent="0.15"/>
    <row r="38853" s="76" customFormat="1" ht="21.95" customHeight="1" x14ac:dyDescent="0.15"/>
    <row r="38854" s="76" customFormat="1" ht="21.95" customHeight="1" x14ac:dyDescent="0.15"/>
    <row r="38855" s="76" customFormat="1" ht="21.95" customHeight="1" x14ac:dyDescent="0.15"/>
    <row r="38856" s="76" customFormat="1" ht="21.95" customHeight="1" x14ac:dyDescent="0.15"/>
    <row r="38857" s="76" customFormat="1" ht="21.95" customHeight="1" x14ac:dyDescent="0.15"/>
    <row r="38858" s="76" customFormat="1" ht="21.95" customHeight="1" x14ac:dyDescent="0.15"/>
    <row r="38859" s="76" customFormat="1" ht="21.95" customHeight="1" x14ac:dyDescent="0.15"/>
    <row r="38860" s="76" customFormat="1" ht="21.95" customHeight="1" x14ac:dyDescent="0.15"/>
    <row r="38861" s="76" customFormat="1" ht="21.95" customHeight="1" x14ac:dyDescent="0.15"/>
    <row r="38862" s="76" customFormat="1" ht="21.95" customHeight="1" x14ac:dyDescent="0.15"/>
    <row r="38863" s="76" customFormat="1" ht="21.95" customHeight="1" x14ac:dyDescent="0.15"/>
    <row r="38864" s="76" customFormat="1" ht="21.95" customHeight="1" x14ac:dyDescent="0.15"/>
    <row r="38865" spans="3:3" customFormat="1" ht="21.95" customHeight="1" x14ac:dyDescent="0.15"/>
    <row r="38866" spans="3:3" customFormat="1" ht="21.95" customHeight="1" x14ac:dyDescent="0.15"/>
    <row r="38867" spans="3:3" customFormat="1" ht="21.95" customHeight="1" x14ac:dyDescent="0.15">
      <c r="C38867" s="94"/>
    </row>
    <row r="38868" spans="3:3" customFormat="1" ht="21.95" customHeight="1" x14ac:dyDescent="0.15">
      <c r="C38868" s="94"/>
    </row>
    <row r="38869" spans="3:3" customFormat="1" ht="21.95" customHeight="1" x14ac:dyDescent="0.15"/>
    <row r="38870" spans="3:3" customFormat="1" ht="21.95" customHeight="1" x14ac:dyDescent="0.15"/>
    <row r="38871" spans="3:3" customFormat="1" ht="21.95" customHeight="1" x14ac:dyDescent="0.15"/>
    <row r="38872" spans="3:3" customFormat="1" ht="21.95" customHeight="1" x14ac:dyDescent="0.15"/>
    <row r="38873" spans="3:3" customFormat="1" ht="21.95" customHeight="1" x14ac:dyDescent="0.15"/>
    <row r="38874" spans="3:3" customFormat="1" ht="21.95" customHeight="1" x14ac:dyDescent="0.15"/>
    <row r="38875" spans="3:3" customFormat="1" ht="21.95" customHeight="1" x14ac:dyDescent="0.15"/>
    <row r="38876" spans="3:3" s="76" customFormat="1" ht="21.95" customHeight="1" x14ac:dyDescent="0.15"/>
    <row r="38877" spans="3:3" s="76" customFormat="1" ht="21.95" customHeight="1" x14ac:dyDescent="0.15"/>
    <row r="38878" spans="3:3" s="76" customFormat="1" ht="21.95" customHeight="1" x14ac:dyDescent="0.15"/>
    <row r="38879" spans="3:3" s="76" customFormat="1" ht="21.95" customHeight="1" x14ac:dyDescent="0.15"/>
    <row r="38880" spans="3:3" customFormat="1" ht="21.95" customHeight="1" x14ac:dyDescent="0.15"/>
    <row r="38881" customFormat="1" ht="21.95" customHeight="1" x14ac:dyDescent="0.15"/>
    <row r="38882" customFormat="1" ht="21.95" customHeight="1" x14ac:dyDescent="0.15"/>
    <row r="38883" customFormat="1" ht="21.95" customHeight="1" x14ac:dyDescent="0.15"/>
    <row r="38884" customFormat="1" ht="21.95" customHeight="1" x14ac:dyDescent="0.15"/>
    <row r="38885" customFormat="1" ht="21.95" customHeight="1" x14ac:dyDescent="0.15"/>
    <row r="38886" customFormat="1" ht="21.95" customHeight="1" x14ac:dyDescent="0.15"/>
    <row r="38887" customFormat="1" ht="21.95" customHeight="1" x14ac:dyDescent="0.15"/>
    <row r="38888" customFormat="1" ht="21.95" customHeight="1" x14ac:dyDescent="0.15"/>
    <row r="38889" customFormat="1" ht="21.95" customHeight="1" x14ac:dyDescent="0.15"/>
    <row r="38890" customFormat="1" ht="21.95" customHeight="1" x14ac:dyDescent="0.15"/>
    <row r="38891" customFormat="1" ht="32.1" customHeight="1" x14ac:dyDescent="0.15"/>
    <row r="38892" customFormat="1" ht="32.1" customHeight="1" x14ac:dyDescent="0.15"/>
    <row r="38893" customFormat="1" ht="32.1" customHeight="1" x14ac:dyDescent="0.15"/>
    <row r="38894" customFormat="1" ht="32.1" customHeight="1" x14ac:dyDescent="0.15"/>
    <row r="38895" customFormat="1" ht="32.1" customHeight="1" x14ac:dyDescent="0.15"/>
    <row r="38896" customFormat="1" ht="32.1" customHeight="1" x14ac:dyDescent="0.15"/>
    <row r="38897" s="76" customFormat="1" ht="32.1" customHeight="1" x14ac:dyDescent="0.15"/>
    <row r="38898" s="76" customFormat="1" ht="32.1" customHeight="1" x14ac:dyDescent="0.15"/>
    <row r="38899" s="76" customFormat="1" ht="32.1" customHeight="1" x14ac:dyDescent="0.15"/>
    <row r="38900" s="76" customFormat="1" ht="32.1" customHeight="1" x14ac:dyDescent="0.15"/>
    <row r="38901" s="76" customFormat="1" ht="21.95" customHeight="1" x14ac:dyDescent="0.15"/>
    <row r="38902" s="76" customFormat="1" ht="54" customHeight="1" x14ac:dyDescent="0.15"/>
    <row r="38903" s="76" customFormat="1" ht="21.95" customHeight="1" x14ac:dyDescent="0.15"/>
    <row r="38904" s="76" customFormat="1" ht="21.95" customHeight="1" x14ac:dyDescent="0.15"/>
    <row r="38905" s="76" customFormat="1" ht="21.95" customHeight="1" x14ac:dyDescent="0.15"/>
    <row r="38906" s="76" customFormat="1" ht="21.95" customHeight="1" x14ac:dyDescent="0.15"/>
    <row r="38907" s="76" customFormat="1" ht="21.95" customHeight="1" x14ac:dyDescent="0.15"/>
    <row r="38908" s="76" customFormat="1" ht="21.95" customHeight="1" x14ac:dyDescent="0.15"/>
    <row r="38909" s="76" customFormat="1" ht="21.95" customHeight="1" x14ac:dyDescent="0.15"/>
    <row r="38910" s="76" customFormat="1" ht="21.95" customHeight="1" x14ac:dyDescent="0.15"/>
    <row r="38911" s="76" customFormat="1" ht="21.95" customHeight="1" x14ac:dyDescent="0.15"/>
    <row r="38912" s="76" customFormat="1" ht="21.95" customHeight="1" x14ac:dyDescent="0.15"/>
    <row r="38913" s="76" customFormat="1" ht="21.95" customHeight="1" x14ac:dyDescent="0.15"/>
    <row r="38914" s="76" customFormat="1" ht="21.95" customHeight="1" x14ac:dyDescent="0.15"/>
    <row r="38915" s="76" customFormat="1" ht="21.95" customHeight="1" x14ac:dyDescent="0.15"/>
    <row r="38916" s="76" customFormat="1" ht="21.95" customHeight="1" x14ac:dyDescent="0.15"/>
    <row r="38917" s="76" customFormat="1" ht="21.95" customHeight="1" x14ac:dyDescent="0.15"/>
    <row r="38918" s="76" customFormat="1" ht="21.95" customHeight="1" x14ac:dyDescent="0.15"/>
    <row r="38919" s="76" customFormat="1" ht="21.95" customHeight="1" x14ac:dyDescent="0.15"/>
    <row r="38920" s="76" customFormat="1" ht="21.95" customHeight="1" x14ac:dyDescent="0.15"/>
    <row r="38921" s="76" customFormat="1" ht="21.95" customHeight="1" x14ac:dyDescent="0.15"/>
    <row r="38922" s="76" customFormat="1" ht="21.95" customHeight="1" x14ac:dyDescent="0.15"/>
    <row r="38923" s="76" customFormat="1" ht="21.95" customHeight="1" x14ac:dyDescent="0.15"/>
    <row r="38924" s="76" customFormat="1" ht="21.95" customHeight="1" x14ac:dyDescent="0.15"/>
    <row r="38925" s="76" customFormat="1" ht="21.95" customHeight="1" x14ac:dyDescent="0.15"/>
    <row r="38926" s="76" customFormat="1" ht="21.95" customHeight="1" x14ac:dyDescent="0.15"/>
    <row r="38927" s="76" customFormat="1" ht="21.95" customHeight="1" x14ac:dyDescent="0.15"/>
    <row r="38928" s="76" customFormat="1" ht="21.95" customHeight="1" x14ac:dyDescent="0.15"/>
    <row r="38929" s="76" customFormat="1" ht="21.95" customHeight="1" x14ac:dyDescent="0.15"/>
    <row r="38930" s="76" customFormat="1" ht="21.95" customHeight="1" x14ac:dyDescent="0.15"/>
    <row r="38931" s="76" customFormat="1" ht="21.95" customHeight="1" x14ac:dyDescent="0.15"/>
    <row r="38932" s="76" customFormat="1" ht="21.95" customHeight="1" x14ac:dyDescent="0.15"/>
    <row r="38933" s="76" customFormat="1" ht="21.95" customHeight="1" x14ac:dyDescent="0.15"/>
    <row r="38934" s="76" customFormat="1" ht="21.95" customHeight="1" x14ac:dyDescent="0.15"/>
    <row r="38935" s="76" customFormat="1" ht="21.95" customHeight="1" x14ac:dyDescent="0.15"/>
    <row r="38936" s="76" customFormat="1" ht="21.95" customHeight="1" x14ac:dyDescent="0.15"/>
    <row r="38937" s="76" customFormat="1" ht="21.95" customHeight="1" x14ac:dyDescent="0.15"/>
    <row r="38938" s="76" customFormat="1" ht="21.95" customHeight="1" x14ac:dyDescent="0.15"/>
    <row r="38939" s="76" customFormat="1" ht="21.95" customHeight="1" x14ac:dyDescent="0.15"/>
    <row r="38940" s="76" customFormat="1" ht="21.95" customHeight="1" x14ac:dyDescent="0.15"/>
    <row r="38941" s="76" customFormat="1" ht="21.95" customHeight="1" x14ac:dyDescent="0.15"/>
    <row r="38942" s="76" customFormat="1" ht="21.95" customHeight="1" x14ac:dyDescent="0.15"/>
    <row r="38943" s="76" customFormat="1" ht="21.95" customHeight="1" x14ac:dyDescent="0.15"/>
    <row r="38944" s="76" customFormat="1" ht="21.95" customHeight="1" x14ac:dyDescent="0.15"/>
    <row r="38945" s="76" customFormat="1" ht="21.95" customHeight="1" x14ac:dyDescent="0.15"/>
    <row r="38946" s="76" customFormat="1" ht="21.95" customHeight="1" x14ac:dyDescent="0.15"/>
    <row r="38947" s="76" customFormat="1" ht="21.95" customHeight="1" x14ac:dyDescent="0.15"/>
    <row r="38948" s="76" customFormat="1" ht="21.95" customHeight="1" x14ac:dyDescent="0.15"/>
    <row r="38949" s="76" customFormat="1" ht="21.95" customHeight="1" x14ac:dyDescent="0.15"/>
    <row r="38950" s="76" customFormat="1" ht="21.95" customHeight="1" x14ac:dyDescent="0.15"/>
    <row r="38951" s="76" customFormat="1" ht="21.95" customHeight="1" x14ac:dyDescent="0.15"/>
    <row r="38952" s="76" customFormat="1" ht="21.95" customHeight="1" x14ac:dyDescent="0.15"/>
    <row r="38953" s="76" customFormat="1" ht="35.1" customHeight="1" x14ac:dyDescent="0.15"/>
    <row r="38954" s="76" customFormat="1" ht="21.95" customHeight="1" x14ac:dyDescent="0.15"/>
    <row r="38955" s="76" customFormat="1" ht="21.95" customHeight="1" x14ac:dyDescent="0.15"/>
    <row r="38956" s="76" customFormat="1" ht="21.95" customHeight="1" x14ac:dyDescent="0.15"/>
    <row r="38957" s="76" customFormat="1" ht="21.95" customHeight="1" x14ac:dyDescent="0.15"/>
    <row r="38958" s="76" customFormat="1" ht="21.95" customHeight="1" x14ac:dyDescent="0.15"/>
    <row r="38959" s="76" customFormat="1" ht="21.95" customHeight="1" x14ac:dyDescent="0.15"/>
    <row r="38960" s="76" customFormat="1" ht="21.95" customHeight="1" x14ac:dyDescent="0.15"/>
    <row r="38961" s="76" customFormat="1" ht="21.95" customHeight="1" x14ac:dyDescent="0.15"/>
    <row r="38962" s="76" customFormat="1" ht="21.95" customHeight="1" x14ac:dyDescent="0.15"/>
    <row r="38963" s="76" customFormat="1" ht="21.95" customHeight="1" x14ac:dyDescent="0.15"/>
    <row r="38964" s="76" customFormat="1" ht="21.95" customHeight="1" x14ac:dyDescent="0.15"/>
    <row r="38965" s="76" customFormat="1" ht="21.95" customHeight="1" x14ac:dyDescent="0.15"/>
    <row r="38966" s="76" customFormat="1" ht="21.95" customHeight="1" x14ac:dyDescent="0.15"/>
    <row r="38967" s="76" customFormat="1" ht="21.95" customHeight="1" x14ac:dyDescent="0.15"/>
    <row r="38968" s="76" customFormat="1" ht="21.95" customHeight="1" x14ac:dyDescent="0.15"/>
    <row r="38969" s="76" customFormat="1" ht="21.95" customHeight="1" x14ac:dyDescent="0.15"/>
    <row r="38970" s="76" customFormat="1" ht="21.95" customHeight="1" x14ac:dyDescent="0.15"/>
    <row r="38971" s="76" customFormat="1" ht="21.95" customHeight="1" x14ac:dyDescent="0.15"/>
    <row r="38972" s="76" customFormat="1" ht="21.95" customHeight="1" x14ac:dyDescent="0.15"/>
    <row r="38973" s="76" customFormat="1" ht="21.95" customHeight="1" x14ac:dyDescent="0.15"/>
    <row r="38974" s="76" customFormat="1" ht="21.95" customHeight="1" x14ac:dyDescent="0.15"/>
    <row r="38975" s="76" customFormat="1" ht="21.95" customHeight="1" x14ac:dyDescent="0.15"/>
    <row r="38976" s="76" customFormat="1" ht="21.95" customHeight="1" x14ac:dyDescent="0.15"/>
    <row r="38977" spans="3:3" customFormat="1" ht="21.95" customHeight="1" x14ac:dyDescent="0.15"/>
    <row r="38978" spans="3:3" customFormat="1" ht="21.95" customHeight="1" x14ac:dyDescent="0.15"/>
    <row r="38979" spans="3:3" customFormat="1" ht="21.95" customHeight="1" x14ac:dyDescent="0.15">
      <c r="C38979" s="94"/>
    </row>
    <row r="38980" spans="3:3" customFormat="1" ht="21.95" customHeight="1" x14ac:dyDescent="0.15">
      <c r="C38980" s="94"/>
    </row>
    <row r="38981" spans="3:3" customFormat="1" ht="21.95" customHeight="1" x14ac:dyDescent="0.15"/>
    <row r="38982" spans="3:3" customFormat="1" ht="21.95" customHeight="1" x14ac:dyDescent="0.15"/>
    <row r="38983" spans="3:3" customFormat="1" ht="21.95" customHeight="1" x14ac:dyDescent="0.15"/>
    <row r="38984" spans="3:3" customFormat="1" ht="21.95" customHeight="1" x14ac:dyDescent="0.15"/>
    <row r="38985" spans="3:3" customFormat="1" ht="21.95" customHeight="1" x14ac:dyDescent="0.15"/>
    <row r="38986" spans="3:3" customFormat="1" ht="21.95" customHeight="1" x14ac:dyDescent="0.15"/>
    <row r="38987" spans="3:3" customFormat="1" ht="21.95" customHeight="1" x14ac:dyDescent="0.15"/>
    <row r="38988" spans="3:3" s="76" customFormat="1" ht="21.95" customHeight="1" x14ac:dyDescent="0.15"/>
    <row r="38989" spans="3:3" s="76" customFormat="1" ht="21.95" customHeight="1" x14ac:dyDescent="0.15"/>
    <row r="38990" spans="3:3" s="76" customFormat="1" ht="21.95" customHeight="1" x14ac:dyDescent="0.15"/>
    <row r="38991" spans="3:3" s="76" customFormat="1" ht="21.95" customHeight="1" x14ac:dyDescent="0.15"/>
    <row r="38992" spans="3:3" customFormat="1" ht="21.95" customHeight="1" x14ac:dyDescent="0.15"/>
    <row r="38993" customFormat="1" ht="21.95" customHeight="1" x14ac:dyDescent="0.15"/>
    <row r="38994" customFormat="1" ht="21.95" customHeight="1" x14ac:dyDescent="0.15"/>
    <row r="38995" customFormat="1" ht="21.95" customHeight="1" x14ac:dyDescent="0.15"/>
    <row r="38996" customFormat="1" ht="21.95" customHeight="1" x14ac:dyDescent="0.15"/>
    <row r="38997" customFormat="1" ht="21.95" customHeight="1" x14ac:dyDescent="0.15"/>
    <row r="38998" customFormat="1" ht="21.95" customHeight="1" x14ac:dyDescent="0.15"/>
    <row r="38999" customFormat="1" ht="21.95" customHeight="1" x14ac:dyDescent="0.15"/>
    <row r="39000" customFormat="1" ht="21.95" customHeight="1" x14ac:dyDescent="0.15"/>
    <row r="39001" customFormat="1" ht="21.95" customHeight="1" x14ac:dyDescent="0.15"/>
    <row r="39002" customFormat="1" ht="21.95" customHeight="1" x14ac:dyDescent="0.15"/>
    <row r="39003" customFormat="1" ht="32.1" customHeight="1" x14ac:dyDescent="0.15"/>
    <row r="39004" customFormat="1" ht="32.1" customHeight="1" x14ac:dyDescent="0.15"/>
    <row r="39005" customFormat="1" ht="32.1" customHeight="1" x14ac:dyDescent="0.15"/>
    <row r="39006" customFormat="1" ht="32.1" customHeight="1" x14ac:dyDescent="0.15"/>
    <row r="39007" customFormat="1" ht="32.1" customHeight="1" x14ac:dyDescent="0.15"/>
    <row r="39008" customFormat="1" ht="32.1" customHeight="1" x14ac:dyDescent="0.15"/>
    <row r="39009" s="76" customFormat="1" ht="32.1" customHeight="1" x14ac:dyDescent="0.15"/>
    <row r="39010" s="76" customFormat="1" ht="32.1" customHeight="1" x14ac:dyDescent="0.15"/>
    <row r="39011" s="76" customFormat="1" ht="32.1" customHeight="1" x14ac:dyDescent="0.15"/>
    <row r="39012" s="76" customFormat="1" ht="32.1" customHeight="1" x14ac:dyDescent="0.15"/>
    <row r="39013" s="76" customFormat="1" ht="21.95" customHeight="1" x14ac:dyDescent="0.15"/>
    <row r="39014" s="76" customFormat="1" ht="54" customHeight="1" x14ac:dyDescent="0.15"/>
    <row r="39015" s="76" customFormat="1" ht="21.95" customHeight="1" x14ac:dyDescent="0.15"/>
    <row r="39016" s="76" customFormat="1" ht="21.95" customHeight="1" x14ac:dyDescent="0.15"/>
    <row r="39017" s="76" customFormat="1" ht="21.95" customHeight="1" x14ac:dyDescent="0.15"/>
    <row r="39018" s="76" customFormat="1" ht="21.95" customHeight="1" x14ac:dyDescent="0.15"/>
    <row r="39019" s="76" customFormat="1" ht="21.95" customHeight="1" x14ac:dyDescent="0.15"/>
    <row r="39020" s="76" customFormat="1" ht="21.95" customHeight="1" x14ac:dyDescent="0.15"/>
    <row r="39021" s="76" customFormat="1" ht="21.95" customHeight="1" x14ac:dyDescent="0.15"/>
    <row r="39022" s="76" customFormat="1" ht="21.95" customHeight="1" x14ac:dyDescent="0.15"/>
    <row r="39023" s="76" customFormat="1" ht="21.95" customHeight="1" x14ac:dyDescent="0.15"/>
    <row r="39024" s="76" customFormat="1" ht="21.95" customHeight="1" x14ac:dyDescent="0.15"/>
    <row r="39025" s="76" customFormat="1" ht="21.95" customHeight="1" x14ac:dyDescent="0.15"/>
    <row r="39026" s="76" customFormat="1" ht="21.95" customHeight="1" x14ac:dyDescent="0.15"/>
    <row r="39027" s="76" customFormat="1" ht="21.95" customHeight="1" x14ac:dyDescent="0.15"/>
    <row r="39028" s="76" customFormat="1" ht="21.95" customHeight="1" x14ac:dyDescent="0.15"/>
    <row r="39029" s="76" customFormat="1" ht="21.95" customHeight="1" x14ac:dyDescent="0.15"/>
    <row r="39030" s="76" customFormat="1" ht="21.95" customHeight="1" x14ac:dyDescent="0.15"/>
    <row r="39031" s="76" customFormat="1" ht="21.95" customHeight="1" x14ac:dyDescent="0.15"/>
    <row r="39032" s="76" customFormat="1" ht="21.95" customHeight="1" x14ac:dyDescent="0.15"/>
    <row r="39033" s="76" customFormat="1" ht="21.95" customHeight="1" x14ac:dyDescent="0.15"/>
    <row r="39034" s="76" customFormat="1" ht="21.95" customHeight="1" x14ac:dyDescent="0.15"/>
    <row r="39035" s="76" customFormat="1" ht="21.95" customHeight="1" x14ac:dyDescent="0.15"/>
    <row r="39036" s="76" customFormat="1" ht="21.95" customHeight="1" x14ac:dyDescent="0.15"/>
    <row r="39037" s="76" customFormat="1" ht="21.95" customHeight="1" x14ac:dyDescent="0.15"/>
    <row r="39038" s="76" customFormat="1" ht="21.95" customHeight="1" x14ac:dyDescent="0.15"/>
    <row r="39039" s="76" customFormat="1" ht="21.95" customHeight="1" x14ac:dyDescent="0.15"/>
    <row r="39040" s="76" customFormat="1" ht="21.95" customHeight="1" x14ac:dyDescent="0.15"/>
    <row r="39041" s="76" customFormat="1" ht="21.95" customHeight="1" x14ac:dyDescent="0.15"/>
    <row r="39042" s="76" customFormat="1" ht="21.95" customHeight="1" x14ac:dyDescent="0.15"/>
    <row r="39043" s="76" customFormat="1" ht="21.95" customHeight="1" x14ac:dyDescent="0.15"/>
    <row r="39044" s="76" customFormat="1" ht="21.95" customHeight="1" x14ac:dyDescent="0.15"/>
    <row r="39045" s="76" customFormat="1" ht="21.95" customHeight="1" x14ac:dyDescent="0.15"/>
    <row r="39046" s="76" customFormat="1" ht="21.95" customHeight="1" x14ac:dyDescent="0.15"/>
    <row r="39047" s="76" customFormat="1" ht="21.95" customHeight="1" x14ac:dyDescent="0.15"/>
    <row r="39048" s="76" customFormat="1" ht="21.95" customHeight="1" x14ac:dyDescent="0.15"/>
    <row r="39049" s="76" customFormat="1" ht="21.95" customHeight="1" x14ac:dyDescent="0.15"/>
    <row r="39050" s="76" customFormat="1" ht="21.95" customHeight="1" x14ac:dyDescent="0.15"/>
    <row r="39051" s="76" customFormat="1" ht="21.95" customHeight="1" x14ac:dyDescent="0.15"/>
    <row r="39052" s="76" customFormat="1" ht="21.95" customHeight="1" x14ac:dyDescent="0.15"/>
    <row r="39053" s="76" customFormat="1" ht="21.95" customHeight="1" x14ac:dyDescent="0.15"/>
    <row r="39054" s="76" customFormat="1" ht="21.95" customHeight="1" x14ac:dyDescent="0.15"/>
    <row r="39055" s="76" customFormat="1" ht="21.95" customHeight="1" x14ac:dyDescent="0.15"/>
    <row r="39056" s="76" customFormat="1" ht="21.95" customHeight="1" x14ac:dyDescent="0.15"/>
    <row r="39057" s="76" customFormat="1" ht="21.95" customHeight="1" x14ac:dyDescent="0.15"/>
    <row r="39058" s="76" customFormat="1" ht="21.95" customHeight="1" x14ac:dyDescent="0.15"/>
    <row r="39059" s="76" customFormat="1" ht="21.95" customHeight="1" x14ac:dyDescent="0.15"/>
    <row r="39060" s="76" customFormat="1" ht="21.95" customHeight="1" x14ac:dyDescent="0.15"/>
    <row r="39061" s="76" customFormat="1" ht="21.95" customHeight="1" x14ac:dyDescent="0.15"/>
    <row r="39062" s="76" customFormat="1" ht="21.95" customHeight="1" x14ac:dyDescent="0.15"/>
    <row r="39063" s="76" customFormat="1" ht="21.95" customHeight="1" x14ac:dyDescent="0.15"/>
    <row r="39064" s="76" customFormat="1" ht="21.95" customHeight="1" x14ac:dyDescent="0.15"/>
    <row r="39065" s="76" customFormat="1" ht="35.1" customHeight="1" x14ac:dyDescent="0.15"/>
    <row r="39066" s="76" customFormat="1" ht="21.95" customHeight="1" x14ac:dyDescent="0.15"/>
    <row r="39067" s="76" customFormat="1" ht="21.95" customHeight="1" x14ac:dyDescent="0.15"/>
    <row r="39068" s="76" customFormat="1" ht="21.95" customHeight="1" x14ac:dyDescent="0.15"/>
    <row r="39069" s="76" customFormat="1" ht="21.95" customHeight="1" x14ac:dyDescent="0.15"/>
    <row r="39070" s="76" customFormat="1" ht="21.95" customHeight="1" x14ac:dyDescent="0.15"/>
    <row r="39071" s="76" customFormat="1" ht="21.95" customHeight="1" x14ac:dyDescent="0.15"/>
    <row r="39072" s="76" customFormat="1" ht="21.95" customHeight="1" x14ac:dyDescent="0.15"/>
    <row r="39073" s="76" customFormat="1" ht="21.95" customHeight="1" x14ac:dyDescent="0.15"/>
    <row r="39074" s="76" customFormat="1" ht="21.95" customHeight="1" x14ac:dyDescent="0.15"/>
    <row r="39075" s="76" customFormat="1" ht="21.95" customHeight="1" x14ac:dyDescent="0.15"/>
    <row r="39076" s="76" customFormat="1" ht="21.95" customHeight="1" x14ac:dyDescent="0.15"/>
    <row r="39077" s="76" customFormat="1" ht="21.95" customHeight="1" x14ac:dyDescent="0.15"/>
    <row r="39078" s="76" customFormat="1" ht="21.95" customHeight="1" x14ac:dyDescent="0.15"/>
    <row r="39079" s="76" customFormat="1" ht="21.95" customHeight="1" x14ac:dyDescent="0.15"/>
    <row r="39080" s="76" customFormat="1" ht="21.95" customHeight="1" x14ac:dyDescent="0.15"/>
    <row r="39081" s="76" customFormat="1" ht="21.95" customHeight="1" x14ac:dyDescent="0.15"/>
    <row r="39082" s="76" customFormat="1" ht="21.95" customHeight="1" x14ac:dyDescent="0.15"/>
    <row r="39083" s="76" customFormat="1" ht="21.95" customHeight="1" x14ac:dyDescent="0.15"/>
    <row r="39084" s="76" customFormat="1" ht="21.95" customHeight="1" x14ac:dyDescent="0.15"/>
    <row r="39085" s="76" customFormat="1" ht="21.95" customHeight="1" x14ac:dyDescent="0.15"/>
    <row r="39086" s="76" customFormat="1" ht="21.95" customHeight="1" x14ac:dyDescent="0.15"/>
    <row r="39087" s="76" customFormat="1" ht="21.95" customHeight="1" x14ac:dyDescent="0.15"/>
    <row r="39088" s="76" customFormat="1" ht="21.95" customHeight="1" x14ac:dyDescent="0.15"/>
    <row r="39089" spans="3:3" customFormat="1" ht="21.95" customHeight="1" x14ac:dyDescent="0.15"/>
    <row r="39090" spans="3:3" customFormat="1" ht="21.95" customHeight="1" x14ac:dyDescent="0.15"/>
    <row r="39091" spans="3:3" customFormat="1" ht="21.95" customHeight="1" x14ac:dyDescent="0.15">
      <c r="C39091" s="94"/>
    </row>
    <row r="39092" spans="3:3" customFormat="1" ht="21.95" customHeight="1" x14ac:dyDescent="0.15">
      <c r="C39092" s="94"/>
    </row>
    <row r="39093" spans="3:3" customFormat="1" ht="21.95" customHeight="1" x14ac:dyDescent="0.15"/>
    <row r="39094" spans="3:3" customFormat="1" ht="21.95" customHeight="1" x14ac:dyDescent="0.15"/>
    <row r="39095" spans="3:3" customFormat="1" ht="21.95" customHeight="1" x14ac:dyDescent="0.15"/>
    <row r="39096" spans="3:3" customFormat="1" ht="21.95" customHeight="1" x14ac:dyDescent="0.15"/>
    <row r="39097" spans="3:3" customFormat="1" ht="21.95" customHeight="1" x14ac:dyDescent="0.15"/>
    <row r="39098" spans="3:3" customFormat="1" ht="21.95" customHeight="1" x14ac:dyDescent="0.15"/>
    <row r="39099" spans="3:3" customFormat="1" ht="21.95" customHeight="1" x14ac:dyDescent="0.15"/>
    <row r="39100" spans="3:3" s="76" customFormat="1" ht="21.95" customHeight="1" x14ac:dyDescent="0.15"/>
    <row r="39101" spans="3:3" s="76" customFormat="1" ht="21.95" customHeight="1" x14ac:dyDescent="0.15"/>
    <row r="39102" spans="3:3" s="76" customFormat="1" ht="21.95" customHeight="1" x14ac:dyDescent="0.15"/>
    <row r="39103" spans="3:3" s="76" customFormat="1" ht="21.95" customHeight="1" x14ac:dyDescent="0.15"/>
    <row r="39104" spans="3:3" customFormat="1" ht="21.95" customHeight="1" x14ac:dyDescent="0.15"/>
    <row r="39105" customFormat="1" ht="21.95" customHeight="1" x14ac:dyDescent="0.15"/>
    <row r="39106" customFormat="1" ht="21.95" customHeight="1" x14ac:dyDescent="0.15"/>
    <row r="39107" customFormat="1" ht="21.95" customHeight="1" x14ac:dyDescent="0.15"/>
    <row r="39108" customFormat="1" ht="21.95" customHeight="1" x14ac:dyDescent="0.15"/>
    <row r="39109" customFormat="1" ht="21.95" customHeight="1" x14ac:dyDescent="0.15"/>
    <row r="39110" customFormat="1" ht="21.95" customHeight="1" x14ac:dyDescent="0.15"/>
    <row r="39111" customFormat="1" ht="21.95" customHeight="1" x14ac:dyDescent="0.15"/>
    <row r="39112" customFormat="1" ht="21.95" customHeight="1" x14ac:dyDescent="0.15"/>
    <row r="39113" customFormat="1" ht="21.95" customHeight="1" x14ac:dyDescent="0.15"/>
    <row r="39114" customFormat="1" ht="21.95" customHeight="1" x14ac:dyDescent="0.15"/>
    <row r="39115" customFormat="1" ht="32.1" customHeight="1" x14ac:dyDescent="0.15"/>
    <row r="39116" customFormat="1" ht="32.1" customHeight="1" x14ac:dyDescent="0.15"/>
    <row r="39117" customFormat="1" ht="32.1" customHeight="1" x14ac:dyDescent="0.15"/>
    <row r="39118" customFormat="1" ht="32.1" customHeight="1" x14ac:dyDescent="0.15"/>
    <row r="39119" customFormat="1" ht="32.1" customHeight="1" x14ac:dyDescent="0.15"/>
    <row r="39120" customFormat="1" ht="32.1" customHeight="1" x14ac:dyDescent="0.15"/>
    <row r="39121" s="76" customFormat="1" ht="32.1" customHeight="1" x14ac:dyDescent="0.15"/>
    <row r="39122" s="76" customFormat="1" ht="32.1" customHeight="1" x14ac:dyDescent="0.15"/>
    <row r="39123" s="76" customFormat="1" ht="32.1" customHeight="1" x14ac:dyDescent="0.15"/>
    <row r="39124" s="76" customFormat="1" ht="32.1" customHeight="1" x14ac:dyDescent="0.15"/>
    <row r="39125" s="76" customFormat="1" ht="21.95" customHeight="1" x14ac:dyDescent="0.15"/>
    <row r="39126" s="76" customFormat="1" ht="54" customHeight="1" x14ac:dyDescent="0.15"/>
    <row r="39127" s="76" customFormat="1" ht="21.95" customHeight="1" x14ac:dyDescent="0.15"/>
    <row r="39128" s="76" customFormat="1" ht="21.95" customHeight="1" x14ac:dyDescent="0.15"/>
    <row r="39129" s="76" customFormat="1" ht="21.95" customHeight="1" x14ac:dyDescent="0.15"/>
    <row r="39130" s="76" customFormat="1" ht="21.95" customHeight="1" x14ac:dyDescent="0.15"/>
    <row r="39131" s="76" customFormat="1" ht="21.95" customHeight="1" x14ac:dyDescent="0.15"/>
    <row r="39132" s="76" customFormat="1" ht="21.95" customHeight="1" x14ac:dyDescent="0.15"/>
    <row r="39133" s="76" customFormat="1" ht="21.95" customHeight="1" x14ac:dyDescent="0.15"/>
    <row r="39134" s="76" customFormat="1" ht="21.95" customHeight="1" x14ac:dyDescent="0.15"/>
    <row r="39135" s="76" customFormat="1" ht="21.95" customHeight="1" x14ac:dyDescent="0.15"/>
    <row r="39136" s="76" customFormat="1" ht="21.95" customHeight="1" x14ac:dyDescent="0.15"/>
    <row r="39137" s="76" customFormat="1" ht="21.95" customHeight="1" x14ac:dyDescent="0.15"/>
    <row r="39138" s="76" customFormat="1" ht="21.95" customHeight="1" x14ac:dyDescent="0.15"/>
    <row r="39139" s="76" customFormat="1" ht="21.95" customHeight="1" x14ac:dyDescent="0.15"/>
    <row r="39140" s="76" customFormat="1" ht="21.95" customHeight="1" x14ac:dyDescent="0.15"/>
    <row r="39141" s="76" customFormat="1" ht="21.95" customHeight="1" x14ac:dyDescent="0.15"/>
    <row r="39142" s="76" customFormat="1" ht="21.95" customHeight="1" x14ac:dyDescent="0.15"/>
    <row r="39143" s="76" customFormat="1" ht="21.95" customHeight="1" x14ac:dyDescent="0.15"/>
    <row r="39144" s="76" customFormat="1" ht="21.95" customHeight="1" x14ac:dyDescent="0.15"/>
    <row r="39145" s="76" customFormat="1" ht="21.95" customHeight="1" x14ac:dyDescent="0.15"/>
    <row r="39146" s="76" customFormat="1" ht="21.95" customHeight="1" x14ac:dyDescent="0.15"/>
    <row r="39147" s="76" customFormat="1" ht="21.95" customHeight="1" x14ac:dyDescent="0.15"/>
    <row r="39148" s="76" customFormat="1" ht="21.95" customHeight="1" x14ac:dyDescent="0.15"/>
    <row r="39149" s="76" customFormat="1" ht="21.95" customHeight="1" x14ac:dyDescent="0.15"/>
    <row r="39150" s="76" customFormat="1" ht="21.95" customHeight="1" x14ac:dyDescent="0.15"/>
    <row r="39151" s="76" customFormat="1" ht="21.95" customHeight="1" x14ac:dyDescent="0.15"/>
    <row r="39152" s="76" customFormat="1" ht="21.95" customHeight="1" x14ac:dyDescent="0.15"/>
    <row r="39153" s="76" customFormat="1" ht="21.95" customHeight="1" x14ac:dyDescent="0.15"/>
    <row r="39154" s="76" customFormat="1" ht="21.95" customHeight="1" x14ac:dyDescent="0.15"/>
    <row r="39155" s="76" customFormat="1" ht="21.95" customHeight="1" x14ac:dyDescent="0.15"/>
    <row r="39156" s="76" customFormat="1" ht="21.95" customHeight="1" x14ac:dyDescent="0.15"/>
    <row r="39157" s="76" customFormat="1" ht="21.95" customHeight="1" x14ac:dyDescent="0.15"/>
    <row r="39158" s="76" customFormat="1" ht="21.95" customHeight="1" x14ac:dyDescent="0.15"/>
    <row r="39159" s="76" customFormat="1" ht="21.95" customHeight="1" x14ac:dyDescent="0.15"/>
    <row r="39160" s="76" customFormat="1" ht="21.95" customHeight="1" x14ac:dyDescent="0.15"/>
    <row r="39161" s="76" customFormat="1" ht="21.95" customHeight="1" x14ac:dyDescent="0.15"/>
    <row r="39162" s="76" customFormat="1" ht="21.95" customHeight="1" x14ac:dyDescent="0.15"/>
    <row r="39163" s="76" customFormat="1" ht="21.95" customHeight="1" x14ac:dyDescent="0.15"/>
    <row r="39164" s="76" customFormat="1" ht="21.95" customHeight="1" x14ac:dyDescent="0.15"/>
    <row r="39165" s="76" customFormat="1" ht="21.95" customHeight="1" x14ac:dyDescent="0.15"/>
    <row r="39166" s="76" customFormat="1" ht="21.95" customHeight="1" x14ac:dyDescent="0.15"/>
    <row r="39167" s="76" customFormat="1" ht="21.95" customHeight="1" x14ac:dyDescent="0.15"/>
    <row r="39168" s="76" customFormat="1" ht="21.95" customHeight="1" x14ac:dyDescent="0.15"/>
    <row r="39169" s="76" customFormat="1" ht="21.95" customHeight="1" x14ac:dyDescent="0.15"/>
    <row r="39170" s="76" customFormat="1" ht="21.95" customHeight="1" x14ac:dyDescent="0.15"/>
    <row r="39171" s="76" customFormat="1" ht="21.95" customHeight="1" x14ac:dyDescent="0.15"/>
    <row r="39172" s="76" customFormat="1" ht="21.95" customHeight="1" x14ac:dyDescent="0.15"/>
    <row r="39173" s="76" customFormat="1" ht="21.95" customHeight="1" x14ac:dyDescent="0.15"/>
    <row r="39174" s="76" customFormat="1" ht="21.95" customHeight="1" x14ac:dyDescent="0.15"/>
    <row r="39175" s="76" customFormat="1" ht="21.95" customHeight="1" x14ac:dyDescent="0.15"/>
    <row r="39176" s="76" customFormat="1" ht="21.95" customHeight="1" x14ac:dyDescent="0.15"/>
    <row r="39177" s="76" customFormat="1" ht="35.1" customHeight="1" x14ac:dyDescent="0.15"/>
    <row r="39178" s="76" customFormat="1" ht="21.95" customHeight="1" x14ac:dyDescent="0.15"/>
    <row r="39179" s="76" customFormat="1" ht="21.95" customHeight="1" x14ac:dyDescent="0.15"/>
    <row r="39180" s="76" customFormat="1" ht="21.95" customHeight="1" x14ac:dyDescent="0.15"/>
    <row r="39181" s="76" customFormat="1" ht="21.95" customHeight="1" x14ac:dyDescent="0.15"/>
    <row r="39182" s="76" customFormat="1" ht="21.95" customHeight="1" x14ac:dyDescent="0.15"/>
    <row r="39183" s="76" customFormat="1" ht="21.95" customHeight="1" x14ac:dyDescent="0.15"/>
    <row r="39184" s="76" customFormat="1" ht="21.95" customHeight="1" x14ac:dyDescent="0.15"/>
    <row r="39185" s="76" customFormat="1" ht="21.95" customHeight="1" x14ac:dyDescent="0.15"/>
    <row r="39186" s="76" customFormat="1" ht="21.95" customHeight="1" x14ac:dyDescent="0.15"/>
    <row r="39187" s="76" customFormat="1" ht="21.95" customHeight="1" x14ac:dyDescent="0.15"/>
    <row r="39188" s="76" customFormat="1" ht="21.95" customHeight="1" x14ac:dyDescent="0.15"/>
    <row r="39189" s="76" customFormat="1" ht="21.95" customHeight="1" x14ac:dyDescent="0.15"/>
    <row r="39190" s="76" customFormat="1" ht="21.95" customHeight="1" x14ac:dyDescent="0.15"/>
    <row r="39191" s="76" customFormat="1" ht="21.95" customHeight="1" x14ac:dyDescent="0.15"/>
    <row r="39192" s="76" customFormat="1" ht="21.95" customHeight="1" x14ac:dyDescent="0.15"/>
    <row r="39193" s="76" customFormat="1" ht="21.95" customHeight="1" x14ac:dyDescent="0.15"/>
    <row r="39194" s="76" customFormat="1" ht="21.95" customHeight="1" x14ac:dyDescent="0.15"/>
    <row r="39195" s="76" customFormat="1" ht="21.95" customHeight="1" x14ac:dyDescent="0.15"/>
    <row r="39196" s="76" customFormat="1" ht="21.95" customHeight="1" x14ac:dyDescent="0.15"/>
    <row r="39197" s="76" customFormat="1" ht="21.95" customHeight="1" x14ac:dyDescent="0.15"/>
    <row r="39198" s="76" customFormat="1" ht="21.95" customHeight="1" x14ac:dyDescent="0.15"/>
    <row r="39199" s="76" customFormat="1" ht="21.95" customHeight="1" x14ac:dyDescent="0.15"/>
    <row r="39200" s="76" customFormat="1" ht="21.95" customHeight="1" x14ac:dyDescent="0.15"/>
    <row r="39201" spans="3:3" customFormat="1" ht="21.95" customHeight="1" x14ac:dyDescent="0.15"/>
    <row r="39202" spans="3:3" customFormat="1" ht="21.95" customHeight="1" x14ac:dyDescent="0.15"/>
    <row r="39203" spans="3:3" customFormat="1" ht="21.95" customHeight="1" x14ac:dyDescent="0.15">
      <c r="C39203" s="94"/>
    </row>
    <row r="39204" spans="3:3" customFormat="1" ht="21.95" customHeight="1" x14ac:dyDescent="0.15">
      <c r="C39204" s="94"/>
    </row>
    <row r="39205" spans="3:3" customFormat="1" ht="21.95" customHeight="1" x14ac:dyDescent="0.15"/>
    <row r="39206" spans="3:3" customFormat="1" ht="21.95" customHeight="1" x14ac:dyDescent="0.15"/>
    <row r="39207" spans="3:3" customFormat="1" ht="21.95" customHeight="1" x14ac:dyDescent="0.15"/>
    <row r="39208" spans="3:3" customFormat="1" ht="21.95" customHeight="1" x14ac:dyDescent="0.15"/>
    <row r="39209" spans="3:3" customFormat="1" ht="21.95" customHeight="1" x14ac:dyDescent="0.15"/>
    <row r="39210" spans="3:3" customFormat="1" ht="21.95" customHeight="1" x14ac:dyDescent="0.15"/>
    <row r="39211" spans="3:3" customFormat="1" ht="21.95" customHeight="1" x14ac:dyDescent="0.15"/>
    <row r="39212" spans="3:3" s="76" customFormat="1" ht="21.95" customHeight="1" x14ac:dyDescent="0.15"/>
    <row r="39213" spans="3:3" s="76" customFormat="1" ht="21.95" customHeight="1" x14ac:dyDescent="0.15"/>
    <row r="39214" spans="3:3" s="76" customFormat="1" ht="21.95" customHeight="1" x14ac:dyDescent="0.15"/>
    <row r="39215" spans="3:3" s="76" customFormat="1" ht="21.95" customHeight="1" x14ac:dyDescent="0.15"/>
    <row r="39216" spans="3:3" customFormat="1" ht="21.95" customHeight="1" x14ac:dyDescent="0.15"/>
    <row r="39217" customFormat="1" ht="21.95" customHeight="1" x14ac:dyDescent="0.15"/>
    <row r="39218" customFormat="1" ht="21.95" customHeight="1" x14ac:dyDescent="0.15"/>
    <row r="39219" customFormat="1" ht="21.95" customHeight="1" x14ac:dyDescent="0.15"/>
    <row r="39220" customFormat="1" ht="21.95" customHeight="1" x14ac:dyDescent="0.15"/>
    <row r="39221" customFormat="1" ht="21.95" customHeight="1" x14ac:dyDescent="0.15"/>
    <row r="39222" customFormat="1" ht="21.95" customHeight="1" x14ac:dyDescent="0.15"/>
    <row r="39223" customFormat="1" ht="21.95" customHeight="1" x14ac:dyDescent="0.15"/>
    <row r="39224" customFormat="1" ht="21.95" customHeight="1" x14ac:dyDescent="0.15"/>
    <row r="39225" customFormat="1" ht="21.95" customHeight="1" x14ac:dyDescent="0.15"/>
    <row r="39226" customFormat="1" ht="21.95" customHeight="1" x14ac:dyDescent="0.15"/>
    <row r="39227" customFormat="1" ht="32.1" customHeight="1" x14ac:dyDescent="0.15"/>
    <row r="39228" customFormat="1" ht="32.1" customHeight="1" x14ac:dyDescent="0.15"/>
    <row r="39229" customFormat="1" ht="32.1" customHeight="1" x14ac:dyDescent="0.15"/>
    <row r="39230" customFormat="1" ht="32.1" customHeight="1" x14ac:dyDescent="0.15"/>
    <row r="39231" customFormat="1" ht="32.1" customHeight="1" x14ac:dyDescent="0.15"/>
    <row r="39232" customFormat="1" ht="32.1" customHeight="1" x14ac:dyDescent="0.15"/>
    <row r="39233" s="76" customFormat="1" ht="32.1" customHeight="1" x14ac:dyDescent="0.15"/>
    <row r="39234" s="76" customFormat="1" ht="32.1" customHeight="1" x14ac:dyDescent="0.15"/>
    <row r="39235" s="76" customFormat="1" ht="32.1" customHeight="1" x14ac:dyDescent="0.15"/>
    <row r="39236" s="76" customFormat="1" ht="32.1" customHeight="1" x14ac:dyDescent="0.15"/>
    <row r="39237" s="76" customFormat="1" ht="21.95" customHeight="1" x14ac:dyDescent="0.15"/>
    <row r="39238" s="76" customFormat="1" ht="54" customHeight="1" x14ac:dyDescent="0.15"/>
    <row r="39239" s="76" customFormat="1" ht="21.95" customHeight="1" x14ac:dyDescent="0.15"/>
    <row r="39240" s="76" customFormat="1" ht="21.95" customHeight="1" x14ac:dyDescent="0.15"/>
    <row r="39241" s="76" customFormat="1" ht="21.95" customHeight="1" x14ac:dyDescent="0.15"/>
    <row r="39242" s="76" customFormat="1" ht="21.95" customHeight="1" x14ac:dyDescent="0.15"/>
    <row r="39243" s="76" customFormat="1" ht="21.95" customHeight="1" x14ac:dyDescent="0.15"/>
    <row r="39244" s="76" customFormat="1" ht="21.95" customHeight="1" x14ac:dyDescent="0.15"/>
    <row r="39245" s="76" customFormat="1" ht="21.95" customHeight="1" x14ac:dyDescent="0.15"/>
    <row r="39246" s="76" customFormat="1" ht="21.95" customHeight="1" x14ac:dyDescent="0.15"/>
    <row r="39247" s="76" customFormat="1" ht="21.95" customHeight="1" x14ac:dyDescent="0.15"/>
    <row r="39248" s="76" customFormat="1" ht="21.95" customHeight="1" x14ac:dyDescent="0.15"/>
    <row r="39249" s="76" customFormat="1" ht="21.95" customHeight="1" x14ac:dyDescent="0.15"/>
    <row r="39250" s="76" customFormat="1" ht="21.95" customHeight="1" x14ac:dyDescent="0.15"/>
    <row r="39251" s="76" customFormat="1" ht="21.95" customHeight="1" x14ac:dyDescent="0.15"/>
    <row r="39252" s="76" customFormat="1" ht="21.95" customHeight="1" x14ac:dyDescent="0.15"/>
    <row r="39253" s="76" customFormat="1" ht="21.95" customHeight="1" x14ac:dyDescent="0.15"/>
    <row r="39254" s="76" customFormat="1" ht="21.95" customHeight="1" x14ac:dyDescent="0.15"/>
    <row r="39255" s="76" customFormat="1" ht="21.95" customHeight="1" x14ac:dyDescent="0.15"/>
    <row r="39256" s="76" customFormat="1" ht="21.95" customHeight="1" x14ac:dyDescent="0.15"/>
    <row r="39257" s="76" customFormat="1" ht="21.95" customHeight="1" x14ac:dyDescent="0.15"/>
    <row r="39258" s="76" customFormat="1" ht="21.95" customHeight="1" x14ac:dyDescent="0.15"/>
    <row r="39259" s="76" customFormat="1" ht="21.95" customHeight="1" x14ac:dyDescent="0.15"/>
    <row r="39260" s="76" customFormat="1" ht="21.95" customHeight="1" x14ac:dyDescent="0.15"/>
    <row r="39261" s="76" customFormat="1" ht="21.95" customHeight="1" x14ac:dyDescent="0.15"/>
    <row r="39262" s="76" customFormat="1" ht="21.95" customHeight="1" x14ac:dyDescent="0.15"/>
    <row r="39263" s="76" customFormat="1" ht="21.95" customHeight="1" x14ac:dyDescent="0.15"/>
    <row r="39264" s="76" customFormat="1" ht="21.95" customHeight="1" x14ac:dyDescent="0.15"/>
    <row r="39265" s="76" customFormat="1" ht="21.95" customHeight="1" x14ac:dyDescent="0.15"/>
    <row r="39266" s="76" customFormat="1" ht="21.95" customHeight="1" x14ac:dyDescent="0.15"/>
    <row r="39267" s="76" customFormat="1" ht="21.95" customHeight="1" x14ac:dyDescent="0.15"/>
    <row r="39268" s="76" customFormat="1" ht="21.95" customHeight="1" x14ac:dyDescent="0.15"/>
    <row r="39269" s="76" customFormat="1" ht="21.95" customHeight="1" x14ac:dyDescent="0.15"/>
    <row r="39270" s="76" customFormat="1" ht="21.95" customHeight="1" x14ac:dyDescent="0.15"/>
    <row r="39271" s="76" customFormat="1" ht="21.95" customHeight="1" x14ac:dyDescent="0.15"/>
    <row r="39272" s="76" customFormat="1" ht="21.95" customHeight="1" x14ac:dyDescent="0.15"/>
    <row r="39273" s="76" customFormat="1" ht="21.95" customHeight="1" x14ac:dyDescent="0.15"/>
    <row r="39274" s="76" customFormat="1" ht="21.95" customHeight="1" x14ac:dyDescent="0.15"/>
    <row r="39275" s="76" customFormat="1" ht="21.95" customHeight="1" x14ac:dyDescent="0.15"/>
    <row r="39276" s="76" customFormat="1" ht="21.95" customHeight="1" x14ac:dyDescent="0.15"/>
    <row r="39277" s="76" customFormat="1" ht="21.95" customHeight="1" x14ac:dyDescent="0.15"/>
    <row r="39278" s="76" customFormat="1" ht="21.95" customHeight="1" x14ac:dyDescent="0.15"/>
    <row r="39279" s="76" customFormat="1" ht="21.95" customHeight="1" x14ac:dyDescent="0.15"/>
    <row r="39280" s="76" customFormat="1" ht="21.95" customHeight="1" x14ac:dyDescent="0.15"/>
    <row r="39281" s="76" customFormat="1" ht="21.95" customHeight="1" x14ac:dyDescent="0.15"/>
    <row r="39282" s="76" customFormat="1" ht="21.95" customHeight="1" x14ac:dyDescent="0.15"/>
    <row r="39283" s="76" customFormat="1" ht="21.95" customHeight="1" x14ac:dyDescent="0.15"/>
    <row r="39284" s="76" customFormat="1" ht="21.95" customHeight="1" x14ac:dyDescent="0.15"/>
    <row r="39285" s="76" customFormat="1" ht="21.95" customHeight="1" x14ac:dyDescent="0.15"/>
    <row r="39286" s="76" customFormat="1" ht="21.95" customHeight="1" x14ac:dyDescent="0.15"/>
    <row r="39287" s="76" customFormat="1" ht="21.95" customHeight="1" x14ac:dyDescent="0.15"/>
    <row r="39288" s="76" customFormat="1" ht="21.95" customHeight="1" x14ac:dyDescent="0.15"/>
    <row r="39289" s="76" customFormat="1" ht="35.1" customHeight="1" x14ac:dyDescent="0.15"/>
    <row r="39290" s="76" customFormat="1" ht="21.95" customHeight="1" x14ac:dyDescent="0.15"/>
    <row r="39291" s="76" customFormat="1" ht="21.95" customHeight="1" x14ac:dyDescent="0.15"/>
    <row r="39292" s="76" customFormat="1" ht="21.95" customHeight="1" x14ac:dyDescent="0.15"/>
    <row r="39293" s="76" customFormat="1" ht="21.95" customHeight="1" x14ac:dyDescent="0.15"/>
    <row r="39294" s="76" customFormat="1" ht="21.95" customHeight="1" x14ac:dyDescent="0.15"/>
    <row r="39295" s="76" customFormat="1" ht="21.95" customHeight="1" x14ac:dyDescent="0.15"/>
    <row r="39296" s="76" customFormat="1" ht="21.95" customHeight="1" x14ac:dyDescent="0.15"/>
    <row r="39297" s="76" customFormat="1" ht="21.95" customHeight="1" x14ac:dyDescent="0.15"/>
    <row r="39298" s="76" customFormat="1" ht="21.95" customHeight="1" x14ac:dyDescent="0.15"/>
    <row r="39299" s="76" customFormat="1" ht="21.95" customHeight="1" x14ac:dyDescent="0.15"/>
    <row r="39300" s="76" customFormat="1" ht="21.95" customHeight="1" x14ac:dyDescent="0.15"/>
    <row r="39301" s="76" customFormat="1" ht="21.95" customHeight="1" x14ac:dyDescent="0.15"/>
    <row r="39302" s="76" customFormat="1" ht="21.95" customHeight="1" x14ac:dyDescent="0.15"/>
    <row r="39303" s="76" customFormat="1" ht="21.95" customHeight="1" x14ac:dyDescent="0.15"/>
    <row r="39304" s="76" customFormat="1" ht="21.95" customHeight="1" x14ac:dyDescent="0.15"/>
    <row r="39305" s="76" customFormat="1" ht="21.95" customHeight="1" x14ac:dyDescent="0.15"/>
    <row r="39306" s="76" customFormat="1" ht="21.95" customHeight="1" x14ac:dyDescent="0.15"/>
    <row r="39307" s="76" customFormat="1" ht="21.95" customHeight="1" x14ac:dyDescent="0.15"/>
    <row r="39308" s="76" customFormat="1" ht="21.95" customHeight="1" x14ac:dyDescent="0.15"/>
    <row r="39309" s="76" customFormat="1" ht="21.95" customHeight="1" x14ac:dyDescent="0.15"/>
    <row r="39310" s="76" customFormat="1" ht="21.95" customHeight="1" x14ac:dyDescent="0.15"/>
    <row r="39311" s="76" customFormat="1" ht="21.95" customHeight="1" x14ac:dyDescent="0.15"/>
    <row r="39312" s="76" customFormat="1" ht="21.95" customHeight="1" x14ac:dyDescent="0.15"/>
    <row r="39313" spans="3:3" customFormat="1" ht="21.95" customHeight="1" x14ac:dyDescent="0.15"/>
    <row r="39314" spans="3:3" customFormat="1" ht="21.95" customHeight="1" x14ac:dyDescent="0.15"/>
    <row r="39315" spans="3:3" customFormat="1" ht="21.95" customHeight="1" x14ac:dyDescent="0.15">
      <c r="C39315" s="94"/>
    </row>
    <row r="39316" spans="3:3" customFormat="1" ht="21.95" customHeight="1" x14ac:dyDescent="0.15">
      <c r="C39316" s="94"/>
    </row>
    <row r="39317" spans="3:3" customFormat="1" ht="21.95" customHeight="1" x14ac:dyDescent="0.15"/>
    <row r="39318" spans="3:3" customFormat="1" ht="21.95" customHeight="1" x14ac:dyDescent="0.15"/>
    <row r="39319" spans="3:3" customFormat="1" ht="21.95" customHeight="1" x14ac:dyDescent="0.15"/>
    <row r="39320" spans="3:3" customFormat="1" ht="21.95" customHeight="1" x14ac:dyDescent="0.15"/>
    <row r="39321" spans="3:3" customFormat="1" ht="21.95" customHeight="1" x14ac:dyDescent="0.15"/>
    <row r="39322" spans="3:3" customFormat="1" ht="21.95" customHeight="1" x14ac:dyDescent="0.15"/>
    <row r="39323" spans="3:3" customFormat="1" ht="21.95" customHeight="1" x14ac:dyDescent="0.15"/>
    <row r="39324" spans="3:3" s="76" customFormat="1" ht="21.95" customHeight="1" x14ac:dyDescent="0.15"/>
    <row r="39325" spans="3:3" s="76" customFormat="1" ht="21.95" customHeight="1" x14ac:dyDescent="0.15"/>
    <row r="39326" spans="3:3" s="76" customFormat="1" ht="21.95" customHeight="1" x14ac:dyDescent="0.15"/>
    <row r="39327" spans="3:3" s="76" customFormat="1" ht="21.95" customHeight="1" x14ac:dyDescent="0.15"/>
    <row r="39328" spans="3:3" customFormat="1" ht="21.95" customHeight="1" x14ac:dyDescent="0.15"/>
    <row r="39329" customFormat="1" ht="21.95" customHeight="1" x14ac:dyDescent="0.15"/>
    <row r="39330" customFormat="1" ht="21.95" customHeight="1" x14ac:dyDescent="0.15"/>
    <row r="39331" customFormat="1" ht="21.95" customHeight="1" x14ac:dyDescent="0.15"/>
    <row r="39332" customFormat="1" ht="21.95" customHeight="1" x14ac:dyDescent="0.15"/>
    <row r="39333" customFormat="1" ht="21.95" customHeight="1" x14ac:dyDescent="0.15"/>
    <row r="39334" customFormat="1" ht="21.95" customHeight="1" x14ac:dyDescent="0.15"/>
    <row r="39335" customFormat="1" ht="21.95" customHeight="1" x14ac:dyDescent="0.15"/>
    <row r="39336" customFormat="1" ht="21.95" customHeight="1" x14ac:dyDescent="0.15"/>
    <row r="39337" customFormat="1" ht="21.95" customHeight="1" x14ac:dyDescent="0.15"/>
    <row r="39338" customFormat="1" ht="21.95" customHeight="1" x14ac:dyDescent="0.15"/>
    <row r="39339" customFormat="1" ht="32.1" customHeight="1" x14ac:dyDescent="0.15"/>
    <row r="39340" customFormat="1" ht="32.1" customHeight="1" x14ac:dyDescent="0.15"/>
    <row r="39341" customFormat="1" ht="32.1" customHeight="1" x14ac:dyDescent="0.15"/>
    <row r="39342" customFormat="1" ht="32.1" customHeight="1" x14ac:dyDescent="0.15"/>
    <row r="39343" customFormat="1" ht="32.1" customHeight="1" x14ac:dyDescent="0.15"/>
    <row r="39344" customFormat="1" ht="32.1" customHeight="1" x14ac:dyDescent="0.15"/>
    <row r="39345" s="76" customFormat="1" ht="32.1" customHeight="1" x14ac:dyDescent="0.15"/>
    <row r="39346" s="76" customFormat="1" ht="32.1" customHeight="1" x14ac:dyDescent="0.15"/>
    <row r="39347" s="76" customFormat="1" ht="32.1" customHeight="1" x14ac:dyDescent="0.15"/>
    <row r="39348" s="76" customFormat="1" ht="32.1" customHeight="1" x14ac:dyDescent="0.15"/>
    <row r="39349" s="76" customFormat="1" ht="21.95" customHeight="1" x14ac:dyDescent="0.15"/>
    <row r="39350" s="76" customFormat="1" ht="54" customHeight="1" x14ac:dyDescent="0.15"/>
    <row r="39351" s="76" customFormat="1" ht="21.95" customHeight="1" x14ac:dyDescent="0.15"/>
    <row r="39352" s="76" customFormat="1" ht="21.95" customHeight="1" x14ac:dyDescent="0.15"/>
    <row r="39353" s="76" customFormat="1" ht="21.95" customHeight="1" x14ac:dyDescent="0.15"/>
    <row r="39354" s="76" customFormat="1" ht="21.95" customHeight="1" x14ac:dyDescent="0.15"/>
    <row r="39355" s="76" customFormat="1" ht="21.95" customHeight="1" x14ac:dyDescent="0.15"/>
    <row r="39356" s="76" customFormat="1" ht="21.95" customHeight="1" x14ac:dyDescent="0.15"/>
    <row r="39357" s="76" customFormat="1" ht="21.95" customHeight="1" x14ac:dyDescent="0.15"/>
    <row r="39358" s="76" customFormat="1" ht="21.95" customHeight="1" x14ac:dyDescent="0.15"/>
    <row r="39359" s="76" customFormat="1" ht="21.95" customHeight="1" x14ac:dyDescent="0.15"/>
    <row r="39360" s="76" customFormat="1" ht="21.95" customHeight="1" x14ac:dyDescent="0.15"/>
    <row r="39361" s="76" customFormat="1" ht="21.95" customHeight="1" x14ac:dyDescent="0.15"/>
    <row r="39362" s="76" customFormat="1" ht="21.95" customHeight="1" x14ac:dyDescent="0.15"/>
    <row r="39363" s="76" customFormat="1" ht="21.95" customHeight="1" x14ac:dyDescent="0.15"/>
    <row r="39364" s="76" customFormat="1" ht="21.95" customHeight="1" x14ac:dyDescent="0.15"/>
    <row r="39365" s="76" customFormat="1" ht="21.95" customHeight="1" x14ac:dyDescent="0.15"/>
    <row r="39366" s="76" customFormat="1" ht="21.95" customHeight="1" x14ac:dyDescent="0.15"/>
    <row r="39367" s="76" customFormat="1" ht="21.95" customHeight="1" x14ac:dyDescent="0.15"/>
    <row r="39368" s="76" customFormat="1" ht="21.95" customHeight="1" x14ac:dyDescent="0.15"/>
    <row r="39369" s="76" customFormat="1" ht="21.95" customHeight="1" x14ac:dyDescent="0.15"/>
    <row r="39370" s="76" customFormat="1" ht="21.95" customHeight="1" x14ac:dyDescent="0.15"/>
    <row r="39371" s="76" customFormat="1" ht="21.95" customHeight="1" x14ac:dyDescent="0.15"/>
    <row r="39372" s="76" customFormat="1" ht="21.95" customHeight="1" x14ac:dyDescent="0.15"/>
    <row r="39373" s="76" customFormat="1" ht="21.95" customHeight="1" x14ac:dyDescent="0.15"/>
    <row r="39374" s="76" customFormat="1" ht="21.95" customHeight="1" x14ac:dyDescent="0.15"/>
    <row r="39375" s="76" customFormat="1" ht="21.95" customHeight="1" x14ac:dyDescent="0.15"/>
    <row r="39376" s="76" customFormat="1" ht="21.95" customHeight="1" x14ac:dyDescent="0.15"/>
    <row r="39377" s="76" customFormat="1" ht="21.95" customHeight="1" x14ac:dyDescent="0.15"/>
    <row r="39378" s="76" customFormat="1" ht="21.95" customHeight="1" x14ac:dyDescent="0.15"/>
    <row r="39379" s="76" customFormat="1" ht="21.95" customHeight="1" x14ac:dyDescent="0.15"/>
    <row r="39380" s="76" customFormat="1" ht="21.95" customHeight="1" x14ac:dyDescent="0.15"/>
    <row r="39381" s="76" customFormat="1" ht="21.95" customHeight="1" x14ac:dyDescent="0.15"/>
    <row r="39382" s="76" customFormat="1" ht="21.95" customHeight="1" x14ac:dyDescent="0.15"/>
    <row r="39383" s="76" customFormat="1" ht="21.95" customHeight="1" x14ac:dyDescent="0.15"/>
    <row r="39384" s="76" customFormat="1" ht="21.95" customHeight="1" x14ac:dyDescent="0.15"/>
    <row r="39385" s="76" customFormat="1" ht="21.95" customHeight="1" x14ac:dyDescent="0.15"/>
    <row r="39386" s="76" customFormat="1" ht="21.95" customHeight="1" x14ac:dyDescent="0.15"/>
    <row r="39387" s="76" customFormat="1" ht="21.95" customHeight="1" x14ac:dyDescent="0.15"/>
    <row r="39388" s="76" customFormat="1" ht="21.95" customHeight="1" x14ac:dyDescent="0.15"/>
    <row r="39389" s="76" customFormat="1" ht="21.95" customHeight="1" x14ac:dyDescent="0.15"/>
    <row r="39390" s="76" customFormat="1" ht="21.95" customHeight="1" x14ac:dyDescent="0.15"/>
    <row r="39391" s="76" customFormat="1" ht="21.95" customHeight="1" x14ac:dyDescent="0.15"/>
    <row r="39392" s="76" customFormat="1" ht="21.95" customHeight="1" x14ac:dyDescent="0.15"/>
    <row r="39393" s="76" customFormat="1" ht="21.95" customHeight="1" x14ac:dyDescent="0.15"/>
    <row r="39394" s="76" customFormat="1" ht="21.95" customHeight="1" x14ac:dyDescent="0.15"/>
    <row r="39395" s="76" customFormat="1" ht="21.95" customHeight="1" x14ac:dyDescent="0.15"/>
    <row r="39396" s="76" customFormat="1" ht="21.95" customHeight="1" x14ac:dyDescent="0.15"/>
    <row r="39397" s="76" customFormat="1" ht="21.95" customHeight="1" x14ac:dyDescent="0.15"/>
    <row r="39398" s="76" customFormat="1" ht="21.95" customHeight="1" x14ac:dyDescent="0.15"/>
    <row r="39399" s="76" customFormat="1" ht="21.95" customHeight="1" x14ac:dyDescent="0.15"/>
    <row r="39400" s="76" customFormat="1" ht="21.95" customHeight="1" x14ac:dyDescent="0.15"/>
    <row r="39401" s="76" customFormat="1" ht="35.1" customHeight="1" x14ac:dyDescent="0.15"/>
    <row r="39402" s="76" customFormat="1" ht="21.95" customHeight="1" x14ac:dyDescent="0.15"/>
    <row r="39403" s="76" customFormat="1" ht="21.95" customHeight="1" x14ac:dyDescent="0.15"/>
    <row r="39404" s="76" customFormat="1" ht="21.95" customHeight="1" x14ac:dyDescent="0.15"/>
    <row r="39405" s="76" customFormat="1" ht="21.95" customHeight="1" x14ac:dyDescent="0.15"/>
    <row r="39406" s="76" customFormat="1" ht="21.95" customHeight="1" x14ac:dyDescent="0.15"/>
    <row r="39407" s="76" customFormat="1" ht="21.95" customHeight="1" x14ac:dyDescent="0.15"/>
    <row r="39408" s="76" customFormat="1" ht="21.95" customHeight="1" x14ac:dyDescent="0.15"/>
    <row r="39409" s="76" customFormat="1" ht="21.95" customHeight="1" x14ac:dyDescent="0.15"/>
    <row r="39410" s="76" customFormat="1" ht="21.95" customHeight="1" x14ac:dyDescent="0.15"/>
    <row r="39411" s="76" customFormat="1" ht="21.95" customHeight="1" x14ac:dyDescent="0.15"/>
    <row r="39412" s="76" customFormat="1" ht="21.95" customHeight="1" x14ac:dyDescent="0.15"/>
    <row r="39413" s="76" customFormat="1" ht="21.95" customHeight="1" x14ac:dyDescent="0.15"/>
    <row r="39414" s="76" customFormat="1" ht="21.95" customHeight="1" x14ac:dyDescent="0.15"/>
    <row r="39415" s="76" customFormat="1" ht="21.95" customHeight="1" x14ac:dyDescent="0.15"/>
    <row r="39416" s="76" customFormat="1" ht="21.95" customHeight="1" x14ac:dyDescent="0.15"/>
    <row r="39417" s="76" customFormat="1" ht="21.95" customHeight="1" x14ac:dyDescent="0.15"/>
    <row r="39418" s="76" customFormat="1" ht="21.95" customHeight="1" x14ac:dyDescent="0.15"/>
    <row r="39419" s="76" customFormat="1" ht="21.95" customHeight="1" x14ac:dyDescent="0.15"/>
    <row r="39420" s="76" customFormat="1" ht="21.95" customHeight="1" x14ac:dyDescent="0.15"/>
    <row r="39421" s="76" customFormat="1" ht="21.95" customHeight="1" x14ac:dyDescent="0.15"/>
    <row r="39422" s="76" customFormat="1" ht="21.95" customHeight="1" x14ac:dyDescent="0.15"/>
    <row r="39423" s="76" customFormat="1" ht="21.95" customHeight="1" x14ac:dyDescent="0.15"/>
    <row r="39424" s="76" customFormat="1" ht="21.95" customHeight="1" x14ac:dyDescent="0.15"/>
    <row r="39425" spans="3:3" customFormat="1" ht="21.95" customHeight="1" x14ac:dyDescent="0.15"/>
    <row r="39426" spans="3:3" customFormat="1" ht="21.95" customHeight="1" x14ac:dyDescent="0.15"/>
    <row r="39427" spans="3:3" customFormat="1" ht="21.95" customHeight="1" x14ac:dyDescent="0.15">
      <c r="C39427" s="94"/>
    </row>
    <row r="39428" spans="3:3" customFormat="1" ht="21.95" customHeight="1" x14ac:dyDescent="0.15">
      <c r="C39428" s="94"/>
    </row>
    <row r="39429" spans="3:3" customFormat="1" ht="21.95" customHeight="1" x14ac:dyDescent="0.15"/>
    <row r="39430" spans="3:3" customFormat="1" ht="21.95" customHeight="1" x14ac:dyDescent="0.15"/>
    <row r="39431" spans="3:3" customFormat="1" ht="21.95" customHeight="1" x14ac:dyDescent="0.15"/>
    <row r="39432" spans="3:3" customFormat="1" ht="21.95" customHeight="1" x14ac:dyDescent="0.15"/>
    <row r="39433" spans="3:3" customFormat="1" ht="21.95" customHeight="1" x14ac:dyDescent="0.15"/>
    <row r="39434" spans="3:3" customFormat="1" ht="21.95" customHeight="1" x14ac:dyDescent="0.15"/>
    <row r="39435" spans="3:3" customFormat="1" ht="21.95" customHeight="1" x14ac:dyDescent="0.15"/>
    <row r="39436" spans="3:3" s="76" customFormat="1" ht="21.95" customHeight="1" x14ac:dyDescent="0.15"/>
    <row r="39437" spans="3:3" s="76" customFormat="1" ht="21.95" customHeight="1" x14ac:dyDescent="0.15"/>
    <row r="39438" spans="3:3" s="76" customFormat="1" ht="21.95" customHeight="1" x14ac:dyDescent="0.15"/>
    <row r="39439" spans="3:3" s="76" customFormat="1" ht="21.95" customHeight="1" x14ac:dyDescent="0.15"/>
    <row r="39440" spans="3:3" customFormat="1" ht="21.95" customHeight="1" x14ac:dyDescent="0.15"/>
    <row r="39441" customFormat="1" ht="21.95" customHeight="1" x14ac:dyDescent="0.15"/>
    <row r="39442" customFormat="1" ht="21.95" customHeight="1" x14ac:dyDescent="0.15"/>
    <row r="39443" customFormat="1" ht="21.95" customHeight="1" x14ac:dyDescent="0.15"/>
    <row r="39444" customFormat="1" ht="21.95" customHeight="1" x14ac:dyDescent="0.15"/>
    <row r="39445" customFormat="1" ht="21.95" customHeight="1" x14ac:dyDescent="0.15"/>
    <row r="39446" customFormat="1" ht="21.95" customHeight="1" x14ac:dyDescent="0.15"/>
    <row r="39447" customFormat="1" ht="21.95" customHeight="1" x14ac:dyDescent="0.15"/>
    <row r="39448" customFormat="1" ht="21.95" customHeight="1" x14ac:dyDescent="0.15"/>
    <row r="39449" customFormat="1" ht="21.95" customHeight="1" x14ac:dyDescent="0.15"/>
    <row r="39450" customFormat="1" ht="21.95" customHeight="1" x14ac:dyDescent="0.15"/>
    <row r="39451" customFormat="1" ht="32.1" customHeight="1" x14ac:dyDescent="0.15"/>
    <row r="39452" customFormat="1" ht="32.1" customHeight="1" x14ac:dyDescent="0.15"/>
    <row r="39453" customFormat="1" ht="32.1" customHeight="1" x14ac:dyDescent="0.15"/>
    <row r="39454" customFormat="1" ht="32.1" customHeight="1" x14ac:dyDescent="0.15"/>
    <row r="39455" customFormat="1" ht="32.1" customHeight="1" x14ac:dyDescent="0.15"/>
    <row r="39456" customFormat="1" ht="32.1" customHeight="1" x14ac:dyDescent="0.15"/>
    <row r="39457" s="76" customFormat="1" ht="32.1" customHeight="1" x14ac:dyDescent="0.15"/>
    <row r="39458" s="76" customFormat="1" ht="32.1" customHeight="1" x14ac:dyDescent="0.15"/>
    <row r="39459" s="76" customFormat="1" ht="32.1" customHeight="1" x14ac:dyDescent="0.15"/>
    <row r="39460" s="76" customFormat="1" ht="32.1" customHeight="1" x14ac:dyDescent="0.15"/>
    <row r="39461" s="76" customFormat="1" ht="21.95" customHeight="1" x14ac:dyDescent="0.15"/>
    <row r="39462" s="76" customFormat="1" ht="54" customHeight="1" x14ac:dyDescent="0.15"/>
    <row r="39463" s="76" customFormat="1" ht="21.95" customHeight="1" x14ac:dyDescent="0.15"/>
    <row r="39464" s="76" customFormat="1" ht="21.95" customHeight="1" x14ac:dyDescent="0.15"/>
    <row r="39465" s="76" customFormat="1" ht="21.95" customHeight="1" x14ac:dyDescent="0.15"/>
    <row r="39466" s="76" customFormat="1" ht="21.95" customHeight="1" x14ac:dyDescent="0.15"/>
    <row r="39467" s="76" customFormat="1" ht="21.95" customHeight="1" x14ac:dyDescent="0.15"/>
    <row r="39468" s="76" customFormat="1" ht="21.95" customHeight="1" x14ac:dyDescent="0.15"/>
    <row r="39469" s="76" customFormat="1" ht="21.95" customHeight="1" x14ac:dyDescent="0.15"/>
    <row r="39470" s="76" customFormat="1" ht="21.95" customHeight="1" x14ac:dyDescent="0.15"/>
    <row r="39471" s="76" customFormat="1" ht="21.95" customHeight="1" x14ac:dyDescent="0.15"/>
    <row r="39472" s="76" customFormat="1" ht="21.95" customHeight="1" x14ac:dyDescent="0.15"/>
    <row r="39473" s="76" customFormat="1" ht="21.95" customHeight="1" x14ac:dyDescent="0.15"/>
    <row r="39474" s="76" customFormat="1" ht="21.95" customHeight="1" x14ac:dyDescent="0.15"/>
    <row r="39475" s="76" customFormat="1" ht="21.95" customHeight="1" x14ac:dyDescent="0.15"/>
    <row r="39476" s="76" customFormat="1" ht="21.95" customHeight="1" x14ac:dyDescent="0.15"/>
    <row r="39477" s="76" customFormat="1" ht="21.95" customHeight="1" x14ac:dyDescent="0.15"/>
    <row r="39478" s="76" customFormat="1" ht="21.95" customHeight="1" x14ac:dyDescent="0.15"/>
    <row r="39479" s="76" customFormat="1" ht="21.95" customHeight="1" x14ac:dyDescent="0.15"/>
    <row r="39480" s="76" customFormat="1" ht="21.95" customHeight="1" x14ac:dyDescent="0.15"/>
    <row r="39481" s="76" customFormat="1" ht="21.95" customHeight="1" x14ac:dyDescent="0.15"/>
    <row r="39482" s="76" customFormat="1" ht="21.95" customHeight="1" x14ac:dyDescent="0.15"/>
    <row r="39483" s="76" customFormat="1" ht="21.95" customHeight="1" x14ac:dyDescent="0.15"/>
    <row r="39484" s="76" customFormat="1" ht="21.95" customHeight="1" x14ac:dyDescent="0.15"/>
    <row r="39485" s="76" customFormat="1" ht="21.95" customHeight="1" x14ac:dyDescent="0.15"/>
    <row r="39486" s="76" customFormat="1" ht="21.95" customHeight="1" x14ac:dyDescent="0.15"/>
    <row r="39487" s="76" customFormat="1" ht="21.95" customHeight="1" x14ac:dyDescent="0.15"/>
    <row r="39488" s="76" customFormat="1" ht="21.95" customHeight="1" x14ac:dyDescent="0.15"/>
    <row r="39489" s="76" customFormat="1" ht="21.95" customHeight="1" x14ac:dyDescent="0.15"/>
    <row r="39490" s="76" customFormat="1" ht="21.95" customHeight="1" x14ac:dyDescent="0.15"/>
    <row r="39491" s="76" customFormat="1" ht="21.95" customHeight="1" x14ac:dyDescent="0.15"/>
    <row r="39492" s="76" customFormat="1" ht="21.95" customHeight="1" x14ac:dyDescent="0.15"/>
    <row r="39493" s="76" customFormat="1" ht="21.95" customHeight="1" x14ac:dyDescent="0.15"/>
    <row r="39494" s="76" customFormat="1" ht="21.95" customHeight="1" x14ac:dyDescent="0.15"/>
    <row r="39495" s="76" customFormat="1" ht="21.95" customHeight="1" x14ac:dyDescent="0.15"/>
    <row r="39496" s="76" customFormat="1" ht="21.95" customHeight="1" x14ac:dyDescent="0.15"/>
    <row r="39497" s="76" customFormat="1" ht="21.95" customHeight="1" x14ac:dyDescent="0.15"/>
    <row r="39498" s="76" customFormat="1" ht="21.95" customHeight="1" x14ac:dyDescent="0.15"/>
    <row r="39499" s="76" customFormat="1" ht="21.95" customHeight="1" x14ac:dyDescent="0.15"/>
    <row r="39500" s="76" customFormat="1" ht="21.95" customHeight="1" x14ac:dyDescent="0.15"/>
    <row r="39501" s="76" customFormat="1" ht="21.95" customHeight="1" x14ac:dyDescent="0.15"/>
    <row r="39502" s="76" customFormat="1" ht="21.95" customHeight="1" x14ac:dyDescent="0.15"/>
    <row r="39503" s="76" customFormat="1" ht="21.95" customHeight="1" x14ac:dyDescent="0.15"/>
    <row r="39504" s="76" customFormat="1" ht="21.95" customHeight="1" x14ac:dyDescent="0.15"/>
    <row r="39505" s="76" customFormat="1" ht="21.95" customHeight="1" x14ac:dyDescent="0.15"/>
    <row r="39506" s="76" customFormat="1" ht="21.95" customHeight="1" x14ac:dyDescent="0.15"/>
    <row r="39507" s="76" customFormat="1" ht="21.95" customHeight="1" x14ac:dyDescent="0.15"/>
    <row r="39508" s="76" customFormat="1" ht="21.95" customHeight="1" x14ac:dyDescent="0.15"/>
    <row r="39509" s="76" customFormat="1" ht="21.95" customHeight="1" x14ac:dyDescent="0.15"/>
    <row r="39510" s="76" customFormat="1" ht="21.95" customHeight="1" x14ac:dyDescent="0.15"/>
    <row r="39511" s="76" customFormat="1" ht="21.95" customHeight="1" x14ac:dyDescent="0.15"/>
    <row r="39512" s="76" customFormat="1" ht="21.95" customHeight="1" x14ac:dyDescent="0.15"/>
    <row r="39513" s="76" customFormat="1" ht="35.1" customHeight="1" x14ac:dyDescent="0.15"/>
    <row r="39514" s="76" customFormat="1" ht="21.95" customHeight="1" x14ac:dyDescent="0.15"/>
    <row r="39515" s="76" customFormat="1" ht="21.95" customHeight="1" x14ac:dyDescent="0.15"/>
    <row r="39516" s="76" customFormat="1" ht="21.95" customHeight="1" x14ac:dyDescent="0.15"/>
    <row r="39517" s="76" customFormat="1" ht="21.95" customHeight="1" x14ac:dyDescent="0.15"/>
    <row r="39518" s="76" customFormat="1" ht="21.95" customHeight="1" x14ac:dyDescent="0.15"/>
    <row r="39519" s="76" customFormat="1" ht="21.95" customHeight="1" x14ac:dyDescent="0.15"/>
    <row r="39520" s="76" customFormat="1" ht="21.95" customHeight="1" x14ac:dyDescent="0.15"/>
    <row r="39521" s="76" customFormat="1" ht="21.95" customHeight="1" x14ac:dyDescent="0.15"/>
    <row r="39522" s="76" customFormat="1" ht="21.95" customHeight="1" x14ac:dyDescent="0.15"/>
    <row r="39523" s="76" customFormat="1" ht="21.95" customHeight="1" x14ac:dyDescent="0.15"/>
    <row r="39524" s="76" customFormat="1" ht="21.95" customHeight="1" x14ac:dyDescent="0.15"/>
    <row r="39525" s="76" customFormat="1" ht="21.95" customHeight="1" x14ac:dyDescent="0.15"/>
    <row r="39526" s="76" customFormat="1" ht="21.95" customHeight="1" x14ac:dyDescent="0.15"/>
    <row r="39527" s="76" customFormat="1" ht="21.95" customHeight="1" x14ac:dyDescent="0.15"/>
    <row r="39528" s="76" customFormat="1" ht="21.95" customHeight="1" x14ac:dyDescent="0.15"/>
    <row r="39529" s="76" customFormat="1" ht="21.95" customHeight="1" x14ac:dyDescent="0.15"/>
    <row r="39530" s="76" customFormat="1" ht="21.95" customHeight="1" x14ac:dyDescent="0.15"/>
    <row r="39531" s="76" customFormat="1" ht="21.95" customHeight="1" x14ac:dyDescent="0.15"/>
    <row r="39532" s="76" customFormat="1" ht="21.95" customHeight="1" x14ac:dyDescent="0.15"/>
    <row r="39533" s="76" customFormat="1" ht="21.95" customHeight="1" x14ac:dyDescent="0.15"/>
    <row r="39534" s="76" customFormat="1" ht="21.95" customHeight="1" x14ac:dyDescent="0.15"/>
    <row r="39535" s="76" customFormat="1" ht="21.95" customHeight="1" x14ac:dyDescent="0.15"/>
    <row r="39536" s="76" customFormat="1" ht="21.95" customHeight="1" x14ac:dyDescent="0.15"/>
    <row r="39537" spans="3:3" customFormat="1" ht="21.95" customHeight="1" x14ac:dyDescent="0.15"/>
    <row r="39538" spans="3:3" customFormat="1" ht="21.95" customHeight="1" x14ac:dyDescent="0.15"/>
    <row r="39539" spans="3:3" customFormat="1" ht="21.95" customHeight="1" x14ac:dyDescent="0.15">
      <c r="C39539" s="94"/>
    </row>
    <row r="39540" spans="3:3" customFormat="1" ht="21.95" customHeight="1" x14ac:dyDescent="0.15">
      <c r="C39540" s="94"/>
    </row>
    <row r="39541" spans="3:3" customFormat="1" ht="21.95" customHeight="1" x14ac:dyDescent="0.15"/>
    <row r="39542" spans="3:3" customFormat="1" ht="21.95" customHeight="1" x14ac:dyDescent="0.15"/>
    <row r="39543" spans="3:3" customFormat="1" ht="21.95" customHeight="1" x14ac:dyDescent="0.15"/>
    <row r="39544" spans="3:3" customFormat="1" ht="21.95" customHeight="1" x14ac:dyDescent="0.15"/>
    <row r="39545" spans="3:3" customFormat="1" ht="21.95" customHeight="1" x14ac:dyDescent="0.15"/>
    <row r="39546" spans="3:3" customFormat="1" ht="21.95" customHeight="1" x14ac:dyDescent="0.15"/>
    <row r="39547" spans="3:3" customFormat="1" ht="21.95" customHeight="1" x14ac:dyDescent="0.15"/>
    <row r="39548" spans="3:3" s="76" customFormat="1" ht="21.95" customHeight="1" x14ac:dyDescent="0.15"/>
    <row r="39549" spans="3:3" s="76" customFormat="1" ht="21.95" customHeight="1" x14ac:dyDescent="0.15"/>
    <row r="39550" spans="3:3" s="76" customFormat="1" ht="21.95" customHeight="1" x14ac:dyDescent="0.15"/>
    <row r="39551" spans="3:3" s="76" customFormat="1" ht="21.95" customHeight="1" x14ac:dyDescent="0.15"/>
    <row r="39552" spans="3:3" customFormat="1" ht="21.95" customHeight="1" x14ac:dyDescent="0.15"/>
    <row r="39553" customFormat="1" ht="21.95" customHeight="1" x14ac:dyDescent="0.15"/>
    <row r="39554" customFormat="1" ht="21.95" customHeight="1" x14ac:dyDescent="0.15"/>
    <row r="39555" customFormat="1" ht="21.95" customHeight="1" x14ac:dyDescent="0.15"/>
    <row r="39556" customFormat="1" ht="21.95" customHeight="1" x14ac:dyDescent="0.15"/>
    <row r="39557" customFormat="1" ht="21.95" customHeight="1" x14ac:dyDescent="0.15"/>
    <row r="39558" customFormat="1" ht="21.95" customHeight="1" x14ac:dyDescent="0.15"/>
    <row r="39559" customFormat="1" ht="21.95" customHeight="1" x14ac:dyDescent="0.15"/>
    <row r="39560" customFormat="1" ht="21.95" customHeight="1" x14ac:dyDescent="0.15"/>
    <row r="39561" customFormat="1" ht="21.95" customHeight="1" x14ac:dyDescent="0.15"/>
    <row r="39562" customFormat="1" ht="21.95" customHeight="1" x14ac:dyDescent="0.15"/>
    <row r="39563" customFormat="1" ht="32.1" customHeight="1" x14ac:dyDescent="0.15"/>
    <row r="39564" customFormat="1" ht="32.1" customHeight="1" x14ac:dyDescent="0.15"/>
    <row r="39565" customFormat="1" ht="32.1" customHeight="1" x14ac:dyDescent="0.15"/>
    <row r="39566" customFormat="1" ht="32.1" customHeight="1" x14ac:dyDescent="0.15"/>
    <row r="39567" customFormat="1" ht="32.1" customHeight="1" x14ac:dyDescent="0.15"/>
    <row r="39568" customFormat="1" ht="32.1" customHeight="1" x14ac:dyDescent="0.15"/>
    <row r="39569" s="76" customFormat="1" ht="32.1" customHeight="1" x14ac:dyDescent="0.15"/>
    <row r="39570" s="76" customFormat="1" ht="32.1" customHeight="1" x14ac:dyDescent="0.15"/>
    <row r="39571" s="76" customFormat="1" ht="32.1" customHeight="1" x14ac:dyDescent="0.15"/>
    <row r="39572" s="76" customFormat="1" ht="32.1" customHeight="1" x14ac:dyDescent="0.15"/>
    <row r="39573" s="76" customFormat="1" ht="21.95" customHeight="1" x14ac:dyDescent="0.15"/>
    <row r="39574" s="76" customFormat="1" ht="54" customHeight="1" x14ac:dyDescent="0.15"/>
    <row r="39575" s="76" customFormat="1" ht="21.95" customHeight="1" x14ac:dyDescent="0.15"/>
    <row r="39576" s="76" customFormat="1" ht="21.95" customHeight="1" x14ac:dyDescent="0.15"/>
    <row r="39577" s="76" customFormat="1" ht="21.95" customHeight="1" x14ac:dyDescent="0.15"/>
    <row r="39578" s="76" customFormat="1" ht="21.95" customHeight="1" x14ac:dyDescent="0.15"/>
    <row r="39579" s="76" customFormat="1" ht="21.95" customHeight="1" x14ac:dyDescent="0.15"/>
    <row r="39580" s="76" customFormat="1" ht="21.95" customHeight="1" x14ac:dyDescent="0.15"/>
    <row r="39581" s="76" customFormat="1" ht="21.95" customHeight="1" x14ac:dyDescent="0.15"/>
    <row r="39582" s="76" customFormat="1" ht="21.95" customHeight="1" x14ac:dyDescent="0.15"/>
    <row r="39583" s="76" customFormat="1" ht="21.95" customHeight="1" x14ac:dyDescent="0.15"/>
    <row r="39584" s="76" customFormat="1" ht="21.95" customHeight="1" x14ac:dyDescent="0.15"/>
    <row r="39585" s="76" customFormat="1" ht="21.95" customHeight="1" x14ac:dyDescent="0.15"/>
    <row r="39586" s="76" customFormat="1" ht="21.95" customHeight="1" x14ac:dyDescent="0.15"/>
    <row r="39587" s="76" customFormat="1" ht="21.95" customHeight="1" x14ac:dyDescent="0.15"/>
    <row r="39588" s="76" customFormat="1" ht="21.95" customHeight="1" x14ac:dyDescent="0.15"/>
    <row r="39589" s="76" customFormat="1" ht="21.95" customHeight="1" x14ac:dyDescent="0.15"/>
    <row r="39590" s="76" customFormat="1" ht="21.95" customHeight="1" x14ac:dyDescent="0.15"/>
    <row r="39591" s="76" customFormat="1" ht="21.95" customHeight="1" x14ac:dyDescent="0.15"/>
    <row r="39592" s="76" customFormat="1" ht="21.95" customHeight="1" x14ac:dyDescent="0.15"/>
    <row r="39593" s="76" customFormat="1" ht="21.95" customHeight="1" x14ac:dyDescent="0.15"/>
    <row r="39594" s="76" customFormat="1" ht="21.95" customHeight="1" x14ac:dyDescent="0.15"/>
    <row r="39595" s="76" customFormat="1" ht="21.95" customHeight="1" x14ac:dyDescent="0.15"/>
    <row r="39596" s="76" customFormat="1" ht="21.95" customHeight="1" x14ac:dyDescent="0.15"/>
    <row r="39597" s="76" customFormat="1" ht="21.95" customHeight="1" x14ac:dyDescent="0.15"/>
    <row r="39598" s="76" customFormat="1" ht="21.95" customHeight="1" x14ac:dyDescent="0.15"/>
    <row r="39599" s="76" customFormat="1" ht="21.95" customHeight="1" x14ac:dyDescent="0.15"/>
    <row r="39600" s="76" customFormat="1" ht="21.95" customHeight="1" x14ac:dyDescent="0.15"/>
    <row r="39601" s="76" customFormat="1" ht="21.95" customHeight="1" x14ac:dyDescent="0.15"/>
    <row r="39602" s="76" customFormat="1" ht="21.95" customHeight="1" x14ac:dyDescent="0.15"/>
    <row r="39603" s="76" customFormat="1" ht="21.95" customHeight="1" x14ac:dyDescent="0.15"/>
    <row r="39604" s="76" customFormat="1" ht="21.95" customHeight="1" x14ac:dyDescent="0.15"/>
    <row r="39605" s="76" customFormat="1" ht="21.95" customHeight="1" x14ac:dyDescent="0.15"/>
    <row r="39606" s="76" customFormat="1" ht="21.95" customHeight="1" x14ac:dyDescent="0.15"/>
    <row r="39607" s="76" customFormat="1" ht="21.95" customHeight="1" x14ac:dyDescent="0.15"/>
    <row r="39608" s="76" customFormat="1" ht="21.95" customHeight="1" x14ac:dyDescent="0.15"/>
    <row r="39609" s="76" customFormat="1" ht="21.95" customHeight="1" x14ac:dyDescent="0.15"/>
    <row r="39610" s="76" customFormat="1" ht="21.95" customHeight="1" x14ac:dyDescent="0.15"/>
    <row r="39611" s="76" customFormat="1" ht="21.95" customHeight="1" x14ac:dyDescent="0.15"/>
    <row r="39612" s="76" customFormat="1" ht="21.95" customHeight="1" x14ac:dyDescent="0.15"/>
    <row r="39613" s="76" customFormat="1" ht="21.95" customHeight="1" x14ac:dyDescent="0.15"/>
    <row r="39614" s="76" customFormat="1" ht="21.95" customHeight="1" x14ac:dyDescent="0.15"/>
    <row r="39615" s="76" customFormat="1" ht="21.95" customHeight="1" x14ac:dyDescent="0.15"/>
    <row r="39616" s="76" customFormat="1" ht="21.95" customHeight="1" x14ac:dyDescent="0.15"/>
    <row r="39617" s="76" customFormat="1" ht="21.95" customHeight="1" x14ac:dyDescent="0.15"/>
    <row r="39618" s="76" customFormat="1" ht="21.95" customHeight="1" x14ac:dyDescent="0.15"/>
    <row r="39619" s="76" customFormat="1" ht="21.95" customHeight="1" x14ac:dyDescent="0.15"/>
    <row r="39620" s="76" customFormat="1" ht="21.95" customHeight="1" x14ac:dyDescent="0.15"/>
    <row r="39621" s="76" customFormat="1" ht="21.95" customHeight="1" x14ac:dyDescent="0.15"/>
    <row r="39622" s="76" customFormat="1" ht="21.95" customHeight="1" x14ac:dyDescent="0.15"/>
    <row r="39623" s="76" customFormat="1" ht="21.95" customHeight="1" x14ac:dyDescent="0.15"/>
    <row r="39624" s="76" customFormat="1" ht="21.95" customHeight="1" x14ac:dyDescent="0.15"/>
    <row r="39625" s="76" customFormat="1" ht="35.1" customHeight="1" x14ac:dyDescent="0.15"/>
    <row r="39626" s="76" customFormat="1" ht="21.95" customHeight="1" x14ac:dyDescent="0.15"/>
    <row r="39627" s="76" customFormat="1" ht="21.95" customHeight="1" x14ac:dyDescent="0.15"/>
    <row r="39628" s="76" customFormat="1" ht="21.95" customHeight="1" x14ac:dyDescent="0.15"/>
    <row r="39629" s="76" customFormat="1" ht="21.95" customHeight="1" x14ac:dyDescent="0.15"/>
    <row r="39630" s="76" customFormat="1" ht="21.95" customHeight="1" x14ac:dyDescent="0.15"/>
    <row r="39631" s="76" customFormat="1" ht="21.95" customHeight="1" x14ac:dyDescent="0.15"/>
    <row r="39632" s="76" customFormat="1" ht="21.95" customHeight="1" x14ac:dyDescent="0.15"/>
    <row r="39633" s="76" customFormat="1" ht="21.95" customHeight="1" x14ac:dyDescent="0.15"/>
    <row r="39634" s="76" customFormat="1" ht="21.95" customHeight="1" x14ac:dyDescent="0.15"/>
    <row r="39635" s="76" customFormat="1" ht="21.95" customHeight="1" x14ac:dyDescent="0.15"/>
    <row r="39636" s="76" customFormat="1" ht="21.95" customHeight="1" x14ac:dyDescent="0.15"/>
    <row r="39637" s="76" customFormat="1" ht="21.95" customHeight="1" x14ac:dyDescent="0.15"/>
    <row r="39638" s="76" customFormat="1" ht="21.95" customHeight="1" x14ac:dyDescent="0.15"/>
    <row r="39639" s="76" customFormat="1" ht="21.95" customHeight="1" x14ac:dyDescent="0.15"/>
    <row r="39640" s="76" customFormat="1" ht="21.95" customHeight="1" x14ac:dyDescent="0.15"/>
    <row r="39641" s="76" customFormat="1" ht="21.95" customHeight="1" x14ac:dyDescent="0.15"/>
    <row r="39642" s="76" customFormat="1" ht="21.95" customHeight="1" x14ac:dyDescent="0.15"/>
    <row r="39643" s="76" customFormat="1" ht="21.95" customHeight="1" x14ac:dyDescent="0.15"/>
    <row r="39644" s="76" customFormat="1" ht="21.95" customHeight="1" x14ac:dyDescent="0.15"/>
    <row r="39645" s="76" customFormat="1" ht="21.95" customHeight="1" x14ac:dyDescent="0.15"/>
    <row r="39646" s="76" customFormat="1" ht="21.95" customHeight="1" x14ac:dyDescent="0.15"/>
    <row r="39647" s="76" customFormat="1" ht="21.95" customHeight="1" x14ac:dyDescent="0.15"/>
    <row r="39648" s="76" customFormat="1" ht="21.95" customHeight="1" x14ac:dyDescent="0.15"/>
    <row r="39649" spans="3:3" customFormat="1" ht="21.95" customHeight="1" x14ac:dyDescent="0.15"/>
    <row r="39650" spans="3:3" customFormat="1" ht="21.95" customHeight="1" x14ac:dyDescent="0.15"/>
    <row r="39651" spans="3:3" customFormat="1" ht="21.95" customHeight="1" x14ac:dyDescent="0.15">
      <c r="C39651" s="94"/>
    </row>
    <row r="39652" spans="3:3" customFormat="1" ht="21.95" customHeight="1" x14ac:dyDescent="0.15">
      <c r="C39652" s="94"/>
    </row>
    <row r="39653" spans="3:3" customFormat="1" ht="21.95" customHeight="1" x14ac:dyDescent="0.15"/>
    <row r="39654" spans="3:3" customFormat="1" ht="21.95" customHeight="1" x14ac:dyDescent="0.15"/>
    <row r="39655" spans="3:3" customFormat="1" ht="21.95" customHeight="1" x14ac:dyDescent="0.15"/>
    <row r="39656" spans="3:3" customFormat="1" ht="21.95" customHeight="1" x14ac:dyDescent="0.15"/>
    <row r="39657" spans="3:3" customFormat="1" ht="21.95" customHeight="1" x14ac:dyDescent="0.15"/>
    <row r="39658" spans="3:3" customFormat="1" ht="21.95" customHeight="1" x14ac:dyDescent="0.15"/>
    <row r="39659" spans="3:3" customFormat="1" ht="21.95" customHeight="1" x14ac:dyDescent="0.15"/>
    <row r="39660" spans="3:3" s="76" customFormat="1" ht="21.95" customHeight="1" x14ac:dyDescent="0.15"/>
    <row r="39661" spans="3:3" s="76" customFormat="1" ht="21.95" customHeight="1" x14ac:dyDescent="0.15"/>
    <row r="39662" spans="3:3" s="76" customFormat="1" ht="21.95" customHeight="1" x14ac:dyDescent="0.15"/>
    <row r="39663" spans="3:3" s="76" customFormat="1" ht="21.95" customHeight="1" x14ac:dyDescent="0.15"/>
    <row r="39664" spans="3:3" customFormat="1" ht="21.95" customHeight="1" x14ac:dyDescent="0.15"/>
    <row r="39665" customFormat="1" ht="21.95" customHeight="1" x14ac:dyDescent="0.15"/>
    <row r="39666" customFormat="1" ht="21.95" customHeight="1" x14ac:dyDescent="0.15"/>
    <row r="39667" customFormat="1" ht="21.95" customHeight="1" x14ac:dyDescent="0.15"/>
    <row r="39668" customFormat="1" ht="21.95" customHeight="1" x14ac:dyDescent="0.15"/>
    <row r="39669" customFormat="1" ht="21.95" customHeight="1" x14ac:dyDescent="0.15"/>
    <row r="39670" customFormat="1" ht="21.95" customHeight="1" x14ac:dyDescent="0.15"/>
    <row r="39671" customFormat="1" ht="21.95" customHeight="1" x14ac:dyDescent="0.15"/>
    <row r="39672" customFormat="1" ht="21.95" customHeight="1" x14ac:dyDescent="0.15"/>
    <row r="39673" customFormat="1" ht="21.95" customHeight="1" x14ac:dyDescent="0.15"/>
    <row r="39674" customFormat="1" ht="21.95" customHeight="1" x14ac:dyDescent="0.15"/>
    <row r="39675" customFormat="1" ht="32.1" customHeight="1" x14ac:dyDescent="0.15"/>
    <row r="39676" customFormat="1" ht="32.1" customHeight="1" x14ac:dyDescent="0.15"/>
    <row r="39677" customFormat="1" ht="32.1" customHeight="1" x14ac:dyDescent="0.15"/>
    <row r="39678" customFormat="1" ht="32.1" customHeight="1" x14ac:dyDescent="0.15"/>
    <row r="39679" customFormat="1" ht="32.1" customHeight="1" x14ac:dyDescent="0.15"/>
    <row r="39680" customFormat="1" ht="32.1" customHeight="1" x14ac:dyDescent="0.15"/>
    <row r="39681" s="76" customFormat="1" ht="32.1" customHeight="1" x14ac:dyDescent="0.15"/>
    <row r="39682" s="76" customFormat="1" ht="32.1" customHeight="1" x14ac:dyDescent="0.15"/>
    <row r="39683" s="76" customFormat="1" ht="32.1" customHeight="1" x14ac:dyDescent="0.15"/>
    <row r="39684" s="76" customFormat="1" ht="32.1" customHeight="1" x14ac:dyDescent="0.15"/>
    <row r="39685" s="76" customFormat="1" ht="21.95" customHeight="1" x14ac:dyDescent="0.15"/>
    <row r="39686" s="76" customFormat="1" ht="54" customHeight="1" x14ac:dyDescent="0.15"/>
    <row r="39687" s="76" customFormat="1" ht="21.95" customHeight="1" x14ac:dyDescent="0.15"/>
    <row r="39688" s="76" customFormat="1" ht="21.95" customHeight="1" x14ac:dyDescent="0.15"/>
    <row r="39689" s="76" customFormat="1" ht="21.95" customHeight="1" x14ac:dyDescent="0.15"/>
    <row r="39690" s="76" customFormat="1" ht="21.95" customHeight="1" x14ac:dyDescent="0.15"/>
    <row r="39691" s="76" customFormat="1" ht="21.95" customHeight="1" x14ac:dyDescent="0.15"/>
    <row r="39692" s="76" customFormat="1" ht="21.95" customHeight="1" x14ac:dyDescent="0.15"/>
    <row r="39693" s="76" customFormat="1" ht="21.95" customHeight="1" x14ac:dyDescent="0.15"/>
    <row r="39694" s="76" customFormat="1" ht="21.95" customHeight="1" x14ac:dyDescent="0.15"/>
    <row r="39695" s="76" customFormat="1" ht="21.95" customHeight="1" x14ac:dyDescent="0.15"/>
    <row r="39696" s="76" customFormat="1" ht="21.95" customHeight="1" x14ac:dyDescent="0.15"/>
    <row r="39697" s="76" customFormat="1" ht="21.95" customHeight="1" x14ac:dyDescent="0.15"/>
    <row r="39698" s="76" customFormat="1" ht="21.95" customHeight="1" x14ac:dyDescent="0.15"/>
    <row r="39699" s="76" customFormat="1" ht="21.95" customHeight="1" x14ac:dyDescent="0.15"/>
    <row r="39700" s="76" customFormat="1" ht="21.95" customHeight="1" x14ac:dyDescent="0.15"/>
    <row r="39701" s="76" customFormat="1" ht="21.95" customHeight="1" x14ac:dyDescent="0.15"/>
    <row r="39702" s="76" customFormat="1" ht="21.95" customHeight="1" x14ac:dyDescent="0.15"/>
    <row r="39703" s="76" customFormat="1" ht="21.95" customHeight="1" x14ac:dyDescent="0.15"/>
    <row r="39704" s="76" customFormat="1" ht="21.95" customHeight="1" x14ac:dyDescent="0.15"/>
    <row r="39705" s="76" customFormat="1" ht="21.95" customHeight="1" x14ac:dyDescent="0.15"/>
    <row r="39706" s="76" customFormat="1" ht="21.95" customHeight="1" x14ac:dyDescent="0.15"/>
    <row r="39707" s="76" customFormat="1" ht="21.95" customHeight="1" x14ac:dyDescent="0.15"/>
    <row r="39708" s="76" customFormat="1" ht="21.95" customHeight="1" x14ac:dyDescent="0.15"/>
    <row r="39709" s="76" customFormat="1" ht="21.95" customHeight="1" x14ac:dyDescent="0.15"/>
    <row r="39710" s="76" customFormat="1" ht="21.95" customHeight="1" x14ac:dyDescent="0.15"/>
    <row r="39711" s="76" customFormat="1" ht="21.95" customHeight="1" x14ac:dyDescent="0.15"/>
    <row r="39712" s="76" customFormat="1" ht="21.95" customHeight="1" x14ac:dyDescent="0.15"/>
    <row r="39713" s="76" customFormat="1" ht="21.95" customHeight="1" x14ac:dyDescent="0.15"/>
    <row r="39714" s="76" customFormat="1" ht="21.95" customHeight="1" x14ac:dyDescent="0.15"/>
    <row r="39715" s="76" customFormat="1" ht="21.95" customHeight="1" x14ac:dyDescent="0.15"/>
    <row r="39716" s="76" customFormat="1" ht="21.95" customHeight="1" x14ac:dyDescent="0.15"/>
    <row r="39717" s="76" customFormat="1" ht="21.95" customHeight="1" x14ac:dyDescent="0.15"/>
    <row r="39718" s="76" customFormat="1" ht="21.95" customHeight="1" x14ac:dyDescent="0.15"/>
    <row r="39719" s="76" customFormat="1" ht="21.95" customHeight="1" x14ac:dyDescent="0.15"/>
    <row r="39720" s="76" customFormat="1" ht="21.95" customHeight="1" x14ac:dyDescent="0.15"/>
    <row r="39721" s="76" customFormat="1" ht="21.95" customHeight="1" x14ac:dyDescent="0.15"/>
    <row r="39722" s="76" customFormat="1" ht="21.95" customHeight="1" x14ac:dyDescent="0.15"/>
    <row r="39723" s="76" customFormat="1" ht="21.95" customHeight="1" x14ac:dyDescent="0.15"/>
    <row r="39724" s="76" customFormat="1" ht="21.95" customHeight="1" x14ac:dyDescent="0.15"/>
    <row r="39725" s="76" customFormat="1" ht="21.95" customHeight="1" x14ac:dyDescent="0.15"/>
    <row r="39726" s="76" customFormat="1" ht="21.95" customHeight="1" x14ac:dyDescent="0.15"/>
    <row r="39727" s="76" customFormat="1" ht="21.95" customHeight="1" x14ac:dyDescent="0.15"/>
    <row r="39728" s="76" customFormat="1" ht="21.95" customHeight="1" x14ac:dyDescent="0.15"/>
    <row r="39729" s="76" customFormat="1" ht="21.95" customHeight="1" x14ac:dyDescent="0.15"/>
    <row r="39730" s="76" customFormat="1" ht="21.95" customHeight="1" x14ac:dyDescent="0.15"/>
    <row r="39731" s="76" customFormat="1" ht="21.95" customHeight="1" x14ac:dyDescent="0.15"/>
    <row r="39732" s="76" customFormat="1" ht="21.95" customHeight="1" x14ac:dyDescent="0.15"/>
    <row r="39733" s="76" customFormat="1" ht="21.95" customHeight="1" x14ac:dyDescent="0.15"/>
    <row r="39734" s="76" customFormat="1" ht="21.95" customHeight="1" x14ac:dyDescent="0.15"/>
    <row r="39735" s="76" customFormat="1" ht="21.95" customHeight="1" x14ac:dyDescent="0.15"/>
    <row r="39736" s="76" customFormat="1" ht="21.95" customHeight="1" x14ac:dyDescent="0.15"/>
    <row r="39737" s="76" customFormat="1" ht="35.1" customHeight="1" x14ac:dyDescent="0.15"/>
    <row r="39738" s="76" customFormat="1" ht="21.95" customHeight="1" x14ac:dyDescent="0.15"/>
    <row r="39739" s="76" customFormat="1" ht="21.95" customHeight="1" x14ac:dyDescent="0.15"/>
    <row r="39740" s="76" customFormat="1" ht="21.95" customHeight="1" x14ac:dyDescent="0.15"/>
    <row r="39741" s="76" customFormat="1" ht="21.95" customHeight="1" x14ac:dyDescent="0.15"/>
    <row r="39742" s="76" customFormat="1" ht="21.95" customHeight="1" x14ac:dyDescent="0.15"/>
    <row r="39743" s="76" customFormat="1" ht="21.95" customHeight="1" x14ac:dyDescent="0.15"/>
    <row r="39744" s="76" customFormat="1" ht="21.95" customHeight="1" x14ac:dyDescent="0.15"/>
    <row r="39745" s="76" customFormat="1" ht="21.95" customHeight="1" x14ac:dyDescent="0.15"/>
    <row r="39746" s="76" customFormat="1" ht="21.95" customHeight="1" x14ac:dyDescent="0.15"/>
    <row r="39747" s="76" customFormat="1" ht="21.95" customHeight="1" x14ac:dyDescent="0.15"/>
    <row r="39748" s="76" customFormat="1" ht="21.95" customHeight="1" x14ac:dyDescent="0.15"/>
    <row r="39749" s="76" customFormat="1" ht="21.95" customHeight="1" x14ac:dyDescent="0.15"/>
    <row r="39750" s="76" customFormat="1" ht="21.95" customHeight="1" x14ac:dyDescent="0.15"/>
    <row r="39751" s="76" customFormat="1" ht="21.95" customHeight="1" x14ac:dyDescent="0.15"/>
    <row r="39752" s="76" customFormat="1" ht="21.95" customHeight="1" x14ac:dyDescent="0.15"/>
    <row r="39753" s="76" customFormat="1" ht="21.95" customHeight="1" x14ac:dyDescent="0.15"/>
    <row r="39754" s="76" customFormat="1" ht="21.95" customHeight="1" x14ac:dyDescent="0.15"/>
    <row r="39755" s="76" customFormat="1" ht="21.95" customHeight="1" x14ac:dyDescent="0.15"/>
    <row r="39756" s="76" customFormat="1" ht="21.95" customHeight="1" x14ac:dyDescent="0.15"/>
    <row r="39757" s="76" customFormat="1" ht="21.95" customHeight="1" x14ac:dyDescent="0.15"/>
    <row r="39758" s="76" customFormat="1" ht="21.95" customHeight="1" x14ac:dyDescent="0.15"/>
    <row r="39759" s="76" customFormat="1" ht="21.95" customHeight="1" x14ac:dyDescent="0.15"/>
    <row r="39760" s="76" customFormat="1" ht="21.95" customHeight="1" x14ac:dyDescent="0.15"/>
    <row r="39761" spans="3:3" customFormat="1" ht="21.95" customHeight="1" x14ac:dyDescent="0.15"/>
    <row r="39762" spans="3:3" customFormat="1" ht="21.95" customHeight="1" x14ac:dyDescent="0.15"/>
    <row r="39763" spans="3:3" customFormat="1" ht="21.95" customHeight="1" x14ac:dyDescent="0.15">
      <c r="C39763" s="94"/>
    </row>
    <row r="39764" spans="3:3" customFormat="1" ht="21.95" customHeight="1" x14ac:dyDescent="0.15">
      <c r="C39764" s="94"/>
    </row>
    <row r="39765" spans="3:3" customFormat="1" ht="21.95" customHeight="1" x14ac:dyDescent="0.15"/>
    <row r="39766" spans="3:3" customFormat="1" ht="21.95" customHeight="1" x14ac:dyDescent="0.15"/>
    <row r="39767" spans="3:3" customFormat="1" ht="21.95" customHeight="1" x14ac:dyDescent="0.15"/>
    <row r="39768" spans="3:3" customFormat="1" ht="21.95" customHeight="1" x14ac:dyDescent="0.15"/>
    <row r="39769" spans="3:3" customFormat="1" ht="21.95" customHeight="1" x14ac:dyDescent="0.15"/>
    <row r="39770" spans="3:3" customFormat="1" ht="21.95" customHeight="1" x14ac:dyDescent="0.15"/>
    <row r="39771" spans="3:3" customFormat="1" ht="21.95" customHeight="1" x14ac:dyDescent="0.15"/>
    <row r="39772" spans="3:3" s="76" customFormat="1" ht="21.95" customHeight="1" x14ac:dyDescent="0.15"/>
    <row r="39773" spans="3:3" s="76" customFormat="1" ht="21.95" customHeight="1" x14ac:dyDescent="0.15"/>
    <row r="39774" spans="3:3" s="76" customFormat="1" ht="21.95" customHeight="1" x14ac:dyDescent="0.15"/>
    <row r="39775" spans="3:3" s="76" customFormat="1" ht="21.95" customHeight="1" x14ac:dyDescent="0.15"/>
    <row r="39776" spans="3:3" customFormat="1" ht="21.95" customHeight="1" x14ac:dyDescent="0.15"/>
    <row r="39777" customFormat="1" ht="21.95" customHeight="1" x14ac:dyDescent="0.15"/>
    <row r="39778" customFormat="1" ht="21.95" customHeight="1" x14ac:dyDescent="0.15"/>
    <row r="39779" customFormat="1" ht="21.95" customHeight="1" x14ac:dyDescent="0.15"/>
    <row r="39780" customFormat="1" ht="21.95" customHeight="1" x14ac:dyDescent="0.15"/>
    <row r="39781" customFormat="1" ht="21.95" customHeight="1" x14ac:dyDescent="0.15"/>
    <row r="39782" customFormat="1" ht="21.95" customHeight="1" x14ac:dyDescent="0.15"/>
    <row r="39783" customFormat="1" ht="21.95" customHeight="1" x14ac:dyDescent="0.15"/>
    <row r="39784" customFormat="1" ht="21.95" customHeight="1" x14ac:dyDescent="0.15"/>
    <row r="39785" customFormat="1" ht="21.95" customHeight="1" x14ac:dyDescent="0.15"/>
    <row r="39786" customFormat="1" ht="21.95" customHeight="1" x14ac:dyDescent="0.15"/>
    <row r="39787" customFormat="1" ht="32.1" customHeight="1" x14ac:dyDescent="0.15"/>
    <row r="39788" customFormat="1" ht="32.1" customHeight="1" x14ac:dyDescent="0.15"/>
    <row r="39789" customFormat="1" ht="32.1" customHeight="1" x14ac:dyDescent="0.15"/>
    <row r="39790" customFormat="1" ht="32.1" customHeight="1" x14ac:dyDescent="0.15"/>
    <row r="39791" customFormat="1" ht="32.1" customHeight="1" x14ac:dyDescent="0.15"/>
    <row r="39792" customFormat="1" ht="32.1" customHeight="1" x14ac:dyDescent="0.15"/>
    <row r="39793" s="76" customFormat="1" ht="32.1" customHeight="1" x14ac:dyDescent="0.15"/>
    <row r="39794" s="76" customFormat="1" ht="32.1" customHeight="1" x14ac:dyDescent="0.15"/>
    <row r="39795" s="76" customFormat="1" ht="32.1" customHeight="1" x14ac:dyDescent="0.15"/>
    <row r="39796" s="76" customFormat="1" ht="32.1" customHeight="1" x14ac:dyDescent="0.15"/>
    <row r="39797" s="76" customFormat="1" ht="21.95" customHeight="1" x14ac:dyDescent="0.15"/>
    <row r="39798" s="76" customFormat="1" ht="54" customHeight="1" x14ac:dyDescent="0.15"/>
    <row r="39799" s="76" customFormat="1" ht="21.95" customHeight="1" x14ac:dyDescent="0.15"/>
    <row r="39800" s="76" customFormat="1" ht="21.95" customHeight="1" x14ac:dyDescent="0.15"/>
    <row r="39801" s="76" customFormat="1" ht="21.95" customHeight="1" x14ac:dyDescent="0.15"/>
    <row r="39802" s="76" customFormat="1" ht="21.95" customHeight="1" x14ac:dyDescent="0.15"/>
    <row r="39803" s="76" customFormat="1" ht="21.95" customHeight="1" x14ac:dyDescent="0.15"/>
    <row r="39804" s="76" customFormat="1" ht="21.95" customHeight="1" x14ac:dyDescent="0.15"/>
    <row r="39805" s="76" customFormat="1" ht="21.95" customHeight="1" x14ac:dyDescent="0.15"/>
    <row r="39806" s="76" customFormat="1" ht="21.95" customHeight="1" x14ac:dyDescent="0.15"/>
    <row r="39807" s="76" customFormat="1" ht="21.95" customHeight="1" x14ac:dyDescent="0.15"/>
    <row r="39808" s="76" customFormat="1" ht="21.95" customHeight="1" x14ac:dyDescent="0.15"/>
    <row r="39809" s="76" customFormat="1" ht="21.95" customHeight="1" x14ac:dyDescent="0.15"/>
    <row r="39810" s="76" customFormat="1" ht="21.95" customHeight="1" x14ac:dyDescent="0.15"/>
    <row r="39811" s="76" customFormat="1" ht="21.95" customHeight="1" x14ac:dyDescent="0.15"/>
    <row r="39812" s="76" customFormat="1" ht="21.95" customHeight="1" x14ac:dyDescent="0.15"/>
    <row r="39813" s="76" customFormat="1" ht="21.95" customHeight="1" x14ac:dyDescent="0.15"/>
    <row r="39814" s="76" customFormat="1" ht="21.95" customHeight="1" x14ac:dyDescent="0.15"/>
    <row r="39815" s="76" customFormat="1" ht="21.95" customHeight="1" x14ac:dyDescent="0.15"/>
    <row r="39816" s="76" customFormat="1" ht="21.95" customHeight="1" x14ac:dyDescent="0.15"/>
    <row r="39817" s="76" customFormat="1" ht="21.95" customHeight="1" x14ac:dyDescent="0.15"/>
    <row r="39818" s="76" customFormat="1" ht="21.95" customHeight="1" x14ac:dyDescent="0.15"/>
    <row r="39819" s="76" customFormat="1" ht="21.95" customHeight="1" x14ac:dyDescent="0.15"/>
    <row r="39820" s="76" customFormat="1" ht="21.95" customHeight="1" x14ac:dyDescent="0.15"/>
    <row r="39821" s="76" customFormat="1" ht="21.95" customHeight="1" x14ac:dyDescent="0.15"/>
    <row r="39822" s="76" customFormat="1" ht="21.95" customHeight="1" x14ac:dyDescent="0.15"/>
    <row r="39823" s="76" customFormat="1" ht="21.95" customHeight="1" x14ac:dyDescent="0.15"/>
    <row r="39824" s="76" customFormat="1" ht="21.95" customHeight="1" x14ac:dyDescent="0.15"/>
    <row r="39825" s="76" customFormat="1" ht="21.95" customHeight="1" x14ac:dyDescent="0.15"/>
    <row r="39826" s="76" customFormat="1" ht="21.95" customHeight="1" x14ac:dyDescent="0.15"/>
    <row r="39827" s="76" customFormat="1" ht="21.95" customHeight="1" x14ac:dyDescent="0.15"/>
    <row r="39828" s="76" customFormat="1" ht="21.95" customHeight="1" x14ac:dyDescent="0.15"/>
    <row r="39829" s="76" customFormat="1" ht="21.95" customHeight="1" x14ac:dyDescent="0.15"/>
    <row r="39830" s="76" customFormat="1" ht="21.95" customHeight="1" x14ac:dyDescent="0.15"/>
    <row r="39831" s="76" customFormat="1" ht="21.95" customHeight="1" x14ac:dyDescent="0.15"/>
    <row r="39832" s="76" customFormat="1" ht="21.95" customHeight="1" x14ac:dyDescent="0.15"/>
    <row r="39833" s="76" customFormat="1" ht="21.95" customHeight="1" x14ac:dyDescent="0.15"/>
    <row r="39834" s="76" customFormat="1" ht="21.95" customHeight="1" x14ac:dyDescent="0.15"/>
    <row r="39835" s="76" customFormat="1" ht="21.95" customHeight="1" x14ac:dyDescent="0.15"/>
    <row r="39836" s="76" customFormat="1" ht="21.95" customHeight="1" x14ac:dyDescent="0.15"/>
    <row r="39837" s="76" customFormat="1" ht="21.95" customHeight="1" x14ac:dyDescent="0.15"/>
    <row r="39838" s="76" customFormat="1" ht="21.95" customHeight="1" x14ac:dyDescent="0.15"/>
    <row r="39839" s="76" customFormat="1" ht="21.95" customHeight="1" x14ac:dyDescent="0.15"/>
    <row r="39840" s="76" customFormat="1" ht="21.95" customHeight="1" x14ac:dyDescent="0.15"/>
    <row r="39841" s="76" customFormat="1" ht="21.95" customHeight="1" x14ac:dyDescent="0.15"/>
    <row r="39842" s="76" customFormat="1" ht="21.95" customHeight="1" x14ac:dyDescent="0.15"/>
    <row r="39843" s="76" customFormat="1" ht="21.95" customHeight="1" x14ac:dyDescent="0.15"/>
    <row r="39844" s="76" customFormat="1" ht="21.95" customHeight="1" x14ac:dyDescent="0.15"/>
    <row r="39845" s="76" customFormat="1" ht="21.95" customHeight="1" x14ac:dyDescent="0.15"/>
    <row r="39846" s="76" customFormat="1" ht="21.95" customHeight="1" x14ac:dyDescent="0.15"/>
    <row r="39847" s="76" customFormat="1" ht="21.95" customHeight="1" x14ac:dyDescent="0.15"/>
    <row r="39848" s="76" customFormat="1" ht="21.95" customHeight="1" x14ac:dyDescent="0.15"/>
    <row r="39849" s="76" customFormat="1" ht="35.1" customHeight="1" x14ac:dyDescent="0.15"/>
    <row r="39850" s="76" customFormat="1" ht="21.95" customHeight="1" x14ac:dyDescent="0.15"/>
    <row r="39851" s="76" customFormat="1" ht="21.95" customHeight="1" x14ac:dyDescent="0.15"/>
    <row r="39852" s="76" customFormat="1" ht="21.95" customHeight="1" x14ac:dyDescent="0.15"/>
    <row r="39853" s="76" customFormat="1" ht="21.95" customHeight="1" x14ac:dyDescent="0.15"/>
    <row r="39854" s="76" customFormat="1" ht="21.95" customHeight="1" x14ac:dyDescent="0.15"/>
    <row r="39855" s="76" customFormat="1" ht="21.95" customHeight="1" x14ac:dyDescent="0.15"/>
    <row r="39856" s="76" customFormat="1" ht="21.95" customHeight="1" x14ac:dyDescent="0.15"/>
    <row r="39857" s="76" customFormat="1" ht="21.95" customHeight="1" x14ac:dyDescent="0.15"/>
    <row r="39858" s="76" customFormat="1" ht="21.95" customHeight="1" x14ac:dyDescent="0.15"/>
    <row r="39859" s="76" customFormat="1" ht="21.95" customHeight="1" x14ac:dyDescent="0.15"/>
    <row r="39860" s="76" customFormat="1" ht="21.95" customHeight="1" x14ac:dyDescent="0.15"/>
    <row r="39861" s="76" customFormat="1" ht="21.95" customHeight="1" x14ac:dyDescent="0.15"/>
    <row r="39862" s="76" customFormat="1" ht="21.95" customHeight="1" x14ac:dyDescent="0.15"/>
    <row r="39863" s="76" customFormat="1" ht="21.95" customHeight="1" x14ac:dyDescent="0.15"/>
    <row r="39864" s="76" customFormat="1" ht="21.95" customHeight="1" x14ac:dyDescent="0.15"/>
    <row r="39865" s="76" customFormat="1" ht="21.95" customHeight="1" x14ac:dyDescent="0.15"/>
    <row r="39866" s="76" customFormat="1" ht="21.95" customHeight="1" x14ac:dyDescent="0.15"/>
    <row r="39867" s="76" customFormat="1" ht="21.95" customHeight="1" x14ac:dyDescent="0.15"/>
    <row r="39868" s="76" customFormat="1" ht="21.95" customHeight="1" x14ac:dyDescent="0.15"/>
    <row r="39869" s="76" customFormat="1" ht="21.95" customHeight="1" x14ac:dyDescent="0.15"/>
    <row r="39870" s="76" customFormat="1" ht="21.95" customHeight="1" x14ac:dyDescent="0.15"/>
    <row r="39871" s="76" customFormat="1" ht="21.95" customHeight="1" x14ac:dyDescent="0.15"/>
    <row r="39872" s="76" customFormat="1" ht="21.95" customHeight="1" x14ac:dyDescent="0.15"/>
    <row r="39873" spans="3:3" customFormat="1" ht="21.95" customHeight="1" x14ac:dyDescent="0.15"/>
    <row r="39874" spans="3:3" customFormat="1" ht="21.95" customHeight="1" x14ac:dyDescent="0.15"/>
    <row r="39875" spans="3:3" customFormat="1" ht="21.95" customHeight="1" x14ac:dyDescent="0.15">
      <c r="C39875" s="94"/>
    </row>
    <row r="39876" spans="3:3" customFormat="1" ht="21.95" customHeight="1" x14ac:dyDescent="0.15">
      <c r="C39876" s="94"/>
    </row>
    <row r="39877" spans="3:3" customFormat="1" ht="21.95" customHeight="1" x14ac:dyDescent="0.15"/>
    <row r="39878" spans="3:3" customFormat="1" ht="21.95" customHeight="1" x14ac:dyDescent="0.15"/>
    <row r="39879" spans="3:3" customFormat="1" ht="21.95" customHeight="1" x14ac:dyDescent="0.15"/>
    <row r="39880" spans="3:3" customFormat="1" ht="21.95" customHeight="1" x14ac:dyDescent="0.15"/>
    <row r="39881" spans="3:3" customFormat="1" ht="21.95" customHeight="1" x14ac:dyDescent="0.15"/>
    <row r="39882" spans="3:3" customFormat="1" ht="21.95" customHeight="1" x14ac:dyDescent="0.15"/>
    <row r="39883" spans="3:3" customFormat="1" ht="21.95" customHeight="1" x14ac:dyDescent="0.15"/>
    <row r="39884" spans="3:3" s="76" customFormat="1" ht="21.95" customHeight="1" x14ac:dyDescent="0.15"/>
    <row r="39885" spans="3:3" s="76" customFormat="1" ht="21.95" customHeight="1" x14ac:dyDescent="0.15"/>
    <row r="39886" spans="3:3" s="76" customFormat="1" ht="21.95" customHeight="1" x14ac:dyDescent="0.15"/>
    <row r="39887" spans="3:3" s="76" customFormat="1" ht="21.95" customHeight="1" x14ac:dyDescent="0.15"/>
    <row r="39888" spans="3:3" customFormat="1" ht="21.95" customHeight="1" x14ac:dyDescent="0.15"/>
    <row r="39889" customFormat="1" ht="21.95" customHeight="1" x14ac:dyDescent="0.15"/>
    <row r="39890" customFormat="1" ht="21.95" customHeight="1" x14ac:dyDescent="0.15"/>
    <row r="39891" customFormat="1" ht="21.95" customHeight="1" x14ac:dyDescent="0.15"/>
    <row r="39892" customFormat="1" ht="21.95" customHeight="1" x14ac:dyDescent="0.15"/>
    <row r="39893" customFormat="1" ht="21.95" customHeight="1" x14ac:dyDescent="0.15"/>
    <row r="39894" customFormat="1" ht="21.95" customHeight="1" x14ac:dyDescent="0.15"/>
    <row r="39895" customFormat="1" ht="21.95" customHeight="1" x14ac:dyDescent="0.15"/>
    <row r="39896" customFormat="1" ht="21.95" customHeight="1" x14ac:dyDescent="0.15"/>
    <row r="39897" customFormat="1" ht="21.95" customHeight="1" x14ac:dyDescent="0.15"/>
    <row r="39898" customFormat="1" ht="21.95" customHeight="1" x14ac:dyDescent="0.15"/>
    <row r="39899" customFormat="1" ht="32.1" customHeight="1" x14ac:dyDescent="0.15"/>
    <row r="39900" customFormat="1" ht="32.1" customHeight="1" x14ac:dyDescent="0.15"/>
    <row r="39901" customFormat="1" ht="32.1" customHeight="1" x14ac:dyDescent="0.15"/>
    <row r="39902" customFormat="1" ht="32.1" customHeight="1" x14ac:dyDescent="0.15"/>
    <row r="39903" customFormat="1" ht="32.1" customHeight="1" x14ac:dyDescent="0.15"/>
    <row r="39904" customFormat="1" ht="32.1" customHeight="1" x14ac:dyDescent="0.15"/>
    <row r="39905" s="76" customFormat="1" ht="32.1" customHeight="1" x14ac:dyDescent="0.15"/>
    <row r="39906" s="76" customFormat="1" ht="32.1" customHeight="1" x14ac:dyDescent="0.15"/>
    <row r="39907" s="76" customFormat="1" ht="32.1" customHeight="1" x14ac:dyDescent="0.15"/>
    <row r="39908" s="76" customFormat="1" ht="32.1" customHeight="1" x14ac:dyDescent="0.15"/>
    <row r="39909" s="76" customFormat="1" ht="21.95" customHeight="1" x14ac:dyDescent="0.15"/>
    <row r="39910" s="76" customFormat="1" ht="54" customHeight="1" x14ac:dyDescent="0.15"/>
    <row r="39911" s="76" customFormat="1" ht="21.95" customHeight="1" x14ac:dyDescent="0.15"/>
    <row r="39912" s="76" customFormat="1" ht="21.95" customHeight="1" x14ac:dyDescent="0.15"/>
    <row r="39913" s="76" customFormat="1" ht="21.95" customHeight="1" x14ac:dyDescent="0.15"/>
    <row r="39914" s="76" customFormat="1" ht="21.95" customHeight="1" x14ac:dyDescent="0.15"/>
    <row r="39915" s="76" customFormat="1" ht="21.95" customHeight="1" x14ac:dyDescent="0.15"/>
    <row r="39916" s="76" customFormat="1" ht="21.95" customHeight="1" x14ac:dyDescent="0.15"/>
    <row r="39917" s="76" customFormat="1" ht="21.95" customHeight="1" x14ac:dyDescent="0.15"/>
    <row r="39918" s="76" customFormat="1" ht="21.95" customHeight="1" x14ac:dyDescent="0.15"/>
    <row r="39919" s="76" customFormat="1" ht="21.95" customHeight="1" x14ac:dyDescent="0.15"/>
    <row r="39920" s="76" customFormat="1" ht="21.95" customHeight="1" x14ac:dyDescent="0.15"/>
    <row r="39921" s="76" customFormat="1" ht="21.95" customHeight="1" x14ac:dyDescent="0.15"/>
    <row r="39922" s="76" customFormat="1" ht="21.95" customHeight="1" x14ac:dyDescent="0.15"/>
    <row r="39923" s="76" customFormat="1" ht="21.95" customHeight="1" x14ac:dyDescent="0.15"/>
    <row r="39924" s="76" customFormat="1" ht="21.95" customHeight="1" x14ac:dyDescent="0.15"/>
    <row r="39925" s="76" customFormat="1" ht="21.95" customHeight="1" x14ac:dyDescent="0.15"/>
    <row r="39926" s="76" customFormat="1" ht="21.95" customHeight="1" x14ac:dyDescent="0.15"/>
    <row r="39927" s="76" customFormat="1" ht="21.95" customHeight="1" x14ac:dyDescent="0.15"/>
    <row r="39928" s="76" customFormat="1" ht="21.95" customHeight="1" x14ac:dyDescent="0.15"/>
    <row r="39929" s="76" customFormat="1" ht="21.95" customHeight="1" x14ac:dyDescent="0.15"/>
    <row r="39930" s="76" customFormat="1" ht="21.95" customHeight="1" x14ac:dyDescent="0.15"/>
    <row r="39931" s="76" customFormat="1" ht="21.95" customHeight="1" x14ac:dyDescent="0.15"/>
    <row r="39932" s="76" customFormat="1" ht="21.95" customHeight="1" x14ac:dyDescent="0.15"/>
    <row r="39933" s="76" customFormat="1" ht="21.95" customHeight="1" x14ac:dyDescent="0.15"/>
    <row r="39934" s="76" customFormat="1" ht="21.95" customHeight="1" x14ac:dyDescent="0.15"/>
    <row r="39935" s="76" customFormat="1" ht="21.95" customHeight="1" x14ac:dyDescent="0.15"/>
    <row r="39936" s="76" customFormat="1" ht="21.95" customHeight="1" x14ac:dyDescent="0.15"/>
    <row r="39937" s="76" customFormat="1" ht="21.95" customHeight="1" x14ac:dyDescent="0.15"/>
    <row r="39938" s="76" customFormat="1" ht="21.95" customHeight="1" x14ac:dyDescent="0.15"/>
    <row r="39939" s="76" customFormat="1" ht="21.95" customHeight="1" x14ac:dyDescent="0.15"/>
    <row r="39940" s="76" customFormat="1" ht="21.95" customHeight="1" x14ac:dyDescent="0.15"/>
    <row r="39941" s="76" customFormat="1" ht="21.95" customHeight="1" x14ac:dyDescent="0.15"/>
    <row r="39942" s="76" customFormat="1" ht="21.95" customHeight="1" x14ac:dyDescent="0.15"/>
    <row r="39943" s="76" customFormat="1" ht="21.95" customHeight="1" x14ac:dyDescent="0.15"/>
    <row r="39944" s="76" customFormat="1" ht="21.95" customHeight="1" x14ac:dyDescent="0.15"/>
    <row r="39945" s="76" customFormat="1" ht="21.95" customHeight="1" x14ac:dyDescent="0.15"/>
    <row r="39946" s="76" customFormat="1" ht="21.95" customHeight="1" x14ac:dyDescent="0.15"/>
    <row r="39947" s="76" customFormat="1" ht="21.95" customHeight="1" x14ac:dyDescent="0.15"/>
    <row r="39948" s="76" customFormat="1" ht="21.95" customHeight="1" x14ac:dyDescent="0.15"/>
    <row r="39949" s="76" customFormat="1" ht="21.95" customHeight="1" x14ac:dyDescent="0.15"/>
    <row r="39950" s="76" customFormat="1" ht="21.95" customHeight="1" x14ac:dyDescent="0.15"/>
    <row r="39951" s="76" customFormat="1" ht="21.95" customHeight="1" x14ac:dyDescent="0.15"/>
    <row r="39952" s="76" customFormat="1" ht="21.95" customHeight="1" x14ac:dyDescent="0.15"/>
    <row r="39953" s="76" customFormat="1" ht="21.95" customHeight="1" x14ac:dyDescent="0.15"/>
    <row r="39954" s="76" customFormat="1" ht="21.95" customHeight="1" x14ac:dyDescent="0.15"/>
    <row r="39955" s="76" customFormat="1" ht="21.95" customHeight="1" x14ac:dyDescent="0.15"/>
    <row r="39956" s="76" customFormat="1" ht="21.95" customHeight="1" x14ac:dyDescent="0.15"/>
    <row r="39957" s="76" customFormat="1" ht="21.95" customHeight="1" x14ac:dyDescent="0.15"/>
    <row r="39958" s="76" customFormat="1" ht="21.95" customHeight="1" x14ac:dyDescent="0.15"/>
    <row r="39959" s="76" customFormat="1" ht="21.95" customHeight="1" x14ac:dyDescent="0.15"/>
    <row r="39960" s="76" customFormat="1" ht="21.95" customHeight="1" x14ac:dyDescent="0.15"/>
    <row r="39961" s="76" customFormat="1" ht="35.1" customHeight="1" x14ac:dyDescent="0.15"/>
    <row r="39962" s="76" customFormat="1" ht="21.95" customHeight="1" x14ac:dyDescent="0.15"/>
    <row r="39963" s="76" customFormat="1" ht="21.95" customHeight="1" x14ac:dyDescent="0.15"/>
    <row r="39964" s="76" customFormat="1" ht="21.95" customHeight="1" x14ac:dyDescent="0.15"/>
    <row r="39965" s="76" customFormat="1" ht="21.95" customHeight="1" x14ac:dyDescent="0.15"/>
    <row r="39966" s="76" customFormat="1" ht="21.95" customHeight="1" x14ac:dyDescent="0.15"/>
    <row r="39967" s="76" customFormat="1" ht="21.95" customHeight="1" x14ac:dyDescent="0.15"/>
    <row r="39968" s="76" customFormat="1" ht="21.95" customHeight="1" x14ac:dyDescent="0.15"/>
    <row r="39969" s="76" customFormat="1" ht="21.95" customHeight="1" x14ac:dyDescent="0.15"/>
    <row r="39970" s="76" customFormat="1" ht="21.95" customHeight="1" x14ac:dyDescent="0.15"/>
    <row r="39971" s="76" customFormat="1" ht="21.95" customHeight="1" x14ac:dyDescent="0.15"/>
    <row r="39972" s="76" customFormat="1" ht="21.95" customHeight="1" x14ac:dyDescent="0.15"/>
    <row r="39973" s="76" customFormat="1" ht="21.95" customHeight="1" x14ac:dyDescent="0.15"/>
    <row r="39974" s="76" customFormat="1" ht="21.95" customHeight="1" x14ac:dyDescent="0.15"/>
    <row r="39975" s="76" customFormat="1" ht="21.95" customHeight="1" x14ac:dyDescent="0.15"/>
    <row r="39976" s="76" customFormat="1" ht="21.95" customHeight="1" x14ac:dyDescent="0.15"/>
    <row r="39977" s="76" customFormat="1" ht="21.95" customHeight="1" x14ac:dyDescent="0.15"/>
    <row r="39978" s="76" customFormat="1" ht="21.95" customHeight="1" x14ac:dyDescent="0.15"/>
    <row r="39979" s="76" customFormat="1" ht="21.95" customHeight="1" x14ac:dyDescent="0.15"/>
    <row r="39980" s="76" customFormat="1" ht="21.95" customHeight="1" x14ac:dyDescent="0.15"/>
    <row r="39981" s="76" customFormat="1" ht="21.95" customHeight="1" x14ac:dyDescent="0.15"/>
    <row r="39982" s="76" customFormat="1" ht="21.95" customHeight="1" x14ac:dyDescent="0.15"/>
    <row r="39983" s="76" customFormat="1" ht="21.95" customHeight="1" x14ac:dyDescent="0.15"/>
    <row r="39984" s="76" customFormat="1" ht="21.95" customHeight="1" x14ac:dyDescent="0.15"/>
    <row r="39985" spans="3:3" customFormat="1" ht="21.95" customHeight="1" x14ac:dyDescent="0.15"/>
    <row r="39986" spans="3:3" customFormat="1" ht="21.95" customHeight="1" x14ac:dyDescent="0.15"/>
    <row r="39987" spans="3:3" customFormat="1" ht="21.95" customHeight="1" x14ac:dyDescent="0.15">
      <c r="C39987" s="94"/>
    </row>
    <row r="39988" spans="3:3" customFormat="1" ht="21.95" customHeight="1" x14ac:dyDescent="0.15">
      <c r="C39988" s="94"/>
    </row>
    <row r="39989" spans="3:3" customFormat="1" ht="21.95" customHeight="1" x14ac:dyDescent="0.15"/>
    <row r="39990" spans="3:3" customFormat="1" ht="21.95" customHeight="1" x14ac:dyDescent="0.15"/>
    <row r="39991" spans="3:3" customFormat="1" ht="21.95" customHeight="1" x14ac:dyDescent="0.15"/>
    <row r="39992" spans="3:3" customFormat="1" ht="21.95" customHeight="1" x14ac:dyDescent="0.15"/>
    <row r="39993" spans="3:3" customFormat="1" ht="21.95" customHeight="1" x14ac:dyDescent="0.15"/>
    <row r="39994" spans="3:3" customFormat="1" ht="21.95" customHeight="1" x14ac:dyDescent="0.15"/>
    <row r="39995" spans="3:3" customFormat="1" ht="21.95" customHeight="1" x14ac:dyDescent="0.15"/>
    <row r="39996" spans="3:3" s="76" customFormat="1" ht="21.95" customHeight="1" x14ac:dyDescent="0.15"/>
    <row r="39997" spans="3:3" s="76" customFormat="1" ht="21.95" customHeight="1" x14ac:dyDescent="0.15"/>
    <row r="39998" spans="3:3" s="76" customFormat="1" ht="21.95" customHeight="1" x14ac:dyDescent="0.15"/>
    <row r="39999" spans="3:3" s="76" customFormat="1" ht="21.95" customHeight="1" x14ac:dyDescent="0.15"/>
    <row r="40000" spans="3:3" customFormat="1" ht="21.95" customHeight="1" x14ac:dyDescent="0.15"/>
    <row r="40001" customFormat="1" ht="21.95" customHeight="1" x14ac:dyDescent="0.15"/>
    <row r="40002" customFormat="1" ht="21.95" customHeight="1" x14ac:dyDescent="0.15"/>
    <row r="40003" customFormat="1" ht="21.95" customHeight="1" x14ac:dyDescent="0.15"/>
    <row r="40004" customFormat="1" ht="21.95" customHeight="1" x14ac:dyDescent="0.15"/>
    <row r="40005" customFormat="1" ht="21.95" customHeight="1" x14ac:dyDescent="0.15"/>
    <row r="40006" customFormat="1" ht="21.95" customHeight="1" x14ac:dyDescent="0.15"/>
    <row r="40007" customFormat="1" ht="21.95" customHeight="1" x14ac:dyDescent="0.15"/>
    <row r="40008" customFormat="1" ht="21.95" customHeight="1" x14ac:dyDescent="0.15"/>
    <row r="40009" customFormat="1" ht="21.95" customHeight="1" x14ac:dyDescent="0.15"/>
    <row r="40010" customFormat="1" ht="21.95" customHeight="1" x14ac:dyDescent="0.15"/>
    <row r="40011" customFormat="1" ht="32.1" customHeight="1" x14ac:dyDescent="0.15"/>
    <row r="40012" customFormat="1" ht="32.1" customHeight="1" x14ac:dyDescent="0.15"/>
    <row r="40013" customFormat="1" ht="32.1" customHeight="1" x14ac:dyDescent="0.15"/>
    <row r="40014" customFormat="1" ht="32.1" customHeight="1" x14ac:dyDescent="0.15"/>
    <row r="40015" customFormat="1" ht="32.1" customHeight="1" x14ac:dyDescent="0.15"/>
    <row r="40016" customFormat="1" ht="32.1" customHeight="1" x14ac:dyDescent="0.15"/>
    <row r="40017" s="76" customFormat="1" ht="32.1" customHeight="1" x14ac:dyDescent="0.15"/>
    <row r="40018" s="76" customFormat="1" ht="32.1" customHeight="1" x14ac:dyDescent="0.15"/>
    <row r="40019" s="76" customFormat="1" ht="32.1" customHeight="1" x14ac:dyDescent="0.15"/>
    <row r="40020" s="76" customFormat="1" ht="32.1" customHeight="1" x14ac:dyDescent="0.15"/>
    <row r="40021" s="76" customFormat="1" ht="21.95" customHeight="1" x14ac:dyDescent="0.15"/>
    <row r="40022" s="76" customFormat="1" ht="54" customHeight="1" x14ac:dyDescent="0.15"/>
    <row r="40023" s="76" customFormat="1" ht="21.95" customHeight="1" x14ac:dyDescent="0.15"/>
    <row r="40024" s="76" customFormat="1" ht="21.95" customHeight="1" x14ac:dyDescent="0.15"/>
    <row r="40025" s="76" customFormat="1" ht="21.95" customHeight="1" x14ac:dyDescent="0.15"/>
    <row r="40026" s="76" customFormat="1" ht="21.95" customHeight="1" x14ac:dyDescent="0.15"/>
    <row r="40027" s="76" customFormat="1" ht="21.95" customHeight="1" x14ac:dyDescent="0.15"/>
    <row r="40028" s="76" customFormat="1" ht="21.95" customHeight="1" x14ac:dyDescent="0.15"/>
    <row r="40029" s="76" customFormat="1" ht="21.95" customHeight="1" x14ac:dyDescent="0.15"/>
    <row r="40030" s="76" customFormat="1" ht="21.95" customHeight="1" x14ac:dyDescent="0.15"/>
    <row r="40031" s="76" customFormat="1" ht="21.95" customHeight="1" x14ac:dyDescent="0.15"/>
    <row r="40032" s="76" customFormat="1" ht="21.95" customHeight="1" x14ac:dyDescent="0.15"/>
    <row r="40033" s="76" customFormat="1" ht="21.95" customHeight="1" x14ac:dyDescent="0.15"/>
    <row r="40034" s="76" customFormat="1" ht="21.95" customHeight="1" x14ac:dyDescent="0.15"/>
    <row r="40035" s="76" customFormat="1" ht="21.95" customHeight="1" x14ac:dyDescent="0.15"/>
    <row r="40036" s="76" customFormat="1" ht="21.95" customHeight="1" x14ac:dyDescent="0.15"/>
    <row r="40037" s="76" customFormat="1" ht="21.95" customHeight="1" x14ac:dyDescent="0.15"/>
    <row r="40038" s="76" customFormat="1" ht="21.95" customHeight="1" x14ac:dyDescent="0.15"/>
    <row r="40039" s="76" customFormat="1" ht="21.95" customHeight="1" x14ac:dyDescent="0.15"/>
    <row r="40040" s="76" customFormat="1" ht="21.95" customHeight="1" x14ac:dyDescent="0.15"/>
    <row r="40041" s="76" customFormat="1" ht="21.95" customHeight="1" x14ac:dyDescent="0.15"/>
    <row r="40042" s="76" customFormat="1" ht="21.95" customHeight="1" x14ac:dyDescent="0.15"/>
    <row r="40043" s="76" customFormat="1" ht="21.95" customHeight="1" x14ac:dyDescent="0.15"/>
    <row r="40044" s="76" customFormat="1" ht="21.95" customHeight="1" x14ac:dyDescent="0.15"/>
    <row r="40045" s="76" customFormat="1" ht="21.95" customHeight="1" x14ac:dyDescent="0.15"/>
    <row r="40046" s="76" customFormat="1" ht="21.95" customHeight="1" x14ac:dyDescent="0.15"/>
    <row r="40047" s="76" customFormat="1" ht="21.95" customHeight="1" x14ac:dyDescent="0.15"/>
    <row r="40048" s="76" customFormat="1" ht="21.95" customHeight="1" x14ac:dyDescent="0.15"/>
    <row r="40049" s="76" customFormat="1" ht="21.95" customHeight="1" x14ac:dyDescent="0.15"/>
    <row r="40050" s="76" customFormat="1" ht="21.95" customHeight="1" x14ac:dyDescent="0.15"/>
    <row r="40051" s="76" customFormat="1" ht="21.95" customHeight="1" x14ac:dyDescent="0.15"/>
    <row r="40052" s="76" customFormat="1" ht="21.95" customHeight="1" x14ac:dyDescent="0.15"/>
    <row r="40053" s="76" customFormat="1" ht="21.95" customHeight="1" x14ac:dyDescent="0.15"/>
    <row r="40054" s="76" customFormat="1" ht="21.95" customHeight="1" x14ac:dyDescent="0.15"/>
    <row r="40055" s="76" customFormat="1" ht="21.95" customHeight="1" x14ac:dyDescent="0.15"/>
    <row r="40056" s="76" customFormat="1" ht="21.95" customHeight="1" x14ac:dyDescent="0.15"/>
    <row r="40057" s="76" customFormat="1" ht="21.95" customHeight="1" x14ac:dyDescent="0.15"/>
    <row r="40058" s="76" customFormat="1" ht="21.95" customHeight="1" x14ac:dyDescent="0.15"/>
    <row r="40059" s="76" customFormat="1" ht="21.95" customHeight="1" x14ac:dyDescent="0.15"/>
    <row r="40060" s="76" customFormat="1" ht="21.95" customHeight="1" x14ac:dyDescent="0.15"/>
    <row r="40061" s="76" customFormat="1" ht="21.95" customHeight="1" x14ac:dyDescent="0.15"/>
    <row r="40062" s="76" customFormat="1" ht="21.95" customHeight="1" x14ac:dyDescent="0.15"/>
    <row r="40063" s="76" customFormat="1" ht="21.95" customHeight="1" x14ac:dyDescent="0.15"/>
    <row r="40064" s="76" customFormat="1" ht="21.95" customHeight="1" x14ac:dyDescent="0.15"/>
    <row r="40065" s="76" customFormat="1" ht="21.95" customHeight="1" x14ac:dyDescent="0.15"/>
    <row r="40066" s="76" customFormat="1" ht="21.95" customHeight="1" x14ac:dyDescent="0.15"/>
    <row r="40067" s="76" customFormat="1" ht="21.95" customHeight="1" x14ac:dyDescent="0.15"/>
    <row r="40068" s="76" customFormat="1" ht="21.95" customHeight="1" x14ac:dyDescent="0.15"/>
    <row r="40069" s="76" customFormat="1" ht="21.95" customHeight="1" x14ac:dyDescent="0.15"/>
    <row r="40070" s="76" customFormat="1" ht="21.95" customHeight="1" x14ac:dyDescent="0.15"/>
    <row r="40071" s="76" customFormat="1" ht="21.95" customHeight="1" x14ac:dyDescent="0.15"/>
    <row r="40072" s="76" customFormat="1" ht="21.95" customHeight="1" x14ac:dyDescent="0.15"/>
    <row r="40073" s="76" customFormat="1" ht="35.1" customHeight="1" x14ac:dyDescent="0.15"/>
    <row r="40074" s="76" customFormat="1" ht="21.95" customHeight="1" x14ac:dyDescent="0.15"/>
    <row r="40075" s="76" customFormat="1" ht="21.95" customHeight="1" x14ac:dyDescent="0.15"/>
    <row r="40076" s="76" customFormat="1" ht="21.95" customHeight="1" x14ac:dyDescent="0.15"/>
    <row r="40077" s="76" customFormat="1" ht="21.95" customHeight="1" x14ac:dyDescent="0.15"/>
    <row r="40078" s="76" customFormat="1" ht="21.95" customHeight="1" x14ac:dyDescent="0.15"/>
    <row r="40079" s="76" customFormat="1" ht="21.95" customHeight="1" x14ac:dyDescent="0.15"/>
    <row r="40080" s="76" customFormat="1" ht="21.95" customHeight="1" x14ac:dyDescent="0.15"/>
    <row r="40081" s="76" customFormat="1" ht="21.95" customHeight="1" x14ac:dyDescent="0.15"/>
    <row r="40082" s="76" customFormat="1" ht="21.95" customHeight="1" x14ac:dyDescent="0.15"/>
    <row r="40083" s="76" customFormat="1" ht="21.95" customHeight="1" x14ac:dyDescent="0.15"/>
    <row r="40084" s="76" customFormat="1" ht="21.95" customHeight="1" x14ac:dyDescent="0.15"/>
    <row r="40085" s="76" customFormat="1" ht="21.95" customHeight="1" x14ac:dyDescent="0.15"/>
    <row r="40086" s="76" customFormat="1" ht="21.95" customHeight="1" x14ac:dyDescent="0.15"/>
    <row r="40087" s="76" customFormat="1" ht="21.95" customHeight="1" x14ac:dyDescent="0.15"/>
    <row r="40088" s="76" customFormat="1" ht="21.95" customHeight="1" x14ac:dyDescent="0.15"/>
    <row r="40089" s="76" customFormat="1" ht="21.95" customHeight="1" x14ac:dyDescent="0.15"/>
    <row r="40090" s="76" customFormat="1" ht="21.95" customHeight="1" x14ac:dyDescent="0.15"/>
    <row r="40091" s="76" customFormat="1" ht="21.95" customHeight="1" x14ac:dyDescent="0.15"/>
    <row r="40092" s="76" customFormat="1" ht="21.95" customHeight="1" x14ac:dyDescent="0.15"/>
    <row r="40093" s="76" customFormat="1" ht="21.95" customHeight="1" x14ac:dyDescent="0.15"/>
    <row r="40094" s="76" customFormat="1" ht="21.95" customHeight="1" x14ac:dyDescent="0.15"/>
    <row r="40095" s="76" customFormat="1" ht="21.95" customHeight="1" x14ac:dyDescent="0.15"/>
    <row r="40096" s="76" customFormat="1" ht="21.95" customHeight="1" x14ac:dyDescent="0.15"/>
    <row r="40097" spans="3:3" customFormat="1" ht="21.95" customHeight="1" x14ac:dyDescent="0.15"/>
    <row r="40098" spans="3:3" customFormat="1" ht="21.95" customHeight="1" x14ac:dyDescent="0.15"/>
    <row r="40099" spans="3:3" customFormat="1" ht="21.95" customHeight="1" x14ac:dyDescent="0.15">
      <c r="C40099" s="94"/>
    </row>
    <row r="40100" spans="3:3" customFormat="1" ht="21.95" customHeight="1" x14ac:dyDescent="0.15">
      <c r="C40100" s="94"/>
    </row>
    <row r="40101" spans="3:3" customFormat="1" ht="21.95" customHeight="1" x14ac:dyDescent="0.15"/>
    <row r="40102" spans="3:3" customFormat="1" ht="21.95" customHeight="1" x14ac:dyDescent="0.15"/>
    <row r="40103" spans="3:3" customFormat="1" ht="21.95" customHeight="1" x14ac:dyDescent="0.15"/>
    <row r="40104" spans="3:3" customFormat="1" ht="21.95" customHeight="1" x14ac:dyDescent="0.15"/>
    <row r="40105" spans="3:3" customFormat="1" ht="21.95" customHeight="1" x14ac:dyDescent="0.15"/>
    <row r="40106" spans="3:3" customFormat="1" ht="21.95" customHeight="1" x14ac:dyDescent="0.15"/>
    <row r="40107" spans="3:3" customFormat="1" ht="21.95" customHeight="1" x14ac:dyDescent="0.15"/>
    <row r="40108" spans="3:3" s="76" customFormat="1" ht="21.95" customHeight="1" x14ac:dyDescent="0.15"/>
    <row r="40109" spans="3:3" s="76" customFormat="1" ht="21.95" customHeight="1" x14ac:dyDescent="0.15"/>
    <row r="40110" spans="3:3" s="76" customFormat="1" ht="21.95" customHeight="1" x14ac:dyDescent="0.15"/>
    <row r="40111" spans="3:3" s="76" customFormat="1" ht="21.95" customHeight="1" x14ac:dyDescent="0.15"/>
    <row r="40112" spans="3:3" customFormat="1" ht="21.95" customHeight="1" x14ac:dyDescent="0.15"/>
    <row r="40113" customFormat="1" ht="21.95" customHeight="1" x14ac:dyDescent="0.15"/>
    <row r="40114" customFormat="1" ht="21.95" customHeight="1" x14ac:dyDescent="0.15"/>
    <row r="40115" customFormat="1" ht="21.95" customHeight="1" x14ac:dyDescent="0.15"/>
    <row r="40116" customFormat="1" ht="21.95" customHeight="1" x14ac:dyDescent="0.15"/>
    <row r="40117" customFormat="1" ht="21.95" customHeight="1" x14ac:dyDescent="0.15"/>
    <row r="40118" customFormat="1" ht="21.95" customHeight="1" x14ac:dyDescent="0.15"/>
    <row r="40119" customFormat="1" ht="21.95" customHeight="1" x14ac:dyDescent="0.15"/>
    <row r="40120" customFormat="1" ht="21.95" customHeight="1" x14ac:dyDescent="0.15"/>
    <row r="40121" customFormat="1" ht="21.95" customHeight="1" x14ac:dyDescent="0.15"/>
    <row r="40122" customFormat="1" ht="21.95" customHeight="1" x14ac:dyDescent="0.15"/>
    <row r="40123" customFormat="1" ht="32.1" customHeight="1" x14ac:dyDescent="0.15"/>
    <row r="40124" customFormat="1" ht="32.1" customHeight="1" x14ac:dyDescent="0.15"/>
    <row r="40125" customFormat="1" ht="32.1" customHeight="1" x14ac:dyDescent="0.15"/>
    <row r="40126" customFormat="1" ht="32.1" customHeight="1" x14ac:dyDescent="0.15"/>
    <row r="40127" customFormat="1" ht="32.1" customHeight="1" x14ac:dyDescent="0.15"/>
    <row r="40128" customFormat="1" ht="32.1" customHeight="1" x14ac:dyDescent="0.15"/>
    <row r="40129" s="76" customFormat="1" ht="32.1" customHeight="1" x14ac:dyDescent="0.15"/>
    <row r="40130" s="76" customFormat="1" ht="32.1" customHeight="1" x14ac:dyDescent="0.15"/>
    <row r="40131" s="76" customFormat="1" ht="32.1" customHeight="1" x14ac:dyDescent="0.15"/>
    <row r="40132" s="76" customFormat="1" ht="32.1" customHeight="1" x14ac:dyDescent="0.15"/>
    <row r="40133" s="76" customFormat="1" ht="21.95" customHeight="1" x14ac:dyDescent="0.15"/>
    <row r="40134" s="76" customFormat="1" ht="54" customHeight="1" x14ac:dyDescent="0.15"/>
    <row r="40135" s="76" customFormat="1" ht="21.95" customHeight="1" x14ac:dyDescent="0.15"/>
    <row r="40136" s="76" customFormat="1" ht="21.95" customHeight="1" x14ac:dyDescent="0.15"/>
    <row r="40137" s="76" customFormat="1" ht="21.95" customHeight="1" x14ac:dyDescent="0.15"/>
    <row r="40138" s="76" customFormat="1" ht="21.95" customHeight="1" x14ac:dyDescent="0.15"/>
    <row r="40139" s="76" customFormat="1" ht="21.95" customHeight="1" x14ac:dyDescent="0.15"/>
    <row r="40140" s="76" customFormat="1" ht="21.95" customHeight="1" x14ac:dyDescent="0.15"/>
    <row r="40141" s="76" customFormat="1" ht="21.95" customHeight="1" x14ac:dyDescent="0.15"/>
    <row r="40142" s="76" customFormat="1" ht="21.95" customHeight="1" x14ac:dyDescent="0.15"/>
    <row r="40143" s="76" customFormat="1" ht="21.95" customHeight="1" x14ac:dyDescent="0.15"/>
    <row r="40144" s="76" customFormat="1" ht="21.95" customHeight="1" x14ac:dyDescent="0.15"/>
    <row r="40145" s="76" customFormat="1" ht="21.95" customHeight="1" x14ac:dyDescent="0.15"/>
    <row r="40146" s="76" customFormat="1" ht="21.95" customHeight="1" x14ac:dyDescent="0.15"/>
    <row r="40147" s="76" customFormat="1" ht="21.95" customHeight="1" x14ac:dyDescent="0.15"/>
    <row r="40148" s="76" customFormat="1" ht="21.95" customHeight="1" x14ac:dyDescent="0.15"/>
    <row r="40149" s="76" customFormat="1" ht="21.95" customHeight="1" x14ac:dyDescent="0.15"/>
    <row r="40150" s="76" customFormat="1" ht="21.95" customHeight="1" x14ac:dyDescent="0.15"/>
    <row r="40151" s="76" customFormat="1" ht="21.95" customHeight="1" x14ac:dyDescent="0.15"/>
    <row r="40152" s="76" customFormat="1" ht="21.95" customHeight="1" x14ac:dyDescent="0.15"/>
    <row r="40153" s="76" customFormat="1" ht="21.95" customHeight="1" x14ac:dyDescent="0.15"/>
    <row r="40154" s="76" customFormat="1" ht="21.95" customHeight="1" x14ac:dyDescent="0.15"/>
    <row r="40155" s="76" customFormat="1" ht="21.95" customHeight="1" x14ac:dyDescent="0.15"/>
    <row r="40156" s="76" customFormat="1" ht="21.95" customHeight="1" x14ac:dyDescent="0.15"/>
    <row r="40157" s="76" customFormat="1" ht="21.95" customHeight="1" x14ac:dyDescent="0.15"/>
    <row r="40158" s="76" customFormat="1" ht="21.95" customHeight="1" x14ac:dyDescent="0.15"/>
    <row r="40159" s="76" customFormat="1" ht="21.95" customHeight="1" x14ac:dyDescent="0.15"/>
    <row r="40160" s="76" customFormat="1" ht="21.95" customHeight="1" x14ac:dyDescent="0.15"/>
    <row r="40161" s="76" customFormat="1" ht="21.95" customHeight="1" x14ac:dyDescent="0.15"/>
    <row r="40162" s="76" customFormat="1" ht="21.95" customHeight="1" x14ac:dyDescent="0.15"/>
    <row r="40163" s="76" customFormat="1" ht="21.95" customHeight="1" x14ac:dyDescent="0.15"/>
    <row r="40164" s="76" customFormat="1" ht="21.95" customHeight="1" x14ac:dyDescent="0.15"/>
    <row r="40165" s="76" customFormat="1" ht="21.95" customHeight="1" x14ac:dyDescent="0.15"/>
    <row r="40166" s="76" customFormat="1" ht="21.95" customHeight="1" x14ac:dyDescent="0.15"/>
    <row r="40167" s="76" customFormat="1" ht="21.95" customHeight="1" x14ac:dyDescent="0.15"/>
    <row r="40168" s="76" customFormat="1" ht="21.95" customHeight="1" x14ac:dyDescent="0.15"/>
    <row r="40169" s="76" customFormat="1" ht="21.95" customHeight="1" x14ac:dyDescent="0.15"/>
    <row r="40170" s="76" customFormat="1" ht="21.95" customHeight="1" x14ac:dyDescent="0.15"/>
    <row r="40171" s="76" customFormat="1" ht="21.95" customHeight="1" x14ac:dyDescent="0.15"/>
    <row r="40172" s="76" customFormat="1" ht="21.95" customHeight="1" x14ac:dyDescent="0.15"/>
    <row r="40173" s="76" customFormat="1" ht="21.95" customHeight="1" x14ac:dyDescent="0.15"/>
    <row r="40174" s="76" customFormat="1" ht="21.95" customHeight="1" x14ac:dyDescent="0.15"/>
    <row r="40175" s="76" customFormat="1" ht="21.95" customHeight="1" x14ac:dyDescent="0.15"/>
    <row r="40176" s="76" customFormat="1" ht="21.95" customHeight="1" x14ac:dyDescent="0.15"/>
    <row r="40177" s="76" customFormat="1" ht="21.95" customHeight="1" x14ac:dyDescent="0.15"/>
    <row r="40178" s="76" customFormat="1" ht="21.95" customHeight="1" x14ac:dyDescent="0.15"/>
    <row r="40179" s="76" customFormat="1" ht="21.95" customHeight="1" x14ac:dyDescent="0.15"/>
    <row r="40180" s="76" customFormat="1" ht="21.95" customHeight="1" x14ac:dyDescent="0.15"/>
    <row r="40181" s="76" customFormat="1" ht="21.95" customHeight="1" x14ac:dyDescent="0.15"/>
    <row r="40182" s="76" customFormat="1" ht="21.95" customHeight="1" x14ac:dyDescent="0.15"/>
    <row r="40183" s="76" customFormat="1" ht="21.95" customHeight="1" x14ac:dyDescent="0.15"/>
    <row r="40184" s="76" customFormat="1" ht="21.95" customHeight="1" x14ac:dyDescent="0.15"/>
    <row r="40185" s="76" customFormat="1" ht="35.1" customHeight="1" x14ac:dyDescent="0.15"/>
    <row r="40186" s="76" customFormat="1" ht="21.95" customHeight="1" x14ac:dyDescent="0.15"/>
    <row r="40187" s="76" customFormat="1" ht="21.95" customHeight="1" x14ac:dyDescent="0.15"/>
    <row r="40188" s="76" customFormat="1" ht="21.95" customHeight="1" x14ac:dyDescent="0.15"/>
    <row r="40189" s="76" customFormat="1" ht="21.95" customHeight="1" x14ac:dyDescent="0.15"/>
    <row r="40190" s="76" customFormat="1" ht="21.95" customHeight="1" x14ac:dyDescent="0.15"/>
    <row r="40191" s="76" customFormat="1" ht="21.95" customHeight="1" x14ac:dyDescent="0.15"/>
    <row r="40192" s="76" customFormat="1" ht="21.95" customHeight="1" x14ac:dyDescent="0.15"/>
    <row r="40193" s="76" customFormat="1" ht="21.95" customHeight="1" x14ac:dyDescent="0.15"/>
    <row r="40194" s="76" customFormat="1" ht="21.95" customHeight="1" x14ac:dyDescent="0.15"/>
    <row r="40195" s="76" customFormat="1" ht="21.95" customHeight="1" x14ac:dyDescent="0.15"/>
    <row r="40196" s="76" customFormat="1" ht="21.95" customHeight="1" x14ac:dyDescent="0.15"/>
    <row r="40197" s="76" customFormat="1" ht="21.95" customHeight="1" x14ac:dyDescent="0.15"/>
    <row r="40198" s="76" customFormat="1" ht="21.95" customHeight="1" x14ac:dyDescent="0.15"/>
    <row r="40199" s="76" customFormat="1" ht="21.95" customHeight="1" x14ac:dyDescent="0.15"/>
    <row r="40200" s="76" customFormat="1" ht="21.95" customHeight="1" x14ac:dyDescent="0.15"/>
    <row r="40201" s="76" customFormat="1" ht="21.95" customHeight="1" x14ac:dyDescent="0.15"/>
    <row r="40202" s="76" customFormat="1" ht="21.95" customHeight="1" x14ac:dyDescent="0.15"/>
    <row r="40203" s="76" customFormat="1" ht="21.95" customHeight="1" x14ac:dyDescent="0.15"/>
    <row r="40204" s="76" customFormat="1" ht="21.95" customHeight="1" x14ac:dyDescent="0.15"/>
    <row r="40205" s="76" customFormat="1" ht="21.95" customHeight="1" x14ac:dyDescent="0.15"/>
    <row r="40206" s="76" customFormat="1" ht="21.95" customHeight="1" x14ac:dyDescent="0.15"/>
    <row r="40207" s="76" customFormat="1" ht="21.95" customHeight="1" x14ac:dyDescent="0.15"/>
    <row r="40208" s="76" customFormat="1" ht="21.95" customHeight="1" x14ac:dyDescent="0.15"/>
    <row r="40209" spans="3:3" customFormat="1" ht="21.95" customHeight="1" x14ac:dyDescent="0.15"/>
    <row r="40210" spans="3:3" customFormat="1" ht="21.95" customHeight="1" x14ac:dyDescent="0.15"/>
    <row r="40211" spans="3:3" customFormat="1" ht="21.95" customHeight="1" x14ac:dyDescent="0.15">
      <c r="C40211" s="94"/>
    </row>
    <row r="40212" spans="3:3" customFormat="1" ht="21.95" customHeight="1" x14ac:dyDescent="0.15">
      <c r="C40212" s="94"/>
    </row>
    <row r="40213" spans="3:3" customFormat="1" ht="21.95" customHeight="1" x14ac:dyDescent="0.15"/>
    <row r="40214" spans="3:3" customFormat="1" ht="21.95" customHeight="1" x14ac:dyDescent="0.15"/>
    <row r="40215" spans="3:3" customFormat="1" ht="21.95" customHeight="1" x14ac:dyDescent="0.15"/>
    <row r="40216" spans="3:3" customFormat="1" ht="21.95" customHeight="1" x14ac:dyDescent="0.15"/>
    <row r="40217" spans="3:3" customFormat="1" ht="21.95" customHeight="1" x14ac:dyDescent="0.15"/>
    <row r="40218" spans="3:3" customFormat="1" ht="21.95" customHeight="1" x14ac:dyDescent="0.15"/>
    <row r="40219" spans="3:3" customFormat="1" ht="21.95" customHeight="1" x14ac:dyDescent="0.15"/>
    <row r="40220" spans="3:3" s="76" customFormat="1" ht="21.95" customHeight="1" x14ac:dyDescent="0.15"/>
    <row r="40221" spans="3:3" s="76" customFormat="1" ht="21.95" customHeight="1" x14ac:dyDescent="0.15"/>
    <row r="40222" spans="3:3" s="76" customFormat="1" ht="21.95" customHeight="1" x14ac:dyDescent="0.15"/>
    <row r="40223" spans="3:3" s="76" customFormat="1" ht="21.95" customHeight="1" x14ac:dyDescent="0.15"/>
    <row r="40224" spans="3:3" customFormat="1" ht="21.95" customHeight="1" x14ac:dyDescent="0.15"/>
    <row r="40225" customFormat="1" ht="21.95" customHeight="1" x14ac:dyDescent="0.15"/>
    <row r="40226" customFormat="1" ht="21.95" customHeight="1" x14ac:dyDescent="0.15"/>
    <row r="40227" customFormat="1" ht="21.95" customHeight="1" x14ac:dyDescent="0.15"/>
    <row r="40228" customFormat="1" ht="21.95" customHeight="1" x14ac:dyDescent="0.15"/>
    <row r="40229" customFormat="1" ht="21.95" customHeight="1" x14ac:dyDescent="0.15"/>
    <row r="40230" customFormat="1" ht="21.95" customHeight="1" x14ac:dyDescent="0.15"/>
    <row r="40231" customFormat="1" ht="21.95" customHeight="1" x14ac:dyDescent="0.15"/>
    <row r="40232" customFormat="1" ht="21.95" customHeight="1" x14ac:dyDescent="0.15"/>
    <row r="40233" customFormat="1" ht="21.95" customHeight="1" x14ac:dyDescent="0.15"/>
    <row r="40234" customFormat="1" ht="21.95" customHeight="1" x14ac:dyDescent="0.15"/>
    <row r="40235" customFormat="1" ht="32.1" customHeight="1" x14ac:dyDescent="0.15"/>
    <row r="40236" customFormat="1" ht="32.1" customHeight="1" x14ac:dyDescent="0.15"/>
    <row r="40237" customFormat="1" ht="32.1" customHeight="1" x14ac:dyDescent="0.15"/>
    <row r="40238" customFormat="1" ht="32.1" customHeight="1" x14ac:dyDescent="0.15"/>
    <row r="40239" customFormat="1" ht="32.1" customHeight="1" x14ac:dyDescent="0.15"/>
    <row r="40240" customFormat="1" ht="32.1" customHeight="1" x14ac:dyDescent="0.15"/>
    <row r="40241" s="76" customFormat="1" ht="32.1" customHeight="1" x14ac:dyDescent="0.15"/>
    <row r="40242" s="76" customFormat="1" ht="32.1" customHeight="1" x14ac:dyDescent="0.15"/>
    <row r="40243" s="76" customFormat="1" ht="32.1" customHeight="1" x14ac:dyDescent="0.15"/>
    <row r="40244" s="76" customFormat="1" ht="32.1" customHeight="1" x14ac:dyDescent="0.15"/>
    <row r="40245" s="76" customFormat="1" ht="21.95" customHeight="1" x14ac:dyDescent="0.15"/>
    <row r="40246" s="76" customFormat="1" ht="54" customHeight="1" x14ac:dyDescent="0.15"/>
    <row r="40247" s="76" customFormat="1" ht="21.95" customHeight="1" x14ac:dyDescent="0.15"/>
    <row r="40248" s="76" customFormat="1" ht="21.95" customHeight="1" x14ac:dyDescent="0.15"/>
    <row r="40249" s="76" customFormat="1" ht="21.95" customHeight="1" x14ac:dyDescent="0.15"/>
    <row r="40250" s="76" customFormat="1" ht="21.95" customHeight="1" x14ac:dyDescent="0.15"/>
    <row r="40251" s="76" customFormat="1" ht="21.95" customHeight="1" x14ac:dyDescent="0.15"/>
    <row r="40252" s="76" customFormat="1" ht="21.95" customHeight="1" x14ac:dyDescent="0.15"/>
    <row r="40253" s="76" customFormat="1" ht="21.95" customHeight="1" x14ac:dyDescent="0.15"/>
    <row r="40254" s="76" customFormat="1" ht="21.95" customHeight="1" x14ac:dyDescent="0.15"/>
    <row r="40255" s="76" customFormat="1" ht="21.95" customHeight="1" x14ac:dyDescent="0.15"/>
    <row r="40256" s="76" customFormat="1" ht="21.95" customHeight="1" x14ac:dyDescent="0.15"/>
    <row r="40257" s="76" customFormat="1" ht="21.95" customHeight="1" x14ac:dyDescent="0.15"/>
    <row r="40258" s="76" customFormat="1" ht="21.95" customHeight="1" x14ac:dyDescent="0.15"/>
    <row r="40259" s="76" customFormat="1" ht="21.95" customHeight="1" x14ac:dyDescent="0.15"/>
    <row r="40260" s="76" customFormat="1" ht="21.95" customHeight="1" x14ac:dyDescent="0.15"/>
    <row r="40261" s="76" customFormat="1" ht="21.95" customHeight="1" x14ac:dyDescent="0.15"/>
    <row r="40262" s="76" customFormat="1" ht="21.95" customHeight="1" x14ac:dyDescent="0.15"/>
    <row r="40263" s="76" customFormat="1" ht="21.95" customHeight="1" x14ac:dyDescent="0.15"/>
    <row r="40264" s="76" customFormat="1" ht="21.95" customHeight="1" x14ac:dyDescent="0.15"/>
    <row r="40265" s="76" customFormat="1" ht="21.95" customHeight="1" x14ac:dyDescent="0.15"/>
    <row r="40266" s="76" customFormat="1" ht="21.95" customHeight="1" x14ac:dyDescent="0.15"/>
    <row r="40267" s="76" customFormat="1" ht="21.95" customHeight="1" x14ac:dyDescent="0.15"/>
    <row r="40268" s="76" customFormat="1" ht="21.95" customHeight="1" x14ac:dyDescent="0.15"/>
    <row r="40269" s="76" customFormat="1" ht="21.95" customHeight="1" x14ac:dyDescent="0.15"/>
    <row r="40270" s="76" customFormat="1" ht="21.95" customHeight="1" x14ac:dyDescent="0.15"/>
    <row r="40271" s="76" customFormat="1" ht="21.95" customHeight="1" x14ac:dyDescent="0.15"/>
    <row r="40272" s="76" customFormat="1" ht="21.95" customHeight="1" x14ac:dyDescent="0.15"/>
    <row r="40273" s="76" customFormat="1" ht="21.95" customHeight="1" x14ac:dyDescent="0.15"/>
    <row r="40274" s="76" customFormat="1" ht="21.95" customHeight="1" x14ac:dyDescent="0.15"/>
    <row r="40275" s="76" customFormat="1" ht="21.95" customHeight="1" x14ac:dyDescent="0.15"/>
    <row r="40276" s="76" customFormat="1" ht="21.95" customHeight="1" x14ac:dyDescent="0.15"/>
    <row r="40277" s="76" customFormat="1" ht="21.95" customHeight="1" x14ac:dyDescent="0.15"/>
    <row r="40278" s="76" customFormat="1" ht="21.95" customHeight="1" x14ac:dyDescent="0.15"/>
    <row r="40279" s="76" customFormat="1" ht="21.95" customHeight="1" x14ac:dyDescent="0.15"/>
    <row r="40280" s="76" customFormat="1" ht="21.95" customHeight="1" x14ac:dyDescent="0.15"/>
    <row r="40281" s="76" customFormat="1" ht="21.95" customHeight="1" x14ac:dyDescent="0.15"/>
    <row r="40282" s="76" customFormat="1" ht="21.95" customHeight="1" x14ac:dyDescent="0.15"/>
    <row r="40283" s="76" customFormat="1" ht="21.95" customHeight="1" x14ac:dyDescent="0.15"/>
    <row r="40284" s="76" customFormat="1" ht="21.95" customHeight="1" x14ac:dyDescent="0.15"/>
    <row r="40285" s="76" customFormat="1" ht="21.95" customHeight="1" x14ac:dyDescent="0.15"/>
    <row r="40286" s="76" customFormat="1" ht="21.95" customHeight="1" x14ac:dyDescent="0.15"/>
    <row r="40287" s="76" customFormat="1" ht="21.95" customHeight="1" x14ac:dyDescent="0.15"/>
    <row r="40288" s="76" customFormat="1" ht="21.95" customHeight="1" x14ac:dyDescent="0.15"/>
    <row r="40289" s="76" customFormat="1" ht="21.95" customHeight="1" x14ac:dyDescent="0.15"/>
    <row r="40290" s="76" customFormat="1" ht="21.95" customHeight="1" x14ac:dyDescent="0.15"/>
    <row r="40291" s="76" customFormat="1" ht="21.95" customHeight="1" x14ac:dyDescent="0.15"/>
    <row r="40292" s="76" customFormat="1" ht="21.95" customHeight="1" x14ac:dyDescent="0.15"/>
    <row r="40293" s="76" customFormat="1" ht="21.95" customHeight="1" x14ac:dyDescent="0.15"/>
    <row r="40294" s="76" customFormat="1" ht="21.95" customHeight="1" x14ac:dyDescent="0.15"/>
    <row r="40295" s="76" customFormat="1" ht="21.95" customHeight="1" x14ac:dyDescent="0.15"/>
    <row r="40296" s="76" customFormat="1" ht="21.95" customHeight="1" x14ac:dyDescent="0.15"/>
    <row r="40297" s="76" customFormat="1" ht="35.1" customHeight="1" x14ac:dyDescent="0.15"/>
    <row r="40298" s="76" customFormat="1" ht="21.95" customHeight="1" x14ac:dyDescent="0.15"/>
    <row r="40299" s="76" customFormat="1" ht="21.95" customHeight="1" x14ac:dyDescent="0.15"/>
    <row r="40300" s="76" customFormat="1" ht="21.95" customHeight="1" x14ac:dyDescent="0.15"/>
    <row r="40301" s="76" customFormat="1" ht="21.95" customHeight="1" x14ac:dyDescent="0.15"/>
    <row r="40302" s="76" customFormat="1" ht="21.95" customHeight="1" x14ac:dyDescent="0.15"/>
    <row r="40303" s="76" customFormat="1" ht="21.95" customHeight="1" x14ac:dyDescent="0.15"/>
    <row r="40304" s="76" customFormat="1" ht="21.95" customHeight="1" x14ac:dyDescent="0.15"/>
    <row r="40305" s="76" customFormat="1" ht="21.95" customHeight="1" x14ac:dyDescent="0.15"/>
    <row r="40306" s="76" customFormat="1" ht="21.95" customHeight="1" x14ac:dyDescent="0.15"/>
    <row r="40307" s="76" customFormat="1" ht="21.95" customHeight="1" x14ac:dyDescent="0.15"/>
    <row r="40308" s="76" customFormat="1" ht="21.95" customHeight="1" x14ac:dyDescent="0.15"/>
    <row r="40309" s="76" customFormat="1" ht="21.95" customHeight="1" x14ac:dyDescent="0.15"/>
    <row r="40310" s="76" customFormat="1" ht="21.95" customHeight="1" x14ac:dyDescent="0.15"/>
    <row r="40311" s="76" customFormat="1" ht="21.95" customHeight="1" x14ac:dyDescent="0.15"/>
    <row r="40312" s="76" customFormat="1" ht="21.95" customHeight="1" x14ac:dyDescent="0.15"/>
    <row r="40313" s="76" customFormat="1" ht="21.95" customHeight="1" x14ac:dyDescent="0.15"/>
    <row r="40314" s="76" customFormat="1" ht="21.95" customHeight="1" x14ac:dyDescent="0.15"/>
    <row r="40315" s="76" customFormat="1" ht="21.95" customHeight="1" x14ac:dyDescent="0.15"/>
    <row r="40316" s="76" customFormat="1" ht="21.95" customHeight="1" x14ac:dyDescent="0.15"/>
    <row r="40317" s="76" customFormat="1" ht="21.95" customHeight="1" x14ac:dyDescent="0.15"/>
    <row r="40318" s="76" customFormat="1" ht="21.95" customHeight="1" x14ac:dyDescent="0.15"/>
    <row r="40319" s="76" customFormat="1" ht="21.95" customHeight="1" x14ac:dyDescent="0.15"/>
    <row r="40320" s="76" customFormat="1" ht="21.95" customHeight="1" x14ac:dyDescent="0.15"/>
    <row r="40321" spans="3:3" customFormat="1" ht="21.95" customHeight="1" x14ac:dyDescent="0.15"/>
    <row r="40322" spans="3:3" customFormat="1" ht="21.95" customHeight="1" x14ac:dyDescent="0.15"/>
    <row r="40323" spans="3:3" customFormat="1" ht="21.95" customHeight="1" x14ac:dyDescent="0.15">
      <c r="C40323" s="94"/>
    </row>
    <row r="40324" spans="3:3" customFormat="1" ht="21.95" customHeight="1" x14ac:dyDescent="0.15">
      <c r="C40324" s="94"/>
    </row>
    <row r="40325" spans="3:3" customFormat="1" ht="21.95" customHeight="1" x14ac:dyDescent="0.15"/>
    <row r="40326" spans="3:3" customFormat="1" ht="21.95" customHeight="1" x14ac:dyDescent="0.15"/>
    <row r="40327" spans="3:3" customFormat="1" ht="21.95" customHeight="1" x14ac:dyDescent="0.15"/>
    <row r="40328" spans="3:3" customFormat="1" ht="21.95" customHeight="1" x14ac:dyDescent="0.15"/>
    <row r="40329" spans="3:3" customFormat="1" ht="21.95" customHeight="1" x14ac:dyDescent="0.15"/>
    <row r="40330" spans="3:3" customFormat="1" ht="21.95" customHeight="1" x14ac:dyDescent="0.15"/>
    <row r="40331" spans="3:3" customFormat="1" ht="21.95" customHeight="1" x14ac:dyDescent="0.15"/>
    <row r="40332" spans="3:3" s="76" customFormat="1" ht="21.95" customHeight="1" x14ac:dyDescent="0.15"/>
    <row r="40333" spans="3:3" s="76" customFormat="1" ht="21.95" customHeight="1" x14ac:dyDescent="0.15"/>
    <row r="40334" spans="3:3" s="76" customFormat="1" ht="21.95" customHeight="1" x14ac:dyDescent="0.15"/>
    <row r="40335" spans="3:3" s="76" customFormat="1" ht="21.95" customHeight="1" x14ac:dyDescent="0.15"/>
    <row r="40336" spans="3:3" customFormat="1" ht="21.95" customHeight="1" x14ac:dyDescent="0.15"/>
    <row r="40337" customFormat="1" ht="21.95" customHeight="1" x14ac:dyDescent="0.15"/>
    <row r="40338" customFormat="1" ht="21.95" customHeight="1" x14ac:dyDescent="0.15"/>
    <row r="40339" customFormat="1" ht="21.95" customHeight="1" x14ac:dyDescent="0.15"/>
    <row r="40340" customFormat="1" ht="21.95" customHeight="1" x14ac:dyDescent="0.15"/>
    <row r="40341" customFormat="1" ht="21.95" customHeight="1" x14ac:dyDescent="0.15"/>
    <row r="40342" customFormat="1" ht="21.95" customHeight="1" x14ac:dyDescent="0.15"/>
    <row r="40343" customFormat="1" ht="21.95" customHeight="1" x14ac:dyDescent="0.15"/>
    <row r="40344" customFormat="1" ht="21.95" customHeight="1" x14ac:dyDescent="0.15"/>
    <row r="40345" customFormat="1" ht="21.95" customHeight="1" x14ac:dyDescent="0.15"/>
    <row r="40346" customFormat="1" ht="21.95" customHeight="1" x14ac:dyDescent="0.15"/>
    <row r="40347" customFormat="1" ht="32.1" customHeight="1" x14ac:dyDescent="0.15"/>
    <row r="40348" customFormat="1" ht="32.1" customHeight="1" x14ac:dyDescent="0.15"/>
    <row r="40349" customFormat="1" ht="32.1" customHeight="1" x14ac:dyDescent="0.15"/>
    <row r="40350" customFormat="1" ht="32.1" customHeight="1" x14ac:dyDescent="0.15"/>
    <row r="40351" customFormat="1" ht="32.1" customHeight="1" x14ac:dyDescent="0.15"/>
    <row r="40352" customFormat="1" ht="32.1" customHeight="1" x14ac:dyDescent="0.15"/>
    <row r="40353" s="76" customFormat="1" ht="32.1" customHeight="1" x14ac:dyDescent="0.15"/>
    <row r="40354" s="76" customFormat="1" ht="32.1" customHeight="1" x14ac:dyDescent="0.15"/>
    <row r="40355" s="76" customFormat="1" ht="32.1" customHeight="1" x14ac:dyDescent="0.15"/>
    <row r="40356" s="76" customFormat="1" ht="32.1" customHeight="1" x14ac:dyDescent="0.15"/>
    <row r="40357" s="76" customFormat="1" ht="21.95" customHeight="1" x14ac:dyDescent="0.15"/>
    <row r="40358" s="76" customFormat="1" ht="54" customHeight="1" x14ac:dyDescent="0.15"/>
    <row r="40359" s="76" customFormat="1" ht="21.95" customHeight="1" x14ac:dyDescent="0.15"/>
    <row r="40360" s="76" customFormat="1" ht="21.95" customHeight="1" x14ac:dyDescent="0.15"/>
    <row r="40361" s="76" customFormat="1" ht="21.95" customHeight="1" x14ac:dyDescent="0.15"/>
    <row r="40362" s="76" customFormat="1" ht="21.95" customHeight="1" x14ac:dyDescent="0.15"/>
    <row r="40363" s="76" customFormat="1" ht="21.95" customHeight="1" x14ac:dyDescent="0.15"/>
    <row r="40364" s="76" customFormat="1" ht="21.95" customHeight="1" x14ac:dyDescent="0.15"/>
    <row r="40365" s="76" customFormat="1" ht="21.95" customHeight="1" x14ac:dyDescent="0.15"/>
    <row r="40366" s="76" customFormat="1" ht="21.95" customHeight="1" x14ac:dyDescent="0.15"/>
    <row r="40367" s="76" customFormat="1" ht="21.95" customHeight="1" x14ac:dyDescent="0.15"/>
    <row r="40368" s="76" customFormat="1" ht="21.95" customHeight="1" x14ac:dyDescent="0.15"/>
    <row r="40369" s="76" customFormat="1" ht="21.95" customHeight="1" x14ac:dyDescent="0.15"/>
    <row r="40370" s="76" customFormat="1" ht="21.95" customHeight="1" x14ac:dyDescent="0.15"/>
    <row r="40371" s="76" customFormat="1" ht="21.95" customHeight="1" x14ac:dyDescent="0.15"/>
    <row r="40372" s="76" customFormat="1" ht="21.95" customHeight="1" x14ac:dyDescent="0.15"/>
    <row r="40373" s="76" customFormat="1" ht="21.95" customHeight="1" x14ac:dyDescent="0.15"/>
    <row r="40374" s="76" customFormat="1" ht="21.95" customHeight="1" x14ac:dyDescent="0.15"/>
    <row r="40375" s="76" customFormat="1" ht="21.95" customHeight="1" x14ac:dyDescent="0.15"/>
    <row r="40376" s="76" customFormat="1" ht="21.95" customHeight="1" x14ac:dyDescent="0.15"/>
    <row r="40377" s="76" customFormat="1" ht="21.95" customHeight="1" x14ac:dyDescent="0.15"/>
    <row r="40378" s="76" customFormat="1" ht="21.95" customHeight="1" x14ac:dyDescent="0.15"/>
    <row r="40379" s="76" customFormat="1" ht="21.95" customHeight="1" x14ac:dyDescent="0.15"/>
    <row r="40380" s="76" customFormat="1" ht="21.95" customHeight="1" x14ac:dyDescent="0.15"/>
    <row r="40381" s="76" customFormat="1" ht="21.95" customHeight="1" x14ac:dyDescent="0.15"/>
    <row r="40382" s="76" customFormat="1" ht="21.95" customHeight="1" x14ac:dyDescent="0.15"/>
    <row r="40383" s="76" customFormat="1" ht="21.95" customHeight="1" x14ac:dyDescent="0.15"/>
    <row r="40384" s="76" customFormat="1" ht="21.95" customHeight="1" x14ac:dyDescent="0.15"/>
    <row r="40385" s="76" customFormat="1" ht="21.95" customHeight="1" x14ac:dyDescent="0.15"/>
    <row r="40386" s="76" customFormat="1" ht="21.95" customHeight="1" x14ac:dyDescent="0.15"/>
    <row r="40387" s="76" customFormat="1" ht="21.95" customHeight="1" x14ac:dyDescent="0.15"/>
    <row r="40388" s="76" customFormat="1" ht="21.95" customHeight="1" x14ac:dyDescent="0.15"/>
    <row r="40389" s="76" customFormat="1" ht="21.95" customHeight="1" x14ac:dyDescent="0.15"/>
    <row r="40390" s="76" customFormat="1" ht="21.95" customHeight="1" x14ac:dyDescent="0.15"/>
    <row r="40391" s="76" customFormat="1" ht="21.95" customHeight="1" x14ac:dyDescent="0.15"/>
    <row r="40392" s="76" customFormat="1" ht="21.95" customHeight="1" x14ac:dyDescent="0.15"/>
    <row r="40393" s="76" customFormat="1" ht="21.95" customHeight="1" x14ac:dyDescent="0.15"/>
    <row r="40394" s="76" customFormat="1" ht="21.95" customHeight="1" x14ac:dyDescent="0.15"/>
    <row r="40395" s="76" customFormat="1" ht="21.95" customHeight="1" x14ac:dyDescent="0.15"/>
    <row r="40396" s="76" customFormat="1" ht="21.95" customHeight="1" x14ac:dyDescent="0.15"/>
    <row r="40397" s="76" customFormat="1" ht="21.95" customHeight="1" x14ac:dyDescent="0.15"/>
    <row r="40398" s="76" customFormat="1" ht="21.95" customHeight="1" x14ac:dyDescent="0.15"/>
    <row r="40399" s="76" customFormat="1" ht="21.95" customHeight="1" x14ac:dyDescent="0.15"/>
    <row r="40400" s="76" customFormat="1" ht="21.95" customHeight="1" x14ac:dyDescent="0.15"/>
    <row r="40401" s="76" customFormat="1" ht="21.95" customHeight="1" x14ac:dyDescent="0.15"/>
    <row r="40402" s="76" customFormat="1" ht="21.95" customHeight="1" x14ac:dyDescent="0.15"/>
    <row r="40403" s="76" customFormat="1" ht="21.95" customHeight="1" x14ac:dyDescent="0.15"/>
    <row r="40404" s="76" customFormat="1" ht="21.95" customHeight="1" x14ac:dyDescent="0.15"/>
    <row r="40405" s="76" customFormat="1" ht="21.95" customHeight="1" x14ac:dyDescent="0.15"/>
    <row r="40406" s="76" customFormat="1" ht="21.95" customHeight="1" x14ac:dyDescent="0.15"/>
    <row r="40407" s="76" customFormat="1" ht="21.95" customHeight="1" x14ac:dyDescent="0.15"/>
    <row r="40408" s="76" customFormat="1" ht="21.95" customHeight="1" x14ac:dyDescent="0.15"/>
    <row r="40409" s="76" customFormat="1" ht="35.1" customHeight="1" x14ac:dyDescent="0.15"/>
    <row r="40410" s="76" customFormat="1" ht="21.95" customHeight="1" x14ac:dyDescent="0.15"/>
    <row r="40411" s="76" customFormat="1" ht="21.95" customHeight="1" x14ac:dyDescent="0.15"/>
    <row r="40412" s="76" customFormat="1" ht="21.95" customHeight="1" x14ac:dyDescent="0.15"/>
    <row r="40413" s="76" customFormat="1" ht="21.95" customHeight="1" x14ac:dyDescent="0.15"/>
    <row r="40414" s="76" customFormat="1" ht="21.95" customHeight="1" x14ac:dyDescent="0.15"/>
    <row r="40415" s="76" customFormat="1" ht="21.95" customHeight="1" x14ac:dyDescent="0.15"/>
    <row r="40416" s="76" customFormat="1" ht="21.95" customHeight="1" x14ac:dyDescent="0.15"/>
    <row r="40417" s="76" customFormat="1" ht="21.95" customHeight="1" x14ac:dyDescent="0.15"/>
    <row r="40418" s="76" customFormat="1" ht="21.95" customHeight="1" x14ac:dyDescent="0.15"/>
    <row r="40419" s="76" customFormat="1" ht="21.95" customHeight="1" x14ac:dyDescent="0.15"/>
    <row r="40420" s="76" customFormat="1" ht="21.95" customHeight="1" x14ac:dyDescent="0.15"/>
    <row r="40421" s="76" customFormat="1" ht="21.95" customHeight="1" x14ac:dyDescent="0.15"/>
    <row r="40422" s="76" customFormat="1" ht="21.95" customHeight="1" x14ac:dyDescent="0.15"/>
    <row r="40423" s="76" customFormat="1" ht="21.95" customHeight="1" x14ac:dyDescent="0.15"/>
    <row r="40424" s="76" customFormat="1" ht="21.95" customHeight="1" x14ac:dyDescent="0.15"/>
    <row r="40425" s="76" customFormat="1" ht="21.95" customHeight="1" x14ac:dyDescent="0.15"/>
    <row r="40426" s="76" customFormat="1" ht="21.95" customHeight="1" x14ac:dyDescent="0.15"/>
    <row r="40427" s="76" customFormat="1" ht="21.95" customHeight="1" x14ac:dyDescent="0.15"/>
    <row r="40428" s="76" customFormat="1" ht="21.95" customHeight="1" x14ac:dyDescent="0.15"/>
    <row r="40429" s="76" customFormat="1" ht="21.95" customHeight="1" x14ac:dyDescent="0.15"/>
    <row r="40430" s="76" customFormat="1" ht="21.95" customHeight="1" x14ac:dyDescent="0.15"/>
    <row r="40431" s="76" customFormat="1" ht="21.95" customHeight="1" x14ac:dyDescent="0.15"/>
    <row r="40432" s="76" customFormat="1" ht="21.95" customHeight="1" x14ac:dyDescent="0.15"/>
    <row r="40433" spans="3:3" customFormat="1" ht="21.95" customHeight="1" x14ac:dyDescent="0.15"/>
    <row r="40434" spans="3:3" customFormat="1" ht="21.95" customHeight="1" x14ac:dyDescent="0.15"/>
    <row r="40435" spans="3:3" customFormat="1" ht="21.95" customHeight="1" x14ac:dyDescent="0.15">
      <c r="C40435" s="94"/>
    </row>
    <row r="40436" spans="3:3" customFormat="1" ht="21.95" customHeight="1" x14ac:dyDescent="0.15">
      <c r="C40436" s="94"/>
    </row>
    <row r="40437" spans="3:3" customFormat="1" ht="21.95" customHeight="1" x14ac:dyDescent="0.15"/>
    <row r="40438" spans="3:3" customFormat="1" ht="21.95" customHeight="1" x14ac:dyDescent="0.15"/>
    <row r="40439" spans="3:3" customFormat="1" ht="21.95" customHeight="1" x14ac:dyDescent="0.15"/>
    <row r="40440" spans="3:3" customFormat="1" ht="21.95" customHeight="1" x14ac:dyDescent="0.15"/>
    <row r="40441" spans="3:3" customFormat="1" ht="21.95" customHeight="1" x14ac:dyDescent="0.15"/>
    <row r="40442" spans="3:3" customFormat="1" ht="21.95" customHeight="1" x14ac:dyDescent="0.15"/>
    <row r="40443" spans="3:3" customFormat="1" ht="21.95" customHeight="1" x14ac:dyDescent="0.15"/>
    <row r="40444" spans="3:3" s="76" customFormat="1" ht="21.95" customHeight="1" x14ac:dyDescent="0.15"/>
    <row r="40445" spans="3:3" s="76" customFormat="1" ht="21.95" customHeight="1" x14ac:dyDescent="0.15"/>
    <row r="40446" spans="3:3" s="76" customFormat="1" ht="21.95" customHeight="1" x14ac:dyDescent="0.15"/>
    <row r="40447" spans="3:3" s="76" customFormat="1" ht="21.95" customHeight="1" x14ac:dyDescent="0.15"/>
    <row r="40448" spans="3:3" customFormat="1" ht="21.95" customHeight="1" x14ac:dyDescent="0.15"/>
    <row r="40449" customFormat="1" ht="21.95" customHeight="1" x14ac:dyDescent="0.15"/>
    <row r="40450" customFormat="1" ht="21.95" customHeight="1" x14ac:dyDescent="0.15"/>
    <row r="40451" customFormat="1" ht="21.95" customHeight="1" x14ac:dyDescent="0.15"/>
    <row r="40452" customFormat="1" ht="21.95" customHeight="1" x14ac:dyDescent="0.15"/>
    <row r="40453" customFormat="1" ht="21.95" customHeight="1" x14ac:dyDescent="0.15"/>
    <row r="40454" customFormat="1" ht="21.95" customHeight="1" x14ac:dyDescent="0.15"/>
    <row r="40455" customFormat="1" ht="21.95" customHeight="1" x14ac:dyDescent="0.15"/>
    <row r="40456" customFormat="1" ht="21.95" customHeight="1" x14ac:dyDescent="0.15"/>
    <row r="40457" customFormat="1" ht="21.95" customHeight="1" x14ac:dyDescent="0.15"/>
    <row r="40458" customFormat="1" ht="21.95" customHeight="1" x14ac:dyDescent="0.15"/>
    <row r="40459" customFormat="1" ht="32.1" customHeight="1" x14ac:dyDescent="0.15"/>
    <row r="40460" customFormat="1" ht="32.1" customHeight="1" x14ac:dyDescent="0.15"/>
    <row r="40461" customFormat="1" ht="32.1" customHeight="1" x14ac:dyDescent="0.15"/>
    <row r="40462" customFormat="1" ht="32.1" customHeight="1" x14ac:dyDescent="0.15"/>
    <row r="40463" customFormat="1" ht="32.1" customHeight="1" x14ac:dyDescent="0.15"/>
    <row r="40464" customFormat="1" ht="32.1" customHeight="1" x14ac:dyDescent="0.15"/>
    <row r="40465" s="76" customFormat="1" ht="32.1" customHeight="1" x14ac:dyDescent="0.15"/>
    <row r="40466" s="76" customFormat="1" ht="32.1" customHeight="1" x14ac:dyDescent="0.15"/>
    <row r="40467" s="76" customFormat="1" ht="32.1" customHeight="1" x14ac:dyDescent="0.15"/>
    <row r="40468" s="76" customFormat="1" ht="32.1" customHeight="1" x14ac:dyDescent="0.15"/>
    <row r="40469" s="76" customFormat="1" ht="21.95" customHeight="1" x14ac:dyDescent="0.15"/>
    <row r="40470" s="76" customFormat="1" ht="54" customHeight="1" x14ac:dyDescent="0.15"/>
    <row r="40471" s="76" customFormat="1" ht="21.95" customHeight="1" x14ac:dyDescent="0.15"/>
    <row r="40472" s="76" customFormat="1" ht="21.95" customHeight="1" x14ac:dyDescent="0.15"/>
    <row r="40473" s="76" customFormat="1" ht="21.95" customHeight="1" x14ac:dyDescent="0.15"/>
    <row r="40474" s="76" customFormat="1" ht="21.95" customHeight="1" x14ac:dyDescent="0.15"/>
    <row r="40475" s="76" customFormat="1" ht="21.95" customHeight="1" x14ac:dyDescent="0.15"/>
    <row r="40476" s="76" customFormat="1" ht="21.95" customHeight="1" x14ac:dyDescent="0.15"/>
    <row r="40477" s="76" customFormat="1" ht="21.95" customHeight="1" x14ac:dyDescent="0.15"/>
    <row r="40478" s="76" customFormat="1" ht="21.95" customHeight="1" x14ac:dyDescent="0.15"/>
    <row r="40479" s="76" customFormat="1" ht="21.95" customHeight="1" x14ac:dyDescent="0.15"/>
    <row r="40480" s="76" customFormat="1" ht="21.95" customHeight="1" x14ac:dyDescent="0.15"/>
    <row r="40481" s="76" customFormat="1" ht="21.95" customHeight="1" x14ac:dyDescent="0.15"/>
    <row r="40482" s="76" customFormat="1" ht="21.95" customHeight="1" x14ac:dyDescent="0.15"/>
    <row r="40483" s="76" customFormat="1" ht="21.95" customHeight="1" x14ac:dyDescent="0.15"/>
    <row r="40484" s="76" customFormat="1" ht="21.95" customHeight="1" x14ac:dyDescent="0.15"/>
    <row r="40485" s="76" customFormat="1" ht="21.95" customHeight="1" x14ac:dyDescent="0.15"/>
    <row r="40486" s="76" customFormat="1" ht="21.95" customHeight="1" x14ac:dyDescent="0.15"/>
    <row r="40487" s="76" customFormat="1" ht="21.95" customHeight="1" x14ac:dyDescent="0.15"/>
    <row r="40488" s="76" customFormat="1" ht="21.95" customHeight="1" x14ac:dyDescent="0.15"/>
    <row r="40489" s="76" customFormat="1" ht="21.95" customHeight="1" x14ac:dyDescent="0.15"/>
    <row r="40490" s="76" customFormat="1" ht="21.95" customHeight="1" x14ac:dyDescent="0.15"/>
    <row r="40491" s="76" customFormat="1" ht="21.95" customHeight="1" x14ac:dyDescent="0.15"/>
    <row r="40492" s="76" customFormat="1" ht="21.95" customHeight="1" x14ac:dyDescent="0.15"/>
    <row r="40493" s="76" customFormat="1" ht="21.95" customHeight="1" x14ac:dyDescent="0.15"/>
    <row r="40494" s="76" customFormat="1" ht="21.95" customHeight="1" x14ac:dyDescent="0.15"/>
    <row r="40495" s="76" customFormat="1" ht="21.95" customHeight="1" x14ac:dyDescent="0.15"/>
    <row r="40496" s="76" customFormat="1" ht="21.95" customHeight="1" x14ac:dyDescent="0.15"/>
    <row r="40497" s="76" customFormat="1" ht="21.95" customHeight="1" x14ac:dyDescent="0.15"/>
    <row r="40498" s="76" customFormat="1" ht="21.95" customHeight="1" x14ac:dyDescent="0.15"/>
    <row r="40499" s="76" customFormat="1" ht="21.95" customHeight="1" x14ac:dyDescent="0.15"/>
    <row r="40500" s="76" customFormat="1" ht="21.95" customHeight="1" x14ac:dyDescent="0.15"/>
    <row r="40501" s="76" customFormat="1" ht="21.95" customHeight="1" x14ac:dyDescent="0.15"/>
    <row r="40502" s="76" customFormat="1" ht="21.95" customHeight="1" x14ac:dyDescent="0.15"/>
    <row r="40503" s="76" customFormat="1" ht="21.95" customHeight="1" x14ac:dyDescent="0.15"/>
    <row r="40504" s="76" customFormat="1" ht="21.95" customHeight="1" x14ac:dyDescent="0.15"/>
    <row r="40505" s="76" customFormat="1" ht="21.95" customHeight="1" x14ac:dyDescent="0.15"/>
    <row r="40506" s="76" customFormat="1" ht="21.95" customHeight="1" x14ac:dyDescent="0.15"/>
    <row r="40507" s="76" customFormat="1" ht="21.95" customHeight="1" x14ac:dyDescent="0.15"/>
    <row r="40508" s="76" customFormat="1" ht="21.95" customHeight="1" x14ac:dyDescent="0.15"/>
    <row r="40509" s="76" customFormat="1" ht="21.95" customHeight="1" x14ac:dyDescent="0.15"/>
    <row r="40510" s="76" customFormat="1" ht="21.95" customHeight="1" x14ac:dyDescent="0.15"/>
    <row r="40511" s="76" customFormat="1" ht="21.95" customHeight="1" x14ac:dyDescent="0.15"/>
    <row r="40512" s="76" customFormat="1" ht="21.95" customHeight="1" x14ac:dyDescent="0.15"/>
    <row r="40513" s="76" customFormat="1" ht="21.95" customHeight="1" x14ac:dyDescent="0.15"/>
    <row r="40514" s="76" customFormat="1" ht="21.95" customHeight="1" x14ac:dyDescent="0.15"/>
    <row r="40515" s="76" customFormat="1" ht="21.95" customHeight="1" x14ac:dyDescent="0.15"/>
    <row r="40516" s="76" customFormat="1" ht="21.95" customHeight="1" x14ac:dyDescent="0.15"/>
    <row r="40517" s="76" customFormat="1" ht="21.95" customHeight="1" x14ac:dyDescent="0.15"/>
    <row r="40518" s="76" customFormat="1" ht="21.95" customHeight="1" x14ac:dyDescent="0.15"/>
    <row r="40519" s="76" customFormat="1" ht="21.95" customHeight="1" x14ac:dyDescent="0.15"/>
    <row r="40520" s="76" customFormat="1" ht="21.95" customHeight="1" x14ac:dyDescent="0.15"/>
    <row r="40521" s="76" customFormat="1" ht="35.1" customHeight="1" x14ac:dyDescent="0.15"/>
    <row r="40522" s="76" customFormat="1" ht="21.95" customHeight="1" x14ac:dyDescent="0.15"/>
    <row r="40523" s="76" customFormat="1" ht="21.95" customHeight="1" x14ac:dyDescent="0.15"/>
    <row r="40524" s="76" customFormat="1" ht="21.95" customHeight="1" x14ac:dyDescent="0.15"/>
    <row r="40525" s="76" customFormat="1" ht="21.95" customHeight="1" x14ac:dyDescent="0.15"/>
    <row r="40526" s="76" customFormat="1" ht="21.95" customHeight="1" x14ac:dyDescent="0.15"/>
    <row r="40527" s="76" customFormat="1" ht="21.95" customHeight="1" x14ac:dyDescent="0.15"/>
    <row r="40528" s="76" customFormat="1" ht="21.95" customHeight="1" x14ac:dyDescent="0.15"/>
    <row r="40529" s="76" customFormat="1" ht="21.95" customHeight="1" x14ac:dyDescent="0.15"/>
    <row r="40530" s="76" customFormat="1" ht="21.95" customHeight="1" x14ac:dyDescent="0.15"/>
    <row r="40531" s="76" customFormat="1" ht="21.95" customHeight="1" x14ac:dyDescent="0.15"/>
    <row r="40532" s="76" customFormat="1" ht="21.95" customHeight="1" x14ac:dyDescent="0.15"/>
    <row r="40533" s="76" customFormat="1" ht="21.95" customHeight="1" x14ac:dyDescent="0.15"/>
    <row r="40534" s="76" customFormat="1" ht="21.95" customHeight="1" x14ac:dyDescent="0.15"/>
    <row r="40535" s="76" customFormat="1" ht="21.95" customHeight="1" x14ac:dyDescent="0.15"/>
    <row r="40536" s="76" customFormat="1" ht="21.95" customHeight="1" x14ac:dyDescent="0.15"/>
    <row r="40537" s="76" customFormat="1" ht="21.95" customHeight="1" x14ac:dyDescent="0.15"/>
    <row r="40538" s="76" customFormat="1" ht="21.95" customHeight="1" x14ac:dyDescent="0.15"/>
    <row r="40539" s="76" customFormat="1" ht="21.95" customHeight="1" x14ac:dyDescent="0.15"/>
    <row r="40540" s="76" customFormat="1" ht="21.95" customHeight="1" x14ac:dyDescent="0.15"/>
    <row r="40541" s="76" customFormat="1" ht="21.95" customHeight="1" x14ac:dyDescent="0.15"/>
    <row r="40542" s="76" customFormat="1" ht="21.95" customHeight="1" x14ac:dyDescent="0.15"/>
    <row r="40543" s="76" customFormat="1" ht="21.95" customHeight="1" x14ac:dyDescent="0.15"/>
    <row r="40544" s="76" customFormat="1" ht="21.95" customHeight="1" x14ac:dyDescent="0.15"/>
    <row r="40545" spans="3:3" customFormat="1" ht="21.95" customHeight="1" x14ac:dyDescent="0.15"/>
    <row r="40546" spans="3:3" customFormat="1" ht="21.95" customHeight="1" x14ac:dyDescent="0.15"/>
    <row r="40547" spans="3:3" customFormat="1" ht="21.95" customHeight="1" x14ac:dyDescent="0.15">
      <c r="C40547" s="94"/>
    </row>
    <row r="40548" spans="3:3" customFormat="1" ht="21.95" customHeight="1" x14ac:dyDescent="0.15">
      <c r="C40548" s="94"/>
    </row>
    <row r="40549" spans="3:3" customFormat="1" ht="21.95" customHeight="1" x14ac:dyDescent="0.15"/>
    <row r="40550" spans="3:3" customFormat="1" ht="21.95" customHeight="1" x14ac:dyDescent="0.15"/>
    <row r="40551" spans="3:3" customFormat="1" ht="21.95" customHeight="1" x14ac:dyDescent="0.15"/>
    <row r="40552" spans="3:3" customFormat="1" ht="21.95" customHeight="1" x14ac:dyDescent="0.15"/>
    <row r="40553" spans="3:3" customFormat="1" ht="21.95" customHeight="1" x14ac:dyDescent="0.15"/>
    <row r="40554" spans="3:3" customFormat="1" ht="21.95" customHeight="1" x14ac:dyDescent="0.15"/>
    <row r="40555" spans="3:3" customFormat="1" ht="21.95" customHeight="1" x14ac:dyDescent="0.15"/>
    <row r="40556" spans="3:3" s="76" customFormat="1" ht="21.95" customHeight="1" x14ac:dyDescent="0.15"/>
    <row r="40557" spans="3:3" s="76" customFormat="1" ht="21.95" customHeight="1" x14ac:dyDescent="0.15"/>
    <row r="40558" spans="3:3" s="76" customFormat="1" ht="21.95" customHeight="1" x14ac:dyDescent="0.15"/>
    <row r="40559" spans="3:3" s="76" customFormat="1" ht="21.95" customHeight="1" x14ac:dyDescent="0.15"/>
    <row r="40560" spans="3:3" customFormat="1" ht="21.95" customHeight="1" x14ac:dyDescent="0.15"/>
    <row r="40561" customFormat="1" ht="21.95" customHeight="1" x14ac:dyDescent="0.15"/>
    <row r="40562" customFormat="1" ht="21.95" customHeight="1" x14ac:dyDescent="0.15"/>
    <row r="40563" customFormat="1" ht="21.95" customHeight="1" x14ac:dyDescent="0.15"/>
    <row r="40564" customFormat="1" ht="21.95" customHeight="1" x14ac:dyDescent="0.15"/>
    <row r="40565" customFormat="1" ht="21.95" customHeight="1" x14ac:dyDescent="0.15"/>
    <row r="40566" customFormat="1" ht="21.95" customHeight="1" x14ac:dyDescent="0.15"/>
    <row r="40567" customFormat="1" ht="21.95" customHeight="1" x14ac:dyDescent="0.15"/>
    <row r="40568" customFormat="1" ht="21.95" customHeight="1" x14ac:dyDescent="0.15"/>
    <row r="40569" customFormat="1" ht="21.95" customHeight="1" x14ac:dyDescent="0.15"/>
    <row r="40570" customFormat="1" ht="21.95" customHeight="1" x14ac:dyDescent="0.15"/>
    <row r="40571" customFormat="1" ht="32.1" customHeight="1" x14ac:dyDescent="0.15"/>
    <row r="40572" customFormat="1" ht="32.1" customHeight="1" x14ac:dyDescent="0.15"/>
    <row r="40573" customFormat="1" ht="32.1" customHeight="1" x14ac:dyDescent="0.15"/>
    <row r="40574" customFormat="1" ht="32.1" customHeight="1" x14ac:dyDescent="0.15"/>
    <row r="40575" customFormat="1" ht="32.1" customHeight="1" x14ac:dyDescent="0.15"/>
    <row r="40576" customFormat="1" ht="32.1" customHeight="1" x14ac:dyDescent="0.15"/>
    <row r="40577" s="76" customFormat="1" ht="32.1" customHeight="1" x14ac:dyDescent="0.15"/>
    <row r="40578" s="76" customFormat="1" ht="32.1" customHeight="1" x14ac:dyDescent="0.15"/>
    <row r="40579" s="76" customFormat="1" ht="32.1" customHeight="1" x14ac:dyDescent="0.15"/>
    <row r="40580" s="76" customFormat="1" ht="32.1" customHeight="1" x14ac:dyDescent="0.15"/>
    <row r="40581" s="76" customFormat="1" ht="21.95" customHeight="1" x14ac:dyDescent="0.15"/>
    <row r="40582" s="76" customFormat="1" ht="54" customHeight="1" x14ac:dyDescent="0.15"/>
    <row r="40583" s="76" customFormat="1" ht="21.95" customHeight="1" x14ac:dyDescent="0.15"/>
    <row r="40584" s="76" customFormat="1" ht="21.95" customHeight="1" x14ac:dyDescent="0.15"/>
    <row r="40585" s="76" customFormat="1" ht="21.95" customHeight="1" x14ac:dyDescent="0.15"/>
    <row r="40586" s="76" customFormat="1" ht="21.95" customHeight="1" x14ac:dyDescent="0.15"/>
    <row r="40587" s="76" customFormat="1" ht="21.95" customHeight="1" x14ac:dyDescent="0.15"/>
    <row r="40588" s="76" customFormat="1" ht="21.95" customHeight="1" x14ac:dyDescent="0.15"/>
    <row r="40589" s="76" customFormat="1" ht="21.95" customHeight="1" x14ac:dyDescent="0.15"/>
    <row r="40590" s="76" customFormat="1" ht="21.95" customHeight="1" x14ac:dyDescent="0.15"/>
    <row r="40591" s="76" customFormat="1" ht="21.95" customHeight="1" x14ac:dyDescent="0.15"/>
    <row r="40592" s="76" customFormat="1" ht="21.95" customHeight="1" x14ac:dyDescent="0.15"/>
    <row r="40593" s="76" customFormat="1" ht="21.95" customHeight="1" x14ac:dyDescent="0.15"/>
    <row r="40594" s="76" customFormat="1" ht="21.95" customHeight="1" x14ac:dyDescent="0.15"/>
    <row r="40595" s="76" customFormat="1" ht="21.95" customHeight="1" x14ac:dyDescent="0.15"/>
    <row r="40596" s="76" customFormat="1" ht="21.95" customHeight="1" x14ac:dyDescent="0.15"/>
    <row r="40597" s="76" customFormat="1" ht="21.95" customHeight="1" x14ac:dyDescent="0.15"/>
    <row r="40598" s="76" customFormat="1" ht="21.95" customHeight="1" x14ac:dyDescent="0.15"/>
    <row r="40599" s="76" customFormat="1" ht="21.95" customHeight="1" x14ac:dyDescent="0.15"/>
    <row r="40600" s="76" customFormat="1" ht="21.95" customHeight="1" x14ac:dyDescent="0.15"/>
    <row r="40601" s="76" customFormat="1" ht="21.95" customHeight="1" x14ac:dyDescent="0.15"/>
    <row r="40602" s="76" customFormat="1" ht="21.95" customHeight="1" x14ac:dyDescent="0.15"/>
    <row r="40603" s="76" customFormat="1" ht="21.95" customHeight="1" x14ac:dyDescent="0.15"/>
    <row r="40604" s="76" customFormat="1" ht="21.95" customHeight="1" x14ac:dyDescent="0.15"/>
    <row r="40605" s="76" customFormat="1" ht="21.95" customHeight="1" x14ac:dyDescent="0.15"/>
    <row r="40606" s="76" customFormat="1" ht="21.95" customHeight="1" x14ac:dyDescent="0.15"/>
    <row r="40607" s="76" customFormat="1" ht="21.95" customHeight="1" x14ac:dyDescent="0.15"/>
    <row r="40608" s="76" customFormat="1" ht="21.95" customHeight="1" x14ac:dyDescent="0.15"/>
    <row r="40609" s="76" customFormat="1" ht="21.95" customHeight="1" x14ac:dyDescent="0.15"/>
    <row r="40610" s="76" customFormat="1" ht="21.95" customHeight="1" x14ac:dyDescent="0.15"/>
    <row r="40611" s="76" customFormat="1" ht="21.95" customHeight="1" x14ac:dyDescent="0.15"/>
    <row r="40612" s="76" customFormat="1" ht="21.95" customHeight="1" x14ac:dyDescent="0.15"/>
    <row r="40613" s="76" customFormat="1" ht="21.95" customHeight="1" x14ac:dyDescent="0.15"/>
    <row r="40614" s="76" customFormat="1" ht="21.95" customHeight="1" x14ac:dyDescent="0.15"/>
    <row r="40615" s="76" customFormat="1" ht="21.95" customHeight="1" x14ac:dyDescent="0.15"/>
    <row r="40616" s="76" customFormat="1" ht="21.95" customHeight="1" x14ac:dyDescent="0.15"/>
    <row r="40617" s="76" customFormat="1" ht="21.95" customHeight="1" x14ac:dyDescent="0.15"/>
    <row r="40618" s="76" customFormat="1" ht="21.95" customHeight="1" x14ac:dyDescent="0.15"/>
    <row r="40619" s="76" customFormat="1" ht="21.95" customHeight="1" x14ac:dyDescent="0.15"/>
    <row r="40620" s="76" customFormat="1" ht="21.95" customHeight="1" x14ac:dyDescent="0.15"/>
    <row r="40621" s="76" customFormat="1" ht="21.95" customHeight="1" x14ac:dyDescent="0.15"/>
    <row r="40622" s="76" customFormat="1" ht="21.95" customHeight="1" x14ac:dyDescent="0.15"/>
    <row r="40623" s="76" customFormat="1" ht="21.95" customHeight="1" x14ac:dyDescent="0.15"/>
    <row r="40624" s="76" customFormat="1" ht="21.95" customHeight="1" x14ac:dyDescent="0.15"/>
    <row r="40625" s="76" customFormat="1" ht="21.95" customHeight="1" x14ac:dyDescent="0.15"/>
    <row r="40626" s="76" customFormat="1" ht="21.95" customHeight="1" x14ac:dyDescent="0.15"/>
    <row r="40627" s="76" customFormat="1" ht="21.95" customHeight="1" x14ac:dyDescent="0.15"/>
    <row r="40628" s="76" customFormat="1" ht="21.95" customHeight="1" x14ac:dyDescent="0.15"/>
    <row r="40629" s="76" customFormat="1" ht="21.95" customHeight="1" x14ac:dyDescent="0.15"/>
    <row r="40630" s="76" customFormat="1" ht="21.95" customHeight="1" x14ac:dyDescent="0.15"/>
    <row r="40631" s="76" customFormat="1" ht="21.95" customHeight="1" x14ac:dyDescent="0.15"/>
    <row r="40632" s="76" customFormat="1" ht="21.95" customHeight="1" x14ac:dyDescent="0.15"/>
    <row r="40633" s="76" customFormat="1" ht="35.1" customHeight="1" x14ac:dyDescent="0.15"/>
    <row r="40634" s="76" customFormat="1" ht="21.95" customHeight="1" x14ac:dyDescent="0.15"/>
    <row r="40635" s="76" customFormat="1" ht="21.95" customHeight="1" x14ac:dyDescent="0.15"/>
    <row r="40636" s="76" customFormat="1" ht="21.95" customHeight="1" x14ac:dyDescent="0.15"/>
    <row r="40637" s="76" customFormat="1" ht="21.95" customHeight="1" x14ac:dyDescent="0.15"/>
    <row r="40638" s="76" customFormat="1" ht="21.95" customHeight="1" x14ac:dyDescent="0.15"/>
    <row r="40639" s="76" customFormat="1" ht="21.95" customHeight="1" x14ac:dyDescent="0.15"/>
    <row r="40640" s="76" customFormat="1" ht="21.95" customHeight="1" x14ac:dyDescent="0.15"/>
    <row r="40641" s="76" customFormat="1" ht="21.95" customHeight="1" x14ac:dyDescent="0.15"/>
    <row r="40642" s="76" customFormat="1" ht="21.95" customHeight="1" x14ac:dyDescent="0.15"/>
    <row r="40643" s="76" customFormat="1" ht="21.95" customHeight="1" x14ac:dyDescent="0.15"/>
    <row r="40644" s="76" customFormat="1" ht="21.95" customHeight="1" x14ac:dyDescent="0.15"/>
    <row r="40645" s="76" customFormat="1" ht="21.95" customHeight="1" x14ac:dyDescent="0.15"/>
    <row r="40646" s="76" customFormat="1" ht="21.95" customHeight="1" x14ac:dyDescent="0.15"/>
    <row r="40647" s="76" customFormat="1" ht="21.95" customHeight="1" x14ac:dyDescent="0.15"/>
    <row r="40648" s="76" customFormat="1" ht="21.95" customHeight="1" x14ac:dyDescent="0.15"/>
    <row r="40649" s="76" customFormat="1" ht="21.95" customHeight="1" x14ac:dyDescent="0.15"/>
    <row r="40650" s="76" customFormat="1" ht="21.95" customHeight="1" x14ac:dyDescent="0.15"/>
    <row r="40651" s="76" customFormat="1" ht="21.95" customHeight="1" x14ac:dyDescent="0.15"/>
    <row r="40652" s="76" customFormat="1" ht="21.95" customHeight="1" x14ac:dyDescent="0.15"/>
    <row r="40653" s="76" customFormat="1" ht="21.95" customHeight="1" x14ac:dyDescent="0.15"/>
    <row r="40654" s="76" customFormat="1" ht="21.95" customHeight="1" x14ac:dyDescent="0.15"/>
    <row r="40655" s="76" customFormat="1" ht="21.95" customHeight="1" x14ac:dyDescent="0.15"/>
    <row r="40656" s="76" customFormat="1" ht="21.95" customHeight="1" x14ac:dyDescent="0.15"/>
    <row r="40657" spans="3:3" customFormat="1" ht="21.95" customHeight="1" x14ac:dyDescent="0.15"/>
    <row r="40658" spans="3:3" customFormat="1" ht="21.95" customHeight="1" x14ac:dyDescent="0.15"/>
    <row r="40659" spans="3:3" customFormat="1" ht="21.95" customHeight="1" x14ac:dyDescent="0.15">
      <c r="C40659" s="94"/>
    </row>
    <row r="40660" spans="3:3" customFormat="1" ht="21.95" customHeight="1" x14ac:dyDescent="0.15">
      <c r="C40660" s="94"/>
    </row>
    <row r="40661" spans="3:3" customFormat="1" ht="21.95" customHeight="1" x14ac:dyDescent="0.15"/>
    <row r="40662" spans="3:3" customFormat="1" ht="21.95" customHeight="1" x14ac:dyDescent="0.15"/>
    <row r="40663" spans="3:3" customFormat="1" ht="21.95" customHeight="1" x14ac:dyDescent="0.15"/>
    <row r="40664" spans="3:3" customFormat="1" ht="21.95" customHeight="1" x14ac:dyDescent="0.15"/>
    <row r="40665" spans="3:3" customFormat="1" ht="21.95" customHeight="1" x14ac:dyDescent="0.15"/>
    <row r="40666" spans="3:3" customFormat="1" ht="21.95" customHeight="1" x14ac:dyDescent="0.15"/>
    <row r="40667" spans="3:3" customFormat="1" ht="21.95" customHeight="1" x14ac:dyDescent="0.15"/>
    <row r="40668" spans="3:3" s="76" customFormat="1" ht="21.95" customHeight="1" x14ac:dyDescent="0.15"/>
    <row r="40669" spans="3:3" s="76" customFormat="1" ht="21.95" customHeight="1" x14ac:dyDescent="0.15"/>
    <row r="40670" spans="3:3" s="76" customFormat="1" ht="21.95" customHeight="1" x14ac:dyDescent="0.15"/>
    <row r="40671" spans="3:3" s="76" customFormat="1" ht="21.95" customHeight="1" x14ac:dyDescent="0.15"/>
    <row r="40672" spans="3:3" customFormat="1" ht="21.95" customHeight="1" x14ac:dyDescent="0.15"/>
    <row r="40673" customFormat="1" ht="21.95" customHeight="1" x14ac:dyDescent="0.15"/>
    <row r="40674" customFormat="1" ht="21.95" customHeight="1" x14ac:dyDescent="0.15"/>
    <row r="40675" customFormat="1" ht="21.95" customHeight="1" x14ac:dyDescent="0.15"/>
    <row r="40676" customFormat="1" ht="21.95" customHeight="1" x14ac:dyDescent="0.15"/>
    <row r="40677" customFormat="1" ht="21.95" customHeight="1" x14ac:dyDescent="0.15"/>
    <row r="40678" customFormat="1" ht="21.95" customHeight="1" x14ac:dyDescent="0.15"/>
    <row r="40679" customFormat="1" ht="21.95" customHeight="1" x14ac:dyDescent="0.15"/>
    <row r="40680" customFormat="1" ht="21.95" customHeight="1" x14ac:dyDescent="0.15"/>
    <row r="40681" customFormat="1" ht="21.95" customHeight="1" x14ac:dyDescent="0.15"/>
    <row r="40682" customFormat="1" ht="21.95" customHeight="1" x14ac:dyDescent="0.15"/>
    <row r="40683" customFormat="1" ht="32.1" customHeight="1" x14ac:dyDescent="0.15"/>
    <row r="40684" customFormat="1" ht="32.1" customHeight="1" x14ac:dyDescent="0.15"/>
    <row r="40685" customFormat="1" ht="32.1" customHeight="1" x14ac:dyDescent="0.15"/>
    <row r="40686" customFormat="1" ht="32.1" customHeight="1" x14ac:dyDescent="0.15"/>
    <row r="40687" customFormat="1" ht="32.1" customHeight="1" x14ac:dyDescent="0.15"/>
    <row r="40688" customFormat="1" ht="32.1" customHeight="1" x14ac:dyDescent="0.15"/>
    <row r="40689" s="76" customFormat="1" ht="32.1" customHeight="1" x14ac:dyDescent="0.15"/>
    <row r="40690" s="76" customFormat="1" ht="32.1" customHeight="1" x14ac:dyDescent="0.15"/>
    <row r="40691" s="76" customFormat="1" ht="32.1" customHeight="1" x14ac:dyDescent="0.15"/>
    <row r="40692" s="76" customFormat="1" ht="32.1" customHeight="1" x14ac:dyDescent="0.15"/>
    <row r="40693" s="76" customFormat="1" ht="21.95" customHeight="1" x14ac:dyDescent="0.15"/>
    <row r="40694" s="76" customFormat="1" ht="54" customHeight="1" x14ac:dyDescent="0.15"/>
    <row r="40695" s="76" customFormat="1" ht="21.95" customHeight="1" x14ac:dyDescent="0.15"/>
    <row r="40696" s="76" customFormat="1" ht="21.95" customHeight="1" x14ac:dyDescent="0.15"/>
    <row r="40697" s="76" customFormat="1" ht="21.95" customHeight="1" x14ac:dyDescent="0.15"/>
    <row r="40698" s="76" customFormat="1" ht="21.95" customHeight="1" x14ac:dyDescent="0.15"/>
    <row r="40699" s="76" customFormat="1" ht="21.95" customHeight="1" x14ac:dyDescent="0.15"/>
    <row r="40700" s="76" customFormat="1" ht="21.95" customHeight="1" x14ac:dyDescent="0.15"/>
    <row r="40701" s="76" customFormat="1" ht="21.95" customHeight="1" x14ac:dyDescent="0.15"/>
    <row r="40702" s="76" customFormat="1" ht="21.95" customHeight="1" x14ac:dyDescent="0.15"/>
    <row r="40703" s="76" customFormat="1" ht="21.95" customHeight="1" x14ac:dyDescent="0.15"/>
    <row r="40704" s="76" customFormat="1" ht="21.95" customHeight="1" x14ac:dyDescent="0.15"/>
    <row r="40705" s="76" customFormat="1" ht="21.95" customHeight="1" x14ac:dyDescent="0.15"/>
    <row r="40706" s="76" customFormat="1" ht="21.95" customHeight="1" x14ac:dyDescent="0.15"/>
    <row r="40707" s="76" customFormat="1" ht="21.95" customHeight="1" x14ac:dyDescent="0.15"/>
    <row r="40708" s="76" customFormat="1" ht="21.95" customHeight="1" x14ac:dyDescent="0.15"/>
    <row r="40709" s="76" customFormat="1" ht="21.95" customHeight="1" x14ac:dyDescent="0.15"/>
    <row r="40710" s="76" customFormat="1" ht="21.95" customHeight="1" x14ac:dyDescent="0.15"/>
    <row r="40711" s="76" customFormat="1" ht="21.95" customHeight="1" x14ac:dyDescent="0.15"/>
    <row r="40712" s="76" customFormat="1" ht="21.95" customHeight="1" x14ac:dyDescent="0.15"/>
    <row r="40713" s="76" customFormat="1" ht="21.95" customHeight="1" x14ac:dyDescent="0.15"/>
    <row r="40714" s="76" customFormat="1" ht="21.95" customHeight="1" x14ac:dyDescent="0.15"/>
    <row r="40715" s="76" customFormat="1" ht="21.95" customHeight="1" x14ac:dyDescent="0.15"/>
    <row r="40716" s="76" customFormat="1" ht="21.95" customHeight="1" x14ac:dyDescent="0.15"/>
    <row r="40717" s="76" customFormat="1" ht="21.95" customHeight="1" x14ac:dyDescent="0.15"/>
    <row r="40718" s="76" customFormat="1" ht="21.95" customHeight="1" x14ac:dyDescent="0.15"/>
    <row r="40719" s="76" customFormat="1" ht="21.95" customHeight="1" x14ac:dyDescent="0.15"/>
    <row r="40720" s="76" customFormat="1" ht="21.95" customHeight="1" x14ac:dyDescent="0.15"/>
    <row r="40721" s="76" customFormat="1" ht="21.95" customHeight="1" x14ac:dyDescent="0.15"/>
    <row r="40722" s="76" customFormat="1" ht="21.95" customHeight="1" x14ac:dyDescent="0.15"/>
    <row r="40723" s="76" customFormat="1" ht="21.95" customHeight="1" x14ac:dyDescent="0.15"/>
    <row r="40724" s="76" customFormat="1" ht="21.95" customHeight="1" x14ac:dyDescent="0.15"/>
    <row r="40725" s="76" customFormat="1" ht="21.95" customHeight="1" x14ac:dyDescent="0.15"/>
    <row r="40726" s="76" customFormat="1" ht="21.95" customHeight="1" x14ac:dyDescent="0.15"/>
    <row r="40727" s="76" customFormat="1" ht="21.95" customHeight="1" x14ac:dyDescent="0.15"/>
    <row r="40728" s="76" customFormat="1" ht="21.95" customHeight="1" x14ac:dyDescent="0.15"/>
    <row r="40729" s="76" customFormat="1" ht="21.95" customHeight="1" x14ac:dyDescent="0.15"/>
    <row r="40730" s="76" customFormat="1" ht="21.95" customHeight="1" x14ac:dyDescent="0.15"/>
    <row r="40731" s="76" customFormat="1" ht="21.95" customHeight="1" x14ac:dyDescent="0.15"/>
    <row r="40732" s="76" customFormat="1" ht="21.95" customHeight="1" x14ac:dyDescent="0.15"/>
    <row r="40733" s="76" customFormat="1" ht="21.95" customHeight="1" x14ac:dyDescent="0.15"/>
    <row r="40734" s="76" customFormat="1" ht="21.95" customHeight="1" x14ac:dyDescent="0.15"/>
    <row r="40735" s="76" customFormat="1" ht="21.95" customHeight="1" x14ac:dyDescent="0.15"/>
    <row r="40736" s="76" customFormat="1" ht="21.95" customHeight="1" x14ac:dyDescent="0.15"/>
    <row r="40737" s="76" customFormat="1" ht="21.95" customHeight="1" x14ac:dyDescent="0.15"/>
    <row r="40738" s="76" customFormat="1" ht="21.95" customHeight="1" x14ac:dyDescent="0.15"/>
    <row r="40739" s="76" customFormat="1" ht="21.95" customHeight="1" x14ac:dyDescent="0.15"/>
    <row r="40740" s="76" customFormat="1" ht="21.95" customHeight="1" x14ac:dyDescent="0.15"/>
    <row r="40741" s="76" customFormat="1" ht="21.95" customHeight="1" x14ac:dyDescent="0.15"/>
    <row r="40742" s="76" customFormat="1" ht="21.95" customHeight="1" x14ac:dyDescent="0.15"/>
    <row r="40743" s="76" customFormat="1" ht="21.95" customHeight="1" x14ac:dyDescent="0.15"/>
    <row r="40744" s="76" customFormat="1" ht="21.95" customHeight="1" x14ac:dyDescent="0.15"/>
    <row r="40745" s="76" customFormat="1" ht="35.1" customHeight="1" x14ac:dyDescent="0.15"/>
    <row r="40746" s="76" customFormat="1" ht="21.95" customHeight="1" x14ac:dyDescent="0.15"/>
    <row r="40747" s="76" customFormat="1" ht="21.95" customHeight="1" x14ac:dyDescent="0.15"/>
    <row r="40748" s="76" customFormat="1" ht="21.95" customHeight="1" x14ac:dyDescent="0.15"/>
    <row r="40749" s="76" customFormat="1" ht="21.95" customHeight="1" x14ac:dyDescent="0.15"/>
    <row r="40750" s="76" customFormat="1" ht="21.95" customHeight="1" x14ac:dyDescent="0.15"/>
    <row r="40751" s="76" customFormat="1" ht="21.95" customHeight="1" x14ac:dyDescent="0.15"/>
    <row r="40752" s="76" customFormat="1" ht="21.95" customHeight="1" x14ac:dyDescent="0.15"/>
    <row r="40753" s="76" customFormat="1" ht="21.95" customHeight="1" x14ac:dyDescent="0.15"/>
    <row r="40754" s="76" customFormat="1" ht="21.95" customHeight="1" x14ac:dyDescent="0.15"/>
    <row r="40755" s="76" customFormat="1" ht="21.95" customHeight="1" x14ac:dyDescent="0.15"/>
    <row r="40756" s="76" customFormat="1" ht="21.95" customHeight="1" x14ac:dyDescent="0.15"/>
    <row r="40757" s="76" customFormat="1" ht="21.95" customHeight="1" x14ac:dyDescent="0.15"/>
    <row r="40758" s="76" customFormat="1" ht="21.95" customHeight="1" x14ac:dyDescent="0.15"/>
    <row r="40759" s="76" customFormat="1" ht="21.95" customHeight="1" x14ac:dyDescent="0.15"/>
    <row r="40760" s="76" customFormat="1" ht="21.95" customHeight="1" x14ac:dyDescent="0.15"/>
    <row r="40761" s="76" customFormat="1" ht="21.95" customHeight="1" x14ac:dyDescent="0.15"/>
    <row r="40762" s="76" customFormat="1" ht="21.95" customHeight="1" x14ac:dyDescent="0.15"/>
    <row r="40763" s="76" customFormat="1" ht="21.95" customHeight="1" x14ac:dyDescent="0.15"/>
    <row r="40764" s="76" customFormat="1" ht="21.95" customHeight="1" x14ac:dyDescent="0.15"/>
    <row r="40765" s="76" customFormat="1" ht="21.95" customHeight="1" x14ac:dyDescent="0.15"/>
    <row r="40766" s="76" customFormat="1" ht="21.95" customHeight="1" x14ac:dyDescent="0.15"/>
    <row r="40767" s="76" customFormat="1" ht="21.95" customHeight="1" x14ac:dyDescent="0.15"/>
    <row r="40768" s="76" customFormat="1" ht="21.95" customHeight="1" x14ac:dyDescent="0.15"/>
    <row r="40769" spans="3:3" customFormat="1" ht="21.95" customHeight="1" x14ac:dyDescent="0.15"/>
    <row r="40770" spans="3:3" customFormat="1" ht="21.95" customHeight="1" x14ac:dyDescent="0.15"/>
    <row r="40771" spans="3:3" customFormat="1" ht="21.95" customHeight="1" x14ac:dyDescent="0.15">
      <c r="C40771" s="94"/>
    </row>
    <row r="40772" spans="3:3" customFormat="1" ht="21.95" customHeight="1" x14ac:dyDescent="0.15">
      <c r="C40772" s="94"/>
    </row>
    <row r="40773" spans="3:3" customFormat="1" ht="21.95" customHeight="1" x14ac:dyDescent="0.15"/>
    <row r="40774" spans="3:3" customFormat="1" ht="21.95" customHeight="1" x14ac:dyDescent="0.15"/>
    <row r="40775" spans="3:3" customFormat="1" ht="21.95" customHeight="1" x14ac:dyDescent="0.15"/>
    <row r="40776" spans="3:3" customFormat="1" ht="21.95" customHeight="1" x14ac:dyDescent="0.15"/>
    <row r="40777" spans="3:3" customFormat="1" ht="21.95" customHeight="1" x14ac:dyDescent="0.15"/>
    <row r="40778" spans="3:3" customFormat="1" ht="21.95" customHeight="1" x14ac:dyDescent="0.15"/>
    <row r="40779" spans="3:3" customFormat="1" ht="21.95" customHeight="1" x14ac:dyDescent="0.15"/>
    <row r="40780" spans="3:3" s="76" customFormat="1" ht="21.95" customHeight="1" x14ac:dyDescent="0.15"/>
    <row r="40781" spans="3:3" s="76" customFormat="1" ht="21.95" customHeight="1" x14ac:dyDescent="0.15"/>
    <row r="40782" spans="3:3" s="76" customFormat="1" ht="21.95" customHeight="1" x14ac:dyDescent="0.15"/>
    <row r="40783" spans="3:3" s="76" customFormat="1" ht="21.95" customHeight="1" x14ac:dyDescent="0.15"/>
    <row r="40784" spans="3:3" customFormat="1" ht="21.95" customHeight="1" x14ac:dyDescent="0.15"/>
    <row r="40785" customFormat="1" ht="21.95" customHeight="1" x14ac:dyDescent="0.15"/>
    <row r="40786" customFormat="1" ht="21.95" customHeight="1" x14ac:dyDescent="0.15"/>
    <row r="40787" customFormat="1" ht="21.95" customHeight="1" x14ac:dyDescent="0.15"/>
    <row r="40788" customFormat="1" ht="21.95" customHeight="1" x14ac:dyDescent="0.15"/>
    <row r="40789" customFormat="1" ht="21.95" customHeight="1" x14ac:dyDescent="0.15"/>
    <row r="40790" customFormat="1" ht="21.95" customHeight="1" x14ac:dyDescent="0.15"/>
    <row r="40791" customFormat="1" ht="21.95" customHeight="1" x14ac:dyDescent="0.15"/>
    <row r="40792" customFormat="1" ht="21.95" customHeight="1" x14ac:dyDescent="0.15"/>
    <row r="40793" customFormat="1" ht="21.95" customHeight="1" x14ac:dyDescent="0.15"/>
    <row r="40794" customFormat="1" ht="21.95" customHeight="1" x14ac:dyDescent="0.15"/>
    <row r="40795" customFormat="1" ht="32.1" customHeight="1" x14ac:dyDescent="0.15"/>
    <row r="40796" customFormat="1" ht="32.1" customHeight="1" x14ac:dyDescent="0.15"/>
    <row r="40797" customFormat="1" ht="32.1" customHeight="1" x14ac:dyDescent="0.15"/>
    <row r="40798" customFormat="1" ht="32.1" customHeight="1" x14ac:dyDescent="0.15"/>
    <row r="40799" customFormat="1" ht="32.1" customHeight="1" x14ac:dyDescent="0.15"/>
    <row r="40800" customFormat="1" ht="32.1" customHeight="1" x14ac:dyDescent="0.15"/>
    <row r="40801" s="76" customFormat="1" ht="32.1" customHeight="1" x14ac:dyDescent="0.15"/>
    <row r="40802" s="76" customFormat="1" ht="32.1" customHeight="1" x14ac:dyDescent="0.15"/>
    <row r="40803" s="76" customFormat="1" ht="32.1" customHeight="1" x14ac:dyDescent="0.15"/>
    <row r="40804" s="76" customFormat="1" ht="32.1" customHeight="1" x14ac:dyDescent="0.15"/>
    <row r="40805" s="76" customFormat="1" ht="21.95" customHeight="1" x14ac:dyDescent="0.15"/>
    <row r="40806" s="76" customFormat="1" ht="54" customHeight="1" x14ac:dyDescent="0.15"/>
    <row r="40807" s="76" customFormat="1" ht="21.95" customHeight="1" x14ac:dyDescent="0.15"/>
    <row r="40808" s="76" customFormat="1" ht="21.95" customHeight="1" x14ac:dyDescent="0.15"/>
    <row r="40809" s="76" customFormat="1" ht="21.95" customHeight="1" x14ac:dyDescent="0.15"/>
    <row r="40810" s="76" customFormat="1" ht="21.95" customHeight="1" x14ac:dyDescent="0.15"/>
    <row r="40811" s="76" customFormat="1" ht="21.95" customHeight="1" x14ac:dyDescent="0.15"/>
    <row r="40812" s="76" customFormat="1" ht="21.95" customHeight="1" x14ac:dyDescent="0.15"/>
    <row r="40813" s="76" customFormat="1" ht="21.95" customHeight="1" x14ac:dyDescent="0.15"/>
    <row r="40814" s="76" customFormat="1" ht="21.95" customHeight="1" x14ac:dyDescent="0.15"/>
    <row r="40815" s="76" customFormat="1" ht="21.95" customHeight="1" x14ac:dyDescent="0.15"/>
    <row r="40816" s="76" customFormat="1" ht="21.95" customHeight="1" x14ac:dyDescent="0.15"/>
    <row r="40817" s="76" customFormat="1" ht="21.95" customHeight="1" x14ac:dyDescent="0.15"/>
    <row r="40818" s="76" customFormat="1" ht="21.95" customHeight="1" x14ac:dyDescent="0.15"/>
    <row r="40819" s="76" customFormat="1" ht="21.95" customHeight="1" x14ac:dyDescent="0.15"/>
    <row r="40820" s="76" customFormat="1" ht="21.95" customHeight="1" x14ac:dyDescent="0.15"/>
    <row r="40821" s="76" customFormat="1" ht="21.95" customHeight="1" x14ac:dyDescent="0.15"/>
    <row r="40822" s="76" customFormat="1" ht="21.95" customHeight="1" x14ac:dyDescent="0.15"/>
    <row r="40823" s="76" customFormat="1" ht="21.95" customHeight="1" x14ac:dyDescent="0.15"/>
    <row r="40824" s="76" customFormat="1" ht="21.95" customHeight="1" x14ac:dyDescent="0.15"/>
    <row r="40825" s="76" customFormat="1" ht="21.95" customHeight="1" x14ac:dyDescent="0.15"/>
    <row r="40826" s="76" customFormat="1" ht="21.95" customHeight="1" x14ac:dyDescent="0.15"/>
    <row r="40827" s="76" customFormat="1" ht="21.95" customHeight="1" x14ac:dyDescent="0.15"/>
    <row r="40828" s="76" customFormat="1" ht="21.95" customHeight="1" x14ac:dyDescent="0.15"/>
    <row r="40829" s="76" customFormat="1" ht="21.95" customHeight="1" x14ac:dyDescent="0.15"/>
    <row r="40830" s="76" customFormat="1" ht="21.95" customHeight="1" x14ac:dyDescent="0.15"/>
    <row r="40831" s="76" customFormat="1" ht="21.95" customHeight="1" x14ac:dyDescent="0.15"/>
    <row r="40832" s="76" customFormat="1" ht="21.95" customHeight="1" x14ac:dyDescent="0.15"/>
    <row r="40833" s="76" customFormat="1" ht="21.95" customHeight="1" x14ac:dyDescent="0.15"/>
    <row r="40834" s="76" customFormat="1" ht="21.95" customHeight="1" x14ac:dyDescent="0.15"/>
    <row r="40835" s="76" customFormat="1" ht="21.95" customHeight="1" x14ac:dyDescent="0.15"/>
    <row r="40836" s="76" customFormat="1" ht="21.95" customHeight="1" x14ac:dyDescent="0.15"/>
    <row r="40837" s="76" customFormat="1" ht="21.95" customHeight="1" x14ac:dyDescent="0.15"/>
    <row r="40838" s="76" customFormat="1" ht="21.95" customHeight="1" x14ac:dyDescent="0.15"/>
    <row r="40839" s="76" customFormat="1" ht="21.95" customHeight="1" x14ac:dyDescent="0.15"/>
    <row r="40840" s="76" customFormat="1" ht="21.95" customHeight="1" x14ac:dyDescent="0.15"/>
    <row r="40841" s="76" customFormat="1" ht="21.95" customHeight="1" x14ac:dyDescent="0.15"/>
    <row r="40842" s="76" customFormat="1" ht="21.95" customHeight="1" x14ac:dyDescent="0.15"/>
    <row r="40843" s="76" customFormat="1" ht="21.95" customHeight="1" x14ac:dyDescent="0.15"/>
    <row r="40844" s="76" customFormat="1" ht="21.95" customHeight="1" x14ac:dyDescent="0.15"/>
    <row r="40845" s="76" customFormat="1" ht="21.95" customHeight="1" x14ac:dyDescent="0.15"/>
    <row r="40846" s="76" customFormat="1" ht="21.95" customHeight="1" x14ac:dyDescent="0.15"/>
    <row r="40847" s="76" customFormat="1" ht="21.95" customHeight="1" x14ac:dyDescent="0.15"/>
    <row r="40848" s="76" customFormat="1" ht="21.95" customHeight="1" x14ac:dyDescent="0.15"/>
    <row r="40849" s="76" customFormat="1" ht="21.95" customHeight="1" x14ac:dyDescent="0.15"/>
    <row r="40850" s="76" customFormat="1" ht="21.95" customHeight="1" x14ac:dyDescent="0.15"/>
    <row r="40851" s="76" customFormat="1" ht="21.95" customHeight="1" x14ac:dyDescent="0.15"/>
    <row r="40852" s="76" customFormat="1" ht="21.95" customHeight="1" x14ac:dyDescent="0.15"/>
    <row r="40853" s="76" customFormat="1" ht="21.95" customHeight="1" x14ac:dyDescent="0.15"/>
    <row r="40854" s="76" customFormat="1" ht="21.95" customHeight="1" x14ac:dyDescent="0.15"/>
    <row r="40855" s="76" customFormat="1" ht="21.95" customHeight="1" x14ac:dyDescent="0.15"/>
    <row r="40856" s="76" customFormat="1" ht="21.95" customHeight="1" x14ac:dyDescent="0.15"/>
    <row r="40857" s="76" customFormat="1" ht="35.1" customHeight="1" x14ac:dyDescent="0.15"/>
    <row r="40858" s="76" customFormat="1" ht="21.95" customHeight="1" x14ac:dyDescent="0.15"/>
    <row r="40859" s="76" customFormat="1" ht="21.95" customHeight="1" x14ac:dyDescent="0.15"/>
    <row r="40860" s="76" customFormat="1" ht="21.95" customHeight="1" x14ac:dyDescent="0.15"/>
    <row r="40861" s="76" customFormat="1" ht="21.95" customHeight="1" x14ac:dyDescent="0.15"/>
    <row r="40862" s="76" customFormat="1" ht="21.95" customHeight="1" x14ac:dyDescent="0.15"/>
    <row r="40863" s="76" customFormat="1" ht="21.95" customHeight="1" x14ac:dyDescent="0.15"/>
    <row r="40864" s="76" customFormat="1" ht="21.95" customHeight="1" x14ac:dyDescent="0.15"/>
    <row r="40865" s="76" customFormat="1" ht="21.95" customHeight="1" x14ac:dyDescent="0.15"/>
    <row r="40866" s="76" customFormat="1" ht="21.95" customHeight="1" x14ac:dyDescent="0.15"/>
    <row r="40867" s="76" customFormat="1" ht="21.95" customHeight="1" x14ac:dyDescent="0.15"/>
    <row r="40868" s="76" customFormat="1" ht="21.95" customHeight="1" x14ac:dyDescent="0.15"/>
    <row r="40869" s="76" customFormat="1" ht="21.95" customHeight="1" x14ac:dyDescent="0.15"/>
    <row r="40870" s="76" customFormat="1" ht="21.95" customHeight="1" x14ac:dyDescent="0.15"/>
    <row r="40871" s="76" customFormat="1" ht="21.95" customHeight="1" x14ac:dyDescent="0.15"/>
    <row r="40872" s="76" customFormat="1" ht="21.95" customHeight="1" x14ac:dyDescent="0.15"/>
    <row r="40873" s="76" customFormat="1" ht="21.95" customHeight="1" x14ac:dyDescent="0.15"/>
    <row r="40874" s="76" customFormat="1" ht="21.95" customHeight="1" x14ac:dyDescent="0.15"/>
    <row r="40875" s="76" customFormat="1" ht="21.95" customHeight="1" x14ac:dyDescent="0.15"/>
    <row r="40876" s="76" customFormat="1" ht="21.95" customHeight="1" x14ac:dyDescent="0.15"/>
    <row r="40877" s="76" customFormat="1" ht="21.95" customHeight="1" x14ac:dyDescent="0.15"/>
    <row r="40878" s="76" customFormat="1" ht="21.95" customHeight="1" x14ac:dyDescent="0.15"/>
    <row r="40879" s="76" customFormat="1" ht="21.95" customHeight="1" x14ac:dyDescent="0.15"/>
    <row r="40880" s="76" customFormat="1" ht="21.95" customHeight="1" x14ac:dyDescent="0.15"/>
    <row r="40881" spans="3:3" customFormat="1" ht="21.95" customHeight="1" x14ac:dyDescent="0.15"/>
    <row r="40882" spans="3:3" customFormat="1" ht="21.95" customHeight="1" x14ac:dyDescent="0.15"/>
    <row r="40883" spans="3:3" customFormat="1" ht="21.95" customHeight="1" x14ac:dyDescent="0.15">
      <c r="C40883" s="94"/>
    </row>
    <row r="40884" spans="3:3" customFormat="1" ht="21.95" customHeight="1" x14ac:dyDescent="0.15">
      <c r="C40884" s="94"/>
    </row>
    <row r="40885" spans="3:3" customFormat="1" ht="21.95" customHeight="1" x14ac:dyDescent="0.15"/>
    <row r="40886" spans="3:3" customFormat="1" ht="21.95" customHeight="1" x14ac:dyDescent="0.15"/>
    <row r="40887" spans="3:3" customFormat="1" ht="21.95" customHeight="1" x14ac:dyDescent="0.15"/>
    <row r="40888" spans="3:3" customFormat="1" ht="21.95" customHeight="1" x14ac:dyDescent="0.15"/>
    <row r="40889" spans="3:3" customFormat="1" ht="21.95" customHeight="1" x14ac:dyDescent="0.15"/>
    <row r="40890" spans="3:3" customFormat="1" ht="21.95" customHeight="1" x14ac:dyDescent="0.15"/>
    <row r="40891" spans="3:3" customFormat="1" ht="21.95" customHeight="1" x14ac:dyDescent="0.15"/>
    <row r="40892" spans="3:3" s="76" customFormat="1" ht="21.95" customHeight="1" x14ac:dyDescent="0.15"/>
    <row r="40893" spans="3:3" s="76" customFormat="1" ht="21.95" customHeight="1" x14ac:dyDescent="0.15"/>
    <row r="40894" spans="3:3" s="76" customFormat="1" ht="21.95" customHeight="1" x14ac:dyDescent="0.15"/>
    <row r="40895" spans="3:3" s="76" customFormat="1" ht="21.95" customHeight="1" x14ac:dyDescent="0.15"/>
    <row r="40896" spans="3:3" customFormat="1" ht="21.95" customHeight="1" x14ac:dyDescent="0.15"/>
    <row r="40897" customFormat="1" ht="21.95" customHeight="1" x14ac:dyDescent="0.15"/>
    <row r="40898" customFormat="1" ht="21.95" customHeight="1" x14ac:dyDescent="0.15"/>
    <row r="40899" customFormat="1" ht="21.95" customHeight="1" x14ac:dyDescent="0.15"/>
    <row r="40900" customFormat="1" ht="21.95" customHeight="1" x14ac:dyDescent="0.15"/>
    <row r="40901" customFormat="1" ht="21.95" customHeight="1" x14ac:dyDescent="0.15"/>
    <row r="40902" customFormat="1" ht="21.95" customHeight="1" x14ac:dyDescent="0.15"/>
    <row r="40903" customFormat="1" ht="21.95" customHeight="1" x14ac:dyDescent="0.15"/>
    <row r="40904" customFormat="1" ht="21.95" customHeight="1" x14ac:dyDescent="0.15"/>
    <row r="40905" customFormat="1" ht="21.95" customHeight="1" x14ac:dyDescent="0.15"/>
    <row r="40906" customFormat="1" ht="21.95" customHeight="1" x14ac:dyDescent="0.15"/>
    <row r="40907" customFormat="1" ht="32.1" customHeight="1" x14ac:dyDescent="0.15"/>
    <row r="40908" customFormat="1" ht="32.1" customHeight="1" x14ac:dyDescent="0.15"/>
    <row r="40909" customFormat="1" ht="32.1" customHeight="1" x14ac:dyDescent="0.15"/>
    <row r="40910" customFormat="1" ht="32.1" customHeight="1" x14ac:dyDescent="0.15"/>
    <row r="40911" customFormat="1" ht="32.1" customHeight="1" x14ac:dyDescent="0.15"/>
    <row r="40912" customFormat="1" ht="32.1" customHeight="1" x14ac:dyDescent="0.15"/>
    <row r="40913" s="76" customFormat="1" ht="32.1" customHeight="1" x14ac:dyDescent="0.15"/>
    <row r="40914" s="76" customFormat="1" ht="32.1" customHeight="1" x14ac:dyDescent="0.15"/>
    <row r="40915" s="76" customFormat="1" ht="32.1" customHeight="1" x14ac:dyDescent="0.15"/>
    <row r="40916" s="76" customFormat="1" ht="32.1" customHeight="1" x14ac:dyDescent="0.15"/>
    <row r="40917" s="76" customFormat="1" ht="21.95" customHeight="1" x14ac:dyDescent="0.15"/>
    <row r="40918" s="76" customFormat="1" ht="54" customHeight="1" x14ac:dyDescent="0.15"/>
    <row r="40919" s="76" customFormat="1" ht="21.95" customHeight="1" x14ac:dyDescent="0.15"/>
    <row r="40920" s="76" customFormat="1" ht="21.95" customHeight="1" x14ac:dyDescent="0.15"/>
    <row r="40921" s="76" customFormat="1" ht="21.95" customHeight="1" x14ac:dyDescent="0.15"/>
    <row r="40922" s="76" customFormat="1" ht="21.95" customHeight="1" x14ac:dyDescent="0.15"/>
    <row r="40923" s="76" customFormat="1" ht="21.95" customHeight="1" x14ac:dyDescent="0.15"/>
    <row r="40924" s="76" customFormat="1" ht="21.95" customHeight="1" x14ac:dyDescent="0.15"/>
    <row r="40925" s="76" customFormat="1" ht="21.95" customHeight="1" x14ac:dyDescent="0.15"/>
    <row r="40926" s="76" customFormat="1" ht="21.95" customHeight="1" x14ac:dyDescent="0.15"/>
    <row r="40927" s="76" customFormat="1" ht="21.95" customHeight="1" x14ac:dyDescent="0.15"/>
    <row r="40928" s="76" customFormat="1" ht="21.95" customHeight="1" x14ac:dyDescent="0.15"/>
    <row r="40929" s="76" customFormat="1" ht="21.95" customHeight="1" x14ac:dyDescent="0.15"/>
    <row r="40930" s="76" customFormat="1" ht="21.95" customHeight="1" x14ac:dyDescent="0.15"/>
    <row r="40931" s="76" customFormat="1" ht="21.95" customHeight="1" x14ac:dyDescent="0.15"/>
    <row r="40932" s="76" customFormat="1" ht="21.95" customHeight="1" x14ac:dyDescent="0.15"/>
    <row r="40933" s="76" customFormat="1" ht="21.95" customHeight="1" x14ac:dyDescent="0.15"/>
    <row r="40934" s="76" customFormat="1" ht="21.95" customHeight="1" x14ac:dyDescent="0.15"/>
    <row r="40935" s="76" customFormat="1" ht="21.95" customHeight="1" x14ac:dyDescent="0.15"/>
    <row r="40936" s="76" customFormat="1" ht="21.95" customHeight="1" x14ac:dyDescent="0.15"/>
    <row r="40937" s="76" customFormat="1" ht="21.95" customHeight="1" x14ac:dyDescent="0.15"/>
    <row r="40938" s="76" customFormat="1" ht="21.95" customHeight="1" x14ac:dyDescent="0.15"/>
    <row r="40939" s="76" customFormat="1" ht="21.95" customHeight="1" x14ac:dyDescent="0.15"/>
    <row r="40940" s="76" customFormat="1" ht="21.95" customHeight="1" x14ac:dyDescent="0.15"/>
    <row r="40941" s="76" customFormat="1" ht="21.95" customHeight="1" x14ac:dyDescent="0.15"/>
    <row r="40942" s="76" customFormat="1" ht="21.95" customHeight="1" x14ac:dyDescent="0.15"/>
    <row r="40943" s="76" customFormat="1" ht="21.95" customHeight="1" x14ac:dyDescent="0.15"/>
    <row r="40944" s="76" customFormat="1" ht="21.95" customHeight="1" x14ac:dyDescent="0.15"/>
    <row r="40945" s="76" customFormat="1" ht="21.95" customHeight="1" x14ac:dyDescent="0.15"/>
    <row r="40946" s="76" customFormat="1" ht="21.95" customHeight="1" x14ac:dyDescent="0.15"/>
    <row r="40947" s="76" customFormat="1" ht="21.95" customHeight="1" x14ac:dyDescent="0.15"/>
    <row r="40948" s="76" customFormat="1" ht="21.95" customHeight="1" x14ac:dyDescent="0.15"/>
    <row r="40949" s="76" customFormat="1" ht="21.95" customHeight="1" x14ac:dyDescent="0.15"/>
    <row r="40950" s="76" customFormat="1" ht="21.95" customHeight="1" x14ac:dyDescent="0.15"/>
    <row r="40951" s="76" customFormat="1" ht="21.95" customHeight="1" x14ac:dyDescent="0.15"/>
    <row r="40952" s="76" customFormat="1" ht="21.95" customHeight="1" x14ac:dyDescent="0.15"/>
    <row r="40953" s="76" customFormat="1" ht="21.95" customHeight="1" x14ac:dyDescent="0.15"/>
    <row r="40954" s="76" customFormat="1" ht="21.95" customHeight="1" x14ac:dyDescent="0.15"/>
    <row r="40955" s="76" customFormat="1" ht="21.95" customHeight="1" x14ac:dyDescent="0.15"/>
    <row r="40956" s="76" customFormat="1" ht="21.95" customHeight="1" x14ac:dyDescent="0.15"/>
    <row r="40957" s="76" customFormat="1" ht="21.95" customHeight="1" x14ac:dyDescent="0.15"/>
    <row r="40958" s="76" customFormat="1" ht="21.95" customHeight="1" x14ac:dyDescent="0.15"/>
    <row r="40959" s="76" customFormat="1" ht="21.95" customHeight="1" x14ac:dyDescent="0.15"/>
    <row r="40960" s="76" customFormat="1" ht="21.95" customHeight="1" x14ac:dyDescent="0.15"/>
    <row r="40961" s="76" customFormat="1" ht="21.95" customHeight="1" x14ac:dyDescent="0.15"/>
    <row r="40962" s="76" customFormat="1" ht="21.95" customHeight="1" x14ac:dyDescent="0.15"/>
    <row r="40963" s="76" customFormat="1" ht="21.95" customHeight="1" x14ac:dyDescent="0.15"/>
    <row r="40964" s="76" customFormat="1" ht="21.95" customHeight="1" x14ac:dyDescent="0.15"/>
    <row r="40965" s="76" customFormat="1" ht="21.95" customHeight="1" x14ac:dyDescent="0.15"/>
    <row r="40966" s="76" customFormat="1" ht="21.95" customHeight="1" x14ac:dyDescent="0.15"/>
    <row r="40967" s="76" customFormat="1" ht="21.95" customHeight="1" x14ac:dyDescent="0.15"/>
    <row r="40968" s="76" customFormat="1" ht="21.95" customHeight="1" x14ac:dyDescent="0.15"/>
    <row r="40969" s="76" customFormat="1" ht="35.1" customHeight="1" x14ac:dyDescent="0.15"/>
    <row r="40970" s="76" customFormat="1" ht="21.95" customHeight="1" x14ac:dyDescent="0.15"/>
    <row r="40971" s="76" customFormat="1" ht="21.95" customHeight="1" x14ac:dyDescent="0.15"/>
    <row r="40972" s="76" customFormat="1" ht="21.95" customHeight="1" x14ac:dyDescent="0.15"/>
    <row r="40973" s="76" customFormat="1" ht="21.95" customHeight="1" x14ac:dyDescent="0.15"/>
    <row r="40974" s="76" customFormat="1" ht="21.95" customHeight="1" x14ac:dyDescent="0.15"/>
    <row r="40975" s="76" customFormat="1" ht="21.95" customHeight="1" x14ac:dyDescent="0.15"/>
    <row r="40976" s="76" customFormat="1" ht="21.95" customHeight="1" x14ac:dyDescent="0.15"/>
    <row r="40977" s="76" customFormat="1" ht="21.95" customHeight="1" x14ac:dyDescent="0.15"/>
    <row r="40978" s="76" customFormat="1" ht="21.95" customHeight="1" x14ac:dyDescent="0.15"/>
    <row r="40979" s="76" customFormat="1" ht="21.95" customHeight="1" x14ac:dyDescent="0.15"/>
    <row r="40980" s="76" customFormat="1" ht="21.95" customHeight="1" x14ac:dyDescent="0.15"/>
    <row r="40981" s="76" customFormat="1" ht="21.95" customHeight="1" x14ac:dyDescent="0.15"/>
    <row r="40982" s="76" customFormat="1" ht="21.95" customHeight="1" x14ac:dyDescent="0.15"/>
    <row r="40983" s="76" customFormat="1" ht="21.95" customHeight="1" x14ac:dyDescent="0.15"/>
    <row r="40984" s="76" customFormat="1" ht="21.95" customHeight="1" x14ac:dyDescent="0.15"/>
    <row r="40985" s="76" customFormat="1" ht="21.95" customHeight="1" x14ac:dyDescent="0.15"/>
    <row r="40986" s="76" customFormat="1" ht="21.95" customHeight="1" x14ac:dyDescent="0.15"/>
    <row r="40987" s="76" customFormat="1" ht="21.95" customHeight="1" x14ac:dyDescent="0.15"/>
    <row r="40988" s="76" customFormat="1" ht="21.95" customHeight="1" x14ac:dyDescent="0.15"/>
    <row r="40989" s="76" customFormat="1" ht="21.95" customHeight="1" x14ac:dyDescent="0.15"/>
    <row r="40990" s="76" customFormat="1" ht="21.95" customHeight="1" x14ac:dyDescent="0.15"/>
    <row r="40991" s="76" customFormat="1" ht="21.95" customHeight="1" x14ac:dyDescent="0.15"/>
    <row r="40992" s="76" customFormat="1" ht="21.95" customHeight="1" x14ac:dyDescent="0.15"/>
    <row r="40993" spans="3:3" customFormat="1" ht="21.95" customHeight="1" x14ac:dyDescent="0.15"/>
    <row r="40994" spans="3:3" customFormat="1" ht="21.95" customHeight="1" x14ac:dyDescent="0.15"/>
    <row r="40995" spans="3:3" customFormat="1" ht="21.95" customHeight="1" x14ac:dyDescent="0.15">
      <c r="C40995" s="94"/>
    </row>
    <row r="40996" spans="3:3" customFormat="1" ht="21.95" customHeight="1" x14ac:dyDescent="0.15">
      <c r="C40996" s="94"/>
    </row>
    <row r="40997" spans="3:3" customFormat="1" ht="21.95" customHeight="1" x14ac:dyDescent="0.15"/>
    <row r="40998" spans="3:3" customFormat="1" ht="21.95" customHeight="1" x14ac:dyDescent="0.15"/>
    <row r="40999" spans="3:3" customFormat="1" ht="21.95" customHeight="1" x14ac:dyDescent="0.15"/>
    <row r="41000" spans="3:3" customFormat="1" ht="21.95" customHeight="1" x14ac:dyDescent="0.15"/>
    <row r="41001" spans="3:3" customFormat="1" ht="21.95" customHeight="1" x14ac:dyDescent="0.15"/>
    <row r="41002" spans="3:3" customFormat="1" ht="21.95" customHeight="1" x14ac:dyDescent="0.15"/>
    <row r="41003" spans="3:3" customFormat="1" ht="21.95" customHeight="1" x14ac:dyDescent="0.15"/>
    <row r="41004" spans="3:3" s="76" customFormat="1" ht="21.95" customHeight="1" x14ac:dyDescent="0.15"/>
    <row r="41005" spans="3:3" s="76" customFormat="1" ht="21.95" customHeight="1" x14ac:dyDescent="0.15"/>
    <row r="41006" spans="3:3" s="76" customFormat="1" ht="21.95" customHeight="1" x14ac:dyDescent="0.15"/>
    <row r="41007" spans="3:3" s="76" customFormat="1" ht="21.95" customHeight="1" x14ac:dyDescent="0.15"/>
    <row r="41008" spans="3:3" customFormat="1" ht="21.95" customHeight="1" x14ac:dyDescent="0.15"/>
    <row r="41009" customFormat="1" ht="21.95" customHeight="1" x14ac:dyDescent="0.15"/>
    <row r="41010" customFormat="1" ht="21.95" customHeight="1" x14ac:dyDescent="0.15"/>
    <row r="41011" customFormat="1" ht="21.95" customHeight="1" x14ac:dyDescent="0.15"/>
    <row r="41012" customFormat="1" ht="21.95" customHeight="1" x14ac:dyDescent="0.15"/>
    <row r="41013" customFormat="1" ht="21.95" customHeight="1" x14ac:dyDescent="0.15"/>
    <row r="41014" customFormat="1" ht="21.95" customHeight="1" x14ac:dyDescent="0.15"/>
    <row r="41015" customFormat="1" ht="21.95" customHeight="1" x14ac:dyDescent="0.15"/>
    <row r="41016" customFormat="1" ht="21.95" customHeight="1" x14ac:dyDescent="0.15"/>
    <row r="41017" customFormat="1" ht="21.95" customHeight="1" x14ac:dyDescent="0.15"/>
    <row r="41018" customFormat="1" ht="21.95" customHeight="1" x14ac:dyDescent="0.15"/>
    <row r="41019" customFormat="1" ht="32.1" customHeight="1" x14ac:dyDescent="0.15"/>
    <row r="41020" customFormat="1" ht="32.1" customHeight="1" x14ac:dyDescent="0.15"/>
    <row r="41021" customFormat="1" ht="32.1" customHeight="1" x14ac:dyDescent="0.15"/>
    <row r="41022" customFormat="1" ht="32.1" customHeight="1" x14ac:dyDescent="0.15"/>
    <row r="41023" customFormat="1" ht="32.1" customHeight="1" x14ac:dyDescent="0.15"/>
    <row r="41024" customFormat="1" ht="32.1" customHeight="1" x14ac:dyDescent="0.15"/>
    <row r="41025" s="76" customFormat="1" ht="32.1" customHeight="1" x14ac:dyDescent="0.15"/>
    <row r="41026" s="76" customFormat="1" ht="32.1" customHeight="1" x14ac:dyDescent="0.15"/>
    <row r="41027" s="76" customFormat="1" ht="32.1" customHeight="1" x14ac:dyDescent="0.15"/>
    <row r="41028" s="76" customFormat="1" ht="32.1" customHeight="1" x14ac:dyDescent="0.15"/>
    <row r="41029" s="76" customFormat="1" ht="21.95" customHeight="1" x14ac:dyDescent="0.15"/>
    <row r="41030" s="76" customFormat="1" ht="54" customHeight="1" x14ac:dyDescent="0.15"/>
    <row r="41031" s="76" customFormat="1" ht="21.95" customHeight="1" x14ac:dyDescent="0.15"/>
    <row r="41032" s="76" customFormat="1" ht="21.95" customHeight="1" x14ac:dyDescent="0.15"/>
    <row r="41033" s="76" customFormat="1" ht="21.95" customHeight="1" x14ac:dyDescent="0.15"/>
    <row r="41034" s="76" customFormat="1" ht="21.95" customHeight="1" x14ac:dyDescent="0.15"/>
    <row r="41035" s="76" customFormat="1" ht="21.95" customHeight="1" x14ac:dyDescent="0.15"/>
    <row r="41036" s="76" customFormat="1" ht="21.95" customHeight="1" x14ac:dyDescent="0.15"/>
    <row r="41037" s="76" customFormat="1" ht="21.95" customHeight="1" x14ac:dyDescent="0.15"/>
    <row r="41038" s="76" customFormat="1" ht="21.95" customHeight="1" x14ac:dyDescent="0.15"/>
    <row r="41039" s="76" customFormat="1" ht="21.95" customHeight="1" x14ac:dyDescent="0.15"/>
    <row r="41040" s="76" customFormat="1" ht="21.95" customHeight="1" x14ac:dyDescent="0.15"/>
    <row r="41041" s="76" customFormat="1" ht="21.95" customHeight="1" x14ac:dyDescent="0.15"/>
    <row r="41042" s="76" customFormat="1" ht="21.95" customHeight="1" x14ac:dyDescent="0.15"/>
    <row r="41043" s="76" customFormat="1" ht="21.95" customHeight="1" x14ac:dyDescent="0.15"/>
    <row r="41044" s="76" customFormat="1" ht="21.95" customHeight="1" x14ac:dyDescent="0.15"/>
    <row r="41045" s="76" customFormat="1" ht="21.95" customHeight="1" x14ac:dyDescent="0.15"/>
    <row r="41046" s="76" customFormat="1" ht="21.95" customHeight="1" x14ac:dyDescent="0.15"/>
    <row r="41047" s="76" customFormat="1" ht="21.95" customHeight="1" x14ac:dyDescent="0.15"/>
    <row r="41048" s="76" customFormat="1" ht="21.95" customHeight="1" x14ac:dyDescent="0.15"/>
    <row r="41049" s="76" customFormat="1" ht="21.95" customHeight="1" x14ac:dyDescent="0.15"/>
    <row r="41050" s="76" customFormat="1" ht="21.95" customHeight="1" x14ac:dyDescent="0.15"/>
    <row r="41051" s="76" customFormat="1" ht="21.95" customHeight="1" x14ac:dyDescent="0.15"/>
    <row r="41052" s="76" customFormat="1" ht="21.95" customHeight="1" x14ac:dyDescent="0.15"/>
    <row r="41053" s="76" customFormat="1" ht="21.95" customHeight="1" x14ac:dyDescent="0.15"/>
    <row r="41054" s="76" customFormat="1" ht="21.95" customHeight="1" x14ac:dyDescent="0.15"/>
    <row r="41055" s="76" customFormat="1" ht="21.95" customHeight="1" x14ac:dyDescent="0.15"/>
    <row r="41056" s="76" customFormat="1" ht="21.95" customHeight="1" x14ac:dyDescent="0.15"/>
    <row r="41057" s="76" customFormat="1" ht="21.95" customHeight="1" x14ac:dyDescent="0.15"/>
    <row r="41058" s="76" customFormat="1" ht="21.95" customHeight="1" x14ac:dyDescent="0.15"/>
    <row r="41059" s="76" customFormat="1" ht="21.95" customHeight="1" x14ac:dyDescent="0.15"/>
    <row r="41060" s="76" customFormat="1" ht="21.95" customHeight="1" x14ac:dyDescent="0.15"/>
    <row r="41061" s="76" customFormat="1" ht="21.95" customHeight="1" x14ac:dyDescent="0.15"/>
    <row r="41062" s="76" customFormat="1" ht="21.95" customHeight="1" x14ac:dyDescent="0.15"/>
    <row r="41063" s="76" customFormat="1" ht="21.95" customHeight="1" x14ac:dyDescent="0.15"/>
    <row r="41064" s="76" customFormat="1" ht="21.95" customHeight="1" x14ac:dyDescent="0.15"/>
    <row r="41065" s="76" customFormat="1" ht="21.95" customHeight="1" x14ac:dyDescent="0.15"/>
    <row r="41066" s="76" customFormat="1" ht="21.95" customHeight="1" x14ac:dyDescent="0.15"/>
    <row r="41067" s="76" customFormat="1" ht="21.95" customHeight="1" x14ac:dyDescent="0.15"/>
    <row r="41068" s="76" customFormat="1" ht="21.95" customHeight="1" x14ac:dyDescent="0.15"/>
    <row r="41069" s="76" customFormat="1" ht="21.95" customHeight="1" x14ac:dyDescent="0.15"/>
    <row r="41070" s="76" customFormat="1" ht="21.95" customHeight="1" x14ac:dyDescent="0.15"/>
    <row r="41071" s="76" customFormat="1" ht="21.95" customHeight="1" x14ac:dyDescent="0.15"/>
    <row r="41072" s="76" customFormat="1" ht="21.95" customHeight="1" x14ac:dyDescent="0.15"/>
    <row r="41073" s="76" customFormat="1" ht="21.95" customHeight="1" x14ac:dyDescent="0.15"/>
    <row r="41074" s="76" customFormat="1" ht="21.95" customHeight="1" x14ac:dyDescent="0.15"/>
    <row r="41075" s="76" customFormat="1" ht="21.95" customHeight="1" x14ac:dyDescent="0.15"/>
    <row r="41076" s="76" customFormat="1" ht="21.95" customHeight="1" x14ac:dyDescent="0.15"/>
    <row r="41077" s="76" customFormat="1" ht="21.95" customHeight="1" x14ac:dyDescent="0.15"/>
    <row r="41078" s="76" customFormat="1" ht="21.95" customHeight="1" x14ac:dyDescent="0.15"/>
    <row r="41079" s="76" customFormat="1" ht="21.95" customHeight="1" x14ac:dyDescent="0.15"/>
    <row r="41080" s="76" customFormat="1" ht="21.95" customHeight="1" x14ac:dyDescent="0.15"/>
    <row r="41081" s="76" customFormat="1" ht="35.1" customHeight="1" x14ac:dyDescent="0.15"/>
    <row r="41082" s="76" customFormat="1" ht="21.95" customHeight="1" x14ac:dyDescent="0.15"/>
    <row r="41083" s="76" customFormat="1" ht="21.95" customHeight="1" x14ac:dyDescent="0.15"/>
    <row r="41084" s="76" customFormat="1" ht="21.95" customHeight="1" x14ac:dyDescent="0.15"/>
    <row r="41085" s="76" customFormat="1" ht="21.95" customHeight="1" x14ac:dyDescent="0.15"/>
    <row r="41086" s="76" customFormat="1" ht="21.95" customHeight="1" x14ac:dyDescent="0.15"/>
    <row r="41087" s="76" customFormat="1" ht="21.95" customHeight="1" x14ac:dyDescent="0.15"/>
    <row r="41088" s="76" customFormat="1" ht="21.95" customHeight="1" x14ac:dyDescent="0.15"/>
    <row r="41089" s="76" customFormat="1" ht="21.95" customHeight="1" x14ac:dyDescent="0.15"/>
    <row r="41090" s="76" customFormat="1" ht="21.95" customHeight="1" x14ac:dyDescent="0.15"/>
    <row r="41091" s="76" customFormat="1" ht="21.95" customHeight="1" x14ac:dyDescent="0.15"/>
    <row r="41092" s="76" customFormat="1" ht="21.95" customHeight="1" x14ac:dyDescent="0.15"/>
    <row r="41093" s="76" customFormat="1" ht="21.95" customHeight="1" x14ac:dyDescent="0.15"/>
    <row r="41094" s="76" customFormat="1" ht="21.95" customHeight="1" x14ac:dyDescent="0.15"/>
    <row r="41095" s="76" customFormat="1" ht="21.95" customHeight="1" x14ac:dyDescent="0.15"/>
    <row r="41096" s="76" customFormat="1" ht="21.95" customHeight="1" x14ac:dyDescent="0.15"/>
    <row r="41097" s="76" customFormat="1" ht="21.95" customHeight="1" x14ac:dyDescent="0.15"/>
    <row r="41098" s="76" customFormat="1" ht="21.95" customHeight="1" x14ac:dyDescent="0.15"/>
    <row r="41099" s="76" customFormat="1" ht="21.95" customHeight="1" x14ac:dyDescent="0.15"/>
    <row r="41100" s="76" customFormat="1" ht="21.95" customHeight="1" x14ac:dyDescent="0.15"/>
    <row r="41101" s="76" customFormat="1" ht="21.95" customHeight="1" x14ac:dyDescent="0.15"/>
    <row r="41102" s="76" customFormat="1" ht="21.95" customHeight="1" x14ac:dyDescent="0.15"/>
    <row r="41103" s="76" customFormat="1" ht="21.95" customHeight="1" x14ac:dyDescent="0.15"/>
    <row r="41104" s="76" customFormat="1" ht="21.95" customHeight="1" x14ac:dyDescent="0.15"/>
    <row r="41105" spans="3:3" customFormat="1" ht="21.95" customHeight="1" x14ac:dyDescent="0.15"/>
    <row r="41106" spans="3:3" customFormat="1" ht="21.95" customHeight="1" x14ac:dyDescent="0.15"/>
    <row r="41107" spans="3:3" customFormat="1" ht="21.95" customHeight="1" x14ac:dyDescent="0.15">
      <c r="C41107" s="94"/>
    </row>
    <row r="41108" spans="3:3" customFormat="1" ht="21.95" customHeight="1" x14ac:dyDescent="0.15">
      <c r="C41108" s="94"/>
    </row>
    <row r="41109" spans="3:3" customFormat="1" ht="21.95" customHeight="1" x14ac:dyDescent="0.15"/>
    <row r="41110" spans="3:3" customFormat="1" ht="21.95" customHeight="1" x14ac:dyDescent="0.15"/>
    <row r="41111" spans="3:3" customFormat="1" ht="21.95" customHeight="1" x14ac:dyDescent="0.15"/>
    <row r="41112" spans="3:3" customFormat="1" ht="21.95" customHeight="1" x14ac:dyDescent="0.15"/>
    <row r="41113" spans="3:3" customFormat="1" ht="21.95" customHeight="1" x14ac:dyDescent="0.15"/>
    <row r="41114" spans="3:3" customFormat="1" ht="21.95" customHeight="1" x14ac:dyDescent="0.15"/>
    <row r="41115" spans="3:3" customFormat="1" ht="21.95" customHeight="1" x14ac:dyDescent="0.15"/>
    <row r="41116" spans="3:3" s="76" customFormat="1" ht="21.95" customHeight="1" x14ac:dyDescent="0.15"/>
    <row r="41117" spans="3:3" s="76" customFormat="1" ht="21.95" customHeight="1" x14ac:dyDescent="0.15"/>
    <row r="41118" spans="3:3" s="76" customFormat="1" ht="21.95" customHeight="1" x14ac:dyDescent="0.15"/>
    <row r="41119" spans="3:3" s="76" customFormat="1" ht="21.95" customHeight="1" x14ac:dyDescent="0.15"/>
    <row r="41120" spans="3:3" customFormat="1" ht="21.95" customHeight="1" x14ac:dyDescent="0.15"/>
    <row r="41121" customFormat="1" ht="21.95" customHeight="1" x14ac:dyDescent="0.15"/>
    <row r="41122" customFormat="1" ht="21.95" customHeight="1" x14ac:dyDescent="0.15"/>
    <row r="41123" customFormat="1" ht="21.95" customHeight="1" x14ac:dyDescent="0.15"/>
    <row r="41124" customFormat="1" ht="21.95" customHeight="1" x14ac:dyDescent="0.15"/>
    <row r="41125" customFormat="1" ht="21.95" customHeight="1" x14ac:dyDescent="0.15"/>
    <row r="41126" customFormat="1" ht="21.95" customHeight="1" x14ac:dyDescent="0.15"/>
    <row r="41127" customFormat="1" ht="21.95" customHeight="1" x14ac:dyDescent="0.15"/>
    <row r="41128" customFormat="1" ht="21.95" customHeight="1" x14ac:dyDescent="0.15"/>
    <row r="41129" customFormat="1" ht="21.95" customHeight="1" x14ac:dyDescent="0.15"/>
    <row r="41130" customFormat="1" ht="21.95" customHeight="1" x14ac:dyDescent="0.15"/>
    <row r="41131" customFormat="1" ht="32.1" customHeight="1" x14ac:dyDescent="0.15"/>
    <row r="41132" customFormat="1" ht="32.1" customHeight="1" x14ac:dyDescent="0.15"/>
    <row r="41133" customFormat="1" ht="32.1" customHeight="1" x14ac:dyDescent="0.15"/>
    <row r="41134" customFormat="1" ht="32.1" customHeight="1" x14ac:dyDescent="0.15"/>
    <row r="41135" customFormat="1" ht="32.1" customHeight="1" x14ac:dyDescent="0.15"/>
    <row r="41136" customFormat="1" ht="32.1" customHeight="1" x14ac:dyDescent="0.15"/>
    <row r="41137" s="76" customFormat="1" ht="32.1" customHeight="1" x14ac:dyDescent="0.15"/>
    <row r="41138" s="76" customFormat="1" ht="32.1" customHeight="1" x14ac:dyDescent="0.15"/>
    <row r="41139" s="76" customFormat="1" ht="32.1" customHeight="1" x14ac:dyDescent="0.15"/>
    <row r="41140" s="76" customFormat="1" ht="32.1" customHeight="1" x14ac:dyDescent="0.15"/>
    <row r="41141" s="76" customFormat="1" ht="21.95" customHeight="1" x14ac:dyDescent="0.15"/>
    <row r="41142" s="76" customFormat="1" ht="54" customHeight="1" x14ac:dyDescent="0.15"/>
    <row r="41143" s="76" customFormat="1" ht="21.95" customHeight="1" x14ac:dyDescent="0.15"/>
    <row r="41144" s="76" customFormat="1" ht="21.95" customHeight="1" x14ac:dyDescent="0.15"/>
    <row r="41145" s="76" customFormat="1" ht="21.95" customHeight="1" x14ac:dyDescent="0.15"/>
    <row r="41146" s="76" customFormat="1" ht="21.95" customHeight="1" x14ac:dyDescent="0.15"/>
    <row r="41147" s="76" customFormat="1" ht="21.95" customHeight="1" x14ac:dyDescent="0.15"/>
    <row r="41148" s="76" customFormat="1" ht="21.95" customHeight="1" x14ac:dyDescent="0.15"/>
    <row r="41149" s="76" customFormat="1" ht="21.95" customHeight="1" x14ac:dyDescent="0.15"/>
    <row r="41150" s="76" customFormat="1" ht="21.95" customHeight="1" x14ac:dyDescent="0.15"/>
    <row r="41151" s="76" customFormat="1" ht="21.95" customHeight="1" x14ac:dyDescent="0.15"/>
    <row r="41152" s="76" customFormat="1" ht="21.95" customHeight="1" x14ac:dyDescent="0.15"/>
    <row r="41153" s="76" customFormat="1" ht="21.95" customHeight="1" x14ac:dyDescent="0.15"/>
    <row r="41154" s="76" customFormat="1" ht="21.95" customHeight="1" x14ac:dyDescent="0.15"/>
    <row r="41155" s="76" customFormat="1" ht="21.95" customHeight="1" x14ac:dyDescent="0.15"/>
    <row r="41156" s="76" customFormat="1" ht="21.95" customHeight="1" x14ac:dyDescent="0.15"/>
    <row r="41157" s="76" customFormat="1" ht="21.95" customHeight="1" x14ac:dyDescent="0.15"/>
    <row r="41158" s="76" customFormat="1" ht="21.95" customHeight="1" x14ac:dyDescent="0.15"/>
    <row r="41159" s="76" customFormat="1" ht="21.95" customHeight="1" x14ac:dyDescent="0.15"/>
    <row r="41160" s="76" customFormat="1" ht="21.95" customHeight="1" x14ac:dyDescent="0.15"/>
    <row r="41161" s="76" customFormat="1" ht="21.95" customHeight="1" x14ac:dyDescent="0.15"/>
    <row r="41162" s="76" customFormat="1" ht="21.95" customHeight="1" x14ac:dyDescent="0.15"/>
    <row r="41163" s="76" customFormat="1" ht="21.95" customHeight="1" x14ac:dyDescent="0.15"/>
    <row r="41164" s="76" customFormat="1" ht="21.95" customHeight="1" x14ac:dyDescent="0.15"/>
    <row r="41165" s="76" customFormat="1" ht="21.95" customHeight="1" x14ac:dyDescent="0.15"/>
    <row r="41166" s="76" customFormat="1" ht="21.95" customHeight="1" x14ac:dyDescent="0.15"/>
    <row r="41167" s="76" customFormat="1" ht="21.95" customHeight="1" x14ac:dyDescent="0.15"/>
    <row r="41168" s="76" customFormat="1" ht="21.95" customHeight="1" x14ac:dyDescent="0.15"/>
    <row r="41169" s="76" customFormat="1" ht="21.95" customHeight="1" x14ac:dyDescent="0.15"/>
    <row r="41170" s="76" customFormat="1" ht="21.95" customHeight="1" x14ac:dyDescent="0.15"/>
    <row r="41171" s="76" customFormat="1" ht="21.95" customHeight="1" x14ac:dyDescent="0.15"/>
    <row r="41172" s="76" customFormat="1" ht="21.95" customHeight="1" x14ac:dyDescent="0.15"/>
    <row r="41173" s="76" customFormat="1" ht="21.95" customHeight="1" x14ac:dyDescent="0.15"/>
    <row r="41174" s="76" customFormat="1" ht="21.95" customHeight="1" x14ac:dyDescent="0.15"/>
    <row r="41175" s="76" customFormat="1" ht="21.95" customHeight="1" x14ac:dyDescent="0.15"/>
    <row r="41176" s="76" customFormat="1" ht="21.95" customHeight="1" x14ac:dyDescent="0.15"/>
    <row r="41177" s="76" customFormat="1" ht="21.95" customHeight="1" x14ac:dyDescent="0.15"/>
    <row r="41178" s="76" customFormat="1" ht="21.95" customHeight="1" x14ac:dyDescent="0.15"/>
    <row r="41179" s="76" customFormat="1" ht="21.95" customHeight="1" x14ac:dyDescent="0.15"/>
    <row r="41180" s="76" customFormat="1" ht="21.95" customHeight="1" x14ac:dyDescent="0.15"/>
    <row r="41181" s="76" customFormat="1" ht="21.95" customHeight="1" x14ac:dyDescent="0.15"/>
    <row r="41182" s="76" customFormat="1" ht="21.95" customHeight="1" x14ac:dyDescent="0.15"/>
    <row r="41183" s="76" customFormat="1" ht="21.95" customHeight="1" x14ac:dyDescent="0.15"/>
    <row r="41184" s="76" customFormat="1" ht="21.95" customHeight="1" x14ac:dyDescent="0.15"/>
    <row r="41185" s="76" customFormat="1" ht="21.95" customHeight="1" x14ac:dyDescent="0.15"/>
    <row r="41186" s="76" customFormat="1" ht="21.95" customHeight="1" x14ac:dyDescent="0.15"/>
    <row r="41187" s="76" customFormat="1" ht="21.95" customHeight="1" x14ac:dyDescent="0.15"/>
    <row r="41188" s="76" customFormat="1" ht="21.95" customHeight="1" x14ac:dyDescent="0.15"/>
    <row r="41189" s="76" customFormat="1" ht="21.95" customHeight="1" x14ac:dyDescent="0.15"/>
    <row r="41190" s="76" customFormat="1" ht="21.95" customHeight="1" x14ac:dyDescent="0.15"/>
    <row r="41191" s="76" customFormat="1" ht="21.95" customHeight="1" x14ac:dyDescent="0.15"/>
    <row r="41192" s="76" customFormat="1" ht="21.95" customHeight="1" x14ac:dyDescent="0.15"/>
    <row r="41193" s="76" customFormat="1" ht="35.1" customHeight="1" x14ac:dyDescent="0.15"/>
    <row r="41194" s="76" customFormat="1" ht="21.95" customHeight="1" x14ac:dyDescent="0.15"/>
    <row r="41195" s="76" customFormat="1" ht="21.95" customHeight="1" x14ac:dyDescent="0.15"/>
    <row r="41196" s="76" customFormat="1" ht="21.95" customHeight="1" x14ac:dyDescent="0.15"/>
    <row r="41197" s="76" customFormat="1" ht="21.95" customHeight="1" x14ac:dyDescent="0.15"/>
    <row r="41198" s="76" customFormat="1" ht="21.95" customHeight="1" x14ac:dyDescent="0.15"/>
    <row r="41199" s="76" customFormat="1" ht="21.95" customHeight="1" x14ac:dyDescent="0.15"/>
    <row r="41200" s="76" customFormat="1" ht="21.95" customHeight="1" x14ac:dyDescent="0.15"/>
    <row r="41201" s="76" customFormat="1" ht="21.95" customHeight="1" x14ac:dyDescent="0.15"/>
    <row r="41202" s="76" customFormat="1" ht="21.95" customHeight="1" x14ac:dyDescent="0.15"/>
    <row r="41203" s="76" customFormat="1" ht="21.95" customHeight="1" x14ac:dyDescent="0.15"/>
    <row r="41204" s="76" customFormat="1" ht="21.95" customHeight="1" x14ac:dyDescent="0.15"/>
    <row r="41205" s="76" customFormat="1" ht="21.95" customHeight="1" x14ac:dyDescent="0.15"/>
    <row r="41206" s="76" customFormat="1" ht="21.95" customHeight="1" x14ac:dyDescent="0.15"/>
    <row r="41207" s="76" customFormat="1" ht="21.95" customHeight="1" x14ac:dyDescent="0.15"/>
    <row r="41208" s="76" customFormat="1" ht="21.95" customHeight="1" x14ac:dyDescent="0.15"/>
    <row r="41209" s="76" customFormat="1" ht="21.95" customHeight="1" x14ac:dyDescent="0.15"/>
    <row r="41210" s="76" customFormat="1" ht="21.95" customHeight="1" x14ac:dyDescent="0.15"/>
    <row r="41211" s="76" customFormat="1" ht="21.95" customHeight="1" x14ac:dyDescent="0.15"/>
    <row r="41212" s="76" customFormat="1" ht="21.95" customHeight="1" x14ac:dyDescent="0.15"/>
    <row r="41213" s="76" customFormat="1" ht="21.95" customHeight="1" x14ac:dyDescent="0.15"/>
    <row r="41214" s="76" customFormat="1" ht="21.95" customHeight="1" x14ac:dyDescent="0.15"/>
    <row r="41215" s="76" customFormat="1" ht="21.95" customHeight="1" x14ac:dyDescent="0.15"/>
    <row r="41216" s="76" customFormat="1" ht="21.95" customHeight="1" x14ac:dyDescent="0.15"/>
    <row r="41217" spans="3:3" customFormat="1" ht="21.95" customHeight="1" x14ac:dyDescent="0.15"/>
    <row r="41218" spans="3:3" customFormat="1" ht="21.95" customHeight="1" x14ac:dyDescent="0.15"/>
    <row r="41219" spans="3:3" customFormat="1" ht="21.95" customHeight="1" x14ac:dyDescent="0.15">
      <c r="C41219" s="94"/>
    </row>
    <row r="41220" spans="3:3" customFormat="1" ht="21.95" customHeight="1" x14ac:dyDescent="0.15">
      <c r="C41220" s="94"/>
    </row>
    <row r="41221" spans="3:3" customFormat="1" ht="21.95" customHeight="1" x14ac:dyDescent="0.15"/>
    <row r="41222" spans="3:3" customFormat="1" ht="21.95" customHeight="1" x14ac:dyDescent="0.15"/>
    <row r="41223" spans="3:3" customFormat="1" ht="21.95" customHeight="1" x14ac:dyDescent="0.15"/>
    <row r="41224" spans="3:3" customFormat="1" ht="21.95" customHeight="1" x14ac:dyDescent="0.15"/>
    <row r="41225" spans="3:3" customFormat="1" ht="21.95" customHeight="1" x14ac:dyDescent="0.15"/>
    <row r="41226" spans="3:3" customFormat="1" ht="21.95" customHeight="1" x14ac:dyDescent="0.15"/>
    <row r="41227" spans="3:3" customFormat="1" ht="21.95" customHeight="1" x14ac:dyDescent="0.15"/>
    <row r="41228" spans="3:3" s="76" customFormat="1" ht="21.95" customHeight="1" x14ac:dyDescent="0.15"/>
    <row r="41229" spans="3:3" s="76" customFormat="1" ht="21.95" customHeight="1" x14ac:dyDescent="0.15"/>
    <row r="41230" spans="3:3" s="76" customFormat="1" ht="21.95" customHeight="1" x14ac:dyDescent="0.15"/>
    <row r="41231" spans="3:3" s="76" customFormat="1" ht="21.95" customHeight="1" x14ac:dyDescent="0.15"/>
    <row r="41232" spans="3:3" customFormat="1" ht="21.95" customHeight="1" x14ac:dyDescent="0.15"/>
    <row r="41233" customFormat="1" ht="21.95" customHeight="1" x14ac:dyDescent="0.15"/>
    <row r="41234" customFormat="1" ht="21.95" customHeight="1" x14ac:dyDescent="0.15"/>
    <row r="41235" customFormat="1" ht="21.95" customHeight="1" x14ac:dyDescent="0.15"/>
    <row r="41236" customFormat="1" ht="21.95" customHeight="1" x14ac:dyDescent="0.15"/>
    <row r="41237" customFormat="1" ht="21.95" customHeight="1" x14ac:dyDescent="0.15"/>
    <row r="41238" customFormat="1" ht="21.95" customHeight="1" x14ac:dyDescent="0.15"/>
    <row r="41239" customFormat="1" ht="21.95" customHeight="1" x14ac:dyDescent="0.15"/>
    <row r="41240" customFormat="1" ht="21.95" customHeight="1" x14ac:dyDescent="0.15"/>
    <row r="41241" customFormat="1" ht="21.95" customHeight="1" x14ac:dyDescent="0.15"/>
    <row r="41242" customFormat="1" ht="21.95" customHeight="1" x14ac:dyDescent="0.15"/>
    <row r="41243" customFormat="1" ht="32.1" customHeight="1" x14ac:dyDescent="0.15"/>
    <row r="41244" customFormat="1" ht="32.1" customHeight="1" x14ac:dyDescent="0.15"/>
    <row r="41245" customFormat="1" ht="32.1" customHeight="1" x14ac:dyDescent="0.15"/>
    <row r="41246" customFormat="1" ht="32.1" customHeight="1" x14ac:dyDescent="0.15"/>
    <row r="41247" customFormat="1" ht="32.1" customHeight="1" x14ac:dyDescent="0.15"/>
    <row r="41248" customFormat="1" ht="32.1" customHeight="1" x14ac:dyDescent="0.15"/>
    <row r="41249" s="76" customFormat="1" ht="32.1" customHeight="1" x14ac:dyDescent="0.15"/>
    <row r="41250" s="76" customFormat="1" ht="32.1" customHeight="1" x14ac:dyDescent="0.15"/>
    <row r="41251" s="76" customFormat="1" ht="32.1" customHeight="1" x14ac:dyDescent="0.15"/>
    <row r="41252" s="76" customFormat="1" ht="32.1" customHeight="1" x14ac:dyDescent="0.15"/>
    <row r="41253" s="76" customFormat="1" ht="21.95" customHeight="1" x14ac:dyDescent="0.15"/>
    <row r="41254" s="76" customFormat="1" ht="54" customHeight="1" x14ac:dyDescent="0.15"/>
    <row r="41255" s="76" customFormat="1" ht="21.95" customHeight="1" x14ac:dyDescent="0.15"/>
    <row r="41256" s="76" customFormat="1" ht="21.95" customHeight="1" x14ac:dyDescent="0.15"/>
    <row r="41257" s="76" customFormat="1" ht="21.95" customHeight="1" x14ac:dyDescent="0.15"/>
    <row r="41258" s="76" customFormat="1" ht="21.95" customHeight="1" x14ac:dyDescent="0.15"/>
    <row r="41259" s="76" customFormat="1" ht="21.95" customHeight="1" x14ac:dyDescent="0.15"/>
    <row r="41260" s="76" customFormat="1" ht="21.95" customHeight="1" x14ac:dyDescent="0.15"/>
    <row r="41261" s="76" customFormat="1" ht="21.95" customHeight="1" x14ac:dyDescent="0.15"/>
    <row r="41262" s="76" customFormat="1" ht="21.95" customHeight="1" x14ac:dyDescent="0.15"/>
    <row r="41263" s="76" customFormat="1" ht="21.95" customHeight="1" x14ac:dyDescent="0.15"/>
    <row r="41264" s="76" customFormat="1" ht="21.95" customHeight="1" x14ac:dyDescent="0.15"/>
    <row r="41265" s="76" customFormat="1" ht="21.95" customHeight="1" x14ac:dyDescent="0.15"/>
    <row r="41266" s="76" customFormat="1" ht="21.95" customHeight="1" x14ac:dyDescent="0.15"/>
    <row r="41267" s="76" customFormat="1" ht="21.95" customHeight="1" x14ac:dyDescent="0.15"/>
    <row r="41268" s="76" customFormat="1" ht="21.95" customHeight="1" x14ac:dyDescent="0.15"/>
    <row r="41269" s="76" customFormat="1" ht="21.95" customHeight="1" x14ac:dyDescent="0.15"/>
    <row r="41270" s="76" customFormat="1" ht="21.95" customHeight="1" x14ac:dyDescent="0.15"/>
    <row r="41271" s="76" customFormat="1" ht="21.95" customHeight="1" x14ac:dyDescent="0.15"/>
    <row r="41272" s="76" customFormat="1" ht="21.95" customHeight="1" x14ac:dyDescent="0.15"/>
    <row r="41273" s="76" customFormat="1" ht="21.95" customHeight="1" x14ac:dyDescent="0.15"/>
    <row r="41274" s="76" customFormat="1" ht="21.95" customHeight="1" x14ac:dyDescent="0.15"/>
    <row r="41275" s="76" customFormat="1" ht="21.95" customHeight="1" x14ac:dyDescent="0.15"/>
    <row r="41276" s="76" customFormat="1" ht="21.95" customHeight="1" x14ac:dyDescent="0.15"/>
    <row r="41277" s="76" customFormat="1" ht="21.95" customHeight="1" x14ac:dyDescent="0.15"/>
    <row r="41278" s="76" customFormat="1" ht="21.95" customHeight="1" x14ac:dyDescent="0.15"/>
    <row r="41279" s="76" customFormat="1" ht="21.95" customHeight="1" x14ac:dyDescent="0.15"/>
    <row r="41280" s="76" customFormat="1" ht="21.95" customHeight="1" x14ac:dyDescent="0.15"/>
    <row r="41281" s="76" customFormat="1" ht="21.95" customHeight="1" x14ac:dyDescent="0.15"/>
    <row r="41282" s="76" customFormat="1" ht="21.95" customHeight="1" x14ac:dyDescent="0.15"/>
    <row r="41283" s="76" customFormat="1" ht="21.95" customHeight="1" x14ac:dyDescent="0.15"/>
    <row r="41284" s="76" customFormat="1" ht="21.95" customHeight="1" x14ac:dyDescent="0.15"/>
    <row r="41285" s="76" customFormat="1" ht="21.95" customHeight="1" x14ac:dyDescent="0.15"/>
    <row r="41286" s="76" customFormat="1" ht="21.95" customHeight="1" x14ac:dyDescent="0.15"/>
    <row r="41287" s="76" customFormat="1" ht="21.95" customHeight="1" x14ac:dyDescent="0.15"/>
    <row r="41288" s="76" customFormat="1" ht="21.95" customHeight="1" x14ac:dyDescent="0.15"/>
    <row r="41289" s="76" customFormat="1" ht="21.95" customHeight="1" x14ac:dyDescent="0.15"/>
    <row r="41290" s="76" customFormat="1" ht="21.95" customHeight="1" x14ac:dyDescent="0.15"/>
    <row r="41291" s="76" customFormat="1" ht="21.95" customHeight="1" x14ac:dyDescent="0.15"/>
    <row r="41292" s="76" customFormat="1" ht="21.95" customHeight="1" x14ac:dyDescent="0.15"/>
    <row r="41293" s="76" customFormat="1" ht="21.95" customHeight="1" x14ac:dyDescent="0.15"/>
    <row r="41294" s="76" customFormat="1" ht="21.95" customHeight="1" x14ac:dyDescent="0.15"/>
    <row r="41295" s="76" customFormat="1" ht="21.95" customHeight="1" x14ac:dyDescent="0.15"/>
    <row r="41296" s="76" customFormat="1" ht="21.95" customHeight="1" x14ac:dyDescent="0.15"/>
    <row r="41297" s="76" customFormat="1" ht="21.95" customHeight="1" x14ac:dyDescent="0.15"/>
    <row r="41298" s="76" customFormat="1" ht="21.95" customHeight="1" x14ac:dyDescent="0.15"/>
    <row r="41299" s="76" customFormat="1" ht="21.95" customHeight="1" x14ac:dyDescent="0.15"/>
    <row r="41300" s="76" customFormat="1" ht="21.95" customHeight="1" x14ac:dyDescent="0.15"/>
    <row r="41301" s="76" customFormat="1" ht="21.95" customHeight="1" x14ac:dyDescent="0.15"/>
    <row r="41302" s="76" customFormat="1" ht="21.95" customHeight="1" x14ac:dyDescent="0.15"/>
    <row r="41303" s="76" customFormat="1" ht="21.95" customHeight="1" x14ac:dyDescent="0.15"/>
    <row r="41304" s="76" customFormat="1" ht="21.95" customHeight="1" x14ac:dyDescent="0.15"/>
    <row r="41305" s="76" customFormat="1" ht="35.1" customHeight="1" x14ac:dyDescent="0.15"/>
    <row r="41306" s="76" customFormat="1" ht="21.95" customHeight="1" x14ac:dyDescent="0.15"/>
    <row r="41307" s="76" customFormat="1" ht="21.95" customHeight="1" x14ac:dyDescent="0.15"/>
    <row r="41308" s="76" customFormat="1" ht="21.95" customHeight="1" x14ac:dyDescent="0.15"/>
    <row r="41309" s="76" customFormat="1" ht="21.95" customHeight="1" x14ac:dyDescent="0.15"/>
    <row r="41310" s="76" customFormat="1" ht="21.95" customHeight="1" x14ac:dyDescent="0.15"/>
    <row r="41311" s="76" customFormat="1" ht="21.95" customHeight="1" x14ac:dyDescent="0.15"/>
    <row r="41312" s="76" customFormat="1" ht="21.95" customHeight="1" x14ac:dyDescent="0.15"/>
    <row r="41313" s="76" customFormat="1" ht="21.95" customHeight="1" x14ac:dyDescent="0.15"/>
    <row r="41314" s="76" customFormat="1" ht="21.95" customHeight="1" x14ac:dyDescent="0.15"/>
    <row r="41315" s="76" customFormat="1" ht="21.95" customHeight="1" x14ac:dyDescent="0.15"/>
    <row r="41316" s="76" customFormat="1" ht="21.95" customHeight="1" x14ac:dyDescent="0.15"/>
    <row r="41317" s="76" customFormat="1" ht="21.95" customHeight="1" x14ac:dyDescent="0.15"/>
    <row r="41318" s="76" customFormat="1" ht="21.95" customHeight="1" x14ac:dyDescent="0.15"/>
    <row r="41319" s="76" customFormat="1" ht="21.95" customHeight="1" x14ac:dyDescent="0.15"/>
    <row r="41320" s="76" customFormat="1" ht="21.95" customHeight="1" x14ac:dyDescent="0.15"/>
    <row r="41321" s="76" customFormat="1" ht="21.95" customHeight="1" x14ac:dyDescent="0.15"/>
    <row r="41322" s="76" customFormat="1" ht="21.95" customHeight="1" x14ac:dyDescent="0.15"/>
    <row r="41323" s="76" customFormat="1" ht="21.95" customHeight="1" x14ac:dyDescent="0.15"/>
    <row r="41324" s="76" customFormat="1" ht="21.95" customHeight="1" x14ac:dyDescent="0.15"/>
    <row r="41325" s="76" customFormat="1" ht="21.95" customHeight="1" x14ac:dyDescent="0.15"/>
    <row r="41326" s="76" customFormat="1" ht="21.95" customHeight="1" x14ac:dyDescent="0.15"/>
    <row r="41327" s="76" customFormat="1" ht="21.95" customHeight="1" x14ac:dyDescent="0.15"/>
    <row r="41328" s="76" customFormat="1" ht="21.95" customHeight="1" x14ac:dyDescent="0.15"/>
    <row r="41329" spans="3:3" customFormat="1" ht="21.95" customHeight="1" x14ac:dyDescent="0.15"/>
    <row r="41330" spans="3:3" customFormat="1" ht="21.95" customHeight="1" x14ac:dyDescent="0.15"/>
    <row r="41331" spans="3:3" customFormat="1" ht="21.95" customHeight="1" x14ac:dyDescent="0.15">
      <c r="C41331" s="94"/>
    </row>
    <row r="41332" spans="3:3" customFormat="1" ht="21.95" customHeight="1" x14ac:dyDescent="0.15">
      <c r="C41332" s="94"/>
    </row>
    <row r="41333" spans="3:3" customFormat="1" ht="21.95" customHeight="1" x14ac:dyDescent="0.15"/>
    <row r="41334" spans="3:3" customFormat="1" ht="21.95" customHeight="1" x14ac:dyDescent="0.15"/>
    <row r="41335" spans="3:3" customFormat="1" ht="21.95" customHeight="1" x14ac:dyDescent="0.15"/>
    <row r="41336" spans="3:3" customFormat="1" ht="21.95" customHeight="1" x14ac:dyDescent="0.15"/>
    <row r="41337" spans="3:3" customFormat="1" ht="21.95" customHeight="1" x14ac:dyDescent="0.15"/>
    <row r="41338" spans="3:3" customFormat="1" ht="21.95" customHeight="1" x14ac:dyDescent="0.15"/>
    <row r="41339" spans="3:3" customFormat="1" ht="21.95" customHeight="1" x14ac:dyDescent="0.15"/>
    <row r="41340" spans="3:3" s="76" customFormat="1" ht="21.95" customHeight="1" x14ac:dyDescent="0.15"/>
    <row r="41341" spans="3:3" s="76" customFormat="1" ht="21.95" customHeight="1" x14ac:dyDescent="0.15"/>
    <row r="41342" spans="3:3" s="76" customFormat="1" ht="21.95" customHeight="1" x14ac:dyDescent="0.15"/>
    <row r="41343" spans="3:3" s="76" customFormat="1" ht="21.95" customHeight="1" x14ac:dyDescent="0.15"/>
    <row r="41344" spans="3:3" customFormat="1" ht="21.95" customHeight="1" x14ac:dyDescent="0.15"/>
    <row r="41345" customFormat="1" ht="21.95" customHeight="1" x14ac:dyDescent="0.15"/>
    <row r="41346" customFormat="1" ht="21.95" customHeight="1" x14ac:dyDescent="0.15"/>
    <row r="41347" customFormat="1" ht="21.95" customHeight="1" x14ac:dyDescent="0.15"/>
    <row r="41348" customFormat="1" ht="21.95" customHeight="1" x14ac:dyDescent="0.15"/>
    <row r="41349" customFormat="1" ht="21.95" customHeight="1" x14ac:dyDescent="0.15"/>
    <row r="41350" customFormat="1" ht="21.95" customHeight="1" x14ac:dyDescent="0.15"/>
    <row r="41351" customFormat="1" ht="21.95" customHeight="1" x14ac:dyDescent="0.15"/>
    <row r="41352" customFormat="1" ht="21.95" customHeight="1" x14ac:dyDescent="0.15"/>
    <row r="41353" customFormat="1" ht="21.95" customHeight="1" x14ac:dyDescent="0.15"/>
    <row r="41354" customFormat="1" ht="21.95" customHeight="1" x14ac:dyDescent="0.15"/>
    <row r="41355" customFormat="1" ht="32.1" customHeight="1" x14ac:dyDescent="0.15"/>
    <row r="41356" customFormat="1" ht="32.1" customHeight="1" x14ac:dyDescent="0.15"/>
    <row r="41357" customFormat="1" ht="32.1" customHeight="1" x14ac:dyDescent="0.15"/>
    <row r="41358" customFormat="1" ht="32.1" customHeight="1" x14ac:dyDescent="0.15"/>
    <row r="41359" customFormat="1" ht="32.1" customHeight="1" x14ac:dyDescent="0.15"/>
    <row r="41360" customFormat="1" ht="32.1" customHeight="1" x14ac:dyDescent="0.15"/>
    <row r="41361" s="76" customFormat="1" ht="32.1" customHeight="1" x14ac:dyDescent="0.15"/>
    <row r="41362" s="76" customFormat="1" ht="32.1" customHeight="1" x14ac:dyDescent="0.15"/>
    <row r="41363" s="76" customFormat="1" ht="32.1" customHeight="1" x14ac:dyDescent="0.15"/>
    <row r="41364" s="76" customFormat="1" ht="32.1" customHeight="1" x14ac:dyDescent="0.15"/>
    <row r="41365" s="76" customFormat="1" ht="21.95" customHeight="1" x14ac:dyDescent="0.15"/>
    <row r="41366" s="76" customFormat="1" ht="54" customHeight="1" x14ac:dyDescent="0.15"/>
    <row r="41367" s="76" customFormat="1" ht="21.95" customHeight="1" x14ac:dyDescent="0.15"/>
    <row r="41368" s="76" customFormat="1" ht="21.95" customHeight="1" x14ac:dyDescent="0.15"/>
    <row r="41369" s="76" customFormat="1" ht="21.95" customHeight="1" x14ac:dyDescent="0.15"/>
    <row r="41370" s="76" customFormat="1" ht="21.95" customHeight="1" x14ac:dyDescent="0.15"/>
    <row r="41371" s="76" customFormat="1" ht="21.95" customHeight="1" x14ac:dyDescent="0.15"/>
    <row r="41372" s="76" customFormat="1" ht="21.95" customHeight="1" x14ac:dyDescent="0.15"/>
    <row r="41373" s="76" customFormat="1" ht="21.95" customHeight="1" x14ac:dyDescent="0.15"/>
    <row r="41374" s="76" customFormat="1" ht="21.95" customHeight="1" x14ac:dyDescent="0.15"/>
    <row r="41375" s="76" customFormat="1" ht="21.95" customHeight="1" x14ac:dyDescent="0.15"/>
    <row r="41376" s="76" customFormat="1" ht="21.95" customHeight="1" x14ac:dyDescent="0.15"/>
    <row r="41377" s="76" customFormat="1" ht="21.95" customHeight="1" x14ac:dyDescent="0.15"/>
    <row r="41378" s="76" customFormat="1" ht="21.95" customHeight="1" x14ac:dyDescent="0.15"/>
    <row r="41379" s="76" customFormat="1" ht="21.95" customHeight="1" x14ac:dyDescent="0.15"/>
    <row r="41380" s="76" customFormat="1" ht="21.95" customHeight="1" x14ac:dyDescent="0.15"/>
    <row r="41381" s="76" customFormat="1" ht="21.95" customHeight="1" x14ac:dyDescent="0.15"/>
    <row r="41382" s="76" customFormat="1" ht="21.95" customHeight="1" x14ac:dyDescent="0.15"/>
    <row r="41383" s="76" customFormat="1" ht="21.95" customHeight="1" x14ac:dyDescent="0.15"/>
    <row r="41384" s="76" customFormat="1" ht="21.95" customHeight="1" x14ac:dyDescent="0.15"/>
    <row r="41385" s="76" customFormat="1" ht="21.95" customHeight="1" x14ac:dyDescent="0.15"/>
    <row r="41386" s="76" customFormat="1" ht="21.95" customHeight="1" x14ac:dyDescent="0.15"/>
    <row r="41387" s="76" customFormat="1" ht="21.95" customHeight="1" x14ac:dyDescent="0.15"/>
    <row r="41388" s="76" customFormat="1" ht="21.95" customHeight="1" x14ac:dyDescent="0.15"/>
    <row r="41389" s="76" customFormat="1" ht="21.95" customHeight="1" x14ac:dyDescent="0.15"/>
    <row r="41390" s="76" customFormat="1" ht="21.95" customHeight="1" x14ac:dyDescent="0.15"/>
    <row r="41391" s="76" customFormat="1" ht="21.95" customHeight="1" x14ac:dyDescent="0.15"/>
    <row r="41392" s="76" customFormat="1" ht="21.95" customHeight="1" x14ac:dyDescent="0.15"/>
    <row r="41393" s="76" customFormat="1" ht="21.95" customHeight="1" x14ac:dyDescent="0.15"/>
    <row r="41394" s="76" customFormat="1" ht="21.95" customHeight="1" x14ac:dyDescent="0.15"/>
    <row r="41395" s="76" customFormat="1" ht="21.95" customHeight="1" x14ac:dyDescent="0.15"/>
    <row r="41396" s="76" customFormat="1" ht="21.95" customHeight="1" x14ac:dyDescent="0.15"/>
    <row r="41397" s="76" customFormat="1" ht="21.95" customHeight="1" x14ac:dyDescent="0.15"/>
    <row r="41398" s="76" customFormat="1" ht="21.95" customHeight="1" x14ac:dyDescent="0.15"/>
    <row r="41399" s="76" customFormat="1" ht="21.95" customHeight="1" x14ac:dyDescent="0.15"/>
    <row r="41400" s="76" customFormat="1" ht="21.95" customHeight="1" x14ac:dyDescent="0.15"/>
    <row r="41401" s="76" customFormat="1" ht="21.95" customHeight="1" x14ac:dyDescent="0.15"/>
    <row r="41402" s="76" customFormat="1" ht="21.95" customHeight="1" x14ac:dyDescent="0.15"/>
    <row r="41403" s="76" customFormat="1" ht="21.95" customHeight="1" x14ac:dyDescent="0.15"/>
    <row r="41404" s="76" customFormat="1" ht="21.95" customHeight="1" x14ac:dyDescent="0.15"/>
    <row r="41405" s="76" customFormat="1" ht="21.95" customHeight="1" x14ac:dyDescent="0.15"/>
    <row r="41406" s="76" customFormat="1" ht="21.95" customHeight="1" x14ac:dyDescent="0.15"/>
    <row r="41407" s="76" customFormat="1" ht="21.95" customHeight="1" x14ac:dyDescent="0.15"/>
    <row r="41408" s="76" customFormat="1" ht="21.95" customHeight="1" x14ac:dyDescent="0.15"/>
    <row r="41409" s="76" customFormat="1" ht="21.95" customHeight="1" x14ac:dyDescent="0.15"/>
    <row r="41410" s="76" customFormat="1" ht="21.95" customHeight="1" x14ac:dyDescent="0.15"/>
    <row r="41411" s="76" customFormat="1" ht="21.95" customHeight="1" x14ac:dyDescent="0.15"/>
    <row r="41412" s="76" customFormat="1" ht="21.95" customHeight="1" x14ac:dyDescent="0.15"/>
    <row r="41413" s="76" customFormat="1" ht="21.95" customHeight="1" x14ac:dyDescent="0.15"/>
    <row r="41414" s="76" customFormat="1" ht="21.95" customHeight="1" x14ac:dyDescent="0.15"/>
    <row r="41415" s="76" customFormat="1" ht="21.95" customHeight="1" x14ac:dyDescent="0.15"/>
    <row r="41416" s="76" customFormat="1" ht="21.95" customHeight="1" x14ac:dyDescent="0.15"/>
    <row r="41417" s="76" customFormat="1" ht="35.1" customHeight="1" x14ac:dyDescent="0.15"/>
    <row r="41418" s="76" customFormat="1" ht="21.95" customHeight="1" x14ac:dyDescent="0.15"/>
    <row r="41419" s="76" customFormat="1" ht="21.95" customHeight="1" x14ac:dyDescent="0.15"/>
    <row r="41420" s="76" customFormat="1" ht="21.95" customHeight="1" x14ac:dyDescent="0.15"/>
    <row r="41421" s="76" customFormat="1" ht="21.95" customHeight="1" x14ac:dyDescent="0.15"/>
    <row r="41422" s="76" customFormat="1" ht="21.95" customHeight="1" x14ac:dyDescent="0.15"/>
    <row r="41423" s="76" customFormat="1" ht="21.95" customHeight="1" x14ac:dyDescent="0.15"/>
    <row r="41424" s="76" customFormat="1" ht="21.95" customHeight="1" x14ac:dyDescent="0.15"/>
    <row r="41425" s="76" customFormat="1" ht="21.95" customHeight="1" x14ac:dyDescent="0.15"/>
    <row r="41426" s="76" customFormat="1" ht="21.95" customHeight="1" x14ac:dyDescent="0.15"/>
    <row r="41427" s="76" customFormat="1" ht="21.95" customHeight="1" x14ac:dyDescent="0.15"/>
    <row r="41428" s="76" customFormat="1" ht="21.95" customHeight="1" x14ac:dyDescent="0.15"/>
    <row r="41429" s="76" customFormat="1" ht="21.95" customHeight="1" x14ac:dyDescent="0.15"/>
    <row r="41430" s="76" customFormat="1" ht="21.95" customHeight="1" x14ac:dyDescent="0.15"/>
    <row r="41431" s="76" customFormat="1" ht="21.95" customHeight="1" x14ac:dyDescent="0.15"/>
    <row r="41432" s="76" customFormat="1" ht="21.95" customHeight="1" x14ac:dyDescent="0.15"/>
    <row r="41433" s="76" customFormat="1" ht="21.95" customHeight="1" x14ac:dyDescent="0.15"/>
    <row r="41434" s="76" customFormat="1" ht="21.95" customHeight="1" x14ac:dyDescent="0.15"/>
    <row r="41435" s="76" customFormat="1" ht="21.95" customHeight="1" x14ac:dyDescent="0.15"/>
    <row r="41436" s="76" customFormat="1" ht="21.95" customHeight="1" x14ac:dyDescent="0.15"/>
    <row r="41437" s="76" customFormat="1" ht="21.95" customHeight="1" x14ac:dyDescent="0.15"/>
    <row r="41438" s="76" customFormat="1" ht="21.95" customHeight="1" x14ac:dyDescent="0.15"/>
    <row r="41439" s="76" customFormat="1" ht="21.95" customHeight="1" x14ac:dyDescent="0.15"/>
    <row r="41440" s="76" customFormat="1" ht="21.95" customHeight="1" x14ac:dyDescent="0.15"/>
    <row r="41441" spans="3:3" customFormat="1" ht="21.95" customHeight="1" x14ac:dyDescent="0.15"/>
    <row r="41442" spans="3:3" customFormat="1" ht="21.95" customHeight="1" x14ac:dyDescent="0.15"/>
    <row r="41443" spans="3:3" customFormat="1" ht="21.95" customHeight="1" x14ac:dyDescent="0.15">
      <c r="C41443" s="94"/>
    </row>
    <row r="41444" spans="3:3" customFormat="1" ht="21.95" customHeight="1" x14ac:dyDescent="0.15">
      <c r="C41444" s="94"/>
    </row>
    <row r="41445" spans="3:3" customFormat="1" ht="21.95" customHeight="1" x14ac:dyDescent="0.15"/>
    <row r="41446" spans="3:3" customFormat="1" ht="21.95" customHeight="1" x14ac:dyDescent="0.15"/>
    <row r="41447" spans="3:3" customFormat="1" ht="21.95" customHeight="1" x14ac:dyDescent="0.15"/>
    <row r="41448" spans="3:3" customFormat="1" ht="21.95" customHeight="1" x14ac:dyDescent="0.15"/>
    <row r="41449" spans="3:3" customFormat="1" ht="21.95" customHeight="1" x14ac:dyDescent="0.15"/>
    <row r="41450" spans="3:3" customFormat="1" ht="21.95" customHeight="1" x14ac:dyDescent="0.15"/>
    <row r="41451" spans="3:3" customFormat="1" ht="21.95" customHeight="1" x14ac:dyDescent="0.15"/>
    <row r="41452" spans="3:3" s="76" customFormat="1" ht="21.95" customHeight="1" x14ac:dyDescent="0.15"/>
    <row r="41453" spans="3:3" s="76" customFormat="1" ht="21.95" customHeight="1" x14ac:dyDescent="0.15"/>
    <row r="41454" spans="3:3" s="76" customFormat="1" ht="21.95" customHeight="1" x14ac:dyDescent="0.15"/>
    <row r="41455" spans="3:3" s="76" customFormat="1" ht="21.95" customHeight="1" x14ac:dyDescent="0.15"/>
    <row r="41456" spans="3:3" customFormat="1" ht="21.95" customHeight="1" x14ac:dyDescent="0.15"/>
    <row r="41457" customFormat="1" ht="21.95" customHeight="1" x14ac:dyDescent="0.15"/>
    <row r="41458" customFormat="1" ht="21.95" customHeight="1" x14ac:dyDescent="0.15"/>
    <row r="41459" customFormat="1" ht="21.95" customHeight="1" x14ac:dyDescent="0.15"/>
    <row r="41460" customFormat="1" ht="21.95" customHeight="1" x14ac:dyDescent="0.15"/>
    <row r="41461" customFormat="1" ht="21.95" customHeight="1" x14ac:dyDescent="0.15"/>
    <row r="41462" customFormat="1" ht="21.95" customHeight="1" x14ac:dyDescent="0.15"/>
    <row r="41463" customFormat="1" ht="21.95" customHeight="1" x14ac:dyDescent="0.15"/>
    <row r="41464" customFormat="1" ht="21.95" customHeight="1" x14ac:dyDescent="0.15"/>
    <row r="41465" customFormat="1" ht="21.95" customHeight="1" x14ac:dyDescent="0.15"/>
    <row r="41466" customFormat="1" ht="21.95" customHeight="1" x14ac:dyDescent="0.15"/>
    <row r="41467" customFormat="1" ht="32.1" customHeight="1" x14ac:dyDescent="0.15"/>
    <row r="41468" customFormat="1" ht="32.1" customHeight="1" x14ac:dyDescent="0.15"/>
    <row r="41469" customFormat="1" ht="32.1" customHeight="1" x14ac:dyDescent="0.15"/>
    <row r="41470" customFormat="1" ht="32.1" customHeight="1" x14ac:dyDescent="0.15"/>
    <row r="41471" customFormat="1" ht="32.1" customHeight="1" x14ac:dyDescent="0.15"/>
    <row r="41472" customFormat="1" ht="32.1" customHeight="1" x14ac:dyDescent="0.15"/>
    <row r="41473" s="76" customFormat="1" ht="32.1" customHeight="1" x14ac:dyDescent="0.15"/>
    <row r="41474" s="76" customFormat="1" ht="32.1" customHeight="1" x14ac:dyDescent="0.15"/>
    <row r="41475" s="76" customFormat="1" ht="32.1" customHeight="1" x14ac:dyDescent="0.15"/>
    <row r="41476" s="76" customFormat="1" ht="32.1" customHeight="1" x14ac:dyDescent="0.15"/>
    <row r="41477" s="76" customFormat="1" ht="21.95" customHeight="1" x14ac:dyDescent="0.15"/>
    <row r="41478" s="76" customFormat="1" ht="54" customHeight="1" x14ac:dyDescent="0.15"/>
    <row r="41479" s="76" customFormat="1" ht="21.95" customHeight="1" x14ac:dyDescent="0.15"/>
    <row r="41480" s="76" customFormat="1" ht="21.95" customHeight="1" x14ac:dyDescent="0.15"/>
    <row r="41481" s="76" customFormat="1" ht="21.95" customHeight="1" x14ac:dyDescent="0.15"/>
    <row r="41482" s="76" customFormat="1" ht="21.95" customHeight="1" x14ac:dyDescent="0.15"/>
    <row r="41483" s="76" customFormat="1" ht="21.95" customHeight="1" x14ac:dyDescent="0.15"/>
    <row r="41484" s="76" customFormat="1" ht="21.95" customHeight="1" x14ac:dyDescent="0.15"/>
    <row r="41485" s="76" customFormat="1" ht="21.95" customHeight="1" x14ac:dyDescent="0.15"/>
    <row r="41486" s="76" customFormat="1" ht="21.95" customHeight="1" x14ac:dyDescent="0.15"/>
    <row r="41487" s="76" customFormat="1" ht="21.95" customHeight="1" x14ac:dyDescent="0.15"/>
    <row r="41488" s="76" customFormat="1" ht="21.95" customHeight="1" x14ac:dyDescent="0.15"/>
    <row r="41489" s="76" customFormat="1" ht="21.95" customHeight="1" x14ac:dyDescent="0.15"/>
    <row r="41490" s="76" customFormat="1" ht="21.95" customHeight="1" x14ac:dyDescent="0.15"/>
    <row r="41491" s="76" customFormat="1" ht="21.95" customHeight="1" x14ac:dyDescent="0.15"/>
    <row r="41492" s="76" customFormat="1" ht="21.95" customHeight="1" x14ac:dyDescent="0.15"/>
    <row r="41493" s="76" customFormat="1" ht="21.95" customHeight="1" x14ac:dyDescent="0.15"/>
    <row r="41494" s="76" customFormat="1" ht="21.95" customHeight="1" x14ac:dyDescent="0.15"/>
    <row r="41495" s="76" customFormat="1" ht="21.95" customHeight="1" x14ac:dyDescent="0.15"/>
    <row r="41496" s="76" customFormat="1" ht="21.95" customHeight="1" x14ac:dyDescent="0.15"/>
    <row r="41497" s="76" customFormat="1" ht="21.95" customHeight="1" x14ac:dyDescent="0.15"/>
    <row r="41498" s="76" customFormat="1" ht="21.95" customHeight="1" x14ac:dyDescent="0.15"/>
    <row r="41499" s="76" customFormat="1" ht="21.95" customHeight="1" x14ac:dyDescent="0.15"/>
    <row r="41500" s="76" customFormat="1" ht="21.95" customHeight="1" x14ac:dyDescent="0.15"/>
    <row r="41501" s="76" customFormat="1" ht="21.95" customHeight="1" x14ac:dyDescent="0.15"/>
    <row r="41502" s="76" customFormat="1" ht="21.95" customHeight="1" x14ac:dyDescent="0.15"/>
    <row r="41503" s="76" customFormat="1" ht="21.95" customHeight="1" x14ac:dyDescent="0.15"/>
    <row r="41504" s="76" customFormat="1" ht="21.95" customHeight="1" x14ac:dyDescent="0.15"/>
    <row r="41505" s="76" customFormat="1" ht="21.95" customHeight="1" x14ac:dyDescent="0.15"/>
    <row r="41506" s="76" customFormat="1" ht="21.95" customHeight="1" x14ac:dyDescent="0.15"/>
    <row r="41507" s="76" customFormat="1" ht="21.95" customHeight="1" x14ac:dyDescent="0.15"/>
    <row r="41508" s="76" customFormat="1" ht="21.95" customHeight="1" x14ac:dyDescent="0.15"/>
    <row r="41509" s="76" customFormat="1" ht="21.95" customHeight="1" x14ac:dyDescent="0.15"/>
    <row r="41510" s="76" customFormat="1" ht="21.95" customHeight="1" x14ac:dyDescent="0.15"/>
    <row r="41511" s="76" customFormat="1" ht="21.95" customHeight="1" x14ac:dyDescent="0.15"/>
    <row r="41512" s="76" customFormat="1" ht="21.95" customHeight="1" x14ac:dyDescent="0.15"/>
    <row r="41513" s="76" customFormat="1" ht="21.95" customHeight="1" x14ac:dyDescent="0.15"/>
    <row r="41514" s="76" customFormat="1" ht="21.95" customHeight="1" x14ac:dyDescent="0.15"/>
    <row r="41515" s="76" customFormat="1" ht="21.95" customHeight="1" x14ac:dyDescent="0.15"/>
    <row r="41516" s="76" customFormat="1" ht="21.95" customHeight="1" x14ac:dyDescent="0.15"/>
    <row r="41517" s="76" customFormat="1" ht="21.95" customHeight="1" x14ac:dyDescent="0.15"/>
    <row r="41518" s="76" customFormat="1" ht="21.95" customHeight="1" x14ac:dyDescent="0.15"/>
    <row r="41519" s="76" customFormat="1" ht="21.95" customHeight="1" x14ac:dyDescent="0.15"/>
    <row r="41520" s="76" customFormat="1" ht="21.95" customHeight="1" x14ac:dyDescent="0.15"/>
    <row r="41521" s="76" customFormat="1" ht="21.95" customHeight="1" x14ac:dyDescent="0.15"/>
    <row r="41522" s="76" customFormat="1" ht="21.95" customHeight="1" x14ac:dyDescent="0.15"/>
    <row r="41523" s="76" customFormat="1" ht="21.95" customHeight="1" x14ac:dyDescent="0.15"/>
    <row r="41524" s="76" customFormat="1" ht="21.95" customHeight="1" x14ac:dyDescent="0.15"/>
    <row r="41525" s="76" customFormat="1" ht="21.95" customHeight="1" x14ac:dyDescent="0.15"/>
    <row r="41526" s="76" customFormat="1" ht="21.95" customHeight="1" x14ac:dyDescent="0.15"/>
    <row r="41527" s="76" customFormat="1" ht="21.95" customHeight="1" x14ac:dyDescent="0.15"/>
    <row r="41528" s="76" customFormat="1" ht="21.95" customHeight="1" x14ac:dyDescent="0.15"/>
    <row r="41529" s="76" customFormat="1" ht="35.1" customHeight="1" x14ac:dyDescent="0.15"/>
    <row r="41530" s="76" customFormat="1" ht="21.95" customHeight="1" x14ac:dyDescent="0.15"/>
    <row r="41531" s="76" customFormat="1" ht="21.95" customHeight="1" x14ac:dyDescent="0.15"/>
    <row r="41532" s="76" customFormat="1" ht="21.95" customHeight="1" x14ac:dyDescent="0.15"/>
    <row r="41533" s="76" customFormat="1" ht="21.95" customHeight="1" x14ac:dyDescent="0.15"/>
    <row r="41534" s="76" customFormat="1" ht="21.95" customHeight="1" x14ac:dyDescent="0.15"/>
    <row r="41535" s="76" customFormat="1" ht="21.95" customHeight="1" x14ac:dyDescent="0.15"/>
    <row r="41536" s="76" customFormat="1" ht="21.95" customHeight="1" x14ac:dyDescent="0.15"/>
    <row r="41537" s="76" customFormat="1" ht="21.95" customHeight="1" x14ac:dyDescent="0.15"/>
    <row r="41538" s="76" customFormat="1" ht="21.95" customHeight="1" x14ac:dyDescent="0.15"/>
    <row r="41539" s="76" customFormat="1" ht="21.95" customHeight="1" x14ac:dyDescent="0.15"/>
    <row r="41540" s="76" customFormat="1" ht="21.95" customHeight="1" x14ac:dyDescent="0.15"/>
    <row r="41541" s="76" customFormat="1" ht="21.95" customHeight="1" x14ac:dyDescent="0.15"/>
    <row r="41542" s="76" customFormat="1" ht="21.95" customHeight="1" x14ac:dyDescent="0.15"/>
    <row r="41543" s="76" customFormat="1" ht="21.95" customHeight="1" x14ac:dyDescent="0.15"/>
    <row r="41544" s="76" customFormat="1" ht="21.95" customHeight="1" x14ac:dyDescent="0.15"/>
    <row r="41545" s="76" customFormat="1" ht="21.95" customHeight="1" x14ac:dyDescent="0.15"/>
    <row r="41546" s="76" customFormat="1" ht="21.95" customHeight="1" x14ac:dyDescent="0.15"/>
    <row r="41547" s="76" customFormat="1" ht="21.95" customHeight="1" x14ac:dyDescent="0.15"/>
    <row r="41548" s="76" customFormat="1" ht="21.95" customHeight="1" x14ac:dyDescent="0.15"/>
    <row r="41549" s="76" customFormat="1" ht="21.95" customHeight="1" x14ac:dyDescent="0.15"/>
    <row r="41550" s="76" customFormat="1" ht="21.95" customHeight="1" x14ac:dyDescent="0.15"/>
    <row r="41551" s="76" customFormat="1" ht="21.95" customHeight="1" x14ac:dyDescent="0.15"/>
    <row r="41552" s="76" customFormat="1" ht="21.95" customHeight="1" x14ac:dyDescent="0.15"/>
    <row r="41553" spans="3:3" customFormat="1" ht="21.95" customHeight="1" x14ac:dyDescent="0.15"/>
    <row r="41554" spans="3:3" customFormat="1" ht="21.95" customHeight="1" x14ac:dyDescent="0.15"/>
    <row r="41555" spans="3:3" customFormat="1" ht="21.95" customHeight="1" x14ac:dyDescent="0.15">
      <c r="C41555" s="94"/>
    </row>
    <row r="41556" spans="3:3" customFormat="1" ht="21.95" customHeight="1" x14ac:dyDescent="0.15">
      <c r="C41556" s="94"/>
    </row>
    <row r="41557" spans="3:3" customFormat="1" ht="21.95" customHeight="1" x14ac:dyDescent="0.15"/>
    <row r="41558" spans="3:3" customFormat="1" ht="21.95" customHeight="1" x14ac:dyDescent="0.15"/>
    <row r="41559" spans="3:3" customFormat="1" ht="21.95" customHeight="1" x14ac:dyDescent="0.15"/>
    <row r="41560" spans="3:3" customFormat="1" ht="21.95" customHeight="1" x14ac:dyDescent="0.15"/>
    <row r="41561" spans="3:3" customFormat="1" ht="21.95" customHeight="1" x14ac:dyDescent="0.15"/>
    <row r="41562" spans="3:3" customFormat="1" ht="21.95" customHeight="1" x14ac:dyDescent="0.15"/>
    <row r="41563" spans="3:3" customFormat="1" ht="21.95" customHeight="1" x14ac:dyDescent="0.15"/>
    <row r="41564" spans="3:3" s="76" customFormat="1" ht="21.95" customHeight="1" x14ac:dyDescent="0.15"/>
    <row r="41565" spans="3:3" s="76" customFormat="1" ht="21.95" customHeight="1" x14ac:dyDescent="0.15"/>
    <row r="41566" spans="3:3" s="76" customFormat="1" ht="21.95" customHeight="1" x14ac:dyDescent="0.15"/>
    <row r="41567" spans="3:3" s="76" customFormat="1" ht="21.95" customHeight="1" x14ac:dyDescent="0.15"/>
    <row r="41568" spans="3:3" customFormat="1" ht="21.95" customHeight="1" x14ac:dyDescent="0.15"/>
    <row r="41569" customFormat="1" ht="21.95" customHeight="1" x14ac:dyDescent="0.15"/>
    <row r="41570" customFormat="1" ht="21.95" customHeight="1" x14ac:dyDescent="0.15"/>
    <row r="41571" customFormat="1" ht="21.95" customHeight="1" x14ac:dyDescent="0.15"/>
    <row r="41572" customFormat="1" ht="21.95" customHeight="1" x14ac:dyDescent="0.15"/>
    <row r="41573" customFormat="1" ht="21.95" customHeight="1" x14ac:dyDescent="0.15"/>
    <row r="41574" customFormat="1" ht="21.95" customHeight="1" x14ac:dyDescent="0.15"/>
    <row r="41575" customFormat="1" ht="21.95" customHeight="1" x14ac:dyDescent="0.15"/>
    <row r="41576" customFormat="1" ht="21.95" customHeight="1" x14ac:dyDescent="0.15"/>
    <row r="41577" customFormat="1" ht="21.95" customHeight="1" x14ac:dyDescent="0.15"/>
    <row r="41578" customFormat="1" ht="21.95" customHeight="1" x14ac:dyDescent="0.15"/>
    <row r="41579" customFormat="1" ht="32.1" customHeight="1" x14ac:dyDescent="0.15"/>
    <row r="41580" customFormat="1" ht="32.1" customHeight="1" x14ac:dyDescent="0.15"/>
    <row r="41581" customFormat="1" ht="32.1" customHeight="1" x14ac:dyDescent="0.15"/>
    <row r="41582" customFormat="1" ht="32.1" customHeight="1" x14ac:dyDescent="0.15"/>
    <row r="41583" customFormat="1" ht="32.1" customHeight="1" x14ac:dyDescent="0.15"/>
    <row r="41584" customFormat="1" ht="32.1" customHeight="1" x14ac:dyDescent="0.15"/>
    <row r="41585" s="76" customFormat="1" ht="32.1" customHeight="1" x14ac:dyDescent="0.15"/>
    <row r="41586" s="76" customFormat="1" ht="32.1" customHeight="1" x14ac:dyDescent="0.15"/>
    <row r="41587" s="76" customFormat="1" ht="32.1" customHeight="1" x14ac:dyDescent="0.15"/>
    <row r="41588" s="76" customFormat="1" ht="32.1" customHeight="1" x14ac:dyDescent="0.15"/>
    <row r="41589" s="76" customFormat="1" ht="21.95" customHeight="1" x14ac:dyDescent="0.15"/>
    <row r="41590" s="76" customFormat="1" ht="54" customHeight="1" x14ac:dyDescent="0.15"/>
    <row r="41591" s="76" customFormat="1" ht="21.95" customHeight="1" x14ac:dyDescent="0.15"/>
    <row r="41592" s="76" customFormat="1" ht="21.95" customHeight="1" x14ac:dyDescent="0.15"/>
    <row r="41593" s="76" customFormat="1" ht="21.95" customHeight="1" x14ac:dyDescent="0.15"/>
    <row r="41594" s="76" customFormat="1" ht="21.95" customHeight="1" x14ac:dyDescent="0.15"/>
    <row r="41595" s="76" customFormat="1" ht="21.95" customHeight="1" x14ac:dyDescent="0.15"/>
    <row r="41596" s="76" customFormat="1" ht="21.95" customHeight="1" x14ac:dyDescent="0.15"/>
    <row r="41597" s="76" customFormat="1" ht="21.95" customHeight="1" x14ac:dyDescent="0.15"/>
    <row r="41598" s="76" customFormat="1" ht="21.95" customHeight="1" x14ac:dyDescent="0.15"/>
    <row r="41599" s="76" customFormat="1" ht="21.95" customHeight="1" x14ac:dyDescent="0.15"/>
    <row r="41600" s="76" customFormat="1" ht="21.95" customHeight="1" x14ac:dyDescent="0.15"/>
    <row r="41601" s="76" customFormat="1" ht="21.95" customHeight="1" x14ac:dyDescent="0.15"/>
    <row r="41602" s="76" customFormat="1" ht="21.95" customHeight="1" x14ac:dyDescent="0.15"/>
    <row r="41603" s="76" customFormat="1" ht="21.95" customHeight="1" x14ac:dyDescent="0.15"/>
    <row r="41604" s="76" customFormat="1" ht="21.95" customHeight="1" x14ac:dyDescent="0.15"/>
    <row r="41605" s="76" customFormat="1" ht="21.95" customHeight="1" x14ac:dyDescent="0.15"/>
    <row r="41606" s="76" customFormat="1" ht="21.95" customHeight="1" x14ac:dyDescent="0.15"/>
    <row r="41607" s="76" customFormat="1" ht="21.95" customHeight="1" x14ac:dyDescent="0.15"/>
    <row r="41608" s="76" customFormat="1" ht="21.95" customHeight="1" x14ac:dyDescent="0.15"/>
    <row r="41609" s="76" customFormat="1" ht="21.95" customHeight="1" x14ac:dyDescent="0.15"/>
    <row r="41610" s="76" customFormat="1" ht="21.95" customHeight="1" x14ac:dyDescent="0.15"/>
    <row r="41611" s="76" customFormat="1" ht="21.95" customHeight="1" x14ac:dyDescent="0.15"/>
    <row r="41612" s="76" customFormat="1" ht="21.95" customHeight="1" x14ac:dyDescent="0.15"/>
    <row r="41613" s="76" customFormat="1" ht="21.95" customHeight="1" x14ac:dyDescent="0.15"/>
    <row r="41614" s="76" customFormat="1" ht="21.95" customHeight="1" x14ac:dyDescent="0.15"/>
    <row r="41615" s="76" customFormat="1" ht="21.95" customHeight="1" x14ac:dyDescent="0.15"/>
    <row r="41616" s="76" customFormat="1" ht="21.95" customHeight="1" x14ac:dyDescent="0.15"/>
    <row r="41617" s="76" customFormat="1" ht="21.95" customHeight="1" x14ac:dyDescent="0.15"/>
    <row r="41618" s="76" customFormat="1" ht="21.95" customHeight="1" x14ac:dyDescent="0.15"/>
    <row r="41619" s="76" customFormat="1" ht="21.95" customHeight="1" x14ac:dyDescent="0.15"/>
    <row r="41620" s="76" customFormat="1" ht="21.95" customHeight="1" x14ac:dyDescent="0.15"/>
    <row r="41621" s="76" customFormat="1" ht="21.95" customHeight="1" x14ac:dyDescent="0.15"/>
    <row r="41622" s="76" customFormat="1" ht="21.95" customHeight="1" x14ac:dyDescent="0.15"/>
    <row r="41623" s="76" customFormat="1" ht="21.95" customHeight="1" x14ac:dyDescent="0.15"/>
    <row r="41624" s="76" customFormat="1" ht="21.95" customHeight="1" x14ac:dyDescent="0.15"/>
    <row r="41625" s="76" customFormat="1" ht="21.95" customHeight="1" x14ac:dyDescent="0.15"/>
    <row r="41626" s="76" customFormat="1" ht="21.95" customHeight="1" x14ac:dyDescent="0.15"/>
    <row r="41627" s="76" customFormat="1" ht="21.95" customHeight="1" x14ac:dyDescent="0.15"/>
    <row r="41628" s="76" customFormat="1" ht="21.95" customHeight="1" x14ac:dyDescent="0.15"/>
    <row r="41629" s="76" customFormat="1" ht="21.95" customHeight="1" x14ac:dyDescent="0.15"/>
    <row r="41630" s="76" customFormat="1" ht="21.95" customHeight="1" x14ac:dyDescent="0.15"/>
    <row r="41631" s="76" customFormat="1" ht="21.95" customHeight="1" x14ac:dyDescent="0.15"/>
    <row r="41632" s="76" customFormat="1" ht="21.95" customHeight="1" x14ac:dyDescent="0.15"/>
    <row r="41633" s="76" customFormat="1" ht="21.95" customHeight="1" x14ac:dyDescent="0.15"/>
    <row r="41634" s="76" customFormat="1" ht="21.95" customHeight="1" x14ac:dyDescent="0.15"/>
    <row r="41635" s="76" customFormat="1" ht="21.95" customHeight="1" x14ac:dyDescent="0.15"/>
    <row r="41636" s="76" customFormat="1" ht="21.95" customHeight="1" x14ac:dyDescent="0.15"/>
    <row r="41637" s="76" customFormat="1" ht="21.95" customHeight="1" x14ac:dyDescent="0.15"/>
    <row r="41638" s="76" customFormat="1" ht="21.95" customHeight="1" x14ac:dyDescent="0.15"/>
    <row r="41639" s="76" customFormat="1" ht="21.95" customHeight="1" x14ac:dyDescent="0.15"/>
    <row r="41640" s="76" customFormat="1" ht="21.95" customHeight="1" x14ac:dyDescent="0.15"/>
    <row r="41641" s="76" customFormat="1" ht="35.1" customHeight="1" x14ac:dyDescent="0.15"/>
    <row r="41642" s="76" customFormat="1" ht="21.95" customHeight="1" x14ac:dyDescent="0.15"/>
    <row r="41643" s="76" customFormat="1" ht="21.95" customHeight="1" x14ac:dyDescent="0.15"/>
    <row r="41644" s="76" customFormat="1" ht="21.95" customHeight="1" x14ac:dyDescent="0.15"/>
    <row r="41645" s="76" customFormat="1" ht="21.95" customHeight="1" x14ac:dyDescent="0.15"/>
    <row r="41646" s="76" customFormat="1" ht="21.95" customHeight="1" x14ac:dyDescent="0.15"/>
    <row r="41647" s="76" customFormat="1" ht="21.95" customHeight="1" x14ac:dyDescent="0.15"/>
    <row r="41648" s="76" customFormat="1" ht="21.95" customHeight="1" x14ac:dyDescent="0.15"/>
    <row r="41649" s="76" customFormat="1" ht="21.95" customHeight="1" x14ac:dyDescent="0.15"/>
    <row r="41650" s="76" customFormat="1" ht="21.95" customHeight="1" x14ac:dyDescent="0.15"/>
    <row r="41651" s="76" customFormat="1" ht="21.95" customHeight="1" x14ac:dyDescent="0.15"/>
    <row r="41652" s="76" customFormat="1" ht="21.95" customHeight="1" x14ac:dyDescent="0.15"/>
    <row r="41653" s="76" customFormat="1" ht="21.95" customHeight="1" x14ac:dyDescent="0.15"/>
    <row r="41654" s="76" customFormat="1" ht="21.95" customHeight="1" x14ac:dyDescent="0.15"/>
    <row r="41655" s="76" customFormat="1" ht="21.95" customHeight="1" x14ac:dyDescent="0.15"/>
    <row r="41656" s="76" customFormat="1" ht="21.95" customHeight="1" x14ac:dyDescent="0.15"/>
    <row r="41657" s="76" customFormat="1" ht="21.95" customHeight="1" x14ac:dyDescent="0.15"/>
    <row r="41658" s="76" customFormat="1" ht="21.95" customHeight="1" x14ac:dyDescent="0.15"/>
    <row r="41659" s="76" customFormat="1" ht="21.95" customHeight="1" x14ac:dyDescent="0.15"/>
    <row r="41660" s="76" customFormat="1" ht="21.95" customHeight="1" x14ac:dyDescent="0.15"/>
    <row r="41661" s="76" customFormat="1" ht="21.95" customHeight="1" x14ac:dyDescent="0.15"/>
    <row r="41662" s="76" customFormat="1" ht="21.95" customHeight="1" x14ac:dyDescent="0.15"/>
    <row r="41663" s="76" customFormat="1" ht="21.95" customHeight="1" x14ac:dyDescent="0.15"/>
    <row r="41664" s="76" customFormat="1" ht="21.95" customHeight="1" x14ac:dyDescent="0.15"/>
    <row r="41665" spans="3:3" customFormat="1" ht="21.95" customHeight="1" x14ac:dyDescent="0.15"/>
    <row r="41666" spans="3:3" customFormat="1" ht="21.95" customHeight="1" x14ac:dyDescent="0.15"/>
    <row r="41667" spans="3:3" customFormat="1" ht="21.95" customHeight="1" x14ac:dyDescent="0.15">
      <c r="C41667" s="94"/>
    </row>
    <row r="41668" spans="3:3" customFormat="1" ht="21.95" customHeight="1" x14ac:dyDescent="0.15">
      <c r="C41668" s="94"/>
    </row>
    <row r="41669" spans="3:3" customFormat="1" ht="21.95" customHeight="1" x14ac:dyDescent="0.15"/>
    <row r="41670" spans="3:3" customFormat="1" ht="21.95" customHeight="1" x14ac:dyDescent="0.15"/>
    <row r="41671" spans="3:3" customFormat="1" ht="21.95" customHeight="1" x14ac:dyDescent="0.15"/>
    <row r="41672" spans="3:3" customFormat="1" ht="21.95" customHeight="1" x14ac:dyDescent="0.15"/>
    <row r="41673" spans="3:3" customFormat="1" ht="21.95" customHeight="1" x14ac:dyDescent="0.15"/>
    <row r="41674" spans="3:3" customFormat="1" ht="21.95" customHeight="1" x14ac:dyDescent="0.15"/>
    <row r="41675" spans="3:3" customFormat="1" ht="21.95" customHeight="1" x14ac:dyDescent="0.15"/>
    <row r="41676" spans="3:3" s="76" customFormat="1" ht="21.95" customHeight="1" x14ac:dyDescent="0.15"/>
    <row r="41677" spans="3:3" s="76" customFormat="1" ht="21.95" customHeight="1" x14ac:dyDescent="0.15"/>
    <row r="41678" spans="3:3" s="76" customFormat="1" ht="21.95" customHeight="1" x14ac:dyDescent="0.15"/>
    <row r="41679" spans="3:3" s="76" customFormat="1" ht="21.95" customHeight="1" x14ac:dyDescent="0.15"/>
    <row r="41680" spans="3:3" customFormat="1" ht="21.95" customHeight="1" x14ac:dyDescent="0.15"/>
    <row r="41681" customFormat="1" ht="21.95" customHeight="1" x14ac:dyDescent="0.15"/>
    <row r="41682" customFormat="1" ht="21.95" customHeight="1" x14ac:dyDescent="0.15"/>
    <row r="41683" customFormat="1" ht="21.95" customHeight="1" x14ac:dyDescent="0.15"/>
    <row r="41684" customFormat="1" ht="21.95" customHeight="1" x14ac:dyDescent="0.15"/>
    <row r="41685" customFormat="1" ht="21.95" customHeight="1" x14ac:dyDescent="0.15"/>
    <row r="41686" customFormat="1" ht="21.95" customHeight="1" x14ac:dyDescent="0.15"/>
    <row r="41687" customFormat="1" ht="21.95" customHeight="1" x14ac:dyDescent="0.15"/>
    <row r="41688" customFormat="1" ht="21.95" customHeight="1" x14ac:dyDescent="0.15"/>
    <row r="41689" customFormat="1" ht="21.95" customHeight="1" x14ac:dyDescent="0.15"/>
    <row r="41690" customFormat="1" ht="21.95" customHeight="1" x14ac:dyDescent="0.15"/>
    <row r="41691" customFormat="1" ht="32.1" customHeight="1" x14ac:dyDescent="0.15"/>
    <row r="41692" customFormat="1" ht="32.1" customHeight="1" x14ac:dyDescent="0.15"/>
    <row r="41693" customFormat="1" ht="32.1" customHeight="1" x14ac:dyDescent="0.15"/>
    <row r="41694" customFormat="1" ht="32.1" customHeight="1" x14ac:dyDescent="0.15"/>
    <row r="41695" customFormat="1" ht="32.1" customHeight="1" x14ac:dyDescent="0.15"/>
    <row r="41696" customFormat="1" ht="32.1" customHeight="1" x14ac:dyDescent="0.15"/>
    <row r="41697" s="76" customFormat="1" ht="32.1" customHeight="1" x14ac:dyDescent="0.15"/>
    <row r="41698" s="76" customFormat="1" ht="32.1" customHeight="1" x14ac:dyDescent="0.15"/>
    <row r="41699" s="76" customFormat="1" ht="32.1" customHeight="1" x14ac:dyDescent="0.15"/>
    <row r="41700" s="76" customFormat="1" ht="32.1" customHeight="1" x14ac:dyDescent="0.15"/>
    <row r="41701" s="76" customFormat="1" ht="21.95" customHeight="1" x14ac:dyDescent="0.15"/>
    <row r="41702" s="76" customFormat="1" ht="54" customHeight="1" x14ac:dyDescent="0.15"/>
    <row r="41703" s="76" customFormat="1" ht="21.95" customHeight="1" x14ac:dyDescent="0.15"/>
    <row r="41704" s="76" customFormat="1" ht="21.95" customHeight="1" x14ac:dyDescent="0.15"/>
    <row r="41705" s="76" customFormat="1" ht="21.95" customHeight="1" x14ac:dyDescent="0.15"/>
    <row r="41706" s="76" customFormat="1" ht="21.95" customHeight="1" x14ac:dyDescent="0.15"/>
    <row r="41707" s="76" customFormat="1" ht="21.95" customHeight="1" x14ac:dyDescent="0.15"/>
    <row r="41708" s="76" customFormat="1" ht="21.95" customHeight="1" x14ac:dyDescent="0.15"/>
    <row r="41709" s="76" customFormat="1" ht="21.95" customHeight="1" x14ac:dyDescent="0.15"/>
    <row r="41710" s="76" customFormat="1" ht="21.95" customHeight="1" x14ac:dyDescent="0.15"/>
    <row r="41711" s="76" customFormat="1" ht="21.95" customHeight="1" x14ac:dyDescent="0.15"/>
    <row r="41712" s="76" customFormat="1" ht="21.95" customHeight="1" x14ac:dyDescent="0.15"/>
    <row r="41713" s="76" customFormat="1" ht="21.95" customHeight="1" x14ac:dyDescent="0.15"/>
    <row r="41714" s="76" customFormat="1" ht="21.95" customHeight="1" x14ac:dyDescent="0.15"/>
    <row r="41715" s="76" customFormat="1" ht="21.95" customHeight="1" x14ac:dyDescent="0.15"/>
    <row r="41716" s="76" customFormat="1" ht="21.95" customHeight="1" x14ac:dyDescent="0.15"/>
    <row r="41717" s="76" customFormat="1" ht="21.95" customHeight="1" x14ac:dyDescent="0.15"/>
    <row r="41718" s="76" customFormat="1" ht="21.95" customHeight="1" x14ac:dyDescent="0.15"/>
    <row r="41719" s="76" customFormat="1" ht="21.95" customHeight="1" x14ac:dyDescent="0.15"/>
    <row r="41720" s="76" customFormat="1" ht="21.95" customHeight="1" x14ac:dyDescent="0.15"/>
    <row r="41721" s="76" customFormat="1" ht="21.95" customHeight="1" x14ac:dyDescent="0.15"/>
    <row r="41722" s="76" customFormat="1" ht="21.95" customHeight="1" x14ac:dyDescent="0.15"/>
    <row r="41723" s="76" customFormat="1" ht="21.95" customHeight="1" x14ac:dyDescent="0.15"/>
    <row r="41724" s="76" customFormat="1" ht="21.95" customHeight="1" x14ac:dyDescent="0.15"/>
    <row r="41725" s="76" customFormat="1" ht="21.95" customHeight="1" x14ac:dyDescent="0.15"/>
    <row r="41726" s="76" customFormat="1" ht="21.95" customHeight="1" x14ac:dyDescent="0.15"/>
    <row r="41727" s="76" customFormat="1" ht="21.95" customHeight="1" x14ac:dyDescent="0.15"/>
    <row r="41728" s="76" customFormat="1" ht="21.95" customHeight="1" x14ac:dyDescent="0.15"/>
    <row r="41729" s="76" customFormat="1" ht="21.95" customHeight="1" x14ac:dyDescent="0.15"/>
    <row r="41730" s="76" customFormat="1" ht="21.95" customHeight="1" x14ac:dyDescent="0.15"/>
    <row r="41731" s="76" customFormat="1" ht="21.95" customHeight="1" x14ac:dyDescent="0.15"/>
    <row r="41732" s="76" customFormat="1" ht="21.95" customHeight="1" x14ac:dyDescent="0.15"/>
    <row r="41733" s="76" customFormat="1" ht="21.95" customHeight="1" x14ac:dyDescent="0.15"/>
    <row r="41734" s="76" customFormat="1" ht="21.95" customHeight="1" x14ac:dyDescent="0.15"/>
    <row r="41735" s="76" customFormat="1" ht="21.95" customHeight="1" x14ac:dyDescent="0.15"/>
    <row r="41736" s="76" customFormat="1" ht="21.95" customHeight="1" x14ac:dyDescent="0.15"/>
    <row r="41737" s="76" customFormat="1" ht="21.95" customHeight="1" x14ac:dyDescent="0.15"/>
    <row r="41738" s="76" customFormat="1" ht="21.95" customHeight="1" x14ac:dyDescent="0.15"/>
    <row r="41739" s="76" customFormat="1" ht="21.95" customHeight="1" x14ac:dyDescent="0.15"/>
    <row r="41740" s="76" customFormat="1" ht="21.95" customHeight="1" x14ac:dyDescent="0.15"/>
    <row r="41741" s="76" customFormat="1" ht="21.95" customHeight="1" x14ac:dyDescent="0.15"/>
    <row r="41742" s="76" customFormat="1" ht="21.95" customHeight="1" x14ac:dyDescent="0.15"/>
    <row r="41743" s="76" customFormat="1" ht="21.95" customHeight="1" x14ac:dyDescent="0.15"/>
    <row r="41744" s="76" customFormat="1" ht="21.95" customHeight="1" x14ac:dyDescent="0.15"/>
    <row r="41745" s="76" customFormat="1" ht="21.95" customHeight="1" x14ac:dyDescent="0.15"/>
    <row r="41746" s="76" customFormat="1" ht="21.95" customHeight="1" x14ac:dyDescent="0.15"/>
    <row r="41747" s="76" customFormat="1" ht="21.95" customHeight="1" x14ac:dyDescent="0.15"/>
    <row r="41748" s="76" customFormat="1" ht="21.95" customHeight="1" x14ac:dyDescent="0.15"/>
    <row r="41749" s="76" customFormat="1" ht="21.95" customHeight="1" x14ac:dyDescent="0.15"/>
    <row r="41750" s="76" customFormat="1" ht="21.95" customHeight="1" x14ac:dyDescent="0.15"/>
    <row r="41751" s="76" customFormat="1" ht="21.95" customHeight="1" x14ac:dyDescent="0.15"/>
    <row r="41752" s="76" customFormat="1" ht="21.95" customHeight="1" x14ac:dyDescent="0.15"/>
    <row r="41753" s="76" customFormat="1" ht="35.1" customHeight="1" x14ac:dyDescent="0.15"/>
    <row r="41754" s="76" customFormat="1" ht="21.95" customHeight="1" x14ac:dyDescent="0.15"/>
    <row r="41755" s="76" customFormat="1" ht="21.95" customHeight="1" x14ac:dyDescent="0.15"/>
    <row r="41756" s="76" customFormat="1" ht="21.95" customHeight="1" x14ac:dyDescent="0.15"/>
    <row r="41757" s="76" customFormat="1" ht="21.95" customHeight="1" x14ac:dyDescent="0.15"/>
    <row r="41758" s="76" customFormat="1" ht="21.95" customHeight="1" x14ac:dyDescent="0.15"/>
    <row r="41759" s="76" customFormat="1" ht="21.95" customHeight="1" x14ac:dyDescent="0.15"/>
    <row r="41760" s="76" customFormat="1" ht="21.95" customHeight="1" x14ac:dyDescent="0.15"/>
    <row r="41761" s="76" customFormat="1" ht="21.95" customHeight="1" x14ac:dyDescent="0.15"/>
    <row r="41762" s="76" customFormat="1" ht="21.95" customHeight="1" x14ac:dyDescent="0.15"/>
    <row r="41763" s="76" customFormat="1" ht="21.95" customHeight="1" x14ac:dyDescent="0.15"/>
    <row r="41764" s="76" customFormat="1" ht="21.95" customHeight="1" x14ac:dyDescent="0.15"/>
    <row r="41765" s="76" customFormat="1" ht="21.95" customHeight="1" x14ac:dyDescent="0.15"/>
    <row r="41766" s="76" customFormat="1" ht="21.95" customHeight="1" x14ac:dyDescent="0.15"/>
    <row r="41767" s="76" customFormat="1" ht="21.95" customHeight="1" x14ac:dyDescent="0.15"/>
    <row r="41768" s="76" customFormat="1" ht="21.95" customHeight="1" x14ac:dyDescent="0.15"/>
    <row r="41769" s="76" customFormat="1" ht="21.95" customHeight="1" x14ac:dyDescent="0.15"/>
    <row r="41770" s="76" customFormat="1" ht="21.95" customHeight="1" x14ac:dyDescent="0.15"/>
    <row r="41771" s="76" customFormat="1" ht="21.95" customHeight="1" x14ac:dyDescent="0.15"/>
    <row r="41772" s="76" customFormat="1" ht="21.95" customHeight="1" x14ac:dyDescent="0.15"/>
    <row r="41773" s="76" customFormat="1" ht="21.95" customHeight="1" x14ac:dyDescent="0.15"/>
    <row r="41774" s="76" customFormat="1" ht="21.95" customHeight="1" x14ac:dyDescent="0.15"/>
    <row r="41775" s="76" customFormat="1" ht="21.95" customHeight="1" x14ac:dyDescent="0.15"/>
    <row r="41776" s="76" customFormat="1" ht="21.95" customHeight="1" x14ac:dyDescent="0.15"/>
    <row r="41777" spans="3:3" customFormat="1" ht="21.95" customHeight="1" x14ac:dyDescent="0.15"/>
    <row r="41778" spans="3:3" customFormat="1" ht="21.95" customHeight="1" x14ac:dyDescent="0.15"/>
    <row r="41779" spans="3:3" customFormat="1" ht="21.95" customHeight="1" x14ac:dyDescent="0.15">
      <c r="C41779" s="94"/>
    </row>
    <row r="41780" spans="3:3" customFormat="1" ht="21.95" customHeight="1" x14ac:dyDescent="0.15">
      <c r="C41780" s="94"/>
    </row>
    <row r="41781" spans="3:3" customFormat="1" ht="21.95" customHeight="1" x14ac:dyDescent="0.15"/>
    <row r="41782" spans="3:3" customFormat="1" ht="21.95" customHeight="1" x14ac:dyDescent="0.15"/>
    <row r="41783" spans="3:3" customFormat="1" ht="21.95" customHeight="1" x14ac:dyDescent="0.15"/>
    <row r="41784" spans="3:3" customFormat="1" ht="21.95" customHeight="1" x14ac:dyDescent="0.15"/>
    <row r="41785" spans="3:3" customFormat="1" ht="21.95" customHeight="1" x14ac:dyDescent="0.15"/>
    <row r="41786" spans="3:3" customFormat="1" ht="21.95" customHeight="1" x14ac:dyDescent="0.15"/>
    <row r="41787" spans="3:3" customFormat="1" ht="21.95" customHeight="1" x14ac:dyDescent="0.15"/>
    <row r="41788" spans="3:3" s="76" customFormat="1" ht="21.95" customHeight="1" x14ac:dyDescent="0.15"/>
    <row r="41789" spans="3:3" s="76" customFormat="1" ht="21.95" customHeight="1" x14ac:dyDescent="0.15"/>
    <row r="41790" spans="3:3" s="76" customFormat="1" ht="21.95" customHeight="1" x14ac:dyDescent="0.15"/>
    <row r="41791" spans="3:3" s="76" customFormat="1" ht="21.95" customHeight="1" x14ac:dyDescent="0.15"/>
    <row r="41792" spans="3:3" customFormat="1" ht="21.95" customHeight="1" x14ac:dyDescent="0.15"/>
    <row r="41793" customFormat="1" ht="21.95" customHeight="1" x14ac:dyDescent="0.15"/>
    <row r="41794" customFormat="1" ht="21.95" customHeight="1" x14ac:dyDescent="0.15"/>
    <row r="41795" customFormat="1" ht="21.95" customHeight="1" x14ac:dyDescent="0.15"/>
    <row r="41796" customFormat="1" ht="21.95" customHeight="1" x14ac:dyDescent="0.15"/>
    <row r="41797" customFormat="1" ht="21.95" customHeight="1" x14ac:dyDescent="0.15"/>
    <row r="41798" customFormat="1" ht="21.95" customHeight="1" x14ac:dyDescent="0.15"/>
    <row r="41799" customFormat="1" ht="21.95" customHeight="1" x14ac:dyDescent="0.15"/>
    <row r="41800" customFormat="1" ht="21.95" customHeight="1" x14ac:dyDescent="0.15"/>
    <row r="41801" customFormat="1" ht="21.95" customHeight="1" x14ac:dyDescent="0.15"/>
    <row r="41802" customFormat="1" ht="21.95" customHeight="1" x14ac:dyDescent="0.15"/>
    <row r="41803" customFormat="1" ht="32.1" customHeight="1" x14ac:dyDescent="0.15"/>
    <row r="41804" customFormat="1" ht="32.1" customHeight="1" x14ac:dyDescent="0.15"/>
    <row r="41805" customFormat="1" ht="32.1" customHeight="1" x14ac:dyDescent="0.15"/>
    <row r="41806" customFormat="1" ht="32.1" customHeight="1" x14ac:dyDescent="0.15"/>
    <row r="41807" customFormat="1" ht="32.1" customHeight="1" x14ac:dyDescent="0.15"/>
    <row r="41808" customFormat="1" ht="32.1" customHeight="1" x14ac:dyDescent="0.15"/>
    <row r="41809" s="76" customFormat="1" ht="32.1" customHeight="1" x14ac:dyDescent="0.15"/>
    <row r="41810" s="76" customFormat="1" ht="32.1" customHeight="1" x14ac:dyDescent="0.15"/>
    <row r="41811" s="76" customFormat="1" ht="32.1" customHeight="1" x14ac:dyDescent="0.15"/>
    <row r="41812" s="76" customFormat="1" ht="32.1" customHeight="1" x14ac:dyDescent="0.15"/>
    <row r="41813" s="76" customFormat="1" ht="21.95" customHeight="1" x14ac:dyDescent="0.15"/>
    <row r="41814" s="76" customFormat="1" ht="54" customHeight="1" x14ac:dyDescent="0.15"/>
    <row r="41815" s="76" customFormat="1" ht="21.95" customHeight="1" x14ac:dyDescent="0.15"/>
    <row r="41816" s="76" customFormat="1" ht="21.95" customHeight="1" x14ac:dyDescent="0.15"/>
    <row r="41817" s="76" customFormat="1" ht="21.95" customHeight="1" x14ac:dyDescent="0.15"/>
    <row r="41818" s="76" customFormat="1" ht="21.95" customHeight="1" x14ac:dyDescent="0.15"/>
    <row r="41819" s="76" customFormat="1" ht="21.95" customHeight="1" x14ac:dyDescent="0.15"/>
    <row r="41820" s="76" customFormat="1" ht="21.95" customHeight="1" x14ac:dyDescent="0.15"/>
    <row r="41821" s="76" customFormat="1" ht="21.95" customHeight="1" x14ac:dyDescent="0.15"/>
    <row r="41822" s="76" customFormat="1" ht="21.95" customHeight="1" x14ac:dyDescent="0.15"/>
    <row r="41823" s="76" customFormat="1" ht="21.95" customHeight="1" x14ac:dyDescent="0.15"/>
    <row r="41824" s="76" customFormat="1" ht="21.95" customHeight="1" x14ac:dyDescent="0.15"/>
    <row r="41825" s="76" customFormat="1" ht="21.95" customHeight="1" x14ac:dyDescent="0.15"/>
    <row r="41826" s="76" customFormat="1" ht="21.95" customHeight="1" x14ac:dyDescent="0.15"/>
    <row r="41827" s="76" customFormat="1" ht="21.95" customHeight="1" x14ac:dyDescent="0.15"/>
    <row r="41828" s="76" customFormat="1" ht="21.95" customHeight="1" x14ac:dyDescent="0.15"/>
    <row r="41829" s="76" customFormat="1" ht="21.95" customHeight="1" x14ac:dyDescent="0.15"/>
    <row r="41830" s="76" customFormat="1" ht="21.95" customHeight="1" x14ac:dyDescent="0.15"/>
    <row r="41831" s="76" customFormat="1" ht="21.95" customHeight="1" x14ac:dyDescent="0.15"/>
    <row r="41832" s="76" customFormat="1" ht="21.95" customHeight="1" x14ac:dyDescent="0.15"/>
    <row r="41833" s="76" customFormat="1" ht="21.95" customHeight="1" x14ac:dyDescent="0.15"/>
    <row r="41834" s="76" customFormat="1" ht="21.95" customHeight="1" x14ac:dyDescent="0.15"/>
    <row r="41835" s="76" customFormat="1" ht="21.95" customHeight="1" x14ac:dyDescent="0.15"/>
    <row r="41836" s="76" customFormat="1" ht="21.95" customHeight="1" x14ac:dyDescent="0.15"/>
    <row r="41837" s="76" customFormat="1" ht="21.95" customHeight="1" x14ac:dyDescent="0.15"/>
    <row r="41838" s="76" customFormat="1" ht="21.95" customHeight="1" x14ac:dyDescent="0.15"/>
    <row r="41839" s="76" customFormat="1" ht="21.95" customHeight="1" x14ac:dyDescent="0.15"/>
    <row r="41840" s="76" customFormat="1" ht="21.95" customHeight="1" x14ac:dyDescent="0.15"/>
    <row r="41841" s="76" customFormat="1" ht="21.95" customHeight="1" x14ac:dyDescent="0.15"/>
    <row r="41842" s="76" customFormat="1" ht="21.95" customHeight="1" x14ac:dyDescent="0.15"/>
    <row r="41843" s="76" customFormat="1" ht="21.95" customHeight="1" x14ac:dyDescent="0.15"/>
    <row r="41844" s="76" customFormat="1" ht="21.95" customHeight="1" x14ac:dyDescent="0.15"/>
    <row r="41845" s="76" customFormat="1" ht="21.95" customHeight="1" x14ac:dyDescent="0.15"/>
    <row r="41846" s="76" customFormat="1" ht="21.95" customHeight="1" x14ac:dyDescent="0.15"/>
    <row r="41847" s="76" customFormat="1" ht="21.95" customHeight="1" x14ac:dyDescent="0.15"/>
    <row r="41848" s="76" customFormat="1" ht="21.95" customHeight="1" x14ac:dyDescent="0.15"/>
    <row r="41849" s="76" customFormat="1" ht="21.95" customHeight="1" x14ac:dyDescent="0.15"/>
    <row r="41850" s="76" customFormat="1" ht="21.95" customHeight="1" x14ac:dyDescent="0.15"/>
    <row r="41851" s="76" customFormat="1" ht="21.95" customHeight="1" x14ac:dyDescent="0.15"/>
    <row r="41852" s="76" customFormat="1" ht="21.95" customHeight="1" x14ac:dyDescent="0.15"/>
    <row r="41853" s="76" customFormat="1" ht="21.95" customHeight="1" x14ac:dyDescent="0.15"/>
    <row r="41854" s="76" customFormat="1" ht="21.95" customHeight="1" x14ac:dyDescent="0.15"/>
    <row r="41855" s="76" customFormat="1" ht="21.95" customHeight="1" x14ac:dyDescent="0.15"/>
    <row r="41856" s="76" customFormat="1" ht="21.95" customHeight="1" x14ac:dyDescent="0.15"/>
    <row r="41857" s="76" customFormat="1" ht="21.95" customHeight="1" x14ac:dyDescent="0.15"/>
    <row r="41858" s="76" customFormat="1" ht="21.95" customHeight="1" x14ac:dyDescent="0.15"/>
    <row r="41859" s="76" customFormat="1" ht="21.95" customHeight="1" x14ac:dyDescent="0.15"/>
    <row r="41860" s="76" customFormat="1" ht="21.95" customHeight="1" x14ac:dyDescent="0.15"/>
    <row r="41861" s="76" customFormat="1" ht="21.95" customHeight="1" x14ac:dyDescent="0.15"/>
    <row r="41862" s="76" customFormat="1" ht="21.95" customHeight="1" x14ac:dyDescent="0.15"/>
    <row r="41863" s="76" customFormat="1" ht="21.95" customHeight="1" x14ac:dyDescent="0.15"/>
    <row r="41864" s="76" customFormat="1" ht="21.95" customHeight="1" x14ac:dyDescent="0.15"/>
    <row r="41865" s="76" customFormat="1" ht="35.1" customHeight="1" x14ac:dyDescent="0.15"/>
    <row r="41866" s="76" customFormat="1" ht="21.95" customHeight="1" x14ac:dyDescent="0.15"/>
    <row r="41867" s="76" customFormat="1" ht="21.95" customHeight="1" x14ac:dyDescent="0.15"/>
    <row r="41868" s="76" customFormat="1" ht="21.95" customHeight="1" x14ac:dyDescent="0.15"/>
    <row r="41869" s="76" customFormat="1" ht="21.95" customHeight="1" x14ac:dyDescent="0.15"/>
    <row r="41870" s="76" customFormat="1" ht="21.95" customHeight="1" x14ac:dyDescent="0.15"/>
    <row r="41871" s="76" customFormat="1" ht="21.95" customHeight="1" x14ac:dyDescent="0.15"/>
    <row r="41872" s="76" customFormat="1" ht="21.95" customHeight="1" x14ac:dyDescent="0.15"/>
    <row r="41873" s="76" customFormat="1" ht="21.95" customHeight="1" x14ac:dyDescent="0.15"/>
    <row r="41874" s="76" customFormat="1" ht="21.95" customHeight="1" x14ac:dyDescent="0.15"/>
    <row r="41875" s="76" customFormat="1" ht="21.95" customHeight="1" x14ac:dyDescent="0.15"/>
    <row r="41876" s="76" customFormat="1" ht="21.95" customHeight="1" x14ac:dyDescent="0.15"/>
    <row r="41877" s="76" customFormat="1" ht="21.95" customHeight="1" x14ac:dyDescent="0.15"/>
    <row r="41878" s="76" customFormat="1" ht="21.95" customHeight="1" x14ac:dyDescent="0.15"/>
    <row r="41879" s="76" customFormat="1" ht="21.95" customHeight="1" x14ac:dyDescent="0.15"/>
    <row r="41880" s="76" customFormat="1" ht="21.95" customHeight="1" x14ac:dyDescent="0.15"/>
    <row r="41881" s="76" customFormat="1" ht="21.95" customHeight="1" x14ac:dyDescent="0.15"/>
    <row r="41882" s="76" customFormat="1" ht="21.95" customHeight="1" x14ac:dyDescent="0.15"/>
    <row r="41883" s="76" customFormat="1" ht="21.95" customHeight="1" x14ac:dyDescent="0.15"/>
    <row r="41884" s="76" customFormat="1" ht="21.95" customHeight="1" x14ac:dyDescent="0.15"/>
    <row r="41885" s="76" customFormat="1" ht="21.95" customHeight="1" x14ac:dyDescent="0.15"/>
    <row r="41886" s="76" customFormat="1" ht="21.95" customHeight="1" x14ac:dyDescent="0.15"/>
    <row r="41887" s="76" customFormat="1" ht="21.95" customHeight="1" x14ac:dyDescent="0.15"/>
    <row r="41888" s="76" customFormat="1" ht="21.95" customHeight="1" x14ac:dyDescent="0.15"/>
    <row r="41889" spans="3:3" customFormat="1" ht="21.95" customHeight="1" x14ac:dyDescent="0.15"/>
    <row r="41890" spans="3:3" customFormat="1" ht="21.95" customHeight="1" x14ac:dyDescent="0.15"/>
    <row r="41891" spans="3:3" customFormat="1" ht="21.95" customHeight="1" x14ac:dyDescent="0.15">
      <c r="C41891" s="94"/>
    </row>
    <row r="41892" spans="3:3" customFormat="1" ht="21.95" customHeight="1" x14ac:dyDescent="0.15">
      <c r="C41892" s="94"/>
    </row>
    <row r="41893" spans="3:3" customFormat="1" ht="21.95" customHeight="1" x14ac:dyDescent="0.15"/>
    <row r="41894" spans="3:3" customFormat="1" ht="21.95" customHeight="1" x14ac:dyDescent="0.15"/>
    <row r="41895" spans="3:3" customFormat="1" ht="21.95" customHeight="1" x14ac:dyDescent="0.15"/>
    <row r="41896" spans="3:3" customFormat="1" ht="21.95" customHeight="1" x14ac:dyDescent="0.15"/>
    <row r="41897" spans="3:3" customFormat="1" ht="21.95" customHeight="1" x14ac:dyDescent="0.15"/>
    <row r="41898" spans="3:3" customFormat="1" ht="21.95" customHeight="1" x14ac:dyDescent="0.15"/>
    <row r="41899" spans="3:3" customFormat="1" ht="21.95" customHeight="1" x14ac:dyDescent="0.15"/>
    <row r="41900" spans="3:3" s="76" customFormat="1" ht="21.95" customHeight="1" x14ac:dyDescent="0.15"/>
    <row r="41901" spans="3:3" s="76" customFormat="1" ht="21.95" customHeight="1" x14ac:dyDescent="0.15"/>
    <row r="41902" spans="3:3" s="76" customFormat="1" ht="21.95" customHeight="1" x14ac:dyDescent="0.15"/>
    <row r="41903" spans="3:3" s="76" customFormat="1" ht="21.95" customHeight="1" x14ac:dyDescent="0.15"/>
    <row r="41904" spans="3:3" customFormat="1" ht="21.95" customHeight="1" x14ac:dyDescent="0.15"/>
    <row r="41905" customFormat="1" ht="21.95" customHeight="1" x14ac:dyDescent="0.15"/>
    <row r="41906" customFormat="1" ht="21.95" customHeight="1" x14ac:dyDescent="0.15"/>
    <row r="41907" customFormat="1" ht="21.95" customHeight="1" x14ac:dyDescent="0.15"/>
    <row r="41908" customFormat="1" ht="21.95" customHeight="1" x14ac:dyDescent="0.15"/>
    <row r="41909" customFormat="1" ht="21.95" customHeight="1" x14ac:dyDescent="0.15"/>
    <row r="41910" customFormat="1" ht="21.95" customHeight="1" x14ac:dyDescent="0.15"/>
    <row r="41911" customFormat="1" ht="21.95" customHeight="1" x14ac:dyDescent="0.15"/>
    <row r="41912" customFormat="1" ht="21.95" customHeight="1" x14ac:dyDescent="0.15"/>
    <row r="41913" customFormat="1" ht="21.95" customHeight="1" x14ac:dyDescent="0.15"/>
    <row r="41914" customFormat="1" ht="21.95" customHeight="1" x14ac:dyDescent="0.15"/>
    <row r="41915" customFormat="1" ht="32.1" customHeight="1" x14ac:dyDescent="0.15"/>
    <row r="41916" customFormat="1" ht="32.1" customHeight="1" x14ac:dyDescent="0.15"/>
    <row r="41917" customFormat="1" ht="32.1" customHeight="1" x14ac:dyDescent="0.15"/>
    <row r="41918" customFormat="1" ht="32.1" customHeight="1" x14ac:dyDescent="0.15"/>
    <row r="41919" customFormat="1" ht="32.1" customHeight="1" x14ac:dyDescent="0.15"/>
    <row r="41920" customFormat="1" ht="32.1" customHeight="1" x14ac:dyDescent="0.15"/>
    <row r="41921" s="76" customFormat="1" ht="32.1" customHeight="1" x14ac:dyDescent="0.15"/>
    <row r="41922" s="76" customFormat="1" ht="32.1" customHeight="1" x14ac:dyDescent="0.15"/>
    <row r="41923" s="76" customFormat="1" ht="32.1" customHeight="1" x14ac:dyDescent="0.15"/>
    <row r="41924" s="76" customFormat="1" ht="32.1" customHeight="1" x14ac:dyDescent="0.15"/>
    <row r="41925" s="76" customFormat="1" ht="21.95" customHeight="1" x14ac:dyDescent="0.15"/>
    <row r="41926" s="76" customFormat="1" ht="54" customHeight="1" x14ac:dyDescent="0.15"/>
    <row r="41927" s="76" customFormat="1" ht="21.95" customHeight="1" x14ac:dyDescent="0.15"/>
    <row r="41928" s="76" customFormat="1" ht="21.95" customHeight="1" x14ac:dyDescent="0.15"/>
    <row r="41929" s="76" customFormat="1" ht="21.95" customHeight="1" x14ac:dyDescent="0.15"/>
    <row r="41930" s="76" customFormat="1" ht="21.95" customHeight="1" x14ac:dyDescent="0.15"/>
    <row r="41931" s="76" customFormat="1" ht="21.95" customHeight="1" x14ac:dyDescent="0.15"/>
    <row r="41932" s="76" customFormat="1" ht="21.95" customHeight="1" x14ac:dyDescent="0.15"/>
    <row r="41933" s="76" customFormat="1" ht="21.95" customHeight="1" x14ac:dyDescent="0.15"/>
    <row r="41934" s="76" customFormat="1" ht="21.95" customHeight="1" x14ac:dyDescent="0.15"/>
    <row r="41935" s="76" customFormat="1" ht="21.95" customHeight="1" x14ac:dyDescent="0.15"/>
    <row r="41936" s="76" customFormat="1" ht="21.95" customHeight="1" x14ac:dyDescent="0.15"/>
    <row r="41937" s="76" customFormat="1" ht="21.95" customHeight="1" x14ac:dyDescent="0.15"/>
    <row r="41938" s="76" customFormat="1" ht="21.95" customHeight="1" x14ac:dyDescent="0.15"/>
    <row r="41939" s="76" customFormat="1" ht="21.95" customHeight="1" x14ac:dyDescent="0.15"/>
    <row r="41940" s="76" customFormat="1" ht="21.95" customHeight="1" x14ac:dyDescent="0.15"/>
    <row r="41941" s="76" customFormat="1" ht="21.95" customHeight="1" x14ac:dyDescent="0.15"/>
    <row r="41942" s="76" customFormat="1" ht="21.95" customHeight="1" x14ac:dyDescent="0.15"/>
    <row r="41943" s="76" customFormat="1" ht="21.95" customHeight="1" x14ac:dyDescent="0.15"/>
    <row r="41944" s="76" customFormat="1" ht="21.95" customHeight="1" x14ac:dyDescent="0.15"/>
    <row r="41945" s="76" customFormat="1" ht="21.95" customHeight="1" x14ac:dyDescent="0.15"/>
    <row r="41946" s="76" customFormat="1" ht="21.95" customHeight="1" x14ac:dyDescent="0.15"/>
    <row r="41947" s="76" customFormat="1" ht="21.95" customHeight="1" x14ac:dyDescent="0.15"/>
    <row r="41948" s="76" customFormat="1" ht="21.95" customHeight="1" x14ac:dyDescent="0.15"/>
    <row r="41949" s="76" customFormat="1" ht="21.95" customHeight="1" x14ac:dyDescent="0.15"/>
    <row r="41950" s="76" customFormat="1" ht="21.95" customHeight="1" x14ac:dyDescent="0.15"/>
    <row r="41951" s="76" customFormat="1" ht="21.95" customHeight="1" x14ac:dyDescent="0.15"/>
    <row r="41952" s="76" customFormat="1" ht="21.95" customHeight="1" x14ac:dyDescent="0.15"/>
    <row r="41953" s="76" customFormat="1" ht="21.95" customHeight="1" x14ac:dyDescent="0.15"/>
    <row r="41954" s="76" customFormat="1" ht="21.95" customHeight="1" x14ac:dyDescent="0.15"/>
    <row r="41955" s="76" customFormat="1" ht="21.95" customHeight="1" x14ac:dyDescent="0.15"/>
    <row r="41956" s="76" customFormat="1" ht="21.95" customHeight="1" x14ac:dyDescent="0.15"/>
    <row r="41957" s="76" customFormat="1" ht="21.95" customHeight="1" x14ac:dyDescent="0.15"/>
    <row r="41958" s="76" customFormat="1" ht="21.95" customHeight="1" x14ac:dyDescent="0.15"/>
    <row r="41959" s="76" customFormat="1" ht="21.95" customHeight="1" x14ac:dyDescent="0.15"/>
    <row r="41960" s="76" customFormat="1" ht="21.95" customHeight="1" x14ac:dyDescent="0.15"/>
    <row r="41961" s="76" customFormat="1" ht="21.95" customHeight="1" x14ac:dyDescent="0.15"/>
    <row r="41962" s="76" customFormat="1" ht="21.95" customHeight="1" x14ac:dyDescent="0.15"/>
    <row r="41963" s="76" customFormat="1" ht="21.95" customHeight="1" x14ac:dyDescent="0.15"/>
    <row r="41964" s="76" customFormat="1" ht="21.95" customHeight="1" x14ac:dyDescent="0.15"/>
    <row r="41965" s="76" customFormat="1" ht="21.95" customHeight="1" x14ac:dyDescent="0.15"/>
    <row r="41966" s="76" customFormat="1" ht="21.95" customHeight="1" x14ac:dyDescent="0.15"/>
    <row r="41967" s="76" customFormat="1" ht="21.95" customHeight="1" x14ac:dyDescent="0.15"/>
    <row r="41968" s="76" customFormat="1" ht="21.95" customHeight="1" x14ac:dyDescent="0.15"/>
    <row r="41969" s="76" customFormat="1" ht="21.95" customHeight="1" x14ac:dyDescent="0.15"/>
    <row r="41970" s="76" customFormat="1" ht="21.95" customHeight="1" x14ac:dyDescent="0.15"/>
    <row r="41971" s="76" customFormat="1" ht="21.95" customHeight="1" x14ac:dyDescent="0.15"/>
    <row r="41972" s="76" customFormat="1" ht="21.95" customHeight="1" x14ac:dyDescent="0.15"/>
    <row r="41973" s="76" customFormat="1" ht="21.95" customHeight="1" x14ac:dyDescent="0.15"/>
    <row r="41974" s="76" customFormat="1" ht="21.95" customHeight="1" x14ac:dyDescent="0.15"/>
    <row r="41975" s="76" customFormat="1" ht="21.95" customHeight="1" x14ac:dyDescent="0.15"/>
    <row r="41976" s="76" customFormat="1" ht="21.95" customHeight="1" x14ac:dyDescent="0.15"/>
    <row r="41977" s="76" customFormat="1" ht="35.1" customHeight="1" x14ac:dyDescent="0.15"/>
    <row r="41978" s="76" customFormat="1" ht="21.95" customHeight="1" x14ac:dyDescent="0.15"/>
    <row r="41979" s="76" customFormat="1" ht="21.95" customHeight="1" x14ac:dyDescent="0.15"/>
    <row r="41980" s="76" customFormat="1" ht="21.95" customHeight="1" x14ac:dyDescent="0.15"/>
    <row r="41981" s="76" customFormat="1" ht="21.95" customHeight="1" x14ac:dyDescent="0.15"/>
    <row r="41982" s="76" customFormat="1" ht="21.95" customHeight="1" x14ac:dyDescent="0.15"/>
    <row r="41983" s="76" customFormat="1" ht="21.95" customHeight="1" x14ac:dyDescent="0.15"/>
    <row r="41984" s="76" customFormat="1" ht="21.95" customHeight="1" x14ac:dyDescent="0.15"/>
    <row r="41985" s="76" customFormat="1" ht="21.95" customHeight="1" x14ac:dyDescent="0.15"/>
    <row r="41986" s="76" customFormat="1" ht="21.95" customHeight="1" x14ac:dyDescent="0.15"/>
    <row r="41987" s="76" customFormat="1" ht="21.95" customHeight="1" x14ac:dyDescent="0.15"/>
    <row r="41988" s="76" customFormat="1" ht="21.95" customHeight="1" x14ac:dyDescent="0.15"/>
    <row r="41989" s="76" customFormat="1" ht="21.95" customHeight="1" x14ac:dyDescent="0.15"/>
    <row r="41990" s="76" customFormat="1" ht="21.95" customHeight="1" x14ac:dyDescent="0.15"/>
    <row r="41991" s="76" customFormat="1" ht="21.95" customHeight="1" x14ac:dyDescent="0.15"/>
    <row r="41992" s="76" customFormat="1" ht="21.95" customHeight="1" x14ac:dyDescent="0.15"/>
    <row r="41993" s="76" customFormat="1" ht="21.95" customHeight="1" x14ac:dyDescent="0.15"/>
    <row r="41994" s="76" customFormat="1" ht="21.95" customHeight="1" x14ac:dyDescent="0.15"/>
    <row r="41995" s="76" customFormat="1" ht="21.95" customHeight="1" x14ac:dyDescent="0.15"/>
    <row r="41996" s="76" customFormat="1" ht="21.95" customHeight="1" x14ac:dyDescent="0.15"/>
    <row r="41997" s="76" customFormat="1" ht="21.95" customHeight="1" x14ac:dyDescent="0.15"/>
    <row r="41998" s="76" customFormat="1" ht="21.95" customHeight="1" x14ac:dyDescent="0.15"/>
    <row r="41999" s="76" customFormat="1" ht="21.95" customHeight="1" x14ac:dyDescent="0.15"/>
    <row r="42000" s="76" customFormat="1" ht="21.95" customHeight="1" x14ac:dyDescent="0.15"/>
    <row r="42001" spans="3:3" customFormat="1" ht="21.95" customHeight="1" x14ac:dyDescent="0.15"/>
    <row r="42002" spans="3:3" customFormat="1" ht="21.95" customHeight="1" x14ac:dyDescent="0.15"/>
    <row r="42003" spans="3:3" customFormat="1" ht="21.95" customHeight="1" x14ac:dyDescent="0.15">
      <c r="C42003" s="94"/>
    </row>
    <row r="42004" spans="3:3" customFormat="1" ht="21.95" customHeight="1" x14ac:dyDescent="0.15">
      <c r="C42004" s="94"/>
    </row>
    <row r="42005" spans="3:3" customFormat="1" ht="21.95" customHeight="1" x14ac:dyDescent="0.15"/>
    <row r="42006" spans="3:3" customFormat="1" ht="21.95" customHeight="1" x14ac:dyDescent="0.15"/>
    <row r="42007" spans="3:3" customFormat="1" ht="21.95" customHeight="1" x14ac:dyDescent="0.15"/>
    <row r="42008" spans="3:3" customFormat="1" ht="21.95" customHeight="1" x14ac:dyDescent="0.15"/>
    <row r="42009" spans="3:3" customFormat="1" ht="21.95" customHeight="1" x14ac:dyDescent="0.15"/>
    <row r="42010" spans="3:3" customFormat="1" ht="21.95" customHeight="1" x14ac:dyDescent="0.15"/>
    <row r="42011" spans="3:3" customFormat="1" ht="21.95" customHeight="1" x14ac:dyDescent="0.15"/>
    <row r="42012" spans="3:3" s="76" customFormat="1" ht="21.95" customHeight="1" x14ac:dyDescent="0.15"/>
    <row r="42013" spans="3:3" s="76" customFormat="1" ht="21.95" customHeight="1" x14ac:dyDescent="0.15"/>
    <row r="42014" spans="3:3" s="76" customFormat="1" ht="21.95" customHeight="1" x14ac:dyDescent="0.15"/>
    <row r="42015" spans="3:3" s="76" customFormat="1" ht="21.95" customHeight="1" x14ac:dyDescent="0.15"/>
    <row r="42016" spans="3:3" customFormat="1" ht="21.95" customHeight="1" x14ac:dyDescent="0.15"/>
    <row r="42017" customFormat="1" ht="21.95" customHeight="1" x14ac:dyDescent="0.15"/>
    <row r="42018" customFormat="1" ht="21.95" customHeight="1" x14ac:dyDescent="0.15"/>
    <row r="42019" customFormat="1" ht="21.95" customHeight="1" x14ac:dyDescent="0.15"/>
    <row r="42020" customFormat="1" ht="21.95" customHeight="1" x14ac:dyDescent="0.15"/>
    <row r="42021" customFormat="1" ht="21.95" customHeight="1" x14ac:dyDescent="0.15"/>
    <row r="42022" customFormat="1" ht="21.95" customHeight="1" x14ac:dyDescent="0.15"/>
    <row r="42023" customFormat="1" ht="21.95" customHeight="1" x14ac:dyDescent="0.15"/>
    <row r="42024" customFormat="1" ht="21.95" customHeight="1" x14ac:dyDescent="0.15"/>
    <row r="42025" customFormat="1" ht="21.95" customHeight="1" x14ac:dyDescent="0.15"/>
    <row r="42026" customFormat="1" ht="21.95" customHeight="1" x14ac:dyDescent="0.15"/>
    <row r="42027" customFormat="1" ht="32.1" customHeight="1" x14ac:dyDescent="0.15"/>
    <row r="42028" customFormat="1" ht="32.1" customHeight="1" x14ac:dyDescent="0.15"/>
    <row r="42029" customFormat="1" ht="32.1" customHeight="1" x14ac:dyDescent="0.15"/>
    <row r="42030" customFormat="1" ht="32.1" customHeight="1" x14ac:dyDescent="0.15"/>
    <row r="42031" customFormat="1" ht="32.1" customHeight="1" x14ac:dyDescent="0.15"/>
    <row r="42032" customFormat="1" ht="32.1" customHeight="1" x14ac:dyDescent="0.15"/>
    <row r="42033" s="76" customFormat="1" ht="32.1" customHeight="1" x14ac:dyDescent="0.15"/>
    <row r="42034" s="76" customFormat="1" ht="32.1" customHeight="1" x14ac:dyDescent="0.15"/>
    <row r="42035" s="76" customFormat="1" ht="32.1" customHeight="1" x14ac:dyDescent="0.15"/>
    <row r="42036" s="76" customFormat="1" ht="32.1" customHeight="1" x14ac:dyDescent="0.15"/>
    <row r="42037" s="76" customFormat="1" ht="21.95" customHeight="1" x14ac:dyDescent="0.15"/>
    <row r="42038" s="76" customFormat="1" ht="54" customHeight="1" x14ac:dyDescent="0.15"/>
    <row r="42039" s="76" customFormat="1" ht="21.95" customHeight="1" x14ac:dyDescent="0.15"/>
    <row r="42040" s="76" customFormat="1" ht="21.95" customHeight="1" x14ac:dyDescent="0.15"/>
    <row r="42041" s="76" customFormat="1" ht="21.95" customHeight="1" x14ac:dyDescent="0.15"/>
    <row r="42042" s="76" customFormat="1" ht="21.95" customHeight="1" x14ac:dyDescent="0.15"/>
    <row r="42043" s="76" customFormat="1" ht="21.95" customHeight="1" x14ac:dyDescent="0.15"/>
    <row r="42044" s="76" customFormat="1" ht="21.95" customHeight="1" x14ac:dyDescent="0.15"/>
    <row r="42045" s="76" customFormat="1" ht="21.95" customHeight="1" x14ac:dyDescent="0.15"/>
    <row r="42046" s="76" customFormat="1" ht="21.95" customHeight="1" x14ac:dyDescent="0.15"/>
    <row r="42047" s="76" customFormat="1" ht="21.95" customHeight="1" x14ac:dyDescent="0.15"/>
    <row r="42048" s="76" customFormat="1" ht="21.95" customHeight="1" x14ac:dyDescent="0.15"/>
    <row r="42049" s="76" customFormat="1" ht="21.95" customHeight="1" x14ac:dyDescent="0.15"/>
    <row r="42050" s="76" customFormat="1" ht="21.95" customHeight="1" x14ac:dyDescent="0.15"/>
    <row r="42051" s="76" customFormat="1" ht="21.95" customHeight="1" x14ac:dyDescent="0.15"/>
    <row r="42052" s="76" customFormat="1" ht="21.95" customHeight="1" x14ac:dyDescent="0.15"/>
    <row r="42053" s="76" customFormat="1" ht="21.95" customHeight="1" x14ac:dyDescent="0.15"/>
    <row r="42054" s="76" customFormat="1" ht="21.95" customHeight="1" x14ac:dyDescent="0.15"/>
    <row r="42055" s="76" customFormat="1" ht="21.95" customHeight="1" x14ac:dyDescent="0.15"/>
    <row r="42056" s="76" customFormat="1" ht="21.95" customHeight="1" x14ac:dyDescent="0.15"/>
    <row r="42057" s="76" customFormat="1" ht="21.95" customHeight="1" x14ac:dyDescent="0.15"/>
    <row r="42058" s="76" customFormat="1" ht="21.95" customHeight="1" x14ac:dyDescent="0.15"/>
    <row r="42059" s="76" customFormat="1" ht="21.95" customHeight="1" x14ac:dyDescent="0.15"/>
    <row r="42060" s="76" customFormat="1" ht="21.95" customHeight="1" x14ac:dyDescent="0.15"/>
    <row r="42061" s="76" customFormat="1" ht="21.95" customHeight="1" x14ac:dyDescent="0.15"/>
    <row r="42062" s="76" customFormat="1" ht="21.95" customHeight="1" x14ac:dyDescent="0.15"/>
    <row r="42063" s="76" customFormat="1" ht="21.95" customHeight="1" x14ac:dyDescent="0.15"/>
    <row r="42064" s="76" customFormat="1" ht="21.95" customHeight="1" x14ac:dyDescent="0.15"/>
    <row r="42065" s="76" customFormat="1" ht="21.95" customHeight="1" x14ac:dyDescent="0.15"/>
    <row r="42066" s="76" customFormat="1" ht="21.95" customHeight="1" x14ac:dyDescent="0.15"/>
    <row r="42067" s="76" customFormat="1" ht="21.95" customHeight="1" x14ac:dyDescent="0.15"/>
    <row r="42068" s="76" customFormat="1" ht="21.95" customHeight="1" x14ac:dyDescent="0.15"/>
    <row r="42069" s="76" customFormat="1" ht="21.95" customHeight="1" x14ac:dyDescent="0.15"/>
    <row r="42070" s="76" customFormat="1" ht="21.95" customHeight="1" x14ac:dyDescent="0.15"/>
    <row r="42071" s="76" customFormat="1" ht="21.95" customHeight="1" x14ac:dyDescent="0.15"/>
    <row r="42072" s="76" customFormat="1" ht="21.95" customHeight="1" x14ac:dyDescent="0.15"/>
    <row r="42073" s="76" customFormat="1" ht="21.95" customHeight="1" x14ac:dyDescent="0.15"/>
    <row r="42074" s="76" customFormat="1" ht="21.95" customHeight="1" x14ac:dyDescent="0.15"/>
    <row r="42075" s="76" customFormat="1" ht="21.95" customHeight="1" x14ac:dyDescent="0.15"/>
    <row r="42076" s="76" customFormat="1" ht="21.95" customHeight="1" x14ac:dyDescent="0.15"/>
    <row r="42077" s="76" customFormat="1" ht="21.95" customHeight="1" x14ac:dyDescent="0.15"/>
    <row r="42078" s="76" customFormat="1" ht="21.95" customHeight="1" x14ac:dyDescent="0.15"/>
    <row r="42079" s="76" customFormat="1" ht="21.95" customHeight="1" x14ac:dyDescent="0.15"/>
    <row r="42080" s="76" customFormat="1" ht="21.95" customHeight="1" x14ac:dyDescent="0.15"/>
    <row r="42081" s="76" customFormat="1" ht="21.95" customHeight="1" x14ac:dyDescent="0.15"/>
    <row r="42082" s="76" customFormat="1" ht="21.95" customHeight="1" x14ac:dyDescent="0.15"/>
    <row r="42083" s="76" customFormat="1" ht="21.95" customHeight="1" x14ac:dyDescent="0.15"/>
    <row r="42084" s="76" customFormat="1" ht="21.95" customHeight="1" x14ac:dyDescent="0.15"/>
    <row r="42085" s="76" customFormat="1" ht="21.95" customHeight="1" x14ac:dyDescent="0.15"/>
    <row r="42086" s="76" customFormat="1" ht="21.95" customHeight="1" x14ac:dyDescent="0.15"/>
    <row r="42087" s="76" customFormat="1" ht="21.95" customHeight="1" x14ac:dyDescent="0.15"/>
    <row r="42088" s="76" customFormat="1" ht="21.95" customHeight="1" x14ac:dyDescent="0.15"/>
    <row r="42089" s="76" customFormat="1" ht="35.1" customHeight="1" x14ac:dyDescent="0.15"/>
    <row r="42090" s="76" customFormat="1" ht="21.95" customHeight="1" x14ac:dyDescent="0.15"/>
    <row r="42091" s="76" customFormat="1" ht="21.95" customHeight="1" x14ac:dyDescent="0.15"/>
    <row r="42092" s="76" customFormat="1" ht="21.95" customHeight="1" x14ac:dyDescent="0.15"/>
    <row r="42093" s="76" customFormat="1" ht="21.95" customHeight="1" x14ac:dyDescent="0.15"/>
    <row r="42094" s="76" customFormat="1" ht="21.95" customHeight="1" x14ac:dyDescent="0.15"/>
    <row r="42095" s="76" customFormat="1" ht="21.95" customHeight="1" x14ac:dyDescent="0.15"/>
    <row r="42096" s="76" customFormat="1" ht="21.95" customHeight="1" x14ac:dyDescent="0.15"/>
    <row r="42097" s="76" customFormat="1" ht="21.95" customHeight="1" x14ac:dyDescent="0.15"/>
    <row r="42098" s="76" customFormat="1" ht="21.95" customHeight="1" x14ac:dyDescent="0.15"/>
    <row r="42099" s="76" customFormat="1" ht="21.95" customHeight="1" x14ac:dyDescent="0.15"/>
    <row r="42100" s="76" customFormat="1" ht="21.95" customHeight="1" x14ac:dyDescent="0.15"/>
    <row r="42101" s="76" customFormat="1" ht="21.95" customHeight="1" x14ac:dyDescent="0.15"/>
    <row r="42102" s="76" customFormat="1" ht="21.95" customHeight="1" x14ac:dyDescent="0.15"/>
    <row r="42103" s="76" customFormat="1" ht="21.95" customHeight="1" x14ac:dyDescent="0.15"/>
    <row r="42104" s="76" customFormat="1" ht="21.95" customHeight="1" x14ac:dyDescent="0.15"/>
    <row r="42105" s="76" customFormat="1" ht="21.95" customHeight="1" x14ac:dyDescent="0.15"/>
    <row r="42106" s="76" customFormat="1" ht="21.95" customHeight="1" x14ac:dyDescent="0.15"/>
    <row r="42107" s="76" customFormat="1" ht="21.95" customHeight="1" x14ac:dyDescent="0.15"/>
    <row r="42108" s="76" customFormat="1" ht="21.95" customHeight="1" x14ac:dyDescent="0.15"/>
    <row r="42109" s="76" customFormat="1" ht="21.95" customHeight="1" x14ac:dyDescent="0.15"/>
    <row r="42110" s="76" customFormat="1" ht="21.95" customHeight="1" x14ac:dyDescent="0.15"/>
    <row r="42111" s="76" customFormat="1" ht="21.95" customHeight="1" x14ac:dyDescent="0.15"/>
    <row r="42112" s="76" customFormat="1" ht="21.95" customHeight="1" x14ac:dyDescent="0.15"/>
    <row r="42113" spans="3:3" customFormat="1" ht="21.95" customHeight="1" x14ac:dyDescent="0.15"/>
    <row r="42114" spans="3:3" customFormat="1" ht="21.95" customHeight="1" x14ac:dyDescent="0.15"/>
    <row r="42115" spans="3:3" customFormat="1" ht="21.95" customHeight="1" x14ac:dyDescent="0.15">
      <c r="C42115" s="94"/>
    </row>
    <row r="42116" spans="3:3" customFormat="1" ht="21.95" customHeight="1" x14ac:dyDescent="0.15">
      <c r="C42116" s="94"/>
    </row>
    <row r="42117" spans="3:3" customFormat="1" ht="21.95" customHeight="1" x14ac:dyDescent="0.15"/>
    <row r="42118" spans="3:3" customFormat="1" ht="21.95" customHeight="1" x14ac:dyDescent="0.15"/>
    <row r="42119" spans="3:3" customFormat="1" ht="21.95" customHeight="1" x14ac:dyDescent="0.15"/>
    <row r="42120" spans="3:3" customFormat="1" ht="21.95" customHeight="1" x14ac:dyDescent="0.15"/>
    <row r="42121" spans="3:3" customFormat="1" ht="21.95" customHeight="1" x14ac:dyDescent="0.15"/>
    <row r="42122" spans="3:3" customFormat="1" ht="21.95" customHeight="1" x14ac:dyDescent="0.15"/>
    <row r="42123" spans="3:3" customFormat="1" ht="21.95" customHeight="1" x14ac:dyDescent="0.15"/>
    <row r="42124" spans="3:3" s="76" customFormat="1" ht="21.95" customHeight="1" x14ac:dyDescent="0.15"/>
    <row r="42125" spans="3:3" s="76" customFormat="1" ht="21.95" customHeight="1" x14ac:dyDescent="0.15"/>
    <row r="42126" spans="3:3" s="76" customFormat="1" ht="21.95" customHeight="1" x14ac:dyDescent="0.15"/>
    <row r="42127" spans="3:3" s="76" customFormat="1" ht="21.95" customHeight="1" x14ac:dyDescent="0.15"/>
    <row r="42128" spans="3:3" customFormat="1" ht="21.95" customHeight="1" x14ac:dyDescent="0.15"/>
    <row r="42129" customFormat="1" ht="21.95" customHeight="1" x14ac:dyDescent="0.15"/>
    <row r="42130" customFormat="1" ht="21.95" customHeight="1" x14ac:dyDescent="0.15"/>
    <row r="42131" customFormat="1" ht="21.95" customHeight="1" x14ac:dyDescent="0.15"/>
    <row r="42132" customFormat="1" ht="21.95" customHeight="1" x14ac:dyDescent="0.15"/>
    <row r="42133" customFormat="1" ht="21.95" customHeight="1" x14ac:dyDescent="0.15"/>
    <row r="42134" customFormat="1" ht="21.95" customHeight="1" x14ac:dyDescent="0.15"/>
    <row r="42135" customFormat="1" ht="21.95" customHeight="1" x14ac:dyDescent="0.15"/>
    <row r="42136" customFormat="1" ht="21.95" customHeight="1" x14ac:dyDescent="0.15"/>
    <row r="42137" customFormat="1" ht="21.95" customHeight="1" x14ac:dyDescent="0.15"/>
    <row r="42138" customFormat="1" ht="21.95" customHeight="1" x14ac:dyDescent="0.15"/>
    <row r="42139" customFormat="1" ht="32.1" customHeight="1" x14ac:dyDescent="0.15"/>
    <row r="42140" customFormat="1" ht="32.1" customHeight="1" x14ac:dyDescent="0.15"/>
    <row r="42141" customFormat="1" ht="32.1" customHeight="1" x14ac:dyDescent="0.15"/>
    <row r="42142" customFormat="1" ht="32.1" customHeight="1" x14ac:dyDescent="0.15"/>
    <row r="42143" customFormat="1" ht="32.1" customHeight="1" x14ac:dyDescent="0.15"/>
    <row r="42144" customFormat="1" ht="32.1" customHeight="1" x14ac:dyDescent="0.15"/>
    <row r="42145" s="76" customFormat="1" ht="32.1" customHeight="1" x14ac:dyDescent="0.15"/>
    <row r="42146" s="76" customFormat="1" ht="32.1" customHeight="1" x14ac:dyDescent="0.15"/>
    <row r="42147" s="76" customFormat="1" ht="32.1" customHeight="1" x14ac:dyDescent="0.15"/>
    <row r="42148" s="76" customFormat="1" ht="32.1" customHeight="1" x14ac:dyDescent="0.15"/>
    <row r="42149" s="76" customFormat="1" ht="21.95" customHeight="1" x14ac:dyDescent="0.15"/>
    <row r="42150" s="76" customFormat="1" ht="54" customHeight="1" x14ac:dyDescent="0.15"/>
    <row r="42151" s="76" customFormat="1" ht="21.95" customHeight="1" x14ac:dyDescent="0.15"/>
    <row r="42152" s="76" customFormat="1" ht="21.95" customHeight="1" x14ac:dyDescent="0.15"/>
    <row r="42153" s="76" customFormat="1" ht="21.95" customHeight="1" x14ac:dyDescent="0.15"/>
    <row r="42154" s="76" customFormat="1" ht="21.95" customHeight="1" x14ac:dyDescent="0.15"/>
    <row r="42155" s="76" customFormat="1" ht="21.95" customHeight="1" x14ac:dyDescent="0.15"/>
    <row r="42156" s="76" customFormat="1" ht="21.95" customHeight="1" x14ac:dyDescent="0.15"/>
    <row r="42157" s="76" customFormat="1" ht="21.95" customHeight="1" x14ac:dyDescent="0.15"/>
    <row r="42158" s="76" customFormat="1" ht="21.95" customHeight="1" x14ac:dyDescent="0.15"/>
    <row r="42159" s="76" customFormat="1" ht="21.95" customHeight="1" x14ac:dyDescent="0.15"/>
    <row r="42160" s="76" customFormat="1" ht="21.95" customHeight="1" x14ac:dyDescent="0.15"/>
    <row r="42161" s="76" customFormat="1" ht="21.95" customHeight="1" x14ac:dyDescent="0.15"/>
    <row r="42162" s="76" customFormat="1" ht="21.95" customHeight="1" x14ac:dyDescent="0.15"/>
    <row r="42163" s="76" customFormat="1" ht="21.95" customHeight="1" x14ac:dyDescent="0.15"/>
    <row r="42164" s="76" customFormat="1" ht="21.95" customHeight="1" x14ac:dyDescent="0.15"/>
    <row r="42165" s="76" customFormat="1" ht="21.95" customHeight="1" x14ac:dyDescent="0.15"/>
    <row r="42166" s="76" customFormat="1" ht="21.95" customHeight="1" x14ac:dyDescent="0.15"/>
    <row r="42167" s="76" customFormat="1" ht="21.95" customHeight="1" x14ac:dyDescent="0.15"/>
    <row r="42168" s="76" customFormat="1" ht="21.95" customHeight="1" x14ac:dyDescent="0.15"/>
    <row r="42169" s="76" customFormat="1" ht="21.95" customHeight="1" x14ac:dyDescent="0.15"/>
    <row r="42170" s="76" customFormat="1" ht="21.95" customHeight="1" x14ac:dyDescent="0.15"/>
    <row r="42171" s="76" customFormat="1" ht="21.95" customHeight="1" x14ac:dyDescent="0.15"/>
    <row r="42172" s="76" customFormat="1" ht="21.95" customHeight="1" x14ac:dyDescent="0.15"/>
    <row r="42173" s="76" customFormat="1" ht="21.95" customHeight="1" x14ac:dyDescent="0.15"/>
    <row r="42174" s="76" customFormat="1" ht="21.95" customHeight="1" x14ac:dyDescent="0.15"/>
    <row r="42175" s="76" customFormat="1" ht="21.95" customHeight="1" x14ac:dyDescent="0.15"/>
    <row r="42176" s="76" customFormat="1" ht="21.95" customHeight="1" x14ac:dyDescent="0.15"/>
    <row r="42177" s="76" customFormat="1" ht="21.95" customHeight="1" x14ac:dyDescent="0.15"/>
    <row r="42178" s="76" customFormat="1" ht="21.95" customHeight="1" x14ac:dyDescent="0.15"/>
    <row r="42179" s="76" customFormat="1" ht="21.95" customHeight="1" x14ac:dyDescent="0.15"/>
    <row r="42180" s="76" customFormat="1" ht="21.95" customHeight="1" x14ac:dyDescent="0.15"/>
    <row r="42181" s="76" customFormat="1" ht="21.95" customHeight="1" x14ac:dyDescent="0.15"/>
    <row r="42182" s="76" customFormat="1" ht="21.95" customHeight="1" x14ac:dyDescent="0.15"/>
    <row r="42183" s="76" customFormat="1" ht="21.95" customHeight="1" x14ac:dyDescent="0.15"/>
    <row r="42184" s="76" customFormat="1" ht="21.95" customHeight="1" x14ac:dyDescent="0.15"/>
    <row r="42185" s="76" customFormat="1" ht="21.95" customHeight="1" x14ac:dyDescent="0.15"/>
    <row r="42186" s="76" customFormat="1" ht="21.95" customHeight="1" x14ac:dyDescent="0.15"/>
    <row r="42187" s="76" customFormat="1" ht="21.95" customHeight="1" x14ac:dyDescent="0.15"/>
    <row r="42188" s="76" customFormat="1" ht="21.95" customHeight="1" x14ac:dyDescent="0.15"/>
    <row r="42189" s="76" customFormat="1" ht="21.95" customHeight="1" x14ac:dyDescent="0.15"/>
    <row r="42190" s="76" customFormat="1" ht="21.95" customHeight="1" x14ac:dyDescent="0.15"/>
    <row r="42191" s="76" customFormat="1" ht="21.95" customHeight="1" x14ac:dyDescent="0.15"/>
    <row r="42192" s="76" customFormat="1" ht="21.95" customHeight="1" x14ac:dyDescent="0.15"/>
    <row r="42193" s="76" customFormat="1" ht="21.95" customHeight="1" x14ac:dyDescent="0.15"/>
    <row r="42194" s="76" customFormat="1" ht="21.95" customHeight="1" x14ac:dyDescent="0.15"/>
    <row r="42195" s="76" customFormat="1" ht="21.95" customHeight="1" x14ac:dyDescent="0.15"/>
    <row r="42196" s="76" customFormat="1" ht="21.95" customHeight="1" x14ac:dyDescent="0.15"/>
    <row r="42197" s="76" customFormat="1" ht="21.95" customHeight="1" x14ac:dyDescent="0.15"/>
    <row r="42198" s="76" customFormat="1" ht="21.95" customHeight="1" x14ac:dyDescent="0.15"/>
    <row r="42199" s="76" customFormat="1" ht="21.95" customHeight="1" x14ac:dyDescent="0.15"/>
    <row r="42200" s="76" customFormat="1" ht="21.95" customHeight="1" x14ac:dyDescent="0.15"/>
    <row r="42201" s="76" customFormat="1" ht="35.1" customHeight="1" x14ac:dyDescent="0.15"/>
    <row r="42202" s="76" customFormat="1" ht="21.95" customHeight="1" x14ac:dyDescent="0.15"/>
    <row r="42203" s="76" customFormat="1" ht="21.95" customHeight="1" x14ac:dyDescent="0.15"/>
    <row r="42204" s="76" customFormat="1" ht="21.95" customHeight="1" x14ac:dyDescent="0.15"/>
    <row r="42205" s="76" customFormat="1" ht="21.95" customHeight="1" x14ac:dyDescent="0.15"/>
    <row r="42206" s="76" customFormat="1" ht="21.95" customHeight="1" x14ac:dyDescent="0.15"/>
    <row r="42207" s="76" customFormat="1" ht="21.95" customHeight="1" x14ac:dyDescent="0.15"/>
    <row r="42208" s="76" customFormat="1" ht="21.95" customHeight="1" x14ac:dyDescent="0.15"/>
    <row r="42209" s="76" customFormat="1" ht="21.95" customHeight="1" x14ac:dyDescent="0.15"/>
    <row r="42210" s="76" customFormat="1" ht="21.95" customHeight="1" x14ac:dyDescent="0.15"/>
    <row r="42211" s="76" customFormat="1" ht="21.95" customHeight="1" x14ac:dyDescent="0.15"/>
    <row r="42212" s="76" customFormat="1" ht="21.95" customHeight="1" x14ac:dyDescent="0.15"/>
    <row r="42213" s="76" customFormat="1" ht="21.95" customHeight="1" x14ac:dyDescent="0.15"/>
    <row r="42214" s="76" customFormat="1" ht="21.95" customHeight="1" x14ac:dyDescent="0.15"/>
    <row r="42215" s="76" customFormat="1" ht="21.95" customHeight="1" x14ac:dyDescent="0.15"/>
    <row r="42216" s="76" customFormat="1" ht="21.95" customHeight="1" x14ac:dyDescent="0.15"/>
    <row r="42217" s="76" customFormat="1" ht="21.95" customHeight="1" x14ac:dyDescent="0.15"/>
    <row r="42218" s="76" customFormat="1" ht="21.95" customHeight="1" x14ac:dyDescent="0.15"/>
    <row r="42219" s="76" customFormat="1" ht="21.95" customHeight="1" x14ac:dyDescent="0.15"/>
    <row r="42220" s="76" customFormat="1" ht="21.95" customHeight="1" x14ac:dyDescent="0.15"/>
    <row r="42221" s="76" customFormat="1" ht="21.95" customHeight="1" x14ac:dyDescent="0.15"/>
    <row r="42222" s="76" customFormat="1" ht="21.95" customHeight="1" x14ac:dyDescent="0.15"/>
    <row r="42223" s="76" customFormat="1" ht="21.95" customHeight="1" x14ac:dyDescent="0.15"/>
    <row r="42224" s="76" customFormat="1" ht="21.95" customHeight="1" x14ac:dyDescent="0.15"/>
    <row r="42225" spans="3:3" customFormat="1" ht="21.95" customHeight="1" x14ac:dyDescent="0.15"/>
    <row r="42226" spans="3:3" customFormat="1" ht="21.95" customHeight="1" x14ac:dyDescent="0.15"/>
    <row r="42227" spans="3:3" customFormat="1" ht="21.95" customHeight="1" x14ac:dyDescent="0.15">
      <c r="C42227" s="94"/>
    </row>
    <row r="42228" spans="3:3" customFormat="1" ht="21.95" customHeight="1" x14ac:dyDescent="0.15">
      <c r="C42228" s="94"/>
    </row>
    <row r="42229" spans="3:3" customFormat="1" ht="21.95" customHeight="1" x14ac:dyDescent="0.15"/>
    <row r="42230" spans="3:3" customFormat="1" ht="21.95" customHeight="1" x14ac:dyDescent="0.15"/>
    <row r="42231" spans="3:3" customFormat="1" ht="21.95" customHeight="1" x14ac:dyDescent="0.15"/>
    <row r="42232" spans="3:3" customFormat="1" ht="21.95" customHeight="1" x14ac:dyDescent="0.15"/>
    <row r="42233" spans="3:3" customFormat="1" ht="21.95" customHeight="1" x14ac:dyDescent="0.15"/>
    <row r="42234" spans="3:3" customFormat="1" ht="21.95" customHeight="1" x14ac:dyDescent="0.15"/>
    <row r="42235" spans="3:3" customFormat="1" ht="21.95" customHeight="1" x14ac:dyDescent="0.15"/>
    <row r="42236" spans="3:3" s="76" customFormat="1" ht="21.95" customHeight="1" x14ac:dyDescent="0.15"/>
    <row r="42237" spans="3:3" s="76" customFormat="1" ht="21.95" customHeight="1" x14ac:dyDescent="0.15"/>
    <row r="42238" spans="3:3" s="76" customFormat="1" ht="21.95" customHeight="1" x14ac:dyDescent="0.15"/>
    <row r="42239" spans="3:3" s="76" customFormat="1" ht="21.95" customHeight="1" x14ac:dyDescent="0.15"/>
    <row r="42240" spans="3:3" customFormat="1" ht="21.95" customHeight="1" x14ac:dyDescent="0.15"/>
    <row r="42241" customFormat="1" ht="21.95" customHeight="1" x14ac:dyDescent="0.15"/>
    <row r="42242" customFormat="1" ht="21.95" customHeight="1" x14ac:dyDescent="0.15"/>
    <row r="42243" customFormat="1" ht="21.95" customHeight="1" x14ac:dyDescent="0.15"/>
    <row r="42244" customFormat="1" ht="21.95" customHeight="1" x14ac:dyDescent="0.15"/>
    <row r="42245" customFormat="1" ht="21.95" customHeight="1" x14ac:dyDescent="0.15"/>
    <row r="42246" customFormat="1" ht="21.95" customHeight="1" x14ac:dyDescent="0.15"/>
    <row r="42247" customFormat="1" ht="21.95" customHeight="1" x14ac:dyDescent="0.15"/>
    <row r="42248" customFormat="1" ht="21.95" customHeight="1" x14ac:dyDescent="0.15"/>
    <row r="42249" customFormat="1" ht="21.95" customHeight="1" x14ac:dyDescent="0.15"/>
    <row r="42250" customFormat="1" ht="21.95" customHeight="1" x14ac:dyDescent="0.15"/>
    <row r="42251" customFormat="1" ht="32.1" customHeight="1" x14ac:dyDescent="0.15"/>
    <row r="42252" customFormat="1" ht="32.1" customHeight="1" x14ac:dyDescent="0.15"/>
    <row r="42253" customFormat="1" ht="32.1" customHeight="1" x14ac:dyDescent="0.15"/>
    <row r="42254" customFormat="1" ht="32.1" customHeight="1" x14ac:dyDescent="0.15"/>
    <row r="42255" customFormat="1" ht="32.1" customHeight="1" x14ac:dyDescent="0.15"/>
    <row r="42256" customFormat="1" ht="32.1" customHeight="1" x14ac:dyDescent="0.15"/>
    <row r="42257" s="76" customFormat="1" ht="32.1" customHeight="1" x14ac:dyDescent="0.15"/>
    <row r="42258" s="76" customFormat="1" ht="32.1" customHeight="1" x14ac:dyDescent="0.15"/>
    <row r="42259" s="76" customFormat="1" ht="32.1" customHeight="1" x14ac:dyDescent="0.15"/>
    <row r="42260" s="76" customFormat="1" ht="32.1" customHeight="1" x14ac:dyDescent="0.15"/>
    <row r="42261" s="76" customFormat="1" ht="21.95" customHeight="1" x14ac:dyDescent="0.15"/>
    <row r="42262" s="76" customFormat="1" ht="54" customHeight="1" x14ac:dyDescent="0.15"/>
    <row r="42263" s="76" customFormat="1" ht="21.95" customHeight="1" x14ac:dyDescent="0.15"/>
    <row r="42264" s="76" customFormat="1" ht="21.95" customHeight="1" x14ac:dyDescent="0.15"/>
    <row r="42265" s="76" customFormat="1" ht="21.95" customHeight="1" x14ac:dyDescent="0.15"/>
    <row r="42266" s="76" customFormat="1" ht="21.95" customHeight="1" x14ac:dyDescent="0.15"/>
    <row r="42267" s="76" customFormat="1" ht="21.95" customHeight="1" x14ac:dyDescent="0.15"/>
    <row r="42268" s="76" customFormat="1" ht="21.95" customHeight="1" x14ac:dyDescent="0.15"/>
    <row r="42269" s="76" customFormat="1" ht="21.95" customHeight="1" x14ac:dyDescent="0.15"/>
    <row r="42270" s="76" customFormat="1" ht="21.95" customHeight="1" x14ac:dyDescent="0.15"/>
    <row r="42271" s="76" customFormat="1" ht="21.95" customHeight="1" x14ac:dyDescent="0.15"/>
    <row r="42272" s="76" customFormat="1" ht="21.95" customHeight="1" x14ac:dyDescent="0.15"/>
    <row r="42273" s="76" customFormat="1" ht="21.95" customHeight="1" x14ac:dyDescent="0.15"/>
    <row r="42274" s="76" customFormat="1" ht="21.95" customHeight="1" x14ac:dyDescent="0.15"/>
    <row r="42275" s="76" customFormat="1" ht="21.95" customHeight="1" x14ac:dyDescent="0.15"/>
    <row r="42276" s="76" customFormat="1" ht="21.95" customHeight="1" x14ac:dyDescent="0.15"/>
    <row r="42277" s="76" customFormat="1" ht="21.95" customHeight="1" x14ac:dyDescent="0.15"/>
    <row r="42278" s="76" customFormat="1" ht="21.95" customHeight="1" x14ac:dyDescent="0.15"/>
    <row r="42279" s="76" customFormat="1" ht="21.95" customHeight="1" x14ac:dyDescent="0.15"/>
    <row r="42280" s="76" customFormat="1" ht="21.95" customHeight="1" x14ac:dyDescent="0.15"/>
    <row r="42281" s="76" customFormat="1" ht="21.95" customHeight="1" x14ac:dyDescent="0.15"/>
    <row r="42282" s="76" customFormat="1" ht="21.95" customHeight="1" x14ac:dyDescent="0.15"/>
    <row r="42283" s="76" customFormat="1" ht="21.95" customHeight="1" x14ac:dyDescent="0.15"/>
    <row r="42284" s="76" customFormat="1" ht="21.95" customHeight="1" x14ac:dyDescent="0.15"/>
    <row r="42285" s="76" customFormat="1" ht="21.95" customHeight="1" x14ac:dyDescent="0.15"/>
    <row r="42286" s="76" customFormat="1" ht="21.95" customHeight="1" x14ac:dyDescent="0.15"/>
    <row r="42287" s="76" customFormat="1" ht="21.95" customHeight="1" x14ac:dyDescent="0.15"/>
    <row r="42288" s="76" customFormat="1" ht="21.95" customHeight="1" x14ac:dyDescent="0.15"/>
    <row r="42289" s="76" customFormat="1" ht="21.95" customHeight="1" x14ac:dyDescent="0.15"/>
    <row r="42290" s="76" customFormat="1" ht="21.95" customHeight="1" x14ac:dyDescent="0.15"/>
    <row r="42291" s="76" customFormat="1" ht="21.95" customHeight="1" x14ac:dyDescent="0.15"/>
    <row r="42292" s="76" customFormat="1" ht="21.95" customHeight="1" x14ac:dyDescent="0.15"/>
    <row r="42293" s="76" customFormat="1" ht="21.95" customHeight="1" x14ac:dyDescent="0.15"/>
    <row r="42294" s="76" customFormat="1" ht="21.95" customHeight="1" x14ac:dyDescent="0.15"/>
    <row r="42295" s="76" customFormat="1" ht="21.95" customHeight="1" x14ac:dyDescent="0.15"/>
    <row r="42296" s="76" customFormat="1" ht="21.95" customHeight="1" x14ac:dyDescent="0.15"/>
    <row r="42297" s="76" customFormat="1" ht="21.95" customHeight="1" x14ac:dyDescent="0.15"/>
    <row r="42298" s="76" customFormat="1" ht="21.95" customHeight="1" x14ac:dyDescent="0.15"/>
    <row r="42299" s="76" customFormat="1" ht="21.95" customHeight="1" x14ac:dyDescent="0.15"/>
    <row r="42300" s="76" customFormat="1" ht="21.95" customHeight="1" x14ac:dyDescent="0.15"/>
    <row r="42301" s="76" customFormat="1" ht="21.95" customHeight="1" x14ac:dyDescent="0.15"/>
    <row r="42302" s="76" customFormat="1" ht="21.95" customHeight="1" x14ac:dyDescent="0.15"/>
    <row r="42303" s="76" customFormat="1" ht="21.95" customHeight="1" x14ac:dyDescent="0.15"/>
    <row r="42304" s="76" customFormat="1" ht="21.95" customHeight="1" x14ac:dyDescent="0.15"/>
    <row r="42305" s="76" customFormat="1" ht="21.95" customHeight="1" x14ac:dyDescent="0.15"/>
    <row r="42306" s="76" customFormat="1" ht="21.95" customHeight="1" x14ac:dyDescent="0.15"/>
    <row r="42307" s="76" customFormat="1" ht="21.95" customHeight="1" x14ac:dyDescent="0.15"/>
    <row r="42308" s="76" customFormat="1" ht="21.95" customHeight="1" x14ac:dyDescent="0.15"/>
    <row r="42309" s="76" customFormat="1" ht="21.95" customHeight="1" x14ac:dyDescent="0.15"/>
    <row r="42310" s="76" customFormat="1" ht="21.95" customHeight="1" x14ac:dyDescent="0.15"/>
    <row r="42311" s="76" customFormat="1" ht="21.95" customHeight="1" x14ac:dyDescent="0.15"/>
    <row r="42312" s="76" customFormat="1" ht="21.95" customHeight="1" x14ac:dyDescent="0.15"/>
    <row r="42313" s="76" customFormat="1" ht="35.1" customHeight="1" x14ac:dyDescent="0.15"/>
    <row r="42314" s="76" customFormat="1" ht="21.95" customHeight="1" x14ac:dyDescent="0.15"/>
    <row r="42315" s="76" customFormat="1" ht="21.95" customHeight="1" x14ac:dyDescent="0.15"/>
    <row r="42316" s="76" customFormat="1" ht="21.95" customHeight="1" x14ac:dyDescent="0.15"/>
    <row r="42317" s="76" customFormat="1" ht="21.95" customHeight="1" x14ac:dyDescent="0.15"/>
    <row r="42318" s="76" customFormat="1" ht="21.95" customHeight="1" x14ac:dyDescent="0.15"/>
    <row r="42319" s="76" customFormat="1" ht="21.95" customHeight="1" x14ac:dyDescent="0.15"/>
    <row r="42320" s="76" customFormat="1" ht="21.95" customHeight="1" x14ac:dyDescent="0.15"/>
    <row r="42321" s="76" customFormat="1" ht="21.95" customHeight="1" x14ac:dyDescent="0.15"/>
    <row r="42322" s="76" customFormat="1" ht="21.95" customHeight="1" x14ac:dyDescent="0.15"/>
    <row r="42323" s="76" customFormat="1" ht="21.95" customHeight="1" x14ac:dyDescent="0.15"/>
    <row r="42324" s="76" customFormat="1" ht="21.95" customHeight="1" x14ac:dyDescent="0.15"/>
    <row r="42325" s="76" customFormat="1" ht="21.95" customHeight="1" x14ac:dyDescent="0.15"/>
    <row r="42326" s="76" customFormat="1" ht="21.95" customHeight="1" x14ac:dyDescent="0.15"/>
    <row r="42327" s="76" customFormat="1" ht="21.95" customHeight="1" x14ac:dyDescent="0.15"/>
    <row r="42328" s="76" customFormat="1" ht="21.95" customHeight="1" x14ac:dyDescent="0.15"/>
    <row r="42329" s="76" customFormat="1" ht="21.95" customHeight="1" x14ac:dyDescent="0.15"/>
    <row r="42330" s="76" customFormat="1" ht="21.95" customHeight="1" x14ac:dyDescent="0.15"/>
    <row r="42331" s="76" customFormat="1" ht="21.95" customHeight="1" x14ac:dyDescent="0.15"/>
    <row r="42332" s="76" customFormat="1" ht="21.95" customHeight="1" x14ac:dyDescent="0.15"/>
    <row r="42333" s="76" customFormat="1" ht="21.95" customHeight="1" x14ac:dyDescent="0.15"/>
    <row r="42334" s="76" customFormat="1" ht="21.95" customHeight="1" x14ac:dyDescent="0.15"/>
    <row r="42335" s="76" customFormat="1" ht="21.95" customHeight="1" x14ac:dyDescent="0.15"/>
    <row r="42336" s="76" customFormat="1" ht="21.95" customHeight="1" x14ac:dyDescent="0.15"/>
    <row r="42337" spans="3:3" customFormat="1" ht="21.95" customHeight="1" x14ac:dyDescent="0.15"/>
    <row r="42338" spans="3:3" customFormat="1" ht="21.95" customHeight="1" x14ac:dyDescent="0.15"/>
    <row r="42339" spans="3:3" customFormat="1" ht="21.95" customHeight="1" x14ac:dyDescent="0.15">
      <c r="C42339" s="94"/>
    </row>
    <row r="42340" spans="3:3" customFormat="1" ht="21.95" customHeight="1" x14ac:dyDescent="0.15">
      <c r="C42340" s="94"/>
    </row>
    <row r="42341" spans="3:3" customFormat="1" ht="21.95" customHeight="1" x14ac:dyDescent="0.15"/>
    <row r="42342" spans="3:3" customFormat="1" ht="21.95" customHeight="1" x14ac:dyDescent="0.15"/>
    <row r="42343" spans="3:3" customFormat="1" ht="21.95" customHeight="1" x14ac:dyDescent="0.15"/>
    <row r="42344" spans="3:3" customFormat="1" ht="21.95" customHeight="1" x14ac:dyDescent="0.15"/>
    <row r="42345" spans="3:3" customFormat="1" ht="21.95" customHeight="1" x14ac:dyDescent="0.15"/>
    <row r="42346" spans="3:3" customFormat="1" ht="21.95" customHeight="1" x14ac:dyDescent="0.15"/>
    <row r="42347" spans="3:3" customFormat="1" ht="21.95" customHeight="1" x14ac:dyDescent="0.15"/>
    <row r="42348" spans="3:3" s="76" customFormat="1" ht="21.95" customHeight="1" x14ac:dyDescent="0.15"/>
    <row r="42349" spans="3:3" s="76" customFormat="1" ht="21.95" customHeight="1" x14ac:dyDescent="0.15"/>
    <row r="42350" spans="3:3" s="76" customFormat="1" ht="21.95" customHeight="1" x14ac:dyDescent="0.15"/>
    <row r="42351" spans="3:3" s="76" customFormat="1" ht="21.95" customHeight="1" x14ac:dyDescent="0.15"/>
    <row r="42352" spans="3:3" customFormat="1" ht="21.95" customHeight="1" x14ac:dyDescent="0.15"/>
    <row r="42353" customFormat="1" ht="21.95" customHeight="1" x14ac:dyDescent="0.15"/>
    <row r="42354" customFormat="1" ht="21.95" customHeight="1" x14ac:dyDescent="0.15"/>
    <row r="42355" customFormat="1" ht="21.95" customHeight="1" x14ac:dyDescent="0.15"/>
    <row r="42356" customFormat="1" ht="21.95" customHeight="1" x14ac:dyDescent="0.15"/>
    <row r="42357" customFormat="1" ht="21.95" customHeight="1" x14ac:dyDescent="0.15"/>
    <row r="42358" customFormat="1" ht="21.95" customHeight="1" x14ac:dyDescent="0.15"/>
    <row r="42359" customFormat="1" ht="21.95" customHeight="1" x14ac:dyDescent="0.15"/>
    <row r="42360" customFormat="1" ht="21.95" customHeight="1" x14ac:dyDescent="0.15"/>
    <row r="42361" customFormat="1" ht="21.95" customHeight="1" x14ac:dyDescent="0.15"/>
    <row r="42362" customFormat="1" ht="21.95" customHeight="1" x14ac:dyDescent="0.15"/>
    <row r="42363" customFormat="1" ht="32.1" customHeight="1" x14ac:dyDescent="0.15"/>
    <row r="42364" customFormat="1" ht="32.1" customHeight="1" x14ac:dyDescent="0.15"/>
    <row r="42365" customFormat="1" ht="32.1" customHeight="1" x14ac:dyDescent="0.15"/>
    <row r="42366" customFormat="1" ht="32.1" customHeight="1" x14ac:dyDescent="0.15"/>
    <row r="42367" customFormat="1" ht="32.1" customHeight="1" x14ac:dyDescent="0.15"/>
    <row r="42368" customFormat="1" ht="32.1" customHeight="1" x14ac:dyDescent="0.15"/>
    <row r="42369" s="76" customFormat="1" ht="32.1" customHeight="1" x14ac:dyDescent="0.15"/>
    <row r="42370" s="76" customFormat="1" ht="32.1" customHeight="1" x14ac:dyDescent="0.15"/>
    <row r="42371" s="76" customFormat="1" ht="32.1" customHeight="1" x14ac:dyDescent="0.15"/>
    <row r="42372" s="76" customFormat="1" ht="32.1" customHeight="1" x14ac:dyDescent="0.15"/>
    <row r="42373" s="76" customFormat="1" ht="21.95" customHeight="1" x14ac:dyDescent="0.15"/>
    <row r="42374" s="76" customFormat="1" ht="54" customHeight="1" x14ac:dyDescent="0.15"/>
    <row r="42375" s="76" customFormat="1" ht="21.95" customHeight="1" x14ac:dyDescent="0.15"/>
    <row r="42376" s="76" customFormat="1" ht="21.95" customHeight="1" x14ac:dyDescent="0.15"/>
    <row r="42377" s="76" customFormat="1" ht="21.95" customHeight="1" x14ac:dyDescent="0.15"/>
    <row r="42378" s="76" customFormat="1" ht="21.95" customHeight="1" x14ac:dyDescent="0.15"/>
    <row r="42379" s="76" customFormat="1" ht="21.95" customHeight="1" x14ac:dyDescent="0.15"/>
    <row r="42380" s="76" customFormat="1" ht="21.95" customHeight="1" x14ac:dyDescent="0.15"/>
    <row r="42381" s="76" customFormat="1" ht="21.95" customHeight="1" x14ac:dyDescent="0.15"/>
    <row r="42382" s="76" customFormat="1" ht="21.95" customHeight="1" x14ac:dyDescent="0.15"/>
    <row r="42383" s="76" customFormat="1" ht="21.95" customHeight="1" x14ac:dyDescent="0.15"/>
    <row r="42384" s="76" customFormat="1" ht="21.95" customHeight="1" x14ac:dyDescent="0.15"/>
    <row r="42385" s="76" customFormat="1" ht="21.95" customHeight="1" x14ac:dyDescent="0.15"/>
    <row r="42386" s="76" customFormat="1" ht="21.95" customHeight="1" x14ac:dyDescent="0.15"/>
    <row r="42387" s="76" customFormat="1" ht="21.95" customHeight="1" x14ac:dyDescent="0.15"/>
    <row r="42388" s="76" customFormat="1" ht="21.95" customHeight="1" x14ac:dyDescent="0.15"/>
    <row r="42389" s="76" customFormat="1" ht="21.95" customHeight="1" x14ac:dyDescent="0.15"/>
    <row r="42390" s="76" customFormat="1" ht="21.95" customHeight="1" x14ac:dyDescent="0.15"/>
    <row r="42391" s="76" customFormat="1" ht="21.95" customHeight="1" x14ac:dyDescent="0.15"/>
    <row r="42392" s="76" customFormat="1" ht="21.95" customHeight="1" x14ac:dyDescent="0.15"/>
    <row r="42393" s="76" customFormat="1" ht="21.95" customHeight="1" x14ac:dyDescent="0.15"/>
    <row r="42394" s="76" customFormat="1" ht="21.95" customHeight="1" x14ac:dyDescent="0.15"/>
    <row r="42395" s="76" customFormat="1" ht="21.95" customHeight="1" x14ac:dyDescent="0.15"/>
    <row r="42396" s="76" customFormat="1" ht="21.95" customHeight="1" x14ac:dyDescent="0.15"/>
    <row r="42397" s="76" customFormat="1" ht="21.95" customHeight="1" x14ac:dyDescent="0.15"/>
    <row r="42398" s="76" customFormat="1" ht="21.95" customHeight="1" x14ac:dyDescent="0.15"/>
    <row r="42399" s="76" customFormat="1" ht="21.95" customHeight="1" x14ac:dyDescent="0.15"/>
    <row r="42400" s="76" customFormat="1" ht="21.95" customHeight="1" x14ac:dyDescent="0.15"/>
    <row r="42401" s="76" customFormat="1" ht="21.95" customHeight="1" x14ac:dyDescent="0.15"/>
    <row r="42402" s="76" customFormat="1" ht="21.95" customHeight="1" x14ac:dyDescent="0.15"/>
    <row r="42403" s="76" customFormat="1" ht="21.95" customHeight="1" x14ac:dyDescent="0.15"/>
    <row r="42404" s="76" customFormat="1" ht="21.95" customHeight="1" x14ac:dyDescent="0.15"/>
    <row r="42405" s="76" customFormat="1" ht="21.95" customHeight="1" x14ac:dyDescent="0.15"/>
    <row r="42406" s="76" customFormat="1" ht="21.95" customHeight="1" x14ac:dyDescent="0.15"/>
    <row r="42407" s="76" customFormat="1" ht="21.95" customHeight="1" x14ac:dyDescent="0.15"/>
    <row r="42408" s="76" customFormat="1" ht="21.95" customHeight="1" x14ac:dyDescent="0.15"/>
    <row r="42409" s="76" customFormat="1" ht="21.95" customHeight="1" x14ac:dyDescent="0.15"/>
    <row r="42410" s="76" customFormat="1" ht="21.95" customHeight="1" x14ac:dyDescent="0.15"/>
    <row r="42411" s="76" customFormat="1" ht="21.95" customHeight="1" x14ac:dyDescent="0.15"/>
    <row r="42412" s="76" customFormat="1" ht="21.95" customHeight="1" x14ac:dyDescent="0.15"/>
    <row r="42413" s="76" customFormat="1" ht="21.95" customHeight="1" x14ac:dyDescent="0.15"/>
    <row r="42414" s="76" customFormat="1" ht="21.95" customHeight="1" x14ac:dyDescent="0.15"/>
    <row r="42415" s="76" customFormat="1" ht="21.95" customHeight="1" x14ac:dyDescent="0.15"/>
    <row r="42416" s="76" customFormat="1" ht="21.95" customHeight="1" x14ac:dyDescent="0.15"/>
    <row r="42417" s="76" customFormat="1" ht="21.95" customHeight="1" x14ac:dyDescent="0.15"/>
    <row r="42418" s="76" customFormat="1" ht="21.95" customHeight="1" x14ac:dyDescent="0.15"/>
    <row r="42419" s="76" customFormat="1" ht="21.95" customHeight="1" x14ac:dyDescent="0.15"/>
    <row r="42420" s="76" customFormat="1" ht="21.95" customHeight="1" x14ac:dyDescent="0.15"/>
    <row r="42421" s="76" customFormat="1" ht="21.95" customHeight="1" x14ac:dyDescent="0.15"/>
    <row r="42422" s="76" customFormat="1" ht="21.95" customHeight="1" x14ac:dyDescent="0.15"/>
    <row r="42423" s="76" customFormat="1" ht="21.95" customHeight="1" x14ac:dyDescent="0.15"/>
    <row r="42424" s="76" customFormat="1" ht="21.95" customHeight="1" x14ac:dyDescent="0.15"/>
    <row r="42425" s="76" customFormat="1" ht="35.1" customHeight="1" x14ac:dyDescent="0.15"/>
    <row r="42426" s="76" customFormat="1" ht="21.95" customHeight="1" x14ac:dyDescent="0.15"/>
    <row r="42427" s="76" customFormat="1" ht="21.95" customHeight="1" x14ac:dyDescent="0.15"/>
    <row r="42428" s="76" customFormat="1" ht="21.95" customHeight="1" x14ac:dyDescent="0.15"/>
    <row r="42429" s="76" customFormat="1" ht="21.95" customHeight="1" x14ac:dyDescent="0.15"/>
    <row r="42430" s="76" customFormat="1" ht="21.95" customHeight="1" x14ac:dyDescent="0.15"/>
    <row r="42431" s="76" customFormat="1" ht="21.95" customHeight="1" x14ac:dyDescent="0.15"/>
    <row r="42432" s="76" customFormat="1" ht="21.95" customHeight="1" x14ac:dyDescent="0.15"/>
    <row r="42433" s="76" customFormat="1" ht="21.95" customHeight="1" x14ac:dyDescent="0.15"/>
    <row r="42434" s="76" customFormat="1" ht="21.95" customHeight="1" x14ac:dyDescent="0.15"/>
    <row r="42435" s="76" customFormat="1" ht="21.95" customHeight="1" x14ac:dyDescent="0.15"/>
    <row r="42436" s="76" customFormat="1" ht="21.95" customHeight="1" x14ac:dyDescent="0.15"/>
    <row r="42437" s="76" customFormat="1" ht="21.95" customHeight="1" x14ac:dyDescent="0.15"/>
    <row r="42438" s="76" customFormat="1" ht="21.95" customHeight="1" x14ac:dyDescent="0.15"/>
    <row r="42439" s="76" customFormat="1" ht="21.95" customHeight="1" x14ac:dyDescent="0.15"/>
    <row r="42440" s="76" customFormat="1" ht="21.95" customHeight="1" x14ac:dyDescent="0.15"/>
    <row r="42441" s="76" customFormat="1" ht="21.95" customHeight="1" x14ac:dyDescent="0.15"/>
    <row r="42442" s="76" customFormat="1" ht="21.95" customHeight="1" x14ac:dyDescent="0.15"/>
    <row r="42443" s="76" customFormat="1" ht="21.95" customHeight="1" x14ac:dyDescent="0.15"/>
    <row r="42444" s="76" customFormat="1" ht="21.95" customHeight="1" x14ac:dyDescent="0.15"/>
    <row r="42445" s="76" customFormat="1" ht="21.95" customHeight="1" x14ac:dyDescent="0.15"/>
    <row r="42446" s="76" customFormat="1" ht="21.95" customHeight="1" x14ac:dyDescent="0.15"/>
    <row r="42447" s="76" customFormat="1" ht="21.95" customHeight="1" x14ac:dyDescent="0.15"/>
    <row r="42448" s="76" customFormat="1" ht="21.95" customHeight="1" x14ac:dyDescent="0.15"/>
    <row r="42449" spans="3:3" customFormat="1" ht="21.95" customHeight="1" x14ac:dyDescent="0.15"/>
    <row r="42450" spans="3:3" customFormat="1" ht="21.95" customHeight="1" x14ac:dyDescent="0.15"/>
    <row r="42451" spans="3:3" customFormat="1" ht="21.95" customHeight="1" x14ac:dyDescent="0.15">
      <c r="C42451" s="94"/>
    </row>
    <row r="42452" spans="3:3" customFormat="1" ht="21.95" customHeight="1" x14ac:dyDescent="0.15">
      <c r="C42452" s="94"/>
    </row>
    <row r="42453" spans="3:3" customFormat="1" ht="21.95" customHeight="1" x14ac:dyDescent="0.15"/>
    <row r="42454" spans="3:3" customFormat="1" ht="21.95" customHeight="1" x14ac:dyDescent="0.15"/>
    <row r="42455" spans="3:3" customFormat="1" ht="21.95" customHeight="1" x14ac:dyDescent="0.15"/>
    <row r="42456" spans="3:3" customFormat="1" ht="21.95" customHeight="1" x14ac:dyDescent="0.15"/>
    <row r="42457" spans="3:3" customFormat="1" ht="21.95" customHeight="1" x14ac:dyDescent="0.15"/>
    <row r="42458" spans="3:3" customFormat="1" ht="21.95" customHeight="1" x14ac:dyDescent="0.15"/>
    <row r="42459" spans="3:3" customFormat="1" ht="21.95" customHeight="1" x14ac:dyDescent="0.15"/>
    <row r="42460" spans="3:3" s="76" customFormat="1" ht="21.95" customHeight="1" x14ac:dyDescent="0.15"/>
    <row r="42461" spans="3:3" s="76" customFormat="1" ht="21.95" customHeight="1" x14ac:dyDescent="0.15"/>
    <row r="42462" spans="3:3" s="76" customFormat="1" ht="21.95" customHeight="1" x14ac:dyDescent="0.15"/>
    <row r="42463" spans="3:3" s="76" customFormat="1" ht="21.95" customHeight="1" x14ac:dyDescent="0.15"/>
    <row r="42464" spans="3:3" customFormat="1" ht="21.95" customHeight="1" x14ac:dyDescent="0.15"/>
    <row r="42465" customFormat="1" ht="21.95" customHeight="1" x14ac:dyDescent="0.15"/>
    <row r="42466" customFormat="1" ht="21.95" customHeight="1" x14ac:dyDescent="0.15"/>
    <row r="42467" customFormat="1" ht="21.95" customHeight="1" x14ac:dyDescent="0.15"/>
    <row r="42468" customFormat="1" ht="21.95" customHeight="1" x14ac:dyDescent="0.15"/>
    <row r="42469" customFormat="1" ht="21.95" customHeight="1" x14ac:dyDescent="0.15"/>
    <row r="42470" customFormat="1" ht="21.95" customHeight="1" x14ac:dyDescent="0.15"/>
    <row r="42471" customFormat="1" ht="21.95" customHeight="1" x14ac:dyDescent="0.15"/>
    <row r="42472" customFormat="1" ht="21.95" customHeight="1" x14ac:dyDescent="0.15"/>
    <row r="42473" customFormat="1" ht="21.95" customHeight="1" x14ac:dyDescent="0.15"/>
    <row r="42474" customFormat="1" ht="21.95" customHeight="1" x14ac:dyDescent="0.15"/>
    <row r="42475" customFormat="1" ht="32.1" customHeight="1" x14ac:dyDescent="0.15"/>
    <row r="42476" customFormat="1" ht="32.1" customHeight="1" x14ac:dyDescent="0.15"/>
    <row r="42477" customFormat="1" ht="32.1" customHeight="1" x14ac:dyDescent="0.15"/>
    <row r="42478" customFormat="1" ht="32.1" customHeight="1" x14ac:dyDescent="0.15"/>
    <row r="42479" customFormat="1" ht="32.1" customHeight="1" x14ac:dyDescent="0.15"/>
    <row r="42480" customFormat="1" ht="32.1" customHeight="1" x14ac:dyDescent="0.15"/>
    <row r="42481" s="76" customFormat="1" ht="32.1" customHeight="1" x14ac:dyDescent="0.15"/>
    <row r="42482" s="76" customFormat="1" ht="32.1" customHeight="1" x14ac:dyDescent="0.15"/>
    <row r="42483" s="76" customFormat="1" ht="32.1" customHeight="1" x14ac:dyDescent="0.15"/>
    <row r="42484" s="76" customFormat="1" ht="32.1" customHeight="1" x14ac:dyDescent="0.15"/>
    <row r="42485" s="76" customFormat="1" ht="21.95" customHeight="1" x14ac:dyDescent="0.15"/>
    <row r="42486" s="76" customFormat="1" ht="54" customHeight="1" x14ac:dyDescent="0.15"/>
    <row r="42487" s="76" customFormat="1" ht="21.95" customHeight="1" x14ac:dyDescent="0.15"/>
    <row r="42488" s="76" customFormat="1" ht="21.95" customHeight="1" x14ac:dyDescent="0.15"/>
    <row r="42489" s="76" customFormat="1" ht="21.95" customHeight="1" x14ac:dyDescent="0.15"/>
    <row r="42490" s="76" customFormat="1" ht="21.95" customHeight="1" x14ac:dyDescent="0.15"/>
    <row r="42491" s="76" customFormat="1" ht="21.95" customHeight="1" x14ac:dyDescent="0.15"/>
    <row r="42492" s="76" customFormat="1" ht="21.95" customHeight="1" x14ac:dyDescent="0.15"/>
    <row r="42493" s="76" customFormat="1" ht="21.95" customHeight="1" x14ac:dyDescent="0.15"/>
    <row r="42494" s="76" customFormat="1" ht="21.95" customHeight="1" x14ac:dyDescent="0.15"/>
    <row r="42495" s="76" customFormat="1" ht="21.95" customHeight="1" x14ac:dyDescent="0.15"/>
    <row r="42496" s="76" customFormat="1" ht="21.95" customHeight="1" x14ac:dyDescent="0.15"/>
    <row r="42497" s="76" customFormat="1" ht="21.95" customHeight="1" x14ac:dyDescent="0.15"/>
    <row r="42498" s="76" customFormat="1" ht="21.95" customHeight="1" x14ac:dyDescent="0.15"/>
    <row r="42499" s="76" customFormat="1" ht="21.95" customHeight="1" x14ac:dyDescent="0.15"/>
    <row r="42500" s="76" customFormat="1" ht="21.95" customHeight="1" x14ac:dyDescent="0.15"/>
    <row r="42501" s="76" customFormat="1" ht="21.95" customHeight="1" x14ac:dyDescent="0.15"/>
    <row r="42502" s="76" customFormat="1" ht="21.95" customHeight="1" x14ac:dyDescent="0.15"/>
    <row r="42503" s="76" customFormat="1" ht="21.95" customHeight="1" x14ac:dyDescent="0.15"/>
    <row r="42504" s="76" customFormat="1" ht="21.95" customHeight="1" x14ac:dyDescent="0.15"/>
    <row r="42505" s="76" customFormat="1" ht="21.95" customHeight="1" x14ac:dyDescent="0.15"/>
    <row r="42506" s="76" customFormat="1" ht="21.95" customHeight="1" x14ac:dyDescent="0.15"/>
    <row r="42507" s="76" customFormat="1" ht="21.95" customHeight="1" x14ac:dyDescent="0.15"/>
    <row r="42508" s="76" customFormat="1" ht="21.95" customHeight="1" x14ac:dyDescent="0.15"/>
    <row r="42509" s="76" customFormat="1" ht="21.95" customHeight="1" x14ac:dyDescent="0.15"/>
    <row r="42510" s="76" customFormat="1" ht="21.95" customHeight="1" x14ac:dyDescent="0.15"/>
    <row r="42511" s="76" customFormat="1" ht="21.95" customHeight="1" x14ac:dyDescent="0.15"/>
    <row r="42512" s="76" customFormat="1" ht="21.95" customHeight="1" x14ac:dyDescent="0.15"/>
    <row r="42513" s="76" customFormat="1" ht="21.95" customHeight="1" x14ac:dyDescent="0.15"/>
    <row r="42514" s="76" customFormat="1" ht="21.95" customHeight="1" x14ac:dyDescent="0.15"/>
    <row r="42515" s="76" customFormat="1" ht="21.95" customHeight="1" x14ac:dyDescent="0.15"/>
    <row r="42516" s="76" customFormat="1" ht="21.95" customHeight="1" x14ac:dyDescent="0.15"/>
    <row r="42517" s="76" customFormat="1" ht="21.95" customHeight="1" x14ac:dyDescent="0.15"/>
    <row r="42518" s="76" customFormat="1" ht="21.95" customHeight="1" x14ac:dyDescent="0.15"/>
    <row r="42519" s="76" customFormat="1" ht="21.95" customHeight="1" x14ac:dyDescent="0.15"/>
    <row r="42520" s="76" customFormat="1" ht="21.95" customHeight="1" x14ac:dyDescent="0.15"/>
    <row r="42521" s="76" customFormat="1" ht="21.95" customHeight="1" x14ac:dyDescent="0.15"/>
    <row r="42522" s="76" customFormat="1" ht="21.95" customHeight="1" x14ac:dyDescent="0.15"/>
    <row r="42523" s="76" customFormat="1" ht="21.95" customHeight="1" x14ac:dyDescent="0.15"/>
    <row r="42524" s="76" customFormat="1" ht="21.95" customHeight="1" x14ac:dyDescent="0.15"/>
    <row r="42525" s="76" customFormat="1" ht="21.95" customHeight="1" x14ac:dyDescent="0.15"/>
    <row r="42526" s="76" customFormat="1" ht="21.95" customHeight="1" x14ac:dyDescent="0.15"/>
    <row r="42527" s="76" customFormat="1" ht="21.95" customHeight="1" x14ac:dyDescent="0.15"/>
    <row r="42528" s="76" customFormat="1" ht="21.95" customHeight="1" x14ac:dyDescent="0.15"/>
    <row r="42529" s="76" customFormat="1" ht="21.95" customHeight="1" x14ac:dyDescent="0.15"/>
    <row r="42530" s="76" customFormat="1" ht="21.95" customHeight="1" x14ac:dyDescent="0.15"/>
    <row r="42531" s="76" customFormat="1" ht="21.95" customHeight="1" x14ac:dyDescent="0.15"/>
    <row r="42532" s="76" customFormat="1" ht="21.95" customHeight="1" x14ac:dyDescent="0.15"/>
    <row r="42533" s="76" customFormat="1" ht="21.95" customHeight="1" x14ac:dyDescent="0.15"/>
    <row r="42534" s="76" customFormat="1" ht="21.95" customHeight="1" x14ac:dyDescent="0.15"/>
    <row r="42535" s="76" customFormat="1" ht="21.95" customHeight="1" x14ac:dyDescent="0.15"/>
    <row r="42536" s="76" customFormat="1" ht="21.95" customHeight="1" x14ac:dyDescent="0.15"/>
    <row r="42537" s="76" customFormat="1" ht="35.1" customHeight="1" x14ac:dyDescent="0.15"/>
    <row r="42538" s="76" customFormat="1" ht="21.95" customHeight="1" x14ac:dyDescent="0.15"/>
    <row r="42539" s="76" customFormat="1" ht="21.95" customHeight="1" x14ac:dyDescent="0.15"/>
    <row r="42540" s="76" customFormat="1" ht="21.95" customHeight="1" x14ac:dyDescent="0.15"/>
    <row r="42541" s="76" customFormat="1" ht="21.95" customHeight="1" x14ac:dyDescent="0.15"/>
    <row r="42542" s="76" customFormat="1" ht="21.95" customHeight="1" x14ac:dyDescent="0.15"/>
    <row r="42543" s="76" customFormat="1" ht="21.95" customHeight="1" x14ac:dyDescent="0.15"/>
    <row r="42544" s="76" customFormat="1" ht="21.95" customHeight="1" x14ac:dyDescent="0.15"/>
    <row r="42545" s="76" customFormat="1" ht="21.95" customHeight="1" x14ac:dyDescent="0.15"/>
    <row r="42546" s="76" customFormat="1" ht="21.95" customHeight="1" x14ac:dyDescent="0.15"/>
    <row r="42547" s="76" customFormat="1" ht="21.95" customHeight="1" x14ac:dyDescent="0.15"/>
    <row r="42548" s="76" customFormat="1" ht="21.95" customHeight="1" x14ac:dyDescent="0.15"/>
    <row r="42549" s="76" customFormat="1" ht="21.95" customHeight="1" x14ac:dyDescent="0.15"/>
    <row r="42550" s="76" customFormat="1" ht="21.95" customHeight="1" x14ac:dyDescent="0.15"/>
    <row r="42551" s="76" customFormat="1" ht="21.95" customHeight="1" x14ac:dyDescent="0.15"/>
    <row r="42552" s="76" customFormat="1" ht="21.95" customHeight="1" x14ac:dyDescent="0.15"/>
    <row r="42553" s="76" customFormat="1" ht="21.95" customHeight="1" x14ac:dyDescent="0.15"/>
    <row r="42554" s="76" customFormat="1" ht="21.95" customHeight="1" x14ac:dyDescent="0.15"/>
    <row r="42555" s="76" customFormat="1" ht="21.95" customHeight="1" x14ac:dyDescent="0.15"/>
    <row r="42556" s="76" customFormat="1" ht="21.95" customHeight="1" x14ac:dyDescent="0.15"/>
    <row r="42557" s="76" customFormat="1" ht="21.95" customHeight="1" x14ac:dyDescent="0.15"/>
    <row r="42558" s="76" customFormat="1" ht="21.95" customHeight="1" x14ac:dyDescent="0.15"/>
    <row r="42559" s="76" customFormat="1" ht="21.95" customHeight="1" x14ac:dyDescent="0.15"/>
    <row r="42560" s="76" customFormat="1" ht="21.95" customHeight="1" x14ac:dyDescent="0.15"/>
    <row r="42561" spans="3:3" customFormat="1" ht="21.95" customHeight="1" x14ac:dyDescent="0.15"/>
    <row r="42562" spans="3:3" customFormat="1" ht="21.95" customHeight="1" x14ac:dyDescent="0.15"/>
    <row r="42563" spans="3:3" customFormat="1" ht="21.95" customHeight="1" x14ac:dyDescent="0.15">
      <c r="C42563" s="94"/>
    </row>
    <row r="42564" spans="3:3" customFormat="1" ht="21.95" customHeight="1" x14ac:dyDescent="0.15">
      <c r="C42564" s="94"/>
    </row>
    <row r="42565" spans="3:3" customFormat="1" ht="21.95" customHeight="1" x14ac:dyDescent="0.15"/>
    <row r="42566" spans="3:3" customFormat="1" ht="21.95" customHeight="1" x14ac:dyDescent="0.15"/>
    <row r="42567" spans="3:3" customFormat="1" ht="21.95" customHeight="1" x14ac:dyDescent="0.15"/>
    <row r="42568" spans="3:3" customFormat="1" ht="21.95" customHeight="1" x14ac:dyDescent="0.15"/>
    <row r="42569" spans="3:3" customFormat="1" ht="21.95" customHeight="1" x14ac:dyDescent="0.15"/>
    <row r="42570" spans="3:3" customFormat="1" ht="21.95" customHeight="1" x14ac:dyDescent="0.15"/>
    <row r="42571" spans="3:3" customFormat="1" ht="21.95" customHeight="1" x14ac:dyDescent="0.15"/>
    <row r="42572" spans="3:3" s="76" customFormat="1" ht="21.95" customHeight="1" x14ac:dyDescent="0.15"/>
    <row r="42573" spans="3:3" s="76" customFormat="1" ht="21.95" customHeight="1" x14ac:dyDescent="0.15"/>
    <row r="42574" spans="3:3" s="76" customFormat="1" ht="21.95" customHeight="1" x14ac:dyDescent="0.15"/>
    <row r="42575" spans="3:3" s="76" customFormat="1" ht="21.95" customHeight="1" x14ac:dyDescent="0.15"/>
    <row r="42576" spans="3:3" customFormat="1" ht="21.95" customHeight="1" x14ac:dyDescent="0.15"/>
    <row r="42577" customFormat="1" ht="21.95" customHeight="1" x14ac:dyDescent="0.15"/>
    <row r="42578" customFormat="1" ht="21.95" customHeight="1" x14ac:dyDescent="0.15"/>
    <row r="42579" customFormat="1" ht="21.95" customHeight="1" x14ac:dyDescent="0.15"/>
    <row r="42580" customFormat="1" ht="21.95" customHeight="1" x14ac:dyDescent="0.15"/>
    <row r="42581" customFormat="1" ht="21.95" customHeight="1" x14ac:dyDescent="0.15"/>
    <row r="42582" customFormat="1" ht="21.95" customHeight="1" x14ac:dyDescent="0.15"/>
    <row r="42583" customFormat="1" ht="21.95" customHeight="1" x14ac:dyDescent="0.15"/>
    <row r="42584" customFormat="1" ht="21.95" customHeight="1" x14ac:dyDescent="0.15"/>
    <row r="42585" customFormat="1" ht="21.95" customHeight="1" x14ac:dyDescent="0.15"/>
    <row r="42586" customFormat="1" ht="21.95" customHeight="1" x14ac:dyDescent="0.15"/>
    <row r="42587" customFormat="1" ht="32.1" customHeight="1" x14ac:dyDescent="0.15"/>
    <row r="42588" customFormat="1" ht="32.1" customHeight="1" x14ac:dyDescent="0.15"/>
    <row r="42589" customFormat="1" ht="32.1" customHeight="1" x14ac:dyDescent="0.15"/>
    <row r="42590" customFormat="1" ht="32.1" customHeight="1" x14ac:dyDescent="0.15"/>
    <row r="42591" customFormat="1" ht="32.1" customHeight="1" x14ac:dyDescent="0.15"/>
    <row r="42592" customFormat="1" ht="32.1" customHeight="1" x14ac:dyDescent="0.15"/>
    <row r="42593" s="76" customFormat="1" ht="32.1" customHeight="1" x14ac:dyDescent="0.15"/>
    <row r="42594" s="76" customFormat="1" ht="32.1" customHeight="1" x14ac:dyDescent="0.15"/>
    <row r="42595" s="76" customFormat="1" ht="32.1" customHeight="1" x14ac:dyDescent="0.15"/>
    <row r="42596" s="76" customFormat="1" ht="32.1" customHeight="1" x14ac:dyDescent="0.15"/>
    <row r="42597" s="76" customFormat="1" ht="21.95" customHeight="1" x14ac:dyDescent="0.15"/>
    <row r="42598" s="76" customFormat="1" ht="54" customHeight="1" x14ac:dyDescent="0.15"/>
    <row r="42599" s="76" customFormat="1" ht="21.95" customHeight="1" x14ac:dyDescent="0.15"/>
    <row r="42600" s="76" customFormat="1" ht="21.95" customHeight="1" x14ac:dyDescent="0.15"/>
    <row r="42601" s="76" customFormat="1" ht="21.95" customHeight="1" x14ac:dyDescent="0.15"/>
    <row r="42602" s="76" customFormat="1" ht="21.95" customHeight="1" x14ac:dyDescent="0.15"/>
    <row r="42603" s="76" customFormat="1" ht="21.95" customHeight="1" x14ac:dyDescent="0.15"/>
    <row r="42604" s="76" customFormat="1" ht="21.95" customHeight="1" x14ac:dyDescent="0.15"/>
    <row r="42605" s="76" customFormat="1" ht="21.95" customHeight="1" x14ac:dyDescent="0.15"/>
    <row r="42606" s="76" customFormat="1" ht="21.95" customHeight="1" x14ac:dyDescent="0.15"/>
    <row r="42607" s="76" customFormat="1" ht="21.95" customHeight="1" x14ac:dyDescent="0.15"/>
    <row r="42608" s="76" customFormat="1" ht="21.95" customHeight="1" x14ac:dyDescent="0.15"/>
    <row r="42609" s="76" customFormat="1" ht="21.95" customHeight="1" x14ac:dyDescent="0.15"/>
    <row r="42610" s="76" customFormat="1" ht="21.95" customHeight="1" x14ac:dyDescent="0.15"/>
    <row r="42611" s="76" customFormat="1" ht="21.95" customHeight="1" x14ac:dyDescent="0.15"/>
    <row r="42612" s="76" customFormat="1" ht="21.95" customHeight="1" x14ac:dyDescent="0.15"/>
    <row r="42613" s="76" customFormat="1" ht="21.95" customHeight="1" x14ac:dyDescent="0.15"/>
    <row r="42614" s="76" customFormat="1" ht="21.95" customHeight="1" x14ac:dyDescent="0.15"/>
    <row r="42615" s="76" customFormat="1" ht="21.95" customHeight="1" x14ac:dyDescent="0.15"/>
    <row r="42616" s="76" customFormat="1" ht="21.95" customHeight="1" x14ac:dyDescent="0.15"/>
    <row r="42617" s="76" customFormat="1" ht="21.95" customHeight="1" x14ac:dyDescent="0.15"/>
    <row r="42618" s="76" customFormat="1" ht="21.95" customHeight="1" x14ac:dyDescent="0.15"/>
    <row r="42619" s="76" customFormat="1" ht="21.95" customHeight="1" x14ac:dyDescent="0.15"/>
    <row r="42620" s="76" customFormat="1" ht="21.95" customHeight="1" x14ac:dyDescent="0.15"/>
    <row r="42621" s="76" customFormat="1" ht="21.95" customHeight="1" x14ac:dyDescent="0.15"/>
    <row r="42622" s="76" customFormat="1" ht="21.95" customHeight="1" x14ac:dyDescent="0.15"/>
    <row r="42623" s="76" customFormat="1" ht="21.95" customHeight="1" x14ac:dyDescent="0.15"/>
    <row r="42624" s="76" customFormat="1" ht="21.95" customHeight="1" x14ac:dyDescent="0.15"/>
    <row r="42625" s="76" customFormat="1" ht="21.95" customHeight="1" x14ac:dyDescent="0.15"/>
    <row r="42626" s="76" customFormat="1" ht="21.95" customHeight="1" x14ac:dyDescent="0.15"/>
    <row r="42627" s="76" customFormat="1" ht="21.95" customHeight="1" x14ac:dyDescent="0.15"/>
    <row r="42628" s="76" customFormat="1" ht="21.95" customHeight="1" x14ac:dyDescent="0.15"/>
    <row r="42629" s="76" customFormat="1" ht="21.95" customHeight="1" x14ac:dyDescent="0.15"/>
    <row r="42630" s="76" customFormat="1" ht="21.95" customHeight="1" x14ac:dyDescent="0.15"/>
    <row r="42631" s="76" customFormat="1" ht="21.95" customHeight="1" x14ac:dyDescent="0.15"/>
    <row r="42632" s="76" customFormat="1" ht="21.95" customHeight="1" x14ac:dyDescent="0.15"/>
    <row r="42633" s="76" customFormat="1" ht="21.95" customHeight="1" x14ac:dyDescent="0.15"/>
    <row r="42634" s="76" customFormat="1" ht="21.95" customHeight="1" x14ac:dyDescent="0.15"/>
    <row r="42635" s="76" customFormat="1" ht="21.95" customHeight="1" x14ac:dyDescent="0.15"/>
    <row r="42636" s="76" customFormat="1" ht="21.95" customHeight="1" x14ac:dyDescent="0.15"/>
    <row r="42637" s="76" customFormat="1" ht="21.95" customHeight="1" x14ac:dyDescent="0.15"/>
    <row r="42638" s="76" customFormat="1" ht="21.95" customHeight="1" x14ac:dyDescent="0.15"/>
    <row r="42639" s="76" customFormat="1" ht="21.95" customHeight="1" x14ac:dyDescent="0.15"/>
    <row r="42640" s="76" customFormat="1" ht="21.95" customHeight="1" x14ac:dyDescent="0.15"/>
    <row r="42641" s="76" customFormat="1" ht="21.95" customHeight="1" x14ac:dyDescent="0.15"/>
    <row r="42642" s="76" customFormat="1" ht="21.95" customHeight="1" x14ac:dyDescent="0.15"/>
    <row r="42643" s="76" customFormat="1" ht="21.95" customHeight="1" x14ac:dyDescent="0.15"/>
    <row r="42644" s="76" customFormat="1" ht="21.95" customHeight="1" x14ac:dyDescent="0.15"/>
    <row r="42645" s="76" customFormat="1" ht="21.95" customHeight="1" x14ac:dyDescent="0.15"/>
    <row r="42646" s="76" customFormat="1" ht="21.95" customHeight="1" x14ac:dyDescent="0.15"/>
    <row r="42647" s="76" customFormat="1" ht="21.95" customHeight="1" x14ac:dyDescent="0.15"/>
    <row r="42648" s="76" customFormat="1" ht="21.95" customHeight="1" x14ac:dyDescent="0.15"/>
    <row r="42649" s="76" customFormat="1" ht="35.1" customHeight="1" x14ac:dyDescent="0.15"/>
    <row r="42650" s="76" customFormat="1" ht="21.95" customHeight="1" x14ac:dyDescent="0.15"/>
    <row r="42651" s="76" customFormat="1" ht="21.95" customHeight="1" x14ac:dyDescent="0.15"/>
    <row r="42652" s="76" customFormat="1" ht="21.95" customHeight="1" x14ac:dyDescent="0.15"/>
    <row r="42653" s="76" customFormat="1" ht="21.95" customHeight="1" x14ac:dyDescent="0.15"/>
    <row r="42654" s="76" customFormat="1" ht="21.95" customHeight="1" x14ac:dyDescent="0.15"/>
    <row r="42655" s="76" customFormat="1" ht="21.95" customHeight="1" x14ac:dyDescent="0.15"/>
    <row r="42656" s="76" customFormat="1" ht="21.95" customHeight="1" x14ac:dyDescent="0.15"/>
    <row r="42657" s="76" customFormat="1" ht="21.95" customHeight="1" x14ac:dyDescent="0.15"/>
    <row r="42658" s="76" customFormat="1" ht="21.95" customHeight="1" x14ac:dyDescent="0.15"/>
    <row r="42659" s="76" customFormat="1" ht="21.95" customHeight="1" x14ac:dyDescent="0.15"/>
    <row r="42660" s="76" customFormat="1" ht="21.95" customHeight="1" x14ac:dyDescent="0.15"/>
    <row r="42661" s="76" customFormat="1" ht="21.95" customHeight="1" x14ac:dyDescent="0.15"/>
    <row r="42662" s="76" customFormat="1" ht="21.95" customHeight="1" x14ac:dyDescent="0.15"/>
    <row r="42663" s="76" customFormat="1" ht="21.95" customHeight="1" x14ac:dyDescent="0.15"/>
    <row r="42664" s="76" customFormat="1" ht="21.95" customHeight="1" x14ac:dyDescent="0.15"/>
    <row r="42665" s="76" customFormat="1" ht="21.95" customHeight="1" x14ac:dyDescent="0.15"/>
    <row r="42666" s="76" customFormat="1" ht="21.95" customHeight="1" x14ac:dyDescent="0.15"/>
    <row r="42667" s="76" customFormat="1" ht="21.95" customHeight="1" x14ac:dyDescent="0.15"/>
    <row r="42668" s="76" customFormat="1" ht="21.95" customHeight="1" x14ac:dyDescent="0.15"/>
    <row r="42669" s="76" customFormat="1" ht="21.95" customHeight="1" x14ac:dyDescent="0.15"/>
    <row r="42670" s="76" customFormat="1" ht="21.95" customHeight="1" x14ac:dyDescent="0.15"/>
    <row r="42671" s="76" customFormat="1" ht="21.95" customHeight="1" x14ac:dyDescent="0.15"/>
    <row r="42672" s="76" customFormat="1" ht="21.95" customHeight="1" x14ac:dyDescent="0.15"/>
    <row r="42673" spans="3:3" customFormat="1" ht="21.95" customHeight="1" x14ac:dyDescent="0.15"/>
    <row r="42674" spans="3:3" customFormat="1" ht="21.95" customHeight="1" x14ac:dyDescent="0.15"/>
    <row r="42675" spans="3:3" customFormat="1" ht="21.95" customHeight="1" x14ac:dyDescent="0.15">
      <c r="C42675" s="94"/>
    </row>
    <row r="42676" spans="3:3" customFormat="1" ht="21.95" customHeight="1" x14ac:dyDescent="0.15">
      <c r="C42676" s="94"/>
    </row>
    <row r="42677" spans="3:3" customFormat="1" ht="21.95" customHeight="1" x14ac:dyDescent="0.15"/>
    <row r="42678" spans="3:3" customFormat="1" ht="21.95" customHeight="1" x14ac:dyDescent="0.15"/>
    <row r="42679" spans="3:3" customFormat="1" ht="21.95" customHeight="1" x14ac:dyDescent="0.15"/>
    <row r="42680" spans="3:3" customFormat="1" ht="21.95" customHeight="1" x14ac:dyDescent="0.15"/>
    <row r="42681" spans="3:3" customFormat="1" ht="21.95" customHeight="1" x14ac:dyDescent="0.15"/>
    <row r="42682" spans="3:3" customFormat="1" ht="21.95" customHeight="1" x14ac:dyDescent="0.15"/>
    <row r="42683" spans="3:3" customFormat="1" ht="21.95" customHeight="1" x14ac:dyDescent="0.15"/>
    <row r="42684" spans="3:3" s="76" customFormat="1" ht="21.95" customHeight="1" x14ac:dyDescent="0.15"/>
    <row r="42685" spans="3:3" s="76" customFormat="1" ht="21.95" customHeight="1" x14ac:dyDescent="0.15"/>
    <row r="42686" spans="3:3" s="76" customFormat="1" ht="21.95" customHeight="1" x14ac:dyDescent="0.15"/>
    <row r="42687" spans="3:3" s="76" customFormat="1" ht="21.95" customHeight="1" x14ac:dyDescent="0.15"/>
    <row r="42688" spans="3:3" customFormat="1" ht="21.95" customHeight="1" x14ac:dyDescent="0.15"/>
    <row r="42689" customFormat="1" ht="21.95" customHeight="1" x14ac:dyDescent="0.15"/>
    <row r="42690" customFormat="1" ht="21.95" customHeight="1" x14ac:dyDescent="0.15"/>
    <row r="42691" customFormat="1" ht="21.95" customHeight="1" x14ac:dyDescent="0.15"/>
    <row r="42692" customFormat="1" ht="21.95" customHeight="1" x14ac:dyDescent="0.15"/>
    <row r="42693" customFormat="1" ht="21.95" customHeight="1" x14ac:dyDescent="0.15"/>
    <row r="42694" customFormat="1" ht="21.95" customHeight="1" x14ac:dyDescent="0.15"/>
    <row r="42695" customFormat="1" ht="21.95" customHeight="1" x14ac:dyDescent="0.15"/>
    <row r="42696" customFormat="1" ht="21.95" customHeight="1" x14ac:dyDescent="0.15"/>
    <row r="42697" customFormat="1" ht="21.95" customHeight="1" x14ac:dyDescent="0.15"/>
    <row r="42698" customFormat="1" ht="21.95" customHeight="1" x14ac:dyDescent="0.15"/>
    <row r="42699" customFormat="1" ht="32.1" customHeight="1" x14ac:dyDescent="0.15"/>
    <row r="42700" customFormat="1" ht="32.1" customHeight="1" x14ac:dyDescent="0.15"/>
    <row r="42701" customFormat="1" ht="32.1" customHeight="1" x14ac:dyDescent="0.15"/>
    <row r="42702" customFormat="1" ht="32.1" customHeight="1" x14ac:dyDescent="0.15"/>
    <row r="42703" customFormat="1" ht="32.1" customHeight="1" x14ac:dyDescent="0.15"/>
    <row r="42704" customFormat="1" ht="32.1" customHeight="1" x14ac:dyDescent="0.15"/>
    <row r="42705" s="76" customFormat="1" ht="32.1" customHeight="1" x14ac:dyDescent="0.15"/>
    <row r="42706" s="76" customFormat="1" ht="32.1" customHeight="1" x14ac:dyDescent="0.15"/>
    <row r="42707" s="76" customFormat="1" ht="32.1" customHeight="1" x14ac:dyDescent="0.15"/>
    <row r="42708" s="76" customFormat="1" ht="32.1" customHeight="1" x14ac:dyDescent="0.15"/>
    <row r="42709" s="76" customFormat="1" ht="21.95" customHeight="1" x14ac:dyDescent="0.15"/>
    <row r="42710" s="76" customFormat="1" ht="54" customHeight="1" x14ac:dyDescent="0.15"/>
    <row r="42711" s="76" customFormat="1" ht="21.95" customHeight="1" x14ac:dyDescent="0.15"/>
    <row r="42712" s="76" customFormat="1" ht="21.95" customHeight="1" x14ac:dyDescent="0.15"/>
    <row r="42713" s="76" customFormat="1" ht="21.95" customHeight="1" x14ac:dyDescent="0.15"/>
    <row r="42714" s="76" customFormat="1" ht="21.95" customHeight="1" x14ac:dyDescent="0.15"/>
    <row r="42715" s="76" customFormat="1" ht="21.95" customHeight="1" x14ac:dyDescent="0.15"/>
    <row r="42716" s="76" customFormat="1" ht="21.95" customHeight="1" x14ac:dyDescent="0.15"/>
    <row r="42717" s="76" customFormat="1" ht="21.95" customHeight="1" x14ac:dyDescent="0.15"/>
    <row r="42718" s="76" customFormat="1" ht="21.95" customHeight="1" x14ac:dyDescent="0.15"/>
    <row r="42719" s="76" customFormat="1" ht="21.95" customHeight="1" x14ac:dyDescent="0.15"/>
    <row r="42720" s="76" customFormat="1" ht="21.95" customHeight="1" x14ac:dyDescent="0.15"/>
    <row r="42721" s="76" customFormat="1" ht="21.95" customHeight="1" x14ac:dyDescent="0.15"/>
    <row r="42722" s="76" customFormat="1" ht="21.95" customHeight="1" x14ac:dyDescent="0.15"/>
    <row r="42723" s="76" customFormat="1" ht="21.95" customHeight="1" x14ac:dyDescent="0.15"/>
    <row r="42724" s="76" customFormat="1" ht="21.95" customHeight="1" x14ac:dyDescent="0.15"/>
    <row r="42725" s="76" customFormat="1" ht="21.95" customHeight="1" x14ac:dyDescent="0.15"/>
    <row r="42726" s="76" customFormat="1" ht="21.95" customHeight="1" x14ac:dyDescent="0.15"/>
    <row r="42727" s="76" customFormat="1" ht="21.95" customHeight="1" x14ac:dyDescent="0.15"/>
    <row r="42728" s="76" customFormat="1" ht="21.95" customHeight="1" x14ac:dyDescent="0.15"/>
    <row r="42729" s="76" customFormat="1" ht="21.95" customHeight="1" x14ac:dyDescent="0.15"/>
    <row r="42730" s="76" customFormat="1" ht="21.95" customHeight="1" x14ac:dyDescent="0.15"/>
    <row r="42731" s="76" customFormat="1" ht="21.95" customHeight="1" x14ac:dyDescent="0.15"/>
    <row r="42732" s="76" customFormat="1" ht="21.95" customHeight="1" x14ac:dyDescent="0.15"/>
    <row r="42733" s="76" customFormat="1" ht="21.95" customHeight="1" x14ac:dyDescent="0.15"/>
    <row r="42734" s="76" customFormat="1" ht="21.95" customHeight="1" x14ac:dyDescent="0.15"/>
    <row r="42735" s="76" customFormat="1" ht="21.95" customHeight="1" x14ac:dyDescent="0.15"/>
    <row r="42736" s="76" customFormat="1" ht="21.95" customHeight="1" x14ac:dyDescent="0.15"/>
    <row r="42737" s="76" customFormat="1" ht="21.95" customHeight="1" x14ac:dyDescent="0.15"/>
    <row r="42738" s="76" customFormat="1" ht="21.95" customHeight="1" x14ac:dyDescent="0.15"/>
    <row r="42739" s="76" customFormat="1" ht="21.95" customHeight="1" x14ac:dyDescent="0.15"/>
    <row r="42740" s="76" customFormat="1" ht="21.95" customHeight="1" x14ac:dyDescent="0.15"/>
    <row r="42741" s="76" customFormat="1" ht="21.95" customHeight="1" x14ac:dyDescent="0.15"/>
    <row r="42742" s="76" customFormat="1" ht="21.95" customHeight="1" x14ac:dyDescent="0.15"/>
    <row r="42743" s="76" customFormat="1" ht="21.95" customHeight="1" x14ac:dyDescent="0.15"/>
    <row r="42744" s="76" customFormat="1" ht="21.95" customHeight="1" x14ac:dyDescent="0.15"/>
    <row r="42745" s="76" customFormat="1" ht="21.95" customHeight="1" x14ac:dyDescent="0.15"/>
    <row r="42746" s="76" customFormat="1" ht="21.95" customHeight="1" x14ac:dyDescent="0.15"/>
    <row r="42747" s="76" customFormat="1" ht="21.95" customHeight="1" x14ac:dyDescent="0.15"/>
    <row r="42748" s="76" customFormat="1" ht="21.95" customHeight="1" x14ac:dyDescent="0.15"/>
    <row r="42749" s="76" customFormat="1" ht="21.95" customHeight="1" x14ac:dyDescent="0.15"/>
    <row r="42750" s="76" customFormat="1" ht="21.95" customHeight="1" x14ac:dyDescent="0.15"/>
    <row r="42751" s="76" customFormat="1" ht="21.95" customHeight="1" x14ac:dyDescent="0.15"/>
    <row r="42752" s="76" customFormat="1" ht="21.95" customHeight="1" x14ac:dyDescent="0.15"/>
    <row r="42753" s="76" customFormat="1" ht="21.95" customHeight="1" x14ac:dyDescent="0.15"/>
    <row r="42754" s="76" customFormat="1" ht="21.95" customHeight="1" x14ac:dyDescent="0.15"/>
    <row r="42755" s="76" customFormat="1" ht="21.95" customHeight="1" x14ac:dyDescent="0.15"/>
    <row r="42756" s="76" customFormat="1" ht="21.95" customHeight="1" x14ac:dyDescent="0.15"/>
    <row r="42757" s="76" customFormat="1" ht="21.95" customHeight="1" x14ac:dyDescent="0.15"/>
    <row r="42758" s="76" customFormat="1" ht="21.95" customHeight="1" x14ac:dyDescent="0.15"/>
    <row r="42759" s="76" customFormat="1" ht="21.95" customHeight="1" x14ac:dyDescent="0.15"/>
    <row r="42760" s="76" customFormat="1" ht="21.95" customHeight="1" x14ac:dyDescent="0.15"/>
    <row r="42761" s="76" customFormat="1" ht="35.1" customHeight="1" x14ac:dyDescent="0.15"/>
    <row r="42762" s="76" customFormat="1" ht="21.95" customHeight="1" x14ac:dyDescent="0.15"/>
    <row r="42763" s="76" customFormat="1" ht="21.95" customHeight="1" x14ac:dyDescent="0.15"/>
    <row r="42764" s="76" customFormat="1" ht="21.95" customHeight="1" x14ac:dyDescent="0.15"/>
    <row r="42765" s="76" customFormat="1" ht="21.95" customHeight="1" x14ac:dyDescent="0.15"/>
    <row r="42766" s="76" customFormat="1" ht="21.95" customHeight="1" x14ac:dyDescent="0.15"/>
    <row r="42767" s="76" customFormat="1" ht="21.95" customHeight="1" x14ac:dyDescent="0.15"/>
    <row r="42768" s="76" customFormat="1" ht="21.95" customHeight="1" x14ac:dyDescent="0.15"/>
    <row r="42769" s="76" customFormat="1" ht="21.95" customHeight="1" x14ac:dyDescent="0.15"/>
    <row r="42770" s="76" customFormat="1" ht="21.95" customHeight="1" x14ac:dyDescent="0.15"/>
    <row r="42771" s="76" customFormat="1" ht="21.95" customHeight="1" x14ac:dyDescent="0.15"/>
    <row r="42772" s="76" customFormat="1" ht="21.95" customHeight="1" x14ac:dyDescent="0.15"/>
    <row r="42773" s="76" customFormat="1" ht="21.95" customHeight="1" x14ac:dyDescent="0.15"/>
    <row r="42774" s="76" customFormat="1" ht="21.95" customHeight="1" x14ac:dyDescent="0.15"/>
    <row r="42775" s="76" customFormat="1" ht="21.95" customHeight="1" x14ac:dyDescent="0.15"/>
    <row r="42776" s="76" customFormat="1" ht="21.95" customHeight="1" x14ac:dyDescent="0.15"/>
    <row r="42777" s="76" customFormat="1" ht="21.95" customHeight="1" x14ac:dyDescent="0.15"/>
    <row r="42778" s="76" customFormat="1" ht="21.95" customHeight="1" x14ac:dyDescent="0.15"/>
    <row r="42779" s="76" customFormat="1" ht="21.95" customHeight="1" x14ac:dyDescent="0.15"/>
    <row r="42780" s="76" customFormat="1" ht="21.95" customHeight="1" x14ac:dyDescent="0.15"/>
    <row r="42781" s="76" customFormat="1" ht="21.95" customHeight="1" x14ac:dyDescent="0.15"/>
    <row r="42782" s="76" customFormat="1" ht="21.95" customHeight="1" x14ac:dyDescent="0.15"/>
    <row r="42783" s="76" customFormat="1" ht="21.95" customHeight="1" x14ac:dyDescent="0.15"/>
    <row r="42784" s="76" customFormat="1" ht="21.95" customHeight="1" x14ac:dyDescent="0.15"/>
    <row r="42785" spans="3:3" customFormat="1" ht="21.95" customHeight="1" x14ac:dyDescent="0.15"/>
    <row r="42786" spans="3:3" customFormat="1" ht="21.95" customHeight="1" x14ac:dyDescent="0.15"/>
    <row r="42787" spans="3:3" customFormat="1" ht="21.95" customHeight="1" x14ac:dyDescent="0.15">
      <c r="C42787" s="94"/>
    </row>
    <row r="42788" spans="3:3" customFormat="1" ht="21.95" customHeight="1" x14ac:dyDescent="0.15">
      <c r="C42788" s="94"/>
    </row>
    <row r="42789" spans="3:3" customFormat="1" ht="21.95" customHeight="1" x14ac:dyDescent="0.15"/>
    <row r="42790" spans="3:3" customFormat="1" ht="21.95" customHeight="1" x14ac:dyDescent="0.15"/>
    <row r="42791" spans="3:3" customFormat="1" ht="21.95" customHeight="1" x14ac:dyDescent="0.15"/>
    <row r="42792" spans="3:3" customFormat="1" ht="21.95" customHeight="1" x14ac:dyDescent="0.15"/>
    <row r="42793" spans="3:3" customFormat="1" ht="21.95" customHeight="1" x14ac:dyDescent="0.15"/>
    <row r="42794" spans="3:3" customFormat="1" ht="21.95" customHeight="1" x14ac:dyDescent="0.15"/>
    <row r="42795" spans="3:3" customFormat="1" ht="21.95" customHeight="1" x14ac:dyDescent="0.15"/>
    <row r="42796" spans="3:3" s="76" customFormat="1" ht="21.95" customHeight="1" x14ac:dyDescent="0.15"/>
    <row r="42797" spans="3:3" s="76" customFormat="1" ht="21.95" customHeight="1" x14ac:dyDescent="0.15"/>
    <row r="42798" spans="3:3" s="76" customFormat="1" ht="21.95" customHeight="1" x14ac:dyDescent="0.15"/>
    <row r="42799" spans="3:3" s="76" customFormat="1" ht="21.95" customHeight="1" x14ac:dyDescent="0.15"/>
    <row r="42800" spans="3:3" customFormat="1" ht="21.95" customHeight="1" x14ac:dyDescent="0.15"/>
    <row r="42801" customFormat="1" ht="21.95" customHeight="1" x14ac:dyDescent="0.15"/>
    <row r="42802" customFormat="1" ht="21.95" customHeight="1" x14ac:dyDescent="0.15"/>
    <row r="42803" customFormat="1" ht="21.95" customHeight="1" x14ac:dyDescent="0.15"/>
    <row r="42804" customFormat="1" ht="21.95" customHeight="1" x14ac:dyDescent="0.15"/>
    <row r="42805" customFormat="1" ht="21.95" customHeight="1" x14ac:dyDescent="0.15"/>
    <row r="42806" customFormat="1" ht="21.95" customHeight="1" x14ac:dyDescent="0.15"/>
    <row r="42807" customFormat="1" ht="21.95" customHeight="1" x14ac:dyDescent="0.15"/>
    <row r="42808" customFormat="1" ht="21.95" customHeight="1" x14ac:dyDescent="0.15"/>
    <row r="42809" customFormat="1" ht="21.95" customHeight="1" x14ac:dyDescent="0.15"/>
    <row r="42810" customFormat="1" ht="21.95" customHeight="1" x14ac:dyDescent="0.15"/>
    <row r="42811" customFormat="1" ht="32.1" customHeight="1" x14ac:dyDescent="0.15"/>
    <row r="42812" customFormat="1" ht="32.1" customHeight="1" x14ac:dyDescent="0.15"/>
    <row r="42813" customFormat="1" ht="32.1" customHeight="1" x14ac:dyDescent="0.15"/>
    <row r="42814" customFormat="1" ht="32.1" customHeight="1" x14ac:dyDescent="0.15"/>
    <row r="42815" customFormat="1" ht="32.1" customHeight="1" x14ac:dyDescent="0.15"/>
    <row r="42816" customFormat="1" ht="32.1" customHeight="1" x14ac:dyDescent="0.15"/>
    <row r="42817" s="76" customFormat="1" ht="32.1" customHeight="1" x14ac:dyDescent="0.15"/>
    <row r="42818" s="76" customFormat="1" ht="32.1" customHeight="1" x14ac:dyDescent="0.15"/>
    <row r="42819" s="76" customFormat="1" ht="32.1" customHeight="1" x14ac:dyDescent="0.15"/>
    <row r="42820" s="76" customFormat="1" ht="32.1" customHeight="1" x14ac:dyDescent="0.15"/>
    <row r="42821" s="76" customFormat="1" ht="21.95" customHeight="1" x14ac:dyDescent="0.15"/>
    <row r="42822" s="76" customFormat="1" ht="54" customHeight="1" x14ac:dyDescent="0.15"/>
    <row r="42823" s="76" customFormat="1" ht="21.95" customHeight="1" x14ac:dyDescent="0.15"/>
    <row r="42824" s="76" customFormat="1" ht="21.95" customHeight="1" x14ac:dyDescent="0.15"/>
    <row r="42825" s="76" customFormat="1" ht="21.95" customHeight="1" x14ac:dyDescent="0.15"/>
    <row r="42826" s="76" customFormat="1" ht="21.95" customHeight="1" x14ac:dyDescent="0.15"/>
    <row r="42827" s="76" customFormat="1" ht="21.95" customHeight="1" x14ac:dyDescent="0.15"/>
    <row r="42828" s="76" customFormat="1" ht="21.95" customHeight="1" x14ac:dyDescent="0.15"/>
    <row r="42829" s="76" customFormat="1" ht="21.95" customHeight="1" x14ac:dyDescent="0.15"/>
    <row r="42830" s="76" customFormat="1" ht="21.95" customHeight="1" x14ac:dyDescent="0.15"/>
    <row r="42831" s="76" customFormat="1" ht="21.95" customHeight="1" x14ac:dyDescent="0.15"/>
    <row r="42832" s="76" customFormat="1" ht="21.95" customHeight="1" x14ac:dyDescent="0.15"/>
    <row r="42833" s="76" customFormat="1" ht="21.95" customHeight="1" x14ac:dyDescent="0.15"/>
    <row r="42834" s="76" customFormat="1" ht="21.95" customHeight="1" x14ac:dyDescent="0.15"/>
    <row r="42835" s="76" customFormat="1" ht="21.95" customHeight="1" x14ac:dyDescent="0.15"/>
    <row r="42836" s="76" customFormat="1" ht="21.95" customHeight="1" x14ac:dyDescent="0.15"/>
    <row r="42837" s="76" customFormat="1" ht="21.95" customHeight="1" x14ac:dyDescent="0.15"/>
    <row r="42838" s="76" customFormat="1" ht="21.95" customHeight="1" x14ac:dyDescent="0.15"/>
    <row r="42839" s="76" customFormat="1" ht="21.95" customHeight="1" x14ac:dyDescent="0.15"/>
    <row r="42840" s="76" customFormat="1" ht="21.95" customHeight="1" x14ac:dyDescent="0.15"/>
    <row r="42841" s="76" customFormat="1" ht="21.95" customHeight="1" x14ac:dyDescent="0.15"/>
    <row r="42842" s="76" customFormat="1" ht="21.95" customHeight="1" x14ac:dyDescent="0.15"/>
    <row r="42843" s="76" customFormat="1" ht="21.95" customHeight="1" x14ac:dyDescent="0.15"/>
    <row r="42844" s="76" customFormat="1" ht="21.95" customHeight="1" x14ac:dyDescent="0.15"/>
    <row r="42845" s="76" customFormat="1" ht="21.95" customHeight="1" x14ac:dyDescent="0.15"/>
    <row r="42846" s="76" customFormat="1" ht="21.95" customHeight="1" x14ac:dyDescent="0.15"/>
    <row r="42847" s="76" customFormat="1" ht="21.95" customHeight="1" x14ac:dyDescent="0.15"/>
    <row r="42848" s="76" customFormat="1" ht="21.95" customHeight="1" x14ac:dyDescent="0.15"/>
    <row r="42849" s="76" customFormat="1" ht="21.95" customHeight="1" x14ac:dyDescent="0.15"/>
    <row r="42850" s="76" customFormat="1" ht="21.95" customHeight="1" x14ac:dyDescent="0.15"/>
    <row r="42851" s="76" customFormat="1" ht="21.95" customHeight="1" x14ac:dyDescent="0.15"/>
    <row r="42852" s="76" customFormat="1" ht="21.95" customHeight="1" x14ac:dyDescent="0.15"/>
    <row r="42853" s="76" customFormat="1" ht="21.95" customHeight="1" x14ac:dyDescent="0.15"/>
    <row r="42854" s="76" customFormat="1" ht="21.95" customHeight="1" x14ac:dyDescent="0.15"/>
    <row r="42855" s="76" customFormat="1" ht="21.95" customHeight="1" x14ac:dyDescent="0.15"/>
    <row r="42856" s="76" customFormat="1" ht="21.95" customHeight="1" x14ac:dyDescent="0.15"/>
    <row r="42857" s="76" customFormat="1" ht="21.95" customHeight="1" x14ac:dyDescent="0.15"/>
    <row r="42858" s="76" customFormat="1" ht="21.95" customHeight="1" x14ac:dyDescent="0.15"/>
    <row r="42859" s="76" customFormat="1" ht="21.95" customHeight="1" x14ac:dyDescent="0.15"/>
    <row r="42860" s="76" customFormat="1" ht="21.95" customHeight="1" x14ac:dyDescent="0.15"/>
    <row r="42861" s="76" customFormat="1" ht="21.95" customHeight="1" x14ac:dyDescent="0.15"/>
    <row r="42862" s="76" customFormat="1" ht="21.95" customHeight="1" x14ac:dyDescent="0.15"/>
    <row r="42863" s="76" customFormat="1" ht="21.95" customHeight="1" x14ac:dyDescent="0.15"/>
    <row r="42864" s="76" customFormat="1" ht="21.95" customHeight="1" x14ac:dyDescent="0.15"/>
    <row r="42865" s="76" customFormat="1" ht="21.95" customHeight="1" x14ac:dyDescent="0.15"/>
    <row r="42866" s="76" customFormat="1" ht="21.95" customHeight="1" x14ac:dyDescent="0.15"/>
    <row r="42867" s="76" customFormat="1" ht="21.95" customHeight="1" x14ac:dyDescent="0.15"/>
    <row r="42868" s="76" customFormat="1" ht="21.95" customHeight="1" x14ac:dyDescent="0.15"/>
    <row r="42869" s="76" customFormat="1" ht="21.95" customHeight="1" x14ac:dyDescent="0.15"/>
    <row r="42870" s="76" customFormat="1" ht="21.95" customHeight="1" x14ac:dyDescent="0.15"/>
    <row r="42871" s="76" customFormat="1" ht="21.95" customHeight="1" x14ac:dyDescent="0.15"/>
    <row r="42872" s="76" customFormat="1" ht="21.95" customHeight="1" x14ac:dyDescent="0.15"/>
    <row r="42873" s="76" customFormat="1" ht="35.1" customHeight="1" x14ac:dyDescent="0.15"/>
    <row r="42874" s="76" customFormat="1" ht="21.95" customHeight="1" x14ac:dyDescent="0.15"/>
    <row r="42875" s="76" customFormat="1" ht="21.95" customHeight="1" x14ac:dyDescent="0.15"/>
    <row r="42876" s="76" customFormat="1" ht="21.95" customHeight="1" x14ac:dyDescent="0.15"/>
    <row r="42877" s="76" customFormat="1" ht="21.95" customHeight="1" x14ac:dyDescent="0.15"/>
    <row r="42878" s="76" customFormat="1" ht="21.95" customHeight="1" x14ac:dyDescent="0.15"/>
    <row r="42879" s="76" customFormat="1" ht="21.95" customHeight="1" x14ac:dyDescent="0.15"/>
    <row r="42880" s="76" customFormat="1" ht="21.95" customHeight="1" x14ac:dyDescent="0.15"/>
    <row r="42881" s="76" customFormat="1" ht="21.95" customHeight="1" x14ac:dyDescent="0.15"/>
    <row r="42882" s="76" customFormat="1" ht="21.95" customHeight="1" x14ac:dyDescent="0.15"/>
    <row r="42883" s="76" customFormat="1" ht="21.95" customHeight="1" x14ac:dyDescent="0.15"/>
    <row r="42884" s="76" customFormat="1" ht="21.95" customHeight="1" x14ac:dyDescent="0.15"/>
    <row r="42885" s="76" customFormat="1" ht="21.95" customHeight="1" x14ac:dyDescent="0.15"/>
    <row r="42886" s="76" customFormat="1" ht="21.95" customHeight="1" x14ac:dyDescent="0.15"/>
    <row r="42887" s="76" customFormat="1" ht="21.95" customHeight="1" x14ac:dyDescent="0.15"/>
    <row r="42888" s="76" customFormat="1" ht="21.95" customHeight="1" x14ac:dyDescent="0.15"/>
    <row r="42889" s="76" customFormat="1" ht="21.95" customHeight="1" x14ac:dyDescent="0.15"/>
    <row r="42890" s="76" customFormat="1" ht="21.95" customHeight="1" x14ac:dyDescent="0.15"/>
    <row r="42891" s="76" customFormat="1" ht="21.95" customHeight="1" x14ac:dyDescent="0.15"/>
    <row r="42892" s="76" customFormat="1" ht="21.95" customHeight="1" x14ac:dyDescent="0.15"/>
    <row r="42893" s="76" customFormat="1" ht="21.95" customHeight="1" x14ac:dyDescent="0.15"/>
    <row r="42894" s="76" customFormat="1" ht="21.95" customHeight="1" x14ac:dyDescent="0.15"/>
    <row r="42895" s="76" customFormat="1" ht="21.95" customHeight="1" x14ac:dyDescent="0.15"/>
    <row r="42896" s="76" customFormat="1" ht="21.95" customHeight="1" x14ac:dyDescent="0.15"/>
    <row r="42897" spans="3:3" customFormat="1" ht="21.95" customHeight="1" x14ac:dyDescent="0.15"/>
    <row r="42898" spans="3:3" customFormat="1" ht="21.95" customHeight="1" x14ac:dyDescent="0.15"/>
    <row r="42899" spans="3:3" customFormat="1" ht="21.95" customHeight="1" x14ac:dyDescent="0.15">
      <c r="C42899" s="94"/>
    </row>
    <row r="42900" spans="3:3" customFormat="1" ht="21.95" customHeight="1" x14ac:dyDescent="0.15">
      <c r="C42900" s="94"/>
    </row>
    <row r="42901" spans="3:3" customFormat="1" ht="21.95" customHeight="1" x14ac:dyDescent="0.15"/>
    <row r="42902" spans="3:3" customFormat="1" ht="21.95" customHeight="1" x14ac:dyDescent="0.15"/>
    <row r="42903" spans="3:3" customFormat="1" ht="21.95" customHeight="1" x14ac:dyDescent="0.15"/>
    <row r="42904" spans="3:3" customFormat="1" ht="21.95" customHeight="1" x14ac:dyDescent="0.15"/>
    <row r="42905" spans="3:3" customFormat="1" ht="21.95" customHeight="1" x14ac:dyDescent="0.15"/>
    <row r="42906" spans="3:3" customFormat="1" ht="21.95" customHeight="1" x14ac:dyDescent="0.15"/>
    <row r="42907" spans="3:3" customFormat="1" ht="21.95" customHeight="1" x14ac:dyDescent="0.15"/>
    <row r="42908" spans="3:3" s="76" customFormat="1" ht="21.95" customHeight="1" x14ac:dyDescent="0.15"/>
    <row r="42909" spans="3:3" s="76" customFormat="1" ht="21.95" customHeight="1" x14ac:dyDescent="0.15"/>
    <row r="42910" spans="3:3" s="76" customFormat="1" ht="21.95" customHeight="1" x14ac:dyDescent="0.15"/>
    <row r="42911" spans="3:3" s="76" customFormat="1" ht="21.95" customHeight="1" x14ac:dyDescent="0.15"/>
    <row r="42912" spans="3:3" customFormat="1" ht="21.95" customHeight="1" x14ac:dyDescent="0.15"/>
    <row r="42913" customFormat="1" ht="21.95" customHeight="1" x14ac:dyDescent="0.15"/>
    <row r="42914" customFormat="1" ht="21.95" customHeight="1" x14ac:dyDescent="0.15"/>
    <row r="42915" customFormat="1" ht="21.95" customHeight="1" x14ac:dyDescent="0.15"/>
    <row r="42916" customFormat="1" ht="21.95" customHeight="1" x14ac:dyDescent="0.15"/>
    <row r="42917" customFormat="1" ht="21.95" customHeight="1" x14ac:dyDescent="0.15"/>
    <row r="42918" customFormat="1" ht="21.95" customHeight="1" x14ac:dyDescent="0.15"/>
    <row r="42919" customFormat="1" ht="21.95" customHeight="1" x14ac:dyDescent="0.15"/>
    <row r="42920" customFormat="1" ht="21.95" customHeight="1" x14ac:dyDescent="0.15"/>
    <row r="42921" customFormat="1" ht="21.95" customHeight="1" x14ac:dyDescent="0.15"/>
    <row r="42922" customFormat="1" ht="21.95" customHeight="1" x14ac:dyDescent="0.15"/>
    <row r="42923" customFormat="1" ht="32.1" customHeight="1" x14ac:dyDescent="0.15"/>
    <row r="42924" customFormat="1" ht="32.1" customHeight="1" x14ac:dyDescent="0.15"/>
    <row r="42925" customFormat="1" ht="32.1" customHeight="1" x14ac:dyDescent="0.15"/>
    <row r="42926" customFormat="1" ht="32.1" customHeight="1" x14ac:dyDescent="0.15"/>
    <row r="42927" customFormat="1" ht="32.1" customHeight="1" x14ac:dyDescent="0.15"/>
    <row r="42928" customFormat="1" ht="32.1" customHeight="1" x14ac:dyDescent="0.15"/>
    <row r="42929" s="76" customFormat="1" ht="32.1" customHeight="1" x14ac:dyDescent="0.15"/>
    <row r="42930" s="76" customFormat="1" ht="32.1" customHeight="1" x14ac:dyDescent="0.15"/>
    <row r="42931" s="76" customFormat="1" ht="32.1" customHeight="1" x14ac:dyDescent="0.15"/>
    <row r="42932" s="76" customFormat="1" ht="32.1" customHeight="1" x14ac:dyDescent="0.15"/>
    <row r="42933" s="76" customFormat="1" ht="21.95" customHeight="1" x14ac:dyDescent="0.15"/>
    <row r="42934" s="76" customFormat="1" ht="54" customHeight="1" x14ac:dyDescent="0.15"/>
    <row r="42935" s="76" customFormat="1" ht="21.95" customHeight="1" x14ac:dyDescent="0.15"/>
    <row r="42936" s="76" customFormat="1" ht="21.95" customHeight="1" x14ac:dyDescent="0.15"/>
    <row r="42937" s="76" customFormat="1" ht="21.95" customHeight="1" x14ac:dyDescent="0.15"/>
    <row r="42938" s="76" customFormat="1" ht="21.95" customHeight="1" x14ac:dyDescent="0.15"/>
    <row r="42939" s="76" customFormat="1" ht="21.95" customHeight="1" x14ac:dyDescent="0.15"/>
    <row r="42940" s="76" customFormat="1" ht="21.95" customHeight="1" x14ac:dyDescent="0.15"/>
    <row r="42941" s="76" customFormat="1" ht="21.95" customHeight="1" x14ac:dyDescent="0.15"/>
    <row r="42942" s="76" customFormat="1" ht="21.95" customHeight="1" x14ac:dyDescent="0.15"/>
    <row r="42943" s="76" customFormat="1" ht="21.95" customHeight="1" x14ac:dyDescent="0.15"/>
    <row r="42944" s="76" customFormat="1" ht="21.95" customHeight="1" x14ac:dyDescent="0.15"/>
    <row r="42945" s="76" customFormat="1" ht="21.95" customHeight="1" x14ac:dyDescent="0.15"/>
    <row r="42946" s="76" customFormat="1" ht="21.95" customHeight="1" x14ac:dyDescent="0.15"/>
    <row r="42947" s="76" customFormat="1" ht="21.95" customHeight="1" x14ac:dyDescent="0.15"/>
    <row r="42948" s="76" customFormat="1" ht="21.95" customHeight="1" x14ac:dyDescent="0.15"/>
    <row r="42949" s="76" customFormat="1" ht="21.95" customHeight="1" x14ac:dyDescent="0.15"/>
    <row r="42950" s="76" customFormat="1" ht="21.95" customHeight="1" x14ac:dyDescent="0.15"/>
    <row r="42951" s="76" customFormat="1" ht="21.95" customHeight="1" x14ac:dyDescent="0.15"/>
    <row r="42952" s="76" customFormat="1" ht="21.95" customHeight="1" x14ac:dyDescent="0.15"/>
    <row r="42953" s="76" customFormat="1" ht="21.95" customHeight="1" x14ac:dyDescent="0.15"/>
    <row r="42954" s="76" customFormat="1" ht="21.95" customHeight="1" x14ac:dyDescent="0.15"/>
    <row r="42955" s="76" customFormat="1" ht="21.95" customHeight="1" x14ac:dyDescent="0.15"/>
    <row r="42956" s="76" customFormat="1" ht="21.95" customHeight="1" x14ac:dyDescent="0.15"/>
    <row r="42957" s="76" customFormat="1" ht="21.95" customHeight="1" x14ac:dyDescent="0.15"/>
    <row r="42958" s="76" customFormat="1" ht="21.95" customHeight="1" x14ac:dyDescent="0.15"/>
    <row r="42959" s="76" customFormat="1" ht="21.95" customHeight="1" x14ac:dyDescent="0.15"/>
    <row r="42960" s="76" customFormat="1" ht="21.95" customHeight="1" x14ac:dyDescent="0.15"/>
    <row r="42961" s="76" customFormat="1" ht="21.95" customHeight="1" x14ac:dyDescent="0.15"/>
    <row r="42962" s="76" customFormat="1" ht="21.95" customHeight="1" x14ac:dyDescent="0.15"/>
    <row r="42963" s="76" customFormat="1" ht="21.95" customHeight="1" x14ac:dyDescent="0.15"/>
    <row r="42964" s="76" customFormat="1" ht="21.95" customHeight="1" x14ac:dyDescent="0.15"/>
    <row r="42965" s="76" customFormat="1" ht="21.95" customHeight="1" x14ac:dyDescent="0.15"/>
    <row r="42966" s="76" customFormat="1" ht="21.95" customHeight="1" x14ac:dyDescent="0.15"/>
    <row r="42967" s="76" customFormat="1" ht="21.95" customHeight="1" x14ac:dyDescent="0.15"/>
    <row r="42968" s="76" customFormat="1" ht="21.95" customHeight="1" x14ac:dyDescent="0.15"/>
    <row r="42969" s="76" customFormat="1" ht="21.95" customHeight="1" x14ac:dyDescent="0.15"/>
    <row r="42970" s="76" customFormat="1" ht="21.95" customHeight="1" x14ac:dyDescent="0.15"/>
    <row r="42971" s="76" customFormat="1" ht="21.95" customHeight="1" x14ac:dyDescent="0.15"/>
    <row r="42972" s="76" customFormat="1" ht="21.95" customHeight="1" x14ac:dyDescent="0.15"/>
    <row r="42973" s="76" customFormat="1" ht="21.95" customHeight="1" x14ac:dyDescent="0.15"/>
    <row r="42974" s="76" customFormat="1" ht="21.95" customHeight="1" x14ac:dyDescent="0.15"/>
    <row r="42975" s="76" customFormat="1" ht="21.95" customHeight="1" x14ac:dyDescent="0.15"/>
    <row r="42976" s="76" customFormat="1" ht="21.95" customHeight="1" x14ac:dyDescent="0.15"/>
    <row r="42977" s="76" customFormat="1" ht="21.95" customHeight="1" x14ac:dyDescent="0.15"/>
    <row r="42978" s="76" customFormat="1" ht="21.95" customHeight="1" x14ac:dyDescent="0.15"/>
    <row r="42979" s="76" customFormat="1" ht="21.95" customHeight="1" x14ac:dyDescent="0.15"/>
    <row r="42980" s="76" customFormat="1" ht="21.95" customHeight="1" x14ac:dyDescent="0.15"/>
    <row r="42981" s="76" customFormat="1" ht="21.95" customHeight="1" x14ac:dyDescent="0.15"/>
    <row r="42982" s="76" customFormat="1" ht="21.95" customHeight="1" x14ac:dyDescent="0.15"/>
    <row r="42983" s="76" customFormat="1" ht="21.95" customHeight="1" x14ac:dyDescent="0.15"/>
    <row r="42984" s="76" customFormat="1" ht="21.95" customHeight="1" x14ac:dyDescent="0.15"/>
    <row r="42985" s="76" customFormat="1" ht="35.1" customHeight="1" x14ac:dyDescent="0.15"/>
    <row r="42986" s="76" customFormat="1" ht="21.95" customHeight="1" x14ac:dyDescent="0.15"/>
    <row r="42987" s="76" customFormat="1" ht="21.95" customHeight="1" x14ac:dyDescent="0.15"/>
    <row r="42988" s="76" customFormat="1" ht="21.95" customHeight="1" x14ac:dyDescent="0.15"/>
    <row r="42989" s="76" customFormat="1" ht="21.95" customHeight="1" x14ac:dyDescent="0.15"/>
    <row r="42990" s="76" customFormat="1" ht="21.95" customHeight="1" x14ac:dyDescent="0.15"/>
    <row r="42991" s="76" customFormat="1" ht="21.95" customHeight="1" x14ac:dyDescent="0.15"/>
    <row r="42992" s="76" customFormat="1" ht="21.95" customHeight="1" x14ac:dyDescent="0.15"/>
    <row r="42993" s="76" customFormat="1" ht="21.95" customHeight="1" x14ac:dyDescent="0.15"/>
    <row r="42994" s="76" customFormat="1" ht="21.95" customHeight="1" x14ac:dyDescent="0.15"/>
    <row r="42995" s="76" customFormat="1" ht="21.95" customHeight="1" x14ac:dyDescent="0.15"/>
    <row r="42996" s="76" customFormat="1" ht="21.95" customHeight="1" x14ac:dyDescent="0.15"/>
    <row r="42997" s="76" customFormat="1" ht="21.95" customHeight="1" x14ac:dyDescent="0.15"/>
    <row r="42998" s="76" customFormat="1" ht="21.95" customHeight="1" x14ac:dyDescent="0.15"/>
    <row r="42999" s="76" customFormat="1" ht="21.95" customHeight="1" x14ac:dyDescent="0.15"/>
    <row r="43000" s="76" customFormat="1" ht="21.95" customHeight="1" x14ac:dyDescent="0.15"/>
    <row r="43001" s="76" customFormat="1" ht="21.95" customHeight="1" x14ac:dyDescent="0.15"/>
    <row r="43002" s="76" customFormat="1" ht="21.95" customHeight="1" x14ac:dyDescent="0.15"/>
    <row r="43003" s="76" customFormat="1" ht="21.95" customHeight="1" x14ac:dyDescent="0.15"/>
    <row r="43004" s="76" customFormat="1" ht="21.95" customHeight="1" x14ac:dyDescent="0.15"/>
    <row r="43005" s="76" customFormat="1" ht="21.95" customHeight="1" x14ac:dyDescent="0.15"/>
    <row r="43006" s="76" customFormat="1" ht="21.95" customHeight="1" x14ac:dyDescent="0.15"/>
    <row r="43007" s="76" customFormat="1" ht="21.95" customHeight="1" x14ac:dyDescent="0.15"/>
    <row r="43008" s="76" customFormat="1" ht="21.95" customHeight="1" x14ac:dyDescent="0.15"/>
    <row r="43009" spans="3:3" customFormat="1" ht="21.95" customHeight="1" x14ac:dyDescent="0.15"/>
    <row r="43010" spans="3:3" customFormat="1" ht="21.95" customHeight="1" x14ac:dyDescent="0.15"/>
    <row r="43011" spans="3:3" customFormat="1" ht="21.95" customHeight="1" x14ac:dyDescent="0.15">
      <c r="C43011" s="94"/>
    </row>
    <row r="43012" spans="3:3" customFormat="1" ht="21.95" customHeight="1" x14ac:dyDescent="0.15">
      <c r="C43012" s="94"/>
    </row>
    <row r="43013" spans="3:3" customFormat="1" ht="21.95" customHeight="1" x14ac:dyDescent="0.15"/>
    <row r="43014" spans="3:3" customFormat="1" ht="21.95" customHeight="1" x14ac:dyDescent="0.15"/>
    <row r="43015" spans="3:3" customFormat="1" ht="21.95" customHeight="1" x14ac:dyDescent="0.15"/>
    <row r="43016" spans="3:3" customFormat="1" ht="21.95" customHeight="1" x14ac:dyDescent="0.15"/>
    <row r="43017" spans="3:3" customFormat="1" ht="21.95" customHeight="1" x14ac:dyDescent="0.15"/>
    <row r="43018" spans="3:3" customFormat="1" ht="21.95" customHeight="1" x14ac:dyDescent="0.15"/>
    <row r="43019" spans="3:3" customFormat="1" ht="21.95" customHeight="1" x14ac:dyDescent="0.15"/>
    <row r="43020" spans="3:3" s="76" customFormat="1" ht="21.95" customHeight="1" x14ac:dyDescent="0.15"/>
    <row r="43021" spans="3:3" s="76" customFormat="1" ht="21.95" customHeight="1" x14ac:dyDescent="0.15"/>
    <row r="43022" spans="3:3" s="76" customFormat="1" ht="21.95" customHeight="1" x14ac:dyDescent="0.15"/>
    <row r="43023" spans="3:3" s="76" customFormat="1" ht="21.95" customHeight="1" x14ac:dyDescent="0.15"/>
    <row r="43024" spans="3:3" customFormat="1" ht="21.95" customHeight="1" x14ac:dyDescent="0.15"/>
    <row r="43025" customFormat="1" ht="21.95" customHeight="1" x14ac:dyDescent="0.15"/>
    <row r="43026" customFormat="1" ht="21.95" customHeight="1" x14ac:dyDescent="0.15"/>
    <row r="43027" customFormat="1" ht="21.95" customHeight="1" x14ac:dyDescent="0.15"/>
    <row r="43028" customFormat="1" ht="21.95" customHeight="1" x14ac:dyDescent="0.15"/>
    <row r="43029" customFormat="1" ht="21.95" customHeight="1" x14ac:dyDescent="0.15"/>
    <row r="43030" customFormat="1" ht="21.95" customHeight="1" x14ac:dyDescent="0.15"/>
    <row r="43031" customFormat="1" ht="21.95" customHeight="1" x14ac:dyDescent="0.15"/>
    <row r="43032" customFormat="1" ht="21.95" customHeight="1" x14ac:dyDescent="0.15"/>
    <row r="43033" customFormat="1" ht="21.95" customHeight="1" x14ac:dyDescent="0.15"/>
    <row r="43034" customFormat="1" ht="21.95" customHeight="1" x14ac:dyDescent="0.15"/>
    <row r="43035" customFormat="1" ht="32.1" customHeight="1" x14ac:dyDescent="0.15"/>
    <row r="43036" customFormat="1" ht="32.1" customHeight="1" x14ac:dyDescent="0.15"/>
    <row r="43037" customFormat="1" ht="32.1" customHeight="1" x14ac:dyDescent="0.15"/>
    <row r="43038" customFormat="1" ht="32.1" customHeight="1" x14ac:dyDescent="0.15"/>
    <row r="43039" customFormat="1" ht="32.1" customHeight="1" x14ac:dyDescent="0.15"/>
    <row r="43040" customFormat="1" ht="32.1" customHeight="1" x14ac:dyDescent="0.15"/>
    <row r="43041" s="76" customFormat="1" ht="32.1" customHeight="1" x14ac:dyDescent="0.15"/>
    <row r="43042" s="76" customFormat="1" ht="32.1" customHeight="1" x14ac:dyDescent="0.15"/>
    <row r="43043" s="76" customFormat="1" ht="32.1" customHeight="1" x14ac:dyDescent="0.15"/>
    <row r="43044" s="76" customFormat="1" ht="32.1" customHeight="1" x14ac:dyDescent="0.15"/>
    <row r="43045" s="76" customFormat="1" ht="21.95" customHeight="1" x14ac:dyDescent="0.15"/>
    <row r="43046" s="76" customFormat="1" ht="54" customHeight="1" x14ac:dyDescent="0.15"/>
    <row r="43047" s="76" customFormat="1" ht="21.95" customHeight="1" x14ac:dyDescent="0.15"/>
    <row r="43048" s="76" customFormat="1" ht="21.95" customHeight="1" x14ac:dyDescent="0.15"/>
    <row r="43049" s="76" customFormat="1" ht="21.95" customHeight="1" x14ac:dyDescent="0.15"/>
    <row r="43050" s="76" customFormat="1" ht="21.95" customHeight="1" x14ac:dyDescent="0.15"/>
    <row r="43051" s="76" customFormat="1" ht="21.95" customHeight="1" x14ac:dyDescent="0.15"/>
    <row r="43052" s="76" customFormat="1" ht="21.95" customHeight="1" x14ac:dyDescent="0.15"/>
    <row r="43053" s="76" customFormat="1" ht="21.95" customHeight="1" x14ac:dyDescent="0.15"/>
    <row r="43054" s="76" customFormat="1" ht="21.95" customHeight="1" x14ac:dyDescent="0.15"/>
    <row r="43055" s="76" customFormat="1" ht="21.95" customHeight="1" x14ac:dyDescent="0.15"/>
    <row r="43056" s="76" customFormat="1" ht="21.95" customHeight="1" x14ac:dyDescent="0.15"/>
    <row r="43057" s="76" customFormat="1" ht="21.95" customHeight="1" x14ac:dyDescent="0.15"/>
    <row r="43058" s="76" customFormat="1" ht="21.95" customHeight="1" x14ac:dyDescent="0.15"/>
    <row r="43059" s="76" customFormat="1" ht="21.95" customHeight="1" x14ac:dyDescent="0.15"/>
    <row r="43060" s="76" customFormat="1" ht="21.95" customHeight="1" x14ac:dyDescent="0.15"/>
    <row r="43061" s="76" customFormat="1" ht="21.95" customHeight="1" x14ac:dyDescent="0.15"/>
    <row r="43062" s="76" customFormat="1" ht="21.95" customHeight="1" x14ac:dyDescent="0.15"/>
    <row r="43063" s="76" customFormat="1" ht="21.95" customHeight="1" x14ac:dyDescent="0.15"/>
    <row r="43064" s="76" customFormat="1" ht="21.95" customHeight="1" x14ac:dyDescent="0.15"/>
    <row r="43065" s="76" customFormat="1" ht="21.95" customHeight="1" x14ac:dyDescent="0.15"/>
    <row r="43066" s="76" customFormat="1" ht="21.95" customHeight="1" x14ac:dyDescent="0.15"/>
    <row r="43067" s="76" customFormat="1" ht="21.95" customHeight="1" x14ac:dyDescent="0.15"/>
    <row r="43068" s="76" customFormat="1" ht="21.95" customHeight="1" x14ac:dyDescent="0.15"/>
    <row r="43069" s="76" customFormat="1" ht="21.95" customHeight="1" x14ac:dyDescent="0.15"/>
    <row r="43070" s="76" customFormat="1" ht="21.95" customHeight="1" x14ac:dyDescent="0.15"/>
    <row r="43071" s="76" customFormat="1" ht="21.95" customHeight="1" x14ac:dyDescent="0.15"/>
    <row r="43072" s="76" customFormat="1" ht="21.95" customHeight="1" x14ac:dyDescent="0.15"/>
    <row r="43073" s="76" customFormat="1" ht="21.95" customHeight="1" x14ac:dyDescent="0.15"/>
    <row r="43074" s="76" customFormat="1" ht="21.95" customHeight="1" x14ac:dyDescent="0.15"/>
    <row r="43075" s="76" customFormat="1" ht="21.95" customHeight="1" x14ac:dyDescent="0.15"/>
    <row r="43076" s="76" customFormat="1" ht="21.95" customHeight="1" x14ac:dyDescent="0.15"/>
    <row r="43077" s="76" customFormat="1" ht="21.95" customHeight="1" x14ac:dyDescent="0.15"/>
    <row r="43078" s="76" customFormat="1" ht="21.95" customHeight="1" x14ac:dyDescent="0.15"/>
    <row r="43079" s="76" customFormat="1" ht="21.95" customHeight="1" x14ac:dyDescent="0.15"/>
    <row r="43080" s="76" customFormat="1" ht="21.95" customHeight="1" x14ac:dyDescent="0.15"/>
    <row r="43081" s="76" customFormat="1" ht="21.95" customHeight="1" x14ac:dyDescent="0.15"/>
    <row r="43082" s="76" customFormat="1" ht="21.95" customHeight="1" x14ac:dyDescent="0.15"/>
    <row r="43083" s="76" customFormat="1" ht="21.95" customHeight="1" x14ac:dyDescent="0.15"/>
    <row r="43084" s="76" customFormat="1" ht="21.95" customHeight="1" x14ac:dyDescent="0.15"/>
    <row r="43085" s="76" customFormat="1" ht="21.95" customHeight="1" x14ac:dyDescent="0.15"/>
    <row r="43086" s="76" customFormat="1" ht="21.95" customHeight="1" x14ac:dyDescent="0.15"/>
    <row r="43087" s="76" customFormat="1" ht="21.95" customHeight="1" x14ac:dyDescent="0.15"/>
    <row r="43088" s="76" customFormat="1" ht="21.95" customHeight="1" x14ac:dyDescent="0.15"/>
    <row r="43089" s="76" customFormat="1" ht="21.95" customHeight="1" x14ac:dyDescent="0.15"/>
    <row r="43090" s="76" customFormat="1" ht="21.95" customHeight="1" x14ac:dyDescent="0.15"/>
    <row r="43091" s="76" customFormat="1" ht="21.95" customHeight="1" x14ac:dyDescent="0.15"/>
    <row r="43092" s="76" customFormat="1" ht="21.95" customHeight="1" x14ac:dyDescent="0.15"/>
    <row r="43093" s="76" customFormat="1" ht="21.95" customHeight="1" x14ac:dyDescent="0.15"/>
    <row r="43094" s="76" customFormat="1" ht="21.95" customHeight="1" x14ac:dyDescent="0.15"/>
    <row r="43095" s="76" customFormat="1" ht="21.95" customHeight="1" x14ac:dyDescent="0.15"/>
    <row r="43096" s="76" customFormat="1" ht="21.95" customHeight="1" x14ac:dyDescent="0.15"/>
    <row r="43097" s="76" customFormat="1" ht="35.1" customHeight="1" x14ac:dyDescent="0.15"/>
    <row r="43098" s="76" customFormat="1" ht="21.95" customHeight="1" x14ac:dyDescent="0.15"/>
    <row r="43099" s="76" customFormat="1" ht="21.95" customHeight="1" x14ac:dyDescent="0.15"/>
    <row r="43100" s="76" customFormat="1" ht="21.95" customHeight="1" x14ac:dyDescent="0.15"/>
    <row r="43101" s="76" customFormat="1" ht="21.95" customHeight="1" x14ac:dyDescent="0.15"/>
    <row r="43102" s="76" customFormat="1" ht="21.95" customHeight="1" x14ac:dyDescent="0.15"/>
    <row r="43103" s="76" customFormat="1" ht="21.95" customHeight="1" x14ac:dyDescent="0.15"/>
    <row r="43104" s="76" customFormat="1" ht="21.95" customHeight="1" x14ac:dyDescent="0.15"/>
    <row r="43105" s="76" customFormat="1" ht="21.95" customHeight="1" x14ac:dyDescent="0.15"/>
    <row r="43106" s="76" customFormat="1" ht="21.95" customHeight="1" x14ac:dyDescent="0.15"/>
    <row r="43107" s="76" customFormat="1" ht="21.95" customHeight="1" x14ac:dyDescent="0.15"/>
    <row r="43108" s="76" customFormat="1" ht="21.95" customHeight="1" x14ac:dyDescent="0.15"/>
    <row r="43109" s="76" customFormat="1" ht="21.95" customHeight="1" x14ac:dyDescent="0.15"/>
    <row r="43110" s="76" customFormat="1" ht="21.95" customHeight="1" x14ac:dyDescent="0.15"/>
    <row r="43111" s="76" customFormat="1" ht="21.95" customHeight="1" x14ac:dyDescent="0.15"/>
    <row r="43112" s="76" customFormat="1" ht="21.95" customHeight="1" x14ac:dyDescent="0.15"/>
    <row r="43113" s="76" customFormat="1" ht="21.95" customHeight="1" x14ac:dyDescent="0.15"/>
    <row r="43114" s="76" customFormat="1" ht="21.95" customHeight="1" x14ac:dyDescent="0.15"/>
    <row r="43115" s="76" customFormat="1" ht="21.95" customHeight="1" x14ac:dyDescent="0.15"/>
    <row r="43116" s="76" customFormat="1" ht="21.95" customHeight="1" x14ac:dyDescent="0.15"/>
    <row r="43117" s="76" customFormat="1" ht="21.95" customHeight="1" x14ac:dyDescent="0.15"/>
    <row r="43118" s="76" customFormat="1" ht="21.95" customHeight="1" x14ac:dyDescent="0.15"/>
    <row r="43119" s="76" customFormat="1" ht="21.95" customHeight="1" x14ac:dyDescent="0.15"/>
    <row r="43120" s="76" customFormat="1" ht="21.95" customHeight="1" x14ac:dyDescent="0.15"/>
    <row r="43121" spans="3:3" customFormat="1" ht="21.95" customHeight="1" x14ac:dyDescent="0.15"/>
    <row r="43122" spans="3:3" customFormat="1" ht="21.95" customHeight="1" x14ac:dyDescent="0.15"/>
    <row r="43123" spans="3:3" customFormat="1" ht="21.95" customHeight="1" x14ac:dyDescent="0.15">
      <c r="C43123" s="94"/>
    </row>
    <row r="43124" spans="3:3" customFormat="1" ht="21.95" customHeight="1" x14ac:dyDescent="0.15">
      <c r="C43124" s="94"/>
    </row>
    <row r="43125" spans="3:3" customFormat="1" ht="21.95" customHeight="1" x14ac:dyDescent="0.15"/>
    <row r="43126" spans="3:3" customFormat="1" ht="21.95" customHeight="1" x14ac:dyDescent="0.15"/>
    <row r="43127" spans="3:3" customFormat="1" ht="21.95" customHeight="1" x14ac:dyDescent="0.15"/>
    <row r="43128" spans="3:3" customFormat="1" ht="21.95" customHeight="1" x14ac:dyDescent="0.15"/>
    <row r="43129" spans="3:3" customFormat="1" ht="21.95" customHeight="1" x14ac:dyDescent="0.15"/>
    <row r="43130" spans="3:3" customFormat="1" ht="21.95" customHeight="1" x14ac:dyDescent="0.15"/>
    <row r="43131" spans="3:3" customFormat="1" ht="21.95" customHeight="1" x14ac:dyDescent="0.15"/>
    <row r="43132" spans="3:3" s="76" customFormat="1" ht="21.95" customHeight="1" x14ac:dyDescent="0.15"/>
    <row r="43133" spans="3:3" s="76" customFormat="1" ht="21.95" customHeight="1" x14ac:dyDescent="0.15"/>
    <row r="43134" spans="3:3" s="76" customFormat="1" ht="21.95" customHeight="1" x14ac:dyDescent="0.15"/>
    <row r="43135" spans="3:3" s="76" customFormat="1" ht="21.95" customHeight="1" x14ac:dyDescent="0.15"/>
    <row r="43136" spans="3:3" customFormat="1" ht="21.95" customHeight="1" x14ac:dyDescent="0.15"/>
    <row r="43137" customFormat="1" ht="21.95" customHeight="1" x14ac:dyDescent="0.15"/>
    <row r="43138" customFormat="1" ht="21.95" customHeight="1" x14ac:dyDescent="0.15"/>
    <row r="43139" customFormat="1" ht="21.95" customHeight="1" x14ac:dyDescent="0.15"/>
    <row r="43140" customFormat="1" ht="21.95" customHeight="1" x14ac:dyDescent="0.15"/>
    <row r="43141" customFormat="1" ht="21.95" customHeight="1" x14ac:dyDescent="0.15"/>
    <row r="43142" customFormat="1" ht="21.95" customHeight="1" x14ac:dyDescent="0.15"/>
    <row r="43143" customFormat="1" ht="21.95" customHeight="1" x14ac:dyDescent="0.15"/>
    <row r="43144" customFormat="1" ht="21.95" customHeight="1" x14ac:dyDescent="0.15"/>
    <row r="43145" customFormat="1" ht="21.95" customHeight="1" x14ac:dyDescent="0.15"/>
    <row r="43146" customFormat="1" ht="21.95" customHeight="1" x14ac:dyDescent="0.15"/>
    <row r="43147" customFormat="1" ht="32.1" customHeight="1" x14ac:dyDescent="0.15"/>
    <row r="43148" customFormat="1" ht="32.1" customHeight="1" x14ac:dyDescent="0.15"/>
    <row r="43149" customFormat="1" ht="32.1" customHeight="1" x14ac:dyDescent="0.15"/>
    <row r="43150" customFormat="1" ht="32.1" customHeight="1" x14ac:dyDescent="0.15"/>
    <row r="43151" customFormat="1" ht="32.1" customHeight="1" x14ac:dyDescent="0.15"/>
    <row r="43152" customFormat="1" ht="32.1" customHeight="1" x14ac:dyDescent="0.15"/>
    <row r="43153" s="76" customFormat="1" ht="32.1" customHeight="1" x14ac:dyDescent="0.15"/>
    <row r="43154" s="76" customFormat="1" ht="32.1" customHeight="1" x14ac:dyDescent="0.15"/>
    <row r="43155" s="76" customFormat="1" ht="32.1" customHeight="1" x14ac:dyDescent="0.15"/>
    <row r="43156" s="76" customFormat="1" ht="32.1" customHeight="1" x14ac:dyDescent="0.15"/>
    <row r="43157" s="76" customFormat="1" ht="21.95" customHeight="1" x14ac:dyDescent="0.15"/>
    <row r="43158" s="76" customFormat="1" ht="54" customHeight="1" x14ac:dyDescent="0.15"/>
    <row r="43159" s="76" customFormat="1" ht="21.95" customHeight="1" x14ac:dyDescent="0.15"/>
    <row r="43160" s="76" customFormat="1" ht="21.95" customHeight="1" x14ac:dyDescent="0.15"/>
    <row r="43161" s="76" customFormat="1" ht="21.95" customHeight="1" x14ac:dyDescent="0.15"/>
    <row r="43162" s="76" customFormat="1" ht="21.95" customHeight="1" x14ac:dyDescent="0.15"/>
    <row r="43163" s="76" customFormat="1" ht="21.95" customHeight="1" x14ac:dyDescent="0.15"/>
    <row r="43164" s="76" customFormat="1" ht="21.95" customHeight="1" x14ac:dyDescent="0.15"/>
    <row r="43165" s="76" customFormat="1" ht="21.95" customHeight="1" x14ac:dyDescent="0.15"/>
    <row r="43166" s="76" customFormat="1" ht="21.95" customHeight="1" x14ac:dyDescent="0.15"/>
    <row r="43167" s="76" customFormat="1" ht="21.95" customHeight="1" x14ac:dyDescent="0.15"/>
    <row r="43168" s="76" customFormat="1" ht="21.95" customHeight="1" x14ac:dyDescent="0.15"/>
    <row r="43169" s="76" customFormat="1" ht="21.95" customHeight="1" x14ac:dyDescent="0.15"/>
    <row r="43170" s="76" customFormat="1" ht="21.95" customHeight="1" x14ac:dyDescent="0.15"/>
    <row r="43171" s="76" customFormat="1" ht="21.95" customHeight="1" x14ac:dyDescent="0.15"/>
    <row r="43172" s="76" customFormat="1" ht="21.95" customHeight="1" x14ac:dyDescent="0.15"/>
    <row r="43173" s="76" customFormat="1" ht="21.95" customHeight="1" x14ac:dyDescent="0.15"/>
    <row r="43174" s="76" customFormat="1" ht="21.95" customHeight="1" x14ac:dyDescent="0.15"/>
    <row r="43175" s="76" customFormat="1" ht="21.95" customHeight="1" x14ac:dyDescent="0.15"/>
    <row r="43176" s="76" customFormat="1" ht="21.95" customHeight="1" x14ac:dyDescent="0.15"/>
    <row r="43177" s="76" customFormat="1" ht="21.95" customHeight="1" x14ac:dyDescent="0.15"/>
    <row r="43178" s="76" customFormat="1" ht="21.95" customHeight="1" x14ac:dyDescent="0.15"/>
    <row r="43179" s="76" customFormat="1" ht="21.95" customHeight="1" x14ac:dyDescent="0.15"/>
    <row r="43180" s="76" customFormat="1" ht="21.95" customHeight="1" x14ac:dyDescent="0.15"/>
    <row r="43181" s="76" customFormat="1" ht="21.95" customHeight="1" x14ac:dyDescent="0.15"/>
    <row r="43182" s="76" customFormat="1" ht="21.95" customHeight="1" x14ac:dyDescent="0.15"/>
    <row r="43183" s="76" customFormat="1" ht="21.95" customHeight="1" x14ac:dyDescent="0.15"/>
    <row r="43184" s="76" customFormat="1" ht="21.95" customHeight="1" x14ac:dyDescent="0.15"/>
    <row r="43185" s="76" customFormat="1" ht="21.95" customHeight="1" x14ac:dyDescent="0.15"/>
    <row r="43186" s="76" customFormat="1" ht="21.95" customHeight="1" x14ac:dyDescent="0.15"/>
    <row r="43187" s="76" customFormat="1" ht="21.95" customHeight="1" x14ac:dyDescent="0.15"/>
    <row r="43188" s="76" customFormat="1" ht="21.95" customHeight="1" x14ac:dyDescent="0.15"/>
    <row r="43189" s="76" customFormat="1" ht="21.95" customHeight="1" x14ac:dyDescent="0.15"/>
    <row r="43190" s="76" customFormat="1" ht="21.95" customHeight="1" x14ac:dyDescent="0.15"/>
    <row r="43191" s="76" customFormat="1" ht="21.95" customHeight="1" x14ac:dyDescent="0.15"/>
    <row r="43192" s="76" customFormat="1" ht="21.95" customHeight="1" x14ac:dyDescent="0.15"/>
    <row r="43193" s="76" customFormat="1" ht="21.95" customHeight="1" x14ac:dyDescent="0.15"/>
    <row r="43194" s="76" customFormat="1" ht="21.95" customHeight="1" x14ac:dyDescent="0.15"/>
    <row r="43195" s="76" customFormat="1" ht="21.95" customHeight="1" x14ac:dyDescent="0.15"/>
    <row r="43196" s="76" customFormat="1" ht="21.95" customHeight="1" x14ac:dyDescent="0.15"/>
    <row r="43197" s="76" customFormat="1" ht="21.95" customHeight="1" x14ac:dyDescent="0.15"/>
    <row r="43198" s="76" customFormat="1" ht="21.95" customHeight="1" x14ac:dyDescent="0.15"/>
    <row r="43199" s="76" customFormat="1" ht="21.95" customHeight="1" x14ac:dyDescent="0.15"/>
    <row r="43200" s="76" customFormat="1" ht="21.95" customHeight="1" x14ac:dyDescent="0.15"/>
    <row r="43201" s="76" customFormat="1" ht="21.95" customHeight="1" x14ac:dyDescent="0.15"/>
    <row r="43202" s="76" customFormat="1" ht="21.95" customHeight="1" x14ac:dyDescent="0.15"/>
    <row r="43203" s="76" customFormat="1" ht="21.95" customHeight="1" x14ac:dyDescent="0.15"/>
    <row r="43204" s="76" customFormat="1" ht="21.95" customHeight="1" x14ac:dyDescent="0.15"/>
    <row r="43205" s="76" customFormat="1" ht="21.95" customHeight="1" x14ac:dyDescent="0.15"/>
    <row r="43206" s="76" customFormat="1" ht="21.95" customHeight="1" x14ac:dyDescent="0.15"/>
    <row r="43207" s="76" customFormat="1" ht="21.95" customHeight="1" x14ac:dyDescent="0.15"/>
    <row r="43208" s="76" customFormat="1" ht="21.95" customHeight="1" x14ac:dyDescent="0.15"/>
    <row r="43209" s="76" customFormat="1" ht="35.1" customHeight="1" x14ac:dyDescent="0.15"/>
    <row r="43210" s="76" customFormat="1" ht="21.95" customHeight="1" x14ac:dyDescent="0.15"/>
    <row r="43211" s="76" customFormat="1" ht="21.95" customHeight="1" x14ac:dyDescent="0.15"/>
    <row r="43212" s="76" customFormat="1" ht="21.95" customHeight="1" x14ac:dyDescent="0.15"/>
    <row r="43213" s="76" customFormat="1" ht="21.95" customHeight="1" x14ac:dyDescent="0.15"/>
    <row r="43214" s="76" customFormat="1" ht="21.95" customHeight="1" x14ac:dyDescent="0.15"/>
    <row r="43215" s="76" customFormat="1" ht="21.95" customHeight="1" x14ac:dyDescent="0.15"/>
    <row r="43216" s="76" customFormat="1" ht="21.95" customHeight="1" x14ac:dyDescent="0.15"/>
    <row r="43217" s="76" customFormat="1" ht="21.95" customHeight="1" x14ac:dyDescent="0.15"/>
    <row r="43218" s="76" customFormat="1" ht="21.95" customHeight="1" x14ac:dyDescent="0.15"/>
    <row r="43219" s="76" customFormat="1" ht="21.95" customHeight="1" x14ac:dyDescent="0.15"/>
    <row r="43220" s="76" customFormat="1" ht="21.95" customHeight="1" x14ac:dyDescent="0.15"/>
    <row r="43221" s="76" customFormat="1" ht="21.95" customHeight="1" x14ac:dyDescent="0.15"/>
    <row r="43222" s="76" customFormat="1" ht="21.95" customHeight="1" x14ac:dyDescent="0.15"/>
    <row r="43223" s="76" customFormat="1" ht="21.95" customHeight="1" x14ac:dyDescent="0.15"/>
    <row r="43224" s="76" customFormat="1" ht="21.95" customHeight="1" x14ac:dyDescent="0.15"/>
    <row r="43225" s="76" customFormat="1" ht="21.95" customHeight="1" x14ac:dyDescent="0.15"/>
    <row r="43226" s="76" customFormat="1" ht="21.95" customHeight="1" x14ac:dyDescent="0.15"/>
    <row r="43227" s="76" customFormat="1" ht="21.95" customHeight="1" x14ac:dyDescent="0.15"/>
    <row r="43228" s="76" customFormat="1" ht="21.95" customHeight="1" x14ac:dyDescent="0.15"/>
    <row r="43229" s="76" customFormat="1" ht="21.95" customHeight="1" x14ac:dyDescent="0.15"/>
    <row r="43230" s="76" customFormat="1" ht="21.95" customHeight="1" x14ac:dyDescent="0.15"/>
    <row r="43231" s="76" customFormat="1" ht="21.95" customHeight="1" x14ac:dyDescent="0.15"/>
    <row r="43232" s="76" customFormat="1" ht="21.95" customHeight="1" x14ac:dyDescent="0.15"/>
    <row r="43233" spans="3:3" customFormat="1" ht="21.95" customHeight="1" x14ac:dyDescent="0.15"/>
    <row r="43234" spans="3:3" customFormat="1" ht="21.95" customHeight="1" x14ac:dyDescent="0.15"/>
    <row r="43235" spans="3:3" customFormat="1" ht="21.95" customHeight="1" x14ac:dyDescent="0.15">
      <c r="C43235" s="94"/>
    </row>
    <row r="43236" spans="3:3" customFormat="1" ht="21.95" customHeight="1" x14ac:dyDescent="0.15">
      <c r="C43236" s="94"/>
    </row>
    <row r="43237" spans="3:3" customFormat="1" ht="21.95" customHeight="1" x14ac:dyDescent="0.15"/>
    <row r="43238" spans="3:3" customFormat="1" ht="21.95" customHeight="1" x14ac:dyDescent="0.15"/>
    <row r="43239" spans="3:3" customFormat="1" ht="21.95" customHeight="1" x14ac:dyDescent="0.15"/>
    <row r="43240" spans="3:3" customFormat="1" ht="21.95" customHeight="1" x14ac:dyDescent="0.15"/>
    <row r="43241" spans="3:3" customFormat="1" ht="21.95" customHeight="1" x14ac:dyDescent="0.15"/>
    <row r="43242" spans="3:3" customFormat="1" ht="21.95" customHeight="1" x14ac:dyDescent="0.15"/>
    <row r="43243" spans="3:3" customFormat="1" ht="21.95" customHeight="1" x14ac:dyDescent="0.15"/>
    <row r="43244" spans="3:3" s="76" customFormat="1" ht="21.95" customHeight="1" x14ac:dyDescent="0.15"/>
    <row r="43245" spans="3:3" s="76" customFormat="1" ht="21.95" customHeight="1" x14ac:dyDescent="0.15"/>
    <row r="43246" spans="3:3" s="76" customFormat="1" ht="21.95" customHeight="1" x14ac:dyDescent="0.15"/>
    <row r="43247" spans="3:3" s="76" customFormat="1" ht="21.95" customHeight="1" x14ac:dyDescent="0.15"/>
    <row r="43248" spans="3:3" customFormat="1" ht="21.95" customHeight="1" x14ac:dyDescent="0.15"/>
    <row r="43249" customFormat="1" ht="21.95" customHeight="1" x14ac:dyDescent="0.15"/>
    <row r="43250" customFormat="1" ht="21.95" customHeight="1" x14ac:dyDescent="0.15"/>
    <row r="43251" customFormat="1" ht="21.95" customHeight="1" x14ac:dyDescent="0.15"/>
    <row r="43252" customFormat="1" ht="21.95" customHeight="1" x14ac:dyDescent="0.15"/>
    <row r="43253" customFormat="1" ht="21.95" customHeight="1" x14ac:dyDescent="0.15"/>
    <row r="43254" customFormat="1" ht="21.95" customHeight="1" x14ac:dyDescent="0.15"/>
    <row r="43255" customFormat="1" ht="21.95" customHeight="1" x14ac:dyDescent="0.15"/>
    <row r="43256" customFormat="1" ht="21.95" customHeight="1" x14ac:dyDescent="0.15"/>
    <row r="43257" customFormat="1" ht="21.95" customHeight="1" x14ac:dyDescent="0.15"/>
    <row r="43258" customFormat="1" ht="21.95" customHeight="1" x14ac:dyDescent="0.15"/>
    <row r="43259" customFormat="1" ht="32.1" customHeight="1" x14ac:dyDescent="0.15"/>
    <row r="43260" customFormat="1" ht="32.1" customHeight="1" x14ac:dyDescent="0.15"/>
    <row r="43261" customFormat="1" ht="32.1" customHeight="1" x14ac:dyDescent="0.15"/>
    <row r="43262" customFormat="1" ht="32.1" customHeight="1" x14ac:dyDescent="0.15"/>
    <row r="43263" customFormat="1" ht="32.1" customHeight="1" x14ac:dyDescent="0.15"/>
    <row r="43264" customFormat="1" ht="32.1" customHeight="1" x14ac:dyDescent="0.15"/>
    <row r="43265" s="76" customFormat="1" ht="32.1" customHeight="1" x14ac:dyDescent="0.15"/>
    <row r="43266" s="76" customFormat="1" ht="32.1" customHeight="1" x14ac:dyDescent="0.15"/>
    <row r="43267" s="76" customFormat="1" ht="32.1" customHeight="1" x14ac:dyDescent="0.15"/>
    <row r="43268" s="76" customFormat="1" ht="32.1" customHeight="1" x14ac:dyDescent="0.15"/>
    <row r="43269" s="76" customFormat="1" ht="21.95" customHeight="1" x14ac:dyDescent="0.15"/>
    <row r="43270" s="76" customFormat="1" ht="54" customHeight="1" x14ac:dyDescent="0.15"/>
    <row r="43271" s="76" customFormat="1" ht="21.95" customHeight="1" x14ac:dyDescent="0.15"/>
    <row r="43272" s="76" customFormat="1" ht="21.95" customHeight="1" x14ac:dyDescent="0.15"/>
    <row r="43273" s="76" customFormat="1" ht="21.95" customHeight="1" x14ac:dyDescent="0.15"/>
    <row r="43274" s="76" customFormat="1" ht="21.95" customHeight="1" x14ac:dyDescent="0.15"/>
    <row r="43275" s="76" customFormat="1" ht="21.95" customHeight="1" x14ac:dyDescent="0.15"/>
    <row r="43276" s="76" customFormat="1" ht="21.95" customHeight="1" x14ac:dyDescent="0.15"/>
    <row r="43277" s="76" customFormat="1" ht="21.95" customHeight="1" x14ac:dyDescent="0.15"/>
    <row r="43278" s="76" customFormat="1" ht="21.95" customHeight="1" x14ac:dyDescent="0.15"/>
    <row r="43279" s="76" customFormat="1" ht="21.95" customHeight="1" x14ac:dyDescent="0.15"/>
    <row r="43280" s="76" customFormat="1" ht="21.95" customHeight="1" x14ac:dyDescent="0.15"/>
    <row r="43281" s="76" customFormat="1" ht="21.95" customHeight="1" x14ac:dyDescent="0.15"/>
    <row r="43282" s="76" customFormat="1" ht="21.95" customHeight="1" x14ac:dyDescent="0.15"/>
    <row r="43283" s="76" customFormat="1" ht="21.95" customHeight="1" x14ac:dyDescent="0.15"/>
    <row r="43284" s="76" customFormat="1" ht="21.95" customHeight="1" x14ac:dyDescent="0.15"/>
    <row r="43285" s="76" customFormat="1" ht="21.95" customHeight="1" x14ac:dyDescent="0.15"/>
    <row r="43286" s="76" customFormat="1" ht="21.95" customHeight="1" x14ac:dyDescent="0.15"/>
    <row r="43287" s="76" customFormat="1" ht="21.95" customHeight="1" x14ac:dyDescent="0.15"/>
    <row r="43288" s="76" customFormat="1" ht="21.95" customHeight="1" x14ac:dyDescent="0.15"/>
    <row r="43289" s="76" customFormat="1" ht="21.95" customHeight="1" x14ac:dyDescent="0.15"/>
    <row r="43290" s="76" customFormat="1" ht="21.95" customHeight="1" x14ac:dyDescent="0.15"/>
    <row r="43291" s="76" customFormat="1" ht="21.95" customHeight="1" x14ac:dyDescent="0.15"/>
    <row r="43292" s="76" customFormat="1" ht="21.95" customHeight="1" x14ac:dyDescent="0.15"/>
    <row r="43293" s="76" customFormat="1" ht="21.95" customHeight="1" x14ac:dyDescent="0.15"/>
    <row r="43294" s="76" customFormat="1" ht="21.95" customHeight="1" x14ac:dyDescent="0.15"/>
    <row r="43295" s="76" customFormat="1" ht="21.95" customHeight="1" x14ac:dyDescent="0.15"/>
    <row r="43296" s="76" customFormat="1" ht="21.95" customHeight="1" x14ac:dyDescent="0.15"/>
    <row r="43297" s="76" customFormat="1" ht="21.95" customHeight="1" x14ac:dyDescent="0.15"/>
    <row r="43298" s="76" customFormat="1" ht="21.95" customHeight="1" x14ac:dyDescent="0.15"/>
    <row r="43299" s="76" customFormat="1" ht="21.95" customHeight="1" x14ac:dyDescent="0.15"/>
    <row r="43300" s="76" customFormat="1" ht="21.95" customHeight="1" x14ac:dyDescent="0.15"/>
    <row r="43301" s="76" customFormat="1" ht="21.95" customHeight="1" x14ac:dyDescent="0.15"/>
    <row r="43302" s="76" customFormat="1" ht="21.95" customHeight="1" x14ac:dyDescent="0.15"/>
    <row r="43303" s="76" customFormat="1" ht="21.95" customHeight="1" x14ac:dyDescent="0.15"/>
    <row r="43304" s="76" customFormat="1" ht="21.95" customHeight="1" x14ac:dyDescent="0.15"/>
    <row r="43305" s="76" customFormat="1" ht="21.95" customHeight="1" x14ac:dyDescent="0.15"/>
    <row r="43306" s="76" customFormat="1" ht="21.95" customHeight="1" x14ac:dyDescent="0.15"/>
    <row r="43307" s="76" customFormat="1" ht="21.95" customHeight="1" x14ac:dyDescent="0.15"/>
    <row r="43308" s="76" customFormat="1" ht="21.95" customHeight="1" x14ac:dyDescent="0.15"/>
    <row r="43309" s="76" customFormat="1" ht="21.95" customHeight="1" x14ac:dyDescent="0.15"/>
    <row r="43310" s="76" customFormat="1" ht="21.95" customHeight="1" x14ac:dyDescent="0.15"/>
    <row r="43311" s="76" customFormat="1" ht="21.95" customHeight="1" x14ac:dyDescent="0.15"/>
    <row r="43312" s="76" customFormat="1" ht="21.95" customHeight="1" x14ac:dyDescent="0.15"/>
    <row r="43313" s="76" customFormat="1" ht="21.95" customHeight="1" x14ac:dyDescent="0.15"/>
    <row r="43314" s="76" customFormat="1" ht="21.95" customHeight="1" x14ac:dyDescent="0.15"/>
    <row r="43315" s="76" customFormat="1" ht="21.95" customHeight="1" x14ac:dyDescent="0.15"/>
    <row r="43316" s="76" customFormat="1" ht="21.95" customHeight="1" x14ac:dyDescent="0.15"/>
    <row r="43317" s="76" customFormat="1" ht="21.95" customHeight="1" x14ac:dyDescent="0.15"/>
    <row r="43318" s="76" customFormat="1" ht="21.95" customHeight="1" x14ac:dyDescent="0.15"/>
    <row r="43319" s="76" customFormat="1" ht="21.95" customHeight="1" x14ac:dyDescent="0.15"/>
    <row r="43320" s="76" customFormat="1" ht="21.95" customHeight="1" x14ac:dyDescent="0.15"/>
    <row r="43321" s="76" customFormat="1" ht="35.1" customHeight="1" x14ac:dyDescent="0.15"/>
    <row r="43322" s="76" customFormat="1" ht="21.95" customHeight="1" x14ac:dyDescent="0.15"/>
    <row r="43323" s="76" customFormat="1" ht="21.95" customHeight="1" x14ac:dyDescent="0.15"/>
    <row r="43324" s="76" customFormat="1" ht="21.95" customHeight="1" x14ac:dyDescent="0.15"/>
    <row r="43325" s="76" customFormat="1" ht="21.95" customHeight="1" x14ac:dyDescent="0.15"/>
    <row r="43326" s="76" customFormat="1" ht="21.95" customHeight="1" x14ac:dyDescent="0.15"/>
    <row r="43327" s="76" customFormat="1" ht="21.95" customHeight="1" x14ac:dyDescent="0.15"/>
    <row r="43328" s="76" customFormat="1" ht="21.95" customHeight="1" x14ac:dyDescent="0.15"/>
    <row r="43329" s="76" customFormat="1" ht="21.95" customHeight="1" x14ac:dyDescent="0.15"/>
    <row r="43330" s="76" customFormat="1" ht="21.95" customHeight="1" x14ac:dyDescent="0.15"/>
    <row r="43331" s="76" customFormat="1" ht="21.95" customHeight="1" x14ac:dyDescent="0.15"/>
    <row r="43332" s="76" customFormat="1" ht="21.95" customHeight="1" x14ac:dyDescent="0.15"/>
    <row r="43333" s="76" customFormat="1" ht="21.95" customHeight="1" x14ac:dyDescent="0.15"/>
    <row r="43334" s="76" customFormat="1" ht="21.95" customHeight="1" x14ac:dyDescent="0.15"/>
    <row r="43335" s="76" customFormat="1" ht="21.95" customHeight="1" x14ac:dyDescent="0.15"/>
    <row r="43336" s="76" customFormat="1" ht="21.95" customHeight="1" x14ac:dyDescent="0.15"/>
    <row r="43337" s="76" customFormat="1" ht="21.95" customHeight="1" x14ac:dyDescent="0.15"/>
    <row r="43338" s="76" customFormat="1" ht="21.95" customHeight="1" x14ac:dyDescent="0.15"/>
    <row r="43339" s="76" customFormat="1" ht="21.95" customHeight="1" x14ac:dyDescent="0.15"/>
    <row r="43340" s="76" customFormat="1" ht="21.95" customHeight="1" x14ac:dyDescent="0.15"/>
    <row r="43341" s="76" customFormat="1" ht="21.95" customHeight="1" x14ac:dyDescent="0.15"/>
    <row r="43342" s="76" customFormat="1" ht="21.95" customHeight="1" x14ac:dyDescent="0.15"/>
    <row r="43343" s="76" customFormat="1" ht="21.95" customHeight="1" x14ac:dyDescent="0.15"/>
    <row r="43344" s="76" customFormat="1" ht="21.95" customHeight="1" x14ac:dyDescent="0.15"/>
    <row r="43345" spans="3:3" customFormat="1" ht="21.95" customHeight="1" x14ac:dyDescent="0.15"/>
    <row r="43346" spans="3:3" customFormat="1" ht="21.95" customHeight="1" x14ac:dyDescent="0.15"/>
    <row r="43347" spans="3:3" customFormat="1" ht="21.95" customHeight="1" x14ac:dyDescent="0.15">
      <c r="C43347" s="94"/>
    </row>
    <row r="43348" spans="3:3" customFormat="1" ht="21.95" customHeight="1" x14ac:dyDescent="0.15">
      <c r="C43348" s="94"/>
    </row>
    <row r="43349" spans="3:3" customFormat="1" ht="21.95" customHeight="1" x14ac:dyDescent="0.15"/>
    <row r="43350" spans="3:3" customFormat="1" ht="21.95" customHeight="1" x14ac:dyDescent="0.15"/>
    <row r="43351" spans="3:3" customFormat="1" ht="21.95" customHeight="1" x14ac:dyDescent="0.15"/>
    <row r="43352" spans="3:3" customFormat="1" ht="21.95" customHeight="1" x14ac:dyDescent="0.15"/>
    <row r="43353" spans="3:3" customFormat="1" ht="21.95" customHeight="1" x14ac:dyDescent="0.15"/>
    <row r="43354" spans="3:3" customFormat="1" ht="21.95" customHeight="1" x14ac:dyDescent="0.15"/>
    <row r="43355" spans="3:3" customFormat="1" ht="21.95" customHeight="1" x14ac:dyDescent="0.15"/>
    <row r="43356" spans="3:3" s="76" customFormat="1" ht="21.95" customHeight="1" x14ac:dyDescent="0.15"/>
    <row r="43357" spans="3:3" s="76" customFormat="1" ht="21.95" customHeight="1" x14ac:dyDescent="0.15"/>
    <row r="43358" spans="3:3" s="76" customFormat="1" ht="21.95" customHeight="1" x14ac:dyDescent="0.15"/>
    <row r="43359" spans="3:3" s="76" customFormat="1" ht="21.95" customHeight="1" x14ac:dyDescent="0.15"/>
    <row r="43360" spans="3:3" customFormat="1" ht="21.95" customHeight="1" x14ac:dyDescent="0.15"/>
    <row r="43361" customFormat="1" ht="21.95" customHeight="1" x14ac:dyDescent="0.15"/>
    <row r="43362" customFormat="1" ht="21.95" customHeight="1" x14ac:dyDescent="0.15"/>
    <row r="43363" customFormat="1" ht="21.95" customHeight="1" x14ac:dyDescent="0.15"/>
    <row r="43364" customFormat="1" ht="21.95" customHeight="1" x14ac:dyDescent="0.15"/>
    <row r="43365" customFormat="1" ht="21.95" customHeight="1" x14ac:dyDescent="0.15"/>
    <row r="43366" customFormat="1" ht="21.95" customHeight="1" x14ac:dyDescent="0.15"/>
    <row r="43367" customFormat="1" ht="21.95" customHeight="1" x14ac:dyDescent="0.15"/>
    <row r="43368" customFormat="1" ht="21.95" customHeight="1" x14ac:dyDescent="0.15"/>
    <row r="43369" customFormat="1" ht="21.95" customHeight="1" x14ac:dyDescent="0.15"/>
    <row r="43370" customFormat="1" ht="21.95" customHeight="1" x14ac:dyDescent="0.15"/>
    <row r="43371" customFormat="1" ht="32.1" customHeight="1" x14ac:dyDescent="0.15"/>
    <row r="43372" customFormat="1" ht="32.1" customHeight="1" x14ac:dyDescent="0.15"/>
    <row r="43373" customFormat="1" ht="32.1" customHeight="1" x14ac:dyDescent="0.15"/>
    <row r="43374" customFormat="1" ht="32.1" customHeight="1" x14ac:dyDescent="0.15"/>
    <row r="43375" customFormat="1" ht="32.1" customHeight="1" x14ac:dyDescent="0.15"/>
    <row r="43376" customFormat="1" ht="32.1" customHeight="1" x14ac:dyDescent="0.15"/>
    <row r="43377" s="76" customFormat="1" ht="32.1" customHeight="1" x14ac:dyDescent="0.15"/>
    <row r="43378" s="76" customFormat="1" ht="32.1" customHeight="1" x14ac:dyDescent="0.15"/>
    <row r="43379" s="76" customFormat="1" ht="32.1" customHeight="1" x14ac:dyDescent="0.15"/>
    <row r="43380" s="76" customFormat="1" ht="32.1" customHeight="1" x14ac:dyDescent="0.15"/>
    <row r="43381" s="76" customFormat="1" ht="21.95" customHeight="1" x14ac:dyDescent="0.15"/>
    <row r="43382" s="76" customFormat="1" ht="54" customHeight="1" x14ac:dyDescent="0.15"/>
    <row r="43383" s="76" customFormat="1" ht="21.95" customHeight="1" x14ac:dyDescent="0.15"/>
    <row r="43384" s="76" customFormat="1" ht="21.95" customHeight="1" x14ac:dyDescent="0.15"/>
    <row r="43385" s="76" customFormat="1" ht="21.95" customHeight="1" x14ac:dyDescent="0.15"/>
    <row r="43386" s="76" customFormat="1" ht="21.95" customHeight="1" x14ac:dyDescent="0.15"/>
    <row r="43387" s="76" customFormat="1" ht="21.95" customHeight="1" x14ac:dyDescent="0.15"/>
    <row r="43388" s="76" customFormat="1" ht="21.95" customHeight="1" x14ac:dyDescent="0.15"/>
    <row r="43389" s="76" customFormat="1" ht="21.95" customHeight="1" x14ac:dyDescent="0.15"/>
    <row r="43390" s="76" customFormat="1" ht="21.95" customHeight="1" x14ac:dyDescent="0.15"/>
    <row r="43391" s="76" customFormat="1" ht="21.95" customHeight="1" x14ac:dyDescent="0.15"/>
    <row r="43392" s="76" customFormat="1" ht="21.95" customHeight="1" x14ac:dyDescent="0.15"/>
    <row r="43393" s="76" customFormat="1" ht="21.95" customHeight="1" x14ac:dyDescent="0.15"/>
    <row r="43394" s="76" customFormat="1" ht="21.95" customHeight="1" x14ac:dyDescent="0.15"/>
    <row r="43395" s="76" customFormat="1" ht="21.95" customHeight="1" x14ac:dyDescent="0.15"/>
    <row r="43396" s="76" customFormat="1" ht="21.95" customHeight="1" x14ac:dyDescent="0.15"/>
    <row r="43397" s="76" customFormat="1" ht="21.95" customHeight="1" x14ac:dyDescent="0.15"/>
    <row r="43398" s="76" customFormat="1" ht="21.95" customHeight="1" x14ac:dyDescent="0.15"/>
    <row r="43399" s="76" customFormat="1" ht="21.95" customHeight="1" x14ac:dyDescent="0.15"/>
    <row r="43400" s="76" customFormat="1" ht="21.95" customHeight="1" x14ac:dyDescent="0.15"/>
    <row r="43401" s="76" customFormat="1" ht="21.95" customHeight="1" x14ac:dyDescent="0.15"/>
    <row r="43402" s="76" customFormat="1" ht="21.95" customHeight="1" x14ac:dyDescent="0.15"/>
    <row r="43403" s="76" customFormat="1" ht="21.95" customHeight="1" x14ac:dyDescent="0.15"/>
    <row r="43404" s="76" customFormat="1" ht="21.95" customHeight="1" x14ac:dyDescent="0.15"/>
    <row r="43405" s="76" customFormat="1" ht="21.95" customHeight="1" x14ac:dyDescent="0.15"/>
    <row r="43406" s="76" customFormat="1" ht="21.95" customHeight="1" x14ac:dyDescent="0.15"/>
    <row r="43407" s="76" customFormat="1" ht="21.95" customHeight="1" x14ac:dyDescent="0.15"/>
    <row r="43408" s="76" customFormat="1" ht="21.95" customHeight="1" x14ac:dyDescent="0.15"/>
    <row r="43409" s="76" customFormat="1" ht="21.95" customHeight="1" x14ac:dyDescent="0.15"/>
    <row r="43410" s="76" customFormat="1" ht="21.95" customHeight="1" x14ac:dyDescent="0.15"/>
    <row r="43411" s="76" customFormat="1" ht="21.95" customHeight="1" x14ac:dyDescent="0.15"/>
    <row r="43412" s="76" customFormat="1" ht="21.95" customHeight="1" x14ac:dyDescent="0.15"/>
    <row r="43413" s="76" customFormat="1" ht="21.95" customHeight="1" x14ac:dyDescent="0.15"/>
    <row r="43414" s="76" customFormat="1" ht="21.95" customHeight="1" x14ac:dyDescent="0.15"/>
    <row r="43415" s="76" customFormat="1" ht="21.95" customHeight="1" x14ac:dyDescent="0.15"/>
    <row r="43416" s="76" customFormat="1" ht="21.95" customHeight="1" x14ac:dyDescent="0.15"/>
    <row r="43417" s="76" customFormat="1" ht="21.95" customHeight="1" x14ac:dyDescent="0.15"/>
    <row r="43418" s="76" customFormat="1" ht="21.95" customHeight="1" x14ac:dyDescent="0.15"/>
    <row r="43419" s="76" customFormat="1" ht="21.95" customHeight="1" x14ac:dyDescent="0.15"/>
    <row r="43420" s="76" customFormat="1" ht="21.95" customHeight="1" x14ac:dyDescent="0.15"/>
    <row r="43421" s="76" customFormat="1" ht="21.95" customHeight="1" x14ac:dyDescent="0.15"/>
    <row r="43422" s="76" customFormat="1" ht="21.95" customHeight="1" x14ac:dyDescent="0.15"/>
    <row r="43423" s="76" customFormat="1" ht="21.95" customHeight="1" x14ac:dyDescent="0.15"/>
    <row r="43424" s="76" customFormat="1" ht="21.95" customHeight="1" x14ac:dyDescent="0.15"/>
    <row r="43425" s="76" customFormat="1" ht="21.95" customHeight="1" x14ac:dyDescent="0.15"/>
    <row r="43426" s="76" customFormat="1" ht="21.95" customHeight="1" x14ac:dyDescent="0.15"/>
    <row r="43427" s="76" customFormat="1" ht="21.95" customHeight="1" x14ac:dyDescent="0.15"/>
    <row r="43428" s="76" customFormat="1" ht="21.95" customHeight="1" x14ac:dyDescent="0.15"/>
    <row r="43429" s="76" customFormat="1" ht="21.95" customHeight="1" x14ac:dyDescent="0.15"/>
    <row r="43430" s="76" customFormat="1" ht="21.95" customHeight="1" x14ac:dyDescent="0.15"/>
    <row r="43431" s="76" customFormat="1" ht="21.95" customHeight="1" x14ac:dyDescent="0.15"/>
    <row r="43432" s="76" customFormat="1" ht="21.95" customHeight="1" x14ac:dyDescent="0.15"/>
    <row r="43433" s="76" customFormat="1" ht="35.1" customHeight="1" x14ac:dyDescent="0.15"/>
    <row r="43434" s="76" customFormat="1" ht="21.95" customHeight="1" x14ac:dyDescent="0.15"/>
    <row r="43435" s="76" customFormat="1" ht="21.95" customHeight="1" x14ac:dyDescent="0.15"/>
    <row r="43436" s="76" customFormat="1" ht="21.95" customHeight="1" x14ac:dyDescent="0.15"/>
    <row r="43437" s="76" customFormat="1" ht="21.95" customHeight="1" x14ac:dyDescent="0.15"/>
    <row r="43438" s="76" customFormat="1" ht="21.95" customHeight="1" x14ac:dyDescent="0.15"/>
    <row r="43439" s="76" customFormat="1" ht="21.95" customHeight="1" x14ac:dyDescent="0.15"/>
    <row r="43440" s="76" customFormat="1" ht="21.95" customHeight="1" x14ac:dyDescent="0.15"/>
    <row r="43441" s="76" customFormat="1" ht="21.95" customHeight="1" x14ac:dyDescent="0.15"/>
    <row r="43442" s="76" customFormat="1" ht="21.95" customHeight="1" x14ac:dyDescent="0.15"/>
    <row r="43443" s="76" customFormat="1" ht="21.95" customHeight="1" x14ac:dyDescent="0.15"/>
    <row r="43444" s="76" customFormat="1" ht="21.95" customHeight="1" x14ac:dyDescent="0.15"/>
    <row r="43445" s="76" customFormat="1" ht="21.95" customHeight="1" x14ac:dyDescent="0.15"/>
    <row r="43446" s="76" customFormat="1" ht="21.95" customHeight="1" x14ac:dyDescent="0.15"/>
    <row r="43447" s="76" customFormat="1" ht="21.95" customHeight="1" x14ac:dyDescent="0.15"/>
    <row r="43448" s="76" customFormat="1" ht="21.95" customHeight="1" x14ac:dyDescent="0.15"/>
    <row r="43449" s="76" customFormat="1" ht="21.95" customHeight="1" x14ac:dyDescent="0.15"/>
    <row r="43450" s="76" customFormat="1" ht="21.95" customHeight="1" x14ac:dyDescent="0.15"/>
    <row r="43451" s="76" customFormat="1" ht="21.95" customHeight="1" x14ac:dyDescent="0.15"/>
    <row r="43452" s="76" customFormat="1" ht="21.95" customHeight="1" x14ac:dyDescent="0.15"/>
    <row r="43453" s="76" customFormat="1" ht="21.95" customHeight="1" x14ac:dyDescent="0.15"/>
    <row r="43454" s="76" customFormat="1" ht="21.95" customHeight="1" x14ac:dyDescent="0.15"/>
    <row r="43455" s="76" customFormat="1" ht="21.95" customHeight="1" x14ac:dyDescent="0.15"/>
    <row r="43456" s="76" customFormat="1" ht="21.95" customHeight="1" x14ac:dyDescent="0.15"/>
    <row r="43457" spans="3:3" customFormat="1" ht="21.95" customHeight="1" x14ac:dyDescent="0.15"/>
    <row r="43458" spans="3:3" customFormat="1" ht="21.95" customHeight="1" x14ac:dyDescent="0.15"/>
    <row r="43459" spans="3:3" customFormat="1" ht="21.95" customHeight="1" x14ac:dyDescent="0.15">
      <c r="C43459" s="94"/>
    </row>
    <row r="43460" spans="3:3" customFormat="1" ht="21.95" customHeight="1" x14ac:dyDescent="0.15">
      <c r="C43460" s="94"/>
    </row>
    <row r="43461" spans="3:3" customFormat="1" ht="21.95" customHeight="1" x14ac:dyDescent="0.15"/>
    <row r="43462" spans="3:3" customFormat="1" ht="21.95" customHeight="1" x14ac:dyDescent="0.15"/>
    <row r="43463" spans="3:3" customFormat="1" ht="21.95" customHeight="1" x14ac:dyDescent="0.15"/>
    <row r="43464" spans="3:3" customFormat="1" ht="21.95" customHeight="1" x14ac:dyDescent="0.15"/>
    <row r="43465" spans="3:3" customFormat="1" ht="21.95" customHeight="1" x14ac:dyDescent="0.15"/>
    <row r="43466" spans="3:3" customFormat="1" ht="21.95" customHeight="1" x14ac:dyDescent="0.15"/>
    <row r="43467" spans="3:3" customFormat="1" ht="21.95" customHeight="1" x14ac:dyDescent="0.15"/>
    <row r="43468" spans="3:3" s="76" customFormat="1" ht="21.95" customHeight="1" x14ac:dyDescent="0.15"/>
    <row r="43469" spans="3:3" s="76" customFormat="1" ht="21.95" customHeight="1" x14ac:dyDescent="0.15"/>
    <row r="43470" spans="3:3" s="76" customFormat="1" ht="21.95" customHeight="1" x14ac:dyDescent="0.15"/>
    <row r="43471" spans="3:3" s="76" customFormat="1" ht="21.95" customHeight="1" x14ac:dyDescent="0.15"/>
    <row r="43472" spans="3:3" customFormat="1" ht="21.95" customHeight="1" x14ac:dyDescent="0.15"/>
    <row r="43473" customFormat="1" ht="21.95" customHeight="1" x14ac:dyDescent="0.15"/>
    <row r="43474" customFormat="1" ht="21.95" customHeight="1" x14ac:dyDescent="0.15"/>
    <row r="43475" customFormat="1" ht="21.95" customHeight="1" x14ac:dyDescent="0.15"/>
    <row r="43476" customFormat="1" ht="21.95" customHeight="1" x14ac:dyDescent="0.15"/>
    <row r="43477" customFormat="1" ht="21.95" customHeight="1" x14ac:dyDescent="0.15"/>
    <row r="43478" customFormat="1" ht="21.95" customHeight="1" x14ac:dyDescent="0.15"/>
    <row r="43479" customFormat="1" ht="21.95" customHeight="1" x14ac:dyDescent="0.15"/>
    <row r="43480" customFormat="1" ht="21.95" customHeight="1" x14ac:dyDescent="0.15"/>
    <row r="43481" customFormat="1" ht="21.95" customHeight="1" x14ac:dyDescent="0.15"/>
    <row r="43482" customFormat="1" ht="21.95" customHeight="1" x14ac:dyDescent="0.15"/>
    <row r="43483" customFormat="1" ht="32.1" customHeight="1" x14ac:dyDescent="0.15"/>
    <row r="43484" customFormat="1" ht="32.1" customHeight="1" x14ac:dyDescent="0.15"/>
    <row r="43485" customFormat="1" ht="32.1" customHeight="1" x14ac:dyDescent="0.15"/>
    <row r="43486" customFormat="1" ht="32.1" customHeight="1" x14ac:dyDescent="0.15"/>
    <row r="43487" customFormat="1" ht="32.1" customHeight="1" x14ac:dyDescent="0.15"/>
    <row r="43488" customFormat="1" ht="32.1" customHeight="1" x14ac:dyDescent="0.15"/>
    <row r="43489" s="76" customFormat="1" ht="32.1" customHeight="1" x14ac:dyDescent="0.15"/>
    <row r="43490" s="76" customFormat="1" ht="32.1" customHeight="1" x14ac:dyDescent="0.15"/>
    <row r="43491" s="76" customFormat="1" ht="32.1" customHeight="1" x14ac:dyDescent="0.15"/>
    <row r="43492" s="76" customFormat="1" ht="32.1" customHeight="1" x14ac:dyDescent="0.15"/>
    <row r="43493" s="76" customFormat="1" ht="21.95" customHeight="1" x14ac:dyDescent="0.15"/>
    <row r="43494" s="76" customFormat="1" ht="54" customHeight="1" x14ac:dyDescent="0.15"/>
    <row r="43495" s="76" customFormat="1" ht="21.95" customHeight="1" x14ac:dyDescent="0.15"/>
    <row r="43496" s="76" customFormat="1" ht="21.95" customHeight="1" x14ac:dyDescent="0.15"/>
    <row r="43497" s="76" customFormat="1" ht="21.95" customHeight="1" x14ac:dyDescent="0.15"/>
    <row r="43498" s="76" customFormat="1" ht="21.95" customHeight="1" x14ac:dyDescent="0.15"/>
    <row r="43499" s="76" customFormat="1" ht="21.95" customHeight="1" x14ac:dyDescent="0.15"/>
    <row r="43500" s="76" customFormat="1" ht="21.95" customHeight="1" x14ac:dyDescent="0.15"/>
    <row r="43501" s="76" customFormat="1" ht="21.95" customHeight="1" x14ac:dyDescent="0.15"/>
    <row r="43502" s="76" customFormat="1" ht="21.95" customHeight="1" x14ac:dyDescent="0.15"/>
    <row r="43503" s="76" customFormat="1" ht="21.95" customHeight="1" x14ac:dyDescent="0.15"/>
    <row r="43504" s="76" customFormat="1" ht="21.95" customHeight="1" x14ac:dyDescent="0.15"/>
    <row r="43505" s="76" customFormat="1" ht="21.95" customHeight="1" x14ac:dyDescent="0.15"/>
    <row r="43506" s="76" customFormat="1" ht="21.95" customHeight="1" x14ac:dyDescent="0.15"/>
    <row r="43507" s="76" customFormat="1" ht="21.95" customHeight="1" x14ac:dyDescent="0.15"/>
    <row r="43508" s="76" customFormat="1" ht="21.95" customHeight="1" x14ac:dyDescent="0.15"/>
    <row r="43509" s="76" customFormat="1" ht="21.95" customHeight="1" x14ac:dyDescent="0.15"/>
    <row r="43510" s="76" customFormat="1" ht="21.95" customHeight="1" x14ac:dyDescent="0.15"/>
    <row r="43511" s="76" customFormat="1" ht="21.95" customHeight="1" x14ac:dyDescent="0.15"/>
    <row r="43512" s="76" customFormat="1" ht="21.95" customHeight="1" x14ac:dyDescent="0.15"/>
    <row r="43513" s="76" customFormat="1" ht="21.95" customHeight="1" x14ac:dyDescent="0.15"/>
    <row r="43514" s="76" customFormat="1" ht="21.95" customHeight="1" x14ac:dyDescent="0.15"/>
    <row r="43515" s="76" customFormat="1" ht="21.95" customHeight="1" x14ac:dyDescent="0.15"/>
    <row r="43516" s="76" customFormat="1" ht="21.95" customHeight="1" x14ac:dyDescent="0.15"/>
    <row r="43517" s="76" customFormat="1" ht="21.95" customHeight="1" x14ac:dyDescent="0.15"/>
    <row r="43518" s="76" customFormat="1" ht="21.95" customHeight="1" x14ac:dyDescent="0.15"/>
    <row r="43519" s="76" customFormat="1" ht="21.95" customHeight="1" x14ac:dyDescent="0.15"/>
    <row r="43520" s="76" customFormat="1" ht="21.95" customHeight="1" x14ac:dyDescent="0.15"/>
    <row r="43521" s="76" customFormat="1" ht="21.95" customHeight="1" x14ac:dyDescent="0.15"/>
    <row r="43522" s="76" customFormat="1" ht="21.95" customHeight="1" x14ac:dyDescent="0.15"/>
    <row r="43523" s="76" customFormat="1" ht="21.95" customHeight="1" x14ac:dyDescent="0.15"/>
    <row r="43524" s="76" customFormat="1" ht="21.95" customHeight="1" x14ac:dyDescent="0.15"/>
    <row r="43525" s="76" customFormat="1" ht="21.95" customHeight="1" x14ac:dyDescent="0.15"/>
    <row r="43526" s="76" customFormat="1" ht="21.95" customHeight="1" x14ac:dyDescent="0.15"/>
    <row r="43527" s="76" customFormat="1" ht="21.95" customHeight="1" x14ac:dyDescent="0.15"/>
    <row r="43528" s="76" customFormat="1" ht="21.95" customHeight="1" x14ac:dyDescent="0.15"/>
    <row r="43529" s="76" customFormat="1" ht="21.95" customHeight="1" x14ac:dyDescent="0.15"/>
    <row r="43530" s="76" customFormat="1" ht="21.95" customHeight="1" x14ac:dyDescent="0.15"/>
    <row r="43531" s="76" customFormat="1" ht="21.95" customHeight="1" x14ac:dyDescent="0.15"/>
    <row r="43532" s="76" customFormat="1" ht="21.95" customHeight="1" x14ac:dyDescent="0.15"/>
    <row r="43533" s="76" customFormat="1" ht="21.95" customHeight="1" x14ac:dyDescent="0.15"/>
    <row r="43534" s="76" customFormat="1" ht="21.95" customHeight="1" x14ac:dyDescent="0.15"/>
    <row r="43535" s="76" customFormat="1" ht="21.95" customHeight="1" x14ac:dyDescent="0.15"/>
    <row r="43536" s="76" customFormat="1" ht="21.95" customHeight="1" x14ac:dyDescent="0.15"/>
    <row r="43537" s="76" customFormat="1" ht="21.95" customHeight="1" x14ac:dyDescent="0.15"/>
    <row r="43538" s="76" customFormat="1" ht="21.95" customHeight="1" x14ac:dyDescent="0.15"/>
    <row r="43539" s="76" customFormat="1" ht="21.95" customHeight="1" x14ac:dyDescent="0.15"/>
    <row r="43540" s="76" customFormat="1" ht="21.95" customHeight="1" x14ac:dyDescent="0.15"/>
    <row r="43541" s="76" customFormat="1" ht="21.95" customHeight="1" x14ac:dyDescent="0.15"/>
    <row r="43542" s="76" customFormat="1" ht="21.95" customHeight="1" x14ac:dyDescent="0.15"/>
    <row r="43543" s="76" customFormat="1" ht="21.95" customHeight="1" x14ac:dyDescent="0.15"/>
    <row r="43544" s="76" customFormat="1" ht="21.95" customHeight="1" x14ac:dyDescent="0.15"/>
    <row r="43545" s="76" customFormat="1" ht="35.1" customHeight="1" x14ac:dyDescent="0.15"/>
    <row r="43546" s="76" customFormat="1" ht="21.95" customHeight="1" x14ac:dyDescent="0.15"/>
    <row r="43547" s="76" customFormat="1" ht="21.95" customHeight="1" x14ac:dyDescent="0.15"/>
    <row r="43548" s="76" customFormat="1" ht="21.95" customHeight="1" x14ac:dyDescent="0.15"/>
    <row r="43549" s="76" customFormat="1" ht="21.95" customHeight="1" x14ac:dyDescent="0.15"/>
    <row r="43550" s="76" customFormat="1" ht="21.95" customHeight="1" x14ac:dyDescent="0.15"/>
    <row r="43551" s="76" customFormat="1" ht="21.95" customHeight="1" x14ac:dyDescent="0.15"/>
    <row r="43552" s="76" customFormat="1" ht="21.95" customHeight="1" x14ac:dyDescent="0.15"/>
    <row r="43553" s="76" customFormat="1" ht="21.95" customHeight="1" x14ac:dyDescent="0.15"/>
    <row r="43554" s="76" customFormat="1" ht="21.95" customHeight="1" x14ac:dyDescent="0.15"/>
    <row r="43555" s="76" customFormat="1" ht="21.95" customHeight="1" x14ac:dyDescent="0.15"/>
    <row r="43556" s="76" customFormat="1" ht="21.95" customHeight="1" x14ac:dyDescent="0.15"/>
    <row r="43557" s="76" customFormat="1" ht="21.95" customHeight="1" x14ac:dyDescent="0.15"/>
    <row r="43558" s="76" customFormat="1" ht="21.95" customHeight="1" x14ac:dyDescent="0.15"/>
    <row r="43559" s="76" customFormat="1" ht="21.95" customHeight="1" x14ac:dyDescent="0.15"/>
    <row r="43560" s="76" customFormat="1" ht="21.95" customHeight="1" x14ac:dyDescent="0.15"/>
    <row r="43561" s="76" customFormat="1" ht="21.95" customHeight="1" x14ac:dyDescent="0.15"/>
    <row r="43562" s="76" customFormat="1" ht="21.95" customHeight="1" x14ac:dyDescent="0.15"/>
    <row r="43563" s="76" customFormat="1" ht="21.95" customHeight="1" x14ac:dyDescent="0.15"/>
    <row r="43564" s="76" customFormat="1" ht="21.95" customHeight="1" x14ac:dyDescent="0.15"/>
    <row r="43565" s="76" customFormat="1" ht="21.95" customHeight="1" x14ac:dyDescent="0.15"/>
    <row r="43566" s="76" customFormat="1" ht="21.95" customHeight="1" x14ac:dyDescent="0.15"/>
    <row r="43567" s="76" customFormat="1" ht="21.95" customHeight="1" x14ac:dyDescent="0.15"/>
    <row r="43568" s="76" customFormat="1" ht="21.95" customHeight="1" x14ac:dyDescent="0.15"/>
    <row r="43569" spans="3:3" customFormat="1" ht="21.95" customHeight="1" x14ac:dyDescent="0.15"/>
    <row r="43570" spans="3:3" customFormat="1" ht="21.95" customHeight="1" x14ac:dyDescent="0.15"/>
    <row r="43571" spans="3:3" customFormat="1" ht="21.95" customHeight="1" x14ac:dyDescent="0.15">
      <c r="C43571" s="94"/>
    </row>
    <row r="43572" spans="3:3" customFormat="1" ht="21.95" customHeight="1" x14ac:dyDescent="0.15">
      <c r="C43572" s="94"/>
    </row>
    <row r="43573" spans="3:3" customFormat="1" ht="21.95" customHeight="1" x14ac:dyDescent="0.15"/>
    <row r="43574" spans="3:3" customFormat="1" ht="21.95" customHeight="1" x14ac:dyDescent="0.15"/>
    <row r="43575" spans="3:3" customFormat="1" ht="21.95" customHeight="1" x14ac:dyDescent="0.15"/>
    <row r="43576" spans="3:3" customFormat="1" ht="21.95" customHeight="1" x14ac:dyDescent="0.15"/>
    <row r="43577" spans="3:3" customFormat="1" ht="21.95" customHeight="1" x14ac:dyDescent="0.15"/>
    <row r="43578" spans="3:3" customFormat="1" ht="21.95" customHeight="1" x14ac:dyDescent="0.15"/>
    <row r="43579" spans="3:3" customFormat="1" ht="21.95" customHeight="1" x14ac:dyDescent="0.15"/>
    <row r="43580" spans="3:3" s="76" customFormat="1" ht="21.95" customHeight="1" x14ac:dyDescent="0.15"/>
    <row r="43581" spans="3:3" s="76" customFormat="1" ht="21.95" customHeight="1" x14ac:dyDescent="0.15"/>
    <row r="43582" spans="3:3" s="76" customFormat="1" ht="21.95" customHeight="1" x14ac:dyDescent="0.15"/>
    <row r="43583" spans="3:3" s="76" customFormat="1" ht="21.95" customHeight="1" x14ac:dyDescent="0.15"/>
    <row r="43584" spans="3:3" customFormat="1" ht="21.95" customHeight="1" x14ac:dyDescent="0.15"/>
    <row r="43585" customFormat="1" ht="21.95" customHeight="1" x14ac:dyDescent="0.15"/>
    <row r="43586" customFormat="1" ht="21.95" customHeight="1" x14ac:dyDescent="0.15"/>
    <row r="43587" customFormat="1" ht="21.95" customHeight="1" x14ac:dyDescent="0.15"/>
    <row r="43588" customFormat="1" ht="21.95" customHeight="1" x14ac:dyDescent="0.15"/>
    <row r="43589" customFormat="1" ht="21.95" customHeight="1" x14ac:dyDescent="0.15"/>
    <row r="43590" customFormat="1" ht="21.95" customHeight="1" x14ac:dyDescent="0.15"/>
    <row r="43591" customFormat="1" ht="21.95" customHeight="1" x14ac:dyDescent="0.15"/>
    <row r="43592" customFormat="1" ht="21.95" customHeight="1" x14ac:dyDescent="0.15"/>
    <row r="43593" customFormat="1" ht="21.95" customHeight="1" x14ac:dyDescent="0.15"/>
    <row r="43594" customFormat="1" ht="21.95" customHeight="1" x14ac:dyDescent="0.15"/>
    <row r="43595" customFormat="1" ht="32.1" customHeight="1" x14ac:dyDescent="0.15"/>
    <row r="43596" customFormat="1" ht="32.1" customHeight="1" x14ac:dyDescent="0.15"/>
    <row r="43597" customFormat="1" ht="32.1" customHeight="1" x14ac:dyDescent="0.15"/>
    <row r="43598" customFormat="1" ht="32.1" customHeight="1" x14ac:dyDescent="0.15"/>
    <row r="43599" customFormat="1" ht="32.1" customHeight="1" x14ac:dyDescent="0.15"/>
    <row r="43600" customFormat="1" ht="32.1" customHeight="1" x14ac:dyDescent="0.15"/>
    <row r="43601" s="76" customFormat="1" ht="32.1" customHeight="1" x14ac:dyDescent="0.15"/>
    <row r="43602" s="76" customFormat="1" ht="32.1" customHeight="1" x14ac:dyDescent="0.15"/>
    <row r="43603" s="76" customFormat="1" ht="32.1" customHeight="1" x14ac:dyDescent="0.15"/>
    <row r="43604" s="76" customFormat="1" ht="32.1" customHeight="1" x14ac:dyDescent="0.15"/>
    <row r="43605" s="76" customFormat="1" ht="21.95" customHeight="1" x14ac:dyDescent="0.15"/>
    <row r="43606" s="76" customFormat="1" ht="54" customHeight="1" x14ac:dyDescent="0.15"/>
    <row r="43607" s="76" customFormat="1" ht="21.95" customHeight="1" x14ac:dyDescent="0.15"/>
    <row r="43608" s="76" customFormat="1" ht="21.95" customHeight="1" x14ac:dyDescent="0.15"/>
    <row r="43609" s="76" customFormat="1" ht="21.95" customHeight="1" x14ac:dyDescent="0.15"/>
    <row r="43610" s="76" customFormat="1" ht="21.95" customHeight="1" x14ac:dyDescent="0.15"/>
    <row r="43611" s="76" customFormat="1" ht="21.95" customHeight="1" x14ac:dyDescent="0.15"/>
    <row r="43612" s="76" customFormat="1" ht="21.95" customHeight="1" x14ac:dyDescent="0.15"/>
    <row r="43613" s="76" customFormat="1" ht="21.95" customHeight="1" x14ac:dyDescent="0.15"/>
    <row r="43614" s="76" customFormat="1" ht="21.95" customHeight="1" x14ac:dyDescent="0.15"/>
    <row r="43615" s="76" customFormat="1" ht="21.95" customHeight="1" x14ac:dyDescent="0.15"/>
    <row r="43616" s="76" customFormat="1" ht="21.95" customHeight="1" x14ac:dyDescent="0.15"/>
    <row r="43617" s="76" customFormat="1" ht="21.95" customHeight="1" x14ac:dyDescent="0.15"/>
    <row r="43618" s="76" customFormat="1" ht="21.95" customHeight="1" x14ac:dyDescent="0.15"/>
    <row r="43619" s="76" customFormat="1" ht="21.95" customHeight="1" x14ac:dyDescent="0.15"/>
    <row r="43620" s="76" customFormat="1" ht="21.95" customHeight="1" x14ac:dyDescent="0.15"/>
    <row r="43621" s="76" customFormat="1" ht="21.95" customHeight="1" x14ac:dyDescent="0.15"/>
    <row r="43622" s="76" customFormat="1" ht="21.95" customHeight="1" x14ac:dyDescent="0.15"/>
    <row r="43623" s="76" customFormat="1" ht="21.95" customHeight="1" x14ac:dyDescent="0.15"/>
    <row r="43624" s="76" customFormat="1" ht="21.95" customHeight="1" x14ac:dyDescent="0.15"/>
    <row r="43625" s="76" customFormat="1" ht="21.95" customHeight="1" x14ac:dyDescent="0.15"/>
    <row r="43626" s="76" customFormat="1" ht="21.95" customHeight="1" x14ac:dyDescent="0.15"/>
    <row r="43627" s="76" customFormat="1" ht="21.95" customHeight="1" x14ac:dyDescent="0.15"/>
    <row r="43628" s="76" customFormat="1" ht="21.95" customHeight="1" x14ac:dyDescent="0.15"/>
    <row r="43629" s="76" customFormat="1" ht="21.95" customHeight="1" x14ac:dyDescent="0.15"/>
    <row r="43630" s="76" customFormat="1" ht="21.95" customHeight="1" x14ac:dyDescent="0.15"/>
    <row r="43631" s="76" customFormat="1" ht="21.95" customHeight="1" x14ac:dyDescent="0.15"/>
    <row r="43632" s="76" customFormat="1" ht="21.95" customHeight="1" x14ac:dyDescent="0.15"/>
    <row r="43633" s="76" customFormat="1" ht="21.95" customHeight="1" x14ac:dyDescent="0.15"/>
    <row r="43634" s="76" customFormat="1" ht="21.95" customHeight="1" x14ac:dyDescent="0.15"/>
    <row r="43635" s="76" customFormat="1" ht="21.95" customHeight="1" x14ac:dyDescent="0.15"/>
    <row r="43636" s="76" customFormat="1" ht="21.95" customHeight="1" x14ac:dyDescent="0.15"/>
    <row r="43637" s="76" customFormat="1" ht="21.95" customHeight="1" x14ac:dyDescent="0.15"/>
    <row r="43638" s="76" customFormat="1" ht="21.95" customHeight="1" x14ac:dyDescent="0.15"/>
    <row r="43639" s="76" customFormat="1" ht="21.95" customHeight="1" x14ac:dyDescent="0.15"/>
    <row r="43640" s="76" customFormat="1" ht="21.95" customHeight="1" x14ac:dyDescent="0.15"/>
    <row r="43641" s="76" customFormat="1" ht="21.95" customHeight="1" x14ac:dyDescent="0.15"/>
    <row r="43642" s="76" customFormat="1" ht="21.95" customHeight="1" x14ac:dyDescent="0.15"/>
    <row r="43643" s="76" customFormat="1" ht="21.95" customHeight="1" x14ac:dyDescent="0.15"/>
    <row r="43644" s="76" customFormat="1" ht="21.95" customHeight="1" x14ac:dyDescent="0.15"/>
    <row r="43645" s="76" customFormat="1" ht="21.95" customHeight="1" x14ac:dyDescent="0.15"/>
    <row r="43646" s="76" customFormat="1" ht="21.95" customHeight="1" x14ac:dyDescent="0.15"/>
    <row r="43647" s="76" customFormat="1" ht="21.95" customHeight="1" x14ac:dyDescent="0.15"/>
    <row r="43648" s="76" customFormat="1" ht="21.95" customHeight="1" x14ac:dyDescent="0.15"/>
    <row r="43649" s="76" customFormat="1" ht="21.95" customHeight="1" x14ac:dyDescent="0.15"/>
    <row r="43650" s="76" customFormat="1" ht="21.95" customHeight="1" x14ac:dyDescent="0.15"/>
    <row r="43651" s="76" customFormat="1" ht="21.95" customHeight="1" x14ac:dyDescent="0.15"/>
    <row r="43652" s="76" customFormat="1" ht="21.95" customHeight="1" x14ac:dyDescent="0.15"/>
    <row r="43653" s="76" customFormat="1" ht="21.95" customHeight="1" x14ac:dyDescent="0.15"/>
    <row r="43654" s="76" customFormat="1" ht="21.95" customHeight="1" x14ac:dyDescent="0.15"/>
    <row r="43655" s="76" customFormat="1" ht="21.95" customHeight="1" x14ac:dyDescent="0.15"/>
    <row r="43656" s="76" customFormat="1" ht="21.95" customHeight="1" x14ac:dyDescent="0.15"/>
    <row r="43657" s="76" customFormat="1" ht="35.1" customHeight="1" x14ac:dyDescent="0.15"/>
    <row r="43658" s="76" customFormat="1" ht="21.95" customHeight="1" x14ac:dyDescent="0.15"/>
    <row r="43659" s="76" customFormat="1" ht="21.95" customHeight="1" x14ac:dyDescent="0.15"/>
    <row r="43660" s="76" customFormat="1" ht="21.95" customHeight="1" x14ac:dyDescent="0.15"/>
    <row r="43661" s="76" customFormat="1" ht="21.95" customHeight="1" x14ac:dyDescent="0.15"/>
    <row r="43662" s="76" customFormat="1" ht="21.95" customHeight="1" x14ac:dyDescent="0.15"/>
    <row r="43663" s="76" customFormat="1" ht="21.95" customHeight="1" x14ac:dyDescent="0.15"/>
    <row r="43664" s="76" customFormat="1" ht="21.95" customHeight="1" x14ac:dyDescent="0.15"/>
    <row r="43665" s="76" customFormat="1" ht="21.95" customHeight="1" x14ac:dyDescent="0.15"/>
    <row r="43666" s="76" customFormat="1" ht="21.95" customHeight="1" x14ac:dyDescent="0.15"/>
    <row r="43667" s="76" customFormat="1" ht="21.95" customHeight="1" x14ac:dyDescent="0.15"/>
    <row r="43668" s="76" customFormat="1" ht="21.95" customHeight="1" x14ac:dyDescent="0.15"/>
    <row r="43669" s="76" customFormat="1" ht="21.95" customHeight="1" x14ac:dyDescent="0.15"/>
    <row r="43670" s="76" customFormat="1" ht="21.95" customHeight="1" x14ac:dyDescent="0.15"/>
    <row r="43671" s="76" customFormat="1" ht="21.95" customHeight="1" x14ac:dyDescent="0.15"/>
    <row r="43672" s="76" customFormat="1" ht="21.95" customHeight="1" x14ac:dyDescent="0.15"/>
    <row r="43673" s="76" customFormat="1" ht="21.95" customHeight="1" x14ac:dyDescent="0.15"/>
    <row r="43674" s="76" customFormat="1" ht="21.95" customHeight="1" x14ac:dyDescent="0.15"/>
    <row r="43675" s="76" customFormat="1" ht="21.95" customHeight="1" x14ac:dyDescent="0.15"/>
    <row r="43676" s="76" customFormat="1" ht="21.95" customHeight="1" x14ac:dyDescent="0.15"/>
    <row r="43677" s="76" customFormat="1" ht="21.95" customHeight="1" x14ac:dyDescent="0.15"/>
    <row r="43678" s="76" customFormat="1" ht="21.95" customHeight="1" x14ac:dyDescent="0.15"/>
    <row r="43679" s="76" customFormat="1" ht="21.95" customHeight="1" x14ac:dyDescent="0.15"/>
    <row r="43680" s="76" customFormat="1" ht="21.95" customHeight="1" x14ac:dyDescent="0.15"/>
    <row r="43681" spans="3:3" customFormat="1" ht="21.95" customHeight="1" x14ac:dyDescent="0.15"/>
    <row r="43682" spans="3:3" customFormat="1" ht="21.95" customHeight="1" x14ac:dyDescent="0.15"/>
    <row r="43683" spans="3:3" customFormat="1" ht="21.95" customHeight="1" x14ac:dyDescent="0.15">
      <c r="C43683" s="94"/>
    </row>
    <row r="43684" spans="3:3" customFormat="1" ht="21.95" customHeight="1" x14ac:dyDescent="0.15">
      <c r="C43684" s="94"/>
    </row>
    <row r="43685" spans="3:3" customFormat="1" ht="21.95" customHeight="1" x14ac:dyDescent="0.15"/>
    <row r="43686" spans="3:3" customFormat="1" ht="21.95" customHeight="1" x14ac:dyDescent="0.15"/>
    <row r="43687" spans="3:3" customFormat="1" ht="21.95" customHeight="1" x14ac:dyDescent="0.15"/>
    <row r="43688" spans="3:3" customFormat="1" ht="21.95" customHeight="1" x14ac:dyDescent="0.15"/>
    <row r="43689" spans="3:3" customFormat="1" ht="21.95" customHeight="1" x14ac:dyDescent="0.15"/>
    <row r="43690" spans="3:3" customFormat="1" ht="21.95" customHeight="1" x14ac:dyDescent="0.15"/>
    <row r="43691" spans="3:3" customFormat="1" ht="21.95" customHeight="1" x14ac:dyDescent="0.15"/>
    <row r="43692" spans="3:3" s="76" customFormat="1" ht="21.95" customHeight="1" x14ac:dyDescent="0.15"/>
    <row r="43693" spans="3:3" s="76" customFormat="1" ht="21.95" customHeight="1" x14ac:dyDescent="0.15"/>
    <row r="43694" spans="3:3" s="76" customFormat="1" ht="21.95" customHeight="1" x14ac:dyDescent="0.15"/>
    <row r="43695" spans="3:3" s="76" customFormat="1" ht="21.95" customHeight="1" x14ac:dyDescent="0.15"/>
    <row r="43696" spans="3:3" customFormat="1" ht="21.95" customHeight="1" x14ac:dyDescent="0.15"/>
    <row r="43697" customFormat="1" ht="21.95" customHeight="1" x14ac:dyDescent="0.15"/>
    <row r="43698" customFormat="1" ht="21.95" customHeight="1" x14ac:dyDescent="0.15"/>
    <row r="43699" customFormat="1" ht="21.95" customHeight="1" x14ac:dyDescent="0.15"/>
    <row r="43700" customFormat="1" ht="21.95" customHeight="1" x14ac:dyDescent="0.15"/>
    <row r="43701" customFormat="1" ht="21.95" customHeight="1" x14ac:dyDescent="0.15"/>
    <row r="43702" customFormat="1" ht="21.95" customHeight="1" x14ac:dyDescent="0.15"/>
    <row r="43703" customFormat="1" ht="21.95" customHeight="1" x14ac:dyDescent="0.15"/>
    <row r="43704" customFormat="1" ht="21.95" customHeight="1" x14ac:dyDescent="0.15"/>
    <row r="43705" customFormat="1" ht="21.95" customHeight="1" x14ac:dyDescent="0.15"/>
    <row r="43706" customFormat="1" ht="21.95" customHeight="1" x14ac:dyDescent="0.15"/>
    <row r="43707" customFormat="1" ht="32.1" customHeight="1" x14ac:dyDescent="0.15"/>
    <row r="43708" customFormat="1" ht="32.1" customHeight="1" x14ac:dyDescent="0.15"/>
    <row r="43709" customFormat="1" ht="32.1" customHeight="1" x14ac:dyDescent="0.15"/>
    <row r="43710" customFormat="1" ht="32.1" customHeight="1" x14ac:dyDescent="0.15"/>
    <row r="43711" customFormat="1" ht="32.1" customHeight="1" x14ac:dyDescent="0.15"/>
    <row r="43712" customFormat="1" ht="32.1" customHeight="1" x14ac:dyDescent="0.15"/>
    <row r="43713" s="76" customFormat="1" ht="32.1" customHeight="1" x14ac:dyDescent="0.15"/>
    <row r="43714" s="76" customFormat="1" ht="32.1" customHeight="1" x14ac:dyDescent="0.15"/>
    <row r="43715" s="76" customFormat="1" ht="32.1" customHeight="1" x14ac:dyDescent="0.15"/>
    <row r="43716" s="76" customFormat="1" ht="32.1" customHeight="1" x14ac:dyDescent="0.15"/>
    <row r="43717" s="76" customFormat="1" ht="21.95" customHeight="1" x14ac:dyDescent="0.15"/>
    <row r="43718" s="76" customFormat="1" ht="54" customHeight="1" x14ac:dyDescent="0.15"/>
    <row r="43719" s="76" customFormat="1" ht="21.95" customHeight="1" x14ac:dyDescent="0.15"/>
    <row r="43720" s="76" customFormat="1" ht="21.95" customHeight="1" x14ac:dyDescent="0.15"/>
    <row r="43721" s="76" customFormat="1" ht="21.95" customHeight="1" x14ac:dyDescent="0.15"/>
    <row r="43722" s="76" customFormat="1" ht="21.95" customHeight="1" x14ac:dyDescent="0.15"/>
    <row r="43723" s="76" customFormat="1" ht="21.95" customHeight="1" x14ac:dyDescent="0.15"/>
    <row r="43724" s="76" customFormat="1" ht="21.95" customHeight="1" x14ac:dyDescent="0.15"/>
    <row r="43725" s="76" customFormat="1" ht="21.95" customHeight="1" x14ac:dyDescent="0.15"/>
    <row r="43726" s="76" customFormat="1" ht="21.95" customHeight="1" x14ac:dyDescent="0.15"/>
    <row r="43727" s="76" customFormat="1" ht="21.95" customHeight="1" x14ac:dyDescent="0.15"/>
    <row r="43728" s="76" customFormat="1" ht="21.95" customHeight="1" x14ac:dyDescent="0.15"/>
    <row r="43729" s="76" customFormat="1" ht="21.95" customHeight="1" x14ac:dyDescent="0.15"/>
    <row r="43730" s="76" customFormat="1" ht="21.95" customHeight="1" x14ac:dyDescent="0.15"/>
    <row r="43731" s="76" customFormat="1" ht="21.95" customHeight="1" x14ac:dyDescent="0.15"/>
    <row r="43732" s="76" customFormat="1" ht="21.95" customHeight="1" x14ac:dyDescent="0.15"/>
    <row r="43733" s="76" customFormat="1" ht="21.95" customHeight="1" x14ac:dyDescent="0.15"/>
    <row r="43734" s="76" customFormat="1" ht="21.95" customHeight="1" x14ac:dyDescent="0.15"/>
    <row r="43735" s="76" customFormat="1" ht="21.95" customHeight="1" x14ac:dyDescent="0.15"/>
    <row r="43736" s="76" customFormat="1" ht="21.95" customHeight="1" x14ac:dyDescent="0.15"/>
    <row r="43737" s="76" customFormat="1" ht="21.95" customHeight="1" x14ac:dyDescent="0.15"/>
    <row r="43738" s="76" customFormat="1" ht="21.95" customHeight="1" x14ac:dyDescent="0.15"/>
    <row r="43739" s="76" customFormat="1" ht="21.95" customHeight="1" x14ac:dyDescent="0.15"/>
    <row r="43740" s="76" customFormat="1" ht="21.95" customHeight="1" x14ac:dyDescent="0.15"/>
    <row r="43741" s="76" customFormat="1" ht="21.95" customHeight="1" x14ac:dyDescent="0.15"/>
    <row r="43742" s="76" customFormat="1" ht="21.95" customHeight="1" x14ac:dyDescent="0.15"/>
    <row r="43743" s="76" customFormat="1" ht="21.95" customHeight="1" x14ac:dyDescent="0.15"/>
    <row r="43744" s="76" customFormat="1" ht="21.95" customHeight="1" x14ac:dyDescent="0.15"/>
    <row r="43745" s="76" customFormat="1" ht="21.95" customHeight="1" x14ac:dyDescent="0.15"/>
    <row r="43746" s="76" customFormat="1" ht="21.95" customHeight="1" x14ac:dyDescent="0.15"/>
    <row r="43747" s="76" customFormat="1" ht="21.95" customHeight="1" x14ac:dyDescent="0.15"/>
    <row r="43748" s="76" customFormat="1" ht="21.95" customHeight="1" x14ac:dyDescent="0.15"/>
    <row r="43749" s="76" customFormat="1" ht="21.95" customHeight="1" x14ac:dyDescent="0.15"/>
    <row r="43750" s="76" customFormat="1" ht="21.95" customHeight="1" x14ac:dyDescent="0.15"/>
    <row r="43751" s="76" customFormat="1" ht="21.95" customHeight="1" x14ac:dyDescent="0.15"/>
    <row r="43752" s="76" customFormat="1" ht="21.95" customHeight="1" x14ac:dyDescent="0.15"/>
    <row r="43753" s="76" customFormat="1" ht="21.95" customHeight="1" x14ac:dyDescent="0.15"/>
    <row r="43754" s="76" customFormat="1" ht="21.95" customHeight="1" x14ac:dyDescent="0.15"/>
    <row r="43755" s="76" customFormat="1" ht="21.95" customHeight="1" x14ac:dyDescent="0.15"/>
    <row r="43756" s="76" customFormat="1" ht="21.95" customHeight="1" x14ac:dyDescent="0.15"/>
    <row r="43757" s="76" customFormat="1" ht="21.95" customHeight="1" x14ac:dyDescent="0.15"/>
    <row r="43758" s="76" customFormat="1" ht="21.95" customHeight="1" x14ac:dyDescent="0.15"/>
    <row r="43759" s="76" customFormat="1" ht="21.95" customHeight="1" x14ac:dyDescent="0.15"/>
    <row r="43760" s="76" customFormat="1" ht="21.95" customHeight="1" x14ac:dyDescent="0.15"/>
    <row r="43761" s="76" customFormat="1" ht="21.95" customHeight="1" x14ac:dyDescent="0.15"/>
    <row r="43762" s="76" customFormat="1" ht="21.95" customHeight="1" x14ac:dyDescent="0.15"/>
    <row r="43763" s="76" customFormat="1" ht="21.95" customHeight="1" x14ac:dyDescent="0.15"/>
    <row r="43764" s="76" customFormat="1" ht="21.95" customHeight="1" x14ac:dyDescent="0.15"/>
    <row r="43765" s="76" customFormat="1" ht="21.95" customHeight="1" x14ac:dyDescent="0.15"/>
    <row r="43766" s="76" customFormat="1" ht="21.95" customHeight="1" x14ac:dyDescent="0.15"/>
    <row r="43767" s="76" customFormat="1" ht="21.95" customHeight="1" x14ac:dyDescent="0.15"/>
    <row r="43768" s="76" customFormat="1" ht="21.95" customHeight="1" x14ac:dyDescent="0.15"/>
    <row r="43769" s="76" customFormat="1" ht="35.1" customHeight="1" x14ac:dyDescent="0.15"/>
    <row r="43770" s="76" customFormat="1" ht="21.95" customHeight="1" x14ac:dyDescent="0.15"/>
    <row r="43771" s="76" customFormat="1" ht="21.95" customHeight="1" x14ac:dyDescent="0.15"/>
    <row r="43772" s="76" customFormat="1" ht="21.95" customHeight="1" x14ac:dyDescent="0.15"/>
    <row r="43773" s="76" customFormat="1" ht="21.95" customHeight="1" x14ac:dyDescent="0.15"/>
    <row r="43774" s="76" customFormat="1" ht="21.95" customHeight="1" x14ac:dyDescent="0.15"/>
    <row r="43775" s="76" customFormat="1" ht="21.95" customHeight="1" x14ac:dyDescent="0.15"/>
    <row r="43776" s="76" customFormat="1" ht="21.95" customHeight="1" x14ac:dyDescent="0.15"/>
    <row r="43777" s="76" customFormat="1" ht="21.95" customHeight="1" x14ac:dyDescent="0.15"/>
    <row r="43778" s="76" customFormat="1" ht="21.95" customHeight="1" x14ac:dyDescent="0.15"/>
    <row r="43779" s="76" customFormat="1" ht="21.95" customHeight="1" x14ac:dyDescent="0.15"/>
    <row r="43780" s="76" customFormat="1" ht="21.95" customHeight="1" x14ac:dyDescent="0.15"/>
    <row r="43781" s="76" customFormat="1" ht="21.95" customHeight="1" x14ac:dyDescent="0.15"/>
    <row r="43782" s="76" customFormat="1" ht="21.95" customHeight="1" x14ac:dyDescent="0.15"/>
    <row r="43783" s="76" customFormat="1" ht="21.95" customHeight="1" x14ac:dyDescent="0.15"/>
    <row r="43784" s="76" customFormat="1" ht="21.95" customHeight="1" x14ac:dyDescent="0.15"/>
    <row r="43785" s="76" customFormat="1" ht="21.95" customHeight="1" x14ac:dyDescent="0.15"/>
    <row r="43786" s="76" customFormat="1" ht="21.95" customHeight="1" x14ac:dyDescent="0.15"/>
    <row r="43787" s="76" customFormat="1" ht="21.95" customHeight="1" x14ac:dyDescent="0.15"/>
    <row r="43788" s="76" customFormat="1" ht="21.95" customHeight="1" x14ac:dyDescent="0.15"/>
    <row r="43789" s="76" customFormat="1" ht="21.95" customHeight="1" x14ac:dyDescent="0.15"/>
    <row r="43790" s="76" customFormat="1" ht="21.95" customHeight="1" x14ac:dyDescent="0.15"/>
    <row r="43791" s="76" customFormat="1" ht="21.95" customHeight="1" x14ac:dyDescent="0.15"/>
    <row r="43792" s="76" customFormat="1" ht="21.95" customHeight="1" x14ac:dyDescent="0.15"/>
    <row r="43793" spans="3:3" customFormat="1" ht="21.95" customHeight="1" x14ac:dyDescent="0.15"/>
    <row r="43794" spans="3:3" customFormat="1" ht="21.95" customHeight="1" x14ac:dyDescent="0.15"/>
    <row r="43795" spans="3:3" customFormat="1" ht="21.95" customHeight="1" x14ac:dyDescent="0.15">
      <c r="C43795" s="94"/>
    </row>
    <row r="43796" spans="3:3" customFormat="1" ht="21.95" customHeight="1" x14ac:dyDescent="0.15">
      <c r="C43796" s="94"/>
    </row>
    <row r="43797" spans="3:3" customFormat="1" ht="21.95" customHeight="1" x14ac:dyDescent="0.15"/>
    <row r="43798" spans="3:3" customFormat="1" ht="21.95" customHeight="1" x14ac:dyDescent="0.15"/>
    <row r="43799" spans="3:3" customFormat="1" ht="21.95" customHeight="1" x14ac:dyDescent="0.15"/>
    <row r="43800" spans="3:3" customFormat="1" ht="21.95" customHeight="1" x14ac:dyDescent="0.15"/>
    <row r="43801" spans="3:3" customFormat="1" ht="21.95" customHeight="1" x14ac:dyDescent="0.15"/>
    <row r="43802" spans="3:3" customFormat="1" ht="21.95" customHeight="1" x14ac:dyDescent="0.15"/>
    <row r="43803" spans="3:3" customFormat="1" ht="21.95" customHeight="1" x14ac:dyDescent="0.15"/>
    <row r="43804" spans="3:3" s="76" customFormat="1" ht="21.95" customHeight="1" x14ac:dyDescent="0.15"/>
    <row r="43805" spans="3:3" s="76" customFormat="1" ht="21.95" customHeight="1" x14ac:dyDescent="0.15"/>
    <row r="43806" spans="3:3" s="76" customFormat="1" ht="21.95" customHeight="1" x14ac:dyDescent="0.15"/>
    <row r="43807" spans="3:3" s="76" customFormat="1" ht="21.95" customHeight="1" x14ac:dyDescent="0.15"/>
    <row r="43808" spans="3:3" customFormat="1" ht="21.95" customHeight="1" x14ac:dyDescent="0.15"/>
    <row r="43809" customFormat="1" ht="21.95" customHeight="1" x14ac:dyDescent="0.15"/>
    <row r="43810" customFormat="1" ht="21.95" customHeight="1" x14ac:dyDescent="0.15"/>
    <row r="43811" customFormat="1" ht="21.95" customHeight="1" x14ac:dyDescent="0.15"/>
    <row r="43812" customFormat="1" ht="21.95" customHeight="1" x14ac:dyDescent="0.15"/>
    <row r="43813" customFormat="1" ht="21.95" customHeight="1" x14ac:dyDescent="0.15"/>
    <row r="43814" customFormat="1" ht="21.95" customHeight="1" x14ac:dyDescent="0.15"/>
    <row r="43815" customFormat="1" ht="21.95" customHeight="1" x14ac:dyDescent="0.15"/>
    <row r="43816" customFormat="1" ht="21.95" customHeight="1" x14ac:dyDescent="0.15"/>
    <row r="43817" customFormat="1" ht="21.95" customHeight="1" x14ac:dyDescent="0.15"/>
    <row r="43818" customFormat="1" ht="21.95" customHeight="1" x14ac:dyDescent="0.15"/>
    <row r="43819" customFormat="1" ht="32.1" customHeight="1" x14ac:dyDescent="0.15"/>
    <row r="43820" customFormat="1" ht="32.1" customHeight="1" x14ac:dyDescent="0.15"/>
    <row r="43821" customFormat="1" ht="32.1" customHeight="1" x14ac:dyDescent="0.15"/>
    <row r="43822" customFormat="1" ht="32.1" customHeight="1" x14ac:dyDescent="0.15"/>
    <row r="43823" customFormat="1" ht="32.1" customHeight="1" x14ac:dyDescent="0.15"/>
    <row r="43824" customFormat="1" ht="32.1" customHeight="1" x14ac:dyDescent="0.15"/>
    <row r="43825" s="76" customFormat="1" ht="32.1" customHeight="1" x14ac:dyDescent="0.15"/>
    <row r="43826" s="76" customFormat="1" ht="32.1" customHeight="1" x14ac:dyDescent="0.15"/>
    <row r="43827" s="76" customFormat="1" ht="32.1" customHeight="1" x14ac:dyDescent="0.15"/>
    <row r="43828" s="76" customFormat="1" ht="32.1" customHeight="1" x14ac:dyDescent="0.15"/>
    <row r="43829" s="76" customFormat="1" ht="21.95" customHeight="1" x14ac:dyDescent="0.15"/>
    <row r="43830" s="76" customFormat="1" ht="54" customHeight="1" x14ac:dyDescent="0.15"/>
    <row r="43831" s="76" customFormat="1" ht="21.95" customHeight="1" x14ac:dyDescent="0.15"/>
    <row r="43832" s="76" customFormat="1" ht="21.95" customHeight="1" x14ac:dyDescent="0.15"/>
    <row r="43833" s="76" customFormat="1" ht="21.95" customHeight="1" x14ac:dyDescent="0.15"/>
    <row r="43834" s="76" customFormat="1" ht="21.95" customHeight="1" x14ac:dyDescent="0.15"/>
    <row r="43835" s="76" customFormat="1" ht="21.95" customHeight="1" x14ac:dyDescent="0.15"/>
    <row r="43836" s="76" customFormat="1" ht="21.95" customHeight="1" x14ac:dyDescent="0.15"/>
    <row r="43837" s="76" customFormat="1" ht="21.95" customHeight="1" x14ac:dyDescent="0.15"/>
    <row r="43838" s="76" customFormat="1" ht="21.95" customHeight="1" x14ac:dyDescent="0.15"/>
    <row r="43839" s="76" customFormat="1" ht="21.95" customHeight="1" x14ac:dyDescent="0.15"/>
    <row r="43840" s="76" customFormat="1" ht="21.95" customHeight="1" x14ac:dyDescent="0.15"/>
    <row r="43841" s="76" customFormat="1" ht="21.95" customHeight="1" x14ac:dyDescent="0.15"/>
    <row r="43842" s="76" customFormat="1" ht="21.95" customHeight="1" x14ac:dyDescent="0.15"/>
    <row r="43843" s="76" customFormat="1" ht="21.95" customHeight="1" x14ac:dyDescent="0.15"/>
    <row r="43844" s="76" customFormat="1" ht="21.95" customHeight="1" x14ac:dyDescent="0.15"/>
    <row r="43845" s="76" customFormat="1" ht="21.95" customHeight="1" x14ac:dyDescent="0.15"/>
    <row r="43846" s="76" customFormat="1" ht="21.95" customHeight="1" x14ac:dyDescent="0.15"/>
    <row r="43847" s="76" customFormat="1" ht="21.95" customHeight="1" x14ac:dyDescent="0.15"/>
    <row r="43848" s="76" customFormat="1" ht="21.95" customHeight="1" x14ac:dyDescent="0.15"/>
    <row r="43849" s="76" customFormat="1" ht="21.95" customHeight="1" x14ac:dyDescent="0.15"/>
    <row r="43850" s="76" customFormat="1" ht="21.95" customHeight="1" x14ac:dyDescent="0.15"/>
    <row r="43851" s="76" customFormat="1" ht="21.95" customHeight="1" x14ac:dyDescent="0.15"/>
    <row r="43852" s="76" customFormat="1" ht="21.95" customHeight="1" x14ac:dyDescent="0.15"/>
    <row r="43853" s="76" customFormat="1" ht="21.95" customHeight="1" x14ac:dyDescent="0.15"/>
    <row r="43854" s="76" customFormat="1" ht="21.95" customHeight="1" x14ac:dyDescent="0.15"/>
    <row r="43855" s="76" customFormat="1" ht="21.95" customHeight="1" x14ac:dyDescent="0.15"/>
    <row r="43856" s="76" customFormat="1" ht="21.95" customHeight="1" x14ac:dyDescent="0.15"/>
    <row r="43857" s="76" customFormat="1" ht="21.95" customHeight="1" x14ac:dyDescent="0.15"/>
    <row r="43858" s="76" customFormat="1" ht="21.95" customHeight="1" x14ac:dyDescent="0.15"/>
    <row r="43859" s="76" customFormat="1" ht="21.95" customHeight="1" x14ac:dyDescent="0.15"/>
    <row r="43860" s="76" customFormat="1" ht="21.95" customHeight="1" x14ac:dyDescent="0.15"/>
    <row r="43861" s="76" customFormat="1" ht="21.95" customHeight="1" x14ac:dyDescent="0.15"/>
    <row r="43862" s="76" customFormat="1" ht="21.95" customHeight="1" x14ac:dyDescent="0.15"/>
    <row r="43863" s="76" customFormat="1" ht="21.95" customHeight="1" x14ac:dyDescent="0.15"/>
    <row r="43864" s="76" customFormat="1" ht="21.95" customHeight="1" x14ac:dyDescent="0.15"/>
    <row r="43865" s="76" customFormat="1" ht="21.95" customHeight="1" x14ac:dyDescent="0.15"/>
    <row r="43866" s="76" customFormat="1" ht="21.95" customHeight="1" x14ac:dyDescent="0.15"/>
    <row r="43867" s="76" customFormat="1" ht="21.95" customHeight="1" x14ac:dyDescent="0.15"/>
    <row r="43868" s="76" customFormat="1" ht="21.95" customHeight="1" x14ac:dyDescent="0.15"/>
    <row r="43869" s="76" customFormat="1" ht="21.95" customHeight="1" x14ac:dyDescent="0.15"/>
    <row r="43870" s="76" customFormat="1" ht="21.95" customHeight="1" x14ac:dyDescent="0.15"/>
    <row r="43871" s="76" customFormat="1" ht="21.95" customHeight="1" x14ac:dyDescent="0.15"/>
    <row r="43872" s="76" customFormat="1" ht="21.95" customHeight="1" x14ac:dyDescent="0.15"/>
    <row r="43873" s="76" customFormat="1" ht="21.95" customHeight="1" x14ac:dyDescent="0.15"/>
    <row r="43874" s="76" customFormat="1" ht="21.95" customHeight="1" x14ac:dyDescent="0.15"/>
    <row r="43875" s="76" customFormat="1" ht="21.95" customHeight="1" x14ac:dyDescent="0.15"/>
    <row r="43876" s="76" customFormat="1" ht="21.95" customHeight="1" x14ac:dyDescent="0.15"/>
    <row r="43877" s="76" customFormat="1" ht="21.95" customHeight="1" x14ac:dyDescent="0.15"/>
    <row r="43878" s="76" customFormat="1" ht="21.95" customHeight="1" x14ac:dyDescent="0.15"/>
    <row r="43879" s="76" customFormat="1" ht="21.95" customHeight="1" x14ac:dyDescent="0.15"/>
    <row r="43880" s="76" customFormat="1" ht="21.95" customHeight="1" x14ac:dyDescent="0.15"/>
    <row r="43881" s="76" customFormat="1" ht="35.1" customHeight="1" x14ac:dyDescent="0.15"/>
    <row r="43882" s="76" customFormat="1" ht="21.95" customHeight="1" x14ac:dyDescent="0.15"/>
    <row r="43883" s="76" customFormat="1" ht="21.95" customHeight="1" x14ac:dyDescent="0.15"/>
    <row r="43884" s="76" customFormat="1" ht="21.95" customHeight="1" x14ac:dyDescent="0.15"/>
    <row r="43885" s="76" customFormat="1" ht="21.95" customHeight="1" x14ac:dyDescent="0.15"/>
    <row r="43886" s="76" customFormat="1" ht="21.95" customHeight="1" x14ac:dyDescent="0.15"/>
    <row r="43887" s="76" customFormat="1" ht="21.95" customHeight="1" x14ac:dyDescent="0.15"/>
    <row r="43888" s="76" customFormat="1" ht="21.95" customHeight="1" x14ac:dyDescent="0.15"/>
    <row r="43889" s="76" customFormat="1" ht="21.95" customHeight="1" x14ac:dyDescent="0.15"/>
    <row r="43890" s="76" customFormat="1" ht="21.95" customHeight="1" x14ac:dyDescent="0.15"/>
    <row r="43891" s="76" customFormat="1" ht="21.95" customHeight="1" x14ac:dyDescent="0.15"/>
    <row r="43892" s="76" customFormat="1" ht="21.95" customHeight="1" x14ac:dyDescent="0.15"/>
    <row r="43893" s="76" customFormat="1" ht="21.95" customHeight="1" x14ac:dyDescent="0.15"/>
    <row r="43894" s="76" customFormat="1" ht="21.95" customHeight="1" x14ac:dyDescent="0.15"/>
    <row r="43895" s="76" customFormat="1" ht="21.95" customHeight="1" x14ac:dyDescent="0.15"/>
    <row r="43896" s="76" customFormat="1" ht="21.95" customHeight="1" x14ac:dyDescent="0.15"/>
    <row r="43897" s="76" customFormat="1" ht="21.95" customHeight="1" x14ac:dyDescent="0.15"/>
    <row r="43898" s="76" customFormat="1" ht="21.95" customHeight="1" x14ac:dyDescent="0.15"/>
    <row r="43899" s="76" customFormat="1" ht="21.95" customHeight="1" x14ac:dyDescent="0.15"/>
    <row r="43900" s="76" customFormat="1" ht="21.95" customHeight="1" x14ac:dyDescent="0.15"/>
    <row r="43901" s="76" customFormat="1" ht="21.95" customHeight="1" x14ac:dyDescent="0.15"/>
    <row r="43902" s="76" customFormat="1" ht="21.95" customHeight="1" x14ac:dyDescent="0.15"/>
    <row r="43903" s="76" customFormat="1" ht="21.95" customHeight="1" x14ac:dyDescent="0.15"/>
    <row r="43904" s="76" customFormat="1" ht="21.95" customHeight="1" x14ac:dyDescent="0.15"/>
    <row r="43905" spans="3:3" customFormat="1" ht="21.95" customHeight="1" x14ac:dyDescent="0.15"/>
    <row r="43906" spans="3:3" customFormat="1" ht="21.95" customHeight="1" x14ac:dyDescent="0.15"/>
    <row r="43907" spans="3:3" customFormat="1" ht="21.95" customHeight="1" x14ac:dyDescent="0.15">
      <c r="C43907" s="94"/>
    </row>
    <row r="43908" spans="3:3" customFormat="1" ht="21.95" customHeight="1" x14ac:dyDescent="0.15">
      <c r="C43908" s="94"/>
    </row>
    <row r="43909" spans="3:3" customFormat="1" ht="21.95" customHeight="1" x14ac:dyDescent="0.15"/>
    <row r="43910" spans="3:3" customFormat="1" ht="21.95" customHeight="1" x14ac:dyDescent="0.15"/>
    <row r="43911" spans="3:3" customFormat="1" ht="21.95" customHeight="1" x14ac:dyDescent="0.15"/>
    <row r="43912" spans="3:3" customFormat="1" ht="21.95" customHeight="1" x14ac:dyDescent="0.15"/>
    <row r="43913" spans="3:3" customFormat="1" ht="21.95" customHeight="1" x14ac:dyDescent="0.15"/>
    <row r="43914" spans="3:3" customFormat="1" ht="21.95" customHeight="1" x14ac:dyDescent="0.15"/>
    <row r="43915" spans="3:3" customFormat="1" ht="21.95" customHeight="1" x14ac:dyDescent="0.15"/>
    <row r="43916" spans="3:3" s="76" customFormat="1" ht="21.95" customHeight="1" x14ac:dyDescent="0.15"/>
    <row r="43917" spans="3:3" s="76" customFormat="1" ht="21.95" customHeight="1" x14ac:dyDescent="0.15"/>
    <row r="43918" spans="3:3" s="76" customFormat="1" ht="21.95" customHeight="1" x14ac:dyDescent="0.15"/>
    <row r="43919" spans="3:3" s="76" customFormat="1" ht="21.95" customHeight="1" x14ac:dyDescent="0.15"/>
    <row r="43920" spans="3:3" customFormat="1" ht="21.95" customHeight="1" x14ac:dyDescent="0.15"/>
    <row r="43921" customFormat="1" ht="21.95" customHeight="1" x14ac:dyDescent="0.15"/>
    <row r="43922" customFormat="1" ht="21.95" customHeight="1" x14ac:dyDescent="0.15"/>
    <row r="43923" customFormat="1" ht="21.95" customHeight="1" x14ac:dyDescent="0.15"/>
    <row r="43924" customFormat="1" ht="21.95" customHeight="1" x14ac:dyDescent="0.15"/>
    <row r="43925" customFormat="1" ht="21.95" customHeight="1" x14ac:dyDescent="0.15"/>
    <row r="43926" customFormat="1" ht="21.95" customHeight="1" x14ac:dyDescent="0.15"/>
    <row r="43927" customFormat="1" ht="21.95" customHeight="1" x14ac:dyDescent="0.15"/>
    <row r="43928" customFormat="1" ht="21.95" customHeight="1" x14ac:dyDescent="0.15"/>
    <row r="43929" customFormat="1" ht="21.95" customHeight="1" x14ac:dyDescent="0.15"/>
    <row r="43930" customFormat="1" ht="21.95" customHeight="1" x14ac:dyDescent="0.15"/>
    <row r="43931" customFormat="1" ht="32.1" customHeight="1" x14ac:dyDescent="0.15"/>
    <row r="43932" customFormat="1" ht="32.1" customHeight="1" x14ac:dyDescent="0.15"/>
    <row r="43933" customFormat="1" ht="32.1" customHeight="1" x14ac:dyDescent="0.15"/>
    <row r="43934" customFormat="1" ht="32.1" customHeight="1" x14ac:dyDescent="0.15"/>
    <row r="43935" customFormat="1" ht="32.1" customHeight="1" x14ac:dyDescent="0.15"/>
    <row r="43936" customFormat="1" ht="32.1" customHeight="1" x14ac:dyDescent="0.15"/>
    <row r="43937" s="76" customFormat="1" ht="32.1" customHeight="1" x14ac:dyDescent="0.15"/>
    <row r="43938" s="76" customFormat="1" ht="32.1" customHeight="1" x14ac:dyDescent="0.15"/>
    <row r="43939" s="76" customFormat="1" ht="32.1" customHeight="1" x14ac:dyDescent="0.15"/>
    <row r="43940" s="76" customFormat="1" ht="32.1" customHeight="1" x14ac:dyDescent="0.15"/>
    <row r="43941" s="76" customFormat="1" ht="21.95" customHeight="1" x14ac:dyDescent="0.15"/>
    <row r="43942" s="76" customFormat="1" ht="54" customHeight="1" x14ac:dyDescent="0.15"/>
    <row r="43943" s="76" customFormat="1" ht="21.95" customHeight="1" x14ac:dyDescent="0.15"/>
    <row r="43944" s="76" customFormat="1" ht="21.95" customHeight="1" x14ac:dyDescent="0.15"/>
    <row r="43945" s="76" customFormat="1" ht="21.95" customHeight="1" x14ac:dyDescent="0.15"/>
    <row r="43946" s="76" customFormat="1" ht="21.95" customHeight="1" x14ac:dyDescent="0.15"/>
    <row r="43947" s="76" customFormat="1" ht="21.95" customHeight="1" x14ac:dyDescent="0.15"/>
    <row r="43948" s="76" customFormat="1" ht="21.95" customHeight="1" x14ac:dyDescent="0.15"/>
    <row r="43949" s="76" customFormat="1" ht="21.95" customHeight="1" x14ac:dyDescent="0.15"/>
    <row r="43950" s="76" customFormat="1" ht="21.95" customHeight="1" x14ac:dyDescent="0.15"/>
    <row r="43951" s="76" customFormat="1" ht="21.95" customHeight="1" x14ac:dyDescent="0.15"/>
    <row r="43952" s="76" customFormat="1" ht="21.95" customHeight="1" x14ac:dyDescent="0.15"/>
    <row r="43953" s="76" customFormat="1" ht="21.95" customHeight="1" x14ac:dyDescent="0.15"/>
    <row r="43954" s="76" customFormat="1" ht="21.95" customHeight="1" x14ac:dyDescent="0.15"/>
    <row r="43955" s="76" customFormat="1" ht="21.95" customHeight="1" x14ac:dyDescent="0.15"/>
    <row r="43956" s="76" customFormat="1" ht="21.95" customHeight="1" x14ac:dyDescent="0.15"/>
    <row r="43957" s="76" customFormat="1" ht="21.95" customHeight="1" x14ac:dyDescent="0.15"/>
    <row r="43958" s="76" customFormat="1" ht="21.95" customHeight="1" x14ac:dyDescent="0.15"/>
    <row r="43959" s="76" customFormat="1" ht="21.95" customHeight="1" x14ac:dyDescent="0.15"/>
    <row r="43960" s="76" customFormat="1" ht="21.95" customHeight="1" x14ac:dyDescent="0.15"/>
    <row r="43961" s="76" customFormat="1" ht="21.95" customHeight="1" x14ac:dyDescent="0.15"/>
    <row r="43962" s="76" customFormat="1" ht="21.95" customHeight="1" x14ac:dyDescent="0.15"/>
    <row r="43963" s="76" customFormat="1" ht="21.95" customHeight="1" x14ac:dyDescent="0.15"/>
    <row r="43964" s="76" customFormat="1" ht="21.95" customHeight="1" x14ac:dyDescent="0.15"/>
    <row r="43965" s="76" customFormat="1" ht="21.95" customHeight="1" x14ac:dyDescent="0.15"/>
    <row r="43966" s="76" customFormat="1" ht="21.95" customHeight="1" x14ac:dyDescent="0.15"/>
    <row r="43967" s="76" customFormat="1" ht="21.95" customHeight="1" x14ac:dyDescent="0.15"/>
    <row r="43968" s="76" customFormat="1" ht="21.95" customHeight="1" x14ac:dyDescent="0.15"/>
    <row r="43969" s="76" customFormat="1" ht="21.95" customHeight="1" x14ac:dyDescent="0.15"/>
    <row r="43970" s="76" customFormat="1" ht="21.95" customHeight="1" x14ac:dyDescent="0.15"/>
    <row r="43971" s="76" customFormat="1" ht="21.95" customHeight="1" x14ac:dyDescent="0.15"/>
    <row r="43972" s="76" customFormat="1" ht="21.95" customHeight="1" x14ac:dyDescent="0.15"/>
    <row r="43973" s="76" customFormat="1" ht="21.95" customHeight="1" x14ac:dyDescent="0.15"/>
    <row r="43974" s="76" customFormat="1" ht="21.95" customHeight="1" x14ac:dyDescent="0.15"/>
    <row r="43975" s="76" customFormat="1" ht="21.95" customHeight="1" x14ac:dyDescent="0.15"/>
    <row r="43976" s="76" customFormat="1" ht="21.95" customHeight="1" x14ac:dyDescent="0.15"/>
    <row r="43977" s="76" customFormat="1" ht="21.95" customHeight="1" x14ac:dyDescent="0.15"/>
    <row r="43978" s="76" customFormat="1" ht="21.95" customHeight="1" x14ac:dyDescent="0.15"/>
    <row r="43979" s="76" customFormat="1" ht="21.95" customHeight="1" x14ac:dyDescent="0.15"/>
    <row r="43980" s="76" customFormat="1" ht="21.95" customHeight="1" x14ac:dyDescent="0.15"/>
    <row r="43981" s="76" customFormat="1" ht="21.95" customHeight="1" x14ac:dyDescent="0.15"/>
    <row r="43982" s="76" customFormat="1" ht="21.95" customHeight="1" x14ac:dyDescent="0.15"/>
    <row r="43983" s="76" customFormat="1" ht="21.95" customHeight="1" x14ac:dyDescent="0.15"/>
    <row r="43984" s="76" customFormat="1" ht="21.95" customHeight="1" x14ac:dyDescent="0.15"/>
    <row r="43985" s="76" customFormat="1" ht="21.95" customHeight="1" x14ac:dyDescent="0.15"/>
    <row r="43986" s="76" customFormat="1" ht="21.95" customHeight="1" x14ac:dyDescent="0.15"/>
    <row r="43987" s="76" customFormat="1" ht="21.95" customHeight="1" x14ac:dyDescent="0.15"/>
    <row r="43988" s="76" customFormat="1" ht="21.95" customHeight="1" x14ac:dyDescent="0.15"/>
    <row r="43989" s="76" customFormat="1" ht="21.95" customHeight="1" x14ac:dyDescent="0.15"/>
    <row r="43990" s="76" customFormat="1" ht="21.95" customHeight="1" x14ac:dyDescent="0.15"/>
    <row r="43991" s="76" customFormat="1" ht="21.95" customHeight="1" x14ac:dyDescent="0.15"/>
    <row r="43992" s="76" customFormat="1" ht="21.95" customHeight="1" x14ac:dyDescent="0.15"/>
    <row r="43993" s="76" customFormat="1" ht="35.1" customHeight="1" x14ac:dyDescent="0.15"/>
    <row r="43994" s="76" customFormat="1" ht="21.95" customHeight="1" x14ac:dyDescent="0.15"/>
    <row r="43995" s="76" customFormat="1" ht="21.95" customHeight="1" x14ac:dyDescent="0.15"/>
    <row r="43996" s="76" customFormat="1" ht="21.95" customHeight="1" x14ac:dyDescent="0.15"/>
    <row r="43997" s="76" customFormat="1" ht="21.95" customHeight="1" x14ac:dyDescent="0.15"/>
    <row r="43998" s="76" customFormat="1" ht="21.95" customHeight="1" x14ac:dyDescent="0.15"/>
    <row r="43999" s="76" customFormat="1" ht="21.95" customHeight="1" x14ac:dyDescent="0.15"/>
    <row r="44000" s="76" customFormat="1" ht="21.95" customHeight="1" x14ac:dyDescent="0.15"/>
    <row r="44001" s="76" customFormat="1" ht="21.95" customHeight="1" x14ac:dyDescent="0.15"/>
    <row r="44002" s="76" customFormat="1" ht="21.95" customHeight="1" x14ac:dyDescent="0.15"/>
    <row r="44003" s="76" customFormat="1" ht="21.95" customHeight="1" x14ac:dyDescent="0.15"/>
    <row r="44004" s="76" customFormat="1" ht="21.95" customHeight="1" x14ac:dyDescent="0.15"/>
    <row r="44005" s="76" customFormat="1" ht="21.95" customHeight="1" x14ac:dyDescent="0.15"/>
    <row r="44006" s="76" customFormat="1" ht="21.95" customHeight="1" x14ac:dyDescent="0.15"/>
    <row r="44007" s="76" customFormat="1" ht="21.95" customHeight="1" x14ac:dyDescent="0.15"/>
    <row r="44008" s="76" customFormat="1" ht="21.95" customHeight="1" x14ac:dyDescent="0.15"/>
    <row r="44009" s="76" customFormat="1" ht="21.95" customHeight="1" x14ac:dyDescent="0.15"/>
    <row r="44010" s="76" customFormat="1" ht="21.95" customHeight="1" x14ac:dyDescent="0.15"/>
    <row r="44011" s="76" customFormat="1" ht="21.95" customHeight="1" x14ac:dyDescent="0.15"/>
    <row r="44012" s="76" customFormat="1" ht="21.95" customHeight="1" x14ac:dyDescent="0.15"/>
    <row r="44013" s="76" customFormat="1" ht="21.95" customHeight="1" x14ac:dyDescent="0.15"/>
    <row r="44014" s="76" customFormat="1" ht="21.95" customHeight="1" x14ac:dyDescent="0.15"/>
    <row r="44015" s="76" customFormat="1" ht="21.95" customHeight="1" x14ac:dyDescent="0.15"/>
    <row r="44016" s="76" customFormat="1" ht="21.95" customHeight="1" x14ac:dyDescent="0.15"/>
    <row r="44017" spans="3:3" customFormat="1" ht="21.95" customHeight="1" x14ac:dyDescent="0.15"/>
    <row r="44018" spans="3:3" customFormat="1" ht="21.95" customHeight="1" x14ac:dyDescent="0.15"/>
    <row r="44019" spans="3:3" customFormat="1" ht="21.95" customHeight="1" x14ac:dyDescent="0.15">
      <c r="C44019" s="94"/>
    </row>
    <row r="44020" spans="3:3" customFormat="1" ht="21.95" customHeight="1" x14ac:dyDescent="0.15">
      <c r="C44020" s="94"/>
    </row>
    <row r="44021" spans="3:3" customFormat="1" ht="21.95" customHeight="1" x14ac:dyDescent="0.15"/>
    <row r="44022" spans="3:3" customFormat="1" ht="21.95" customHeight="1" x14ac:dyDescent="0.15"/>
    <row r="44023" spans="3:3" customFormat="1" ht="21.95" customHeight="1" x14ac:dyDescent="0.15"/>
    <row r="44024" spans="3:3" customFormat="1" ht="21.95" customHeight="1" x14ac:dyDescent="0.15"/>
    <row r="44025" spans="3:3" customFormat="1" ht="21.95" customHeight="1" x14ac:dyDescent="0.15"/>
    <row r="44026" spans="3:3" customFormat="1" ht="21.95" customHeight="1" x14ac:dyDescent="0.15"/>
    <row r="44027" spans="3:3" customFormat="1" ht="21.95" customHeight="1" x14ac:dyDescent="0.15"/>
    <row r="44028" spans="3:3" s="76" customFormat="1" ht="21.95" customHeight="1" x14ac:dyDescent="0.15"/>
    <row r="44029" spans="3:3" s="76" customFormat="1" ht="21.95" customHeight="1" x14ac:dyDescent="0.15"/>
    <row r="44030" spans="3:3" s="76" customFormat="1" ht="21.95" customHeight="1" x14ac:dyDescent="0.15"/>
    <row r="44031" spans="3:3" s="76" customFormat="1" ht="21.95" customHeight="1" x14ac:dyDescent="0.15"/>
    <row r="44032" spans="3:3" customFormat="1" ht="21.95" customHeight="1" x14ac:dyDescent="0.15"/>
    <row r="44033" customFormat="1" ht="21.95" customHeight="1" x14ac:dyDescent="0.15"/>
    <row r="44034" customFormat="1" ht="21.95" customHeight="1" x14ac:dyDescent="0.15"/>
    <row r="44035" customFormat="1" ht="21.95" customHeight="1" x14ac:dyDescent="0.15"/>
    <row r="44036" customFormat="1" ht="21.95" customHeight="1" x14ac:dyDescent="0.15"/>
    <row r="44037" customFormat="1" ht="21.95" customHeight="1" x14ac:dyDescent="0.15"/>
    <row r="44038" customFormat="1" ht="21.95" customHeight="1" x14ac:dyDescent="0.15"/>
    <row r="44039" customFormat="1" ht="21.95" customHeight="1" x14ac:dyDescent="0.15"/>
    <row r="44040" customFormat="1" ht="21.95" customHeight="1" x14ac:dyDescent="0.15"/>
    <row r="44041" customFormat="1" ht="21.95" customHeight="1" x14ac:dyDescent="0.15"/>
    <row r="44042" customFormat="1" ht="21.95" customHeight="1" x14ac:dyDescent="0.15"/>
    <row r="44043" customFormat="1" ht="32.1" customHeight="1" x14ac:dyDescent="0.15"/>
    <row r="44044" customFormat="1" ht="32.1" customHeight="1" x14ac:dyDescent="0.15"/>
    <row r="44045" customFormat="1" ht="32.1" customHeight="1" x14ac:dyDescent="0.15"/>
    <row r="44046" customFormat="1" ht="32.1" customHeight="1" x14ac:dyDescent="0.15"/>
    <row r="44047" customFormat="1" ht="32.1" customHeight="1" x14ac:dyDescent="0.15"/>
    <row r="44048" customFormat="1" ht="32.1" customHeight="1" x14ac:dyDescent="0.15"/>
    <row r="44049" s="76" customFormat="1" ht="32.1" customHeight="1" x14ac:dyDescent="0.15"/>
    <row r="44050" s="76" customFormat="1" ht="32.1" customHeight="1" x14ac:dyDescent="0.15"/>
    <row r="44051" s="76" customFormat="1" ht="32.1" customHeight="1" x14ac:dyDescent="0.15"/>
    <row r="44052" s="76" customFormat="1" ht="32.1" customHeight="1" x14ac:dyDescent="0.15"/>
    <row r="44053" s="76" customFormat="1" ht="21.95" customHeight="1" x14ac:dyDescent="0.15"/>
    <row r="44054" s="76" customFormat="1" ht="54" customHeight="1" x14ac:dyDescent="0.15"/>
    <row r="44055" s="76" customFormat="1" ht="21.95" customHeight="1" x14ac:dyDescent="0.15"/>
    <row r="44056" s="76" customFormat="1" ht="21.95" customHeight="1" x14ac:dyDescent="0.15"/>
    <row r="44057" s="76" customFormat="1" ht="21.95" customHeight="1" x14ac:dyDescent="0.15"/>
    <row r="44058" s="76" customFormat="1" ht="21.95" customHeight="1" x14ac:dyDescent="0.15"/>
    <row r="44059" s="76" customFormat="1" ht="21.95" customHeight="1" x14ac:dyDescent="0.15"/>
    <row r="44060" s="76" customFormat="1" ht="21.95" customHeight="1" x14ac:dyDescent="0.15"/>
    <row r="44061" s="76" customFormat="1" ht="21.95" customHeight="1" x14ac:dyDescent="0.15"/>
    <row r="44062" s="76" customFormat="1" ht="21.95" customHeight="1" x14ac:dyDescent="0.15"/>
    <row r="44063" s="76" customFormat="1" ht="21.95" customHeight="1" x14ac:dyDescent="0.15"/>
    <row r="44064" s="76" customFormat="1" ht="21.95" customHeight="1" x14ac:dyDescent="0.15"/>
    <row r="44065" s="76" customFormat="1" ht="21.95" customHeight="1" x14ac:dyDescent="0.15"/>
    <row r="44066" s="76" customFormat="1" ht="21.95" customHeight="1" x14ac:dyDescent="0.15"/>
    <row r="44067" s="76" customFormat="1" ht="21.95" customHeight="1" x14ac:dyDescent="0.15"/>
    <row r="44068" s="76" customFormat="1" ht="21.95" customHeight="1" x14ac:dyDescent="0.15"/>
    <row r="44069" s="76" customFormat="1" ht="21.95" customHeight="1" x14ac:dyDescent="0.15"/>
    <row r="44070" s="76" customFormat="1" ht="21.95" customHeight="1" x14ac:dyDescent="0.15"/>
    <row r="44071" s="76" customFormat="1" ht="21.95" customHeight="1" x14ac:dyDescent="0.15"/>
    <row r="44072" s="76" customFormat="1" ht="21.95" customHeight="1" x14ac:dyDescent="0.15"/>
    <row r="44073" s="76" customFormat="1" ht="21.95" customHeight="1" x14ac:dyDescent="0.15"/>
    <row r="44074" s="76" customFormat="1" ht="21.95" customHeight="1" x14ac:dyDescent="0.15"/>
    <row r="44075" s="76" customFormat="1" ht="21.95" customHeight="1" x14ac:dyDescent="0.15"/>
    <row r="44076" s="76" customFormat="1" ht="21.95" customHeight="1" x14ac:dyDescent="0.15"/>
    <row r="44077" s="76" customFormat="1" ht="21.95" customHeight="1" x14ac:dyDescent="0.15"/>
    <row r="44078" s="76" customFormat="1" ht="21.95" customHeight="1" x14ac:dyDescent="0.15"/>
    <row r="44079" s="76" customFormat="1" ht="21.95" customHeight="1" x14ac:dyDescent="0.15"/>
    <row r="44080" s="76" customFormat="1" ht="21.95" customHeight="1" x14ac:dyDescent="0.15"/>
    <row r="44081" s="76" customFormat="1" ht="21.95" customHeight="1" x14ac:dyDescent="0.15"/>
    <row r="44082" s="76" customFormat="1" ht="21.95" customHeight="1" x14ac:dyDescent="0.15"/>
    <row r="44083" s="76" customFormat="1" ht="21.95" customHeight="1" x14ac:dyDescent="0.15"/>
    <row r="44084" s="76" customFormat="1" ht="21.95" customHeight="1" x14ac:dyDescent="0.15"/>
    <row r="44085" s="76" customFormat="1" ht="21.95" customHeight="1" x14ac:dyDescent="0.15"/>
    <row r="44086" s="76" customFormat="1" ht="21.95" customHeight="1" x14ac:dyDescent="0.15"/>
    <row r="44087" s="76" customFormat="1" ht="21.95" customHeight="1" x14ac:dyDescent="0.15"/>
    <row r="44088" s="76" customFormat="1" ht="21.95" customHeight="1" x14ac:dyDescent="0.15"/>
    <row r="44089" s="76" customFormat="1" ht="21.95" customHeight="1" x14ac:dyDescent="0.15"/>
    <row r="44090" s="76" customFormat="1" ht="21.95" customHeight="1" x14ac:dyDescent="0.15"/>
    <row r="44091" s="76" customFormat="1" ht="21.95" customHeight="1" x14ac:dyDescent="0.15"/>
    <row r="44092" s="76" customFormat="1" ht="21.95" customHeight="1" x14ac:dyDescent="0.15"/>
    <row r="44093" s="76" customFormat="1" ht="21.95" customHeight="1" x14ac:dyDescent="0.15"/>
    <row r="44094" s="76" customFormat="1" ht="21.95" customHeight="1" x14ac:dyDescent="0.15"/>
    <row r="44095" s="76" customFormat="1" ht="21.95" customHeight="1" x14ac:dyDescent="0.15"/>
    <row r="44096" s="76" customFormat="1" ht="21.95" customHeight="1" x14ac:dyDescent="0.15"/>
    <row r="44097" s="76" customFormat="1" ht="21.95" customHeight="1" x14ac:dyDescent="0.15"/>
    <row r="44098" s="76" customFormat="1" ht="21.95" customHeight="1" x14ac:dyDescent="0.15"/>
    <row r="44099" s="76" customFormat="1" ht="21.95" customHeight="1" x14ac:dyDescent="0.15"/>
    <row r="44100" s="76" customFormat="1" ht="21.95" customHeight="1" x14ac:dyDescent="0.15"/>
    <row r="44101" s="76" customFormat="1" ht="21.95" customHeight="1" x14ac:dyDescent="0.15"/>
    <row r="44102" s="76" customFormat="1" ht="21.95" customHeight="1" x14ac:dyDescent="0.15"/>
    <row r="44103" s="76" customFormat="1" ht="21.95" customHeight="1" x14ac:dyDescent="0.15"/>
    <row r="44104" s="76" customFormat="1" ht="21.95" customHeight="1" x14ac:dyDescent="0.15"/>
    <row r="44105" s="76" customFormat="1" ht="35.1" customHeight="1" x14ac:dyDescent="0.15"/>
    <row r="44106" s="76" customFormat="1" ht="21.95" customHeight="1" x14ac:dyDescent="0.15"/>
    <row r="44107" s="76" customFormat="1" ht="21.95" customHeight="1" x14ac:dyDescent="0.15"/>
    <row r="44108" s="76" customFormat="1" ht="21.95" customHeight="1" x14ac:dyDescent="0.15"/>
    <row r="44109" s="76" customFormat="1" ht="21.95" customHeight="1" x14ac:dyDescent="0.15"/>
    <row r="44110" s="76" customFormat="1" ht="21.95" customHeight="1" x14ac:dyDescent="0.15"/>
    <row r="44111" s="76" customFormat="1" ht="21.95" customHeight="1" x14ac:dyDescent="0.15"/>
    <row r="44112" s="76" customFormat="1" ht="21.95" customHeight="1" x14ac:dyDescent="0.15"/>
    <row r="44113" s="76" customFormat="1" ht="21.95" customHeight="1" x14ac:dyDescent="0.15"/>
    <row r="44114" s="76" customFormat="1" ht="21.95" customHeight="1" x14ac:dyDescent="0.15"/>
    <row r="44115" s="76" customFormat="1" ht="21.95" customHeight="1" x14ac:dyDescent="0.15"/>
    <row r="44116" s="76" customFormat="1" ht="21.95" customHeight="1" x14ac:dyDescent="0.15"/>
    <row r="44117" s="76" customFormat="1" ht="21.95" customHeight="1" x14ac:dyDescent="0.15"/>
    <row r="44118" s="76" customFormat="1" ht="21.95" customHeight="1" x14ac:dyDescent="0.15"/>
    <row r="44119" s="76" customFormat="1" ht="21.95" customHeight="1" x14ac:dyDescent="0.15"/>
    <row r="44120" s="76" customFormat="1" ht="21.95" customHeight="1" x14ac:dyDescent="0.15"/>
    <row r="44121" s="76" customFormat="1" ht="21.95" customHeight="1" x14ac:dyDescent="0.15"/>
    <row r="44122" s="76" customFormat="1" ht="21.95" customHeight="1" x14ac:dyDescent="0.15"/>
    <row r="44123" s="76" customFormat="1" ht="21.95" customHeight="1" x14ac:dyDescent="0.15"/>
    <row r="44124" s="76" customFormat="1" ht="21.95" customHeight="1" x14ac:dyDescent="0.15"/>
    <row r="44125" s="76" customFormat="1" ht="21.95" customHeight="1" x14ac:dyDescent="0.15"/>
    <row r="44126" s="76" customFormat="1" ht="21.95" customHeight="1" x14ac:dyDescent="0.15"/>
    <row r="44127" s="76" customFormat="1" ht="21.95" customHeight="1" x14ac:dyDescent="0.15"/>
    <row r="44128" s="76" customFormat="1" ht="21.95" customHeight="1" x14ac:dyDescent="0.15"/>
    <row r="44129" spans="3:3" customFormat="1" ht="21.95" customHeight="1" x14ac:dyDescent="0.15"/>
    <row r="44130" spans="3:3" customFormat="1" ht="21.95" customHeight="1" x14ac:dyDescent="0.15"/>
    <row r="44131" spans="3:3" customFormat="1" ht="21.95" customHeight="1" x14ac:dyDescent="0.15">
      <c r="C44131" s="94"/>
    </row>
    <row r="44132" spans="3:3" customFormat="1" ht="21.95" customHeight="1" x14ac:dyDescent="0.15">
      <c r="C44132" s="94"/>
    </row>
    <row r="44133" spans="3:3" customFormat="1" ht="21.95" customHeight="1" x14ac:dyDescent="0.15"/>
    <row r="44134" spans="3:3" customFormat="1" ht="21.95" customHeight="1" x14ac:dyDescent="0.15"/>
    <row r="44135" spans="3:3" customFormat="1" ht="21.95" customHeight="1" x14ac:dyDescent="0.15"/>
    <row r="44136" spans="3:3" customFormat="1" ht="21.95" customHeight="1" x14ac:dyDescent="0.15"/>
    <row r="44137" spans="3:3" customFormat="1" ht="21.95" customHeight="1" x14ac:dyDescent="0.15"/>
    <row r="44138" spans="3:3" customFormat="1" ht="21.95" customHeight="1" x14ac:dyDescent="0.15"/>
    <row r="44139" spans="3:3" customFormat="1" ht="21.95" customHeight="1" x14ac:dyDescent="0.15"/>
    <row r="44140" spans="3:3" s="76" customFormat="1" ht="21.95" customHeight="1" x14ac:dyDescent="0.15"/>
    <row r="44141" spans="3:3" s="76" customFormat="1" ht="21.95" customHeight="1" x14ac:dyDescent="0.15"/>
    <row r="44142" spans="3:3" s="76" customFormat="1" ht="21.95" customHeight="1" x14ac:dyDescent="0.15"/>
    <row r="44143" spans="3:3" s="76" customFormat="1" ht="21.95" customHeight="1" x14ac:dyDescent="0.15"/>
    <row r="44144" spans="3:3" customFormat="1" ht="21.95" customHeight="1" x14ac:dyDescent="0.15"/>
    <row r="44145" customFormat="1" ht="21.95" customHeight="1" x14ac:dyDescent="0.15"/>
    <row r="44146" customFormat="1" ht="21.95" customHeight="1" x14ac:dyDescent="0.15"/>
    <row r="44147" customFormat="1" ht="21.95" customHeight="1" x14ac:dyDescent="0.15"/>
    <row r="44148" customFormat="1" ht="21.95" customHeight="1" x14ac:dyDescent="0.15"/>
    <row r="44149" customFormat="1" ht="21.95" customHeight="1" x14ac:dyDescent="0.15"/>
    <row r="44150" customFormat="1" ht="21.95" customHeight="1" x14ac:dyDescent="0.15"/>
    <row r="44151" customFormat="1" ht="21.95" customHeight="1" x14ac:dyDescent="0.15"/>
    <row r="44152" customFormat="1" ht="21.95" customHeight="1" x14ac:dyDescent="0.15"/>
    <row r="44153" customFormat="1" ht="21.95" customHeight="1" x14ac:dyDescent="0.15"/>
    <row r="44154" customFormat="1" ht="21.95" customHeight="1" x14ac:dyDescent="0.15"/>
    <row r="44155" customFormat="1" ht="32.1" customHeight="1" x14ac:dyDescent="0.15"/>
    <row r="44156" customFormat="1" ht="32.1" customHeight="1" x14ac:dyDescent="0.15"/>
    <row r="44157" customFormat="1" ht="32.1" customHeight="1" x14ac:dyDescent="0.15"/>
    <row r="44158" customFormat="1" ht="32.1" customHeight="1" x14ac:dyDescent="0.15"/>
    <row r="44159" customFormat="1" ht="32.1" customHeight="1" x14ac:dyDescent="0.15"/>
    <row r="44160" customFormat="1" ht="32.1" customHeight="1" x14ac:dyDescent="0.15"/>
    <row r="44161" s="76" customFormat="1" ht="32.1" customHeight="1" x14ac:dyDescent="0.15"/>
    <row r="44162" s="76" customFormat="1" ht="32.1" customHeight="1" x14ac:dyDescent="0.15"/>
    <row r="44163" s="76" customFormat="1" ht="32.1" customHeight="1" x14ac:dyDescent="0.15"/>
    <row r="44164" s="76" customFormat="1" ht="32.1" customHeight="1" x14ac:dyDescent="0.15"/>
    <row r="44165" s="76" customFormat="1" ht="21.95" customHeight="1" x14ac:dyDescent="0.15"/>
    <row r="44166" s="76" customFormat="1" ht="54" customHeight="1" x14ac:dyDescent="0.15"/>
    <row r="44167" s="76" customFormat="1" ht="21.95" customHeight="1" x14ac:dyDescent="0.15"/>
    <row r="44168" s="76" customFormat="1" ht="21.95" customHeight="1" x14ac:dyDescent="0.15"/>
    <row r="44169" s="76" customFormat="1" ht="21.95" customHeight="1" x14ac:dyDescent="0.15"/>
    <row r="44170" s="76" customFormat="1" ht="21.95" customHeight="1" x14ac:dyDescent="0.15"/>
    <row r="44171" s="76" customFormat="1" ht="21.95" customHeight="1" x14ac:dyDescent="0.15"/>
    <row r="44172" s="76" customFormat="1" ht="21.95" customHeight="1" x14ac:dyDescent="0.15"/>
    <row r="44173" s="76" customFormat="1" ht="21.95" customHeight="1" x14ac:dyDescent="0.15"/>
    <row r="44174" s="76" customFormat="1" ht="21.95" customHeight="1" x14ac:dyDescent="0.15"/>
    <row r="44175" s="76" customFormat="1" ht="21.95" customHeight="1" x14ac:dyDescent="0.15"/>
    <row r="44176" s="76" customFormat="1" ht="21.95" customHeight="1" x14ac:dyDescent="0.15"/>
    <row r="44177" s="76" customFormat="1" ht="21.95" customHeight="1" x14ac:dyDescent="0.15"/>
    <row r="44178" s="76" customFormat="1" ht="21.95" customHeight="1" x14ac:dyDescent="0.15"/>
    <row r="44179" s="76" customFormat="1" ht="21.95" customHeight="1" x14ac:dyDescent="0.15"/>
    <row r="44180" s="76" customFormat="1" ht="21.95" customHeight="1" x14ac:dyDescent="0.15"/>
    <row r="44181" s="76" customFormat="1" ht="21.95" customHeight="1" x14ac:dyDescent="0.15"/>
    <row r="44182" s="76" customFormat="1" ht="21.95" customHeight="1" x14ac:dyDescent="0.15"/>
    <row r="44183" s="76" customFormat="1" ht="21.95" customHeight="1" x14ac:dyDescent="0.15"/>
    <row r="44184" s="76" customFormat="1" ht="21.95" customHeight="1" x14ac:dyDescent="0.15"/>
    <row r="44185" s="76" customFormat="1" ht="21.95" customHeight="1" x14ac:dyDescent="0.15"/>
    <row r="44186" s="76" customFormat="1" ht="21.95" customHeight="1" x14ac:dyDescent="0.15"/>
    <row r="44187" s="76" customFormat="1" ht="21.95" customHeight="1" x14ac:dyDescent="0.15"/>
    <row r="44188" s="76" customFormat="1" ht="21.95" customHeight="1" x14ac:dyDescent="0.15"/>
    <row r="44189" s="76" customFormat="1" ht="21.95" customHeight="1" x14ac:dyDescent="0.15"/>
    <row r="44190" s="76" customFormat="1" ht="21.95" customHeight="1" x14ac:dyDescent="0.15"/>
    <row r="44191" s="76" customFormat="1" ht="21.95" customHeight="1" x14ac:dyDescent="0.15"/>
    <row r="44192" s="76" customFormat="1" ht="21.95" customHeight="1" x14ac:dyDescent="0.15"/>
    <row r="44193" s="76" customFormat="1" ht="21.95" customHeight="1" x14ac:dyDescent="0.15"/>
    <row r="44194" s="76" customFormat="1" ht="21.95" customHeight="1" x14ac:dyDescent="0.15"/>
    <row r="44195" s="76" customFormat="1" ht="21.95" customHeight="1" x14ac:dyDescent="0.15"/>
    <row r="44196" s="76" customFormat="1" ht="21.95" customHeight="1" x14ac:dyDescent="0.15"/>
    <row r="44197" s="76" customFormat="1" ht="21.95" customHeight="1" x14ac:dyDescent="0.15"/>
    <row r="44198" s="76" customFormat="1" ht="21.95" customHeight="1" x14ac:dyDescent="0.15"/>
    <row r="44199" s="76" customFormat="1" ht="21.95" customHeight="1" x14ac:dyDescent="0.15"/>
    <row r="44200" s="76" customFormat="1" ht="21.95" customHeight="1" x14ac:dyDescent="0.15"/>
    <row r="44201" s="76" customFormat="1" ht="21.95" customHeight="1" x14ac:dyDescent="0.15"/>
    <row r="44202" s="76" customFormat="1" ht="21.95" customHeight="1" x14ac:dyDescent="0.15"/>
    <row r="44203" s="76" customFormat="1" ht="21.95" customHeight="1" x14ac:dyDescent="0.15"/>
    <row r="44204" s="76" customFormat="1" ht="21.95" customHeight="1" x14ac:dyDescent="0.15"/>
    <row r="44205" s="76" customFormat="1" ht="21.95" customHeight="1" x14ac:dyDescent="0.15"/>
    <row r="44206" s="76" customFormat="1" ht="21.95" customHeight="1" x14ac:dyDescent="0.15"/>
    <row r="44207" s="76" customFormat="1" ht="21.95" customHeight="1" x14ac:dyDescent="0.15"/>
    <row r="44208" s="76" customFormat="1" ht="21.95" customHeight="1" x14ac:dyDescent="0.15"/>
    <row r="44209" s="76" customFormat="1" ht="21.95" customHeight="1" x14ac:dyDescent="0.15"/>
    <row r="44210" s="76" customFormat="1" ht="21.95" customHeight="1" x14ac:dyDescent="0.15"/>
    <row r="44211" s="76" customFormat="1" ht="21.95" customHeight="1" x14ac:dyDescent="0.15"/>
    <row r="44212" s="76" customFormat="1" ht="21.95" customHeight="1" x14ac:dyDescent="0.15"/>
    <row r="44213" s="76" customFormat="1" ht="21.95" customHeight="1" x14ac:dyDescent="0.15"/>
    <row r="44214" s="76" customFormat="1" ht="21.95" customHeight="1" x14ac:dyDescent="0.15"/>
    <row r="44215" s="76" customFormat="1" ht="21.95" customHeight="1" x14ac:dyDescent="0.15"/>
    <row r="44216" s="76" customFormat="1" ht="21.95" customHeight="1" x14ac:dyDescent="0.15"/>
    <row r="44217" s="76" customFormat="1" ht="35.1" customHeight="1" x14ac:dyDescent="0.15"/>
    <row r="44218" s="76" customFormat="1" ht="21.95" customHeight="1" x14ac:dyDescent="0.15"/>
    <row r="44219" s="76" customFormat="1" ht="21.95" customHeight="1" x14ac:dyDescent="0.15"/>
    <row r="44220" s="76" customFormat="1" ht="21.95" customHeight="1" x14ac:dyDescent="0.15"/>
    <row r="44221" s="76" customFormat="1" ht="21.95" customHeight="1" x14ac:dyDescent="0.15"/>
    <row r="44222" s="76" customFormat="1" ht="21.95" customHeight="1" x14ac:dyDescent="0.15"/>
    <row r="44223" s="76" customFormat="1" ht="21.95" customHeight="1" x14ac:dyDescent="0.15"/>
    <row r="44224" s="76" customFormat="1" ht="21.95" customHeight="1" x14ac:dyDescent="0.15"/>
    <row r="44225" s="76" customFormat="1" ht="21.95" customHeight="1" x14ac:dyDescent="0.15"/>
    <row r="44226" s="76" customFormat="1" ht="21.95" customHeight="1" x14ac:dyDescent="0.15"/>
    <row r="44227" s="76" customFormat="1" ht="21.95" customHeight="1" x14ac:dyDescent="0.15"/>
    <row r="44228" s="76" customFormat="1" ht="21.95" customHeight="1" x14ac:dyDescent="0.15"/>
    <row r="44229" s="76" customFormat="1" ht="21.95" customHeight="1" x14ac:dyDescent="0.15"/>
    <row r="44230" s="76" customFormat="1" ht="21.95" customHeight="1" x14ac:dyDescent="0.15"/>
    <row r="44231" s="76" customFormat="1" ht="21.95" customHeight="1" x14ac:dyDescent="0.15"/>
    <row r="44232" s="76" customFormat="1" ht="21.95" customHeight="1" x14ac:dyDescent="0.15"/>
    <row r="44233" s="76" customFormat="1" ht="21.95" customHeight="1" x14ac:dyDescent="0.15"/>
    <row r="44234" s="76" customFormat="1" ht="21.95" customHeight="1" x14ac:dyDescent="0.15"/>
    <row r="44235" s="76" customFormat="1" ht="21.95" customHeight="1" x14ac:dyDescent="0.15"/>
    <row r="44236" s="76" customFormat="1" ht="21.95" customHeight="1" x14ac:dyDescent="0.15"/>
    <row r="44237" s="76" customFormat="1" ht="21.95" customHeight="1" x14ac:dyDescent="0.15"/>
    <row r="44238" s="76" customFormat="1" ht="21.95" customHeight="1" x14ac:dyDescent="0.15"/>
    <row r="44239" s="76" customFormat="1" ht="21.95" customHeight="1" x14ac:dyDescent="0.15"/>
    <row r="44240" s="76" customFormat="1" ht="21.95" customHeight="1" x14ac:dyDescent="0.15"/>
    <row r="44241" spans="3:3" customFormat="1" ht="21.95" customHeight="1" x14ac:dyDescent="0.15"/>
    <row r="44242" spans="3:3" customFormat="1" ht="21.95" customHeight="1" x14ac:dyDescent="0.15"/>
    <row r="44243" spans="3:3" customFormat="1" ht="21.95" customHeight="1" x14ac:dyDescent="0.15">
      <c r="C44243" s="94"/>
    </row>
    <row r="44244" spans="3:3" customFormat="1" ht="21.95" customHeight="1" x14ac:dyDescent="0.15">
      <c r="C44244" s="94"/>
    </row>
    <row r="44245" spans="3:3" customFormat="1" ht="21.95" customHeight="1" x14ac:dyDescent="0.15"/>
    <row r="44246" spans="3:3" customFormat="1" ht="21.95" customHeight="1" x14ac:dyDescent="0.15"/>
    <row r="44247" spans="3:3" customFormat="1" ht="21.95" customHeight="1" x14ac:dyDescent="0.15"/>
    <row r="44248" spans="3:3" customFormat="1" ht="21.95" customHeight="1" x14ac:dyDescent="0.15"/>
    <row r="44249" spans="3:3" customFormat="1" ht="21.95" customHeight="1" x14ac:dyDescent="0.15"/>
    <row r="44250" spans="3:3" customFormat="1" ht="21.95" customHeight="1" x14ac:dyDescent="0.15"/>
    <row r="44251" spans="3:3" customFormat="1" ht="21.95" customHeight="1" x14ac:dyDescent="0.15"/>
    <row r="44252" spans="3:3" s="76" customFormat="1" ht="21.95" customHeight="1" x14ac:dyDescent="0.15"/>
    <row r="44253" spans="3:3" s="76" customFormat="1" ht="21.95" customHeight="1" x14ac:dyDescent="0.15"/>
    <row r="44254" spans="3:3" s="76" customFormat="1" ht="21.95" customHeight="1" x14ac:dyDescent="0.15"/>
    <row r="44255" spans="3:3" s="76" customFormat="1" ht="21.95" customHeight="1" x14ac:dyDescent="0.15"/>
    <row r="44256" spans="3:3" customFormat="1" ht="21.95" customHeight="1" x14ac:dyDescent="0.15"/>
    <row r="44257" customFormat="1" ht="21.95" customHeight="1" x14ac:dyDescent="0.15"/>
    <row r="44258" customFormat="1" ht="21.95" customHeight="1" x14ac:dyDescent="0.15"/>
    <row r="44259" customFormat="1" ht="21.95" customHeight="1" x14ac:dyDescent="0.15"/>
    <row r="44260" customFormat="1" ht="21.95" customHeight="1" x14ac:dyDescent="0.15"/>
    <row r="44261" customFormat="1" ht="21.95" customHeight="1" x14ac:dyDescent="0.15"/>
    <row r="44262" customFormat="1" ht="21.95" customHeight="1" x14ac:dyDescent="0.15"/>
    <row r="44263" customFormat="1" ht="21.95" customHeight="1" x14ac:dyDescent="0.15"/>
    <row r="44264" customFormat="1" ht="21.95" customHeight="1" x14ac:dyDescent="0.15"/>
    <row r="44265" customFormat="1" ht="21.95" customHeight="1" x14ac:dyDescent="0.15"/>
    <row r="44266" customFormat="1" ht="21.95" customHeight="1" x14ac:dyDescent="0.15"/>
    <row r="44267" customFormat="1" ht="32.1" customHeight="1" x14ac:dyDescent="0.15"/>
    <row r="44268" customFormat="1" ht="32.1" customHeight="1" x14ac:dyDescent="0.15"/>
    <row r="44269" customFormat="1" ht="32.1" customHeight="1" x14ac:dyDescent="0.15"/>
    <row r="44270" customFormat="1" ht="32.1" customHeight="1" x14ac:dyDescent="0.15"/>
    <row r="44271" customFormat="1" ht="32.1" customHeight="1" x14ac:dyDescent="0.15"/>
    <row r="44272" customFormat="1" ht="32.1" customHeight="1" x14ac:dyDescent="0.15"/>
    <row r="44273" s="76" customFormat="1" ht="32.1" customHeight="1" x14ac:dyDescent="0.15"/>
    <row r="44274" s="76" customFormat="1" ht="32.1" customHeight="1" x14ac:dyDescent="0.15"/>
    <row r="44275" s="76" customFormat="1" ht="32.1" customHeight="1" x14ac:dyDescent="0.15"/>
    <row r="44276" s="76" customFormat="1" ht="32.1" customHeight="1" x14ac:dyDescent="0.15"/>
    <row r="44277" s="76" customFormat="1" ht="21.95" customHeight="1" x14ac:dyDescent="0.15"/>
    <row r="44278" s="76" customFormat="1" ht="54" customHeight="1" x14ac:dyDescent="0.15"/>
    <row r="44279" s="76" customFormat="1" ht="21.95" customHeight="1" x14ac:dyDescent="0.15"/>
    <row r="44280" s="76" customFormat="1" ht="21.95" customHeight="1" x14ac:dyDescent="0.15"/>
    <row r="44281" s="76" customFormat="1" ht="21.95" customHeight="1" x14ac:dyDescent="0.15"/>
    <row r="44282" s="76" customFormat="1" ht="21.95" customHeight="1" x14ac:dyDescent="0.15"/>
    <row r="44283" s="76" customFormat="1" ht="21.95" customHeight="1" x14ac:dyDescent="0.15"/>
    <row r="44284" s="76" customFormat="1" ht="21.95" customHeight="1" x14ac:dyDescent="0.15"/>
    <row r="44285" s="76" customFormat="1" ht="21.95" customHeight="1" x14ac:dyDescent="0.15"/>
    <row r="44286" s="76" customFormat="1" ht="21.95" customHeight="1" x14ac:dyDescent="0.15"/>
    <row r="44287" s="76" customFormat="1" ht="21.95" customHeight="1" x14ac:dyDescent="0.15"/>
    <row r="44288" s="76" customFormat="1" ht="21.95" customHeight="1" x14ac:dyDescent="0.15"/>
    <row r="44289" s="76" customFormat="1" ht="21.95" customHeight="1" x14ac:dyDescent="0.15"/>
    <row r="44290" s="76" customFormat="1" ht="21.95" customHeight="1" x14ac:dyDescent="0.15"/>
    <row r="44291" s="76" customFormat="1" ht="21.95" customHeight="1" x14ac:dyDescent="0.15"/>
    <row r="44292" s="76" customFormat="1" ht="21.95" customHeight="1" x14ac:dyDescent="0.15"/>
    <row r="44293" s="76" customFormat="1" ht="21.95" customHeight="1" x14ac:dyDescent="0.15"/>
    <row r="44294" s="76" customFormat="1" ht="21.95" customHeight="1" x14ac:dyDescent="0.15"/>
    <row r="44295" s="76" customFormat="1" ht="21.95" customHeight="1" x14ac:dyDescent="0.15"/>
    <row r="44296" s="76" customFormat="1" ht="21.95" customHeight="1" x14ac:dyDescent="0.15"/>
    <row r="44297" s="76" customFormat="1" ht="21.95" customHeight="1" x14ac:dyDescent="0.15"/>
    <row r="44298" s="76" customFormat="1" ht="21.95" customHeight="1" x14ac:dyDescent="0.15"/>
    <row r="44299" s="76" customFormat="1" ht="21.95" customHeight="1" x14ac:dyDescent="0.15"/>
    <row r="44300" s="76" customFormat="1" ht="21.95" customHeight="1" x14ac:dyDescent="0.15"/>
    <row r="44301" s="76" customFormat="1" ht="21.95" customHeight="1" x14ac:dyDescent="0.15"/>
    <row r="44302" s="76" customFormat="1" ht="21.95" customHeight="1" x14ac:dyDescent="0.15"/>
    <row r="44303" s="76" customFormat="1" ht="21.95" customHeight="1" x14ac:dyDescent="0.15"/>
    <row r="44304" s="76" customFormat="1" ht="21.95" customHeight="1" x14ac:dyDescent="0.15"/>
    <row r="44305" s="76" customFormat="1" ht="21.95" customHeight="1" x14ac:dyDescent="0.15"/>
    <row r="44306" s="76" customFormat="1" ht="21.95" customHeight="1" x14ac:dyDescent="0.15"/>
    <row r="44307" s="76" customFormat="1" ht="21.95" customHeight="1" x14ac:dyDescent="0.15"/>
    <row r="44308" s="76" customFormat="1" ht="21.95" customHeight="1" x14ac:dyDescent="0.15"/>
    <row r="44309" s="76" customFormat="1" ht="21.95" customHeight="1" x14ac:dyDescent="0.15"/>
    <row r="44310" s="76" customFormat="1" ht="21.95" customHeight="1" x14ac:dyDescent="0.15"/>
    <row r="44311" s="76" customFormat="1" ht="21.95" customHeight="1" x14ac:dyDescent="0.15"/>
    <row r="44312" s="76" customFormat="1" ht="21.95" customHeight="1" x14ac:dyDescent="0.15"/>
    <row r="44313" s="76" customFormat="1" ht="21.95" customHeight="1" x14ac:dyDescent="0.15"/>
    <row r="44314" s="76" customFormat="1" ht="21.95" customHeight="1" x14ac:dyDescent="0.15"/>
    <row r="44315" s="76" customFormat="1" ht="21.95" customHeight="1" x14ac:dyDescent="0.15"/>
    <row r="44316" s="76" customFormat="1" ht="21.95" customHeight="1" x14ac:dyDescent="0.15"/>
    <row r="44317" s="76" customFormat="1" ht="21.95" customHeight="1" x14ac:dyDescent="0.15"/>
    <row r="44318" s="76" customFormat="1" ht="21.95" customHeight="1" x14ac:dyDescent="0.15"/>
    <row r="44319" s="76" customFormat="1" ht="21.95" customHeight="1" x14ac:dyDescent="0.15"/>
    <row r="44320" s="76" customFormat="1" ht="21.95" customHeight="1" x14ac:dyDescent="0.15"/>
    <row r="44321" s="76" customFormat="1" ht="21.95" customHeight="1" x14ac:dyDescent="0.15"/>
    <row r="44322" s="76" customFormat="1" ht="21.95" customHeight="1" x14ac:dyDescent="0.15"/>
    <row r="44323" s="76" customFormat="1" ht="21.95" customHeight="1" x14ac:dyDescent="0.15"/>
    <row r="44324" s="76" customFormat="1" ht="21.95" customHeight="1" x14ac:dyDescent="0.15"/>
    <row r="44325" s="76" customFormat="1" ht="21.95" customHeight="1" x14ac:dyDescent="0.15"/>
    <row r="44326" s="76" customFormat="1" ht="21.95" customHeight="1" x14ac:dyDescent="0.15"/>
    <row r="44327" s="76" customFormat="1" ht="21.95" customHeight="1" x14ac:dyDescent="0.15"/>
    <row r="44328" s="76" customFormat="1" ht="21.95" customHeight="1" x14ac:dyDescent="0.15"/>
    <row r="44329" s="76" customFormat="1" ht="35.1" customHeight="1" x14ac:dyDescent="0.15"/>
    <row r="44330" s="76" customFormat="1" ht="21.95" customHeight="1" x14ac:dyDescent="0.15"/>
    <row r="44331" s="76" customFormat="1" ht="21.95" customHeight="1" x14ac:dyDescent="0.15"/>
    <row r="44332" s="76" customFormat="1" ht="21.95" customHeight="1" x14ac:dyDescent="0.15"/>
    <row r="44333" s="76" customFormat="1" ht="21.95" customHeight="1" x14ac:dyDescent="0.15"/>
    <row r="44334" s="76" customFormat="1" ht="21.95" customHeight="1" x14ac:dyDescent="0.15"/>
    <row r="44335" s="76" customFormat="1" ht="21.95" customHeight="1" x14ac:dyDescent="0.15"/>
    <row r="44336" s="76" customFormat="1" ht="21.95" customHeight="1" x14ac:dyDescent="0.15"/>
    <row r="44337" s="76" customFormat="1" ht="21.95" customHeight="1" x14ac:dyDescent="0.15"/>
    <row r="44338" s="76" customFormat="1" ht="21.95" customHeight="1" x14ac:dyDescent="0.15"/>
    <row r="44339" s="76" customFormat="1" ht="21.95" customHeight="1" x14ac:dyDescent="0.15"/>
    <row r="44340" s="76" customFormat="1" ht="21.95" customHeight="1" x14ac:dyDescent="0.15"/>
    <row r="44341" s="76" customFormat="1" ht="21.95" customHeight="1" x14ac:dyDescent="0.15"/>
    <row r="44342" s="76" customFormat="1" ht="21.95" customHeight="1" x14ac:dyDescent="0.15"/>
    <row r="44343" s="76" customFormat="1" ht="21.95" customHeight="1" x14ac:dyDescent="0.15"/>
    <row r="44344" s="76" customFormat="1" ht="21.95" customHeight="1" x14ac:dyDescent="0.15"/>
    <row r="44345" s="76" customFormat="1" ht="21.95" customHeight="1" x14ac:dyDescent="0.15"/>
    <row r="44346" s="76" customFormat="1" ht="21.95" customHeight="1" x14ac:dyDescent="0.15"/>
    <row r="44347" s="76" customFormat="1" ht="21.95" customHeight="1" x14ac:dyDescent="0.15"/>
    <row r="44348" s="76" customFormat="1" ht="21.95" customHeight="1" x14ac:dyDescent="0.15"/>
    <row r="44349" s="76" customFormat="1" ht="21.95" customHeight="1" x14ac:dyDescent="0.15"/>
    <row r="44350" s="76" customFormat="1" ht="21.95" customHeight="1" x14ac:dyDescent="0.15"/>
    <row r="44351" s="76" customFormat="1" ht="21.95" customHeight="1" x14ac:dyDescent="0.15"/>
    <row r="44352" s="76" customFormat="1" ht="21.95" customHeight="1" x14ac:dyDescent="0.15"/>
    <row r="44353" spans="3:3" customFormat="1" ht="21.95" customHeight="1" x14ac:dyDescent="0.15"/>
    <row r="44354" spans="3:3" customFormat="1" ht="21.95" customHeight="1" x14ac:dyDescent="0.15"/>
    <row r="44355" spans="3:3" customFormat="1" ht="21.95" customHeight="1" x14ac:dyDescent="0.15">
      <c r="C44355" s="94"/>
    </row>
    <row r="44356" spans="3:3" customFormat="1" ht="21.95" customHeight="1" x14ac:dyDescent="0.15">
      <c r="C44356" s="94"/>
    </row>
    <row r="44357" spans="3:3" customFormat="1" ht="21.95" customHeight="1" x14ac:dyDescent="0.15"/>
    <row r="44358" spans="3:3" customFormat="1" ht="21.95" customHeight="1" x14ac:dyDescent="0.15"/>
    <row r="44359" spans="3:3" customFormat="1" ht="21.95" customHeight="1" x14ac:dyDescent="0.15"/>
    <row r="44360" spans="3:3" customFormat="1" ht="21.95" customHeight="1" x14ac:dyDescent="0.15"/>
    <row r="44361" spans="3:3" customFormat="1" ht="21.95" customHeight="1" x14ac:dyDescent="0.15"/>
    <row r="44362" spans="3:3" customFormat="1" ht="21.95" customHeight="1" x14ac:dyDescent="0.15"/>
    <row r="44363" spans="3:3" customFormat="1" ht="21.95" customHeight="1" x14ac:dyDescent="0.15"/>
    <row r="44364" spans="3:3" s="76" customFormat="1" ht="21.95" customHeight="1" x14ac:dyDescent="0.15"/>
    <row r="44365" spans="3:3" s="76" customFormat="1" ht="21.95" customHeight="1" x14ac:dyDescent="0.15"/>
    <row r="44366" spans="3:3" s="76" customFormat="1" ht="21.95" customHeight="1" x14ac:dyDescent="0.15"/>
    <row r="44367" spans="3:3" s="76" customFormat="1" ht="21.95" customHeight="1" x14ac:dyDescent="0.15"/>
    <row r="44368" spans="3:3" customFormat="1" ht="21.95" customHeight="1" x14ac:dyDescent="0.15"/>
    <row r="44369" customFormat="1" ht="21.95" customHeight="1" x14ac:dyDescent="0.15"/>
    <row r="44370" customFormat="1" ht="21.95" customHeight="1" x14ac:dyDescent="0.15"/>
    <row r="44371" customFormat="1" ht="21.95" customHeight="1" x14ac:dyDescent="0.15"/>
    <row r="44372" customFormat="1" ht="21.95" customHeight="1" x14ac:dyDescent="0.15"/>
    <row r="44373" customFormat="1" ht="21.95" customHeight="1" x14ac:dyDescent="0.15"/>
    <row r="44374" customFormat="1" ht="21.95" customHeight="1" x14ac:dyDescent="0.15"/>
    <row r="44375" customFormat="1" ht="21.95" customHeight="1" x14ac:dyDescent="0.15"/>
    <row r="44376" customFormat="1" ht="21.95" customHeight="1" x14ac:dyDescent="0.15"/>
    <row r="44377" customFormat="1" ht="21.95" customHeight="1" x14ac:dyDescent="0.15"/>
    <row r="44378" customFormat="1" ht="21.95" customHeight="1" x14ac:dyDescent="0.15"/>
    <row r="44379" customFormat="1" ht="32.1" customHeight="1" x14ac:dyDescent="0.15"/>
    <row r="44380" customFormat="1" ht="32.1" customHeight="1" x14ac:dyDescent="0.15"/>
    <row r="44381" customFormat="1" ht="32.1" customHeight="1" x14ac:dyDescent="0.15"/>
    <row r="44382" customFormat="1" ht="32.1" customHeight="1" x14ac:dyDescent="0.15"/>
    <row r="44383" customFormat="1" ht="32.1" customHeight="1" x14ac:dyDescent="0.15"/>
    <row r="44384" customFormat="1" ht="32.1" customHeight="1" x14ac:dyDescent="0.15"/>
    <row r="44385" s="76" customFormat="1" ht="32.1" customHeight="1" x14ac:dyDescent="0.15"/>
    <row r="44386" s="76" customFormat="1" ht="32.1" customHeight="1" x14ac:dyDescent="0.15"/>
    <row r="44387" s="76" customFormat="1" ht="32.1" customHeight="1" x14ac:dyDescent="0.15"/>
    <row r="44388" s="76" customFormat="1" ht="32.1" customHeight="1" x14ac:dyDescent="0.15"/>
    <row r="44389" s="76" customFormat="1" ht="21.95" customHeight="1" x14ac:dyDescent="0.15"/>
    <row r="44390" s="76" customFormat="1" ht="54" customHeight="1" x14ac:dyDescent="0.15"/>
    <row r="44391" s="76" customFormat="1" ht="21.95" customHeight="1" x14ac:dyDescent="0.15"/>
    <row r="44392" s="76" customFormat="1" ht="21.95" customHeight="1" x14ac:dyDescent="0.15"/>
    <row r="44393" s="76" customFormat="1" ht="21.95" customHeight="1" x14ac:dyDescent="0.15"/>
    <row r="44394" s="76" customFormat="1" ht="21.95" customHeight="1" x14ac:dyDescent="0.15"/>
    <row r="44395" s="76" customFormat="1" ht="21.95" customHeight="1" x14ac:dyDescent="0.15"/>
    <row r="44396" s="76" customFormat="1" ht="21.95" customHeight="1" x14ac:dyDescent="0.15"/>
    <row r="44397" s="76" customFormat="1" ht="21.95" customHeight="1" x14ac:dyDescent="0.15"/>
    <row r="44398" s="76" customFormat="1" ht="21.95" customHeight="1" x14ac:dyDescent="0.15"/>
    <row r="44399" s="76" customFormat="1" ht="21.95" customHeight="1" x14ac:dyDescent="0.15"/>
    <row r="44400" s="76" customFormat="1" ht="21.95" customHeight="1" x14ac:dyDescent="0.15"/>
    <row r="44401" s="76" customFormat="1" ht="21.95" customHeight="1" x14ac:dyDescent="0.15"/>
    <row r="44402" s="76" customFormat="1" ht="21.95" customHeight="1" x14ac:dyDescent="0.15"/>
    <row r="44403" s="76" customFormat="1" ht="21.95" customHeight="1" x14ac:dyDescent="0.15"/>
    <row r="44404" s="76" customFormat="1" ht="21.95" customHeight="1" x14ac:dyDescent="0.15"/>
    <row r="44405" s="76" customFormat="1" ht="21.95" customHeight="1" x14ac:dyDescent="0.15"/>
    <row r="44406" s="76" customFormat="1" ht="21.95" customHeight="1" x14ac:dyDescent="0.15"/>
    <row r="44407" s="76" customFormat="1" ht="21.95" customHeight="1" x14ac:dyDescent="0.15"/>
    <row r="44408" s="76" customFormat="1" ht="21.95" customHeight="1" x14ac:dyDescent="0.15"/>
    <row r="44409" s="76" customFormat="1" ht="21.95" customHeight="1" x14ac:dyDescent="0.15"/>
    <row r="44410" s="76" customFormat="1" ht="21.95" customHeight="1" x14ac:dyDescent="0.15"/>
    <row r="44411" s="76" customFormat="1" ht="21.95" customHeight="1" x14ac:dyDescent="0.15"/>
    <row r="44412" s="76" customFormat="1" ht="21.95" customHeight="1" x14ac:dyDescent="0.15"/>
    <row r="44413" s="76" customFormat="1" ht="21.95" customHeight="1" x14ac:dyDescent="0.15"/>
    <row r="44414" s="76" customFormat="1" ht="21.95" customHeight="1" x14ac:dyDescent="0.15"/>
    <row r="44415" s="76" customFormat="1" ht="21.95" customHeight="1" x14ac:dyDescent="0.15"/>
    <row r="44416" s="76" customFormat="1" ht="21.95" customHeight="1" x14ac:dyDescent="0.15"/>
    <row r="44417" s="76" customFormat="1" ht="21.95" customHeight="1" x14ac:dyDescent="0.15"/>
    <row r="44418" s="76" customFormat="1" ht="21.95" customHeight="1" x14ac:dyDescent="0.15"/>
    <row r="44419" s="76" customFormat="1" ht="21.95" customHeight="1" x14ac:dyDescent="0.15"/>
    <row r="44420" s="76" customFormat="1" ht="21.95" customHeight="1" x14ac:dyDescent="0.15"/>
    <row r="44421" s="76" customFormat="1" ht="21.95" customHeight="1" x14ac:dyDescent="0.15"/>
    <row r="44422" s="76" customFormat="1" ht="21.95" customHeight="1" x14ac:dyDescent="0.15"/>
    <row r="44423" s="76" customFormat="1" ht="21.95" customHeight="1" x14ac:dyDescent="0.15"/>
    <row r="44424" s="76" customFormat="1" ht="21.95" customHeight="1" x14ac:dyDescent="0.15"/>
    <row r="44425" s="76" customFormat="1" ht="21.95" customHeight="1" x14ac:dyDescent="0.15"/>
    <row r="44426" s="76" customFormat="1" ht="21.95" customHeight="1" x14ac:dyDescent="0.15"/>
    <row r="44427" s="76" customFormat="1" ht="21.95" customHeight="1" x14ac:dyDescent="0.15"/>
    <row r="44428" s="76" customFormat="1" ht="21.95" customHeight="1" x14ac:dyDescent="0.15"/>
    <row r="44429" s="76" customFormat="1" ht="21.95" customHeight="1" x14ac:dyDescent="0.15"/>
    <row r="44430" s="76" customFormat="1" ht="21.95" customHeight="1" x14ac:dyDescent="0.15"/>
    <row r="44431" s="76" customFormat="1" ht="21.95" customHeight="1" x14ac:dyDescent="0.15"/>
    <row r="44432" s="76" customFormat="1" ht="21.95" customHeight="1" x14ac:dyDescent="0.15"/>
    <row r="44433" s="76" customFormat="1" ht="21.95" customHeight="1" x14ac:dyDescent="0.15"/>
    <row r="44434" s="76" customFormat="1" ht="21.95" customHeight="1" x14ac:dyDescent="0.15"/>
    <row r="44435" s="76" customFormat="1" ht="21.95" customHeight="1" x14ac:dyDescent="0.15"/>
    <row r="44436" s="76" customFormat="1" ht="21.95" customHeight="1" x14ac:dyDescent="0.15"/>
    <row r="44437" s="76" customFormat="1" ht="21.95" customHeight="1" x14ac:dyDescent="0.15"/>
    <row r="44438" s="76" customFormat="1" ht="21.95" customHeight="1" x14ac:dyDescent="0.15"/>
    <row r="44439" s="76" customFormat="1" ht="21.95" customHeight="1" x14ac:dyDescent="0.15"/>
    <row r="44440" s="76" customFormat="1" ht="21.95" customHeight="1" x14ac:dyDescent="0.15"/>
    <row r="44441" s="76" customFormat="1" ht="35.1" customHeight="1" x14ac:dyDescent="0.15"/>
    <row r="44442" s="76" customFormat="1" ht="21.95" customHeight="1" x14ac:dyDescent="0.15"/>
    <row r="44443" s="76" customFormat="1" ht="21.95" customHeight="1" x14ac:dyDescent="0.15"/>
    <row r="44444" s="76" customFormat="1" ht="21.95" customHeight="1" x14ac:dyDescent="0.15"/>
    <row r="44445" s="76" customFormat="1" ht="21.95" customHeight="1" x14ac:dyDescent="0.15"/>
    <row r="44446" s="76" customFormat="1" ht="21.95" customHeight="1" x14ac:dyDescent="0.15"/>
    <row r="44447" s="76" customFormat="1" ht="21.95" customHeight="1" x14ac:dyDescent="0.15"/>
    <row r="44448" s="76" customFormat="1" ht="21.95" customHeight="1" x14ac:dyDescent="0.15"/>
    <row r="44449" s="76" customFormat="1" ht="21.95" customHeight="1" x14ac:dyDescent="0.15"/>
    <row r="44450" s="76" customFormat="1" ht="21.95" customHeight="1" x14ac:dyDescent="0.15"/>
    <row r="44451" s="76" customFormat="1" ht="21.95" customHeight="1" x14ac:dyDescent="0.15"/>
    <row r="44452" s="76" customFormat="1" ht="21.95" customHeight="1" x14ac:dyDescent="0.15"/>
    <row r="44453" s="76" customFormat="1" ht="21.95" customHeight="1" x14ac:dyDescent="0.15"/>
    <row r="44454" s="76" customFormat="1" ht="21.95" customHeight="1" x14ac:dyDescent="0.15"/>
    <row r="44455" s="76" customFormat="1" ht="21.95" customHeight="1" x14ac:dyDescent="0.15"/>
    <row r="44456" s="76" customFormat="1" ht="21.95" customHeight="1" x14ac:dyDescent="0.15"/>
    <row r="44457" s="76" customFormat="1" ht="21.95" customHeight="1" x14ac:dyDescent="0.15"/>
    <row r="44458" s="76" customFormat="1" ht="21.95" customHeight="1" x14ac:dyDescent="0.15"/>
    <row r="44459" s="76" customFormat="1" ht="21.95" customHeight="1" x14ac:dyDescent="0.15"/>
    <row r="44460" s="76" customFormat="1" ht="21.95" customHeight="1" x14ac:dyDescent="0.15"/>
    <row r="44461" s="76" customFormat="1" ht="21.95" customHeight="1" x14ac:dyDescent="0.15"/>
    <row r="44462" s="76" customFormat="1" ht="21.95" customHeight="1" x14ac:dyDescent="0.15"/>
    <row r="44463" s="76" customFormat="1" ht="21.95" customHeight="1" x14ac:dyDescent="0.15"/>
    <row r="44464" s="76" customFormat="1" ht="21.95" customHeight="1" x14ac:dyDescent="0.15"/>
    <row r="44465" spans="3:3" customFormat="1" ht="21.95" customHeight="1" x14ac:dyDescent="0.15"/>
    <row r="44466" spans="3:3" customFormat="1" ht="21.95" customHeight="1" x14ac:dyDescent="0.15"/>
    <row r="44467" spans="3:3" customFormat="1" ht="21.95" customHeight="1" x14ac:dyDescent="0.15">
      <c r="C44467" s="94"/>
    </row>
    <row r="44468" spans="3:3" customFormat="1" ht="21.95" customHeight="1" x14ac:dyDescent="0.15">
      <c r="C44468" s="94"/>
    </row>
    <row r="44469" spans="3:3" customFormat="1" ht="21.95" customHeight="1" x14ac:dyDescent="0.15"/>
    <row r="44470" spans="3:3" customFormat="1" ht="21.95" customHeight="1" x14ac:dyDescent="0.15"/>
    <row r="44471" spans="3:3" customFormat="1" ht="21.95" customHeight="1" x14ac:dyDescent="0.15"/>
    <row r="44472" spans="3:3" customFormat="1" ht="21.95" customHeight="1" x14ac:dyDescent="0.15"/>
    <row r="44473" spans="3:3" customFormat="1" ht="21.95" customHeight="1" x14ac:dyDescent="0.15"/>
    <row r="44474" spans="3:3" customFormat="1" ht="21.95" customHeight="1" x14ac:dyDescent="0.15"/>
    <row r="44475" spans="3:3" customFormat="1" ht="21.95" customHeight="1" x14ac:dyDescent="0.15"/>
    <row r="44476" spans="3:3" s="76" customFormat="1" ht="21.95" customHeight="1" x14ac:dyDescent="0.15"/>
    <row r="44477" spans="3:3" s="76" customFormat="1" ht="21.95" customHeight="1" x14ac:dyDescent="0.15"/>
    <row r="44478" spans="3:3" s="76" customFormat="1" ht="21.95" customHeight="1" x14ac:dyDescent="0.15"/>
    <row r="44479" spans="3:3" s="76" customFormat="1" ht="21.95" customHeight="1" x14ac:dyDescent="0.15"/>
    <row r="44480" spans="3:3" customFormat="1" ht="21.95" customHeight="1" x14ac:dyDescent="0.15"/>
    <row r="44481" customFormat="1" ht="21.95" customHeight="1" x14ac:dyDescent="0.15"/>
    <row r="44482" customFormat="1" ht="21.95" customHeight="1" x14ac:dyDescent="0.15"/>
    <row r="44483" customFormat="1" ht="21.95" customHeight="1" x14ac:dyDescent="0.15"/>
    <row r="44484" customFormat="1" ht="21.95" customHeight="1" x14ac:dyDescent="0.15"/>
    <row r="44485" customFormat="1" ht="21.95" customHeight="1" x14ac:dyDescent="0.15"/>
    <row r="44486" customFormat="1" ht="21.95" customHeight="1" x14ac:dyDescent="0.15"/>
    <row r="44487" customFormat="1" ht="21.95" customHeight="1" x14ac:dyDescent="0.15"/>
    <row r="44488" customFormat="1" ht="21.95" customHeight="1" x14ac:dyDescent="0.15"/>
    <row r="44489" customFormat="1" ht="21.95" customHeight="1" x14ac:dyDescent="0.15"/>
    <row r="44490" customFormat="1" ht="21.95" customHeight="1" x14ac:dyDescent="0.15"/>
    <row r="44491" customFormat="1" ht="32.1" customHeight="1" x14ac:dyDescent="0.15"/>
    <row r="44492" customFormat="1" ht="32.1" customHeight="1" x14ac:dyDescent="0.15"/>
    <row r="44493" customFormat="1" ht="32.1" customHeight="1" x14ac:dyDescent="0.15"/>
    <row r="44494" customFormat="1" ht="32.1" customHeight="1" x14ac:dyDescent="0.15"/>
    <row r="44495" customFormat="1" ht="32.1" customHeight="1" x14ac:dyDescent="0.15"/>
    <row r="44496" customFormat="1" ht="32.1" customHeight="1" x14ac:dyDescent="0.15"/>
    <row r="44497" s="76" customFormat="1" ht="32.1" customHeight="1" x14ac:dyDescent="0.15"/>
    <row r="44498" s="76" customFormat="1" ht="32.1" customHeight="1" x14ac:dyDescent="0.15"/>
    <row r="44499" s="76" customFormat="1" ht="32.1" customHeight="1" x14ac:dyDescent="0.15"/>
    <row r="44500" s="76" customFormat="1" ht="32.1" customHeight="1" x14ac:dyDescent="0.15"/>
    <row r="44501" s="76" customFormat="1" ht="21.95" customHeight="1" x14ac:dyDescent="0.15"/>
    <row r="44502" s="76" customFormat="1" ht="54" customHeight="1" x14ac:dyDescent="0.15"/>
    <row r="44503" s="76" customFormat="1" ht="21.95" customHeight="1" x14ac:dyDescent="0.15"/>
    <row r="44504" s="76" customFormat="1" ht="21.95" customHeight="1" x14ac:dyDescent="0.15"/>
    <row r="44505" s="76" customFormat="1" ht="21.95" customHeight="1" x14ac:dyDescent="0.15"/>
    <row r="44506" s="76" customFormat="1" ht="21.95" customHeight="1" x14ac:dyDescent="0.15"/>
    <row r="44507" s="76" customFormat="1" ht="21.95" customHeight="1" x14ac:dyDescent="0.15"/>
    <row r="44508" s="76" customFormat="1" ht="21.95" customHeight="1" x14ac:dyDescent="0.15"/>
    <row r="44509" s="76" customFormat="1" ht="21.95" customHeight="1" x14ac:dyDescent="0.15"/>
    <row r="44510" s="76" customFormat="1" ht="21.95" customHeight="1" x14ac:dyDescent="0.15"/>
    <row r="44511" s="76" customFormat="1" ht="21.95" customHeight="1" x14ac:dyDescent="0.15"/>
    <row r="44512" s="76" customFormat="1" ht="21.95" customHeight="1" x14ac:dyDescent="0.15"/>
    <row r="44513" s="76" customFormat="1" ht="21.95" customHeight="1" x14ac:dyDescent="0.15"/>
    <row r="44514" s="76" customFormat="1" ht="21.95" customHeight="1" x14ac:dyDescent="0.15"/>
    <row r="44515" s="76" customFormat="1" ht="21.95" customHeight="1" x14ac:dyDescent="0.15"/>
    <row r="44516" s="76" customFormat="1" ht="21.95" customHeight="1" x14ac:dyDescent="0.15"/>
    <row r="44517" s="76" customFormat="1" ht="21.95" customHeight="1" x14ac:dyDescent="0.15"/>
    <row r="44518" s="76" customFormat="1" ht="21.95" customHeight="1" x14ac:dyDescent="0.15"/>
    <row r="44519" s="76" customFormat="1" ht="21.95" customHeight="1" x14ac:dyDescent="0.15"/>
    <row r="44520" s="76" customFormat="1" ht="21.95" customHeight="1" x14ac:dyDescent="0.15"/>
    <row r="44521" s="76" customFormat="1" ht="21.95" customHeight="1" x14ac:dyDescent="0.15"/>
    <row r="44522" s="76" customFormat="1" ht="21.95" customHeight="1" x14ac:dyDescent="0.15"/>
    <row r="44523" s="76" customFormat="1" ht="21.95" customHeight="1" x14ac:dyDescent="0.15"/>
    <row r="44524" s="76" customFormat="1" ht="21.95" customHeight="1" x14ac:dyDescent="0.15"/>
    <row r="44525" s="76" customFormat="1" ht="21.95" customHeight="1" x14ac:dyDescent="0.15"/>
    <row r="44526" s="76" customFormat="1" ht="21.95" customHeight="1" x14ac:dyDescent="0.15"/>
    <row r="44527" s="76" customFormat="1" ht="21.95" customHeight="1" x14ac:dyDescent="0.15"/>
    <row r="44528" s="76" customFormat="1" ht="21.95" customHeight="1" x14ac:dyDescent="0.15"/>
    <row r="44529" s="76" customFormat="1" ht="21.95" customHeight="1" x14ac:dyDescent="0.15"/>
    <row r="44530" s="76" customFormat="1" ht="21.95" customHeight="1" x14ac:dyDescent="0.15"/>
    <row r="44531" s="76" customFormat="1" ht="21.95" customHeight="1" x14ac:dyDescent="0.15"/>
    <row r="44532" s="76" customFormat="1" ht="21.95" customHeight="1" x14ac:dyDescent="0.15"/>
    <row r="44533" s="76" customFormat="1" ht="21.95" customHeight="1" x14ac:dyDescent="0.15"/>
    <row r="44534" s="76" customFormat="1" ht="21.95" customHeight="1" x14ac:dyDescent="0.15"/>
    <row r="44535" s="76" customFormat="1" ht="21.95" customHeight="1" x14ac:dyDescent="0.15"/>
    <row r="44536" s="76" customFormat="1" ht="21.95" customHeight="1" x14ac:dyDescent="0.15"/>
    <row r="44537" s="76" customFormat="1" ht="21.95" customHeight="1" x14ac:dyDescent="0.15"/>
    <row r="44538" s="76" customFormat="1" ht="21.95" customHeight="1" x14ac:dyDescent="0.15"/>
    <row r="44539" s="76" customFormat="1" ht="21.95" customHeight="1" x14ac:dyDescent="0.15"/>
    <row r="44540" s="76" customFormat="1" ht="21.95" customHeight="1" x14ac:dyDescent="0.15"/>
    <row r="44541" s="76" customFormat="1" ht="21.95" customHeight="1" x14ac:dyDescent="0.15"/>
    <row r="44542" s="76" customFormat="1" ht="21.95" customHeight="1" x14ac:dyDescent="0.15"/>
    <row r="44543" s="76" customFormat="1" ht="21.95" customHeight="1" x14ac:dyDescent="0.15"/>
    <row r="44544" s="76" customFormat="1" ht="21.95" customHeight="1" x14ac:dyDescent="0.15"/>
    <row r="44545" s="76" customFormat="1" ht="21.95" customHeight="1" x14ac:dyDescent="0.15"/>
    <row r="44546" s="76" customFormat="1" ht="21.95" customHeight="1" x14ac:dyDescent="0.15"/>
    <row r="44547" s="76" customFormat="1" ht="21.95" customHeight="1" x14ac:dyDescent="0.15"/>
    <row r="44548" s="76" customFormat="1" ht="21.95" customHeight="1" x14ac:dyDescent="0.15"/>
    <row r="44549" s="76" customFormat="1" ht="21.95" customHeight="1" x14ac:dyDescent="0.15"/>
    <row r="44550" s="76" customFormat="1" ht="21.95" customHeight="1" x14ac:dyDescent="0.15"/>
    <row r="44551" s="76" customFormat="1" ht="21.95" customHeight="1" x14ac:dyDescent="0.15"/>
    <row r="44552" s="76" customFormat="1" ht="21.95" customHeight="1" x14ac:dyDescent="0.15"/>
    <row r="44553" s="76" customFormat="1" ht="35.1" customHeight="1" x14ac:dyDescent="0.15"/>
    <row r="44554" s="76" customFormat="1" ht="21.95" customHeight="1" x14ac:dyDescent="0.15"/>
    <row r="44555" s="76" customFormat="1" ht="21.95" customHeight="1" x14ac:dyDescent="0.15"/>
    <row r="44556" s="76" customFormat="1" ht="21.95" customHeight="1" x14ac:dyDescent="0.15"/>
    <row r="44557" s="76" customFormat="1" ht="21.95" customHeight="1" x14ac:dyDescent="0.15"/>
    <row r="44558" s="76" customFormat="1" ht="21.95" customHeight="1" x14ac:dyDescent="0.15"/>
    <row r="44559" s="76" customFormat="1" ht="21.95" customHeight="1" x14ac:dyDescent="0.15"/>
    <row r="44560" s="76" customFormat="1" ht="21.95" customHeight="1" x14ac:dyDescent="0.15"/>
    <row r="44561" s="76" customFormat="1" ht="21.95" customHeight="1" x14ac:dyDescent="0.15"/>
    <row r="44562" s="76" customFormat="1" ht="21.95" customHeight="1" x14ac:dyDescent="0.15"/>
    <row r="44563" s="76" customFormat="1" ht="21.95" customHeight="1" x14ac:dyDescent="0.15"/>
    <row r="44564" s="76" customFormat="1" ht="21.95" customHeight="1" x14ac:dyDescent="0.15"/>
    <row r="44565" s="76" customFormat="1" ht="21.95" customHeight="1" x14ac:dyDescent="0.15"/>
    <row r="44566" s="76" customFormat="1" ht="21.95" customHeight="1" x14ac:dyDescent="0.15"/>
    <row r="44567" s="76" customFormat="1" ht="21.95" customHeight="1" x14ac:dyDescent="0.15"/>
    <row r="44568" s="76" customFormat="1" ht="21.95" customHeight="1" x14ac:dyDescent="0.15"/>
    <row r="44569" s="76" customFormat="1" ht="21.95" customHeight="1" x14ac:dyDescent="0.15"/>
    <row r="44570" s="76" customFormat="1" ht="21.95" customHeight="1" x14ac:dyDescent="0.15"/>
    <row r="44571" s="76" customFormat="1" ht="21.95" customHeight="1" x14ac:dyDescent="0.15"/>
    <row r="44572" s="76" customFormat="1" ht="21.95" customHeight="1" x14ac:dyDescent="0.15"/>
    <row r="44573" s="76" customFormat="1" ht="21.95" customHeight="1" x14ac:dyDescent="0.15"/>
    <row r="44574" s="76" customFormat="1" ht="21.95" customHeight="1" x14ac:dyDescent="0.15"/>
    <row r="44575" s="76" customFormat="1" ht="21.95" customHeight="1" x14ac:dyDescent="0.15"/>
    <row r="44576" s="76" customFormat="1" ht="21.95" customHeight="1" x14ac:dyDescent="0.15"/>
    <row r="44577" spans="3:3" customFormat="1" ht="21.95" customHeight="1" x14ac:dyDescent="0.15"/>
    <row r="44578" spans="3:3" customFormat="1" ht="21.95" customHeight="1" x14ac:dyDescent="0.15"/>
    <row r="44579" spans="3:3" customFormat="1" ht="21.95" customHeight="1" x14ac:dyDescent="0.15">
      <c r="C44579" s="94"/>
    </row>
    <row r="44580" spans="3:3" customFormat="1" ht="21.95" customHeight="1" x14ac:dyDescent="0.15">
      <c r="C44580" s="94"/>
    </row>
    <row r="44581" spans="3:3" customFormat="1" ht="21.95" customHeight="1" x14ac:dyDescent="0.15"/>
    <row r="44582" spans="3:3" customFormat="1" ht="21.95" customHeight="1" x14ac:dyDescent="0.15"/>
    <row r="44583" spans="3:3" customFormat="1" ht="21.95" customHeight="1" x14ac:dyDescent="0.15"/>
    <row r="44584" spans="3:3" customFormat="1" ht="21.95" customHeight="1" x14ac:dyDescent="0.15"/>
    <row r="44585" spans="3:3" customFormat="1" ht="21.95" customHeight="1" x14ac:dyDescent="0.15"/>
    <row r="44586" spans="3:3" customFormat="1" ht="21.95" customHeight="1" x14ac:dyDescent="0.15"/>
    <row r="44587" spans="3:3" customFormat="1" ht="21.95" customHeight="1" x14ac:dyDescent="0.15"/>
    <row r="44588" spans="3:3" s="76" customFormat="1" ht="21.95" customHeight="1" x14ac:dyDescent="0.15"/>
    <row r="44589" spans="3:3" s="76" customFormat="1" ht="21.95" customHeight="1" x14ac:dyDescent="0.15"/>
    <row r="44590" spans="3:3" s="76" customFormat="1" ht="21.95" customHeight="1" x14ac:dyDescent="0.15"/>
    <row r="44591" spans="3:3" s="76" customFormat="1" ht="21.95" customHeight="1" x14ac:dyDescent="0.15"/>
    <row r="44592" spans="3:3" customFormat="1" ht="21.95" customHeight="1" x14ac:dyDescent="0.15"/>
    <row r="44593" customFormat="1" ht="21.95" customHeight="1" x14ac:dyDescent="0.15"/>
    <row r="44594" customFormat="1" ht="21.95" customHeight="1" x14ac:dyDescent="0.15"/>
    <row r="44595" customFormat="1" ht="21.95" customHeight="1" x14ac:dyDescent="0.15"/>
    <row r="44596" customFormat="1" ht="21.95" customHeight="1" x14ac:dyDescent="0.15"/>
    <row r="44597" customFormat="1" ht="21.95" customHeight="1" x14ac:dyDescent="0.15"/>
    <row r="44598" customFormat="1" ht="21.95" customHeight="1" x14ac:dyDescent="0.15"/>
    <row r="44599" customFormat="1" ht="21.95" customHeight="1" x14ac:dyDescent="0.15"/>
    <row r="44600" customFormat="1" ht="21.95" customHeight="1" x14ac:dyDescent="0.15"/>
    <row r="44601" customFormat="1" ht="21.95" customHeight="1" x14ac:dyDescent="0.15"/>
    <row r="44602" customFormat="1" ht="21.95" customHeight="1" x14ac:dyDescent="0.15"/>
    <row r="44603" customFormat="1" ht="32.1" customHeight="1" x14ac:dyDescent="0.15"/>
    <row r="44604" customFormat="1" ht="32.1" customHeight="1" x14ac:dyDescent="0.15"/>
    <row r="44605" customFormat="1" ht="32.1" customHeight="1" x14ac:dyDescent="0.15"/>
    <row r="44606" customFormat="1" ht="32.1" customHeight="1" x14ac:dyDescent="0.15"/>
    <row r="44607" customFormat="1" ht="32.1" customHeight="1" x14ac:dyDescent="0.15"/>
    <row r="44608" customFormat="1" ht="32.1" customHeight="1" x14ac:dyDescent="0.15"/>
    <row r="44609" s="76" customFormat="1" ht="32.1" customHeight="1" x14ac:dyDescent="0.15"/>
    <row r="44610" s="76" customFormat="1" ht="32.1" customHeight="1" x14ac:dyDescent="0.15"/>
    <row r="44611" s="76" customFormat="1" ht="32.1" customHeight="1" x14ac:dyDescent="0.15"/>
    <row r="44612" s="76" customFormat="1" ht="32.1" customHeight="1" x14ac:dyDescent="0.15"/>
    <row r="44613" s="76" customFormat="1" ht="21.95" customHeight="1" x14ac:dyDescent="0.15"/>
    <row r="44614" s="76" customFormat="1" ht="54" customHeight="1" x14ac:dyDescent="0.15"/>
    <row r="44615" s="76" customFormat="1" ht="21.95" customHeight="1" x14ac:dyDescent="0.15"/>
    <row r="44616" s="76" customFormat="1" ht="21.95" customHeight="1" x14ac:dyDescent="0.15"/>
    <row r="44617" s="76" customFormat="1" ht="21.95" customHeight="1" x14ac:dyDescent="0.15"/>
    <row r="44618" s="76" customFormat="1" ht="21.95" customHeight="1" x14ac:dyDescent="0.15"/>
    <row r="44619" s="76" customFormat="1" ht="21.95" customHeight="1" x14ac:dyDescent="0.15"/>
    <row r="44620" s="76" customFormat="1" ht="21.95" customHeight="1" x14ac:dyDescent="0.15"/>
    <row r="44621" s="76" customFormat="1" ht="21.95" customHeight="1" x14ac:dyDescent="0.15"/>
    <row r="44622" s="76" customFormat="1" ht="21.95" customHeight="1" x14ac:dyDescent="0.15"/>
    <row r="44623" s="76" customFormat="1" ht="21.95" customHeight="1" x14ac:dyDescent="0.15"/>
    <row r="44624" s="76" customFormat="1" ht="21.95" customHeight="1" x14ac:dyDescent="0.15"/>
    <row r="44625" s="76" customFormat="1" ht="21.95" customHeight="1" x14ac:dyDescent="0.15"/>
    <row r="44626" s="76" customFormat="1" ht="21.95" customHeight="1" x14ac:dyDescent="0.15"/>
    <row r="44627" s="76" customFormat="1" ht="21.95" customHeight="1" x14ac:dyDescent="0.15"/>
    <row r="44628" s="76" customFormat="1" ht="21.95" customHeight="1" x14ac:dyDescent="0.15"/>
    <row r="44629" s="76" customFormat="1" ht="21.95" customHeight="1" x14ac:dyDescent="0.15"/>
    <row r="44630" s="76" customFormat="1" ht="21.95" customHeight="1" x14ac:dyDescent="0.15"/>
    <row r="44631" s="76" customFormat="1" ht="21.95" customHeight="1" x14ac:dyDescent="0.15"/>
    <row r="44632" s="76" customFormat="1" ht="21.95" customHeight="1" x14ac:dyDescent="0.15"/>
    <row r="44633" s="76" customFormat="1" ht="21.95" customHeight="1" x14ac:dyDescent="0.15"/>
    <row r="44634" s="76" customFormat="1" ht="21.95" customHeight="1" x14ac:dyDescent="0.15"/>
    <row r="44635" s="76" customFormat="1" ht="21.95" customHeight="1" x14ac:dyDescent="0.15"/>
    <row r="44636" s="76" customFormat="1" ht="21.95" customHeight="1" x14ac:dyDescent="0.15"/>
    <row r="44637" s="76" customFormat="1" ht="21.95" customHeight="1" x14ac:dyDescent="0.15"/>
    <row r="44638" s="76" customFormat="1" ht="21.95" customHeight="1" x14ac:dyDescent="0.15"/>
    <row r="44639" s="76" customFormat="1" ht="21.95" customHeight="1" x14ac:dyDescent="0.15"/>
    <row r="44640" s="76" customFormat="1" ht="21.95" customHeight="1" x14ac:dyDescent="0.15"/>
    <row r="44641" s="76" customFormat="1" ht="21.95" customHeight="1" x14ac:dyDescent="0.15"/>
    <row r="44642" s="76" customFormat="1" ht="21.95" customHeight="1" x14ac:dyDescent="0.15"/>
    <row r="44643" s="76" customFormat="1" ht="21.95" customHeight="1" x14ac:dyDescent="0.15"/>
    <row r="44644" s="76" customFormat="1" ht="21.95" customHeight="1" x14ac:dyDescent="0.15"/>
    <row r="44645" s="76" customFormat="1" ht="21.95" customHeight="1" x14ac:dyDescent="0.15"/>
    <row r="44646" s="76" customFormat="1" ht="21.95" customHeight="1" x14ac:dyDescent="0.15"/>
    <row r="44647" s="76" customFormat="1" ht="21.95" customHeight="1" x14ac:dyDescent="0.15"/>
    <row r="44648" s="76" customFormat="1" ht="21.95" customHeight="1" x14ac:dyDescent="0.15"/>
    <row r="44649" s="76" customFormat="1" ht="21.95" customHeight="1" x14ac:dyDescent="0.15"/>
    <row r="44650" s="76" customFormat="1" ht="21.95" customHeight="1" x14ac:dyDescent="0.15"/>
    <row r="44651" s="76" customFormat="1" ht="21.95" customHeight="1" x14ac:dyDescent="0.15"/>
    <row r="44652" s="76" customFormat="1" ht="21.95" customHeight="1" x14ac:dyDescent="0.15"/>
    <row r="44653" s="76" customFormat="1" ht="21.95" customHeight="1" x14ac:dyDescent="0.15"/>
    <row r="44654" s="76" customFormat="1" ht="21.95" customHeight="1" x14ac:dyDescent="0.15"/>
    <row r="44655" s="76" customFormat="1" ht="21.95" customHeight="1" x14ac:dyDescent="0.15"/>
    <row r="44656" s="76" customFormat="1" ht="21.95" customHeight="1" x14ac:dyDescent="0.15"/>
    <row r="44657" s="76" customFormat="1" ht="21.95" customHeight="1" x14ac:dyDescent="0.15"/>
    <row r="44658" s="76" customFormat="1" ht="21.95" customHeight="1" x14ac:dyDescent="0.15"/>
    <row r="44659" s="76" customFormat="1" ht="21.95" customHeight="1" x14ac:dyDescent="0.15"/>
    <row r="44660" s="76" customFormat="1" ht="21.95" customHeight="1" x14ac:dyDescent="0.15"/>
    <row r="44661" s="76" customFormat="1" ht="21.95" customHeight="1" x14ac:dyDescent="0.15"/>
    <row r="44662" s="76" customFormat="1" ht="21.95" customHeight="1" x14ac:dyDescent="0.15"/>
    <row r="44663" s="76" customFormat="1" ht="21.95" customHeight="1" x14ac:dyDescent="0.15"/>
    <row r="44664" s="76" customFormat="1" ht="21.95" customHeight="1" x14ac:dyDescent="0.15"/>
    <row r="44665" s="76" customFormat="1" ht="35.1" customHeight="1" x14ac:dyDescent="0.15"/>
    <row r="44666" s="76" customFormat="1" ht="21.95" customHeight="1" x14ac:dyDescent="0.15"/>
    <row r="44667" s="76" customFormat="1" ht="21.95" customHeight="1" x14ac:dyDescent="0.15"/>
    <row r="44668" s="76" customFormat="1" ht="21.95" customHeight="1" x14ac:dyDescent="0.15"/>
    <row r="44669" s="76" customFormat="1" ht="21.95" customHeight="1" x14ac:dyDescent="0.15"/>
    <row r="44670" s="76" customFormat="1" ht="21.95" customHeight="1" x14ac:dyDescent="0.15"/>
    <row r="44671" s="76" customFormat="1" ht="21.95" customHeight="1" x14ac:dyDescent="0.15"/>
    <row r="44672" s="76" customFormat="1" ht="21.95" customHeight="1" x14ac:dyDescent="0.15"/>
    <row r="44673" s="76" customFormat="1" ht="21.95" customHeight="1" x14ac:dyDescent="0.15"/>
    <row r="44674" s="76" customFormat="1" ht="21.95" customHeight="1" x14ac:dyDescent="0.15"/>
    <row r="44675" s="76" customFormat="1" ht="21.95" customHeight="1" x14ac:dyDescent="0.15"/>
    <row r="44676" s="76" customFormat="1" ht="21.95" customHeight="1" x14ac:dyDescent="0.15"/>
    <row r="44677" s="76" customFormat="1" ht="21.95" customHeight="1" x14ac:dyDescent="0.15"/>
    <row r="44678" s="76" customFormat="1" ht="21.95" customHeight="1" x14ac:dyDescent="0.15"/>
    <row r="44679" s="76" customFormat="1" ht="21.95" customHeight="1" x14ac:dyDescent="0.15"/>
    <row r="44680" s="76" customFormat="1" ht="21.95" customHeight="1" x14ac:dyDescent="0.15"/>
    <row r="44681" s="76" customFormat="1" ht="21.95" customHeight="1" x14ac:dyDescent="0.15"/>
    <row r="44682" s="76" customFormat="1" ht="21.95" customHeight="1" x14ac:dyDescent="0.15"/>
    <row r="44683" s="76" customFormat="1" ht="21.95" customHeight="1" x14ac:dyDescent="0.15"/>
    <row r="44684" s="76" customFormat="1" ht="21.95" customHeight="1" x14ac:dyDescent="0.15"/>
    <row r="44685" s="76" customFormat="1" ht="21.95" customHeight="1" x14ac:dyDescent="0.15"/>
    <row r="44686" s="76" customFormat="1" ht="21.95" customHeight="1" x14ac:dyDescent="0.15"/>
    <row r="44687" s="76" customFormat="1" ht="21.95" customHeight="1" x14ac:dyDescent="0.15"/>
    <row r="44688" s="76" customFormat="1" ht="21.95" customHeight="1" x14ac:dyDescent="0.15"/>
    <row r="44689" spans="3:3" customFormat="1" ht="21.95" customHeight="1" x14ac:dyDescent="0.15"/>
    <row r="44690" spans="3:3" customFormat="1" ht="21.95" customHeight="1" x14ac:dyDescent="0.15"/>
    <row r="44691" spans="3:3" customFormat="1" ht="21.95" customHeight="1" x14ac:dyDescent="0.15">
      <c r="C44691" s="94"/>
    </row>
    <row r="44692" spans="3:3" customFormat="1" ht="21.95" customHeight="1" x14ac:dyDescent="0.15">
      <c r="C44692" s="94"/>
    </row>
    <row r="44693" spans="3:3" customFormat="1" ht="21.95" customHeight="1" x14ac:dyDescent="0.15"/>
    <row r="44694" spans="3:3" customFormat="1" ht="21.95" customHeight="1" x14ac:dyDescent="0.15"/>
    <row r="44695" spans="3:3" customFormat="1" ht="21.95" customHeight="1" x14ac:dyDescent="0.15"/>
    <row r="44696" spans="3:3" customFormat="1" ht="21.95" customHeight="1" x14ac:dyDescent="0.15"/>
    <row r="44697" spans="3:3" customFormat="1" ht="21.95" customHeight="1" x14ac:dyDescent="0.15"/>
    <row r="44698" spans="3:3" customFormat="1" ht="21.95" customHeight="1" x14ac:dyDescent="0.15"/>
    <row r="44699" spans="3:3" customFormat="1" ht="21.95" customHeight="1" x14ac:dyDescent="0.15"/>
    <row r="44700" spans="3:3" s="76" customFormat="1" ht="21.95" customHeight="1" x14ac:dyDescent="0.15"/>
    <row r="44701" spans="3:3" s="76" customFormat="1" ht="21.95" customHeight="1" x14ac:dyDescent="0.15"/>
    <row r="44702" spans="3:3" s="76" customFormat="1" ht="21.95" customHeight="1" x14ac:dyDescent="0.15"/>
    <row r="44703" spans="3:3" s="76" customFormat="1" ht="21.95" customHeight="1" x14ac:dyDescent="0.15"/>
    <row r="44704" spans="3:3" customFormat="1" ht="21.95" customHeight="1" x14ac:dyDescent="0.15"/>
    <row r="44705" customFormat="1" ht="21.95" customHeight="1" x14ac:dyDescent="0.15"/>
    <row r="44706" customFormat="1" ht="21.95" customHeight="1" x14ac:dyDescent="0.15"/>
    <row r="44707" customFormat="1" ht="21.95" customHeight="1" x14ac:dyDescent="0.15"/>
    <row r="44708" customFormat="1" ht="21.95" customHeight="1" x14ac:dyDescent="0.15"/>
    <row r="44709" customFormat="1" ht="21.95" customHeight="1" x14ac:dyDescent="0.15"/>
    <row r="44710" customFormat="1" ht="21.95" customHeight="1" x14ac:dyDescent="0.15"/>
    <row r="44711" customFormat="1" ht="21.95" customHeight="1" x14ac:dyDescent="0.15"/>
    <row r="44712" customFormat="1" ht="21.95" customHeight="1" x14ac:dyDescent="0.15"/>
    <row r="44713" customFormat="1" ht="21.95" customHeight="1" x14ac:dyDescent="0.15"/>
    <row r="44714" customFormat="1" ht="21.95" customHeight="1" x14ac:dyDescent="0.15"/>
    <row r="44715" customFormat="1" ht="32.1" customHeight="1" x14ac:dyDescent="0.15"/>
    <row r="44716" customFormat="1" ht="32.1" customHeight="1" x14ac:dyDescent="0.15"/>
    <row r="44717" customFormat="1" ht="32.1" customHeight="1" x14ac:dyDescent="0.15"/>
    <row r="44718" customFormat="1" ht="32.1" customHeight="1" x14ac:dyDescent="0.15"/>
    <row r="44719" customFormat="1" ht="32.1" customHeight="1" x14ac:dyDescent="0.15"/>
    <row r="44720" customFormat="1" ht="32.1" customHeight="1" x14ac:dyDescent="0.15"/>
    <row r="44721" s="76" customFormat="1" ht="32.1" customHeight="1" x14ac:dyDescent="0.15"/>
    <row r="44722" s="76" customFormat="1" ht="32.1" customHeight="1" x14ac:dyDescent="0.15"/>
    <row r="44723" s="76" customFormat="1" ht="32.1" customHeight="1" x14ac:dyDescent="0.15"/>
    <row r="44724" s="76" customFormat="1" ht="32.1" customHeight="1" x14ac:dyDescent="0.15"/>
    <row r="44725" s="76" customFormat="1" ht="21.95" customHeight="1" x14ac:dyDescent="0.15"/>
    <row r="44726" s="76" customFormat="1" ht="54" customHeight="1" x14ac:dyDescent="0.15"/>
    <row r="44727" s="76" customFormat="1" ht="21.95" customHeight="1" x14ac:dyDescent="0.15"/>
    <row r="44728" s="76" customFormat="1" ht="21.95" customHeight="1" x14ac:dyDescent="0.15"/>
    <row r="44729" s="76" customFormat="1" ht="21.95" customHeight="1" x14ac:dyDescent="0.15"/>
    <row r="44730" s="76" customFormat="1" ht="21.95" customHeight="1" x14ac:dyDescent="0.15"/>
    <row r="44731" s="76" customFormat="1" ht="21.95" customHeight="1" x14ac:dyDescent="0.15"/>
    <row r="44732" s="76" customFormat="1" ht="21.95" customHeight="1" x14ac:dyDescent="0.15"/>
    <row r="44733" s="76" customFormat="1" ht="21.95" customHeight="1" x14ac:dyDescent="0.15"/>
    <row r="44734" s="76" customFormat="1" ht="21.95" customHeight="1" x14ac:dyDescent="0.15"/>
    <row r="44735" s="76" customFormat="1" ht="21.95" customHeight="1" x14ac:dyDescent="0.15"/>
    <row r="44736" s="76" customFormat="1" ht="21.95" customHeight="1" x14ac:dyDescent="0.15"/>
    <row r="44737" s="76" customFormat="1" ht="21.95" customHeight="1" x14ac:dyDescent="0.15"/>
    <row r="44738" s="76" customFormat="1" ht="21.95" customHeight="1" x14ac:dyDescent="0.15"/>
    <row r="44739" s="76" customFormat="1" ht="21.95" customHeight="1" x14ac:dyDescent="0.15"/>
    <row r="44740" s="76" customFormat="1" ht="21.95" customHeight="1" x14ac:dyDescent="0.15"/>
    <row r="44741" s="76" customFormat="1" ht="21.95" customHeight="1" x14ac:dyDescent="0.15"/>
    <row r="44742" s="76" customFormat="1" ht="21.95" customHeight="1" x14ac:dyDescent="0.15"/>
    <row r="44743" s="76" customFormat="1" ht="21.95" customHeight="1" x14ac:dyDescent="0.15"/>
    <row r="44744" s="76" customFormat="1" ht="21.95" customHeight="1" x14ac:dyDescent="0.15"/>
    <row r="44745" s="76" customFormat="1" ht="21.95" customHeight="1" x14ac:dyDescent="0.15"/>
    <row r="44746" s="76" customFormat="1" ht="21.95" customHeight="1" x14ac:dyDescent="0.15"/>
    <row r="44747" s="76" customFormat="1" ht="21.95" customHeight="1" x14ac:dyDescent="0.15"/>
    <row r="44748" s="76" customFormat="1" ht="21.95" customHeight="1" x14ac:dyDescent="0.15"/>
    <row r="44749" s="76" customFormat="1" ht="21.95" customHeight="1" x14ac:dyDescent="0.15"/>
    <row r="44750" s="76" customFormat="1" ht="21.95" customHeight="1" x14ac:dyDescent="0.15"/>
    <row r="44751" s="76" customFormat="1" ht="21.95" customHeight="1" x14ac:dyDescent="0.15"/>
    <row r="44752" s="76" customFormat="1" ht="21.95" customHeight="1" x14ac:dyDescent="0.15"/>
    <row r="44753" s="76" customFormat="1" ht="21.95" customHeight="1" x14ac:dyDescent="0.15"/>
    <row r="44754" s="76" customFormat="1" ht="21.95" customHeight="1" x14ac:dyDescent="0.15"/>
    <row r="44755" s="76" customFormat="1" ht="21.95" customHeight="1" x14ac:dyDescent="0.15"/>
    <row r="44756" s="76" customFormat="1" ht="21.95" customHeight="1" x14ac:dyDescent="0.15"/>
    <row r="44757" s="76" customFormat="1" ht="21.95" customHeight="1" x14ac:dyDescent="0.15"/>
    <row r="44758" s="76" customFormat="1" ht="21.95" customHeight="1" x14ac:dyDescent="0.15"/>
    <row r="44759" s="76" customFormat="1" ht="21.95" customHeight="1" x14ac:dyDescent="0.15"/>
    <row r="44760" s="76" customFormat="1" ht="21.95" customHeight="1" x14ac:dyDescent="0.15"/>
    <row r="44761" s="76" customFormat="1" ht="21.95" customHeight="1" x14ac:dyDescent="0.15"/>
    <row r="44762" s="76" customFormat="1" ht="21.95" customHeight="1" x14ac:dyDescent="0.15"/>
    <row r="44763" s="76" customFormat="1" ht="21.95" customHeight="1" x14ac:dyDescent="0.15"/>
    <row r="44764" s="76" customFormat="1" ht="21.95" customHeight="1" x14ac:dyDescent="0.15"/>
    <row r="44765" s="76" customFormat="1" ht="21.95" customHeight="1" x14ac:dyDescent="0.15"/>
    <row r="44766" s="76" customFormat="1" ht="21.95" customHeight="1" x14ac:dyDescent="0.15"/>
    <row r="44767" s="76" customFormat="1" ht="21.95" customHeight="1" x14ac:dyDescent="0.15"/>
    <row r="44768" s="76" customFormat="1" ht="21.95" customHeight="1" x14ac:dyDescent="0.15"/>
    <row r="44769" s="76" customFormat="1" ht="21.95" customHeight="1" x14ac:dyDescent="0.15"/>
    <row r="44770" s="76" customFormat="1" ht="21.95" customHeight="1" x14ac:dyDescent="0.15"/>
    <row r="44771" s="76" customFormat="1" ht="21.95" customHeight="1" x14ac:dyDescent="0.15"/>
    <row r="44772" s="76" customFormat="1" ht="21.95" customHeight="1" x14ac:dyDescent="0.15"/>
    <row r="44773" s="76" customFormat="1" ht="21.95" customHeight="1" x14ac:dyDescent="0.15"/>
    <row r="44774" s="76" customFormat="1" ht="21.95" customHeight="1" x14ac:dyDescent="0.15"/>
    <row r="44775" s="76" customFormat="1" ht="21.95" customHeight="1" x14ac:dyDescent="0.15"/>
    <row r="44776" s="76" customFormat="1" ht="21.95" customHeight="1" x14ac:dyDescent="0.15"/>
    <row r="44777" s="76" customFormat="1" ht="35.1" customHeight="1" x14ac:dyDescent="0.15"/>
    <row r="44778" s="76" customFormat="1" ht="21.95" customHeight="1" x14ac:dyDescent="0.15"/>
    <row r="44779" s="76" customFormat="1" ht="21.95" customHeight="1" x14ac:dyDescent="0.15"/>
    <row r="44780" s="76" customFormat="1" ht="21.95" customHeight="1" x14ac:dyDescent="0.15"/>
    <row r="44781" s="76" customFormat="1" ht="21.95" customHeight="1" x14ac:dyDescent="0.15"/>
    <row r="44782" s="76" customFormat="1" ht="21.95" customHeight="1" x14ac:dyDescent="0.15"/>
    <row r="44783" s="76" customFormat="1" ht="21.95" customHeight="1" x14ac:dyDescent="0.15"/>
    <row r="44784" s="76" customFormat="1" ht="21.95" customHeight="1" x14ac:dyDescent="0.15"/>
    <row r="44785" s="76" customFormat="1" ht="21.95" customHeight="1" x14ac:dyDescent="0.15"/>
    <row r="44786" s="76" customFormat="1" ht="21.95" customHeight="1" x14ac:dyDescent="0.15"/>
    <row r="44787" s="76" customFormat="1" ht="21.95" customHeight="1" x14ac:dyDescent="0.15"/>
    <row r="44788" s="76" customFormat="1" ht="21.95" customHeight="1" x14ac:dyDescent="0.15"/>
    <row r="44789" s="76" customFormat="1" ht="21.95" customHeight="1" x14ac:dyDescent="0.15"/>
    <row r="44790" s="76" customFormat="1" ht="21.95" customHeight="1" x14ac:dyDescent="0.15"/>
    <row r="44791" s="76" customFormat="1" ht="21.95" customHeight="1" x14ac:dyDescent="0.15"/>
    <row r="44792" s="76" customFormat="1" ht="21.95" customHeight="1" x14ac:dyDescent="0.15"/>
    <row r="44793" s="76" customFormat="1" ht="21.95" customHeight="1" x14ac:dyDescent="0.15"/>
    <row r="44794" s="76" customFormat="1" ht="21.95" customHeight="1" x14ac:dyDescent="0.15"/>
    <row r="44795" s="76" customFormat="1" ht="21.95" customHeight="1" x14ac:dyDescent="0.15"/>
    <row r="44796" s="76" customFormat="1" ht="21.95" customHeight="1" x14ac:dyDescent="0.15"/>
    <row r="44797" s="76" customFormat="1" ht="21.95" customHeight="1" x14ac:dyDescent="0.15"/>
    <row r="44798" s="76" customFormat="1" ht="21.95" customHeight="1" x14ac:dyDescent="0.15"/>
    <row r="44799" s="76" customFormat="1" ht="21.95" customHeight="1" x14ac:dyDescent="0.15"/>
    <row r="44800" s="76" customFormat="1" ht="21.95" customHeight="1" x14ac:dyDescent="0.15"/>
    <row r="44801" spans="3:3" customFormat="1" ht="21.95" customHeight="1" x14ac:dyDescent="0.15"/>
    <row r="44802" spans="3:3" customFormat="1" ht="21.95" customHeight="1" x14ac:dyDescent="0.15"/>
    <row r="44803" spans="3:3" customFormat="1" ht="21.95" customHeight="1" x14ac:dyDescent="0.15">
      <c r="C44803" s="94"/>
    </row>
    <row r="44804" spans="3:3" customFormat="1" ht="21.95" customHeight="1" x14ac:dyDescent="0.15">
      <c r="C44804" s="94"/>
    </row>
    <row r="44805" spans="3:3" customFormat="1" ht="21.95" customHeight="1" x14ac:dyDescent="0.15"/>
    <row r="44806" spans="3:3" customFormat="1" ht="21.95" customHeight="1" x14ac:dyDescent="0.15"/>
    <row r="44807" spans="3:3" customFormat="1" ht="21.95" customHeight="1" x14ac:dyDescent="0.15"/>
    <row r="44808" spans="3:3" customFormat="1" ht="21.95" customHeight="1" x14ac:dyDescent="0.15"/>
    <row r="44809" spans="3:3" customFormat="1" ht="21.95" customHeight="1" x14ac:dyDescent="0.15"/>
    <row r="44810" spans="3:3" customFormat="1" ht="21.95" customHeight="1" x14ac:dyDescent="0.15"/>
    <row r="44811" spans="3:3" customFormat="1" ht="21.95" customHeight="1" x14ac:dyDescent="0.15"/>
    <row r="44812" spans="3:3" s="76" customFormat="1" ht="21.95" customHeight="1" x14ac:dyDescent="0.15"/>
    <row r="44813" spans="3:3" s="76" customFormat="1" ht="21.95" customHeight="1" x14ac:dyDescent="0.15"/>
    <row r="44814" spans="3:3" s="76" customFormat="1" ht="21.95" customHeight="1" x14ac:dyDescent="0.15"/>
    <row r="44815" spans="3:3" s="76" customFormat="1" ht="21.95" customHeight="1" x14ac:dyDescent="0.15"/>
    <row r="44816" spans="3:3" customFormat="1" ht="21.95" customHeight="1" x14ac:dyDescent="0.15"/>
    <row r="44817" customFormat="1" ht="21.95" customHeight="1" x14ac:dyDescent="0.15"/>
    <row r="44818" customFormat="1" ht="21.95" customHeight="1" x14ac:dyDescent="0.15"/>
    <row r="44819" customFormat="1" ht="21.95" customHeight="1" x14ac:dyDescent="0.15"/>
    <row r="44820" customFormat="1" ht="21.95" customHeight="1" x14ac:dyDescent="0.15"/>
    <row r="44821" customFormat="1" ht="21.95" customHeight="1" x14ac:dyDescent="0.15"/>
    <row r="44822" customFormat="1" ht="21.95" customHeight="1" x14ac:dyDescent="0.15"/>
    <row r="44823" customFormat="1" ht="21.95" customHeight="1" x14ac:dyDescent="0.15"/>
    <row r="44824" customFormat="1" ht="21.95" customHeight="1" x14ac:dyDescent="0.15"/>
    <row r="44825" customFormat="1" ht="21.95" customHeight="1" x14ac:dyDescent="0.15"/>
    <row r="44826" customFormat="1" ht="21.95" customHeight="1" x14ac:dyDescent="0.15"/>
    <row r="44827" customFormat="1" ht="32.1" customHeight="1" x14ac:dyDescent="0.15"/>
    <row r="44828" customFormat="1" ht="32.1" customHeight="1" x14ac:dyDescent="0.15"/>
    <row r="44829" customFormat="1" ht="32.1" customHeight="1" x14ac:dyDescent="0.15"/>
    <row r="44830" customFormat="1" ht="32.1" customHeight="1" x14ac:dyDescent="0.15"/>
    <row r="44831" customFormat="1" ht="32.1" customHeight="1" x14ac:dyDescent="0.15"/>
    <row r="44832" customFormat="1" ht="32.1" customHeight="1" x14ac:dyDescent="0.15"/>
    <row r="44833" s="76" customFormat="1" ht="32.1" customHeight="1" x14ac:dyDescent="0.15"/>
    <row r="44834" s="76" customFormat="1" ht="32.1" customHeight="1" x14ac:dyDescent="0.15"/>
    <row r="44835" s="76" customFormat="1" ht="32.1" customHeight="1" x14ac:dyDescent="0.15"/>
    <row r="44836" s="76" customFormat="1" ht="32.1" customHeight="1" x14ac:dyDescent="0.15"/>
    <row r="44837" s="76" customFormat="1" ht="21.95" customHeight="1" x14ac:dyDescent="0.15"/>
    <row r="44838" s="76" customFormat="1" ht="54" customHeight="1" x14ac:dyDescent="0.15"/>
    <row r="44839" s="76" customFormat="1" ht="21.95" customHeight="1" x14ac:dyDescent="0.15"/>
    <row r="44840" s="76" customFormat="1" ht="21.95" customHeight="1" x14ac:dyDescent="0.15"/>
    <row r="44841" s="76" customFormat="1" ht="21.95" customHeight="1" x14ac:dyDescent="0.15"/>
    <row r="44842" s="76" customFormat="1" ht="21.95" customHeight="1" x14ac:dyDescent="0.15"/>
    <row r="44843" s="76" customFormat="1" ht="21.95" customHeight="1" x14ac:dyDescent="0.15"/>
    <row r="44844" s="76" customFormat="1" ht="21.95" customHeight="1" x14ac:dyDescent="0.15"/>
    <row r="44845" s="76" customFormat="1" ht="21.95" customHeight="1" x14ac:dyDescent="0.15"/>
    <row r="44846" s="76" customFormat="1" ht="21.95" customHeight="1" x14ac:dyDescent="0.15"/>
    <row r="44847" s="76" customFormat="1" ht="21.95" customHeight="1" x14ac:dyDescent="0.15"/>
    <row r="44848" s="76" customFormat="1" ht="21.95" customHeight="1" x14ac:dyDescent="0.15"/>
    <row r="44849" s="76" customFormat="1" ht="21.95" customHeight="1" x14ac:dyDescent="0.15"/>
    <row r="44850" s="76" customFormat="1" ht="21.95" customHeight="1" x14ac:dyDescent="0.15"/>
    <row r="44851" s="76" customFormat="1" ht="21.95" customHeight="1" x14ac:dyDescent="0.15"/>
    <row r="44852" s="76" customFormat="1" ht="21.95" customHeight="1" x14ac:dyDescent="0.15"/>
    <row r="44853" s="76" customFormat="1" ht="21.95" customHeight="1" x14ac:dyDescent="0.15"/>
    <row r="44854" s="76" customFormat="1" ht="21.95" customHeight="1" x14ac:dyDescent="0.15"/>
    <row r="44855" s="76" customFormat="1" ht="21.95" customHeight="1" x14ac:dyDescent="0.15"/>
    <row r="44856" s="76" customFormat="1" ht="21.95" customHeight="1" x14ac:dyDescent="0.15"/>
    <row r="44857" s="76" customFormat="1" ht="21.95" customHeight="1" x14ac:dyDescent="0.15"/>
    <row r="44858" s="76" customFormat="1" ht="21.95" customHeight="1" x14ac:dyDescent="0.15"/>
    <row r="44859" s="76" customFormat="1" ht="21.95" customHeight="1" x14ac:dyDescent="0.15"/>
    <row r="44860" s="76" customFormat="1" ht="21.95" customHeight="1" x14ac:dyDescent="0.15"/>
    <row r="44861" s="76" customFormat="1" ht="21.95" customHeight="1" x14ac:dyDescent="0.15"/>
    <row r="44862" s="76" customFormat="1" ht="21.95" customHeight="1" x14ac:dyDescent="0.15"/>
    <row r="44863" s="76" customFormat="1" ht="21.95" customHeight="1" x14ac:dyDescent="0.15"/>
    <row r="44864" s="76" customFormat="1" ht="21.95" customHeight="1" x14ac:dyDescent="0.15"/>
    <row r="44865" s="76" customFormat="1" ht="21.95" customHeight="1" x14ac:dyDescent="0.15"/>
    <row r="44866" s="76" customFormat="1" ht="21.95" customHeight="1" x14ac:dyDescent="0.15"/>
    <row r="44867" s="76" customFormat="1" ht="21.95" customHeight="1" x14ac:dyDescent="0.15"/>
    <row r="44868" s="76" customFormat="1" ht="21.95" customHeight="1" x14ac:dyDescent="0.15"/>
    <row r="44869" s="76" customFormat="1" ht="21.95" customHeight="1" x14ac:dyDescent="0.15"/>
    <row r="44870" s="76" customFormat="1" ht="21.95" customHeight="1" x14ac:dyDescent="0.15"/>
    <row r="44871" s="76" customFormat="1" ht="21.95" customHeight="1" x14ac:dyDescent="0.15"/>
    <row r="44872" s="76" customFormat="1" ht="21.95" customHeight="1" x14ac:dyDescent="0.15"/>
    <row r="44873" s="76" customFormat="1" ht="21.95" customHeight="1" x14ac:dyDescent="0.15"/>
    <row r="44874" s="76" customFormat="1" ht="21.95" customHeight="1" x14ac:dyDescent="0.15"/>
    <row r="44875" s="76" customFormat="1" ht="21.95" customHeight="1" x14ac:dyDescent="0.15"/>
    <row r="44876" s="76" customFormat="1" ht="21.95" customHeight="1" x14ac:dyDescent="0.15"/>
    <row r="44877" s="76" customFormat="1" ht="21.95" customHeight="1" x14ac:dyDescent="0.15"/>
    <row r="44878" s="76" customFormat="1" ht="21.95" customHeight="1" x14ac:dyDescent="0.15"/>
    <row r="44879" s="76" customFormat="1" ht="21.95" customHeight="1" x14ac:dyDescent="0.15"/>
    <row r="44880" s="76" customFormat="1" ht="21.95" customHeight="1" x14ac:dyDescent="0.15"/>
    <row r="44881" s="76" customFormat="1" ht="21.95" customHeight="1" x14ac:dyDescent="0.15"/>
    <row r="44882" s="76" customFormat="1" ht="21.95" customHeight="1" x14ac:dyDescent="0.15"/>
    <row r="44883" s="76" customFormat="1" ht="21.95" customHeight="1" x14ac:dyDescent="0.15"/>
    <row r="44884" s="76" customFormat="1" ht="21.95" customHeight="1" x14ac:dyDescent="0.15"/>
    <row r="44885" s="76" customFormat="1" ht="21.95" customHeight="1" x14ac:dyDescent="0.15"/>
    <row r="44886" s="76" customFormat="1" ht="21.95" customHeight="1" x14ac:dyDescent="0.15"/>
    <row r="44887" s="76" customFormat="1" ht="21.95" customHeight="1" x14ac:dyDescent="0.15"/>
    <row r="44888" s="76" customFormat="1" ht="21.95" customHeight="1" x14ac:dyDescent="0.15"/>
    <row r="44889" s="76" customFormat="1" ht="35.1" customHeight="1" x14ac:dyDescent="0.15"/>
    <row r="44890" s="76" customFormat="1" ht="21.95" customHeight="1" x14ac:dyDescent="0.15"/>
    <row r="44891" s="76" customFormat="1" ht="21.95" customHeight="1" x14ac:dyDescent="0.15"/>
    <row r="44892" s="76" customFormat="1" ht="21.95" customHeight="1" x14ac:dyDescent="0.15"/>
    <row r="44893" s="76" customFormat="1" ht="21.95" customHeight="1" x14ac:dyDescent="0.15"/>
    <row r="44894" s="76" customFormat="1" ht="21.95" customHeight="1" x14ac:dyDescent="0.15"/>
    <row r="44895" s="76" customFormat="1" ht="21.95" customHeight="1" x14ac:dyDescent="0.15"/>
    <row r="44896" s="76" customFormat="1" ht="21.95" customHeight="1" x14ac:dyDescent="0.15"/>
    <row r="44897" s="76" customFormat="1" ht="21.95" customHeight="1" x14ac:dyDescent="0.15"/>
    <row r="44898" s="76" customFormat="1" ht="21.95" customHeight="1" x14ac:dyDescent="0.15"/>
    <row r="44899" s="76" customFormat="1" ht="21.95" customHeight="1" x14ac:dyDescent="0.15"/>
    <row r="44900" s="76" customFormat="1" ht="21.95" customHeight="1" x14ac:dyDescent="0.15"/>
    <row r="44901" s="76" customFormat="1" ht="21.95" customHeight="1" x14ac:dyDescent="0.15"/>
    <row r="44902" s="76" customFormat="1" ht="21.95" customHeight="1" x14ac:dyDescent="0.15"/>
    <row r="44903" s="76" customFormat="1" ht="21.95" customHeight="1" x14ac:dyDescent="0.15"/>
    <row r="44904" s="76" customFormat="1" ht="21.95" customHeight="1" x14ac:dyDescent="0.15"/>
    <row r="44905" s="76" customFormat="1" ht="21.95" customHeight="1" x14ac:dyDescent="0.15"/>
    <row r="44906" s="76" customFormat="1" ht="21.95" customHeight="1" x14ac:dyDescent="0.15"/>
    <row r="44907" s="76" customFormat="1" ht="21.95" customHeight="1" x14ac:dyDescent="0.15"/>
    <row r="44908" s="76" customFormat="1" ht="21.95" customHeight="1" x14ac:dyDescent="0.15"/>
    <row r="44909" s="76" customFormat="1" ht="21.95" customHeight="1" x14ac:dyDescent="0.15"/>
    <row r="44910" s="76" customFormat="1" ht="21.95" customHeight="1" x14ac:dyDescent="0.15"/>
    <row r="44911" s="76" customFormat="1" ht="21.95" customHeight="1" x14ac:dyDescent="0.15"/>
    <row r="44912" s="76" customFormat="1" ht="21.95" customHeight="1" x14ac:dyDescent="0.15"/>
    <row r="44913" spans="3:3" customFormat="1" ht="21.95" customHeight="1" x14ac:dyDescent="0.15"/>
    <row r="44914" spans="3:3" customFormat="1" ht="21.95" customHeight="1" x14ac:dyDescent="0.15"/>
    <row r="44915" spans="3:3" customFormat="1" ht="21.95" customHeight="1" x14ac:dyDescent="0.15">
      <c r="C44915" s="94"/>
    </row>
    <row r="44916" spans="3:3" customFormat="1" ht="21.95" customHeight="1" x14ac:dyDescent="0.15">
      <c r="C44916" s="94"/>
    </row>
    <row r="44917" spans="3:3" customFormat="1" ht="21.95" customHeight="1" x14ac:dyDescent="0.15"/>
    <row r="44918" spans="3:3" customFormat="1" ht="21.95" customHeight="1" x14ac:dyDescent="0.15"/>
    <row r="44919" spans="3:3" customFormat="1" ht="21.95" customHeight="1" x14ac:dyDescent="0.15"/>
    <row r="44920" spans="3:3" customFormat="1" ht="21.95" customHeight="1" x14ac:dyDescent="0.15"/>
    <row r="44921" spans="3:3" customFormat="1" ht="21.95" customHeight="1" x14ac:dyDescent="0.15"/>
    <row r="44922" spans="3:3" customFormat="1" ht="21.95" customHeight="1" x14ac:dyDescent="0.15"/>
    <row r="44923" spans="3:3" customFormat="1" ht="21.95" customHeight="1" x14ac:dyDescent="0.15"/>
    <row r="44924" spans="3:3" s="76" customFormat="1" ht="21.95" customHeight="1" x14ac:dyDescent="0.15"/>
    <row r="44925" spans="3:3" s="76" customFormat="1" ht="21.95" customHeight="1" x14ac:dyDescent="0.15"/>
    <row r="44926" spans="3:3" s="76" customFormat="1" ht="21.95" customHeight="1" x14ac:dyDescent="0.15"/>
    <row r="44927" spans="3:3" s="76" customFormat="1" ht="21.95" customHeight="1" x14ac:dyDescent="0.15"/>
    <row r="44928" spans="3:3" customFormat="1" ht="21.95" customHeight="1" x14ac:dyDescent="0.15"/>
    <row r="44929" customFormat="1" ht="21.95" customHeight="1" x14ac:dyDescent="0.15"/>
    <row r="44930" customFormat="1" ht="21.95" customHeight="1" x14ac:dyDescent="0.15"/>
    <row r="44931" customFormat="1" ht="21.95" customHeight="1" x14ac:dyDescent="0.15"/>
    <row r="44932" customFormat="1" ht="21.95" customHeight="1" x14ac:dyDescent="0.15"/>
    <row r="44933" customFormat="1" ht="21.95" customHeight="1" x14ac:dyDescent="0.15"/>
    <row r="44934" customFormat="1" ht="21.95" customHeight="1" x14ac:dyDescent="0.15"/>
    <row r="44935" customFormat="1" ht="21.95" customHeight="1" x14ac:dyDescent="0.15"/>
    <row r="44936" customFormat="1" ht="21.95" customHeight="1" x14ac:dyDescent="0.15"/>
    <row r="44937" customFormat="1" ht="21.95" customHeight="1" x14ac:dyDescent="0.15"/>
    <row r="44938" customFormat="1" ht="21.95" customHeight="1" x14ac:dyDescent="0.15"/>
    <row r="44939" customFormat="1" ht="32.1" customHeight="1" x14ac:dyDescent="0.15"/>
    <row r="44940" customFormat="1" ht="32.1" customHeight="1" x14ac:dyDescent="0.15"/>
    <row r="44941" customFormat="1" ht="32.1" customHeight="1" x14ac:dyDescent="0.15"/>
    <row r="44942" customFormat="1" ht="32.1" customHeight="1" x14ac:dyDescent="0.15"/>
    <row r="44943" customFormat="1" ht="32.1" customHeight="1" x14ac:dyDescent="0.15"/>
    <row r="44944" customFormat="1" ht="32.1" customHeight="1" x14ac:dyDescent="0.15"/>
    <row r="44945" s="76" customFormat="1" ht="32.1" customHeight="1" x14ac:dyDescent="0.15"/>
    <row r="44946" s="76" customFormat="1" ht="32.1" customHeight="1" x14ac:dyDescent="0.15"/>
    <row r="44947" s="76" customFormat="1" ht="32.1" customHeight="1" x14ac:dyDescent="0.15"/>
    <row r="44948" s="76" customFormat="1" ht="32.1" customHeight="1" x14ac:dyDescent="0.15"/>
    <row r="44949" s="76" customFormat="1" ht="21.95" customHeight="1" x14ac:dyDescent="0.15"/>
    <row r="44950" s="76" customFormat="1" ht="54" customHeight="1" x14ac:dyDescent="0.15"/>
    <row r="44951" s="76" customFormat="1" ht="21.95" customHeight="1" x14ac:dyDescent="0.15"/>
    <row r="44952" s="76" customFormat="1" ht="21.95" customHeight="1" x14ac:dyDescent="0.15"/>
    <row r="44953" s="76" customFormat="1" ht="21.95" customHeight="1" x14ac:dyDescent="0.15"/>
    <row r="44954" s="76" customFormat="1" ht="21.95" customHeight="1" x14ac:dyDescent="0.15"/>
    <row r="44955" s="76" customFormat="1" ht="21.95" customHeight="1" x14ac:dyDescent="0.15"/>
    <row r="44956" s="76" customFormat="1" ht="21.95" customHeight="1" x14ac:dyDescent="0.15"/>
    <row r="44957" s="76" customFormat="1" ht="21.95" customHeight="1" x14ac:dyDescent="0.15"/>
    <row r="44958" s="76" customFormat="1" ht="21.95" customHeight="1" x14ac:dyDescent="0.15"/>
    <row r="44959" s="76" customFormat="1" ht="21.95" customHeight="1" x14ac:dyDescent="0.15"/>
    <row r="44960" s="76" customFormat="1" ht="21.95" customHeight="1" x14ac:dyDescent="0.15"/>
    <row r="44961" s="76" customFormat="1" ht="21.95" customHeight="1" x14ac:dyDescent="0.15"/>
    <row r="44962" s="76" customFormat="1" ht="21.95" customHeight="1" x14ac:dyDescent="0.15"/>
    <row r="44963" s="76" customFormat="1" ht="21.95" customHeight="1" x14ac:dyDescent="0.15"/>
    <row r="44964" s="76" customFormat="1" ht="21.95" customHeight="1" x14ac:dyDescent="0.15"/>
    <row r="44965" s="76" customFormat="1" ht="21.95" customHeight="1" x14ac:dyDescent="0.15"/>
    <row r="44966" s="76" customFormat="1" ht="21.95" customHeight="1" x14ac:dyDescent="0.15"/>
    <row r="44967" s="76" customFormat="1" ht="21.95" customHeight="1" x14ac:dyDescent="0.15"/>
    <row r="44968" s="76" customFormat="1" ht="21.95" customHeight="1" x14ac:dyDescent="0.15"/>
    <row r="44969" s="76" customFormat="1" ht="21.95" customHeight="1" x14ac:dyDescent="0.15"/>
    <row r="44970" s="76" customFormat="1" ht="21.95" customHeight="1" x14ac:dyDescent="0.15"/>
    <row r="44971" s="76" customFormat="1" ht="21.95" customHeight="1" x14ac:dyDescent="0.15"/>
    <row r="44972" s="76" customFormat="1" ht="21.95" customHeight="1" x14ac:dyDescent="0.15"/>
    <row r="44973" s="76" customFormat="1" ht="21.95" customHeight="1" x14ac:dyDescent="0.15"/>
    <row r="44974" s="76" customFormat="1" ht="21.95" customHeight="1" x14ac:dyDescent="0.15"/>
    <row r="44975" s="76" customFormat="1" ht="21.95" customHeight="1" x14ac:dyDescent="0.15"/>
    <row r="44976" s="76" customFormat="1" ht="21.95" customHeight="1" x14ac:dyDescent="0.15"/>
    <row r="44977" s="76" customFormat="1" ht="21.95" customHeight="1" x14ac:dyDescent="0.15"/>
    <row r="44978" s="76" customFormat="1" ht="21.95" customHeight="1" x14ac:dyDescent="0.15"/>
    <row r="44979" s="76" customFormat="1" ht="21.95" customHeight="1" x14ac:dyDescent="0.15"/>
    <row r="44980" s="76" customFormat="1" ht="21.95" customHeight="1" x14ac:dyDescent="0.15"/>
    <row r="44981" s="76" customFormat="1" ht="21.95" customHeight="1" x14ac:dyDescent="0.15"/>
    <row r="44982" s="76" customFormat="1" ht="21.95" customHeight="1" x14ac:dyDescent="0.15"/>
    <row r="44983" s="76" customFormat="1" ht="21.95" customHeight="1" x14ac:dyDescent="0.15"/>
    <row r="44984" s="76" customFormat="1" ht="21.95" customHeight="1" x14ac:dyDescent="0.15"/>
    <row r="44985" s="76" customFormat="1" ht="21.95" customHeight="1" x14ac:dyDescent="0.15"/>
    <row r="44986" s="76" customFormat="1" ht="21.95" customHeight="1" x14ac:dyDescent="0.15"/>
    <row r="44987" s="76" customFormat="1" ht="21.95" customHeight="1" x14ac:dyDescent="0.15"/>
    <row r="44988" s="76" customFormat="1" ht="21.95" customHeight="1" x14ac:dyDescent="0.15"/>
    <row r="44989" s="76" customFormat="1" ht="21.95" customHeight="1" x14ac:dyDescent="0.15"/>
    <row r="44990" s="76" customFormat="1" ht="21.95" customHeight="1" x14ac:dyDescent="0.15"/>
    <row r="44991" s="76" customFormat="1" ht="21.95" customHeight="1" x14ac:dyDescent="0.15"/>
    <row r="44992" s="76" customFormat="1" ht="21.95" customHeight="1" x14ac:dyDescent="0.15"/>
    <row r="44993" s="76" customFormat="1" ht="21.95" customHeight="1" x14ac:dyDescent="0.15"/>
    <row r="44994" s="76" customFormat="1" ht="21.95" customHeight="1" x14ac:dyDescent="0.15"/>
    <row r="44995" s="76" customFormat="1" ht="21.95" customHeight="1" x14ac:dyDescent="0.15"/>
    <row r="44996" s="76" customFormat="1" ht="21.95" customHeight="1" x14ac:dyDescent="0.15"/>
    <row r="44997" s="76" customFormat="1" ht="21.95" customHeight="1" x14ac:dyDescent="0.15"/>
    <row r="44998" s="76" customFormat="1" ht="21.95" customHeight="1" x14ac:dyDescent="0.15"/>
    <row r="44999" s="76" customFormat="1" ht="21.95" customHeight="1" x14ac:dyDescent="0.15"/>
    <row r="45000" s="76" customFormat="1" ht="21.95" customHeight="1" x14ac:dyDescent="0.15"/>
    <row r="45001" s="76" customFormat="1" ht="35.1" customHeight="1" x14ac:dyDescent="0.15"/>
    <row r="45002" s="76" customFormat="1" ht="21.95" customHeight="1" x14ac:dyDescent="0.15"/>
    <row r="45003" s="76" customFormat="1" ht="21.95" customHeight="1" x14ac:dyDescent="0.15"/>
    <row r="45004" s="76" customFormat="1" ht="21.95" customHeight="1" x14ac:dyDescent="0.15"/>
    <row r="45005" s="76" customFormat="1" ht="21.95" customHeight="1" x14ac:dyDescent="0.15"/>
    <row r="45006" s="76" customFormat="1" ht="21.95" customHeight="1" x14ac:dyDescent="0.15"/>
    <row r="45007" s="76" customFormat="1" ht="21.95" customHeight="1" x14ac:dyDescent="0.15"/>
    <row r="45008" s="76" customFormat="1" ht="21.95" customHeight="1" x14ac:dyDescent="0.15"/>
    <row r="45009" s="76" customFormat="1" ht="21.95" customHeight="1" x14ac:dyDescent="0.15"/>
    <row r="45010" s="76" customFormat="1" ht="21.95" customHeight="1" x14ac:dyDescent="0.15"/>
    <row r="45011" s="76" customFormat="1" ht="21.95" customHeight="1" x14ac:dyDescent="0.15"/>
    <row r="45012" s="76" customFormat="1" ht="21.95" customHeight="1" x14ac:dyDescent="0.15"/>
    <row r="45013" s="76" customFormat="1" ht="21.95" customHeight="1" x14ac:dyDescent="0.15"/>
    <row r="45014" s="76" customFormat="1" ht="21.95" customHeight="1" x14ac:dyDescent="0.15"/>
    <row r="45015" s="76" customFormat="1" ht="21.95" customHeight="1" x14ac:dyDescent="0.15"/>
    <row r="45016" s="76" customFormat="1" ht="21.95" customHeight="1" x14ac:dyDescent="0.15"/>
    <row r="45017" s="76" customFormat="1" ht="21.95" customHeight="1" x14ac:dyDescent="0.15"/>
    <row r="45018" s="76" customFormat="1" ht="21.95" customHeight="1" x14ac:dyDescent="0.15"/>
    <row r="45019" s="76" customFormat="1" ht="21.95" customHeight="1" x14ac:dyDescent="0.15"/>
    <row r="45020" s="76" customFormat="1" ht="21.95" customHeight="1" x14ac:dyDescent="0.15"/>
    <row r="45021" s="76" customFormat="1" ht="21.95" customHeight="1" x14ac:dyDescent="0.15"/>
    <row r="45022" s="76" customFormat="1" ht="21.95" customHeight="1" x14ac:dyDescent="0.15"/>
    <row r="45023" s="76" customFormat="1" ht="21.95" customHeight="1" x14ac:dyDescent="0.15"/>
    <row r="45024" s="76" customFormat="1" ht="21.95" customHeight="1" x14ac:dyDescent="0.15"/>
    <row r="45025" spans="3:3" customFormat="1" ht="21.95" customHeight="1" x14ac:dyDescent="0.15"/>
    <row r="45026" spans="3:3" customFormat="1" ht="21.95" customHeight="1" x14ac:dyDescent="0.15"/>
    <row r="45027" spans="3:3" customFormat="1" ht="21.95" customHeight="1" x14ac:dyDescent="0.15">
      <c r="C45027" s="94"/>
    </row>
    <row r="45028" spans="3:3" customFormat="1" ht="21.95" customHeight="1" x14ac:dyDescent="0.15">
      <c r="C45028" s="94"/>
    </row>
    <row r="45029" spans="3:3" customFormat="1" ht="21.95" customHeight="1" x14ac:dyDescent="0.15"/>
    <row r="45030" spans="3:3" customFormat="1" ht="21.95" customHeight="1" x14ac:dyDescent="0.15"/>
    <row r="45031" spans="3:3" customFormat="1" ht="21.95" customHeight="1" x14ac:dyDescent="0.15"/>
    <row r="45032" spans="3:3" customFormat="1" ht="21.95" customHeight="1" x14ac:dyDescent="0.15"/>
    <row r="45033" spans="3:3" customFormat="1" ht="21.95" customHeight="1" x14ac:dyDescent="0.15"/>
    <row r="45034" spans="3:3" customFormat="1" ht="21.95" customHeight="1" x14ac:dyDescent="0.15"/>
    <row r="45035" spans="3:3" customFormat="1" ht="21.95" customHeight="1" x14ac:dyDescent="0.15"/>
    <row r="45036" spans="3:3" s="76" customFormat="1" ht="21.95" customHeight="1" x14ac:dyDescent="0.15"/>
    <row r="45037" spans="3:3" s="76" customFormat="1" ht="21.95" customHeight="1" x14ac:dyDescent="0.15"/>
    <row r="45038" spans="3:3" s="76" customFormat="1" ht="21.95" customHeight="1" x14ac:dyDescent="0.15"/>
    <row r="45039" spans="3:3" s="76" customFormat="1" ht="21.95" customHeight="1" x14ac:dyDescent="0.15"/>
    <row r="45040" spans="3:3" customFormat="1" ht="21.95" customHeight="1" x14ac:dyDescent="0.15"/>
    <row r="45041" customFormat="1" ht="21.95" customHeight="1" x14ac:dyDescent="0.15"/>
    <row r="45042" customFormat="1" ht="21.95" customHeight="1" x14ac:dyDescent="0.15"/>
    <row r="45043" customFormat="1" ht="21.95" customHeight="1" x14ac:dyDescent="0.15"/>
    <row r="45044" customFormat="1" ht="21.95" customHeight="1" x14ac:dyDescent="0.15"/>
    <row r="45045" customFormat="1" ht="21.95" customHeight="1" x14ac:dyDescent="0.15"/>
    <row r="45046" customFormat="1" ht="21.95" customHeight="1" x14ac:dyDescent="0.15"/>
    <row r="45047" customFormat="1" ht="21.95" customHeight="1" x14ac:dyDescent="0.15"/>
    <row r="45048" customFormat="1" ht="21.95" customHeight="1" x14ac:dyDescent="0.15"/>
    <row r="45049" customFormat="1" ht="21.95" customHeight="1" x14ac:dyDescent="0.15"/>
    <row r="45050" customFormat="1" ht="21.95" customHeight="1" x14ac:dyDescent="0.15"/>
    <row r="45051" customFormat="1" ht="32.1" customHeight="1" x14ac:dyDescent="0.15"/>
    <row r="45052" customFormat="1" ht="32.1" customHeight="1" x14ac:dyDescent="0.15"/>
    <row r="45053" customFormat="1" ht="32.1" customHeight="1" x14ac:dyDescent="0.15"/>
    <row r="45054" customFormat="1" ht="32.1" customHeight="1" x14ac:dyDescent="0.15"/>
    <row r="45055" customFormat="1" ht="32.1" customHeight="1" x14ac:dyDescent="0.15"/>
    <row r="45056" customFormat="1" ht="32.1" customHeight="1" x14ac:dyDescent="0.15"/>
    <row r="45057" s="76" customFormat="1" ht="32.1" customHeight="1" x14ac:dyDescent="0.15"/>
    <row r="45058" s="76" customFormat="1" ht="32.1" customHeight="1" x14ac:dyDescent="0.15"/>
    <row r="45059" s="76" customFormat="1" ht="32.1" customHeight="1" x14ac:dyDescent="0.15"/>
    <row r="45060" s="76" customFormat="1" ht="32.1" customHeight="1" x14ac:dyDescent="0.15"/>
    <row r="45061" s="76" customFormat="1" ht="21.95" customHeight="1" x14ac:dyDescent="0.15"/>
    <row r="45062" s="76" customFormat="1" ht="54" customHeight="1" x14ac:dyDescent="0.15"/>
    <row r="45063" s="76" customFormat="1" ht="21.95" customHeight="1" x14ac:dyDescent="0.15"/>
    <row r="45064" s="76" customFormat="1" ht="21.95" customHeight="1" x14ac:dyDescent="0.15"/>
    <row r="45065" s="76" customFormat="1" ht="21.95" customHeight="1" x14ac:dyDescent="0.15"/>
    <row r="45066" s="76" customFormat="1" ht="21.95" customHeight="1" x14ac:dyDescent="0.15"/>
    <row r="45067" s="76" customFormat="1" ht="21.95" customHeight="1" x14ac:dyDescent="0.15"/>
    <row r="45068" s="76" customFormat="1" ht="21.95" customHeight="1" x14ac:dyDescent="0.15"/>
    <row r="45069" s="76" customFormat="1" ht="21.95" customHeight="1" x14ac:dyDescent="0.15"/>
    <row r="45070" s="76" customFormat="1" ht="21.95" customHeight="1" x14ac:dyDescent="0.15"/>
    <row r="45071" s="76" customFormat="1" ht="21.95" customHeight="1" x14ac:dyDescent="0.15"/>
    <row r="45072" s="76" customFormat="1" ht="21.95" customHeight="1" x14ac:dyDescent="0.15"/>
    <row r="45073" s="76" customFormat="1" ht="21.95" customHeight="1" x14ac:dyDescent="0.15"/>
    <row r="45074" s="76" customFormat="1" ht="21.95" customHeight="1" x14ac:dyDescent="0.15"/>
    <row r="45075" s="76" customFormat="1" ht="21.95" customHeight="1" x14ac:dyDescent="0.15"/>
    <row r="45076" s="76" customFormat="1" ht="21.95" customHeight="1" x14ac:dyDescent="0.15"/>
    <row r="45077" s="76" customFormat="1" ht="21.95" customHeight="1" x14ac:dyDescent="0.15"/>
    <row r="45078" s="76" customFormat="1" ht="21.95" customHeight="1" x14ac:dyDescent="0.15"/>
    <row r="45079" s="76" customFormat="1" ht="21.95" customHeight="1" x14ac:dyDescent="0.15"/>
    <row r="45080" s="76" customFormat="1" ht="21.95" customHeight="1" x14ac:dyDescent="0.15"/>
    <row r="45081" s="76" customFormat="1" ht="21.95" customHeight="1" x14ac:dyDescent="0.15"/>
    <row r="45082" s="76" customFormat="1" ht="21.95" customHeight="1" x14ac:dyDescent="0.15"/>
    <row r="45083" s="76" customFormat="1" ht="21.95" customHeight="1" x14ac:dyDescent="0.15"/>
    <row r="45084" s="76" customFormat="1" ht="21.95" customHeight="1" x14ac:dyDescent="0.15"/>
    <row r="45085" s="76" customFormat="1" ht="21.95" customHeight="1" x14ac:dyDescent="0.15"/>
    <row r="45086" s="76" customFormat="1" ht="21.95" customHeight="1" x14ac:dyDescent="0.15"/>
    <row r="45087" s="76" customFormat="1" ht="21.95" customHeight="1" x14ac:dyDescent="0.15"/>
    <row r="45088" s="76" customFormat="1" ht="21.95" customHeight="1" x14ac:dyDescent="0.15"/>
    <row r="45089" s="76" customFormat="1" ht="21.95" customHeight="1" x14ac:dyDescent="0.15"/>
    <row r="45090" s="76" customFormat="1" ht="21.95" customHeight="1" x14ac:dyDescent="0.15"/>
    <row r="45091" s="76" customFormat="1" ht="21.95" customHeight="1" x14ac:dyDescent="0.15"/>
    <row r="45092" s="76" customFormat="1" ht="21.95" customHeight="1" x14ac:dyDescent="0.15"/>
    <row r="45093" s="76" customFormat="1" ht="21.95" customHeight="1" x14ac:dyDescent="0.15"/>
    <row r="45094" s="76" customFormat="1" ht="21.95" customHeight="1" x14ac:dyDescent="0.15"/>
    <row r="45095" s="76" customFormat="1" ht="21.95" customHeight="1" x14ac:dyDescent="0.15"/>
    <row r="45096" s="76" customFormat="1" ht="21.95" customHeight="1" x14ac:dyDescent="0.15"/>
    <row r="45097" s="76" customFormat="1" ht="21.95" customHeight="1" x14ac:dyDescent="0.15"/>
    <row r="45098" s="76" customFormat="1" ht="21.95" customHeight="1" x14ac:dyDescent="0.15"/>
    <row r="45099" s="76" customFormat="1" ht="21.95" customHeight="1" x14ac:dyDescent="0.15"/>
    <row r="45100" s="76" customFormat="1" ht="21.95" customHeight="1" x14ac:dyDescent="0.15"/>
    <row r="45101" s="76" customFormat="1" ht="21.95" customHeight="1" x14ac:dyDescent="0.15"/>
    <row r="45102" s="76" customFormat="1" ht="21.95" customHeight="1" x14ac:dyDescent="0.15"/>
    <row r="45103" s="76" customFormat="1" ht="21.95" customHeight="1" x14ac:dyDescent="0.15"/>
    <row r="45104" s="76" customFormat="1" ht="21.95" customHeight="1" x14ac:dyDescent="0.15"/>
    <row r="45105" s="76" customFormat="1" ht="21.95" customHeight="1" x14ac:dyDescent="0.15"/>
    <row r="45106" s="76" customFormat="1" ht="21.95" customHeight="1" x14ac:dyDescent="0.15"/>
    <row r="45107" s="76" customFormat="1" ht="21.95" customHeight="1" x14ac:dyDescent="0.15"/>
    <row r="45108" s="76" customFormat="1" ht="21.95" customHeight="1" x14ac:dyDescent="0.15"/>
    <row r="45109" s="76" customFormat="1" ht="21.95" customHeight="1" x14ac:dyDescent="0.15"/>
    <row r="45110" s="76" customFormat="1" ht="21.95" customHeight="1" x14ac:dyDescent="0.15"/>
    <row r="45111" s="76" customFormat="1" ht="21.95" customHeight="1" x14ac:dyDescent="0.15"/>
    <row r="45112" s="76" customFormat="1" ht="21.95" customHeight="1" x14ac:dyDescent="0.15"/>
    <row r="45113" s="76" customFormat="1" ht="35.1" customHeight="1" x14ac:dyDescent="0.15"/>
    <row r="45114" s="76" customFormat="1" ht="21.95" customHeight="1" x14ac:dyDescent="0.15"/>
    <row r="45115" s="76" customFormat="1" ht="21.95" customHeight="1" x14ac:dyDescent="0.15"/>
    <row r="45116" s="76" customFormat="1" ht="21.95" customHeight="1" x14ac:dyDescent="0.15"/>
    <row r="45117" s="76" customFormat="1" ht="21.95" customHeight="1" x14ac:dyDescent="0.15"/>
    <row r="45118" s="76" customFormat="1" ht="21.95" customHeight="1" x14ac:dyDescent="0.15"/>
    <row r="45119" s="76" customFormat="1" ht="21.95" customHeight="1" x14ac:dyDescent="0.15"/>
    <row r="45120" s="76" customFormat="1" ht="21.95" customHeight="1" x14ac:dyDescent="0.15"/>
    <row r="45121" s="76" customFormat="1" ht="21.95" customHeight="1" x14ac:dyDescent="0.15"/>
    <row r="45122" s="76" customFormat="1" ht="21.95" customHeight="1" x14ac:dyDescent="0.15"/>
    <row r="45123" s="76" customFormat="1" ht="21.95" customHeight="1" x14ac:dyDescent="0.15"/>
    <row r="45124" s="76" customFormat="1" ht="21.95" customHeight="1" x14ac:dyDescent="0.15"/>
    <row r="45125" s="76" customFormat="1" ht="21.95" customHeight="1" x14ac:dyDescent="0.15"/>
    <row r="45126" s="76" customFormat="1" ht="21.95" customHeight="1" x14ac:dyDescent="0.15"/>
    <row r="45127" s="76" customFormat="1" ht="21.95" customHeight="1" x14ac:dyDescent="0.15"/>
    <row r="45128" s="76" customFormat="1" ht="21.95" customHeight="1" x14ac:dyDescent="0.15"/>
    <row r="45129" s="76" customFormat="1" ht="21.95" customHeight="1" x14ac:dyDescent="0.15"/>
    <row r="45130" s="76" customFormat="1" ht="21.95" customHeight="1" x14ac:dyDescent="0.15"/>
    <row r="45131" s="76" customFormat="1" ht="21.95" customHeight="1" x14ac:dyDescent="0.15"/>
    <row r="45132" s="76" customFormat="1" ht="21.95" customHeight="1" x14ac:dyDescent="0.15"/>
    <row r="45133" s="76" customFormat="1" ht="21.95" customHeight="1" x14ac:dyDescent="0.15"/>
    <row r="45134" s="76" customFormat="1" ht="21.95" customHeight="1" x14ac:dyDescent="0.15"/>
    <row r="45135" s="76" customFormat="1" ht="21.95" customHeight="1" x14ac:dyDescent="0.15"/>
    <row r="45136" s="76" customFormat="1" ht="21.95" customHeight="1" x14ac:dyDescent="0.15"/>
    <row r="45137" spans="3:3" customFormat="1" ht="21.95" customHeight="1" x14ac:dyDescent="0.15"/>
    <row r="45138" spans="3:3" customFormat="1" ht="21.95" customHeight="1" x14ac:dyDescent="0.15"/>
    <row r="45139" spans="3:3" customFormat="1" ht="21.95" customHeight="1" x14ac:dyDescent="0.15">
      <c r="C45139" s="94"/>
    </row>
    <row r="45140" spans="3:3" customFormat="1" ht="21.95" customHeight="1" x14ac:dyDescent="0.15">
      <c r="C45140" s="94"/>
    </row>
    <row r="45141" spans="3:3" customFormat="1" ht="21.95" customHeight="1" x14ac:dyDescent="0.15"/>
    <row r="45142" spans="3:3" customFormat="1" ht="21.95" customHeight="1" x14ac:dyDescent="0.15"/>
    <row r="45143" spans="3:3" customFormat="1" ht="21.95" customHeight="1" x14ac:dyDescent="0.15"/>
    <row r="45144" spans="3:3" customFormat="1" ht="21.95" customHeight="1" x14ac:dyDescent="0.15"/>
    <row r="45145" spans="3:3" customFormat="1" ht="21.95" customHeight="1" x14ac:dyDescent="0.15"/>
    <row r="45146" spans="3:3" customFormat="1" ht="21.95" customHeight="1" x14ac:dyDescent="0.15"/>
    <row r="45147" spans="3:3" customFormat="1" ht="21.95" customHeight="1" x14ac:dyDescent="0.15"/>
    <row r="45148" spans="3:3" s="76" customFormat="1" ht="21.95" customHeight="1" x14ac:dyDescent="0.15"/>
    <row r="45149" spans="3:3" s="76" customFormat="1" ht="21.95" customHeight="1" x14ac:dyDescent="0.15"/>
    <row r="45150" spans="3:3" s="76" customFormat="1" ht="21.95" customHeight="1" x14ac:dyDescent="0.15"/>
    <row r="45151" spans="3:3" s="76" customFormat="1" ht="21.95" customHeight="1" x14ac:dyDescent="0.15"/>
    <row r="45152" spans="3:3" customFormat="1" ht="21.95" customHeight="1" x14ac:dyDescent="0.15"/>
    <row r="45153" customFormat="1" ht="21.95" customHeight="1" x14ac:dyDescent="0.15"/>
    <row r="45154" customFormat="1" ht="21.95" customHeight="1" x14ac:dyDescent="0.15"/>
    <row r="45155" customFormat="1" ht="21.95" customHeight="1" x14ac:dyDescent="0.15"/>
    <row r="45156" customFormat="1" ht="21.95" customHeight="1" x14ac:dyDescent="0.15"/>
    <row r="45157" customFormat="1" ht="21.95" customHeight="1" x14ac:dyDescent="0.15"/>
    <row r="45158" customFormat="1" ht="21.95" customHeight="1" x14ac:dyDescent="0.15"/>
    <row r="45159" customFormat="1" ht="21.95" customHeight="1" x14ac:dyDescent="0.15"/>
    <row r="45160" customFormat="1" ht="21.95" customHeight="1" x14ac:dyDescent="0.15"/>
    <row r="45161" customFormat="1" ht="21.95" customHeight="1" x14ac:dyDescent="0.15"/>
    <row r="45162" customFormat="1" ht="21.95" customHeight="1" x14ac:dyDescent="0.15"/>
    <row r="45163" customFormat="1" ht="32.1" customHeight="1" x14ac:dyDescent="0.15"/>
    <row r="45164" customFormat="1" ht="32.1" customHeight="1" x14ac:dyDescent="0.15"/>
    <row r="45165" customFormat="1" ht="32.1" customHeight="1" x14ac:dyDescent="0.15"/>
    <row r="45166" customFormat="1" ht="32.1" customHeight="1" x14ac:dyDescent="0.15"/>
    <row r="45167" customFormat="1" ht="32.1" customHeight="1" x14ac:dyDescent="0.15"/>
    <row r="45168" customFormat="1" ht="32.1" customHeight="1" x14ac:dyDescent="0.15"/>
    <row r="45169" s="76" customFormat="1" ht="32.1" customHeight="1" x14ac:dyDescent="0.15"/>
    <row r="45170" s="76" customFormat="1" ht="32.1" customHeight="1" x14ac:dyDescent="0.15"/>
    <row r="45171" s="76" customFormat="1" ht="32.1" customHeight="1" x14ac:dyDescent="0.15"/>
    <row r="45172" s="76" customFormat="1" ht="32.1" customHeight="1" x14ac:dyDescent="0.15"/>
    <row r="45173" s="76" customFormat="1" ht="21.95" customHeight="1" x14ac:dyDescent="0.15"/>
    <row r="45174" s="76" customFormat="1" ht="54" customHeight="1" x14ac:dyDescent="0.15"/>
    <row r="45175" s="76" customFormat="1" ht="21.95" customHeight="1" x14ac:dyDescent="0.15"/>
    <row r="45176" s="76" customFormat="1" ht="21.95" customHeight="1" x14ac:dyDescent="0.15"/>
    <row r="45177" s="76" customFormat="1" ht="21.95" customHeight="1" x14ac:dyDescent="0.15"/>
    <row r="45178" s="76" customFormat="1" ht="21.95" customHeight="1" x14ac:dyDescent="0.15"/>
    <row r="45179" s="76" customFormat="1" ht="21.95" customHeight="1" x14ac:dyDescent="0.15"/>
    <row r="45180" s="76" customFormat="1" ht="21.95" customHeight="1" x14ac:dyDescent="0.15"/>
    <row r="45181" s="76" customFormat="1" ht="21.95" customHeight="1" x14ac:dyDescent="0.15"/>
    <row r="45182" s="76" customFormat="1" ht="21.95" customHeight="1" x14ac:dyDescent="0.15"/>
    <row r="45183" s="76" customFormat="1" ht="21.95" customHeight="1" x14ac:dyDescent="0.15"/>
    <row r="45184" s="76" customFormat="1" ht="21.95" customHeight="1" x14ac:dyDescent="0.15"/>
    <row r="45185" s="76" customFormat="1" ht="21.95" customHeight="1" x14ac:dyDescent="0.15"/>
    <row r="45186" s="76" customFormat="1" ht="21.95" customHeight="1" x14ac:dyDescent="0.15"/>
    <row r="45187" s="76" customFormat="1" ht="21.95" customHeight="1" x14ac:dyDescent="0.15"/>
    <row r="45188" s="76" customFormat="1" ht="21.95" customHeight="1" x14ac:dyDescent="0.15"/>
    <row r="45189" s="76" customFormat="1" ht="21.95" customHeight="1" x14ac:dyDescent="0.15"/>
    <row r="45190" s="76" customFormat="1" ht="21.95" customHeight="1" x14ac:dyDescent="0.15"/>
    <row r="45191" s="76" customFormat="1" ht="21.95" customHeight="1" x14ac:dyDescent="0.15"/>
    <row r="45192" s="76" customFormat="1" ht="21.95" customHeight="1" x14ac:dyDescent="0.15"/>
    <row r="45193" s="76" customFormat="1" ht="21.95" customHeight="1" x14ac:dyDescent="0.15"/>
    <row r="45194" s="76" customFormat="1" ht="21.95" customHeight="1" x14ac:dyDescent="0.15"/>
    <row r="45195" s="76" customFormat="1" ht="21.95" customHeight="1" x14ac:dyDescent="0.15"/>
    <row r="45196" s="76" customFormat="1" ht="21.95" customHeight="1" x14ac:dyDescent="0.15"/>
    <row r="45197" s="76" customFormat="1" ht="21.95" customHeight="1" x14ac:dyDescent="0.15"/>
    <row r="45198" s="76" customFormat="1" ht="21.95" customHeight="1" x14ac:dyDescent="0.15"/>
    <row r="45199" s="76" customFormat="1" ht="21.95" customHeight="1" x14ac:dyDescent="0.15"/>
    <row r="45200" s="76" customFormat="1" ht="21.95" customHeight="1" x14ac:dyDescent="0.15"/>
    <row r="45201" s="76" customFormat="1" ht="21.95" customHeight="1" x14ac:dyDescent="0.15"/>
    <row r="45202" s="76" customFormat="1" ht="21.95" customHeight="1" x14ac:dyDescent="0.15"/>
    <row r="45203" s="76" customFormat="1" ht="21.95" customHeight="1" x14ac:dyDescent="0.15"/>
    <row r="45204" s="76" customFormat="1" ht="21.95" customHeight="1" x14ac:dyDescent="0.15"/>
    <row r="45205" s="76" customFormat="1" ht="21.95" customHeight="1" x14ac:dyDescent="0.15"/>
    <row r="45206" s="76" customFormat="1" ht="21.95" customHeight="1" x14ac:dyDescent="0.15"/>
    <row r="45207" s="76" customFormat="1" ht="21.95" customHeight="1" x14ac:dyDescent="0.15"/>
    <row r="45208" s="76" customFormat="1" ht="21.95" customHeight="1" x14ac:dyDescent="0.15"/>
    <row r="45209" s="76" customFormat="1" ht="21.95" customHeight="1" x14ac:dyDescent="0.15"/>
    <row r="45210" s="76" customFormat="1" ht="21.95" customHeight="1" x14ac:dyDescent="0.15"/>
    <row r="45211" s="76" customFormat="1" ht="21.95" customHeight="1" x14ac:dyDescent="0.15"/>
    <row r="45212" s="76" customFormat="1" ht="21.95" customHeight="1" x14ac:dyDescent="0.15"/>
    <row r="45213" s="76" customFormat="1" ht="21.95" customHeight="1" x14ac:dyDescent="0.15"/>
    <row r="45214" s="76" customFormat="1" ht="21.95" customHeight="1" x14ac:dyDescent="0.15"/>
    <row r="45215" s="76" customFormat="1" ht="21.95" customHeight="1" x14ac:dyDescent="0.15"/>
    <row r="45216" s="76" customFormat="1" ht="21.95" customHeight="1" x14ac:dyDescent="0.15"/>
    <row r="45217" s="76" customFormat="1" ht="21.95" customHeight="1" x14ac:dyDescent="0.15"/>
    <row r="45218" s="76" customFormat="1" ht="21.95" customHeight="1" x14ac:dyDescent="0.15"/>
    <row r="45219" s="76" customFormat="1" ht="21.95" customHeight="1" x14ac:dyDescent="0.15"/>
    <row r="45220" s="76" customFormat="1" ht="21.95" customHeight="1" x14ac:dyDescent="0.15"/>
    <row r="45221" s="76" customFormat="1" ht="21.95" customHeight="1" x14ac:dyDescent="0.15"/>
    <row r="45222" s="76" customFormat="1" ht="21.95" customHeight="1" x14ac:dyDescent="0.15"/>
    <row r="45223" s="76" customFormat="1" ht="21.95" customHeight="1" x14ac:dyDescent="0.15"/>
    <row r="45224" s="76" customFormat="1" ht="21.95" customHeight="1" x14ac:dyDescent="0.15"/>
    <row r="45225" s="76" customFormat="1" ht="35.1" customHeight="1" x14ac:dyDescent="0.15"/>
    <row r="45226" s="76" customFormat="1" ht="21.95" customHeight="1" x14ac:dyDescent="0.15"/>
    <row r="45227" s="76" customFormat="1" ht="21.95" customHeight="1" x14ac:dyDescent="0.15"/>
    <row r="45228" s="76" customFormat="1" ht="21.95" customHeight="1" x14ac:dyDescent="0.15"/>
    <row r="45229" s="76" customFormat="1" ht="21.95" customHeight="1" x14ac:dyDescent="0.15"/>
    <row r="45230" s="76" customFormat="1" ht="21.95" customHeight="1" x14ac:dyDescent="0.15"/>
    <row r="45231" s="76" customFormat="1" ht="21.95" customHeight="1" x14ac:dyDescent="0.15"/>
    <row r="45232" s="76" customFormat="1" ht="21.95" customHeight="1" x14ac:dyDescent="0.15"/>
    <row r="45233" s="76" customFormat="1" ht="21.95" customHeight="1" x14ac:dyDescent="0.15"/>
    <row r="45234" s="76" customFormat="1" ht="21.95" customHeight="1" x14ac:dyDescent="0.15"/>
    <row r="45235" s="76" customFormat="1" ht="21.95" customHeight="1" x14ac:dyDescent="0.15"/>
    <row r="45236" s="76" customFormat="1" ht="21.95" customHeight="1" x14ac:dyDescent="0.15"/>
    <row r="45237" s="76" customFormat="1" ht="21.95" customHeight="1" x14ac:dyDescent="0.15"/>
    <row r="45238" s="76" customFormat="1" ht="21.95" customHeight="1" x14ac:dyDescent="0.15"/>
    <row r="45239" s="76" customFormat="1" ht="21.95" customHeight="1" x14ac:dyDescent="0.15"/>
    <row r="45240" s="76" customFormat="1" ht="21.95" customHeight="1" x14ac:dyDescent="0.15"/>
    <row r="45241" s="76" customFormat="1" ht="21.95" customHeight="1" x14ac:dyDescent="0.15"/>
    <row r="45242" s="76" customFormat="1" ht="21.95" customHeight="1" x14ac:dyDescent="0.15"/>
    <row r="45243" s="76" customFormat="1" ht="21.95" customHeight="1" x14ac:dyDescent="0.15"/>
    <row r="45244" s="76" customFormat="1" ht="21.95" customHeight="1" x14ac:dyDescent="0.15"/>
    <row r="45245" s="76" customFormat="1" ht="21.95" customHeight="1" x14ac:dyDescent="0.15"/>
    <row r="45246" s="76" customFormat="1" ht="21.95" customHeight="1" x14ac:dyDescent="0.15"/>
    <row r="45247" s="76" customFormat="1" ht="21.95" customHeight="1" x14ac:dyDescent="0.15"/>
    <row r="45248" s="76" customFormat="1" ht="21.95" customHeight="1" x14ac:dyDescent="0.15"/>
    <row r="45249" spans="3:3" customFormat="1" ht="21.95" customHeight="1" x14ac:dyDescent="0.15"/>
    <row r="45250" spans="3:3" customFormat="1" ht="21.95" customHeight="1" x14ac:dyDescent="0.15"/>
    <row r="45251" spans="3:3" customFormat="1" ht="21.95" customHeight="1" x14ac:dyDescent="0.15">
      <c r="C45251" s="94"/>
    </row>
    <row r="45252" spans="3:3" customFormat="1" ht="21.95" customHeight="1" x14ac:dyDescent="0.15">
      <c r="C45252" s="94"/>
    </row>
    <row r="45253" spans="3:3" customFormat="1" ht="21.95" customHeight="1" x14ac:dyDescent="0.15"/>
    <row r="45254" spans="3:3" customFormat="1" ht="21.95" customHeight="1" x14ac:dyDescent="0.15"/>
    <row r="45255" spans="3:3" customFormat="1" ht="21.95" customHeight="1" x14ac:dyDescent="0.15"/>
    <row r="45256" spans="3:3" customFormat="1" ht="21.95" customHeight="1" x14ac:dyDescent="0.15"/>
    <row r="45257" spans="3:3" customFormat="1" ht="21.95" customHeight="1" x14ac:dyDescent="0.15"/>
    <row r="45258" spans="3:3" customFormat="1" ht="21.95" customHeight="1" x14ac:dyDescent="0.15"/>
    <row r="45259" spans="3:3" customFormat="1" ht="21.95" customHeight="1" x14ac:dyDescent="0.15"/>
    <row r="45260" spans="3:3" s="76" customFormat="1" ht="21.95" customHeight="1" x14ac:dyDescent="0.15"/>
    <row r="45261" spans="3:3" s="76" customFormat="1" ht="21.95" customHeight="1" x14ac:dyDescent="0.15"/>
    <row r="45262" spans="3:3" s="76" customFormat="1" ht="21.95" customHeight="1" x14ac:dyDescent="0.15"/>
    <row r="45263" spans="3:3" s="76" customFormat="1" ht="21.95" customHeight="1" x14ac:dyDescent="0.15"/>
    <row r="45264" spans="3:3" customFormat="1" ht="21.95" customHeight="1" x14ac:dyDescent="0.15"/>
    <row r="45265" customFormat="1" ht="21.95" customHeight="1" x14ac:dyDescent="0.15"/>
    <row r="45266" customFormat="1" ht="21.95" customHeight="1" x14ac:dyDescent="0.15"/>
    <row r="45267" customFormat="1" ht="21.95" customHeight="1" x14ac:dyDescent="0.15"/>
    <row r="45268" customFormat="1" ht="21.95" customHeight="1" x14ac:dyDescent="0.15"/>
    <row r="45269" customFormat="1" ht="21.95" customHeight="1" x14ac:dyDescent="0.15"/>
    <row r="45270" customFormat="1" ht="21.95" customHeight="1" x14ac:dyDescent="0.15"/>
    <row r="45271" customFormat="1" ht="21.95" customHeight="1" x14ac:dyDescent="0.15"/>
    <row r="45272" customFormat="1" ht="21.95" customHeight="1" x14ac:dyDescent="0.15"/>
    <row r="45273" customFormat="1" ht="21.95" customHeight="1" x14ac:dyDescent="0.15"/>
    <row r="45274" customFormat="1" ht="21.95" customHeight="1" x14ac:dyDescent="0.15"/>
    <row r="45275" customFormat="1" ht="32.1" customHeight="1" x14ac:dyDescent="0.15"/>
    <row r="45276" customFormat="1" ht="32.1" customHeight="1" x14ac:dyDescent="0.15"/>
    <row r="45277" customFormat="1" ht="32.1" customHeight="1" x14ac:dyDescent="0.15"/>
    <row r="45278" customFormat="1" ht="32.1" customHeight="1" x14ac:dyDescent="0.15"/>
    <row r="45279" customFormat="1" ht="32.1" customHeight="1" x14ac:dyDescent="0.15"/>
    <row r="45280" customFormat="1" ht="32.1" customHeight="1" x14ac:dyDescent="0.15"/>
    <row r="45281" s="76" customFormat="1" ht="32.1" customHeight="1" x14ac:dyDescent="0.15"/>
    <row r="45282" s="76" customFormat="1" ht="32.1" customHeight="1" x14ac:dyDescent="0.15"/>
    <row r="45283" s="76" customFormat="1" ht="32.1" customHeight="1" x14ac:dyDescent="0.15"/>
    <row r="45284" s="76" customFormat="1" ht="32.1" customHeight="1" x14ac:dyDescent="0.15"/>
    <row r="45285" s="76" customFormat="1" ht="21.95" customHeight="1" x14ac:dyDescent="0.15"/>
    <row r="45286" s="76" customFormat="1" ht="54" customHeight="1" x14ac:dyDescent="0.15"/>
    <row r="45287" s="76" customFormat="1" ht="21.95" customHeight="1" x14ac:dyDescent="0.15"/>
    <row r="45288" s="76" customFormat="1" ht="21.95" customHeight="1" x14ac:dyDescent="0.15"/>
    <row r="45289" s="76" customFormat="1" ht="21.95" customHeight="1" x14ac:dyDescent="0.15"/>
    <row r="45290" s="76" customFormat="1" ht="21.95" customHeight="1" x14ac:dyDescent="0.15"/>
    <row r="45291" s="76" customFormat="1" ht="21.95" customHeight="1" x14ac:dyDescent="0.15"/>
    <row r="45292" s="76" customFormat="1" ht="21.95" customHeight="1" x14ac:dyDescent="0.15"/>
    <row r="45293" s="76" customFormat="1" ht="21.95" customHeight="1" x14ac:dyDescent="0.15"/>
    <row r="45294" s="76" customFormat="1" ht="21.95" customHeight="1" x14ac:dyDescent="0.15"/>
    <row r="45295" s="76" customFormat="1" ht="21.95" customHeight="1" x14ac:dyDescent="0.15"/>
    <row r="45296" s="76" customFormat="1" ht="21.95" customHeight="1" x14ac:dyDescent="0.15"/>
    <row r="45297" s="76" customFormat="1" ht="21.95" customHeight="1" x14ac:dyDescent="0.15"/>
    <row r="45298" s="76" customFormat="1" ht="21.95" customHeight="1" x14ac:dyDescent="0.15"/>
    <row r="45299" s="76" customFormat="1" ht="21.95" customHeight="1" x14ac:dyDescent="0.15"/>
    <row r="45300" s="76" customFormat="1" ht="21.95" customHeight="1" x14ac:dyDescent="0.15"/>
    <row r="45301" s="76" customFormat="1" ht="21.95" customHeight="1" x14ac:dyDescent="0.15"/>
    <row r="45302" s="76" customFormat="1" ht="21.95" customHeight="1" x14ac:dyDescent="0.15"/>
    <row r="45303" s="76" customFormat="1" ht="21.95" customHeight="1" x14ac:dyDescent="0.15"/>
    <row r="45304" s="76" customFormat="1" ht="21.95" customHeight="1" x14ac:dyDescent="0.15"/>
    <row r="45305" s="76" customFormat="1" ht="21.95" customHeight="1" x14ac:dyDescent="0.15"/>
    <row r="45306" s="76" customFormat="1" ht="21.95" customHeight="1" x14ac:dyDescent="0.15"/>
    <row r="45307" s="76" customFormat="1" ht="21.95" customHeight="1" x14ac:dyDescent="0.15"/>
    <row r="45308" s="76" customFormat="1" ht="21.95" customHeight="1" x14ac:dyDescent="0.15"/>
    <row r="45309" s="76" customFormat="1" ht="21.95" customHeight="1" x14ac:dyDescent="0.15"/>
    <row r="45310" s="76" customFormat="1" ht="21.95" customHeight="1" x14ac:dyDescent="0.15"/>
    <row r="45311" s="76" customFormat="1" ht="21.95" customHeight="1" x14ac:dyDescent="0.15"/>
    <row r="45312" s="76" customFormat="1" ht="21.95" customHeight="1" x14ac:dyDescent="0.15"/>
    <row r="45313" s="76" customFormat="1" ht="21.95" customHeight="1" x14ac:dyDescent="0.15"/>
    <row r="45314" s="76" customFormat="1" ht="21.95" customHeight="1" x14ac:dyDescent="0.15"/>
    <row r="45315" s="76" customFormat="1" ht="21.95" customHeight="1" x14ac:dyDescent="0.15"/>
    <row r="45316" s="76" customFormat="1" ht="21.95" customHeight="1" x14ac:dyDescent="0.15"/>
    <row r="45317" s="76" customFormat="1" ht="21.95" customHeight="1" x14ac:dyDescent="0.15"/>
    <row r="45318" s="76" customFormat="1" ht="21.95" customHeight="1" x14ac:dyDescent="0.15"/>
    <row r="45319" s="76" customFormat="1" ht="21.95" customHeight="1" x14ac:dyDescent="0.15"/>
    <row r="45320" s="76" customFormat="1" ht="21.95" customHeight="1" x14ac:dyDescent="0.15"/>
    <row r="45321" s="76" customFormat="1" ht="21.95" customHeight="1" x14ac:dyDescent="0.15"/>
    <row r="45322" s="76" customFormat="1" ht="21.95" customHeight="1" x14ac:dyDescent="0.15"/>
    <row r="45323" s="76" customFormat="1" ht="21.95" customHeight="1" x14ac:dyDescent="0.15"/>
    <row r="45324" s="76" customFormat="1" ht="21.95" customHeight="1" x14ac:dyDescent="0.15"/>
    <row r="45325" s="76" customFormat="1" ht="21.95" customHeight="1" x14ac:dyDescent="0.15"/>
    <row r="45326" s="76" customFormat="1" ht="21.95" customHeight="1" x14ac:dyDescent="0.15"/>
    <row r="45327" s="76" customFormat="1" ht="21.95" customHeight="1" x14ac:dyDescent="0.15"/>
    <row r="45328" s="76" customFormat="1" ht="21.95" customHeight="1" x14ac:dyDescent="0.15"/>
    <row r="45329" s="76" customFormat="1" ht="21.95" customHeight="1" x14ac:dyDescent="0.15"/>
    <row r="45330" s="76" customFormat="1" ht="21.95" customHeight="1" x14ac:dyDescent="0.15"/>
    <row r="45331" s="76" customFormat="1" ht="21.95" customHeight="1" x14ac:dyDescent="0.15"/>
    <row r="45332" s="76" customFormat="1" ht="21.95" customHeight="1" x14ac:dyDescent="0.15"/>
    <row r="45333" s="76" customFormat="1" ht="21.95" customHeight="1" x14ac:dyDescent="0.15"/>
    <row r="45334" s="76" customFormat="1" ht="21.95" customHeight="1" x14ac:dyDescent="0.15"/>
    <row r="45335" s="76" customFormat="1" ht="21.95" customHeight="1" x14ac:dyDescent="0.15"/>
    <row r="45336" s="76" customFormat="1" ht="21.95" customHeight="1" x14ac:dyDescent="0.15"/>
    <row r="45337" s="76" customFormat="1" ht="35.1" customHeight="1" x14ac:dyDescent="0.15"/>
    <row r="45338" s="76" customFormat="1" ht="21.95" customHeight="1" x14ac:dyDescent="0.15"/>
    <row r="45339" s="76" customFormat="1" ht="21.95" customHeight="1" x14ac:dyDescent="0.15"/>
    <row r="45340" s="76" customFormat="1" ht="21.95" customHeight="1" x14ac:dyDescent="0.15"/>
    <row r="45341" s="76" customFormat="1" ht="21.95" customHeight="1" x14ac:dyDescent="0.15"/>
    <row r="45342" s="76" customFormat="1" ht="21.95" customHeight="1" x14ac:dyDescent="0.15"/>
    <row r="45343" s="76" customFormat="1" ht="21.95" customHeight="1" x14ac:dyDescent="0.15"/>
    <row r="45344" s="76" customFormat="1" ht="21.95" customHeight="1" x14ac:dyDescent="0.15"/>
    <row r="45345" s="76" customFormat="1" ht="21.95" customHeight="1" x14ac:dyDescent="0.15"/>
    <row r="45346" s="76" customFormat="1" ht="21.95" customHeight="1" x14ac:dyDescent="0.15"/>
    <row r="45347" s="76" customFormat="1" ht="21.95" customHeight="1" x14ac:dyDescent="0.15"/>
    <row r="45348" s="76" customFormat="1" ht="21.95" customHeight="1" x14ac:dyDescent="0.15"/>
    <row r="45349" s="76" customFormat="1" ht="21.95" customHeight="1" x14ac:dyDescent="0.15"/>
    <row r="45350" s="76" customFormat="1" ht="21.95" customHeight="1" x14ac:dyDescent="0.15"/>
    <row r="45351" s="76" customFormat="1" ht="21.95" customHeight="1" x14ac:dyDescent="0.15"/>
    <row r="45352" s="76" customFormat="1" ht="21.95" customHeight="1" x14ac:dyDescent="0.15"/>
    <row r="45353" s="76" customFormat="1" ht="21.95" customHeight="1" x14ac:dyDescent="0.15"/>
    <row r="45354" s="76" customFormat="1" ht="21.95" customHeight="1" x14ac:dyDescent="0.15"/>
    <row r="45355" s="76" customFormat="1" ht="21.95" customHeight="1" x14ac:dyDescent="0.15"/>
    <row r="45356" s="76" customFormat="1" ht="21.95" customHeight="1" x14ac:dyDescent="0.15"/>
    <row r="45357" s="76" customFormat="1" ht="21.95" customHeight="1" x14ac:dyDescent="0.15"/>
    <row r="45358" s="76" customFormat="1" ht="21.95" customHeight="1" x14ac:dyDescent="0.15"/>
    <row r="45359" s="76" customFormat="1" ht="21.95" customHeight="1" x14ac:dyDescent="0.15"/>
    <row r="45360" s="76" customFormat="1" ht="21.95" customHeight="1" x14ac:dyDescent="0.15"/>
    <row r="45361" spans="3:3" customFormat="1" ht="21.95" customHeight="1" x14ac:dyDescent="0.15"/>
    <row r="45362" spans="3:3" customFormat="1" ht="21.95" customHeight="1" x14ac:dyDescent="0.15"/>
    <row r="45363" spans="3:3" customFormat="1" ht="21.95" customHeight="1" x14ac:dyDescent="0.15">
      <c r="C45363" s="94"/>
    </row>
    <row r="45364" spans="3:3" customFormat="1" ht="21.95" customHeight="1" x14ac:dyDescent="0.15">
      <c r="C45364" s="94"/>
    </row>
    <row r="45365" spans="3:3" customFormat="1" ht="21.95" customHeight="1" x14ac:dyDescent="0.15"/>
    <row r="45366" spans="3:3" customFormat="1" ht="21.95" customHeight="1" x14ac:dyDescent="0.15"/>
    <row r="45367" spans="3:3" customFormat="1" ht="21.95" customHeight="1" x14ac:dyDescent="0.15"/>
    <row r="45368" spans="3:3" customFormat="1" ht="21.95" customHeight="1" x14ac:dyDescent="0.15"/>
    <row r="45369" spans="3:3" customFormat="1" ht="21.95" customHeight="1" x14ac:dyDescent="0.15"/>
    <row r="45370" spans="3:3" customFormat="1" ht="21.95" customHeight="1" x14ac:dyDescent="0.15"/>
    <row r="45371" spans="3:3" customFormat="1" ht="21.95" customHeight="1" x14ac:dyDescent="0.15"/>
    <row r="45372" spans="3:3" s="76" customFormat="1" ht="21.95" customHeight="1" x14ac:dyDescent="0.15"/>
    <row r="45373" spans="3:3" s="76" customFormat="1" ht="21.95" customHeight="1" x14ac:dyDescent="0.15"/>
    <row r="45374" spans="3:3" s="76" customFormat="1" ht="21.95" customHeight="1" x14ac:dyDescent="0.15"/>
    <row r="45375" spans="3:3" s="76" customFormat="1" ht="21.95" customHeight="1" x14ac:dyDescent="0.15"/>
    <row r="45376" spans="3:3" customFormat="1" ht="21.95" customHeight="1" x14ac:dyDescent="0.15"/>
    <row r="45377" customFormat="1" ht="21.95" customHeight="1" x14ac:dyDescent="0.15"/>
    <row r="45378" customFormat="1" ht="21.95" customHeight="1" x14ac:dyDescent="0.15"/>
    <row r="45379" customFormat="1" ht="21.95" customHeight="1" x14ac:dyDescent="0.15"/>
    <row r="45380" customFormat="1" ht="21.95" customHeight="1" x14ac:dyDescent="0.15"/>
    <row r="45381" customFormat="1" ht="21.95" customHeight="1" x14ac:dyDescent="0.15"/>
    <row r="45382" customFormat="1" ht="21.95" customHeight="1" x14ac:dyDescent="0.15"/>
    <row r="45383" customFormat="1" ht="21.95" customHeight="1" x14ac:dyDescent="0.15"/>
    <row r="45384" customFormat="1" ht="21.95" customHeight="1" x14ac:dyDescent="0.15"/>
    <row r="45385" customFormat="1" ht="21.95" customHeight="1" x14ac:dyDescent="0.15"/>
    <row r="45386" customFormat="1" ht="21.95" customHeight="1" x14ac:dyDescent="0.15"/>
    <row r="45387" customFormat="1" ht="32.1" customHeight="1" x14ac:dyDescent="0.15"/>
    <row r="45388" customFormat="1" ht="32.1" customHeight="1" x14ac:dyDescent="0.15"/>
    <row r="45389" customFormat="1" ht="32.1" customHeight="1" x14ac:dyDescent="0.15"/>
    <row r="45390" customFormat="1" ht="32.1" customHeight="1" x14ac:dyDescent="0.15"/>
    <row r="45391" customFormat="1" ht="32.1" customHeight="1" x14ac:dyDescent="0.15"/>
    <row r="45392" customFormat="1" ht="32.1" customHeight="1" x14ac:dyDescent="0.15"/>
    <row r="45393" s="76" customFormat="1" ht="32.1" customHeight="1" x14ac:dyDescent="0.15"/>
    <row r="45394" s="76" customFormat="1" ht="32.1" customHeight="1" x14ac:dyDescent="0.15"/>
    <row r="45395" s="76" customFormat="1" ht="32.1" customHeight="1" x14ac:dyDescent="0.15"/>
    <row r="45396" s="76" customFormat="1" ht="32.1" customHeight="1" x14ac:dyDescent="0.15"/>
    <row r="45397" s="76" customFormat="1" ht="21.95" customHeight="1" x14ac:dyDescent="0.15"/>
    <row r="45398" s="76" customFormat="1" ht="54" customHeight="1" x14ac:dyDescent="0.15"/>
    <row r="45399" s="76" customFormat="1" ht="21.95" customHeight="1" x14ac:dyDescent="0.15"/>
    <row r="45400" s="76" customFormat="1" ht="21.95" customHeight="1" x14ac:dyDescent="0.15"/>
    <row r="45401" s="76" customFormat="1" ht="21.95" customHeight="1" x14ac:dyDescent="0.15"/>
    <row r="45402" s="76" customFormat="1" ht="21.95" customHeight="1" x14ac:dyDescent="0.15"/>
    <row r="45403" s="76" customFormat="1" ht="21.95" customHeight="1" x14ac:dyDescent="0.15"/>
    <row r="45404" s="76" customFormat="1" ht="21.95" customHeight="1" x14ac:dyDescent="0.15"/>
    <row r="45405" s="76" customFormat="1" ht="21.95" customHeight="1" x14ac:dyDescent="0.15"/>
    <row r="45406" s="76" customFormat="1" ht="21.95" customHeight="1" x14ac:dyDescent="0.15"/>
    <row r="45407" s="76" customFormat="1" ht="21.95" customHeight="1" x14ac:dyDescent="0.15"/>
    <row r="45408" s="76" customFormat="1" ht="21.95" customHeight="1" x14ac:dyDescent="0.15"/>
    <row r="45409" s="76" customFormat="1" ht="21.95" customHeight="1" x14ac:dyDescent="0.15"/>
    <row r="45410" s="76" customFormat="1" ht="21.95" customHeight="1" x14ac:dyDescent="0.15"/>
    <row r="45411" s="76" customFormat="1" ht="21.95" customHeight="1" x14ac:dyDescent="0.15"/>
    <row r="45412" s="76" customFormat="1" ht="21.95" customHeight="1" x14ac:dyDescent="0.15"/>
    <row r="45413" s="76" customFormat="1" ht="21.95" customHeight="1" x14ac:dyDescent="0.15"/>
    <row r="45414" s="76" customFormat="1" ht="21.95" customHeight="1" x14ac:dyDescent="0.15"/>
    <row r="45415" s="76" customFormat="1" ht="21.95" customHeight="1" x14ac:dyDescent="0.15"/>
    <row r="45416" s="76" customFormat="1" ht="21.95" customHeight="1" x14ac:dyDescent="0.15"/>
    <row r="45417" s="76" customFormat="1" ht="21.95" customHeight="1" x14ac:dyDescent="0.15"/>
    <row r="45418" s="76" customFormat="1" ht="21.95" customHeight="1" x14ac:dyDescent="0.15"/>
    <row r="45419" s="76" customFormat="1" ht="21.95" customHeight="1" x14ac:dyDescent="0.15"/>
    <row r="45420" s="76" customFormat="1" ht="21.95" customHeight="1" x14ac:dyDescent="0.15"/>
    <row r="45421" s="76" customFormat="1" ht="21.95" customHeight="1" x14ac:dyDescent="0.15"/>
    <row r="45422" s="76" customFormat="1" ht="21.95" customHeight="1" x14ac:dyDescent="0.15"/>
    <row r="45423" s="76" customFormat="1" ht="21.95" customHeight="1" x14ac:dyDescent="0.15"/>
    <row r="45424" s="76" customFormat="1" ht="21.95" customHeight="1" x14ac:dyDescent="0.15"/>
    <row r="45425" s="76" customFormat="1" ht="21.95" customHeight="1" x14ac:dyDescent="0.15"/>
    <row r="45426" s="76" customFormat="1" ht="21.95" customHeight="1" x14ac:dyDescent="0.15"/>
    <row r="45427" s="76" customFormat="1" ht="21.95" customHeight="1" x14ac:dyDescent="0.15"/>
    <row r="45428" s="76" customFormat="1" ht="21.95" customHeight="1" x14ac:dyDescent="0.15"/>
    <row r="45429" s="76" customFormat="1" ht="21.95" customHeight="1" x14ac:dyDescent="0.15"/>
    <row r="45430" s="76" customFormat="1" ht="21.95" customHeight="1" x14ac:dyDescent="0.15"/>
    <row r="45431" s="76" customFormat="1" ht="21.95" customHeight="1" x14ac:dyDescent="0.15"/>
    <row r="45432" s="76" customFormat="1" ht="21.95" customHeight="1" x14ac:dyDescent="0.15"/>
    <row r="45433" s="76" customFormat="1" ht="21.95" customHeight="1" x14ac:dyDescent="0.15"/>
    <row r="45434" s="76" customFormat="1" ht="21.95" customHeight="1" x14ac:dyDescent="0.15"/>
    <row r="45435" s="76" customFormat="1" ht="21.95" customHeight="1" x14ac:dyDescent="0.15"/>
    <row r="45436" s="76" customFormat="1" ht="21.95" customHeight="1" x14ac:dyDescent="0.15"/>
    <row r="45437" s="76" customFormat="1" ht="21.95" customHeight="1" x14ac:dyDescent="0.15"/>
    <row r="45438" s="76" customFormat="1" ht="21.95" customHeight="1" x14ac:dyDescent="0.15"/>
    <row r="45439" s="76" customFormat="1" ht="21.95" customHeight="1" x14ac:dyDescent="0.15"/>
    <row r="45440" s="76" customFormat="1" ht="21.95" customHeight="1" x14ac:dyDescent="0.15"/>
    <row r="45441" s="76" customFormat="1" ht="21.95" customHeight="1" x14ac:dyDescent="0.15"/>
    <row r="45442" s="76" customFormat="1" ht="21.95" customHeight="1" x14ac:dyDescent="0.15"/>
    <row r="45443" s="76" customFormat="1" ht="21.95" customHeight="1" x14ac:dyDescent="0.15"/>
    <row r="45444" s="76" customFormat="1" ht="21.95" customHeight="1" x14ac:dyDescent="0.15"/>
    <row r="45445" s="76" customFormat="1" ht="21.95" customHeight="1" x14ac:dyDescent="0.15"/>
    <row r="45446" s="76" customFormat="1" ht="21.95" customHeight="1" x14ac:dyDescent="0.15"/>
    <row r="45447" s="76" customFormat="1" ht="21.95" customHeight="1" x14ac:dyDescent="0.15"/>
    <row r="45448" s="76" customFormat="1" ht="21.95" customHeight="1" x14ac:dyDescent="0.15"/>
    <row r="45449" s="76" customFormat="1" ht="35.1" customHeight="1" x14ac:dyDescent="0.15"/>
    <row r="45450" s="76" customFormat="1" ht="21.95" customHeight="1" x14ac:dyDescent="0.15"/>
    <row r="45451" s="76" customFormat="1" ht="21.95" customHeight="1" x14ac:dyDescent="0.15"/>
    <row r="45452" s="76" customFormat="1" ht="21.95" customHeight="1" x14ac:dyDescent="0.15"/>
    <row r="45453" s="76" customFormat="1" ht="21.95" customHeight="1" x14ac:dyDescent="0.15"/>
    <row r="45454" s="76" customFormat="1" ht="21.95" customHeight="1" x14ac:dyDescent="0.15"/>
    <row r="45455" s="76" customFormat="1" ht="21.95" customHeight="1" x14ac:dyDescent="0.15"/>
    <row r="45456" s="76" customFormat="1" ht="21.95" customHeight="1" x14ac:dyDescent="0.15"/>
    <row r="45457" s="76" customFormat="1" ht="21.95" customHeight="1" x14ac:dyDescent="0.15"/>
    <row r="45458" s="76" customFormat="1" ht="21.95" customHeight="1" x14ac:dyDescent="0.15"/>
    <row r="45459" s="76" customFormat="1" ht="21.95" customHeight="1" x14ac:dyDescent="0.15"/>
    <row r="45460" s="76" customFormat="1" ht="21.95" customHeight="1" x14ac:dyDescent="0.15"/>
    <row r="45461" s="76" customFormat="1" ht="21.95" customHeight="1" x14ac:dyDescent="0.15"/>
    <row r="45462" s="76" customFormat="1" ht="21.95" customHeight="1" x14ac:dyDescent="0.15"/>
    <row r="45463" s="76" customFormat="1" ht="21.95" customHeight="1" x14ac:dyDescent="0.15"/>
    <row r="45464" s="76" customFormat="1" ht="21.95" customHeight="1" x14ac:dyDescent="0.15"/>
    <row r="45465" s="76" customFormat="1" ht="21.95" customHeight="1" x14ac:dyDescent="0.15"/>
    <row r="45466" s="76" customFormat="1" ht="21.95" customHeight="1" x14ac:dyDescent="0.15"/>
    <row r="45467" s="76" customFormat="1" ht="21.95" customHeight="1" x14ac:dyDescent="0.15"/>
    <row r="45468" s="76" customFormat="1" ht="21.95" customHeight="1" x14ac:dyDescent="0.15"/>
    <row r="45469" s="76" customFormat="1" ht="21.95" customHeight="1" x14ac:dyDescent="0.15"/>
    <row r="45470" s="76" customFormat="1" ht="21.95" customHeight="1" x14ac:dyDescent="0.15"/>
    <row r="45471" s="76" customFormat="1" ht="21.95" customHeight="1" x14ac:dyDescent="0.15"/>
    <row r="45472" s="76" customFormat="1" ht="21.95" customHeight="1" x14ac:dyDescent="0.15"/>
    <row r="45473" spans="3:3" customFormat="1" ht="21.95" customHeight="1" x14ac:dyDescent="0.15"/>
    <row r="45474" spans="3:3" customFormat="1" ht="21.95" customHeight="1" x14ac:dyDescent="0.15"/>
    <row r="45475" spans="3:3" customFormat="1" ht="21.95" customHeight="1" x14ac:dyDescent="0.15">
      <c r="C45475" s="94"/>
    </row>
    <row r="45476" spans="3:3" customFormat="1" ht="21.95" customHeight="1" x14ac:dyDescent="0.15">
      <c r="C45476" s="94"/>
    </row>
    <row r="45477" spans="3:3" customFormat="1" ht="21.95" customHeight="1" x14ac:dyDescent="0.15"/>
    <row r="45478" spans="3:3" customFormat="1" ht="21.95" customHeight="1" x14ac:dyDescent="0.15"/>
    <row r="45479" spans="3:3" customFormat="1" ht="21.95" customHeight="1" x14ac:dyDescent="0.15"/>
    <row r="45480" spans="3:3" customFormat="1" ht="21.95" customHeight="1" x14ac:dyDescent="0.15"/>
    <row r="45481" spans="3:3" customFormat="1" ht="21.95" customHeight="1" x14ac:dyDescent="0.15"/>
    <row r="45482" spans="3:3" customFormat="1" ht="21.95" customHeight="1" x14ac:dyDescent="0.15"/>
    <row r="45483" spans="3:3" customFormat="1" ht="21.95" customHeight="1" x14ac:dyDescent="0.15"/>
    <row r="45484" spans="3:3" s="76" customFormat="1" ht="21.95" customHeight="1" x14ac:dyDescent="0.15"/>
    <row r="45485" spans="3:3" s="76" customFormat="1" ht="21.95" customHeight="1" x14ac:dyDescent="0.15"/>
    <row r="45486" spans="3:3" s="76" customFormat="1" ht="21.95" customHeight="1" x14ac:dyDescent="0.15"/>
    <row r="45487" spans="3:3" s="76" customFormat="1" ht="21.95" customHeight="1" x14ac:dyDescent="0.15"/>
    <row r="45488" spans="3:3" customFormat="1" ht="21.95" customHeight="1" x14ac:dyDescent="0.15"/>
    <row r="45489" customFormat="1" ht="21.95" customHeight="1" x14ac:dyDescent="0.15"/>
    <row r="45490" customFormat="1" ht="21.95" customHeight="1" x14ac:dyDescent="0.15"/>
    <row r="45491" customFormat="1" ht="21.95" customHeight="1" x14ac:dyDescent="0.15"/>
    <row r="45492" customFormat="1" ht="21.95" customHeight="1" x14ac:dyDescent="0.15"/>
    <row r="45493" customFormat="1" ht="21.95" customHeight="1" x14ac:dyDescent="0.15"/>
    <row r="45494" customFormat="1" ht="21.95" customHeight="1" x14ac:dyDescent="0.15"/>
    <row r="45495" customFormat="1" ht="21.95" customHeight="1" x14ac:dyDescent="0.15"/>
    <row r="45496" customFormat="1" ht="21.95" customHeight="1" x14ac:dyDescent="0.15"/>
    <row r="45497" customFormat="1" ht="21.95" customHeight="1" x14ac:dyDescent="0.15"/>
    <row r="45498" customFormat="1" ht="21.95" customHeight="1" x14ac:dyDescent="0.15"/>
    <row r="45499" customFormat="1" ht="32.1" customHeight="1" x14ac:dyDescent="0.15"/>
    <row r="45500" customFormat="1" ht="32.1" customHeight="1" x14ac:dyDescent="0.15"/>
    <row r="45501" customFormat="1" ht="32.1" customHeight="1" x14ac:dyDescent="0.15"/>
    <row r="45502" customFormat="1" ht="32.1" customHeight="1" x14ac:dyDescent="0.15"/>
    <row r="45503" customFormat="1" ht="32.1" customHeight="1" x14ac:dyDescent="0.15"/>
    <row r="45504" customFormat="1" ht="32.1" customHeight="1" x14ac:dyDescent="0.15"/>
    <row r="45505" s="76" customFormat="1" ht="32.1" customHeight="1" x14ac:dyDescent="0.15"/>
    <row r="45506" s="76" customFormat="1" ht="32.1" customHeight="1" x14ac:dyDescent="0.15"/>
    <row r="45507" s="76" customFormat="1" ht="32.1" customHeight="1" x14ac:dyDescent="0.15"/>
    <row r="45508" s="76" customFormat="1" ht="32.1" customHeight="1" x14ac:dyDescent="0.15"/>
    <row r="45509" s="76" customFormat="1" ht="21.95" customHeight="1" x14ac:dyDescent="0.15"/>
    <row r="45510" s="76" customFormat="1" ht="54" customHeight="1" x14ac:dyDescent="0.15"/>
    <row r="45511" s="76" customFormat="1" ht="21.95" customHeight="1" x14ac:dyDescent="0.15"/>
    <row r="45512" s="76" customFormat="1" ht="21.95" customHeight="1" x14ac:dyDescent="0.15"/>
    <row r="45513" s="76" customFormat="1" ht="21.95" customHeight="1" x14ac:dyDescent="0.15"/>
    <row r="45514" s="76" customFormat="1" ht="21.95" customHeight="1" x14ac:dyDescent="0.15"/>
    <row r="45515" s="76" customFormat="1" ht="21.95" customHeight="1" x14ac:dyDescent="0.15"/>
    <row r="45516" s="76" customFormat="1" ht="21.95" customHeight="1" x14ac:dyDescent="0.15"/>
    <row r="45517" s="76" customFormat="1" ht="21.95" customHeight="1" x14ac:dyDescent="0.15"/>
    <row r="45518" s="76" customFormat="1" ht="21.95" customHeight="1" x14ac:dyDescent="0.15"/>
    <row r="45519" s="76" customFormat="1" ht="21.95" customHeight="1" x14ac:dyDescent="0.15"/>
    <row r="45520" s="76" customFormat="1" ht="21.95" customHeight="1" x14ac:dyDescent="0.15"/>
    <row r="45521" s="76" customFormat="1" ht="21.95" customHeight="1" x14ac:dyDescent="0.15"/>
    <row r="45522" s="76" customFormat="1" ht="21.95" customHeight="1" x14ac:dyDescent="0.15"/>
    <row r="45523" s="76" customFormat="1" ht="21.95" customHeight="1" x14ac:dyDescent="0.15"/>
    <row r="45524" s="76" customFormat="1" ht="21.95" customHeight="1" x14ac:dyDescent="0.15"/>
    <row r="45525" s="76" customFormat="1" ht="21.95" customHeight="1" x14ac:dyDescent="0.15"/>
    <row r="45526" s="76" customFormat="1" ht="21.95" customHeight="1" x14ac:dyDescent="0.15"/>
    <row r="45527" s="76" customFormat="1" ht="21.95" customHeight="1" x14ac:dyDescent="0.15"/>
    <row r="45528" s="76" customFormat="1" ht="21.95" customHeight="1" x14ac:dyDescent="0.15"/>
    <row r="45529" s="76" customFormat="1" ht="21.95" customHeight="1" x14ac:dyDescent="0.15"/>
    <row r="45530" s="76" customFormat="1" ht="21.95" customHeight="1" x14ac:dyDescent="0.15"/>
    <row r="45531" s="76" customFormat="1" ht="21.95" customHeight="1" x14ac:dyDescent="0.15"/>
    <row r="45532" s="76" customFormat="1" ht="21.95" customHeight="1" x14ac:dyDescent="0.15"/>
    <row r="45533" s="76" customFormat="1" ht="21.95" customHeight="1" x14ac:dyDescent="0.15"/>
    <row r="45534" s="76" customFormat="1" ht="21.95" customHeight="1" x14ac:dyDescent="0.15"/>
    <row r="45535" s="76" customFormat="1" ht="21.95" customHeight="1" x14ac:dyDescent="0.15"/>
    <row r="45536" s="76" customFormat="1" ht="21.95" customHeight="1" x14ac:dyDescent="0.15"/>
    <row r="45537" s="76" customFormat="1" ht="21.95" customHeight="1" x14ac:dyDescent="0.15"/>
    <row r="45538" s="76" customFormat="1" ht="21.95" customHeight="1" x14ac:dyDescent="0.15"/>
    <row r="45539" s="76" customFormat="1" ht="21.95" customHeight="1" x14ac:dyDescent="0.15"/>
    <row r="45540" s="76" customFormat="1" ht="21.95" customHeight="1" x14ac:dyDescent="0.15"/>
    <row r="45541" s="76" customFormat="1" ht="21.95" customHeight="1" x14ac:dyDescent="0.15"/>
    <row r="45542" s="76" customFormat="1" ht="21.95" customHeight="1" x14ac:dyDescent="0.15"/>
    <row r="45543" s="76" customFormat="1" ht="21.95" customHeight="1" x14ac:dyDescent="0.15"/>
    <row r="45544" s="76" customFormat="1" ht="21.95" customHeight="1" x14ac:dyDescent="0.15"/>
    <row r="45545" s="76" customFormat="1" ht="21.95" customHeight="1" x14ac:dyDescent="0.15"/>
    <row r="45546" s="76" customFormat="1" ht="21.95" customHeight="1" x14ac:dyDescent="0.15"/>
    <row r="45547" s="76" customFormat="1" ht="21.95" customHeight="1" x14ac:dyDescent="0.15"/>
    <row r="45548" s="76" customFormat="1" ht="21.95" customHeight="1" x14ac:dyDescent="0.15"/>
    <row r="45549" s="76" customFormat="1" ht="21.95" customHeight="1" x14ac:dyDescent="0.15"/>
    <row r="45550" s="76" customFormat="1" ht="21.95" customHeight="1" x14ac:dyDescent="0.15"/>
    <row r="45551" s="76" customFormat="1" ht="21.95" customHeight="1" x14ac:dyDescent="0.15"/>
    <row r="45552" s="76" customFormat="1" ht="21.95" customHeight="1" x14ac:dyDescent="0.15"/>
    <row r="45553" s="76" customFormat="1" ht="21.95" customHeight="1" x14ac:dyDescent="0.15"/>
    <row r="45554" s="76" customFormat="1" ht="21.95" customHeight="1" x14ac:dyDescent="0.15"/>
    <row r="45555" s="76" customFormat="1" ht="21.95" customHeight="1" x14ac:dyDescent="0.15"/>
    <row r="45556" s="76" customFormat="1" ht="21.95" customHeight="1" x14ac:dyDescent="0.15"/>
    <row r="45557" s="76" customFormat="1" ht="21.95" customHeight="1" x14ac:dyDescent="0.15"/>
    <row r="45558" s="76" customFormat="1" ht="21.95" customHeight="1" x14ac:dyDescent="0.15"/>
    <row r="45559" s="76" customFormat="1" ht="21.95" customHeight="1" x14ac:dyDescent="0.15"/>
    <row r="45560" s="76" customFormat="1" ht="21.95" customHeight="1" x14ac:dyDescent="0.15"/>
    <row r="45561" s="76" customFormat="1" ht="35.1" customHeight="1" x14ac:dyDescent="0.15"/>
    <row r="45562" s="76" customFormat="1" ht="21.95" customHeight="1" x14ac:dyDescent="0.15"/>
    <row r="45563" s="76" customFormat="1" ht="21.95" customHeight="1" x14ac:dyDescent="0.15"/>
    <row r="45564" s="76" customFormat="1" ht="21.95" customHeight="1" x14ac:dyDescent="0.15"/>
    <row r="45565" s="76" customFormat="1" ht="21.95" customHeight="1" x14ac:dyDescent="0.15"/>
    <row r="45566" s="76" customFormat="1" ht="21.95" customHeight="1" x14ac:dyDescent="0.15"/>
    <row r="45567" s="76" customFormat="1" ht="21.95" customHeight="1" x14ac:dyDescent="0.15"/>
    <row r="45568" s="76" customFormat="1" ht="21.95" customHeight="1" x14ac:dyDescent="0.15"/>
    <row r="45569" s="76" customFormat="1" ht="21.95" customHeight="1" x14ac:dyDescent="0.15"/>
    <row r="45570" s="76" customFormat="1" ht="21.95" customHeight="1" x14ac:dyDescent="0.15"/>
    <row r="45571" s="76" customFormat="1" ht="21.95" customHeight="1" x14ac:dyDescent="0.15"/>
    <row r="45572" s="76" customFormat="1" ht="21.95" customHeight="1" x14ac:dyDescent="0.15"/>
    <row r="45573" s="76" customFormat="1" ht="21.95" customHeight="1" x14ac:dyDescent="0.15"/>
    <row r="45574" s="76" customFormat="1" ht="21.95" customHeight="1" x14ac:dyDescent="0.15"/>
    <row r="45575" s="76" customFormat="1" ht="21.95" customHeight="1" x14ac:dyDescent="0.15"/>
    <row r="45576" s="76" customFormat="1" ht="21.95" customHeight="1" x14ac:dyDescent="0.15"/>
    <row r="45577" s="76" customFormat="1" ht="21.95" customHeight="1" x14ac:dyDescent="0.15"/>
    <row r="45578" s="76" customFormat="1" ht="21.95" customHeight="1" x14ac:dyDescent="0.15"/>
    <row r="45579" s="76" customFormat="1" ht="21.95" customHeight="1" x14ac:dyDescent="0.15"/>
    <row r="45580" s="76" customFormat="1" ht="21.95" customHeight="1" x14ac:dyDescent="0.15"/>
    <row r="45581" s="76" customFormat="1" ht="21.95" customHeight="1" x14ac:dyDescent="0.15"/>
    <row r="45582" s="76" customFormat="1" ht="21.95" customHeight="1" x14ac:dyDescent="0.15"/>
    <row r="45583" s="76" customFormat="1" ht="21.95" customHeight="1" x14ac:dyDescent="0.15"/>
    <row r="45584" s="76" customFormat="1" ht="21.95" customHeight="1" x14ac:dyDescent="0.15"/>
    <row r="45585" spans="3:3" customFormat="1" ht="21.95" customHeight="1" x14ac:dyDescent="0.15"/>
    <row r="45586" spans="3:3" customFormat="1" ht="21.95" customHeight="1" x14ac:dyDescent="0.15"/>
    <row r="45587" spans="3:3" customFormat="1" ht="21.95" customHeight="1" x14ac:dyDescent="0.15">
      <c r="C45587" s="94"/>
    </row>
    <row r="45588" spans="3:3" customFormat="1" ht="21.95" customHeight="1" x14ac:dyDescent="0.15">
      <c r="C45588" s="94"/>
    </row>
    <row r="45589" spans="3:3" customFormat="1" ht="21.95" customHeight="1" x14ac:dyDescent="0.15"/>
    <row r="45590" spans="3:3" customFormat="1" ht="21.95" customHeight="1" x14ac:dyDescent="0.15"/>
    <row r="45591" spans="3:3" customFormat="1" ht="21.95" customHeight="1" x14ac:dyDescent="0.15"/>
    <row r="45592" spans="3:3" customFormat="1" ht="21.95" customHeight="1" x14ac:dyDescent="0.15"/>
    <row r="45593" spans="3:3" customFormat="1" ht="21.95" customHeight="1" x14ac:dyDescent="0.15"/>
    <row r="45594" spans="3:3" customFormat="1" ht="21.95" customHeight="1" x14ac:dyDescent="0.15"/>
    <row r="45595" spans="3:3" customFormat="1" ht="21.95" customHeight="1" x14ac:dyDescent="0.15"/>
    <row r="45596" spans="3:3" s="76" customFormat="1" ht="21.95" customHeight="1" x14ac:dyDescent="0.15"/>
    <row r="45597" spans="3:3" s="76" customFormat="1" ht="21.95" customHeight="1" x14ac:dyDescent="0.15"/>
    <row r="45598" spans="3:3" s="76" customFormat="1" ht="21.95" customHeight="1" x14ac:dyDescent="0.15"/>
    <row r="45599" spans="3:3" s="76" customFormat="1" ht="21.95" customHeight="1" x14ac:dyDescent="0.15"/>
    <row r="45600" spans="3:3" customFormat="1" ht="21.95" customHeight="1" x14ac:dyDescent="0.15"/>
    <row r="45601" customFormat="1" ht="21.95" customHeight="1" x14ac:dyDescent="0.15"/>
    <row r="45602" customFormat="1" ht="21.95" customHeight="1" x14ac:dyDescent="0.15"/>
    <row r="45603" customFormat="1" ht="21.95" customHeight="1" x14ac:dyDescent="0.15"/>
    <row r="45604" customFormat="1" ht="21.95" customHeight="1" x14ac:dyDescent="0.15"/>
    <row r="45605" customFormat="1" ht="21.95" customHeight="1" x14ac:dyDescent="0.15"/>
    <row r="45606" customFormat="1" ht="21.95" customHeight="1" x14ac:dyDescent="0.15"/>
    <row r="45607" customFormat="1" ht="21.95" customHeight="1" x14ac:dyDescent="0.15"/>
    <row r="45608" customFormat="1" ht="21.95" customHeight="1" x14ac:dyDescent="0.15"/>
    <row r="45609" customFormat="1" ht="21.95" customHeight="1" x14ac:dyDescent="0.15"/>
    <row r="45610" customFormat="1" ht="21.95" customHeight="1" x14ac:dyDescent="0.15"/>
    <row r="45611" customFormat="1" ht="32.1" customHeight="1" x14ac:dyDescent="0.15"/>
    <row r="45612" customFormat="1" ht="32.1" customHeight="1" x14ac:dyDescent="0.15"/>
    <row r="45613" customFormat="1" ht="32.1" customHeight="1" x14ac:dyDescent="0.15"/>
    <row r="45614" customFormat="1" ht="32.1" customHeight="1" x14ac:dyDescent="0.15"/>
    <row r="45615" customFormat="1" ht="32.1" customHeight="1" x14ac:dyDescent="0.15"/>
    <row r="45616" customFormat="1" ht="32.1" customHeight="1" x14ac:dyDescent="0.15"/>
    <row r="45617" s="76" customFormat="1" ht="32.1" customHeight="1" x14ac:dyDescent="0.15"/>
    <row r="45618" s="76" customFormat="1" ht="32.1" customHeight="1" x14ac:dyDescent="0.15"/>
    <row r="45619" s="76" customFormat="1" ht="32.1" customHeight="1" x14ac:dyDescent="0.15"/>
    <row r="45620" s="76" customFormat="1" ht="32.1" customHeight="1" x14ac:dyDescent="0.15"/>
    <row r="45621" s="76" customFormat="1" ht="21.95" customHeight="1" x14ac:dyDescent="0.15"/>
    <row r="45622" s="76" customFormat="1" ht="54" customHeight="1" x14ac:dyDescent="0.15"/>
    <row r="45623" s="76" customFormat="1" ht="21.95" customHeight="1" x14ac:dyDescent="0.15"/>
    <row r="45624" s="76" customFormat="1" ht="21.95" customHeight="1" x14ac:dyDescent="0.15"/>
    <row r="45625" s="76" customFormat="1" ht="21.95" customHeight="1" x14ac:dyDescent="0.15"/>
    <row r="45626" s="76" customFormat="1" ht="21.95" customHeight="1" x14ac:dyDescent="0.15"/>
    <row r="45627" s="76" customFormat="1" ht="21.95" customHeight="1" x14ac:dyDescent="0.15"/>
    <row r="45628" s="76" customFormat="1" ht="21.95" customHeight="1" x14ac:dyDescent="0.15"/>
    <row r="45629" s="76" customFormat="1" ht="21.95" customHeight="1" x14ac:dyDescent="0.15"/>
    <row r="45630" s="76" customFormat="1" ht="21.95" customHeight="1" x14ac:dyDescent="0.15"/>
    <row r="45631" s="76" customFormat="1" ht="21.95" customHeight="1" x14ac:dyDescent="0.15"/>
    <row r="45632" s="76" customFormat="1" ht="21.95" customHeight="1" x14ac:dyDescent="0.15"/>
    <row r="45633" s="76" customFormat="1" ht="21.95" customHeight="1" x14ac:dyDescent="0.15"/>
    <row r="45634" s="76" customFormat="1" ht="21.95" customHeight="1" x14ac:dyDescent="0.15"/>
    <row r="45635" s="76" customFormat="1" ht="21.95" customHeight="1" x14ac:dyDescent="0.15"/>
    <row r="45636" s="76" customFormat="1" ht="21.95" customHeight="1" x14ac:dyDescent="0.15"/>
    <row r="45637" s="76" customFormat="1" ht="21.95" customHeight="1" x14ac:dyDescent="0.15"/>
    <row r="45638" s="76" customFormat="1" ht="21.95" customHeight="1" x14ac:dyDescent="0.15"/>
    <row r="45639" s="76" customFormat="1" ht="21.95" customHeight="1" x14ac:dyDescent="0.15"/>
    <row r="45640" s="76" customFormat="1" ht="21.95" customHeight="1" x14ac:dyDescent="0.15"/>
    <row r="45641" s="76" customFormat="1" ht="21.95" customHeight="1" x14ac:dyDescent="0.15"/>
    <row r="45642" s="76" customFormat="1" ht="21.95" customHeight="1" x14ac:dyDescent="0.15"/>
    <row r="45643" s="76" customFormat="1" ht="21.95" customHeight="1" x14ac:dyDescent="0.15"/>
    <row r="45644" s="76" customFormat="1" ht="21.95" customHeight="1" x14ac:dyDescent="0.15"/>
    <row r="45645" s="76" customFormat="1" ht="21.95" customHeight="1" x14ac:dyDescent="0.15"/>
    <row r="45646" s="76" customFormat="1" ht="21.95" customHeight="1" x14ac:dyDescent="0.15"/>
    <row r="45647" s="76" customFormat="1" ht="21.95" customHeight="1" x14ac:dyDescent="0.15"/>
    <row r="45648" s="76" customFormat="1" ht="21.95" customHeight="1" x14ac:dyDescent="0.15"/>
    <row r="45649" s="76" customFormat="1" ht="21.95" customHeight="1" x14ac:dyDescent="0.15"/>
    <row r="45650" s="76" customFormat="1" ht="21.95" customHeight="1" x14ac:dyDescent="0.15"/>
    <row r="45651" s="76" customFormat="1" ht="21.95" customHeight="1" x14ac:dyDescent="0.15"/>
    <row r="45652" s="76" customFormat="1" ht="21.95" customHeight="1" x14ac:dyDescent="0.15"/>
    <row r="45653" s="76" customFormat="1" ht="21.95" customHeight="1" x14ac:dyDescent="0.15"/>
    <row r="45654" s="76" customFormat="1" ht="21.95" customHeight="1" x14ac:dyDescent="0.15"/>
    <row r="45655" s="76" customFormat="1" ht="21.95" customHeight="1" x14ac:dyDescent="0.15"/>
    <row r="45656" s="76" customFormat="1" ht="21.95" customHeight="1" x14ac:dyDescent="0.15"/>
    <row r="45657" s="76" customFormat="1" ht="21.95" customHeight="1" x14ac:dyDescent="0.15"/>
    <row r="45658" s="76" customFormat="1" ht="21.95" customHeight="1" x14ac:dyDescent="0.15"/>
    <row r="45659" s="76" customFormat="1" ht="21.95" customHeight="1" x14ac:dyDescent="0.15"/>
    <row r="45660" s="76" customFormat="1" ht="21.95" customHeight="1" x14ac:dyDescent="0.15"/>
    <row r="45661" s="76" customFormat="1" ht="21.95" customHeight="1" x14ac:dyDescent="0.15"/>
    <row r="45662" s="76" customFormat="1" ht="21.95" customHeight="1" x14ac:dyDescent="0.15"/>
    <row r="45663" s="76" customFormat="1" ht="21.95" customHeight="1" x14ac:dyDescent="0.15"/>
    <row r="45664" s="76" customFormat="1" ht="21.95" customHeight="1" x14ac:dyDescent="0.15"/>
    <row r="45665" s="76" customFormat="1" ht="21.95" customHeight="1" x14ac:dyDescent="0.15"/>
    <row r="45666" s="76" customFormat="1" ht="21.95" customHeight="1" x14ac:dyDescent="0.15"/>
    <row r="45667" s="76" customFormat="1" ht="21.95" customHeight="1" x14ac:dyDescent="0.15"/>
    <row r="45668" s="76" customFormat="1" ht="21.95" customHeight="1" x14ac:dyDescent="0.15"/>
    <row r="45669" s="76" customFormat="1" ht="21.95" customHeight="1" x14ac:dyDescent="0.15"/>
    <row r="45670" s="76" customFormat="1" ht="21.95" customHeight="1" x14ac:dyDescent="0.15"/>
    <row r="45671" s="76" customFormat="1" ht="21.95" customHeight="1" x14ac:dyDescent="0.15"/>
    <row r="45672" s="76" customFormat="1" ht="21.95" customHeight="1" x14ac:dyDescent="0.15"/>
    <row r="45673" s="76" customFormat="1" ht="35.1" customHeight="1" x14ac:dyDescent="0.15"/>
    <row r="45674" s="76" customFormat="1" ht="21.95" customHeight="1" x14ac:dyDescent="0.15"/>
    <row r="45675" s="76" customFormat="1" ht="21.95" customHeight="1" x14ac:dyDescent="0.15"/>
    <row r="45676" s="76" customFormat="1" ht="21.95" customHeight="1" x14ac:dyDescent="0.15"/>
    <row r="45677" s="76" customFormat="1" ht="21.95" customHeight="1" x14ac:dyDescent="0.15"/>
    <row r="45678" s="76" customFormat="1" ht="21.95" customHeight="1" x14ac:dyDescent="0.15"/>
    <row r="45679" s="76" customFormat="1" ht="21.95" customHeight="1" x14ac:dyDescent="0.15"/>
    <row r="45680" s="76" customFormat="1" ht="21.95" customHeight="1" x14ac:dyDescent="0.15"/>
    <row r="45681" s="76" customFormat="1" ht="21.95" customHeight="1" x14ac:dyDescent="0.15"/>
    <row r="45682" s="76" customFormat="1" ht="21.95" customHeight="1" x14ac:dyDescent="0.15"/>
    <row r="45683" s="76" customFormat="1" ht="21.95" customHeight="1" x14ac:dyDescent="0.15"/>
    <row r="45684" s="76" customFormat="1" ht="21.95" customHeight="1" x14ac:dyDescent="0.15"/>
    <row r="45685" s="76" customFormat="1" ht="21.95" customHeight="1" x14ac:dyDescent="0.15"/>
    <row r="45686" s="76" customFormat="1" ht="21.95" customHeight="1" x14ac:dyDescent="0.15"/>
    <row r="45687" s="76" customFormat="1" ht="21.95" customHeight="1" x14ac:dyDescent="0.15"/>
    <row r="45688" s="76" customFormat="1" ht="21.95" customHeight="1" x14ac:dyDescent="0.15"/>
    <row r="45689" s="76" customFormat="1" ht="21.95" customHeight="1" x14ac:dyDescent="0.15"/>
    <row r="45690" s="76" customFormat="1" ht="21.95" customHeight="1" x14ac:dyDescent="0.15"/>
    <row r="45691" s="76" customFormat="1" ht="21.95" customHeight="1" x14ac:dyDescent="0.15"/>
    <row r="45692" s="76" customFormat="1" ht="21.95" customHeight="1" x14ac:dyDescent="0.15"/>
    <row r="45693" s="76" customFormat="1" ht="21.95" customHeight="1" x14ac:dyDescent="0.15"/>
    <row r="45694" s="76" customFormat="1" ht="21.95" customHeight="1" x14ac:dyDescent="0.15"/>
    <row r="45695" s="76" customFormat="1" ht="21.95" customHeight="1" x14ac:dyDescent="0.15"/>
    <row r="45696" s="76" customFormat="1" ht="21.95" customHeight="1" x14ac:dyDescent="0.15"/>
    <row r="45697" spans="3:3" customFormat="1" ht="21.95" customHeight="1" x14ac:dyDescent="0.15"/>
    <row r="45698" spans="3:3" customFormat="1" ht="21.95" customHeight="1" x14ac:dyDescent="0.15"/>
    <row r="45699" spans="3:3" customFormat="1" ht="21.95" customHeight="1" x14ac:dyDescent="0.15">
      <c r="C45699" s="94"/>
    </row>
    <row r="45700" spans="3:3" customFormat="1" ht="21.95" customHeight="1" x14ac:dyDescent="0.15">
      <c r="C45700" s="94"/>
    </row>
    <row r="45701" spans="3:3" customFormat="1" ht="21.95" customHeight="1" x14ac:dyDescent="0.15"/>
    <row r="45702" spans="3:3" customFormat="1" ht="21.95" customHeight="1" x14ac:dyDescent="0.15"/>
    <row r="45703" spans="3:3" customFormat="1" ht="21.95" customHeight="1" x14ac:dyDescent="0.15"/>
    <row r="45704" spans="3:3" customFormat="1" ht="21.95" customHeight="1" x14ac:dyDescent="0.15"/>
    <row r="45705" spans="3:3" customFormat="1" ht="21.95" customHeight="1" x14ac:dyDescent="0.15"/>
    <row r="45706" spans="3:3" customFormat="1" ht="21.95" customHeight="1" x14ac:dyDescent="0.15"/>
    <row r="45707" spans="3:3" customFormat="1" ht="21.95" customHeight="1" x14ac:dyDescent="0.15"/>
    <row r="45708" spans="3:3" s="76" customFormat="1" ht="21.95" customHeight="1" x14ac:dyDescent="0.15"/>
    <row r="45709" spans="3:3" s="76" customFormat="1" ht="21.95" customHeight="1" x14ac:dyDescent="0.15"/>
    <row r="45710" spans="3:3" s="76" customFormat="1" ht="21.95" customHeight="1" x14ac:dyDescent="0.15"/>
    <row r="45711" spans="3:3" s="76" customFormat="1" ht="21.95" customHeight="1" x14ac:dyDescent="0.15"/>
    <row r="45712" spans="3:3" customFormat="1" ht="21.95" customHeight="1" x14ac:dyDescent="0.15"/>
    <row r="45713" customFormat="1" ht="21.95" customHeight="1" x14ac:dyDescent="0.15"/>
    <row r="45714" customFormat="1" ht="21.95" customHeight="1" x14ac:dyDescent="0.15"/>
    <row r="45715" customFormat="1" ht="21.95" customHeight="1" x14ac:dyDescent="0.15"/>
    <row r="45716" customFormat="1" ht="21.95" customHeight="1" x14ac:dyDescent="0.15"/>
    <row r="45717" customFormat="1" ht="21.95" customHeight="1" x14ac:dyDescent="0.15"/>
    <row r="45718" customFormat="1" ht="21.95" customHeight="1" x14ac:dyDescent="0.15"/>
    <row r="45719" customFormat="1" ht="21.95" customHeight="1" x14ac:dyDescent="0.15"/>
    <row r="45720" customFormat="1" ht="21.95" customHeight="1" x14ac:dyDescent="0.15"/>
    <row r="45721" customFormat="1" ht="21.95" customHeight="1" x14ac:dyDescent="0.15"/>
    <row r="45722" customFormat="1" ht="21.95" customHeight="1" x14ac:dyDescent="0.15"/>
    <row r="45723" customFormat="1" ht="32.1" customHeight="1" x14ac:dyDescent="0.15"/>
    <row r="45724" customFormat="1" ht="32.1" customHeight="1" x14ac:dyDescent="0.15"/>
    <row r="45725" customFormat="1" ht="32.1" customHeight="1" x14ac:dyDescent="0.15"/>
    <row r="45726" customFormat="1" ht="32.1" customHeight="1" x14ac:dyDescent="0.15"/>
    <row r="45727" customFormat="1" ht="32.1" customHeight="1" x14ac:dyDescent="0.15"/>
    <row r="45728" customFormat="1" ht="32.1" customHeight="1" x14ac:dyDescent="0.15"/>
    <row r="45729" s="76" customFormat="1" ht="32.1" customHeight="1" x14ac:dyDescent="0.15"/>
    <row r="45730" s="76" customFormat="1" ht="32.1" customHeight="1" x14ac:dyDescent="0.15"/>
    <row r="45731" s="76" customFormat="1" ht="32.1" customHeight="1" x14ac:dyDescent="0.15"/>
    <row r="45732" s="76" customFormat="1" ht="32.1" customHeight="1" x14ac:dyDescent="0.15"/>
    <row r="45733" s="76" customFormat="1" ht="21.95" customHeight="1" x14ac:dyDescent="0.15"/>
    <row r="45734" s="76" customFormat="1" ht="54" customHeight="1" x14ac:dyDescent="0.15"/>
    <row r="45735" s="76" customFormat="1" ht="21.95" customHeight="1" x14ac:dyDescent="0.15"/>
    <row r="45736" s="76" customFormat="1" ht="21.95" customHeight="1" x14ac:dyDescent="0.15"/>
    <row r="45737" s="76" customFormat="1" ht="21.95" customHeight="1" x14ac:dyDescent="0.15"/>
    <row r="45738" s="76" customFormat="1" ht="21.95" customHeight="1" x14ac:dyDescent="0.15"/>
    <row r="45739" s="76" customFormat="1" ht="21.95" customHeight="1" x14ac:dyDescent="0.15"/>
    <row r="45740" s="76" customFormat="1" ht="21.95" customHeight="1" x14ac:dyDescent="0.15"/>
    <row r="45741" s="76" customFormat="1" ht="21.95" customHeight="1" x14ac:dyDescent="0.15"/>
    <row r="45742" s="76" customFormat="1" ht="21.95" customHeight="1" x14ac:dyDescent="0.15"/>
    <row r="45743" s="76" customFormat="1" ht="21.95" customHeight="1" x14ac:dyDescent="0.15"/>
    <row r="45744" s="76" customFormat="1" ht="21.95" customHeight="1" x14ac:dyDescent="0.15"/>
    <row r="45745" s="76" customFormat="1" ht="21.95" customHeight="1" x14ac:dyDescent="0.15"/>
    <row r="45746" s="76" customFormat="1" ht="21.95" customHeight="1" x14ac:dyDescent="0.15"/>
    <row r="45747" s="76" customFormat="1" ht="21.95" customHeight="1" x14ac:dyDescent="0.15"/>
    <row r="45748" s="76" customFormat="1" ht="21.95" customHeight="1" x14ac:dyDescent="0.15"/>
    <row r="45749" s="76" customFormat="1" ht="21.95" customHeight="1" x14ac:dyDescent="0.15"/>
    <row r="45750" s="76" customFormat="1" ht="21.95" customHeight="1" x14ac:dyDescent="0.15"/>
    <row r="45751" s="76" customFormat="1" ht="21.95" customHeight="1" x14ac:dyDescent="0.15"/>
    <row r="45752" s="76" customFormat="1" ht="21.95" customHeight="1" x14ac:dyDescent="0.15"/>
    <row r="45753" s="76" customFormat="1" ht="21.95" customHeight="1" x14ac:dyDescent="0.15"/>
    <row r="45754" s="76" customFormat="1" ht="21.95" customHeight="1" x14ac:dyDescent="0.15"/>
    <row r="45755" s="76" customFormat="1" ht="21.95" customHeight="1" x14ac:dyDescent="0.15"/>
    <row r="45756" s="76" customFormat="1" ht="21.95" customHeight="1" x14ac:dyDescent="0.15"/>
    <row r="45757" s="76" customFormat="1" ht="21.95" customHeight="1" x14ac:dyDescent="0.15"/>
    <row r="45758" s="76" customFormat="1" ht="21.95" customHeight="1" x14ac:dyDescent="0.15"/>
    <row r="45759" s="76" customFormat="1" ht="21.95" customHeight="1" x14ac:dyDescent="0.15"/>
    <row r="45760" s="76" customFormat="1" ht="21.95" customHeight="1" x14ac:dyDescent="0.15"/>
    <row r="45761" s="76" customFormat="1" ht="21.95" customHeight="1" x14ac:dyDescent="0.15"/>
    <row r="45762" s="76" customFormat="1" ht="21.95" customHeight="1" x14ac:dyDescent="0.15"/>
    <row r="45763" s="76" customFormat="1" ht="21.95" customHeight="1" x14ac:dyDescent="0.15"/>
    <row r="45764" s="76" customFormat="1" ht="21.95" customHeight="1" x14ac:dyDescent="0.15"/>
    <row r="45765" s="76" customFormat="1" ht="21.95" customHeight="1" x14ac:dyDescent="0.15"/>
    <row r="45766" s="76" customFormat="1" ht="21.95" customHeight="1" x14ac:dyDescent="0.15"/>
    <row r="45767" s="76" customFormat="1" ht="21.95" customHeight="1" x14ac:dyDescent="0.15"/>
    <row r="45768" s="76" customFormat="1" ht="21.95" customHeight="1" x14ac:dyDescent="0.15"/>
    <row r="45769" s="76" customFormat="1" ht="21.95" customHeight="1" x14ac:dyDescent="0.15"/>
    <row r="45770" s="76" customFormat="1" ht="21.95" customHeight="1" x14ac:dyDescent="0.15"/>
    <row r="45771" s="76" customFormat="1" ht="21.95" customHeight="1" x14ac:dyDescent="0.15"/>
    <row r="45772" s="76" customFormat="1" ht="21.95" customHeight="1" x14ac:dyDescent="0.15"/>
    <row r="45773" s="76" customFormat="1" ht="21.95" customHeight="1" x14ac:dyDescent="0.15"/>
    <row r="45774" s="76" customFormat="1" ht="21.95" customHeight="1" x14ac:dyDescent="0.15"/>
    <row r="45775" s="76" customFormat="1" ht="21.95" customHeight="1" x14ac:dyDescent="0.15"/>
    <row r="45776" s="76" customFormat="1" ht="21.95" customHeight="1" x14ac:dyDescent="0.15"/>
    <row r="45777" s="76" customFormat="1" ht="21.95" customHeight="1" x14ac:dyDescent="0.15"/>
    <row r="45778" s="76" customFormat="1" ht="21.95" customHeight="1" x14ac:dyDescent="0.15"/>
    <row r="45779" s="76" customFormat="1" ht="21.95" customHeight="1" x14ac:dyDescent="0.15"/>
    <row r="45780" s="76" customFormat="1" ht="21.95" customHeight="1" x14ac:dyDescent="0.15"/>
    <row r="45781" s="76" customFormat="1" ht="21.95" customHeight="1" x14ac:dyDescent="0.15"/>
    <row r="45782" s="76" customFormat="1" ht="21.95" customHeight="1" x14ac:dyDescent="0.15"/>
    <row r="45783" s="76" customFormat="1" ht="21.95" customHeight="1" x14ac:dyDescent="0.15"/>
    <row r="45784" s="76" customFormat="1" ht="21.95" customHeight="1" x14ac:dyDescent="0.15"/>
    <row r="45785" s="76" customFormat="1" ht="35.1" customHeight="1" x14ac:dyDescent="0.15"/>
    <row r="45786" s="76" customFormat="1" ht="21.95" customHeight="1" x14ac:dyDescent="0.15"/>
    <row r="45787" s="76" customFormat="1" ht="21.95" customHeight="1" x14ac:dyDescent="0.15"/>
    <row r="45788" s="76" customFormat="1" ht="21.95" customHeight="1" x14ac:dyDescent="0.15"/>
    <row r="45789" s="76" customFormat="1" ht="21.95" customHeight="1" x14ac:dyDescent="0.15"/>
    <row r="45790" s="76" customFormat="1" ht="21.95" customHeight="1" x14ac:dyDescent="0.15"/>
    <row r="45791" s="76" customFormat="1" ht="21.95" customHeight="1" x14ac:dyDescent="0.15"/>
    <row r="45792" s="76" customFormat="1" ht="21.95" customHeight="1" x14ac:dyDescent="0.15"/>
    <row r="45793" s="76" customFormat="1" ht="21.95" customHeight="1" x14ac:dyDescent="0.15"/>
    <row r="45794" s="76" customFormat="1" ht="21.95" customHeight="1" x14ac:dyDescent="0.15"/>
    <row r="45795" s="76" customFormat="1" ht="21.95" customHeight="1" x14ac:dyDescent="0.15"/>
    <row r="45796" s="76" customFormat="1" ht="21.95" customHeight="1" x14ac:dyDescent="0.15"/>
    <row r="45797" s="76" customFormat="1" ht="21.95" customHeight="1" x14ac:dyDescent="0.15"/>
    <row r="45798" s="76" customFormat="1" ht="21.95" customHeight="1" x14ac:dyDescent="0.15"/>
    <row r="45799" s="76" customFormat="1" ht="21.95" customHeight="1" x14ac:dyDescent="0.15"/>
    <row r="45800" s="76" customFormat="1" ht="21.95" customHeight="1" x14ac:dyDescent="0.15"/>
    <row r="45801" s="76" customFormat="1" ht="21.95" customHeight="1" x14ac:dyDescent="0.15"/>
    <row r="45802" s="76" customFormat="1" ht="21.95" customHeight="1" x14ac:dyDescent="0.15"/>
    <row r="45803" s="76" customFormat="1" ht="21.95" customHeight="1" x14ac:dyDescent="0.15"/>
    <row r="45804" s="76" customFormat="1" ht="21.95" customHeight="1" x14ac:dyDescent="0.15"/>
    <row r="45805" s="76" customFormat="1" ht="21.95" customHeight="1" x14ac:dyDescent="0.15"/>
    <row r="45806" s="76" customFormat="1" ht="21.95" customHeight="1" x14ac:dyDescent="0.15"/>
    <row r="45807" s="76" customFormat="1" ht="21.95" customHeight="1" x14ac:dyDescent="0.15"/>
    <row r="45808" s="76" customFormat="1" ht="21.95" customHeight="1" x14ac:dyDescent="0.15"/>
    <row r="45809" spans="3:3" customFormat="1" ht="21.95" customHeight="1" x14ac:dyDescent="0.15"/>
    <row r="45810" spans="3:3" customFormat="1" ht="21.95" customHeight="1" x14ac:dyDescent="0.15"/>
    <row r="45811" spans="3:3" customFormat="1" ht="21.95" customHeight="1" x14ac:dyDescent="0.15">
      <c r="C45811" s="94"/>
    </row>
    <row r="45812" spans="3:3" customFormat="1" ht="21.95" customHeight="1" x14ac:dyDescent="0.15">
      <c r="C45812" s="94"/>
    </row>
    <row r="45813" spans="3:3" customFormat="1" ht="21.95" customHeight="1" x14ac:dyDescent="0.15"/>
    <row r="45814" spans="3:3" customFormat="1" ht="21.95" customHeight="1" x14ac:dyDescent="0.15"/>
    <row r="45815" spans="3:3" customFormat="1" ht="21.95" customHeight="1" x14ac:dyDescent="0.15"/>
    <row r="45816" spans="3:3" customFormat="1" ht="21.95" customHeight="1" x14ac:dyDescent="0.15"/>
    <row r="45817" spans="3:3" customFormat="1" ht="21.95" customHeight="1" x14ac:dyDescent="0.15"/>
    <row r="45818" spans="3:3" customFormat="1" ht="21.95" customHeight="1" x14ac:dyDescent="0.15"/>
    <row r="45819" spans="3:3" customFormat="1" ht="21.95" customHeight="1" x14ac:dyDescent="0.15"/>
    <row r="45820" spans="3:3" s="76" customFormat="1" ht="21.95" customHeight="1" x14ac:dyDescent="0.15"/>
    <row r="45821" spans="3:3" s="76" customFormat="1" ht="21.95" customHeight="1" x14ac:dyDescent="0.15"/>
    <row r="45822" spans="3:3" s="76" customFormat="1" ht="21.95" customHeight="1" x14ac:dyDescent="0.15"/>
    <row r="45823" spans="3:3" s="76" customFormat="1" ht="21.95" customHeight="1" x14ac:dyDescent="0.15"/>
    <row r="45824" spans="3:3" customFormat="1" ht="21.95" customHeight="1" x14ac:dyDescent="0.15"/>
    <row r="45825" customFormat="1" ht="21.95" customHeight="1" x14ac:dyDescent="0.15"/>
    <row r="45826" customFormat="1" ht="21.95" customHeight="1" x14ac:dyDescent="0.15"/>
    <row r="45827" customFormat="1" ht="21.95" customHeight="1" x14ac:dyDescent="0.15"/>
    <row r="45828" customFormat="1" ht="21.95" customHeight="1" x14ac:dyDescent="0.15"/>
    <row r="45829" customFormat="1" ht="21.95" customHeight="1" x14ac:dyDescent="0.15"/>
    <row r="45830" customFormat="1" ht="21.95" customHeight="1" x14ac:dyDescent="0.15"/>
    <row r="45831" customFormat="1" ht="21.95" customHeight="1" x14ac:dyDescent="0.15"/>
    <row r="45832" customFormat="1" ht="21.95" customHeight="1" x14ac:dyDescent="0.15"/>
    <row r="45833" customFormat="1" ht="21.95" customHeight="1" x14ac:dyDescent="0.15"/>
    <row r="45834" customFormat="1" ht="21.95" customHeight="1" x14ac:dyDescent="0.15"/>
    <row r="45835" customFormat="1" ht="32.1" customHeight="1" x14ac:dyDescent="0.15"/>
    <row r="45836" customFormat="1" ht="32.1" customHeight="1" x14ac:dyDescent="0.15"/>
    <row r="45837" customFormat="1" ht="32.1" customHeight="1" x14ac:dyDescent="0.15"/>
    <row r="45838" customFormat="1" ht="32.1" customHeight="1" x14ac:dyDescent="0.15"/>
    <row r="45839" customFormat="1" ht="32.1" customHeight="1" x14ac:dyDescent="0.15"/>
    <row r="45840" customFormat="1" ht="32.1" customHeight="1" x14ac:dyDescent="0.15"/>
    <row r="45841" s="76" customFormat="1" ht="32.1" customHeight="1" x14ac:dyDescent="0.15"/>
    <row r="45842" s="76" customFormat="1" ht="32.1" customHeight="1" x14ac:dyDescent="0.15"/>
    <row r="45843" s="76" customFormat="1" ht="32.1" customHeight="1" x14ac:dyDescent="0.15"/>
    <row r="45844" s="76" customFormat="1" ht="32.1" customHeight="1" x14ac:dyDescent="0.15"/>
    <row r="45845" s="76" customFormat="1" ht="21.95" customHeight="1" x14ac:dyDescent="0.15"/>
    <row r="45846" s="76" customFormat="1" ht="54" customHeight="1" x14ac:dyDescent="0.15"/>
    <row r="45847" s="76" customFormat="1" ht="21.95" customHeight="1" x14ac:dyDescent="0.15"/>
    <row r="45848" s="76" customFormat="1" ht="21.95" customHeight="1" x14ac:dyDescent="0.15"/>
    <row r="45849" s="76" customFormat="1" ht="21.95" customHeight="1" x14ac:dyDescent="0.15"/>
    <row r="45850" s="76" customFormat="1" ht="21.95" customHeight="1" x14ac:dyDescent="0.15"/>
    <row r="45851" s="76" customFormat="1" ht="21.95" customHeight="1" x14ac:dyDescent="0.15"/>
    <row r="45852" s="76" customFormat="1" ht="21.95" customHeight="1" x14ac:dyDescent="0.15"/>
    <row r="45853" s="76" customFormat="1" ht="21.95" customHeight="1" x14ac:dyDescent="0.15"/>
    <row r="45854" s="76" customFormat="1" ht="21.95" customHeight="1" x14ac:dyDescent="0.15"/>
    <row r="45855" s="76" customFormat="1" ht="21.95" customHeight="1" x14ac:dyDescent="0.15"/>
    <row r="45856" s="76" customFormat="1" ht="21.95" customHeight="1" x14ac:dyDescent="0.15"/>
    <row r="45857" s="76" customFormat="1" ht="21.95" customHeight="1" x14ac:dyDescent="0.15"/>
    <row r="45858" s="76" customFormat="1" ht="21.95" customHeight="1" x14ac:dyDescent="0.15"/>
    <row r="45859" s="76" customFormat="1" ht="21.95" customHeight="1" x14ac:dyDescent="0.15"/>
    <row r="45860" s="76" customFormat="1" ht="21.95" customHeight="1" x14ac:dyDescent="0.15"/>
    <row r="45861" s="76" customFormat="1" ht="21.95" customHeight="1" x14ac:dyDescent="0.15"/>
    <row r="45862" s="76" customFormat="1" ht="21.95" customHeight="1" x14ac:dyDescent="0.15"/>
    <row r="45863" s="76" customFormat="1" ht="21.95" customHeight="1" x14ac:dyDescent="0.15"/>
    <row r="45864" s="76" customFormat="1" ht="21.95" customHeight="1" x14ac:dyDescent="0.15"/>
    <row r="45865" s="76" customFormat="1" ht="21.95" customHeight="1" x14ac:dyDescent="0.15"/>
    <row r="45866" s="76" customFormat="1" ht="21.95" customHeight="1" x14ac:dyDescent="0.15"/>
    <row r="45867" s="76" customFormat="1" ht="21.95" customHeight="1" x14ac:dyDescent="0.15"/>
    <row r="45868" s="76" customFormat="1" ht="21.95" customHeight="1" x14ac:dyDescent="0.15"/>
    <row r="45869" s="76" customFormat="1" ht="21.95" customHeight="1" x14ac:dyDescent="0.15"/>
    <row r="45870" s="76" customFormat="1" ht="21.95" customHeight="1" x14ac:dyDescent="0.15"/>
    <row r="45871" s="76" customFormat="1" ht="21.95" customHeight="1" x14ac:dyDescent="0.15"/>
    <row r="45872" s="76" customFormat="1" ht="21.95" customHeight="1" x14ac:dyDescent="0.15"/>
    <row r="45873" s="76" customFormat="1" ht="21.95" customHeight="1" x14ac:dyDescent="0.15"/>
    <row r="45874" s="76" customFormat="1" ht="21.95" customHeight="1" x14ac:dyDescent="0.15"/>
    <row r="45875" s="76" customFormat="1" ht="21.95" customHeight="1" x14ac:dyDescent="0.15"/>
    <row r="45876" s="76" customFormat="1" ht="21.95" customHeight="1" x14ac:dyDescent="0.15"/>
    <row r="45877" s="76" customFormat="1" ht="21.95" customHeight="1" x14ac:dyDescent="0.15"/>
    <row r="45878" s="76" customFormat="1" ht="21.95" customHeight="1" x14ac:dyDescent="0.15"/>
    <row r="45879" s="76" customFormat="1" ht="21.95" customHeight="1" x14ac:dyDescent="0.15"/>
    <row r="45880" s="76" customFormat="1" ht="21.95" customHeight="1" x14ac:dyDescent="0.15"/>
    <row r="45881" s="76" customFormat="1" ht="21.95" customHeight="1" x14ac:dyDescent="0.15"/>
    <row r="45882" s="76" customFormat="1" ht="21.95" customHeight="1" x14ac:dyDescent="0.15"/>
    <row r="45883" s="76" customFormat="1" ht="21.95" customHeight="1" x14ac:dyDescent="0.15"/>
    <row r="45884" s="76" customFormat="1" ht="21.95" customHeight="1" x14ac:dyDescent="0.15"/>
    <row r="45885" s="76" customFormat="1" ht="21.95" customHeight="1" x14ac:dyDescent="0.15"/>
    <row r="45886" s="76" customFormat="1" ht="21.95" customHeight="1" x14ac:dyDescent="0.15"/>
    <row r="45887" s="76" customFormat="1" ht="21.95" customHeight="1" x14ac:dyDescent="0.15"/>
    <row r="45888" s="76" customFormat="1" ht="21.95" customHeight="1" x14ac:dyDescent="0.15"/>
    <row r="45889" s="76" customFormat="1" ht="21.95" customHeight="1" x14ac:dyDescent="0.15"/>
    <row r="45890" s="76" customFormat="1" ht="21.95" customHeight="1" x14ac:dyDescent="0.15"/>
    <row r="45891" s="76" customFormat="1" ht="21.95" customHeight="1" x14ac:dyDescent="0.15"/>
    <row r="45892" s="76" customFormat="1" ht="21.95" customHeight="1" x14ac:dyDescent="0.15"/>
    <row r="45893" s="76" customFormat="1" ht="21.95" customHeight="1" x14ac:dyDescent="0.15"/>
    <row r="45894" s="76" customFormat="1" ht="21.95" customHeight="1" x14ac:dyDescent="0.15"/>
    <row r="45895" s="76" customFormat="1" ht="21.95" customHeight="1" x14ac:dyDescent="0.15"/>
    <row r="45896" s="76" customFormat="1" ht="21.95" customHeight="1" x14ac:dyDescent="0.15"/>
    <row r="45897" s="76" customFormat="1" ht="35.1" customHeight="1" x14ac:dyDescent="0.15"/>
    <row r="45898" s="76" customFormat="1" ht="21.95" customHeight="1" x14ac:dyDescent="0.15"/>
    <row r="45899" s="76" customFormat="1" ht="21.95" customHeight="1" x14ac:dyDescent="0.15"/>
    <row r="45900" s="76" customFormat="1" ht="21.95" customHeight="1" x14ac:dyDescent="0.15"/>
    <row r="45901" s="76" customFormat="1" ht="21.95" customHeight="1" x14ac:dyDescent="0.15"/>
    <row r="45902" s="76" customFormat="1" ht="21.95" customHeight="1" x14ac:dyDescent="0.15"/>
    <row r="45903" s="76" customFormat="1" ht="21.95" customHeight="1" x14ac:dyDescent="0.15"/>
    <row r="45904" s="76" customFormat="1" ht="21.95" customHeight="1" x14ac:dyDescent="0.15"/>
    <row r="45905" s="76" customFormat="1" ht="21.95" customHeight="1" x14ac:dyDescent="0.15"/>
    <row r="45906" s="76" customFormat="1" ht="21.95" customHeight="1" x14ac:dyDescent="0.15"/>
    <row r="45907" s="76" customFormat="1" ht="21.95" customHeight="1" x14ac:dyDescent="0.15"/>
    <row r="45908" s="76" customFormat="1" ht="21.95" customHeight="1" x14ac:dyDescent="0.15"/>
    <row r="45909" s="76" customFormat="1" ht="21.95" customHeight="1" x14ac:dyDescent="0.15"/>
    <row r="45910" s="76" customFormat="1" ht="21.95" customHeight="1" x14ac:dyDescent="0.15"/>
    <row r="45911" s="76" customFormat="1" ht="21.95" customHeight="1" x14ac:dyDescent="0.15"/>
    <row r="45912" s="76" customFormat="1" ht="21.95" customHeight="1" x14ac:dyDescent="0.15"/>
    <row r="45913" s="76" customFormat="1" ht="21.95" customHeight="1" x14ac:dyDescent="0.15"/>
    <row r="45914" s="76" customFormat="1" ht="21.95" customHeight="1" x14ac:dyDescent="0.15"/>
    <row r="45915" s="76" customFormat="1" ht="21.95" customHeight="1" x14ac:dyDescent="0.15"/>
    <row r="45916" s="76" customFormat="1" ht="21.95" customHeight="1" x14ac:dyDescent="0.15"/>
    <row r="45917" s="76" customFormat="1" ht="21.95" customHeight="1" x14ac:dyDescent="0.15"/>
    <row r="45918" s="76" customFormat="1" ht="21.95" customHeight="1" x14ac:dyDescent="0.15"/>
    <row r="45919" s="76" customFormat="1" ht="21.95" customHeight="1" x14ac:dyDescent="0.15"/>
    <row r="45920" s="76" customFormat="1" ht="21.95" customHeight="1" x14ac:dyDescent="0.15"/>
    <row r="45921" spans="3:3" customFormat="1" ht="21.95" customHeight="1" x14ac:dyDescent="0.15"/>
    <row r="45922" spans="3:3" customFormat="1" ht="21.95" customHeight="1" x14ac:dyDescent="0.15"/>
    <row r="45923" spans="3:3" customFormat="1" ht="21.95" customHeight="1" x14ac:dyDescent="0.15">
      <c r="C45923" s="94"/>
    </row>
    <row r="45924" spans="3:3" customFormat="1" ht="21.95" customHeight="1" x14ac:dyDescent="0.15">
      <c r="C45924" s="94"/>
    </row>
    <row r="45925" spans="3:3" customFormat="1" ht="21.95" customHeight="1" x14ac:dyDescent="0.15"/>
    <row r="45926" spans="3:3" customFormat="1" ht="21.95" customHeight="1" x14ac:dyDescent="0.15"/>
    <row r="45927" spans="3:3" customFormat="1" ht="21.95" customHeight="1" x14ac:dyDescent="0.15"/>
    <row r="45928" spans="3:3" customFormat="1" ht="21.95" customHeight="1" x14ac:dyDescent="0.15"/>
    <row r="45929" spans="3:3" customFormat="1" ht="21.95" customHeight="1" x14ac:dyDescent="0.15"/>
    <row r="45930" spans="3:3" customFormat="1" ht="21.95" customHeight="1" x14ac:dyDescent="0.15"/>
    <row r="45931" spans="3:3" customFormat="1" ht="21.95" customHeight="1" x14ac:dyDescent="0.15"/>
    <row r="45932" spans="3:3" s="76" customFormat="1" ht="21.95" customHeight="1" x14ac:dyDescent="0.15"/>
    <row r="45933" spans="3:3" s="76" customFormat="1" ht="21.95" customHeight="1" x14ac:dyDescent="0.15"/>
    <row r="45934" spans="3:3" s="76" customFormat="1" ht="21.95" customHeight="1" x14ac:dyDescent="0.15"/>
    <row r="45935" spans="3:3" s="76" customFormat="1" ht="21.95" customHeight="1" x14ac:dyDescent="0.15"/>
    <row r="45936" spans="3:3" customFormat="1" ht="21.95" customHeight="1" x14ac:dyDescent="0.15"/>
    <row r="45937" customFormat="1" ht="21.95" customHeight="1" x14ac:dyDescent="0.15"/>
    <row r="45938" customFormat="1" ht="21.95" customHeight="1" x14ac:dyDescent="0.15"/>
    <row r="45939" customFormat="1" ht="21.95" customHeight="1" x14ac:dyDescent="0.15"/>
    <row r="45940" customFormat="1" ht="21.95" customHeight="1" x14ac:dyDescent="0.15"/>
    <row r="45941" customFormat="1" ht="21.95" customHeight="1" x14ac:dyDescent="0.15"/>
    <row r="45942" customFormat="1" ht="21.95" customHeight="1" x14ac:dyDescent="0.15"/>
    <row r="45943" customFormat="1" ht="21.95" customHeight="1" x14ac:dyDescent="0.15"/>
    <row r="45944" customFormat="1" ht="21.95" customHeight="1" x14ac:dyDescent="0.15"/>
    <row r="45945" customFormat="1" ht="21.95" customHeight="1" x14ac:dyDescent="0.15"/>
    <row r="45946" customFormat="1" ht="21.95" customHeight="1" x14ac:dyDescent="0.15"/>
    <row r="45947" customFormat="1" ht="32.1" customHeight="1" x14ac:dyDescent="0.15"/>
    <row r="45948" customFormat="1" ht="32.1" customHeight="1" x14ac:dyDescent="0.15"/>
    <row r="45949" customFormat="1" ht="32.1" customHeight="1" x14ac:dyDescent="0.15"/>
    <row r="45950" customFormat="1" ht="32.1" customHeight="1" x14ac:dyDescent="0.15"/>
    <row r="45951" customFormat="1" ht="32.1" customHeight="1" x14ac:dyDescent="0.15"/>
    <row r="45952" customFormat="1" ht="32.1" customHeight="1" x14ac:dyDescent="0.15"/>
    <row r="45953" s="76" customFormat="1" ht="32.1" customHeight="1" x14ac:dyDescent="0.15"/>
    <row r="45954" s="76" customFormat="1" ht="32.1" customHeight="1" x14ac:dyDescent="0.15"/>
    <row r="45955" s="76" customFormat="1" ht="32.1" customHeight="1" x14ac:dyDescent="0.15"/>
    <row r="45956" s="76" customFormat="1" ht="32.1" customHeight="1" x14ac:dyDescent="0.15"/>
    <row r="45957" s="76" customFormat="1" ht="21.95" customHeight="1" x14ac:dyDescent="0.15"/>
    <row r="45958" s="76" customFormat="1" ht="54" customHeight="1" x14ac:dyDescent="0.15"/>
    <row r="45959" s="76" customFormat="1" ht="21.95" customHeight="1" x14ac:dyDescent="0.15"/>
    <row r="45960" s="76" customFormat="1" ht="21.95" customHeight="1" x14ac:dyDescent="0.15"/>
    <row r="45961" s="76" customFormat="1" ht="21.95" customHeight="1" x14ac:dyDescent="0.15"/>
    <row r="45962" s="76" customFormat="1" ht="21.95" customHeight="1" x14ac:dyDescent="0.15"/>
    <row r="45963" s="76" customFormat="1" ht="21.95" customHeight="1" x14ac:dyDescent="0.15"/>
    <row r="45964" s="76" customFormat="1" ht="21.95" customHeight="1" x14ac:dyDescent="0.15"/>
    <row r="45965" s="76" customFormat="1" ht="21.95" customHeight="1" x14ac:dyDescent="0.15"/>
    <row r="45966" s="76" customFormat="1" ht="21.95" customHeight="1" x14ac:dyDescent="0.15"/>
    <row r="45967" s="76" customFormat="1" ht="21.95" customHeight="1" x14ac:dyDescent="0.15"/>
    <row r="45968" s="76" customFormat="1" ht="21.95" customHeight="1" x14ac:dyDescent="0.15"/>
    <row r="45969" s="76" customFormat="1" ht="21.95" customHeight="1" x14ac:dyDescent="0.15"/>
    <row r="45970" s="76" customFormat="1" ht="21.95" customHeight="1" x14ac:dyDescent="0.15"/>
    <row r="45971" s="76" customFormat="1" ht="21.95" customHeight="1" x14ac:dyDescent="0.15"/>
    <row r="45972" s="76" customFormat="1" ht="21.95" customHeight="1" x14ac:dyDescent="0.15"/>
    <row r="45973" s="76" customFormat="1" ht="21.95" customHeight="1" x14ac:dyDescent="0.15"/>
    <row r="45974" s="76" customFormat="1" ht="21.95" customHeight="1" x14ac:dyDescent="0.15"/>
    <row r="45975" s="76" customFormat="1" ht="21.95" customHeight="1" x14ac:dyDescent="0.15"/>
    <row r="45976" s="76" customFormat="1" ht="21.95" customHeight="1" x14ac:dyDescent="0.15"/>
    <row r="45977" s="76" customFormat="1" ht="21.95" customHeight="1" x14ac:dyDescent="0.15"/>
    <row r="45978" s="76" customFormat="1" ht="21.95" customHeight="1" x14ac:dyDescent="0.15"/>
    <row r="45979" s="76" customFormat="1" ht="21.95" customHeight="1" x14ac:dyDescent="0.15"/>
    <row r="45980" s="76" customFormat="1" ht="21.95" customHeight="1" x14ac:dyDescent="0.15"/>
    <row r="45981" s="76" customFormat="1" ht="21.95" customHeight="1" x14ac:dyDescent="0.15"/>
    <row r="45982" s="76" customFormat="1" ht="21.95" customHeight="1" x14ac:dyDescent="0.15"/>
    <row r="45983" s="76" customFormat="1" ht="21.95" customHeight="1" x14ac:dyDescent="0.15"/>
    <row r="45984" s="76" customFormat="1" ht="21.95" customHeight="1" x14ac:dyDescent="0.15"/>
    <row r="45985" s="76" customFormat="1" ht="21.95" customHeight="1" x14ac:dyDescent="0.15"/>
    <row r="45986" s="76" customFormat="1" ht="21.95" customHeight="1" x14ac:dyDescent="0.15"/>
    <row r="45987" s="76" customFormat="1" ht="21.95" customHeight="1" x14ac:dyDescent="0.15"/>
    <row r="45988" s="76" customFormat="1" ht="21.95" customHeight="1" x14ac:dyDescent="0.15"/>
    <row r="45989" s="76" customFormat="1" ht="21.95" customHeight="1" x14ac:dyDescent="0.15"/>
    <row r="45990" s="76" customFormat="1" ht="21.95" customHeight="1" x14ac:dyDescent="0.15"/>
    <row r="45991" s="76" customFormat="1" ht="21.95" customHeight="1" x14ac:dyDescent="0.15"/>
    <row r="45992" s="76" customFormat="1" ht="21.95" customHeight="1" x14ac:dyDescent="0.15"/>
    <row r="45993" s="76" customFormat="1" ht="21.95" customHeight="1" x14ac:dyDescent="0.15"/>
    <row r="45994" s="76" customFormat="1" ht="21.95" customHeight="1" x14ac:dyDescent="0.15"/>
    <row r="45995" s="76" customFormat="1" ht="21.95" customHeight="1" x14ac:dyDescent="0.15"/>
    <row r="45996" s="76" customFormat="1" ht="21.95" customHeight="1" x14ac:dyDescent="0.15"/>
    <row r="45997" s="76" customFormat="1" ht="21.95" customHeight="1" x14ac:dyDescent="0.15"/>
    <row r="45998" s="76" customFormat="1" ht="21.95" customHeight="1" x14ac:dyDescent="0.15"/>
    <row r="45999" s="76" customFormat="1" ht="21.95" customHeight="1" x14ac:dyDescent="0.15"/>
    <row r="46000" s="76" customFormat="1" ht="21.95" customHeight="1" x14ac:dyDescent="0.15"/>
    <row r="46001" s="76" customFormat="1" ht="21.95" customHeight="1" x14ac:dyDescent="0.15"/>
    <row r="46002" s="76" customFormat="1" ht="21.95" customHeight="1" x14ac:dyDescent="0.15"/>
    <row r="46003" s="76" customFormat="1" ht="21.95" customHeight="1" x14ac:dyDescent="0.15"/>
    <row r="46004" s="76" customFormat="1" ht="21.95" customHeight="1" x14ac:dyDescent="0.15"/>
    <row r="46005" s="76" customFormat="1" ht="21.95" customHeight="1" x14ac:dyDescent="0.15"/>
    <row r="46006" s="76" customFormat="1" ht="21.95" customHeight="1" x14ac:dyDescent="0.15"/>
    <row r="46007" s="76" customFormat="1" ht="21.95" customHeight="1" x14ac:dyDescent="0.15"/>
    <row r="46008" s="76" customFormat="1" ht="21.95" customHeight="1" x14ac:dyDescent="0.15"/>
    <row r="46009" s="76" customFormat="1" ht="35.1" customHeight="1" x14ac:dyDescent="0.15"/>
    <row r="46010" s="76" customFormat="1" ht="21.95" customHeight="1" x14ac:dyDescent="0.15"/>
    <row r="46011" s="76" customFormat="1" ht="21.95" customHeight="1" x14ac:dyDescent="0.15"/>
    <row r="46012" s="76" customFormat="1" ht="21.95" customHeight="1" x14ac:dyDescent="0.15"/>
    <row r="46013" s="76" customFormat="1" ht="21.95" customHeight="1" x14ac:dyDescent="0.15"/>
    <row r="46014" s="76" customFormat="1" ht="21.95" customHeight="1" x14ac:dyDescent="0.15"/>
    <row r="46015" s="76" customFormat="1" ht="21.95" customHeight="1" x14ac:dyDescent="0.15"/>
    <row r="46016" s="76" customFormat="1" ht="21.95" customHeight="1" x14ac:dyDescent="0.15"/>
    <row r="46017" s="76" customFormat="1" ht="21.95" customHeight="1" x14ac:dyDescent="0.15"/>
    <row r="46018" s="76" customFormat="1" ht="21.95" customHeight="1" x14ac:dyDescent="0.15"/>
    <row r="46019" s="76" customFormat="1" ht="21.95" customHeight="1" x14ac:dyDescent="0.15"/>
    <row r="46020" s="76" customFormat="1" ht="21.95" customHeight="1" x14ac:dyDescent="0.15"/>
    <row r="46021" s="76" customFormat="1" ht="21.95" customHeight="1" x14ac:dyDescent="0.15"/>
    <row r="46022" s="76" customFormat="1" ht="21.95" customHeight="1" x14ac:dyDescent="0.15"/>
    <row r="46023" s="76" customFormat="1" ht="21.95" customHeight="1" x14ac:dyDescent="0.15"/>
    <row r="46024" s="76" customFormat="1" ht="21.95" customHeight="1" x14ac:dyDescent="0.15"/>
    <row r="46025" s="76" customFormat="1" ht="21.95" customHeight="1" x14ac:dyDescent="0.15"/>
    <row r="46026" s="76" customFormat="1" ht="21.95" customHeight="1" x14ac:dyDescent="0.15"/>
    <row r="46027" s="76" customFormat="1" ht="21.95" customHeight="1" x14ac:dyDescent="0.15"/>
    <row r="46028" s="76" customFormat="1" ht="21.95" customHeight="1" x14ac:dyDescent="0.15"/>
    <row r="46029" s="76" customFormat="1" ht="21.95" customHeight="1" x14ac:dyDescent="0.15"/>
    <row r="46030" s="76" customFormat="1" ht="21.95" customHeight="1" x14ac:dyDescent="0.15"/>
    <row r="46031" s="76" customFormat="1" ht="21.95" customHeight="1" x14ac:dyDescent="0.15"/>
    <row r="46032" s="76" customFormat="1" ht="21.95" customHeight="1" x14ac:dyDescent="0.15"/>
    <row r="46033" spans="3:3" customFormat="1" ht="21.95" customHeight="1" x14ac:dyDescent="0.15"/>
    <row r="46034" spans="3:3" customFormat="1" ht="21.95" customHeight="1" x14ac:dyDescent="0.15"/>
    <row r="46035" spans="3:3" customFormat="1" ht="21.95" customHeight="1" x14ac:dyDescent="0.15">
      <c r="C46035" s="94"/>
    </row>
    <row r="46036" spans="3:3" customFormat="1" ht="21.95" customHeight="1" x14ac:dyDescent="0.15">
      <c r="C46036" s="94"/>
    </row>
    <row r="46037" spans="3:3" customFormat="1" ht="21.95" customHeight="1" x14ac:dyDescent="0.15"/>
    <row r="46038" spans="3:3" customFormat="1" ht="21.95" customHeight="1" x14ac:dyDescent="0.15"/>
    <row r="46039" spans="3:3" customFormat="1" ht="21.95" customHeight="1" x14ac:dyDescent="0.15"/>
    <row r="46040" spans="3:3" customFormat="1" ht="21.95" customHeight="1" x14ac:dyDescent="0.15"/>
    <row r="46041" spans="3:3" customFormat="1" ht="21.95" customHeight="1" x14ac:dyDescent="0.15"/>
    <row r="46042" spans="3:3" customFormat="1" ht="21.95" customHeight="1" x14ac:dyDescent="0.15"/>
    <row r="46043" spans="3:3" customFormat="1" ht="21.95" customHeight="1" x14ac:dyDescent="0.15"/>
    <row r="46044" spans="3:3" s="76" customFormat="1" ht="21.95" customHeight="1" x14ac:dyDescent="0.15"/>
    <row r="46045" spans="3:3" s="76" customFormat="1" ht="21.95" customHeight="1" x14ac:dyDescent="0.15"/>
    <row r="46046" spans="3:3" s="76" customFormat="1" ht="21.95" customHeight="1" x14ac:dyDescent="0.15"/>
    <row r="46047" spans="3:3" s="76" customFormat="1" ht="21.95" customHeight="1" x14ac:dyDescent="0.15"/>
    <row r="46048" spans="3:3" customFormat="1" ht="21.95" customHeight="1" x14ac:dyDescent="0.15"/>
    <row r="46049" customFormat="1" ht="21.95" customHeight="1" x14ac:dyDescent="0.15"/>
    <row r="46050" customFormat="1" ht="21.95" customHeight="1" x14ac:dyDescent="0.15"/>
    <row r="46051" customFormat="1" ht="21.95" customHeight="1" x14ac:dyDescent="0.15"/>
    <row r="46052" customFormat="1" ht="21.95" customHeight="1" x14ac:dyDescent="0.15"/>
    <row r="46053" customFormat="1" ht="21.95" customHeight="1" x14ac:dyDescent="0.15"/>
    <row r="46054" customFormat="1" ht="21.95" customHeight="1" x14ac:dyDescent="0.15"/>
    <row r="46055" customFormat="1" ht="21.95" customHeight="1" x14ac:dyDescent="0.15"/>
    <row r="46056" customFormat="1" ht="21.95" customHeight="1" x14ac:dyDescent="0.15"/>
    <row r="46057" customFormat="1" ht="21.95" customHeight="1" x14ac:dyDescent="0.15"/>
    <row r="46058" customFormat="1" ht="21.95" customHeight="1" x14ac:dyDescent="0.15"/>
    <row r="46059" customFormat="1" ht="32.1" customHeight="1" x14ac:dyDescent="0.15"/>
    <row r="46060" customFormat="1" ht="32.1" customHeight="1" x14ac:dyDescent="0.15"/>
    <row r="46061" customFormat="1" ht="32.1" customHeight="1" x14ac:dyDescent="0.15"/>
    <row r="46062" customFormat="1" ht="32.1" customHeight="1" x14ac:dyDescent="0.15"/>
    <row r="46063" customFormat="1" ht="32.1" customHeight="1" x14ac:dyDescent="0.15"/>
    <row r="46064" customFormat="1" ht="32.1" customHeight="1" x14ac:dyDescent="0.15"/>
    <row r="46065" s="76" customFormat="1" ht="32.1" customHeight="1" x14ac:dyDescent="0.15"/>
    <row r="46066" s="76" customFormat="1" ht="32.1" customHeight="1" x14ac:dyDescent="0.15"/>
    <row r="46067" s="76" customFormat="1" ht="32.1" customHeight="1" x14ac:dyDescent="0.15"/>
    <row r="46068" s="76" customFormat="1" ht="32.1" customHeight="1" x14ac:dyDescent="0.15"/>
    <row r="46069" s="76" customFormat="1" ht="21.95" customHeight="1" x14ac:dyDescent="0.15"/>
    <row r="46070" s="76" customFormat="1" ht="54" customHeight="1" x14ac:dyDescent="0.15"/>
    <row r="46071" s="76" customFormat="1" ht="21.95" customHeight="1" x14ac:dyDescent="0.15"/>
    <row r="46072" s="76" customFormat="1" ht="21.95" customHeight="1" x14ac:dyDescent="0.15"/>
    <row r="46073" s="76" customFormat="1" ht="21.95" customHeight="1" x14ac:dyDescent="0.15"/>
    <row r="46074" s="76" customFormat="1" ht="21.95" customHeight="1" x14ac:dyDescent="0.15"/>
    <row r="46075" s="76" customFormat="1" ht="21.95" customHeight="1" x14ac:dyDescent="0.15"/>
    <row r="46076" s="76" customFormat="1" ht="21.95" customHeight="1" x14ac:dyDescent="0.15"/>
    <row r="46077" s="76" customFormat="1" ht="21.95" customHeight="1" x14ac:dyDescent="0.15"/>
    <row r="46078" s="76" customFormat="1" ht="21.95" customHeight="1" x14ac:dyDescent="0.15"/>
    <row r="46079" s="76" customFormat="1" ht="21.95" customHeight="1" x14ac:dyDescent="0.15"/>
    <row r="46080" s="76" customFormat="1" ht="21.95" customHeight="1" x14ac:dyDescent="0.15"/>
    <row r="46081" s="76" customFormat="1" ht="21.95" customHeight="1" x14ac:dyDescent="0.15"/>
    <row r="46082" s="76" customFormat="1" ht="21.95" customHeight="1" x14ac:dyDescent="0.15"/>
    <row r="46083" s="76" customFormat="1" ht="21.95" customHeight="1" x14ac:dyDescent="0.15"/>
    <row r="46084" s="76" customFormat="1" ht="21.95" customHeight="1" x14ac:dyDescent="0.15"/>
    <row r="46085" s="76" customFormat="1" ht="21.95" customHeight="1" x14ac:dyDescent="0.15"/>
    <row r="46086" s="76" customFormat="1" ht="21.95" customHeight="1" x14ac:dyDescent="0.15"/>
    <row r="46087" s="76" customFormat="1" ht="21.95" customHeight="1" x14ac:dyDescent="0.15"/>
    <row r="46088" s="76" customFormat="1" ht="21.95" customHeight="1" x14ac:dyDescent="0.15"/>
    <row r="46089" s="76" customFormat="1" ht="21.95" customHeight="1" x14ac:dyDescent="0.15"/>
    <row r="46090" s="76" customFormat="1" ht="21.95" customHeight="1" x14ac:dyDescent="0.15"/>
    <row r="46091" s="76" customFormat="1" ht="21.95" customHeight="1" x14ac:dyDescent="0.15"/>
    <row r="46092" s="76" customFormat="1" ht="21.95" customHeight="1" x14ac:dyDescent="0.15"/>
    <row r="46093" s="76" customFormat="1" ht="21.95" customHeight="1" x14ac:dyDescent="0.15"/>
    <row r="46094" s="76" customFormat="1" ht="21.95" customHeight="1" x14ac:dyDescent="0.15"/>
    <row r="46095" s="76" customFormat="1" ht="21.95" customHeight="1" x14ac:dyDescent="0.15"/>
    <row r="46096" s="76" customFormat="1" ht="21.95" customHeight="1" x14ac:dyDescent="0.15"/>
    <row r="46097" s="76" customFormat="1" ht="21.95" customHeight="1" x14ac:dyDescent="0.15"/>
    <row r="46098" s="76" customFormat="1" ht="21.95" customHeight="1" x14ac:dyDescent="0.15"/>
    <row r="46099" s="76" customFormat="1" ht="21.95" customHeight="1" x14ac:dyDescent="0.15"/>
    <row r="46100" s="76" customFormat="1" ht="21.95" customHeight="1" x14ac:dyDescent="0.15"/>
    <row r="46101" s="76" customFormat="1" ht="21.95" customHeight="1" x14ac:dyDescent="0.15"/>
    <row r="46102" s="76" customFormat="1" ht="21.95" customHeight="1" x14ac:dyDescent="0.15"/>
    <row r="46103" s="76" customFormat="1" ht="21.95" customHeight="1" x14ac:dyDescent="0.15"/>
    <row r="46104" s="76" customFormat="1" ht="21.95" customHeight="1" x14ac:dyDescent="0.15"/>
    <row r="46105" s="76" customFormat="1" ht="21.95" customHeight="1" x14ac:dyDescent="0.15"/>
    <row r="46106" s="76" customFormat="1" ht="21.95" customHeight="1" x14ac:dyDescent="0.15"/>
    <row r="46107" s="76" customFormat="1" ht="21.95" customHeight="1" x14ac:dyDescent="0.15"/>
    <row r="46108" s="76" customFormat="1" ht="21.95" customHeight="1" x14ac:dyDescent="0.15"/>
    <row r="46109" s="76" customFormat="1" ht="21.95" customHeight="1" x14ac:dyDescent="0.15"/>
    <row r="46110" s="76" customFormat="1" ht="21.95" customHeight="1" x14ac:dyDescent="0.15"/>
    <row r="46111" s="76" customFormat="1" ht="21.95" customHeight="1" x14ac:dyDescent="0.15"/>
    <row r="46112" s="76" customFormat="1" ht="21.95" customHeight="1" x14ac:dyDescent="0.15"/>
    <row r="46113" s="76" customFormat="1" ht="21.95" customHeight="1" x14ac:dyDescent="0.15"/>
    <row r="46114" s="76" customFormat="1" ht="21.95" customHeight="1" x14ac:dyDescent="0.15"/>
    <row r="46115" s="76" customFormat="1" ht="21.95" customHeight="1" x14ac:dyDescent="0.15"/>
    <row r="46116" s="76" customFormat="1" ht="21.95" customHeight="1" x14ac:dyDescent="0.15"/>
    <row r="46117" s="76" customFormat="1" ht="21.95" customHeight="1" x14ac:dyDescent="0.15"/>
    <row r="46118" s="76" customFormat="1" ht="21.95" customHeight="1" x14ac:dyDescent="0.15"/>
    <row r="46119" s="76" customFormat="1" ht="21.95" customHeight="1" x14ac:dyDescent="0.15"/>
    <row r="46120" s="76" customFormat="1" ht="21.95" customHeight="1" x14ac:dyDescent="0.15"/>
    <row r="46121" s="76" customFormat="1" ht="35.1" customHeight="1" x14ac:dyDescent="0.15"/>
    <row r="46122" s="76" customFormat="1" ht="21.95" customHeight="1" x14ac:dyDescent="0.15"/>
    <row r="46123" s="76" customFormat="1" ht="21.95" customHeight="1" x14ac:dyDescent="0.15"/>
    <row r="46124" s="76" customFormat="1" ht="21.95" customHeight="1" x14ac:dyDescent="0.15"/>
    <row r="46125" s="76" customFormat="1" ht="21.95" customHeight="1" x14ac:dyDescent="0.15"/>
    <row r="46126" s="76" customFormat="1" ht="21.95" customHeight="1" x14ac:dyDescent="0.15"/>
    <row r="46127" s="76" customFormat="1" ht="21.95" customHeight="1" x14ac:dyDescent="0.15"/>
    <row r="46128" s="76" customFormat="1" ht="21.95" customHeight="1" x14ac:dyDescent="0.15"/>
    <row r="46129" s="76" customFormat="1" ht="21.95" customHeight="1" x14ac:dyDescent="0.15"/>
    <row r="46130" s="76" customFormat="1" ht="21.95" customHeight="1" x14ac:dyDescent="0.15"/>
    <row r="46131" s="76" customFormat="1" ht="21.95" customHeight="1" x14ac:dyDescent="0.15"/>
    <row r="46132" s="76" customFormat="1" ht="21.95" customHeight="1" x14ac:dyDescent="0.15"/>
    <row r="46133" s="76" customFormat="1" ht="21.95" customHeight="1" x14ac:dyDescent="0.15"/>
    <row r="46134" s="76" customFormat="1" ht="21.95" customHeight="1" x14ac:dyDescent="0.15"/>
    <row r="46135" s="76" customFormat="1" ht="21.95" customHeight="1" x14ac:dyDescent="0.15"/>
    <row r="46136" s="76" customFormat="1" ht="21.95" customHeight="1" x14ac:dyDescent="0.15"/>
    <row r="46137" s="76" customFormat="1" ht="21.95" customHeight="1" x14ac:dyDescent="0.15"/>
    <row r="46138" s="76" customFormat="1" ht="21.95" customHeight="1" x14ac:dyDescent="0.15"/>
    <row r="46139" s="76" customFormat="1" ht="21.95" customHeight="1" x14ac:dyDescent="0.15"/>
    <row r="46140" s="76" customFormat="1" ht="21.95" customHeight="1" x14ac:dyDescent="0.15"/>
    <row r="46141" s="76" customFormat="1" ht="21.95" customHeight="1" x14ac:dyDescent="0.15"/>
    <row r="46142" s="76" customFormat="1" ht="21.95" customHeight="1" x14ac:dyDescent="0.15"/>
    <row r="46143" s="76" customFormat="1" ht="21.95" customHeight="1" x14ac:dyDescent="0.15"/>
    <row r="46144" s="76" customFormat="1" ht="21.95" customHeight="1" x14ac:dyDescent="0.15"/>
    <row r="46145" spans="3:3" customFormat="1" ht="21.95" customHeight="1" x14ac:dyDescent="0.15"/>
    <row r="46146" spans="3:3" customFormat="1" ht="21.95" customHeight="1" x14ac:dyDescent="0.15"/>
    <row r="46147" spans="3:3" customFormat="1" ht="21.95" customHeight="1" x14ac:dyDescent="0.15">
      <c r="C46147" s="94"/>
    </row>
    <row r="46148" spans="3:3" customFormat="1" ht="21.95" customHeight="1" x14ac:dyDescent="0.15">
      <c r="C46148" s="94"/>
    </row>
    <row r="46149" spans="3:3" customFormat="1" ht="21.95" customHeight="1" x14ac:dyDescent="0.15"/>
    <row r="46150" spans="3:3" customFormat="1" ht="21.95" customHeight="1" x14ac:dyDescent="0.15"/>
    <row r="46151" spans="3:3" customFormat="1" ht="21.95" customHeight="1" x14ac:dyDescent="0.15"/>
    <row r="46152" spans="3:3" customFormat="1" ht="21.95" customHeight="1" x14ac:dyDescent="0.15"/>
    <row r="46153" spans="3:3" customFormat="1" ht="21.95" customHeight="1" x14ac:dyDescent="0.15"/>
    <row r="46154" spans="3:3" customFormat="1" ht="21.95" customHeight="1" x14ac:dyDescent="0.15"/>
    <row r="46155" spans="3:3" customFormat="1" ht="21.95" customHeight="1" x14ac:dyDescent="0.15"/>
    <row r="46156" spans="3:3" s="76" customFormat="1" ht="21.95" customHeight="1" x14ac:dyDescent="0.15"/>
    <row r="46157" spans="3:3" s="76" customFormat="1" ht="21.95" customHeight="1" x14ac:dyDescent="0.15"/>
    <row r="46158" spans="3:3" s="76" customFormat="1" ht="21.95" customHeight="1" x14ac:dyDescent="0.15"/>
    <row r="46159" spans="3:3" s="76" customFormat="1" ht="21.95" customHeight="1" x14ac:dyDescent="0.15"/>
    <row r="46160" spans="3:3" customFormat="1" ht="21.95" customHeight="1" x14ac:dyDescent="0.15"/>
    <row r="46161" customFormat="1" ht="21.95" customHeight="1" x14ac:dyDescent="0.15"/>
    <row r="46162" customFormat="1" ht="21.95" customHeight="1" x14ac:dyDescent="0.15"/>
    <row r="46163" customFormat="1" ht="21.95" customHeight="1" x14ac:dyDescent="0.15"/>
    <row r="46164" customFormat="1" ht="21.95" customHeight="1" x14ac:dyDescent="0.15"/>
    <row r="46165" customFormat="1" ht="21.95" customHeight="1" x14ac:dyDescent="0.15"/>
    <row r="46166" customFormat="1" ht="21.95" customHeight="1" x14ac:dyDescent="0.15"/>
    <row r="46167" customFormat="1" ht="21.95" customHeight="1" x14ac:dyDescent="0.15"/>
    <row r="46168" customFormat="1" ht="21.95" customHeight="1" x14ac:dyDescent="0.15"/>
    <row r="46169" customFormat="1" ht="21.95" customHeight="1" x14ac:dyDescent="0.15"/>
    <row r="46170" customFormat="1" ht="21.95" customHeight="1" x14ac:dyDescent="0.15"/>
    <row r="46171" customFormat="1" ht="32.1" customHeight="1" x14ac:dyDescent="0.15"/>
    <row r="46172" customFormat="1" ht="32.1" customHeight="1" x14ac:dyDescent="0.15"/>
    <row r="46173" customFormat="1" ht="32.1" customHeight="1" x14ac:dyDescent="0.15"/>
    <row r="46174" customFormat="1" ht="32.1" customHeight="1" x14ac:dyDescent="0.15"/>
    <row r="46175" customFormat="1" ht="32.1" customHeight="1" x14ac:dyDescent="0.15"/>
    <row r="46176" customFormat="1" ht="32.1" customHeight="1" x14ac:dyDescent="0.15"/>
    <row r="46177" s="76" customFormat="1" ht="32.1" customHeight="1" x14ac:dyDescent="0.15"/>
    <row r="46178" s="76" customFormat="1" ht="32.1" customHeight="1" x14ac:dyDescent="0.15"/>
    <row r="46179" s="76" customFormat="1" ht="32.1" customHeight="1" x14ac:dyDescent="0.15"/>
    <row r="46180" s="76" customFormat="1" ht="32.1" customHeight="1" x14ac:dyDescent="0.15"/>
    <row r="46181" s="76" customFormat="1" ht="21.95" customHeight="1" x14ac:dyDescent="0.15"/>
    <row r="46182" s="76" customFormat="1" ht="54" customHeight="1" x14ac:dyDescent="0.15"/>
    <row r="46183" s="76" customFormat="1" ht="21.95" customHeight="1" x14ac:dyDescent="0.15"/>
    <row r="46184" s="76" customFormat="1" ht="21.95" customHeight="1" x14ac:dyDescent="0.15"/>
    <row r="46185" s="76" customFormat="1" ht="21.95" customHeight="1" x14ac:dyDescent="0.15"/>
    <row r="46186" s="76" customFormat="1" ht="21.95" customHeight="1" x14ac:dyDescent="0.15"/>
    <row r="46187" s="76" customFormat="1" ht="21.95" customHeight="1" x14ac:dyDescent="0.15"/>
    <row r="46188" s="76" customFormat="1" ht="21.95" customHeight="1" x14ac:dyDescent="0.15"/>
    <row r="46189" s="76" customFormat="1" ht="21.95" customHeight="1" x14ac:dyDescent="0.15"/>
    <row r="46190" s="76" customFormat="1" ht="21.95" customHeight="1" x14ac:dyDescent="0.15"/>
    <row r="46191" s="76" customFormat="1" ht="21.95" customHeight="1" x14ac:dyDescent="0.15"/>
    <row r="46192" s="76" customFormat="1" ht="21.95" customHeight="1" x14ac:dyDescent="0.15"/>
    <row r="46193" s="76" customFormat="1" ht="21.95" customHeight="1" x14ac:dyDescent="0.15"/>
    <row r="46194" s="76" customFormat="1" ht="21.95" customHeight="1" x14ac:dyDescent="0.15"/>
    <row r="46195" s="76" customFormat="1" ht="21.95" customHeight="1" x14ac:dyDescent="0.15"/>
    <row r="46196" s="76" customFormat="1" ht="21.95" customHeight="1" x14ac:dyDescent="0.15"/>
    <row r="46197" s="76" customFormat="1" ht="21.95" customHeight="1" x14ac:dyDescent="0.15"/>
    <row r="46198" s="76" customFormat="1" ht="21.95" customHeight="1" x14ac:dyDescent="0.15"/>
    <row r="46199" s="76" customFormat="1" ht="21.95" customHeight="1" x14ac:dyDescent="0.15"/>
    <row r="46200" s="76" customFormat="1" ht="21.95" customHeight="1" x14ac:dyDescent="0.15"/>
    <row r="46201" s="76" customFormat="1" ht="21.95" customHeight="1" x14ac:dyDescent="0.15"/>
    <row r="46202" s="76" customFormat="1" ht="21.95" customHeight="1" x14ac:dyDescent="0.15"/>
    <row r="46203" s="76" customFormat="1" ht="21.95" customHeight="1" x14ac:dyDescent="0.15"/>
    <row r="46204" s="76" customFormat="1" ht="21.95" customHeight="1" x14ac:dyDescent="0.15"/>
    <row r="46205" s="76" customFormat="1" ht="21.95" customHeight="1" x14ac:dyDescent="0.15"/>
    <row r="46206" s="76" customFormat="1" ht="21.95" customHeight="1" x14ac:dyDescent="0.15"/>
    <row r="46207" s="76" customFormat="1" ht="21.95" customHeight="1" x14ac:dyDescent="0.15"/>
    <row r="46208" s="76" customFormat="1" ht="21.95" customHeight="1" x14ac:dyDescent="0.15"/>
    <row r="46209" s="76" customFormat="1" ht="21.95" customHeight="1" x14ac:dyDescent="0.15"/>
    <row r="46210" s="76" customFormat="1" ht="21.95" customHeight="1" x14ac:dyDescent="0.15"/>
    <row r="46211" s="76" customFormat="1" ht="21.95" customHeight="1" x14ac:dyDescent="0.15"/>
    <row r="46212" s="76" customFormat="1" ht="21.95" customHeight="1" x14ac:dyDescent="0.15"/>
    <row r="46213" s="76" customFormat="1" ht="21.95" customHeight="1" x14ac:dyDescent="0.15"/>
    <row r="46214" s="76" customFormat="1" ht="21.95" customHeight="1" x14ac:dyDescent="0.15"/>
    <row r="46215" s="76" customFormat="1" ht="21.95" customHeight="1" x14ac:dyDescent="0.15"/>
    <row r="46216" s="76" customFormat="1" ht="21.95" customHeight="1" x14ac:dyDescent="0.15"/>
    <row r="46217" s="76" customFormat="1" ht="21.95" customHeight="1" x14ac:dyDescent="0.15"/>
    <row r="46218" s="76" customFormat="1" ht="21.95" customHeight="1" x14ac:dyDescent="0.15"/>
    <row r="46219" s="76" customFormat="1" ht="21.95" customHeight="1" x14ac:dyDescent="0.15"/>
    <row r="46220" s="76" customFormat="1" ht="21.95" customHeight="1" x14ac:dyDescent="0.15"/>
    <row r="46221" s="76" customFormat="1" ht="21.95" customHeight="1" x14ac:dyDescent="0.15"/>
    <row r="46222" s="76" customFormat="1" ht="21.95" customHeight="1" x14ac:dyDescent="0.15"/>
    <row r="46223" s="76" customFormat="1" ht="21.95" customHeight="1" x14ac:dyDescent="0.15"/>
    <row r="46224" s="76" customFormat="1" ht="21.95" customHeight="1" x14ac:dyDescent="0.15"/>
    <row r="46225" s="76" customFormat="1" ht="21.95" customHeight="1" x14ac:dyDescent="0.15"/>
    <row r="46226" s="76" customFormat="1" ht="21.95" customHeight="1" x14ac:dyDescent="0.15"/>
    <row r="46227" s="76" customFormat="1" ht="21.95" customHeight="1" x14ac:dyDescent="0.15"/>
    <row r="46228" s="76" customFormat="1" ht="21.95" customHeight="1" x14ac:dyDescent="0.15"/>
    <row r="46229" s="76" customFormat="1" ht="21.95" customHeight="1" x14ac:dyDescent="0.15"/>
    <row r="46230" s="76" customFormat="1" ht="21.95" customHeight="1" x14ac:dyDescent="0.15"/>
    <row r="46231" s="76" customFormat="1" ht="21.95" customHeight="1" x14ac:dyDescent="0.15"/>
    <row r="46232" s="76" customFormat="1" ht="21.95" customHeight="1" x14ac:dyDescent="0.15"/>
    <row r="46233" s="76" customFormat="1" ht="35.1" customHeight="1" x14ac:dyDescent="0.15"/>
    <row r="46234" s="76" customFormat="1" ht="21.95" customHeight="1" x14ac:dyDescent="0.15"/>
    <row r="46235" s="76" customFormat="1" ht="21.95" customHeight="1" x14ac:dyDescent="0.15"/>
    <row r="46236" s="76" customFormat="1" ht="21.95" customHeight="1" x14ac:dyDescent="0.15"/>
    <row r="46237" s="76" customFormat="1" ht="21.95" customHeight="1" x14ac:dyDescent="0.15"/>
    <row r="46238" s="76" customFormat="1" ht="21.95" customHeight="1" x14ac:dyDescent="0.15"/>
    <row r="46239" s="76" customFormat="1" ht="21.95" customHeight="1" x14ac:dyDescent="0.15"/>
    <row r="46240" s="76" customFormat="1" ht="21.95" customHeight="1" x14ac:dyDescent="0.15"/>
    <row r="46241" s="76" customFormat="1" ht="21.95" customHeight="1" x14ac:dyDescent="0.15"/>
    <row r="46242" s="76" customFormat="1" ht="21.95" customHeight="1" x14ac:dyDescent="0.15"/>
    <row r="46243" s="76" customFormat="1" ht="21.95" customHeight="1" x14ac:dyDescent="0.15"/>
    <row r="46244" s="76" customFormat="1" ht="21.95" customHeight="1" x14ac:dyDescent="0.15"/>
    <row r="46245" s="76" customFormat="1" ht="21.95" customHeight="1" x14ac:dyDescent="0.15"/>
    <row r="46246" s="76" customFormat="1" ht="21.95" customHeight="1" x14ac:dyDescent="0.15"/>
    <row r="46247" s="76" customFormat="1" ht="21.95" customHeight="1" x14ac:dyDescent="0.15"/>
    <row r="46248" s="76" customFormat="1" ht="21.95" customHeight="1" x14ac:dyDescent="0.15"/>
    <row r="46249" s="76" customFormat="1" ht="21.95" customHeight="1" x14ac:dyDescent="0.15"/>
    <row r="46250" s="76" customFormat="1" ht="21.95" customHeight="1" x14ac:dyDescent="0.15"/>
    <row r="46251" s="76" customFormat="1" ht="21.95" customHeight="1" x14ac:dyDescent="0.15"/>
    <row r="46252" s="76" customFormat="1" ht="21.95" customHeight="1" x14ac:dyDescent="0.15"/>
    <row r="46253" s="76" customFormat="1" ht="21.95" customHeight="1" x14ac:dyDescent="0.15"/>
    <row r="46254" s="76" customFormat="1" ht="21.95" customHeight="1" x14ac:dyDescent="0.15"/>
    <row r="46255" s="76" customFormat="1" ht="21.95" customHeight="1" x14ac:dyDescent="0.15"/>
    <row r="46256" s="76" customFormat="1" ht="21.95" customHeight="1" x14ac:dyDescent="0.15"/>
    <row r="46257" spans="3:3" customFormat="1" ht="21.95" customHeight="1" x14ac:dyDescent="0.15"/>
    <row r="46258" spans="3:3" customFormat="1" ht="21.95" customHeight="1" x14ac:dyDescent="0.15"/>
    <row r="46259" spans="3:3" customFormat="1" ht="21.95" customHeight="1" x14ac:dyDescent="0.15">
      <c r="C46259" s="94"/>
    </row>
    <row r="46260" spans="3:3" customFormat="1" ht="21.95" customHeight="1" x14ac:dyDescent="0.15">
      <c r="C46260" s="94"/>
    </row>
    <row r="46261" spans="3:3" customFormat="1" ht="21.95" customHeight="1" x14ac:dyDescent="0.15"/>
    <row r="46262" spans="3:3" customFormat="1" ht="21.95" customHeight="1" x14ac:dyDescent="0.15"/>
    <row r="46263" spans="3:3" customFormat="1" ht="21.95" customHeight="1" x14ac:dyDescent="0.15"/>
    <row r="46264" spans="3:3" customFormat="1" ht="21.95" customHeight="1" x14ac:dyDescent="0.15"/>
    <row r="46265" spans="3:3" customFormat="1" ht="21.95" customHeight="1" x14ac:dyDescent="0.15"/>
    <row r="46266" spans="3:3" customFormat="1" ht="21.95" customHeight="1" x14ac:dyDescent="0.15"/>
    <row r="46267" spans="3:3" customFormat="1" ht="21.95" customHeight="1" x14ac:dyDescent="0.15"/>
    <row r="46268" spans="3:3" s="76" customFormat="1" ht="21.95" customHeight="1" x14ac:dyDescent="0.15"/>
    <row r="46269" spans="3:3" s="76" customFormat="1" ht="21.95" customHeight="1" x14ac:dyDescent="0.15"/>
    <row r="46270" spans="3:3" s="76" customFormat="1" ht="21.95" customHeight="1" x14ac:dyDescent="0.15"/>
    <row r="46271" spans="3:3" s="76" customFormat="1" ht="21.95" customHeight="1" x14ac:dyDescent="0.15"/>
    <row r="46272" spans="3:3" customFormat="1" ht="21.95" customHeight="1" x14ac:dyDescent="0.15"/>
    <row r="46273" customFormat="1" ht="21.95" customHeight="1" x14ac:dyDescent="0.15"/>
    <row r="46274" customFormat="1" ht="21.95" customHeight="1" x14ac:dyDescent="0.15"/>
    <row r="46275" customFormat="1" ht="21.95" customHeight="1" x14ac:dyDescent="0.15"/>
    <row r="46276" customFormat="1" ht="21.95" customHeight="1" x14ac:dyDescent="0.15"/>
    <row r="46277" customFormat="1" ht="21.95" customHeight="1" x14ac:dyDescent="0.15"/>
    <row r="46278" customFormat="1" ht="21.95" customHeight="1" x14ac:dyDescent="0.15"/>
    <row r="46279" customFormat="1" ht="21.95" customHeight="1" x14ac:dyDescent="0.15"/>
    <row r="46280" customFormat="1" ht="21.95" customHeight="1" x14ac:dyDescent="0.15"/>
    <row r="46281" customFormat="1" ht="21.95" customHeight="1" x14ac:dyDescent="0.15"/>
    <row r="46282" customFormat="1" ht="21.95" customHeight="1" x14ac:dyDescent="0.15"/>
    <row r="46283" customFormat="1" ht="32.1" customHeight="1" x14ac:dyDescent="0.15"/>
    <row r="46284" customFormat="1" ht="32.1" customHeight="1" x14ac:dyDescent="0.15"/>
    <row r="46285" customFormat="1" ht="32.1" customHeight="1" x14ac:dyDescent="0.15"/>
    <row r="46286" customFormat="1" ht="32.1" customHeight="1" x14ac:dyDescent="0.15"/>
    <row r="46287" customFormat="1" ht="32.1" customHeight="1" x14ac:dyDescent="0.15"/>
    <row r="46288" customFormat="1" ht="32.1" customHeight="1" x14ac:dyDescent="0.15"/>
    <row r="46289" s="76" customFormat="1" ht="32.1" customHeight="1" x14ac:dyDescent="0.15"/>
    <row r="46290" s="76" customFormat="1" ht="32.1" customHeight="1" x14ac:dyDescent="0.15"/>
    <row r="46291" s="76" customFormat="1" ht="32.1" customHeight="1" x14ac:dyDescent="0.15"/>
    <row r="46292" s="76" customFormat="1" ht="32.1" customHeight="1" x14ac:dyDescent="0.15"/>
    <row r="46293" s="76" customFormat="1" ht="21.95" customHeight="1" x14ac:dyDescent="0.15"/>
    <row r="46294" s="76" customFormat="1" ht="54" customHeight="1" x14ac:dyDescent="0.15"/>
    <row r="46295" s="76" customFormat="1" ht="21.95" customHeight="1" x14ac:dyDescent="0.15"/>
    <row r="46296" s="76" customFormat="1" ht="21.95" customHeight="1" x14ac:dyDescent="0.15"/>
    <row r="46297" s="76" customFormat="1" ht="21.95" customHeight="1" x14ac:dyDescent="0.15"/>
    <row r="46298" s="76" customFormat="1" ht="21.95" customHeight="1" x14ac:dyDescent="0.15"/>
    <row r="46299" s="76" customFormat="1" ht="21.95" customHeight="1" x14ac:dyDescent="0.15"/>
    <row r="46300" s="76" customFormat="1" ht="21.95" customHeight="1" x14ac:dyDescent="0.15"/>
    <row r="46301" s="76" customFormat="1" ht="21.95" customHeight="1" x14ac:dyDescent="0.15"/>
    <row r="46302" s="76" customFormat="1" ht="21.95" customHeight="1" x14ac:dyDescent="0.15"/>
    <row r="46303" s="76" customFormat="1" ht="21.95" customHeight="1" x14ac:dyDescent="0.15"/>
    <row r="46304" s="76" customFormat="1" ht="21.95" customHeight="1" x14ac:dyDescent="0.15"/>
    <row r="46305" s="76" customFormat="1" ht="21.95" customHeight="1" x14ac:dyDescent="0.15"/>
    <row r="46306" s="76" customFormat="1" ht="21.95" customHeight="1" x14ac:dyDescent="0.15"/>
    <row r="46307" s="76" customFormat="1" ht="21.95" customHeight="1" x14ac:dyDescent="0.15"/>
    <row r="46308" s="76" customFormat="1" ht="21.95" customHeight="1" x14ac:dyDescent="0.15"/>
    <row r="46309" s="76" customFormat="1" ht="21.95" customHeight="1" x14ac:dyDescent="0.15"/>
    <row r="46310" s="76" customFormat="1" ht="21.95" customHeight="1" x14ac:dyDescent="0.15"/>
    <row r="46311" s="76" customFormat="1" ht="21.95" customHeight="1" x14ac:dyDescent="0.15"/>
    <row r="46312" s="76" customFormat="1" ht="21.95" customHeight="1" x14ac:dyDescent="0.15"/>
    <row r="46313" s="76" customFormat="1" ht="21.95" customHeight="1" x14ac:dyDescent="0.15"/>
    <row r="46314" s="76" customFormat="1" ht="21.95" customHeight="1" x14ac:dyDescent="0.15"/>
    <row r="46315" s="76" customFormat="1" ht="21.95" customHeight="1" x14ac:dyDescent="0.15"/>
    <row r="46316" s="76" customFormat="1" ht="21.95" customHeight="1" x14ac:dyDescent="0.15"/>
    <row r="46317" s="76" customFormat="1" ht="21.95" customHeight="1" x14ac:dyDescent="0.15"/>
    <row r="46318" s="76" customFormat="1" ht="21.95" customHeight="1" x14ac:dyDescent="0.15"/>
    <row r="46319" s="76" customFormat="1" ht="21.95" customHeight="1" x14ac:dyDescent="0.15"/>
    <row r="46320" s="76" customFormat="1" ht="21.95" customHeight="1" x14ac:dyDescent="0.15"/>
    <row r="46321" s="76" customFormat="1" ht="21.95" customHeight="1" x14ac:dyDescent="0.15"/>
    <row r="46322" s="76" customFormat="1" ht="21.95" customHeight="1" x14ac:dyDescent="0.15"/>
    <row r="46323" s="76" customFormat="1" ht="21.95" customHeight="1" x14ac:dyDescent="0.15"/>
    <row r="46324" s="76" customFormat="1" ht="21.95" customHeight="1" x14ac:dyDescent="0.15"/>
    <row r="46325" s="76" customFormat="1" ht="21.95" customHeight="1" x14ac:dyDescent="0.15"/>
    <row r="46326" s="76" customFormat="1" ht="21.95" customHeight="1" x14ac:dyDescent="0.15"/>
    <row r="46327" s="76" customFormat="1" ht="21.95" customHeight="1" x14ac:dyDescent="0.15"/>
    <row r="46328" s="76" customFormat="1" ht="21.95" customHeight="1" x14ac:dyDescent="0.15"/>
    <row r="46329" s="76" customFormat="1" ht="21.95" customHeight="1" x14ac:dyDescent="0.15"/>
    <row r="46330" s="76" customFormat="1" ht="21.95" customHeight="1" x14ac:dyDescent="0.15"/>
    <row r="46331" s="76" customFormat="1" ht="21.95" customHeight="1" x14ac:dyDescent="0.15"/>
    <row r="46332" s="76" customFormat="1" ht="21.95" customHeight="1" x14ac:dyDescent="0.15"/>
    <row r="46333" s="76" customFormat="1" ht="21.95" customHeight="1" x14ac:dyDescent="0.15"/>
    <row r="46334" s="76" customFormat="1" ht="21.95" customHeight="1" x14ac:dyDescent="0.15"/>
    <row r="46335" s="76" customFormat="1" ht="21.95" customHeight="1" x14ac:dyDescent="0.15"/>
    <row r="46336" s="76" customFormat="1" ht="21.95" customHeight="1" x14ac:dyDescent="0.15"/>
    <row r="46337" s="76" customFormat="1" ht="21.95" customHeight="1" x14ac:dyDescent="0.15"/>
    <row r="46338" s="76" customFormat="1" ht="21.95" customHeight="1" x14ac:dyDescent="0.15"/>
    <row r="46339" s="76" customFormat="1" ht="21.95" customHeight="1" x14ac:dyDescent="0.15"/>
    <row r="46340" s="76" customFormat="1" ht="21.95" customHeight="1" x14ac:dyDescent="0.15"/>
    <row r="46341" s="76" customFormat="1" ht="21.95" customHeight="1" x14ac:dyDescent="0.15"/>
    <row r="46342" s="76" customFormat="1" ht="21.95" customHeight="1" x14ac:dyDescent="0.15"/>
    <row r="46343" s="76" customFormat="1" ht="21.95" customHeight="1" x14ac:dyDescent="0.15"/>
    <row r="46344" s="76" customFormat="1" ht="21.95" customHeight="1" x14ac:dyDescent="0.15"/>
    <row r="46345" s="76" customFormat="1" ht="35.1" customHeight="1" x14ac:dyDescent="0.15"/>
    <row r="46346" s="76" customFormat="1" ht="21.95" customHeight="1" x14ac:dyDescent="0.15"/>
    <row r="46347" s="76" customFormat="1" ht="21.95" customHeight="1" x14ac:dyDescent="0.15"/>
    <row r="46348" s="76" customFormat="1" ht="21.95" customHeight="1" x14ac:dyDescent="0.15"/>
    <row r="46349" s="76" customFormat="1" ht="21.95" customHeight="1" x14ac:dyDescent="0.15"/>
    <row r="46350" s="76" customFormat="1" ht="21.95" customHeight="1" x14ac:dyDescent="0.15"/>
    <row r="46351" s="76" customFormat="1" ht="21.95" customHeight="1" x14ac:dyDescent="0.15"/>
    <row r="46352" s="76" customFormat="1" ht="21.95" customHeight="1" x14ac:dyDescent="0.15"/>
    <row r="46353" s="76" customFormat="1" ht="21.95" customHeight="1" x14ac:dyDescent="0.15"/>
    <row r="46354" s="76" customFormat="1" ht="21.95" customHeight="1" x14ac:dyDescent="0.15"/>
    <row r="46355" s="76" customFormat="1" ht="21.95" customHeight="1" x14ac:dyDescent="0.15"/>
    <row r="46356" s="76" customFormat="1" ht="21.95" customHeight="1" x14ac:dyDescent="0.15"/>
    <row r="46357" s="76" customFormat="1" ht="21.95" customHeight="1" x14ac:dyDescent="0.15"/>
    <row r="46358" s="76" customFormat="1" ht="21.95" customHeight="1" x14ac:dyDescent="0.15"/>
    <row r="46359" s="76" customFormat="1" ht="21.95" customHeight="1" x14ac:dyDescent="0.15"/>
    <row r="46360" s="76" customFormat="1" ht="21.95" customHeight="1" x14ac:dyDescent="0.15"/>
    <row r="46361" s="76" customFormat="1" ht="21.95" customHeight="1" x14ac:dyDescent="0.15"/>
    <row r="46362" s="76" customFormat="1" ht="21.95" customHeight="1" x14ac:dyDescent="0.15"/>
    <row r="46363" s="76" customFormat="1" ht="21.95" customHeight="1" x14ac:dyDescent="0.15"/>
    <row r="46364" s="76" customFormat="1" ht="21.95" customHeight="1" x14ac:dyDescent="0.15"/>
    <row r="46365" s="76" customFormat="1" ht="21.95" customHeight="1" x14ac:dyDescent="0.15"/>
    <row r="46366" s="76" customFormat="1" ht="21.95" customHeight="1" x14ac:dyDescent="0.15"/>
    <row r="46367" s="76" customFormat="1" ht="21.95" customHeight="1" x14ac:dyDescent="0.15"/>
    <row r="46368" s="76" customFormat="1" ht="21.95" customHeight="1" x14ac:dyDescent="0.15"/>
    <row r="46369" spans="3:3" customFormat="1" ht="21.95" customHeight="1" x14ac:dyDescent="0.15"/>
    <row r="46370" spans="3:3" customFormat="1" ht="21.95" customHeight="1" x14ac:dyDescent="0.15"/>
    <row r="46371" spans="3:3" customFormat="1" ht="21.95" customHeight="1" x14ac:dyDescent="0.15">
      <c r="C46371" s="94"/>
    </row>
    <row r="46372" spans="3:3" customFormat="1" ht="21.95" customHeight="1" x14ac:dyDescent="0.15">
      <c r="C46372" s="94"/>
    </row>
    <row r="46373" spans="3:3" customFormat="1" ht="21.95" customHeight="1" x14ac:dyDescent="0.15"/>
    <row r="46374" spans="3:3" customFormat="1" ht="21.95" customHeight="1" x14ac:dyDescent="0.15"/>
    <row r="46375" spans="3:3" customFormat="1" ht="21.95" customHeight="1" x14ac:dyDescent="0.15"/>
    <row r="46376" spans="3:3" customFormat="1" ht="21.95" customHeight="1" x14ac:dyDescent="0.15"/>
    <row r="46377" spans="3:3" customFormat="1" ht="21.95" customHeight="1" x14ac:dyDescent="0.15"/>
    <row r="46378" spans="3:3" customFormat="1" ht="21.95" customHeight="1" x14ac:dyDescent="0.15"/>
    <row r="46379" spans="3:3" customFormat="1" ht="21.95" customHeight="1" x14ac:dyDescent="0.15"/>
    <row r="46380" spans="3:3" s="76" customFormat="1" ht="21.95" customHeight="1" x14ac:dyDescent="0.15"/>
    <row r="46381" spans="3:3" s="76" customFormat="1" ht="21.95" customHeight="1" x14ac:dyDescent="0.15"/>
    <row r="46382" spans="3:3" s="76" customFormat="1" ht="21.95" customHeight="1" x14ac:dyDescent="0.15"/>
    <row r="46383" spans="3:3" s="76" customFormat="1" ht="21.95" customHeight="1" x14ac:dyDescent="0.15"/>
    <row r="46384" spans="3:3" customFormat="1" ht="21.95" customHeight="1" x14ac:dyDescent="0.15"/>
    <row r="46385" customFormat="1" ht="21.95" customHeight="1" x14ac:dyDescent="0.15"/>
    <row r="46386" customFormat="1" ht="21.95" customHeight="1" x14ac:dyDescent="0.15"/>
    <row r="46387" customFormat="1" ht="21.95" customHeight="1" x14ac:dyDescent="0.15"/>
    <row r="46388" customFormat="1" ht="21.95" customHeight="1" x14ac:dyDescent="0.15"/>
    <row r="46389" customFormat="1" ht="21.95" customHeight="1" x14ac:dyDescent="0.15"/>
    <row r="46390" customFormat="1" ht="21.95" customHeight="1" x14ac:dyDescent="0.15"/>
    <row r="46391" customFormat="1" ht="21.95" customHeight="1" x14ac:dyDescent="0.15"/>
    <row r="46392" customFormat="1" ht="21.95" customHeight="1" x14ac:dyDescent="0.15"/>
    <row r="46393" customFormat="1" ht="21.95" customHeight="1" x14ac:dyDescent="0.15"/>
    <row r="46394" customFormat="1" ht="21.95" customHeight="1" x14ac:dyDescent="0.15"/>
    <row r="46395" customFormat="1" ht="32.1" customHeight="1" x14ac:dyDescent="0.15"/>
    <row r="46396" customFormat="1" ht="32.1" customHeight="1" x14ac:dyDescent="0.15"/>
    <row r="46397" customFormat="1" ht="32.1" customHeight="1" x14ac:dyDescent="0.15"/>
    <row r="46398" customFormat="1" ht="32.1" customHeight="1" x14ac:dyDescent="0.15"/>
    <row r="46399" customFormat="1" ht="32.1" customHeight="1" x14ac:dyDescent="0.15"/>
    <row r="46400" customFormat="1" ht="32.1" customHeight="1" x14ac:dyDescent="0.15"/>
    <row r="46401" s="76" customFormat="1" ht="32.1" customHeight="1" x14ac:dyDescent="0.15"/>
    <row r="46402" s="76" customFormat="1" ht="32.1" customHeight="1" x14ac:dyDescent="0.15"/>
    <row r="46403" s="76" customFormat="1" ht="32.1" customHeight="1" x14ac:dyDescent="0.15"/>
    <row r="46404" s="76" customFormat="1" ht="32.1" customHeight="1" x14ac:dyDescent="0.15"/>
    <row r="46405" s="76" customFormat="1" ht="21.95" customHeight="1" x14ac:dyDescent="0.15"/>
    <row r="46406" s="76" customFormat="1" ht="54" customHeight="1" x14ac:dyDescent="0.15"/>
    <row r="46407" s="76" customFormat="1" ht="21.95" customHeight="1" x14ac:dyDescent="0.15"/>
    <row r="46408" s="76" customFormat="1" ht="21.95" customHeight="1" x14ac:dyDescent="0.15"/>
    <row r="46409" s="76" customFormat="1" ht="21.95" customHeight="1" x14ac:dyDescent="0.15"/>
    <row r="46410" s="76" customFormat="1" ht="21.95" customHeight="1" x14ac:dyDescent="0.15"/>
    <row r="46411" s="76" customFormat="1" ht="21.95" customHeight="1" x14ac:dyDescent="0.15"/>
    <row r="46412" s="76" customFormat="1" ht="21.95" customHeight="1" x14ac:dyDescent="0.15"/>
    <row r="46413" s="76" customFormat="1" ht="21.95" customHeight="1" x14ac:dyDescent="0.15"/>
    <row r="46414" s="76" customFormat="1" ht="21.95" customHeight="1" x14ac:dyDescent="0.15"/>
    <row r="46415" s="76" customFormat="1" ht="21.95" customHeight="1" x14ac:dyDescent="0.15"/>
    <row r="46416" s="76" customFormat="1" ht="21.95" customHeight="1" x14ac:dyDescent="0.15"/>
    <row r="46417" s="76" customFormat="1" ht="21.95" customHeight="1" x14ac:dyDescent="0.15"/>
    <row r="46418" s="76" customFormat="1" ht="21.95" customHeight="1" x14ac:dyDescent="0.15"/>
    <row r="46419" s="76" customFormat="1" ht="21.95" customHeight="1" x14ac:dyDescent="0.15"/>
    <row r="46420" s="76" customFormat="1" ht="21.95" customHeight="1" x14ac:dyDescent="0.15"/>
    <row r="46421" s="76" customFormat="1" ht="21.95" customHeight="1" x14ac:dyDescent="0.15"/>
    <row r="46422" s="76" customFormat="1" ht="21.95" customHeight="1" x14ac:dyDescent="0.15"/>
    <row r="46423" s="76" customFormat="1" ht="21.95" customHeight="1" x14ac:dyDescent="0.15"/>
    <row r="46424" s="76" customFormat="1" ht="21.95" customHeight="1" x14ac:dyDescent="0.15"/>
    <row r="46425" s="76" customFormat="1" ht="21.95" customHeight="1" x14ac:dyDescent="0.15"/>
    <row r="46426" s="76" customFormat="1" ht="21.95" customHeight="1" x14ac:dyDescent="0.15"/>
    <row r="46427" s="76" customFormat="1" ht="21.95" customHeight="1" x14ac:dyDescent="0.15"/>
    <row r="46428" s="76" customFormat="1" ht="21.95" customHeight="1" x14ac:dyDescent="0.15"/>
    <row r="46429" s="76" customFormat="1" ht="21.95" customHeight="1" x14ac:dyDescent="0.15"/>
    <row r="46430" s="76" customFormat="1" ht="21.95" customHeight="1" x14ac:dyDescent="0.15"/>
    <row r="46431" s="76" customFormat="1" ht="21.95" customHeight="1" x14ac:dyDescent="0.15"/>
    <row r="46432" s="76" customFormat="1" ht="21.95" customHeight="1" x14ac:dyDescent="0.15"/>
    <row r="46433" s="76" customFormat="1" ht="21.95" customHeight="1" x14ac:dyDescent="0.15"/>
    <row r="46434" s="76" customFormat="1" ht="21.95" customHeight="1" x14ac:dyDescent="0.15"/>
    <row r="46435" s="76" customFormat="1" ht="21.95" customHeight="1" x14ac:dyDescent="0.15"/>
    <row r="46436" s="76" customFormat="1" ht="21.95" customHeight="1" x14ac:dyDescent="0.15"/>
    <row r="46437" s="76" customFormat="1" ht="21.95" customHeight="1" x14ac:dyDescent="0.15"/>
    <row r="46438" s="76" customFormat="1" ht="21.95" customHeight="1" x14ac:dyDescent="0.15"/>
    <row r="46439" s="76" customFormat="1" ht="21.95" customHeight="1" x14ac:dyDescent="0.15"/>
    <row r="46440" s="76" customFormat="1" ht="21.95" customHeight="1" x14ac:dyDescent="0.15"/>
    <row r="46441" s="76" customFormat="1" ht="21.95" customHeight="1" x14ac:dyDescent="0.15"/>
    <row r="46442" s="76" customFormat="1" ht="21.95" customHeight="1" x14ac:dyDescent="0.15"/>
    <row r="46443" s="76" customFormat="1" ht="21.95" customHeight="1" x14ac:dyDescent="0.15"/>
    <row r="46444" s="76" customFormat="1" ht="21.95" customHeight="1" x14ac:dyDescent="0.15"/>
    <row r="46445" s="76" customFormat="1" ht="21.95" customHeight="1" x14ac:dyDescent="0.15"/>
    <row r="46446" s="76" customFormat="1" ht="21.95" customHeight="1" x14ac:dyDescent="0.15"/>
    <row r="46447" s="76" customFormat="1" ht="21.95" customHeight="1" x14ac:dyDescent="0.15"/>
    <row r="46448" s="76" customFormat="1" ht="21.95" customHeight="1" x14ac:dyDescent="0.15"/>
    <row r="46449" s="76" customFormat="1" ht="21.95" customHeight="1" x14ac:dyDescent="0.15"/>
    <row r="46450" s="76" customFormat="1" ht="21.95" customHeight="1" x14ac:dyDescent="0.15"/>
    <row r="46451" s="76" customFormat="1" ht="21.95" customHeight="1" x14ac:dyDescent="0.15"/>
    <row r="46452" s="76" customFormat="1" ht="21.95" customHeight="1" x14ac:dyDescent="0.15"/>
    <row r="46453" s="76" customFormat="1" ht="21.95" customHeight="1" x14ac:dyDescent="0.15"/>
    <row r="46454" s="76" customFormat="1" ht="21.95" customHeight="1" x14ac:dyDescent="0.15"/>
    <row r="46455" s="76" customFormat="1" ht="21.95" customHeight="1" x14ac:dyDescent="0.15"/>
    <row r="46456" s="76" customFormat="1" ht="21.95" customHeight="1" x14ac:dyDescent="0.15"/>
    <row r="46457" s="76" customFormat="1" ht="35.1" customHeight="1" x14ac:dyDescent="0.15"/>
    <row r="46458" s="76" customFormat="1" ht="21.95" customHeight="1" x14ac:dyDescent="0.15"/>
    <row r="46459" s="76" customFormat="1" ht="21.95" customHeight="1" x14ac:dyDescent="0.15"/>
    <row r="46460" s="76" customFormat="1" ht="21.95" customHeight="1" x14ac:dyDescent="0.15"/>
    <row r="46461" s="76" customFormat="1" ht="21.95" customHeight="1" x14ac:dyDescent="0.15"/>
    <row r="46462" s="76" customFormat="1" ht="21.95" customHeight="1" x14ac:dyDescent="0.15"/>
    <row r="46463" s="76" customFormat="1" ht="21.95" customHeight="1" x14ac:dyDescent="0.15"/>
    <row r="46464" s="76" customFormat="1" ht="21.95" customHeight="1" x14ac:dyDescent="0.15"/>
    <row r="46465" s="76" customFormat="1" ht="21.95" customHeight="1" x14ac:dyDescent="0.15"/>
    <row r="46466" s="76" customFormat="1" ht="21.95" customHeight="1" x14ac:dyDescent="0.15"/>
    <row r="46467" s="76" customFormat="1" ht="21.95" customHeight="1" x14ac:dyDescent="0.15"/>
    <row r="46468" s="76" customFormat="1" ht="21.95" customHeight="1" x14ac:dyDescent="0.15"/>
    <row r="46469" s="76" customFormat="1" ht="21.95" customHeight="1" x14ac:dyDescent="0.15"/>
    <row r="46470" s="76" customFormat="1" ht="21.95" customHeight="1" x14ac:dyDescent="0.15"/>
    <row r="46471" s="76" customFormat="1" ht="21.95" customHeight="1" x14ac:dyDescent="0.15"/>
    <row r="46472" s="76" customFormat="1" ht="21.95" customHeight="1" x14ac:dyDescent="0.15"/>
    <row r="46473" s="76" customFormat="1" ht="21.95" customHeight="1" x14ac:dyDescent="0.15"/>
    <row r="46474" s="76" customFormat="1" ht="21.95" customHeight="1" x14ac:dyDescent="0.15"/>
    <row r="46475" s="76" customFormat="1" ht="21.95" customHeight="1" x14ac:dyDescent="0.15"/>
    <row r="46476" s="76" customFormat="1" ht="21.95" customHeight="1" x14ac:dyDescent="0.15"/>
    <row r="46477" s="76" customFormat="1" ht="21.95" customHeight="1" x14ac:dyDescent="0.15"/>
    <row r="46478" s="76" customFormat="1" ht="21.95" customHeight="1" x14ac:dyDescent="0.15"/>
    <row r="46479" s="76" customFormat="1" ht="21.95" customHeight="1" x14ac:dyDescent="0.15"/>
    <row r="46480" s="76" customFormat="1" ht="21.95" customHeight="1" x14ac:dyDescent="0.15"/>
    <row r="46481" spans="3:3" customFormat="1" ht="21.95" customHeight="1" x14ac:dyDescent="0.15"/>
    <row r="46482" spans="3:3" customFormat="1" ht="21.95" customHeight="1" x14ac:dyDescent="0.15"/>
    <row r="46483" spans="3:3" customFormat="1" ht="21.95" customHeight="1" x14ac:dyDescent="0.15">
      <c r="C46483" s="94"/>
    </row>
    <row r="46484" spans="3:3" customFormat="1" ht="21.95" customHeight="1" x14ac:dyDescent="0.15">
      <c r="C46484" s="94"/>
    </row>
    <row r="46485" spans="3:3" customFormat="1" ht="21.95" customHeight="1" x14ac:dyDescent="0.15"/>
    <row r="46486" spans="3:3" customFormat="1" ht="21.95" customHeight="1" x14ac:dyDescent="0.15"/>
    <row r="46487" spans="3:3" customFormat="1" ht="21.95" customHeight="1" x14ac:dyDescent="0.15"/>
    <row r="46488" spans="3:3" customFormat="1" ht="21.95" customHeight="1" x14ac:dyDescent="0.15"/>
    <row r="46489" spans="3:3" customFormat="1" ht="21.95" customHeight="1" x14ac:dyDescent="0.15"/>
    <row r="46490" spans="3:3" customFormat="1" ht="21.95" customHeight="1" x14ac:dyDescent="0.15"/>
    <row r="46491" spans="3:3" customFormat="1" ht="21.95" customHeight="1" x14ac:dyDescent="0.15"/>
    <row r="46492" spans="3:3" s="76" customFormat="1" ht="21.95" customHeight="1" x14ac:dyDescent="0.15"/>
    <row r="46493" spans="3:3" s="76" customFormat="1" ht="21.95" customHeight="1" x14ac:dyDescent="0.15"/>
    <row r="46494" spans="3:3" s="76" customFormat="1" ht="21.95" customHeight="1" x14ac:dyDescent="0.15"/>
    <row r="46495" spans="3:3" s="76" customFormat="1" ht="21.95" customHeight="1" x14ac:dyDescent="0.15"/>
    <row r="46496" spans="3:3" customFormat="1" ht="21.95" customHeight="1" x14ac:dyDescent="0.15"/>
    <row r="46497" customFormat="1" ht="21.95" customHeight="1" x14ac:dyDescent="0.15"/>
    <row r="46498" customFormat="1" ht="21.95" customHeight="1" x14ac:dyDescent="0.15"/>
    <row r="46499" customFormat="1" ht="21.95" customHeight="1" x14ac:dyDescent="0.15"/>
    <row r="46500" customFormat="1" ht="21.95" customHeight="1" x14ac:dyDescent="0.15"/>
    <row r="46501" customFormat="1" ht="21.95" customHeight="1" x14ac:dyDescent="0.15"/>
    <row r="46502" customFormat="1" ht="21.95" customHeight="1" x14ac:dyDescent="0.15"/>
    <row r="46503" customFormat="1" ht="21.95" customHeight="1" x14ac:dyDescent="0.15"/>
    <row r="46504" customFormat="1" ht="21.95" customHeight="1" x14ac:dyDescent="0.15"/>
    <row r="46505" customFormat="1" ht="21.95" customHeight="1" x14ac:dyDescent="0.15"/>
    <row r="46506" customFormat="1" ht="21.95" customHeight="1" x14ac:dyDescent="0.15"/>
    <row r="46507" customFormat="1" ht="32.1" customHeight="1" x14ac:dyDescent="0.15"/>
    <row r="46508" customFormat="1" ht="32.1" customHeight="1" x14ac:dyDescent="0.15"/>
    <row r="46509" customFormat="1" ht="32.1" customHeight="1" x14ac:dyDescent="0.15"/>
    <row r="46510" customFormat="1" ht="32.1" customHeight="1" x14ac:dyDescent="0.15"/>
    <row r="46511" customFormat="1" ht="32.1" customHeight="1" x14ac:dyDescent="0.15"/>
    <row r="46512" customFormat="1" ht="32.1" customHeight="1" x14ac:dyDescent="0.15"/>
    <row r="46513" s="76" customFormat="1" ht="32.1" customHeight="1" x14ac:dyDescent="0.15"/>
    <row r="46514" s="76" customFormat="1" ht="32.1" customHeight="1" x14ac:dyDescent="0.15"/>
    <row r="46515" s="76" customFormat="1" ht="32.1" customHeight="1" x14ac:dyDescent="0.15"/>
    <row r="46516" s="76" customFormat="1" ht="32.1" customHeight="1" x14ac:dyDescent="0.15"/>
    <row r="46517" s="76" customFormat="1" ht="21.95" customHeight="1" x14ac:dyDescent="0.15"/>
    <row r="46518" s="76" customFormat="1" ht="54" customHeight="1" x14ac:dyDescent="0.15"/>
    <row r="46519" s="76" customFormat="1" ht="21.95" customHeight="1" x14ac:dyDescent="0.15"/>
    <row r="46520" s="76" customFormat="1" ht="21.95" customHeight="1" x14ac:dyDescent="0.15"/>
    <row r="46521" s="76" customFormat="1" ht="21.95" customHeight="1" x14ac:dyDescent="0.15"/>
    <row r="46522" s="76" customFormat="1" ht="21.95" customHeight="1" x14ac:dyDescent="0.15"/>
    <row r="46523" s="76" customFormat="1" ht="21.95" customHeight="1" x14ac:dyDescent="0.15"/>
    <row r="46524" s="76" customFormat="1" ht="21.95" customHeight="1" x14ac:dyDescent="0.15"/>
    <row r="46525" s="76" customFormat="1" ht="21.95" customHeight="1" x14ac:dyDescent="0.15"/>
    <row r="46526" s="76" customFormat="1" ht="21.95" customHeight="1" x14ac:dyDescent="0.15"/>
    <row r="46527" s="76" customFormat="1" ht="21.95" customHeight="1" x14ac:dyDescent="0.15"/>
    <row r="46528" s="76" customFormat="1" ht="21.95" customHeight="1" x14ac:dyDescent="0.15"/>
    <row r="46529" s="76" customFormat="1" ht="21.95" customHeight="1" x14ac:dyDescent="0.15"/>
    <row r="46530" s="76" customFormat="1" ht="21.95" customHeight="1" x14ac:dyDescent="0.15"/>
    <row r="46531" s="76" customFormat="1" ht="21.95" customHeight="1" x14ac:dyDescent="0.15"/>
    <row r="46532" s="76" customFormat="1" ht="21.95" customHeight="1" x14ac:dyDescent="0.15"/>
    <row r="46533" s="76" customFormat="1" ht="21.95" customHeight="1" x14ac:dyDescent="0.15"/>
    <row r="46534" s="76" customFormat="1" ht="21.95" customHeight="1" x14ac:dyDescent="0.15"/>
    <row r="46535" s="76" customFormat="1" ht="21.95" customHeight="1" x14ac:dyDescent="0.15"/>
    <row r="46536" s="76" customFormat="1" ht="21.95" customHeight="1" x14ac:dyDescent="0.15"/>
    <row r="46537" s="76" customFormat="1" ht="21.95" customHeight="1" x14ac:dyDescent="0.15"/>
    <row r="46538" s="76" customFormat="1" ht="21.95" customHeight="1" x14ac:dyDescent="0.15"/>
    <row r="46539" s="76" customFormat="1" ht="21.95" customHeight="1" x14ac:dyDescent="0.15"/>
    <row r="46540" s="76" customFormat="1" ht="21.95" customHeight="1" x14ac:dyDescent="0.15"/>
    <row r="46541" s="76" customFormat="1" ht="21.95" customHeight="1" x14ac:dyDescent="0.15"/>
    <row r="46542" s="76" customFormat="1" ht="21.95" customHeight="1" x14ac:dyDescent="0.15"/>
    <row r="46543" s="76" customFormat="1" ht="21.95" customHeight="1" x14ac:dyDescent="0.15"/>
    <row r="46544" s="76" customFormat="1" ht="21.95" customHeight="1" x14ac:dyDescent="0.15"/>
    <row r="46545" s="76" customFormat="1" ht="21.95" customHeight="1" x14ac:dyDescent="0.15"/>
    <row r="46546" s="76" customFormat="1" ht="21.95" customHeight="1" x14ac:dyDescent="0.15"/>
    <row r="46547" s="76" customFormat="1" ht="21.95" customHeight="1" x14ac:dyDescent="0.15"/>
    <row r="46548" s="76" customFormat="1" ht="21.95" customHeight="1" x14ac:dyDescent="0.15"/>
    <row r="46549" s="76" customFormat="1" ht="21.95" customHeight="1" x14ac:dyDescent="0.15"/>
    <row r="46550" s="76" customFormat="1" ht="21.95" customHeight="1" x14ac:dyDescent="0.15"/>
    <row r="46551" s="76" customFormat="1" ht="21.95" customHeight="1" x14ac:dyDescent="0.15"/>
    <row r="46552" s="76" customFormat="1" ht="21.95" customHeight="1" x14ac:dyDescent="0.15"/>
    <row r="46553" s="76" customFormat="1" ht="21.95" customHeight="1" x14ac:dyDescent="0.15"/>
    <row r="46554" s="76" customFormat="1" ht="21.95" customHeight="1" x14ac:dyDescent="0.15"/>
    <row r="46555" s="76" customFormat="1" ht="21.95" customHeight="1" x14ac:dyDescent="0.15"/>
    <row r="46556" s="76" customFormat="1" ht="21.95" customHeight="1" x14ac:dyDescent="0.15"/>
    <row r="46557" s="76" customFormat="1" ht="21.95" customHeight="1" x14ac:dyDescent="0.15"/>
    <row r="46558" s="76" customFormat="1" ht="21.95" customHeight="1" x14ac:dyDescent="0.15"/>
    <row r="46559" s="76" customFormat="1" ht="21.95" customHeight="1" x14ac:dyDescent="0.15"/>
    <row r="46560" s="76" customFormat="1" ht="21.95" customHeight="1" x14ac:dyDescent="0.15"/>
    <row r="46561" s="76" customFormat="1" ht="21.95" customHeight="1" x14ac:dyDescent="0.15"/>
    <row r="46562" s="76" customFormat="1" ht="21.95" customHeight="1" x14ac:dyDescent="0.15"/>
    <row r="46563" s="76" customFormat="1" ht="21.95" customHeight="1" x14ac:dyDescent="0.15"/>
    <row r="46564" s="76" customFormat="1" ht="21.95" customHeight="1" x14ac:dyDescent="0.15"/>
    <row r="46565" s="76" customFormat="1" ht="21.95" customHeight="1" x14ac:dyDescent="0.15"/>
    <row r="46566" s="76" customFormat="1" ht="21.95" customHeight="1" x14ac:dyDescent="0.15"/>
    <row r="46567" s="76" customFormat="1" ht="21.95" customHeight="1" x14ac:dyDescent="0.15"/>
    <row r="46568" s="76" customFormat="1" ht="21.95" customHeight="1" x14ac:dyDescent="0.15"/>
    <row r="46569" s="76" customFormat="1" ht="35.1" customHeight="1" x14ac:dyDescent="0.15"/>
    <row r="46570" s="76" customFormat="1" ht="21.95" customHeight="1" x14ac:dyDescent="0.15"/>
    <row r="46571" s="76" customFormat="1" ht="21.95" customHeight="1" x14ac:dyDescent="0.15"/>
    <row r="46572" s="76" customFormat="1" ht="21.95" customHeight="1" x14ac:dyDescent="0.15"/>
    <row r="46573" s="76" customFormat="1" ht="21.95" customHeight="1" x14ac:dyDescent="0.15"/>
    <row r="46574" s="76" customFormat="1" ht="21.95" customHeight="1" x14ac:dyDescent="0.15"/>
    <row r="46575" s="76" customFormat="1" ht="21.95" customHeight="1" x14ac:dyDescent="0.15"/>
    <row r="46576" s="76" customFormat="1" ht="21.95" customHeight="1" x14ac:dyDescent="0.15"/>
    <row r="46577" s="76" customFormat="1" ht="21.95" customHeight="1" x14ac:dyDescent="0.15"/>
    <row r="46578" s="76" customFormat="1" ht="21.95" customHeight="1" x14ac:dyDescent="0.15"/>
    <row r="46579" s="76" customFormat="1" ht="21.95" customHeight="1" x14ac:dyDescent="0.15"/>
    <row r="46580" s="76" customFormat="1" ht="21.95" customHeight="1" x14ac:dyDescent="0.15"/>
    <row r="46581" s="76" customFormat="1" ht="21.95" customHeight="1" x14ac:dyDescent="0.15"/>
    <row r="46582" s="76" customFormat="1" ht="21.95" customHeight="1" x14ac:dyDescent="0.15"/>
    <row r="46583" s="76" customFormat="1" ht="21.95" customHeight="1" x14ac:dyDescent="0.15"/>
    <row r="46584" s="76" customFormat="1" ht="21.95" customHeight="1" x14ac:dyDescent="0.15"/>
    <row r="46585" s="76" customFormat="1" ht="21.95" customHeight="1" x14ac:dyDescent="0.15"/>
    <row r="46586" s="76" customFormat="1" ht="21.95" customHeight="1" x14ac:dyDescent="0.15"/>
    <row r="46587" s="76" customFormat="1" ht="21.95" customHeight="1" x14ac:dyDescent="0.15"/>
    <row r="46588" s="76" customFormat="1" ht="21.95" customHeight="1" x14ac:dyDescent="0.15"/>
    <row r="46589" s="76" customFormat="1" ht="21.95" customHeight="1" x14ac:dyDescent="0.15"/>
    <row r="46590" s="76" customFormat="1" ht="21.95" customHeight="1" x14ac:dyDescent="0.15"/>
    <row r="46591" s="76" customFormat="1" ht="21.95" customHeight="1" x14ac:dyDescent="0.15"/>
    <row r="46592" s="76" customFormat="1" ht="21.95" customHeight="1" x14ac:dyDescent="0.15"/>
    <row r="46593" spans="3:3" customFormat="1" ht="21.95" customHeight="1" x14ac:dyDescent="0.15"/>
    <row r="46594" spans="3:3" customFormat="1" ht="21.95" customHeight="1" x14ac:dyDescent="0.15"/>
    <row r="46595" spans="3:3" customFormat="1" ht="21.95" customHeight="1" x14ac:dyDescent="0.15">
      <c r="C46595" s="94"/>
    </row>
    <row r="46596" spans="3:3" customFormat="1" ht="21.95" customHeight="1" x14ac:dyDescent="0.15">
      <c r="C46596" s="94"/>
    </row>
    <row r="46597" spans="3:3" customFormat="1" ht="21.95" customHeight="1" x14ac:dyDescent="0.15"/>
    <row r="46598" spans="3:3" customFormat="1" ht="21.95" customHeight="1" x14ac:dyDescent="0.15"/>
    <row r="46599" spans="3:3" customFormat="1" ht="21.95" customHeight="1" x14ac:dyDescent="0.15"/>
    <row r="46600" spans="3:3" customFormat="1" ht="21.95" customHeight="1" x14ac:dyDescent="0.15"/>
    <row r="46601" spans="3:3" customFormat="1" ht="21.95" customHeight="1" x14ac:dyDescent="0.15"/>
    <row r="46602" spans="3:3" customFormat="1" ht="21.95" customHeight="1" x14ac:dyDescent="0.15"/>
    <row r="46603" spans="3:3" customFormat="1" ht="21.95" customHeight="1" x14ac:dyDescent="0.15"/>
    <row r="46604" spans="3:3" s="76" customFormat="1" ht="21.95" customHeight="1" x14ac:dyDescent="0.15"/>
    <row r="46605" spans="3:3" s="76" customFormat="1" ht="21.95" customHeight="1" x14ac:dyDescent="0.15"/>
    <row r="46606" spans="3:3" s="76" customFormat="1" ht="21.95" customHeight="1" x14ac:dyDescent="0.15"/>
    <row r="46607" spans="3:3" s="76" customFormat="1" ht="21.95" customHeight="1" x14ac:dyDescent="0.15"/>
    <row r="46608" spans="3:3" customFormat="1" ht="21.95" customHeight="1" x14ac:dyDescent="0.15"/>
    <row r="46609" customFormat="1" ht="21.95" customHeight="1" x14ac:dyDescent="0.15"/>
    <row r="46610" customFormat="1" ht="21.95" customHeight="1" x14ac:dyDescent="0.15"/>
    <row r="46611" customFormat="1" ht="21.95" customHeight="1" x14ac:dyDescent="0.15"/>
    <row r="46612" customFormat="1" ht="21.95" customHeight="1" x14ac:dyDescent="0.15"/>
    <row r="46613" customFormat="1" ht="21.95" customHeight="1" x14ac:dyDescent="0.15"/>
    <row r="46614" customFormat="1" ht="21.95" customHeight="1" x14ac:dyDescent="0.15"/>
    <row r="46615" customFormat="1" ht="21.95" customHeight="1" x14ac:dyDescent="0.15"/>
    <row r="46616" customFormat="1" ht="21.95" customHeight="1" x14ac:dyDescent="0.15"/>
    <row r="46617" customFormat="1" ht="21.95" customHeight="1" x14ac:dyDescent="0.15"/>
    <row r="46618" customFormat="1" ht="21.95" customHeight="1" x14ac:dyDescent="0.15"/>
    <row r="46619" customFormat="1" ht="32.1" customHeight="1" x14ac:dyDescent="0.15"/>
    <row r="46620" customFormat="1" ht="32.1" customHeight="1" x14ac:dyDescent="0.15"/>
    <row r="46621" customFormat="1" ht="32.1" customHeight="1" x14ac:dyDescent="0.15"/>
    <row r="46622" customFormat="1" ht="32.1" customHeight="1" x14ac:dyDescent="0.15"/>
    <row r="46623" customFormat="1" ht="32.1" customHeight="1" x14ac:dyDescent="0.15"/>
    <row r="46624" customFormat="1" ht="32.1" customHeight="1" x14ac:dyDescent="0.15"/>
    <row r="46625" s="76" customFormat="1" ht="32.1" customHeight="1" x14ac:dyDescent="0.15"/>
    <row r="46626" s="76" customFormat="1" ht="32.1" customHeight="1" x14ac:dyDescent="0.15"/>
    <row r="46627" s="76" customFormat="1" ht="32.1" customHeight="1" x14ac:dyDescent="0.15"/>
    <row r="46628" s="76" customFormat="1" ht="32.1" customHeight="1" x14ac:dyDescent="0.15"/>
    <row r="46629" s="76" customFormat="1" ht="21.95" customHeight="1" x14ac:dyDescent="0.15"/>
    <row r="46630" s="76" customFormat="1" ht="54" customHeight="1" x14ac:dyDescent="0.15"/>
    <row r="46631" s="76" customFormat="1" ht="21.95" customHeight="1" x14ac:dyDescent="0.15"/>
    <row r="46632" s="76" customFormat="1" ht="21.95" customHeight="1" x14ac:dyDescent="0.15"/>
    <row r="46633" s="76" customFormat="1" ht="21.95" customHeight="1" x14ac:dyDescent="0.15"/>
    <row r="46634" s="76" customFormat="1" ht="21.95" customHeight="1" x14ac:dyDescent="0.15"/>
    <row r="46635" s="76" customFormat="1" ht="21.95" customHeight="1" x14ac:dyDescent="0.15"/>
    <row r="46636" s="76" customFormat="1" ht="21.95" customHeight="1" x14ac:dyDescent="0.15"/>
    <row r="46637" s="76" customFormat="1" ht="21.95" customHeight="1" x14ac:dyDescent="0.15"/>
    <row r="46638" s="76" customFormat="1" ht="21.95" customHeight="1" x14ac:dyDescent="0.15"/>
    <row r="46639" s="76" customFormat="1" ht="21.95" customHeight="1" x14ac:dyDescent="0.15"/>
    <row r="46640" s="76" customFormat="1" ht="21.95" customHeight="1" x14ac:dyDescent="0.15"/>
    <row r="46641" s="76" customFormat="1" ht="21.95" customHeight="1" x14ac:dyDescent="0.15"/>
    <row r="46642" s="76" customFormat="1" ht="21.95" customHeight="1" x14ac:dyDescent="0.15"/>
    <row r="46643" s="76" customFormat="1" ht="21.95" customHeight="1" x14ac:dyDescent="0.15"/>
    <row r="46644" s="76" customFormat="1" ht="21.95" customHeight="1" x14ac:dyDescent="0.15"/>
    <row r="46645" s="76" customFormat="1" ht="21.95" customHeight="1" x14ac:dyDescent="0.15"/>
    <row r="46646" s="76" customFormat="1" ht="21.95" customHeight="1" x14ac:dyDescent="0.15"/>
    <row r="46647" s="76" customFormat="1" ht="21.95" customHeight="1" x14ac:dyDescent="0.15"/>
    <row r="46648" s="76" customFormat="1" ht="21.95" customHeight="1" x14ac:dyDescent="0.15"/>
    <row r="46649" s="76" customFormat="1" ht="21.95" customHeight="1" x14ac:dyDescent="0.15"/>
    <row r="46650" s="76" customFormat="1" ht="21.95" customHeight="1" x14ac:dyDescent="0.15"/>
    <row r="46651" s="76" customFormat="1" ht="21.95" customHeight="1" x14ac:dyDescent="0.15"/>
    <row r="46652" s="76" customFormat="1" ht="21.95" customHeight="1" x14ac:dyDescent="0.15"/>
    <row r="46653" s="76" customFormat="1" ht="21.95" customHeight="1" x14ac:dyDescent="0.15"/>
    <row r="46654" s="76" customFormat="1" ht="21.95" customHeight="1" x14ac:dyDescent="0.15"/>
    <row r="46655" s="76" customFormat="1" ht="21.95" customHeight="1" x14ac:dyDescent="0.15"/>
    <row r="46656" s="76" customFormat="1" ht="21.95" customHeight="1" x14ac:dyDescent="0.15"/>
    <row r="46657" s="76" customFormat="1" ht="21.95" customHeight="1" x14ac:dyDescent="0.15"/>
    <row r="46658" s="76" customFormat="1" ht="21.95" customHeight="1" x14ac:dyDescent="0.15"/>
    <row r="46659" s="76" customFormat="1" ht="21.95" customHeight="1" x14ac:dyDescent="0.15"/>
    <row r="46660" s="76" customFormat="1" ht="21.95" customHeight="1" x14ac:dyDescent="0.15"/>
    <row r="46661" s="76" customFormat="1" ht="21.95" customHeight="1" x14ac:dyDescent="0.15"/>
    <row r="46662" s="76" customFormat="1" ht="21.95" customHeight="1" x14ac:dyDescent="0.15"/>
    <row r="46663" s="76" customFormat="1" ht="21.95" customHeight="1" x14ac:dyDescent="0.15"/>
    <row r="46664" s="76" customFormat="1" ht="21.95" customHeight="1" x14ac:dyDescent="0.15"/>
    <row r="46665" s="76" customFormat="1" ht="21.95" customHeight="1" x14ac:dyDescent="0.15"/>
    <row r="46666" s="76" customFormat="1" ht="21.95" customHeight="1" x14ac:dyDescent="0.15"/>
    <row r="46667" s="76" customFormat="1" ht="21.95" customHeight="1" x14ac:dyDescent="0.15"/>
    <row r="46668" s="76" customFormat="1" ht="21.95" customHeight="1" x14ac:dyDescent="0.15"/>
    <row r="46669" s="76" customFormat="1" ht="21.95" customHeight="1" x14ac:dyDescent="0.15"/>
    <row r="46670" s="76" customFormat="1" ht="21.95" customHeight="1" x14ac:dyDescent="0.15"/>
    <row r="46671" s="76" customFormat="1" ht="21.95" customHeight="1" x14ac:dyDescent="0.15"/>
    <row r="46672" s="76" customFormat="1" ht="21.95" customHeight="1" x14ac:dyDescent="0.15"/>
    <row r="46673" s="76" customFormat="1" ht="21.95" customHeight="1" x14ac:dyDescent="0.15"/>
    <row r="46674" s="76" customFormat="1" ht="21.95" customHeight="1" x14ac:dyDescent="0.15"/>
    <row r="46675" s="76" customFormat="1" ht="21.95" customHeight="1" x14ac:dyDescent="0.15"/>
    <row r="46676" s="76" customFormat="1" ht="21.95" customHeight="1" x14ac:dyDescent="0.15"/>
    <row r="46677" s="76" customFormat="1" ht="21.95" customHeight="1" x14ac:dyDescent="0.15"/>
    <row r="46678" s="76" customFormat="1" ht="21.95" customHeight="1" x14ac:dyDescent="0.15"/>
    <row r="46679" s="76" customFormat="1" ht="21.95" customHeight="1" x14ac:dyDescent="0.15"/>
    <row r="46680" s="76" customFormat="1" ht="21.95" customHeight="1" x14ac:dyDescent="0.15"/>
    <row r="46681" s="76" customFormat="1" ht="35.1" customHeight="1" x14ac:dyDescent="0.15"/>
    <row r="46682" s="76" customFormat="1" ht="21.95" customHeight="1" x14ac:dyDescent="0.15"/>
    <row r="46683" s="76" customFormat="1" ht="21.95" customHeight="1" x14ac:dyDescent="0.15"/>
    <row r="46684" s="76" customFormat="1" ht="21.95" customHeight="1" x14ac:dyDescent="0.15"/>
    <row r="46685" s="76" customFormat="1" ht="21.95" customHeight="1" x14ac:dyDescent="0.15"/>
    <row r="46686" s="76" customFormat="1" ht="21.95" customHeight="1" x14ac:dyDescent="0.15"/>
    <row r="46687" s="76" customFormat="1" ht="21.95" customHeight="1" x14ac:dyDescent="0.15"/>
    <row r="46688" s="76" customFormat="1" ht="21.95" customHeight="1" x14ac:dyDescent="0.15"/>
    <row r="46689" s="76" customFormat="1" ht="21.95" customHeight="1" x14ac:dyDescent="0.15"/>
    <row r="46690" s="76" customFormat="1" ht="21.95" customHeight="1" x14ac:dyDescent="0.15"/>
    <row r="46691" s="76" customFormat="1" ht="21.95" customHeight="1" x14ac:dyDescent="0.15"/>
    <row r="46692" s="76" customFormat="1" ht="21.95" customHeight="1" x14ac:dyDescent="0.15"/>
    <row r="46693" s="76" customFormat="1" ht="21.95" customHeight="1" x14ac:dyDescent="0.15"/>
    <row r="46694" s="76" customFormat="1" ht="21.95" customHeight="1" x14ac:dyDescent="0.15"/>
    <row r="46695" s="76" customFormat="1" ht="21.95" customHeight="1" x14ac:dyDescent="0.15"/>
    <row r="46696" s="76" customFormat="1" ht="21.95" customHeight="1" x14ac:dyDescent="0.15"/>
    <row r="46697" s="76" customFormat="1" ht="21.95" customHeight="1" x14ac:dyDescent="0.15"/>
    <row r="46698" s="76" customFormat="1" ht="21.95" customHeight="1" x14ac:dyDescent="0.15"/>
    <row r="46699" s="76" customFormat="1" ht="21.95" customHeight="1" x14ac:dyDescent="0.15"/>
    <row r="46700" s="76" customFormat="1" ht="21.95" customHeight="1" x14ac:dyDescent="0.15"/>
    <row r="46701" s="76" customFormat="1" ht="21.95" customHeight="1" x14ac:dyDescent="0.15"/>
    <row r="46702" s="76" customFormat="1" ht="21.95" customHeight="1" x14ac:dyDescent="0.15"/>
    <row r="46703" s="76" customFormat="1" ht="21.95" customHeight="1" x14ac:dyDescent="0.15"/>
    <row r="46704" s="76" customFormat="1" ht="21.95" customHeight="1" x14ac:dyDescent="0.15"/>
    <row r="46705" spans="3:3" customFormat="1" ht="21.95" customHeight="1" x14ac:dyDescent="0.15"/>
    <row r="46706" spans="3:3" customFormat="1" ht="21.95" customHeight="1" x14ac:dyDescent="0.15"/>
    <row r="46707" spans="3:3" customFormat="1" ht="21.95" customHeight="1" x14ac:dyDescent="0.15">
      <c r="C46707" s="94"/>
    </row>
    <row r="46708" spans="3:3" customFormat="1" ht="21.95" customHeight="1" x14ac:dyDescent="0.15">
      <c r="C46708" s="94"/>
    </row>
    <row r="46709" spans="3:3" customFormat="1" ht="21.95" customHeight="1" x14ac:dyDescent="0.15"/>
    <row r="46710" spans="3:3" customFormat="1" ht="21.95" customHeight="1" x14ac:dyDescent="0.15"/>
    <row r="46711" spans="3:3" customFormat="1" ht="21.95" customHeight="1" x14ac:dyDescent="0.15"/>
    <row r="46712" spans="3:3" customFormat="1" ht="21.95" customHeight="1" x14ac:dyDescent="0.15"/>
    <row r="46713" spans="3:3" customFormat="1" ht="21.95" customHeight="1" x14ac:dyDescent="0.15"/>
    <row r="46714" spans="3:3" customFormat="1" ht="21.95" customHeight="1" x14ac:dyDescent="0.15"/>
    <row r="46715" spans="3:3" customFormat="1" ht="21.95" customHeight="1" x14ac:dyDescent="0.15"/>
    <row r="46716" spans="3:3" s="76" customFormat="1" ht="21.95" customHeight="1" x14ac:dyDescent="0.15"/>
    <row r="46717" spans="3:3" s="76" customFormat="1" ht="21.95" customHeight="1" x14ac:dyDescent="0.15"/>
    <row r="46718" spans="3:3" s="76" customFormat="1" ht="21.95" customHeight="1" x14ac:dyDescent="0.15"/>
    <row r="46719" spans="3:3" s="76" customFormat="1" ht="21.95" customHeight="1" x14ac:dyDescent="0.15"/>
    <row r="46720" spans="3:3" customFormat="1" ht="21.95" customHeight="1" x14ac:dyDescent="0.15"/>
    <row r="46721" customFormat="1" ht="21.95" customHeight="1" x14ac:dyDescent="0.15"/>
    <row r="46722" customFormat="1" ht="21.95" customHeight="1" x14ac:dyDescent="0.15"/>
    <row r="46723" customFormat="1" ht="21.95" customHeight="1" x14ac:dyDescent="0.15"/>
    <row r="46724" customFormat="1" ht="21.95" customHeight="1" x14ac:dyDescent="0.15"/>
    <row r="46725" customFormat="1" ht="21.95" customHeight="1" x14ac:dyDescent="0.15"/>
    <row r="46726" customFormat="1" ht="21.95" customHeight="1" x14ac:dyDescent="0.15"/>
    <row r="46727" customFormat="1" ht="21.95" customHeight="1" x14ac:dyDescent="0.15"/>
    <row r="46728" customFormat="1" ht="21.95" customHeight="1" x14ac:dyDescent="0.15"/>
    <row r="46729" customFormat="1" ht="21.95" customHeight="1" x14ac:dyDescent="0.15"/>
    <row r="46730" customFormat="1" ht="21.95" customHeight="1" x14ac:dyDescent="0.15"/>
    <row r="46731" customFormat="1" ht="32.1" customHeight="1" x14ac:dyDescent="0.15"/>
    <row r="46732" customFormat="1" ht="32.1" customHeight="1" x14ac:dyDescent="0.15"/>
    <row r="46733" customFormat="1" ht="32.1" customHeight="1" x14ac:dyDescent="0.15"/>
    <row r="46734" customFormat="1" ht="32.1" customHeight="1" x14ac:dyDescent="0.15"/>
    <row r="46735" customFormat="1" ht="32.1" customHeight="1" x14ac:dyDescent="0.15"/>
    <row r="46736" customFormat="1" ht="32.1" customHeight="1" x14ac:dyDescent="0.15"/>
    <row r="46737" s="76" customFormat="1" ht="32.1" customHeight="1" x14ac:dyDescent="0.15"/>
    <row r="46738" s="76" customFormat="1" ht="32.1" customHeight="1" x14ac:dyDescent="0.15"/>
    <row r="46739" s="76" customFormat="1" ht="32.1" customHeight="1" x14ac:dyDescent="0.15"/>
    <row r="46740" s="76" customFormat="1" ht="32.1" customHeight="1" x14ac:dyDescent="0.15"/>
    <row r="46741" s="76" customFormat="1" ht="21.95" customHeight="1" x14ac:dyDescent="0.15"/>
    <row r="46742" s="76" customFormat="1" ht="54" customHeight="1" x14ac:dyDescent="0.15"/>
    <row r="46743" s="76" customFormat="1" ht="21.95" customHeight="1" x14ac:dyDescent="0.15"/>
    <row r="46744" s="76" customFormat="1" ht="21.95" customHeight="1" x14ac:dyDescent="0.15"/>
    <row r="46745" s="76" customFormat="1" ht="21.95" customHeight="1" x14ac:dyDescent="0.15"/>
    <row r="46746" s="76" customFormat="1" ht="21.95" customHeight="1" x14ac:dyDescent="0.15"/>
    <row r="46747" s="76" customFormat="1" ht="21.95" customHeight="1" x14ac:dyDescent="0.15"/>
    <row r="46748" s="76" customFormat="1" ht="21.95" customHeight="1" x14ac:dyDescent="0.15"/>
    <row r="46749" s="76" customFormat="1" ht="21.95" customHeight="1" x14ac:dyDescent="0.15"/>
    <row r="46750" s="76" customFormat="1" ht="21.95" customHeight="1" x14ac:dyDescent="0.15"/>
    <row r="46751" s="76" customFormat="1" ht="21.95" customHeight="1" x14ac:dyDescent="0.15"/>
    <row r="46752" s="76" customFormat="1" ht="21.95" customHeight="1" x14ac:dyDescent="0.15"/>
    <row r="46753" s="76" customFormat="1" ht="21.95" customHeight="1" x14ac:dyDescent="0.15"/>
    <row r="46754" s="76" customFormat="1" ht="21.95" customHeight="1" x14ac:dyDescent="0.15"/>
    <row r="46755" s="76" customFormat="1" ht="21.95" customHeight="1" x14ac:dyDescent="0.15"/>
    <row r="46756" s="76" customFormat="1" ht="21.95" customHeight="1" x14ac:dyDescent="0.15"/>
    <row r="46757" s="76" customFormat="1" ht="21.95" customHeight="1" x14ac:dyDescent="0.15"/>
    <row r="46758" s="76" customFormat="1" ht="21.95" customHeight="1" x14ac:dyDescent="0.15"/>
    <row r="46759" s="76" customFormat="1" ht="21.95" customHeight="1" x14ac:dyDescent="0.15"/>
    <row r="46760" s="76" customFormat="1" ht="21.95" customHeight="1" x14ac:dyDescent="0.15"/>
    <row r="46761" s="76" customFormat="1" ht="21.95" customHeight="1" x14ac:dyDescent="0.15"/>
    <row r="46762" s="76" customFormat="1" ht="21.95" customHeight="1" x14ac:dyDescent="0.15"/>
    <row r="46763" s="76" customFormat="1" ht="21.95" customHeight="1" x14ac:dyDescent="0.15"/>
    <row r="46764" s="76" customFormat="1" ht="21.95" customHeight="1" x14ac:dyDescent="0.15"/>
    <row r="46765" s="76" customFormat="1" ht="21.95" customHeight="1" x14ac:dyDescent="0.15"/>
    <row r="46766" s="76" customFormat="1" ht="21.95" customHeight="1" x14ac:dyDescent="0.15"/>
    <row r="46767" s="76" customFormat="1" ht="21.95" customHeight="1" x14ac:dyDescent="0.15"/>
    <row r="46768" s="76" customFormat="1" ht="21.95" customHeight="1" x14ac:dyDescent="0.15"/>
    <row r="46769" s="76" customFormat="1" ht="21.95" customHeight="1" x14ac:dyDescent="0.15"/>
    <row r="46770" s="76" customFormat="1" ht="21.95" customHeight="1" x14ac:dyDescent="0.15"/>
    <row r="46771" s="76" customFormat="1" ht="21.95" customHeight="1" x14ac:dyDescent="0.15"/>
    <row r="46772" s="76" customFormat="1" ht="21.95" customHeight="1" x14ac:dyDescent="0.15"/>
    <row r="46773" s="76" customFormat="1" ht="21.95" customHeight="1" x14ac:dyDescent="0.15"/>
    <row r="46774" s="76" customFormat="1" ht="21.95" customHeight="1" x14ac:dyDescent="0.15"/>
    <row r="46775" s="76" customFormat="1" ht="21.95" customHeight="1" x14ac:dyDescent="0.15"/>
    <row r="46776" s="76" customFormat="1" ht="21.95" customHeight="1" x14ac:dyDescent="0.15"/>
    <row r="46777" s="76" customFormat="1" ht="21.95" customHeight="1" x14ac:dyDescent="0.15"/>
    <row r="46778" s="76" customFormat="1" ht="21.95" customHeight="1" x14ac:dyDescent="0.15"/>
    <row r="46779" s="76" customFormat="1" ht="21.95" customHeight="1" x14ac:dyDescent="0.15"/>
    <row r="46780" s="76" customFormat="1" ht="21.95" customHeight="1" x14ac:dyDescent="0.15"/>
    <row r="46781" s="76" customFormat="1" ht="21.95" customHeight="1" x14ac:dyDescent="0.15"/>
    <row r="46782" s="76" customFormat="1" ht="21.95" customHeight="1" x14ac:dyDescent="0.15"/>
    <row r="46783" s="76" customFormat="1" ht="21.95" customHeight="1" x14ac:dyDescent="0.15"/>
    <row r="46784" s="76" customFormat="1" ht="21.95" customHeight="1" x14ac:dyDescent="0.15"/>
    <row r="46785" s="76" customFormat="1" ht="21.95" customHeight="1" x14ac:dyDescent="0.15"/>
    <row r="46786" s="76" customFormat="1" ht="21.95" customHeight="1" x14ac:dyDescent="0.15"/>
    <row r="46787" s="76" customFormat="1" ht="21.95" customHeight="1" x14ac:dyDescent="0.15"/>
    <row r="46788" s="76" customFormat="1" ht="21.95" customHeight="1" x14ac:dyDescent="0.15"/>
    <row r="46789" s="76" customFormat="1" ht="21.95" customHeight="1" x14ac:dyDescent="0.15"/>
    <row r="46790" s="76" customFormat="1" ht="21.95" customHeight="1" x14ac:dyDescent="0.15"/>
    <row r="46791" s="76" customFormat="1" ht="21.95" customHeight="1" x14ac:dyDescent="0.15"/>
    <row r="46792" s="76" customFormat="1" ht="21.95" customHeight="1" x14ac:dyDescent="0.15"/>
    <row r="46793" s="76" customFormat="1" ht="35.1" customHeight="1" x14ac:dyDescent="0.15"/>
    <row r="46794" s="76" customFormat="1" ht="21.95" customHeight="1" x14ac:dyDescent="0.15"/>
    <row r="46795" s="76" customFormat="1" ht="21.95" customHeight="1" x14ac:dyDescent="0.15"/>
    <row r="46796" s="76" customFormat="1" ht="21.95" customHeight="1" x14ac:dyDescent="0.15"/>
    <row r="46797" s="76" customFormat="1" ht="21.95" customHeight="1" x14ac:dyDescent="0.15"/>
    <row r="46798" s="76" customFormat="1" ht="21.95" customHeight="1" x14ac:dyDescent="0.15"/>
    <row r="46799" s="76" customFormat="1" ht="21.95" customHeight="1" x14ac:dyDescent="0.15"/>
    <row r="46800" s="76" customFormat="1" ht="21.95" customHeight="1" x14ac:dyDescent="0.15"/>
    <row r="46801" s="76" customFormat="1" ht="21.95" customHeight="1" x14ac:dyDescent="0.15"/>
    <row r="46802" s="76" customFormat="1" ht="21.95" customHeight="1" x14ac:dyDescent="0.15"/>
    <row r="46803" s="76" customFormat="1" ht="21.95" customHeight="1" x14ac:dyDescent="0.15"/>
    <row r="46804" s="76" customFormat="1" ht="21.95" customHeight="1" x14ac:dyDescent="0.15"/>
    <row r="46805" s="76" customFormat="1" ht="21.95" customHeight="1" x14ac:dyDescent="0.15"/>
    <row r="46806" s="76" customFormat="1" ht="21.95" customHeight="1" x14ac:dyDescent="0.15"/>
    <row r="46807" s="76" customFormat="1" ht="21.95" customHeight="1" x14ac:dyDescent="0.15"/>
    <row r="46808" s="76" customFormat="1" ht="21.95" customHeight="1" x14ac:dyDescent="0.15"/>
    <row r="46809" s="76" customFormat="1" ht="21.95" customHeight="1" x14ac:dyDescent="0.15"/>
    <row r="46810" s="76" customFormat="1" ht="21.95" customHeight="1" x14ac:dyDescent="0.15"/>
    <row r="46811" s="76" customFormat="1" ht="21.95" customHeight="1" x14ac:dyDescent="0.15"/>
    <row r="46812" s="76" customFormat="1" ht="21.95" customHeight="1" x14ac:dyDescent="0.15"/>
    <row r="46813" s="76" customFormat="1" ht="21.95" customHeight="1" x14ac:dyDescent="0.15"/>
    <row r="46814" s="76" customFormat="1" ht="21.95" customHeight="1" x14ac:dyDescent="0.15"/>
    <row r="46815" s="76" customFormat="1" ht="21.95" customHeight="1" x14ac:dyDescent="0.15"/>
    <row r="46816" s="76" customFormat="1" ht="21.95" customHeight="1" x14ac:dyDescent="0.15"/>
    <row r="46817" spans="3:3" customFormat="1" ht="21.95" customHeight="1" x14ac:dyDescent="0.15"/>
    <row r="46818" spans="3:3" customFormat="1" ht="21.95" customHeight="1" x14ac:dyDescent="0.15"/>
    <row r="46819" spans="3:3" customFormat="1" ht="21.95" customHeight="1" x14ac:dyDescent="0.15">
      <c r="C46819" s="94"/>
    </row>
    <row r="46820" spans="3:3" customFormat="1" ht="21.95" customHeight="1" x14ac:dyDescent="0.15">
      <c r="C46820" s="94"/>
    </row>
    <row r="46821" spans="3:3" customFormat="1" ht="21.95" customHeight="1" x14ac:dyDescent="0.15"/>
    <row r="46822" spans="3:3" customFormat="1" ht="21.95" customHeight="1" x14ac:dyDescent="0.15"/>
    <row r="46823" spans="3:3" customFormat="1" ht="21.95" customHeight="1" x14ac:dyDescent="0.15"/>
    <row r="46824" spans="3:3" customFormat="1" ht="21.95" customHeight="1" x14ac:dyDescent="0.15"/>
    <row r="46825" spans="3:3" customFormat="1" ht="21.95" customHeight="1" x14ac:dyDescent="0.15"/>
    <row r="46826" spans="3:3" customFormat="1" ht="21.95" customHeight="1" x14ac:dyDescent="0.15"/>
    <row r="46827" spans="3:3" customFormat="1" ht="21.95" customHeight="1" x14ac:dyDescent="0.15"/>
    <row r="46828" spans="3:3" s="76" customFormat="1" ht="21.95" customHeight="1" x14ac:dyDescent="0.15"/>
    <row r="46829" spans="3:3" s="76" customFormat="1" ht="21.95" customHeight="1" x14ac:dyDescent="0.15"/>
    <row r="46830" spans="3:3" s="76" customFormat="1" ht="21.95" customHeight="1" x14ac:dyDescent="0.15"/>
    <row r="46831" spans="3:3" s="76" customFormat="1" ht="21.95" customHeight="1" x14ac:dyDescent="0.15"/>
    <row r="46832" spans="3:3" customFormat="1" ht="21.95" customHeight="1" x14ac:dyDescent="0.15"/>
    <row r="46833" customFormat="1" ht="21.95" customHeight="1" x14ac:dyDescent="0.15"/>
    <row r="46834" customFormat="1" ht="21.95" customHeight="1" x14ac:dyDescent="0.15"/>
    <row r="46835" customFormat="1" ht="21.95" customHeight="1" x14ac:dyDescent="0.15"/>
    <row r="46836" customFormat="1" ht="21.95" customHeight="1" x14ac:dyDescent="0.15"/>
    <row r="46837" customFormat="1" ht="21.95" customHeight="1" x14ac:dyDescent="0.15"/>
    <row r="46838" customFormat="1" ht="21.95" customHeight="1" x14ac:dyDescent="0.15"/>
    <row r="46839" customFormat="1" ht="21.95" customHeight="1" x14ac:dyDescent="0.15"/>
    <row r="46840" customFormat="1" ht="21.95" customHeight="1" x14ac:dyDescent="0.15"/>
    <row r="46841" customFormat="1" ht="21.95" customHeight="1" x14ac:dyDescent="0.15"/>
    <row r="46842" customFormat="1" ht="21.95" customHeight="1" x14ac:dyDescent="0.15"/>
    <row r="46843" customFormat="1" ht="32.1" customHeight="1" x14ac:dyDescent="0.15"/>
    <row r="46844" customFormat="1" ht="32.1" customHeight="1" x14ac:dyDescent="0.15"/>
    <row r="46845" customFormat="1" ht="32.1" customHeight="1" x14ac:dyDescent="0.15"/>
    <row r="46846" customFormat="1" ht="32.1" customHeight="1" x14ac:dyDescent="0.15"/>
    <row r="46847" customFormat="1" ht="32.1" customHeight="1" x14ac:dyDescent="0.15"/>
    <row r="46848" customFormat="1" ht="32.1" customHeight="1" x14ac:dyDescent="0.15"/>
    <row r="46849" s="76" customFormat="1" ht="32.1" customHeight="1" x14ac:dyDescent="0.15"/>
    <row r="46850" s="76" customFormat="1" ht="32.1" customHeight="1" x14ac:dyDescent="0.15"/>
    <row r="46851" s="76" customFormat="1" ht="32.1" customHeight="1" x14ac:dyDescent="0.15"/>
    <row r="46852" s="76" customFormat="1" ht="32.1" customHeight="1" x14ac:dyDescent="0.15"/>
    <row r="46853" s="76" customFormat="1" ht="21.95" customHeight="1" x14ac:dyDescent="0.15"/>
    <row r="46854" s="76" customFormat="1" ht="54" customHeight="1" x14ac:dyDescent="0.15"/>
    <row r="46855" s="76" customFormat="1" ht="21.95" customHeight="1" x14ac:dyDescent="0.15"/>
    <row r="46856" s="76" customFormat="1" ht="21.95" customHeight="1" x14ac:dyDescent="0.15"/>
    <row r="46857" s="76" customFormat="1" ht="21.95" customHeight="1" x14ac:dyDescent="0.15"/>
    <row r="46858" s="76" customFormat="1" ht="21.95" customHeight="1" x14ac:dyDescent="0.15"/>
    <row r="46859" s="76" customFormat="1" ht="21.95" customHeight="1" x14ac:dyDescent="0.15"/>
    <row r="46860" s="76" customFormat="1" ht="21.95" customHeight="1" x14ac:dyDescent="0.15"/>
    <row r="46861" s="76" customFormat="1" ht="21.95" customHeight="1" x14ac:dyDescent="0.15"/>
    <row r="46862" s="76" customFormat="1" ht="21.95" customHeight="1" x14ac:dyDescent="0.15"/>
    <row r="46863" s="76" customFormat="1" ht="21.95" customHeight="1" x14ac:dyDescent="0.15"/>
    <row r="46864" s="76" customFormat="1" ht="21.95" customHeight="1" x14ac:dyDescent="0.15"/>
    <row r="46865" s="76" customFormat="1" ht="21.95" customHeight="1" x14ac:dyDescent="0.15"/>
    <row r="46866" s="76" customFormat="1" ht="21.95" customHeight="1" x14ac:dyDescent="0.15"/>
    <row r="46867" s="76" customFormat="1" ht="21.95" customHeight="1" x14ac:dyDescent="0.15"/>
    <row r="46868" s="76" customFormat="1" ht="21.95" customHeight="1" x14ac:dyDescent="0.15"/>
    <row r="46869" s="76" customFormat="1" ht="21.95" customHeight="1" x14ac:dyDescent="0.15"/>
    <row r="46870" s="76" customFormat="1" ht="21.95" customHeight="1" x14ac:dyDescent="0.15"/>
    <row r="46871" s="76" customFormat="1" ht="21.95" customHeight="1" x14ac:dyDescent="0.15"/>
    <row r="46872" s="76" customFormat="1" ht="21.95" customHeight="1" x14ac:dyDescent="0.15"/>
    <row r="46873" s="76" customFormat="1" ht="21.95" customHeight="1" x14ac:dyDescent="0.15"/>
    <row r="46874" s="76" customFormat="1" ht="21.95" customHeight="1" x14ac:dyDescent="0.15"/>
    <row r="46875" s="76" customFormat="1" ht="21.95" customHeight="1" x14ac:dyDescent="0.15"/>
    <row r="46876" s="76" customFormat="1" ht="21.95" customHeight="1" x14ac:dyDescent="0.15"/>
    <row r="46877" s="76" customFormat="1" ht="21.95" customHeight="1" x14ac:dyDescent="0.15"/>
    <row r="46878" s="76" customFormat="1" ht="21.95" customHeight="1" x14ac:dyDescent="0.15"/>
    <row r="46879" s="76" customFormat="1" ht="21.95" customHeight="1" x14ac:dyDescent="0.15"/>
    <row r="46880" s="76" customFormat="1" ht="21.95" customHeight="1" x14ac:dyDescent="0.15"/>
    <row r="46881" s="76" customFormat="1" ht="21.95" customHeight="1" x14ac:dyDescent="0.15"/>
    <row r="46882" s="76" customFormat="1" ht="21.95" customHeight="1" x14ac:dyDescent="0.15"/>
    <row r="46883" s="76" customFormat="1" ht="21.95" customHeight="1" x14ac:dyDescent="0.15"/>
    <row r="46884" s="76" customFormat="1" ht="21.95" customHeight="1" x14ac:dyDescent="0.15"/>
    <row r="46885" s="76" customFormat="1" ht="21.95" customHeight="1" x14ac:dyDescent="0.15"/>
    <row r="46886" s="76" customFormat="1" ht="21.95" customHeight="1" x14ac:dyDescent="0.15"/>
    <row r="46887" s="76" customFormat="1" ht="21.95" customHeight="1" x14ac:dyDescent="0.15"/>
    <row r="46888" s="76" customFormat="1" ht="21.95" customHeight="1" x14ac:dyDescent="0.15"/>
    <row r="46889" s="76" customFormat="1" ht="21.95" customHeight="1" x14ac:dyDescent="0.15"/>
    <row r="46890" s="76" customFormat="1" ht="21.95" customHeight="1" x14ac:dyDescent="0.15"/>
    <row r="46891" s="76" customFormat="1" ht="21.95" customHeight="1" x14ac:dyDescent="0.15"/>
    <row r="46892" s="76" customFormat="1" ht="21.95" customHeight="1" x14ac:dyDescent="0.15"/>
    <row r="46893" s="76" customFormat="1" ht="21.95" customHeight="1" x14ac:dyDescent="0.15"/>
    <row r="46894" s="76" customFormat="1" ht="21.95" customHeight="1" x14ac:dyDescent="0.15"/>
    <row r="46895" s="76" customFormat="1" ht="21.95" customHeight="1" x14ac:dyDescent="0.15"/>
    <row r="46896" s="76" customFormat="1" ht="21.95" customHeight="1" x14ac:dyDescent="0.15"/>
    <row r="46897" s="76" customFormat="1" ht="21.95" customHeight="1" x14ac:dyDescent="0.15"/>
    <row r="46898" s="76" customFormat="1" ht="21.95" customHeight="1" x14ac:dyDescent="0.15"/>
    <row r="46899" s="76" customFormat="1" ht="21.95" customHeight="1" x14ac:dyDescent="0.15"/>
    <row r="46900" s="76" customFormat="1" ht="21.95" customHeight="1" x14ac:dyDescent="0.15"/>
    <row r="46901" s="76" customFormat="1" ht="21.95" customHeight="1" x14ac:dyDescent="0.15"/>
    <row r="46902" s="76" customFormat="1" ht="21.95" customHeight="1" x14ac:dyDescent="0.15"/>
    <row r="46903" s="76" customFormat="1" ht="21.95" customHeight="1" x14ac:dyDescent="0.15"/>
    <row r="46904" s="76" customFormat="1" ht="21.95" customHeight="1" x14ac:dyDescent="0.15"/>
    <row r="46905" s="76" customFormat="1" ht="35.1" customHeight="1" x14ac:dyDescent="0.15"/>
    <row r="46906" s="76" customFormat="1" ht="21.95" customHeight="1" x14ac:dyDescent="0.15"/>
    <row r="46907" s="76" customFormat="1" ht="21.95" customHeight="1" x14ac:dyDescent="0.15"/>
    <row r="46908" s="76" customFormat="1" ht="21.95" customHeight="1" x14ac:dyDescent="0.15"/>
    <row r="46909" s="76" customFormat="1" ht="21.95" customHeight="1" x14ac:dyDescent="0.15"/>
    <row r="46910" s="76" customFormat="1" ht="21.95" customHeight="1" x14ac:dyDescent="0.15"/>
    <row r="46911" s="76" customFormat="1" ht="21.95" customHeight="1" x14ac:dyDescent="0.15"/>
    <row r="46912" s="76" customFormat="1" ht="21.95" customHeight="1" x14ac:dyDescent="0.15"/>
    <row r="46913" s="76" customFormat="1" ht="21.95" customHeight="1" x14ac:dyDescent="0.15"/>
    <row r="46914" s="76" customFormat="1" ht="21.95" customHeight="1" x14ac:dyDescent="0.15"/>
    <row r="46915" s="76" customFormat="1" ht="21.95" customHeight="1" x14ac:dyDescent="0.15"/>
    <row r="46916" s="76" customFormat="1" ht="21.95" customHeight="1" x14ac:dyDescent="0.15"/>
    <row r="46917" s="76" customFormat="1" ht="21.95" customHeight="1" x14ac:dyDescent="0.15"/>
    <row r="46918" s="76" customFormat="1" ht="21.95" customHeight="1" x14ac:dyDescent="0.15"/>
    <row r="46919" s="76" customFormat="1" ht="21.95" customHeight="1" x14ac:dyDescent="0.15"/>
    <row r="46920" s="76" customFormat="1" ht="21.95" customHeight="1" x14ac:dyDescent="0.15"/>
    <row r="46921" s="76" customFormat="1" ht="21.95" customHeight="1" x14ac:dyDescent="0.15"/>
    <row r="46922" s="76" customFormat="1" ht="21.95" customHeight="1" x14ac:dyDescent="0.15"/>
    <row r="46923" s="76" customFormat="1" ht="21.95" customHeight="1" x14ac:dyDescent="0.15"/>
    <row r="46924" s="76" customFormat="1" ht="21.95" customHeight="1" x14ac:dyDescent="0.15"/>
    <row r="46925" s="76" customFormat="1" ht="21.95" customHeight="1" x14ac:dyDescent="0.15"/>
    <row r="46926" s="76" customFormat="1" ht="21.95" customHeight="1" x14ac:dyDescent="0.15"/>
    <row r="46927" s="76" customFormat="1" ht="21.95" customHeight="1" x14ac:dyDescent="0.15"/>
    <row r="46928" s="76" customFormat="1" ht="21.95" customHeight="1" x14ac:dyDescent="0.15"/>
    <row r="46929" spans="3:3" customFormat="1" ht="21.95" customHeight="1" x14ac:dyDescent="0.15"/>
    <row r="46930" spans="3:3" customFormat="1" ht="21.95" customHeight="1" x14ac:dyDescent="0.15"/>
    <row r="46931" spans="3:3" customFormat="1" ht="21.95" customHeight="1" x14ac:dyDescent="0.15">
      <c r="C46931" s="94"/>
    </row>
    <row r="46932" spans="3:3" customFormat="1" ht="21.95" customHeight="1" x14ac:dyDescent="0.15">
      <c r="C46932" s="94"/>
    </row>
    <row r="46933" spans="3:3" customFormat="1" ht="21.95" customHeight="1" x14ac:dyDescent="0.15"/>
    <row r="46934" spans="3:3" customFormat="1" ht="21.95" customHeight="1" x14ac:dyDescent="0.15"/>
    <row r="46935" spans="3:3" customFormat="1" ht="21.95" customHeight="1" x14ac:dyDescent="0.15"/>
    <row r="46936" spans="3:3" customFormat="1" ht="21.95" customHeight="1" x14ac:dyDescent="0.15"/>
    <row r="46937" spans="3:3" customFormat="1" ht="21.95" customHeight="1" x14ac:dyDescent="0.15"/>
    <row r="46938" spans="3:3" customFormat="1" ht="21.95" customHeight="1" x14ac:dyDescent="0.15"/>
    <row r="46939" spans="3:3" customFormat="1" ht="21.95" customHeight="1" x14ac:dyDescent="0.15"/>
    <row r="46940" spans="3:3" s="76" customFormat="1" ht="21.95" customHeight="1" x14ac:dyDescent="0.15"/>
    <row r="46941" spans="3:3" s="76" customFormat="1" ht="21.95" customHeight="1" x14ac:dyDescent="0.15"/>
    <row r="46942" spans="3:3" s="76" customFormat="1" ht="21.95" customHeight="1" x14ac:dyDescent="0.15"/>
    <row r="46943" spans="3:3" s="76" customFormat="1" ht="21.95" customHeight="1" x14ac:dyDescent="0.15"/>
    <row r="46944" spans="3:3" customFormat="1" ht="21.95" customHeight="1" x14ac:dyDescent="0.15"/>
    <row r="46945" customFormat="1" ht="21.95" customHeight="1" x14ac:dyDescent="0.15"/>
    <row r="46946" customFormat="1" ht="21.95" customHeight="1" x14ac:dyDescent="0.15"/>
    <row r="46947" customFormat="1" ht="21.95" customHeight="1" x14ac:dyDescent="0.15"/>
    <row r="46948" customFormat="1" ht="21.95" customHeight="1" x14ac:dyDescent="0.15"/>
    <row r="46949" customFormat="1" ht="21.95" customHeight="1" x14ac:dyDescent="0.15"/>
    <row r="46950" customFormat="1" ht="21.95" customHeight="1" x14ac:dyDescent="0.15"/>
    <row r="46951" customFormat="1" ht="21.95" customHeight="1" x14ac:dyDescent="0.15"/>
    <row r="46952" customFormat="1" ht="21.95" customHeight="1" x14ac:dyDescent="0.15"/>
    <row r="46953" customFormat="1" ht="21.95" customHeight="1" x14ac:dyDescent="0.15"/>
    <row r="46954" customFormat="1" ht="21.95" customHeight="1" x14ac:dyDescent="0.15"/>
    <row r="46955" customFormat="1" ht="32.1" customHeight="1" x14ac:dyDescent="0.15"/>
    <row r="46956" customFormat="1" ht="32.1" customHeight="1" x14ac:dyDescent="0.15"/>
    <row r="46957" customFormat="1" ht="32.1" customHeight="1" x14ac:dyDescent="0.15"/>
    <row r="46958" customFormat="1" ht="32.1" customHeight="1" x14ac:dyDescent="0.15"/>
    <row r="46959" customFormat="1" ht="32.1" customHeight="1" x14ac:dyDescent="0.15"/>
    <row r="46960" customFormat="1" ht="32.1" customHeight="1" x14ac:dyDescent="0.15"/>
    <row r="46961" s="76" customFormat="1" ht="32.1" customHeight="1" x14ac:dyDescent="0.15"/>
    <row r="46962" s="76" customFormat="1" ht="32.1" customHeight="1" x14ac:dyDescent="0.15"/>
    <row r="46963" s="76" customFormat="1" ht="32.1" customHeight="1" x14ac:dyDescent="0.15"/>
    <row r="46964" s="76" customFormat="1" ht="32.1" customHeight="1" x14ac:dyDescent="0.15"/>
    <row r="46965" s="76" customFormat="1" ht="21.95" customHeight="1" x14ac:dyDescent="0.15"/>
    <row r="46966" s="76" customFormat="1" ht="54" customHeight="1" x14ac:dyDescent="0.15"/>
    <row r="46967" s="76" customFormat="1" ht="21.95" customHeight="1" x14ac:dyDescent="0.15"/>
    <row r="46968" s="76" customFormat="1" ht="21.95" customHeight="1" x14ac:dyDescent="0.15"/>
    <row r="46969" s="76" customFormat="1" ht="21.95" customHeight="1" x14ac:dyDescent="0.15"/>
    <row r="46970" s="76" customFormat="1" ht="21.95" customHeight="1" x14ac:dyDescent="0.15"/>
    <row r="46971" s="76" customFormat="1" ht="21.95" customHeight="1" x14ac:dyDescent="0.15"/>
    <row r="46972" s="76" customFormat="1" ht="21.95" customHeight="1" x14ac:dyDescent="0.15"/>
    <row r="46973" s="76" customFormat="1" ht="21.95" customHeight="1" x14ac:dyDescent="0.15"/>
    <row r="46974" s="76" customFormat="1" ht="21.95" customHeight="1" x14ac:dyDescent="0.15"/>
    <row r="46975" s="76" customFormat="1" ht="21.95" customHeight="1" x14ac:dyDescent="0.15"/>
    <row r="46976" s="76" customFormat="1" ht="21.95" customHeight="1" x14ac:dyDescent="0.15"/>
    <row r="46977" s="76" customFormat="1" ht="21.95" customHeight="1" x14ac:dyDescent="0.15"/>
    <row r="46978" s="76" customFormat="1" ht="21.95" customHeight="1" x14ac:dyDescent="0.15"/>
    <row r="46979" s="76" customFormat="1" ht="21.95" customHeight="1" x14ac:dyDescent="0.15"/>
    <row r="46980" s="76" customFormat="1" ht="21.95" customHeight="1" x14ac:dyDescent="0.15"/>
    <row r="46981" s="76" customFormat="1" ht="21.95" customHeight="1" x14ac:dyDescent="0.15"/>
    <row r="46982" s="76" customFormat="1" ht="21.95" customHeight="1" x14ac:dyDescent="0.15"/>
    <row r="46983" s="76" customFormat="1" ht="21.95" customHeight="1" x14ac:dyDescent="0.15"/>
    <row r="46984" s="76" customFormat="1" ht="21.95" customHeight="1" x14ac:dyDescent="0.15"/>
    <row r="46985" s="76" customFormat="1" ht="21.95" customHeight="1" x14ac:dyDescent="0.15"/>
    <row r="46986" s="76" customFormat="1" ht="21.95" customHeight="1" x14ac:dyDescent="0.15"/>
    <row r="46987" s="76" customFormat="1" ht="21.95" customHeight="1" x14ac:dyDescent="0.15"/>
    <row r="46988" s="76" customFormat="1" ht="21.95" customHeight="1" x14ac:dyDescent="0.15"/>
    <row r="46989" s="76" customFormat="1" ht="21.95" customHeight="1" x14ac:dyDescent="0.15"/>
    <row r="46990" s="76" customFormat="1" ht="21.95" customHeight="1" x14ac:dyDescent="0.15"/>
    <row r="46991" s="76" customFormat="1" ht="21.95" customHeight="1" x14ac:dyDescent="0.15"/>
    <row r="46992" s="76" customFormat="1" ht="21.95" customHeight="1" x14ac:dyDescent="0.15"/>
    <row r="46993" s="76" customFormat="1" ht="21.95" customHeight="1" x14ac:dyDescent="0.15"/>
    <row r="46994" s="76" customFormat="1" ht="21.95" customHeight="1" x14ac:dyDescent="0.15"/>
    <row r="46995" s="76" customFormat="1" ht="21.95" customHeight="1" x14ac:dyDescent="0.15"/>
    <row r="46996" s="76" customFormat="1" ht="21.95" customHeight="1" x14ac:dyDescent="0.15"/>
    <row r="46997" s="76" customFormat="1" ht="21.95" customHeight="1" x14ac:dyDescent="0.15"/>
    <row r="46998" s="76" customFormat="1" ht="21.95" customHeight="1" x14ac:dyDescent="0.15"/>
    <row r="46999" s="76" customFormat="1" ht="21.95" customHeight="1" x14ac:dyDescent="0.15"/>
    <row r="47000" s="76" customFormat="1" ht="21.95" customHeight="1" x14ac:dyDescent="0.15"/>
    <row r="47001" s="76" customFormat="1" ht="21.95" customHeight="1" x14ac:dyDescent="0.15"/>
    <row r="47002" s="76" customFormat="1" ht="21.95" customHeight="1" x14ac:dyDescent="0.15"/>
    <row r="47003" s="76" customFormat="1" ht="21.95" customHeight="1" x14ac:dyDescent="0.15"/>
    <row r="47004" s="76" customFormat="1" ht="21.95" customHeight="1" x14ac:dyDescent="0.15"/>
    <row r="47005" s="76" customFormat="1" ht="21.95" customHeight="1" x14ac:dyDescent="0.15"/>
    <row r="47006" s="76" customFormat="1" ht="21.95" customHeight="1" x14ac:dyDescent="0.15"/>
    <row r="47007" s="76" customFormat="1" ht="21.95" customHeight="1" x14ac:dyDescent="0.15"/>
    <row r="47008" s="76" customFormat="1" ht="21.95" customHeight="1" x14ac:dyDescent="0.15"/>
    <row r="47009" s="76" customFormat="1" ht="21.95" customHeight="1" x14ac:dyDescent="0.15"/>
    <row r="47010" s="76" customFormat="1" ht="21.95" customHeight="1" x14ac:dyDescent="0.15"/>
    <row r="47011" s="76" customFormat="1" ht="21.95" customHeight="1" x14ac:dyDescent="0.15"/>
    <row r="47012" s="76" customFormat="1" ht="21.95" customHeight="1" x14ac:dyDescent="0.15"/>
    <row r="47013" s="76" customFormat="1" ht="21.95" customHeight="1" x14ac:dyDescent="0.15"/>
    <row r="47014" s="76" customFormat="1" ht="21.95" customHeight="1" x14ac:dyDescent="0.15"/>
    <row r="47015" s="76" customFormat="1" ht="21.95" customHeight="1" x14ac:dyDescent="0.15"/>
    <row r="47016" s="76" customFormat="1" ht="21.95" customHeight="1" x14ac:dyDescent="0.15"/>
    <row r="47017" s="76" customFormat="1" ht="35.1" customHeight="1" x14ac:dyDescent="0.15"/>
    <row r="47018" s="76" customFormat="1" ht="21.95" customHeight="1" x14ac:dyDescent="0.15"/>
    <row r="47019" s="76" customFormat="1" ht="21.95" customHeight="1" x14ac:dyDescent="0.15"/>
    <row r="47020" s="76" customFormat="1" ht="21.95" customHeight="1" x14ac:dyDescent="0.15"/>
    <row r="47021" s="76" customFormat="1" ht="21.95" customHeight="1" x14ac:dyDescent="0.15"/>
    <row r="47022" s="76" customFormat="1" ht="21.95" customHeight="1" x14ac:dyDescent="0.15"/>
    <row r="47023" s="76" customFormat="1" ht="21.95" customHeight="1" x14ac:dyDescent="0.15"/>
    <row r="47024" s="76" customFormat="1" ht="21.95" customHeight="1" x14ac:dyDescent="0.15"/>
    <row r="47025" s="76" customFormat="1" ht="21.95" customHeight="1" x14ac:dyDescent="0.15"/>
    <row r="47026" s="76" customFormat="1" ht="21.95" customHeight="1" x14ac:dyDescent="0.15"/>
    <row r="47027" s="76" customFormat="1" ht="21.95" customHeight="1" x14ac:dyDescent="0.15"/>
    <row r="47028" s="76" customFormat="1" ht="21.95" customHeight="1" x14ac:dyDescent="0.15"/>
    <row r="47029" s="76" customFormat="1" ht="21.95" customHeight="1" x14ac:dyDescent="0.15"/>
    <row r="47030" s="76" customFormat="1" ht="21.95" customHeight="1" x14ac:dyDescent="0.15"/>
    <row r="47031" s="76" customFormat="1" ht="21.95" customHeight="1" x14ac:dyDescent="0.15"/>
    <row r="47032" s="76" customFormat="1" ht="21.95" customHeight="1" x14ac:dyDescent="0.15"/>
    <row r="47033" s="76" customFormat="1" ht="21.95" customHeight="1" x14ac:dyDescent="0.15"/>
    <row r="47034" s="76" customFormat="1" ht="21.95" customHeight="1" x14ac:dyDescent="0.15"/>
    <row r="47035" s="76" customFormat="1" ht="21.95" customHeight="1" x14ac:dyDescent="0.15"/>
    <row r="47036" s="76" customFormat="1" ht="21.95" customHeight="1" x14ac:dyDescent="0.15"/>
    <row r="47037" s="76" customFormat="1" ht="21.95" customHeight="1" x14ac:dyDescent="0.15"/>
    <row r="47038" s="76" customFormat="1" ht="21.95" customHeight="1" x14ac:dyDescent="0.15"/>
    <row r="47039" s="76" customFormat="1" ht="21.95" customHeight="1" x14ac:dyDescent="0.15"/>
    <row r="47040" s="76" customFormat="1" ht="21.95" customHeight="1" x14ac:dyDescent="0.15"/>
    <row r="47041" spans="3:3" customFormat="1" ht="21.95" customHeight="1" x14ac:dyDescent="0.15"/>
    <row r="47042" spans="3:3" customFormat="1" ht="21.95" customHeight="1" x14ac:dyDescent="0.15"/>
    <row r="47043" spans="3:3" customFormat="1" ht="21.95" customHeight="1" x14ac:dyDescent="0.15">
      <c r="C47043" s="94"/>
    </row>
    <row r="47044" spans="3:3" customFormat="1" ht="21.95" customHeight="1" x14ac:dyDescent="0.15">
      <c r="C47044" s="94"/>
    </row>
    <row r="47045" spans="3:3" customFormat="1" ht="21.95" customHeight="1" x14ac:dyDescent="0.15"/>
    <row r="47046" spans="3:3" customFormat="1" ht="21.95" customHeight="1" x14ac:dyDescent="0.15"/>
    <row r="47047" spans="3:3" customFormat="1" ht="21.95" customHeight="1" x14ac:dyDescent="0.15"/>
    <row r="47048" spans="3:3" customFormat="1" ht="21.95" customHeight="1" x14ac:dyDescent="0.15"/>
    <row r="47049" spans="3:3" customFormat="1" ht="21.95" customHeight="1" x14ac:dyDescent="0.15"/>
    <row r="47050" spans="3:3" customFormat="1" ht="21.95" customHeight="1" x14ac:dyDescent="0.15"/>
    <row r="47051" spans="3:3" customFormat="1" ht="21.95" customHeight="1" x14ac:dyDescent="0.15"/>
    <row r="47052" spans="3:3" s="76" customFormat="1" ht="21.95" customHeight="1" x14ac:dyDescent="0.15"/>
    <row r="47053" spans="3:3" s="76" customFormat="1" ht="21.95" customHeight="1" x14ac:dyDescent="0.15"/>
    <row r="47054" spans="3:3" s="76" customFormat="1" ht="21.95" customHeight="1" x14ac:dyDescent="0.15"/>
    <row r="47055" spans="3:3" s="76" customFormat="1" ht="21.95" customHeight="1" x14ac:dyDescent="0.15"/>
    <row r="47056" spans="3:3" customFormat="1" ht="21.95" customHeight="1" x14ac:dyDescent="0.15"/>
    <row r="47057" customFormat="1" ht="21.95" customHeight="1" x14ac:dyDescent="0.15"/>
    <row r="47058" customFormat="1" ht="21.95" customHeight="1" x14ac:dyDescent="0.15"/>
    <row r="47059" customFormat="1" ht="21.95" customHeight="1" x14ac:dyDescent="0.15"/>
    <row r="47060" customFormat="1" ht="21.95" customHeight="1" x14ac:dyDescent="0.15"/>
    <row r="47061" customFormat="1" ht="21.95" customHeight="1" x14ac:dyDescent="0.15"/>
    <row r="47062" customFormat="1" ht="21.95" customHeight="1" x14ac:dyDescent="0.15"/>
    <row r="47063" customFormat="1" ht="21.95" customHeight="1" x14ac:dyDescent="0.15"/>
    <row r="47064" customFormat="1" ht="21.95" customHeight="1" x14ac:dyDescent="0.15"/>
    <row r="47065" customFormat="1" ht="21.95" customHeight="1" x14ac:dyDescent="0.15"/>
    <row r="47066" customFormat="1" ht="21.95" customHeight="1" x14ac:dyDescent="0.15"/>
    <row r="47067" customFormat="1" ht="32.1" customHeight="1" x14ac:dyDescent="0.15"/>
    <row r="47068" customFormat="1" ht="32.1" customHeight="1" x14ac:dyDescent="0.15"/>
    <row r="47069" customFormat="1" ht="32.1" customHeight="1" x14ac:dyDescent="0.15"/>
    <row r="47070" customFormat="1" ht="32.1" customHeight="1" x14ac:dyDescent="0.15"/>
    <row r="47071" customFormat="1" ht="32.1" customHeight="1" x14ac:dyDescent="0.15"/>
    <row r="47072" customFormat="1" ht="32.1" customHeight="1" x14ac:dyDescent="0.15"/>
    <row r="47073" s="76" customFormat="1" ht="32.1" customHeight="1" x14ac:dyDescent="0.15"/>
    <row r="47074" s="76" customFormat="1" ht="32.1" customHeight="1" x14ac:dyDescent="0.15"/>
    <row r="47075" s="76" customFormat="1" ht="32.1" customHeight="1" x14ac:dyDescent="0.15"/>
    <row r="47076" s="76" customFormat="1" ht="32.1" customHeight="1" x14ac:dyDescent="0.15"/>
    <row r="47077" s="76" customFormat="1" ht="21.95" customHeight="1" x14ac:dyDescent="0.15"/>
    <row r="47078" s="76" customFormat="1" ht="54" customHeight="1" x14ac:dyDescent="0.15"/>
    <row r="47079" s="76" customFormat="1" ht="21.95" customHeight="1" x14ac:dyDescent="0.15"/>
    <row r="47080" s="76" customFormat="1" ht="21.95" customHeight="1" x14ac:dyDescent="0.15"/>
    <row r="47081" s="76" customFormat="1" ht="21.95" customHeight="1" x14ac:dyDescent="0.15"/>
    <row r="47082" s="76" customFormat="1" ht="21.95" customHeight="1" x14ac:dyDescent="0.15"/>
    <row r="47083" s="76" customFormat="1" ht="21.95" customHeight="1" x14ac:dyDescent="0.15"/>
    <row r="47084" s="76" customFormat="1" ht="21.95" customHeight="1" x14ac:dyDescent="0.15"/>
    <row r="47085" s="76" customFormat="1" ht="21.95" customHeight="1" x14ac:dyDescent="0.15"/>
    <row r="47086" s="76" customFormat="1" ht="21.95" customHeight="1" x14ac:dyDescent="0.15"/>
    <row r="47087" s="76" customFormat="1" ht="21.95" customHeight="1" x14ac:dyDescent="0.15"/>
    <row r="47088" s="76" customFormat="1" ht="21.95" customHeight="1" x14ac:dyDescent="0.15"/>
    <row r="47089" s="76" customFormat="1" ht="21.95" customHeight="1" x14ac:dyDescent="0.15"/>
    <row r="47090" s="76" customFormat="1" ht="21.95" customHeight="1" x14ac:dyDescent="0.15"/>
    <row r="47091" s="76" customFormat="1" ht="21.95" customHeight="1" x14ac:dyDescent="0.15"/>
    <row r="47092" s="76" customFormat="1" ht="21.95" customHeight="1" x14ac:dyDescent="0.15"/>
    <row r="47093" s="76" customFormat="1" ht="21.95" customHeight="1" x14ac:dyDescent="0.15"/>
    <row r="47094" s="76" customFormat="1" ht="21.95" customHeight="1" x14ac:dyDescent="0.15"/>
    <row r="47095" s="76" customFormat="1" ht="21.95" customHeight="1" x14ac:dyDescent="0.15"/>
    <row r="47096" s="76" customFormat="1" ht="21.95" customHeight="1" x14ac:dyDescent="0.15"/>
    <row r="47097" s="76" customFormat="1" ht="21.95" customHeight="1" x14ac:dyDescent="0.15"/>
    <row r="47098" s="76" customFormat="1" ht="21.95" customHeight="1" x14ac:dyDescent="0.15"/>
    <row r="47099" s="76" customFormat="1" ht="21.95" customHeight="1" x14ac:dyDescent="0.15"/>
    <row r="47100" s="76" customFormat="1" ht="21.95" customHeight="1" x14ac:dyDescent="0.15"/>
    <row r="47101" s="76" customFormat="1" ht="21.95" customHeight="1" x14ac:dyDescent="0.15"/>
    <row r="47102" s="76" customFormat="1" ht="21.95" customHeight="1" x14ac:dyDescent="0.15"/>
    <row r="47103" s="76" customFormat="1" ht="21.95" customHeight="1" x14ac:dyDescent="0.15"/>
    <row r="47104" s="76" customFormat="1" ht="21.95" customHeight="1" x14ac:dyDescent="0.15"/>
    <row r="47105" s="76" customFormat="1" ht="21.95" customHeight="1" x14ac:dyDescent="0.15"/>
    <row r="47106" s="76" customFormat="1" ht="21.95" customHeight="1" x14ac:dyDescent="0.15"/>
    <row r="47107" s="76" customFormat="1" ht="21.95" customHeight="1" x14ac:dyDescent="0.15"/>
    <row r="47108" s="76" customFormat="1" ht="21.95" customHeight="1" x14ac:dyDescent="0.15"/>
    <row r="47109" s="76" customFormat="1" ht="21.95" customHeight="1" x14ac:dyDescent="0.15"/>
    <row r="47110" s="76" customFormat="1" ht="21.95" customHeight="1" x14ac:dyDescent="0.15"/>
    <row r="47111" s="76" customFormat="1" ht="21.95" customHeight="1" x14ac:dyDescent="0.15"/>
    <row r="47112" s="76" customFormat="1" ht="21.95" customHeight="1" x14ac:dyDescent="0.15"/>
    <row r="47113" s="76" customFormat="1" ht="21.95" customHeight="1" x14ac:dyDescent="0.15"/>
    <row r="47114" s="76" customFormat="1" ht="21.95" customHeight="1" x14ac:dyDescent="0.15"/>
    <row r="47115" s="76" customFormat="1" ht="21.95" customHeight="1" x14ac:dyDescent="0.15"/>
    <row r="47116" s="76" customFormat="1" ht="21.95" customHeight="1" x14ac:dyDescent="0.15"/>
    <row r="47117" s="76" customFormat="1" ht="21.95" customHeight="1" x14ac:dyDescent="0.15"/>
    <row r="47118" s="76" customFormat="1" ht="21.95" customHeight="1" x14ac:dyDescent="0.15"/>
    <row r="47119" s="76" customFormat="1" ht="21.95" customHeight="1" x14ac:dyDescent="0.15"/>
    <row r="47120" s="76" customFormat="1" ht="21.95" customHeight="1" x14ac:dyDescent="0.15"/>
    <row r="47121" s="76" customFormat="1" ht="21.95" customHeight="1" x14ac:dyDescent="0.15"/>
    <row r="47122" s="76" customFormat="1" ht="21.95" customHeight="1" x14ac:dyDescent="0.15"/>
    <row r="47123" s="76" customFormat="1" ht="21.95" customHeight="1" x14ac:dyDescent="0.15"/>
    <row r="47124" s="76" customFormat="1" ht="21.95" customHeight="1" x14ac:dyDescent="0.15"/>
    <row r="47125" s="76" customFormat="1" ht="21.95" customHeight="1" x14ac:dyDescent="0.15"/>
    <row r="47126" s="76" customFormat="1" ht="21.95" customHeight="1" x14ac:dyDescent="0.15"/>
    <row r="47127" s="76" customFormat="1" ht="21.95" customHeight="1" x14ac:dyDescent="0.15"/>
    <row r="47128" s="76" customFormat="1" ht="21.95" customHeight="1" x14ac:dyDescent="0.15"/>
    <row r="47129" s="76" customFormat="1" ht="35.1" customHeight="1" x14ac:dyDescent="0.15"/>
    <row r="47130" s="76" customFormat="1" ht="21.95" customHeight="1" x14ac:dyDescent="0.15"/>
    <row r="47131" s="76" customFormat="1" ht="21.95" customHeight="1" x14ac:dyDescent="0.15"/>
    <row r="47132" s="76" customFormat="1" ht="21.95" customHeight="1" x14ac:dyDescent="0.15"/>
    <row r="47133" s="76" customFormat="1" ht="21.95" customHeight="1" x14ac:dyDescent="0.15"/>
    <row r="47134" s="76" customFormat="1" ht="21.95" customHeight="1" x14ac:dyDescent="0.15"/>
    <row r="47135" s="76" customFormat="1" ht="21.95" customHeight="1" x14ac:dyDescent="0.15"/>
    <row r="47136" s="76" customFormat="1" ht="21.95" customHeight="1" x14ac:dyDescent="0.15"/>
    <row r="47137" s="76" customFormat="1" ht="21.95" customHeight="1" x14ac:dyDescent="0.15"/>
    <row r="47138" s="76" customFormat="1" ht="21.95" customHeight="1" x14ac:dyDescent="0.15"/>
    <row r="47139" s="76" customFormat="1" ht="21.95" customHeight="1" x14ac:dyDescent="0.15"/>
    <row r="47140" s="76" customFormat="1" ht="21.95" customHeight="1" x14ac:dyDescent="0.15"/>
    <row r="47141" s="76" customFormat="1" ht="21.95" customHeight="1" x14ac:dyDescent="0.15"/>
    <row r="47142" s="76" customFormat="1" ht="21.95" customHeight="1" x14ac:dyDescent="0.15"/>
    <row r="47143" s="76" customFormat="1" ht="21.95" customHeight="1" x14ac:dyDescent="0.15"/>
    <row r="47144" s="76" customFormat="1" ht="21.95" customHeight="1" x14ac:dyDescent="0.15"/>
    <row r="47145" s="76" customFormat="1" ht="21.95" customHeight="1" x14ac:dyDescent="0.15"/>
    <row r="47146" s="76" customFormat="1" ht="21.95" customHeight="1" x14ac:dyDescent="0.15"/>
    <row r="47147" s="76" customFormat="1" ht="21.95" customHeight="1" x14ac:dyDescent="0.15"/>
    <row r="47148" s="76" customFormat="1" ht="21.95" customHeight="1" x14ac:dyDescent="0.15"/>
    <row r="47149" s="76" customFormat="1" ht="21.95" customHeight="1" x14ac:dyDescent="0.15"/>
    <row r="47150" s="76" customFormat="1" ht="21.95" customHeight="1" x14ac:dyDescent="0.15"/>
    <row r="47151" s="76" customFormat="1" ht="21.95" customHeight="1" x14ac:dyDescent="0.15"/>
    <row r="47152" s="76" customFormat="1" ht="21.95" customHeight="1" x14ac:dyDescent="0.15"/>
    <row r="47153" spans="3:3" customFormat="1" ht="21.95" customHeight="1" x14ac:dyDescent="0.15"/>
    <row r="47154" spans="3:3" customFormat="1" ht="21.95" customHeight="1" x14ac:dyDescent="0.15"/>
    <row r="47155" spans="3:3" customFormat="1" ht="21.95" customHeight="1" x14ac:dyDescent="0.15">
      <c r="C47155" s="94"/>
    </row>
    <row r="47156" spans="3:3" customFormat="1" ht="21.95" customHeight="1" x14ac:dyDescent="0.15">
      <c r="C47156" s="94"/>
    </row>
    <row r="47157" spans="3:3" customFormat="1" ht="21.95" customHeight="1" x14ac:dyDescent="0.15"/>
    <row r="47158" spans="3:3" customFormat="1" ht="21.95" customHeight="1" x14ac:dyDescent="0.15"/>
    <row r="47159" spans="3:3" customFormat="1" ht="21.95" customHeight="1" x14ac:dyDescent="0.15"/>
    <row r="47160" spans="3:3" customFormat="1" ht="21.95" customHeight="1" x14ac:dyDescent="0.15"/>
    <row r="47161" spans="3:3" customFormat="1" ht="21.95" customHeight="1" x14ac:dyDescent="0.15"/>
    <row r="47162" spans="3:3" customFormat="1" ht="21.95" customHeight="1" x14ac:dyDescent="0.15"/>
    <row r="47163" spans="3:3" customFormat="1" ht="21.95" customHeight="1" x14ac:dyDescent="0.15"/>
    <row r="47164" spans="3:3" s="76" customFormat="1" ht="21.95" customHeight="1" x14ac:dyDescent="0.15"/>
    <row r="47165" spans="3:3" s="76" customFormat="1" ht="21.95" customHeight="1" x14ac:dyDescent="0.15"/>
    <row r="47166" spans="3:3" s="76" customFormat="1" ht="21.95" customHeight="1" x14ac:dyDescent="0.15"/>
    <row r="47167" spans="3:3" s="76" customFormat="1" ht="21.95" customHeight="1" x14ac:dyDescent="0.15"/>
    <row r="47168" spans="3:3" customFormat="1" ht="21.95" customHeight="1" x14ac:dyDescent="0.15"/>
    <row r="47169" customFormat="1" ht="21.95" customHeight="1" x14ac:dyDescent="0.15"/>
    <row r="47170" customFormat="1" ht="21.95" customHeight="1" x14ac:dyDescent="0.15"/>
    <row r="47171" customFormat="1" ht="21.95" customHeight="1" x14ac:dyDescent="0.15"/>
    <row r="47172" customFormat="1" ht="21.95" customHeight="1" x14ac:dyDescent="0.15"/>
    <row r="47173" customFormat="1" ht="21.95" customHeight="1" x14ac:dyDescent="0.15"/>
    <row r="47174" customFormat="1" ht="21.95" customHeight="1" x14ac:dyDescent="0.15"/>
    <row r="47175" customFormat="1" ht="21.95" customHeight="1" x14ac:dyDescent="0.15"/>
    <row r="47176" customFormat="1" ht="21.95" customHeight="1" x14ac:dyDescent="0.15"/>
    <row r="47177" customFormat="1" ht="21.95" customHeight="1" x14ac:dyDescent="0.15"/>
    <row r="47178" customFormat="1" ht="21.95" customHeight="1" x14ac:dyDescent="0.15"/>
    <row r="47179" customFormat="1" ht="32.1" customHeight="1" x14ac:dyDescent="0.15"/>
    <row r="47180" customFormat="1" ht="32.1" customHeight="1" x14ac:dyDescent="0.15"/>
    <row r="47181" customFormat="1" ht="32.1" customHeight="1" x14ac:dyDescent="0.15"/>
    <row r="47182" customFormat="1" ht="32.1" customHeight="1" x14ac:dyDescent="0.15"/>
    <row r="47183" customFormat="1" ht="32.1" customHeight="1" x14ac:dyDescent="0.15"/>
    <row r="47184" customFormat="1" ht="32.1" customHeight="1" x14ac:dyDescent="0.15"/>
    <row r="47185" s="76" customFormat="1" ht="32.1" customHeight="1" x14ac:dyDescent="0.15"/>
    <row r="47186" s="76" customFormat="1" ht="32.1" customHeight="1" x14ac:dyDescent="0.15"/>
    <row r="47187" s="76" customFormat="1" ht="32.1" customHeight="1" x14ac:dyDescent="0.15"/>
    <row r="47188" s="76" customFormat="1" ht="32.1" customHeight="1" x14ac:dyDescent="0.15"/>
    <row r="47189" s="76" customFormat="1" ht="21.95" customHeight="1" x14ac:dyDescent="0.15"/>
    <row r="47190" s="76" customFormat="1" ht="54" customHeight="1" x14ac:dyDescent="0.15"/>
    <row r="47191" s="76" customFormat="1" ht="21.95" customHeight="1" x14ac:dyDescent="0.15"/>
    <row r="47192" s="76" customFormat="1" ht="21.95" customHeight="1" x14ac:dyDescent="0.15"/>
    <row r="47193" s="76" customFormat="1" ht="21.95" customHeight="1" x14ac:dyDescent="0.15"/>
    <row r="47194" s="76" customFormat="1" ht="21.95" customHeight="1" x14ac:dyDescent="0.15"/>
    <row r="47195" s="76" customFormat="1" ht="21.95" customHeight="1" x14ac:dyDescent="0.15"/>
    <row r="47196" s="76" customFormat="1" ht="21.95" customHeight="1" x14ac:dyDescent="0.15"/>
    <row r="47197" s="76" customFormat="1" ht="21.95" customHeight="1" x14ac:dyDescent="0.15"/>
    <row r="47198" s="76" customFormat="1" ht="21.95" customHeight="1" x14ac:dyDescent="0.15"/>
    <row r="47199" s="76" customFormat="1" ht="21.95" customHeight="1" x14ac:dyDescent="0.15"/>
    <row r="47200" s="76" customFormat="1" ht="21.95" customHeight="1" x14ac:dyDescent="0.15"/>
    <row r="47201" s="76" customFormat="1" ht="21.95" customHeight="1" x14ac:dyDescent="0.15"/>
    <row r="47202" s="76" customFormat="1" ht="21.95" customHeight="1" x14ac:dyDescent="0.15"/>
    <row r="47203" s="76" customFormat="1" ht="21.95" customHeight="1" x14ac:dyDescent="0.15"/>
    <row r="47204" s="76" customFormat="1" ht="21.95" customHeight="1" x14ac:dyDescent="0.15"/>
    <row r="47205" s="76" customFormat="1" ht="21.95" customHeight="1" x14ac:dyDescent="0.15"/>
    <row r="47206" s="76" customFormat="1" ht="21.95" customHeight="1" x14ac:dyDescent="0.15"/>
    <row r="47207" s="76" customFormat="1" ht="21.95" customHeight="1" x14ac:dyDescent="0.15"/>
    <row r="47208" s="76" customFormat="1" ht="21.95" customHeight="1" x14ac:dyDescent="0.15"/>
    <row r="47209" s="76" customFormat="1" ht="21.95" customHeight="1" x14ac:dyDescent="0.15"/>
    <row r="47210" s="76" customFormat="1" ht="21.95" customHeight="1" x14ac:dyDescent="0.15"/>
    <row r="47211" s="76" customFormat="1" ht="21.95" customHeight="1" x14ac:dyDescent="0.15"/>
    <row r="47212" s="76" customFormat="1" ht="21.95" customHeight="1" x14ac:dyDescent="0.15"/>
    <row r="47213" s="76" customFormat="1" ht="21.95" customHeight="1" x14ac:dyDescent="0.15"/>
    <row r="47214" s="76" customFormat="1" ht="21.95" customHeight="1" x14ac:dyDescent="0.15"/>
    <row r="47215" s="76" customFormat="1" ht="21.95" customHeight="1" x14ac:dyDescent="0.15"/>
    <row r="47216" s="76" customFormat="1" ht="21.95" customHeight="1" x14ac:dyDescent="0.15"/>
    <row r="47217" s="76" customFormat="1" ht="21.95" customHeight="1" x14ac:dyDescent="0.15"/>
    <row r="47218" s="76" customFormat="1" ht="21.95" customHeight="1" x14ac:dyDescent="0.15"/>
    <row r="47219" s="76" customFormat="1" ht="21.95" customHeight="1" x14ac:dyDescent="0.15"/>
    <row r="47220" s="76" customFormat="1" ht="21.95" customHeight="1" x14ac:dyDescent="0.15"/>
    <row r="47221" s="76" customFormat="1" ht="21.95" customHeight="1" x14ac:dyDescent="0.15"/>
    <row r="47222" s="76" customFormat="1" ht="21.95" customHeight="1" x14ac:dyDescent="0.15"/>
    <row r="47223" s="76" customFormat="1" ht="21.95" customHeight="1" x14ac:dyDescent="0.15"/>
    <row r="47224" s="76" customFormat="1" ht="21.95" customHeight="1" x14ac:dyDescent="0.15"/>
    <row r="47225" s="76" customFormat="1" ht="21.95" customHeight="1" x14ac:dyDescent="0.15"/>
    <row r="47226" s="76" customFormat="1" ht="21.95" customHeight="1" x14ac:dyDescent="0.15"/>
    <row r="47227" s="76" customFormat="1" ht="21.95" customHeight="1" x14ac:dyDescent="0.15"/>
    <row r="47228" s="76" customFormat="1" ht="21.95" customHeight="1" x14ac:dyDescent="0.15"/>
    <row r="47229" s="76" customFormat="1" ht="21.95" customHeight="1" x14ac:dyDescent="0.15"/>
    <row r="47230" s="76" customFormat="1" ht="21.95" customHeight="1" x14ac:dyDescent="0.15"/>
    <row r="47231" s="76" customFormat="1" ht="21.95" customHeight="1" x14ac:dyDescent="0.15"/>
    <row r="47232" s="76" customFormat="1" ht="21.95" customHeight="1" x14ac:dyDescent="0.15"/>
    <row r="47233" s="76" customFormat="1" ht="21.95" customHeight="1" x14ac:dyDescent="0.15"/>
    <row r="47234" s="76" customFormat="1" ht="21.95" customHeight="1" x14ac:dyDescent="0.15"/>
    <row r="47235" s="76" customFormat="1" ht="21.95" customHeight="1" x14ac:dyDescent="0.15"/>
    <row r="47236" s="76" customFormat="1" ht="21.95" customHeight="1" x14ac:dyDescent="0.15"/>
    <row r="47237" s="76" customFormat="1" ht="21.95" customHeight="1" x14ac:dyDescent="0.15"/>
    <row r="47238" s="76" customFormat="1" ht="21.95" customHeight="1" x14ac:dyDescent="0.15"/>
    <row r="47239" s="76" customFormat="1" ht="21.95" customHeight="1" x14ac:dyDescent="0.15"/>
    <row r="47240" s="76" customFormat="1" ht="21.95" customHeight="1" x14ac:dyDescent="0.15"/>
    <row r="47241" s="76" customFormat="1" ht="35.1" customHeight="1" x14ac:dyDescent="0.15"/>
    <row r="47242" s="76" customFormat="1" ht="21.95" customHeight="1" x14ac:dyDescent="0.15"/>
    <row r="47243" s="76" customFormat="1" ht="21.95" customHeight="1" x14ac:dyDescent="0.15"/>
    <row r="47244" s="76" customFormat="1" ht="21.95" customHeight="1" x14ac:dyDescent="0.15"/>
    <row r="47245" s="76" customFormat="1" ht="21.95" customHeight="1" x14ac:dyDescent="0.15"/>
    <row r="47246" s="76" customFormat="1" ht="21.95" customHeight="1" x14ac:dyDescent="0.15"/>
    <row r="47247" s="76" customFormat="1" ht="21.95" customHeight="1" x14ac:dyDescent="0.15"/>
    <row r="47248" s="76" customFormat="1" ht="21.95" customHeight="1" x14ac:dyDescent="0.15"/>
    <row r="47249" s="76" customFormat="1" ht="21.95" customHeight="1" x14ac:dyDescent="0.15"/>
    <row r="47250" s="76" customFormat="1" ht="21.95" customHeight="1" x14ac:dyDescent="0.15"/>
    <row r="47251" s="76" customFormat="1" ht="21.95" customHeight="1" x14ac:dyDescent="0.15"/>
    <row r="47252" s="76" customFormat="1" ht="21.95" customHeight="1" x14ac:dyDescent="0.15"/>
    <row r="47253" s="76" customFormat="1" ht="21.95" customHeight="1" x14ac:dyDescent="0.15"/>
    <row r="47254" s="76" customFormat="1" ht="21.95" customHeight="1" x14ac:dyDescent="0.15"/>
    <row r="47255" s="76" customFormat="1" ht="21.95" customHeight="1" x14ac:dyDescent="0.15"/>
    <row r="47256" s="76" customFormat="1" ht="21.95" customHeight="1" x14ac:dyDescent="0.15"/>
    <row r="47257" s="76" customFormat="1" ht="21.95" customHeight="1" x14ac:dyDescent="0.15"/>
    <row r="47258" s="76" customFormat="1" ht="21.95" customHeight="1" x14ac:dyDescent="0.15"/>
    <row r="47259" s="76" customFormat="1" ht="21.95" customHeight="1" x14ac:dyDescent="0.15"/>
    <row r="47260" s="76" customFormat="1" ht="21.95" customHeight="1" x14ac:dyDescent="0.15"/>
    <row r="47261" s="76" customFormat="1" ht="21.95" customHeight="1" x14ac:dyDescent="0.15"/>
    <row r="47262" s="76" customFormat="1" ht="21.95" customHeight="1" x14ac:dyDescent="0.15"/>
    <row r="47263" s="76" customFormat="1" ht="21.95" customHeight="1" x14ac:dyDescent="0.15"/>
    <row r="47264" s="76" customFormat="1" ht="21.95" customHeight="1" x14ac:dyDescent="0.15"/>
    <row r="47265" spans="3:3" customFormat="1" ht="21.95" customHeight="1" x14ac:dyDescent="0.15"/>
    <row r="47266" spans="3:3" customFormat="1" ht="21.95" customHeight="1" x14ac:dyDescent="0.15"/>
    <row r="47267" spans="3:3" customFormat="1" ht="21.95" customHeight="1" x14ac:dyDescent="0.15">
      <c r="C47267" s="94"/>
    </row>
    <row r="47268" spans="3:3" customFormat="1" ht="21.95" customHeight="1" x14ac:dyDescent="0.15">
      <c r="C47268" s="94"/>
    </row>
    <row r="47269" spans="3:3" customFormat="1" ht="21.95" customHeight="1" x14ac:dyDescent="0.15"/>
    <row r="47270" spans="3:3" customFormat="1" ht="21.95" customHeight="1" x14ac:dyDescent="0.15"/>
    <row r="47271" spans="3:3" customFormat="1" ht="21.95" customHeight="1" x14ac:dyDescent="0.15"/>
    <row r="47272" spans="3:3" customFormat="1" ht="21.95" customHeight="1" x14ac:dyDescent="0.15"/>
    <row r="47273" spans="3:3" customFormat="1" ht="21.95" customHeight="1" x14ac:dyDescent="0.15"/>
    <row r="47274" spans="3:3" customFormat="1" ht="21.95" customHeight="1" x14ac:dyDescent="0.15"/>
    <row r="47275" spans="3:3" customFormat="1" ht="21.95" customHeight="1" x14ac:dyDescent="0.15"/>
    <row r="47276" spans="3:3" s="76" customFormat="1" ht="21.95" customHeight="1" x14ac:dyDescent="0.15"/>
    <row r="47277" spans="3:3" s="76" customFormat="1" ht="21.95" customHeight="1" x14ac:dyDescent="0.15"/>
    <row r="47278" spans="3:3" s="76" customFormat="1" ht="21.95" customHeight="1" x14ac:dyDescent="0.15"/>
    <row r="47279" spans="3:3" s="76" customFormat="1" ht="21.95" customHeight="1" x14ac:dyDescent="0.15"/>
    <row r="47280" spans="3:3" customFormat="1" ht="21.95" customHeight="1" x14ac:dyDescent="0.15"/>
    <row r="47281" customFormat="1" ht="21.95" customHeight="1" x14ac:dyDescent="0.15"/>
    <row r="47282" customFormat="1" ht="21.95" customHeight="1" x14ac:dyDescent="0.15"/>
    <row r="47283" customFormat="1" ht="21.95" customHeight="1" x14ac:dyDescent="0.15"/>
    <row r="47284" customFormat="1" ht="21.95" customHeight="1" x14ac:dyDescent="0.15"/>
    <row r="47285" customFormat="1" ht="21.95" customHeight="1" x14ac:dyDescent="0.15"/>
    <row r="47286" customFormat="1" ht="21.95" customHeight="1" x14ac:dyDescent="0.15"/>
    <row r="47287" customFormat="1" ht="21.95" customHeight="1" x14ac:dyDescent="0.15"/>
    <row r="47288" customFormat="1" ht="21.95" customHeight="1" x14ac:dyDescent="0.15"/>
    <row r="47289" customFormat="1" ht="21.95" customHeight="1" x14ac:dyDescent="0.15"/>
    <row r="47290" customFormat="1" ht="21.95" customHeight="1" x14ac:dyDescent="0.15"/>
    <row r="47291" customFormat="1" ht="32.1" customHeight="1" x14ac:dyDescent="0.15"/>
    <row r="47292" customFormat="1" ht="32.1" customHeight="1" x14ac:dyDescent="0.15"/>
    <row r="47293" customFormat="1" ht="32.1" customHeight="1" x14ac:dyDescent="0.15"/>
    <row r="47294" customFormat="1" ht="32.1" customHeight="1" x14ac:dyDescent="0.15"/>
    <row r="47295" customFormat="1" ht="32.1" customHeight="1" x14ac:dyDescent="0.15"/>
    <row r="47296" customFormat="1" ht="32.1" customHeight="1" x14ac:dyDescent="0.15"/>
    <row r="47297" s="76" customFormat="1" ht="32.1" customHeight="1" x14ac:dyDescent="0.15"/>
    <row r="47298" s="76" customFormat="1" ht="32.1" customHeight="1" x14ac:dyDescent="0.15"/>
    <row r="47299" s="76" customFormat="1" ht="32.1" customHeight="1" x14ac:dyDescent="0.15"/>
    <row r="47300" s="76" customFormat="1" ht="32.1" customHeight="1" x14ac:dyDescent="0.15"/>
    <row r="47301" s="76" customFormat="1" ht="21.95" customHeight="1" x14ac:dyDescent="0.15"/>
    <row r="47302" s="76" customFormat="1" ht="54" customHeight="1" x14ac:dyDescent="0.15"/>
    <row r="47303" s="76" customFormat="1" ht="21.95" customHeight="1" x14ac:dyDescent="0.15"/>
    <row r="47304" s="76" customFormat="1" ht="21.95" customHeight="1" x14ac:dyDescent="0.15"/>
    <row r="47305" s="76" customFormat="1" ht="21.95" customHeight="1" x14ac:dyDescent="0.15"/>
    <row r="47306" s="76" customFormat="1" ht="21.95" customHeight="1" x14ac:dyDescent="0.15"/>
    <row r="47307" s="76" customFormat="1" ht="21.95" customHeight="1" x14ac:dyDescent="0.15"/>
    <row r="47308" s="76" customFormat="1" ht="21.95" customHeight="1" x14ac:dyDescent="0.15"/>
    <row r="47309" s="76" customFormat="1" ht="21.95" customHeight="1" x14ac:dyDescent="0.15"/>
    <row r="47310" s="76" customFormat="1" ht="21.95" customHeight="1" x14ac:dyDescent="0.15"/>
    <row r="47311" s="76" customFormat="1" ht="21.95" customHeight="1" x14ac:dyDescent="0.15"/>
    <row r="47312" s="76" customFormat="1" ht="21.95" customHeight="1" x14ac:dyDescent="0.15"/>
    <row r="47313" s="76" customFormat="1" ht="21.95" customHeight="1" x14ac:dyDescent="0.15"/>
    <row r="47314" s="76" customFormat="1" ht="21.95" customHeight="1" x14ac:dyDescent="0.15"/>
    <row r="47315" s="76" customFormat="1" ht="21.95" customHeight="1" x14ac:dyDescent="0.15"/>
    <row r="47316" s="76" customFormat="1" ht="21.95" customHeight="1" x14ac:dyDescent="0.15"/>
    <row r="47317" s="76" customFormat="1" ht="21.95" customHeight="1" x14ac:dyDescent="0.15"/>
    <row r="47318" s="76" customFormat="1" ht="21.95" customHeight="1" x14ac:dyDescent="0.15"/>
    <row r="47319" s="76" customFormat="1" ht="21.95" customHeight="1" x14ac:dyDescent="0.15"/>
    <row r="47320" s="76" customFormat="1" ht="21.95" customHeight="1" x14ac:dyDescent="0.15"/>
    <row r="47321" s="76" customFormat="1" ht="21.95" customHeight="1" x14ac:dyDescent="0.15"/>
    <row r="47322" s="76" customFormat="1" ht="21.95" customHeight="1" x14ac:dyDescent="0.15"/>
    <row r="47323" s="76" customFormat="1" ht="21.95" customHeight="1" x14ac:dyDescent="0.15"/>
    <row r="47324" s="76" customFormat="1" ht="21.95" customHeight="1" x14ac:dyDescent="0.15"/>
    <row r="47325" s="76" customFormat="1" ht="21.95" customHeight="1" x14ac:dyDescent="0.15"/>
    <row r="47326" s="76" customFormat="1" ht="21.95" customHeight="1" x14ac:dyDescent="0.15"/>
    <row r="47327" s="76" customFormat="1" ht="21.95" customHeight="1" x14ac:dyDescent="0.15"/>
    <row r="47328" s="76" customFormat="1" ht="21.95" customHeight="1" x14ac:dyDescent="0.15"/>
    <row r="47329" s="76" customFormat="1" ht="21.95" customHeight="1" x14ac:dyDescent="0.15"/>
    <row r="47330" s="76" customFormat="1" ht="21.95" customHeight="1" x14ac:dyDescent="0.15"/>
    <row r="47331" s="76" customFormat="1" ht="21.95" customHeight="1" x14ac:dyDescent="0.15"/>
    <row r="47332" s="76" customFormat="1" ht="21.95" customHeight="1" x14ac:dyDescent="0.15"/>
    <row r="47333" s="76" customFormat="1" ht="21.95" customHeight="1" x14ac:dyDescent="0.15"/>
    <row r="47334" s="76" customFormat="1" ht="21.95" customHeight="1" x14ac:dyDescent="0.15"/>
    <row r="47335" s="76" customFormat="1" ht="21.95" customHeight="1" x14ac:dyDescent="0.15"/>
    <row r="47336" s="76" customFormat="1" ht="21.95" customHeight="1" x14ac:dyDescent="0.15"/>
    <row r="47337" s="76" customFormat="1" ht="21.95" customHeight="1" x14ac:dyDescent="0.15"/>
    <row r="47338" s="76" customFormat="1" ht="21.95" customHeight="1" x14ac:dyDescent="0.15"/>
    <row r="47339" s="76" customFormat="1" ht="21.95" customHeight="1" x14ac:dyDescent="0.15"/>
    <row r="47340" s="76" customFormat="1" ht="21.95" customHeight="1" x14ac:dyDescent="0.15"/>
    <row r="47341" s="76" customFormat="1" ht="21.95" customHeight="1" x14ac:dyDescent="0.15"/>
    <row r="47342" s="76" customFormat="1" ht="21.95" customHeight="1" x14ac:dyDescent="0.15"/>
    <row r="47343" s="76" customFormat="1" ht="21.95" customHeight="1" x14ac:dyDescent="0.15"/>
    <row r="47344" s="76" customFormat="1" ht="21.95" customHeight="1" x14ac:dyDescent="0.15"/>
    <row r="47345" s="76" customFormat="1" ht="21.95" customHeight="1" x14ac:dyDescent="0.15"/>
    <row r="47346" s="76" customFormat="1" ht="21.95" customHeight="1" x14ac:dyDescent="0.15"/>
    <row r="47347" s="76" customFormat="1" ht="21.95" customHeight="1" x14ac:dyDescent="0.15"/>
    <row r="47348" s="76" customFormat="1" ht="21.95" customHeight="1" x14ac:dyDescent="0.15"/>
    <row r="47349" s="76" customFormat="1" ht="21.95" customHeight="1" x14ac:dyDescent="0.15"/>
    <row r="47350" s="76" customFormat="1" ht="21.95" customHeight="1" x14ac:dyDescent="0.15"/>
    <row r="47351" s="76" customFormat="1" ht="21.95" customHeight="1" x14ac:dyDescent="0.15"/>
    <row r="47352" s="76" customFormat="1" ht="21.95" customHeight="1" x14ac:dyDescent="0.15"/>
    <row r="47353" s="76" customFormat="1" ht="35.1" customHeight="1" x14ac:dyDescent="0.15"/>
    <row r="47354" s="76" customFormat="1" ht="21.95" customHeight="1" x14ac:dyDescent="0.15"/>
    <row r="47355" s="76" customFormat="1" ht="21.95" customHeight="1" x14ac:dyDescent="0.15"/>
    <row r="47356" s="76" customFormat="1" ht="21.95" customHeight="1" x14ac:dyDescent="0.15"/>
    <row r="47357" s="76" customFormat="1" ht="21.95" customHeight="1" x14ac:dyDescent="0.15"/>
    <row r="47358" s="76" customFormat="1" ht="21.95" customHeight="1" x14ac:dyDescent="0.15"/>
    <row r="47359" s="76" customFormat="1" ht="21.95" customHeight="1" x14ac:dyDescent="0.15"/>
    <row r="47360" s="76" customFormat="1" ht="21.95" customHeight="1" x14ac:dyDescent="0.15"/>
    <row r="47361" s="76" customFormat="1" ht="21.95" customHeight="1" x14ac:dyDescent="0.15"/>
    <row r="47362" s="76" customFormat="1" ht="21.95" customHeight="1" x14ac:dyDescent="0.15"/>
    <row r="47363" s="76" customFormat="1" ht="21.95" customHeight="1" x14ac:dyDescent="0.15"/>
    <row r="47364" s="76" customFormat="1" ht="21.95" customHeight="1" x14ac:dyDescent="0.15"/>
    <row r="47365" s="76" customFormat="1" ht="21.95" customHeight="1" x14ac:dyDescent="0.15"/>
    <row r="47366" s="76" customFormat="1" ht="21.95" customHeight="1" x14ac:dyDescent="0.15"/>
    <row r="47367" s="76" customFormat="1" ht="21.95" customHeight="1" x14ac:dyDescent="0.15"/>
    <row r="47368" s="76" customFormat="1" ht="21.95" customHeight="1" x14ac:dyDescent="0.15"/>
    <row r="47369" s="76" customFormat="1" ht="21.95" customHeight="1" x14ac:dyDescent="0.15"/>
    <row r="47370" s="76" customFormat="1" ht="21.95" customHeight="1" x14ac:dyDescent="0.15"/>
    <row r="47371" s="76" customFormat="1" ht="21.95" customHeight="1" x14ac:dyDescent="0.15"/>
    <row r="47372" s="76" customFormat="1" ht="21.95" customHeight="1" x14ac:dyDescent="0.15"/>
    <row r="47373" s="76" customFormat="1" ht="21.95" customHeight="1" x14ac:dyDescent="0.15"/>
    <row r="47374" s="76" customFormat="1" ht="21.95" customHeight="1" x14ac:dyDescent="0.15"/>
    <row r="47375" s="76" customFormat="1" ht="21.95" customHeight="1" x14ac:dyDescent="0.15"/>
    <row r="47376" s="76" customFormat="1" ht="21.95" customHeight="1" x14ac:dyDescent="0.15"/>
    <row r="47377" spans="3:3" customFormat="1" ht="21.95" customHeight="1" x14ac:dyDescent="0.15"/>
    <row r="47378" spans="3:3" customFormat="1" ht="21.95" customHeight="1" x14ac:dyDescent="0.15"/>
    <row r="47379" spans="3:3" customFormat="1" ht="21.95" customHeight="1" x14ac:dyDescent="0.15">
      <c r="C47379" s="94"/>
    </row>
    <row r="47380" spans="3:3" customFormat="1" ht="21.95" customHeight="1" x14ac:dyDescent="0.15">
      <c r="C47380" s="94"/>
    </row>
    <row r="47381" spans="3:3" customFormat="1" ht="21.95" customHeight="1" x14ac:dyDescent="0.15"/>
    <row r="47382" spans="3:3" customFormat="1" ht="21.95" customHeight="1" x14ac:dyDescent="0.15"/>
    <row r="47383" spans="3:3" customFormat="1" ht="21.95" customHeight="1" x14ac:dyDescent="0.15"/>
    <row r="47384" spans="3:3" customFormat="1" ht="21.95" customHeight="1" x14ac:dyDescent="0.15"/>
    <row r="47385" spans="3:3" customFormat="1" ht="21.95" customHeight="1" x14ac:dyDescent="0.15"/>
    <row r="47386" spans="3:3" customFormat="1" ht="21.95" customHeight="1" x14ac:dyDescent="0.15"/>
    <row r="47387" spans="3:3" customFormat="1" ht="21.95" customHeight="1" x14ac:dyDescent="0.15"/>
    <row r="47388" spans="3:3" s="76" customFormat="1" ht="21.95" customHeight="1" x14ac:dyDescent="0.15"/>
    <row r="47389" spans="3:3" s="76" customFormat="1" ht="21.95" customHeight="1" x14ac:dyDescent="0.15"/>
    <row r="47390" spans="3:3" s="76" customFormat="1" ht="21.95" customHeight="1" x14ac:dyDescent="0.15"/>
    <row r="47391" spans="3:3" s="76" customFormat="1" ht="21.95" customHeight="1" x14ac:dyDescent="0.15"/>
    <row r="47392" spans="3:3" customFormat="1" ht="21.95" customHeight="1" x14ac:dyDescent="0.15"/>
    <row r="47393" customFormat="1" ht="21.95" customHeight="1" x14ac:dyDescent="0.15"/>
    <row r="47394" customFormat="1" ht="21.95" customHeight="1" x14ac:dyDescent="0.15"/>
    <row r="47395" customFormat="1" ht="21.95" customHeight="1" x14ac:dyDescent="0.15"/>
    <row r="47396" customFormat="1" ht="21.95" customHeight="1" x14ac:dyDescent="0.15"/>
    <row r="47397" customFormat="1" ht="21.95" customHeight="1" x14ac:dyDescent="0.15"/>
    <row r="47398" customFormat="1" ht="21.95" customHeight="1" x14ac:dyDescent="0.15"/>
    <row r="47399" customFormat="1" ht="21.95" customHeight="1" x14ac:dyDescent="0.15"/>
    <row r="47400" customFormat="1" ht="21.95" customHeight="1" x14ac:dyDescent="0.15"/>
    <row r="47401" customFormat="1" ht="21.95" customHeight="1" x14ac:dyDescent="0.15"/>
    <row r="47402" customFormat="1" ht="21.95" customHeight="1" x14ac:dyDescent="0.15"/>
    <row r="47403" customFormat="1" ht="32.1" customHeight="1" x14ac:dyDescent="0.15"/>
    <row r="47404" customFormat="1" ht="32.1" customHeight="1" x14ac:dyDescent="0.15"/>
    <row r="47405" customFormat="1" ht="32.1" customHeight="1" x14ac:dyDescent="0.15"/>
    <row r="47406" customFormat="1" ht="32.1" customHeight="1" x14ac:dyDescent="0.15"/>
    <row r="47407" customFormat="1" ht="32.1" customHeight="1" x14ac:dyDescent="0.15"/>
    <row r="47408" customFormat="1" ht="32.1" customHeight="1" x14ac:dyDescent="0.15"/>
    <row r="47409" s="76" customFormat="1" ht="32.1" customHeight="1" x14ac:dyDescent="0.15"/>
    <row r="47410" s="76" customFormat="1" ht="32.1" customHeight="1" x14ac:dyDescent="0.15"/>
    <row r="47411" s="76" customFormat="1" ht="32.1" customHeight="1" x14ac:dyDescent="0.15"/>
    <row r="47412" s="76" customFormat="1" ht="32.1" customHeight="1" x14ac:dyDescent="0.15"/>
    <row r="47413" s="76" customFormat="1" ht="21.95" customHeight="1" x14ac:dyDescent="0.15"/>
    <row r="47414" s="76" customFormat="1" ht="54" customHeight="1" x14ac:dyDescent="0.15"/>
    <row r="47415" s="76" customFormat="1" ht="21.95" customHeight="1" x14ac:dyDescent="0.15"/>
    <row r="47416" s="76" customFormat="1" ht="21.95" customHeight="1" x14ac:dyDescent="0.15"/>
    <row r="47417" s="76" customFormat="1" ht="21.95" customHeight="1" x14ac:dyDescent="0.15"/>
    <row r="47418" s="76" customFormat="1" ht="21.95" customHeight="1" x14ac:dyDescent="0.15"/>
    <row r="47419" s="76" customFormat="1" ht="21.95" customHeight="1" x14ac:dyDescent="0.15"/>
    <row r="47420" s="76" customFormat="1" ht="21.95" customHeight="1" x14ac:dyDescent="0.15"/>
    <row r="47421" s="76" customFormat="1" ht="21.95" customHeight="1" x14ac:dyDescent="0.15"/>
    <row r="47422" s="76" customFormat="1" ht="21.95" customHeight="1" x14ac:dyDescent="0.15"/>
    <row r="47423" s="76" customFormat="1" ht="21.95" customHeight="1" x14ac:dyDescent="0.15"/>
    <row r="47424" s="76" customFormat="1" ht="21.95" customHeight="1" x14ac:dyDescent="0.15"/>
    <row r="47425" s="76" customFormat="1" ht="21.95" customHeight="1" x14ac:dyDescent="0.15"/>
    <row r="47426" s="76" customFormat="1" ht="21.95" customHeight="1" x14ac:dyDescent="0.15"/>
    <row r="47427" s="76" customFormat="1" ht="21.95" customHeight="1" x14ac:dyDescent="0.15"/>
    <row r="47428" s="76" customFormat="1" ht="21.95" customHeight="1" x14ac:dyDescent="0.15"/>
    <row r="47429" s="76" customFormat="1" ht="21.95" customHeight="1" x14ac:dyDescent="0.15"/>
    <row r="47430" s="76" customFormat="1" ht="21.95" customHeight="1" x14ac:dyDescent="0.15"/>
    <row r="47431" s="76" customFormat="1" ht="21.95" customHeight="1" x14ac:dyDescent="0.15"/>
    <row r="47432" s="76" customFormat="1" ht="21.95" customHeight="1" x14ac:dyDescent="0.15"/>
    <row r="47433" s="76" customFormat="1" ht="21.95" customHeight="1" x14ac:dyDescent="0.15"/>
    <row r="47434" s="76" customFormat="1" ht="21.95" customHeight="1" x14ac:dyDescent="0.15"/>
    <row r="47435" s="76" customFormat="1" ht="21.95" customHeight="1" x14ac:dyDescent="0.15"/>
    <row r="47436" s="76" customFormat="1" ht="21.95" customHeight="1" x14ac:dyDescent="0.15"/>
    <row r="47437" s="76" customFormat="1" ht="21.95" customHeight="1" x14ac:dyDescent="0.15"/>
    <row r="47438" s="76" customFormat="1" ht="21.95" customHeight="1" x14ac:dyDescent="0.15"/>
    <row r="47439" s="76" customFormat="1" ht="21.95" customHeight="1" x14ac:dyDescent="0.15"/>
    <row r="47440" s="76" customFormat="1" ht="21.95" customHeight="1" x14ac:dyDescent="0.15"/>
    <row r="47441" s="76" customFormat="1" ht="21.95" customHeight="1" x14ac:dyDescent="0.15"/>
    <row r="47442" s="76" customFormat="1" ht="21.95" customHeight="1" x14ac:dyDescent="0.15"/>
    <row r="47443" s="76" customFormat="1" ht="21.95" customHeight="1" x14ac:dyDescent="0.15"/>
    <row r="47444" s="76" customFormat="1" ht="21.95" customHeight="1" x14ac:dyDescent="0.15"/>
    <row r="47445" s="76" customFormat="1" ht="21.95" customHeight="1" x14ac:dyDescent="0.15"/>
    <row r="47446" s="76" customFormat="1" ht="21.95" customHeight="1" x14ac:dyDescent="0.15"/>
    <row r="47447" s="76" customFormat="1" ht="21.95" customHeight="1" x14ac:dyDescent="0.15"/>
    <row r="47448" s="76" customFormat="1" ht="21.95" customHeight="1" x14ac:dyDescent="0.15"/>
    <row r="47449" s="76" customFormat="1" ht="21.95" customHeight="1" x14ac:dyDescent="0.15"/>
    <row r="47450" s="76" customFormat="1" ht="21.95" customHeight="1" x14ac:dyDescent="0.15"/>
    <row r="47451" s="76" customFormat="1" ht="21.95" customHeight="1" x14ac:dyDescent="0.15"/>
    <row r="47452" s="76" customFormat="1" ht="21.95" customHeight="1" x14ac:dyDescent="0.15"/>
    <row r="47453" s="76" customFormat="1" ht="21.95" customHeight="1" x14ac:dyDescent="0.15"/>
    <row r="47454" s="76" customFormat="1" ht="21.95" customHeight="1" x14ac:dyDescent="0.15"/>
    <row r="47455" s="76" customFormat="1" ht="21.95" customHeight="1" x14ac:dyDescent="0.15"/>
    <row r="47456" s="76" customFormat="1" ht="21.95" customHeight="1" x14ac:dyDescent="0.15"/>
    <row r="47457" s="76" customFormat="1" ht="21.95" customHeight="1" x14ac:dyDescent="0.15"/>
    <row r="47458" s="76" customFormat="1" ht="21.95" customHeight="1" x14ac:dyDescent="0.15"/>
    <row r="47459" s="76" customFormat="1" ht="21.95" customHeight="1" x14ac:dyDescent="0.15"/>
    <row r="47460" s="76" customFormat="1" ht="21.95" customHeight="1" x14ac:dyDescent="0.15"/>
    <row r="47461" s="76" customFormat="1" ht="21.95" customHeight="1" x14ac:dyDescent="0.15"/>
    <row r="47462" s="76" customFormat="1" ht="21.95" customHeight="1" x14ac:dyDescent="0.15"/>
    <row r="47463" s="76" customFormat="1" ht="21.95" customHeight="1" x14ac:dyDescent="0.15"/>
    <row r="47464" s="76" customFormat="1" ht="21.95" customHeight="1" x14ac:dyDescent="0.15"/>
    <row r="47465" s="76" customFormat="1" ht="35.1" customHeight="1" x14ac:dyDescent="0.15"/>
    <row r="47466" s="76" customFormat="1" ht="21.95" customHeight="1" x14ac:dyDescent="0.15"/>
    <row r="47467" s="76" customFormat="1" ht="21.95" customHeight="1" x14ac:dyDescent="0.15"/>
    <row r="47468" s="76" customFormat="1" ht="21.95" customHeight="1" x14ac:dyDescent="0.15"/>
    <row r="47469" s="76" customFormat="1" ht="21.95" customHeight="1" x14ac:dyDescent="0.15"/>
    <row r="47470" s="76" customFormat="1" ht="21.95" customHeight="1" x14ac:dyDescent="0.15"/>
    <row r="47471" s="76" customFormat="1" ht="21.95" customHeight="1" x14ac:dyDescent="0.15"/>
    <row r="47472" s="76" customFormat="1" ht="21.95" customHeight="1" x14ac:dyDescent="0.15"/>
    <row r="47473" s="76" customFormat="1" ht="21.95" customHeight="1" x14ac:dyDescent="0.15"/>
    <row r="47474" s="76" customFormat="1" ht="21.95" customHeight="1" x14ac:dyDescent="0.15"/>
    <row r="47475" s="76" customFormat="1" ht="21.95" customHeight="1" x14ac:dyDescent="0.15"/>
    <row r="47476" s="76" customFormat="1" ht="21.95" customHeight="1" x14ac:dyDescent="0.15"/>
    <row r="47477" s="76" customFormat="1" ht="21.95" customHeight="1" x14ac:dyDescent="0.15"/>
    <row r="47478" s="76" customFormat="1" ht="21.95" customHeight="1" x14ac:dyDescent="0.15"/>
    <row r="47479" s="76" customFormat="1" ht="21.95" customHeight="1" x14ac:dyDescent="0.15"/>
    <row r="47480" s="76" customFormat="1" ht="21.95" customHeight="1" x14ac:dyDescent="0.15"/>
    <row r="47481" s="76" customFormat="1" ht="21.95" customHeight="1" x14ac:dyDescent="0.15"/>
    <row r="47482" s="76" customFormat="1" ht="21.95" customHeight="1" x14ac:dyDescent="0.15"/>
    <row r="47483" s="76" customFormat="1" ht="21.95" customHeight="1" x14ac:dyDescent="0.15"/>
    <row r="47484" s="76" customFormat="1" ht="21.95" customHeight="1" x14ac:dyDescent="0.15"/>
    <row r="47485" s="76" customFormat="1" ht="21.95" customHeight="1" x14ac:dyDescent="0.15"/>
    <row r="47486" s="76" customFormat="1" ht="21.95" customHeight="1" x14ac:dyDescent="0.15"/>
    <row r="47487" s="76" customFormat="1" ht="21.95" customHeight="1" x14ac:dyDescent="0.15"/>
    <row r="47488" s="76" customFormat="1" ht="21.95" customHeight="1" x14ac:dyDescent="0.15"/>
    <row r="47489" spans="3:3" customFormat="1" ht="21.95" customHeight="1" x14ac:dyDescent="0.15"/>
    <row r="47490" spans="3:3" customFormat="1" ht="21.95" customHeight="1" x14ac:dyDescent="0.15"/>
    <row r="47491" spans="3:3" customFormat="1" ht="21.95" customHeight="1" x14ac:dyDescent="0.15">
      <c r="C47491" s="94"/>
    </row>
    <row r="47492" spans="3:3" customFormat="1" ht="21.95" customHeight="1" x14ac:dyDescent="0.15">
      <c r="C47492" s="94"/>
    </row>
    <row r="47493" spans="3:3" customFormat="1" ht="21.95" customHeight="1" x14ac:dyDescent="0.15"/>
    <row r="47494" spans="3:3" customFormat="1" ht="21.95" customHeight="1" x14ac:dyDescent="0.15"/>
    <row r="47495" spans="3:3" customFormat="1" ht="21.95" customHeight="1" x14ac:dyDescent="0.15"/>
    <row r="47496" spans="3:3" customFormat="1" ht="21.95" customHeight="1" x14ac:dyDescent="0.15"/>
    <row r="47497" spans="3:3" customFormat="1" ht="21.95" customHeight="1" x14ac:dyDescent="0.15"/>
    <row r="47498" spans="3:3" customFormat="1" ht="21.95" customHeight="1" x14ac:dyDescent="0.15"/>
    <row r="47499" spans="3:3" customFormat="1" ht="21.95" customHeight="1" x14ac:dyDescent="0.15"/>
    <row r="47500" spans="3:3" s="76" customFormat="1" ht="21.95" customHeight="1" x14ac:dyDescent="0.15"/>
    <row r="47501" spans="3:3" s="76" customFormat="1" ht="21.95" customHeight="1" x14ac:dyDescent="0.15"/>
    <row r="47502" spans="3:3" s="76" customFormat="1" ht="21.95" customHeight="1" x14ac:dyDescent="0.15"/>
    <row r="47503" spans="3:3" s="76" customFormat="1" ht="21.95" customHeight="1" x14ac:dyDescent="0.15"/>
    <row r="47504" spans="3:3" customFormat="1" ht="21.95" customHeight="1" x14ac:dyDescent="0.15"/>
    <row r="47505" customFormat="1" ht="21.95" customHeight="1" x14ac:dyDescent="0.15"/>
    <row r="47506" customFormat="1" ht="21.95" customHeight="1" x14ac:dyDescent="0.15"/>
    <row r="47507" customFormat="1" ht="21.95" customHeight="1" x14ac:dyDescent="0.15"/>
    <row r="47508" customFormat="1" ht="21.95" customHeight="1" x14ac:dyDescent="0.15"/>
    <row r="47509" customFormat="1" ht="21.95" customHeight="1" x14ac:dyDescent="0.15"/>
    <row r="47510" customFormat="1" ht="21.95" customHeight="1" x14ac:dyDescent="0.15"/>
    <row r="47511" customFormat="1" ht="21.95" customHeight="1" x14ac:dyDescent="0.15"/>
    <row r="47512" customFormat="1" ht="21.95" customHeight="1" x14ac:dyDescent="0.15"/>
    <row r="47513" customFormat="1" ht="21.95" customHeight="1" x14ac:dyDescent="0.15"/>
    <row r="47514" customFormat="1" ht="21.95" customHeight="1" x14ac:dyDescent="0.15"/>
    <row r="47515" customFormat="1" ht="32.1" customHeight="1" x14ac:dyDescent="0.15"/>
    <row r="47516" customFormat="1" ht="32.1" customHeight="1" x14ac:dyDescent="0.15"/>
    <row r="47517" customFormat="1" ht="32.1" customHeight="1" x14ac:dyDescent="0.15"/>
    <row r="47518" customFormat="1" ht="32.1" customHeight="1" x14ac:dyDescent="0.15"/>
    <row r="47519" customFormat="1" ht="32.1" customHeight="1" x14ac:dyDescent="0.15"/>
    <row r="47520" customFormat="1" ht="32.1" customHeight="1" x14ac:dyDescent="0.15"/>
    <row r="47521" s="76" customFormat="1" ht="32.1" customHeight="1" x14ac:dyDescent="0.15"/>
    <row r="47522" s="76" customFormat="1" ht="32.1" customHeight="1" x14ac:dyDescent="0.15"/>
    <row r="47523" s="76" customFormat="1" ht="32.1" customHeight="1" x14ac:dyDescent="0.15"/>
    <row r="47524" s="76" customFormat="1" ht="32.1" customHeight="1" x14ac:dyDescent="0.15"/>
    <row r="47525" s="76" customFormat="1" ht="21.95" customHeight="1" x14ac:dyDescent="0.15"/>
    <row r="47526" s="76" customFormat="1" ht="54" customHeight="1" x14ac:dyDescent="0.15"/>
    <row r="47527" s="76" customFormat="1" ht="21.95" customHeight="1" x14ac:dyDescent="0.15"/>
    <row r="47528" s="76" customFormat="1" ht="21.95" customHeight="1" x14ac:dyDescent="0.15"/>
    <row r="47529" s="76" customFormat="1" ht="21.95" customHeight="1" x14ac:dyDescent="0.15"/>
    <row r="47530" s="76" customFormat="1" ht="21.95" customHeight="1" x14ac:dyDescent="0.15"/>
    <row r="47531" s="76" customFormat="1" ht="21.95" customHeight="1" x14ac:dyDescent="0.15"/>
    <row r="47532" s="76" customFormat="1" ht="21.95" customHeight="1" x14ac:dyDescent="0.15"/>
    <row r="47533" s="76" customFormat="1" ht="21.95" customHeight="1" x14ac:dyDescent="0.15"/>
    <row r="47534" s="76" customFormat="1" ht="21.95" customHeight="1" x14ac:dyDescent="0.15"/>
    <row r="47535" s="76" customFormat="1" ht="21.95" customHeight="1" x14ac:dyDescent="0.15"/>
    <row r="47536" s="76" customFormat="1" ht="21.95" customHeight="1" x14ac:dyDescent="0.15"/>
    <row r="47537" s="76" customFormat="1" ht="21.95" customHeight="1" x14ac:dyDescent="0.15"/>
    <row r="47538" s="76" customFormat="1" ht="21.95" customHeight="1" x14ac:dyDescent="0.15"/>
    <row r="47539" s="76" customFormat="1" ht="21.95" customHeight="1" x14ac:dyDescent="0.15"/>
    <row r="47540" s="76" customFormat="1" ht="21.95" customHeight="1" x14ac:dyDescent="0.15"/>
    <row r="47541" s="76" customFormat="1" ht="21.95" customHeight="1" x14ac:dyDescent="0.15"/>
    <row r="47542" s="76" customFormat="1" ht="21.95" customHeight="1" x14ac:dyDescent="0.15"/>
    <row r="47543" s="76" customFormat="1" ht="21.95" customHeight="1" x14ac:dyDescent="0.15"/>
    <row r="47544" s="76" customFormat="1" ht="21.95" customHeight="1" x14ac:dyDescent="0.15"/>
    <row r="47545" s="76" customFormat="1" ht="21.95" customHeight="1" x14ac:dyDescent="0.15"/>
    <row r="47546" s="76" customFormat="1" ht="21.95" customHeight="1" x14ac:dyDescent="0.15"/>
    <row r="47547" s="76" customFormat="1" ht="21.95" customHeight="1" x14ac:dyDescent="0.15"/>
    <row r="47548" s="76" customFormat="1" ht="21.95" customHeight="1" x14ac:dyDescent="0.15"/>
    <row r="47549" s="76" customFormat="1" ht="21.95" customHeight="1" x14ac:dyDescent="0.15"/>
    <row r="47550" s="76" customFormat="1" ht="21.95" customHeight="1" x14ac:dyDescent="0.15"/>
    <row r="47551" s="76" customFormat="1" ht="21.95" customHeight="1" x14ac:dyDescent="0.15"/>
    <row r="47552" s="76" customFormat="1" ht="21.95" customHeight="1" x14ac:dyDescent="0.15"/>
    <row r="47553" s="76" customFormat="1" ht="21.95" customHeight="1" x14ac:dyDescent="0.15"/>
    <row r="47554" s="76" customFormat="1" ht="21.95" customHeight="1" x14ac:dyDescent="0.15"/>
    <row r="47555" s="76" customFormat="1" ht="21.95" customHeight="1" x14ac:dyDescent="0.15"/>
    <row r="47556" s="76" customFormat="1" ht="21.95" customHeight="1" x14ac:dyDescent="0.15"/>
    <row r="47557" s="76" customFormat="1" ht="21.95" customHeight="1" x14ac:dyDescent="0.15"/>
    <row r="47558" s="76" customFormat="1" ht="21.95" customHeight="1" x14ac:dyDescent="0.15"/>
    <row r="47559" s="76" customFormat="1" ht="21.95" customHeight="1" x14ac:dyDescent="0.15"/>
    <row r="47560" s="76" customFormat="1" ht="21.95" customHeight="1" x14ac:dyDescent="0.15"/>
    <row r="47561" s="76" customFormat="1" ht="21.95" customHeight="1" x14ac:dyDescent="0.15"/>
    <row r="47562" s="76" customFormat="1" ht="21.95" customHeight="1" x14ac:dyDescent="0.15"/>
    <row r="47563" s="76" customFormat="1" ht="21.95" customHeight="1" x14ac:dyDescent="0.15"/>
    <row r="47564" s="76" customFormat="1" ht="21.95" customHeight="1" x14ac:dyDescent="0.15"/>
    <row r="47565" s="76" customFormat="1" ht="21.95" customHeight="1" x14ac:dyDescent="0.15"/>
    <row r="47566" s="76" customFormat="1" ht="21.95" customHeight="1" x14ac:dyDescent="0.15"/>
    <row r="47567" s="76" customFormat="1" ht="21.95" customHeight="1" x14ac:dyDescent="0.15"/>
    <row r="47568" s="76" customFormat="1" ht="21.95" customHeight="1" x14ac:dyDescent="0.15"/>
    <row r="47569" s="76" customFormat="1" ht="21.95" customHeight="1" x14ac:dyDescent="0.15"/>
    <row r="47570" s="76" customFormat="1" ht="21.95" customHeight="1" x14ac:dyDescent="0.15"/>
    <row r="47571" s="76" customFormat="1" ht="21.95" customHeight="1" x14ac:dyDescent="0.15"/>
    <row r="47572" s="76" customFormat="1" ht="21.95" customHeight="1" x14ac:dyDescent="0.15"/>
    <row r="47573" s="76" customFormat="1" ht="21.95" customHeight="1" x14ac:dyDescent="0.15"/>
    <row r="47574" s="76" customFormat="1" ht="21.95" customHeight="1" x14ac:dyDescent="0.15"/>
    <row r="47575" s="76" customFormat="1" ht="21.95" customHeight="1" x14ac:dyDescent="0.15"/>
    <row r="47576" s="76" customFormat="1" ht="21.95" customHeight="1" x14ac:dyDescent="0.15"/>
    <row r="47577" s="76" customFormat="1" ht="35.1" customHeight="1" x14ac:dyDescent="0.15"/>
    <row r="47578" s="76" customFormat="1" ht="21.95" customHeight="1" x14ac:dyDescent="0.15"/>
    <row r="47579" s="76" customFormat="1" ht="21.95" customHeight="1" x14ac:dyDescent="0.15"/>
    <row r="47580" s="76" customFormat="1" ht="21.95" customHeight="1" x14ac:dyDescent="0.15"/>
    <row r="47581" s="76" customFormat="1" ht="21.95" customHeight="1" x14ac:dyDescent="0.15"/>
    <row r="47582" s="76" customFormat="1" ht="21.95" customHeight="1" x14ac:dyDescent="0.15"/>
    <row r="47583" s="76" customFormat="1" ht="21.95" customHeight="1" x14ac:dyDescent="0.15"/>
    <row r="47584" s="76" customFormat="1" ht="21.95" customHeight="1" x14ac:dyDescent="0.15"/>
    <row r="47585" s="76" customFormat="1" ht="21.95" customHeight="1" x14ac:dyDescent="0.15"/>
    <row r="47586" s="76" customFormat="1" ht="21.95" customHeight="1" x14ac:dyDescent="0.15"/>
    <row r="47587" s="76" customFormat="1" ht="21.95" customHeight="1" x14ac:dyDescent="0.15"/>
    <row r="47588" s="76" customFormat="1" ht="21.95" customHeight="1" x14ac:dyDescent="0.15"/>
    <row r="47589" s="76" customFormat="1" ht="21.95" customHeight="1" x14ac:dyDescent="0.15"/>
    <row r="47590" s="76" customFormat="1" ht="21.95" customHeight="1" x14ac:dyDescent="0.15"/>
    <row r="47591" s="76" customFormat="1" ht="21.95" customHeight="1" x14ac:dyDescent="0.15"/>
    <row r="47592" s="76" customFormat="1" ht="21.95" customHeight="1" x14ac:dyDescent="0.15"/>
    <row r="47593" s="76" customFormat="1" ht="21.95" customHeight="1" x14ac:dyDescent="0.15"/>
    <row r="47594" s="76" customFormat="1" ht="21.95" customHeight="1" x14ac:dyDescent="0.15"/>
    <row r="47595" s="76" customFormat="1" ht="21.95" customHeight="1" x14ac:dyDescent="0.15"/>
    <row r="47596" s="76" customFormat="1" ht="21.95" customHeight="1" x14ac:dyDescent="0.15"/>
    <row r="47597" s="76" customFormat="1" ht="21.95" customHeight="1" x14ac:dyDescent="0.15"/>
    <row r="47598" s="76" customFormat="1" ht="21.95" customHeight="1" x14ac:dyDescent="0.15"/>
    <row r="47599" s="76" customFormat="1" ht="21.95" customHeight="1" x14ac:dyDescent="0.15"/>
    <row r="47600" s="76" customFormat="1" ht="21.95" customHeight="1" x14ac:dyDescent="0.15"/>
    <row r="47601" spans="3:3" customFormat="1" ht="21.95" customHeight="1" x14ac:dyDescent="0.15"/>
    <row r="47602" spans="3:3" customFormat="1" ht="21.95" customHeight="1" x14ac:dyDescent="0.15"/>
    <row r="47603" spans="3:3" customFormat="1" ht="21.95" customHeight="1" x14ac:dyDescent="0.15">
      <c r="C47603" s="94"/>
    </row>
    <row r="47604" spans="3:3" customFormat="1" ht="21.95" customHeight="1" x14ac:dyDescent="0.15">
      <c r="C47604" s="94"/>
    </row>
    <row r="47605" spans="3:3" customFormat="1" ht="21.95" customHeight="1" x14ac:dyDescent="0.15"/>
    <row r="47606" spans="3:3" customFormat="1" ht="21.95" customHeight="1" x14ac:dyDescent="0.15"/>
    <row r="47607" spans="3:3" customFormat="1" ht="21.95" customHeight="1" x14ac:dyDescent="0.15"/>
    <row r="47608" spans="3:3" customFormat="1" ht="21.95" customHeight="1" x14ac:dyDescent="0.15"/>
    <row r="47609" spans="3:3" customFormat="1" ht="21.95" customHeight="1" x14ac:dyDescent="0.15"/>
    <row r="47610" spans="3:3" customFormat="1" ht="21.95" customHeight="1" x14ac:dyDescent="0.15"/>
    <row r="47611" spans="3:3" customFormat="1" ht="21.95" customHeight="1" x14ac:dyDescent="0.15"/>
    <row r="47612" spans="3:3" s="76" customFormat="1" ht="21.95" customHeight="1" x14ac:dyDescent="0.15"/>
    <row r="47613" spans="3:3" s="76" customFormat="1" ht="21.95" customHeight="1" x14ac:dyDescent="0.15"/>
    <row r="47614" spans="3:3" s="76" customFormat="1" ht="21.95" customHeight="1" x14ac:dyDescent="0.15"/>
    <row r="47615" spans="3:3" s="76" customFormat="1" ht="21.95" customHeight="1" x14ac:dyDescent="0.15"/>
    <row r="47616" spans="3:3" customFormat="1" ht="21.95" customHeight="1" x14ac:dyDescent="0.15"/>
    <row r="47617" customFormat="1" ht="21.95" customHeight="1" x14ac:dyDescent="0.15"/>
    <row r="47618" customFormat="1" ht="21.95" customHeight="1" x14ac:dyDescent="0.15"/>
    <row r="47619" customFormat="1" ht="21.95" customHeight="1" x14ac:dyDescent="0.15"/>
    <row r="47620" customFormat="1" ht="21.95" customHeight="1" x14ac:dyDescent="0.15"/>
    <row r="47621" customFormat="1" ht="21.95" customHeight="1" x14ac:dyDescent="0.15"/>
    <row r="47622" customFormat="1" ht="21.95" customHeight="1" x14ac:dyDescent="0.15"/>
    <row r="47623" customFormat="1" ht="21.95" customHeight="1" x14ac:dyDescent="0.15"/>
    <row r="47624" customFormat="1" ht="21.95" customHeight="1" x14ac:dyDescent="0.15"/>
    <row r="47625" customFormat="1" ht="21.95" customHeight="1" x14ac:dyDescent="0.15"/>
    <row r="47626" customFormat="1" ht="21.95" customHeight="1" x14ac:dyDescent="0.15"/>
    <row r="47627" customFormat="1" ht="32.1" customHeight="1" x14ac:dyDescent="0.15"/>
    <row r="47628" customFormat="1" ht="32.1" customHeight="1" x14ac:dyDescent="0.15"/>
    <row r="47629" customFormat="1" ht="32.1" customHeight="1" x14ac:dyDescent="0.15"/>
    <row r="47630" customFormat="1" ht="32.1" customHeight="1" x14ac:dyDescent="0.15"/>
    <row r="47631" customFormat="1" ht="32.1" customHeight="1" x14ac:dyDescent="0.15"/>
    <row r="47632" customFormat="1" ht="32.1" customHeight="1" x14ac:dyDescent="0.15"/>
    <row r="47633" s="76" customFormat="1" ht="32.1" customHeight="1" x14ac:dyDescent="0.15"/>
    <row r="47634" s="76" customFormat="1" ht="32.1" customHeight="1" x14ac:dyDescent="0.15"/>
    <row r="47635" s="76" customFormat="1" ht="32.1" customHeight="1" x14ac:dyDescent="0.15"/>
    <row r="47636" s="76" customFormat="1" ht="32.1" customHeight="1" x14ac:dyDescent="0.15"/>
    <row r="47637" s="76" customFormat="1" ht="21.95" customHeight="1" x14ac:dyDescent="0.15"/>
    <row r="47638" s="76" customFormat="1" ht="54" customHeight="1" x14ac:dyDescent="0.15"/>
    <row r="47639" s="76" customFormat="1" ht="21.95" customHeight="1" x14ac:dyDescent="0.15"/>
    <row r="47640" s="76" customFormat="1" ht="21.95" customHeight="1" x14ac:dyDescent="0.15"/>
    <row r="47641" s="76" customFormat="1" ht="21.95" customHeight="1" x14ac:dyDescent="0.15"/>
    <row r="47642" s="76" customFormat="1" ht="21.95" customHeight="1" x14ac:dyDescent="0.15"/>
    <row r="47643" s="76" customFormat="1" ht="21.95" customHeight="1" x14ac:dyDescent="0.15"/>
    <row r="47644" s="76" customFormat="1" ht="21.95" customHeight="1" x14ac:dyDescent="0.15"/>
    <row r="47645" s="76" customFormat="1" ht="21.95" customHeight="1" x14ac:dyDescent="0.15"/>
    <row r="47646" s="76" customFormat="1" ht="21.95" customHeight="1" x14ac:dyDescent="0.15"/>
    <row r="47647" s="76" customFormat="1" ht="21.95" customHeight="1" x14ac:dyDescent="0.15"/>
    <row r="47648" s="76" customFormat="1" ht="21.95" customHeight="1" x14ac:dyDescent="0.15"/>
    <row r="47649" s="76" customFormat="1" ht="21.95" customHeight="1" x14ac:dyDescent="0.15"/>
    <row r="47650" s="76" customFormat="1" ht="21.95" customHeight="1" x14ac:dyDescent="0.15"/>
    <row r="47651" s="76" customFormat="1" ht="21.95" customHeight="1" x14ac:dyDescent="0.15"/>
    <row r="47652" s="76" customFormat="1" ht="21.95" customHeight="1" x14ac:dyDescent="0.15"/>
    <row r="47653" s="76" customFormat="1" ht="21.95" customHeight="1" x14ac:dyDescent="0.15"/>
    <row r="47654" s="76" customFormat="1" ht="21.95" customHeight="1" x14ac:dyDescent="0.15"/>
    <row r="47655" s="76" customFormat="1" ht="21.95" customHeight="1" x14ac:dyDescent="0.15"/>
    <row r="47656" s="76" customFormat="1" ht="21.95" customHeight="1" x14ac:dyDescent="0.15"/>
    <row r="47657" s="76" customFormat="1" ht="21.95" customHeight="1" x14ac:dyDescent="0.15"/>
    <row r="47658" s="76" customFormat="1" ht="21.95" customHeight="1" x14ac:dyDescent="0.15"/>
    <row r="47659" s="76" customFormat="1" ht="21.95" customHeight="1" x14ac:dyDescent="0.15"/>
    <row r="47660" s="76" customFormat="1" ht="21.95" customHeight="1" x14ac:dyDescent="0.15"/>
    <row r="47661" s="76" customFormat="1" ht="21.95" customHeight="1" x14ac:dyDescent="0.15"/>
    <row r="47662" s="76" customFormat="1" ht="21.95" customHeight="1" x14ac:dyDescent="0.15"/>
    <row r="47663" s="76" customFormat="1" ht="21.95" customHeight="1" x14ac:dyDescent="0.15"/>
    <row r="47664" s="76" customFormat="1" ht="21.95" customHeight="1" x14ac:dyDescent="0.15"/>
    <row r="47665" s="76" customFormat="1" ht="21.95" customHeight="1" x14ac:dyDescent="0.15"/>
    <row r="47666" s="76" customFormat="1" ht="21.95" customHeight="1" x14ac:dyDescent="0.15"/>
    <row r="47667" s="76" customFormat="1" ht="21.95" customHeight="1" x14ac:dyDescent="0.15"/>
    <row r="47668" s="76" customFormat="1" ht="21.95" customHeight="1" x14ac:dyDescent="0.15"/>
    <row r="47669" s="76" customFormat="1" ht="21.95" customHeight="1" x14ac:dyDescent="0.15"/>
    <row r="47670" s="76" customFormat="1" ht="21.95" customHeight="1" x14ac:dyDescent="0.15"/>
    <row r="47671" s="76" customFormat="1" ht="21.95" customHeight="1" x14ac:dyDescent="0.15"/>
    <row r="47672" s="76" customFormat="1" ht="21.95" customHeight="1" x14ac:dyDescent="0.15"/>
    <row r="47673" s="76" customFormat="1" ht="21.95" customHeight="1" x14ac:dyDescent="0.15"/>
    <row r="47674" s="76" customFormat="1" ht="21.95" customHeight="1" x14ac:dyDescent="0.15"/>
    <row r="47675" s="76" customFormat="1" ht="21.95" customHeight="1" x14ac:dyDescent="0.15"/>
    <row r="47676" s="76" customFormat="1" ht="21.95" customHeight="1" x14ac:dyDescent="0.15"/>
    <row r="47677" s="76" customFormat="1" ht="21.95" customHeight="1" x14ac:dyDescent="0.15"/>
    <row r="47678" s="76" customFormat="1" ht="21.95" customHeight="1" x14ac:dyDescent="0.15"/>
    <row r="47679" s="76" customFormat="1" ht="21.95" customHeight="1" x14ac:dyDescent="0.15"/>
    <row r="47680" s="76" customFormat="1" ht="21.95" customHeight="1" x14ac:dyDescent="0.15"/>
    <row r="47681" s="76" customFormat="1" ht="21.95" customHeight="1" x14ac:dyDescent="0.15"/>
    <row r="47682" s="76" customFormat="1" ht="21.95" customHeight="1" x14ac:dyDescent="0.15"/>
    <row r="47683" s="76" customFormat="1" ht="21.95" customHeight="1" x14ac:dyDescent="0.15"/>
    <row r="47684" s="76" customFormat="1" ht="21.95" customHeight="1" x14ac:dyDescent="0.15"/>
    <row r="47685" s="76" customFormat="1" ht="21.95" customHeight="1" x14ac:dyDescent="0.15"/>
    <row r="47686" s="76" customFormat="1" ht="21.95" customHeight="1" x14ac:dyDescent="0.15"/>
    <row r="47687" s="76" customFormat="1" ht="21.95" customHeight="1" x14ac:dyDescent="0.15"/>
    <row r="47688" s="76" customFormat="1" ht="21.95" customHeight="1" x14ac:dyDescent="0.15"/>
    <row r="47689" s="76" customFormat="1" ht="35.1" customHeight="1" x14ac:dyDescent="0.15"/>
    <row r="47690" s="76" customFormat="1" ht="21.95" customHeight="1" x14ac:dyDescent="0.15"/>
    <row r="47691" s="76" customFormat="1" ht="21.95" customHeight="1" x14ac:dyDescent="0.15"/>
    <row r="47692" s="76" customFormat="1" ht="21.95" customHeight="1" x14ac:dyDescent="0.15"/>
    <row r="47693" s="76" customFormat="1" ht="21.95" customHeight="1" x14ac:dyDescent="0.15"/>
    <row r="47694" s="76" customFormat="1" ht="21.95" customHeight="1" x14ac:dyDescent="0.15"/>
    <row r="47695" s="76" customFormat="1" ht="21.95" customHeight="1" x14ac:dyDescent="0.15"/>
    <row r="47696" s="76" customFormat="1" ht="21.95" customHeight="1" x14ac:dyDescent="0.15"/>
    <row r="47697" s="76" customFormat="1" ht="21.95" customHeight="1" x14ac:dyDescent="0.15"/>
    <row r="47698" s="76" customFormat="1" ht="21.95" customHeight="1" x14ac:dyDescent="0.15"/>
    <row r="47699" s="76" customFormat="1" ht="21.95" customHeight="1" x14ac:dyDescent="0.15"/>
    <row r="47700" s="76" customFormat="1" ht="21.95" customHeight="1" x14ac:dyDescent="0.15"/>
    <row r="47701" s="76" customFormat="1" ht="21.95" customHeight="1" x14ac:dyDescent="0.15"/>
    <row r="47702" s="76" customFormat="1" ht="21.95" customHeight="1" x14ac:dyDescent="0.15"/>
    <row r="47703" s="76" customFormat="1" ht="21.95" customHeight="1" x14ac:dyDescent="0.15"/>
    <row r="47704" s="76" customFormat="1" ht="21.95" customHeight="1" x14ac:dyDescent="0.15"/>
    <row r="47705" s="76" customFormat="1" ht="21.95" customHeight="1" x14ac:dyDescent="0.15"/>
    <row r="47706" s="76" customFormat="1" ht="21.95" customHeight="1" x14ac:dyDescent="0.15"/>
    <row r="47707" s="76" customFormat="1" ht="21.95" customHeight="1" x14ac:dyDescent="0.15"/>
    <row r="47708" s="76" customFormat="1" ht="21.95" customHeight="1" x14ac:dyDescent="0.15"/>
    <row r="47709" s="76" customFormat="1" ht="21.95" customHeight="1" x14ac:dyDescent="0.15"/>
    <row r="47710" s="76" customFormat="1" ht="21.95" customHeight="1" x14ac:dyDescent="0.15"/>
    <row r="47711" s="76" customFormat="1" ht="21.95" customHeight="1" x14ac:dyDescent="0.15"/>
    <row r="47712" s="76" customFormat="1" ht="21.95" customHeight="1" x14ac:dyDescent="0.15"/>
    <row r="47713" spans="3:3" customFormat="1" ht="21.95" customHeight="1" x14ac:dyDescent="0.15"/>
    <row r="47714" spans="3:3" customFormat="1" ht="21.95" customHeight="1" x14ac:dyDescent="0.15"/>
    <row r="47715" spans="3:3" customFormat="1" ht="21.95" customHeight="1" x14ac:dyDescent="0.15">
      <c r="C47715" s="94"/>
    </row>
    <row r="47716" spans="3:3" customFormat="1" ht="21.95" customHeight="1" x14ac:dyDescent="0.15">
      <c r="C47716" s="94"/>
    </row>
    <row r="47717" spans="3:3" customFormat="1" ht="21.95" customHeight="1" x14ac:dyDescent="0.15"/>
    <row r="47718" spans="3:3" customFormat="1" ht="21.95" customHeight="1" x14ac:dyDescent="0.15"/>
    <row r="47719" spans="3:3" customFormat="1" ht="21.95" customHeight="1" x14ac:dyDescent="0.15"/>
    <row r="47720" spans="3:3" customFormat="1" ht="21.95" customHeight="1" x14ac:dyDescent="0.15"/>
    <row r="47721" spans="3:3" customFormat="1" ht="21.95" customHeight="1" x14ac:dyDescent="0.15"/>
    <row r="47722" spans="3:3" customFormat="1" ht="21.95" customHeight="1" x14ac:dyDescent="0.15"/>
    <row r="47723" spans="3:3" customFormat="1" ht="21.95" customHeight="1" x14ac:dyDescent="0.15"/>
    <row r="47724" spans="3:3" s="76" customFormat="1" ht="21.95" customHeight="1" x14ac:dyDescent="0.15"/>
    <row r="47725" spans="3:3" s="76" customFormat="1" ht="21.95" customHeight="1" x14ac:dyDescent="0.15"/>
    <row r="47726" spans="3:3" s="76" customFormat="1" ht="21.95" customHeight="1" x14ac:dyDescent="0.15"/>
    <row r="47727" spans="3:3" s="76" customFormat="1" ht="21.95" customHeight="1" x14ac:dyDescent="0.15"/>
    <row r="47728" spans="3:3" customFormat="1" ht="21.95" customHeight="1" x14ac:dyDescent="0.15"/>
    <row r="47729" customFormat="1" ht="21.95" customHeight="1" x14ac:dyDescent="0.15"/>
    <row r="47730" customFormat="1" ht="21.95" customHeight="1" x14ac:dyDescent="0.15"/>
    <row r="47731" customFormat="1" ht="21.95" customHeight="1" x14ac:dyDescent="0.15"/>
    <row r="47732" customFormat="1" ht="21.95" customHeight="1" x14ac:dyDescent="0.15"/>
    <row r="47733" customFormat="1" ht="21.95" customHeight="1" x14ac:dyDescent="0.15"/>
    <row r="47734" customFormat="1" ht="21.95" customHeight="1" x14ac:dyDescent="0.15"/>
    <row r="47735" customFormat="1" ht="21.95" customHeight="1" x14ac:dyDescent="0.15"/>
    <row r="47736" customFormat="1" ht="21.95" customHeight="1" x14ac:dyDescent="0.15"/>
    <row r="47737" customFormat="1" ht="21.95" customHeight="1" x14ac:dyDescent="0.15"/>
    <row r="47738" customFormat="1" ht="21.95" customHeight="1" x14ac:dyDescent="0.15"/>
    <row r="47739" customFormat="1" ht="32.1" customHeight="1" x14ac:dyDescent="0.15"/>
    <row r="47740" customFormat="1" ht="32.1" customHeight="1" x14ac:dyDescent="0.15"/>
    <row r="47741" customFormat="1" ht="32.1" customHeight="1" x14ac:dyDescent="0.15"/>
    <row r="47742" customFormat="1" ht="32.1" customHeight="1" x14ac:dyDescent="0.15"/>
    <row r="47743" customFormat="1" ht="32.1" customHeight="1" x14ac:dyDescent="0.15"/>
    <row r="47744" customFormat="1" ht="32.1" customHeight="1" x14ac:dyDescent="0.15"/>
    <row r="47745" s="76" customFormat="1" ht="32.1" customHeight="1" x14ac:dyDescent="0.15"/>
    <row r="47746" s="76" customFormat="1" ht="32.1" customHeight="1" x14ac:dyDescent="0.15"/>
    <row r="47747" s="76" customFormat="1" ht="32.1" customHeight="1" x14ac:dyDescent="0.15"/>
    <row r="47748" s="76" customFormat="1" ht="32.1" customHeight="1" x14ac:dyDescent="0.15"/>
    <row r="47749" s="76" customFormat="1" ht="21.95" customHeight="1" x14ac:dyDescent="0.15"/>
    <row r="47750" s="76" customFormat="1" ht="54" customHeight="1" x14ac:dyDescent="0.15"/>
    <row r="47751" s="76" customFormat="1" ht="21.95" customHeight="1" x14ac:dyDescent="0.15"/>
    <row r="47752" s="76" customFormat="1" ht="21.95" customHeight="1" x14ac:dyDescent="0.15"/>
    <row r="47753" s="76" customFormat="1" ht="21.95" customHeight="1" x14ac:dyDescent="0.15"/>
    <row r="47754" s="76" customFormat="1" ht="21.95" customHeight="1" x14ac:dyDescent="0.15"/>
    <row r="47755" s="76" customFormat="1" ht="21.95" customHeight="1" x14ac:dyDescent="0.15"/>
    <row r="47756" s="76" customFormat="1" ht="21.95" customHeight="1" x14ac:dyDescent="0.15"/>
    <row r="47757" s="76" customFormat="1" ht="21.95" customHeight="1" x14ac:dyDescent="0.15"/>
    <row r="47758" s="76" customFormat="1" ht="21.95" customHeight="1" x14ac:dyDescent="0.15"/>
    <row r="47759" s="76" customFormat="1" ht="21.95" customHeight="1" x14ac:dyDescent="0.15"/>
    <row r="47760" s="76" customFormat="1" ht="21.95" customHeight="1" x14ac:dyDescent="0.15"/>
    <row r="47761" s="76" customFormat="1" ht="21.95" customHeight="1" x14ac:dyDescent="0.15"/>
    <row r="47762" s="76" customFormat="1" ht="21.95" customHeight="1" x14ac:dyDescent="0.15"/>
    <row r="47763" s="76" customFormat="1" ht="21.95" customHeight="1" x14ac:dyDescent="0.15"/>
    <row r="47764" s="76" customFormat="1" ht="21.95" customHeight="1" x14ac:dyDescent="0.15"/>
    <row r="47765" s="76" customFormat="1" ht="21.95" customHeight="1" x14ac:dyDescent="0.15"/>
    <row r="47766" s="76" customFormat="1" ht="21.95" customHeight="1" x14ac:dyDescent="0.15"/>
    <row r="47767" s="76" customFormat="1" ht="21.95" customHeight="1" x14ac:dyDescent="0.15"/>
    <row r="47768" s="76" customFormat="1" ht="21.95" customHeight="1" x14ac:dyDescent="0.15"/>
    <row r="47769" s="76" customFormat="1" ht="21.95" customHeight="1" x14ac:dyDescent="0.15"/>
    <row r="47770" s="76" customFormat="1" ht="21.95" customHeight="1" x14ac:dyDescent="0.15"/>
    <row r="47771" s="76" customFormat="1" ht="21.95" customHeight="1" x14ac:dyDescent="0.15"/>
    <row r="47772" s="76" customFormat="1" ht="21.95" customHeight="1" x14ac:dyDescent="0.15"/>
    <row r="47773" s="76" customFormat="1" ht="21.95" customHeight="1" x14ac:dyDescent="0.15"/>
    <row r="47774" s="76" customFormat="1" ht="21.95" customHeight="1" x14ac:dyDescent="0.15"/>
    <row r="47775" s="76" customFormat="1" ht="21.95" customHeight="1" x14ac:dyDescent="0.15"/>
    <row r="47776" s="76" customFormat="1" ht="21.95" customHeight="1" x14ac:dyDescent="0.15"/>
    <row r="47777" s="76" customFormat="1" ht="21.95" customHeight="1" x14ac:dyDescent="0.15"/>
    <row r="47778" s="76" customFormat="1" ht="21.95" customHeight="1" x14ac:dyDescent="0.15"/>
    <row r="47779" s="76" customFormat="1" ht="21.95" customHeight="1" x14ac:dyDescent="0.15"/>
    <row r="47780" s="76" customFormat="1" ht="21.95" customHeight="1" x14ac:dyDescent="0.15"/>
    <row r="47781" s="76" customFormat="1" ht="21.95" customHeight="1" x14ac:dyDescent="0.15"/>
    <row r="47782" s="76" customFormat="1" ht="21.95" customHeight="1" x14ac:dyDescent="0.15"/>
    <row r="47783" s="76" customFormat="1" ht="21.95" customHeight="1" x14ac:dyDescent="0.15"/>
    <row r="47784" s="76" customFormat="1" ht="21.95" customHeight="1" x14ac:dyDescent="0.15"/>
    <row r="47785" s="76" customFormat="1" ht="21.95" customHeight="1" x14ac:dyDescent="0.15"/>
    <row r="47786" s="76" customFormat="1" ht="21.95" customHeight="1" x14ac:dyDescent="0.15"/>
    <row r="47787" s="76" customFormat="1" ht="21.95" customHeight="1" x14ac:dyDescent="0.15"/>
    <row r="47788" s="76" customFormat="1" ht="21.95" customHeight="1" x14ac:dyDescent="0.15"/>
    <row r="47789" s="76" customFormat="1" ht="21.95" customHeight="1" x14ac:dyDescent="0.15"/>
    <row r="47790" s="76" customFormat="1" ht="21.95" customHeight="1" x14ac:dyDescent="0.15"/>
    <row r="47791" s="76" customFormat="1" ht="21.95" customHeight="1" x14ac:dyDescent="0.15"/>
    <row r="47792" s="76" customFormat="1" ht="21.95" customHeight="1" x14ac:dyDescent="0.15"/>
    <row r="47793" s="76" customFormat="1" ht="21.95" customHeight="1" x14ac:dyDescent="0.15"/>
    <row r="47794" s="76" customFormat="1" ht="21.95" customHeight="1" x14ac:dyDescent="0.15"/>
    <row r="47795" s="76" customFormat="1" ht="21.95" customHeight="1" x14ac:dyDescent="0.15"/>
    <row r="47796" s="76" customFormat="1" ht="21.95" customHeight="1" x14ac:dyDescent="0.15"/>
    <row r="47797" s="76" customFormat="1" ht="21.95" customHeight="1" x14ac:dyDescent="0.15"/>
    <row r="47798" s="76" customFormat="1" ht="21.95" customHeight="1" x14ac:dyDescent="0.15"/>
    <row r="47799" s="76" customFormat="1" ht="21.95" customHeight="1" x14ac:dyDescent="0.15"/>
    <row r="47800" s="76" customFormat="1" ht="21.95" customHeight="1" x14ac:dyDescent="0.15"/>
    <row r="47801" s="76" customFormat="1" ht="35.1" customHeight="1" x14ac:dyDescent="0.15"/>
    <row r="47802" s="76" customFormat="1" ht="21.95" customHeight="1" x14ac:dyDescent="0.15"/>
    <row r="47803" s="76" customFormat="1" ht="21.95" customHeight="1" x14ac:dyDescent="0.15"/>
    <row r="47804" s="76" customFormat="1" ht="21.95" customHeight="1" x14ac:dyDescent="0.15"/>
    <row r="47805" s="76" customFormat="1" ht="21.95" customHeight="1" x14ac:dyDescent="0.15"/>
    <row r="47806" s="76" customFormat="1" ht="21.95" customHeight="1" x14ac:dyDescent="0.15"/>
    <row r="47807" s="76" customFormat="1" ht="21.95" customHeight="1" x14ac:dyDescent="0.15"/>
    <row r="47808" s="76" customFormat="1" ht="21.95" customHeight="1" x14ac:dyDescent="0.15"/>
    <row r="47809" s="76" customFormat="1" ht="21.95" customHeight="1" x14ac:dyDescent="0.15"/>
    <row r="47810" s="76" customFormat="1" ht="21.95" customHeight="1" x14ac:dyDescent="0.15"/>
    <row r="47811" s="76" customFormat="1" ht="21.95" customHeight="1" x14ac:dyDescent="0.15"/>
    <row r="47812" s="76" customFormat="1" ht="21.95" customHeight="1" x14ac:dyDescent="0.15"/>
    <row r="47813" s="76" customFormat="1" ht="21.95" customHeight="1" x14ac:dyDescent="0.15"/>
    <row r="47814" s="76" customFormat="1" ht="21.95" customHeight="1" x14ac:dyDescent="0.15"/>
    <row r="47815" s="76" customFormat="1" ht="21.95" customHeight="1" x14ac:dyDescent="0.15"/>
    <row r="47816" s="76" customFormat="1" ht="21.95" customHeight="1" x14ac:dyDescent="0.15"/>
    <row r="47817" s="76" customFormat="1" ht="21.95" customHeight="1" x14ac:dyDescent="0.15"/>
    <row r="47818" s="76" customFormat="1" ht="21.95" customHeight="1" x14ac:dyDescent="0.15"/>
    <row r="47819" s="76" customFormat="1" ht="21.95" customHeight="1" x14ac:dyDescent="0.15"/>
    <row r="47820" s="76" customFormat="1" ht="21.95" customHeight="1" x14ac:dyDescent="0.15"/>
    <row r="47821" s="76" customFormat="1" ht="21.95" customHeight="1" x14ac:dyDescent="0.15"/>
    <row r="47822" s="76" customFormat="1" ht="21.95" customHeight="1" x14ac:dyDescent="0.15"/>
    <row r="47823" s="76" customFormat="1" ht="21.95" customHeight="1" x14ac:dyDescent="0.15"/>
    <row r="47824" s="76" customFormat="1" ht="21.95" customHeight="1" x14ac:dyDescent="0.15"/>
    <row r="47825" spans="3:3" customFormat="1" ht="21.95" customHeight="1" x14ac:dyDescent="0.15"/>
    <row r="47826" spans="3:3" customFormat="1" ht="21.95" customHeight="1" x14ac:dyDescent="0.15"/>
    <row r="47827" spans="3:3" customFormat="1" ht="21.95" customHeight="1" x14ac:dyDescent="0.15">
      <c r="C47827" s="94"/>
    </row>
    <row r="47828" spans="3:3" customFormat="1" ht="21.95" customHeight="1" x14ac:dyDescent="0.15">
      <c r="C47828" s="94"/>
    </row>
    <row r="47829" spans="3:3" customFormat="1" ht="21.95" customHeight="1" x14ac:dyDescent="0.15"/>
    <row r="47830" spans="3:3" customFormat="1" ht="21.95" customHeight="1" x14ac:dyDescent="0.15"/>
    <row r="47831" spans="3:3" customFormat="1" ht="21.95" customHeight="1" x14ac:dyDescent="0.15"/>
    <row r="47832" spans="3:3" customFormat="1" ht="21.95" customHeight="1" x14ac:dyDescent="0.15"/>
    <row r="47833" spans="3:3" customFormat="1" ht="21.95" customHeight="1" x14ac:dyDescent="0.15"/>
    <row r="47834" spans="3:3" customFormat="1" ht="21.95" customHeight="1" x14ac:dyDescent="0.15"/>
    <row r="47835" spans="3:3" customFormat="1" ht="21.95" customHeight="1" x14ac:dyDescent="0.15"/>
    <row r="47836" spans="3:3" s="76" customFormat="1" ht="21.95" customHeight="1" x14ac:dyDescent="0.15"/>
    <row r="47837" spans="3:3" s="76" customFormat="1" ht="21.95" customHeight="1" x14ac:dyDescent="0.15"/>
    <row r="47838" spans="3:3" s="76" customFormat="1" ht="21.95" customHeight="1" x14ac:dyDescent="0.15"/>
    <row r="47839" spans="3:3" s="76" customFormat="1" ht="21.95" customHeight="1" x14ac:dyDescent="0.15"/>
    <row r="47840" spans="3:3" customFormat="1" ht="21.95" customHeight="1" x14ac:dyDescent="0.15"/>
    <row r="47841" customFormat="1" ht="21.95" customHeight="1" x14ac:dyDescent="0.15"/>
    <row r="47842" customFormat="1" ht="21.95" customHeight="1" x14ac:dyDescent="0.15"/>
    <row r="47843" customFormat="1" ht="21.95" customHeight="1" x14ac:dyDescent="0.15"/>
    <row r="47844" customFormat="1" ht="21.95" customHeight="1" x14ac:dyDescent="0.15"/>
    <row r="47845" customFormat="1" ht="21.95" customHeight="1" x14ac:dyDescent="0.15"/>
    <row r="47846" customFormat="1" ht="21.95" customHeight="1" x14ac:dyDescent="0.15"/>
    <row r="47847" customFormat="1" ht="21.95" customHeight="1" x14ac:dyDescent="0.15"/>
    <row r="47848" customFormat="1" ht="21.95" customHeight="1" x14ac:dyDescent="0.15"/>
    <row r="47849" customFormat="1" ht="21.95" customHeight="1" x14ac:dyDescent="0.15"/>
    <row r="47850" customFormat="1" ht="21.95" customHeight="1" x14ac:dyDescent="0.15"/>
    <row r="47851" customFormat="1" ht="32.1" customHeight="1" x14ac:dyDescent="0.15"/>
    <row r="47852" customFormat="1" ht="32.1" customHeight="1" x14ac:dyDescent="0.15"/>
    <row r="47853" customFormat="1" ht="32.1" customHeight="1" x14ac:dyDescent="0.15"/>
    <row r="47854" customFormat="1" ht="32.1" customHeight="1" x14ac:dyDescent="0.15"/>
    <row r="47855" customFormat="1" ht="32.1" customHeight="1" x14ac:dyDescent="0.15"/>
    <row r="47856" customFormat="1" ht="32.1" customHeight="1" x14ac:dyDescent="0.15"/>
    <row r="47857" s="76" customFormat="1" ht="32.1" customHeight="1" x14ac:dyDescent="0.15"/>
    <row r="47858" s="76" customFormat="1" ht="32.1" customHeight="1" x14ac:dyDescent="0.15"/>
    <row r="47859" s="76" customFormat="1" ht="32.1" customHeight="1" x14ac:dyDescent="0.15"/>
    <row r="47860" s="76" customFormat="1" ht="32.1" customHeight="1" x14ac:dyDescent="0.15"/>
    <row r="47861" s="76" customFormat="1" ht="21.95" customHeight="1" x14ac:dyDescent="0.15"/>
    <row r="47862" s="76" customFormat="1" ht="54" customHeight="1" x14ac:dyDescent="0.15"/>
    <row r="47863" s="76" customFormat="1" ht="21.95" customHeight="1" x14ac:dyDescent="0.15"/>
    <row r="47864" s="76" customFormat="1" ht="21.95" customHeight="1" x14ac:dyDescent="0.15"/>
    <row r="47865" s="76" customFormat="1" ht="21.95" customHeight="1" x14ac:dyDescent="0.15"/>
    <row r="47866" s="76" customFormat="1" ht="21.95" customHeight="1" x14ac:dyDescent="0.15"/>
    <row r="47867" s="76" customFormat="1" ht="21.95" customHeight="1" x14ac:dyDescent="0.15"/>
    <row r="47868" s="76" customFormat="1" ht="21.95" customHeight="1" x14ac:dyDescent="0.15"/>
    <row r="47869" s="76" customFormat="1" ht="21.95" customHeight="1" x14ac:dyDescent="0.15"/>
    <row r="47870" s="76" customFormat="1" ht="21.95" customHeight="1" x14ac:dyDescent="0.15"/>
    <row r="47871" s="76" customFormat="1" ht="21.95" customHeight="1" x14ac:dyDescent="0.15"/>
    <row r="47872" s="76" customFormat="1" ht="21.95" customHeight="1" x14ac:dyDescent="0.15"/>
    <row r="47873" s="76" customFormat="1" ht="21.95" customHeight="1" x14ac:dyDescent="0.15"/>
    <row r="47874" s="76" customFormat="1" ht="21.95" customHeight="1" x14ac:dyDescent="0.15"/>
    <row r="47875" s="76" customFormat="1" ht="21.95" customHeight="1" x14ac:dyDescent="0.15"/>
    <row r="47876" s="76" customFormat="1" ht="21.95" customHeight="1" x14ac:dyDescent="0.15"/>
    <row r="47877" s="76" customFormat="1" ht="21.95" customHeight="1" x14ac:dyDescent="0.15"/>
    <row r="47878" s="76" customFormat="1" ht="21.95" customHeight="1" x14ac:dyDescent="0.15"/>
    <row r="47879" s="76" customFormat="1" ht="21.95" customHeight="1" x14ac:dyDescent="0.15"/>
    <row r="47880" s="76" customFormat="1" ht="21.95" customHeight="1" x14ac:dyDescent="0.15"/>
    <row r="47881" s="76" customFormat="1" ht="21.95" customHeight="1" x14ac:dyDescent="0.15"/>
    <row r="47882" s="76" customFormat="1" ht="21.95" customHeight="1" x14ac:dyDescent="0.15"/>
    <row r="47883" s="76" customFormat="1" ht="21.95" customHeight="1" x14ac:dyDescent="0.15"/>
    <row r="47884" s="76" customFormat="1" ht="21.95" customHeight="1" x14ac:dyDescent="0.15"/>
    <row r="47885" s="76" customFormat="1" ht="21.95" customHeight="1" x14ac:dyDescent="0.15"/>
    <row r="47886" s="76" customFormat="1" ht="21.95" customHeight="1" x14ac:dyDescent="0.15"/>
    <row r="47887" s="76" customFormat="1" ht="21.95" customHeight="1" x14ac:dyDescent="0.15"/>
    <row r="47888" s="76" customFormat="1" ht="21.95" customHeight="1" x14ac:dyDescent="0.15"/>
    <row r="47889" s="76" customFormat="1" ht="21.95" customHeight="1" x14ac:dyDescent="0.15"/>
    <row r="47890" s="76" customFormat="1" ht="21.95" customHeight="1" x14ac:dyDescent="0.15"/>
    <row r="47891" s="76" customFormat="1" ht="21.95" customHeight="1" x14ac:dyDescent="0.15"/>
    <row r="47892" s="76" customFormat="1" ht="21.95" customHeight="1" x14ac:dyDescent="0.15"/>
    <row r="47893" s="76" customFormat="1" ht="21.95" customHeight="1" x14ac:dyDescent="0.15"/>
    <row r="47894" s="76" customFormat="1" ht="21.95" customHeight="1" x14ac:dyDescent="0.15"/>
    <row r="47895" s="76" customFormat="1" ht="21.95" customHeight="1" x14ac:dyDescent="0.15"/>
    <row r="47896" s="76" customFormat="1" ht="21.95" customHeight="1" x14ac:dyDescent="0.15"/>
    <row r="47897" s="76" customFormat="1" ht="21.95" customHeight="1" x14ac:dyDescent="0.15"/>
    <row r="47898" s="76" customFormat="1" ht="21.95" customHeight="1" x14ac:dyDescent="0.15"/>
    <row r="47899" s="76" customFormat="1" ht="21.95" customHeight="1" x14ac:dyDescent="0.15"/>
    <row r="47900" s="76" customFormat="1" ht="21.95" customHeight="1" x14ac:dyDescent="0.15"/>
    <row r="47901" s="76" customFormat="1" ht="21.95" customHeight="1" x14ac:dyDescent="0.15"/>
    <row r="47902" s="76" customFormat="1" ht="21.95" customHeight="1" x14ac:dyDescent="0.15"/>
    <row r="47903" s="76" customFormat="1" ht="21.95" customHeight="1" x14ac:dyDescent="0.15"/>
    <row r="47904" s="76" customFormat="1" ht="21.95" customHeight="1" x14ac:dyDescent="0.15"/>
    <row r="47905" s="76" customFormat="1" ht="21.95" customHeight="1" x14ac:dyDescent="0.15"/>
    <row r="47906" s="76" customFormat="1" ht="21.95" customHeight="1" x14ac:dyDescent="0.15"/>
    <row r="47907" s="76" customFormat="1" ht="21.95" customHeight="1" x14ac:dyDescent="0.15"/>
    <row r="47908" s="76" customFormat="1" ht="21.95" customHeight="1" x14ac:dyDescent="0.15"/>
    <row r="47909" s="76" customFormat="1" ht="21.95" customHeight="1" x14ac:dyDescent="0.15"/>
    <row r="47910" s="76" customFormat="1" ht="21.95" customHeight="1" x14ac:dyDescent="0.15"/>
    <row r="47911" s="76" customFormat="1" ht="21.95" customHeight="1" x14ac:dyDescent="0.15"/>
    <row r="47912" s="76" customFormat="1" ht="21.95" customHeight="1" x14ac:dyDescent="0.15"/>
    <row r="47913" s="76" customFormat="1" ht="35.1" customHeight="1" x14ac:dyDescent="0.15"/>
    <row r="47914" s="76" customFormat="1" ht="21.95" customHeight="1" x14ac:dyDescent="0.15"/>
    <row r="47915" s="76" customFormat="1" ht="21.95" customHeight="1" x14ac:dyDescent="0.15"/>
    <row r="47916" s="76" customFormat="1" ht="21.95" customHeight="1" x14ac:dyDescent="0.15"/>
    <row r="47917" s="76" customFormat="1" ht="21.95" customHeight="1" x14ac:dyDescent="0.15"/>
    <row r="47918" s="76" customFormat="1" ht="21.95" customHeight="1" x14ac:dyDescent="0.15"/>
    <row r="47919" s="76" customFormat="1" ht="21.95" customHeight="1" x14ac:dyDescent="0.15"/>
    <row r="47920" s="76" customFormat="1" ht="21.95" customHeight="1" x14ac:dyDescent="0.15"/>
    <row r="47921" s="76" customFormat="1" ht="21.95" customHeight="1" x14ac:dyDescent="0.15"/>
    <row r="47922" s="76" customFormat="1" ht="21.95" customHeight="1" x14ac:dyDescent="0.15"/>
    <row r="47923" s="76" customFormat="1" ht="21.95" customHeight="1" x14ac:dyDescent="0.15"/>
    <row r="47924" s="76" customFormat="1" ht="21.95" customHeight="1" x14ac:dyDescent="0.15"/>
    <row r="47925" s="76" customFormat="1" ht="21.95" customHeight="1" x14ac:dyDescent="0.15"/>
    <row r="47926" s="76" customFormat="1" ht="21.95" customHeight="1" x14ac:dyDescent="0.15"/>
    <row r="47927" s="76" customFormat="1" ht="21.95" customHeight="1" x14ac:dyDescent="0.15"/>
    <row r="47928" s="76" customFormat="1" ht="21.95" customHeight="1" x14ac:dyDescent="0.15"/>
    <row r="47929" s="76" customFormat="1" ht="21.95" customHeight="1" x14ac:dyDescent="0.15"/>
    <row r="47930" s="76" customFormat="1" ht="21.95" customHeight="1" x14ac:dyDescent="0.15"/>
    <row r="47931" s="76" customFormat="1" ht="21.95" customHeight="1" x14ac:dyDescent="0.15"/>
    <row r="47932" s="76" customFormat="1" ht="21.95" customHeight="1" x14ac:dyDescent="0.15"/>
    <row r="47933" s="76" customFormat="1" ht="21.95" customHeight="1" x14ac:dyDescent="0.15"/>
    <row r="47934" s="76" customFormat="1" ht="21.95" customHeight="1" x14ac:dyDescent="0.15"/>
    <row r="47935" s="76" customFormat="1" ht="21.95" customHeight="1" x14ac:dyDescent="0.15"/>
    <row r="47936" s="76" customFormat="1" ht="21.95" customHeight="1" x14ac:dyDescent="0.15"/>
    <row r="47937" spans="3:3" customFormat="1" ht="21.95" customHeight="1" x14ac:dyDescent="0.15"/>
    <row r="47938" spans="3:3" customFormat="1" ht="21.95" customHeight="1" x14ac:dyDescent="0.15"/>
    <row r="47939" spans="3:3" customFormat="1" ht="21.95" customHeight="1" x14ac:dyDescent="0.15">
      <c r="C47939" s="94"/>
    </row>
    <row r="47940" spans="3:3" customFormat="1" ht="21.95" customHeight="1" x14ac:dyDescent="0.15">
      <c r="C47940" s="94"/>
    </row>
    <row r="47941" spans="3:3" customFormat="1" ht="21.95" customHeight="1" x14ac:dyDescent="0.15"/>
    <row r="47942" spans="3:3" customFormat="1" ht="21.95" customHeight="1" x14ac:dyDescent="0.15"/>
    <row r="47943" spans="3:3" customFormat="1" ht="21.95" customHeight="1" x14ac:dyDescent="0.15"/>
    <row r="47944" spans="3:3" customFormat="1" ht="21.95" customHeight="1" x14ac:dyDescent="0.15"/>
    <row r="47945" spans="3:3" customFormat="1" ht="21.95" customHeight="1" x14ac:dyDescent="0.15"/>
    <row r="47946" spans="3:3" customFormat="1" ht="21.95" customHeight="1" x14ac:dyDescent="0.15"/>
    <row r="47947" spans="3:3" customFormat="1" ht="21.95" customHeight="1" x14ac:dyDescent="0.15"/>
    <row r="47948" spans="3:3" s="76" customFormat="1" ht="21.95" customHeight="1" x14ac:dyDescent="0.15"/>
    <row r="47949" spans="3:3" s="76" customFormat="1" ht="21.95" customHeight="1" x14ac:dyDescent="0.15"/>
    <row r="47950" spans="3:3" s="76" customFormat="1" ht="21.95" customHeight="1" x14ac:dyDescent="0.15"/>
    <row r="47951" spans="3:3" s="76" customFormat="1" ht="21.95" customHeight="1" x14ac:dyDescent="0.15"/>
    <row r="47952" spans="3:3" customFormat="1" ht="21.95" customHeight="1" x14ac:dyDescent="0.15"/>
    <row r="47953" customFormat="1" ht="21.95" customHeight="1" x14ac:dyDescent="0.15"/>
    <row r="47954" customFormat="1" ht="21.95" customHeight="1" x14ac:dyDescent="0.15"/>
    <row r="47955" customFormat="1" ht="21.95" customHeight="1" x14ac:dyDescent="0.15"/>
    <row r="47956" customFormat="1" ht="21.95" customHeight="1" x14ac:dyDescent="0.15"/>
    <row r="47957" customFormat="1" ht="21.95" customHeight="1" x14ac:dyDescent="0.15"/>
    <row r="47958" customFormat="1" ht="21.95" customHeight="1" x14ac:dyDescent="0.15"/>
    <row r="47959" customFormat="1" ht="21.95" customHeight="1" x14ac:dyDescent="0.15"/>
    <row r="47960" customFormat="1" ht="21.95" customHeight="1" x14ac:dyDescent="0.15"/>
    <row r="47961" customFormat="1" ht="21.95" customHeight="1" x14ac:dyDescent="0.15"/>
    <row r="47962" customFormat="1" ht="21.95" customHeight="1" x14ac:dyDescent="0.15"/>
    <row r="47963" customFormat="1" ht="32.1" customHeight="1" x14ac:dyDescent="0.15"/>
    <row r="47964" customFormat="1" ht="32.1" customHeight="1" x14ac:dyDescent="0.15"/>
    <row r="47965" customFormat="1" ht="32.1" customHeight="1" x14ac:dyDescent="0.15"/>
    <row r="47966" customFormat="1" ht="32.1" customHeight="1" x14ac:dyDescent="0.15"/>
    <row r="47967" customFormat="1" ht="32.1" customHeight="1" x14ac:dyDescent="0.15"/>
    <row r="47968" customFormat="1" ht="32.1" customHeight="1" x14ac:dyDescent="0.15"/>
    <row r="47969" s="76" customFormat="1" ht="32.1" customHeight="1" x14ac:dyDescent="0.15"/>
    <row r="47970" s="76" customFormat="1" ht="32.1" customHeight="1" x14ac:dyDescent="0.15"/>
    <row r="47971" s="76" customFormat="1" ht="32.1" customHeight="1" x14ac:dyDescent="0.15"/>
    <row r="47972" s="76" customFormat="1" ht="32.1" customHeight="1" x14ac:dyDescent="0.15"/>
    <row r="47973" s="76" customFormat="1" ht="21.95" customHeight="1" x14ac:dyDescent="0.15"/>
    <row r="47974" s="76" customFormat="1" ht="54" customHeight="1" x14ac:dyDescent="0.15"/>
    <row r="47975" s="76" customFormat="1" ht="21.95" customHeight="1" x14ac:dyDescent="0.15"/>
    <row r="47976" s="76" customFormat="1" ht="21.95" customHeight="1" x14ac:dyDescent="0.15"/>
    <row r="47977" s="76" customFormat="1" ht="21.95" customHeight="1" x14ac:dyDescent="0.15"/>
    <row r="47978" s="76" customFormat="1" ht="21.95" customHeight="1" x14ac:dyDescent="0.15"/>
    <row r="47979" s="76" customFormat="1" ht="21.95" customHeight="1" x14ac:dyDescent="0.15"/>
    <row r="47980" s="76" customFormat="1" ht="21.95" customHeight="1" x14ac:dyDescent="0.15"/>
    <row r="47981" s="76" customFormat="1" ht="21.95" customHeight="1" x14ac:dyDescent="0.15"/>
    <row r="47982" s="76" customFormat="1" ht="21.95" customHeight="1" x14ac:dyDescent="0.15"/>
    <row r="47983" s="76" customFormat="1" ht="21.95" customHeight="1" x14ac:dyDescent="0.15"/>
    <row r="47984" s="76" customFormat="1" ht="21.95" customHeight="1" x14ac:dyDescent="0.15"/>
    <row r="47985" s="76" customFormat="1" ht="21.95" customHeight="1" x14ac:dyDescent="0.15"/>
    <row r="47986" s="76" customFormat="1" ht="21.95" customHeight="1" x14ac:dyDescent="0.15"/>
    <row r="47987" s="76" customFormat="1" ht="21.95" customHeight="1" x14ac:dyDescent="0.15"/>
    <row r="47988" s="76" customFormat="1" ht="21.95" customHeight="1" x14ac:dyDescent="0.15"/>
    <row r="47989" s="76" customFormat="1" ht="21.95" customHeight="1" x14ac:dyDescent="0.15"/>
    <row r="47990" s="76" customFormat="1" ht="21.95" customHeight="1" x14ac:dyDescent="0.15"/>
    <row r="47991" s="76" customFormat="1" ht="21.95" customHeight="1" x14ac:dyDescent="0.15"/>
    <row r="47992" s="76" customFormat="1" ht="21.95" customHeight="1" x14ac:dyDescent="0.15"/>
    <row r="47993" s="76" customFormat="1" ht="21.95" customHeight="1" x14ac:dyDescent="0.15"/>
    <row r="47994" s="76" customFormat="1" ht="21.95" customHeight="1" x14ac:dyDescent="0.15"/>
    <row r="47995" s="76" customFormat="1" ht="21.95" customHeight="1" x14ac:dyDescent="0.15"/>
    <row r="47996" s="76" customFormat="1" ht="21.95" customHeight="1" x14ac:dyDescent="0.15"/>
    <row r="47997" s="76" customFormat="1" ht="21.95" customHeight="1" x14ac:dyDescent="0.15"/>
    <row r="47998" s="76" customFormat="1" ht="21.95" customHeight="1" x14ac:dyDescent="0.15"/>
    <row r="47999" s="76" customFormat="1" ht="21.95" customHeight="1" x14ac:dyDescent="0.15"/>
    <row r="48000" s="76" customFormat="1" ht="21.95" customHeight="1" x14ac:dyDescent="0.15"/>
    <row r="48001" s="76" customFormat="1" ht="21.95" customHeight="1" x14ac:dyDescent="0.15"/>
    <row r="48002" s="76" customFormat="1" ht="21.95" customHeight="1" x14ac:dyDescent="0.15"/>
    <row r="48003" s="76" customFormat="1" ht="21.95" customHeight="1" x14ac:dyDescent="0.15"/>
    <row r="48004" s="76" customFormat="1" ht="21.95" customHeight="1" x14ac:dyDescent="0.15"/>
    <row r="48005" s="76" customFormat="1" ht="21.95" customHeight="1" x14ac:dyDescent="0.15"/>
    <row r="48006" s="76" customFormat="1" ht="21.95" customHeight="1" x14ac:dyDescent="0.15"/>
    <row r="48007" s="76" customFormat="1" ht="21.95" customHeight="1" x14ac:dyDescent="0.15"/>
    <row r="48008" s="76" customFormat="1" ht="21.95" customHeight="1" x14ac:dyDescent="0.15"/>
    <row r="48009" s="76" customFormat="1" ht="21.95" customHeight="1" x14ac:dyDescent="0.15"/>
    <row r="48010" s="76" customFormat="1" ht="21.95" customHeight="1" x14ac:dyDescent="0.15"/>
    <row r="48011" s="76" customFormat="1" ht="21.95" customHeight="1" x14ac:dyDescent="0.15"/>
    <row r="48012" s="76" customFormat="1" ht="21.95" customHeight="1" x14ac:dyDescent="0.15"/>
    <row r="48013" s="76" customFormat="1" ht="21.95" customHeight="1" x14ac:dyDescent="0.15"/>
    <row r="48014" s="76" customFormat="1" ht="21.95" customHeight="1" x14ac:dyDescent="0.15"/>
    <row r="48015" s="76" customFormat="1" ht="21.95" customHeight="1" x14ac:dyDescent="0.15"/>
    <row r="48016" s="76" customFormat="1" ht="21.95" customHeight="1" x14ac:dyDescent="0.15"/>
    <row r="48017" s="76" customFormat="1" ht="21.95" customHeight="1" x14ac:dyDescent="0.15"/>
    <row r="48018" s="76" customFormat="1" ht="21.95" customHeight="1" x14ac:dyDescent="0.15"/>
    <row r="48019" s="76" customFormat="1" ht="21.95" customHeight="1" x14ac:dyDescent="0.15"/>
    <row r="48020" s="76" customFormat="1" ht="21.95" customHeight="1" x14ac:dyDescent="0.15"/>
    <row r="48021" s="76" customFormat="1" ht="21.95" customHeight="1" x14ac:dyDescent="0.15"/>
    <row r="48022" s="76" customFormat="1" ht="21.95" customHeight="1" x14ac:dyDescent="0.15"/>
    <row r="48023" s="76" customFormat="1" ht="21.95" customHeight="1" x14ac:dyDescent="0.15"/>
    <row r="48024" s="76" customFormat="1" ht="21.95" customHeight="1" x14ac:dyDescent="0.15"/>
    <row r="48025" s="76" customFormat="1" ht="35.1" customHeight="1" x14ac:dyDescent="0.15"/>
    <row r="48026" s="76" customFormat="1" ht="21.95" customHeight="1" x14ac:dyDescent="0.15"/>
    <row r="48027" s="76" customFormat="1" ht="21.95" customHeight="1" x14ac:dyDescent="0.15"/>
    <row r="48028" s="76" customFormat="1" ht="21.95" customHeight="1" x14ac:dyDescent="0.15"/>
    <row r="48029" s="76" customFormat="1" ht="21.95" customHeight="1" x14ac:dyDescent="0.15"/>
    <row r="48030" s="76" customFormat="1" ht="21.95" customHeight="1" x14ac:dyDescent="0.15"/>
    <row r="48031" s="76" customFormat="1" ht="21.95" customHeight="1" x14ac:dyDescent="0.15"/>
    <row r="48032" s="76" customFormat="1" ht="21.95" customHeight="1" x14ac:dyDescent="0.15"/>
    <row r="48033" s="76" customFormat="1" ht="21.95" customHeight="1" x14ac:dyDescent="0.15"/>
    <row r="48034" s="76" customFormat="1" ht="21.95" customHeight="1" x14ac:dyDescent="0.15"/>
    <row r="48035" s="76" customFormat="1" ht="21.95" customHeight="1" x14ac:dyDescent="0.15"/>
    <row r="48036" s="76" customFormat="1" ht="21.95" customHeight="1" x14ac:dyDescent="0.15"/>
    <row r="48037" s="76" customFormat="1" ht="21.95" customHeight="1" x14ac:dyDescent="0.15"/>
    <row r="48038" s="76" customFormat="1" ht="21.95" customHeight="1" x14ac:dyDescent="0.15"/>
    <row r="48039" s="76" customFormat="1" ht="21.95" customHeight="1" x14ac:dyDescent="0.15"/>
    <row r="48040" s="76" customFormat="1" ht="21.95" customHeight="1" x14ac:dyDescent="0.15"/>
    <row r="48041" s="76" customFormat="1" ht="21.95" customHeight="1" x14ac:dyDescent="0.15"/>
    <row r="48042" s="76" customFormat="1" ht="21.95" customHeight="1" x14ac:dyDescent="0.15"/>
    <row r="48043" s="76" customFormat="1" ht="21.95" customHeight="1" x14ac:dyDescent="0.15"/>
    <row r="48044" s="76" customFormat="1" ht="21.95" customHeight="1" x14ac:dyDescent="0.15"/>
    <row r="48045" s="76" customFormat="1" ht="21.95" customHeight="1" x14ac:dyDescent="0.15"/>
    <row r="48046" s="76" customFormat="1" ht="21.95" customHeight="1" x14ac:dyDescent="0.15"/>
    <row r="48047" s="76" customFormat="1" ht="21.95" customHeight="1" x14ac:dyDescent="0.15"/>
    <row r="48048" s="76" customFormat="1" ht="21.95" customHeight="1" x14ac:dyDescent="0.15"/>
    <row r="48049" spans="3:3" customFormat="1" ht="21.95" customHeight="1" x14ac:dyDescent="0.15"/>
    <row r="48050" spans="3:3" customFormat="1" ht="21.95" customHeight="1" x14ac:dyDescent="0.15"/>
    <row r="48051" spans="3:3" customFormat="1" ht="21.95" customHeight="1" x14ac:dyDescent="0.15">
      <c r="C48051" s="94"/>
    </row>
    <row r="48052" spans="3:3" customFormat="1" ht="21.95" customHeight="1" x14ac:dyDescent="0.15">
      <c r="C48052" s="94"/>
    </row>
    <row r="48053" spans="3:3" customFormat="1" ht="21.95" customHeight="1" x14ac:dyDescent="0.15"/>
    <row r="48054" spans="3:3" customFormat="1" ht="21.95" customHeight="1" x14ac:dyDescent="0.15"/>
    <row r="48055" spans="3:3" customFormat="1" ht="21.95" customHeight="1" x14ac:dyDescent="0.15"/>
    <row r="48056" spans="3:3" customFormat="1" ht="21.95" customHeight="1" x14ac:dyDescent="0.15"/>
    <row r="48057" spans="3:3" customFormat="1" ht="21.95" customHeight="1" x14ac:dyDescent="0.15"/>
    <row r="48058" spans="3:3" customFormat="1" ht="21.95" customHeight="1" x14ac:dyDescent="0.15"/>
    <row r="48059" spans="3:3" customFormat="1" ht="21.95" customHeight="1" x14ac:dyDescent="0.15"/>
    <row r="48060" spans="3:3" s="76" customFormat="1" ht="21.95" customHeight="1" x14ac:dyDescent="0.15"/>
    <row r="48061" spans="3:3" s="76" customFormat="1" ht="21.95" customHeight="1" x14ac:dyDescent="0.15"/>
    <row r="48062" spans="3:3" s="76" customFormat="1" ht="21.95" customHeight="1" x14ac:dyDescent="0.15"/>
    <row r="48063" spans="3:3" s="76" customFormat="1" ht="21.95" customHeight="1" x14ac:dyDescent="0.15"/>
    <row r="48064" spans="3:3" customFormat="1" ht="21.95" customHeight="1" x14ac:dyDescent="0.15"/>
    <row r="48065" customFormat="1" ht="21.95" customHeight="1" x14ac:dyDescent="0.15"/>
    <row r="48066" customFormat="1" ht="21.95" customHeight="1" x14ac:dyDescent="0.15"/>
    <row r="48067" customFormat="1" ht="21.95" customHeight="1" x14ac:dyDescent="0.15"/>
    <row r="48068" customFormat="1" ht="21.95" customHeight="1" x14ac:dyDescent="0.15"/>
    <row r="48069" customFormat="1" ht="21.95" customHeight="1" x14ac:dyDescent="0.15"/>
    <row r="48070" customFormat="1" ht="21.95" customHeight="1" x14ac:dyDescent="0.15"/>
    <row r="48071" customFormat="1" ht="21.95" customHeight="1" x14ac:dyDescent="0.15"/>
    <row r="48072" customFormat="1" ht="21.95" customHeight="1" x14ac:dyDescent="0.15"/>
    <row r="48073" customFormat="1" ht="21.95" customHeight="1" x14ac:dyDescent="0.15"/>
    <row r="48074" customFormat="1" ht="21.95" customHeight="1" x14ac:dyDescent="0.15"/>
    <row r="48075" customFormat="1" ht="32.1" customHeight="1" x14ac:dyDescent="0.15"/>
    <row r="48076" customFormat="1" ht="32.1" customHeight="1" x14ac:dyDescent="0.15"/>
    <row r="48077" customFormat="1" ht="32.1" customHeight="1" x14ac:dyDescent="0.15"/>
    <row r="48078" customFormat="1" ht="32.1" customHeight="1" x14ac:dyDescent="0.15"/>
    <row r="48079" customFormat="1" ht="32.1" customHeight="1" x14ac:dyDescent="0.15"/>
    <row r="48080" customFormat="1" ht="32.1" customHeight="1" x14ac:dyDescent="0.15"/>
    <row r="48081" s="76" customFormat="1" ht="32.1" customHeight="1" x14ac:dyDescent="0.15"/>
    <row r="48082" s="76" customFormat="1" ht="32.1" customHeight="1" x14ac:dyDescent="0.15"/>
    <row r="48083" s="76" customFormat="1" ht="32.1" customHeight="1" x14ac:dyDescent="0.15"/>
    <row r="48084" s="76" customFormat="1" ht="32.1" customHeight="1" x14ac:dyDescent="0.15"/>
    <row r="48085" s="76" customFormat="1" ht="21.95" customHeight="1" x14ac:dyDescent="0.15"/>
    <row r="48086" s="76" customFormat="1" ht="54" customHeight="1" x14ac:dyDescent="0.15"/>
    <row r="48087" s="76" customFormat="1" ht="21.95" customHeight="1" x14ac:dyDescent="0.15"/>
    <row r="48088" s="76" customFormat="1" ht="21.95" customHeight="1" x14ac:dyDescent="0.15"/>
    <row r="48089" s="76" customFormat="1" ht="21.95" customHeight="1" x14ac:dyDescent="0.15"/>
    <row r="48090" s="76" customFormat="1" ht="21.95" customHeight="1" x14ac:dyDescent="0.15"/>
    <row r="48091" s="76" customFormat="1" ht="21.95" customHeight="1" x14ac:dyDescent="0.15"/>
    <row r="48092" s="76" customFormat="1" ht="21.95" customHeight="1" x14ac:dyDescent="0.15"/>
    <row r="48093" s="76" customFormat="1" ht="21.95" customHeight="1" x14ac:dyDescent="0.15"/>
    <row r="48094" s="76" customFormat="1" ht="21.95" customHeight="1" x14ac:dyDescent="0.15"/>
    <row r="48095" s="76" customFormat="1" ht="21.95" customHeight="1" x14ac:dyDescent="0.15"/>
    <row r="48096" s="76" customFormat="1" ht="21.95" customHeight="1" x14ac:dyDescent="0.15"/>
    <row r="48097" s="76" customFormat="1" ht="21.95" customHeight="1" x14ac:dyDescent="0.15"/>
    <row r="48098" s="76" customFormat="1" ht="21.95" customHeight="1" x14ac:dyDescent="0.15"/>
    <row r="48099" s="76" customFormat="1" ht="21.95" customHeight="1" x14ac:dyDescent="0.15"/>
    <row r="48100" s="76" customFormat="1" ht="21.95" customHeight="1" x14ac:dyDescent="0.15"/>
    <row r="48101" s="76" customFormat="1" ht="21.95" customHeight="1" x14ac:dyDescent="0.15"/>
    <row r="48102" s="76" customFormat="1" ht="21.95" customHeight="1" x14ac:dyDescent="0.15"/>
    <row r="48103" s="76" customFormat="1" ht="21.95" customHeight="1" x14ac:dyDescent="0.15"/>
    <row r="48104" s="76" customFormat="1" ht="21.95" customHeight="1" x14ac:dyDescent="0.15"/>
    <row r="48105" s="76" customFormat="1" ht="21.95" customHeight="1" x14ac:dyDescent="0.15"/>
    <row r="48106" s="76" customFormat="1" ht="21.95" customHeight="1" x14ac:dyDescent="0.15"/>
    <row r="48107" s="76" customFormat="1" ht="21.95" customHeight="1" x14ac:dyDescent="0.15"/>
    <row r="48108" s="76" customFormat="1" ht="21.95" customHeight="1" x14ac:dyDescent="0.15"/>
    <row r="48109" s="76" customFormat="1" ht="21.95" customHeight="1" x14ac:dyDescent="0.15"/>
    <row r="48110" s="76" customFormat="1" ht="21.95" customHeight="1" x14ac:dyDescent="0.15"/>
    <row r="48111" s="76" customFormat="1" ht="21.95" customHeight="1" x14ac:dyDescent="0.15"/>
    <row r="48112" s="76" customFormat="1" ht="21.95" customHeight="1" x14ac:dyDescent="0.15"/>
    <row r="48113" s="76" customFormat="1" ht="21.95" customHeight="1" x14ac:dyDescent="0.15"/>
    <row r="48114" s="76" customFormat="1" ht="21.95" customHeight="1" x14ac:dyDescent="0.15"/>
    <row r="48115" s="76" customFormat="1" ht="21.95" customHeight="1" x14ac:dyDescent="0.15"/>
    <row r="48116" s="76" customFormat="1" ht="21.95" customHeight="1" x14ac:dyDescent="0.15"/>
    <row r="48117" s="76" customFormat="1" ht="21.95" customHeight="1" x14ac:dyDescent="0.15"/>
    <row r="48118" s="76" customFormat="1" ht="21.95" customHeight="1" x14ac:dyDescent="0.15"/>
    <row r="48119" s="76" customFormat="1" ht="21.95" customHeight="1" x14ac:dyDescent="0.15"/>
    <row r="48120" s="76" customFormat="1" ht="21.95" customHeight="1" x14ac:dyDescent="0.15"/>
    <row r="48121" s="76" customFormat="1" ht="21.95" customHeight="1" x14ac:dyDescent="0.15"/>
    <row r="48122" s="76" customFormat="1" ht="21.95" customHeight="1" x14ac:dyDescent="0.15"/>
    <row r="48123" s="76" customFormat="1" ht="21.95" customHeight="1" x14ac:dyDescent="0.15"/>
    <row r="48124" s="76" customFormat="1" ht="21.95" customHeight="1" x14ac:dyDescent="0.15"/>
    <row r="48125" s="76" customFormat="1" ht="21.95" customHeight="1" x14ac:dyDescent="0.15"/>
    <row r="48126" s="76" customFormat="1" ht="21.95" customHeight="1" x14ac:dyDescent="0.15"/>
    <row r="48127" s="76" customFormat="1" ht="21.95" customHeight="1" x14ac:dyDescent="0.15"/>
    <row r="48128" s="76" customFormat="1" ht="21.95" customHeight="1" x14ac:dyDescent="0.15"/>
    <row r="48129" s="76" customFormat="1" ht="21.95" customHeight="1" x14ac:dyDescent="0.15"/>
    <row r="48130" s="76" customFormat="1" ht="21.95" customHeight="1" x14ac:dyDescent="0.15"/>
    <row r="48131" s="76" customFormat="1" ht="21.95" customHeight="1" x14ac:dyDescent="0.15"/>
    <row r="48132" s="76" customFormat="1" ht="21.95" customHeight="1" x14ac:dyDescent="0.15"/>
    <row r="48133" s="76" customFormat="1" ht="21.95" customHeight="1" x14ac:dyDescent="0.15"/>
    <row r="48134" s="76" customFormat="1" ht="21.95" customHeight="1" x14ac:dyDescent="0.15"/>
    <row r="48135" s="76" customFormat="1" ht="21.95" customHeight="1" x14ac:dyDescent="0.15"/>
    <row r="48136" s="76" customFormat="1" ht="21.95" customHeight="1" x14ac:dyDescent="0.15"/>
    <row r="48137" s="76" customFormat="1" ht="35.1" customHeight="1" x14ac:dyDescent="0.15"/>
    <row r="48138" s="76" customFormat="1" ht="21.95" customHeight="1" x14ac:dyDescent="0.15"/>
    <row r="48139" s="76" customFormat="1" ht="21.95" customHeight="1" x14ac:dyDescent="0.15"/>
    <row r="48140" s="76" customFormat="1" ht="21.95" customHeight="1" x14ac:dyDescent="0.15"/>
    <row r="48141" s="76" customFormat="1" ht="21.95" customHeight="1" x14ac:dyDescent="0.15"/>
    <row r="48142" s="76" customFormat="1" ht="21.95" customHeight="1" x14ac:dyDescent="0.15"/>
    <row r="48143" s="76" customFormat="1" ht="21.95" customHeight="1" x14ac:dyDescent="0.15"/>
    <row r="48144" s="76" customFormat="1" ht="21.95" customHeight="1" x14ac:dyDescent="0.15"/>
    <row r="48145" s="76" customFormat="1" ht="21.95" customHeight="1" x14ac:dyDescent="0.15"/>
    <row r="48146" s="76" customFormat="1" ht="21.95" customHeight="1" x14ac:dyDescent="0.15"/>
    <row r="48147" s="76" customFormat="1" ht="21.95" customHeight="1" x14ac:dyDescent="0.15"/>
    <row r="48148" s="76" customFormat="1" ht="21.95" customHeight="1" x14ac:dyDescent="0.15"/>
    <row r="48149" s="76" customFormat="1" ht="21.95" customHeight="1" x14ac:dyDescent="0.15"/>
    <row r="48150" s="76" customFormat="1" ht="21.95" customHeight="1" x14ac:dyDescent="0.15"/>
    <row r="48151" s="76" customFormat="1" ht="21.95" customHeight="1" x14ac:dyDescent="0.15"/>
    <row r="48152" s="76" customFormat="1" ht="21.95" customHeight="1" x14ac:dyDescent="0.15"/>
    <row r="48153" s="76" customFormat="1" ht="21.95" customHeight="1" x14ac:dyDescent="0.15"/>
    <row r="48154" s="76" customFormat="1" ht="21.95" customHeight="1" x14ac:dyDescent="0.15"/>
    <row r="48155" s="76" customFormat="1" ht="21.95" customHeight="1" x14ac:dyDescent="0.15"/>
    <row r="48156" s="76" customFormat="1" ht="21.95" customHeight="1" x14ac:dyDescent="0.15"/>
    <row r="48157" s="76" customFormat="1" ht="21.95" customHeight="1" x14ac:dyDescent="0.15"/>
    <row r="48158" s="76" customFormat="1" ht="21.95" customHeight="1" x14ac:dyDescent="0.15"/>
    <row r="48159" s="76" customFormat="1" ht="21.95" customHeight="1" x14ac:dyDescent="0.15"/>
    <row r="48160" s="76" customFormat="1" ht="21.95" customHeight="1" x14ac:dyDescent="0.15"/>
    <row r="48161" spans="3:3" customFormat="1" ht="21.95" customHeight="1" x14ac:dyDescent="0.15"/>
    <row r="48162" spans="3:3" customFormat="1" ht="21.95" customHeight="1" x14ac:dyDescent="0.15"/>
    <row r="48163" spans="3:3" customFormat="1" ht="21.95" customHeight="1" x14ac:dyDescent="0.15">
      <c r="C48163" s="94"/>
    </row>
    <row r="48164" spans="3:3" customFormat="1" ht="21.95" customHeight="1" x14ac:dyDescent="0.15">
      <c r="C48164" s="94"/>
    </row>
    <row r="48165" spans="3:3" customFormat="1" ht="21.95" customHeight="1" x14ac:dyDescent="0.15"/>
    <row r="48166" spans="3:3" customFormat="1" ht="21.95" customHeight="1" x14ac:dyDescent="0.15"/>
    <row r="48167" spans="3:3" customFormat="1" ht="21.95" customHeight="1" x14ac:dyDescent="0.15"/>
    <row r="48168" spans="3:3" customFormat="1" ht="21.95" customHeight="1" x14ac:dyDescent="0.15"/>
    <row r="48169" spans="3:3" customFormat="1" ht="21.95" customHeight="1" x14ac:dyDescent="0.15"/>
    <row r="48170" spans="3:3" customFormat="1" ht="21.95" customHeight="1" x14ac:dyDescent="0.15"/>
    <row r="48171" spans="3:3" customFormat="1" ht="21.95" customHeight="1" x14ac:dyDescent="0.15"/>
    <row r="48172" spans="3:3" s="76" customFormat="1" ht="21.95" customHeight="1" x14ac:dyDescent="0.15"/>
    <row r="48173" spans="3:3" s="76" customFormat="1" ht="21.95" customHeight="1" x14ac:dyDescent="0.15"/>
    <row r="48174" spans="3:3" s="76" customFormat="1" ht="21.95" customHeight="1" x14ac:dyDescent="0.15"/>
    <row r="48175" spans="3:3" s="76" customFormat="1" ht="21.95" customHeight="1" x14ac:dyDescent="0.15"/>
    <row r="48176" spans="3:3" customFormat="1" ht="21.95" customHeight="1" x14ac:dyDescent="0.15"/>
    <row r="48177" customFormat="1" ht="21.95" customHeight="1" x14ac:dyDescent="0.15"/>
    <row r="48178" customFormat="1" ht="21.95" customHeight="1" x14ac:dyDescent="0.15"/>
    <row r="48179" customFormat="1" ht="21.95" customHeight="1" x14ac:dyDescent="0.15"/>
    <row r="48180" customFormat="1" ht="21.95" customHeight="1" x14ac:dyDescent="0.15"/>
    <row r="48181" customFormat="1" ht="21.95" customHeight="1" x14ac:dyDescent="0.15"/>
    <row r="48182" customFormat="1" ht="21.95" customHeight="1" x14ac:dyDescent="0.15"/>
    <row r="48183" customFormat="1" ht="21.95" customHeight="1" x14ac:dyDescent="0.15"/>
    <row r="48184" customFormat="1" ht="21.95" customHeight="1" x14ac:dyDescent="0.15"/>
    <row r="48185" customFormat="1" ht="21.95" customHeight="1" x14ac:dyDescent="0.15"/>
    <row r="48186" customFormat="1" ht="21.95" customHeight="1" x14ac:dyDescent="0.15"/>
    <row r="48187" customFormat="1" ht="32.1" customHeight="1" x14ac:dyDescent="0.15"/>
    <row r="48188" customFormat="1" ht="32.1" customHeight="1" x14ac:dyDescent="0.15"/>
    <row r="48189" customFormat="1" ht="32.1" customHeight="1" x14ac:dyDescent="0.15"/>
    <row r="48190" customFormat="1" ht="32.1" customHeight="1" x14ac:dyDescent="0.15"/>
    <row r="48191" customFormat="1" ht="32.1" customHeight="1" x14ac:dyDescent="0.15"/>
    <row r="48192" customFormat="1" ht="32.1" customHeight="1" x14ac:dyDescent="0.15"/>
    <row r="48193" s="76" customFormat="1" ht="32.1" customHeight="1" x14ac:dyDescent="0.15"/>
    <row r="48194" s="76" customFormat="1" ht="32.1" customHeight="1" x14ac:dyDescent="0.15"/>
    <row r="48195" s="76" customFormat="1" ht="32.1" customHeight="1" x14ac:dyDescent="0.15"/>
    <row r="48196" s="76" customFormat="1" ht="32.1" customHeight="1" x14ac:dyDescent="0.15"/>
    <row r="48197" s="76" customFormat="1" ht="21.95" customHeight="1" x14ac:dyDescent="0.15"/>
    <row r="48198" s="76" customFormat="1" ht="54" customHeight="1" x14ac:dyDescent="0.15"/>
    <row r="48199" s="76" customFormat="1" ht="21.95" customHeight="1" x14ac:dyDescent="0.15"/>
    <row r="48200" s="76" customFormat="1" ht="21.95" customHeight="1" x14ac:dyDescent="0.15"/>
    <row r="48201" s="76" customFormat="1" ht="21.95" customHeight="1" x14ac:dyDescent="0.15"/>
    <row r="48202" s="76" customFormat="1" ht="21.95" customHeight="1" x14ac:dyDescent="0.15"/>
    <row r="48203" s="76" customFormat="1" ht="21.95" customHeight="1" x14ac:dyDescent="0.15"/>
    <row r="48204" s="76" customFormat="1" ht="21.95" customHeight="1" x14ac:dyDescent="0.15"/>
    <row r="48205" s="76" customFormat="1" ht="21.95" customHeight="1" x14ac:dyDescent="0.15"/>
    <row r="48206" s="76" customFormat="1" ht="21.95" customHeight="1" x14ac:dyDescent="0.15"/>
    <row r="48207" s="76" customFormat="1" ht="21.95" customHeight="1" x14ac:dyDescent="0.15"/>
    <row r="48208" s="76" customFormat="1" ht="21.95" customHeight="1" x14ac:dyDescent="0.15"/>
    <row r="48209" s="76" customFormat="1" ht="21.95" customHeight="1" x14ac:dyDescent="0.15"/>
    <row r="48210" s="76" customFormat="1" ht="21.95" customHeight="1" x14ac:dyDescent="0.15"/>
    <row r="48211" s="76" customFormat="1" ht="21.95" customHeight="1" x14ac:dyDescent="0.15"/>
    <row r="48212" s="76" customFormat="1" ht="21.95" customHeight="1" x14ac:dyDescent="0.15"/>
    <row r="48213" s="76" customFormat="1" ht="21.95" customHeight="1" x14ac:dyDescent="0.15"/>
    <row r="48214" s="76" customFormat="1" ht="21.95" customHeight="1" x14ac:dyDescent="0.15"/>
    <row r="48215" s="76" customFormat="1" ht="21.95" customHeight="1" x14ac:dyDescent="0.15"/>
    <row r="48216" s="76" customFormat="1" ht="21.95" customHeight="1" x14ac:dyDescent="0.15"/>
    <row r="48217" s="76" customFormat="1" ht="21.95" customHeight="1" x14ac:dyDescent="0.15"/>
    <row r="48218" s="76" customFormat="1" ht="21.95" customHeight="1" x14ac:dyDescent="0.15"/>
    <row r="48219" s="76" customFormat="1" ht="21.95" customHeight="1" x14ac:dyDescent="0.15"/>
    <row r="48220" s="76" customFormat="1" ht="21.95" customHeight="1" x14ac:dyDescent="0.15"/>
    <row r="48221" s="76" customFormat="1" ht="21.95" customHeight="1" x14ac:dyDescent="0.15"/>
    <row r="48222" s="76" customFormat="1" ht="21.95" customHeight="1" x14ac:dyDescent="0.15"/>
    <row r="48223" s="76" customFormat="1" ht="21.95" customHeight="1" x14ac:dyDescent="0.15"/>
    <row r="48224" s="76" customFormat="1" ht="21.95" customHeight="1" x14ac:dyDescent="0.15"/>
    <row r="48225" s="76" customFormat="1" ht="21.95" customHeight="1" x14ac:dyDescent="0.15"/>
    <row r="48226" s="76" customFormat="1" ht="21.95" customHeight="1" x14ac:dyDescent="0.15"/>
    <row r="48227" s="76" customFormat="1" ht="21.95" customHeight="1" x14ac:dyDescent="0.15"/>
    <row r="48228" s="76" customFormat="1" ht="21.95" customHeight="1" x14ac:dyDescent="0.15"/>
    <row r="48229" s="76" customFormat="1" ht="21.95" customHeight="1" x14ac:dyDescent="0.15"/>
    <row r="48230" s="76" customFormat="1" ht="21.95" customHeight="1" x14ac:dyDescent="0.15"/>
    <row r="48231" s="76" customFormat="1" ht="21.95" customHeight="1" x14ac:dyDescent="0.15"/>
    <row r="48232" s="76" customFormat="1" ht="21.95" customHeight="1" x14ac:dyDescent="0.15"/>
    <row r="48233" s="76" customFormat="1" ht="21.95" customHeight="1" x14ac:dyDescent="0.15"/>
    <row r="48234" s="76" customFormat="1" ht="21.95" customHeight="1" x14ac:dyDescent="0.15"/>
    <row r="48235" s="76" customFormat="1" ht="21.95" customHeight="1" x14ac:dyDescent="0.15"/>
    <row r="48236" s="76" customFormat="1" ht="21.95" customHeight="1" x14ac:dyDescent="0.15"/>
    <row r="48237" s="76" customFormat="1" ht="21.95" customHeight="1" x14ac:dyDescent="0.15"/>
    <row r="48238" s="76" customFormat="1" ht="21.95" customHeight="1" x14ac:dyDescent="0.15"/>
    <row r="48239" s="76" customFormat="1" ht="21.95" customHeight="1" x14ac:dyDescent="0.15"/>
    <row r="48240" s="76" customFormat="1" ht="21.95" customHeight="1" x14ac:dyDescent="0.15"/>
    <row r="48241" s="76" customFormat="1" ht="21.95" customHeight="1" x14ac:dyDescent="0.15"/>
    <row r="48242" s="76" customFormat="1" ht="21.95" customHeight="1" x14ac:dyDescent="0.15"/>
    <row r="48243" s="76" customFormat="1" ht="21.95" customHeight="1" x14ac:dyDescent="0.15"/>
    <row r="48244" s="76" customFormat="1" ht="21.95" customHeight="1" x14ac:dyDescent="0.15"/>
    <row r="48245" s="76" customFormat="1" ht="21.95" customHeight="1" x14ac:dyDescent="0.15"/>
    <row r="48246" s="76" customFormat="1" ht="21.95" customHeight="1" x14ac:dyDescent="0.15"/>
    <row r="48247" s="76" customFormat="1" ht="21.95" customHeight="1" x14ac:dyDescent="0.15"/>
    <row r="48248" s="76" customFormat="1" ht="21.95" customHeight="1" x14ac:dyDescent="0.15"/>
    <row r="48249" s="76" customFormat="1" ht="35.1" customHeight="1" x14ac:dyDescent="0.15"/>
    <row r="48250" s="76" customFormat="1" ht="21.95" customHeight="1" x14ac:dyDescent="0.15"/>
    <row r="48251" s="76" customFormat="1" ht="21.95" customHeight="1" x14ac:dyDescent="0.15"/>
    <row r="48252" s="76" customFormat="1" ht="21.95" customHeight="1" x14ac:dyDescent="0.15"/>
    <row r="48253" s="76" customFormat="1" ht="21.95" customHeight="1" x14ac:dyDescent="0.15"/>
    <row r="48254" s="76" customFormat="1" ht="21.95" customHeight="1" x14ac:dyDescent="0.15"/>
    <row r="48255" s="76" customFormat="1" ht="21.95" customHeight="1" x14ac:dyDescent="0.15"/>
    <row r="48256" s="76" customFormat="1" ht="21.95" customHeight="1" x14ac:dyDescent="0.15"/>
    <row r="48257" s="76" customFormat="1" ht="21.95" customHeight="1" x14ac:dyDescent="0.15"/>
    <row r="48258" s="76" customFormat="1" ht="21.95" customHeight="1" x14ac:dyDescent="0.15"/>
    <row r="48259" s="76" customFormat="1" ht="21.95" customHeight="1" x14ac:dyDescent="0.15"/>
    <row r="48260" s="76" customFormat="1" ht="21.95" customHeight="1" x14ac:dyDescent="0.15"/>
    <row r="48261" s="76" customFormat="1" ht="21.95" customHeight="1" x14ac:dyDescent="0.15"/>
    <row r="48262" s="76" customFormat="1" ht="21.95" customHeight="1" x14ac:dyDescent="0.15"/>
    <row r="48263" s="76" customFormat="1" ht="21.95" customHeight="1" x14ac:dyDescent="0.15"/>
    <row r="48264" s="76" customFormat="1" ht="21.95" customHeight="1" x14ac:dyDescent="0.15"/>
    <row r="48265" s="76" customFormat="1" ht="21.95" customHeight="1" x14ac:dyDescent="0.15"/>
    <row r="48266" s="76" customFormat="1" ht="21.95" customHeight="1" x14ac:dyDescent="0.15"/>
    <row r="48267" s="76" customFormat="1" ht="21.95" customHeight="1" x14ac:dyDescent="0.15"/>
    <row r="48268" s="76" customFormat="1" ht="21.95" customHeight="1" x14ac:dyDescent="0.15"/>
    <row r="48269" s="76" customFormat="1" ht="21.95" customHeight="1" x14ac:dyDescent="0.15"/>
    <row r="48270" s="76" customFormat="1" ht="21.95" customHeight="1" x14ac:dyDescent="0.15"/>
    <row r="48271" s="76" customFormat="1" ht="21.95" customHeight="1" x14ac:dyDescent="0.15"/>
    <row r="48272" s="76" customFormat="1" ht="21.95" customHeight="1" x14ac:dyDescent="0.15"/>
    <row r="48273" spans="3:3" customFormat="1" ht="21.95" customHeight="1" x14ac:dyDescent="0.15"/>
    <row r="48274" spans="3:3" customFormat="1" ht="21.95" customHeight="1" x14ac:dyDescent="0.15"/>
    <row r="48275" spans="3:3" customFormat="1" ht="21.95" customHeight="1" x14ac:dyDescent="0.15">
      <c r="C48275" s="94"/>
    </row>
    <row r="48276" spans="3:3" customFormat="1" ht="21.95" customHeight="1" x14ac:dyDescent="0.15">
      <c r="C48276" s="94"/>
    </row>
    <row r="48277" spans="3:3" customFormat="1" ht="21.95" customHeight="1" x14ac:dyDescent="0.15"/>
    <row r="48278" spans="3:3" customFormat="1" ht="21.95" customHeight="1" x14ac:dyDescent="0.15"/>
    <row r="48279" spans="3:3" customFormat="1" ht="21.95" customHeight="1" x14ac:dyDescent="0.15"/>
    <row r="48280" spans="3:3" customFormat="1" ht="21.95" customHeight="1" x14ac:dyDescent="0.15"/>
    <row r="48281" spans="3:3" customFormat="1" ht="21.95" customHeight="1" x14ac:dyDescent="0.15"/>
    <row r="48282" spans="3:3" customFormat="1" ht="21.95" customHeight="1" x14ac:dyDescent="0.15"/>
    <row r="48283" spans="3:3" customFormat="1" ht="21.95" customHeight="1" x14ac:dyDescent="0.15"/>
    <row r="48284" spans="3:3" s="76" customFormat="1" ht="21.95" customHeight="1" x14ac:dyDescent="0.15"/>
    <row r="48285" spans="3:3" s="76" customFormat="1" ht="21.95" customHeight="1" x14ac:dyDescent="0.15"/>
    <row r="48286" spans="3:3" s="76" customFormat="1" ht="21.95" customHeight="1" x14ac:dyDescent="0.15"/>
    <row r="48287" spans="3:3" s="76" customFormat="1" ht="21.95" customHeight="1" x14ac:dyDescent="0.15"/>
    <row r="48288" spans="3:3" customFormat="1" ht="21.95" customHeight="1" x14ac:dyDescent="0.15"/>
    <row r="48289" customFormat="1" ht="21.95" customHeight="1" x14ac:dyDescent="0.15"/>
    <row r="48290" customFormat="1" ht="21.95" customHeight="1" x14ac:dyDescent="0.15"/>
    <row r="48291" customFormat="1" ht="21.95" customHeight="1" x14ac:dyDescent="0.15"/>
    <row r="48292" customFormat="1" ht="21.95" customHeight="1" x14ac:dyDescent="0.15"/>
    <row r="48293" customFormat="1" ht="21.95" customHeight="1" x14ac:dyDescent="0.15"/>
    <row r="48294" customFormat="1" ht="21.95" customHeight="1" x14ac:dyDescent="0.15"/>
    <row r="48295" customFormat="1" ht="21.95" customHeight="1" x14ac:dyDescent="0.15"/>
    <row r="48296" customFormat="1" ht="21.95" customHeight="1" x14ac:dyDescent="0.15"/>
    <row r="48297" customFormat="1" ht="21.95" customHeight="1" x14ac:dyDescent="0.15"/>
    <row r="48298" customFormat="1" ht="21.95" customHeight="1" x14ac:dyDescent="0.15"/>
    <row r="48299" customFormat="1" ht="32.1" customHeight="1" x14ac:dyDescent="0.15"/>
    <row r="48300" customFormat="1" ht="32.1" customHeight="1" x14ac:dyDescent="0.15"/>
    <row r="48301" customFormat="1" ht="32.1" customHeight="1" x14ac:dyDescent="0.15"/>
    <row r="48302" customFormat="1" ht="32.1" customHeight="1" x14ac:dyDescent="0.15"/>
    <row r="48303" customFormat="1" ht="32.1" customHeight="1" x14ac:dyDescent="0.15"/>
    <row r="48304" customFormat="1" ht="32.1" customHeight="1" x14ac:dyDescent="0.15"/>
    <row r="48305" s="76" customFormat="1" ht="32.1" customHeight="1" x14ac:dyDescent="0.15"/>
    <row r="48306" s="76" customFormat="1" ht="32.1" customHeight="1" x14ac:dyDescent="0.15"/>
    <row r="48307" s="76" customFormat="1" ht="32.1" customHeight="1" x14ac:dyDescent="0.15"/>
    <row r="48308" s="76" customFormat="1" ht="32.1" customHeight="1" x14ac:dyDescent="0.15"/>
    <row r="48309" s="76" customFormat="1" ht="21.95" customHeight="1" x14ac:dyDescent="0.15"/>
    <row r="48310" s="76" customFormat="1" ht="54" customHeight="1" x14ac:dyDescent="0.15"/>
    <row r="48311" s="76" customFormat="1" ht="21.95" customHeight="1" x14ac:dyDescent="0.15"/>
    <row r="48312" s="76" customFormat="1" ht="21.95" customHeight="1" x14ac:dyDescent="0.15"/>
    <row r="48313" s="76" customFormat="1" ht="21.95" customHeight="1" x14ac:dyDescent="0.15"/>
    <row r="48314" s="76" customFormat="1" ht="21.95" customHeight="1" x14ac:dyDescent="0.15"/>
    <row r="48315" s="76" customFormat="1" ht="21.95" customHeight="1" x14ac:dyDescent="0.15"/>
    <row r="48316" s="76" customFormat="1" ht="21.95" customHeight="1" x14ac:dyDescent="0.15"/>
    <row r="48317" s="76" customFormat="1" ht="21.95" customHeight="1" x14ac:dyDescent="0.15"/>
    <row r="48318" s="76" customFormat="1" ht="21.95" customHeight="1" x14ac:dyDescent="0.15"/>
    <row r="48319" s="76" customFormat="1" ht="21.95" customHeight="1" x14ac:dyDescent="0.15"/>
    <row r="48320" s="76" customFormat="1" ht="21.95" customHeight="1" x14ac:dyDescent="0.15"/>
    <row r="48321" s="76" customFormat="1" ht="21.95" customHeight="1" x14ac:dyDescent="0.15"/>
    <row r="48322" s="76" customFormat="1" ht="21.95" customHeight="1" x14ac:dyDescent="0.15"/>
    <row r="48323" s="76" customFormat="1" ht="21.95" customHeight="1" x14ac:dyDescent="0.15"/>
    <row r="48324" s="76" customFormat="1" ht="21.95" customHeight="1" x14ac:dyDescent="0.15"/>
    <row r="48325" s="76" customFormat="1" ht="21.95" customHeight="1" x14ac:dyDescent="0.15"/>
    <row r="48326" s="76" customFormat="1" ht="21.95" customHeight="1" x14ac:dyDescent="0.15"/>
    <row r="48327" s="76" customFormat="1" ht="21.95" customHeight="1" x14ac:dyDescent="0.15"/>
    <row r="48328" s="76" customFormat="1" ht="21.95" customHeight="1" x14ac:dyDescent="0.15"/>
    <row r="48329" s="76" customFormat="1" ht="21.95" customHeight="1" x14ac:dyDescent="0.15"/>
    <row r="48330" s="76" customFormat="1" ht="21.95" customHeight="1" x14ac:dyDescent="0.15"/>
    <row r="48331" s="76" customFormat="1" ht="21.95" customHeight="1" x14ac:dyDescent="0.15"/>
    <row r="48332" s="76" customFormat="1" ht="21.95" customHeight="1" x14ac:dyDescent="0.15"/>
    <row r="48333" s="76" customFormat="1" ht="21.95" customHeight="1" x14ac:dyDescent="0.15"/>
    <row r="48334" s="76" customFormat="1" ht="21.95" customHeight="1" x14ac:dyDescent="0.15"/>
    <row r="48335" s="76" customFormat="1" ht="21.95" customHeight="1" x14ac:dyDescent="0.15"/>
    <row r="48336" s="76" customFormat="1" ht="21.95" customHeight="1" x14ac:dyDescent="0.15"/>
    <row r="48337" s="76" customFormat="1" ht="21.95" customHeight="1" x14ac:dyDescent="0.15"/>
    <row r="48338" s="76" customFormat="1" ht="21.95" customHeight="1" x14ac:dyDescent="0.15"/>
    <row r="48339" s="76" customFormat="1" ht="21.95" customHeight="1" x14ac:dyDescent="0.15"/>
    <row r="48340" s="76" customFormat="1" ht="21.95" customHeight="1" x14ac:dyDescent="0.15"/>
    <row r="48341" s="76" customFormat="1" ht="21.95" customHeight="1" x14ac:dyDescent="0.15"/>
    <row r="48342" s="76" customFormat="1" ht="21.95" customHeight="1" x14ac:dyDescent="0.15"/>
    <row r="48343" s="76" customFormat="1" ht="21.95" customHeight="1" x14ac:dyDescent="0.15"/>
    <row r="48344" s="76" customFormat="1" ht="21.95" customHeight="1" x14ac:dyDescent="0.15"/>
    <row r="48345" s="76" customFormat="1" ht="21.95" customHeight="1" x14ac:dyDescent="0.15"/>
    <row r="48346" s="76" customFormat="1" ht="21.95" customHeight="1" x14ac:dyDescent="0.15"/>
    <row r="48347" s="76" customFormat="1" ht="21.95" customHeight="1" x14ac:dyDescent="0.15"/>
    <row r="48348" s="76" customFormat="1" ht="21.95" customHeight="1" x14ac:dyDescent="0.15"/>
    <row r="48349" s="76" customFormat="1" ht="21.95" customHeight="1" x14ac:dyDescent="0.15"/>
    <row r="48350" s="76" customFormat="1" ht="21.95" customHeight="1" x14ac:dyDescent="0.15"/>
    <row r="48351" s="76" customFormat="1" ht="21.95" customHeight="1" x14ac:dyDescent="0.15"/>
    <row r="48352" s="76" customFormat="1" ht="21.95" customHeight="1" x14ac:dyDescent="0.15"/>
    <row r="48353" s="76" customFormat="1" ht="21.95" customHeight="1" x14ac:dyDescent="0.15"/>
    <row r="48354" s="76" customFormat="1" ht="21.95" customHeight="1" x14ac:dyDescent="0.15"/>
    <row r="48355" s="76" customFormat="1" ht="21.95" customHeight="1" x14ac:dyDescent="0.15"/>
    <row r="48356" s="76" customFormat="1" ht="21.95" customHeight="1" x14ac:dyDescent="0.15"/>
    <row r="48357" s="76" customFormat="1" ht="21.95" customHeight="1" x14ac:dyDescent="0.15"/>
    <row r="48358" s="76" customFormat="1" ht="21.95" customHeight="1" x14ac:dyDescent="0.15"/>
    <row r="48359" s="76" customFormat="1" ht="21.95" customHeight="1" x14ac:dyDescent="0.15"/>
    <row r="48360" s="76" customFormat="1" ht="21.95" customHeight="1" x14ac:dyDescent="0.15"/>
    <row r="48361" s="76" customFormat="1" ht="35.1" customHeight="1" x14ac:dyDescent="0.15"/>
    <row r="48362" s="76" customFormat="1" ht="21.95" customHeight="1" x14ac:dyDescent="0.15"/>
    <row r="48363" s="76" customFormat="1" ht="21.95" customHeight="1" x14ac:dyDescent="0.15"/>
    <row r="48364" s="76" customFormat="1" ht="21.95" customHeight="1" x14ac:dyDescent="0.15"/>
    <row r="48365" s="76" customFormat="1" ht="21.95" customHeight="1" x14ac:dyDescent="0.15"/>
    <row r="48366" s="76" customFormat="1" ht="21.95" customHeight="1" x14ac:dyDescent="0.15"/>
    <row r="48367" s="76" customFormat="1" ht="21.95" customHeight="1" x14ac:dyDescent="0.15"/>
    <row r="48368" s="76" customFormat="1" ht="21.95" customHeight="1" x14ac:dyDescent="0.15"/>
    <row r="48369" s="76" customFormat="1" ht="21.95" customHeight="1" x14ac:dyDescent="0.15"/>
    <row r="48370" s="76" customFormat="1" ht="21.95" customHeight="1" x14ac:dyDescent="0.15"/>
    <row r="48371" s="76" customFormat="1" ht="21.95" customHeight="1" x14ac:dyDescent="0.15"/>
    <row r="48372" s="76" customFormat="1" ht="21.95" customHeight="1" x14ac:dyDescent="0.15"/>
    <row r="48373" s="76" customFormat="1" ht="21.95" customHeight="1" x14ac:dyDescent="0.15"/>
    <row r="48374" s="76" customFormat="1" ht="21.95" customHeight="1" x14ac:dyDescent="0.15"/>
    <row r="48375" s="76" customFormat="1" ht="21.95" customHeight="1" x14ac:dyDescent="0.15"/>
    <row r="48376" s="76" customFormat="1" ht="21.95" customHeight="1" x14ac:dyDescent="0.15"/>
    <row r="48377" s="76" customFormat="1" ht="21.95" customHeight="1" x14ac:dyDescent="0.15"/>
    <row r="48378" s="76" customFormat="1" ht="21.95" customHeight="1" x14ac:dyDescent="0.15"/>
    <row r="48379" s="76" customFormat="1" ht="21.95" customHeight="1" x14ac:dyDescent="0.15"/>
    <row r="48380" s="76" customFormat="1" ht="21.95" customHeight="1" x14ac:dyDescent="0.15"/>
    <row r="48381" s="76" customFormat="1" ht="21.95" customHeight="1" x14ac:dyDescent="0.15"/>
    <row r="48382" s="76" customFormat="1" ht="21.95" customHeight="1" x14ac:dyDescent="0.15"/>
    <row r="48383" s="76" customFormat="1" ht="21.95" customHeight="1" x14ac:dyDescent="0.15"/>
    <row r="48384" s="76" customFormat="1" ht="21.95" customHeight="1" x14ac:dyDescent="0.15"/>
    <row r="48385" spans="3:3" customFormat="1" ht="21.95" customHeight="1" x14ac:dyDescent="0.15"/>
    <row r="48386" spans="3:3" customFormat="1" ht="21.95" customHeight="1" x14ac:dyDescent="0.15"/>
    <row r="48387" spans="3:3" customFormat="1" ht="21.95" customHeight="1" x14ac:dyDescent="0.15">
      <c r="C48387" s="94"/>
    </row>
    <row r="48388" spans="3:3" customFormat="1" ht="21.95" customHeight="1" x14ac:dyDescent="0.15">
      <c r="C48388" s="94"/>
    </row>
    <row r="48389" spans="3:3" customFormat="1" ht="21.95" customHeight="1" x14ac:dyDescent="0.15"/>
    <row r="48390" spans="3:3" customFormat="1" ht="21.95" customHeight="1" x14ac:dyDescent="0.15"/>
    <row r="48391" spans="3:3" customFormat="1" ht="21.95" customHeight="1" x14ac:dyDescent="0.15"/>
    <row r="48392" spans="3:3" customFormat="1" ht="21.95" customHeight="1" x14ac:dyDescent="0.15"/>
    <row r="48393" spans="3:3" customFormat="1" ht="21.95" customHeight="1" x14ac:dyDescent="0.15"/>
    <row r="48394" spans="3:3" customFormat="1" ht="21.95" customHeight="1" x14ac:dyDescent="0.15"/>
    <row r="48395" spans="3:3" customFormat="1" ht="21.95" customHeight="1" x14ac:dyDescent="0.15"/>
    <row r="48396" spans="3:3" s="76" customFormat="1" ht="21.95" customHeight="1" x14ac:dyDescent="0.15"/>
    <row r="48397" spans="3:3" s="76" customFormat="1" ht="21.95" customHeight="1" x14ac:dyDescent="0.15"/>
    <row r="48398" spans="3:3" s="76" customFormat="1" ht="21.95" customHeight="1" x14ac:dyDescent="0.15"/>
    <row r="48399" spans="3:3" s="76" customFormat="1" ht="21.95" customHeight="1" x14ac:dyDescent="0.15"/>
    <row r="48400" spans="3:3" customFormat="1" ht="21.95" customHeight="1" x14ac:dyDescent="0.15"/>
    <row r="48401" customFormat="1" ht="21.95" customHeight="1" x14ac:dyDescent="0.15"/>
    <row r="48402" customFormat="1" ht="21.95" customHeight="1" x14ac:dyDescent="0.15"/>
    <row r="48403" customFormat="1" ht="21.95" customHeight="1" x14ac:dyDescent="0.15"/>
    <row r="48404" customFormat="1" ht="21.95" customHeight="1" x14ac:dyDescent="0.15"/>
    <row r="48405" customFormat="1" ht="21.95" customHeight="1" x14ac:dyDescent="0.15"/>
    <row r="48406" customFormat="1" ht="21.95" customHeight="1" x14ac:dyDescent="0.15"/>
    <row r="48407" customFormat="1" ht="21.95" customHeight="1" x14ac:dyDescent="0.15"/>
    <row r="48408" customFormat="1" ht="21.95" customHeight="1" x14ac:dyDescent="0.15"/>
    <row r="48409" customFormat="1" ht="21.95" customHeight="1" x14ac:dyDescent="0.15"/>
    <row r="48410" customFormat="1" ht="21.95" customHeight="1" x14ac:dyDescent="0.15"/>
    <row r="48411" customFormat="1" ht="32.1" customHeight="1" x14ac:dyDescent="0.15"/>
    <row r="48412" customFormat="1" ht="32.1" customHeight="1" x14ac:dyDescent="0.15"/>
    <row r="48413" customFormat="1" ht="32.1" customHeight="1" x14ac:dyDescent="0.15"/>
    <row r="48414" customFormat="1" ht="32.1" customHeight="1" x14ac:dyDescent="0.15"/>
    <row r="48415" customFormat="1" ht="32.1" customHeight="1" x14ac:dyDescent="0.15"/>
    <row r="48416" customFormat="1" ht="32.1" customHeight="1" x14ac:dyDescent="0.15"/>
    <row r="48417" s="76" customFormat="1" ht="32.1" customHeight="1" x14ac:dyDescent="0.15"/>
    <row r="48418" s="76" customFormat="1" ht="32.1" customHeight="1" x14ac:dyDescent="0.15"/>
    <row r="48419" s="76" customFormat="1" ht="32.1" customHeight="1" x14ac:dyDescent="0.15"/>
    <row r="48420" s="76" customFormat="1" ht="32.1" customHeight="1" x14ac:dyDescent="0.15"/>
    <row r="48421" s="76" customFormat="1" ht="21.95" customHeight="1" x14ac:dyDescent="0.15"/>
    <row r="48422" s="76" customFormat="1" ht="54" customHeight="1" x14ac:dyDescent="0.15"/>
    <row r="48423" s="76" customFormat="1" ht="21.95" customHeight="1" x14ac:dyDescent="0.15"/>
    <row r="48424" s="76" customFormat="1" ht="21.95" customHeight="1" x14ac:dyDescent="0.15"/>
    <row r="48425" s="76" customFormat="1" ht="21.95" customHeight="1" x14ac:dyDescent="0.15"/>
    <row r="48426" s="76" customFormat="1" ht="21.95" customHeight="1" x14ac:dyDescent="0.15"/>
    <row r="48427" s="76" customFormat="1" ht="21.95" customHeight="1" x14ac:dyDescent="0.15"/>
    <row r="48428" s="76" customFormat="1" ht="21.95" customHeight="1" x14ac:dyDescent="0.15"/>
    <row r="48429" s="76" customFormat="1" ht="21.95" customHeight="1" x14ac:dyDescent="0.15"/>
    <row r="48430" s="76" customFormat="1" ht="21.95" customHeight="1" x14ac:dyDescent="0.15"/>
    <row r="48431" s="76" customFormat="1" ht="21.95" customHeight="1" x14ac:dyDescent="0.15"/>
    <row r="48432" s="76" customFormat="1" ht="21.95" customHeight="1" x14ac:dyDescent="0.15"/>
    <row r="48433" s="76" customFormat="1" ht="21.95" customHeight="1" x14ac:dyDescent="0.15"/>
    <row r="48434" s="76" customFormat="1" ht="21.95" customHeight="1" x14ac:dyDescent="0.15"/>
    <row r="48435" s="76" customFormat="1" ht="21.95" customHeight="1" x14ac:dyDescent="0.15"/>
    <row r="48436" s="76" customFormat="1" ht="21.95" customHeight="1" x14ac:dyDescent="0.15"/>
    <row r="48437" s="76" customFormat="1" ht="21.95" customHeight="1" x14ac:dyDescent="0.15"/>
    <row r="48438" s="76" customFormat="1" ht="21.95" customHeight="1" x14ac:dyDescent="0.15"/>
    <row r="48439" s="76" customFormat="1" ht="21.95" customHeight="1" x14ac:dyDescent="0.15"/>
    <row r="48440" s="76" customFormat="1" ht="21.95" customHeight="1" x14ac:dyDescent="0.15"/>
    <row r="48441" s="76" customFormat="1" ht="21.95" customHeight="1" x14ac:dyDescent="0.15"/>
    <row r="48442" s="76" customFormat="1" ht="21.95" customHeight="1" x14ac:dyDescent="0.15"/>
    <row r="48443" s="76" customFormat="1" ht="21.95" customHeight="1" x14ac:dyDescent="0.15"/>
    <row r="48444" s="76" customFormat="1" ht="21.95" customHeight="1" x14ac:dyDescent="0.15"/>
    <row r="48445" s="76" customFormat="1" ht="21.95" customHeight="1" x14ac:dyDescent="0.15"/>
    <row r="48446" s="76" customFormat="1" ht="21.95" customHeight="1" x14ac:dyDescent="0.15"/>
    <row r="48447" s="76" customFormat="1" ht="21.95" customHeight="1" x14ac:dyDescent="0.15"/>
    <row r="48448" s="76" customFormat="1" ht="21.95" customHeight="1" x14ac:dyDescent="0.15"/>
    <row r="48449" s="76" customFormat="1" ht="21.95" customHeight="1" x14ac:dyDescent="0.15"/>
    <row r="48450" s="76" customFormat="1" ht="21.95" customHeight="1" x14ac:dyDescent="0.15"/>
    <row r="48451" s="76" customFormat="1" ht="21.95" customHeight="1" x14ac:dyDescent="0.15"/>
    <row r="48452" s="76" customFormat="1" ht="21.95" customHeight="1" x14ac:dyDescent="0.15"/>
    <row r="48453" s="76" customFormat="1" ht="21.95" customHeight="1" x14ac:dyDescent="0.15"/>
    <row r="48454" s="76" customFormat="1" ht="21.95" customHeight="1" x14ac:dyDescent="0.15"/>
    <row r="48455" s="76" customFormat="1" ht="21.95" customHeight="1" x14ac:dyDescent="0.15"/>
    <row r="48456" s="76" customFormat="1" ht="21.95" customHeight="1" x14ac:dyDescent="0.15"/>
    <row r="48457" s="76" customFormat="1" ht="21.95" customHeight="1" x14ac:dyDescent="0.15"/>
    <row r="48458" s="76" customFormat="1" ht="21.95" customHeight="1" x14ac:dyDescent="0.15"/>
    <row r="48459" s="76" customFormat="1" ht="21.95" customHeight="1" x14ac:dyDescent="0.15"/>
    <row r="48460" s="76" customFormat="1" ht="21.95" customHeight="1" x14ac:dyDescent="0.15"/>
    <row r="48461" s="76" customFormat="1" ht="21.95" customHeight="1" x14ac:dyDescent="0.15"/>
    <row r="48462" s="76" customFormat="1" ht="21.95" customHeight="1" x14ac:dyDescent="0.15"/>
    <row r="48463" s="76" customFormat="1" ht="21.95" customHeight="1" x14ac:dyDescent="0.15"/>
    <row r="48464" s="76" customFormat="1" ht="21.95" customHeight="1" x14ac:dyDescent="0.15"/>
    <row r="48465" s="76" customFormat="1" ht="21.95" customHeight="1" x14ac:dyDescent="0.15"/>
    <row r="48466" s="76" customFormat="1" ht="21.95" customHeight="1" x14ac:dyDescent="0.15"/>
    <row r="48467" s="76" customFormat="1" ht="21.95" customHeight="1" x14ac:dyDescent="0.15"/>
    <row r="48468" s="76" customFormat="1" ht="21.95" customHeight="1" x14ac:dyDescent="0.15"/>
    <row r="48469" s="76" customFormat="1" ht="21.95" customHeight="1" x14ac:dyDescent="0.15"/>
    <row r="48470" s="76" customFormat="1" ht="21.95" customHeight="1" x14ac:dyDescent="0.15"/>
    <row r="48471" s="76" customFormat="1" ht="21.95" customHeight="1" x14ac:dyDescent="0.15"/>
    <row r="48472" s="76" customFormat="1" ht="21.95" customHeight="1" x14ac:dyDescent="0.15"/>
    <row r="48473" s="76" customFormat="1" ht="35.1" customHeight="1" x14ac:dyDescent="0.15"/>
    <row r="48474" s="76" customFormat="1" ht="21.95" customHeight="1" x14ac:dyDescent="0.15"/>
    <row r="48475" s="76" customFormat="1" ht="21.95" customHeight="1" x14ac:dyDescent="0.15"/>
    <row r="48476" s="76" customFormat="1" ht="21.95" customHeight="1" x14ac:dyDescent="0.15"/>
    <row r="48477" s="76" customFormat="1" ht="21.95" customHeight="1" x14ac:dyDescent="0.15"/>
    <row r="48478" s="76" customFormat="1" ht="21.95" customHeight="1" x14ac:dyDescent="0.15"/>
    <row r="48479" s="76" customFormat="1" ht="21.95" customHeight="1" x14ac:dyDescent="0.15"/>
    <row r="48480" s="76" customFormat="1" ht="21.95" customHeight="1" x14ac:dyDescent="0.15"/>
    <row r="48481" s="76" customFormat="1" ht="21.95" customHeight="1" x14ac:dyDescent="0.15"/>
    <row r="48482" s="76" customFormat="1" ht="21.95" customHeight="1" x14ac:dyDescent="0.15"/>
    <row r="48483" s="76" customFormat="1" ht="21.95" customHeight="1" x14ac:dyDescent="0.15"/>
    <row r="48484" s="76" customFormat="1" ht="21.95" customHeight="1" x14ac:dyDescent="0.15"/>
    <row r="48485" s="76" customFormat="1" ht="21.95" customHeight="1" x14ac:dyDescent="0.15"/>
    <row r="48486" s="76" customFormat="1" ht="21.95" customHeight="1" x14ac:dyDescent="0.15"/>
    <row r="48487" s="76" customFormat="1" ht="21.95" customHeight="1" x14ac:dyDescent="0.15"/>
    <row r="48488" s="76" customFormat="1" ht="21.95" customHeight="1" x14ac:dyDescent="0.15"/>
    <row r="48489" s="76" customFormat="1" ht="21.95" customHeight="1" x14ac:dyDescent="0.15"/>
    <row r="48490" s="76" customFormat="1" ht="21.95" customHeight="1" x14ac:dyDescent="0.15"/>
    <row r="48491" s="76" customFormat="1" ht="21.95" customHeight="1" x14ac:dyDescent="0.15"/>
    <row r="48492" s="76" customFormat="1" ht="21.95" customHeight="1" x14ac:dyDescent="0.15"/>
    <row r="48493" s="76" customFormat="1" ht="21.95" customHeight="1" x14ac:dyDescent="0.15"/>
    <row r="48494" s="76" customFormat="1" ht="21.95" customHeight="1" x14ac:dyDescent="0.15"/>
    <row r="48495" s="76" customFormat="1" ht="21.95" customHeight="1" x14ac:dyDescent="0.15"/>
    <row r="48496" s="76" customFormat="1" ht="21.95" customHeight="1" x14ac:dyDescent="0.15"/>
    <row r="48497" spans="3:3" customFormat="1" ht="21.95" customHeight="1" x14ac:dyDescent="0.15"/>
    <row r="48498" spans="3:3" customFormat="1" ht="21.95" customHeight="1" x14ac:dyDescent="0.15"/>
    <row r="48499" spans="3:3" customFormat="1" ht="21.95" customHeight="1" x14ac:dyDescent="0.15">
      <c r="C48499" s="94"/>
    </row>
    <row r="48500" spans="3:3" customFormat="1" ht="21.95" customHeight="1" x14ac:dyDescent="0.15">
      <c r="C48500" s="94"/>
    </row>
    <row r="48501" spans="3:3" customFormat="1" ht="21.95" customHeight="1" x14ac:dyDescent="0.15"/>
    <row r="48502" spans="3:3" customFormat="1" ht="21.95" customHeight="1" x14ac:dyDescent="0.15"/>
    <row r="48503" spans="3:3" customFormat="1" ht="21.95" customHeight="1" x14ac:dyDescent="0.15"/>
    <row r="48504" spans="3:3" customFormat="1" ht="21.95" customHeight="1" x14ac:dyDescent="0.15"/>
    <row r="48505" spans="3:3" customFormat="1" ht="21.95" customHeight="1" x14ac:dyDescent="0.15"/>
    <row r="48506" spans="3:3" customFormat="1" ht="21.95" customHeight="1" x14ac:dyDescent="0.15"/>
    <row r="48507" spans="3:3" customFormat="1" ht="21.95" customHeight="1" x14ac:dyDescent="0.15"/>
    <row r="48508" spans="3:3" s="76" customFormat="1" ht="21.95" customHeight="1" x14ac:dyDescent="0.15"/>
    <row r="48509" spans="3:3" s="76" customFormat="1" ht="21.95" customHeight="1" x14ac:dyDescent="0.15"/>
    <row r="48510" spans="3:3" s="76" customFormat="1" ht="21.95" customHeight="1" x14ac:dyDescent="0.15"/>
    <row r="48511" spans="3:3" s="76" customFormat="1" ht="21.95" customHeight="1" x14ac:dyDescent="0.15"/>
    <row r="48512" spans="3:3" customFormat="1" ht="21.95" customHeight="1" x14ac:dyDescent="0.15"/>
    <row r="48513" customFormat="1" ht="21.95" customHeight="1" x14ac:dyDescent="0.15"/>
    <row r="48514" customFormat="1" ht="21.95" customHeight="1" x14ac:dyDescent="0.15"/>
    <row r="48515" customFormat="1" ht="21.95" customHeight="1" x14ac:dyDescent="0.15"/>
    <row r="48516" customFormat="1" ht="21.95" customHeight="1" x14ac:dyDescent="0.15"/>
    <row r="48517" customFormat="1" ht="21.95" customHeight="1" x14ac:dyDescent="0.15"/>
    <row r="48518" customFormat="1" ht="21.95" customHeight="1" x14ac:dyDescent="0.15"/>
    <row r="48519" customFormat="1" ht="21.95" customHeight="1" x14ac:dyDescent="0.15"/>
    <row r="48520" customFormat="1" ht="21.95" customHeight="1" x14ac:dyDescent="0.15"/>
    <row r="48521" customFormat="1" ht="21.95" customHeight="1" x14ac:dyDescent="0.15"/>
    <row r="48522" customFormat="1" ht="21.95" customHeight="1" x14ac:dyDescent="0.15"/>
    <row r="48523" customFormat="1" ht="32.1" customHeight="1" x14ac:dyDescent="0.15"/>
    <row r="48524" customFormat="1" ht="32.1" customHeight="1" x14ac:dyDescent="0.15"/>
    <row r="48525" customFormat="1" ht="32.1" customHeight="1" x14ac:dyDescent="0.15"/>
    <row r="48526" customFormat="1" ht="32.1" customHeight="1" x14ac:dyDescent="0.15"/>
    <row r="48527" customFormat="1" ht="32.1" customHeight="1" x14ac:dyDescent="0.15"/>
    <row r="48528" customFormat="1" ht="32.1" customHeight="1" x14ac:dyDescent="0.15"/>
    <row r="48529" s="76" customFormat="1" ht="32.1" customHeight="1" x14ac:dyDescent="0.15"/>
    <row r="48530" s="76" customFormat="1" ht="32.1" customHeight="1" x14ac:dyDescent="0.15"/>
    <row r="48531" s="76" customFormat="1" ht="32.1" customHeight="1" x14ac:dyDescent="0.15"/>
    <row r="48532" s="76" customFormat="1" ht="32.1" customHeight="1" x14ac:dyDescent="0.15"/>
    <row r="48533" s="76" customFormat="1" ht="21.95" customHeight="1" x14ac:dyDescent="0.15"/>
    <row r="48534" s="76" customFormat="1" ht="54" customHeight="1" x14ac:dyDescent="0.15"/>
    <row r="48535" s="76" customFormat="1" ht="21.95" customHeight="1" x14ac:dyDescent="0.15"/>
    <row r="48536" s="76" customFormat="1" ht="21.95" customHeight="1" x14ac:dyDescent="0.15"/>
    <row r="48537" s="76" customFormat="1" ht="21.95" customHeight="1" x14ac:dyDescent="0.15"/>
    <row r="48538" s="76" customFormat="1" ht="21.95" customHeight="1" x14ac:dyDescent="0.15"/>
    <row r="48539" s="76" customFormat="1" ht="21.95" customHeight="1" x14ac:dyDescent="0.15"/>
    <row r="48540" s="76" customFormat="1" ht="21.95" customHeight="1" x14ac:dyDescent="0.15"/>
    <row r="48541" s="76" customFormat="1" ht="21.95" customHeight="1" x14ac:dyDescent="0.15"/>
    <row r="48542" s="76" customFormat="1" ht="21.95" customHeight="1" x14ac:dyDescent="0.15"/>
    <row r="48543" s="76" customFormat="1" ht="21.95" customHeight="1" x14ac:dyDescent="0.15"/>
    <row r="48544" s="76" customFormat="1" ht="21.95" customHeight="1" x14ac:dyDescent="0.15"/>
    <row r="48545" s="76" customFormat="1" ht="21.95" customHeight="1" x14ac:dyDescent="0.15"/>
    <row r="48546" s="76" customFormat="1" ht="21.95" customHeight="1" x14ac:dyDescent="0.15"/>
    <row r="48547" s="76" customFormat="1" ht="21.95" customHeight="1" x14ac:dyDescent="0.15"/>
    <row r="48548" s="76" customFormat="1" ht="21.95" customHeight="1" x14ac:dyDescent="0.15"/>
    <row r="48549" s="76" customFormat="1" ht="21.95" customHeight="1" x14ac:dyDescent="0.15"/>
    <row r="48550" s="76" customFormat="1" ht="21.95" customHeight="1" x14ac:dyDescent="0.15"/>
    <row r="48551" s="76" customFormat="1" ht="21.95" customHeight="1" x14ac:dyDescent="0.15"/>
    <row r="48552" s="76" customFormat="1" ht="21.95" customHeight="1" x14ac:dyDescent="0.15"/>
    <row r="48553" s="76" customFormat="1" ht="21.95" customHeight="1" x14ac:dyDescent="0.15"/>
    <row r="48554" s="76" customFormat="1" ht="21.95" customHeight="1" x14ac:dyDescent="0.15"/>
    <row r="48555" s="76" customFormat="1" ht="21.95" customHeight="1" x14ac:dyDescent="0.15"/>
    <row r="48556" s="76" customFormat="1" ht="21.95" customHeight="1" x14ac:dyDescent="0.15"/>
    <row r="48557" s="76" customFormat="1" ht="21.95" customHeight="1" x14ac:dyDescent="0.15"/>
    <row r="48558" s="76" customFormat="1" ht="21.95" customHeight="1" x14ac:dyDescent="0.15"/>
    <row r="48559" s="76" customFormat="1" ht="21.95" customHeight="1" x14ac:dyDescent="0.15"/>
    <row r="48560" s="76" customFormat="1" ht="21.95" customHeight="1" x14ac:dyDescent="0.15"/>
    <row r="48561" s="76" customFormat="1" ht="21.95" customHeight="1" x14ac:dyDescent="0.15"/>
    <row r="48562" s="76" customFormat="1" ht="21.95" customHeight="1" x14ac:dyDescent="0.15"/>
    <row r="48563" s="76" customFormat="1" ht="21.95" customHeight="1" x14ac:dyDescent="0.15"/>
    <row r="48564" s="76" customFormat="1" ht="21.95" customHeight="1" x14ac:dyDescent="0.15"/>
    <row r="48565" s="76" customFormat="1" ht="21.95" customHeight="1" x14ac:dyDescent="0.15"/>
    <row r="48566" s="76" customFormat="1" ht="21.95" customHeight="1" x14ac:dyDescent="0.15"/>
    <row r="48567" s="76" customFormat="1" ht="21.95" customHeight="1" x14ac:dyDescent="0.15"/>
    <row r="48568" s="76" customFormat="1" ht="21.95" customHeight="1" x14ac:dyDescent="0.15"/>
    <row r="48569" s="76" customFormat="1" ht="21.95" customHeight="1" x14ac:dyDescent="0.15"/>
    <row r="48570" s="76" customFormat="1" ht="21.95" customHeight="1" x14ac:dyDescent="0.15"/>
    <row r="48571" s="76" customFormat="1" ht="21.95" customHeight="1" x14ac:dyDescent="0.15"/>
    <row r="48572" s="76" customFormat="1" ht="21.95" customHeight="1" x14ac:dyDescent="0.15"/>
    <row r="48573" s="76" customFormat="1" ht="21.95" customHeight="1" x14ac:dyDescent="0.15"/>
    <row r="48574" s="76" customFormat="1" ht="21.95" customHeight="1" x14ac:dyDescent="0.15"/>
    <row r="48575" s="76" customFormat="1" ht="21.95" customHeight="1" x14ac:dyDescent="0.15"/>
    <row r="48576" s="76" customFormat="1" ht="21.95" customHeight="1" x14ac:dyDescent="0.15"/>
    <row r="48577" s="76" customFormat="1" ht="21.95" customHeight="1" x14ac:dyDescent="0.15"/>
    <row r="48578" s="76" customFormat="1" ht="21.95" customHeight="1" x14ac:dyDescent="0.15"/>
    <row r="48579" s="76" customFormat="1" ht="21.95" customHeight="1" x14ac:dyDescent="0.15"/>
    <row r="48580" s="76" customFormat="1" ht="21.95" customHeight="1" x14ac:dyDescent="0.15"/>
    <row r="48581" s="76" customFormat="1" ht="21.95" customHeight="1" x14ac:dyDescent="0.15"/>
    <row r="48582" s="76" customFormat="1" ht="21.95" customHeight="1" x14ac:dyDescent="0.15"/>
    <row r="48583" s="76" customFormat="1" ht="21.95" customHeight="1" x14ac:dyDescent="0.15"/>
    <row r="48584" s="76" customFormat="1" ht="21.95" customHeight="1" x14ac:dyDescent="0.15"/>
    <row r="48585" s="76" customFormat="1" ht="35.1" customHeight="1" x14ac:dyDescent="0.15"/>
    <row r="48586" s="76" customFormat="1" ht="21.95" customHeight="1" x14ac:dyDescent="0.15"/>
    <row r="48587" s="76" customFormat="1" ht="21.95" customHeight="1" x14ac:dyDescent="0.15"/>
    <row r="48588" s="76" customFormat="1" ht="21.95" customHeight="1" x14ac:dyDescent="0.15"/>
    <row r="48589" s="76" customFormat="1" ht="21.95" customHeight="1" x14ac:dyDescent="0.15"/>
    <row r="48590" s="76" customFormat="1" ht="21.95" customHeight="1" x14ac:dyDescent="0.15"/>
    <row r="48591" s="76" customFormat="1" ht="21.95" customHeight="1" x14ac:dyDescent="0.15"/>
    <row r="48592" s="76" customFormat="1" ht="21.95" customHeight="1" x14ac:dyDescent="0.15"/>
    <row r="48593" s="76" customFormat="1" ht="21.95" customHeight="1" x14ac:dyDescent="0.15"/>
    <row r="48594" s="76" customFormat="1" ht="21.95" customHeight="1" x14ac:dyDescent="0.15"/>
    <row r="48595" s="76" customFormat="1" ht="21.95" customHeight="1" x14ac:dyDescent="0.15"/>
    <row r="48596" s="76" customFormat="1" ht="21.95" customHeight="1" x14ac:dyDescent="0.15"/>
    <row r="48597" s="76" customFormat="1" ht="21.95" customHeight="1" x14ac:dyDescent="0.15"/>
    <row r="48598" s="76" customFormat="1" ht="21.95" customHeight="1" x14ac:dyDescent="0.15"/>
    <row r="48599" s="76" customFormat="1" ht="21.95" customHeight="1" x14ac:dyDescent="0.15"/>
    <row r="48600" s="76" customFormat="1" ht="21.95" customHeight="1" x14ac:dyDescent="0.15"/>
    <row r="48601" s="76" customFormat="1" ht="21.95" customHeight="1" x14ac:dyDescent="0.15"/>
    <row r="48602" s="76" customFormat="1" ht="21.95" customHeight="1" x14ac:dyDescent="0.15"/>
    <row r="48603" s="76" customFormat="1" ht="21.95" customHeight="1" x14ac:dyDescent="0.15"/>
    <row r="48604" s="76" customFormat="1" ht="21.95" customHeight="1" x14ac:dyDescent="0.15"/>
    <row r="48605" s="76" customFormat="1" ht="21.95" customHeight="1" x14ac:dyDescent="0.15"/>
    <row r="48606" s="76" customFormat="1" ht="21.95" customHeight="1" x14ac:dyDescent="0.15"/>
    <row r="48607" s="76" customFormat="1" ht="21.95" customHeight="1" x14ac:dyDescent="0.15"/>
    <row r="48608" s="76" customFormat="1" ht="21.95" customHeight="1" x14ac:dyDescent="0.15"/>
    <row r="48609" spans="3:3" customFormat="1" ht="21.95" customHeight="1" x14ac:dyDescent="0.15"/>
    <row r="48610" spans="3:3" customFormat="1" ht="21.95" customHeight="1" x14ac:dyDescent="0.15"/>
    <row r="48611" spans="3:3" customFormat="1" ht="21.95" customHeight="1" x14ac:dyDescent="0.15">
      <c r="C48611" s="94"/>
    </row>
    <row r="48612" spans="3:3" customFormat="1" ht="21.95" customHeight="1" x14ac:dyDescent="0.15">
      <c r="C48612" s="94"/>
    </row>
    <row r="48613" spans="3:3" customFormat="1" ht="21.95" customHeight="1" x14ac:dyDescent="0.15"/>
    <row r="48614" spans="3:3" customFormat="1" ht="21.95" customHeight="1" x14ac:dyDescent="0.15"/>
    <row r="48615" spans="3:3" customFormat="1" ht="21.95" customHeight="1" x14ac:dyDescent="0.15"/>
    <row r="48616" spans="3:3" customFormat="1" ht="21.95" customHeight="1" x14ac:dyDescent="0.15"/>
    <row r="48617" spans="3:3" customFormat="1" ht="21.95" customHeight="1" x14ac:dyDescent="0.15"/>
    <row r="48618" spans="3:3" customFormat="1" ht="21.95" customHeight="1" x14ac:dyDescent="0.15"/>
    <row r="48619" spans="3:3" customFormat="1" ht="21.95" customHeight="1" x14ac:dyDescent="0.15"/>
    <row r="48620" spans="3:3" s="76" customFormat="1" ht="21.95" customHeight="1" x14ac:dyDescent="0.15"/>
    <row r="48621" spans="3:3" s="76" customFormat="1" ht="21.95" customHeight="1" x14ac:dyDescent="0.15"/>
    <row r="48622" spans="3:3" s="76" customFormat="1" ht="21.95" customHeight="1" x14ac:dyDescent="0.15"/>
    <row r="48623" spans="3:3" s="76" customFormat="1" ht="21.95" customHeight="1" x14ac:dyDescent="0.15"/>
    <row r="48624" spans="3:3" customFormat="1" ht="21.95" customHeight="1" x14ac:dyDescent="0.15"/>
    <row r="48625" customFormat="1" ht="21.95" customHeight="1" x14ac:dyDescent="0.15"/>
    <row r="48626" customFormat="1" ht="21.95" customHeight="1" x14ac:dyDescent="0.15"/>
    <row r="48627" customFormat="1" ht="21.95" customHeight="1" x14ac:dyDescent="0.15"/>
    <row r="48628" customFormat="1" ht="21.95" customHeight="1" x14ac:dyDescent="0.15"/>
    <row r="48629" customFormat="1" ht="21.95" customHeight="1" x14ac:dyDescent="0.15"/>
    <row r="48630" customFormat="1" ht="21.95" customHeight="1" x14ac:dyDescent="0.15"/>
    <row r="48631" customFormat="1" ht="21.95" customHeight="1" x14ac:dyDescent="0.15"/>
    <row r="48632" customFormat="1" ht="21.95" customHeight="1" x14ac:dyDescent="0.15"/>
    <row r="48633" customFormat="1" ht="21.95" customHeight="1" x14ac:dyDescent="0.15"/>
    <row r="48634" customFormat="1" ht="21.95" customHeight="1" x14ac:dyDescent="0.15"/>
    <row r="48635" customFormat="1" ht="32.1" customHeight="1" x14ac:dyDescent="0.15"/>
    <row r="48636" customFormat="1" ht="32.1" customHeight="1" x14ac:dyDescent="0.15"/>
    <row r="48637" customFormat="1" ht="32.1" customHeight="1" x14ac:dyDescent="0.15"/>
    <row r="48638" customFormat="1" ht="32.1" customHeight="1" x14ac:dyDescent="0.15"/>
    <row r="48639" customFormat="1" ht="32.1" customHeight="1" x14ac:dyDescent="0.15"/>
    <row r="48640" customFormat="1" ht="32.1" customHeight="1" x14ac:dyDescent="0.15"/>
    <row r="48641" s="76" customFormat="1" ht="32.1" customHeight="1" x14ac:dyDescent="0.15"/>
    <row r="48642" s="76" customFormat="1" ht="32.1" customHeight="1" x14ac:dyDescent="0.15"/>
    <row r="48643" s="76" customFormat="1" ht="32.1" customHeight="1" x14ac:dyDescent="0.15"/>
    <row r="48644" s="76" customFormat="1" ht="32.1" customHeight="1" x14ac:dyDescent="0.15"/>
    <row r="48645" s="76" customFormat="1" ht="21.95" customHeight="1" x14ac:dyDescent="0.15"/>
    <row r="48646" s="76" customFormat="1" ht="54" customHeight="1" x14ac:dyDescent="0.15"/>
    <row r="48647" s="76" customFormat="1" ht="21.95" customHeight="1" x14ac:dyDescent="0.15"/>
    <row r="48648" s="76" customFormat="1" ht="21.95" customHeight="1" x14ac:dyDescent="0.15"/>
    <row r="48649" s="76" customFormat="1" ht="21.95" customHeight="1" x14ac:dyDescent="0.15"/>
    <row r="48650" s="76" customFormat="1" ht="21.95" customHeight="1" x14ac:dyDescent="0.15"/>
    <row r="48651" s="76" customFormat="1" ht="21.95" customHeight="1" x14ac:dyDescent="0.15"/>
    <row r="48652" s="76" customFormat="1" ht="21.95" customHeight="1" x14ac:dyDescent="0.15"/>
    <row r="48653" s="76" customFormat="1" ht="21.95" customHeight="1" x14ac:dyDescent="0.15"/>
    <row r="48654" s="76" customFormat="1" ht="21.95" customHeight="1" x14ac:dyDescent="0.15"/>
    <row r="48655" s="76" customFormat="1" ht="21.95" customHeight="1" x14ac:dyDescent="0.15"/>
    <row r="48656" s="76" customFormat="1" ht="21.95" customHeight="1" x14ac:dyDescent="0.15"/>
    <row r="48657" s="76" customFormat="1" ht="21.95" customHeight="1" x14ac:dyDescent="0.15"/>
    <row r="48658" s="76" customFormat="1" ht="21.95" customHeight="1" x14ac:dyDescent="0.15"/>
    <row r="48659" s="76" customFormat="1" ht="21.95" customHeight="1" x14ac:dyDescent="0.15"/>
    <row r="48660" s="76" customFormat="1" ht="21.95" customHeight="1" x14ac:dyDescent="0.15"/>
    <row r="48661" s="76" customFormat="1" ht="21.95" customHeight="1" x14ac:dyDescent="0.15"/>
    <row r="48662" s="76" customFormat="1" ht="21.95" customHeight="1" x14ac:dyDescent="0.15"/>
    <row r="48663" s="76" customFormat="1" ht="21.95" customHeight="1" x14ac:dyDescent="0.15"/>
    <row r="48664" s="76" customFormat="1" ht="21.95" customHeight="1" x14ac:dyDescent="0.15"/>
    <row r="48665" s="76" customFormat="1" ht="21.95" customHeight="1" x14ac:dyDescent="0.15"/>
    <row r="48666" s="76" customFormat="1" ht="21.95" customHeight="1" x14ac:dyDescent="0.15"/>
    <row r="48667" s="76" customFormat="1" ht="21.95" customHeight="1" x14ac:dyDescent="0.15"/>
    <row r="48668" s="76" customFormat="1" ht="21.95" customHeight="1" x14ac:dyDescent="0.15"/>
    <row r="48669" s="76" customFormat="1" ht="21.95" customHeight="1" x14ac:dyDescent="0.15"/>
    <row r="48670" s="76" customFormat="1" ht="21.95" customHeight="1" x14ac:dyDescent="0.15"/>
    <row r="48671" s="76" customFormat="1" ht="21.95" customHeight="1" x14ac:dyDescent="0.15"/>
    <row r="48672" s="76" customFormat="1" ht="21.95" customHeight="1" x14ac:dyDescent="0.15"/>
    <row r="48673" s="76" customFormat="1" ht="21.95" customHeight="1" x14ac:dyDescent="0.15"/>
    <row r="48674" s="76" customFormat="1" ht="21.95" customHeight="1" x14ac:dyDescent="0.15"/>
    <row r="48675" s="76" customFormat="1" ht="21.95" customHeight="1" x14ac:dyDescent="0.15"/>
    <row r="48676" s="76" customFormat="1" ht="21.95" customHeight="1" x14ac:dyDescent="0.15"/>
    <row r="48677" s="76" customFormat="1" ht="21.95" customHeight="1" x14ac:dyDescent="0.15"/>
    <row r="48678" s="76" customFormat="1" ht="21.95" customHeight="1" x14ac:dyDescent="0.15"/>
    <row r="48679" s="76" customFormat="1" ht="21.95" customHeight="1" x14ac:dyDescent="0.15"/>
    <row r="48680" s="76" customFormat="1" ht="21.95" customHeight="1" x14ac:dyDescent="0.15"/>
    <row r="48681" s="76" customFormat="1" ht="21.95" customHeight="1" x14ac:dyDescent="0.15"/>
    <row r="48682" s="76" customFormat="1" ht="21.95" customHeight="1" x14ac:dyDescent="0.15"/>
    <row r="48683" s="76" customFormat="1" ht="21.95" customHeight="1" x14ac:dyDescent="0.15"/>
    <row r="48684" s="76" customFormat="1" ht="21.95" customHeight="1" x14ac:dyDescent="0.15"/>
    <row r="48685" s="76" customFormat="1" ht="21.95" customHeight="1" x14ac:dyDescent="0.15"/>
    <row r="48686" s="76" customFormat="1" ht="21.95" customHeight="1" x14ac:dyDescent="0.15"/>
    <row r="48687" s="76" customFormat="1" ht="21.95" customHeight="1" x14ac:dyDescent="0.15"/>
    <row r="48688" s="76" customFormat="1" ht="21.95" customHeight="1" x14ac:dyDescent="0.15"/>
    <row r="48689" s="76" customFormat="1" ht="21.95" customHeight="1" x14ac:dyDescent="0.15"/>
    <row r="48690" s="76" customFormat="1" ht="21.95" customHeight="1" x14ac:dyDescent="0.15"/>
    <row r="48691" s="76" customFormat="1" ht="21.95" customHeight="1" x14ac:dyDescent="0.15"/>
    <row r="48692" s="76" customFormat="1" ht="21.95" customHeight="1" x14ac:dyDescent="0.15"/>
    <row r="48693" s="76" customFormat="1" ht="21.95" customHeight="1" x14ac:dyDescent="0.15"/>
    <row r="48694" s="76" customFormat="1" ht="21.95" customHeight="1" x14ac:dyDescent="0.15"/>
    <row r="48695" s="76" customFormat="1" ht="21.95" customHeight="1" x14ac:dyDescent="0.15"/>
    <row r="48696" s="76" customFormat="1" ht="21.95" customHeight="1" x14ac:dyDescent="0.15"/>
    <row r="48697" s="76" customFormat="1" ht="35.1" customHeight="1" x14ac:dyDescent="0.15"/>
    <row r="48698" s="76" customFormat="1" ht="21.95" customHeight="1" x14ac:dyDescent="0.15"/>
    <row r="48699" s="76" customFormat="1" ht="21.95" customHeight="1" x14ac:dyDescent="0.15"/>
    <row r="48700" s="76" customFormat="1" ht="21.95" customHeight="1" x14ac:dyDescent="0.15"/>
    <row r="48701" s="76" customFormat="1" ht="21.95" customHeight="1" x14ac:dyDescent="0.15"/>
    <row r="48702" s="76" customFormat="1" ht="21.95" customHeight="1" x14ac:dyDescent="0.15"/>
    <row r="48703" s="76" customFormat="1" ht="21.95" customHeight="1" x14ac:dyDescent="0.15"/>
    <row r="48704" s="76" customFormat="1" ht="21.95" customHeight="1" x14ac:dyDescent="0.15"/>
    <row r="48705" s="76" customFormat="1" ht="21.95" customHeight="1" x14ac:dyDescent="0.15"/>
    <row r="48706" s="76" customFormat="1" ht="21.95" customHeight="1" x14ac:dyDescent="0.15"/>
    <row r="48707" s="76" customFormat="1" ht="21.95" customHeight="1" x14ac:dyDescent="0.15"/>
    <row r="48708" s="76" customFormat="1" ht="21.95" customHeight="1" x14ac:dyDescent="0.15"/>
    <row r="48709" s="76" customFormat="1" ht="21.95" customHeight="1" x14ac:dyDescent="0.15"/>
    <row r="48710" s="76" customFormat="1" ht="21.95" customHeight="1" x14ac:dyDescent="0.15"/>
    <row r="48711" s="76" customFormat="1" ht="21.95" customHeight="1" x14ac:dyDescent="0.15"/>
    <row r="48712" s="76" customFormat="1" ht="21.95" customHeight="1" x14ac:dyDescent="0.15"/>
    <row r="48713" s="76" customFormat="1" ht="21.95" customHeight="1" x14ac:dyDescent="0.15"/>
    <row r="48714" s="76" customFormat="1" ht="21.95" customHeight="1" x14ac:dyDescent="0.15"/>
    <row r="48715" s="76" customFormat="1" ht="21.95" customHeight="1" x14ac:dyDescent="0.15"/>
    <row r="48716" s="76" customFormat="1" ht="21.95" customHeight="1" x14ac:dyDescent="0.15"/>
    <row r="48717" s="76" customFormat="1" ht="21.95" customHeight="1" x14ac:dyDescent="0.15"/>
    <row r="48718" s="76" customFormat="1" ht="21.95" customHeight="1" x14ac:dyDescent="0.15"/>
    <row r="48719" s="76" customFormat="1" ht="21.95" customHeight="1" x14ac:dyDescent="0.15"/>
    <row r="48720" s="76" customFormat="1" ht="21.95" customHeight="1" x14ac:dyDescent="0.15"/>
    <row r="48721" spans="3:3" customFormat="1" ht="21.95" customHeight="1" x14ac:dyDescent="0.15"/>
    <row r="48722" spans="3:3" customFormat="1" ht="21.95" customHeight="1" x14ac:dyDescent="0.15"/>
    <row r="48723" spans="3:3" customFormat="1" ht="21.95" customHeight="1" x14ac:dyDescent="0.15">
      <c r="C48723" s="94"/>
    </row>
    <row r="48724" spans="3:3" customFormat="1" ht="21.95" customHeight="1" x14ac:dyDescent="0.15">
      <c r="C48724" s="94"/>
    </row>
    <row r="48725" spans="3:3" customFormat="1" ht="21.95" customHeight="1" x14ac:dyDescent="0.15"/>
    <row r="48726" spans="3:3" customFormat="1" ht="21.95" customHeight="1" x14ac:dyDescent="0.15"/>
    <row r="48727" spans="3:3" customFormat="1" ht="21.95" customHeight="1" x14ac:dyDescent="0.15"/>
    <row r="48728" spans="3:3" customFormat="1" ht="21.95" customHeight="1" x14ac:dyDescent="0.15"/>
    <row r="48729" spans="3:3" customFormat="1" ht="21.95" customHeight="1" x14ac:dyDescent="0.15"/>
    <row r="48730" spans="3:3" customFormat="1" ht="21.95" customHeight="1" x14ac:dyDescent="0.15"/>
    <row r="48731" spans="3:3" customFormat="1" ht="21.95" customHeight="1" x14ac:dyDescent="0.15"/>
    <row r="48732" spans="3:3" s="76" customFormat="1" ht="21.95" customHeight="1" x14ac:dyDescent="0.15"/>
    <row r="48733" spans="3:3" s="76" customFormat="1" ht="21.95" customHeight="1" x14ac:dyDescent="0.15"/>
    <row r="48734" spans="3:3" s="76" customFormat="1" ht="21.95" customHeight="1" x14ac:dyDescent="0.15"/>
    <row r="48735" spans="3:3" s="76" customFormat="1" ht="21.95" customHeight="1" x14ac:dyDescent="0.15"/>
    <row r="48736" spans="3:3" customFormat="1" ht="21.95" customHeight="1" x14ac:dyDescent="0.15"/>
    <row r="48737" customFormat="1" ht="21.95" customHeight="1" x14ac:dyDescent="0.15"/>
    <row r="48738" customFormat="1" ht="21.95" customHeight="1" x14ac:dyDescent="0.15"/>
    <row r="48739" customFormat="1" ht="21.95" customHeight="1" x14ac:dyDescent="0.15"/>
    <row r="48740" customFormat="1" ht="21.95" customHeight="1" x14ac:dyDescent="0.15"/>
    <row r="48741" customFormat="1" ht="21.95" customHeight="1" x14ac:dyDescent="0.15"/>
    <row r="48742" customFormat="1" ht="21.95" customHeight="1" x14ac:dyDescent="0.15"/>
    <row r="48743" customFormat="1" ht="21.95" customHeight="1" x14ac:dyDescent="0.15"/>
    <row r="48744" customFormat="1" ht="21.95" customHeight="1" x14ac:dyDescent="0.15"/>
    <row r="48745" customFormat="1" ht="21.95" customHeight="1" x14ac:dyDescent="0.15"/>
    <row r="48746" customFormat="1" ht="21.95" customHeight="1" x14ac:dyDescent="0.15"/>
    <row r="48747" customFormat="1" ht="32.1" customHeight="1" x14ac:dyDescent="0.15"/>
    <row r="48748" customFormat="1" ht="32.1" customHeight="1" x14ac:dyDescent="0.15"/>
    <row r="48749" customFormat="1" ht="32.1" customHeight="1" x14ac:dyDescent="0.15"/>
    <row r="48750" customFormat="1" ht="32.1" customHeight="1" x14ac:dyDescent="0.15"/>
    <row r="48751" customFormat="1" ht="32.1" customHeight="1" x14ac:dyDescent="0.15"/>
    <row r="48752" customFormat="1" ht="32.1" customHeight="1" x14ac:dyDescent="0.15"/>
    <row r="48753" s="76" customFormat="1" ht="32.1" customHeight="1" x14ac:dyDescent="0.15"/>
    <row r="48754" s="76" customFormat="1" ht="32.1" customHeight="1" x14ac:dyDescent="0.15"/>
    <row r="48755" s="76" customFormat="1" ht="32.1" customHeight="1" x14ac:dyDescent="0.15"/>
    <row r="48756" s="76" customFormat="1" ht="32.1" customHeight="1" x14ac:dyDescent="0.15"/>
    <row r="48757" s="76" customFormat="1" ht="21.95" customHeight="1" x14ac:dyDescent="0.15"/>
    <row r="48758" s="76" customFormat="1" ht="54" customHeight="1" x14ac:dyDescent="0.15"/>
    <row r="48759" s="76" customFormat="1" ht="21.95" customHeight="1" x14ac:dyDescent="0.15"/>
    <row r="48760" s="76" customFormat="1" ht="21.95" customHeight="1" x14ac:dyDescent="0.15"/>
    <row r="48761" s="76" customFormat="1" ht="21.95" customHeight="1" x14ac:dyDescent="0.15"/>
    <row r="48762" s="76" customFormat="1" ht="21.95" customHeight="1" x14ac:dyDescent="0.15"/>
    <row r="48763" s="76" customFormat="1" ht="21.95" customHeight="1" x14ac:dyDescent="0.15"/>
    <row r="48764" s="76" customFormat="1" ht="21.95" customHeight="1" x14ac:dyDescent="0.15"/>
    <row r="48765" s="76" customFormat="1" ht="21.95" customHeight="1" x14ac:dyDescent="0.15"/>
    <row r="48766" s="76" customFormat="1" ht="21.95" customHeight="1" x14ac:dyDescent="0.15"/>
    <row r="48767" s="76" customFormat="1" ht="21.95" customHeight="1" x14ac:dyDescent="0.15"/>
    <row r="48768" s="76" customFormat="1" ht="21.95" customHeight="1" x14ac:dyDescent="0.15"/>
    <row r="48769" s="76" customFormat="1" ht="21.95" customHeight="1" x14ac:dyDescent="0.15"/>
    <row r="48770" s="76" customFormat="1" ht="21.95" customHeight="1" x14ac:dyDescent="0.15"/>
    <row r="48771" s="76" customFormat="1" ht="21.95" customHeight="1" x14ac:dyDescent="0.15"/>
    <row r="48772" s="76" customFormat="1" ht="21.95" customHeight="1" x14ac:dyDescent="0.15"/>
    <row r="48773" s="76" customFormat="1" ht="21.95" customHeight="1" x14ac:dyDescent="0.15"/>
    <row r="48774" s="76" customFormat="1" ht="21.95" customHeight="1" x14ac:dyDescent="0.15"/>
    <row r="48775" s="76" customFormat="1" ht="21.95" customHeight="1" x14ac:dyDescent="0.15"/>
    <row r="48776" s="76" customFormat="1" ht="21.95" customHeight="1" x14ac:dyDescent="0.15"/>
    <row r="48777" s="76" customFormat="1" ht="21.95" customHeight="1" x14ac:dyDescent="0.15"/>
    <row r="48778" s="76" customFormat="1" ht="21.95" customHeight="1" x14ac:dyDescent="0.15"/>
    <row r="48779" s="76" customFormat="1" ht="21.95" customHeight="1" x14ac:dyDescent="0.15"/>
    <row r="48780" s="76" customFormat="1" ht="21.95" customHeight="1" x14ac:dyDescent="0.15"/>
    <row r="48781" s="76" customFormat="1" ht="21.95" customHeight="1" x14ac:dyDescent="0.15"/>
    <row r="48782" s="76" customFormat="1" ht="21.95" customHeight="1" x14ac:dyDescent="0.15"/>
    <row r="48783" s="76" customFormat="1" ht="21.95" customHeight="1" x14ac:dyDescent="0.15"/>
    <row r="48784" s="76" customFormat="1" ht="21.95" customHeight="1" x14ac:dyDescent="0.15"/>
    <row r="48785" s="76" customFormat="1" ht="21.95" customHeight="1" x14ac:dyDescent="0.15"/>
    <row r="48786" s="76" customFormat="1" ht="21.95" customHeight="1" x14ac:dyDescent="0.15"/>
    <row r="48787" s="76" customFormat="1" ht="21.95" customHeight="1" x14ac:dyDescent="0.15"/>
    <row r="48788" s="76" customFormat="1" ht="21.95" customHeight="1" x14ac:dyDescent="0.15"/>
    <row r="48789" s="76" customFormat="1" ht="21.95" customHeight="1" x14ac:dyDescent="0.15"/>
    <row r="48790" s="76" customFormat="1" ht="21.95" customHeight="1" x14ac:dyDescent="0.15"/>
    <row r="48791" s="76" customFormat="1" ht="21.95" customHeight="1" x14ac:dyDescent="0.15"/>
    <row r="48792" s="76" customFormat="1" ht="21.95" customHeight="1" x14ac:dyDescent="0.15"/>
    <row r="48793" s="76" customFormat="1" ht="21.95" customHeight="1" x14ac:dyDescent="0.15"/>
    <row r="48794" s="76" customFormat="1" ht="21.95" customHeight="1" x14ac:dyDescent="0.15"/>
    <row r="48795" s="76" customFormat="1" ht="21.95" customHeight="1" x14ac:dyDescent="0.15"/>
    <row r="48796" s="76" customFormat="1" ht="21.95" customHeight="1" x14ac:dyDescent="0.15"/>
    <row r="48797" s="76" customFormat="1" ht="21.95" customHeight="1" x14ac:dyDescent="0.15"/>
    <row r="48798" s="76" customFormat="1" ht="21.95" customHeight="1" x14ac:dyDescent="0.15"/>
    <row r="48799" s="76" customFormat="1" ht="21.95" customHeight="1" x14ac:dyDescent="0.15"/>
    <row r="48800" s="76" customFormat="1" ht="21.95" customHeight="1" x14ac:dyDescent="0.15"/>
    <row r="48801" s="76" customFormat="1" ht="21.95" customHeight="1" x14ac:dyDescent="0.15"/>
    <row r="48802" s="76" customFormat="1" ht="21.95" customHeight="1" x14ac:dyDescent="0.15"/>
    <row r="48803" s="76" customFormat="1" ht="21.95" customHeight="1" x14ac:dyDescent="0.15"/>
    <row r="48804" s="76" customFormat="1" ht="21.95" customHeight="1" x14ac:dyDescent="0.15"/>
    <row r="48805" s="76" customFormat="1" ht="21.95" customHeight="1" x14ac:dyDescent="0.15"/>
    <row r="48806" s="76" customFormat="1" ht="21.95" customHeight="1" x14ac:dyDescent="0.15"/>
    <row r="48807" s="76" customFormat="1" ht="21.95" customHeight="1" x14ac:dyDescent="0.15"/>
    <row r="48808" s="76" customFormat="1" ht="21.95" customHeight="1" x14ac:dyDescent="0.15"/>
    <row r="48809" s="76" customFormat="1" ht="35.1" customHeight="1" x14ac:dyDescent="0.15"/>
    <row r="48810" s="76" customFormat="1" ht="21.95" customHeight="1" x14ac:dyDescent="0.15"/>
    <row r="48811" s="76" customFormat="1" ht="21.95" customHeight="1" x14ac:dyDescent="0.15"/>
    <row r="48812" s="76" customFormat="1" ht="21.95" customHeight="1" x14ac:dyDescent="0.15"/>
    <row r="48813" s="76" customFormat="1" ht="21.95" customHeight="1" x14ac:dyDescent="0.15"/>
    <row r="48814" s="76" customFormat="1" ht="21.95" customHeight="1" x14ac:dyDescent="0.15"/>
    <row r="48815" s="76" customFormat="1" ht="21.95" customHeight="1" x14ac:dyDescent="0.15"/>
    <row r="48816" s="76" customFormat="1" ht="21.95" customHeight="1" x14ac:dyDescent="0.15"/>
    <row r="48817" s="76" customFormat="1" ht="21.95" customHeight="1" x14ac:dyDescent="0.15"/>
    <row r="48818" s="76" customFormat="1" ht="21.95" customHeight="1" x14ac:dyDescent="0.15"/>
    <row r="48819" s="76" customFormat="1" ht="21.95" customHeight="1" x14ac:dyDescent="0.15"/>
    <row r="48820" s="76" customFormat="1" ht="21.95" customHeight="1" x14ac:dyDescent="0.15"/>
    <row r="48821" s="76" customFormat="1" ht="21.95" customHeight="1" x14ac:dyDescent="0.15"/>
    <row r="48822" s="76" customFormat="1" ht="21.95" customHeight="1" x14ac:dyDescent="0.15"/>
    <row r="48823" s="76" customFormat="1" ht="21.95" customHeight="1" x14ac:dyDescent="0.15"/>
    <row r="48824" s="76" customFormat="1" ht="21.95" customHeight="1" x14ac:dyDescent="0.15"/>
    <row r="48825" s="76" customFormat="1" ht="21.95" customHeight="1" x14ac:dyDescent="0.15"/>
    <row r="48826" s="76" customFormat="1" ht="21.95" customHeight="1" x14ac:dyDescent="0.15"/>
    <row r="48827" s="76" customFormat="1" ht="21.95" customHeight="1" x14ac:dyDescent="0.15"/>
    <row r="48828" s="76" customFormat="1" ht="21.95" customHeight="1" x14ac:dyDescent="0.15"/>
    <row r="48829" s="76" customFormat="1" ht="21.95" customHeight="1" x14ac:dyDescent="0.15"/>
    <row r="48830" s="76" customFormat="1" ht="21.95" customHeight="1" x14ac:dyDescent="0.15"/>
    <row r="48831" s="76" customFormat="1" ht="21.95" customHeight="1" x14ac:dyDescent="0.15"/>
    <row r="48832" s="76" customFormat="1" ht="21.95" customHeight="1" x14ac:dyDescent="0.15"/>
    <row r="48833" spans="3:3" customFormat="1" ht="21.95" customHeight="1" x14ac:dyDescent="0.15"/>
    <row r="48834" spans="3:3" customFormat="1" ht="21.95" customHeight="1" x14ac:dyDescent="0.15"/>
    <row r="48835" spans="3:3" customFormat="1" ht="21.95" customHeight="1" x14ac:dyDescent="0.15">
      <c r="C48835" s="94"/>
    </row>
    <row r="48836" spans="3:3" customFormat="1" ht="21.95" customHeight="1" x14ac:dyDescent="0.15">
      <c r="C48836" s="94"/>
    </row>
    <row r="48837" spans="3:3" customFormat="1" ht="21.95" customHeight="1" x14ac:dyDescent="0.15"/>
    <row r="48838" spans="3:3" customFormat="1" ht="21.95" customHeight="1" x14ac:dyDescent="0.15"/>
    <row r="48839" spans="3:3" customFormat="1" ht="21.95" customHeight="1" x14ac:dyDescent="0.15"/>
    <row r="48840" spans="3:3" customFormat="1" ht="21.95" customHeight="1" x14ac:dyDescent="0.15"/>
    <row r="48841" spans="3:3" customFormat="1" ht="21.95" customHeight="1" x14ac:dyDescent="0.15"/>
    <row r="48842" spans="3:3" customFormat="1" ht="21.95" customHeight="1" x14ac:dyDescent="0.15"/>
    <row r="48843" spans="3:3" customFormat="1" ht="21.95" customHeight="1" x14ac:dyDescent="0.15"/>
    <row r="48844" spans="3:3" s="76" customFormat="1" ht="21.95" customHeight="1" x14ac:dyDescent="0.15"/>
    <row r="48845" spans="3:3" s="76" customFormat="1" ht="21.95" customHeight="1" x14ac:dyDescent="0.15"/>
    <row r="48846" spans="3:3" s="76" customFormat="1" ht="21.95" customHeight="1" x14ac:dyDescent="0.15"/>
    <row r="48847" spans="3:3" s="76" customFormat="1" ht="21.95" customHeight="1" x14ac:dyDescent="0.15"/>
    <row r="48848" spans="3:3" customFormat="1" ht="21.95" customHeight="1" x14ac:dyDescent="0.15"/>
    <row r="48849" customFormat="1" ht="21.95" customHeight="1" x14ac:dyDescent="0.15"/>
    <row r="48850" customFormat="1" ht="21.95" customHeight="1" x14ac:dyDescent="0.15"/>
    <row r="48851" customFormat="1" ht="21.95" customHeight="1" x14ac:dyDescent="0.15"/>
    <row r="48852" customFormat="1" ht="21.95" customHeight="1" x14ac:dyDescent="0.15"/>
    <row r="48853" customFormat="1" ht="21.95" customHeight="1" x14ac:dyDescent="0.15"/>
    <row r="48854" customFormat="1" ht="21.95" customHeight="1" x14ac:dyDescent="0.15"/>
    <row r="48855" customFormat="1" ht="21.95" customHeight="1" x14ac:dyDescent="0.15"/>
    <row r="48856" customFormat="1" ht="21.95" customHeight="1" x14ac:dyDescent="0.15"/>
    <row r="48857" customFormat="1" ht="21.95" customHeight="1" x14ac:dyDescent="0.15"/>
    <row r="48858" customFormat="1" ht="21.95" customHeight="1" x14ac:dyDescent="0.15"/>
    <row r="48859" customFormat="1" ht="32.1" customHeight="1" x14ac:dyDescent="0.15"/>
    <row r="48860" customFormat="1" ht="32.1" customHeight="1" x14ac:dyDescent="0.15"/>
    <row r="48861" customFormat="1" ht="32.1" customHeight="1" x14ac:dyDescent="0.15"/>
    <row r="48862" customFormat="1" ht="32.1" customHeight="1" x14ac:dyDescent="0.15"/>
    <row r="48863" customFormat="1" ht="32.1" customHeight="1" x14ac:dyDescent="0.15"/>
    <row r="48864" customFormat="1" ht="32.1" customHeight="1" x14ac:dyDescent="0.15"/>
    <row r="48865" s="76" customFormat="1" ht="32.1" customHeight="1" x14ac:dyDescent="0.15"/>
    <row r="48866" s="76" customFormat="1" ht="32.1" customHeight="1" x14ac:dyDescent="0.15"/>
    <row r="48867" s="76" customFormat="1" ht="32.1" customHeight="1" x14ac:dyDescent="0.15"/>
    <row r="48868" s="76" customFormat="1" ht="32.1" customHeight="1" x14ac:dyDescent="0.15"/>
    <row r="48869" s="76" customFormat="1" ht="21.95" customHeight="1" x14ac:dyDescent="0.15"/>
    <row r="48870" s="76" customFormat="1" ht="54" customHeight="1" x14ac:dyDescent="0.15"/>
    <row r="48871" s="76" customFormat="1" ht="21.95" customHeight="1" x14ac:dyDescent="0.15"/>
    <row r="48872" s="76" customFormat="1" ht="21.95" customHeight="1" x14ac:dyDescent="0.15"/>
    <row r="48873" s="76" customFormat="1" ht="21.95" customHeight="1" x14ac:dyDescent="0.15"/>
    <row r="48874" s="76" customFormat="1" ht="21.95" customHeight="1" x14ac:dyDescent="0.15"/>
    <row r="48875" s="76" customFormat="1" ht="21.95" customHeight="1" x14ac:dyDescent="0.15"/>
    <row r="48876" s="76" customFormat="1" ht="21.95" customHeight="1" x14ac:dyDescent="0.15"/>
    <row r="48877" s="76" customFormat="1" ht="21.95" customHeight="1" x14ac:dyDescent="0.15"/>
    <row r="48878" s="76" customFormat="1" ht="21.95" customHeight="1" x14ac:dyDescent="0.15"/>
    <row r="48879" s="76" customFormat="1" ht="21.95" customHeight="1" x14ac:dyDescent="0.15"/>
    <row r="48880" s="76" customFormat="1" ht="21.95" customHeight="1" x14ac:dyDescent="0.15"/>
    <row r="48881" s="76" customFormat="1" ht="21.95" customHeight="1" x14ac:dyDescent="0.15"/>
    <row r="48882" s="76" customFormat="1" ht="21.95" customHeight="1" x14ac:dyDescent="0.15"/>
    <row r="48883" s="76" customFormat="1" ht="21.95" customHeight="1" x14ac:dyDescent="0.15"/>
    <row r="48884" s="76" customFormat="1" ht="21.95" customHeight="1" x14ac:dyDescent="0.15"/>
    <row r="48885" s="76" customFormat="1" ht="21.95" customHeight="1" x14ac:dyDescent="0.15"/>
    <row r="48886" s="76" customFormat="1" ht="21.95" customHeight="1" x14ac:dyDescent="0.15"/>
    <row r="48887" s="76" customFormat="1" ht="21.95" customHeight="1" x14ac:dyDescent="0.15"/>
    <row r="48888" s="76" customFormat="1" ht="21.95" customHeight="1" x14ac:dyDescent="0.15"/>
    <row r="48889" s="76" customFormat="1" ht="21.95" customHeight="1" x14ac:dyDescent="0.15"/>
    <row r="48890" s="76" customFormat="1" ht="21.95" customHeight="1" x14ac:dyDescent="0.15"/>
    <row r="48891" s="76" customFormat="1" ht="21.95" customHeight="1" x14ac:dyDescent="0.15"/>
    <row r="48892" s="76" customFormat="1" ht="21.95" customHeight="1" x14ac:dyDescent="0.15"/>
    <row r="48893" s="76" customFormat="1" ht="21.95" customHeight="1" x14ac:dyDescent="0.15"/>
    <row r="48894" s="76" customFormat="1" ht="21.95" customHeight="1" x14ac:dyDescent="0.15"/>
    <row r="48895" s="76" customFormat="1" ht="21.95" customHeight="1" x14ac:dyDescent="0.15"/>
    <row r="48896" s="76" customFormat="1" ht="21.95" customHeight="1" x14ac:dyDescent="0.15"/>
    <row r="48897" s="76" customFormat="1" ht="21.95" customHeight="1" x14ac:dyDescent="0.15"/>
    <row r="48898" s="76" customFormat="1" ht="21.95" customHeight="1" x14ac:dyDescent="0.15"/>
    <row r="48899" s="76" customFormat="1" ht="21.95" customHeight="1" x14ac:dyDescent="0.15"/>
    <row r="48900" s="76" customFormat="1" ht="21.95" customHeight="1" x14ac:dyDescent="0.15"/>
    <row r="48901" s="76" customFormat="1" ht="21.95" customHeight="1" x14ac:dyDescent="0.15"/>
    <row r="48902" s="76" customFormat="1" ht="21.95" customHeight="1" x14ac:dyDescent="0.15"/>
    <row r="48903" s="76" customFormat="1" ht="21.95" customHeight="1" x14ac:dyDescent="0.15"/>
    <row r="48904" s="76" customFormat="1" ht="21.95" customHeight="1" x14ac:dyDescent="0.15"/>
    <row r="48905" s="76" customFormat="1" ht="21.95" customHeight="1" x14ac:dyDescent="0.15"/>
    <row r="48906" s="76" customFormat="1" ht="21.95" customHeight="1" x14ac:dyDescent="0.15"/>
    <row r="48907" s="76" customFormat="1" ht="21.95" customHeight="1" x14ac:dyDescent="0.15"/>
    <row r="48908" s="76" customFormat="1" ht="21.95" customHeight="1" x14ac:dyDescent="0.15"/>
    <row r="48909" s="76" customFormat="1" ht="21.95" customHeight="1" x14ac:dyDescent="0.15"/>
    <row r="48910" s="76" customFormat="1" ht="21.95" customHeight="1" x14ac:dyDescent="0.15"/>
    <row r="48911" s="76" customFormat="1" ht="21.95" customHeight="1" x14ac:dyDescent="0.15"/>
    <row r="48912" s="76" customFormat="1" ht="21.95" customHeight="1" x14ac:dyDescent="0.15"/>
    <row r="48913" s="76" customFormat="1" ht="21.95" customHeight="1" x14ac:dyDescent="0.15"/>
    <row r="48914" s="76" customFormat="1" ht="21.95" customHeight="1" x14ac:dyDescent="0.15"/>
    <row r="48915" s="76" customFormat="1" ht="21.95" customHeight="1" x14ac:dyDescent="0.15"/>
    <row r="48916" s="76" customFormat="1" ht="21.95" customHeight="1" x14ac:dyDescent="0.15"/>
    <row r="48917" s="76" customFormat="1" ht="21.95" customHeight="1" x14ac:dyDescent="0.15"/>
    <row r="48918" s="76" customFormat="1" ht="21.95" customHeight="1" x14ac:dyDescent="0.15"/>
    <row r="48919" s="76" customFormat="1" ht="21.95" customHeight="1" x14ac:dyDescent="0.15"/>
    <row r="48920" s="76" customFormat="1" ht="21.95" customHeight="1" x14ac:dyDescent="0.15"/>
    <row r="48921" s="76" customFormat="1" ht="35.1" customHeight="1" x14ac:dyDescent="0.15"/>
    <row r="48922" s="76" customFormat="1" ht="21.95" customHeight="1" x14ac:dyDescent="0.15"/>
    <row r="48923" s="76" customFormat="1" ht="21.95" customHeight="1" x14ac:dyDescent="0.15"/>
    <row r="48924" s="76" customFormat="1" ht="21.95" customHeight="1" x14ac:dyDescent="0.15"/>
    <row r="48925" s="76" customFormat="1" ht="21.95" customHeight="1" x14ac:dyDescent="0.15"/>
    <row r="48926" s="76" customFormat="1" ht="21.95" customHeight="1" x14ac:dyDescent="0.15"/>
    <row r="48927" s="76" customFormat="1" ht="21.95" customHeight="1" x14ac:dyDescent="0.15"/>
    <row r="48928" s="76" customFormat="1" ht="21.95" customHeight="1" x14ac:dyDescent="0.15"/>
    <row r="48929" s="76" customFormat="1" ht="21.95" customHeight="1" x14ac:dyDescent="0.15"/>
    <row r="48930" s="76" customFormat="1" ht="21.95" customHeight="1" x14ac:dyDescent="0.15"/>
    <row r="48931" s="76" customFormat="1" ht="21.95" customHeight="1" x14ac:dyDescent="0.15"/>
    <row r="48932" s="76" customFormat="1" ht="21.95" customHeight="1" x14ac:dyDescent="0.15"/>
    <row r="48933" s="76" customFormat="1" ht="21.95" customHeight="1" x14ac:dyDescent="0.15"/>
    <row r="48934" s="76" customFormat="1" ht="21.95" customHeight="1" x14ac:dyDescent="0.15"/>
    <row r="48935" s="76" customFormat="1" ht="21.95" customHeight="1" x14ac:dyDescent="0.15"/>
    <row r="48936" s="76" customFormat="1" ht="21.95" customHeight="1" x14ac:dyDescent="0.15"/>
    <row r="48937" s="76" customFormat="1" ht="21.95" customHeight="1" x14ac:dyDescent="0.15"/>
    <row r="48938" s="76" customFormat="1" ht="21.95" customHeight="1" x14ac:dyDescent="0.15"/>
    <row r="48939" s="76" customFormat="1" ht="21.95" customHeight="1" x14ac:dyDescent="0.15"/>
    <row r="48940" s="76" customFormat="1" ht="21.95" customHeight="1" x14ac:dyDescent="0.15"/>
    <row r="48941" s="76" customFormat="1" ht="21.95" customHeight="1" x14ac:dyDescent="0.15"/>
    <row r="48942" s="76" customFormat="1" ht="21.95" customHeight="1" x14ac:dyDescent="0.15"/>
    <row r="48943" s="76" customFormat="1" ht="21.95" customHeight="1" x14ac:dyDescent="0.15"/>
    <row r="48944" s="76" customFormat="1" ht="21.95" customHeight="1" x14ac:dyDescent="0.15"/>
    <row r="48945" spans="3:3" customFormat="1" ht="21.95" customHeight="1" x14ac:dyDescent="0.15"/>
    <row r="48946" spans="3:3" customFormat="1" ht="21.95" customHeight="1" x14ac:dyDescent="0.15"/>
    <row r="48947" spans="3:3" customFormat="1" ht="21.95" customHeight="1" x14ac:dyDescent="0.15">
      <c r="C48947" s="94"/>
    </row>
    <row r="48948" spans="3:3" customFormat="1" ht="21.95" customHeight="1" x14ac:dyDescent="0.15">
      <c r="C48948" s="94"/>
    </row>
    <row r="48949" spans="3:3" customFormat="1" ht="21.95" customHeight="1" x14ac:dyDescent="0.15"/>
    <row r="48950" spans="3:3" customFormat="1" ht="21.95" customHeight="1" x14ac:dyDescent="0.15"/>
    <row r="48951" spans="3:3" customFormat="1" ht="21.95" customHeight="1" x14ac:dyDescent="0.15"/>
    <row r="48952" spans="3:3" customFormat="1" ht="21.95" customHeight="1" x14ac:dyDescent="0.15"/>
    <row r="48953" spans="3:3" customFormat="1" ht="21.95" customHeight="1" x14ac:dyDescent="0.15"/>
    <row r="48954" spans="3:3" customFormat="1" ht="21.95" customHeight="1" x14ac:dyDescent="0.15"/>
    <row r="48955" spans="3:3" customFormat="1" ht="21.95" customHeight="1" x14ac:dyDescent="0.15"/>
    <row r="48956" spans="3:3" s="76" customFormat="1" ht="21.95" customHeight="1" x14ac:dyDescent="0.15"/>
    <row r="48957" spans="3:3" s="76" customFormat="1" ht="21.95" customHeight="1" x14ac:dyDescent="0.15"/>
    <row r="48958" spans="3:3" s="76" customFormat="1" ht="21.95" customHeight="1" x14ac:dyDescent="0.15"/>
    <row r="48959" spans="3:3" s="76" customFormat="1" ht="21.95" customHeight="1" x14ac:dyDescent="0.15"/>
    <row r="48960" spans="3:3" customFormat="1" ht="21.95" customHeight="1" x14ac:dyDescent="0.15"/>
    <row r="48961" customFormat="1" ht="21.95" customHeight="1" x14ac:dyDescent="0.15"/>
    <row r="48962" customFormat="1" ht="21.95" customHeight="1" x14ac:dyDescent="0.15"/>
    <row r="48963" customFormat="1" ht="21.95" customHeight="1" x14ac:dyDescent="0.15"/>
    <row r="48964" customFormat="1" ht="21.95" customHeight="1" x14ac:dyDescent="0.15"/>
    <row r="48965" customFormat="1" ht="21.95" customHeight="1" x14ac:dyDescent="0.15"/>
    <row r="48966" customFormat="1" ht="21.95" customHeight="1" x14ac:dyDescent="0.15"/>
    <row r="48967" customFormat="1" ht="21.95" customHeight="1" x14ac:dyDescent="0.15"/>
    <row r="48968" customFormat="1" ht="21.95" customHeight="1" x14ac:dyDescent="0.15"/>
    <row r="48969" customFormat="1" ht="21.95" customHeight="1" x14ac:dyDescent="0.15"/>
    <row r="48970" customFormat="1" ht="21.95" customHeight="1" x14ac:dyDescent="0.15"/>
    <row r="48971" customFormat="1" ht="32.1" customHeight="1" x14ac:dyDescent="0.15"/>
    <row r="48972" customFormat="1" ht="32.1" customHeight="1" x14ac:dyDescent="0.15"/>
    <row r="48973" customFormat="1" ht="32.1" customHeight="1" x14ac:dyDescent="0.15"/>
    <row r="48974" customFormat="1" ht="32.1" customHeight="1" x14ac:dyDescent="0.15"/>
    <row r="48975" customFormat="1" ht="32.1" customHeight="1" x14ac:dyDescent="0.15"/>
    <row r="48976" customFormat="1" ht="32.1" customHeight="1" x14ac:dyDescent="0.15"/>
    <row r="48977" s="76" customFormat="1" ht="32.1" customHeight="1" x14ac:dyDescent="0.15"/>
    <row r="48978" s="76" customFormat="1" ht="32.1" customHeight="1" x14ac:dyDescent="0.15"/>
    <row r="48979" s="76" customFormat="1" ht="32.1" customHeight="1" x14ac:dyDescent="0.15"/>
    <row r="48980" s="76" customFormat="1" ht="32.1" customHeight="1" x14ac:dyDescent="0.15"/>
    <row r="48981" s="76" customFormat="1" ht="21.95" customHeight="1" x14ac:dyDescent="0.15"/>
    <row r="48982" s="76" customFormat="1" ht="54" customHeight="1" x14ac:dyDescent="0.15"/>
    <row r="48983" s="76" customFormat="1" ht="21.95" customHeight="1" x14ac:dyDescent="0.15"/>
    <row r="48984" s="76" customFormat="1" ht="21.95" customHeight="1" x14ac:dyDescent="0.15"/>
    <row r="48985" s="76" customFormat="1" ht="21.95" customHeight="1" x14ac:dyDescent="0.15"/>
    <row r="48986" s="76" customFormat="1" ht="21.95" customHeight="1" x14ac:dyDescent="0.15"/>
    <row r="48987" s="76" customFormat="1" ht="21.95" customHeight="1" x14ac:dyDescent="0.15"/>
    <row r="48988" s="76" customFormat="1" ht="21.95" customHeight="1" x14ac:dyDescent="0.15"/>
    <row r="48989" s="76" customFormat="1" ht="21.95" customHeight="1" x14ac:dyDescent="0.15"/>
    <row r="48990" s="76" customFormat="1" ht="21.95" customHeight="1" x14ac:dyDescent="0.15"/>
    <row r="48991" s="76" customFormat="1" ht="21.95" customHeight="1" x14ac:dyDescent="0.15"/>
    <row r="48992" s="76" customFormat="1" ht="21.95" customHeight="1" x14ac:dyDescent="0.15"/>
    <row r="48993" s="76" customFormat="1" ht="21.95" customHeight="1" x14ac:dyDescent="0.15"/>
    <row r="48994" s="76" customFormat="1" ht="21.95" customHeight="1" x14ac:dyDescent="0.15"/>
    <row r="48995" s="76" customFormat="1" ht="21.95" customHeight="1" x14ac:dyDescent="0.15"/>
    <row r="48996" s="76" customFormat="1" ht="21.95" customHeight="1" x14ac:dyDescent="0.15"/>
    <row r="48997" s="76" customFormat="1" ht="21.95" customHeight="1" x14ac:dyDescent="0.15"/>
    <row r="48998" s="76" customFormat="1" ht="21.95" customHeight="1" x14ac:dyDescent="0.15"/>
    <row r="48999" s="76" customFormat="1" ht="21.95" customHeight="1" x14ac:dyDescent="0.15"/>
    <row r="49000" s="76" customFormat="1" ht="21.95" customHeight="1" x14ac:dyDescent="0.15"/>
    <row r="49001" s="76" customFormat="1" ht="21.95" customHeight="1" x14ac:dyDescent="0.15"/>
    <row r="49002" s="76" customFormat="1" ht="21.95" customHeight="1" x14ac:dyDescent="0.15"/>
    <row r="49003" s="76" customFormat="1" ht="21.95" customHeight="1" x14ac:dyDescent="0.15"/>
    <row r="49004" s="76" customFormat="1" ht="21.95" customHeight="1" x14ac:dyDescent="0.15"/>
    <row r="49005" s="76" customFormat="1" ht="21.95" customHeight="1" x14ac:dyDescent="0.15"/>
    <row r="49006" s="76" customFormat="1" ht="21.95" customHeight="1" x14ac:dyDescent="0.15"/>
    <row r="49007" s="76" customFormat="1" ht="21.95" customHeight="1" x14ac:dyDescent="0.15"/>
    <row r="49008" s="76" customFormat="1" ht="21.95" customHeight="1" x14ac:dyDescent="0.15"/>
    <row r="49009" s="76" customFormat="1" ht="21.95" customHeight="1" x14ac:dyDescent="0.15"/>
    <row r="49010" s="76" customFormat="1" ht="21.95" customHeight="1" x14ac:dyDescent="0.15"/>
    <row r="49011" s="76" customFormat="1" ht="21.95" customHeight="1" x14ac:dyDescent="0.15"/>
    <row r="49012" s="76" customFormat="1" ht="21.95" customHeight="1" x14ac:dyDescent="0.15"/>
    <row r="49013" s="76" customFormat="1" ht="21.95" customHeight="1" x14ac:dyDescent="0.15"/>
    <row r="49014" s="76" customFormat="1" ht="21.95" customHeight="1" x14ac:dyDescent="0.15"/>
    <row r="49015" s="76" customFormat="1" ht="21.95" customHeight="1" x14ac:dyDescent="0.15"/>
    <row r="49016" s="76" customFormat="1" ht="21.95" customHeight="1" x14ac:dyDescent="0.15"/>
    <row r="49017" s="76" customFormat="1" ht="21.95" customHeight="1" x14ac:dyDescent="0.15"/>
    <row r="49018" s="76" customFormat="1" ht="21.95" customHeight="1" x14ac:dyDescent="0.15"/>
    <row r="49019" s="76" customFormat="1" ht="21.95" customHeight="1" x14ac:dyDescent="0.15"/>
    <row r="49020" s="76" customFormat="1" ht="21.95" customHeight="1" x14ac:dyDescent="0.15"/>
    <row r="49021" s="76" customFormat="1" ht="21.95" customHeight="1" x14ac:dyDescent="0.15"/>
    <row r="49022" s="76" customFormat="1" ht="21.95" customHeight="1" x14ac:dyDescent="0.15"/>
    <row r="49023" s="76" customFormat="1" ht="21.95" customHeight="1" x14ac:dyDescent="0.15"/>
    <row r="49024" s="76" customFormat="1" ht="21.95" customHeight="1" x14ac:dyDescent="0.15"/>
    <row r="49025" s="76" customFormat="1" ht="21.95" customHeight="1" x14ac:dyDescent="0.15"/>
    <row r="49026" s="76" customFormat="1" ht="21.95" customHeight="1" x14ac:dyDescent="0.15"/>
    <row r="49027" s="76" customFormat="1" ht="21.95" customHeight="1" x14ac:dyDescent="0.15"/>
    <row r="49028" s="76" customFormat="1" ht="21.95" customHeight="1" x14ac:dyDescent="0.15"/>
    <row r="49029" s="76" customFormat="1" ht="21.95" customHeight="1" x14ac:dyDescent="0.15"/>
    <row r="49030" s="76" customFormat="1" ht="21.95" customHeight="1" x14ac:dyDescent="0.15"/>
    <row r="49031" s="76" customFormat="1" ht="21.95" customHeight="1" x14ac:dyDescent="0.15"/>
    <row r="49032" s="76" customFormat="1" ht="21.95" customHeight="1" x14ac:dyDescent="0.15"/>
    <row r="49033" s="76" customFormat="1" ht="35.1" customHeight="1" x14ac:dyDescent="0.15"/>
    <row r="49034" s="76" customFormat="1" ht="21.95" customHeight="1" x14ac:dyDescent="0.15"/>
    <row r="49035" s="76" customFormat="1" ht="21.95" customHeight="1" x14ac:dyDescent="0.15"/>
    <row r="49036" s="76" customFormat="1" ht="21.95" customHeight="1" x14ac:dyDescent="0.15"/>
    <row r="49037" s="76" customFormat="1" ht="21.95" customHeight="1" x14ac:dyDescent="0.15"/>
    <row r="49038" s="76" customFormat="1" ht="21.95" customHeight="1" x14ac:dyDescent="0.15"/>
    <row r="49039" s="76" customFormat="1" ht="21.95" customHeight="1" x14ac:dyDescent="0.15"/>
    <row r="49040" s="76" customFormat="1" ht="21.95" customHeight="1" x14ac:dyDescent="0.15"/>
    <row r="49041" s="76" customFormat="1" ht="21.95" customHeight="1" x14ac:dyDescent="0.15"/>
    <row r="49042" s="76" customFormat="1" ht="21.95" customHeight="1" x14ac:dyDescent="0.15"/>
    <row r="49043" s="76" customFormat="1" ht="21.95" customHeight="1" x14ac:dyDescent="0.15"/>
    <row r="49044" s="76" customFormat="1" ht="21.95" customHeight="1" x14ac:dyDescent="0.15"/>
    <row r="49045" s="76" customFormat="1" ht="21.95" customHeight="1" x14ac:dyDescent="0.15"/>
    <row r="49046" s="76" customFormat="1" ht="21.95" customHeight="1" x14ac:dyDescent="0.15"/>
    <row r="49047" s="76" customFormat="1" ht="21.95" customHeight="1" x14ac:dyDescent="0.15"/>
    <row r="49048" s="76" customFormat="1" ht="21.95" customHeight="1" x14ac:dyDescent="0.15"/>
    <row r="49049" s="76" customFormat="1" ht="21.95" customHeight="1" x14ac:dyDescent="0.15"/>
    <row r="49050" s="76" customFormat="1" ht="21.95" customHeight="1" x14ac:dyDescent="0.15"/>
    <row r="49051" s="76" customFormat="1" ht="21.95" customHeight="1" x14ac:dyDescent="0.15"/>
    <row r="49052" s="76" customFormat="1" ht="21.95" customHeight="1" x14ac:dyDescent="0.15"/>
    <row r="49053" s="76" customFormat="1" ht="21.95" customHeight="1" x14ac:dyDescent="0.15"/>
    <row r="49054" s="76" customFormat="1" ht="21.95" customHeight="1" x14ac:dyDescent="0.15"/>
    <row r="49055" s="76" customFormat="1" ht="21.95" customHeight="1" x14ac:dyDescent="0.15"/>
    <row r="49056" s="76" customFormat="1" ht="21.95" customHeight="1" x14ac:dyDescent="0.15"/>
    <row r="49057" spans="3:3" customFormat="1" ht="21.95" customHeight="1" x14ac:dyDescent="0.15"/>
    <row r="49058" spans="3:3" customFormat="1" ht="21.95" customHeight="1" x14ac:dyDescent="0.15"/>
    <row r="49059" spans="3:3" customFormat="1" ht="21.95" customHeight="1" x14ac:dyDescent="0.15">
      <c r="C49059" s="94"/>
    </row>
    <row r="49060" spans="3:3" customFormat="1" ht="21.95" customHeight="1" x14ac:dyDescent="0.15">
      <c r="C49060" s="94"/>
    </row>
    <row r="49061" spans="3:3" customFormat="1" ht="21.95" customHeight="1" x14ac:dyDescent="0.15"/>
    <row r="49062" spans="3:3" customFormat="1" ht="21.95" customHeight="1" x14ac:dyDescent="0.15"/>
    <row r="49063" spans="3:3" customFormat="1" ht="21.95" customHeight="1" x14ac:dyDescent="0.15"/>
    <row r="49064" spans="3:3" customFormat="1" ht="21.95" customHeight="1" x14ac:dyDescent="0.15"/>
    <row r="49065" spans="3:3" customFormat="1" ht="21.95" customHeight="1" x14ac:dyDescent="0.15"/>
    <row r="49066" spans="3:3" customFormat="1" ht="21.95" customHeight="1" x14ac:dyDescent="0.15"/>
    <row r="49067" spans="3:3" customFormat="1" ht="21.95" customHeight="1" x14ac:dyDescent="0.15"/>
    <row r="49068" spans="3:3" s="76" customFormat="1" ht="21.95" customHeight="1" x14ac:dyDescent="0.15"/>
    <row r="49069" spans="3:3" s="76" customFormat="1" ht="21.95" customHeight="1" x14ac:dyDescent="0.15"/>
    <row r="49070" spans="3:3" s="76" customFormat="1" ht="21.95" customHeight="1" x14ac:dyDescent="0.15"/>
    <row r="49071" spans="3:3" s="76" customFormat="1" ht="21.95" customHeight="1" x14ac:dyDescent="0.15"/>
    <row r="49072" spans="3:3" customFormat="1" ht="21.95" customHeight="1" x14ac:dyDescent="0.15"/>
    <row r="49073" customFormat="1" ht="21.95" customHeight="1" x14ac:dyDescent="0.15"/>
    <row r="49074" customFormat="1" ht="21.95" customHeight="1" x14ac:dyDescent="0.15"/>
    <row r="49075" customFormat="1" ht="21.95" customHeight="1" x14ac:dyDescent="0.15"/>
    <row r="49076" customFormat="1" ht="21.95" customHeight="1" x14ac:dyDescent="0.15"/>
    <row r="49077" customFormat="1" ht="21.95" customHeight="1" x14ac:dyDescent="0.15"/>
    <row r="49078" customFormat="1" ht="21.95" customHeight="1" x14ac:dyDescent="0.15"/>
    <row r="49079" customFormat="1" ht="21.95" customHeight="1" x14ac:dyDescent="0.15"/>
    <row r="49080" customFormat="1" ht="21.95" customHeight="1" x14ac:dyDescent="0.15"/>
    <row r="49081" customFormat="1" ht="21.95" customHeight="1" x14ac:dyDescent="0.15"/>
    <row r="49082" customFormat="1" ht="21.95" customHeight="1" x14ac:dyDescent="0.15"/>
    <row r="49083" customFormat="1" ht="32.1" customHeight="1" x14ac:dyDescent="0.15"/>
    <row r="49084" customFormat="1" ht="32.1" customHeight="1" x14ac:dyDescent="0.15"/>
    <row r="49085" customFormat="1" ht="32.1" customHeight="1" x14ac:dyDescent="0.15"/>
    <row r="49086" customFormat="1" ht="32.1" customHeight="1" x14ac:dyDescent="0.15"/>
    <row r="49087" customFormat="1" ht="32.1" customHeight="1" x14ac:dyDescent="0.15"/>
    <row r="49088" customFormat="1" ht="32.1" customHeight="1" x14ac:dyDescent="0.15"/>
    <row r="49089" s="76" customFormat="1" ht="32.1" customHeight="1" x14ac:dyDescent="0.15"/>
    <row r="49090" s="76" customFormat="1" ht="32.1" customHeight="1" x14ac:dyDescent="0.15"/>
    <row r="49091" s="76" customFormat="1" ht="32.1" customHeight="1" x14ac:dyDescent="0.15"/>
    <row r="49092" s="76" customFormat="1" ht="32.1" customHeight="1" x14ac:dyDescent="0.15"/>
    <row r="49093" s="76" customFormat="1" ht="21.95" customHeight="1" x14ac:dyDescent="0.15"/>
    <row r="49094" s="76" customFormat="1" ht="54" customHeight="1" x14ac:dyDescent="0.15"/>
    <row r="49095" s="76" customFormat="1" ht="21.95" customHeight="1" x14ac:dyDescent="0.15"/>
    <row r="49096" s="76" customFormat="1" ht="21.95" customHeight="1" x14ac:dyDescent="0.15"/>
    <row r="49097" s="76" customFormat="1" ht="21.95" customHeight="1" x14ac:dyDescent="0.15"/>
    <row r="49098" s="76" customFormat="1" ht="21.95" customHeight="1" x14ac:dyDescent="0.15"/>
    <row r="49099" s="76" customFormat="1" ht="21.95" customHeight="1" x14ac:dyDescent="0.15"/>
    <row r="49100" s="76" customFormat="1" ht="21.95" customHeight="1" x14ac:dyDescent="0.15"/>
    <row r="49101" s="76" customFormat="1" ht="21.95" customHeight="1" x14ac:dyDescent="0.15"/>
    <row r="49102" s="76" customFormat="1" ht="21.95" customHeight="1" x14ac:dyDescent="0.15"/>
    <row r="49103" s="76" customFormat="1" ht="21.95" customHeight="1" x14ac:dyDescent="0.15"/>
    <row r="49104" s="76" customFormat="1" ht="21.95" customHeight="1" x14ac:dyDescent="0.15"/>
    <row r="49105" s="76" customFormat="1" ht="21.95" customHeight="1" x14ac:dyDescent="0.15"/>
    <row r="49106" s="76" customFormat="1" ht="21.95" customHeight="1" x14ac:dyDescent="0.15"/>
    <row r="49107" s="76" customFormat="1" ht="21.95" customHeight="1" x14ac:dyDescent="0.15"/>
    <row r="49108" s="76" customFormat="1" ht="21.95" customHeight="1" x14ac:dyDescent="0.15"/>
    <row r="49109" s="76" customFormat="1" ht="21.95" customHeight="1" x14ac:dyDescent="0.15"/>
    <row r="49110" s="76" customFormat="1" ht="21.95" customHeight="1" x14ac:dyDescent="0.15"/>
    <row r="49111" s="76" customFormat="1" ht="21.95" customHeight="1" x14ac:dyDescent="0.15"/>
    <row r="49112" s="76" customFormat="1" ht="21.95" customHeight="1" x14ac:dyDescent="0.15"/>
    <row r="49113" s="76" customFormat="1" ht="21.95" customHeight="1" x14ac:dyDescent="0.15"/>
    <row r="49114" s="76" customFormat="1" ht="21.95" customHeight="1" x14ac:dyDescent="0.15"/>
    <row r="49115" s="76" customFormat="1" ht="21.95" customHeight="1" x14ac:dyDescent="0.15"/>
    <row r="49116" s="76" customFormat="1" ht="21.95" customHeight="1" x14ac:dyDescent="0.15"/>
    <row r="49117" s="76" customFormat="1" ht="21.95" customHeight="1" x14ac:dyDescent="0.15"/>
    <row r="49118" s="76" customFormat="1" ht="21.95" customHeight="1" x14ac:dyDescent="0.15"/>
    <row r="49119" s="76" customFormat="1" ht="21.95" customHeight="1" x14ac:dyDescent="0.15"/>
    <row r="49120" s="76" customFormat="1" ht="21.95" customHeight="1" x14ac:dyDescent="0.15"/>
    <row r="49121" s="76" customFormat="1" ht="21.95" customHeight="1" x14ac:dyDescent="0.15"/>
    <row r="49122" s="76" customFormat="1" ht="21.95" customHeight="1" x14ac:dyDescent="0.15"/>
    <row r="49123" s="76" customFormat="1" ht="21.95" customHeight="1" x14ac:dyDescent="0.15"/>
    <row r="49124" s="76" customFormat="1" ht="21.95" customHeight="1" x14ac:dyDescent="0.15"/>
    <row r="49125" s="76" customFormat="1" ht="21.95" customHeight="1" x14ac:dyDescent="0.15"/>
    <row r="49126" s="76" customFormat="1" ht="21.95" customHeight="1" x14ac:dyDescent="0.15"/>
    <row r="49127" s="76" customFormat="1" ht="21.95" customHeight="1" x14ac:dyDescent="0.15"/>
    <row r="49128" s="76" customFormat="1" ht="21.95" customHeight="1" x14ac:dyDescent="0.15"/>
    <row r="49129" s="76" customFormat="1" ht="21.95" customHeight="1" x14ac:dyDescent="0.15"/>
    <row r="49130" s="76" customFormat="1" ht="21.95" customHeight="1" x14ac:dyDescent="0.15"/>
    <row r="49131" s="76" customFormat="1" ht="21.95" customHeight="1" x14ac:dyDescent="0.15"/>
    <row r="49132" s="76" customFormat="1" ht="21.95" customHeight="1" x14ac:dyDescent="0.15"/>
    <row r="49133" s="76" customFormat="1" ht="21.95" customHeight="1" x14ac:dyDescent="0.15"/>
    <row r="49134" s="76" customFormat="1" ht="21.95" customHeight="1" x14ac:dyDescent="0.15"/>
    <row r="49135" s="76" customFormat="1" ht="21.95" customHeight="1" x14ac:dyDescent="0.15"/>
    <row r="49136" s="76" customFormat="1" ht="21.95" customHeight="1" x14ac:dyDescent="0.15"/>
    <row r="49137" s="76" customFormat="1" ht="21.95" customHeight="1" x14ac:dyDescent="0.15"/>
    <row r="49138" s="76" customFormat="1" ht="21.95" customHeight="1" x14ac:dyDescent="0.15"/>
    <row r="49139" s="76" customFormat="1" ht="21.95" customHeight="1" x14ac:dyDescent="0.15"/>
    <row r="49140" s="76" customFormat="1" ht="21.95" customHeight="1" x14ac:dyDescent="0.15"/>
    <row r="49141" s="76" customFormat="1" ht="21.95" customHeight="1" x14ac:dyDescent="0.15"/>
    <row r="49142" s="76" customFormat="1" ht="21.95" customHeight="1" x14ac:dyDescent="0.15"/>
    <row r="49143" s="76" customFormat="1" ht="21.95" customHeight="1" x14ac:dyDescent="0.15"/>
    <row r="49144" s="76" customFormat="1" ht="21.95" customHeight="1" x14ac:dyDescent="0.15"/>
    <row r="49145" s="76" customFormat="1" ht="35.1" customHeight="1" x14ac:dyDescent="0.15"/>
    <row r="49146" s="76" customFormat="1" ht="21.95" customHeight="1" x14ac:dyDescent="0.15"/>
    <row r="49147" s="76" customFormat="1" ht="21.95" customHeight="1" x14ac:dyDescent="0.15"/>
    <row r="49148" s="76" customFormat="1" ht="21.95" customHeight="1" x14ac:dyDescent="0.15"/>
    <row r="49149" s="76" customFormat="1" ht="21.95" customHeight="1" x14ac:dyDescent="0.15"/>
    <row r="49150" s="76" customFormat="1" ht="21.95" customHeight="1" x14ac:dyDescent="0.15"/>
    <row r="49151" s="76" customFormat="1" ht="21.95" customHeight="1" x14ac:dyDescent="0.15"/>
    <row r="49152" s="76" customFormat="1" ht="21.95" customHeight="1" x14ac:dyDescent="0.15"/>
    <row r="49153" s="76" customFormat="1" ht="21.95" customHeight="1" x14ac:dyDescent="0.15"/>
    <row r="49154" s="76" customFormat="1" ht="21.95" customHeight="1" x14ac:dyDescent="0.15"/>
    <row r="49155" s="76" customFormat="1" ht="21.95" customHeight="1" x14ac:dyDescent="0.15"/>
    <row r="49156" s="76" customFormat="1" ht="21.95" customHeight="1" x14ac:dyDescent="0.15"/>
    <row r="49157" s="76" customFormat="1" ht="21.95" customHeight="1" x14ac:dyDescent="0.15"/>
    <row r="49158" s="76" customFormat="1" ht="21.95" customHeight="1" x14ac:dyDescent="0.15"/>
    <row r="49159" s="76" customFormat="1" ht="21.95" customHeight="1" x14ac:dyDescent="0.15"/>
    <row r="49160" s="76" customFormat="1" ht="21.95" customHeight="1" x14ac:dyDescent="0.15"/>
    <row r="49161" s="76" customFormat="1" ht="21.95" customHeight="1" x14ac:dyDescent="0.15"/>
    <row r="49162" s="76" customFormat="1" ht="21.95" customHeight="1" x14ac:dyDescent="0.15"/>
    <row r="49163" s="76" customFormat="1" ht="21.95" customHeight="1" x14ac:dyDescent="0.15"/>
    <row r="49164" s="76" customFormat="1" ht="21.95" customHeight="1" x14ac:dyDescent="0.15"/>
    <row r="49165" s="76" customFormat="1" ht="21.95" customHeight="1" x14ac:dyDescent="0.15"/>
    <row r="49166" s="76" customFormat="1" ht="21.95" customHeight="1" x14ac:dyDescent="0.15"/>
    <row r="49167" s="76" customFormat="1" ht="21.95" customHeight="1" x14ac:dyDescent="0.15"/>
    <row r="49168" s="76" customFormat="1" ht="21.95" customHeight="1" x14ac:dyDescent="0.15"/>
    <row r="49169" spans="3:3" customFormat="1" ht="21.95" customHeight="1" x14ac:dyDescent="0.15"/>
    <row r="49170" spans="3:3" customFormat="1" ht="21.95" customHeight="1" x14ac:dyDescent="0.15"/>
    <row r="49171" spans="3:3" customFormat="1" ht="21.95" customHeight="1" x14ac:dyDescent="0.15">
      <c r="C49171" s="94"/>
    </row>
    <row r="49172" spans="3:3" customFormat="1" ht="21.95" customHeight="1" x14ac:dyDescent="0.15">
      <c r="C49172" s="94"/>
    </row>
    <row r="49173" spans="3:3" customFormat="1" ht="21.95" customHeight="1" x14ac:dyDescent="0.15"/>
    <row r="49174" spans="3:3" customFormat="1" ht="21.95" customHeight="1" x14ac:dyDescent="0.15"/>
    <row r="49175" spans="3:3" customFormat="1" ht="21.95" customHeight="1" x14ac:dyDescent="0.15"/>
    <row r="49176" spans="3:3" customFormat="1" ht="21.95" customHeight="1" x14ac:dyDescent="0.15"/>
    <row r="49177" spans="3:3" customFormat="1" ht="21.95" customHeight="1" x14ac:dyDescent="0.15"/>
    <row r="49178" spans="3:3" customFormat="1" ht="21.95" customHeight="1" x14ac:dyDescent="0.15"/>
    <row r="49179" spans="3:3" customFormat="1" ht="21.95" customHeight="1" x14ac:dyDescent="0.15"/>
    <row r="49180" spans="3:3" s="76" customFormat="1" ht="21.95" customHeight="1" x14ac:dyDescent="0.15"/>
    <row r="49181" spans="3:3" s="76" customFormat="1" ht="21.95" customHeight="1" x14ac:dyDescent="0.15"/>
    <row r="49182" spans="3:3" s="76" customFormat="1" ht="21.95" customHeight="1" x14ac:dyDescent="0.15"/>
    <row r="49183" spans="3:3" s="76" customFormat="1" ht="21.95" customHeight="1" x14ac:dyDescent="0.15"/>
    <row r="49184" spans="3:3" customFormat="1" ht="21.95" customHeight="1" x14ac:dyDescent="0.15"/>
    <row r="49185" customFormat="1" ht="21.95" customHeight="1" x14ac:dyDescent="0.15"/>
    <row r="49186" customFormat="1" ht="21.95" customHeight="1" x14ac:dyDescent="0.15"/>
    <row r="49187" customFormat="1" ht="21.95" customHeight="1" x14ac:dyDescent="0.15"/>
    <row r="49188" customFormat="1" ht="21.95" customHeight="1" x14ac:dyDescent="0.15"/>
    <row r="49189" customFormat="1" ht="21.95" customHeight="1" x14ac:dyDescent="0.15"/>
    <row r="49190" customFormat="1" ht="21.95" customHeight="1" x14ac:dyDescent="0.15"/>
    <row r="49191" customFormat="1" ht="21.95" customHeight="1" x14ac:dyDescent="0.15"/>
    <row r="49192" customFormat="1" ht="21.95" customHeight="1" x14ac:dyDescent="0.15"/>
    <row r="49193" customFormat="1" ht="21.95" customHeight="1" x14ac:dyDescent="0.15"/>
    <row r="49194" customFormat="1" ht="21.95" customHeight="1" x14ac:dyDescent="0.15"/>
    <row r="49195" customFormat="1" ht="32.1" customHeight="1" x14ac:dyDescent="0.15"/>
    <row r="49196" customFormat="1" ht="32.1" customHeight="1" x14ac:dyDescent="0.15"/>
    <row r="49197" customFormat="1" ht="32.1" customHeight="1" x14ac:dyDescent="0.15"/>
    <row r="49198" customFormat="1" ht="32.1" customHeight="1" x14ac:dyDescent="0.15"/>
    <row r="49199" customFormat="1" ht="32.1" customHeight="1" x14ac:dyDescent="0.15"/>
    <row r="49200" customFormat="1" ht="32.1" customHeight="1" x14ac:dyDescent="0.15"/>
    <row r="49201" s="76" customFormat="1" ht="32.1" customHeight="1" x14ac:dyDescent="0.15"/>
    <row r="49202" s="76" customFormat="1" ht="32.1" customHeight="1" x14ac:dyDescent="0.15"/>
    <row r="49203" s="76" customFormat="1" ht="32.1" customHeight="1" x14ac:dyDescent="0.15"/>
    <row r="49204" s="76" customFormat="1" ht="32.1" customHeight="1" x14ac:dyDescent="0.15"/>
    <row r="49205" s="76" customFormat="1" ht="21.95" customHeight="1" x14ac:dyDescent="0.15"/>
    <row r="49206" s="76" customFormat="1" ht="54" customHeight="1" x14ac:dyDescent="0.15"/>
    <row r="49207" s="76" customFormat="1" ht="21.95" customHeight="1" x14ac:dyDescent="0.15"/>
    <row r="49208" s="76" customFormat="1" ht="21.95" customHeight="1" x14ac:dyDescent="0.15"/>
    <row r="49209" s="76" customFormat="1" ht="21.95" customHeight="1" x14ac:dyDescent="0.15"/>
    <row r="49210" s="76" customFormat="1" ht="21.95" customHeight="1" x14ac:dyDescent="0.15"/>
    <row r="49211" s="76" customFormat="1" ht="21.95" customHeight="1" x14ac:dyDescent="0.15"/>
    <row r="49212" s="76" customFormat="1" ht="21.95" customHeight="1" x14ac:dyDescent="0.15"/>
    <row r="49213" s="76" customFormat="1" ht="21.95" customHeight="1" x14ac:dyDescent="0.15"/>
    <row r="49214" s="76" customFormat="1" ht="21.95" customHeight="1" x14ac:dyDescent="0.15"/>
    <row r="49215" s="76" customFormat="1" ht="21.95" customHeight="1" x14ac:dyDescent="0.15"/>
    <row r="49216" s="76" customFormat="1" ht="21.95" customHeight="1" x14ac:dyDescent="0.15"/>
    <row r="49217" s="76" customFormat="1" ht="21.95" customHeight="1" x14ac:dyDescent="0.15"/>
    <row r="49218" s="76" customFormat="1" ht="21.95" customHeight="1" x14ac:dyDescent="0.15"/>
    <row r="49219" s="76" customFormat="1" ht="21.95" customHeight="1" x14ac:dyDescent="0.15"/>
    <row r="49220" s="76" customFormat="1" ht="21.95" customHeight="1" x14ac:dyDescent="0.15"/>
    <row r="49221" s="76" customFormat="1" ht="21.95" customHeight="1" x14ac:dyDescent="0.15"/>
    <row r="49222" s="76" customFormat="1" ht="21.95" customHeight="1" x14ac:dyDescent="0.15"/>
    <row r="49223" s="76" customFormat="1" ht="21.95" customHeight="1" x14ac:dyDescent="0.15"/>
    <row r="49224" s="76" customFormat="1" ht="21.95" customHeight="1" x14ac:dyDescent="0.15"/>
    <row r="49225" s="76" customFormat="1" ht="21.95" customHeight="1" x14ac:dyDescent="0.15"/>
    <row r="49226" s="76" customFormat="1" ht="21.95" customHeight="1" x14ac:dyDescent="0.15"/>
    <row r="49227" s="76" customFormat="1" ht="21.95" customHeight="1" x14ac:dyDescent="0.15"/>
    <row r="49228" s="76" customFormat="1" ht="21.95" customHeight="1" x14ac:dyDescent="0.15"/>
    <row r="49229" s="76" customFormat="1" ht="21.95" customHeight="1" x14ac:dyDescent="0.15"/>
    <row r="49230" s="76" customFormat="1" ht="21.95" customHeight="1" x14ac:dyDescent="0.15"/>
    <row r="49231" s="76" customFormat="1" ht="21.95" customHeight="1" x14ac:dyDescent="0.15"/>
    <row r="49232" s="76" customFormat="1" ht="21.95" customHeight="1" x14ac:dyDescent="0.15"/>
    <row r="49233" s="76" customFormat="1" ht="21.95" customHeight="1" x14ac:dyDescent="0.15"/>
    <row r="49234" s="76" customFormat="1" ht="21.95" customHeight="1" x14ac:dyDescent="0.15"/>
    <row r="49235" s="76" customFormat="1" ht="21.95" customHeight="1" x14ac:dyDescent="0.15"/>
    <row r="49236" s="76" customFormat="1" ht="21.95" customHeight="1" x14ac:dyDescent="0.15"/>
    <row r="49237" s="76" customFormat="1" ht="21.95" customHeight="1" x14ac:dyDescent="0.15"/>
    <row r="49238" s="76" customFormat="1" ht="21.95" customHeight="1" x14ac:dyDescent="0.15"/>
    <row r="49239" s="76" customFormat="1" ht="21.95" customHeight="1" x14ac:dyDescent="0.15"/>
    <row r="49240" s="76" customFormat="1" ht="21.95" customHeight="1" x14ac:dyDescent="0.15"/>
    <row r="49241" s="76" customFormat="1" ht="21.95" customHeight="1" x14ac:dyDescent="0.15"/>
    <row r="49242" s="76" customFormat="1" ht="21.95" customHeight="1" x14ac:dyDescent="0.15"/>
    <row r="49243" s="76" customFormat="1" ht="21.95" customHeight="1" x14ac:dyDescent="0.15"/>
    <row r="49244" s="76" customFormat="1" ht="21.95" customHeight="1" x14ac:dyDescent="0.15"/>
    <row r="49245" s="76" customFormat="1" ht="21.95" customHeight="1" x14ac:dyDescent="0.15"/>
    <row r="49246" s="76" customFormat="1" ht="21.95" customHeight="1" x14ac:dyDescent="0.15"/>
    <row r="49247" s="76" customFormat="1" ht="21.95" customHeight="1" x14ac:dyDescent="0.15"/>
    <row r="49248" s="76" customFormat="1" ht="21.95" customHeight="1" x14ac:dyDescent="0.15"/>
    <row r="49249" s="76" customFormat="1" ht="21.95" customHeight="1" x14ac:dyDescent="0.15"/>
    <row r="49250" s="76" customFormat="1" ht="21.95" customHeight="1" x14ac:dyDescent="0.15"/>
    <row r="49251" s="76" customFormat="1" ht="21.95" customHeight="1" x14ac:dyDescent="0.15"/>
    <row r="49252" s="76" customFormat="1" ht="21.95" customHeight="1" x14ac:dyDescent="0.15"/>
    <row r="49253" s="76" customFormat="1" ht="21.95" customHeight="1" x14ac:dyDescent="0.15"/>
    <row r="49254" s="76" customFormat="1" ht="21.95" customHeight="1" x14ac:dyDescent="0.15"/>
    <row r="49255" s="76" customFormat="1" ht="21.95" customHeight="1" x14ac:dyDescent="0.15"/>
    <row r="49256" s="76" customFormat="1" ht="21.95" customHeight="1" x14ac:dyDescent="0.15"/>
    <row r="49257" s="76" customFormat="1" ht="35.1" customHeight="1" x14ac:dyDescent="0.15"/>
    <row r="49258" s="76" customFormat="1" ht="21.95" customHeight="1" x14ac:dyDescent="0.15"/>
    <row r="49259" s="76" customFormat="1" ht="21.95" customHeight="1" x14ac:dyDescent="0.15"/>
    <row r="49260" s="76" customFormat="1" ht="21.95" customHeight="1" x14ac:dyDescent="0.15"/>
    <row r="49261" s="76" customFormat="1" ht="21.95" customHeight="1" x14ac:dyDescent="0.15"/>
    <row r="49262" s="76" customFormat="1" ht="21.95" customHeight="1" x14ac:dyDescent="0.15"/>
    <row r="49263" s="76" customFormat="1" ht="21.95" customHeight="1" x14ac:dyDescent="0.15"/>
    <row r="49264" s="76" customFormat="1" ht="21.95" customHeight="1" x14ac:dyDescent="0.15"/>
    <row r="49265" s="76" customFormat="1" ht="21.95" customHeight="1" x14ac:dyDescent="0.15"/>
    <row r="49266" s="76" customFormat="1" ht="21.95" customHeight="1" x14ac:dyDescent="0.15"/>
    <row r="49267" s="76" customFormat="1" ht="21.95" customHeight="1" x14ac:dyDescent="0.15"/>
    <row r="49268" s="76" customFormat="1" ht="21.95" customHeight="1" x14ac:dyDescent="0.15"/>
    <row r="49269" s="76" customFormat="1" ht="21.95" customHeight="1" x14ac:dyDescent="0.15"/>
    <row r="49270" s="76" customFormat="1" ht="21.95" customHeight="1" x14ac:dyDescent="0.15"/>
    <row r="49271" s="76" customFormat="1" ht="21.95" customHeight="1" x14ac:dyDescent="0.15"/>
    <row r="49272" s="76" customFormat="1" ht="21.95" customHeight="1" x14ac:dyDescent="0.15"/>
    <row r="49273" s="76" customFormat="1" ht="21.95" customHeight="1" x14ac:dyDescent="0.15"/>
    <row r="49274" s="76" customFormat="1" ht="21.95" customHeight="1" x14ac:dyDescent="0.15"/>
    <row r="49275" s="76" customFormat="1" ht="21.95" customHeight="1" x14ac:dyDescent="0.15"/>
    <row r="49276" s="76" customFormat="1" ht="21.95" customHeight="1" x14ac:dyDescent="0.15"/>
    <row r="49277" s="76" customFormat="1" ht="21.95" customHeight="1" x14ac:dyDescent="0.15"/>
    <row r="49278" s="76" customFormat="1" ht="21.95" customHeight="1" x14ac:dyDescent="0.15"/>
    <row r="49279" s="76" customFormat="1" ht="21.95" customHeight="1" x14ac:dyDescent="0.15"/>
    <row r="49280" s="76" customFormat="1" ht="21.95" customHeight="1" x14ac:dyDescent="0.15"/>
    <row r="49281" spans="3:3" customFormat="1" ht="21.95" customHeight="1" x14ac:dyDescent="0.15"/>
    <row r="49282" spans="3:3" customFormat="1" ht="21.95" customHeight="1" x14ac:dyDescent="0.15"/>
    <row r="49283" spans="3:3" customFormat="1" ht="21.95" customHeight="1" x14ac:dyDescent="0.15">
      <c r="C49283" s="94"/>
    </row>
    <row r="49284" spans="3:3" customFormat="1" ht="21.95" customHeight="1" x14ac:dyDescent="0.15">
      <c r="C49284" s="94"/>
    </row>
    <row r="49285" spans="3:3" customFormat="1" ht="21.95" customHeight="1" x14ac:dyDescent="0.15"/>
    <row r="49286" spans="3:3" customFormat="1" ht="21.95" customHeight="1" x14ac:dyDescent="0.15"/>
    <row r="49287" spans="3:3" customFormat="1" ht="21.95" customHeight="1" x14ac:dyDescent="0.15"/>
    <row r="49288" spans="3:3" customFormat="1" ht="21.95" customHeight="1" x14ac:dyDescent="0.15"/>
    <row r="49289" spans="3:3" customFormat="1" ht="21.95" customHeight="1" x14ac:dyDescent="0.15"/>
    <row r="49290" spans="3:3" customFormat="1" ht="21.95" customHeight="1" x14ac:dyDescent="0.15"/>
    <row r="49291" spans="3:3" customFormat="1" ht="21.95" customHeight="1" x14ac:dyDescent="0.15"/>
    <row r="49292" spans="3:3" s="76" customFormat="1" ht="21.95" customHeight="1" x14ac:dyDescent="0.15"/>
    <row r="49293" spans="3:3" s="76" customFormat="1" ht="21.95" customHeight="1" x14ac:dyDescent="0.15"/>
    <row r="49294" spans="3:3" s="76" customFormat="1" ht="21.95" customHeight="1" x14ac:dyDescent="0.15"/>
    <row r="49295" spans="3:3" s="76" customFormat="1" ht="21.95" customHeight="1" x14ac:dyDescent="0.15"/>
    <row r="49296" spans="3:3" customFormat="1" ht="21.95" customHeight="1" x14ac:dyDescent="0.15"/>
    <row r="49297" customFormat="1" ht="21.95" customHeight="1" x14ac:dyDescent="0.15"/>
    <row r="49298" customFormat="1" ht="21.95" customHeight="1" x14ac:dyDescent="0.15"/>
    <row r="49299" customFormat="1" ht="21.95" customHeight="1" x14ac:dyDescent="0.15"/>
    <row r="49300" customFormat="1" ht="21.95" customHeight="1" x14ac:dyDescent="0.15"/>
    <row r="49301" customFormat="1" ht="21.95" customHeight="1" x14ac:dyDescent="0.15"/>
    <row r="49302" customFormat="1" ht="21.95" customHeight="1" x14ac:dyDescent="0.15"/>
    <row r="49303" customFormat="1" ht="21.95" customHeight="1" x14ac:dyDescent="0.15"/>
    <row r="49304" customFormat="1" ht="21.95" customHeight="1" x14ac:dyDescent="0.15"/>
    <row r="49305" customFormat="1" ht="21.95" customHeight="1" x14ac:dyDescent="0.15"/>
    <row r="49306" customFormat="1" ht="21.95" customHeight="1" x14ac:dyDescent="0.15"/>
    <row r="49307" customFormat="1" ht="32.1" customHeight="1" x14ac:dyDescent="0.15"/>
    <row r="49308" customFormat="1" ht="32.1" customHeight="1" x14ac:dyDescent="0.15"/>
    <row r="49309" customFormat="1" ht="32.1" customHeight="1" x14ac:dyDescent="0.15"/>
    <row r="49310" customFormat="1" ht="32.1" customHeight="1" x14ac:dyDescent="0.15"/>
    <row r="49311" customFormat="1" ht="32.1" customHeight="1" x14ac:dyDescent="0.15"/>
    <row r="49312" customFormat="1" ht="32.1" customHeight="1" x14ac:dyDescent="0.15"/>
    <row r="49313" s="76" customFormat="1" ht="32.1" customHeight="1" x14ac:dyDescent="0.15"/>
    <row r="49314" s="76" customFormat="1" ht="32.1" customHeight="1" x14ac:dyDescent="0.15"/>
    <row r="49315" s="76" customFormat="1" ht="32.1" customHeight="1" x14ac:dyDescent="0.15"/>
    <row r="49316" s="76" customFormat="1" ht="32.1" customHeight="1" x14ac:dyDescent="0.15"/>
    <row r="49317" s="76" customFormat="1" ht="21.95" customHeight="1" x14ac:dyDescent="0.15"/>
    <row r="49318" s="76" customFormat="1" ht="54" customHeight="1" x14ac:dyDescent="0.15"/>
    <row r="49319" s="76" customFormat="1" ht="21.95" customHeight="1" x14ac:dyDescent="0.15"/>
    <row r="49320" s="76" customFormat="1" ht="21.95" customHeight="1" x14ac:dyDescent="0.15"/>
    <row r="49321" s="76" customFormat="1" ht="21.95" customHeight="1" x14ac:dyDescent="0.15"/>
    <row r="49322" s="76" customFormat="1" ht="21.95" customHeight="1" x14ac:dyDescent="0.15"/>
    <row r="49323" s="76" customFormat="1" ht="21.95" customHeight="1" x14ac:dyDescent="0.15"/>
    <row r="49324" s="76" customFormat="1" ht="21.95" customHeight="1" x14ac:dyDescent="0.15"/>
    <row r="49325" s="76" customFormat="1" ht="21.95" customHeight="1" x14ac:dyDescent="0.15"/>
    <row r="49326" s="76" customFormat="1" ht="21.95" customHeight="1" x14ac:dyDescent="0.15"/>
    <row r="49327" s="76" customFormat="1" ht="21.95" customHeight="1" x14ac:dyDescent="0.15"/>
    <row r="49328" s="76" customFormat="1" ht="21.95" customHeight="1" x14ac:dyDescent="0.15"/>
    <row r="49329" s="76" customFormat="1" ht="21.95" customHeight="1" x14ac:dyDescent="0.15"/>
    <row r="49330" s="76" customFormat="1" ht="21.95" customHeight="1" x14ac:dyDescent="0.15"/>
    <row r="49331" s="76" customFormat="1" ht="21.95" customHeight="1" x14ac:dyDescent="0.15"/>
    <row r="49332" s="76" customFormat="1" ht="21.95" customHeight="1" x14ac:dyDescent="0.15"/>
    <row r="49333" s="76" customFormat="1" ht="21.95" customHeight="1" x14ac:dyDescent="0.15"/>
    <row r="49334" s="76" customFormat="1" ht="21.95" customHeight="1" x14ac:dyDescent="0.15"/>
    <row r="49335" s="76" customFormat="1" ht="21.95" customHeight="1" x14ac:dyDescent="0.15"/>
    <row r="49336" s="76" customFormat="1" ht="21.95" customHeight="1" x14ac:dyDescent="0.15"/>
    <row r="49337" s="76" customFormat="1" ht="21.95" customHeight="1" x14ac:dyDescent="0.15"/>
    <row r="49338" s="76" customFormat="1" ht="21.95" customHeight="1" x14ac:dyDescent="0.15"/>
    <row r="49339" s="76" customFormat="1" ht="21.95" customHeight="1" x14ac:dyDescent="0.15"/>
    <row r="49340" s="76" customFormat="1" ht="21.95" customHeight="1" x14ac:dyDescent="0.15"/>
    <row r="49341" s="76" customFormat="1" ht="21.95" customHeight="1" x14ac:dyDescent="0.15"/>
    <row r="49342" s="76" customFormat="1" ht="21.95" customHeight="1" x14ac:dyDescent="0.15"/>
    <row r="49343" s="76" customFormat="1" ht="21.95" customHeight="1" x14ac:dyDescent="0.15"/>
    <row r="49344" s="76" customFormat="1" ht="21.95" customHeight="1" x14ac:dyDescent="0.15"/>
    <row r="49345" s="76" customFormat="1" ht="21.95" customHeight="1" x14ac:dyDescent="0.15"/>
    <row r="49346" s="76" customFormat="1" ht="21.95" customHeight="1" x14ac:dyDescent="0.15"/>
    <row r="49347" s="76" customFormat="1" ht="21.95" customHeight="1" x14ac:dyDescent="0.15"/>
    <row r="49348" s="76" customFormat="1" ht="21.95" customHeight="1" x14ac:dyDescent="0.15"/>
    <row r="49349" s="76" customFormat="1" ht="21.95" customHeight="1" x14ac:dyDescent="0.15"/>
    <row r="49350" s="76" customFormat="1" ht="21.95" customHeight="1" x14ac:dyDescent="0.15"/>
    <row r="49351" s="76" customFormat="1" ht="21.95" customHeight="1" x14ac:dyDescent="0.15"/>
    <row r="49352" s="76" customFormat="1" ht="21.95" customHeight="1" x14ac:dyDescent="0.15"/>
    <row r="49353" s="76" customFormat="1" ht="21.95" customHeight="1" x14ac:dyDescent="0.15"/>
    <row r="49354" s="76" customFormat="1" ht="21.95" customHeight="1" x14ac:dyDescent="0.15"/>
    <row r="49355" s="76" customFormat="1" ht="21.95" customHeight="1" x14ac:dyDescent="0.15"/>
    <row r="49356" s="76" customFormat="1" ht="21.95" customHeight="1" x14ac:dyDescent="0.15"/>
    <row r="49357" s="76" customFormat="1" ht="21.95" customHeight="1" x14ac:dyDescent="0.15"/>
    <row r="49358" s="76" customFormat="1" ht="21.95" customHeight="1" x14ac:dyDescent="0.15"/>
    <row r="49359" s="76" customFormat="1" ht="21.95" customHeight="1" x14ac:dyDescent="0.15"/>
    <row r="49360" s="76" customFormat="1" ht="21.95" customHeight="1" x14ac:dyDescent="0.15"/>
    <row r="49361" s="76" customFormat="1" ht="21.95" customHeight="1" x14ac:dyDescent="0.15"/>
    <row r="49362" s="76" customFormat="1" ht="21.95" customHeight="1" x14ac:dyDescent="0.15"/>
    <row r="49363" s="76" customFormat="1" ht="21.95" customHeight="1" x14ac:dyDescent="0.15"/>
    <row r="49364" s="76" customFormat="1" ht="21.95" customHeight="1" x14ac:dyDescent="0.15"/>
    <row r="49365" s="76" customFormat="1" ht="21.95" customHeight="1" x14ac:dyDescent="0.15"/>
    <row r="49366" s="76" customFormat="1" ht="21.95" customHeight="1" x14ac:dyDescent="0.15"/>
    <row r="49367" s="76" customFormat="1" ht="21.95" customHeight="1" x14ac:dyDescent="0.15"/>
    <row r="49368" s="76" customFormat="1" ht="21.95" customHeight="1" x14ac:dyDescent="0.15"/>
    <row r="49369" s="76" customFormat="1" ht="35.1" customHeight="1" x14ac:dyDescent="0.15"/>
    <row r="49370" s="76" customFormat="1" ht="21.95" customHeight="1" x14ac:dyDescent="0.15"/>
    <row r="49371" s="76" customFormat="1" ht="21.95" customHeight="1" x14ac:dyDescent="0.15"/>
    <row r="49372" s="76" customFormat="1" ht="21.95" customHeight="1" x14ac:dyDescent="0.15"/>
    <row r="49373" s="76" customFormat="1" ht="21.95" customHeight="1" x14ac:dyDescent="0.15"/>
    <row r="49374" s="76" customFormat="1" ht="21.95" customHeight="1" x14ac:dyDescent="0.15"/>
    <row r="49375" s="76" customFormat="1" ht="21.95" customHeight="1" x14ac:dyDescent="0.15"/>
    <row r="49376" s="76" customFormat="1" ht="21.95" customHeight="1" x14ac:dyDescent="0.15"/>
    <row r="49377" s="76" customFormat="1" ht="21.95" customHeight="1" x14ac:dyDescent="0.15"/>
    <row r="49378" s="76" customFormat="1" ht="21.95" customHeight="1" x14ac:dyDescent="0.15"/>
    <row r="49379" s="76" customFormat="1" ht="21.95" customHeight="1" x14ac:dyDescent="0.15"/>
    <row r="49380" s="76" customFormat="1" ht="21.95" customHeight="1" x14ac:dyDescent="0.15"/>
    <row r="49381" s="76" customFormat="1" ht="21.95" customHeight="1" x14ac:dyDescent="0.15"/>
    <row r="49382" s="76" customFormat="1" ht="21.95" customHeight="1" x14ac:dyDescent="0.15"/>
    <row r="49383" s="76" customFormat="1" ht="21.95" customHeight="1" x14ac:dyDescent="0.15"/>
    <row r="49384" s="76" customFormat="1" ht="21.95" customHeight="1" x14ac:dyDescent="0.15"/>
    <row r="49385" s="76" customFormat="1" ht="21.95" customHeight="1" x14ac:dyDescent="0.15"/>
    <row r="49386" s="76" customFormat="1" ht="21.95" customHeight="1" x14ac:dyDescent="0.15"/>
    <row r="49387" s="76" customFormat="1" ht="21.95" customHeight="1" x14ac:dyDescent="0.15"/>
    <row r="49388" s="76" customFormat="1" ht="21.95" customHeight="1" x14ac:dyDescent="0.15"/>
    <row r="49389" s="76" customFormat="1" ht="21.95" customHeight="1" x14ac:dyDescent="0.15"/>
    <row r="49390" s="76" customFormat="1" ht="21.95" customHeight="1" x14ac:dyDescent="0.15"/>
    <row r="49391" s="76" customFormat="1" ht="21.95" customHeight="1" x14ac:dyDescent="0.15"/>
    <row r="49392" s="76" customFormat="1" ht="21.95" customHeight="1" x14ac:dyDescent="0.15"/>
    <row r="49393" spans="3:3" customFormat="1" ht="21.95" customHeight="1" x14ac:dyDescent="0.15"/>
    <row r="49394" spans="3:3" customFormat="1" ht="21.95" customHeight="1" x14ac:dyDescent="0.15"/>
    <row r="49395" spans="3:3" customFormat="1" ht="21.95" customHeight="1" x14ac:dyDescent="0.15">
      <c r="C49395" s="94"/>
    </row>
    <row r="49396" spans="3:3" customFormat="1" ht="21.95" customHeight="1" x14ac:dyDescent="0.15">
      <c r="C49396" s="94"/>
    </row>
    <row r="49397" spans="3:3" customFormat="1" ht="21.95" customHeight="1" x14ac:dyDescent="0.15"/>
    <row r="49398" spans="3:3" customFormat="1" ht="21.95" customHeight="1" x14ac:dyDescent="0.15"/>
    <row r="49399" spans="3:3" customFormat="1" ht="21.95" customHeight="1" x14ac:dyDescent="0.15"/>
    <row r="49400" spans="3:3" customFormat="1" ht="21.95" customHeight="1" x14ac:dyDescent="0.15"/>
    <row r="49401" spans="3:3" customFormat="1" ht="21.95" customHeight="1" x14ac:dyDescent="0.15"/>
    <row r="49402" spans="3:3" customFormat="1" ht="21.95" customHeight="1" x14ac:dyDescent="0.15"/>
    <row r="49403" spans="3:3" customFormat="1" ht="21.95" customHeight="1" x14ac:dyDescent="0.15"/>
    <row r="49404" spans="3:3" s="76" customFormat="1" ht="21.95" customHeight="1" x14ac:dyDescent="0.15"/>
    <row r="49405" spans="3:3" s="76" customFormat="1" ht="21.95" customHeight="1" x14ac:dyDescent="0.15"/>
    <row r="49406" spans="3:3" s="76" customFormat="1" ht="21.95" customHeight="1" x14ac:dyDescent="0.15"/>
    <row r="49407" spans="3:3" s="76" customFormat="1" ht="21.95" customHeight="1" x14ac:dyDescent="0.15"/>
    <row r="49408" spans="3:3" customFormat="1" ht="21.95" customHeight="1" x14ac:dyDescent="0.15"/>
    <row r="49409" customFormat="1" ht="21.95" customHeight="1" x14ac:dyDescent="0.15"/>
    <row r="49410" customFormat="1" ht="21.95" customHeight="1" x14ac:dyDescent="0.15"/>
    <row r="49411" customFormat="1" ht="21.95" customHeight="1" x14ac:dyDescent="0.15"/>
    <row r="49412" customFormat="1" ht="21.95" customHeight="1" x14ac:dyDescent="0.15"/>
    <row r="49413" customFormat="1" ht="21.95" customHeight="1" x14ac:dyDescent="0.15"/>
    <row r="49414" customFormat="1" ht="21.95" customHeight="1" x14ac:dyDescent="0.15"/>
    <row r="49415" customFormat="1" ht="21.95" customHeight="1" x14ac:dyDescent="0.15"/>
    <row r="49416" customFormat="1" ht="21.95" customHeight="1" x14ac:dyDescent="0.15"/>
    <row r="49417" customFormat="1" ht="21.95" customHeight="1" x14ac:dyDescent="0.15"/>
    <row r="49418" customFormat="1" ht="21.95" customHeight="1" x14ac:dyDescent="0.15"/>
    <row r="49419" customFormat="1" ht="32.1" customHeight="1" x14ac:dyDescent="0.15"/>
    <row r="49420" customFormat="1" ht="32.1" customHeight="1" x14ac:dyDescent="0.15"/>
    <row r="49421" customFormat="1" ht="32.1" customHeight="1" x14ac:dyDescent="0.15"/>
    <row r="49422" customFormat="1" ht="32.1" customHeight="1" x14ac:dyDescent="0.15"/>
    <row r="49423" customFormat="1" ht="32.1" customHeight="1" x14ac:dyDescent="0.15"/>
    <row r="49424" customFormat="1" ht="32.1" customHeight="1" x14ac:dyDescent="0.15"/>
    <row r="49425" s="76" customFormat="1" ht="32.1" customHeight="1" x14ac:dyDescent="0.15"/>
    <row r="49426" s="76" customFormat="1" ht="32.1" customHeight="1" x14ac:dyDescent="0.15"/>
    <row r="49427" s="76" customFormat="1" ht="32.1" customHeight="1" x14ac:dyDescent="0.15"/>
    <row r="49428" s="76" customFormat="1" ht="32.1" customHeight="1" x14ac:dyDescent="0.15"/>
    <row r="49429" s="76" customFormat="1" ht="21.95" customHeight="1" x14ac:dyDescent="0.15"/>
    <row r="49430" s="76" customFormat="1" ht="54" customHeight="1" x14ac:dyDescent="0.15"/>
    <row r="49431" s="76" customFormat="1" ht="21.95" customHeight="1" x14ac:dyDescent="0.15"/>
    <row r="49432" s="76" customFormat="1" ht="21.95" customHeight="1" x14ac:dyDescent="0.15"/>
    <row r="49433" s="76" customFormat="1" ht="21.95" customHeight="1" x14ac:dyDescent="0.15"/>
    <row r="49434" s="76" customFormat="1" ht="21.95" customHeight="1" x14ac:dyDescent="0.15"/>
    <row r="49435" s="76" customFormat="1" ht="21.95" customHeight="1" x14ac:dyDescent="0.15"/>
    <row r="49436" s="76" customFormat="1" ht="21.95" customHeight="1" x14ac:dyDescent="0.15"/>
    <row r="49437" s="76" customFormat="1" ht="21.95" customHeight="1" x14ac:dyDescent="0.15"/>
    <row r="49438" s="76" customFormat="1" ht="21.95" customHeight="1" x14ac:dyDescent="0.15"/>
    <row r="49439" s="76" customFormat="1" ht="21.95" customHeight="1" x14ac:dyDescent="0.15"/>
    <row r="49440" s="76" customFormat="1" ht="21.95" customHeight="1" x14ac:dyDescent="0.15"/>
    <row r="49441" s="76" customFormat="1" ht="21.95" customHeight="1" x14ac:dyDescent="0.15"/>
    <row r="49442" s="76" customFormat="1" ht="21.95" customHeight="1" x14ac:dyDescent="0.15"/>
    <row r="49443" s="76" customFormat="1" ht="21.95" customHeight="1" x14ac:dyDescent="0.15"/>
    <row r="49444" s="76" customFormat="1" ht="21.95" customHeight="1" x14ac:dyDescent="0.15"/>
    <row r="49445" s="76" customFormat="1" ht="21.95" customHeight="1" x14ac:dyDescent="0.15"/>
    <row r="49446" s="76" customFormat="1" ht="21.95" customHeight="1" x14ac:dyDescent="0.15"/>
    <row r="49447" s="76" customFormat="1" ht="21.95" customHeight="1" x14ac:dyDescent="0.15"/>
    <row r="49448" s="76" customFormat="1" ht="21.95" customHeight="1" x14ac:dyDescent="0.15"/>
    <row r="49449" s="76" customFormat="1" ht="21.95" customHeight="1" x14ac:dyDescent="0.15"/>
    <row r="49450" s="76" customFormat="1" ht="21.95" customHeight="1" x14ac:dyDescent="0.15"/>
    <row r="49451" s="76" customFormat="1" ht="21.95" customHeight="1" x14ac:dyDescent="0.15"/>
    <row r="49452" s="76" customFormat="1" ht="21.95" customHeight="1" x14ac:dyDescent="0.15"/>
    <row r="49453" s="76" customFormat="1" ht="21.95" customHeight="1" x14ac:dyDescent="0.15"/>
    <row r="49454" s="76" customFormat="1" ht="21.95" customHeight="1" x14ac:dyDescent="0.15"/>
    <row r="49455" s="76" customFormat="1" ht="21.95" customHeight="1" x14ac:dyDescent="0.15"/>
    <row r="49456" s="76" customFormat="1" ht="21.95" customHeight="1" x14ac:dyDescent="0.15"/>
    <row r="49457" s="76" customFormat="1" ht="21.95" customHeight="1" x14ac:dyDescent="0.15"/>
    <row r="49458" s="76" customFormat="1" ht="21.95" customHeight="1" x14ac:dyDescent="0.15"/>
    <row r="49459" s="76" customFormat="1" ht="21.95" customHeight="1" x14ac:dyDescent="0.15"/>
    <row r="49460" s="76" customFormat="1" ht="21.95" customHeight="1" x14ac:dyDescent="0.15"/>
    <row r="49461" s="76" customFormat="1" ht="21.95" customHeight="1" x14ac:dyDescent="0.15"/>
    <row r="49462" s="76" customFormat="1" ht="21.95" customHeight="1" x14ac:dyDescent="0.15"/>
    <row r="49463" s="76" customFormat="1" ht="21.95" customHeight="1" x14ac:dyDescent="0.15"/>
    <row r="49464" s="76" customFormat="1" ht="21.95" customHeight="1" x14ac:dyDescent="0.15"/>
    <row r="49465" s="76" customFormat="1" ht="21.95" customHeight="1" x14ac:dyDescent="0.15"/>
    <row r="49466" s="76" customFormat="1" ht="21.95" customHeight="1" x14ac:dyDescent="0.15"/>
    <row r="49467" s="76" customFormat="1" ht="21.95" customHeight="1" x14ac:dyDescent="0.15"/>
    <row r="49468" s="76" customFormat="1" ht="21.95" customHeight="1" x14ac:dyDescent="0.15"/>
    <row r="49469" s="76" customFormat="1" ht="21.95" customHeight="1" x14ac:dyDescent="0.15"/>
    <row r="49470" s="76" customFormat="1" ht="21.95" customHeight="1" x14ac:dyDescent="0.15"/>
    <row r="49471" s="76" customFormat="1" ht="21.95" customHeight="1" x14ac:dyDescent="0.15"/>
    <row r="49472" s="76" customFormat="1" ht="21.95" customHeight="1" x14ac:dyDescent="0.15"/>
    <row r="49473" s="76" customFormat="1" ht="21.95" customHeight="1" x14ac:dyDescent="0.15"/>
    <row r="49474" s="76" customFormat="1" ht="21.95" customHeight="1" x14ac:dyDescent="0.15"/>
    <row r="49475" s="76" customFormat="1" ht="21.95" customHeight="1" x14ac:dyDescent="0.15"/>
    <row r="49476" s="76" customFormat="1" ht="21.95" customHeight="1" x14ac:dyDescent="0.15"/>
    <row r="49477" s="76" customFormat="1" ht="21.95" customHeight="1" x14ac:dyDescent="0.15"/>
    <row r="49478" s="76" customFormat="1" ht="21.95" customHeight="1" x14ac:dyDescent="0.15"/>
    <row r="49479" s="76" customFormat="1" ht="21.95" customHeight="1" x14ac:dyDescent="0.15"/>
    <row r="49480" s="76" customFormat="1" ht="21.95" customHeight="1" x14ac:dyDescent="0.15"/>
    <row r="49481" s="76" customFormat="1" ht="35.1" customHeight="1" x14ac:dyDescent="0.15"/>
    <row r="49482" s="76" customFormat="1" ht="21.95" customHeight="1" x14ac:dyDescent="0.15"/>
    <row r="49483" s="76" customFormat="1" ht="21.95" customHeight="1" x14ac:dyDescent="0.15"/>
    <row r="49484" s="76" customFormat="1" ht="21.95" customHeight="1" x14ac:dyDescent="0.15"/>
    <row r="49485" s="76" customFormat="1" ht="21.95" customHeight="1" x14ac:dyDescent="0.15"/>
    <row r="49486" s="76" customFormat="1" ht="21.95" customHeight="1" x14ac:dyDescent="0.15"/>
    <row r="49487" s="76" customFormat="1" ht="21.95" customHeight="1" x14ac:dyDescent="0.15"/>
    <row r="49488" s="76" customFormat="1" ht="21.95" customHeight="1" x14ac:dyDescent="0.15"/>
    <row r="49489" s="76" customFormat="1" ht="21.95" customHeight="1" x14ac:dyDescent="0.15"/>
    <row r="49490" s="76" customFormat="1" ht="21.95" customHeight="1" x14ac:dyDescent="0.15"/>
    <row r="49491" s="76" customFormat="1" ht="21.95" customHeight="1" x14ac:dyDescent="0.15"/>
    <row r="49492" s="76" customFormat="1" ht="21.95" customHeight="1" x14ac:dyDescent="0.15"/>
    <row r="49493" s="76" customFormat="1" ht="21.95" customHeight="1" x14ac:dyDescent="0.15"/>
    <row r="49494" s="76" customFormat="1" ht="21.95" customHeight="1" x14ac:dyDescent="0.15"/>
    <row r="49495" s="76" customFormat="1" ht="21.95" customHeight="1" x14ac:dyDescent="0.15"/>
    <row r="49496" s="76" customFormat="1" ht="21.95" customHeight="1" x14ac:dyDescent="0.15"/>
    <row r="49497" s="76" customFormat="1" ht="21.95" customHeight="1" x14ac:dyDescent="0.15"/>
    <row r="49498" s="76" customFormat="1" ht="21.95" customHeight="1" x14ac:dyDescent="0.15"/>
    <row r="49499" s="76" customFormat="1" ht="21.95" customHeight="1" x14ac:dyDescent="0.15"/>
    <row r="49500" s="76" customFormat="1" ht="21.95" customHeight="1" x14ac:dyDescent="0.15"/>
    <row r="49501" s="76" customFormat="1" ht="21.95" customHeight="1" x14ac:dyDescent="0.15"/>
    <row r="49502" s="76" customFormat="1" ht="21.95" customHeight="1" x14ac:dyDescent="0.15"/>
    <row r="49503" s="76" customFormat="1" ht="21.95" customHeight="1" x14ac:dyDescent="0.15"/>
    <row r="49504" s="76" customFormat="1" ht="21.95" customHeight="1" x14ac:dyDescent="0.15"/>
    <row r="49505" spans="3:3" customFormat="1" ht="21.95" customHeight="1" x14ac:dyDescent="0.15"/>
    <row r="49506" spans="3:3" customFormat="1" ht="21.95" customHeight="1" x14ac:dyDescent="0.15"/>
    <row r="49507" spans="3:3" customFormat="1" ht="21.95" customHeight="1" x14ac:dyDescent="0.15">
      <c r="C49507" s="94"/>
    </row>
    <row r="49508" spans="3:3" customFormat="1" ht="21.95" customHeight="1" x14ac:dyDescent="0.15">
      <c r="C49508" s="94"/>
    </row>
    <row r="49509" spans="3:3" customFormat="1" ht="21.95" customHeight="1" x14ac:dyDescent="0.15"/>
    <row r="49510" spans="3:3" customFormat="1" ht="21.95" customHeight="1" x14ac:dyDescent="0.15"/>
    <row r="49511" spans="3:3" customFormat="1" ht="21.95" customHeight="1" x14ac:dyDescent="0.15"/>
    <row r="49512" spans="3:3" customFormat="1" ht="21.95" customHeight="1" x14ac:dyDescent="0.15"/>
    <row r="49513" spans="3:3" customFormat="1" ht="21.95" customHeight="1" x14ac:dyDescent="0.15"/>
    <row r="49514" spans="3:3" customFormat="1" ht="21.95" customHeight="1" x14ac:dyDescent="0.15"/>
    <row r="49515" spans="3:3" customFormat="1" ht="21.95" customHeight="1" x14ac:dyDescent="0.15"/>
    <row r="49516" spans="3:3" s="76" customFormat="1" ht="21.95" customHeight="1" x14ac:dyDescent="0.15"/>
    <row r="49517" spans="3:3" s="76" customFormat="1" ht="21.95" customHeight="1" x14ac:dyDescent="0.15"/>
    <row r="49518" spans="3:3" s="76" customFormat="1" ht="21.95" customHeight="1" x14ac:dyDescent="0.15"/>
    <row r="49519" spans="3:3" s="76" customFormat="1" ht="21.95" customHeight="1" x14ac:dyDescent="0.15"/>
    <row r="49520" spans="3:3" customFormat="1" ht="21.95" customHeight="1" x14ac:dyDescent="0.15"/>
    <row r="49521" customFormat="1" ht="21.95" customHeight="1" x14ac:dyDescent="0.15"/>
    <row r="49522" customFormat="1" ht="21.95" customHeight="1" x14ac:dyDescent="0.15"/>
    <row r="49523" customFormat="1" ht="21.95" customHeight="1" x14ac:dyDescent="0.15"/>
    <row r="49524" customFormat="1" ht="21.95" customHeight="1" x14ac:dyDescent="0.15"/>
    <row r="49525" customFormat="1" ht="21.95" customHeight="1" x14ac:dyDescent="0.15"/>
    <row r="49526" customFormat="1" ht="21.95" customHeight="1" x14ac:dyDescent="0.15"/>
    <row r="49527" customFormat="1" ht="21.95" customHeight="1" x14ac:dyDescent="0.15"/>
    <row r="49528" customFormat="1" ht="21.95" customHeight="1" x14ac:dyDescent="0.15"/>
    <row r="49529" customFormat="1" ht="21.95" customHeight="1" x14ac:dyDescent="0.15"/>
    <row r="49530" customFormat="1" ht="21.95" customHeight="1" x14ac:dyDescent="0.15"/>
    <row r="49531" customFormat="1" ht="32.1" customHeight="1" x14ac:dyDescent="0.15"/>
    <row r="49532" customFormat="1" ht="32.1" customHeight="1" x14ac:dyDescent="0.15"/>
    <row r="49533" customFormat="1" ht="32.1" customHeight="1" x14ac:dyDescent="0.15"/>
    <row r="49534" customFormat="1" ht="32.1" customHeight="1" x14ac:dyDescent="0.15"/>
    <row r="49535" customFormat="1" ht="32.1" customHeight="1" x14ac:dyDescent="0.15"/>
    <row r="49536" customFormat="1" ht="32.1" customHeight="1" x14ac:dyDescent="0.15"/>
    <row r="49537" s="76" customFormat="1" ht="32.1" customHeight="1" x14ac:dyDescent="0.15"/>
    <row r="49538" s="76" customFormat="1" ht="32.1" customHeight="1" x14ac:dyDescent="0.15"/>
    <row r="49539" s="76" customFormat="1" ht="32.1" customHeight="1" x14ac:dyDescent="0.15"/>
    <row r="49540" s="76" customFormat="1" ht="32.1" customHeight="1" x14ac:dyDescent="0.15"/>
    <row r="49541" s="76" customFormat="1" ht="21.95" customHeight="1" x14ac:dyDescent="0.15"/>
    <row r="49542" s="76" customFormat="1" ht="54" customHeight="1" x14ac:dyDescent="0.15"/>
    <row r="49543" s="76" customFormat="1" ht="21.95" customHeight="1" x14ac:dyDescent="0.15"/>
    <row r="49544" s="76" customFormat="1" ht="21.95" customHeight="1" x14ac:dyDescent="0.15"/>
    <row r="49545" s="76" customFormat="1" ht="21.95" customHeight="1" x14ac:dyDescent="0.15"/>
    <row r="49546" s="76" customFormat="1" ht="21.95" customHeight="1" x14ac:dyDescent="0.15"/>
    <row r="49547" s="76" customFormat="1" ht="21.95" customHeight="1" x14ac:dyDescent="0.15"/>
    <row r="49548" s="76" customFormat="1" ht="21.95" customHeight="1" x14ac:dyDescent="0.15"/>
    <row r="49549" s="76" customFormat="1" ht="21.95" customHeight="1" x14ac:dyDescent="0.15"/>
    <row r="49550" s="76" customFormat="1" ht="21.95" customHeight="1" x14ac:dyDescent="0.15"/>
    <row r="49551" s="76" customFormat="1" ht="21.95" customHeight="1" x14ac:dyDescent="0.15"/>
    <row r="49552" s="76" customFormat="1" ht="21.95" customHeight="1" x14ac:dyDescent="0.15"/>
    <row r="49553" s="76" customFormat="1" ht="21.95" customHeight="1" x14ac:dyDescent="0.15"/>
    <row r="49554" s="76" customFormat="1" ht="21.95" customHeight="1" x14ac:dyDescent="0.15"/>
    <row r="49555" s="76" customFormat="1" ht="21.95" customHeight="1" x14ac:dyDescent="0.15"/>
    <row r="49556" s="76" customFormat="1" ht="21.95" customHeight="1" x14ac:dyDescent="0.15"/>
    <row r="49557" s="76" customFormat="1" ht="21.95" customHeight="1" x14ac:dyDescent="0.15"/>
    <row r="49558" s="76" customFormat="1" ht="21.95" customHeight="1" x14ac:dyDescent="0.15"/>
    <row r="49559" s="76" customFormat="1" ht="21.95" customHeight="1" x14ac:dyDescent="0.15"/>
    <row r="49560" s="76" customFormat="1" ht="21.95" customHeight="1" x14ac:dyDescent="0.15"/>
    <row r="49561" s="76" customFormat="1" ht="21.95" customHeight="1" x14ac:dyDescent="0.15"/>
    <row r="49562" s="76" customFormat="1" ht="21.95" customHeight="1" x14ac:dyDescent="0.15"/>
    <row r="49563" s="76" customFormat="1" ht="21.95" customHeight="1" x14ac:dyDescent="0.15"/>
    <row r="49564" s="76" customFormat="1" ht="21.95" customHeight="1" x14ac:dyDescent="0.15"/>
    <row r="49565" s="76" customFormat="1" ht="21.95" customHeight="1" x14ac:dyDescent="0.15"/>
    <row r="49566" s="76" customFormat="1" ht="21.95" customHeight="1" x14ac:dyDescent="0.15"/>
    <row r="49567" s="76" customFormat="1" ht="21.95" customHeight="1" x14ac:dyDescent="0.15"/>
    <row r="49568" s="76" customFormat="1" ht="21.95" customHeight="1" x14ac:dyDescent="0.15"/>
    <row r="49569" s="76" customFormat="1" ht="21.95" customHeight="1" x14ac:dyDescent="0.15"/>
    <row r="49570" s="76" customFormat="1" ht="21.95" customHeight="1" x14ac:dyDescent="0.15"/>
    <row r="49571" s="76" customFormat="1" ht="21.95" customHeight="1" x14ac:dyDescent="0.15"/>
    <row r="49572" s="76" customFormat="1" ht="21.95" customHeight="1" x14ac:dyDescent="0.15"/>
    <row r="49573" s="76" customFormat="1" ht="21.95" customHeight="1" x14ac:dyDescent="0.15"/>
    <row r="49574" s="76" customFormat="1" ht="21.95" customHeight="1" x14ac:dyDescent="0.15"/>
    <row r="49575" s="76" customFormat="1" ht="21.95" customHeight="1" x14ac:dyDescent="0.15"/>
    <row r="49576" s="76" customFormat="1" ht="21.95" customHeight="1" x14ac:dyDescent="0.15"/>
    <row r="49577" s="76" customFormat="1" ht="21.95" customHeight="1" x14ac:dyDescent="0.15"/>
    <row r="49578" s="76" customFormat="1" ht="21.95" customHeight="1" x14ac:dyDescent="0.15"/>
    <row r="49579" s="76" customFormat="1" ht="21.95" customHeight="1" x14ac:dyDescent="0.15"/>
    <row r="49580" s="76" customFormat="1" ht="21.95" customHeight="1" x14ac:dyDescent="0.15"/>
    <row r="49581" s="76" customFormat="1" ht="21.95" customHeight="1" x14ac:dyDescent="0.15"/>
    <row r="49582" s="76" customFormat="1" ht="21.95" customHeight="1" x14ac:dyDescent="0.15"/>
    <row r="49583" s="76" customFormat="1" ht="21.95" customHeight="1" x14ac:dyDescent="0.15"/>
    <row r="49584" s="76" customFormat="1" ht="21.95" customHeight="1" x14ac:dyDescent="0.15"/>
    <row r="49585" s="76" customFormat="1" ht="21.95" customHeight="1" x14ac:dyDescent="0.15"/>
    <row r="49586" s="76" customFormat="1" ht="21.95" customHeight="1" x14ac:dyDescent="0.15"/>
    <row r="49587" s="76" customFormat="1" ht="21.95" customHeight="1" x14ac:dyDescent="0.15"/>
    <row r="49588" s="76" customFormat="1" ht="21.95" customHeight="1" x14ac:dyDescent="0.15"/>
    <row r="49589" s="76" customFormat="1" ht="21.95" customHeight="1" x14ac:dyDescent="0.15"/>
    <row r="49590" s="76" customFormat="1" ht="21.95" customHeight="1" x14ac:dyDescent="0.15"/>
    <row r="49591" s="76" customFormat="1" ht="21.95" customHeight="1" x14ac:dyDescent="0.15"/>
    <row r="49592" s="76" customFormat="1" ht="21.95" customHeight="1" x14ac:dyDescent="0.15"/>
    <row r="49593" s="76" customFormat="1" ht="35.1" customHeight="1" x14ac:dyDescent="0.15"/>
    <row r="49594" s="76" customFormat="1" ht="21.95" customHeight="1" x14ac:dyDescent="0.15"/>
    <row r="49595" s="76" customFormat="1" ht="21.95" customHeight="1" x14ac:dyDescent="0.15"/>
    <row r="49596" s="76" customFormat="1" ht="21.95" customHeight="1" x14ac:dyDescent="0.15"/>
    <row r="49597" s="76" customFormat="1" ht="21.95" customHeight="1" x14ac:dyDescent="0.15"/>
    <row r="49598" s="76" customFormat="1" ht="21.95" customHeight="1" x14ac:dyDescent="0.15"/>
    <row r="49599" s="76" customFormat="1" ht="21.95" customHeight="1" x14ac:dyDescent="0.15"/>
    <row r="49600" s="76" customFormat="1" ht="21.95" customHeight="1" x14ac:dyDescent="0.15"/>
    <row r="49601" s="76" customFormat="1" ht="21.95" customHeight="1" x14ac:dyDescent="0.15"/>
    <row r="49602" s="76" customFormat="1" ht="21.95" customHeight="1" x14ac:dyDescent="0.15"/>
    <row r="49603" s="76" customFormat="1" ht="21.95" customHeight="1" x14ac:dyDescent="0.15"/>
    <row r="49604" s="76" customFormat="1" ht="21.95" customHeight="1" x14ac:dyDescent="0.15"/>
    <row r="49605" s="76" customFormat="1" ht="21.95" customHeight="1" x14ac:dyDescent="0.15"/>
    <row r="49606" s="76" customFormat="1" ht="21.95" customHeight="1" x14ac:dyDescent="0.15"/>
    <row r="49607" s="76" customFormat="1" ht="21.95" customHeight="1" x14ac:dyDescent="0.15"/>
    <row r="49608" s="76" customFormat="1" ht="21.95" customHeight="1" x14ac:dyDescent="0.15"/>
    <row r="49609" s="76" customFormat="1" ht="21.95" customHeight="1" x14ac:dyDescent="0.15"/>
    <row r="49610" s="76" customFormat="1" ht="21.95" customHeight="1" x14ac:dyDescent="0.15"/>
    <row r="49611" s="76" customFormat="1" ht="21.95" customHeight="1" x14ac:dyDescent="0.15"/>
    <row r="49612" s="76" customFormat="1" ht="21.95" customHeight="1" x14ac:dyDescent="0.15"/>
    <row r="49613" s="76" customFormat="1" ht="21.95" customHeight="1" x14ac:dyDescent="0.15"/>
    <row r="49614" s="76" customFormat="1" ht="21.95" customHeight="1" x14ac:dyDescent="0.15"/>
    <row r="49615" s="76" customFormat="1" ht="21.95" customHeight="1" x14ac:dyDescent="0.15"/>
    <row r="49616" s="76" customFormat="1" ht="21.95" customHeight="1" x14ac:dyDescent="0.15"/>
    <row r="49617" spans="3:3" customFormat="1" ht="21.95" customHeight="1" x14ac:dyDescent="0.15"/>
    <row r="49618" spans="3:3" customFormat="1" ht="21.95" customHeight="1" x14ac:dyDescent="0.15"/>
    <row r="49619" spans="3:3" customFormat="1" ht="21.95" customHeight="1" x14ac:dyDescent="0.15">
      <c r="C49619" s="94"/>
    </row>
    <row r="49620" spans="3:3" customFormat="1" ht="21.95" customHeight="1" x14ac:dyDescent="0.15">
      <c r="C49620" s="94"/>
    </row>
    <row r="49621" spans="3:3" customFormat="1" ht="21.95" customHeight="1" x14ac:dyDescent="0.15"/>
    <row r="49622" spans="3:3" customFormat="1" ht="21.95" customHeight="1" x14ac:dyDescent="0.15"/>
    <row r="49623" spans="3:3" customFormat="1" ht="21.95" customHeight="1" x14ac:dyDescent="0.15"/>
    <row r="49624" spans="3:3" customFormat="1" ht="21.95" customHeight="1" x14ac:dyDescent="0.15"/>
    <row r="49625" spans="3:3" customFormat="1" ht="21.95" customHeight="1" x14ac:dyDescent="0.15"/>
    <row r="49626" spans="3:3" customFormat="1" ht="21.95" customHeight="1" x14ac:dyDescent="0.15"/>
    <row r="49627" spans="3:3" customFormat="1" ht="21.95" customHeight="1" x14ac:dyDescent="0.15"/>
    <row r="49628" spans="3:3" s="76" customFormat="1" ht="21.95" customHeight="1" x14ac:dyDescent="0.15"/>
    <row r="49629" spans="3:3" s="76" customFormat="1" ht="21.95" customHeight="1" x14ac:dyDescent="0.15"/>
    <row r="49630" spans="3:3" s="76" customFormat="1" ht="21.95" customHeight="1" x14ac:dyDescent="0.15"/>
    <row r="49631" spans="3:3" s="76" customFormat="1" ht="21.95" customHeight="1" x14ac:dyDescent="0.15"/>
    <row r="49632" spans="3:3" customFormat="1" ht="21.95" customHeight="1" x14ac:dyDescent="0.15"/>
    <row r="49633" customFormat="1" ht="21.95" customHeight="1" x14ac:dyDescent="0.15"/>
    <row r="49634" customFormat="1" ht="21.95" customHeight="1" x14ac:dyDescent="0.15"/>
    <row r="49635" customFormat="1" ht="21.95" customHeight="1" x14ac:dyDescent="0.15"/>
    <row r="49636" customFormat="1" ht="21.95" customHeight="1" x14ac:dyDescent="0.15"/>
    <row r="49637" customFormat="1" ht="21.95" customHeight="1" x14ac:dyDescent="0.15"/>
    <row r="49638" customFormat="1" ht="21.95" customHeight="1" x14ac:dyDescent="0.15"/>
    <row r="49639" customFormat="1" ht="21.95" customHeight="1" x14ac:dyDescent="0.15"/>
    <row r="49640" customFormat="1" ht="21.95" customHeight="1" x14ac:dyDescent="0.15"/>
    <row r="49641" customFormat="1" ht="21.95" customHeight="1" x14ac:dyDescent="0.15"/>
    <row r="49642" customFormat="1" ht="21.95" customHeight="1" x14ac:dyDescent="0.15"/>
    <row r="49643" customFormat="1" ht="32.1" customHeight="1" x14ac:dyDescent="0.15"/>
    <row r="49644" customFormat="1" ht="32.1" customHeight="1" x14ac:dyDescent="0.15"/>
    <row r="49645" customFormat="1" ht="32.1" customHeight="1" x14ac:dyDescent="0.15"/>
    <row r="49646" customFormat="1" ht="32.1" customHeight="1" x14ac:dyDescent="0.15"/>
    <row r="49647" customFormat="1" ht="32.1" customHeight="1" x14ac:dyDescent="0.15"/>
    <row r="49648" customFormat="1" ht="32.1" customHeight="1" x14ac:dyDescent="0.15"/>
    <row r="49649" s="76" customFormat="1" ht="32.1" customHeight="1" x14ac:dyDescent="0.15"/>
    <row r="49650" s="76" customFormat="1" ht="32.1" customHeight="1" x14ac:dyDescent="0.15"/>
    <row r="49651" s="76" customFormat="1" ht="32.1" customHeight="1" x14ac:dyDescent="0.15"/>
    <row r="49652" s="76" customFormat="1" ht="32.1" customHeight="1" x14ac:dyDescent="0.15"/>
    <row r="49653" s="76" customFormat="1" ht="21.95" customHeight="1" x14ac:dyDescent="0.15"/>
    <row r="49654" s="76" customFormat="1" ht="54" customHeight="1" x14ac:dyDescent="0.15"/>
    <row r="49655" s="76" customFormat="1" ht="21.95" customHeight="1" x14ac:dyDescent="0.15"/>
    <row r="49656" s="76" customFormat="1" ht="21.95" customHeight="1" x14ac:dyDescent="0.15"/>
    <row r="49657" s="76" customFormat="1" ht="21.95" customHeight="1" x14ac:dyDescent="0.15"/>
    <row r="49658" s="76" customFormat="1" ht="21.95" customHeight="1" x14ac:dyDescent="0.15"/>
    <row r="49659" s="76" customFormat="1" ht="21.95" customHeight="1" x14ac:dyDescent="0.15"/>
    <row r="49660" s="76" customFormat="1" ht="21.95" customHeight="1" x14ac:dyDescent="0.15"/>
    <row r="49661" s="76" customFormat="1" ht="21.95" customHeight="1" x14ac:dyDescent="0.15"/>
    <row r="49662" s="76" customFormat="1" ht="21.95" customHeight="1" x14ac:dyDescent="0.15"/>
    <row r="49663" s="76" customFormat="1" ht="21.95" customHeight="1" x14ac:dyDescent="0.15"/>
    <row r="49664" s="76" customFormat="1" ht="21.95" customHeight="1" x14ac:dyDescent="0.15"/>
    <row r="49665" s="76" customFormat="1" ht="21.95" customHeight="1" x14ac:dyDescent="0.15"/>
    <row r="49666" s="76" customFormat="1" ht="21.95" customHeight="1" x14ac:dyDescent="0.15"/>
    <row r="49667" s="76" customFormat="1" ht="21.95" customHeight="1" x14ac:dyDescent="0.15"/>
    <row r="49668" s="76" customFormat="1" ht="21.95" customHeight="1" x14ac:dyDescent="0.15"/>
    <row r="49669" s="76" customFormat="1" ht="21.95" customHeight="1" x14ac:dyDescent="0.15"/>
    <row r="49670" s="76" customFormat="1" ht="21.95" customHeight="1" x14ac:dyDescent="0.15"/>
    <row r="49671" s="76" customFormat="1" ht="21.95" customHeight="1" x14ac:dyDescent="0.15"/>
    <row r="49672" s="76" customFormat="1" ht="21.95" customHeight="1" x14ac:dyDescent="0.15"/>
    <row r="49673" s="76" customFormat="1" ht="21.95" customHeight="1" x14ac:dyDescent="0.15"/>
    <row r="49674" s="76" customFormat="1" ht="21.95" customHeight="1" x14ac:dyDescent="0.15"/>
    <row r="49675" s="76" customFormat="1" ht="21.95" customHeight="1" x14ac:dyDescent="0.15"/>
    <row r="49676" s="76" customFormat="1" ht="21.95" customHeight="1" x14ac:dyDescent="0.15"/>
    <row r="49677" s="76" customFormat="1" ht="21.95" customHeight="1" x14ac:dyDescent="0.15"/>
    <row r="49678" s="76" customFormat="1" ht="21.95" customHeight="1" x14ac:dyDescent="0.15"/>
    <row r="49679" s="76" customFormat="1" ht="21.95" customHeight="1" x14ac:dyDescent="0.15"/>
    <row r="49680" s="76" customFormat="1" ht="21.95" customHeight="1" x14ac:dyDescent="0.15"/>
    <row r="49681" s="76" customFormat="1" ht="21.95" customHeight="1" x14ac:dyDescent="0.15"/>
    <row r="49682" s="76" customFormat="1" ht="21.95" customHeight="1" x14ac:dyDescent="0.15"/>
    <row r="49683" s="76" customFormat="1" ht="21.95" customHeight="1" x14ac:dyDescent="0.15"/>
    <row r="49684" s="76" customFormat="1" ht="21.95" customHeight="1" x14ac:dyDescent="0.15"/>
    <row r="49685" s="76" customFormat="1" ht="21.95" customHeight="1" x14ac:dyDescent="0.15"/>
    <row r="49686" s="76" customFormat="1" ht="21.95" customHeight="1" x14ac:dyDescent="0.15"/>
    <row r="49687" s="76" customFormat="1" ht="21.95" customHeight="1" x14ac:dyDescent="0.15"/>
    <row r="49688" s="76" customFormat="1" ht="21.95" customHeight="1" x14ac:dyDescent="0.15"/>
    <row r="49689" s="76" customFormat="1" ht="21.95" customHeight="1" x14ac:dyDescent="0.15"/>
    <row r="49690" s="76" customFormat="1" ht="21.95" customHeight="1" x14ac:dyDescent="0.15"/>
    <row r="49691" s="76" customFormat="1" ht="21.95" customHeight="1" x14ac:dyDescent="0.15"/>
    <row r="49692" s="76" customFormat="1" ht="21.95" customHeight="1" x14ac:dyDescent="0.15"/>
    <row r="49693" s="76" customFormat="1" ht="21.95" customHeight="1" x14ac:dyDescent="0.15"/>
    <row r="49694" s="76" customFormat="1" ht="21.95" customHeight="1" x14ac:dyDescent="0.15"/>
    <row r="49695" s="76" customFormat="1" ht="21.95" customHeight="1" x14ac:dyDescent="0.15"/>
    <row r="49696" s="76" customFormat="1" ht="21.95" customHeight="1" x14ac:dyDescent="0.15"/>
    <row r="49697" s="76" customFormat="1" ht="21.95" customHeight="1" x14ac:dyDescent="0.15"/>
    <row r="49698" s="76" customFormat="1" ht="21.95" customHeight="1" x14ac:dyDescent="0.15"/>
    <row r="49699" s="76" customFormat="1" ht="21.95" customHeight="1" x14ac:dyDescent="0.15"/>
    <row r="49700" s="76" customFormat="1" ht="21.95" customHeight="1" x14ac:dyDescent="0.15"/>
    <row r="49701" s="76" customFormat="1" ht="21.95" customHeight="1" x14ac:dyDescent="0.15"/>
    <row r="49702" s="76" customFormat="1" ht="21.95" customHeight="1" x14ac:dyDescent="0.15"/>
    <row r="49703" s="76" customFormat="1" ht="21.95" customHeight="1" x14ac:dyDescent="0.15"/>
    <row r="49704" s="76" customFormat="1" ht="21.95" customHeight="1" x14ac:dyDescent="0.15"/>
    <row r="49705" s="76" customFormat="1" ht="35.1" customHeight="1" x14ac:dyDescent="0.15"/>
    <row r="49706" s="76" customFormat="1" ht="21.95" customHeight="1" x14ac:dyDescent="0.15"/>
    <row r="49707" s="76" customFormat="1" ht="21.95" customHeight="1" x14ac:dyDescent="0.15"/>
    <row r="49708" s="76" customFormat="1" ht="21.95" customHeight="1" x14ac:dyDescent="0.15"/>
    <row r="49709" s="76" customFormat="1" ht="21.95" customHeight="1" x14ac:dyDescent="0.15"/>
    <row r="49710" s="76" customFormat="1" ht="21.95" customHeight="1" x14ac:dyDescent="0.15"/>
    <row r="49711" s="76" customFormat="1" ht="21.95" customHeight="1" x14ac:dyDescent="0.15"/>
    <row r="49712" s="76" customFormat="1" ht="21.95" customHeight="1" x14ac:dyDescent="0.15"/>
    <row r="49713" s="76" customFormat="1" ht="21.95" customHeight="1" x14ac:dyDescent="0.15"/>
    <row r="49714" s="76" customFormat="1" ht="21.95" customHeight="1" x14ac:dyDescent="0.15"/>
    <row r="49715" s="76" customFormat="1" ht="21.95" customHeight="1" x14ac:dyDescent="0.15"/>
    <row r="49716" s="76" customFormat="1" ht="21.95" customHeight="1" x14ac:dyDescent="0.15"/>
    <row r="49717" s="76" customFormat="1" ht="21.95" customHeight="1" x14ac:dyDescent="0.15"/>
    <row r="49718" s="76" customFormat="1" ht="21.95" customHeight="1" x14ac:dyDescent="0.15"/>
    <row r="49719" s="76" customFormat="1" ht="21.95" customHeight="1" x14ac:dyDescent="0.15"/>
    <row r="49720" s="76" customFormat="1" ht="21.95" customHeight="1" x14ac:dyDescent="0.15"/>
    <row r="49721" s="76" customFormat="1" ht="21.95" customHeight="1" x14ac:dyDescent="0.15"/>
    <row r="49722" s="76" customFormat="1" ht="21.95" customHeight="1" x14ac:dyDescent="0.15"/>
    <row r="49723" s="76" customFormat="1" ht="21.95" customHeight="1" x14ac:dyDescent="0.15"/>
    <row r="49724" s="76" customFormat="1" ht="21.95" customHeight="1" x14ac:dyDescent="0.15"/>
    <row r="49725" s="76" customFormat="1" ht="21.95" customHeight="1" x14ac:dyDescent="0.15"/>
    <row r="49726" s="76" customFormat="1" ht="21.95" customHeight="1" x14ac:dyDescent="0.15"/>
    <row r="49727" s="76" customFormat="1" ht="21.95" customHeight="1" x14ac:dyDescent="0.15"/>
    <row r="49728" s="76" customFormat="1" ht="21.95" customHeight="1" x14ac:dyDescent="0.15"/>
    <row r="49729" spans="3:3" customFormat="1" ht="21.95" customHeight="1" x14ac:dyDescent="0.15"/>
    <row r="49730" spans="3:3" customFormat="1" ht="21.95" customHeight="1" x14ac:dyDescent="0.15"/>
    <row r="49731" spans="3:3" customFormat="1" ht="21.95" customHeight="1" x14ac:dyDescent="0.15">
      <c r="C49731" s="94"/>
    </row>
    <row r="49732" spans="3:3" customFormat="1" ht="21.95" customHeight="1" x14ac:dyDescent="0.15">
      <c r="C49732" s="94"/>
    </row>
    <row r="49733" spans="3:3" customFormat="1" ht="21.95" customHeight="1" x14ac:dyDescent="0.15"/>
    <row r="49734" spans="3:3" customFormat="1" ht="21.95" customHeight="1" x14ac:dyDescent="0.15"/>
    <row r="49735" spans="3:3" customFormat="1" ht="21.95" customHeight="1" x14ac:dyDescent="0.15"/>
    <row r="49736" spans="3:3" customFormat="1" ht="21.95" customHeight="1" x14ac:dyDescent="0.15"/>
    <row r="49737" spans="3:3" customFormat="1" ht="21.95" customHeight="1" x14ac:dyDescent="0.15"/>
    <row r="49738" spans="3:3" customFormat="1" ht="21.95" customHeight="1" x14ac:dyDescent="0.15"/>
    <row r="49739" spans="3:3" customFormat="1" ht="21.95" customHeight="1" x14ac:dyDescent="0.15"/>
    <row r="49740" spans="3:3" s="76" customFormat="1" ht="21.95" customHeight="1" x14ac:dyDescent="0.15"/>
    <row r="49741" spans="3:3" s="76" customFormat="1" ht="21.95" customHeight="1" x14ac:dyDescent="0.15"/>
    <row r="49742" spans="3:3" s="76" customFormat="1" ht="21.95" customHeight="1" x14ac:dyDescent="0.15"/>
    <row r="49743" spans="3:3" s="76" customFormat="1" ht="21.95" customHeight="1" x14ac:dyDescent="0.15"/>
    <row r="49744" spans="3:3" customFormat="1" ht="21.95" customHeight="1" x14ac:dyDescent="0.15"/>
    <row r="49745" customFormat="1" ht="21.95" customHeight="1" x14ac:dyDescent="0.15"/>
    <row r="49746" customFormat="1" ht="21.95" customHeight="1" x14ac:dyDescent="0.15"/>
    <row r="49747" customFormat="1" ht="21.95" customHeight="1" x14ac:dyDescent="0.15"/>
    <row r="49748" customFormat="1" ht="21.95" customHeight="1" x14ac:dyDescent="0.15"/>
    <row r="49749" customFormat="1" ht="21.95" customHeight="1" x14ac:dyDescent="0.15"/>
    <row r="49750" customFormat="1" ht="21.95" customHeight="1" x14ac:dyDescent="0.15"/>
    <row r="49751" customFormat="1" ht="21.95" customHeight="1" x14ac:dyDescent="0.15"/>
    <row r="49752" customFormat="1" ht="21.95" customHeight="1" x14ac:dyDescent="0.15"/>
    <row r="49753" customFormat="1" ht="21.95" customHeight="1" x14ac:dyDescent="0.15"/>
    <row r="49754" customFormat="1" ht="21.95" customHeight="1" x14ac:dyDescent="0.15"/>
    <row r="49755" customFormat="1" ht="32.1" customHeight="1" x14ac:dyDescent="0.15"/>
    <row r="49756" customFormat="1" ht="32.1" customHeight="1" x14ac:dyDescent="0.15"/>
    <row r="49757" customFormat="1" ht="32.1" customHeight="1" x14ac:dyDescent="0.15"/>
    <row r="49758" customFormat="1" ht="32.1" customHeight="1" x14ac:dyDescent="0.15"/>
    <row r="49759" customFormat="1" ht="32.1" customHeight="1" x14ac:dyDescent="0.15"/>
    <row r="49760" customFormat="1" ht="32.1" customHeight="1" x14ac:dyDescent="0.15"/>
    <row r="49761" s="76" customFormat="1" ht="32.1" customHeight="1" x14ac:dyDescent="0.15"/>
    <row r="49762" s="76" customFormat="1" ht="32.1" customHeight="1" x14ac:dyDescent="0.15"/>
    <row r="49763" s="76" customFormat="1" ht="32.1" customHeight="1" x14ac:dyDescent="0.15"/>
    <row r="49764" s="76" customFormat="1" ht="32.1" customHeight="1" x14ac:dyDescent="0.15"/>
    <row r="49765" s="76" customFormat="1" ht="21.95" customHeight="1" x14ac:dyDescent="0.15"/>
    <row r="49766" s="76" customFormat="1" ht="54" customHeight="1" x14ac:dyDescent="0.15"/>
    <row r="49767" s="76" customFormat="1" ht="21.95" customHeight="1" x14ac:dyDescent="0.15"/>
    <row r="49768" s="76" customFormat="1" ht="21.95" customHeight="1" x14ac:dyDescent="0.15"/>
    <row r="49769" s="76" customFormat="1" ht="21.95" customHeight="1" x14ac:dyDescent="0.15"/>
    <row r="49770" s="76" customFormat="1" ht="21.95" customHeight="1" x14ac:dyDescent="0.15"/>
    <row r="49771" s="76" customFormat="1" ht="21.95" customHeight="1" x14ac:dyDescent="0.15"/>
    <row r="49772" s="76" customFormat="1" ht="21.95" customHeight="1" x14ac:dyDescent="0.15"/>
    <row r="49773" s="76" customFormat="1" ht="21.95" customHeight="1" x14ac:dyDescent="0.15"/>
    <row r="49774" s="76" customFormat="1" ht="21.95" customHeight="1" x14ac:dyDescent="0.15"/>
    <row r="49775" s="76" customFormat="1" ht="21.95" customHeight="1" x14ac:dyDescent="0.15"/>
    <row r="49776" s="76" customFormat="1" ht="21.95" customHeight="1" x14ac:dyDescent="0.15"/>
    <row r="49777" s="76" customFormat="1" ht="21.95" customHeight="1" x14ac:dyDescent="0.15"/>
    <row r="49778" s="76" customFormat="1" ht="21.95" customHeight="1" x14ac:dyDescent="0.15"/>
    <row r="49779" s="76" customFormat="1" ht="21.95" customHeight="1" x14ac:dyDescent="0.15"/>
    <row r="49780" s="76" customFormat="1" ht="21.95" customHeight="1" x14ac:dyDescent="0.15"/>
    <row r="49781" s="76" customFormat="1" ht="21.95" customHeight="1" x14ac:dyDescent="0.15"/>
    <row r="49782" s="76" customFormat="1" ht="21.95" customHeight="1" x14ac:dyDescent="0.15"/>
    <row r="49783" s="76" customFormat="1" ht="21.95" customHeight="1" x14ac:dyDescent="0.15"/>
    <row r="49784" s="76" customFormat="1" ht="21.95" customHeight="1" x14ac:dyDescent="0.15"/>
    <row r="49785" s="76" customFormat="1" ht="21.95" customHeight="1" x14ac:dyDescent="0.15"/>
    <row r="49786" s="76" customFormat="1" ht="21.95" customHeight="1" x14ac:dyDescent="0.15"/>
    <row r="49787" s="76" customFormat="1" ht="21.95" customHeight="1" x14ac:dyDescent="0.15"/>
    <row r="49788" s="76" customFormat="1" ht="21.95" customHeight="1" x14ac:dyDescent="0.15"/>
    <row r="49789" s="76" customFormat="1" ht="21.95" customHeight="1" x14ac:dyDescent="0.15"/>
    <row r="49790" s="76" customFormat="1" ht="21.95" customHeight="1" x14ac:dyDescent="0.15"/>
    <row r="49791" s="76" customFormat="1" ht="21.95" customHeight="1" x14ac:dyDescent="0.15"/>
    <row r="49792" s="76" customFormat="1" ht="21.95" customHeight="1" x14ac:dyDescent="0.15"/>
    <row r="49793" s="76" customFormat="1" ht="21.95" customHeight="1" x14ac:dyDescent="0.15"/>
    <row r="49794" s="76" customFormat="1" ht="21.95" customHeight="1" x14ac:dyDescent="0.15"/>
    <row r="49795" s="76" customFormat="1" ht="21.95" customHeight="1" x14ac:dyDescent="0.15"/>
    <row r="49796" s="76" customFormat="1" ht="21.95" customHeight="1" x14ac:dyDescent="0.15"/>
    <row r="49797" s="76" customFormat="1" ht="21.95" customHeight="1" x14ac:dyDescent="0.15"/>
    <row r="49798" s="76" customFormat="1" ht="21.95" customHeight="1" x14ac:dyDescent="0.15"/>
    <row r="49799" s="76" customFormat="1" ht="21.95" customHeight="1" x14ac:dyDescent="0.15"/>
    <row r="49800" s="76" customFormat="1" ht="21.95" customHeight="1" x14ac:dyDescent="0.15"/>
    <row r="49801" s="76" customFormat="1" ht="21.95" customHeight="1" x14ac:dyDescent="0.15"/>
    <row r="49802" s="76" customFormat="1" ht="21.95" customHeight="1" x14ac:dyDescent="0.15"/>
    <row r="49803" s="76" customFormat="1" ht="21.95" customHeight="1" x14ac:dyDescent="0.15"/>
    <row r="49804" s="76" customFormat="1" ht="21.95" customHeight="1" x14ac:dyDescent="0.15"/>
    <row r="49805" s="76" customFormat="1" ht="21.95" customHeight="1" x14ac:dyDescent="0.15"/>
    <row r="49806" s="76" customFormat="1" ht="21.95" customHeight="1" x14ac:dyDescent="0.15"/>
    <row r="49807" s="76" customFormat="1" ht="21.95" customHeight="1" x14ac:dyDescent="0.15"/>
    <row r="49808" s="76" customFormat="1" ht="21.95" customHeight="1" x14ac:dyDescent="0.15"/>
    <row r="49809" s="76" customFormat="1" ht="21.95" customHeight="1" x14ac:dyDescent="0.15"/>
    <row r="49810" s="76" customFormat="1" ht="21.95" customHeight="1" x14ac:dyDescent="0.15"/>
    <row r="49811" s="76" customFormat="1" ht="21.95" customHeight="1" x14ac:dyDescent="0.15"/>
    <row r="49812" s="76" customFormat="1" ht="21.95" customHeight="1" x14ac:dyDescent="0.15"/>
    <row r="49813" s="76" customFormat="1" ht="21.95" customHeight="1" x14ac:dyDescent="0.15"/>
    <row r="49814" s="76" customFormat="1" ht="21.95" customHeight="1" x14ac:dyDescent="0.15"/>
    <row r="49815" s="76" customFormat="1" ht="21.95" customHeight="1" x14ac:dyDescent="0.15"/>
    <row r="49816" s="76" customFormat="1" ht="21.95" customHeight="1" x14ac:dyDescent="0.15"/>
    <row r="49817" s="76" customFormat="1" ht="35.1" customHeight="1" x14ac:dyDescent="0.15"/>
    <row r="49818" s="76" customFormat="1" ht="21.95" customHeight="1" x14ac:dyDescent="0.15"/>
    <row r="49819" s="76" customFormat="1" ht="21.95" customHeight="1" x14ac:dyDescent="0.15"/>
    <row r="49820" s="76" customFormat="1" ht="21.95" customHeight="1" x14ac:dyDescent="0.15"/>
    <row r="49821" s="76" customFormat="1" ht="21.95" customHeight="1" x14ac:dyDescent="0.15"/>
    <row r="49822" s="76" customFormat="1" ht="21.95" customHeight="1" x14ac:dyDescent="0.15"/>
    <row r="49823" s="76" customFormat="1" ht="21.95" customHeight="1" x14ac:dyDescent="0.15"/>
    <row r="49824" s="76" customFormat="1" ht="21.95" customHeight="1" x14ac:dyDescent="0.15"/>
    <row r="49825" s="76" customFormat="1" ht="21.95" customHeight="1" x14ac:dyDescent="0.15"/>
    <row r="49826" s="76" customFormat="1" ht="21.95" customHeight="1" x14ac:dyDescent="0.15"/>
    <row r="49827" s="76" customFormat="1" ht="21.95" customHeight="1" x14ac:dyDescent="0.15"/>
    <row r="49828" s="76" customFormat="1" ht="21.95" customHeight="1" x14ac:dyDescent="0.15"/>
    <row r="49829" s="76" customFormat="1" ht="21.95" customHeight="1" x14ac:dyDescent="0.15"/>
    <row r="49830" s="76" customFormat="1" ht="21.95" customHeight="1" x14ac:dyDescent="0.15"/>
    <row r="49831" s="76" customFormat="1" ht="21.95" customHeight="1" x14ac:dyDescent="0.15"/>
    <row r="49832" s="76" customFormat="1" ht="21.95" customHeight="1" x14ac:dyDescent="0.15"/>
    <row r="49833" s="76" customFormat="1" ht="21.95" customHeight="1" x14ac:dyDescent="0.15"/>
    <row r="49834" s="76" customFormat="1" ht="21.95" customHeight="1" x14ac:dyDescent="0.15"/>
    <row r="49835" s="76" customFormat="1" ht="21.95" customHeight="1" x14ac:dyDescent="0.15"/>
    <row r="49836" s="76" customFormat="1" ht="21.95" customHeight="1" x14ac:dyDescent="0.15"/>
    <row r="49837" s="76" customFormat="1" ht="21.95" customHeight="1" x14ac:dyDescent="0.15"/>
    <row r="49838" s="76" customFormat="1" ht="21.95" customHeight="1" x14ac:dyDescent="0.15"/>
    <row r="49839" s="76" customFormat="1" ht="21.95" customHeight="1" x14ac:dyDescent="0.15"/>
    <row r="49840" s="76" customFormat="1" ht="21.95" customHeight="1" x14ac:dyDescent="0.15"/>
    <row r="49841" spans="3:3" customFormat="1" ht="21.95" customHeight="1" x14ac:dyDescent="0.15"/>
    <row r="49842" spans="3:3" customFormat="1" ht="21.95" customHeight="1" x14ac:dyDescent="0.15"/>
    <row r="49843" spans="3:3" customFormat="1" ht="21.95" customHeight="1" x14ac:dyDescent="0.15">
      <c r="C49843" s="94"/>
    </row>
    <row r="49844" spans="3:3" customFormat="1" ht="21.95" customHeight="1" x14ac:dyDescent="0.15">
      <c r="C49844" s="94"/>
    </row>
    <row r="49845" spans="3:3" customFormat="1" ht="21.95" customHeight="1" x14ac:dyDescent="0.15"/>
    <row r="49846" spans="3:3" customFormat="1" ht="21.95" customHeight="1" x14ac:dyDescent="0.15"/>
    <row r="49847" spans="3:3" customFormat="1" ht="21.95" customHeight="1" x14ac:dyDescent="0.15"/>
    <row r="49848" spans="3:3" customFormat="1" ht="21.95" customHeight="1" x14ac:dyDescent="0.15"/>
    <row r="49849" spans="3:3" customFormat="1" ht="21.95" customHeight="1" x14ac:dyDescent="0.15"/>
    <row r="49850" spans="3:3" customFormat="1" ht="21.95" customHeight="1" x14ac:dyDescent="0.15"/>
    <row r="49851" spans="3:3" customFormat="1" ht="21.95" customHeight="1" x14ac:dyDescent="0.15"/>
    <row r="49852" spans="3:3" s="76" customFormat="1" ht="21.95" customHeight="1" x14ac:dyDescent="0.15"/>
    <row r="49853" spans="3:3" s="76" customFormat="1" ht="21.95" customHeight="1" x14ac:dyDescent="0.15"/>
    <row r="49854" spans="3:3" s="76" customFormat="1" ht="21.95" customHeight="1" x14ac:dyDescent="0.15"/>
    <row r="49855" spans="3:3" s="76" customFormat="1" ht="21.95" customHeight="1" x14ac:dyDescent="0.15"/>
    <row r="49856" spans="3:3" customFormat="1" ht="21.95" customHeight="1" x14ac:dyDescent="0.15"/>
    <row r="49857" customFormat="1" ht="21.95" customHeight="1" x14ac:dyDescent="0.15"/>
    <row r="49858" customFormat="1" ht="21.95" customHeight="1" x14ac:dyDescent="0.15"/>
    <row r="49859" customFormat="1" ht="21.95" customHeight="1" x14ac:dyDescent="0.15"/>
    <row r="49860" customFormat="1" ht="21.95" customHeight="1" x14ac:dyDescent="0.15"/>
    <row r="49861" customFormat="1" ht="21.95" customHeight="1" x14ac:dyDescent="0.15"/>
    <row r="49862" customFormat="1" ht="21.95" customHeight="1" x14ac:dyDescent="0.15"/>
    <row r="49863" customFormat="1" ht="21.95" customHeight="1" x14ac:dyDescent="0.15"/>
    <row r="49864" customFormat="1" ht="21.95" customHeight="1" x14ac:dyDescent="0.15"/>
    <row r="49865" customFormat="1" ht="21.95" customHeight="1" x14ac:dyDescent="0.15"/>
    <row r="49866" customFormat="1" ht="21.95" customHeight="1" x14ac:dyDescent="0.15"/>
    <row r="49867" customFormat="1" ht="32.1" customHeight="1" x14ac:dyDescent="0.15"/>
    <row r="49868" customFormat="1" ht="32.1" customHeight="1" x14ac:dyDescent="0.15"/>
    <row r="49869" customFormat="1" ht="32.1" customHeight="1" x14ac:dyDescent="0.15"/>
    <row r="49870" customFormat="1" ht="32.1" customHeight="1" x14ac:dyDescent="0.15"/>
    <row r="49871" customFormat="1" ht="32.1" customHeight="1" x14ac:dyDescent="0.15"/>
    <row r="49872" customFormat="1" ht="32.1" customHeight="1" x14ac:dyDescent="0.15"/>
    <row r="49873" s="76" customFormat="1" ht="32.1" customHeight="1" x14ac:dyDescent="0.15"/>
    <row r="49874" s="76" customFormat="1" ht="32.1" customHeight="1" x14ac:dyDescent="0.15"/>
    <row r="49875" s="76" customFormat="1" ht="32.1" customHeight="1" x14ac:dyDescent="0.15"/>
    <row r="49876" s="76" customFormat="1" ht="32.1" customHeight="1" x14ac:dyDescent="0.15"/>
    <row r="49877" s="76" customFormat="1" ht="21.95" customHeight="1" x14ac:dyDescent="0.15"/>
    <row r="49878" s="76" customFormat="1" ht="54" customHeight="1" x14ac:dyDescent="0.15"/>
    <row r="49879" s="76" customFormat="1" ht="21.95" customHeight="1" x14ac:dyDescent="0.15"/>
    <row r="49880" s="76" customFormat="1" ht="21.95" customHeight="1" x14ac:dyDescent="0.15"/>
    <row r="49881" s="76" customFormat="1" ht="21.95" customHeight="1" x14ac:dyDescent="0.15"/>
    <row r="49882" s="76" customFormat="1" ht="21.95" customHeight="1" x14ac:dyDescent="0.15"/>
    <row r="49883" s="76" customFormat="1" ht="21.95" customHeight="1" x14ac:dyDescent="0.15"/>
    <row r="49884" s="76" customFormat="1" ht="21.95" customHeight="1" x14ac:dyDescent="0.15"/>
    <row r="49885" s="76" customFormat="1" ht="21.95" customHeight="1" x14ac:dyDescent="0.15"/>
    <row r="49886" s="76" customFormat="1" ht="21.95" customHeight="1" x14ac:dyDescent="0.15"/>
    <row r="49887" s="76" customFormat="1" ht="21.95" customHeight="1" x14ac:dyDescent="0.15"/>
    <row r="49888" s="76" customFormat="1" ht="21.95" customHeight="1" x14ac:dyDescent="0.15"/>
    <row r="49889" s="76" customFormat="1" ht="21.95" customHeight="1" x14ac:dyDescent="0.15"/>
    <row r="49890" s="76" customFormat="1" ht="21.95" customHeight="1" x14ac:dyDescent="0.15"/>
    <row r="49891" s="76" customFormat="1" ht="21.95" customHeight="1" x14ac:dyDescent="0.15"/>
    <row r="49892" s="76" customFormat="1" ht="21.95" customHeight="1" x14ac:dyDescent="0.15"/>
    <row r="49893" s="76" customFormat="1" ht="21.95" customHeight="1" x14ac:dyDescent="0.15"/>
    <row r="49894" s="76" customFormat="1" ht="21.95" customHeight="1" x14ac:dyDescent="0.15"/>
    <row r="49895" s="76" customFormat="1" ht="21.95" customHeight="1" x14ac:dyDescent="0.15"/>
    <row r="49896" s="76" customFormat="1" ht="21.95" customHeight="1" x14ac:dyDescent="0.15"/>
    <row r="49897" s="76" customFormat="1" ht="21.95" customHeight="1" x14ac:dyDescent="0.15"/>
    <row r="49898" s="76" customFormat="1" ht="21.95" customHeight="1" x14ac:dyDescent="0.15"/>
    <row r="49899" s="76" customFormat="1" ht="21.95" customHeight="1" x14ac:dyDescent="0.15"/>
    <row r="49900" s="76" customFormat="1" ht="21.95" customHeight="1" x14ac:dyDescent="0.15"/>
    <row r="49901" s="76" customFormat="1" ht="21.95" customHeight="1" x14ac:dyDescent="0.15"/>
    <row r="49902" s="76" customFormat="1" ht="21.95" customHeight="1" x14ac:dyDescent="0.15"/>
    <row r="49903" s="76" customFormat="1" ht="21.95" customHeight="1" x14ac:dyDescent="0.15"/>
    <row r="49904" s="76" customFormat="1" ht="21.95" customHeight="1" x14ac:dyDescent="0.15"/>
    <row r="49905" s="76" customFormat="1" ht="21.95" customHeight="1" x14ac:dyDescent="0.15"/>
    <row r="49906" s="76" customFormat="1" ht="21.95" customHeight="1" x14ac:dyDescent="0.15"/>
    <row r="49907" s="76" customFormat="1" ht="21.95" customHeight="1" x14ac:dyDescent="0.15"/>
    <row r="49908" s="76" customFormat="1" ht="21.95" customHeight="1" x14ac:dyDescent="0.15"/>
    <row r="49909" s="76" customFormat="1" ht="21.95" customHeight="1" x14ac:dyDescent="0.15"/>
    <row r="49910" s="76" customFormat="1" ht="21.95" customHeight="1" x14ac:dyDescent="0.15"/>
    <row r="49911" s="76" customFormat="1" ht="21.95" customHeight="1" x14ac:dyDescent="0.15"/>
    <row r="49912" s="76" customFormat="1" ht="21.95" customHeight="1" x14ac:dyDescent="0.15"/>
    <row r="49913" s="76" customFormat="1" ht="21.95" customHeight="1" x14ac:dyDescent="0.15"/>
    <row r="49914" s="76" customFormat="1" ht="21.95" customHeight="1" x14ac:dyDescent="0.15"/>
    <row r="49915" s="76" customFormat="1" ht="21.95" customHeight="1" x14ac:dyDescent="0.15"/>
    <row r="49916" s="76" customFormat="1" ht="21.95" customHeight="1" x14ac:dyDescent="0.15"/>
    <row r="49917" s="76" customFormat="1" ht="21.95" customHeight="1" x14ac:dyDescent="0.15"/>
    <row r="49918" s="76" customFormat="1" ht="21.95" customHeight="1" x14ac:dyDescent="0.15"/>
    <row r="49919" s="76" customFormat="1" ht="21.95" customHeight="1" x14ac:dyDescent="0.15"/>
    <row r="49920" s="76" customFormat="1" ht="21.95" customHeight="1" x14ac:dyDescent="0.15"/>
    <row r="49921" s="76" customFormat="1" ht="21.95" customHeight="1" x14ac:dyDescent="0.15"/>
    <row r="49922" s="76" customFormat="1" ht="21.95" customHeight="1" x14ac:dyDescent="0.15"/>
    <row r="49923" s="76" customFormat="1" ht="21.95" customHeight="1" x14ac:dyDescent="0.15"/>
    <row r="49924" s="76" customFormat="1" ht="21.95" customHeight="1" x14ac:dyDescent="0.15"/>
    <row r="49925" s="76" customFormat="1" ht="21.95" customHeight="1" x14ac:dyDescent="0.15"/>
    <row r="49926" s="76" customFormat="1" ht="21.95" customHeight="1" x14ac:dyDescent="0.15"/>
    <row r="49927" s="76" customFormat="1" ht="21.95" customHeight="1" x14ac:dyDescent="0.15"/>
    <row r="49928" s="76" customFormat="1" ht="21.95" customHeight="1" x14ac:dyDescent="0.15"/>
    <row r="49929" s="76" customFormat="1" ht="35.1" customHeight="1" x14ac:dyDescent="0.15"/>
    <row r="49930" s="76" customFormat="1" ht="21.95" customHeight="1" x14ac:dyDescent="0.15"/>
    <row r="49931" s="76" customFormat="1" ht="21.95" customHeight="1" x14ac:dyDescent="0.15"/>
    <row r="49932" s="76" customFormat="1" ht="21.95" customHeight="1" x14ac:dyDescent="0.15"/>
    <row r="49933" s="76" customFormat="1" ht="21.95" customHeight="1" x14ac:dyDescent="0.15"/>
    <row r="49934" s="76" customFormat="1" ht="21.95" customHeight="1" x14ac:dyDescent="0.15"/>
    <row r="49935" s="76" customFormat="1" ht="21.95" customHeight="1" x14ac:dyDescent="0.15"/>
    <row r="49936" s="76" customFormat="1" ht="21.95" customHeight="1" x14ac:dyDescent="0.15"/>
    <row r="49937" s="76" customFormat="1" ht="21.95" customHeight="1" x14ac:dyDescent="0.15"/>
    <row r="49938" s="76" customFormat="1" ht="21.95" customHeight="1" x14ac:dyDescent="0.15"/>
    <row r="49939" s="76" customFormat="1" ht="21.95" customHeight="1" x14ac:dyDescent="0.15"/>
    <row r="49940" s="76" customFormat="1" ht="21.95" customHeight="1" x14ac:dyDescent="0.15"/>
    <row r="49941" s="76" customFormat="1" ht="21.95" customHeight="1" x14ac:dyDescent="0.15"/>
    <row r="49942" s="76" customFormat="1" ht="21.95" customHeight="1" x14ac:dyDescent="0.15"/>
    <row r="49943" s="76" customFormat="1" ht="21.95" customHeight="1" x14ac:dyDescent="0.15"/>
    <row r="49944" s="76" customFormat="1" ht="21.95" customHeight="1" x14ac:dyDescent="0.15"/>
    <row r="49945" s="76" customFormat="1" ht="21.95" customHeight="1" x14ac:dyDescent="0.15"/>
    <row r="49946" s="76" customFormat="1" ht="21.95" customHeight="1" x14ac:dyDescent="0.15"/>
    <row r="49947" s="76" customFormat="1" ht="21.95" customHeight="1" x14ac:dyDescent="0.15"/>
    <row r="49948" s="76" customFormat="1" ht="21.95" customHeight="1" x14ac:dyDescent="0.15"/>
    <row r="49949" s="76" customFormat="1" ht="21.95" customHeight="1" x14ac:dyDescent="0.15"/>
    <row r="49950" s="76" customFormat="1" ht="21.95" customHeight="1" x14ac:dyDescent="0.15"/>
    <row r="49951" s="76" customFormat="1" ht="21.95" customHeight="1" x14ac:dyDescent="0.15"/>
    <row r="49952" s="76" customFormat="1" ht="21.95" customHeight="1" x14ac:dyDescent="0.15"/>
    <row r="49953" spans="3:3" customFormat="1" ht="21.95" customHeight="1" x14ac:dyDescent="0.15"/>
    <row r="49954" spans="3:3" customFormat="1" ht="21.95" customHeight="1" x14ac:dyDescent="0.15"/>
    <row r="49955" spans="3:3" customFormat="1" ht="21.95" customHeight="1" x14ac:dyDescent="0.15">
      <c r="C49955" s="94"/>
    </row>
    <row r="49956" spans="3:3" customFormat="1" ht="21.95" customHeight="1" x14ac:dyDescent="0.15">
      <c r="C49956" s="94"/>
    </row>
    <row r="49957" spans="3:3" customFormat="1" ht="21.95" customHeight="1" x14ac:dyDescent="0.15"/>
    <row r="49958" spans="3:3" customFormat="1" ht="21.95" customHeight="1" x14ac:dyDescent="0.15"/>
    <row r="49959" spans="3:3" customFormat="1" ht="21.95" customHeight="1" x14ac:dyDescent="0.15"/>
    <row r="49960" spans="3:3" customFormat="1" ht="21.95" customHeight="1" x14ac:dyDescent="0.15"/>
    <row r="49961" spans="3:3" customFormat="1" ht="21.95" customHeight="1" x14ac:dyDescent="0.15"/>
    <row r="49962" spans="3:3" customFormat="1" ht="21.95" customHeight="1" x14ac:dyDescent="0.15"/>
    <row r="49963" spans="3:3" customFormat="1" ht="21.95" customHeight="1" x14ac:dyDescent="0.15"/>
    <row r="49964" spans="3:3" s="76" customFormat="1" ht="21.95" customHeight="1" x14ac:dyDescent="0.15"/>
    <row r="49965" spans="3:3" s="76" customFormat="1" ht="21.95" customHeight="1" x14ac:dyDescent="0.15"/>
    <row r="49966" spans="3:3" s="76" customFormat="1" ht="21.95" customHeight="1" x14ac:dyDescent="0.15"/>
    <row r="49967" spans="3:3" s="76" customFormat="1" ht="21.95" customHeight="1" x14ac:dyDescent="0.15"/>
    <row r="49968" spans="3:3" customFormat="1" ht="21.95" customHeight="1" x14ac:dyDescent="0.15"/>
    <row r="49969" customFormat="1" ht="21.95" customHeight="1" x14ac:dyDescent="0.15"/>
    <row r="49970" customFormat="1" ht="21.95" customHeight="1" x14ac:dyDescent="0.15"/>
    <row r="49971" customFormat="1" ht="21.95" customHeight="1" x14ac:dyDescent="0.15"/>
    <row r="49972" customFormat="1" ht="21.95" customHeight="1" x14ac:dyDescent="0.15"/>
    <row r="49973" customFormat="1" ht="21.95" customHeight="1" x14ac:dyDescent="0.15"/>
    <row r="49974" customFormat="1" ht="21.95" customHeight="1" x14ac:dyDescent="0.15"/>
    <row r="49975" customFormat="1" ht="21.95" customHeight="1" x14ac:dyDescent="0.15"/>
    <row r="49976" customFormat="1" ht="21.95" customHeight="1" x14ac:dyDescent="0.15"/>
    <row r="49977" customFormat="1" ht="21.95" customHeight="1" x14ac:dyDescent="0.15"/>
    <row r="49978" customFormat="1" ht="21.95" customHeight="1" x14ac:dyDescent="0.15"/>
    <row r="49979" customFormat="1" ht="32.1" customHeight="1" x14ac:dyDescent="0.15"/>
    <row r="49980" customFormat="1" ht="32.1" customHeight="1" x14ac:dyDescent="0.15"/>
    <row r="49981" customFormat="1" ht="32.1" customHeight="1" x14ac:dyDescent="0.15"/>
    <row r="49982" customFormat="1" ht="32.1" customHeight="1" x14ac:dyDescent="0.15"/>
    <row r="49983" customFormat="1" ht="32.1" customHeight="1" x14ac:dyDescent="0.15"/>
    <row r="49984" customFormat="1" ht="32.1" customHeight="1" x14ac:dyDescent="0.15"/>
    <row r="49985" s="76" customFormat="1" ht="32.1" customHeight="1" x14ac:dyDescent="0.15"/>
    <row r="49986" s="76" customFormat="1" ht="32.1" customHeight="1" x14ac:dyDescent="0.15"/>
    <row r="49987" s="76" customFormat="1" ht="32.1" customHeight="1" x14ac:dyDescent="0.15"/>
    <row r="49988" s="76" customFormat="1" ht="32.1" customHeight="1" x14ac:dyDescent="0.15"/>
    <row r="49989" s="76" customFormat="1" ht="21.95" customHeight="1" x14ac:dyDescent="0.15"/>
    <row r="49990" s="76" customFormat="1" ht="54" customHeight="1" x14ac:dyDescent="0.15"/>
    <row r="49991" s="76" customFormat="1" ht="21.95" customHeight="1" x14ac:dyDescent="0.15"/>
    <row r="49992" s="76" customFormat="1" ht="21.95" customHeight="1" x14ac:dyDescent="0.15"/>
    <row r="49993" s="76" customFormat="1" ht="21.95" customHeight="1" x14ac:dyDescent="0.15"/>
    <row r="49994" s="76" customFormat="1" ht="21.95" customHeight="1" x14ac:dyDescent="0.15"/>
    <row r="49995" s="76" customFormat="1" ht="21.95" customHeight="1" x14ac:dyDescent="0.15"/>
    <row r="49996" s="76" customFormat="1" ht="21.95" customHeight="1" x14ac:dyDescent="0.15"/>
    <row r="49997" s="76" customFormat="1" ht="21.95" customHeight="1" x14ac:dyDescent="0.15"/>
    <row r="49998" s="76" customFormat="1" ht="21.95" customHeight="1" x14ac:dyDescent="0.15"/>
    <row r="49999" s="76" customFormat="1" ht="21.95" customHeight="1" x14ac:dyDescent="0.15"/>
    <row r="50000" s="76" customFormat="1" ht="21.95" customHeight="1" x14ac:dyDescent="0.15"/>
    <row r="50001" s="76" customFormat="1" ht="21.95" customHeight="1" x14ac:dyDescent="0.15"/>
    <row r="50002" s="76" customFormat="1" ht="21.95" customHeight="1" x14ac:dyDescent="0.15"/>
    <row r="50003" s="76" customFormat="1" ht="21.95" customHeight="1" x14ac:dyDescent="0.15"/>
    <row r="50004" s="76" customFormat="1" ht="21.95" customHeight="1" x14ac:dyDescent="0.15"/>
    <row r="50005" s="76" customFormat="1" ht="21.95" customHeight="1" x14ac:dyDescent="0.15"/>
    <row r="50006" s="76" customFormat="1" ht="21.95" customHeight="1" x14ac:dyDescent="0.15"/>
    <row r="50007" s="76" customFormat="1" ht="21.95" customHeight="1" x14ac:dyDescent="0.15"/>
    <row r="50008" s="76" customFormat="1" ht="21.95" customHeight="1" x14ac:dyDescent="0.15"/>
    <row r="50009" s="76" customFormat="1" ht="21.95" customHeight="1" x14ac:dyDescent="0.15"/>
    <row r="50010" s="76" customFormat="1" ht="21.95" customHeight="1" x14ac:dyDescent="0.15"/>
    <row r="50011" s="76" customFormat="1" ht="21.95" customHeight="1" x14ac:dyDescent="0.15"/>
    <row r="50012" s="76" customFormat="1" ht="21.95" customHeight="1" x14ac:dyDescent="0.15"/>
    <row r="50013" s="76" customFormat="1" ht="21.95" customHeight="1" x14ac:dyDescent="0.15"/>
    <row r="50014" s="76" customFormat="1" ht="21.95" customHeight="1" x14ac:dyDescent="0.15"/>
    <row r="50015" s="76" customFormat="1" ht="21.95" customHeight="1" x14ac:dyDescent="0.15"/>
    <row r="50016" s="76" customFormat="1" ht="21.95" customHeight="1" x14ac:dyDescent="0.15"/>
    <row r="50017" s="76" customFormat="1" ht="21.95" customHeight="1" x14ac:dyDescent="0.15"/>
    <row r="50018" s="76" customFormat="1" ht="21.95" customHeight="1" x14ac:dyDescent="0.15"/>
    <row r="50019" s="76" customFormat="1" ht="21.95" customHeight="1" x14ac:dyDescent="0.15"/>
    <row r="50020" s="76" customFormat="1" ht="21.95" customHeight="1" x14ac:dyDescent="0.15"/>
    <row r="50021" s="76" customFormat="1" ht="21.95" customHeight="1" x14ac:dyDescent="0.15"/>
    <row r="50022" s="76" customFormat="1" ht="21.95" customHeight="1" x14ac:dyDescent="0.15"/>
    <row r="50023" s="76" customFormat="1" ht="21.95" customHeight="1" x14ac:dyDescent="0.15"/>
    <row r="50024" s="76" customFormat="1" ht="21.95" customHeight="1" x14ac:dyDescent="0.15"/>
    <row r="50025" s="76" customFormat="1" ht="21.95" customHeight="1" x14ac:dyDescent="0.15"/>
    <row r="50026" s="76" customFormat="1" ht="21.95" customHeight="1" x14ac:dyDescent="0.15"/>
    <row r="50027" s="76" customFormat="1" ht="21.95" customHeight="1" x14ac:dyDescent="0.15"/>
    <row r="50028" s="76" customFormat="1" ht="21.95" customHeight="1" x14ac:dyDescent="0.15"/>
    <row r="50029" s="76" customFormat="1" ht="21.95" customHeight="1" x14ac:dyDescent="0.15"/>
    <row r="50030" s="76" customFormat="1" ht="21.95" customHeight="1" x14ac:dyDescent="0.15"/>
    <row r="50031" s="76" customFormat="1" ht="21.95" customHeight="1" x14ac:dyDescent="0.15"/>
    <row r="50032" s="76" customFormat="1" ht="21.95" customHeight="1" x14ac:dyDescent="0.15"/>
    <row r="50033" s="76" customFormat="1" ht="21.95" customHeight="1" x14ac:dyDescent="0.15"/>
    <row r="50034" s="76" customFormat="1" ht="21.95" customHeight="1" x14ac:dyDescent="0.15"/>
    <row r="50035" s="76" customFormat="1" ht="21.95" customHeight="1" x14ac:dyDescent="0.15"/>
    <row r="50036" s="76" customFormat="1" ht="21.95" customHeight="1" x14ac:dyDescent="0.15"/>
    <row r="50037" s="76" customFormat="1" ht="21.95" customHeight="1" x14ac:dyDescent="0.15"/>
    <row r="50038" s="76" customFormat="1" ht="21.95" customHeight="1" x14ac:dyDescent="0.15"/>
    <row r="50039" s="76" customFormat="1" ht="21.95" customHeight="1" x14ac:dyDescent="0.15"/>
    <row r="50040" s="76" customFormat="1" ht="21.95" customHeight="1" x14ac:dyDescent="0.15"/>
    <row r="50041" s="76" customFormat="1" ht="35.1" customHeight="1" x14ac:dyDescent="0.15"/>
    <row r="50042" s="76" customFormat="1" ht="21.95" customHeight="1" x14ac:dyDescent="0.15"/>
    <row r="50043" s="76" customFormat="1" ht="21.95" customHeight="1" x14ac:dyDescent="0.15"/>
    <row r="50044" s="76" customFormat="1" ht="21.95" customHeight="1" x14ac:dyDescent="0.15"/>
    <row r="50045" s="76" customFormat="1" ht="21.95" customHeight="1" x14ac:dyDescent="0.15"/>
    <row r="50046" s="76" customFormat="1" ht="21.95" customHeight="1" x14ac:dyDescent="0.15"/>
    <row r="50047" s="76" customFormat="1" ht="21.95" customHeight="1" x14ac:dyDescent="0.15"/>
    <row r="50048" s="76" customFormat="1" ht="21.95" customHeight="1" x14ac:dyDescent="0.15"/>
    <row r="50049" s="76" customFormat="1" ht="21.95" customHeight="1" x14ac:dyDescent="0.15"/>
    <row r="50050" s="76" customFormat="1" ht="21.95" customHeight="1" x14ac:dyDescent="0.15"/>
    <row r="50051" s="76" customFormat="1" ht="21.95" customHeight="1" x14ac:dyDescent="0.15"/>
    <row r="50052" s="76" customFormat="1" ht="21.95" customHeight="1" x14ac:dyDescent="0.15"/>
    <row r="50053" s="76" customFormat="1" ht="21.95" customHeight="1" x14ac:dyDescent="0.15"/>
    <row r="50054" s="76" customFormat="1" ht="21.95" customHeight="1" x14ac:dyDescent="0.15"/>
    <row r="50055" s="76" customFormat="1" ht="21.95" customHeight="1" x14ac:dyDescent="0.15"/>
    <row r="50056" s="76" customFormat="1" ht="21.95" customHeight="1" x14ac:dyDescent="0.15"/>
    <row r="50057" s="76" customFormat="1" ht="21.95" customHeight="1" x14ac:dyDescent="0.15"/>
    <row r="50058" s="76" customFormat="1" ht="21.95" customHeight="1" x14ac:dyDescent="0.15"/>
    <row r="50059" s="76" customFormat="1" ht="21.95" customHeight="1" x14ac:dyDescent="0.15"/>
    <row r="50060" s="76" customFormat="1" ht="21.95" customHeight="1" x14ac:dyDescent="0.15"/>
    <row r="50061" s="76" customFormat="1" ht="21.95" customHeight="1" x14ac:dyDescent="0.15"/>
    <row r="50062" s="76" customFormat="1" ht="21.95" customHeight="1" x14ac:dyDescent="0.15"/>
    <row r="50063" s="76" customFormat="1" ht="21.95" customHeight="1" x14ac:dyDescent="0.15"/>
    <row r="50064" s="76" customFormat="1" ht="21.95" customHeight="1" x14ac:dyDescent="0.15"/>
    <row r="50065" spans="3:3" customFormat="1" ht="21.95" customHeight="1" x14ac:dyDescent="0.15"/>
    <row r="50066" spans="3:3" customFormat="1" ht="21.95" customHeight="1" x14ac:dyDescent="0.15"/>
    <row r="50067" spans="3:3" customFormat="1" ht="21.95" customHeight="1" x14ac:dyDescent="0.15">
      <c r="C50067" s="94"/>
    </row>
    <row r="50068" spans="3:3" customFormat="1" ht="21.95" customHeight="1" x14ac:dyDescent="0.15">
      <c r="C50068" s="94"/>
    </row>
    <row r="50069" spans="3:3" customFormat="1" ht="21.95" customHeight="1" x14ac:dyDescent="0.15"/>
    <row r="50070" spans="3:3" customFormat="1" ht="21.95" customHeight="1" x14ac:dyDescent="0.15"/>
    <row r="50071" spans="3:3" customFormat="1" ht="21.95" customHeight="1" x14ac:dyDescent="0.15"/>
    <row r="50072" spans="3:3" customFormat="1" ht="21.95" customHeight="1" x14ac:dyDescent="0.15"/>
    <row r="50073" spans="3:3" customFormat="1" ht="21.95" customHeight="1" x14ac:dyDescent="0.15"/>
    <row r="50074" spans="3:3" customFormat="1" ht="21.95" customHeight="1" x14ac:dyDescent="0.15"/>
    <row r="50075" spans="3:3" customFormat="1" ht="21.95" customHeight="1" x14ac:dyDescent="0.15"/>
    <row r="50076" spans="3:3" s="76" customFormat="1" ht="21.95" customHeight="1" x14ac:dyDescent="0.15"/>
    <row r="50077" spans="3:3" s="76" customFormat="1" ht="21.95" customHeight="1" x14ac:dyDescent="0.15"/>
    <row r="50078" spans="3:3" s="76" customFormat="1" ht="21.95" customHeight="1" x14ac:dyDescent="0.15"/>
    <row r="50079" spans="3:3" s="76" customFormat="1" ht="21.95" customHeight="1" x14ac:dyDescent="0.15"/>
    <row r="50080" spans="3:3" customFormat="1" ht="21.95" customHeight="1" x14ac:dyDescent="0.15"/>
    <row r="50081" customFormat="1" ht="21.95" customHeight="1" x14ac:dyDescent="0.15"/>
    <row r="50082" customFormat="1" ht="21.95" customHeight="1" x14ac:dyDescent="0.15"/>
    <row r="50083" customFormat="1" ht="21.95" customHeight="1" x14ac:dyDescent="0.15"/>
    <row r="50084" customFormat="1" ht="21.95" customHeight="1" x14ac:dyDescent="0.15"/>
    <row r="50085" customFormat="1" ht="21.95" customHeight="1" x14ac:dyDescent="0.15"/>
    <row r="50086" customFormat="1" ht="21.95" customHeight="1" x14ac:dyDescent="0.15"/>
    <row r="50087" customFormat="1" ht="21.95" customHeight="1" x14ac:dyDescent="0.15"/>
    <row r="50088" customFormat="1" ht="21.95" customHeight="1" x14ac:dyDescent="0.15"/>
    <row r="50089" customFormat="1" ht="21.95" customHeight="1" x14ac:dyDescent="0.15"/>
    <row r="50090" customFormat="1" ht="21.95" customHeight="1" x14ac:dyDescent="0.15"/>
    <row r="50091" customFormat="1" ht="32.1" customHeight="1" x14ac:dyDescent="0.15"/>
    <row r="50092" customFormat="1" ht="32.1" customHeight="1" x14ac:dyDescent="0.15"/>
    <row r="50093" customFormat="1" ht="32.1" customHeight="1" x14ac:dyDescent="0.15"/>
    <row r="50094" customFormat="1" ht="32.1" customHeight="1" x14ac:dyDescent="0.15"/>
    <row r="50095" customFormat="1" ht="32.1" customHeight="1" x14ac:dyDescent="0.15"/>
    <row r="50096" customFormat="1" ht="32.1" customHeight="1" x14ac:dyDescent="0.15"/>
    <row r="50097" s="76" customFormat="1" ht="32.1" customHeight="1" x14ac:dyDescent="0.15"/>
    <row r="50098" s="76" customFormat="1" ht="32.1" customHeight="1" x14ac:dyDescent="0.15"/>
    <row r="50099" s="76" customFormat="1" ht="32.1" customHeight="1" x14ac:dyDescent="0.15"/>
    <row r="50100" s="76" customFormat="1" ht="32.1" customHeight="1" x14ac:dyDescent="0.15"/>
    <row r="50101" s="76" customFormat="1" ht="21.95" customHeight="1" x14ac:dyDescent="0.15"/>
    <row r="50102" s="76" customFormat="1" ht="54" customHeight="1" x14ac:dyDescent="0.15"/>
    <row r="50103" s="76" customFormat="1" ht="21.95" customHeight="1" x14ac:dyDescent="0.15"/>
    <row r="50104" s="76" customFormat="1" ht="21.95" customHeight="1" x14ac:dyDescent="0.15"/>
    <row r="50105" s="76" customFormat="1" ht="21.95" customHeight="1" x14ac:dyDescent="0.15"/>
    <row r="50106" s="76" customFormat="1" ht="21.95" customHeight="1" x14ac:dyDescent="0.15"/>
    <row r="50107" s="76" customFormat="1" ht="21.95" customHeight="1" x14ac:dyDescent="0.15"/>
    <row r="50108" s="76" customFormat="1" ht="21.95" customHeight="1" x14ac:dyDescent="0.15"/>
    <row r="50109" s="76" customFormat="1" ht="21.95" customHeight="1" x14ac:dyDescent="0.15"/>
    <row r="50110" s="76" customFormat="1" ht="21.95" customHeight="1" x14ac:dyDescent="0.15"/>
    <row r="50111" s="76" customFormat="1" ht="21.95" customHeight="1" x14ac:dyDescent="0.15"/>
    <row r="50112" s="76" customFormat="1" ht="21.95" customHeight="1" x14ac:dyDescent="0.15"/>
    <row r="50113" s="76" customFormat="1" ht="21.95" customHeight="1" x14ac:dyDescent="0.15"/>
    <row r="50114" s="76" customFormat="1" ht="21.95" customHeight="1" x14ac:dyDescent="0.15"/>
    <row r="50115" s="76" customFormat="1" ht="21.95" customHeight="1" x14ac:dyDescent="0.15"/>
    <row r="50116" s="76" customFormat="1" ht="21.95" customHeight="1" x14ac:dyDescent="0.15"/>
    <row r="50117" s="76" customFormat="1" ht="21.95" customHeight="1" x14ac:dyDescent="0.15"/>
    <row r="50118" s="76" customFormat="1" ht="21.95" customHeight="1" x14ac:dyDescent="0.15"/>
    <row r="50119" s="76" customFormat="1" ht="21.95" customHeight="1" x14ac:dyDescent="0.15"/>
    <row r="50120" s="76" customFormat="1" ht="21.95" customHeight="1" x14ac:dyDescent="0.15"/>
    <row r="50121" s="76" customFormat="1" ht="21.95" customHeight="1" x14ac:dyDescent="0.15"/>
    <row r="50122" s="76" customFormat="1" ht="21.95" customHeight="1" x14ac:dyDescent="0.15"/>
    <row r="50123" s="76" customFormat="1" ht="21.95" customHeight="1" x14ac:dyDescent="0.15"/>
    <row r="50124" s="76" customFormat="1" ht="21.95" customHeight="1" x14ac:dyDescent="0.15"/>
    <row r="50125" s="76" customFormat="1" ht="21.95" customHeight="1" x14ac:dyDescent="0.15"/>
    <row r="50126" s="76" customFormat="1" ht="21.95" customHeight="1" x14ac:dyDescent="0.15"/>
    <row r="50127" s="76" customFormat="1" ht="21.95" customHeight="1" x14ac:dyDescent="0.15"/>
    <row r="50128" s="76" customFormat="1" ht="21.95" customHeight="1" x14ac:dyDescent="0.15"/>
    <row r="50129" s="76" customFormat="1" ht="21.95" customHeight="1" x14ac:dyDescent="0.15"/>
    <row r="50130" s="76" customFormat="1" ht="21.95" customHeight="1" x14ac:dyDescent="0.15"/>
    <row r="50131" s="76" customFormat="1" ht="21.95" customHeight="1" x14ac:dyDescent="0.15"/>
    <row r="50132" s="76" customFormat="1" ht="21.95" customHeight="1" x14ac:dyDescent="0.15"/>
    <row r="50133" s="76" customFormat="1" ht="21.95" customHeight="1" x14ac:dyDescent="0.15"/>
    <row r="50134" s="76" customFormat="1" ht="21.95" customHeight="1" x14ac:dyDescent="0.15"/>
    <row r="50135" s="76" customFormat="1" ht="21.95" customHeight="1" x14ac:dyDescent="0.15"/>
    <row r="50136" s="76" customFormat="1" ht="21.95" customHeight="1" x14ac:dyDescent="0.15"/>
    <row r="50137" s="76" customFormat="1" ht="21.95" customHeight="1" x14ac:dyDescent="0.15"/>
    <row r="50138" s="76" customFormat="1" ht="21.95" customHeight="1" x14ac:dyDescent="0.15"/>
    <row r="50139" s="76" customFormat="1" ht="21.95" customHeight="1" x14ac:dyDescent="0.15"/>
    <row r="50140" s="76" customFormat="1" ht="21.95" customHeight="1" x14ac:dyDescent="0.15"/>
    <row r="50141" s="76" customFormat="1" ht="21.95" customHeight="1" x14ac:dyDescent="0.15"/>
    <row r="50142" s="76" customFormat="1" ht="21.95" customHeight="1" x14ac:dyDescent="0.15"/>
    <row r="50143" s="76" customFormat="1" ht="21.95" customHeight="1" x14ac:dyDescent="0.15"/>
    <row r="50144" s="76" customFormat="1" ht="21.95" customHeight="1" x14ac:dyDescent="0.15"/>
    <row r="50145" s="76" customFormat="1" ht="21.95" customHeight="1" x14ac:dyDescent="0.15"/>
    <row r="50146" s="76" customFormat="1" ht="21.95" customHeight="1" x14ac:dyDescent="0.15"/>
    <row r="50147" s="76" customFormat="1" ht="21.95" customHeight="1" x14ac:dyDescent="0.15"/>
    <row r="50148" s="76" customFormat="1" ht="21.95" customHeight="1" x14ac:dyDescent="0.15"/>
    <row r="50149" s="76" customFormat="1" ht="21.95" customHeight="1" x14ac:dyDescent="0.15"/>
    <row r="50150" s="76" customFormat="1" ht="21.95" customHeight="1" x14ac:dyDescent="0.15"/>
    <row r="50151" s="76" customFormat="1" ht="21.95" customHeight="1" x14ac:dyDescent="0.15"/>
    <row r="50152" s="76" customFormat="1" ht="21.95" customHeight="1" x14ac:dyDescent="0.15"/>
    <row r="50153" s="76" customFormat="1" ht="35.1" customHeight="1" x14ac:dyDescent="0.15"/>
    <row r="50154" s="76" customFormat="1" ht="21.95" customHeight="1" x14ac:dyDescent="0.15"/>
    <row r="50155" s="76" customFormat="1" ht="21.95" customHeight="1" x14ac:dyDescent="0.15"/>
    <row r="50156" s="76" customFormat="1" ht="21.95" customHeight="1" x14ac:dyDescent="0.15"/>
    <row r="50157" s="76" customFormat="1" ht="21.95" customHeight="1" x14ac:dyDescent="0.15"/>
    <row r="50158" s="76" customFormat="1" ht="21.95" customHeight="1" x14ac:dyDescent="0.15"/>
    <row r="50159" s="76" customFormat="1" ht="21.95" customHeight="1" x14ac:dyDescent="0.15"/>
    <row r="50160" s="76" customFormat="1" ht="21.95" customHeight="1" x14ac:dyDescent="0.15"/>
    <row r="50161" s="76" customFormat="1" ht="21.95" customHeight="1" x14ac:dyDescent="0.15"/>
    <row r="50162" s="76" customFormat="1" ht="21.95" customHeight="1" x14ac:dyDescent="0.15"/>
    <row r="50163" s="76" customFormat="1" ht="21.95" customHeight="1" x14ac:dyDescent="0.15"/>
    <row r="50164" s="76" customFormat="1" ht="21.95" customHeight="1" x14ac:dyDescent="0.15"/>
    <row r="50165" s="76" customFormat="1" ht="21.95" customHeight="1" x14ac:dyDescent="0.15"/>
    <row r="50166" s="76" customFormat="1" ht="21.95" customHeight="1" x14ac:dyDescent="0.15"/>
    <row r="50167" s="76" customFormat="1" ht="21.95" customHeight="1" x14ac:dyDescent="0.15"/>
    <row r="50168" s="76" customFormat="1" ht="21.95" customHeight="1" x14ac:dyDescent="0.15"/>
    <row r="50169" s="76" customFormat="1" ht="21.95" customHeight="1" x14ac:dyDescent="0.15"/>
    <row r="50170" s="76" customFormat="1" ht="21.95" customHeight="1" x14ac:dyDescent="0.15"/>
    <row r="50171" s="76" customFormat="1" ht="21.95" customHeight="1" x14ac:dyDescent="0.15"/>
    <row r="50172" s="76" customFormat="1" ht="21.95" customHeight="1" x14ac:dyDescent="0.15"/>
    <row r="50173" s="76" customFormat="1" ht="21.95" customHeight="1" x14ac:dyDescent="0.15"/>
    <row r="50174" s="76" customFormat="1" ht="21.95" customHeight="1" x14ac:dyDescent="0.15"/>
    <row r="50175" s="76" customFormat="1" ht="21.95" customHeight="1" x14ac:dyDescent="0.15"/>
    <row r="50176" s="76" customFormat="1" ht="21.95" customHeight="1" x14ac:dyDescent="0.15"/>
    <row r="50177" spans="3:3" customFormat="1" ht="21.95" customHeight="1" x14ac:dyDescent="0.15"/>
    <row r="50178" spans="3:3" customFormat="1" ht="21.95" customHeight="1" x14ac:dyDescent="0.15"/>
    <row r="50179" spans="3:3" customFormat="1" ht="21.95" customHeight="1" x14ac:dyDescent="0.15">
      <c r="C50179" s="94"/>
    </row>
    <row r="50180" spans="3:3" customFormat="1" ht="21.95" customHeight="1" x14ac:dyDescent="0.15">
      <c r="C50180" s="94"/>
    </row>
    <row r="50181" spans="3:3" customFormat="1" ht="21.95" customHeight="1" x14ac:dyDescent="0.15"/>
    <row r="50182" spans="3:3" customFormat="1" ht="21.95" customHeight="1" x14ac:dyDescent="0.15"/>
    <row r="50183" spans="3:3" customFormat="1" ht="21.95" customHeight="1" x14ac:dyDescent="0.15"/>
    <row r="50184" spans="3:3" customFormat="1" ht="21.95" customHeight="1" x14ac:dyDescent="0.15"/>
    <row r="50185" spans="3:3" customFormat="1" ht="21.95" customHeight="1" x14ac:dyDescent="0.15"/>
    <row r="50186" spans="3:3" customFormat="1" ht="21.95" customHeight="1" x14ac:dyDescent="0.15"/>
    <row r="50187" spans="3:3" customFormat="1" ht="21.95" customHeight="1" x14ac:dyDescent="0.15"/>
    <row r="50188" spans="3:3" s="76" customFormat="1" ht="21.95" customHeight="1" x14ac:dyDescent="0.15"/>
    <row r="50189" spans="3:3" s="76" customFormat="1" ht="21.95" customHeight="1" x14ac:dyDescent="0.15"/>
    <row r="50190" spans="3:3" s="76" customFormat="1" ht="21.95" customHeight="1" x14ac:dyDescent="0.15"/>
    <row r="50191" spans="3:3" s="76" customFormat="1" ht="21.95" customHeight="1" x14ac:dyDescent="0.15"/>
    <row r="50192" spans="3:3" customFormat="1" ht="21.95" customHeight="1" x14ac:dyDescent="0.15"/>
    <row r="50193" customFormat="1" ht="21.95" customHeight="1" x14ac:dyDescent="0.15"/>
    <row r="50194" customFormat="1" ht="21.95" customHeight="1" x14ac:dyDescent="0.15"/>
    <row r="50195" customFormat="1" ht="21.95" customHeight="1" x14ac:dyDescent="0.15"/>
    <row r="50196" customFormat="1" ht="21.95" customHeight="1" x14ac:dyDescent="0.15"/>
    <row r="50197" customFormat="1" ht="21.95" customHeight="1" x14ac:dyDescent="0.15"/>
    <row r="50198" customFormat="1" ht="21.95" customHeight="1" x14ac:dyDescent="0.15"/>
    <row r="50199" customFormat="1" ht="21.95" customHeight="1" x14ac:dyDescent="0.15"/>
    <row r="50200" customFormat="1" ht="21.95" customHeight="1" x14ac:dyDescent="0.15"/>
    <row r="50201" customFormat="1" ht="21.95" customHeight="1" x14ac:dyDescent="0.15"/>
    <row r="50202" customFormat="1" ht="21.95" customHeight="1" x14ac:dyDescent="0.15"/>
    <row r="50203" customFormat="1" ht="32.1" customHeight="1" x14ac:dyDescent="0.15"/>
    <row r="50204" customFormat="1" ht="32.1" customHeight="1" x14ac:dyDescent="0.15"/>
    <row r="50205" customFormat="1" ht="32.1" customHeight="1" x14ac:dyDescent="0.15"/>
    <row r="50206" customFormat="1" ht="32.1" customHeight="1" x14ac:dyDescent="0.15"/>
    <row r="50207" customFormat="1" ht="32.1" customHeight="1" x14ac:dyDescent="0.15"/>
    <row r="50208" customFormat="1" ht="32.1" customHeight="1" x14ac:dyDescent="0.15"/>
    <row r="50209" s="76" customFormat="1" ht="32.1" customHeight="1" x14ac:dyDescent="0.15"/>
    <row r="50210" s="76" customFormat="1" ht="32.1" customHeight="1" x14ac:dyDescent="0.15"/>
    <row r="50211" s="76" customFormat="1" ht="32.1" customHeight="1" x14ac:dyDescent="0.15"/>
    <row r="50212" s="76" customFormat="1" ht="32.1" customHeight="1" x14ac:dyDescent="0.15"/>
    <row r="50213" s="76" customFormat="1" ht="21.95" customHeight="1" x14ac:dyDescent="0.15"/>
    <row r="50214" s="76" customFormat="1" ht="54" customHeight="1" x14ac:dyDescent="0.15"/>
    <row r="50215" s="76" customFormat="1" ht="21.95" customHeight="1" x14ac:dyDescent="0.15"/>
    <row r="50216" s="76" customFormat="1" ht="21.95" customHeight="1" x14ac:dyDescent="0.15"/>
    <row r="50217" s="76" customFormat="1" ht="21.95" customHeight="1" x14ac:dyDescent="0.15"/>
    <row r="50218" s="76" customFormat="1" ht="21.95" customHeight="1" x14ac:dyDescent="0.15"/>
    <row r="50219" s="76" customFormat="1" ht="21.95" customHeight="1" x14ac:dyDescent="0.15"/>
    <row r="50220" s="76" customFormat="1" ht="21.95" customHeight="1" x14ac:dyDescent="0.15"/>
    <row r="50221" s="76" customFormat="1" ht="21.95" customHeight="1" x14ac:dyDescent="0.15"/>
    <row r="50222" s="76" customFormat="1" ht="21.95" customHeight="1" x14ac:dyDescent="0.15"/>
    <row r="50223" s="76" customFormat="1" ht="21.95" customHeight="1" x14ac:dyDescent="0.15"/>
    <row r="50224" s="76" customFormat="1" ht="21.95" customHeight="1" x14ac:dyDescent="0.15"/>
    <row r="50225" s="76" customFormat="1" ht="21.95" customHeight="1" x14ac:dyDescent="0.15"/>
    <row r="50226" s="76" customFormat="1" ht="21.95" customHeight="1" x14ac:dyDescent="0.15"/>
    <row r="50227" s="76" customFormat="1" ht="21.95" customHeight="1" x14ac:dyDescent="0.15"/>
    <row r="50228" s="76" customFormat="1" ht="21.95" customHeight="1" x14ac:dyDescent="0.15"/>
    <row r="50229" s="76" customFormat="1" ht="21.95" customHeight="1" x14ac:dyDescent="0.15"/>
    <row r="50230" s="76" customFormat="1" ht="21.95" customHeight="1" x14ac:dyDescent="0.15"/>
    <row r="50231" s="76" customFormat="1" ht="21.95" customHeight="1" x14ac:dyDescent="0.15"/>
    <row r="50232" s="76" customFormat="1" ht="21.95" customHeight="1" x14ac:dyDescent="0.15"/>
    <row r="50233" s="76" customFormat="1" ht="21.95" customHeight="1" x14ac:dyDescent="0.15"/>
    <row r="50234" s="76" customFormat="1" ht="21.95" customHeight="1" x14ac:dyDescent="0.15"/>
    <row r="50235" s="76" customFormat="1" ht="21.95" customHeight="1" x14ac:dyDescent="0.15"/>
    <row r="50236" s="76" customFormat="1" ht="21.95" customHeight="1" x14ac:dyDescent="0.15"/>
    <row r="50237" s="76" customFormat="1" ht="21.95" customHeight="1" x14ac:dyDescent="0.15"/>
    <row r="50238" s="76" customFormat="1" ht="21.95" customHeight="1" x14ac:dyDescent="0.15"/>
    <row r="50239" s="76" customFormat="1" ht="21.95" customHeight="1" x14ac:dyDescent="0.15"/>
    <row r="50240" s="76" customFormat="1" ht="21.95" customHeight="1" x14ac:dyDescent="0.15"/>
    <row r="50241" s="76" customFormat="1" ht="21.95" customHeight="1" x14ac:dyDescent="0.15"/>
    <row r="50242" s="76" customFormat="1" ht="21.95" customHeight="1" x14ac:dyDescent="0.15"/>
    <row r="50243" s="76" customFormat="1" ht="21.95" customHeight="1" x14ac:dyDescent="0.15"/>
    <row r="50244" s="76" customFormat="1" ht="21.95" customHeight="1" x14ac:dyDescent="0.15"/>
    <row r="50245" s="76" customFormat="1" ht="21.95" customHeight="1" x14ac:dyDescent="0.15"/>
    <row r="50246" s="76" customFormat="1" ht="21.95" customHeight="1" x14ac:dyDescent="0.15"/>
    <row r="50247" s="76" customFormat="1" ht="21.95" customHeight="1" x14ac:dyDescent="0.15"/>
    <row r="50248" s="76" customFormat="1" ht="21.95" customHeight="1" x14ac:dyDescent="0.15"/>
    <row r="50249" s="76" customFormat="1" ht="21.95" customHeight="1" x14ac:dyDescent="0.15"/>
    <row r="50250" s="76" customFormat="1" ht="21.95" customHeight="1" x14ac:dyDescent="0.15"/>
    <row r="50251" s="76" customFormat="1" ht="21.95" customHeight="1" x14ac:dyDescent="0.15"/>
    <row r="50252" s="76" customFormat="1" ht="21.95" customHeight="1" x14ac:dyDescent="0.15"/>
    <row r="50253" s="76" customFormat="1" ht="21.95" customHeight="1" x14ac:dyDescent="0.15"/>
    <row r="50254" s="76" customFormat="1" ht="21.95" customHeight="1" x14ac:dyDescent="0.15"/>
    <row r="50255" s="76" customFormat="1" ht="21.95" customHeight="1" x14ac:dyDescent="0.15"/>
    <row r="50256" s="76" customFormat="1" ht="21.95" customHeight="1" x14ac:dyDescent="0.15"/>
    <row r="50257" s="76" customFormat="1" ht="21.95" customHeight="1" x14ac:dyDescent="0.15"/>
    <row r="50258" s="76" customFormat="1" ht="21.95" customHeight="1" x14ac:dyDescent="0.15"/>
    <row r="50259" s="76" customFormat="1" ht="21.95" customHeight="1" x14ac:dyDescent="0.15"/>
    <row r="50260" s="76" customFormat="1" ht="21.95" customHeight="1" x14ac:dyDescent="0.15"/>
    <row r="50261" s="76" customFormat="1" ht="21.95" customHeight="1" x14ac:dyDescent="0.15"/>
    <row r="50262" s="76" customFormat="1" ht="21.95" customHeight="1" x14ac:dyDescent="0.15"/>
    <row r="50263" s="76" customFormat="1" ht="21.95" customHeight="1" x14ac:dyDescent="0.15"/>
    <row r="50264" s="76" customFormat="1" ht="21.95" customHeight="1" x14ac:dyDescent="0.15"/>
    <row r="50265" s="76" customFormat="1" ht="35.1" customHeight="1" x14ac:dyDescent="0.15"/>
    <row r="50266" s="76" customFormat="1" ht="21.95" customHeight="1" x14ac:dyDescent="0.15"/>
    <row r="50267" s="76" customFormat="1" ht="21.95" customHeight="1" x14ac:dyDescent="0.15"/>
    <row r="50268" s="76" customFormat="1" ht="21.95" customHeight="1" x14ac:dyDescent="0.15"/>
    <row r="50269" s="76" customFormat="1" ht="21.95" customHeight="1" x14ac:dyDescent="0.15"/>
    <row r="50270" s="76" customFormat="1" ht="21.95" customHeight="1" x14ac:dyDescent="0.15"/>
    <row r="50271" s="76" customFormat="1" ht="21.95" customHeight="1" x14ac:dyDescent="0.15"/>
    <row r="50272" s="76" customFormat="1" ht="21.95" customHeight="1" x14ac:dyDescent="0.15"/>
    <row r="50273" s="76" customFormat="1" ht="21.95" customHeight="1" x14ac:dyDescent="0.15"/>
    <row r="50274" s="76" customFormat="1" ht="21.95" customHeight="1" x14ac:dyDescent="0.15"/>
    <row r="50275" s="76" customFormat="1" ht="21.95" customHeight="1" x14ac:dyDescent="0.15"/>
    <row r="50276" s="76" customFormat="1" ht="21.95" customHeight="1" x14ac:dyDescent="0.15"/>
    <row r="50277" s="76" customFormat="1" ht="21.95" customHeight="1" x14ac:dyDescent="0.15"/>
    <row r="50278" s="76" customFormat="1" ht="21.95" customHeight="1" x14ac:dyDescent="0.15"/>
    <row r="50279" s="76" customFormat="1" ht="21.95" customHeight="1" x14ac:dyDescent="0.15"/>
    <row r="50280" s="76" customFormat="1" ht="21.95" customHeight="1" x14ac:dyDescent="0.15"/>
    <row r="50281" s="76" customFormat="1" ht="21.95" customHeight="1" x14ac:dyDescent="0.15"/>
    <row r="50282" s="76" customFormat="1" ht="21.95" customHeight="1" x14ac:dyDescent="0.15"/>
    <row r="50283" s="76" customFormat="1" ht="21.95" customHeight="1" x14ac:dyDescent="0.15"/>
    <row r="50284" s="76" customFormat="1" ht="21.95" customHeight="1" x14ac:dyDescent="0.15"/>
    <row r="50285" s="76" customFormat="1" ht="21.95" customHeight="1" x14ac:dyDescent="0.15"/>
    <row r="50286" s="76" customFormat="1" ht="21.95" customHeight="1" x14ac:dyDescent="0.15"/>
    <row r="50287" s="76" customFormat="1" ht="21.95" customHeight="1" x14ac:dyDescent="0.15"/>
    <row r="50288" s="76" customFormat="1" ht="21.95" customHeight="1" x14ac:dyDescent="0.15"/>
    <row r="50289" spans="3:3" customFormat="1" ht="21.95" customHeight="1" x14ac:dyDescent="0.15"/>
    <row r="50290" spans="3:3" customFormat="1" ht="21.95" customHeight="1" x14ac:dyDescent="0.15"/>
    <row r="50291" spans="3:3" customFormat="1" ht="21.95" customHeight="1" x14ac:dyDescent="0.15">
      <c r="C50291" s="94"/>
    </row>
    <row r="50292" spans="3:3" customFormat="1" ht="21.95" customHeight="1" x14ac:dyDescent="0.15">
      <c r="C50292" s="94"/>
    </row>
    <row r="50293" spans="3:3" customFormat="1" ht="21.95" customHeight="1" x14ac:dyDescent="0.15"/>
    <row r="50294" spans="3:3" customFormat="1" ht="21.95" customHeight="1" x14ac:dyDescent="0.15"/>
    <row r="50295" spans="3:3" customFormat="1" ht="21.95" customHeight="1" x14ac:dyDescent="0.15"/>
    <row r="50296" spans="3:3" customFormat="1" ht="21.95" customHeight="1" x14ac:dyDescent="0.15"/>
    <row r="50297" spans="3:3" customFormat="1" ht="21.95" customHeight="1" x14ac:dyDescent="0.15"/>
    <row r="50298" spans="3:3" customFormat="1" ht="21.95" customHeight="1" x14ac:dyDescent="0.15"/>
    <row r="50299" spans="3:3" customFormat="1" ht="21.95" customHeight="1" x14ac:dyDescent="0.15"/>
    <row r="50300" spans="3:3" s="76" customFormat="1" ht="21.95" customHeight="1" x14ac:dyDescent="0.15"/>
    <row r="50301" spans="3:3" s="76" customFormat="1" ht="21.95" customHeight="1" x14ac:dyDescent="0.15"/>
    <row r="50302" spans="3:3" s="76" customFormat="1" ht="21.95" customHeight="1" x14ac:dyDescent="0.15"/>
    <row r="50303" spans="3:3" s="76" customFormat="1" ht="21.95" customHeight="1" x14ac:dyDescent="0.15"/>
    <row r="50304" spans="3:3" customFormat="1" ht="21.95" customHeight="1" x14ac:dyDescent="0.15"/>
    <row r="50305" customFormat="1" ht="21.95" customHeight="1" x14ac:dyDescent="0.15"/>
    <row r="50306" customFormat="1" ht="21.95" customHeight="1" x14ac:dyDescent="0.15"/>
    <row r="50307" customFormat="1" ht="21.95" customHeight="1" x14ac:dyDescent="0.15"/>
    <row r="50308" customFormat="1" ht="21.95" customHeight="1" x14ac:dyDescent="0.15"/>
    <row r="50309" customFormat="1" ht="21.95" customHeight="1" x14ac:dyDescent="0.15"/>
    <row r="50310" customFormat="1" ht="21.95" customHeight="1" x14ac:dyDescent="0.15"/>
    <row r="50311" customFormat="1" ht="21.95" customHeight="1" x14ac:dyDescent="0.15"/>
    <row r="50312" customFormat="1" ht="21.95" customHeight="1" x14ac:dyDescent="0.15"/>
    <row r="50313" customFormat="1" ht="21.95" customHeight="1" x14ac:dyDescent="0.15"/>
    <row r="50314" customFormat="1" ht="21.95" customHeight="1" x14ac:dyDescent="0.15"/>
    <row r="50315" customFormat="1" ht="32.1" customHeight="1" x14ac:dyDescent="0.15"/>
    <row r="50316" customFormat="1" ht="32.1" customHeight="1" x14ac:dyDescent="0.15"/>
    <row r="50317" customFormat="1" ht="32.1" customHeight="1" x14ac:dyDescent="0.15"/>
    <row r="50318" customFormat="1" ht="32.1" customHeight="1" x14ac:dyDescent="0.15"/>
    <row r="50319" customFormat="1" ht="32.1" customHeight="1" x14ac:dyDescent="0.15"/>
    <row r="50320" customFormat="1" ht="32.1" customHeight="1" x14ac:dyDescent="0.15"/>
    <row r="50321" s="76" customFormat="1" ht="32.1" customHeight="1" x14ac:dyDescent="0.15"/>
    <row r="50322" s="76" customFormat="1" ht="32.1" customHeight="1" x14ac:dyDescent="0.15"/>
    <row r="50323" s="76" customFormat="1" ht="32.1" customHeight="1" x14ac:dyDescent="0.15"/>
    <row r="50324" s="76" customFormat="1" ht="32.1" customHeight="1" x14ac:dyDescent="0.15"/>
    <row r="50325" s="76" customFormat="1" ht="21.95" customHeight="1" x14ac:dyDescent="0.15"/>
    <row r="50326" s="76" customFormat="1" ht="54" customHeight="1" x14ac:dyDescent="0.15"/>
    <row r="50327" s="76" customFormat="1" ht="21.95" customHeight="1" x14ac:dyDescent="0.15"/>
    <row r="50328" s="76" customFormat="1" ht="21.95" customHeight="1" x14ac:dyDescent="0.15"/>
    <row r="50329" s="76" customFormat="1" ht="21.95" customHeight="1" x14ac:dyDescent="0.15"/>
    <row r="50330" s="76" customFormat="1" ht="21.95" customHeight="1" x14ac:dyDescent="0.15"/>
    <row r="50331" s="76" customFormat="1" ht="21.95" customHeight="1" x14ac:dyDescent="0.15"/>
    <row r="50332" s="76" customFormat="1" ht="21.95" customHeight="1" x14ac:dyDescent="0.15"/>
    <row r="50333" s="76" customFormat="1" ht="21.95" customHeight="1" x14ac:dyDescent="0.15"/>
    <row r="50334" s="76" customFormat="1" ht="21.95" customHeight="1" x14ac:dyDescent="0.15"/>
    <row r="50335" s="76" customFormat="1" ht="21.95" customHeight="1" x14ac:dyDescent="0.15"/>
    <row r="50336" s="76" customFormat="1" ht="21.95" customHeight="1" x14ac:dyDescent="0.15"/>
    <row r="50337" s="76" customFormat="1" ht="21.95" customHeight="1" x14ac:dyDescent="0.15"/>
    <row r="50338" s="76" customFormat="1" ht="21.95" customHeight="1" x14ac:dyDescent="0.15"/>
    <row r="50339" s="76" customFormat="1" ht="21.95" customHeight="1" x14ac:dyDescent="0.15"/>
    <row r="50340" s="76" customFormat="1" ht="21.95" customHeight="1" x14ac:dyDescent="0.15"/>
    <row r="50341" s="76" customFormat="1" ht="21.95" customHeight="1" x14ac:dyDescent="0.15"/>
    <row r="50342" s="76" customFormat="1" ht="21.95" customHeight="1" x14ac:dyDescent="0.15"/>
    <row r="50343" s="76" customFormat="1" ht="21.95" customHeight="1" x14ac:dyDescent="0.15"/>
    <row r="50344" s="76" customFormat="1" ht="21.95" customHeight="1" x14ac:dyDescent="0.15"/>
    <row r="50345" s="76" customFormat="1" ht="21.95" customHeight="1" x14ac:dyDescent="0.15"/>
    <row r="50346" s="76" customFormat="1" ht="21.95" customHeight="1" x14ac:dyDescent="0.15"/>
    <row r="50347" s="76" customFormat="1" ht="21.95" customHeight="1" x14ac:dyDescent="0.15"/>
    <row r="50348" s="76" customFormat="1" ht="21.95" customHeight="1" x14ac:dyDescent="0.15"/>
    <row r="50349" s="76" customFormat="1" ht="21.95" customHeight="1" x14ac:dyDescent="0.15"/>
    <row r="50350" s="76" customFormat="1" ht="21.95" customHeight="1" x14ac:dyDescent="0.15"/>
    <row r="50351" s="76" customFormat="1" ht="21.95" customHeight="1" x14ac:dyDescent="0.15"/>
    <row r="50352" s="76" customFormat="1" ht="21.95" customHeight="1" x14ac:dyDescent="0.15"/>
    <row r="50353" s="76" customFormat="1" ht="21.95" customHeight="1" x14ac:dyDescent="0.15"/>
    <row r="50354" s="76" customFormat="1" ht="21.95" customHeight="1" x14ac:dyDescent="0.15"/>
    <row r="50355" s="76" customFormat="1" ht="21.95" customHeight="1" x14ac:dyDescent="0.15"/>
    <row r="50356" s="76" customFormat="1" ht="21.95" customHeight="1" x14ac:dyDescent="0.15"/>
    <row r="50357" s="76" customFormat="1" ht="21.95" customHeight="1" x14ac:dyDescent="0.15"/>
    <row r="50358" s="76" customFormat="1" ht="21.95" customHeight="1" x14ac:dyDescent="0.15"/>
    <row r="50359" s="76" customFormat="1" ht="21.95" customHeight="1" x14ac:dyDescent="0.15"/>
    <row r="50360" s="76" customFormat="1" ht="21.95" customHeight="1" x14ac:dyDescent="0.15"/>
    <row r="50361" s="76" customFormat="1" ht="21.95" customHeight="1" x14ac:dyDescent="0.15"/>
    <row r="50362" s="76" customFormat="1" ht="21.95" customHeight="1" x14ac:dyDescent="0.15"/>
    <row r="50363" s="76" customFormat="1" ht="21.95" customHeight="1" x14ac:dyDescent="0.15"/>
    <row r="50364" s="76" customFormat="1" ht="21.95" customHeight="1" x14ac:dyDescent="0.15"/>
    <row r="50365" s="76" customFormat="1" ht="21.95" customHeight="1" x14ac:dyDescent="0.15"/>
    <row r="50366" s="76" customFormat="1" ht="21.95" customHeight="1" x14ac:dyDescent="0.15"/>
    <row r="50367" s="76" customFormat="1" ht="21.95" customHeight="1" x14ac:dyDescent="0.15"/>
    <row r="50368" s="76" customFormat="1" ht="21.95" customHeight="1" x14ac:dyDescent="0.15"/>
    <row r="50369" s="76" customFormat="1" ht="21.95" customHeight="1" x14ac:dyDescent="0.15"/>
    <row r="50370" s="76" customFormat="1" ht="21.95" customHeight="1" x14ac:dyDescent="0.15"/>
    <row r="50371" s="76" customFormat="1" ht="21.95" customHeight="1" x14ac:dyDescent="0.15"/>
    <row r="50372" s="76" customFormat="1" ht="21.95" customHeight="1" x14ac:dyDescent="0.15"/>
    <row r="50373" s="76" customFormat="1" ht="21.95" customHeight="1" x14ac:dyDescent="0.15"/>
    <row r="50374" s="76" customFormat="1" ht="21.95" customHeight="1" x14ac:dyDescent="0.15"/>
    <row r="50375" s="76" customFormat="1" ht="21.95" customHeight="1" x14ac:dyDescent="0.15"/>
    <row r="50376" s="76" customFormat="1" ht="21.95" customHeight="1" x14ac:dyDescent="0.15"/>
    <row r="50377" s="76" customFormat="1" ht="35.1" customHeight="1" x14ac:dyDescent="0.15"/>
    <row r="50378" s="76" customFormat="1" ht="21.95" customHeight="1" x14ac:dyDescent="0.15"/>
    <row r="50379" s="76" customFormat="1" ht="21.95" customHeight="1" x14ac:dyDescent="0.15"/>
    <row r="50380" s="76" customFormat="1" ht="21.95" customHeight="1" x14ac:dyDescent="0.15"/>
    <row r="50381" s="76" customFormat="1" ht="21.95" customHeight="1" x14ac:dyDescent="0.15"/>
    <row r="50382" s="76" customFormat="1" ht="21.95" customHeight="1" x14ac:dyDescent="0.15"/>
    <row r="50383" s="76" customFormat="1" ht="21.95" customHeight="1" x14ac:dyDescent="0.15"/>
    <row r="50384" s="76" customFormat="1" ht="21.95" customHeight="1" x14ac:dyDescent="0.15"/>
    <row r="50385" s="76" customFormat="1" ht="21.95" customHeight="1" x14ac:dyDescent="0.15"/>
    <row r="50386" s="76" customFormat="1" ht="21.95" customHeight="1" x14ac:dyDescent="0.15"/>
    <row r="50387" s="76" customFormat="1" ht="21.95" customHeight="1" x14ac:dyDescent="0.15"/>
    <row r="50388" s="76" customFormat="1" ht="21.95" customHeight="1" x14ac:dyDescent="0.15"/>
    <row r="50389" s="76" customFormat="1" ht="21.95" customHeight="1" x14ac:dyDescent="0.15"/>
    <row r="50390" s="76" customFormat="1" ht="21.95" customHeight="1" x14ac:dyDescent="0.15"/>
    <row r="50391" s="76" customFormat="1" ht="21.95" customHeight="1" x14ac:dyDescent="0.15"/>
    <row r="50392" s="76" customFormat="1" ht="21.95" customHeight="1" x14ac:dyDescent="0.15"/>
    <row r="50393" s="76" customFormat="1" ht="21.95" customHeight="1" x14ac:dyDescent="0.15"/>
    <row r="50394" s="76" customFormat="1" ht="21.95" customHeight="1" x14ac:dyDescent="0.15"/>
    <row r="50395" s="76" customFormat="1" ht="21.95" customHeight="1" x14ac:dyDescent="0.15"/>
    <row r="50396" s="76" customFormat="1" ht="21.95" customHeight="1" x14ac:dyDescent="0.15"/>
    <row r="50397" s="76" customFormat="1" ht="21.95" customHeight="1" x14ac:dyDescent="0.15"/>
    <row r="50398" s="76" customFormat="1" ht="21.95" customHeight="1" x14ac:dyDescent="0.15"/>
    <row r="50399" s="76" customFormat="1" ht="21.95" customHeight="1" x14ac:dyDescent="0.15"/>
    <row r="50400" s="76" customFormat="1" ht="21.95" customHeight="1" x14ac:dyDescent="0.15"/>
    <row r="50401" spans="3:3" customFormat="1" ht="21.95" customHeight="1" x14ac:dyDescent="0.15"/>
    <row r="50402" spans="3:3" customFormat="1" ht="21.95" customHeight="1" x14ac:dyDescent="0.15"/>
    <row r="50403" spans="3:3" customFormat="1" ht="21.95" customHeight="1" x14ac:dyDescent="0.15">
      <c r="C50403" s="94"/>
    </row>
    <row r="50404" spans="3:3" customFormat="1" ht="21.95" customHeight="1" x14ac:dyDescent="0.15">
      <c r="C50404" s="94"/>
    </row>
    <row r="50405" spans="3:3" customFormat="1" ht="21.95" customHeight="1" x14ac:dyDescent="0.15"/>
    <row r="50406" spans="3:3" customFormat="1" ht="21.95" customHeight="1" x14ac:dyDescent="0.15"/>
    <row r="50407" spans="3:3" customFormat="1" ht="21.95" customHeight="1" x14ac:dyDescent="0.15"/>
    <row r="50408" spans="3:3" customFormat="1" ht="21.95" customHeight="1" x14ac:dyDescent="0.15"/>
    <row r="50409" spans="3:3" customFormat="1" ht="21.95" customHeight="1" x14ac:dyDescent="0.15"/>
    <row r="50410" spans="3:3" customFormat="1" ht="21.95" customHeight="1" x14ac:dyDescent="0.15"/>
    <row r="50411" spans="3:3" customFormat="1" ht="21.95" customHeight="1" x14ac:dyDescent="0.15"/>
    <row r="50412" spans="3:3" s="76" customFormat="1" ht="21.95" customHeight="1" x14ac:dyDescent="0.15"/>
    <row r="50413" spans="3:3" s="76" customFormat="1" ht="21.95" customHeight="1" x14ac:dyDescent="0.15"/>
    <row r="50414" spans="3:3" s="76" customFormat="1" ht="21.95" customHeight="1" x14ac:dyDescent="0.15"/>
    <row r="50415" spans="3:3" s="76" customFormat="1" ht="21.95" customHeight="1" x14ac:dyDescent="0.15"/>
    <row r="50416" spans="3:3" customFormat="1" ht="21.95" customHeight="1" x14ac:dyDescent="0.15"/>
    <row r="50417" customFormat="1" ht="21.95" customHeight="1" x14ac:dyDescent="0.15"/>
    <row r="50418" customFormat="1" ht="21.95" customHeight="1" x14ac:dyDescent="0.15"/>
    <row r="50419" customFormat="1" ht="21.95" customHeight="1" x14ac:dyDescent="0.15"/>
    <row r="50420" customFormat="1" ht="21.95" customHeight="1" x14ac:dyDescent="0.15"/>
    <row r="50421" customFormat="1" ht="21.95" customHeight="1" x14ac:dyDescent="0.15"/>
    <row r="50422" customFormat="1" ht="21.95" customHeight="1" x14ac:dyDescent="0.15"/>
    <row r="50423" customFormat="1" ht="21.95" customHeight="1" x14ac:dyDescent="0.15"/>
    <row r="50424" customFormat="1" ht="21.95" customHeight="1" x14ac:dyDescent="0.15"/>
    <row r="50425" customFormat="1" ht="21.95" customHeight="1" x14ac:dyDescent="0.15"/>
    <row r="50426" customFormat="1" ht="21.95" customHeight="1" x14ac:dyDescent="0.15"/>
    <row r="50427" customFormat="1" ht="32.1" customHeight="1" x14ac:dyDescent="0.15"/>
    <row r="50428" customFormat="1" ht="32.1" customHeight="1" x14ac:dyDescent="0.15"/>
    <row r="50429" customFormat="1" ht="32.1" customHeight="1" x14ac:dyDescent="0.15"/>
    <row r="50430" customFormat="1" ht="32.1" customHeight="1" x14ac:dyDescent="0.15"/>
    <row r="50431" customFormat="1" ht="32.1" customHeight="1" x14ac:dyDescent="0.15"/>
    <row r="50432" customFormat="1" ht="32.1" customHeight="1" x14ac:dyDescent="0.15"/>
    <row r="50433" s="76" customFormat="1" ht="32.1" customHeight="1" x14ac:dyDescent="0.15"/>
    <row r="50434" s="76" customFormat="1" ht="32.1" customHeight="1" x14ac:dyDescent="0.15"/>
    <row r="50435" s="76" customFormat="1" ht="32.1" customHeight="1" x14ac:dyDescent="0.15"/>
    <row r="50436" s="76" customFormat="1" ht="32.1" customHeight="1" x14ac:dyDescent="0.15"/>
    <row r="50437" s="76" customFormat="1" ht="21.95" customHeight="1" x14ac:dyDescent="0.15"/>
    <row r="50438" s="76" customFormat="1" ht="54" customHeight="1" x14ac:dyDescent="0.15"/>
    <row r="50439" s="76" customFormat="1" ht="21.95" customHeight="1" x14ac:dyDescent="0.15"/>
    <row r="50440" s="76" customFormat="1" ht="21.95" customHeight="1" x14ac:dyDescent="0.15"/>
    <row r="50441" s="76" customFormat="1" ht="21.95" customHeight="1" x14ac:dyDescent="0.15"/>
    <row r="50442" s="76" customFormat="1" ht="21.95" customHeight="1" x14ac:dyDescent="0.15"/>
    <row r="50443" s="76" customFormat="1" ht="21.95" customHeight="1" x14ac:dyDescent="0.15"/>
    <row r="50444" s="76" customFormat="1" ht="21.95" customHeight="1" x14ac:dyDescent="0.15"/>
    <row r="50445" s="76" customFormat="1" ht="21.95" customHeight="1" x14ac:dyDescent="0.15"/>
    <row r="50446" s="76" customFormat="1" ht="21.95" customHeight="1" x14ac:dyDescent="0.15"/>
    <row r="50447" s="76" customFormat="1" ht="21.95" customHeight="1" x14ac:dyDescent="0.15"/>
    <row r="50448" s="76" customFormat="1" ht="21.95" customHeight="1" x14ac:dyDescent="0.15"/>
    <row r="50449" s="76" customFormat="1" ht="21.95" customHeight="1" x14ac:dyDescent="0.15"/>
    <row r="50450" s="76" customFormat="1" ht="21.95" customHeight="1" x14ac:dyDescent="0.15"/>
    <row r="50451" s="76" customFormat="1" ht="21.95" customHeight="1" x14ac:dyDescent="0.15"/>
    <row r="50452" s="76" customFormat="1" ht="21.95" customHeight="1" x14ac:dyDescent="0.15"/>
    <row r="50453" s="76" customFormat="1" ht="21.95" customHeight="1" x14ac:dyDescent="0.15"/>
    <row r="50454" s="76" customFormat="1" ht="21.95" customHeight="1" x14ac:dyDescent="0.15"/>
    <row r="50455" s="76" customFormat="1" ht="21.95" customHeight="1" x14ac:dyDescent="0.15"/>
    <row r="50456" s="76" customFormat="1" ht="21.95" customHeight="1" x14ac:dyDescent="0.15"/>
    <row r="50457" s="76" customFormat="1" ht="21.95" customHeight="1" x14ac:dyDescent="0.15"/>
    <row r="50458" s="76" customFormat="1" ht="21.95" customHeight="1" x14ac:dyDescent="0.15"/>
    <row r="50459" s="76" customFormat="1" ht="21.95" customHeight="1" x14ac:dyDescent="0.15"/>
    <row r="50460" s="76" customFormat="1" ht="21.95" customHeight="1" x14ac:dyDescent="0.15"/>
    <row r="50461" s="76" customFormat="1" ht="21.95" customHeight="1" x14ac:dyDescent="0.15"/>
    <row r="50462" s="76" customFormat="1" ht="21.95" customHeight="1" x14ac:dyDescent="0.15"/>
    <row r="50463" s="76" customFormat="1" ht="21.95" customHeight="1" x14ac:dyDescent="0.15"/>
    <row r="50464" s="76" customFormat="1" ht="21.95" customHeight="1" x14ac:dyDescent="0.15"/>
    <row r="50465" s="76" customFormat="1" ht="21.95" customHeight="1" x14ac:dyDescent="0.15"/>
    <row r="50466" s="76" customFormat="1" ht="21.95" customHeight="1" x14ac:dyDescent="0.15"/>
    <row r="50467" s="76" customFormat="1" ht="21.95" customHeight="1" x14ac:dyDescent="0.15"/>
    <row r="50468" s="76" customFormat="1" ht="21.95" customHeight="1" x14ac:dyDescent="0.15"/>
    <row r="50469" s="76" customFormat="1" ht="21.95" customHeight="1" x14ac:dyDescent="0.15"/>
    <row r="50470" s="76" customFormat="1" ht="21.95" customHeight="1" x14ac:dyDescent="0.15"/>
    <row r="50471" s="76" customFormat="1" ht="21.95" customHeight="1" x14ac:dyDescent="0.15"/>
    <row r="50472" s="76" customFormat="1" ht="21.95" customHeight="1" x14ac:dyDescent="0.15"/>
    <row r="50473" s="76" customFormat="1" ht="21.95" customHeight="1" x14ac:dyDescent="0.15"/>
    <row r="50474" s="76" customFormat="1" ht="21.95" customHeight="1" x14ac:dyDescent="0.15"/>
    <row r="50475" s="76" customFormat="1" ht="21.95" customHeight="1" x14ac:dyDescent="0.15"/>
    <row r="50476" s="76" customFormat="1" ht="21.95" customHeight="1" x14ac:dyDescent="0.15"/>
    <row r="50477" s="76" customFormat="1" ht="21.95" customHeight="1" x14ac:dyDescent="0.15"/>
    <row r="50478" s="76" customFormat="1" ht="21.95" customHeight="1" x14ac:dyDescent="0.15"/>
    <row r="50479" s="76" customFormat="1" ht="21.95" customHeight="1" x14ac:dyDescent="0.15"/>
    <row r="50480" s="76" customFormat="1" ht="21.95" customHeight="1" x14ac:dyDescent="0.15"/>
    <row r="50481" s="76" customFormat="1" ht="21.95" customHeight="1" x14ac:dyDescent="0.15"/>
    <row r="50482" s="76" customFormat="1" ht="21.95" customHeight="1" x14ac:dyDescent="0.15"/>
    <row r="50483" s="76" customFormat="1" ht="21.95" customHeight="1" x14ac:dyDescent="0.15"/>
    <row r="50484" s="76" customFormat="1" ht="21.95" customHeight="1" x14ac:dyDescent="0.15"/>
    <row r="50485" s="76" customFormat="1" ht="21.95" customHeight="1" x14ac:dyDescent="0.15"/>
    <row r="50486" s="76" customFormat="1" ht="21.95" customHeight="1" x14ac:dyDescent="0.15"/>
    <row r="50487" s="76" customFormat="1" ht="21.95" customHeight="1" x14ac:dyDescent="0.15"/>
    <row r="50488" s="76" customFormat="1" ht="21.95" customHeight="1" x14ac:dyDescent="0.15"/>
    <row r="50489" s="76" customFormat="1" ht="35.1" customHeight="1" x14ac:dyDescent="0.15"/>
    <row r="50490" s="76" customFormat="1" ht="21.95" customHeight="1" x14ac:dyDescent="0.15"/>
    <row r="50491" s="76" customFormat="1" ht="21.95" customHeight="1" x14ac:dyDescent="0.15"/>
    <row r="50492" s="76" customFormat="1" ht="21.95" customHeight="1" x14ac:dyDescent="0.15"/>
    <row r="50493" s="76" customFormat="1" ht="21.95" customHeight="1" x14ac:dyDescent="0.15"/>
    <row r="50494" s="76" customFormat="1" ht="21.95" customHeight="1" x14ac:dyDescent="0.15"/>
    <row r="50495" s="76" customFormat="1" ht="21.95" customHeight="1" x14ac:dyDescent="0.15"/>
    <row r="50496" s="76" customFormat="1" ht="21.95" customHeight="1" x14ac:dyDescent="0.15"/>
    <row r="50497" s="76" customFormat="1" ht="21.95" customHeight="1" x14ac:dyDescent="0.15"/>
    <row r="50498" s="76" customFormat="1" ht="21.95" customHeight="1" x14ac:dyDescent="0.15"/>
    <row r="50499" s="76" customFormat="1" ht="21.95" customHeight="1" x14ac:dyDescent="0.15"/>
    <row r="50500" s="76" customFormat="1" ht="21.95" customHeight="1" x14ac:dyDescent="0.15"/>
    <row r="50501" s="76" customFormat="1" ht="21.95" customHeight="1" x14ac:dyDescent="0.15"/>
    <row r="50502" s="76" customFormat="1" ht="21.95" customHeight="1" x14ac:dyDescent="0.15"/>
    <row r="50503" s="76" customFormat="1" ht="21.95" customHeight="1" x14ac:dyDescent="0.15"/>
    <row r="50504" s="76" customFormat="1" ht="21.95" customHeight="1" x14ac:dyDescent="0.15"/>
    <row r="50505" s="76" customFormat="1" ht="21.95" customHeight="1" x14ac:dyDescent="0.15"/>
    <row r="50506" s="76" customFormat="1" ht="21.95" customHeight="1" x14ac:dyDescent="0.15"/>
    <row r="50507" s="76" customFormat="1" ht="21.95" customHeight="1" x14ac:dyDescent="0.15"/>
    <row r="50508" s="76" customFormat="1" ht="21.95" customHeight="1" x14ac:dyDescent="0.15"/>
    <row r="50509" s="76" customFormat="1" ht="21.95" customHeight="1" x14ac:dyDescent="0.15"/>
    <row r="50510" s="76" customFormat="1" ht="21.95" customHeight="1" x14ac:dyDescent="0.15"/>
    <row r="50511" s="76" customFormat="1" ht="21.95" customHeight="1" x14ac:dyDescent="0.15"/>
    <row r="50512" s="76" customFormat="1" ht="21.95" customHeight="1" x14ac:dyDescent="0.15"/>
    <row r="50513" spans="3:3" customFormat="1" ht="21.95" customHeight="1" x14ac:dyDescent="0.15"/>
    <row r="50514" spans="3:3" customFormat="1" ht="21.95" customHeight="1" x14ac:dyDescent="0.15"/>
    <row r="50515" spans="3:3" customFormat="1" ht="21.95" customHeight="1" x14ac:dyDescent="0.15">
      <c r="C50515" s="94"/>
    </row>
    <row r="50516" spans="3:3" customFormat="1" ht="21.95" customHeight="1" x14ac:dyDescent="0.15">
      <c r="C50516" s="94"/>
    </row>
    <row r="50517" spans="3:3" customFormat="1" ht="21.95" customHeight="1" x14ac:dyDescent="0.15"/>
    <row r="50518" spans="3:3" customFormat="1" ht="21.95" customHeight="1" x14ac:dyDescent="0.15"/>
    <row r="50519" spans="3:3" customFormat="1" ht="21.95" customHeight="1" x14ac:dyDescent="0.15"/>
    <row r="50520" spans="3:3" customFormat="1" ht="21.95" customHeight="1" x14ac:dyDescent="0.15"/>
    <row r="50521" spans="3:3" customFormat="1" ht="21.95" customHeight="1" x14ac:dyDescent="0.15"/>
    <row r="50522" spans="3:3" customFormat="1" ht="21.95" customHeight="1" x14ac:dyDescent="0.15"/>
    <row r="50523" spans="3:3" customFormat="1" ht="21.95" customHeight="1" x14ac:dyDescent="0.15"/>
    <row r="50524" spans="3:3" s="76" customFormat="1" ht="21.95" customHeight="1" x14ac:dyDescent="0.15"/>
    <row r="50525" spans="3:3" s="76" customFormat="1" ht="21.95" customHeight="1" x14ac:dyDescent="0.15"/>
    <row r="50526" spans="3:3" s="76" customFormat="1" ht="21.95" customHeight="1" x14ac:dyDescent="0.15"/>
    <row r="50527" spans="3:3" s="76" customFormat="1" ht="21.95" customHeight="1" x14ac:dyDescent="0.15"/>
    <row r="50528" spans="3:3" customFormat="1" ht="21.95" customHeight="1" x14ac:dyDescent="0.15"/>
    <row r="50529" customFormat="1" ht="21.95" customHeight="1" x14ac:dyDescent="0.15"/>
    <row r="50530" customFormat="1" ht="21.95" customHeight="1" x14ac:dyDescent="0.15"/>
    <row r="50531" customFormat="1" ht="21.95" customHeight="1" x14ac:dyDescent="0.15"/>
    <row r="50532" customFormat="1" ht="21.95" customHeight="1" x14ac:dyDescent="0.15"/>
    <row r="50533" customFormat="1" ht="21.95" customHeight="1" x14ac:dyDescent="0.15"/>
    <row r="50534" customFormat="1" ht="21.95" customHeight="1" x14ac:dyDescent="0.15"/>
    <row r="50535" customFormat="1" ht="21.95" customHeight="1" x14ac:dyDescent="0.15"/>
    <row r="50536" customFormat="1" ht="21.95" customHeight="1" x14ac:dyDescent="0.15"/>
    <row r="50537" customFormat="1" ht="21.95" customHeight="1" x14ac:dyDescent="0.15"/>
    <row r="50538" customFormat="1" ht="21.95" customHeight="1" x14ac:dyDescent="0.15"/>
    <row r="50539" customFormat="1" ht="32.1" customHeight="1" x14ac:dyDescent="0.15"/>
    <row r="50540" customFormat="1" ht="32.1" customHeight="1" x14ac:dyDescent="0.15"/>
    <row r="50541" customFormat="1" ht="32.1" customHeight="1" x14ac:dyDescent="0.15"/>
    <row r="50542" customFormat="1" ht="32.1" customHeight="1" x14ac:dyDescent="0.15"/>
    <row r="50543" customFormat="1" ht="32.1" customHeight="1" x14ac:dyDescent="0.15"/>
    <row r="50544" customFormat="1" ht="32.1" customHeight="1" x14ac:dyDescent="0.15"/>
    <row r="50545" s="76" customFormat="1" ht="32.1" customHeight="1" x14ac:dyDescent="0.15"/>
    <row r="50546" s="76" customFormat="1" ht="32.1" customHeight="1" x14ac:dyDescent="0.15"/>
    <row r="50547" s="76" customFormat="1" ht="32.1" customHeight="1" x14ac:dyDescent="0.15"/>
    <row r="50548" s="76" customFormat="1" ht="32.1" customHeight="1" x14ac:dyDescent="0.15"/>
    <row r="50549" s="76" customFormat="1" ht="21.95" customHeight="1" x14ac:dyDescent="0.15"/>
    <row r="50550" s="76" customFormat="1" ht="54" customHeight="1" x14ac:dyDescent="0.15"/>
    <row r="50551" s="76" customFormat="1" ht="21.95" customHeight="1" x14ac:dyDescent="0.15"/>
    <row r="50552" s="76" customFormat="1" ht="21.95" customHeight="1" x14ac:dyDescent="0.15"/>
    <row r="50553" s="76" customFormat="1" ht="21.95" customHeight="1" x14ac:dyDescent="0.15"/>
    <row r="50554" s="76" customFormat="1" ht="21.95" customHeight="1" x14ac:dyDescent="0.15"/>
    <row r="50555" s="76" customFormat="1" ht="21.95" customHeight="1" x14ac:dyDescent="0.15"/>
    <row r="50556" s="76" customFormat="1" ht="21.95" customHeight="1" x14ac:dyDescent="0.15"/>
    <row r="50557" s="76" customFormat="1" ht="21.95" customHeight="1" x14ac:dyDescent="0.15"/>
    <row r="50558" s="76" customFormat="1" ht="21.95" customHeight="1" x14ac:dyDescent="0.15"/>
    <row r="50559" s="76" customFormat="1" ht="21.95" customHeight="1" x14ac:dyDescent="0.15"/>
    <row r="50560" s="76" customFormat="1" ht="21.95" customHeight="1" x14ac:dyDescent="0.15"/>
    <row r="50561" s="76" customFormat="1" ht="21.95" customHeight="1" x14ac:dyDescent="0.15"/>
    <row r="50562" s="76" customFormat="1" ht="21.95" customHeight="1" x14ac:dyDescent="0.15"/>
    <row r="50563" s="76" customFormat="1" ht="21.95" customHeight="1" x14ac:dyDescent="0.15"/>
    <row r="50564" s="76" customFormat="1" ht="21.95" customHeight="1" x14ac:dyDescent="0.15"/>
    <row r="50565" s="76" customFormat="1" ht="21.95" customHeight="1" x14ac:dyDescent="0.15"/>
    <row r="50566" s="76" customFormat="1" ht="21.95" customHeight="1" x14ac:dyDescent="0.15"/>
    <row r="50567" s="76" customFormat="1" ht="21.95" customHeight="1" x14ac:dyDescent="0.15"/>
    <row r="50568" s="76" customFormat="1" ht="21.95" customHeight="1" x14ac:dyDescent="0.15"/>
    <row r="50569" s="76" customFormat="1" ht="21.95" customHeight="1" x14ac:dyDescent="0.15"/>
    <row r="50570" s="76" customFormat="1" ht="21.95" customHeight="1" x14ac:dyDescent="0.15"/>
    <row r="50571" s="76" customFormat="1" ht="21.95" customHeight="1" x14ac:dyDescent="0.15"/>
    <row r="50572" s="76" customFormat="1" ht="21.95" customHeight="1" x14ac:dyDescent="0.15"/>
    <row r="50573" s="76" customFormat="1" ht="21.95" customHeight="1" x14ac:dyDescent="0.15"/>
    <row r="50574" s="76" customFormat="1" ht="21.95" customHeight="1" x14ac:dyDescent="0.15"/>
    <row r="50575" s="76" customFormat="1" ht="21.95" customHeight="1" x14ac:dyDescent="0.15"/>
    <row r="50576" s="76" customFormat="1" ht="21.95" customHeight="1" x14ac:dyDescent="0.15"/>
    <row r="50577" s="76" customFormat="1" ht="21.95" customHeight="1" x14ac:dyDescent="0.15"/>
    <row r="50578" s="76" customFormat="1" ht="21.95" customHeight="1" x14ac:dyDescent="0.15"/>
    <row r="50579" s="76" customFormat="1" ht="21.95" customHeight="1" x14ac:dyDescent="0.15"/>
    <row r="50580" s="76" customFormat="1" ht="21.95" customHeight="1" x14ac:dyDescent="0.15"/>
    <row r="50581" s="76" customFormat="1" ht="21.95" customHeight="1" x14ac:dyDescent="0.15"/>
    <row r="50582" s="76" customFormat="1" ht="21.95" customHeight="1" x14ac:dyDescent="0.15"/>
    <row r="50583" s="76" customFormat="1" ht="21.95" customHeight="1" x14ac:dyDescent="0.15"/>
    <row r="50584" s="76" customFormat="1" ht="21.95" customHeight="1" x14ac:dyDescent="0.15"/>
    <row r="50585" s="76" customFormat="1" ht="21.95" customHeight="1" x14ac:dyDescent="0.15"/>
    <row r="50586" s="76" customFormat="1" ht="21.95" customHeight="1" x14ac:dyDescent="0.15"/>
    <row r="50587" s="76" customFormat="1" ht="21.95" customHeight="1" x14ac:dyDescent="0.15"/>
    <row r="50588" s="76" customFormat="1" ht="21.95" customHeight="1" x14ac:dyDescent="0.15"/>
    <row r="50589" s="76" customFormat="1" ht="21.95" customHeight="1" x14ac:dyDescent="0.15"/>
    <row r="50590" s="76" customFormat="1" ht="21.95" customHeight="1" x14ac:dyDescent="0.15"/>
    <row r="50591" s="76" customFormat="1" ht="21.95" customHeight="1" x14ac:dyDescent="0.15"/>
    <row r="50592" s="76" customFormat="1" ht="21.95" customHeight="1" x14ac:dyDescent="0.15"/>
    <row r="50593" s="76" customFormat="1" ht="21.95" customHeight="1" x14ac:dyDescent="0.15"/>
    <row r="50594" s="76" customFormat="1" ht="21.95" customHeight="1" x14ac:dyDescent="0.15"/>
    <row r="50595" s="76" customFormat="1" ht="21.95" customHeight="1" x14ac:dyDescent="0.15"/>
    <row r="50596" s="76" customFormat="1" ht="21.95" customHeight="1" x14ac:dyDescent="0.15"/>
    <row r="50597" s="76" customFormat="1" ht="21.95" customHeight="1" x14ac:dyDescent="0.15"/>
    <row r="50598" s="76" customFormat="1" ht="21.95" customHeight="1" x14ac:dyDescent="0.15"/>
    <row r="50599" s="76" customFormat="1" ht="21.95" customHeight="1" x14ac:dyDescent="0.15"/>
    <row r="50600" s="76" customFormat="1" ht="21.95" customHeight="1" x14ac:dyDescent="0.15"/>
    <row r="50601" s="76" customFormat="1" ht="35.1" customHeight="1" x14ac:dyDescent="0.15"/>
    <row r="50602" s="76" customFormat="1" ht="21.95" customHeight="1" x14ac:dyDescent="0.15"/>
    <row r="50603" s="76" customFormat="1" ht="21.95" customHeight="1" x14ac:dyDescent="0.15"/>
    <row r="50604" s="76" customFormat="1" ht="21.95" customHeight="1" x14ac:dyDescent="0.15"/>
    <row r="50605" s="76" customFormat="1" ht="21.95" customHeight="1" x14ac:dyDescent="0.15"/>
    <row r="50606" s="76" customFormat="1" ht="21.95" customHeight="1" x14ac:dyDescent="0.15"/>
    <row r="50607" s="76" customFormat="1" ht="21.95" customHeight="1" x14ac:dyDescent="0.15"/>
    <row r="50608" s="76" customFormat="1" ht="21.95" customHeight="1" x14ac:dyDescent="0.15"/>
    <row r="50609" s="76" customFormat="1" ht="21.95" customHeight="1" x14ac:dyDescent="0.15"/>
    <row r="50610" s="76" customFormat="1" ht="21.95" customHeight="1" x14ac:dyDescent="0.15"/>
    <row r="50611" s="76" customFormat="1" ht="21.95" customHeight="1" x14ac:dyDescent="0.15"/>
    <row r="50612" s="76" customFormat="1" ht="21.95" customHeight="1" x14ac:dyDescent="0.15"/>
    <row r="50613" s="76" customFormat="1" ht="21.95" customHeight="1" x14ac:dyDescent="0.15"/>
    <row r="50614" s="76" customFormat="1" ht="21.95" customHeight="1" x14ac:dyDescent="0.15"/>
    <row r="50615" s="76" customFormat="1" ht="21.95" customHeight="1" x14ac:dyDescent="0.15"/>
    <row r="50616" s="76" customFormat="1" ht="21.95" customHeight="1" x14ac:dyDescent="0.15"/>
    <row r="50617" s="76" customFormat="1" ht="21.95" customHeight="1" x14ac:dyDescent="0.15"/>
    <row r="50618" s="76" customFormat="1" ht="21.95" customHeight="1" x14ac:dyDescent="0.15"/>
    <row r="50619" s="76" customFormat="1" ht="21.95" customHeight="1" x14ac:dyDescent="0.15"/>
    <row r="50620" s="76" customFormat="1" ht="21.95" customHeight="1" x14ac:dyDescent="0.15"/>
    <row r="50621" s="76" customFormat="1" ht="21.95" customHeight="1" x14ac:dyDescent="0.15"/>
    <row r="50622" s="76" customFormat="1" ht="21.95" customHeight="1" x14ac:dyDescent="0.15"/>
    <row r="50623" s="76" customFormat="1" ht="21.95" customHeight="1" x14ac:dyDescent="0.15"/>
    <row r="50624" s="76" customFormat="1" ht="21.95" customHeight="1" x14ac:dyDescent="0.15"/>
    <row r="50625" spans="3:3" customFormat="1" ht="21.95" customHeight="1" x14ac:dyDescent="0.15"/>
    <row r="50626" spans="3:3" customFormat="1" ht="21.95" customHeight="1" x14ac:dyDescent="0.15"/>
    <row r="50627" spans="3:3" customFormat="1" ht="21.95" customHeight="1" x14ac:dyDescent="0.15">
      <c r="C50627" s="94"/>
    </row>
    <row r="50628" spans="3:3" customFormat="1" ht="21.95" customHeight="1" x14ac:dyDescent="0.15">
      <c r="C50628" s="94"/>
    </row>
    <row r="50629" spans="3:3" customFormat="1" ht="21.95" customHeight="1" x14ac:dyDescent="0.15"/>
    <row r="50630" spans="3:3" customFormat="1" ht="21.95" customHeight="1" x14ac:dyDescent="0.15"/>
    <row r="50631" spans="3:3" customFormat="1" ht="21.95" customHeight="1" x14ac:dyDescent="0.15"/>
    <row r="50632" spans="3:3" customFormat="1" ht="21.95" customHeight="1" x14ac:dyDescent="0.15"/>
    <row r="50633" spans="3:3" customFormat="1" ht="21.95" customHeight="1" x14ac:dyDescent="0.15"/>
    <row r="50634" spans="3:3" customFormat="1" ht="21.95" customHeight="1" x14ac:dyDescent="0.15"/>
    <row r="50635" spans="3:3" customFormat="1" ht="21.95" customHeight="1" x14ac:dyDescent="0.15"/>
    <row r="50636" spans="3:3" s="76" customFormat="1" ht="21.95" customHeight="1" x14ac:dyDescent="0.15"/>
    <row r="50637" spans="3:3" s="76" customFormat="1" ht="21.95" customHeight="1" x14ac:dyDescent="0.15"/>
    <row r="50638" spans="3:3" s="76" customFormat="1" ht="21.95" customHeight="1" x14ac:dyDescent="0.15"/>
    <row r="50639" spans="3:3" s="76" customFormat="1" ht="21.95" customHeight="1" x14ac:dyDescent="0.15"/>
    <row r="50640" spans="3:3" customFormat="1" ht="21.95" customHeight="1" x14ac:dyDescent="0.15"/>
    <row r="50641" customFormat="1" ht="21.95" customHeight="1" x14ac:dyDescent="0.15"/>
    <row r="50642" customFormat="1" ht="21.95" customHeight="1" x14ac:dyDescent="0.15"/>
    <row r="50643" customFormat="1" ht="21.95" customHeight="1" x14ac:dyDescent="0.15"/>
    <row r="50644" customFormat="1" ht="21.95" customHeight="1" x14ac:dyDescent="0.15"/>
    <row r="50645" customFormat="1" ht="21.95" customHeight="1" x14ac:dyDescent="0.15"/>
    <row r="50646" customFormat="1" ht="21.95" customHeight="1" x14ac:dyDescent="0.15"/>
    <row r="50647" customFormat="1" ht="21.95" customHeight="1" x14ac:dyDescent="0.15"/>
    <row r="50648" customFormat="1" ht="21.95" customHeight="1" x14ac:dyDescent="0.15"/>
    <row r="50649" customFormat="1" ht="21.95" customHeight="1" x14ac:dyDescent="0.15"/>
    <row r="50650" customFormat="1" ht="21.95" customHeight="1" x14ac:dyDescent="0.15"/>
    <row r="50651" customFormat="1" ht="32.1" customHeight="1" x14ac:dyDescent="0.15"/>
    <row r="50652" customFormat="1" ht="32.1" customHeight="1" x14ac:dyDescent="0.15"/>
    <row r="50653" customFormat="1" ht="32.1" customHeight="1" x14ac:dyDescent="0.15"/>
    <row r="50654" customFormat="1" ht="32.1" customHeight="1" x14ac:dyDescent="0.15"/>
    <row r="50655" customFormat="1" ht="32.1" customHeight="1" x14ac:dyDescent="0.15"/>
    <row r="50656" customFormat="1" ht="32.1" customHeight="1" x14ac:dyDescent="0.15"/>
    <row r="50657" s="76" customFormat="1" ht="32.1" customHeight="1" x14ac:dyDescent="0.15"/>
    <row r="50658" s="76" customFormat="1" ht="32.1" customHeight="1" x14ac:dyDescent="0.15"/>
    <row r="50659" s="76" customFormat="1" ht="32.1" customHeight="1" x14ac:dyDescent="0.15"/>
    <row r="50660" s="76" customFormat="1" ht="32.1" customHeight="1" x14ac:dyDescent="0.15"/>
    <row r="50661" s="76" customFormat="1" ht="21.95" customHeight="1" x14ac:dyDescent="0.15"/>
    <row r="50662" s="76" customFormat="1" ht="54" customHeight="1" x14ac:dyDescent="0.15"/>
    <row r="50663" s="76" customFormat="1" ht="21.95" customHeight="1" x14ac:dyDescent="0.15"/>
    <row r="50664" s="76" customFormat="1" ht="21.95" customHeight="1" x14ac:dyDescent="0.15"/>
    <row r="50665" s="76" customFormat="1" ht="21.95" customHeight="1" x14ac:dyDescent="0.15"/>
    <row r="50666" s="76" customFormat="1" ht="21.95" customHeight="1" x14ac:dyDescent="0.15"/>
    <row r="50667" s="76" customFormat="1" ht="21.95" customHeight="1" x14ac:dyDescent="0.15"/>
    <row r="50668" s="76" customFormat="1" ht="21.95" customHeight="1" x14ac:dyDescent="0.15"/>
    <row r="50669" s="76" customFormat="1" ht="21.95" customHeight="1" x14ac:dyDescent="0.15"/>
    <row r="50670" s="76" customFormat="1" ht="21.95" customHeight="1" x14ac:dyDescent="0.15"/>
    <row r="50671" s="76" customFormat="1" ht="21.95" customHeight="1" x14ac:dyDescent="0.15"/>
    <row r="50672" s="76" customFormat="1" ht="21.95" customHeight="1" x14ac:dyDescent="0.15"/>
    <row r="50673" s="76" customFormat="1" ht="21.95" customHeight="1" x14ac:dyDescent="0.15"/>
    <row r="50674" s="76" customFormat="1" ht="21.95" customHeight="1" x14ac:dyDescent="0.15"/>
    <row r="50675" s="76" customFormat="1" ht="21.95" customHeight="1" x14ac:dyDescent="0.15"/>
    <row r="50676" s="76" customFormat="1" ht="21.95" customHeight="1" x14ac:dyDescent="0.15"/>
    <row r="50677" s="76" customFormat="1" ht="21.95" customHeight="1" x14ac:dyDescent="0.15"/>
    <row r="50678" s="76" customFormat="1" ht="21.95" customHeight="1" x14ac:dyDescent="0.15"/>
    <row r="50679" s="76" customFormat="1" ht="21.95" customHeight="1" x14ac:dyDescent="0.15"/>
    <row r="50680" s="76" customFormat="1" ht="21.95" customHeight="1" x14ac:dyDescent="0.15"/>
    <row r="50681" s="76" customFormat="1" ht="21.95" customHeight="1" x14ac:dyDescent="0.15"/>
    <row r="50682" s="76" customFormat="1" ht="21.95" customHeight="1" x14ac:dyDescent="0.15"/>
    <row r="50683" s="76" customFormat="1" ht="21.95" customHeight="1" x14ac:dyDescent="0.15"/>
    <row r="50684" s="76" customFormat="1" ht="21.95" customHeight="1" x14ac:dyDescent="0.15"/>
    <row r="50685" s="76" customFormat="1" ht="21.95" customHeight="1" x14ac:dyDescent="0.15"/>
    <row r="50686" s="76" customFormat="1" ht="21.95" customHeight="1" x14ac:dyDescent="0.15"/>
    <row r="50687" s="76" customFormat="1" ht="21.95" customHeight="1" x14ac:dyDescent="0.15"/>
    <row r="50688" s="76" customFormat="1" ht="21.95" customHeight="1" x14ac:dyDescent="0.15"/>
    <row r="50689" s="76" customFormat="1" ht="21.95" customHeight="1" x14ac:dyDescent="0.15"/>
    <row r="50690" s="76" customFormat="1" ht="21.95" customHeight="1" x14ac:dyDescent="0.15"/>
    <row r="50691" s="76" customFormat="1" ht="21.95" customHeight="1" x14ac:dyDescent="0.15"/>
    <row r="50692" s="76" customFormat="1" ht="21.95" customHeight="1" x14ac:dyDescent="0.15"/>
    <row r="50693" s="76" customFormat="1" ht="21.95" customHeight="1" x14ac:dyDescent="0.15"/>
    <row r="50694" s="76" customFormat="1" ht="21.95" customHeight="1" x14ac:dyDescent="0.15"/>
    <row r="50695" s="76" customFormat="1" ht="21.95" customHeight="1" x14ac:dyDescent="0.15"/>
    <row r="50696" s="76" customFormat="1" ht="21.95" customHeight="1" x14ac:dyDescent="0.15"/>
    <row r="50697" s="76" customFormat="1" ht="21.95" customHeight="1" x14ac:dyDescent="0.15"/>
    <row r="50698" s="76" customFormat="1" ht="21.95" customHeight="1" x14ac:dyDescent="0.15"/>
    <row r="50699" s="76" customFormat="1" ht="21.95" customHeight="1" x14ac:dyDescent="0.15"/>
    <row r="50700" s="76" customFormat="1" ht="21.95" customHeight="1" x14ac:dyDescent="0.15"/>
    <row r="50701" s="76" customFormat="1" ht="21.95" customHeight="1" x14ac:dyDescent="0.15"/>
    <row r="50702" s="76" customFormat="1" ht="21.95" customHeight="1" x14ac:dyDescent="0.15"/>
    <row r="50703" s="76" customFormat="1" ht="21.95" customHeight="1" x14ac:dyDescent="0.15"/>
    <row r="50704" s="76" customFormat="1" ht="21.95" customHeight="1" x14ac:dyDescent="0.15"/>
    <row r="50705" s="76" customFormat="1" ht="21.95" customHeight="1" x14ac:dyDescent="0.15"/>
    <row r="50706" s="76" customFormat="1" ht="21.95" customHeight="1" x14ac:dyDescent="0.15"/>
    <row r="50707" s="76" customFormat="1" ht="21.95" customHeight="1" x14ac:dyDescent="0.15"/>
    <row r="50708" s="76" customFormat="1" ht="21.95" customHeight="1" x14ac:dyDescent="0.15"/>
    <row r="50709" s="76" customFormat="1" ht="21.95" customHeight="1" x14ac:dyDescent="0.15"/>
    <row r="50710" s="76" customFormat="1" ht="21.95" customHeight="1" x14ac:dyDescent="0.15"/>
    <row r="50711" s="76" customFormat="1" ht="21.95" customHeight="1" x14ac:dyDescent="0.15"/>
    <row r="50712" s="76" customFormat="1" ht="21.95" customHeight="1" x14ac:dyDescent="0.15"/>
    <row r="50713" s="76" customFormat="1" ht="35.1" customHeight="1" x14ac:dyDescent="0.15"/>
    <row r="50714" s="76" customFormat="1" ht="21.95" customHeight="1" x14ac:dyDescent="0.15"/>
    <row r="50715" s="76" customFormat="1" ht="21.95" customHeight="1" x14ac:dyDescent="0.15"/>
    <row r="50716" s="76" customFormat="1" ht="21.95" customHeight="1" x14ac:dyDescent="0.15"/>
    <row r="50717" s="76" customFormat="1" ht="21.95" customHeight="1" x14ac:dyDescent="0.15"/>
    <row r="50718" s="76" customFormat="1" ht="21.95" customHeight="1" x14ac:dyDescent="0.15"/>
    <row r="50719" s="76" customFormat="1" ht="21.95" customHeight="1" x14ac:dyDescent="0.15"/>
    <row r="50720" s="76" customFormat="1" ht="21.95" customHeight="1" x14ac:dyDescent="0.15"/>
    <row r="50721" s="76" customFormat="1" ht="21.95" customHeight="1" x14ac:dyDescent="0.15"/>
    <row r="50722" s="76" customFormat="1" ht="21.95" customHeight="1" x14ac:dyDescent="0.15"/>
    <row r="50723" s="76" customFormat="1" ht="21.95" customHeight="1" x14ac:dyDescent="0.15"/>
    <row r="50724" s="76" customFormat="1" ht="21.95" customHeight="1" x14ac:dyDescent="0.15"/>
    <row r="50725" s="76" customFormat="1" ht="21.95" customHeight="1" x14ac:dyDescent="0.15"/>
    <row r="50726" s="76" customFormat="1" ht="21.95" customHeight="1" x14ac:dyDescent="0.15"/>
    <row r="50727" s="76" customFormat="1" ht="21.95" customHeight="1" x14ac:dyDescent="0.15"/>
    <row r="50728" s="76" customFormat="1" ht="21.95" customHeight="1" x14ac:dyDescent="0.15"/>
    <row r="50729" s="76" customFormat="1" ht="21.95" customHeight="1" x14ac:dyDescent="0.15"/>
    <row r="50730" s="76" customFormat="1" ht="21.95" customHeight="1" x14ac:dyDescent="0.15"/>
    <row r="50731" s="76" customFormat="1" ht="21.95" customHeight="1" x14ac:dyDescent="0.15"/>
    <row r="50732" s="76" customFormat="1" ht="21.95" customHeight="1" x14ac:dyDescent="0.15"/>
    <row r="50733" s="76" customFormat="1" ht="21.95" customHeight="1" x14ac:dyDescent="0.15"/>
    <row r="50734" s="76" customFormat="1" ht="21.95" customHeight="1" x14ac:dyDescent="0.15"/>
    <row r="50735" s="76" customFormat="1" ht="21.95" customHeight="1" x14ac:dyDescent="0.15"/>
    <row r="50736" s="76" customFormat="1" ht="21.95" customHeight="1" x14ac:dyDescent="0.15"/>
    <row r="50737" spans="3:3" customFormat="1" ht="21.95" customHeight="1" x14ac:dyDescent="0.15"/>
    <row r="50738" spans="3:3" customFormat="1" ht="21.95" customHeight="1" x14ac:dyDescent="0.15"/>
    <row r="50739" spans="3:3" customFormat="1" ht="21.95" customHeight="1" x14ac:dyDescent="0.15">
      <c r="C50739" s="94"/>
    </row>
    <row r="50740" spans="3:3" customFormat="1" ht="21.95" customHeight="1" x14ac:dyDescent="0.15">
      <c r="C50740" s="94"/>
    </row>
    <row r="50741" spans="3:3" customFormat="1" ht="21.95" customHeight="1" x14ac:dyDescent="0.15"/>
    <row r="50742" spans="3:3" customFormat="1" ht="21.95" customHeight="1" x14ac:dyDescent="0.15"/>
    <row r="50743" spans="3:3" customFormat="1" ht="21.95" customHeight="1" x14ac:dyDescent="0.15"/>
    <row r="50744" spans="3:3" customFormat="1" ht="21.95" customHeight="1" x14ac:dyDescent="0.15"/>
    <row r="50745" spans="3:3" customFormat="1" ht="21.95" customHeight="1" x14ac:dyDescent="0.15"/>
    <row r="50746" spans="3:3" customFormat="1" ht="21.95" customHeight="1" x14ac:dyDescent="0.15"/>
    <row r="50747" spans="3:3" customFormat="1" ht="21.95" customHeight="1" x14ac:dyDescent="0.15"/>
    <row r="50748" spans="3:3" s="76" customFormat="1" ht="21.95" customHeight="1" x14ac:dyDescent="0.15"/>
    <row r="50749" spans="3:3" s="76" customFormat="1" ht="21.95" customHeight="1" x14ac:dyDescent="0.15"/>
    <row r="50750" spans="3:3" s="76" customFormat="1" ht="21.95" customHeight="1" x14ac:dyDescent="0.15"/>
    <row r="50751" spans="3:3" s="76" customFormat="1" ht="21.95" customHeight="1" x14ac:dyDescent="0.15"/>
    <row r="50752" spans="3:3" customFormat="1" ht="21.95" customHeight="1" x14ac:dyDescent="0.15"/>
    <row r="50753" customFormat="1" ht="21.95" customHeight="1" x14ac:dyDescent="0.15"/>
    <row r="50754" customFormat="1" ht="21.95" customHeight="1" x14ac:dyDescent="0.15"/>
    <row r="50755" customFormat="1" ht="21.95" customHeight="1" x14ac:dyDescent="0.15"/>
    <row r="50756" customFormat="1" ht="21.95" customHeight="1" x14ac:dyDescent="0.15"/>
    <row r="50757" customFormat="1" ht="21.95" customHeight="1" x14ac:dyDescent="0.15"/>
    <row r="50758" customFormat="1" ht="21.95" customHeight="1" x14ac:dyDescent="0.15"/>
    <row r="50759" customFormat="1" ht="21.95" customHeight="1" x14ac:dyDescent="0.15"/>
    <row r="50760" customFormat="1" ht="21.95" customHeight="1" x14ac:dyDescent="0.15"/>
    <row r="50761" customFormat="1" ht="21.95" customHeight="1" x14ac:dyDescent="0.15"/>
    <row r="50762" customFormat="1" ht="21.95" customHeight="1" x14ac:dyDescent="0.15"/>
    <row r="50763" customFormat="1" ht="32.1" customHeight="1" x14ac:dyDescent="0.15"/>
    <row r="50764" customFormat="1" ht="32.1" customHeight="1" x14ac:dyDescent="0.15"/>
    <row r="50765" customFormat="1" ht="32.1" customHeight="1" x14ac:dyDescent="0.15"/>
    <row r="50766" customFormat="1" ht="32.1" customHeight="1" x14ac:dyDescent="0.15"/>
    <row r="50767" customFormat="1" ht="32.1" customHeight="1" x14ac:dyDescent="0.15"/>
    <row r="50768" customFormat="1" ht="32.1" customHeight="1" x14ac:dyDescent="0.15"/>
    <row r="50769" s="76" customFormat="1" ht="32.1" customHeight="1" x14ac:dyDescent="0.15"/>
    <row r="50770" s="76" customFormat="1" ht="32.1" customHeight="1" x14ac:dyDescent="0.15"/>
    <row r="50771" s="76" customFormat="1" ht="32.1" customHeight="1" x14ac:dyDescent="0.15"/>
    <row r="50772" s="76" customFormat="1" ht="32.1" customHeight="1" x14ac:dyDescent="0.15"/>
    <row r="50773" s="76" customFormat="1" ht="21.95" customHeight="1" x14ac:dyDescent="0.15"/>
    <row r="50774" s="76" customFormat="1" ht="54" customHeight="1" x14ac:dyDescent="0.15"/>
    <row r="50775" s="76" customFormat="1" ht="21.95" customHeight="1" x14ac:dyDescent="0.15"/>
    <row r="50776" s="76" customFormat="1" ht="21.95" customHeight="1" x14ac:dyDescent="0.15"/>
    <row r="50777" s="76" customFormat="1" ht="21.95" customHeight="1" x14ac:dyDescent="0.15"/>
    <row r="50778" s="76" customFormat="1" ht="21.95" customHeight="1" x14ac:dyDescent="0.15"/>
    <row r="50779" s="76" customFormat="1" ht="21.95" customHeight="1" x14ac:dyDescent="0.15"/>
    <row r="50780" s="76" customFormat="1" ht="21.95" customHeight="1" x14ac:dyDescent="0.15"/>
    <row r="50781" s="76" customFormat="1" ht="21.95" customHeight="1" x14ac:dyDescent="0.15"/>
    <row r="50782" s="76" customFormat="1" ht="21.95" customHeight="1" x14ac:dyDescent="0.15"/>
    <row r="50783" s="76" customFormat="1" ht="21.95" customHeight="1" x14ac:dyDescent="0.15"/>
    <row r="50784" s="76" customFormat="1" ht="21.95" customHeight="1" x14ac:dyDescent="0.15"/>
    <row r="50785" s="76" customFormat="1" ht="21.95" customHeight="1" x14ac:dyDescent="0.15"/>
    <row r="50786" s="76" customFormat="1" ht="21.95" customHeight="1" x14ac:dyDescent="0.15"/>
    <row r="50787" s="76" customFormat="1" ht="21.95" customHeight="1" x14ac:dyDescent="0.15"/>
    <row r="50788" s="76" customFormat="1" ht="21.95" customHeight="1" x14ac:dyDescent="0.15"/>
    <row r="50789" s="76" customFormat="1" ht="21.95" customHeight="1" x14ac:dyDescent="0.15"/>
    <row r="50790" s="76" customFormat="1" ht="21.95" customHeight="1" x14ac:dyDescent="0.15"/>
    <row r="50791" s="76" customFormat="1" ht="21.95" customHeight="1" x14ac:dyDescent="0.15"/>
    <row r="50792" s="76" customFormat="1" ht="21.95" customHeight="1" x14ac:dyDescent="0.15"/>
    <row r="50793" s="76" customFormat="1" ht="21.95" customHeight="1" x14ac:dyDescent="0.15"/>
    <row r="50794" s="76" customFormat="1" ht="21.95" customHeight="1" x14ac:dyDescent="0.15"/>
    <row r="50795" s="76" customFormat="1" ht="21.95" customHeight="1" x14ac:dyDescent="0.15"/>
    <row r="50796" s="76" customFormat="1" ht="21.95" customHeight="1" x14ac:dyDescent="0.15"/>
    <row r="50797" s="76" customFormat="1" ht="21.95" customHeight="1" x14ac:dyDescent="0.15"/>
    <row r="50798" s="76" customFormat="1" ht="21.95" customHeight="1" x14ac:dyDescent="0.15"/>
    <row r="50799" s="76" customFormat="1" ht="21.95" customHeight="1" x14ac:dyDescent="0.15"/>
    <row r="50800" s="76" customFormat="1" ht="21.95" customHeight="1" x14ac:dyDescent="0.15"/>
    <row r="50801" s="76" customFormat="1" ht="21.95" customHeight="1" x14ac:dyDescent="0.15"/>
    <row r="50802" s="76" customFormat="1" ht="21.95" customHeight="1" x14ac:dyDescent="0.15"/>
    <row r="50803" s="76" customFormat="1" ht="21.95" customHeight="1" x14ac:dyDescent="0.15"/>
    <row r="50804" s="76" customFormat="1" ht="21.95" customHeight="1" x14ac:dyDescent="0.15"/>
    <row r="50805" s="76" customFormat="1" ht="21.95" customHeight="1" x14ac:dyDescent="0.15"/>
    <row r="50806" s="76" customFormat="1" ht="21.95" customHeight="1" x14ac:dyDescent="0.15"/>
    <row r="50807" s="76" customFormat="1" ht="21.95" customHeight="1" x14ac:dyDescent="0.15"/>
    <row r="50808" s="76" customFormat="1" ht="21.95" customHeight="1" x14ac:dyDescent="0.15"/>
    <row r="50809" s="76" customFormat="1" ht="21.95" customHeight="1" x14ac:dyDescent="0.15"/>
    <row r="50810" s="76" customFormat="1" ht="21.95" customHeight="1" x14ac:dyDescent="0.15"/>
    <row r="50811" s="76" customFormat="1" ht="21.95" customHeight="1" x14ac:dyDescent="0.15"/>
    <row r="50812" s="76" customFormat="1" ht="21.95" customHeight="1" x14ac:dyDescent="0.15"/>
    <row r="50813" s="76" customFormat="1" ht="21.95" customHeight="1" x14ac:dyDescent="0.15"/>
    <row r="50814" s="76" customFormat="1" ht="21.95" customHeight="1" x14ac:dyDescent="0.15"/>
    <row r="50815" s="76" customFormat="1" ht="21.95" customHeight="1" x14ac:dyDescent="0.15"/>
    <row r="50816" s="76" customFormat="1" ht="21.95" customHeight="1" x14ac:dyDescent="0.15"/>
    <row r="50817" s="76" customFormat="1" ht="21.95" customHeight="1" x14ac:dyDescent="0.15"/>
    <row r="50818" s="76" customFormat="1" ht="21.95" customHeight="1" x14ac:dyDescent="0.15"/>
    <row r="50819" s="76" customFormat="1" ht="21.95" customHeight="1" x14ac:dyDescent="0.15"/>
    <row r="50820" s="76" customFormat="1" ht="21.95" customHeight="1" x14ac:dyDescent="0.15"/>
    <row r="50821" s="76" customFormat="1" ht="21.95" customHeight="1" x14ac:dyDescent="0.15"/>
    <row r="50822" s="76" customFormat="1" ht="21.95" customHeight="1" x14ac:dyDescent="0.15"/>
    <row r="50823" s="76" customFormat="1" ht="21.95" customHeight="1" x14ac:dyDescent="0.15"/>
    <row r="50824" s="76" customFormat="1" ht="21.95" customHeight="1" x14ac:dyDescent="0.15"/>
    <row r="50825" s="76" customFormat="1" ht="35.1" customHeight="1" x14ac:dyDescent="0.15"/>
    <row r="50826" s="76" customFormat="1" ht="21.95" customHeight="1" x14ac:dyDescent="0.15"/>
    <row r="50827" s="76" customFormat="1" ht="21.95" customHeight="1" x14ac:dyDescent="0.15"/>
    <row r="50828" s="76" customFormat="1" ht="21.95" customHeight="1" x14ac:dyDescent="0.15"/>
    <row r="50829" s="76" customFormat="1" ht="21.95" customHeight="1" x14ac:dyDescent="0.15"/>
    <row r="50830" s="76" customFormat="1" ht="21.95" customHeight="1" x14ac:dyDescent="0.15"/>
    <row r="50831" s="76" customFormat="1" ht="21.95" customHeight="1" x14ac:dyDescent="0.15"/>
    <row r="50832" s="76" customFormat="1" ht="21.95" customHeight="1" x14ac:dyDescent="0.15"/>
    <row r="50833" s="76" customFormat="1" ht="21.95" customHeight="1" x14ac:dyDescent="0.15"/>
    <row r="50834" s="76" customFormat="1" ht="21.95" customHeight="1" x14ac:dyDescent="0.15"/>
    <row r="50835" s="76" customFormat="1" ht="21.95" customHeight="1" x14ac:dyDescent="0.15"/>
    <row r="50836" s="76" customFormat="1" ht="21.95" customHeight="1" x14ac:dyDescent="0.15"/>
    <row r="50837" s="76" customFormat="1" ht="21.95" customHeight="1" x14ac:dyDescent="0.15"/>
    <row r="50838" s="76" customFormat="1" ht="21.95" customHeight="1" x14ac:dyDescent="0.15"/>
    <row r="50839" s="76" customFormat="1" ht="21.95" customHeight="1" x14ac:dyDescent="0.15"/>
    <row r="50840" s="76" customFormat="1" ht="21.95" customHeight="1" x14ac:dyDescent="0.15"/>
    <row r="50841" s="76" customFormat="1" ht="21.95" customHeight="1" x14ac:dyDescent="0.15"/>
    <row r="50842" s="76" customFormat="1" ht="21.95" customHeight="1" x14ac:dyDescent="0.15"/>
    <row r="50843" s="76" customFormat="1" ht="21.95" customHeight="1" x14ac:dyDescent="0.15"/>
    <row r="50844" s="76" customFormat="1" ht="21.95" customHeight="1" x14ac:dyDescent="0.15"/>
    <row r="50845" s="76" customFormat="1" ht="21.95" customHeight="1" x14ac:dyDescent="0.15"/>
    <row r="50846" s="76" customFormat="1" ht="21.95" customHeight="1" x14ac:dyDescent="0.15"/>
    <row r="50847" s="76" customFormat="1" ht="21.95" customHeight="1" x14ac:dyDescent="0.15"/>
    <row r="50848" s="76" customFormat="1" ht="21.95" customHeight="1" x14ac:dyDescent="0.15"/>
    <row r="50849" spans="3:3" customFormat="1" ht="21.95" customHeight="1" x14ac:dyDescent="0.15"/>
    <row r="50850" spans="3:3" customFormat="1" ht="21.95" customHeight="1" x14ac:dyDescent="0.15"/>
    <row r="50851" spans="3:3" customFormat="1" ht="21.95" customHeight="1" x14ac:dyDescent="0.15">
      <c r="C50851" s="94"/>
    </row>
    <row r="50852" spans="3:3" customFormat="1" ht="21.95" customHeight="1" x14ac:dyDescent="0.15">
      <c r="C50852" s="94"/>
    </row>
    <row r="50853" spans="3:3" customFormat="1" ht="21.95" customHeight="1" x14ac:dyDescent="0.15"/>
    <row r="50854" spans="3:3" customFormat="1" ht="21.95" customHeight="1" x14ac:dyDescent="0.15"/>
    <row r="50855" spans="3:3" customFormat="1" ht="21.95" customHeight="1" x14ac:dyDescent="0.15"/>
    <row r="50856" spans="3:3" customFormat="1" ht="21.95" customHeight="1" x14ac:dyDescent="0.15"/>
    <row r="50857" spans="3:3" customFormat="1" ht="21.95" customHeight="1" x14ac:dyDescent="0.15"/>
    <row r="50858" spans="3:3" customFormat="1" ht="21.95" customHeight="1" x14ac:dyDescent="0.15"/>
    <row r="50859" spans="3:3" customFormat="1" ht="21.95" customHeight="1" x14ac:dyDescent="0.15"/>
    <row r="50860" spans="3:3" s="76" customFormat="1" ht="21.95" customHeight="1" x14ac:dyDescent="0.15"/>
    <row r="50861" spans="3:3" s="76" customFormat="1" ht="21.95" customHeight="1" x14ac:dyDescent="0.15"/>
    <row r="50862" spans="3:3" s="76" customFormat="1" ht="21.95" customHeight="1" x14ac:dyDescent="0.15"/>
    <row r="50863" spans="3:3" s="76" customFormat="1" ht="21.95" customHeight="1" x14ac:dyDescent="0.15"/>
    <row r="50864" spans="3:3" customFormat="1" ht="21.95" customHeight="1" x14ac:dyDescent="0.15"/>
    <row r="50865" customFormat="1" ht="21.95" customHeight="1" x14ac:dyDescent="0.15"/>
    <row r="50866" customFormat="1" ht="21.95" customHeight="1" x14ac:dyDescent="0.15"/>
    <row r="50867" customFormat="1" ht="21.95" customHeight="1" x14ac:dyDescent="0.15"/>
    <row r="50868" customFormat="1" ht="21.95" customHeight="1" x14ac:dyDescent="0.15"/>
    <row r="50869" customFormat="1" ht="21.95" customHeight="1" x14ac:dyDescent="0.15"/>
    <row r="50870" customFormat="1" ht="21.95" customHeight="1" x14ac:dyDescent="0.15"/>
    <row r="50871" customFormat="1" ht="21.95" customHeight="1" x14ac:dyDescent="0.15"/>
    <row r="50872" customFormat="1" ht="21.95" customHeight="1" x14ac:dyDescent="0.15"/>
    <row r="50873" customFormat="1" ht="21.95" customHeight="1" x14ac:dyDescent="0.15"/>
    <row r="50874" customFormat="1" ht="21.95" customHeight="1" x14ac:dyDescent="0.15"/>
    <row r="50875" customFormat="1" ht="32.1" customHeight="1" x14ac:dyDescent="0.15"/>
    <row r="50876" customFormat="1" ht="32.1" customHeight="1" x14ac:dyDescent="0.15"/>
    <row r="50877" customFormat="1" ht="32.1" customHeight="1" x14ac:dyDescent="0.15"/>
    <row r="50878" customFormat="1" ht="32.1" customHeight="1" x14ac:dyDescent="0.15"/>
    <row r="50879" customFormat="1" ht="32.1" customHeight="1" x14ac:dyDescent="0.15"/>
    <row r="50880" customFormat="1" ht="32.1" customHeight="1" x14ac:dyDescent="0.15"/>
    <row r="50881" s="76" customFormat="1" ht="32.1" customHeight="1" x14ac:dyDescent="0.15"/>
    <row r="50882" s="76" customFormat="1" ht="32.1" customHeight="1" x14ac:dyDescent="0.15"/>
    <row r="50883" s="76" customFormat="1" ht="32.1" customHeight="1" x14ac:dyDescent="0.15"/>
    <row r="50884" s="76" customFormat="1" ht="32.1" customHeight="1" x14ac:dyDescent="0.15"/>
    <row r="50885" s="76" customFormat="1" ht="21.95" customHeight="1" x14ac:dyDescent="0.15"/>
    <row r="50886" s="76" customFormat="1" ht="54" customHeight="1" x14ac:dyDescent="0.15"/>
    <row r="50887" s="76" customFormat="1" ht="21.95" customHeight="1" x14ac:dyDescent="0.15"/>
    <row r="50888" s="76" customFormat="1" ht="21.95" customHeight="1" x14ac:dyDescent="0.15"/>
    <row r="50889" s="76" customFormat="1" ht="21.95" customHeight="1" x14ac:dyDescent="0.15"/>
    <row r="50890" s="76" customFormat="1" ht="21.95" customHeight="1" x14ac:dyDescent="0.15"/>
    <row r="50891" s="76" customFormat="1" ht="21.95" customHeight="1" x14ac:dyDescent="0.15"/>
    <row r="50892" s="76" customFormat="1" ht="21.95" customHeight="1" x14ac:dyDescent="0.15"/>
    <row r="50893" s="76" customFormat="1" ht="21.95" customHeight="1" x14ac:dyDescent="0.15"/>
    <row r="50894" s="76" customFormat="1" ht="21.95" customHeight="1" x14ac:dyDescent="0.15"/>
    <row r="50895" s="76" customFormat="1" ht="21.95" customHeight="1" x14ac:dyDescent="0.15"/>
    <row r="50896" s="76" customFormat="1" ht="21.95" customHeight="1" x14ac:dyDescent="0.15"/>
    <row r="50897" s="76" customFormat="1" ht="21.95" customHeight="1" x14ac:dyDescent="0.15"/>
    <row r="50898" s="76" customFormat="1" ht="21.95" customHeight="1" x14ac:dyDescent="0.15"/>
    <row r="50899" s="76" customFormat="1" ht="21.95" customHeight="1" x14ac:dyDescent="0.15"/>
    <row r="50900" s="76" customFormat="1" ht="21.95" customHeight="1" x14ac:dyDescent="0.15"/>
    <row r="50901" s="76" customFormat="1" ht="21.95" customHeight="1" x14ac:dyDescent="0.15"/>
    <row r="50902" s="76" customFormat="1" ht="21.95" customHeight="1" x14ac:dyDescent="0.15"/>
    <row r="50903" s="76" customFormat="1" ht="21.95" customHeight="1" x14ac:dyDescent="0.15"/>
    <row r="50904" s="76" customFormat="1" ht="21.95" customHeight="1" x14ac:dyDescent="0.15"/>
    <row r="50905" s="76" customFormat="1" ht="21.95" customHeight="1" x14ac:dyDescent="0.15"/>
    <row r="50906" s="76" customFormat="1" ht="21.95" customHeight="1" x14ac:dyDescent="0.15"/>
    <row r="50907" s="76" customFormat="1" ht="21.95" customHeight="1" x14ac:dyDescent="0.15"/>
    <row r="50908" s="76" customFormat="1" ht="21.95" customHeight="1" x14ac:dyDescent="0.15"/>
    <row r="50909" s="76" customFormat="1" ht="21.95" customHeight="1" x14ac:dyDescent="0.15"/>
    <row r="50910" s="76" customFormat="1" ht="21.95" customHeight="1" x14ac:dyDescent="0.15"/>
    <row r="50911" s="76" customFormat="1" ht="21.95" customHeight="1" x14ac:dyDescent="0.15"/>
    <row r="50912" s="76" customFormat="1" ht="21.95" customHeight="1" x14ac:dyDescent="0.15"/>
    <row r="50913" s="76" customFormat="1" ht="21.95" customHeight="1" x14ac:dyDescent="0.15"/>
    <row r="50914" s="76" customFormat="1" ht="21.95" customHeight="1" x14ac:dyDescent="0.15"/>
    <row r="50915" s="76" customFormat="1" ht="21.95" customHeight="1" x14ac:dyDescent="0.15"/>
    <row r="50916" s="76" customFormat="1" ht="21.95" customHeight="1" x14ac:dyDescent="0.15"/>
    <row r="50917" s="76" customFormat="1" ht="21.95" customHeight="1" x14ac:dyDescent="0.15"/>
    <row r="50918" s="76" customFormat="1" ht="21.95" customHeight="1" x14ac:dyDescent="0.15"/>
    <row r="50919" s="76" customFormat="1" ht="21.95" customHeight="1" x14ac:dyDescent="0.15"/>
    <row r="50920" s="76" customFormat="1" ht="21.95" customHeight="1" x14ac:dyDescent="0.15"/>
    <row r="50921" s="76" customFormat="1" ht="21.95" customHeight="1" x14ac:dyDescent="0.15"/>
    <row r="50922" s="76" customFormat="1" ht="21.95" customHeight="1" x14ac:dyDescent="0.15"/>
    <row r="50923" s="76" customFormat="1" ht="21.95" customHeight="1" x14ac:dyDescent="0.15"/>
    <row r="50924" s="76" customFormat="1" ht="21.95" customHeight="1" x14ac:dyDescent="0.15"/>
    <row r="50925" s="76" customFormat="1" ht="21.95" customHeight="1" x14ac:dyDescent="0.15"/>
    <row r="50926" s="76" customFormat="1" ht="21.95" customHeight="1" x14ac:dyDescent="0.15"/>
    <row r="50927" s="76" customFormat="1" ht="21.95" customHeight="1" x14ac:dyDescent="0.15"/>
    <row r="50928" s="76" customFormat="1" ht="21.95" customHeight="1" x14ac:dyDescent="0.15"/>
    <row r="50929" s="76" customFormat="1" ht="21.95" customHeight="1" x14ac:dyDescent="0.15"/>
    <row r="50930" s="76" customFormat="1" ht="21.95" customHeight="1" x14ac:dyDescent="0.15"/>
    <row r="50931" s="76" customFormat="1" ht="21.95" customHeight="1" x14ac:dyDescent="0.15"/>
    <row r="50932" s="76" customFormat="1" ht="21.95" customHeight="1" x14ac:dyDescent="0.15"/>
    <row r="50933" s="76" customFormat="1" ht="21.95" customHeight="1" x14ac:dyDescent="0.15"/>
    <row r="50934" s="76" customFormat="1" ht="21.95" customHeight="1" x14ac:dyDescent="0.15"/>
    <row r="50935" s="76" customFormat="1" ht="21.95" customHeight="1" x14ac:dyDescent="0.15"/>
    <row r="50936" s="76" customFormat="1" ht="21.95" customHeight="1" x14ac:dyDescent="0.15"/>
    <row r="50937" s="76" customFormat="1" ht="35.1" customHeight="1" x14ac:dyDescent="0.15"/>
    <row r="50938" s="76" customFormat="1" ht="21.95" customHeight="1" x14ac:dyDescent="0.15"/>
    <row r="50939" s="76" customFormat="1" ht="21.95" customHeight="1" x14ac:dyDescent="0.15"/>
    <row r="50940" s="76" customFormat="1" ht="21.95" customHeight="1" x14ac:dyDescent="0.15"/>
    <row r="50941" s="76" customFormat="1" ht="21.95" customHeight="1" x14ac:dyDescent="0.15"/>
    <row r="50942" s="76" customFormat="1" ht="21.95" customHeight="1" x14ac:dyDescent="0.15"/>
    <row r="50943" s="76" customFormat="1" ht="21.95" customHeight="1" x14ac:dyDescent="0.15"/>
    <row r="50944" s="76" customFormat="1" ht="21.95" customHeight="1" x14ac:dyDescent="0.15"/>
    <row r="50945" s="76" customFormat="1" ht="21.95" customHeight="1" x14ac:dyDescent="0.15"/>
    <row r="50946" s="76" customFormat="1" ht="21.95" customHeight="1" x14ac:dyDescent="0.15"/>
    <row r="50947" s="76" customFormat="1" ht="21.95" customHeight="1" x14ac:dyDescent="0.15"/>
    <row r="50948" s="76" customFormat="1" ht="21.95" customHeight="1" x14ac:dyDescent="0.15"/>
    <row r="50949" s="76" customFormat="1" ht="21.95" customHeight="1" x14ac:dyDescent="0.15"/>
    <row r="50950" s="76" customFormat="1" ht="21.95" customHeight="1" x14ac:dyDescent="0.15"/>
    <row r="50951" s="76" customFormat="1" ht="21.95" customHeight="1" x14ac:dyDescent="0.15"/>
    <row r="50952" s="76" customFormat="1" ht="21.95" customHeight="1" x14ac:dyDescent="0.15"/>
    <row r="50953" s="76" customFormat="1" ht="21.95" customHeight="1" x14ac:dyDescent="0.15"/>
    <row r="50954" s="76" customFormat="1" ht="21.95" customHeight="1" x14ac:dyDescent="0.15"/>
    <row r="50955" s="76" customFormat="1" ht="21.95" customHeight="1" x14ac:dyDescent="0.15"/>
    <row r="50956" s="76" customFormat="1" ht="21.95" customHeight="1" x14ac:dyDescent="0.15"/>
    <row r="50957" s="76" customFormat="1" ht="21.95" customHeight="1" x14ac:dyDescent="0.15"/>
    <row r="50958" s="76" customFormat="1" ht="21.95" customHeight="1" x14ac:dyDescent="0.15"/>
    <row r="50959" s="76" customFormat="1" ht="21.95" customHeight="1" x14ac:dyDescent="0.15"/>
    <row r="50960" s="76" customFormat="1" ht="21.95" customHeight="1" x14ac:dyDescent="0.15"/>
    <row r="50961" spans="3:3" customFormat="1" ht="21.95" customHeight="1" x14ac:dyDescent="0.15"/>
    <row r="50962" spans="3:3" customFormat="1" ht="21.95" customHeight="1" x14ac:dyDescent="0.15"/>
    <row r="50963" spans="3:3" customFormat="1" ht="21.95" customHeight="1" x14ac:dyDescent="0.15">
      <c r="C50963" s="94"/>
    </row>
    <row r="50964" spans="3:3" customFormat="1" ht="21.95" customHeight="1" x14ac:dyDescent="0.15">
      <c r="C50964" s="94"/>
    </row>
    <row r="50965" spans="3:3" customFormat="1" ht="21.95" customHeight="1" x14ac:dyDescent="0.15"/>
    <row r="50966" spans="3:3" customFormat="1" ht="21.95" customHeight="1" x14ac:dyDescent="0.15"/>
    <row r="50967" spans="3:3" customFormat="1" ht="21.95" customHeight="1" x14ac:dyDescent="0.15"/>
    <row r="50968" spans="3:3" customFormat="1" ht="21.95" customHeight="1" x14ac:dyDescent="0.15"/>
    <row r="50969" spans="3:3" customFormat="1" ht="21.95" customHeight="1" x14ac:dyDescent="0.15"/>
    <row r="50970" spans="3:3" customFormat="1" ht="21.95" customHeight="1" x14ac:dyDescent="0.15"/>
    <row r="50971" spans="3:3" customFormat="1" ht="21.95" customHeight="1" x14ac:dyDescent="0.15"/>
    <row r="50972" spans="3:3" s="76" customFormat="1" ht="21.95" customHeight="1" x14ac:dyDescent="0.15"/>
    <row r="50973" spans="3:3" s="76" customFormat="1" ht="21.95" customHeight="1" x14ac:dyDescent="0.15"/>
    <row r="50974" spans="3:3" s="76" customFormat="1" ht="21.95" customHeight="1" x14ac:dyDescent="0.15"/>
    <row r="50975" spans="3:3" s="76" customFormat="1" ht="21.95" customHeight="1" x14ac:dyDescent="0.15"/>
    <row r="50976" spans="3:3" customFormat="1" ht="21.95" customHeight="1" x14ac:dyDescent="0.15"/>
    <row r="50977" customFormat="1" ht="21.95" customHeight="1" x14ac:dyDescent="0.15"/>
    <row r="50978" customFormat="1" ht="21.95" customHeight="1" x14ac:dyDescent="0.15"/>
    <row r="50979" customFormat="1" ht="21.95" customHeight="1" x14ac:dyDescent="0.15"/>
    <row r="50980" customFormat="1" ht="21.95" customHeight="1" x14ac:dyDescent="0.15"/>
    <row r="50981" customFormat="1" ht="21.95" customHeight="1" x14ac:dyDescent="0.15"/>
    <row r="50982" customFormat="1" ht="21.95" customHeight="1" x14ac:dyDescent="0.15"/>
    <row r="50983" customFormat="1" ht="21.95" customHeight="1" x14ac:dyDescent="0.15"/>
    <row r="50984" customFormat="1" ht="21.95" customHeight="1" x14ac:dyDescent="0.15"/>
    <row r="50985" customFormat="1" ht="21.95" customHeight="1" x14ac:dyDescent="0.15"/>
    <row r="50986" customFormat="1" ht="21.95" customHeight="1" x14ac:dyDescent="0.15"/>
    <row r="50987" customFormat="1" ht="32.1" customHeight="1" x14ac:dyDescent="0.15"/>
    <row r="50988" customFormat="1" ht="32.1" customHeight="1" x14ac:dyDescent="0.15"/>
    <row r="50989" customFormat="1" ht="32.1" customHeight="1" x14ac:dyDescent="0.15"/>
    <row r="50990" customFormat="1" ht="32.1" customHeight="1" x14ac:dyDescent="0.15"/>
    <row r="50991" customFormat="1" ht="32.1" customHeight="1" x14ac:dyDescent="0.15"/>
    <row r="50992" customFormat="1" ht="32.1" customHeight="1" x14ac:dyDescent="0.15"/>
    <row r="50993" s="76" customFormat="1" ht="32.1" customHeight="1" x14ac:dyDescent="0.15"/>
    <row r="50994" s="76" customFormat="1" ht="32.1" customHeight="1" x14ac:dyDescent="0.15"/>
    <row r="50995" s="76" customFormat="1" ht="32.1" customHeight="1" x14ac:dyDescent="0.15"/>
    <row r="50996" s="76" customFormat="1" ht="32.1" customHeight="1" x14ac:dyDescent="0.15"/>
    <row r="50997" s="76" customFormat="1" ht="21.95" customHeight="1" x14ac:dyDescent="0.15"/>
    <row r="50998" s="76" customFormat="1" ht="54" customHeight="1" x14ac:dyDescent="0.15"/>
    <row r="50999" s="76" customFormat="1" ht="21.95" customHeight="1" x14ac:dyDescent="0.15"/>
    <row r="51000" s="76" customFormat="1" ht="21.95" customHeight="1" x14ac:dyDescent="0.15"/>
    <row r="51001" s="76" customFormat="1" ht="21.95" customHeight="1" x14ac:dyDescent="0.15"/>
    <row r="51002" s="76" customFormat="1" ht="21.95" customHeight="1" x14ac:dyDescent="0.15"/>
    <row r="51003" s="76" customFormat="1" ht="21.95" customHeight="1" x14ac:dyDescent="0.15"/>
    <row r="51004" s="76" customFormat="1" ht="21.95" customHeight="1" x14ac:dyDescent="0.15"/>
    <row r="51005" s="76" customFormat="1" ht="21.95" customHeight="1" x14ac:dyDescent="0.15"/>
    <row r="51006" s="76" customFormat="1" ht="21.95" customHeight="1" x14ac:dyDescent="0.15"/>
    <row r="51007" s="76" customFormat="1" ht="21.95" customHeight="1" x14ac:dyDescent="0.15"/>
    <row r="51008" s="76" customFormat="1" ht="21.95" customHeight="1" x14ac:dyDescent="0.15"/>
    <row r="51009" s="76" customFormat="1" ht="21.95" customHeight="1" x14ac:dyDescent="0.15"/>
    <row r="51010" s="76" customFormat="1" ht="21.95" customHeight="1" x14ac:dyDescent="0.15"/>
    <row r="51011" s="76" customFormat="1" ht="21.95" customHeight="1" x14ac:dyDescent="0.15"/>
    <row r="51012" s="76" customFormat="1" ht="21.95" customHeight="1" x14ac:dyDescent="0.15"/>
    <row r="51013" s="76" customFormat="1" ht="21.95" customHeight="1" x14ac:dyDescent="0.15"/>
    <row r="51014" s="76" customFormat="1" ht="21.95" customHeight="1" x14ac:dyDescent="0.15"/>
    <row r="51015" s="76" customFormat="1" ht="21.95" customHeight="1" x14ac:dyDescent="0.15"/>
    <row r="51016" s="76" customFormat="1" ht="21.95" customHeight="1" x14ac:dyDescent="0.15"/>
    <row r="51017" s="76" customFormat="1" ht="21.95" customHeight="1" x14ac:dyDescent="0.15"/>
    <row r="51018" s="76" customFormat="1" ht="21.95" customHeight="1" x14ac:dyDescent="0.15"/>
    <row r="51019" s="76" customFormat="1" ht="21.95" customHeight="1" x14ac:dyDescent="0.15"/>
    <row r="51020" s="76" customFormat="1" ht="21.95" customHeight="1" x14ac:dyDescent="0.15"/>
    <row r="51021" s="76" customFormat="1" ht="21.95" customHeight="1" x14ac:dyDescent="0.15"/>
    <row r="51022" s="76" customFormat="1" ht="21.95" customHeight="1" x14ac:dyDescent="0.15"/>
    <row r="51023" s="76" customFormat="1" ht="21.95" customHeight="1" x14ac:dyDescent="0.15"/>
    <row r="51024" s="76" customFormat="1" ht="21.95" customHeight="1" x14ac:dyDescent="0.15"/>
    <row r="51025" s="76" customFormat="1" ht="21.95" customHeight="1" x14ac:dyDescent="0.15"/>
    <row r="51026" s="76" customFormat="1" ht="21.95" customHeight="1" x14ac:dyDescent="0.15"/>
    <row r="51027" s="76" customFormat="1" ht="21.95" customHeight="1" x14ac:dyDescent="0.15"/>
    <row r="51028" s="76" customFormat="1" ht="21.95" customHeight="1" x14ac:dyDescent="0.15"/>
    <row r="51029" s="76" customFormat="1" ht="21.95" customHeight="1" x14ac:dyDescent="0.15"/>
    <row r="51030" s="76" customFormat="1" ht="21.95" customHeight="1" x14ac:dyDescent="0.15"/>
    <row r="51031" s="76" customFormat="1" ht="21.95" customHeight="1" x14ac:dyDescent="0.15"/>
    <row r="51032" s="76" customFormat="1" ht="21.95" customHeight="1" x14ac:dyDescent="0.15"/>
    <row r="51033" s="76" customFormat="1" ht="21.95" customHeight="1" x14ac:dyDescent="0.15"/>
    <row r="51034" s="76" customFormat="1" ht="21.95" customHeight="1" x14ac:dyDescent="0.15"/>
    <row r="51035" s="76" customFormat="1" ht="21.95" customHeight="1" x14ac:dyDescent="0.15"/>
    <row r="51036" s="76" customFormat="1" ht="21.95" customHeight="1" x14ac:dyDescent="0.15"/>
    <row r="51037" s="76" customFormat="1" ht="21.95" customHeight="1" x14ac:dyDescent="0.15"/>
    <row r="51038" s="76" customFormat="1" ht="21.95" customHeight="1" x14ac:dyDescent="0.15"/>
    <row r="51039" s="76" customFormat="1" ht="21.95" customHeight="1" x14ac:dyDescent="0.15"/>
    <row r="51040" s="76" customFormat="1" ht="21.95" customHeight="1" x14ac:dyDescent="0.15"/>
    <row r="51041" s="76" customFormat="1" ht="21.95" customHeight="1" x14ac:dyDescent="0.15"/>
    <row r="51042" s="76" customFormat="1" ht="21.95" customHeight="1" x14ac:dyDescent="0.15"/>
    <row r="51043" s="76" customFormat="1" ht="21.95" customHeight="1" x14ac:dyDescent="0.15"/>
    <row r="51044" s="76" customFormat="1" ht="21.95" customHeight="1" x14ac:dyDescent="0.15"/>
    <row r="51045" s="76" customFormat="1" ht="21.95" customHeight="1" x14ac:dyDescent="0.15"/>
    <row r="51046" s="76" customFormat="1" ht="21.95" customHeight="1" x14ac:dyDescent="0.15"/>
    <row r="51047" s="76" customFormat="1" ht="21.95" customHeight="1" x14ac:dyDescent="0.15"/>
    <row r="51048" s="76" customFormat="1" ht="21.95" customHeight="1" x14ac:dyDescent="0.15"/>
    <row r="51049" s="76" customFormat="1" ht="35.1" customHeight="1" x14ac:dyDescent="0.15"/>
    <row r="51050" s="76" customFormat="1" ht="21.95" customHeight="1" x14ac:dyDescent="0.15"/>
    <row r="51051" s="76" customFormat="1" ht="21.95" customHeight="1" x14ac:dyDescent="0.15"/>
    <row r="51052" s="76" customFormat="1" ht="21.95" customHeight="1" x14ac:dyDescent="0.15"/>
    <row r="51053" s="76" customFormat="1" ht="21.95" customHeight="1" x14ac:dyDescent="0.15"/>
    <row r="51054" s="76" customFormat="1" ht="21.95" customHeight="1" x14ac:dyDescent="0.15"/>
    <row r="51055" s="76" customFormat="1" ht="21.95" customHeight="1" x14ac:dyDescent="0.15"/>
    <row r="51056" s="76" customFormat="1" ht="21.95" customHeight="1" x14ac:dyDescent="0.15"/>
    <row r="51057" s="76" customFormat="1" ht="21.95" customHeight="1" x14ac:dyDescent="0.15"/>
    <row r="51058" s="76" customFormat="1" ht="21.95" customHeight="1" x14ac:dyDescent="0.15"/>
    <row r="51059" s="76" customFormat="1" ht="21.95" customHeight="1" x14ac:dyDescent="0.15"/>
    <row r="51060" s="76" customFormat="1" ht="21.95" customHeight="1" x14ac:dyDescent="0.15"/>
    <row r="51061" s="76" customFormat="1" ht="21.95" customHeight="1" x14ac:dyDescent="0.15"/>
    <row r="51062" s="76" customFormat="1" ht="21.95" customHeight="1" x14ac:dyDescent="0.15"/>
    <row r="51063" s="76" customFormat="1" ht="21.95" customHeight="1" x14ac:dyDescent="0.15"/>
    <row r="51064" s="76" customFormat="1" ht="21.95" customHeight="1" x14ac:dyDescent="0.15"/>
    <row r="51065" s="76" customFormat="1" ht="21.95" customHeight="1" x14ac:dyDescent="0.15"/>
    <row r="51066" s="76" customFormat="1" ht="21.95" customHeight="1" x14ac:dyDescent="0.15"/>
    <row r="51067" s="76" customFormat="1" ht="21.95" customHeight="1" x14ac:dyDescent="0.15"/>
    <row r="51068" s="76" customFormat="1" ht="21.95" customHeight="1" x14ac:dyDescent="0.15"/>
    <row r="51069" s="76" customFormat="1" ht="21.95" customHeight="1" x14ac:dyDescent="0.15"/>
    <row r="51070" s="76" customFormat="1" ht="21.95" customHeight="1" x14ac:dyDescent="0.15"/>
    <row r="51071" s="76" customFormat="1" ht="21.95" customHeight="1" x14ac:dyDescent="0.15"/>
    <row r="51072" s="76" customFormat="1" ht="21.95" customHeight="1" x14ac:dyDescent="0.15"/>
    <row r="51073" spans="3:3" customFormat="1" ht="21.95" customHeight="1" x14ac:dyDescent="0.15"/>
    <row r="51074" spans="3:3" customFormat="1" ht="21.95" customHeight="1" x14ac:dyDescent="0.15"/>
    <row r="51075" spans="3:3" customFormat="1" ht="21.95" customHeight="1" x14ac:dyDescent="0.15">
      <c r="C51075" s="94"/>
    </row>
    <row r="51076" spans="3:3" customFormat="1" ht="21.95" customHeight="1" x14ac:dyDescent="0.15">
      <c r="C51076" s="94"/>
    </row>
    <row r="51077" spans="3:3" customFormat="1" ht="21.95" customHeight="1" x14ac:dyDescent="0.15"/>
    <row r="51078" spans="3:3" customFormat="1" ht="21.95" customHeight="1" x14ac:dyDescent="0.15"/>
    <row r="51079" spans="3:3" customFormat="1" ht="21.95" customHeight="1" x14ac:dyDescent="0.15"/>
    <row r="51080" spans="3:3" customFormat="1" ht="21.95" customHeight="1" x14ac:dyDescent="0.15"/>
    <row r="51081" spans="3:3" customFormat="1" ht="21.95" customHeight="1" x14ac:dyDescent="0.15"/>
    <row r="51082" spans="3:3" customFormat="1" ht="21.95" customHeight="1" x14ac:dyDescent="0.15"/>
    <row r="51083" spans="3:3" customFormat="1" ht="21.95" customHeight="1" x14ac:dyDescent="0.15"/>
    <row r="51084" spans="3:3" s="76" customFormat="1" ht="21.95" customHeight="1" x14ac:dyDescent="0.15"/>
    <row r="51085" spans="3:3" s="76" customFormat="1" ht="21.95" customHeight="1" x14ac:dyDescent="0.15"/>
    <row r="51086" spans="3:3" s="76" customFormat="1" ht="21.95" customHeight="1" x14ac:dyDescent="0.15"/>
    <row r="51087" spans="3:3" s="76" customFormat="1" ht="21.95" customHeight="1" x14ac:dyDescent="0.15"/>
    <row r="51088" spans="3:3" customFormat="1" ht="21.95" customHeight="1" x14ac:dyDescent="0.15"/>
    <row r="51089" customFormat="1" ht="21.95" customHeight="1" x14ac:dyDescent="0.15"/>
    <row r="51090" customFormat="1" ht="21.95" customHeight="1" x14ac:dyDescent="0.15"/>
    <row r="51091" customFormat="1" ht="21.95" customHeight="1" x14ac:dyDescent="0.15"/>
    <row r="51092" customFormat="1" ht="21.95" customHeight="1" x14ac:dyDescent="0.15"/>
    <row r="51093" customFormat="1" ht="21.95" customHeight="1" x14ac:dyDescent="0.15"/>
    <row r="51094" customFormat="1" ht="21.95" customHeight="1" x14ac:dyDescent="0.15"/>
    <row r="51095" customFormat="1" ht="21.95" customHeight="1" x14ac:dyDescent="0.15"/>
    <row r="51096" customFormat="1" ht="21.95" customHeight="1" x14ac:dyDescent="0.15"/>
    <row r="51097" customFormat="1" ht="21.95" customHeight="1" x14ac:dyDescent="0.15"/>
    <row r="51098" customFormat="1" ht="21.95" customHeight="1" x14ac:dyDescent="0.15"/>
    <row r="51099" customFormat="1" ht="32.1" customHeight="1" x14ac:dyDescent="0.15"/>
    <row r="51100" customFormat="1" ht="32.1" customHeight="1" x14ac:dyDescent="0.15"/>
    <row r="51101" customFormat="1" ht="32.1" customHeight="1" x14ac:dyDescent="0.15"/>
    <row r="51102" customFormat="1" ht="32.1" customHeight="1" x14ac:dyDescent="0.15"/>
    <row r="51103" customFormat="1" ht="32.1" customHeight="1" x14ac:dyDescent="0.15"/>
    <row r="51104" customFormat="1" ht="32.1" customHeight="1" x14ac:dyDescent="0.15"/>
    <row r="51105" s="76" customFormat="1" ht="32.1" customHeight="1" x14ac:dyDescent="0.15"/>
    <row r="51106" s="76" customFormat="1" ht="32.1" customHeight="1" x14ac:dyDescent="0.15"/>
    <row r="51107" s="76" customFormat="1" ht="32.1" customHeight="1" x14ac:dyDescent="0.15"/>
    <row r="51108" s="76" customFormat="1" ht="32.1" customHeight="1" x14ac:dyDescent="0.15"/>
    <row r="51109" s="76" customFormat="1" ht="21.95" customHeight="1" x14ac:dyDescent="0.15"/>
    <row r="51110" s="76" customFormat="1" ht="54" customHeight="1" x14ac:dyDescent="0.15"/>
    <row r="51111" s="76" customFormat="1" ht="21.95" customHeight="1" x14ac:dyDescent="0.15"/>
    <row r="51112" s="76" customFormat="1" ht="21.95" customHeight="1" x14ac:dyDescent="0.15"/>
    <row r="51113" s="76" customFormat="1" ht="21.95" customHeight="1" x14ac:dyDescent="0.15"/>
    <row r="51114" s="76" customFormat="1" ht="21.95" customHeight="1" x14ac:dyDescent="0.15"/>
    <row r="51115" s="76" customFormat="1" ht="21.95" customHeight="1" x14ac:dyDescent="0.15"/>
    <row r="51116" s="76" customFormat="1" ht="21.95" customHeight="1" x14ac:dyDescent="0.15"/>
    <row r="51117" s="76" customFormat="1" ht="21.95" customHeight="1" x14ac:dyDescent="0.15"/>
    <row r="51118" s="76" customFormat="1" ht="21.95" customHeight="1" x14ac:dyDescent="0.15"/>
    <row r="51119" s="76" customFormat="1" ht="21.95" customHeight="1" x14ac:dyDescent="0.15"/>
    <row r="51120" s="76" customFormat="1" ht="21.95" customHeight="1" x14ac:dyDescent="0.15"/>
    <row r="51121" s="76" customFormat="1" ht="21.95" customHeight="1" x14ac:dyDescent="0.15"/>
    <row r="51122" s="76" customFormat="1" ht="21.95" customHeight="1" x14ac:dyDescent="0.15"/>
    <row r="51123" s="76" customFormat="1" ht="21.95" customHeight="1" x14ac:dyDescent="0.15"/>
    <row r="51124" s="76" customFormat="1" ht="21.95" customHeight="1" x14ac:dyDescent="0.15"/>
    <row r="51125" s="76" customFormat="1" ht="21.95" customHeight="1" x14ac:dyDescent="0.15"/>
    <row r="51126" s="76" customFormat="1" ht="21.95" customHeight="1" x14ac:dyDescent="0.15"/>
    <row r="51127" s="76" customFormat="1" ht="21.95" customHeight="1" x14ac:dyDescent="0.15"/>
    <row r="51128" s="76" customFormat="1" ht="21.95" customHeight="1" x14ac:dyDescent="0.15"/>
    <row r="51129" s="76" customFormat="1" ht="21.95" customHeight="1" x14ac:dyDescent="0.15"/>
    <row r="51130" s="76" customFormat="1" ht="21.95" customHeight="1" x14ac:dyDescent="0.15"/>
    <row r="51131" s="76" customFormat="1" ht="21.95" customHeight="1" x14ac:dyDescent="0.15"/>
    <row r="51132" s="76" customFormat="1" ht="21.95" customHeight="1" x14ac:dyDescent="0.15"/>
    <row r="51133" s="76" customFormat="1" ht="21.95" customHeight="1" x14ac:dyDescent="0.15"/>
    <row r="51134" s="76" customFormat="1" ht="21.95" customHeight="1" x14ac:dyDescent="0.15"/>
    <row r="51135" s="76" customFormat="1" ht="21.95" customHeight="1" x14ac:dyDescent="0.15"/>
    <row r="51136" s="76" customFormat="1" ht="21.95" customHeight="1" x14ac:dyDescent="0.15"/>
    <row r="51137" s="76" customFormat="1" ht="21.95" customHeight="1" x14ac:dyDescent="0.15"/>
    <row r="51138" s="76" customFormat="1" ht="21.95" customHeight="1" x14ac:dyDescent="0.15"/>
    <row r="51139" s="76" customFormat="1" ht="21.95" customHeight="1" x14ac:dyDescent="0.15"/>
    <row r="51140" s="76" customFormat="1" ht="21.95" customHeight="1" x14ac:dyDescent="0.15"/>
    <row r="51141" s="76" customFormat="1" ht="21.95" customHeight="1" x14ac:dyDescent="0.15"/>
    <row r="51142" s="76" customFormat="1" ht="21.95" customHeight="1" x14ac:dyDescent="0.15"/>
    <row r="51143" s="76" customFormat="1" ht="21.95" customHeight="1" x14ac:dyDescent="0.15"/>
    <row r="51144" s="76" customFormat="1" ht="21.95" customHeight="1" x14ac:dyDescent="0.15"/>
    <row r="51145" s="76" customFormat="1" ht="21.95" customHeight="1" x14ac:dyDescent="0.15"/>
    <row r="51146" s="76" customFormat="1" ht="21.95" customHeight="1" x14ac:dyDescent="0.15"/>
    <row r="51147" s="76" customFormat="1" ht="21.95" customHeight="1" x14ac:dyDescent="0.15"/>
    <row r="51148" s="76" customFormat="1" ht="21.95" customHeight="1" x14ac:dyDescent="0.15"/>
    <row r="51149" s="76" customFormat="1" ht="21.95" customHeight="1" x14ac:dyDescent="0.15"/>
    <row r="51150" s="76" customFormat="1" ht="21.95" customHeight="1" x14ac:dyDescent="0.15"/>
    <row r="51151" s="76" customFormat="1" ht="21.95" customHeight="1" x14ac:dyDescent="0.15"/>
    <row r="51152" s="76" customFormat="1" ht="21.95" customHeight="1" x14ac:dyDescent="0.15"/>
    <row r="51153" s="76" customFormat="1" ht="21.95" customHeight="1" x14ac:dyDescent="0.15"/>
    <row r="51154" s="76" customFormat="1" ht="21.95" customHeight="1" x14ac:dyDescent="0.15"/>
    <row r="51155" s="76" customFormat="1" ht="21.95" customHeight="1" x14ac:dyDescent="0.15"/>
    <row r="51156" s="76" customFormat="1" ht="21.95" customHeight="1" x14ac:dyDescent="0.15"/>
    <row r="51157" s="76" customFormat="1" ht="21.95" customHeight="1" x14ac:dyDescent="0.15"/>
    <row r="51158" s="76" customFormat="1" ht="21.95" customHeight="1" x14ac:dyDescent="0.15"/>
    <row r="51159" s="76" customFormat="1" ht="21.95" customHeight="1" x14ac:dyDescent="0.15"/>
    <row r="51160" s="76" customFormat="1" ht="21.95" customHeight="1" x14ac:dyDescent="0.15"/>
    <row r="51161" s="76" customFormat="1" ht="35.1" customHeight="1" x14ac:dyDescent="0.15"/>
    <row r="51162" s="76" customFormat="1" ht="21.95" customHeight="1" x14ac:dyDescent="0.15"/>
    <row r="51163" s="76" customFormat="1" ht="21.95" customHeight="1" x14ac:dyDescent="0.15"/>
    <row r="51164" s="76" customFormat="1" ht="21.95" customHeight="1" x14ac:dyDescent="0.15"/>
    <row r="51165" s="76" customFormat="1" ht="21.95" customHeight="1" x14ac:dyDescent="0.15"/>
    <row r="51166" s="76" customFormat="1" ht="21.95" customHeight="1" x14ac:dyDescent="0.15"/>
    <row r="51167" s="76" customFormat="1" ht="21.95" customHeight="1" x14ac:dyDescent="0.15"/>
    <row r="51168" s="76" customFormat="1" ht="21.95" customHeight="1" x14ac:dyDescent="0.15"/>
    <row r="51169" s="76" customFormat="1" ht="21.95" customHeight="1" x14ac:dyDescent="0.15"/>
    <row r="51170" s="76" customFormat="1" ht="21.95" customHeight="1" x14ac:dyDescent="0.15"/>
    <row r="51171" s="76" customFormat="1" ht="21.95" customHeight="1" x14ac:dyDescent="0.15"/>
    <row r="51172" s="76" customFormat="1" ht="21.95" customHeight="1" x14ac:dyDescent="0.15"/>
    <row r="51173" s="76" customFormat="1" ht="21.95" customHeight="1" x14ac:dyDescent="0.15"/>
    <row r="51174" s="76" customFormat="1" ht="21.95" customHeight="1" x14ac:dyDescent="0.15"/>
    <row r="51175" s="76" customFormat="1" ht="21.95" customHeight="1" x14ac:dyDescent="0.15"/>
    <row r="51176" s="76" customFormat="1" ht="21.95" customHeight="1" x14ac:dyDescent="0.15"/>
    <row r="51177" s="76" customFormat="1" ht="21.95" customHeight="1" x14ac:dyDescent="0.15"/>
    <row r="51178" s="76" customFormat="1" ht="21.95" customHeight="1" x14ac:dyDescent="0.15"/>
    <row r="51179" s="76" customFormat="1" ht="21.95" customHeight="1" x14ac:dyDescent="0.15"/>
    <row r="51180" s="76" customFormat="1" ht="21.95" customHeight="1" x14ac:dyDescent="0.15"/>
    <row r="51181" s="76" customFormat="1" ht="21.95" customHeight="1" x14ac:dyDescent="0.15"/>
    <row r="51182" s="76" customFormat="1" ht="21.95" customHeight="1" x14ac:dyDescent="0.15"/>
    <row r="51183" s="76" customFormat="1" ht="21.95" customHeight="1" x14ac:dyDescent="0.15"/>
    <row r="51184" s="76" customFormat="1" ht="21.95" customHeight="1" x14ac:dyDescent="0.15"/>
    <row r="51185" spans="3:3" customFormat="1" ht="21.95" customHeight="1" x14ac:dyDescent="0.15"/>
    <row r="51186" spans="3:3" customFormat="1" ht="21.95" customHeight="1" x14ac:dyDescent="0.15"/>
    <row r="51187" spans="3:3" customFormat="1" ht="21.95" customHeight="1" x14ac:dyDescent="0.15">
      <c r="C51187" s="94"/>
    </row>
    <row r="51188" spans="3:3" customFormat="1" ht="21.95" customHeight="1" x14ac:dyDescent="0.15">
      <c r="C51188" s="94"/>
    </row>
    <row r="51189" spans="3:3" customFormat="1" ht="21.95" customHeight="1" x14ac:dyDescent="0.15"/>
    <row r="51190" spans="3:3" customFormat="1" ht="21.95" customHeight="1" x14ac:dyDescent="0.15"/>
    <row r="51191" spans="3:3" customFormat="1" ht="21.95" customHeight="1" x14ac:dyDescent="0.15"/>
    <row r="51192" spans="3:3" customFormat="1" ht="21.95" customHeight="1" x14ac:dyDescent="0.15"/>
    <row r="51193" spans="3:3" customFormat="1" ht="21.95" customHeight="1" x14ac:dyDescent="0.15"/>
    <row r="51194" spans="3:3" customFormat="1" ht="21.95" customHeight="1" x14ac:dyDescent="0.15"/>
    <row r="51195" spans="3:3" customFormat="1" ht="21.95" customHeight="1" x14ac:dyDescent="0.15"/>
    <row r="51196" spans="3:3" s="76" customFormat="1" ht="21.95" customHeight="1" x14ac:dyDescent="0.15"/>
    <row r="51197" spans="3:3" s="76" customFormat="1" ht="21.95" customHeight="1" x14ac:dyDescent="0.15"/>
    <row r="51198" spans="3:3" s="76" customFormat="1" ht="21.95" customHeight="1" x14ac:dyDescent="0.15"/>
    <row r="51199" spans="3:3" s="76" customFormat="1" ht="21.95" customHeight="1" x14ac:dyDescent="0.15"/>
    <row r="51200" spans="3:3" customFormat="1" ht="21.95" customHeight="1" x14ac:dyDescent="0.15"/>
    <row r="51201" customFormat="1" ht="21.95" customHeight="1" x14ac:dyDescent="0.15"/>
    <row r="51202" customFormat="1" ht="21.95" customHeight="1" x14ac:dyDescent="0.15"/>
    <row r="51203" customFormat="1" ht="21.95" customHeight="1" x14ac:dyDescent="0.15"/>
    <row r="51204" customFormat="1" ht="21.95" customHeight="1" x14ac:dyDescent="0.15"/>
    <row r="51205" customFormat="1" ht="21.95" customHeight="1" x14ac:dyDescent="0.15"/>
    <row r="51206" customFormat="1" ht="21.95" customHeight="1" x14ac:dyDescent="0.15"/>
    <row r="51207" customFormat="1" ht="21.95" customHeight="1" x14ac:dyDescent="0.15"/>
    <row r="51208" customFormat="1" ht="21.95" customHeight="1" x14ac:dyDescent="0.15"/>
    <row r="51209" customFormat="1" ht="21.95" customHeight="1" x14ac:dyDescent="0.15"/>
    <row r="51210" customFormat="1" ht="21.95" customHeight="1" x14ac:dyDescent="0.15"/>
    <row r="51211" customFormat="1" ht="32.1" customHeight="1" x14ac:dyDescent="0.15"/>
    <row r="51212" customFormat="1" ht="32.1" customHeight="1" x14ac:dyDescent="0.15"/>
    <row r="51213" customFormat="1" ht="32.1" customHeight="1" x14ac:dyDescent="0.15"/>
    <row r="51214" customFormat="1" ht="32.1" customHeight="1" x14ac:dyDescent="0.15"/>
    <row r="51215" customFormat="1" ht="32.1" customHeight="1" x14ac:dyDescent="0.15"/>
    <row r="51216" customFormat="1" ht="32.1" customHeight="1" x14ac:dyDescent="0.15"/>
    <row r="51217" s="76" customFormat="1" ht="32.1" customHeight="1" x14ac:dyDescent="0.15"/>
    <row r="51218" s="76" customFormat="1" ht="32.1" customHeight="1" x14ac:dyDescent="0.15"/>
    <row r="51219" s="76" customFormat="1" ht="32.1" customHeight="1" x14ac:dyDescent="0.15"/>
    <row r="51220" s="76" customFormat="1" ht="32.1" customHeight="1" x14ac:dyDescent="0.15"/>
    <row r="51221" s="76" customFormat="1" ht="21.95" customHeight="1" x14ac:dyDescent="0.15"/>
    <row r="51222" s="76" customFormat="1" ht="54" customHeight="1" x14ac:dyDescent="0.15"/>
    <row r="51223" s="76" customFormat="1" ht="21.95" customHeight="1" x14ac:dyDescent="0.15"/>
    <row r="51224" s="76" customFormat="1" ht="21.95" customHeight="1" x14ac:dyDescent="0.15"/>
    <row r="51225" s="76" customFormat="1" ht="21.95" customHeight="1" x14ac:dyDescent="0.15"/>
    <row r="51226" s="76" customFormat="1" ht="21.95" customHeight="1" x14ac:dyDescent="0.15"/>
    <row r="51227" s="76" customFormat="1" ht="21.95" customHeight="1" x14ac:dyDescent="0.15"/>
    <row r="51228" s="76" customFormat="1" ht="21.95" customHeight="1" x14ac:dyDescent="0.15"/>
    <row r="51229" s="76" customFormat="1" ht="21.95" customHeight="1" x14ac:dyDescent="0.15"/>
    <row r="51230" s="76" customFormat="1" ht="21.95" customHeight="1" x14ac:dyDescent="0.15"/>
    <row r="51231" s="76" customFormat="1" ht="21.95" customHeight="1" x14ac:dyDescent="0.15"/>
    <row r="51232" s="76" customFormat="1" ht="21.95" customHeight="1" x14ac:dyDescent="0.15"/>
    <row r="51233" s="76" customFormat="1" ht="21.95" customHeight="1" x14ac:dyDescent="0.15"/>
    <row r="51234" s="76" customFormat="1" ht="21.95" customHeight="1" x14ac:dyDescent="0.15"/>
    <row r="51235" s="76" customFormat="1" ht="21.95" customHeight="1" x14ac:dyDescent="0.15"/>
    <row r="51236" s="76" customFormat="1" ht="21.95" customHeight="1" x14ac:dyDescent="0.15"/>
    <row r="51237" s="76" customFormat="1" ht="21.95" customHeight="1" x14ac:dyDescent="0.15"/>
    <row r="51238" s="76" customFormat="1" ht="21.95" customHeight="1" x14ac:dyDescent="0.15"/>
    <row r="51239" s="76" customFormat="1" ht="21.95" customHeight="1" x14ac:dyDescent="0.15"/>
    <row r="51240" s="76" customFormat="1" ht="21.95" customHeight="1" x14ac:dyDescent="0.15"/>
    <row r="51241" s="76" customFormat="1" ht="21.95" customHeight="1" x14ac:dyDescent="0.15"/>
    <row r="51242" s="76" customFormat="1" ht="21.95" customHeight="1" x14ac:dyDescent="0.15"/>
    <row r="51243" s="76" customFormat="1" ht="21.95" customHeight="1" x14ac:dyDescent="0.15"/>
    <row r="51244" s="76" customFormat="1" ht="21.95" customHeight="1" x14ac:dyDescent="0.15"/>
    <row r="51245" s="76" customFormat="1" ht="21.95" customHeight="1" x14ac:dyDescent="0.15"/>
    <row r="51246" s="76" customFormat="1" ht="21.95" customHeight="1" x14ac:dyDescent="0.15"/>
    <row r="51247" s="76" customFormat="1" ht="21.95" customHeight="1" x14ac:dyDescent="0.15"/>
    <row r="51248" s="76" customFormat="1" ht="21.95" customHeight="1" x14ac:dyDescent="0.15"/>
    <row r="51249" s="76" customFormat="1" ht="21.95" customHeight="1" x14ac:dyDescent="0.15"/>
    <row r="51250" s="76" customFormat="1" ht="21.95" customHeight="1" x14ac:dyDescent="0.15"/>
    <row r="51251" s="76" customFormat="1" ht="21.95" customHeight="1" x14ac:dyDescent="0.15"/>
    <row r="51252" s="76" customFormat="1" ht="21.95" customHeight="1" x14ac:dyDescent="0.15"/>
    <row r="51253" s="76" customFormat="1" ht="21.95" customHeight="1" x14ac:dyDescent="0.15"/>
    <row r="51254" s="76" customFormat="1" ht="21.95" customHeight="1" x14ac:dyDescent="0.15"/>
    <row r="51255" s="76" customFormat="1" ht="21.95" customHeight="1" x14ac:dyDescent="0.15"/>
    <row r="51256" s="76" customFormat="1" ht="21.95" customHeight="1" x14ac:dyDescent="0.15"/>
    <row r="51257" s="76" customFormat="1" ht="21.95" customHeight="1" x14ac:dyDescent="0.15"/>
    <row r="51258" s="76" customFormat="1" ht="21.95" customHeight="1" x14ac:dyDescent="0.15"/>
    <row r="51259" s="76" customFormat="1" ht="21.95" customHeight="1" x14ac:dyDescent="0.15"/>
    <row r="51260" s="76" customFormat="1" ht="21.95" customHeight="1" x14ac:dyDescent="0.15"/>
    <row r="51261" s="76" customFormat="1" ht="21.95" customHeight="1" x14ac:dyDescent="0.15"/>
    <row r="51262" s="76" customFormat="1" ht="21.95" customHeight="1" x14ac:dyDescent="0.15"/>
    <row r="51263" s="76" customFormat="1" ht="21.95" customHeight="1" x14ac:dyDescent="0.15"/>
    <row r="51264" s="76" customFormat="1" ht="21.95" customHeight="1" x14ac:dyDescent="0.15"/>
    <row r="51265" s="76" customFormat="1" ht="21.95" customHeight="1" x14ac:dyDescent="0.15"/>
    <row r="51266" s="76" customFormat="1" ht="21.95" customHeight="1" x14ac:dyDescent="0.15"/>
    <row r="51267" s="76" customFormat="1" ht="21.95" customHeight="1" x14ac:dyDescent="0.15"/>
    <row r="51268" s="76" customFormat="1" ht="21.95" customHeight="1" x14ac:dyDescent="0.15"/>
    <row r="51269" s="76" customFormat="1" ht="21.95" customHeight="1" x14ac:dyDescent="0.15"/>
    <row r="51270" s="76" customFormat="1" ht="21.95" customHeight="1" x14ac:dyDescent="0.15"/>
    <row r="51271" s="76" customFormat="1" ht="21.95" customHeight="1" x14ac:dyDescent="0.15"/>
    <row r="51272" s="76" customFormat="1" ht="21.95" customHeight="1" x14ac:dyDescent="0.15"/>
    <row r="51273" s="76" customFormat="1" ht="35.1" customHeight="1" x14ac:dyDescent="0.15"/>
    <row r="51274" s="76" customFormat="1" ht="21.95" customHeight="1" x14ac:dyDescent="0.15"/>
    <row r="51275" s="76" customFormat="1" ht="21.95" customHeight="1" x14ac:dyDescent="0.15"/>
    <row r="51276" s="76" customFormat="1" ht="21.95" customHeight="1" x14ac:dyDescent="0.15"/>
    <row r="51277" s="76" customFormat="1" ht="21.95" customHeight="1" x14ac:dyDescent="0.15"/>
    <row r="51278" s="76" customFormat="1" ht="21.95" customHeight="1" x14ac:dyDescent="0.15"/>
    <row r="51279" s="76" customFormat="1" ht="21.95" customHeight="1" x14ac:dyDescent="0.15"/>
    <row r="51280" s="76" customFormat="1" ht="21.95" customHeight="1" x14ac:dyDescent="0.15"/>
    <row r="51281" s="76" customFormat="1" ht="21.95" customHeight="1" x14ac:dyDescent="0.15"/>
    <row r="51282" s="76" customFormat="1" ht="21.95" customHeight="1" x14ac:dyDescent="0.15"/>
    <row r="51283" s="76" customFormat="1" ht="21.95" customHeight="1" x14ac:dyDescent="0.15"/>
    <row r="51284" s="76" customFormat="1" ht="21.95" customHeight="1" x14ac:dyDescent="0.15"/>
    <row r="51285" s="76" customFormat="1" ht="21.95" customHeight="1" x14ac:dyDescent="0.15"/>
    <row r="51286" s="76" customFormat="1" ht="21.95" customHeight="1" x14ac:dyDescent="0.15"/>
    <row r="51287" s="76" customFormat="1" ht="21.95" customHeight="1" x14ac:dyDescent="0.15"/>
    <row r="51288" s="76" customFormat="1" ht="21.95" customHeight="1" x14ac:dyDescent="0.15"/>
    <row r="51289" s="76" customFormat="1" ht="21.95" customHeight="1" x14ac:dyDescent="0.15"/>
    <row r="51290" s="76" customFormat="1" ht="21.95" customHeight="1" x14ac:dyDescent="0.15"/>
    <row r="51291" s="76" customFormat="1" ht="21.95" customHeight="1" x14ac:dyDescent="0.15"/>
    <row r="51292" s="76" customFormat="1" ht="21.95" customHeight="1" x14ac:dyDescent="0.15"/>
    <row r="51293" s="76" customFormat="1" ht="21.95" customHeight="1" x14ac:dyDescent="0.15"/>
    <row r="51294" s="76" customFormat="1" ht="21.95" customHeight="1" x14ac:dyDescent="0.15"/>
    <row r="51295" s="76" customFormat="1" ht="21.95" customHeight="1" x14ac:dyDescent="0.15"/>
    <row r="51296" s="76" customFormat="1" ht="21.95" customHeight="1" x14ac:dyDescent="0.15"/>
    <row r="51297" spans="3:3" customFormat="1" ht="21.95" customHeight="1" x14ac:dyDescent="0.15"/>
    <row r="51298" spans="3:3" customFormat="1" ht="21.95" customHeight="1" x14ac:dyDescent="0.15"/>
    <row r="51299" spans="3:3" customFormat="1" ht="21.95" customHeight="1" x14ac:dyDescent="0.15">
      <c r="C51299" s="94"/>
    </row>
    <row r="51300" spans="3:3" customFormat="1" ht="21.95" customHeight="1" x14ac:dyDescent="0.15">
      <c r="C51300" s="94"/>
    </row>
    <row r="51301" spans="3:3" customFormat="1" ht="21.95" customHeight="1" x14ac:dyDescent="0.15"/>
    <row r="51302" spans="3:3" customFormat="1" ht="21.95" customHeight="1" x14ac:dyDescent="0.15"/>
    <row r="51303" spans="3:3" customFormat="1" ht="21.95" customHeight="1" x14ac:dyDescent="0.15"/>
    <row r="51304" spans="3:3" customFormat="1" ht="21.95" customHeight="1" x14ac:dyDescent="0.15"/>
    <row r="51305" spans="3:3" customFormat="1" ht="21.95" customHeight="1" x14ac:dyDescent="0.15"/>
    <row r="51306" spans="3:3" customFormat="1" ht="21.95" customHeight="1" x14ac:dyDescent="0.15"/>
    <row r="51307" spans="3:3" customFormat="1" ht="21.95" customHeight="1" x14ac:dyDescent="0.15"/>
    <row r="51308" spans="3:3" s="76" customFormat="1" ht="21.95" customHeight="1" x14ac:dyDescent="0.15"/>
    <row r="51309" spans="3:3" s="76" customFormat="1" ht="21.95" customHeight="1" x14ac:dyDescent="0.15"/>
    <row r="51310" spans="3:3" s="76" customFormat="1" ht="21.95" customHeight="1" x14ac:dyDescent="0.15"/>
    <row r="51311" spans="3:3" s="76" customFormat="1" ht="21.95" customHeight="1" x14ac:dyDescent="0.15"/>
    <row r="51312" spans="3:3" customFormat="1" ht="21.95" customHeight="1" x14ac:dyDescent="0.15"/>
    <row r="51313" customFormat="1" ht="21.95" customHeight="1" x14ac:dyDescent="0.15"/>
    <row r="51314" customFormat="1" ht="21.95" customHeight="1" x14ac:dyDescent="0.15"/>
    <row r="51315" customFormat="1" ht="21.95" customHeight="1" x14ac:dyDescent="0.15"/>
    <row r="51316" customFormat="1" ht="21.95" customHeight="1" x14ac:dyDescent="0.15"/>
    <row r="51317" customFormat="1" ht="21.95" customHeight="1" x14ac:dyDescent="0.15"/>
    <row r="51318" customFormat="1" ht="21.95" customHeight="1" x14ac:dyDescent="0.15"/>
    <row r="51319" customFormat="1" ht="21.95" customHeight="1" x14ac:dyDescent="0.15"/>
    <row r="51320" customFormat="1" ht="21.95" customHeight="1" x14ac:dyDescent="0.15"/>
    <row r="51321" customFormat="1" ht="21.95" customHeight="1" x14ac:dyDescent="0.15"/>
    <row r="51322" customFormat="1" ht="21.95" customHeight="1" x14ac:dyDescent="0.15"/>
    <row r="51323" customFormat="1" ht="32.1" customHeight="1" x14ac:dyDescent="0.15"/>
    <row r="51324" customFormat="1" ht="32.1" customHeight="1" x14ac:dyDescent="0.15"/>
    <row r="51325" customFormat="1" ht="32.1" customHeight="1" x14ac:dyDescent="0.15"/>
    <row r="51326" customFormat="1" ht="32.1" customHeight="1" x14ac:dyDescent="0.15"/>
    <row r="51327" customFormat="1" ht="32.1" customHeight="1" x14ac:dyDescent="0.15"/>
    <row r="51328" customFormat="1" ht="32.1" customHeight="1" x14ac:dyDescent="0.15"/>
    <row r="51329" s="76" customFormat="1" ht="32.1" customHeight="1" x14ac:dyDescent="0.15"/>
    <row r="51330" s="76" customFormat="1" ht="32.1" customHeight="1" x14ac:dyDescent="0.15"/>
    <row r="51331" s="76" customFormat="1" ht="32.1" customHeight="1" x14ac:dyDescent="0.15"/>
    <row r="51332" s="76" customFormat="1" ht="32.1" customHeight="1" x14ac:dyDescent="0.15"/>
    <row r="51333" s="76" customFormat="1" ht="21.95" customHeight="1" x14ac:dyDescent="0.15"/>
    <row r="51334" s="76" customFormat="1" ht="54" customHeight="1" x14ac:dyDescent="0.15"/>
    <row r="51335" s="76" customFormat="1" ht="21.95" customHeight="1" x14ac:dyDescent="0.15"/>
    <row r="51336" s="76" customFormat="1" ht="21.95" customHeight="1" x14ac:dyDescent="0.15"/>
    <row r="51337" s="76" customFormat="1" ht="21.95" customHeight="1" x14ac:dyDescent="0.15"/>
    <row r="51338" s="76" customFormat="1" ht="21.95" customHeight="1" x14ac:dyDescent="0.15"/>
    <row r="51339" s="76" customFormat="1" ht="21.95" customHeight="1" x14ac:dyDescent="0.15"/>
    <row r="51340" s="76" customFormat="1" ht="21.95" customHeight="1" x14ac:dyDescent="0.15"/>
    <row r="51341" s="76" customFormat="1" ht="21.95" customHeight="1" x14ac:dyDescent="0.15"/>
    <row r="51342" s="76" customFormat="1" ht="21.95" customHeight="1" x14ac:dyDescent="0.15"/>
    <row r="51343" s="76" customFormat="1" ht="21.95" customHeight="1" x14ac:dyDescent="0.15"/>
    <row r="51344" s="76" customFormat="1" ht="21.95" customHeight="1" x14ac:dyDescent="0.15"/>
    <row r="51345" s="76" customFormat="1" ht="21.95" customHeight="1" x14ac:dyDescent="0.15"/>
    <row r="51346" s="76" customFormat="1" ht="21.95" customHeight="1" x14ac:dyDescent="0.15"/>
    <row r="51347" s="76" customFormat="1" ht="21.95" customHeight="1" x14ac:dyDescent="0.15"/>
    <row r="51348" s="76" customFormat="1" ht="21.95" customHeight="1" x14ac:dyDescent="0.15"/>
    <row r="51349" s="76" customFormat="1" ht="21.95" customHeight="1" x14ac:dyDescent="0.15"/>
    <row r="51350" s="76" customFormat="1" ht="21.95" customHeight="1" x14ac:dyDescent="0.15"/>
    <row r="51351" s="76" customFormat="1" ht="21.95" customHeight="1" x14ac:dyDescent="0.15"/>
    <row r="51352" s="76" customFormat="1" ht="21.95" customHeight="1" x14ac:dyDescent="0.15"/>
    <row r="51353" s="76" customFormat="1" ht="21.95" customHeight="1" x14ac:dyDescent="0.15"/>
    <row r="51354" s="76" customFormat="1" ht="21.95" customHeight="1" x14ac:dyDescent="0.15"/>
    <row r="51355" s="76" customFormat="1" ht="21.95" customHeight="1" x14ac:dyDescent="0.15"/>
    <row r="51356" s="76" customFormat="1" ht="21.95" customHeight="1" x14ac:dyDescent="0.15"/>
    <row r="51357" s="76" customFormat="1" ht="21.95" customHeight="1" x14ac:dyDescent="0.15"/>
    <row r="51358" s="76" customFormat="1" ht="21.95" customHeight="1" x14ac:dyDescent="0.15"/>
    <row r="51359" s="76" customFormat="1" ht="21.95" customHeight="1" x14ac:dyDescent="0.15"/>
    <row r="51360" s="76" customFormat="1" ht="21.95" customHeight="1" x14ac:dyDescent="0.15"/>
    <row r="51361" s="76" customFormat="1" ht="21.95" customHeight="1" x14ac:dyDescent="0.15"/>
    <row r="51362" s="76" customFormat="1" ht="21.95" customHeight="1" x14ac:dyDescent="0.15"/>
    <row r="51363" s="76" customFormat="1" ht="21.95" customHeight="1" x14ac:dyDescent="0.15"/>
    <row r="51364" s="76" customFormat="1" ht="21.95" customHeight="1" x14ac:dyDescent="0.15"/>
    <row r="51365" s="76" customFormat="1" ht="21.95" customHeight="1" x14ac:dyDescent="0.15"/>
    <row r="51366" s="76" customFormat="1" ht="21.95" customHeight="1" x14ac:dyDescent="0.15"/>
    <row r="51367" s="76" customFormat="1" ht="21.95" customHeight="1" x14ac:dyDescent="0.15"/>
    <row r="51368" s="76" customFormat="1" ht="21.95" customHeight="1" x14ac:dyDescent="0.15"/>
    <row r="51369" s="76" customFormat="1" ht="21.95" customHeight="1" x14ac:dyDescent="0.15"/>
    <row r="51370" s="76" customFormat="1" ht="21.95" customHeight="1" x14ac:dyDescent="0.15"/>
    <row r="51371" s="76" customFormat="1" ht="21.95" customHeight="1" x14ac:dyDescent="0.15"/>
    <row r="51372" s="76" customFormat="1" ht="21.95" customHeight="1" x14ac:dyDescent="0.15"/>
    <row r="51373" s="76" customFormat="1" ht="21.95" customHeight="1" x14ac:dyDescent="0.15"/>
    <row r="51374" s="76" customFormat="1" ht="21.95" customHeight="1" x14ac:dyDescent="0.15"/>
    <row r="51375" s="76" customFormat="1" ht="21.95" customHeight="1" x14ac:dyDescent="0.15"/>
    <row r="51376" s="76" customFormat="1" ht="21.95" customHeight="1" x14ac:dyDescent="0.15"/>
    <row r="51377" s="76" customFormat="1" ht="21.95" customHeight="1" x14ac:dyDescent="0.15"/>
    <row r="51378" s="76" customFormat="1" ht="21.95" customHeight="1" x14ac:dyDescent="0.15"/>
    <row r="51379" s="76" customFormat="1" ht="21.95" customHeight="1" x14ac:dyDescent="0.15"/>
    <row r="51380" s="76" customFormat="1" ht="21.95" customHeight="1" x14ac:dyDescent="0.15"/>
    <row r="51381" s="76" customFormat="1" ht="21.95" customHeight="1" x14ac:dyDescent="0.15"/>
    <row r="51382" s="76" customFormat="1" ht="21.95" customHeight="1" x14ac:dyDescent="0.15"/>
    <row r="51383" s="76" customFormat="1" ht="21.95" customHeight="1" x14ac:dyDescent="0.15"/>
    <row r="51384" s="76" customFormat="1" ht="21.95" customHeight="1" x14ac:dyDescent="0.15"/>
    <row r="51385" s="76" customFormat="1" ht="35.1" customHeight="1" x14ac:dyDescent="0.15"/>
    <row r="51386" s="76" customFormat="1" ht="21.95" customHeight="1" x14ac:dyDescent="0.15"/>
    <row r="51387" s="76" customFormat="1" ht="21.95" customHeight="1" x14ac:dyDescent="0.15"/>
    <row r="51388" s="76" customFormat="1" ht="21.95" customHeight="1" x14ac:dyDescent="0.15"/>
    <row r="51389" s="76" customFormat="1" ht="21.95" customHeight="1" x14ac:dyDescent="0.15"/>
    <row r="51390" s="76" customFormat="1" ht="21.95" customHeight="1" x14ac:dyDescent="0.15"/>
    <row r="51391" s="76" customFormat="1" ht="21.95" customHeight="1" x14ac:dyDescent="0.15"/>
    <row r="51392" s="76" customFormat="1" ht="21.95" customHeight="1" x14ac:dyDescent="0.15"/>
    <row r="51393" s="76" customFormat="1" ht="21.95" customHeight="1" x14ac:dyDescent="0.15"/>
    <row r="51394" s="76" customFormat="1" ht="21.95" customHeight="1" x14ac:dyDescent="0.15"/>
    <row r="51395" s="76" customFormat="1" ht="21.95" customHeight="1" x14ac:dyDescent="0.15"/>
    <row r="51396" s="76" customFormat="1" ht="21.95" customHeight="1" x14ac:dyDescent="0.15"/>
    <row r="51397" s="76" customFormat="1" ht="21.95" customHeight="1" x14ac:dyDescent="0.15"/>
    <row r="51398" s="76" customFormat="1" ht="21.95" customHeight="1" x14ac:dyDescent="0.15"/>
    <row r="51399" s="76" customFormat="1" ht="21.95" customHeight="1" x14ac:dyDescent="0.15"/>
    <row r="51400" s="76" customFormat="1" ht="21.95" customHeight="1" x14ac:dyDescent="0.15"/>
    <row r="51401" s="76" customFormat="1" ht="21.95" customHeight="1" x14ac:dyDescent="0.15"/>
    <row r="51402" s="76" customFormat="1" ht="21.95" customHeight="1" x14ac:dyDescent="0.15"/>
    <row r="51403" s="76" customFormat="1" ht="21.95" customHeight="1" x14ac:dyDescent="0.15"/>
    <row r="51404" s="76" customFormat="1" ht="21.95" customHeight="1" x14ac:dyDescent="0.15"/>
    <row r="51405" s="76" customFormat="1" ht="21.95" customHeight="1" x14ac:dyDescent="0.15"/>
    <row r="51406" s="76" customFormat="1" ht="21.95" customHeight="1" x14ac:dyDescent="0.15"/>
    <row r="51407" s="76" customFormat="1" ht="21.95" customHeight="1" x14ac:dyDescent="0.15"/>
    <row r="51408" s="76" customFormat="1" ht="21.95" customHeight="1" x14ac:dyDescent="0.15"/>
    <row r="51409" spans="3:3" customFormat="1" ht="21.95" customHeight="1" x14ac:dyDescent="0.15"/>
    <row r="51410" spans="3:3" customFormat="1" ht="21.95" customHeight="1" x14ac:dyDescent="0.15"/>
    <row r="51411" spans="3:3" customFormat="1" ht="21.95" customHeight="1" x14ac:dyDescent="0.15">
      <c r="C51411" s="94"/>
    </row>
    <row r="51412" spans="3:3" customFormat="1" ht="21.95" customHeight="1" x14ac:dyDescent="0.15">
      <c r="C51412" s="94"/>
    </row>
    <row r="51413" spans="3:3" customFormat="1" ht="21.95" customHeight="1" x14ac:dyDescent="0.15"/>
    <row r="51414" spans="3:3" customFormat="1" ht="21.95" customHeight="1" x14ac:dyDescent="0.15"/>
    <row r="51415" spans="3:3" customFormat="1" ht="21.95" customHeight="1" x14ac:dyDescent="0.15"/>
    <row r="51416" spans="3:3" customFormat="1" ht="21.95" customHeight="1" x14ac:dyDescent="0.15"/>
    <row r="51417" spans="3:3" customFormat="1" ht="21.95" customHeight="1" x14ac:dyDescent="0.15"/>
    <row r="51418" spans="3:3" customFormat="1" ht="21.95" customHeight="1" x14ac:dyDescent="0.15"/>
    <row r="51419" spans="3:3" customFormat="1" ht="21.95" customHeight="1" x14ac:dyDescent="0.15"/>
    <row r="51420" spans="3:3" s="76" customFormat="1" ht="21.95" customHeight="1" x14ac:dyDescent="0.15"/>
    <row r="51421" spans="3:3" s="76" customFormat="1" ht="21.95" customHeight="1" x14ac:dyDescent="0.15"/>
    <row r="51422" spans="3:3" s="76" customFormat="1" ht="21.95" customHeight="1" x14ac:dyDescent="0.15"/>
    <row r="51423" spans="3:3" s="76" customFormat="1" ht="21.95" customHeight="1" x14ac:dyDescent="0.15"/>
    <row r="51424" spans="3:3" customFormat="1" ht="21.95" customHeight="1" x14ac:dyDescent="0.15"/>
    <row r="51425" customFormat="1" ht="21.95" customHeight="1" x14ac:dyDescent="0.15"/>
    <row r="51426" customFormat="1" ht="21.95" customHeight="1" x14ac:dyDescent="0.15"/>
    <row r="51427" customFormat="1" ht="21.95" customHeight="1" x14ac:dyDescent="0.15"/>
    <row r="51428" customFormat="1" ht="21.95" customHeight="1" x14ac:dyDescent="0.15"/>
    <row r="51429" customFormat="1" ht="21.95" customHeight="1" x14ac:dyDescent="0.15"/>
    <row r="51430" customFormat="1" ht="21.95" customHeight="1" x14ac:dyDescent="0.15"/>
    <row r="51431" customFormat="1" ht="21.95" customHeight="1" x14ac:dyDescent="0.15"/>
    <row r="51432" customFormat="1" ht="21.95" customHeight="1" x14ac:dyDescent="0.15"/>
    <row r="51433" customFormat="1" ht="21.95" customHeight="1" x14ac:dyDescent="0.15"/>
    <row r="51434" customFormat="1" ht="21.95" customHeight="1" x14ac:dyDescent="0.15"/>
    <row r="51435" customFormat="1" ht="32.1" customHeight="1" x14ac:dyDescent="0.15"/>
    <row r="51436" customFormat="1" ht="32.1" customHeight="1" x14ac:dyDescent="0.15"/>
    <row r="51437" customFormat="1" ht="32.1" customHeight="1" x14ac:dyDescent="0.15"/>
    <row r="51438" customFormat="1" ht="32.1" customHeight="1" x14ac:dyDescent="0.15"/>
    <row r="51439" customFormat="1" ht="32.1" customHeight="1" x14ac:dyDescent="0.15"/>
    <row r="51440" customFormat="1" ht="32.1" customHeight="1" x14ac:dyDescent="0.15"/>
    <row r="51441" s="76" customFormat="1" ht="32.1" customHeight="1" x14ac:dyDescent="0.15"/>
    <row r="51442" s="76" customFormat="1" ht="32.1" customHeight="1" x14ac:dyDescent="0.15"/>
    <row r="51443" s="76" customFormat="1" ht="32.1" customHeight="1" x14ac:dyDescent="0.15"/>
    <row r="51444" s="76" customFormat="1" ht="32.1" customHeight="1" x14ac:dyDescent="0.15"/>
    <row r="51445" s="76" customFormat="1" ht="21.95" customHeight="1" x14ac:dyDescent="0.15"/>
    <row r="51446" s="76" customFormat="1" ht="54" customHeight="1" x14ac:dyDescent="0.15"/>
    <row r="51447" s="76" customFormat="1" ht="21.95" customHeight="1" x14ac:dyDescent="0.15"/>
    <row r="51448" s="76" customFormat="1" ht="21.95" customHeight="1" x14ac:dyDescent="0.15"/>
    <row r="51449" s="76" customFormat="1" ht="21.95" customHeight="1" x14ac:dyDescent="0.15"/>
    <row r="51450" s="76" customFormat="1" ht="21.95" customHeight="1" x14ac:dyDescent="0.15"/>
    <row r="51451" s="76" customFormat="1" ht="21.95" customHeight="1" x14ac:dyDescent="0.15"/>
    <row r="51452" s="76" customFormat="1" ht="21.95" customHeight="1" x14ac:dyDescent="0.15"/>
    <row r="51453" s="76" customFormat="1" ht="21.95" customHeight="1" x14ac:dyDescent="0.15"/>
    <row r="51454" s="76" customFormat="1" ht="21.95" customHeight="1" x14ac:dyDescent="0.15"/>
    <row r="51455" s="76" customFormat="1" ht="21.95" customHeight="1" x14ac:dyDescent="0.15"/>
    <row r="51456" s="76" customFormat="1" ht="21.95" customHeight="1" x14ac:dyDescent="0.15"/>
    <row r="51457" s="76" customFormat="1" ht="21.95" customHeight="1" x14ac:dyDescent="0.15"/>
    <row r="51458" s="76" customFormat="1" ht="21.95" customHeight="1" x14ac:dyDescent="0.15"/>
    <row r="51459" s="76" customFormat="1" ht="21.95" customHeight="1" x14ac:dyDescent="0.15"/>
    <row r="51460" s="76" customFormat="1" ht="21.95" customHeight="1" x14ac:dyDescent="0.15"/>
    <row r="51461" s="76" customFormat="1" ht="21.95" customHeight="1" x14ac:dyDescent="0.15"/>
    <row r="51462" s="76" customFormat="1" ht="21.95" customHeight="1" x14ac:dyDescent="0.15"/>
    <row r="51463" s="76" customFormat="1" ht="21.95" customHeight="1" x14ac:dyDescent="0.15"/>
    <row r="51464" s="76" customFormat="1" ht="21.95" customHeight="1" x14ac:dyDescent="0.15"/>
    <row r="51465" s="76" customFormat="1" ht="21.95" customHeight="1" x14ac:dyDescent="0.15"/>
    <row r="51466" s="76" customFormat="1" ht="21.95" customHeight="1" x14ac:dyDescent="0.15"/>
    <row r="51467" s="76" customFormat="1" ht="21.95" customHeight="1" x14ac:dyDescent="0.15"/>
    <row r="51468" s="76" customFormat="1" ht="21.95" customHeight="1" x14ac:dyDescent="0.15"/>
    <row r="51469" s="76" customFormat="1" ht="21.95" customHeight="1" x14ac:dyDescent="0.15"/>
    <row r="51470" s="76" customFormat="1" ht="21.95" customHeight="1" x14ac:dyDescent="0.15"/>
    <row r="51471" s="76" customFormat="1" ht="21.95" customHeight="1" x14ac:dyDescent="0.15"/>
    <row r="51472" s="76" customFormat="1" ht="21.95" customHeight="1" x14ac:dyDescent="0.15"/>
    <row r="51473" s="76" customFormat="1" ht="21.95" customHeight="1" x14ac:dyDescent="0.15"/>
    <row r="51474" s="76" customFormat="1" ht="21.95" customHeight="1" x14ac:dyDescent="0.15"/>
    <row r="51475" s="76" customFormat="1" ht="21.95" customHeight="1" x14ac:dyDescent="0.15"/>
    <row r="51476" s="76" customFormat="1" ht="21.95" customHeight="1" x14ac:dyDescent="0.15"/>
    <row r="51477" s="76" customFormat="1" ht="21.95" customHeight="1" x14ac:dyDescent="0.15"/>
    <row r="51478" s="76" customFormat="1" ht="21.95" customHeight="1" x14ac:dyDescent="0.15"/>
    <row r="51479" s="76" customFormat="1" ht="21.95" customHeight="1" x14ac:dyDescent="0.15"/>
    <row r="51480" s="76" customFormat="1" ht="21.95" customHeight="1" x14ac:dyDescent="0.15"/>
    <row r="51481" s="76" customFormat="1" ht="21.95" customHeight="1" x14ac:dyDescent="0.15"/>
    <row r="51482" s="76" customFormat="1" ht="21.95" customHeight="1" x14ac:dyDescent="0.15"/>
    <row r="51483" s="76" customFormat="1" ht="21.95" customHeight="1" x14ac:dyDescent="0.15"/>
    <row r="51484" s="76" customFormat="1" ht="21.95" customHeight="1" x14ac:dyDescent="0.15"/>
    <row r="51485" s="76" customFormat="1" ht="21.95" customHeight="1" x14ac:dyDescent="0.15"/>
    <row r="51486" s="76" customFormat="1" ht="21.95" customHeight="1" x14ac:dyDescent="0.15"/>
    <row r="51487" s="76" customFormat="1" ht="21.95" customHeight="1" x14ac:dyDescent="0.15"/>
    <row r="51488" s="76" customFormat="1" ht="21.95" customHeight="1" x14ac:dyDescent="0.15"/>
    <row r="51489" s="76" customFormat="1" ht="21.95" customHeight="1" x14ac:dyDescent="0.15"/>
    <row r="51490" s="76" customFormat="1" ht="21.95" customHeight="1" x14ac:dyDescent="0.15"/>
    <row r="51491" s="76" customFormat="1" ht="21.95" customHeight="1" x14ac:dyDescent="0.15"/>
    <row r="51492" s="76" customFormat="1" ht="21.95" customHeight="1" x14ac:dyDescent="0.15"/>
    <row r="51493" s="76" customFormat="1" ht="21.95" customHeight="1" x14ac:dyDescent="0.15"/>
    <row r="51494" s="76" customFormat="1" ht="21.95" customHeight="1" x14ac:dyDescent="0.15"/>
    <row r="51495" s="76" customFormat="1" ht="21.95" customHeight="1" x14ac:dyDescent="0.15"/>
    <row r="51496" s="76" customFormat="1" ht="21.95" customHeight="1" x14ac:dyDescent="0.15"/>
    <row r="51497" s="76" customFormat="1" ht="35.1" customHeight="1" x14ac:dyDescent="0.15"/>
    <row r="51498" s="76" customFormat="1" ht="21.95" customHeight="1" x14ac:dyDescent="0.15"/>
    <row r="51499" s="76" customFormat="1" ht="21.95" customHeight="1" x14ac:dyDescent="0.15"/>
    <row r="51500" s="76" customFormat="1" ht="21.95" customHeight="1" x14ac:dyDescent="0.15"/>
    <row r="51501" s="76" customFormat="1" ht="21.95" customHeight="1" x14ac:dyDescent="0.15"/>
    <row r="51502" s="76" customFormat="1" ht="21.95" customHeight="1" x14ac:dyDescent="0.15"/>
    <row r="51503" s="76" customFormat="1" ht="21.95" customHeight="1" x14ac:dyDescent="0.15"/>
    <row r="51504" s="76" customFormat="1" ht="21.95" customHeight="1" x14ac:dyDescent="0.15"/>
    <row r="51505" s="76" customFormat="1" ht="21.95" customHeight="1" x14ac:dyDescent="0.15"/>
    <row r="51506" s="76" customFormat="1" ht="21.95" customHeight="1" x14ac:dyDescent="0.15"/>
    <row r="51507" s="76" customFormat="1" ht="21.95" customHeight="1" x14ac:dyDescent="0.15"/>
    <row r="51508" s="76" customFormat="1" ht="21.95" customHeight="1" x14ac:dyDescent="0.15"/>
    <row r="51509" s="76" customFormat="1" ht="21.95" customHeight="1" x14ac:dyDescent="0.15"/>
    <row r="51510" s="76" customFormat="1" ht="21.95" customHeight="1" x14ac:dyDescent="0.15"/>
    <row r="51511" s="76" customFormat="1" ht="21.95" customHeight="1" x14ac:dyDescent="0.15"/>
    <row r="51512" s="76" customFormat="1" ht="21.95" customHeight="1" x14ac:dyDescent="0.15"/>
    <row r="51513" s="76" customFormat="1" ht="21.95" customHeight="1" x14ac:dyDescent="0.15"/>
    <row r="51514" s="76" customFormat="1" ht="21.95" customHeight="1" x14ac:dyDescent="0.15"/>
    <row r="51515" s="76" customFormat="1" ht="21.95" customHeight="1" x14ac:dyDescent="0.15"/>
    <row r="51516" s="76" customFormat="1" ht="21.95" customHeight="1" x14ac:dyDescent="0.15"/>
    <row r="51517" s="76" customFormat="1" ht="21.95" customHeight="1" x14ac:dyDescent="0.15"/>
    <row r="51518" s="76" customFormat="1" ht="21.95" customHeight="1" x14ac:dyDescent="0.15"/>
    <row r="51519" s="76" customFormat="1" ht="21.95" customHeight="1" x14ac:dyDescent="0.15"/>
    <row r="51520" s="76" customFormat="1" ht="21.95" customHeight="1" x14ac:dyDescent="0.15"/>
    <row r="51521" spans="3:3" customFormat="1" ht="21.95" customHeight="1" x14ac:dyDescent="0.15"/>
    <row r="51522" spans="3:3" customFormat="1" ht="21.95" customHeight="1" x14ac:dyDescent="0.15"/>
    <row r="51523" spans="3:3" customFormat="1" ht="21.95" customHeight="1" x14ac:dyDescent="0.15">
      <c r="C51523" s="94"/>
    </row>
    <row r="51524" spans="3:3" customFormat="1" ht="21.95" customHeight="1" x14ac:dyDescent="0.15">
      <c r="C51524" s="94"/>
    </row>
    <row r="51525" spans="3:3" customFormat="1" ht="21.95" customHeight="1" x14ac:dyDescent="0.15"/>
    <row r="51526" spans="3:3" customFormat="1" ht="21.95" customHeight="1" x14ac:dyDescent="0.15"/>
    <row r="51527" spans="3:3" customFormat="1" ht="21.95" customHeight="1" x14ac:dyDescent="0.15"/>
    <row r="51528" spans="3:3" customFormat="1" ht="21.95" customHeight="1" x14ac:dyDescent="0.15"/>
    <row r="51529" spans="3:3" customFormat="1" ht="21.95" customHeight="1" x14ac:dyDescent="0.15"/>
    <row r="51530" spans="3:3" customFormat="1" ht="21.95" customHeight="1" x14ac:dyDescent="0.15"/>
    <row r="51531" spans="3:3" customFormat="1" ht="21.95" customHeight="1" x14ac:dyDescent="0.15"/>
    <row r="51532" spans="3:3" s="76" customFormat="1" ht="21.95" customHeight="1" x14ac:dyDescent="0.15"/>
    <row r="51533" spans="3:3" s="76" customFormat="1" ht="21.95" customHeight="1" x14ac:dyDescent="0.15"/>
    <row r="51534" spans="3:3" s="76" customFormat="1" ht="21.95" customHeight="1" x14ac:dyDescent="0.15"/>
    <row r="51535" spans="3:3" s="76" customFormat="1" ht="21.95" customHeight="1" x14ac:dyDescent="0.15"/>
    <row r="51536" spans="3:3" customFormat="1" ht="21.95" customHeight="1" x14ac:dyDescent="0.15"/>
    <row r="51537" customFormat="1" ht="21.95" customHeight="1" x14ac:dyDescent="0.15"/>
    <row r="51538" customFormat="1" ht="21.95" customHeight="1" x14ac:dyDescent="0.15"/>
    <row r="51539" customFormat="1" ht="21.95" customHeight="1" x14ac:dyDescent="0.15"/>
    <row r="51540" customFormat="1" ht="21.95" customHeight="1" x14ac:dyDescent="0.15"/>
    <row r="51541" customFormat="1" ht="21.95" customHeight="1" x14ac:dyDescent="0.15"/>
    <row r="51542" customFormat="1" ht="21.95" customHeight="1" x14ac:dyDescent="0.15"/>
    <row r="51543" customFormat="1" ht="21.95" customHeight="1" x14ac:dyDescent="0.15"/>
    <row r="51544" customFormat="1" ht="21.95" customHeight="1" x14ac:dyDescent="0.15"/>
    <row r="51545" customFormat="1" ht="21.95" customHeight="1" x14ac:dyDescent="0.15"/>
    <row r="51546" customFormat="1" ht="21.95" customHeight="1" x14ac:dyDescent="0.15"/>
    <row r="51547" customFormat="1" ht="32.1" customHeight="1" x14ac:dyDescent="0.15"/>
    <row r="51548" customFormat="1" ht="32.1" customHeight="1" x14ac:dyDescent="0.15"/>
    <row r="51549" customFormat="1" ht="32.1" customHeight="1" x14ac:dyDescent="0.15"/>
    <row r="51550" customFormat="1" ht="32.1" customHeight="1" x14ac:dyDescent="0.15"/>
    <row r="51551" customFormat="1" ht="32.1" customHeight="1" x14ac:dyDescent="0.15"/>
    <row r="51552" customFormat="1" ht="32.1" customHeight="1" x14ac:dyDescent="0.15"/>
    <row r="51553" s="76" customFormat="1" ht="32.1" customHeight="1" x14ac:dyDescent="0.15"/>
    <row r="51554" s="76" customFormat="1" ht="32.1" customHeight="1" x14ac:dyDescent="0.15"/>
    <row r="51555" s="76" customFormat="1" ht="32.1" customHeight="1" x14ac:dyDescent="0.15"/>
    <row r="51556" s="76" customFormat="1" ht="32.1" customHeight="1" x14ac:dyDescent="0.15"/>
    <row r="51557" s="76" customFormat="1" ht="21.95" customHeight="1" x14ac:dyDescent="0.15"/>
    <row r="51558" s="76" customFormat="1" ht="54" customHeight="1" x14ac:dyDescent="0.15"/>
    <row r="51559" s="76" customFormat="1" ht="21.95" customHeight="1" x14ac:dyDescent="0.15"/>
    <row r="51560" s="76" customFormat="1" ht="21.95" customHeight="1" x14ac:dyDescent="0.15"/>
    <row r="51561" s="76" customFormat="1" ht="21.95" customHeight="1" x14ac:dyDescent="0.15"/>
    <row r="51562" s="76" customFormat="1" ht="21.95" customHeight="1" x14ac:dyDescent="0.15"/>
    <row r="51563" s="76" customFormat="1" ht="21.95" customHeight="1" x14ac:dyDescent="0.15"/>
    <row r="51564" s="76" customFormat="1" ht="21.95" customHeight="1" x14ac:dyDescent="0.15"/>
    <row r="51565" s="76" customFormat="1" ht="21.95" customHeight="1" x14ac:dyDescent="0.15"/>
    <row r="51566" s="76" customFormat="1" ht="21.95" customHeight="1" x14ac:dyDescent="0.15"/>
    <row r="51567" s="76" customFormat="1" ht="21.95" customHeight="1" x14ac:dyDescent="0.15"/>
    <row r="51568" s="76" customFormat="1" ht="21.95" customHeight="1" x14ac:dyDescent="0.15"/>
    <row r="51569" s="76" customFormat="1" ht="21.95" customHeight="1" x14ac:dyDescent="0.15"/>
    <row r="51570" s="76" customFormat="1" ht="21.95" customHeight="1" x14ac:dyDescent="0.15"/>
    <row r="51571" s="76" customFormat="1" ht="21.95" customHeight="1" x14ac:dyDescent="0.15"/>
    <row r="51572" s="76" customFormat="1" ht="21.95" customHeight="1" x14ac:dyDescent="0.15"/>
    <row r="51573" s="76" customFormat="1" ht="21.95" customHeight="1" x14ac:dyDescent="0.15"/>
    <row r="51574" s="76" customFormat="1" ht="21.95" customHeight="1" x14ac:dyDescent="0.15"/>
    <row r="51575" s="76" customFormat="1" ht="21.95" customHeight="1" x14ac:dyDescent="0.15"/>
    <row r="51576" s="76" customFormat="1" ht="21.95" customHeight="1" x14ac:dyDescent="0.15"/>
    <row r="51577" s="76" customFormat="1" ht="21.95" customHeight="1" x14ac:dyDescent="0.15"/>
    <row r="51578" s="76" customFormat="1" ht="21.95" customHeight="1" x14ac:dyDescent="0.15"/>
    <row r="51579" s="76" customFormat="1" ht="21.95" customHeight="1" x14ac:dyDescent="0.15"/>
    <row r="51580" s="76" customFormat="1" ht="21.95" customHeight="1" x14ac:dyDescent="0.15"/>
    <row r="51581" s="76" customFormat="1" ht="21.95" customHeight="1" x14ac:dyDescent="0.15"/>
    <row r="51582" s="76" customFormat="1" ht="21.95" customHeight="1" x14ac:dyDescent="0.15"/>
    <row r="51583" s="76" customFormat="1" ht="21.95" customHeight="1" x14ac:dyDescent="0.15"/>
    <row r="51584" s="76" customFormat="1" ht="21.95" customHeight="1" x14ac:dyDescent="0.15"/>
    <row r="51585" s="76" customFormat="1" ht="21.95" customHeight="1" x14ac:dyDescent="0.15"/>
    <row r="51586" s="76" customFormat="1" ht="21.95" customHeight="1" x14ac:dyDescent="0.15"/>
    <row r="51587" s="76" customFormat="1" ht="21.95" customHeight="1" x14ac:dyDescent="0.15"/>
    <row r="51588" s="76" customFormat="1" ht="21.95" customHeight="1" x14ac:dyDescent="0.15"/>
    <row r="51589" s="76" customFormat="1" ht="21.95" customHeight="1" x14ac:dyDescent="0.15"/>
    <row r="51590" s="76" customFormat="1" ht="21.95" customHeight="1" x14ac:dyDescent="0.15"/>
    <row r="51591" s="76" customFormat="1" ht="21.95" customHeight="1" x14ac:dyDescent="0.15"/>
    <row r="51592" s="76" customFormat="1" ht="21.95" customHeight="1" x14ac:dyDescent="0.15"/>
    <row r="51593" s="76" customFormat="1" ht="21.95" customHeight="1" x14ac:dyDescent="0.15"/>
    <row r="51594" s="76" customFormat="1" ht="21.95" customHeight="1" x14ac:dyDescent="0.15"/>
    <row r="51595" s="76" customFormat="1" ht="21.95" customHeight="1" x14ac:dyDescent="0.15"/>
    <row r="51596" s="76" customFormat="1" ht="21.95" customHeight="1" x14ac:dyDescent="0.15"/>
    <row r="51597" s="76" customFormat="1" ht="21.95" customHeight="1" x14ac:dyDescent="0.15"/>
    <row r="51598" s="76" customFormat="1" ht="21.95" customHeight="1" x14ac:dyDescent="0.15"/>
    <row r="51599" s="76" customFormat="1" ht="21.95" customHeight="1" x14ac:dyDescent="0.15"/>
    <row r="51600" s="76" customFormat="1" ht="21.95" customHeight="1" x14ac:dyDescent="0.15"/>
    <row r="51601" s="76" customFormat="1" ht="21.95" customHeight="1" x14ac:dyDescent="0.15"/>
    <row r="51602" s="76" customFormat="1" ht="21.95" customHeight="1" x14ac:dyDescent="0.15"/>
    <row r="51603" s="76" customFormat="1" ht="21.95" customHeight="1" x14ac:dyDescent="0.15"/>
    <row r="51604" s="76" customFormat="1" ht="21.95" customHeight="1" x14ac:dyDescent="0.15"/>
    <row r="51605" s="76" customFormat="1" ht="21.95" customHeight="1" x14ac:dyDescent="0.15"/>
    <row r="51606" s="76" customFormat="1" ht="21.95" customHeight="1" x14ac:dyDescent="0.15"/>
    <row r="51607" s="76" customFormat="1" ht="21.95" customHeight="1" x14ac:dyDescent="0.15"/>
    <row r="51608" s="76" customFormat="1" ht="21.95" customHeight="1" x14ac:dyDescent="0.15"/>
    <row r="51609" s="76" customFormat="1" ht="35.1" customHeight="1" x14ac:dyDescent="0.15"/>
    <row r="51610" s="76" customFormat="1" ht="21.95" customHeight="1" x14ac:dyDescent="0.15"/>
    <row r="51611" s="76" customFormat="1" ht="21.95" customHeight="1" x14ac:dyDescent="0.15"/>
    <row r="51612" s="76" customFormat="1" ht="21.95" customHeight="1" x14ac:dyDescent="0.15"/>
    <row r="51613" s="76" customFormat="1" ht="21.95" customHeight="1" x14ac:dyDescent="0.15"/>
    <row r="51614" s="76" customFormat="1" ht="21.95" customHeight="1" x14ac:dyDescent="0.15"/>
    <row r="51615" s="76" customFormat="1" ht="21.95" customHeight="1" x14ac:dyDescent="0.15"/>
    <row r="51616" s="76" customFormat="1" ht="21.95" customHeight="1" x14ac:dyDescent="0.15"/>
    <row r="51617" s="76" customFormat="1" ht="21.95" customHeight="1" x14ac:dyDescent="0.15"/>
    <row r="51618" s="76" customFormat="1" ht="21.95" customHeight="1" x14ac:dyDescent="0.15"/>
    <row r="51619" s="76" customFormat="1" ht="21.95" customHeight="1" x14ac:dyDescent="0.15"/>
    <row r="51620" s="76" customFormat="1" ht="21.95" customHeight="1" x14ac:dyDescent="0.15"/>
    <row r="51621" s="76" customFormat="1" ht="21.95" customHeight="1" x14ac:dyDescent="0.15"/>
    <row r="51622" s="76" customFormat="1" ht="21.95" customHeight="1" x14ac:dyDescent="0.15"/>
    <row r="51623" s="76" customFormat="1" ht="21.95" customHeight="1" x14ac:dyDescent="0.15"/>
    <row r="51624" s="76" customFormat="1" ht="21.95" customHeight="1" x14ac:dyDescent="0.15"/>
    <row r="51625" s="76" customFormat="1" ht="21.95" customHeight="1" x14ac:dyDescent="0.15"/>
    <row r="51626" s="76" customFormat="1" ht="21.95" customHeight="1" x14ac:dyDescent="0.15"/>
    <row r="51627" s="76" customFormat="1" ht="21.95" customHeight="1" x14ac:dyDescent="0.15"/>
    <row r="51628" s="76" customFormat="1" ht="21.95" customHeight="1" x14ac:dyDescent="0.15"/>
    <row r="51629" s="76" customFormat="1" ht="21.95" customHeight="1" x14ac:dyDescent="0.15"/>
    <row r="51630" s="76" customFormat="1" ht="21.95" customHeight="1" x14ac:dyDescent="0.15"/>
    <row r="51631" s="76" customFormat="1" ht="21.95" customHeight="1" x14ac:dyDescent="0.15"/>
    <row r="51632" s="76" customFormat="1" ht="21.95" customHeight="1" x14ac:dyDescent="0.15"/>
    <row r="51633" spans="3:3" customFormat="1" ht="21.95" customHeight="1" x14ac:dyDescent="0.15"/>
    <row r="51634" spans="3:3" customFormat="1" ht="21.95" customHeight="1" x14ac:dyDescent="0.15"/>
    <row r="51635" spans="3:3" customFormat="1" ht="21.95" customHeight="1" x14ac:dyDescent="0.15">
      <c r="C51635" s="94"/>
    </row>
    <row r="51636" spans="3:3" customFormat="1" ht="21.95" customHeight="1" x14ac:dyDescent="0.15">
      <c r="C51636" s="94"/>
    </row>
    <row r="51637" spans="3:3" customFormat="1" ht="21.95" customHeight="1" x14ac:dyDescent="0.15"/>
    <row r="51638" spans="3:3" customFormat="1" ht="21.95" customHeight="1" x14ac:dyDescent="0.15"/>
    <row r="51639" spans="3:3" customFormat="1" ht="21.95" customHeight="1" x14ac:dyDescent="0.15"/>
    <row r="51640" spans="3:3" customFormat="1" ht="21.95" customHeight="1" x14ac:dyDescent="0.15"/>
    <row r="51641" spans="3:3" customFormat="1" ht="21.95" customHeight="1" x14ac:dyDescent="0.15"/>
    <row r="51642" spans="3:3" customFormat="1" ht="21.95" customHeight="1" x14ac:dyDescent="0.15"/>
    <row r="51643" spans="3:3" customFormat="1" ht="21.95" customHeight="1" x14ac:dyDescent="0.15"/>
    <row r="51644" spans="3:3" s="76" customFormat="1" ht="21.95" customHeight="1" x14ac:dyDescent="0.15"/>
    <row r="51645" spans="3:3" s="76" customFormat="1" ht="21.95" customHeight="1" x14ac:dyDescent="0.15"/>
    <row r="51646" spans="3:3" s="76" customFormat="1" ht="21.95" customHeight="1" x14ac:dyDescent="0.15"/>
    <row r="51647" spans="3:3" s="76" customFormat="1" ht="21.95" customHeight="1" x14ac:dyDescent="0.15"/>
    <row r="51648" spans="3:3" customFormat="1" ht="21.95" customHeight="1" x14ac:dyDescent="0.15"/>
    <row r="51649" customFormat="1" ht="21.95" customHeight="1" x14ac:dyDescent="0.15"/>
    <row r="51650" customFormat="1" ht="21.95" customHeight="1" x14ac:dyDescent="0.15"/>
    <row r="51651" customFormat="1" ht="21.95" customHeight="1" x14ac:dyDescent="0.15"/>
    <row r="51652" customFormat="1" ht="21.95" customHeight="1" x14ac:dyDescent="0.15"/>
    <row r="51653" customFormat="1" ht="21.95" customHeight="1" x14ac:dyDescent="0.15"/>
    <row r="51654" customFormat="1" ht="21.95" customHeight="1" x14ac:dyDescent="0.15"/>
    <row r="51655" customFormat="1" ht="21.95" customHeight="1" x14ac:dyDescent="0.15"/>
    <row r="51656" customFormat="1" ht="21.95" customHeight="1" x14ac:dyDescent="0.15"/>
    <row r="51657" customFormat="1" ht="21.95" customHeight="1" x14ac:dyDescent="0.15"/>
    <row r="51658" customFormat="1" ht="21.95" customHeight="1" x14ac:dyDescent="0.15"/>
    <row r="51659" customFormat="1" ht="32.1" customHeight="1" x14ac:dyDescent="0.15"/>
    <row r="51660" customFormat="1" ht="32.1" customHeight="1" x14ac:dyDescent="0.15"/>
    <row r="51661" customFormat="1" ht="32.1" customHeight="1" x14ac:dyDescent="0.15"/>
    <row r="51662" customFormat="1" ht="32.1" customHeight="1" x14ac:dyDescent="0.15"/>
    <row r="51663" customFormat="1" ht="32.1" customHeight="1" x14ac:dyDescent="0.15"/>
    <row r="51664" customFormat="1" ht="32.1" customHeight="1" x14ac:dyDescent="0.15"/>
    <row r="51665" s="76" customFormat="1" ht="32.1" customHeight="1" x14ac:dyDescent="0.15"/>
    <row r="51666" s="76" customFormat="1" ht="32.1" customHeight="1" x14ac:dyDescent="0.15"/>
    <row r="51667" s="76" customFormat="1" ht="32.1" customHeight="1" x14ac:dyDescent="0.15"/>
    <row r="51668" s="76" customFormat="1" ht="32.1" customHeight="1" x14ac:dyDescent="0.15"/>
    <row r="51669" s="76" customFormat="1" ht="21.95" customHeight="1" x14ac:dyDescent="0.15"/>
    <row r="51670" s="76" customFormat="1" ht="54" customHeight="1" x14ac:dyDescent="0.15"/>
    <row r="51671" s="76" customFormat="1" ht="21.95" customHeight="1" x14ac:dyDescent="0.15"/>
    <row r="51672" s="76" customFormat="1" ht="21.95" customHeight="1" x14ac:dyDescent="0.15"/>
    <row r="51673" s="76" customFormat="1" ht="21.95" customHeight="1" x14ac:dyDescent="0.15"/>
    <row r="51674" s="76" customFormat="1" ht="21.95" customHeight="1" x14ac:dyDescent="0.15"/>
    <row r="51675" s="76" customFormat="1" ht="21.95" customHeight="1" x14ac:dyDescent="0.15"/>
    <row r="51676" s="76" customFormat="1" ht="21.95" customHeight="1" x14ac:dyDescent="0.15"/>
    <row r="51677" s="76" customFormat="1" ht="21.95" customHeight="1" x14ac:dyDescent="0.15"/>
    <row r="51678" s="76" customFormat="1" ht="21.95" customHeight="1" x14ac:dyDescent="0.15"/>
    <row r="51679" s="76" customFormat="1" ht="21.95" customHeight="1" x14ac:dyDescent="0.15"/>
    <row r="51680" s="76" customFormat="1" ht="21.95" customHeight="1" x14ac:dyDescent="0.15"/>
    <row r="51681" s="76" customFormat="1" ht="21.95" customHeight="1" x14ac:dyDescent="0.15"/>
    <row r="51682" s="76" customFormat="1" ht="21.95" customHeight="1" x14ac:dyDescent="0.15"/>
    <row r="51683" s="76" customFormat="1" ht="21.95" customHeight="1" x14ac:dyDescent="0.15"/>
    <row r="51684" s="76" customFormat="1" ht="21.95" customHeight="1" x14ac:dyDescent="0.15"/>
    <row r="51685" s="76" customFormat="1" ht="21.95" customHeight="1" x14ac:dyDescent="0.15"/>
    <row r="51686" s="76" customFormat="1" ht="21.95" customHeight="1" x14ac:dyDescent="0.15"/>
    <row r="51687" s="76" customFormat="1" ht="21.95" customHeight="1" x14ac:dyDescent="0.15"/>
    <row r="51688" s="76" customFormat="1" ht="21.95" customHeight="1" x14ac:dyDescent="0.15"/>
    <row r="51689" s="76" customFormat="1" ht="21.95" customHeight="1" x14ac:dyDescent="0.15"/>
    <row r="51690" s="76" customFormat="1" ht="21.95" customHeight="1" x14ac:dyDescent="0.15"/>
    <row r="51691" s="76" customFormat="1" ht="21.95" customHeight="1" x14ac:dyDescent="0.15"/>
    <row r="51692" s="76" customFormat="1" ht="21.95" customHeight="1" x14ac:dyDescent="0.15"/>
    <row r="51693" s="76" customFormat="1" ht="21.95" customHeight="1" x14ac:dyDescent="0.15"/>
    <row r="51694" s="76" customFormat="1" ht="21.95" customHeight="1" x14ac:dyDescent="0.15"/>
    <row r="51695" s="76" customFormat="1" ht="21.95" customHeight="1" x14ac:dyDescent="0.15"/>
    <row r="51696" s="76" customFormat="1" ht="21.95" customHeight="1" x14ac:dyDescent="0.15"/>
    <row r="51697" s="76" customFormat="1" ht="21.95" customHeight="1" x14ac:dyDescent="0.15"/>
    <row r="51698" s="76" customFormat="1" ht="21.95" customHeight="1" x14ac:dyDescent="0.15"/>
    <row r="51699" s="76" customFormat="1" ht="21.95" customHeight="1" x14ac:dyDescent="0.15"/>
    <row r="51700" s="76" customFormat="1" ht="21.95" customHeight="1" x14ac:dyDescent="0.15"/>
    <row r="51701" s="76" customFormat="1" ht="21.95" customHeight="1" x14ac:dyDescent="0.15"/>
    <row r="51702" s="76" customFormat="1" ht="21.95" customHeight="1" x14ac:dyDescent="0.15"/>
    <row r="51703" s="76" customFormat="1" ht="21.95" customHeight="1" x14ac:dyDescent="0.15"/>
    <row r="51704" s="76" customFormat="1" ht="21.95" customHeight="1" x14ac:dyDescent="0.15"/>
    <row r="51705" s="76" customFormat="1" ht="21.95" customHeight="1" x14ac:dyDescent="0.15"/>
    <row r="51706" s="76" customFormat="1" ht="21.95" customHeight="1" x14ac:dyDescent="0.15"/>
    <row r="51707" s="76" customFormat="1" ht="21.95" customHeight="1" x14ac:dyDescent="0.15"/>
    <row r="51708" s="76" customFormat="1" ht="21.95" customHeight="1" x14ac:dyDescent="0.15"/>
    <row r="51709" s="76" customFormat="1" ht="21.95" customHeight="1" x14ac:dyDescent="0.15"/>
    <row r="51710" s="76" customFormat="1" ht="21.95" customHeight="1" x14ac:dyDescent="0.15"/>
    <row r="51711" s="76" customFormat="1" ht="21.95" customHeight="1" x14ac:dyDescent="0.15"/>
    <row r="51712" s="76" customFormat="1" ht="21.95" customHeight="1" x14ac:dyDescent="0.15"/>
    <row r="51713" s="76" customFormat="1" ht="21.95" customHeight="1" x14ac:dyDescent="0.15"/>
    <row r="51714" s="76" customFormat="1" ht="21.95" customHeight="1" x14ac:dyDescent="0.15"/>
    <row r="51715" s="76" customFormat="1" ht="21.95" customHeight="1" x14ac:dyDescent="0.15"/>
    <row r="51716" s="76" customFormat="1" ht="21.95" customHeight="1" x14ac:dyDescent="0.15"/>
    <row r="51717" s="76" customFormat="1" ht="21.95" customHeight="1" x14ac:dyDescent="0.15"/>
    <row r="51718" s="76" customFormat="1" ht="21.95" customHeight="1" x14ac:dyDescent="0.15"/>
    <row r="51719" s="76" customFormat="1" ht="21.95" customHeight="1" x14ac:dyDescent="0.15"/>
    <row r="51720" s="76" customFormat="1" ht="21.95" customHeight="1" x14ac:dyDescent="0.15"/>
    <row r="51721" s="76" customFormat="1" ht="35.1" customHeight="1" x14ac:dyDescent="0.15"/>
    <row r="51722" s="76" customFormat="1" ht="21.95" customHeight="1" x14ac:dyDescent="0.15"/>
    <row r="51723" s="76" customFormat="1" ht="21.95" customHeight="1" x14ac:dyDescent="0.15"/>
    <row r="51724" s="76" customFormat="1" ht="21.95" customHeight="1" x14ac:dyDescent="0.15"/>
    <row r="51725" s="76" customFormat="1" ht="21.95" customHeight="1" x14ac:dyDescent="0.15"/>
    <row r="51726" s="76" customFormat="1" ht="21.95" customHeight="1" x14ac:dyDescent="0.15"/>
    <row r="51727" s="76" customFormat="1" ht="21.95" customHeight="1" x14ac:dyDescent="0.15"/>
    <row r="51728" s="76" customFormat="1" ht="21.95" customHeight="1" x14ac:dyDescent="0.15"/>
    <row r="51729" s="76" customFormat="1" ht="21.95" customHeight="1" x14ac:dyDescent="0.15"/>
    <row r="51730" s="76" customFormat="1" ht="21.95" customHeight="1" x14ac:dyDescent="0.15"/>
    <row r="51731" s="76" customFormat="1" ht="21.95" customHeight="1" x14ac:dyDescent="0.15"/>
    <row r="51732" s="76" customFormat="1" ht="21.95" customHeight="1" x14ac:dyDescent="0.15"/>
    <row r="51733" s="76" customFormat="1" ht="21.95" customHeight="1" x14ac:dyDescent="0.15"/>
    <row r="51734" s="76" customFormat="1" ht="21.95" customHeight="1" x14ac:dyDescent="0.15"/>
    <row r="51735" s="76" customFormat="1" ht="21.95" customHeight="1" x14ac:dyDescent="0.15"/>
    <row r="51736" s="76" customFormat="1" ht="21.95" customHeight="1" x14ac:dyDescent="0.15"/>
    <row r="51737" s="76" customFormat="1" ht="21.95" customHeight="1" x14ac:dyDescent="0.15"/>
    <row r="51738" s="76" customFormat="1" ht="21.95" customHeight="1" x14ac:dyDescent="0.15"/>
    <row r="51739" s="76" customFormat="1" ht="21.95" customHeight="1" x14ac:dyDescent="0.15"/>
    <row r="51740" s="76" customFormat="1" ht="21.95" customHeight="1" x14ac:dyDescent="0.15"/>
    <row r="51741" s="76" customFormat="1" ht="21.95" customHeight="1" x14ac:dyDescent="0.15"/>
    <row r="51742" s="76" customFormat="1" ht="21.95" customHeight="1" x14ac:dyDescent="0.15"/>
    <row r="51743" s="76" customFormat="1" ht="21.95" customHeight="1" x14ac:dyDescent="0.15"/>
    <row r="51744" s="76" customFormat="1" ht="21.95" customHeight="1" x14ac:dyDescent="0.15"/>
    <row r="51745" spans="3:3" customFormat="1" ht="21.95" customHeight="1" x14ac:dyDescent="0.15"/>
    <row r="51746" spans="3:3" customFormat="1" ht="21.95" customHeight="1" x14ac:dyDescent="0.15"/>
    <row r="51747" spans="3:3" customFormat="1" ht="21.95" customHeight="1" x14ac:dyDescent="0.15">
      <c r="C51747" s="94"/>
    </row>
    <row r="51748" spans="3:3" customFormat="1" ht="21.95" customHeight="1" x14ac:dyDescent="0.15">
      <c r="C51748" s="94"/>
    </row>
    <row r="51749" spans="3:3" customFormat="1" ht="21.95" customHeight="1" x14ac:dyDescent="0.15"/>
    <row r="51750" spans="3:3" customFormat="1" ht="21.95" customHeight="1" x14ac:dyDescent="0.15"/>
    <row r="51751" spans="3:3" customFormat="1" ht="21.95" customHeight="1" x14ac:dyDescent="0.15"/>
    <row r="51752" spans="3:3" customFormat="1" ht="21.95" customHeight="1" x14ac:dyDescent="0.15"/>
    <row r="51753" spans="3:3" customFormat="1" ht="21.95" customHeight="1" x14ac:dyDescent="0.15"/>
    <row r="51754" spans="3:3" customFormat="1" ht="21.95" customHeight="1" x14ac:dyDescent="0.15"/>
    <row r="51755" spans="3:3" customFormat="1" ht="21.95" customHeight="1" x14ac:dyDescent="0.15"/>
    <row r="51756" spans="3:3" s="76" customFormat="1" ht="21.95" customHeight="1" x14ac:dyDescent="0.15"/>
    <row r="51757" spans="3:3" s="76" customFormat="1" ht="21.95" customHeight="1" x14ac:dyDescent="0.15"/>
    <row r="51758" spans="3:3" s="76" customFormat="1" ht="21.95" customHeight="1" x14ac:dyDescent="0.15"/>
    <row r="51759" spans="3:3" s="76" customFormat="1" ht="21.95" customHeight="1" x14ac:dyDescent="0.15"/>
    <row r="51760" spans="3:3" customFormat="1" ht="21.95" customHeight="1" x14ac:dyDescent="0.15"/>
    <row r="51761" customFormat="1" ht="21.95" customHeight="1" x14ac:dyDescent="0.15"/>
    <row r="51762" customFormat="1" ht="21.95" customHeight="1" x14ac:dyDescent="0.15"/>
    <row r="51763" customFormat="1" ht="21.95" customHeight="1" x14ac:dyDescent="0.15"/>
    <row r="51764" customFormat="1" ht="21.95" customHeight="1" x14ac:dyDescent="0.15"/>
    <row r="51765" customFormat="1" ht="21.95" customHeight="1" x14ac:dyDescent="0.15"/>
    <row r="51766" customFormat="1" ht="21.95" customHeight="1" x14ac:dyDescent="0.15"/>
    <row r="51767" customFormat="1" ht="21.95" customHeight="1" x14ac:dyDescent="0.15"/>
    <row r="51768" customFormat="1" ht="21.95" customHeight="1" x14ac:dyDescent="0.15"/>
    <row r="51769" customFormat="1" ht="21.95" customHeight="1" x14ac:dyDescent="0.15"/>
    <row r="51770" customFormat="1" ht="21.95" customHeight="1" x14ac:dyDescent="0.15"/>
    <row r="51771" customFormat="1" ht="32.1" customHeight="1" x14ac:dyDescent="0.15"/>
    <row r="51772" customFormat="1" ht="32.1" customHeight="1" x14ac:dyDescent="0.15"/>
    <row r="51773" customFormat="1" ht="32.1" customHeight="1" x14ac:dyDescent="0.15"/>
    <row r="51774" customFormat="1" ht="32.1" customHeight="1" x14ac:dyDescent="0.15"/>
    <row r="51775" customFormat="1" ht="32.1" customHeight="1" x14ac:dyDescent="0.15"/>
    <row r="51776" customFormat="1" ht="32.1" customHeight="1" x14ac:dyDescent="0.15"/>
    <row r="51777" s="76" customFormat="1" ht="32.1" customHeight="1" x14ac:dyDescent="0.15"/>
    <row r="51778" s="76" customFormat="1" ht="32.1" customHeight="1" x14ac:dyDescent="0.15"/>
    <row r="51779" s="76" customFormat="1" ht="32.1" customHeight="1" x14ac:dyDescent="0.15"/>
    <row r="51780" s="76" customFormat="1" ht="32.1" customHeight="1" x14ac:dyDescent="0.15"/>
    <row r="51781" s="76" customFormat="1" ht="21.95" customHeight="1" x14ac:dyDescent="0.15"/>
    <row r="51782" s="76" customFormat="1" ht="54" customHeight="1" x14ac:dyDescent="0.15"/>
    <row r="51783" s="76" customFormat="1" ht="21.95" customHeight="1" x14ac:dyDescent="0.15"/>
    <row r="51784" s="76" customFormat="1" ht="21.95" customHeight="1" x14ac:dyDescent="0.15"/>
    <row r="51785" s="76" customFormat="1" ht="21.95" customHeight="1" x14ac:dyDescent="0.15"/>
    <row r="51786" s="76" customFormat="1" ht="21.95" customHeight="1" x14ac:dyDescent="0.15"/>
    <row r="51787" s="76" customFormat="1" ht="21.95" customHeight="1" x14ac:dyDescent="0.15"/>
    <row r="51788" s="76" customFormat="1" ht="21.95" customHeight="1" x14ac:dyDescent="0.15"/>
    <row r="51789" s="76" customFormat="1" ht="21.95" customHeight="1" x14ac:dyDescent="0.15"/>
    <row r="51790" s="76" customFormat="1" ht="21.95" customHeight="1" x14ac:dyDescent="0.15"/>
    <row r="51791" s="76" customFormat="1" ht="21.95" customHeight="1" x14ac:dyDescent="0.15"/>
    <row r="51792" s="76" customFormat="1" ht="21.95" customHeight="1" x14ac:dyDescent="0.15"/>
    <row r="51793" s="76" customFormat="1" ht="21.95" customHeight="1" x14ac:dyDescent="0.15"/>
    <row r="51794" s="76" customFormat="1" ht="21.95" customHeight="1" x14ac:dyDescent="0.15"/>
    <row r="51795" s="76" customFormat="1" ht="21.95" customHeight="1" x14ac:dyDescent="0.15"/>
    <row r="51796" s="76" customFormat="1" ht="21.95" customHeight="1" x14ac:dyDescent="0.15"/>
    <row r="51797" s="76" customFormat="1" ht="21.95" customHeight="1" x14ac:dyDescent="0.15"/>
    <row r="51798" s="76" customFormat="1" ht="21.95" customHeight="1" x14ac:dyDescent="0.15"/>
    <row r="51799" s="76" customFormat="1" ht="21.95" customHeight="1" x14ac:dyDescent="0.15"/>
    <row r="51800" s="76" customFormat="1" ht="21.95" customHeight="1" x14ac:dyDescent="0.15"/>
    <row r="51801" s="76" customFormat="1" ht="21.95" customHeight="1" x14ac:dyDescent="0.15"/>
    <row r="51802" s="76" customFormat="1" ht="21.95" customHeight="1" x14ac:dyDescent="0.15"/>
    <row r="51803" s="76" customFormat="1" ht="21.95" customHeight="1" x14ac:dyDescent="0.15"/>
    <row r="51804" s="76" customFormat="1" ht="21.95" customHeight="1" x14ac:dyDescent="0.15"/>
    <row r="51805" s="76" customFormat="1" ht="21.95" customHeight="1" x14ac:dyDescent="0.15"/>
    <row r="51806" s="76" customFormat="1" ht="21.95" customHeight="1" x14ac:dyDescent="0.15"/>
    <row r="51807" s="76" customFormat="1" ht="21.95" customHeight="1" x14ac:dyDescent="0.15"/>
    <row r="51808" s="76" customFormat="1" ht="21.95" customHeight="1" x14ac:dyDescent="0.15"/>
    <row r="51809" s="76" customFormat="1" ht="21.95" customHeight="1" x14ac:dyDescent="0.15"/>
    <row r="51810" s="76" customFormat="1" ht="21.95" customHeight="1" x14ac:dyDescent="0.15"/>
    <row r="51811" s="76" customFormat="1" ht="21.95" customHeight="1" x14ac:dyDescent="0.15"/>
    <row r="51812" s="76" customFormat="1" ht="21.95" customHeight="1" x14ac:dyDescent="0.15"/>
    <row r="51813" s="76" customFormat="1" ht="21.95" customHeight="1" x14ac:dyDescent="0.15"/>
    <row r="51814" s="76" customFormat="1" ht="21.95" customHeight="1" x14ac:dyDescent="0.15"/>
    <row r="51815" s="76" customFormat="1" ht="21.95" customHeight="1" x14ac:dyDescent="0.15"/>
    <row r="51816" s="76" customFormat="1" ht="21.95" customHeight="1" x14ac:dyDescent="0.15"/>
    <row r="51817" s="76" customFormat="1" ht="21.95" customHeight="1" x14ac:dyDescent="0.15"/>
    <row r="51818" s="76" customFormat="1" ht="21.95" customHeight="1" x14ac:dyDescent="0.15"/>
    <row r="51819" s="76" customFormat="1" ht="21.95" customHeight="1" x14ac:dyDescent="0.15"/>
    <row r="51820" s="76" customFormat="1" ht="21.95" customHeight="1" x14ac:dyDescent="0.15"/>
    <row r="51821" s="76" customFormat="1" ht="21.95" customHeight="1" x14ac:dyDescent="0.15"/>
    <row r="51822" s="76" customFormat="1" ht="21.95" customHeight="1" x14ac:dyDescent="0.15"/>
    <row r="51823" s="76" customFormat="1" ht="21.95" customHeight="1" x14ac:dyDescent="0.15"/>
    <row r="51824" s="76" customFormat="1" ht="21.95" customHeight="1" x14ac:dyDescent="0.15"/>
    <row r="51825" s="76" customFormat="1" ht="21.95" customHeight="1" x14ac:dyDescent="0.15"/>
    <row r="51826" s="76" customFormat="1" ht="21.95" customHeight="1" x14ac:dyDescent="0.15"/>
    <row r="51827" s="76" customFormat="1" ht="21.95" customHeight="1" x14ac:dyDescent="0.15"/>
    <row r="51828" s="76" customFormat="1" ht="21.95" customHeight="1" x14ac:dyDescent="0.15"/>
    <row r="51829" s="76" customFormat="1" ht="21.95" customHeight="1" x14ac:dyDescent="0.15"/>
    <row r="51830" s="76" customFormat="1" ht="21.95" customHeight="1" x14ac:dyDescent="0.15"/>
    <row r="51831" s="76" customFormat="1" ht="21.95" customHeight="1" x14ac:dyDescent="0.15"/>
    <row r="51832" s="76" customFormat="1" ht="21.95" customHeight="1" x14ac:dyDescent="0.15"/>
    <row r="51833" s="76" customFormat="1" ht="35.1" customHeight="1" x14ac:dyDescent="0.15"/>
    <row r="51834" s="76" customFormat="1" ht="21.95" customHeight="1" x14ac:dyDescent="0.15"/>
    <row r="51835" s="76" customFormat="1" ht="21.95" customHeight="1" x14ac:dyDescent="0.15"/>
    <row r="51836" s="76" customFormat="1" ht="21.95" customHeight="1" x14ac:dyDescent="0.15"/>
    <row r="51837" s="76" customFormat="1" ht="21.95" customHeight="1" x14ac:dyDescent="0.15"/>
    <row r="51838" s="76" customFormat="1" ht="21.95" customHeight="1" x14ac:dyDescent="0.15"/>
    <row r="51839" s="76" customFormat="1" ht="21.95" customHeight="1" x14ac:dyDescent="0.15"/>
    <row r="51840" s="76" customFormat="1" ht="21.95" customHeight="1" x14ac:dyDescent="0.15"/>
    <row r="51841" s="76" customFormat="1" ht="21.95" customHeight="1" x14ac:dyDescent="0.15"/>
    <row r="51842" s="76" customFormat="1" ht="21.95" customHeight="1" x14ac:dyDescent="0.15"/>
    <row r="51843" s="76" customFormat="1" ht="21.95" customHeight="1" x14ac:dyDescent="0.15"/>
    <row r="51844" s="76" customFormat="1" ht="21.95" customHeight="1" x14ac:dyDescent="0.15"/>
    <row r="51845" s="76" customFormat="1" ht="21.95" customHeight="1" x14ac:dyDescent="0.15"/>
    <row r="51846" s="76" customFormat="1" ht="21.95" customHeight="1" x14ac:dyDescent="0.15"/>
    <row r="51847" s="76" customFormat="1" ht="21.95" customHeight="1" x14ac:dyDescent="0.15"/>
    <row r="51848" s="76" customFormat="1" ht="21.95" customHeight="1" x14ac:dyDescent="0.15"/>
    <row r="51849" s="76" customFormat="1" ht="21.95" customHeight="1" x14ac:dyDescent="0.15"/>
    <row r="51850" s="76" customFormat="1" ht="21.95" customHeight="1" x14ac:dyDescent="0.15"/>
    <row r="51851" s="76" customFormat="1" ht="21.95" customHeight="1" x14ac:dyDescent="0.15"/>
    <row r="51852" s="76" customFormat="1" ht="21.95" customHeight="1" x14ac:dyDescent="0.15"/>
    <row r="51853" s="76" customFormat="1" ht="21.95" customHeight="1" x14ac:dyDescent="0.15"/>
    <row r="51854" s="76" customFormat="1" ht="21.95" customHeight="1" x14ac:dyDescent="0.15"/>
    <row r="51855" s="76" customFormat="1" ht="21.95" customHeight="1" x14ac:dyDescent="0.15"/>
    <row r="51856" s="76" customFormat="1" ht="21.95" customHeight="1" x14ac:dyDescent="0.15"/>
    <row r="51857" spans="3:3" customFormat="1" ht="21.95" customHeight="1" x14ac:dyDescent="0.15"/>
    <row r="51858" spans="3:3" customFormat="1" ht="21.95" customHeight="1" x14ac:dyDescent="0.15"/>
    <row r="51859" spans="3:3" customFormat="1" ht="21.95" customHeight="1" x14ac:dyDescent="0.15">
      <c r="C51859" s="94"/>
    </row>
    <row r="51860" spans="3:3" customFormat="1" ht="21.95" customHeight="1" x14ac:dyDescent="0.15">
      <c r="C51860" s="94"/>
    </row>
    <row r="51861" spans="3:3" customFormat="1" ht="21.95" customHeight="1" x14ac:dyDescent="0.15"/>
    <row r="51862" spans="3:3" customFormat="1" ht="21.95" customHeight="1" x14ac:dyDescent="0.15"/>
    <row r="51863" spans="3:3" customFormat="1" ht="21.95" customHeight="1" x14ac:dyDescent="0.15"/>
    <row r="51864" spans="3:3" customFormat="1" ht="21.95" customHeight="1" x14ac:dyDescent="0.15"/>
    <row r="51865" spans="3:3" customFormat="1" ht="21.95" customHeight="1" x14ac:dyDescent="0.15"/>
    <row r="51866" spans="3:3" customFormat="1" ht="21.95" customHeight="1" x14ac:dyDescent="0.15"/>
    <row r="51867" spans="3:3" customFormat="1" ht="21.95" customHeight="1" x14ac:dyDescent="0.15"/>
    <row r="51868" spans="3:3" s="76" customFormat="1" ht="21.95" customHeight="1" x14ac:dyDescent="0.15"/>
    <row r="51869" spans="3:3" s="76" customFormat="1" ht="21.95" customHeight="1" x14ac:dyDescent="0.15"/>
    <row r="51870" spans="3:3" s="76" customFormat="1" ht="21.95" customHeight="1" x14ac:dyDescent="0.15"/>
    <row r="51871" spans="3:3" s="76" customFormat="1" ht="21.95" customHeight="1" x14ac:dyDescent="0.15"/>
    <row r="51872" spans="3:3" customFormat="1" ht="21.95" customHeight="1" x14ac:dyDescent="0.15"/>
    <row r="51873" customFormat="1" ht="21.95" customHeight="1" x14ac:dyDescent="0.15"/>
    <row r="51874" customFormat="1" ht="21.95" customHeight="1" x14ac:dyDescent="0.15"/>
    <row r="51875" customFormat="1" ht="21.95" customHeight="1" x14ac:dyDescent="0.15"/>
    <row r="51876" customFormat="1" ht="21.95" customHeight="1" x14ac:dyDescent="0.15"/>
    <row r="51877" customFormat="1" ht="21.95" customHeight="1" x14ac:dyDescent="0.15"/>
    <row r="51878" customFormat="1" ht="21.95" customHeight="1" x14ac:dyDescent="0.15"/>
    <row r="51879" customFormat="1" ht="21.95" customHeight="1" x14ac:dyDescent="0.15"/>
    <row r="51880" customFormat="1" ht="21.95" customHeight="1" x14ac:dyDescent="0.15"/>
    <row r="51881" customFormat="1" ht="21.95" customHeight="1" x14ac:dyDescent="0.15"/>
    <row r="51882" customFormat="1" ht="21.95" customHeight="1" x14ac:dyDescent="0.15"/>
    <row r="51883" customFormat="1" ht="32.1" customHeight="1" x14ac:dyDescent="0.15"/>
    <row r="51884" customFormat="1" ht="32.1" customHeight="1" x14ac:dyDescent="0.15"/>
    <row r="51885" customFormat="1" ht="32.1" customHeight="1" x14ac:dyDescent="0.15"/>
    <row r="51886" customFormat="1" ht="32.1" customHeight="1" x14ac:dyDescent="0.15"/>
    <row r="51887" customFormat="1" ht="32.1" customHeight="1" x14ac:dyDescent="0.15"/>
    <row r="51888" customFormat="1" ht="32.1" customHeight="1" x14ac:dyDescent="0.15"/>
    <row r="51889" s="76" customFormat="1" ht="32.1" customHeight="1" x14ac:dyDescent="0.15"/>
    <row r="51890" s="76" customFormat="1" ht="32.1" customHeight="1" x14ac:dyDescent="0.15"/>
    <row r="51891" s="76" customFormat="1" ht="32.1" customHeight="1" x14ac:dyDescent="0.15"/>
    <row r="51892" s="76" customFormat="1" ht="32.1" customHeight="1" x14ac:dyDescent="0.15"/>
    <row r="51893" s="76" customFormat="1" ht="21.95" customHeight="1" x14ac:dyDescent="0.15"/>
    <row r="51894" s="76" customFormat="1" ht="54" customHeight="1" x14ac:dyDescent="0.15"/>
    <row r="51895" s="76" customFormat="1" ht="21.95" customHeight="1" x14ac:dyDescent="0.15"/>
    <row r="51896" s="76" customFormat="1" ht="21.95" customHeight="1" x14ac:dyDescent="0.15"/>
    <row r="51897" s="76" customFormat="1" ht="21.95" customHeight="1" x14ac:dyDescent="0.15"/>
    <row r="51898" s="76" customFormat="1" ht="21.95" customHeight="1" x14ac:dyDescent="0.15"/>
    <row r="51899" s="76" customFormat="1" ht="21.95" customHeight="1" x14ac:dyDescent="0.15"/>
    <row r="51900" s="76" customFormat="1" ht="21.95" customHeight="1" x14ac:dyDescent="0.15"/>
    <row r="51901" s="76" customFormat="1" ht="21.95" customHeight="1" x14ac:dyDescent="0.15"/>
    <row r="51902" s="76" customFormat="1" ht="21.95" customHeight="1" x14ac:dyDescent="0.15"/>
    <row r="51903" s="76" customFormat="1" ht="21.95" customHeight="1" x14ac:dyDescent="0.15"/>
    <row r="51904" s="76" customFormat="1" ht="21.95" customHeight="1" x14ac:dyDescent="0.15"/>
    <row r="51905" s="76" customFormat="1" ht="21.95" customHeight="1" x14ac:dyDescent="0.15"/>
    <row r="51906" s="76" customFormat="1" ht="21.95" customHeight="1" x14ac:dyDescent="0.15"/>
    <row r="51907" s="76" customFormat="1" ht="21.95" customHeight="1" x14ac:dyDescent="0.15"/>
    <row r="51908" s="76" customFormat="1" ht="21.95" customHeight="1" x14ac:dyDescent="0.15"/>
    <row r="51909" s="76" customFormat="1" ht="21.95" customHeight="1" x14ac:dyDescent="0.15"/>
    <row r="51910" s="76" customFormat="1" ht="21.95" customHeight="1" x14ac:dyDescent="0.15"/>
    <row r="51911" s="76" customFormat="1" ht="21.95" customHeight="1" x14ac:dyDescent="0.15"/>
    <row r="51912" s="76" customFormat="1" ht="21.95" customHeight="1" x14ac:dyDescent="0.15"/>
    <row r="51913" s="76" customFormat="1" ht="21.95" customHeight="1" x14ac:dyDescent="0.15"/>
    <row r="51914" s="76" customFormat="1" ht="21.95" customHeight="1" x14ac:dyDescent="0.15"/>
    <row r="51915" s="76" customFormat="1" ht="21.95" customHeight="1" x14ac:dyDescent="0.15"/>
    <row r="51916" s="76" customFormat="1" ht="21.95" customHeight="1" x14ac:dyDescent="0.15"/>
    <row r="51917" s="76" customFormat="1" ht="21.95" customHeight="1" x14ac:dyDescent="0.15"/>
    <row r="51918" s="76" customFormat="1" ht="21.95" customHeight="1" x14ac:dyDescent="0.15"/>
    <row r="51919" s="76" customFormat="1" ht="21.95" customHeight="1" x14ac:dyDescent="0.15"/>
    <row r="51920" s="76" customFormat="1" ht="21.95" customHeight="1" x14ac:dyDescent="0.15"/>
    <row r="51921" s="76" customFormat="1" ht="21.95" customHeight="1" x14ac:dyDescent="0.15"/>
    <row r="51922" s="76" customFormat="1" ht="21.95" customHeight="1" x14ac:dyDescent="0.15"/>
    <row r="51923" s="76" customFormat="1" ht="21.95" customHeight="1" x14ac:dyDescent="0.15"/>
    <row r="51924" s="76" customFormat="1" ht="21.95" customHeight="1" x14ac:dyDescent="0.15"/>
    <row r="51925" s="76" customFormat="1" ht="21.95" customHeight="1" x14ac:dyDescent="0.15"/>
    <row r="51926" s="76" customFormat="1" ht="21.95" customHeight="1" x14ac:dyDescent="0.15"/>
    <row r="51927" s="76" customFormat="1" ht="21.95" customHeight="1" x14ac:dyDescent="0.15"/>
    <row r="51928" s="76" customFormat="1" ht="21.95" customHeight="1" x14ac:dyDescent="0.15"/>
    <row r="51929" s="76" customFormat="1" ht="21.95" customHeight="1" x14ac:dyDescent="0.15"/>
    <row r="51930" s="76" customFormat="1" ht="21.95" customHeight="1" x14ac:dyDescent="0.15"/>
    <row r="51931" s="76" customFormat="1" ht="21.95" customHeight="1" x14ac:dyDescent="0.15"/>
    <row r="51932" s="76" customFormat="1" ht="21.95" customHeight="1" x14ac:dyDescent="0.15"/>
    <row r="51933" s="76" customFormat="1" ht="21.95" customHeight="1" x14ac:dyDescent="0.15"/>
    <row r="51934" s="76" customFormat="1" ht="21.95" customHeight="1" x14ac:dyDescent="0.15"/>
    <row r="51935" s="76" customFormat="1" ht="21.95" customHeight="1" x14ac:dyDescent="0.15"/>
    <row r="51936" s="76" customFormat="1" ht="21.95" customHeight="1" x14ac:dyDescent="0.15"/>
    <row r="51937" s="76" customFormat="1" ht="21.95" customHeight="1" x14ac:dyDescent="0.15"/>
    <row r="51938" s="76" customFormat="1" ht="21.95" customHeight="1" x14ac:dyDescent="0.15"/>
    <row r="51939" s="76" customFormat="1" ht="21.95" customHeight="1" x14ac:dyDescent="0.15"/>
    <row r="51940" s="76" customFormat="1" ht="21.95" customHeight="1" x14ac:dyDescent="0.15"/>
    <row r="51941" s="76" customFormat="1" ht="21.95" customHeight="1" x14ac:dyDescent="0.15"/>
    <row r="51942" s="76" customFormat="1" ht="21.95" customHeight="1" x14ac:dyDescent="0.15"/>
    <row r="51943" s="76" customFormat="1" ht="21.95" customHeight="1" x14ac:dyDescent="0.15"/>
    <row r="51944" s="76" customFormat="1" ht="21.95" customHeight="1" x14ac:dyDescent="0.15"/>
    <row r="51945" s="76" customFormat="1" ht="35.1" customHeight="1" x14ac:dyDescent="0.15"/>
    <row r="51946" s="76" customFormat="1" ht="21.95" customHeight="1" x14ac:dyDescent="0.15"/>
    <row r="51947" s="76" customFormat="1" ht="21.95" customHeight="1" x14ac:dyDescent="0.15"/>
    <row r="51948" s="76" customFormat="1" ht="21.95" customHeight="1" x14ac:dyDescent="0.15"/>
    <row r="51949" s="76" customFormat="1" ht="21.95" customHeight="1" x14ac:dyDescent="0.15"/>
    <row r="51950" s="76" customFormat="1" ht="21.95" customHeight="1" x14ac:dyDescent="0.15"/>
    <row r="51951" s="76" customFormat="1" ht="21.95" customHeight="1" x14ac:dyDescent="0.15"/>
    <row r="51952" s="76" customFormat="1" ht="21.95" customHeight="1" x14ac:dyDescent="0.15"/>
    <row r="51953" s="76" customFormat="1" ht="21.95" customHeight="1" x14ac:dyDescent="0.15"/>
    <row r="51954" s="76" customFormat="1" ht="21.95" customHeight="1" x14ac:dyDescent="0.15"/>
    <row r="51955" s="76" customFormat="1" ht="21.95" customHeight="1" x14ac:dyDescent="0.15"/>
    <row r="51956" s="76" customFormat="1" ht="21.95" customHeight="1" x14ac:dyDescent="0.15"/>
    <row r="51957" s="76" customFormat="1" ht="21.95" customHeight="1" x14ac:dyDescent="0.15"/>
    <row r="51958" s="76" customFormat="1" ht="21.95" customHeight="1" x14ac:dyDescent="0.15"/>
    <row r="51959" s="76" customFormat="1" ht="21.95" customHeight="1" x14ac:dyDescent="0.15"/>
    <row r="51960" s="76" customFormat="1" ht="21.95" customHeight="1" x14ac:dyDescent="0.15"/>
    <row r="51961" s="76" customFormat="1" ht="21.95" customHeight="1" x14ac:dyDescent="0.15"/>
    <row r="51962" s="76" customFormat="1" ht="21.95" customHeight="1" x14ac:dyDescent="0.15"/>
    <row r="51963" s="76" customFormat="1" ht="21.95" customHeight="1" x14ac:dyDescent="0.15"/>
    <row r="51964" s="76" customFormat="1" ht="21.95" customHeight="1" x14ac:dyDescent="0.15"/>
    <row r="51965" s="76" customFormat="1" ht="21.95" customHeight="1" x14ac:dyDescent="0.15"/>
    <row r="51966" s="76" customFormat="1" ht="21.95" customHeight="1" x14ac:dyDescent="0.15"/>
    <row r="51967" s="76" customFormat="1" ht="21.95" customHeight="1" x14ac:dyDescent="0.15"/>
    <row r="51968" s="76" customFormat="1" ht="21.95" customHeight="1" x14ac:dyDescent="0.15"/>
    <row r="51969" spans="3:3" customFormat="1" ht="21.95" customHeight="1" x14ac:dyDescent="0.15"/>
    <row r="51970" spans="3:3" customFormat="1" ht="21.95" customHeight="1" x14ac:dyDescent="0.15"/>
    <row r="51971" spans="3:3" customFormat="1" ht="21.95" customHeight="1" x14ac:dyDescent="0.15">
      <c r="C51971" s="94"/>
    </row>
    <row r="51972" spans="3:3" customFormat="1" ht="21.95" customHeight="1" x14ac:dyDescent="0.15">
      <c r="C51972" s="94"/>
    </row>
    <row r="51973" spans="3:3" customFormat="1" ht="21.95" customHeight="1" x14ac:dyDescent="0.15"/>
    <row r="51974" spans="3:3" customFormat="1" ht="21.95" customHeight="1" x14ac:dyDescent="0.15"/>
    <row r="51975" spans="3:3" customFormat="1" ht="21.95" customHeight="1" x14ac:dyDescent="0.15"/>
    <row r="51976" spans="3:3" customFormat="1" ht="21.95" customHeight="1" x14ac:dyDescent="0.15"/>
    <row r="51977" spans="3:3" customFormat="1" ht="21.95" customHeight="1" x14ac:dyDescent="0.15"/>
    <row r="51978" spans="3:3" customFormat="1" ht="21.95" customHeight="1" x14ac:dyDescent="0.15"/>
    <row r="51979" spans="3:3" customFormat="1" ht="21.95" customHeight="1" x14ac:dyDescent="0.15"/>
    <row r="51980" spans="3:3" s="76" customFormat="1" ht="21.95" customHeight="1" x14ac:dyDescent="0.15"/>
    <row r="51981" spans="3:3" s="76" customFormat="1" ht="21.95" customHeight="1" x14ac:dyDescent="0.15"/>
    <row r="51982" spans="3:3" s="76" customFormat="1" ht="21.95" customHeight="1" x14ac:dyDescent="0.15"/>
    <row r="51983" spans="3:3" s="76" customFormat="1" ht="21.95" customHeight="1" x14ac:dyDescent="0.15"/>
    <row r="51984" spans="3:3" customFormat="1" ht="21.95" customHeight="1" x14ac:dyDescent="0.15"/>
    <row r="51985" customFormat="1" ht="21.95" customHeight="1" x14ac:dyDescent="0.15"/>
    <row r="51986" customFormat="1" ht="21.95" customHeight="1" x14ac:dyDescent="0.15"/>
    <row r="51987" customFormat="1" ht="21.95" customHeight="1" x14ac:dyDescent="0.15"/>
    <row r="51988" customFormat="1" ht="21.95" customHeight="1" x14ac:dyDescent="0.15"/>
    <row r="51989" customFormat="1" ht="21.95" customHeight="1" x14ac:dyDescent="0.15"/>
    <row r="51990" customFormat="1" ht="21.95" customHeight="1" x14ac:dyDescent="0.15"/>
    <row r="51991" customFormat="1" ht="21.95" customHeight="1" x14ac:dyDescent="0.15"/>
    <row r="51992" customFormat="1" ht="21.95" customHeight="1" x14ac:dyDescent="0.15"/>
    <row r="51993" customFormat="1" ht="21.95" customHeight="1" x14ac:dyDescent="0.15"/>
    <row r="51994" customFormat="1" ht="21.95" customHeight="1" x14ac:dyDescent="0.15"/>
    <row r="51995" customFormat="1" ht="32.1" customHeight="1" x14ac:dyDescent="0.15"/>
    <row r="51996" customFormat="1" ht="32.1" customHeight="1" x14ac:dyDescent="0.15"/>
    <row r="51997" customFormat="1" ht="32.1" customHeight="1" x14ac:dyDescent="0.15"/>
    <row r="51998" customFormat="1" ht="32.1" customHeight="1" x14ac:dyDescent="0.15"/>
    <row r="51999" customFormat="1" ht="32.1" customHeight="1" x14ac:dyDescent="0.15"/>
    <row r="52000" customFormat="1" ht="32.1" customHeight="1" x14ac:dyDescent="0.15"/>
    <row r="52001" s="76" customFormat="1" ht="32.1" customHeight="1" x14ac:dyDescent="0.15"/>
    <row r="52002" s="76" customFormat="1" ht="32.1" customHeight="1" x14ac:dyDescent="0.15"/>
    <row r="52003" s="76" customFormat="1" ht="32.1" customHeight="1" x14ac:dyDescent="0.15"/>
    <row r="52004" s="76" customFormat="1" ht="32.1" customHeight="1" x14ac:dyDescent="0.15"/>
    <row r="52005" s="76" customFormat="1" ht="21.95" customHeight="1" x14ac:dyDescent="0.15"/>
    <row r="52006" s="76" customFormat="1" ht="54" customHeight="1" x14ac:dyDescent="0.15"/>
    <row r="52007" s="76" customFormat="1" ht="21.95" customHeight="1" x14ac:dyDescent="0.15"/>
    <row r="52008" s="76" customFormat="1" ht="21.95" customHeight="1" x14ac:dyDescent="0.15"/>
    <row r="52009" s="76" customFormat="1" ht="21.95" customHeight="1" x14ac:dyDescent="0.15"/>
    <row r="52010" s="76" customFormat="1" ht="21.95" customHeight="1" x14ac:dyDescent="0.15"/>
    <row r="52011" s="76" customFormat="1" ht="21.95" customHeight="1" x14ac:dyDescent="0.15"/>
    <row r="52012" s="76" customFormat="1" ht="21.95" customHeight="1" x14ac:dyDescent="0.15"/>
    <row r="52013" s="76" customFormat="1" ht="21.95" customHeight="1" x14ac:dyDescent="0.15"/>
    <row r="52014" s="76" customFormat="1" ht="21.95" customHeight="1" x14ac:dyDescent="0.15"/>
    <row r="52015" s="76" customFormat="1" ht="21.95" customHeight="1" x14ac:dyDescent="0.15"/>
    <row r="52016" s="76" customFormat="1" ht="21.95" customHeight="1" x14ac:dyDescent="0.15"/>
    <row r="52017" s="76" customFormat="1" ht="21.95" customHeight="1" x14ac:dyDescent="0.15"/>
    <row r="52018" s="76" customFormat="1" ht="21.95" customHeight="1" x14ac:dyDescent="0.15"/>
    <row r="52019" s="76" customFormat="1" ht="21.95" customHeight="1" x14ac:dyDescent="0.15"/>
    <row r="52020" s="76" customFormat="1" ht="21.95" customHeight="1" x14ac:dyDescent="0.15"/>
    <row r="52021" s="76" customFormat="1" ht="21.95" customHeight="1" x14ac:dyDescent="0.15"/>
    <row r="52022" s="76" customFormat="1" ht="21.95" customHeight="1" x14ac:dyDescent="0.15"/>
    <row r="52023" s="76" customFormat="1" ht="21.95" customHeight="1" x14ac:dyDescent="0.15"/>
    <row r="52024" s="76" customFormat="1" ht="21.95" customHeight="1" x14ac:dyDescent="0.15"/>
    <row r="52025" s="76" customFormat="1" ht="21.95" customHeight="1" x14ac:dyDescent="0.15"/>
    <row r="52026" s="76" customFormat="1" ht="21.95" customHeight="1" x14ac:dyDescent="0.15"/>
    <row r="52027" s="76" customFormat="1" ht="21.95" customHeight="1" x14ac:dyDescent="0.15"/>
    <row r="52028" s="76" customFormat="1" ht="21.95" customHeight="1" x14ac:dyDescent="0.15"/>
    <row r="52029" s="76" customFormat="1" ht="21.95" customHeight="1" x14ac:dyDescent="0.15"/>
    <row r="52030" s="76" customFormat="1" ht="21.95" customHeight="1" x14ac:dyDescent="0.15"/>
    <row r="52031" s="76" customFormat="1" ht="21.95" customHeight="1" x14ac:dyDescent="0.15"/>
    <row r="52032" s="76" customFormat="1" ht="21.95" customHeight="1" x14ac:dyDescent="0.15"/>
    <row r="52033" s="76" customFormat="1" ht="21.95" customHeight="1" x14ac:dyDescent="0.15"/>
    <row r="52034" s="76" customFormat="1" ht="21.95" customHeight="1" x14ac:dyDescent="0.15"/>
    <row r="52035" s="76" customFormat="1" ht="21.95" customHeight="1" x14ac:dyDescent="0.15"/>
    <row r="52036" s="76" customFormat="1" ht="21.95" customHeight="1" x14ac:dyDescent="0.15"/>
    <row r="52037" s="76" customFormat="1" ht="21.95" customHeight="1" x14ac:dyDescent="0.15"/>
    <row r="52038" s="76" customFormat="1" ht="21.95" customHeight="1" x14ac:dyDescent="0.15"/>
    <row r="52039" s="76" customFormat="1" ht="21.95" customHeight="1" x14ac:dyDescent="0.15"/>
    <row r="52040" s="76" customFormat="1" ht="21.95" customHeight="1" x14ac:dyDescent="0.15"/>
    <row r="52041" s="76" customFormat="1" ht="21.95" customHeight="1" x14ac:dyDescent="0.15"/>
    <row r="52042" s="76" customFormat="1" ht="21.95" customHeight="1" x14ac:dyDescent="0.15"/>
    <row r="52043" s="76" customFormat="1" ht="21.95" customHeight="1" x14ac:dyDescent="0.15"/>
    <row r="52044" s="76" customFormat="1" ht="21.95" customHeight="1" x14ac:dyDescent="0.15"/>
    <row r="52045" s="76" customFormat="1" ht="21.95" customHeight="1" x14ac:dyDescent="0.15"/>
    <row r="52046" s="76" customFormat="1" ht="21.95" customHeight="1" x14ac:dyDescent="0.15"/>
    <row r="52047" s="76" customFormat="1" ht="21.95" customHeight="1" x14ac:dyDescent="0.15"/>
    <row r="52048" s="76" customFormat="1" ht="21.95" customHeight="1" x14ac:dyDescent="0.15"/>
    <row r="52049" s="76" customFormat="1" ht="21.95" customHeight="1" x14ac:dyDescent="0.15"/>
    <row r="52050" s="76" customFormat="1" ht="21.95" customHeight="1" x14ac:dyDescent="0.15"/>
    <row r="52051" s="76" customFormat="1" ht="21.95" customHeight="1" x14ac:dyDescent="0.15"/>
    <row r="52052" s="76" customFormat="1" ht="21.95" customHeight="1" x14ac:dyDescent="0.15"/>
    <row r="52053" s="76" customFormat="1" ht="21.95" customHeight="1" x14ac:dyDescent="0.15"/>
    <row r="52054" s="76" customFormat="1" ht="21.95" customHeight="1" x14ac:dyDescent="0.15"/>
    <row r="52055" s="76" customFormat="1" ht="21.95" customHeight="1" x14ac:dyDescent="0.15"/>
    <row r="52056" s="76" customFormat="1" ht="21.95" customHeight="1" x14ac:dyDescent="0.15"/>
    <row r="52057" s="76" customFormat="1" ht="35.1" customHeight="1" x14ac:dyDescent="0.15"/>
    <row r="52058" s="76" customFormat="1" ht="21.95" customHeight="1" x14ac:dyDescent="0.15"/>
    <row r="52059" s="76" customFormat="1" ht="21.95" customHeight="1" x14ac:dyDescent="0.15"/>
    <row r="52060" s="76" customFormat="1" ht="21.95" customHeight="1" x14ac:dyDescent="0.15"/>
    <row r="52061" s="76" customFormat="1" ht="21.95" customHeight="1" x14ac:dyDescent="0.15"/>
    <row r="52062" s="76" customFormat="1" ht="21.95" customHeight="1" x14ac:dyDescent="0.15"/>
    <row r="52063" s="76" customFormat="1" ht="21.95" customHeight="1" x14ac:dyDescent="0.15"/>
    <row r="52064" s="76" customFormat="1" ht="21.95" customHeight="1" x14ac:dyDescent="0.15"/>
    <row r="52065" s="76" customFormat="1" ht="21.95" customHeight="1" x14ac:dyDescent="0.15"/>
    <row r="52066" s="76" customFormat="1" ht="21.95" customHeight="1" x14ac:dyDescent="0.15"/>
    <row r="52067" s="76" customFormat="1" ht="21.95" customHeight="1" x14ac:dyDescent="0.15"/>
    <row r="52068" s="76" customFormat="1" ht="21.95" customHeight="1" x14ac:dyDescent="0.15"/>
    <row r="52069" s="76" customFormat="1" ht="21.95" customHeight="1" x14ac:dyDescent="0.15"/>
    <row r="52070" s="76" customFormat="1" ht="21.95" customHeight="1" x14ac:dyDescent="0.15"/>
    <row r="52071" s="76" customFormat="1" ht="21.95" customHeight="1" x14ac:dyDescent="0.15"/>
    <row r="52072" s="76" customFormat="1" ht="21.95" customHeight="1" x14ac:dyDescent="0.15"/>
    <row r="52073" s="76" customFormat="1" ht="21.95" customHeight="1" x14ac:dyDescent="0.15"/>
    <row r="52074" s="76" customFormat="1" ht="21.95" customHeight="1" x14ac:dyDescent="0.15"/>
    <row r="52075" s="76" customFormat="1" ht="21.95" customHeight="1" x14ac:dyDescent="0.15"/>
    <row r="52076" s="76" customFormat="1" ht="21.95" customHeight="1" x14ac:dyDescent="0.15"/>
    <row r="52077" s="76" customFormat="1" ht="21.95" customHeight="1" x14ac:dyDescent="0.15"/>
    <row r="52078" s="76" customFormat="1" ht="21.95" customHeight="1" x14ac:dyDescent="0.15"/>
    <row r="52079" s="76" customFormat="1" ht="21.95" customHeight="1" x14ac:dyDescent="0.15"/>
    <row r="52080" s="76" customFormat="1" ht="21.95" customHeight="1" x14ac:dyDescent="0.15"/>
    <row r="52081" spans="3:3" customFormat="1" ht="21.95" customHeight="1" x14ac:dyDescent="0.15"/>
    <row r="52082" spans="3:3" customFormat="1" ht="21.95" customHeight="1" x14ac:dyDescent="0.15"/>
    <row r="52083" spans="3:3" customFormat="1" ht="21.95" customHeight="1" x14ac:dyDescent="0.15">
      <c r="C52083" s="94"/>
    </row>
    <row r="52084" spans="3:3" customFormat="1" ht="21.95" customHeight="1" x14ac:dyDescent="0.15">
      <c r="C52084" s="94"/>
    </row>
    <row r="52085" spans="3:3" customFormat="1" ht="21.95" customHeight="1" x14ac:dyDescent="0.15"/>
    <row r="52086" spans="3:3" customFormat="1" ht="21.95" customHeight="1" x14ac:dyDescent="0.15"/>
    <row r="52087" spans="3:3" customFormat="1" ht="21.95" customHeight="1" x14ac:dyDescent="0.15"/>
    <row r="52088" spans="3:3" customFormat="1" ht="21.95" customHeight="1" x14ac:dyDescent="0.15"/>
    <row r="52089" spans="3:3" customFormat="1" ht="21.95" customHeight="1" x14ac:dyDescent="0.15"/>
    <row r="52090" spans="3:3" customFormat="1" ht="21.95" customHeight="1" x14ac:dyDescent="0.15"/>
    <row r="52091" spans="3:3" customFormat="1" ht="21.95" customHeight="1" x14ac:dyDescent="0.15"/>
    <row r="52092" spans="3:3" s="76" customFormat="1" ht="21.95" customHeight="1" x14ac:dyDescent="0.15"/>
    <row r="52093" spans="3:3" s="76" customFormat="1" ht="21.95" customHeight="1" x14ac:dyDescent="0.15"/>
    <row r="52094" spans="3:3" s="76" customFormat="1" ht="21.95" customHeight="1" x14ac:dyDescent="0.15"/>
    <row r="52095" spans="3:3" s="76" customFormat="1" ht="21.95" customHeight="1" x14ac:dyDescent="0.15"/>
    <row r="52096" spans="3:3" customFormat="1" ht="21.95" customHeight="1" x14ac:dyDescent="0.15"/>
    <row r="52097" customFormat="1" ht="21.95" customHeight="1" x14ac:dyDescent="0.15"/>
    <row r="52098" customFormat="1" ht="21.95" customHeight="1" x14ac:dyDescent="0.15"/>
    <row r="52099" customFormat="1" ht="21.95" customHeight="1" x14ac:dyDescent="0.15"/>
    <row r="52100" customFormat="1" ht="21.95" customHeight="1" x14ac:dyDescent="0.15"/>
    <row r="52101" customFormat="1" ht="21.95" customHeight="1" x14ac:dyDescent="0.15"/>
    <row r="52102" customFormat="1" ht="21.95" customHeight="1" x14ac:dyDescent="0.15"/>
    <row r="52103" customFormat="1" ht="21.95" customHeight="1" x14ac:dyDescent="0.15"/>
    <row r="52104" customFormat="1" ht="21.95" customHeight="1" x14ac:dyDescent="0.15"/>
    <row r="52105" customFormat="1" ht="21.95" customHeight="1" x14ac:dyDescent="0.15"/>
    <row r="52106" customFormat="1" ht="21.95" customHeight="1" x14ac:dyDescent="0.15"/>
    <row r="52107" customFormat="1" ht="32.1" customHeight="1" x14ac:dyDescent="0.15"/>
    <row r="52108" customFormat="1" ht="32.1" customHeight="1" x14ac:dyDescent="0.15"/>
    <row r="52109" customFormat="1" ht="32.1" customHeight="1" x14ac:dyDescent="0.15"/>
    <row r="52110" customFormat="1" ht="32.1" customHeight="1" x14ac:dyDescent="0.15"/>
    <row r="52111" customFormat="1" ht="32.1" customHeight="1" x14ac:dyDescent="0.15"/>
    <row r="52112" customFormat="1" ht="32.1" customHeight="1" x14ac:dyDescent="0.15"/>
    <row r="52113" s="76" customFormat="1" ht="32.1" customHeight="1" x14ac:dyDescent="0.15"/>
    <row r="52114" s="76" customFormat="1" ht="32.1" customHeight="1" x14ac:dyDescent="0.15"/>
    <row r="52115" s="76" customFormat="1" ht="32.1" customHeight="1" x14ac:dyDescent="0.15"/>
    <row r="52116" s="76" customFormat="1" ht="32.1" customHeight="1" x14ac:dyDescent="0.15"/>
    <row r="52117" s="76" customFormat="1" ht="21.95" customHeight="1" x14ac:dyDescent="0.15"/>
    <row r="52118" s="76" customFormat="1" ht="54" customHeight="1" x14ac:dyDescent="0.15"/>
    <row r="52119" s="76" customFormat="1" ht="21.95" customHeight="1" x14ac:dyDescent="0.15"/>
    <row r="52120" s="76" customFormat="1" ht="21.95" customHeight="1" x14ac:dyDescent="0.15"/>
    <row r="52121" s="76" customFormat="1" ht="21.95" customHeight="1" x14ac:dyDescent="0.15"/>
    <row r="52122" s="76" customFormat="1" ht="21.95" customHeight="1" x14ac:dyDescent="0.15"/>
    <row r="52123" s="76" customFormat="1" ht="21.95" customHeight="1" x14ac:dyDescent="0.15"/>
    <row r="52124" s="76" customFormat="1" ht="21.95" customHeight="1" x14ac:dyDescent="0.15"/>
    <row r="52125" s="76" customFormat="1" ht="21.95" customHeight="1" x14ac:dyDescent="0.15"/>
    <row r="52126" s="76" customFormat="1" ht="21.95" customHeight="1" x14ac:dyDescent="0.15"/>
    <row r="52127" s="76" customFormat="1" ht="21.95" customHeight="1" x14ac:dyDescent="0.15"/>
    <row r="52128" s="76" customFormat="1" ht="21.95" customHeight="1" x14ac:dyDescent="0.15"/>
    <row r="52129" s="76" customFormat="1" ht="21.95" customHeight="1" x14ac:dyDescent="0.15"/>
    <row r="52130" s="76" customFormat="1" ht="21.95" customHeight="1" x14ac:dyDescent="0.15"/>
    <row r="52131" s="76" customFormat="1" ht="21.95" customHeight="1" x14ac:dyDescent="0.15"/>
    <row r="52132" s="76" customFormat="1" ht="21.95" customHeight="1" x14ac:dyDescent="0.15"/>
    <row r="52133" s="76" customFormat="1" ht="21.95" customHeight="1" x14ac:dyDescent="0.15"/>
    <row r="52134" s="76" customFormat="1" ht="21.95" customHeight="1" x14ac:dyDescent="0.15"/>
    <row r="52135" s="76" customFormat="1" ht="21.95" customHeight="1" x14ac:dyDescent="0.15"/>
    <row r="52136" s="76" customFormat="1" ht="21.95" customHeight="1" x14ac:dyDescent="0.15"/>
    <row r="52137" s="76" customFormat="1" ht="21.95" customHeight="1" x14ac:dyDescent="0.15"/>
    <row r="52138" s="76" customFormat="1" ht="21.95" customHeight="1" x14ac:dyDescent="0.15"/>
    <row r="52139" s="76" customFormat="1" ht="21.95" customHeight="1" x14ac:dyDescent="0.15"/>
    <row r="52140" s="76" customFormat="1" ht="21.95" customHeight="1" x14ac:dyDescent="0.15"/>
    <row r="52141" s="76" customFormat="1" ht="21.95" customHeight="1" x14ac:dyDescent="0.15"/>
    <row r="52142" s="76" customFormat="1" ht="21.95" customHeight="1" x14ac:dyDescent="0.15"/>
    <row r="52143" s="76" customFormat="1" ht="21.95" customHeight="1" x14ac:dyDescent="0.15"/>
    <row r="52144" s="76" customFormat="1" ht="21.95" customHeight="1" x14ac:dyDescent="0.15"/>
    <row r="52145" s="76" customFormat="1" ht="21.95" customHeight="1" x14ac:dyDescent="0.15"/>
    <row r="52146" s="76" customFormat="1" ht="21.95" customHeight="1" x14ac:dyDescent="0.15"/>
    <row r="52147" s="76" customFormat="1" ht="21.95" customHeight="1" x14ac:dyDescent="0.15"/>
    <row r="52148" s="76" customFormat="1" ht="21.95" customHeight="1" x14ac:dyDescent="0.15"/>
    <row r="52149" s="76" customFormat="1" ht="21.95" customHeight="1" x14ac:dyDescent="0.15"/>
    <row r="52150" s="76" customFormat="1" ht="21.95" customHeight="1" x14ac:dyDescent="0.15"/>
    <row r="52151" s="76" customFormat="1" ht="21.95" customHeight="1" x14ac:dyDescent="0.15"/>
    <row r="52152" s="76" customFormat="1" ht="21.95" customHeight="1" x14ac:dyDescent="0.15"/>
    <row r="52153" s="76" customFormat="1" ht="21.95" customHeight="1" x14ac:dyDescent="0.15"/>
    <row r="52154" s="76" customFormat="1" ht="21.95" customHeight="1" x14ac:dyDescent="0.15"/>
    <row r="52155" s="76" customFormat="1" ht="21.95" customHeight="1" x14ac:dyDescent="0.15"/>
    <row r="52156" s="76" customFormat="1" ht="21.95" customHeight="1" x14ac:dyDescent="0.15"/>
    <row r="52157" s="76" customFormat="1" ht="21.95" customHeight="1" x14ac:dyDescent="0.15"/>
    <row r="52158" s="76" customFormat="1" ht="21.95" customHeight="1" x14ac:dyDescent="0.15"/>
    <row r="52159" s="76" customFormat="1" ht="21.95" customHeight="1" x14ac:dyDescent="0.15"/>
    <row r="52160" s="76" customFormat="1" ht="21.95" customHeight="1" x14ac:dyDescent="0.15"/>
    <row r="52161" s="76" customFormat="1" ht="21.95" customHeight="1" x14ac:dyDescent="0.15"/>
    <row r="52162" s="76" customFormat="1" ht="21.95" customHeight="1" x14ac:dyDescent="0.15"/>
    <row r="52163" s="76" customFormat="1" ht="21.95" customHeight="1" x14ac:dyDescent="0.15"/>
    <row r="52164" s="76" customFormat="1" ht="21.95" customHeight="1" x14ac:dyDescent="0.15"/>
    <row r="52165" s="76" customFormat="1" ht="21.95" customHeight="1" x14ac:dyDescent="0.15"/>
    <row r="52166" s="76" customFormat="1" ht="21.95" customHeight="1" x14ac:dyDescent="0.15"/>
    <row r="52167" s="76" customFormat="1" ht="21.95" customHeight="1" x14ac:dyDescent="0.15"/>
    <row r="52168" s="76" customFormat="1" ht="21.95" customHeight="1" x14ac:dyDescent="0.15"/>
    <row r="52169" s="76" customFormat="1" ht="35.1" customHeight="1" x14ac:dyDescent="0.15"/>
    <row r="52170" s="76" customFormat="1" ht="21.95" customHeight="1" x14ac:dyDescent="0.15"/>
    <row r="52171" s="76" customFormat="1" ht="21.95" customHeight="1" x14ac:dyDescent="0.15"/>
    <row r="52172" s="76" customFormat="1" ht="21.95" customHeight="1" x14ac:dyDescent="0.15"/>
    <row r="52173" s="76" customFormat="1" ht="21.95" customHeight="1" x14ac:dyDescent="0.15"/>
    <row r="52174" s="76" customFormat="1" ht="21.95" customHeight="1" x14ac:dyDescent="0.15"/>
    <row r="52175" s="76" customFormat="1" ht="21.95" customHeight="1" x14ac:dyDescent="0.15"/>
    <row r="52176" s="76" customFormat="1" ht="21.95" customHeight="1" x14ac:dyDescent="0.15"/>
    <row r="52177" s="76" customFormat="1" ht="21.95" customHeight="1" x14ac:dyDescent="0.15"/>
    <row r="52178" s="76" customFormat="1" ht="21.95" customHeight="1" x14ac:dyDescent="0.15"/>
    <row r="52179" s="76" customFormat="1" ht="21.95" customHeight="1" x14ac:dyDescent="0.15"/>
    <row r="52180" s="76" customFormat="1" ht="21.95" customHeight="1" x14ac:dyDescent="0.15"/>
    <row r="52181" s="76" customFormat="1" ht="21.95" customHeight="1" x14ac:dyDescent="0.15"/>
    <row r="52182" s="76" customFormat="1" ht="21.95" customHeight="1" x14ac:dyDescent="0.15"/>
    <row r="52183" s="76" customFormat="1" ht="21.95" customHeight="1" x14ac:dyDescent="0.15"/>
    <row r="52184" s="76" customFormat="1" ht="21.95" customHeight="1" x14ac:dyDescent="0.15"/>
    <row r="52185" s="76" customFormat="1" ht="21.95" customHeight="1" x14ac:dyDescent="0.15"/>
    <row r="52186" s="76" customFormat="1" ht="21.95" customHeight="1" x14ac:dyDescent="0.15"/>
    <row r="52187" s="76" customFormat="1" ht="21.95" customHeight="1" x14ac:dyDescent="0.15"/>
    <row r="52188" s="76" customFormat="1" ht="21.95" customHeight="1" x14ac:dyDescent="0.15"/>
    <row r="52189" s="76" customFormat="1" ht="21.95" customHeight="1" x14ac:dyDescent="0.15"/>
    <row r="52190" s="76" customFormat="1" ht="21.95" customHeight="1" x14ac:dyDescent="0.15"/>
    <row r="52191" s="76" customFormat="1" ht="21.95" customHeight="1" x14ac:dyDescent="0.15"/>
    <row r="52192" s="76" customFormat="1" ht="21.95" customHeight="1" x14ac:dyDescent="0.15"/>
    <row r="52193" spans="3:3" customFormat="1" ht="21.95" customHeight="1" x14ac:dyDescent="0.15"/>
    <row r="52194" spans="3:3" customFormat="1" ht="21.95" customHeight="1" x14ac:dyDescent="0.15"/>
    <row r="52195" spans="3:3" customFormat="1" ht="21.95" customHeight="1" x14ac:dyDescent="0.15">
      <c r="C52195" s="94"/>
    </row>
    <row r="52196" spans="3:3" customFormat="1" ht="21.95" customHeight="1" x14ac:dyDescent="0.15">
      <c r="C52196" s="94"/>
    </row>
    <row r="52197" spans="3:3" customFormat="1" ht="21.95" customHeight="1" x14ac:dyDescent="0.15"/>
    <row r="52198" spans="3:3" customFormat="1" ht="21.95" customHeight="1" x14ac:dyDescent="0.15"/>
    <row r="52199" spans="3:3" customFormat="1" ht="21.95" customHeight="1" x14ac:dyDescent="0.15"/>
    <row r="52200" spans="3:3" customFormat="1" ht="21.95" customHeight="1" x14ac:dyDescent="0.15"/>
    <row r="52201" spans="3:3" customFormat="1" ht="21.95" customHeight="1" x14ac:dyDescent="0.15"/>
    <row r="52202" spans="3:3" customFormat="1" ht="21.95" customHeight="1" x14ac:dyDescent="0.15"/>
    <row r="52203" spans="3:3" customFormat="1" ht="21.95" customHeight="1" x14ac:dyDescent="0.15"/>
    <row r="52204" spans="3:3" s="76" customFormat="1" ht="21.95" customHeight="1" x14ac:dyDescent="0.15"/>
    <row r="52205" spans="3:3" s="76" customFormat="1" ht="21.95" customHeight="1" x14ac:dyDescent="0.15"/>
    <row r="52206" spans="3:3" s="76" customFormat="1" ht="21.95" customHeight="1" x14ac:dyDescent="0.15"/>
    <row r="52207" spans="3:3" s="76" customFormat="1" ht="21.95" customHeight="1" x14ac:dyDescent="0.15"/>
    <row r="52208" spans="3:3" customFormat="1" ht="21.95" customHeight="1" x14ac:dyDescent="0.15"/>
    <row r="52209" customFormat="1" ht="21.95" customHeight="1" x14ac:dyDescent="0.15"/>
    <row r="52210" customFormat="1" ht="21.95" customHeight="1" x14ac:dyDescent="0.15"/>
    <row r="52211" customFormat="1" ht="21.95" customHeight="1" x14ac:dyDescent="0.15"/>
    <row r="52212" customFormat="1" ht="21.95" customHeight="1" x14ac:dyDescent="0.15"/>
    <row r="52213" customFormat="1" ht="21.95" customHeight="1" x14ac:dyDescent="0.15"/>
    <row r="52214" customFormat="1" ht="21.95" customHeight="1" x14ac:dyDescent="0.15"/>
    <row r="52215" customFormat="1" ht="21.95" customHeight="1" x14ac:dyDescent="0.15"/>
    <row r="52216" customFormat="1" ht="21.95" customHeight="1" x14ac:dyDescent="0.15"/>
    <row r="52217" customFormat="1" ht="21.95" customHeight="1" x14ac:dyDescent="0.15"/>
    <row r="52218" customFormat="1" ht="21.95" customHeight="1" x14ac:dyDescent="0.15"/>
    <row r="52219" customFormat="1" ht="32.1" customHeight="1" x14ac:dyDescent="0.15"/>
    <row r="52220" customFormat="1" ht="32.1" customHeight="1" x14ac:dyDescent="0.15"/>
    <row r="52221" customFormat="1" ht="32.1" customHeight="1" x14ac:dyDescent="0.15"/>
    <row r="52222" customFormat="1" ht="32.1" customHeight="1" x14ac:dyDescent="0.15"/>
    <row r="52223" customFormat="1" ht="32.1" customHeight="1" x14ac:dyDescent="0.15"/>
    <row r="52224" customFormat="1" ht="32.1" customHeight="1" x14ac:dyDescent="0.15"/>
    <row r="52225" s="76" customFormat="1" ht="32.1" customHeight="1" x14ac:dyDescent="0.15"/>
    <row r="52226" s="76" customFormat="1" ht="32.1" customHeight="1" x14ac:dyDescent="0.15"/>
    <row r="52227" s="76" customFormat="1" ht="32.1" customHeight="1" x14ac:dyDescent="0.15"/>
    <row r="52228" s="76" customFormat="1" ht="32.1" customHeight="1" x14ac:dyDescent="0.15"/>
    <row r="52229" s="76" customFormat="1" ht="21.95" customHeight="1" x14ac:dyDescent="0.15"/>
    <row r="52230" s="76" customFormat="1" ht="54" customHeight="1" x14ac:dyDescent="0.15"/>
    <row r="52231" s="76" customFormat="1" ht="21.95" customHeight="1" x14ac:dyDescent="0.15"/>
    <row r="52232" s="76" customFormat="1" ht="21.95" customHeight="1" x14ac:dyDescent="0.15"/>
    <row r="52233" s="76" customFormat="1" ht="21.95" customHeight="1" x14ac:dyDescent="0.15"/>
    <row r="52234" s="76" customFormat="1" ht="21.95" customHeight="1" x14ac:dyDescent="0.15"/>
    <row r="52235" s="76" customFormat="1" ht="21.95" customHeight="1" x14ac:dyDescent="0.15"/>
    <row r="52236" s="76" customFormat="1" ht="21.95" customHeight="1" x14ac:dyDescent="0.15"/>
    <row r="52237" s="76" customFormat="1" ht="21.95" customHeight="1" x14ac:dyDescent="0.15"/>
    <row r="52238" s="76" customFormat="1" ht="21.95" customHeight="1" x14ac:dyDescent="0.15"/>
    <row r="52239" s="76" customFormat="1" ht="21.95" customHeight="1" x14ac:dyDescent="0.15"/>
    <row r="52240" s="76" customFormat="1" ht="21.95" customHeight="1" x14ac:dyDescent="0.15"/>
    <row r="52241" s="76" customFormat="1" ht="21.95" customHeight="1" x14ac:dyDescent="0.15"/>
    <row r="52242" s="76" customFormat="1" ht="21.95" customHeight="1" x14ac:dyDescent="0.15"/>
    <row r="52243" s="76" customFormat="1" ht="21.95" customHeight="1" x14ac:dyDescent="0.15"/>
    <row r="52244" s="76" customFormat="1" ht="21.95" customHeight="1" x14ac:dyDescent="0.15"/>
    <row r="52245" s="76" customFormat="1" ht="21.95" customHeight="1" x14ac:dyDescent="0.15"/>
    <row r="52246" s="76" customFormat="1" ht="21.95" customHeight="1" x14ac:dyDescent="0.15"/>
    <row r="52247" s="76" customFormat="1" ht="21.95" customHeight="1" x14ac:dyDescent="0.15"/>
    <row r="52248" s="76" customFormat="1" ht="21.95" customHeight="1" x14ac:dyDescent="0.15"/>
    <row r="52249" s="76" customFormat="1" ht="21.95" customHeight="1" x14ac:dyDescent="0.15"/>
    <row r="52250" s="76" customFormat="1" ht="21.95" customHeight="1" x14ac:dyDescent="0.15"/>
    <row r="52251" s="76" customFormat="1" ht="21.95" customHeight="1" x14ac:dyDescent="0.15"/>
    <row r="52252" s="76" customFormat="1" ht="21.95" customHeight="1" x14ac:dyDescent="0.15"/>
    <row r="52253" s="76" customFormat="1" ht="21.95" customHeight="1" x14ac:dyDescent="0.15"/>
    <row r="52254" s="76" customFormat="1" ht="21.95" customHeight="1" x14ac:dyDescent="0.15"/>
    <row r="52255" s="76" customFormat="1" ht="21.95" customHeight="1" x14ac:dyDescent="0.15"/>
    <row r="52256" s="76" customFormat="1" ht="21.95" customHeight="1" x14ac:dyDescent="0.15"/>
    <row r="52257" s="76" customFormat="1" ht="21.95" customHeight="1" x14ac:dyDescent="0.15"/>
    <row r="52258" s="76" customFormat="1" ht="21.95" customHeight="1" x14ac:dyDescent="0.15"/>
    <row r="52259" s="76" customFormat="1" ht="21.95" customHeight="1" x14ac:dyDescent="0.15"/>
    <row r="52260" s="76" customFormat="1" ht="21.95" customHeight="1" x14ac:dyDescent="0.15"/>
    <row r="52261" s="76" customFormat="1" ht="21.95" customHeight="1" x14ac:dyDescent="0.15"/>
    <row r="52262" s="76" customFormat="1" ht="21.95" customHeight="1" x14ac:dyDescent="0.15"/>
    <row r="52263" s="76" customFormat="1" ht="21.95" customHeight="1" x14ac:dyDescent="0.15"/>
    <row r="52264" s="76" customFormat="1" ht="21.95" customHeight="1" x14ac:dyDescent="0.15"/>
    <row r="52265" s="76" customFormat="1" ht="21.95" customHeight="1" x14ac:dyDescent="0.15"/>
    <row r="52266" s="76" customFormat="1" ht="21.95" customHeight="1" x14ac:dyDescent="0.15"/>
    <row r="52267" s="76" customFormat="1" ht="21.95" customHeight="1" x14ac:dyDescent="0.15"/>
    <row r="52268" s="76" customFormat="1" ht="21.95" customHeight="1" x14ac:dyDescent="0.15"/>
    <row r="52269" s="76" customFormat="1" ht="21.95" customHeight="1" x14ac:dyDescent="0.15"/>
    <row r="52270" s="76" customFormat="1" ht="21.95" customHeight="1" x14ac:dyDescent="0.15"/>
    <row r="52271" s="76" customFormat="1" ht="21.95" customHeight="1" x14ac:dyDescent="0.15"/>
    <row r="52272" s="76" customFormat="1" ht="21.95" customHeight="1" x14ac:dyDescent="0.15"/>
    <row r="52273" s="76" customFormat="1" ht="21.95" customHeight="1" x14ac:dyDescent="0.15"/>
    <row r="52274" s="76" customFormat="1" ht="21.95" customHeight="1" x14ac:dyDescent="0.15"/>
    <row r="52275" s="76" customFormat="1" ht="21.95" customHeight="1" x14ac:dyDescent="0.15"/>
    <row r="52276" s="76" customFormat="1" ht="21.95" customHeight="1" x14ac:dyDescent="0.15"/>
    <row r="52277" s="76" customFormat="1" ht="21.95" customHeight="1" x14ac:dyDescent="0.15"/>
    <row r="52278" s="76" customFormat="1" ht="21.95" customHeight="1" x14ac:dyDescent="0.15"/>
    <row r="52279" s="76" customFormat="1" ht="21.95" customHeight="1" x14ac:dyDescent="0.15"/>
    <row r="52280" s="76" customFormat="1" ht="21.95" customHeight="1" x14ac:dyDescent="0.15"/>
    <row r="52281" s="76" customFormat="1" ht="35.1" customHeight="1" x14ac:dyDescent="0.15"/>
    <row r="52282" s="76" customFormat="1" ht="21.95" customHeight="1" x14ac:dyDescent="0.15"/>
    <row r="52283" s="76" customFormat="1" ht="21.95" customHeight="1" x14ac:dyDescent="0.15"/>
    <row r="52284" s="76" customFormat="1" ht="21.95" customHeight="1" x14ac:dyDescent="0.15"/>
    <row r="52285" s="76" customFormat="1" ht="21.95" customHeight="1" x14ac:dyDescent="0.15"/>
    <row r="52286" s="76" customFormat="1" ht="21.95" customHeight="1" x14ac:dyDescent="0.15"/>
    <row r="52287" s="76" customFormat="1" ht="21.95" customHeight="1" x14ac:dyDescent="0.15"/>
    <row r="52288" s="76" customFormat="1" ht="21.95" customHeight="1" x14ac:dyDescent="0.15"/>
    <row r="52289" s="76" customFormat="1" ht="21.95" customHeight="1" x14ac:dyDescent="0.15"/>
    <row r="52290" s="76" customFormat="1" ht="21.95" customHeight="1" x14ac:dyDescent="0.15"/>
    <row r="52291" s="76" customFormat="1" ht="21.95" customHeight="1" x14ac:dyDescent="0.15"/>
    <row r="52292" s="76" customFormat="1" ht="21.95" customHeight="1" x14ac:dyDescent="0.15"/>
    <row r="52293" s="76" customFormat="1" ht="21.95" customHeight="1" x14ac:dyDescent="0.15"/>
    <row r="52294" s="76" customFormat="1" ht="21.95" customHeight="1" x14ac:dyDescent="0.15"/>
    <row r="52295" s="76" customFormat="1" ht="21.95" customHeight="1" x14ac:dyDescent="0.15"/>
    <row r="52296" s="76" customFormat="1" ht="21.95" customHeight="1" x14ac:dyDescent="0.15"/>
    <row r="52297" s="76" customFormat="1" ht="21.95" customHeight="1" x14ac:dyDescent="0.15"/>
    <row r="52298" s="76" customFormat="1" ht="21.95" customHeight="1" x14ac:dyDescent="0.15"/>
    <row r="52299" s="76" customFormat="1" ht="21.95" customHeight="1" x14ac:dyDescent="0.15"/>
    <row r="52300" s="76" customFormat="1" ht="21.95" customHeight="1" x14ac:dyDescent="0.15"/>
    <row r="52301" s="76" customFormat="1" ht="21.95" customHeight="1" x14ac:dyDescent="0.15"/>
    <row r="52302" s="76" customFormat="1" ht="21.95" customHeight="1" x14ac:dyDescent="0.15"/>
    <row r="52303" s="76" customFormat="1" ht="21.95" customHeight="1" x14ac:dyDescent="0.15"/>
    <row r="52304" s="76" customFormat="1" ht="21.95" customHeight="1" x14ac:dyDescent="0.15"/>
    <row r="52305" spans="3:3" customFormat="1" ht="21.95" customHeight="1" x14ac:dyDescent="0.15"/>
    <row r="52306" spans="3:3" customFormat="1" ht="21.95" customHeight="1" x14ac:dyDescent="0.15"/>
    <row r="52307" spans="3:3" customFormat="1" ht="21.95" customHeight="1" x14ac:dyDescent="0.15">
      <c r="C52307" s="94"/>
    </row>
    <row r="52308" spans="3:3" customFormat="1" ht="21.95" customHeight="1" x14ac:dyDescent="0.15">
      <c r="C52308" s="94"/>
    </row>
    <row r="52309" spans="3:3" customFormat="1" ht="21.95" customHeight="1" x14ac:dyDescent="0.15"/>
    <row r="52310" spans="3:3" customFormat="1" ht="21.95" customHeight="1" x14ac:dyDescent="0.15"/>
    <row r="52311" spans="3:3" customFormat="1" ht="21.95" customHeight="1" x14ac:dyDescent="0.15"/>
    <row r="52312" spans="3:3" customFormat="1" ht="21.95" customHeight="1" x14ac:dyDescent="0.15"/>
    <row r="52313" spans="3:3" customFormat="1" ht="21.95" customHeight="1" x14ac:dyDescent="0.15"/>
    <row r="52314" spans="3:3" customFormat="1" ht="21.95" customHeight="1" x14ac:dyDescent="0.15"/>
    <row r="52315" spans="3:3" customFormat="1" ht="21.95" customHeight="1" x14ac:dyDescent="0.15"/>
    <row r="52316" spans="3:3" s="76" customFormat="1" ht="21.95" customHeight="1" x14ac:dyDescent="0.15"/>
    <row r="52317" spans="3:3" s="76" customFormat="1" ht="21.95" customHeight="1" x14ac:dyDescent="0.15"/>
    <row r="52318" spans="3:3" s="76" customFormat="1" ht="21.95" customHeight="1" x14ac:dyDescent="0.15"/>
    <row r="52319" spans="3:3" s="76" customFormat="1" ht="21.95" customHeight="1" x14ac:dyDescent="0.15"/>
    <row r="52320" spans="3:3" customFormat="1" ht="21.95" customHeight="1" x14ac:dyDescent="0.15"/>
    <row r="52321" customFormat="1" ht="21.95" customHeight="1" x14ac:dyDescent="0.15"/>
    <row r="52322" customFormat="1" ht="21.95" customHeight="1" x14ac:dyDescent="0.15"/>
    <row r="52323" customFormat="1" ht="21.95" customHeight="1" x14ac:dyDescent="0.15"/>
    <row r="52324" customFormat="1" ht="21.95" customHeight="1" x14ac:dyDescent="0.15"/>
    <row r="52325" customFormat="1" ht="21.95" customHeight="1" x14ac:dyDescent="0.15"/>
    <row r="52326" customFormat="1" ht="21.95" customHeight="1" x14ac:dyDescent="0.15"/>
    <row r="52327" customFormat="1" ht="21.95" customHeight="1" x14ac:dyDescent="0.15"/>
    <row r="52328" customFormat="1" ht="21.95" customHeight="1" x14ac:dyDescent="0.15"/>
    <row r="52329" customFormat="1" ht="21.95" customHeight="1" x14ac:dyDescent="0.15"/>
    <row r="52330" customFormat="1" ht="21.95" customHeight="1" x14ac:dyDescent="0.15"/>
    <row r="52331" customFormat="1" ht="32.1" customHeight="1" x14ac:dyDescent="0.15"/>
    <row r="52332" customFormat="1" ht="32.1" customHeight="1" x14ac:dyDescent="0.15"/>
    <row r="52333" customFormat="1" ht="32.1" customHeight="1" x14ac:dyDescent="0.15"/>
    <row r="52334" customFormat="1" ht="32.1" customHeight="1" x14ac:dyDescent="0.15"/>
    <row r="52335" customFormat="1" ht="32.1" customHeight="1" x14ac:dyDescent="0.15"/>
    <row r="52336" customFormat="1" ht="32.1" customHeight="1" x14ac:dyDescent="0.15"/>
    <row r="52337" s="76" customFormat="1" ht="32.1" customHeight="1" x14ac:dyDescent="0.15"/>
    <row r="52338" s="76" customFormat="1" ht="32.1" customHeight="1" x14ac:dyDescent="0.15"/>
    <row r="52339" s="76" customFormat="1" ht="32.1" customHeight="1" x14ac:dyDescent="0.15"/>
    <row r="52340" s="76" customFormat="1" ht="32.1" customHeight="1" x14ac:dyDescent="0.15"/>
    <row r="52341" s="76" customFormat="1" ht="21.95" customHeight="1" x14ac:dyDescent="0.15"/>
    <row r="52342" s="76" customFormat="1" ht="54" customHeight="1" x14ac:dyDescent="0.15"/>
    <row r="52343" s="76" customFormat="1" ht="21.95" customHeight="1" x14ac:dyDescent="0.15"/>
    <row r="52344" s="76" customFormat="1" ht="21.95" customHeight="1" x14ac:dyDescent="0.15"/>
    <row r="52345" s="76" customFormat="1" ht="21.95" customHeight="1" x14ac:dyDescent="0.15"/>
    <row r="52346" s="76" customFormat="1" ht="21.95" customHeight="1" x14ac:dyDescent="0.15"/>
    <row r="52347" s="76" customFormat="1" ht="21.95" customHeight="1" x14ac:dyDescent="0.15"/>
    <row r="52348" s="76" customFormat="1" ht="21.95" customHeight="1" x14ac:dyDescent="0.15"/>
    <row r="52349" s="76" customFormat="1" ht="21.95" customHeight="1" x14ac:dyDescent="0.15"/>
    <row r="52350" s="76" customFormat="1" ht="21.95" customHeight="1" x14ac:dyDescent="0.15"/>
    <row r="52351" s="76" customFormat="1" ht="21.95" customHeight="1" x14ac:dyDescent="0.15"/>
    <row r="52352" s="76" customFormat="1" ht="21.95" customHeight="1" x14ac:dyDescent="0.15"/>
    <row r="52353" s="76" customFormat="1" ht="21.95" customHeight="1" x14ac:dyDescent="0.15"/>
    <row r="52354" s="76" customFormat="1" ht="21.95" customHeight="1" x14ac:dyDescent="0.15"/>
    <row r="52355" s="76" customFormat="1" ht="21.95" customHeight="1" x14ac:dyDescent="0.15"/>
    <row r="52356" s="76" customFormat="1" ht="21.95" customHeight="1" x14ac:dyDescent="0.15"/>
    <row r="52357" s="76" customFormat="1" ht="21.95" customHeight="1" x14ac:dyDescent="0.15"/>
    <row r="52358" s="76" customFormat="1" ht="21.95" customHeight="1" x14ac:dyDescent="0.15"/>
    <row r="52359" s="76" customFormat="1" ht="21.95" customHeight="1" x14ac:dyDescent="0.15"/>
    <row r="52360" s="76" customFormat="1" ht="21.95" customHeight="1" x14ac:dyDescent="0.15"/>
    <row r="52361" s="76" customFormat="1" ht="21.95" customHeight="1" x14ac:dyDescent="0.15"/>
    <row r="52362" s="76" customFormat="1" ht="21.95" customHeight="1" x14ac:dyDescent="0.15"/>
    <row r="52363" s="76" customFormat="1" ht="21.95" customHeight="1" x14ac:dyDescent="0.15"/>
    <row r="52364" s="76" customFormat="1" ht="21.95" customHeight="1" x14ac:dyDescent="0.15"/>
    <row r="52365" s="76" customFormat="1" ht="21.95" customHeight="1" x14ac:dyDescent="0.15"/>
    <row r="52366" s="76" customFormat="1" ht="21.95" customHeight="1" x14ac:dyDescent="0.15"/>
    <row r="52367" s="76" customFormat="1" ht="21.95" customHeight="1" x14ac:dyDescent="0.15"/>
    <row r="52368" s="76" customFormat="1" ht="21.95" customHeight="1" x14ac:dyDescent="0.15"/>
    <row r="52369" s="76" customFormat="1" ht="21.95" customHeight="1" x14ac:dyDescent="0.15"/>
    <row r="52370" s="76" customFormat="1" ht="21.95" customHeight="1" x14ac:dyDescent="0.15"/>
    <row r="52371" s="76" customFormat="1" ht="21.95" customHeight="1" x14ac:dyDescent="0.15"/>
    <row r="52372" s="76" customFormat="1" ht="21.95" customHeight="1" x14ac:dyDescent="0.15"/>
    <row r="52373" s="76" customFormat="1" ht="21.95" customHeight="1" x14ac:dyDescent="0.15"/>
    <row r="52374" s="76" customFormat="1" ht="21.95" customHeight="1" x14ac:dyDescent="0.15"/>
    <row r="52375" s="76" customFormat="1" ht="21.95" customHeight="1" x14ac:dyDescent="0.15"/>
    <row r="52376" s="76" customFormat="1" ht="21.95" customHeight="1" x14ac:dyDescent="0.15"/>
    <row r="52377" s="76" customFormat="1" ht="21.95" customHeight="1" x14ac:dyDescent="0.15"/>
    <row r="52378" s="76" customFormat="1" ht="21.95" customHeight="1" x14ac:dyDescent="0.15"/>
    <row r="52379" s="76" customFormat="1" ht="21.95" customHeight="1" x14ac:dyDescent="0.15"/>
    <row r="52380" s="76" customFormat="1" ht="21.95" customHeight="1" x14ac:dyDescent="0.15"/>
    <row r="52381" s="76" customFormat="1" ht="21.95" customHeight="1" x14ac:dyDescent="0.15"/>
    <row r="52382" s="76" customFormat="1" ht="21.95" customHeight="1" x14ac:dyDescent="0.15"/>
    <row r="52383" s="76" customFormat="1" ht="21.95" customHeight="1" x14ac:dyDescent="0.15"/>
    <row r="52384" s="76" customFormat="1" ht="21.95" customHeight="1" x14ac:dyDescent="0.15"/>
    <row r="52385" s="76" customFormat="1" ht="21.95" customHeight="1" x14ac:dyDescent="0.15"/>
    <row r="52386" s="76" customFormat="1" ht="21.95" customHeight="1" x14ac:dyDescent="0.15"/>
    <row r="52387" s="76" customFormat="1" ht="21.95" customHeight="1" x14ac:dyDescent="0.15"/>
    <row r="52388" s="76" customFormat="1" ht="21.95" customHeight="1" x14ac:dyDescent="0.15"/>
    <row r="52389" s="76" customFormat="1" ht="21.95" customHeight="1" x14ac:dyDescent="0.15"/>
    <row r="52390" s="76" customFormat="1" ht="21.95" customHeight="1" x14ac:dyDescent="0.15"/>
    <row r="52391" s="76" customFormat="1" ht="21.95" customHeight="1" x14ac:dyDescent="0.15"/>
    <row r="52392" s="76" customFormat="1" ht="21.95" customHeight="1" x14ac:dyDescent="0.15"/>
    <row r="52393" s="76" customFormat="1" ht="35.1" customHeight="1" x14ac:dyDescent="0.15"/>
    <row r="52394" s="76" customFormat="1" ht="21.95" customHeight="1" x14ac:dyDescent="0.15"/>
    <row r="52395" s="76" customFormat="1" ht="21.95" customHeight="1" x14ac:dyDescent="0.15"/>
    <row r="52396" s="76" customFormat="1" ht="21.95" customHeight="1" x14ac:dyDescent="0.15"/>
    <row r="52397" s="76" customFormat="1" ht="21.95" customHeight="1" x14ac:dyDescent="0.15"/>
    <row r="52398" s="76" customFormat="1" ht="21.95" customHeight="1" x14ac:dyDescent="0.15"/>
    <row r="52399" s="76" customFormat="1" ht="21.95" customHeight="1" x14ac:dyDescent="0.15"/>
    <row r="52400" s="76" customFormat="1" ht="21.95" customHeight="1" x14ac:dyDescent="0.15"/>
    <row r="52401" s="76" customFormat="1" ht="21.95" customHeight="1" x14ac:dyDescent="0.15"/>
    <row r="52402" s="76" customFormat="1" ht="21.95" customHeight="1" x14ac:dyDescent="0.15"/>
    <row r="52403" s="76" customFormat="1" ht="21.95" customHeight="1" x14ac:dyDescent="0.15"/>
    <row r="52404" s="76" customFormat="1" ht="21.95" customHeight="1" x14ac:dyDescent="0.15"/>
    <row r="52405" s="76" customFormat="1" ht="21.95" customHeight="1" x14ac:dyDescent="0.15"/>
    <row r="52406" s="76" customFormat="1" ht="21.95" customHeight="1" x14ac:dyDescent="0.15"/>
    <row r="52407" s="76" customFormat="1" ht="21.95" customHeight="1" x14ac:dyDescent="0.15"/>
    <row r="52408" s="76" customFormat="1" ht="21.95" customHeight="1" x14ac:dyDescent="0.15"/>
    <row r="52409" s="76" customFormat="1" ht="21.95" customHeight="1" x14ac:dyDescent="0.15"/>
    <row r="52410" s="76" customFormat="1" ht="21.95" customHeight="1" x14ac:dyDescent="0.15"/>
    <row r="52411" s="76" customFormat="1" ht="21.95" customHeight="1" x14ac:dyDescent="0.15"/>
    <row r="52412" s="76" customFormat="1" ht="21.95" customHeight="1" x14ac:dyDescent="0.15"/>
    <row r="52413" s="76" customFormat="1" ht="21.95" customHeight="1" x14ac:dyDescent="0.15"/>
    <row r="52414" s="76" customFormat="1" ht="21.95" customHeight="1" x14ac:dyDescent="0.15"/>
    <row r="52415" s="76" customFormat="1" ht="21.95" customHeight="1" x14ac:dyDescent="0.15"/>
    <row r="52416" s="76" customFormat="1" ht="21.95" customHeight="1" x14ac:dyDescent="0.15"/>
    <row r="52417" spans="3:3" customFormat="1" ht="21.95" customHeight="1" x14ac:dyDescent="0.15"/>
    <row r="52418" spans="3:3" customFormat="1" ht="21.95" customHeight="1" x14ac:dyDescent="0.15"/>
    <row r="52419" spans="3:3" customFormat="1" ht="21.95" customHeight="1" x14ac:dyDescent="0.15">
      <c r="C52419" s="94"/>
    </row>
    <row r="52420" spans="3:3" customFormat="1" ht="21.95" customHeight="1" x14ac:dyDescent="0.15">
      <c r="C52420" s="94"/>
    </row>
    <row r="52421" spans="3:3" customFormat="1" ht="21.95" customHeight="1" x14ac:dyDescent="0.15"/>
    <row r="52422" spans="3:3" customFormat="1" ht="21.95" customHeight="1" x14ac:dyDescent="0.15"/>
    <row r="52423" spans="3:3" customFormat="1" ht="21.95" customHeight="1" x14ac:dyDescent="0.15"/>
    <row r="52424" spans="3:3" customFormat="1" ht="21.95" customHeight="1" x14ac:dyDescent="0.15"/>
    <row r="52425" spans="3:3" customFormat="1" ht="21.95" customHeight="1" x14ac:dyDescent="0.15"/>
    <row r="52426" spans="3:3" customFormat="1" ht="21.95" customHeight="1" x14ac:dyDescent="0.15"/>
    <row r="52427" spans="3:3" customFormat="1" ht="21.95" customHeight="1" x14ac:dyDescent="0.15"/>
    <row r="52428" spans="3:3" s="76" customFormat="1" ht="21.95" customHeight="1" x14ac:dyDescent="0.15"/>
    <row r="52429" spans="3:3" s="76" customFormat="1" ht="21.95" customHeight="1" x14ac:dyDescent="0.15"/>
    <row r="52430" spans="3:3" s="76" customFormat="1" ht="21.95" customHeight="1" x14ac:dyDescent="0.15"/>
    <row r="52431" spans="3:3" s="76" customFormat="1" ht="21.95" customHeight="1" x14ac:dyDescent="0.15"/>
    <row r="52432" spans="3:3" customFormat="1" ht="21.95" customHeight="1" x14ac:dyDescent="0.15"/>
    <row r="52433" customFormat="1" ht="21.95" customHeight="1" x14ac:dyDescent="0.15"/>
    <row r="52434" customFormat="1" ht="21.95" customHeight="1" x14ac:dyDescent="0.15"/>
    <row r="52435" customFormat="1" ht="21.95" customHeight="1" x14ac:dyDescent="0.15"/>
    <row r="52436" customFormat="1" ht="21.95" customHeight="1" x14ac:dyDescent="0.15"/>
    <row r="52437" customFormat="1" ht="21.95" customHeight="1" x14ac:dyDescent="0.15"/>
    <row r="52438" customFormat="1" ht="21.95" customHeight="1" x14ac:dyDescent="0.15"/>
    <row r="52439" customFormat="1" ht="21.95" customHeight="1" x14ac:dyDescent="0.15"/>
    <row r="52440" customFormat="1" ht="21.95" customHeight="1" x14ac:dyDescent="0.15"/>
    <row r="52441" customFormat="1" ht="21.95" customHeight="1" x14ac:dyDescent="0.15"/>
    <row r="52442" customFormat="1" ht="21.95" customHeight="1" x14ac:dyDescent="0.15"/>
    <row r="52443" customFormat="1" ht="32.1" customHeight="1" x14ac:dyDescent="0.15"/>
    <row r="52444" customFormat="1" ht="32.1" customHeight="1" x14ac:dyDescent="0.15"/>
    <row r="52445" customFormat="1" ht="32.1" customHeight="1" x14ac:dyDescent="0.15"/>
    <row r="52446" customFormat="1" ht="32.1" customHeight="1" x14ac:dyDescent="0.15"/>
    <row r="52447" customFormat="1" ht="32.1" customHeight="1" x14ac:dyDescent="0.15"/>
    <row r="52448" customFormat="1" ht="32.1" customHeight="1" x14ac:dyDescent="0.15"/>
    <row r="52449" s="76" customFormat="1" ht="32.1" customHeight="1" x14ac:dyDescent="0.15"/>
    <row r="52450" s="76" customFormat="1" ht="32.1" customHeight="1" x14ac:dyDescent="0.15"/>
    <row r="52451" s="76" customFormat="1" ht="32.1" customHeight="1" x14ac:dyDescent="0.15"/>
    <row r="52452" s="76" customFormat="1" ht="32.1" customHeight="1" x14ac:dyDescent="0.15"/>
    <row r="52453" s="76" customFormat="1" ht="21.95" customHeight="1" x14ac:dyDescent="0.15"/>
    <row r="52454" s="76" customFormat="1" ht="54" customHeight="1" x14ac:dyDescent="0.15"/>
    <row r="52455" s="76" customFormat="1" ht="21.95" customHeight="1" x14ac:dyDescent="0.15"/>
    <row r="52456" s="76" customFormat="1" ht="21.95" customHeight="1" x14ac:dyDescent="0.15"/>
    <row r="52457" s="76" customFormat="1" ht="21.95" customHeight="1" x14ac:dyDescent="0.15"/>
    <row r="52458" s="76" customFormat="1" ht="21.95" customHeight="1" x14ac:dyDescent="0.15"/>
    <row r="52459" s="76" customFormat="1" ht="21.95" customHeight="1" x14ac:dyDescent="0.15"/>
    <row r="52460" s="76" customFormat="1" ht="21.95" customHeight="1" x14ac:dyDescent="0.15"/>
    <row r="52461" s="76" customFormat="1" ht="21.95" customHeight="1" x14ac:dyDescent="0.15"/>
    <row r="52462" s="76" customFormat="1" ht="21.95" customHeight="1" x14ac:dyDescent="0.15"/>
    <row r="52463" s="76" customFormat="1" ht="21.95" customHeight="1" x14ac:dyDescent="0.15"/>
    <row r="52464" s="76" customFormat="1" ht="21.95" customHeight="1" x14ac:dyDescent="0.15"/>
    <row r="52465" s="76" customFormat="1" ht="21.95" customHeight="1" x14ac:dyDescent="0.15"/>
    <row r="52466" s="76" customFormat="1" ht="21.95" customHeight="1" x14ac:dyDescent="0.15"/>
    <row r="52467" s="76" customFormat="1" ht="21.95" customHeight="1" x14ac:dyDescent="0.15"/>
    <row r="52468" s="76" customFormat="1" ht="21.95" customHeight="1" x14ac:dyDescent="0.15"/>
    <row r="52469" s="76" customFormat="1" ht="21.95" customHeight="1" x14ac:dyDescent="0.15"/>
    <row r="52470" s="76" customFormat="1" ht="21.95" customHeight="1" x14ac:dyDescent="0.15"/>
    <row r="52471" s="76" customFormat="1" ht="21.95" customHeight="1" x14ac:dyDescent="0.15"/>
    <row r="52472" s="76" customFormat="1" ht="21.95" customHeight="1" x14ac:dyDescent="0.15"/>
    <row r="52473" s="76" customFormat="1" ht="21.95" customHeight="1" x14ac:dyDescent="0.15"/>
    <row r="52474" s="76" customFormat="1" ht="21.95" customHeight="1" x14ac:dyDescent="0.15"/>
    <row r="52475" s="76" customFormat="1" ht="21.95" customHeight="1" x14ac:dyDescent="0.15"/>
    <row r="52476" s="76" customFormat="1" ht="21.95" customHeight="1" x14ac:dyDescent="0.15"/>
    <row r="52477" s="76" customFormat="1" ht="21.95" customHeight="1" x14ac:dyDescent="0.15"/>
    <row r="52478" s="76" customFormat="1" ht="21.95" customHeight="1" x14ac:dyDescent="0.15"/>
    <row r="52479" s="76" customFormat="1" ht="21.95" customHeight="1" x14ac:dyDescent="0.15"/>
    <row r="52480" s="76" customFormat="1" ht="21.95" customHeight="1" x14ac:dyDescent="0.15"/>
    <row r="52481" s="76" customFormat="1" ht="21.95" customHeight="1" x14ac:dyDescent="0.15"/>
    <row r="52482" s="76" customFormat="1" ht="21.95" customHeight="1" x14ac:dyDescent="0.15"/>
    <row r="52483" s="76" customFormat="1" ht="21.95" customHeight="1" x14ac:dyDescent="0.15"/>
    <row r="52484" s="76" customFormat="1" ht="21.95" customHeight="1" x14ac:dyDescent="0.15"/>
    <row r="52485" s="76" customFormat="1" ht="21.95" customHeight="1" x14ac:dyDescent="0.15"/>
    <row r="52486" s="76" customFormat="1" ht="21.95" customHeight="1" x14ac:dyDescent="0.15"/>
    <row r="52487" s="76" customFormat="1" ht="21.95" customHeight="1" x14ac:dyDescent="0.15"/>
    <row r="52488" s="76" customFormat="1" ht="21.95" customHeight="1" x14ac:dyDescent="0.15"/>
    <row r="52489" s="76" customFormat="1" ht="21.95" customHeight="1" x14ac:dyDescent="0.15"/>
    <row r="52490" s="76" customFormat="1" ht="21.95" customHeight="1" x14ac:dyDescent="0.15"/>
    <row r="52491" s="76" customFormat="1" ht="21.95" customHeight="1" x14ac:dyDescent="0.15"/>
    <row r="52492" s="76" customFormat="1" ht="21.95" customHeight="1" x14ac:dyDescent="0.15"/>
    <row r="52493" s="76" customFormat="1" ht="21.95" customHeight="1" x14ac:dyDescent="0.15"/>
    <row r="52494" s="76" customFormat="1" ht="21.95" customHeight="1" x14ac:dyDescent="0.15"/>
    <row r="52495" s="76" customFormat="1" ht="21.95" customHeight="1" x14ac:dyDescent="0.15"/>
    <row r="52496" s="76" customFormat="1" ht="21.95" customHeight="1" x14ac:dyDescent="0.15"/>
    <row r="52497" s="76" customFormat="1" ht="21.95" customHeight="1" x14ac:dyDescent="0.15"/>
    <row r="52498" s="76" customFormat="1" ht="21.95" customHeight="1" x14ac:dyDescent="0.15"/>
    <row r="52499" s="76" customFormat="1" ht="21.95" customHeight="1" x14ac:dyDescent="0.15"/>
    <row r="52500" s="76" customFormat="1" ht="21.95" customHeight="1" x14ac:dyDescent="0.15"/>
    <row r="52501" s="76" customFormat="1" ht="21.95" customHeight="1" x14ac:dyDescent="0.15"/>
    <row r="52502" s="76" customFormat="1" ht="21.95" customHeight="1" x14ac:dyDescent="0.15"/>
    <row r="52503" s="76" customFormat="1" ht="21.95" customHeight="1" x14ac:dyDescent="0.15"/>
    <row r="52504" s="76" customFormat="1" ht="21.95" customHeight="1" x14ac:dyDescent="0.15"/>
    <row r="52505" s="76" customFormat="1" ht="35.1" customHeight="1" x14ac:dyDescent="0.15"/>
    <row r="52506" s="76" customFormat="1" ht="21.95" customHeight="1" x14ac:dyDescent="0.15"/>
    <row r="52507" s="76" customFormat="1" ht="21.95" customHeight="1" x14ac:dyDescent="0.15"/>
    <row r="52508" s="76" customFormat="1" ht="21.95" customHeight="1" x14ac:dyDescent="0.15"/>
    <row r="52509" s="76" customFormat="1" ht="21.95" customHeight="1" x14ac:dyDescent="0.15"/>
    <row r="52510" s="76" customFormat="1" ht="21.95" customHeight="1" x14ac:dyDescent="0.15"/>
    <row r="52511" s="76" customFormat="1" ht="21.95" customHeight="1" x14ac:dyDescent="0.15"/>
    <row r="52512" s="76" customFormat="1" ht="21.95" customHeight="1" x14ac:dyDescent="0.15"/>
    <row r="52513" s="76" customFormat="1" ht="21.95" customHeight="1" x14ac:dyDescent="0.15"/>
    <row r="52514" s="76" customFormat="1" ht="21.95" customHeight="1" x14ac:dyDescent="0.15"/>
    <row r="52515" s="76" customFormat="1" ht="21.95" customHeight="1" x14ac:dyDescent="0.15"/>
    <row r="52516" s="76" customFormat="1" ht="21.95" customHeight="1" x14ac:dyDescent="0.15"/>
    <row r="52517" s="76" customFormat="1" ht="21.95" customHeight="1" x14ac:dyDescent="0.15"/>
    <row r="52518" s="76" customFormat="1" ht="21.95" customHeight="1" x14ac:dyDescent="0.15"/>
    <row r="52519" s="76" customFormat="1" ht="21.95" customHeight="1" x14ac:dyDescent="0.15"/>
    <row r="52520" s="76" customFormat="1" ht="21.95" customHeight="1" x14ac:dyDescent="0.15"/>
    <row r="52521" s="76" customFormat="1" ht="21.95" customHeight="1" x14ac:dyDescent="0.15"/>
    <row r="52522" s="76" customFormat="1" ht="21.95" customHeight="1" x14ac:dyDescent="0.15"/>
    <row r="52523" s="76" customFormat="1" ht="21.95" customHeight="1" x14ac:dyDescent="0.15"/>
    <row r="52524" s="76" customFormat="1" ht="21.95" customHeight="1" x14ac:dyDescent="0.15"/>
    <row r="52525" s="76" customFormat="1" ht="21.95" customHeight="1" x14ac:dyDescent="0.15"/>
    <row r="52526" s="76" customFormat="1" ht="21.95" customHeight="1" x14ac:dyDescent="0.15"/>
    <row r="52527" s="76" customFormat="1" ht="21.95" customHeight="1" x14ac:dyDescent="0.15"/>
    <row r="52528" s="76" customFormat="1" ht="21.95" customHeight="1" x14ac:dyDescent="0.15"/>
    <row r="52529" spans="3:3" customFormat="1" ht="21.95" customHeight="1" x14ac:dyDescent="0.15"/>
    <row r="52530" spans="3:3" customFormat="1" ht="21.95" customHeight="1" x14ac:dyDescent="0.15"/>
    <row r="52531" spans="3:3" customFormat="1" ht="21.95" customHeight="1" x14ac:dyDescent="0.15">
      <c r="C52531" s="94"/>
    </row>
    <row r="52532" spans="3:3" customFormat="1" ht="21.95" customHeight="1" x14ac:dyDescent="0.15">
      <c r="C52532" s="94"/>
    </row>
    <row r="52533" spans="3:3" customFormat="1" ht="21.95" customHeight="1" x14ac:dyDescent="0.15"/>
    <row r="52534" spans="3:3" customFormat="1" ht="21.95" customHeight="1" x14ac:dyDescent="0.15"/>
    <row r="52535" spans="3:3" customFormat="1" ht="21.95" customHeight="1" x14ac:dyDescent="0.15"/>
    <row r="52536" spans="3:3" customFormat="1" ht="21.95" customHeight="1" x14ac:dyDescent="0.15"/>
    <row r="52537" spans="3:3" customFormat="1" ht="21.95" customHeight="1" x14ac:dyDescent="0.15"/>
    <row r="52538" spans="3:3" customFormat="1" ht="21.95" customHeight="1" x14ac:dyDescent="0.15"/>
    <row r="52539" spans="3:3" customFormat="1" ht="21.95" customHeight="1" x14ac:dyDescent="0.15"/>
    <row r="52540" spans="3:3" s="76" customFormat="1" ht="21.95" customHeight="1" x14ac:dyDescent="0.15"/>
    <row r="52541" spans="3:3" s="76" customFormat="1" ht="21.95" customHeight="1" x14ac:dyDescent="0.15"/>
    <row r="52542" spans="3:3" s="76" customFormat="1" ht="21.95" customHeight="1" x14ac:dyDescent="0.15"/>
    <row r="52543" spans="3:3" s="76" customFormat="1" ht="21.95" customHeight="1" x14ac:dyDescent="0.15"/>
    <row r="52544" spans="3:3" customFormat="1" ht="21.95" customHeight="1" x14ac:dyDescent="0.15"/>
    <row r="52545" customFormat="1" ht="21.95" customHeight="1" x14ac:dyDescent="0.15"/>
    <row r="52546" customFormat="1" ht="21.95" customHeight="1" x14ac:dyDescent="0.15"/>
    <row r="52547" customFormat="1" ht="21.95" customHeight="1" x14ac:dyDescent="0.15"/>
    <row r="52548" customFormat="1" ht="21.95" customHeight="1" x14ac:dyDescent="0.15"/>
    <row r="52549" customFormat="1" ht="21.95" customHeight="1" x14ac:dyDescent="0.15"/>
    <row r="52550" customFormat="1" ht="21.95" customHeight="1" x14ac:dyDescent="0.15"/>
    <row r="52551" customFormat="1" ht="21.95" customHeight="1" x14ac:dyDescent="0.15"/>
    <row r="52552" customFormat="1" ht="21.95" customHeight="1" x14ac:dyDescent="0.15"/>
    <row r="52553" customFormat="1" ht="21.95" customHeight="1" x14ac:dyDescent="0.15"/>
    <row r="52554" customFormat="1" ht="21.95" customHeight="1" x14ac:dyDescent="0.15"/>
    <row r="52555" customFormat="1" ht="32.1" customHeight="1" x14ac:dyDescent="0.15"/>
    <row r="52556" customFormat="1" ht="32.1" customHeight="1" x14ac:dyDescent="0.15"/>
    <row r="52557" customFormat="1" ht="32.1" customHeight="1" x14ac:dyDescent="0.15"/>
    <row r="52558" customFormat="1" ht="32.1" customHeight="1" x14ac:dyDescent="0.15"/>
    <row r="52559" customFormat="1" ht="32.1" customHeight="1" x14ac:dyDescent="0.15"/>
    <row r="52560" customFormat="1" ht="32.1" customHeight="1" x14ac:dyDescent="0.15"/>
    <row r="52561" s="76" customFormat="1" ht="32.1" customHeight="1" x14ac:dyDescent="0.15"/>
    <row r="52562" s="76" customFormat="1" ht="32.1" customHeight="1" x14ac:dyDescent="0.15"/>
    <row r="52563" s="76" customFormat="1" ht="32.1" customHeight="1" x14ac:dyDescent="0.15"/>
    <row r="52564" s="76" customFormat="1" ht="32.1" customHeight="1" x14ac:dyDescent="0.15"/>
    <row r="52565" s="76" customFormat="1" ht="21.95" customHeight="1" x14ac:dyDescent="0.15"/>
    <row r="52566" s="76" customFormat="1" ht="54" customHeight="1" x14ac:dyDescent="0.15"/>
    <row r="52567" s="76" customFormat="1" ht="21.95" customHeight="1" x14ac:dyDescent="0.15"/>
    <row r="52568" s="76" customFormat="1" ht="21.95" customHeight="1" x14ac:dyDescent="0.15"/>
    <row r="52569" s="76" customFormat="1" ht="21.95" customHeight="1" x14ac:dyDescent="0.15"/>
    <row r="52570" s="76" customFormat="1" ht="21.95" customHeight="1" x14ac:dyDescent="0.15"/>
    <row r="52571" s="76" customFormat="1" ht="21.95" customHeight="1" x14ac:dyDescent="0.15"/>
    <row r="52572" s="76" customFormat="1" ht="21.95" customHeight="1" x14ac:dyDescent="0.15"/>
    <row r="52573" s="76" customFormat="1" ht="21.95" customHeight="1" x14ac:dyDescent="0.15"/>
    <row r="52574" s="76" customFormat="1" ht="21.95" customHeight="1" x14ac:dyDescent="0.15"/>
    <row r="52575" s="76" customFormat="1" ht="21.95" customHeight="1" x14ac:dyDescent="0.15"/>
    <row r="52576" s="76" customFormat="1" ht="21.95" customHeight="1" x14ac:dyDescent="0.15"/>
    <row r="52577" s="76" customFormat="1" ht="21.95" customHeight="1" x14ac:dyDescent="0.15"/>
    <row r="52578" s="76" customFormat="1" ht="21.95" customHeight="1" x14ac:dyDescent="0.15"/>
    <row r="52579" s="76" customFormat="1" ht="21.95" customHeight="1" x14ac:dyDescent="0.15"/>
    <row r="52580" s="76" customFormat="1" ht="21.95" customHeight="1" x14ac:dyDescent="0.15"/>
    <row r="52581" s="76" customFormat="1" ht="21.95" customHeight="1" x14ac:dyDescent="0.15"/>
    <row r="52582" s="76" customFormat="1" ht="21.95" customHeight="1" x14ac:dyDescent="0.15"/>
    <row r="52583" s="76" customFormat="1" ht="21.95" customHeight="1" x14ac:dyDescent="0.15"/>
    <row r="52584" s="76" customFormat="1" ht="21.95" customHeight="1" x14ac:dyDescent="0.15"/>
    <row r="52585" s="76" customFormat="1" ht="21.95" customHeight="1" x14ac:dyDescent="0.15"/>
    <row r="52586" s="76" customFormat="1" ht="21.95" customHeight="1" x14ac:dyDescent="0.15"/>
    <row r="52587" s="76" customFormat="1" ht="21.95" customHeight="1" x14ac:dyDescent="0.15"/>
    <row r="52588" s="76" customFormat="1" ht="21.95" customHeight="1" x14ac:dyDescent="0.15"/>
    <row r="52589" s="76" customFormat="1" ht="21.95" customHeight="1" x14ac:dyDescent="0.15"/>
    <row r="52590" s="76" customFormat="1" ht="21.95" customHeight="1" x14ac:dyDescent="0.15"/>
    <row r="52591" s="76" customFormat="1" ht="21.95" customHeight="1" x14ac:dyDescent="0.15"/>
    <row r="52592" s="76" customFormat="1" ht="21.95" customHeight="1" x14ac:dyDescent="0.15"/>
    <row r="52593" s="76" customFormat="1" ht="21.95" customHeight="1" x14ac:dyDescent="0.15"/>
    <row r="52594" s="76" customFormat="1" ht="21.95" customHeight="1" x14ac:dyDescent="0.15"/>
    <row r="52595" s="76" customFormat="1" ht="21.95" customHeight="1" x14ac:dyDescent="0.15"/>
    <row r="52596" s="76" customFormat="1" ht="21.95" customHeight="1" x14ac:dyDescent="0.15"/>
    <row r="52597" s="76" customFormat="1" ht="21.95" customHeight="1" x14ac:dyDescent="0.15"/>
    <row r="52598" s="76" customFormat="1" ht="21.95" customHeight="1" x14ac:dyDescent="0.15"/>
    <row r="52599" s="76" customFormat="1" ht="21.95" customHeight="1" x14ac:dyDescent="0.15"/>
    <row r="52600" s="76" customFormat="1" ht="21.95" customHeight="1" x14ac:dyDescent="0.15"/>
    <row r="52601" s="76" customFormat="1" ht="21.95" customHeight="1" x14ac:dyDescent="0.15"/>
    <row r="52602" s="76" customFormat="1" ht="21.95" customHeight="1" x14ac:dyDescent="0.15"/>
    <row r="52603" s="76" customFormat="1" ht="21.95" customHeight="1" x14ac:dyDescent="0.15"/>
    <row r="52604" s="76" customFormat="1" ht="21.95" customHeight="1" x14ac:dyDescent="0.15"/>
    <row r="52605" s="76" customFormat="1" ht="21.95" customHeight="1" x14ac:dyDescent="0.15"/>
    <row r="52606" s="76" customFormat="1" ht="21.95" customHeight="1" x14ac:dyDescent="0.15"/>
    <row r="52607" s="76" customFormat="1" ht="21.95" customHeight="1" x14ac:dyDescent="0.15"/>
    <row r="52608" s="76" customFormat="1" ht="21.95" customHeight="1" x14ac:dyDescent="0.15"/>
    <row r="52609" s="76" customFormat="1" ht="21.95" customHeight="1" x14ac:dyDescent="0.15"/>
    <row r="52610" s="76" customFormat="1" ht="21.95" customHeight="1" x14ac:dyDescent="0.15"/>
    <row r="52611" s="76" customFormat="1" ht="21.95" customHeight="1" x14ac:dyDescent="0.15"/>
    <row r="52612" s="76" customFormat="1" ht="21.95" customHeight="1" x14ac:dyDescent="0.15"/>
    <row r="52613" s="76" customFormat="1" ht="21.95" customHeight="1" x14ac:dyDescent="0.15"/>
    <row r="52614" s="76" customFormat="1" ht="21.95" customHeight="1" x14ac:dyDescent="0.15"/>
    <row r="52615" s="76" customFormat="1" ht="21.95" customHeight="1" x14ac:dyDescent="0.15"/>
    <row r="52616" s="76" customFormat="1" ht="21.95" customHeight="1" x14ac:dyDescent="0.15"/>
    <row r="52617" s="76" customFormat="1" ht="35.1" customHeight="1" x14ac:dyDescent="0.15"/>
    <row r="52618" s="76" customFormat="1" ht="21.95" customHeight="1" x14ac:dyDescent="0.15"/>
    <row r="52619" s="76" customFormat="1" ht="21.95" customHeight="1" x14ac:dyDescent="0.15"/>
    <row r="52620" s="76" customFormat="1" ht="21.95" customHeight="1" x14ac:dyDescent="0.15"/>
    <row r="52621" s="76" customFormat="1" ht="21.95" customHeight="1" x14ac:dyDescent="0.15"/>
    <row r="52622" s="76" customFormat="1" ht="21.95" customHeight="1" x14ac:dyDescent="0.15"/>
    <row r="52623" s="76" customFormat="1" ht="21.95" customHeight="1" x14ac:dyDescent="0.15"/>
    <row r="52624" s="76" customFormat="1" ht="21.95" customHeight="1" x14ac:dyDescent="0.15"/>
    <row r="52625" s="76" customFormat="1" ht="21.95" customHeight="1" x14ac:dyDescent="0.15"/>
    <row r="52626" s="76" customFormat="1" ht="21.95" customHeight="1" x14ac:dyDescent="0.15"/>
    <row r="52627" s="76" customFormat="1" ht="21.95" customHeight="1" x14ac:dyDescent="0.15"/>
    <row r="52628" s="76" customFormat="1" ht="21.95" customHeight="1" x14ac:dyDescent="0.15"/>
    <row r="52629" s="76" customFormat="1" ht="21.95" customHeight="1" x14ac:dyDescent="0.15"/>
    <row r="52630" s="76" customFormat="1" ht="21.95" customHeight="1" x14ac:dyDescent="0.15"/>
    <row r="52631" s="76" customFormat="1" ht="21.95" customHeight="1" x14ac:dyDescent="0.15"/>
    <row r="52632" s="76" customFormat="1" ht="21.95" customHeight="1" x14ac:dyDescent="0.15"/>
    <row r="52633" s="76" customFormat="1" ht="21.95" customHeight="1" x14ac:dyDescent="0.15"/>
    <row r="52634" s="76" customFormat="1" ht="21.95" customHeight="1" x14ac:dyDescent="0.15"/>
    <row r="52635" s="76" customFormat="1" ht="21.95" customHeight="1" x14ac:dyDescent="0.15"/>
    <row r="52636" s="76" customFormat="1" ht="21.95" customHeight="1" x14ac:dyDescent="0.15"/>
    <row r="52637" s="76" customFormat="1" ht="21.95" customHeight="1" x14ac:dyDescent="0.15"/>
    <row r="52638" s="76" customFormat="1" ht="21.95" customHeight="1" x14ac:dyDescent="0.15"/>
    <row r="52639" s="76" customFormat="1" ht="21.95" customHeight="1" x14ac:dyDescent="0.15"/>
    <row r="52640" s="76" customFormat="1" ht="21.95" customHeight="1" x14ac:dyDescent="0.15"/>
    <row r="52641" spans="3:3" customFormat="1" ht="21.95" customHeight="1" x14ac:dyDescent="0.15"/>
    <row r="52642" spans="3:3" customFormat="1" ht="21.95" customHeight="1" x14ac:dyDescent="0.15"/>
    <row r="52643" spans="3:3" customFormat="1" ht="21.95" customHeight="1" x14ac:dyDescent="0.15">
      <c r="C52643" s="94"/>
    </row>
    <row r="52644" spans="3:3" customFormat="1" ht="21.95" customHeight="1" x14ac:dyDescent="0.15">
      <c r="C52644" s="94"/>
    </row>
    <row r="52645" spans="3:3" customFormat="1" ht="21.95" customHeight="1" x14ac:dyDescent="0.15"/>
    <row r="52646" spans="3:3" customFormat="1" ht="21.95" customHeight="1" x14ac:dyDescent="0.15"/>
    <row r="52647" spans="3:3" customFormat="1" ht="21.95" customHeight="1" x14ac:dyDescent="0.15"/>
    <row r="52648" spans="3:3" customFormat="1" ht="21.95" customHeight="1" x14ac:dyDescent="0.15"/>
    <row r="52649" spans="3:3" customFormat="1" ht="21.95" customHeight="1" x14ac:dyDescent="0.15"/>
    <row r="52650" spans="3:3" customFormat="1" ht="21.95" customHeight="1" x14ac:dyDescent="0.15"/>
    <row r="52651" spans="3:3" customFormat="1" ht="21.95" customHeight="1" x14ac:dyDescent="0.15"/>
    <row r="52652" spans="3:3" s="76" customFormat="1" ht="21.95" customHeight="1" x14ac:dyDescent="0.15"/>
    <row r="52653" spans="3:3" s="76" customFormat="1" ht="21.95" customHeight="1" x14ac:dyDescent="0.15"/>
    <row r="52654" spans="3:3" s="76" customFormat="1" ht="21.95" customHeight="1" x14ac:dyDescent="0.15"/>
    <row r="52655" spans="3:3" s="76" customFormat="1" ht="21.95" customHeight="1" x14ac:dyDescent="0.15"/>
    <row r="52656" spans="3:3" customFormat="1" ht="21.95" customHeight="1" x14ac:dyDescent="0.15"/>
    <row r="52657" customFormat="1" ht="21.95" customHeight="1" x14ac:dyDescent="0.15"/>
    <row r="52658" customFormat="1" ht="21.95" customHeight="1" x14ac:dyDescent="0.15"/>
    <row r="52659" customFormat="1" ht="21.95" customHeight="1" x14ac:dyDescent="0.15"/>
    <row r="52660" customFormat="1" ht="21.95" customHeight="1" x14ac:dyDescent="0.15"/>
    <row r="52661" customFormat="1" ht="21.95" customHeight="1" x14ac:dyDescent="0.15"/>
    <row r="52662" customFormat="1" ht="21.95" customHeight="1" x14ac:dyDescent="0.15"/>
    <row r="52663" customFormat="1" ht="21.95" customHeight="1" x14ac:dyDescent="0.15"/>
    <row r="52664" customFormat="1" ht="21.95" customHeight="1" x14ac:dyDescent="0.15"/>
    <row r="52665" customFormat="1" ht="21.95" customHeight="1" x14ac:dyDescent="0.15"/>
    <row r="52666" customFormat="1" ht="21.95" customHeight="1" x14ac:dyDescent="0.15"/>
    <row r="52667" customFormat="1" ht="32.1" customHeight="1" x14ac:dyDescent="0.15"/>
    <row r="52668" customFormat="1" ht="32.1" customHeight="1" x14ac:dyDescent="0.15"/>
    <row r="52669" customFormat="1" ht="32.1" customHeight="1" x14ac:dyDescent="0.15"/>
    <row r="52670" customFormat="1" ht="32.1" customHeight="1" x14ac:dyDescent="0.15"/>
    <row r="52671" customFormat="1" ht="32.1" customHeight="1" x14ac:dyDescent="0.15"/>
    <row r="52672" customFormat="1" ht="32.1" customHeight="1" x14ac:dyDescent="0.15"/>
    <row r="52673" s="76" customFormat="1" ht="32.1" customHeight="1" x14ac:dyDescent="0.15"/>
    <row r="52674" s="76" customFormat="1" ht="32.1" customHeight="1" x14ac:dyDescent="0.15"/>
    <row r="52675" s="76" customFormat="1" ht="32.1" customHeight="1" x14ac:dyDescent="0.15"/>
    <row r="52676" s="76" customFormat="1" ht="32.1" customHeight="1" x14ac:dyDescent="0.15"/>
    <row r="52677" s="76" customFormat="1" ht="21.95" customHeight="1" x14ac:dyDescent="0.15"/>
    <row r="52678" s="76" customFormat="1" ht="54" customHeight="1" x14ac:dyDescent="0.15"/>
    <row r="52679" s="76" customFormat="1" ht="21.95" customHeight="1" x14ac:dyDescent="0.15"/>
    <row r="52680" s="76" customFormat="1" ht="21.95" customHeight="1" x14ac:dyDescent="0.15"/>
    <row r="52681" s="76" customFormat="1" ht="21.95" customHeight="1" x14ac:dyDescent="0.15"/>
    <row r="52682" s="76" customFormat="1" ht="21.95" customHeight="1" x14ac:dyDescent="0.15"/>
    <row r="52683" s="76" customFormat="1" ht="21.95" customHeight="1" x14ac:dyDescent="0.15"/>
    <row r="52684" s="76" customFormat="1" ht="21.95" customHeight="1" x14ac:dyDescent="0.15"/>
    <row r="52685" s="76" customFormat="1" ht="21.95" customHeight="1" x14ac:dyDescent="0.15"/>
    <row r="52686" s="76" customFormat="1" ht="21.95" customHeight="1" x14ac:dyDescent="0.15"/>
    <row r="52687" s="76" customFormat="1" ht="21.95" customHeight="1" x14ac:dyDescent="0.15"/>
    <row r="52688" s="76" customFormat="1" ht="21.95" customHeight="1" x14ac:dyDescent="0.15"/>
    <row r="52689" s="76" customFormat="1" ht="21.95" customHeight="1" x14ac:dyDescent="0.15"/>
    <row r="52690" s="76" customFormat="1" ht="21.95" customHeight="1" x14ac:dyDescent="0.15"/>
    <row r="52691" s="76" customFormat="1" ht="21.95" customHeight="1" x14ac:dyDescent="0.15"/>
    <row r="52692" s="76" customFormat="1" ht="21.95" customHeight="1" x14ac:dyDescent="0.15"/>
    <row r="52693" s="76" customFormat="1" ht="21.95" customHeight="1" x14ac:dyDescent="0.15"/>
    <row r="52694" s="76" customFormat="1" ht="21.95" customHeight="1" x14ac:dyDescent="0.15"/>
    <row r="52695" s="76" customFormat="1" ht="21.95" customHeight="1" x14ac:dyDescent="0.15"/>
    <row r="52696" s="76" customFormat="1" ht="21.95" customHeight="1" x14ac:dyDescent="0.15"/>
    <row r="52697" s="76" customFormat="1" ht="21.95" customHeight="1" x14ac:dyDescent="0.15"/>
    <row r="52698" s="76" customFormat="1" ht="21.95" customHeight="1" x14ac:dyDescent="0.15"/>
    <row r="52699" s="76" customFormat="1" ht="21.95" customHeight="1" x14ac:dyDescent="0.15"/>
    <row r="52700" s="76" customFormat="1" ht="21.95" customHeight="1" x14ac:dyDescent="0.15"/>
    <row r="52701" s="76" customFormat="1" ht="21.95" customHeight="1" x14ac:dyDescent="0.15"/>
    <row r="52702" s="76" customFormat="1" ht="21.95" customHeight="1" x14ac:dyDescent="0.15"/>
    <row r="52703" s="76" customFormat="1" ht="21.95" customHeight="1" x14ac:dyDescent="0.15"/>
    <row r="52704" s="76" customFormat="1" ht="21.95" customHeight="1" x14ac:dyDescent="0.15"/>
    <row r="52705" s="76" customFormat="1" ht="21.95" customHeight="1" x14ac:dyDescent="0.15"/>
    <row r="52706" s="76" customFormat="1" ht="21.95" customHeight="1" x14ac:dyDescent="0.15"/>
    <row r="52707" s="76" customFormat="1" ht="21.95" customHeight="1" x14ac:dyDescent="0.15"/>
    <row r="52708" s="76" customFormat="1" ht="21.95" customHeight="1" x14ac:dyDescent="0.15"/>
    <row r="52709" s="76" customFormat="1" ht="21.95" customHeight="1" x14ac:dyDescent="0.15"/>
    <row r="52710" s="76" customFormat="1" ht="21.95" customHeight="1" x14ac:dyDescent="0.15"/>
    <row r="52711" s="76" customFormat="1" ht="21.95" customHeight="1" x14ac:dyDescent="0.15"/>
    <row r="52712" s="76" customFormat="1" ht="21.95" customHeight="1" x14ac:dyDescent="0.15"/>
    <row r="52713" s="76" customFormat="1" ht="21.95" customHeight="1" x14ac:dyDescent="0.15"/>
    <row r="52714" s="76" customFormat="1" ht="21.95" customHeight="1" x14ac:dyDescent="0.15"/>
    <row r="52715" s="76" customFormat="1" ht="21.95" customHeight="1" x14ac:dyDescent="0.15"/>
    <row r="52716" s="76" customFormat="1" ht="21.95" customHeight="1" x14ac:dyDescent="0.15"/>
    <row r="52717" s="76" customFormat="1" ht="21.95" customHeight="1" x14ac:dyDescent="0.15"/>
    <row r="52718" s="76" customFormat="1" ht="21.95" customHeight="1" x14ac:dyDescent="0.15"/>
    <row r="52719" s="76" customFormat="1" ht="21.95" customHeight="1" x14ac:dyDescent="0.15"/>
    <row r="52720" s="76" customFormat="1" ht="21.95" customHeight="1" x14ac:dyDescent="0.15"/>
    <row r="52721" s="76" customFormat="1" ht="21.95" customHeight="1" x14ac:dyDescent="0.15"/>
    <row r="52722" s="76" customFormat="1" ht="21.95" customHeight="1" x14ac:dyDescent="0.15"/>
    <row r="52723" s="76" customFormat="1" ht="21.95" customHeight="1" x14ac:dyDescent="0.15"/>
    <row r="52724" s="76" customFormat="1" ht="21.95" customHeight="1" x14ac:dyDescent="0.15"/>
    <row r="52725" s="76" customFormat="1" ht="21.95" customHeight="1" x14ac:dyDescent="0.15"/>
    <row r="52726" s="76" customFormat="1" ht="21.95" customHeight="1" x14ac:dyDescent="0.15"/>
    <row r="52727" s="76" customFormat="1" ht="21.95" customHeight="1" x14ac:dyDescent="0.15"/>
    <row r="52728" s="76" customFormat="1" ht="21.95" customHeight="1" x14ac:dyDescent="0.15"/>
    <row r="52729" s="76" customFormat="1" ht="35.1" customHeight="1" x14ac:dyDescent="0.15"/>
    <row r="52730" s="76" customFormat="1" ht="21.95" customHeight="1" x14ac:dyDescent="0.15"/>
    <row r="52731" s="76" customFormat="1" ht="21.95" customHeight="1" x14ac:dyDescent="0.15"/>
    <row r="52732" s="76" customFormat="1" ht="21.95" customHeight="1" x14ac:dyDescent="0.15"/>
    <row r="52733" s="76" customFormat="1" ht="21.95" customHeight="1" x14ac:dyDescent="0.15"/>
    <row r="52734" s="76" customFormat="1" ht="21.95" customHeight="1" x14ac:dyDescent="0.15"/>
    <row r="52735" s="76" customFormat="1" ht="21.95" customHeight="1" x14ac:dyDescent="0.15"/>
    <row r="52736" s="76" customFormat="1" ht="21.95" customHeight="1" x14ac:dyDescent="0.15"/>
    <row r="52737" s="76" customFormat="1" ht="21.95" customHeight="1" x14ac:dyDescent="0.15"/>
    <row r="52738" s="76" customFormat="1" ht="21.95" customHeight="1" x14ac:dyDescent="0.15"/>
    <row r="52739" s="76" customFormat="1" ht="21.95" customHeight="1" x14ac:dyDescent="0.15"/>
    <row r="52740" s="76" customFormat="1" ht="21.95" customHeight="1" x14ac:dyDescent="0.15"/>
    <row r="52741" s="76" customFormat="1" ht="21.95" customHeight="1" x14ac:dyDescent="0.15"/>
    <row r="52742" s="76" customFormat="1" ht="21.95" customHeight="1" x14ac:dyDescent="0.15"/>
    <row r="52743" s="76" customFormat="1" ht="21.95" customHeight="1" x14ac:dyDescent="0.15"/>
    <row r="52744" s="76" customFormat="1" ht="21.95" customHeight="1" x14ac:dyDescent="0.15"/>
    <row r="52745" s="76" customFormat="1" ht="21.95" customHeight="1" x14ac:dyDescent="0.15"/>
    <row r="52746" s="76" customFormat="1" ht="21.95" customHeight="1" x14ac:dyDescent="0.15"/>
    <row r="52747" s="76" customFormat="1" ht="21.95" customHeight="1" x14ac:dyDescent="0.15"/>
    <row r="52748" s="76" customFormat="1" ht="21.95" customHeight="1" x14ac:dyDescent="0.15"/>
    <row r="52749" s="76" customFormat="1" ht="21.95" customHeight="1" x14ac:dyDescent="0.15"/>
    <row r="52750" s="76" customFormat="1" ht="21.95" customHeight="1" x14ac:dyDescent="0.15"/>
    <row r="52751" s="76" customFormat="1" ht="21.95" customHeight="1" x14ac:dyDescent="0.15"/>
    <row r="52752" s="76" customFormat="1" ht="21.95" customHeight="1" x14ac:dyDescent="0.15"/>
    <row r="52753" spans="3:3" customFormat="1" ht="21.95" customHeight="1" x14ac:dyDescent="0.15"/>
    <row r="52754" spans="3:3" customFormat="1" ht="21.95" customHeight="1" x14ac:dyDescent="0.15"/>
    <row r="52755" spans="3:3" customFormat="1" ht="21.95" customHeight="1" x14ac:dyDescent="0.15">
      <c r="C52755" s="94"/>
    </row>
    <row r="52756" spans="3:3" customFormat="1" ht="21.95" customHeight="1" x14ac:dyDescent="0.15">
      <c r="C52756" s="94"/>
    </row>
    <row r="52757" spans="3:3" customFormat="1" ht="21.95" customHeight="1" x14ac:dyDescent="0.15"/>
    <row r="52758" spans="3:3" customFormat="1" ht="21.95" customHeight="1" x14ac:dyDescent="0.15"/>
    <row r="52759" spans="3:3" customFormat="1" ht="21.95" customHeight="1" x14ac:dyDescent="0.15"/>
    <row r="52760" spans="3:3" customFormat="1" ht="21.95" customHeight="1" x14ac:dyDescent="0.15"/>
    <row r="52761" spans="3:3" customFormat="1" ht="21.95" customHeight="1" x14ac:dyDescent="0.15"/>
    <row r="52762" spans="3:3" customFormat="1" ht="21.95" customHeight="1" x14ac:dyDescent="0.15"/>
    <row r="52763" spans="3:3" customFormat="1" ht="21.95" customHeight="1" x14ac:dyDescent="0.15"/>
    <row r="52764" spans="3:3" s="76" customFormat="1" ht="21.95" customHeight="1" x14ac:dyDescent="0.15"/>
    <row r="52765" spans="3:3" s="76" customFormat="1" ht="21.95" customHeight="1" x14ac:dyDescent="0.15"/>
    <row r="52766" spans="3:3" s="76" customFormat="1" ht="21.95" customHeight="1" x14ac:dyDescent="0.15"/>
    <row r="52767" spans="3:3" s="76" customFormat="1" ht="21.95" customHeight="1" x14ac:dyDescent="0.15"/>
    <row r="52768" spans="3:3" customFormat="1" ht="21.95" customHeight="1" x14ac:dyDescent="0.15"/>
    <row r="52769" customFormat="1" ht="21.95" customHeight="1" x14ac:dyDescent="0.15"/>
    <row r="52770" customFormat="1" ht="21.95" customHeight="1" x14ac:dyDescent="0.15"/>
    <row r="52771" customFormat="1" ht="21.95" customHeight="1" x14ac:dyDescent="0.15"/>
    <row r="52772" customFormat="1" ht="21.95" customHeight="1" x14ac:dyDescent="0.15"/>
    <row r="52773" customFormat="1" ht="21.95" customHeight="1" x14ac:dyDescent="0.15"/>
    <row r="52774" customFormat="1" ht="21.95" customHeight="1" x14ac:dyDescent="0.15"/>
    <row r="52775" customFormat="1" ht="21.95" customHeight="1" x14ac:dyDescent="0.15"/>
    <row r="52776" customFormat="1" ht="21.95" customHeight="1" x14ac:dyDescent="0.15"/>
    <row r="52777" customFormat="1" ht="21.95" customHeight="1" x14ac:dyDescent="0.15"/>
    <row r="52778" customFormat="1" ht="21.95" customHeight="1" x14ac:dyDescent="0.15"/>
    <row r="52779" customFormat="1" ht="32.1" customHeight="1" x14ac:dyDescent="0.15"/>
    <row r="52780" customFormat="1" ht="32.1" customHeight="1" x14ac:dyDescent="0.15"/>
    <row r="52781" customFormat="1" ht="32.1" customHeight="1" x14ac:dyDescent="0.15"/>
    <row r="52782" customFormat="1" ht="32.1" customHeight="1" x14ac:dyDescent="0.15"/>
    <row r="52783" customFormat="1" ht="32.1" customHeight="1" x14ac:dyDescent="0.15"/>
    <row r="52784" customFormat="1" ht="32.1" customHeight="1" x14ac:dyDescent="0.15"/>
    <row r="52785" s="76" customFormat="1" ht="32.1" customHeight="1" x14ac:dyDescent="0.15"/>
    <row r="52786" s="76" customFormat="1" ht="32.1" customHeight="1" x14ac:dyDescent="0.15"/>
    <row r="52787" s="76" customFormat="1" ht="32.1" customHeight="1" x14ac:dyDescent="0.15"/>
    <row r="52788" s="76" customFormat="1" ht="32.1" customHeight="1" x14ac:dyDescent="0.15"/>
    <row r="52789" s="76" customFormat="1" ht="21.95" customHeight="1" x14ac:dyDescent="0.15"/>
    <row r="52790" s="76" customFormat="1" ht="54" customHeight="1" x14ac:dyDescent="0.15"/>
    <row r="52791" s="76" customFormat="1" ht="21.95" customHeight="1" x14ac:dyDescent="0.15"/>
    <row r="52792" s="76" customFormat="1" ht="21.95" customHeight="1" x14ac:dyDescent="0.15"/>
    <row r="52793" s="76" customFormat="1" ht="21.95" customHeight="1" x14ac:dyDescent="0.15"/>
    <row r="52794" s="76" customFormat="1" ht="21.95" customHeight="1" x14ac:dyDescent="0.15"/>
    <row r="52795" s="76" customFormat="1" ht="21.95" customHeight="1" x14ac:dyDescent="0.15"/>
    <row r="52796" s="76" customFormat="1" ht="21.95" customHeight="1" x14ac:dyDescent="0.15"/>
    <row r="52797" s="76" customFormat="1" ht="21.95" customHeight="1" x14ac:dyDescent="0.15"/>
    <row r="52798" s="76" customFormat="1" ht="21.95" customHeight="1" x14ac:dyDescent="0.15"/>
    <row r="52799" s="76" customFormat="1" ht="21.95" customHeight="1" x14ac:dyDescent="0.15"/>
    <row r="52800" s="76" customFormat="1" ht="21.95" customHeight="1" x14ac:dyDescent="0.15"/>
    <row r="52801" s="76" customFormat="1" ht="21.95" customHeight="1" x14ac:dyDescent="0.15"/>
    <row r="52802" s="76" customFormat="1" ht="21.95" customHeight="1" x14ac:dyDescent="0.15"/>
    <row r="52803" s="76" customFormat="1" ht="21.95" customHeight="1" x14ac:dyDescent="0.15"/>
    <row r="52804" s="76" customFormat="1" ht="21.95" customHeight="1" x14ac:dyDescent="0.15"/>
    <row r="52805" s="76" customFormat="1" ht="21.95" customHeight="1" x14ac:dyDescent="0.15"/>
    <row r="52806" s="76" customFormat="1" ht="21.95" customHeight="1" x14ac:dyDescent="0.15"/>
    <row r="52807" s="76" customFormat="1" ht="21.95" customHeight="1" x14ac:dyDescent="0.15"/>
    <row r="52808" s="76" customFormat="1" ht="21.95" customHeight="1" x14ac:dyDescent="0.15"/>
    <row r="52809" s="76" customFormat="1" ht="21.95" customHeight="1" x14ac:dyDescent="0.15"/>
    <row r="52810" s="76" customFormat="1" ht="21.95" customHeight="1" x14ac:dyDescent="0.15"/>
    <row r="52811" s="76" customFormat="1" ht="21.95" customHeight="1" x14ac:dyDescent="0.15"/>
    <row r="52812" s="76" customFormat="1" ht="21.95" customHeight="1" x14ac:dyDescent="0.15"/>
    <row r="52813" s="76" customFormat="1" ht="21.95" customHeight="1" x14ac:dyDescent="0.15"/>
    <row r="52814" s="76" customFormat="1" ht="21.95" customHeight="1" x14ac:dyDescent="0.15"/>
    <row r="52815" s="76" customFormat="1" ht="21.95" customHeight="1" x14ac:dyDescent="0.15"/>
    <row r="52816" s="76" customFormat="1" ht="21.95" customHeight="1" x14ac:dyDescent="0.15"/>
    <row r="52817" s="76" customFormat="1" ht="21.95" customHeight="1" x14ac:dyDescent="0.15"/>
    <row r="52818" s="76" customFormat="1" ht="21.95" customHeight="1" x14ac:dyDescent="0.15"/>
    <row r="52819" s="76" customFormat="1" ht="21.95" customHeight="1" x14ac:dyDescent="0.15"/>
    <row r="52820" s="76" customFormat="1" ht="21.95" customHeight="1" x14ac:dyDescent="0.15"/>
    <row r="52821" s="76" customFormat="1" ht="21.95" customHeight="1" x14ac:dyDescent="0.15"/>
    <row r="52822" s="76" customFormat="1" ht="21.95" customHeight="1" x14ac:dyDescent="0.15"/>
    <row r="52823" s="76" customFormat="1" ht="21.95" customHeight="1" x14ac:dyDescent="0.15"/>
    <row r="52824" s="76" customFormat="1" ht="21.95" customHeight="1" x14ac:dyDescent="0.15"/>
    <row r="52825" s="76" customFormat="1" ht="21.95" customHeight="1" x14ac:dyDescent="0.15"/>
    <row r="52826" s="76" customFormat="1" ht="21.95" customHeight="1" x14ac:dyDescent="0.15"/>
    <row r="52827" s="76" customFormat="1" ht="21.95" customHeight="1" x14ac:dyDescent="0.15"/>
    <row r="52828" s="76" customFormat="1" ht="21.95" customHeight="1" x14ac:dyDescent="0.15"/>
    <row r="52829" s="76" customFormat="1" ht="21.95" customHeight="1" x14ac:dyDescent="0.15"/>
    <row r="52830" s="76" customFormat="1" ht="21.95" customHeight="1" x14ac:dyDescent="0.15"/>
    <row r="52831" s="76" customFormat="1" ht="21.95" customHeight="1" x14ac:dyDescent="0.15"/>
    <row r="52832" s="76" customFormat="1" ht="21.95" customHeight="1" x14ac:dyDescent="0.15"/>
    <row r="52833" s="76" customFormat="1" ht="21.95" customHeight="1" x14ac:dyDescent="0.15"/>
    <row r="52834" s="76" customFormat="1" ht="21.95" customHeight="1" x14ac:dyDescent="0.15"/>
    <row r="52835" s="76" customFormat="1" ht="21.95" customHeight="1" x14ac:dyDescent="0.15"/>
    <row r="52836" s="76" customFormat="1" ht="21.95" customHeight="1" x14ac:dyDescent="0.15"/>
    <row r="52837" s="76" customFormat="1" ht="21.95" customHeight="1" x14ac:dyDescent="0.15"/>
    <row r="52838" s="76" customFormat="1" ht="21.95" customHeight="1" x14ac:dyDescent="0.15"/>
    <row r="52839" s="76" customFormat="1" ht="21.95" customHeight="1" x14ac:dyDescent="0.15"/>
    <row r="52840" s="76" customFormat="1" ht="21.95" customHeight="1" x14ac:dyDescent="0.15"/>
    <row r="52841" s="76" customFormat="1" ht="35.1" customHeight="1" x14ac:dyDescent="0.15"/>
    <row r="52842" s="76" customFormat="1" ht="21.95" customHeight="1" x14ac:dyDescent="0.15"/>
    <row r="52843" s="76" customFormat="1" ht="21.95" customHeight="1" x14ac:dyDescent="0.15"/>
    <row r="52844" s="76" customFormat="1" ht="21.95" customHeight="1" x14ac:dyDescent="0.15"/>
    <row r="52845" s="76" customFormat="1" ht="21.95" customHeight="1" x14ac:dyDescent="0.15"/>
    <row r="52846" s="76" customFormat="1" ht="21.95" customHeight="1" x14ac:dyDescent="0.15"/>
    <row r="52847" s="76" customFormat="1" ht="21.95" customHeight="1" x14ac:dyDescent="0.15"/>
    <row r="52848" s="76" customFormat="1" ht="21.95" customHeight="1" x14ac:dyDescent="0.15"/>
    <row r="52849" s="76" customFormat="1" ht="21.95" customHeight="1" x14ac:dyDescent="0.15"/>
    <row r="52850" s="76" customFormat="1" ht="21.95" customHeight="1" x14ac:dyDescent="0.15"/>
    <row r="52851" s="76" customFormat="1" ht="21.95" customHeight="1" x14ac:dyDescent="0.15"/>
    <row r="52852" s="76" customFormat="1" ht="21.95" customHeight="1" x14ac:dyDescent="0.15"/>
    <row r="52853" s="76" customFormat="1" ht="21.95" customHeight="1" x14ac:dyDescent="0.15"/>
    <row r="52854" s="76" customFormat="1" ht="21.95" customHeight="1" x14ac:dyDescent="0.15"/>
    <row r="52855" s="76" customFormat="1" ht="21.95" customHeight="1" x14ac:dyDescent="0.15"/>
    <row r="52856" s="76" customFormat="1" ht="21.95" customHeight="1" x14ac:dyDescent="0.15"/>
    <row r="52857" s="76" customFormat="1" ht="21.95" customHeight="1" x14ac:dyDescent="0.15"/>
    <row r="52858" s="76" customFormat="1" ht="21.95" customHeight="1" x14ac:dyDescent="0.15"/>
    <row r="52859" s="76" customFormat="1" ht="21.95" customHeight="1" x14ac:dyDescent="0.15"/>
    <row r="52860" s="76" customFormat="1" ht="21.95" customHeight="1" x14ac:dyDescent="0.15"/>
    <row r="52861" s="76" customFormat="1" ht="21.95" customHeight="1" x14ac:dyDescent="0.15"/>
    <row r="52862" s="76" customFormat="1" ht="21.95" customHeight="1" x14ac:dyDescent="0.15"/>
    <row r="52863" s="76" customFormat="1" ht="21.95" customHeight="1" x14ac:dyDescent="0.15"/>
    <row r="52864" s="76" customFormat="1" ht="21.95" customHeight="1" x14ac:dyDescent="0.15"/>
    <row r="52865" spans="3:3" customFormat="1" ht="21.95" customHeight="1" x14ac:dyDescent="0.15"/>
    <row r="52866" spans="3:3" customFormat="1" ht="21.95" customHeight="1" x14ac:dyDescent="0.15"/>
    <row r="52867" spans="3:3" customFormat="1" ht="21.95" customHeight="1" x14ac:dyDescent="0.15">
      <c r="C52867" s="94"/>
    </row>
    <row r="52868" spans="3:3" customFormat="1" ht="21.95" customHeight="1" x14ac:dyDescent="0.15">
      <c r="C52868" s="94"/>
    </row>
    <row r="52869" spans="3:3" customFormat="1" ht="21.95" customHeight="1" x14ac:dyDescent="0.15"/>
    <row r="52870" spans="3:3" customFormat="1" ht="21.95" customHeight="1" x14ac:dyDescent="0.15"/>
    <row r="52871" spans="3:3" customFormat="1" ht="21.95" customHeight="1" x14ac:dyDescent="0.15"/>
    <row r="52872" spans="3:3" customFormat="1" ht="21.95" customHeight="1" x14ac:dyDescent="0.15"/>
    <row r="52873" spans="3:3" customFormat="1" ht="21.95" customHeight="1" x14ac:dyDescent="0.15"/>
    <row r="52874" spans="3:3" customFormat="1" ht="21.95" customHeight="1" x14ac:dyDescent="0.15"/>
    <row r="52875" spans="3:3" customFormat="1" ht="21.95" customHeight="1" x14ac:dyDescent="0.15"/>
    <row r="52876" spans="3:3" s="76" customFormat="1" ht="21.95" customHeight="1" x14ac:dyDescent="0.15"/>
    <row r="52877" spans="3:3" s="76" customFormat="1" ht="21.95" customHeight="1" x14ac:dyDescent="0.15"/>
    <row r="52878" spans="3:3" s="76" customFormat="1" ht="21.95" customHeight="1" x14ac:dyDescent="0.15"/>
    <row r="52879" spans="3:3" s="76" customFormat="1" ht="21.95" customHeight="1" x14ac:dyDescent="0.15"/>
    <row r="52880" spans="3:3" customFormat="1" ht="21.95" customHeight="1" x14ac:dyDescent="0.15"/>
    <row r="52881" customFormat="1" ht="21.95" customHeight="1" x14ac:dyDescent="0.15"/>
    <row r="52882" customFormat="1" ht="21.95" customHeight="1" x14ac:dyDescent="0.15"/>
    <row r="52883" customFormat="1" ht="21.95" customHeight="1" x14ac:dyDescent="0.15"/>
    <row r="52884" customFormat="1" ht="21.95" customHeight="1" x14ac:dyDescent="0.15"/>
    <row r="52885" customFormat="1" ht="21.95" customHeight="1" x14ac:dyDescent="0.15"/>
    <row r="52886" customFormat="1" ht="21.95" customHeight="1" x14ac:dyDescent="0.15"/>
    <row r="52887" customFormat="1" ht="21.95" customHeight="1" x14ac:dyDescent="0.15"/>
    <row r="52888" customFormat="1" ht="21.95" customHeight="1" x14ac:dyDescent="0.15"/>
    <row r="52889" customFormat="1" ht="21.95" customHeight="1" x14ac:dyDescent="0.15"/>
    <row r="52890" customFormat="1" ht="21.95" customHeight="1" x14ac:dyDescent="0.15"/>
    <row r="52891" customFormat="1" ht="32.1" customHeight="1" x14ac:dyDescent="0.15"/>
    <row r="52892" customFormat="1" ht="32.1" customHeight="1" x14ac:dyDescent="0.15"/>
    <row r="52893" customFormat="1" ht="32.1" customHeight="1" x14ac:dyDescent="0.15"/>
    <row r="52894" customFormat="1" ht="32.1" customHeight="1" x14ac:dyDescent="0.15"/>
    <row r="52895" customFormat="1" ht="32.1" customHeight="1" x14ac:dyDescent="0.15"/>
    <row r="52896" customFormat="1" ht="32.1" customHeight="1" x14ac:dyDescent="0.15"/>
    <row r="52897" s="76" customFormat="1" ht="32.1" customHeight="1" x14ac:dyDescent="0.15"/>
    <row r="52898" s="76" customFormat="1" ht="32.1" customHeight="1" x14ac:dyDescent="0.15"/>
    <row r="52899" s="76" customFormat="1" ht="32.1" customHeight="1" x14ac:dyDescent="0.15"/>
    <row r="52900" s="76" customFormat="1" ht="32.1" customHeight="1" x14ac:dyDescent="0.15"/>
    <row r="52901" s="76" customFormat="1" ht="21.95" customHeight="1" x14ac:dyDescent="0.15"/>
    <row r="52902" s="76" customFormat="1" ht="54" customHeight="1" x14ac:dyDescent="0.15"/>
    <row r="52903" s="76" customFormat="1" ht="21.95" customHeight="1" x14ac:dyDescent="0.15"/>
    <row r="52904" s="76" customFormat="1" ht="21.95" customHeight="1" x14ac:dyDescent="0.15"/>
    <row r="52905" s="76" customFormat="1" ht="21.95" customHeight="1" x14ac:dyDescent="0.15"/>
    <row r="52906" s="76" customFormat="1" ht="21.95" customHeight="1" x14ac:dyDescent="0.15"/>
    <row r="52907" s="76" customFormat="1" ht="21.95" customHeight="1" x14ac:dyDescent="0.15"/>
    <row r="52908" s="76" customFormat="1" ht="21.95" customHeight="1" x14ac:dyDescent="0.15"/>
    <row r="52909" s="76" customFormat="1" ht="21.95" customHeight="1" x14ac:dyDescent="0.15"/>
    <row r="52910" s="76" customFormat="1" ht="21.95" customHeight="1" x14ac:dyDescent="0.15"/>
    <row r="52911" s="76" customFormat="1" ht="21.95" customHeight="1" x14ac:dyDescent="0.15"/>
    <row r="52912" s="76" customFormat="1" ht="21.95" customHeight="1" x14ac:dyDescent="0.15"/>
    <row r="52913" s="76" customFormat="1" ht="21.95" customHeight="1" x14ac:dyDescent="0.15"/>
    <row r="52914" s="76" customFormat="1" ht="21.95" customHeight="1" x14ac:dyDescent="0.15"/>
    <row r="52915" s="76" customFormat="1" ht="21.95" customHeight="1" x14ac:dyDescent="0.15"/>
    <row r="52916" s="76" customFormat="1" ht="21.95" customHeight="1" x14ac:dyDescent="0.15"/>
    <row r="52917" s="76" customFormat="1" ht="21.95" customHeight="1" x14ac:dyDescent="0.15"/>
    <row r="52918" s="76" customFormat="1" ht="21.95" customHeight="1" x14ac:dyDescent="0.15"/>
    <row r="52919" s="76" customFormat="1" ht="21.95" customHeight="1" x14ac:dyDescent="0.15"/>
    <row r="52920" s="76" customFormat="1" ht="21.95" customHeight="1" x14ac:dyDescent="0.15"/>
    <row r="52921" s="76" customFormat="1" ht="21.95" customHeight="1" x14ac:dyDescent="0.15"/>
    <row r="52922" s="76" customFormat="1" ht="21.95" customHeight="1" x14ac:dyDescent="0.15"/>
    <row r="52923" s="76" customFormat="1" ht="21.95" customHeight="1" x14ac:dyDescent="0.15"/>
    <row r="52924" s="76" customFormat="1" ht="21.95" customHeight="1" x14ac:dyDescent="0.15"/>
    <row r="52925" s="76" customFormat="1" ht="21.95" customHeight="1" x14ac:dyDescent="0.15"/>
    <row r="52926" s="76" customFormat="1" ht="21.95" customHeight="1" x14ac:dyDescent="0.15"/>
    <row r="52927" s="76" customFormat="1" ht="21.95" customHeight="1" x14ac:dyDescent="0.15"/>
    <row r="52928" s="76" customFormat="1" ht="21.95" customHeight="1" x14ac:dyDescent="0.15"/>
    <row r="52929" s="76" customFormat="1" ht="21.95" customHeight="1" x14ac:dyDescent="0.15"/>
    <row r="52930" s="76" customFormat="1" ht="21.95" customHeight="1" x14ac:dyDescent="0.15"/>
    <row r="52931" s="76" customFormat="1" ht="21.95" customHeight="1" x14ac:dyDescent="0.15"/>
    <row r="52932" s="76" customFormat="1" ht="21.95" customHeight="1" x14ac:dyDescent="0.15"/>
    <row r="52933" s="76" customFormat="1" ht="21.95" customHeight="1" x14ac:dyDescent="0.15"/>
    <row r="52934" s="76" customFormat="1" ht="21.95" customHeight="1" x14ac:dyDescent="0.15"/>
    <row r="52935" s="76" customFormat="1" ht="21.95" customHeight="1" x14ac:dyDescent="0.15"/>
    <row r="52936" s="76" customFormat="1" ht="21.95" customHeight="1" x14ac:dyDescent="0.15"/>
    <row r="52937" s="76" customFormat="1" ht="21.95" customHeight="1" x14ac:dyDescent="0.15"/>
    <row r="52938" s="76" customFormat="1" ht="21.95" customHeight="1" x14ac:dyDescent="0.15"/>
    <row r="52939" s="76" customFormat="1" ht="21.95" customHeight="1" x14ac:dyDescent="0.15"/>
    <row r="52940" s="76" customFormat="1" ht="21.95" customHeight="1" x14ac:dyDescent="0.15"/>
    <row r="52941" s="76" customFormat="1" ht="21.95" customHeight="1" x14ac:dyDescent="0.15"/>
    <row r="52942" s="76" customFormat="1" ht="21.95" customHeight="1" x14ac:dyDescent="0.15"/>
    <row r="52943" s="76" customFormat="1" ht="21.95" customHeight="1" x14ac:dyDescent="0.15"/>
    <row r="52944" s="76" customFormat="1" ht="21.95" customHeight="1" x14ac:dyDescent="0.15"/>
    <row r="52945" s="76" customFormat="1" ht="21.95" customHeight="1" x14ac:dyDescent="0.15"/>
    <row r="52946" s="76" customFormat="1" ht="21.95" customHeight="1" x14ac:dyDescent="0.15"/>
    <row r="52947" s="76" customFormat="1" ht="21.95" customHeight="1" x14ac:dyDescent="0.15"/>
    <row r="52948" s="76" customFormat="1" ht="21.95" customHeight="1" x14ac:dyDescent="0.15"/>
    <row r="52949" s="76" customFormat="1" ht="21.95" customHeight="1" x14ac:dyDescent="0.15"/>
    <row r="52950" s="76" customFormat="1" ht="21.95" customHeight="1" x14ac:dyDescent="0.15"/>
    <row r="52951" s="76" customFormat="1" ht="21.95" customHeight="1" x14ac:dyDescent="0.15"/>
    <row r="52952" s="76" customFormat="1" ht="21.95" customHeight="1" x14ac:dyDescent="0.15"/>
    <row r="52953" s="76" customFormat="1" ht="35.1" customHeight="1" x14ac:dyDescent="0.15"/>
    <row r="52954" s="76" customFormat="1" ht="21.95" customHeight="1" x14ac:dyDescent="0.15"/>
    <row r="52955" s="76" customFormat="1" ht="21.95" customHeight="1" x14ac:dyDescent="0.15"/>
    <row r="52956" s="76" customFormat="1" ht="21.95" customHeight="1" x14ac:dyDescent="0.15"/>
    <row r="52957" s="76" customFormat="1" ht="21.95" customHeight="1" x14ac:dyDescent="0.15"/>
    <row r="52958" s="76" customFormat="1" ht="21.95" customHeight="1" x14ac:dyDescent="0.15"/>
    <row r="52959" s="76" customFormat="1" ht="21.95" customHeight="1" x14ac:dyDescent="0.15"/>
    <row r="52960" s="76" customFormat="1" ht="21.95" customHeight="1" x14ac:dyDescent="0.15"/>
    <row r="52961" s="76" customFormat="1" ht="21.95" customHeight="1" x14ac:dyDescent="0.15"/>
    <row r="52962" s="76" customFormat="1" ht="21.95" customHeight="1" x14ac:dyDescent="0.15"/>
    <row r="52963" s="76" customFormat="1" ht="21.95" customHeight="1" x14ac:dyDescent="0.15"/>
    <row r="52964" s="76" customFormat="1" ht="21.95" customHeight="1" x14ac:dyDescent="0.15"/>
    <row r="52965" s="76" customFormat="1" ht="21.95" customHeight="1" x14ac:dyDescent="0.15"/>
    <row r="52966" s="76" customFormat="1" ht="21.95" customHeight="1" x14ac:dyDescent="0.15"/>
    <row r="52967" s="76" customFormat="1" ht="21.95" customHeight="1" x14ac:dyDescent="0.15"/>
    <row r="52968" s="76" customFormat="1" ht="21.95" customHeight="1" x14ac:dyDescent="0.15"/>
    <row r="52969" s="76" customFormat="1" ht="21.95" customHeight="1" x14ac:dyDescent="0.15"/>
    <row r="52970" s="76" customFormat="1" ht="21.95" customHeight="1" x14ac:dyDescent="0.15"/>
    <row r="52971" s="76" customFormat="1" ht="21.95" customHeight="1" x14ac:dyDescent="0.15"/>
    <row r="52972" s="76" customFormat="1" ht="21.95" customHeight="1" x14ac:dyDescent="0.15"/>
    <row r="52973" s="76" customFormat="1" ht="21.95" customHeight="1" x14ac:dyDescent="0.15"/>
    <row r="52974" s="76" customFormat="1" ht="21.95" customHeight="1" x14ac:dyDescent="0.15"/>
    <row r="52975" s="76" customFormat="1" ht="21.95" customHeight="1" x14ac:dyDescent="0.15"/>
    <row r="52976" s="76" customFormat="1" ht="21.95" customHeight="1" x14ac:dyDescent="0.15"/>
    <row r="52977" spans="3:3" customFormat="1" ht="21.95" customHeight="1" x14ac:dyDescent="0.15"/>
    <row r="52978" spans="3:3" customFormat="1" ht="21.95" customHeight="1" x14ac:dyDescent="0.15"/>
    <row r="52979" spans="3:3" customFormat="1" ht="21.95" customHeight="1" x14ac:dyDescent="0.15">
      <c r="C52979" s="94"/>
    </row>
    <row r="52980" spans="3:3" customFormat="1" ht="21.95" customHeight="1" x14ac:dyDescent="0.15">
      <c r="C52980" s="94"/>
    </row>
    <row r="52981" spans="3:3" customFormat="1" ht="21.95" customHeight="1" x14ac:dyDescent="0.15"/>
    <row r="52982" spans="3:3" customFormat="1" ht="21.95" customHeight="1" x14ac:dyDescent="0.15"/>
    <row r="52983" spans="3:3" customFormat="1" ht="21.95" customHeight="1" x14ac:dyDescent="0.15"/>
    <row r="52984" spans="3:3" customFormat="1" ht="21.95" customHeight="1" x14ac:dyDescent="0.15"/>
    <row r="52985" spans="3:3" customFormat="1" ht="21.95" customHeight="1" x14ac:dyDescent="0.15"/>
    <row r="52986" spans="3:3" customFormat="1" ht="21.95" customHeight="1" x14ac:dyDescent="0.15"/>
    <row r="52987" spans="3:3" customFormat="1" ht="21.95" customHeight="1" x14ac:dyDescent="0.15"/>
    <row r="52988" spans="3:3" s="76" customFormat="1" ht="21.95" customHeight="1" x14ac:dyDescent="0.15"/>
    <row r="52989" spans="3:3" s="76" customFormat="1" ht="21.95" customHeight="1" x14ac:dyDescent="0.15"/>
    <row r="52990" spans="3:3" s="76" customFormat="1" ht="21.95" customHeight="1" x14ac:dyDescent="0.15"/>
    <row r="52991" spans="3:3" s="76" customFormat="1" ht="21.95" customHeight="1" x14ac:dyDescent="0.15"/>
    <row r="52992" spans="3:3" customFormat="1" ht="21.95" customHeight="1" x14ac:dyDescent="0.15"/>
    <row r="52993" customFormat="1" ht="21.95" customHeight="1" x14ac:dyDescent="0.15"/>
    <row r="52994" customFormat="1" ht="21.95" customHeight="1" x14ac:dyDescent="0.15"/>
    <row r="52995" customFormat="1" ht="21.95" customHeight="1" x14ac:dyDescent="0.15"/>
    <row r="52996" customFormat="1" ht="21.95" customHeight="1" x14ac:dyDescent="0.15"/>
    <row r="52997" customFormat="1" ht="21.95" customHeight="1" x14ac:dyDescent="0.15"/>
    <row r="52998" customFormat="1" ht="21.95" customHeight="1" x14ac:dyDescent="0.15"/>
    <row r="52999" customFormat="1" ht="21.95" customHeight="1" x14ac:dyDescent="0.15"/>
    <row r="53000" customFormat="1" ht="21.95" customHeight="1" x14ac:dyDescent="0.15"/>
    <row r="53001" customFormat="1" ht="21.95" customHeight="1" x14ac:dyDescent="0.15"/>
    <row r="53002" customFormat="1" ht="21.95" customHeight="1" x14ac:dyDescent="0.15"/>
    <row r="53003" customFormat="1" ht="32.1" customHeight="1" x14ac:dyDescent="0.15"/>
    <row r="53004" customFormat="1" ht="32.1" customHeight="1" x14ac:dyDescent="0.15"/>
    <row r="53005" customFormat="1" ht="32.1" customHeight="1" x14ac:dyDescent="0.15"/>
    <row r="53006" customFormat="1" ht="32.1" customHeight="1" x14ac:dyDescent="0.15"/>
    <row r="53007" customFormat="1" ht="32.1" customHeight="1" x14ac:dyDescent="0.15"/>
    <row r="53008" customFormat="1" ht="32.1" customHeight="1" x14ac:dyDescent="0.15"/>
    <row r="53009" s="76" customFormat="1" ht="32.1" customHeight="1" x14ac:dyDescent="0.15"/>
    <row r="53010" s="76" customFormat="1" ht="32.1" customHeight="1" x14ac:dyDescent="0.15"/>
    <row r="53011" s="76" customFormat="1" ht="32.1" customHeight="1" x14ac:dyDescent="0.15"/>
    <row r="53012" s="76" customFormat="1" ht="32.1" customHeight="1" x14ac:dyDescent="0.15"/>
    <row r="53013" s="76" customFormat="1" ht="21.95" customHeight="1" x14ac:dyDescent="0.15"/>
    <row r="53014" s="76" customFormat="1" ht="54" customHeight="1" x14ac:dyDescent="0.15"/>
    <row r="53015" s="76" customFormat="1" ht="21.95" customHeight="1" x14ac:dyDescent="0.15"/>
    <row r="53016" s="76" customFormat="1" ht="21.95" customHeight="1" x14ac:dyDescent="0.15"/>
    <row r="53017" s="76" customFormat="1" ht="21.95" customHeight="1" x14ac:dyDescent="0.15"/>
    <row r="53018" s="76" customFormat="1" ht="21.95" customHeight="1" x14ac:dyDescent="0.15"/>
    <row r="53019" s="76" customFormat="1" ht="21.95" customHeight="1" x14ac:dyDescent="0.15"/>
    <row r="53020" s="76" customFormat="1" ht="21.95" customHeight="1" x14ac:dyDescent="0.15"/>
    <row r="53021" s="76" customFormat="1" ht="21.95" customHeight="1" x14ac:dyDescent="0.15"/>
    <row r="53022" s="76" customFormat="1" ht="21.95" customHeight="1" x14ac:dyDescent="0.15"/>
    <row r="53023" s="76" customFormat="1" ht="21.95" customHeight="1" x14ac:dyDescent="0.15"/>
    <row r="53024" s="76" customFormat="1" ht="21.95" customHeight="1" x14ac:dyDescent="0.15"/>
    <row r="53025" s="76" customFormat="1" ht="21.95" customHeight="1" x14ac:dyDescent="0.15"/>
    <row r="53026" s="76" customFormat="1" ht="21.95" customHeight="1" x14ac:dyDescent="0.15"/>
    <row r="53027" s="76" customFormat="1" ht="21.95" customHeight="1" x14ac:dyDescent="0.15"/>
    <row r="53028" s="76" customFormat="1" ht="21.95" customHeight="1" x14ac:dyDescent="0.15"/>
    <row r="53029" s="76" customFormat="1" ht="21.95" customHeight="1" x14ac:dyDescent="0.15"/>
    <row r="53030" s="76" customFormat="1" ht="21.95" customHeight="1" x14ac:dyDescent="0.15"/>
    <row r="53031" s="76" customFormat="1" ht="21.95" customHeight="1" x14ac:dyDescent="0.15"/>
    <row r="53032" s="76" customFormat="1" ht="21.95" customHeight="1" x14ac:dyDescent="0.15"/>
    <row r="53033" s="76" customFormat="1" ht="21.95" customHeight="1" x14ac:dyDescent="0.15"/>
    <row r="53034" s="76" customFormat="1" ht="21.95" customHeight="1" x14ac:dyDescent="0.15"/>
    <row r="53035" s="76" customFormat="1" ht="21.95" customHeight="1" x14ac:dyDescent="0.15"/>
    <row r="53036" s="76" customFormat="1" ht="21.95" customHeight="1" x14ac:dyDescent="0.15"/>
    <row r="53037" s="76" customFormat="1" ht="21.95" customHeight="1" x14ac:dyDescent="0.15"/>
    <row r="53038" s="76" customFormat="1" ht="21.95" customHeight="1" x14ac:dyDescent="0.15"/>
    <row r="53039" s="76" customFormat="1" ht="21.95" customHeight="1" x14ac:dyDescent="0.15"/>
    <row r="53040" s="76" customFormat="1" ht="21.95" customHeight="1" x14ac:dyDescent="0.15"/>
    <row r="53041" s="76" customFormat="1" ht="21.95" customHeight="1" x14ac:dyDescent="0.15"/>
    <row r="53042" s="76" customFormat="1" ht="21.95" customHeight="1" x14ac:dyDescent="0.15"/>
    <row r="53043" s="76" customFormat="1" ht="21.95" customHeight="1" x14ac:dyDescent="0.15"/>
    <row r="53044" s="76" customFormat="1" ht="21.95" customHeight="1" x14ac:dyDescent="0.15"/>
    <row r="53045" s="76" customFormat="1" ht="21.95" customHeight="1" x14ac:dyDescent="0.15"/>
    <row r="53046" s="76" customFormat="1" ht="21.95" customHeight="1" x14ac:dyDescent="0.15"/>
    <row r="53047" s="76" customFormat="1" ht="21.95" customHeight="1" x14ac:dyDescent="0.15"/>
    <row r="53048" s="76" customFormat="1" ht="21.95" customHeight="1" x14ac:dyDescent="0.15"/>
    <row r="53049" s="76" customFormat="1" ht="21.95" customHeight="1" x14ac:dyDescent="0.15"/>
    <row r="53050" s="76" customFormat="1" ht="21.95" customHeight="1" x14ac:dyDescent="0.15"/>
    <row r="53051" s="76" customFormat="1" ht="21.95" customHeight="1" x14ac:dyDescent="0.15"/>
    <row r="53052" s="76" customFormat="1" ht="21.95" customHeight="1" x14ac:dyDescent="0.15"/>
    <row r="53053" s="76" customFormat="1" ht="21.95" customHeight="1" x14ac:dyDescent="0.15"/>
    <row r="53054" s="76" customFormat="1" ht="21.95" customHeight="1" x14ac:dyDescent="0.15"/>
    <row r="53055" s="76" customFormat="1" ht="21.95" customHeight="1" x14ac:dyDescent="0.15"/>
    <row r="53056" s="76" customFormat="1" ht="21.95" customHeight="1" x14ac:dyDescent="0.15"/>
    <row r="53057" s="76" customFormat="1" ht="21.95" customHeight="1" x14ac:dyDescent="0.15"/>
    <row r="53058" s="76" customFormat="1" ht="21.95" customHeight="1" x14ac:dyDescent="0.15"/>
    <row r="53059" s="76" customFormat="1" ht="21.95" customHeight="1" x14ac:dyDescent="0.15"/>
    <row r="53060" s="76" customFormat="1" ht="21.95" customHeight="1" x14ac:dyDescent="0.15"/>
    <row r="53061" s="76" customFormat="1" ht="21.95" customHeight="1" x14ac:dyDescent="0.15"/>
    <row r="53062" s="76" customFormat="1" ht="21.95" customHeight="1" x14ac:dyDescent="0.15"/>
    <row r="53063" s="76" customFormat="1" ht="21.95" customHeight="1" x14ac:dyDescent="0.15"/>
    <row r="53064" s="76" customFormat="1" ht="21.95" customHeight="1" x14ac:dyDescent="0.15"/>
    <row r="53065" s="76" customFormat="1" ht="35.1" customHeight="1" x14ac:dyDescent="0.15"/>
    <row r="53066" s="76" customFormat="1" ht="21.95" customHeight="1" x14ac:dyDescent="0.15"/>
    <row r="53067" s="76" customFormat="1" ht="21.95" customHeight="1" x14ac:dyDescent="0.15"/>
    <row r="53068" s="76" customFormat="1" ht="21.95" customHeight="1" x14ac:dyDescent="0.15"/>
    <row r="53069" s="76" customFormat="1" ht="21.95" customHeight="1" x14ac:dyDescent="0.15"/>
    <row r="53070" s="76" customFormat="1" ht="21.95" customHeight="1" x14ac:dyDescent="0.15"/>
    <row r="53071" s="76" customFormat="1" ht="21.95" customHeight="1" x14ac:dyDescent="0.15"/>
    <row r="53072" s="76" customFormat="1" ht="21.95" customHeight="1" x14ac:dyDescent="0.15"/>
    <row r="53073" s="76" customFormat="1" ht="21.95" customHeight="1" x14ac:dyDescent="0.15"/>
    <row r="53074" s="76" customFormat="1" ht="21.95" customHeight="1" x14ac:dyDescent="0.15"/>
    <row r="53075" s="76" customFormat="1" ht="21.95" customHeight="1" x14ac:dyDescent="0.15"/>
    <row r="53076" s="76" customFormat="1" ht="21.95" customHeight="1" x14ac:dyDescent="0.15"/>
    <row r="53077" s="76" customFormat="1" ht="21.95" customHeight="1" x14ac:dyDescent="0.15"/>
    <row r="53078" s="76" customFormat="1" ht="21.95" customHeight="1" x14ac:dyDescent="0.15"/>
    <row r="53079" s="76" customFormat="1" ht="21.95" customHeight="1" x14ac:dyDescent="0.15"/>
    <row r="53080" s="76" customFormat="1" ht="21.95" customHeight="1" x14ac:dyDescent="0.15"/>
    <row r="53081" s="76" customFormat="1" ht="21.95" customHeight="1" x14ac:dyDescent="0.15"/>
    <row r="53082" s="76" customFormat="1" ht="21.95" customHeight="1" x14ac:dyDescent="0.15"/>
    <row r="53083" s="76" customFormat="1" ht="21.95" customHeight="1" x14ac:dyDescent="0.15"/>
    <row r="53084" s="76" customFormat="1" ht="21.95" customHeight="1" x14ac:dyDescent="0.15"/>
    <row r="53085" s="76" customFormat="1" ht="21.95" customHeight="1" x14ac:dyDescent="0.15"/>
    <row r="53086" s="76" customFormat="1" ht="21.95" customHeight="1" x14ac:dyDescent="0.15"/>
    <row r="53087" s="76" customFormat="1" ht="21.95" customHeight="1" x14ac:dyDescent="0.15"/>
    <row r="53088" s="76" customFormat="1" ht="21.95" customHeight="1" x14ac:dyDescent="0.15"/>
    <row r="53089" spans="3:3" customFormat="1" ht="21.95" customHeight="1" x14ac:dyDescent="0.15"/>
    <row r="53090" spans="3:3" customFormat="1" ht="21.95" customHeight="1" x14ac:dyDescent="0.15"/>
    <row r="53091" spans="3:3" customFormat="1" ht="21.95" customHeight="1" x14ac:dyDescent="0.15">
      <c r="C53091" s="94"/>
    </row>
    <row r="53092" spans="3:3" customFormat="1" ht="21.95" customHeight="1" x14ac:dyDescent="0.15">
      <c r="C53092" s="94"/>
    </row>
    <row r="53093" spans="3:3" customFormat="1" ht="21.95" customHeight="1" x14ac:dyDescent="0.15"/>
    <row r="53094" spans="3:3" customFormat="1" ht="21.95" customHeight="1" x14ac:dyDescent="0.15"/>
    <row r="53095" spans="3:3" customFormat="1" ht="21.95" customHeight="1" x14ac:dyDescent="0.15"/>
    <row r="53096" spans="3:3" customFormat="1" ht="21.95" customHeight="1" x14ac:dyDescent="0.15"/>
    <row r="53097" spans="3:3" customFormat="1" ht="21.95" customHeight="1" x14ac:dyDescent="0.15"/>
    <row r="53098" spans="3:3" customFormat="1" ht="21.95" customHeight="1" x14ac:dyDescent="0.15"/>
    <row r="53099" spans="3:3" customFormat="1" ht="21.95" customHeight="1" x14ac:dyDescent="0.15"/>
    <row r="53100" spans="3:3" s="76" customFormat="1" ht="21.95" customHeight="1" x14ac:dyDescent="0.15"/>
    <row r="53101" spans="3:3" s="76" customFormat="1" ht="21.95" customHeight="1" x14ac:dyDescent="0.15"/>
    <row r="53102" spans="3:3" s="76" customFormat="1" ht="21.95" customHeight="1" x14ac:dyDescent="0.15"/>
    <row r="53103" spans="3:3" s="76" customFormat="1" ht="21.95" customHeight="1" x14ac:dyDescent="0.15"/>
    <row r="53104" spans="3:3" customFormat="1" ht="21.95" customHeight="1" x14ac:dyDescent="0.15"/>
    <row r="53105" customFormat="1" ht="21.95" customHeight="1" x14ac:dyDescent="0.15"/>
    <row r="53106" customFormat="1" ht="21.95" customHeight="1" x14ac:dyDescent="0.15"/>
    <row r="53107" customFormat="1" ht="21.95" customHeight="1" x14ac:dyDescent="0.15"/>
    <row r="53108" customFormat="1" ht="21.95" customHeight="1" x14ac:dyDescent="0.15"/>
    <row r="53109" customFormat="1" ht="21.95" customHeight="1" x14ac:dyDescent="0.15"/>
    <row r="53110" customFormat="1" ht="21.95" customHeight="1" x14ac:dyDescent="0.15"/>
    <row r="53111" customFormat="1" ht="21.95" customHeight="1" x14ac:dyDescent="0.15"/>
    <row r="53112" customFormat="1" ht="21.95" customHeight="1" x14ac:dyDescent="0.15"/>
    <row r="53113" customFormat="1" ht="21.95" customHeight="1" x14ac:dyDescent="0.15"/>
    <row r="53114" customFormat="1" ht="21.95" customHeight="1" x14ac:dyDescent="0.15"/>
    <row r="53115" customFormat="1" ht="32.1" customHeight="1" x14ac:dyDescent="0.15"/>
    <row r="53116" customFormat="1" ht="32.1" customHeight="1" x14ac:dyDescent="0.15"/>
    <row r="53117" customFormat="1" ht="32.1" customHeight="1" x14ac:dyDescent="0.15"/>
    <row r="53118" customFormat="1" ht="32.1" customHeight="1" x14ac:dyDescent="0.15"/>
    <row r="53119" customFormat="1" ht="32.1" customHeight="1" x14ac:dyDescent="0.15"/>
    <row r="53120" customFormat="1" ht="32.1" customHeight="1" x14ac:dyDescent="0.15"/>
    <row r="53121" s="76" customFormat="1" ht="32.1" customHeight="1" x14ac:dyDescent="0.15"/>
    <row r="53122" s="76" customFormat="1" ht="32.1" customHeight="1" x14ac:dyDescent="0.15"/>
    <row r="53123" s="76" customFormat="1" ht="32.1" customHeight="1" x14ac:dyDescent="0.15"/>
    <row r="53124" s="76" customFormat="1" ht="32.1" customHeight="1" x14ac:dyDescent="0.15"/>
    <row r="53125" s="76" customFormat="1" ht="21.95" customHeight="1" x14ac:dyDescent="0.15"/>
    <row r="53126" s="76" customFormat="1" ht="54" customHeight="1" x14ac:dyDescent="0.15"/>
    <row r="53127" s="76" customFormat="1" ht="21.95" customHeight="1" x14ac:dyDescent="0.15"/>
    <row r="53128" s="76" customFormat="1" ht="21.95" customHeight="1" x14ac:dyDescent="0.15"/>
    <row r="53129" s="76" customFormat="1" ht="21.95" customHeight="1" x14ac:dyDescent="0.15"/>
    <row r="53130" s="76" customFormat="1" ht="21.95" customHeight="1" x14ac:dyDescent="0.15"/>
    <row r="53131" s="76" customFormat="1" ht="21.95" customHeight="1" x14ac:dyDescent="0.15"/>
    <row r="53132" s="76" customFormat="1" ht="21.95" customHeight="1" x14ac:dyDescent="0.15"/>
    <row r="53133" s="76" customFormat="1" ht="21.95" customHeight="1" x14ac:dyDescent="0.15"/>
    <row r="53134" s="76" customFormat="1" ht="21.95" customHeight="1" x14ac:dyDescent="0.15"/>
    <row r="53135" s="76" customFormat="1" ht="21.95" customHeight="1" x14ac:dyDescent="0.15"/>
    <row r="53136" s="76" customFormat="1" ht="21.95" customHeight="1" x14ac:dyDescent="0.15"/>
    <row r="53137" s="76" customFormat="1" ht="21.95" customHeight="1" x14ac:dyDescent="0.15"/>
    <row r="53138" s="76" customFormat="1" ht="21.95" customHeight="1" x14ac:dyDescent="0.15"/>
    <row r="53139" s="76" customFormat="1" ht="21.95" customHeight="1" x14ac:dyDescent="0.15"/>
    <row r="53140" s="76" customFormat="1" ht="21.95" customHeight="1" x14ac:dyDescent="0.15"/>
    <row r="53141" s="76" customFormat="1" ht="21.95" customHeight="1" x14ac:dyDescent="0.15"/>
    <row r="53142" s="76" customFormat="1" ht="21.95" customHeight="1" x14ac:dyDescent="0.15"/>
    <row r="53143" s="76" customFormat="1" ht="21.95" customHeight="1" x14ac:dyDescent="0.15"/>
    <row r="53144" s="76" customFormat="1" ht="21.95" customHeight="1" x14ac:dyDescent="0.15"/>
    <row r="53145" s="76" customFormat="1" ht="21.95" customHeight="1" x14ac:dyDescent="0.15"/>
    <row r="53146" s="76" customFormat="1" ht="21.95" customHeight="1" x14ac:dyDescent="0.15"/>
    <row r="53147" s="76" customFormat="1" ht="21.95" customHeight="1" x14ac:dyDescent="0.15"/>
    <row r="53148" s="76" customFormat="1" ht="21.95" customHeight="1" x14ac:dyDescent="0.15"/>
    <row r="53149" s="76" customFormat="1" ht="21.95" customHeight="1" x14ac:dyDescent="0.15"/>
    <row r="53150" s="76" customFormat="1" ht="21.95" customHeight="1" x14ac:dyDescent="0.15"/>
    <row r="53151" s="76" customFormat="1" ht="21.95" customHeight="1" x14ac:dyDescent="0.15"/>
    <row r="53152" s="76" customFormat="1" ht="21.95" customHeight="1" x14ac:dyDescent="0.15"/>
    <row r="53153" s="76" customFormat="1" ht="21.95" customHeight="1" x14ac:dyDescent="0.15"/>
    <row r="53154" s="76" customFormat="1" ht="21.95" customHeight="1" x14ac:dyDescent="0.15"/>
    <row r="53155" s="76" customFormat="1" ht="21.95" customHeight="1" x14ac:dyDescent="0.15"/>
    <row r="53156" s="76" customFormat="1" ht="21.95" customHeight="1" x14ac:dyDescent="0.15"/>
    <row r="53157" s="76" customFormat="1" ht="21.95" customHeight="1" x14ac:dyDescent="0.15"/>
    <row r="53158" s="76" customFormat="1" ht="21.95" customHeight="1" x14ac:dyDescent="0.15"/>
    <row r="53159" s="76" customFormat="1" ht="21.95" customHeight="1" x14ac:dyDescent="0.15"/>
    <row r="53160" s="76" customFormat="1" ht="21.95" customHeight="1" x14ac:dyDescent="0.15"/>
    <row r="53161" s="76" customFormat="1" ht="21.95" customHeight="1" x14ac:dyDescent="0.15"/>
    <row r="53162" s="76" customFormat="1" ht="21.95" customHeight="1" x14ac:dyDescent="0.15"/>
    <row r="53163" s="76" customFormat="1" ht="21.95" customHeight="1" x14ac:dyDescent="0.15"/>
    <row r="53164" s="76" customFormat="1" ht="21.95" customHeight="1" x14ac:dyDescent="0.15"/>
    <row r="53165" s="76" customFormat="1" ht="21.95" customHeight="1" x14ac:dyDescent="0.15"/>
    <row r="53166" s="76" customFormat="1" ht="21.95" customHeight="1" x14ac:dyDescent="0.15"/>
    <row r="53167" s="76" customFormat="1" ht="21.95" customHeight="1" x14ac:dyDescent="0.15"/>
    <row r="53168" s="76" customFormat="1" ht="21.95" customHeight="1" x14ac:dyDescent="0.15"/>
    <row r="53169" s="76" customFormat="1" ht="21.95" customHeight="1" x14ac:dyDescent="0.15"/>
    <row r="53170" s="76" customFormat="1" ht="21.95" customHeight="1" x14ac:dyDescent="0.15"/>
    <row r="53171" s="76" customFormat="1" ht="21.95" customHeight="1" x14ac:dyDescent="0.15"/>
    <row r="53172" s="76" customFormat="1" ht="21.95" customHeight="1" x14ac:dyDescent="0.15"/>
    <row r="53173" s="76" customFormat="1" ht="21.95" customHeight="1" x14ac:dyDescent="0.15"/>
    <row r="53174" s="76" customFormat="1" ht="21.95" customHeight="1" x14ac:dyDescent="0.15"/>
    <row r="53175" s="76" customFormat="1" ht="21.95" customHeight="1" x14ac:dyDescent="0.15"/>
    <row r="53176" s="76" customFormat="1" ht="21.95" customHeight="1" x14ac:dyDescent="0.15"/>
    <row r="53177" s="76" customFormat="1" ht="35.1" customHeight="1" x14ac:dyDescent="0.15"/>
    <row r="53178" s="76" customFormat="1" ht="21.95" customHeight="1" x14ac:dyDescent="0.15"/>
    <row r="53179" s="76" customFormat="1" ht="21.95" customHeight="1" x14ac:dyDescent="0.15"/>
    <row r="53180" s="76" customFormat="1" ht="21.95" customHeight="1" x14ac:dyDescent="0.15"/>
    <row r="53181" s="76" customFormat="1" ht="21.95" customHeight="1" x14ac:dyDescent="0.15"/>
    <row r="53182" s="76" customFormat="1" ht="21.95" customHeight="1" x14ac:dyDescent="0.15"/>
    <row r="53183" s="76" customFormat="1" ht="21.95" customHeight="1" x14ac:dyDescent="0.15"/>
    <row r="53184" s="76" customFormat="1" ht="21.95" customHeight="1" x14ac:dyDescent="0.15"/>
    <row r="53185" s="76" customFormat="1" ht="21.95" customHeight="1" x14ac:dyDescent="0.15"/>
    <row r="53186" s="76" customFormat="1" ht="21.95" customHeight="1" x14ac:dyDescent="0.15"/>
    <row r="53187" s="76" customFormat="1" ht="21.95" customHeight="1" x14ac:dyDescent="0.15"/>
    <row r="53188" s="76" customFormat="1" ht="21.95" customHeight="1" x14ac:dyDescent="0.15"/>
    <row r="53189" s="76" customFormat="1" ht="21.95" customHeight="1" x14ac:dyDescent="0.15"/>
    <row r="53190" s="76" customFormat="1" ht="21.95" customHeight="1" x14ac:dyDescent="0.15"/>
    <row r="53191" s="76" customFormat="1" ht="21.95" customHeight="1" x14ac:dyDescent="0.15"/>
    <row r="53192" s="76" customFormat="1" ht="21.95" customHeight="1" x14ac:dyDescent="0.15"/>
    <row r="53193" s="76" customFormat="1" ht="21.95" customHeight="1" x14ac:dyDescent="0.15"/>
    <row r="53194" s="76" customFormat="1" ht="21.95" customHeight="1" x14ac:dyDescent="0.15"/>
    <row r="53195" s="76" customFormat="1" ht="21.95" customHeight="1" x14ac:dyDescent="0.15"/>
    <row r="53196" s="76" customFormat="1" ht="21.95" customHeight="1" x14ac:dyDescent="0.15"/>
    <row r="53197" s="76" customFormat="1" ht="21.95" customHeight="1" x14ac:dyDescent="0.15"/>
    <row r="53198" s="76" customFormat="1" ht="21.95" customHeight="1" x14ac:dyDescent="0.15"/>
    <row r="53199" s="76" customFormat="1" ht="21.95" customHeight="1" x14ac:dyDescent="0.15"/>
    <row r="53200" s="76" customFormat="1" ht="21.95" customHeight="1" x14ac:dyDescent="0.15"/>
    <row r="53201" spans="3:3" customFormat="1" ht="21.95" customHeight="1" x14ac:dyDescent="0.15"/>
    <row r="53202" spans="3:3" customFormat="1" ht="21.95" customHeight="1" x14ac:dyDescent="0.15"/>
    <row r="53203" spans="3:3" customFormat="1" ht="21.95" customHeight="1" x14ac:dyDescent="0.15">
      <c r="C53203" s="94"/>
    </row>
    <row r="53204" spans="3:3" customFormat="1" ht="21.95" customHeight="1" x14ac:dyDescent="0.15">
      <c r="C53204" s="94"/>
    </row>
    <row r="53205" spans="3:3" customFormat="1" ht="21.95" customHeight="1" x14ac:dyDescent="0.15"/>
    <row r="53206" spans="3:3" customFormat="1" ht="21.95" customHeight="1" x14ac:dyDescent="0.15"/>
    <row r="53207" spans="3:3" customFormat="1" ht="21.95" customHeight="1" x14ac:dyDescent="0.15"/>
    <row r="53208" spans="3:3" customFormat="1" ht="21.95" customHeight="1" x14ac:dyDescent="0.15"/>
    <row r="53209" spans="3:3" customFormat="1" ht="21.95" customHeight="1" x14ac:dyDescent="0.15"/>
    <row r="53210" spans="3:3" customFormat="1" ht="21.95" customHeight="1" x14ac:dyDescent="0.15"/>
    <row r="53211" spans="3:3" customFormat="1" ht="21.95" customHeight="1" x14ac:dyDescent="0.15"/>
    <row r="53212" spans="3:3" s="76" customFormat="1" ht="21.95" customHeight="1" x14ac:dyDescent="0.15"/>
    <row r="53213" spans="3:3" s="76" customFormat="1" ht="21.95" customHeight="1" x14ac:dyDescent="0.15"/>
    <row r="53214" spans="3:3" s="76" customFormat="1" ht="21.95" customHeight="1" x14ac:dyDescent="0.15"/>
    <row r="53215" spans="3:3" s="76" customFormat="1" ht="21.95" customHeight="1" x14ac:dyDescent="0.15"/>
    <row r="53216" spans="3:3" customFormat="1" ht="21.95" customHeight="1" x14ac:dyDescent="0.15"/>
    <row r="53217" customFormat="1" ht="21.95" customHeight="1" x14ac:dyDescent="0.15"/>
    <row r="53218" customFormat="1" ht="21.95" customHeight="1" x14ac:dyDescent="0.15"/>
    <row r="53219" customFormat="1" ht="21.95" customHeight="1" x14ac:dyDescent="0.15"/>
    <row r="53220" customFormat="1" ht="21.95" customHeight="1" x14ac:dyDescent="0.15"/>
    <row r="53221" customFormat="1" ht="21.95" customHeight="1" x14ac:dyDescent="0.15"/>
    <row r="53222" customFormat="1" ht="21.95" customHeight="1" x14ac:dyDescent="0.15"/>
    <row r="53223" customFormat="1" ht="21.95" customHeight="1" x14ac:dyDescent="0.15"/>
    <row r="53224" customFormat="1" ht="21.95" customHeight="1" x14ac:dyDescent="0.15"/>
    <row r="53225" customFormat="1" ht="21.95" customHeight="1" x14ac:dyDescent="0.15"/>
    <row r="53226" customFormat="1" ht="21.95" customHeight="1" x14ac:dyDescent="0.15"/>
    <row r="53227" customFormat="1" ht="32.1" customHeight="1" x14ac:dyDescent="0.15"/>
    <row r="53228" customFormat="1" ht="32.1" customHeight="1" x14ac:dyDescent="0.15"/>
    <row r="53229" customFormat="1" ht="32.1" customHeight="1" x14ac:dyDescent="0.15"/>
    <row r="53230" customFormat="1" ht="32.1" customHeight="1" x14ac:dyDescent="0.15"/>
    <row r="53231" customFormat="1" ht="32.1" customHeight="1" x14ac:dyDescent="0.15"/>
    <row r="53232" customFormat="1" ht="32.1" customHeight="1" x14ac:dyDescent="0.15"/>
    <row r="53233" s="76" customFormat="1" ht="32.1" customHeight="1" x14ac:dyDescent="0.15"/>
    <row r="53234" s="76" customFormat="1" ht="32.1" customHeight="1" x14ac:dyDescent="0.15"/>
    <row r="53235" s="76" customFormat="1" ht="32.1" customHeight="1" x14ac:dyDescent="0.15"/>
    <row r="53236" s="76" customFormat="1" ht="32.1" customHeight="1" x14ac:dyDescent="0.15"/>
    <row r="53237" s="76" customFormat="1" ht="21.95" customHeight="1" x14ac:dyDescent="0.15"/>
    <row r="53238" s="76" customFormat="1" ht="54" customHeight="1" x14ac:dyDescent="0.15"/>
    <row r="53239" s="76" customFormat="1" ht="21.95" customHeight="1" x14ac:dyDescent="0.15"/>
    <row r="53240" s="76" customFormat="1" ht="21.95" customHeight="1" x14ac:dyDescent="0.15"/>
    <row r="53241" s="76" customFormat="1" ht="21.95" customHeight="1" x14ac:dyDescent="0.15"/>
    <row r="53242" s="76" customFormat="1" ht="21.95" customHeight="1" x14ac:dyDescent="0.15"/>
    <row r="53243" s="76" customFormat="1" ht="21.95" customHeight="1" x14ac:dyDescent="0.15"/>
    <row r="53244" s="76" customFormat="1" ht="21.95" customHeight="1" x14ac:dyDescent="0.15"/>
    <row r="53245" s="76" customFormat="1" ht="21.95" customHeight="1" x14ac:dyDescent="0.15"/>
    <row r="53246" s="76" customFormat="1" ht="21.95" customHeight="1" x14ac:dyDescent="0.15"/>
    <row r="53247" s="76" customFormat="1" ht="21.95" customHeight="1" x14ac:dyDescent="0.15"/>
    <row r="53248" s="76" customFormat="1" ht="21.95" customHeight="1" x14ac:dyDescent="0.15"/>
    <row r="53249" s="76" customFormat="1" ht="21.95" customHeight="1" x14ac:dyDescent="0.15"/>
    <row r="53250" s="76" customFormat="1" ht="21.95" customHeight="1" x14ac:dyDescent="0.15"/>
    <row r="53251" s="76" customFormat="1" ht="21.95" customHeight="1" x14ac:dyDescent="0.15"/>
    <row r="53252" s="76" customFormat="1" ht="21.95" customHeight="1" x14ac:dyDescent="0.15"/>
    <row r="53253" s="76" customFormat="1" ht="21.95" customHeight="1" x14ac:dyDescent="0.15"/>
    <row r="53254" s="76" customFormat="1" ht="21.95" customHeight="1" x14ac:dyDescent="0.15"/>
    <row r="53255" s="76" customFormat="1" ht="21.95" customHeight="1" x14ac:dyDescent="0.15"/>
    <row r="53256" s="76" customFormat="1" ht="21.95" customHeight="1" x14ac:dyDescent="0.15"/>
    <row r="53257" s="76" customFormat="1" ht="21.95" customHeight="1" x14ac:dyDescent="0.15"/>
    <row r="53258" s="76" customFormat="1" ht="21.95" customHeight="1" x14ac:dyDescent="0.15"/>
    <row r="53259" s="76" customFormat="1" ht="21.95" customHeight="1" x14ac:dyDescent="0.15"/>
    <row r="53260" s="76" customFormat="1" ht="21.95" customHeight="1" x14ac:dyDescent="0.15"/>
    <row r="53261" s="76" customFormat="1" ht="21.95" customHeight="1" x14ac:dyDescent="0.15"/>
    <row r="53262" s="76" customFormat="1" ht="21.95" customHeight="1" x14ac:dyDescent="0.15"/>
    <row r="53263" s="76" customFormat="1" ht="21.95" customHeight="1" x14ac:dyDescent="0.15"/>
    <row r="53264" s="76" customFormat="1" ht="21.95" customHeight="1" x14ac:dyDescent="0.15"/>
    <row r="53265" s="76" customFormat="1" ht="21.95" customHeight="1" x14ac:dyDescent="0.15"/>
    <row r="53266" s="76" customFormat="1" ht="21.95" customHeight="1" x14ac:dyDescent="0.15"/>
    <row r="53267" s="76" customFormat="1" ht="21.95" customHeight="1" x14ac:dyDescent="0.15"/>
    <row r="53268" s="76" customFormat="1" ht="21.95" customHeight="1" x14ac:dyDescent="0.15"/>
    <row r="53269" s="76" customFormat="1" ht="21.95" customHeight="1" x14ac:dyDescent="0.15"/>
    <row r="53270" s="76" customFormat="1" ht="21.95" customHeight="1" x14ac:dyDescent="0.15"/>
    <row r="53271" s="76" customFormat="1" ht="21.95" customHeight="1" x14ac:dyDescent="0.15"/>
    <row r="53272" s="76" customFormat="1" ht="21.95" customHeight="1" x14ac:dyDescent="0.15"/>
    <row r="53273" s="76" customFormat="1" ht="21.95" customHeight="1" x14ac:dyDescent="0.15"/>
    <row r="53274" s="76" customFormat="1" ht="21.95" customHeight="1" x14ac:dyDescent="0.15"/>
    <row r="53275" s="76" customFormat="1" ht="21.95" customHeight="1" x14ac:dyDescent="0.15"/>
    <row r="53276" s="76" customFormat="1" ht="21.95" customHeight="1" x14ac:dyDescent="0.15"/>
    <row r="53277" s="76" customFormat="1" ht="21.95" customHeight="1" x14ac:dyDescent="0.15"/>
    <row r="53278" s="76" customFormat="1" ht="21.95" customHeight="1" x14ac:dyDescent="0.15"/>
    <row r="53279" s="76" customFormat="1" ht="21.95" customHeight="1" x14ac:dyDescent="0.15"/>
    <row r="53280" s="76" customFormat="1" ht="21.95" customHeight="1" x14ac:dyDescent="0.15"/>
    <row r="53281" s="76" customFormat="1" ht="21.95" customHeight="1" x14ac:dyDescent="0.15"/>
    <row r="53282" s="76" customFormat="1" ht="21.95" customHeight="1" x14ac:dyDescent="0.15"/>
    <row r="53283" s="76" customFormat="1" ht="21.95" customHeight="1" x14ac:dyDescent="0.15"/>
    <row r="53284" s="76" customFormat="1" ht="21.95" customHeight="1" x14ac:dyDescent="0.15"/>
    <row r="53285" s="76" customFormat="1" ht="21.95" customHeight="1" x14ac:dyDescent="0.15"/>
    <row r="53286" s="76" customFormat="1" ht="21.95" customHeight="1" x14ac:dyDescent="0.15"/>
    <row r="53287" s="76" customFormat="1" ht="21.95" customHeight="1" x14ac:dyDescent="0.15"/>
    <row r="53288" s="76" customFormat="1" ht="21.95" customHeight="1" x14ac:dyDescent="0.15"/>
    <row r="53289" s="76" customFormat="1" ht="35.1" customHeight="1" x14ac:dyDescent="0.15"/>
    <row r="53290" s="76" customFormat="1" ht="21.95" customHeight="1" x14ac:dyDescent="0.15"/>
    <row r="53291" s="76" customFormat="1" ht="21.95" customHeight="1" x14ac:dyDescent="0.15"/>
    <row r="53292" s="76" customFormat="1" ht="21.95" customHeight="1" x14ac:dyDescent="0.15"/>
    <row r="53293" s="76" customFormat="1" ht="21.95" customHeight="1" x14ac:dyDescent="0.15"/>
    <row r="53294" s="76" customFormat="1" ht="21.95" customHeight="1" x14ac:dyDescent="0.15"/>
    <row r="53295" s="76" customFormat="1" ht="21.95" customHeight="1" x14ac:dyDescent="0.15"/>
    <row r="53296" s="76" customFormat="1" ht="21.95" customHeight="1" x14ac:dyDescent="0.15"/>
    <row r="53297" s="76" customFormat="1" ht="21.95" customHeight="1" x14ac:dyDescent="0.15"/>
    <row r="53298" s="76" customFormat="1" ht="21.95" customHeight="1" x14ac:dyDescent="0.15"/>
    <row r="53299" s="76" customFormat="1" ht="21.95" customHeight="1" x14ac:dyDescent="0.15"/>
    <row r="53300" s="76" customFormat="1" ht="21.95" customHeight="1" x14ac:dyDescent="0.15"/>
    <row r="53301" s="76" customFormat="1" ht="21.95" customHeight="1" x14ac:dyDescent="0.15"/>
    <row r="53302" s="76" customFormat="1" ht="21.95" customHeight="1" x14ac:dyDescent="0.15"/>
    <row r="53303" s="76" customFormat="1" ht="21.95" customHeight="1" x14ac:dyDescent="0.15"/>
    <row r="53304" s="76" customFormat="1" ht="21.95" customHeight="1" x14ac:dyDescent="0.15"/>
    <row r="53305" s="76" customFormat="1" ht="21.95" customHeight="1" x14ac:dyDescent="0.15"/>
    <row r="53306" s="76" customFormat="1" ht="21.95" customHeight="1" x14ac:dyDescent="0.15"/>
    <row r="53307" s="76" customFormat="1" ht="21.95" customHeight="1" x14ac:dyDescent="0.15"/>
    <row r="53308" s="76" customFormat="1" ht="21.95" customHeight="1" x14ac:dyDescent="0.15"/>
    <row r="53309" s="76" customFormat="1" ht="21.95" customHeight="1" x14ac:dyDescent="0.15"/>
    <row r="53310" s="76" customFormat="1" ht="21.95" customHeight="1" x14ac:dyDescent="0.15"/>
    <row r="53311" s="76" customFormat="1" ht="21.95" customHeight="1" x14ac:dyDescent="0.15"/>
    <row r="53312" s="76" customFormat="1" ht="21.95" customHeight="1" x14ac:dyDescent="0.15"/>
    <row r="53313" spans="3:3" customFormat="1" ht="21.95" customHeight="1" x14ac:dyDescent="0.15"/>
    <row r="53314" spans="3:3" customFormat="1" ht="21.95" customHeight="1" x14ac:dyDescent="0.15"/>
    <row r="53315" spans="3:3" customFormat="1" ht="21.95" customHeight="1" x14ac:dyDescent="0.15">
      <c r="C53315" s="94"/>
    </row>
    <row r="53316" spans="3:3" customFormat="1" ht="21.95" customHeight="1" x14ac:dyDescent="0.15">
      <c r="C53316" s="94"/>
    </row>
    <row r="53317" spans="3:3" customFormat="1" ht="21.95" customHeight="1" x14ac:dyDescent="0.15"/>
    <row r="53318" spans="3:3" customFormat="1" ht="21.95" customHeight="1" x14ac:dyDescent="0.15"/>
    <row r="53319" spans="3:3" customFormat="1" ht="21.95" customHeight="1" x14ac:dyDescent="0.15"/>
    <row r="53320" spans="3:3" customFormat="1" ht="21.95" customHeight="1" x14ac:dyDescent="0.15"/>
    <row r="53321" spans="3:3" customFormat="1" ht="21.95" customHeight="1" x14ac:dyDescent="0.15"/>
    <row r="53322" spans="3:3" customFormat="1" ht="21.95" customHeight="1" x14ac:dyDescent="0.15"/>
    <row r="53323" spans="3:3" customFormat="1" ht="21.95" customHeight="1" x14ac:dyDescent="0.15"/>
    <row r="53324" spans="3:3" s="76" customFormat="1" ht="21.95" customHeight="1" x14ac:dyDescent="0.15"/>
    <row r="53325" spans="3:3" s="76" customFormat="1" ht="21.95" customHeight="1" x14ac:dyDescent="0.15"/>
    <row r="53326" spans="3:3" s="76" customFormat="1" ht="21.95" customHeight="1" x14ac:dyDescent="0.15"/>
    <row r="53327" spans="3:3" s="76" customFormat="1" ht="21.95" customHeight="1" x14ac:dyDescent="0.15"/>
    <row r="53328" spans="3:3" customFormat="1" ht="21.95" customHeight="1" x14ac:dyDescent="0.15"/>
    <row r="53329" customFormat="1" ht="21.95" customHeight="1" x14ac:dyDescent="0.15"/>
    <row r="53330" customFormat="1" ht="21.95" customHeight="1" x14ac:dyDescent="0.15"/>
    <row r="53331" customFormat="1" ht="21.95" customHeight="1" x14ac:dyDescent="0.15"/>
    <row r="53332" customFormat="1" ht="21.95" customHeight="1" x14ac:dyDescent="0.15"/>
    <row r="53333" customFormat="1" ht="21.95" customHeight="1" x14ac:dyDescent="0.15"/>
    <row r="53334" customFormat="1" ht="21.95" customHeight="1" x14ac:dyDescent="0.15"/>
    <row r="53335" customFormat="1" ht="21.95" customHeight="1" x14ac:dyDescent="0.15"/>
    <row r="53336" customFormat="1" ht="21.95" customHeight="1" x14ac:dyDescent="0.15"/>
    <row r="53337" customFormat="1" ht="21.95" customHeight="1" x14ac:dyDescent="0.15"/>
    <row r="53338" customFormat="1" ht="21.95" customHeight="1" x14ac:dyDescent="0.15"/>
    <row r="53339" customFormat="1" ht="32.1" customHeight="1" x14ac:dyDescent="0.15"/>
    <row r="53340" customFormat="1" ht="32.1" customHeight="1" x14ac:dyDescent="0.15"/>
    <row r="53341" customFormat="1" ht="32.1" customHeight="1" x14ac:dyDescent="0.15"/>
    <row r="53342" customFormat="1" ht="32.1" customHeight="1" x14ac:dyDescent="0.15"/>
    <row r="53343" customFormat="1" ht="32.1" customHeight="1" x14ac:dyDescent="0.15"/>
    <row r="53344" customFormat="1" ht="32.1" customHeight="1" x14ac:dyDescent="0.15"/>
    <row r="53345" s="76" customFormat="1" ht="32.1" customHeight="1" x14ac:dyDescent="0.15"/>
    <row r="53346" s="76" customFormat="1" ht="32.1" customHeight="1" x14ac:dyDescent="0.15"/>
    <row r="53347" s="76" customFormat="1" ht="32.1" customHeight="1" x14ac:dyDescent="0.15"/>
    <row r="53348" s="76" customFormat="1" ht="32.1" customHeight="1" x14ac:dyDescent="0.15"/>
    <row r="53349" s="76" customFormat="1" ht="21.95" customHeight="1" x14ac:dyDescent="0.15"/>
    <row r="53350" s="76" customFormat="1" ht="54" customHeight="1" x14ac:dyDescent="0.15"/>
    <row r="53351" s="76" customFormat="1" ht="21.95" customHeight="1" x14ac:dyDescent="0.15"/>
    <row r="53352" s="76" customFormat="1" ht="21.95" customHeight="1" x14ac:dyDescent="0.15"/>
    <row r="53353" s="76" customFormat="1" ht="21.95" customHeight="1" x14ac:dyDescent="0.15"/>
    <row r="53354" s="76" customFormat="1" ht="21.95" customHeight="1" x14ac:dyDescent="0.15"/>
    <row r="53355" s="76" customFormat="1" ht="21.95" customHeight="1" x14ac:dyDescent="0.15"/>
    <row r="53356" s="76" customFormat="1" ht="21.95" customHeight="1" x14ac:dyDescent="0.15"/>
    <row r="53357" s="76" customFormat="1" ht="21.95" customHeight="1" x14ac:dyDescent="0.15"/>
    <row r="53358" s="76" customFormat="1" ht="21.95" customHeight="1" x14ac:dyDescent="0.15"/>
    <row r="53359" s="76" customFormat="1" ht="21.95" customHeight="1" x14ac:dyDescent="0.15"/>
    <row r="53360" s="76" customFormat="1" ht="21.95" customHeight="1" x14ac:dyDescent="0.15"/>
    <row r="53361" s="76" customFormat="1" ht="21.95" customHeight="1" x14ac:dyDescent="0.15"/>
    <row r="53362" s="76" customFormat="1" ht="21.95" customHeight="1" x14ac:dyDescent="0.15"/>
    <row r="53363" s="76" customFormat="1" ht="21.95" customHeight="1" x14ac:dyDescent="0.15"/>
    <row r="53364" s="76" customFormat="1" ht="21.95" customHeight="1" x14ac:dyDescent="0.15"/>
    <row r="53365" s="76" customFormat="1" ht="21.95" customHeight="1" x14ac:dyDescent="0.15"/>
    <row r="53366" s="76" customFormat="1" ht="21.95" customHeight="1" x14ac:dyDescent="0.15"/>
    <row r="53367" s="76" customFormat="1" ht="21.95" customHeight="1" x14ac:dyDescent="0.15"/>
    <row r="53368" s="76" customFormat="1" ht="21.95" customHeight="1" x14ac:dyDescent="0.15"/>
    <row r="53369" s="76" customFormat="1" ht="21.95" customHeight="1" x14ac:dyDescent="0.15"/>
    <row r="53370" s="76" customFormat="1" ht="21.95" customHeight="1" x14ac:dyDescent="0.15"/>
    <row r="53371" s="76" customFormat="1" ht="21.95" customHeight="1" x14ac:dyDescent="0.15"/>
    <row r="53372" s="76" customFormat="1" ht="21.95" customHeight="1" x14ac:dyDescent="0.15"/>
    <row r="53373" s="76" customFormat="1" ht="21.95" customHeight="1" x14ac:dyDescent="0.15"/>
    <row r="53374" s="76" customFormat="1" ht="21.95" customHeight="1" x14ac:dyDescent="0.15"/>
    <row r="53375" s="76" customFormat="1" ht="21.95" customHeight="1" x14ac:dyDescent="0.15"/>
    <row r="53376" s="76" customFormat="1" ht="21.95" customHeight="1" x14ac:dyDescent="0.15"/>
    <row r="53377" s="76" customFormat="1" ht="21.95" customHeight="1" x14ac:dyDescent="0.15"/>
    <row r="53378" s="76" customFormat="1" ht="21.95" customHeight="1" x14ac:dyDescent="0.15"/>
    <row r="53379" s="76" customFormat="1" ht="21.95" customHeight="1" x14ac:dyDescent="0.15"/>
    <row r="53380" s="76" customFormat="1" ht="21.95" customHeight="1" x14ac:dyDescent="0.15"/>
    <row r="53381" s="76" customFormat="1" ht="21.95" customHeight="1" x14ac:dyDescent="0.15"/>
    <row r="53382" s="76" customFormat="1" ht="21.95" customHeight="1" x14ac:dyDescent="0.15"/>
    <row r="53383" s="76" customFormat="1" ht="21.95" customHeight="1" x14ac:dyDescent="0.15"/>
    <row r="53384" s="76" customFormat="1" ht="21.95" customHeight="1" x14ac:dyDescent="0.15"/>
    <row r="53385" s="76" customFormat="1" ht="21.95" customHeight="1" x14ac:dyDescent="0.15"/>
    <row r="53386" s="76" customFormat="1" ht="21.95" customHeight="1" x14ac:dyDescent="0.15"/>
    <row r="53387" s="76" customFormat="1" ht="21.95" customHeight="1" x14ac:dyDescent="0.15"/>
    <row r="53388" s="76" customFormat="1" ht="21.95" customHeight="1" x14ac:dyDescent="0.15"/>
    <row r="53389" s="76" customFormat="1" ht="21.95" customHeight="1" x14ac:dyDescent="0.15"/>
    <row r="53390" s="76" customFormat="1" ht="21.95" customHeight="1" x14ac:dyDescent="0.15"/>
    <row r="53391" s="76" customFormat="1" ht="21.95" customHeight="1" x14ac:dyDescent="0.15"/>
    <row r="53392" s="76" customFormat="1" ht="21.95" customHeight="1" x14ac:dyDescent="0.15"/>
    <row r="53393" s="76" customFormat="1" ht="21.95" customHeight="1" x14ac:dyDescent="0.15"/>
    <row r="53394" s="76" customFormat="1" ht="21.95" customHeight="1" x14ac:dyDescent="0.15"/>
    <row r="53395" s="76" customFormat="1" ht="21.95" customHeight="1" x14ac:dyDescent="0.15"/>
    <row r="53396" s="76" customFormat="1" ht="21.95" customHeight="1" x14ac:dyDescent="0.15"/>
    <row r="53397" s="76" customFormat="1" ht="21.95" customHeight="1" x14ac:dyDescent="0.15"/>
    <row r="53398" s="76" customFormat="1" ht="21.95" customHeight="1" x14ac:dyDescent="0.15"/>
    <row r="53399" s="76" customFormat="1" ht="21.95" customHeight="1" x14ac:dyDescent="0.15"/>
    <row r="53400" s="76" customFormat="1" ht="21.95" customHeight="1" x14ac:dyDescent="0.15"/>
    <row r="53401" s="76" customFormat="1" ht="35.1" customHeight="1" x14ac:dyDescent="0.15"/>
    <row r="53402" s="76" customFormat="1" ht="21.95" customHeight="1" x14ac:dyDescent="0.15"/>
    <row r="53403" s="76" customFormat="1" ht="21.95" customHeight="1" x14ac:dyDescent="0.15"/>
    <row r="53404" s="76" customFormat="1" ht="21.95" customHeight="1" x14ac:dyDescent="0.15"/>
    <row r="53405" s="76" customFormat="1" ht="21.95" customHeight="1" x14ac:dyDescent="0.15"/>
    <row r="53406" s="76" customFormat="1" ht="21.95" customHeight="1" x14ac:dyDescent="0.15"/>
    <row r="53407" s="76" customFormat="1" ht="21.95" customHeight="1" x14ac:dyDescent="0.15"/>
    <row r="53408" s="76" customFormat="1" ht="21.95" customHeight="1" x14ac:dyDescent="0.15"/>
    <row r="53409" s="76" customFormat="1" ht="21.95" customHeight="1" x14ac:dyDescent="0.15"/>
    <row r="53410" s="76" customFormat="1" ht="21.95" customHeight="1" x14ac:dyDescent="0.15"/>
    <row r="53411" s="76" customFormat="1" ht="21.95" customHeight="1" x14ac:dyDescent="0.15"/>
    <row r="53412" s="76" customFormat="1" ht="21.95" customHeight="1" x14ac:dyDescent="0.15"/>
    <row r="53413" s="76" customFormat="1" ht="21.95" customHeight="1" x14ac:dyDescent="0.15"/>
    <row r="53414" s="76" customFormat="1" ht="21.95" customHeight="1" x14ac:dyDescent="0.15"/>
    <row r="53415" s="76" customFormat="1" ht="21.95" customHeight="1" x14ac:dyDescent="0.15"/>
    <row r="53416" s="76" customFormat="1" ht="21.95" customHeight="1" x14ac:dyDescent="0.15"/>
    <row r="53417" s="76" customFormat="1" ht="21.95" customHeight="1" x14ac:dyDescent="0.15"/>
    <row r="53418" s="76" customFormat="1" ht="21.95" customHeight="1" x14ac:dyDescent="0.15"/>
    <row r="53419" s="76" customFormat="1" ht="21.95" customHeight="1" x14ac:dyDescent="0.15"/>
    <row r="53420" s="76" customFormat="1" ht="21.95" customHeight="1" x14ac:dyDescent="0.15"/>
    <row r="53421" s="76" customFormat="1" ht="21.95" customHeight="1" x14ac:dyDescent="0.15"/>
    <row r="53422" s="76" customFormat="1" ht="21.95" customHeight="1" x14ac:dyDescent="0.15"/>
    <row r="53423" s="76" customFormat="1" ht="21.95" customHeight="1" x14ac:dyDescent="0.15"/>
    <row r="53424" s="76" customFormat="1" ht="21.95" customHeight="1" x14ac:dyDescent="0.15"/>
    <row r="53425" spans="3:3" customFormat="1" ht="21.95" customHeight="1" x14ac:dyDescent="0.15"/>
    <row r="53426" spans="3:3" customFormat="1" ht="21.95" customHeight="1" x14ac:dyDescent="0.15"/>
    <row r="53427" spans="3:3" customFormat="1" ht="21.95" customHeight="1" x14ac:dyDescent="0.15">
      <c r="C53427" s="94"/>
    </row>
    <row r="53428" spans="3:3" customFormat="1" ht="21.95" customHeight="1" x14ac:dyDescent="0.15">
      <c r="C53428" s="94"/>
    </row>
    <row r="53429" spans="3:3" customFormat="1" ht="21.95" customHeight="1" x14ac:dyDescent="0.15"/>
    <row r="53430" spans="3:3" customFormat="1" ht="21.95" customHeight="1" x14ac:dyDescent="0.15"/>
    <row r="53431" spans="3:3" customFormat="1" ht="21.95" customHeight="1" x14ac:dyDescent="0.15"/>
    <row r="53432" spans="3:3" customFormat="1" ht="21.95" customHeight="1" x14ac:dyDescent="0.15"/>
    <row r="53433" spans="3:3" customFormat="1" ht="21.95" customHeight="1" x14ac:dyDescent="0.15"/>
    <row r="53434" spans="3:3" customFormat="1" ht="21.95" customHeight="1" x14ac:dyDescent="0.15"/>
    <row r="53435" spans="3:3" customFormat="1" ht="21.95" customHeight="1" x14ac:dyDescent="0.15"/>
    <row r="53436" spans="3:3" s="76" customFormat="1" ht="21.95" customHeight="1" x14ac:dyDescent="0.15"/>
    <row r="53437" spans="3:3" s="76" customFormat="1" ht="21.95" customHeight="1" x14ac:dyDescent="0.15"/>
    <row r="53438" spans="3:3" s="76" customFormat="1" ht="21.95" customHeight="1" x14ac:dyDescent="0.15"/>
    <row r="53439" spans="3:3" s="76" customFormat="1" ht="21.95" customHeight="1" x14ac:dyDescent="0.15"/>
    <row r="53440" spans="3:3" customFormat="1" ht="21.95" customHeight="1" x14ac:dyDescent="0.15"/>
    <row r="53441" customFormat="1" ht="21.95" customHeight="1" x14ac:dyDescent="0.15"/>
    <row r="53442" customFormat="1" ht="21.95" customHeight="1" x14ac:dyDescent="0.15"/>
    <row r="53443" customFormat="1" ht="21.95" customHeight="1" x14ac:dyDescent="0.15"/>
    <row r="53444" customFormat="1" ht="21.95" customHeight="1" x14ac:dyDescent="0.15"/>
    <row r="53445" customFormat="1" ht="21.95" customHeight="1" x14ac:dyDescent="0.15"/>
    <row r="53446" customFormat="1" ht="21.95" customHeight="1" x14ac:dyDescent="0.15"/>
    <row r="53447" customFormat="1" ht="21.95" customHeight="1" x14ac:dyDescent="0.15"/>
    <row r="53448" customFormat="1" ht="21.95" customHeight="1" x14ac:dyDescent="0.15"/>
    <row r="53449" customFormat="1" ht="21.95" customHeight="1" x14ac:dyDescent="0.15"/>
    <row r="53450" customFormat="1" ht="21.95" customHeight="1" x14ac:dyDescent="0.15"/>
    <row r="53451" customFormat="1" ht="32.1" customHeight="1" x14ac:dyDescent="0.15"/>
    <row r="53452" customFormat="1" ht="32.1" customHeight="1" x14ac:dyDescent="0.15"/>
    <row r="53453" customFormat="1" ht="32.1" customHeight="1" x14ac:dyDescent="0.15"/>
    <row r="53454" customFormat="1" ht="32.1" customHeight="1" x14ac:dyDescent="0.15"/>
    <row r="53455" customFormat="1" ht="32.1" customHeight="1" x14ac:dyDescent="0.15"/>
    <row r="53456" customFormat="1" ht="32.1" customHeight="1" x14ac:dyDescent="0.15"/>
    <row r="53457" s="76" customFormat="1" ht="32.1" customHeight="1" x14ac:dyDescent="0.15"/>
    <row r="53458" s="76" customFormat="1" ht="32.1" customHeight="1" x14ac:dyDescent="0.15"/>
    <row r="53459" s="76" customFormat="1" ht="32.1" customHeight="1" x14ac:dyDescent="0.15"/>
    <row r="53460" s="76" customFormat="1" ht="32.1" customHeight="1" x14ac:dyDescent="0.15"/>
    <row r="53461" s="76" customFormat="1" ht="21.95" customHeight="1" x14ac:dyDescent="0.15"/>
    <row r="53462" s="76" customFormat="1" ht="54" customHeight="1" x14ac:dyDescent="0.15"/>
    <row r="53463" s="76" customFormat="1" ht="21.95" customHeight="1" x14ac:dyDescent="0.15"/>
    <row r="53464" s="76" customFormat="1" ht="21.95" customHeight="1" x14ac:dyDescent="0.15"/>
    <row r="53465" s="76" customFormat="1" ht="21.95" customHeight="1" x14ac:dyDescent="0.15"/>
    <row r="53466" s="76" customFormat="1" ht="21.95" customHeight="1" x14ac:dyDescent="0.15"/>
    <row r="53467" s="76" customFormat="1" ht="21.95" customHeight="1" x14ac:dyDescent="0.15"/>
    <row r="53468" s="76" customFormat="1" ht="21.95" customHeight="1" x14ac:dyDescent="0.15"/>
    <row r="53469" s="76" customFormat="1" ht="21.95" customHeight="1" x14ac:dyDescent="0.15"/>
    <row r="53470" s="76" customFormat="1" ht="21.95" customHeight="1" x14ac:dyDescent="0.15"/>
    <row r="53471" s="76" customFormat="1" ht="21.95" customHeight="1" x14ac:dyDescent="0.15"/>
    <row r="53472" s="76" customFormat="1" ht="21.95" customHeight="1" x14ac:dyDescent="0.15"/>
    <row r="53473" s="76" customFormat="1" ht="21.95" customHeight="1" x14ac:dyDescent="0.15"/>
    <row r="53474" s="76" customFormat="1" ht="21.95" customHeight="1" x14ac:dyDescent="0.15"/>
    <row r="53475" s="76" customFormat="1" ht="21.95" customHeight="1" x14ac:dyDescent="0.15"/>
    <row r="53476" s="76" customFormat="1" ht="21.95" customHeight="1" x14ac:dyDescent="0.15"/>
    <row r="53477" s="76" customFormat="1" ht="21.95" customHeight="1" x14ac:dyDescent="0.15"/>
    <row r="53478" s="76" customFormat="1" ht="21.95" customHeight="1" x14ac:dyDescent="0.15"/>
    <row r="53479" s="76" customFormat="1" ht="21.95" customHeight="1" x14ac:dyDescent="0.15"/>
    <row r="53480" s="76" customFormat="1" ht="21.95" customHeight="1" x14ac:dyDescent="0.15"/>
    <row r="53481" s="76" customFormat="1" ht="21.95" customHeight="1" x14ac:dyDescent="0.15"/>
    <row r="53482" s="76" customFormat="1" ht="21.95" customHeight="1" x14ac:dyDescent="0.15"/>
    <row r="53483" s="76" customFormat="1" ht="21.95" customHeight="1" x14ac:dyDescent="0.15"/>
    <row r="53484" s="76" customFormat="1" ht="21.95" customHeight="1" x14ac:dyDescent="0.15"/>
    <row r="53485" s="76" customFormat="1" ht="21.95" customHeight="1" x14ac:dyDescent="0.15"/>
    <row r="53486" s="76" customFormat="1" ht="21.95" customHeight="1" x14ac:dyDescent="0.15"/>
    <row r="53487" s="76" customFormat="1" ht="21.95" customHeight="1" x14ac:dyDescent="0.15"/>
    <row r="53488" s="76" customFormat="1" ht="21.95" customHeight="1" x14ac:dyDescent="0.15"/>
    <row r="53489" s="76" customFormat="1" ht="21.95" customHeight="1" x14ac:dyDescent="0.15"/>
    <row r="53490" s="76" customFormat="1" ht="21.95" customHeight="1" x14ac:dyDescent="0.15"/>
    <row r="53491" s="76" customFormat="1" ht="21.95" customHeight="1" x14ac:dyDescent="0.15"/>
    <row r="53492" s="76" customFormat="1" ht="21.95" customHeight="1" x14ac:dyDescent="0.15"/>
    <row r="53493" s="76" customFormat="1" ht="21.95" customHeight="1" x14ac:dyDescent="0.15"/>
    <row r="53494" s="76" customFormat="1" ht="21.95" customHeight="1" x14ac:dyDescent="0.15"/>
    <row r="53495" s="76" customFormat="1" ht="21.95" customHeight="1" x14ac:dyDescent="0.15"/>
    <row r="53496" s="76" customFormat="1" ht="21.95" customHeight="1" x14ac:dyDescent="0.15"/>
    <row r="53497" s="76" customFormat="1" ht="21.95" customHeight="1" x14ac:dyDescent="0.15"/>
    <row r="53498" s="76" customFormat="1" ht="21.95" customHeight="1" x14ac:dyDescent="0.15"/>
    <row r="53499" s="76" customFormat="1" ht="21.95" customHeight="1" x14ac:dyDescent="0.15"/>
    <row r="53500" s="76" customFormat="1" ht="21.95" customHeight="1" x14ac:dyDescent="0.15"/>
    <row r="53501" s="76" customFormat="1" ht="21.95" customHeight="1" x14ac:dyDescent="0.15"/>
    <row r="53502" s="76" customFormat="1" ht="21.95" customHeight="1" x14ac:dyDescent="0.15"/>
    <row r="53503" s="76" customFormat="1" ht="21.95" customHeight="1" x14ac:dyDescent="0.15"/>
    <row r="53504" s="76" customFormat="1" ht="21.95" customHeight="1" x14ac:dyDescent="0.15"/>
    <row r="53505" s="76" customFormat="1" ht="21.95" customHeight="1" x14ac:dyDescent="0.15"/>
    <row r="53506" s="76" customFormat="1" ht="21.95" customHeight="1" x14ac:dyDescent="0.15"/>
    <row r="53507" s="76" customFormat="1" ht="21.95" customHeight="1" x14ac:dyDescent="0.15"/>
    <row r="53508" s="76" customFormat="1" ht="21.95" customHeight="1" x14ac:dyDescent="0.15"/>
    <row r="53509" s="76" customFormat="1" ht="21.95" customHeight="1" x14ac:dyDescent="0.15"/>
    <row r="53510" s="76" customFormat="1" ht="21.95" customHeight="1" x14ac:dyDescent="0.15"/>
    <row r="53511" s="76" customFormat="1" ht="21.95" customHeight="1" x14ac:dyDescent="0.15"/>
    <row r="53512" s="76" customFormat="1" ht="21.95" customHeight="1" x14ac:dyDescent="0.15"/>
    <row r="53513" s="76" customFormat="1" ht="35.1" customHeight="1" x14ac:dyDescent="0.15"/>
    <row r="53514" s="76" customFormat="1" ht="21.95" customHeight="1" x14ac:dyDescent="0.15"/>
    <row r="53515" s="76" customFormat="1" ht="21.95" customHeight="1" x14ac:dyDescent="0.15"/>
    <row r="53516" s="76" customFormat="1" ht="21.95" customHeight="1" x14ac:dyDescent="0.15"/>
    <row r="53517" s="76" customFormat="1" ht="21.95" customHeight="1" x14ac:dyDescent="0.15"/>
    <row r="53518" s="76" customFormat="1" ht="21.95" customHeight="1" x14ac:dyDescent="0.15"/>
    <row r="53519" s="76" customFormat="1" ht="21.95" customHeight="1" x14ac:dyDescent="0.15"/>
    <row r="53520" s="76" customFormat="1" ht="21.95" customHeight="1" x14ac:dyDescent="0.15"/>
    <row r="53521" s="76" customFormat="1" ht="21.95" customHeight="1" x14ac:dyDescent="0.15"/>
    <row r="53522" s="76" customFormat="1" ht="21.95" customHeight="1" x14ac:dyDescent="0.15"/>
    <row r="53523" s="76" customFormat="1" ht="21.95" customHeight="1" x14ac:dyDescent="0.15"/>
    <row r="53524" s="76" customFormat="1" ht="21.95" customHeight="1" x14ac:dyDescent="0.15"/>
    <row r="53525" s="76" customFormat="1" ht="21.95" customHeight="1" x14ac:dyDescent="0.15"/>
    <row r="53526" s="76" customFormat="1" ht="21.95" customHeight="1" x14ac:dyDescent="0.15"/>
    <row r="53527" s="76" customFormat="1" ht="21.95" customHeight="1" x14ac:dyDescent="0.15"/>
    <row r="53528" s="76" customFormat="1" ht="21.95" customHeight="1" x14ac:dyDescent="0.15"/>
    <row r="53529" s="76" customFormat="1" ht="21.95" customHeight="1" x14ac:dyDescent="0.15"/>
    <row r="53530" s="76" customFormat="1" ht="21.95" customHeight="1" x14ac:dyDescent="0.15"/>
    <row r="53531" s="76" customFormat="1" ht="21.95" customHeight="1" x14ac:dyDescent="0.15"/>
    <row r="53532" s="76" customFormat="1" ht="21.95" customHeight="1" x14ac:dyDescent="0.15"/>
    <row r="53533" s="76" customFormat="1" ht="21.95" customHeight="1" x14ac:dyDescent="0.15"/>
    <row r="53534" s="76" customFormat="1" ht="21.95" customHeight="1" x14ac:dyDescent="0.15"/>
    <row r="53535" s="76" customFormat="1" ht="21.95" customHeight="1" x14ac:dyDescent="0.15"/>
    <row r="53536" s="76" customFormat="1" ht="21.95" customHeight="1" x14ac:dyDescent="0.15"/>
    <row r="53537" spans="3:3" customFormat="1" ht="21.95" customHeight="1" x14ac:dyDescent="0.15"/>
    <row r="53538" spans="3:3" customFormat="1" ht="21.95" customHeight="1" x14ac:dyDescent="0.15"/>
    <row r="53539" spans="3:3" customFormat="1" ht="21.95" customHeight="1" x14ac:dyDescent="0.15">
      <c r="C53539" s="94"/>
    </row>
    <row r="53540" spans="3:3" customFormat="1" ht="21.95" customHeight="1" x14ac:dyDescent="0.15">
      <c r="C53540" s="94"/>
    </row>
    <row r="53541" spans="3:3" customFormat="1" ht="21.95" customHeight="1" x14ac:dyDescent="0.15"/>
    <row r="53542" spans="3:3" customFormat="1" ht="21.95" customHeight="1" x14ac:dyDescent="0.15"/>
    <row r="53543" spans="3:3" customFormat="1" ht="21.95" customHeight="1" x14ac:dyDescent="0.15"/>
    <row r="53544" spans="3:3" customFormat="1" ht="21.95" customHeight="1" x14ac:dyDescent="0.15"/>
    <row r="53545" spans="3:3" customFormat="1" ht="21.95" customHeight="1" x14ac:dyDescent="0.15"/>
    <row r="53546" spans="3:3" customFormat="1" ht="21.95" customHeight="1" x14ac:dyDescent="0.15"/>
    <row r="53547" spans="3:3" customFormat="1" ht="21.95" customHeight="1" x14ac:dyDescent="0.15"/>
    <row r="53548" spans="3:3" s="76" customFormat="1" ht="21.95" customHeight="1" x14ac:dyDescent="0.15"/>
    <row r="53549" spans="3:3" s="76" customFormat="1" ht="21.95" customHeight="1" x14ac:dyDescent="0.15"/>
    <row r="53550" spans="3:3" s="76" customFormat="1" ht="21.95" customHeight="1" x14ac:dyDescent="0.15"/>
    <row r="53551" spans="3:3" s="76" customFormat="1" ht="21.95" customHeight="1" x14ac:dyDescent="0.15"/>
    <row r="53552" spans="3:3" customFormat="1" ht="21.95" customHeight="1" x14ac:dyDescent="0.15"/>
    <row r="53553" customFormat="1" ht="21.95" customHeight="1" x14ac:dyDescent="0.15"/>
    <row r="53554" customFormat="1" ht="21.95" customHeight="1" x14ac:dyDescent="0.15"/>
    <row r="53555" customFormat="1" ht="21.95" customHeight="1" x14ac:dyDescent="0.15"/>
    <row r="53556" customFormat="1" ht="21.95" customHeight="1" x14ac:dyDescent="0.15"/>
    <row r="53557" customFormat="1" ht="21.95" customHeight="1" x14ac:dyDescent="0.15"/>
    <row r="53558" customFormat="1" ht="21.95" customHeight="1" x14ac:dyDescent="0.15"/>
    <row r="53559" customFormat="1" ht="21.95" customHeight="1" x14ac:dyDescent="0.15"/>
    <row r="53560" customFormat="1" ht="21.95" customHeight="1" x14ac:dyDescent="0.15"/>
    <row r="53561" customFormat="1" ht="21.95" customHeight="1" x14ac:dyDescent="0.15"/>
    <row r="53562" customFormat="1" ht="21.95" customHeight="1" x14ac:dyDescent="0.15"/>
    <row r="53563" customFormat="1" ht="32.1" customHeight="1" x14ac:dyDescent="0.15"/>
    <row r="53564" customFormat="1" ht="32.1" customHeight="1" x14ac:dyDescent="0.15"/>
    <row r="53565" customFormat="1" ht="32.1" customHeight="1" x14ac:dyDescent="0.15"/>
    <row r="53566" customFormat="1" ht="32.1" customHeight="1" x14ac:dyDescent="0.15"/>
    <row r="53567" customFormat="1" ht="32.1" customHeight="1" x14ac:dyDescent="0.15"/>
    <row r="53568" customFormat="1" ht="32.1" customHeight="1" x14ac:dyDescent="0.15"/>
    <row r="53569" s="76" customFormat="1" ht="32.1" customHeight="1" x14ac:dyDescent="0.15"/>
    <row r="53570" s="76" customFormat="1" ht="32.1" customHeight="1" x14ac:dyDescent="0.15"/>
    <row r="53571" s="76" customFormat="1" ht="32.1" customHeight="1" x14ac:dyDescent="0.15"/>
    <row r="53572" s="76" customFormat="1" ht="32.1" customHeight="1" x14ac:dyDescent="0.15"/>
    <row r="53573" s="76" customFormat="1" ht="21.95" customHeight="1" x14ac:dyDescent="0.15"/>
    <row r="53574" s="76" customFormat="1" ht="54" customHeight="1" x14ac:dyDescent="0.15"/>
    <row r="53575" s="76" customFormat="1" ht="21.95" customHeight="1" x14ac:dyDescent="0.15"/>
    <row r="53576" s="76" customFormat="1" ht="21.95" customHeight="1" x14ac:dyDescent="0.15"/>
    <row r="53577" s="76" customFormat="1" ht="21.95" customHeight="1" x14ac:dyDescent="0.15"/>
    <row r="53578" s="76" customFormat="1" ht="21.95" customHeight="1" x14ac:dyDescent="0.15"/>
    <row r="53579" s="76" customFormat="1" ht="21.95" customHeight="1" x14ac:dyDescent="0.15"/>
    <row r="53580" s="76" customFormat="1" ht="21.95" customHeight="1" x14ac:dyDescent="0.15"/>
    <row r="53581" s="76" customFormat="1" ht="21.95" customHeight="1" x14ac:dyDescent="0.15"/>
    <row r="53582" s="76" customFormat="1" ht="21.95" customHeight="1" x14ac:dyDescent="0.15"/>
    <row r="53583" s="76" customFormat="1" ht="21.95" customHeight="1" x14ac:dyDescent="0.15"/>
    <row r="53584" s="76" customFormat="1" ht="21.95" customHeight="1" x14ac:dyDescent="0.15"/>
    <row r="53585" s="76" customFormat="1" ht="21.95" customHeight="1" x14ac:dyDescent="0.15"/>
    <row r="53586" s="76" customFormat="1" ht="21.95" customHeight="1" x14ac:dyDescent="0.15"/>
    <row r="53587" s="76" customFormat="1" ht="21.95" customHeight="1" x14ac:dyDescent="0.15"/>
    <row r="53588" s="76" customFormat="1" ht="21.95" customHeight="1" x14ac:dyDescent="0.15"/>
    <row r="53589" s="76" customFormat="1" ht="21.95" customHeight="1" x14ac:dyDescent="0.15"/>
    <row r="53590" s="76" customFormat="1" ht="21.95" customHeight="1" x14ac:dyDescent="0.15"/>
    <row r="53591" s="76" customFormat="1" ht="21.95" customHeight="1" x14ac:dyDescent="0.15"/>
    <row r="53592" s="76" customFormat="1" ht="21.95" customHeight="1" x14ac:dyDescent="0.15"/>
    <row r="53593" s="76" customFormat="1" ht="21.95" customHeight="1" x14ac:dyDescent="0.15"/>
    <row r="53594" s="76" customFormat="1" ht="21.95" customHeight="1" x14ac:dyDescent="0.15"/>
    <row r="53595" s="76" customFormat="1" ht="21.95" customHeight="1" x14ac:dyDescent="0.15"/>
    <row r="53596" s="76" customFormat="1" ht="21.95" customHeight="1" x14ac:dyDescent="0.15"/>
    <row r="53597" s="76" customFormat="1" ht="21.95" customHeight="1" x14ac:dyDescent="0.15"/>
    <row r="53598" s="76" customFormat="1" ht="21.95" customHeight="1" x14ac:dyDescent="0.15"/>
    <row r="53599" s="76" customFormat="1" ht="21.95" customHeight="1" x14ac:dyDescent="0.15"/>
    <row r="53600" s="76" customFormat="1" ht="21.95" customHeight="1" x14ac:dyDescent="0.15"/>
    <row r="53601" s="76" customFormat="1" ht="21.95" customHeight="1" x14ac:dyDescent="0.15"/>
    <row r="53602" s="76" customFormat="1" ht="21.95" customHeight="1" x14ac:dyDescent="0.15"/>
    <row r="53603" s="76" customFormat="1" ht="21.95" customHeight="1" x14ac:dyDescent="0.15"/>
    <row r="53604" s="76" customFormat="1" ht="21.95" customHeight="1" x14ac:dyDescent="0.15"/>
    <row r="53605" s="76" customFormat="1" ht="21.95" customHeight="1" x14ac:dyDescent="0.15"/>
    <row r="53606" s="76" customFormat="1" ht="21.95" customHeight="1" x14ac:dyDescent="0.15"/>
    <row r="53607" s="76" customFormat="1" ht="21.95" customHeight="1" x14ac:dyDescent="0.15"/>
    <row r="53608" s="76" customFormat="1" ht="21.95" customHeight="1" x14ac:dyDescent="0.15"/>
    <row r="53609" s="76" customFormat="1" ht="21.95" customHeight="1" x14ac:dyDescent="0.15"/>
    <row r="53610" s="76" customFormat="1" ht="21.95" customHeight="1" x14ac:dyDescent="0.15"/>
    <row r="53611" s="76" customFormat="1" ht="21.95" customHeight="1" x14ac:dyDescent="0.15"/>
    <row r="53612" s="76" customFormat="1" ht="21.95" customHeight="1" x14ac:dyDescent="0.15"/>
    <row r="53613" s="76" customFormat="1" ht="21.95" customHeight="1" x14ac:dyDescent="0.15"/>
    <row r="53614" s="76" customFormat="1" ht="21.95" customHeight="1" x14ac:dyDescent="0.15"/>
    <row r="53615" s="76" customFormat="1" ht="21.95" customHeight="1" x14ac:dyDescent="0.15"/>
    <row r="53616" s="76" customFormat="1" ht="21.95" customHeight="1" x14ac:dyDescent="0.15"/>
    <row r="53617" s="76" customFormat="1" ht="21.95" customHeight="1" x14ac:dyDescent="0.15"/>
    <row r="53618" s="76" customFormat="1" ht="21.95" customHeight="1" x14ac:dyDescent="0.15"/>
    <row r="53619" s="76" customFormat="1" ht="21.95" customHeight="1" x14ac:dyDescent="0.15"/>
    <row r="53620" s="76" customFormat="1" ht="21.95" customHeight="1" x14ac:dyDescent="0.15"/>
    <row r="53621" s="76" customFormat="1" ht="21.95" customHeight="1" x14ac:dyDescent="0.15"/>
    <row r="53622" s="76" customFormat="1" ht="21.95" customHeight="1" x14ac:dyDescent="0.15"/>
    <row r="53623" s="76" customFormat="1" ht="21.95" customHeight="1" x14ac:dyDescent="0.15"/>
    <row r="53624" s="76" customFormat="1" ht="21.95" customHeight="1" x14ac:dyDescent="0.15"/>
    <row r="53625" s="76" customFormat="1" ht="35.1" customHeight="1" x14ac:dyDescent="0.15"/>
    <row r="53626" s="76" customFormat="1" ht="21.95" customHeight="1" x14ac:dyDescent="0.15"/>
    <row r="53627" s="76" customFormat="1" ht="21.95" customHeight="1" x14ac:dyDescent="0.15"/>
    <row r="53628" s="76" customFormat="1" ht="21.95" customHeight="1" x14ac:dyDescent="0.15"/>
    <row r="53629" s="76" customFormat="1" ht="21.95" customHeight="1" x14ac:dyDescent="0.15"/>
    <row r="53630" s="76" customFormat="1" ht="21.95" customHeight="1" x14ac:dyDescent="0.15"/>
    <row r="53631" s="76" customFormat="1" ht="21.95" customHeight="1" x14ac:dyDescent="0.15"/>
    <row r="53632" s="76" customFormat="1" ht="21.95" customHeight="1" x14ac:dyDescent="0.15"/>
    <row r="53633" s="76" customFormat="1" ht="21.95" customHeight="1" x14ac:dyDescent="0.15"/>
    <row r="53634" s="76" customFormat="1" ht="21.95" customHeight="1" x14ac:dyDescent="0.15"/>
    <row r="53635" s="76" customFormat="1" ht="21.95" customHeight="1" x14ac:dyDescent="0.15"/>
    <row r="53636" s="76" customFormat="1" ht="21.95" customHeight="1" x14ac:dyDescent="0.15"/>
    <row r="53637" s="76" customFormat="1" ht="21.95" customHeight="1" x14ac:dyDescent="0.15"/>
    <row r="53638" s="76" customFormat="1" ht="21.95" customHeight="1" x14ac:dyDescent="0.15"/>
    <row r="53639" s="76" customFormat="1" ht="21.95" customHeight="1" x14ac:dyDescent="0.15"/>
    <row r="53640" s="76" customFormat="1" ht="21.95" customHeight="1" x14ac:dyDescent="0.15"/>
    <row r="53641" s="76" customFormat="1" ht="21.95" customHeight="1" x14ac:dyDescent="0.15"/>
    <row r="53642" s="76" customFormat="1" ht="21.95" customHeight="1" x14ac:dyDescent="0.15"/>
    <row r="53643" s="76" customFormat="1" ht="21.95" customHeight="1" x14ac:dyDescent="0.15"/>
    <row r="53644" s="76" customFormat="1" ht="21.95" customHeight="1" x14ac:dyDescent="0.15"/>
    <row r="53645" s="76" customFormat="1" ht="21.95" customHeight="1" x14ac:dyDescent="0.15"/>
    <row r="53646" s="76" customFormat="1" ht="21.95" customHeight="1" x14ac:dyDescent="0.15"/>
    <row r="53647" s="76" customFormat="1" ht="21.95" customHeight="1" x14ac:dyDescent="0.15"/>
    <row r="53648" s="76" customFormat="1" ht="21.95" customHeight="1" x14ac:dyDescent="0.15"/>
    <row r="53649" spans="3:3" customFormat="1" ht="21.95" customHeight="1" x14ac:dyDescent="0.15"/>
    <row r="53650" spans="3:3" customFormat="1" ht="21.95" customHeight="1" x14ac:dyDescent="0.15"/>
    <row r="53651" spans="3:3" customFormat="1" ht="21.95" customHeight="1" x14ac:dyDescent="0.15">
      <c r="C53651" s="94"/>
    </row>
    <row r="53652" spans="3:3" customFormat="1" ht="21.95" customHeight="1" x14ac:dyDescent="0.15">
      <c r="C53652" s="94"/>
    </row>
    <row r="53653" spans="3:3" customFormat="1" ht="21.95" customHeight="1" x14ac:dyDescent="0.15"/>
    <row r="53654" spans="3:3" customFormat="1" ht="21.95" customHeight="1" x14ac:dyDescent="0.15"/>
    <row r="53655" spans="3:3" customFormat="1" ht="21.95" customHeight="1" x14ac:dyDescent="0.15"/>
    <row r="53656" spans="3:3" customFormat="1" ht="21.95" customHeight="1" x14ac:dyDescent="0.15"/>
    <row r="53657" spans="3:3" customFormat="1" ht="21.95" customHeight="1" x14ac:dyDescent="0.15"/>
    <row r="53658" spans="3:3" customFormat="1" ht="21.95" customHeight="1" x14ac:dyDescent="0.15"/>
    <row r="53659" spans="3:3" customFormat="1" ht="21.95" customHeight="1" x14ac:dyDescent="0.15"/>
    <row r="53660" spans="3:3" s="76" customFormat="1" ht="21.95" customHeight="1" x14ac:dyDescent="0.15"/>
    <row r="53661" spans="3:3" s="76" customFormat="1" ht="21.95" customHeight="1" x14ac:dyDescent="0.15"/>
    <row r="53662" spans="3:3" s="76" customFormat="1" ht="21.95" customHeight="1" x14ac:dyDescent="0.15"/>
    <row r="53663" spans="3:3" s="76" customFormat="1" ht="21.95" customHeight="1" x14ac:dyDescent="0.15"/>
    <row r="53664" spans="3:3" customFormat="1" ht="21.95" customHeight="1" x14ac:dyDescent="0.15"/>
    <row r="53665" customFormat="1" ht="21.95" customHeight="1" x14ac:dyDescent="0.15"/>
    <row r="53666" customFormat="1" ht="21.95" customHeight="1" x14ac:dyDescent="0.15"/>
    <row r="53667" customFormat="1" ht="21.95" customHeight="1" x14ac:dyDescent="0.15"/>
    <row r="53668" customFormat="1" ht="21.95" customHeight="1" x14ac:dyDescent="0.15"/>
    <row r="53669" customFormat="1" ht="21.95" customHeight="1" x14ac:dyDescent="0.15"/>
    <row r="53670" customFormat="1" ht="21.95" customHeight="1" x14ac:dyDescent="0.15"/>
    <row r="53671" customFormat="1" ht="21.95" customHeight="1" x14ac:dyDescent="0.15"/>
    <row r="53672" customFormat="1" ht="21.95" customHeight="1" x14ac:dyDescent="0.15"/>
    <row r="53673" customFormat="1" ht="21.95" customHeight="1" x14ac:dyDescent="0.15"/>
    <row r="53674" customFormat="1" ht="21.95" customHeight="1" x14ac:dyDescent="0.15"/>
    <row r="53675" customFormat="1" ht="32.1" customHeight="1" x14ac:dyDescent="0.15"/>
    <row r="53676" customFormat="1" ht="32.1" customHeight="1" x14ac:dyDescent="0.15"/>
    <row r="53677" customFormat="1" ht="32.1" customHeight="1" x14ac:dyDescent="0.15"/>
    <row r="53678" customFormat="1" ht="32.1" customHeight="1" x14ac:dyDescent="0.15"/>
    <row r="53679" customFormat="1" ht="32.1" customHeight="1" x14ac:dyDescent="0.15"/>
    <row r="53680" customFormat="1" ht="32.1" customHeight="1" x14ac:dyDescent="0.15"/>
    <row r="53681" s="76" customFormat="1" ht="32.1" customHeight="1" x14ac:dyDescent="0.15"/>
    <row r="53682" s="76" customFormat="1" ht="32.1" customHeight="1" x14ac:dyDescent="0.15"/>
    <row r="53683" s="76" customFormat="1" ht="32.1" customHeight="1" x14ac:dyDescent="0.15"/>
    <row r="53684" s="76" customFormat="1" ht="32.1" customHeight="1" x14ac:dyDescent="0.15"/>
    <row r="53685" s="76" customFormat="1" ht="21.95" customHeight="1" x14ac:dyDescent="0.15"/>
    <row r="53686" s="76" customFormat="1" ht="54" customHeight="1" x14ac:dyDescent="0.15"/>
    <row r="53687" s="76" customFormat="1" ht="21.95" customHeight="1" x14ac:dyDescent="0.15"/>
    <row r="53688" s="76" customFormat="1" ht="21.95" customHeight="1" x14ac:dyDescent="0.15"/>
    <row r="53689" s="76" customFormat="1" ht="21.95" customHeight="1" x14ac:dyDescent="0.15"/>
    <row r="53690" s="76" customFormat="1" ht="21.95" customHeight="1" x14ac:dyDescent="0.15"/>
    <row r="53691" s="76" customFormat="1" ht="21.95" customHeight="1" x14ac:dyDescent="0.15"/>
    <row r="53692" s="76" customFormat="1" ht="21.95" customHeight="1" x14ac:dyDescent="0.15"/>
    <row r="53693" s="76" customFormat="1" ht="21.95" customHeight="1" x14ac:dyDescent="0.15"/>
    <row r="53694" s="76" customFormat="1" ht="21.95" customHeight="1" x14ac:dyDescent="0.15"/>
    <row r="53695" s="76" customFormat="1" ht="21.95" customHeight="1" x14ac:dyDescent="0.15"/>
    <row r="53696" s="76" customFormat="1" ht="21.95" customHeight="1" x14ac:dyDescent="0.15"/>
    <row r="53697" s="76" customFormat="1" ht="21.95" customHeight="1" x14ac:dyDescent="0.15"/>
    <row r="53698" s="76" customFormat="1" ht="21.95" customHeight="1" x14ac:dyDescent="0.15"/>
    <row r="53699" s="76" customFormat="1" ht="21.95" customHeight="1" x14ac:dyDescent="0.15"/>
    <row r="53700" s="76" customFormat="1" ht="21.95" customHeight="1" x14ac:dyDescent="0.15"/>
    <row r="53701" s="76" customFormat="1" ht="21.95" customHeight="1" x14ac:dyDescent="0.15"/>
    <row r="53702" s="76" customFormat="1" ht="21.95" customHeight="1" x14ac:dyDescent="0.15"/>
    <row r="53703" s="76" customFormat="1" ht="21.95" customHeight="1" x14ac:dyDescent="0.15"/>
    <row r="53704" s="76" customFormat="1" ht="21.95" customHeight="1" x14ac:dyDescent="0.15"/>
    <row r="53705" s="76" customFormat="1" ht="21.95" customHeight="1" x14ac:dyDescent="0.15"/>
    <row r="53706" s="76" customFormat="1" ht="21.95" customHeight="1" x14ac:dyDescent="0.15"/>
    <row r="53707" s="76" customFormat="1" ht="21.95" customHeight="1" x14ac:dyDescent="0.15"/>
    <row r="53708" s="76" customFormat="1" ht="21.95" customHeight="1" x14ac:dyDescent="0.15"/>
    <row r="53709" s="76" customFormat="1" ht="21.95" customHeight="1" x14ac:dyDescent="0.15"/>
    <row r="53710" s="76" customFormat="1" ht="21.95" customHeight="1" x14ac:dyDescent="0.15"/>
    <row r="53711" s="76" customFormat="1" ht="21.95" customHeight="1" x14ac:dyDescent="0.15"/>
    <row r="53712" s="76" customFormat="1" ht="21.95" customHeight="1" x14ac:dyDescent="0.15"/>
    <row r="53713" s="76" customFormat="1" ht="21.95" customHeight="1" x14ac:dyDescent="0.15"/>
    <row r="53714" s="76" customFormat="1" ht="21.95" customHeight="1" x14ac:dyDescent="0.15"/>
    <row r="53715" s="76" customFormat="1" ht="21.95" customHeight="1" x14ac:dyDescent="0.15"/>
    <row r="53716" s="76" customFormat="1" ht="21.95" customHeight="1" x14ac:dyDescent="0.15"/>
    <row r="53717" s="76" customFormat="1" ht="21.95" customHeight="1" x14ac:dyDescent="0.15"/>
    <row r="53718" s="76" customFormat="1" ht="21.95" customHeight="1" x14ac:dyDescent="0.15"/>
    <row r="53719" s="76" customFormat="1" ht="21.95" customHeight="1" x14ac:dyDescent="0.15"/>
    <row r="53720" s="76" customFormat="1" ht="21.95" customHeight="1" x14ac:dyDescent="0.15"/>
    <row r="53721" s="76" customFormat="1" ht="21.95" customHeight="1" x14ac:dyDescent="0.15"/>
    <row r="53722" s="76" customFormat="1" ht="21.95" customHeight="1" x14ac:dyDescent="0.15"/>
    <row r="53723" s="76" customFormat="1" ht="21.95" customHeight="1" x14ac:dyDescent="0.15"/>
    <row r="53724" s="76" customFormat="1" ht="21.95" customHeight="1" x14ac:dyDescent="0.15"/>
    <row r="53725" s="76" customFormat="1" ht="21.95" customHeight="1" x14ac:dyDescent="0.15"/>
    <row r="53726" s="76" customFormat="1" ht="21.95" customHeight="1" x14ac:dyDescent="0.15"/>
    <row r="53727" s="76" customFormat="1" ht="21.95" customHeight="1" x14ac:dyDescent="0.15"/>
    <row r="53728" s="76" customFormat="1" ht="21.95" customHeight="1" x14ac:dyDescent="0.15"/>
    <row r="53729" s="76" customFormat="1" ht="21.95" customHeight="1" x14ac:dyDescent="0.15"/>
    <row r="53730" s="76" customFormat="1" ht="21.95" customHeight="1" x14ac:dyDescent="0.15"/>
    <row r="53731" s="76" customFormat="1" ht="21.95" customHeight="1" x14ac:dyDescent="0.15"/>
    <row r="53732" s="76" customFormat="1" ht="21.95" customHeight="1" x14ac:dyDescent="0.15"/>
    <row r="53733" s="76" customFormat="1" ht="21.95" customHeight="1" x14ac:dyDescent="0.15"/>
    <row r="53734" s="76" customFormat="1" ht="21.95" customHeight="1" x14ac:dyDescent="0.15"/>
    <row r="53735" s="76" customFormat="1" ht="21.95" customHeight="1" x14ac:dyDescent="0.15"/>
    <row r="53736" s="76" customFormat="1" ht="21.95" customHeight="1" x14ac:dyDescent="0.15"/>
    <row r="53737" s="76" customFormat="1" ht="35.1" customHeight="1" x14ac:dyDescent="0.15"/>
    <row r="53738" s="76" customFormat="1" ht="21.95" customHeight="1" x14ac:dyDescent="0.15"/>
    <row r="53739" s="76" customFormat="1" ht="21.95" customHeight="1" x14ac:dyDescent="0.15"/>
    <row r="53740" s="76" customFormat="1" ht="21.95" customHeight="1" x14ac:dyDescent="0.15"/>
    <row r="53741" s="76" customFormat="1" ht="21.95" customHeight="1" x14ac:dyDescent="0.15"/>
    <row r="53742" s="76" customFormat="1" ht="21.95" customHeight="1" x14ac:dyDescent="0.15"/>
    <row r="53743" s="76" customFormat="1" ht="21.95" customHeight="1" x14ac:dyDescent="0.15"/>
    <row r="53744" s="76" customFormat="1" ht="21.95" customHeight="1" x14ac:dyDescent="0.15"/>
    <row r="53745" s="76" customFormat="1" ht="21.95" customHeight="1" x14ac:dyDescent="0.15"/>
    <row r="53746" s="76" customFormat="1" ht="21.95" customHeight="1" x14ac:dyDescent="0.15"/>
    <row r="53747" s="76" customFormat="1" ht="21.95" customHeight="1" x14ac:dyDescent="0.15"/>
    <row r="53748" s="76" customFormat="1" ht="21.95" customHeight="1" x14ac:dyDescent="0.15"/>
    <row r="53749" s="76" customFormat="1" ht="21.95" customHeight="1" x14ac:dyDescent="0.15"/>
    <row r="53750" s="76" customFormat="1" ht="21.95" customHeight="1" x14ac:dyDescent="0.15"/>
    <row r="53751" s="76" customFormat="1" ht="21.95" customHeight="1" x14ac:dyDescent="0.15"/>
    <row r="53752" s="76" customFormat="1" ht="21.95" customHeight="1" x14ac:dyDescent="0.15"/>
    <row r="53753" s="76" customFormat="1" ht="21.95" customHeight="1" x14ac:dyDescent="0.15"/>
    <row r="53754" s="76" customFormat="1" ht="21.95" customHeight="1" x14ac:dyDescent="0.15"/>
    <row r="53755" s="76" customFormat="1" ht="21.95" customHeight="1" x14ac:dyDescent="0.15"/>
    <row r="53756" s="76" customFormat="1" ht="21.95" customHeight="1" x14ac:dyDescent="0.15"/>
    <row r="53757" s="76" customFormat="1" ht="21.95" customHeight="1" x14ac:dyDescent="0.15"/>
    <row r="53758" s="76" customFormat="1" ht="21.95" customHeight="1" x14ac:dyDescent="0.15"/>
    <row r="53759" s="76" customFormat="1" ht="21.95" customHeight="1" x14ac:dyDescent="0.15"/>
    <row r="53760" s="76" customFormat="1" ht="21.95" customHeight="1" x14ac:dyDescent="0.15"/>
    <row r="53761" spans="3:3" customFormat="1" ht="21.95" customHeight="1" x14ac:dyDescent="0.15"/>
    <row r="53762" spans="3:3" customFormat="1" ht="21.95" customHeight="1" x14ac:dyDescent="0.15"/>
    <row r="53763" spans="3:3" customFormat="1" ht="21.95" customHeight="1" x14ac:dyDescent="0.15">
      <c r="C53763" s="94"/>
    </row>
    <row r="53764" spans="3:3" customFormat="1" ht="21.95" customHeight="1" x14ac:dyDescent="0.15">
      <c r="C53764" s="94"/>
    </row>
    <row r="53765" spans="3:3" customFormat="1" ht="21.95" customHeight="1" x14ac:dyDescent="0.15"/>
    <row r="53766" spans="3:3" customFormat="1" ht="21.95" customHeight="1" x14ac:dyDescent="0.15"/>
    <row r="53767" spans="3:3" customFormat="1" ht="21.95" customHeight="1" x14ac:dyDescent="0.15"/>
    <row r="53768" spans="3:3" customFormat="1" ht="21.95" customHeight="1" x14ac:dyDescent="0.15"/>
    <row r="53769" spans="3:3" customFormat="1" ht="21.95" customHeight="1" x14ac:dyDescent="0.15"/>
    <row r="53770" spans="3:3" customFormat="1" ht="21.95" customHeight="1" x14ac:dyDescent="0.15"/>
    <row r="53771" spans="3:3" customFormat="1" ht="21.95" customHeight="1" x14ac:dyDescent="0.15"/>
    <row r="53772" spans="3:3" s="76" customFormat="1" ht="21.95" customHeight="1" x14ac:dyDescent="0.15"/>
    <row r="53773" spans="3:3" s="76" customFormat="1" ht="21.95" customHeight="1" x14ac:dyDescent="0.15"/>
    <row r="53774" spans="3:3" s="76" customFormat="1" ht="21.95" customHeight="1" x14ac:dyDescent="0.15"/>
    <row r="53775" spans="3:3" s="76" customFormat="1" ht="21.95" customHeight="1" x14ac:dyDescent="0.15"/>
    <row r="53776" spans="3:3" customFormat="1" ht="21.95" customHeight="1" x14ac:dyDescent="0.15"/>
    <row r="53777" customFormat="1" ht="21.95" customHeight="1" x14ac:dyDescent="0.15"/>
    <row r="53778" customFormat="1" ht="21.95" customHeight="1" x14ac:dyDescent="0.15"/>
    <row r="53779" customFormat="1" ht="21.95" customHeight="1" x14ac:dyDescent="0.15"/>
    <row r="53780" customFormat="1" ht="21.95" customHeight="1" x14ac:dyDescent="0.15"/>
    <row r="53781" customFormat="1" ht="21.95" customHeight="1" x14ac:dyDescent="0.15"/>
    <row r="53782" customFormat="1" ht="21.95" customHeight="1" x14ac:dyDescent="0.15"/>
    <row r="53783" customFormat="1" ht="21.95" customHeight="1" x14ac:dyDescent="0.15"/>
    <row r="53784" customFormat="1" ht="21.95" customHeight="1" x14ac:dyDescent="0.15"/>
    <row r="53785" customFormat="1" ht="21.95" customHeight="1" x14ac:dyDescent="0.15"/>
    <row r="53786" customFormat="1" ht="21.95" customHeight="1" x14ac:dyDescent="0.15"/>
    <row r="53787" customFormat="1" ht="32.1" customHeight="1" x14ac:dyDescent="0.15"/>
    <row r="53788" customFormat="1" ht="32.1" customHeight="1" x14ac:dyDescent="0.15"/>
    <row r="53789" customFormat="1" ht="32.1" customHeight="1" x14ac:dyDescent="0.15"/>
    <row r="53790" customFormat="1" ht="32.1" customHeight="1" x14ac:dyDescent="0.15"/>
    <row r="53791" customFormat="1" ht="32.1" customHeight="1" x14ac:dyDescent="0.15"/>
    <row r="53792" customFormat="1" ht="32.1" customHeight="1" x14ac:dyDescent="0.15"/>
    <row r="53793" s="76" customFormat="1" ht="32.1" customHeight="1" x14ac:dyDescent="0.15"/>
    <row r="53794" s="76" customFormat="1" ht="32.1" customHeight="1" x14ac:dyDescent="0.15"/>
    <row r="53795" s="76" customFormat="1" ht="32.1" customHeight="1" x14ac:dyDescent="0.15"/>
    <row r="53796" s="76" customFormat="1" ht="32.1" customHeight="1" x14ac:dyDescent="0.15"/>
    <row r="53797" s="76" customFormat="1" ht="21.95" customHeight="1" x14ac:dyDescent="0.15"/>
    <row r="53798" s="76" customFormat="1" ht="54" customHeight="1" x14ac:dyDescent="0.15"/>
    <row r="53799" s="76" customFormat="1" ht="21.95" customHeight="1" x14ac:dyDescent="0.15"/>
    <row r="53800" s="76" customFormat="1" ht="21.95" customHeight="1" x14ac:dyDescent="0.15"/>
    <row r="53801" s="76" customFormat="1" ht="21.95" customHeight="1" x14ac:dyDescent="0.15"/>
    <row r="53802" s="76" customFormat="1" ht="21.95" customHeight="1" x14ac:dyDescent="0.15"/>
    <row r="53803" s="76" customFormat="1" ht="21.95" customHeight="1" x14ac:dyDescent="0.15"/>
    <row r="53804" s="76" customFormat="1" ht="21.95" customHeight="1" x14ac:dyDescent="0.15"/>
    <row r="53805" s="76" customFormat="1" ht="21.95" customHeight="1" x14ac:dyDescent="0.15"/>
    <row r="53806" s="76" customFormat="1" ht="21.95" customHeight="1" x14ac:dyDescent="0.15"/>
    <row r="53807" s="76" customFormat="1" ht="21.95" customHeight="1" x14ac:dyDescent="0.15"/>
    <row r="53808" s="76" customFormat="1" ht="21.95" customHeight="1" x14ac:dyDescent="0.15"/>
    <row r="53809" s="76" customFormat="1" ht="21.95" customHeight="1" x14ac:dyDescent="0.15"/>
    <row r="53810" s="76" customFormat="1" ht="21.95" customHeight="1" x14ac:dyDescent="0.15"/>
    <row r="53811" s="76" customFormat="1" ht="21.95" customHeight="1" x14ac:dyDescent="0.15"/>
    <row r="53812" s="76" customFormat="1" ht="21.95" customHeight="1" x14ac:dyDescent="0.15"/>
    <row r="53813" s="76" customFormat="1" ht="21.95" customHeight="1" x14ac:dyDescent="0.15"/>
    <row r="53814" s="76" customFormat="1" ht="21.95" customHeight="1" x14ac:dyDescent="0.15"/>
    <row r="53815" s="76" customFormat="1" ht="21.95" customHeight="1" x14ac:dyDescent="0.15"/>
    <row r="53816" s="76" customFormat="1" ht="21.95" customHeight="1" x14ac:dyDescent="0.15"/>
    <row r="53817" s="76" customFormat="1" ht="21.95" customHeight="1" x14ac:dyDescent="0.15"/>
    <row r="53818" s="76" customFormat="1" ht="21.95" customHeight="1" x14ac:dyDescent="0.15"/>
    <row r="53819" s="76" customFormat="1" ht="21.95" customHeight="1" x14ac:dyDescent="0.15"/>
    <row r="53820" s="76" customFormat="1" ht="21.95" customHeight="1" x14ac:dyDescent="0.15"/>
    <row r="53821" s="76" customFormat="1" ht="21.95" customHeight="1" x14ac:dyDescent="0.15"/>
    <row r="53822" s="76" customFormat="1" ht="21.95" customHeight="1" x14ac:dyDescent="0.15"/>
    <row r="53823" s="76" customFormat="1" ht="21.95" customHeight="1" x14ac:dyDescent="0.15"/>
    <row r="53824" s="76" customFormat="1" ht="21.95" customHeight="1" x14ac:dyDescent="0.15"/>
    <row r="53825" s="76" customFormat="1" ht="21.95" customHeight="1" x14ac:dyDescent="0.15"/>
    <row r="53826" s="76" customFormat="1" ht="21.95" customHeight="1" x14ac:dyDescent="0.15"/>
    <row r="53827" s="76" customFormat="1" ht="21.95" customHeight="1" x14ac:dyDescent="0.15"/>
    <row r="53828" s="76" customFormat="1" ht="21.95" customHeight="1" x14ac:dyDescent="0.15"/>
    <row r="53829" s="76" customFormat="1" ht="21.95" customHeight="1" x14ac:dyDescent="0.15"/>
    <row r="53830" s="76" customFormat="1" ht="21.95" customHeight="1" x14ac:dyDescent="0.15"/>
    <row r="53831" s="76" customFormat="1" ht="21.95" customHeight="1" x14ac:dyDescent="0.15"/>
    <row r="53832" s="76" customFormat="1" ht="21.95" customHeight="1" x14ac:dyDescent="0.15"/>
    <row r="53833" s="76" customFormat="1" ht="21.95" customHeight="1" x14ac:dyDescent="0.15"/>
    <row r="53834" s="76" customFormat="1" ht="21.95" customHeight="1" x14ac:dyDescent="0.15"/>
    <row r="53835" s="76" customFormat="1" ht="21.95" customHeight="1" x14ac:dyDescent="0.15"/>
    <row r="53836" s="76" customFormat="1" ht="21.95" customHeight="1" x14ac:dyDescent="0.15"/>
    <row r="53837" s="76" customFormat="1" ht="21.95" customHeight="1" x14ac:dyDescent="0.15"/>
    <row r="53838" s="76" customFormat="1" ht="21.95" customHeight="1" x14ac:dyDescent="0.15"/>
    <row r="53839" s="76" customFormat="1" ht="21.95" customHeight="1" x14ac:dyDescent="0.15"/>
    <row r="53840" s="76" customFormat="1" ht="21.95" customHeight="1" x14ac:dyDescent="0.15"/>
    <row r="53841" s="76" customFormat="1" ht="21.95" customHeight="1" x14ac:dyDescent="0.15"/>
    <row r="53842" s="76" customFormat="1" ht="21.95" customHeight="1" x14ac:dyDescent="0.15"/>
    <row r="53843" s="76" customFormat="1" ht="21.95" customHeight="1" x14ac:dyDescent="0.15"/>
    <row r="53844" s="76" customFormat="1" ht="21.95" customHeight="1" x14ac:dyDescent="0.15"/>
    <row r="53845" s="76" customFormat="1" ht="21.95" customHeight="1" x14ac:dyDescent="0.15"/>
    <row r="53846" s="76" customFormat="1" ht="21.95" customHeight="1" x14ac:dyDescent="0.15"/>
    <row r="53847" s="76" customFormat="1" ht="21.95" customHeight="1" x14ac:dyDescent="0.15"/>
    <row r="53848" s="76" customFormat="1" ht="21.95" customHeight="1" x14ac:dyDescent="0.15"/>
    <row r="53849" s="76" customFormat="1" ht="35.1" customHeight="1" x14ac:dyDescent="0.15"/>
    <row r="53850" s="76" customFormat="1" ht="21.95" customHeight="1" x14ac:dyDescent="0.15"/>
    <row r="53851" s="76" customFormat="1" ht="21.95" customHeight="1" x14ac:dyDescent="0.15"/>
    <row r="53852" s="76" customFormat="1" ht="21.95" customHeight="1" x14ac:dyDescent="0.15"/>
    <row r="53853" s="76" customFormat="1" ht="21.95" customHeight="1" x14ac:dyDescent="0.15"/>
    <row r="53854" s="76" customFormat="1" ht="21.95" customHeight="1" x14ac:dyDescent="0.15"/>
    <row r="53855" s="76" customFormat="1" ht="21.95" customHeight="1" x14ac:dyDescent="0.15"/>
    <row r="53856" s="76" customFormat="1" ht="21.95" customHeight="1" x14ac:dyDescent="0.15"/>
    <row r="53857" s="76" customFormat="1" ht="21.95" customHeight="1" x14ac:dyDescent="0.15"/>
    <row r="53858" s="76" customFormat="1" ht="21.95" customHeight="1" x14ac:dyDescent="0.15"/>
    <row r="53859" s="76" customFormat="1" ht="21.95" customHeight="1" x14ac:dyDescent="0.15"/>
    <row r="53860" s="76" customFormat="1" ht="21.95" customHeight="1" x14ac:dyDescent="0.15"/>
    <row r="53861" s="76" customFormat="1" ht="21.95" customHeight="1" x14ac:dyDescent="0.15"/>
    <row r="53862" s="76" customFormat="1" ht="21.95" customHeight="1" x14ac:dyDescent="0.15"/>
    <row r="53863" s="76" customFormat="1" ht="21.95" customHeight="1" x14ac:dyDescent="0.15"/>
    <row r="53864" s="76" customFormat="1" ht="21.95" customHeight="1" x14ac:dyDescent="0.15"/>
    <row r="53865" s="76" customFormat="1" ht="21.95" customHeight="1" x14ac:dyDescent="0.15"/>
    <row r="53866" s="76" customFormat="1" ht="21.95" customHeight="1" x14ac:dyDescent="0.15"/>
    <row r="53867" s="76" customFormat="1" ht="21.95" customHeight="1" x14ac:dyDescent="0.15"/>
    <row r="53868" s="76" customFormat="1" ht="21.95" customHeight="1" x14ac:dyDescent="0.15"/>
    <row r="53869" s="76" customFormat="1" ht="21.95" customHeight="1" x14ac:dyDescent="0.15"/>
    <row r="53870" s="76" customFormat="1" ht="21.95" customHeight="1" x14ac:dyDescent="0.15"/>
    <row r="53871" s="76" customFormat="1" ht="21.95" customHeight="1" x14ac:dyDescent="0.15"/>
    <row r="53872" s="76" customFormat="1" ht="21.95" customHeight="1" x14ac:dyDescent="0.15"/>
    <row r="53873" spans="3:3" customFormat="1" ht="21.95" customHeight="1" x14ac:dyDescent="0.15"/>
    <row r="53874" spans="3:3" customFormat="1" ht="21.95" customHeight="1" x14ac:dyDescent="0.15"/>
    <row r="53875" spans="3:3" customFormat="1" ht="21.95" customHeight="1" x14ac:dyDescent="0.15">
      <c r="C53875" s="94"/>
    </row>
    <row r="53876" spans="3:3" customFormat="1" ht="21.95" customHeight="1" x14ac:dyDescent="0.15">
      <c r="C53876" s="94"/>
    </row>
    <row r="53877" spans="3:3" customFormat="1" ht="21.95" customHeight="1" x14ac:dyDescent="0.15"/>
    <row r="53878" spans="3:3" customFormat="1" ht="21.95" customHeight="1" x14ac:dyDescent="0.15"/>
    <row r="53879" spans="3:3" customFormat="1" ht="21.95" customHeight="1" x14ac:dyDescent="0.15"/>
    <row r="53880" spans="3:3" customFormat="1" ht="21.95" customHeight="1" x14ac:dyDescent="0.15"/>
    <row r="53881" spans="3:3" customFormat="1" ht="21.95" customHeight="1" x14ac:dyDescent="0.15"/>
    <row r="53882" spans="3:3" customFormat="1" ht="21.95" customHeight="1" x14ac:dyDescent="0.15"/>
    <row r="53883" spans="3:3" customFormat="1" ht="21.95" customHeight="1" x14ac:dyDescent="0.15"/>
    <row r="53884" spans="3:3" s="76" customFormat="1" ht="21.95" customHeight="1" x14ac:dyDescent="0.15"/>
    <row r="53885" spans="3:3" s="76" customFormat="1" ht="21.95" customHeight="1" x14ac:dyDescent="0.15"/>
    <row r="53886" spans="3:3" s="76" customFormat="1" ht="21.95" customHeight="1" x14ac:dyDescent="0.15"/>
    <row r="53887" spans="3:3" s="76" customFormat="1" ht="21.95" customHeight="1" x14ac:dyDescent="0.15"/>
    <row r="53888" spans="3:3" customFormat="1" ht="21.95" customHeight="1" x14ac:dyDescent="0.15"/>
    <row r="53889" customFormat="1" ht="21.95" customHeight="1" x14ac:dyDescent="0.15"/>
    <row r="53890" customFormat="1" ht="21.95" customHeight="1" x14ac:dyDescent="0.15"/>
    <row r="53891" customFormat="1" ht="21.95" customHeight="1" x14ac:dyDescent="0.15"/>
    <row r="53892" customFormat="1" ht="21.95" customHeight="1" x14ac:dyDescent="0.15"/>
    <row r="53893" customFormat="1" ht="21.95" customHeight="1" x14ac:dyDescent="0.15"/>
    <row r="53894" customFormat="1" ht="21.95" customHeight="1" x14ac:dyDescent="0.15"/>
    <row r="53895" customFormat="1" ht="21.95" customHeight="1" x14ac:dyDescent="0.15"/>
    <row r="53896" customFormat="1" ht="21.95" customHeight="1" x14ac:dyDescent="0.15"/>
    <row r="53897" customFormat="1" ht="21.95" customHeight="1" x14ac:dyDescent="0.15"/>
    <row r="53898" customFormat="1" ht="21.95" customHeight="1" x14ac:dyDescent="0.15"/>
    <row r="53899" customFormat="1" ht="32.1" customHeight="1" x14ac:dyDescent="0.15"/>
    <row r="53900" customFormat="1" ht="32.1" customHeight="1" x14ac:dyDescent="0.15"/>
    <row r="53901" customFormat="1" ht="32.1" customHeight="1" x14ac:dyDescent="0.15"/>
    <row r="53902" customFormat="1" ht="32.1" customHeight="1" x14ac:dyDescent="0.15"/>
    <row r="53903" customFormat="1" ht="32.1" customHeight="1" x14ac:dyDescent="0.15"/>
    <row r="53904" customFormat="1" ht="32.1" customHeight="1" x14ac:dyDescent="0.15"/>
    <row r="53905" s="76" customFormat="1" ht="32.1" customHeight="1" x14ac:dyDescent="0.15"/>
    <row r="53906" s="76" customFormat="1" ht="32.1" customHeight="1" x14ac:dyDescent="0.15"/>
    <row r="53907" s="76" customFormat="1" ht="32.1" customHeight="1" x14ac:dyDescent="0.15"/>
    <row r="53908" s="76" customFormat="1" ht="32.1" customHeight="1" x14ac:dyDescent="0.15"/>
    <row r="53909" s="76" customFormat="1" ht="21.95" customHeight="1" x14ac:dyDescent="0.15"/>
    <row r="53910" s="76" customFormat="1" ht="54" customHeight="1" x14ac:dyDescent="0.15"/>
    <row r="53911" s="76" customFormat="1" ht="21.95" customHeight="1" x14ac:dyDescent="0.15"/>
    <row r="53912" s="76" customFormat="1" ht="21.95" customHeight="1" x14ac:dyDescent="0.15"/>
    <row r="53913" s="76" customFormat="1" ht="21.95" customHeight="1" x14ac:dyDescent="0.15"/>
    <row r="53914" s="76" customFormat="1" ht="21.95" customHeight="1" x14ac:dyDescent="0.15"/>
    <row r="53915" s="76" customFormat="1" ht="21.95" customHeight="1" x14ac:dyDescent="0.15"/>
    <row r="53916" s="76" customFormat="1" ht="21.95" customHeight="1" x14ac:dyDescent="0.15"/>
    <row r="53917" s="76" customFormat="1" ht="21.95" customHeight="1" x14ac:dyDescent="0.15"/>
    <row r="53918" s="76" customFormat="1" ht="21.95" customHeight="1" x14ac:dyDescent="0.15"/>
    <row r="53919" s="76" customFormat="1" ht="21.95" customHeight="1" x14ac:dyDescent="0.15"/>
    <row r="53920" s="76" customFormat="1" ht="21.95" customHeight="1" x14ac:dyDescent="0.15"/>
    <row r="53921" s="76" customFormat="1" ht="21.95" customHeight="1" x14ac:dyDescent="0.15"/>
    <row r="53922" s="76" customFormat="1" ht="21.95" customHeight="1" x14ac:dyDescent="0.15"/>
    <row r="53923" s="76" customFormat="1" ht="21.95" customHeight="1" x14ac:dyDescent="0.15"/>
    <row r="53924" s="76" customFormat="1" ht="21.95" customHeight="1" x14ac:dyDescent="0.15"/>
    <row r="53925" s="76" customFormat="1" ht="21.95" customHeight="1" x14ac:dyDescent="0.15"/>
    <row r="53926" s="76" customFormat="1" ht="21.95" customHeight="1" x14ac:dyDescent="0.15"/>
    <row r="53927" s="76" customFormat="1" ht="21.95" customHeight="1" x14ac:dyDescent="0.15"/>
    <row r="53928" s="76" customFormat="1" ht="21.95" customHeight="1" x14ac:dyDescent="0.15"/>
    <row r="53929" s="76" customFormat="1" ht="21.95" customHeight="1" x14ac:dyDescent="0.15"/>
    <row r="53930" s="76" customFormat="1" ht="21.95" customHeight="1" x14ac:dyDescent="0.15"/>
    <row r="53931" s="76" customFormat="1" ht="21.95" customHeight="1" x14ac:dyDescent="0.15"/>
    <row r="53932" s="76" customFormat="1" ht="21.95" customHeight="1" x14ac:dyDescent="0.15"/>
    <row r="53933" s="76" customFormat="1" ht="21.95" customHeight="1" x14ac:dyDescent="0.15"/>
    <row r="53934" s="76" customFormat="1" ht="21.95" customHeight="1" x14ac:dyDescent="0.15"/>
    <row r="53935" s="76" customFormat="1" ht="21.95" customHeight="1" x14ac:dyDescent="0.15"/>
    <row r="53936" s="76" customFormat="1" ht="21.95" customHeight="1" x14ac:dyDescent="0.15"/>
    <row r="53937" s="76" customFormat="1" ht="21.95" customHeight="1" x14ac:dyDescent="0.15"/>
    <row r="53938" s="76" customFormat="1" ht="21.95" customHeight="1" x14ac:dyDescent="0.15"/>
    <row r="53939" s="76" customFormat="1" ht="21.95" customHeight="1" x14ac:dyDescent="0.15"/>
    <row r="53940" s="76" customFormat="1" ht="21.95" customHeight="1" x14ac:dyDescent="0.15"/>
    <row r="53941" s="76" customFormat="1" ht="21.95" customHeight="1" x14ac:dyDescent="0.15"/>
    <row r="53942" s="76" customFormat="1" ht="21.95" customHeight="1" x14ac:dyDescent="0.15"/>
    <row r="53943" s="76" customFormat="1" ht="21.95" customHeight="1" x14ac:dyDescent="0.15"/>
    <row r="53944" s="76" customFormat="1" ht="21.95" customHeight="1" x14ac:dyDescent="0.15"/>
    <row r="53945" s="76" customFormat="1" ht="21.95" customHeight="1" x14ac:dyDescent="0.15"/>
    <row r="53946" s="76" customFormat="1" ht="21.95" customHeight="1" x14ac:dyDescent="0.15"/>
    <row r="53947" s="76" customFormat="1" ht="21.95" customHeight="1" x14ac:dyDescent="0.15"/>
    <row r="53948" s="76" customFormat="1" ht="21.95" customHeight="1" x14ac:dyDescent="0.15"/>
    <row r="53949" s="76" customFormat="1" ht="21.95" customHeight="1" x14ac:dyDescent="0.15"/>
    <row r="53950" s="76" customFormat="1" ht="21.95" customHeight="1" x14ac:dyDescent="0.15"/>
    <row r="53951" s="76" customFormat="1" ht="21.95" customHeight="1" x14ac:dyDescent="0.15"/>
    <row r="53952" s="76" customFormat="1" ht="21.95" customHeight="1" x14ac:dyDescent="0.15"/>
    <row r="53953" s="76" customFormat="1" ht="21.95" customHeight="1" x14ac:dyDescent="0.15"/>
    <row r="53954" s="76" customFormat="1" ht="21.95" customHeight="1" x14ac:dyDescent="0.15"/>
    <row r="53955" s="76" customFormat="1" ht="21.95" customHeight="1" x14ac:dyDescent="0.15"/>
    <row r="53956" s="76" customFormat="1" ht="21.95" customHeight="1" x14ac:dyDescent="0.15"/>
    <row r="53957" s="76" customFormat="1" ht="21.95" customHeight="1" x14ac:dyDescent="0.15"/>
    <row r="53958" s="76" customFormat="1" ht="21.95" customHeight="1" x14ac:dyDescent="0.15"/>
    <row r="53959" s="76" customFormat="1" ht="21.95" customHeight="1" x14ac:dyDescent="0.15"/>
    <row r="53960" s="76" customFormat="1" ht="21.95" customHeight="1" x14ac:dyDescent="0.15"/>
    <row r="53961" s="76" customFormat="1" ht="35.1" customHeight="1" x14ac:dyDescent="0.15"/>
    <row r="53962" s="76" customFormat="1" ht="21.95" customHeight="1" x14ac:dyDescent="0.15"/>
    <row r="53963" s="76" customFormat="1" ht="21.95" customHeight="1" x14ac:dyDescent="0.15"/>
    <row r="53964" s="76" customFormat="1" ht="21.95" customHeight="1" x14ac:dyDescent="0.15"/>
    <row r="53965" s="76" customFormat="1" ht="21.95" customHeight="1" x14ac:dyDescent="0.15"/>
    <row r="53966" s="76" customFormat="1" ht="21.95" customHeight="1" x14ac:dyDescent="0.15"/>
    <row r="53967" s="76" customFormat="1" ht="21.95" customHeight="1" x14ac:dyDescent="0.15"/>
    <row r="53968" s="76" customFormat="1" ht="21.95" customHeight="1" x14ac:dyDescent="0.15"/>
    <row r="53969" s="76" customFormat="1" ht="21.95" customHeight="1" x14ac:dyDescent="0.15"/>
    <row r="53970" s="76" customFormat="1" ht="21.95" customHeight="1" x14ac:dyDescent="0.15"/>
    <row r="53971" s="76" customFormat="1" ht="21.95" customHeight="1" x14ac:dyDescent="0.15"/>
    <row r="53972" s="76" customFormat="1" ht="21.95" customHeight="1" x14ac:dyDescent="0.15"/>
    <row r="53973" s="76" customFormat="1" ht="21.95" customHeight="1" x14ac:dyDescent="0.15"/>
    <row r="53974" s="76" customFormat="1" ht="21.95" customHeight="1" x14ac:dyDescent="0.15"/>
    <row r="53975" s="76" customFormat="1" ht="21.95" customHeight="1" x14ac:dyDescent="0.15"/>
    <row r="53976" s="76" customFormat="1" ht="21.95" customHeight="1" x14ac:dyDescent="0.15"/>
    <row r="53977" s="76" customFormat="1" ht="21.95" customHeight="1" x14ac:dyDescent="0.15"/>
    <row r="53978" s="76" customFormat="1" ht="21.95" customHeight="1" x14ac:dyDescent="0.15"/>
    <row r="53979" s="76" customFormat="1" ht="21.95" customHeight="1" x14ac:dyDescent="0.15"/>
    <row r="53980" s="76" customFormat="1" ht="21.95" customHeight="1" x14ac:dyDescent="0.15"/>
    <row r="53981" s="76" customFormat="1" ht="21.95" customHeight="1" x14ac:dyDescent="0.15"/>
    <row r="53982" s="76" customFormat="1" ht="21.95" customHeight="1" x14ac:dyDescent="0.15"/>
    <row r="53983" s="76" customFormat="1" ht="21.95" customHeight="1" x14ac:dyDescent="0.15"/>
    <row r="53984" s="76" customFormat="1" ht="21.95" customHeight="1" x14ac:dyDescent="0.15"/>
    <row r="53985" spans="3:3" customFormat="1" ht="21.95" customHeight="1" x14ac:dyDescent="0.15"/>
    <row r="53986" spans="3:3" customFormat="1" ht="21.95" customHeight="1" x14ac:dyDescent="0.15"/>
    <row r="53987" spans="3:3" customFormat="1" ht="21.95" customHeight="1" x14ac:dyDescent="0.15">
      <c r="C53987" s="94"/>
    </row>
    <row r="53988" spans="3:3" customFormat="1" ht="21.95" customHeight="1" x14ac:dyDescent="0.15">
      <c r="C53988" s="94"/>
    </row>
    <row r="53989" spans="3:3" customFormat="1" ht="21.95" customHeight="1" x14ac:dyDescent="0.15"/>
    <row r="53990" spans="3:3" customFormat="1" ht="21.95" customHeight="1" x14ac:dyDescent="0.15"/>
    <row r="53991" spans="3:3" customFormat="1" ht="21.95" customHeight="1" x14ac:dyDescent="0.15"/>
    <row r="53992" spans="3:3" customFormat="1" ht="21.95" customHeight="1" x14ac:dyDescent="0.15"/>
    <row r="53993" spans="3:3" customFormat="1" ht="21.95" customHeight="1" x14ac:dyDescent="0.15"/>
    <row r="53994" spans="3:3" customFormat="1" ht="21.95" customHeight="1" x14ac:dyDescent="0.15"/>
    <row r="53995" spans="3:3" customFormat="1" ht="21.95" customHeight="1" x14ac:dyDescent="0.15"/>
    <row r="53996" spans="3:3" s="76" customFormat="1" ht="21.95" customHeight="1" x14ac:dyDescent="0.15"/>
    <row r="53997" spans="3:3" s="76" customFormat="1" ht="21.95" customHeight="1" x14ac:dyDescent="0.15"/>
    <row r="53998" spans="3:3" s="76" customFormat="1" ht="21.95" customHeight="1" x14ac:dyDescent="0.15"/>
    <row r="53999" spans="3:3" s="76" customFormat="1" ht="21.95" customHeight="1" x14ac:dyDescent="0.15"/>
    <row r="54000" spans="3:3" customFormat="1" ht="21.95" customHeight="1" x14ac:dyDescent="0.15"/>
    <row r="54001" customFormat="1" ht="21.95" customHeight="1" x14ac:dyDescent="0.15"/>
    <row r="54002" customFormat="1" ht="21.95" customHeight="1" x14ac:dyDescent="0.15"/>
    <row r="54003" customFormat="1" ht="21.95" customHeight="1" x14ac:dyDescent="0.15"/>
    <row r="54004" customFormat="1" ht="21.95" customHeight="1" x14ac:dyDescent="0.15"/>
    <row r="54005" customFormat="1" ht="21.95" customHeight="1" x14ac:dyDescent="0.15"/>
    <row r="54006" customFormat="1" ht="21.95" customHeight="1" x14ac:dyDescent="0.15"/>
    <row r="54007" customFormat="1" ht="21.95" customHeight="1" x14ac:dyDescent="0.15"/>
    <row r="54008" customFormat="1" ht="21.95" customHeight="1" x14ac:dyDescent="0.15"/>
    <row r="54009" customFormat="1" ht="21.95" customHeight="1" x14ac:dyDescent="0.15"/>
    <row r="54010" customFormat="1" ht="21.95" customHeight="1" x14ac:dyDescent="0.15"/>
    <row r="54011" customFormat="1" ht="32.1" customHeight="1" x14ac:dyDescent="0.15"/>
    <row r="54012" customFormat="1" ht="32.1" customHeight="1" x14ac:dyDescent="0.15"/>
    <row r="54013" customFormat="1" ht="32.1" customHeight="1" x14ac:dyDescent="0.15"/>
    <row r="54014" customFormat="1" ht="32.1" customHeight="1" x14ac:dyDescent="0.15"/>
    <row r="54015" customFormat="1" ht="32.1" customHeight="1" x14ac:dyDescent="0.15"/>
    <row r="54016" customFormat="1" ht="32.1" customHeight="1" x14ac:dyDescent="0.15"/>
    <row r="54017" s="76" customFormat="1" ht="32.1" customHeight="1" x14ac:dyDescent="0.15"/>
    <row r="54018" s="76" customFormat="1" ht="32.1" customHeight="1" x14ac:dyDescent="0.15"/>
    <row r="54019" s="76" customFormat="1" ht="32.1" customHeight="1" x14ac:dyDescent="0.15"/>
    <row r="54020" s="76" customFormat="1" ht="32.1" customHeight="1" x14ac:dyDescent="0.15"/>
    <row r="54021" s="76" customFormat="1" ht="21.95" customHeight="1" x14ac:dyDescent="0.15"/>
    <row r="54022" s="76" customFormat="1" ht="54" customHeight="1" x14ac:dyDescent="0.15"/>
    <row r="54023" s="76" customFormat="1" ht="21.95" customHeight="1" x14ac:dyDescent="0.15"/>
    <row r="54024" s="76" customFormat="1" ht="21.95" customHeight="1" x14ac:dyDescent="0.15"/>
    <row r="54025" s="76" customFormat="1" ht="21.95" customHeight="1" x14ac:dyDescent="0.15"/>
    <row r="54026" s="76" customFormat="1" ht="21.95" customHeight="1" x14ac:dyDescent="0.15"/>
    <row r="54027" s="76" customFormat="1" ht="21.95" customHeight="1" x14ac:dyDescent="0.15"/>
    <row r="54028" s="76" customFormat="1" ht="21.95" customHeight="1" x14ac:dyDescent="0.15"/>
    <row r="54029" s="76" customFormat="1" ht="21.95" customHeight="1" x14ac:dyDescent="0.15"/>
    <row r="54030" s="76" customFormat="1" ht="21.95" customHeight="1" x14ac:dyDescent="0.15"/>
    <row r="54031" s="76" customFormat="1" ht="21.95" customHeight="1" x14ac:dyDescent="0.15"/>
    <row r="54032" s="76" customFormat="1" ht="21.95" customHeight="1" x14ac:dyDescent="0.15"/>
    <row r="54033" s="76" customFormat="1" ht="21.95" customHeight="1" x14ac:dyDescent="0.15"/>
    <row r="54034" s="76" customFormat="1" ht="21.95" customHeight="1" x14ac:dyDescent="0.15"/>
    <row r="54035" s="76" customFormat="1" ht="21.95" customHeight="1" x14ac:dyDescent="0.15"/>
    <row r="54036" s="76" customFormat="1" ht="21.95" customHeight="1" x14ac:dyDescent="0.15"/>
    <row r="54037" s="76" customFormat="1" ht="21.95" customHeight="1" x14ac:dyDescent="0.15"/>
    <row r="54038" s="76" customFormat="1" ht="21.95" customHeight="1" x14ac:dyDescent="0.15"/>
    <row r="54039" s="76" customFormat="1" ht="21.95" customHeight="1" x14ac:dyDescent="0.15"/>
    <row r="54040" s="76" customFormat="1" ht="21.95" customHeight="1" x14ac:dyDescent="0.15"/>
    <row r="54041" s="76" customFormat="1" ht="21.95" customHeight="1" x14ac:dyDescent="0.15"/>
    <row r="54042" s="76" customFormat="1" ht="21.95" customHeight="1" x14ac:dyDescent="0.15"/>
    <row r="54043" s="76" customFormat="1" ht="21.95" customHeight="1" x14ac:dyDescent="0.15"/>
    <row r="54044" s="76" customFormat="1" ht="21.95" customHeight="1" x14ac:dyDescent="0.15"/>
    <row r="54045" s="76" customFormat="1" ht="21.95" customHeight="1" x14ac:dyDescent="0.15"/>
    <row r="54046" s="76" customFormat="1" ht="21.95" customHeight="1" x14ac:dyDescent="0.15"/>
    <row r="54047" s="76" customFormat="1" ht="21.95" customHeight="1" x14ac:dyDescent="0.15"/>
    <row r="54048" s="76" customFormat="1" ht="21.95" customHeight="1" x14ac:dyDescent="0.15"/>
    <row r="54049" s="76" customFormat="1" ht="21.95" customHeight="1" x14ac:dyDescent="0.15"/>
    <row r="54050" s="76" customFormat="1" ht="21.95" customHeight="1" x14ac:dyDescent="0.15"/>
    <row r="54051" s="76" customFormat="1" ht="21.95" customHeight="1" x14ac:dyDescent="0.15"/>
    <row r="54052" s="76" customFormat="1" ht="21.95" customHeight="1" x14ac:dyDescent="0.15"/>
    <row r="54053" s="76" customFormat="1" ht="21.95" customHeight="1" x14ac:dyDescent="0.15"/>
    <row r="54054" s="76" customFormat="1" ht="21.95" customHeight="1" x14ac:dyDescent="0.15"/>
    <row r="54055" s="76" customFormat="1" ht="21.95" customHeight="1" x14ac:dyDescent="0.15"/>
    <row r="54056" s="76" customFormat="1" ht="21.95" customHeight="1" x14ac:dyDescent="0.15"/>
    <row r="54057" s="76" customFormat="1" ht="21.95" customHeight="1" x14ac:dyDescent="0.15"/>
    <row r="54058" s="76" customFormat="1" ht="21.95" customHeight="1" x14ac:dyDescent="0.15"/>
    <row r="54059" s="76" customFormat="1" ht="21.95" customHeight="1" x14ac:dyDescent="0.15"/>
    <row r="54060" s="76" customFormat="1" ht="21.95" customHeight="1" x14ac:dyDescent="0.15"/>
    <row r="54061" s="76" customFormat="1" ht="21.95" customHeight="1" x14ac:dyDescent="0.15"/>
    <row r="54062" s="76" customFormat="1" ht="21.95" customHeight="1" x14ac:dyDescent="0.15"/>
    <row r="54063" s="76" customFormat="1" ht="21.95" customHeight="1" x14ac:dyDescent="0.15"/>
    <row r="54064" s="76" customFormat="1" ht="21.95" customHeight="1" x14ac:dyDescent="0.15"/>
    <row r="54065" s="76" customFormat="1" ht="21.95" customHeight="1" x14ac:dyDescent="0.15"/>
    <row r="54066" s="76" customFormat="1" ht="21.95" customHeight="1" x14ac:dyDescent="0.15"/>
    <row r="54067" s="76" customFormat="1" ht="21.95" customHeight="1" x14ac:dyDescent="0.15"/>
    <row r="54068" s="76" customFormat="1" ht="21.95" customHeight="1" x14ac:dyDescent="0.15"/>
    <row r="54069" s="76" customFormat="1" ht="21.95" customHeight="1" x14ac:dyDescent="0.15"/>
    <row r="54070" s="76" customFormat="1" ht="21.95" customHeight="1" x14ac:dyDescent="0.15"/>
    <row r="54071" s="76" customFormat="1" ht="21.95" customHeight="1" x14ac:dyDescent="0.15"/>
    <row r="54072" s="76" customFormat="1" ht="21.95" customHeight="1" x14ac:dyDescent="0.15"/>
    <row r="54073" s="76" customFormat="1" ht="35.1" customHeight="1" x14ac:dyDescent="0.15"/>
    <row r="54074" s="76" customFormat="1" ht="21.95" customHeight="1" x14ac:dyDescent="0.15"/>
    <row r="54075" s="76" customFormat="1" ht="21.95" customHeight="1" x14ac:dyDescent="0.15"/>
    <row r="54076" s="76" customFormat="1" ht="21.95" customHeight="1" x14ac:dyDescent="0.15"/>
    <row r="54077" s="76" customFormat="1" ht="21.95" customHeight="1" x14ac:dyDescent="0.15"/>
    <row r="54078" s="76" customFormat="1" ht="21.95" customHeight="1" x14ac:dyDescent="0.15"/>
    <row r="54079" s="76" customFormat="1" ht="21.95" customHeight="1" x14ac:dyDescent="0.15"/>
    <row r="54080" s="76" customFormat="1" ht="21.95" customHeight="1" x14ac:dyDescent="0.15"/>
    <row r="54081" s="76" customFormat="1" ht="21.95" customHeight="1" x14ac:dyDescent="0.15"/>
    <row r="54082" s="76" customFormat="1" ht="21.95" customHeight="1" x14ac:dyDescent="0.15"/>
    <row r="54083" s="76" customFormat="1" ht="21.95" customHeight="1" x14ac:dyDescent="0.15"/>
    <row r="54084" s="76" customFormat="1" ht="21.95" customHeight="1" x14ac:dyDescent="0.15"/>
    <row r="54085" s="76" customFormat="1" ht="21.95" customHeight="1" x14ac:dyDescent="0.15"/>
    <row r="54086" s="76" customFormat="1" ht="21.95" customHeight="1" x14ac:dyDescent="0.15"/>
    <row r="54087" s="76" customFormat="1" ht="21.95" customHeight="1" x14ac:dyDescent="0.15"/>
    <row r="54088" s="76" customFormat="1" ht="21.95" customHeight="1" x14ac:dyDescent="0.15"/>
    <row r="54089" s="76" customFormat="1" ht="21.95" customHeight="1" x14ac:dyDescent="0.15"/>
    <row r="54090" s="76" customFormat="1" ht="21.95" customHeight="1" x14ac:dyDescent="0.15"/>
    <row r="54091" s="76" customFormat="1" ht="21.95" customHeight="1" x14ac:dyDescent="0.15"/>
    <row r="54092" s="76" customFormat="1" ht="21.95" customHeight="1" x14ac:dyDescent="0.15"/>
    <row r="54093" s="76" customFormat="1" ht="21.95" customHeight="1" x14ac:dyDescent="0.15"/>
    <row r="54094" s="76" customFormat="1" ht="21.95" customHeight="1" x14ac:dyDescent="0.15"/>
    <row r="54095" s="76" customFormat="1" ht="21.95" customHeight="1" x14ac:dyDescent="0.15"/>
    <row r="54096" s="76" customFormat="1" ht="21.95" customHeight="1" x14ac:dyDescent="0.15"/>
    <row r="54097" spans="3:3" customFormat="1" ht="21.95" customHeight="1" x14ac:dyDescent="0.15"/>
    <row r="54098" spans="3:3" customFormat="1" ht="21.95" customHeight="1" x14ac:dyDescent="0.15"/>
    <row r="54099" spans="3:3" customFormat="1" ht="21.95" customHeight="1" x14ac:dyDescent="0.15">
      <c r="C54099" s="94"/>
    </row>
    <row r="54100" spans="3:3" customFormat="1" ht="21.95" customHeight="1" x14ac:dyDescent="0.15">
      <c r="C54100" s="94"/>
    </row>
    <row r="54101" spans="3:3" customFormat="1" ht="21.95" customHeight="1" x14ac:dyDescent="0.15"/>
    <row r="54102" spans="3:3" customFormat="1" ht="21.95" customHeight="1" x14ac:dyDescent="0.15"/>
    <row r="54103" spans="3:3" customFormat="1" ht="21.95" customHeight="1" x14ac:dyDescent="0.15"/>
    <row r="54104" spans="3:3" customFormat="1" ht="21.95" customHeight="1" x14ac:dyDescent="0.15"/>
    <row r="54105" spans="3:3" customFormat="1" ht="21.95" customHeight="1" x14ac:dyDescent="0.15"/>
    <row r="54106" spans="3:3" customFormat="1" ht="21.95" customHeight="1" x14ac:dyDescent="0.15"/>
    <row r="54107" spans="3:3" customFormat="1" ht="21.95" customHeight="1" x14ac:dyDescent="0.15"/>
    <row r="54108" spans="3:3" s="76" customFormat="1" ht="21.95" customHeight="1" x14ac:dyDescent="0.15"/>
    <row r="54109" spans="3:3" s="76" customFormat="1" ht="21.95" customHeight="1" x14ac:dyDescent="0.15"/>
    <row r="54110" spans="3:3" s="76" customFormat="1" ht="21.95" customHeight="1" x14ac:dyDescent="0.15"/>
    <row r="54111" spans="3:3" s="76" customFormat="1" ht="21.95" customHeight="1" x14ac:dyDescent="0.15"/>
    <row r="54112" spans="3:3" customFormat="1" ht="21.95" customHeight="1" x14ac:dyDescent="0.15"/>
    <row r="54113" customFormat="1" ht="21.95" customHeight="1" x14ac:dyDescent="0.15"/>
    <row r="54114" customFormat="1" ht="21.95" customHeight="1" x14ac:dyDescent="0.15"/>
    <row r="54115" customFormat="1" ht="21.95" customHeight="1" x14ac:dyDescent="0.15"/>
    <row r="54116" customFormat="1" ht="21.95" customHeight="1" x14ac:dyDescent="0.15"/>
    <row r="54117" customFormat="1" ht="21.95" customHeight="1" x14ac:dyDescent="0.15"/>
    <row r="54118" customFormat="1" ht="21.95" customHeight="1" x14ac:dyDescent="0.15"/>
    <row r="54119" customFormat="1" ht="21.95" customHeight="1" x14ac:dyDescent="0.15"/>
    <row r="54120" customFormat="1" ht="21.95" customHeight="1" x14ac:dyDescent="0.15"/>
    <row r="54121" customFormat="1" ht="21.95" customHeight="1" x14ac:dyDescent="0.15"/>
    <row r="54122" customFormat="1" ht="21.95" customHeight="1" x14ac:dyDescent="0.15"/>
    <row r="54123" customFormat="1" ht="32.1" customHeight="1" x14ac:dyDescent="0.15"/>
    <row r="54124" customFormat="1" ht="32.1" customHeight="1" x14ac:dyDescent="0.15"/>
    <row r="54125" customFormat="1" ht="32.1" customHeight="1" x14ac:dyDescent="0.15"/>
    <row r="54126" customFormat="1" ht="32.1" customHeight="1" x14ac:dyDescent="0.15"/>
    <row r="54127" customFormat="1" ht="32.1" customHeight="1" x14ac:dyDescent="0.15"/>
    <row r="54128" customFormat="1" ht="32.1" customHeight="1" x14ac:dyDescent="0.15"/>
    <row r="54129" s="76" customFormat="1" ht="32.1" customHeight="1" x14ac:dyDescent="0.15"/>
    <row r="54130" s="76" customFormat="1" ht="32.1" customHeight="1" x14ac:dyDescent="0.15"/>
    <row r="54131" s="76" customFormat="1" ht="32.1" customHeight="1" x14ac:dyDescent="0.15"/>
    <row r="54132" s="76" customFormat="1" ht="32.1" customHeight="1" x14ac:dyDescent="0.15"/>
    <row r="54133" s="76" customFormat="1" ht="21.95" customHeight="1" x14ac:dyDescent="0.15"/>
    <row r="54134" s="76" customFormat="1" ht="54" customHeight="1" x14ac:dyDescent="0.15"/>
    <row r="54135" s="76" customFormat="1" ht="21.95" customHeight="1" x14ac:dyDescent="0.15"/>
    <row r="54136" s="76" customFormat="1" ht="21.95" customHeight="1" x14ac:dyDescent="0.15"/>
    <row r="54137" s="76" customFormat="1" ht="21.95" customHeight="1" x14ac:dyDescent="0.15"/>
    <row r="54138" s="76" customFormat="1" ht="21.95" customHeight="1" x14ac:dyDescent="0.15"/>
    <row r="54139" s="76" customFormat="1" ht="21.95" customHeight="1" x14ac:dyDescent="0.15"/>
    <row r="54140" s="76" customFormat="1" ht="21.95" customHeight="1" x14ac:dyDescent="0.15"/>
    <row r="54141" s="76" customFormat="1" ht="21.95" customHeight="1" x14ac:dyDescent="0.15"/>
    <row r="54142" s="76" customFormat="1" ht="21.95" customHeight="1" x14ac:dyDescent="0.15"/>
    <row r="54143" s="76" customFormat="1" ht="21.95" customHeight="1" x14ac:dyDescent="0.15"/>
    <row r="54144" s="76" customFormat="1" ht="21.95" customHeight="1" x14ac:dyDescent="0.15"/>
    <row r="54145" s="76" customFormat="1" ht="21.95" customHeight="1" x14ac:dyDescent="0.15"/>
    <row r="54146" s="76" customFormat="1" ht="21.95" customHeight="1" x14ac:dyDescent="0.15"/>
    <row r="54147" s="76" customFormat="1" ht="21.95" customHeight="1" x14ac:dyDescent="0.15"/>
    <row r="54148" s="76" customFormat="1" ht="21.95" customHeight="1" x14ac:dyDescent="0.15"/>
    <row r="54149" s="76" customFormat="1" ht="21.95" customHeight="1" x14ac:dyDescent="0.15"/>
    <row r="54150" s="76" customFormat="1" ht="21.95" customHeight="1" x14ac:dyDescent="0.15"/>
    <row r="54151" s="76" customFormat="1" ht="21.95" customHeight="1" x14ac:dyDescent="0.15"/>
    <row r="54152" s="76" customFormat="1" ht="21.95" customHeight="1" x14ac:dyDescent="0.15"/>
    <row r="54153" s="76" customFormat="1" ht="21.95" customHeight="1" x14ac:dyDescent="0.15"/>
    <row r="54154" s="76" customFormat="1" ht="21.95" customHeight="1" x14ac:dyDescent="0.15"/>
    <row r="54155" s="76" customFormat="1" ht="21.95" customHeight="1" x14ac:dyDescent="0.15"/>
    <row r="54156" s="76" customFormat="1" ht="21.95" customHeight="1" x14ac:dyDescent="0.15"/>
    <row r="54157" s="76" customFormat="1" ht="21.95" customHeight="1" x14ac:dyDescent="0.15"/>
    <row r="54158" s="76" customFormat="1" ht="21.95" customHeight="1" x14ac:dyDescent="0.15"/>
    <row r="54159" s="76" customFormat="1" ht="21.95" customHeight="1" x14ac:dyDescent="0.15"/>
    <row r="54160" s="76" customFormat="1" ht="21.95" customHeight="1" x14ac:dyDescent="0.15"/>
    <row r="54161" s="76" customFormat="1" ht="21.95" customHeight="1" x14ac:dyDescent="0.15"/>
    <row r="54162" s="76" customFormat="1" ht="21.95" customHeight="1" x14ac:dyDescent="0.15"/>
    <row r="54163" s="76" customFormat="1" ht="21.95" customHeight="1" x14ac:dyDescent="0.15"/>
    <row r="54164" s="76" customFormat="1" ht="21.95" customHeight="1" x14ac:dyDescent="0.15"/>
    <row r="54165" s="76" customFormat="1" ht="21.95" customHeight="1" x14ac:dyDescent="0.15"/>
    <row r="54166" s="76" customFormat="1" ht="21.95" customHeight="1" x14ac:dyDescent="0.15"/>
    <row r="54167" s="76" customFormat="1" ht="21.95" customHeight="1" x14ac:dyDescent="0.15"/>
    <row r="54168" s="76" customFormat="1" ht="21.95" customHeight="1" x14ac:dyDescent="0.15"/>
    <row r="54169" s="76" customFormat="1" ht="21.95" customHeight="1" x14ac:dyDescent="0.15"/>
    <row r="54170" s="76" customFormat="1" ht="21.95" customHeight="1" x14ac:dyDescent="0.15"/>
    <row r="54171" s="76" customFormat="1" ht="21.95" customHeight="1" x14ac:dyDescent="0.15"/>
    <row r="54172" s="76" customFormat="1" ht="21.95" customHeight="1" x14ac:dyDescent="0.15"/>
    <row r="54173" s="76" customFormat="1" ht="21.95" customHeight="1" x14ac:dyDescent="0.15"/>
    <row r="54174" s="76" customFormat="1" ht="21.95" customHeight="1" x14ac:dyDescent="0.15"/>
    <row r="54175" s="76" customFormat="1" ht="21.95" customHeight="1" x14ac:dyDescent="0.15"/>
    <row r="54176" s="76" customFormat="1" ht="21.95" customHeight="1" x14ac:dyDescent="0.15"/>
    <row r="54177" s="76" customFormat="1" ht="21.95" customHeight="1" x14ac:dyDescent="0.15"/>
    <row r="54178" s="76" customFormat="1" ht="21.95" customHeight="1" x14ac:dyDescent="0.15"/>
    <row r="54179" s="76" customFormat="1" ht="21.95" customHeight="1" x14ac:dyDescent="0.15"/>
    <row r="54180" s="76" customFormat="1" ht="21.95" customHeight="1" x14ac:dyDescent="0.15"/>
    <row r="54181" s="76" customFormat="1" ht="21.95" customHeight="1" x14ac:dyDescent="0.15"/>
    <row r="54182" s="76" customFormat="1" ht="21.95" customHeight="1" x14ac:dyDescent="0.15"/>
    <row r="54183" s="76" customFormat="1" ht="21.95" customHeight="1" x14ac:dyDescent="0.15"/>
    <row r="54184" s="76" customFormat="1" ht="21.95" customHeight="1" x14ac:dyDescent="0.15"/>
    <row r="54185" s="76" customFormat="1" ht="35.1" customHeight="1" x14ac:dyDescent="0.15"/>
    <row r="54186" s="76" customFormat="1" ht="21.95" customHeight="1" x14ac:dyDescent="0.15"/>
    <row r="54187" s="76" customFormat="1" ht="21.95" customHeight="1" x14ac:dyDescent="0.15"/>
    <row r="54188" s="76" customFormat="1" ht="21.95" customHeight="1" x14ac:dyDescent="0.15"/>
    <row r="54189" s="76" customFormat="1" ht="21.95" customHeight="1" x14ac:dyDescent="0.15"/>
    <row r="54190" s="76" customFormat="1" ht="21.95" customHeight="1" x14ac:dyDescent="0.15"/>
    <row r="54191" s="76" customFormat="1" ht="21.95" customHeight="1" x14ac:dyDescent="0.15"/>
    <row r="54192" s="76" customFormat="1" ht="21.95" customHeight="1" x14ac:dyDescent="0.15"/>
    <row r="54193" s="76" customFormat="1" ht="21.95" customHeight="1" x14ac:dyDescent="0.15"/>
    <row r="54194" s="76" customFormat="1" ht="21.95" customHeight="1" x14ac:dyDescent="0.15"/>
    <row r="54195" s="76" customFormat="1" ht="21.95" customHeight="1" x14ac:dyDescent="0.15"/>
    <row r="54196" s="76" customFormat="1" ht="21.95" customHeight="1" x14ac:dyDescent="0.15"/>
    <row r="54197" s="76" customFormat="1" ht="21.95" customHeight="1" x14ac:dyDescent="0.15"/>
    <row r="54198" s="76" customFormat="1" ht="21.95" customHeight="1" x14ac:dyDescent="0.15"/>
    <row r="54199" s="76" customFormat="1" ht="21.95" customHeight="1" x14ac:dyDescent="0.15"/>
    <row r="54200" s="76" customFormat="1" ht="21.95" customHeight="1" x14ac:dyDescent="0.15"/>
    <row r="54201" s="76" customFormat="1" ht="21.95" customHeight="1" x14ac:dyDescent="0.15"/>
    <row r="54202" s="76" customFormat="1" ht="21.95" customHeight="1" x14ac:dyDescent="0.15"/>
    <row r="54203" s="76" customFormat="1" ht="21.95" customHeight="1" x14ac:dyDescent="0.15"/>
    <row r="54204" s="76" customFormat="1" ht="21.95" customHeight="1" x14ac:dyDescent="0.15"/>
    <row r="54205" s="76" customFormat="1" ht="21.95" customHeight="1" x14ac:dyDescent="0.15"/>
    <row r="54206" s="76" customFormat="1" ht="21.95" customHeight="1" x14ac:dyDescent="0.15"/>
    <row r="54207" s="76" customFormat="1" ht="21.95" customHeight="1" x14ac:dyDescent="0.15"/>
    <row r="54208" s="76" customFormat="1" ht="21.95" customHeight="1" x14ac:dyDescent="0.15"/>
    <row r="54209" spans="3:3" customFormat="1" ht="21.95" customHeight="1" x14ac:dyDescent="0.15"/>
    <row r="54210" spans="3:3" customFormat="1" ht="21.95" customHeight="1" x14ac:dyDescent="0.15"/>
    <row r="54211" spans="3:3" customFormat="1" ht="21.95" customHeight="1" x14ac:dyDescent="0.15">
      <c r="C54211" s="94"/>
    </row>
    <row r="54212" spans="3:3" customFormat="1" ht="21.95" customHeight="1" x14ac:dyDescent="0.15">
      <c r="C54212" s="94"/>
    </row>
    <row r="54213" spans="3:3" customFormat="1" ht="21.95" customHeight="1" x14ac:dyDescent="0.15"/>
    <row r="54214" spans="3:3" customFormat="1" ht="21.95" customHeight="1" x14ac:dyDescent="0.15"/>
    <row r="54215" spans="3:3" customFormat="1" ht="21.95" customHeight="1" x14ac:dyDescent="0.15"/>
    <row r="54216" spans="3:3" customFormat="1" ht="21.95" customHeight="1" x14ac:dyDescent="0.15"/>
    <row r="54217" spans="3:3" customFormat="1" ht="21.95" customHeight="1" x14ac:dyDescent="0.15"/>
    <row r="54218" spans="3:3" customFormat="1" ht="21.95" customHeight="1" x14ac:dyDescent="0.15"/>
    <row r="54219" spans="3:3" customFormat="1" ht="21.95" customHeight="1" x14ac:dyDescent="0.15"/>
    <row r="54220" spans="3:3" s="76" customFormat="1" ht="21.95" customHeight="1" x14ac:dyDescent="0.15"/>
    <row r="54221" spans="3:3" s="76" customFormat="1" ht="21.95" customHeight="1" x14ac:dyDescent="0.15"/>
    <row r="54222" spans="3:3" s="76" customFormat="1" ht="21.95" customHeight="1" x14ac:dyDescent="0.15"/>
    <row r="54223" spans="3:3" s="76" customFormat="1" ht="21.95" customHeight="1" x14ac:dyDescent="0.15"/>
    <row r="54224" spans="3:3" customFormat="1" ht="21.95" customHeight="1" x14ac:dyDescent="0.15"/>
    <row r="54225" customFormat="1" ht="21.95" customHeight="1" x14ac:dyDescent="0.15"/>
    <row r="54226" customFormat="1" ht="21.95" customHeight="1" x14ac:dyDescent="0.15"/>
    <row r="54227" customFormat="1" ht="21.95" customHeight="1" x14ac:dyDescent="0.15"/>
    <row r="54228" customFormat="1" ht="21.95" customHeight="1" x14ac:dyDescent="0.15"/>
    <row r="54229" customFormat="1" ht="21.95" customHeight="1" x14ac:dyDescent="0.15"/>
    <row r="54230" customFormat="1" ht="21.95" customHeight="1" x14ac:dyDescent="0.15"/>
    <row r="54231" customFormat="1" ht="21.95" customHeight="1" x14ac:dyDescent="0.15"/>
    <row r="54232" customFormat="1" ht="21.95" customHeight="1" x14ac:dyDescent="0.15"/>
    <row r="54233" customFormat="1" ht="21.95" customHeight="1" x14ac:dyDescent="0.15"/>
    <row r="54234" customFormat="1" ht="21.95" customHeight="1" x14ac:dyDescent="0.15"/>
    <row r="54235" customFormat="1" ht="32.1" customHeight="1" x14ac:dyDescent="0.15"/>
    <row r="54236" customFormat="1" ht="32.1" customHeight="1" x14ac:dyDescent="0.15"/>
    <row r="54237" customFormat="1" ht="32.1" customHeight="1" x14ac:dyDescent="0.15"/>
    <row r="54238" customFormat="1" ht="32.1" customHeight="1" x14ac:dyDescent="0.15"/>
    <row r="54239" customFormat="1" ht="32.1" customHeight="1" x14ac:dyDescent="0.15"/>
    <row r="54240" customFormat="1" ht="32.1" customHeight="1" x14ac:dyDescent="0.15"/>
    <row r="54241" s="76" customFormat="1" ht="32.1" customHeight="1" x14ac:dyDescent="0.15"/>
    <row r="54242" s="76" customFormat="1" ht="32.1" customHeight="1" x14ac:dyDescent="0.15"/>
    <row r="54243" s="76" customFormat="1" ht="32.1" customHeight="1" x14ac:dyDescent="0.15"/>
    <row r="54244" s="76" customFormat="1" ht="32.1" customHeight="1" x14ac:dyDescent="0.15"/>
    <row r="54245" s="76" customFormat="1" ht="21.95" customHeight="1" x14ac:dyDescent="0.15"/>
    <row r="54246" s="76" customFormat="1" ht="54" customHeight="1" x14ac:dyDescent="0.15"/>
    <row r="54247" s="76" customFormat="1" ht="21.95" customHeight="1" x14ac:dyDescent="0.15"/>
    <row r="54248" s="76" customFormat="1" ht="21.95" customHeight="1" x14ac:dyDescent="0.15"/>
    <row r="54249" s="76" customFormat="1" ht="21.95" customHeight="1" x14ac:dyDescent="0.15"/>
    <row r="54250" s="76" customFormat="1" ht="21.95" customHeight="1" x14ac:dyDescent="0.15"/>
    <row r="54251" s="76" customFormat="1" ht="21.95" customHeight="1" x14ac:dyDescent="0.15"/>
    <row r="54252" s="76" customFormat="1" ht="21.95" customHeight="1" x14ac:dyDescent="0.15"/>
    <row r="54253" s="76" customFormat="1" ht="21.95" customHeight="1" x14ac:dyDescent="0.15"/>
    <row r="54254" s="76" customFormat="1" ht="21.95" customHeight="1" x14ac:dyDescent="0.15"/>
    <row r="54255" s="76" customFormat="1" ht="21.95" customHeight="1" x14ac:dyDescent="0.15"/>
    <row r="54256" s="76" customFormat="1" ht="21.95" customHeight="1" x14ac:dyDescent="0.15"/>
    <row r="54257" s="76" customFormat="1" ht="21.95" customHeight="1" x14ac:dyDescent="0.15"/>
    <row r="54258" s="76" customFormat="1" ht="21.95" customHeight="1" x14ac:dyDescent="0.15"/>
    <row r="54259" s="76" customFormat="1" ht="21.95" customHeight="1" x14ac:dyDescent="0.15"/>
    <row r="54260" s="76" customFormat="1" ht="21.95" customHeight="1" x14ac:dyDescent="0.15"/>
    <row r="54261" s="76" customFormat="1" ht="21.95" customHeight="1" x14ac:dyDescent="0.15"/>
    <row r="54262" s="76" customFormat="1" ht="21.95" customHeight="1" x14ac:dyDescent="0.15"/>
    <row r="54263" s="76" customFormat="1" ht="21.95" customHeight="1" x14ac:dyDescent="0.15"/>
    <row r="54264" s="76" customFormat="1" ht="21.95" customHeight="1" x14ac:dyDescent="0.15"/>
    <row r="54265" s="76" customFormat="1" ht="21.95" customHeight="1" x14ac:dyDescent="0.15"/>
    <row r="54266" s="76" customFormat="1" ht="21.95" customHeight="1" x14ac:dyDescent="0.15"/>
    <row r="54267" s="76" customFormat="1" ht="21.95" customHeight="1" x14ac:dyDescent="0.15"/>
    <row r="54268" s="76" customFormat="1" ht="21.95" customHeight="1" x14ac:dyDescent="0.15"/>
    <row r="54269" s="76" customFormat="1" ht="21.95" customHeight="1" x14ac:dyDescent="0.15"/>
    <row r="54270" s="76" customFormat="1" ht="21.95" customHeight="1" x14ac:dyDescent="0.15"/>
    <row r="54271" s="76" customFormat="1" ht="21.95" customHeight="1" x14ac:dyDescent="0.15"/>
    <row r="54272" s="76" customFormat="1" ht="21.95" customHeight="1" x14ac:dyDescent="0.15"/>
    <row r="54273" s="76" customFormat="1" ht="21.95" customHeight="1" x14ac:dyDescent="0.15"/>
    <row r="54274" s="76" customFormat="1" ht="21.95" customHeight="1" x14ac:dyDescent="0.15"/>
    <row r="54275" s="76" customFormat="1" ht="21.95" customHeight="1" x14ac:dyDescent="0.15"/>
    <row r="54276" s="76" customFormat="1" ht="21.95" customHeight="1" x14ac:dyDescent="0.15"/>
    <row r="54277" s="76" customFormat="1" ht="21.95" customHeight="1" x14ac:dyDescent="0.15"/>
    <row r="54278" s="76" customFormat="1" ht="21.95" customHeight="1" x14ac:dyDescent="0.15"/>
    <row r="54279" s="76" customFormat="1" ht="21.95" customHeight="1" x14ac:dyDescent="0.15"/>
    <row r="54280" s="76" customFormat="1" ht="21.95" customHeight="1" x14ac:dyDescent="0.15"/>
    <row r="54281" s="76" customFormat="1" ht="21.95" customHeight="1" x14ac:dyDescent="0.15"/>
    <row r="54282" s="76" customFormat="1" ht="21.95" customHeight="1" x14ac:dyDescent="0.15"/>
    <row r="54283" s="76" customFormat="1" ht="21.95" customHeight="1" x14ac:dyDescent="0.15"/>
    <row r="54284" s="76" customFormat="1" ht="21.95" customHeight="1" x14ac:dyDescent="0.15"/>
    <row r="54285" s="76" customFormat="1" ht="21.95" customHeight="1" x14ac:dyDescent="0.15"/>
    <row r="54286" s="76" customFormat="1" ht="21.95" customHeight="1" x14ac:dyDescent="0.15"/>
    <row r="54287" s="76" customFormat="1" ht="21.95" customHeight="1" x14ac:dyDescent="0.15"/>
    <row r="54288" s="76" customFormat="1" ht="21.95" customHeight="1" x14ac:dyDescent="0.15"/>
    <row r="54289" s="76" customFormat="1" ht="21.95" customHeight="1" x14ac:dyDescent="0.15"/>
    <row r="54290" s="76" customFormat="1" ht="21.95" customHeight="1" x14ac:dyDescent="0.15"/>
    <row r="54291" s="76" customFormat="1" ht="21.95" customHeight="1" x14ac:dyDescent="0.15"/>
    <row r="54292" s="76" customFormat="1" ht="21.95" customHeight="1" x14ac:dyDescent="0.15"/>
    <row r="54293" s="76" customFormat="1" ht="21.95" customHeight="1" x14ac:dyDescent="0.15"/>
    <row r="54294" s="76" customFormat="1" ht="21.95" customHeight="1" x14ac:dyDescent="0.15"/>
    <row r="54295" s="76" customFormat="1" ht="21.95" customHeight="1" x14ac:dyDescent="0.15"/>
    <row r="54296" s="76" customFormat="1" ht="21.95" customHeight="1" x14ac:dyDescent="0.15"/>
    <row r="54297" s="76" customFormat="1" ht="35.1" customHeight="1" x14ac:dyDescent="0.15"/>
    <row r="54298" s="76" customFormat="1" ht="21.95" customHeight="1" x14ac:dyDescent="0.15"/>
    <row r="54299" s="76" customFormat="1" ht="21.95" customHeight="1" x14ac:dyDescent="0.15"/>
    <row r="54300" s="76" customFormat="1" ht="21.95" customHeight="1" x14ac:dyDescent="0.15"/>
    <row r="54301" s="76" customFormat="1" ht="21.95" customHeight="1" x14ac:dyDescent="0.15"/>
    <row r="54302" s="76" customFormat="1" ht="21.95" customHeight="1" x14ac:dyDescent="0.15"/>
    <row r="54303" s="76" customFormat="1" ht="21.95" customHeight="1" x14ac:dyDescent="0.15"/>
    <row r="54304" s="76" customFormat="1" ht="21.95" customHeight="1" x14ac:dyDescent="0.15"/>
    <row r="54305" s="76" customFormat="1" ht="21.95" customHeight="1" x14ac:dyDescent="0.15"/>
    <row r="54306" s="76" customFormat="1" ht="21.95" customHeight="1" x14ac:dyDescent="0.15"/>
    <row r="54307" s="76" customFormat="1" ht="21.95" customHeight="1" x14ac:dyDescent="0.15"/>
    <row r="54308" s="76" customFormat="1" ht="21.95" customHeight="1" x14ac:dyDescent="0.15"/>
    <row r="54309" s="76" customFormat="1" ht="21.95" customHeight="1" x14ac:dyDescent="0.15"/>
    <row r="54310" s="76" customFormat="1" ht="21.95" customHeight="1" x14ac:dyDescent="0.15"/>
    <row r="54311" s="76" customFormat="1" ht="21.95" customHeight="1" x14ac:dyDescent="0.15"/>
    <row r="54312" s="76" customFormat="1" ht="21.95" customHeight="1" x14ac:dyDescent="0.15"/>
    <row r="54313" s="76" customFormat="1" ht="21.95" customHeight="1" x14ac:dyDescent="0.15"/>
    <row r="54314" s="76" customFormat="1" ht="21.95" customHeight="1" x14ac:dyDescent="0.15"/>
    <row r="54315" s="76" customFormat="1" ht="21.95" customHeight="1" x14ac:dyDescent="0.15"/>
    <row r="54316" s="76" customFormat="1" ht="21.95" customHeight="1" x14ac:dyDescent="0.15"/>
    <row r="54317" s="76" customFormat="1" ht="21.95" customHeight="1" x14ac:dyDescent="0.15"/>
    <row r="54318" s="76" customFormat="1" ht="21.95" customHeight="1" x14ac:dyDescent="0.15"/>
    <row r="54319" s="76" customFormat="1" ht="21.95" customHeight="1" x14ac:dyDescent="0.15"/>
    <row r="54320" s="76" customFormat="1" ht="21.95" customHeight="1" x14ac:dyDescent="0.15"/>
    <row r="54321" spans="3:3" customFormat="1" ht="21.95" customHeight="1" x14ac:dyDescent="0.15"/>
    <row r="54322" spans="3:3" customFormat="1" ht="21.95" customHeight="1" x14ac:dyDescent="0.15"/>
    <row r="54323" spans="3:3" customFormat="1" ht="21.95" customHeight="1" x14ac:dyDescent="0.15">
      <c r="C54323" s="94"/>
    </row>
    <row r="54324" spans="3:3" customFormat="1" ht="21.95" customHeight="1" x14ac:dyDescent="0.15">
      <c r="C54324" s="94"/>
    </row>
    <row r="54325" spans="3:3" customFormat="1" ht="21.95" customHeight="1" x14ac:dyDescent="0.15"/>
    <row r="54326" spans="3:3" customFormat="1" ht="21.95" customHeight="1" x14ac:dyDescent="0.15"/>
    <row r="54327" spans="3:3" customFormat="1" ht="21.95" customHeight="1" x14ac:dyDescent="0.15"/>
    <row r="54328" spans="3:3" customFormat="1" ht="21.95" customHeight="1" x14ac:dyDescent="0.15"/>
    <row r="54329" spans="3:3" customFormat="1" ht="21.95" customHeight="1" x14ac:dyDescent="0.15"/>
    <row r="54330" spans="3:3" customFormat="1" ht="21.95" customHeight="1" x14ac:dyDescent="0.15"/>
    <row r="54331" spans="3:3" customFormat="1" ht="21.95" customHeight="1" x14ac:dyDescent="0.15"/>
    <row r="54332" spans="3:3" s="76" customFormat="1" ht="21.95" customHeight="1" x14ac:dyDescent="0.15"/>
    <row r="54333" spans="3:3" s="76" customFormat="1" ht="21.95" customHeight="1" x14ac:dyDescent="0.15"/>
    <row r="54334" spans="3:3" s="76" customFormat="1" ht="21.95" customHeight="1" x14ac:dyDescent="0.15"/>
    <row r="54335" spans="3:3" s="76" customFormat="1" ht="21.95" customHeight="1" x14ac:dyDescent="0.15"/>
    <row r="54336" spans="3:3" customFormat="1" ht="21.95" customHeight="1" x14ac:dyDescent="0.15"/>
    <row r="54337" customFormat="1" ht="21.95" customHeight="1" x14ac:dyDescent="0.15"/>
    <row r="54338" customFormat="1" ht="21.95" customHeight="1" x14ac:dyDescent="0.15"/>
    <row r="54339" customFormat="1" ht="21.95" customHeight="1" x14ac:dyDescent="0.15"/>
    <row r="54340" customFormat="1" ht="21.95" customHeight="1" x14ac:dyDescent="0.15"/>
    <row r="54341" customFormat="1" ht="21.95" customHeight="1" x14ac:dyDescent="0.15"/>
    <row r="54342" customFormat="1" ht="21.95" customHeight="1" x14ac:dyDescent="0.15"/>
    <row r="54343" customFormat="1" ht="21.95" customHeight="1" x14ac:dyDescent="0.15"/>
    <row r="54344" customFormat="1" ht="21.95" customHeight="1" x14ac:dyDescent="0.15"/>
    <row r="54345" customFormat="1" ht="21.95" customHeight="1" x14ac:dyDescent="0.15"/>
    <row r="54346" customFormat="1" ht="21.95" customHeight="1" x14ac:dyDescent="0.15"/>
    <row r="54347" customFormat="1" ht="32.1" customHeight="1" x14ac:dyDescent="0.15"/>
    <row r="54348" customFormat="1" ht="32.1" customHeight="1" x14ac:dyDescent="0.15"/>
    <row r="54349" customFormat="1" ht="32.1" customHeight="1" x14ac:dyDescent="0.15"/>
    <row r="54350" customFormat="1" ht="32.1" customHeight="1" x14ac:dyDescent="0.15"/>
    <row r="54351" customFormat="1" ht="32.1" customHeight="1" x14ac:dyDescent="0.15"/>
    <row r="54352" customFormat="1" ht="32.1" customHeight="1" x14ac:dyDescent="0.15"/>
    <row r="54353" s="76" customFormat="1" ht="32.1" customHeight="1" x14ac:dyDescent="0.15"/>
    <row r="54354" s="76" customFormat="1" ht="32.1" customHeight="1" x14ac:dyDescent="0.15"/>
    <row r="54355" s="76" customFormat="1" ht="32.1" customHeight="1" x14ac:dyDescent="0.15"/>
    <row r="54356" s="76" customFormat="1" ht="32.1" customHeight="1" x14ac:dyDescent="0.15"/>
    <row r="54357" s="76" customFormat="1" ht="21.95" customHeight="1" x14ac:dyDescent="0.15"/>
    <row r="54358" s="76" customFormat="1" ht="54" customHeight="1" x14ac:dyDescent="0.15"/>
    <row r="54359" s="76" customFormat="1" ht="21.95" customHeight="1" x14ac:dyDescent="0.15"/>
    <row r="54360" s="76" customFormat="1" ht="21.95" customHeight="1" x14ac:dyDescent="0.15"/>
    <row r="54361" s="76" customFormat="1" ht="21.95" customHeight="1" x14ac:dyDescent="0.15"/>
    <row r="54362" s="76" customFormat="1" ht="21.95" customHeight="1" x14ac:dyDescent="0.15"/>
    <row r="54363" s="76" customFormat="1" ht="21.95" customHeight="1" x14ac:dyDescent="0.15"/>
    <row r="54364" s="76" customFormat="1" ht="21.95" customHeight="1" x14ac:dyDescent="0.15"/>
    <row r="54365" s="76" customFormat="1" ht="21.95" customHeight="1" x14ac:dyDescent="0.15"/>
    <row r="54366" s="76" customFormat="1" ht="21.95" customHeight="1" x14ac:dyDescent="0.15"/>
    <row r="54367" s="76" customFormat="1" ht="21.95" customHeight="1" x14ac:dyDescent="0.15"/>
    <row r="54368" s="76" customFormat="1" ht="21.95" customHeight="1" x14ac:dyDescent="0.15"/>
    <row r="54369" s="76" customFormat="1" ht="21.95" customHeight="1" x14ac:dyDescent="0.15"/>
    <row r="54370" s="76" customFormat="1" ht="21.95" customHeight="1" x14ac:dyDescent="0.15"/>
    <row r="54371" s="76" customFormat="1" ht="21.95" customHeight="1" x14ac:dyDescent="0.15"/>
    <row r="54372" s="76" customFormat="1" ht="21.95" customHeight="1" x14ac:dyDescent="0.15"/>
    <row r="54373" s="76" customFormat="1" ht="21.95" customHeight="1" x14ac:dyDescent="0.15"/>
    <row r="54374" s="76" customFormat="1" ht="21.95" customHeight="1" x14ac:dyDescent="0.15"/>
    <row r="54375" s="76" customFormat="1" ht="21.95" customHeight="1" x14ac:dyDescent="0.15"/>
    <row r="54376" s="76" customFormat="1" ht="21.95" customHeight="1" x14ac:dyDescent="0.15"/>
    <row r="54377" s="76" customFormat="1" ht="21.95" customHeight="1" x14ac:dyDescent="0.15"/>
    <row r="54378" s="76" customFormat="1" ht="21.95" customHeight="1" x14ac:dyDescent="0.15"/>
    <row r="54379" s="76" customFormat="1" ht="21.95" customHeight="1" x14ac:dyDescent="0.15"/>
    <row r="54380" s="76" customFormat="1" ht="21.95" customHeight="1" x14ac:dyDescent="0.15"/>
    <row r="54381" s="76" customFormat="1" ht="21.95" customHeight="1" x14ac:dyDescent="0.15"/>
    <row r="54382" s="76" customFormat="1" ht="21.95" customHeight="1" x14ac:dyDescent="0.15"/>
    <row r="54383" s="76" customFormat="1" ht="21.95" customHeight="1" x14ac:dyDescent="0.15"/>
    <row r="54384" s="76" customFormat="1" ht="21.95" customHeight="1" x14ac:dyDescent="0.15"/>
    <row r="54385" s="76" customFormat="1" ht="21.95" customHeight="1" x14ac:dyDescent="0.15"/>
    <row r="54386" s="76" customFormat="1" ht="21.95" customHeight="1" x14ac:dyDescent="0.15"/>
    <row r="54387" s="76" customFormat="1" ht="21.95" customHeight="1" x14ac:dyDescent="0.15"/>
    <row r="54388" s="76" customFormat="1" ht="21.95" customHeight="1" x14ac:dyDescent="0.15"/>
    <row r="54389" s="76" customFormat="1" ht="21.95" customHeight="1" x14ac:dyDescent="0.15"/>
    <row r="54390" s="76" customFormat="1" ht="21.95" customHeight="1" x14ac:dyDescent="0.15"/>
    <row r="54391" s="76" customFormat="1" ht="21.95" customHeight="1" x14ac:dyDescent="0.15"/>
    <row r="54392" s="76" customFormat="1" ht="21.95" customHeight="1" x14ac:dyDescent="0.15"/>
    <row r="54393" s="76" customFormat="1" ht="21.95" customHeight="1" x14ac:dyDescent="0.15"/>
    <row r="54394" s="76" customFormat="1" ht="21.95" customHeight="1" x14ac:dyDescent="0.15"/>
    <row r="54395" s="76" customFormat="1" ht="21.95" customHeight="1" x14ac:dyDescent="0.15"/>
    <row r="54396" s="76" customFormat="1" ht="21.95" customHeight="1" x14ac:dyDescent="0.15"/>
    <row r="54397" s="76" customFormat="1" ht="21.95" customHeight="1" x14ac:dyDescent="0.15"/>
    <row r="54398" s="76" customFormat="1" ht="21.95" customHeight="1" x14ac:dyDescent="0.15"/>
    <row r="54399" s="76" customFormat="1" ht="21.95" customHeight="1" x14ac:dyDescent="0.15"/>
    <row r="54400" s="76" customFormat="1" ht="21.95" customHeight="1" x14ac:dyDescent="0.15"/>
    <row r="54401" s="76" customFormat="1" ht="21.95" customHeight="1" x14ac:dyDescent="0.15"/>
    <row r="54402" s="76" customFormat="1" ht="21.95" customHeight="1" x14ac:dyDescent="0.15"/>
    <row r="54403" s="76" customFormat="1" ht="21.95" customHeight="1" x14ac:dyDescent="0.15"/>
    <row r="54404" s="76" customFormat="1" ht="21.95" customHeight="1" x14ac:dyDescent="0.15"/>
    <row r="54405" s="76" customFormat="1" ht="21.95" customHeight="1" x14ac:dyDescent="0.15"/>
    <row r="54406" s="76" customFormat="1" ht="21.95" customHeight="1" x14ac:dyDescent="0.15"/>
    <row r="54407" s="76" customFormat="1" ht="21.95" customHeight="1" x14ac:dyDescent="0.15"/>
    <row r="54408" s="76" customFormat="1" ht="21.95" customHeight="1" x14ac:dyDescent="0.15"/>
    <row r="54409" s="76" customFormat="1" ht="35.1" customHeight="1" x14ac:dyDescent="0.15"/>
    <row r="54410" s="76" customFormat="1" ht="21.95" customHeight="1" x14ac:dyDescent="0.15"/>
    <row r="54411" s="76" customFormat="1" ht="21.95" customHeight="1" x14ac:dyDescent="0.15"/>
    <row r="54412" s="76" customFormat="1" ht="21.95" customHeight="1" x14ac:dyDescent="0.15"/>
    <row r="54413" s="76" customFormat="1" ht="21.95" customHeight="1" x14ac:dyDescent="0.15"/>
    <row r="54414" s="76" customFormat="1" ht="21.95" customHeight="1" x14ac:dyDescent="0.15"/>
    <row r="54415" s="76" customFormat="1" ht="21.95" customHeight="1" x14ac:dyDescent="0.15"/>
    <row r="54416" s="76" customFormat="1" ht="21.95" customHeight="1" x14ac:dyDescent="0.15"/>
    <row r="54417" s="76" customFormat="1" ht="21.95" customHeight="1" x14ac:dyDescent="0.15"/>
    <row r="54418" s="76" customFormat="1" ht="21.95" customHeight="1" x14ac:dyDescent="0.15"/>
    <row r="54419" s="76" customFormat="1" ht="21.95" customHeight="1" x14ac:dyDescent="0.15"/>
    <row r="54420" s="76" customFormat="1" ht="21.95" customHeight="1" x14ac:dyDescent="0.15"/>
    <row r="54421" s="76" customFormat="1" ht="21.95" customHeight="1" x14ac:dyDescent="0.15"/>
    <row r="54422" s="76" customFormat="1" ht="21.95" customHeight="1" x14ac:dyDescent="0.15"/>
    <row r="54423" s="76" customFormat="1" ht="21.95" customHeight="1" x14ac:dyDescent="0.15"/>
    <row r="54424" s="76" customFormat="1" ht="21.95" customHeight="1" x14ac:dyDescent="0.15"/>
    <row r="54425" s="76" customFormat="1" ht="21.95" customHeight="1" x14ac:dyDescent="0.15"/>
    <row r="54426" s="76" customFormat="1" ht="21.95" customHeight="1" x14ac:dyDescent="0.15"/>
    <row r="54427" s="76" customFormat="1" ht="21.95" customHeight="1" x14ac:dyDescent="0.15"/>
    <row r="54428" s="76" customFormat="1" ht="21.95" customHeight="1" x14ac:dyDescent="0.15"/>
    <row r="54429" s="76" customFormat="1" ht="21.95" customHeight="1" x14ac:dyDescent="0.15"/>
    <row r="54430" s="76" customFormat="1" ht="21.95" customHeight="1" x14ac:dyDescent="0.15"/>
    <row r="54431" s="76" customFormat="1" ht="21.95" customHeight="1" x14ac:dyDescent="0.15"/>
    <row r="54432" s="76" customFormat="1" ht="21.95" customHeight="1" x14ac:dyDescent="0.15"/>
    <row r="54433" spans="3:3" customFormat="1" ht="21.95" customHeight="1" x14ac:dyDescent="0.15"/>
    <row r="54434" spans="3:3" customFormat="1" ht="21.95" customHeight="1" x14ac:dyDescent="0.15"/>
    <row r="54435" spans="3:3" customFormat="1" ht="21.95" customHeight="1" x14ac:dyDescent="0.15">
      <c r="C54435" s="94"/>
    </row>
    <row r="54436" spans="3:3" customFormat="1" ht="21.95" customHeight="1" x14ac:dyDescent="0.15">
      <c r="C54436" s="94"/>
    </row>
    <row r="54437" spans="3:3" customFormat="1" ht="21.95" customHeight="1" x14ac:dyDescent="0.15"/>
    <row r="54438" spans="3:3" customFormat="1" ht="21.95" customHeight="1" x14ac:dyDescent="0.15"/>
    <row r="54439" spans="3:3" customFormat="1" ht="21.95" customHeight="1" x14ac:dyDescent="0.15"/>
    <row r="54440" spans="3:3" customFormat="1" ht="21.95" customHeight="1" x14ac:dyDescent="0.15"/>
    <row r="54441" spans="3:3" customFormat="1" ht="21.95" customHeight="1" x14ac:dyDescent="0.15"/>
    <row r="54442" spans="3:3" customFormat="1" ht="21.95" customHeight="1" x14ac:dyDescent="0.15"/>
    <row r="54443" spans="3:3" customFormat="1" ht="21.95" customHeight="1" x14ac:dyDescent="0.15"/>
    <row r="54444" spans="3:3" s="76" customFormat="1" ht="21.95" customHeight="1" x14ac:dyDescent="0.15"/>
    <row r="54445" spans="3:3" s="76" customFormat="1" ht="21.95" customHeight="1" x14ac:dyDescent="0.15"/>
    <row r="54446" spans="3:3" s="76" customFormat="1" ht="21.95" customHeight="1" x14ac:dyDescent="0.15"/>
    <row r="54447" spans="3:3" s="76" customFormat="1" ht="21.95" customHeight="1" x14ac:dyDescent="0.15"/>
    <row r="54448" spans="3:3" customFormat="1" ht="21.95" customHeight="1" x14ac:dyDescent="0.15"/>
    <row r="54449" customFormat="1" ht="21.95" customHeight="1" x14ac:dyDescent="0.15"/>
    <row r="54450" customFormat="1" ht="21.95" customHeight="1" x14ac:dyDescent="0.15"/>
    <row r="54451" customFormat="1" ht="21.95" customHeight="1" x14ac:dyDescent="0.15"/>
    <row r="54452" customFormat="1" ht="21.95" customHeight="1" x14ac:dyDescent="0.15"/>
    <row r="54453" customFormat="1" ht="21.95" customHeight="1" x14ac:dyDescent="0.15"/>
    <row r="54454" customFormat="1" ht="21.95" customHeight="1" x14ac:dyDescent="0.15"/>
    <row r="54455" customFormat="1" ht="21.95" customHeight="1" x14ac:dyDescent="0.15"/>
    <row r="54456" customFormat="1" ht="21.95" customHeight="1" x14ac:dyDescent="0.15"/>
    <row r="54457" customFormat="1" ht="21.95" customHeight="1" x14ac:dyDescent="0.15"/>
    <row r="54458" customFormat="1" ht="21.95" customHeight="1" x14ac:dyDescent="0.15"/>
    <row r="54459" customFormat="1" ht="32.1" customHeight="1" x14ac:dyDescent="0.15"/>
    <row r="54460" customFormat="1" ht="32.1" customHeight="1" x14ac:dyDescent="0.15"/>
    <row r="54461" customFormat="1" ht="32.1" customHeight="1" x14ac:dyDescent="0.15"/>
    <row r="54462" customFormat="1" ht="32.1" customHeight="1" x14ac:dyDescent="0.15"/>
    <row r="54463" customFormat="1" ht="32.1" customHeight="1" x14ac:dyDescent="0.15"/>
    <row r="54464" customFormat="1" ht="32.1" customHeight="1" x14ac:dyDescent="0.15"/>
    <row r="54465" s="76" customFormat="1" ht="32.1" customHeight="1" x14ac:dyDescent="0.15"/>
    <row r="54466" s="76" customFormat="1" ht="32.1" customHeight="1" x14ac:dyDescent="0.15"/>
    <row r="54467" s="76" customFormat="1" ht="32.1" customHeight="1" x14ac:dyDescent="0.15"/>
    <row r="54468" s="76" customFormat="1" ht="32.1" customHeight="1" x14ac:dyDescent="0.15"/>
    <row r="54469" s="76" customFormat="1" ht="21.95" customHeight="1" x14ac:dyDescent="0.15"/>
    <row r="54470" s="76" customFormat="1" ht="54" customHeight="1" x14ac:dyDescent="0.15"/>
    <row r="54471" s="76" customFormat="1" ht="21.95" customHeight="1" x14ac:dyDescent="0.15"/>
    <row r="54472" s="76" customFormat="1" ht="21.95" customHeight="1" x14ac:dyDescent="0.15"/>
    <row r="54473" s="76" customFormat="1" ht="21.95" customHeight="1" x14ac:dyDescent="0.15"/>
    <row r="54474" s="76" customFormat="1" ht="21.95" customHeight="1" x14ac:dyDescent="0.15"/>
    <row r="54475" s="76" customFormat="1" ht="21.95" customHeight="1" x14ac:dyDescent="0.15"/>
    <row r="54476" s="76" customFormat="1" ht="21.95" customHeight="1" x14ac:dyDescent="0.15"/>
    <row r="54477" s="76" customFormat="1" ht="21.95" customHeight="1" x14ac:dyDescent="0.15"/>
    <row r="54478" s="76" customFormat="1" ht="21.95" customHeight="1" x14ac:dyDescent="0.15"/>
    <row r="54479" s="76" customFormat="1" ht="21.95" customHeight="1" x14ac:dyDescent="0.15"/>
    <row r="54480" s="76" customFormat="1" ht="21.95" customHeight="1" x14ac:dyDescent="0.15"/>
    <row r="54481" s="76" customFormat="1" ht="21.95" customHeight="1" x14ac:dyDescent="0.15"/>
    <row r="54482" s="76" customFormat="1" ht="21.95" customHeight="1" x14ac:dyDescent="0.15"/>
    <row r="54483" s="76" customFormat="1" ht="21.95" customHeight="1" x14ac:dyDescent="0.15"/>
    <row r="54484" s="76" customFormat="1" ht="21.95" customHeight="1" x14ac:dyDescent="0.15"/>
    <row r="54485" s="76" customFormat="1" ht="21.95" customHeight="1" x14ac:dyDescent="0.15"/>
    <row r="54486" s="76" customFormat="1" ht="21.95" customHeight="1" x14ac:dyDescent="0.15"/>
    <row r="54487" s="76" customFormat="1" ht="21.95" customHeight="1" x14ac:dyDescent="0.15"/>
    <row r="54488" s="76" customFormat="1" ht="21.95" customHeight="1" x14ac:dyDescent="0.15"/>
    <row r="54489" s="76" customFormat="1" ht="21.95" customHeight="1" x14ac:dyDescent="0.15"/>
    <row r="54490" s="76" customFormat="1" ht="21.95" customHeight="1" x14ac:dyDescent="0.15"/>
    <row r="54491" s="76" customFormat="1" ht="21.95" customHeight="1" x14ac:dyDescent="0.15"/>
    <row r="54492" s="76" customFormat="1" ht="21.95" customHeight="1" x14ac:dyDescent="0.15"/>
    <row r="54493" s="76" customFormat="1" ht="21.95" customHeight="1" x14ac:dyDescent="0.15"/>
    <row r="54494" s="76" customFormat="1" ht="21.95" customHeight="1" x14ac:dyDescent="0.15"/>
    <row r="54495" s="76" customFormat="1" ht="21.95" customHeight="1" x14ac:dyDescent="0.15"/>
    <row r="54496" s="76" customFormat="1" ht="21.95" customHeight="1" x14ac:dyDescent="0.15"/>
    <row r="54497" s="76" customFormat="1" ht="21.95" customHeight="1" x14ac:dyDescent="0.15"/>
    <row r="54498" s="76" customFormat="1" ht="21.95" customHeight="1" x14ac:dyDescent="0.15"/>
    <row r="54499" s="76" customFormat="1" ht="21.95" customHeight="1" x14ac:dyDescent="0.15"/>
    <row r="54500" s="76" customFormat="1" ht="21.95" customHeight="1" x14ac:dyDescent="0.15"/>
    <row r="54501" s="76" customFormat="1" ht="21.95" customHeight="1" x14ac:dyDescent="0.15"/>
    <row r="54502" s="76" customFormat="1" ht="21.95" customHeight="1" x14ac:dyDescent="0.15"/>
    <row r="54503" s="76" customFormat="1" ht="21.95" customHeight="1" x14ac:dyDescent="0.15"/>
    <row r="54504" s="76" customFormat="1" ht="21.95" customHeight="1" x14ac:dyDescent="0.15"/>
    <row r="54505" s="76" customFormat="1" ht="21.95" customHeight="1" x14ac:dyDescent="0.15"/>
    <row r="54506" s="76" customFormat="1" ht="21.95" customHeight="1" x14ac:dyDescent="0.15"/>
    <row r="54507" s="76" customFormat="1" ht="21.95" customHeight="1" x14ac:dyDescent="0.15"/>
    <row r="54508" s="76" customFormat="1" ht="21.95" customHeight="1" x14ac:dyDescent="0.15"/>
    <row r="54509" s="76" customFormat="1" ht="21.95" customHeight="1" x14ac:dyDescent="0.15"/>
    <row r="54510" s="76" customFormat="1" ht="21.95" customHeight="1" x14ac:dyDescent="0.15"/>
    <row r="54511" s="76" customFormat="1" ht="21.95" customHeight="1" x14ac:dyDescent="0.15"/>
    <row r="54512" s="76" customFormat="1" ht="21.95" customHeight="1" x14ac:dyDescent="0.15"/>
    <row r="54513" s="76" customFormat="1" ht="21.95" customHeight="1" x14ac:dyDescent="0.15"/>
    <row r="54514" s="76" customFormat="1" ht="21.95" customHeight="1" x14ac:dyDescent="0.15"/>
    <row r="54515" s="76" customFormat="1" ht="21.95" customHeight="1" x14ac:dyDescent="0.15"/>
    <row r="54516" s="76" customFormat="1" ht="21.95" customHeight="1" x14ac:dyDescent="0.15"/>
    <row r="54517" s="76" customFormat="1" ht="21.95" customHeight="1" x14ac:dyDescent="0.15"/>
    <row r="54518" s="76" customFormat="1" ht="21.95" customHeight="1" x14ac:dyDescent="0.15"/>
    <row r="54519" s="76" customFormat="1" ht="21.95" customHeight="1" x14ac:dyDescent="0.15"/>
    <row r="54520" s="76" customFormat="1" ht="21.95" customHeight="1" x14ac:dyDescent="0.15"/>
    <row r="54521" s="76" customFormat="1" ht="35.1" customHeight="1" x14ac:dyDescent="0.15"/>
    <row r="54522" s="76" customFormat="1" ht="21.95" customHeight="1" x14ac:dyDescent="0.15"/>
    <row r="54523" s="76" customFormat="1" ht="21.95" customHeight="1" x14ac:dyDescent="0.15"/>
    <row r="54524" s="76" customFormat="1" ht="21.95" customHeight="1" x14ac:dyDescent="0.15"/>
    <row r="54525" s="76" customFormat="1" ht="21.95" customHeight="1" x14ac:dyDescent="0.15"/>
    <row r="54526" s="76" customFormat="1" ht="21.95" customHeight="1" x14ac:dyDescent="0.15"/>
    <row r="54527" s="76" customFormat="1" ht="21.95" customHeight="1" x14ac:dyDescent="0.15"/>
    <row r="54528" s="76" customFormat="1" ht="21.95" customHeight="1" x14ac:dyDescent="0.15"/>
    <row r="54529" s="76" customFormat="1" ht="21.95" customHeight="1" x14ac:dyDescent="0.15"/>
    <row r="54530" s="76" customFormat="1" ht="21.95" customHeight="1" x14ac:dyDescent="0.15"/>
    <row r="54531" s="76" customFormat="1" ht="21.95" customHeight="1" x14ac:dyDescent="0.15"/>
    <row r="54532" s="76" customFormat="1" ht="21.95" customHeight="1" x14ac:dyDescent="0.15"/>
    <row r="54533" s="76" customFormat="1" ht="21.95" customHeight="1" x14ac:dyDescent="0.15"/>
    <row r="54534" s="76" customFormat="1" ht="21.95" customHeight="1" x14ac:dyDescent="0.15"/>
    <row r="54535" s="76" customFormat="1" ht="21.95" customHeight="1" x14ac:dyDescent="0.15"/>
    <row r="54536" s="76" customFormat="1" ht="21.95" customHeight="1" x14ac:dyDescent="0.15"/>
    <row r="54537" s="76" customFormat="1" ht="21.95" customHeight="1" x14ac:dyDescent="0.15"/>
    <row r="54538" s="76" customFormat="1" ht="21.95" customHeight="1" x14ac:dyDescent="0.15"/>
    <row r="54539" s="76" customFormat="1" ht="21.95" customHeight="1" x14ac:dyDescent="0.15"/>
    <row r="54540" s="76" customFormat="1" ht="21.95" customHeight="1" x14ac:dyDescent="0.15"/>
    <row r="54541" s="76" customFormat="1" ht="21.95" customHeight="1" x14ac:dyDescent="0.15"/>
    <row r="54542" s="76" customFormat="1" ht="21.95" customHeight="1" x14ac:dyDescent="0.15"/>
    <row r="54543" s="76" customFormat="1" ht="21.95" customHeight="1" x14ac:dyDescent="0.15"/>
    <row r="54544" s="76" customFormat="1" ht="21.95" customHeight="1" x14ac:dyDescent="0.15"/>
    <row r="54545" spans="3:3" customFormat="1" ht="21.95" customHeight="1" x14ac:dyDescent="0.15"/>
    <row r="54546" spans="3:3" customFormat="1" ht="21.95" customHeight="1" x14ac:dyDescent="0.15"/>
    <row r="54547" spans="3:3" customFormat="1" ht="21.95" customHeight="1" x14ac:dyDescent="0.15">
      <c r="C54547" s="94"/>
    </row>
    <row r="54548" spans="3:3" customFormat="1" ht="21.95" customHeight="1" x14ac:dyDescent="0.15">
      <c r="C54548" s="94"/>
    </row>
    <row r="54549" spans="3:3" customFormat="1" ht="21.95" customHeight="1" x14ac:dyDescent="0.15"/>
    <row r="54550" spans="3:3" customFormat="1" ht="21.95" customHeight="1" x14ac:dyDescent="0.15"/>
    <row r="54551" spans="3:3" customFormat="1" ht="21.95" customHeight="1" x14ac:dyDescent="0.15"/>
    <row r="54552" spans="3:3" customFormat="1" ht="21.95" customHeight="1" x14ac:dyDescent="0.15"/>
    <row r="54553" spans="3:3" customFormat="1" ht="21.95" customHeight="1" x14ac:dyDescent="0.15"/>
    <row r="54554" spans="3:3" customFormat="1" ht="21.95" customHeight="1" x14ac:dyDescent="0.15"/>
    <row r="54555" spans="3:3" customFormat="1" ht="21.95" customHeight="1" x14ac:dyDescent="0.15"/>
    <row r="54556" spans="3:3" s="76" customFormat="1" ht="21.95" customHeight="1" x14ac:dyDescent="0.15"/>
    <row r="54557" spans="3:3" s="76" customFormat="1" ht="21.95" customHeight="1" x14ac:dyDescent="0.15"/>
    <row r="54558" spans="3:3" s="76" customFormat="1" ht="21.95" customHeight="1" x14ac:dyDescent="0.15"/>
    <row r="54559" spans="3:3" s="76" customFormat="1" ht="21.95" customHeight="1" x14ac:dyDescent="0.15"/>
    <row r="54560" spans="3:3" customFormat="1" ht="21.95" customHeight="1" x14ac:dyDescent="0.15"/>
    <row r="54561" customFormat="1" ht="21.95" customHeight="1" x14ac:dyDescent="0.15"/>
    <row r="54562" customFormat="1" ht="21.95" customHeight="1" x14ac:dyDescent="0.15"/>
    <row r="54563" customFormat="1" ht="21.95" customHeight="1" x14ac:dyDescent="0.15"/>
    <row r="54564" customFormat="1" ht="21.95" customHeight="1" x14ac:dyDescent="0.15"/>
    <row r="54565" customFormat="1" ht="21.95" customHeight="1" x14ac:dyDescent="0.15"/>
    <row r="54566" customFormat="1" ht="21.95" customHeight="1" x14ac:dyDescent="0.15"/>
    <row r="54567" customFormat="1" ht="21.95" customHeight="1" x14ac:dyDescent="0.15"/>
    <row r="54568" customFormat="1" ht="21.95" customHeight="1" x14ac:dyDescent="0.15"/>
    <row r="54569" customFormat="1" ht="21.95" customHeight="1" x14ac:dyDescent="0.15"/>
    <row r="54570" customFormat="1" ht="21.95" customHeight="1" x14ac:dyDescent="0.15"/>
    <row r="54571" customFormat="1" ht="32.1" customHeight="1" x14ac:dyDescent="0.15"/>
    <row r="54572" customFormat="1" ht="32.1" customHeight="1" x14ac:dyDescent="0.15"/>
    <row r="54573" customFormat="1" ht="32.1" customHeight="1" x14ac:dyDescent="0.15"/>
    <row r="54574" customFormat="1" ht="32.1" customHeight="1" x14ac:dyDescent="0.15"/>
    <row r="54575" customFormat="1" ht="32.1" customHeight="1" x14ac:dyDescent="0.15"/>
    <row r="54576" customFormat="1" ht="32.1" customHeight="1" x14ac:dyDescent="0.15"/>
    <row r="54577" s="76" customFormat="1" ht="32.1" customHeight="1" x14ac:dyDescent="0.15"/>
    <row r="54578" s="76" customFormat="1" ht="32.1" customHeight="1" x14ac:dyDescent="0.15"/>
    <row r="54579" s="76" customFormat="1" ht="32.1" customHeight="1" x14ac:dyDescent="0.15"/>
    <row r="54580" s="76" customFormat="1" ht="32.1" customHeight="1" x14ac:dyDescent="0.15"/>
    <row r="54581" s="76" customFormat="1" ht="21.95" customHeight="1" x14ac:dyDescent="0.15"/>
    <row r="54582" s="76" customFormat="1" ht="54" customHeight="1" x14ac:dyDescent="0.15"/>
    <row r="54583" s="76" customFormat="1" ht="21.95" customHeight="1" x14ac:dyDescent="0.15"/>
    <row r="54584" s="76" customFormat="1" ht="21.95" customHeight="1" x14ac:dyDescent="0.15"/>
    <row r="54585" s="76" customFormat="1" ht="21.95" customHeight="1" x14ac:dyDescent="0.15"/>
    <row r="54586" s="76" customFormat="1" ht="21.95" customHeight="1" x14ac:dyDescent="0.15"/>
    <row r="54587" s="76" customFormat="1" ht="21.95" customHeight="1" x14ac:dyDescent="0.15"/>
    <row r="54588" s="76" customFormat="1" ht="21.95" customHeight="1" x14ac:dyDescent="0.15"/>
    <row r="54589" s="76" customFormat="1" ht="21.95" customHeight="1" x14ac:dyDescent="0.15"/>
    <row r="54590" s="76" customFormat="1" ht="21.95" customHeight="1" x14ac:dyDescent="0.15"/>
    <row r="54591" s="76" customFormat="1" ht="21.95" customHeight="1" x14ac:dyDescent="0.15"/>
    <row r="54592" s="76" customFormat="1" ht="21.95" customHeight="1" x14ac:dyDescent="0.15"/>
    <row r="54593" s="76" customFormat="1" ht="21.95" customHeight="1" x14ac:dyDescent="0.15"/>
    <row r="54594" s="76" customFormat="1" ht="21.95" customHeight="1" x14ac:dyDescent="0.15"/>
    <row r="54595" s="76" customFormat="1" ht="21.95" customHeight="1" x14ac:dyDescent="0.15"/>
    <row r="54596" s="76" customFormat="1" ht="21.95" customHeight="1" x14ac:dyDescent="0.15"/>
    <row r="54597" s="76" customFormat="1" ht="21.95" customHeight="1" x14ac:dyDescent="0.15"/>
    <row r="54598" s="76" customFormat="1" ht="21.95" customHeight="1" x14ac:dyDescent="0.15"/>
    <row r="54599" s="76" customFormat="1" ht="21.95" customHeight="1" x14ac:dyDescent="0.15"/>
    <row r="54600" s="76" customFormat="1" ht="21.95" customHeight="1" x14ac:dyDescent="0.15"/>
    <row r="54601" s="76" customFormat="1" ht="21.95" customHeight="1" x14ac:dyDescent="0.15"/>
    <row r="54602" s="76" customFormat="1" ht="21.95" customHeight="1" x14ac:dyDescent="0.15"/>
    <row r="54603" s="76" customFormat="1" ht="21.95" customHeight="1" x14ac:dyDescent="0.15"/>
    <row r="54604" s="76" customFormat="1" ht="21.95" customHeight="1" x14ac:dyDescent="0.15"/>
    <row r="54605" s="76" customFormat="1" ht="21.95" customHeight="1" x14ac:dyDescent="0.15"/>
    <row r="54606" s="76" customFormat="1" ht="21.95" customHeight="1" x14ac:dyDescent="0.15"/>
    <row r="54607" s="76" customFormat="1" ht="21.95" customHeight="1" x14ac:dyDescent="0.15"/>
    <row r="54608" s="76" customFormat="1" ht="21.95" customHeight="1" x14ac:dyDescent="0.15"/>
    <row r="54609" s="76" customFormat="1" ht="21.95" customHeight="1" x14ac:dyDescent="0.15"/>
    <row r="54610" s="76" customFormat="1" ht="21.95" customHeight="1" x14ac:dyDescent="0.15"/>
    <row r="54611" s="76" customFormat="1" ht="21.95" customHeight="1" x14ac:dyDescent="0.15"/>
    <row r="54612" s="76" customFormat="1" ht="21.95" customHeight="1" x14ac:dyDescent="0.15"/>
    <row r="54613" s="76" customFormat="1" ht="21.95" customHeight="1" x14ac:dyDescent="0.15"/>
    <row r="54614" s="76" customFormat="1" ht="21.95" customHeight="1" x14ac:dyDescent="0.15"/>
    <row r="54615" s="76" customFormat="1" ht="21.95" customHeight="1" x14ac:dyDescent="0.15"/>
    <row r="54616" s="76" customFormat="1" ht="21.95" customHeight="1" x14ac:dyDescent="0.15"/>
    <row r="54617" s="76" customFormat="1" ht="21.95" customHeight="1" x14ac:dyDescent="0.15"/>
    <row r="54618" s="76" customFormat="1" ht="21.95" customHeight="1" x14ac:dyDescent="0.15"/>
    <row r="54619" s="76" customFormat="1" ht="21.95" customHeight="1" x14ac:dyDescent="0.15"/>
    <row r="54620" s="76" customFormat="1" ht="21.95" customHeight="1" x14ac:dyDescent="0.15"/>
    <row r="54621" s="76" customFormat="1" ht="21.95" customHeight="1" x14ac:dyDescent="0.15"/>
    <row r="54622" s="76" customFormat="1" ht="21.95" customHeight="1" x14ac:dyDescent="0.15"/>
    <row r="54623" s="76" customFormat="1" ht="21.95" customHeight="1" x14ac:dyDescent="0.15"/>
    <row r="54624" s="76" customFormat="1" ht="21.95" customHeight="1" x14ac:dyDescent="0.15"/>
    <row r="54625" s="76" customFormat="1" ht="21.95" customHeight="1" x14ac:dyDescent="0.15"/>
    <row r="54626" s="76" customFormat="1" ht="21.95" customHeight="1" x14ac:dyDescent="0.15"/>
    <row r="54627" s="76" customFormat="1" ht="21.95" customHeight="1" x14ac:dyDescent="0.15"/>
    <row r="54628" s="76" customFormat="1" ht="21.95" customHeight="1" x14ac:dyDescent="0.15"/>
    <row r="54629" s="76" customFormat="1" ht="21.95" customHeight="1" x14ac:dyDescent="0.15"/>
    <row r="54630" s="76" customFormat="1" ht="21.95" customHeight="1" x14ac:dyDescent="0.15"/>
    <row r="54631" s="76" customFormat="1" ht="21.95" customHeight="1" x14ac:dyDescent="0.15"/>
    <row r="54632" s="76" customFormat="1" ht="21.95" customHeight="1" x14ac:dyDescent="0.15"/>
    <row r="54633" s="76" customFormat="1" ht="35.1" customHeight="1" x14ac:dyDescent="0.15"/>
    <row r="54634" s="76" customFormat="1" ht="21.95" customHeight="1" x14ac:dyDescent="0.15"/>
    <row r="54635" s="76" customFormat="1" ht="21.95" customHeight="1" x14ac:dyDescent="0.15"/>
    <row r="54636" s="76" customFormat="1" ht="21.95" customHeight="1" x14ac:dyDescent="0.15"/>
    <row r="54637" s="76" customFormat="1" ht="21.95" customHeight="1" x14ac:dyDescent="0.15"/>
    <row r="54638" s="76" customFormat="1" ht="21.95" customHeight="1" x14ac:dyDescent="0.15"/>
    <row r="54639" s="76" customFormat="1" ht="21.95" customHeight="1" x14ac:dyDescent="0.15"/>
    <row r="54640" s="76" customFormat="1" ht="21.95" customHeight="1" x14ac:dyDescent="0.15"/>
    <row r="54641" s="76" customFormat="1" ht="21.95" customHeight="1" x14ac:dyDescent="0.15"/>
    <row r="54642" s="76" customFormat="1" ht="21.95" customHeight="1" x14ac:dyDescent="0.15"/>
    <row r="54643" s="76" customFormat="1" ht="21.95" customHeight="1" x14ac:dyDescent="0.15"/>
    <row r="54644" s="76" customFormat="1" ht="21.95" customHeight="1" x14ac:dyDescent="0.15"/>
    <row r="54645" s="76" customFormat="1" ht="21.95" customHeight="1" x14ac:dyDescent="0.15"/>
    <row r="54646" s="76" customFormat="1" ht="21.95" customHeight="1" x14ac:dyDescent="0.15"/>
    <row r="54647" s="76" customFormat="1" ht="21.95" customHeight="1" x14ac:dyDescent="0.15"/>
    <row r="54648" s="76" customFormat="1" ht="21.95" customHeight="1" x14ac:dyDescent="0.15"/>
    <row r="54649" s="76" customFormat="1" ht="21.95" customHeight="1" x14ac:dyDescent="0.15"/>
    <row r="54650" s="76" customFormat="1" ht="21.95" customHeight="1" x14ac:dyDescent="0.15"/>
    <row r="54651" s="76" customFormat="1" ht="21.95" customHeight="1" x14ac:dyDescent="0.15"/>
    <row r="54652" s="76" customFormat="1" ht="21.95" customHeight="1" x14ac:dyDescent="0.15"/>
    <row r="54653" s="76" customFormat="1" ht="21.95" customHeight="1" x14ac:dyDescent="0.15"/>
    <row r="54654" s="76" customFormat="1" ht="21.95" customHeight="1" x14ac:dyDescent="0.15"/>
    <row r="54655" s="76" customFormat="1" ht="21.95" customHeight="1" x14ac:dyDescent="0.15"/>
    <row r="54656" s="76" customFormat="1" ht="21.95" customHeight="1" x14ac:dyDescent="0.15"/>
    <row r="54657" spans="3:3" customFormat="1" ht="21.95" customHeight="1" x14ac:dyDescent="0.15"/>
    <row r="54658" spans="3:3" customFormat="1" ht="21.95" customHeight="1" x14ac:dyDescent="0.15"/>
    <row r="54659" spans="3:3" customFormat="1" ht="21.95" customHeight="1" x14ac:dyDescent="0.15">
      <c r="C54659" s="94"/>
    </row>
    <row r="54660" spans="3:3" customFormat="1" ht="21.95" customHeight="1" x14ac:dyDescent="0.15">
      <c r="C54660" s="94"/>
    </row>
    <row r="54661" spans="3:3" customFormat="1" ht="21.95" customHeight="1" x14ac:dyDescent="0.15"/>
    <row r="54662" spans="3:3" customFormat="1" ht="21.95" customHeight="1" x14ac:dyDescent="0.15"/>
    <row r="54663" spans="3:3" customFormat="1" ht="21.95" customHeight="1" x14ac:dyDescent="0.15"/>
    <row r="54664" spans="3:3" customFormat="1" ht="21.95" customHeight="1" x14ac:dyDescent="0.15"/>
    <row r="54665" spans="3:3" customFormat="1" ht="21.95" customHeight="1" x14ac:dyDescent="0.15"/>
    <row r="54666" spans="3:3" customFormat="1" ht="21.95" customHeight="1" x14ac:dyDescent="0.15"/>
    <row r="54667" spans="3:3" customFormat="1" ht="21.95" customHeight="1" x14ac:dyDescent="0.15"/>
    <row r="54668" spans="3:3" s="76" customFormat="1" ht="21.95" customHeight="1" x14ac:dyDescent="0.15"/>
    <row r="54669" spans="3:3" s="76" customFormat="1" ht="21.95" customHeight="1" x14ac:dyDescent="0.15"/>
    <row r="54670" spans="3:3" s="76" customFormat="1" ht="21.95" customHeight="1" x14ac:dyDescent="0.15"/>
    <row r="54671" spans="3:3" s="76" customFormat="1" ht="21.95" customHeight="1" x14ac:dyDescent="0.15"/>
    <row r="54672" spans="3:3" customFormat="1" ht="21.95" customHeight="1" x14ac:dyDescent="0.15"/>
    <row r="54673" customFormat="1" ht="21.95" customHeight="1" x14ac:dyDescent="0.15"/>
    <row r="54674" customFormat="1" ht="21.95" customHeight="1" x14ac:dyDescent="0.15"/>
    <row r="54675" customFormat="1" ht="21.95" customHeight="1" x14ac:dyDescent="0.15"/>
    <row r="54676" customFormat="1" ht="21.95" customHeight="1" x14ac:dyDescent="0.15"/>
    <row r="54677" customFormat="1" ht="21.95" customHeight="1" x14ac:dyDescent="0.15"/>
    <row r="54678" customFormat="1" ht="21.95" customHeight="1" x14ac:dyDescent="0.15"/>
    <row r="54679" customFormat="1" ht="21.95" customHeight="1" x14ac:dyDescent="0.15"/>
    <row r="54680" customFormat="1" ht="21.95" customHeight="1" x14ac:dyDescent="0.15"/>
    <row r="54681" customFormat="1" ht="21.95" customHeight="1" x14ac:dyDescent="0.15"/>
    <row r="54682" customFormat="1" ht="21.95" customHeight="1" x14ac:dyDescent="0.15"/>
    <row r="54683" customFormat="1" ht="32.1" customHeight="1" x14ac:dyDescent="0.15"/>
    <row r="54684" customFormat="1" ht="32.1" customHeight="1" x14ac:dyDescent="0.15"/>
    <row r="54685" customFormat="1" ht="32.1" customHeight="1" x14ac:dyDescent="0.15"/>
    <row r="54686" customFormat="1" ht="32.1" customHeight="1" x14ac:dyDescent="0.15"/>
    <row r="54687" customFormat="1" ht="32.1" customHeight="1" x14ac:dyDescent="0.15"/>
    <row r="54688" customFormat="1" ht="32.1" customHeight="1" x14ac:dyDescent="0.15"/>
    <row r="54689" s="76" customFormat="1" ht="32.1" customHeight="1" x14ac:dyDescent="0.15"/>
    <row r="54690" s="76" customFormat="1" ht="32.1" customHeight="1" x14ac:dyDescent="0.15"/>
    <row r="54691" s="76" customFormat="1" ht="32.1" customHeight="1" x14ac:dyDescent="0.15"/>
    <row r="54692" s="76" customFormat="1" ht="32.1" customHeight="1" x14ac:dyDescent="0.15"/>
    <row r="54693" s="76" customFormat="1" ht="21.95" customHeight="1" x14ac:dyDescent="0.15"/>
    <row r="54694" s="76" customFormat="1" ht="54" customHeight="1" x14ac:dyDescent="0.15"/>
    <row r="54695" s="76" customFormat="1" ht="21.95" customHeight="1" x14ac:dyDescent="0.15"/>
    <row r="54696" s="76" customFormat="1" ht="21.95" customHeight="1" x14ac:dyDescent="0.15"/>
    <row r="54697" s="76" customFormat="1" ht="21.95" customHeight="1" x14ac:dyDescent="0.15"/>
    <row r="54698" s="76" customFormat="1" ht="21.95" customHeight="1" x14ac:dyDescent="0.15"/>
    <row r="54699" s="76" customFormat="1" ht="21.95" customHeight="1" x14ac:dyDescent="0.15"/>
    <row r="54700" s="76" customFormat="1" ht="21.95" customHeight="1" x14ac:dyDescent="0.15"/>
    <row r="54701" s="76" customFormat="1" ht="21.95" customHeight="1" x14ac:dyDescent="0.15"/>
    <row r="54702" s="76" customFormat="1" ht="21.95" customHeight="1" x14ac:dyDescent="0.15"/>
    <row r="54703" s="76" customFormat="1" ht="21.95" customHeight="1" x14ac:dyDescent="0.15"/>
    <row r="54704" s="76" customFormat="1" ht="21.95" customHeight="1" x14ac:dyDescent="0.15"/>
    <row r="54705" s="76" customFormat="1" ht="21.95" customHeight="1" x14ac:dyDescent="0.15"/>
    <row r="54706" s="76" customFormat="1" ht="21.95" customHeight="1" x14ac:dyDescent="0.15"/>
    <row r="54707" s="76" customFormat="1" ht="21.95" customHeight="1" x14ac:dyDescent="0.15"/>
    <row r="54708" s="76" customFormat="1" ht="21.95" customHeight="1" x14ac:dyDescent="0.15"/>
    <row r="54709" s="76" customFormat="1" ht="21.95" customHeight="1" x14ac:dyDescent="0.15"/>
    <row r="54710" s="76" customFormat="1" ht="21.95" customHeight="1" x14ac:dyDescent="0.15"/>
    <row r="54711" s="76" customFormat="1" ht="21.95" customHeight="1" x14ac:dyDescent="0.15"/>
    <row r="54712" s="76" customFormat="1" ht="21.95" customHeight="1" x14ac:dyDescent="0.15"/>
    <row r="54713" s="76" customFormat="1" ht="21.95" customHeight="1" x14ac:dyDescent="0.15"/>
    <row r="54714" s="76" customFormat="1" ht="21.95" customHeight="1" x14ac:dyDescent="0.15"/>
    <row r="54715" s="76" customFormat="1" ht="21.95" customHeight="1" x14ac:dyDescent="0.15"/>
    <row r="54716" s="76" customFormat="1" ht="21.95" customHeight="1" x14ac:dyDescent="0.15"/>
    <row r="54717" s="76" customFormat="1" ht="21.95" customHeight="1" x14ac:dyDescent="0.15"/>
    <row r="54718" s="76" customFormat="1" ht="21.95" customHeight="1" x14ac:dyDescent="0.15"/>
    <row r="54719" s="76" customFormat="1" ht="21.95" customHeight="1" x14ac:dyDescent="0.15"/>
    <row r="54720" s="76" customFormat="1" ht="21.95" customHeight="1" x14ac:dyDescent="0.15"/>
    <row r="54721" s="76" customFormat="1" ht="21.95" customHeight="1" x14ac:dyDescent="0.15"/>
    <row r="54722" s="76" customFormat="1" ht="21.95" customHeight="1" x14ac:dyDescent="0.15"/>
    <row r="54723" s="76" customFormat="1" ht="21.95" customHeight="1" x14ac:dyDescent="0.15"/>
    <row r="54724" s="76" customFormat="1" ht="21.95" customHeight="1" x14ac:dyDescent="0.15"/>
    <row r="54725" s="76" customFormat="1" ht="21.95" customHeight="1" x14ac:dyDescent="0.15"/>
    <row r="54726" s="76" customFormat="1" ht="21.95" customHeight="1" x14ac:dyDescent="0.15"/>
    <row r="54727" s="76" customFormat="1" ht="21.95" customHeight="1" x14ac:dyDescent="0.15"/>
    <row r="54728" s="76" customFormat="1" ht="21.95" customHeight="1" x14ac:dyDescent="0.15"/>
    <row r="54729" s="76" customFormat="1" ht="21.95" customHeight="1" x14ac:dyDescent="0.15"/>
    <row r="54730" s="76" customFormat="1" ht="21.95" customHeight="1" x14ac:dyDescent="0.15"/>
    <row r="54731" s="76" customFormat="1" ht="21.95" customHeight="1" x14ac:dyDescent="0.15"/>
    <row r="54732" s="76" customFormat="1" ht="21.95" customHeight="1" x14ac:dyDescent="0.15"/>
    <row r="54733" s="76" customFormat="1" ht="21.95" customHeight="1" x14ac:dyDescent="0.15"/>
    <row r="54734" s="76" customFormat="1" ht="21.95" customHeight="1" x14ac:dyDescent="0.15"/>
    <row r="54735" s="76" customFormat="1" ht="21.95" customHeight="1" x14ac:dyDescent="0.15"/>
    <row r="54736" s="76" customFormat="1" ht="21.95" customHeight="1" x14ac:dyDescent="0.15"/>
    <row r="54737" s="76" customFormat="1" ht="21.95" customHeight="1" x14ac:dyDescent="0.15"/>
    <row r="54738" s="76" customFormat="1" ht="21.95" customHeight="1" x14ac:dyDescent="0.15"/>
    <row r="54739" s="76" customFormat="1" ht="21.95" customHeight="1" x14ac:dyDescent="0.15"/>
    <row r="54740" s="76" customFormat="1" ht="21.95" customHeight="1" x14ac:dyDescent="0.15"/>
    <row r="54741" s="76" customFormat="1" ht="21.95" customHeight="1" x14ac:dyDescent="0.15"/>
    <row r="54742" s="76" customFormat="1" ht="21.95" customHeight="1" x14ac:dyDescent="0.15"/>
    <row r="54743" s="76" customFormat="1" ht="21.95" customHeight="1" x14ac:dyDescent="0.15"/>
    <row r="54744" s="76" customFormat="1" ht="21.95" customHeight="1" x14ac:dyDescent="0.15"/>
    <row r="54745" s="76" customFormat="1" ht="35.1" customHeight="1" x14ac:dyDescent="0.15"/>
    <row r="54746" s="76" customFormat="1" ht="21.95" customHeight="1" x14ac:dyDescent="0.15"/>
    <row r="54747" s="76" customFormat="1" ht="21.95" customHeight="1" x14ac:dyDescent="0.15"/>
    <row r="54748" s="76" customFormat="1" ht="21.95" customHeight="1" x14ac:dyDescent="0.15"/>
    <row r="54749" s="76" customFormat="1" ht="21.95" customHeight="1" x14ac:dyDescent="0.15"/>
    <row r="54750" s="76" customFormat="1" ht="21.95" customHeight="1" x14ac:dyDescent="0.15"/>
    <row r="54751" s="76" customFormat="1" ht="21.95" customHeight="1" x14ac:dyDescent="0.15"/>
    <row r="54752" s="76" customFormat="1" ht="21.95" customHeight="1" x14ac:dyDescent="0.15"/>
    <row r="54753" s="76" customFormat="1" ht="21.95" customHeight="1" x14ac:dyDescent="0.15"/>
    <row r="54754" s="76" customFormat="1" ht="21.95" customHeight="1" x14ac:dyDescent="0.15"/>
    <row r="54755" s="76" customFormat="1" ht="21.95" customHeight="1" x14ac:dyDescent="0.15"/>
    <row r="54756" s="76" customFormat="1" ht="21.95" customHeight="1" x14ac:dyDescent="0.15"/>
    <row r="54757" s="76" customFormat="1" ht="21.95" customHeight="1" x14ac:dyDescent="0.15"/>
    <row r="54758" s="76" customFormat="1" ht="21.95" customHeight="1" x14ac:dyDescent="0.15"/>
    <row r="54759" s="76" customFormat="1" ht="21.95" customHeight="1" x14ac:dyDescent="0.15"/>
    <row r="54760" s="76" customFormat="1" ht="21.95" customHeight="1" x14ac:dyDescent="0.15"/>
    <row r="54761" s="76" customFormat="1" ht="21.95" customHeight="1" x14ac:dyDescent="0.15"/>
    <row r="54762" s="76" customFormat="1" ht="21.95" customHeight="1" x14ac:dyDescent="0.15"/>
    <row r="54763" s="76" customFormat="1" ht="21.95" customHeight="1" x14ac:dyDescent="0.15"/>
    <row r="54764" s="76" customFormat="1" ht="21.95" customHeight="1" x14ac:dyDescent="0.15"/>
    <row r="54765" s="76" customFormat="1" ht="21.95" customHeight="1" x14ac:dyDescent="0.15"/>
    <row r="54766" s="76" customFormat="1" ht="21.95" customHeight="1" x14ac:dyDescent="0.15"/>
    <row r="54767" s="76" customFormat="1" ht="21.95" customHeight="1" x14ac:dyDescent="0.15"/>
    <row r="54768" s="76" customFormat="1" ht="21.95" customHeight="1" x14ac:dyDescent="0.15"/>
    <row r="54769" spans="3:3" customFormat="1" ht="21.95" customHeight="1" x14ac:dyDescent="0.15"/>
    <row r="54770" spans="3:3" customFormat="1" ht="21.95" customHeight="1" x14ac:dyDescent="0.15"/>
    <row r="54771" spans="3:3" customFormat="1" ht="21.95" customHeight="1" x14ac:dyDescent="0.15">
      <c r="C54771" s="94"/>
    </row>
    <row r="54772" spans="3:3" customFormat="1" ht="21.95" customHeight="1" x14ac:dyDescent="0.15">
      <c r="C54772" s="94"/>
    </row>
    <row r="54773" spans="3:3" customFormat="1" ht="21.95" customHeight="1" x14ac:dyDescent="0.15"/>
    <row r="54774" spans="3:3" customFormat="1" ht="21.95" customHeight="1" x14ac:dyDescent="0.15"/>
    <row r="54775" spans="3:3" customFormat="1" ht="21.95" customHeight="1" x14ac:dyDescent="0.15"/>
    <row r="54776" spans="3:3" customFormat="1" ht="21.95" customHeight="1" x14ac:dyDescent="0.15"/>
    <row r="54777" spans="3:3" customFormat="1" ht="21.95" customHeight="1" x14ac:dyDescent="0.15"/>
    <row r="54778" spans="3:3" customFormat="1" ht="21.95" customHeight="1" x14ac:dyDescent="0.15"/>
    <row r="54779" spans="3:3" customFormat="1" ht="21.95" customHeight="1" x14ac:dyDescent="0.15"/>
    <row r="54780" spans="3:3" s="76" customFormat="1" ht="21.95" customHeight="1" x14ac:dyDescent="0.15"/>
    <row r="54781" spans="3:3" s="76" customFormat="1" ht="21.95" customHeight="1" x14ac:dyDescent="0.15"/>
    <row r="54782" spans="3:3" s="76" customFormat="1" ht="21.95" customHeight="1" x14ac:dyDescent="0.15"/>
    <row r="54783" spans="3:3" s="76" customFormat="1" ht="21.95" customHeight="1" x14ac:dyDescent="0.15"/>
    <row r="54784" spans="3:3" customFormat="1" ht="21.95" customHeight="1" x14ac:dyDescent="0.15"/>
    <row r="54785" customFormat="1" ht="21.95" customHeight="1" x14ac:dyDescent="0.15"/>
    <row r="54786" customFormat="1" ht="21.95" customHeight="1" x14ac:dyDescent="0.15"/>
    <row r="54787" customFormat="1" ht="21.95" customHeight="1" x14ac:dyDescent="0.15"/>
    <row r="54788" customFormat="1" ht="21.95" customHeight="1" x14ac:dyDescent="0.15"/>
    <row r="54789" customFormat="1" ht="21.95" customHeight="1" x14ac:dyDescent="0.15"/>
    <row r="54790" customFormat="1" ht="21.95" customHeight="1" x14ac:dyDescent="0.15"/>
    <row r="54791" customFormat="1" ht="21.95" customHeight="1" x14ac:dyDescent="0.15"/>
    <row r="54792" customFormat="1" ht="21.95" customHeight="1" x14ac:dyDescent="0.15"/>
    <row r="54793" customFormat="1" ht="21.95" customHeight="1" x14ac:dyDescent="0.15"/>
    <row r="54794" customFormat="1" ht="21.95" customHeight="1" x14ac:dyDescent="0.15"/>
    <row r="54795" customFormat="1" ht="32.1" customHeight="1" x14ac:dyDescent="0.15"/>
    <row r="54796" customFormat="1" ht="32.1" customHeight="1" x14ac:dyDescent="0.15"/>
    <row r="54797" customFormat="1" ht="32.1" customHeight="1" x14ac:dyDescent="0.15"/>
    <row r="54798" customFormat="1" ht="32.1" customHeight="1" x14ac:dyDescent="0.15"/>
    <row r="54799" customFormat="1" ht="32.1" customHeight="1" x14ac:dyDescent="0.15"/>
    <row r="54800" customFormat="1" ht="32.1" customHeight="1" x14ac:dyDescent="0.15"/>
    <row r="54801" s="76" customFormat="1" ht="32.1" customHeight="1" x14ac:dyDescent="0.15"/>
    <row r="54802" s="76" customFormat="1" ht="32.1" customHeight="1" x14ac:dyDescent="0.15"/>
    <row r="54803" s="76" customFormat="1" ht="32.1" customHeight="1" x14ac:dyDescent="0.15"/>
    <row r="54804" s="76" customFormat="1" ht="32.1" customHeight="1" x14ac:dyDescent="0.15"/>
    <row r="54805" s="76" customFormat="1" ht="21.95" customHeight="1" x14ac:dyDescent="0.15"/>
    <row r="54806" s="76" customFormat="1" ht="54" customHeight="1" x14ac:dyDescent="0.15"/>
    <row r="54807" s="76" customFormat="1" ht="21.95" customHeight="1" x14ac:dyDescent="0.15"/>
    <row r="54808" s="76" customFormat="1" ht="21.95" customHeight="1" x14ac:dyDescent="0.15"/>
    <row r="54809" s="76" customFormat="1" ht="21.95" customHeight="1" x14ac:dyDescent="0.15"/>
    <row r="54810" s="76" customFormat="1" ht="21.95" customHeight="1" x14ac:dyDescent="0.15"/>
    <row r="54811" s="76" customFormat="1" ht="21.95" customHeight="1" x14ac:dyDescent="0.15"/>
    <row r="54812" s="76" customFormat="1" ht="21.95" customHeight="1" x14ac:dyDescent="0.15"/>
    <row r="54813" s="76" customFormat="1" ht="21.95" customHeight="1" x14ac:dyDescent="0.15"/>
    <row r="54814" s="76" customFormat="1" ht="21.95" customHeight="1" x14ac:dyDescent="0.15"/>
    <row r="54815" s="76" customFormat="1" ht="21.95" customHeight="1" x14ac:dyDescent="0.15"/>
    <row r="54816" s="76" customFormat="1" ht="21.95" customHeight="1" x14ac:dyDescent="0.15"/>
    <row r="54817" s="76" customFormat="1" ht="21.95" customHeight="1" x14ac:dyDescent="0.15"/>
    <row r="54818" s="76" customFormat="1" ht="21.95" customHeight="1" x14ac:dyDescent="0.15"/>
    <row r="54819" s="76" customFormat="1" ht="21.95" customHeight="1" x14ac:dyDescent="0.15"/>
    <row r="54820" s="76" customFormat="1" ht="21.95" customHeight="1" x14ac:dyDescent="0.15"/>
    <row r="54821" s="76" customFormat="1" ht="21.95" customHeight="1" x14ac:dyDescent="0.15"/>
    <row r="54822" s="76" customFormat="1" ht="21.95" customHeight="1" x14ac:dyDescent="0.15"/>
    <row r="54823" s="76" customFormat="1" ht="21.95" customHeight="1" x14ac:dyDescent="0.15"/>
    <row r="54824" s="76" customFormat="1" ht="21.95" customHeight="1" x14ac:dyDescent="0.15"/>
    <row r="54825" s="76" customFormat="1" ht="21.95" customHeight="1" x14ac:dyDescent="0.15"/>
    <row r="54826" s="76" customFormat="1" ht="21.95" customHeight="1" x14ac:dyDescent="0.15"/>
    <row r="54827" s="76" customFormat="1" ht="21.95" customHeight="1" x14ac:dyDescent="0.15"/>
    <row r="54828" s="76" customFormat="1" ht="21.95" customHeight="1" x14ac:dyDescent="0.15"/>
    <row r="54829" s="76" customFormat="1" ht="21.95" customHeight="1" x14ac:dyDescent="0.15"/>
    <row r="54830" s="76" customFormat="1" ht="21.95" customHeight="1" x14ac:dyDescent="0.15"/>
    <row r="54831" s="76" customFormat="1" ht="21.95" customHeight="1" x14ac:dyDescent="0.15"/>
    <row r="54832" s="76" customFormat="1" ht="21.95" customHeight="1" x14ac:dyDescent="0.15"/>
    <row r="54833" s="76" customFormat="1" ht="21.95" customHeight="1" x14ac:dyDescent="0.15"/>
    <row r="54834" s="76" customFormat="1" ht="21.95" customHeight="1" x14ac:dyDescent="0.15"/>
    <row r="54835" s="76" customFormat="1" ht="21.95" customHeight="1" x14ac:dyDescent="0.15"/>
    <row r="54836" s="76" customFormat="1" ht="21.95" customHeight="1" x14ac:dyDescent="0.15"/>
    <row r="54837" s="76" customFormat="1" ht="21.95" customHeight="1" x14ac:dyDescent="0.15"/>
    <row r="54838" s="76" customFormat="1" ht="21.95" customHeight="1" x14ac:dyDescent="0.15"/>
    <row r="54839" s="76" customFormat="1" ht="21.95" customHeight="1" x14ac:dyDescent="0.15"/>
    <row r="54840" s="76" customFormat="1" ht="21.95" customHeight="1" x14ac:dyDescent="0.15"/>
    <row r="54841" s="76" customFormat="1" ht="21.95" customHeight="1" x14ac:dyDescent="0.15"/>
    <row r="54842" s="76" customFormat="1" ht="21.95" customHeight="1" x14ac:dyDescent="0.15"/>
    <row r="54843" s="76" customFormat="1" ht="21.95" customHeight="1" x14ac:dyDescent="0.15"/>
    <row r="54844" s="76" customFormat="1" ht="21.95" customHeight="1" x14ac:dyDescent="0.15"/>
    <row r="54845" s="76" customFormat="1" ht="21.95" customHeight="1" x14ac:dyDescent="0.15"/>
    <row r="54846" s="76" customFormat="1" ht="21.95" customHeight="1" x14ac:dyDescent="0.15"/>
    <row r="54847" s="76" customFormat="1" ht="21.95" customHeight="1" x14ac:dyDescent="0.15"/>
    <row r="54848" s="76" customFormat="1" ht="21.95" customHeight="1" x14ac:dyDescent="0.15"/>
    <row r="54849" s="76" customFormat="1" ht="21.95" customHeight="1" x14ac:dyDescent="0.15"/>
    <row r="54850" s="76" customFormat="1" ht="21.95" customHeight="1" x14ac:dyDescent="0.15"/>
    <row r="54851" s="76" customFormat="1" ht="21.95" customHeight="1" x14ac:dyDescent="0.15"/>
    <row r="54852" s="76" customFormat="1" ht="21.95" customHeight="1" x14ac:dyDescent="0.15"/>
    <row r="54853" s="76" customFormat="1" ht="21.95" customHeight="1" x14ac:dyDescent="0.15"/>
    <row r="54854" s="76" customFormat="1" ht="21.95" customHeight="1" x14ac:dyDescent="0.15"/>
    <row r="54855" s="76" customFormat="1" ht="21.95" customHeight="1" x14ac:dyDescent="0.15"/>
    <row r="54856" s="76" customFormat="1" ht="21.95" customHeight="1" x14ac:dyDescent="0.15"/>
    <row r="54857" s="76" customFormat="1" ht="35.1" customHeight="1" x14ac:dyDescent="0.15"/>
    <row r="54858" s="76" customFormat="1" ht="21.95" customHeight="1" x14ac:dyDescent="0.15"/>
    <row r="54859" s="76" customFormat="1" ht="21.95" customHeight="1" x14ac:dyDescent="0.15"/>
    <row r="54860" s="76" customFormat="1" ht="21.95" customHeight="1" x14ac:dyDescent="0.15"/>
    <row r="54861" s="76" customFormat="1" ht="21.95" customHeight="1" x14ac:dyDescent="0.15"/>
    <row r="54862" s="76" customFormat="1" ht="21.95" customHeight="1" x14ac:dyDescent="0.15"/>
    <row r="54863" s="76" customFormat="1" ht="21.95" customHeight="1" x14ac:dyDescent="0.15"/>
    <row r="54864" s="76" customFormat="1" ht="21.95" customHeight="1" x14ac:dyDescent="0.15"/>
    <row r="54865" s="76" customFormat="1" ht="21.95" customHeight="1" x14ac:dyDescent="0.15"/>
    <row r="54866" s="76" customFormat="1" ht="21.95" customHeight="1" x14ac:dyDescent="0.15"/>
    <row r="54867" s="76" customFormat="1" ht="21.95" customHeight="1" x14ac:dyDescent="0.15"/>
    <row r="54868" s="76" customFormat="1" ht="21.95" customHeight="1" x14ac:dyDescent="0.15"/>
    <row r="54869" s="76" customFormat="1" ht="21.95" customHeight="1" x14ac:dyDescent="0.15"/>
    <row r="54870" s="76" customFormat="1" ht="21.95" customHeight="1" x14ac:dyDescent="0.15"/>
    <row r="54871" s="76" customFormat="1" ht="21.95" customHeight="1" x14ac:dyDescent="0.15"/>
    <row r="54872" s="76" customFormat="1" ht="21.95" customHeight="1" x14ac:dyDescent="0.15"/>
    <row r="54873" s="76" customFormat="1" ht="21.95" customHeight="1" x14ac:dyDescent="0.15"/>
    <row r="54874" s="76" customFormat="1" ht="21.95" customHeight="1" x14ac:dyDescent="0.15"/>
    <row r="54875" s="76" customFormat="1" ht="21.95" customHeight="1" x14ac:dyDescent="0.15"/>
    <row r="54876" s="76" customFormat="1" ht="21.95" customHeight="1" x14ac:dyDescent="0.15"/>
    <row r="54877" s="76" customFormat="1" ht="21.95" customHeight="1" x14ac:dyDescent="0.15"/>
    <row r="54878" s="76" customFormat="1" ht="21.95" customHeight="1" x14ac:dyDescent="0.15"/>
    <row r="54879" s="76" customFormat="1" ht="21.95" customHeight="1" x14ac:dyDescent="0.15"/>
    <row r="54880" s="76" customFormat="1" ht="21.95" customHeight="1" x14ac:dyDescent="0.15"/>
    <row r="54881" spans="3:3" customFormat="1" ht="21.95" customHeight="1" x14ac:dyDescent="0.15"/>
    <row r="54882" spans="3:3" customFormat="1" ht="21.95" customHeight="1" x14ac:dyDescent="0.15"/>
    <row r="54883" spans="3:3" customFormat="1" ht="21.95" customHeight="1" x14ac:dyDescent="0.15">
      <c r="C54883" s="94"/>
    </row>
    <row r="54884" spans="3:3" customFormat="1" ht="21.95" customHeight="1" x14ac:dyDescent="0.15">
      <c r="C54884" s="94"/>
    </row>
    <row r="54885" spans="3:3" customFormat="1" ht="21.95" customHeight="1" x14ac:dyDescent="0.15"/>
    <row r="54886" spans="3:3" customFormat="1" ht="21.95" customHeight="1" x14ac:dyDescent="0.15"/>
    <row r="54887" spans="3:3" customFormat="1" ht="21.95" customHeight="1" x14ac:dyDescent="0.15"/>
    <row r="54888" spans="3:3" customFormat="1" ht="21.95" customHeight="1" x14ac:dyDescent="0.15"/>
    <row r="54889" spans="3:3" customFormat="1" ht="21.95" customHeight="1" x14ac:dyDescent="0.15"/>
    <row r="54890" spans="3:3" customFormat="1" ht="21.95" customHeight="1" x14ac:dyDescent="0.15"/>
    <row r="54891" spans="3:3" customFormat="1" ht="21.95" customHeight="1" x14ac:dyDescent="0.15"/>
    <row r="54892" spans="3:3" s="76" customFormat="1" ht="21.95" customHeight="1" x14ac:dyDescent="0.15"/>
    <row r="54893" spans="3:3" s="76" customFormat="1" ht="21.95" customHeight="1" x14ac:dyDescent="0.15"/>
    <row r="54894" spans="3:3" s="76" customFormat="1" ht="21.95" customHeight="1" x14ac:dyDescent="0.15"/>
    <row r="54895" spans="3:3" s="76" customFormat="1" ht="21.95" customHeight="1" x14ac:dyDescent="0.15"/>
    <row r="54896" spans="3:3" customFormat="1" ht="21.95" customHeight="1" x14ac:dyDescent="0.15"/>
    <row r="54897" customFormat="1" ht="21.95" customHeight="1" x14ac:dyDescent="0.15"/>
    <row r="54898" customFormat="1" ht="21.95" customHeight="1" x14ac:dyDescent="0.15"/>
    <row r="54899" customFormat="1" ht="21.95" customHeight="1" x14ac:dyDescent="0.15"/>
    <row r="54900" customFormat="1" ht="21.95" customHeight="1" x14ac:dyDescent="0.15"/>
    <row r="54901" customFormat="1" ht="21.95" customHeight="1" x14ac:dyDescent="0.15"/>
    <row r="54902" customFormat="1" ht="21.95" customHeight="1" x14ac:dyDescent="0.15"/>
    <row r="54903" customFormat="1" ht="21.95" customHeight="1" x14ac:dyDescent="0.15"/>
    <row r="54904" customFormat="1" ht="21.95" customHeight="1" x14ac:dyDescent="0.15"/>
    <row r="54905" customFormat="1" ht="21.95" customHeight="1" x14ac:dyDescent="0.15"/>
    <row r="54906" customFormat="1" ht="21.95" customHeight="1" x14ac:dyDescent="0.15"/>
    <row r="54907" customFormat="1" ht="32.1" customHeight="1" x14ac:dyDescent="0.15"/>
    <row r="54908" customFormat="1" ht="32.1" customHeight="1" x14ac:dyDescent="0.15"/>
    <row r="54909" customFormat="1" ht="32.1" customHeight="1" x14ac:dyDescent="0.15"/>
    <row r="54910" customFormat="1" ht="32.1" customHeight="1" x14ac:dyDescent="0.15"/>
    <row r="54911" customFormat="1" ht="32.1" customHeight="1" x14ac:dyDescent="0.15"/>
    <row r="54912" customFormat="1" ht="32.1" customHeight="1" x14ac:dyDescent="0.15"/>
    <row r="54913" s="76" customFormat="1" ht="32.1" customHeight="1" x14ac:dyDescent="0.15"/>
    <row r="54914" s="76" customFormat="1" ht="32.1" customHeight="1" x14ac:dyDescent="0.15"/>
    <row r="54915" s="76" customFormat="1" ht="32.1" customHeight="1" x14ac:dyDescent="0.15"/>
    <row r="54916" s="76" customFormat="1" ht="32.1" customHeight="1" x14ac:dyDescent="0.15"/>
    <row r="54917" s="76" customFormat="1" ht="21.95" customHeight="1" x14ac:dyDescent="0.15"/>
    <row r="54918" s="76" customFormat="1" ht="54" customHeight="1" x14ac:dyDescent="0.15"/>
    <row r="54919" s="76" customFormat="1" ht="21.95" customHeight="1" x14ac:dyDescent="0.15"/>
    <row r="54920" s="76" customFormat="1" ht="21.95" customHeight="1" x14ac:dyDescent="0.15"/>
    <row r="54921" s="76" customFormat="1" ht="21.95" customHeight="1" x14ac:dyDescent="0.15"/>
    <row r="54922" s="76" customFormat="1" ht="21.95" customHeight="1" x14ac:dyDescent="0.15"/>
    <row r="54923" s="76" customFormat="1" ht="21.95" customHeight="1" x14ac:dyDescent="0.15"/>
    <row r="54924" s="76" customFormat="1" ht="21.95" customHeight="1" x14ac:dyDescent="0.15"/>
    <row r="54925" s="76" customFormat="1" ht="21.95" customHeight="1" x14ac:dyDescent="0.15"/>
    <row r="54926" s="76" customFormat="1" ht="21.95" customHeight="1" x14ac:dyDescent="0.15"/>
    <row r="54927" s="76" customFormat="1" ht="21.95" customHeight="1" x14ac:dyDescent="0.15"/>
    <row r="54928" s="76" customFormat="1" ht="21.95" customHeight="1" x14ac:dyDescent="0.15"/>
    <row r="54929" s="76" customFormat="1" ht="21.95" customHeight="1" x14ac:dyDescent="0.15"/>
    <row r="54930" s="76" customFormat="1" ht="21.95" customHeight="1" x14ac:dyDescent="0.15"/>
    <row r="54931" s="76" customFormat="1" ht="21.95" customHeight="1" x14ac:dyDescent="0.15"/>
    <row r="54932" s="76" customFormat="1" ht="21.95" customHeight="1" x14ac:dyDescent="0.15"/>
    <row r="54933" s="76" customFormat="1" ht="21.95" customHeight="1" x14ac:dyDescent="0.15"/>
    <row r="54934" s="76" customFormat="1" ht="21.95" customHeight="1" x14ac:dyDescent="0.15"/>
    <row r="54935" s="76" customFormat="1" ht="21.95" customHeight="1" x14ac:dyDescent="0.15"/>
    <row r="54936" s="76" customFormat="1" ht="21.95" customHeight="1" x14ac:dyDescent="0.15"/>
    <row r="54937" s="76" customFormat="1" ht="21.95" customHeight="1" x14ac:dyDescent="0.15"/>
    <row r="54938" s="76" customFormat="1" ht="21.95" customHeight="1" x14ac:dyDescent="0.15"/>
    <row r="54939" s="76" customFormat="1" ht="21.95" customHeight="1" x14ac:dyDescent="0.15"/>
    <row r="54940" s="76" customFormat="1" ht="21.95" customHeight="1" x14ac:dyDescent="0.15"/>
    <row r="54941" s="76" customFormat="1" ht="21.95" customHeight="1" x14ac:dyDescent="0.15"/>
    <row r="54942" s="76" customFormat="1" ht="21.95" customHeight="1" x14ac:dyDescent="0.15"/>
    <row r="54943" s="76" customFormat="1" ht="21.95" customHeight="1" x14ac:dyDescent="0.15"/>
    <row r="54944" s="76" customFormat="1" ht="21.95" customHeight="1" x14ac:dyDescent="0.15"/>
    <row r="54945" s="76" customFormat="1" ht="21.95" customHeight="1" x14ac:dyDescent="0.15"/>
    <row r="54946" s="76" customFormat="1" ht="21.95" customHeight="1" x14ac:dyDescent="0.15"/>
    <row r="54947" s="76" customFormat="1" ht="21.95" customHeight="1" x14ac:dyDescent="0.15"/>
    <row r="54948" s="76" customFormat="1" ht="21.95" customHeight="1" x14ac:dyDescent="0.15"/>
    <row r="54949" s="76" customFormat="1" ht="21.95" customHeight="1" x14ac:dyDescent="0.15"/>
    <row r="54950" s="76" customFormat="1" ht="21.95" customHeight="1" x14ac:dyDescent="0.15"/>
    <row r="54951" s="76" customFormat="1" ht="21.95" customHeight="1" x14ac:dyDescent="0.15"/>
    <row r="54952" s="76" customFormat="1" ht="21.95" customHeight="1" x14ac:dyDescent="0.15"/>
    <row r="54953" s="76" customFormat="1" ht="21.95" customHeight="1" x14ac:dyDescent="0.15"/>
    <row r="54954" s="76" customFormat="1" ht="21.95" customHeight="1" x14ac:dyDescent="0.15"/>
    <row r="54955" s="76" customFormat="1" ht="21.95" customHeight="1" x14ac:dyDescent="0.15"/>
    <row r="54956" s="76" customFormat="1" ht="21.95" customHeight="1" x14ac:dyDescent="0.15"/>
    <row r="54957" s="76" customFormat="1" ht="21.95" customHeight="1" x14ac:dyDescent="0.15"/>
    <row r="54958" s="76" customFormat="1" ht="21.95" customHeight="1" x14ac:dyDescent="0.15"/>
    <row r="54959" s="76" customFormat="1" ht="21.95" customHeight="1" x14ac:dyDescent="0.15"/>
    <row r="54960" s="76" customFormat="1" ht="21.95" customHeight="1" x14ac:dyDescent="0.15"/>
    <row r="54961" s="76" customFormat="1" ht="21.95" customHeight="1" x14ac:dyDescent="0.15"/>
    <row r="54962" s="76" customFormat="1" ht="21.95" customHeight="1" x14ac:dyDescent="0.15"/>
    <row r="54963" s="76" customFormat="1" ht="21.95" customHeight="1" x14ac:dyDescent="0.15"/>
    <row r="54964" s="76" customFormat="1" ht="21.95" customHeight="1" x14ac:dyDescent="0.15"/>
    <row r="54965" s="76" customFormat="1" ht="21.95" customHeight="1" x14ac:dyDescent="0.15"/>
    <row r="54966" s="76" customFormat="1" ht="21.95" customHeight="1" x14ac:dyDescent="0.15"/>
    <row r="54967" s="76" customFormat="1" ht="21.95" customHeight="1" x14ac:dyDescent="0.15"/>
    <row r="54968" s="76" customFormat="1" ht="21.95" customHeight="1" x14ac:dyDescent="0.15"/>
    <row r="54969" s="76" customFormat="1" ht="35.1" customHeight="1" x14ac:dyDescent="0.15"/>
    <row r="54970" s="76" customFormat="1" ht="21.95" customHeight="1" x14ac:dyDescent="0.15"/>
    <row r="54971" s="76" customFormat="1" ht="21.95" customHeight="1" x14ac:dyDescent="0.15"/>
    <row r="54972" s="76" customFormat="1" ht="21.95" customHeight="1" x14ac:dyDescent="0.15"/>
    <row r="54973" s="76" customFormat="1" ht="21.95" customHeight="1" x14ac:dyDescent="0.15"/>
    <row r="54974" s="76" customFormat="1" ht="21.95" customHeight="1" x14ac:dyDescent="0.15"/>
    <row r="54975" s="76" customFormat="1" ht="21.95" customHeight="1" x14ac:dyDescent="0.15"/>
    <row r="54976" s="76" customFormat="1" ht="21.95" customHeight="1" x14ac:dyDescent="0.15"/>
    <row r="54977" s="76" customFormat="1" ht="21.95" customHeight="1" x14ac:dyDescent="0.15"/>
    <row r="54978" s="76" customFormat="1" ht="21.95" customHeight="1" x14ac:dyDescent="0.15"/>
    <row r="54979" s="76" customFormat="1" ht="21.95" customHeight="1" x14ac:dyDescent="0.15"/>
    <row r="54980" s="76" customFormat="1" ht="21.95" customHeight="1" x14ac:dyDescent="0.15"/>
    <row r="54981" s="76" customFormat="1" ht="21.95" customHeight="1" x14ac:dyDescent="0.15"/>
    <row r="54982" s="76" customFormat="1" ht="21.95" customHeight="1" x14ac:dyDescent="0.15"/>
    <row r="54983" s="76" customFormat="1" ht="21.95" customHeight="1" x14ac:dyDescent="0.15"/>
    <row r="54984" s="76" customFormat="1" ht="21.95" customHeight="1" x14ac:dyDescent="0.15"/>
    <row r="54985" s="76" customFormat="1" ht="21.95" customHeight="1" x14ac:dyDescent="0.15"/>
    <row r="54986" s="76" customFormat="1" ht="21.95" customHeight="1" x14ac:dyDescent="0.15"/>
    <row r="54987" s="76" customFormat="1" ht="21.95" customHeight="1" x14ac:dyDescent="0.15"/>
    <row r="54988" s="76" customFormat="1" ht="21.95" customHeight="1" x14ac:dyDescent="0.15"/>
    <row r="54989" s="76" customFormat="1" ht="21.95" customHeight="1" x14ac:dyDescent="0.15"/>
    <row r="54990" s="76" customFormat="1" ht="21.95" customHeight="1" x14ac:dyDescent="0.15"/>
    <row r="54991" s="76" customFormat="1" ht="21.95" customHeight="1" x14ac:dyDescent="0.15"/>
    <row r="54992" s="76" customFormat="1" ht="21.95" customHeight="1" x14ac:dyDescent="0.15"/>
    <row r="54993" spans="3:3" customFormat="1" ht="21.95" customHeight="1" x14ac:dyDescent="0.15"/>
    <row r="54994" spans="3:3" customFormat="1" ht="21.95" customHeight="1" x14ac:dyDescent="0.15"/>
    <row r="54995" spans="3:3" customFormat="1" ht="21.95" customHeight="1" x14ac:dyDescent="0.15">
      <c r="C54995" s="94"/>
    </row>
    <row r="54996" spans="3:3" customFormat="1" ht="21.95" customHeight="1" x14ac:dyDescent="0.15">
      <c r="C54996" s="94"/>
    </row>
    <row r="54997" spans="3:3" customFormat="1" ht="21.95" customHeight="1" x14ac:dyDescent="0.15"/>
    <row r="54998" spans="3:3" customFormat="1" ht="21.95" customHeight="1" x14ac:dyDescent="0.15"/>
    <row r="54999" spans="3:3" customFormat="1" ht="21.95" customHeight="1" x14ac:dyDescent="0.15"/>
    <row r="55000" spans="3:3" customFormat="1" ht="21.95" customHeight="1" x14ac:dyDescent="0.15"/>
    <row r="55001" spans="3:3" customFormat="1" ht="21.95" customHeight="1" x14ac:dyDescent="0.15"/>
    <row r="55002" spans="3:3" customFormat="1" ht="21.95" customHeight="1" x14ac:dyDescent="0.15"/>
    <row r="55003" spans="3:3" customFormat="1" ht="21.95" customHeight="1" x14ac:dyDescent="0.15"/>
    <row r="55004" spans="3:3" s="76" customFormat="1" ht="21.95" customHeight="1" x14ac:dyDescent="0.15"/>
    <row r="55005" spans="3:3" s="76" customFormat="1" ht="21.95" customHeight="1" x14ac:dyDescent="0.15"/>
    <row r="55006" spans="3:3" s="76" customFormat="1" ht="21.95" customHeight="1" x14ac:dyDescent="0.15"/>
    <row r="55007" spans="3:3" s="76" customFormat="1" ht="21.95" customHeight="1" x14ac:dyDescent="0.15"/>
    <row r="55008" spans="3:3" customFormat="1" ht="21.95" customHeight="1" x14ac:dyDescent="0.15"/>
    <row r="55009" customFormat="1" ht="21.95" customHeight="1" x14ac:dyDescent="0.15"/>
    <row r="55010" customFormat="1" ht="21.95" customHeight="1" x14ac:dyDescent="0.15"/>
    <row r="55011" customFormat="1" ht="21.95" customHeight="1" x14ac:dyDescent="0.15"/>
    <row r="55012" customFormat="1" ht="21.95" customHeight="1" x14ac:dyDescent="0.15"/>
    <row r="55013" customFormat="1" ht="21.95" customHeight="1" x14ac:dyDescent="0.15"/>
    <row r="55014" customFormat="1" ht="21.95" customHeight="1" x14ac:dyDescent="0.15"/>
    <row r="55015" customFormat="1" ht="21.95" customHeight="1" x14ac:dyDescent="0.15"/>
    <row r="55016" customFormat="1" ht="21.95" customHeight="1" x14ac:dyDescent="0.15"/>
    <row r="55017" customFormat="1" ht="21.95" customHeight="1" x14ac:dyDescent="0.15"/>
    <row r="55018" customFormat="1" ht="21.95" customHeight="1" x14ac:dyDescent="0.15"/>
    <row r="55019" customFormat="1" ht="32.1" customHeight="1" x14ac:dyDescent="0.15"/>
    <row r="55020" customFormat="1" ht="32.1" customHeight="1" x14ac:dyDescent="0.15"/>
    <row r="55021" customFormat="1" ht="32.1" customHeight="1" x14ac:dyDescent="0.15"/>
    <row r="55022" customFormat="1" ht="32.1" customHeight="1" x14ac:dyDescent="0.15"/>
    <row r="55023" customFormat="1" ht="32.1" customHeight="1" x14ac:dyDescent="0.15"/>
    <row r="55024" customFormat="1" ht="32.1" customHeight="1" x14ac:dyDescent="0.15"/>
    <row r="55025" s="76" customFormat="1" ht="32.1" customHeight="1" x14ac:dyDescent="0.15"/>
    <row r="55026" s="76" customFormat="1" ht="32.1" customHeight="1" x14ac:dyDescent="0.15"/>
    <row r="55027" s="76" customFormat="1" ht="32.1" customHeight="1" x14ac:dyDescent="0.15"/>
    <row r="55028" s="76" customFormat="1" ht="32.1" customHeight="1" x14ac:dyDescent="0.15"/>
    <row r="55029" s="76" customFormat="1" ht="21.95" customHeight="1" x14ac:dyDescent="0.15"/>
    <row r="55030" s="76" customFormat="1" ht="54" customHeight="1" x14ac:dyDescent="0.15"/>
    <row r="55031" s="76" customFormat="1" ht="21.95" customHeight="1" x14ac:dyDescent="0.15"/>
    <row r="55032" s="76" customFormat="1" ht="21.95" customHeight="1" x14ac:dyDescent="0.15"/>
    <row r="55033" s="76" customFormat="1" ht="21.95" customHeight="1" x14ac:dyDescent="0.15"/>
    <row r="55034" s="76" customFormat="1" ht="21.95" customHeight="1" x14ac:dyDescent="0.15"/>
    <row r="55035" s="76" customFormat="1" ht="21.95" customHeight="1" x14ac:dyDescent="0.15"/>
    <row r="55036" s="76" customFormat="1" ht="21.95" customHeight="1" x14ac:dyDescent="0.15"/>
    <row r="55037" s="76" customFormat="1" ht="21.95" customHeight="1" x14ac:dyDescent="0.15"/>
    <row r="55038" s="76" customFormat="1" ht="21.95" customHeight="1" x14ac:dyDescent="0.15"/>
    <row r="55039" s="76" customFormat="1" ht="21.95" customHeight="1" x14ac:dyDescent="0.15"/>
    <row r="55040" s="76" customFormat="1" ht="21.95" customHeight="1" x14ac:dyDescent="0.15"/>
    <row r="55041" s="76" customFormat="1" ht="21.95" customHeight="1" x14ac:dyDescent="0.15"/>
    <row r="55042" s="76" customFormat="1" ht="21.95" customHeight="1" x14ac:dyDescent="0.15"/>
    <row r="55043" s="76" customFormat="1" ht="21.95" customHeight="1" x14ac:dyDescent="0.15"/>
    <row r="55044" s="76" customFormat="1" ht="21.95" customHeight="1" x14ac:dyDescent="0.15"/>
    <row r="55045" s="76" customFormat="1" ht="21.95" customHeight="1" x14ac:dyDescent="0.15"/>
    <row r="55046" s="76" customFormat="1" ht="21.95" customHeight="1" x14ac:dyDescent="0.15"/>
    <row r="55047" s="76" customFormat="1" ht="21.95" customHeight="1" x14ac:dyDescent="0.15"/>
    <row r="55048" s="76" customFormat="1" ht="21.95" customHeight="1" x14ac:dyDescent="0.15"/>
    <row r="55049" s="76" customFormat="1" ht="21.95" customHeight="1" x14ac:dyDescent="0.15"/>
    <row r="55050" s="76" customFormat="1" ht="21.95" customHeight="1" x14ac:dyDescent="0.15"/>
    <row r="55051" s="76" customFormat="1" ht="21.95" customHeight="1" x14ac:dyDescent="0.15"/>
    <row r="55052" s="76" customFormat="1" ht="21.95" customHeight="1" x14ac:dyDescent="0.15"/>
    <row r="55053" s="76" customFormat="1" ht="21.95" customHeight="1" x14ac:dyDescent="0.15"/>
    <row r="55054" s="76" customFormat="1" ht="21.95" customHeight="1" x14ac:dyDescent="0.15"/>
    <row r="55055" s="76" customFormat="1" ht="21.95" customHeight="1" x14ac:dyDescent="0.15"/>
    <row r="55056" s="76" customFormat="1" ht="21.95" customHeight="1" x14ac:dyDescent="0.15"/>
    <row r="55057" s="76" customFormat="1" ht="21.95" customHeight="1" x14ac:dyDescent="0.15"/>
    <row r="55058" s="76" customFormat="1" ht="21.95" customHeight="1" x14ac:dyDescent="0.15"/>
    <row r="55059" s="76" customFormat="1" ht="21.95" customHeight="1" x14ac:dyDescent="0.15"/>
    <row r="55060" s="76" customFormat="1" ht="21.95" customHeight="1" x14ac:dyDescent="0.15"/>
    <row r="55061" s="76" customFormat="1" ht="21.95" customHeight="1" x14ac:dyDescent="0.15"/>
    <row r="55062" s="76" customFormat="1" ht="21.95" customHeight="1" x14ac:dyDescent="0.15"/>
    <row r="55063" s="76" customFormat="1" ht="21.95" customHeight="1" x14ac:dyDescent="0.15"/>
    <row r="55064" s="76" customFormat="1" ht="21.95" customHeight="1" x14ac:dyDescent="0.15"/>
    <row r="55065" s="76" customFormat="1" ht="21.95" customHeight="1" x14ac:dyDescent="0.15"/>
    <row r="55066" s="76" customFormat="1" ht="21.95" customHeight="1" x14ac:dyDescent="0.15"/>
    <row r="55067" s="76" customFormat="1" ht="21.95" customHeight="1" x14ac:dyDescent="0.15"/>
    <row r="55068" s="76" customFormat="1" ht="21.95" customHeight="1" x14ac:dyDescent="0.15"/>
    <row r="55069" s="76" customFormat="1" ht="21.95" customHeight="1" x14ac:dyDescent="0.15"/>
    <row r="55070" s="76" customFormat="1" ht="21.95" customHeight="1" x14ac:dyDescent="0.15"/>
    <row r="55071" s="76" customFormat="1" ht="21.95" customHeight="1" x14ac:dyDescent="0.15"/>
    <row r="55072" s="76" customFormat="1" ht="21.95" customHeight="1" x14ac:dyDescent="0.15"/>
    <row r="55073" s="76" customFormat="1" ht="21.95" customHeight="1" x14ac:dyDescent="0.15"/>
    <row r="55074" s="76" customFormat="1" ht="21.95" customHeight="1" x14ac:dyDescent="0.15"/>
    <row r="55075" s="76" customFormat="1" ht="21.95" customHeight="1" x14ac:dyDescent="0.15"/>
    <row r="55076" s="76" customFormat="1" ht="21.95" customHeight="1" x14ac:dyDescent="0.15"/>
    <row r="55077" s="76" customFormat="1" ht="21.95" customHeight="1" x14ac:dyDescent="0.15"/>
    <row r="55078" s="76" customFormat="1" ht="21.95" customHeight="1" x14ac:dyDescent="0.15"/>
    <row r="55079" s="76" customFormat="1" ht="21.95" customHeight="1" x14ac:dyDescent="0.15"/>
    <row r="55080" s="76" customFormat="1" ht="21.95" customHeight="1" x14ac:dyDescent="0.15"/>
    <row r="55081" s="76" customFormat="1" ht="35.1" customHeight="1" x14ac:dyDescent="0.15"/>
    <row r="55082" s="76" customFormat="1" ht="21.95" customHeight="1" x14ac:dyDescent="0.15"/>
    <row r="55083" s="76" customFormat="1" ht="21.95" customHeight="1" x14ac:dyDescent="0.15"/>
    <row r="55084" s="76" customFormat="1" ht="21.95" customHeight="1" x14ac:dyDescent="0.15"/>
    <row r="55085" s="76" customFormat="1" ht="21.95" customHeight="1" x14ac:dyDescent="0.15"/>
    <row r="55086" s="76" customFormat="1" ht="21.95" customHeight="1" x14ac:dyDescent="0.15"/>
    <row r="55087" s="76" customFormat="1" ht="21.95" customHeight="1" x14ac:dyDescent="0.15"/>
    <row r="55088" s="76" customFormat="1" ht="21.95" customHeight="1" x14ac:dyDescent="0.15"/>
    <row r="55089" s="76" customFormat="1" ht="21.95" customHeight="1" x14ac:dyDescent="0.15"/>
    <row r="55090" s="76" customFormat="1" ht="21.95" customHeight="1" x14ac:dyDescent="0.15"/>
    <row r="55091" s="76" customFormat="1" ht="21.95" customHeight="1" x14ac:dyDescent="0.15"/>
    <row r="55092" s="76" customFormat="1" ht="21.95" customHeight="1" x14ac:dyDescent="0.15"/>
    <row r="55093" s="76" customFormat="1" ht="21.95" customHeight="1" x14ac:dyDescent="0.15"/>
    <row r="55094" s="76" customFormat="1" ht="21.95" customHeight="1" x14ac:dyDescent="0.15"/>
    <row r="55095" s="76" customFormat="1" ht="21.95" customHeight="1" x14ac:dyDescent="0.15"/>
    <row r="55096" s="76" customFormat="1" ht="21.95" customHeight="1" x14ac:dyDescent="0.15"/>
    <row r="55097" s="76" customFormat="1" ht="21.95" customHeight="1" x14ac:dyDescent="0.15"/>
    <row r="55098" s="76" customFormat="1" ht="21.95" customHeight="1" x14ac:dyDescent="0.15"/>
    <row r="55099" s="76" customFormat="1" ht="21.95" customHeight="1" x14ac:dyDescent="0.15"/>
    <row r="55100" s="76" customFormat="1" ht="21.95" customHeight="1" x14ac:dyDescent="0.15"/>
    <row r="55101" s="76" customFormat="1" ht="21.95" customHeight="1" x14ac:dyDescent="0.15"/>
    <row r="55102" s="76" customFormat="1" ht="21.95" customHeight="1" x14ac:dyDescent="0.15"/>
    <row r="55103" s="76" customFormat="1" ht="21.95" customHeight="1" x14ac:dyDescent="0.15"/>
    <row r="55104" s="76" customFormat="1" ht="21.95" customHeight="1" x14ac:dyDescent="0.15"/>
    <row r="55105" spans="3:3" customFormat="1" ht="21.95" customHeight="1" x14ac:dyDescent="0.15"/>
    <row r="55106" spans="3:3" customFormat="1" ht="21.95" customHeight="1" x14ac:dyDescent="0.15"/>
    <row r="55107" spans="3:3" customFormat="1" ht="21.95" customHeight="1" x14ac:dyDescent="0.15">
      <c r="C55107" s="94"/>
    </row>
    <row r="55108" spans="3:3" customFormat="1" ht="21.95" customHeight="1" x14ac:dyDescent="0.15">
      <c r="C55108" s="94"/>
    </row>
    <row r="55109" spans="3:3" customFormat="1" ht="21.95" customHeight="1" x14ac:dyDescent="0.15"/>
    <row r="55110" spans="3:3" customFormat="1" ht="21.95" customHeight="1" x14ac:dyDescent="0.15"/>
    <row r="55111" spans="3:3" customFormat="1" ht="21.95" customHeight="1" x14ac:dyDescent="0.15"/>
    <row r="55112" spans="3:3" customFormat="1" ht="21.95" customHeight="1" x14ac:dyDescent="0.15"/>
    <row r="55113" spans="3:3" customFormat="1" ht="21.95" customHeight="1" x14ac:dyDescent="0.15"/>
    <row r="55114" spans="3:3" customFormat="1" ht="21.95" customHeight="1" x14ac:dyDescent="0.15"/>
    <row r="55115" spans="3:3" customFormat="1" ht="21.95" customHeight="1" x14ac:dyDescent="0.15"/>
    <row r="55116" spans="3:3" s="76" customFormat="1" ht="21.95" customHeight="1" x14ac:dyDescent="0.15"/>
    <row r="55117" spans="3:3" s="76" customFormat="1" ht="21.95" customHeight="1" x14ac:dyDescent="0.15"/>
    <row r="55118" spans="3:3" s="76" customFormat="1" ht="21.95" customHeight="1" x14ac:dyDescent="0.15"/>
    <row r="55119" spans="3:3" s="76" customFormat="1" ht="21.95" customHeight="1" x14ac:dyDescent="0.15"/>
    <row r="55120" spans="3:3" customFormat="1" ht="21.95" customHeight="1" x14ac:dyDescent="0.15"/>
    <row r="55121" customFormat="1" ht="21.95" customHeight="1" x14ac:dyDescent="0.15"/>
    <row r="55122" customFormat="1" ht="21.95" customHeight="1" x14ac:dyDescent="0.15"/>
    <row r="55123" customFormat="1" ht="21.95" customHeight="1" x14ac:dyDescent="0.15"/>
    <row r="55124" customFormat="1" ht="21.95" customHeight="1" x14ac:dyDescent="0.15"/>
    <row r="55125" customFormat="1" ht="21.95" customHeight="1" x14ac:dyDescent="0.15"/>
    <row r="55126" customFormat="1" ht="21.95" customHeight="1" x14ac:dyDescent="0.15"/>
    <row r="55127" customFormat="1" ht="21.95" customHeight="1" x14ac:dyDescent="0.15"/>
    <row r="55128" customFormat="1" ht="21.95" customHeight="1" x14ac:dyDescent="0.15"/>
    <row r="55129" customFormat="1" ht="21.95" customHeight="1" x14ac:dyDescent="0.15"/>
    <row r="55130" customFormat="1" ht="21.95" customHeight="1" x14ac:dyDescent="0.15"/>
    <row r="55131" customFormat="1" ht="32.1" customHeight="1" x14ac:dyDescent="0.15"/>
    <row r="55132" customFormat="1" ht="32.1" customHeight="1" x14ac:dyDescent="0.15"/>
    <row r="55133" customFormat="1" ht="32.1" customHeight="1" x14ac:dyDescent="0.15"/>
    <row r="55134" customFormat="1" ht="32.1" customHeight="1" x14ac:dyDescent="0.15"/>
    <row r="55135" customFormat="1" ht="32.1" customHeight="1" x14ac:dyDescent="0.15"/>
    <row r="55136" customFormat="1" ht="32.1" customHeight="1" x14ac:dyDescent="0.15"/>
    <row r="55137" s="76" customFormat="1" ht="32.1" customHeight="1" x14ac:dyDescent="0.15"/>
    <row r="55138" s="76" customFormat="1" ht="32.1" customHeight="1" x14ac:dyDescent="0.15"/>
    <row r="55139" s="76" customFormat="1" ht="32.1" customHeight="1" x14ac:dyDescent="0.15"/>
    <row r="55140" s="76" customFormat="1" ht="32.1" customHeight="1" x14ac:dyDescent="0.15"/>
    <row r="55141" s="76" customFormat="1" ht="21.95" customHeight="1" x14ac:dyDescent="0.15"/>
    <row r="55142" s="76" customFormat="1" ht="54" customHeight="1" x14ac:dyDescent="0.15"/>
    <row r="55143" s="76" customFormat="1" ht="21.95" customHeight="1" x14ac:dyDescent="0.15"/>
    <row r="55144" s="76" customFormat="1" ht="21.95" customHeight="1" x14ac:dyDescent="0.15"/>
    <row r="55145" s="76" customFormat="1" ht="21.95" customHeight="1" x14ac:dyDescent="0.15"/>
    <row r="55146" s="76" customFormat="1" ht="21.95" customHeight="1" x14ac:dyDescent="0.15"/>
    <row r="55147" s="76" customFormat="1" ht="21.95" customHeight="1" x14ac:dyDescent="0.15"/>
    <row r="55148" s="76" customFormat="1" ht="21.95" customHeight="1" x14ac:dyDescent="0.15"/>
    <row r="55149" s="76" customFormat="1" ht="21.95" customHeight="1" x14ac:dyDescent="0.15"/>
    <row r="55150" s="76" customFormat="1" ht="21.95" customHeight="1" x14ac:dyDescent="0.15"/>
    <row r="55151" s="76" customFormat="1" ht="21.95" customHeight="1" x14ac:dyDescent="0.15"/>
    <row r="55152" s="76" customFormat="1" ht="21.95" customHeight="1" x14ac:dyDescent="0.15"/>
    <row r="55153" s="76" customFormat="1" ht="21.95" customHeight="1" x14ac:dyDescent="0.15"/>
    <row r="55154" s="76" customFormat="1" ht="21.95" customHeight="1" x14ac:dyDescent="0.15"/>
    <row r="55155" s="76" customFormat="1" ht="21.95" customHeight="1" x14ac:dyDescent="0.15"/>
    <row r="55156" s="76" customFormat="1" ht="21.95" customHeight="1" x14ac:dyDescent="0.15"/>
    <row r="55157" s="76" customFormat="1" ht="21.95" customHeight="1" x14ac:dyDescent="0.15"/>
    <row r="55158" s="76" customFormat="1" ht="21.95" customHeight="1" x14ac:dyDescent="0.15"/>
    <row r="55159" s="76" customFormat="1" ht="21.95" customHeight="1" x14ac:dyDescent="0.15"/>
    <row r="55160" s="76" customFormat="1" ht="21.95" customHeight="1" x14ac:dyDescent="0.15"/>
    <row r="55161" s="76" customFormat="1" ht="21.95" customHeight="1" x14ac:dyDescent="0.15"/>
    <row r="55162" s="76" customFormat="1" ht="21.95" customHeight="1" x14ac:dyDescent="0.15"/>
    <row r="55163" s="76" customFormat="1" ht="21.95" customHeight="1" x14ac:dyDescent="0.15"/>
    <row r="55164" s="76" customFormat="1" ht="21.95" customHeight="1" x14ac:dyDescent="0.15"/>
    <row r="55165" s="76" customFormat="1" ht="21.95" customHeight="1" x14ac:dyDescent="0.15"/>
    <row r="55166" s="76" customFormat="1" ht="21.95" customHeight="1" x14ac:dyDescent="0.15"/>
    <row r="55167" s="76" customFormat="1" ht="21.95" customHeight="1" x14ac:dyDescent="0.15"/>
    <row r="55168" s="76" customFormat="1" ht="21.95" customHeight="1" x14ac:dyDescent="0.15"/>
    <row r="55169" s="76" customFormat="1" ht="21.95" customHeight="1" x14ac:dyDescent="0.15"/>
    <row r="55170" s="76" customFormat="1" ht="21.95" customHeight="1" x14ac:dyDescent="0.15"/>
    <row r="55171" s="76" customFormat="1" ht="21.95" customHeight="1" x14ac:dyDescent="0.15"/>
    <row r="55172" s="76" customFormat="1" ht="21.95" customHeight="1" x14ac:dyDescent="0.15"/>
    <row r="55173" s="76" customFormat="1" ht="21.95" customHeight="1" x14ac:dyDescent="0.15"/>
    <row r="55174" s="76" customFormat="1" ht="21.95" customHeight="1" x14ac:dyDescent="0.15"/>
    <row r="55175" s="76" customFormat="1" ht="21.95" customHeight="1" x14ac:dyDescent="0.15"/>
    <row r="55176" s="76" customFormat="1" ht="21.95" customHeight="1" x14ac:dyDescent="0.15"/>
    <row r="55177" s="76" customFormat="1" ht="21.95" customHeight="1" x14ac:dyDescent="0.15"/>
    <row r="55178" s="76" customFormat="1" ht="21.95" customHeight="1" x14ac:dyDescent="0.15"/>
    <row r="55179" s="76" customFormat="1" ht="21.95" customHeight="1" x14ac:dyDescent="0.15"/>
    <row r="55180" s="76" customFormat="1" ht="21.95" customHeight="1" x14ac:dyDescent="0.15"/>
    <row r="55181" s="76" customFormat="1" ht="21.95" customHeight="1" x14ac:dyDescent="0.15"/>
    <row r="55182" s="76" customFormat="1" ht="21.95" customHeight="1" x14ac:dyDescent="0.15"/>
    <row r="55183" s="76" customFormat="1" ht="21.95" customHeight="1" x14ac:dyDescent="0.15"/>
    <row r="55184" s="76" customFormat="1" ht="21.95" customHeight="1" x14ac:dyDescent="0.15"/>
    <row r="55185" s="76" customFormat="1" ht="21.95" customHeight="1" x14ac:dyDescent="0.15"/>
    <row r="55186" s="76" customFormat="1" ht="21.95" customHeight="1" x14ac:dyDescent="0.15"/>
    <row r="55187" s="76" customFormat="1" ht="21.95" customHeight="1" x14ac:dyDescent="0.15"/>
    <row r="55188" s="76" customFormat="1" ht="21.95" customHeight="1" x14ac:dyDescent="0.15"/>
    <row r="55189" s="76" customFormat="1" ht="21.95" customHeight="1" x14ac:dyDescent="0.15"/>
    <row r="55190" s="76" customFormat="1" ht="21.95" customHeight="1" x14ac:dyDescent="0.15"/>
    <row r="55191" s="76" customFormat="1" ht="21.95" customHeight="1" x14ac:dyDescent="0.15"/>
    <row r="55192" s="76" customFormat="1" ht="21.95" customHeight="1" x14ac:dyDescent="0.15"/>
    <row r="55193" s="76" customFormat="1" ht="35.1" customHeight="1" x14ac:dyDescent="0.15"/>
    <row r="55194" s="76" customFormat="1" ht="21.95" customHeight="1" x14ac:dyDescent="0.15"/>
    <row r="55195" s="76" customFormat="1" ht="21.95" customHeight="1" x14ac:dyDescent="0.15"/>
    <row r="55196" s="76" customFormat="1" ht="21.95" customHeight="1" x14ac:dyDescent="0.15"/>
    <row r="55197" s="76" customFormat="1" ht="21.95" customHeight="1" x14ac:dyDescent="0.15"/>
    <row r="55198" s="76" customFormat="1" ht="21.95" customHeight="1" x14ac:dyDescent="0.15"/>
    <row r="55199" s="76" customFormat="1" ht="21.95" customHeight="1" x14ac:dyDescent="0.15"/>
    <row r="55200" s="76" customFormat="1" ht="21.95" customHeight="1" x14ac:dyDescent="0.15"/>
    <row r="55201" s="76" customFormat="1" ht="21.95" customHeight="1" x14ac:dyDescent="0.15"/>
    <row r="55202" s="76" customFormat="1" ht="21.95" customHeight="1" x14ac:dyDescent="0.15"/>
    <row r="55203" s="76" customFormat="1" ht="21.95" customHeight="1" x14ac:dyDescent="0.15"/>
    <row r="55204" s="76" customFormat="1" ht="21.95" customHeight="1" x14ac:dyDescent="0.15"/>
    <row r="55205" s="76" customFormat="1" ht="21.95" customHeight="1" x14ac:dyDescent="0.15"/>
    <row r="55206" s="76" customFormat="1" ht="21.95" customHeight="1" x14ac:dyDescent="0.15"/>
    <row r="55207" s="76" customFormat="1" ht="21.95" customHeight="1" x14ac:dyDescent="0.15"/>
    <row r="55208" s="76" customFormat="1" ht="21.95" customHeight="1" x14ac:dyDescent="0.15"/>
    <row r="55209" s="76" customFormat="1" ht="21.95" customHeight="1" x14ac:dyDescent="0.15"/>
    <row r="55210" s="76" customFormat="1" ht="21.95" customHeight="1" x14ac:dyDescent="0.15"/>
    <row r="55211" s="76" customFormat="1" ht="21.95" customHeight="1" x14ac:dyDescent="0.15"/>
    <row r="55212" s="76" customFormat="1" ht="21.95" customHeight="1" x14ac:dyDescent="0.15"/>
    <row r="55213" s="76" customFormat="1" ht="21.95" customHeight="1" x14ac:dyDescent="0.15"/>
    <row r="55214" s="76" customFormat="1" ht="21.95" customHeight="1" x14ac:dyDescent="0.15"/>
    <row r="55215" s="76" customFormat="1" ht="21.95" customHeight="1" x14ac:dyDescent="0.15"/>
    <row r="55216" s="76" customFormat="1" ht="21.95" customHeight="1" x14ac:dyDescent="0.15"/>
    <row r="55217" spans="3:3" customFormat="1" ht="21.95" customHeight="1" x14ac:dyDescent="0.15"/>
    <row r="55218" spans="3:3" customFormat="1" ht="21.95" customHeight="1" x14ac:dyDescent="0.15"/>
    <row r="55219" spans="3:3" customFormat="1" ht="21.95" customHeight="1" x14ac:dyDescent="0.15">
      <c r="C55219" s="94"/>
    </row>
    <row r="55220" spans="3:3" customFormat="1" ht="21.95" customHeight="1" x14ac:dyDescent="0.15">
      <c r="C55220" s="94"/>
    </row>
    <row r="55221" spans="3:3" customFormat="1" ht="21.95" customHeight="1" x14ac:dyDescent="0.15"/>
    <row r="55222" spans="3:3" customFormat="1" ht="21.95" customHeight="1" x14ac:dyDescent="0.15"/>
    <row r="55223" spans="3:3" customFormat="1" ht="21.95" customHeight="1" x14ac:dyDescent="0.15"/>
    <row r="55224" spans="3:3" customFormat="1" ht="21.95" customHeight="1" x14ac:dyDescent="0.15"/>
    <row r="55225" spans="3:3" customFormat="1" ht="21.95" customHeight="1" x14ac:dyDescent="0.15"/>
    <row r="55226" spans="3:3" customFormat="1" ht="21.95" customHeight="1" x14ac:dyDescent="0.15"/>
    <row r="55227" spans="3:3" customFormat="1" ht="21.95" customHeight="1" x14ac:dyDescent="0.15"/>
    <row r="55228" spans="3:3" s="76" customFormat="1" ht="21.95" customHeight="1" x14ac:dyDescent="0.15"/>
    <row r="55229" spans="3:3" s="76" customFormat="1" ht="21.95" customHeight="1" x14ac:dyDescent="0.15"/>
    <row r="55230" spans="3:3" s="76" customFormat="1" ht="21.95" customHeight="1" x14ac:dyDescent="0.15"/>
    <row r="55231" spans="3:3" s="76" customFormat="1" ht="21.95" customHeight="1" x14ac:dyDescent="0.15"/>
    <row r="55232" spans="3:3" customFormat="1" ht="21.95" customHeight="1" x14ac:dyDescent="0.15"/>
    <row r="55233" customFormat="1" ht="21.95" customHeight="1" x14ac:dyDescent="0.15"/>
    <row r="55234" customFormat="1" ht="21.95" customHeight="1" x14ac:dyDescent="0.15"/>
    <row r="55235" customFormat="1" ht="21.95" customHeight="1" x14ac:dyDescent="0.15"/>
    <row r="55236" customFormat="1" ht="21.95" customHeight="1" x14ac:dyDescent="0.15"/>
    <row r="55237" customFormat="1" ht="21.95" customHeight="1" x14ac:dyDescent="0.15"/>
    <row r="55238" customFormat="1" ht="21.95" customHeight="1" x14ac:dyDescent="0.15"/>
    <row r="55239" customFormat="1" ht="21.95" customHeight="1" x14ac:dyDescent="0.15"/>
    <row r="55240" customFormat="1" ht="21.95" customHeight="1" x14ac:dyDescent="0.15"/>
    <row r="55241" customFormat="1" ht="21.95" customHeight="1" x14ac:dyDescent="0.15"/>
    <row r="55242" customFormat="1" ht="21.95" customHeight="1" x14ac:dyDescent="0.15"/>
    <row r="55243" customFormat="1" ht="32.1" customHeight="1" x14ac:dyDescent="0.15"/>
    <row r="55244" customFormat="1" ht="32.1" customHeight="1" x14ac:dyDescent="0.15"/>
    <row r="55245" customFormat="1" ht="32.1" customHeight="1" x14ac:dyDescent="0.15"/>
    <row r="55246" customFormat="1" ht="32.1" customHeight="1" x14ac:dyDescent="0.15"/>
    <row r="55247" customFormat="1" ht="32.1" customHeight="1" x14ac:dyDescent="0.15"/>
    <row r="55248" customFormat="1" ht="32.1" customHeight="1" x14ac:dyDescent="0.15"/>
    <row r="55249" s="76" customFormat="1" ht="32.1" customHeight="1" x14ac:dyDescent="0.15"/>
    <row r="55250" s="76" customFormat="1" ht="32.1" customHeight="1" x14ac:dyDescent="0.15"/>
    <row r="55251" s="76" customFormat="1" ht="32.1" customHeight="1" x14ac:dyDescent="0.15"/>
    <row r="55252" s="76" customFormat="1" ht="32.1" customHeight="1" x14ac:dyDescent="0.15"/>
    <row r="55253" s="76" customFormat="1" ht="21.95" customHeight="1" x14ac:dyDescent="0.15"/>
    <row r="55254" s="76" customFormat="1" ht="54" customHeight="1" x14ac:dyDescent="0.15"/>
    <row r="55255" s="76" customFormat="1" ht="21.95" customHeight="1" x14ac:dyDescent="0.15"/>
    <row r="55256" s="76" customFormat="1" ht="21.95" customHeight="1" x14ac:dyDescent="0.15"/>
    <row r="55257" s="76" customFormat="1" ht="21.95" customHeight="1" x14ac:dyDescent="0.15"/>
    <row r="55258" s="76" customFormat="1" ht="21.95" customHeight="1" x14ac:dyDescent="0.15"/>
    <row r="55259" s="76" customFormat="1" ht="21.95" customHeight="1" x14ac:dyDescent="0.15"/>
    <row r="55260" s="76" customFormat="1" ht="21.95" customHeight="1" x14ac:dyDescent="0.15"/>
    <row r="55261" s="76" customFormat="1" ht="21.95" customHeight="1" x14ac:dyDescent="0.15"/>
    <row r="55262" s="76" customFormat="1" ht="21.95" customHeight="1" x14ac:dyDescent="0.15"/>
    <row r="55263" s="76" customFormat="1" ht="21.95" customHeight="1" x14ac:dyDescent="0.15"/>
    <row r="55264" s="76" customFormat="1" ht="21.95" customHeight="1" x14ac:dyDescent="0.15"/>
    <row r="55265" s="76" customFormat="1" ht="21.95" customHeight="1" x14ac:dyDescent="0.15"/>
    <row r="55266" s="76" customFormat="1" ht="21.95" customHeight="1" x14ac:dyDescent="0.15"/>
    <row r="55267" s="76" customFormat="1" ht="21.95" customHeight="1" x14ac:dyDescent="0.15"/>
    <row r="55268" s="76" customFormat="1" ht="21.95" customHeight="1" x14ac:dyDescent="0.15"/>
    <row r="55269" s="76" customFormat="1" ht="21.95" customHeight="1" x14ac:dyDescent="0.15"/>
    <row r="55270" s="76" customFormat="1" ht="21.95" customHeight="1" x14ac:dyDescent="0.15"/>
    <row r="55271" s="76" customFormat="1" ht="21.95" customHeight="1" x14ac:dyDescent="0.15"/>
    <row r="55272" s="76" customFormat="1" ht="21.95" customHeight="1" x14ac:dyDescent="0.15"/>
    <row r="55273" s="76" customFormat="1" ht="21.95" customHeight="1" x14ac:dyDescent="0.15"/>
    <row r="55274" s="76" customFormat="1" ht="21.95" customHeight="1" x14ac:dyDescent="0.15"/>
    <row r="55275" s="76" customFormat="1" ht="21.95" customHeight="1" x14ac:dyDescent="0.15"/>
    <row r="55276" s="76" customFormat="1" ht="21.95" customHeight="1" x14ac:dyDescent="0.15"/>
    <row r="55277" s="76" customFormat="1" ht="21.95" customHeight="1" x14ac:dyDescent="0.15"/>
    <row r="55278" s="76" customFormat="1" ht="21.95" customHeight="1" x14ac:dyDescent="0.15"/>
    <row r="55279" s="76" customFormat="1" ht="21.95" customHeight="1" x14ac:dyDescent="0.15"/>
    <row r="55280" s="76" customFormat="1" ht="21.95" customHeight="1" x14ac:dyDescent="0.15"/>
    <row r="55281" s="76" customFormat="1" ht="21.95" customHeight="1" x14ac:dyDescent="0.15"/>
    <row r="55282" s="76" customFormat="1" ht="21.95" customHeight="1" x14ac:dyDescent="0.15"/>
    <row r="55283" s="76" customFormat="1" ht="21.95" customHeight="1" x14ac:dyDescent="0.15"/>
    <row r="55284" s="76" customFormat="1" ht="21.95" customHeight="1" x14ac:dyDescent="0.15"/>
    <row r="55285" s="76" customFormat="1" ht="21.95" customHeight="1" x14ac:dyDescent="0.15"/>
    <row r="55286" s="76" customFormat="1" ht="21.95" customHeight="1" x14ac:dyDescent="0.15"/>
    <row r="55287" s="76" customFormat="1" ht="21.95" customHeight="1" x14ac:dyDescent="0.15"/>
    <row r="55288" s="76" customFormat="1" ht="21.95" customHeight="1" x14ac:dyDescent="0.15"/>
    <row r="55289" s="76" customFormat="1" ht="21.95" customHeight="1" x14ac:dyDescent="0.15"/>
    <row r="55290" s="76" customFormat="1" ht="21.95" customHeight="1" x14ac:dyDescent="0.15"/>
    <row r="55291" s="76" customFormat="1" ht="21.95" customHeight="1" x14ac:dyDescent="0.15"/>
    <row r="55292" s="76" customFormat="1" ht="21.95" customHeight="1" x14ac:dyDescent="0.15"/>
    <row r="55293" s="76" customFormat="1" ht="21.95" customHeight="1" x14ac:dyDescent="0.15"/>
    <row r="55294" s="76" customFormat="1" ht="21.95" customHeight="1" x14ac:dyDescent="0.15"/>
    <row r="55295" s="76" customFormat="1" ht="21.95" customHeight="1" x14ac:dyDescent="0.15"/>
    <row r="55296" s="76" customFormat="1" ht="21.95" customHeight="1" x14ac:dyDescent="0.15"/>
    <row r="55297" s="76" customFormat="1" ht="21.95" customHeight="1" x14ac:dyDescent="0.15"/>
    <row r="55298" s="76" customFormat="1" ht="21.95" customHeight="1" x14ac:dyDescent="0.15"/>
    <row r="55299" s="76" customFormat="1" ht="21.95" customHeight="1" x14ac:dyDescent="0.15"/>
    <row r="55300" s="76" customFormat="1" ht="21.95" customHeight="1" x14ac:dyDescent="0.15"/>
    <row r="55301" s="76" customFormat="1" ht="21.95" customHeight="1" x14ac:dyDescent="0.15"/>
    <row r="55302" s="76" customFormat="1" ht="21.95" customHeight="1" x14ac:dyDescent="0.15"/>
    <row r="55303" s="76" customFormat="1" ht="21.95" customHeight="1" x14ac:dyDescent="0.15"/>
    <row r="55304" s="76" customFormat="1" ht="21.95" customHeight="1" x14ac:dyDescent="0.15"/>
    <row r="55305" s="76" customFormat="1" ht="35.1" customHeight="1" x14ac:dyDescent="0.15"/>
    <row r="55306" s="76" customFormat="1" ht="21.95" customHeight="1" x14ac:dyDescent="0.15"/>
    <row r="55307" s="76" customFormat="1" ht="21.95" customHeight="1" x14ac:dyDescent="0.15"/>
    <row r="55308" s="76" customFormat="1" ht="21.95" customHeight="1" x14ac:dyDescent="0.15"/>
    <row r="55309" s="76" customFormat="1" ht="21.95" customHeight="1" x14ac:dyDescent="0.15"/>
    <row r="55310" s="76" customFormat="1" ht="21.95" customHeight="1" x14ac:dyDescent="0.15"/>
    <row r="55311" s="76" customFormat="1" ht="21.95" customHeight="1" x14ac:dyDescent="0.15"/>
    <row r="55312" s="76" customFormat="1" ht="21.95" customHeight="1" x14ac:dyDescent="0.15"/>
    <row r="55313" s="76" customFormat="1" ht="21.95" customHeight="1" x14ac:dyDescent="0.15"/>
    <row r="55314" s="76" customFormat="1" ht="21.95" customHeight="1" x14ac:dyDescent="0.15"/>
    <row r="55315" s="76" customFormat="1" ht="21.95" customHeight="1" x14ac:dyDescent="0.15"/>
    <row r="55316" s="76" customFormat="1" ht="21.95" customHeight="1" x14ac:dyDescent="0.15"/>
    <row r="55317" s="76" customFormat="1" ht="21.95" customHeight="1" x14ac:dyDescent="0.15"/>
    <row r="55318" s="76" customFormat="1" ht="21.95" customHeight="1" x14ac:dyDescent="0.15"/>
    <row r="55319" s="76" customFormat="1" ht="21.95" customHeight="1" x14ac:dyDescent="0.15"/>
    <row r="55320" s="76" customFormat="1" ht="21.95" customHeight="1" x14ac:dyDescent="0.15"/>
    <row r="55321" s="76" customFormat="1" ht="21.95" customHeight="1" x14ac:dyDescent="0.15"/>
    <row r="55322" s="76" customFormat="1" ht="21.95" customHeight="1" x14ac:dyDescent="0.15"/>
    <row r="55323" s="76" customFormat="1" ht="21.95" customHeight="1" x14ac:dyDescent="0.15"/>
    <row r="55324" s="76" customFormat="1" ht="21.95" customHeight="1" x14ac:dyDescent="0.15"/>
    <row r="55325" s="76" customFormat="1" ht="21.95" customHeight="1" x14ac:dyDescent="0.15"/>
    <row r="55326" s="76" customFormat="1" ht="21.95" customHeight="1" x14ac:dyDescent="0.15"/>
    <row r="55327" s="76" customFormat="1" ht="21.95" customHeight="1" x14ac:dyDescent="0.15"/>
    <row r="55328" s="76" customFormat="1" ht="21.95" customHeight="1" x14ac:dyDescent="0.15"/>
    <row r="55329" spans="3:3" customFormat="1" ht="21.95" customHeight="1" x14ac:dyDescent="0.15"/>
    <row r="55330" spans="3:3" customFormat="1" ht="21.95" customHeight="1" x14ac:dyDescent="0.15"/>
    <row r="55331" spans="3:3" customFormat="1" ht="21.95" customHeight="1" x14ac:dyDescent="0.15">
      <c r="C55331" s="94"/>
    </row>
    <row r="55332" spans="3:3" customFormat="1" ht="21.95" customHeight="1" x14ac:dyDescent="0.15">
      <c r="C55332" s="94"/>
    </row>
    <row r="55333" spans="3:3" customFormat="1" ht="21.95" customHeight="1" x14ac:dyDescent="0.15"/>
    <row r="55334" spans="3:3" customFormat="1" ht="21.95" customHeight="1" x14ac:dyDescent="0.15"/>
    <row r="55335" spans="3:3" customFormat="1" ht="21.95" customHeight="1" x14ac:dyDescent="0.15"/>
    <row r="55336" spans="3:3" customFormat="1" ht="21.95" customHeight="1" x14ac:dyDescent="0.15"/>
    <row r="55337" spans="3:3" customFormat="1" ht="21.95" customHeight="1" x14ac:dyDescent="0.15"/>
    <row r="55338" spans="3:3" customFormat="1" ht="21.95" customHeight="1" x14ac:dyDescent="0.15"/>
    <row r="55339" spans="3:3" customFormat="1" ht="21.95" customHeight="1" x14ac:dyDescent="0.15"/>
    <row r="55340" spans="3:3" s="76" customFormat="1" ht="21.95" customHeight="1" x14ac:dyDescent="0.15"/>
    <row r="55341" spans="3:3" s="76" customFormat="1" ht="21.95" customHeight="1" x14ac:dyDescent="0.15"/>
    <row r="55342" spans="3:3" s="76" customFormat="1" ht="21.95" customHeight="1" x14ac:dyDescent="0.15"/>
    <row r="55343" spans="3:3" s="76" customFormat="1" ht="21.95" customHeight="1" x14ac:dyDescent="0.15"/>
    <row r="55344" spans="3:3" customFormat="1" ht="21.95" customHeight="1" x14ac:dyDescent="0.15"/>
    <row r="55345" customFormat="1" ht="21.95" customHeight="1" x14ac:dyDescent="0.15"/>
    <row r="55346" customFormat="1" ht="21.95" customHeight="1" x14ac:dyDescent="0.15"/>
    <row r="55347" customFormat="1" ht="21.95" customHeight="1" x14ac:dyDescent="0.15"/>
    <row r="55348" customFormat="1" ht="21.95" customHeight="1" x14ac:dyDescent="0.15"/>
    <row r="55349" customFormat="1" ht="21.95" customHeight="1" x14ac:dyDescent="0.15"/>
    <row r="55350" customFormat="1" ht="21.95" customHeight="1" x14ac:dyDescent="0.15"/>
    <row r="55351" customFormat="1" ht="21.95" customHeight="1" x14ac:dyDescent="0.15"/>
    <row r="55352" customFormat="1" ht="21.95" customHeight="1" x14ac:dyDescent="0.15"/>
    <row r="55353" customFormat="1" ht="21.95" customHeight="1" x14ac:dyDescent="0.15"/>
    <row r="55354" customFormat="1" ht="21.95" customHeight="1" x14ac:dyDescent="0.15"/>
    <row r="55355" customFormat="1" ht="32.1" customHeight="1" x14ac:dyDescent="0.15"/>
    <row r="55356" customFormat="1" ht="32.1" customHeight="1" x14ac:dyDescent="0.15"/>
    <row r="55357" customFormat="1" ht="32.1" customHeight="1" x14ac:dyDescent="0.15"/>
    <row r="55358" customFormat="1" ht="32.1" customHeight="1" x14ac:dyDescent="0.15"/>
    <row r="55359" customFormat="1" ht="32.1" customHeight="1" x14ac:dyDescent="0.15"/>
    <row r="55360" customFormat="1" ht="32.1" customHeight="1" x14ac:dyDescent="0.15"/>
    <row r="55361" s="76" customFormat="1" ht="32.1" customHeight="1" x14ac:dyDescent="0.15"/>
    <row r="55362" s="76" customFormat="1" ht="32.1" customHeight="1" x14ac:dyDescent="0.15"/>
    <row r="55363" s="76" customFormat="1" ht="32.1" customHeight="1" x14ac:dyDescent="0.15"/>
    <row r="55364" s="76" customFormat="1" ht="32.1" customHeight="1" x14ac:dyDescent="0.15"/>
    <row r="55365" s="76" customFormat="1" ht="21.95" customHeight="1" x14ac:dyDescent="0.15"/>
    <row r="55366" s="76" customFormat="1" ht="54" customHeight="1" x14ac:dyDescent="0.15"/>
    <row r="55367" s="76" customFormat="1" ht="21.95" customHeight="1" x14ac:dyDescent="0.15"/>
    <row r="55368" s="76" customFormat="1" ht="21.95" customHeight="1" x14ac:dyDescent="0.15"/>
    <row r="55369" s="76" customFormat="1" ht="21.95" customHeight="1" x14ac:dyDescent="0.15"/>
    <row r="55370" s="76" customFormat="1" ht="21.95" customHeight="1" x14ac:dyDescent="0.15"/>
    <row r="55371" s="76" customFormat="1" ht="21.95" customHeight="1" x14ac:dyDescent="0.15"/>
    <row r="55372" s="76" customFormat="1" ht="21.95" customHeight="1" x14ac:dyDescent="0.15"/>
    <row r="55373" s="76" customFormat="1" ht="21.95" customHeight="1" x14ac:dyDescent="0.15"/>
    <row r="55374" s="76" customFormat="1" ht="21.95" customHeight="1" x14ac:dyDescent="0.15"/>
    <row r="55375" s="76" customFormat="1" ht="21.95" customHeight="1" x14ac:dyDescent="0.15"/>
    <row r="55376" s="76" customFormat="1" ht="21.95" customHeight="1" x14ac:dyDescent="0.15"/>
    <row r="55377" s="76" customFormat="1" ht="21.95" customHeight="1" x14ac:dyDescent="0.15"/>
    <row r="55378" s="76" customFormat="1" ht="21.95" customHeight="1" x14ac:dyDescent="0.15"/>
    <row r="55379" s="76" customFormat="1" ht="21.95" customHeight="1" x14ac:dyDescent="0.15"/>
    <row r="55380" s="76" customFormat="1" ht="21.95" customHeight="1" x14ac:dyDescent="0.15"/>
    <row r="55381" s="76" customFormat="1" ht="21.95" customHeight="1" x14ac:dyDescent="0.15"/>
    <row r="55382" s="76" customFormat="1" ht="21.95" customHeight="1" x14ac:dyDescent="0.15"/>
    <row r="55383" s="76" customFormat="1" ht="21.95" customHeight="1" x14ac:dyDescent="0.15"/>
    <row r="55384" s="76" customFormat="1" ht="21.95" customHeight="1" x14ac:dyDescent="0.15"/>
    <row r="55385" s="76" customFormat="1" ht="21.95" customHeight="1" x14ac:dyDescent="0.15"/>
    <row r="55386" s="76" customFormat="1" ht="21.95" customHeight="1" x14ac:dyDescent="0.15"/>
    <row r="55387" s="76" customFormat="1" ht="21.95" customHeight="1" x14ac:dyDescent="0.15"/>
    <row r="55388" s="76" customFormat="1" ht="21.95" customHeight="1" x14ac:dyDescent="0.15"/>
    <row r="55389" s="76" customFormat="1" ht="21.95" customHeight="1" x14ac:dyDescent="0.15"/>
    <row r="55390" s="76" customFormat="1" ht="21.95" customHeight="1" x14ac:dyDescent="0.15"/>
    <row r="55391" s="76" customFormat="1" ht="21.95" customHeight="1" x14ac:dyDescent="0.15"/>
    <row r="55392" s="76" customFormat="1" ht="21.95" customHeight="1" x14ac:dyDescent="0.15"/>
    <row r="55393" s="76" customFormat="1" ht="21.95" customHeight="1" x14ac:dyDescent="0.15"/>
    <row r="55394" s="76" customFormat="1" ht="21.95" customHeight="1" x14ac:dyDescent="0.15"/>
    <row r="55395" s="76" customFormat="1" ht="21.95" customHeight="1" x14ac:dyDescent="0.15"/>
    <row r="55396" s="76" customFormat="1" ht="21.95" customHeight="1" x14ac:dyDescent="0.15"/>
    <row r="55397" s="76" customFormat="1" ht="21.95" customHeight="1" x14ac:dyDescent="0.15"/>
    <row r="55398" s="76" customFormat="1" ht="21.95" customHeight="1" x14ac:dyDescent="0.15"/>
    <row r="55399" s="76" customFormat="1" ht="21.95" customHeight="1" x14ac:dyDescent="0.15"/>
    <row r="55400" s="76" customFormat="1" ht="21.95" customHeight="1" x14ac:dyDescent="0.15"/>
    <row r="55401" s="76" customFormat="1" ht="21.95" customHeight="1" x14ac:dyDescent="0.15"/>
    <row r="55402" s="76" customFormat="1" ht="21.95" customHeight="1" x14ac:dyDescent="0.15"/>
    <row r="55403" s="76" customFormat="1" ht="21.95" customHeight="1" x14ac:dyDescent="0.15"/>
    <row r="55404" s="76" customFormat="1" ht="21.95" customHeight="1" x14ac:dyDescent="0.15"/>
    <row r="55405" s="76" customFormat="1" ht="21.95" customHeight="1" x14ac:dyDescent="0.15"/>
    <row r="55406" s="76" customFormat="1" ht="21.95" customHeight="1" x14ac:dyDescent="0.15"/>
    <row r="55407" s="76" customFormat="1" ht="21.95" customHeight="1" x14ac:dyDescent="0.15"/>
    <row r="55408" s="76" customFormat="1" ht="21.95" customHeight="1" x14ac:dyDescent="0.15"/>
    <row r="55409" s="76" customFormat="1" ht="21.95" customHeight="1" x14ac:dyDescent="0.15"/>
    <row r="55410" s="76" customFormat="1" ht="21.95" customHeight="1" x14ac:dyDescent="0.15"/>
    <row r="55411" s="76" customFormat="1" ht="21.95" customHeight="1" x14ac:dyDescent="0.15"/>
    <row r="55412" s="76" customFormat="1" ht="21.95" customHeight="1" x14ac:dyDescent="0.15"/>
    <row r="55413" s="76" customFormat="1" ht="21.95" customHeight="1" x14ac:dyDescent="0.15"/>
    <row r="55414" s="76" customFormat="1" ht="21.95" customHeight="1" x14ac:dyDescent="0.15"/>
    <row r="55415" s="76" customFormat="1" ht="21.95" customHeight="1" x14ac:dyDescent="0.15"/>
    <row r="55416" s="76" customFormat="1" ht="21.95" customHeight="1" x14ac:dyDescent="0.15"/>
    <row r="55417" s="76" customFormat="1" ht="35.1" customHeight="1" x14ac:dyDescent="0.15"/>
    <row r="55418" s="76" customFormat="1" ht="21.95" customHeight="1" x14ac:dyDescent="0.15"/>
    <row r="55419" s="76" customFormat="1" ht="21.95" customHeight="1" x14ac:dyDescent="0.15"/>
    <row r="55420" s="76" customFormat="1" ht="21.95" customHeight="1" x14ac:dyDescent="0.15"/>
    <row r="55421" s="76" customFormat="1" ht="21.95" customHeight="1" x14ac:dyDescent="0.15"/>
    <row r="55422" s="76" customFormat="1" ht="21.95" customHeight="1" x14ac:dyDescent="0.15"/>
    <row r="55423" s="76" customFormat="1" ht="21.95" customHeight="1" x14ac:dyDescent="0.15"/>
    <row r="55424" s="76" customFormat="1" ht="21.95" customHeight="1" x14ac:dyDescent="0.15"/>
    <row r="55425" s="76" customFormat="1" ht="21.95" customHeight="1" x14ac:dyDescent="0.15"/>
    <row r="55426" s="76" customFormat="1" ht="21.95" customHeight="1" x14ac:dyDescent="0.15"/>
    <row r="55427" s="76" customFormat="1" ht="21.95" customHeight="1" x14ac:dyDescent="0.15"/>
    <row r="55428" s="76" customFormat="1" ht="21.95" customHeight="1" x14ac:dyDescent="0.15"/>
    <row r="55429" s="76" customFormat="1" ht="21.95" customHeight="1" x14ac:dyDescent="0.15"/>
    <row r="55430" s="76" customFormat="1" ht="21.95" customHeight="1" x14ac:dyDescent="0.15"/>
    <row r="55431" s="76" customFormat="1" ht="21.95" customHeight="1" x14ac:dyDescent="0.15"/>
    <row r="55432" s="76" customFormat="1" ht="21.95" customHeight="1" x14ac:dyDescent="0.15"/>
    <row r="55433" s="76" customFormat="1" ht="21.95" customHeight="1" x14ac:dyDescent="0.15"/>
    <row r="55434" s="76" customFormat="1" ht="21.95" customHeight="1" x14ac:dyDescent="0.15"/>
    <row r="55435" s="76" customFormat="1" ht="21.95" customHeight="1" x14ac:dyDescent="0.15"/>
    <row r="55436" s="76" customFormat="1" ht="21.95" customHeight="1" x14ac:dyDescent="0.15"/>
    <row r="55437" s="76" customFormat="1" ht="21.95" customHeight="1" x14ac:dyDescent="0.15"/>
    <row r="55438" s="76" customFormat="1" ht="21.95" customHeight="1" x14ac:dyDescent="0.15"/>
    <row r="55439" s="76" customFormat="1" ht="21.95" customHeight="1" x14ac:dyDescent="0.15"/>
    <row r="55440" s="76" customFormat="1" ht="21.95" customHeight="1" x14ac:dyDescent="0.15"/>
    <row r="55441" spans="3:3" customFormat="1" ht="21.95" customHeight="1" x14ac:dyDescent="0.15"/>
    <row r="55442" spans="3:3" customFormat="1" ht="21.95" customHeight="1" x14ac:dyDescent="0.15"/>
    <row r="55443" spans="3:3" customFormat="1" ht="21.95" customHeight="1" x14ac:dyDescent="0.15">
      <c r="C55443" s="94"/>
    </row>
    <row r="55444" spans="3:3" customFormat="1" ht="21.95" customHeight="1" x14ac:dyDescent="0.15">
      <c r="C55444" s="94"/>
    </row>
    <row r="55445" spans="3:3" customFormat="1" ht="21.95" customHeight="1" x14ac:dyDescent="0.15"/>
    <row r="55446" spans="3:3" customFormat="1" ht="21.95" customHeight="1" x14ac:dyDescent="0.15"/>
    <row r="55447" spans="3:3" customFormat="1" ht="21.95" customHeight="1" x14ac:dyDescent="0.15"/>
    <row r="55448" spans="3:3" customFormat="1" ht="21.95" customHeight="1" x14ac:dyDescent="0.15"/>
    <row r="55449" spans="3:3" customFormat="1" ht="21.95" customHeight="1" x14ac:dyDescent="0.15"/>
    <row r="55450" spans="3:3" customFormat="1" ht="21.95" customHeight="1" x14ac:dyDescent="0.15"/>
    <row r="55451" spans="3:3" customFormat="1" ht="21.95" customHeight="1" x14ac:dyDescent="0.15"/>
    <row r="55452" spans="3:3" s="76" customFormat="1" ht="21.95" customHeight="1" x14ac:dyDescent="0.15"/>
    <row r="55453" spans="3:3" s="76" customFormat="1" ht="21.95" customHeight="1" x14ac:dyDescent="0.15"/>
    <row r="55454" spans="3:3" s="76" customFormat="1" ht="21.95" customHeight="1" x14ac:dyDescent="0.15"/>
    <row r="55455" spans="3:3" s="76" customFormat="1" ht="21.95" customHeight="1" x14ac:dyDescent="0.15"/>
    <row r="55456" spans="3:3" customFormat="1" ht="21.95" customHeight="1" x14ac:dyDescent="0.15"/>
    <row r="55457" customFormat="1" ht="21.95" customHeight="1" x14ac:dyDescent="0.15"/>
    <row r="55458" customFormat="1" ht="21.95" customHeight="1" x14ac:dyDescent="0.15"/>
    <row r="55459" customFormat="1" ht="21.95" customHeight="1" x14ac:dyDescent="0.15"/>
    <row r="55460" customFormat="1" ht="21.95" customHeight="1" x14ac:dyDescent="0.15"/>
    <row r="55461" customFormat="1" ht="21.95" customHeight="1" x14ac:dyDescent="0.15"/>
    <row r="55462" customFormat="1" ht="21.95" customHeight="1" x14ac:dyDescent="0.15"/>
    <row r="55463" customFormat="1" ht="21.95" customHeight="1" x14ac:dyDescent="0.15"/>
    <row r="55464" customFormat="1" ht="21.95" customHeight="1" x14ac:dyDescent="0.15"/>
    <row r="55465" customFormat="1" ht="21.95" customHeight="1" x14ac:dyDescent="0.15"/>
    <row r="55466" customFormat="1" ht="21.95" customHeight="1" x14ac:dyDescent="0.15"/>
    <row r="55467" customFormat="1" ht="32.1" customHeight="1" x14ac:dyDescent="0.15"/>
    <row r="55468" customFormat="1" ht="32.1" customHeight="1" x14ac:dyDescent="0.15"/>
    <row r="55469" customFormat="1" ht="32.1" customHeight="1" x14ac:dyDescent="0.15"/>
    <row r="55470" customFormat="1" ht="32.1" customHeight="1" x14ac:dyDescent="0.15"/>
    <row r="55471" customFormat="1" ht="32.1" customHeight="1" x14ac:dyDescent="0.15"/>
    <row r="55472" customFormat="1" ht="32.1" customHeight="1" x14ac:dyDescent="0.15"/>
    <row r="55473" s="76" customFormat="1" ht="32.1" customHeight="1" x14ac:dyDescent="0.15"/>
    <row r="55474" s="76" customFormat="1" ht="32.1" customHeight="1" x14ac:dyDescent="0.15"/>
    <row r="55475" s="76" customFormat="1" ht="32.1" customHeight="1" x14ac:dyDescent="0.15"/>
    <row r="55476" s="76" customFormat="1" ht="32.1" customHeight="1" x14ac:dyDescent="0.15"/>
    <row r="55477" s="76" customFormat="1" ht="21.95" customHeight="1" x14ac:dyDescent="0.15"/>
    <row r="55478" s="76" customFormat="1" ht="54" customHeight="1" x14ac:dyDescent="0.15"/>
    <row r="55479" s="76" customFormat="1" ht="21.95" customHeight="1" x14ac:dyDescent="0.15"/>
    <row r="55480" s="76" customFormat="1" ht="21.95" customHeight="1" x14ac:dyDescent="0.15"/>
    <row r="55481" s="76" customFormat="1" ht="21.95" customHeight="1" x14ac:dyDescent="0.15"/>
    <row r="55482" s="76" customFormat="1" ht="21.95" customHeight="1" x14ac:dyDescent="0.15"/>
    <row r="55483" s="76" customFormat="1" ht="21.95" customHeight="1" x14ac:dyDescent="0.15"/>
    <row r="55484" s="76" customFormat="1" ht="21.95" customHeight="1" x14ac:dyDescent="0.15"/>
    <row r="55485" s="76" customFormat="1" ht="21.95" customHeight="1" x14ac:dyDescent="0.15"/>
    <row r="55486" s="76" customFormat="1" ht="21.95" customHeight="1" x14ac:dyDescent="0.15"/>
    <row r="55487" s="76" customFormat="1" ht="21.95" customHeight="1" x14ac:dyDescent="0.15"/>
    <row r="55488" s="76" customFormat="1" ht="21.95" customHeight="1" x14ac:dyDescent="0.15"/>
    <row r="55489" s="76" customFormat="1" ht="21.95" customHeight="1" x14ac:dyDescent="0.15"/>
    <row r="55490" s="76" customFormat="1" ht="21.95" customHeight="1" x14ac:dyDescent="0.15"/>
    <row r="55491" s="76" customFormat="1" ht="21.95" customHeight="1" x14ac:dyDescent="0.15"/>
    <row r="55492" s="76" customFormat="1" ht="21.95" customHeight="1" x14ac:dyDescent="0.15"/>
    <row r="55493" s="76" customFormat="1" ht="21.95" customHeight="1" x14ac:dyDescent="0.15"/>
    <row r="55494" s="76" customFormat="1" ht="21.95" customHeight="1" x14ac:dyDescent="0.15"/>
    <row r="55495" s="76" customFormat="1" ht="21.95" customHeight="1" x14ac:dyDescent="0.15"/>
    <row r="55496" s="76" customFormat="1" ht="21.95" customHeight="1" x14ac:dyDescent="0.15"/>
    <row r="55497" s="76" customFormat="1" ht="21.95" customHeight="1" x14ac:dyDescent="0.15"/>
    <row r="55498" s="76" customFormat="1" ht="21.95" customHeight="1" x14ac:dyDescent="0.15"/>
    <row r="55499" s="76" customFormat="1" ht="21.95" customHeight="1" x14ac:dyDescent="0.15"/>
    <row r="55500" s="76" customFormat="1" ht="21.95" customHeight="1" x14ac:dyDescent="0.15"/>
    <row r="55501" s="76" customFormat="1" ht="21.95" customHeight="1" x14ac:dyDescent="0.15"/>
    <row r="55502" s="76" customFormat="1" ht="21.95" customHeight="1" x14ac:dyDescent="0.15"/>
    <row r="55503" s="76" customFormat="1" ht="21.95" customHeight="1" x14ac:dyDescent="0.15"/>
    <row r="55504" s="76" customFormat="1" ht="21.95" customHeight="1" x14ac:dyDescent="0.15"/>
    <row r="55505" s="76" customFormat="1" ht="21.95" customHeight="1" x14ac:dyDescent="0.15"/>
    <row r="55506" s="76" customFormat="1" ht="21.95" customHeight="1" x14ac:dyDescent="0.15"/>
    <row r="55507" s="76" customFormat="1" ht="21.95" customHeight="1" x14ac:dyDescent="0.15"/>
    <row r="55508" s="76" customFormat="1" ht="21.95" customHeight="1" x14ac:dyDescent="0.15"/>
    <row r="55509" s="76" customFormat="1" ht="21.95" customHeight="1" x14ac:dyDescent="0.15"/>
    <row r="55510" s="76" customFormat="1" ht="21.95" customHeight="1" x14ac:dyDescent="0.15"/>
    <row r="55511" s="76" customFormat="1" ht="21.95" customHeight="1" x14ac:dyDescent="0.15"/>
    <row r="55512" s="76" customFormat="1" ht="21.95" customHeight="1" x14ac:dyDescent="0.15"/>
    <row r="55513" s="76" customFormat="1" ht="21.95" customHeight="1" x14ac:dyDescent="0.15"/>
    <row r="55514" s="76" customFormat="1" ht="21.95" customHeight="1" x14ac:dyDescent="0.15"/>
    <row r="55515" s="76" customFormat="1" ht="21.95" customHeight="1" x14ac:dyDescent="0.15"/>
    <row r="55516" s="76" customFormat="1" ht="21.95" customHeight="1" x14ac:dyDescent="0.15"/>
    <row r="55517" s="76" customFormat="1" ht="21.95" customHeight="1" x14ac:dyDescent="0.15"/>
    <row r="55518" s="76" customFormat="1" ht="21.95" customHeight="1" x14ac:dyDescent="0.15"/>
    <row r="55519" s="76" customFormat="1" ht="21.95" customHeight="1" x14ac:dyDescent="0.15"/>
    <row r="55520" s="76" customFormat="1" ht="21.95" customHeight="1" x14ac:dyDescent="0.15"/>
    <row r="55521" s="76" customFormat="1" ht="21.95" customHeight="1" x14ac:dyDescent="0.15"/>
    <row r="55522" s="76" customFormat="1" ht="21.95" customHeight="1" x14ac:dyDescent="0.15"/>
    <row r="55523" s="76" customFormat="1" ht="21.95" customHeight="1" x14ac:dyDescent="0.15"/>
    <row r="55524" s="76" customFormat="1" ht="21.95" customHeight="1" x14ac:dyDescent="0.15"/>
    <row r="55525" s="76" customFormat="1" ht="21.95" customHeight="1" x14ac:dyDescent="0.15"/>
    <row r="55526" s="76" customFormat="1" ht="21.95" customHeight="1" x14ac:dyDescent="0.15"/>
    <row r="55527" s="76" customFormat="1" ht="21.95" customHeight="1" x14ac:dyDescent="0.15"/>
    <row r="55528" s="76" customFormat="1" ht="21.95" customHeight="1" x14ac:dyDescent="0.15"/>
    <row r="55529" s="76" customFormat="1" ht="35.1" customHeight="1" x14ac:dyDescent="0.15"/>
    <row r="55530" s="76" customFormat="1" ht="21.95" customHeight="1" x14ac:dyDescent="0.15"/>
    <row r="55531" s="76" customFormat="1" ht="21.95" customHeight="1" x14ac:dyDescent="0.15"/>
    <row r="55532" s="76" customFormat="1" ht="21.95" customHeight="1" x14ac:dyDescent="0.15"/>
    <row r="55533" s="76" customFormat="1" ht="21.95" customHeight="1" x14ac:dyDescent="0.15"/>
    <row r="55534" s="76" customFormat="1" ht="21.95" customHeight="1" x14ac:dyDescent="0.15"/>
    <row r="55535" s="76" customFormat="1" ht="21.95" customHeight="1" x14ac:dyDescent="0.15"/>
    <row r="55536" s="76" customFormat="1" ht="21.95" customHeight="1" x14ac:dyDescent="0.15"/>
    <row r="55537" s="76" customFormat="1" ht="21.95" customHeight="1" x14ac:dyDescent="0.15"/>
    <row r="55538" s="76" customFormat="1" ht="21.95" customHeight="1" x14ac:dyDescent="0.15"/>
    <row r="55539" s="76" customFormat="1" ht="21.95" customHeight="1" x14ac:dyDescent="0.15"/>
    <row r="55540" s="76" customFormat="1" ht="21.95" customHeight="1" x14ac:dyDescent="0.15"/>
    <row r="55541" s="76" customFormat="1" ht="21.95" customHeight="1" x14ac:dyDescent="0.15"/>
    <row r="55542" s="76" customFormat="1" ht="21.95" customHeight="1" x14ac:dyDescent="0.15"/>
    <row r="55543" s="76" customFormat="1" ht="21.95" customHeight="1" x14ac:dyDescent="0.15"/>
    <row r="55544" s="76" customFormat="1" ht="21.95" customHeight="1" x14ac:dyDescent="0.15"/>
    <row r="55545" s="76" customFormat="1" ht="21.95" customHeight="1" x14ac:dyDescent="0.15"/>
    <row r="55546" s="76" customFormat="1" ht="21.95" customHeight="1" x14ac:dyDescent="0.15"/>
    <row r="55547" s="76" customFormat="1" ht="21.95" customHeight="1" x14ac:dyDescent="0.15"/>
    <row r="55548" s="76" customFormat="1" ht="21.95" customHeight="1" x14ac:dyDescent="0.15"/>
    <row r="55549" s="76" customFormat="1" ht="21.95" customHeight="1" x14ac:dyDescent="0.15"/>
    <row r="55550" s="76" customFormat="1" ht="21.95" customHeight="1" x14ac:dyDescent="0.15"/>
    <row r="55551" s="76" customFormat="1" ht="21.95" customHeight="1" x14ac:dyDescent="0.15"/>
    <row r="55552" s="76" customFormat="1" ht="21.95" customHeight="1" x14ac:dyDescent="0.15"/>
    <row r="55553" spans="3:3" customFormat="1" ht="21.95" customHeight="1" x14ac:dyDescent="0.15"/>
    <row r="55554" spans="3:3" customFormat="1" ht="21.95" customHeight="1" x14ac:dyDescent="0.15"/>
    <row r="55555" spans="3:3" customFormat="1" ht="21.95" customHeight="1" x14ac:dyDescent="0.15">
      <c r="C55555" s="94"/>
    </row>
    <row r="55556" spans="3:3" customFormat="1" ht="21.95" customHeight="1" x14ac:dyDescent="0.15">
      <c r="C55556" s="94"/>
    </row>
    <row r="55557" spans="3:3" customFormat="1" ht="21.95" customHeight="1" x14ac:dyDescent="0.15"/>
    <row r="55558" spans="3:3" customFormat="1" ht="21.95" customHeight="1" x14ac:dyDescent="0.15"/>
    <row r="55559" spans="3:3" customFormat="1" ht="21.95" customHeight="1" x14ac:dyDescent="0.15"/>
    <row r="55560" spans="3:3" customFormat="1" ht="21.95" customHeight="1" x14ac:dyDescent="0.15"/>
    <row r="55561" spans="3:3" customFormat="1" ht="21.95" customHeight="1" x14ac:dyDescent="0.15"/>
    <row r="55562" spans="3:3" customFormat="1" ht="21.95" customHeight="1" x14ac:dyDescent="0.15"/>
    <row r="55563" spans="3:3" customFormat="1" ht="21.95" customHeight="1" x14ac:dyDescent="0.15"/>
    <row r="55564" spans="3:3" s="76" customFormat="1" ht="21.95" customHeight="1" x14ac:dyDescent="0.15"/>
    <row r="55565" spans="3:3" s="76" customFormat="1" ht="21.95" customHeight="1" x14ac:dyDescent="0.15"/>
    <row r="55566" spans="3:3" s="76" customFormat="1" ht="21.95" customHeight="1" x14ac:dyDescent="0.15"/>
    <row r="55567" spans="3:3" s="76" customFormat="1" ht="21.95" customHeight="1" x14ac:dyDescent="0.15"/>
    <row r="55568" spans="3:3" customFormat="1" ht="21.95" customHeight="1" x14ac:dyDescent="0.15"/>
    <row r="55569" customFormat="1" ht="21.95" customHeight="1" x14ac:dyDescent="0.15"/>
    <row r="55570" customFormat="1" ht="21.95" customHeight="1" x14ac:dyDescent="0.15"/>
    <row r="55571" customFormat="1" ht="21.95" customHeight="1" x14ac:dyDescent="0.15"/>
    <row r="55572" customFormat="1" ht="21.95" customHeight="1" x14ac:dyDescent="0.15"/>
    <row r="55573" customFormat="1" ht="21.95" customHeight="1" x14ac:dyDescent="0.15"/>
    <row r="55574" customFormat="1" ht="21.95" customHeight="1" x14ac:dyDescent="0.15"/>
    <row r="55575" customFormat="1" ht="21.95" customHeight="1" x14ac:dyDescent="0.15"/>
    <row r="55576" customFormat="1" ht="21.95" customHeight="1" x14ac:dyDescent="0.15"/>
    <row r="55577" customFormat="1" ht="21.95" customHeight="1" x14ac:dyDescent="0.15"/>
    <row r="55578" customFormat="1" ht="21.95" customHeight="1" x14ac:dyDescent="0.15"/>
    <row r="55579" customFormat="1" ht="32.1" customHeight="1" x14ac:dyDescent="0.15"/>
    <row r="55580" customFormat="1" ht="32.1" customHeight="1" x14ac:dyDescent="0.15"/>
    <row r="55581" customFormat="1" ht="32.1" customHeight="1" x14ac:dyDescent="0.15"/>
    <row r="55582" customFormat="1" ht="32.1" customHeight="1" x14ac:dyDescent="0.15"/>
    <row r="55583" customFormat="1" ht="32.1" customHeight="1" x14ac:dyDescent="0.15"/>
    <row r="55584" customFormat="1" ht="32.1" customHeight="1" x14ac:dyDescent="0.15"/>
    <row r="55585" s="76" customFormat="1" ht="32.1" customHeight="1" x14ac:dyDescent="0.15"/>
    <row r="55586" s="76" customFormat="1" ht="32.1" customHeight="1" x14ac:dyDescent="0.15"/>
    <row r="55587" s="76" customFormat="1" ht="32.1" customHeight="1" x14ac:dyDescent="0.15"/>
    <row r="55588" s="76" customFormat="1" ht="32.1" customHeight="1" x14ac:dyDescent="0.15"/>
    <row r="55589" s="76" customFormat="1" ht="21.95" customHeight="1" x14ac:dyDescent="0.15"/>
    <row r="55590" s="76" customFormat="1" ht="54" customHeight="1" x14ac:dyDescent="0.15"/>
    <row r="55591" s="76" customFormat="1" ht="21.95" customHeight="1" x14ac:dyDescent="0.15"/>
    <row r="55592" s="76" customFormat="1" ht="21.95" customHeight="1" x14ac:dyDescent="0.15"/>
    <row r="55593" s="76" customFormat="1" ht="21.95" customHeight="1" x14ac:dyDescent="0.15"/>
    <row r="55594" s="76" customFormat="1" ht="21.95" customHeight="1" x14ac:dyDescent="0.15"/>
    <row r="55595" s="76" customFormat="1" ht="21.95" customHeight="1" x14ac:dyDescent="0.15"/>
    <row r="55596" s="76" customFormat="1" ht="21.95" customHeight="1" x14ac:dyDescent="0.15"/>
    <row r="55597" s="76" customFormat="1" ht="21.95" customHeight="1" x14ac:dyDescent="0.15"/>
    <row r="55598" s="76" customFormat="1" ht="21.95" customHeight="1" x14ac:dyDescent="0.15"/>
    <row r="55599" s="76" customFormat="1" ht="21.95" customHeight="1" x14ac:dyDescent="0.15"/>
    <row r="55600" s="76" customFormat="1" ht="21.95" customHeight="1" x14ac:dyDescent="0.15"/>
    <row r="55601" s="76" customFormat="1" ht="21.95" customHeight="1" x14ac:dyDescent="0.15"/>
    <row r="55602" s="76" customFormat="1" ht="21.95" customHeight="1" x14ac:dyDescent="0.15"/>
    <row r="55603" s="76" customFormat="1" ht="21.95" customHeight="1" x14ac:dyDescent="0.15"/>
    <row r="55604" s="76" customFormat="1" ht="21.95" customHeight="1" x14ac:dyDescent="0.15"/>
    <row r="55605" s="76" customFormat="1" ht="21.95" customHeight="1" x14ac:dyDescent="0.15"/>
    <row r="55606" s="76" customFormat="1" ht="21.95" customHeight="1" x14ac:dyDescent="0.15"/>
    <row r="55607" s="76" customFormat="1" ht="21.95" customHeight="1" x14ac:dyDescent="0.15"/>
    <row r="55608" s="76" customFormat="1" ht="21.95" customHeight="1" x14ac:dyDescent="0.15"/>
    <row r="55609" s="76" customFormat="1" ht="21.95" customHeight="1" x14ac:dyDescent="0.15"/>
    <row r="55610" s="76" customFormat="1" ht="21.95" customHeight="1" x14ac:dyDescent="0.15"/>
    <row r="55611" s="76" customFormat="1" ht="21.95" customHeight="1" x14ac:dyDescent="0.15"/>
    <row r="55612" s="76" customFormat="1" ht="21.95" customHeight="1" x14ac:dyDescent="0.15"/>
    <row r="55613" s="76" customFormat="1" ht="21.95" customHeight="1" x14ac:dyDescent="0.15"/>
    <row r="55614" s="76" customFormat="1" ht="21.95" customHeight="1" x14ac:dyDescent="0.15"/>
    <row r="55615" s="76" customFormat="1" ht="21.95" customHeight="1" x14ac:dyDescent="0.15"/>
    <row r="55616" s="76" customFormat="1" ht="21.95" customHeight="1" x14ac:dyDescent="0.15"/>
    <row r="55617" s="76" customFormat="1" ht="21.95" customHeight="1" x14ac:dyDescent="0.15"/>
    <row r="55618" s="76" customFormat="1" ht="21.95" customHeight="1" x14ac:dyDescent="0.15"/>
    <row r="55619" s="76" customFormat="1" ht="21.95" customHeight="1" x14ac:dyDescent="0.15"/>
    <row r="55620" s="76" customFormat="1" ht="21.95" customHeight="1" x14ac:dyDescent="0.15"/>
    <row r="55621" s="76" customFormat="1" ht="21.95" customHeight="1" x14ac:dyDescent="0.15"/>
    <row r="55622" s="76" customFormat="1" ht="21.95" customHeight="1" x14ac:dyDescent="0.15"/>
    <row r="55623" s="76" customFormat="1" ht="21.95" customHeight="1" x14ac:dyDescent="0.15"/>
    <row r="55624" s="76" customFormat="1" ht="21.95" customHeight="1" x14ac:dyDescent="0.15"/>
    <row r="55625" s="76" customFormat="1" ht="21.95" customHeight="1" x14ac:dyDescent="0.15"/>
    <row r="55626" s="76" customFormat="1" ht="21.95" customHeight="1" x14ac:dyDescent="0.15"/>
    <row r="55627" s="76" customFormat="1" ht="21.95" customHeight="1" x14ac:dyDescent="0.15"/>
    <row r="55628" s="76" customFormat="1" ht="21.95" customHeight="1" x14ac:dyDescent="0.15"/>
    <row r="55629" s="76" customFormat="1" ht="21.95" customHeight="1" x14ac:dyDescent="0.15"/>
    <row r="55630" s="76" customFormat="1" ht="21.95" customHeight="1" x14ac:dyDescent="0.15"/>
    <row r="55631" s="76" customFormat="1" ht="21.95" customHeight="1" x14ac:dyDescent="0.15"/>
    <row r="55632" s="76" customFormat="1" ht="21.95" customHeight="1" x14ac:dyDescent="0.15"/>
    <row r="55633" s="76" customFormat="1" ht="21.95" customHeight="1" x14ac:dyDescent="0.15"/>
    <row r="55634" s="76" customFormat="1" ht="21.95" customHeight="1" x14ac:dyDescent="0.15"/>
    <row r="55635" s="76" customFormat="1" ht="21.95" customHeight="1" x14ac:dyDescent="0.15"/>
    <row r="55636" s="76" customFormat="1" ht="21.95" customHeight="1" x14ac:dyDescent="0.15"/>
    <row r="55637" s="76" customFormat="1" ht="21.95" customHeight="1" x14ac:dyDescent="0.15"/>
    <row r="55638" s="76" customFormat="1" ht="21.95" customHeight="1" x14ac:dyDescent="0.15"/>
    <row r="55639" s="76" customFormat="1" ht="21.95" customHeight="1" x14ac:dyDescent="0.15"/>
    <row r="55640" s="76" customFormat="1" ht="21.95" customHeight="1" x14ac:dyDescent="0.15"/>
    <row r="55641" s="76" customFormat="1" ht="35.1" customHeight="1" x14ac:dyDescent="0.15"/>
    <row r="55642" s="76" customFormat="1" ht="21.95" customHeight="1" x14ac:dyDescent="0.15"/>
    <row r="55643" s="76" customFormat="1" ht="21.95" customHeight="1" x14ac:dyDescent="0.15"/>
    <row r="55644" s="76" customFormat="1" ht="21.95" customHeight="1" x14ac:dyDescent="0.15"/>
    <row r="55645" s="76" customFormat="1" ht="21.95" customHeight="1" x14ac:dyDescent="0.15"/>
    <row r="55646" s="76" customFormat="1" ht="21.95" customHeight="1" x14ac:dyDescent="0.15"/>
    <row r="55647" s="76" customFormat="1" ht="21.95" customHeight="1" x14ac:dyDescent="0.15"/>
    <row r="55648" s="76" customFormat="1" ht="21.95" customHeight="1" x14ac:dyDescent="0.15"/>
    <row r="55649" s="76" customFormat="1" ht="21.95" customHeight="1" x14ac:dyDescent="0.15"/>
    <row r="55650" s="76" customFormat="1" ht="21.95" customHeight="1" x14ac:dyDescent="0.15"/>
    <row r="55651" s="76" customFormat="1" ht="21.95" customHeight="1" x14ac:dyDescent="0.15"/>
    <row r="55652" s="76" customFormat="1" ht="21.95" customHeight="1" x14ac:dyDescent="0.15"/>
    <row r="55653" s="76" customFormat="1" ht="21.95" customHeight="1" x14ac:dyDescent="0.15"/>
    <row r="55654" s="76" customFormat="1" ht="21.95" customHeight="1" x14ac:dyDescent="0.15"/>
    <row r="55655" s="76" customFormat="1" ht="21.95" customHeight="1" x14ac:dyDescent="0.15"/>
    <row r="55656" s="76" customFormat="1" ht="21.95" customHeight="1" x14ac:dyDescent="0.15"/>
    <row r="55657" s="76" customFormat="1" ht="21.95" customHeight="1" x14ac:dyDescent="0.15"/>
    <row r="55658" s="76" customFormat="1" ht="21.95" customHeight="1" x14ac:dyDescent="0.15"/>
    <row r="55659" s="76" customFormat="1" ht="21.95" customHeight="1" x14ac:dyDescent="0.15"/>
    <row r="55660" s="76" customFormat="1" ht="21.95" customHeight="1" x14ac:dyDescent="0.15"/>
    <row r="55661" s="76" customFormat="1" ht="21.95" customHeight="1" x14ac:dyDescent="0.15"/>
    <row r="55662" s="76" customFormat="1" ht="21.95" customHeight="1" x14ac:dyDescent="0.15"/>
    <row r="55663" s="76" customFormat="1" ht="21.95" customHeight="1" x14ac:dyDescent="0.15"/>
    <row r="55664" s="76" customFormat="1" ht="21.95" customHeight="1" x14ac:dyDescent="0.15"/>
    <row r="55665" spans="3:3" customFormat="1" ht="21.95" customHeight="1" x14ac:dyDescent="0.15"/>
    <row r="55666" spans="3:3" customFormat="1" ht="21.95" customHeight="1" x14ac:dyDescent="0.15"/>
    <row r="55667" spans="3:3" customFormat="1" ht="21.95" customHeight="1" x14ac:dyDescent="0.15">
      <c r="C55667" s="94"/>
    </row>
    <row r="55668" spans="3:3" customFormat="1" ht="21.95" customHeight="1" x14ac:dyDescent="0.15">
      <c r="C55668" s="94"/>
    </row>
    <row r="55669" spans="3:3" customFormat="1" ht="21.95" customHeight="1" x14ac:dyDescent="0.15"/>
    <row r="55670" spans="3:3" customFormat="1" ht="21.95" customHeight="1" x14ac:dyDescent="0.15"/>
    <row r="55671" spans="3:3" customFormat="1" ht="21.95" customHeight="1" x14ac:dyDescent="0.15"/>
    <row r="55672" spans="3:3" customFormat="1" ht="21.95" customHeight="1" x14ac:dyDescent="0.15"/>
    <row r="55673" spans="3:3" customFormat="1" ht="21.95" customHeight="1" x14ac:dyDescent="0.15"/>
    <row r="55674" spans="3:3" customFormat="1" ht="21.95" customHeight="1" x14ac:dyDescent="0.15"/>
    <row r="55675" spans="3:3" customFormat="1" ht="21.95" customHeight="1" x14ac:dyDescent="0.15"/>
    <row r="55676" spans="3:3" s="76" customFormat="1" ht="21.95" customHeight="1" x14ac:dyDescent="0.15"/>
    <row r="55677" spans="3:3" s="76" customFormat="1" ht="21.95" customHeight="1" x14ac:dyDescent="0.15"/>
    <row r="55678" spans="3:3" s="76" customFormat="1" ht="21.95" customHeight="1" x14ac:dyDescent="0.15"/>
    <row r="55679" spans="3:3" s="76" customFormat="1" ht="21.95" customHeight="1" x14ac:dyDescent="0.15"/>
    <row r="55680" spans="3:3" customFormat="1" ht="21.95" customHeight="1" x14ac:dyDescent="0.15"/>
    <row r="55681" customFormat="1" ht="21.95" customHeight="1" x14ac:dyDescent="0.15"/>
    <row r="55682" customFormat="1" ht="21.95" customHeight="1" x14ac:dyDescent="0.15"/>
    <row r="55683" customFormat="1" ht="21.95" customHeight="1" x14ac:dyDescent="0.15"/>
    <row r="55684" customFormat="1" ht="21.95" customHeight="1" x14ac:dyDescent="0.15"/>
    <row r="55685" customFormat="1" ht="21.95" customHeight="1" x14ac:dyDescent="0.15"/>
    <row r="55686" customFormat="1" ht="21.95" customHeight="1" x14ac:dyDescent="0.15"/>
    <row r="55687" customFormat="1" ht="21.95" customHeight="1" x14ac:dyDescent="0.15"/>
    <row r="55688" customFormat="1" ht="21.95" customHeight="1" x14ac:dyDescent="0.15"/>
    <row r="55689" customFormat="1" ht="21.95" customHeight="1" x14ac:dyDescent="0.15"/>
    <row r="55690" customFormat="1" ht="21.95" customHeight="1" x14ac:dyDescent="0.15"/>
    <row r="55691" customFormat="1" ht="32.1" customHeight="1" x14ac:dyDescent="0.15"/>
    <row r="55692" customFormat="1" ht="32.1" customHeight="1" x14ac:dyDescent="0.15"/>
    <row r="55693" customFormat="1" ht="32.1" customHeight="1" x14ac:dyDescent="0.15"/>
    <row r="55694" customFormat="1" ht="32.1" customHeight="1" x14ac:dyDescent="0.15"/>
    <row r="55695" customFormat="1" ht="32.1" customHeight="1" x14ac:dyDescent="0.15"/>
    <row r="55696" customFormat="1" ht="32.1" customHeight="1" x14ac:dyDescent="0.15"/>
    <row r="55697" s="76" customFormat="1" ht="32.1" customHeight="1" x14ac:dyDescent="0.15"/>
    <row r="55698" s="76" customFormat="1" ht="32.1" customHeight="1" x14ac:dyDescent="0.15"/>
    <row r="55699" s="76" customFormat="1" ht="32.1" customHeight="1" x14ac:dyDescent="0.15"/>
    <row r="55700" s="76" customFormat="1" ht="32.1" customHeight="1" x14ac:dyDescent="0.15"/>
    <row r="55701" s="76" customFormat="1" ht="21.95" customHeight="1" x14ac:dyDescent="0.15"/>
    <row r="55702" s="76" customFormat="1" ht="54" customHeight="1" x14ac:dyDescent="0.15"/>
    <row r="55703" s="76" customFormat="1" ht="21.95" customHeight="1" x14ac:dyDescent="0.15"/>
    <row r="55704" s="76" customFormat="1" ht="21.95" customHeight="1" x14ac:dyDescent="0.15"/>
    <row r="55705" s="76" customFormat="1" ht="21.95" customHeight="1" x14ac:dyDescent="0.15"/>
    <row r="55706" s="76" customFormat="1" ht="21.95" customHeight="1" x14ac:dyDescent="0.15"/>
    <row r="55707" s="76" customFormat="1" ht="21.95" customHeight="1" x14ac:dyDescent="0.15"/>
    <row r="55708" s="76" customFormat="1" ht="21.95" customHeight="1" x14ac:dyDescent="0.15"/>
    <row r="55709" s="76" customFormat="1" ht="21.95" customHeight="1" x14ac:dyDescent="0.15"/>
    <row r="55710" s="76" customFormat="1" ht="21.95" customHeight="1" x14ac:dyDescent="0.15"/>
    <row r="55711" s="76" customFormat="1" ht="21.95" customHeight="1" x14ac:dyDescent="0.15"/>
    <row r="55712" s="76" customFormat="1" ht="21.95" customHeight="1" x14ac:dyDescent="0.15"/>
    <row r="55713" s="76" customFormat="1" ht="21.95" customHeight="1" x14ac:dyDescent="0.15"/>
    <row r="55714" s="76" customFormat="1" ht="21.95" customHeight="1" x14ac:dyDescent="0.15"/>
    <row r="55715" s="76" customFormat="1" ht="21.95" customHeight="1" x14ac:dyDescent="0.15"/>
    <row r="55716" s="76" customFormat="1" ht="21.95" customHeight="1" x14ac:dyDescent="0.15"/>
    <row r="55717" s="76" customFormat="1" ht="21.95" customHeight="1" x14ac:dyDescent="0.15"/>
    <row r="55718" s="76" customFormat="1" ht="21.95" customHeight="1" x14ac:dyDescent="0.15"/>
    <row r="55719" s="76" customFormat="1" ht="21.95" customHeight="1" x14ac:dyDescent="0.15"/>
    <row r="55720" s="76" customFormat="1" ht="21.95" customHeight="1" x14ac:dyDescent="0.15"/>
    <row r="55721" s="76" customFormat="1" ht="21.95" customHeight="1" x14ac:dyDescent="0.15"/>
    <row r="55722" s="76" customFormat="1" ht="21.95" customHeight="1" x14ac:dyDescent="0.15"/>
    <row r="55723" s="76" customFormat="1" ht="21.95" customHeight="1" x14ac:dyDescent="0.15"/>
    <row r="55724" s="76" customFormat="1" ht="21.95" customHeight="1" x14ac:dyDescent="0.15"/>
    <row r="55725" s="76" customFormat="1" ht="21.95" customHeight="1" x14ac:dyDescent="0.15"/>
    <row r="55726" s="76" customFormat="1" ht="21.95" customHeight="1" x14ac:dyDescent="0.15"/>
    <row r="55727" s="76" customFormat="1" ht="21.95" customHeight="1" x14ac:dyDescent="0.15"/>
    <row r="55728" s="76" customFormat="1" ht="21.95" customHeight="1" x14ac:dyDescent="0.15"/>
    <row r="55729" s="76" customFormat="1" ht="21.95" customHeight="1" x14ac:dyDescent="0.15"/>
    <row r="55730" s="76" customFormat="1" ht="21.95" customHeight="1" x14ac:dyDescent="0.15"/>
    <row r="55731" s="76" customFormat="1" ht="21.95" customHeight="1" x14ac:dyDescent="0.15"/>
    <row r="55732" s="76" customFormat="1" ht="21.95" customHeight="1" x14ac:dyDescent="0.15"/>
    <row r="55733" s="76" customFormat="1" ht="21.95" customHeight="1" x14ac:dyDescent="0.15"/>
    <row r="55734" s="76" customFormat="1" ht="21.95" customHeight="1" x14ac:dyDescent="0.15"/>
    <row r="55735" s="76" customFormat="1" ht="21.95" customHeight="1" x14ac:dyDescent="0.15"/>
    <row r="55736" s="76" customFormat="1" ht="21.95" customHeight="1" x14ac:dyDescent="0.15"/>
    <row r="55737" s="76" customFormat="1" ht="21.95" customHeight="1" x14ac:dyDescent="0.15"/>
    <row r="55738" s="76" customFormat="1" ht="21.95" customHeight="1" x14ac:dyDescent="0.15"/>
    <row r="55739" s="76" customFormat="1" ht="21.95" customHeight="1" x14ac:dyDescent="0.15"/>
    <row r="55740" s="76" customFormat="1" ht="21.95" customHeight="1" x14ac:dyDescent="0.15"/>
    <row r="55741" s="76" customFormat="1" ht="21.95" customHeight="1" x14ac:dyDescent="0.15"/>
    <row r="55742" s="76" customFormat="1" ht="21.95" customHeight="1" x14ac:dyDescent="0.15"/>
    <row r="55743" s="76" customFormat="1" ht="21.95" customHeight="1" x14ac:dyDescent="0.15"/>
    <row r="55744" s="76" customFormat="1" ht="21.95" customHeight="1" x14ac:dyDescent="0.15"/>
    <row r="55745" s="76" customFormat="1" ht="21.95" customHeight="1" x14ac:dyDescent="0.15"/>
    <row r="55746" s="76" customFormat="1" ht="21.95" customHeight="1" x14ac:dyDescent="0.15"/>
    <row r="55747" s="76" customFormat="1" ht="21.95" customHeight="1" x14ac:dyDescent="0.15"/>
    <row r="55748" s="76" customFormat="1" ht="21.95" customHeight="1" x14ac:dyDescent="0.15"/>
    <row r="55749" s="76" customFormat="1" ht="21.95" customHeight="1" x14ac:dyDescent="0.15"/>
    <row r="55750" s="76" customFormat="1" ht="21.95" customHeight="1" x14ac:dyDescent="0.15"/>
    <row r="55751" s="76" customFormat="1" ht="21.95" customHeight="1" x14ac:dyDescent="0.15"/>
    <row r="55752" s="76" customFormat="1" ht="21.95" customHeight="1" x14ac:dyDescent="0.15"/>
    <row r="55753" s="76" customFormat="1" ht="35.1" customHeight="1" x14ac:dyDescent="0.15"/>
    <row r="55754" s="76" customFormat="1" ht="21.95" customHeight="1" x14ac:dyDescent="0.15"/>
    <row r="55755" s="76" customFormat="1" ht="21.95" customHeight="1" x14ac:dyDescent="0.15"/>
    <row r="55756" s="76" customFormat="1" ht="21.95" customHeight="1" x14ac:dyDescent="0.15"/>
    <row r="55757" s="76" customFormat="1" ht="21.95" customHeight="1" x14ac:dyDescent="0.15"/>
    <row r="55758" s="76" customFormat="1" ht="21.95" customHeight="1" x14ac:dyDescent="0.15"/>
    <row r="55759" s="76" customFormat="1" ht="21.95" customHeight="1" x14ac:dyDescent="0.15"/>
    <row r="55760" s="76" customFormat="1" ht="21.95" customHeight="1" x14ac:dyDescent="0.15"/>
    <row r="55761" s="76" customFormat="1" ht="21.95" customHeight="1" x14ac:dyDescent="0.15"/>
    <row r="55762" s="76" customFormat="1" ht="21.95" customHeight="1" x14ac:dyDescent="0.15"/>
    <row r="55763" s="76" customFormat="1" ht="21.95" customHeight="1" x14ac:dyDescent="0.15"/>
    <row r="55764" s="76" customFormat="1" ht="21.95" customHeight="1" x14ac:dyDescent="0.15"/>
    <row r="55765" s="76" customFormat="1" ht="21.95" customHeight="1" x14ac:dyDescent="0.15"/>
    <row r="55766" s="76" customFormat="1" ht="21.95" customHeight="1" x14ac:dyDescent="0.15"/>
    <row r="55767" s="76" customFormat="1" ht="21.95" customHeight="1" x14ac:dyDescent="0.15"/>
    <row r="55768" s="76" customFormat="1" ht="21.95" customHeight="1" x14ac:dyDescent="0.15"/>
    <row r="55769" s="76" customFormat="1" ht="21.95" customHeight="1" x14ac:dyDescent="0.15"/>
    <row r="55770" s="76" customFormat="1" ht="21.95" customHeight="1" x14ac:dyDescent="0.15"/>
    <row r="55771" s="76" customFormat="1" ht="21.95" customHeight="1" x14ac:dyDescent="0.15"/>
    <row r="55772" s="76" customFormat="1" ht="21.95" customHeight="1" x14ac:dyDescent="0.15"/>
    <row r="55773" s="76" customFormat="1" ht="21.95" customHeight="1" x14ac:dyDescent="0.15"/>
    <row r="55774" s="76" customFormat="1" ht="21.95" customHeight="1" x14ac:dyDescent="0.15"/>
    <row r="55775" s="76" customFormat="1" ht="21.95" customHeight="1" x14ac:dyDescent="0.15"/>
    <row r="55776" s="76" customFormat="1" ht="21.95" customHeight="1" x14ac:dyDescent="0.15"/>
    <row r="55777" spans="3:3" customFormat="1" ht="21.95" customHeight="1" x14ac:dyDescent="0.15"/>
    <row r="55778" spans="3:3" customFormat="1" ht="21.95" customHeight="1" x14ac:dyDescent="0.15"/>
    <row r="55779" spans="3:3" customFormat="1" ht="21.95" customHeight="1" x14ac:dyDescent="0.15">
      <c r="C55779" s="94"/>
    </row>
    <row r="55780" spans="3:3" customFormat="1" ht="21.95" customHeight="1" x14ac:dyDescent="0.15">
      <c r="C55780" s="94"/>
    </row>
    <row r="55781" spans="3:3" customFormat="1" ht="21.95" customHeight="1" x14ac:dyDescent="0.15"/>
    <row r="55782" spans="3:3" customFormat="1" ht="21.95" customHeight="1" x14ac:dyDescent="0.15"/>
    <row r="55783" spans="3:3" customFormat="1" ht="21.95" customHeight="1" x14ac:dyDescent="0.15"/>
    <row r="55784" spans="3:3" customFormat="1" ht="21.95" customHeight="1" x14ac:dyDescent="0.15"/>
    <row r="55785" spans="3:3" customFormat="1" ht="21.95" customHeight="1" x14ac:dyDescent="0.15"/>
    <row r="55786" spans="3:3" customFormat="1" ht="21.95" customHeight="1" x14ac:dyDescent="0.15"/>
    <row r="55787" spans="3:3" customFormat="1" ht="21.95" customHeight="1" x14ac:dyDescent="0.15"/>
    <row r="55788" spans="3:3" s="76" customFormat="1" ht="21.95" customHeight="1" x14ac:dyDescent="0.15"/>
    <row r="55789" spans="3:3" s="76" customFormat="1" ht="21.95" customHeight="1" x14ac:dyDescent="0.15"/>
    <row r="55790" spans="3:3" s="76" customFormat="1" ht="21.95" customHeight="1" x14ac:dyDescent="0.15"/>
    <row r="55791" spans="3:3" s="76" customFormat="1" ht="21.95" customHeight="1" x14ac:dyDescent="0.15"/>
    <row r="55792" spans="3:3" customFormat="1" ht="21.95" customHeight="1" x14ac:dyDescent="0.15"/>
    <row r="55793" customFormat="1" ht="21.95" customHeight="1" x14ac:dyDescent="0.15"/>
    <row r="55794" customFormat="1" ht="21.95" customHeight="1" x14ac:dyDescent="0.15"/>
    <row r="55795" customFormat="1" ht="21.95" customHeight="1" x14ac:dyDescent="0.15"/>
    <row r="55796" customFormat="1" ht="21.95" customHeight="1" x14ac:dyDescent="0.15"/>
    <row r="55797" customFormat="1" ht="21.95" customHeight="1" x14ac:dyDescent="0.15"/>
    <row r="55798" customFormat="1" ht="21.95" customHeight="1" x14ac:dyDescent="0.15"/>
    <row r="55799" customFormat="1" ht="21.95" customHeight="1" x14ac:dyDescent="0.15"/>
    <row r="55800" customFormat="1" ht="21.95" customHeight="1" x14ac:dyDescent="0.15"/>
    <row r="55801" customFormat="1" ht="21.95" customHeight="1" x14ac:dyDescent="0.15"/>
    <row r="55802" customFormat="1" ht="21.95" customHeight="1" x14ac:dyDescent="0.15"/>
    <row r="55803" customFormat="1" ht="32.1" customHeight="1" x14ac:dyDescent="0.15"/>
    <row r="55804" customFormat="1" ht="32.1" customHeight="1" x14ac:dyDescent="0.15"/>
    <row r="55805" customFormat="1" ht="32.1" customHeight="1" x14ac:dyDescent="0.15"/>
    <row r="55806" customFormat="1" ht="32.1" customHeight="1" x14ac:dyDescent="0.15"/>
    <row r="55807" customFormat="1" ht="32.1" customHeight="1" x14ac:dyDescent="0.15"/>
    <row r="55808" customFormat="1" ht="32.1" customHeight="1" x14ac:dyDescent="0.15"/>
    <row r="55809" s="76" customFormat="1" ht="32.1" customHeight="1" x14ac:dyDescent="0.15"/>
    <row r="55810" s="76" customFormat="1" ht="32.1" customHeight="1" x14ac:dyDescent="0.15"/>
    <row r="55811" s="76" customFormat="1" ht="32.1" customHeight="1" x14ac:dyDescent="0.15"/>
    <row r="55812" s="76" customFormat="1" ht="32.1" customHeight="1" x14ac:dyDescent="0.15"/>
    <row r="55813" s="76" customFormat="1" ht="21.95" customHeight="1" x14ac:dyDescent="0.15"/>
    <row r="55814" s="76" customFormat="1" ht="54" customHeight="1" x14ac:dyDescent="0.15"/>
    <row r="55815" s="76" customFormat="1" ht="21.95" customHeight="1" x14ac:dyDescent="0.15"/>
    <row r="55816" s="76" customFormat="1" ht="21.95" customHeight="1" x14ac:dyDescent="0.15"/>
    <row r="55817" s="76" customFormat="1" ht="21.95" customHeight="1" x14ac:dyDescent="0.15"/>
    <row r="55818" s="76" customFormat="1" ht="21.95" customHeight="1" x14ac:dyDescent="0.15"/>
    <row r="55819" s="76" customFormat="1" ht="21.95" customHeight="1" x14ac:dyDescent="0.15"/>
    <row r="55820" s="76" customFormat="1" ht="21.95" customHeight="1" x14ac:dyDescent="0.15"/>
    <row r="55821" s="76" customFormat="1" ht="21.95" customHeight="1" x14ac:dyDescent="0.15"/>
    <row r="55822" s="76" customFormat="1" ht="21.95" customHeight="1" x14ac:dyDescent="0.15"/>
    <row r="55823" s="76" customFormat="1" ht="21.95" customHeight="1" x14ac:dyDescent="0.15"/>
    <row r="55824" s="76" customFormat="1" ht="21.95" customHeight="1" x14ac:dyDescent="0.15"/>
    <row r="55825" s="76" customFormat="1" ht="21.95" customHeight="1" x14ac:dyDescent="0.15"/>
    <row r="55826" s="76" customFormat="1" ht="21.95" customHeight="1" x14ac:dyDescent="0.15"/>
    <row r="55827" s="76" customFormat="1" ht="21.95" customHeight="1" x14ac:dyDescent="0.15"/>
    <row r="55828" s="76" customFormat="1" ht="21.95" customHeight="1" x14ac:dyDescent="0.15"/>
    <row r="55829" s="76" customFormat="1" ht="21.95" customHeight="1" x14ac:dyDescent="0.15"/>
    <row r="55830" s="76" customFormat="1" ht="21.95" customHeight="1" x14ac:dyDescent="0.15"/>
    <row r="55831" s="76" customFormat="1" ht="21.95" customHeight="1" x14ac:dyDescent="0.15"/>
    <row r="55832" s="76" customFormat="1" ht="21.95" customHeight="1" x14ac:dyDescent="0.15"/>
    <row r="55833" s="76" customFormat="1" ht="21.95" customHeight="1" x14ac:dyDescent="0.15"/>
    <row r="55834" s="76" customFormat="1" ht="21.95" customHeight="1" x14ac:dyDescent="0.15"/>
    <row r="55835" s="76" customFormat="1" ht="21.95" customHeight="1" x14ac:dyDescent="0.15"/>
    <row r="55836" s="76" customFormat="1" ht="21.95" customHeight="1" x14ac:dyDescent="0.15"/>
    <row r="55837" s="76" customFormat="1" ht="21.95" customHeight="1" x14ac:dyDescent="0.15"/>
    <row r="55838" s="76" customFormat="1" ht="21.95" customHeight="1" x14ac:dyDescent="0.15"/>
    <row r="55839" s="76" customFormat="1" ht="21.95" customHeight="1" x14ac:dyDescent="0.15"/>
    <row r="55840" s="76" customFormat="1" ht="21.95" customHeight="1" x14ac:dyDescent="0.15"/>
    <row r="55841" s="76" customFormat="1" ht="21.95" customHeight="1" x14ac:dyDescent="0.15"/>
    <row r="55842" s="76" customFormat="1" ht="21.95" customHeight="1" x14ac:dyDescent="0.15"/>
    <row r="55843" s="76" customFormat="1" ht="21.95" customHeight="1" x14ac:dyDescent="0.15"/>
    <row r="55844" s="76" customFormat="1" ht="21.95" customHeight="1" x14ac:dyDescent="0.15"/>
    <row r="55845" s="76" customFormat="1" ht="21.95" customHeight="1" x14ac:dyDescent="0.15"/>
    <row r="55846" s="76" customFormat="1" ht="21.95" customHeight="1" x14ac:dyDescent="0.15"/>
    <row r="55847" s="76" customFormat="1" ht="21.95" customHeight="1" x14ac:dyDescent="0.15"/>
    <row r="55848" s="76" customFormat="1" ht="21.95" customHeight="1" x14ac:dyDescent="0.15"/>
    <row r="55849" s="76" customFormat="1" ht="21.95" customHeight="1" x14ac:dyDescent="0.15"/>
    <row r="55850" s="76" customFormat="1" ht="21.95" customHeight="1" x14ac:dyDescent="0.15"/>
    <row r="55851" s="76" customFormat="1" ht="21.95" customHeight="1" x14ac:dyDescent="0.15"/>
    <row r="55852" s="76" customFormat="1" ht="21.95" customHeight="1" x14ac:dyDescent="0.15"/>
    <row r="55853" s="76" customFormat="1" ht="21.95" customHeight="1" x14ac:dyDescent="0.15"/>
    <row r="55854" s="76" customFormat="1" ht="21.95" customHeight="1" x14ac:dyDescent="0.15"/>
    <row r="55855" s="76" customFormat="1" ht="21.95" customHeight="1" x14ac:dyDescent="0.15"/>
    <row r="55856" s="76" customFormat="1" ht="21.95" customHeight="1" x14ac:dyDescent="0.15"/>
    <row r="55857" s="76" customFormat="1" ht="21.95" customHeight="1" x14ac:dyDescent="0.15"/>
    <row r="55858" s="76" customFormat="1" ht="21.95" customHeight="1" x14ac:dyDescent="0.15"/>
    <row r="55859" s="76" customFormat="1" ht="21.95" customHeight="1" x14ac:dyDescent="0.15"/>
    <row r="55860" s="76" customFormat="1" ht="21.95" customHeight="1" x14ac:dyDescent="0.15"/>
    <row r="55861" s="76" customFormat="1" ht="21.95" customHeight="1" x14ac:dyDescent="0.15"/>
    <row r="55862" s="76" customFormat="1" ht="21.95" customHeight="1" x14ac:dyDescent="0.15"/>
    <row r="55863" s="76" customFormat="1" ht="21.95" customHeight="1" x14ac:dyDescent="0.15"/>
    <row r="55864" s="76" customFormat="1" ht="21.95" customHeight="1" x14ac:dyDescent="0.15"/>
    <row r="55865" s="76" customFormat="1" ht="35.1" customHeight="1" x14ac:dyDescent="0.15"/>
    <row r="55866" s="76" customFormat="1" ht="21.95" customHeight="1" x14ac:dyDescent="0.15"/>
    <row r="55867" s="76" customFormat="1" ht="21.95" customHeight="1" x14ac:dyDescent="0.15"/>
    <row r="55868" s="76" customFormat="1" ht="21.95" customHeight="1" x14ac:dyDescent="0.15"/>
    <row r="55869" s="76" customFormat="1" ht="21.95" customHeight="1" x14ac:dyDescent="0.15"/>
    <row r="55870" s="76" customFormat="1" ht="21.95" customHeight="1" x14ac:dyDescent="0.15"/>
    <row r="55871" s="76" customFormat="1" ht="21.95" customHeight="1" x14ac:dyDescent="0.15"/>
    <row r="55872" s="76" customFormat="1" ht="21.95" customHeight="1" x14ac:dyDescent="0.15"/>
    <row r="55873" s="76" customFormat="1" ht="21.95" customHeight="1" x14ac:dyDescent="0.15"/>
    <row r="55874" s="76" customFormat="1" ht="21.95" customHeight="1" x14ac:dyDescent="0.15"/>
    <row r="55875" s="76" customFormat="1" ht="21.95" customHeight="1" x14ac:dyDescent="0.15"/>
    <row r="55876" s="76" customFormat="1" ht="21.95" customHeight="1" x14ac:dyDescent="0.15"/>
    <row r="55877" s="76" customFormat="1" ht="21.95" customHeight="1" x14ac:dyDescent="0.15"/>
    <row r="55878" s="76" customFormat="1" ht="21.95" customHeight="1" x14ac:dyDescent="0.15"/>
    <row r="55879" s="76" customFormat="1" ht="21.95" customHeight="1" x14ac:dyDescent="0.15"/>
    <row r="55880" s="76" customFormat="1" ht="21.95" customHeight="1" x14ac:dyDescent="0.15"/>
    <row r="55881" s="76" customFormat="1" ht="21.95" customHeight="1" x14ac:dyDescent="0.15"/>
    <row r="55882" s="76" customFormat="1" ht="21.95" customHeight="1" x14ac:dyDescent="0.15"/>
    <row r="55883" s="76" customFormat="1" ht="21.95" customHeight="1" x14ac:dyDescent="0.15"/>
    <row r="55884" s="76" customFormat="1" ht="21.95" customHeight="1" x14ac:dyDescent="0.15"/>
    <row r="55885" s="76" customFormat="1" ht="21.95" customHeight="1" x14ac:dyDescent="0.15"/>
    <row r="55886" s="76" customFormat="1" ht="21.95" customHeight="1" x14ac:dyDescent="0.15"/>
    <row r="55887" s="76" customFormat="1" ht="21.95" customHeight="1" x14ac:dyDescent="0.15"/>
    <row r="55888" s="76" customFormat="1" ht="21.95" customHeight="1" x14ac:dyDescent="0.15"/>
    <row r="55889" spans="3:3" customFormat="1" ht="21.95" customHeight="1" x14ac:dyDescent="0.15"/>
    <row r="55890" spans="3:3" customFormat="1" ht="21.95" customHeight="1" x14ac:dyDescent="0.15"/>
    <row r="55891" spans="3:3" customFormat="1" ht="21.95" customHeight="1" x14ac:dyDescent="0.15">
      <c r="C55891" s="94"/>
    </row>
    <row r="55892" spans="3:3" customFormat="1" ht="21.95" customHeight="1" x14ac:dyDescent="0.15">
      <c r="C55892" s="94"/>
    </row>
    <row r="55893" spans="3:3" customFormat="1" ht="21.95" customHeight="1" x14ac:dyDescent="0.15"/>
    <row r="55894" spans="3:3" customFormat="1" ht="21.95" customHeight="1" x14ac:dyDescent="0.15"/>
    <row r="55895" spans="3:3" customFormat="1" ht="21.95" customHeight="1" x14ac:dyDescent="0.15"/>
    <row r="55896" spans="3:3" customFormat="1" ht="21.95" customHeight="1" x14ac:dyDescent="0.15"/>
    <row r="55897" spans="3:3" customFormat="1" ht="21.95" customHeight="1" x14ac:dyDescent="0.15"/>
    <row r="55898" spans="3:3" customFormat="1" ht="21.95" customHeight="1" x14ac:dyDescent="0.15"/>
    <row r="55899" spans="3:3" customFormat="1" ht="21.95" customHeight="1" x14ac:dyDescent="0.15"/>
    <row r="55900" spans="3:3" s="76" customFormat="1" ht="21.95" customHeight="1" x14ac:dyDescent="0.15"/>
    <row r="55901" spans="3:3" s="76" customFormat="1" ht="21.95" customHeight="1" x14ac:dyDescent="0.15"/>
    <row r="55902" spans="3:3" s="76" customFormat="1" ht="21.95" customHeight="1" x14ac:dyDescent="0.15"/>
    <row r="55903" spans="3:3" s="76" customFormat="1" ht="21.95" customHeight="1" x14ac:dyDescent="0.15"/>
    <row r="55904" spans="3:3" customFormat="1" ht="21.95" customHeight="1" x14ac:dyDescent="0.15"/>
    <row r="55905" customFormat="1" ht="21.95" customHeight="1" x14ac:dyDescent="0.15"/>
    <row r="55906" customFormat="1" ht="21.95" customHeight="1" x14ac:dyDescent="0.15"/>
    <row r="55907" customFormat="1" ht="21.95" customHeight="1" x14ac:dyDescent="0.15"/>
    <row r="55908" customFormat="1" ht="21.95" customHeight="1" x14ac:dyDescent="0.15"/>
    <row r="55909" customFormat="1" ht="21.95" customHeight="1" x14ac:dyDescent="0.15"/>
    <row r="55910" customFormat="1" ht="21.95" customHeight="1" x14ac:dyDescent="0.15"/>
    <row r="55911" customFormat="1" ht="21.95" customHeight="1" x14ac:dyDescent="0.15"/>
    <row r="55912" customFormat="1" ht="21.95" customHeight="1" x14ac:dyDescent="0.15"/>
    <row r="55913" customFormat="1" ht="21.95" customHeight="1" x14ac:dyDescent="0.15"/>
    <row r="55914" customFormat="1" ht="21.95" customHeight="1" x14ac:dyDescent="0.15"/>
    <row r="55915" customFormat="1" ht="32.1" customHeight="1" x14ac:dyDescent="0.15"/>
    <row r="55916" customFormat="1" ht="32.1" customHeight="1" x14ac:dyDescent="0.15"/>
    <row r="55917" customFormat="1" ht="32.1" customHeight="1" x14ac:dyDescent="0.15"/>
    <row r="55918" customFormat="1" ht="32.1" customHeight="1" x14ac:dyDescent="0.15"/>
    <row r="55919" customFormat="1" ht="32.1" customHeight="1" x14ac:dyDescent="0.15"/>
    <row r="55920" customFormat="1" ht="32.1" customHeight="1" x14ac:dyDescent="0.15"/>
    <row r="55921" s="76" customFormat="1" ht="32.1" customHeight="1" x14ac:dyDescent="0.15"/>
    <row r="55922" s="76" customFormat="1" ht="32.1" customHeight="1" x14ac:dyDescent="0.15"/>
    <row r="55923" s="76" customFormat="1" ht="32.1" customHeight="1" x14ac:dyDescent="0.15"/>
    <row r="55924" s="76" customFormat="1" ht="32.1" customHeight="1" x14ac:dyDescent="0.15"/>
    <row r="55925" s="76" customFormat="1" ht="21.95" customHeight="1" x14ac:dyDescent="0.15"/>
    <row r="55926" s="76" customFormat="1" ht="54" customHeight="1" x14ac:dyDescent="0.15"/>
    <row r="55927" s="76" customFormat="1" ht="21.95" customHeight="1" x14ac:dyDescent="0.15"/>
    <row r="55928" s="76" customFormat="1" ht="21.95" customHeight="1" x14ac:dyDescent="0.15"/>
    <row r="55929" s="76" customFormat="1" ht="21.95" customHeight="1" x14ac:dyDescent="0.15"/>
    <row r="55930" s="76" customFormat="1" ht="21.95" customHeight="1" x14ac:dyDescent="0.15"/>
    <row r="55931" s="76" customFormat="1" ht="21.95" customHeight="1" x14ac:dyDescent="0.15"/>
    <row r="55932" s="76" customFormat="1" ht="21.95" customHeight="1" x14ac:dyDescent="0.15"/>
    <row r="55933" s="76" customFormat="1" ht="21.95" customHeight="1" x14ac:dyDescent="0.15"/>
    <row r="55934" s="76" customFormat="1" ht="21.95" customHeight="1" x14ac:dyDescent="0.15"/>
    <row r="55935" s="76" customFormat="1" ht="21.95" customHeight="1" x14ac:dyDescent="0.15"/>
    <row r="55936" s="76" customFormat="1" ht="21.95" customHeight="1" x14ac:dyDescent="0.15"/>
    <row r="55937" s="76" customFormat="1" ht="21.95" customHeight="1" x14ac:dyDescent="0.15"/>
    <row r="55938" s="76" customFormat="1" ht="21.95" customHeight="1" x14ac:dyDescent="0.15"/>
    <row r="55939" s="76" customFormat="1" ht="21.95" customHeight="1" x14ac:dyDescent="0.15"/>
    <row r="55940" s="76" customFormat="1" ht="21.95" customHeight="1" x14ac:dyDescent="0.15"/>
    <row r="55941" s="76" customFormat="1" ht="21.95" customHeight="1" x14ac:dyDescent="0.15"/>
    <row r="55942" s="76" customFormat="1" ht="21.95" customHeight="1" x14ac:dyDescent="0.15"/>
    <row r="55943" s="76" customFormat="1" ht="21.95" customHeight="1" x14ac:dyDescent="0.15"/>
    <row r="55944" s="76" customFormat="1" ht="21.95" customHeight="1" x14ac:dyDescent="0.15"/>
    <row r="55945" s="76" customFormat="1" ht="21.95" customHeight="1" x14ac:dyDescent="0.15"/>
    <row r="55946" s="76" customFormat="1" ht="21.95" customHeight="1" x14ac:dyDescent="0.15"/>
    <row r="55947" s="76" customFormat="1" ht="21.95" customHeight="1" x14ac:dyDescent="0.15"/>
    <row r="55948" s="76" customFormat="1" ht="21.95" customHeight="1" x14ac:dyDescent="0.15"/>
    <row r="55949" s="76" customFormat="1" ht="21.95" customHeight="1" x14ac:dyDescent="0.15"/>
    <row r="55950" s="76" customFormat="1" ht="21.95" customHeight="1" x14ac:dyDescent="0.15"/>
    <row r="55951" s="76" customFormat="1" ht="21.95" customHeight="1" x14ac:dyDescent="0.15"/>
    <row r="55952" s="76" customFormat="1" ht="21.95" customHeight="1" x14ac:dyDescent="0.15"/>
    <row r="55953" s="76" customFormat="1" ht="21.95" customHeight="1" x14ac:dyDescent="0.15"/>
    <row r="55954" s="76" customFormat="1" ht="21.95" customHeight="1" x14ac:dyDescent="0.15"/>
    <row r="55955" s="76" customFormat="1" ht="21.95" customHeight="1" x14ac:dyDescent="0.15"/>
    <row r="55956" s="76" customFormat="1" ht="21.95" customHeight="1" x14ac:dyDescent="0.15"/>
    <row r="55957" s="76" customFormat="1" ht="21.95" customHeight="1" x14ac:dyDescent="0.15"/>
    <row r="55958" s="76" customFormat="1" ht="21.95" customHeight="1" x14ac:dyDescent="0.15"/>
    <row r="55959" s="76" customFormat="1" ht="21.95" customHeight="1" x14ac:dyDescent="0.15"/>
    <row r="55960" s="76" customFormat="1" ht="21.95" customHeight="1" x14ac:dyDescent="0.15"/>
    <row r="55961" s="76" customFormat="1" ht="21.95" customHeight="1" x14ac:dyDescent="0.15"/>
    <row r="55962" s="76" customFormat="1" ht="21.95" customHeight="1" x14ac:dyDescent="0.15"/>
    <row r="55963" s="76" customFormat="1" ht="21.95" customHeight="1" x14ac:dyDescent="0.15"/>
    <row r="55964" s="76" customFormat="1" ht="21.95" customHeight="1" x14ac:dyDescent="0.15"/>
    <row r="55965" s="76" customFormat="1" ht="21.95" customHeight="1" x14ac:dyDescent="0.15"/>
    <row r="55966" s="76" customFormat="1" ht="21.95" customHeight="1" x14ac:dyDescent="0.15"/>
    <row r="55967" s="76" customFormat="1" ht="21.95" customHeight="1" x14ac:dyDescent="0.15"/>
    <row r="55968" s="76" customFormat="1" ht="21.95" customHeight="1" x14ac:dyDescent="0.15"/>
    <row r="55969" s="76" customFormat="1" ht="21.95" customHeight="1" x14ac:dyDescent="0.15"/>
    <row r="55970" s="76" customFormat="1" ht="21.95" customHeight="1" x14ac:dyDescent="0.15"/>
    <row r="55971" s="76" customFormat="1" ht="21.95" customHeight="1" x14ac:dyDescent="0.15"/>
    <row r="55972" s="76" customFormat="1" ht="21.95" customHeight="1" x14ac:dyDescent="0.15"/>
    <row r="55973" s="76" customFormat="1" ht="21.95" customHeight="1" x14ac:dyDescent="0.15"/>
    <row r="55974" s="76" customFormat="1" ht="21.95" customHeight="1" x14ac:dyDescent="0.15"/>
    <row r="55975" s="76" customFormat="1" ht="21.95" customHeight="1" x14ac:dyDescent="0.15"/>
    <row r="55976" s="76" customFormat="1" ht="21.95" customHeight="1" x14ac:dyDescent="0.15"/>
    <row r="55977" s="76" customFormat="1" ht="35.1" customHeight="1" x14ac:dyDescent="0.15"/>
    <row r="55978" s="76" customFormat="1" ht="21.95" customHeight="1" x14ac:dyDescent="0.15"/>
    <row r="55979" s="76" customFormat="1" ht="21.95" customHeight="1" x14ac:dyDescent="0.15"/>
    <row r="55980" s="76" customFormat="1" ht="21.95" customHeight="1" x14ac:dyDescent="0.15"/>
    <row r="55981" s="76" customFormat="1" ht="21.95" customHeight="1" x14ac:dyDescent="0.15"/>
    <row r="55982" s="76" customFormat="1" ht="21.95" customHeight="1" x14ac:dyDescent="0.15"/>
    <row r="55983" s="76" customFormat="1" ht="21.95" customHeight="1" x14ac:dyDescent="0.15"/>
    <row r="55984" s="76" customFormat="1" ht="21.95" customHeight="1" x14ac:dyDescent="0.15"/>
    <row r="55985" s="76" customFormat="1" ht="21.95" customHeight="1" x14ac:dyDescent="0.15"/>
    <row r="55986" s="76" customFormat="1" ht="21.95" customHeight="1" x14ac:dyDescent="0.15"/>
    <row r="55987" s="76" customFormat="1" ht="21.95" customHeight="1" x14ac:dyDescent="0.15"/>
    <row r="55988" s="76" customFormat="1" ht="21.95" customHeight="1" x14ac:dyDescent="0.15"/>
    <row r="55989" s="76" customFormat="1" ht="21.95" customHeight="1" x14ac:dyDescent="0.15"/>
    <row r="55990" s="76" customFormat="1" ht="21.95" customHeight="1" x14ac:dyDescent="0.15"/>
    <row r="55991" s="76" customFormat="1" ht="21.95" customHeight="1" x14ac:dyDescent="0.15"/>
    <row r="55992" s="76" customFormat="1" ht="21.95" customHeight="1" x14ac:dyDescent="0.15"/>
    <row r="55993" s="76" customFormat="1" ht="21.95" customHeight="1" x14ac:dyDescent="0.15"/>
    <row r="55994" s="76" customFormat="1" ht="21.95" customHeight="1" x14ac:dyDescent="0.15"/>
    <row r="55995" s="76" customFormat="1" ht="21.95" customHeight="1" x14ac:dyDescent="0.15"/>
    <row r="55996" s="76" customFormat="1" ht="21.95" customHeight="1" x14ac:dyDescent="0.15"/>
    <row r="55997" s="76" customFormat="1" ht="21.95" customHeight="1" x14ac:dyDescent="0.15"/>
    <row r="55998" s="76" customFormat="1" ht="21.95" customHeight="1" x14ac:dyDescent="0.15"/>
    <row r="55999" s="76" customFormat="1" ht="21.95" customHeight="1" x14ac:dyDescent="0.15"/>
    <row r="56000" s="76" customFormat="1" ht="21.95" customHeight="1" x14ac:dyDescent="0.15"/>
    <row r="56001" spans="3:3" customFormat="1" ht="21.95" customHeight="1" x14ac:dyDescent="0.15"/>
    <row r="56002" spans="3:3" customFormat="1" ht="21.95" customHeight="1" x14ac:dyDescent="0.15"/>
    <row r="56003" spans="3:3" customFormat="1" ht="21.95" customHeight="1" x14ac:dyDescent="0.15">
      <c r="C56003" s="94"/>
    </row>
    <row r="56004" spans="3:3" customFormat="1" ht="21.95" customHeight="1" x14ac:dyDescent="0.15">
      <c r="C56004" s="94"/>
    </row>
    <row r="56005" spans="3:3" customFormat="1" ht="21.95" customHeight="1" x14ac:dyDescent="0.15"/>
    <row r="56006" spans="3:3" customFormat="1" ht="21.95" customHeight="1" x14ac:dyDescent="0.15"/>
    <row r="56007" spans="3:3" customFormat="1" ht="21.95" customHeight="1" x14ac:dyDescent="0.15"/>
    <row r="56008" spans="3:3" customFormat="1" ht="21.95" customHeight="1" x14ac:dyDescent="0.15"/>
    <row r="56009" spans="3:3" customFormat="1" ht="21.95" customHeight="1" x14ac:dyDescent="0.15"/>
    <row r="56010" spans="3:3" customFormat="1" ht="21.95" customHeight="1" x14ac:dyDescent="0.15"/>
    <row r="56011" spans="3:3" customFormat="1" ht="21.95" customHeight="1" x14ac:dyDescent="0.15"/>
    <row r="56012" spans="3:3" s="76" customFormat="1" ht="21.95" customHeight="1" x14ac:dyDescent="0.15"/>
    <row r="56013" spans="3:3" s="76" customFormat="1" ht="21.95" customHeight="1" x14ac:dyDescent="0.15"/>
    <row r="56014" spans="3:3" s="76" customFormat="1" ht="21.95" customHeight="1" x14ac:dyDescent="0.15"/>
    <row r="56015" spans="3:3" s="76" customFormat="1" ht="21.95" customHeight="1" x14ac:dyDescent="0.15"/>
    <row r="56016" spans="3:3" customFormat="1" ht="21.95" customHeight="1" x14ac:dyDescent="0.15"/>
    <row r="56017" customFormat="1" ht="21.95" customHeight="1" x14ac:dyDescent="0.15"/>
    <row r="56018" customFormat="1" ht="21.95" customHeight="1" x14ac:dyDescent="0.15"/>
    <row r="56019" customFormat="1" ht="21.95" customHeight="1" x14ac:dyDescent="0.15"/>
    <row r="56020" customFormat="1" ht="21.95" customHeight="1" x14ac:dyDescent="0.15"/>
    <row r="56021" customFormat="1" ht="21.95" customHeight="1" x14ac:dyDescent="0.15"/>
    <row r="56022" customFormat="1" ht="21.95" customHeight="1" x14ac:dyDescent="0.15"/>
    <row r="56023" customFormat="1" ht="21.95" customHeight="1" x14ac:dyDescent="0.15"/>
    <row r="56024" customFormat="1" ht="21.95" customHeight="1" x14ac:dyDescent="0.15"/>
    <row r="56025" customFormat="1" ht="21.95" customHeight="1" x14ac:dyDescent="0.15"/>
    <row r="56026" customFormat="1" ht="21.95" customHeight="1" x14ac:dyDescent="0.15"/>
    <row r="56027" customFormat="1" ht="32.1" customHeight="1" x14ac:dyDescent="0.15"/>
    <row r="56028" customFormat="1" ht="32.1" customHeight="1" x14ac:dyDescent="0.15"/>
    <row r="56029" customFormat="1" ht="32.1" customHeight="1" x14ac:dyDescent="0.15"/>
    <row r="56030" customFormat="1" ht="32.1" customHeight="1" x14ac:dyDescent="0.15"/>
    <row r="56031" customFormat="1" ht="32.1" customHeight="1" x14ac:dyDescent="0.15"/>
    <row r="56032" customFormat="1" ht="32.1" customHeight="1" x14ac:dyDescent="0.15"/>
    <row r="56033" s="76" customFormat="1" ht="32.1" customHeight="1" x14ac:dyDescent="0.15"/>
    <row r="56034" s="76" customFormat="1" ht="32.1" customHeight="1" x14ac:dyDescent="0.15"/>
    <row r="56035" s="76" customFormat="1" ht="32.1" customHeight="1" x14ac:dyDescent="0.15"/>
    <row r="56036" s="76" customFormat="1" ht="32.1" customHeight="1" x14ac:dyDescent="0.15"/>
    <row r="56037" s="76" customFormat="1" ht="21.95" customHeight="1" x14ac:dyDescent="0.15"/>
    <row r="56038" s="76" customFormat="1" ht="54" customHeight="1" x14ac:dyDescent="0.15"/>
    <row r="56039" s="76" customFormat="1" ht="21.95" customHeight="1" x14ac:dyDescent="0.15"/>
    <row r="56040" s="76" customFormat="1" ht="21.95" customHeight="1" x14ac:dyDescent="0.15"/>
    <row r="56041" s="76" customFormat="1" ht="21.95" customHeight="1" x14ac:dyDescent="0.15"/>
    <row r="56042" s="76" customFormat="1" ht="21.95" customHeight="1" x14ac:dyDescent="0.15"/>
    <row r="56043" s="76" customFormat="1" ht="21.95" customHeight="1" x14ac:dyDescent="0.15"/>
    <row r="56044" s="76" customFormat="1" ht="21.95" customHeight="1" x14ac:dyDescent="0.15"/>
    <row r="56045" s="76" customFormat="1" ht="21.95" customHeight="1" x14ac:dyDescent="0.15"/>
    <row r="56046" s="76" customFormat="1" ht="21.95" customHeight="1" x14ac:dyDescent="0.15"/>
    <row r="56047" s="76" customFormat="1" ht="21.95" customHeight="1" x14ac:dyDescent="0.15"/>
    <row r="56048" s="76" customFormat="1" ht="21.95" customHeight="1" x14ac:dyDescent="0.15"/>
    <row r="56049" s="76" customFormat="1" ht="21.95" customHeight="1" x14ac:dyDescent="0.15"/>
    <row r="56050" s="76" customFormat="1" ht="21.95" customHeight="1" x14ac:dyDescent="0.15"/>
    <row r="56051" s="76" customFormat="1" ht="21.95" customHeight="1" x14ac:dyDescent="0.15"/>
    <row r="56052" s="76" customFormat="1" ht="21.95" customHeight="1" x14ac:dyDescent="0.15"/>
    <row r="56053" s="76" customFormat="1" ht="21.95" customHeight="1" x14ac:dyDescent="0.15"/>
    <row r="56054" s="76" customFormat="1" ht="21.95" customHeight="1" x14ac:dyDescent="0.15"/>
    <row r="56055" s="76" customFormat="1" ht="21.95" customHeight="1" x14ac:dyDescent="0.15"/>
    <row r="56056" s="76" customFormat="1" ht="21.95" customHeight="1" x14ac:dyDescent="0.15"/>
    <row r="56057" s="76" customFormat="1" ht="21.95" customHeight="1" x14ac:dyDescent="0.15"/>
    <row r="56058" s="76" customFormat="1" ht="21.95" customHeight="1" x14ac:dyDescent="0.15"/>
    <row r="56059" s="76" customFormat="1" ht="21.95" customHeight="1" x14ac:dyDescent="0.15"/>
    <row r="56060" s="76" customFormat="1" ht="21.95" customHeight="1" x14ac:dyDescent="0.15"/>
    <row r="56061" s="76" customFormat="1" ht="21.95" customHeight="1" x14ac:dyDescent="0.15"/>
    <row r="56062" s="76" customFormat="1" ht="21.95" customHeight="1" x14ac:dyDescent="0.15"/>
    <row r="56063" s="76" customFormat="1" ht="21.95" customHeight="1" x14ac:dyDescent="0.15"/>
    <row r="56064" s="76" customFormat="1" ht="21.95" customHeight="1" x14ac:dyDescent="0.15"/>
    <row r="56065" s="76" customFormat="1" ht="21.95" customHeight="1" x14ac:dyDescent="0.15"/>
    <row r="56066" s="76" customFormat="1" ht="21.95" customHeight="1" x14ac:dyDescent="0.15"/>
    <row r="56067" s="76" customFormat="1" ht="21.95" customHeight="1" x14ac:dyDescent="0.15"/>
    <row r="56068" s="76" customFormat="1" ht="21.95" customHeight="1" x14ac:dyDescent="0.15"/>
    <row r="56069" s="76" customFormat="1" ht="21.95" customHeight="1" x14ac:dyDescent="0.15"/>
    <row r="56070" s="76" customFormat="1" ht="21.95" customHeight="1" x14ac:dyDescent="0.15"/>
    <row r="56071" s="76" customFormat="1" ht="21.95" customHeight="1" x14ac:dyDescent="0.15"/>
    <row r="56072" s="76" customFormat="1" ht="21.95" customHeight="1" x14ac:dyDescent="0.15"/>
    <row r="56073" s="76" customFormat="1" ht="21.95" customHeight="1" x14ac:dyDescent="0.15"/>
    <row r="56074" s="76" customFormat="1" ht="21.95" customHeight="1" x14ac:dyDescent="0.15"/>
    <row r="56075" s="76" customFormat="1" ht="21.95" customHeight="1" x14ac:dyDescent="0.15"/>
    <row r="56076" s="76" customFormat="1" ht="21.95" customHeight="1" x14ac:dyDescent="0.15"/>
    <row r="56077" s="76" customFormat="1" ht="21.95" customHeight="1" x14ac:dyDescent="0.15"/>
    <row r="56078" s="76" customFormat="1" ht="21.95" customHeight="1" x14ac:dyDescent="0.15"/>
    <row r="56079" s="76" customFormat="1" ht="21.95" customHeight="1" x14ac:dyDescent="0.15"/>
    <row r="56080" s="76" customFormat="1" ht="21.95" customHeight="1" x14ac:dyDescent="0.15"/>
    <row r="56081" s="76" customFormat="1" ht="21.95" customHeight="1" x14ac:dyDescent="0.15"/>
    <row r="56082" s="76" customFormat="1" ht="21.95" customHeight="1" x14ac:dyDescent="0.15"/>
    <row r="56083" s="76" customFormat="1" ht="21.95" customHeight="1" x14ac:dyDescent="0.15"/>
    <row r="56084" s="76" customFormat="1" ht="21.95" customHeight="1" x14ac:dyDescent="0.15"/>
    <row r="56085" s="76" customFormat="1" ht="21.95" customHeight="1" x14ac:dyDescent="0.15"/>
    <row r="56086" s="76" customFormat="1" ht="21.95" customHeight="1" x14ac:dyDescent="0.15"/>
    <row r="56087" s="76" customFormat="1" ht="21.95" customHeight="1" x14ac:dyDescent="0.15"/>
    <row r="56088" s="76" customFormat="1" ht="21.95" customHeight="1" x14ac:dyDescent="0.15"/>
    <row r="56089" s="76" customFormat="1" ht="35.1" customHeight="1" x14ac:dyDescent="0.15"/>
    <row r="56090" s="76" customFormat="1" ht="21.95" customHeight="1" x14ac:dyDescent="0.15"/>
    <row r="56091" s="76" customFormat="1" ht="21.95" customHeight="1" x14ac:dyDescent="0.15"/>
    <row r="56092" s="76" customFormat="1" ht="21.95" customHeight="1" x14ac:dyDescent="0.15"/>
    <row r="56093" s="76" customFormat="1" ht="21.95" customHeight="1" x14ac:dyDescent="0.15"/>
    <row r="56094" s="76" customFormat="1" ht="21.95" customHeight="1" x14ac:dyDescent="0.15"/>
    <row r="56095" s="76" customFormat="1" ht="21.95" customHeight="1" x14ac:dyDescent="0.15"/>
    <row r="56096" s="76" customFormat="1" ht="21.95" customHeight="1" x14ac:dyDescent="0.15"/>
    <row r="56097" s="76" customFormat="1" ht="21.95" customHeight="1" x14ac:dyDescent="0.15"/>
    <row r="56098" s="76" customFormat="1" ht="21.95" customHeight="1" x14ac:dyDescent="0.15"/>
    <row r="56099" s="76" customFormat="1" ht="21.95" customHeight="1" x14ac:dyDescent="0.15"/>
    <row r="56100" s="76" customFormat="1" ht="21.95" customHeight="1" x14ac:dyDescent="0.15"/>
    <row r="56101" s="76" customFormat="1" ht="21.95" customHeight="1" x14ac:dyDescent="0.15"/>
    <row r="56102" s="76" customFormat="1" ht="21.95" customHeight="1" x14ac:dyDescent="0.15"/>
    <row r="56103" s="76" customFormat="1" ht="21.95" customHeight="1" x14ac:dyDescent="0.15"/>
    <row r="56104" s="76" customFormat="1" ht="21.95" customHeight="1" x14ac:dyDescent="0.15"/>
    <row r="56105" s="76" customFormat="1" ht="21.95" customHeight="1" x14ac:dyDescent="0.15"/>
    <row r="56106" s="76" customFormat="1" ht="21.95" customHeight="1" x14ac:dyDescent="0.15"/>
    <row r="56107" s="76" customFormat="1" ht="21.95" customHeight="1" x14ac:dyDescent="0.15"/>
    <row r="56108" s="76" customFormat="1" ht="21.95" customHeight="1" x14ac:dyDescent="0.15"/>
    <row r="56109" s="76" customFormat="1" ht="21.95" customHeight="1" x14ac:dyDescent="0.15"/>
    <row r="56110" s="76" customFormat="1" ht="21.95" customHeight="1" x14ac:dyDescent="0.15"/>
    <row r="56111" s="76" customFormat="1" ht="21.95" customHeight="1" x14ac:dyDescent="0.15"/>
    <row r="56112" s="76" customFormat="1" ht="21.95" customHeight="1" x14ac:dyDescent="0.15"/>
    <row r="56113" spans="3:3" customFormat="1" ht="21.95" customHeight="1" x14ac:dyDescent="0.15"/>
    <row r="56114" spans="3:3" customFormat="1" ht="21.95" customHeight="1" x14ac:dyDescent="0.15"/>
    <row r="56115" spans="3:3" customFormat="1" ht="21.95" customHeight="1" x14ac:dyDescent="0.15">
      <c r="C56115" s="94"/>
    </row>
    <row r="56116" spans="3:3" customFormat="1" ht="21.95" customHeight="1" x14ac:dyDescent="0.15">
      <c r="C56116" s="94"/>
    </row>
    <row r="56117" spans="3:3" customFormat="1" ht="21.95" customHeight="1" x14ac:dyDescent="0.15"/>
    <row r="56118" spans="3:3" customFormat="1" ht="21.95" customHeight="1" x14ac:dyDescent="0.15"/>
    <row r="56119" spans="3:3" customFormat="1" ht="21.95" customHeight="1" x14ac:dyDescent="0.15"/>
    <row r="56120" spans="3:3" customFormat="1" ht="21.95" customHeight="1" x14ac:dyDescent="0.15"/>
    <row r="56121" spans="3:3" customFormat="1" ht="21.95" customHeight="1" x14ac:dyDescent="0.15"/>
    <row r="56122" spans="3:3" customFormat="1" ht="21.95" customHeight="1" x14ac:dyDescent="0.15"/>
    <row r="56123" spans="3:3" customFormat="1" ht="21.95" customHeight="1" x14ac:dyDescent="0.15"/>
    <row r="56124" spans="3:3" s="76" customFormat="1" ht="21.95" customHeight="1" x14ac:dyDescent="0.15"/>
    <row r="56125" spans="3:3" s="76" customFormat="1" ht="21.95" customHeight="1" x14ac:dyDescent="0.15"/>
    <row r="56126" spans="3:3" s="76" customFormat="1" ht="21.95" customHeight="1" x14ac:dyDescent="0.15"/>
    <row r="56127" spans="3:3" s="76" customFormat="1" ht="21.95" customHeight="1" x14ac:dyDescent="0.15"/>
    <row r="56128" spans="3:3" customFormat="1" ht="21.95" customHeight="1" x14ac:dyDescent="0.15"/>
    <row r="56129" customFormat="1" ht="21.95" customHeight="1" x14ac:dyDescent="0.15"/>
    <row r="56130" customFormat="1" ht="21.95" customHeight="1" x14ac:dyDescent="0.15"/>
    <row r="56131" customFormat="1" ht="21.95" customHeight="1" x14ac:dyDescent="0.15"/>
    <row r="56132" customFormat="1" ht="21.95" customHeight="1" x14ac:dyDescent="0.15"/>
    <row r="56133" customFormat="1" ht="21.95" customHeight="1" x14ac:dyDescent="0.15"/>
    <row r="56134" customFormat="1" ht="21.95" customHeight="1" x14ac:dyDescent="0.15"/>
    <row r="56135" customFormat="1" ht="21.95" customHeight="1" x14ac:dyDescent="0.15"/>
    <row r="56136" customFormat="1" ht="21.95" customHeight="1" x14ac:dyDescent="0.15"/>
    <row r="56137" customFormat="1" ht="21.95" customHeight="1" x14ac:dyDescent="0.15"/>
    <row r="56138" customFormat="1" ht="21.95" customHeight="1" x14ac:dyDescent="0.15"/>
    <row r="56139" customFormat="1" ht="32.1" customHeight="1" x14ac:dyDescent="0.15"/>
    <row r="56140" customFormat="1" ht="32.1" customHeight="1" x14ac:dyDescent="0.15"/>
    <row r="56141" customFormat="1" ht="32.1" customHeight="1" x14ac:dyDescent="0.15"/>
    <row r="56142" customFormat="1" ht="32.1" customHeight="1" x14ac:dyDescent="0.15"/>
    <row r="56143" customFormat="1" ht="32.1" customHeight="1" x14ac:dyDescent="0.15"/>
    <row r="56144" customFormat="1" ht="32.1" customHeight="1" x14ac:dyDescent="0.15"/>
    <row r="56145" s="76" customFormat="1" ht="32.1" customHeight="1" x14ac:dyDescent="0.15"/>
    <row r="56146" s="76" customFormat="1" ht="32.1" customHeight="1" x14ac:dyDescent="0.15"/>
    <row r="56147" s="76" customFormat="1" ht="32.1" customHeight="1" x14ac:dyDescent="0.15"/>
    <row r="56148" s="76" customFormat="1" ht="32.1" customHeight="1" x14ac:dyDescent="0.15"/>
    <row r="56149" s="76" customFormat="1" ht="21.95" customHeight="1" x14ac:dyDescent="0.15"/>
    <row r="56150" s="76" customFormat="1" ht="54" customHeight="1" x14ac:dyDescent="0.15"/>
    <row r="56151" s="76" customFormat="1" ht="21.95" customHeight="1" x14ac:dyDescent="0.15"/>
    <row r="56152" s="76" customFormat="1" ht="21.95" customHeight="1" x14ac:dyDescent="0.15"/>
    <row r="56153" s="76" customFormat="1" ht="21.95" customHeight="1" x14ac:dyDescent="0.15"/>
    <row r="56154" s="76" customFormat="1" ht="21.95" customHeight="1" x14ac:dyDescent="0.15"/>
    <row r="56155" s="76" customFormat="1" ht="21.95" customHeight="1" x14ac:dyDescent="0.15"/>
    <row r="56156" s="76" customFormat="1" ht="21.95" customHeight="1" x14ac:dyDescent="0.15"/>
    <row r="56157" s="76" customFormat="1" ht="21.95" customHeight="1" x14ac:dyDescent="0.15"/>
    <row r="56158" s="76" customFormat="1" ht="21.95" customHeight="1" x14ac:dyDescent="0.15"/>
    <row r="56159" s="76" customFormat="1" ht="21.95" customHeight="1" x14ac:dyDescent="0.15"/>
    <row r="56160" s="76" customFormat="1" ht="21.95" customHeight="1" x14ac:dyDescent="0.15"/>
    <row r="56161" s="76" customFormat="1" ht="21.95" customHeight="1" x14ac:dyDescent="0.15"/>
    <row r="56162" s="76" customFormat="1" ht="21.95" customHeight="1" x14ac:dyDescent="0.15"/>
    <row r="56163" s="76" customFormat="1" ht="21.95" customHeight="1" x14ac:dyDescent="0.15"/>
    <row r="56164" s="76" customFormat="1" ht="21.95" customHeight="1" x14ac:dyDescent="0.15"/>
    <row r="56165" s="76" customFormat="1" ht="21.95" customHeight="1" x14ac:dyDescent="0.15"/>
    <row r="56166" s="76" customFormat="1" ht="21.95" customHeight="1" x14ac:dyDescent="0.15"/>
    <row r="56167" s="76" customFormat="1" ht="21.95" customHeight="1" x14ac:dyDescent="0.15"/>
    <row r="56168" s="76" customFormat="1" ht="21.95" customHeight="1" x14ac:dyDescent="0.15"/>
    <row r="56169" s="76" customFormat="1" ht="21.95" customHeight="1" x14ac:dyDescent="0.15"/>
    <row r="56170" s="76" customFormat="1" ht="21.95" customHeight="1" x14ac:dyDescent="0.15"/>
    <row r="56171" s="76" customFormat="1" ht="21.95" customHeight="1" x14ac:dyDescent="0.15"/>
    <row r="56172" s="76" customFormat="1" ht="21.95" customHeight="1" x14ac:dyDescent="0.15"/>
    <row r="56173" s="76" customFormat="1" ht="21.95" customHeight="1" x14ac:dyDescent="0.15"/>
    <row r="56174" s="76" customFormat="1" ht="21.95" customHeight="1" x14ac:dyDescent="0.15"/>
    <row r="56175" s="76" customFormat="1" ht="21.95" customHeight="1" x14ac:dyDescent="0.15"/>
    <row r="56176" s="76" customFormat="1" ht="21.95" customHeight="1" x14ac:dyDescent="0.15"/>
    <row r="56177" s="76" customFormat="1" ht="21.95" customHeight="1" x14ac:dyDescent="0.15"/>
    <row r="56178" s="76" customFormat="1" ht="21.95" customHeight="1" x14ac:dyDescent="0.15"/>
    <row r="56179" s="76" customFormat="1" ht="21.95" customHeight="1" x14ac:dyDescent="0.15"/>
    <row r="56180" s="76" customFormat="1" ht="21.95" customHeight="1" x14ac:dyDescent="0.15"/>
    <row r="56181" s="76" customFormat="1" ht="21.95" customHeight="1" x14ac:dyDescent="0.15"/>
    <row r="56182" s="76" customFormat="1" ht="21.95" customHeight="1" x14ac:dyDescent="0.15"/>
    <row r="56183" s="76" customFormat="1" ht="21.95" customHeight="1" x14ac:dyDescent="0.15"/>
    <row r="56184" s="76" customFormat="1" ht="21.95" customHeight="1" x14ac:dyDescent="0.15"/>
    <row r="56185" s="76" customFormat="1" ht="21.95" customHeight="1" x14ac:dyDescent="0.15"/>
    <row r="56186" s="76" customFormat="1" ht="21.95" customHeight="1" x14ac:dyDescent="0.15"/>
    <row r="56187" s="76" customFormat="1" ht="21.95" customHeight="1" x14ac:dyDescent="0.15"/>
    <row r="56188" s="76" customFormat="1" ht="21.95" customHeight="1" x14ac:dyDescent="0.15"/>
    <row r="56189" s="76" customFormat="1" ht="21.95" customHeight="1" x14ac:dyDescent="0.15"/>
    <row r="56190" s="76" customFormat="1" ht="21.95" customHeight="1" x14ac:dyDescent="0.15"/>
    <row r="56191" s="76" customFormat="1" ht="21.95" customHeight="1" x14ac:dyDescent="0.15"/>
    <row r="56192" s="76" customFormat="1" ht="21.95" customHeight="1" x14ac:dyDescent="0.15"/>
    <row r="56193" s="76" customFormat="1" ht="21.95" customHeight="1" x14ac:dyDescent="0.15"/>
    <row r="56194" s="76" customFormat="1" ht="21.95" customHeight="1" x14ac:dyDescent="0.15"/>
    <row r="56195" s="76" customFormat="1" ht="21.95" customHeight="1" x14ac:dyDescent="0.15"/>
    <row r="56196" s="76" customFormat="1" ht="21.95" customHeight="1" x14ac:dyDescent="0.15"/>
    <row r="56197" s="76" customFormat="1" ht="21.95" customHeight="1" x14ac:dyDescent="0.15"/>
    <row r="56198" s="76" customFormat="1" ht="21.95" customHeight="1" x14ac:dyDescent="0.15"/>
    <row r="56199" s="76" customFormat="1" ht="21.95" customHeight="1" x14ac:dyDescent="0.15"/>
    <row r="56200" s="76" customFormat="1" ht="21.95" customHeight="1" x14ac:dyDescent="0.15"/>
    <row r="56201" s="76" customFormat="1" ht="35.1" customHeight="1" x14ac:dyDescent="0.15"/>
    <row r="56202" s="76" customFormat="1" ht="21.95" customHeight="1" x14ac:dyDescent="0.15"/>
    <row r="56203" s="76" customFormat="1" ht="21.95" customHeight="1" x14ac:dyDescent="0.15"/>
    <row r="56204" s="76" customFormat="1" ht="21.95" customHeight="1" x14ac:dyDescent="0.15"/>
    <row r="56205" s="76" customFormat="1" ht="21.95" customHeight="1" x14ac:dyDescent="0.15"/>
    <row r="56206" s="76" customFormat="1" ht="21.95" customHeight="1" x14ac:dyDescent="0.15"/>
    <row r="56207" s="76" customFormat="1" ht="21.95" customHeight="1" x14ac:dyDescent="0.15"/>
    <row r="56208" s="76" customFormat="1" ht="21.95" customHeight="1" x14ac:dyDescent="0.15"/>
    <row r="56209" s="76" customFormat="1" ht="21.95" customHeight="1" x14ac:dyDescent="0.15"/>
    <row r="56210" s="76" customFormat="1" ht="21.95" customHeight="1" x14ac:dyDescent="0.15"/>
    <row r="56211" s="76" customFormat="1" ht="21.95" customHeight="1" x14ac:dyDescent="0.15"/>
    <row r="56212" s="76" customFormat="1" ht="21.95" customHeight="1" x14ac:dyDescent="0.15"/>
    <row r="56213" s="76" customFormat="1" ht="21.95" customHeight="1" x14ac:dyDescent="0.15"/>
    <row r="56214" s="76" customFormat="1" ht="21.95" customHeight="1" x14ac:dyDescent="0.15"/>
    <row r="56215" s="76" customFormat="1" ht="21.95" customHeight="1" x14ac:dyDescent="0.15"/>
    <row r="56216" s="76" customFormat="1" ht="21.95" customHeight="1" x14ac:dyDescent="0.15"/>
    <row r="56217" s="76" customFormat="1" ht="21.95" customHeight="1" x14ac:dyDescent="0.15"/>
    <row r="56218" s="76" customFormat="1" ht="21.95" customHeight="1" x14ac:dyDescent="0.15"/>
    <row r="56219" s="76" customFormat="1" ht="21.95" customHeight="1" x14ac:dyDescent="0.15"/>
    <row r="56220" s="76" customFormat="1" ht="21.95" customHeight="1" x14ac:dyDescent="0.15"/>
    <row r="56221" s="76" customFormat="1" ht="21.95" customHeight="1" x14ac:dyDescent="0.15"/>
    <row r="56222" s="76" customFormat="1" ht="21.95" customHeight="1" x14ac:dyDescent="0.15"/>
    <row r="56223" s="76" customFormat="1" ht="21.95" customHeight="1" x14ac:dyDescent="0.15"/>
    <row r="56224" s="76" customFormat="1" ht="21.95" customHeight="1" x14ac:dyDescent="0.15"/>
    <row r="56225" spans="3:3" customFormat="1" ht="21.95" customHeight="1" x14ac:dyDescent="0.15"/>
    <row r="56226" spans="3:3" customFormat="1" ht="21.95" customHeight="1" x14ac:dyDescent="0.15"/>
    <row r="56227" spans="3:3" customFormat="1" ht="21.95" customHeight="1" x14ac:dyDescent="0.15">
      <c r="C56227" s="94"/>
    </row>
    <row r="56228" spans="3:3" customFormat="1" ht="21.95" customHeight="1" x14ac:dyDescent="0.15">
      <c r="C56228" s="94"/>
    </row>
    <row r="56229" spans="3:3" customFormat="1" ht="21.95" customHeight="1" x14ac:dyDescent="0.15"/>
    <row r="56230" spans="3:3" customFormat="1" ht="21.95" customHeight="1" x14ac:dyDescent="0.15"/>
    <row r="56231" spans="3:3" customFormat="1" ht="21.95" customHeight="1" x14ac:dyDescent="0.15"/>
    <row r="56232" spans="3:3" customFormat="1" ht="21.95" customHeight="1" x14ac:dyDescent="0.15"/>
    <row r="56233" spans="3:3" customFormat="1" ht="21.95" customHeight="1" x14ac:dyDescent="0.15"/>
    <row r="56234" spans="3:3" customFormat="1" ht="21.95" customHeight="1" x14ac:dyDescent="0.15"/>
    <row r="56235" spans="3:3" customFormat="1" ht="21.95" customHeight="1" x14ac:dyDescent="0.15"/>
    <row r="56236" spans="3:3" s="76" customFormat="1" ht="21.95" customHeight="1" x14ac:dyDescent="0.15"/>
    <row r="56237" spans="3:3" s="76" customFormat="1" ht="21.95" customHeight="1" x14ac:dyDescent="0.15"/>
    <row r="56238" spans="3:3" s="76" customFormat="1" ht="21.95" customHeight="1" x14ac:dyDescent="0.15"/>
    <row r="56239" spans="3:3" s="76" customFormat="1" ht="21.95" customHeight="1" x14ac:dyDescent="0.15"/>
    <row r="56240" spans="3:3" customFormat="1" ht="21.95" customHeight="1" x14ac:dyDescent="0.15"/>
    <row r="56241" customFormat="1" ht="21.95" customHeight="1" x14ac:dyDescent="0.15"/>
    <row r="56242" customFormat="1" ht="21.95" customHeight="1" x14ac:dyDescent="0.15"/>
    <row r="56243" customFormat="1" ht="21.95" customHeight="1" x14ac:dyDescent="0.15"/>
    <row r="56244" customFormat="1" ht="21.95" customHeight="1" x14ac:dyDescent="0.15"/>
    <row r="56245" customFormat="1" ht="21.95" customHeight="1" x14ac:dyDescent="0.15"/>
    <row r="56246" customFormat="1" ht="21.95" customHeight="1" x14ac:dyDescent="0.15"/>
    <row r="56247" customFormat="1" ht="21.95" customHeight="1" x14ac:dyDescent="0.15"/>
    <row r="56248" customFormat="1" ht="21.95" customHeight="1" x14ac:dyDescent="0.15"/>
    <row r="56249" customFormat="1" ht="21.95" customHeight="1" x14ac:dyDescent="0.15"/>
    <row r="56250" customFormat="1" ht="21.95" customHeight="1" x14ac:dyDescent="0.15"/>
    <row r="56251" customFormat="1" ht="32.1" customHeight="1" x14ac:dyDescent="0.15"/>
    <row r="56252" customFormat="1" ht="32.1" customHeight="1" x14ac:dyDescent="0.15"/>
    <row r="56253" customFormat="1" ht="32.1" customHeight="1" x14ac:dyDescent="0.15"/>
    <row r="56254" customFormat="1" ht="32.1" customHeight="1" x14ac:dyDescent="0.15"/>
    <row r="56255" customFormat="1" ht="32.1" customHeight="1" x14ac:dyDescent="0.15"/>
    <row r="56256" customFormat="1" ht="32.1" customHeight="1" x14ac:dyDescent="0.15"/>
    <row r="56257" s="76" customFormat="1" ht="32.1" customHeight="1" x14ac:dyDescent="0.15"/>
    <row r="56258" s="76" customFormat="1" ht="32.1" customHeight="1" x14ac:dyDescent="0.15"/>
    <row r="56259" s="76" customFormat="1" ht="32.1" customHeight="1" x14ac:dyDescent="0.15"/>
    <row r="56260" s="76" customFormat="1" ht="32.1" customHeight="1" x14ac:dyDescent="0.15"/>
    <row r="56261" s="76" customFormat="1" ht="21.95" customHeight="1" x14ac:dyDescent="0.15"/>
    <row r="56262" s="76" customFormat="1" ht="54" customHeight="1" x14ac:dyDescent="0.15"/>
    <row r="56263" s="76" customFormat="1" ht="21.95" customHeight="1" x14ac:dyDescent="0.15"/>
    <row r="56264" s="76" customFormat="1" ht="21.95" customHeight="1" x14ac:dyDescent="0.15"/>
    <row r="56265" s="76" customFormat="1" ht="21.95" customHeight="1" x14ac:dyDescent="0.15"/>
    <row r="56266" s="76" customFormat="1" ht="21.95" customHeight="1" x14ac:dyDescent="0.15"/>
    <row r="56267" s="76" customFormat="1" ht="21.95" customHeight="1" x14ac:dyDescent="0.15"/>
    <row r="56268" s="76" customFormat="1" ht="21.95" customHeight="1" x14ac:dyDescent="0.15"/>
    <row r="56269" s="76" customFormat="1" ht="21.95" customHeight="1" x14ac:dyDescent="0.15"/>
    <row r="56270" s="76" customFormat="1" ht="21.95" customHeight="1" x14ac:dyDescent="0.15"/>
    <row r="56271" s="76" customFormat="1" ht="21.95" customHeight="1" x14ac:dyDescent="0.15"/>
    <row r="56272" s="76" customFormat="1" ht="21.95" customHeight="1" x14ac:dyDescent="0.15"/>
    <row r="56273" s="76" customFormat="1" ht="21.95" customHeight="1" x14ac:dyDescent="0.15"/>
    <row r="56274" s="76" customFormat="1" ht="21.95" customHeight="1" x14ac:dyDescent="0.15"/>
    <row r="56275" s="76" customFormat="1" ht="21.95" customHeight="1" x14ac:dyDescent="0.15"/>
    <row r="56276" s="76" customFormat="1" ht="21.95" customHeight="1" x14ac:dyDescent="0.15"/>
    <row r="56277" s="76" customFormat="1" ht="21.95" customHeight="1" x14ac:dyDescent="0.15"/>
    <row r="56278" s="76" customFormat="1" ht="21.95" customHeight="1" x14ac:dyDescent="0.15"/>
    <row r="56279" s="76" customFormat="1" ht="21.95" customHeight="1" x14ac:dyDescent="0.15"/>
    <row r="56280" s="76" customFormat="1" ht="21.95" customHeight="1" x14ac:dyDescent="0.15"/>
    <row r="56281" s="76" customFormat="1" ht="21.95" customHeight="1" x14ac:dyDescent="0.15"/>
    <row r="56282" s="76" customFormat="1" ht="21.95" customHeight="1" x14ac:dyDescent="0.15"/>
    <row r="56283" s="76" customFormat="1" ht="21.95" customHeight="1" x14ac:dyDescent="0.15"/>
    <row r="56284" s="76" customFormat="1" ht="21.95" customHeight="1" x14ac:dyDescent="0.15"/>
    <row r="56285" s="76" customFormat="1" ht="21.95" customHeight="1" x14ac:dyDescent="0.15"/>
    <row r="56286" s="76" customFormat="1" ht="21.95" customHeight="1" x14ac:dyDescent="0.15"/>
    <row r="56287" s="76" customFormat="1" ht="21.95" customHeight="1" x14ac:dyDescent="0.15"/>
    <row r="56288" s="76" customFormat="1" ht="21.95" customHeight="1" x14ac:dyDescent="0.15"/>
    <row r="56289" s="76" customFormat="1" ht="21.95" customHeight="1" x14ac:dyDescent="0.15"/>
    <row r="56290" s="76" customFormat="1" ht="21.95" customHeight="1" x14ac:dyDescent="0.15"/>
    <row r="56291" s="76" customFormat="1" ht="21.95" customHeight="1" x14ac:dyDescent="0.15"/>
    <row r="56292" s="76" customFormat="1" ht="21.95" customHeight="1" x14ac:dyDescent="0.15"/>
    <row r="56293" s="76" customFormat="1" ht="21.95" customHeight="1" x14ac:dyDescent="0.15"/>
    <row r="56294" s="76" customFormat="1" ht="21.95" customHeight="1" x14ac:dyDescent="0.15"/>
    <row r="56295" s="76" customFormat="1" ht="21.95" customHeight="1" x14ac:dyDescent="0.15"/>
    <row r="56296" s="76" customFormat="1" ht="21.95" customHeight="1" x14ac:dyDescent="0.15"/>
    <row r="56297" s="76" customFormat="1" ht="21.95" customHeight="1" x14ac:dyDescent="0.15"/>
    <row r="56298" s="76" customFormat="1" ht="21.95" customHeight="1" x14ac:dyDescent="0.15"/>
    <row r="56299" s="76" customFormat="1" ht="21.95" customHeight="1" x14ac:dyDescent="0.15"/>
    <row r="56300" s="76" customFormat="1" ht="21.95" customHeight="1" x14ac:dyDescent="0.15"/>
    <row r="56301" s="76" customFormat="1" ht="21.95" customHeight="1" x14ac:dyDescent="0.15"/>
    <row r="56302" s="76" customFormat="1" ht="21.95" customHeight="1" x14ac:dyDescent="0.15"/>
    <row r="56303" s="76" customFormat="1" ht="21.95" customHeight="1" x14ac:dyDescent="0.15"/>
    <row r="56304" s="76" customFormat="1" ht="21.95" customHeight="1" x14ac:dyDescent="0.15"/>
    <row r="56305" s="76" customFormat="1" ht="21.95" customHeight="1" x14ac:dyDescent="0.15"/>
    <row r="56306" s="76" customFormat="1" ht="21.95" customHeight="1" x14ac:dyDescent="0.15"/>
    <row r="56307" s="76" customFormat="1" ht="21.95" customHeight="1" x14ac:dyDescent="0.15"/>
    <row r="56308" s="76" customFormat="1" ht="21.95" customHeight="1" x14ac:dyDescent="0.15"/>
    <row r="56309" s="76" customFormat="1" ht="21.95" customHeight="1" x14ac:dyDescent="0.15"/>
    <row r="56310" s="76" customFormat="1" ht="21.95" customHeight="1" x14ac:dyDescent="0.15"/>
    <row r="56311" s="76" customFormat="1" ht="21.95" customHeight="1" x14ac:dyDescent="0.15"/>
    <row r="56312" s="76" customFormat="1" ht="21.95" customHeight="1" x14ac:dyDescent="0.15"/>
    <row r="56313" s="76" customFormat="1" ht="35.1" customHeight="1" x14ac:dyDescent="0.15"/>
    <row r="56314" s="76" customFormat="1" ht="21.95" customHeight="1" x14ac:dyDescent="0.15"/>
    <row r="56315" s="76" customFormat="1" ht="21.95" customHeight="1" x14ac:dyDescent="0.15"/>
    <row r="56316" s="76" customFormat="1" ht="21.95" customHeight="1" x14ac:dyDescent="0.15"/>
    <row r="56317" s="76" customFormat="1" ht="21.95" customHeight="1" x14ac:dyDescent="0.15"/>
    <row r="56318" s="76" customFormat="1" ht="21.95" customHeight="1" x14ac:dyDescent="0.15"/>
    <row r="56319" s="76" customFormat="1" ht="21.95" customHeight="1" x14ac:dyDescent="0.15"/>
    <row r="56320" s="76" customFormat="1" ht="21.95" customHeight="1" x14ac:dyDescent="0.15"/>
    <row r="56321" s="76" customFormat="1" ht="21.95" customHeight="1" x14ac:dyDescent="0.15"/>
    <row r="56322" s="76" customFormat="1" ht="21.95" customHeight="1" x14ac:dyDescent="0.15"/>
    <row r="56323" s="76" customFormat="1" ht="21.95" customHeight="1" x14ac:dyDescent="0.15"/>
    <row r="56324" s="76" customFormat="1" ht="21.95" customHeight="1" x14ac:dyDescent="0.15"/>
    <row r="56325" s="76" customFormat="1" ht="21.95" customHeight="1" x14ac:dyDescent="0.15"/>
    <row r="56326" s="76" customFormat="1" ht="21.95" customHeight="1" x14ac:dyDescent="0.15"/>
    <row r="56327" s="76" customFormat="1" ht="21.95" customHeight="1" x14ac:dyDescent="0.15"/>
    <row r="56328" s="76" customFormat="1" ht="21.95" customHeight="1" x14ac:dyDescent="0.15"/>
    <row r="56329" s="76" customFormat="1" ht="21.95" customHeight="1" x14ac:dyDescent="0.15"/>
    <row r="56330" s="76" customFormat="1" ht="21.95" customHeight="1" x14ac:dyDescent="0.15"/>
    <row r="56331" s="76" customFormat="1" ht="21.95" customHeight="1" x14ac:dyDescent="0.15"/>
    <row r="56332" s="76" customFormat="1" ht="21.95" customHeight="1" x14ac:dyDescent="0.15"/>
    <row r="56333" s="76" customFormat="1" ht="21.95" customHeight="1" x14ac:dyDescent="0.15"/>
    <row r="56334" s="76" customFormat="1" ht="21.95" customHeight="1" x14ac:dyDescent="0.15"/>
    <row r="56335" s="76" customFormat="1" ht="21.95" customHeight="1" x14ac:dyDescent="0.15"/>
    <row r="56336" s="76" customFormat="1" ht="21.95" customHeight="1" x14ac:dyDescent="0.15"/>
    <row r="56337" spans="3:3" customFormat="1" ht="21.95" customHeight="1" x14ac:dyDescent="0.15"/>
    <row r="56338" spans="3:3" customFormat="1" ht="21.95" customHeight="1" x14ac:dyDescent="0.15"/>
    <row r="56339" spans="3:3" customFormat="1" ht="21.95" customHeight="1" x14ac:dyDescent="0.15">
      <c r="C56339" s="94"/>
    </row>
    <row r="56340" spans="3:3" customFormat="1" ht="21.95" customHeight="1" x14ac:dyDescent="0.15">
      <c r="C56340" s="94"/>
    </row>
    <row r="56341" spans="3:3" customFormat="1" ht="21.95" customHeight="1" x14ac:dyDescent="0.15"/>
    <row r="56342" spans="3:3" customFormat="1" ht="21.95" customHeight="1" x14ac:dyDescent="0.15"/>
    <row r="56343" spans="3:3" customFormat="1" ht="21.95" customHeight="1" x14ac:dyDescent="0.15"/>
    <row r="56344" spans="3:3" customFormat="1" ht="21.95" customHeight="1" x14ac:dyDescent="0.15"/>
    <row r="56345" spans="3:3" customFormat="1" ht="21.95" customHeight="1" x14ac:dyDescent="0.15"/>
    <row r="56346" spans="3:3" customFormat="1" ht="21.95" customHeight="1" x14ac:dyDescent="0.15"/>
    <row r="56347" spans="3:3" customFormat="1" ht="21.95" customHeight="1" x14ac:dyDescent="0.15"/>
    <row r="56348" spans="3:3" s="76" customFormat="1" ht="21.95" customHeight="1" x14ac:dyDescent="0.15"/>
    <row r="56349" spans="3:3" s="76" customFormat="1" ht="21.95" customHeight="1" x14ac:dyDescent="0.15"/>
    <row r="56350" spans="3:3" s="76" customFormat="1" ht="21.95" customHeight="1" x14ac:dyDescent="0.15"/>
    <row r="56351" spans="3:3" s="76" customFormat="1" ht="21.95" customHeight="1" x14ac:dyDescent="0.15"/>
    <row r="56352" spans="3:3" customFormat="1" ht="21.95" customHeight="1" x14ac:dyDescent="0.15"/>
    <row r="56353" customFormat="1" ht="21.95" customHeight="1" x14ac:dyDescent="0.15"/>
    <row r="56354" customFormat="1" ht="21.95" customHeight="1" x14ac:dyDescent="0.15"/>
    <row r="56355" customFormat="1" ht="21.95" customHeight="1" x14ac:dyDescent="0.15"/>
    <row r="56356" customFormat="1" ht="21.95" customHeight="1" x14ac:dyDescent="0.15"/>
    <row r="56357" customFormat="1" ht="21.95" customHeight="1" x14ac:dyDescent="0.15"/>
    <row r="56358" customFormat="1" ht="21.95" customHeight="1" x14ac:dyDescent="0.15"/>
    <row r="56359" customFormat="1" ht="21.95" customHeight="1" x14ac:dyDescent="0.15"/>
    <row r="56360" customFormat="1" ht="21.95" customHeight="1" x14ac:dyDescent="0.15"/>
    <row r="56361" customFormat="1" ht="21.95" customHeight="1" x14ac:dyDescent="0.15"/>
    <row r="56362" customFormat="1" ht="21.95" customHeight="1" x14ac:dyDescent="0.15"/>
    <row r="56363" customFormat="1" ht="32.1" customHeight="1" x14ac:dyDescent="0.15"/>
    <row r="56364" customFormat="1" ht="32.1" customHeight="1" x14ac:dyDescent="0.15"/>
    <row r="56365" customFormat="1" ht="32.1" customHeight="1" x14ac:dyDescent="0.15"/>
    <row r="56366" customFormat="1" ht="32.1" customHeight="1" x14ac:dyDescent="0.15"/>
    <row r="56367" customFormat="1" ht="32.1" customHeight="1" x14ac:dyDescent="0.15"/>
    <row r="56368" customFormat="1" ht="32.1" customHeight="1" x14ac:dyDescent="0.15"/>
    <row r="56369" s="76" customFormat="1" ht="32.1" customHeight="1" x14ac:dyDescent="0.15"/>
    <row r="56370" s="76" customFormat="1" ht="32.1" customHeight="1" x14ac:dyDescent="0.15"/>
    <row r="56371" s="76" customFormat="1" ht="32.1" customHeight="1" x14ac:dyDescent="0.15"/>
    <row r="56372" s="76" customFormat="1" ht="32.1" customHeight="1" x14ac:dyDescent="0.15"/>
    <row r="56373" s="76" customFormat="1" ht="21.95" customHeight="1" x14ac:dyDescent="0.15"/>
    <row r="56374" s="76" customFormat="1" ht="54" customHeight="1" x14ac:dyDescent="0.15"/>
    <row r="56375" s="76" customFormat="1" ht="21.95" customHeight="1" x14ac:dyDescent="0.15"/>
    <row r="56376" s="76" customFormat="1" ht="21.95" customHeight="1" x14ac:dyDescent="0.15"/>
    <row r="56377" s="76" customFormat="1" ht="21.95" customHeight="1" x14ac:dyDescent="0.15"/>
    <row r="56378" s="76" customFormat="1" ht="21.95" customHeight="1" x14ac:dyDescent="0.15"/>
    <row r="56379" s="76" customFormat="1" ht="21.95" customHeight="1" x14ac:dyDescent="0.15"/>
    <row r="56380" s="76" customFormat="1" ht="21.95" customHeight="1" x14ac:dyDescent="0.15"/>
    <row r="56381" s="76" customFormat="1" ht="21.95" customHeight="1" x14ac:dyDescent="0.15"/>
    <row r="56382" s="76" customFormat="1" ht="21.95" customHeight="1" x14ac:dyDescent="0.15"/>
    <row r="56383" s="76" customFormat="1" ht="21.95" customHeight="1" x14ac:dyDescent="0.15"/>
    <row r="56384" s="76" customFormat="1" ht="21.95" customHeight="1" x14ac:dyDescent="0.15"/>
    <row r="56385" s="76" customFormat="1" ht="21.95" customHeight="1" x14ac:dyDescent="0.15"/>
    <row r="56386" s="76" customFormat="1" ht="21.95" customHeight="1" x14ac:dyDescent="0.15"/>
    <row r="56387" s="76" customFormat="1" ht="21.95" customHeight="1" x14ac:dyDescent="0.15"/>
    <row r="56388" s="76" customFormat="1" ht="21.95" customHeight="1" x14ac:dyDescent="0.15"/>
    <row r="56389" s="76" customFormat="1" ht="21.95" customHeight="1" x14ac:dyDescent="0.15"/>
    <row r="56390" s="76" customFormat="1" ht="21.95" customHeight="1" x14ac:dyDescent="0.15"/>
    <row r="56391" s="76" customFormat="1" ht="21.95" customHeight="1" x14ac:dyDescent="0.15"/>
    <row r="56392" s="76" customFormat="1" ht="21.95" customHeight="1" x14ac:dyDescent="0.15"/>
    <row r="56393" s="76" customFormat="1" ht="21.95" customHeight="1" x14ac:dyDescent="0.15"/>
    <row r="56394" s="76" customFormat="1" ht="21.95" customHeight="1" x14ac:dyDescent="0.15"/>
    <row r="56395" s="76" customFormat="1" ht="21.95" customHeight="1" x14ac:dyDescent="0.15"/>
    <row r="56396" s="76" customFormat="1" ht="21.95" customHeight="1" x14ac:dyDescent="0.15"/>
    <row r="56397" s="76" customFormat="1" ht="21.95" customHeight="1" x14ac:dyDescent="0.15"/>
    <row r="56398" s="76" customFormat="1" ht="21.95" customHeight="1" x14ac:dyDescent="0.15"/>
    <row r="56399" s="76" customFormat="1" ht="21.95" customHeight="1" x14ac:dyDescent="0.15"/>
    <row r="56400" s="76" customFormat="1" ht="21.95" customHeight="1" x14ac:dyDescent="0.15"/>
    <row r="56401" s="76" customFormat="1" ht="21.95" customHeight="1" x14ac:dyDescent="0.15"/>
    <row r="56402" s="76" customFormat="1" ht="21.95" customHeight="1" x14ac:dyDescent="0.15"/>
    <row r="56403" s="76" customFormat="1" ht="21.95" customHeight="1" x14ac:dyDescent="0.15"/>
    <row r="56404" s="76" customFormat="1" ht="21.95" customHeight="1" x14ac:dyDescent="0.15"/>
    <row r="56405" s="76" customFormat="1" ht="21.95" customHeight="1" x14ac:dyDescent="0.15"/>
    <row r="56406" s="76" customFormat="1" ht="21.95" customHeight="1" x14ac:dyDescent="0.15"/>
    <row r="56407" s="76" customFormat="1" ht="21.95" customHeight="1" x14ac:dyDescent="0.15"/>
    <row r="56408" s="76" customFormat="1" ht="21.95" customHeight="1" x14ac:dyDescent="0.15"/>
    <row r="56409" s="76" customFormat="1" ht="21.95" customHeight="1" x14ac:dyDescent="0.15"/>
    <row r="56410" s="76" customFormat="1" ht="21.95" customHeight="1" x14ac:dyDescent="0.15"/>
    <row r="56411" s="76" customFormat="1" ht="21.95" customHeight="1" x14ac:dyDescent="0.15"/>
    <row r="56412" s="76" customFormat="1" ht="21.95" customHeight="1" x14ac:dyDescent="0.15"/>
    <row r="56413" s="76" customFormat="1" ht="21.95" customHeight="1" x14ac:dyDescent="0.15"/>
    <row r="56414" s="76" customFormat="1" ht="21.95" customHeight="1" x14ac:dyDescent="0.15"/>
    <row r="56415" s="76" customFormat="1" ht="21.95" customHeight="1" x14ac:dyDescent="0.15"/>
    <row r="56416" s="76" customFormat="1" ht="21.95" customHeight="1" x14ac:dyDescent="0.15"/>
    <row r="56417" s="76" customFormat="1" ht="21.95" customHeight="1" x14ac:dyDescent="0.15"/>
    <row r="56418" s="76" customFormat="1" ht="21.95" customHeight="1" x14ac:dyDescent="0.15"/>
    <row r="56419" s="76" customFormat="1" ht="21.95" customHeight="1" x14ac:dyDescent="0.15"/>
    <row r="56420" s="76" customFormat="1" ht="21.95" customHeight="1" x14ac:dyDescent="0.15"/>
    <row r="56421" s="76" customFormat="1" ht="21.95" customHeight="1" x14ac:dyDescent="0.15"/>
    <row r="56422" s="76" customFormat="1" ht="21.95" customHeight="1" x14ac:dyDescent="0.15"/>
    <row r="56423" s="76" customFormat="1" ht="21.95" customHeight="1" x14ac:dyDescent="0.15"/>
    <row r="56424" s="76" customFormat="1" ht="21.95" customHeight="1" x14ac:dyDescent="0.15"/>
    <row r="56425" s="76" customFormat="1" ht="35.1" customHeight="1" x14ac:dyDescent="0.15"/>
    <row r="56426" s="76" customFormat="1" ht="21.95" customHeight="1" x14ac:dyDescent="0.15"/>
    <row r="56427" s="76" customFormat="1" ht="21.95" customHeight="1" x14ac:dyDescent="0.15"/>
    <row r="56428" s="76" customFormat="1" ht="21.95" customHeight="1" x14ac:dyDescent="0.15"/>
    <row r="56429" s="76" customFormat="1" ht="21.95" customHeight="1" x14ac:dyDescent="0.15"/>
    <row r="56430" s="76" customFormat="1" ht="21.95" customHeight="1" x14ac:dyDescent="0.15"/>
    <row r="56431" s="76" customFormat="1" ht="21.95" customHeight="1" x14ac:dyDescent="0.15"/>
    <row r="56432" s="76" customFormat="1" ht="21.95" customHeight="1" x14ac:dyDescent="0.15"/>
    <row r="56433" s="76" customFormat="1" ht="21.95" customHeight="1" x14ac:dyDescent="0.15"/>
    <row r="56434" s="76" customFormat="1" ht="21.95" customHeight="1" x14ac:dyDescent="0.15"/>
    <row r="56435" s="76" customFormat="1" ht="21.95" customHeight="1" x14ac:dyDescent="0.15"/>
    <row r="56436" s="76" customFormat="1" ht="21.95" customHeight="1" x14ac:dyDescent="0.15"/>
    <row r="56437" s="76" customFormat="1" ht="21.95" customHeight="1" x14ac:dyDescent="0.15"/>
    <row r="56438" s="76" customFormat="1" ht="21.95" customHeight="1" x14ac:dyDescent="0.15"/>
    <row r="56439" s="76" customFormat="1" ht="21.95" customHeight="1" x14ac:dyDescent="0.15"/>
    <row r="56440" s="76" customFormat="1" ht="21.95" customHeight="1" x14ac:dyDescent="0.15"/>
    <row r="56441" s="76" customFormat="1" ht="21.95" customHeight="1" x14ac:dyDescent="0.15"/>
    <row r="56442" s="76" customFormat="1" ht="21.95" customHeight="1" x14ac:dyDescent="0.15"/>
    <row r="56443" s="76" customFormat="1" ht="21.95" customHeight="1" x14ac:dyDescent="0.15"/>
    <row r="56444" s="76" customFormat="1" ht="21.95" customHeight="1" x14ac:dyDescent="0.15"/>
    <row r="56445" s="76" customFormat="1" ht="21.95" customHeight="1" x14ac:dyDescent="0.15"/>
    <row r="56446" s="76" customFormat="1" ht="21.95" customHeight="1" x14ac:dyDescent="0.15"/>
    <row r="56447" s="76" customFormat="1" ht="21.95" customHeight="1" x14ac:dyDescent="0.15"/>
    <row r="56448" s="76" customFormat="1" ht="21.95" customHeight="1" x14ac:dyDescent="0.15"/>
    <row r="56449" spans="3:3" customFormat="1" ht="21.95" customHeight="1" x14ac:dyDescent="0.15"/>
    <row r="56450" spans="3:3" customFormat="1" ht="21.95" customHeight="1" x14ac:dyDescent="0.15"/>
    <row r="56451" spans="3:3" customFormat="1" ht="21.95" customHeight="1" x14ac:dyDescent="0.15">
      <c r="C56451" s="94"/>
    </row>
    <row r="56452" spans="3:3" customFormat="1" ht="21.95" customHeight="1" x14ac:dyDescent="0.15">
      <c r="C56452" s="94"/>
    </row>
    <row r="56453" spans="3:3" customFormat="1" ht="21.95" customHeight="1" x14ac:dyDescent="0.15"/>
    <row r="56454" spans="3:3" customFormat="1" ht="21.95" customHeight="1" x14ac:dyDescent="0.15"/>
    <row r="56455" spans="3:3" customFormat="1" ht="21.95" customHeight="1" x14ac:dyDescent="0.15"/>
    <row r="56456" spans="3:3" customFormat="1" ht="21.95" customHeight="1" x14ac:dyDescent="0.15"/>
    <row r="56457" spans="3:3" customFormat="1" ht="21.95" customHeight="1" x14ac:dyDescent="0.15"/>
    <row r="56458" spans="3:3" customFormat="1" ht="21.95" customHeight="1" x14ac:dyDescent="0.15"/>
    <row r="56459" spans="3:3" customFormat="1" ht="21.95" customHeight="1" x14ac:dyDescent="0.15"/>
    <row r="56460" spans="3:3" s="76" customFormat="1" ht="21.95" customHeight="1" x14ac:dyDescent="0.15"/>
    <row r="56461" spans="3:3" s="76" customFormat="1" ht="21.95" customHeight="1" x14ac:dyDescent="0.15"/>
    <row r="56462" spans="3:3" s="76" customFormat="1" ht="21.95" customHeight="1" x14ac:dyDescent="0.15"/>
    <row r="56463" spans="3:3" s="76" customFormat="1" ht="21.95" customHeight="1" x14ac:dyDescent="0.15"/>
    <row r="56464" spans="3:3" customFormat="1" ht="21.95" customHeight="1" x14ac:dyDescent="0.15"/>
    <row r="56465" customFormat="1" ht="21.95" customHeight="1" x14ac:dyDescent="0.15"/>
    <row r="56466" customFormat="1" ht="21.95" customHeight="1" x14ac:dyDescent="0.15"/>
    <row r="56467" customFormat="1" ht="21.95" customHeight="1" x14ac:dyDescent="0.15"/>
    <row r="56468" customFormat="1" ht="21.95" customHeight="1" x14ac:dyDescent="0.15"/>
    <row r="56469" customFormat="1" ht="21.95" customHeight="1" x14ac:dyDescent="0.15"/>
    <row r="56470" customFormat="1" ht="21.95" customHeight="1" x14ac:dyDescent="0.15"/>
    <row r="56471" customFormat="1" ht="21.95" customHeight="1" x14ac:dyDescent="0.15"/>
    <row r="56472" customFormat="1" ht="21.95" customHeight="1" x14ac:dyDescent="0.15"/>
    <row r="56473" customFormat="1" ht="21.95" customHeight="1" x14ac:dyDescent="0.15"/>
    <row r="56474" customFormat="1" ht="21.95" customHeight="1" x14ac:dyDescent="0.15"/>
    <row r="56475" customFormat="1" ht="32.1" customHeight="1" x14ac:dyDescent="0.15"/>
    <row r="56476" customFormat="1" ht="32.1" customHeight="1" x14ac:dyDescent="0.15"/>
    <row r="56477" customFormat="1" ht="32.1" customHeight="1" x14ac:dyDescent="0.15"/>
    <row r="56478" customFormat="1" ht="32.1" customHeight="1" x14ac:dyDescent="0.15"/>
    <row r="56479" customFormat="1" ht="32.1" customHeight="1" x14ac:dyDescent="0.15"/>
    <row r="56480" customFormat="1" ht="32.1" customHeight="1" x14ac:dyDescent="0.15"/>
    <row r="56481" s="76" customFormat="1" ht="32.1" customHeight="1" x14ac:dyDescent="0.15"/>
    <row r="56482" s="76" customFormat="1" ht="32.1" customHeight="1" x14ac:dyDescent="0.15"/>
    <row r="56483" s="76" customFormat="1" ht="32.1" customHeight="1" x14ac:dyDescent="0.15"/>
    <row r="56484" s="76" customFormat="1" ht="32.1" customHeight="1" x14ac:dyDescent="0.15"/>
    <row r="56485" s="76" customFormat="1" ht="21.95" customHeight="1" x14ac:dyDescent="0.15"/>
    <row r="56486" s="76" customFormat="1" ht="54" customHeight="1" x14ac:dyDescent="0.15"/>
    <row r="56487" s="76" customFormat="1" ht="21.95" customHeight="1" x14ac:dyDescent="0.15"/>
    <row r="56488" s="76" customFormat="1" ht="21.95" customHeight="1" x14ac:dyDescent="0.15"/>
    <row r="56489" s="76" customFormat="1" ht="21.95" customHeight="1" x14ac:dyDescent="0.15"/>
    <row r="56490" s="76" customFormat="1" ht="21.95" customHeight="1" x14ac:dyDescent="0.15"/>
    <row r="56491" s="76" customFormat="1" ht="21.95" customHeight="1" x14ac:dyDescent="0.15"/>
    <row r="56492" s="76" customFormat="1" ht="21.95" customHeight="1" x14ac:dyDescent="0.15"/>
    <row r="56493" s="76" customFormat="1" ht="21.95" customHeight="1" x14ac:dyDescent="0.15"/>
    <row r="56494" s="76" customFormat="1" ht="21.95" customHeight="1" x14ac:dyDescent="0.15"/>
    <row r="56495" s="76" customFormat="1" ht="21.95" customHeight="1" x14ac:dyDescent="0.15"/>
    <row r="56496" s="76" customFormat="1" ht="21.95" customHeight="1" x14ac:dyDescent="0.15"/>
    <row r="56497" s="76" customFormat="1" ht="21.95" customHeight="1" x14ac:dyDescent="0.15"/>
    <row r="56498" s="76" customFormat="1" ht="21.95" customHeight="1" x14ac:dyDescent="0.15"/>
    <row r="56499" s="76" customFormat="1" ht="21.95" customHeight="1" x14ac:dyDescent="0.15"/>
    <row r="56500" s="76" customFormat="1" ht="21.95" customHeight="1" x14ac:dyDescent="0.15"/>
    <row r="56501" s="76" customFormat="1" ht="21.95" customHeight="1" x14ac:dyDescent="0.15"/>
    <row r="56502" s="76" customFormat="1" ht="21.95" customHeight="1" x14ac:dyDescent="0.15"/>
    <row r="56503" s="76" customFormat="1" ht="21.95" customHeight="1" x14ac:dyDescent="0.15"/>
    <row r="56504" s="76" customFormat="1" ht="21.95" customHeight="1" x14ac:dyDescent="0.15"/>
    <row r="56505" s="76" customFormat="1" ht="21.95" customHeight="1" x14ac:dyDescent="0.15"/>
    <row r="56506" s="76" customFormat="1" ht="21.95" customHeight="1" x14ac:dyDescent="0.15"/>
    <row r="56507" s="76" customFormat="1" ht="21.95" customHeight="1" x14ac:dyDescent="0.15"/>
    <row r="56508" s="76" customFormat="1" ht="21.95" customHeight="1" x14ac:dyDescent="0.15"/>
    <row r="56509" s="76" customFormat="1" ht="21.95" customHeight="1" x14ac:dyDescent="0.15"/>
    <row r="56510" s="76" customFormat="1" ht="21.95" customHeight="1" x14ac:dyDescent="0.15"/>
    <row r="56511" s="76" customFormat="1" ht="21.95" customHeight="1" x14ac:dyDescent="0.15"/>
    <row r="56512" s="76" customFormat="1" ht="21.95" customHeight="1" x14ac:dyDescent="0.15"/>
    <row r="56513" s="76" customFormat="1" ht="21.95" customHeight="1" x14ac:dyDescent="0.15"/>
    <row r="56514" s="76" customFormat="1" ht="21.95" customHeight="1" x14ac:dyDescent="0.15"/>
    <row r="56515" s="76" customFormat="1" ht="21.95" customHeight="1" x14ac:dyDescent="0.15"/>
    <row r="56516" s="76" customFormat="1" ht="21.95" customHeight="1" x14ac:dyDescent="0.15"/>
    <row r="56517" s="76" customFormat="1" ht="21.95" customHeight="1" x14ac:dyDescent="0.15"/>
    <row r="56518" s="76" customFormat="1" ht="21.95" customHeight="1" x14ac:dyDescent="0.15"/>
    <row r="56519" s="76" customFormat="1" ht="21.95" customHeight="1" x14ac:dyDescent="0.15"/>
    <row r="56520" s="76" customFormat="1" ht="21.95" customHeight="1" x14ac:dyDescent="0.15"/>
    <row r="56521" s="76" customFormat="1" ht="21.95" customHeight="1" x14ac:dyDescent="0.15"/>
    <row r="56522" s="76" customFormat="1" ht="21.95" customHeight="1" x14ac:dyDescent="0.15"/>
    <row r="56523" s="76" customFormat="1" ht="21.95" customHeight="1" x14ac:dyDescent="0.15"/>
    <row r="56524" s="76" customFormat="1" ht="21.95" customHeight="1" x14ac:dyDescent="0.15"/>
    <row r="56525" s="76" customFormat="1" ht="21.95" customHeight="1" x14ac:dyDescent="0.15"/>
    <row r="56526" s="76" customFormat="1" ht="21.95" customHeight="1" x14ac:dyDescent="0.15"/>
    <row r="56527" s="76" customFormat="1" ht="21.95" customHeight="1" x14ac:dyDescent="0.15"/>
    <row r="56528" s="76" customFormat="1" ht="21.95" customHeight="1" x14ac:dyDescent="0.15"/>
    <row r="56529" s="76" customFormat="1" ht="21.95" customHeight="1" x14ac:dyDescent="0.15"/>
    <row r="56530" s="76" customFormat="1" ht="21.95" customHeight="1" x14ac:dyDescent="0.15"/>
    <row r="56531" s="76" customFormat="1" ht="21.95" customHeight="1" x14ac:dyDescent="0.15"/>
    <row r="56532" s="76" customFormat="1" ht="21.95" customHeight="1" x14ac:dyDescent="0.15"/>
    <row r="56533" s="76" customFormat="1" ht="21.95" customHeight="1" x14ac:dyDescent="0.15"/>
    <row r="56534" s="76" customFormat="1" ht="21.95" customHeight="1" x14ac:dyDescent="0.15"/>
    <row r="56535" s="76" customFormat="1" ht="21.95" customHeight="1" x14ac:dyDescent="0.15"/>
    <row r="56536" s="76" customFormat="1" ht="21.95" customHeight="1" x14ac:dyDescent="0.15"/>
    <row r="56537" s="76" customFormat="1" ht="35.1" customHeight="1" x14ac:dyDescent="0.15"/>
    <row r="56538" s="76" customFormat="1" ht="21.95" customHeight="1" x14ac:dyDescent="0.15"/>
    <row r="56539" s="76" customFormat="1" ht="21.95" customHeight="1" x14ac:dyDescent="0.15"/>
    <row r="56540" s="76" customFormat="1" ht="21.95" customHeight="1" x14ac:dyDescent="0.15"/>
    <row r="56541" s="76" customFormat="1" ht="21.95" customHeight="1" x14ac:dyDescent="0.15"/>
    <row r="56542" s="76" customFormat="1" ht="21.95" customHeight="1" x14ac:dyDescent="0.15"/>
    <row r="56543" s="76" customFormat="1" ht="21.95" customHeight="1" x14ac:dyDescent="0.15"/>
    <row r="56544" s="76" customFormat="1" ht="21.95" customHeight="1" x14ac:dyDescent="0.15"/>
    <row r="56545" s="76" customFormat="1" ht="21.95" customHeight="1" x14ac:dyDescent="0.15"/>
    <row r="56546" s="76" customFormat="1" ht="21.95" customHeight="1" x14ac:dyDescent="0.15"/>
    <row r="56547" s="76" customFormat="1" ht="21.95" customHeight="1" x14ac:dyDescent="0.15"/>
    <row r="56548" s="76" customFormat="1" ht="21.95" customHeight="1" x14ac:dyDescent="0.15"/>
    <row r="56549" s="76" customFormat="1" ht="21.95" customHeight="1" x14ac:dyDescent="0.15"/>
    <row r="56550" s="76" customFormat="1" ht="21.95" customHeight="1" x14ac:dyDescent="0.15"/>
    <row r="56551" s="76" customFormat="1" ht="21.95" customHeight="1" x14ac:dyDescent="0.15"/>
    <row r="56552" s="76" customFormat="1" ht="21.95" customHeight="1" x14ac:dyDescent="0.15"/>
    <row r="56553" s="76" customFormat="1" ht="21.95" customHeight="1" x14ac:dyDescent="0.15"/>
    <row r="56554" s="76" customFormat="1" ht="21.95" customHeight="1" x14ac:dyDescent="0.15"/>
    <row r="56555" s="76" customFormat="1" ht="21.95" customHeight="1" x14ac:dyDescent="0.15"/>
    <row r="56556" s="76" customFormat="1" ht="21.95" customHeight="1" x14ac:dyDescent="0.15"/>
    <row r="56557" s="76" customFormat="1" ht="21.95" customHeight="1" x14ac:dyDescent="0.15"/>
    <row r="56558" s="76" customFormat="1" ht="21.95" customHeight="1" x14ac:dyDescent="0.15"/>
    <row r="56559" s="76" customFormat="1" ht="21.95" customHeight="1" x14ac:dyDescent="0.15"/>
    <row r="56560" s="76" customFormat="1" ht="21.95" customHeight="1" x14ac:dyDescent="0.15"/>
    <row r="56561" spans="3:3" customFormat="1" ht="21.95" customHeight="1" x14ac:dyDescent="0.15"/>
    <row r="56562" spans="3:3" customFormat="1" ht="21.95" customHeight="1" x14ac:dyDescent="0.15"/>
    <row r="56563" spans="3:3" customFormat="1" ht="21.95" customHeight="1" x14ac:dyDescent="0.15">
      <c r="C56563" s="94"/>
    </row>
    <row r="56564" spans="3:3" customFormat="1" ht="21.95" customHeight="1" x14ac:dyDescent="0.15">
      <c r="C56564" s="94"/>
    </row>
    <row r="56565" spans="3:3" customFormat="1" ht="21.95" customHeight="1" x14ac:dyDescent="0.15"/>
    <row r="56566" spans="3:3" customFormat="1" ht="21.95" customHeight="1" x14ac:dyDescent="0.15"/>
    <row r="56567" spans="3:3" customFormat="1" ht="21.95" customHeight="1" x14ac:dyDescent="0.15"/>
    <row r="56568" spans="3:3" customFormat="1" ht="21.95" customHeight="1" x14ac:dyDescent="0.15"/>
    <row r="56569" spans="3:3" customFormat="1" ht="21.95" customHeight="1" x14ac:dyDescent="0.15"/>
    <row r="56570" spans="3:3" customFormat="1" ht="21.95" customHeight="1" x14ac:dyDescent="0.15"/>
    <row r="56571" spans="3:3" customFormat="1" ht="21.95" customHeight="1" x14ac:dyDescent="0.15"/>
    <row r="56572" spans="3:3" s="76" customFormat="1" ht="21.95" customHeight="1" x14ac:dyDescent="0.15"/>
    <row r="56573" spans="3:3" s="76" customFormat="1" ht="21.95" customHeight="1" x14ac:dyDescent="0.15"/>
    <row r="56574" spans="3:3" s="76" customFormat="1" ht="21.95" customHeight="1" x14ac:dyDescent="0.15"/>
    <row r="56575" spans="3:3" s="76" customFormat="1" ht="21.95" customHeight="1" x14ac:dyDescent="0.15"/>
    <row r="56576" spans="3:3" customFormat="1" ht="21.95" customHeight="1" x14ac:dyDescent="0.15"/>
    <row r="56577" customFormat="1" ht="21.95" customHeight="1" x14ac:dyDescent="0.15"/>
    <row r="56578" customFormat="1" ht="21.95" customHeight="1" x14ac:dyDescent="0.15"/>
    <row r="56579" customFormat="1" ht="21.95" customHeight="1" x14ac:dyDescent="0.15"/>
    <row r="56580" customFormat="1" ht="21.95" customHeight="1" x14ac:dyDescent="0.15"/>
    <row r="56581" customFormat="1" ht="21.95" customHeight="1" x14ac:dyDescent="0.15"/>
    <row r="56582" customFormat="1" ht="21.95" customHeight="1" x14ac:dyDescent="0.15"/>
    <row r="56583" customFormat="1" ht="21.95" customHeight="1" x14ac:dyDescent="0.15"/>
    <row r="56584" customFormat="1" ht="21.95" customHeight="1" x14ac:dyDescent="0.15"/>
    <row r="56585" customFormat="1" ht="21.95" customHeight="1" x14ac:dyDescent="0.15"/>
    <row r="56586" customFormat="1" ht="21.95" customHeight="1" x14ac:dyDescent="0.15"/>
    <row r="56587" customFormat="1" ht="32.1" customHeight="1" x14ac:dyDescent="0.15"/>
    <row r="56588" customFormat="1" ht="32.1" customHeight="1" x14ac:dyDescent="0.15"/>
    <row r="56589" customFormat="1" ht="32.1" customHeight="1" x14ac:dyDescent="0.15"/>
    <row r="56590" customFormat="1" ht="32.1" customHeight="1" x14ac:dyDescent="0.15"/>
    <row r="56591" customFormat="1" ht="32.1" customHeight="1" x14ac:dyDescent="0.15"/>
    <row r="56592" customFormat="1" ht="32.1" customHeight="1" x14ac:dyDescent="0.15"/>
    <row r="56593" s="76" customFormat="1" ht="32.1" customHeight="1" x14ac:dyDescent="0.15"/>
    <row r="56594" s="76" customFormat="1" ht="32.1" customHeight="1" x14ac:dyDescent="0.15"/>
    <row r="56595" s="76" customFormat="1" ht="32.1" customHeight="1" x14ac:dyDescent="0.15"/>
    <row r="56596" s="76" customFormat="1" ht="32.1" customHeight="1" x14ac:dyDescent="0.15"/>
    <row r="56597" s="76" customFormat="1" ht="21.95" customHeight="1" x14ac:dyDescent="0.15"/>
    <row r="56598" s="76" customFormat="1" ht="54" customHeight="1" x14ac:dyDescent="0.15"/>
    <row r="56599" s="76" customFormat="1" ht="21.95" customHeight="1" x14ac:dyDescent="0.15"/>
    <row r="56600" s="76" customFormat="1" ht="21.95" customHeight="1" x14ac:dyDescent="0.15"/>
    <row r="56601" s="76" customFormat="1" ht="21.95" customHeight="1" x14ac:dyDescent="0.15"/>
    <row r="56602" s="76" customFormat="1" ht="21.95" customHeight="1" x14ac:dyDescent="0.15"/>
    <row r="56603" s="76" customFormat="1" ht="21.95" customHeight="1" x14ac:dyDescent="0.15"/>
    <row r="56604" s="76" customFormat="1" ht="21.95" customHeight="1" x14ac:dyDescent="0.15"/>
    <row r="56605" s="76" customFormat="1" ht="21.95" customHeight="1" x14ac:dyDescent="0.15"/>
    <row r="56606" s="76" customFormat="1" ht="21.95" customHeight="1" x14ac:dyDescent="0.15"/>
    <row r="56607" s="76" customFormat="1" ht="21.95" customHeight="1" x14ac:dyDescent="0.15"/>
    <row r="56608" s="76" customFormat="1" ht="21.95" customHeight="1" x14ac:dyDescent="0.15"/>
    <row r="56609" s="76" customFormat="1" ht="21.95" customHeight="1" x14ac:dyDescent="0.15"/>
    <row r="56610" s="76" customFormat="1" ht="21.95" customHeight="1" x14ac:dyDescent="0.15"/>
    <row r="56611" s="76" customFormat="1" ht="21.95" customHeight="1" x14ac:dyDescent="0.15"/>
    <row r="56612" s="76" customFormat="1" ht="21.95" customHeight="1" x14ac:dyDescent="0.15"/>
    <row r="56613" s="76" customFormat="1" ht="21.95" customHeight="1" x14ac:dyDescent="0.15"/>
    <row r="56614" s="76" customFormat="1" ht="21.95" customHeight="1" x14ac:dyDescent="0.15"/>
    <row r="56615" s="76" customFormat="1" ht="21.95" customHeight="1" x14ac:dyDescent="0.15"/>
    <row r="56616" s="76" customFormat="1" ht="21.95" customHeight="1" x14ac:dyDescent="0.15"/>
    <row r="56617" s="76" customFormat="1" ht="21.95" customHeight="1" x14ac:dyDescent="0.15"/>
    <row r="56618" s="76" customFormat="1" ht="21.95" customHeight="1" x14ac:dyDescent="0.15"/>
    <row r="56619" s="76" customFormat="1" ht="21.95" customHeight="1" x14ac:dyDescent="0.15"/>
    <row r="56620" s="76" customFormat="1" ht="21.95" customHeight="1" x14ac:dyDescent="0.15"/>
    <row r="56621" s="76" customFormat="1" ht="21.95" customHeight="1" x14ac:dyDescent="0.15"/>
    <row r="56622" s="76" customFormat="1" ht="21.95" customHeight="1" x14ac:dyDescent="0.15"/>
    <row r="56623" s="76" customFormat="1" ht="21.95" customHeight="1" x14ac:dyDescent="0.15"/>
    <row r="56624" s="76" customFormat="1" ht="21.95" customHeight="1" x14ac:dyDescent="0.15"/>
    <row r="56625" s="76" customFormat="1" ht="21.95" customHeight="1" x14ac:dyDescent="0.15"/>
    <row r="56626" s="76" customFormat="1" ht="21.95" customHeight="1" x14ac:dyDescent="0.15"/>
    <row r="56627" s="76" customFormat="1" ht="21.95" customHeight="1" x14ac:dyDescent="0.15"/>
    <row r="56628" s="76" customFormat="1" ht="21.95" customHeight="1" x14ac:dyDescent="0.15"/>
    <row r="56629" s="76" customFormat="1" ht="21.95" customHeight="1" x14ac:dyDescent="0.15"/>
    <row r="56630" s="76" customFormat="1" ht="21.95" customHeight="1" x14ac:dyDescent="0.15"/>
    <row r="56631" s="76" customFormat="1" ht="21.95" customHeight="1" x14ac:dyDescent="0.15"/>
    <row r="56632" s="76" customFormat="1" ht="21.95" customHeight="1" x14ac:dyDescent="0.15"/>
    <row r="56633" s="76" customFormat="1" ht="21.95" customHeight="1" x14ac:dyDescent="0.15"/>
    <row r="56634" s="76" customFormat="1" ht="21.95" customHeight="1" x14ac:dyDescent="0.15"/>
    <row r="56635" s="76" customFormat="1" ht="21.95" customHeight="1" x14ac:dyDescent="0.15"/>
    <row r="56636" s="76" customFormat="1" ht="21.95" customHeight="1" x14ac:dyDescent="0.15"/>
    <row r="56637" s="76" customFormat="1" ht="21.95" customHeight="1" x14ac:dyDescent="0.15"/>
    <row r="56638" s="76" customFormat="1" ht="21.95" customHeight="1" x14ac:dyDescent="0.15"/>
    <row r="56639" s="76" customFormat="1" ht="21.95" customHeight="1" x14ac:dyDescent="0.15"/>
    <row r="56640" s="76" customFormat="1" ht="21.95" customHeight="1" x14ac:dyDescent="0.15"/>
    <row r="56641" s="76" customFormat="1" ht="21.95" customHeight="1" x14ac:dyDescent="0.15"/>
    <row r="56642" s="76" customFormat="1" ht="21.95" customHeight="1" x14ac:dyDescent="0.15"/>
    <row r="56643" s="76" customFormat="1" ht="21.95" customHeight="1" x14ac:dyDescent="0.15"/>
    <row r="56644" s="76" customFormat="1" ht="21.95" customHeight="1" x14ac:dyDescent="0.15"/>
    <row r="56645" s="76" customFormat="1" ht="21.95" customHeight="1" x14ac:dyDescent="0.15"/>
    <row r="56646" s="76" customFormat="1" ht="21.95" customHeight="1" x14ac:dyDescent="0.15"/>
    <row r="56647" s="76" customFormat="1" ht="21.95" customHeight="1" x14ac:dyDescent="0.15"/>
    <row r="56648" s="76" customFormat="1" ht="21.95" customHeight="1" x14ac:dyDescent="0.15"/>
    <row r="56649" s="76" customFormat="1" ht="35.1" customHeight="1" x14ac:dyDescent="0.15"/>
    <row r="56650" s="76" customFormat="1" ht="21.95" customHeight="1" x14ac:dyDescent="0.15"/>
    <row r="56651" s="76" customFormat="1" ht="21.95" customHeight="1" x14ac:dyDescent="0.15"/>
    <row r="56652" s="76" customFormat="1" ht="21.95" customHeight="1" x14ac:dyDescent="0.15"/>
    <row r="56653" s="76" customFormat="1" ht="21.95" customHeight="1" x14ac:dyDescent="0.15"/>
    <row r="56654" s="76" customFormat="1" ht="21.95" customHeight="1" x14ac:dyDescent="0.15"/>
    <row r="56655" s="76" customFormat="1" ht="21.95" customHeight="1" x14ac:dyDescent="0.15"/>
    <row r="56656" s="76" customFormat="1" ht="21.95" customHeight="1" x14ac:dyDescent="0.15"/>
    <row r="56657" s="76" customFormat="1" ht="21.95" customHeight="1" x14ac:dyDescent="0.15"/>
    <row r="56658" s="76" customFormat="1" ht="21.95" customHeight="1" x14ac:dyDescent="0.15"/>
    <row r="56659" s="76" customFormat="1" ht="21.95" customHeight="1" x14ac:dyDescent="0.15"/>
    <row r="56660" s="76" customFormat="1" ht="21.95" customHeight="1" x14ac:dyDescent="0.15"/>
    <row r="56661" s="76" customFormat="1" ht="21.95" customHeight="1" x14ac:dyDescent="0.15"/>
    <row r="56662" s="76" customFormat="1" ht="21.95" customHeight="1" x14ac:dyDescent="0.15"/>
    <row r="56663" s="76" customFormat="1" ht="21.95" customHeight="1" x14ac:dyDescent="0.15"/>
    <row r="56664" s="76" customFormat="1" ht="21.95" customHeight="1" x14ac:dyDescent="0.15"/>
    <row r="56665" s="76" customFormat="1" ht="21.95" customHeight="1" x14ac:dyDescent="0.15"/>
    <row r="56666" s="76" customFormat="1" ht="21.95" customHeight="1" x14ac:dyDescent="0.15"/>
    <row r="56667" s="76" customFormat="1" ht="21.95" customHeight="1" x14ac:dyDescent="0.15"/>
    <row r="56668" s="76" customFormat="1" ht="21.95" customHeight="1" x14ac:dyDescent="0.15"/>
    <row r="56669" s="76" customFormat="1" ht="21.95" customHeight="1" x14ac:dyDescent="0.15"/>
    <row r="56670" s="76" customFormat="1" ht="21.95" customHeight="1" x14ac:dyDescent="0.15"/>
    <row r="56671" s="76" customFormat="1" ht="21.95" customHeight="1" x14ac:dyDescent="0.15"/>
    <row r="56672" s="76" customFormat="1" ht="21.95" customHeight="1" x14ac:dyDescent="0.15"/>
    <row r="56673" spans="3:3" customFormat="1" ht="21.95" customHeight="1" x14ac:dyDescent="0.15"/>
    <row r="56674" spans="3:3" customFormat="1" ht="21.95" customHeight="1" x14ac:dyDescent="0.15"/>
    <row r="56675" spans="3:3" customFormat="1" ht="21.95" customHeight="1" x14ac:dyDescent="0.15">
      <c r="C56675" s="94"/>
    </row>
    <row r="56676" spans="3:3" customFormat="1" ht="21.95" customHeight="1" x14ac:dyDescent="0.15">
      <c r="C56676" s="94"/>
    </row>
    <row r="56677" spans="3:3" customFormat="1" ht="21.95" customHeight="1" x14ac:dyDescent="0.15"/>
    <row r="56678" spans="3:3" customFormat="1" ht="21.95" customHeight="1" x14ac:dyDescent="0.15"/>
    <row r="56679" spans="3:3" customFormat="1" ht="21.95" customHeight="1" x14ac:dyDescent="0.15"/>
    <row r="56680" spans="3:3" customFormat="1" ht="21.95" customHeight="1" x14ac:dyDescent="0.15"/>
    <row r="56681" spans="3:3" customFormat="1" ht="21.95" customHeight="1" x14ac:dyDescent="0.15"/>
    <row r="56682" spans="3:3" customFormat="1" ht="21.95" customHeight="1" x14ac:dyDescent="0.15"/>
    <row r="56683" spans="3:3" customFormat="1" ht="21.95" customHeight="1" x14ac:dyDescent="0.15"/>
    <row r="56684" spans="3:3" s="76" customFormat="1" ht="21.95" customHeight="1" x14ac:dyDescent="0.15"/>
    <row r="56685" spans="3:3" s="76" customFormat="1" ht="21.95" customHeight="1" x14ac:dyDescent="0.15"/>
    <row r="56686" spans="3:3" s="76" customFormat="1" ht="21.95" customHeight="1" x14ac:dyDescent="0.15"/>
    <row r="56687" spans="3:3" s="76" customFormat="1" ht="21.95" customHeight="1" x14ac:dyDescent="0.15"/>
    <row r="56688" spans="3:3" customFormat="1" ht="21.95" customHeight="1" x14ac:dyDescent="0.15"/>
    <row r="56689" customFormat="1" ht="21.95" customHeight="1" x14ac:dyDescent="0.15"/>
    <row r="56690" customFormat="1" ht="21.95" customHeight="1" x14ac:dyDescent="0.15"/>
    <row r="56691" customFormat="1" ht="21.95" customHeight="1" x14ac:dyDescent="0.15"/>
    <row r="56692" customFormat="1" ht="21.95" customHeight="1" x14ac:dyDescent="0.15"/>
    <row r="56693" customFormat="1" ht="21.95" customHeight="1" x14ac:dyDescent="0.15"/>
    <row r="56694" customFormat="1" ht="21.95" customHeight="1" x14ac:dyDescent="0.15"/>
    <row r="56695" customFormat="1" ht="21.95" customHeight="1" x14ac:dyDescent="0.15"/>
    <row r="56696" customFormat="1" ht="21.95" customHeight="1" x14ac:dyDescent="0.15"/>
    <row r="56697" customFormat="1" ht="21.95" customHeight="1" x14ac:dyDescent="0.15"/>
    <row r="56698" customFormat="1" ht="21.95" customHeight="1" x14ac:dyDescent="0.15"/>
    <row r="56699" customFormat="1" ht="32.1" customHeight="1" x14ac:dyDescent="0.15"/>
    <row r="56700" customFormat="1" ht="32.1" customHeight="1" x14ac:dyDescent="0.15"/>
    <row r="56701" customFormat="1" ht="32.1" customHeight="1" x14ac:dyDescent="0.15"/>
    <row r="56702" customFormat="1" ht="32.1" customHeight="1" x14ac:dyDescent="0.15"/>
    <row r="56703" customFormat="1" ht="32.1" customHeight="1" x14ac:dyDescent="0.15"/>
    <row r="56704" customFormat="1" ht="32.1" customHeight="1" x14ac:dyDescent="0.15"/>
    <row r="56705" s="76" customFormat="1" ht="32.1" customHeight="1" x14ac:dyDescent="0.15"/>
    <row r="56706" s="76" customFormat="1" ht="32.1" customHeight="1" x14ac:dyDescent="0.15"/>
    <row r="56707" s="76" customFormat="1" ht="32.1" customHeight="1" x14ac:dyDescent="0.15"/>
    <row r="56708" s="76" customFormat="1" ht="32.1" customHeight="1" x14ac:dyDescent="0.15"/>
    <row r="56709" s="76" customFormat="1" ht="21.95" customHeight="1" x14ac:dyDescent="0.15"/>
    <row r="56710" s="76" customFormat="1" ht="54" customHeight="1" x14ac:dyDescent="0.15"/>
    <row r="56711" s="76" customFormat="1" ht="21.95" customHeight="1" x14ac:dyDescent="0.15"/>
    <row r="56712" s="76" customFormat="1" ht="21.95" customHeight="1" x14ac:dyDescent="0.15"/>
    <row r="56713" s="76" customFormat="1" ht="21.95" customHeight="1" x14ac:dyDescent="0.15"/>
    <row r="56714" s="76" customFormat="1" ht="21.95" customHeight="1" x14ac:dyDescent="0.15"/>
    <row r="56715" s="76" customFormat="1" ht="21.95" customHeight="1" x14ac:dyDescent="0.15"/>
    <row r="56716" s="76" customFormat="1" ht="21.95" customHeight="1" x14ac:dyDescent="0.15"/>
    <row r="56717" s="76" customFormat="1" ht="21.95" customHeight="1" x14ac:dyDescent="0.15"/>
    <row r="56718" s="76" customFormat="1" ht="21.95" customHeight="1" x14ac:dyDescent="0.15"/>
    <row r="56719" s="76" customFormat="1" ht="21.95" customHeight="1" x14ac:dyDescent="0.15"/>
    <row r="56720" s="76" customFormat="1" ht="21.95" customHeight="1" x14ac:dyDescent="0.15"/>
    <row r="56721" s="76" customFormat="1" ht="21.95" customHeight="1" x14ac:dyDescent="0.15"/>
    <row r="56722" s="76" customFormat="1" ht="21.95" customHeight="1" x14ac:dyDescent="0.15"/>
    <row r="56723" s="76" customFormat="1" ht="21.95" customHeight="1" x14ac:dyDescent="0.15"/>
    <row r="56724" s="76" customFormat="1" ht="21.95" customHeight="1" x14ac:dyDescent="0.15"/>
    <row r="56725" s="76" customFormat="1" ht="21.95" customHeight="1" x14ac:dyDescent="0.15"/>
    <row r="56726" s="76" customFormat="1" ht="21.95" customHeight="1" x14ac:dyDescent="0.15"/>
    <row r="56727" s="76" customFormat="1" ht="21.95" customHeight="1" x14ac:dyDescent="0.15"/>
    <row r="56728" s="76" customFormat="1" ht="21.95" customHeight="1" x14ac:dyDescent="0.15"/>
    <row r="56729" s="76" customFormat="1" ht="21.95" customHeight="1" x14ac:dyDescent="0.15"/>
    <row r="56730" s="76" customFormat="1" ht="21.95" customHeight="1" x14ac:dyDescent="0.15"/>
    <row r="56731" s="76" customFormat="1" ht="21.95" customHeight="1" x14ac:dyDescent="0.15"/>
    <row r="56732" s="76" customFormat="1" ht="21.95" customHeight="1" x14ac:dyDescent="0.15"/>
    <row r="56733" s="76" customFormat="1" ht="21.95" customHeight="1" x14ac:dyDescent="0.15"/>
    <row r="56734" s="76" customFormat="1" ht="21.95" customHeight="1" x14ac:dyDescent="0.15"/>
    <row r="56735" s="76" customFormat="1" ht="21.95" customHeight="1" x14ac:dyDescent="0.15"/>
    <row r="56736" s="76" customFormat="1" ht="21.95" customHeight="1" x14ac:dyDescent="0.15"/>
    <row r="56737" s="76" customFormat="1" ht="21.95" customHeight="1" x14ac:dyDescent="0.15"/>
    <row r="56738" s="76" customFormat="1" ht="21.95" customHeight="1" x14ac:dyDescent="0.15"/>
    <row r="56739" s="76" customFormat="1" ht="21.95" customHeight="1" x14ac:dyDescent="0.15"/>
    <row r="56740" s="76" customFormat="1" ht="21.95" customHeight="1" x14ac:dyDescent="0.15"/>
    <row r="56741" s="76" customFormat="1" ht="21.95" customHeight="1" x14ac:dyDescent="0.15"/>
    <row r="56742" s="76" customFormat="1" ht="21.95" customHeight="1" x14ac:dyDescent="0.15"/>
    <row r="56743" s="76" customFormat="1" ht="21.95" customHeight="1" x14ac:dyDescent="0.15"/>
    <row r="56744" s="76" customFormat="1" ht="21.95" customHeight="1" x14ac:dyDescent="0.15"/>
    <row r="56745" s="76" customFormat="1" ht="21.95" customHeight="1" x14ac:dyDescent="0.15"/>
    <row r="56746" s="76" customFormat="1" ht="21.95" customHeight="1" x14ac:dyDescent="0.15"/>
    <row r="56747" s="76" customFormat="1" ht="21.95" customHeight="1" x14ac:dyDescent="0.15"/>
    <row r="56748" s="76" customFormat="1" ht="21.95" customHeight="1" x14ac:dyDescent="0.15"/>
    <row r="56749" s="76" customFormat="1" ht="21.95" customHeight="1" x14ac:dyDescent="0.15"/>
    <row r="56750" s="76" customFormat="1" ht="21.95" customHeight="1" x14ac:dyDescent="0.15"/>
    <row r="56751" s="76" customFormat="1" ht="21.95" customHeight="1" x14ac:dyDescent="0.15"/>
    <row r="56752" s="76" customFormat="1" ht="21.95" customHeight="1" x14ac:dyDescent="0.15"/>
    <row r="56753" s="76" customFormat="1" ht="21.95" customHeight="1" x14ac:dyDescent="0.15"/>
    <row r="56754" s="76" customFormat="1" ht="21.95" customHeight="1" x14ac:dyDescent="0.15"/>
    <row r="56755" s="76" customFormat="1" ht="21.95" customHeight="1" x14ac:dyDescent="0.15"/>
    <row r="56756" s="76" customFormat="1" ht="21.95" customHeight="1" x14ac:dyDescent="0.15"/>
    <row r="56757" s="76" customFormat="1" ht="21.95" customHeight="1" x14ac:dyDescent="0.15"/>
    <row r="56758" s="76" customFormat="1" ht="21.95" customHeight="1" x14ac:dyDescent="0.15"/>
    <row r="56759" s="76" customFormat="1" ht="21.95" customHeight="1" x14ac:dyDescent="0.15"/>
    <row r="56760" s="76" customFormat="1" ht="21.95" customHeight="1" x14ac:dyDescent="0.15"/>
    <row r="56761" s="76" customFormat="1" ht="35.1" customHeight="1" x14ac:dyDescent="0.15"/>
    <row r="56762" s="76" customFormat="1" ht="21.95" customHeight="1" x14ac:dyDescent="0.15"/>
    <row r="56763" s="76" customFormat="1" ht="21.95" customHeight="1" x14ac:dyDescent="0.15"/>
    <row r="56764" s="76" customFormat="1" ht="21.95" customHeight="1" x14ac:dyDescent="0.15"/>
    <row r="56765" s="76" customFormat="1" ht="21.95" customHeight="1" x14ac:dyDescent="0.15"/>
    <row r="56766" s="76" customFormat="1" ht="21.95" customHeight="1" x14ac:dyDescent="0.15"/>
    <row r="56767" s="76" customFormat="1" ht="21.95" customHeight="1" x14ac:dyDescent="0.15"/>
    <row r="56768" s="76" customFormat="1" ht="21.95" customHeight="1" x14ac:dyDescent="0.15"/>
    <row r="56769" s="76" customFormat="1" ht="21.95" customHeight="1" x14ac:dyDescent="0.15"/>
    <row r="56770" s="76" customFormat="1" ht="21.95" customHeight="1" x14ac:dyDescent="0.15"/>
    <row r="56771" s="76" customFormat="1" ht="21.95" customHeight="1" x14ac:dyDescent="0.15"/>
    <row r="56772" s="76" customFormat="1" ht="21.95" customHeight="1" x14ac:dyDescent="0.15"/>
    <row r="56773" s="76" customFormat="1" ht="21.95" customHeight="1" x14ac:dyDescent="0.15"/>
    <row r="56774" s="76" customFormat="1" ht="21.95" customHeight="1" x14ac:dyDescent="0.15"/>
    <row r="56775" s="76" customFormat="1" ht="21.95" customHeight="1" x14ac:dyDescent="0.15"/>
    <row r="56776" s="76" customFormat="1" ht="21.95" customHeight="1" x14ac:dyDescent="0.15"/>
    <row r="56777" s="76" customFormat="1" ht="21.95" customHeight="1" x14ac:dyDescent="0.15"/>
    <row r="56778" s="76" customFormat="1" ht="21.95" customHeight="1" x14ac:dyDescent="0.15"/>
    <row r="56779" s="76" customFormat="1" ht="21.95" customHeight="1" x14ac:dyDescent="0.15"/>
    <row r="56780" s="76" customFormat="1" ht="21.95" customHeight="1" x14ac:dyDescent="0.15"/>
    <row r="56781" s="76" customFormat="1" ht="21.95" customHeight="1" x14ac:dyDescent="0.15"/>
    <row r="56782" s="76" customFormat="1" ht="21.95" customHeight="1" x14ac:dyDescent="0.15"/>
    <row r="56783" s="76" customFormat="1" ht="21.95" customHeight="1" x14ac:dyDescent="0.15"/>
    <row r="56784" s="76" customFormat="1" ht="21.95" customHeight="1" x14ac:dyDescent="0.15"/>
    <row r="56785" spans="3:3" customFormat="1" ht="21.95" customHeight="1" x14ac:dyDescent="0.15"/>
    <row r="56786" spans="3:3" customFormat="1" ht="21.95" customHeight="1" x14ac:dyDescent="0.15"/>
    <row r="56787" spans="3:3" customFormat="1" ht="21.95" customHeight="1" x14ac:dyDescent="0.15">
      <c r="C56787" s="94"/>
    </row>
    <row r="56788" spans="3:3" customFormat="1" ht="21.95" customHeight="1" x14ac:dyDescent="0.15">
      <c r="C56788" s="94"/>
    </row>
    <row r="56789" spans="3:3" customFormat="1" ht="21.95" customHeight="1" x14ac:dyDescent="0.15"/>
    <row r="56790" spans="3:3" customFormat="1" ht="21.95" customHeight="1" x14ac:dyDescent="0.15"/>
    <row r="56791" spans="3:3" customFormat="1" ht="21.95" customHeight="1" x14ac:dyDescent="0.15"/>
    <row r="56792" spans="3:3" customFormat="1" ht="21.95" customHeight="1" x14ac:dyDescent="0.15"/>
    <row r="56793" spans="3:3" customFormat="1" ht="21.95" customHeight="1" x14ac:dyDescent="0.15"/>
    <row r="56794" spans="3:3" customFormat="1" ht="21.95" customHeight="1" x14ac:dyDescent="0.15"/>
    <row r="56795" spans="3:3" customFormat="1" ht="21.95" customHeight="1" x14ac:dyDescent="0.15"/>
    <row r="56796" spans="3:3" s="76" customFormat="1" ht="21.95" customHeight="1" x14ac:dyDescent="0.15"/>
    <row r="56797" spans="3:3" s="76" customFormat="1" ht="21.95" customHeight="1" x14ac:dyDescent="0.15"/>
    <row r="56798" spans="3:3" s="76" customFormat="1" ht="21.95" customHeight="1" x14ac:dyDescent="0.15"/>
    <row r="56799" spans="3:3" s="76" customFormat="1" ht="21.95" customHeight="1" x14ac:dyDescent="0.15"/>
    <row r="56800" spans="3:3" customFormat="1" ht="21.95" customHeight="1" x14ac:dyDescent="0.15"/>
    <row r="56801" customFormat="1" ht="21.95" customHeight="1" x14ac:dyDescent="0.15"/>
    <row r="56802" customFormat="1" ht="21.95" customHeight="1" x14ac:dyDescent="0.15"/>
    <row r="56803" customFormat="1" ht="21.95" customHeight="1" x14ac:dyDescent="0.15"/>
    <row r="56804" customFormat="1" ht="21.95" customHeight="1" x14ac:dyDescent="0.15"/>
    <row r="56805" customFormat="1" ht="21.95" customHeight="1" x14ac:dyDescent="0.15"/>
    <row r="56806" customFormat="1" ht="21.95" customHeight="1" x14ac:dyDescent="0.15"/>
    <row r="56807" customFormat="1" ht="21.95" customHeight="1" x14ac:dyDescent="0.15"/>
    <row r="56808" customFormat="1" ht="21.95" customHeight="1" x14ac:dyDescent="0.15"/>
    <row r="56809" customFormat="1" ht="21.95" customHeight="1" x14ac:dyDescent="0.15"/>
    <row r="56810" customFormat="1" ht="21.95" customHeight="1" x14ac:dyDescent="0.15"/>
    <row r="56811" customFormat="1" ht="32.1" customHeight="1" x14ac:dyDescent="0.15"/>
    <row r="56812" customFormat="1" ht="32.1" customHeight="1" x14ac:dyDescent="0.15"/>
    <row r="56813" customFormat="1" ht="32.1" customHeight="1" x14ac:dyDescent="0.15"/>
    <row r="56814" customFormat="1" ht="32.1" customHeight="1" x14ac:dyDescent="0.15"/>
    <row r="56815" customFormat="1" ht="32.1" customHeight="1" x14ac:dyDescent="0.15"/>
    <row r="56816" customFormat="1" ht="32.1" customHeight="1" x14ac:dyDescent="0.15"/>
    <row r="56817" s="76" customFormat="1" ht="32.1" customHeight="1" x14ac:dyDescent="0.15"/>
    <row r="56818" s="76" customFormat="1" ht="32.1" customHeight="1" x14ac:dyDescent="0.15"/>
    <row r="56819" s="76" customFormat="1" ht="32.1" customHeight="1" x14ac:dyDescent="0.15"/>
    <row r="56820" s="76" customFormat="1" ht="32.1" customHeight="1" x14ac:dyDescent="0.15"/>
    <row r="56821" s="76" customFormat="1" ht="21.95" customHeight="1" x14ac:dyDescent="0.15"/>
    <row r="56822" s="76" customFormat="1" ht="54" customHeight="1" x14ac:dyDescent="0.15"/>
    <row r="56823" s="76" customFormat="1" ht="21.95" customHeight="1" x14ac:dyDescent="0.15"/>
    <row r="56824" s="76" customFormat="1" ht="21.95" customHeight="1" x14ac:dyDescent="0.15"/>
    <row r="56825" s="76" customFormat="1" ht="21.95" customHeight="1" x14ac:dyDescent="0.15"/>
    <row r="56826" s="76" customFormat="1" ht="21.95" customHeight="1" x14ac:dyDescent="0.15"/>
    <row r="56827" s="76" customFormat="1" ht="21.95" customHeight="1" x14ac:dyDescent="0.15"/>
    <row r="56828" s="76" customFormat="1" ht="21.95" customHeight="1" x14ac:dyDescent="0.15"/>
    <row r="56829" s="76" customFormat="1" ht="21.95" customHeight="1" x14ac:dyDescent="0.15"/>
    <row r="56830" s="76" customFormat="1" ht="21.95" customHeight="1" x14ac:dyDescent="0.15"/>
    <row r="56831" s="76" customFormat="1" ht="21.95" customHeight="1" x14ac:dyDescent="0.15"/>
    <row r="56832" s="76" customFormat="1" ht="21.95" customHeight="1" x14ac:dyDescent="0.15"/>
    <row r="56833" s="76" customFormat="1" ht="21.95" customHeight="1" x14ac:dyDescent="0.15"/>
    <row r="56834" s="76" customFormat="1" ht="21.95" customHeight="1" x14ac:dyDescent="0.15"/>
    <row r="56835" s="76" customFormat="1" ht="21.95" customHeight="1" x14ac:dyDescent="0.15"/>
    <row r="56836" s="76" customFormat="1" ht="21.95" customHeight="1" x14ac:dyDescent="0.15"/>
    <row r="56837" s="76" customFormat="1" ht="21.95" customHeight="1" x14ac:dyDescent="0.15"/>
    <row r="56838" s="76" customFormat="1" ht="21.95" customHeight="1" x14ac:dyDescent="0.15"/>
    <row r="56839" s="76" customFormat="1" ht="21.95" customHeight="1" x14ac:dyDescent="0.15"/>
    <row r="56840" s="76" customFormat="1" ht="21.95" customHeight="1" x14ac:dyDescent="0.15"/>
    <row r="56841" s="76" customFormat="1" ht="21.95" customHeight="1" x14ac:dyDescent="0.15"/>
    <row r="56842" s="76" customFormat="1" ht="21.95" customHeight="1" x14ac:dyDescent="0.15"/>
    <row r="56843" s="76" customFormat="1" ht="21.95" customHeight="1" x14ac:dyDescent="0.15"/>
    <row r="56844" s="76" customFormat="1" ht="21.95" customHeight="1" x14ac:dyDescent="0.15"/>
    <row r="56845" s="76" customFormat="1" ht="21.95" customHeight="1" x14ac:dyDescent="0.15"/>
    <row r="56846" s="76" customFormat="1" ht="21.95" customHeight="1" x14ac:dyDescent="0.15"/>
    <row r="56847" s="76" customFormat="1" ht="21.95" customHeight="1" x14ac:dyDescent="0.15"/>
    <row r="56848" s="76" customFormat="1" ht="21.95" customHeight="1" x14ac:dyDescent="0.15"/>
    <row r="56849" s="76" customFormat="1" ht="21.95" customHeight="1" x14ac:dyDescent="0.15"/>
    <row r="56850" s="76" customFormat="1" ht="21.95" customHeight="1" x14ac:dyDescent="0.15"/>
    <row r="56851" s="76" customFormat="1" ht="21.95" customHeight="1" x14ac:dyDescent="0.15"/>
    <row r="56852" s="76" customFormat="1" ht="21.95" customHeight="1" x14ac:dyDescent="0.15"/>
    <row r="56853" s="76" customFormat="1" ht="21.95" customHeight="1" x14ac:dyDescent="0.15"/>
    <row r="56854" s="76" customFormat="1" ht="21.95" customHeight="1" x14ac:dyDescent="0.15"/>
    <row r="56855" s="76" customFormat="1" ht="21.95" customHeight="1" x14ac:dyDescent="0.15"/>
    <row r="56856" s="76" customFormat="1" ht="21.95" customHeight="1" x14ac:dyDescent="0.15"/>
    <row r="56857" s="76" customFormat="1" ht="21.95" customHeight="1" x14ac:dyDescent="0.15"/>
    <row r="56858" s="76" customFormat="1" ht="21.95" customHeight="1" x14ac:dyDescent="0.15"/>
    <row r="56859" s="76" customFormat="1" ht="21.95" customHeight="1" x14ac:dyDescent="0.15"/>
    <row r="56860" s="76" customFormat="1" ht="21.95" customHeight="1" x14ac:dyDescent="0.15"/>
    <row r="56861" s="76" customFormat="1" ht="21.95" customHeight="1" x14ac:dyDescent="0.15"/>
    <row r="56862" s="76" customFormat="1" ht="21.95" customHeight="1" x14ac:dyDescent="0.15"/>
    <row r="56863" s="76" customFormat="1" ht="21.95" customHeight="1" x14ac:dyDescent="0.15"/>
    <row r="56864" s="76" customFormat="1" ht="21.95" customHeight="1" x14ac:dyDescent="0.15"/>
    <row r="56865" s="76" customFormat="1" ht="21.95" customHeight="1" x14ac:dyDescent="0.15"/>
    <row r="56866" s="76" customFormat="1" ht="21.95" customHeight="1" x14ac:dyDescent="0.15"/>
    <row r="56867" s="76" customFormat="1" ht="21.95" customHeight="1" x14ac:dyDescent="0.15"/>
    <row r="56868" s="76" customFormat="1" ht="21.95" customHeight="1" x14ac:dyDescent="0.15"/>
    <row r="56869" s="76" customFormat="1" ht="21.95" customHeight="1" x14ac:dyDescent="0.15"/>
    <row r="56870" s="76" customFormat="1" ht="21.95" customHeight="1" x14ac:dyDescent="0.15"/>
    <row r="56871" s="76" customFormat="1" ht="21.95" customHeight="1" x14ac:dyDescent="0.15"/>
    <row r="56872" s="76" customFormat="1" ht="21.95" customHeight="1" x14ac:dyDescent="0.15"/>
    <row r="56873" s="76" customFormat="1" ht="35.1" customHeight="1" x14ac:dyDescent="0.15"/>
    <row r="56874" s="76" customFormat="1" ht="21.95" customHeight="1" x14ac:dyDescent="0.15"/>
    <row r="56875" s="76" customFormat="1" ht="21.95" customHeight="1" x14ac:dyDescent="0.15"/>
    <row r="56876" s="76" customFormat="1" ht="21.95" customHeight="1" x14ac:dyDescent="0.15"/>
    <row r="56877" s="76" customFormat="1" ht="21.95" customHeight="1" x14ac:dyDescent="0.15"/>
    <row r="56878" s="76" customFormat="1" ht="21.95" customHeight="1" x14ac:dyDescent="0.15"/>
    <row r="56879" s="76" customFormat="1" ht="21.95" customHeight="1" x14ac:dyDescent="0.15"/>
    <row r="56880" s="76" customFormat="1" ht="21.95" customHeight="1" x14ac:dyDescent="0.15"/>
    <row r="56881" s="76" customFormat="1" ht="21.95" customHeight="1" x14ac:dyDescent="0.15"/>
    <row r="56882" s="76" customFormat="1" ht="21.95" customHeight="1" x14ac:dyDescent="0.15"/>
    <row r="56883" s="76" customFormat="1" ht="21.95" customHeight="1" x14ac:dyDescent="0.15"/>
    <row r="56884" s="76" customFormat="1" ht="21.95" customHeight="1" x14ac:dyDescent="0.15"/>
    <row r="56885" s="76" customFormat="1" ht="21.95" customHeight="1" x14ac:dyDescent="0.15"/>
    <row r="56886" s="76" customFormat="1" ht="21.95" customHeight="1" x14ac:dyDescent="0.15"/>
    <row r="56887" s="76" customFormat="1" ht="21.95" customHeight="1" x14ac:dyDescent="0.15"/>
    <row r="56888" s="76" customFormat="1" ht="21.95" customHeight="1" x14ac:dyDescent="0.15"/>
    <row r="56889" s="76" customFormat="1" ht="21.95" customHeight="1" x14ac:dyDescent="0.15"/>
    <row r="56890" s="76" customFormat="1" ht="21.95" customHeight="1" x14ac:dyDescent="0.15"/>
    <row r="56891" s="76" customFormat="1" ht="21.95" customHeight="1" x14ac:dyDescent="0.15"/>
    <row r="56892" s="76" customFormat="1" ht="21.95" customHeight="1" x14ac:dyDescent="0.15"/>
    <row r="56893" s="76" customFormat="1" ht="21.95" customHeight="1" x14ac:dyDescent="0.15"/>
    <row r="56894" s="76" customFormat="1" ht="21.95" customHeight="1" x14ac:dyDescent="0.15"/>
    <row r="56895" s="76" customFormat="1" ht="21.95" customHeight="1" x14ac:dyDescent="0.15"/>
    <row r="56896" s="76" customFormat="1" ht="21.95" customHeight="1" x14ac:dyDescent="0.15"/>
    <row r="56897" spans="3:3" customFormat="1" ht="21.95" customHeight="1" x14ac:dyDescent="0.15"/>
    <row r="56898" spans="3:3" customFormat="1" ht="21.95" customHeight="1" x14ac:dyDescent="0.15"/>
    <row r="56899" spans="3:3" customFormat="1" ht="21.95" customHeight="1" x14ac:dyDescent="0.15">
      <c r="C56899" s="94"/>
    </row>
    <row r="56900" spans="3:3" customFormat="1" ht="21.95" customHeight="1" x14ac:dyDescent="0.15">
      <c r="C56900" s="94"/>
    </row>
    <row r="56901" spans="3:3" customFormat="1" ht="21.95" customHeight="1" x14ac:dyDescent="0.15"/>
    <row r="56902" spans="3:3" customFormat="1" ht="21.95" customHeight="1" x14ac:dyDescent="0.15"/>
    <row r="56903" spans="3:3" customFormat="1" ht="21.95" customHeight="1" x14ac:dyDescent="0.15"/>
    <row r="56904" spans="3:3" customFormat="1" ht="21.95" customHeight="1" x14ac:dyDescent="0.15"/>
    <row r="56905" spans="3:3" customFormat="1" ht="21.95" customHeight="1" x14ac:dyDescent="0.15"/>
    <row r="56906" spans="3:3" customFormat="1" ht="21.95" customHeight="1" x14ac:dyDescent="0.15"/>
    <row r="56907" spans="3:3" customFormat="1" ht="21.95" customHeight="1" x14ac:dyDescent="0.15"/>
    <row r="56908" spans="3:3" s="76" customFormat="1" ht="21.95" customHeight="1" x14ac:dyDescent="0.15"/>
    <row r="56909" spans="3:3" s="76" customFormat="1" ht="21.95" customHeight="1" x14ac:dyDescent="0.15"/>
    <row r="56910" spans="3:3" s="76" customFormat="1" ht="21.95" customHeight="1" x14ac:dyDescent="0.15"/>
    <row r="56911" spans="3:3" s="76" customFormat="1" ht="21.95" customHeight="1" x14ac:dyDescent="0.15"/>
    <row r="56912" spans="3:3" customFormat="1" ht="21.95" customHeight="1" x14ac:dyDescent="0.15"/>
    <row r="56913" customFormat="1" ht="21.95" customHeight="1" x14ac:dyDescent="0.15"/>
    <row r="56914" customFormat="1" ht="21.95" customHeight="1" x14ac:dyDescent="0.15"/>
    <row r="56915" customFormat="1" ht="21.95" customHeight="1" x14ac:dyDescent="0.15"/>
    <row r="56916" customFormat="1" ht="21.95" customHeight="1" x14ac:dyDescent="0.15"/>
    <row r="56917" customFormat="1" ht="21.95" customHeight="1" x14ac:dyDescent="0.15"/>
    <row r="56918" customFormat="1" ht="21.95" customHeight="1" x14ac:dyDescent="0.15"/>
    <row r="56919" customFormat="1" ht="21.95" customHeight="1" x14ac:dyDescent="0.15"/>
    <row r="56920" customFormat="1" ht="21.95" customHeight="1" x14ac:dyDescent="0.15"/>
    <row r="56921" customFormat="1" ht="21.95" customHeight="1" x14ac:dyDescent="0.15"/>
    <row r="56922" customFormat="1" ht="21.95" customHeight="1" x14ac:dyDescent="0.15"/>
    <row r="56923" customFormat="1" ht="32.1" customHeight="1" x14ac:dyDescent="0.15"/>
    <row r="56924" customFormat="1" ht="32.1" customHeight="1" x14ac:dyDescent="0.15"/>
    <row r="56925" customFormat="1" ht="32.1" customHeight="1" x14ac:dyDescent="0.15"/>
    <row r="56926" customFormat="1" ht="32.1" customHeight="1" x14ac:dyDescent="0.15"/>
    <row r="56927" customFormat="1" ht="32.1" customHeight="1" x14ac:dyDescent="0.15"/>
    <row r="56928" customFormat="1" ht="32.1" customHeight="1" x14ac:dyDescent="0.15"/>
    <row r="56929" s="76" customFormat="1" ht="32.1" customHeight="1" x14ac:dyDescent="0.15"/>
    <row r="56930" s="76" customFormat="1" ht="32.1" customHeight="1" x14ac:dyDescent="0.15"/>
    <row r="56931" s="76" customFormat="1" ht="32.1" customHeight="1" x14ac:dyDescent="0.15"/>
    <row r="56932" s="76" customFormat="1" ht="32.1" customHeight="1" x14ac:dyDescent="0.15"/>
    <row r="56933" s="76" customFormat="1" ht="21.95" customHeight="1" x14ac:dyDescent="0.15"/>
    <row r="56934" s="76" customFormat="1" ht="54" customHeight="1" x14ac:dyDescent="0.15"/>
    <row r="56935" s="76" customFormat="1" ht="21.95" customHeight="1" x14ac:dyDescent="0.15"/>
    <row r="56936" s="76" customFormat="1" ht="21.95" customHeight="1" x14ac:dyDescent="0.15"/>
    <row r="56937" s="76" customFormat="1" ht="21.95" customHeight="1" x14ac:dyDescent="0.15"/>
    <row r="56938" s="76" customFormat="1" ht="21.95" customHeight="1" x14ac:dyDescent="0.15"/>
    <row r="56939" s="76" customFormat="1" ht="21.95" customHeight="1" x14ac:dyDescent="0.15"/>
    <row r="56940" s="76" customFormat="1" ht="21.95" customHeight="1" x14ac:dyDescent="0.15"/>
    <row r="56941" s="76" customFormat="1" ht="21.95" customHeight="1" x14ac:dyDescent="0.15"/>
    <row r="56942" s="76" customFormat="1" ht="21.95" customHeight="1" x14ac:dyDescent="0.15"/>
    <row r="56943" s="76" customFormat="1" ht="21.95" customHeight="1" x14ac:dyDescent="0.15"/>
    <row r="56944" s="76" customFormat="1" ht="21.95" customHeight="1" x14ac:dyDescent="0.15"/>
    <row r="56945" s="76" customFormat="1" ht="21.95" customHeight="1" x14ac:dyDescent="0.15"/>
    <row r="56946" s="76" customFormat="1" ht="21.95" customHeight="1" x14ac:dyDescent="0.15"/>
    <row r="56947" s="76" customFormat="1" ht="21.95" customHeight="1" x14ac:dyDescent="0.15"/>
    <row r="56948" s="76" customFormat="1" ht="21.95" customHeight="1" x14ac:dyDescent="0.15"/>
    <row r="56949" s="76" customFormat="1" ht="21.95" customHeight="1" x14ac:dyDescent="0.15"/>
    <row r="56950" s="76" customFormat="1" ht="21.95" customHeight="1" x14ac:dyDescent="0.15"/>
    <row r="56951" s="76" customFormat="1" ht="21.95" customHeight="1" x14ac:dyDescent="0.15"/>
    <row r="56952" s="76" customFormat="1" ht="21.95" customHeight="1" x14ac:dyDescent="0.15"/>
    <row r="56953" s="76" customFormat="1" ht="21.95" customHeight="1" x14ac:dyDescent="0.15"/>
    <row r="56954" s="76" customFormat="1" ht="21.95" customHeight="1" x14ac:dyDescent="0.15"/>
    <row r="56955" s="76" customFormat="1" ht="21.95" customHeight="1" x14ac:dyDescent="0.15"/>
    <row r="56956" s="76" customFormat="1" ht="21.95" customHeight="1" x14ac:dyDescent="0.15"/>
    <row r="56957" s="76" customFormat="1" ht="21.95" customHeight="1" x14ac:dyDescent="0.15"/>
    <row r="56958" s="76" customFormat="1" ht="21.95" customHeight="1" x14ac:dyDescent="0.15"/>
    <row r="56959" s="76" customFormat="1" ht="21.95" customHeight="1" x14ac:dyDescent="0.15"/>
    <row r="56960" s="76" customFormat="1" ht="21.95" customHeight="1" x14ac:dyDescent="0.15"/>
    <row r="56961" s="76" customFormat="1" ht="21.95" customHeight="1" x14ac:dyDescent="0.15"/>
    <row r="56962" s="76" customFormat="1" ht="21.95" customHeight="1" x14ac:dyDescent="0.15"/>
    <row r="56963" s="76" customFormat="1" ht="21.95" customHeight="1" x14ac:dyDescent="0.15"/>
    <row r="56964" s="76" customFormat="1" ht="21.95" customHeight="1" x14ac:dyDescent="0.15"/>
    <row r="56965" s="76" customFormat="1" ht="21.95" customHeight="1" x14ac:dyDescent="0.15"/>
    <row r="56966" s="76" customFormat="1" ht="21.95" customHeight="1" x14ac:dyDescent="0.15"/>
    <row r="56967" s="76" customFormat="1" ht="21.95" customHeight="1" x14ac:dyDescent="0.15"/>
    <row r="56968" s="76" customFormat="1" ht="21.95" customHeight="1" x14ac:dyDescent="0.15"/>
    <row r="56969" s="76" customFormat="1" ht="21.95" customHeight="1" x14ac:dyDescent="0.15"/>
    <row r="56970" s="76" customFormat="1" ht="21.95" customHeight="1" x14ac:dyDescent="0.15"/>
    <row r="56971" s="76" customFormat="1" ht="21.95" customHeight="1" x14ac:dyDescent="0.15"/>
    <row r="56972" s="76" customFormat="1" ht="21.95" customHeight="1" x14ac:dyDescent="0.15"/>
    <row r="56973" s="76" customFormat="1" ht="21.95" customHeight="1" x14ac:dyDescent="0.15"/>
    <row r="56974" s="76" customFormat="1" ht="21.95" customHeight="1" x14ac:dyDescent="0.15"/>
    <row r="56975" s="76" customFormat="1" ht="21.95" customHeight="1" x14ac:dyDescent="0.15"/>
    <row r="56976" s="76" customFormat="1" ht="21.95" customHeight="1" x14ac:dyDescent="0.15"/>
    <row r="56977" s="76" customFormat="1" ht="21.95" customHeight="1" x14ac:dyDescent="0.15"/>
    <row r="56978" s="76" customFormat="1" ht="21.95" customHeight="1" x14ac:dyDescent="0.15"/>
    <row r="56979" s="76" customFormat="1" ht="21.95" customHeight="1" x14ac:dyDescent="0.15"/>
    <row r="56980" s="76" customFormat="1" ht="21.95" customHeight="1" x14ac:dyDescent="0.15"/>
    <row r="56981" s="76" customFormat="1" ht="21.95" customHeight="1" x14ac:dyDescent="0.15"/>
    <row r="56982" s="76" customFormat="1" ht="21.95" customHeight="1" x14ac:dyDescent="0.15"/>
    <row r="56983" s="76" customFormat="1" ht="21.95" customHeight="1" x14ac:dyDescent="0.15"/>
    <row r="56984" s="76" customFormat="1" ht="21.95" customHeight="1" x14ac:dyDescent="0.15"/>
    <row r="56985" s="76" customFormat="1" ht="35.1" customHeight="1" x14ac:dyDescent="0.15"/>
    <row r="56986" s="76" customFormat="1" ht="21.95" customHeight="1" x14ac:dyDescent="0.15"/>
    <row r="56987" s="76" customFormat="1" ht="21.95" customHeight="1" x14ac:dyDescent="0.15"/>
    <row r="56988" s="76" customFormat="1" ht="21.95" customHeight="1" x14ac:dyDescent="0.15"/>
    <row r="56989" s="76" customFormat="1" ht="21.95" customHeight="1" x14ac:dyDescent="0.15"/>
    <row r="56990" s="76" customFormat="1" ht="21.95" customHeight="1" x14ac:dyDescent="0.15"/>
    <row r="56991" s="76" customFormat="1" ht="21.95" customHeight="1" x14ac:dyDescent="0.15"/>
    <row r="56992" s="76" customFormat="1" ht="21.95" customHeight="1" x14ac:dyDescent="0.15"/>
    <row r="56993" s="76" customFormat="1" ht="21.95" customHeight="1" x14ac:dyDescent="0.15"/>
    <row r="56994" s="76" customFormat="1" ht="21.95" customHeight="1" x14ac:dyDescent="0.15"/>
    <row r="56995" s="76" customFormat="1" ht="21.95" customHeight="1" x14ac:dyDescent="0.15"/>
    <row r="56996" s="76" customFormat="1" ht="21.95" customHeight="1" x14ac:dyDescent="0.15"/>
    <row r="56997" s="76" customFormat="1" ht="21.95" customHeight="1" x14ac:dyDescent="0.15"/>
    <row r="56998" s="76" customFormat="1" ht="21.95" customHeight="1" x14ac:dyDescent="0.15"/>
    <row r="56999" s="76" customFormat="1" ht="21.95" customHeight="1" x14ac:dyDescent="0.15"/>
    <row r="57000" s="76" customFormat="1" ht="21.95" customHeight="1" x14ac:dyDescent="0.15"/>
    <row r="57001" s="76" customFormat="1" ht="21.95" customHeight="1" x14ac:dyDescent="0.15"/>
    <row r="57002" s="76" customFormat="1" ht="21.95" customHeight="1" x14ac:dyDescent="0.15"/>
    <row r="57003" s="76" customFormat="1" ht="21.95" customHeight="1" x14ac:dyDescent="0.15"/>
    <row r="57004" s="76" customFormat="1" ht="21.95" customHeight="1" x14ac:dyDescent="0.15"/>
    <row r="57005" s="76" customFormat="1" ht="21.95" customHeight="1" x14ac:dyDescent="0.15"/>
    <row r="57006" s="76" customFormat="1" ht="21.95" customHeight="1" x14ac:dyDescent="0.15"/>
    <row r="57007" s="76" customFormat="1" ht="21.95" customHeight="1" x14ac:dyDescent="0.15"/>
    <row r="57008" s="76" customFormat="1" ht="21.95" customHeight="1" x14ac:dyDescent="0.15"/>
    <row r="57009" spans="3:3" customFormat="1" ht="21.95" customHeight="1" x14ac:dyDescent="0.15"/>
    <row r="57010" spans="3:3" customFormat="1" ht="21.95" customHeight="1" x14ac:dyDescent="0.15"/>
    <row r="57011" spans="3:3" customFormat="1" ht="21.95" customHeight="1" x14ac:dyDescent="0.15">
      <c r="C57011" s="94"/>
    </row>
    <row r="57012" spans="3:3" customFormat="1" ht="21.95" customHeight="1" x14ac:dyDescent="0.15">
      <c r="C57012" s="94"/>
    </row>
    <row r="57013" spans="3:3" customFormat="1" ht="21.95" customHeight="1" x14ac:dyDescent="0.15"/>
    <row r="57014" spans="3:3" customFormat="1" ht="21.95" customHeight="1" x14ac:dyDescent="0.15"/>
    <row r="57015" spans="3:3" customFormat="1" ht="21.95" customHeight="1" x14ac:dyDescent="0.15"/>
    <row r="57016" spans="3:3" customFormat="1" ht="21.95" customHeight="1" x14ac:dyDescent="0.15"/>
    <row r="57017" spans="3:3" customFormat="1" ht="21.95" customHeight="1" x14ac:dyDescent="0.15"/>
    <row r="57018" spans="3:3" customFormat="1" ht="21.95" customHeight="1" x14ac:dyDescent="0.15"/>
    <row r="57019" spans="3:3" customFormat="1" ht="21.95" customHeight="1" x14ac:dyDescent="0.15"/>
    <row r="57020" spans="3:3" s="76" customFormat="1" ht="21.95" customHeight="1" x14ac:dyDescent="0.15"/>
    <row r="57021" spans="3:3" s="76" customFormat="1" ht="21.95" customHeight="1" x14ac:dyDescent="0.15"/>
    <row r="57022" spans="3:3" s="76" customFormat="1" ht="21.95" customHeight="1" x14ac:dyDescent="0.15"/>
    <row r="57023" spans="3:3" s="76" customFormat="1" ht="21.95" customHeight="1" x14ac:dyDescent="0.15"/>
    <row r="57024" spans="3:3" customFormat="1" ht="21.95" customHeight="1" x14ac:dyDescent="0.15"/>
    <row r="57025" customFormat="1" ht="21.95" customHeight="1" x14ac:dyDescent="0.15"/>
    <row r="57026" customFormat="1" ht="21.95" customHeight="1" x14ac:dyDescent="0.15"/>
    <row r="57027" customFormat="1" ht="21.95" customHeight="1" x14ac:dyDescent="0.15"/>
    <row r="57028" customFormat="1" ht="21.95" customHeight="1" x14ac:dyDescent="0.15"/>
    <row r="57029" customFormat="1" ht="21.95" customHeight="1" x14ac:dyDescent="0.15"/>
    <row r="57030" customFormat="1" ht="21.95" customHeight="1" x14ac:dyDescent="0.15"/>
    <row r="57031" customFormat="1" ht="21.95" customHeight="1" x14ac:dyDescent="0.15"/>
    <row r="57032" customFormat="1" ht="21.95" customHeight="1" x14ac:dyDescent="0.15"/>
    <row r="57033" customFormat="1" ht="21.95" customHeight="1" x14ac:dyDescent="0.15"/>
    <row r="57034" customFormat="1" ht="21.95" customHeight="1" x14ac:dyDescent="0.15"/>
    <row r="57035" customFormat="1" ht="32.1" customHeight="1" x14ac:dyDescent="0.15"/>
    <row r="57036" customFormat="1" ht="32.1" customHeight="1" x14ac:dyDescent="0.15"/>
    <row r="57037" customFormat="1" ht="32.1" customHeight="1" x14ac:dyDescent="0.15"/>
    <row r="57038" customFormat="1" ht="32.1" customHeight="1" x14ac:dyDescent="0.15"/>
    <row r="57039" customFormat="1" ht="32.1" customHeight="1" x14ac:dyDescent="0.15"/>
    <row r="57040" customFormat="1" ht="32.1" customHeight="1" x14ac:dyDescent="0.15"/>
    <row r="57041" s="76" customFormat="1" ht="32.1" customHeight="1" x14ac:dyDescent="0.15"/>
    <row r="57042" s="76" customFormat="1" ht="32.1" customHeight="1" x14ac:dyDescent="0.15"/>
    <row r="57043" s="76" customFormat="1" ht="32.1" customHeight="1" x14ac:dyDescent="0.15"/>
    <row r="57044" s="76" customFormat="1" ht="32.1" customHeight="1" x14ac:dyDescent="0.15"/>
    <row r="57045" s="76" customFormat="1" ht="21.95" customHeight="1" x14ac:dyDescent="0.15"/>
    <row r="57046" s="76" customFormat="1" ht="54" customHeight="1" x14ac:dyDescent="0.15"/>
    <row r="57047" s="76" customFormat="1" ht="21.95" customHeight="1" x14ac:dyDescent="0.15"/>
    <row r="57048" s="76" customFormat="1" ht="21.95" customHeight="1" x14ac:dyDescent="0.15"/>
    <row r="57049" s="76" customFormat="1" ht="21.95" customHeight="1" x14ac:dyDescent="0.15"/>
    <row r="57050" s="76" customFormat="1" ht="21.95" customHeight="1" x14ac:dyDescent="0.15"/>
    <row r="57051" s="76" customFormat="1" ht="21.95" customHeight="1" x14ac:dyDescent="0.15"/>
    <row r="57052" s="76" customFormat="1" ht="21.95" customHeight="1" x14ac:dyDescent="0.15"/>
    <row r="57053" s="76" customFormat="1" ht="21.95" customHeight="1" x14ac:dyDescent="0.15"/>
    <row r="57054" s="76" customFormat="1" ht="21.95" customHeight="1" x14ac:dyDescent="0.15"/>
    <row r="57055" s="76" customFormat="1" ht="21.95" customHeight="1" x14ac:dyDescent="0.15"/>
    <row r="57056" s="76" customFormat="1" ht="21.95" customHeight="1" x14ac:dyDescent="0.15"/>
    <row r="57057" s="76" customFormat="1" ht="21.95" customHeight="1" x14ac:dyDescent="0.15"/>
    <row r="57058" s="76" customFormat="1" ht="21.95" customHeight="1" x14ac:dyDescent="0.15"/>
    <row r="57059" s="76" customFormat="1" ht="21.95" customHeight="1" x14ac:dyDescent="0.15"/>
    <row r="57060" s="76" customFormat="1" ht="21.95" customHeight="1" x14ac:dyDescent="0.15"/>
    <row r="57061" s="76" customFormat="1" ht="21.95" customHeight="1" x14ac:dyDescent="0.15"/>
    <row r="57062" s="76" customFormat="1" ht="21.95" customHeight="1" x14ac:dyDescent="0.15"/>
    <row r="57063" s="76" customFormat="1" ht="21.95" customHeight="1" x14ac:dyDescent="0.15"/>
    <row r="57064" s="76" customFormat="1" ht="21.95" customHeight="1" x14ac:dyDescent="0.15"/>
    <row r="57065" s="76" customFormat="1" ht="21.95" customHeight="1" x14ac:dyDescent="0.15"/>
    <row r="57066" s="76" customFormat="1" ht="21.95" customHeight="1" x14ac:dyDescent="0.15"/>
    <row r="57067" s="76" customFormat="1" ht="21.95" customHeight="1" x14ac:dyDescent="0.15"/>
    <row r="57068" s="76" customFormat="1" ht="21.95" customHeight="1" x14ac:dyDescent="0.15"/>
    <row r="57069" s="76" customFormat="1" ht="21.95" customHeight="1" x14ac:dyDescent="0.15"/>
    <row r="57070" s="76" customFormat="1" ht="21.95" customHeight="1" x14ac:dyDescent="0.15"/>
    <row r="57071" s="76" customFormat="1" ht="21.95" customHeight="1" x14ac:dyDescent="0.15"/>
    <row r="57072" s="76" customFormat="1" ht="21.95" customHeight="1" x14ac:dyDescent="0.15"/>
    <row r="57073" s="76" customFormat="1" ht="21.95" customHeight="1" x14ac:dyDescent="0.15"/>
    <row r="57074" s="76" customFormat="1" ht="21.95" customHeight="1" x14ac:dyDescent="0.15"/>
    <row r="57075" s="76" customFormat="1" ht="21.95" customHeight="1" x14ac:dyDescent="0.15"/>
    <row r="57076" s="76" customFormat="1" ht="21.95" customHeight="1" x14ac:dyDescent="0.15"/>
    <row r="57077" s="76" customFormat="1" ht="21.95" customHeight="1" x14ac:dyDescent="0.15"/>
    <row r="57078" s="76" customFormat="1" ht="21.95" customHeight="1" x14ac:dyDescent="0.15"/>
    <row r="57079" s="76" customFormat="1" ht="21.95" customHeight="1" x14ac:dyDescent="0.15"/>
    <row r="57080" s="76" customFormat="1" ht="21.95" customHeight="1" x14ac:dyDescent="0.15"/>
    <row r="57081" s="76" customFormat="1" ht="21.95" customHeight="1" x14ac:dyDescent="0.15"/>
    <row r="57082" s="76" customFormat="1" ht="21.95" customHeight="1" x14ac:dyDescent="0.15"/>
    <row r="57083" s="76" customFormat="1" ht="21.95" customHeight="1" x14ac:dyDescent="0.15"/>
    <row r="57084" s="76" customFormat="1" ht="21.95" customHeight="1" x14ac:dyDescent="0.15"/>
    <row r="57085" s="76" customFormat="1" ht="21.95" customHeight="1" x14ac:dyDescent="0.15"/>
    <row r="57086" s="76" customFormat="1" ht="21.95" customHeight="1" x14ac:dyDescent="0.15"/>
    <row r="57087" s="76" customFormat="1" ht="21.95" customHeight="1" x14ac:dyDescent="0.15"/>
    <row r="57088" s="76" customFormat="1" ht="21.95" customHeight="1" x14ac:dyDescent="0.15"/>
    <row r="57089" s="76" customFormat="1" ht="21.95" customHeight="1" x14ac:dyDescent="0.15"/>
    <row r="57090" s="76" customFormat="1" ht="21.95" customHeight="1" x14ac:dyDescent="0.15"/>
    <row r="57091" s="76" customFormat="1" ht="21.95" customHeight="1" x14ac:dyDescent="0.15"/>
    <row r="57092" s="76" customFormat="1" ht="21.95" customHeight="1" x14ac:dyDescent="0.15"/>
    <row r="57093" s="76" customFormat="1" ht="21.95" customHeight="1" x14ac:dyDescent="0.15"/>
    <row r="57094" s="76" customFormat="1" ht="21.95" customHeight="1" x14ac:dyDescent="0.15"/>
    <row r="57095" s="76" customFormat="1" ht="21.95" customHeight="1" x14ac:dyDescent="0.15"/>
    <row r="57096" s="76" customFormat="1" ht="21.95" customHeight="1" x14ac:dyDescent="0.15"/>
    <row r="57097" s="76" customFormat="1" ht="35.1" customHeight="1" x14ac:dyDescent="0.15"/>
    <row r="57098" s="76" customFormat="1" ht="21.95" customHeight="1" x14ac:dyDescent="0.15"/>
    <row r="57099" s="76" customFormat="1" ht="21.95" customHeight="1" x14ac:dyDescent="0.15"/>
    <row r="57100" s="76" customFormat="1" ht="21.95" customHeight="1" x14ac:dyDescent="0.15"/>
    <row r="57101" s="76" customFormat="1" ht="21.95" customHeight="1" x14ac:dyDescent="0.15"/>
    <row r="57102" s="76" customFormat="1" ht="21.95" customHeight="1" x14ac:dyDescent="0.15"/>
    <row r="57103" s="76" customFormat="1" ht="21.95" customHeight="1" x14ac:dyDescent="0.15"/>
    <row r="57104" s="76" customFormat="1" ht="21.95" customHeight="1" x14ac:dyDescent="0.15"/>
    <row r="57105" s="76" customFormat="1" ht="21.95" customHeight="1" x14ac:dyDescent="0.15"/>
    <row r="57106" s="76" customFormat="1" ht="21.95" customHeight="1" x14ac:dyDescent="0.15"/>
    <row r="57107" s="76" customFormat="1" ht="21.95" customHeight="1" x14ac:dyDescent="0.15"/>
    <row r="57108" s="76" customFormat="1" ht="21.95" customHeight="1" x14ac:dyDescent="0.15"/>
    <row r="57109" s="76" customFormat="1" ht="21.95" customHeight="1" x14ac:dyDescent="0.15"/>
    <row r="57110" s="76" customFormat="1" ht="21.95" customHeight="1" x14ac:dyDescent="0.15"/>
    <row r="57111" s="76" customFormat="1" ht="21.95" customHeight="1" x14ac:dyDescent="0.15"/>
    <row r="57112" s="76" customFormat="1" ht="21.95" customHeight="1" x14ac:dyDescent="0.15"/>
    <row r="57113" s="76" customFormat="1" ht="21.95" customHeight="1" x14ac:dyDescent="0.15"/>
    <row r="57114" s="76" customFormat="1" ht="21.95" customHeight="1" x14ac:dyDescent="0.15"/>
    <row r="57115" s="76" customFormat="1" ht="21.95" customHeight="1" x14ac:dyDescent="0.15"/>
    <row r="57116" s="76" customFormat="1" ht="21.95" customHeight="1" x14ac:dyDescent="0.15"/>
    <row r="57117" s="76" customFormat="1" ht="21.95" customHeight="1" x14ac:dyDescent="0.15"/>
    <row r="57118" s="76" customFormat="1" ht="21.95" customHeight="1" x14ac:dyDescent="0.15"/>
    <row r="57119" s="76" customFormat="1" ht="21.95" customHeight="1" x14ac:dyDescent="0.15"/>
    <row r="57120" s="76" customFormat="1" ht="21.95" customHeight="1" x14ac:dyDescent="0.15"/>
    <row r="57121" spans="3:3" customFormat="1" ht="21.95" customHeight="1" x14ac:dyDescent="0.15"/>
    <row r="57122" spans="3:3" customFormat="1" ht="21.95" customHeight="1" x14ac:dyDescent="0.15"/>
    <row r="57123" spans="3:3" customFormat="1" ht="21.95" customHeight="1" x14ac:dyDescent="0.15">
      <c r="C57123" s="94"/>
    </row>
    <row r="57124" spans="3:3" customFormat="1" ht="21.95" customHeight="1" x14ac:dyDescent="0.15">
      <c r="C57124" s="94"/>
    </row>
    <row r="57125" spans="3:3" customFormat="1" ht="21.95" customHeight="1" x14ac:dyDescent="0.15"/>
    <row r="57126" spans="3:3" customFormat="1" ht="21.95" customHeight="1" x14ac:dyDescent="0.15"/>
    <row r="57127" spans="3:3" customFormat="1" ht="21.95" customHeight="1" x14ac:dyDescent="0.15"/>
    <row r="57128" spans="3:3" customFormat="1" ht="21.95" customHeight="1" x14ac:dyDescent="0.15"/>
    <row r="57129" spans="3:3" customFormat="1" ht="21.95" customHeight="1" x14ac:dyDescent="0.15"/>
    <row r="57130" spans="3:3" customFormat="1" ht="21.95" customHeight="1" x14ac:dyDescent="0.15"/>
    <row r="57131" spans="3:3" customFormat="1" ht="21.95" customHeight="1" x14ac:dyDescent="0.15"/>
    <row r="57132" spans="3:3" s="76" customFormat="1" ht="21.95" customHeight="1" x14ac:dyDescent="0.15"/>
    <row r="57133" spans="3:3" s="76" customFormat="1" ht="21.95" customHeight="1" x14ac:dyDescent="0.15"/>
    <row r="57134" spans="3:3" s="76" customFormat="1" ht="21.95" customHeight="1" x14ac:dyDescent="0.15"/>
    <row r="57135" spans="3:3" s="76" customFormat="1" ht="21.95" customHeight="1" x14ac:dyDescent="0.15"/>
    <row r="57136" spans="3:3" customFormat="1" ht="21.95" customHeight="1" x14ac:dyDescent="0.15"/>
    <row r="57137" customFormat="1" ht="21.95" customHeight="1" x14ac:dyDescent="0.15"/>
    <row r="57138" customFormat="1" ht="21.95" customHeight="1" x14ac:dyDescent="0.15"/>
    <row r="57139" customFormat="1" ht="21.95" customHeight="1" x14ac:dyDescent="0.15"/>
    <row r="57140" customFormat="1" ht="21.95" customHeight="1" x14ac:dyDescent="0.15"/>
    <row r="57141" customFormat="1" ht="21.95" customHeight="1" x14ac:dyDescent="0.15"/>
    <row r="57142" customFormat="1" ht="21.95" customHeight="1" x14ac:dyDescent="0.15"/>
    <row r="57143" customFormat="1" ht="21.95" customHeight="1" x14ac:dyDescent="0.15"/>
    <row r="57144" customFormat="1" ht="21.95" customHeight="1" x14ac:dyDescent="0.15"/>
    <row r="57145" customFormat="1" ht="21.95" customHeight="1" x14ac:dyDescent="0.15"/>
    <row r="57146" customFormat="1" ht="21.95" customHeight="1" x14ac:dyDescent="0.15"/>
    <row r="57147" customFormat="1" ht="32.1" customHeight="1" x14ac:dyDescent="0.15"/>
    <row r="57148" customFormat="1" ht="32.1" customHeight="1" x14ac:dyDescent="0.15"/>
    <row r="57149" customFormat="1" ht="32.1" customHeight="1" x14ac:dyDescent="0.15"/>
    <row r="57150" customFormat="1" ht="32.1" customHeight="1" x14ac:dyDescent="0.15"/>
    <row r="57151" customFormat="1" ht="32.1" customHeight="1" x14ac:dyDescent="0.15"/>
    <row r="57152" customFormat="1" ht="32.1" customHeight="1" x14ac:dyDescent="0.15"/>
    <row r="57153" s="76" customFormat="1" ht="32.1" customHeight="1" x14ac:dyDescent="0.15"/>
    <row r="57154" s="76" customFormat="1" ht="32.1" customHeight="1" x14ac:dyDescent="0.15"/>
    <row r="57155" s="76" customFormat="1" ht="32.1" customHeight="1" x14ac:dyDescent="0.15"/>
    <row r="57156" s="76" customFormat="1" ht="32.1" customHeight="1" x14ac:dyDescent="0.15"/>
    <row r="57157" s="76" customFormat="1" ht="21.95" customHeight="1" x14ac:dyDescent="0.15"/>
    <row r="57158" s="76" customFormat="1" ht="54" customHeight="1" x14ac:dyDescent="0.15"/>
    <row r="57159" s="76" customFormat="1" ht="21.95" customHeight="1" x14ac:dyDescent="0.15"/>
    <row r="57160" s="76" customFormat="1" ht="21.95" customHeight="1" x14ac:dyDescent="0.15"/>
    <row r="57161" s="76" customFormat="1" ht="21.95" customHeight="1" x14ac:dyDescent="0.15"/>
    <row r="57162" s="76" customFormat="1" ht="21.95" customHeight="1" x14ac:dyDescent="0.15"/>
    <row r="57163" s="76" customFormat="1" ht="21.95" customHeight="1" x14ac:dyDescent="0.15"/>
    <row r="57164" s="76" customFormat="1" ht="21.95" customHeight="1" x14ac:dyDescent="0.15"/>
    <row r="57165" s="76" customFormat="1" ht="21.95" customHeight="1" x14ac:dyDescent="0.15"/>
    <row r="57166" s="76" customFormat="1" ht="21.95" customHeight="1" x14ac:dyDescent="0.15"/>
    <row r="57167" s="76" customFormat="1" ht="21.95" customHeight="1" x14ac:dyDescent="0.15"/>
    <row r="57168" s="76" customFormat="1" ht="21.95" customHeight="1" x14ac:dyDescent="0.15"/>
    <row r="57169" s="76" customFormat="1" ht="21.95" customHeight="1" x14ac:dyDescent="0.15"/>
    <row r="57170" s="76" customFormat="1" ht="21.95" customHeight="1" x14ac:dyDescent="0.15"/>
    <row r="57171" s="76" customFormat="1" ht="21.95" customHeight="1" x14ac:dyDescent="0.15"/>
    <row r="57172" s="76" customFormat="1" ht="21.95" customHeight="1" x14ac:dyDescent="0.15"/>
    <row r="57173" s="76" customFormat="1" ht="21.95" customHeight="1" x14ac:dyDescent="0.15"/>
    <row r="57174" s="76" customFormat="1" ht="21.95" customHeight="1" x14ac:dyDescent="0.15"/>
    <row r="57175" s="76" customFormat="1" ht="21.95" customHeight="1" x14ac:dyDescent="0.15"/>
    <row r="57176" s="76" customFormat="1" ht="21.95" customHeight="1" x14ac:dyDescent="0.15"/>
    <row r="57177" s="76" customFormat="1" ht="21.95" customHeight="1" x14ac:dyDescent="0.15"/>
    <row r="57178" s="76" customFormat="1" ht="21.95" customHeight="1" x14ac:dyDescent="0.15"/>
    <row r="57179" s="76" customFormat="1" ht="21.95" customHeight="1" x14ac:dyDescent="0.15"/>
    <row r="57180" s="76" customFormat="1" ht="21.95" customHeight="1" x14ac:dyDescent="0.15"/>
    <row r="57181" s="76" customFormat="1" ht="21.95" customHeight="1" x14ac:dyDescent="0.15"/>
    <row r="57182" s="76" customFormat="1" ht="21.95" customHeight="1" x14ac:dyDescent="0.15"/>
    <row r="57183" s="76" customFormat="1" ht="21.95" customHeight="1" x14ac:dyDescent="0.15"/>
    <row r="57184" s="76" customFormat="1" ht="21.95" customHeight="1" x14ac:dyDescent="0.15"/>
    <row r="57185" s="76" customFormat="1" ht="21.95" customHeight="1" x14ac:dyDescent="0.15"/>
    <row r="57186" s="76" customFormat="1" ht="21.95" customHeight="1" x14ac:dyDescent="0.15"/>
    <row r="57187" s="76" customFormat="1" ht="21.95" customHeight="1" x14ac:dyDescent="0.15"/>
    <row r="57188" s="76" customFormat="1" ht="21.95" customHeight="1" x14ac:dyDescent="0.15"/>
    <row r="57189" s="76" customFormat="1" ht="21.95" customHeight="1" x14ac:dyDescent="0.15"/>
    <row r="57190" s="76" customFormat="1" ht="21.95" customHeight="1" x14ac:dyDescent="0.15"/>
    <row r="57191" s="76" customFormat="1" ht="21.95" customHeight="1" x14ac:dyDescent="0.15"/>
    <row r="57192" s="76" customFormat="1" ht="21.95" customHeight="1" x14ac:dyDescent="0.15"/>
    <row r="57193" s="76" customFormat="1" ht="21.95" customHeight="1" x14ac:dyDescent="0.15"/>
    <row r="57194" s="76" customFormat="1" ht="21.95" customHeight="1" x14ac:dyDescent="0.15"/>
    <row r="57195" s="76" customFormat="1" ht="21.95" customHeight="1" x14ac:dyDescent="0.15"/>
    <row r="57196" s="76" customFormat="1" ht="21.95" customHeight="1" x14ac:dyDescent="0.15"/>
    <row r="57197" s="76" customFormat="1" ht="21.95" customHeight="1" x14ac:dyDescent="0.15"/>
    <row r="57198" s="76" customFormat="1" ht="21.95" customHeight="1" x14ac:dyDescent="0.15"/>
    <row r="57199" s="76" customFormat="1" ht="21.95" customHeight="1" x14ac:dyDescent="0.15"/>
    <row r="57200" s="76" customFormat="1" ht="21.95" customHeight="1" x14ac:dyDescent="0.15"/>
    <row r="57201" s="76" customFormat="1" ht="21.95" customHeight="1" x14ac:dyDescent="0.15"/>
    <row r="57202" s="76" customFormat="1" ht="21.95" customHeight="1" x14ac:dyDescent="0.15"/>
    <row r="57203" s="76" customFormat="1" ht="21.95" customHeight="1" x14ac:dyDescent="0.15"/>
    <row r="57204" s="76" customFormat="1" ht="21.95" customHeight="1" x14ac:dyDescent="0.15"/>
    <row r="57205" s="76" customFormat="1" ht="21.95" customHeight="1" x14ac:dyDescent="0.15"/>
    <row r="57206" s="76" customFormat="1" ht="21.95" customHeight="1" x14ac:dyDescent="0.15"/>
    <row r="57207" s="76" customFormat="1" ht="21.95" customHeight="1" x14ac:dyDescent="0.15"/>
    <row r="57208" s="76" customFormat="1" ht="21.95" customHeight="1" x14ac:dyDescent="0.15"/>
    <row r="57209" s="76" customFormat="1" ht="35.1" customHeight="1" x14ac:dyDescent="0.15"/>
    <row r="57210" s="76" customFormat="1" ht="21.95" customHeight="1" x14ac:dyDescent="0.15"/>
    <row r="57211" s="76" customFormat="1" ht="21.95" customHeight="1" x14ac:dyDescent="0.15"/>
    <row r="57212" s="76" customFormat="1" ht="21.95" customHeight="1" x14ac:dyDescent="0.15"/>
    <row r="57213" s="76" customFormat="1" ht="21.95" customHeight="1" x14ac:dyDescent="0.15"/>
    <row r="57214" s="76" customFormat="1" ht="21.95" customHeight="1" x14ac:dyDescent="0.15"/>
    <row r="57215" s="76" customFormat="1" ht="21.95" customHeight="1" x14ac:dyDescent="0.15"/>
    <row r="57216" s="76" customFormat="1" ht="21.95" customHeight="1" x14ac:dyDescent="0.15"/>
    <row r="57217" s="76" customFormat="1" ht="21.95" customHeight="1" x14ac:dyDescent="0.15"/>
    <row r="57218" s="76" customFormat="1" ht="21.95" customHeight="1" x14ac:dyDescent="0.15"/>
    <row r="57219" s="76" customFormat="1" ht="21.95" customHeight="1" x14ac:dyDescent="0.15"/>
    <row r="57220" s="76" customFormat="1" ht="21.95" customHeight="1" x14ac:dyDescent="0.15"/>
    <row r="57221" s="76" customFormat="1" ht="21.95" customHeight="1" x14ac:dyDescent="0.15"/>
    <row r="57222" s="76" customFormat="1" ht="21.95" customHeight="1" x14ac:dyDescent="0.15"/>
    <row r="57223" s="76" customFormat="1" ht="21.95" customHeight="1" x14ac:dyDescent="0.15"/>
    <row r="57224" s="76" customFormat="1" ht="21.95" customHeight="1" x14ac:dyDescent="0.15"/>
    <row r="57225" s="76" customFormat="1" ht="21.95" customHeight="1" x14ac:dyDescent="0.15"/>
    <row r="57226" s="76" customFormat="1" ht="21.95" customHeight="1" x14ac:dyDescent="0.15"/>
    <row r="57227" s="76" customFormat="1" ht="21.95" customHeight="1" x14ac:dyDescent="0.15"/>
    <row r="57228" s="76" customFormat="1" ht="21.95" customHeight="1" x14ac:dyDescent="0.15"/>
    <row r="57229" s="76" customFormat="1" ht="21.95" customHeight="1" x14ac:dyDescent="0.15"/>
    <row r="57230" s="76" customFormat="1" ht="21.95" customHeight="1" x14ac:dyDescent="0.15"/>
    <row r="57231" s="76" customFormat="1" ht="21.95" customHeight="1" x14ac:dyDescent="0.15"/>
    <row r="57232" s="76" customFormat="1" ht="21.95" customHeight="1" x14ac:dyDescent="0.15"/>
    <row r="57233" spans="3:3" customFormat="1" ht="21.95" customHeight="1" x14ac:dyDescent="0.15"/>
    <row r="57234" spans="3:3" customFormat="1" ht="21.95" customHeight="1" x14ac:dyDescent="0.15"/>
    <row r="57235" spans="3:3" customFormat="1" ht="21.95" customHeight="1" x14ac:dyDescent="0.15">
      <c r="C57235" s="94"/>
    </row>
    <row r="57236" spans="3:3" customFormat="1" ht="21.95" customHeight="1" x14ac:dyDescent="0.15">
      <c r="C57236" s="94"/>
    </row>
    <row r="57237" spans="3:3" customFormat="1" ht="21.95" customHeight="1" x14ac:dyDescent="0.15"/>
    <row r="57238" spans="3:3" customFormat="1" ht="21.95" customHeight="1" x14ac:dyDescent="0.15"/>
    <row r="57239" spans="3:3" customFormat="1" ht="21.95" customHeight="1" x14ac:dyDescent="0.15"/>
    <row r="57240" spans="3:3" customFormat="1" ht="21.95" customHeight="1" x14ac:dyDescent="0.15"/>
    <row r="57241" spans="3:3" customFormat="1" ht="21.95" customHeight="1" x14ac:dyDescent="0.15"/>
    <row r="57242" spans="3:3" customFormat="1" ht="21.95" customHeight="1" x14ac:dyDescent="0.15"/>
    <row r="57243" spans="3:3" customFormat="1" ht="21.95" customHeight="1" x14ac:dyDescent="0.15"/>
    <row r="57244" spans="3:3" s="76" customFormat="1" ht="21.95" customHeight="1" x14ac:dyDescent="0.15"/>
    <row r="57245" spans="3:3" s="76" customFormat="1" ht="21.95" customHeight="1" x14ac:dyDescent="0.15"/>
    <row r="57246" spans="3:3" s="76" customFormat="1" ht="21.95" customHeight="1" x14ac:dyDescent="0.15"/>
    <row r="57247" spans="3:3" s="76" customFormat="1" ht="21.95" customHeight="1" x14ac:dyDescent="0.15"/>
    <row r="57248" spans="3:3" customFormat="1" ht="21.95" customHeight="1" x14ac:dyDescent="0.15"/>
    <row r="57249" customFormat="1" ht="21.95" customHeight="1" x14ac:dyDescent="0.15"/>
    <row r="57250" customFormat="1" ht="21.95" customHeight="1" x14ac:dyDescent="0.15"/>
    <row r="57251" customFormat="1" ht="21.95" customHeight="1" x14ac:dyDescent="0.15"/>
    <row r="57252" customFormat="1" ht="21.95" customHeight="1" x14ac:dyDescent="0.15"/>
    <row r="57253" customFormat="1" ht="21.95" customHeight="1" x14ac:dyDescent="0.15"/>
    <row r="57254" customFormat="1" ht="21.95" customHeight="1" x14ac:dyDescent="0.15"/>
    <row r="57255" customFormat="1" ht="21.95" customHeight="1" x14ac:dyDescent="0.15"/>
    <row r="57256" customFormat="1" ht="21.95" customHeight="1" x14ac:dyDescent="0.15"/>
    <row r="57257" customFormat="1" ht="21.95" customHeight="1" x14ac:dyDescent="0.15"/>
    <row r="57258" customFormat="1" ht="21.95" customHeight="1" x14ac:dyDescent="0.15"/>
    <row r="57259" customFormat="1" ht="32.1" customHeight="1" x14ac:dyDescent="0.15"/>
    <row r="57260" customFormat="1" ht="32.1" customHeight="1" x14ac:dyDescent="0.15"/>
    <row r="57261" customFormat="1" ht="32.1" customHeight="1" x14ac:dyDescent="0.15"/>
    <row r="57262" customFormat="1" ht="32.1" customHeight="1" x14ac:dyDescent="0.15"/>
    <row r="57263" customFormat="1" ht="32.1" customHeight="1" x14ac:dyDescent="0.15"/>
    <row r="57264" customFormat="1" ht="32.1" customHeight="1" x14ac:dyDescent="0.15"/>
    <row r="57265" s="76" customFormat="1" ht="32.1" customHeight="1" x14ac:dyDescent="0.15"/>
    <row r="57266" s="76" customFormat="1" ht="32.1" customHeight="1" x14ac:dyDescent="0.15"/>
    <row r="57267" s="76" customFormat="1" ht="32.1" customHeight="1" x14ac:dyDescent="0.15"/>
    <row r="57268" s="76" customFormat="1" ht="32.1" customHeight="1" x14ac:dyDescent="0.15"/>
    <row r="57269" s="76" customFormat="1" ht="21.95" customHeight="1" x14ac:dyDescent="0.15"/>
    <row r="57270" s="76" customFormat="1" ht="54" customHeight="1" x14ac:dyDescent="0.15"/>
    <row r="57271" s="76" customFormat="1" ht="21.95" customHeight="1" x14ac:dyDescent="0.15"/>
    <row r="57272" s="76" customFormat="1" ht="21.95" customHeight="1" x14ac:dyDescent="0.15"/>
    <row r="57273" s="76" customFormat="1" ht="21.95" customHeight="1" x14ac:dyDescent="0.15"/>
    <row r="57274" s="76" customFormat="1" ht="21.95" customHeight="1" x14ac:dyDescent="0.15"/>
    <row r="57275" s="76" customFormat="1" ht="21.95" customHeight="1" x14ac:dyDescent="0.15"/>
    <row r="57276" s="76" customFormat="1" ht="21.95" customHeight="1" x14ac:dyDescent="0.15"/>
    <row r="57277" s="76" customFormat="1" ht="21.95" customHeight="1" x14ac:dyDescent="0.15"/>
    <row r="57278" s="76" customFormat="1" ht="21.95" customHeight="1" x14ac:dyDescent="0.15"/>
    <row r="57279" s="76" customFormat="1" ht="21.95" customHeight="1" x14ac:dyDescent="0.15"/>
    <row r="57280" s="76" customFormat="1" ht="21.95" customHeight="1" x14ac:dyDescent="0.15"/>
    <row r="57281" s="76" customFormat="1" ht="21.95" customHeight="1" x14ac:dyDescent="0.15"/>
    <row r="57282" s="76" customFormat="1" ht="21.95" customHeight="1" x14ac:dyDescent="0.15"/>
    <row r="57283" s="76" customFormat="1" ht="21.95" customHeight="1" x14ac:dyDescent="0.15"/>
    <row r="57284" s="76" customFormat="1" ht="21.95" customHeight="1" x14ac:dyDescent="0.15"/>
    <row r="57285" s="76" customFormat="1" ht="21.95" customHeight="1" x14ac:dyDescent="0.15"/>
    <row r="57286" s="76" customFormat="1" ht="21.95" customHeight="1" x14ac:dyDescent="0.15"/>
    <row r="57287" s="76" customFormat="1" ht="21.95" customHeight="1" x14ac:dyDescent="0.15"/>
    <row r="57288" s="76" customFormat="1" ht="21.95" customHeight="1" x14ac:dyDescent="0.15"/>
    <row r="57289" s="76" customFormat="1" ht="21.95" customHeight="1" x14ac:dyDescent="0.15"/>
    <row r="57290" s="76" customFormat="1" ht="21.95" customHeight="1" x14ac:dyDescent="0.15"/>
    <row r="57291" s="76" customFormat="1" ht="21.95" customHeight="1" x14ac:dyDescent="0.15"/>
    <row r="57292" s="76" customFormat="1" ht="21.95" customHeight="1" x14ac:dyDescent="0.15"/>
    <row r="57293" s="76" customFormat="1" ht="21.95" customHeight="1" x14ac:dyDescent="0.15"/>
    <row r="57294" s="76" customFormat="1" ht="21.95" customHeight="1" x14ac:dyDescent="0.15"/>
    <row r="57295" s="76" customFormat="1" ht="21.95" customHeight="1" x14ac:dyDescent="0.15"/>
    <row r="57296" s="76" customFormat="1" ht="21.95" customHeight="1" x14ac:dyDescent="0.15"/>
    <row r="57297" s="76" customFormat="1" ht="21.95" customHeight="1" x14ac:dyDescent="0.15"/>
    <row r="57298" s="76" customFormat="1" ht="21.95" customHeight="1" x14ac:dyDescent="0.15"/>
    <row r="57299" s="76" customFormat="1" ht="21.95" customHeight="1" x14ac:dyDescent="0.15"/>
    <row r="57300" s="76" customFormat="1" ht="21.95" customHeight="1" x14ac:dyDescent="0.15"/>
    <row r="57301" s="76" customFormat="1" ht="21.95" customHeight="1" x14ac:dyDescent="0.15"/>
    <row r="57302" s="76" customFormat="1" ht="21.95" customHeight="1" x14ac:dyDescent="0.15"/>
    <row r="57303" s="76" customFormat="1" ht="21.95" customHeight="1" x14ac:dyDescent="0.15"/>
    <row r="57304" s="76" customFormat="1" ht="21.95" customHeight="1" x14ac:dyDescent="0.15"/>
    <row r="57305" s="76" customFormat="1" ht="21.95" customHeight="1" x14ac:dyDescent="0.15"/>
    <row r="57306" s="76" customFormat="1" ht="21.95" customHeight="1" x14ac:dyDescent="0.15"/>
    <row r="57307" s="76" customFormat="1" ht="21.95" customHeight="1" x14ac:dyDescent="0.15"/>
    <row r="57308" s="76" customFormat="1" ht="21.95" customHeight="1" x14ac:dyDescent="0.15"/>
    <row r="57309" s="76" customFormat="1" ht="21.95" customHeight="1" x14ac:dyDescent="0.15"/>
    <row r="57310" s="76" customFormat="1" ht="21.95" customHeight="1" x14ac:dyDescent="0.15"/>
    <row r="57311" s="76" customFormat="1" ht="21.95" customHeight="1" x14ac:dyDescent="0.15"/>
    <row r="57312" s="76" customFormat="1" ht="21.95" customHeight="1" x14ac:dyDescent="0.15"/>
    <row r="57313" s="76" customFormat="1" ht="21.95" customHeight="1" x14ac:dyDescent="0.15"/>
    <row r="57314" s="76" customFormat="1" ht="21.95" customHeight="1" x14ac:dyDescent="0.15"/>
    <row r="57315" s="76" customFormat="1" ht="21.95" customHeight="1" x14ac:dyDescent="0.15"/>
    <row r="57316" s="76" customFormat="1" ht="21.95" customHeight="1" x14ac:dyDescent="0.15"/>
    <row r="57317" s="76" customFormat="1" ht="21.95" customHeight="1" x14ac:dyDescent="0.15"/>
    <row r="57318" s="76" customFormat="1" ht="21.95" customHeight="1" x14ac:dyDescent="0.15"/>
    <row r="57319" s="76" customFormat="1" ht="21.95" customHeight="1" x14ac:dyDescent="0.15"/>
    <row r="57320" s="76" customFormat="1" ht="21.95" customHeight="1" x14ac:dyDescent="0.15"/>
    <row r="57321" s="76" customFormat="1" ht="35.1" customHeight="1" x14ac:dyDescent="0.15"/>
    <row r="57322" s="76" customFormat="1" ht="21.95" customHeight="1" x14ac:dyDescent="0.15"/>
    <row r="57323" s="76" customFormat="1" ht="21.95" customHeight="1" x14ac:dyDescent="0.15"/>
    <row r="57324" s="76" customFormat="1" ht="21.95" customHeight="1" x14ac:dyDescent="0.15"/>
    <row r="57325" s="76" customFormat="1" ht="21.95" customHeight="1" x14ac:dyDescent="0.15"/>
    <row r="57326" s="76" customFormat="1" ht="21.95" customHeight="1" x14ac:dyDescent="0.15"/>
    <row r="57327" s="76" customFormat="1" ht="21.95" customHeight="1" x14ac:dyDescent="0.15"/>
    <row r="57328" s="76" customFormat="1" ht="21.95" customHeight="1" x14ac:dyDescent="0.15"/>
    <row r="57329" s="76" customFormat="1" ht="21.95" customHeight="1" x14ac:dyDescent="0.15"/>
    <row r="57330" s="76" customFormat="1" ht="21.95" customHeight="1" x14ac:dyDescent="0.15"/>
    <row r="57331" s="76" customFormat="1" ht="21.95" customHeight="1" x14ac:dyDescent="0.15"/>
    <row r="57332" s="76" customFormat="1" ht="21.95" customHeight="1" x14ac:dyDescent="0.15"/>
    <row r="57333" s="76" customFormat="1" ht="21.95" customHeight="1" x14ac:dyDescent="0.15"/>
    <row r="57334" s="76" customFormat="1" ht="21.95" customHeight="1" x14ac:dyDescent="0.15"/>
    <row r="57335" s="76" customFormat="1" ht="21.95" customHeight="1" x14ac:dyDescent="0.15"/>
    <row r="57336" s="76" customFormat="1" ht="21.95" customHeight="1" x14ac:dyDescent="0.15"/>
    <row r="57337" s="76" customFormat="1" ht="21.95" customHeight="1" x14ac:dyDescent="0.15"/>
    <row r="57338" s="76" customFormat="1" ht="21.95" customHeight="1" x14ac:dyDescent="0.15"/>
    <row r="57339" s="76" customFormat="1" ht="21.95" customHeight="1" x14ac:dyDescent="0.15"/>
    <row r="57340" s="76" customFormat="1" ht="21.95" customHeight="1" x14ac:dyDescent="0.15"/>
    <row r="57341" s="76" customFormat="1" ht="21.95" customHeight="1" x14ac:dyDescent="0.15"/>
    <row r="57342" s="76" customFormat="1" ht="21.95" customHeight="1" x14ac:dyDescent="0.15"/>
    <row r="57343" s="76" customFormat="1" ht="21.95" customHeight="1" x14ac:dyDescent="0.15"/>
    <row r="57344" s="76" customFormat="1" ht="21.95" customHeight="1" x14ac:dyDescent="0.15"/>
    <row r="57345" spans="3:3" customFormat="1" ht="21.95" customHeight="1" x14ac:dyDescent="0.15"/>
    <row r="57346" spans="3:3" customFormat="1" ht="21.95" customHeight="1" x14ac:dyDescent="0.15"/>
    <row r="57347" spans="3:3" customFormat="1" ht="21.95" customHeight="1" x14ac:dyDescent="0.15">
      <c r="C57347" s="94"/>
    </row>
    <row r="57348" spans="3:3" customFormat="1" ht="21.95" customHeight="1" x14ac:dyDescent="0.15">
      <c r="C57348" s="94"/>
    </row>
    <row r="57349" spans="3:3" customFormat="1" ht="21.95" customHeight="1" x14ac:dyDescent="0.15"/>
    <row r="57350" spans="3:3" customFormat="1" ht="21.95" customHeight="1" x14ac:dyDescent="0.15"/>
    <row r="57351" spans="3:3" customFormat="1" ht="21.95" customHeight="1" x14ac:dyDescent="0.15"/>
    <row r="57352" spans="3:3" customFormat="1" ht="21.95" customHeight="1" x14ac:dyDescent="0.15"/>
    <row r="57353" spans="3:3" customFormat="1" ht="21.95" customHeight="1" x14ac:dyDescent="0.15"/>
    <row r="57354" spans="3:3" customFormat="1" ht="21.95" customHeight="1" x14ac:dyDescent="0.15"/>
    <row r="57355" spans="3:3" customFormat="1" ht="21.95" customHeight="1" x14ac:dyDescent="0.15"/>
    <row r="57356" spans="3:3" s="76" customFormat="1" ht="21.95" customHeight="1" x14ac:dyDescent="0.15"/>
    <row r="57357" spans="3:3" s="76" customFormat="1" ht="21.95" customHeight="1" x14ac:dyDescent="0.15"/>
    <row r="57358" spans="3:3" s="76" customFormat="1" ht="21.95" customHeight="1" x14ac:dyDescent="0.15"/>
    <row r="57359" spans="3:3" s="76" customFormat="1" ht="21.95" customHeight="1" x14ac:dyDescent="0.15"/>
    <row r="57360" spans="3:3" customFormat="1" ht="21.95" customHeight="1" x14ac:dyDescent="0.15"/>
    <row r="57361" customFormat="1" ht="21.95" customHeight="1" x14ac:dyDescent="0.15"/>
    <row r="57362" customFormat="1" ht="21.95" customHeight="1" x14ac:dyDescent="0.15"/>
    <row r="57363" customFormat="1" ht="21.95" customHeight="1" x14ac:dyDescent="0.15"/>
    <row r="57364" customFormat="1" ht="21.95" customHeight="1" x14ac:dyDescent="0.15"/>
    <row r="57365" customFormat="1" ht="21.95" customHeight="1" x14ac:dyDescent="0.15"/>
    <row r="57366" customFormat="1" ht="21.95" customHeight="1" x14ac:dyDescent="0.15"/>
    <row r="57367" customFormat="1" ht="21.95" customHeight="1" x14ac:dyDescent="0.15"/>
    <row r="57368" customFormat="1" ht="21.95" customHeight="1" x14ac:dyDescent="0.15"/>
    <row r="57369" customFormat="1" ht="21.95" customHeight="1" x14ac:dyDescent="0.15"/>
    <row r="57370" customFormat="1" ht="21.95" customHeight="1" x14ac:dyDescent="0.15"/>
    <row r="57371" customFormat="1" ht="32.1" customHeight="1" x14ac:dyDescent="0.15"/>
    <row r="57372" customFormat="1" ht="32.1" customHeight="1" x14ac:dyDescent="0.15"/>
    <row r="57373" customFormat="1" ht="32.1" customHeight="1" x14ac:dyDescent="0.15"/>
    <row r="57374" customFormat="1" ht="32.1" customHeight="1" x14ac:dyDescent="0.15"/>
    <row r="57375" customFormat="1" ht="32.1" customHeight="1" x14ac:dyDescent="0.15"/>
    <row r="57376" customFormat="1" ht="32.1" customHeight="1" x14ac:dyDescent="0.15"/>
    <row r="57377" s="76" customFormat="1" ht="32.1" customHeight="1" x14ac:dyDescent="0.15"/>
    <row r="57378" s="76" customFormat="1" ht="32.1" customHeight="1" x14ac:dyDescent="0.15"/>
    <row r="57379" s="76" customFormat="1" ht="32.1" customHeight="1" x14ac:dyDescent="0.15"/>
    <row r="57380" s="76" customFormat="1" ht="32.1" customHeight="1" x14ac:dyDescent="0.15"/>
    <row r="57381" s="76" customFormat="1" ht="21.95" customHeight="1" x14ac:dyDescent="0.15"/>
    <row r="57382" s="76" customFormat="1" ht="54" customHeight="1" x14ac:dyDescent="0.15"/>
    <row r="57383" s="76" customFormat="1" ht="21.95" customHeight="1" x14ac:dyDescent="0.15"/>
    <row r="57384" s="76" customFormat="1" ht="21.95" customHeight="1" x14ac:dyDescent="0.15"/>
    <row r="57385" s="76" customFormat="1" ht="21.95" customHeight="1" x14ac:dyDescent="0.15"/>
    <row r="57386" s="76" customFormat="1" ht="21.95" customHeight="1" x14ac:dyDescent="0.15"/>
    <row r="57387" s="76" customFormat="1" ht="21.95" customHeight="1" x14ac:dyDescent="0.15"/>
    <row r="57388" s="76" customFormat="1" ht="21.95" customHeight="1" x14ac:dyDescent="0.15"/>
    <row r="57389" s="76" customFormat="1" ht="21.95" customHeight="1" x14ac:dyDescent="0.15"/>
    <row r="57390" s="76" customFormat="1" ht="21.95" customHeight="1" x14ac:dyDescent="0.15"/>
    <row r="57391" s="76" customFormat="1" ht="21.95" customHeight="1" x14ac:dyDescent="0.15"/>
    <row r="57392" s="76" customFormat="1" ht="21.95" customHeight="1" x14ac:dyDescent="0.15"/>
    <row r="57393" s="76" customFormat="1" ht="21.95" customHeight="1" x14ac:dyDescent="0.15"/>
    <row r="57394" s="76" customFormat="1" ht="21.95" customHeight="1" x14ac:dyDescent="0.15"/>
    <row r="57395" s="76" customFormat="1" ht="21.95" customHeight="1" x14ac:dyDescent="0.15"/>
    <row r="57396" s="76" customFormat="1" ht="21.95" customHeight="1" x14ac:dyDescent="0.15"/>
    <row r="57397" s="76" customFormat="1" ht="21.95" customHeight="1" x14ac:dyDescent="0.15"/>
    <row r="57398" s="76" customFormat="1" ht="21.95" customHeight="1" x14ac:dyDescent="0.15"/>
    <row r="57399" s="76" customFormat="1" ht="21.95" customHeight="1" x14ac:dyDescent="0.15"/>
    <row r="57400" s="76" customFormat="1" ht="21.95" customHeight="1" x14ac:dyDescent="0.15"/>
    <row r="57401" s="76" customFormat="1" ht="21.95" customHeight="1" x14ac:dyDescent="0.15"/>
    <row r="57402" s="76" customFormat="1" ht="21.95" customHeight="1" x14ac:dyDescent="0.15"/>
    <row r="57403" s="76" customFormat="1" ht="21.95" customHeight="1" x14ac:dyDescent="0.15"/>
    <row r="57404" s="76" customFormat="1" ht="21.95" customHeight="1" x14ac:dyDescent="0.15"/>
    <row r="57405" s="76" customFormat="1" ht="21.95" customHeight="1" x14ac:dyDescent="0.15"/>
    <row r="57406" s="76" customFormat="1" ht="21.95" customHeight="1" x14ac:dyDescent="0.15"/>
    <row r="57407" s="76" customFormat="1" ht="21.95" customHeight="1" x14ac:dyDescent="0.15"/>
    <row r="57408" s="76" customFormat="1" ht="21.95" customHeight="1" x14ac:dyDescent="0.15"/>
    <row r="57409" s="76" customFormat="1" ht="21.95" customHeight="1" x14ac:dyDescent="0.15"/>
    <row r="57410" s="76" customFormat="1" ht="21.95" customHeight="1" x14ac:dyDescent="0.15"/>
    <row r="57411" s="76" customFormat="1" ht="21.95" customHeight="1" x14ac:dyDescent="0.15"/>
    <row r="57412" s="76" customFormat="1" ht="21.95" customHeight="1" x14ac:dyDescent="0.15"/>
    <row r="57413" s="76" customFormat="1" ht="21.95" customHeight="1" x14ac:dyDescent="0.15"/>
    <row r="57414" s="76" customFormat="1" ht="21.95" customHeight="1" x14ac:dyDescent="0.15"/>
    <row r="57415" s="76" customFormat="1" ht="21.95" customHeight="1" x14ac:dyDescent="0.15"/>
    <row r="57416" s="76" customFormat="1" ht="21.95" customHeight="1" x14ac:dyDescent="0.15"/>
    <row r="57417" s="76" customFormat="1" ht="21.95" customHeight="1" x14ac:dyDescent="0.15"/>
    <row r="57418" s="76" customFormat="1" ht="21.95" customHeight="1" x14ac:dyDescent="0.15"/>
    <row r="57419" s="76" customFormat="1" ht="21.95" customHeight="1" x14ac:dyDescent="0.15"/>
    <row r="57420" s="76" customFormat="1" ht="21.95" customHeight="1" x14ac:dyDescent="0.15"/>
    <row r="57421" s="76" customFormat="1" ht="21.95" customHeight="1" x14ac:dyDescent="0.15"/>
    <row r="57422" s="76" customFormat="1" ht="21.95" customHeight="1" x14ac:dyDescent="0.15"/>
    <row r="57423" s="76" customFormat="1" ht="21.95" customHeight="1" x14ac:dyDescent="0.15"/>
    <row r="57424" s="76" customFormat="1" ht="21.95" customHeight="1" x14ac:dyDescent="0.15"/>
    <row r="57425" s="76" customFormat="1" ht="21.95" customHeight="1" x14ac:dyDescent="0.15"/>
    <row r="57426" s="76" customFormat="1" ht="21.95" customHeight="1" x14ac:dyDescent="0.15"/>
    <row r="57427" s="76" customFormat="1" ht="21.95" customHeight="1" x14ac:dyDescent="0.15"/>
    <row r="57428" s="76" customFormat="1" ht="21.95" customHeight="1" x14ac:dyDescent="0.15"/>
    <row r="57429" s="76" customFormat="1" ht="21.95" customHeight="1" x14ac:dyDescent="0.15"/>
    <row r="57430" s="76" customFormat="1" ht="21.95" customHeight="1" x14ac:dyDescent="0.15"/>
    <row r="57431" s="76" customFormat="1" ht="21.95" customHeight="1" x14ac:dyDescent="0.15"/>
    <row r="57432" s="76" customFormat="1" ht="21.95" customHeight="1" x14ac:dyDescent="0.15"/>
    <row r="57433" s="76" customFormat="1" ht="35.1" customHeight="1" x14ac:dyDescent="0.15"/>
    <row r="57434" s="76" customFormat="1" ht="21.95" customHeight="1" x14ac:dyDescent="0.15"/>
    <row r="57435" s="76" customFormat="1" ht="21.95" customHeight="1" x14ac:dyDescent="0.15"/>
    <row r="57436" s="76" customFormat="1" ht="21.95" customHeight="1" x14ac:dyDescent="0.15"/>
    <row r="57437" s="76" customFormat="1" ht="21.95" customHeight="1" x14ac:dyDescent="0.15"/>
    <row r="57438" s="76" customFormat="1" ht="21.95" customHeight="1" x14ac:dyDescent="0.15"/>
    <row r="57439" s="76" customFormat="1" ht="21.95" customHeight="1" x14ac:dyDescent="0.15"/>
    <row r="57440" s="76" customFormat="1" ht="21.95" customHeight="1" x14ac:dyDescent="0.15"/>
    <row r="57441" s="76" customFormat="1" ht="21.95" customHeight="1" x14ac:dyDescent="0.15"/>
    <row r="57442" s="76" customFormat="1" ht="21.95" customHeight="1" x14ac:dyDescent="0.15"/>
    <row r="57443" s="76" customFormat="1" ht="21.95" customHeight="1" x14ac:dyDescent="0.15"/>
    <row r="57444" s="76" customFormat="1" ht="21.95" customHeight="1" x14ac:dyDescent="0.15"/>
    <row r="57445" s="76" customFormat="1" ht="21.95" customHeight="1" x14ac:dyDescent="0.15"/>
    <row r="57446" s="76" customFormat="1" ht="21.95" customHeight="1" x14ac:dyDescent="0.15"/>
    <row r="57447" s="76" customFormat="1" ht="21.95" customHeight="1" x14ac:dyDescent="0.15"/>
    <row r="57448" s="76" customFormat="1" ht="21.95" customHeight="1" x14ac:dyDescent="0.15"/>
    <row r="57449" s="76" customFormat="1" ht="21.95" customHeight="1" x14ac:dyDescent="0.15"/>
    <row r="57450" s="76" customFormat="1" ht="21.95" customHeight="1" x14ac:dyDescent="0.15"/>
    <row r="57451" s="76" customFormat="1" ht="21.95" customHeight="1" x14ac:dyDescent="0.15"/>
    <row r="57452" s="76" customFormat="1" ht="21.95" customHeight="1" x14ac:dyDescent="0.15"/>
    <row r="57453" s="76" customFormat="1" ht="21.95" customHeight="1" x14ac:dyDescent="0.15"/>
    <row r="57454" s="76" customFormat="1" ht="21.95" customHeight="1" x14ac:dyDescent="0.15"/>
    <row r="57455" s="76" customFormat="1" ht="21.95" customHeight="1" x14ac:dyDescent="0.15"/>
    <row r="57456" s="76" customFormat="1" ht="21.95" customHeight="1" x14ac:dyDescent="0.15"/>
    <row r="57457" spans="3:3" customFormat="1" ht="21.95" customHeight="1" x14ac:dyDescent="0.15"/>
    <row r="57458" spans="3:3" customFormat="1" ht="21.95" customHeight="1" x14ac:dyDescent="0.15"/>
    <row r="57459" spans="3:3" customFormat="1" ht="21.95" customHeight="1" x14ac:dyDescent="0.15">
      <c r="C57459" s="94"/>
    </row>
    <row r="57460" spans="3:3" customFormat="1" ht="21.95" customHeight="1" x14ac:dyDescent="0.15">
      <c r="C57460" s="94"/>
    </row>
    <row r="57461" spans="3:3" customFormat="1" ht="21.95" customHeight="1" x14ac:dyDescent="0.15"/>
    <row r="57462" spans="3:3" customFormat="1" ht="21.95" customHeight="1" x14ac:dyDescent="0.15"/>
    <row r="57463" spans="3:3" customFormat="1" ht="21.95" customHeight="1" x14ac:dyDescent="0.15"/>
    <row r="57464" spans="3:3" customFormat="1" ht="21.95" customHeight="1" x14ac:dyDescent="0.15"/>
    <row r="57465" spans="3:3" customFormat="1" ht="21.95" customHeight="1" x14ac:dyDescent="0.15"/>
    <row r="57466" spans="3:3" customFormat="1" ht="21.95" customHeight="1" x14ac:dyDescent="0.15"/>
    <row r="57467" spans="3:3" customFormat="1" ht="21.95" customHeight="1" x14ac:dyDescent="0.15"/>
    <row r="57468" spans="3:3" s="76" customFormat="1" ht="21.95" customHeight="1" x14ac:dyDescent="0.15"/>
    <row r="57469" spans="3:3" s="76" customFormat="1" ht="21.95" customHeight="1" x14ac:dyDescent="0.15"/>
    <row r="57470" spans="3:3" s="76" customFormat="1" ht="21.95" customHeight="1" x14ac:dyDescent="0.15"/>
    <row r="57471" spans="3:3" s="76" customFormat="1" ht="21.95" customHeight="1" x14ac:dyDescent="0.15"/>
    <row r="57472" spans="3:3" customFormat="1" ht="21.95" customHeight="1" x14ac:dyDescent="0.15"/>
    <row r="57473" customFormat="1" ht="21.95" customHeight="1" x14ac:dyDescent="0.15"/>
    <row r="57474" customFormat="1" ht="21.95" customHeight="1" x14ac:dyDescent="0.15"/>
    <row r="57475" customFormat="1" ht="21.95" customHeight="1" x14ac:dyDescent="0.15"/>
    <row r="57476" customFormat="1" ht="21.95" customHeight="1" x14ac:dyDescent="0.15"/>
    <row r="57477" customFormat="1" ht="21.95" customHeight="1" x14ac:dyDescent="0.15"/>
    <row r="57478" customFormat="1" ht="21.95" customHeight="1" x14ac:dyDescent="0.15"/>
    <row r="57479" customFormat="1" ht="21.95" customHeight="1" x14ac:dyDescent="0.15"/>
    <row r="57480" customFormat="1" ht="21.95" customHeight="1" x14ac:dyDescent="0.15"/>
    <row r="57481" customFormat="1" ht="21.95" customHeight="1" x14ac:dyDescent="0.15"/>
    <row r="57482" customFormat="1" ht="21.95" customHeight="1" x14ac:dyDescent="0.15"/>
    <row r="57483" customFormat="1" ht="32.1" customHeight="1" x14ac:dyDescent="0.15"/>
    <row r="57484" customFormat="1" ht="32.1" customHeight="1" x14ac:dyDescent="0.15"/>
    <row r="57485" customFormat="1" ht="32.1" customHeight="1" x14ac:dyDescent="0.15"/>
    <row r="57486" customFormat="1" ht="32.1" customHeight="1" x14ac:dyDescent="0.15"/>
    <row r="57487" customFormat="1" ht="32.1" customHeight="1" x14ac:dyDescent="0.15"/>
    <row r="57488" customFormat="1" ht="32.1" customHeight="1" x14ac:dyDescent="0.15"/>
    <row r="57489" s="76" customFormat="1" ht="32.1" customHeight="1" x14ac:dyDescent="0.15"/>
    <row r="57490" s="76" customFormat="1" ht="32.1" customHeight="1" x14ac:dyDescent="0.15"/>
    <row r="57491" s="76" customFormat="1" ht="32.1" customHeight="1" x14ac:dyDescent="0.15"/>
    <row r="57492" s="76" customFormat="1" ht="32.1" customHeight="1" x14ac:dyDescent="0.15"/>
    <row r="57493" s="76" customFormat="1" ht="21.95" customHeight="1" x14ac:dyDescent="0.15"/>
    <row r="57494" s="76" customFormat="1" ht="54" customHeight="1" x14ac:dyDescent="0.15"/>
    <row r="57495" s="76" customFormat="1" ht="21.95" customHeight="1" x14ac:dyDescent="0.15"/>
    <row r="57496" s="76" customFormat="1" ht="21.95" customHeight="1" x14ac:dyDescent="0.15"/>
    <row r="57497" s="76" customFormat="1" ht="21.95" customHeight="1" x14ac:dyDescent="0.15"/>
    <row r="57498" s="76" customFormat="1" ht="21.95" customHeight="1" x14ac:dyDescent="0.15"/>
    <row r="57499" s="76" customFormat="1" ht="21.95" customHeight="1" x14ac:dyDescent="0.15"/>
    <row r="57500" s="76" customFormat="1" ht="21.95" customHeight="1" x14ac:dyDescent="0.15"/>
    <row r="57501" s="76" customFormat="1" ht="21.95" customHeight="1" x14ac:dyDescent="0.15"/>
    <row r="57502" s="76" customFormat="1" ht="21.95" customHeight="1" x14ac:dyDescent="0.15"/>
    <row r="57503" s="76" customFormat="1" ht="21.95" customHeight="1" x14ac:dyDescent="0.15"/>
    <row r="57504" s="76" customFormat="1" ht="21.95" customHeight="1" x14ac:dyDescent="0.15"/>
    <row r="57505" s="76" customFormat="1" ht="21.95" customHeight="1" x14ac:dyDescent="0.15"/>
    <row r="57506" s="76" customFormat="1" ht="21.95" customHeight="1" x14ac:dyDescent="0.15"/>
    <row r="57507" s="76" customFormat="1" ht="21.95" customHeight="1" x14ac:dyDescent="0.15"/>
    <row r="57508" s="76" customFormat="1" ht="21.95" customHeight="1" x14ac:dyDescent="0.15"/>
    <row r="57509" s="76" customFormat="1" ht="21.95" customHeight="1" x14ac:dyDescent="0.15"/>
    <row r="57510" s="76" customFormat="1" ht="21.95" customHeight="1" x14ac:dyDescent="0.15"/>
    <row r="57511" s="76" customFormat="1" ht="21.95" customHeight="1" x14ac:dyDescent="0.15"/>
    <row r="57512" s="76" customFormat="1" ht="21.95" customHeight="1" x14ac:dyDescent="0.15"/>
    <row r="57513" s="76" customFormat="1" ht="21.95" customHeight="1" x14ac:dyDescent="0.15"/>
    <row r="57514" s="76" customFormat="1" ht="21.95" customHeight="1" x14ac:dyDescent="0.15"/>
    <row r="57515" s="76" customFormat="1" ht="21.95" customHeight="1" x14ac:dyDescent="0.15"/>
    <row r="57516" s="76" customFormat="1" ht="21.95" customHeight="1" x14ac:dyDescent="0.15"/>
    <row r="57517" s="76" customFormat="1" ht="21.95" customHeight="1" x14ac:dyDescent="0.15"/>
    <row r="57518" s="76" customFormat="1" ht="21.95" customHeight="1" x14ac:dyDescent="0.15"/>
    <row r="57519" s="76" customFormat="1" ht="21.95" customHeight="1" x14ac:dyDescent="0.15"/>
    <row r="57520" s="76" customFormat="1" ht="21.95" customHeight="1" x14ac:dyDescent="0.15"/>
    <row r="57521" s="76" customFormat="1" ht="21.95" customHeight="1" x14ac:dyDescent="0.15"/>
    <row r="57522" s="76" customFormat="1" ht="21.95" customHeight="1" x14ac:dyDescent="0.15"/>
    <row r="57523" s="76" customFormat="1" ht="21.95" customHeight="1" x14ac:dyDescent="0.15"/>
    <row r="57524" s="76" customFormat="1" ht="21.95" customHeight="1" x14ac:dyDescent="0.15"/>
    <row r="57525" s="76" customFormat="1" ht="21.95" customHeight="1" x14ac:dyDescent="0.15"/>
    <row r="57526" s="76" customFormat="1" ht="21.95" customHeight="1" x14ac:dyDescent="0.15"/>
    <row r="57527" s="76" customFormat="1" ht="21.95" customHeight="1" x14ac:dyDescent="0.15"/>
    <row r="57528" s="76" customFormat="1" ht="21.95" customHeight="1" x14ac:dyDescent="0.15"/>
    <row r="57529" s="76" customFormat="1" ht="21.95" customHeight="1" x14ac:dyDescent="0.15"/>
    <row r="57530" s="76" customFormat="1" ht="21.95" customHeight="1" x14ac:dyDescent="0.15"/>
    <row r="57531" s="76" customFormat="1" ht="21.95" customHeight="1" x14ac:dyDescent="0.15"/>
    <row r="57532" s="76" customFormat="1" ht="21.95" customHeight="1" x14ac:dyDescent="0.15"/>
    <row r="57533" s="76" customFormat="1" ht="21.95" customHeight="1" x14ac:dyDescent="0.15"/>
    <row r="57534" s="76" customFormat="1" ht="21.95" customHeight="1" x14ac:dyDescent="0.15"/>
    <row r="57535" s="76" customFormat="1" ht="21.95" customHeight="1" x14ac:dyDescent="0.15"/>
    <row r="57536" s="76" customFormat="1" ht="21.95" customHeight="1" x14ac:dyDescent="0.15"/>
    <row r="57537" s="76" customFormat="1" ht="21.95" customHeight="1" x14ac:dyDescent="0.15"/>
    <row r="57538" s="76" customFormat="1" ht="21.95" customHeight="1" x14ac:dyDescent="0.15"/>
    <row r="57539" s="76" customFormat="1" ht="21.95" customHeight="1" x14ac:dyDescent="0.15"/>
    <row r="57540" s="76" customFormat="1" ht="21.95" customHeight="1" x14ac:dyDescent="0.15"/>
    <row r="57541" s="76" customFormat="1" ht="21.95" customHeight="1" x14ac:dyDescent="0.15"/>
    <row r="57542" s="76" customFormat="1" ht="21.95" customHeight="1" x14ac:dyDescent="0.15"/>
    <row r="57543" s="76" customFormat="1" ht="21.95" customHeight="1" x14ac:dyDescent="0.15"/>
    <row r="57544" s="76" customFormat="1" ht="21.95" customHeight="1" x14ac:dyDescent="0.15"/>
    <row r="57545" s="76" customFormat="1" ht="35.1" customHeight="1" x14ac:dyDescent="0.15"/>
    <row r="57546" s="76" customFormat="1" ht="21.95" customHeight="1" x14ac:dyDescent="0.15"/>
    <row r="57547" s="76" customFormat="1" ht="21.95" customHeight="1" x14ac:dyDescent="0.15"/>
    <row r="57548" s="76" customFormat="1" ht="21.95" customHeight="1" x14ac:dyDescent="0.15"/>
    <row r="57549" s="76" customFormat="1" ht="21.95" customHeight="1" x14ac:dyDescent="0.15"/>
    <row r="57550" s="76" customFormat="1" ht="21.95" customHeight="1" x14ac:dyDescent="0.15"/>
    <row r="57551" s="76" customFormat="1" ht="21.95" customHeight="1" x14ac:dyDescent="0.15"/>
    <row r="57552" s="76" customFormat="1" ht="21.95" customHeight="1" x14ac:dyDescent="0.15"/>
    <row r="57553" s="76" customFormat="1" ht="21.95" customHeight="1" x14ac:dyDescent="0.15"/>
    <row r="57554" s="76" customFormat="1" ht="21.95" customHeight="1" x14ac:dyDescent="0.15"/>
    <row r="57555" s="76" customFormat="1" ht="21.95" customHeight="1" x14ac:dyDescent="0.15"/>
    <row r="57556" s="76" customFormat="1" ht="21.95" customHeight="1" x14ac:dyDescent="0.15"/>
    <row r="57557" s="76" customFormat="1" ht="21.95" customHeight="1" x14ac:dyDescent="0.15"/>
    <row r="57558" s="76" customFormat="1" ht="21.95" customHeight="1" x14ac:dyDescent="0.15"/>
    <row r="57559" s="76" customFormat="1" ht="21.95" customHeight="1" x14ac:dyDescent="0.15"/>
    <row r="57560" s="76" customFormat="1" ht="21.95" customHeight="1" x14ac:dyDescent="0.15"/>
    <row r="57561" s="76" customFormat="1" ht="21.95" customHeight="1" x14ac:dyDescent="0.15"/>
    <row r="57562" s="76" customFormat="1" ht="21.95" customHeight="1" x14ac:dyDescent="0.15"/>
    <row r="57563" s="76" customFormat="1" ht="21.95" customHeight="1" x14ac:dyDescent="0.15"/>
    <row r="57564" s="76" customFormat="1" ht="21.95" customHeight="1" x14ac:dyDescent="0.15"/>
    <row r="57565" s="76" customFormat="1" ht="21.95" customHeight="1" x14ac:dyDescent="0.15"/>
    <row r="57566" s="76" customFormat="1" ht="21.95" customHeight="1" x14ac:dyDescent="0.15"/>
    <row r="57567" s="76" customFormat="1" ht="21.95" customHeight="1" x14ac:dyDescent="0.15"/>
    <row r="57568" s="76" customFormat="1" ht="21.95" customHeight="1" x14ac:dyDescent="0.15"/>
    <row r="57569" spans="3:3" customFormat="1" ht="21.95" customHeight="1" x14ac:dyDescent="0.15"/>
    <row r="57570" spans="3:3" customFormat="1" ht="21.95" customHeight="1" x14ac:dyDescent="0.15"/>
    <row r="57571" spans="3:3" customFormat="1" ht="21.95" customHeight="1" x14ac:dyDescent="0.15">
      <c r="C57571" s="94"/>
    </row>
    <row r="57572" spans="3:3" customFormat="1" ht="21.95" customHeight="1" x14ac:dyDescent="0.15">
      <c r="C57572" s="94"/>
    </row>
    <row r="57573" spans="3:3" customFormat="1" ht="21.95" customHeight="1" x14ac:dyDescent="0.15"/>
    <row r="57574" spans="3:3" customFormat="1" ht="21.95" customHeight="1" x14ac:dyDescent="0.15"/>
    <row r="57575" spans="3:3" customFormat="1" ht="21.95" customHeight="1" x14ac:dyDescent="0.15"/>
    <row r="57576" spans="3:3" customFormat="1" ht="21.95" customHeight="1" x14ac:dyDescent="0.15"/>
    <row r="57577" spans="3:3" customFormat="1" ht="21.95" customHeight="1" x14ac:dyDescent="0.15"/>
    <row r="57578" spans="3:3" customFormat="1" ht="21.95" customHeight="1" x14ac:dyDescent="0.15"/>
    <row r="57579" spans="3:3" customFormat="1" ht="21.95" customHeight="1" x14ac:dyDescent="0.15"/>
    <row r="57580" spans="3:3" s="76" customFormat="1" ht="21.95" customHeight="1" x14ac:dyDescent="0.15"/>
    <row r="57581" spans="3:3" s="76" customFormat="1" ht="21.95" customHeight="1" x14ac:dyDescent="0.15"/>
    <row r="57582" spans="3:3" s="76" customFormat="1" ht="21.95" customHeight="1" x14ac:dyDescent="0.15"/>
    <row r="57583" spans="3:3" s="76" customFormat="1" ht="21.95" customHeight="1" x14ac:dyDescent="0.15"/>
    <row r="57584" spans="3:3" customFormat="1" ht="21.95" customHeight="1" x14ac:dyDescent="0.15"/>
    <row r="57585" customFormat="1" ht="21.95" customHeight="1" x14ac:dyDescent="0.15"/>
    <row r="57586" customFormat="1" ht="21.95" customHeight="1" x14ac:dyDescent="0.15"/>
    <row r="57587" customFormat="1" ht="21.95" customHeight="1" x14ac:dyDescent="0.15"/>
    <row r="57588" customFormat="1" ht="21.95" customHeight="1" x14ac:dyDescent="0.15"/>
    <row r="57589" customFormat="1" ht="21.95" customHeight="1" x14ac:dyDescent="0.15"/>
    <row r="57590" customFormat="1" ht="21.95" customHeight="1" x14ac:dyDescent="0.15"/>
    <row r="57591" customFormat="1" ht="21.95" customHeight="1" x14ac:dyDescent="0.15"/>
    <row r="57592" customFormat="1" ht="21.95" customHeight="1" x14ac:dyDescent="0.15"/>
    <row r="57593" customFormat="1" ht="21.95" customHeight="1" x14ac:dyDescent="0.15"/>
    <row r="57594" customFormat="1" ht="21.95" customHeight="1" x14ac:dyDescent="0.15"/>
    <row r="57595" customFormat="1" ht="32.1" customHeight="1" x14ac:dyDescent="0.15"/>
    <row r="57596" customFormat="1" ht="32.1" customHeight="1" x14ac:dyDescent="0.15"/>
    <row r="57597" customFormat="1" ht="32.1" customHeight="1" x14ac:dyDescent="0.15"/>
    <row r="57598" customFormat="1" ht="32.1" customHeight="1" x14ac:dyDescent="0.15"/>
    <row r="57599" customFormat="1" ht="32.1" customHeight="1" x14ac:dyDescent="0.15"/>
    <row r="57600" customFormat="1" ht="32.1" customHeight="1" x14ac:dyDescent="0.15"/>
    <row r="57601" s="76" customFormat="1" ht="32.1" customHeight="1" x14ac:dyDescent="0.15"/>
    <row r="57602" s="76" customFormat="1" ht="32.1" customHeight="1" x14ac:dyDescent="0.15"/>
    <row r="57603" s="76" customFormat="1" ht="32.1" customHeight="1" x14ac:dyDescent="0.15"/>
    <row r="57604" s="76" customFormat="1" ht="32.1" customHeight="1" x14ac:dyDescent="0.15"/>
    <row r="57605" s="76" customFormat="1" ht="21.95" customHeight="1" x14ac:dyDescent="0.15"/>
    <row r="57606" s="76" customFormat="1" ht="54" customHeight="1" x14ac:dyDescent="0.15"/>
    <row r="57607" s="76" customFormat="1" ht="21.95" customHeight="1" x14ac:dyDescent="0.15"/>
    <row r="57608" s="76" customFormat="1" ht="21.95" customHeight="1" x14ac:dyDescent="0.15"/>
    <row r="57609" s="76" customFormat="1" ht="21.95" customHeight="1" x14ac:dyDescent="0.15"/>
    <row r="57610" s="76" customFormat="1" ht="21.95" customHeight="1" x14ac:dyDescent="0.15"/>
    <row r="57611" s="76" customFormat="1" ht="21.95" customHeight="1" x14ac:dyDescent="0.15"/>
    <row r="57612" s="76" customFormat="1" ht="21.95" customHeight="1" x14ac:dyDescent="0.15"/>
    <row r="57613" s="76" customFormat="1" ht="21.95" customHeight="1" x14ac:dyDescent="0.15"/>
    <row r="57614" s="76" customFormat="1" ht="21.95" customHeight="1" x14ac:dyDescent="0.15"/>
    <row r="57615" s="76" customFormat="1" ht="21.95" customHeight="1" x14ac:dyDescent="0.15"/>
    <row r="57616" s="76" customFormat="1" ht="21.95" customHeight="1" x14ac:dyDescent="0.15"/>
    <row r="57617" s="76" customFormat="1" ht="21.95" customHeight="1" x14ac:dyDescent="0.15"/>
    <row r="57618" s="76" customFormat="1" ht="21.95" customHeight="1" x14ac:dyDescent="0.15"/>
    <row r="57619" s="76" customFormat="1" ht="21.95" customHeight="1" x14ac:dyDescent="0.15"/>
    <row r="57620" s="76" customFormat="1" ht="21.95" customHeight="1" x14ac:dyDescent="0.15"/>
    <row r="57621" s="76" customFormat="1" ht="21.95" customHeight="1" x14ac:dyDescent="0.15"/>
    <row r="57622" s="76" customFormat="1" ht="21.95" customHeight="1" x14ac:dyDescent="0.15"/>
    <row r="57623" s="76" customFormat="1" ht="21.95" customHeight="1" x14ac:dyDescent="0.15"/>
    <row r="57624" s="76" customFormat="1" ht="21.95" customHeight="1" x14ac:dyDescent="0.15"/>
    <row r="57625" s="76" customFormat="1" ht="21.95" customHeight="1" x14ac:dyDescent="0.15"/>
    <row r="57626" s="76" customFormat="1" ht="21.95" customHeight="1" x14ac:dyDescent="0.15"/>
    <row r="57627" s="76" customFormat="1" ht="21.95" customHeight="1" x14ac:dyDescent="0.15"/>
    <row r="57628" s="76" customFormat="1" ht="21.95" customHeight="1" x14ac:dyDescent="0.15"/>
    <row r="57629" s="76" customFormat="1" ht="21.95" customHeight="1" x14ac:dyDescent="0.15"/>
    <row r="57630" s="76" customFormat="1" ht="21.95" customHeight="1" x14ac:dyDescent="0.15"/>
    <row r="57631" s="76" customFormat="1" ht="21.95" customHeight="1" x14ac:dyDescent="0.15"/>
    <row r="57632" s="76" customFormat="1" ht="21.95" customHeight="1" x14ac:dyDescent="0.15"/>
    <row r="57633" s="76" customFormat="1" ht="21.95" customHeight="1" x14ac:dyDescent="0.15"/>
    <row r="57634" s="76" customFormat="1" ht="21.95" customHeight="1" x14ac:dyDescent="0.15"/>
    <row r="57635" s="76" customFormat="1" ht="21.95" customHeight="1" x14ac:dyDescent="0.15"/>
    <row r="57636" s="76" customFormat="1" ht="21.95" customHeight="1" x14ac:dyDescent="0.15"/>
    <row r="57637" s="76" customFormat="1" ht="21.95" customHeight="1" x14ac:dyDescent="0.15"/>
    <row r="57638" s="76" customFormat="1" ht="21.95" customHeight="1" x14ac:dyDescent="0.15"/>
    <row r="57639" s="76" customFormat="1" ht="21.95" customHeight="1" x14ac:dyDescent="0.15"/>
    <row r="57640" s="76" customFormat="1" ht="21.95" customHeight="1" x14ac:dyDescent="0.15"/>
    <row r="57641" s="76" customFormat="1" ht="21.95" customHeight="1" x14ac:dyDescent="0.15"/>
    <row r="57642" s="76" customFormat="1" ht="21.95" customHeight="1" x14ac:dyDescent="0.15"/>
    <row r="57643" s="76" customFormat="1" ht="21.95" customHeight="1" x14ac:dyDescent="0.15"/>
    <row r="57644" s="76" customFormat="1" ht="21.95" customHeight="1" x14ac:dyDescent="0.15"/>
    <row r="57645" s="76" customFormat="1" ht="21.95" customHeight="1" x14ac:dyDescent="0.15"/>
    <row r="57646" s="76" customFormat="1" ht="21.95" customHeight="1" x14ac:dyDescent="0.15"/>
    <row r="57647" s="76" customFormat="1" ht="21.95" customHeight="1" x14ac:dyDescent="0.15"/>
    <row r="57648" s="76" customFormat="1" ht="21.95" customHeight="1" x14ac:dyDescent="0.15"/>
    <row r="57649" s="76" customFormat="1" ht="21.95" customHeight="1" x14ac:dyDescent="0.15"/>
    <row r="57650" s="76" customFormat="1" ht="21.95" customHeight="1" x14ac:dyDescent="0.15"/>
    <row r="57651" s="76" customFormat="1" ht="21.95" customHeight="1" x14ac:dyDescent="0.15"/>
    <row r="57652" s="76" customFormat="1" ht="21.95" customHeight="1" x14ac:dyDescent="0.15"/>
    <row r="57653" s="76" customFormat="1" ht="21.95" customHeight="1" x14ac:dyDescent="0.15"/>
    <row r="57654" s="76" customFormat="1" ht="21.95" customHeight="1" x14ac:dyDescent="0.15"/>
    <row r="57655" s="76" customFormat="1" ht="21.95" customHeight="1" x14ac:dyDescent="0.15"/>
    <row r="57656" s="76" customFormat="1" ht="21.95" customHeight="1" x14ac:dyDescent="0.15"/>
    <row r="57657" s="76" customFormat="1" ht="35.1" customHeight="1" x14ac:dyDescent="0.15"/>
    <row r="57658" s="76" customFormat="1" ht="21.95" customHeight="1" x14ac:dyDescent="0.15"/>
    <row r="57659" s="76" customFormat="1" ht="21.95" customHeight="1" x14ac:dyDescent="0.15"/>
    <row r="57660" s="76" customFormat="1" ht="21.95" customHeight="1" x14ac:dyDescent="0.15"/>
    <row r="57661" s="76" customFormat="1" ht="21.95" customHeight="1" x14ac:dyDescent="0.15"/>
    <row r="57662" s="76" customFormat="1" ht="21.95" customHeight="1" x14ac:dyDescent="0.15"/>
    <row r="57663" s="76" customFormat="1" ht="21.95" customHeight="1" x14ac:dyDescent="0.15"/>
    <row r="57664" s="76" customFormat="1" ht="21.95" customHeight="1" x14ac:dyDescent="0.15"/>
    <row r="57665" s="76" customFormat="1" ht="21.95" customHeight="1" x14ac:dyDescent="0.15"/>
    <row r="57666" s="76" customFormat="1" ht="21.95" customHeight="1" x14ac:dyDescent="0.15"/>
    <row r="57667" s="76" customFormat="1" ht="21.95" customHeight="1" x14ac:dyDescent="0.15"/>
    <row r="57668" s="76" customFormat="1" ht="21.95" customHeight="1" x14ac:dyDescent="0.15"/>
    <row r="57669" s="76" customFormat="1" ht="21.95" customHeight="1" x14ac:dyDescent="0.15"/>
    <row r="57670" s="76" customFormat="1" ht="21.95" customHeight="1" x14ac:dyDescent="0.15"/>
    <row r="57671" s="76" customFormat="1" ht="21.95" customHeight="1" x14ac:dyDescent="0.15"/>
    <row r="57672" s="76" customFormat="1" ht="21.95" customHeight="1" x14ac:dyDescent="0.15"/>
    <row r="57673" s="76" customFormat="1" ht="21.95" customHeight="1" x14ac:dyDescent="0.15"/>
    <row r="57674" s="76" customFormat="1" ht="21.95" customHeight="1" x14ac:dyDescent="0.15"/>
    <row r="57675" s="76" customFormat="1" ht="21.95" customHeight="1" x14ac:dyDescent="0.15"/>
    <row r="57676" s="76" customFormat="1" ht="21.95" customHeight="1" x14ac:dyDescent="0.15"/>
    <row r="57677" s="76" customFormat="1" ht="21.95" customHeight="1" x14ac:dyDescent="0.15"/>
    <row r="57678" s="76" customFormat="1" ht="21.95" customHeight="1" x14ac:dyDescent="0.15"/>
    <row r="57679" s="76" customFormat="1" ht="21.95" customHeight="1" x14ac:dyDescent="0.15"/>
    <row r="57680" s="76" customFormat="1" ht="21.95" customHeight="1" x14ac:dyDescent="0.15"/>
    <row r="57681" spans="3:3" customFormat="1" ht="21.95" customHeight="1" x14ac:dyDescent="0.15"/>
    <row r="57682" spans="3:3" customFormat="1" ht="21.95" customHeight="1" x14ac:dyDescent="0.15"/>
    <row r="57683" spans="3:3" customFormat="1" ht="21.95" customHeight="1" x14ac:dyDescent="0.15">
      <c r="C57683" s="94"/>
    </row>
    <row r="57684" spans="3:3" customFormat="1" ht="21.95" customHeight="1" x14ac:dyDescent="0.15">
      <c r="C57684" s="94"/>
    </row>
    <row r="57685" spans="3:3" customFormat="1" ht="21.95" customHeight="1" x14ac:dyDescent="0.15"/>
    <row r="57686" spans="3:3" customFormat="1" ht="21.95" customHeight="1" x14ac:dyDescent="0.15"/>
    <row r="57687" spans="3:3" customFormat="1" ht="21.95" customHeight="1" x14ac:dyDescent="0.15"/>
    <row r="57688" spans="3:3" customFormat="1" ht="21.95" customHeight="1" x14ac:dyDescent="0.15"/>
    <row r="57689" spans="3:3" customFormat="1" ht="21.95" customHeight="1" x14ac:dyDescent="0.15"/>
    <row r="57690" spans="3:3" customFormat="1" ht="21.95" customHeight="1" x14ac:dyDescent="0.15"/>
    <row r="57691" spans="3:3" customFormat="1" ht="21.95" customHeight="1" x14ac:dyDescent="0.15"/>
    <row r="57692" spans="3:3" s="76" customFormat="1" ht="21.95" customHeight="1" x14ac:dyDescent="0.15"/>
    <row r="57693" spans="3:3" s="76" customFormat="1" ht="21.95" customHeight="1" x14ac:dyDescent="0.15"/>
    <row r="57694" spans="3:3" s="76" customFormat="1" ht="21.95" customHeight="1" x14ac:dyDescent="0.15"/>
    <row r="57695" spans="3:3" s="76" customFormat="1" ht="21.95" customHeight="1" x14ac:dyDescent="0.15"/>
    <row r="57696" spans="3:3" customFormat="1" ht="21.95" customHeight="1" x14ac:dyDescent="0.15"/>
    <row r="57697" customFormat="1" ht="21.95" customHeight="1" x14ac:dyDescent="0.15"/>
    <row r="57698" customFormat="1" ht="21.95" customHeight="1" x14ac:dyDescent="0.15"/>
    <row r="57699" customFormat="1" ht="21.95" customHeight="1" x14ac:dyDescent="0.15"/>
    <row r="57700" customFormat="1" ht="21.95" customHeight="1" x14ac:dyDescent="0.15"/>
    <row r="57701" customFormat="1" ht="21.95" customHeight="1" x14ac:dyDescent="0.15"/>
    <row r="57702" customFormat="1" ht="21.95" customHeight="1" x14ac:dyDescent="0.15"/>
    <row r="57703" customFormat="1" ht="21.95" customHeight="1" x14ac:dyDescent="0.15"/>
    <row r="57704" customFormat="1" ht="21.95" customHeight="1" x14ac:dyDescent="0.15"/>
    <row r="57705" customFormat="1" ht="21.95" customHeight="1" x14ac:dyDescent="0.15"/>
    <row r="57706" customFormat="1" ht="21.95" customHeight="1" x14ac:dyDescent="0.15"/>
    <row r="57707" customFormat="1" ht="32.1" customHeight="1" x14ac:dyDescent="0.15"/>
    <row r="57708" customFormat="1" ht="32.1" customHeight="1" x14ac:dyDescent="0.15"/>
    <row r="57709" customFormat="1" ht="32.1" customHeight="1" x14ac:dyDescent="0.15"/>
    <row r="57710" customFormat="1" ht="32.1" customHeight="1" x14ac:dyDescent="0.15"/>
    <row r="57711" customFormat="1" ht="32.1" customHeight="1" x14ac:dyDescent="0.15"/>
    <row r="57712" customFormat="1" ht="32.1" customHeight="1" x14ac:dyDescent="0.15"/>
    <row r="57713" s="76" customFormat="1" ht="32.1" customHeight="1" x14ac:dyDescent="0.15"/>
    <row r="57714" s="76" customFormat="1" ht="32.1" customHeight="1" x14ac:dyDescent="0.15"/>
    <row r="57715" s="76" customFormat="1" ht="32.1" customHeight="1" x14ac:dyDescent="0.15"/>
    <row r="57716" s="76" customFormat="1" ht="32.1" customHeight="1" x14ac:dyDescent="0.15"/>
    <row r="57717" s="76" customFormat="1" ht="21.95" customHeight="1" x14ac:dyDescent="0.15"/>
    <row r="57718" s="76" customFormat="1" ht="54" customHeight="1" x14ac:dyDescent="0.15"/>
    <row r="57719" s="76" customFormat="1" ht="21.95" customHeight="1" x14ac:dyDescent="0.15"/>
    <row r="57720" s="76" customFormat="1" ht="21.95" customHeight="1" x14ac:dyDescent="0.15"/>
    <row r="57721" s="76" customFormat="1" ht="21.95" customHeight="1" x14ac:dyDescent="0.15"/>
    <row r="57722" s="76" customFormat="1" ht="21.95" customHeight="1" x14ac:dyDescent="0.15"/>
    <row r="57723" s="76" customFormat="1" ht="21.95" customHeight="1" x14ac:dyDescent="0.15"/>
    <row r="57724" s="76" customFormat="1" ht="21.95" customHeight="1" x14ac:dyDescent="0.15"/>
    <row r="57725" s="76" customFormat="1" ht="21.95" customHeight="1" x14ac:dyDescent="0.15"/>
    <row r="57726" s="76" customFormat="1" ht="21.95" customHeight="1" x14ac:dyDescent="0.15"/>
    <row r="57727" s="76" customFormat="1" ht="21.95" customHeight="1" x14ac:dyDescent="0.15"/>
    <row r="57728" s="76" customFormat="1" ht="21.95" customHeight="1" x14ac:dyDescent="0.15"/>
    <row r="57729" s="76" customFormat="1" ht="21.95" customHeight="1" x14ac:dyDescent="0.15"/>
    <row r="57730" s="76" customFormat="1" ht="21.95" customHeight="1" x14ac:dyDescent="0.15"/>
    <row r="57731" s="76" customFormat="1" ht="21.95" customHeight="1" x14ac:dyDescent="0.15"/>
    <row r="57732" s="76" customFormat="1" ht="21.95" customHeight="1" x14ac:dyDescent="0.15"/>
    <row r="57733" s="76" customFormat="1" ht="21.95" customHeight="1" x14ac:dyDescent="0.15"/>
    <row r="57734" s="76" customFormat="1" ht="21.95" customHeight="1" x14ac:dyDescent="0.15"/>
    <row r="57735" s="76" customFormat="1" ht="21.95" customHeight="1" x14ac:dyDescent="0.15"/>
    <row r="57736" s="76" customFormat="1" ht="21.95" customHeight="1" x14ac:dyDescent="0.15"/>
    <row r="57737" s="76" customFormat="1" ht="21.95" customHeight="1" x14ac:dyDescent="0.15"/>
    <row r="57738" s="76" customFormat="1" ht="21.95" customHeight="1" x14ac:dyDescent="0.15"/>
    <row r="57739" s="76" customFormat="1" ht="21.95" customHeight="1" x14ac:dyDescent="0.15"/>
    <row r="57740" s="76" customFormat="1" ht="21.95" customHeight="1" x14ac:dyDescent="0.15"/>
    <row r="57741" s="76" customFormat="1" ht="21.95" customHeight="1" x14ac:dyDescent="0.15"/>
    <row r="57742" s="76" customFormat="1" ht="21.95" customHeight="1" x14ac:dyDescent="0.15"/>
    <row r="57743" s="76" customFormat="1" ht="21.95" customHeight="1" x14ac:dyDescent="0.15"/>
    <row r="57744" s="76" customFormat="1" ht="21.95" customHeight="1" x14ac:dyDescent="0.15"/>
    <row r="57745" s="76" customFormat="1" ht="21.95" customHeight="1" x14ac:dyDescent="0.15"/>
    <row r="57746" s="76" customFormat="1" ht="21.95" customHeight="1" x14ac:dyDescent="0.15"/>
    <row r="57747" s="76" customFormat="1" ht="21.95" customHeight="1" x14ac:dyDescent="0.15"/>
    <row r="57748" s="76" customFormat="1" ht="21.95" customHeight="1" x14ac:dyDescent="0.15"/>
    <row r="57749" s="76" customFormat="1" ht="21.95" customHeight="1" x14ac:dyDescent="0.15"/>
    <row r="57750" s="76" customFormat="1" ht="21.95" customHeight="1" x14ac:dyDescent="0.15"/>
    <row r="57751" s="76" customFormat="1" ht="21.95" customHeight="1" x14ac:dyDescent="0.15"/>
    <row r="57752" s="76" customFormat="1" ht="21.95" customHeight="1" x14ac:dyDescent="0.15"/>
    <row r="57753" s="76" customFormat="1" ht="21.95" customHeight="1" x14ac:dyDescent="0.15"/>
    <row r="57754" s="76" customFormat="1" ht="21.95" customHeight="1" x14ac:dyDescent="0.15"/>
    <row r="57755" s="76" customFormat="1" ht="21.95" customHeight="1" x14ac:dyDescent="0.15"/>
    <row r="57756" s="76" customFormat="1" ht="21.95" customHeight="1" x14ac:dyDescent="0.15"/>
    <row r="57757" s="76" customFormat="1" ht="21.95" customHeight="1" x14ac:dyDescent="0.15"/>
    <row r="57758" s="76" customFormat="1" ht="21.95" customHeight="1" x14ac:dyDescent="0.15"/>
    <row r="57759" s="76" customFormat="1" ht="21.95" customHeight="1" x14ac:dyDescent="0.15"/>
    <row r="57760" s="76" customFormat="1" ht="21.95" customHeight="1" x14ac:dyDescent="0.15"/>
    <row r="57761" s="76" customFormat="1" ht="21.95" customHeight="1" x14ac:dyDescent="0.15"/>
    <row r="57762" s="76" customFormat="1" ht="21.95" customHeight="1" x14ac:dyDescent="0.15"/>
    <row r="57763" s="76" customFormat="1" ht="21.95" customHeight="1" x14ac:dyDescent="0.15"/>
    <row r="57764" s="76" customFormat="1" ht="21.95" customHeight="1" x14ac:dyDescent="0.15"/>
    <row r="57765" s="76" customFormat="1" ht="21.95" customHeight="1" x14ac:dyDescent="0.15"/>
    <row r="57766" s="76" customFormat="1" ht="21.95" customHeight="1" x14ac:dyDescent="0.15"/>
    <row r="57767" s="76" customFormat="1" ht="21.95" customHeight="1" x14ac:dyDescent="0.15"/>
    <row r="57768" s="76" customFormat="1" ht="21.95" customHeight="1" x14ac:dyDescent="0.15"/>
    <row r="57769" s="76" customFormat="1" ht="35.1" customHeight="1" x14ac:dyDescent="0.15"/>
    <row r="57770" s="76" customFormat="1" ht="21.95" customHeight="1" x14ac:dyDescent="0.15"/>
    <row r="57771" s="76" customFormat="1" ht="21.95" customHeight="1" x14ac:dyDescent="0.15"/>
    <row r="57772" s="76" customFormat="1" ht="21.95" customHeight="1" x14ac:dyDescent="0.15"/>
    <row r="57773" s="76" customFormat="1" ht="21.95" customHeight="1" x14ac:dyDescent="0.15"/>
    <row r="57774" s="76" customFormat="1" ht="21.95" customHeight="1" x14ac:dyDescent="0.15"/>
    <row r="57775" s="76" customFormat="1" ht="21.95" customHeight="1" x14ac:dyDescent="0.15"/>
    <row r="57776" s="76" customFormat="1" ht="21.95" customHeight="1" x14ac:dyDescent="0.15"/>
    <row r="57777" s="76" customFormat="1" ht="21.95" customHeight="1" x14ac:dyDescent="0.15"/>
    <row r="57778" s="76" customFormat="1" ht="21.95" customHeight="1" x14ac:dyDescent="0.15"/>
    <row r="57779" s="76" customFormat="1" ht="21.95" customHeight="1" x14ac:dyDescent="0.15"/>
    <row r="57780" s="76" customFormat="1" ht="21.95" customHeight="1" x14ac:dyDescent="0.15"/>
    <row r="57781" s="76" customFormat="1" ht="21.95" customHeight="1" x14ac:dyDescent="0.15"/>
    <row r="57782" s="76" customFormat="1" ht="21.95" customHeight="1" x14ac:dyDescent="0.15"/>
    <row r="57783" s="76" customFormat="1" ht="21.95" customHeight="1" x14ac:dyDescent="0.15"/>
    <row r="57784" s="76" customFormat="1" ht="21.95" customHeight="1" x14ac:dyDescent="0.15"/>
    <row r="57785" s="76" customFormat="1" ht="21.95" customHeight="1" x14ac:dyDescent="0.15"/>
    <row r="57786" s="76" customFormat="1" ht="21.95" customHeight="1" x14ac:dyDescent="0.15"/>
    <row r="57787" s="76" customFormat="1" ht="21.95" customHeight="1" x14ac:dyDescent="0.15"/>
    <row r="57788" s="76" customFormat="1" ht="21.95" customHeight="1" x14ac:dyDescent="0.15"/>
    <row r="57789" s="76" customFormat="1" ht="21.95" customHeight="1" x14ac:dyDescent="0.15"/>
    <row r="57790" s="76" customFormat="1" ht="21.95" customHeight="1" x14ac:dyDescent="0.15"/>
    <row r="57791" s="76" customFormat="1" ht="21.95" customHeight="1" x14ac:dyDescent="0.15"/>
    <row r="57792" s="76" customFormat="1" ht="21.95" customHeight="1" x14ac:dyDescent="0.15"/>
    <row r="57793" spans="3:3" customFormat="1" ht="21.95" customHeight="1" x14ac:dyDescent="0.15"/>
    <row r="57794" spans="3:3" customFormat="1" ht="21.95" customHeight="1" x14ac:dyDescent="0.15"/>
    <row r="57795" spans="3:3" customFormat="1" ht="21.95" customHeight="1" x14ac:dyDescent="0.15">
      <c r="C57795" s="94"/>
    </row>
    <row r="57796" spans="3:3" customFormat="1" ht="21.95" customHeight="1" x14ac:dyDescent="0.15">
      <c r="C57796" s="94"/>
    </row>
    <row r="57797" spans="3:3" customFormat="1" ht="21.95" customHeight="1" x14ac:dyDescent="0.15"/>
    <row r="57798" spans="3:3" customFormat="1" ht="21.95" customHeight="1" x14ac:dyDescent="0.15"/>
    <row r="57799" spans="3:3" customFormat="1" ht="21.95" customHeight="1" x14ac:dyDescent="0.15"/>
    <row r="57800" spans="3:3" customFormat="1" ht="21.95" customHeight="1" x14ac:dyDescent="0.15"/>
    <row r="57801" spans="3:3" customFormat="1" ht="21.95" customHeight="1" x14ac:dyDescent="0.15"/>
    <row r="57802" spans="3:3" customFormat="1" ht="21.95" customHeight="1" x14ac:dyDescent="0.15"/>
    <row r="57803" spans="3:3" customFormat="1" ht="21.95" customHeight="1" x14ac:dyDescent="0.15"/>
    <row r="57804" spans="3:3" s="76" customFormat="1" ht="21.95" customHeight="1" x14ac:dyDescent="0.15"/>
    <row r="57805" spans="3:3" s="76" customFormat="1" ht="21.95" customHeight="1" x14ac:dyDescent="0.15"/>
    <row r="57806" spans="3:3" s="76" customFormat="1" ht="21.95" customHeight="1" x14ac:dyDescent="0.15"/>
    <row r="57807" spans="3:3" s="76" customFormat="1" ht="21.95" customHeight="1" x14ac:dyDescent="0.15"/>
    <row r="57808" spans="3:3" customFormat="1" ht="21.95" customHeight="1" x14ac:dyDescent="0.15"/>
    <row r="57809" customFormat="1" ht="21.95" customHeight="1" x14ac:dyDescent="0.15"/>
    <row r="57810" customFormat="1" ht="21.95" customHeight="1" x14ac:dyDescent="0.15"/>
    <row r="57811" customFormat="1" ht="21.95" customHeight="1" x14ac:dyDescent="0.15"/>
    <row r="57812" customFormat="1" ht="21.95" customHeight="1" x14ac:dyDescent="0.15"/>
    <row r="57813" customFormat="1" ht="21.95" customHeight="1" x14ac:dyDescent="0.15"/>
    <row r="57814" customFormat="1" ht="21.95" customHeight="1" x14ac:dyDescent="0.15"/>
    <row r="57815" customFormat="1" ht="21.95" customHeight="1" x14ac:dyDescent="0.15"/>
    <row r="57816" customFormat="1" ht="21.95" customHeight="1" x14ac:dyDescent="0.15"/>
    <row r="57817" customFormat="1" ht="21.95" customHeight="1" x14ac:dyDescent="0.15"/>
    <row r="57818" customFormat="1" ht="21.95" customHeight="1" x14ac:dyDescent="0.15"/>
    <row r="57819" customFormat="1" ht="32.1" customHeight="1" x14ac:dyDescent="0.15"/>
    <row r="57820" customFormat="1" ht="32.1" customHeight="1" x14ac:dyDescent="0.15"/>
    <row r="57821" customFormat="1" ht="32.1" customHeight="1" x14ac:dyDescent="0.15"/>
    <row r="57822" customFormat="1" ht="32.1" customHeight="1" x14ac:dyDescent="0.15"/>
    <row r="57823" customFormat="1" ht="32.1" customHeight="1" x14ac:dyDescent="0.15"/>
    <row r="57824" customFormat="1" ht="32.1" customHeight="1" x14ac:dyDescent="0.15"/>
    <row r="57825" s="76" customFormat="1" ht="32.1" customHeight="1" x14ac:dyDescent="0.15"/>
    <row r="57826" s="76" customFormat="1" ht="32.1" customHeight="1" x14ac:dyDescent="0.15"/>
    <row r="57827" s="76" customFormat="1" ht="32.1" customHeight="1" x14ac:dyDescent="0.15"/>
    <row r="57828" s="76" customFormat="1" ht="32.1" customHeight="1" x14ac:dyDescent="0.15"/>
    <row r="57829" s="76" customFormat="1" ht="21.95" customHeight="1" x14ac:dyDescent="0.15"/>
    <row r="57830" s="76" customFormat="1" ht="54" customHeight="1" x14ac:dyDescent="0.15"/>
    <row r="57831" s="76" customFormat="1" ht="21.95" customHeight="1" x14ac:dyDescent="0.15"/>
    <row r="57832" s="76" customFormat="1" ht="21.95" customHeight="1" x14ac:dyDescent="0.15"/>
    <row r="57833" s="76" customFormat="1" ht="21.95" customHeight="1" x14ac:dyDescent="0.15"/>
    <row r="57834" s="76" customFormat="1" ht="21.95" customHeight="1" x14ac:dyDescent="0.15"/>
    <row r="57835" s="76" customFormat="1" ht="21.95" customHeight="1" x14ac:dyDescent="0.15"/>
    <row r="57836" s="76" customFormat="1" ht="21.95" customHeight="1" x14ac:dyDescent="0.15"/>
    <row r="57837" s="76" customFormat="1" ht="21.95" customHeight="1" x14ac:dyDescent="0.15"/>
    <row r="57838" s="76" customFormat="1" ht="21.95" customHeight="1" x14ac:dyDescent="0.15"/>
    <row r="57839" s="76" customFormat="1" ht="21.95" customHeight="1" x14ac:dyDescent="0.15"/>
    <row r="57840" s="76" customFormat="1" ht="21.95" customHeight="1" x14ac:dyDescent="0.15"/>
    <row r="57841" s="76" customFormat="1" ht="21.95" customHeight="1" x14ac:dyDescent="0.15"/>
    <row r="57842" s="76" customFormat="1" ht="21.95" customHeight="1" x14ac:dyDescent="0.15"/>
    <row r="57843" s="76" customFormat="1" ht="21.95" customHeight="1" x14ac:dyDescent="0.15"/>
    <row r="57844" s="76" customFormat="1" ht="21.95" customHeight="1" x14ac:dyDescent="0.15"/>
    <row r="57845" s="76" customFormat="1" ht="21.95" customHeight="1" x14ac:dyDescent="0.15"/>
    <row r="57846" s="76" customFormat="1" ht="21.95" customHeight="1" x14ac:dyDescent="0.15"/>
    <row r="57847" s="76" customFormat="1" ht="21.95" customHeight="1" x14ac:dyDescent="0.15"/>
    <row r="57848" s="76" customFormat="1" ht="21.95" customHeight="1" x14ac:dyDescent="0.15"/>
    <row r="57849" s="76" customFormat="1" ht="21.95" customHeight="1" x14ac:dyDescent="0.15"/>
    <row r="57850" s="76" customFormat="1" ht="21.95" customHeight="1" x14ac:dyDescent="0.15"/>
    <row r="57851" s="76" customFormat="1" ht="21.95" customHeight="1" x14ac:dyDescent="0.15"/>
    <row r="57852" s="76" customFormat="1" ht="21.95" customHeight="1" x14ac:dyDescent="0.15"/>
    <row r="57853" s="76" customFormat="1" ht="21.95" customHeight="1" x14ac:dyDescent="0.15"/>
    <row r="57854" s="76" customFormat="1" ht="21.95" customHeight="1" x14ac:dyDescent="0.15"/>
    <row r="57855" s="76" customFormat="1" ht="21.95" customHeight="1" x14ac:dyDescent="0.15"/>
    <row r="57856" s="76" customFormat="1" ht="21.95" customHeight="1" x14ac:dyDescent="0.15"/>
    <row r="57857" s="76" customFormat="1" ht="21.95" customHeight="1" x14ac:dyDescent="0.15"/>
    <row r="57858" s="76" customFormat="1" ht="21.95" customHeight="1" x14ac:dyDescent="0.15"/>
    <row r="57859" s="76" customFormat="1" ht="21.95" customHeight="1" x14ac:dyDescent="0.15"/>
    <row r="57860" s="76" customFormat="1" ht="21.95" customHeight="1" x14ac:dyDescent="0.15"/>
    <row r="57861" s="76" customFormat="1" ht="21.95" customHeight="1" x14ac:dyDescent="0.15"/>
    <row r="57862" s="76" customFormat="1" ht="21.95" customHeight="1" x14ac:dyDescent="0.15"/>
    <row r="57863" s="76" customFormat="1" ht="21.95" customHeight="1" x14ac:dyDescent="0.15"/>
    <row r="57864" s="76" customFormat="1" ht="21.95" customHeight="1" x14ac:dyDescent="0.15"/>
    <row r="57865" s="76" customFormat="1" ht="21.95" customHeight="1" x14ac:dyDescent="0.15"/>
    <row r="57866" s="76" customFormat="1" ht="21.95" customHeight="1" x14ac:dyDescent="0.15"/>
    <row r="57867" s="76" customFormat="1" ht="21.95" customHeight="1" x14ac:dyDescent="0.15"/>
    <row r="57868" s="76" customFormat="1" ht="21.95" customHeight="1" x14ac:dyDescent="0.15"/>
    <row r="57869" s="76" customFormat="1" ht="21.95" customHeight="1" x14ac:dyDescent="0.15"/>
    <row r="57870" s="76" customFormat="1" ht="21.95" customHeight="1" x14ac:dyDescent="0.15"/>
    <row r="57871" s="76" customFormat="1" ht="21.95" customHeight="1" x14ac:dyDescent="0.15"/>
    <row r="57872" s="76" customFormat="1" ht="21.95" customHeight="1" x14ac:dyDescent="0.15"/>
    <row r="57873" s="76" customFormat="1" ht="21.95" customHeight="1" x14ac:dyDescent="0.15"/>
    <row r="57874" s="76" customFormat="1" ht="21.95" customHeight="1" x14ac:dyDescent="0.15"/>
    <row r="57875" s="76" customFormat="1" ht="21.95" customHeight="1" x14ac:dyDescent="0.15"/>
    <row r="57876" s="76" customFormat="1" ht="21.95" customHeight="1" x14ac:dyDescent="0.15"/>
    <row r="57877" s="76" customFormat="1" ht="21.95" customHeight="1" x14ac:dyDescent="0.15"/>
    <row r="57878" s="76" customFormat="1" ht="21.95" customHeight="1" x14ac:dyDescent="0.15"/>
    <row r="57879" s="76" customFormat="1" ht="21.95" customHeight="1" x14ac:dyDescent="0.15"/>
    <row r="57880" s="76" customFormat="1" ht="21.95" customHeight="1" x14ac:dyDescent="0.15"/>
    <row r="57881" s="76" customFormat="1" ht="35.1" customHeight="1" x14ac:dyDescent="0.15"/>
    <row r="57882" s="76" customFormat="1" ht="21.95" customHeight="1" x14ac:dyDescent="0.15"/>
    <row r="57883" s="76" customFormat="1" ht="21.95" customHeight="1" x14ac:dyDescent="0.15"/>
    <row r="57884" s="76" customFormat="1" ht="21.95" customHeight="1" x14ac:dyDescent="0.15"/>
    <row r="57885" s="76" customFormat="1" ht="21.95" customHeight="1" x14ac:dyDescent="0.15"/>
    <row r="57886" s="76" customFormat="1" ht="21.95" customHeight="1" x14ac:dyDescent="0.15"/>
    <row r="57887" s="76" customFormat="1" ht="21.95" customHeight="1" x14ac:dyDescent="0.15"/>
    <row r="57888" s="76" customFormat="1" ht="21.95" customHeight="1" x14ac:dyDescent="0.15"/>
    <row r="57889" s="76" customFormat="1" ht="21.95" customHeight="1" x14ac:dyDescent="0.15"/>
    <row r="57890" s="76" customFormat="1" ht="21.95" customHeight="1" x14ac:dyDescent="0.15"/>
    <row r="57891" s="76" customFormat="1" ht="21.95" customHeight="1" x14ac:dyDescent="0.15"/>
    <row r="57892" s="76" customFormat="1" ht="21.95" customHeight="1" x14ac:dyDescent="0.15"/>
    <row r="57893" s="76" customFormat="1" ht="21.95" customHeight="1" x14ac:dyDescent="0.15"/>
    <row r="57894" s="76" customFormat="1" ht="21.95" customHeight="1" x14ac:dyDescent="0.15"/>
    <row r="57895" s="76" customFormat="1" ht="21.95" customHeight="1" x14ac:dyDescent="0.15"/>
    <row r="57896" s="76" customFormat="1" ht="21.95" customHeight="1" x14ac:dyDescent="0.15"/>
    <row r="57897" s="76" customFormat="1" ht="21.95" customHeight="1" x14ac:dyDescent="0.15"/>
    <row r="57898" s="76" customFormat="1" ht="21.95" customHeight="1" x14ac:dyDescent="0.15"/>
    <row r="57899" s="76" customFormat="1" ht="21.95" customHeight="1" x14ac:dyDescent="0.15"/>
    <row r="57900" s="76" customFormat="1" ht="21.95" customHeight="1" x14ac:dyDescent="0.15"/>
    <row r="57901" s="76" customFormat="1" ht="21.95" customHeight="1" x14ac:dyDescent="0.15"/>
    <row r="57902" s="76" customFormat="1" ht="21.95" customHeight="1" x14ac:dyDescent="0.15"/>
    <row r="57903" s="76" customFormat="1" ht="21.95" customHeight="1" x14ac:dyDescent="0.15"/>
    <row r="57904" s="76" customFormat="1" ht="21.95" customHeight="1" x14ac:dyDescent="0.15"/>
    <row r="57905" spans="3:3" customFormat="1" ht="21.95" customHeight="1" x14ac:dyDescent="0.15"/>
    <row r="57906" spans="3:3" customFormat="1" ht="21.95" customHeight="1" x14ac:dyDescent="0.15"/>
    <row r="57907" spans="3:3" customFormat="1" ht="21.95" customHeight="1" x14ac:dyDescent="0.15">
      <c r="C57907" s="94"/>
    </row>
    <row r="57908" spans="3:3" customFormat="1" ht="21.95" customHeight="1" x14ac:dyDescent="0.15">
      <c r="C57908" s="94"/>
    </row>
    <row r="57909" spans="3:3" customFormat="1" ht="21.95" customHeight="1" x14ac:dyDescent="0.15"/>
    <row r="57910" spans="3:3" customFormat="1" ht="21.95" customHeight="1" x14ac:dyDescent="0.15"/>
    <row r="57911" spans="3:3" customFormat="1" ht="21.95" customHeight="1" x14ac:dyDescent="0.15"/>
    <row r="57912" spans="3:3" customFormat="1" ht="21.95" customHeight="1" x14ac:dyDescent="0.15"/>
    <row r="57913" spans="3:3" customFormat="1" ht="21.95" customHeight="1" x14ac:dyDescent="0.15"/>
    <row r="57914" spans="3:3" customFormat="1" ht="21.95" customHeight="1" x14ac:dyDescent="0.15"/>
    <row r="57915" spans="3:3" customFormat="1" ht="21.95" customHeight="1" x14ac:dyDescent="0.15"/>
    <row r="57916" spans="3:3" s="76" customFormat="1" ht="21.95" customHeight="1" x14ac:dyDescent="0.15"/>
    <row r="57917" spans="3:3" s="76" customFormat="1" ht="21.95" customHeight="1" x14ac:dyDescent="0.15"/>
    <row r="57918" spans="3:3" s="76" customFormat="1" ht="21.95" customHeight="1" x14ac:dyDescent="0.15"/>
    <row r="57919" spans="3:3" s="76" customFormat="1" ht="21.95" customHeight="1" x14ac:dyDescent="0.15"/>
    <row r="57920" spans="3:3" customFormat="1" ht="21.95" customHeight="1" x14ac:dyDescent="0.15"/>
    <row r="57921" customFormat="1" ht="21.95" customHeight="1" x14ac:dyDescent="0.15"/>
    <row r="57922" customFormat="1" ht="21.95" customHeight="1" x14ac:dyDescent="0.15"/>
    <row r="57923" customFormat="1" ht="21.95" customHeight="1" x14ac:dyDescent="0.15"/>
    <row r="57924" customFormat="1" ht="21.95" customHeight="1" x14ac:dyDescent="0.15"/>
    <row r="57925" customFormat="1" ht="21.95" customHeight="1" x14ac:dyDescent="0.15"/>
    <row r="57926" customFormat="1" ht="21.95" customHeight="1" x14ac:dyDescent="0.15"/>
    <row r="57927" customFormat="1" ht="21.95" customHeight="1" x14ac:dyDescent="0.15"/>
    <row r="57928" customFormat="1" ht="21.95" customHeight="1" x14ac:dyDescent="0.15"/>
    <row r="57929" customFormat="1" ht="21.95" customHeight="1" x14ac:dyDescent="0.15"/>
    <row r="57930" customFormat="1" ht="21.95" customHeight="1" x14ac:dyDescent="0.15"/>
    <row r="57931" customFormat="1" ht="32.1" customHeight="1" x14ac:dyDescent="0.15"/>
    <row r="57932" customFormat="1" ht="32.1" customHeight="1" x14ac:dyDescent="0.15"/>
    <row r="57933" customFormat="1" ht="32.1" customHeight="1" x14ac:dyDescent="0.15"/>
    <row r="57934" customFormat="1" ht="32.1" customHeight="1" x14ac:dyDescent="0.15"/>
    <row r="57935" customFormat="1" ht="32.1" customHeight="1" x14ac:dyDescent="0.15"/>
    <row r="57936" customFormat="1" ht="32.1" customHeight="1" x14ac:dyDescent="0.15"/>
    <row r="57937" s="76" customFormat="1" ht="32.1" customHeight="1" x14ac:dyDescent="0.15"/>
    <row r="57938" s="76" customFormat="1" ht="32.1" customHeight="1" x14ac:dyDescent="0.15"/>
    <row r="57939" s="76" customFormat="1" ht="32.1" customHeight="1" x14ac:dyDescent="0.15"/>
    <row r="57940" s="76" customFormat="1" ht="32.1" customHeight="1" x14ac:dyDescent="0.15"/>
    <row r="57941" s="76" customFormat="1" ht="21.95" customHeight="1" x14ac:dyDescent="0.15"/>
    <row r="57942" s="76" customFormat="1" ht="54" customHeight="1" x14ac:dyDescent="0.15"/>
    <row r="57943" s="76" customFormat="1" ht="21.95" customHeight="1" x14ac:dyDescent="0.15"/>
    <row r="57944" s="76" customFormat="1" ht="21.95" customHeight="1" x14ac:dyDescent="0.15"/>
    <row r="57945" s="76" customFormat="1" ht="21.95" customHeight="1" x14ac:dyDescent="0.15"/>
    <row r="57946" s="76" customFormat="1" ht="21.95" customHeight="1" x14ac:dyDescent="0.15"/>
    <row r="57947" s="76" customFormat="1" ht="21.95" customHeight="1" x14ac:dyDescent="0.15"/>
    <row r="57948" s="76" customFormat="1" ht="21.95" customHeight="1" x14ac:dyDescent="0.15"/>
    <row r="57949" s="76" customFormat="1" ht="21.95" customHeight="1" x14ac:dyDescent="0.15"/>
    <row r="57950" s="76" customFormat="1" ht="21.95" customHeight="1" x14ac:dyDescent="0.15"/>
    <row r="57951" s="76" customFormat="1" ht="21.95" customHeight="1" x14ac:dyDescent="0.15"/>
    <row r="57952" s="76" customFormat="1" ht="21.95" customHeight="1" x14ac:dyDescent="0.15"/>
    <row r="57953" s="76" customFormat="1" ht="21.95" customHeight="1" x14ac:dyDescent="0.15"/>
    <row r="57954" s="76" customFormat="1" ht="21.95" customHeight="1" x14ac:dyDescent="0.15"/>
    <row r="57955" s="76" customFormat="1" ht="21.95" customHeight="1" x14ac:dyDescent="0.15"/>
    <row r="57956" s="76" customFormat="1" ht="21.95" customHeight="1" x14ac:dyDescent="0.15"/>
    <row r="57957" s="76" customFormat="1" ht="21.95" customHeight="1" x14ac:dyDescent="0.15"/>
    <row r="57958" s="76" customFormat="1" ht="21.95" customHeight="1" x14ac:dyDescent="0.15"/>
    <row r="57959" s="76" customFormat="1" ht="21.95" customHeight="1" x14ac:dyDescent="0.15"/>
    <row r="57960" s="76" customFormat="1" ht="21.95" customHeight="1" x14ac:dyDescent="0.15"/>
    <row r="57961" s="76" customFormat="1" ht="21.95" customHeight="1" x14ac:dyDescent="0.15"/>
    <row r="57962" s="76" customFormat="1" ht="21.95" customHeight="1" x14ac:dyDescent="0.15"/>
    <row r="57963" s="76" customFormat="1" ht="21.95" customHeight="1" x14ac:dyDescent="0.15"/>
    <row r="57964" s="76" customFormat="1" ht="21.95" customHeight="1" x14ac:dyDescent="0.15"/>
    <row r="57965" s="76" customFormat="1" ht="21.95" customHeight="1" x14ac:dyDescent="0.15"/>
    <row r="57966" s="76" customFormat="1" ht="21.95" customHeight="1" x14ac:dyDescent="0.15"/>
    <row r="57967" s="76" customFormat="1" ht="21.95" customHeight="1" x14ac:dyDescent="0.15"/>
    <row r="57968" s="76" customFormat="1" ht="21.95" customHeight="1" x14ac:dyDescent="0.15"/>
    <row r="57969" s="76" customFormat="1" ht="21.95" customHeight="1" x14ac:dyDescent="0.15"/>
    <row r="57970" s="76" customFormat="1" ht="21.95" customHeight="1" x14ac:dyDescent="0.15"/>
    <row r="57971" s="76" customFormat="1" ht="21.95" customHeight="1" x14ac:dyDescent="0.15"/>
    <row r="57972" s="76" customFormat="1" ht="21.95" customHeight="1" x14ac:dyDescent="0.15"/>
    <row r="57973" s="76" customFormat="1" ht="21.95" customHeight="1" x14ac:dyDescent="0.15"/>
    <row r="57974" s="76" customFormat="1" ht="21.95" customHeight="1" x14ac:dyDescent="0.15"/>
    <row r="57975" s="76" customFormat="1" ht="21.95" customHeight="1" x14ac:dyDescent="0.15"/>
    <row r="57976" s="76" customFormat="1" ht="21.95" customHeight="1" x14ac:dyDescent="0.15"/>
    <row r="57977" s="76" customFormat="1" ht="21.95" customHeight="1" x14ac:dyDescent="0.15"/>
    <row r="57978" s="76" customFormat="1" ht="21.95" customHeight="1" x14ac:dyDescent="0.15"/>
    <row r="57979" s="76" customFormat="1" ht="21.95" customHeight="1" x14ac:dyDescent="0.15"/>
    <row r="57980" s="76" customFormat="1" ht="21.95" customHeight="1" x14ac:dyDescent="0.15"/>
    <row r="57981" s="76" customFormat="1" ht="21.95" customHeight="1" x14ac:dyDescent="0.15"/>
    <row r="57982" s="76" customFormat="1" ht="21.95" customHeight="1" x14ac:dyDescent="0.15"/>
    <row r="57983" s="76" customFormat="1" ht="21.95" customHeight="1" x14ac:dyDescent="0.15"/>
    <row r="57984" s="76" customFormat="1" ht="21.95" customHeight="1" x14ac:dyDescent="0.15"/>
    <row r="57985" s="76" customFormat="1" ht="21.95" customHeight="1" x14ac:dyDescent="0.15"/>
    <row r="57986" s="76" customFormat="1" ht="21.95" customHeight="1" x14ac:dyDescent="0.15"/>
    <row r="57987" s="76" customFormat="1" ht="21.95" customHeight="1" x14ac:dyDescent="0.15"/>
    <row r="57988" s="76" customFormat="1" ht="21.95" customHeight="1" x14ac:dyDescent="0.15"/>
    <row r="57989" s="76" customFormat="1" ht="21.95" customHeight="1" x14ac:dyDescent="0.15"/>
    <row r="57990" s="76" customFormat="1" ht="21.95" customHeight="1" x14ac:dyDescent="0.15"/>
    <row r="57991" s="76" customFormat="1" ht="21.95" customHeight="1" x14ac:dyDescent="0.15"/>
    <row r="57992" s="76" customFormat="1" ht="21.95" customHeight="1" x14ac:dyDescent="0.15"/>
    <row r="57993" s="76" customFormat="1" ht="35.1" customHeight="1" x14ac:dyDescent="0.15"/>
    <row r="57994" s="76" customFormat="1" ht="21.95" customHeight="1" x14ac:dyDescent="0.15"/>
    <row r="57995" s="76" customFormat="1" ht="21.95" customHeight="1" x14ac:dyDescent="0.15"/>
    <row r="57996" s="76" customFormat="1" ht="21.95" customHeight="1" x14ac:dyDescent="0.15"/>
    <row r="57997" s="76" customFormat="1" ht="21.95" customHeight="1" x14ac:dyDescent="0.15"/>
    <row r="57998" s="76" customFormat="1" ht="21.95" customHeight="1" x14ac:dyDescent="0.15"/>
    <row r="57999" s="76" customFormat="1" ht="21.95" customHeight="1" x14ac:dyDescent="0.15"/>
    <row r="58000" s="76" customFormat="1" ht="21.95" customHeight="1" x14ac:dyDescent="0.15"/>
    <row r="58001" s="76" customFormat="1" ht="21.95" customHeight="1" x14ac:dyDescent="0.15"/>
    <row r="58002" s="76" customFormat="1" ht="21.95" customHeight="1" x14ac:dyDescent="0.15"/>
    <row r="58003" s="76" customFormat="1" ht="21.95" customHeight="1" x14ac:dyDescent="0.15"/>
    <row r="58004" s="76" customFormat="1" ht="21.95" customHeight="1" x14ac:dyDescent="0.15"/>
    <row r="58005" s="76" customFormat="1" ht="21.95" customHeight="1" x14ac:dyDescent="0.15"/>
    <row r="58006" s="76" customFormat="1" ht="21.95" customHeight="1" x14ac:dyDescent="0.15"/>
    <row r="58007" s="76" customFormat="1" ht="21.95" customHeight="1" x14ac:dyDescent="0.15"/>
    <row r="58008" s="76" customFormat="1" ht="21.95" customHeight="1" x14ac:dyDescent="0.15"/>
    <row r="58009" s="76" customFormat="1" ht="21.95" customHeight="1" x14ac:dyDescent="0.15"/>
    <row r="58010" s="76" customFormat="1" ht="21.95" customHeight="1" x14ac:dyDescent="0.15"/>
    <row r="58011" s="76" customFormat="1" ht="21.95" customHeight="1" x14ac:dyDescent="0.15"/>
    <row r="58012" s="76" customFormat="1" ht="21.95" customHeight="1" x14ac:dyDescent="0.15"/>
    <row r="58013" s="76" customFormat="1" ht="21.95" customHeight="1" x14ac:dyDescent="0.15"/>
    <row r="58014" s="76" customFormat="1" ht="21.95" customHeight="1" x14ac:dyDescent="0.15"/>
    <row r="58015" s="76" customFormat="1" ht="21.95" customHeight="1" x14ac:dyDescent="0.15"/>
    <row r="58016" s="76" customFormat="1" ht="21.95" customHeight="1" x14ac:dyDescent="0.15"/>
    <row r="58017" spans="3:3" customFormat="1" ht="21.95" customHeight="1" x14ac:dyDescent="0.15"/>
    <row r="58018" spans="3:3" customFormat="1" ht="21.95" customHeight="1" x14ac:dyDescent="0.15"/>
    <row r="58019" spans="3:3" customFormat="1" ht="21.95" customHeight="1" x14ac:dyDescent="0.15">
      <c r="C58019" s="94"/>
    </row>
    <row r="58020" spans="3:3" customFormat="1" ht="21.95" customHeight="1" x14ac:dyDescent="0.15">
      <c r="C58020" s="94"/>
    </row>
    <row r="58021" spans="3:3" customFormat="1" ht="21.95" customHeight="1" x14ac:dyDescent="0.15"/>
    <row r="58022" spans="3:3" customFormat="1" ht="21.95" customHeight="1" x14ac:dyDescent="0.15"/>
    <row r="58023" spans="3:3" customFormat="1" ht="21.95" customHeight="1" x14ac:dyDescent="0.15"/>
    <row r="58024" spans="3:3" customFormat="1" ht="21.95" customHeight="1" x14ac:dyDescent="0.15"/>
    <row r="58025" spans="3:3" customFormat="1" ht="21.95" customHeight="1" x14ac:dyDescent="0.15"/>
    <row r="58026" spans="3:3" customFormat="1" ht="21.95" customHeight="1" x14ac:dyDescent="0.15"/>
    <row r="58027" spans="3:3" customFormat="1" ht="21.95" customHeight="1" x14ac:dyDescent="0.15"/>
    <row r="58028" spans="3:3" s="76" customFormat="1" ht="21.95" customHeight="1" x14ac:dyDescent="0.15"/>
    <row r="58029" spans="3:3" s="76" customFormat="1" ht="21.95" customHeight="1" x14ac:dyDescent="0.15"/>
    <row r="58030" spans="3:3" s="76" customFormat="1" ht="21.95" customHeight="1" x14ac:dyDescent="0.15"/>
    <row r="58031" spans="3:3" s="76" customFormat="1" ht="21.95" customHeight="1" x14ac:dyDescent="0.15"/>
    <row r="58032" spans="3:3" customFormat="1" ht="21.95" customHeight="1" x14ac:dyDescent="0.15"/>
    <row r="58033" customFormat="1" ht="21.95" customHeight="1" x14ac:dyDescent="0.15"/>
    <row r="58034" customFormat="1" ht="21.95" customHeight="1" x14ac:dyDescent="0.15"/>
    <row r="58035" customFormat="1" ht="21.95" customHeight="1" x14ac:dyDescent="0.15"/>
    <row r="58036" customFormat="1" ht="21.95" customHeight="1" x14ac:dyDescent="0.15"/>
    <row r="58037" customFormat="1" ht="21.95" customHeight="1" x14ac:dyDescent="0.15"/>
    <row r="58038" customFormat="1" ht="21.95" customHeight="1" x14ac:dyDescent="0.15"/>
    <row r="58039" customFormat="1" ht="21.95" customHeight="1" x14ac:dyDescent="0.15"/>
    <row r="58040" customFormat="1" ht="21.95" customHeight="1" x14ac:dyDescent="0.15"/>
    <row r="58041" customFormat="1" ht="21.95" customHeight="1" x14ac:dyDescent="0.15"/>
    <row r="58042" customFormat="1" ht="21.95" customHeight="1" x14ac:dyDescent="0.15"/>
    <row r="58043" customFormat="1" ht="32.1" customHeight="1" x14ac:dyDescent="0.15"/>
    <row r="58044" customFormat="1" ht="32.1" customHeight="1" x14ac:dyDescent="0.15"/>
    <row r="58045" customFormat="1" ht="32.1" customHeight="1" x14ac:dyDescent="0.15"/>
    <row r="58046" customFormat="1" ht="32.1" customHeight="1" x14ac:dyDescent="0.15"/>
    <row r="58047" customFormat="1" ht="32.1" customHeight="1" x14ac:dyDescent="0.15"/>
    <row r="58048" customFormat="1" ht="32.1" customHeight="1" x14ac:dyDescent="0.15"/>
    <row r="58049" s="76" customFormat="1" ht="32.1" customHeight="1" x14ac:dyDescent="0.15"/>
    <row r="58050" s="76" customFormat="1" ht="32.1" customHeight="1" x14ac:dyDescent="0.15"/>
    <row r="58051" s="76" customFormat="1" ht="32.1" customHeight="1" x14ac:dyDescent="0.15"/>
    <row r="58052" s="76" customFormat="1" ht="32.1" customHeight="1" x14ac:dyDescent="0.15"/>
    <row r="58053" s="76" customFormat="1" ht="21.95" customHeight="1" x14ac:dyDescent="0.15"/>
    <row r="58054" s="76" customFormat="1" ht="54" customHeight="1" x14ac:dyDescent="0.15"/>
    <row r="58055" s="76" customFormat="1" ht="21.95" customHeight="1" x14ac:dyDescent="0.15"/>
    <row r="58056" s="76" customFormat="1" ht="21.95" customHeight="1" x14ac:dyDescent="0.15"/>
    <row r="58057" s="76" customFormat="1" ht="21.95" customHeight="1" x14ac:dyDescent="0.15"/>
    <row r="58058" s="76" customFormat="1" ht="21.95" customHeight="1" x14ac:dyDescent="0.15"/>
    <row r="58059" s="76" customFormat="1" ht="21.95" customHeight="1" x14ac:dyDescent="0.15"/>
    <row r="58060" s="76" customFormat="1" ht="21.95" customHeight="1" x14ac:dyDescent="0.15"/>
    <row r="58061" s="76" customFormat="1" ht="21.95" customHeight="1" x14ac:dyDescent="0.15"/>
    <row r="58062" s="76" customFormat="1" ht="21.95" customHeight="1" x14ac:dyDescent="0.15"/>
    <row r="58063" s="76" customFormat="1" ht="21.95" customHeight="1" x14ac:dyDescent="0.15"/>
    <row r="58064" s="76" customFormat="1" ht="21.95" customHeight="1" x14ac:dyDescent="0.15"/>
    <row r="58065" s="76" customFormat="1" ht="21.95" customHeight="1" x14ac:dyDescent="0.15"/>
    <row r="58066" s="76" customFormat="1" ht="21.95" customHeight="1" x14ac:dyDescent="0.15"/>
    <row r="58067" s="76" customFormat="1" ht="21.95" customHeight="1" x14ac:dyDescent="0.15"/>
    <row r="58068" s="76" customFormat="1" ht="21.95" customHeight="1" x14ac:dyDescent="0.15"/>
    <row r="58069" s="76" customFormat="1" ht="21.95" customHeight="1" x14ac:dyDescent="0.15"/>
    <row r="58070" s="76" customFormat="1" ht="21.95" customHeight="1" x14ac:dyDescent="0.15"/>
    <row r="58071" s="76" customFormat="1" ht="21.95" customHeight="1" x14ac:dyDescent="0.15"/>
    <row r="58072" s="76" customFormat="1" ht="21.95" customHeight="1" x14ac:dyDescent="0.15"/>
    <row r="58073" s="76" customFormat="1" ht="21.95" customHeight="1" x14ac:dyDescent="0.15"/>
    <row r="58074" s="76" customFormat="1" ht="21.95" customHeight="1" x14ac:dyDescent="0.15"/>
    <row r="58075" s="76" customFormat="1" ht="21.95" customHeight="1" x14ac:dyDescent="0.15"/>
    <row r="58076" s="76" customFormat="1" ht="21.95" customHeight="1" x14ac:dyDescent="0.15"/>
    <row r="58077" s="76" customFormat="1" ht="21.95" customHeight="1" x14ac:dyDescent="0.15"/>
    <row r="58078" s="76" customFormat="1" ht="21.95" customHeight="1" x14ac:dyDescent="0.15"/>
    <row r="58079" s="76" customFormat="1" ht="21.95" customHeight="1" x14ac:dyDescent="0.15"/>
    <row r="58080" s="76" customFormat="1" ht="21.95" customHeight="1" x14ac:dyDescent="0.15"/>
    <row r="58081" s="76" customFormat="1" ht="21.95" customHeight="1" x14ac:dyDescent="0.15"/>
    <row r="58082" s="76" customFormat="1" ht="21.95" customHeight="1" x14ac:dyDescent="0.15"/>
    <row r="58083" s="76" customFormat="1" ht="21.95" customHeight="1" x14ac:dyDescent="0.15"/>
    <row r="58084" s="76" customFormat="1" ht="21.95" customHeight="1" x14ac:dyDescent="0.15"/>
    <row r="58085" s="76" customFormat="1" ht="21.95" customHeight="1" x14ac:dyDescent="0.15"/>
    <row r="58086" s="76" customFormat="1" ht="21.95" customHeight="1" x14ac:dyDescent="0.15"/>
    <row r="58087" s="76" customFormat="1" ht="21.95" customHeight="1" x14ac:dyDescent="0.15"/>
    <row r="58088" s="76" customFormat="1" ht="21.95" customHeight="1" x14ac:dyDescent="0.15"/>
    <row r="58089" s="76" customFormat="1" ht="21.95" customHeight="1" x14ac:dyDescent="0.15"/>
    <row r="58090" s="76" customFormat="1" ht="21.95" customHeight="1" x14ac:dyDescent="0.15"/>
    <row r="58091" s="76" customFormat="1" ht="21.95" customHeight="1" x14ac:dyDescent="0.15"/>
    <row r="58092" s="76" customFormat="1" ht="21.95" customHeight="1" x14ac:dyDescent="0.15"/>
    <row r="58093" s="76" customFormat="1" ht="21.95" customHeight="1" x14ac:dyDescent="0.15"/>
    <row r="58094" s="76" customFormat="1" ht="21.95" customHeight="1" x14ac:dyDescent="0.15"/>
    <row r="58095" s="76" customFormat="1" ht="21.95" customHeight="1" x14ac:dyDescent="0.15"/>
    <row r="58096" s="76" customFormat="1" ht="21.95" customHeight="1" x14ac:dyDescent="0.15"/>
    <row r="58097" s="76" customFormat="1" ht="21.95" customHeight="1" x14ac:dyDescent="0.15"/>
    <row r="58098" s="76" customFormat="1" ht="21.95" customHeight="1" x14ac:dyDescent="0.15"/>
    <row r="58099" s="76" customFormat="1" ht="21.95" customHeight="1" x14ac:dyDescent="0.15"/>
    <row r="58100" s="76" customFormat="1" ht="21.95" customHeight="1" x14ac:dyDescent="0.15"/>
    <row r="58101" s="76" customFormat="1" ht="21.95" customHeight="1" x14ac:dyDescent="0.15"/>
    <row r="58102" s="76" customFormat="1" ht="21.95" customHeight="1" x14ac:dyDescent="0.15"/>
    <row r="58103" s="76" customFormat="1" ht="21.95" customHeight="1" x14ac:dyDescent="0.15"/>
    <row r="58104" s="76" customFormat="1" ht="21.95" customHeight="1" x14ac:dyDescent="0.15"/>
    <row r="58105" s="76" customFormat="1" ht="35.1" customHeight="1" x14ac:dyDescent="0.15"/>
    <row r="58106" s="76" customFormat="1" ht="21.95" customHeight="1" x14ac:dyDescent="0.15"/>
    <row r="58107" s="76" customFormat="1" ht="21.95" customHeight="1" x14ac:dyDescent="0.15"/>
    <row r="58108" s="76" customFormat="1" ht="21.95" customHeight="1" x14ac:dyDescent="0.15"/>
    <row r="58109" s="76" customFormat="1" ht="21.95" customHeight="1" x14ac:dyDescent="0.15"/>
    <row r="58110" s="76" customFormat="1" ht="21.95" customHeight="1" x14ac:dyDescent="0.15"/>
    <row r="58111" s="76" customFormat="1" ht="21.95" customHeight="1" x14ac:dyDescent="0.15"/>
    <row r="58112" s="76" customFormat="1" ht="21.95" customHeight="1" x14ac:dyDescent="0.15"/>
    <row r="58113" s="76" customFormat="1" ht="21.95" customHeight="1" x14ac:dyDescent="0.15"/>
    <row r="58114" s="76" customFormat="1" ht="21.95" customHeight="1" x14ac:dyDescent="0.15"/>
    <row r="58115" s="76" customFormat="1" ht="21.95" customHeight="1" x14ac:dyDescent="0.15"/>
    <row r="58116" s="76" customFormat="1" ht="21.95" customHeight="1" x14ac:dyDescent="0.15"/>
    <row r="58117" s="76" customFormat="1" ht="21.95" customHeight="1" x14ac:dyDescent="0.15"/>
    <row r="58118" s="76" customFormat="1" ht="21.95" customHeight="1" x14ac:dyDescent="0.15"/>
    <row r="58119" s="76" customFormat="1" ht="21.95" customHeight="1" x14ac:dyDescent="0.15"/>
    <row r="58120" s="76" customFormat="1" ht="21.95" customHeight="1" x14ac:dyDescent="0.15"/>
    <row r="58121" s="76" customFormat="1" ht="21.95" customHeight="1" x14ac:dyDescent="0.15"/>
    <row r="58122" s="76" customFormat="1" ht="21.95" customHeight="1" x14ac:dyDescent="0.15"/>
    <row r="58123" s="76" customFormat="1" ht="21.95" customHeight="1" x14ac:dyDescent="0.15"/>
    <row r="58124" s="76" customFormat="1" ht="21.95" customHeight="1" x14ac:dyDescent="0.15"/>
    <row r="58125" s="76" customFormat="1" ht="21.95" customHeight="1" x14ac:dyDescent="0.15"/>
    <row r="58126" s="76" customFormat="1" ht="21.95" customHeight="1" x14ac:dyDescent="0.15"/>
    <row r="58127" s="76" customFormat="1" ht="21.95" customHeight="1" x14ac:dyDescent="0.15"/>
    <row r="58128" s="76" customFormat="1" ht="21.95" customHeight="1" x14ac:dyDescent="0.15"/>
    <row r="58129" spans="3:3" customFormat="1" ht="21.95" customHeight="1" x14ac:dyDescent="0.15"/>
    <row r="58130" spans="3:3" customFormat="1" ht="21.95" customHeight="1" x14ac:dyDescent="0.15"/>
    <row r="58131" spans="3:3" customFormat="1" ht="21.95" customHeight="1" x14ac:dyDescent="0.15">
      <c r="C58131" s="94"/>
    </row>
    <row r="58132" spans="3:3" customFormat="1" ht="21.95" customHeight="1" x14ac:dyDescent="0.15">
      <c r="C58132" s="94"/>
    </row>
    <row r="58133" spans="3:3" customFormat="1" ht="21.95" customHeight="1" x14ac:dyDescent="0.15"/>
    <row r="58134" spans="3:3" customFormat="1" ht="21.95" customHeight="1" x14ac:dyDescent="0.15"/>
    <row r="58135" spans="3:3" customFormat="1" ht="21.95" customHeight="1" x14ac:dyDescent="0.15"/>
    <row r="58136" spans="3:3" customFormat="1" ht="21.95" customHeight="1" x14ac:dyDescent="0.15"/>
    <row r="58137" spans="3:3" customFormat="1" ht="21.95" customHeight="1" x14ac:dyDescent="0.15"/>
    <row r="58138" spans="3:3" customFormat="1" ht="21.95" customHeight="1" x14ac:dyDescent="0.15"/>
    <row r="58139" spans="3:3" customFormat="1" ht="21.95" customHeight="1" x14ac:dyDescent="0.15"/>
    <row r="58140" spans="3:3" s="76" customFormat="1" ht="21.95" customHeight="1" x14ac:dyDescent="0.15"/>
    <row r="58141" spans="3:3" s="76" customFormat="1" ht="21.95" customHeight="1" x14ac:dyDescent="0.15"/>
    <row r="58142" spans="3:3" s="76" customFormat="1" ht="21.95" customHeight="1" x14ac:dyDescent="0.15"/>
    <row r="58143" spans="3:3" s="76" customFormat="1" ht="21.95" customHeight="1" x14ac:dyDescent="0.15"/>
    <row r="58144" spans="3:3" customFormat="1" ht="21.95" customHeight="1" x14ac:dyDescent="0.15"/>
    <row r="58145" customFormat="1" ht="21.95" customHeight="1" x14ac:dyDescent="0.15"/>
    <row r="58146" customFormat="1" ht="21.95" customHeight="1" x14ac:dyDescent="0.15"/>
    <row r="58147" customFormat="1" ht="21.95" customHeight="1" x14ac:dyDescent="0.15"/>
    <row r="58148" customFormat="1" ht="21.95" customHeight="1" x14ac:dyDescent="0.15"/>
    <row r="58149" customFormat="1" ht="21.95" customHeight="1" x14ac:dyDescent="0.15"/>
    <row r="58150" customFormat="1" ht="21.95" customHeight="1" x14ac:dyDescent="0.15"/>
    <row r="58151" customFormat="1" ht="21.95" customHeight="1" x14ac:dyDescent="0.15"/>
    <row r="58152" customFormat="1" ht="21.95" customHeight="1" x14ac:dyDescent="0.15"/>
    <row r="58153" customFormat="1" ht="21.95" customHeight="1" x14ac:dyDescent="0.15"/>
    <row r="58154" customFormat="1" ht="21.95" customHeight="1" x14ac:dyDescent="0.15"/>
    <row r="58155" customFormat="1" ht="32.1" customHeight="1" x14ac:dyDescent="0.15"/>
    <row r="58156" customFormat="1" ht="32.1" customHeight="1" x14ac:dyDescent="0.15"/>
    <row r="58157" customFormat="1" ht="32.1" customHeight="1" x14ac:dyDescent="0.15"/>
    <row r="58158" customFormat="1" ht="32.1" customHeight="1" x14ac:dyDescent="0.15"/>
    <row r="58159" customFormat="1" ht="32.1" customHeight="1" x14ac:dyDescent="0.15"/>
    <row r="58160" customFormat="1" ht="32.1" customHeight="1" x14ac:dyDescent="0.15"/>
    <row r="58161" s="76" customFormat="1" ht="32.1" customHeight="1" x14ac:dyDescent="0.15"/>
    <row r="58162" s="76" customFormat="1" ht="32.1" customHeight="1" x14ac:dyDescent="0.15"/>
    <row r="58163" s="76" customFormat="1" ht="32.1" customHeight="1" x14ac:dyDescent="0.15"/>
    <row r="58164" s="76" customFormat="1" ht="32.1" customHeight="1" x14ac:dyDescent="0.15"/>
    <row r="58165" s="76" customFormat="1" ht="21.95" customHeight="1" x14ac:dyDescent="0.15"/>
    <row r="58166" s="76" customFormat="1" ht="54" customHeight="1" x14ac:dyDescent="0.15"/>
    <row r="58167" s="76" customFormat="1" ht="21.95" customHeight="1" x14ac:dyDescent="0.15"/>
    <row r="58168" s="76" customFormat="1" ht="21.95" customHeight="1" x14ac:dyDescent="0.15"/>
    <row r="58169" s="76" customFormat="1" ht="21.95" customHeight="1" x14ac:dyDescent="0.15"/>
    <row r="58170" s="76" customFormat="1" ht="21.95" customHeight="1" x14ac:dyDescent="0.15"/>
    <row r="58171" s="76" customFormat="1" ht="21.95" customHeight="1" x14ac:dyDescent="0.15"/>
    <row r="58172" s="76" customFormat="1" ht="21.95" customHeight="1" x14ac:dyDescent="0.15"/>
    <row r="58173" s="76" customFormat="1" ht="21.95" customHeight="1" x14ac:dyDescent="0.15"/>
    <row r="58174" s="76" customFormat="1" ht="21.95" customHeight="1" x14ac:dyDescent="0.15"/>
    <row r="58175" s="76" customFormat="1" ht="21.95" customHeight="1" x14ac:dyDescent="0.15"/>
    <row r="58176" s="76" customFormat="1" ht="21.95" customHeight="1" x14ac:dyDescent="0.15"/>
    <row r="58177" s="76" customFormat="1" ht="21.95" customHeight="1" x14ac:dyDescent="0.15"/>
    <row r="58178" s="76" customFormat="1" ht="21.95" customHeight="1" x14ac:dyDescent="0.15"/>
    <row r="58179" s="76" customFormat="1" ht="21.95" customHeight="1" x14ac:dyDescent="0.15"/>
    <row r="58180" s="76" customFormat="1" ht="21.95" customHeight="1" x14ac:dyDescent="0.15"/>
    <row r="58181" s="76" customFormat="1" ht="21.95" customHeight="1" x14ac:dyDescent="0.15"/>
    <row r="58182" s="76" customFormat="1" ht="21.95" customHeight="1" x14ac:dyDescent="0.15"/>
    <row r="58183" s="76" customFormat="1" ht="21.95" customHeight="1" x14ac:dyDescent="0.15"/>
    <row r="58184" s="76" customFormat="1" ht="21.95" customHeight="1" x14ac:dyDescent="0.15"/>
    <row r="58185" s="76" customFormat="1" ht="21.95" customHeight="1" x14ac:dyDescent="0.15"/>
    <row r="58186" s="76" customFormat="1" ht="21.95" customHeight="1" x14ac:dyDescent="0.15"/>
    <row r="58187" s="76" customFormat="1" ht="21.95" customHeight="1" x14ac:dyDescent="0.15"/>
    <row r="58188" s="76" customFormat="1" ht="21.95" customHeight="1" x14ac:dyDescent="0.15"/>
    <row r="58189" s="76" customFormat="1" ht="21.95" customHeight="1" x14ac:dyDescent="0.15"/>
    <row r="58190" s="76" customFormat="1" ht="21.95" customHeight="1" x14ac:dyDescent="0.15"/>
    <row r="58191" s="76" customFormat="1" ht="21.95" customHeight="1" x14ac:dyDescent="0.15"/>
    <row r="58192" s="76" customFormat="1" ht="21.95" customHeight="1" x14ac:dyDescent="0.15"/>
    <row r="58193" s="76" customFormat="1" ht="21.95" customHeight="1" x14ac:dyDescent="0.15"/>
    <row r="58194" s="76" customFormat="1" ht="21.95" customHeight="1" x14ac:dyDescent="0.15"/>
    <row r="58195" s="76" customFormat="1" ht="21.95" customHeight="1" x14ac:dyDescent="0.15"/>
    <row r="58196" s="76" customFormat="1" ht="21.95" customHeight="1" x14ac:dyDescent="0.15"/>
    <row r="58197" s="76" customFormat="1" ht="21.95" customHeight="1" x14ac:dyDescent="0.15"/>
    <row r="58198" s="76" customFormat="1" ht="21.95" customHeight="1" x14ac:dyDescent="0.15"/>
    <row r="58199" s="76" customFormat="1" ht="21.95" customHeight="1" x14ac:dyDescent="0.15"/>
    <row r="58200" s="76" customFormat="1" ht="21.95" customHeight="1" x14ac:dyDescent="0.15"/>
    <row r="58201" s="76" customFormat="1" ht="21.95" customHeight="1" x14ac:dyDescent="0.15"/>
    <row r="58202" s="76" customFormat="1" ht="21.95" customHeight="1" x14ac:dyDescent="0.15"/>
    <row r="58203" s="76" customFormat="1" ht="21.95" customHeight="1" x14ac:dyDescent="0.15"/>
    <row r="58204" s="76" customFormat="1" ht="21.95" customHeight="1" x14ac:dyDescent="0.15"/>
    <row r="58205" s="76" customFormat="1" ht="21.95" customHeight="1" x14ac:dyDescent="0.15"/>
    <row r="58206" s="76" customFormat="1" ht="21.95" customHeight="1" x14ac:dyDescent="0.15"/>
    <row r="58207" s="76" customFormat="1" ht="21.95" customHeight="1" x14ac:dyDescent="0.15"/>
    <row r="58208" s="76" customFormat="1" ht="21.95" customHeight="1" x14ac:dyDescent="0.15"/>
    <row r="58209" s="76" customFormat="1" ht="21.95" customHeight="1" x14ac:dyDescent="0.15"/>
    <row r="58210" s="76" customFormat="1" ht="21.95" customHeight="1" x14ac:dyDescent="0.15"/>
    <row r="58211" s="76" customFormat="1" ht="21.95" customHeight="1" x14ac:dyDescent="0.15"/>
    <row r="58212" s="76" customFormat="1" ht="21.95" customHeight="1" x14ac:dyDescent="0.15"/>
    <row r="58213" s="76" customFormat="1" ht="21.95" customHeight="1" x14ac:dyDescent="0.15"/>
    <row r="58214" s="76" customFormat="1" ht="21.95" customHeight="1" x14ac:dyDescent="0.15"/>
    <row r="58215" s="76" customFormat="1" ht="21.95" customHeight="1" x14ac:dyDescent="0.15"/>
    <row r="58216" s="76" customFormat="1" ht="21.95" customHeight="1" x14ac:dyDescent="0.15"/>
    <row r="58217" s="76" customFormat="1" ht="35.1" customHeight="1" x14ac:dyDescent="0.15"/>
    <row r="58218" s="76" customFormat="1" ht="21.95" customHeight="1" x14ac:dyDescent="0.15"/>
    <row r="58219" s="76" customFormat="1" ht="21.95" customHeight="1" x14ac:dyDescent="0.15"/>
    <row r="58220" s="76" customFormat="1" ht="21.95" customHeight="1" x14ac:dyDescent="0.15"/>
    <row r="58221" s="76" customFormat="1" ht="21.95" customHeight="1" x14ac:dyDescent="0.15"/>
    <row r="58222" s="76" customFormat="1" ht="21.95" customHeight="1" x14ac:dyDescent="0.15"/>
    <row r="58223" s="76" customFormat="1" ht="21.95" customHeight="1" x14ac:dyDescent="0.15"/>
    <row r="58224" s="76" customFormat="1" ht="21.95" customHeight="1" x14ac:dyDescent="0.15"/>
    <row r="58225" s="76" customFormat="1" ht="21.95" customHeight="1" x14ac:dyDescent="0.15"/>
    <row r="58226" s="76" customFormat="1" ht="21.95" customHeight="1" x14ac:dyDescent="0.15"/>
    <row r="58227" s="76" customFormat="1" ht="21.95" customHeight="1" x14ac:dyDescent="0.15"/>
    <row r="58228" s="76" customFormat="1" ht="21.95" customHeight="1" x14ac:dyDescent="0.15"/>
    <row r="58229" s="76" customFormat="1" ht="21.95" customHeight="1" x14ac:dyDescent="0.15"/>
    <row r="58230" s="76" customFormat="1" ht="21.95" customHeight="1" x14ac:dyDescent="0.15"/>
    <row r="58231" s="76" customFormat="1" ht="21.95" customHeight="1" x14ac:dyDescent="0.15"/>
    <row r="58232" s="76" customFormat="1" ht="21.95" customHeight="1" x14ac:dyDescent="0.15"/>
    <row r="58233" s="76" customFormat="1" ht="21.95" customHeight="1" x14ac:dyDescent="0.15"/>
    <row r="58234" s="76" customFormat="1" ht="21.95" customHeight="1" x14ac:dyDescent="0.15"/>
    <row r="58235" s="76" customFormat="1" ht="21.95" customHeight="1" x14ac:dyDescent="0.15"/>
    <row r="58236" s="76" customFormat="1" ht="21.95" customHeight="1" x14ac:dyDescent="0.15"/>
    <row r="58237" s="76" customFormat="1" ht="21.95" customHeight="1" x14ac:dyDescent="0.15"/>
    <row r="58238" s="76" customFormat="1" ht="21.95" customHeight="1" x14ac:dyDescent="0.15"/>
    <row r="58239" s="76" customFormat="1" ht="21.95" customHeight="1" x14ac:dyDescent="0.15"/>
    <row r="58240" s="76" customFormat="1" ht="21.95" customHeight="1" x14ac:dyDescent="0.15"/>
    <row r="58241" spans="3:3" customFormat="1" ht="21.95" customHeight="1" x14ac:dyDescent="0.15"/>
    <row r="58242" spans="3:3" customFormat="1" ht="21.95" customHeight="1" x14ac:dyDescent="0.15"/>
    <row r="58243" spans="3:3" customFormat="1" ht="21.95" customHeight="1" x14ac:dyDescent="0.15">
      <c r="C58243" s="94"/>
    </row>
    <row r="58244" spans="3:3" customFormat="1" ht="21.95" customHeight="1" x14ac:dyDescent="0.15">
      <c r="C58244" s="94"/>
    </row>
    <row r="58245" spans="3:3" customFormat="1" ht="21.95" customHeight="1" x14ac:dyDescent="0.15"/>
    <row r="58246" spans="3:3" customFormat="1" ht="21.95" customHeight="1" x14ac:dyDescent="0.15"/>
    <row r="58247" spans="3:3" customFormat="1" ht="21.95" customHeight="1" x14ac:dyDescent="0.15"/>
    <row r="58248" spans="3:3" customFormat="1" ht="21.95" customHeight="1" x14ac:dyDescent="0.15"/>
    <row r="58249" spans="3:3" customFormat="1" ht="21.95" customHeight="1" x14ac:dyDescent="0.15"/>
    <row r="58250" spans="3:3" customFormat="1" ht="21.95" customHeight="1" x14ac:dyDescent="0.15"/>
    <row r="58251" spans="3:3" customFormat="1" ht="21.95" customHeight="1" x14ac:dyDescent="0.15"/>
    <row r="58252" spans="3:3" s="76" customFormat="1" ht="21.95" customHeight="1" x14ac:dyDescent="0.15"/>
    <row r="58253" spans="3:3" s="76" customFormat="1" ht="21.95" customHeight="1" x14ac:dyDescent="0.15"/>
    <row r="58254" spans="3:3" s="76" customFormat="1" ht="21.95" customHeight="1" x14ac:dyDescent="0.15"/>
    <row r="58255" spans="3:3" s="76" customFormat="1" ht="21.95" customHeight="1" x14ac:dyDescent="0.15"/>
    <row r="58256" spans="3:3" customFormat="1" ht="21.95" customHeight="1" x14ac:dyDescent="0.15"/>
    <row r="58257" customFormat="1" ht="21.95" customHeight="1" x14ac:dyDescent="0.15"/>
    <row r="58258" customFormat="1" ht="21.95" customHeight="1" x14ac:dyDescent="0.15"/>
    <row r="58259" customFormat="1" ht="21.95" customHeight="1" x14ac:dyDescent="0.15"/>
    <row r="58260" customFormat="1" ht="21.95" customHeight="1" x14ac:dyDescent="0.15"/>
    <row r="58261" customFormat="1" ht="21.95" customHeight="1" x14ac:dyDescent="0.15"/>
    <row r="58262" customFormat="1" ht="21.95" customHeight="1" x14ac:dyDescent="0.15"/>
    <row r="58263" customFormat="1" ht="21.95" customHeight="1" x14ac:dyDescent="0.15"/>
    <row r="58264" customFormat="1" ht="21.95" customHeight="1" x14ac:dyDescent="0.15"/>
    <row r="58265" customFormat="1" ht="21.95" customHeight="1" x14ac:dyDescent="0.15"/>
    <row r="58266" customFormat="1" ht="21.95" customHeight="1" x14ac:dyDescent="0.15"/>
    <row r="58267" customFormat="1" ht="32.1" customHeight="1" x14ac:dyDescent="0.15"/>
    <row r="58268" customFormat="1" ht="32.1" customHeight="1" x14ac:dyDescent="0.15"/>
    <row r="58269" customFormat="1" ht="32.1" customHeight="1" x14ac:dyDescent="0.15"/>
    <row r="58270" customFormat="1" ht="32.1" customHeight="1" x14ac:dyDescent="0.15"/>
    <row r="58271" customFormat="1" ht="32.1" customHeight="1" x14ac:dyDescent="0.15"/>
    <row r="58272" customFormat="1" ht="32.1" customHeight="1" x14ac:dyDescent="0.15"/>
    <row r="58273" s="76" customFormat="1" ht="32.1" customHeight="1" x14ac:dyDescent="0.15"/>
    <row r="58274" s="76" customFormat="1" ht="32.1" customHeight="1" x14ac:dyDescent="0.15"/>
    <row r="58275" s="76" customFormat="1" ht="32.1" customHeight="1" x14ac:dyDescent="0.15"/>
    <row r="58276" s="76" customFormat="1" ht="32.1" customHeight="1" x14ac:dyDescent="0.15"/>
    <row r="58277" s="76" customFormat="1" ht="21.95" customHeight="1" x14ac:dyDescent="0.15"/>
    <row r="58278" s="76" customFormat="1" ht="54" customHeight="1" x14ac:dyDescent="0.15"/>
    <row r="58279" s="76" customFormat="1" ht="21.95" customHeight="1" x14ac:dyDescent="0.15"/>
    <row r="58280" s="76" customFormat="1" ht="21.95" customHeight="1" x14ac:dyDescent="0.15"/>
    <row r="58281" s="76" customFormat="1" ht="21.95" customHeight="1" x14ac:dyDescent="0.15"/>
    <row r="58282" s="76" customFormat="1" ht="21.95" customHeight="1" x14ac:dyDescent="0.15"/>
    <row r="58283" s="76" customFormat="1" ht="21.95" customHeight="1" x14ac:dyDescent="0.15"/>
    <row r="58284" s="76" customFormat="1" ht="21.95" customHeight="1" x14ac:dyDescent="0.15"/>
    <row r="58285" s="76" customFormat="1" ht="21.95" customHeight="1" x14ac:dyDescent="0.15"/>
    <row r="58286" s="76" customFormat="1" ht="21.95" customHeight="1" x14ac:dyDescent="0.15"/>
    <row r="58287" s="76" customFormat="1" ht="21.95" customHeight="1" x14ac:dyDescent="0.15"/>
    <row r="58288" s="76" customFormat="1" ht="21.95" customHeight="1" x14ac:dyDescent="0.15"/>
    <row r="58289" s="76" customFormat="1" ht="21.95" customHeight="1" x14ac:dyDescent="0.15"/>
    <row r="58290" s="76" customFormat="1" ht="21.95" customHeight="1" x14ac:dyDescent="0.15"/>
    <row r="58291" s="76" customFormat="1" ht="21.95" customHeight="1" x14ac:dyDescent="0.15"/>
    <row r="58292" s="76" customFormat="1" ht="21.95" customHeight="1" x14ac:dyDescent="0.15"/>
    <row r="58293" s="76" customFormat="1" ht="21.95" customHeight="1" x14ac:dyDescent="0.15"/>
    <row r="58294" s="76" customFormat="1" ht="21.95" customHeight="1" x14ac:dyDescent="0.15"/>
    <row r="58295" s="76" customFormat="1" ht="21.95" customHeight="1" x14ac:dyDescent="0.15"/>
    <row r="58296" s="76" customFormat="1" ht="21.95" customHeight="1" x14ac:dyDescent="0.15"/>
    <row r="58297" s="76" customFormat="1" ht="21.95" customHeight="1" x14ac:dyDescent="0.15"/>
    <row r="58298" s="76" customFormat="1" ht="21.95" customHeight="1" x14ac:dyDescent="0.15"/>
    <row r="58299" s="76" customFormat="1" ht="21.95" customHeight="1" x14ac:dyDescent="0.15"/>
    <row r="58300" s="76" customFormat="1" ht="21.95" customHeight="1" x14ac:dyDescent="0.15"/>
    <row r="58301" s="76" customFormat="1" ht="21.95" customHeight="1" x14ac:dyDescent="0.15"/>
    <row r="58302" s="76" customFormat="1" ht="21.95" customHeight="1" x14ac:dyDescent="0.15"/>
    <row r="58303" s="76" customFormat="1" ht="21.95" customHeight="1" x14ac:dyDescent="0.15"/>
    <row r="58304" s="76" customFormat="1" ht="21.95" customHeight="1" x14ac:dyDescent="0.15"/>
    <row r="58305" s="76" customFormat="1" ht="21.95" customHeight="1" x14ac:dyDescent="0.15"/>
    <row r="58306" s="76" customFormat="1" ht="21.95" customHeight="1" x14ac:dyDescent="0.15"/>
    <row r="58307" s="76" customFormat="1" ht="21.95" customHeight="1" x14ac:dyDescent="0.15"/>
    <row r="58308" s="76" customFormat="1" ht="21.95" customHeight="1" x14ac:dyDescent="0.15"/>
    <row r="58309" s="76" customFormat="1" ht="21.95" customHeight="1" x14ac:dyDescent="0.15"/>
    <row r="58310" s="76" customFormat="1" ht="21.95" customHeight="1" x14ac:dyDescent="0.15"/>
    <row r="58311" s="76" customFormat="1" ht="21.95" customHeight="1" x14ac:dyDescent="0.15"/>
    <row r="58312" s="76" customFormat="1" ht="21.95" customHeight="1" x14ac:dyDescent="0.15"/>
    <row r="58313" s="76" customFormat="1" ht="21.95" customHeight="1" x14ac:dyDescent="0.15"/>
    <row r="58314" s="76" customFormat="1" ht="21.95" customHeight="1" x14ac:dyDescent="0.15"/>
    <row r="58315" s="76" customFormat="1" ht="21.95" customHeight="1" x14ac:dyDescent="0.15"/>
    <row r="58316" s="76" customFormat="1" ht="21.95" customHeight="1" x14ac:dyDescent="0.15"/>
    <row r="58317" s="76" customFormat="1" ht="21.95" customHeight="1" x14ac:dyDescent="0.15"/>
    <row r="58318" s="76" customFormat="1" ht="21.95" customHeight="1" x14ac:dyDescent="0.15"/>
    <row r="58319" s="76" customFormat="1" ht="21.95" customHeight="1" x14ac:dyDescent="0.15"/>
    <row r="58320" s="76" customFormat="1" ht="21.95" customHeight="1" x14ac:dyDescent="0.15"/>
    <row r="58321" s="76" customFormat="1" ht="21.95" customHeight="1" x14ac:dyDescent="0.15"/>
    <row r="58322" s="76" customFormat="1" ht="21.95" customHeight="1" x14ac:dyDescent="0.15"/>
    <row r="58323" s="76" customFormat="1" ht="21.95" customHeight="1" x14ac:dyDescent="0.15"/>
    <row r="58324" s="76" customFormat="1" ht="21.95" customHeight="1" x14ac:dyDescent="0.15"/>
    <row r="58325" s="76" customFormat="1" ht="21.95" customHeight="1" x14ac:dyDescent="0.15"/>
    <row r="58326" s="76" customFormat="1" ht="21.95" customHeight="1" x14ac:dyDescent="0.15"/>
    <row r="58327" s="76" customFormat="1" ht="21.95" customHeight="1" x14ac:dyDescent="0.15"/>
    <row r="58328" s="76" customFormat="1" ht="21.95" customHeight="1" x14ac:dyDescent="0.15"/>
    <row r="58329" s="76" customFormat="1" ht="35.1" customHeight="1" x14ac:dyDescent="0.15"/>
    <row r="58330" s="76" customFormat="1" ht="21.95" customHeight="1" x14ac:dyDescent="0.15"/>
    <row r="58331" s="76" customFormat="1" ht="21.95" customHeight="1" x14ac:dyDescent="0.15"/>
    <row r="58332" s="76" customFormat="1" ht="21.95" customHeight="1" x14ac:dyDescent="0.15"/>
    <row r="58333" s="76" customFormat="1" ht="21.95" customHeight="1" x14ac:dyDescent="0.15"/>
    <row r="58334" s="76" customFormat="1" ht="21.95" customHeight="1" x14ac:dyDescent="0.15"/>
    <row r="58335" s="76" customFormat="1" ht="21.95" customHeight="1" x14ac:dyDescent="0.15"/>
    <row r="58336" s="76" customFormat="1" ht="21.95" customHeight="1" x14ac:dyDescent="0.15"/>
    <row r="58337" s="76" customFormat="1" ht="21.95" customHeight="1" x14ac:dyDescent="0.15"/>
    <row r="58338" s="76" customFormat="1" ht="21.95" customHeight="1" x14ac:dyDescent="0.15"/>
    <row r="58339" s="76" customFormat="1" ht="21.95" customHeight="1" x14ac:dyDescent="0.15"/>
    <row r="58340" s="76" customFormat="1" ht="21.95" customHeight="1" x14ac:dyDescent="0.15"/>
    <row r="58341" s="76" customFormat="1" ht="21.95" customHeight="1" x14ac:dyDescent="0.15"/>
    <row r="58342" s="76" customFormat="1" ht="21.95" customHeight="1" x14ac:dyDescent="0.15"/>
    <row r="58343" s="76" customFormat="1" ht="21.95" customHeight="1" x14ac:dyDescent="0.15"/>
    <row r="58344" s="76" customFormat="1" ht="21.95" customHeight="1" x14ac:dyDescent="0.15"/>
    <row r="58345" s="76" customFormat="1" ht="21.95" customHeight="1" x14ac:dyDescent="0.15"/>
    <row r="58346" s="76" customFormat="1" ht="21.95" customHeight="1" x14ac:dyDescent="0.15"/>
    <row r="58347" s="76" customFormat="1" ht="21.95" customHeight="1" x14ac:dyDescent="0.15"/>
    <row r="58348" s="76" customFormat="1" ht="21.95" customHeight="1" x14ac:dyDescent="0.15"/>
    <row r="58349" s="76" customFormat="1" ht="21.95" customHeight="1" x14ac:dyDescent="0.15"/>
    <row r="58350" s="76" customFormat="1" ht="21.95" customHeight="1" x14ac:dyDescent="0.15"/>
    <row r="58351" s="76" customFormat="1" ht="21.95" customHeight="1" x14ac:dyDescent="0.15"/>
    <row r="58352" s="76" customFormat="1" ht="21.95" customHeight="1" x14ac:dyDescent="0.15"/>
    <row r="58353" spans="3:3" customFormat="1" ht="21.95" customHeight="1" x14ac:dyDescent="0.15"/>
    <row r="58354" spans="3:3" customFormat="1" ht="21.95" customHeight="1" x14ac:dyDescent="0.15"/>
    <row r="58355" spans="3:3" customFormat="1" ht="21.95" customHeight="1" x14ac:dyDescent="0.15">
      <c r="C58355" s="94"/>
    </row>
    <row r="58356" spans="3:3" customFormat="1" ht="21.95" customHeight="1" x14ac:dyDescent="0.15">
      <c r="C58356" s="94"/>
    </row>
    <row r="58357" spans="3:3" customFormat="1" ht="21.95" customHeight="1" x14ac:dyDescent="0.15"/>
    <row r="58358" spans="3:3" customFormat="1" ht="21.95" customHeight="1" x14ac:dyDescent="0.15"/>
    <row r="58359" spans="3:3" customFormat="1" ht="21.95" customHeight="1" x14ac:dyDescent="0.15"/>
    <row r="58360" spans="3:3" customFormat="1" ht="21.95" customHeight="1" x14ac:dyDescent="0.15"/>
    <row r="58361" spans="3:3" customFormat="1" ht="21.95" customHeight="1" x14ac:dyDescent="0.15"/>
    <row r="58362" spans="3:3" customFormat="1" ht="21.95" customHeight="1" x14ac:dyDescent="0.15"/>
    <row r="58363" spans="3:3" customFormat="1" ht="21.95" customHeight="1" x14ac:dyDescent="0.15"/>
    <row r="58364" spans="3:3" s="76" customFormat="1" ht="21.95" customHeight="1" x14ac:dyDescent="0.15"/>
    <row r="58365" spans="3:3" s="76" customFormat="1" ht="21.95" customHeight="1" x14ac:dyDescent="0.15"/>
    <row r="58366" spans="3:3" s="76" customFormat="1" ht="21.95" customHeight="1" x14ac:dyDescent="0.15"/>
    <row r="58367" spans="3:3" s="76" customFormat="1" ht="21.95" customHeight="1" x14ac:dyDescent="0.15"/>
    <row r="58368" spans="3:3" customFormat="1" ht="21.95" customHeight="1" x14ac:dyDescent="0.15"/>
    <row r="58369" customFormat="1" ht="21.95" customHeight="1" x14ac:dyDescent="0.15"/>
    <row r="58370" customFormat="1" ht="21.95" customHeight="1" x14ac:dyDescent="0.15"/>
    <row r="58371" customFormat="1" ht="21.95" customHeight="1" x14ac:dyDescent="0.15"/>
    <row r="58372" customFormat="1" ht="21.95" customHeight="1" x14ac:dyDescent="0.15"/>
    <row r="58373" customFormat="1" ht="21.95" customHeight="1" x14ac:dyDescent="0.15"/>
    <row r="58374" customFormat="1" ht="21.95" customHeight="1" x14ac:dyDescent="0.15"/>
    <row r="58375" customFormat="1" ht="21.95" customHeight="1" x14ac:dyDescent="0.15"/>
    <row r="58376" customFormat="1" ht="21.95" customHeight="1" x14ac:dyDescent="0.15"/>
    <row r="58377" customFormat="1" ht="21.95" customHeight="1" x14ac:dyDescent="0.15"/>
    <row r="58378" customFormat="1" ht="21.95" customHeight="1" x14ac:dyDescent="0.15"/>
    <row r="58379" customFormat="1" ht="32.1" customHeight="1" x14ac:dyDescent="0.15"/>
    <row r="58380" customFormat="1" ht="32.1" customHeight="1" x14ac:dyDescent="0.15"/>
    <row r="58381" customFormat="1" ht="32.1" customHeight="1" x14ac:dyDescent="0.15"/>
    <row r="58382" customFormat="1" ht="32.1" customHeight="1" x14ac:dyDescent="0.15"/>
    <row r="58383" customFormat="1" ht="32.1" customHeight="1" x14ac:dyDescent="0.15"/>
    <row r="58384" customFormat="1" ht="32.1" customHeight="1" x14ac:dyDescent="0.15"/>
    <row r="58385" s="76" customFormat="1" ht="32.1" customHeight="1" x14ac:dyDescent="0.15"/>
    <row r="58386" s="76" customFormat="1" ht="32.1" customHeight="1" x14ac:dyDescent="0.15"/>
    <row r="58387" s="76" customFormat="1" ht="32.1" customHeight="1" x14ac:dyDescent="0.15"/>
    <row r="58388" s="76" customFormat="1" ht="32.1" customHeight="1" x14ac:dyDescent="0.15"/>
    <row r="58389" s="76" customFormat="1" ht="21.95" customHeight="1" x14ac:dyDescent="0.15"/>
    <row r="58390" s="76" customFormat="1" ht="54" customHeight="1" x14ac:dyDescent="0.15"/>
    <row r="58391" s="76" customFormat="1" ht="21.95" customHeight="1" x14ac:dyDescent="0.15"/>
    <row r="58392" s="76" customFormat="1" ht="21.95" customHeight="1" x14ac:dyDescent="0.15"/>
    <row r="58393" s="76" customFormat="1" ht="21.95" customHeight="1" x14ac:dyDescent="0.15"/>
    <row r="58394" s="76" customFormat="1" ht="21.95" customHeight="1" x14ac:dyDescent="0.15"/>
    <row r="58395" s="76" customFormat="1" ht="21.95" customHeight="1" x14ac:dyDescent="0.15"/>
    <row r="58396" s="76" customFormat="1" ht="21.95" customHeight="1" x14ac:dyDescent="0.15"/>
    <row r="58397" s="76" customFormat="1" ht="21.95" customHeight="1" x14ac:dyDescent="0.15"/>
    <row r="58398" s="76" customFormat="1" ht="21.95" customHeight="1" x14ac:dyDescent="0.15"/>
    <row r="58399" s="76" customFormat="1" ht="21.95" customHeight="1" x14ac:dyDescent="0.15"/>
    <row r="58400" s="76" customFormat="1" ht="21.95" customHeight="1" x14ac:dyDescent="0.15"/>
    <row r="58401" s="76" customFormat="1" ht="21.95" customHeight="1" x14ac:dyDescent="0.15"/>
    <row r="58402" s="76" customFormat="1" ht="21.95" customHeight="1" x14ac:dyDescent="0.15"/>
    <row r="58403" s="76" customFormat="1" ht="21.95" customHeight="1" x14ac:dyDescent="0.15"/>
    <row r="58404" s="76" customFormat="1" ht="21.95" customHeight="1" x14ac:dyDescent="0.15"/>
    <row r="58405" s="76" customFormat="1" ht="21.95" customHeight="1" x14ac:dyDescent="0.15"/>
    <row r="58406" s="76" customFormat="1" ht="21.95" customHeight="1" x14ac:dyDescent="0.15"/>
    <row r="58407" s="76" customFormat="1" ht="21.95" customHeight="1" x14ac:dyDescent="0.15"/>
    <row r="58408" s="76" customFormat="1" ht="21.95" customHeight="1" x14ac:dyDescent="0.15"/>
    <row r="58409" s="76" customFormat="1" ht="21.95" customHeight="1" x14ac:dyDescent="0.15"/>
    <row r="58410" s="76" customFormat="1" ht="21.95" customHeight="1" x14ac:dyDescent="0.15"/>
    <row r="58411" s="76" customFormat="1" ht="21.95" customHeight="1" x14ac:dyDescent="0.15"/>
    <row r="58412" s="76" customFormat="1" ht="21.95" customHeight="1" x14ac:dyDescent="0.15"/>
    <row r="58413" s="76" customFormat="1" ht="21.95" customHeight="1" x14ac:dyDescent="0.15"/>
    <row r="58414" s="76" customFormat="1" ht="21.95" customHeight="1" x14ac:dyDescent="0.15"/>
    <row r="58415" s="76" customFormat="1" ht="21.95" customHeight="1" x14ac:dyDescent="0.15"/>
    <row r="58416" s="76" customFormat="1" ht="21.95" customHeight="1" x14ac:dyDescent="0.15"/>
    <row r="58417" s="76" customFormat="1" ht="21.95" customHeight="1" x14ac:dyDescent="0.15"/>
    <row r="58418" s="76" customFormat="1" ht="21.95" customHeight="1" x14ac:dyDescent="0.15"/>
    <row r="58419" s="76" customFormat="1" ht="21.95" customHeight="1" x14ac:dyDescent="0.15"/>
    <row r="58420" s="76" customFormat="1" ht="21.95" customHeight="1" x14ac:dyDescent="0.15"/>
    <row r="58421" s="76" customFormat="1" ht="21.95" customHeight="1" x14ac:dyDescent="0.15"/>
    <row r="58422" s="76" customFormat="1" ht="21.95" customHeight="1" x14ac:dyDescent="0.15"/>
    <row r="58423" s="76" customFormat="1" ht="21.95" customHeight="1" x14ac:dyDescent="0.15"/>
    <row r="58424" s="76" customFormat="1" ht="21.95" customHeight="1" x14ac:dyDescent="0.15"/>
    <row r="58425" s="76" customFormat="1" ht="21.95" customHeight="1" x14ac:dyDescent="0.15"/>
    <row r="58426" s="76" customFormat="1" ht="21.95" customHeight="1" x14ac:dyDescent="0.15"/>
    <row r="58427" s="76" customFormat="1" ht="21.95" customHeight="1" x14ac:dyDescent="0.15"/>
    <row r="58428" s="76" customFormat="1" ht="21.95" customHeight="1" x14ac:dyDescent="0.15"/>
    <row r="58429" s="76" customFormat="1" ht="21.95" customHeight="1" x14ac:dyDescent="0.15"/>
    <row r="58430" s="76" customFormat="1" ht="21.95" customHeight="1" x14ac:dyDescent="0.15"/>
    <row r="58431" s="76" customFormat="1" ht="21.95" customHeight="1" x14ac:dyDescent="0.15"/>
    <row r="58432" s="76" customFormat="1" ht="21.95" customHeight="1" x14ac:dyDescent="0.15"/>
    <row r="58433" s="76" customFormat="1" ht="21.95" customHeight="1" x14ac:dyDescent="0.15"/>
    <row r="58434" s="76" customFormat="1" ht="21.95" customHeight="1" x14ac:dyDescent="0.15"/>
    <row r="58435" s="76" customFormat="1" ht="21.95" customHeight="1" x14ac:dyDescent="0.15"/>
    <row r="58436" s="76" customFormat="1" ht="21.95" customHeight="1" x14ac:dyDescent="0.15"/>
    <row r="58437" s="76" customFormat="1" ht="21.95" customHeight="1" x14ac:dyDescent="0.15"/>
    <row r="58438" s="76" customFormat="1" ht="21.95" customHeight="1" x14ac:dyDescent="0.15"/>
    <row r="58439" s="76" customFormat="1" ht="21.95" customHeight="1" x14ac:dyDescent="0.15"/>
    <row r="58440" s="76" customFormat="1" ht="21.95" customHeight="1" x14ac:dyDescent="0.15"/>
    <row r="58441" s="76" customFormat="1" ht="35.1" customHeight="1" x14ac:dyDescent="0.15"/>
    <row r="58442" s="76" customFormat="1" ht="21.95" customHeight="1" x14ac:dyDescent="0.15"/>
    <row r="58443" s="76" customFormat="1" ht="21.95" customHeight="1" x14ac:dyDescent="0.15"/>
    <row r="58444" s="76" customFormat="1" ht="21.95" customHeight="1" x14ac:dyDescent="0.15"/>
    <row r="58445" s="76" customFormat="1" ht="21.95" customHeight="1" x14ac:dyDescent="0.15"/>
    <row r="58446" s="76" customFormat="1" ht="21.95" customHeight="1" x14ac:dyDescent="0.15"/>
    <row r="58447" s="76" customFormat="1" ht="21.95" customHeight="1" x14ac:dyDescent="0.15"/>
    <row r="58448" s="76" customFormat="1" ht="21.95" customHeight="1" x14ac:dyDescent="0.15"/>
    <row r="58449" s="76" customFormat="1" ht="21.95" customHeight="1" x14ac:dyDescent="0.15"/>
    <row r="58450" s="76" customFormat="1" ht="21.95" customHeight="1" x14ac:dyDescent="0.15"/>
    <row r="58451" s="76" customFormat="1" ht="21.95" customHeight="1" x14ac:dyDescent="0.15"/>
    <row r="58452" s="76" customFormat="1" ht="21.95" customHeight="1" x14ac:dyDescent="0.15"/>
    <row r="58453" s="76" customFormat="1" ht="21.95" customHeight="1" x14ac:dyDescent="0.15"/>
    <row r="58454" s="76" customFormat="1" ht="21.95" customHeight="1" x14ac:dyDescent="0.15"/>
    <row r="58455" s="76" customFormat="1" ht="21.95" customHeight="1" x14ac:dyDescent="0.15"/>
    <row r="58456" s="76" customFormat="1" ht="21.95" customHeight="1" x14ac:dyDescent="0.15"/>
    <row r="58457" s="76" customFormat="1" ht="21.95" customHeight="1" x14ac:dyDescent="0.15"/>
    <row r="58458" s="76" customFormat="1" ht="21.95" customHeight="1" x14ac:dyDescent="0.15"/>
    <row r="58459" s="76" customFormat="1" ht="21.95" customHeight="1" x14ac:dyDescent="0.15"/>
    <row r="58460" s="76" customFormat="1" ht="21.95" customHeight="1" x14ac:dyDescent="0.15"/>
    <row r="58461" s="76" customFormat="1" ht="21.95" customHeight="1" x14ac:dyDescent="0.15"/>
    <row r="58462" s="76" customFormat="1" ht="21.95" customHeight="1" x14ac:dyDescent="0.15"/>
    <row r="58463" s="76" customFormat="1" ht="21.95" customHeight="1" x14ac:dyDescent="0.15"/>
    <row r="58464" s="76" customFormat="1" ht="21.95" customHeight="1" x14ac:dyDescent="0.15"/>
    <row r="58465" spans="3:3" customFormat="1" ht="21.95" customHeight="1" x14ac:dyDescent="0.15"/>
    <row r="58466" spans="3:3" customFormat="1" ht="21.95" customHeight="1" x14ac:dyDescent="0.15"/>
    <row r="58467" spans="3:3" customFormat="1" ht="21.95" customHeight="1" x14ac:dyDescent="0.15">
      <c r="C58467" s="94"/>
    </row>
    <row r="58468" spans="3:3" customFormat="1" ht="21.95" customHeight="1" x14ac:dyDescent="0.15">
      <c r="C58468" s="94"/>
    </row>
    <row r="58469" spans="3:3" customFormat="1" ht="21.95" customHeight="1" x14ac:dyDescent="0.15"/>
    <row r="58470" spans="3:3" customFormat="1" ht="21.95" customHeight="1" x14ac:dyDescent="0.15"/>
    <row r="58471" spans="3:3" customFormat="1" ht="21.95" customHeight="1" x14ac:dyDescent="0.15"/>
    <row r="58472" spans="3:3" customFormat="1" ht="21.95" customHeight="1" x14ac:dyDescent="0.15"/>
    <row r="58473" spans="3:3" customFormat="1" ht="21.95" customHeight="1" x14ac:dyDescent="0.15"/>
    <row r="58474" spans="3:3" customFormat="1" ht="21.95" customHeight="1" x14ac:dyDescent="0.15"/>
    <row r="58475" spans="3:3" customFormat="1" ht="21.95" customHeight="1" x14ac:dyDescent="0.15"/>
    <row r="58476" spans="3:3" s="76" customFormat="1" ht="21.95" customHeight="1" x14ac:dyDescent="0.15"/>
    <row r="58477" spans="3:3" s="76" customFormat="1" ht="21.95" customHeight="1" x14ac:dyDescent="0.15"/>
    <row r="58478" spans="3:3" s="76" customFormat="1" ht="21.95" customHeight="1" x14ac:dyDescent="0.15"/>
    <row r="58479" spans="3:3" s="76" customFormat="1" ht="21.95" customHeight="1" x14ac:dyDescent="0.15"/>
    <row r="58480" spans="3:3" customFormat="1" ht="21.95" customHeight="1" x14ac:dyDescent="0.15"/>
    <row r="58481" customFormat="1" ht="21.95" customHeight="1" x14ac:dyDescent="0.15"/>
    <row r="58482" customFormat="1" ht="21.95" customHeight="1" x14ac:dyDescent="0.15"/>
    <row r="58483" customFormat="1" ht="21.95" customHeight="1" x14ac:dyDescent="0.15"/>
    <row r="58484" customFormat="1" ht="21.95" customHeight="1" x14ac:dyDescent="0.15"/>
    <row r="58485" customFormat="1" ht="21.95" customHeight="1" x14ac:dyDescent="0.15"/>
    <row r="58486" customFormat="1" ht="21.95" customHeight="1" x14ac:dyDescent="0.15"/>
    <row r="58487" customFormat="1" ht="21.95" customHeight="1" x14ac:dyDescent="0.15"/>
    <row r="58488" customFormat="1" ht="21.95" customHeight="1" x14ac:dyDescent="0.15"/>
    <row r="58489" customFormat="1" ht="21.95" customHeight="1" x14ac:dyDescent="0.15"/>
    <row r="58490" customFormat="1" ht="21.95" customHeight="1" x14ac:dyDescent="0.15"/>
    <row r="58491" customFormat="1" ht="32.1" customHeight="1" x14ac:dyDescent="0.15"/>
    <row r="58492" customFormat="1" ht="32.1" customHeight="1" x14ac:dyDescent="0.15"/>
    <row r="58493" customFormat="1" ht="32.1" customHeight="1" x14ac:dyDescent="0.15"/>
    <row r="58494" customFormat="1" ht="32.1" customHeight="1" x14ac:dyDescent="0.15"/>
    <row r="58495" customFormat="1" ht="32.1" customHeight="1" x14ac:dyDescent="0.15"/>
    <row r="58496" customFormat="1" ht="32.1" customHeight="1" x14ac:dyDescent="0.15"/>
    <row r="58497" s="76" customFormat="1" ht="32.1" customHeight="1" x14ac:dyDescent="0.15"/>
    <row r="58498" s="76" customFormat="1" ht="32.1" customHeight="1" x14ac:dyDescent="0.15"/>
    <row r="58499" s="76" customFormat="1" ht="32.1" customHeight="1" x14ac:dyDescent="0.15"/>
    <row r="58500" s="76" customFormat="1" ht="32.1" customHeight="1" x14ac:dyDescent="0.15"/>
    <row r="58501" s="76" customFormat="1" ht="21.95" customHeight="1" x14ac:dyDescent="0.15"/>
    <row r="58502" s="76" customFormat="1" ht="54" customHeight="1" x14ac:dyDescent="0.15"/>
    <row r="58503" s="76" customFormat="1" ht="21.95" customHeight="1" x14ac:dyDescent="0.15"/>
    <row r="58504" s="76" customFormat="1" ht="21.95" customHeight="1" x14ac:dyDescent="0.15"/>
    <row r="58505" s="76" customFormat="1" ht="21.95" customHeight="1" x14ac:dyDescent="0.15"/>
    <row r="58506" s="76" customFormat="1" ht="21.95" customHeight="1" x14ac:dyDescent="0.15"/>
    <row r="58507" s="76" customFormat="1" ht="21.95" customHeight="1" x14ac:dyDescent="0.15"/>
    <row r="58508" s="76" customFormat="1" ht="21.95" customHeight="1" x14ac:dyDescent="0.15"/>
    <row r="58509" s="76" customFormat="1" ht="21.95" customHeight="1" x14ac:dyDescent="0.15"/>
    <row r="58510" s="76" customFormat="1" ht="21.95" customHeight="1" x14ac:dyDescent="0.15"/>
    <row r="58511" s="76" customFormat="1" ht="21.95" customHeight="1" x14ac:dyDescent="0.15"/>
    <row r="58512" s="76" customFormat="1" ht="21.95" customHeight="1" x14ac:dyDescent="0.15"/>
    <row r="58513" s="76" customFormat="1" ht="21.95" customHeight="1" x14ac:dyDescent="0.15"/>
    <row r="58514" s="76" customFormat="1" ht="21.95" customHeight="1" x14ac:dyDescent="0.15"/>
    <row r="58515" s="76" customFormat="1" ht="21.95" customHeight="1" x14ac:dyDescent="0.15"/>
    <row r="58516" s="76" customFormat="1" ht="21.95" customHeight="1" x14ac:dyDescent="0.15"/>
    <row r="58517" s="76" customFormat="1" ht="21.95" customHeight="1" x14ac:dyDescent="0.15"/>
    <row r="58518" s="76" customFormat="1" ht="21.95" customHeight="1" x14ac:dyDescent="0.15"/>
    <row r="58519" s="76" customFormat="1" ht="21.95" customHeight="1" x14ac:dyDescent="0.15"/>
    <row r="58520" s="76" customFormat="1" ht="21.95" customHeight="1" x14ac:dyDescent="0.15"/>
    <row r="58521" s="76" customFormat="1" ht="21.95" customHeight="1" x14ac:dyDescent="0.15"/>
    <row r="58522" s="76" customFormat="1" ht="21.95" customHeight="1" x14ac:dyDescent="0.15"/>
    <row r="58523" s="76" customFormat="1" ht="21.95" customHeight="1" x14ac:dyDescent="0.15"/>
    <row r="58524" s="76" customFormat="1" ht="21.95" customHeight="1" x14ac:dyDescent="0.15"/>
    <row r="58525" s="76" customFormat="1" ht="21.95" customHeight="1" x14ac:dyDescent="0.15"/>
    <row r="58526" s="76" customFormat="1" ht="21.95" customHeight="1" x14ac:dyDescent="0.15"/>
    <row r="58527" s="76" customFormat="1" ht="21.95" customHeight="1" x14ac:dyDescent="0.15"/>
    <row r="58528" s="76" customFormat="1" ht="21.95" customHeight="1" x14ac:dyDescent="0.15"/>
    <row r="58529" s="76" customFormat="1" ht="21.95" customHeight="1" x14ac:dyDescent="0.15"/>
    <row r="58530" s="76" customFormat="1" ht="21.95" customHeight="1" x14ac:dyDescent="0.15"/>
    <row r="58531" s="76" customFormat="1" ht="21.95" customHeight="1" x14ac:dyDescent="0.15"/>
    <row r="58532" s="76" customFormat="1" ht="21.95" customHeight="1" x14ac:dyDescent="0.15"/>
    <row r="58533" s="76" customFormat="1" ht="21.95" customHeight="1" x14ac:dyDescent="0.15"/>
    <row r="58534" s="76" customFormat="1" ht="21.95" customHeight="1" x14ac:dyDescent="0.15"/>
    <row r="58535" s="76" customFormat="1" ht="21.95" customHeight="1" x14ac:dyDescent="0.15"/>
    <row r="58536" s="76" customFormat="1" ht="21.95" customHeight="1" x14ac:dyDescent="0.15"/>
    <row r="58537" s="76" customFormat="1" ht="21.95" customHeight="1" x14ac:dyDescent="0.15"/>
    <row r="58538" s="76" customFormat="1" ht="21.95" customHeight="1" x14ac:dyDescent="0.15"/>
    <row r="58539" s="76" customFormat="1" ht="21.95" customHeight="1" x14ac:dyDescent="0.15"/>
    <row r="58540" s="76" customFormat="1" ht="21.95" customHeight="1" x14ac:dyDescent="0.15"/>
    <row r="58541" s="76" customFormat="1" ht="21.95" customHeight="1" x14ac:dyDescent="0.15"/>
    <row r="58542" s="76" customFormat="1" ht="21.95" customHeight="1" x14ac:dyDescent="0.15"/>
    <row r="58543" s="76" customFormat="1" ht="21.95" customHeight="1" x14ac:dyDescent="0.15"/>
    <row r="58544" s="76" customFormat="1" ht="21.95" customHeight="1" x14ac:dyDescent="0.15"/>
    <row r="58545" s="76" customFormat="1" ht="21.95" customHeight="1" x14ac:dyDescent="0.15"/>
    <row r="58546" s="76" customFormat="1" ht="21.95" customHeight="1" x14ac:dyDescent="0.15"/>
    <row r="58547" s="76" customFormat="1" ht="21.95" customHeight="1" x14ac:dyDescent="0.15"/>
    <row r="58548" s="76" customFormat="1" ht="21.95" customHeight="1" x14ac:dyDescent="0.15"/>
    <row r="58549" s="76" customFormat="1" ht="21.95" customHeight="1" x14ac:dyDescent="0.15"/>
    <row r="58550" s="76" customFormat="1" ht="21.95" customHeight="1" x14ac:dyDescent="0.15"/>
    <row r="58551" s="76" customFormat="1" ht="21.95" customHeight="1" x14ac:dyDescent="0.15"/>
    <row r="58552" s="76" customFormat="1" ht="21.95" customHeight="1" x14ac:dyDescent="0.15"/>
    <row r="58553" s="76" customFormat="1" ht="35.1" customHeight="1" x14ac:dyDescent="0.15"/>
    <row r="58554" s="76" customFormat="1" ht="21.95" customHeight="1" x14ac:dyDescent="0.15"/>
    <row r="58555" s="76" customFormat="1" ht="21.95" customHeight="1" x14ac:dyDescent="0.15"/>
    <row r="58556" s="76" customFormat="1" ht="21.95" customHeight="1" x14ac:dyDescent="0.15"/>
    <row r="58557" s="76" customFormat="1" ht="21.95" customHeight="1" x14ac:dyDescent="0.15"/>
    <row r="58558" s="76" customFormat="1" ht="21.95" customHeight="1" x14ac:dyDescent="0.15"/>
    <row r="58559" s="76" customFormat="1" ht="21.95" customHeight="1" x14ac:dyDescent="0.15"/>
    <row r="58560" s="76" customFormat="1" ht="21.95" customHeight="1" x14ac:dyDescent="0.15"/>
    <row r="58561" s="76" customFormat="1" ht="21.95" customHeight="1" x14ac:dyDescent="0.15"/>
    <row r="58562" s="76" customFormat="1" ht="21.95" customHeight="1" x14ac:dyDescent="0.15"/>
    <row r="58563" s="76" customFormat="1" ht="21.95" customHeight="1" x14ac:dyDescent="0.15"/>
    <row r="58564" s="76" customFormat="1" ht="21.95" customHeight="1" x14ac:dyDescent="0.15"/>
    <row r="58565" s="76" customFormat="1" ht="21.95" customHeight="1" x14ac:dyDescent="0.15"/>
    <row r="58566" s="76" customFormat="1" ht="21.95" customHeight="1" x14ac:dyDescent="0.15"/>
    <row r="58567" s="76" customFormat="1" ht="21.95" customHeight="1" x14ac:dyDescent="0.15"/>
    <row r="58568" s="76" customFormat="1" ht="21.95" customHeight="1" x14ac:dyDescent="0.15"/>
    <row r="58569" s="76" customFormat="1" ht="21.95" customHeight="1" x14ac:dyDescent="0.15"/>
    <row r="58570" s="76" customFormat="1" ht="21.95" customHeight="1" x14ac:dyDescent="0.15"/>
    <row r="58571" s="76" customFormat="1" ht="21.95" customHeight="1" x14ac:dyDescent="0.15"/>
    <row r="58572" s="76" customFormat="1" ht="21.95" customHeight="1" x14ac:dyDescent="0.15"/>
    <row r="58573" s="76" customFormat="1" ht="21.95" customHeight="1" x14ac:dyDescent="0.15"/>
    <row r="58574" s="76" customFormat="1" ht="21.95" customHeight="1" x14ac:dyDescent="0.15"/>
    <row r="58575" s="76" customFormat="1" ht="21.95" customHeight="1" x14ac:dyDescent="0.15"/>
    <row r="58576" s="76" customFormat="1" ht="21.95" customHeight="1" x14ac:dyDescent="0.15"/>
    <row r="58577" spans="3:3" customFormat="1" ht="21.95" customHeight="1" x14ac:dyDescent="0.15"/>
    <row r="58578" spans="3:3" customFormat="1" ht="21.95" customHeight="1" x14ac:dyDescent="0.15"/>
    <row r="58579" spans="3:3" customFormat="1" ht="21.95" customHeight="1" x14ac:dyDescent="0.15">
      <c r="C58579" s="94"/>
    </row>
    <row r="58580" spans="3:3" customFormat="1" ht="21.95" customHeight="1" x14ac:dyDescent="0.15">
      <c r="C58580" s="94"/>
    </row>
    <row r="58581" spans="3:3" customFormat="1" ht="21.95" customHeight="1" x14ac:dyDescent="0.15"/>
    <row r="58582" spans="3:3" customFormat="1" ht="21.95" customHeight="1" x14ac:dyDescent="0.15"/>
    <row r="58583" spans="3:3" customFormat="1" ht="21.95" customHeight="1" x14ac:dyDescent="0.15"/>
    <row r="58584" spans="3:3" customFormat="1" ht="21.95" customHeight="1" x14ac:dyDescent="0.15"/>
    <row r="58585" spans="3:3" customFormat="1" ht="21.95" customHeight="1" x14ac:dyDescent="0.15"/>
    <row r="58586" spans="3:3" customFormat="1" ht="21.95" customHeight="1" x14ac:dyDescent="0.15"/>
    <row r="58587" spans="3:3" customFormat="1" ht="21.95" customHeight="1" x14ac:dyDescent="0.15"/>
    <row r="58588" spans="3:3" s="76" customFormat="1" ht="21.95" customHeight="1" x14ac:dyDescent="0.15"/>
    <row r="58589" spans="3:3" s="76" customFormat="1" ht="21.95" customHeight="1" x14ac:dyDescent="0.15"/>
    <row r="58590" spans="3:3" s="76" customFormat="1" ht="21.95" customHeight="1" x14ac:dyDescent="0.15"/>
    <row r="58591" spans="3:3" s="76" customFormat="1" ht="21.95" customHeight="1" x14ac:dyDescent="0.15"/>
    <row r="58592" spans="3:3" customFormat="1" ht="21.95" customHeight="1" x14ac:dyDescent="0.15"/>
    <row r="58593" customFormat="1" ht="21.95" customHeight="1" x14ac:dyDescent="0.15"/>
    <row r="58594" customFormat="1" ht="21.95" customHeight="1" x14ac:dyDescent="0.15"/>
    <row r="58595" customFormat="1" ht="21.95" customHeight="1" x14ac:dyDescent="0.15"/>
    <row r="58596" customFormat="1" ht="21.95" customHeight="1" x14ac:dyDescent="0.15"/>
    <row r="58597" customFormat="1" ht="21.95" customHeight="1" x14ac:dyDescent="0.15"/>
    <row r="58598" customFormat="1" ht="21.95" customHeight="1" x14ac:dyDescent="0.15"/>
    <row r="58599" customFormat="1" ht="21.95" customHeight="1" x14ac:dyDescent="0.15"/>
    <row r="58600" customFormat="1" ht="21.95" customHeight="1" x14ac:dyDescent="0.15"/>
    <row r="58601" customFormat="1" ht="21.95" customHeight="1" x14ac:dyDescent="0.15"/>
    <row r="58602" customFormat="1" ht="21.95" customHeight="1" x14ac:dyDescent="0.15"/>
    <row r="58603" customFormat="1" ht="32.1" customHeight="1" x14ac:dyDescent="0.15"/>
    <row r="58604" customFormat="1" ht="32.1" customHeight="1" x14ac:dyDescent="0.15"/>
    <row r="58605" customFormat="1" ht="32.1" customHeight="1" x14ac:dyDescent="0.15"/>
    <row r="58606" customFormat="1" ht="32.1" customHeight="1" x14ac:dyDescent="0.15"/>
    <row r="58607" customFormat="1" ht="32.1" customHeight="1" x14ac:dyDescent="0.15"/>
    <row r="58608" customFormat="1" ht="32.1" customHeight="1" x14ac:dyDescent="0.15"/>
    <row r="58609" s="76" customFormat="1" ht="32.1" customHeight="1" x14ac:dyDescent="0.15"/>
    <row r="58610" s="76" customFormat="1" ht="32.1" customHeight="1" x14ac:dyDescent="0.15"/>
    <row r="58611" s="76" customFormat="1" ht="32.1" customHeight="1" x14ac:dyDescent="0.15"/>
    <row r="58612" s="76" customFormat="1" ht="32.1" customHeight="1" x14ac:dyDescent="0.15"/>
    <row r="58613" s="76" customFormat="1" ht="21.95" customHeight="1" x14ac:dyDescent="0.15"/>
    <row r="58614" s="76" customFormat="1" ht="54" customHeight="1" x14ac:dyDescent="0.15"/>
    <row r="58615" s="76" customFormat="1" ht="21.95" customHeight="1" x14ac:dyDescent="0.15"/>
    <row r="58616" s="76" customFormat="1" ht="21.95" customHeight="1" x14ac:dyDescent="0.15"/>
    <row r="58617" s="76" customFormat="1" ht="21.95" customHeight="1" x14ac:dyDescent="0.15"/>
    <row r="58618" s="76" customFormat="1" ht="21.95" customHeight="1" x14ac:dyDescent="0.15"/>
    <row r="58619" s="76" customFormat="1" ht="21.95" customHeight="1" x14ac:dyDescent="0.15"/>
    <row r="58620" s="76" customFormat="1" ht="21.95" customHeight="1" x14ac:dyDescent="0.15"/>
    <row r="58621" s="76" customFormat="1" ht="21.95" customHeight="1" x14ac:dyDescent="0.15"/>
    <row r="58622" s="76" customFormat="1" ht="21.95" customHeight="1" x14ac:dyDescent="0.15"/>
    <row r="58623" s="76" customFormat="1" ht="21.95" customHeight="1" x14ac:dyDescent="0.15"/>
    <row r="58624" s="76" customFormat="1" ht="21.95" customHeight="1" x14ac:dyDescent="0.15"/>
    <row r="58625" s="76" customFormat="1" ht="21.95" customHeight="1" x14ac:dyDescent="0.15"/>
    <row r="58626" s="76" customFormat="1" ht="21.95" customHeight="1" x14ac:dyDescent="0.15"/>
    <row r="58627" s="76" customFormat="1" ht="21.95" customHeight="1" x14ac:dyDescent="0.15"/>
    <row r="58628" s="76" customFormat="1" ht="21.95" customHeight="1" x14ac:dyDescent="0.15"/>
    <row r="58629" s="76" customFormat="1" ht="21.95" customHeight="1" x14ac:dyDescent="0.15"/>
    <row r="58630" s="76" customFormat="1" ht="21.95" customHeight="1" x14ac:dyDescent="0.15"/>
    <row r="58631" s="76" customFormat="1" ht="21.95" customHeight="1" x14ac:dyDescent="0.15"/>
    <row r="58632" s="76" customFormat="1" ht="21.95" customHeight="1" x14ac:dyDescent="0.15"/>
    <row r="58633" s="76" customFormat="1" ht="21.95" customHeight="1" x14ac:dyDescent="0.15"/>
    <row r="58634" s="76" customFormat="1" ht="21.95" customHeight="1" x14ac:dyDescent="0.15"/>
    <row r="58635" s="76" customFormat="1" ht="21.95" customHeight="1" x14ac:dyDescent="0.15"/>
    <row r="58636" s="76" customFormat="1" ht="21.95" customHeight="1" x14ac:dyDescent="0.15"/>
    <row r="58637" s="76" customFormat="1" ht="21.95" customHeight="1" x14ac:dyDescent="0.15"/>
    <row r="58638" s="76" customFormat="1" ht="21.95" customHeight="1" x14ac:dyDescent="0.15"/>
    <row r="58639" s="76" customFormat="1" ht="21.95" customHeight="1" x14ac:dyDescent="0.15"/>
    <row r="58640" s="76" customFormat="1" ht="21.95" customHeight="1" x14ac:dyDescent="0.15"/>
    <row r="58641" s="76" customFormat="1" ht="21.95" customHeight="1" x14ac:dyDescent="0.15"/>
    <row r="58642" s="76" customFormat="1" ht="21.95" customHeight="1" x14ac:dyDescent="0.15"/>
    <row r="58643" s="76" customFormat="1" ht="21.95" customHeight="1" x14ac:dyDescent="0.15"/>
    <row r="58644" s="76" customFormat="1" ht="21.95" customHeight="1" x14ac:dyDescent="0.15"/>
    <row r="58645" s="76" customFormat="1" ht="21.95" customHeight="1" x14ac:dyDescent="0.15"/>
    <row r="58646" s="76" customFormat="1" ht="21.95" customHeight="1" x14ac:dyDescent="0.15"/>
    <row r="58647" s="76" customFormat="1" ht="21.95" customHeight="1" x14ac:dyDescent="0.15"/>
    <row r="58648" s="76" customFormat="1" ht="21.95" customHeight="1" x14ac:dyDescent="0.15"/>
    <row r="58649" s="76" customFormat="1" ht="21.95" customHeight="1" x14ac:dyDescent="0.15"/>
    <row r="58650" s="76" customFormat="1" ht="21.95" customHeight="1" x14ac:dyDescent="0.15"/>
    <row r="58651" s="76" customFormat="1" ht="21.95" customHeight="1" x14ac:dyDescent="0.15"/>
    <row r="58652" s="76" customFormat="1" ht="21.95" customHeight="1" x14ac:dyDescent="0.15"/>
    <row r="58653" s="76" customFormat="1" ht="21.95" customHeight="1" x14ac:dyDescent="0.15"/>
    <row r="58654" s="76" customFormat="1" ht="21.95" customHeight="1" x14ac:dyDescent="0.15"/>
    <row r="58655" s="76" customFormat="1" ht="21.95" customHeight="1" x14ac:dyDescent="0.15"/>
    <row r="58656" s="76" customFormat="1" ht="21.95" customHeight="1" x14ac:dyDescent="0.15"/>
    <row r="58657" s="76" customFormat="1" ht="21.95" customHeight="1" x14ac:dyDescent="0.15"/>
    <row r="58658" s="76" customFormat="1" ht="21.95" customHeight="1" x14ac:dyDescent="0.15"/>
    <row r="58659" s="76" customFormat="1" ht="21.95" customHeight="1" x14ac:dyDescent="0.15"/>
    <row r="58660" s="76" customFormat="1" ht="21.95" customHeight="1" x14ac:dyDescent="0.15"/>
    <row r="58661" s="76" customFormat="1" ht="21.95" customHeight="1" x14ac:dyDescent="0.15"/>
    <row r="58662" s="76" customFormat="1" ht="21.95" customHeight="1" x14ac:dyDescent="0.15"/>
    <row r="58663" s="76" customFormat="1" ht="21.95" customHeight="1" x14ac:dyDescent="0.15"/>
    <row r="58664" s="76" customFormat="1" ht="21.95" customHeight="1" x14ac:dyDescent="0.15"/>
    <row r="58665" s="76" customFormat="1" ht="35.1" customHeight="1" x14ac:dyDescent="0.15"/>
    <row r="58666" s="76" customFormat="1" ht="21.95" customHeight="1" x14ac:dyDescent="0.15"/>
    <row r="58667" s="76" customFormat="1" ht="21.95" customHeight="1" x14ac:dyDescent="0.15"/>
    <row r="58668" s="76" customFormat="1" ht="21.95" customHeight="1" x14ac:dyDescent="0.15"/>
    <row r="58669" s="76" customFormat="1" ht="21.95" customHeight="1" x14ac:dyDescent="0.15"/>
    <row r="58670" s="76" customFormat="1" ht="21.95" customHeight="1" x14ac:dyDescent="0.15"/>
    <row r="58671" s="76" customFormat="1" ht="21.95" customHeight="1" x14ac:dyDescent="0.15"/>
    <row r="58672" s="76" customFormat="1" ht="21.95" customHeight="1" x14ac:dyDescent="0.15"/>
    <row r="58673" s="76" customFormat="1" ht="21.95" customHeight="1" x14ac:dyDescent="0.15"/>
    <row r="58674" s="76" customFormat="1" ht="21.95" customHeight="1" x14ac:dyDescent="0.15"/>
    <row r="58675" s="76" customFormat="1" ht="21.95" customHeight="1" x14ac:dyDescent="0.15"/>
    <row r="58676" s="76" customFormat="1" ht="21.95" customHeight="1" x14ac:dyDescent="0.15"/>
    <row r="58677" s="76" customFormat="1" ht="21.95" customHeight="1" x14ac:dyDescent="0.15"/>
    <row r="58678" s="76" customFormat="1" ht="21.95" customHeight="1" x14ac:dyDescent="0.15"/>
    <row r="58679" s="76" customFormat="1" ht="21.95" customHeight="1" x14ac:dyDescent="0.15"/>
    <row r="58680" s="76" customFormat="1" ht="21.95" customHeight="1" x14ac:dyDescent="0.15"/>
    <row r="58681" s="76" customFormat="1" ht="21.95" customHeight="1" x14ac:dyDescent="0.15"/>
    <row r="58682" s="76" customFormat="1" ht="21.95" customHeight="1" x14ac:dyDescent="0.15"/>
    <row r="58683" s="76" customFormat="1" ht="21.95" customHeight="1" x14ac:dyDescent="0.15"/>
    <row r="58684" s="76" customFormat="1" ht="21.95" customHeight="1" x14ac:dyDescent="0.15"/>
    <row r="58685" s="76" customFormat="1" ht="21.95" customHeight="1" x14ac:dyDescent="0.15"/>
    <row r="58686" s="76" customFormat="1" ht="21.95" customHeight="1" x14ac:dyDescent="0.15"/>
    <row r="58687" s="76" customFormat="1" ht="21.95" customHeight="1" x14ac:dyDescent="0.15"/>
    <row r="58688" s="76" customFormat="1" ht="21.95" customHeight="1" x14ac:dyDescent="0.15"/>
    <row r="58689" spans="3:3" customFormat="1" ht="21.95" customHeight="1" x14ac:dyDescent="0.15"/>
    <row r="58690" spans="3:3" customFormat="1" ht="21.95" customHeight="1" x14ac:dyDescent="0.15"/>
    <row r="58691" spans="3:3" customFormat="1" ht="21.95" customHeight="1" x14ac:dyDescent="0.15">
      <c r="C58691" s="94"/>
    </row>
    <row r="58692" spans="3:3" customFormat="1" ht="21.95" customHeight="1" x14ac:dyDescent="0.15">
      <c r="C58692" s="94"/>
    </row>
    <row r="58693" spans="3:3" customFormat="1" ht="21.95" customHeight="1" x14ac:dyDescent="0.15"/>
    <row r="58694" spans="3:3" customFormat="1" ht="21.95" customHeight="1" x14ac:dyDescent="0.15"/>
    <row r="58695" spans="3:3" customFormat="1" ht="21.95" customHeight="1" x14ac:dyDescent="0.15"/>
    <row r="58696" spans="3:3" customFormat="1" ht="21.95" customHeight="1" x14ac:dyDescent="0.15"/>
    <row r="58697" spans="3:3" customFormat="1" ht="21.95" customHeight="1" x14ac:dyDescent="0.15"/>
    <row r="58698" spans="3:3" customFormat="1" ht="21.95" customHeight="1" x14ac:dyDescent="0.15"/>
    <row r="58699" spans="3:3" customFormat="1" ht="21.95" customHeight="1" x14ac:dyDescent="0.15"/>
    <row r="58700" spans="3:3" s="76" customFormat="1" ht="21.95" customHeight="1" x14ac:dyDescent="0.15"/>
    <row r="58701" spans="3:3" s="76" customFormat="1" ht="21.95" customHeight="1" x14ac:dyDescent="0.15"/>
    <row r="58702" spans="3:3" s="76" customFormat="1" ht="21.95" customHeight="1" x14ac:dyDescent="0.15"/>
    <row r="58703" spans="3:3" s="76" customFormat="1" ht="21.95" customHeight="1" x14ac:dyDescent="0.15"/>
    <row r="58704" spans="3:3" customFormat="1" ht="21.95" customHeight="1" x14ac:dyDescent="0.15"/>
    <row r="58705" customFormat="1" ht="21.95" customHeight="1" x14ac:dyDescent="0.15"/>
    <row r="58706" customFormat="1" ht="21.95" customHeight="1" x14ac:dyDescent="0.15"/>
    <row r="58707" customFormat="1" ht="21.95" customHeight="1" x14ac:dyDescent="0.15"/>
    <row r="58708" customFormat="1" ht="21.95" customHeight="1" x14ac:dyDescent="0.15"/>
    <row r="58709" customFormat="1" ht="21.95" customHeight="1" x14ac:dyDescent="0.15"/>
    <row r="58710" customFormat="1" ht="21.95" customHeight="1" x14ac:dyDescent="0.15"/>
    <row r="58711" customFormat="1" ht="21.95" customHeight="1" x14ac:dyDescent="0.15"/>
    <row r="58712" customFormat="1" ht="21.95" customHeight="1" x14ac:dyDescent="0.15"/>
    <row r="58713" customFormat="1" ht="21.95" customHeight="1" x14ac:dyDescent="0.15"/>
    <row r="58714" customFormat="1" ht="21.95" customHeight="1" x14ac:dyDescent="0.15"/>
    <row r="58715" customFormat="1" ht="32.1" customHeight="1" x14ac:dyDescent="0.15"/>
    <row r="58716" customFormat="1" ht="32.1" customHeight="1" x14ac:dyDescent="0.15"/>
    <row r="58717" customFormat="1" ht="32.1" customHeight="1" x14ac:dyDescent="0.15"/>
    <row r="58718" customFormat="1" ht="32.1" customHeight="1" x14ac:dyDescent="0.15"/>
    <row r="58719" customFormat="1" ht="32.1" customHeight="1" x14ac:dyDescent="0.15"/>
    <row r="58720" customFormat="1" ht="32.1" customHeight="1" x14ac:dyDescent="0.15"/>
    <row r="58721" s="76" customFormat="1" ht="32.1" customHeight="1" x14ac:dyDescent="0.15"/>
    <row r="58722" s="76" customFormat="1" ht="32.1" customHeight="1" x14ac:dyDescent="0.15"/>
    <row r="58723" s="76" customFormat="1" ht="32.1" customHeight="1" x14ac:dyDescent="0.15"/>
    <row r="58724" s="76" customFormat="1" ht="32.1" customHeight="1" x14ac:dyDescent="0.15"/>
    <row r="58725" s="76" customFormat="1" ht="21.95" customHeight="1" x14ac:dyDescent="0.15"/>
    <row r="58726" s="76" customFormat="1" ht="54" customHeight="1" x14ac:dyDescent="0.15"/>
    <row r="58727" s="76" customFormat="1" ht="21.95" customHeight="1" x14ac:dyDescent="0.15"/>
    <row r="58728" s="76" customFormat="1" ht="21.95" customHeight="1" x14ac:dyDescent="0.15"/>
    <row r="58729" s="76" customFormat="1" ht="21.95" customHeight="1" x14ac:dyDescent="0.15"/>
    <row r="58730" s="76" customFormat="1" ht="21.95" customHeight="1" x14ac:dyDescent="0.15"/>
    <row r="58731" s="76" customFormat="1" ht="21.95" customHeight="1" x14ac:dyDescent="0.15"/>
    <row r="58732" s="76" customFormat="1" ht="21.95" customHeight="1" x14ac:dyDescent="0.15"/>
    <row r="58733" s="76" customFormat="1" ht="21.95" customHeight="1" x14ac:dyDescent="0.15"/>
    <row r="58734" s="76" customFormat="1" ht="21.95" customHeight="1" x14ac:dyDescent="0.15"/>
    <row r="58735" s="76" customFormat="1" ht="21.95" customHeight="1" x14ac:dyDescent="0.15"/>
    <row r="58736" s="76" customFormat="1" ht="21.95" customHeight="1" x14ac:dyDescent="0.15"/>
    <row r="58737" s="76" customFormat="1" ht="21.95" customHeight="1" x14ac:dyDescent="0.15"/>
    <row r="58738" s="76" customFormat="1" ht="21.95" customHeight="1" x14ac:dyDescent="0.15"/>
    <row r="58739" s="76" customFormat="1" ht="21.95" customHeight="1" x14ac:dyDescent="0.15"/>
    <row r="58740" s="76" customFormat="1" ht="21.95" customHeight="1" x14ac:dyDescent="0.15"/>
    <row r="58741" s="76" customFormat="1" ht="21.95" customHeight="1" x14ac:dyDescent="0.15"/>
    <row r="58742" s="76" customFormat="1" ht="21.95" customHeight="1" x14ac:dyDescent="0.15"/>
    <row r="58743" s="76" customFormat="1" ht="21.95" customHeight="1" x14ac:dyDescent="0.15"/>
    <row r="58744" s="76" customFormat="1" ht="21.95" customHeight="1" x14ac:dyDescent="0.15"/>
    <row r="58745" s="76" customFormat="1" ht="21.95" customHeight="1" x14ac:dyDescent="0.15"/>
    <row r="58746" s="76" customFormat="1" ht="21.95" customHeight="1" x14ac:dyDescent="0.15"/>
    <row r="58747" s="76" customFormat="1" ht="21.95" customHeight="1" x14ac:dyDescent="0.15"/>
    <row r="58748" s="76" customFormat="1" ht="21.95" customHeight="1" x14ac:dyDescent="0.15"/>
    <row r="58749" s="76" customFormat="1" ht="21.95" customHeight="1" x14ac:dyDescent="0.15"/>
    <row r="58750" s="76" customFormat="1" ht="21.95" customHeight="1" x14ac:dyDescent="0.15"/>
    <row r="58751" s="76" customFormat="1" ht="21.95" customHeight="1" x14ac:dyDescent="0.15"/>
    <row r="58752" s="76" customFormat="1" ht="21.95" customHeight="1" x14ac:dyDescent="0.15"/>
    <row r="58753" s="76" customFormat="1" ht="21.95" customHeight="1" x14ac:dyDescent="0.15"/>
    <row r="58754" s="76" customFormat="1" ht="21.95" customHeight="1" x14ac:dyDescent="0.15"/>
    <row r="58755" s="76" customFormat="1" ht="21.95" customHeight="1" x14ac:dyDescent="0.15"/>
    <row r="58756" s="76" customFormat="1" ht="21.95" customHeight="1" x14ac:dyDescent="0.15"/>
    <row r="58757" s="76" customFormat="1" ht="21.95" customHeight="1" x14ac:dyDescent="0.15"/>
    <row r="58758" s="76" customFormat="1" ht="21.95" customHeight="1" x14ac:dyDescent="0.15"/>
    <row r="58759" s="76" customFormat="1" ht="21.95" customHeight="1" x14ac:dyDescent="0.15"/>
    <row r="58760" s="76" customFormat="1" ht="21.95" customHeight="1" x14ac:dyDescent="0.15"/>
    <row r="58761" s="76" customFormat="1" ht="21.95" customHeight="1" x14ac:dyDescent="0.15"/>
    <row r="58762" s="76" customFormat="1" ht="21.95" customHeight="1" x14ac:dyDescent="0.15"/>
    <row r="58763" s="76" customFormat="1" ht="21.95" customHeight="1" x14ac:dyDescent="0.15"/>
    <row r="58764" s="76" customFormat="1" ht="21.95" customHeight="1" x14ac:dyDescent="0.15"/>
    <row r="58765" s="76" customFormat="1" ht="21.95" customHeight="1" x14ac:dyDescent="0.15"/>
    <row r="58766" s="76" customFormat="1" ht="21.95" customHeight="1" x14ac:dyDescent="0.15"/>
    <row r="58767" s="76" customFormat="1" ht="21.95" customHeight="1" x14ac:dyDescent="0.15"/>
    <row r="58768" s="76" customFormat="1" ht="21.95" customHeight="1" x14ac:dyDescent="0.15"/>
    <row r="58769" s="76" customFormat="1" ht="21.95" customHeight="1" x14ac:dyDescent="0.15"/>
    <row r="58770" s="76" customFormat="1" ht="21.95" customHeight="1" x14ac:dyDescent="0.15"/>
    <row r="58771" s="76" customFormat="1" ht="21.95" customHeight="1" x14ac:dyDescent="0.15"/>
    <row r="58772" s="76" customFormat="1" ht="21.95" customHeight="1" x14ac:dyDescent="0.15"/>
    <row r="58773" s="76" customFormat="1" ht="21.95" customHeight="1" x14ac:dyDescent="0.15"/>
    <row r="58774" s="76" customFormat="1" ht="21.95" customHeight="1" x14ac:dyDescent="0.15"/>
    <row r="58775" s="76" customFormat="1" ht="21.95" customHeight="1" x14ac:dyDescent="0.15"/>
    <row r="58776" s="76" customFormat="1" ht="21.95" customHeight="1" x14ac:dyDescent="0.15"/>
    <row r="58777" s="76" customFormat="1" ht="35.1" customHeight="1" x14ac:dyDescent="0.15"/>
    <row r="58778" s="76" customFormat="1" ht="21.95" customHeight="1" x14ac:dyDescent="0.15"/>
    <row r="58779" s="76" customFormat="1" ht="21.95" customHeight="1" x14ac:dyDescent="0.15"/>
    <row r="58780" s="76" customFormat="1" ht="21.95" customHeight="1" x14ac:dyDescent="0.15"/>
    <row r="58781" s="76" customFormat="1" ht="21.95" customHeight="1" x14ac:dyDescent="0.15"/>
    <row r="58782" s="76" customFormat="1" ht="21.95" customHeight="1" x14ac:dyDescent="0.15"/>
    <row r="58783" s="76" customFormat="1" ht="21.95" customHeight="1" x14ac:dyDescent="0.15"/>
    <row r="58784" s="76" customFormat="1" ht="21.95" customHeight="1" x14ac:dyDescent="0.15"/>
    <row r="58785" s="76" customFormat="1" ht="21.95" customHeight="1" x14ac:dyDescent="0.15"/>
    <row r="58786" s="76" customFormat="1" ht="21.95" customHeight="1" x14ac:dyDescent="0.15"/>
    <row r="58787" s="76" customFormat="1" ht="21.95" customHeight="1" x14ac:dyDescent="0.15"/>
    <row r="58788" s="76" customFormat="1" ht="21.95" customHeight="1" x14ac:dyDescent="0.15"/>
    <row r="58789" s="76" customFormat="1" ht="21.95" customHeight="1" x14ac:dyDescent="0.15"/>
    <row r="58790" s="76" customFormat="1" ht="21.95" customHeight="1" x14ac:dyDescent="0.15"/>
    <row r="58791" s="76" customFormat="1" ht="21.95" customHeight="1" x14ac:dyDescent="0.15"/>
    <row r="58792" s="76" customFormat="1" ht="21.95" customHeight="1" x14ac:dyDescent="0.15"/>
    <row r="58793" s="76" customFormat="1" ht="21.95" customHeight="1" x14ac:dyDescent="0.15"/>
    <row r="58794" s="76" customFormat="1" ht="21.95" customHeight="1" x14ac:dyDescent="0.15"/>
    <row r="58795" s="76" customFormat="1" ht="21.95" customHeight="1" x14ac:dyDescent="0.15"/>
    <row r="58796" s="76" customFormat="1" ht="21.95" customHeight="1" x14ac:dyDescent="0.15"/>
    <row r="58797" s="76" customFormat="1" ht="21.95" customHeight="1" x14ac:dyDescent="0.15"/>
    <row r="58798" s="76" customFormat="1" ht="21.95" customHeight="1" x14ac:dyDescent="0.15"/>
    <row r="58799" s="76" customFormat="1" ht="21.95" customHeight="1" x14ac:dyDescent="0.15"/>
    <row r="58800" s="76" customFormat="1" ht="21.95" customHeight="1" x14ac:dyDescent="0.15"/>
    <row r="58801" spans="3:3" customFormat="1" ht="21.95" customHeight="1" x14ac:dyDescent="0.15"/>
    <row r="58802" spans="3:3" customFormat="1" ht="21.95" customHeight="1" x14ac:dyDescent="0.15"/>
    <row r="58803" spans="3:3" customFormat="1" ht="21.95" customHeight="1" x14ac:dyDescent="0.15">
      <c r="C58803" s="94"/>
    </row>
    <row r="58804" spans="3:3" customFormat="1" ht="21.95" customHeight="1" x14ac:dyDescent="0.15">
      <c r="C58804" s="94"/>
    </row>
    <row r="58805" spans="3:3" customFormat="1" ht="21.95" customHeight="1" x14ac:dyDescent="0.15"/>
    <row r="58806" spans="3:3" customFormat="1" ht="21.95" customHeight="1" x14ac:dyDescent="0.15"/>
    <row r="58807" spans="3:3" customFormat="1" ht="21.95" customHeight="1" x14ac:dyDescent="0.15"/>
    <row r="58808" spans="3:3" customFormat="1" ht="21.95" customHeight="1" x14ac:dyDescent="0.15"/>
    <row r="58809" spans="3:3" customFormat="1" ht="21.95" customHeight="1" x14ac:dyDescent="0.15"/>
    <row r="58810" spans="3:3" customFormat="1" ht="21.95" customHeight="1" x14ac:dyDescent="0.15"/>
    <row r="58811" spans="3:3" customFormat="1" ht="21.95" customHeight="1" x14ac:dyDescent="0.15"/>
    <row r="58812" spans="3:3" s="76" customFormat="1" ht="21.95" customHeight="1" x14ac:dyDescent="0.15"/>
    <row r="58813" spans="3:3" s="76" customFormat="1" ht="21.95" customHeight="1" x14ac:dyDescent="0.15"/>
    <row r="58814" spans="3:3" s="76" customFormat="1" ht="21.95" customHeight="1" x14ac:dyDescent="0.15"/>
    <row r="58815" spans="3:3" s="76" customFormat="1" ht="21.95" customHeight="1" x14ac:dyDescent="0.15"/>
    <row r="58816" spans="3:3" customFormat="1" ht="21.95" customHeight="1" x14ac:dyDescent="0.15"/>
    <row r="58817" customFormat="1" ht="21.95" customHeight="1" x14ac:dyDescent="0.15"/>
    <row r="58818" customFormat="1" ht="21.95" customHeight="1" x14ac:dyDescent="0.15"/>
    <row r="58819" customFormat="1" ht="21.95" customHeight="1" x14ac:dyDescent="0.15"/>
    <row r="58820" customFormat="1" ht="21.95" customHeight="1" x14ac:dyDescent="0.15"/>
    <row r="58821" customFormat="1" ht="21.95" customHeight="1" x14ac:dyDescent="0.15"/>
    <row r="58822" customFormat="1" ht="21.95" customHeight="1" x14ac:dyDescent="0.15"/>
    <row r="58823" customFormat="1" ht="21.95" customHeight="1" x14ac:dyDescent="0.15"/>
    <row r="58824" customFormat="1" ht="21.95" customHeight="1" x14ac:dyDescent="0.15"/>
    <row r="58825" customFormat="1" ht="21.95" customHeight="1" x14ac:dyDescent="0.15"/>
    <row r="58826" customFormat="1" ht="21.95" customHeight="1" x14ac:dyDescent="0.15"/>
    <row r="58827" customFormat="1" ht="32.1" customHeight="1" x14ac:dyDescent="0.15"/>
    <row r="58828" customFormat="1" ht="32.1" customHeight="1" x14ac:dyDescent="0.15"/>
    <row r="58829" customFormat="1" ht="32.1" customHeight="1" x14ac:dyDescent="0.15"/>
    <row r="58830" customFormat="1" ht="32.1" customHeight="1" x14ac:dyDescent="0.15"/>
    <row r="58831" customFormat="1" ht="32.1" customHeight="1" x14ac:dyDescent="0.15"/>
    <row r="58832" customFormat="1" ht="32.1" customHeight="1" x14ac:dyDescent="0.15"/>
    <row r="58833" s="76" customFormat="1" ht="32.1" customHeight="1" x14ac:dyDescent="0.15"/>
    <row r="58834" s="76" customFormat="1" ht="32.1" customHeight="1" x14ac:dyDescent="0.15"/>
    <row r="58835" s="76" customFormat="1" ht="32.1" customHeight="1" x14ac:dyDescent="0.15"/>
    <row r="58836" s="76" customFormat="1" ht="32.1" customHeight="1" x14ac:dyDescent="0.15"/>
    <row r="58837" s="76" customFormat="1" ht="21.95" customHeight="1" x14ac:dyDescent="0.15"/>
    <row r="58838" s="76" customFormat="1" ht="54" customHeight="1" x14ac:dyDescent="0.15"/>
    <row r="58839" s="76" customFormat="1" ht="21.95" customHeight="1" x14ac:dyDescent="0.15"/>
    <row r="58840" s="76" customFormat="1" ht="21.95" customHeight="1" x14ac:dyDescent="0.15"/>
    <row r="58841" s="76" customFormat="1" ht="21.95" customHeight="1" x14ac:dyDescent="0.15"/>
    <row r="58842" s="76" customFormat="1" ht="21.95" customHeight="1" x14ac:dyDescent="0.15"/>
    <row r="58843" s="76" customFormat="1" ht="21.95" customHeight="1" x14ac:dyDescent="0.15"/>
    <row r="58844" s="76" customFormat="1" ht="21.95" customHeight="1" x14ac:dyDescent="0.15"/>
    <row r="58845" s="76" customFormat="1" ht="21.95" customHeight="1" x14ac:dyDescent="0.15"/>
    <row r="58846" s="76" customFormat="1" ht="21.95" customHeight="1" x14ac:dyDescent="0.15"/>
    <row r="58847" s="76" customFormat="1" ht="21.95" customHeight="1" x14ac:dyDescent="0.15"/>
    <row r="58848" s="76" customFormat="1" ht="21.95" customHeight="1" x14ac:dyDescent="0.15"/>
    <row r="58849" s="76" customFormat="1" ht="21.95" customHeight="1" x14ac:dyDescent="0.15"/>
    <row r="58850" s="76" customFormat="1" ht="21.95" customHeight="1" x14ac:dyDescent="0.15"/>
    <row r="58851" s="76" customFormat="1" ht="21.95" customHeight="1" x14ac:dyDescent="0.15"/>
    <row r="58852" s="76" customFormat="1" ht="21.95" customHeight="1" x14ac:dyDescent="0.15"/>
    <row r="58853" s="76" customFormat="1" ht="21.95" customHeight="1" x14ac:dyDescent="0.15"/>
    <row r="58854" s="76" customFormat="1" ht="21.95" customHeight="1" x14ac:dyDescent="0.15"/>
    <row r="58855" s="76" customFormat="1" ht="21.95" customHeight="1" x14ac:dyDescent="0.15"/>
    <row r="58856" s="76" customFormat="1" ht="21.95" customHeight="1" x14ac:dyDescent="0.15"/>
    <row r="58857" s="76" customFormat="1" ht="21.95" customHeight="1" x14ac:dyDescent="0.15"/>
    <row r="58858" s="76" customFormat="1" ht="21.95" customHeight="1" x14ac:dyDescent="0.15"/>
    <row r="58859" s="76" customFormat="1" ht="21.95" customHeight="1" x14ac:dyDescent="0.15"/>
    <row r="58860" s="76" customFormat="1" ht="21.95" customHeight="1" x14ac:dyDescent="0.15"/>
    <row r="58861" s="76" customFormat="1" ht="21.95" customHeight="1" x14ac:dyDescent="0.15"/>
    <row r="58862" s="76" customFormat="1" ht="21.95" customHeight="1" x14ac:dyDescent="0.15"/>
    <row r="58863" s="76" customFormat="1" ht="21.95" customHeight="1" x14ac:dyDescent="0.15"/>
    <row r="58864" s="76" customFormat="1" ht="21.95" customHeight="1" x14ac:dyDescent="0.15"/>
    <row r="58865" s="76" customFormat="1" ht="21.95" customHeight="1" x14ac:dyDescent="0.15"/>
    <row r="58866" s="76" customFormat="1" ht="21.95" customHeight="1" x14ac:dyDescent="0.15"/>
    <row r="58867" s="76" customFormat="1" ht="21.95" customHeight="1" x14ac:dyDescent="0.15"/>
    <row r="58868" s="76" customFormat="1" ht="21.95" customHeight="1" x14ac:dyDescent="0.15"/>
    <row r="58869" s="76" customFormat="1" ht="21.95" customHeight="1" x14ac:dyDescent="0.15"/>
    <row r="58870" s="76" customFormat="1" ht="21.95" customHeight="1" x14ac:dyDescent="0.15"/>
    <row r="58871" s="76" customFormat="1" ht="21.95" customHeight="1" x14ac:dyDescent="0.15"/>
    <row r="58872" s="76" customFormat="1" ht="21.95" customHeight="1" x14ac:dyDescent="0.15"/>
    <row r="58873" s="76" customFormat="1" ht="21.95" customHeight="1" x14ac:dyDescent="0.15"/>
    <row r="58874" s="76" customFormat="1" ht="21.95" customHeight="1" x14ac:dyDescent="0.15"/>
    <row r="58875" s="76" customFormat="1" ht="21.95" customHeight="1" x14ac:dyDescent="0.15"/>
    <row r="58876" s="76" customFormat="1" ht="21.95" customHeight="1" x14ac:dyDescent="0.15"/>
    <row r="58877" s="76" customFormat="1" ht="21.95" customHeight="1" x14ac:dyDescent="0.15"/>
    <row r="58878" s="76" customFormat="1" ht="21.95" customHeight="1" x14ac:dyDescent="0.15"/>
    <row r="58879" s="76" customFormat="1" ht="21.95" customHeight="1" x14ac:dyDescent="0.15"/>
    <row r="58880" s="76" customFormat="1" ht="21.95" customHeight="1" x14ac:dyDescent="0.15"/>
    <row r="58881" s="76" customFormat="1" ht="21.95" customHeight="1" x14ac:dyDescent="0.15"/>
    <row r="58882" s="76" customFormat="1" ht="21.95" customHeight="1" x14ac:dyDescent="0.15"/>
    <row r="58883" s="76" customFormat="1" ht="21.95" customHeight="1" x14ac:dyDescent="0.15"/>
    <row r="58884" s="76" customFormat="1" ht="21.95" customHeight="1" x14ac:dyDescent="0.15"/>
    <row r="58885" s="76" customFormat="1" ht="21.95" customHeight="1" x14ac:dyDescent="0.15"/>
    <row r="58886" s="76" customFormat="1" ht="21.95" customHeight="1" x14ac:dyDescent="0.15"/>
    <row r="58887" s="76" customFormat="1" ht="21.95" customHeight="1" x14ac:dyDescent="0.15"/>
    <row r="58888" s="76" customFormat="1" ht="21.95" customHeight="1" x14ac:dyDescent="0.15"/>
    <row r="58889" s="76" customFormat="1" ht="35.1" customHeight="1" x14ac:dyDescent="0.15"/>
    <row r="58890" s="76" customFormat="1" ht="21.95" customHeight="1" x14ac:dyDescent="0.15"/>
    <row r="58891" s="76" customFormat="1" ht="21.95" customHeight="1" x14ac:dyDescent="0.15"/>
    <row r="58892" s="76" customFormat="1" ht="21.95" customHeight="1" x14ac:dyDescent="0.15"/>
    <row r="58893" s="76" customFormat="1" ht="21.95" customHeight="1" x14ac:dyDescent="0.15"/>
    <row r="58894" s="76" customFormat="1" ht="21.95" customHeight="1" x14ac:dyDescent="0.15"/>
    <row r="58895" s="76" customFormat="1" ht="21.95" customHeight="1" x14ac:dyDescent="0.15"/>
    <row r="58896" s="76" customFormat="1" ht="21.95" customHeight="1" x14ac:dyDescent="0.15"/>
    <row r="58897" s="76" customFormat="1" ht="21.95" customHeight="1" x14ac:dyDescent="0.15"/>
    <row r="58898" s="76" customFormat="1" ht="21.95" customHeight="1" x14ac:dyDescent="0.15"/>
    <row r="58899" s="76" customFormat="1" ht="21.95" customHeight="1" x14ac:dyDescent="0.15"/>
    <row r="58900" s="76" customFormat="1" ht="21.95" customHeight="1" x14ac:dyDescent="0.15"/>
    <row r="58901" s="76" customFormat="1" ht="21.95" customHeight="1" x14ac:dyDescent="0.15"/>
    <row r="58902" s="76" customFormat="1" ht="21.95" customHeight="1" x14ac:dyDescent="0.15"/>
    <row r="58903" s="76" customFormat="1" ht="21.95" customHeight="1" x14ac:dyDescent="0.15"/>
    <row r="58904" s="76" customFormat="1" ht="21.95" customHeight="1" x14ac:dyDescent="0.15"/>
    <row r="58905" s="76" customFormat="1" ht="21.95" customHeight="1" x14ac:dyDescent="0.15"/>
    <row r="58906" s="76" customFormat="1" ht="21.95" customHeight="1" x14ac:dyDescent="0.15"/>
    <row r="58907" s="76" customFormat="1" ht="21.95" customHeight="1" x14ac:dyDescent="0.15"/>
    <row r="58908" s="76" customFormat="1" ht="21.95" customHeight="1" x14ac:dyDescent="0.15"/>
    <row r="58909" s="76" customFormat="1" ht="21.95" customHeight="1" x14ac:dyDescent="0.15"/>
    <row r="58910" s="76" customFormat="1" ht="21.95" customHeight="1" x14ac:dyDescent="0.15"/>
    <row r="58911" s="76" customFormat="1" ht="21.95" customHeight="1" x14ac:dyDescent="0.15"/>
    <row r="58912" s="76" customFormat="1" ht="21.95" customHeight="1" x14ac:dyDescent="0.15"/>
    <row r="58913" spans="3:3" customFormat="1" ht="21.95" customHeight="1" x14ac:dyDescent="0.15"/>
    <row r="58914" spans="3:3" customFormat="1" ht="21.95" customHeight="1" x14ac:dyDescent="0.15"/>
    <row r="58915" spans="3:3" customFormat="1" ht="21.95" customHeight="1" x14ac:dyDescent="0.15">
      <c r="C58915" s="94"/>
    </row>
    <row r="58916" spans="3:3" customFormat="1" ht="21.95" customHeight="1" x14ac:dyDescent="0.15">
      <c r="C58916" s="94"/>
    </row>
    <row r="58917" spans="3:3" customFormat="1" ht="21.95" customHeight="1" x14ac:dyDescent="0.15"/>
    <row r="58918" spans="3:3" customFormat="1" ht="21.95" customHeight="1" x14ac:dyDescent="0.15"/>
    <row r="58919" spans="3:3" customFormat="1" ht="21.95" customHeight="1" x14ac:dyDescent="0.15"/>
    <row r="58920" spans="3:3" customFormat="1" ht="21.95" customHeight="1" x14ac:dyDescent="0.15"/>
    <row r="58921" spans="3:3" customFormat="1" ht="21.95" customHeight="1" x14ac:dyDescent="0.15"/>
    <row r="58922" spans="3:3" customFormat="1" ht="21.95" customHeight="1" x14ac:dyDescent="0.15"/>
    <row r="58923" spans="3:3" customFormat="1" ht="21.95" customHeight="1" x14ac:dyDescent="0.15"/>
    <row r="58924" spans="3:3" s="76" customFormat="1" ht="21.95" customHeight="1" x14ac:dyDescent="0.15"/>
    <row r="58925" spans="3:3" s="76" customFormat="1" ht="21.95" customHeight="1" x14ac:dyDescent="0.15"/>
    <row r="58926" spans="3:3" s="76" customFormat="1" ht="21.95" customHeight="1" x14ac:dyDescent="0.15"/>
    <row r="58927" spans="3:3" s="76" customFormat="1" ht="21.95" customHeight="1" x14ac:dyDescent="0.15"/>
    <row r="58928" spans="3:3" customFormat="1" ht="21.95" customHeight="1" x14ac:dyDescent="0.15"/>
    <row r="58929" customFormat="1" ht="21.95" customHeight="1" x14ac:dyDescent="0.15"/>
    <row r="58930" customFormat="1" ht="21.95" customHeight="1" x14ac:dyDescent="0.15"/>
    <row r="58931" customFormat="1" ht="21.95" customHeight="1" x14ac:dyDescent="0.15"/>
    <row r="58932" customFormat="1" ht="21.95" customHeight="1" x14ac:dyDescent="0.15"/>
    <row r="58933" customFormat="1" ht="21.95" customHeight="1" x14ac:dyDescent="0.15"/>
    <row r="58934" customFormat="1" ht="21.95" customHeight="1" x14ac:dyDescent="0.15"/>
    <row r="58935" customFormat="1" ht="21.95" customHeight="1" x14ac:dyDescent="0.15"/>
    <row r="58936" customFormat="1" ht="21.95" customHeight="1" x14ac:dyDescent="0.15"/>
    <row r="58937" customFormat="1" ht="21.95" customHeight="1" x14ac:dyDescent="0.15"/>
    <row r="58938" customFormat="1" ht="21.95" customHeight="1" x14ac:dyDescent="0.15"/>
    <row r="58939" customFormat="1" ht="32.1" customHeight="1" x14ac:dyDescent="0.15"/>
    <row r="58940" customFormat="1" ht="32.1" customHeight="1" x14ac:dyDescent="0.15"/>
    <row r="58941" customFormat="1" ht="32.1" customHeight="1" x14ac:dyDescent="0.15"/>
    <row r="58942" customFormat="1" ht="32.1" customHeight="1" x14ac:dyDescent="0.15"/>
    <row r="58943" customFormat="1" ht="32.1" customHeight="1" x14ac:dyDescent="0.15"/>
    <row r="58944" customFormat="1" ht="32.1" customHeight="1" x14ac:dyDescent="0.15"/>
    <row r="58945" s="76" customFormat="1" ht="32.1" customHeight="1" x14ac:dyDescent="0.15"/>
    <row r="58946" s="76" customFormat="1" ht="32.1" customHeight="1" x14ac:dyDescent="0.15"/>
    <row r="58947" s="76" customFormat="1" ht="32.1" customHeight="1" x14ac:dyDescent="0.15"/>
    <row r="58948" s="76" customFormat="1" ht="32.1" customHeight="1" x14ac:dyDescent="0.15"/>
    <row r="58949" s="76" customFormat="1" ht="21.95" customHeight="1" x14ac:dyDescent="0.15"/>
    <row r="58950" s="76" customFormat="1" ht="54" customHeight="1" x14ac:dyDescent="0.15"/>
    <row r="58951" s="76" customFormat="1" ht="21.95" customHeight="1" x14ac:dyDescent="0.15"/>
    <row r="58952" s="76" customFormat="1" ht="21.95" customHeight="1" x14ac:dyDescent="0.15"/>
    <row r="58953" s="76" customFormat="1" ht="21.95" customHeight="1" x14ac:dyDescent="0.15"/>
    <row r="58954" s="76" customFormat="1" ht="21.95" customHeight="1" x14ac:dyDescent="0.15"/>
    <row r="58955" s="76" customFormat="1" ht="21.95" customHeight="1" x14ac:dyDescent="0.15"/>
    <row r="58956" s="76" customFormat="1" ht="21.95" customHeight="1" x14ac:dyDescent="0.15"/>
    <row r="58957" s="76" customFormat="1" ht="21.95" customHeight="1" x14ac:dyDescent="0.15"/>
    <row r="58958" s="76" customFormat="1" ht="21.95" customHeight="1" x14ac:dyDescent="0.15"/>
    <row r="58959" s="76" customFormat="1" ht="21.95" customHeight="1" x14ac:dyDescent="0.15"/>
    <row r="58960" s="76" customFormat="1" ht="21.95" customHeight="1" x14ac:dyDescent="0.15"/>
    <row r="58961" s="76" customFormat="1" ht="21.95" customHeight="1" x14ac:dyDescent="0.15"/>
    <row r="58962" s="76" customFormat="1" ht="21.95" customHeight="1" x14ac:dyDescent="0.15"/>
    <row r="58963" s="76" customFormat="1" ht="21.95" customHeight="1" x14ac:dyDescent="0.15"/>
    <row r="58964" s="76" customFormat="1" ht="21.95" customHeight="1" x14ac:dyDescent="0.15"/>
    <row r="58965" s="76" customFormat="1" ht="21.95" customHeight="1" x14ac:dyDescent="0.15"/>
    <row r="58966" s="76" customFormat="1" ht="21.95" customHeight="1" x14ac:dyDescent="0.15"/>
    <row r="58967" s="76" customFormat="1" ht="21.95" customHeight="1" x14ac:dyDescent="0.15"/>
    <row r="58968" s="76" customFormat="1" ht="21.95" customHeight="1" x14ac:dyDescent="0.15"/>
    <row r="58969" s="76" customFormat="1" ht="21.95" customHeight="1" x14ac:dyDescent="0.15"/>
    <row r="58970" s="76" customFormat="1" ht="21.95" customHeight="1" x14ac:dyDescent="0.15"/>
    <row r="58971" s="76" customFormat="1" ht="21.95" customHeight="1" x14ac:dyDescent="0.15"/>
    <row r="58972" s="76" customFormat="1" ht="21.95" customHeight="1" x14ac:dyDescent="0.15"/>
    <row r="58973" s="76" customFormat="1" ht="21.95" customHeight="1" x14ac:dyDescent="0.15"/>
    <row r="58974" s="76" customFormat="1" ht="21.95" customHeight="1" x14ac:dyDescent="0.15"/>
    <row r="58975" s="76" customFormat="1" ht="21.95" customHeight="1" x14ac:dyDescent="0.15"/>
    <row r="58976" s="76" customFormat="1" ht="21.95" customHeight="1" x14ac:dyDescent="0.15"/>
    <row r="58977" s="76" customFormat="1" ht="21.95" customHeight="1" x14ac:dyDescent="0.15"/>
    <row r="58978" s="76" customFormat="1" ht="21.95" customHeight="1" x14ac:dyDescent="0.15"/>
    <row r="58979" s="76" customFormat="1" ht="21.95" customHeight="1" x14ac:dyDescent="0.15"/>
    <row r="58980" s="76" customFormat="1" ht="21.95" customHeight="1" x14ac:dyDescent="0.15"/>
    <row r="58981" s="76" customFormat="1" ht="21.95" customHeight="1" x14ac:dyDescent="0.15"/>
    <row r="58982" s="76" customFormat="1" ht="21.95" customHeight="1" x14ac:dyDescent="0.15"/>
    <row r="58983" s="76" customFormat="1" ht="21.95" customHeight="1" x14ac:dyDescent="0.15"/>
    <row r="58984" s="76" customFormat="1" ht="21.95" customHeight="1" x14ac:dyDescent="0.15"/>
    <row r="58985" s="76" customFormat="1" ht="21.95" customHeight="1" x14ac:dyDescent="0.15"/>
    <row r="58986" s="76" customFormat="1" ht="21.95" customHeight="1" x14ac:dyDescent="0.15"/>
    <row r="58987" s="76" customFormat="1" ht="21.95" customHeight="1" x14ac:dyDescent="0.15"/>
    <row r="58988" s="76" customFormat="1" ht="21.95" customHeight="1" x14ac:dyDescent="0.15"/>
    <row r="58989" s="76" customFormat="1" ht="21.95" customHeight="1" x14ac:dyDescent="0.15"/>
    <row r="58990" s="76" customFormat="1" ht="21.95" customHeight="1" x14ac:dyDescent="0.15"/>
    <row r="58991" s="76" customFormat="1" ht="21.95" customHeight="1" x14ac:dyDescent="0.15"/>
    <row r="58992" s="76" customFormat="1" ht="21.95" customHeight="1" x14ac:dyDescent="0.15"/>
    <row r="58993" s="76" customFormat="1" ht="21.95" customHeight="1" x14ac:dyDescent="0.15"/>
    <row r="58994" s="76" customFormat="1" ht="21.95" customHeight="1" x14ac:dyDescent="0.15"/>
    <row r="58995" s="76" customFormat="1" ht="21.95" customHeight="1" x14ac:dyDescent="0.15"/>
    <row r="58996" s="76" customFormat="1" ht="21.95" customHeight="1" x14ac:dyDescent="0.15"/>
    <row r="58997" s="76" customFormat="1" ht="21.95" customHeight="1" x14ac:dyDescent="0.15"/>
    <row r="58998" s="76" customFormat="1" ht="21.95" customHeight="1" x14ac:dyDescent="0.15"/>
    <row r="58999" s="76" customFormat="1" ht="21.95" customHeight="1" x14ac:dyDescent="0.15"/>
    <row r="59000" s="76" customFormat="1" ht="21.95" customHeight="1" x14ac:dyDescent="0.15"/>
    <row r="59001" s="76" customFormat="1" ht="35.1" customHeight="1" x14ac:dyDescent="0.15"/>
    <row r="59002" s="76" customFormat="1" ht="21.95" customHeight="1" x14ac:dyDescent="0.15"/>
    <row r="59003" s="76" customFormat="1" ht="21.95" customHeight="1" x14ac:dyDescent="0.15"/>
    <row r="59004" s="76" customFormat="1" ht="21.95" customHeight="1" x14ac:dyDescent="0.15"/>
    <row r="59005" s="76" customFormat="1" ht="21.95" customHeight="1" x14ac:dyDescent="0.15"/>
    <row r="59006" s="76" customFormat="1" ht="21.95" customHeight="1" x14ac:dyDescent="0.15"/>
    <row r="59007" s="76" customFormat="1" ht="21.95" customHeight="1" x14ac:dyDescent="0.15"/>
    <row r="59008" s="76" customFormat="1" ht="21.95" customHeight="1" x14ac:dyDescent="0.15"/>
    <row r="59009" s="76" customFormat="1" ht="21.95" customHeight="1" x14ac:dyDescent="0.15"/>
    <row r="59010" s="76" customFormat="1" ht="21.95" customHeight="1" x14ac:dyDescent="0.15"/>
    <row r="59011" s="76" customFormat="1" ht="21.95" customHeight="1" x14ac:dyDescent="0.15"/>
    <row r="59012" s="76" customFormat="1" ht="21.95" customHeight="1" x14ac:dyDescent="0.15"/>
    <row r="59013" s="76" customFormat="1" ht="21.95" customHeight="1" x14ac:dyDescent="0.15"/>
    <row r="59014" s="76" customFormat="1" ht="21.95" customHeight="1" x14ac:dyDescent="0.15"/>
    <row r="59015" s="76" customFormat="1" ht="21.95" customHeight="1" x14ac:dyDescent="0.15"/>
    <row r="59016" s="76" customFormat="1" ht="21.95" customHeight="1" x14ac:dyDescent="0.15"/>
    <row r="59017" s="76" customFormat="1" ht="21.95" customHeight="1" x14ac:dyDescent="0.15"/>
    <row r="59018" s="76" customFormat="1" ht="21.95" customHeight="1" x14ac:dyDescent="0.15"/>
    <row r="59019" s="76" customFormat="1" ht="21.95" customHeight="1" x14ac:dyDescent="0.15"/>
    <row r="59020" s="76" customFormat="1" ht="21.95" customHeight="1" x14ac:dyDescent="0.15"/>
    <row r="59021" s="76" customFormat="1" ht="21.95" customHeight="1" x14ac:dyDescent="0.15"/>
    <row r="59022" s="76" customFormat="1" ht="21.95" customHeight="1" x14ac:dyDescent="0.15"/>
    <row r="59023" s="76" customFormat="1" ht="21.95" customHeight="1" x14ac:dyDescent="0.15"/>
    <row r="59024" s="76" customFormat="1" ht="21.95" customHeight="1" x14ac:dyDescent="0.15"/>
    <row r="59025" spans="3:3" customFormat="1" ht="21.95" customHeight="1" x14ac:dyDescent="0.15"/>
    <row r="59026" spans="3:3" customFormat="1" ht="21.95" customHeight="1" x14ac:dyDescent="0.15"/>
    <row r="59027" spans="3:3" customFormat="1" ht="21.95" customHeight="1" x14ac:dyDescent="0.15">
      <c r="C59027" s="94"/>
    </row>
    <row r="59028" spans="3:3" customFormat="1" ht="21.95" customHeight="1" x14ac:dyDescent="0.15">
      <c r="C59028" s="94"/>
    </row>
    <row r="59029" spans="3:3" customFormat="1" ht="21.95" customHeight="1" x14ac:dyDescent="0.15"/>
    <row r="59030" spans="3:3" customFormat="1" ht="21.95" customHeight="1" x14ac:dyDescent="0.15"/>
    <row r="59031" spans="3:3" customFormat="1" ht="21.95" customHeight="1" x14ac:dyDescent="0.15"/>
    <row r="59032" spans="3:3" customFormat="1" ht="21.95" customHeight="1" x14ac:dyDescent="0.15"/>
    <row r="59033" spans="3:3" customFormat="1" ht="21.95" customHeight="1" x14ac:dyDescent="0.15"/>
    <row r="59034" spans="3:3" customFormat="1" ht="21.95" customHeight="1" x14ac:dyDescent="0.15"/>
    <row r="59035" spans="3:3" customFormat="1" ht="21.95" customHeight="1" x14ac:dyDescent="0.15"/>
    <row r="59036" spans="3:3" s="76" customFormat="1" ht="21.95" customHeight="1" x14ac:dyDescent="0.15"/>
    <row r="59037" spans="3:3" s="76" customFormat="1" ht="21.95" customHeight="1" x14ac:dyDescent="0.15"/>
    <row r="59038" spans="3:3" s="76" customFormat="1" ht="21.95" customHeight="1" x14ac:dyDescent="0.15"/>
    <row r="59039" spans="3:3" s="76" customFormat="1" ht="21.95" customHeight="1" x14ac:dyDescent="0.15"/>
    <row r="59040" spans="3:3" customFormat="1" ht="21.95" customHeight="1" x14ac:dyDescent="0.15"/>
    <row r="59041" customFormat="1" ht="21.95" customHeight="1" x14ac:dyDescent="0.15"/>
    <row r="59042" customFormat="1" ht="21.95" customHeight="1" x14ac:dyDescent="0.15"/>
    <row r="59043" customFormat="1" ht="21.95" customHeight="1" x14ac:dyDescent="0.15"/>
    <row r="59044" customFormat="1" ht="21.95" customHeight="1" x14ac:dyDescent="0.15"/>
    <row r="59045" customFormat="1" ht="21.95" customHeight="1" x14ac:dyDescent="0.15"/>
    <row r="59046" customFormat="1" ht="21.95" customHeight="1" x14ac:dyDescent="0.15"/>
    <row r="59047" customFormat="1" ht="21.95" customHeight="1" x14ac:dyDescent="0.15"/>
    <row r="59048" customFormat="1" ht="21.95" customHeight="1" x14ac:dyDescent="0.15"/>
    <row r="59049" customFormat="1" ht="21.95" customHeight="1" x14ac:dyDescent="0.15"/>
    <row r="59050" customFormat="1" ht="21.95" customHeight="1" x14ac:dyDescent="0.15"/>
    <row r="59051" customFormat="1" ht="32.1" customHeight="1" x14ac:dyDescent="0.15"/>
    <row r="59052" customFormat="1" ht="32.1" customHeight="1" x14ac:dyDescent="0.15"/>
    <row r="59053" customFormat="1" ht="32.1" customHeight="1" x14ac:dyDescent="0.15"/>
    <row r="59054" customFormat="1" ht="32.1" customHeight="1" x14ac:dyDescent="0.15"/>
    <row r="59055" customFormat="1" ht="32.1" customHeight="1" x14ac:dyDescent="0.15"/>
    <row r="59056" customFormat="1" ht="32.1" customHeight="1" x14ac:dyDescent="0.15"/>
    <row r="59057" s="76" customFormat="1" ht="32.1" customHeight="1" x14ac:dyDescent="0.15"/>
    <row r="59058" s="76" customFormat="1" ht="32.1" customHeight="1" x14ac:dyDescent="0.15"/>
    <row r="59059" s="76" customFormat="1" ht="32.1" customHeight="1" x14ac:dyDescent="0.15"/>
    <row r="59060" s="76" customFormat="1" ht="32.1" customHeight="1" x14ac:dyDescent="0.15"/>
    <row r="59061" s="76" customFormat="1" ht="21.95" customHeight="1" x14ac:dyDescent="0.15"/>
    <row r="59062" s="76" customFormat="1" ht="54" customHeight="1" x14ac:dyDescent="0.15"/>
    <row r="59063" s="76" customFormat="1" ht="21.95" customHeight="1" x14ac:dyDescent="0.15"/>
    <row r="59064" s="76" customFormat="1" ht="21.95" customHeight="1" x14ac:dyDescent="0.15"/>
    <row r="59065" s="76" customFormat="1" ht="21.95" customHeight="1" x14ac:dyDescent="0.15"/>
    <row r="59066" s="76" customFormat="1" ht="21.95" customHeight="1" x14ac:dyDescent="0.15"/>
    <row r="59067" s="76" customFormat="1" ht="21.95" customHeight="1" x14ac:dyDescent="0.15"/>
    <row r="59068" s="76" customFormat="1" ht="21.95" customHeight="1" x14ac:dyDescent="0.15"/>
    <row r="59069" s="76" customFormat="1" ht="21.95" customHeight="1" x14ac:dyDescent="0.15"/>
    <row r="59070" s="76" customFormat="1" ht="21.95" customHeight="1" x14ac:dyDescent="0.15"/>
    <row r="59071" s="76" customFormat="1" ht="21.95" customHeight="1" x14ac:dyDescent="0.15"/>
    <row r="59072" s="76" customFormat="1" ht="21.95" customHeight="1" x14ac:dyDescent="0.15"/>
    <row r="59073" s="76" customFormat="1" ht="21.95" customHeight="1" x14ac:dyDescent="0.15"/>
    <row r="59074" s="76" customFormat="1" ht="21.95" customHeight="1" x14ac:dyDescent="0.15"/>
    <row r="59075" s="76" customFormat="1" ht="21.95" customHeight="1" x14ac:dyDescent="0.15"/>
    <row r="59076" s="76" customFormat="1" ht="21.95" customHeight="1" x14ac:dyDescent="0.15"/>
    <row r="59077" s="76" customFormat="1" ht="21.95" customHeight="1" x14ac:dyDescent="0.15"/>
    <row r="59078" s="76" customFormat="1" ht="21.95" customHeight="1" x14ac:dyDescent="0.15"/>
    <row r="59079" s="76" customFormat="1" ht="21.95" customHeight="1" x14ac:dyDescent="0.15"/>
    <row r="59080" s="76" customFormat="1" ht="21.95" customHeight="1" x14ac:dyDescent="0.15"/>
    <row r="59081" s="76" customFormat="1" ht="21.95" customHeight="1" x14ac:dyDescent="0.15"/>
    <row r="59082" s="76" customFormat="1" ht="21.95" customHeight="1" x14ac:dyDescent="0.15"/>
    <row r="59083" s="76" customFormat="1" ht="21.95" customHeight="1" x14ac:dyDescent="0.15"/>
    <row r="59084" s="76" customFormat="1" ht="21.95" customHeight="1" x14ac:dyDescent="0.15"/>
    <row r="59085" s="76" customFormat="1" ht="21.95" customHeight="1" x14ac:dyDescent="0.15"/>
    <row r="59086" s="76" customFormat="1" ht="21.95" customHeight="1" x14ac:dyDescent="0.15"/>
    <row r="59087" s="76" customFormat="1" ht="21.95" customHeight="1" x14ac:dyDescent="0.15"/>
    <row r="59088" s="76" customFormat="1" ht="21.95" customHeight="1" x14ac:dyDescent="0.15"/>
    <row r="59089" s="76" customFormat="1" ht="21.95" customHeight="1" x14ac:dyDescent="0.15"/>
    <row r="59090" s="76" customFormat="1" ht="21.95" customHeight="1" x14ac:dyDescent="0.15"/>
    <row r="59091" s="76" customFormat="1" ht="21.95" customHeight="1" x14ac:dyDescent="0.15"/>
    <row r="59092" s="76" customFormat="1" ht="21.95" customHeight="1" x14ac:dyDescent="0.15"/>
    <row r="59093" s="76" customFormat="1" ht="21.95" customHeight="1" x14ac:dyDescent="0.15"/>
    <row r="59094" s="76" customFormat="1" ht="21.95" customHeight="1" x14ac:dyDescent="0.15"/>
    <row r="59095" s="76" customFormat="1" ht="21.95" customHeight="1" x14ac:dyDescent="0.15"/>
    <row r="59096" s="76" customFormat="1" ht="21.95" customHeight="1" x14ac:dyDescent="0.15"/>
    <row r="59097" s="76" customFormat="1" ht="21.95" customHeight="1" x14ac:dyDescent="0.15"/>
    <row r="59098" s="76" customFormat="1" ht="21.95" customHeight="1" x14ac:dyDescent="0.15"/>
    <row r="59099" s="76" customFormat="1" ht="21.95" customHeight="1" x14ac:dyDescent="0.15"/>
    <row r="59100" s="76" customFormat="1" ht="21.95" customHeight="1" x14ac:dyDescent="0.15"/>
    <row r="59101" s="76" customFormat="1" ht="21.95" customHeight="1" x14ac:dyDescent="0.15"/>
    <row r="59102" s="76" customFormat="1" ht="21.95" customHeight="1" x14ac:dyDescent="0.15"/>
    <row r="59103" s="76" customFormat="1" ht="21.95" customHeight="1" x14ac:dyDescent="0.15"/>
    <row r="59104" s="76" customFormat="1" ht="21.95" customHeight="1" x14ac:dyDescent="0.15"/>
    <row r="59105" s="76" customFormat="1" ht="21.95" customHeight="1" x14ac:dyDescent="0.15"/>
    <row r="59106" s="76" customFormat="1" ht="21.95" customHeight="1" x14ac:dyDescent="0.15"/>
    <row r="59107" s="76" customFormat="1" ht="21.95" customHeight="1" x14ac:dyDescent="0.15"/>
    <row r="59108" s="76" customFormat="1" ht="21.95" customHeight="1" x14ac:dyDescent="0.15"/>
    <row r="59109" s="76" customFormat="1" ht="21.95" customHeight="1" x14ac:dyDescent="0.15"/>
    <row r="59110" s="76" customFormat="1" ht="21.95" customHeight="1" x14ac:dyDescent="0.15"/>
    <row r="59111" s="76" customFormat="1" ht="21.95" customHeight="1" x14ac:dyDescent="0.15"/>
    <row r="59112" s="76" customFormat="1" ht="21.95" customHeight="1" x14ac:dyDescent="0.15"/>
    <row r="59113" s="76" customFormat="1" ht="35.1" customHeight="1" x14ac:dyDescent="0.15"/>
    <row r="59114" s="76" customFormat="1" ht="21.95" customHeight="1" x14ac:dyDescent="0.15"/>
    <row r="59115" s="76" customFormat="1" ht="21.95" customHeight="1" x14ac:dyDescent="0.15"/>
    <row r="59116" s="76" customFormat="1" ht="21.95" customHeight="1" x14ac:dyDescent="0.15"/>
    <row r="59117" s="76" customFormat="1" ht="21.95" customHeight="1" x14ac:dyDescent="0.15"/>
    <row r="59118" s="76" customFormat="1" ht="21.95" customHeight="1" x14ac:dyDescent="0.15"/>
    <row r="59119" s="76" customFormat="1" ht="21.95" customHeight="1" x14ac:dyDescent="0.15"/>
    <row r="59120" s="76" customFormat="1" ht="21.95" customHeight="1" x14ac:dyDescent="0.15"/>
    <row r="59121" s="76" customFormat="1" ht="21.95" customHeight="1" x14ac:dyDescent="0.15"/>
    <row r="59122" s="76" customFormat="1" ht="21.95" customHeight="1" x14ac:dyDescent="0.15"/>
    <row r="59123" s="76" customFormat="1" ht="21.95" customHeight="1" x14ac:dyDescent="0.15"/>
    <row r="59124" s="76" customFormat="1" ht="21.95" customHeight="1" x14ac:dyDescent="0.15"/>
    <row r="59125" s="76" customFormat="1" ht="21.95" customHeight="1" x14ac:dyDescent="0.15"/>
    <row r="59126" s="76" customFormat="1" ht="21.95" customHeight="1" x14ac:dyDescent="0.15"/>
    <row r="59127" s="76" customFormat="1" ht="21.95" customHeight="1" x14ac:dyDescent="0.15"/>
    <row r="59128" s="76" customFormat="1" ht="21.95" customHeight="1" x14ac:dyDescent="0.15"/>
    <row r="59129" s="76" customFormat="1" ht="21.95" customHeight="1" x14ac:dyDescent="0.15"/>
    <row r="59130" s="76" customFormat="1" ht="21.95" customHeight="1" x14ac:dyDescent="0.15"/>
    <row r="59131" s="76" customFormat="1" ht="21.95" customHeight="1" x14ac:dyDescent="0.15"/>
    <row r="59132" s="76" customFormat="1" ht="21.95" customHeight="1" x14ac:dyDescent="0.15"/>
    <row r="59133" s="76" customFormat="1" ht="21.95" customHeight="1" x14ac:dyDescent="0.15"/>
    <row r="59134" s="76" customFormat="1" ht="21.95" customHeight="1" x14ac:dyDescent="0.15"/>
    <row r="59135" s="76" customFormat="1" ht="21.95" customHeight="1" x14ac:dyDescent="0.15"/>
    <row r="59136" s="76" customFormat="1" ht="21.95" customHeight="1" x14ac:dyDescent="0.15"/>
    <row r="59137" spans="3:3" customFormat="1" ht="21.95" customHeight="1" x14ac:dyDescent="0.15"/>
    <row r="59138" spans="3:3" customFormat="1" ht="21.95" customHeight="1" x14ac:dyDescent="0.15"/>
    <row r="59139" spans="3:3" customFormat="1" ht="21.95" customHeight="1" x14ac:dyDescent="0.15">
      <c r="C59139" s="94"/>
    </row>
    <row r="59140" spans="3:3" customFormat="1" ht="21.95" customHeight="1" x14ac:dyDescent="0.15">
      <c r="C59140" s="94"/>
    </row>
    <row r="59141" spans="3:3" customFormat="1" ht="21.95" customHeight="1" x14ac:dyDescent="0.15"/>
    <row r="59142" spans="3:3" customFormat="1" ht="21.95" customHeight="1" x14ac:dyDescent="0.15"/>
    <row r="59143" spans="3:3" customFormat="1" ht="21.95" customHeight="1" x14ac:dyDescent="0.15"/>
    <row r="59144" spans="3:3" customFormat="1" ht="21.95" customHeight="1" x14ac:dyDescent="0.15"/>
    <row r="59145" spans="3:3" customFormat="1" ht="21.95" customHeight="1" x14ac:dyDescent="0.15"/>
    <row r="59146" spans="3:3" customFormat="1" ht="21.95" customHeight="1" x14ac:dyDescent="0.15"/>
    <row r="59147" spans="3:3" customFormat="1" ht="21.95" customHeight="1" x14ac:dyDescent="0.15"/>
    <row r="59148" spans="3:3" s="76" customFormat="1" ht="21.95" customHeight="1" x14ac:dyDescent="0.15"/>
    <row r="59149" spans="3:3" s="76" customFormat="1" ht="21.95" customHeight="1" x14ac:dyDescent="0.15"/>
    <row r="59150" spans="3:3" s="76" customFormat="1" ht="21.95" customHeight="1" x14ac:dyDescent="0.15"/>
    <row r="59151" spans="3:3" s="76" customFormat="1" ht="21.95" customHeight="1" x14ac:dyDescent="0.15"/>
    <row r="59152" spans="3:3" customFormat="1" ht="21.95" customHeight="1" x14ac:dyDescent="0.15"/>
    <row r="59153" customFormat="1" ht="21.95" customHeight="1" x14ac:dyDescent="0.15"/>
    <row r="59154" customFormat="1" ht="21.95" customHeight="1" x14ac:dyDescent="0.15"/>
    <row r="59155" customFormat="1" ht="21.95" customHeight="1" x14ac:dyDescent="0.15"/>
    <row r="59156" customFormat="1" ht="21.95" customHeight="1" x14ac:dyDescent="0.15"/>
    <row r="59157" customFormat="1" ht="21.95" customHeight="1" x14ac:dyDescent="0.15"/>
    <row r="59158" customFormat="1" ht="21.95" customHeight="1" x14ac:dyDescent="0.15"/>
    <row r="59159" customFormat="1" ht="21.95" customHeight="1" x14ac:dyDescent="0.15"/>
    <row r="59160" customFormat="1" ht="21.95" customHeight="1" x14ac:dyDescent="0.15"/>
    <row r="59161" customFormat="1" ht="21.95" customHeight="1" x14ac:dyDescent="0.15"/>
    <row r="59162" customFormat="1" ht="21.95" customHeight="1" x14ac:dyDescent="0.15"/>
    <row r="59163" customFormat="1" ht="32.1" customHeight="1" x14ac:dyDescent="0.15"/>
    <row r="59164" customFormat="1" ht="32.1" customHeight="1" x14ac:dyDescent="0.15"/>
    <row r="59165" customFormat="1" ht="32.1" customHeight="1" x14ac:dyDescent="0.15"/>
    <row r="59166" customFormat="1" ht="32.1" customHeight="1" x14ac:dyDescent="0.15"/>
    <row r="59167" customFormat="1" ht="32.1" customHeight="1" x14ac:dyDescent="0.15"/>
    <row r="59168" customFormat="1" ht="32.1" customHeight="1" x14ac:dyDescent="0.15"/>
    <row r="59169" s="76" customFormat="1" ht="32.1" customHeight="1" x14ac:dyDescent="0.15"/>
    <row r="59170" s="76" customFormat="1" ht="32.1" customHeight="1" x14ac:dyDescent="0.15"/>
    <row r="59171" s="76" customFormat="1" ht="32.1" customHeight="1" x14ac:dyDescent="0.15"/>
    <row r="59172" s="76" customFormat="1" ht="32.1" customHeight="1" x14ac:dyDescent="0.15"/>
    <row r="59173" s="76" customFormat="1" ht="21.95" customHeight="1" x14ac:dyDescent="0.15"/>
    <row r="59174" s="76" customFormat="1" ht="54" customHeight="1" x14ac:dyDescent="0.15"/>
    <row r="59175" s="76" customFormat="1" ht="21.95" customHeight="1" x14ac:dyDescent="0.15"/>
    <row r="59176" s="76" customFormat="1" ht="21.95" customHeight="1" x14ac:dyDescent="0.15"/>
    <row r="59177" s="76" customFormat="1" ht="21.95" customHeight="1" x14ac:dyDescent="0.15"/>
    <row r="59178" s="76" customFormat="1" ht="21.95" customHeight="1" x14ac:dyDescent="0.15"/>
    <row r="59179" s="76" customFormat="1" ht="21.95" customHeight="1" x14ac:dyDescent="0.15"/>
    <row r="59180" s="76" customFormat="1" ht="21.95" customHeight="1" x14ac:dyDescent="0.15"/>
    <row r="59181" s="76" customFormat="1" ht="21.95" customHeight="1" x14ac:dyDescent="0.15"/>
    <row r="59182" s="76" customFormat="1" ht="21.95" customHeight="1" x14ac:dyDescent="0.15"/>
    <row r="59183" s="76" customFormat="1" ht="21.95" customHeight="1" x14ac:dyDescent="0.15"/>
    <row r="59184" s="76" customFormat="1" ht="21.95" customHeight="1" x14ac:dyDescent="0.15"/>
    <row r="59185" s="76" customFormat="1" ht="21.95" customHeight="1" x14ac:dyDescent="0.15"/>
    <row r="59186" s="76" customFormat="1" ht="21.95" customHeight="1" x14ac:dyDescent="0.15"/>
    <row r="59187" s="76" customFormat="1" ht="21.95" customHeight="1" x14ac:dyDescent="0.15"/>
    <row r="59188" s="76" customFormat="1" ht="21.95" customHeight="1" x14ac:dyDescent="0.15"/>
    <row r="59189" s="76" customFormat="1" ht="21.95" customHeight="1" x14ac:dyDescent="0.15"/>
    <row r="59190" s="76" customFormat="1" ht="21.95" customHeight="1" x14ac:dyDescent="0.15"/>
    <row r="59191" s="76" customFormat="1" ht="21.95" customHeight="1" x14ac:dyDescent="0.15"/>
    <row r="59192" s="76" customFormat="1" ht="21.95" customHeight="1" x14ac:dyDescent="0.15"/>
    <row r="59193" s="76" customFormat="1" ht="21.95" customHeight="1" x14ac:dyDescent="0.15"/>
    <row r="59194" s="76" customFormat="1" ht="21.95" customHeight="1" x14ac:dyDescent="0.15"/>
    <row r="59195" s="76" customFormat="1" ht="21.95" customHeight="1" x14ac:dyDescent="0.15"/>
    <row r="59196" s="76" customFormat="1" ht="21.95" customHeight="1" x14ac:dyDescent="0.15"/>
    <row r="59197" s="76" customFormat="1" ht="21.95" customHeight="1" x14ac:dyDescent="0.15"/>
    <row r="59198" s="76" customFormat="1" ht="21.95" customHeight="1" x14ac:dyDescent="0.15"/>
    <row r="59199" s="76" customFormat="1" ht="21.95" customHeight="1" x14ac:dyDescent="0.15"/>
    <row r="59200" s="76" customFormat="1" ht="21.95" customHeight="1" x14ac:dyDescent="0.15"/>
    <row r="59201" s="76" customFormat="1" ht="21.95" customHeight="1" x14ac:dyDescent="0.15"/>
    <row r="59202" s="76" customFormat="1" ht="21.95" customHeight="1" x14ac:dyDescent="0.15"/>
    <row r="59203" s="76" customFormat="1" ht="21.95" customHeight="1" x14ac:dyDescent="0.15"/>
    <row r="59204" s="76" customFormat="1" ht="21.95" customHeight="1" x14ac:dyDescent="0.15"/>
    <row r="59205" s="76" customFormat="1" ht="21.95" customHeight="1" x14ac:dyDescent="0.15"/>
    <row r="59206" s="76" customFormat="1" ht="21.95" customHeight="1" x14ac:dyDescent="0.15"/>
    <row r="59207" s="76" customFormat="1" ht="21.95" customHeight="1" x14ac:dyDescent="0.15"/>
    <row r="59208" s="76" customFormat="1" ht="21.95" customHeight="1" x14ac:dyDescent="0.15"/>
    <row r="59209" s="76" customFormat="1" ht="21.95" customHeight="1" x14ac:dyDescent="0.15"/>
    <row r="59210" s="76" customFormat="1" ht="21.95" customHeight="1" x14ac:dyDescent="0.15"/>
    <row r="59211" s="76" customFormat="1" ht="21.95" customHeight="1" x14ac:dyDescent="0.15"/>
    <row r="59212" s="76" customFormat="1" ht="21.95" customHeight="1" x14ac:dyDescent="0.15"/>
    <row r="59213" s="76" customFormat="1" ht="21.95" customHeight="1" x14ac:dyDescent="0.15"/>
    <row r="59214" s="76" customFormat="1" ht="21.95" customHeight="1" x14ac:dyDescent="0.15"/>
    <row r="59215" s="76" customFormat="1" ht="21.95" customHeight="1" x14ac:dyDescent="0.15"/>
    <row r="59216" s="76" customFormat="1" ht="21.95" customHeight="1" x14ac:dyDescent="0.15"/>
    <row r="59217" s="76" customFormat="1" ht="21.95" customHeight="1" x14ac:dyDescent="0.15"/>
    <row r="59218" s="76" customFormat="1" ht="21.95" customHeight="1" x14ac:dyDescent="0.15"/>
    <row r="59219" s="76" customFormat="1" ht="21.95" customHeight="1" x14ac:dyDescent="0.15"/>
    <row r="59220" s="76" customFormat="1" ht="21.95" customHeight="1" x14ac:dyDescent="0.15"/>
    <row r="59221" s="76" customFormat="1" ht="21.95" customHeight="1" x14ac:dyDescent="0.15"/>
    <row r="59222" s="76" customFormat="1" ht="21.95" customHeight="1" x14ac:dyDescent="0.15"/>
    <row r="59223" s="76" customFormat="1" ht="21.95" customHeight="1" x14ac:dyDescent="0.15"/>
    <row r="59224" s="76" customFormat="1" ht="21.95" customHeight="1" x14ac:dyDescent="0.15"/>
    <row r="59225" s="76" customFormat="1" ht="35.1" customHeight="1" x14ac:dyDescent="0.15"/>
    <row r="59226" s="76" customFormat="1" ht="21.95" customHeight="1" x14ac:dyDescent="0.15"/>
    <row r="59227" s="76" customFormat="1" ht="21.95" customHeight="1" x14ac:dyDescent="0.15"/>
    <row r="59228" s="76" customFormat="1" ht="21.95" customHeight="1" x14ac:dyDescent="0.15"/>
    <row r="59229" s="76" customFormat="1" ht="21.95" customHeight="1" x14ac:dyDescent="0.15"/>
    <row r="59230" s="76" customFormat="1" ht="21.95" customHeight="1" x14ac:dyDescent="0.15"/>
    <row r="59231" s="76" customFormat="1" ht="21.95" customHeight="1" x14ac:dyDescent="0.15"/>
    <row r="59232" s="76" customFormat="1" ht="21.95" customHeight="1" x14ac:dyDescent="0.15"/>
    <row r="59233" s="76" customFormat="1" ht="21.95" customHeight="1" x14ac:dyDescent="0.15"/>
    <row r="59234" s="76" customFormat="1" ht="21.95" customHeight="1" x14ac:dyDescent="0.15"/>
    <row r="59235" s="76" customFormat="1" ht="21.95" customHeight="1" x14ac:dyDescent="0.15"/>
    <row r="59236" s="76" customFormat="1" ht="21.95" customHeight="1" x14ac:dyDescent="0.15"/>
    <row r="59237" s="76" customFormat="1" ht="21.95" customHeight="1" x14ac:dyDescent="0.15"/>
    <row r="59238" s="76" customFormat="1" ht="21.95" customHeight="1" x14ac:dyDescent="0.15"/>
    <row r="59239" s="76" customFormat="1" ht="21.95" customHeight="1" x14ac:dyDescent="0.15"/>
    <row r="59240" s="76" customFormat="1" ht="21.95" customHeight="1" x14ac:dyDescent="0.15"/>
    <row r="59241" s="76" customFormat="1" ht="21.95" customHeight="1" x14ac:dyDescent="0.15"/>
    <row r="59242" s="76" customFormat="1" ht="21.95" customHeight="1" x14ac:dyDescent="0.15"/>
    <row r="59243" s="76" customFormat="1" ht="21.95" customHeight="1" x14ac:dyDescent="0.15"/>
    <row r="59244" s="76" customFormat="1" ht="21.95" customHeight="1" x14ac:dyDescent="0.15"/>
    <row r="59245" s="76" customFormat="1" ht="21.95" customHeight="1" x14ac:dyDescent="0.15"/>
    <row r="59246" s="76" customFormat="1" ht="21.95" customHeight="1" x14ac:dyDescent="0.15"/>
    <row r="59247" s="76" customFormat="1" ht="21.95" customHeight="1" x14ac:dyDescent="0.15"/>
    <row r="59248" s="76" customFormat="1" ht="21.95" customHeight="1" x14ac:dyDescent="0.15"/>
    <row r="59249" spans="3:3" customFormat="1" ht="21.95" customHeight="1" x14ac:dyDescent="0.15"/>
    <row r="59250" spans="3:3" customFormat="1" ht="21.95" customHeight="1" x14ac:dyDescent="0.15"/>
    <row r="59251" spans="3:3" customFormat="1" ht="21.95" customHeight="1" x14ac:dyDescent="0.15">
      <c r="C59251" s="94"/>
    </row>
    <row r="59252" spans="3:3" customFormat="1" ht="21.95" customHeight="1" x14ac:dyDescent="0.15">
      <c r="C59252" s="94"/>
    </row>
    <row r="59253" spans="3:3" customFormat="1" ht="21.95" customHeight="1" x14ac:dyDescent="0.15"/>
    <row r="59254" spans="3:3" customFormat="1" ht="21.95" customHeight="1" x14ac:dyDescent="0.15"/>
    <row r="59255" spans="3:3" customFormat="1" ht="21.95" customHeight="1" x14ac:dyDescent="0.15"/>
    <row r="59256" spans="3:3" customFormat="1" ht="21.95" customHeight="1" x14ac:dyDescent="0.15"/>
    <row r="59257" spans="3:3" customFormat="1" ht="21.95" customHeight="1" x14ac:dyDescent="0.15"/>
    <row r="59258" spans="3:3" customFormat="1" ht="21.95" customHeight="1" x14ac:dyDescent="0.15"/>
    <row r="59259" spans="3:3" customFormat="1" ht="21.95" customHeight="1" x14ac:dyDescent="0.15"/>
    <row r="59260" spans="3:3" s="76" customFormat="1" ht="21.95" customHeight="1" x14ac:dyDescent="0.15"/>
    <row r="59261" spans="3:3" s="76" customFormat="1" ht="21.95" customHeight="1" x14ac:dyDescent="0.15"/>
    <row r="59262" spans="3:3" s="76" customFormat="1" ht="21.95" customHeight="1" x14ac:dyDescent="0.15"/>
    <row r="59263" spans="3:3" s="76" customFormat="1" ht="21.95" customHeight="1" x14ac:dyDescent="0.15"/>
    <row r="59264" spans="3:3" customFormat="1" ht="21.95" customHeight="1" x14ac:dyDescent="0.15"/>
    <row r="59265" customFormat="1" ht="21.95" customHeight="1" x14ac:dyDescent="0.15"/>
    <row r="59266" customFormat="1" ht="21.95" customHeight="1" x14ac:dyDescent="0.15"/>
    <row r="59267" customFormat="1" ht="21.95" customHeight="1" x14ac:dyDescent="0.15"/>
    <row r="59268" customFormat="1" ht="21.95" customHeight="1" x14ac:dyDescent="0.15"/>
    <row r="59269" customFormat="1" ht="21.95" customHeight="1" x14ac:dyDescent="0.15"/>
    <row r="59270" customFormat="1" ht="21.95" customHeight="1" x14ac:dyDescent="0.15"/>
    <row r="59271" customFormat="1" ht="21.95" customHeight="1" x14ac:dyDescent="0.15"/>
    <row r="59272" customFormat="1" ht="21.95" customHeight="1" x14ac:dyDescent="0.15"/>
    <row r="59273" customFormat="1" ht="21.95" customHeight="1" x14ac:dyDescent="0.15"/>
    <row r="59274" customFormat="1" ht="21.95" customHeight="1" x14ac:dyDescent="0.15"/>
    <row r="59275" customFormat="1" ht="32.1" customHeight="1" x14ac:dyDescent="0.15"/>
    <row r="59276" customFormat="1" ht="32.1" customHeight="1" x14ac:dyDescent="0.15"/>
    <row r="59277" customFormat="1" ht="32.1" customHeight="1" x14ac:dyDescent="0.15"/>
    <row r="59278" customFormat="1" ht="32.1" customHeight="1" x14ac:dyDescent="0.15"/>
    <row r="59279" customFormat="1" ht="32.1" customHeight="1" x14ac:dyDescent="0.15"/>
    <row r="59280" customFormat="1" ht="32.1" customHeight="1" x14ac:dyDescent="0.15"/>
    <row r="59281" s="76" customFormat="1" ht="32.1" customHeight="1" x14ac:dyDescent="0.15"/>
    <row r="59282" s="76" customFormat="1" ht="32.1" customHeight="1" x14ac:dyDescent="0.15"/>
    <row r="59283" s="76" customFormat="1" ht="32.1" customHeight="1" x14ac:dyDescent="0.15"/>
    <row r="59284" s="76" customFormat="1" ht="32.1" customHeight="1" x14ac:dyDescent="0.15"/>
    <row r="59285" s="76" customFormat="1" ht="21.95" customHeight="1" x14ac:dyDescent="0.15"/>
    <row r="59286" s="76" customFormat="1" ht="54" customHeight="1" x14ac:dyDescent="0.15"/>
    <row r="59287" s="76" customFormat="1" ht="21.95" customHeight="1" x14ac:dyDescent="0.15"/>
    <row r="59288" s="76" customFormat="1" ht="21.95" customHeight="1" x14ac:dyDescent="0.15"/>
    <row r="59289" s="76" customFormat="1" ht="21.95" customHeight="1" x14ac:dyDescent="0.15"/>
    <row r="59290" s="76" customFormat="1" ht="21.95" customHeight="1" x14ac:dyDescent="0.15"/>
    <row r="59291" s="76" customFormat="1" ht="21.95" customHeight="1" x14ac:dyDescent="0.15"/>
    <row r="59292" s="76" customFormat="1" ht="21.95" customHeight="1" x14ac:dyDescent="0.15"/>
    <row r="59293" s="76" customFormat="1" ht="21.95" customHeight="1" x14ac:dyDescent="0.15"/>
    <row r="59294" s="76" customFormat="1" ht="21.95" customHeight="1" x14ac:dyDescent="0.15"/>
    <row r="59295" s="76" customFormat="1" ht="21.95" customHeight="1" x14ac:dyDescent="0.15"/>
    <row r="59296" s="76" customFormat="1" ht="21.95" customHeight="1" x14ac:dyDescent="0.15"/>
    <row r="59297" s="76" customFormat="1" ht="21.95" customHeight="1" x14ac:dyDescent="0.15"/>
    <row r="59298" s="76" customFormat="1" ht="21.95" customHeight="1" x14ac:dyDescent="0.15"/>
    <row r="59299" s="76" customFormat="1" ht="21.95" customHeight="1" x14ac:dyDescent="0.15"/>
    <row r="59300" s="76" customFormat="1" ht="21.95" customHeight="1" x14ac:dyDescent="0.15"/>
    <row r="59301" s="76" customFormat="1" ht="21.95" customHeight="1" x14ac:dyDescent="0.15"/>
    <row r="59302" s="76" customFormat="1" ht="21.95" customHeight="1" x14ac:dyDescent="0.15"/>
    <row r="59303" s="76" customFormat="1" ht="21.95" customHeight="1" x14ac:dyDescent="0.15"/>
    <row r="59304" s="76" customFormat="1" ht="21.95" customHeight="1" x14ac:dyDescent="0.15"/>
    <row r="59305" s="76" customFormat="1" ht="21.95" customHeight="1" x14ac:dyDescent="0.15"/>
    <row r="59306" s="76" customFormat="1" ht="21.95" customHeight="1" x14ac:dyDescent="0.15"/>
    <row r="59307" s="76" customFormat="1" ht="21.95" customHeight="1" x14ac:dyDescent="0.15"/>
    <row r="59308" s="76" customFormat="1" ht="21.95" customHeight="1" x14ac:dyDescent="0.15"/>
    <row r="59309" s="76" customFormat="1" ht="21.95" customHeight="1" x14ac:dyDescent="0.15"/>
    <row r="59310" s="76" customFormat="1" ht="21.95" customHeight="1" x14ac:dyDescent="0.15"/>
    <row r="59311" s="76" customFormat="1" ht="21.95" customHeight="1" x14ac:dyDescent="0.15"/>
    <row r="59312" s="76" customFormat="1" ht="21.95" customHeight="1" x14ac:dyDescent="0.15"/>
    <row r="59313" s="76" customFormat="1" ht="21.95" customHeight="1" x14ac:dyDescent="0.15"/>
    <row r="59314" s="76" customFormat="1" ht="21.95" customHeight="1" x14ac:dyDescent="0.15"/>
    <row r="59315" s="76" customFormat="1" ht="21.95" customHeight="1" x14ac:dyDescent="0.15"/>
    <row r="59316" s="76" customFormat="1" ht="21.95" customHeight="1" x14ac:dyDescent="0.15"/>
    <row r="59317" s="76" customFormat="1" ht="21.95" customHeight="1" x14ac:dyDescent="0.15"/>
    <row r="59318" s="76" customFormat="1" ht="21.95" customHeight="1" x14ac:dyDescent="0.15"/>
    <row r="59319" s="76" customFormat="1" ht="21.95" customHeight="1" x14ac:dyDescent="0.15"/>
    <row r="59320" s="76" customFormat="1" ht="21.95" customHeight="1" x14ac:dyDescent="0.15"/>
    <row r="59321" s="76" customFormat="1" ht="21.95" customHeight="1" x14ac:dyDescent="0.15"/>
    <row r="59322" s="76" customFormat="1" ht="21.95" customHeight="1" x14ac:dyDescent="0.15"/>
    <row r="59323" s="76" customFormat="1" ht="21.95" customHeight="1" x14ac:dyDescent="0.15"/>
    <row r="59324" s="76" customFormat="1" ht="21.95" customHeight="1" x14ac:dyDescent="0.15"/>
    <row r="59325" s="76" customFormat="1" ht="21.95" customHeight="1" x14ac:dyDescent="0.15"/>
    <row r="59326" s="76" customFormat="1" ht="21.95" customHeight="1" x14ac:dyDescent="0.15"/>
    <row r="59327" s="76" customFormat="1" ht="21.95" customHeight="1" x14ac:dyDescent="0.15"/>
    <row r="59328" s="76" customFormat="1" ht="21.95" customHeight="1" x14ac:dyDescent="0.15"/>
    <row r="59329" s="76" customFormat="1" ht="21.95" customHeight="1" x14ac:dyDescent="0.15"/>
    <row r="59330" s="76" customFormat="1" ht="21.95" customHeight="1" x14ac:dyDescent="0.15"/>
    <row r="59331" s="76" customFormat="1" ht="21.95" customHeight="1" x14ac:dyDescent="0.15"/>
    <row r="59332" s="76" customFormat="1" ht="21.95" customHeight="1" x14ac:dyDescent="0.15"/>
    <row r="59333" s="76" customFormat="1" ht="21.95" customHeight="1" x14ac:dyDescent="0.15"/>
    <row r="59334" s="76" customFormat="1" ht="21.95" customHeight="1" x14ac:dyDescent="0.15"/>
    <row r="59335" s="76" customFormat="1" ht="21.95" customHeight="1" x14ac:dyDescent="0.15"/>
    <row r="59336" s="76" customFormat="1" ht="21.95" customHeight="1" x14ac:dyDescent="0.15"/>
    <row r="59337" s="76" customFormat="1" ht="35.1" customHeight="1" x14ac:dyDescent="0.15"/>
    <row r="59338" s="76" customFormat="1" ht="21.95" customHeight="1" x14ac:dyDescent="0.15"/>
    <row r="59339" s="76" customFormat="1" ht="21.95" customHeight="1" x14ac:dyDescent="0.15"/>
    <row r="59340" s="76" customFormat="1" ht="21.95" customHeight="1" x14ac:dyDescent="0.15"/>
    <row r="59341" s="76" customFormat="1" ht="21.95" customHeight="1" x14ac:dyDescent="0.15"/>
    <row r="59342" s="76" customFormat="1" ht="21.95" customHeight="1" x14ac:dyDescent="0.15"/>
    <row r="59343" s="76" customFormat="1" ht="21.95" customHeight="1" x14ac:dyDescent="0.15"/>
    <row r="59344" s="76" customFormat="1" ht="21.95" customHeight="1" x14ac:dyDescent="0.15"/>
    <row r="59345" s="76" customFormat="1" ht="21.95" customHeight="1" x14ac:dyDescent="0.15"/>
    <row r="59346" s="76" customFormat="1" ht="21.95" customHeight="1" x14ac:dyDescent="0.15"/>
    <row r="59347" s="76" customFormat="1" ht="21.95" customHeight="1" x14ac:dyDescent="0.15"/>
    <row r="59348" s="76" customFormat="1" ht="21.95" customHeight="1" x14ac:dyDescent="0.15"/>
    <row r="59349" s="76" customFormat="1" ht="21.95" customHeight="1" x14ac:dyDescent="0.15"/>
    <row r="59350" s="76" customFormat="1" ht="21.95" customHeight="1" x14ac:dyDescent="0.15"/>
    <row r="59351" s="76" customFormat="1" ht="21.95" customHeight="1" x14ac:dyDescent="0.15"/>
    <row r="59352" s="76" customFormat="1" ht="21.95" customHeight="1" x14ac:dyDescent="0.15"/>
    <row r="59353" s="76" customFormat="1" ht="21.95" customHeight="1" x14ac:dyDescent="0.15"/>
    <row r="59354" s="76" customFormat="1" ht="21.95" customHeight="1" x14ac:dyDescent="0.15"/>
    <row r="59355" s="76" customFormat="1" ht="21.95" customHeight="1" x14ac:dyDescent="0.15"/>
    <row r="59356" s="76" customFormat="1" ht="21.95" customHeight="1" x14ac:dyDescent="0.15"/>
    <row r="59357" s="76" customFormat="1" ht="21.95" customHeight="1" x14ac:dyDescent="0.15"/>
    <row r="59358" s="76" customFormat="1" ht="21.95" customHeight="1" x14ac:dyDescent="0.15"/>
    <row r="59359" s="76" customFormat="1" ht="21.95" customHeight="1" x14ac:dyDescent="0.15"/>
    <row r="59360" s="76" customFormat="1" ht="21.95" customHeight="1" x14ac:dyDescent="0.15"/>
    <row r="59361" spans="3:3" customFormat="1" ht="21.95" customHeight="1" x14ac:dyDescent="0.15"/>
    <row r="59362" spans="3:3" customFormat="1" ht="21.95" customHeight="1" x14ac:dyDescent="0.15"/>
    <row r="59363" spans="3:3" customFormat="1" ht="21.95" customHeight="1" x14ac:dyDescent="0.15">
      <c r="C59363" s="94"/>
    </row>
    <row r="59364" spans="3:3" customFormat="1" ht="21.95" customHeight="1" x14ac:dyDescent="0.15">
      <c r="C59364" s="94"/>
    </row>
    <row r="59365" spans="3:3" customFormat="1" ht="21.95" customHeight="1" x14ac:dyDescent="0.15"/>
    <row r="59366" spans="3:3" customFormat="1" ht="21.95" customHeight="1" x14ac:dyDescent="0.15"/>
    <row r="59367" spans="3:3" customFormat="1" ht="21.95" customHeight="1" x14ac:dyDescent="0.15"/>
    <row r="59368" spans="3:3" customFormat="1" ht="21.95" customHeight="1" x14ac:dyDescent="0.15"/>
    <row r="59369" spans="3:3" customFormat="1" ht="21.95" customHeight="1" x14ac:dyDescent="0.15"/>
    <row r="59370" spans="3:3" customFormat="1" ht="21.95" customHeight="1" x14ac:dyDescent="0.15"/>
    <row r="59371" spans="3:3" customFormat="1" ht="21.95" customHeight="1" x14ac:dyDescent="0.15"/>
    <row r="59372" spans="3:3" s="76" customFormat="1" ht="21.95" customHeight="1" x14ac:dyDescent="0.15"/>
    <row r="59373" spans="3:3" s="76" customFormat="1" ht="21.95" customHeight="1" x14ac:dyDescent="0.15"/>
    <row r="59374" spans="3:3" s="76" customFormat="1" ht="21.95" customHeight="1" x14ac:dyDescent="0.15"/>
    <row r="59375" spans="3:3" s="76" customFormat="1" ht="21.95" customHeight="1" x14ac:dyDescent="0.15"/>
    <row r="59376" spans="3:3" customFormat="1" ht="21.95" customHeight="1" x14ac:dyDescent="0.15"/>
    <row r="59377" customFormat="1" ht="21.95" customHeight="1" x14ac:dyDescent="0.15"/>
    <row r="59378" customFormat="1" ht="21.95" customHeight="1" x14ac:dyDescent="0.15"/>
    <row r="59379" customFormat="1" ht="21.95" customHeight="1" x14ac:dyDescent="0.15"/>
    <row r="59380" customFormat="1" ht="21.95" customHeight="1" x14ac:dyDescent="0.15"/>
    <row r="59381" customFormat="1" ht="21.95" customHeight="1" x14ac:dyDescent="0.15"/>
    <row r="59382" customFormat="1" ht="21.95" customHeight="1" x14ac:dyDescent="0.15"/>
    <row r="59383" customFormat="1" ht="21.95" customHeight="1" x14ac:dyDescent="0.15"/>
    <row r="59384" customFormat="1" ht="21.95" customHeight="1" x14ac:dyDescent="0.15"/>
    <row r="59385" customFormat="1" ht="21.95" customHeight="1" x14ac:dyDescent="0.15"/>
    <row r="59386" customFormat="1" ht="21.95" customHeight="1" x14ac:dyDescent="0.15"/>
    <row r="59387" customFormat="1" ht="32.1" customHeight="1" x14ac:dyDescent="0.15"/>
    <row r="59388" customFormat="1" ht="32.1" customHeight="1" x14ac:dyDescent="0.15"/>
    <row r="59389" customFormat="1" ht="32.1" customHeight="1" x14ac:dyDescent="0.15"/>
    <row r="59390" customFormat="1" ht="32.1" customHeight="1" x14ac:dyDescent="0.15"/>
    <row r="59391" customFormat="1" ht="32.1" customHeight="1" x14ac:dyDescent="0.15"/>
    <row r="59392" customFormat="1" ht="32.1" customHeight="1" x14ac:dyDescent="0.15"/>
    <row r="59393" s="76" customFormat="1" ht="32.1" customHeight="1" x14ac:dyDescent="0.15"/>
    <row r="59394" s="76" customFormat="1" ht="32.1" customHeight="1" x14ac:dyDescent="0.15"/>
    <row r="59395" s="76" customFormat="1" ht="32.1" customHeight="1" x14ac:dyDescent="0.15"/>
    <row r="59396" s="76" customFormat="1" ht="32.1" customHeight="1" x14ac:dyDescent="0.15"/>
    <row r="59397" s="76" customFormat="1" ht="21.95" customHeight="1" x14ac:dyDescent="0.15"/>
    <row r="59398" s="76" customFormat="1" ht="54" customHeight="1" x14ac:dyDescent="0.15"/>
    <row r="59399" s="76" customFormat="1" ht="21.95" customHeight="1" x14ac:dyDescent="0.15"/>
    <row r="59400" s="76" customFormat="1" ht="21.95" customHeight="1" x14ac:dyDescent="0.15"/>
    <row r="59401" s="76" customFormat="1" ht="21.95" customHeight="1" x14ac:dyDescent="0.15"/>
    <row r="59402" s="76" customFormat="1" ht="21.95" customHeight="1" x14ac:dyDescent="0.15"/>
    <row r="59403" s="76" customFormat="1" ht="21.95" customHeight="1" x14ac:dyDescent="0.15"/>
    <row r="59404" s="76" customFormat="1" ht="21.95" customHeight="1" x14ac:dyDescent="0.15"/>
    <row r="59405" s="76" customFormat="1" ht="21.95" customHeight="1" x14ac:dyDescent="0.15"/>
    <row r="59406" s="76" customFormat="1" ht="21.95" customHeight="1" x14ac:dyDescent="0.15"/>
    <row r="59407" s="76" customFormat="1" ht="21.95" customHeight="1" x14ac:dyDescent="0.15"/>
    <row r="59408" s="76" customFormat="1" ht="21.95" customHeight="1" x14ac:dyDescent="0.15"/>
    <row r="59409" s="76" customFormat="1" ht="21.95" customHeight="1" x14ac:dyDescent="0.15"/>
    <row r="59410" s="76" customFormat="1" ht="21.95" customHeight="1" x14ac:dyDescent="0.15"/>
    <row r="59411" s="76" customFormat="1" ht="21.95" customHeight="1" x14ac:dyDescent="0.15"/>
    <row r="59412" s="76" customFormat="1" ht="21.95" customHeight="1" x14ac:dyDescent="0.15"/>
    <row r="59413" s="76" customFormat="1" ht="21.95" customHeight="1" x14ac:dyDescent="0.15"/>
    <row r="59414" s="76" customFormat="1" ht="21.95" customHeight="1" x14ac:dyDescent="0.15"/>
    <row r="59415" s="76" customFormat="1" ht="21.95" customHeight="1" x14ac:dyDescent="0.15"/>
    <row r="59416" s="76" customFormat="1" ht="21.95" customHeight="1" x14ac:dyDescent="0.15"/>
    <row r="59417" s="76" customFormat="1" ht="21.95" customHeight="1" x14ac:dyDescent="0.15"/>
    <row r="59418" s="76" customFormat="1" ht="21.95" customHeight="1" x14ac:dyDescent="0.15"/>
    <row r="59419" s="76" customFormat="1" ht="21.95" customHeight="1" x14ac:dyDescent="0.15"/>
    <row r="59420" s="76" customFormat="1" ht="21.95" customHeight="1" x14ac:dyDescent="0.15"/>
    <row r="59421" s="76" customFormat="1" ht="21.95" customHeight="1" x14ac:dyDescent="0.15"/>
    <row r="59422" s="76" customFormat="1" ht="21.95" customHeight="1" x14ac:dyDescent="0.15"/>
    <row r="59423" s="76" customFormat="1" ht="21.95" customHeight="1" x14ac:dyDescent="0.15"/>
    <row r="59424" s="76" customFormat="1" ht="21.95" customHeight="1" x14ac:dyDescent="0.15"/>
    <row r="59425" s="76" customFormat="1" ht="21.95" customHeight="1" x14ac:dyDescent="0.15"/>
    <row r="59426" s="76" customFormat="1" ht="21.95" customHeight="1" x14ac:dyDescent="0.15"/>
    <row r="59427" s="76" customFormat="1" ht="21.95" customHeight="1" x14ac:dyDescent="0.15"/>
    <row r="59428" s="76" customFormat="1" ht="21.95" customHeight="1" x14ac:dyDescent="0.15"/>
    <row r="59429" s="76" customFormat="1" ht="21.95" customHeight="1" x14ac:dyDescent="0.15"/>
    <row r="59430" s="76" customFormat="1" ht="21.95" customHeight="1" x14ac:dyDescent="0.15"/>
    <row r="59431" s="76" customFormat="1" ht="21.95" customHeight="1" x14ac:dyDescent="0.15"/>
    <row r="59432" s="76" customFormat="1" ht="21.95" customHeight="1" x14ac:dyDescent="0.15"/>
    <row r="59433" s="76" customFormat="1" ht="21.95" customHeight="1" x14ac:dyDescent="0.15"/>
    <row r="59434" s="76" customFormat="1" ht="21.95" customHeight="1" x14ac:dyDescent="0.15"/>
    <row r="59435" s="76" customFormat="1" ht="21.95" customHeight="1" x14ac:dyDescent="0.15"/>
    <row r="59436" s="76" customFormat="1" ht="21.95" customHeight="1" x14ac:dyDescent="0.15"/>
    <row r="59437" s="76" customFormat="1" ht="21.95" customHeight="1" x14ac:dyDescent="0.15"/>
    <row r="59438" s="76" customFormat="1" ht="21.95" customHeight="1" x14ac:dyDescent="0.15"/>
    <row r="59439" s="76" customFormat="1" ht="21.95" customHeight="1" x14ac:dyDescent="0.15"/>
    <row r="59440" s="76" customFormat="1" ht="21.95" customHeight="1" x14ac:dyDescent="0.15"/>
    <row r="59441" s="76" customFormat="1" ht="21.95" customHeight="1" x14ac:dyDescent="0.15"/>
    <row r="59442" s="76" customFormat="1" ht="21.95" customHeight="1" x14ac:dyDescent="0.15"/>
    <row r="59443" s="76" customFormat="1" ht="21.95" customHeight="1" x14ac:dyDescent="0.15"/>
    <row r="59444" s="76" customFormat="1" ht="21.95" customHeight="1" x14ac:dyDescent="0.15"/>
    <row r="59445" s="76" customFormat="1" ht="21.95" customHeight="1" x14ac:dyDescent="0.15"/>
    <row r="59446" s="76" customFormat="1" ht="21.95" customHeight="1" x14ac:dyDescent="0.15"/>
    <row r="59447" s="76" customFormat="1" ht="21.95" customHeight="1" x14ac:dyDescent="0.15"/>
    <row r="59448" s="76" customFormat="1" ht="21.95" customHeight="1" x14ac:dyDescent="0.15"/>
    <row r="59449" s="76" customFormat="1" ht="35.1" customHeight="1" x14ac:dyDescent="0.15"/>
    <row r="59450" s="76" customFormat="1" ht="21.95" customHeight="1" x14ac:dyDescent="0.15"/>
    <row r="59451" s="76" customFormat="1" ht="21.95" customHeight="1" x14ac:dyDescent="0.15"/>
    <row r="59452" s="76" customFormat="1" ht="21.95" customHeight="1" x14ac:dyDescent="0.15"/>
    <row r="59453" s="76" customFormat="1" ht="21.95" customHeight="1" x14ac:dyDescent="0.15"/>
    <row r="59454" s="76" customFormat="1" ht="21.95" customHeight="1" x14ac:dyDescent="0.15"/>
    <row r="59455" s="76" customFormat="1" ht="21.95" customHeight="1" x14ac:dyDescent="0.15"/>
    <row r="59456" s="76" customFormat="1" ht="21.95" customHeight="1" x14ac:dyDescent="0.15"/>
    <row r="59457" s="76" customFormat="1" ht="21.95" customHeight="1" x14ac:dyDescent="0.15"/>
    <row r="59458" s="76" customFormat="1" ht="21.95" customHeight="1" x14ac:dyDescent="0.15"/>
    <row r="59459" s="76" customFormat="1" ht="21.95" customHeight="1" x14ac:dyDescent="0.15"/>
    <row r="59460" s="76" customFormat="1" ht="21.95" customHeight="1" x14ac:dyDescent="0.15"/>
    <row r="59461" s="76" customFormat="1" ht="21.95" customHeight="1" x14ac:dyDescent="0.15"/>
    <row r="59462" s="76" customFormat="1" ht="21.95" customHeight="1" x14ac:dyDescent="0.15"/>
    <row r="59463" s="76" customFormat="1" ht="21.95" customHeight="1" x14ac:dyDescent="0.15"/>
    <row r="59464" s="76" customFormat="1" ht="21.95" customHeight="1" x14ac:dyDescent="0.15"/>
    <row r="59465" s="76" customFormat="1" ht="21.95" customHeight="1" x14ac:dyDescent="0.15"/>
    <row r="59466" s="76" customFormat="1" ht="21.95" customHeight="1" x14ac:dyDescent="0.15"/>
    <row r="59467" s="76" customFormat="1" ht="21.95" customHeight="1" x14ac:dyDescent="0.15"/>
    <row r="59468" s="76" customFormat="1" ht="21.95" customHeight="1" x14ac:dyDescent="0.15"/>
    <row r="59469" s="76" customFormat="1" ht="21.95" customHeight="1" x14ac:dyDescent="0.15"/>
    <row r="59470" s="76" customFormat="1" ht="21.95" customHeight="1" x14ac:dyDescent="0.15"/>
    <row r="59471" s="76" customFormat="1" ht="21.95" customHeight="1" x14ac:dyDescent="0.15"/>
    <row r="59472" s="76" customFormat="1" ht="21.95" customHeight="1" x14ac:dyDescent="0.15"/>
    <row r="59473" spans="3:3" customFormat="1" ht="21.95" customHeight="1" x14ac:dyDescent="0.15"/>
    <row r="59474" spans="3:3" customFormat="1" ht="21.95" customHeight="1" x14ac:dyDescent="0.15"/>
    <row r="59475" spans="3:3" customFormat="1" ht="21.95" customHeight="1" x14ac:dyDescent="0.15">
      <c r="C59475" s="94"/>
    </row>
    <row r="59476" spans="3:3" customFormat="1" ht="21.95" customHeight="1" x14ac:dyDescent="0.15">
      <c r="C59476" s="94"/>
    </row>
    <row r="59477" spans="3:3" customFormat="1" ht="21.95" customHeight="1" x14ac:dyDescent="0.15"/>
    <row r="59478" spans="3:3" customFormat="1" ht="21.95" customHeight="1" x14ac:dyDescent="0.15"/>
    <row r="59479" spans="3:3" customFormat="1" ht="21.95" customHeight="1" x14ac:dyDescent="0.15"/>
    <row r="59480" spans="3:3" customFormat="1" ht="21.95" customHeight="1" x14ac:dyDescent="0.15"/>
    <row r="59481" spans="3:3" customFormat="1" ht="21.95" customHeight="1" x14ac:dyDescent="0.15"/>
    <row r="59482" spans="3:3" customFormat="1" ht="21.95" customHeight="1" x14ac:dyDescent="0.15"/>
    <row r="59483" spans="3:3" customFormat="1" ht="21.95" customHeight="1" x14ac:dyDescent="0.15"/>
    <row r="59484" spans="3:3" s="76" customFormat="1" ht="21.95" customHeight="1" x14ac:dyDescent="0.15"/>
    <row r="59485" spans="3:3" s="76" customFormat="1" ht="21.95" customHeight="1" x14ac:dyDescent="0.15"/>
    <row r="59486" spans="3:3" s="76" customFormat="1" ht="21.95" customHeight="1" x14ac:dyDescent="0.15"/>
    <row r="59487" spans="3:3" s="76" customFormat="1" ht="21.95" customHeight="1" x14ac:dyDescent="0.15"/>
    <row r="59488" spans="3:3" customFormat="1" ht="21.95" customHeight="1" x14ac:dyDescent="0.15"/>
    <row r="59489" customFormat="1" ht="21.95" customHeight="1" x14ac:dyDescent="0.15"/>
    <row r="59490" customFormat="1" ht="21.95" customHeight="1" x14ac:dyDescent="0.15"/>
    <row r="59491" customFormat="1" ht="21.95" customHeight="1" x14ac:dyDescent="0.15"/>
    <row r="59492" customFormat="1" ht="21.95" customHeight="1" x14ac:dyDescent="0.15"/>
    <row r="59493" customFormat="1" ht="21.95" customHeight="1" x14ac:dyDescent="0.15"/>
    <row r="59494" customFormat="1" ht="21.95" customHeight="1" x14ac:dyDescent="0.15"/>
    <row r="59495" customFormat="1" ht="21.95" customHeight="1" x14ac:dyDescent="0.15"/>
    <row r="59496" customFormat="1" ht="21.95" customHeight="1" x14ac:dyDescent="0.15"/>
    <row r="59497" customFormat="1" ht="21.95" customHeight="1" x14ac:dyDescent="0.15"/>
    <row r="59498" customFormat="1" ht="21.95" customHeight="1" x14ac:dyDescent="0.15"/>
    <row r="59499" customFormat="1" ht="32.1" customHeight="1" x14ac:dyDescent="0.15"/>
    <row r="59500" customFormat="1" ht="32.1" customHeight="1" x14ac:dyDescent="0.15"/>
    <row r="59501" customFormat="1" ht="32.1" customHeight="1" x14ac:dyDescent="0.15"/>
    <row r="59502" customFormat="1" ht="32.1" customHeight="1" x14ac:dyDescent="0.15"/>
    <row r="59503" customFormat="1" ht="32.1" customHeight="1" x14ac:dyDescent="0.15"/>
    <row r="59504" customFormat="1" ht="32.1" customHeight="1" x14ac:dyDescent="0.15"/>
    <row r="59505" s="76" customFormat="1" ht="32.1" customHeight="1" x14ac:dyDescent="0.15"/>
    <row r="59506" s="76" customFormat="1" ht="32.1" customHeight="1" x14ac:dyDescent="0.15"/>
    <row r="59507" s="76" customFormat="1" ht="32.1" customHeight="1" x14ac:dyDescent="0.15"/>
    <row r="59508" s="76" customFormat="1" ht="32.1" customHeight="1" x14ac:dyDescent="0.15"/>
    <row r="59509" s="76" customFormat="1" ht="21.95" customHeight="1" x14ac:dyDescent="0.15"/>
    <row r="59510" s="76" customFormat="1" ht="54" customHeight="1" x14ac:dyDescent="0.15"/>
    <row r="59511" s="76" customFormat="1" ht="21.95" customHeight="1" x14ac:dyDescent="0.15"/>
    <row r="59512" s="76" customFormat="1" ht="21.95" customHeight="1" x14ac:dyDescent="0.15"/>
    <row r="59513" s="76" customFormat="1" ht="21.95" customHeight="1" x14ac:dyDescent="0.15"/>
    <row r="59514" s="76" customFormat="1" ht="21.95" customHeight="1" x14ac:dyDescent="0.15"/>
    <row r="59515" s="76" customFormat="1" ht="21.95" customHeight="1" x14ac:dyDescent="0.15"/>
    <row r="59516" s="76" customFormat="1" ht="21.95" customHeight="1" x14ac:dyDescent="0.15"/>
    <row r="59517" s="76" customFormat="1" ht="21.95" customHeight="1" x14ac:dyDescent="0.15"/>
    <row r="59518" s="76" customFormat="1" ht="21.95" customHeight="1" x14ac:dyDescent="0.15"/>
    <row r="59519" s="76" customFormat="1" ht="21.95" customHeight="1" x14ac:dyDescent="0.15"/>
    <row r="59520" s="76" customFormat="1" ht="21.95" customHeight="1" x14ac:dyDescent="0.15"/>
    <row r="59521" s="76" customFormat="1" ht="21.95" customHeight="1" x14ac:dyDescent="0.15"/>
    <row r="59522" s="76" customFormat="1" ht="21.95" customHeight="1" x14ac:dyDescent="0.15"/>
    <row r="59523" s="76" customFormat="1" ht="21.95" customHeight="1" x14ac:dyDescent="0.15"/>
    <row r="59524" s="76" customFormat="1" ht="21.95" customHeight="1" x14ac:dyDescent="0.15"/>
    <row r="59525" s="76" customFormat="1" ht="21.95" customHeight="1" x14ac:dyDescent="0.15"/>
    <row r="59526" s="76" customFormat="1" ht="21.95" customHeight="1" x14ac:dyDescent="0.15"/>
    <row r="59527" s="76" customFormat="1" ht="21.95" customHeight="1" x14ac:dyDescent="0.15"/>
    <row r="59528" s="76" customFormat="1" ht="21.95" customHeight="1" x14ac:dyDescent="0.15"/>
    <row r="59529" s="76" customFormat="1" ht="21.95" customHeight="1" x14ac:dyDescent="0.15"/>
    <row r="59530" s="76" customFormat="1" ht="21.95" customHeight="1" x14ac:dyDescent="0.15"/>
    <row r="59531" s="76" customFormat="1" ht="21.95" customHeight="1" x14ac:dyDescent="0.15"/>
    <row r="59532" s="76" customFormat="1" ht="21.95" customHeight="1" x14ac:dyDescent="0.15"/>
    <row r="59533" s="76" customFormat="1" ht="21.95" customHeight="1" x14ac:dyDescent="0.15"/>
    <row r="59534" s="76" customFormat="1" ht="21.95" customHeight="1" x14ac:dyDescent="0.15"/>
    <row r="59535" s="76" customFormat="1" ht="21.95" customHeight="1" x14ac:dyDescent="0.15"/>
    <row r="59536" s="76" customFormat="1" ht="21.95" customHeight="1" x14ac:dyDescent="0.15"/>
    <row r="59537" s="76" customFormat="1" ht="21.95" customHeight="1" x14ac:dyDescent="0.15"/>
    <row r="59538" s="76" customFormat="1" ht="21.95" customHeight="1" x14ac:dyDescent="0.15"/>
    <row r="59539" s="76" customFormat="1" ht="21.95" customHeight="1" x14ac:dyDescent="0.15"/>
    <row r="59540" s="76" customFormat="1" ht="21.95" customHeight="1" x14ac:dyDescent="0.15"/>
    <row r="59541" s="76" customFormat="1" ht="21.95" customHeight="1" x14ac:dyDescent="0.15"/>
    <row r="59542" s="76" customFormat="1" ht="21.95" customHeight="1" x14ac:dyDescent="0.15"/>
    <row r="59543" s="76" customFormat="1" ht="21.95" customHeight="1" x14ac:dyDescent="0.15"/>
    <row r="59544" s="76" customFormat="1" ht="21.95" customHeight="1" x14ac:dyDescent="0.15"/>
    <row r="59545" s="76" customFormat="1" ht="21.95" customHeight="1" x14ac:dyDescent="0.15"/>
    <row r="59546" s="76" customFormat="1" ht="21.95" customHeight="1" x14ac:dyDescent="0.15"/>
    <row r="59547" s="76" customFormat="1" ht="21.95" customHeight="1" x14ac:dyDescent="0.15"/>
    <row r="59548" s="76" customFormat="1" ht="21.95" customHeight="1" x14ac:dyDescent="0.15"/>
    <row r="59549" s="76" customFormat="1" ht="21.95" customHeight="1" x14ac:dyDescent="0.15"/>
    <row r="59550" s="76" customFormat="1" ht="21.95" customHeight="1" x14ac:dyDescent="0.15"/>
    <row r="59551" s="76" customFormat="1" ht="21.95" customHeight="1" x14ac:dyDescent="0.15"/>
    <row r="59552" s="76" customFormat="1" ht="21.95" customHeight="1" x14ac:dyDescent="0.15"/>
    <row r="59553" s="76" customFormat="1" ht="21.95" customHeight="1" x14ac:dyDescent="0.15"/>
    <row r="59554" s="76" customFormat="1" ht="21.95" customHeight="1" x14ac:dyDescent="0.15"/>
    <row r="59555" s="76" customFormat="1" ht="21.95" customHeight="1" x14ac:dyDescent="0.15"/>
    <row r="59556" s="76" customFormat="1" ht="21.95" customHeight="1" x14ac:dyDescent="0.15"/>
    <row r="59557" s="76" customFormat="1" ht="21.95" customHeight="1" x14ac:dyDescent="0.15"/>
    <row r="59558" s="76" customFormat="1" ht="21.95" customHeight="1" x14ac:dyDescent="0.15"/>
    <row r="59559" s="76" customFormat="1" ht="21.95" customHeight="1" x14ac:dyDescent="0.15"/>
    <row r="59560" s="76" customFormat="1" ht="21.95" customHeight="1" x14ac:dyDescent="0.15"/>
    <row r="59561" s="76" customFormat="1" ht="35.1" customHeight="1" x14ac:dyDescent="0.15"/>
    <row r="59562" s="76" customFormat="1" ht="21.95" customHeight="1" x14ac:dyDescent="0.15"/>
    <row r="59563" s="76" customFormat="1" ht="21.95" customHeight="1" x14ac:dyDescent="0.15"/>
    <row r="59564" s="76" customFormat="1" ht="21.95" customHeight="1" x14ac:dyDescent="0.15"/>
    <row r="59565" s="76" customFormat="1" ht="21.95" customHeight="1" x14ac:dyDescent="0.15"/>
    <row r="59566" s="76" customFormat="1" ht="21.95" customHeight="1" x14ac:dyDescent="0.15"/>
    <row r="59567" s="76" customFormat="1" ht="21.95" customHeight="1" x14ac:dyDescent="0.15"/>
    <row r="59568" s="76" customFormat="1" ht="21.95" customHeight="1" x14ac:dyDescent="0.15"/>
    <row r="59569" s="76" customFormat="1" ht="21.95" customHeight="1" x14ac:dyDescent="0.15"/>
    <row r="59570" s="76" customFormat="1" ht="21.95" customHeight="1" x14ac:dyDescent="0.15"/>
    <row r="59571" s="76" customFormat="1" ht="21.95" customHeight="1" x14ac:dyDescent="0.15"/>
    <row r="59572" s="76" customFormat="1" ht="21.95" customHeight="1" x14ac:dyDescent="0.15"/>
    <row r="59573" s="76" customFormat="1" ht="21.95" customHeight="1" x14ac:dyDescent="0.15"/>
    <row r="59574" s="76" customFormat="1" ht="21.95" customHeight="1" x14ac:dyDescent="0.15"/>
    <row r="59575" s="76" customFormat="1" ht="21.95" customHeight="1" x14ac:dyDescent="0.15"/>
    <row r="59576" s="76" customFormat="1" ht="21.95" customHeight="1" x14ac:dyDescent="0.15"/>
    <row r="59577" s="76" customFormat="1" ht="21.95" customHeight="1" x14ac:dyDescent="0.15"/>
    <row r="59578" s="76" customFormat="1" ht="21.95" customHeight="1" x14ac:dyDescent="0.15"/>
    <row r="59579" s="76" customFormat="1" ht="21.95" customHeight="1" x14ac:dyDescent="0.15"/>
    <row r="59580" s="76" customFormat="1" ht="21.95" customHeight="1" x14ac:dyDescent="0.15"/>
    <row r="59581" s="76" customFormat="1" ht="21.95" customHeight="1" x14ac:dyDescent="0.15"/>
    <row r="59582" s="76" customFormat="1" ht="21.95" customHeight="1" x14ac:dyDescent="0.15"/>
    <row r="59583" s="76" customFormat="1" ht="21.95" customHeight="1" x14ac:dyDescent="0.15"/>
    <row r="59584" s="76" customFormat="1" ht="21.95" customHeight="1" x14ac:dyDescent="0.15"/>
    <row r="59585" spans="3:3" customFormat="1" ht="21.95" customHeight="1" x14ac:dyDescent="0.15"/>
    <row r="59586" spans="3:3" customFormat="1" ht="21.95" customHeight="1" x14ac:dyDescent="0.15"/>
    <row r="59587" spans="3:3" customFormat="1" ht="21.95" customHeight="1" x14ac:dyDescent="0.15">
      <c r="C59587" s="94"/>
    </row>
    <row r="59588" spans="3:3" customFormat="1" ht="21.95" customHeight="1" x14ac:dyDescent="0.15">
      <c r="C59588" s="94"/>
    </row>
    <row r="59589" spans="3:3" customFormat="1" ht="21.95" customHeight="1" x14ac:dyDescent="0.15"/>
    <row r="59590" spans="3:3" customFormat="1" ht="21.95" customHeight="1" x14ac:dyDescent="0.15"/>
    <row r="59591" spans="3:3" customFormat="1" ht="21.95" customHeight="1" x14ac:dyDescent="0.15"/>
    <row r="59592" spans="3:3" customFormat="1" ht="21.95" customHeight="1" x14ac:dyDescent="0.15"/>
    <row r="59593" spans="3:3" customFormat="1" ht="21.95" customHeight="1" x14ac:dyDescent="0.15"/>
    <row r="59594" spans="3:3" customFormat="1" ht="21.95" customHeight="1" x14ac:dyDescent="0.15"/>
    <row r="59595" spans="3:3" customFormat="1" ht="21.95" customHeight="1" x14ac:dyDescent="0.15"/>
    <row r="59596" spans="3:3" s="76" customFormat="1" ht="21.95" customHeight="1" x14ac:dyDescent="0.15"/>
    <row r="59597" spans="3:3" s="76" customFormat="1" ht="21.95" customHeight="1" x14ac:dyDescent="0.15"/>
    <row r="59598" spans="3:3" s="76" customFormat="1" ht="21.95" customHeight="1" x14ac:dyDescent="0.15"/>
    <row r="59599" spans="3:3" s="76" customFormat="1" ht="21.95" customHeight="1" x14ac:dyDescent="0.15"/>
    <row r="59600" spans="3:3" customFormat="1" ht="21.95" customHeight="1" x14ac:dyDescent="0.15"/>
    <row r="59601" customFormat="1" ht="21.95" customHeight="1" x14ac:dyDescent="0.15"/>
    <row r="59602" customFormat="1" ht="21.95" customHeight="1" x14ac:dyDescent="0.15"/>
    <row r="59603" customFormat="1" ht="21.95" customHeight="1" x14ac:dyDescent="0.15"/>
    <row r="59604" customFormat="1" ht="21.95" customHeight="1" x14ac:dyDescent="0.15"/>
    <row r="59605" customFormat="1" ht="21.95" customHeight="1" x14ac:dyDescent="0.15"/>
    <row r="59606" customFormat="1" ht="21.95" customHeight="1" x14ac:dyDescent="0.15"/>
    <row r="59607" customFormat="1" ht="21.95" customHeight="1" x14ac:dyDescent="0.15"/>
    <row r="59608" customFormat="1" ht="21.95" customHeight="1" x14ac:dyDescent="0.15"/>
    <row r="59609" customFormat="1" ht="21.95" customHeight="1" x14ac:dyDescent="0.15"/>
    <row r="59610" customFormat="1" ht="21.95" customHeight="1" x14ac:dyDescent="0.15"/>
    <row r="59611" customFormat="1" ht="32.1" customHeight="1" x14ac:dyDescent="0.15"/>
    <row r="59612" customFormat="1" ht="32.1" customHeight="1" x14ac:dyDescent="0.15"/>
    <row r="59613" customFormat="1" ht="32.1" customHeight="1" x14ac:dyDescent="0.15"/>
    <row r="59614" customFormat="1" ht="32.1" customHeight="1" x14ac:dyDescent="0.15"/>
    <row r="59615" customFormat="1" ht="32.1" customHeight="1" x14ac:dyDescent="0.15"/>
    <row r="59616" customFormat="1" ht="32.1" customHeight="1" x14ac:dyDescent="0.15"/>
    <row r="59617" s="76" customFormat="1" ht="32.1" customHeight="1" x14ac:dyDescent="0.15"/>
    <row r="59618" s="76" customFormat="1" ht="32.1" customHeight="1" x14ac:dyDescent="0.15"/>
    <row r="59619" s="76" customFormat="1" ht="32.1" customHeight="1" x14ac:dyDescent="0.15"/>
    <row r="59620" s="76" customFormat="1" ht="32.1" customHeight="1" x14ac:dyDescent="0.15"/>
    <row r="59621" s="76" customFormat="1" ht="21.95" customHeight="1" x14ac:dyDescent="0.15"/>
    <row r="59622" s="76" customFormat="1" ht="54" customHeight="1" x14ac:dyDescent="0.15"/>
    <row r="59623" s="76" customFormat="1" ht="21.95" customHeight="1" x14ac:dyDescent="0.15"/>
    <row r="59624" s="76" customFormat="1" ht="21.95" customHeight="1" x14ac:dyDescent="0.15"/>
    <row r="59625" s="76" customFormat="1" ht="21.95" customHeight="1" x14ac:dyDescent="0.15"/>
    <row r="59626" s="76" customFormat="1" ht="21.95" customHeight="1" x14ac:dyDescent="0.15"/>
    <row r="59627" s="76" customFormat="1" ht="21.95" customHeight="1" x14ac:dyDescent="0.15"/>
    <row r="59628" s="76" customFormat="1" ht="21.95" customHeight="1" x14ac:dyDescent="0.15"/>
    <row r="59629" s="76" customFormat="1" ht="21.95" customHeight="1" x14ac:dyDescent="0.15"/>
    <row r="59630" s="76" customFormat="1" ht="21.95" customHeight="1" x14ac:dyDescent="0.15"/>
    <row r="59631" s="76" customFormat="1" ht="21.95" customHeight="1" x14ac:dyDescent="0.15"/>
    <row r="59632" s="76" customFormat="1" ht="21.95" customHeight="1" x14ac:dyDescent="0.15"/>
    <row r="59633" s="76" customFormat="1" ht="21.95" customHeight="1" x14ac:dyDescent="0.15"/>
    <row r="59634" s="76" customFormat="1" ht="21.95" customHeight="1" x14ac:dyDescent="0.15"/>
    <row r="59635" s="76" customFormat="1" ht="21.95" customHeight="1" x14ac:dyDescent="0.15"/>
    <row r="59636" s="76" customFormat="1" ht="21.95" customHeight="1" x14ac:dyDescent="0.15"/>
    <row r="59637" s="76" customFormat="1" ht="21.95" customHeight="1" x14ac:dyDescent="0.15"/>
    <row r="59638" s="76" customFormat="1" ht="21.95" customHeight="1" x14ac:dyDescent="0.15"/>
    <row r="59639" s="76" customFormat="1" ht="21.95" customHeight="1" x14ac:dyDescent="0.15"/>
    <row r="59640" s="76" customFormat="1" ht="21.95" customHeight="1" x14ac:dyDescent="0.15"/>
    <row r="59641" s="76" customFormat="1" ht="21.95" customHeight="1" x14ac:dyDescent="0.15"/>
    <row r="59642" s="76" customFormat="1" ht="21.95" customHeight="1" x14ac:dyDescent="0.15"/>
    <row r="59643" s="76" customFormat="1" ht="21.95" customHeight="1" x14ac:dyDescent="0.15"/>
    <row r="59644" s="76" customFormat="1" ht="21.95" customHeight="1" x14ac:dyDescent="0.15"/>
    <row r="59645" s="76" customFormat="1" ht="21.95" customHeight="1" x14ac:dyDescent="0.15"/>
    <row r="59646" s="76" customFormat="1" ht="21.95" customHeight="1" x14ac:dyDescent="0.15"/>
    <row r="59647" s="76" customFormat="1" ht="21.95" customHeight="1" x14ac:dyDescent="0.15"/>
    <row r="59648" s="76" customFormat="1" ht="21.95" customHeight="1" x14ac:dyDescent="0.15"/>
    <row r="59649" s="76" customFormat="1" ht="21.95" customHeight="1" x14ac:dyDescent="0.15"/>
    <row r="59650" s="76" customFormat="1" ht="21.95" customHeight="1" x14ac:dyDescent="0.15"/>
    <row r="59651" s="76" customFormat="1" ht="21.95" customHeight="1" x14ac:dyDescent="0.15"/>
    <row r="59652" s="76" customFormat="1" ht="21.95" customHeight="1" x14ac:dyDescent="0.15"/>
    <row r="59653" s="76" customFormat="1" ht="21.95" customHeight="1" x14ac:dyDescent="0.15"/>
    <row r="59654" s="76" customFormat="1" ht="21.95" customHeight="1" x14ac:dyDescent="0.15"/>
    <row r="59655" s="76" customFormat="1" ht="21.95" customHeight="1" x14ac:dyDescent="0.15"/>
    <row r="59656" s="76" customFormat="1" ht="21.95" customHeight="1" x14ac:dyDescent="0.15"/>
    <row r="59657" s="76" customFormat="1" ht="21.95" customHeight="1" x14ac:dyDescent="0.15"/>
    <row r="59658" s="76" customFormat="1" ht="21.95" customHeight="1" x14ac:dyDescent="0.15"/>
    <row r="59659" s="76" customFormat="1" ht="21.95" customHeight="1" x14ac:dyDescent="0.15"/>
    <row r="59660" s="76" customFormat="1" ht="21.95" customHeight="1" x14ac:dyDescent="0.15"/>
    <row r="59661" s="76" customFormat="1" ht="21.95" customHeight="1" x14ac:dyDescent="0.15"/>
    <row r="59662" s="76" customFormat="1" ht="21.95" customHeight="1" x14ac:dyDescent="0.15"/>
    <row r="59663" s="76" customFormat="1" ht="21.95" customHeight="1" x14ac:dyDescent="0.15"/>
    <row r="59664" s="76" customFormat="1" ht="21.95" customHeight="1" x14ac:dyDescent="0.15"/>
    <row r="59665" s="76" customFormat="1" ht="21.95" customHeight="1" x14ac:dyDescent="0.15"/>
    <row r="59666" s="76" customFormat="1" ht="21.95" customHeight="1" x14ac:dyDescent="0.15"/>
    <row r="59667" s="76" customFormat="1" ht="21.95" customHeight="1" x14ac:dyDescent="0.15"/>
    <row r="59668" s="76" customFormat="1" ht="21.95" customHeight="1" x14ac:dyDescent="0.15"/>
    <row r="59669" s="76" customFormat="1" ht="21.95" customHeight="1" x14ac:dyDescent="0.15"/>
    <row r="59670" s="76" customFormat="1" ht="21.95" customHeight="1" x14ac:dyDescent="0.15"/>
    <row r="59671" s="76" customFormat="1" ht="21.95" customHeight="1" x14ac:dyDescent="0.15"/>
    <row r="59672" s="76" customFormat="1" ht="21.95" customHeight="1" x14ac:dyDescent="0.15"/>
    <row r="59673" s="76" customFormat="1" ht="35.1" customHeight="1" x14ac:dyDescent="0.15"/>
    <row r="59674" s="76" customFormat="1" ht="21.95" customHeight="1" x14ac:dyDescent="0.15"/>
    <row r="59675" s="76" customFormat="1" ht="21.95" customHeight="1" x14ac:dyDescent="0.15"/>
    <row r="59676" s="76" customFormat="1" ht="21.95" customHeight="1" x14ac:dyDescent="0.15"/>
    <row r="59677" s="76" customFormat="1" ht="21.95" customHeight="1" x14ac:dyDescent="0.15"/>
    <row r="59678" s="76" customFormat="1" ht="21.95" customHeight="1" x14ac:dyDescent="0.15"/>
    <row r="59679" s="76" customFormat="1" ht="21.95" customHeight="1" x14ac:dyDescent="0.15"/>
    <row r="59680" s="76" customFormat="1" ht="21.95" customHeight="1" x14ac:dyDescent="0.15"/>
    <row r="59681" s="76" customFormat="1" ht="21.95" customHeight="1" x14ac:dyDescent="0.15"/>
    <row r="59682" s="76" customFormat="1" ht="21.95" customHeight="1" x14ac:dyDescent="0.15"/>
    <row r="59683" s="76" customFormat="1" ht="21.95" customHeight="1" x14ac:dyDescent="0.15"/>
    <row r="59684" s="76" customFormat="1" ht="21.95" customHeight="1" x14ac:dyDescent="0.15"/>
    <row r="59685" s="76" customFormat="1" ht="21.95" customHeight="1" x14ac:dyDescent="0.15"/>
    <row r="59686" s="76" customFormat="1" ht="21.95" customHeight="1" x14ac:dyDescent="0.15"/>
    <row r="59687" s="76" customFormat="1" ht="21.95" customHeight="1" x14ac:dyDescent="0.15"/>
    <row r="59688" s="76" customFormat="1" ht="21.95" customHeight="1" x14ac:dyDescent="0.15"/>
    <row r="59689" s="76" customFormat="1" ht="21.95" customHeight="1" x14ac:dyDescent="0.15"/>
    <row r="59690" s="76" customFormat="1" ht="21.95" customHeight="1" x14ac:dyDescent="0.15"/>
    <row r="59691" s="76" customFormat="1" ht="21.95" customHeight="1" x14ac:dyDescent="0.15"/>
    <row r="59692" s="76" customFormat="1" ht="21.95" customHeight="1" x14ac:dyDescent="0.15"/>
    <row r="59693" s="76" customFormat="1" ht="21.95" customHeight="1" x14ac:dyDescent="0.15"/>
    <row r="59694" s="76" customFormat="1" ht="21.95" customHeight="1" x14ac:dyDescent="0.15"/>
    <row r="59695" s="76" customFormat="1" ht="21.95" customHeight="1" x14ac:dyDescent="0.15"/>
    <row r="59696" s="76" customFormat="1" ht="21.95" customHeight="1" x14ac:dyDescent="0.15"/>
    <row r="59697" spans="3:3" customFormat="1" ht="21.95" customHeight="1" x14ac:dyDescent="0.15"/>
    <row r="59698" spans="3:3" customFormat="1" ht="21.95" customHeight="1" x14ac:dyDescent="0.15"/>
    <row r="59699" spans="3:3" customFormat="1" ht="21.95" customHeight="1" x14ac:dyDescent="0.15">
      <c r="C59699" s="94"/>
    </row>
    <row r="59700" spans="3:3" customFormat="1" ht="21.95" customHeight="1" x14ac:dyDescent="0.15">
      <c r="C59700" s="94"/>
    </row>
    <row r="59701" spans="3:3" customFormat="1" ht="21.95" customHeight="1" x14ac:dyDescent="0.15"/>
    <row r="59702" spans="3:3" customFormat="1" ht="21.95" customHeight="1" x14ac:dyDescent="0.15"/>
    <row r="59703" spans="3:3" customFormat="1" ht="21.95" customHeight="1" x14ac:dyDescent="0.15"/>
    <row r="59704" spans="3:3" customFormat="1" ht="21.95" customHeight="1" x14ac:dyDescent="0.15"/>
    <row r="59705" spans="3:3" customFormat="1" ht="21.95" customHeight="1" x14ac:dyDescent="0.15"/>
    <row r="59706" spans="3:3" customFormat="1" ht="21.95" customHeight="1" x14ac:dyDescent="0.15"/>
    <row r="59707" spans="3:3" customFormat="1" ht="21.95" customHeight="1" x14ac:dyDescent="0.15"/>
    <row r="59708" spans="3:3" s="76" customFormat="1" ht="21.95" customHeight="1" x14ac:dyDescent="0.15"/>
    <row r="59709" spans="3:3" s="76" customFormat="1" ht="21.95" customHeight="1" x14ac:dyDescent="0.15"/>
    <row r="59710" spans="3:3" s="76" customFormat="1" ht="21.95" customHeight="1" x14ac:dyDescent="0.15"/>
    <row r="59711" spans="3:3" s="76" customFormat="1" ht="21.95" customHeight="1" x14ac:dyDescent="0.15"/>
    <row r="59712" spans="3:3" customFormat="1" ht="21.95" customHeight="1" x14ac:dyDescent="0.15"/>
    <row r="59713" customFormat="1" ht="21.95" customHeight="1" x14ac:dyDescent="0.15"/>
    <row r="59714" customFormat="1" ht="21.95" customHeight="1" x14ac:dyDescent="0.15"/>
    <row r="59715" customFormat="1" ht="21.95" customHeight="1" x14ac:dyDescent="0.15"/>
    <row r="59716" customFormat="1" ht="21.95" customHeight="1" x14ac:dyDescent="0.15"/>
    <row r="59717" customFormat="1" ht="21.95" customHeight="1" x14ac:dyDescent="0.15"/>
    <row r="59718" customFormat="1" ht="21.95" customHeight="1" x14ac:dyDescent="0.15"/>
    <row r="59719" customFormat="1" ht="21.95" customHeight="1" x14ac:dyDescent="0.15"/>
    <row r="59720" customFormat="1" ht="21.95" customHeight="1" x14ac:dyDescent="0.15"/>
    <row r="59721" customFormat="1" ht="21.95" customHeight="1" x14ac:dyDescent="0.15"/>
    <row r="59722" customFormat="1" ht="21.95" customHeight="1" x14ac:dyDescent="0.15"/>
    <row r="59723" customFormat="1" ht="32.1" customHeight="1" x14ac:dyDescent="0.15"/>
    <row r="59724" customFormat="1" ht="32.1" customHeight="1" x14ac:dyDescent="0.15"/>
    <row r="59725" customFormat="1" ht="32.1" customHeight="1" x14ac:dyDescent="0.15"/>
    <row r="59726" customFormat="1" ht="32.1" customHeight="1" x14ac:dyDescent="0.15"/>
    <row r="59727" customFormat="1" ht="32.1" customHeight="1" x14ac:dyDescent="0.15"/>
    <row r="59728" customFormat="1" ht="32.1" customHeight="1" x14ac:dyDescent="0.15"/>
    <row r="59729" s="76" customFormat="1" ht="32.1" customHeight="1" x14ac:dyDescent="0.15"/>
    <row r="59730" s="76" customFormat="1" ht="32.1" customHeight="1" x14ac:dyDescent="0.15"/>
    <row r="59731" s="76" customFormat="1" ht="32.1" customHeight="1" x14ac:dyDescent="0.15"/>
    <row r="59732" s="76" customFormat="1" ht="32.1" customHeight="1" x14ac:dyDescent="0.15"/>
    <row r="59733" s="76" customFormat="1" ht="21.95" customHeight="1" x14ac:dyDescent="0.15"/>
    <row r="59734" s="76" customFormat="1" ht="54" customHeight="1" x14ac:dyDescent="0.15"/>
    <row r="59735" s="76" customFormat="1" ht="21.95" customHeight="1" x14ac:dyDescent="0.15"/>
    <row r="59736" s="76" customFormat="1" ht="21.95" customHeight="1" x14ac:dyDescent="0.15"/>
    <row r="59737" s="76" customFormat="1" ht="21.95" customHeight="1" x14ac:dyDescent="0.15"/>
    <row r="59738" s="76" customFormat="1" ht="21.95" customHeight="1" x14ac:dyDescent="0.15"/>
    <row r="59739" s="76" customFormat="1" ht="21.95" customHeight="1" x14ac:dyDescent="0.15"/>
    <row r="59740" s="76" customFormat="1" ht="21.95" customHeight="1" x14ac:dyDescent="0.15"/>
    <row r="59741" s="76" customFormat="1" ht="21.95" customHeight="1" x14ac:dyDescent="0.15"/>
    <row r="59742" s="76" customFormat="1" ht="21.95" customHeight="1" x14ac:dyDescent="0.15"/>
    <row r="59743" s="76" customFormat="1" ht="21.95" customHeight="1" x14ac:dyDescent="0.15"/>
    <row r="59744" s="76" customFormat="1" ht="21.95" customHeight="1" x14ac:dyDescent="0.15"/>
    <row r="59745" s="76" customFormat="1" ht="21.95" customHeight="1" x14ac:dyDescent="0.15"/>
    <row r="59746" s="76" customFormat="1" ht="21.95" customHeight="1" x14ac:dyDescent="0.15"/>
    <row r="59747" s="76" customFormat="1" ht="21.95" customHeight="1" x14ac:dyDescent="0.15"/>
    <row r="59748" s="76" customFormat="1" ht="21.95" customHeight="1" x14ac:dyDescent="0.15"/>
    <row r="59749" s="76" customFormat="1" ht="21.95" customHeight="1" x14ac:dyDescent="0.15"/>
    <row r="59750" s="76" customFormat="1" ht="21.95" customHeight="1" x14ac:dyDescent="0.15"/>
    <row r="59751" s="76" customFormat="1" ht="21.95" customHeight="1" x14ac:dyDescent="0.15"/>
    <row r="59752" s="76" customFormat="1" ht="21.95" customHeight="1" x14ac:dyDescent="0.15"/>
    <row r="59753" s="76" customFormat="1" ht="21.95" customHeight="1" x14ac:dyDescent="0.15"/>
    <row r="59754" s="76" customFormat="1" ht="21.95" customHeight="1" x14ac:dyDescent="0.15"/>
    <row r="59755" s="76" customFormat="1" ht="21.95" customHeight="1" x14ac:dyDescent="0.15"/>
    <row r="59756" s="76" customFormat="1" ht="21.95" customHeight="1" x14ac:dyDescent="0.15"/>
    <row r="59757" s="76" customFormat="1" ht="21.95" customHeight="1" x14ac:dyDescent="0.15"/>
    <row r="59758" s="76" customFormat="1" ht="21.95" customHeight="1" x14ac:dyDescent="0.15"/>
    <row r="59759" s="76" customFormat="1" ht="21.95" customHeight="1" x14ac:dyDescent="0.15"/>
    <row r="59760" s="76" customFormat="1" ht="21.95" customHeight="1" x14ac:dyDescent="0.15"/>
    <row r="59761" s="76" customFormat="1" ht="21.95" customHeight="1" x14ac:dyDescent="0.15"/>
    <row r="59762" s="76" customFormat="1" ht="21.95" customHeight="1" x14ac:dyDescent="0.15"/>
    <row r="59763" s="76" customFormat="1" ht="21.95" customHeight="1" x14ac:dyDescent="0.15"/>
    <row r="59764" s="76" customFormat="1" ht="21.95" customHeight="1" x14ac:dyDescent="0.15"/>
    <row r="59765" s="76" customFormat="1" ht="21.95" customHeight="1" x14ac:dyDescent="0.15"/>
    <row r="59766" s="76" customFormat="1" ht="21.95" customHeight="1" x14ac:dyDescent="0.15"/>
    <row r="59767" s="76" customFormat="1" ht="21.95" customHeight="1" x14ac:dyDescent="0.15"/>
    <row r="59768" s="76" customFormat="1" ht="21.95" customHeight="1" x14ac:dyDescent="0.15"/>
    <row r="59769" s="76" customFormat="1" ht="21.95" customHeight="1" x14ac:dyDescent="0.15"/>
    <row r="59770" s="76" customFormat="1" ht="21.95" customHeight="1" x14ac:dyDescent="0.15"/>
    <row r="59771" s="76" customFormat="1" ht="21.95" customHeight="1" x14ac:dyDescent="0.15"/>
    <row r="59772" s="76" customFormat="1" ht="21.95" customHeight="1" x14ac:dyDescent="0.15"/>
    <row r="59773" s="76" customFormat="1" ht="21.95" customHeight="1" x14ac:dyDescent="0.15"/>
    <row r="59774" s="76" customFormat="1" ht="21.95" customHeight="1" x14ac:dyDescent="0.15"/>
    <row r="59775" s="76" customFormat="1" ht="21.95" customHeight="1" x14ac:dyDescent="0.15"/>
    <row r="59776" s="76" customFormat="1" ht="21.95" customHeight="1" x14ac:dyDescent="0.15"/>
    <row r="59777" s="76" customFormat="1" ht="21.95" customHeight="1" x14ac:dyDescent="0.15"/>
    <row r="59778" s="76" customFormat="1" ht="21.95" customHeight="1" x14ac:dyDescent="0.15"/>
    <row r="59779" s="76" customFormat="1" ht="21.95" customHeight="1" x14ac:dyDescent="0.15"/>
    <row r="59780" s="76" customFormat="1" ht="21.95" customHeight="1" x14ac:dyDescent="0.15"/>
    <row r="59781" s="76" customFormat="1" ht="21.95" customHeight="1" x14ac:dyDescent="0.15"/>
    <row r="59782" s="76" customFormat="1" ht="21.95" customHeight="1" x14ac:dyDescent="0.15"/>
    <row r="59783" s="76" customFormat="1" ht="21.95" customHeight="1" x14ac:dyDescent="0.15"/>
    <row r="59784" s="76" customFormat="1" ht="21.95" customHeight="1" x14ac:dyDescent="0.15"/>
    <row r="59785" s="76" customFormat="1" ht="35.1" customHeight="1" x14ac:dyDescent="0.15"/>
    <row r="59786" s="76" customFormat="1" ht="21.95" customHeight="1" x14ac:dyDescent="0.15"/>
    <row r="59787" s="76" customFormat="1" ht="21.95" customHeight="1" x14ac:dyDescent="0.15"/>
    <row r="59788" s="76" customFormat="1" ht="21.95" customHeight="1" x14ac:dyDescent="0.15"/>
    <row r="59789" s="76" customFormat="1" ht="21.95" customHeight="1" x14ac:dyDescent="0.15"/>
    <row r="59790" s="76" customFormat="1" ht="21.95" customHeight="1" x14ac:dyDescent="0.15"/>
    <row r="59791" s="76" customFormat="1" ht="21.95" customHeight="1" x14ac:dyDescent="0.15"/>
    <row r="59792" s="76" customFormat="1" ht="21.95" customHeight="1" x14ac:dyDescent="0.15"/>
    <row r="59793" s="76" customFormat="1" ht="21.95" customHeight="1" x14ac:dyDescent="0.15"/>
    <row r="59794" s="76" customFormat="1" ht="21.95" customHeight="1" x14ac:dyDescent="0.15"/>
    <row r="59795" s="76" customFormat="1" ht="21.95" customHeight="1" x14ac:dyDescent="0.15"/>
    <row r="59796" s="76" customFormat="1" ht="21.95" customHeight="1" x14ac:dyDescent="0.15"/>
    <row r="59797" s="76" customFormat="1" ht="21.95" customHeight="1" x14ac:dyDescent="0.15"/>
    <row r="59798" s="76" customFormat="1" ht="21.95" customHeight="1" x14ac:dyDescent="0.15"/>
    <row r="59799" s="76" customFormat="1" ht="21.95" customHeight="1" x14ac:dyDescent="0.15"/>
    <row r="59800" s="76" customFormat="1" ht="21.95" customHeight="1" x14ac:dyDescent="0.15"/>
    <row r="59801" s="76" customFormat="1" ht="21.95" customHeight="1" x14ac:dyDescent="0.15"/>
    <row r="59802" s="76" customFormat="1" ht="21.95" customHeight="1" x14ac:dyDescent="0.15"/>
    <row r="59803" s="76" customFormat="1" ht="21.95" customHeight="1" x14ac:dyDescent="0.15"/>
    <row r="59804" s="76" customFormat="1" ht="21.95" customHeight="1" x14ac:dyDescent="0.15"/>
    <row r="59805" s="76" customFormat="1" ht="21.95" customHeight="1" x14ac:dyDescent="0.15"/>
    <row r="59806" s="76" customFormat="1" ht="21.95" customHeight="1" x14ac:dyDescent="0.15"/>
    <row r="59807" s="76" customFormat="1" ht="21.95" customHeight="1" x14ac:dyDescent="0.15"/>
    <row r="59808" s="76" customFormat="1" ht="21.95" customHeight="1" x14ac:dyDescent="0.15"/>
    <row r="59809" spans="3:3" customFormat="1" ht="21.95" customHeight="1" x14ac:dyDescent="0.15"/>
    <row r="59810" spans="3:3" customFormat="1" ht="21.95" customHeight="1" x14ac:dyDescent="0.15"/>
    <row r="59811" spans="3:3" customFormat="1" ht="21.95" customHeight="1" x14ac:dyDescent="0.15">
      <c r="C59811" s="94"/>
    </row>
    <row r="59812" spans="3:3" customFormat="1" ht="21.95" customHeight="1" x14ac:dyDescent="0.15">
      <c r="C59812" s="94"/>
    </row>
    <row r="59813" spans="3:3" customFormat="1" ht="21.95" customHeight="1" x14ac:dyDescent="0.15"/>
    <row r="59814" spans="3:3" customFormat="1" ht="21.95" customHeight="1" x14ac:dyDescent="0.15"/>
    <row r="59815" spans="3:3" customFormat="1" ht="21.95" customHeight="1" x14ac:dyDescent="0.15"/>
    <row r="59816" spans="3:3" customFormat="1" ht="21.95" customHeight="1" x14ac:dyDescent="0.15"/>
    <row r="59817" spans="3:3" customFormat="1" ht="21.95" customHeight="1" x14ac:dyDescent="0.15"/>
    <row r="59818" spans="3:3" customFormat="1" ht="21.95" customHeight="1" x14ac:dyDescent="0.15"/>
    <row r="59819" spans="3:3" customFormat="1" ht="21.95" customHeight="1" x14ac:dyDescent="0.15"/>
    <row r="59820" spans="3:3" s="76" customFormat="1" ht="21.95" customHeight="1" x14ac:dyDescent="0.15"/>
    <row r="59821" spans="3:3" s="76" customFormat="1" ht="21.95" customHeight="1" x14ac:dyDescent="0.15"/>
    <row r="59822" spans="3:3" s="76" customFormat="1" ht="21.95" customHeight="1" x14ac:dyDescent="0.15"/>
    <row r="59823" spans="3:3" s="76" customFormat="1" ht="21.95" customHeight="1" x14ac:dyDescent="0.15"/>
    <row r="59824" spans="3:3" customFormat="1" ht="21.95" customHeight="1" x14ac:dyDescent="0.15"/>
    <row r="59825" customFormat="1" ht="21.95" customHeight="1" x14ac:dyDescent="0.15"/>
    <row r="59826" customFormat="1" ht="21.95" customHeight="1" x14ac:dyDescent="0.15"/>
    <row r="59827" customFormat="1" ht="21.95" customHeight="1" x14ac:dyDescent="0.15"/>
    <row r="59828" customFormat="1" ht="21.95" customHeight="1" x14ac:dyDescent="0.15"/>
    <row r="59829" customFormat="1" ht="21.95" customHeight="1" x14ac:dyDescent="0.15"/>
    <row r="59830" customFormat="1" ht="21.95" customHeight="1" x14ac:dyDescent="0.15"/>
    <row r="59831" customFormat="1" ht="21.95" customHeight="1" x14ac:dyDescent="0.15"/>
    <row r="59832" customFormat="1" ht="21.95" customHeight="1" x14ac:dyDescent="0.15"/>
    <row r="59833" customFormat="1" ht="21.95" customHeight="1" x14ac:dyDescent="0.15"/>
    <row r="59834" customFormat="1" ht="21.95" customHeight="1" x14ac:dyDescent="0.15"/>
    <row r="59835" customFormat="1" ht="32.1" customHeight="1" x14ac:dyDescent="0.15"/>
    <row r="59836" customFormat="1" ht="32.1" customHeight="1" x14ac:dyDescent="0.15"/>
    <row r="59837" customFormat="1" ht="32.1" customHeight="1" x14ac:dyDescent="0.15"/>
    <row r="59838" customFormat="1" ht="32.1" customHeight="1" x14ac:dyDescent="0.15"/>
    <row r="59839" customFormat="1" ht="32.1" customHeight="1" x14ac:dyDescent="0.15"/>
    <row r="59840" customFormat="1" ht="32.1" customHeight="1" x14ac:dyDescent="0.15"/>
    <row r="59841" s="76" customFormat="1" ht="32.1" customHeight="1" x14ac:dyDescent="0.15"/>
    <row r="59842" s="76" customFormat="1" ht="32.1" customHeight="1" x14ac:dyDescent="0.15"/>
    <row r="59843" s="76" customFormat="1" ht="32.1" customHeight="1" x14ac:dyDescent="0.15"/>
    <row r="59844" s="76" customFormat="1" ht="32.1" customHeight="1" x14ac:dyDescent="0.15"/>
    <row r="59845" s="76" customFormat="1" ht="21.95" customHeight="1" x14ac:dyDescent="0.15"/>
    <row r="59846" s="76" customFormat="1" ht="54" customHeight="1" x14ac:dyDescent="0.15"/>
    <row r="59847" s="76" customFormat="1" ht="21.95" customHeight="1" x14ac:dyDescent="0.15"/>
    <row r="59848" s="76" customFormat="1" ht="21.95" customHeight="1" x14ac:dyDescent="0.15"/>
    <row r="59849" s="76" customFormat="1" ht="21.95" customHeight="1" x14ac:dyDescent="0.15"/>
    <row r="59850" s="76" customFormat="1" ht="21.95" customHeight="1" x14ac:dyDescent="0.15"/>
    <row r="59851" s="76" customFormat="1" ht="21.95" customHeight="1" x14ac:dyDescent="0.15"/>
    <row r="59852" s="76" customFormat="1" ht="21.95" customHeight="1" x14ac:dyDescent="0.15"/>
    <row r="59853" s="76" customFormat="1" ht="21.95" customHeight="1" x14ac:dyDescent="0.15"/>
    <row r="59854" s="76" customFormat="1" ht="21.95" customHeight="1" x14ac:dyDescent="0.15"/>
    <row r="59855" s="76" customFormat="1" ht="21.95" customHeight="1" x14ac:dyDescent="0.15"/>
    <row r="59856" s="76" customFormat="1" ht="21.95" customHeight="1" x14ac:dyDescent="0.15"/>
    <row r="59857" s="76" customFormat="1" ht="21.95" customHeight="1" x14ac:dyDescent="0.15"/>
    <row r="59858" s="76" customFormat="1" ht="21.95" customHeight="1" x14ac:dyDescent="0.15"/>
    <row r="59859" s="76" customFormat="1" ht="21.95" customHeight="1" x14ac:dyDescent="0.15"/>
    <row r="59860" s="76" customFormat="1" ht="21.95" customHeight="1" x14ac:dyDescent="0.15"/>
    <row r="59861" s="76" customFormat="1" ht="21.95" customHeight="1" x14ac:dyDescent="0.15"/>
    <row r="59862" s="76" customFormat="1" ht="21.95" customHeight="1" x14ac:dyDescent="0.15"/>
    <row r="59863" s="76" customFormat="1" ht="21.95" customHeight="1" x14ac:dyDescent="0.15"/>
    <row r="59864" s="76" customFormat="1" ht="21.95" customHeight="1" x14ac:dyDescent="0.15"/>
    <row r="59865" s="76" customFormat="1" ht="21.95" customHeight="1" x14ac:dyDescent="0.15"/>
    <row r="59866" s="76" customFormat="1" ht="21.95" customHeight="1" x14ac:dyDescent="0.15"/>
    <row r="59867" s="76" customFormat="1" ht="21.95" customHeight="1" x14ac:dyDescent="0.15"/>
    <row r="59868" s="76" customFormat="1" ht="21.95" customHeight="1" x14ac:dyDescent="0.15"/>
    <row r="59869" s="76" customFormat="1" ht="21.95" customHeight="1" x14ac:dyDescent="0.15"/>
    <row r="59870" s="76" customFormat="1" ht="21.95" customHeight="1" x14ac:dyDescent="0.15"/>
    <row r="59871" s="76" customFormat="1" ht="21.95" customHeight="1" x14ac:dyDescent="0.15"/>
    <row r="59872" s="76" customFormat="1" ht="21.95" customHeight="1" x14ac:dyDescent="0.15"/>
    <row r="59873" s="76" customFormat="1" ht="21.95" customHeight="1" x14ac:dyDescent="0.15"/>
    <row r="59874" s="76" customFormat="1" ht="21.95" customHeight="1" x14ac:dyDescent="0.15"/>
    <row r="59875" s="76" customFormat="1" ht="21.95" customHeight="1" x14ac:dyDescent="0.15"/>
    <row r="59876" s="76" customFormat="1" ht="21.95" customHeight="1" x14ac:dyDescent="0.15"/>
    <row r="59877" s="76" customFormat="1" ht="21.95" customHeight="1" x14ac:dyDescent="0.15"/>
    <row r="59878" s="76" customFormat="1" ht="21.95" customHeight="1" x14ac:dyDescent="0.15"/>
    <row r="59879" s="76" customFormat="1" ht="21.95" customHeight="1" x14ac:dyDescent="0.15"/>
    <row r="59880" s="76" customFormat="1" ht="21.95" customHeight="1" x14ac:dyDescent="0.15"/>
    <row r="59881" s="76" customFormat="1" ht="21.95" customHeight="1" x14ac:dyDescent="0.15"/>
    <row r="59882" s="76" customFormat="1" ht="21.95" customHeight="1" x14ac:dyDescent="0.15"/>
    <row r="59883" s="76" customFormat="1" ht="21.95" customHeight="1" x14ac:dyDescent="0.15"/>
    <row r="59884" s="76" customFormat="1" ht="21.95" customHeight="1" x14ac:dyDescent="0.15"/>
    <row r="59885" s="76" customFormat="1" ht="21.95" customHeight="1" x14ac:dyDescent="0.15"/>
    <row r="59886" s="76" customFormat="1" ht="21.95" customHeight="1" x14ac:dyDescent="0.15"/>
    <row r="59887" s="76" customFormat="1" ht="21.95" customHeight="1" x14ac:dyDescent="0.15"/>
    <row r="59888" s="76" customFormat="1" ht="21.95" customHeight="1" x14ac:dyDescent="0.15"/>
    <row r="59889" s="76" customFormat="1" ht="21.95" customHeight="1" x14ac:dyDescent="0.15"/>
    <row r="59890" s="76" customFormat="1" ht="21.95" customHeight="1" x14ac:dyDescent="0.15"/>
    <row r="59891" s="76" customFormat="1" ht="21.95" customHeight="1" x14ac:dyDescent="0.15"/>
    <row r="59892" s="76" customFormat="1" ht="21.95" customHeight="1" x14ac:dyDescent="0.15"/>
    <row r="59893" s="76" customFormat="1" ht="21.95" customHeight="1" x14ac:dyDescent="0.15"/>
    <row r="59894" s="76" customFormat="1" ht="21.95" customHeight="1" x14ac:dyDescent="0.15"/>
    <row r="59895" s="76" customFormat="1" ht="21.95" customHeight="1" x14ac:dyDescent="0.15"/>
    <row r="59896" s="76" customFormat="1" ht="21.95" customHeight="1" x14ac:dyDescent="0.15"/>
    <row r="59897" s="76" customFormat="1" ht="35.1" customHeight="1" x14ac:dyDescent="0.15"/>
    <row r="59898" s="76" customFormat="1" ht="21.95" customHeight="1" x14ac:dyDescent="0.15"/>
    <row r="59899" s="76" customFormat="1" ht="21.95" customHeight="1" x14ac:dyDescent="0.15"/>
    <row r="59900" s="76" customFormat="1" ht="21.95" customHeight="1" x14ac:dyDescent="0.15"/>
    <row r="59901" s="76" customFormat="1" ht="21.95" customHeight="1" x14ac:dyDescent="0.15"/>
    <row r="59902" s="76" customFormat="1" ht="21.95" customHeight="1" x14ac:dyDescent="0.15"/>
    <row r="59903" s="76" customFormat="1" ht="21.95" customHeight="1" x14ac:dyDescent="0.15"/>
    <row r="59904" s="76" customFormat="1" ht="21.95" customHeight="1" x14ac:dyDescent="0.15"/>
    <row r="59905" s="76" customFormat="1" ht="21.95" customHeight="1" x14ac:dyDescent="0.15"/>
    <row r="59906" s="76" customFormat="1" ht="21.95" customHeight="1" x14ac:dyDescent="0.15"/>
    <row r="59907" s="76" customFormat="1" ht="21.95" customHeight="1" x14ac:dyDescent="0.15"/>
    <row r="59908" s="76" customFormat="1" ht="21.95" customHeight="1" x14ac:dyDescent="0.15"/>
    <row r="59909" s="76" customFormat="1" ht="21.95" customHeight="1" x14ac:dyDescent="0.15"/>
    <row r="59910" s="76" customFormat="1" ht="21.95" customHeight="1" x14ac:dyDescent="0.15"/>
    <row r="59911" s="76" customFormat="1" ht="21.95" customHeight="1" x14ac:dyDescent="0.15"/>
    <row r="59912" s="76" customFormat="1" ht="21.95" customHeight="1" x14ac:dyDescent="0.15"/>
    <row r="59913" s="76" customFormat="1" ht="21.95" customHeight="1" x14ac:dyDescent="0.15"/>
    <row r="59914" s="76" customFormat="1" ht="21.95" customHeight="1" x14ac:dyDescent="0.15"/>
    <row r="59915" s="76" customFormat="1" ht="21.95" customHeight="1" x14ac:dyDescent="0.15"/>
    <row r="59916" s="76" customFormat="1" ht="21.95" customHeight="1" x14ac:dyDescent="0.15"/>
    <row r="59917" s="76" customFormat="1" ht="21.95" customHeight="1" x14ac:dyDescent="0.15"/>
    <row r="59918" s="76" customFormat="1" ht="21.95" customHeight="1" x14ac:dyDescent="0.15"/>
    <row r="59919" s="76" customFormat="1" ht="21.95" customHeight="1" x14ac:dyDescent="0.15"/>
    <row r="59920" s="76" customFormat="1" ht="21.95" customHeight="1" x14ac:dyDescent="0.15"/>
    <row r="59921" spans="3:3" customFormat="1" ht="21.95" customHeight="1" x14ac:dyDescent="0.15"/>
    <row r="59922" spans="3:3" customFormat="1" ht="21.95" customHeight="1" x14ac:dyDescent="0.15"/>
    <row r="59923" spans="3:3" customFormat="1" ht="21.95" customHeight="1" x14ac:dyDescent="0.15">
      <c r="C59923" s="94"/>
    </row>
    <row r="59924" spans="3:3" customFormat="1" ht="21.95" customHeight="1" x14ac:dyDescent="0.15">
      <c r="C59924" s="94"/>
    </row>
    <row r="59925" spans="3:3" customFormat="1" ht="21.95" customHeight="1" x14ac:dyDescent="0.15"/>
    <row r="59926" spans="3:3" customFormat="1" ht="21.95" customHeight="1" x14ac:dyDescent="0.15"/>
    <row r="59927" spans="3:3" customFormat="1" ht="21.95" customHeight="1" x14ac:dyDescent="0.15"/>
    <row r="59928" spans="3:3" customFormat="1" ht="21.95" customHeight="1" x14ac:dyDescent="0.15"/>
    <row r="59929" spans="3:3" customFormat="1" ht="21.95" customHeight="1" x14ac:dyDescent="0.15"/>
    <row r="59930" spans="3:3" customFormat="1" ht="21.95" customHeight="1" x14ac:dyDescent="0.15"/>
    <row r="59931" spans="3:3" customFormat="1" ht="21.95" customHeight="1" x14ac:dyDescent="0.15"/>
    <row r="59932" spans="3:3" s="76" customFormat="1" ht="21.95" customHeight="1" x14ac:dyDescent="0.15"/>
    <row r="59933" spans="3:3" s="76" customFormat="1" ht="21.95" customHeight="1" x14ac:dyDescent="0.15"/>
    <row r="59934" spans="3:3" s="76" customFormat="1" ht="21.95" customHeight="1" x14ac:dyDescent="0.15"/>
    <row r="59935" spans="3:3" s="76" customFormat="1" ht="21.95" customHeight="1" x14ac:dyDescent="0.15"/>
    <row r="59936" spans="3:3" customFormat="1" ht="21.95" customHeight="1" x14ac:dyDescent="0.15"/>
    <row r="59937" customFormat="1" ht="21.95" customHeight="1" x14ac:dyDescent="0.15"/>
    <row r="59938" customFormat="1" ht="21.95" customHeight="1" x14ac:dyDescent="0.15"/>
    <row r="59939" customFormat="1" ht="21.95" customHeight="1" x14ac:dyDescent="0.15"/>
    <row r="59940" customFormat="1" ht="21.95" customHeight="1" x14ac:dyDescent="0.15"/>
    <row r="59941" customFormat="1" ht="21.95" customHeight="1" x14ac:dyDescent="0.15"/>
    <row r="59942" customFormat="1" ht="21.95" customHeight="1" x14ac:dyDescent="0.15"/>
    <row r="59943" customFormat="1" ht="21.95" customHeight="1" x14ac:dyDescent="0.15"/>
    <row r="59944" customFormat="1" ht="21.95" customHeight="1" x14ac:dyDescent="0.15"/>
    <row r="59945" customFormat="1" ht="21.95" customHeight="1" x14ac:dyDescent="0.15"/>
    <row r="59946" customFormat="1" ht="21.95" customHeight="1" x14ac:dyDescent="0.15"/>
    <row r="59947" customFormat="1" ht="32.1" customHeight="1" x14ac:dyDescent="0.15"/>
    <row r="59948" customFormat="1" ht="32.1" customHeight="1" x14ac:dyDescent="0.15"/>
    <row r="59949" customFormat="1" ht="32.1" customHeight="1" x14ac:dyDescent="0.15"/>
    <row r="59950" customFormat="1" ht="32.1" customHeight="1" x14ac:dyDescent="0.15"/>
    <row r="59951" customFormat="1" ht="32.1" customHeight="1" x14ac:dyDescent="0.15"/>
    <row r="59952" customFormat="1" ht="32.1" customHeight="1" x14ac:dyDescent="0.15"/>
    <row r="59953" s="76" customFormat="1" ht="32.1" customHeight="1" x14ac:dyDescent="0.15"/>
    <row r="59954" s="76" customFormat="1" ht="32.1" customHeight="1" x14ac:dyDescent="0.15"/>
    <row r="59955" s="76" customFormat="1" ht="32.1" customHeight="1" x14ac:dyDescent="0.15"/>
    <row r="59956" s="76" customFormat="1" ht="32.1" customHeight="1" x14ac:dyDescent="0.15"/>
    <row r="59957" s="76" customFormat="1" ht="21.95" customHeight="1" x14ac:dyDescent="0.15"/>
    <row r="59958" s="76" customFormat="1" ht="54" customHeight="1" x14ac:dyDescent="0.15"/>
    <row r="59959" s="76" customFormat="1" ht="21.95" customHeight="1" x14ac:dyDescent="0.15"/>
    <row r="59960" s="76" customFormat="1" ht="21.95" customHeight="1" x14ac:dyDescent="0.15"/>
    <row r="59961" s="76" customFormat="1" ht="21.95" customHeight="1" x14ac:dyDescent="0.15"/>
    <row r="59962" s="76" customFormat="1" ht="21.95" customHeight="1" x14ac:dyDescent="0.15"/>
    <row r="59963" s="76" customFormat="1" ht="21.95" customHeight="1" x14ac:dyDescent="0.15"/>
    <row r="59964" s="76" customFormat="1" ht="21.95" customHeight="1" x14ac:dyDescent="0.15"/>
    <row r="59965" s="76" customFormat="1" ht="21.95" customHeight="1" x14ac:dyDescent="0.15"/>
    <row r="59966" s="76" customFormat="1" ht="21.95" customHeight="1" x14ac:dyDescent="0.15"/>
    <row r="59967" s="76" customFormat="1" ht="21.95" customHeight="1" x14ac:dyDescent="0.15"/>
    <row r="59968" s="76" customFormat="1" ht="21.95" customHeight="1" x14ac:dyDescent="0.15"/>
    <row r="59969" s="76" customFormat="1" ht="21.95" customHeight="1" x14ac:dyDescent="0.15"/>
    <row r="59970" s="76" customFormat="1" ht="21.95" customHeight="1" x14ac:dyDescent="0.15"/>
    <row r="59971" s="76" customFormat="1" ht="21.95" customHeight="1" x14ac:dyDescent="0.15"/>
    <row r="59972" s="76" customFormat="1" ht="21.95" customHeight="1" x14ac:dyDescent="0.15"/>
    <row r="59973" s="76" customFormat="1" ht="21.95" customHeight="1" x14ac:dyDescent="0.15"/>
    <row r="59974" s="76" customFormat="1" ht="21.95" customHeight="1" x14ac:dyDescent="0.15"/>
    <row r="59975" s="76" customFormat="1" ht="21.95" customHeight="1" x14ac:dyDescent="0.15"/>
    <row r="59976" s="76" customFormat="1" ht="21.95" customHeight="1" x14ac:dyDescent="0.15"/>
    <row r="59977" s="76" customFormat="1" ht="21.95" customHeight="1" x14ac:dyDescent="0.15"/>
    <row r="59978" s="76" customFormat="1" ht="21.95" customHeight="1" x14ac:dyDescent="0.15"/>
    <row r="59979" s="76" customFormat="1" ht="21.95" customHeight="1" x14ac:dyDescent="0.15"/>
    <row r="59980" s="76" customFormat="1" ht="21.95" customHeight="1" x14ac:dyDescent="0.15"/>
    <row r="59981" s="76" customFormat="1" ht="21.95" customHeight="1" x14ac:dyDescent="0.15"/>
    <row r="59982" s="76" customFormat="1" ht="21.95" customHeight="1" x14ac:dyDescent="0.15"/>
    <row r="59983" s="76" customFormat="1" ht="21.95" customHeight="1" x14ac:dyDescent="0.15"/>
    <row r="59984" s="76" customFormat="1" ht="21.95" customHeight="1" x14ac:dyDescent="0.15"/>
    <row r="59985" s="76" customFormat="1" ht="21.95" customHeight="1" x14ac:dyDescent="0.15"/>
    <row r="59986" s="76" customFormat="1" ht="21.95" customHeight="1" x14ac:dyDescent="0.15"/>
    <row r="59987" s="76" customFormat="1" ht="21.95" customHeight="1" x14ac:dyDescent="0.15"/>
    <row r="59988" s="76" customFormat="1" ht="21.95" customHeight="1" x14ac:dyDescent="0.15"/>
    <row r="59989" s="76" customFormat="1" ht="21.95" customHeight="1" x14ac:dyDescent="0.15"/>
    <row r="59990" s="76" customFormat="1" ht="21.95" customHeight="1" x14ac:dyDescent="0.15"/>
    <row r="59991" s="76" customFormat="1" ht="21.95" customHeight="1" x14ac:dyDescent="0.15"/>
    <row r="59992" s="76" customFormat="1" ht="21.95" customHeight="1" x14ac:dyDescent="0.15"/>
    <row r="59993" s="76" customFormat="1" ht="21.95" customHeight="1" x14ac:dyDescent="0.15"/>
    <row r="59994" s="76" customFormat="1" ht="21.95" customHeight="1" x14ac:dyDescent="0.15"/>
    <row r="59995" s="76" customFormat="1" ht="21.95" customHeight="1" x14ac:dyDescent="0.15"/>
    <row r="59996" s="76" customFormat="1" ht="21.95" customHeight="1" x14ac:dyDescent="0.15"/>
    <row r="59997" s="76" customFormat="1" ht="21.95" customHeight="1" x14ac:dyDescent="0.15"/>
    <row r="59998" s="76" customFormat="1" ht="21.95" customHeight="1" x14ac:dyDescent="0.15"/>
    <row r="59999" s="76" customFormat="1" ht="21.95" customHeight="1" x14ac:dyDescent="0.15"/>
    <row r="60000" s="76" customFormat="1" ht="21.95" customHeight="1" x14ac:dyDescent="0.15"/>
    <row r="60001" s="76" customFormat="1" ht="21.95" customHeight="1" x14ac:dyDescent="0.15"/>
    <row r="60002" s="76" customFormat="1" ht="21.95" customHeight="1" x14ac:dyDescent="0.15"/>
    <row r="60003" s="76" customFormat="1" ht="21.95" customHeight="1" x14ac:dyDescent="0.15"/>
    <row r="60004" s="76" customFormat="1" ht="21.95" customHeight="1" x14ac:dyDescent="0.15"/>
    <row r="60005" s="76" customFormat="1" ht="21.95" customHeight="1" x14ac:dyDescent="0.15"/>
    <row r="60006" s="76" customFormat="1" ht="21.95" customHeight="1" x14ac:dyDescent="0.15"/>
    <row r="60007" s="76" customFormat="1" ht="21.95" customHeight="1" x14ac:dyDescent="0.15"/>
    <row r="60008" s="76" customFormat="1" ht="21.95" customHeight="1" x14ac:dyDescent="0.15"/>
    <row r="60009" s="76" customFormat="1" ht="35.1" customHeight="1" x14ac:dyDescent="0.15"/>
    <row r="60010" s="76" customFormat="1" ht="21.95" customHeight="1" x14ac:dyDescent="0.15"/>
    <row r="60011" s="76" customFormat="1" ht="21.95" customHeight="1" x14ac:dyDescent="0.15"/>
    <row r="60012" s="76" customFormat="1" ht="21.95" customHeight="1" x14ac:dyDescent="0.15"/>
    <row r="60013" s="76" customFormat="1" ht="21.95" customHeight="1" x14ac:dyDescent="0.15"/>
    <row r="60014" s="76" customFormat="1" ht="21.95" customHeight="1" x14ac:dyDescent="0.15"/>
    <row r="60015" s="76" customFormat="1" ht="21.95" customHeight="1" x14ac:dyDescent="0.15"/>
    <row r="60016" s="76" customFormat="1" ht="21.95" customHeight="1" x14ac:dyDescent="0.15"/>
    <row r="60017" s="76" customFormat="1" ht="21.95" customHeight="1" x14ac:dyDescent="0.15"/>
    <row r="60018" s="76" customFormat="1" ht="21.95" customHeight="1" x14ac:dyDescent="0.15"/>
    <row r="60019" s="76" customFormat="1" ht="21.95" customHeight="1" x14ac:dyDescent="0.15"/>
    <row r="60020" s="76" customFormat="1" ht="21.95" customHeight="1" x14ac:dyDescent="0.15"/>
    <row r="60021" s="76" customFormat="1" ht="21.95" customHeight="1" x14ac:dyDescent="0.15"/>
    <row r="60022" s="76" customFormat="1" ht="21.95" customHeight="1" x14ac:dyDescent="0.15"/>
    <row r="60023" s="76" customFormat="1" ht="21.95" customHeight="1" x14ac:dyDescent="0.15"/>
    <row r="60024" s="76" customFormat="1" ht="21.95" customHeight="1" x14ac:dyDescent="0.15"/>
    <row r="60025" s="76" customFormat="1" ht="21.95" customHeight="1" x14ac:dyDescent="0.15"/>
    <row r="60026" s="76" customFormat="1" ht="21.95" customHeight="1" x14ac:dyDescent="0.15"/>
    <row r="60027" s="76" customFormat="1" ht="21.95" customHeight="1" x14ac:dyDescent="0.15"/>
    <row r="60028" s="76" customFormat="1" ht="21.95" customHeight="1" x14ac:dyDescent="0.15"/>
    <row r="60029" s="76" customFormat="1" ht="21.95" customHeight="1" x14ac:dyDescent="0.15"/>
    <row r="60030" s="76" customFormat="1" ht="21.95" customHeight="1" x14ac:dyDescent="0.15"/>
    <row r="60031" s="76" customFormat="1" ht="21.95" customHeight="1" x14ac:dyDescent="0.15"/>
    <row r="60032" s="76" customFormat="1" ht="21.95" customHeight="1" x14ac:dyDescent="0.15"/>
    <row r="60033" spans="3:3" customFormat="1" ht="21.95" customHeight="1" x14ac:dyDescent="0.15"/>
    <row r="60034" spans="3:3" customFormat="1" ht="21.95" customHeight="1" x14ac:dyDescent="0.15"/>
    <row r="60035" spans="3:3" customFormat="1" ht="21.95" customHeight="1" x14ac:dyDescent="0.15">
      <c r="C60035" s="94"/>
    </row>
    <row r="60036" spans="3:3" customFormat="1" ht="21.95" customHeight="1" x14ac:dyDescent="0.15">
      <c r="C60036" s="94"/>
    </row>
    <row r="60037" spans="3:3" customFormat="1" ht="21.95" customHeight="1" x14ac:dyDescent="0.15"/>
    <row r="60038" spans="3:3" customFormat="1" ht="21.95" customHeight="1" x14ac:dyDescent="0.15"/>
    <row r="60039" spans="3:3" customFormat="1" ht="21.95" customHeight="1" x14ac:dyDescent="0.15"/>
    <row r="60040" spans="3:3" customFormat="1" ht="21.95" customHeight="1" x14ac:dyDescent="0.15"/>
    <row r="60041" spans="3:3" customFormat="1" ht="21.95" customHeight="1" x14ac:dyDescent="0.15"/>
    <row r="60042" spans="3:3" customFormat="1" ht="21.95" customHeight="1" x14ac:dyDescent="0.15"/>
    <row r="60043" spans="3:3" customFormat="1" ht="21.95" customHeight="1" x14ac:dyDescent="0.15"/>
    <row r="60044" spans="3:3" s="76" customFormat="1" ht="21.95" customHeight="1" x14ac:dyDescent="0.15"/>
    <row r="60045" spans="3:3" s="76" customFormat="1" ht="21.95" customHeight="1" x14ac:dyDescent="0.15"/>
    <row r="60046" spans="3:3" s="76" customFormat="1" ht="21.95" customHeight="1" x14ac:dyDescent="0.15"/>
    <row r="60047" spans="3:3" s="76" customFormat="1" ht="21.95" customHeight="1" x14ac:dyDescent="0.15"/>
    <row r="60048" spans="3:3" customFormat="1" ht="21.95" customHeight="1" x14ac:dyDescent="0.15"/>
    <row r="60049" customFormat="1" ht="21.95" customHeight="1" x14ac:dyDescent="0.15"/>
    <row r="60050" customFormat="1" ht="21.95" customHeight="1" x14ac:dyDescent="0.15"/>
    <row r="60051" customFormat="1" ht="21.95" customHeight="1" x14ac:dyDescent="0.15"/>
    <row r="60052" customFormat="1" ht="21.95" customHeight="1" x14ac:dyDescent="0.15"/>
    <row r="60053" customFormat="1" ht="21.95" customHeight="1" x14ac:dyDescent="0.15"/>
    <row r="60054" customFormat="1" ht="21.95" customHeight="1" x14ac:dyDescent="0.15"/>
    <row r="60055" customFormat="1" ht="21.95" customHeight="1" x14ac:dyDescent="0.15"/>
    <row r="60056" customFormat="1" ht="21.95" customHeight="1" x14ac:dyDescent="0.15"/>
    <row r="60057" customFormat="1" ht="21.95" customHeight="1" x14ac:dyDescent="0.15"/>
    <row r="60058" customFormat="1" ht="21.95" customHeight="1" x14ac:dyDescent="0.15"/>
    <row r="60059" customFormat="1" ht="32.1" customHeight="1" x14ac:dyDescent="0.15"/>
    <row r="60060" customFormat="1" ht="32.1" customHeight="1" x14ac:dyDescent="0.15"/>
    <row r="60061" customFormat="1" ht="32.1" customHeight="1" x14ac:dyDescent="0.15"/>
    <row r="60062" customFormat="1" ht="32.1" customHeight="1" x14ac:dyDescent="0.15"/>
    <row r="60063" customFormat="1" ht="32.1" customHeight="1" x14ac:dyDescent="0.15"/>
    <row r="60064" customFormat="1" ht="32.1" customHeight="1" x14ac:dyDescent="0.15"/>
    <row r="60065" s="76" customFormat="1" ht="32.1" customHeight="1" x14ac:dyDescent="0.15"/>
    <row r="60066" s="76" customFormat="1" ht="32.1" customHeight="1" x14ac:dyDescent="0.15"/>
    <row r="60067" s="76" customFormat="1" ht="32.1" customHeight="1" x14ac:dyDescent="0.15"/>
    <row r="60068" s="76" customFormat="1" ht="32.1" customHeight="1" x14ac:dyDescent="0.15"/>
    <row r="60069" s="76" customFormat="1" ht="21.95" customHeight="1" x14ac:dyDescent="0.15"/>
    <row r="60070" s="76" customFormat="1" ht="54" customHeight="1" x14ac:dyDescent="0.15"/>
    <row r="60071" s="76" customFormat="1" ht="21.95" customHeight="1" x14ac:dyDescent="0.15"/>
    <row r="60072" s="76" customFormat="1" ht="21.95" customHeight="1" x14ac:dyDescent="0.15"/>
    <row r="60073" s="76" customFormat="1" ht="21.95" customHeight="1" x14ac:dyDescent="0.15"/>
    <row r="60074" s="76" customFormat="1" ht="21.95" customHeight="1" x14ac:dyDescent="0.15"/>
    <row r="60075" s="76" customFormat="1" ht="21.95" customHeight="1" x14ac:dyDescent="0.15"/>
    <row r="60076" s="76" customFormat="1" ht="21.95" customHeight="1" x14ac:dyDescent="0.15"/>
    <row r="60077" s="76" customFormat="1" ht="21.95" customHeight="1" x14ac:dyDescent="0.15"/>
    <row r="60078" s="76" customFormat="1" ht="21.95" customHeight="1" x14ac:dyDescent="0.15"/>
    <row r="60079" s="76" customFormat="1" ht="21.95" customHeight="1" x14ac:dyDescent="0.15"/>
    <row r="60080" s="76" customFormat="1" ht="21.95" customHeight="1" x14ac:dyDescent="0.15"/>
    <row r="60081" s="76" customFormat="1" ht="21.95" customHeight="1" x14ac:dyDescent="0.15"/>
    <row r="60082" s="76" customFormat="1" ht="21.95" customHeight="1" x14ac:dyDescent="0.15"/>
    <row r="60083" s="76" customFormat="1" ht="21.95" customHeight="1" x14ac:dyDescent="0.15"/>
    <row r="60084" s="76" customFormat="1" ht="21.95" customHeight="1" x14ac:dyDescent="0.15"/>
    <row r="60085" s="76" customFormat="1" ht="21.95" customHeight="1" x14ac:dyDescent="0.15"/>
    <row r="60086" s="76" customFormat="1" ht="21.95" customHeight="1" x14ac:dyDescent="0.15"/>
    <row r="60087" s="76" customFormat="1" ht="21.95" customHeight="1" x14ac:dyDescent="0.15"/>
    <row r="60088" s="76" customFormat="1" ht="21.95" customHeight="1" x14ac:dyDescent="0.15"/>
    <row r="60089" s="76" customFormat="1" ht="21.95" customHeight="1" x14ac:dyDescent="0.15"/>
    <row r="60090" s="76" customFormat="1" ht="21.95" customHeight="1" x14ac:dyDescent="0.15"/>
    <row r="60091" s="76" customFormat="1" ht="21.95" customHeight="1" x14ac:dyDescent="0.15"/>
    <row r="60092" s="76" customFormat="1" ht="21.95" customHeight="1" x14ac:dyDescent="0.15"/>
    <row r="60093" s="76" customFormat="1" ht="21.95" customHeight="1" x14ac:dyDescent="0.15"/>
    <row r="60094" s="76" customFormat="1" ht="21.95" customHeight="1" x14ac:dyDescent="0.15"/>
    <row r="60095" s="76" customFormat="1" ht="21.95" customHeight="1" x14ac:dyDescent="0.15"/>
    <row r="60096" s="76" customFormat="1" ht="21.95" customHeight="1" x14ac:dyDescent="0.15"/>
    <row r="60097" s="76" customFormat="1" ht="21.95" customHeight="1" x14ac:dyDescent="0.15"/>
    <row r="60098" s="76" customFormat="1" ht="21.95" customHeight="1" x14ac:dyDescent="0.15"/>
    <row r="60099" s="76" customFormat="1" ht="21.95" customHeight="1" x14ac:dyDescent="0.15"/>
    <row r="60100" s="76" customFormat="1" ht="21.95" customHeight="1" x14ac:dyDescent="0.15"/>
    <row r="60101" s="76" customFormat="1" ht="21.95" customHeight="1" x14ac:dyDescent="0.15"/>
    <row r="60102" s="76" customFormat="1" ht="21.95" customHeight="1" x14ac:dyDescent="0.15"/>
    <row r="60103" s="76" customFormat="1" ht="21.95" customHeight="1" x14ac:dyDescent="0.15"/>
    <row r="60104" s="76" customFormat="1" ht="21.95" customHeight="1" x14ac:dyDescent="0.15"/>
    <row r="60105" s="76" customFormat="1" ht="21.95" customHeight="1" x14ac:dyDescent="0.15"/>
    <row r="60106" s="76" customFormat="1" ht="21.95" customHeight="1" x14ac:dyDescent="0.15"/>
    <row r="60107" s="76" customFormat="1" ht="21.95" customHeight="1" x14ac:dyDescent="0.15"/>
    <row r="60108" s="76" customFormat="1" ht="21.95" customHeight="1" x14ac:dyDescent="0.15"/>
    <row r="60109" s="76" customFormat="1" ht="21.95" customHeight="1" x14ac:dyDescent="0.15"/>
    <row r="60110" s="76" customFormat="1" ht="21.95" customHeight="1" x14ac:dyDescent="0.15"/>
    <row r="60111" s="76" customFormat="1" ht="21.95" customHeight="1" x14ac:dyDescent="0.15"/>
    <row r="60112" s="76" customFormat="1" ht="21.95" customHeight="1" x14ac:dyDescent="0.15"/>
    <row r="60113" s="76" customFormat="1" ht="21.95" customHeight="1" x14ac:dyDescent="0.15"/>
    <row r="60114" s="76" customFormat="1" ht="21.95" customHeight="1" x14ac:dyDescent="0.15"/>
    <row r="60115" s="76" customFormat="1" ht="21.95" customHeight="1" x14ac:dyDescent="0.15"/>
    <row r="60116" s="76" customFormat="1" ht="21.95" customHeight="1" x14ac:dyDescent="0.15"/>
    <row r="60117" s="76" customFormat="1" ht="21.95" customHeight="1" x14ac:dyDescent="0.15"/>
    <row r="60118" s="76" customFormat="1" ht="21.95" customHeight="1" x14ac:dyDescent="0.15"/>
    <row r="60119" s="76" customFormat="1" ht="21.95" customHeight="1" x14ac:dyDescent="0.15"/>
    <row r="60120" s="76" customFormat="1" ht="21.95" customHeight="1" x14ac:dyDescent="0.15"/>
    <row r="60121" s="76" customFormat="1" ht="35.1" customHeight="1" x14ac:dyDescent="0.15"/>
    <row r="60122" s="76" customFormat="1" ht="21.95" customHeight="1" x14ac:dyDescent="0.15"/>
    <row r="60123" s="76" customFormat="1" ht="21.95" customHeight="1" x14ac:dyDescent="0.15"/>
    <row r="60124" s="76" customFormat="1" ht="21.95" customHeight="1" x14ac:dyDescent="0.15"/>
    <row r="60125" s="76" customFormat="1" ht="21.95" customHeight="1" x14ac:dyDescent="0.15"/>
    <row r="60126" s="76" customFormat="1" ht="21.95" customHeight="1" x14ac:dyDescent="0.15"/>
    <row r="60127" s="76" customFormat="1" ht="21.95" customHeight="1" x14ac:dyDescent="0.15"/>
    <row r="60128" s="76" customFormat="1" ht="21.95" customHeight="1" x14ac:dyDescent="0.15"/>
    <row r="60129" s="76" customFormat="1" ht="21.95" customHeight="1" x14ac:dyDescent="0.15"/>
    <row r="60130" s="76" customFormat="1" ht="21.95" customHeight="1" x14ac:dyDescent="0.15"/>
    <row r="60131" s="76" customFormat="1" ht="21.95" customHeight="1" x14ac:dyDescent="0.15"/>
    <row r="60132" s="76" customFormat="1" ht="21.95" customHeight="1" x14ac:dyDescent="0.15"/>
    <row r="60133" s="76" customFormat="1" ht="21.95" customHeight="1" x14ac:dyDescent="0.15"/>
    <row r="60134" s="76" customFormat="1" ht="21.95" customHeight="1" x14ac:dyDescent="0.15"/>
    <row r="60135" s="76" customFormat="1" ht="21.95" customHeight="1" x14ac:dyDescent="0.15"/>
    <row r="60136" s="76" customFormat="1" ht="21.95" customHeight="1" x14ac:dyDescent="0.15"/>
    <row r="60137" s="76" customFormat="1" ht="21.95" customHeight="1" x14ac:dyDescent="0.15"/>
    <row r="60138" s="76" customFormat="1" ht="21.95" customHeight="1" x14ac:dyDescent="0.15"/>
    <row r="60139" s="76" customFormat="1" ht="21.95" customHeight="1" x14ac:dyDescent="0.15"/>
    <row r="60140" s="76" customFormat="1" ht="21.95" customHeight="1" x14ac:dyDescent="0.15"/>
    <row r="60141" s="76" customFormat="1" ht="21.95" customHeight="1" x14ac:dyDescent="0.15"/>
    <row r="60142" s="76" customFormat="1" ht="21.95" customHeight="1" x14ac:dyDescent="0.15"/>
    <row r="60143" s="76" customFormat="1" ht="21.95" customHeight="1" x14ac:dyDescent="0.15"/>
    <row r="60144" s="76" customFormat="1" ht="21.95" customHeight="1" x14ac:dyDescent="0.15"/>
    <row r="60145" spans="3:3" customFormat="1" ht="21.95" customHeight="1" x14ac:dyDescent="0.15"/>
    <row r="60146" spans="3:3" customFormat="1" ht="21.95" customHeight="1" x14ac:dyDescent="0.15"/>
    <row r="60147" spans="3:3" customFormat="1" ht="21.95" customHeight="1" x14ac:dyDescent="0.15">
      <c r="C60147" s="94"/>
    </row>
    <row r="60148" spans="3:3" customFormat="1" ht="21.95" customHeight="1" x14ac:dyDescent="0.15">
      <c r="C60148" s="94"/>
    </row>
    <row r="60149" spans="3:3" customFormat="1" ht="21.95" customHeight="1" x14ac:dyDescent="0.15"/>
    <row r="60150" spans="3:3" customFormat="1" ht="21.95" customHeight="1" x14ac:dyDescent="0.15"/>
    <row r="60151" spans="3:3" customFormat="1" ht="21.95" customHeight="1" x14ac:dyDescent="0.15"/>
    <row r="60152" spans="3:3" customFormat="1" ht="21.95" customHeight="1" x14ac:dyDescent="0.15"/>
    <row r="60153" spans="3:3" customFormat="1" ht="21.95" customHeight="1" x14ac:dyDescent="0.15"/>
    <row r="60154" spans="3:3" customFormat="1" ht="21.95" customHeight="1" x14ac:dyDescent="0.15"/>
    <row r="60155" spans="3:3" customFormat="1" ht="21.95" customHeight="1" x14ac:dyDescent="0.15"/>
    <row r="60156" spans="3:3" s="76" customFormat="1" ht="21.95" customHeight="1" x14ac:dyDescent="0.15"/>
    <row r="60157" spans="3:3" s="76" customFormat="1" ht="21.95" customHeight="1" x14ac:dyDescent="0.15"/>
    <row r="60158" spans="3:3" s="76" customFormat="1" ht="21.95" customHeight="1" x14ac:dyDescent="0.15"/>
    <row r="60159" spans="3:3" s="76" customFormat="1" ht="21.95" customHeight="1" x14ac:dyDescent="0.15"/>
    <row r="60160" spans="3:3" customFormat="1" ht="21.95" customHeight="1" x14ac:dyDescent="0.15"/>
    <row r="60161" customFormat="1" ht="21.95" customHeight="1" x14ac:dyDescent="0.15"/>
    <row r="60162" customFormat="1" ht="21.95" customHeight="1" x14ac:dyDescent="0.15"/>
    <row r="60163" customFormat="1" ht="21.95" customHeight="1" x14ac:dyDescent="0.15"/>
    <row r="60164" customFormat="1" ht="21.95" customHeight="1" x14ac:dyDescent="0.15"/>
    <row r="60165" customFormat="1" ht="21.95" customHeight="1" x14ac:dyDescent="0.15"/>
    <row r="60166" customFormat="1" ht="21.95" customHeight="1" x14ac:dyDescent="0.15"/>
    <row r="60167" customFormat="1" ht="21.95" customHeight="1" x14ac:dyDescent="0.15"/>
    <row r="60168" customFormat="1" ht="21.95" customHeight="1" x14ac:dyDescent="0.15"/>
    <row r="60169" customFormat="1" ht="21.95" customHeight="1" x14ac:dyDescent="0.15"/>
    <row r="60170" customFormat="1" ht="21.95" customHeight="1" x14ac:dyDescent="0.15"/>
    <row r="60171" customFormat="1" ht="32.1" customHeight="1" x14ac:dyDescent="0.15"/>
    <row r="60172" customFormat="1" ht="32.1" customHeight="1" x14ac:dyDescent="0.15"/>
    <row r="60173" customFormat="1" ht="32.1" customHeight="1" x14ac:dyDescent="0.15"/>
    <row r="60174" customFormat="1" ht="32.1" customHeight="1" x14ac:dyDescent="0.15"/>
    <row r="60175" customFormat="1" ht="32.1" customHeight="1" x14ac:dyDescent="0.15"/>
    <row r="60176" customFormat="1" ht="32.1" customHeight="1" x14ac:dyDescent="0.15"/>
    <row r="60177" s="76" customFormat="1" ht="32.1" customHeight="1" x14ac:dyDescent="0.15"/>
    <row r="60178" s="76" customFormat="1" ht="32.1" customHeight="1" x14ac:dyDescent="0.15"/>
    <row r="60179" s="76" customFormat="1" ht="32.1" customHeight="1" x14ac:dyDescent="0.15"/>
    <row r="60180" s="76" customFormat="1" ht="32.1" customHeight="1" x14ac:dyDescent="0.15"/>
    <row r="60181" s="76" customFormat="1" ht="21.95" customHeight="1" x14ac:dyDescent="0.15"/>
    <row r="60182" s="76" customFormat="1" ht="54" customHeight="1" x14ac:dyDescent="0.15"/>
    <row r="60183" s="76" customFormat="1" ht="21.95" customHeight="1" x14ac:dyDescent="0.15"/>
    <row r="60184" s="76" customFormat="1" ht="21.95" customHeight="1" x14ac:dyDescent="0.15"/>
    <row r="60185" s="76" customFormat="1" ht="21.95" customHeight="1" x14ac:dyDescent="0.15"/>
    <row r="60186" s="76" customFormat="1" ht="21.95" customHeight="1" x14ac:dyDescent="0.15"/>
    <row r="60187" s="76" customFormat="1" ht="21.95" customHeight="1" x14ac:dyDescent="0.15"/>
    <row r="60188" s="76" customFormat="1" ht="21.95" customHeight="1" x14ac:dyDescent="0.15"/>
    <row r="60189" s="76" customFormat="1" ht="21.95" customHeight="1" x14ac:dyDescent="0.15"/>
    <row r="60190" s="76" customFormat="1" ht="21.95" customHeight="1" x14ac:dyDescent="0.15"/>
    <row r="60191" s="76" customFormat="1" ht="21.95" customHeight="1" x14ac:dyDescent="0.15"/>
    <row r="60192" s="76" customFormat="1" ht="21.95" customHeight="1" x14ac:dyDescent="0.15"/>
    <row r="60193" s="76" customFormat="1" ht="21.95" customHeight="1" x14ac:dyDescent="0.15"/>
    <row r="60194" s="76" customFormat="1" ht="21.95" customHeight="1" x14ac:dyDescent="0.15"/>
    <row r="60195" s="76" customFormat="1" ht="21.95" customHeight="1" x14ac:dyDescent="0.15"/>
    <row r="60196" s="76" customFormat="1" ht="21.95" customHeight="1" x14ac:dyDescent="0.15"/>
    <row r="60197" s="76" customFormat="1" ht="21.95" customHeight="1" x14ac:dyDescent="0.15"/>
    <row r="60198" s="76" customFormat="1" ht="21.95" customHeight="1" x14ac:dyDescent="0.15"/>
    <row r="60199" s="76" customFormat="1" ht="21.95" customHeight="1" x14ac:dyDescent="0.15"/>
    <row r="60200" s="76" customFormat="1" ht="21.95" customHeight="1" x14ac:dyDescent="0.15"/>
    <row r="60201" s="76" customFormat="1" ht="21.95" customHeight="1" x14ac:dyDescent="0.15"/>
    <row r="60202" s="76" customFormat="1" ht="21.95" customHeight="1" x14ac:dyDescent="0.15"/>
    <row r="60203" s="76" customFormat="1" ht="21.95" customHeight="1" x14ac:dyDescent="0.15"/>
    <row r="60204" s="76" customFormat="1" ht="21.95" customHeight="1" x14ac:dyDescent="0.15"/>
    <row r="60205" s="76" customFormat="1" ht="21.95" customHeight="1" x14ac:dyDescent="0.15"/>
    <row r="60206" s="76" customFormat="1" ht="21.95" customHeight="1" x14ac:dyDescent="0.15"/>
    <row r="60207" s="76" customFormat="1" ht="21.95" customHeight="1" x14ac:dyDescent="0.15"/>
    <row r="60208" s="76" customFormat="1" ht="21.95" customHeight="1" x14ac:dyDescent="0.15"/>
    <row r="60209" s="76" customFormat="1" ht="21.95" customHeight="1" x14ac:dyDescent="0.15"/>
    <row r="60210" s="76" customFormat="1" ht="21.95" customHeight="1" x14ac:dyDescent="0.15"/>
    <row r="60211" s="76" customFormat="1" ht="21.95" customHeight="1" x14ac:dyDescent="0.15"/>
    <row r="60212" s="76" customFormat="1" ht="21.95" customHeight="1" x14ac:dyDescent="0.15"/>
    <row r="60213" s="76" customFormat="1" ht="21.95" customHeight="1" x14ac:dyDescent="0.15"/>
    <row r="60214" s="76" customFormat="1" ht="21.95" customHeight="1" x14ac:dyDescent="0.15"/>
    <row r="60215" s="76" customFormat="1" ht="21.95" customHeight="1" x14ac:dyDescent="0.15"/>
    <row r="60216" s="76" customFormat="1" ht="21.95" customHeight="1" x14ac:dyDescent="0.15"/>
    <row r="60217" s="76" customFormat="1" ht="21.95" customHeight="1" x14ac:dyDescent="0.15"/>
    <row r="60218" s="76" customFormat="1" ht="21.95" customHeight="1" x14ac:dyDescent="0.15"/>
    <row r="60219" s="76" customFormat="1" ht="21.95" customHeight="1" x14ac:dyDescent="0.15"/>
    <row r="60220" s="76" customFormat="1" ht="21.95" customHeight="1" x14ac:dyDescent="0.15"/>
    <row r="60221" s="76" customFormat="1" ht="21.95" customHeight="1" x14ac:dyDescent="0.15"/>
    <row r="60222" s="76" customFormat="1" ht="21.95" customHeight="1" x14ac:dyDescent="0.15"/>
    <row r="60223" s="76" customFormat="1" ht="21.95" customHeight="1" x14ac:dyDescent="0.15"/>
    <row r="60224" s="76" customFormat="1" ht="21.95" customHeight="1" x14ac:dyDescent="0.15"/>
    <row r="60225" s="76" customFormat="1" ht="21.95" customHeight="1" x14ac:dyDescent="0.15"/>
    <row r="60226" s="76" customFormat="1" ht="21.95" customHeight="1" x14ac:dyDescent="0.15"/>
    <row r="60227" s="76" customFormat="1" ht="21.95" customHeight="1" x14ac:dyDescent="0.15"/>
    <row r="60228" s="76" customFormat="1" ht="21.95" customHeight="1" x14ac:dyDescent="0.15"/>
    <row r="60229" s="76" customFormat="1" ht="21.95" customHeight="1" x14ac:dyDescent="0.15"/>
    <row r="60230" s="76" customFormat="1" ht="21.95" customHeight="1" x14ac:dyDescent="0.15"/>
    <row r="60231" s="76" customFormat="1" ht="21.95" customHeight="1" x14ac:dyDescent="0.15"/>
    <row r="60232" s="76" customFormat="1" ht="21.95" customHeight="1" x14ac:dyDescent="0.15"/>
    <row r="60233" s="76" customFormat="1" ht="35.1" customHeight="1" x14ac:dyDescent="0.15"/>
    <row r="60234" s="76" customFormat="1" ht="21.95" customHeight="1" x14ac:dyDescent="0.15"/>
    <row r="60235" s="76" customFormat="1" ht="21.95" customHeight="1" x14ac:dyDescent="0.15"/>
    <row r="60236" s="76" customFormat="1" ht="21.95" customHeight="1" x14ac:dyDescent="0.15"/>
    <row r="60237" s="76" customFormat="1" ht="21.95" customHeight="1" x14ac:dyDescent="0.15"/>
    <row r="60238" s="76" customFormat="1" ht="21.95" customHeight="1" x14ac:dyDescent="0.15"/>
    <row r="60239" s="76" customFormat="1" ht="21.95" customHeight="1" x14ac:dyDescent="0.15"/>
    <row r="60240" s="76" customFormat="1" ht="21.95" customHeight="1" x14ac:dyDescent="0.15"/>
    <row r="60241" s="76" customFormat="1" ht="21.95" customHeight="1" x14ac:dyDescent="0.15"/>
    <row r="60242" s="76" customFormat="1" ht="21.95" customHeight="1" x14ac:dyDescent="0.15"/>
    <row r="60243" s="76" customFormat="1" ht="21.95" customHeight="1" x14ac:dyDescent="0.15"/>
    <row r="60244" s="76" customFormat="1" ht="21.95" customHeight="1" x14ac:dyDescent="0.15"/>
    <row r="60245" s="76" customFormat="1" ht="21.95" customHeight="1" x14ac:dyDescent="0.15"/>
    <row r="60246" s="76" customFormat="1" ht="21.95" customHeight="1" x14ac:dyDescent="0.15"/>
    <row r="60247" s="76" customFormat="1" ht="21.95" customHeight="1" x14ac:dyDescent="0.15"/>
    <row r="60248" s="76" customFormat="1" ht="21.95" customHeight="1" x14ac:dyDescent="0.15"/>
    <row r="60249" s="76" customFormat="1" ht="21.95" customHeight="1" x14ac:dyDescent="0.15"/>
    <row r="60250" s="76" customFormat="1" ht="21.95" customHeight="1" x14ac:dyDescent="0.15"/>
    <row r="60251" s="76" customFormat="1" ht="21.95" customHeight="1" x14ac:dyDescent="0.15"/>
    <row r="60252" s="76" customFormat="1" ht="21.95" customHeight="1" x14ac:dyDescent="0.15"/>
    <row r="60253" s="76" customFormat="1" ht="21.95" customHeight="1" x14ac:dyDescent="0.15"/>
    <row r="60254" s="76" customFormat="1" ht="21.95" customHeight="1" x14ac:dyDescent="0.15"/>
    <row r="60255" s="76" customFormat="1" ht="21.95" customHeight="1" x14ac:dyDescent="0.15"/>
    <row r="60256" s="76" customFormat="1" ht="21.95" customHeight="1" x14ac:dyDescent="0.15"/>
    <row r="60257" spans="3:3" customFormat="1" ht="21.95" customHeight="1" x14ac:dyDescent="0.15"/>
    <row r="60258" spans="3:3" customFormat="1" ht="21.95" customHeight="1" x14ac:dyDescent="0.15"/>
    <row r="60259" spans="3:3" customFormat="1" ht="21.95" customHeight="1" x14ac:dyDescent="0.15">
      <c r="C60259" s="94"/>
    </row>
    <row r="60260" spans="3:3" customFormat="1" ht="21.95" customHeight="1" x14ac:dyDescent="0.15">
      <c r="C60260" s="94"/>
    </row>
    <row r="60261" spans="3:3" customFormat="1" ht="21.95" customHeight="1" x14ac:dyDescent="0.15"/>
    <row r="60262" spans="3:3" customFormat="1" ht="21.95" customHeight="1" x14ac:dyDescent="0.15"/>
    <row r="60263" spans="3:3" customFormat="1" ht="21.95" customHeight="1" x14ac:dyDescent="0.15"/>
    <row r="60264" spans="3:3" customFormat="1" ht="21.95" customHeight="1" x14ac:dyDescent="0.15"/>
    <row r="60265" spans="3:3" customFormat="1" ht="21.95" customHeight="1" x14ac:dyDescent="0.15"/>
    <row r="60266" spans="3:3" customFormat="1" ht="21.95" customHeight="1" x14ac:dyDescent="0.15"/>
    <row r="60267" spans="3:3" customFormat="1" ht="21.95" customHeight="1" x14ac:dyDescent="0.15"/>
    <row r="60268" spans="3:3" s="76" customFormat="1" ht="21.95" customHeight="1" x14ac:dyDescent="0.15"/>
    <row r="60269" spans="3:3" s="76" customFormat="1" ht="21.95" customHeight="1" x14ac:dyDescent="0.15"/>
    <row r="60270" spans="3:3" s="76" customFormat="1" ht="21.95" customHeight="1" x14ac:dyDescent="0.15"/>
    <row r="60271" spans="3:3" s="76" customFormat="1" ht="21.95" customHeight="1" x14ac:dyDescent="0.15"/>
    <row r="60272" spans="3:3" customFormat="1" ht="21.95" customHeight="1" x14ac:dyDescent="0.15"/>
    <row r="60273" customFormat="1" ht="21.95" customHeight="1" x14ac:dyDescent="0.15"/>
    <row r="60274" customFormat="1" ht="21.95" customHeight="1" x14ac:dyDescent="0.15"/>
    <row r="60275" customFormat="1" ht="21.95" customHeight="1" x14ac:dyDescent="0.15"/>
    <row r="60276" customFormat="1" ht="21.95" customHeight="1" x14ac:dyDescent="0.15"/>
    <row r="60277" customFormat="1" ht="21.95" customHeight="1" x14ac:dyDescent="0.15"/>
    <row r="60278" customFormat="1" ht="21.95" customHeight="1" x14ac:dyDescent="0.15"/>
    <row r="60279" customFormat="1" ht="21.95" customHeight="1" x14ac:dyDescent="0.15"/>
    <row r="60280" customFormat="1" ht="21.95" customHeight="1" x14ac:dyDescent="0.15"/>
    <row r="60281" customFormat="1" ht="21.95" customHeight="1" x14ac:dyDescent="0.15"/>
    <row r="60282" customFormat="1" ht="21.95" customHeight="1" x14ac:dyDescent="0.15"/>
    <row r="60283" customFormat="1" ht="32.1" customHeight="1" x14ac:dyDescent="0.15"/>
    <row r="60284" customFormat="1" ht="32.1" customHeight="1" x14ac:dyDescent="0.15"/>
    <row r="60285" customFormat="1" ht="32.1" customHeight="1" x14ac:dyDescent="0.15"/>
    <row r="60286" customFormat="1" ht="32.1" customHeight="1" x14ac:dyDescent="0.15"/>
    <row r="60287" customFormat="1" ht="32.1" customHeight="1" x14ac:dyDescent="0.15"/>
    <row r="60288" customFormat="1" ht="32.1" customHeight="1" x14ac:dyDescent="0.15"/>
    <row r="60289" s="76" customFormat="1" ht="32.1" customHeight="1" x14ac:dyDescent="0.15"/>
    <row r="60290" s="76" customFormat="1" ht="32.1" customHeight="1" x14ac:dyDescent="0.15"/>
    <row r="60291" s="76" customFormat="1" ht="32.1" customHeight="1" x14ac:dyDescent="0.15"/>
    <row r="60292" s="76" customFormat="1" ht="32.1" customHeight="1" x14ac:dyDescent="0.15"/>
    <row r="60293" s="76" customFormat="1" ht="21.95" customHeight="1" x14ac:dyDescent="0.15"/>
    <row r="60294" s="76" customFormat="1" ht="54" customHeight="1" x14ac:dyDescent="0.15"/>
    <row r="60295" s="76" customFormat="1" ht="21.95" customHeight="1" x14ac:dyDescent="0.15"/>
    <row r="60296" s="76" customFormat="1" ht="21.95" customHeight="1" x14ac:dyDescent="0.15"/>
    <row r="60297" s="76" customFormat="1" ht="21.95" customHeight="1" x14ac:dyDescent="0.15"/>
    <row r="60298" s="76" customFormat="1" ht="21.95" customHeight="1" x14ac:dyDescent="0.15"/>
    <row r="60299" s="76" customFormat="1" ht="21.95" customHeight="1" x14ac:dyDescent="0.15"/>
    <row r="60300" s="76" customFormat="1" ht="21.95" customHeight="1" x14ac:dyDescent="0.15"/>
    <row r="60301" s="76" customFormat="1" ht="21.95" customHeight="1" x14ac:dyDescent="0.15"/>
    <row r="60302" s="76" customFormat="1" ht="21.95" customHeight="1" x14ac:dyDescent="0.15"/>
    <row r="60303" s="76" customFormat="1" ht="21.95" customHeight="1" x14ac:dyDescent="0.15"/>
    <row r="60304" s="76" customFormat="1" ht="21.95" customHeight="1" x14ac:dyDescent="0.15"/>
    <row r="60305" s="76" customFormat="1" ht="21.95" customHeight="1" x14ac:dyDescent="0.15"/>
    <row r="60306" s="76" customFormat="1" ht="21.95" customHeight="1" x14ac:dyDescent="0.15"/>
    <row r="60307" s="76" customFormat="1" ht="21.95" customHeight="1" x14ac:dyDescent="0.15"/>
    <row r="60308" s="76" customFormat="1" ht="21.95" customHeight="1" x14ac:dyDescent="0.15"/>
    <row r="60309" s="76" customFormat="1" ht="21.95" customHeight="1" x14ac:dyDescent="0.15"/>
    <row r="60310" s="76" customFormat="1" ht="21.95" customHeight="1" x14ac:dyDescent="0.15"/>
    <row r="60311" s="76" customFormat="1" ht="21.95" customHeight="1" x14ac:dyDescent="0.15"/>
    <row r="60312" s="76" customFormat="1" ht="21.95" customHeight="1" x14ac:dyDescent="0.15"/>
    <row r="60313" s="76" customFormat="1" ht="21.95" customHeight="1" x14ac:dyDescent="0.15"/>
    <row r="60314" s="76" customFormat="1" ht="21.95" customHeight="1" x14ac:dyDescent="0.15"/>
    <row r="60315" s="76" customFormat="1" ht="21.95" customHeight="1" x14ac:dyDescent="0.15"/>
    <row r="60316" s="76" customFormat="1" ht="21.95" customHeight="1" x14ac:dyDescent="0.15"/>
    <row r="60317" s="76" customFormat="1" ht="21.95" customHeight="1" x14ac:dyDescent="0.15"/>
    <row r="60318" s="76" customFormat="1" ht="21.95" customHeight="1" x14ac:dyDescent="0.15"/>
    <row r="60319" s="76" customFormat="1" ht="21.95" customHeight="1" x14ac:dyDescent="0.15"/>
    <row r="60320" s="76" customFormat="1" ht="21.95" customHeight="1" x14ac:dyDescent="0.15"/>
    <row r="60321" s="76" customFormat="1" ht="21.95" customHeight="1" x14ac:dyDescent="0.15"/>
    <row r="60322" s="76" customFormat="1" ht="21.95" customHeight="1" x14ac:dyDescent="0.15"/>
    <row r="60323" s="76" customFormat="1" ht="21.95" customHeight="1" x14ac:dyDescent="0.15"/>
    <row r="60324" s="76" customFormat="1" ht="21.95" customHeight="1" x14ac:dyDescent="0.15"/>
    <row r="60325" s="76" customFormat="1" ht="21.95" customHeight="1" x14ac:dyDescent="0.15"/>
    <row r="60326" s="76" customFormat="1" ht="21.95" customHeight="1" x14ac:dyDescent="0.15"/>
    <row r="60327" s="76" customFormat="1" ht="21.95" customHeight="1" x14ac:dyDescent="0.15"/>
    <row r="60328" s="76" customFormat="1" ht="21.95" customHeight="1" x14ac:dyDescent="0.15"/>
    <row r="60329" s="76" customFormat="1" ht="21.95" customHeight="1" x14ac:dyDescent="0.15"/>
    <row r="60330" s="76" customFormat="1" ht="21.95" customHeight="1" x14ac:dyDescent="0.15"/>
    <row r="60331" s="76" customFormat="1" ht="21.95" customHeight="1" x14ac:dyDescent="0.15"/>
    <row r="60332" s="76" customFormat="1" ht="21.95" customHeight="1" x14ac:dyDescent="0.15"/>
    <row r="60333" s="76" customFormat="1" ht="21.95" customHeight="1" x14ac:dyDescent="0.15"/>
    <row r="60334" s="76" customFormat="1" ht="21.95" customHeight="1" x14ac:dyDescent="0.15"/>
    <row r="60335" s="76" customFormat="1" ht="21.95" customHeight="1" x14ac:dyDescent="0.15"/>
    <row r="60336" s="76" customFormat="1" ht="21.95" customHeight="1" x14ac:dyDescent="0.15"/>
    <row r="60337" s="76" customFormat="1" ht="21.95" customHeight="1" x14ac:dyDescent="0.15"/>
    <row r="60338" s="76" customFormat="1" ht="21.95" customHeight="1" x14ac:dyDescent="0.15"/>
    <row r="60339" s="76" customFormat="1" ht="21.95" customHeight="1" x14ac:dyDescent="0.15"/>
    <row r="60340" s="76" customFormat="1" ht="21.95" customHeight="1" x14ac:dyDescent="0.15"/>
    <row r="60341" s="76" customFormat="1" ht="21.95" customHeight="1" x14ac:dyDescent="0.15"/>
    <row r="60342" s="76" customFormat="1" ht="21.95" customHeight="1" x14ac:dyDescent="0.15"/>
    <row r="60343" s="76" customFormat="1" ht="21.95" customHeight="1" x14ac:dyDescent="0.15"/>
    <row r="60344" s="76" customFormat="1" ht="21.95" customHeight="1" x14ac:dyDescent="0.15"/>
    <row r="60345" s="76" customFormat="1" ht="35.1" customHeight="1" x14ac:dyDescent="0.15"/>
    <row r="60346" s="76" customFormat="1" ht="21.95" customHeight="1" x14ac:dyDescent="0.15"/>
    <row r="60347" s="76" customFormat="1" ht="21.95" customHeight="1" x14ac:dyDescent="0.15"/>
    <row r="60348" s="76" customFormat="1" ht="21.95" customHeight="1" x14ac:dyDescent="0.15"/>
    <row r="60349" s="76" customFormat="1" ht="21.95" customHeight="1" x14ac:dyDescent="0.15"/>
    <row r="60350" s="76" customFormat="1" ht="21.95" customHeight="1" x14ac:dyDescent="0.15"/>
    <row r="60351" s="76" customFormat="1" ht="21.95" customHeight="1" x14ac:dyDescent="0.15"/>
    <row r="60352" s="76" customFormat="1" ht="21.95" customHeight="1" x14ac:dyDescent="0.15"/>
    <row r="60353" s="76" customFormat="1" ht="21.95" customHeight="1" x14ac:dyDescent="0.15"/>
    <row r="60354" s="76" customFormat="1" ht="21.95" customHeight="1" x14ac:dyDescent="0.15"/>
    <row r="60355" s="76" customFormat="1" ht="21.95" customHeight="1" x14ac:dyDescent="0.15"/>
    <row r="60356" s="76" customFormat="1" ht="21.95" customHeight="1" x14ac:dyDescent="0.15"/>
    <row r="60357" s="76" customFormat="1" ht="21.95" customHeight="1" x14ac:dyDescent="0.15"/>
    <row r="60358" s="76" customFormat="1" ht="21.95" customHeight="1" x14ac:dyDescent="0.15"/>
    <row r="60359" s="76" customFormat="1" ht="21.95" customHeight="1" x14ac:dyDescent="0.15"/>
    <row r="60360" s="76" customFormat="1" ht="21.95" customHeight="1" x14ac:dyDescent="0.15"/>
    <row r="60361" s="76" customFormat="1" ht="21.95" customHeight="1" x14ac:dyDescent="0.15"/>
    <row r="60362" s="76" customFormat="1" ht="21.95" customHeight="1" x14ac:dyDescent="0.15"/>
    <row r="60363" s="76" customFormat="1" ht="21.95" customHeight="1" x14ac:dyDescent="0.15"/>
    <row r="60364" s="76" customFormat="1" ht="21.95" customHeight="1" x14ac:dyDescent="0.15"/>
    <row r="60365" s="76" customFormat="1" ht="21.95" customHeight="1" x14ac:dyDescent="0.15"/>
    <row r="60366" s="76" customFormat="1" ht="21.95" customHeight="1" x14ac:dyDescent="0.15"/>
    <row r="60367" s="76" customFormat="1" ht="21.95" customHeight="1" x14ac:dyDescent="0.15"/>
    <row r="60368" s="76" customFormat="1" ht="21.95" customHeight="1" x14ac:dyDescent="0.15"/>
    <row r="60369" spans="3:3" customFormat="1" ht="21.95" customHeight="1" x14ac:dyDescent="0.15"/>
    <row r="60370" spans="3:3" customFormat="1" ht="21.95" customHeight="1" x14ac:dyDescent="0.15"/>
    <row r="60371" spans="3:3" customFormat="1" ht="21.95" customHeight="1" x14ac:dyDescent="0.15">
      <c r="C60371" s="94"/>
    </row>
    <row r="60372" spans="3:3" customFormat="1" ht="21.95" customHeight="1" x14ac:dyDescent="0.15">
      <c r="C60372" s="94"/>
    </row>
    <row r="60373" spans="3:3" customFormat="1" ht="21.95" customHeight="1" x14ac:dyDescent="0.15"/>
    <row r="60374" spans="3:3" customFormat="1" ht="21.95" customHeight="1" x14ac:dyDescent="0.15"/>
    <row r="60375" spans="3:3" customFormat="1" ht="21.95" customHeight="1" x14ac:dyDescent="0.15"/>
    <row r="60376" spans="3:3" customFormat="1" ht="21.95" customHeight="1" x14ac:dyDescent="0.15"/>
    <row r="60377" spans="3:3" customFormat="1" ht="21.95" customHeight="1" x14ac:dyDescent="0.15"/>
    <row r="60378" spans="3:3" customFormat="1" ht="21.95" customHeight="1" x14ac:dyDescent="0.15"/>
    <row r="60379" spans="3:3" customFormat="1" ht="21.95" customHeight="1" x14ac:dyDescent="0.15"/>
    <row r="60380" spans="3:3" s="76" customFormat="1" ht="21.95" customHeight="1" x14ac:dyDescent="0.15"/>
    <row r="60381" spans="3:3" s="76" customFormat="1" ht="21.95" customHeight="1" x14ac:dyDescent="0.15"/>
    <row r="60382" spans="3:3" s="76" customFormat="1" ht="21.95" customHeight="1" x14ac:dyDescent="0.15"/>
    <row r="60383" spans="3:3" s="76" customFormat="1" ht="21.95" customHeight="1" x14ac:dyDescent="0.15"/>
    <row r="60384" spans="3:3" customFormat="1" ht="21.95" customHeight="1" x14ac:dyDescent="0.15"/>
    <row r="60385" customFormat="1" ht="21.95" customHeight="1" x14ac:dyDescent="0.15"/>
    <row r="60386" customFormat="1" ht="21.95" customHeight="1" x14ac:dyDescent="0.15"/>
    <row r="60387" customFormat="1" ht="21.95" customHeight="1" x14ac:dyDescent="0.15"/>
    <row r="60388" customFormat="1" ht="21.95" customHeight="1" x14ac:dyDescent="0.15"/>
    <row r="60389" customFormat="1" ht="21.95" customHeight="1" x14ac:dyDescent="0.15"/>
    <row r="60390" customFormat="1" ht="21.95" customHeight="1" x14ac:dyDescent="0.15"/>
    <row r="60391" customFormat="1" ht="21.95" customHeight="1" x14ac:dyDescent="0.15"/>
    <row r="60392" customFormat="1" ht="21.95" customHeight="1" x14ac:dyDescent="0.15"/>
    <row r="60393" customFormat="1" ht="21.95" customHeight="1" x14ac:dyDescent="0.15"/>
    <row r="60394" customFormat="1" ht="21.95" customHeight="1" x14ac:dyDescent="0.15"/>
    <row r="60395" customFormat="1" ht="32.1" customHeight="1" x14ac:dyDescent="0.15"/>
    <row r="60396" customFormat="1" ht="32.1" customHeight="1" x14ac:dyDescent="0.15"/>
    <row r="60397" customFormat="1" ht="32.1" customHeight="1" x14ac:dyDescent="0.15"/>
    <row r="60398" customFormat="1" ht="32.1" customHeight="1" x14ac:dyDescent="0.15"/>
    <row r="60399" customFormat="1" ht="32.1" customHeight="1" x14ac:dyDescent="0.15"/>
    <row r="60400" customFormat="1" ht="32.1" customHeight="1" x14ac:dyDescent="0.15"/>
    <row r="60401" s="76" customFormat="1" ht="32.1" customHeight="1" x14ac:dyDescent="0.15"/>
    <row r="60402" s="76" customFormat="1" ht="32.1" customHeight="1" x14ac:dyDescent="0.15"/>
    <row r="60403" s="76" customFormat="1" ht="32.1" customHeight="1" x14ac:dyDescent="0.15"/>
    <row r="60404" s="76" customFormat="1" ht="32.1" customHeight="1" x14ac:dyDescent="0.15"/>
    <row r="60405" s="76" customFormat="1" ht="21.95" customHeight="1" x14ac:dyDescent="0.15"/>
    <row r="60406" s="76" customFormat="1" ht="54" customHeight="1" x14ac:dyDescent="0.15"/>
    <row r="60407" s="76" customFormat="1" ht="21.95" customHeight="1" x14ac:dyDescent="0.15"/>
    <row r="60408" s="76" customFormat="1" ht="21.95" customHeight="1" x14ac:dyDescent="0.15"/>
    <row r="60409" s="76" customFormat="1" ht="21.95" customHeight="1" x14ac:dyDescent="0.15"/>
    <row r="60410" s="76" customFormat="1" ht="21.95" customHeight="1" x14ac:dyDescent="0.15"/>
    <row r="60411" s="76" customFormat="1" ht="21.95" customHeight="1" x14ac:dyDescent="0.15"/>
    <row r="60412" s="76" customFormat="1" ht="21.95" customHeight="1" x14ac:dyDescent="0.15"/>
    <row r="60413" s="76" customFormat="1" ht="21.95" customHeight="1" x14ac:dyDescent="0.15"/>
    <row r="60414" s="76" customFormat="1" ht="21.95" customHeight="1" x14ac:dyDescent="0.15"/>
    <row r="60415" s="76" customFormat="1" ht="21.95" customHeight="1" x14ac:dyDescent="0.15"/>
    <row r="60416" s="76" customFormat="1" ht="21.95" customHeight="1" x14ac:dyDescent="0.15"/>
    <row r="60417" s="76" customFormat="1" ht="21.95" customHeight="1" x14ac:dyDescent="0.15"/>
    <row r="60418" s="76" customFormat="1" ht="21.95" customHeight="1" x14ac:dyDescent="0.15"/>
    <row r="60419" s="76" customFormat="1" ht="21.95" customHeight="1" x14ac:dyDescent="0.15"/>
    <row r="60420" s="76" customFormat="1" ht="21.95" customHeight="1" x14ac:dyDescent="0.15"/>
    <row r="60421" s="76" customFormat="1" ht="21.95" customHeight="1" x14ac:dyDescent="0.15"/>
    <row r="60422" s="76" customFormat="1" ht="21.95" customHeight="1" x14ac:dyDescent="0.15"/>
    <row r="60423" s="76" customFormat="1" ht="21.95" customHeight="1" x14ac:dyDescent="0.15"/>
    <row r="60424" s="76" customFormat="1" ht="21.95" customHeight="1" x14ac:dyDescent="0.15"/>
    <row r="60425" s="76" customFormat="1" ht="21.95" customHeight="1" x14ac:dyDescent="0.15"/>
    <row r="60426" s="76" customFormat="1" ht="21.95" customHeight="1" x14ac:dyDescent="0.15"/>
    <row r="60427" s="76" customFormat="1" ht="21.95" customHeight="1" x14ac:dyDescent="0.15"/>
    <row r="60428" s="76" customFormat="1" ht="21.95" customHeight="1" x14ac:dyDescent="0.15"/>
    <row r="60429" s="76" customFormat="1" ht="21.95" customHeight="1" x14ac:dyDescent="0.15"/>
    <row r="60430" s="76" customFormat="1" ht="21.95" customHeight="1" x14ac:dyDescent="0.15"/>
    <row r="60431" s="76" customFormat="1" ht="21.95" customHeight="1" x14ac:dyDescent="0.15"/>
    <row r="60432" s="76" customFormat="1" ht="21.95" customHeight="1" x14ac:dyDescent="0.15"/>
    <row r="60433" s="76" customFormat="1" ht="21.95" customHeight="1" x14ac:dyDescent="0.15"/>
    <row r="60434" s="76" customFormat="1" ht="21.95" customHeight="1" x14ac:dyDescent="0.15"/>
    <row r="60435" s="76" customFormat="1" ht="21.95" customHeight="1" x14ac:dyDescent="0.15"/>
    <row r="60436" s="76" customFormat="1" ht="21.95" customHeight="1" x14ac:dyDescent="0.15"/>
    <row r="60437" s="76" customFormat="1" ht="21.95" customHeight="1" x14ac:dyDescent="0.15"/>
    <row r="60438" s="76" customFormat="1" ht="21.95" customHeight="1" x14ac:dyDescent="0.15"/>
    <row r="60439" s="76" customFormat="1" ht="21.95" customHeight="1" x14ac:dyDescent="0.15"/>
    <row r="60440" s="76" customFormat="1" ht="21.95" customHeight="1" x14ac:dyDescent="0.15"/>
    <row r="60441" s="76" customFormat="1" ht="21.95" customHeight="1" x14ac:dyDescent="0.15"/>
    <row r="60442" s="76" customFormat="1" ht="21.95" customHeight="1" x14ac:dyDescent="0.15"/>
    <row r="60443" s="76" customFormat="1" ht="21.95" customHeight="1" x14ac:dyDescent="0.15"/>
    <row r="60444" s="76" customFormat="1" ht="21.95" customHeight="1" x14ac:dyDescent="0.15"/>
    <row r="60445" s="76" customFormat="1" ht="21.95" customHeight="1" x14ac:dyDescent="0.15"/>
    <row r="60446" s="76" customFormat="1" ht="21.95" customHeight="1" x14ac:dyDescent="0.15"/>
    <row r="60447" s="76" customFormat="1" ht="21.95" customHeight="1" x14ac:dyDescent="0.15"/>
    <row r="60448" s="76" customFormat="1" ht="21.95" customHeight="1" x14ac:dyDescent="0.15"/>
    <row r="60449" s="76" customFormat="1" ht="21.95" customHeight="1" x14ac:dyDescent="0.15"/>
    <row r="60450" s="76" customFormat="1" ht="21.95" customHeight="1" x14ac:dyDescent="0.15"/>
    <row r="60451" s="76" customFormat="1" ht="21.95" customHeight="1" x14ac:dyDescent="0.15"/>
    <row r="60452" s="76" customFormat="1" ht="21.95" customHeight="1" x14ac:dyDescent="0.15"/>
    <row r="60453" s="76" customFormat="1" ht="21.95" customHeight="1" x14ac:dyDescent="0.15"/>
    <row r="60454" s="76" customFormat="1" ht="21.95" customHeight="1" x14ac:dyDescent="0.15"/>
    <row r="60455" s="76" customFormat="1" ht="21.95" customHeight="1" x14ac:dyDescent="0.15"/>
    <row r="60456" s="76" customFormat="1" ht="21.95" customHeight="1" x14ac:dyDescent="0.15"/>
    <row r="60457" s="76" customFormat="1" ht="35.1" customHeight="1" x14ac:dyDescent="0.15"/>
    <row r="60458" s="76" customFormat="1" ht="21.95" customHeight="1" x14ac:dyDescent="0.15"/>
    <row r="60459" s="76" customFormat="1" ht="21.95" customHeight="1" x14ac:dyDescent="0.15"/>
    <row r="60460" s="76" customFormat="1" ht="21.95" customHeight="1" x14ac:dyDescent="0.15"/>
    <row r="60461" s="76" customFormat="1" ht="21.95" customHeight="1" x14ac:dyDescent="0.15"/>
    <row r="60462" s="76" customFormat="1" ht="21.95" customHeight="1" x14ac:dyDescent="0.15"/>
    <row r="60463" s="76" customFormat="1" ht="21.95" customHeight="1" x14ac:dyDescent="0.15"/>
    <row r="60464" s="76" customFormat="1" ht="21.95" customHeight="1" x14ac:dyDescent="0.15"/>
    <row r="60465" s="76" customFormat="1" ht="21.95" customHeight="1" x14ac:dyDescent="0.15"/>
    <row r="60466" s="76" customFormat="1" ht="21.95" customHeight="1" x14ac:dyDescent="0.15"/>
    <row r="60467" s="76" customFormat="1" ht="21.95" customHeight="1" x14ac:dyDescent="0.15"/>
    <row r="60468" s="76" customFormat="1" ht="21.95" customHeight="1" x14ac:dyDescent="0.15"/>
    <row r="60469" s="76" customFormat="1" ht="21.95" customHeight="1" x14ac:dyDescent="0.15"/>
    <row r="60470" s="76" customFormat="1" ht="21.95" customHeight="1" x14ac:dyDescent="0.15"/>
    <row r="60471" s="76" customFormat="1" ht="21.95" customHeight="1" x14ac:dyDescent="0.15"/>
    <row r="60472" s="76" customFormat="1" ht="21.95" customHeight="1" x14ac:dyDescent="0.15"/>
    <row r="60473" s="76" customFormat="1" ht="21.95" customHeight="1" x14ac:dyDescent="0.15"/>
    <row r="60474" s="76" customFormat="1" ht="21.95" customHeight="1" x14ac:dyDescent="0.15"/>
    <row r="60475" s="76" customFormat="1" ht="21.95" customHeight="1" x14ac:dyDescent="0.15"/>
    <row r="60476" s="76" customFormat="1" ht="21.95" customHeight="1" x14ac:dyDescent="0.15"/>
    <row r="60477" s="76" customFormat="1" ht="21.95" customHeight="1" x14ac:dyDescent="0.15"/>
    <row r="60478" s="76" customFormat="1" ht="21.95" customHeight="1" x14ac:dyDescent="0.15"/>
    <row r="60479" s="76" customFormat="1" ht="21.95" customHeight="1" x14ac:dyDescent="0.15"/>
    <row r="60480" s="76" customFormat="1" ht="21.95" customHeight="1" x14ac:dyDescent="0.15"/>
    <row r="60481" spans="3:3" customFormat="1" ht="21.95" customHeight="1" x14ac:dyDescent="0.15"/>
    <row r="60482" spans="3:3" customFormat="1" ht="21.95" customHeight="1" x14ac:dyDescent="0.15"/>
    <row r="60483" spans="3:3" customFormat="1" ht="21.95" customHeight="1" x14ac:dyDescent="0.15">
      <c r="C60483" s="94"/>
    </row>
    <row r="60484" spans="3:3" customFormat="1" ht="21.95" customHeight="1" x14ac:dyDescent="0.15">
      <c r="C60484" s="94"/>
    </row>
    <row r="60485" spans="3:3" customFormat="1" ht="21.95" customHeight="1" x14ac:dyDescent="0.15"/>
    <row r="60486" spans="3:3" customFormat="1" ht="21.95" customHeight="1" x14ac:dyDescent="0.15"/>
    <row r="60487" spans="3:3" customFormat="1" ht="21.95" customHeight="1" x14ac:dyDescent="0.15"/>
    <row r="60488" spans="3:3" customFormat="1" ht="21.95" customHeight="1" x14ac:dyDescent="0.15"/>
    <row r="60489" spans="3:3" customFormat="1" ht="21.95" customHeight="1" x14ac:dyDescent="0.15"/>
    <row r="60490" spans="3:3" customFormat="1" ht="21.95" customHeight="1" x14ac:dyDescent="0.15"/>
    <row r="60491" spans="3:3" customFormat="1" ht="21.95" customHeight="1" x14ac:dyDescent="0.15"/>
    <row r="60492" spans="3:3" s="76" customFormat="1" ht="21.95" customHeight="1" x14ac:dyDescent="0.15"/>
    <row r="60493" spans="3:3" s="76" customFormat="1" ht="21.95" customHeight="1" x14ac:dyDescent="0.15"/>
    <row r="60494" spans="3:3" s="76" customFormat="1" ht="21.95" customHeight="1" x14ac:dyDescent="0.15"/>
    <row r="60495" spans="3:3" s="76" customFormat="1" ht="21.95" customHeight="1" x14ac:dyDescent="0.15"/>
    <row r="60496" spans="3:3" customFormat="1" ht="21.95" customHeight="1" x14ac:dyDescent="0.15"/>
    <row r="60497" customFormat="1" ht="21.95" customHeight="1" x14ac:dyDescent="0.15"/>
    <row r="60498" customFormat="1" ht="21.95" customHeight="1" x14ac:dyDescent="0.15"/>
    <row r="60499" customFormat="1" ht="21.95" customHeight="1" x14ac:dyDescent="0.15"/>
    <row r="60500" customFormat="1" ht="21.95" customHeight="1" x14ac:dyDescent="0.15"/>
    <row r="60501" customFormat="1" ht="21.95" customHeight="1" x14ac:dyDescent="0.15"/>
    <row r="60502" customFormat="1" ht="21.95" customHeight="1" x14ac:dyDescent="0.15"/>
    <row r="60503" customFormat="1" ht="21.95" customHeight="1" x14ac:dyDescent="0.15"/>
    <row r="60504" customFormat="1" ht="21.95" customHeight="1" x14ac:dyDescent="0.15"/>
    <row r="60505" customFormat="1" ht="21.95" customHeight="1" x14ac:dyDescent="0.15"/>
    <row r="60506" customFormat="1" ht="21.95" customHeight="1" x14ac:dyDescent="0.15"/>
    <row r="60507" customFormat="1" ht="32.1" customHeight="1" x14ac:dyDescent="0.15"/>
    <row r="60508" customFormat="1" ht="32.1" customHeight="1" x14ac:dyDescent="0.15"/>
    <row r="60509" customFormat="1" ht="32.1" customHeight="1" x14ac:dyDescent="0.15"/>
    <row r="60510" customFormat="1" ht="32.1" customHeight="1" x14ac:dyDescent="0.15"/>
    <row r="60511" customFormat="1" ht="32.1" customHeight="1" x14ac:dyDescent="0.15"/>
    <row r="60512" customFormat="1" ht="32.1" customHeight="1" x14ac:dyDescent="0.15"/>
    <row r="60513" s="76" customFormat="1" ht="32.1" customHeight="1" x14ac:dyDescent="0.15"/>
    <row r="60514" s="76" customFormat="1" ht="32.1" customHeight="1" x14ac:dyDescent="0.15"/>
    <row r="60515" s="76" customFormat="1" ht="32.1" customHeight="1" x14ac:dyDescent="0.15"/>
    <row r="60516" s="76" customFormat="1" ht="32.1" customHeight="1" x14ac:dyDescent="0.15"/>
    <row r="60517" s="76" customFormat="1" ht="21.95" customHeight="1" x14ac:dyDescent="0.15"/>
    <row r="60518" s="76" customFormat="1" ht="54" customHeight="1" x14ac:dyDescent="0.15"/>
    <row r="60519" s="76" customFormat="1" ht="21.95" customHeight="1" x14ac:dyDescent="0.15"/>
    <row r="60520" s="76" customFormat="1" ht="21.95" customHeight="1" x14ac:dyDescent="0.15"/>
    <row r="60521" s="76" customFormat="1" ht="21.95" customHeight="1" x14ac:dyDescent="0.15"/>
    <row r="60522" s="76" customFormat="1" ht="21.95" customHeight="1" x14ac:dyDescent="0.15"/>
    <row r="60523" s="76" customFormat="1" ht="21.95" customHeight="1" x14ac:dyDescent="0.15"/>
    <row r="60524" s="76" customFormat="1" ht="21.95" customHeight="1" x14ac:dyDescent="0.15"/>
    <row r="60525" s="76" customFormat="1" ht="21.95" customHeight="1" x14ac:dyDescent="0.15"/>
    <row r="60526" s="76" customFormat="1" ht="21.95" customHeight="1" x14ac:dyDescent="0.15"/>
    <row r="60527" s="76" customFormat="1" ht="21.95" customHeight="1" x14ac:dyDescent="0.15"/>
    <row r="60528" s="76" customFormat="1" ht="21.95" customHeight="1" x14ac:dyDescent="0.15"/>
    <row r="60529" s="76" customFormat="1" ht="21.95" customHeight="1" x14ac:dyDescent="0.15"/>
    <row r="60530" s="76" customFormat="1" ht="21.95" customHeight="1" x14ac:dyDescent="0.15"/>
    <row r="60531" s="76" customFormat="1" ht="21.95" customHeight="1" x14ac:dyDescent="0.15"/>
    <row r="60532" s="76" customFormat="1" ht="21.95" customHeight="1" x14ac:dyDescent="0.15"/>
    <row r="60533" s="76" customFormat="1" ht="21.95" customHeight="1" x14ac:dyDescent="0.15"/>
    <row r="60534" s="76" customFormat="1" ht="21.95" customHeight="1" x14ac:dyDescent="0.15"/>
    <row r="60535" s="76" customFormat="1" ht="21.95" customHeight="1" x14ac:dyDescent="0.15"/>
    <row r="60536" s="76" customFormat="1" ht="21.95" customHeight="1" x14ac:dyDescent="0.15"/>
    <row r="60537" s="76" customFormat="1" ht="21.95" customHeight="1" x14ac:dyDescent="0.15"/>
    <row r="60538" s="76" customFormat="1" ht="21.95" customHeight="1" x14ac:dyDescent="0.15"/>
    <row r="60539" s="76" customFormat="1" ht="21.95" customHeight="1" x14ac:dyDescent="0.15"/>
    <row r="60540" s="76" customFormat="1" ht="21.95" customHeight="1" x14ac:dyDescent="0.15"/>
    <row r="60541" s="76" customFormat="1" ht="21.95" customHeight="1" x14ac:dyDescent="0.15"/>
    <row r="60542" s="76" customFormat="1" ht="21.95" customHeight="1" x14ac:dyDescent="0.15"/>
    <row r="60543" s="76" customFormat="1" ht="21.95" customHeight="1" x14ac:dyDescent="0.15"/>
    <row r="60544" s="76" customFormat="1" ht="21.95" customHeight="1" x14ac:dyDescent="0.15"/>
    <row r="60545" s="76" customFormat="1" ht="21.95" customHeight="1" x14ac:dyDescent="0.15"/>
    <row r="60546" s="76" customFormat="1" ht="21.95" customHeight="1" x14ac:dyDescent="0.15"/>
    <row r="60547" s="76" customFormat="1" ht="21.95" customHeight="1" x14ac:dyDescent="0.15"/>
    <row r="60548" s="76" customFormat="1" ht="21.95" customHeight="1" x14ac:dyDescent="0.15"/>
    <row r="60549" s="76" customFormat="1" ht="21.95" customHeight="1" x14ac:dyDescent="0.15"/>
    <row r="60550" s="76" customFormat="1" ht="21.95" customHeight="1" x14ac:dyDescent="0.15"/>
    <row r="60551" s="76" customFormat="1" ht="21.95" customHeight="1" x14ac:dyDescent="0.15"/>
    <row r="60552" s="76" customFormat="1" ht="21.95" customHeight="1" x14ac:dyDescent="0.15"/>
    <row r="60553" s="76" customFormat="1" ht="21.95" customHeight="1" x14ac:dyDescent="0.15"/>
    <row r="60554" s="76" customFormat="1" ht="21.95" customHeight="1" x14ac:dyDescent="0.15"/>
    <row r="60555" s="76" customFormat="1" ht="21.95" customHeight="1" x14ac:dyDescent="0.15"/>
    <row r="60556" s="76" customFormat="1" ht="21.95" customHeight="1" x14ac:dyDescent="0.15"/>
    <row r="60557" s="76" customFormat="1" ht="21.95" customHeight="1" x14ac:dyDescent="0.15"/>
    <row r="60558" s="76" customFormat="1" ht="21.95" customHeight="1" x14ac:dyDescent="0.15"/>
    <row r="60559" s="76" customFormat="1" ht="21.95" customHeight="1" x14ac:dyDescent="0.15"/>
    <row r="60560" s="76" customFormat="1" ht="21.95" customHeight="1" x14ac:dyDescent="0.15"/>
    <row r="60561" s="76" customFormat="1" ht="21.95" customHeight="1" x14ac:dyDescent="0.15"/>
    <row r="60562" s="76" customFormat="1" ht="21.95" customHeight="1" x14ac:dyDescent="0.15"/>
    <row r="60563" s="76" customFormat="1" ht="21.95" customHeight="1" x14ac:dyDescent="0.15"/>
    <row r="60564" s="76" customFormat="1" ht="21.95" customHeight="1" x14ac:dyDescent="0.15"/>
    <row r="60565" s="76" customFormat="1" ht="21.95" customHeight="1" x14ac:dyDescent="0.15"/>
    <row r="60566" s="76" customFormat="1" ht="21.95" customHeight="1" x14ac:dyDescent="0.15"/>
    <row r="60567" s="76" customFormat="1" ht="21.95" customHeight="1" x14ac:dyDescent="0.15"/>
    <row r="60568" s="76" customFormat="1" ht="21.95" customHeight="1" x14ac:dyDescent="0.15"/>
    <row r="60569" s="76" customFormat="1" ht="35.1" customHeight="1" x14ac:dyDescent="0.15"/>
    <row r="60570" s="76" customFormat="1" ht="21.95" customHeight="1" x14ac:dyDescent="0.15"/>
    <row r="60571" s="76" customFormat="1" ht="21.95" customHeight="1" x14ac:dyDescent="0.15"/>
    <row r="60572" s="76" customFormat="1" ht="21.95" customHeight="1" x14ac:dyDescent="0.15"/>
    <row r="60573" s="76" customFormat="1" ht="21.95" customHeight="1" x14ac:dyDescent="0.15"/>
    <row r="60574" s="76" customFormat="1" ht="21.95" customHeight="1" x14ac:dyDescent="0.15"/>
    <row r="60575" s="76" customFormat="1" ht="21.95" customHeight="1" x14ac:dyDescent="0.15"/>
    <row r="60576" s="76" customFormat="1" ht="21.95" customHeight="1" x14ac:dyDescent="0.15"/>
    <row r="60577" s="76" customFormat="1" ht="21.95" customHeight="1" x14ac:dyDescent="0.15"/>
    <row r="60578" s="76" customFormat="1" ht="21.95" customHeight="1" x14ac:dyDescent="0.15"/>
    <row r="60579" s="76" customFormat="1" ht="21.95" customHeight="1" x14ac:dyDescent="0.15"/>
    <row r="60580" s="76" customFormat="1" ht="21.95" customHeight="1" x14ac:dyDescent="0.15"/>
    <row r="60581" s="76" customFormat="1" ht="21.95" customHeight="1" x14ac:dyDescent="0.15"/>
    <row r="60582" s="76" customFormat="1" ht="21.95" customHeight="1" x14ac:dyDescent="0.15"/>
    <row r="60583" s="76" customFormat="1" ht="21.95" customHeight="1" x14ac:dyDescent="0.15"/>
    <row r="60584" s="76" customFormat="1" ht="21.95" customHeight="1" x14ac:dyDescent="0.15"/>
    <row r="60585" s="76" customFormat="1" ht="21.95" customHeight="1" x14ac:dyDescent="0.15"/>
    <row r="60586" s="76" customFormat="1" ht="21.95" customHeight="1" x14ac:dyDescent="0.15"/>
    <row r="60587" s="76" customFormat="1" ht="21.95" customHeight="1" x14ac:dyDescent="0.15"/>
    <row r="60588" s="76" customFormat="1" ht="21.95" customHeight="1" x14ac:dyDescent="0.15"/>
    <row r="60589" s="76" customFormat="1" ht="21.95" customHeight="1" x14ac:dyDescent="0.15"/>
    <row r="60590" s="76" customFormat="1" ht="21.95" customHeight="1" x14ac:dyDescent="0.15"/>
    <row r="60591" s="76" customFormat="1" ht="21.95" customHeight="1" x14ac:dyDescent="0.15"/>
    <row r="60592" s="76" customFormat="1" ht="21.95" customHeight="1" x14ac:dyDescent="0.15"/>
    <row r="60593" spans="3:3" customFormat="1" ht="21.95" customHeight="1" x14ac:dyDescent="0.15"/>
    <row r="60594" spans="3:3" customFormat="1" ht="21.95" customHeight="1" x14ac:dyDescent="0.15"/>
    <row r="60595" spans="3:3" customFormat="1" ht="21.95" customHeight="1" x14ac:dyDescent="0.15">
      <c r="C60595" s="94"/>
    </row>
    <row r="60596" spans="3:3" customFormat="1" ht="21.95" customHeight="1" x14ac:dyDescent="0.15">
      <c r="C60596" s="94"/>
    </row>
    <row r="60597" spans="3:3" customFormat="1" ht="21.95" customHeight="1" x14ac:dyDescent="0.15"/>
    <row r="60598" spans="3:3" customFormat="1" ht="21.95" customHeight="1" x14ac:dyDescent="0.15"/>
    <row r="60599" spans="3:3" customFormat="1" ht="21.95" customHeight="1" x14ac:dyDescent="0.15"/>
    <row r="60600" spans="3:3" customFormat="1" ht="21.95" customHeight="1" x14ac:dyDescent="0.15"/>
    <row r="60601" spans="3:3" customFormat="1" ht="21.95" customHeight="1" x14ac:dyDescent="0.15"/>
    <row r="60602" spans="3:3" customFormat="1" ht="21.95" customHeight="1" x14ac:dyDescent="0.15"/>
    <row r="60603" spans="3:3" customFormat="1" ht="21.95" customHeight="1" x14ac:dyDescent="0.15"/>
    <row r="60604" spans="3:3" s="76" customFormat="1" ht="21.95" customHeight="1" x14ac:dyDescent="0.15"/>
    <row r="60605" spans="3:3" s="76" customFormat="1" ht="21.95" customHeight="1" x14ac:dyDescent="0.15"/>
    <row r="60606" spans="3:3" s="76" customFormat="1" ht="21.95" customHeight="1" x14ac:dyDescent="0.15"/>
    <row r="60607" spans="3:3" s="76" customFormat="1" ht="21.95" customHeight="1" x14ac:dyDescent="0.15"/>
    <row r="60608" spans="3:3" customFormat="1" ht="21.95" customHeight="1" x14ac:dyDescent="0.15"/>
    <row r="60609" customFormat="1" ht="21.95" customHeight="1" x14ac:dyDescent="0.15"/>
    <row r="60610" customFormat="1" ht="21.95" customHeight="1" x14ac:dyDescent="0.15"/>
    <row r="60611" customFormat="1" ht="21.95" customHeight="1" x14ac:dyDescent="0.15"/>
    <row r="60612" customFormat="1" ht="21.95" customHeight="1" x14ac:dyDescent="0.15"/>
    <row r="60613" customFormat="1" ht="21.95" customHeight="1" x14ac:dyDescent="0.15"/>
    <row r="60614" customFormat="1" ht="21.95" customHeight="1" x14ac:dyDescent="0.15"/>
    <row r="60615" customFormat="1" ht="21.95" customHeight="1" x14ac:dyDescent="0.15"/>
    <row r="60616" customFormat="1" ht="21.95" customHeight="1" x14ac:dyDescent="0.15"/>
    <row r="60617" customFormat="1" ht="21.95" customHeight="1" x14ac:dyDescent="0.15"/>
    <row r="60618" customFormat="1" ht="21.95" customHeight="1" x14ac:dyDescent="0.15"/>
    <row r="60619" customFormat="1" ht="32.1" customHeight="1" x14ac:dyDescent="0.15"/>
    <row r="60620" customFormat="1" ht="32.1" customHeight="1" x14ac:dyDescent="0.15"/>
    <row r="60621" customFormat="1" ht="32.1" customHeight="1" x14ac:dyDescent="0.15"/>
    <row r="60622" customFormat="1" ht="32.1" customHeight="1" x14ac:dyDescent="0.15"/>
    <row r="60623" customFormat="1" ht="32.1" customHeight="1" x14ac:dyDescent="0.15"/>
    <row r="60624" customFormat="1" ht="32.1" customHeight="1" x14ac:dyDescent="0.15"/>
    <row r="60625" s="76" customFormat="1" ht="32.1" customHeight="1" x14ac:dyDescent="0.15"/>
    <row r="60626" s="76" customFormat="1" ht="32.1" customHeight="1" x14ac:dyDescent="0.15"/>
    <row r="60627" s="76" customFormat="1" ht="32.1" customHeight="1" x14ac:dyDescent="0.15"/>
    <row r="60628" s="76" customFormat="1" ht="32.1" customHeight="1" x14ac:dyDescent="0.15"/>
    <row r="60629" s="76" customFormat="1" ht="21.95" customHeight="1" x14ac:dyDescent="0.15"/>
    <row r="60630" s="76" customFormat="1" ht="54" customHeight="1" x14ac:dyDescent="0.15"/>
    <row r="60631" s="76" customFormat="1" ht="21.95" customHeight="1" x14ac:dyDescent="0.15"/>
    <row r="60632" s="76" customFormat="1" ht="21.95" customHeight="1" x14ac:dyDescent="0.15"/>
    <row r="60633" s="76" customFormat="1" ht="21.95" customHeight="1" x14ac:dyDescent="0.15"/>
    <row r="60634" s="76" customFormat="1" ht="21.95" customHeight="1" x14ac:dyDescent="0.15"/>
    <row r="60635" s="76" customFormat="1" ht="21.95" customHeight="1" x14ac:dyDescent="0.15"/>
    <row r="60636" s="76" customFormat="1" ht="21.95" customHeight="1" x14ac:dyDescent="0.15"/>
    <row r="60637" s="76" customFormat="1" ht="21.95" customHeight="1" x14ac:dyDescent="0.15"/>
    <row r="60638" s="76" customFormat="1" ht="21.95" customHeight="1" x14ac:dyDescent="0.15"/>
    <row r="60639" s="76" customFormat="1" ht="21.95" customHeight="1" x14ac:dyDescent="0.15"/>
    <row r="60640" s="76" customFormat="1" ht="21.95" customHeight="1" x14ac:dyDescent="0.15"/>
    <row r="60641" s="76" customFormat="1" ht="21.95" customHeight="1" x14ac:dyDescent="0.15"/>
    <row r="60642" s="76" customFormat="1" ht="21.95" customHeight="1" x14ac:dyDescent="0.15"/>
    <row r="60643" s="76" customFormat="1" ht="21.95" customHeight="1" x14ac:dyDescent="0.15"/>
    <row r="60644" s="76" customFormat="1" ht="21.95" customHeight="1" x14ac:dyDescent="0.15"/>
    <row r="60645" s="76" customFormat="1" ht="21.95" customHeight="1" x14ac:dyDescent="0.15"/>
    <row r="60646" s="76" customFormat="1" ht="21.95" customHeight="1" x14ac:dyDescent="0.15"/>
    <row r="60647" s="76" customFormat="1" ht="21.95" customHeight="1" x14ac:dyDescent="0.15"/>
    <row r="60648" s="76" customFormat="1" ht="21.95" customHeight="1" x14ac:dyDescent="0.15"/>
    <row r="60649" s="76" customFormat="1" ht="21.95" customHeight="1" x14ac:dyDescent="0.15"/>
    <row r="60650" s="76" customFormat="1" ht="21.95" customHeight="1" x14ac:dyDescent="0.15"/>
    <row r="60651" s="76" customFormat="1" ht="21.95" customHeight="1" x14ac:dyDescent="0.15"/>
    <row r="60652" s="76" customFormat="1" ht="21.95" customHeight="1" x14ac:dyDescent="0.15"/>
    <row r="60653" s="76" customFormat="1" ht="21.95" customHeight="1" x14ac:dyDescent="0.15"/>
    <row r="60654" s="76" customFormat="1" ht="21.95" customHeight="1" x14ac:dyDescent="0.15"/>
    <row r="60655" s="76" customFormat="1" ht="21.95" customHeight="1" x14ac:dyDescent="0.15"/>
    <row r="60656" s="76" customFormat="1" ht="21.95" customHeight="1" x14ac:dyDescent="0.15"/>
    <row r="60657" s="76" customFormat="1" ht="21.95" customHeight="1" x14ac:dyDescent="0.15"/>
    <row r="60658" s="76" customFormat="1" ht="21.95" customHeight="1" x14ac:dyDescent="0.15"/>
    <row r="60659" s="76" customFormat="1" ht="21.95" customHeight="1" x14ac:dyDescent="0.15"/>
    <row r="60660" s="76" customFormat="1" ht="21.95" customHeight="1" x14ac:dyDescent="0.15"/>
    <row r="60661" s="76" customFormat="1" ht="21.95" customHeight="1" x14ac:dyDescent="0.15"/>
    <row r="60662" s="76" customFormat="1" ht="21.95" customHeight="1" x14ac:dyDescent="0.15"/>
    <row r="60663" s="76" customFormat="1" ht="21.95" customHeight="1" x14ac:dyDescent="0.15"/>
    <row r="60664" s="76" customFormat="1" ht="21.95" customHeight="1" x14ac:dyDescent="0.15"/>
    <row r="60665" s="76" customFormat="1" ht="21.95" customHeight="1" x14ac:dyDescent="0.15"/>
    <row r="60666" s="76" customFormat="1" ht="21.95" customHeight="1" x14ac:dyDescent="0.15"/>
    <row r="60667" s="76" customFormat="1" ht="21.95" customHeight="1" x14ac:dyDescent="0.15"/>
    <row r="60668" s="76" customFormat="1" ht="21.95" customHeight="1" x14ac:dyDescent="0.15"/>
    <row r="60669" s="76" customFormat="1" ht="21.95" customHeight="1" x14ac:dyDescent="0.15"/>
    <row r="60670" s="76" customFormat="1" ht="21.95" customHeight="1" x14ac:dyDescent="0.15"/>
    <row r="60671" s="76" customFormat="1" ht="21.95" customHeight="1" x14ac:dyDescent="0.15"/>
    <row r="60672" s="76" customFormat="1" ht="21.95" customHeight="1" x14ac:dyDescent="0.15"/>
    <row r="60673" s="76" customFormat="1" ht="21.95" customHeight="1" x14ac:dyDescent="0.15"/>
    <row r="60674" s="76" customFormat="1" ht="21.95" customHeight="1" x14ac:dyDescent="0.15"/>
    <row r="60675" s="76" customFormat="1" ht="21.95" customHeight="1" x14ac:dyDescent="0.15"/>
    <row r="60676" s="76" customFormat="1" ht="21.95" customHeight="1" x14ac:dyDescent="0.15"/>
    <row r="60677" s="76" customFormat="1" ht="21.95" customHeight="1" x14ac:dyDescent="0.15"/>
    <row r="60678" s="76" customFormat="1" ht="21.95" customHeight="1" x14ac:dyDescent="0.15"/>
    <row r="60679" s="76" customFormat="1" ht="21.95" customHeight="1" x14ac:dyDescent="0.15"/>
    <row r="60680" s="76" customFormat="1" ht="21.95" customHeight="1" x14ac:dyDescent="0.15"/>
    <row r="60681" s="76" customFormat="1" ht="35.1" customHeight="1" x14ac:dyDescent="0.15"/>
    <row r="60682" s="76" customFormat="1" ht="21.95" customHeight="1" x14ac:dyDescent="0.15"/>
    <row r="60683" s="76" customFormat="1" ht="21.95" customHeight="1" x14ac:dyDescent="0.15"/>
    <row r="60684" s="76" customFormat="1" ht="21.95" customHeight="1" x14ac:dyDescent="0.15"/>
    <row r="60685" s="76" customFormat="1" ht="21.95" customHeight="1" x14ac:dyDescent="0.15"/>
    <row r="60686" s="76" customFormat="1" ht="21.95" customHeight="1" x14ac:dyDescent="0.15"/>
    <row r="60687" s="76" customFormat="1" ht="21.95" customHeight="1" x14ac:dyDescent="0.15"/>
    <row r="60688" s="76" customFormat="1" ht="21.95" customHeight="1" x14ac:dyDescent="0.15"/>
    <row r="60689" s="76" customFormat="1" ht="21.95" customHeight="1" x14ac:dyDescent="0.15"/>
    <row r="60690" s="76" customFormat="1" ht="21.95" customHeight="1" x14ac:dyDescent="0.15"/>
    <row r="60691" s="76" customFormat="1" ht="21.95" customHeight="1" x14ac:dyDescent="0.15"/>
    <row r="60692" s="76" customFormat="1" ht="21.95" customHeight="1" x14ac:dyDescent="0.15"/>
    <row r="60693" s="76" customFormat="1" ht="21.95" customHeight="1" x14ac:dyDescent="0.15"/>
    <row r="60694" s="76" customFormat="1" ht="21.95" customHeight="1" x14ac:dyDescent="0.15"/>
    <row r="60695" s="76" customFormat="1" ht="21.95" customHeight="1" x14ac:dyDescent="0.15"/>
    <row r="60696" s="76" customFormat="1" ht="21.95" customHeight="1" x14ac:dyDescent="0.15"/>
    <row r="60697" s="76" customFormat="1" ht="21.95" customHeight="1" x14ac:dyDescent="0.15"/>
    <row r="60698" s="76" customFormat="1" ht="21.95" customHeight="1" x14ac:dyDescent="0.15"/>
    <row r="60699" s="76" customFormat="1" ht="21.95" customHeight="1" x14ac:dyDescent="0.15"/>
    <row r="60700" s="76" customFormat="1" ht="21.95" customHeight="1" x14ac:dyDescent="0.15"/>
    <row r="60701" s="76" customFormat="1" ht="21.95" customHeight="1" x14ac:dyDescent="0.15"/>
    <row r="60702" s="76" customFormat="1" ht="21.95" customHeight="1" x14ac:dyDescent="0.15"/>
    <row r="60703" s="76" customFormat="1" ht="21.95" customHeight="1" x14ac:dyDescent="0.15"/>
    <row r="60704" s="76" customFormat="1" ht="21.95" customHeight="1" x14ac:dyDescent="0.15"/>
    <row r="60705" spans="3:3" customFormat="1" ht="21.95" customHeight="1" x14ac:dyDescent="0.15"/>
    <row r="60706" spans="3:3" customFormat="1" ht="21.95" customHeight="1" x14ac:dyDescent="0.15"/>
    <row r="60707" spans="3:3" customFormat="1" ht="21.95" customHeight="1" x14ac:dyDescent="0.15">
      <c r="C60707" s="94"/>
    </row>
    <row r="60708" spans="3:3" customFormat="1" ht="21.95" customHeight="1" x14ac:dyDescent="0.15">
      <c r="C60708" s="94"/>
    </row>
    <row r="60709" spans="3:3" customFormat="1" ht="21.95" customHeight="1" x14ac:dyDescent="0.15"/>
    <row r="60710" spans="3:3" customFormat="1" ht="21.95" customHeight="1" x14ac:dyDescent="0.15"/>
    <row r="60711" spans="3:3" customFormat="1" ht="21.95" customHeight="1" x14ac:dyDescent="0.15"/>
    <row r="60712" spans="3:3" customFormat="1" ht="21.95" customHeight="1" x14ac:dyDescent="0.15"/>
    <row r="60713" spans="3:3" customFormat="1" ht="21.95" customHeight="1" x14ac:dyDescent="0.15"/>
    <row r="60714" spans="3:3" customFormat="1" ht="21.95" customHeight="1" x14ac:dyDescent="0.15"/>
    <row r="60715" spans="3:3" customFormat="1" ht="21.95" customHeight="1" x14ac:dyDescent="0.15"/>
    <row r="60716" spans="3:3" s="76" customFormat="1" ht="21.95" customHeight="1" x14ac:dyDescent="0.15"/>
    <row r="60717" spans="3:3" s="76" customFormat="1" ht="21.95" customHeight="1" x14ac:dyDescent="0.15"/>
    <row r="60718" spans="3:3" s="76" customFormat="1" ht="21.95" customHeight="1" x14ac:dyDescent="0.15"/>
    <row r="60719" spans="3:3" s="76" customFormat="1" ht="21.95" customHeight="1" x14ac:dyDescent="0.15"/>
    <row r="60720" spans="3:3" customFormat="1" ht="21.95" customHeight="1" x14ac:dyDescent="0.15"/>
    <row r="60721" customFormat="1" ht="21.95" customHeight="1" x14ac:dyDescent="0.15"/>
    <row r="60722" customFormat="1" ht="21.95" customHeight="1" x14ac:dyDescent="0.15"/>
    <row r="60723" customFormat="1" ht="21.95" customHeight="1" x14ac:dyDescent="0.15"/>
    <row r="60724" customFormat="1" ht="21.95" customHeight="1" x14ac:dyDescent="0.15"/>
    <row r="60725" customFormat="1" ht="21.95" customHeight="1" x14ac:dyDescent="0.15"/>
    <row r="60726" customFormat="1" ht="21.95" customHeight="1" x14ac:dyDescent="0.15"/>
    <row r="60727" customFormat="1" ht="21.95" customHeight="1" x14ac:dyDescent="0.15"/>
    <row r="60728" customFormat="1" ht="21.95" customHeight="1" x14ac:dyDescent="0.15"/>
    <row r="60729" customFormat="1" ht="21.95" customHeight="1" x14ac:dyDescent="0.15"/>
    <row r="60730" customFormat="1" ht="21.95" customHeight="1" x14ac:dyDescent="0.15"/>
    <row r="60731" customFormat="1" ht="32.1" customHeight="1" x14ac:dyDescent="0.15"/>
    <row r="60732" customFormat="1" ht="32.1" customHeight="1" x14ac:dyDescent="0.15"/>
    <row r="60733" customFormat="1" ht="32.1" customHeight="1" x14ac:dyDescent="0.15"/>
    <row r="60734" customFormat="1" ht="32.1" customHeight="1" x14ac:dyDescent="0.15"/>
    <row r="60735" customFormat="1" ht="32.1" customHeight="1" x14ac:dyDescent="0.15"/>
    <row r="60736" customFormat="1" ht="32.1" customHeight="1" x14ac:dyDescent="0.15"/>
    <row r="60737" s="76" customFormat="1" ht="32.1" customHeight="1" x14ac:dyDescent="0.15"/>
    <row r="60738" s="76" customFormat="1" ht="32.1" customHeight="1" x14ac:dyDescent="0.15"/>
    <row r="60739" s="76" customFormat="1" ht="32.1" customHeight="1" x14ac:dyDescent="0.15"/>
    <row r="60740" s="76" customFormat="1" ht="32.1" customHeight="1" x14ac:dyDescent="0.15"/>
    <row r="60741" s="76" customFormat="1" ht="21.95" customHeight="1" x14ac:dyDescent="0.15"/>
    <row r="60742" s="76" customFormat="1" ht="54" customHeight="1" x14ac:dyDescent="0.15"/>
    <row r="60743" s="76" customFormat="1" ht="21.95" customHeight="1" x14ac:dyDescent="0.15"/>
    <row r="60744" s="76" customFormat="1" ht="21.95" customHeight="1" x14ac:dyDescent="0.15"/>
    <row r="60745" s="76" customFormat="1" ht="21.95" customHeight="1" x14ac:dyDescent="0.15"/>
    <row r="60746" s="76" customFormat="1" ht="21.95" customHeight="1" x14ac:dyDescent="0.15"/>
    <row r="60747" s="76" customFormat="1" ht="21.95" customHeight="1" x14ac:dyDescent="0.15"/>
    <row r="60748" s="76" customFormat="1" ht="21.95" customHeight="1" x14ac:dyDescent="0.15"/>
    <row r="60749" s="76" customFormat="1" ht="21.95" customHeight="1" x14ac:dyDescent="0.15"/>
    <row r="60750" s="76" customFormat="1" ht="21.95" customHeight="1" x14ac:dyDescent="0.15"/>
    <row r="60751" s="76" customFormat="1" ht="21.95" customHeight="1" x14ac:dyDescent="0.15"/>
    <row r="60752" s="76" customFormat="1" ht="21.95" customHeight="1" x14ac:dyDescent="0.15"/>
    <row r="60753" s="76" customFormat="1" ht="21.95" customHeight="1" x14ac:dyDescent="0.15"/>
    <row r="60754" s="76" customFormat="1" ht="21.95" customHeight="1" x14ac:dyDescent="0.15"/>
    <row r="60755" s="76" customFormat="1" ht="21.95" customHeight="1" x14ac:dyDescent="0.15"/>
    <row r="60756" s="76" customFormat="1" ht="21.95" customHeight="1" x14ac:dyDescent="0.15"/>
    <row r="60757" s="76" customFormat="1" ht="21.95" customHeight="1" x14ac:dyDescent="0.15"/>
    <row r="60758" s="76" customFormat="1" ht="21.95" customHeight="1" x14ac:dyDescent="0.15"/>
    <row r="60759" s="76" customFormat="1" ht="21.95" customHeight="1" x14ac:dyDescent="0.15"/>
    <row r="60760" s="76" customFormat="1" ht="21.95" customHeight="1" x14ac:dyDescent="0.15"/>
    <row r="60761" s="76" customFormat="1" ht="21.95" customHeight="1" x14ac:dyDescent="0.15"/>
    <row r="60762" s="76" customFormat="1" ht="21.95" customHeight="1" x14ac:dyDescent="0.15"/>
    <row r="60763" s="76" customFormat="1" ht="21.95" customHeight="1" x14ac:dyDescent="0.15"/>
    <row r="60764" s="76" customFormat="1" ht="21.95" customHeight="1" x14ac:dyDescent="0.15"/>
    <row r="60765" s="76" customFormat="1" ht="21.95" customHeight="1" x14ac:dyDescent="0.15"/>
    <row r="60766" s="76" customFormat="1" ht="21.95" customHeight="1" x14ac:dyDescent="0.15"/>
    <row r="60767" s="76" customFormat="1" ht="21.95" customHeight="1" x14ac:dyDescent="0.15"/>
    <row r="60768" s="76" customFormat="1" ht="21.95" customHeight="1" x14ac:dyDescent="0.15"/>
    <row r="60769" s="76" customFormat="1" ht="21.95" customHeight="1" x14ac:dyDescent="0.15"/>
    <row r="60770" s="76" customFormat="1" ht="21.95" customHeight="1" x14ac:dyDescent="0.15"/>
    <row r="60771" s="76" customFormat="1" ht="21.95" customHeight="1" x14ac:dyDescent="0.15"/>
    <row r="60772" s="76" customFormat="1" ht="21.95" customHeight="1" x14ac:dyDescent="0.15"/>
    <row r="60773" s="76" customFormat="1" ht="21.95" customHeight="1" x14ac:dyDescent="0.15"/>
    <row r="60774" s="76" customFormat="1" ht="21.95" customHeight="1" x14ac:dyDescent="0.15"/>
    <row r="60775" s="76" customFormat="1" ht="21.95" customHeight="1" x14ac:dyDescent="0.15"/>
    <row r="60776" s="76" customFormat="1" ht="21.95" customHeight="1" x14ac:dyDescent="0.15"/>
    <row r="60777" s="76" customFormat="1" ht="21.95" customHeight="1" x14ac:dyDescent="0.15"/>
    <row r="60778" s="76" customFormat="1" ht="21.95" customHeight="1" x14ac:dyDescent="0.15"/>
    <row r="60779" s="76" customFormat="1" ht="21.95" customHeight="1" x14ac:dyDescent="0.15"/>
    <row r="60780" s="76" customFormat="1" ht="21.95" customHeight="1" x14ac:dyDescent="0.15"/>
    <row r="60781" s="76" customFormat="1" ht="21.95" customHeight="1" x14ac:dyDescent="0.15"/>
    <row r="60782" s="76" customFormat="1" ht="21.95" customHeight="1" x14ac:dyDescent="0.15"/>
    <row r="60783" s="76" customFormat="1" ht="21.95" customHeight="1" x14ac:dyDescent="0.15"/>
    <row r="60784" s="76" customFormat="1" ht="21.95" customHeight="1" x14ac:dyDescent="0.15"/>
    <row r="60785" s="76" customFormat="1" ht="21.95" customHeight="1" x14ac:dyDescent="0.15"/>
    <row r="60786" s="76" customFormat="1" ht="21.95" customHeight="1" x14ac:dyDescent="0.15"/>
    <row r="60787" s="76" customFormat="1" ht="21.95" customHeight="1" x14ac:dyDescent="0.15"/>
    <row r="60788" s="76" customFormat="1" ht="21.95" customHeight="1" x14ac:dyDescent="0.15"/>
    <row r="60789" s="76" customFormat="1" ht="21.95" customHeight="1" x14ac:dyDescent="0.15"/>
    <row r="60790" s="76" customFormat="1" ht="21.95" customHeight="1" x14ac:dyDescent="0.15"/>
    <row r="60791" s="76" customFormat="1" ht="21.95" customHeight="1" x14ac:dyDescent="0.15"/>
    <row r="60792" s="76" customFormat="1" ht="21.95" customHeight="1" x14ac:dyDescent="0.15"/>
    <row r="60793" s="76" customFormat="1" ht="35.1" customHeight="1" x14ac:dyDescent="0.15"/>
    <row r="60794" s="76" customFormat="1" ht="21.95" customHeight="1" x14ac:dyDescent="0.15"/>
    <row r="60795" s="76" customFormat="1" ht="21.95" customHeight="1" x14ac:dyDescent="0.15"/>
    <row r="60796" s="76" customFormat="1" ht="21.95" customHeight="1" x14ac:dyDescent="0.15"/>
    <row r="60797" s="76" customFormat="1" ht="21.95" customHeight="1" x14ac:dyDescent="0.15"/>
    <row r="60798" s="76" customFormat="1" ht="21.95" customHeight="1" x14ac:dyDescent="0.15"/>
    <row r="60799" s="76" customFormat="1" ht="21.95" customHeight="1" x14ac:dyDescent="0.15"/>
    <row r="60800" s="76" customFormat="1" ht="21.95" customHeight="1" x14ac:dyDescent="0.15"/>
    <row r="60801" s="76" customFormat="1" ht="21.95" customHeight="1" x14ac:dyDescent="0.15"/>
    <row r="60802" s="76" customFormat="1" ht="21.95" customHeight="1" x14ac:dyDescent="0.15"/>
    <row r="60803" s="76" customFormat="1" ht="21.95" customHeight="1" x14ac:dyDescent="0.15"/>
    <row r="60804" s="76" customFormat="1" ht="21.95" customHeight="1" x14ac:dyDescent="0.15"/>
    <row r="60805" s="76" customFormat="1" ht="21.95" customHeight="1" x14ac:dyDescent="0.15"/>
    <row r="60806" s="76" customFormat="1" ht="21.95" customHeight="1" x14ac:dyDescent="0.15"/>
    <row r="60807" s="76" customFormat="1" ht="21.95" customHeight="1" x14ac:dyDescent="0.15"/>
    <row r="60808" s="76" customFormat="1" ht="21.95" customHeight="1" x14ac:dyDescent="0.15"/>
    <row r="60809" s="76" customFormat="1" ht="21.95" customHeight="1" x14ac:dyDescent="0.15"/>
    <row r="60810" s="76" customFormat="1" ht="21.95" customHeight="1" x14ac:dyDescent="0.15"/>
    <row r="60811" s="76" customFormat="1" ht="21.95" customHeight="1" x14ac:dyDescent="0.15"/>
    <row r="60812" s="76" customFormat="1" ht="21.95" customHeight="1" x14ac:dyDescent="0.15"/>
    <row r="60813" s="76" customFormat="1" ht="21.95" customHeight="1" x14ac:dyDescent="0.15"/>
    <row r="60814" s="76" customFormat="1" ht="21.95" customHeight="1" x14ac:dyDescent="0.15"/>
    <row r="60815" s="76" customFormat="1" ht="21.95" customHeight="1" x14ac:dyDescent="0.15"/>
    <row r="60816" s="76" customFormat="1" ht="21.95" customHeight="1" x14ac:dyDescent="0.15"/>
    <row r="60817" spans="3:3" customFormat="1" ht="21.95" customHeight="1" x14ac:dyDescent="0.15"/>
    <row r="60818" spans="3:3" customFormat="1" ht="21.95" customHeight="1" x14ac:dyDescent="0.15"/>
    <row r="60819" spans="3:3" customFormat="1" ht="21.95" customHeight="1" x14ac:dyDescent="0.15">
      <c r="C60819" s="94"/>
    </row>
    <row r="60820" spans="3:3" customFormat="1" ht="21.95" customHeight="1" x14ac:dyDescent="0.15">
      <c r="C60820" s="94"/>
    </row>
    <row r="60821" spans="3:3" customFormat="1" ht="21.95" customHeight="1" x14ac:dyDescent="0.15"/>
    <row r="60822" spans="3:3" customFormat="1" ht="21.95" customHeight="1" x14ac:dyDescent="0.15"/>
    <row r="60823" spans="3:3" customFormat="1" ht="21.95" customHeight="1" x14ac:dyDescent="0.15"/>
    <row r="60824" spans="3:3" customFormat="1" ht="21.95" customHeight="1" x14ac:dyDescent="0.15"/>
    <row r="60825" spans="3:3" customFormat="1" ht="21.95" customHeight="1" x14ac:dyDescent="0.15"/>
    <row r="60826" spans="3:3" customFormat="1" ht="21.95" customHeight="1" x14ac:dyDescent="0.15"/>
    <row r="60827" spans="3:3" customFormat="1" ht="21.95" customHeight="1" x14ac:dyDescent="0.15"/>
    <row r="60828" spans="3:3" s="76" customFormat="1" ht="21.95" customHeight="1" x14ac:dyDescent="0.15"/>
    <row r="60829" spans="3:3" s="76" customFormat="1" ht="21.95" customHeight="1" x14ac:dyDescent="0.15"/>
    <row r="60830" spans="3:3" s="76" customFormat="1" ht="21.95" customHeight="1" x14ac:dyDescent="0.15"/>
    <row r="60831" spans="3:3" s="76" customFormat="1" ht="21.95" customHeight="1" x14ac:dyDescent="0.15"/>
    <row r="60832" spans="3:3" customFormat="1" ht="21.95" customHeight="1" x14ac:dyDescent="0.15"/>
    <row r="60833" customFormat="1" ht="21.95" customHeight="1" x14ac:dyDescent="0.15"/>
    <row r="60834" customFormat="1" ht="21.95" customHeight="1" x14ac:dyDescent="0.15"/>
    <row r="60835" customFormat="1" ht="21.95" customHeight="1" x14ac:dyDescent="0.15"/>
    <row r="60836" customFormat="1" ht="21.95" customHeight="1" x14ac:dyDescent="0.15"/>
    <row r="60837" customFormat="1" ht="21.95" customHeight="1" x14ac:dyDescent="0.15"/>
    <row r="60838" customFormat="1" ht="21.95" customHeight="1" x14ac:dyDescent="0.15"/>
    <row r="60839" customFormat="1" ht="21.95" customHeight="1" x14ac:dyDescent="0.15"/>
    <row r="60840" customFormat="1" ht="21.95" customHeight="1" x14ac:dyDescent="0.15"/>
    <row r="60841" customFormat="1" ht="21.95" customHeight="1" x14ac:dyDescent="0.15"/>
    <row r="60842" customFormat="1" ht="21.95" customHeight="1" x14ac:dyDescent="0.15"/>
    <row r="60843" customFormat="1" ht="32.1" customHeight="1" x14ac:dyDescent="0.15"/>
    <row r="60844" customFormat="1" ht="32.1" customHeight="1" x14ac:dyDescent="0.15"/>
    <row r="60845" customFormat="1" ht="32.1" customHeight="1" x14ac:dyDescent="0.15"/>
    <row r="60846" customFormat="1" ht="32.1" customHeight="1" x14ac:dyDescent="0.15"/>
    <row r="60847" customFormat="1" ht="32.1" customHeight="1" x14ac:dyDescent="0.15"/>
    <row r="60848" customFormat="1" ht="32.1" customHeight="1" x14ac:dyDescent="0.15"/>
    <row r="60849" s="76" customFormat="1" ht="32.1" customHeight="1" x14ac:dyDescent="0.15"/>
    <row r="60850" s="76" customFormat="1" ht="32.1" customHeight="1" x14ac:dyDescent="0.15"/>
    <row r="60851" s="76" customFormat="1" ht="32.1" customHeight="1" x14ac:dyDescent="0.15"/>
    <row r="60852" s="76" customFormat="1" ht="32.1" customHeight="1" x14ac:dyDescent="0.15"/>
    <row r="60853" s="76" customFormat="1" ht="21.95" customHeight="1" x14ac:dyDescent="0.15"/>
    <row r="60854" s="76" customFormat="1" ht="54" customHeight="1" x14ac:dyDescent="0.15"/>
    <row r="60855" s="76" customFormat="1" ht="21.95" customHeight="1" x14ac:dyDescent="0.15"/>
    <row r="60856" s="76" customFormat="1" ht="21.95" customHeight="1" x14ac:dyDescent="0.15"/>
    <row r="60857" s="76" customFormat="1" ht="21.95" customHeight="1" x14ac:dyDescent="0.15"/>
    <row r="60858" s="76" customFormat="1" ht="21.95" customHeight="1" x14ac:dyDescent="0.15"/>
    <row r="60859" s="76" customFormat="1" ht="21.95" customHeight="1" x14ac:dyDescent="0.15"/>
    <row r="60860" s="76" customFormat="1" ht="21.95" customHeight="1" x14ac:dyDescent="0.15"/>
    <row r="60861" s="76" customFormat="1" ht="21.95" customHeight="1" x14ac:dyDescent="0.15"/>
    <row r="60862" s="76" customFormat="1" ht="21.95" customHeight="1" x14ac:dyDescent="0.15"/>
    <row r="60863" s="76" customFormat="1" ht="21.95" customHeight="1" x14ac:dyDescent="0.15"/>
    <row r="60864" s="76" customFormat="1" ht="21.95" customHeight="1" x14ac:dyDescent="0.15"/>
    <row r="60865" s="76" customFormat="1" ht="21.95" customHeight="1" x14ac:dyDescent="0.15"/>
    <row r="60866" s="76" customFormat="1" ht="21.95" customHeight="1" x14ac:dyDescent="0.15"/>
    <row r="60867" s="76" customFormat="1" ht="21.95" customHeight="1" x14ac:dyDescent="0.15"/>
    <row r="60868" s="76" customFormat="1" ht="21.95" customHeight="1" x14ac:dyDescent="0.15"/>
    <row r="60869" s="76" customFormat="1" ht="21.95" customHeight="1" x14ac:dyDescent="0.15"/>
    <row r="60870" s="76" customFormat="1" ht="21.95" customHeight="1" x14ac:dyDescent="0.15"/>
    <row r="60871" s="76" customFormat="1" ht="21.95" customHeight="1" x14ac:dyDescent="0.15"/>
    <row r="60872" s="76" customFormat="1" ht="21.95" customHeight="1" x14ac:dyDescent="0.15"/>
    <row r="60873" s="76" customFormat="1" ht="21.95" customHeight="1" x14ac:dyDescent="0.15"/>
    <row r="60874" s="76" customFormat="1" ht="21.95" customHeight="1" x14ac:dyDescent="0.15"/>
    <row r="60875" s="76" customFormat="1" ht="21.95" customHeight="1" x14ac:dyDescent="0.15"/>
    <row r="60876" s="76" customFormat="1" ht="21.95" customHeight="1" x14ac:dyDescent="0.15"/>
    <row r="60877" s="76" customFormat="1" ht="21.95" customHeight="1" x14ac:dyDescent="0.15"/>
    <row r="60878" s="76" customFormat="1" ht="21.95" customHeight="1" x14ac:dyDescent="0.15"/>
    <row r="60879" s="76" customFormat="1" ht="21.95" customHeight="1" x14ac:dyDescent="0.15"/>
    <row r="60880" s="76" customFormat="1" ht="21.95" customHeight="1" x14ac:dyDescent="0.15"/>
    <row r="60881" s="76" customFormat="1" ht="21.95" customHeight="1" x14ac:dyDescent="0.15"/>
    <row r="60882" s="76" customFormat="1" ht="21.95" customHeight="1" x14ac:dyDescent="0.15"/>
    <row r="60883" s="76" customFormat="1" ht="21.95" customHeight="1" x14ac:dyDescent="0.15"/>
    <row r="60884" s="76" customFormat="1" ht="21.95" customHeight="1" x14ac:dyDescent="0.15"/>
    <row r="60885" s="76" customFormat="1" ht="21.95" customHeight="1" x14ac:dyDescent="0.15"/>
    <row r="60886" s="76" customFormat="1" ht="21.95" customHeight="1" x14ac:dyDescent="0.15"/>
    <row r="60887" s="76" customFormat="1" ht="21.95" customHeight="1" x14ac:dyDescent="0.15"/>
    <row r="60888" s="76" customFormat="1" ht="21.95" customHeight="1" x14ac:dyDescent="0.15"/>
    <row r="60889" s="76" customFormat="1" ht="21.95" customHeight="1" x14ac:dyDescent="0.15"/>
    <row r="60890" s="76" customFormat="1" ht="21.95" customHeight="1" x14ac:dyDescent="0.15"/>
    <row r="60891" s="76" customFormat="1" ht="21.95" customHeight="1" x14ac:dyDescent="0.15"/>
    <row r="60892" s="76" customFormat="1" ht="21.95" customHeight="1" x14ac:dyDescent="0.15"/>
    <row r="60893" s="76" customFormat="1" ht="21.95" customHeight="1" x14ac:dyDescent="0.15"/>
    <row r="60894" s="76" customFormat="1" ht="21.95" customHeight="1" x14ac:dyDescent="0.15"/>
    <row r="60895" s="76" customFormat="1" ht="21.95" customHeight="1" x14ac:dyDescent="0.15"/>
    <row r="60896" s="76" customFormat="1" ht="21.95" customHeight="1" x14ac:dyDescent="0.15"/>
    <row r="60897" s="76" customFormat="1" ht="21.95" customHeight="1" x14ac:dyDescent="0.15"/>
    <row r="60898" s="76" customFormat="1" ht="21.95" customHeight="1" x14ac:dyDescent="0.15"/>
    <row r="60899" s="76" customFormat="1" ht="21.95" customHeight="1" x14ac:dyDescent="0.15"/>
    <row r="60900" s="76" customFormat="1" ht="21.95" customHeight="1" x14ac:dyDescent="0.15"/>
    <row r="60901" s="76" customFormat="1" ht="21.95" customHeight="1" x14ac:dyDescent="0.15"/>
    <row r="60902" s="76" customFormat="1" ht="21.95" customHeight="1" x14ac:dyDescent="0.15"/>
    <row r="60903" s="76" customFormat="1" ht="21.95" customHeight="1" x14ac:dyDescent="0.15"/>
    <row r="60904" s="76" customFormat="1" ht="21.95" customHeight="1" x14ac:dyDescent="0.15"/>
    <row r="60905" s="76" customFormat="1" ht="35.1" customHeight="1" x14ac:dyDescent="0.15"/>
    <row r="60906" s="76" customFormat="1" ht="21.95" customHeight="1" x14ac:dyDescent="0.15"/>
    <row r="60907" s="76" customFormat="1" ht="21.95" customHeight="1" x14ac:dyDescent="0.15"/>
    <row r="60908" s="76" customFormat="1" ht="21.95" customHeight="1" x14ac:dyDescent="0.15"/>
    <row r="60909" s="76" customFormat="1" ht="21.95" customHeight="1" x14ac:dyDescent="0.15"/>
    <row r="60910" s="76" customFormat="1" ht="21.95" customHeight="1" x14ac:dyDescent="0.15"/>
    <row r="60911" s="76" customFormat="1" ht="21.95" customHeight="1" x14ac:dyDescent="0.15"/>
    <row r="60912" s="76" customFormat="1" ht="21.95" customHeight="1" x14ac:dyDescent="0.15"/>
    <row r="60913" s="76" customFormat="1" ht="21.95" customHeight="1" x14ac:dyDescent="0.15"/>
    <row r="60914" s="76" customFormat="1" ht="21.95" customHeight="1" x14ac:dyDescent="0.15"/>
    <row r="60915" s="76" customFormat="1" ht="21.95" customHeight="1" x14ac:dyDescent="0.15"/>
    <row r="60916" s="76" customFormat="1" ht="21.95" customHeight="1" x14ac:dyDescent="0.15"/>
    <row r="60917" s="76" customFormat="1" ht="21.95" customHeight="1" x14ac:dyDescent="0.15"/>
    <row r="60918" s="76" customFormat="1" ht="21.95" customHeight="1" x14ac:dyDescent="0.15"/>
    <row r="60919" s="76" customFormat="1" ht="21.95" customHeight="1" x14ac:dyDescent="0.15"/>
    <row r="60920" s="76" customFormat="1" ht="21.95" customHeight="1" x14ac:dyDescent="0.15"/>
    <row r="60921" s="76" customFormat="1" ht="21.95" customHeight="1" x14ac:dyDescent="0.15"/>
    <row r="60922" s="76" customFormat="1" ht="21.95" customHeight="1" x14ac:dyDescent="0.15"/>
    <row r="60923" s="76" customFormat="1" ht="21.95" customHeight="1" x14ac:dyDescent="0.15"/>
    <row r="60924" s="76" customFormat="1" ht="21.95" customHeight="1" x14ac:dyDescent="0.15"/>
    <row r="60925" s="76" customFormat="1" ht="21.95" customHeight="1" x14ac:dyDescent="0.15"/>
    <row r="60926" s="76" customFormat="1" ht="21.95" customHeight="1" x14ac:dyDescent="0.15"/>
    <row r="60927" s="76" customFormat="1" ht="21.95" customHeight="1" x14ac:dyDescent="0.15"/>
    <row r="60928" s="76" customFormat="1" ht="21.95" customHeight="1" x14ac:dyDescent="0.15"/>
    <row r="60929" spans="3:3" customFormat="1" ht="21.95" customHeight="1" x14ac:dyDescent="0.15"/>
    <row r="60930" spans="3:3" customFormat="1" ht="21.95" customHeight="1" x14ac:dyDescent="0.15"/>
    <row r="60931" spans="3:3" customFormat="1" ht="21.95" customHeight="1" x14ac:dyDescent="0.15">
      <c r="C60931" s="94"/>
    </row>
    <row r="60932" spans="3:3" customFormat="1" ht="21.95" customHeight="1" x14ac:dyDescent="0.15">
      <c r="C60932" s="94"/>
    </row>
    <row r="60933" spans="3:3" customFormat="1" ht="21.95" customHeight="1" x14ac:dyDescent="0.15"/>
    <row r="60934" spans="3:3" customFormat="1" ht="21.95" customHeight="1" x14ac:dyDescent="0.15"/>
    <row r="60935" spans="3:3" customFormat="1" ht="21.95" customHeight="1" x14ac:dyDescent="0.15"/>
    <row r="60936" spans="3:3" customFormat="1" ht="21.95" customHeight="1" x14ac:dyDescent="0.15"/>
    <row r="60937" spans="3:3" customFormat="1" ht="21.95" customHeight="1" x14ac:dyDescent="0.15"/>
    <row r="60938" spans="3:3" customFormat="1" ht="21.95" customHeight="1" x14ac:dyDescent="0.15"/>
    <row r="60939" spans="3:3" customFormat="1" ht="21.95" customHeight="1" x14ac:dyDescent="0.15"/>
    <row r="60940" spans="3:3" s="76" customFormat="1" ht="21.95" customHeight="1" x14ac:dyDescent="0.15"/>
    <row r="60941" spans="3:3" s="76" customFormat="1" ht="21.95" customHeight="1" x14ac:dyDescent="0.15"/>
    <row r="60942" spans="3:3" s="76" customFormat="1" ht="21.95" customHeight="1" x14ac:dyDescent="0.15"/>
    <row r="60943" spans="3:3" s="76" customFormat="1" ht="21.95" customHeight="1" x14ac:dyDescent="0.15"/>
    <row r="60944" spans="3:3" customFormat="1" ht="21.95" customHeight="1" x14ac:dyDescent="0.15"/>
    <row r="60945" customFormat="1" ht="21.95" customHeight="1" x14ac:dyDescent="0.15"/>
    <row r="60946" customFormat="1" ht="21.95" customHeight="1" x14ac:dyDescent="0.15"/>
    <row r="60947" customFormat="1" ht="21.95" customHeight="1" x14ac:dyDescent="0.15"/>
    <row r="60948" customFormat="1" ht="21.95" customHeight="1" x14ac:dyDescent="0.15"/>
    <row r="60949" customFormat="1" ht="21.95" customHeight="1" x14ac:dyDescent="0.15"/>
    <row r="60950" customFormat="1" ht="21.95" customHeight="1" x14ac:dyDescent="0.15"/>
    <row r="60951" customFormat="1" ht="21.95" customHeight="1" x14ac:dyDescent="0.15"/>
    <row r="60952" customFormat="1" ht="21.95" customHeight="1" x14ac:dyDescent="0.15"/>
    <row r="60953" customFormat="1" ht="21.95" customHeight="1" x14ac:dyDescent="0.15"/>
    <row r="60954" customFormat="1" ht="21.95" customHeight="1" x14ac:dyDescent="0.15"/>
    <row r="60955" customFormat="1" ht="32.1" customHeight="1" x14ac:dyDescent="0.15"/>
    <row r="60956" customFormat="1" ht="32.1" customHeight="1" x14ac:dyDescent="0.15"/>
    <row r="60957" customFormat="1" ht="32.1" customHeight="1" x14ac:dyDescent="0.15"/>
    <row r="60958" customFormat="1" ht="32.1" customHeight="1" x14ac:dyDescent="0.15"/>
    <row r="60959" customFormat="1" ht="32.1" customHeight="1" x14ac:dyDescent="0.15"/>
    <row r="60960" customFormat="1" ht="32.1" customHeight="1" x14ac:dyDescent="0.15"/>
    <row r="60961" s="76" customFormat="1" ht="32.1" customHeight="1" x14ac:dyDescent="0.15"/>
    <row r="60962" s="76" customFormat="1" ht="32.1" customHeight="1" x14ac:dyDescent="0.15"/>
    <row r="60963" s="76" customFormat="1" ht="32.1" customHeight="1" x14ac:dyDescent="0.15"/>
    <row r="60964" s="76" customFormat="1" ht="32.1" customHeight="1" x14ac:dyDescent="0.15"/>
    <row r="60965" s="76" customFormat="1" ht="21.95" customHeight="1" x14ac:dyDescent="0.15"/>
    <row r="60966" s="76" customFormat="1" ht="54" customHeight="1" x14ac:dyDescent="0.15"/>
    <row r="60967" s="76" customFormat="1" ht="21.95" customHeight="1" x14ac:dyDescent="0.15"/>
    <row r="60968" s="76" customFormat="1" ht="21.95" customHeight="1" x14ac:dyDescent="0.15"/>
    <row r="60969" s="76" customFormat="1" ht="21.95" customHeight="1" x14ac:dyDescent="0.15"/>
    <row r="60970" s="76" customFormat="1" ht="21.95" customHeight="1" x14ac:dyDescent="0.15"/>
    <row r="60971" s="76" customFormat="1" ht="21.95" customHeight="1" x14ac:dyDescent="0.15"/>
    <row r="60972" s="76" customFormat="1" ht="21.95" customHeight="1" x14ac:dyDescent="0.15"/>
    <row r="60973" s="76" customFormat="1" ht="21.95" customHeight="1" x14ac:dyDescent="0.15"/>
    <row r="60974" s="76" customFormat="1" ht="21.95" customHeight="1" x14ac:dyDescent="0.15"/>
    <row r="60975" s="76" customFormat="1" ht="21.95" customHeight="1" x14ac:dyDescent="0.15"/>
    <row r="60976" s="76" customFormat="1" ht="21.95" customHeight="1" x14ac:dyDescent="0.15"/>
    <row r="60977" s="76" customFormat="1" ht="21.95" customHeight="1" x14ac:dyDescent="0.15"/>
    <row r="60978" s="76" customFormat="1" ht="21.95" customHeight="1" x14ac:dyDescent="0.15"/>
    <row r="60979" s="76" customFormat="1" ht="21.95" customHeight="1" x14ac:dyDescent="0.15"/>
    <row r="60980" s="76" customFormat="1" ht="21.95" customHeight="1" x14ac:dyDescent="0.15"/>
    <row r="60981" s="76" customFormat="1" ht="21.95" customHeight="1" x14ac:dyDescent="0.15"/>
    <row r="60982" s="76" customFormat="1" ht="21.95" customHeight="1" x14ac:dyDescent="0.15"/>
    <row r="60983" s="76" customFormat="1" ht="21.95" customHeight="1" x14ac:dyDescent="0.15"/>
    <row r="60984" s="76" customFormat="1" ht="21.95" customHeight="1" x14ac:dyDescent="0.15"/>
    <row r="60985" s="76" customFormat="1" ht="21.95" customHeight="1" x14ac:dyDescent="0.15"/>
    <row r="60986" s="76" customFormat="1" ht="21.95" customHeight="1" x14ac:dyDescent="0.15"/>
    <row r="60987" s="76" customFormat="1" ht="21.95" customHeight="1" x14ac:dyDescent="0.15"/>
    <row r="60988" s="76" customFormat="1" ht="21.95" customHeight="1" x14ac:dyDescent="0.15"/>
    <row r="60989" s="76" customFormat="1" ht="21.95" customHeight="1" x14ac:dyDescent="0.15"/>
    <row r="60990" s="76" customFormat="1" ht="21.95" customHeight="1" x14ac:dyDescent="0.15"/>
    <row r="60991" s="76" customFormat="1" ht="21.95" customHeight="1" x14ac:dyDescent="0.15"/>
    <row r="60992" s="76" customFormat="1" ht="21.95" customHeight="1" x14ac:dyDescent="0.15"/>
    <row r="60993" s="76" customFormat="1" ht="21.95" customHeight="1" x14ac:dyDescent="0.15"/>
    <row r="60994" s="76" customFormat="1" ht="21.95" customHeight="1" x14ac:dyDescent="0.15"/>
    <row r="60995" s="76" customFormat="1" ht="21.95" customHeight="1" x14ac:dyDescent="0.15"/>
    <row r="60996" s="76" customFormat="1" ht="21.95" customHeight="1" x14ac:dyDescent="0.15"/>
    <row r="60997" s="76" customFormat="1" ht="21.95" customHeight="1" x14ac:dyDescent="0.15"/>
    <row r="60998" s="76" customFormat="1" ht="21.95" customHeight="1" x14ac:dyDescent="0.15"/>
    <row r="60999" s="76" customFormat="1" ht="21.95" customHeight="1" x14ac:dyDescent="0.15"/>
    <row r="61000" s="76" customFormat="1" ht="21.95" customHeight="1" x14ac:dyDescent="0.15"/>
    <row r="61001" s="76" customFormat="1" ht="21.95" customHeight="1" x14ac:dyDescent="0.15"/>
    <row r="61002" s="76" customFormat="1" ht="21.95" customHeight="1" x14ac:dyDescent="0.15"/>
    <row r="61003" s="76" customFormat="1" ht="21.95" customHeight="1" x14ac:dyDescent="0.15"/>
    <row r="61004" s="76" customFormat="1" ht="21.95" customHeight="1" x14ac:dyDescent="0.15"/>
    <row r="61005" s="76" customFormat="1" ht="21.95" customHeight="1" x14ac:dyDescent="0.15"/>
    <row r="61006" s="76" customFormat="1" ht="21.95" customHeight="1" x14ac:dyDescent="0.15"/>
    <row r="61007" s="76" customFormat="1" ht="21.95" customHeight="1" x14ac:dyDescent="0.15"/>
    <row r="61008" s="76" customFormat="1" ht="21.95" customHeight="1" x14ac:dyDescent="0.15"/>
    <row r="61009" s="76" customFormat="1" ht="21.95" customHeight="1" x14ac:dyDescent="0.15"/>
    <row r="61010" s="76" customFormat="1" ht="21.95" customHeight="1" x14ac:dyDescent="0.15"/>
    <row r="61011" s="76" customFormat="1" ht="21.95" customHeight="1" x14ac:dyDescent="0.15"/>
    <row r="61012" s="76" customFormat="1" ht="21.95" customHeight="1" x14ac:dyDescent="0.15"/>
    <row r="61013" s="76" customFormat="1" ht="21.95" customHeight="1" x14ac:dyDescent="0.15"/>
    <row r="61014" s="76" customFormat="1" ht="21.95" customHeight="1" x14ac:dyDescent="0.15"/>
    <row r="61015" s="76" customFormat="1" ht="21.95" customHeight="1" x14ac:dyDescent="0.15"/>
    <row r="61016" s="76" customFormat="1" ht="21.95" customHeight="1" x14ac:dyDescent="0.15"/>
    <row r="61017" s="76" customFormat="1" ht="35.1" customHeight="1" x14ac:dyDescent="0.15"/>
    <row r="61018" s="76" customFormat="1" ht="21.95" customHeight="1" x14ac:dyDescent="0.15"/>
    <row r="61019" s="76" customFormat="1" ht="21.95" customHeight="1" x14ac:dyDescent="0.15"/>
    <row r="61020" s="76" customFormat="1" ht="21.95" customHeight="1" x14ac:dyDescent="0.15"/>
    <row r="61021" s="76" customFormat="1" ht="21.95" customHeight="1" x14ac:dyDescent="0.15"/>
    <row r="61022" s="76" customFormat="1" ht="21.95" customHeight="1" x14ac:dyDescent="0.15"/>
    <row r="61023" s="76" customFormat="1" ht="21.95" customHeight="1" x14ac:dyDescent="0.15"/>
    <row r="61024" s="76" customFormat="1" ht="21.95" customHeight="1" x14ac:dyDescent="0.15"/>
    <row r="61025" s="76" customFormat="1" ht="21.95" customHeight="1" x14ac:dyDescent="0.15"/>
    <row r="61026" s="76" customFormat="1" ht="21.95" customHeight="1" x14ac:dyDescent="0.15"/>
    <row r="61027" s="76" customFormat="1" ht="21.95" customHeight="1" x14ac:dyDescent="0.15"/>
    <row r="61028" s="76" customFormat="1" ht="21.95" customHeight="1" x14ac:dyDescent="0.15"/>
    <row r="61029" s="76" customFormat="1" ht="21.95" customHeight="1" x14ac:dyDescent="0.15"/>
    <row r="61030" s="76" customFormat="1" ht="21.95" customHeight="1" x14ac:dyDescent="0.15"/>
    <row r="61031" s="76" customFormat="1" ht="21.95" customHeight="1" x14ac:dyDescent="0.15"/>
    <row r="61032" s="76" customFormat="1" ht="21.95" customHeight="1" x14ac:dyDescent="0.15"/>
    <row r="61033" s="76" customFormat="1" ht="21.95" customHeight="1" x14ac:dyDescent="0.15"/>
    <row r="61034" s="76" customFormat="1" ht="21.95" customHeight="1" x14ac:dyDescent="0.15"/>
    <row r="61035" s="76" customFormat="1" ht="21.95" customHeight="1" x14ac:dyDescent="0.15"/>
    <row r="61036" s="76" customFormat="1" ht="21.95" customHeight="1" x14ac:dyDescent="0.15"/>
    <row r="61037" s="76" customFormat="1" ht="21.95" customHeight="1" x14ac:dyDescent="0.15"/>
    <row r="61038" s="76" customFormat="1" ht="21.95" customHeight="1" x14ac:dyDescent="0.15"/>
    <row r="61039" s="76" customFormat="1" ht="21.95" customHeight="1" x14ac:dyDescent="0.15"/>
    <row r="61040" s="76" customFormat="1" ht="21.95" customHeight="1" x14ac:dyDescent="0.15"/>
    <row r="61041" spans="3:3" customFormat="1" ht="21.95" customHeight="1" x14ac:dyDescent="0.15"/>
    <row r="61042" spans="3:3" customFormat="1" ht="21.95" customHeight="1" x14ac:dyDescent="0.15"/>
    <row r="61043" spans="3:3" customFormat="1" ht="21.95" customHeight="1" x14ac:dyDescent="0.15">
      <c r="C61043" s="94"/>
    </row>
    <row r="61044" spans="3:3" customFormat="1" ht="21.95" customHeight="1" x14ac:dyDescent="0.15">
      <c r="C61044" s="94"/>
    </row>
    <row r="61045" spans="3:3" customFormat="1" ht="21.95" customHeight="1" x14ac:dyDescent="0.15"/>
    <row r="61046" spans="3:3" customFormat="1" ht="21.95" customHeight="1" x14ac:dyDescent="0.15"/>
    <row r="61047" spans="3:3" customFormat="1" ht="21.95" customHeight="1" x14ac:dyDescent="0.15"/>
    <row r="61048" spans="3:3" customFormat="1" ht="21.95" customHeight="1" x14ac:dyDescent="0.15"/>
    <row r="61049" spans="3:3" customFormat="1" ht="21.95" customHeight="1" x14ac:dyDescent="0.15"/>
    <row r="61050" spans="3:3" customFormat="1" ht="21.95" customHeight="1" x14ac:dyDescent="0.15"/>
    <row r="61051" spans="3:3" customFormat="1" ht="21.95" customHeight="1" x14ac:dyDescent="0.15"/>
    <row r="61052" spans="3:3" s="76" customFormat="1" ht="21.95" customHeight="1" x14ac:dyDescent="0.15"/>
    <row r="61053" spans="3:3" s="76" customFormat="1" ht="21.95" customHeight="1" x14ac:dyDescent="0.15"/>
    <row r="61054" spans="3:3" s="76" customFormat="1" ht="21.95" customHeight="1" x14ac:dyDescent="0.15"/>
    <row r="61055" spans="3:3" s="76" customFormat="1" ht="21.95" customHeight="1" x14ac:dyDescent="0.15"/>
    <row r="61056" spans="3:3" customFormat="1" ht="21.95" customHeight="1" x14ac:dyDescent="0.15"/>
    <row r="61057" customFormat="1" ht="21.95" customHeight="1" x14ac:dyDescent="0.15"/>
    <row r="61058" customFormat="1" ht="21.95" customHeight="1" x14ac:dyDescent="0.15"/>
    <row r="61059" customFormat="1" ht="21.95" customHeight="1" x14ac:dyDescent="0.15"/>
    <row r="61060" customFormat="1" ht="21.95" customHeight="1" x14ac:dyDescent="0.15"/>
    <row r="61061" customFormat="1" ht="21.95" customHeight="1" x14ac:dyDescent="0.15"/>
    <row r="61062" customFormat="1" ht="21.95" customHeight="1" x14ac:dyDescent="0.15"/>
    <row r="61063" customFormat="1" ht="21.95" customHeight="1" x14ac:dyDescent="0.15"/>
    <row r="61064" customFormat="1" ht="21.95" customHeight="1" x14ac:dyDescent="0.15"/>
    <row r="61065" customFormat="1" ht="21.95" customHeight="1" x14ac:dyDescent="0.15"/>
    <row r="61066" customFormat="1" ht="21.95" customHeight="1" x14ac:dyDescent="0.15"/>
    <row r="61067" customFormat="1" ht="32.1" customHeight="1" x14ac:dyDescent="0.15"/>
    <row r="61068" customFormat="1" ht="32.1" customHeight="1" x14ac:dyDescent="0.15"/>
    <row r="61069" customFormat="1" ht="32.1" customHeight="1" x14ac:dyDescent="0.15"/>
    <row r="61070" customFormat="1" ht="32.1" customHeight="1" x14ac:dyDescent="0.15"/>
    <row r="61071" customFormat="1" ht="32.1" customHeight="1" x14ac:dyDescent="0.15"/>
    <row r="61072" customFormat="1" ht="32.1" customHeight="1" x14ac:dyDescent="0.15"/>
    <row r="61073" s="76" customFormat="1" ht="32.1" customHeight="1" x14ac:dyDescent="0.15"/>
    <row r="61074" s="76" customFormat="1" ht="32.1" customHeight="1" x14ac:dyDescent="0.15"/>
    <row r="61075" s="76" customFormat="1" ht="32.1" customHeight="1" x14ac:dyDescent="0.15"/>
    <row r="61076" s="76" customFormat="1" ht="32.1" customHeight="1" x14ac:dyDescent="0.15"/>
    <row r="61077" s="76" customFormat="1" ht="21.95" customHeight="1" x14ac:dyDescent="0.15"/>
    <row r="61078" s="76" customFormat="1" ht="54" customHeight="1" x14ac:dyDescent="0.15"/>
    <row r="61079" s="76" customFormat="1" ht="21.95" customHeight="1" x14ac:dyDescent="0.15"/>
    <row r="61080" s="76" customFormat="1" ht="21.95" customHeight="1" x14ac:dyDescent="0.15"/>
    <row r="61081" s="76" customFormat="1" ht="21.95" customHeight="1" x14ac:dyDescent="0.15"/>
    <row r="61082" s="76" customFormat="1" ht="21.95" customHeight="1" x14ac:dyDescent="0.15"/>
    <row r="61083" s="76" customFormat="1" ht="21.95" customHeight="1" x14ac:dyDescent="0.15"/>
    <row r="61084" s="76" customFormat="1" ht="21.95" customHeight="1" x14ac:dyDescent="0.15"/>
    <row r="61085" s="76" customFormat="1" ht="21.95" customHeight="1" x14ac:dyDescent="0.15"/>
    <row r="61086" s="76" customFormat="1" ht="21.95" customHeight="1" x14ac:dyDescent="0.15"/>
    <row r="61087" s="76" customFormat="1" ht="21.95" customHeight="1" x14ac:dyDescent="0.15"/>
    <row r="61088" s="76" customFormat="1" ht="21.95" customHeight="1" x14ac:dyDescent="0.15"/>
    <row r="61089" s="76" customFormat="1" ht="21.95" customHeight="1" x14ac:dyDescent="0.15"/>
    <row r="61090" s="76" customFormat="1" ht="21.95" customHeight="1" x14ac:dyDescent="0.15"/>
    <row r="61091" s="76" customFormat="1" ht="21.95" customHeight="1" x14ac:dyDescent="0.15"/>
    <row r="61092" s="76" customFormat="1" ht="21.95" customHeight="1" x14ac:dyDescent="0.15"/>
    <row r="61093" s="76" customFormat="1" ht="21.95" customHeight="1" x14ac:dyDescent="0.15"/>
    <row r="61094" s="76" customFormat="1" ht="21.95" customHeight="1" x14ac:dyDescent="0.15"/>
    <row r="61095" s="76" customFormat="1" ht="21.95" customHeight="1" x14ac:dyDescent="0.15"/>
    <row r="61096" s="76" customFormat="1" ht="21.95" customHeight="1" x14ac:dyDescent="0.15"/>
    <row r="61097" s="76" customFormat="1" ht="21.95" customHeight="1" x14ac:dyDescent="0.15"/>
    <row r="61098" s="76" customFormat="1" ht="21.95" customHeight="1" x14ac:dyDescent="0.15"/>
    <row r="61099" s="76" customFormat="1" ht="21.95" customHeight="1" x14ac:dyDescent="0.15"/>
    <row r="61100" s="76" customFormat="1" ht="21.95" customHeight="1" x14ac:dyDescent="0.15"/>
    <row r="61101" s="76" customFormat="1" ht="21.95" customHeight="1" x14ac:dyDescent="0.15"/>
    <row r="61102" s="76" customFormat="1" ht="21.95" customHeight="1" x14ac:dyDescent="0.15"/>
    <row r="61103" s="76" customFormat="1" ht="21.95" customHeight="1" x14ac:dyDescent="0.15"/>
    <row r="61104" s="76" customFormat="1" ht="21.95" customHeight="1" x14ac:dyDescent="0.15"/>
    <row r="61105" s="76" customFormat="1" ht="21.95" customHeight="1" x14ac:dyDescent="0.15"/>
    <row r="61106" s="76" customFormat="1" ht="21.95" customHeight="1" x14ac:dyDescent="0.15"/>
    <row r="61107" s="76" customFormat="1" ht="21.95" customHeight="1" x14ac:dyDescent="0.15"/>
    <row r="61108" s="76" customFormat="1" ht="21.95" customHeight="1" x14ac:dyDescent="0.15"/>
    <row r="61109" s="76" customFormat="1" ht="21.95" customHeight="1" x14ac:dyDescent="0.15"/>
    <row r="61110" s="76" customFormat="1" ht="21.95" customHeight="1" x14ac:dyDescent="0.15"/>
    <row r="61111" s="76" customFormat="1" ht="21.95" customHeight="1" x14ac:dyDescent="0.15"/>
    <row r="61112" s="76" customFormat="1" ht="21.95" customHeight="1" x14ac:dyDescent="0.15"/>
    <row r="61113" s="76" customFormat="1" ht="21.95" customHeight="1" x14ac:dyDescent="0.15"/>
    <row r="61114" s="76" customFormat="1" ht="21.95" customHeight="1" x14ac:dyDescent="0.15"/>
    <row r="61115" s="76" customFormat="1" ht="21.95" customHeight="1" x14ac:dyDescent="0.15"/>
    <row r="61116" s="76" customFormat="1" ht="21.95" customHeight="1" x14ac:dyDescent="0.15"/>
    <row r="61117" s="76" customFormat="1" ht="21.95" customHeight="1" x14ac:dyDescent="0.15"/>
    <row r="61118" s="76" customFormat="1" ht="21.95" customHeight="1" x14ac:dyDescent="0.15"/>
    <row r="61119" s="76" customFormat="1" ht="21.95" customHeight="1" x14ac:dyDescent="0.15"/>
    <row r="61120" s="76" customFormat="1" ht="21.95" customHeight="1" x14ac:dyDescent="0.15"/>
    <row r="61121" s="76" customFormat="1" ht="21.95" customHeight="1" x14ac:dyDescent="0.15"/>
    <row r="61122" s="76" customFormat="1" ht="21.95" customHeight="1" x14ac:dyDescent="0.15"/>
    <row r="61123" s="76" customFormat="1" ht="21.95" customHeight="1" x14ac:dyDescent="0.15"/>
    <row r="61124" s="76" customFormat="1" ht="21.95" customHeight="1" x14ac:dyDescent="0.15"/>
    <row r="61125" s="76" customFormat="1" ht="21.95" customHeight="1" x14ac:dyDescent="0.15"/>
    <row r="61126" s="76" customFormat="1" ht="21.95" customHeight="1" x14ac:dyDescent="0.15"/>
    <row r="61127" s="76" customFormat="1" ht="21.95" customHeight="1" x14ac:dyDescent="0.15"/>
    <row r="61128" s="76" customFormat="1" ht="21.95" customHeight="1" x14ac:dyDescent="0.15"/>
    <row r="61129" s="76" customFormat="1" ht="35.1" customHeight="1" x14ac:dyDescent="0.15"/>
    <row r="61130" s="76" customFormat="1" ht="21.95" customHeight="1" x14ac:dyDescent="0.15"/>
    <row r="61131" s="76" customFormat="1" ht="21.95" customHeight="1" x14ac:dyDescent="0.15"/>
    <row r="61132" s="76" customFormat="1" ht="21.95" customHeight="1" x14ac:dyDescent="0.15"/>
    <row r="61133" s="76" customFormat="1" ht="21.95" customHeight="1" x14ac:dyDescent="0.15"/>
    <row r="61134" s="76" customFormat="1" ht="21.95" customHeight="1" x14ac:dyDescent="0.15"/>
    <row r="61135" s="76" customFormat="1" ht="21.95" customHeight="1" x14ac:dyDescent="0.15"/>
    <row r="61136" s="76" customFormat="1" ht="21.95" customHeight="1" x14ac:dyDescent="0.15"/>
    <row r="61137" s="76" customFormat="1" ht="21.95" customHeight="1" x14ac:dyDescent="0.15"/>
    <row r="61138" s="76" customFormat="1" ht="21.95" customHeight="1" x14ac:dyDescent="0.15"/>
    <row r="61139" s="76" customFormat="1" ht="21.95" customHeight="1" x14ac:dyDescent="0.15"/>
    <row r="61140" s="76" customFormat="1" ht="21.95" customHeight="1" x14ac:dyDescent="0.15"/>
    <row r="61141" s="76" customFormat="1" ht="21.95" customHeight="1" x14ac:dyDescent="0.15"/>
    <row r="61142" s="76" customFormat="1" ht="21.95" customHeight="1" x14ac:dyDescent="0.15"/>
    <row r="61143" s="76" customFormat="1" ht="21.95" customHeight="1" x14ac:dyDescent="0.15"/>
    <row r="61144" s="76" customFormat="1" ht="21.95" customHeight="1" x14ac:dyDescent="0.15"/>
    <row r="61145" s="76" customFormat="1" ht="21.95" customHeight="1" x14ac:dyDescent="0.15"/>
    <row r="61146" s="76" customFormat="1" ht="21.95" customHeight="1" x14ac:dyDescent="0.15"/>
    <row r="61147" s="76" customFormat="1" ht="21.95" customHeight="1" x14ac:dyDescent="0.15"/>
    <row r="61148" s="76" customFormat="1" ht="21.95" customHeight="1" x14ac:dyDescent="0.15"/>
    <row r="61149" s="76" customFormat="1" ht="21.95" customHeight="1" x14ac:dyDescent="0.15"/>
    <row r="61150" s="76" customFormat="1" ht="21.95" customHeight="1" x14ac:dyDescent="0.15"/>
    <row r="61151" s="76" customFormat="1" ht="21.95" customHeight="1" x14ac:dyDescent="0.15"/>
    <row r="61152" s="76" customFormat="1" ht="21.95" customHeight="1" x14ac:dyDescent="0.15"/>
    <row r="61153" spans="3:3" customFormat="1" ht="21.95" customHeight="1" x14ac:dyDescent="0.15"/>
    <row r="61154" spans="3:3" customFormat="1" ht="21.95" customHeight="1" x14ac:dyDescent="0.15"/>
    <row r="61155" spans="3:3" customFormat="1" ht="21.95" customHeight="1" x14ac:dyDescent="0.15">
      <c r="C61155" s="94"/>
    </row>
    <row r="61156" spans="3:3" customFormat="1" ht="21.95" customHeight="1" x14ac:dyDescent="0.15">
      <c r="C61156" s="94"/>
    </row>
    <row r="61157" spans="3:3" customFormat="1" ht="21.95" customHeight="1" x14ac:dyDescent="0.15"/>
    <row r="61158" spans="3:3" customFormat="1" ht="21.95" customHeight="1" x14ac:dyDescent="0.15"/>
    <row r="61159" spans="3:3" customFormat="1" ht="21.95" customHeight="1" x14ac:dyDescent="0.15"/>
    <row r="61160" spans="3:3" customFormat="1" ht="21.95" customHeight="1" x14ac:dyDescent="0.15"/>
    <row r="61161" spans="3:3" customFormat="1" ht="21.95" customHeight="1" x14ac:dyDescent="0.15"/>
    <row r="61162" spans="3:3" customFormat="1" ht="21.95" customHeight="1" x14ac:dyDescent="0.15"/>
    <row r="61163" spans="3:3" customFormat="1" ht="21.95" customHeight="1" x14ac:dyDescent="0.15"/>
    <row r="61164" spans="3:3" s="76" customFormat="1" ht="21.95" customHeight="1" x14ac:dyDescent="0.15"/>
    <row r="61165" spans="3:3" s="76" customFormat="1" ht="21.95" customHeight="1" x14ac:dyDescent="0.15"/>
    <row r="61166" spans="3:3" s="76" customFormat="1" ht="21.95" customHeight="1" x14ac:dyDescent="0.15"/>
    <row r="61167" spans="3:3" s="76" customFormat="1" ht="21.95" customHeight="1" x14ac:dyDescent="0.15"/>
    <row r="61168" spans="3:3" customFormat="1" ht="21.95" customHeight="1" x14ac:dyDescent="0.15"/>
    <row r="61169" customFormat="1" ht="21.95" customHeight="1" x14ac:dyDescent="0.15"/>
    <row r="61170" customFormat="1" ht="21.95" customHeight="1" x14ac:dyDescent="0.15"/>
    <row r="61171" customFormat="1" ht="21.95" customHeight="1" x14ac:dyDescent="0.15"/>
    <row r="61172" customFormat="1" ht="21.95" customHeight="1" x14ac:dyDescent="0.15"/>
    <row r="61173" customFormat="1" ht="21.95" customHeight="1" x14ac:dyDescent="0.15"/>
    <row r="61174" customFormat="1" ht="21.95" customHeight="1" x14ac:dyDescent="0.15"/>
    <row r="61175" customFormat="1" ht="21.95" customHeight="1" x14ac:dyDescent="0.15"/>
    <row r="61176" customFormat="1" ht="21.95" customHeight="1" x14ac:dyDescent="0.15"/>
    <row r="61177" customFormat="1" ht="21.95" customHeight="1" x14ac:dyDescent="0.15"/>
    <row r="61178" customFormat="1" ht="21.95" customHeight="1" x14ac:dyDescent="0.15"/>
    <row r="61179" customFormat="1" ht="32.1" customHeight="1" x14ac:dyDescent="0.15"/>
    <row r="61180" customFormat="1" ht="32.1" customHeight="1" x14ac:dyDescent="0.15"/>
    <row r="61181" customFormat="1" ht="32.1" customHeight="1" x14ac:dyDescent="0.15"/>
    <row r="61182" customFormat="1" ht="32.1" customHeight="1" x14ac:dyDescent="0.15"/>
    <row r="61183" customFormat="1" ht="32.1" customHeight="1" x14ac:dyDescent="0.15"/>
    <row r="61184" customFormat="1" ht="32.1" customHeight="1" x14ac:dyDescent="0.15"/>
    <row r="61185" s="76" customFormat="1" ht="32.1" customHeight="1" x14ac:dyDescent="0.15"/>
    <row r="61186" s="76" customFormat="1" ht="32.1" customHeight="1" x14ac:dyDescent="0.15"/>
    <row r="61187" s="76" customFormat="1" ht="32.1" customHeight="1" x14ac:dyDescent="0.15"/>
    <row r="61188" s="76" customFormat="1" ht="32.1" customHeight="1" x14ac:dyDescent="0.15"/>
    <row r="61189" s="76" customFormat="1" ht="21.95" customHeight="1" x14ac:dyDescent="0.15"/>
    <row r="61190" s="76" customFormat="1" ht="54" customHeight="1" x14ac:dyDescent="0.15"/>
    <row r="61191" s="76" customFormat="1" ht="21.95" customHeight="1" x14ac:dyDescent="0.15"/>
    <row r="61192" s="76" customFormat="1" ht="21.95" customHeight="1" x14ac:dyDescent="0.15"/>
    <row r="61193" s="76" customFormat="1" ht="21.95" customHeight="1" x14ac:dyDescent="0.15"/>
    <row r="61194" s="76" customFormat="1" ht="21.95" customHeight="1" x14ac:dyDescent="0.15"/>
    <row r="61195" s="76" customFormat="1" ht="21.95" customHeight="1" x14ac:dyDescent="0.15"/>
    <row r="61196" s="76" customFormat="1" ht="21.95" customHeight="1" x14ac:dyDescent="0.15"/>
    <row r="61197" s="76" customFormat="1" ht="21.95" customHeight="1" x14ac:dyDescent="0.15"/>
    <row r="61198" s="76" customFormat="1" ht="21.95" customHeight="1" x14ac:dyDescent="0.15"/>
    <row r="61199" s="76" customFormat="1" ht="21.95" customHeight="1" x14ac:dyDescent="0.15"/>
    <row r="61200" s="76" customFormat="1" ht="21.95" customHeight="1" x14ac:dyDescent="0.15"/>
    <row r="61201" s="76" customFormat="1" ht="21.95" customHeight="1" x14ac:dyDescent="0.15"/>
    <row r="61202" s="76" customFormat="1" ht="21.95" customHeight="1" x14ac:dyDescent="0.15"/>
    <row r="61203" s="76" customFormat="1" ht="21.95" customHeight="1" x14ac:dyDescent="0.15"/>
    <row r="61204" s="76" customFormat="1" ht="21.95" customHeight="1" x14ac:dyDescent="0.15"/>
    <row r="61205" s="76" customFormat="1" ht="21.95" customHeight="1" x14ac:dyDescent="0.15"/>
    <row r="61206" s="76" customFormat="1" ht="21.95" customHeight="1" x14ac:dyDescent="0.15"/>
    <row r="61207" s="76" customFormat="1" ht="21.95" customHeight="1" x14ac:dyDescent="0.15"/>
    <row r="61208" s="76" customFormat="1" ht="21.95" customHeight="1" x14ac:dyDescent="0.15"/>
    <row r="61209" s="76" customFormat="1" ht="21.95" customHeight="1" x14ac:dyDescent="0.15"/>
    <row r="61210" s="76" customFormat="1" ht="21.95" customHeight="1" x14ac:dyDescent="0.15"/>
    <row r="61211" s="76" customFormat="1" ht="21.95" customHeight="1" x14ac:dyDescent="0.15"/>
    <row r="61212" s="76" customFormat="1" ht="21.95" customHeight="1" x14ac:dyDescent="0.15"/>
    <row r="61213" s="76" customFormat="1" ht="21.95" customHeight="1" x14ac:dyDescent="0.15"/>
    <row r="61214" s="76" customFormat="1" ht="21.95" customHeight="1" x14ac:dyDescent="0.15"/>
    <row r="61215" s="76" customFormat="1" ht="21.95" customHeight="1" x14ac:dyDescent="0.15"/>
    <row r="61216" s="76" customFormat="1" ht="21.95" customHeight="1" x14ac:dyDescent="0.15"/>
    <row r="61217" s="76" customFormat="1" ht="21.95" customHeight="1" x14ac:dyDescent="0.15"/>
    <row r="61218" s="76" customFormat="1" ht="21.95" customHeight="1" x14ac:dyDescent="0.15"/>
    <row r="61219" s="76" customFormat="1" ht="21.95" customHeight="1" x14ac:dyDescent="0.15"/>
    <row r="61220" s="76" customFormat="1" ht="21.95" customHeight="1" x14ac:dyDescent="0.15"/>
    <row r="61221" s="76" customFormat="1" ht="21.95" customHeight="1" x14ac:dyDescent="0.15"/>
    <row r="61222" s="76" customFormat="1" ht="21.95" customHeight="1" x14ac:dyDescent="0.15"/>
    <row r="61223" s="76" customFormat="1" ht="21.95" customHeight="1" x14ac:dyDescent="0.15"/>
    <row r="61224" s="76" customFormat="1" ht="21.95" customHeight="1" x14ac:dyDescent="0.15"/>
    <row r="61225" s="76" customFormat="1" ht="21.95" customHeight="1" x14ac:dyDescent="0.15"/>
    <row r="61226" s="76" customFormat="1" ht="21.95" customHeight="1" x14ac:dyDescent="0.15"/>
    <row r="61227" s="76" customFormat="1" ht="21.95" customHeight="1" x14ac:dyDescent="0.15"/>
    <row r="61228" s="76" customFormat="1" ht="21.95" customHeight="1" x14ac:dyDescent="0.15"/>
    <row r="61229" s="76" customFormat="1" ht="21.95" customHeight="1" x14ac:dyDescent="0.15"/>
    <row r="61230" s="76" customFormat="1" ht="21.95" customHeight="1" x14ac:dyDescent="0.15"/>
    <row r="61231" s="76" customFormat="1" ht="21.95" customHeight="1" x14ac:dyDescent="0.15"/>
    <row r="61232" s="76" customFormat="1" ht="21.95" customHeight="1" x14ac:dyDescent="0.15"/>
    <row r="61233" s="76" customFormat="1" ht="21.95" customHeight="1" x14ac:dyDescent="0.15"/>
    <row r="61234" s="76" customFormat="1" ht="21.95" customHeight="1" x14ac:dyDescent="0.15"/>
    <row r="61235" s="76" customFormat="1" ht="21.95" customHeight="1" x14ac:dyDescent="0.15"/>
    <row r="61236" s="76" customFormat="1" ht="21.95" customHeight="1" x14ac:dyDescent="0.15"/>
    <row r="61237" s="76" customFormat="1" ht="21.95" customHeight="1" x14ac:dyDescent="0.15"/>
    <row r="61238" s="76" customFormat="1" ht="21.95" customHeight="1" x14ac:dyDescent="0.15"/>
    <row r="61239" s="76" customFormat="1" ht="21.95" customHeight="1" x14ac:dyDescent="0.15"/>
    <row r="61240" s="76" customFormat="1" ht="21.95" customHeight="1" x14ac:dyDescent="0.15"/>
    <row r="61241" s="76" customFormat="1" ht="35.1" customHeight="1" x14ac:dyDescent="0.15"/>
    <row r="61242" s="76" customFormat="1" ht="21.95" customHeight="1" x14ac:dyDescent="0.15"/>
    <row r="61243" s="76" customFormat="1" ht="21.95" customHeight="1" x14ac:dyDescent="0.15"/>
    <row r="61244" s="76" customFormat="1" ht="21.95" customHeight="1" x14ac:dyDescent="0.15"/>
    <row r="61245" s="76" customFormat="1" ht="21.95" customHeight="1" x14ac:dyDescent="0.15"/>
    <row r="61246" s="76" customFormat="1" ht="21.95" customHeight="1" x14ac:dyDescent="0.15"/>
    <row r="61247" s="76" customFormat="1" ht="21.95" customHeight="1" x14ac:dyDescent="0.15"/>
    <row r="61248" s="76" customFormat="1" ht="21.95" customHeight="1" x14ac:dyDescent="0.15"/>
    <row r="61249" s="76" customFormat="1" ht="21.95" customHeight="1" x14ac:dyDescent="0.15"/>
    <row r="61250" s="76" customFormat="1" ht="21.95" customHeight="1" x14ac:dyDescent="0.15"/>
    <row r="61251" s="76" customFormat="1" ht="21.95" customHeight="1" x14ac:dyDescent="0.15"/>
    <row r="61252" s="76" customFormat="1" ht="21.95" customHeight="1" x14ac:dyDescent="0.15"/>
    <row r="61253" s="76" customFormat="1" ht="21.95" customHeight="1" x14ac:dyDescent="0.15"/>
    <row r="61254" s="76" customFormat="1" ht="21.95" customHeight="1" x14ac:dyDescent="0.15"/>
    <row r="61255" s="76" customFormat="1" ht="21.95" customHeight="1" x14ac:dyDescent="0.15"/>
    <row r="61256" s="76" customFormat="1" ht="21.95" customHeight="1" x14ac:dyDescent="0.15"/>
    <row r="61257" s="76" customFormat="1" ht="21.95" customHeight="1" x14ac:dyDescent="0.15"/>
    <row r="61258" s="76" customFormat="1" ht="21.95" customHeight="1" x14ac:dyDescent="0.15"/>
    <row r="61259" s="76" customFormat="1" ht="21.95" customHeight="1" x14ac:dyDescent="0.15"/>
    <row r="61260" s="76" customFormat="1" ht="21.95" customHeight="1" x14ac:dyDescent="0.15"/>
    <row r="61261" s="76" customFormat="1" ht="21.95" customHeight="1" x14ac:dyDescent="0.15"/>
    <row r="61262" s="76" customFormat="1" ht="21.95" customHeight="1" x14ac:dyDescent="0.15"/>
    <row r="61263" s="76" customFormat="1" ht="21.95" customHeight="1" x14ac:dyDescent="0.15"/>
    <row r="61264" s="76" customFormat="1" ht="21.95" customHeight="1" x14ac:dyDescent="0.15"/>
    <row r="61265" spans="3:3" customFormat="1" ht="21.95" customHeight="1" x14ac:dyDescent="0.15"/>
    <row r="61266" spans="3:3" customFormat="1" ht="21.95" customHeight="1" x14ac:dyDescent="0.15"/>
    <row r="61267" spans="3:3" customFormat="1" ht="21.95" customHeight="1" x14ac:dyDescent="0.15">
      <c r="C61267" s="94"/>
    </row>
    <row r="61268" spans="3:3" customFormat="1" ht="21.95" customHeight="1" x14ac:dyDescent="0.15">
      <c r="C61268" s="94"/>
    </row>
    <row r="61269" spans="3:3" customFormat="1" ht="21.95" customHeight="1" x14ac:dyDescent="0.15"/>
    <row r="61270" spans="3:3" customFormat="1" ht="21.95" customHeight="1" x14ac:dyDescent="0.15"/>
    <row r="61271" spans="3:3" customFormat="1" ht="21.95" customHeight="1" x14ac:dyDescent="0.15"/>
    <row r="61272" spans="3:3" customFormat="1" ht="21.95" customHeight="1" x14ac:dyDescent="0.15"/>
    <row r="61273" spans="3:3" customFormat="1" ht="21.95" customHeight="1" x14ac:dyDescent="0.15"/>
    <row r="61274" spans="3:3" customFormat="1" ht="21.95" customHeight="1" x14ac:dyDescent="0.15"/>
    <row r="61275" spans="3:3" customFormat="1" ht="21.95" customHeight="1" x14ac:dyDescent="0.15"/>
    <row r="61276" spans="3:3" s="76" customFormat="1" ht="21.95" customHeight="1" x14ac:dyDescent="0.15"/>
    <row r="61277" spans="3:3" s="76" customFormat="1" ht="21.95" customHeight="1" x14ac:dyDescent="0.15"/>
    <row r="61278" spans="3:3" s="76" customFormat="1" ht="21.95" customHeight="1" x14ac:dyDescent="0.15"/>
    <row r="61279" spans="3:3" s="76" customFormat="1" ht="21.95" customHeight="1" x14ac:dyDescent="0.15"/>
    <row r="61280" spans="3:3" customFormat="1" ht="21.95" customHeight="1" x14ac:dyDescent="0.15"/>
    <row r="61281" customFormat="1" ht="21.95" customHeight="1" x14ac:dyDescent="0.15"/>
    <row r="61282" customFormat="1" ht="21.95" customHeight="1" x14ac:dyDescent="0.15"/>
    <row r="61283" customFormat="1" ht="21.95" customHeight="1" x14ac:dyDescent="0.15"/>
    <row r="61284" customFormat="1" ht="21.95" customHeight="1" x14ac:dyDescent="0.15"/>
    <row r="61285" customFormat="1" ht="21.95" customHeight="1" x14ac:dyDescent="0.15"/>
    <row r="61286" customFormat="1" ht="21.95" customHeight="1" x14ac:dyDescent="0.15"/>
    <row r="61287" customFormat="1" ht="21.95" customHeight="1" x14ac:dyDescent="0.15"/>
    <row r="61288" customFormat="1" ht="21.95" customHeight="1" x14ac:dyDescent="0.15"/>
    <row r="61289" customFormat="1" ht="21.95" customHeight="1" x14ac:dyDescent="0.15"/>
    <row r="61290" customFormat="1" ht="21.95" customHeight="1" x14ac:dyDescent="0.15"/>
    <row r="61291" customFormat="1" ht="32.1" customHeight="1" x14ac:dyDescent="0.15"/>
    <row r="61292" customFormat="1" ht="32.1" customHeight="1" x14ac:dyDescent="0.15"/>
    <row r="61293" customFormat="1" ht="32.1" customHeight="1" x14ac:dyDescent="0.15"/>
    <row r="61294" customFormat="1" ht="32.1" customHeight="1" x14ac:dyDescent="0.15"/>
    <row r="61295" customFormat="1" ht="32.1" customHeight="1" x14ac:dyDescent="0.15"/>
    <row r="61296" customFormat="1" ht="32.1" customHeight="1" x14ac:dyDescent="0.15"/>
    <row r="61297" s="76" customFormat="1" ht="32.1" customHeight="1" x14ac:dyDescent="0.15"/>
    <row r="61298" s="76" customFormat="1" ht="32.1" customHeight="1" x14ac:dyDescent="0.15"/>
    <row r="61299" s="76" customFormat="1" ht="32.1" customHeight="1" x14ac:dyDescent="0.15"/>
    <row r="61300" s="76" customFormat="1" ht="32.1" customHeight="1" x14ac:dyDescent="0.15"/>
    <row r="61301" s="76" customFormat="1" ht="21.95" customHeight="1" x14ac:dyDescent="0.15"/>
    <row r="61302" s="76" customFormat="1" ht="54" customHeight="1" x14ac:dyDescent="0.15"/>
    <row r="61303" s="76" customFormat="1" ht="21.95" customHeight="1" x14ac:dyDescent="0.15"/>
    <row r="61304" s="76" customFormat="1" ht="21.95" customHeight="1" x14ac:dyDescent="0.15"/>
    <row r="61305" s="76" customFormat="1" ht="21.95" customHeight="1" x14ac:dyDescent="0.15"/>
    <row r="61306" s="76" customFormat="1" ht="21.95" customHeight="1" x14ac:dyDescent="0.15"/>
    <row r="61307" s="76" customFormat="1" ht="21.95" customHeight="1" x14ac:dyDescent="0.15"/>
    <row r="61308" s="76" customFormat="1" ht="21.95" customHeight="1" x14ac:dyDescent="0.15"/>
    <row r="61309" s="76" customFormat="1" ht="21.95" customHeight="1" x14ac:dyDescent="0.15"/>
    <row r="61310" s="76" customFormat="1" ht="21.95" customHeight="1" x14ac:dyDescent="0.15"/>
    <row r="61311" s="76" customFormat="1" ht="21.95" customHeight="1" x14ac:dyDescent="0.15"/>
    <row r="61312" s="76" customFormat="1" ht="21.95" customHeight="1" x14ac:dyDescent="0.15"/>
    <row r="61313" s="76" customFormat="1" ht="21.95" customHeight="1" x14ac:dyDescent="0.15"/>
    <row r="61314" s="76" customFormat="1" ht="21.95" customHeight="1" x14ac:dyDescent="0.15"/>
    <row r="61315" s="76" customFormat="1" ht="21.95" customHeight="1" x14ac:dyDescent="0.15"/>
    <row r="61316" s="76" customFormat="1" ht="21.95" customHeight="1" x14ac:dyDescent="0.15"/>
    <row r="61317" s="76" customFormat="1" ht="21.95" customHeight="1" x14ac:dyDescent="0.15"/>
    <row r="61318" s="76" customFormat="1" ht="21.95" customHeight="1" x14ac:dyDescent="0.15"/>
    <row r="61319" s="76" customFormat="1" ht="21.95" customHeight="1" x14ac:dyDescent="0.15"/>
    <row r="61320" s="76" customFormat="1" ht="21.95" customHeight="1" x14ac:dyDescent="0.15"/>
    <row r="61321" s="76" customFormat="1" ht="21.95" customHeight="1" x14ac:dyDescent="0.15"/>
    <row r="61322" s="76" customFormat="1" ht="21.95" customHeight="1" x14ac:dyDescent="0.15"/>
    <row r="61323" s="76" customFormat="1" ht="21.95" customHeight="1" x14ac:dyDescent="0.15"/>
    <row r="61324" s="76" customFormat="1" ht="21.95" customHeight="1" x14ac:dyDescent="0.15"/>
    <row r="61325" s="76" customFormat="1" ht="21.95" customHeight="1" x14ac:dyDescent="0.15"/>
    <row r="61326" s="76" customFormat="1" ht="21.95" customHeight="1" x14ac:dyDescent="0.15"/>
    <row r="61327" s="76" customFormat="1" ht="21.95" customHeight="1" x14ac:dyDescent="0.15"/>
    <row r="61328" s="76" customFormat="1" ht="21.95" customHeight="1" x14ac:dyDescent="0.15"/>
    <row r="61329" s="76" customFormat="1" ht="21.95" customHeight="1" x14ac:dyDescent="0.15"/>
    <row r="61330" s="76" customFormat="1" ht="21.95" customHeight="1" x14ac:dyDescent="0.15"/>
    <row r="61331" s="76" customFormat="1" ht="21.95" customHeight="1" x14ac:dyDescent="0.15"/>
    <row r="61332" s="76" customFormat="1" ht="21.95" customHeight="1" x14ac:dyDescent="0.15"/>
    <row r="61333" s="76" customFormat="1" ht="21.95" customHeight="1" x14ac:dyDescent="0.15"/>
    <row r="61334" s="76" customFormat="1" ht="21.95" customHeight="1" x14ac:dyDescent="0.15"/>
    <row r="61335" s="76" customFormat="1" ht="21.95" customHeight="1" x14ac:dyDescent="0.15"/>
    <row r="61336" s="76" customFormat="1" ht="21.95" customHeight="1" x14ac:dyDescent="0.15"/>
    <row r="61337" s="76" customFormat="1" ht="21.95" customHeight="1" x14ac:dyDescent="0.15"/>
    <row r="61338" s="76" customFormat="1" ht="21.95" customHeight="1" x14ac:dyDescent="0.15"/>
    <row r="61339" s="76" customFormat="1" ht="21.95" customHeight="1" x14ac:dyDescent="0.15"/>
    <row r="61340" s="76" customFormat="1" ht="21.95" customHeight="1" x14ac:dyDescent="0.15"/>
    <row r="61341" s="76" customFormat="1" ht="21.95" customHeight="1" x14ac:dyDescent="0.15"/>
    <row r="61342" s="76" customFormat="1" ht="21.95" customHeight="1" x14ac:dyDescent="0.15"/>
    <row r="61343" s="76" customFormat="1" ht="21.95" customHeight="1" x14ac:dyDescent="0.15"/>
    <row r="61344" s="76" customFormat="1" ht="21.95" customHeight="1" x14ac:dyDescent="0.15"/>
    <row r="61345" s="76" customFormat="1" ht="21.95" customHeight="1" x14ac:dyDescent="0.15"/>
    <row r="61346" s="76" customFormat="1" ht="21.95" customHeight="1" x14ac:dyDescent="0.15"/>
    <row r="61347" s="76" customFormat="1" ht="21.95" customHeight="1" x14ac:dyDescent="0.15"/>
    <row r="61348" s="76" customFormat="1" ht="21.95" customHeight="1" x14ac:dyDescent="0.15"/>
    <row r="61349" s="76" customFormat="1" ht="21.95" customHeight="1" x14ac:dyDescent="0.15"/>
    <row r="61350" s="76" customFormat="1" ht="21.95" customHeight="1" x14ac:dyDescent="0.15"/>
    <row r="61351" s="76" customFormat="1" ht="21.95" customHeight="1" x14ac:dyDescent="0.15"/>
    <row r="61352" s="76" customFormat="1" ht="21.95" customHeight="1" x14ac:dyDescent="0.15"/>
    <row r="61353" s="76" customFormat="1" ht="35.1" customHeight="1" x14ac:dyDescent="0.15"/>
    <row r="61354" s="76" customFormat="1" ht="21.95" customHeight="1" x14ac:dyDescent="0.15"/>
    <row r="61355" s="76" customFormat="1" ht="21.95" customHeight="1" x14ac:dyDescent="0.15"/>
    <row r="61356" s="76" customFormat="1" ht="21.95" customHeight="1" x14ac:dyDescent="0.15"/>
    <row r="61357" s="76" customFormat="1" ht="21.95" customHeight="1" x14ac:dyDescent="0.15"/>
    <row r="61358" s="76" customFormat="1" ht="21.95" customHeight="1" x14ac:dyDescent="0.15"/>
    <row r="61359" s="76" customFormat="1" ht="21.95" customHeight="1" x14ac:dyDescent="0.15"/>
    <row r="61360" s="76" customFormat="1" ht="21.95" customHeight="1" x14ac:dyDescent="0.15"/>
    <row r="61361" s="76" customFormat="1" ht="21.95" customHeight="1" x14ac:dyDescent="0.15"/>
    <row r="61362" s="76" customFormat="1" ht="21.95" customHeight="1" x14ac:dyDescent="0.15"/>
    <row r="61363" s="76" customFormat="1" ht="21.95" customHeight="1" x14ac:dyDescent="0.15"/>
    <row r="61364" s="76" customFormat="1" ht="21.95" customHeight="1" x14ac:dyDescent="0.15"/>
    <row r="61365" s="76" customFormat="1" ht="21.95" customHeight="1" x14ac:dyDescent="0.15"/>
    <row r="61366" s="76" customFormat="1" ht="21.95" customHeight="1" x14ac:dyDescent="0.15"/>
    <row r="61367" s="76" customFormat="1" ht="21.95" customHeight="1" x14ac:dyDescent="0.15"/>
    <row r="61368" s="76" customFormat="1" ht="21.95" customHeight="1" x14ac:dyDescent="0.15"/>
    <row r="61369" s="76" customFormat="1" ht="21.95" customHeight="1" x14ac:dyDescent="0.15"/>
    <row r="61370" s="76" customFormat="1" ht="21.95" customHeight="1" x14ac:dyDescent="0.15"/>
    <row r="61371" s="76" customFormat="1" ht="21.95" customHeight="1" x14ac:dyDescent="0.15"/>
    <row r="61372" s="76" customFormat="1" ht="21.95" customHeight="1" x14ac:dyDescent="0.15"/>
    <row r="61373" s="76" customFormat="1" ht="21.95" customHeight="1" x14ac:dyDescent="0.15"/>
    <row r="61374" s="76" customFormat="1" ht="21.95" customHeight="1" x14ac:dyDescent="0.15"/>
    <row r="61375" s="76" customFormat="1" ht="21.95" customHeight="1" x14ac:dyDescent="0.15"/>
    <row r="61376" s="76" customFormat="1" ht="21.95" customHeight="1" x14ac:dyDescent="0.15"/>
    <row r="61377" spans="3:3" customFormat="1" ht="21.95" customHeight="1" x14ac:dyDescent="0.15"/>
    <row r="61378" spans="3:3" customFormat="1" ht="21.95" customHeight="1" x14ac:dyDescent="0.15"/>
    <row r="61379" spans="3:3" customFormat="1" ht="21.95" customHeight="1" x14ac:dyDescent="0.15">
      <c r="C61379" s="94"/>
    </row>
    <row r="61380" spans="3:3" customFormat="1" ht="21.95" customHeight="1" x14ac:dyDescent="0.15">
      <c r="C61380" s="94"/>
    </row>
    <row r="61381" spans="3:3" customFormat="1" ht="21.95" customHeight="1" x14ac:dyDescent="0.15"/>
    <row r="61382" spans="3:3" customFormat="1" ht="21.95" customHeight="1" x14ac:dyDescent="0.15"/>
    <row r="61383" spans="3:3" customFormat="1" ht="21.95" customHeight="1" x14ac:dyDescent="0.15"/>
    <row r="61384" spans="3:3" customFormat="1" ht="21.95" customHeight="1" x14ac:dyDescent="0.15"/>
    <row r="61385" spans="3:3" customFormat="1" ht="21.95" customHeight="1" x14ac:dyDescent="0.15"/>
    <row r="61386" spans="3:3" customFormat="1" ht="21.95" customHeight="1" x14ac:dyDescent="0.15"/>
    <row r="61387" spans="3:3" customFormat="1" ht="21.95" customHeight="1" x14ac:dyDescent="0.15"/>
    <row r="61388" spans="3:3" s="76" customFormat="1" ht="21.95" customHeight="1" x14ac:dyDescent="0.15"/>
    <row r="61389" spans="3:3" s="76" customFormat="1" ht="21.95" customHeight="1" x14ac:dyDescent="0.15"/>
    <row r="61390" spans="3:3" s="76" customFormat="1" ht="21.95" customHeight="1" x14ac:dyDescent="0.15"/>
    <row r="61391" spans="3:3" s="76" customFormat="1" ht="21.95" customHeight="1" x14ac:dyDescent="0.15"/>
    <row r="61392" spans="3:3" customFormat="1" ht="21.95" customHeight="1" x14ac:dyDescent="0.15"/>
    <row r="61393" customFormat="1" ht="21.95" customHeight="1" x14ac:dyDescent="0.15"/>
    <row r="61394" customFormat="1" ht="21.95" customHeight="1" x14ac:dyDescent="0.15"/>
    <row r="61395" customFormat="1" ht="21.95" customHeight="1" x14ac:dyDescent="0.15"/>
    <row r="61396" customFormat="1" ht="21.95" customHeight="1" x14ac:dyDescent="0.15"/>
    <row r="61397" customFormat="1" ht="21.95" customHeight="1" x14ac:dyDescent="0.15"/>
    <row r="61398" customFormat="1" ht="21.95" customHeight="1" x14ac:dyDescent="0.15"/>
    <row r="61399" customFormat="1" ht="21.95" customHeight="1" x14ac:dyDescent="0.15"/>
    <row r="61400" customFormat="1" ht="21.95" customHeight="1" x14ac:dyDescent="0.15"/>
    <row r="61401" customFormat="1" ht="21.95" customHeight="1" x14ac:dyDescent="0.15"/>
    <row r="61402" customFormat="1" ht="21.95" customHeight="1" x14ac:dyDescent="0.15"/>
    <row r="61403" customFormat="1" ht="32.1" customHeight="1" x14ac:dyDescent="0.15"/>
    <row r="61404" customFormat="1" ht="32.1" customHeight="1" x14ac:dyDescent="0.15"/>
    <row r="61405" customFormat="1" ht="32.1" customHeight="1" x14ac:dyDescent="0.15"/>
    <row r="61406" customFormat="1" ht="32.1" customHeight="1" x14ac:dyDescent="0.15"/>
    <row r="61407" customFormat="1" ht="32.1" customHeight="1" x14ac:dyDescent="0.15"/>
    <row r="61408" customFormat="1" ht="32.1" customHeight="1" x14ac:dyDescent="0.15"/>
    <row r="61409" s="76" customFormat="1" ht="32.1" customHeight="1" x14ac:dyDescent="0.15"/>
    <row r="61410" s="76" customFormat="1" ht="32.1" customHeight="1" x14ac:dyDescent="0.15"/>
    <row r="61411" s="76" customFormat="1" ht="32.1" customHeight="1" x14ac:dyDescent="0.15"/>
    <row r="61412" s="76" customFormat="1" ht="32.1" customHeight="1" x14ac:dyDescent="0.15"/>
    <row r="61413" s="76" customFormat="1" ht="21.95" customHeight="1" x14ac:dyDescent="0.15"/>
    <row r="61414" s="76" customFormat="1" ht="54" customHeight="1" x14ac:dyDescent="0.15"/>
    <row r="61415" s="76" customFormat="1" ht="21.95" customHeight="1" x14ac:dyDescent="0.15"/>
    <row r="61416" s="76" customFormat="1" ht="21.95" customHeight="1" x14ac:dyDescent="0.15"/>
    <row r="61417" s="76" customFormat="1" ht="21.95" customHeight="1" x14ac:dyDescent="0.15"/>
    <row r="61418" s="76" customFormat="1" ht="21.95" customHeight="1" x14ac:dyDescent="0.15"/>
    <row r="61419" s="76" customFormat="1" ht="21.95" customHeight="1" x14ac:dyDescent="0.15"/>
    <row r="61420" s="76" customFormat="1" ht="21.95" customHeight="1" x14ac:dyDescent="0.15"/>
    <row r="61421" s="76" customFormat="1" ht="21.95" customHeight="1" x14ac:dyDescent="0.15"/>
    <row r="61422" s="76" customFormat="1" ht="21.95" customHeight="1" x14ac:dyDescent="0.15"/>
    <row r="61423" s="76" customFormat="1" ht="21.95" customHeight="1" x14ac:dyDescent="0.15"/>
    <row r="61424" s="76" customFormat="1" ht="21.95" customHeight="1" x14ac:dyDescent="0.15"/>
    <row r="61425" s="76" customFormat="1" ht="21.95" customHeight="1" x14ac:dyDescent="0.15"/>
    <row r="61426" s="76" customFormat="1" ht="21.95" customHeight="1" x14ac:dyDescent="0.15"/>
    <row r="61427" s="76" customFormat="1" ht="21.95" customHeight="1" x14ac:dyDescent="0.15"/>
    <row r="61428" s="76" customFormat="1" ht="21.95" customHeight="1" x14ac:dyDescent="0.15"/>
    <row r="61429" s="76" customFormat="1" ht="21.95" customHeight="1" x14ac:dyDescent="0.15"/>
    <row r="61430" s="76" customFormat="1" ht="21.95" customHeight="1" x14ac:dyDescent="0.15"/>
    <row r="61431" s="76" customFormat="1" ht="21.95" customHeight="1" x14ac:dyDescent="0.15"/>
    <row r="61432" s="76" customFormat="1" ht="21.95" customHeight="1" x14ac:dyDescent="0.15"/>
    <row r="61433" s="76" customFormat="1" ht="21.95" customHeight="1" x14ac:dyDescent="0.15"/>
    <row r="61434" s="76" customFormat="1" ht="21.95" customHeight="1" x14ac:dyDescent="0.15"/>
    <row r="61435" s="76" customFormat="1" ht="21.95" customHeight="1" x14ac:dyDescent="0.15"/>
    <row r="61436" s="76" customFormat="1" ht="21.95" customHeight="1" x14ac:dyDescent="0.15"/>
    <row r="61437" s="76" customFormat="1" ht="21.95" customHeight="1" x14ac:dyDescent="0.15"/>
    <row r="61438" s="76" customFormat="1" ht="21.95" customHeight="1" x14ac:dyDescent="0.15"/>
    <row r="61439" s="76" customFormat="1" ht="21.95" customHeight="1" x14ac:dyDescent="0.15"/>
    <row r="61440" s="76" customFormat="1" ht="21.95" customHeight="1" x14ac:dyDescent="0.15"/>
    <row r="61441" s="76" customFormat="1" ht="21.95" customHeight="1" x14ac:dyDescent="0.15"/>
    <row r="61442" s="76" customFormat="1" ht="21.95" customHeight="1" x14ac:dyDescent="0.15"/>
    <row r="61443" s="76" customFormat="1" ht="21.95" customHeight="1" x14ac:dyDescent="0.15"/>
    <row r="61444" s="76" customFormat="1" ht="21.95" customHeight="1" x14ac:dyDescent="0.15"/>
    <row r="61445" s="76" customFormat="1" ht="21.95" customHeight="1" x14ac:dyDescent="0.15"/>
    <row r="61446" s="76" customFormat="1" ht="21.95" customHeight="1" x14ac:dyDescent="0.15"/>
    <row r="61447" s="76" customFormat="1" ht="21.95" customHeight="1" x14ac:dyDescent="0.15"/>
    <row r="61448" s="76" customFormat="1" ht="21.95" customHeight="1" x14ac:dyDescent="0.15"/>
    <row r="61449" s="76" customFormat="1" ht="21.95" customHeight="1" x14ac:dyDescent="0.15"/>
    <row r="61450" s="76" customFormat="1" ht="21.95" customHeight="1" x14ac:dyDescent="0.15"/>
    <row r="61451" s="76" customFormat="1" ht="21.95" customHeight="1" x14ac:dyDescent="0.15"/>
    <row r="61452" s="76" customFormat="1" ht="21.95" customHeight="1" x14ac:dyDescent="0.15"/>
    <row r="61453" s="76" customFormat="1" ht="21.95" customHeight="1" x14ac:dyDescent="0.15"/>
    <row r="61454" s="76" customFormat="1" ht="21.95" customHeight="1" x14ac:dyDescent="0.15"/>
    <row r="61455" s="76" customFormat="1" ht="21.95" customHeight="1" x14ac:dyDescent="0.15"/>
    <row r="61456" s="76" customFormat="1" ht="21.95" customHeight="1" x14ac:dyDescent="0.15"/>
    <row r="61457" s="76" customFormat="1" ht="21.95" customHeight="1" x14ac:dyDescent="0.15"/>
    <row r="61458" s="76" customFormat="1" ht="21.95" customHeight="1" x14ac:dyDescent="0.15"/>
    <row r="61459" s="76" customFormat="1" ht="21.95" customHeight="1" x14ac:dyDescent="0.15"/>
    <row r="61460" s="76" customFormat="1" ht="21.95" customHeight="1" x14ac:dyDescent="0.15"/>
    <row r="61461" s="76" customFormat="1" ht="21.95" customHeight="1" x14ac:dyDescent="0.15"/>
    <row r="61462" s="76" customFormat="1" ht="21.95" customHeight="1" x14ac:dyDescent="0.15"/>
    <row r="61463" s="76" customFormat="1" ht="21.95" customHeight="1" x14ac:dyDescent="0.15"/>
    <row r="61464" s="76" customFormat="1" ht="21.95" customHeight="1" x14ac:dyDescent="0.15"/>
    <row r="61465" s="76" customFormat="1" ht="35.1" customHeight="1" x14ac:dyDescent="0.15"/>
    <row r="61466" s="76" customFormat="1" ht="21.95" customHeight="1" x14ac:dyDescent="0.15"/>
    <row r="61467" s="76" customFormat="1" ht="21.95" customHeight="1" x14ac:dyDescent="0.15"/>
    <row r="61468" s="76" customFormat="1" ht="21.95" customHeight="1" x14ac:dyDescent="0.15"/>
    <row r="61469" s="76" customFormat="1" ht="21.95" customHeight="1" x14ac:dyDescent="0.15"/>
    <row r="61470" s="76" customFormat="1" ht="21.95" customHeight="1" x14ac:dyDescent="0.15"/>
    <row r="61471" s="76" customFormat="1" ht="21.95" customHeight="1" x14ac:dyDescent="0.15"/>
    <row r="61472" s="76" customFormat="1" ht="21.95" customHeight="1" x14ac:dyDescent="0.15"/>
    <row r="61473" s="76" customFormat="1" ht="21.95" customHeight="1" x14ac:dyDescent="0.15"/>
    <row r="61474" s="76" customFormat="1" ht="21.95" customHeight="1" x14ac:dyDescent="0.15"/>
    <row r="61475" s="76" customFormat="1" ht="21.95" customHeight="1" x14ac:dyDescent="0.15"/>
    <row r="61476" s="76" customFormat="1" ht="21.95" customHeight="1" x14ac:dyDescent="0.15"/>
    <row r="61477" s="76" customFormat="1" ht="21.95" customHeight="1" x14ac:dyDescent="0.15"/>
    <row r="61478" s="76" customFormat="1" ht="21.95" customHeight="1" x14ac:dyDescent="0.15"/>
    <row r="61479" s="76" customFormat="1" ht="21.95" customHeight="1" x14ac:dyDescent="0.15"/>
    <row r="61480" s="76" customFormat="1" ht="21.95" customHeight="1" x14ac:dyDescent="0.15"/>
    <row r="61481" s="76" customFormat="1" ht="21.95" customHeight="1" x14ac:dyDescent="0.15"/>
    <row r="61482" s="76" customFormat="1" ht="21.95" customHeight="1" x14ac:dyDescent="0.15"/>
    <row r="61483" s="76" customFormat="1" ht="21.95" customHeight="1" x14ac:dyDescent="0.15"/>
    <row r="61484" s="76" customFormat="1" ht="21.95" customHeight="1" x14ac:dyDescent="0.15"/>
    <row r="61485" s="76" customFormat="1" ht="21.95" customHeight="1" x14ac:dyDescent="0.15"/>
    <row r="61486" s="76" customFormat="1" ht="21.95" customHeight="1" x14ac:dyDescent="0.15"/>
    <row r="61487" s="76" customFormat="1" ht="21.95" customHeight="1" x14ac:dyDescent="0.15"/>
    <row r="61488" s="76" customFormat="1" ht="21.95" customHeight="1" x14ac:dyDescent="0.15"/>
    <row r="61489" spans="3:3" customFormat="1" ht="21.95" customHeight="1" x14ac:dyDescent="0.15"/>
    <row r="61490" spans="3:3" customFormat="1" ht="21.95" customHeight="1" x14ac:dyDescent="0.15"/>
    <row r="61491" spans="3:3" customFormat="1" ht="21.95" customHeight="1" x14ac:dyDescent="0.15">
      <c r="C61491" s="94"/>
    </row>
    <row r="61492" spans="3:3" customFormat="1" ht="21.95" customHeight="1" x14ac:dyDescent="0.15">
      <c r="C61492" s="94"/>
    </row>
    <row r="61493" spans="3:3" customFormat="1" ht="21.95" customHeight="1" x14ac:dyDescent="0.15"/>
    <row r="61494" spans="3:3" customFormat="1" ht="21.95" customHeight="1" x14ac:dyDescent="0.15"/>
    <row r="61495" spans="3:3" customFormat="1" ht="21.95" customHeight="1" x14ac:dyDescent="0.15"/>
    <row r="61496" spans="3:3" customFormat="1" ht="21.95" customHeight="1" x14ac:dyDescent="0.15"/>
    <row r="61497" spans="3:3" customFormat="1" ht="21.95" customHeight="1" x14ac:dyDescent="0.15"/>
    <row r="61498" spans="3:3" customFormat="1" ht="21.95" customHeight="1" x14ac:dyDescent="0.15"/>
    <row r="61499" spans="3:3" customFormat="1" ht="21.95" customHeight="1" x14ac:dyDescent="0.15"/>
    <row r="61500" spans="3:3" s="76" customFormat="1" ht="21.95" customHeight="1" x14ac:dyDescent="0.15"/>
    <row r="61501" spans="3:3" s="76" customFormat="1" ht="21.95" customHeight="1" x14ac:dyDescent="0.15"/>
    <row r="61502" spans="3:3" s="76" customFormat="1" ht="21.95" customHeight="1" x14ac:dyDescent="0.15"/>
    <row r="61503" spans="3:3" s="76" customFormat="1" ht="21.95" customHeight="1" x14ac:dyDescent="0.15"/>
    <row r="61504" spans="3:3" customFormat="1" ht="21.95" customHeight="1" x14ac:dyDescent="0.15"/>
    <row r="61505" customFormat="1" ht="21.95" customHeight="1" x14ac:dyDescent="0.15"/>
    <row r="61506" customFormat="1" ht="21.95" customHeight="1" x14ac:dyDescent="0.15"/>
    <row r="61507" customFormat="1" ht="21.95" customHeight="1" x14ac:dyDescent="0.15"/>
    <row r="61508" customFormat="1" ht="21.95" customHeight="1" x14ac:dyDescent="0.15"/>
    <row r="61509" customFormat="1" ht="21.95" customHeight="1" x14ac:dyDescent="0.15"/>
    <row r="61510" customFormat="1" ht="21.95" customHeight="1" x14ac:dyDescent="0.15"/>
    <row r="61511" customFormat="1" ht="21.95" customHeight="1" x14ac:dyDescent="0.15"/>
    <row r="61512" customFormat="1" ht="21.95" customHeight="1" x14ac:dyDescent="0.15"/>
    <row r="61513" customFormat="1" ht="21.95" customHeight="1" x14ac:dyDescent="0.15"/>
    <row r="61514" customFormat="1" ht="21.95" customHeight="1" x14ac:dyDescent="0.15"/>
    <row r="61515" customFormat="1" ht="32.1" customHeight="1" x14ac:dyDescent="0.15"/>
    <row r="61516" customFormat="1" ht="32.1" customHeight="1" x14ac:dyDescent="0.15"/>
    <row r="61517" customFormat="1" ht="32.1" customHeight="1" x14ac:dyDescent="0.15"/>
    <row r="61518" customFormat="1" ht="32.1" customHeight="1" x14ac:dyDescent="0.15"/>
    <row r="61519" customFormat="1" ht="32.1" customHeight="1" x14ac:dyDescent="0.15"/>
    <row r="61520" customFormat="1" ht="32.1" customHeight="1" x14ac:dyDescent="0.15"/>
    <row r="61521" s="76" customFormat="1" ht="32.1" customHeight="1" x14ac:dyDescent="0.15"/>
    <row r="61522" s="76" customFormat="1" ht="32.1" customHeight="1" x14ac:dyDescent="0.15"/>
    <row r="61523" s="76" customFormat="1" ht="32.1" customHeight="1" x14ac:dyDescent="0.15"/>
    <row r="61524" s="76" customFormat="1" ht="32.1" customHeight="1" x14ac:dyDescent="0.15"/>
    <row r="61525" s="76" customFormat="1" ht="21.95" customHeight="1" x14ac:dyDescent="0.15"/>
    <row r="61526" s="76" customFormat="1" ht="54" customHeight="1" x14ac:dyDescent="0.15"/>
    <row r="61527" s="76" customFormat="1" ht="21.95" customHeight="1" x14ac:dyDescent="0.15"/>
    <row r="61528" s="76" customFormat="1" ht="21.95" customHeight="1" x14ac:dyDescent="0.15"/>
    <row r="61529" s="76" customFormat="1" ht="21.95" customHeight="1" x14ac:dyDescent="0.15"/>
    <row r="61530" s="76" customFormat="1" ht="21.95" customHeight="1" x14ac:dyDescent="0.15"/>
    <row r="61531" s="76" customFormat="1" ht="21.95" customHeight="1" x14ac:dyDescent="0.15"/>
    <row r="61532" s="76" customFormat="1" ht="21.95" customHeight="1" x14ac:dyDescent="0.15"/>
    <row r="61533" s="76" customFormat="1" ht="21.95" customHeight="1" x14ac:dyDescent="0.15"/>
    <row r="61534" s="76" customFormat="1" ht="21.95" customHeight="1" x14ac:dyDescent="0.15"/>
    <row r="61535" s="76" customFormat="1" ht="21.95" customHeight="1" x14ac:dyDescent="0.15"/>
    <row r="61536" s="76" customFormat="1" ht="21.95" customHeight="1" x14ac:dyDescent="0.15"/>
    <row r="61537" s="76" customFormat="1" ht="21.95" customHeight="1" x14ac:dyDescent="0.15"/>
    <row r="61538" s="76" customFormat="1" ht="21.95" customHeight="1" x14ac:dyDescent="0.15"/>
    <row r="61539" s="76" customFormat="1" ht="21.95" customHeight="1" x14ac:dyDescent="0.15"/>
    <row r="61540" s="76" customFormat="1" ht="21.95" customHeight="1" x14ac:dyDescent="0.15"/>
    <row r="61541" s="76" customFormat="1" ht="21.95" customHeight="1" x14ac:dyDescent="0.15"/>
    <row r="61542" s="76" customFormat="1" ht="21.95" customHeight="1" x14ac:dyDescent="0.15"/>
    <row r="61543" s="76" customFormat="1" ht="21.95" customHeight="1" x14ac:dyDescent="0.15"/>
    <row r="61544" s="76" customFormat="1" ht="21.95" customHeight="1" x14ac:dyDescent="0.15"/>
    <row r="61545" s="76" customFormat="1" ht="21.95" customHeight="1" x14ac:dyDescent="0.15"/>
    <row r="61546" s="76" customFormat="1" ht="21.95" customHeight="1" x14ac:dyDescent="0.15"/>
    <row r="61547" s="76" customFormat="1" ht="21.95" customHeight="1" x14ac:dyDescent="0.15"/>
    <row r="61548" s="76" customFormat="1" ht="21.95" customHeight="1" x14ac:dyDescent="0.15"/>
    <row r="61549" s="76" customFormat="1" ht="21.95" customHeight="1" x14ac:dyDescent="0.15"/>
    <row r="61550" s="76" customFormat="1" ht="21.95" customHeight="1" x14ac:dyDescent="0.15"/>
    <row r="61551" s="76" customFormat="1" ht="21.95" customHeight="1" x14ac:dyDescent="0.15"/>
    <row r="61552" s="76" customFormat="1" ht="21.95" customHeight="1" x14ac:dyDescent="0.15"/>
    <row r="61553" s="76" customFormat="1" ht="21.95" customHeight="1" x14ac:dyDescent="0.15"/>
    <row r="61554" s="76" customFormat="1" ht="21.95" customHeight="1" x14ac:dyDescent="0.15"/>
    <row r="61555" s="76" customFormat="1" ht="21.95" customHeight="1" x14ac:dyDescent="0.15"/>
    <row r="61556" s="76" customFormat="1" ht="21.95" customHeight="1" x14ac:dyDescent="0.15"/>
    <row r="61557" s="76" customFormat="1" ht="21.95" customHeight="1" x14ac:dyDescent="0.15"/>
    <row r="61558" s="76" customFormat="1" ht="21.95" customHeight="1" x14ac:dyDescent="0.15"/>
    <row r="61559" s="76" customFormat="1" ht="21.95" customHeight="1" x14ac:dyDescent="0.15"/>
    <row r="61560" s="76" customFormat="1" ht="21.95" customHeight="1" x14ac:dyDescent="0.15"/>
    <row r="61561" s="76" customFormat="1" ht="21.95" customHeight="1" x14ac:dyDescent="0.15"/>
    <row r="61562" s="76" customFormat="1" ht="21.95" customHeight="1" x14ac:dyDescent="0.15"/>
    <row r="61563" s="76" customFormat="1" ht="21.95" customHeight="1" x14ac:dyDescent="0.15"/>
    <row r="61564" s="76" customFormat="1" ht="21.95" customHeight="1" x14ac:dyDescent="0.15"/>
    <row r="61565" s="76" customFormat="1" ht="21.95" customHeight="1" x14ac:dyDescent="0.15"/>
    <row r="61566" s="76" customFormat="1" ht="21.95" customHeight="1" x14ac:dyDescent="0.15"/>
    <row r="61567" s="76" customFormat="1" ht="21.95" customHeight="1" x14ac:dyDescent="0.15"/>
    <row r="61568" s="76" customFormat="1" ht="21.95" customHeight="1" x14ac:dyDescent="0.15"/>
    <row r="61569" s="76" customFormat="1" ht="21.95" customHeight="1" x14ac:dyDescent="0.15"/>
    <row r="61570" s="76" customFormat="1" ht="21.95" customHeight="1" x14ac:dyDescent="0.15"/>
    <row r="61571" s="76" customFormat="1" ht="21.95" customHeight="1" x14ac:dyDescent="0.15"/>
    <row r="61572" s="76" customFormat="1" ht="21.95" customHeight="1" x14ac:dyDescent="0.15"/>
    <row r="61573" s="76" customFormat="1" ht="21.95" customHeight="1" x14ac:dyDescent="0.15"/>
    <row r="61574" s="76" customFormat="1" ht="21.95" customHeight="1" x14ac:dyDescent="0.15"/>
    <row r="61575" s="76" customFormat="1" ht="21.95" customHeight="1" x14ac:dyDescent="0.15"/>
    <row r="61576" s="76" customFormat="1" ht="21.95" customHeight="1" x14ac:dyDescent="0.15"/>
    <row r="61577" s="76" customFormat="1" ht="35.1" customHeight="1" x14ac:dyDescent="0.15"/>
    <row r="61578" s="76" customFormat="1" ht="21.95" customHeight="1" x14ac:dyDescent="0.15"/>
    <row r="61579" s="76" customFormat="1" ht="21.95" customHeight="1" x14ac:dyDescent="0.15"/>
    <row r="61580" s="76" customFormat="1" ht="21.95" customHeight="1" x14ac:dyDescent="0.15"/>
    <row r="61581" s="76" customFormat="1" ht="21.95" customHeight="1" x14ac:dyDescent="0.15"/>
    <row r="61582" s="76" customFormat="1" ht="21.95" customHeight="1" x14ac:dyDescent="0.15"/>
    <row r="61583" s="76" customFormat="1" ht="21.95" customHeight="1" x14ac:dyDescent="0.15"/>
    <row r="61584" s="76" customFormat="1" ht="21.95" customHeight="1" x14ac:dyDescent="0.15"/>
    <row r="61585" s="76" customFormat="1" ht="21.95" customHeight="1" x14ac:dyDescent="0.15"/>
    <row r="61586" s="76" customFormat="1" ht="21.95" customHeight="1" x14ac:dyDescent="0.15"/>
    <row r="61587" s="76" customFormat="1" ht="21.95" customHeight="1" x14ac:dyDescent="0.15"/>
    <row r="61588" s="76" customFormat="1" ht="21.95" customHeight="1" x14ac:dyDescent="0.15"/>
    <row r="61589" s="76" customFormat="1" ht="21.95" customHeight="1" x14ac:dyDescent="0.15"/>
    <row r="61590" s="76" customFormat="1" ht="21.95" customHeight="1" x14ac:dyDescent="0.15"/>
    <row r="61591" s="76" customFormat="1" ht="21.95" customHeight="1" x14ac:dyDescent="0.15"/>
    <row r="61592" s="76" customFormat="1" ht="21.95" customHeight="1" x14ac:dyDescent="0.15"/>
    <row r="61593" s="76" customFormat="1" ht="21.95" customHeight="1" x14ac:dyDescent="0.15"/>
    <row r="61594" s="76" customFormat="1" ht="21.95" customHeight="1" x14ac:dyDescent="0.15"/>
    <row r="61595" s="76" customFormat="1" ht="21.95" customHeight="1" x14ac:dyDescent="0.15"/>
    <row r="61596" s="76" customFormat="1" ht="21.95" customHeight="1" x14ac:dyDescent="0.15"/>
    <row r="61597" s="76" customFormat="1" ht="21.95" customHeight="1" x14ac:dyDescent="0.15"/>
    <row r="61598" s="76" customFormat="1" ht="21.95" customHeight="1" x14ac:dyDescent="0.15"/>
    <row r="61599" s="76" customFormat="1" ht="21.95" customHeight="1" x14ac:dyDescent="0.15"/>
    <row r="61600" s="76" customFormat="1" ht="21.95" customHeight="1" x14ac:dyDescent="0.15"/>
    <row r="61601" spans="3:3" customFormat="1" ht="21.95" customHeight="1" x14ac:dyDescent="0.15"/>
    <row r="61602" spans="3:3" customFormat="1" ht="21.95" customHeight="1" x14ac:dyDescent="0.15"/>
    <row r="61603" spans="3:3" customFormat="1" ht="21.95" customHeight="1" x14ac:dyDescent="0.15">
      <c r="C61603" s="94"/>
    </row>
    <row r="61604" spans="3:3" customFormat="1" ht="21.95" customHeight="1" x14ac:dyDescent="0.15">
      <c r="C61604" s="94"/>
    </row>
    <row r="61605" spans="3:3" customFormat="1" ht="21.95" customHeight="1" x14ac:dyDescent="0.15"/>
    <row r="61606" spans="3:3" customFormat="1" ht="21.95" customHeight="1" x14ac:dyDescent="0.15"/>
    <row r="61607" spans="3:3" customFormat="1" ht="21.95" customHeight="1" x14ac:dyDescent="0.15"/>
    <row r="61608" spans="3:3" customFormat="1" ht="21.95" customHeight="1" x14ac:dyDescent="0.15"/>
    <row r="61609" spans="3:3" customFormat="1" ht="21.95" customHeight="1" x14ac:dyDescent="0.15"/>
    <row r="61610" spans="3:3" customFormat="1" ht="21.95" customHeight="1" x14ac:dyDescent="0.15"/>
    <row r="61611" spans="3:3" customFormat="1" ht="21.95" customHeight="1" x14ac:dyDescent="0.15"/>
    <row r="61612" spans="3:3" s="76" customFormat="1" ht="21.95" customHeight="1" x14ac:dyDescent="0.15"/>
    <row r="61613" spans="3:3" s="76" customFormat="1" ht="21.95" customHeight="1" x14ac:dyDescent="0.15"/>
    <row r="61614" spans="3:3" s="76" customFormat="1" ht="21.95" customHeight="1" x14ac:dyDescent="0.15"/>
    <row r="61615" spans="3:3" s="76" customFormat="1" ht="21.95" customHeight="1" x14ac:dyDescent="0.15"/>
    <row r="61616" spans="3:3" customFormat="1" ht="21.95" customHeight="1" x14ac:dyDescent="0.15"/>
    <row r="61617" customFormat="1" ht="21.95" customHeight="1" x14ac:dyDescent="0.15"/>
    <row r="61618" customFormat="1" ht="21.95" customHeight="1" x14ac:dyDescent="0.15"/>
    <row r="61619" customFormat="1" ht="21.95" customHeight="1" x14ac:dyDescent="0.15"/>
    <row r="61620" customFormat="1" ht="21.95" customHeight="1" x14ac:dyDescent="0.15"/>
    <row r="61621" customFormat="1" ht="21.95" customHeight="1" x14ac:dyDescent="0.15"/>
    <row r="61622" customFormat="1" ht="21.95" customHeight="1" x14ac:dyDescent="0.15"/>
    <row r="61623" customFormat="1" ht="21.95" customHeight="1" x14ac:dyDescent="0.15"/>
    <row r="61624" customFormat="1" ht="21.95" customHeight="1" x14ac:dyDescent="0.15"/>
    <row r="61625" customFormat="1" ht="21.95" customHeight="1" x14ac:dyDescent="0.15"/>
    <row r="61626" customFormat="1" ht="21.95" customHeight="1" x14ac:dyDescent="0.15"/>
    <row r="61627" customFormat="1" ht="32.1" customHeight="1" x14ac:dyDescent="0.15"/>
    <row r="61628" customFormat="1" ht="32.1" customHeight="1" x14ac:dyDescent="0.15"/>
    <row r="61629" customFormat="1" ht="32.1" customHeight="1" x14ac:dyDescent="0.15"/>
    <row r="61630" customFormat="1" ht="32.1" customHeight="1" x14ac:dyDescent="0.15"/>
    <row r="61631" customFormat="1" ht="32.1" customHeight="1" x14ac:dyDescent="0.15"/>
    <row r="61632" customFormat="1" ht="32.1" customHeight="1" x14ac:dyDescent="0.15"/>
    <row r="61633" s="76" customFormat="1" ht="32.1" customHeight="1" x14ac:dyDescent="0.15"/>
    <row r="61634" s="76" customFormat="1" ht="32.1" customHeight="1" x14ac:dyDescent="0.15"/>
    <row r="61635" s="76" customFormat="1" ht="32.1" customHeight="1" x14ac:dyDescent="0.15"/>
    <row r="61636" s="76" customFormat="1" ht="32.1" customHeight="1" x14ac:dyDescent="0.15"/>
    <row r="61637" s="76" customFormat="1" ht="21.95" customHeight="1" x14ac:dyDescent="0.15"/>
    <row r="61638" s="76" customFormat="1" ht="54" customHeight="1" x14ac:dyDescent="0.15"/>
    <row r="61639" s="76" customFormat="1" ht="21.95" customHeight="1" x14ac:dyDescent="0.15"/>
    <row r="61640" s="76" customFormat="1" ht="21.95" customHeight="1" x14ac:dyDescent="0.15"/>
    <row r="61641" s="76" customFormat="1" ht="21.95" customHeight="1" x14ac:dyDescent="0.15"/>
    <row r="61642" s="76" customFormat="1" ht="21.95" customHeight="1" x14ac:dyDescent="0.15"/>
    <row r="61643" s="76" customFormat="1" ht="21.95" customHeight="1" x14ac:dyDescent="0.15"/>
    <row r="61644" s="76" customFormat="1" ht="21.95" customHeight="1" x14ac:dyDescent="0.15"/>
    <row r="61645" s="76" customFormat="1" ht="21.95" customHeight="1" x14ac:dyDescent="0.15"/>
    <row r="61646" s="76" customFormat="1" ht="21.95" customHeight="1" x14ac:dyDescent="0.15"/>
    <row r="61647" s="76" customFormat="1" ht="21.95" customHeight="1" x14ac:dyDescent="0.15"/>
    <row r="61648" s="76" customFormat="1" ht="21.95" customHeight="1" x14ac:dyDescent="0.15"/>
    <row r="61649" s="76" customFormat="1" ht="21.95" customHeight="1" x14ac:dyDescent="0.15"/>
    <row r="61650" s="76" customFormat="1" ht="21.95" customHeight="1" x14ac:dyDescent="0.15"/>
    <row r="61651" s="76" customFormat="1" ht="21.95" customHeight="1" x14ac:dyDescent="0.15"/>
    <row r="61652" s="76" customFormat="1" ht="21.95" customHeight="1" x14ac:dyDescent="0.15"/>
    <row r="61653" s="76" customFormat="1" ht="21.95" customHeight="1" x14ac:dyDescent="0.15"/>
    <row r="61654" s="76" customFormat="1" ht="21.95" customHeight="1" x14ac:dyDescent="0.15"/>
    <row r="61655" s="76" customFormat="1" ht="21.95" customHeight="1" x14ac:dyDescent="0.15"/>
    <row r="61656" s="76" customFormat="1" ht="21.95" customHeight="1" x14ac:dyDescent="0.15"/>
    <row r="61657" s="76" customFormat="1" ht="21.95" customHeight="1" x14ac:dyDescent="0.15"/>
    <row r="61658" s="76" customFormat="1" ht="21.95" customHeight="1" x14ac:dyDescent="0.15"/>
    <row r="61659" s="76" customFormat="1" ht="21.95" customHeight="1" x14ac:dyDescent="0.15"/>
    <row r="61660" s="76" customFormat="1" ht="21.95" customHeight="1" x14ac:dyDescent="0.15"/>
    <row r="61661" s="76" customFormat="1" ht="21.95" customHeight="1" x14ac:dyDescent="0.15"/>
    <row r="61662" s="76" customFormat="1" ht="21.95" customHeight="1" x14ac:dyDescent="0.15"/>
    <row r="61663" s="76" customFormat="1" ht="21.95" customHeight="1" x14ac:dyDescent="0.15"/>
    <row r="61664" s="76" customFormat="1" ht="21.95" customHeight="1" x14ac:dyDescent="0.15"/>
    <row r="61665" s="76" customFormat="1" ht="21.95" customHeight="1" x14ac:dyDescent="0.15"/>
    <row r="61666" s="76" customFormat="1" ht="21.95" customHeight="1" x14ac:dyDescent="0.15"/>
    <row r="61667" s="76" customFormat="1" ht="21.95" customHeight="1" x14ac:dyDescent="0.15"/>
    <row r="61668" s="76" customFormat="1" ht="21.95" customHeight="1" x14ac:dyDescent="0.15"/>
    <row r="61669" s="76" customFormat="1" ht="21.95" customHeight="1" x14ac:dyDescent="0.15"/>
    <row r="61670" s="76" customFormat="1" ht="21.95" customHeight="1" x14ac:dyDescent="0.15"/>
    <row r="61671" s="76" customFormat="1" ht="21.95" customHeight="1" x14ac:dyDescent="0.15"/>
    <row r="61672" s="76" customFormat="1" ht="21.95" customHeight="1" x14ac:dyDescent="0.15"/>
    <row r="61673" s="76" customFormat="1" ht="21.95" customHeight="1" x14ac:dyDescent="0.15"/>
    <row r="61674" s="76" customFormat="1" ht="21.95" customHeight="1" x14ac:dyDescent="0.15"/>
    <row r="61675" s="76" customFormat="1" ht="21.95" customHeight="1" x14ac:dyDescent="0.15"/>
    <row r="61676" s="76" customFormat="1" ht="21.95" customHeight="1" x14ac:dyDescent="0.15"/>
    <row r="61677" s="76" customFormat="1" ht="21.95" customHeight="1" x14ac:dyDescent="0.15"/>
    <row r="61678" s="76" customFormat="1" ht="21.95" customHeight="1" x14ac:dyDescent="0.15"/>
    <row r="61679" s="76" customFormat="1" ht="21.95" customHeight="1" x14ac:dyDescent="0.15"/>
    <row r="61680" s="76" customFormat="1" ht="21.95" customHeight="1" x14ac:dyDescent="0.15"/>
    <row r="61681" s="76" customFormat="1" ht="21.95" customHeight="1" x14ac:dyDescent="0.15"/>
    <row r="61682" s="76" customFormat="1" ht="21.95" customHeight="1" x14ac:dyDescent="0.15"/>
    <row r="61683" s="76" customFormat="1" ht="21.95" customHeight="1" x14ac:dyDescent="0.15"/>
    <row r="61684" s="76" customFormat="1" ht="21.95" customHeight="1" x14ac:dyDescent="0.15"/>
    <row r="61685" s="76" customFormat="1" ht="21.95" customHeight="1" x14ac:dyDescent="0.15"/>
    <row r="61686" s="76" customFormat="1" ht="21.95" customHeight="1" x14ac:dyDescent="0.15"/>
    <row r="61687" s="76" customFormat="1" ht="21.95" customHeight="1" x14ac:dyDescent="0.15"/>
    <row r="61688" s="76" customFormat="1" ht="21.95" customHeight="1" x14ac:dyDescent="0.15"/>
    <row r="61689" s="76" customFormat="1" ht="35.1" customHeight="1" x14ac:dyDescent="0.15"/>
    <row r="61690" s="76" customFormat="1" ht="21.95" customHeight="1" x14ac:dyDescent="0.15"/>
    <row r="61691" s="76" customFormat="1" ht="21.95" customHeight="1" x14ac:dyDescent="0.15"/>
    <row r="61692" s="76" customFormat="1" ht="21.95" customHeight="1" x14ac:dyDescent="0.15"/>
    <row r="61693" s="76" customFormat="1" ht="21.95" customHeight="1" x14ac:dyDescent="0.15"/>
    <row r="61694" s="76" customFormat="1" ht="21.95" customHeight="1" x14ac:dyDescent="0.15"/>
    <row r="61695" s="76" customFormat="1" ht="21.95" customHeight="1" x14ac:dyDescent="0.15"/>
    <row r="61696" s="76" customFormat="1" ht="21.95" customHeight="1" x14ac:dyDescent="0.15"/>
    <row r="61697" s="76" customFormat="1" ht="21.95" customHeight="1" x14ac:dyDescent="0.15"/>
    <row r="61698" s="76" customFormat="1" ht="21.95" customHeight="1" x14ac:dyDescent="0.15"/>
    <row r="61699" s="76" customFormat="1" ht="21.95" customHeight="1" x14ac:dyDescent="0.15"/>
    <row r="61700" s="76" customFormat="1" ht="21.95" customHeight="1" x14ac:dyDescent="0.15"/>
    <row r="61701" s="76" customFormat="1" ht="21.95" customHeight="1" x14ac:dyDescent="0.15"/>
    <row r="61702" s="76" customFormat="1" ht="21.95" customHeight="1" x14ac:dyDescent="0.15"/>
    <row r="61703" s="76" customFormat="1" ht="21.95" customHeight="1" x14ac:dyDescent="0.15"/>
    <row r="61704" s="76" customFormat="1" ht="21.95" customHeight="1" x14ac:dyDescent="0.15"/>
    <row r="61705" s="76" customFormat="1" ht="21.95" customHeight="1" x14ac:dyDescent="0.15"/>
    <row r="61706" s="76" customFormat="1" ht="21.95" customHeight="1" x14ac:dyDescent="0.15"/>
    <row r="61707" s="76" customFormat="1" ht="21.95" customHeight="1" x14ac:dyDescent="0.15"/>
    <row r="61708" s="76" customFormat="1" ht="21.95" customHeight="1" x14ac:dyDescent="0.15"/>
    <row r="61709" s="76" customFormat="1" ht="21.95" customHeight="1" x14ac:dyDescent="0.15"/>
    <row r="61710" s="76" customFormat="1" ht="21.95" customHeight="1" x14ac:dyDescent="0.15"/>
    <row r="61711" s="76" customFormat="1" ht="21.95" customHeight="1" x14ac:dyDescent="0.15"/>
    <row r="61712" s="76" customFormat="1" ht="21.95" customHeight="1" x14ac:dyDescent="0.15"/>
    <row r="61713" spans="3:3" customFormat="1" ht="21.95" customHeight="1" x14ac:dyDescent="0.15"/>
    <row r="61714" spans="3:3" customFormat="1" ht="21.95" customHeight="1" x14ac:dyDescent="0.15"/>
    <row r="61715" spans="3:3" customFormat="1" ht="21.95" customHeight="1" x14ac:dyDescent="0.15">
      <c r="C61715" s="94"/>
    </row>
    <row r="61716" spans="3:3" customFormat="1" ht="21.95" customHeight="1" x14ac:dyDescent="0.15">
      <c r="C61716" s="94"/>
    </row>
    <row r="61717" spans="3:3" customFormat="1" ht="21.95" customHeight="1" x14ac:dyDescent="0.15"/>
    <row r="61718" spans="3:3" customFormat="1" ht="21.95" customHeight="1" x14ac:dyDescent="0.15"/>
    <row r="61719" spans="3:3" customFormat="1" ht="21.95" customHeight="1" x14ac:dyDescent="0.15"/>
    <row r="61720" spans="3:3" customFormat="1" ht="21.95" customHeight="1" x14ac:dyDescent="0.15"/>
    <row r="61721" spans="3:3" customFormat="1" ht="21.95" customHeight="1" x14ac:dyDescent="0.15"/>
    <row r="61722" spans="3:3" customFormat="1" ht="21.95" customHeight="1" x14ac:dyDescent="0.15"/>
    <row r="61723" spans="3:3" customFormat="1" ht="21.95" customHeight="1" x14ac:dyDescent="0.15"/>
    <row r="61724" spans="3:3" s="76" customFormat="1" ht="21.95" customHeight="1" x14ac:dyDescent="0.15"/>
    <row r="61725" spans="3:3" s="76" customFormat="1" ht="21.95" customHeight="1" x14ac:dyDescent="0.15"/>
    <row r="61726" spans="3:3" s="76" customFormat="1" ht="21.95" customHeight="1" x14ac:dyDescent="0.15"/>
    <row r="61727" spans="3:3" s="76" customFormat="1" ht="21.95" customHeight="1" x14ac:dyDescent="0.15"/>
    <row r="61728" spans="3:3" customFormat="1" ht="21.95" customHeight="1" x14ac:dyDescent="0.15"/>
    <row r="61729" customFormat="1" ht="21.95" customHeight="1" x14ac:dyDescent="0.15"/>
    <row r="61730" customFormat="1" ht="21.95" customHeight="1" x14ac:dyDescent="0.15"/>
    <row r="61731" customFormat="1" ht="21.95" customHeight="1" x14ac:dyDescent="0.15"/>
    <row r="61732" customFormat="1" ht="21.95" customHeight="1" x14ac:dyDescent="0.15"/>
    <row r="61733" customFormat="1" ht="21.95" customHeight="1" x14ac:dyDescent="0.15"/>
    <row r="61734" customFormat="1" ht="21.95" customHeight="1" x14ac:dyDescent="0.15"/>
    <row r="61735" customFormat="1" ht="21.95" customHeight="1" x14ac:dyDescent="0.15"/>
    <row r="61736" customFormat="1" ht="21.95" customHeight="1" x14ac:dyDescent="0.15"/>
    <row r="61737" customFormat="1" ht="21.95" customHeight="1" x14ac:dyDescent="0.15"/>
    <row r="61738" customFormat="1" ht="21.95" customHeight="1" x14ac:dyDescent="0.15"/>
    <row r="61739" customFormat="1" ht="32.1" customHeight="1" x14ac:dyDescent="0.15"/>
    <row r="61740" customFormat="1" ht="32.1" customHeight="1" x14ac:dyDescent="0.15"/>
    <row r="61741" customFormat="1" ht="32.1" customHeight="1" x14ac:dyDescent="0.15"/>
    <row r="61742" customFormat="1" ht="32.1" customHeight="1" x14ac:dyDescent="0.15"/>
    <row r="61743" customFormat="1" ht="32.1" customHeight="1" x14ac:dyDescent="0.15"/>
    <row r="61744" customFormat="1" ht="32.1" customHeight="1" x14ac:dyDescent="0.15"/>
    <row r="61745" s="76" customFormat="1" ht="32.1" customHeight="1" x14ac:dyDescent="0.15"/>
    <row r="61746" s="76" customFormat="1" ht="32.1" customHeight="1" x14ac:dyDescent="0.15"/>
    <row r="61747" s="76" customFormat="1" ht="32.1" customHeight="1" x14ac:dyDescent="0.15"/>
    <row r="61748" s="76" customFormat="1" ht="32.1" customHeight="1" x14ac:dyDescent="0.15"/>
    <row r="61749" s="76" customFormat="1" ht="21.95" customHeight="1" x14ac:dyDescent="0.15"/>
    <row r="61750" s="76" customFormat="1" ht="54" customHeight="1" x14ac:dyDescent="0.15"/>
    <row r="61751" s="76" customFormat="1" ht="21.95" customHeight="1" x14ac:dyDescent="0.15"/>
    <row r="61752" s="76" customFormat="1" ht="21.95" customHeight="1" x14ac:dyDescent="0.15"/>
    <row r="61753" s="76" customFormat="1" ht="21.95" customHeight="1" x14ac:dyDescent="0.15"/>
    <row r="61754" s="76" customFormat="1" ht="21.95" customHeight="1" x14ac:dyDescent="0.15"/>
    <row r="61755" s="76" customFormat="1" ht="21.95" customHeight="1" x14ac:dyDescent="0.15"/>
    <row r="61756" s="76" customFormat="1" ht="21.95" customHeight="1" x14ac:dyDescent="0.15"/>
    <row r="61757" s="76" customFormat="1" ht="21.95" customHeight="1" x14ac:dyDescent="0.15"/>
    <row r="61758" s="76" customFormat="1" ht="21.95" customHeight="1" x14ac:dyDescent="0.15"/>
    <row r="61759" s="76" customFormat="1" ht="21.95" customHeight="1" x14ac:dyDescent="0.15"/>
    <row r="61760" s="76" customFormat="1" ht="21.95" customHeight="1" x14ac:dyDescent="0.15"/>
    <row r="61761" s="76" customFormat="1" ht="21.95" customHeight="1" x14ac:dyDescent="0.15"/>
    <row r="61762" s="76" customFormat="1" ht="21.95" customHeight="1" x14ac:dyDescent="0.15"/>
    <row r="61763" s="76" customFormat="1" ht="21.95" customHeight="1" x14ac:dyDescent="0.15"/>
    <row r="61764" s="76" customFormat="1" ht="21.95" customHeight="1" x14ac:dyDescent="0.15"/>
    <row r="61765" s="76" customFormat="1" ht="21.95" customHeight="1" x14ac:dyDescent="0.15"/>
    <row r="61766" s="76" customFormat="1" ht="21.95" customHeight="1" x14ac:dyDescent="0.15"/>
    <row r="61767" s="76" customFormat="1" ht="21.95" customHeight="1" x14ac:dyDescent="0.15"/>
    <row r="61768" s="76" customFormat="1" ht="21.95" customHeight="1" x14ac:dyDescent="0.15"/>
    <row r="61769" s="76" customFormat="1" ht="21.95" customHeight="1" x14ac:dyDescent="0.15"/>
    <row r="61770" s="76" customFormat="1" ht="21.95" customHeight="1" x14ac:dyDescent="0.15"/>
    <row r="61771" s="76" customFormat="1" ht="21.95" customHeight="1" x14ac:dyDescent="0.15"/>
    <row r="61772" s="76" customFormat="1" ht="21.95" customHeight="1" x14ac:dyDescent="0.15"/>
    <row r="61773" s="76" customFormat="1" ht="21.95" customHeight="1" x14ac:dyDescent="0.15"/>
    <row r="61774" s="76" customFormat="1" ht="21.95" customHeight="1" x14ac:dyDescent="0.15"/>
    <row r="61775" s="76" customFormat="1" ht="21.95" customHeight="1" x14ac:dyDescent="0.15"/>
    <row r="61776" s="76" customFormat="1" ht="21.95" customHeight="1" x14ac:dyDescent="0.15"/>
    <row r="61777" s="76" customFormat="1" ht="21.95" customHeight="1" x14ac:dyDescent="0.15"/>
    <row r="61778" s="76" customFormat="1" ht="21.95" customHeight="1" x14ac:dyDescent="0.15"/>
    <row r="61779" s="76" customFormat="1" ht="21.95" customHeight="1" x14ac:dyDescent="0.15"/>
    <row r="61780" s="76" customFormat="1" ht="21.95" customHeight="1" x14ac:dyDescent="0.15"/>
    <row r="61781" s="76" customFormat="1" ht="21.95" customHeight="1" x14ac:dyDescent="0.15"/>
    <row r="61782" s="76" customFormat="1" ht="21.95" customHeight="1" x14ac:dyDescent="0.15"/>
    <row r="61783" s="76" customFormat="1" ht="21.95" customHeight="1" x14ac:dyDescent="0.15"/>
    <row r="61784" s="76" customFormat="1" ht="21.95" customHeight="1" x14ac:dyDescent="0.15"/>
    <row r="61785" s="76" customFormat="1" ht="21.95" customHeight="1" x14ac:dyDescent="0.15"/>
    <row r="61786" s="76" customFormat="1" ht="21.95" customHeight="1" x14ac:dyDescent="0.15"/>
    <row r="61787" s="76" customFormat="1" ht="21.95" customHeight="1" x14ac:dyDescent="0.15"/>
    <row r="61788" s="76" customFormat="1" ht="21.95" customHeight="1" x14ac:dyDescent="0.15"/>
    <row r="61789" s="76" customFormat="1" ht="21.95" customHeight="1" x14ac:dyDescent="0.15"/>
    <row r="61790" s="76" customFormat="1" ht="21.95" customHeight="1" x14ac:dyDescent="0.15"/>
    <row r="61791" s="76" customFormat="1" ht="21.95" customHeight="1" x14ac:dyDescent="0.15"/>
    <row r="61792" s="76" customFormat="1" ht="21.95" customHeight="1" x14ac:dyDescent="0.15"/>
    <row r="61793" s="76" customFormat="1" ht="21.95" customHeight="1" x14ac:dyDescent="0.15"/>
    <row r="61794" s="76" customFormat="1" ht="21.95" customHeight="1" x14ac:dyDescent="0.15"/>
    <row r="61795" s="76" customFormat="1" ht="21.95" customHeight="1" x14ac:dyDescent="0.15"/>
    <row r="61796" s="76" customFormat="1" ht="21.95" customHeight="1" x14ac:dyDescent="0.15"/>
    <row r="61797" s="76" customFormat="1" ht="21.95" customHeight="1" x14ac:dyDescent="0.15"/>
    <row r="61798" s="76" customFormat="1" ht="21.95" customHeight="1" x14ac:dyDescent="0.15"/>
    <row r="61799" s="76" customFormat="1" ht="21.95" customHeight="1" x14ac:dyDescent="0.15"/>
    <row r="61800" s="76" customFormat="1" ht="21.95" customHeight="1" x14ac:dyDescent="0.15"/>
    <row r="61801" s="76" customFormat="1" ht="35.1" customHeight="1" x14ac:dyDescent="0.15"/>
    <row r="61802" s="76" customFormat="1" ht="21.95" customHeight="1" x14ac:dyDescent="0.15"/>
    <row r="61803" s="76" customFormat="1" ht="21.95" customHeight="1" x14ac:dyDescent="0.15"/>
    <row r="61804" s="76" customFormat="1" ht="21.95" customHeight="1" x14ac:dyDescent="0.15"/>
    <row r="61805" s="76" customFormat="1" ht="21.95" customHeight="1" x14ac:dyDescent="0.15"/>
    <row r="61806" s="76" customFormat="1" ht="21.95" customHeight="1" x14ac:dyDescent="0.15"/>
    <row r="61807" s="76" customFormat="1" ht="21.95" customHeight="1" x14ac:dyDescent="0.15"/>
    <row r="61808" s="76" customFormat="1" ht="21.95" customHeight="1" x14ac:dyDescent="0.15"/>
    <row r="61809" s="76" customFormat="1" ht="21.95" customHeight="1" x14ac:dyDescent="0.15"/>
    <row r="61810" s="76" customFormat="1" ht="21.95" customHeight="1" x14ac:dyDescent="0.15"/>
    <row r="61811" s="76" customFormat="1" ht="21.95" customHeight="1" x14ac:dyDescent="0.15"/>
    <row r="61812" s="76" customFormat="1" ht="21.95" customHeight="1" x14ac:dyDescent="0.15"/>
    <row r="61813" s="76" customFormat="1" ht="21.95" customHeight="1" x14ac:dyDescent="0.15"/>
    <row r="61814" s="76" customFormat="1" ht="21.95" customHeight="1" x14ac:dyDescent="0.15"/>
    <row r="61815" s="76" customFormat="1" ht="21.95" customHeight="1" x14ac:dyDescent="0.15"/>
    <row r="61816" s="76" customFormat="1" ht="21.95" customHeight="1" x14ac:dyDescent="0.15"/>
    <row r="61817" s="76" customFormat="1" ht="21.95" customHeight="1" x14ac:dyDescent="0.15"/>
    <row r="61818" s="76" customFormat="1" ht="21.95" customHeight="1" x14ac:dyDescent="0.15"/>
    <row r="61819" s="76" customFormat="1" ht="21.95" customHeight="1" x14ac:dyDescent="0.15"/>
    <row r="61820" s="76" customFormat="1" ht="21.95" customHeight="1" x14ac:dyDescent="0.15"/>
    <row r="61821" s="76" customFormat="1" ht="21.95" customHeight="1" x14ac:dyDescent="0.15"/>
    <row r="61822" s="76" customFormat="1" ht="21.95" customHeight="1" x14ac:dyDescent="0.15"/>
    <row r="61823" s="76" customFormat="1" ht="21.95" customHeight="1" x14ac:dyDescent="0.15"/>
    <row r="61824" s="76" customFormat="1" ht="21.95" customHeight="1" x14ac:dyDescent="0.15"/>
    <row r="61825" spans="3:3" customFormat="1" ht="21.95" customHeight="1" x14ac:dyDescent="0.15"/>
    <row r="61826" spans="3:3" customFormat="1" ht="21.95" customHeight="1" x14ac:dyDescent="0.15"/>
    <row r="61827" spans="3:3" customFormat="1" ht="21.95" customHeight="1" x14ac:dyDescent="0.15">
      <c r="C61827" s="94"/>
    </row>
    <row r="61828" spans="3:3" customFormat="1" ht="21.95" customHeight="1" x14ac:dyDescent="0.15">
      <c r="C61828" s="94"/>
    </row>
    <row r="61829" spans="3:3" customFormat="1" ht="21.95" customHeight="1" x14ac:dyDescent="0.15"/>
    <row r="61830" spans="3:3" customFormat="1" ht="21.95" customHeight="1" x14ac:dyDescent="0.15"/>
    <row r="61831" spans="3:3" customFormat="1" ht="21.95" customHeight="1" x14ac:dyDescent="0.15"/>
    <row r="61832" spans="3:3" customFormat="1" ht="21.95" customHeight="1" x14ac:dyDescent="0.15"/>
    <row r="61833" spans="3:3" customFormat="1" ht="21.95" customHeight="1" x14ac:dyDescent="0.15"/>
    <row r="61834" spans="3:3" customFormat="1" ht="21.95" customHeight="1" x14ac:dyDescent="0.15"/>
    <row r="61835" spans="3:3" customFormat="1" ht="21.95" customHeight="1" x14ac:dyDescent="0.15"/>
    <row r="61836" spans="3:3" s="76" customFormat="1" ht="21.95" customHeight="1" x14ac:dyDescent="0.15"/>
    <row r="61837" spans="3:3" s="76" customFormat="1" ht="21.95" customHeight="1" x14ac:dyDescent="0.15"/>
    <row r="61838" spans="3:3" s="76" customFormat="1" ht="21.95" customHeight="1" x14ac:dyDescent="0.15"/>
    <row r="61839" spans="3:3" s="76" customFormat="1" ht="21.95" customHeight="1" x14ac:dyDescent="0.15"/>
    <row r="61840" spans="3:3" customFormat="1" ht="21.95" customHeight="1" x14ac:dyDescent="0.15"/>
    <row r="61841" customFormat="1" ht="21.95" customHeight="1" x14ac:dyDescent="0.15"/>
    <row r="61842" customFormat="1" ht="21.95" customHeight="1" x14ac:dyDescent="0.15"/>
    <row r="61843" customFormat="1" ht="21.95" customHeight="1" x14ac:dyDescent="0.15"/>
    <row r="61844" customFormat="1" ht="21.95" customHeight="1" x14ac:dyDescent="0.15"/>
    <row r="61845" customFormat="1" ht="21.95" customHeight="1" x14ac:dyDescent="0.15"/>
    <row r="61846" customFormat="1" ht="21.95" customHeight="1" x14ac:dyDescent="0.15"/>
    <row r="61847" customFormat="1" ht="21.95" customHeight="1" x14ac:dyDescent="0.15"/>
    <row r="61848" customFormat="1" ht="21.95" customHeight="1" x14ac:dyDescent="0.15"/>
    <row r="61849" customFormat="1" ht="21.95" customHeight="1" x14ac:dyDescent="0.15"/>
    <row r="61850" customFormat="1" ht="21.95" customHeight="1" x14ac:dyDescent="0.15"/>
    <row r="61851" customFormat="1" ht="32.1" customHeight="1" x14ac:dyDescent="0.15"/>
    <row r="61852" customFormat="1" ht="32.1" customHeight="1" x14ac:dyDescent="0.15"/>
    <row r="61853" customFormat="1" ht="32.1" customHeight="1" x14ac:dyDescent="0.15"/>
    <row r="61854" customFormat="1" ht="32.1" customHeight="1" x14ac:dyDescent="0.15"/>
    <row r="61855" customFormat="1" ht="32.1" customHeight="1" x14ac:dyDescent="0.15"/>
    <row r="61856" customFormat="1" ht="32.1" customHeight="1" x14ac:dyDescent="0.15"/>
    <row r="61857" s="76" customFormat="1" ht="32.1" customHeight="1" x14ac:dyDescent="0.15"/>
    <row r="61858" s="76" customFormat="1" ht="32.1" customHeight="1" x14ac:dyDescent="0.15"/>
    <row r="61859" s="76" customFormat="1" ht="32.1" customHeight="1" x14ac:dyDescent="0.15"/>
    <row r="61860" s="76" customFormat="1" ht="32.1" customHeight="1" x14ac:dyDescent="0.15"/>
    <row r="61861" s="76" customFormat="1" ht="21.95" customHeight="1" x14ac:dyDescent="0.15"/>
    <row r="61862" s="76" customFormat="1" ht="54" customHeight="1" x14ac:dyDescent="0.15"/>
    <row r="61863" s="76" customFormat="1" ht="21.95" customHeight="1" x14ac:dyDescent="0.15"/>
    <row r="61864" s="76" customFormat="1" ht="21.95" customHeight="1" x14ac:dyDescent="0.15"/>
    <row r="61865" s="76" customFormat="1" ht="21.95" customHeight="1" x14ac:dyDescent="0.15"/>
    <row r="61866" s="76" customFormat="1" ht="21.95" customHeight="1" x14ac:dyDescent="0.15"/>
    <row r="61867" s="76" customFormat="1" ht="21.95" customHeight="1" x14ac:dyDescent="0.15"/>
    <row r="61868" s="76" customFormat="1" ht="21.95" customHeight="1" x14ac:dyDescent="0.15"/>
    <row r="61869" s="76" customFormat="1" ht="21.95" customHeight="1" x14ac:dyDescent="0.15"/>
    <row r="61870" s="76" customFormat="1" ht="21.95" customHeight="1" x14ac:dyDescent="0.15"/>
    <row r="61871" s="76" customFormat="1" ht="21.95" customHeight="1" x14ac:dyDescent="0.15"/>
    <row r="61872" s="76" customFormat="1" ht="21.95" customHeight="1" x14ac:dyDescent="0.15"/>
    <row r="61873" s="76" customFormat="1" ht="21.95" customHeight="1" x14ac:dyDescent="0.15"/>
    <row r="61874" s="76" customFormat="1" ht="21.95" customHeight="1" x14ac:dyDescent="0.15"/>
    <row r="61875" s="76" customFormat="1" ht="21.95" customHeight="1" x14ac:dyDescent="0.15"/>
    <row r="61876" s="76" customFormat="1" ht="21.95" customHeight="1" x14ac:dyDescent="0.15"/>
    <row r="61877" s="76" customFormat="1" ht="21.95" customHeight="1" x14ac:dyDescent="0.15"/>
    <row r="61878" s="76" customFormat="1" ht="21.95" customHeight="1" x14ac:dyDescent="0.15"/>
    <row r="61879" s="76" customFormat="1" ht="21.95" customHeight="1" x14ac:dyDescent="0.15"/>
    <row r="61880" s="76" customFormat="1" ht="21.95" customHeight="1" x14ac:dyDescent="0.15"/>
    <row r="61881" s="76" customFormat="1" ht="21.95" customHeight="1" x14ac:dyDescent="0.15"/>
    <row r="61882" s="76" customFormat="1" ht="21.95" customHeight="1" x14ac:dyDescent="0.15"/>
    <row r="61883" s="76" customFormat="1" ht="21.95" customHeight="1" x14ac:dyDescent="0.15"/>
    <row r="61884" s="76" customFormat="1" ht="21.95" customHeight="1" x14ac:dyDescent="0.15"/>
    <row r="61885" s="76" customFormat="1" ht="21.95" customHeight="1" x14ac:dyDescent="0.15"/>
    <row r="61886" s="76" customFormat="1" ht="21.95" customHeight="1" x14ac:dyDescent="0.15"/>
    <row r="61887" s="76" customFormat="1" ht="21.95" customHeight="1" x14ac:dyDescent="0.15"/>
    <row r="61888" s="76" customFormat="1" ht="21.95" customHeight="1" x14ac:dyDescent="0.15"/>
    <row r="61889" s="76" customFormat="1" ht="21.95" customHeight="1" x14ac:dyDescent="0.15"/>
    <row r="61890" s="76" customFormat="1" ht="21.95" customHeight="1" x14ac:dyDescent="0.15"/>
    <row r="61891" s="76" customFormat="1" ht="21.95" customHeight="1" x14ac:dyDescent="0.15"/>
    <row r="61892" s="76" customFormat="1" ht="21.95" customHeight="1" x14ac:dyDescent="0.15"/>
    <row r="61893" s="76" customFormat="1" ht="21.95" customHeight="1" x14ac:dyDescent="0.15"/>
    <row r="61894" s="76" customFormat="1" ht="21.95" customHeight="1" x14ac:dyDescent="0.15"/>
    <row r="61895" s="76" customFormat="1" ht="21.95" customHeight="1" x14ac:dyDescent="0.15"/>
    <row r="61896" s="76" customFormat="1" ht="21.95" customHeight="1" x14ac:dyDescent="0.15"/>
    <row r="61897" s="76" customFormat="1" ht="21.95" customHeight="1" x14ac:dyDescent="0.15"/>
    <row r="61898" s="76" customFormat="1" ht="21.95" customHeight="1" x14ac:dyDescent="0.15"/>
    <row r="61899" s="76" customFormat="1" ht="21.95" customHeight="1" x14ac:dyDescent="0.15"/>
    <row r="61900" s="76" customFormat="1" ht="21.95" customHeight="1" x14ac:dyDescent="0.15"/>
    <row r="61901" s="76" customFormat="1" ht="21.95" customHeight="1" x14ac:dyDescent="0.15"/>
    <row r="61902" s="76" customFormat="1" ht="21.95" customHeight="1" x14ac:dyDescent="0.15"/>
    <row r="61903" s="76" customFormat="1" ht="21.95" customHeight="1" x14ac:dyDescent="0.15"/>
    <row r="61904" s="76" customFormat="1" ht="21.95" customHeight="1" x14ac:dyDescent="0.15"/>
    <row r="61905" s="76" customFormat="1" ht="21.95" customHeight="1" x14ac:dyDescent="0.15"/>
    <row r="61906" s="76" customFormat="1" ht="21.95" customHeight="1" x14ac:dyDescent="0.15"/>
    <row r="61907" s="76" customFormat="1" ht="21.95" customHeight="1" x14ac:dyDescent="0.15"/>
    <row r="61908" s="76" customFormat="1" ht="21.95" customHeight="1" x14ac:dyDescent="0.15"/>
    <row r="61909" s="76" customFormat="1" ht="21.95" customHeight="1" x14ac:dyDescent="0.15"/>
    <row r="61910" s="76" customFormat="1" ht="21.95" customHeight="1" x14ac:dyDescent="0.15"/>
    <row r="61911" s="76" customFormat="1" ht="21.95" customHeight="1" x14ac:dyDescent="0.15"/>
    <row r="61912" s="76" customFormat="1" ht="21.95" customHeight="1" x14ac:dyDescent="0.15"/>
    <row r="61913" s="76" customFormat="1" ht="35.1" customHeight="1" x14ac:dyDescent="0.15"/>
    <row r="61914" s="76" customFormat="1" ht="21.95" customHeight="1" x14ac:dyDescent="0.15"/>
    <row r="61915" s="76" customFormat="1" ht="21.95" customHeight="1" x14ac:dyDescent="0.15"/>
    <row r="61916" s="76" customFormat="1" ht="21.95" customHeight="1" x14ac:dyDescent="0.15"/>
    <row r="61917" s="76" customFormat="1" ht="21.95" customHeight="1" x14ac:dyDescent="0.15"/>
    <row r="61918" s="76" customFormat="1" ht="21.95" customHeight="1" x14ac:dyDescent="0.15"/>
    <row r="61919" s="76" customFormat="1" ht="21.95" customHeight="1" x14ac:dyDescent="0.15"/>
    <row r="61920" s="76" customFormat="1" ht="21.95" customHeight="1" x14ac:dyDescent="0.15"/>
    <row r="61921" s="76" customFormat="1" ht="21.95" customHeight="1" x14ac:dyDescent="0.15"/>
    <row r="61922" s="76" customFormat="1" ht="21.95" customHeight="1" x14ac:dyDescent="0.15"/>
    <row r="61923" s="76" customFormat="1" ht="21.95" customHeight="1" x14ac:dyDescent="0.15"/>
    <row r="61924" s="76" customFormat="1" ht="21.95" customHeight="1" x14ac:dyDescent="0.15"/>
    <row r="61925" s="76" customFormat="1" ht="21.95" customHeight="1" x14ac:dyDescent="0.15"/>
    <row r="61926" s="76" customFormat="1" ht="21.95" customHeight="1" x14ac:dyDescent="0.15"/>
    <row r="61927" s="76" customFormat="1" ht="21.95" customHeight="1" x14ac:dyDescent="0.15"/>
    <row r="61928" s="76" customFormat="1" ht="21.95" customHeight="1" x14ac:dyDescent="0.15"/>
    <row r="61929" s="76" customFormat="1" ht="21.95" customHeight="1" x14ac:dyDescent="0.15"/>
    <row r="61930" s="76" customFormat="1" ht="21.95" customHeight="1" x14ac:dyDescent="0.15"/>
    <row r="61931" s="76" customFormat="1" ht="21.95" customHeight="1" x14ac:dyDescent="0.15"/>
    <row r="61932" s="76" customFormat="1" ht="21.95" customHeight="1" x14ac:dyDescent="0.15"/>
    <row r="61933" s="76" customFormat="1" ht="21.95" customHeight="1" x14ac:dyDescent="0.15"/>
    <row r="61934" s="76" customFormat="1" ht="21.95" customHeight="1" x14ac:dyDescent="0.15"/>
    <row r="61935" s="76" customFormat="1" ht="21.95" customHeight="1" x14ac:dyDescent="0.15"/>
    <row r="61936" s="76" customFormat="1" ht="21.95" customHeight="1" x14ac:dyDescent="0.15"/>
    <row r="61937" spans="3:3" customFormat="1" ht="21.95" customHeight="1" x14ac:dyDescent="0.15"/>
    <row r="61938" spans="3:3" customFormat="1" ht="21.95" customHeight="1" x14ac:dyDescent="0.15"/>
    <row r="61939" spans="3:3" customFormat="1" ht="21.95" customHeight="1" x14ac:dyDescent="0.15">
      <c r="C61939" s="94"/>
    </row>
    <row r="61940" spans="3:3" customFormat="1" ht="21.95" customHeight="1" x14ac:dyDescent="0.15">
      <c r="C61940" s="94"/>
    </row>
    <row r="61941" spans="3:3" customFormat="1" ht="21.95" customHeight="1" x14ac:dyDescent="0.15"/>
    <row r="61942" spans="3:3" customFormat="1" ht="21.95" customHeight="1" x14ac:dyDescent="0.15"/>
    <row r="61943" spans="3:3" customFormat="1" ht="21.95" customHeight="1" x14ac:dyDescent="0.15"/>
    <row r="61944" spans="3:3" customFormat="1" ht="21.95" customHeight="1" x14ac:dyDescent="0.15"/>
    <row r="61945" spans="3:3" customFormat="1" ht="21.95" customHeight="1" x14ac:dyDescent="0.15"/>
    <row r="61946" spans="3:3" customFormat="1" ht="21.95" customHeight="1" x14ac:dyDescent="0.15"/>
    <row r="61947" spans="3:3" customFormat="1" ht="21.95" customHeight="1" x14ac:dyDescent="0.15"/>
    <row r="61948" spans="3:3" s="76" customFormat="1" ht="21.95" customHeight="1" x14ac:dyDescent="0.15"/>
    <row r="61949" spans="3:3" s="76" customFormat="1" ht="21.95" customHeight="1" x14ac:dyDescent="0.15"/>
    <row r="61950" spans="3:3" s="76" customFormat="1" ht="21.95" customHeight="1" x14ac:dyDescent="0.15"/>
    <row r="61951" spans="3:3" s="76" customFormat="1" ht="21.95" customHeight="1" x14ac:dyDescent="0.15"/>
    <row r="61952" spans="3:3" customFormat="1" ht="21.95" customHeight="1" x14ac:dyDescent="0.15"/>
    <row r="61953" customFormat="1" ht="21.95" customHeight="1" x14ac:dyDescent="0.15"/>
    <row r="61954" customFormat="1" ht="21.95" customHeight="1" x14ac:dyDescent="0.15"/>
    <row r="61955" customFormat="1" ht="21.95" customHeight="1" x14ac:dyDescent="0.15"/>
    <row r="61956" customFormat="1" ht="21.95" customHeight="1" x14ac:dyDescent="0.15"/>
    <row r="61957" customFormat="1" ht="21.95" customHeight="1" x14ac:dyDescent="0.15"/>
    <row r="61958" customFormat="1" ht="21.95" customHeight="1" x14ac:dyDescent="0.15"/>
    <row r="61959" customFormat="1" ht="21.95" customHeight="1" x14ac:dyDescent="0.15"/>
    <row r="61960" customFormat="1" ht="21.95" customHeight="1" x14ac:dyDescent="0.15"/>
    <row r="61961" customFormat="1" ht="21.95" customHeight="1" x14ac:dyDescent="0.15"/>
    <row r="61962" customFormat="1" ht="21.95" customHeight="1" x14ac:dyDescent="0.15"/>
    <row r="61963" customFormat="1" ht="32.1" customHeight="1" x14ac:dyDescent="0.15"/>
    <row r="61964" customFormat="1" ht="32.1" customHeight="1" x14ac:dyDescent="0.15"/>
    <row r="61965" customFormat="1" ht="32.1" customHeight="1" x14ac:dyDescent="0.15"/>
    <row r="61966" customFormat="1" ht="32.1" customHeight="1" x14ac:dyDescent="0.15"/>
    <row r="61967" customFormat="1" ht="32.1" customHeight="1" x14ac:dyDescent="0.15"/>
    <row r="61968" customFormat="1" ht="32.1" customHeight="1" x14ac:dyDescent="0.15"/>
    <row r="61969" s="76" customFormat="1" ht="32.1" customHeight="1" x14ac:dyDescent="0.15"/>
    <row r="61970" s="76" customFormat="1" ht="32.1" customHeight="1" x14ac:dyDescent="0.15"/>
    <row r="61971" s="76" customFormat="1" ht="32.1" customHeight="1" x14ac:dyDescent="0.15"/>
    <row r="61972" s="76" customFormat="1" ht="32.1" customHeight="1" x14ac:dyDescent="0.15"/>
    <row r="61973" s="76" customFormat="1" ht="21.95" customHeight="1" x14ac:dyDescent="0.15"/>
    <row r="61974" s="76" customFormat="1" ht="54" customHeight="1" x14ac:dyDescent="0.15"/>
    <row r="61975" s="76" customFormat="1" ht="21.95" customHeight="1" x14ac:dyDescent="0.15"/>
    <row r="61976" s="76" customFormat="1" ht="21.95" customHeight="1" x14ac:dyDescent="0.15"/>
    <row r="61977" s="76" customFormat="1" ht="21.95" customHeight="1" x14ac:dyDescent="0.15"/>
    <row r="61978" s="76" customFormat="1" ht="21.95" customHeight="1" x14ac:dyDescent="0.15"/>
    <row r="61979" s="76" customFormat="1" ht="21.95" customHeight="1" x14ac:dyDescent="0.15"/>
    <row r="61980" s="76" customFormat="1" ht="21.95" customHeight="1" x14ac:dyDescent="0.15"/>
    <row r="61981" s="76" customFormat="1" ht="21.95" customHeight="1" x14ac:dyDescent="0.15"/>
    <row r="61982" s="76" customFormat="1" ht="21.95" customHeight="1" x14ac:dyDescent="0.15"/>
    <row r="61983" s="76" customFormat="1" ht="21.95" customHeight="1" x14ac:dyDescent="0.15"/>
    <row r="61984" s="76" customFormat="1" ht="21.95" customHeight="1" x14ac:dyDescent="0.15"/>
    <row r="61985" s="76" customFormat="1" ht="21.95" customHeight="1" x14ac:dyDescent="0.15"/>
    <row r="61986" s="76" customFormat="1" ht="21.95" customHeight="1" x14ac:dyDescent="0.15"/>
    <row r="61987" s="76" customFormat="1" ht="21.95" customHeight="1" x14ac:dyDescent="0.15"/>
    <row r="61988" s="76" customFormat="1" ht="21.95" customHeight="1" x14ac:dyDescent="0.15"/>
    <row r="61989" s="76" customFormat="1" ht="21.95" customHeight="1" x14ac:dyDescent="0.15"/>
    <row r="61990" s="76" customFormat="1" ht="21.95" customHeight="1" x14ac:dyDescent="0.15"/>
    <row r="61991" s="76" customFormat="1" ht="21.95" customHeight="1" x14ac:dyDescent="0.15"/>
    <row r="61992" s="76" customFormat="1" ht="21.95" customHeight="1" x14ac:dyDescent="0.15"/>
    <row r="61993" s="76" customFormat="1" ht="21.95" customHeight="1" x14ac:dyDescent="0.15"/>
    <row r="61994" s="76" customFormat="1" ht="21.95" customHeight="1" x14ac:dyDescent="0.15"/>
    <row r="61995" s="76" customFormat="1" ht="21.95" customHeight="1" x14ac:dyDescent="0.15"/>
    <row r="61996" s="76" customFormat="1" ht="21.95" customHeight="1" x14ac:dyDescent="0.15"/>
    <row r="61997" s="76" customFormat="1" ht="21.95" customHeight="1" x14ac:dyDescent="0.15"/>
    <row r="61998" s="76" customFormat="1" ht="21.95" customHeight="1" x14ac:dyDescent="0.15"/>
    <row r="61999" s="76" customFormat="1" ht="21.95" customHeight="1" x14ac:dyDescent="0.15"/>
    <row r="62000" s="76" customFormat="1" ht="21.95" customHeight="1" x14ac:dyDescent="0.15"/>
    <row r="62001" s="76" customFormat="1" ht="21.95" customHeight="1" x14ac:dyDescent="0.15"/>
    <row r="62002" s="76" customFormat="1" ht="21.95" customHeight="1" x14ac:dyDescent="0.15"/>
    <row r="62003" s="76" customFormat="1" ht="21.95" customHeight="1" x14ac:dyDescent="0.15"/>
    <row r="62004" s="76" customFormat="1" ht="21.95" customHeight="1" x14ac:dyDescent="0.15"/>
    <row r="62005" s="76" customFormat="1" ht="21.95" customHeight="1" x14ac:dyDescent="0.15"/>
    <row r="62006" s="76" customFormat="1" ht="21.95" customHeight="1" x14ac:dyDescent="0.15"/>
    <row r="62007" s="76" customFormat="1" ht="21.95" customHeight="1" x14ac:dyDescent="0.15"/>
    <row r="62008" s="76" customFormat="1" ht="21.95" customHeight="1" x14ac:dyDescent="0.15"/>
    <row r="62009" s="76" customFormat="1" ht="21.95" customHeight="1" x14ac:dyDescent="0.15"/>
    <row r="62010" s="76" customFormat="1" ht="21.95" customHeight="1" x14ac:dyDescent="0.15"/>
    <row r="62011" s="76" customFormat="1" ht="21.95" customHeight="1" x14ac:dyDescent="0.15"/>
    <row r="62012" s="76" customFormat="1" ht="21.95" customHeight="1" x14ac:dyDescent="0.15"/>
    <row r="62013" s="76" customFormat="1" ht="21.95" customHeight="1" x14ac:dyDescent="0.15"/>
    <row r="62014" s="76" customFormat="1" ht="21.95" customHeight="1" x14ac:dyDescent="0.15"/>
    <row r="62015" s="76" customFormat="1" ht="21.95" customHeight="1" x14ac:dyDescent="0.15"/>
    <row r="62016" s="76" customFormat="1" ht="21.95" customHeight="1" x14ac:dyDescent="0.15"/>
    <row r="62017" s="76" customFormat="1" ht="21.95" customHeight="1" x14ac:dyDescent="0.15"/>
    <row r="62018" s="76" customFormat="1" ht="21.95" customHeight="1" x14ac:dyDescent="0.15"/>
    <row r="62019" s="76" customFormat="1" ht="21.95" customHeight="1" x14ac:dyDescent="0.15"/>
    <row r="62020" s="76" customFormat="1" ht="21.95" customHeight="1" x14ac:dyDescent="0.15"/>
    <row r="62021" s="76" customFormat="1" ht="21.95" customHeight="1" x14ac:dyDescent="0.15"/>
    <row r="62022" s="76" customFormat="1" ht="21.95" customHeight="1" x14ac:dyDescent="0.15"/>
    <row r="62023" s="76" customFormat="1" ht="21.95" customHeight="1" x14ac:dyDescent="0.15"/>
    <row r="62024" s="76" customFormat="1" ht="21.95" customHeight="1" x14ac:dyDescent="0.15"/>
    <row r="62025" s="76" customFormat="1" ht="35.1" customHeight="1" x14ac:dyDescent="0.15"/>
    <row r="62026" s="76" customFormat="1" ht="21.95" customHeight="1" x14ac:dyDescent="0.15"/>
    <row r="62027" s="76" customFormat="1" ht="21.95" customHeight="1" x14ac:dyDescent="0.15"/>
    <row r="62028" s="76" customFormat="1" ht="21.95" customHeight="1" x14ac:dyDescent="0.15"/>
    <row r="62029" s="76" customFormat="1" ht="21.95" customHeight="1" x14ac:dyDescent="0.15"/>
    <row r="62030" s="76" customFormat="1" ht="21.95" customHeight="1" x14ac:dyDescent="0.15"/>
    <row r="62031" s="76" customFormat="1" ht="21.95" customHeight="1" x14ac:dyDescent="0.15"/>
    <row r="62032" s="76" customFormat="1" ht="21.95" customHeight="1" x14ac:dyDescent="0.15"/>
    <row r="62033" s="76" customFormat="1" ht="21.95" customHeight="1" x14ac:dyDescent="0.15"/>
    <row r="62034" s="76" customFormat="1" ht="21.95" customHeight="1" x14ac:dyDescent="0.15"/>
    <row r="62035" s="76" customFormat="1" ht="21.95" customHeight="1" x14ac:dyDescent="0.15"/>
    <row r="62036" s="76" customFormat="1" ht="21.95" customHeight="1" x14ac:dyDescent="0.15"/>
    <row r="62037" s="76" customFormat="1" ht="21.95" customHeight="1" x14ac:dyDescent="0.15"/>
    <row r="62038" s="76" customFormat="1" ht="21.95" customHeight="1" x14ac:dyDescent="0.15"/>
    <row r="62039" s="76" customFormat="1" ht="21.95" customHeight="1" x14ac:dyDescent="0.15"/>
    <row r="62040" s="76" customFormat="1" ht="21.95" customHeight="1" x14ac:dyDescent="0.15"/>
    <row r="62041" s="76" customFormat="1" ht="21.95" customHeight="1" x14ac:dyDescent="0.15"/>
    <row r="62042" s="76" customFormat="1" ht="21.95" customHeight="1" x14ac:dyDescent="0.15"/>
    <row r="62043" s="76" customFormat="1" ht="21.95" customHeight="1" x14ac:dyDescent="0.15"/>
    <row r="62044" s="76" customFormat="1" ht="21.95" customHeight="1" x14ac:dyDescent="0.15"/>
    <row r="62045" s="76" customFormat="1" ht="21.95" customHeight="1" x14ac:dyDescent="0.15"/>
    <row r="62046" s="76" customFormat="1" ht="21.95" customHeight="1" x14ac:dyDescent="0.15"/>
    <row r="62047" s="76" customFormat="1" ht="21.95" customHeight="1" x14ac:dyDescent="0.15"/>
    <row r="62048" s="76" customFormat="1" ht="21.95" customHeight="1" x14ac:dyDescent="0.15"/>
    <row r="62049" spans="3:3" customFormat="1" ht="21.95" customHeight="1" x14ac:dyDescent="0.15"/>
    <row r="62050" spans="3:3" customFormat="1" ht="21.95" customHeight="1" x14ac:dyDescent="0.15"/>
    <row r="62051" spans="3:3" customFormat="1" ht="21.95" customHeight="1" x14ac:dyDescent="0.15">
      <c r="C62051" s="94"/>
    </row>
    <row r="62052" spans="3:3" customFormat="1" ht="21.95" customHeight="1" x14ac:dyDescent="0.15">
      <c r="C62052" s="94"/>
    </row>
    <row r="62053" spans="3:3" customFormat="1" ht="21.95" customHeight="1" x14ac:dyDescent="0.15"/>
    <row r="62054" spans="3:3" customFormat="1" ht="21.95" customHeight="1" x14ac:dyDescent="0.15"/>
    <row r="62055" spans="3:3" customFormat="1" ht="21.95" customHeight="1" x14ac:dyDescent="0.15"/>
    <row r="62056" spans="3:3" customFormat="1" ht="21.95" customHeight="1" x14ac:dyDescent="0.15"/>
    <row r="62057" spans="3:3" customFormat="1" ht="21.95" customHeight="1" x14ac:dyDescent="0.15"/>
    <row r="62058" spans="3:3" customFormat="1" ht="21.95" customHeight="1" x14ac:dyDescent="0.15"/>
    <row r="62059" spans="3:3" customFormat="1" ht="21.95" customHeight="1" x14ac:dyDescent="0.15"/>
    <row r="62060" spans="3:3" s="76" customFormat="1" ht="21.95" customHeight="1" x14ac:dyDescent="0.15"/>
    <row r="62061" spans="3:3" s="76" customFormat="1" ht="21.95" customHeight="1" x14ac:dyDescent="0.15"/>
    <row r="62062" spans="3:3" s="76" customFormat="1" ht="21.95" customHeight="1" x14ac:dyDescent="0.15"/>
    <row r="62063" spans="3:3" s="76" customFormat="1" ht="21.95" customHeight="1" x14ac:dyDescent="0.15"/>
    <row r="62064" spans="3:3" customFormat="1" ht="21.95" customHeight="1" x14ac:dyDescent="0.15"/>
    <row r="62065" customFormat="1" ht="21.95" customHeight="1" x14ac:dyDescent="0.15"/>
    <row r="62066" customFormat="1" ht="21.95" customHeight="1" x14ac:dyDescent="0.15"/>
    <row r="62067" customFormat="1" ht="21.95" customHeight="1" x14ac:dyDescent="0.15"/>
    <row r="62068" customFormat="1" ht="21.95" customHeight="1" x14ac:dyDescent="0.15"/>
    <row r="62069" customFormat="1" ht="21.95" customHeight="1" x14ac:dyDescent="0.15"/>
    <row r="62070" customFormat="1" ht="21.95" customHeight="1" x14ac:dyDescent="0.15"/>
    <row r="62071" customFormat="1" ht="21.95" customHeight="1" x14ac:dyDescent="0.15"/>
    <row r="62072" customFormat="1" ht="21.95" customHeight="1" x14ac:dyDescent="0.15"/>
    <row r="62073" customFormat="1" ht="21.95" customHeight="1" x14ac:dyDescent="0.15"/>
    <row r="62074" customFormat="1" ht="21.95" customHeight="1" x14ac:dyDescent="0.15"/>
    <row r="62075" customFormat="1" ht="32.1" customHeight="1" x14ac:dyDescent="0.15"/>
    <row r="62076" customFormat="1" ht="32.1" customHeight="1" x14ac:dyDescent="0.15"/>
    <row r="62077" customFormat="1" ht="32.1" customHeight="1" x14ac:dyDescent="0.15"/>
    <row r="62078" customFormat="1" ht="32.1" customHeight="1" x14ac:dyDescent="0.15"/>
    <row r="62079" customFormat="1" ht="32.1" customHeight="1" x14ac:dyDescent="0.15"/>
    <row r="62080" customFormat="1" ht="32.1" customHeight="1" x14ac:dyDescent="0.15"/>
    <row r="62081" s="76" customFormat="1" ht="32.1" customHeight="1" x14ac:dyDescent="0.15"/>
    <row r="62082" s="76" customFormat="1" ht="32.1" customHeight="1" x14ac:dyDescent="0.15"/>
    <row r="62083" s="76" customFormat="1" ht="32.1" customHeight="1" x14ac:dyDescent="0.15"/>
    <row r="62084" s="76" customFormat="1" ht="32.1" customHeight="1" x14ac:dyDescent="0.15"/>
    <row r="62085" s="76" customFormat="1" ht="21.95" customHeight="1" x14ac:dyDescent="0.15"/>
    <row r="62086" s="76" customFormat="1" ht="54" customHeight="1" x14ac:dyDescent="0.15"/>
    <row r="62087" s="76" customFormat="1" ht="21.95" customHeight="1" x14ac:dyDescent="0.15"/>
    <row r="62088" s="76" customFormat="1" ht="21.95" customHeight="1" x14ac:dyDescent="0.15"/>
    <row r="62089" s="76" customFormat="1" ht="21.95" customHeight="1" x14ac:dyDescent="0.15"/>
    <row r="62090" s="76" customFormat="1" ht="21.95" customHeight="1" x14ac:dyDescent="0.15"/>
    <row r="62091" s="76" customFormat="1" ht="21.95" customHeight="1" x14ac:dyDescent="0.15"/>
    <row r="62092" s="76" customFormat="1" ht="21.95" customHeight="1" x14ac:dyDescent="0.15"/>
    <row r="62093" s="76" customFormat="1" ht="21.95" customHeight="1" x14ac:dyDescent="0.15"/>
    <row r="62094" s="76" customFormat="1" ht="21.95" customHeight="1" x14ac:dyDescent="0.15"/>
    <row r="62095" s="76" customFormat="1" ht="21.95" customHeight="1" x14ac:dyDescent="0.15"/>
    <row r="62096" s="76" customFormat="1" ht="21.95" customHeight="1" x14ac:dyDescent="0.15"/>
    <row r="62097" s="76" customFormat="1" ht="21.95" customHeight="1" x14ac:dyDescent="0.15"/>
    <row r="62098" s="76" customFormat="1" ht="21.95" customHeight="1" x14ac:dyDescent="0.15"/>
    <row r="62099" s="76" customFormat="1" ht="21.95" customHeight="1" x14ac:dyDescent="0.15"/>
    <row r="62100" s="76" customFormat="1" ht="21.95" customHeight="1" x14ac:dyDescent="0.15"/>
    <row r="62101" s="76" customFormat="1" ht="21.95" customHeight="1" x14ac:dyDescent="0.15"/>
    <row r="62102" s="76" customFormat="1" ht="21.95" customHeight="1" x14ac:dyDescent="0.15"/>
    <row r="62103" s="76" customFormat="1" ht="21.95" customHeight="1" x14ac:dyDescent="0.15"/>
    <row r="62104" s="76" customFormat="1" ht="21.95" customHeight="1" x14ac:dyDescent="0.15"/>
    <row r="62105" s="76" customFormat="1" ht="21.95" customHeight="1" x14ac:dyDescent="0.15"/>
    <row r="62106" s="76" customFormat="1" ht="21.95" customHeight="1" x14ac:dyDescent="0.15"/>
    <row r="62107" s="76" customFormat="1" ht="21.95" customHeight="1" x14ac:dyDescent="0.15"/>
    <row r="62108" s="76" customFormat="1" ht="21.95" customHeight="1" x14ac:dyDescent="0.15"/>
    <row r="62109" s="76" customFormat="1" ht="21.95" customHeight="1" x14ac:dyDescent="0.15"/>
    <row r="62110" s="76" customFormat="1" ht="21.95" customHeight="1" x14ac:dyDescent="0.15"/>
    <row r="62111" s="76" customFormat="1" ht="21.95" customHeight="1" x14ac:dyDescent="0.15"/>
    <row r="62112" s="76" customFormat="1" ht="21.95" customHeight="1" x14ac:dyDescent="0.15"/>
    <row r="62113" s="76" customFormat="1" ht="21.95" customHeight="1" x14ac:dyDescent="0.15"/>
    <row r="62114" s="76" customFormat="1" ht="21.95" customHeight="1" x14ac:dyDescent="0.15"/>
    <row r="62115" s="76" customFormat="1" ht="21.95" customHeight="1" x14ac:dyDescent="0.15"/>
    <row r="62116" s="76" customFormat="1" ht="21.95" customHeight="1" x14ac:dyDescent="0.15"/>
    <row r="62117" s="76" customFormat="1" ht="21.95" customHeight="1" x14ac:dyDescent="0.15"/>
    <row r="62118" s="76" customFormat="1" ht="21.95" customHeight="1" x14ac:dyDescent="0.15"/>
    <row r="62119" s="76" customFormat="1" ht="21.95" customHeight="1" x14ac:dyDescent="0.15"/>
    <row r="62120" s="76" customFormat="1" ht="21.95" customHeight="1" x14ac:dyDescent="0.15"/>
    <row r="62121" s="76" customFormat="1" ht="21.95" customHeight="1" x14ac:dyDescent="0.15"/>
    <row r="62122" s="76" customFormat="1" ht="21.95" customHeight="1" x14ac:dyDescent="0.15"/>
    <row r="62123" s="76" customFormat="1" ht="21.95" customHeight="1" x14ac:dyDescent="0.15"/>
    <row r="62124" s="76" customFormat="1" ht="21.95" customHeight="1" x14ac:dyDescent="0.15"/>
    <row r="62125" s="76" customFormat="1" ht="21.95" customHeight="1" x14ac:dyDescent="0.15"/>
    <row r="62126" s="76" customFormat="1" ht="21.95" customHeight="1" x14ac:dyDescent="0.15"/>
    <row r="62127" s="76" customFormat="1" ht="21.95" customHeight="1" x14ac:dyDescent="0.15"/>
    <row r="62128" s="76" customFormat="1" ht="21.95" customHeight="1" x14ac:dyDescent="0.15"/>
    <row r="62129" s="76" customFormat="1" ht="21.95" customHeight="1" x14ac:dyDescent="0.15"/>
    <row r="62130" s="76" customFormat="1" ht="21.95" customHeight="1" x14ac:dyDescent="0.15"/>
    <row r="62131" s="76" customFormat="1" ht="21.95" customHeight="1" x14ac:dyDescent="0.15"/>
    <row r="62132" s="76" customFormat="1" ht="21.95" customHeight="1" x14ac:dyDescent="0.15"/>
    <row r="62133" s="76" customFormat="1" ht="21.95" customHeight="1" x14ac:dyDescent="0.15"/>
    <row r="62134" s="76" customFormat="1" ht="21.95" customHeight="1" x14ac:dyDescent="0.15"/>
    <row r="62135" s="76" customFormat="1" ht="21.95" customHeight="1" x14ac:dyDescent="0.15"/>
    <row r="62136" s="76" customFormat="1" ht="21.95" customHeight="1" x14ac:dyDescent="0.15"/>
    <row r="62137" s="76" customFormat="1" ht="35.1" customHeight="1" x14ac:dyDescent="0.15"/>
    <row r="62138" s="76" customFormat="1" ht="21.95" customHeight="1" x14ac:dyDescent="0.15"/>
    <row r="62139" s="76" customFormat="1" ht="21.95" customHeight="1" x14ac:dyDescent="0.15"/>
    <row r="62140" s="76" customFormat="1" ht="21.95" customHeight="1" x14ac:dyDescent="0.15"/>
    <row r="62141" s="76" customFormat="1" ht="21.95" customHeight="1" x14ac:dyDescent="0.15"/>
    <row r="62142" s="76" customFormat="1" ht="21.95" customHeight="1" x14ac:dyDescent="0.15"/>
    <row r="62143" s="76" customFormat="1" ht="21.95" customHeight="1" x14ac:dyDescent="0.15"/>
    <row r="62144" s="76" customFormat="1" ht="21.95" customHeight="1" x14ac:dyDescent="0.15"/>
    <row r="62145" s="76" customFormat="1" ht="21.95" customHeight="1" x14ac:dyDescent="0.15"/>
    <row r="62146" s="76" customFormat="1" ht="21.95" customHeight="1" x14ac:dyDescent="0.15"/>
    <row r="62147" s="76" customFormat="1" ht="21.95" customHeight="1" x14ac:dyDescent="0.15"/>
    <row r="62148" s="76" customFormat="1" ht="21.95" customHeight="1" x14ac:dyDescent="0.15"/>
    <row r="62149" s="76" customFormat="1" ht="21.95" customHeight="1" x14ac:dyDescent="0.15"/>
    <row r="62150" s="76" customFormat="1" ht="21.95" customHeight="1" x14ac:dyDescent="0.15"/>
    <row r="62151" s="76" customFormat="1" ht="21.95" customHeight="1" x14ac:dyDescent="0.15"/>
    <row r="62152" s="76" customFormat="1" ht="21.95" customHeight="1" x14ac:dyDescent="0.15"/>
    <row r="62153" s="76" customFormat="1" ht="21.95" customHeight="1" x14ac:dyDescent="0.15"/>
    <row r="62154" s="76" customFormat="1" ht="21.95" customHeight="1" x14ac:dyDescent="0.15"/>
    <row r="62155" s="76" customFormat="1" ht="21.95" customHeight="1" x14ac:dyDescent="0.15"/>
    <row r="62156" s="76" customFormat="1" ht="21.95" customHeight="1" x14ac:dyDescent="0.15"/>
    <row r="62157" s="76" customFormat="1" ht="21.95" customHeight="1" x14ac:dyDescent="0.15"/>
    <row r="62158" s="76" customFormat="1" ht="21.95" customHeight="1" x14ac:dyDescent="0.15"/>
    <row r="62159" s="76" customFormat="1" ht="21.95" customHeight="1" x14ac:dyDescent="0.15"/>
    <row r="62160" s="76" customFormat="1" ht="21.95" customHeight="1" x14ac:dyDescent="0.15"/>
    <row r="62161" spans="3:3" customFormat="1" ht="21.95" customHeight="1" x14ac:dyDescent="0.15"/>
    <row r="62162" spans="3:3" customFormat="1" ht="21.95" customHeight="1" x14ac:dyDescent="0.15"/>
    <row r="62163" spans="3:3" customFormat="1" ht="21.95" customHeight="1" x14ac:dyDescent="0.15">
      <c r="C62163" s="94"/>
    </row>
    <row r="62164" spans="3:3" customFormat="1" ht="21.95" customHeight="1" x14ac:dyDescent="0.15">
      <c r="C62164" s="94"/>
    </row>
    <row r="62165" spans="3:3" customFormat="1" ht="21.95" customHeight="1" x14ac:dyDescent="0.15"/>
    <row r="62166" spans="3:3" customFormat="1" ht="21.95" customHeight="1" x14ac:dyDescent="0.15"/>
    <row r="62167" spans="3:3" customFormat="1" ht="21.95" customHeight="1" x14ac:dyDescent="0.15"/>
    <row r="62168" spans="3:3" customFormat="1" ht="21.95" customHeight="1" x14ac:dyDescent="0.15"/>
    <row r="62169" spans="3:3" customFormat="1" ht="21.95" customHeight="1" x14ac:dyDescent="0.15"/>
    <row r="62170" spans="3:3" customFormat="1" ht="21.95" customHeight="1" x14ac:dyDescent="0.15"/>
    <row r="62171" spans="3:3" customFormat="1" ht="21.95" customHeight="1" x14ac:dyDescent="0.15"/>
    <row r="62172" spans="3:3" s="76" customFormat="1" ht="21.95" customHeight="1" x14ac:dyDescent="0.15"/>
    <row r="62173" spans="3:3" s="76" customFormat="1" ht="21.95" customHeight="1" x14ac:dyDescent="0.15"/>
    <row r="62174" spans="3:3" s="76" customFormat="1" ht="21.95" customHeight="1" x14ac:dyDescent="0.15"/>
    <row r="62175" spans="3:3" s="76" customFormat="1" ht="21.95" customHeight="1" x14ac:dyDescent="0.15"/>
    <row r="62176" spans="3:3" customFormat="1" ht="21.95" customHeight="1" x14ac:dyDescent="0.15"/>
    <row r="62177" customFormat="1" ht="21.95" customHeight="1" x14ac:dyDescent="0.15"/>
    <row r="62178" customFormat="1" ht="21.95" customHeight="1" x14ac:dyDescent="0.15"/>
    <row r="62179" customFormat="1" ht="21.95" customHeight="1" x14ac:dyDescent="0.15"/>
    <row r="62180" customFormat="1" ht="21.95" customHeight="1" x14ac:dyDescent="0.15"/>
    <row r="62181" customFormat="1" ht="21.95" customHeight="1" x14ac:dyDescent="0.15"/>
    <row r="62182" customFormat="1" ht="21.95" customHeight="1" x14ac:dyDescent="0.15"/>
    <row r="62183" customFormat="1" ht="21.95" customHeight="1" x14ac:dyDescent="0.15"/>
    <row r="62184" customFormat="1" ht="21.95" customHeight="1" x14ac:dyDescent="0.15"/>
    <row r="62185" customFormat="1" ht="21.95" customHeight="1" x14ac:dyDescent="0.15"/>
    <row r="62186" customFormat="1" ht="21.95" customHeight="1" x14ac:dyDescent="0.15"/>
    <row r="62187" customFormat="1" ht="32.1" customHeight="1" x14ac:dyDescent="0.15"/>
    <row r="62188" customFormat="1" ht="32.1" customHeight="1" x14ac:dyDescent="0.15"/>
    <row r="62189" customFormat="1" ht="32.1" customHeight="1" x14ac:dyDescent="0.15"/>
    <row r="62190" customFormat="1" ht="32.1" customHeight="1" x14ac:dyDescent="0.15"/>
    <row r="62191" customFormat="1" ht="32.1" customHeight="1" x14ac:dyDescent="0.15"/>
    <row r="62192" customFormat="1" ht="32.1" customHeight="1" x14ac:dyDescent="0.15"/>
    <row r="62193" s="76" customFormat="1" ht="32.1" customHeight="1" x14ac:dyDescent="0.15"/>
    <row r="62194" s="76" customFormat="1" ht="32.1" customHeight="1" x14ac:dyDescent="0.15"/>
    <row r="62195" s="76" customFormat="1" ht="32.1" customHeight="1" x14ac:dyDescent="0.15"/>
    <row r="62196" s="76" customFormat="1" ht="32.1" customHeight="1" x14ac:dyDescent="0.15"/>
    <row r="62197" s="76" customFormat="1" ht="21.95" customHeight="1" x14ac:dyDescent="0.15"/>
    <row r="62198" s="76" customFormat="1" ht="54" customHeight="1" x14ac:dyDescent="0.15"/>
    <row r="62199" s="76" customFormat="1" ht="21.95" customHeight="1" x14ac:dyDescent="0.15"/>
    <row r="62200" s="76" customFormat="1" ht="21.95" customHeight="1" x14ac:dyDescent="0.15"/>
    <row r="62201" s="76" customFormat="1" ht="21.95" customHeight="1" x14ac:dyDescent="0.15"/>
    <row r="62202" s="76" customFormat="1" ht="21.95" customHeight="1" x14ac:dyDescent="0.15"/>
    <row r="62203" s="76" customFormat="1" ht="21.95" customHeight="1" x14ac:dyDescent="0.15"/>
    <row r="62204" s="76" customFormat="1" ht="21.95" customHeight="1" x14ac:dyDescent="0.15"/>
    <row r="62205" s="76" customFormat="1" ht="21.95" customHeight="1" x14ac:dyDescent="0.15"/>
    <row r="62206" s="76" customFormat="1" ht="21.95" customHeight="1" x14ac:dyDescent="0.15"/>
    <row r="62207" s="76" customFormat="1" ht="21.95" customHeight="1" x14ac:dyDescent="0.15"/>
    <row r="62208" s="76" customFormat="1" ht="21.95" customHeight="1" x14ac:dyDescent="0.15"/>
    <row r="62209" s="76" customFormat="1" ht="21.95" customHeight="1" x14ac:dyDescent="0.15"/>
    <row r="62210" s="76" customFormat="1" ht="21.95" customHeight="1" x14ac:dyDescent="0.15"/>
    <row r="62211" s="76" customFormat="1" ht="21.95" customHeight="1" x14ac:dyDescent="0.15"/>
    <row r="62212" s="76" customFormat="1" ht="21.95" customHeight="1" x14ac:dyDescent="0.15"/>
    <row r="62213" s="76" customFormat="1" ht="21.95" customHeight="1" x14ac:dyDescent="0.15"/>
    <row r="62214" s="76" customFormat="1" ht="21.95" customHeight="1" x14ac:dyDescent="0.15"/>
    <row r="62215" s="76" customFormat="1" ht="21.95" customHeight="1" x14ac:dyDescent="0.15"/>
    <row r="62216" s="76" customFormat="1" ht="21.95" customHeight="1" x14ac:dyDescent="0.15"/>
    <row r="62217" s="76" customFormat="1" ht="21.95" customHeight="1" x14ac:dyDescent="0.15"/>
    <row r="62218" s="76" customFormat="1" ht="21.95" customHeight="1" x14ac:dyDescent="0.15"/>
    <row r="62219" s="76" customFormat="1" ht="21.95" customHeight="1" x14ac:dyDescent="0.15"/>
    <row r="62220" s="76" customFormat="1" ht="21.95" customHeight="1" x14ac:dyDescent="0.15"/>
    <row r="62221" s="76" customFormat="1" ht="21.95" customHeight="1" x14ac:dyDescent="0.15"/>
    <row r="62222" s="76" customFormat="1" ht="21.95" customHeight="1" x14ac:dyDescent="0.15"/>
    <row r="62223" s="76" customFormat="1" ht="21.95" customHeight="1" x14ac:dyDescent="0.15"/>
    <row r="62224" s="76" customFormat="1" ht="21.95" customHeight="1" x14ac:dyDescent="0.15"/>
    <row r="62225" s="76" customFormat="1" ht="21.95" customHeight="1" x14ac:dyDescent="0.15"/>
    <row r="62226" s="76" customFormat="1" ht="21.95" customHeight="1" x14ac:dyDescent="0.15"/>
    <row r="62227" s="76" customFormat="1" ht="21.95" customHeight="1" x14ac:dyDescent="0.15"/>
    <row r="62228" s="76" customFormat="1" ht="21.95" customHeight="1" x14ac:dyDescent="0.15"/>
    <row r="62229" s="76" customFormat="1" ht="21.95" customHeight="1" x14ac:dyDescent="0.15"/>
    <row r="62230" s="76" customFormat="1" ht="21.95" customHeight="1" x14ac:dyDescent="0.15"/>
    <row r="62231" s="76" customFormat="1" ht="21.95" customHeight="1" x14ac:dyDescent="0.15"/>
    <row r="62232" s="76" customFormat="1" ht="21.95" customHeight="1" x14ac:dyDescent="0.15"/>
    <row r="62233" s="76" customFormat="1" ht="21.95" customHeight="1" x14ac:dyDescent="0.15"/>
    <row r="62234" s="76" customFormat="1" ht="21.95" customHeight="1" x14ac:dyDescent="0.15"/>
    <row r="62235" s="76" customFormat="1" ht="21.95" customHeight="1" x14ac:dyDescent="0.15"/>
    <row r="62236" s="76" customFormat="1" ht="21.95" customHeight="1" x14ac:dyDescent="0.15"/>
    <row r="62237" s="76" customFormat="1" ht="21.95" customHeight="1" x14ac:dyDescent="0.15"/>
    <row r="62238" s="76" customFormat="1" ht="21.95" customHeight="1" x14ac:dyDescent="0.15"/>
    <row r="62239" s="76" customFormat="1" ht="21.95" customHeight="1" x14ac:dyDescent="0.15"/>
    <row r="62240" s="76" customFormat="1" ht="21.95" customHeight="1" x14ac:dyDescent="0.15"/>
    <row r="62241" s="76" customFormat="1" ht="21.95" customHeight="1" x14ac:dyDescent="0.15"/>
    <row r="62242" s="76" customFormat="1" ht="21.95" customHeight="1" x14ac:dyDescent="0.15"/>
    <row r="62243" s="76" customFormat="1" ht="21.95" customHeight="1" x14ac:dyDescent="0.15"/>
    <row r="62244" s="76" customFormat="1" ht="21.95" customHeight="1" x14ac:dyDescent="0.15"/>
    <row r="62245" s="76" customFormat="1" ht="21.95" customHeight="1" x14ac:dyDescent="0.15"/>
    <row r="62246" s="76" customFormat="1" ht="21.95" customHeight="1" x14ac:dyDescent="0.15"/>
    <row r="62247" s="76" customFormat="1" ht="21.95" customHeight="1" x14ac:dyDescent="0.15"/>
    <row r="62248" s="76" customFormat="1" ht="21.95" customHeight="1" x14ac:dyDescent="0.15"/>
    <row r="62249" s="76" customFormat="1" ht="35.1" customHeight="1" x14ac:dyDescent="0.15"/>
    <row r="62250" s="76" customFormat="1" ht="21.95" customHeight="1" x14ac:dyDescent="0.15"/>
    <row r="62251" s="76" customFormat="1" ht="21.95" customHeight="1" x14ac:dyDescent="0.15"/>
    <row r="62252" s="76" customFormat="1" ht="21.95" customHeight="1" x14ac:dyDescent="0.15"/>
    <row r="62253" s="76" customFormat="1" ht="21.95" customHeight="1" x14ac:dyDescent="0.15"/>
    <row r="62254" s="76" customFormat="1" ht="21.95" customHeight="1" x14ac:dyDescent="0.15"/>
    <row r="62255" s="76" customFormat="1" ht="21.95" customHeight="1" x14ac:dyDescent="0.15"/>
    <row r="62256" s="76" customFormat="1" ht="21.95" customHeight="1" x14ac:dyDescent="0.15"/>
    <row r="62257" s="76" customFormat="1" ht="21.95" customHeight="1" x14ac:dyDescent="0.15"/>
    <row r="62258" s="76" customFormat="1" ht="21.95" customHeight="1" x14ac:dyDescent="0.15"/>
    <row r="62259" s="76" customFormat="1" ht="21.95" customHeight="1" x14ac:dyDescent="0.15"/>
    <row r="62260" s="76" customFormat="1" ht="21.95" customHeight="1" x14ac:dyDescent="0.15"/>
    <row r="62261" s="76" customFormat="1" ht="21.95" customHeight="1" x14ac:dyDescent="0.15"/>
    <row r="62262" s="76" customFormat="1" ht="21.95" customHeight="1" x14ac:dyDescent="0.15"/>
    <row r="62263" s="76" customFormat="1" ht="21.95" customHeight="1" x14ac:dyDescent="0.15"/>
    <row r="62264" s="76" customFormat="1" ht="21.95" customHeight="1" x14ac:dyDescent="0.15"/>
    <row r="62265" s="76" customFormat="1" ht="21.95" customHeight="1" x14ac:dyDescent="0.15"/>
    <row r="62266" s="76" customFormat="1" ht="21.95" customHeight="1" x14ac:dyDescent="0.15"/>
    <row r="62267" s="76" customFormat="1" ht="21.95" customHeight="1" x14ac:dyDescent="0.15"/>
    <row r="62268" s="76" customFormat="1" ht="21.95" customHeight="1" x14ac:dyDescent="0.15"/>
    <row r="62269" s="76" customFormat="1" ht="21.95" customHeight="1" x14ac:dyDescent="0.15"/>
    <row r="62270" s="76" customFormat="1" ht="21.95" customHeight="1" x14ac:dyDescent="0.15"/>
    <row r="62271" s="76" customFormat="1" ht="21.95" customHeight="1" x14ac:dyDescent="0.15"/>
    <row r="62272" s="76" customFormat="1" ht="21.95" customHeight="1" x14ac:dyDescent="0.15"/>
    <row r="62273" spans="3:3" customFormat="1" ht="21.95" customHeight="1" x14ac:dyDescent="0.15"/>
    <row r="62274" spans="3:3" customFormat="1" ht="21.95" customHeight="1" x14ac:dyDescent="0.15"/>
    <row r="62275" spans="3:3" customFormat="1" ht="21.95" customHeight="1" x14ac:dyDescent="0.15">
      <c r="C62275" s="94"/>
    </row>
    <row r="62276" spans="3:3" customFormat="1" ht="21.95" customHeight="1" x14ac:dyDescent="0.15">
      <c r="C62276" s="94"/>
    </row>
    <row r="62277" spans="3:3" customFormat="1" ht="21.95" customHeight="1" x14ac:dyDescent="0.15"/>
    <row r="62278" spans="3:3" customFormat="1" ht="21.95" customHeight="1" x14ac:dyDescent="0.15"/>
    <row r="62279" spans="3:3" customFormat="1" ht="21.95" customHeight="1" x14ac:dyDescent="0.15"/>
    <row r="62280" spans="3:3" customFormat="1" ht="21.95" customHeight="1" x14ac:dyDescent="0.15"/>
    <row r="62281" spans="3:3" customFormat="1" ht="21.95" customHeight="1" x14ac:dyDescent="0.15"/>
    <row r="62282" spans="3:3" customFormat="1" ht="21.95" customHeight="1" x14ac:dyDescent="0.15"/>
    <row r="62283" spans="3:3" customFormat="1" ht="21.95" customHeight="1" x14ac:dyDescent="0.15"/>
    <row r="62284" spans="3:3" s="76" customFormat="1" ht="21.95" customHeight="1" x14ac:dyDescent="0.15"/>
    <row r="62285" spans="3:3" s="76" customFormat="1" ht="21.95" customHeight="1" x14ac:dyDescent="0.15"/>
    <row r="62286" spans="3:3" s="76" customFormat="1" ht="21.95" customHeight="1" x14ac:dyDescent="0.15"/>
    <row r="62287" spans="3:3" s="76" customFormat="1" ht="21.95" customHeight="1" x14ac:dyDescent="0.15"/>
    <row r="62288" spans="3:3" customFormat="1" ht="21.95" customHeight="1" x14ac:dyDescent="0.15"/>
    <row r="62289" customFormat="1" ht="21.95" customHeight="1" x14ac:dyDescent="0.15"/>
    <row r="62290" customFormat="1" ht="21.95" customHeight="1" x14ac:dyDescent="0.15"/>
    <row r="62291" customFormat="1" ht="21.95" customHeight="1" x14ac:dyDescent="0.15"/>
    <row r="62292" customFormat="1" ht="21.95" customHeight="1" x14ac:dyDescent="0.15"/>
    <row r="62293" customFormat="1" ht="21.95" customHeight="1" x14ac:dyDescent="0.15"/>
    <row r="62294" customFormat="1" ht="21.95" customHeight="1" x14ac:dyDescent="0.15"/>
    <row r="62295" customFormat="1" ht="21.95" customHeight="1" x14ac:dyDescent="0.15"/>
    <row r="62296" customFormat="1" ht="21.95" customHeight="1" x14ac:dyDescent="0.15"/>
    <row r="62297" customFormat="1" ht="21.95" customHeight="1" x14ac:dyDescent="0.15"/>
    <row r="62298" customFormat="1" ht="21.95" customHeight="1" x14ac:dyDescent="0.15"/>
    <row r="62299" customFormat="1" ht="32.1" customHeight="1" x14ac:dyDescent="0.15"/>
    <row r="62300" customFormat="1" ht="32.1" customHeight="1" x14ac:dyDescent="0.15"/>
    <row r="62301" customFormat="1" ht="32.1" customHeight="1" x14ac:dyDescent="0.15"/>
    <row r="62302" customFormat="1" ht="32.1" customHeight="1" x14ac:dyDescent="0.15"/>
    <row r="62303" customFormat="1" ht="32.1" customHeight="1" x14ac:dyDescent="0.15"/>
    <row r="62304" customFormat="1" ht="32.1" customHeight="1" x14ac:dyDescent="0.15"/>
    <row r="62305" s="76" customFormat="1" ht="32.1" customHeight="1" x14ac:dyDescent="0.15"/>
    <row r="62306" s="76" customFormat="1" ht="32.1" customHeight="1" x14ac:dyDescent="0.15"/>
    <row r="62307" s="76" customFormat="1" ht="32.1" customHeight="1" x14ac:dyDescent="0.15"/>
    <row r="62308" s="76" customFormat="1" ht="32.1" customHeight="1" x14ac:dyDescent="0.15"/>
    <row r="62309" s="76" customFormat="1" ht="21.95" customHeight="1" x14ac:dyDescent="0.15"/>
    <row r="62310" s="76" customFormat="1" ht="54" customHeight="1" x14ac:dyDescent="0.15"/>
    <row r="62311" s="76" customFormat="1" ht="21.95" customHeight="1" x14ac:dyDescent="0.15"/>
    <row r="62312" s="76" customFormat="1" ht="21.95" customHeight="1" x14ac:dyDescent="0.15"/>
    <row r="62313" s="76" customFormat="1" ht="21.95" customHeight="1" x14ac:dyDescent="0.15"/>
    <row r="62314" s="76" customFormat="1" ht="21.95" customHeight="1" x14ac:dyDescent="0.15"/>
    <row r="62315" s="76" customFormat="1" ht="21.95" customHeight="1" x14ac:dyDescent="0.15"/>
    <row r="62316" s="76" customFormat="1" ht="21.95" customHeight="1" x14ac:dyDescent="0.15"/>
    <row r="62317" s="76" customFormat="1" ht="21.95" customHeight="1" x14ac:dyDescent="0.15"/>
    <row r="62318" s="76" customFormat="1" ht="21.95" customHeight="1" x14ac:dyDescent="0.15"/>
    <row r="62319" s="76" customFormat="1" ht="21.95" customHeight="1" x14ac:dyDescent="0.15"/>
    <row r="62320" s="76" customFormat="1" ht="21.95" customHeight="1" x14ac:dyDescent="0.15"/>
    <row r="62321" s="76" customFormat="1" ht="21.95" customHeight="1" x14ac:dyDescent="0.15"/>
    <row r="62322" s="76" customFormat="1" ht="21.95" customHeight="1" x14ac:dyDescent="0.15"/>
    <row r="62323" s="76" customFormat="1" ht="21.95" customHeight="1" x14ac:dyDescent="0.15"/>
    <row r="62324" s="76" customFormat="1" ht="21.95" customHeight="1" x14ac:dyDescent="0.15"/>
    <row r="62325" s="76" customFormat="1" ht="21.95" customHeight="1" x14ac:dyDescent="0.15"/>
    <row r="62326" s="76" customFormat="1" ht="21.95" customHeight="1" x14ac:dyDescent="0.15"/>
    <row r="62327" s="76" customFormat="1" ht="21.95" customHeight="1" x14ac:dyDescent="0.15"/>
    <row r="62328" s="76" customFormat="1" ht="21.95" customHeight="1" x14ac:dyDescent="0.15"/>
    <row r="62329" s="76" customFormat="1" ht="21.95" customHeight="1" x14ac:dyDescent="0.15"/>
    <row r="62330" s="76" customFormat="1" ht="21.95" customHeight="1" x14ac:dyDescent="0.15"/>
    <row r="62331" s="76" customFormat="1" ht="21.95" customHeight="1" x14ac:dyDescent="0.15"/>
    <row r="62332" s="76" customFormat="1" ht="21.95" customHeight="1" x14ac:dyDescent="0.15"/>
    <row r="62333" s="76" customFormat="1" ht="21.95" customHeight="1" x14ac:dyDescent="0.15"/>
    <row r="62334" s="76" customFormat="1" ht="21.95" customHeight="1" x14ac:dyDescent="0.15"/>
    <row r="62335" s="76" customFormat="1" ht="21.95" customHeight="1" x14ac:dyDescent="0.15"/>
    <row r="62336" s="76" customFormat="1" ht="21.95" customHeight="1" x14ac:dyDescent="0.15"/>
    <row r="62337" s="76" customFormat="1" ht="21.95" customHeight="1" x14ac:dyDescent="0.15"/>
    <row r="62338" s="76" customFormat="1" ht="21.95" customHeight="1" x14ac:dyDescent="0.15"/>
    <row r="62339" s="76" customFormat="1" ht="21.95" customHeight="1" x14ac:dyDescent="0.15"/>
    <row r="62340" s="76" customFormat="1" ht="21.95" customHeight="1" x14ac:dyDescent="0.15"/>
    <row r="62341" s="76" customFormat="1" ht="21.95" customHeight="1" x14ac:dyDescent="0.15"/>
    <row r="62342" s="76" customFormat="1" ht="21.95" customHeight="1" x14ac:dyDescent="0.15"/>
    <row r="62343" s="76" customFormat="1" ht="21.95" customHeight="1" x14ac:dyDescent="0.15"/>
    <row r="62344" s="76" customFormat="1" ht="21.95" customHeight="1" x14ac:dyDescent="0.15"/>
    <row r="62345" s="76" customFormat="1" ht="21.95" customHeight="1" x14ac:dyDescent="0.15"/>
    <row r="62346" s="76" customFormat="1" ht="21.95" customHeight="1" x14ac:dyDescent="0.15"/>
    <row r="62347" s="76" customFormat="1" ht="21.95" customHeight="1" x14ac:dyDescent="0.15"/>
    <row r="62348" s="76" customFormat="1" ht="21.95" customHeight="1" x14ac:dyDescent="0.15"/>
    <row r="62349" s="76" customFormat="1" ht="21.95" customHeight="1" x14ac:dyDescent="0.15"/>
    <row r="62350" s="76" customFormat="1" ht="21.95" customHeight="1" x14ac:dyDescent="0.15"/>
    <row r="62351" s="76" customFormat="1" ht="21.95" customHeight="1" x14ac:dyDescent="0.15"/>
    <row r="62352" s="76" customFormat="1" ht="21.95" customHeight="1" x14ac:dyDescent="0.15"/>
    <row r="62353" s="76" customFormat="1" ht="21.95" customHeight="1" x14ac:dyDescent="0.15"/>
    <row r="62354" s="76" customFormat="1" ht="21.95" customHeight="1" x14ac:dyDescent="0.15"/>
    <row r="62355" s="76" customFormat="1" ht="21.95" customHeight="1" x14ac:dyDescent="0.15"/>
    <row r="62356" s="76" customFormat="1" ht="21.95" customHeight="1" x14ac:dyDescent="0.15"/>
    <row r="62357" s="76" customFormat="1" ht="21.95" customHeight="1" x14ac:dyDescent="0.15"/>
    <row r="62358" s="76" customFormat="1" ht="21.95" customHeight="1" x14ac:dyDescent="0.15"/>
    <row r="62359" s="76" customFormat="1" ht="21.95" customHeight="1" x14ac:dyDescent="0.15"/>
    <row r="62360" s="76" customFormat="1" ht="21.95" customHeight="1" x14ac:dyDescent="0.15"/>
    <row r="62361" s="76" customFormat="1" ht="35.1" customHeight="1" x14ac:dyDescent="0.15"/>
    <row r="62362" s="76" customFormat="1" ht="21.95" customHeight="1" x14ac:dyDescent="0.15"/>
    <row r="62363" s="76" customFormat="1" ht="21.95" customHeight="1" x14ac:dyDescent="0.15"/>
    <row r="62364" s="76" customFormat="1" ht="21.95" customHeight="1" x14ac:dyDescent="0.15"/>
    <row r="62365" s="76" customFormat="1" ht="21.95" customHeight="1" x14ac:dyDescent="0.15"/>
    <row r="62366" s="76" customFormat="1" ht="21.95" customHeight="1" x14ac:dyDescent="0.15"/>
    <row r="62367" s="76" customFormat="1" ht="21.95" customHeight="1" x14ac:dyDescent="0.15"/>
    <row r="62368" s="76" customFormat="1" ht="21.95" customHeight="1" x14ac:dyDescent="0.15"/>
    <row r="62369" s="76" customFormat="1" ht="21.95" customHeight="1" x14ac:dyDescent="0.15"/>
    <row r="62370" s="76" customFormat="1" ht="21.95" customHeight="1" x14ac:dyDescent="0.15"/>
    <row r="62371" s="76" customFormat="1" ht="21.95" customHeight="1" x14ac:dyDescent="0.15"/>
    <row r="62372" s="76" customFormat="1" ht="21.95" customHeight="1" x14ac:dyDescent="0.15"/>
    <row r="62373" s="76" customFormat="1" ht="21.95" customHeight="1" x14ac:dyDescent="0.15"/>
    <row r="62374" s="76" customFormat="1" ht="21.95" customHeight="1" x14ac:dyDescent="0.15"/>
    <row r="62375" s="76" customFormat="1" ht="21.95" customHeight="1" x14ac:dyDescent="0.15"/>
    <row r="62376" s="76" customFormat="1" ht="21.95" customHeight="1" x14ac:dyDescent="0.15"/>
    <row r="62377" s="76" customFormat="1" ht="21.95" customHeight="1" x14ac:dyDescent="0.15"/>
    <row r="62378" s="76" customFormat="1" ht="21.95" customHeight="1" x14ac:dyDescent="0.15"/>
    <row r="62379" s="76" customFormat="1" ht="21.95" customHeight="1" x14ac:dyDescent="0.15"/>
    <row r="62380" s="76" customFormat="1" ht="21.95" customHeight="1" x14ac:dyDescent="0.15"/>
    <row r="62381" s="76" customFormat="1" ht="21.95" customHeight="1" x14ac:dyDescent="0.15"/>
    <row r="62382" s="76" customFormat="1" ht="21.95" customHeight="1" x14ac:dyDescent="0.15"/>
    <row r="62383" s="76" customFormat="1" ht="21.95" customHeight="1" x14ac:dyDescent="0.15"/>
    <row r="62384" s="76" customFormat="1" ht="21.95" customHeight="1" x14ac:dyDescent="0.15"/>
    <row r="62385" spans="3:3" customFormat="1" ht="21.95" customHeight="1" x14ac:dyDescent="0.15"/>
    <row r="62386" spans="3:3" customFormat="1" ht="21.95" customHeight="1" x14ac:dyDescent="0.15"/>
    <row r="62387" spans="3:3" customFormat="1" ht="21.95" customHeight="1" x14ac:dyDescent="0.15">
      <c r="C62387" s="94"/>
    </row>
    <row r="62388" spans="3:3" customFormat="1" ht="21.95" customHeight="1" x14ac:dyDescent="0.15">
      <c r="C62388" s="94"/>
    </row>
    <row r="62389" spans="3:3" customFormat="1" ht="21.95" customHeight="1" x14ac:dyDescent="0.15"/>
    <row r="62390" spans="3:3" customFormat="1" ht="21.95" customHeight="1" x14ac:dyDescent="0.15"/>
    <row r="62391" spans="3:3" customFormat="1" ht="21.95" customHeight="1" x14ac:dyDescent="0.15"/>
    <row r="62392" spans="3:3" customFormat="1" ht="21.95" customHeight="1" x14ac:dyDescent="0.15"/>
    <row r="62393" spans="3:3" customFormat="1" ht="21.95" customHeight="1" x14ac:dyDescent="0.15"/>
    <row r="62394" spans="3:3" customFormat="1" ht="21.95" customHeight="1" x14ac:dyDescent="0.15"/>
    <row r="62395" spans="3:3" customFormat="1" ht="21.95" customHeight="1" x14ac:dyDescent="0.15"/>
    <row r="62396" spans="3:3" s="76" customFormat="1" ht="21.95" customHeight="1" x14ac:dyDescent="0.15"/>
    <row r="62397" spans="3:3" s="76" customFormat="1" ht="21.95" customHeight="1" x14ac:dyDescent="0.15"/>
    <row r="62398" spans="3:3" s="76" customFormat="1" ht="21.95" customHeight="1" x14ac:dyDescent="0.15"/>
    <row r="62399" spans="3:3" s="76" customFormat="1" ht="21.95" customHeight="1" x14ac:dyDescent="0.15"/>
    <row r="62400" spans="3:3" customFormat="1" ht="21.95" customHeight="1" x14ac:dyDescent="0.15"/>
    <row r="62401" customFormat="1" ht="21.95" customHeight="1" x14ac:dyDescent="0.15"/>
    <row r="62402" customFormat="1" ht="21.95" customHeight="1" x14ac:dyDescent="0.15"/>
    <row r="62403" customFormat="1" ht="21.95" customHeight="1" x14ac:dyDescent="0.15"/>
    <row r="62404" customFormat="1" ht="21.95" customHeight="1" x14ac:dyDescent="0.15"/>
    <row r="62405" customFormat="1" ht="21.95" customHeight="1" x14ac:dyDescent="0.15"/>
    <row r="62406" customFormat="1" ht="21.95" customHeight="1" x14ac:dyDescent="0.15"/>
    <row r="62407" customFormat="1" ht="21.95" customHeight="1" x14ac:dyDescent="0.15"/>
    <row r="62408" customFormat="1" ht="21.95" customHeight="1" x14ac:dyDescent="0.15"/>
    <row r="62409" customFormat="1" ht="21.95" customHeight="1" x14ac:dyDescent="0.15"/>
    <row r="62410" customFormat="1" ht="21.95" customHeight="1" x14ac:dyDescent="0.15"/>
    <row r="62411" customFormat="1" ht="32.1" customHeight="1" x14ac:dyDescent="0.15"/>
    <row r="62412" customFormat="1" ht="32.1" customHeight="1" x14ac:dyDescent="0.15"/>
    <row r="62413" customFormat="1" ht="32.1" customHeight="1" x14ac:dyDescent="0.15"/>
    <row r="62414" customFormat="1" ht="32.1" customHeight="1" x14ac:dyDescent="0.15"/>
    <row r="62415" customFormat="1" ht="32.1" customHeight="1" x14ac:dyDescent="0.15"/>
    <row r="62416" customFormat="1" ht="32.1" customHeight="1" x14ac:dyDescent="0.15"/>
    <row r="62417" s="76" customFormat="1" ht="32.1" customHeight="1" x14ac:dyDescent="0.15"/>
    <row r="62418" s="76" customFormat="1" ht="32.1" customHeight="1" x14ac:dyDescent="0.15"/>
    <row r="62419" s="76" customFormat="1" ht="32.1" customHeight="1" x14ac:dyDescent="0.15"/>
    <row r="62420" s="76" customFormat="1" ht="32.1" customHeight="1" x14ac:dyDescent="0.15"/>
    <row r="62421" s="76" customFormat="1" ht="21.95" customHeight="1" x14ac:dyDescent="0.15"/>
    <row r="62422" s="76" customFormat="1" ht="54" customHeight="1" x14ac:dyDescent="0.15"/>
    <row r="62423" s="76" customFormat="1" ht="21.95" customHeight="1" x14ac:dyDescent="0.15"/>
    <row r="62424" s="76" customFormat="1" ht="21.95" customHeight="1" x14ac:dyDescent="0.15"/>
    <row r="62425" s="76" customFormat="1" ht="21.95" customHeight="1" x14ac:dyDescent="0.15"/>
    <row r="62426" s="76" customFormat="1" ht="21.95" customHeight="1" x14ac:dyDescent="0.15"/>
    <row r="62427" s="76" customFormat="1" ht="21.95" customHeight="1" x14ac:dyDescent="0.15"/>
    <row r="62428" s="76" customFormat="1" ht="21.95" customHeight="1" x14ac:dyDescent="0.15"/>
    <row r="62429" s="76" customFormat="1" ht="21.95" customHeight="1" x14ac:dyDescent="0.15"/>
    <row r="62430" s="76" customFormat="1" ht="21.95" customHeight="1" x14ac:dyDescent="0.15"/>
    <row r="62431" s="76" customFormat="1" ht="21.95" customHeight="1" x14ac:dyDescent="0.15"/>
    <row r="62432" s="76" customFormat="1" ht="21.95" customHeight="1" x14ac:dyDescent="0.15"/>
    <row r="62433" s="76" customFormat="1" ht="21.95" customHeight="1" x14ac:dyDescent="0.15"/>
    <row r="62434" s="76" customFormat="1" ht="21.95" customHeight="1" x14ac:dyDescent="0.15"/>
    <row r="62435" s="76" customFormat="1" ht="21.95" customHeight="1" x14ac:dyDescent="0.15"/>
    <row r="62436" s="76" customFormat="1" ht="21.95" customHeight="1" x14ac:dyDescent="0.15"/>
    <row r="62437" s="76" customFormat="1" ht="21.95" customHeight="1" x14ac:dyDescent="0.15"/>
    <row r="62438" s="76" customFormat="1" ht="21.95" customHeight="1" x14ac:dyDescent="0.15"/>
    <row r="62439" s="76" customFormat="1" ht="21.95" customHeight="1" x14ac:dyDescent="0.15"/>
    <row r="62440" s="76" customFormat="1" ht="21.95" customHeight="1" x14ac:dyDescent="0.15"/>
    <row r="62441" s="76" customFormat="1" ht="21.95" customHeight="1" x14ac:dyDescent="0.15"/>
    <row r="62442" s="76" customFormat="1" ht="21.95" customHeight="1" x14ac:dyDescent="0.15"/>
    <row r="62443" s="76" customFormat="1" ht="21.95" customHeight="1" x14ac:dyDescent="0.15"/>
    <row r="62444" s="76" customFormat="1" ht="21.95" customHeight="1" x14ac:dyDescent="0.15"/>
    <row r="62445" s="76" customFormat="1" ht="21.95" customHeight="1" x14ac:dyDescent="0.15"/>
    <row r="62446" s="76" customFormat="1" ht="21.95" customHeight="1" x14ac:dyDescent="0.15"/>
    <row r="62447" s="76" customFormat="1" ht="21.95" customHeight="1" x14ac:dyDescent="0.15"/>
    <row r="62448" s="76" customFormat="1" ht="21.95" customHeight="1" x14ac:dyDescent="0.15"/>
    <row r="62449" s="76" customFormat="1" ht="21.95" customHeight="1" x14ac:dyDescent="0.15"/>
    <row r="62450" s="76" customFormat="1" ht="21.95" customHeight="1" x14ac:dyDescent="0.15"/>
    <row r="62451" s="76" customFormat="1" ht="21.95" customHeight="1" x14ac:dyDescent="0.15"/>
    <row r="62452" s="76" customFormat="1" ht="21.95" customHeight="1" x14ac:dyDescent="0.15"/>
    <row r="62453" s="76" customFormat="1" ht="21.95" customHeight="1" x14ac:dyDescent="0.15"/>
    <row r="62454" s="76" customFormat="1" ht="21.95" customHeight="1" x14ac:dyDescent="0.15"/>
    <row r="62455" s="76" customFormat="1" ht="21.95" customHeight="1" x14ac:dyDescent="0.15"/>
    <row r="62456" s="76" customFormat="1" ht="21.95" customHeight="1" x14ac:dyDescent="0.15"/>
    <row r="62457" s="76" customFormat="1" ht="21.95" customHeight="1" x14ac:dyDescent="0.15"/>
    <row r="62458" s="76" customFormat="1" ht="21.95" customHeight="1" x14ac:dyDescent="0.15"/>
    <row r="62459" s="76" customFormat="1" ht="21.95" customHeight="1" x14ac:dyDescent="0.15"/>
    <row r="62460" s="76" customFormat="1" ht="21.95" customHeight="1" x14ac:dyDescent="0.15"/>
    <row r="62461" s="76" customFormat="1" ht="21.95" customHeight="1" x14ac:dyDescent="0.15"/>
    <row r="62462" s="76" customFormat="1" ht="21.95" customHeight="1" x14ac:dyDescent="0.15"/>
    <row r="62463" s="76" customFormat="1" ht="21.95" customHeight="1" x14ac:dyDescent="0.15"/>
    <row r="62464" s="76" customFormat="1" ht="21.95" customHeight="1" x14ac:dyDescent="0.15"/>
    <row r="62465" s="76" customFormat="1" ht="21.95" customHeight="1" x14ac:dyDescent="0.15"/>
    <row r="62466" s="76" customFormat="1" ht="21.95" customHeight="1" x14ac:dyDescent="0.15"/>
    <row r="62467" s="76" customFormat="1" ht="21.95" customHeight="1" x14ac:dyDescent="0.15"/>
    <row r="62468" s="76" customFormat="1" ht="21.95" customHeight="1" x14ac:dyDescent="0.15"/>
    <row r="62469" s="76" customFormat="1" ht="21.95" customHeight="1" x14ac:dyDescent="0.15"/>
    <row r="62470" s="76" customFormat="1" ht="21.95" customHeight="1" x14ac:dyDescent="0.15"/>
    <row r="62471" s="76" customFormat="1" ht="21.95" customHeight="1" x14ac:dyDescent="0.15"/>
    <row r="62472" s="76" customFormat="1" ht="21.95" customHeight="1" x14ac:dyDescent="0.15"/>
    <row r="62473" s="76" customFormat="1" ht="35.1" customHeight="1" x14ac:dyDescent="0.15"/>
    <row r="62474" s="76" customFormat="1" ht="21.95" customHeight="1" x14ac:dyDescent="0.15"/>
    <row r="62475" s="76" customFormat="1" ht="21.95" customHeight="1" x14ac:dyDescent="0.15"/>
    <row r="62476" s="76" customFormat="1" ht="21.95" customHeight="1" x14ac:dyDescent="0.15"/>
    <row r="62477" s="76" customFormat="1" ht="21.95" customHeight="1" x14ac:dyDescent="0.15"/>
    <row r="62478" s="76" customFormat="1" ht="21.95" customHeight="1" x14ac:dyDescent="0.15"/>
    <row r="62479" s="76" customFormat="1" ht="21.95" customHeight="1" x14ac:dyDescent="0.15"/>
    <row r="62480" s="76" customFormat="1" ht="21.95" customHeight="1" x14ac:dyDescent="0.15"/>
    <row r="62481" s="76" customFormat="1" ht="21.95" customHeight="1" x14ac:dyDescent="0.15"/>
    <row r="62482" s="76" customFormat="1" ht="21.95" customHeight="1" x14ac:dyDescent="0.15"/>
    <row r="62483" s="76" customFormat="1" ht="21.95" customHeight="1" x14ac:dyDescent="0.15"/>
    <row r="62484" s="76" customFormat="1" ht="21.95" customHeight="1" x14ac:dyDescent="0.15"/>
    <row r="62485" s="76" customFormat="1" ht="21.95" customHeight="1" x14ac:dyDescent="0.15"/>
    <row r="62486" s="76" customFormat="1" ht="21.95" customHeight="1" x14ac:dyDescent="0.15"/>
    <row r="62487" s="76" customFormat="1" ht="21.95" customHeight="1" x14ac:dyDescent="0.15"/>
    <row r="62488" s="76" customFormat="1" ht="21.95" customHeight="1" x14ac:dyDescent="0.15"/>
    <row r="62489" s="76" customFormat="1" ht="21.95" customHeight="1" x14ac:dyDescent="0.15"/>
    <row r="62490" s="76" customFormat="1" ht="21.95" customHeight="1" x14ac:dyDescent="0.15"/>
    <row r="62491" s="76" customFormat="1" ht="21.95" customHeight="1" x14ac:dyDescent="0.15"/>
    <row r="62492" s="76" customFormat="1" ht="21.95" customHeight="1" x14ac:dyDescent="0.15"/>
    <row r="62493" s="76" customFormat="1" ht="21.95" customHeight="1" x14ac:dyDescent="0.15"/>
    <row r="62494" s="76" customFormat="1" ht="21.95" customHeight="1" x14ac:dyDescent="0.15"/>
    <row r="62495" s="76" customFormat="1" ht="21.95" customHeight="1" x14ac:dyDescent="0.15"/>
    <row r="62496" s="76" customFormat="1" ht="21.95" customHeight="1" x14ac:dyDescent="0.15"/>
    <row r="62497" spans="3:3" customFormat="1" ht="21.95" customHeight="1" x14ac:dyDescent="0.15"/>
    <row r="62498" spans="3:3" customFormat="1" ht="21.95" customHeight="1" x14ac:dyDescent="0.15"/>
    <row r="62499" spans="3:3" customFormat="1" ht="21.95" customHeight="1" x14ac:dyDescent="0.15">
      <c r="C62499" s="94"/>
    </row>
    <row r="62500" spans="3:3" customFormat="1" ht="21.95" customHeight="1" x14ac:dyDescent="0.15">
      <c r="C62500" s="94"/>
    </row>
    <row r="62501" spans="3:3" customFormat="1" ht="21.95" customHeight="1" x14ac:dyDescent="0.15"/>
    <row r="62502" spans="3:3" customFormat="1" ht="21.95" customHeight="1" x14ac:dyDescent="0.15"/>
    <row r="62503" spans="3:3" customFormat="1" ht="21.95" customHeight="1" x14ac:dyDescent="0.15"/>
    <row r="62504" spans="3:3" customFormat="1" ht="21.95" customHeight="1" x14ac:dyDescent="0.15"/>
    <row r="62505" spans="3:3" customFormat="1" ht="21.95" customHeight="1" x14ac:dyDescent="0.15"/>
    <row r="62506" spans="3:3" customFormat="1" ht="21.95" customHeight="1" x14ac:dyDescent="0.15"/>
    <row r="62507" spans="3:3" customFormat="1" ht="21.95" customHeight="1" x14ac:dyDescent="0.15"/>
    <row r="62508" spans="3:3" s="76" customFormat="1" ht="21.95" customHeight="1" x14ac:dyDescent="0.15"/>
    <row r="62509" spans="3:3" s="76" customFormat="1" ht="21.95" customHeight="1" x14ac:dyDescent="0.15"/>
    <row r="62510" spans="3:3" s="76" customFormat="1" ht="21.95" customHeight="1" x14ac:dyDescent="0.15"/>
    <row r="62511" spans="3:3" s="76" customFormat="1" ht="21.95" customHeight="1" x14ac:dyDescent="0.15"/>
    <row r="62512" spans="3:3" customFormat="1" ht="21.95" customHeight="1" x14ac:dyDescent="0.15"/>
    <row r="62513" customFormat="1" ht="21.95" customHeight="1" x14ac:dyDescent="0.15"/>
    <row r="62514" customFormat="1" ht="21.95" customHeight="1" x14ac:dyDescent="0.15"/>
    <row r="62515" customFormat="1" ht="21.95" customHeight="1" x14ac:dyDescent="0.15"/>
    <row r="62516" customFormat="1" ht="21.95" customHeight="1" x14ac:dyDescent="0.15"/>
    <row r="62517" customFormat="1" ht="21.95" customHeight="1" x14ac:dyDescent="0.15"/>
    <row r="62518" customFormat="1" ht="21.95" customHeight="1" x14ac:dyDescent="0.15"/>
    <row r="62519" customFormat="1" ht="21.95" customHeight="1" x14ac:dyDescent="0.15"/>
    <row r="62520" customFormat="1" ht="21.95" customHeight="1" x14ac:dyDescent="0.15"/>
    <row r="62521" customFormat="1" ht="21.95" customHeight="1" x14ac:dyDescent="0.15"/>
    <row r="62522" customFormat="1" ht="21.95" customHeight="1" x14ac:dyDescent="0.15"/>
    <row r="62523" customFormat="1" ht="32.1" customHeight="1" x14ac:dyDescent="0.15"/>
    <row r="62524" customFormat="1" ht="32.1" customHeight="1" x14ac:dyDescent="0.15"/>
    <row r="62525" customFormat="1" ht="32.1" customHeight="1" x14ac:dyDescent="0.15"/>
    <row r="62526" customFormat="1" ht="32.1" customHeight="1" x14ac:dyDescent="0.15"/>
    <row r="62527" customFormat="1" ht="32.1" customHeight="1" x14ac:dyDescent="0.15"/>
    <row r="62528" customFormat="1" ht="32.1" customHeight="1" x14ac:dyDescent="0.15"/>
    <row r="62529" s="76" customFormat="1" ht="32.1" customHeight="1" x14ac:dyDescent="0.15"/>
    <row r="62530" s="76" customFormat="1" ht="32.1" customHeight="1" x14ac:dyDescent="0.15"/>
    <row r="62531" s="76" customFormat="1" ht="32.1" customHeight="1" x14ac:dyDescent="0.15"/>
    <row r="62532" s="76" customFormat="1" ht="32.1" customHeight="1" x14ac:dyDescent="0.15"/>
    <row r="62533" s="76" customFormat="1" ht="21.95" customHeight="1" x14ac:dyDescent="0.15"/>
    <row r="62534" s="76" customFormat="1" ht="54" customHeight="1" x14ac:dyDescent="0.15"/>
    <row r="62535" s="76" customFormat="1" ht="21.95" customHeight="1" x14ac:dyDescent="0.15"/>
    <row r="62536" s="76" customFormat="1" ht="21.95" customHeight="1" x14ac:dyDescent="0.15"/>
    <row r="62537" s="76" customFormat="1" ht="21.95" customHeight="1" x14ac:dyDescent="0.15"/>
    <row r="62538" s="76" customFormat="1" ht="21.95" customHeight="1" x14ac:dyDescent="0.15"/>
    <row r="62539" s="76" customFormat="1" ht="21.95" customHeight="1" x14ac:dyDescent="0.15"/>
    <row r="62540" s="76" customFormat="1" ht="21.95" customHeight="1" x14ac:dyDescent="0.15"/>
    <row r="62541" s="76" customFormat="1" ht="21.95" customHeight="1" x14ac:dyDescent="0.15"/>
    <row r="62542" s="76" customFormat="1" ht="21.95" customHeight="1" x14ac:dyDescent="0.15"/>
    <row r="62543" s="76" customFormat="1" ht="21.95" customHeight="1" x14ac:dyDescent="0.15"/>
    <row r="62544" s="76" customFormat="1" ht="21.95" customHeight="1" x14ac:dyDescent="0.15"/>
    <row r="62545" s="76" customFormat="1" ht="21.95" customHeight="1" x14ac:dyDescent="0.15"/>
    <row r="62546" s="76" customFormat="1" ht="21.95" customHeight="1" x14ac:dyDescent="0.15"/>
    <row r="62547" s="76" customFormat="1" ht="21.95" customHeight="1" x14ac:dyDescent="0.15"/>
    <row r="62548" s="76" customFormat="1" ht="21.95" customHeight="1" x14ac:dyDescent="0.15"/>
    <row r="62549" s="76" customFormat="1" ht="21.95" customHeight="1" x14ac:dyDescent="0.15"/>
    <row r="62550" s="76" customFormat="1" ht="21.95" customHeight="1" x14ac:dyDescent="0.15"/>
    <row r="62551" s="76" customFormat="1" ht="21.95" customHeight="1" x14ac:dyDescent="0.15"/>
    <row r="62552" s="76" customFormat="1" ht="21.95" customHeight="1" x14ac:dyDescent="0.15"/>
    <row r="62553" s="76" customFormat="1" ht="21.95" customHeight="1" x14ac:dyDescent="0.15"/>
    <row r="62554" s="76" customFormat="1" ht="21.95" customHeight="1" x14ac:dyDescent="0.15"/>
    <row r="62555" s="76" customFormat="1" ht="21.95" customHeight="1" x14ac:dyDescent="0.15"/>
    <row r="62556" s="76" customFormat="1" ht="21.95" customHeight="1" x14ac:dyDescent="0.15"/>
    <row r="62557" s="76" customFormat="1" ht="21.95" customHeight="1" x14ac:dyDescent="0.15"/>
    <row r="62558" s="76" customFormat="1" ht="21.95" customHeight="1" x14ac:dyDescent="0.15"/>
    <row r="62559" s="76" customFormat="1" ht="21.95" customHeight="1" x14ac:dyDescent="0.15"/>
    <row r="62560" s="76" customFormat="1" ht="21.95" customHeight="1" x14ac:dyDescent="0.15"/>
    <row r="62561" s="76" customFormat="1" ht="21.95" customHeight="1" x14ac:dyDescent="0.15"/>
    <row r="62562" s="76" customFormat="1" ht="21.95" customHeight="1" x14ac:dyDescent="0.15"/>
    <row r="62563" s="76" customFormat="1" ht="21.95" customHeight="1" x14ac:dyDescent="0.15"/>
    <row r="62564" s="76" customFormat="1" ht="21.95" customHeight="1" x14ac:dyDescent="0.15"/>
    <row r="62565" s="76" customFormat="1" ht="21.95" customHeight="1" x14ac:dyDescent="0.15"/>
    <row r="62566" s="76" customFormat="1" ht="21.95" customHeight="1" x14ac:dyDescent="0.15"/>
    <row r="62567" s="76" customFormat="1" ht="21.95" customHeight="1" x14ac:dyDescent="0.15"/>
    <row r="62568" s="76" customFormat="1" ht="21.95" customHeight="1" x14ac:dyDescent="0.15"/>
    <row r="62569" s="76" customFormat="1" ht="21.95" customHeight="1" x14ac:dyDescent="0.15"/>
    <row r="62570" s="76" customFormat="1" ht="21.95" customHeight="1" x14ac:dyDescent="0.15"/>
    <row r="62571" s="76" customFormat="1" ht="21.95" customHeight="1" x14ac:dyDescent="0.15"/>
    <row r="62572" s="76" customFormat="1" ht="21.95" customHeight="1" x14ac:dyDescent="0.15"/>
    <row r="62573" s="76" customFormat="1" ht="21.95" customHeight="1" x14ac:dyDescent="0.15"/>
    <row r="62574" s="76" customFormat="1" ht="21.95" customHeight="1" x14ac:dyDescent="0.15"/>
    <row r="62575" s="76" customFormat="1" ht="21.95" customHeight="1" x14ac:dyDescent="0.15"/>
    <row r="62576" s="76" customFormat="1" ht="21.95" customHeight="1" x14ac:dyDescent="0.15"/>
    <row r="62577" s="76" customFormat="1" ht="21.95" customHeight="1" x14ac:dyDescent="0.15"/>
    <row r="62578" s="76" customFormat="1" ht="21.95" customHeight="1" x14ac:dyDescent="0.15"/>
    <row r="62579" s="76" customFormat="1" ht="21.95" customHeight="1" x14ac:dyDescent="0.15"/>
    <row r="62580" s="76" customFormat="1" ht="21.95" customHeight="1" x14ac:dyDescent="0.15"/>
    <row r="62581" s="76" customFormat="1" ht="21.95" customHeight="1" x14ac:dyDescent="0.15"/>
    <row r="62582" s="76" customFormat="1" ht="21.95" customHeight="1" x14ac:dyDescent="0.15"/>
    <row r="62583" s="76" customFormat="1" ht="21.95" customHeight="1" x14ac:dyDescent="0.15"/>
    <row r="62584" s="76" customFormat="1" ht="21.95" customHeight="1" x14ac:dyDescent="0.15"/>
    <row r="62585" s="76" customFormat="1" ht="35.1" customHeight="1" x14ac:dyDescent="0.15"/>
    <row r="62586" s="76" customFormat="1" ht="21.95" customHeight="1" x14ac:dyDescent="0.15"/>
    <row r="62587" s="76" customFormat="1" ht="21.95" customHeight="1" x14ac:dyDescent="0.15"/>
    <row r="62588" s="76" customFormat="1" ht="21.95" customHeight="1" x14ac:dyDescent="0.15"/>
    <row r="62589" s="76" customFormat="1" ht="21.95" customHeight="1" x14ac:dyDescent="0.15"/>
    <row r="62590" s="76" customFormat="1" ht="21.95" customHeight="1" x14ac:dyDescent="0.15"/>
    <row r="62591" s="76" customFormat="1" ht="21.95" customHeight="1" x14ac:dyDescent="0.15"/>
    <row r="62592" s="76" customFormat="1" ht="21.95" customHeight="1" x14ac:dyDescent="0.15"/>
    <row r="62593" s="76" customFormat="1" ht="21.95" customHeight="1" x14ac:dyDescent="0.15"/>
    <row r="62594" s="76" customFormat="1" ht="21.95" customHeight="1" x14ac:dyDescent="0.15"/>
    <row r="62595" s="76" customFormat="1" ht="21.95" customHeight="1" x14ac:dyDescent="0.15"/>
    <row r="62596" s="76" customFormat="1" ht="21.95" customHeight="1" x14ac:dyDescent="0.15"/>
    <row r="62597" s="76" customFormat="1" ht="21.95" customHeight="1" x14ac:dyDescent="0.15"/>
    <row r="62598" s="76" customFormat="1" ht="21.95" customHeight="1" x14ac:dyDescent="0.15"/>
    <row r="62599" s="76" customFormat="1" ht="21.95" customHeight="1" x14ac:dyDescent="0.15"/>
    <row r="62600" s="76" customFormat="1" ht="21.95" customHeight="1" x14ac:dyDescent="0.15"/>
    <row r="62601" s="76" customFormat="1" ht="21.95" customHeight="1" x14ac:dyDescent="0.15"/>
    <row r="62602" s="76" customFormat="1" ht="21.95" customHeight="1" x14ac:dyDescent="0.15"/>
    <row r="62603" s="76" customFormat="1" ht="21.95" customHeight="1" x14ac:dyDescent="0.15"/>
    <row r="62604" s="76" customFormat="1" ht="21.95" customHeight="1" x14ac:dyDescent="0.15"/>
    <row r="62605" s="76" customFormat="1" ht="21.95" customHeight="1" x14ac:dyDescent="0.15"/>
    <row r="62606" s="76" customFormat="1" ht="21.95" customHeight="1" x14ac:dyDescent="0.15"/>
    <row r="62607" s="76" customFormat="1" ht="21.95" customHeight="1" x14ac:dyDescent="0.15"/>
    <row r="62608" s="76" customFormat="1" ht="21.95" customHeight="1" x14ac:dyDescent="0.15"/>
    <row r="62609" spans="3:3" customFormat="1" ht="21.95" customHeight="1" x14ac:dyDescent="0.15"/>
    <row r="62610" spans="3:3" customFormat="1" ht="21.95" customHeight="1" x14ac:dyDescent="0.15"/>
    <row r="62611" spans="3:3" customFormat="1" ht="21.95" customHeight="1" x14ac:dyDescent="0.15">
      <c r="C62611" s="94"/>
    </row>
    <row r="62612" spans="3:3" customFormat="1" ht="21.95" customHeight="1" x14ac:dyDescent="0.15">
      <c r="C62612" s="94"/>
    </row>
    <row r="62613" spans="3:3" customFormat="1" ht="21.95" customHeight="1" x14ac:dyDescent="0.15"/>
    <row r="62614" spans="3:3" customFormat="1" ht="21.95" customHeight="1" x14ac:dyDescent="0.15"/>
    <row r="62615" spans="3:3" customFormat="1" ht="21.95" customHeight="1" x14ac:dyDescent="0.15"/>
    <row r="62616" spans="3:3" customFormat="1" ht="21.95" customHeight="1" x14ac:dyDescent="0.15"/>
    <row r="62617" spans="3:3" customFormat="1" ht="21.95" customHeight="1" x14ac:dyDescent="0.15"/>
    <row r="62618" spans="3:3" customFormat="1" ht="21.95" customHeight="1" x14ac:dyDescent="0.15"/>
    <row r="62619" spans="3:3" customFormat="1" ht="21.95" customHeight="1" x14ac:dyDescent="0.15"/>
    <row r="62620" spans="3:3" s="76" customFormat="1" ht="21.95" customHeight="1" x14ac:dyDescent="0.15"/>
    <row r="62621" spans="3:3" s="76" customFormat="1" ht="21.95" customHeight="1" x14ac:dyDescent="0.15"/>
    <row r="62622" spans="3:3" s="76" customFormat="1" ht="21.95" customHeight="1" x14ac:dyDescent="0.15"/>
    <row r="62623" spans="3:3" s="76" customFormat="1" ht="21.95" customHeight="1" x14ac:dyDescent="0.15"/>
    <row r="62624" spans="3:3" customFormat="1" ht="21.95" customHeight="1" x14ac:dyDescent="0.15"/>
    <row r="62625" customFormat="1" ht="21.95" customHeight="1" x14ac:dyDescent="0.15"/>
    <row r="62626" customFormat="1" ht="21.95" customHeight="1" x14ac:dyDescent="0.15"/>
    <row r="62627" customFormat="1" ht="21.95" customHeight="1" x14ac:dyDescent="0.15"/>
    <row r="62628" customFormat="1" ht="21.95" customHeight="1" x14ac:dyDescent="0.15"/>
    <row r="62629" customFormat="1" ht="21.95" customHeight="1" x14ac:dyDescent="0.15"/>
    <row r="62630" customFormat="1" ht="21.95" customHeight="1" x14ac:dyDescent="0.15"/>
    <row r="62631" customFormat="1" ht="21.95" customHeight="1" x14ac:dyDescent="0.15"/>
    <row r="62632" customFormat="1" ht="21.95" customHeight="1" x14ac:dyDescent="0.15"/>
    <row r="62633" customFormat="1" ht="21.95" customHeight="1" x14ac:dyDescent="0.15"/>
    <row r="62634" customFormat="1" ht="21.95" customHeight="1" x14ac:dyDescent="0.15"/>
    <row r="62635" customFormat="1" ht="32.1" customHeight="1" x14ac:dyDescent="0.15"/>
    <row r="62636" customFormat="1" ht="32.1" customHeight="1" x14ac:dyDescent="0.15"/>
    <row r="62637" customFormat="1" ht="32.1" customHeight="1" x14ac:dyDescent="0.15"/>
    <row r="62638" customFormat="1" ht="32.1" customHeight="1" x14ac:dyDescent="0.15"/>
    <row r="62639" customFormat="1" ht="32.1" customHeight="1" x14ac:dyDescent="0.15"/>
    <row r="62640" customFormat="1" ht="32.1" customHeight="1" x14ac:dyDescent="0.15"/>
    <row r="62641" s="76" customFormat="1" ht="32.1" customHeight="1" x14ac:dyDescent="0.15"/>
    <row r="62642" s="76" customFormat="1" ht="32.1" customHeight="1" x14ac:dyDescent="0.15"/>
    <row r="62643" s="76" customFormat="1" ht="32.1" customHeight="1" x14ac:dyDescent="0.15"/>
    <row r="62644" s="76" customFormat="1" ht="32.1" customHeight="1" x14ac:dyDescent="0.15"/>
    <row r="62645" s="76" customFormat="1" ht="21.95" customHeight="1" x14ac:dyDescent="0.15"/>
    <row r="62646" s="76" customFormat="1" ht="54" customHeight="1" x14ac:dyDescent="0.15"/>
    <row r="62647" s="76" customFormat="1" ht="21.95" customHeight="1" x14ac:dyDescent="0.15"/>
    <row r="62648" s="76" customFormat="1" ht="21.95" customHeight="1" x14ac:dyDescent="0.15"/>
    <row r="62649" s="76" customFormat="1" ht="21.95" customHeight="1" x14ac:dyDescent="0.15"/>
    <row r="62650" s="76" customFormat="1" ht="21.95" customHeight="1" x14ac:dyDescent="0.15"/>
    <row r="62651" s="76" customFormat="1" ht="21.95" customHeight="1" x14ac:dyDescent="0.15"/>
    <row r="62652" s="76" customFormat="1" ht="21.95" customHeight="1" x14ac:dyDescent="0.15"/>
    <row r="62653" s="76" customFormat="1" ht="21.95" customHeight="1" x14ac:dyDescent="0.15"/>
    <row r="62654" s="76" customFormat="1" ht="21.95" customHeight="1" x14ac:dyDescent="0.15"/>
    <row r="62655" s="76" customFormat="1" ht="21.95" customHeight="1" x14ac:dyDescent="0.15"/>
    <row r="62656" s="76" customFormat="1" ht="21.95" customHeight="1" x14ac:dyDescent="0.15"/>
    <row r="62657" s="76" customFormat="1" ht="21.95" customHeight="1" x14ac:dyDescent="0.15"/>
    <row r="62658" s="76" customFormat="1" ht="21.95" customHeight="1" x14ac:dyDescent="0.15"/>
    <row r="62659" s="76" customFormat="1" ht="21.95" customHeight="1" x14ac:dyDescent="0.15"/>
    <row r="62660" s="76" customFormat="1" ht="21.95" customHeight="1" x14ac:dyDescent="0.15"/>
    <row r="62661" s="76" customFormat="1" ht="21.95" customHeight="1" x14ac:dyDescent="0.15"/>
    <row r="62662" s="76" customFormat="1" ht="21.95" customHeight="1" x14ac:dyDescent="0.15"/>
    <row r="62663" s="76" customFormat="1" ht="21.95" customHeight="1" x14ac:dyDescent="0.15"/>
    <row r="62664" s="76" customFormat="1" ht="21.95" customHeight="1" x14ac:dyDescent="0.15"/>
    <row r="62665" s="76" customFormat="1" ht="21.95" customHeight="1" x14ac:dyDescent="0.15"/>
    <row r="62666" s="76" customFormat="1" ht="21.95" customHeight="1" x14ac:dyDescent="0.15"/>
    <row r="62667" s="76" customFormat="1" ht="21.95" customHeight="1" x14ac:dyDescent="0.15"/>
    <row r="62668" s="76" customFormat="1" ht="21.95" customHeight="1" x14ac:dyDescent="0.15"/>
    <row r="62669" s="76" customFormat="1" ht="21.95" customHeight="1" x14ac:dyDescent="0.15"/>
    <row r="62670" s="76" customFormat="1" ht="21.95" customHeight="1" x14ac:dyDescent="0.15"/>
    <row r="62671" s="76" customFormat="1" ht="21.95" customHeight="1" x14ac:dyDescent="0.15"/>
    <row r="62672" s="76" customFormat="1" ht="21.95" customHeight="1" x14ac:dyDescent="0.15"/>
    <row r="62673" s="76" customFormat="1" ht="21.95" customHeight="1" x14ac:dyDescent="0.15"/>
    <row r="62674" s="76" customFormat="1" ht="21.95" customHeight="1" x14ac:dyDescent="0.15"/>
    <row r="62675" s="76" customFormat="1" ht="21.95" customHeight="1" x14ac:dyDescent="0.15"/>
    <row r="62676" s="76" customFormat="1" ht="21.95" customHeight="1" x14ac:dyDescent="0.15"/>
    <row r="62677" s="76" customFormat="1" ht="21.95" customHeight="1" x14ac:dyDescent="0.15"/>
    <row r="62678" s="76" customFormat="1" ht="21.95" customHeight="1" x14ac:dyDescent="0.15"/>
    <row r="62679" s="76" customFormat="1" ht="21.95" customHeight="1" x14ac:dyDescent="0.15"/>
    <row r="62680" s="76" customFormat="1" ht="21.95" customHeight="1" x14ac:dyDescent="0.15"/>
    <row r="62681" s="76" customFormat="1" ht="21.95" customHeight="1" x14ac:dyDescent="0.15"/>
    <row r="62682" s="76" customFormat="1" ht="21.95" customHeight="1" x14ac:dyDescent="0.15"/>
    <row r="62683" s="76" customFormat="1" ht="21.95" customHeight="1" x14ac:dyDescent="0.15"/>
    <row r="62684" s="76" customFormat="1" ht="21.95" customHeight="1" x14ac:dyDescent="0.15"/>
    <row r="62685" s="76" customFormat="1" ht="21.95" customHeight="1" x14ac:dyDescent="0.15"/>
    <row r="62686" s="76" customFormat="1" ht="21.95" customHeight="1" x14ac:dyDescent="0.15"/>
    <row r="62687" s="76" customFormat="1" ht="21.95" customHeight="1" x14ac:dyDescent="0.15"/>
    <row r="62688" s="76" customFormat="1" ht="21.95" customHeight="1" x14ac:dyDescent="0.15"/>
    <row r="62689" s="76" customFormat="1" ht="21.95" customHeight="1" x14ac:dyDescent="0.15"/>
    <row r="62690" s="76" customFormat="1" ht="21.95" customHeight="1" x14ac:dyDescent="0.15"/>
    <row r="62691" s="76" customFormat="1" ht="21.95" customHeight="1" x14ac:dyDescent="0.15"/>
    <row r="62692" s="76" customFormat="1" ht="21.95" customHeight="1" x14ac:dyDescent="0.15"/>
    <row r="62693" s="76" customFormat="1" ht="21.95" customHeight="1" x14ac:dyDescent="0.15"/>
    <row r="62694" s="76" customFormat="1" ht="21.95" customHeight="1" x14ac:dyDescent="0.15"/>
    <row r="62695" s="76" customFormat="1" ht="21.95" customHeight="1" x14ac:dyDescent="0.15"/>
    <row r="62696" s="76" customFormat="1" ht="21.95" customHeight="1" x14ac:dyDescent="0.15"/>
    <row r="62697" s="76" customFormat="1" ht="35.1" customHeight="1" x14ac:dyDescent="0.15"/>
    <row r="62698" s="76" customFormat="1" ht="21.95" customHeight="1" x14ac:dyDescent="0.15"/>
    <row r="62699" s="76" customFormat="1" ht="21.95" customHeight="1" x14ac:dyDescent="0.15"/>
    <row r="62700" s="76" customFormat="1" ht="21.95" customHeight="1" x14ac:dyDescent="0.15"/>
    <row r="62701" s="76" customFormat="1" ht="21.95" customHeight="1" x14ac:dyDescent="0.15"/>
    <row r="62702" s="76" customFormat="1" ht="21.95" customHeight="1" x14ac:dyDescent="0.15"/>
    <row r="62703" s="76" customFormat="1" ht="21.95" customHeight="1" x14ac:dyDescent="0.15"/>
    <row r="62704" s="76" customFormat="1" ht="21.95" customHeight="1" x14ac:dyDescent="0.15"/>
    <row r="62705" s="76" customFormat="1" ht="21.95" customHeight="1" x14ac:dyDescent="0.15"/>
    <row r="62706" s="76" customFormat="1" ht="21.95" customHeight="1" x14ac:dyDescent="0.15"/>
    <row r="62707" s="76" customFormat="1" ht="21.95" customHeight="1" x14ac:dyDescent="0.15"/>
    <row r="62708" s="76" customFormat="1" ht="21.95" customHeight="1" x14ac:dyDescent="0.15"/>
    <row r="62709" s="76" customFormat="1" ht="21.95" customHeight="1" x14ac:dyDescent="0.15"/>
    <row r="62710" s="76" customFormat="1" ht="21.95" customHeight="1" x14ac:dyDescent="0.15"/>
    <row r="62711" s="76" customFormat="1" ht="21.95" customHeight="1" x14ac:dyDescent="0.15"/>
    <row r="62712" s="76" customFormat="1" ht="21.95" customHeight="1" x14ac:dyDescent="0.15"/>
    <row r="62713" s="76" customFormat="1" ht="21.95" customHeight="1" x14ac:dyDescent="0.15"/>
    <row r="62714" s="76" customFormat="1" ht="21.95" customHeight="1" x14ac:dyDescent="0.15"/>
    <row r="62715" s="76" customFormat="1" ht="21.95" customHeight="1" x14ac:dyDescent="0.15"/>
    <row r="62716" s="76" customFormat="1" ht="21.95" customHeight="1" x14ac:dyDescent="0.15"/>
    <row r="62717" s="76" customFormat="1" ht="21.95" customHeight="1" x14ac:dyDescent="0.15"/>
    <row r="62718" s="76" customFormat="1" ht="21.95" customHeight="1" x14ac:dyDescent="0.15"/>
    <row r="62719" s="76" customFormat="1" ht="21.95" customHeight="1" x14ac:dyDescent="0.15"/>
    <row r="62720" s="76" customFormat="1" ht="21.95" customHeight="1" x14ac:dyDescent="0.15"/>
    <row r="62721" spans="3:3" customFormat="1" ht="21.95" customHeight="1" x14ac:dyDescent="0.15"/>
    <row r="62722" spans="3:3" customFormat="1" ht="21.95" customHeight="1" x14ac:dyDescent="0.15"/>
    <row r="62723" spans="3:3" customFormat="1" ht="21.95" customHeight="1" x14ac:dyDescent="0.15">
      <c r="C62723" s="94"/>
    </row>
    <row r="62724" spans="3:3" customFormat="1" ht="21.95" customHeight="1" x14ac:dyDescent="0.15">
      <c r="C62724" s="94"/>
    </row>
    <row r="62725" spans="3:3" customFormat="1" ht="21.95" customHeight="1" x14ac:dyDescent="0.15"/>
    <row r="62726" spans="3:3" customFormat="1" ht="21.95" customHeight="1" x14ac:dyDescent="0.15"/>
    <row r="62727" spans="3:3" customFormat="1" ht="21.95" customHeight="1" x14ac:dyDescent="0.15"/>
    <row r="62728" spans="3:3" customFormat="1" ht="21.95" customHeight="1" x14ac:dyDescent="0.15"/>
    <row r="62729" spans="3:3" customFormat="1" ht="21.95" customHeight="1" x14ac:dyDescent="0.15"/>
    <row r="62730" spans="3:3" customFormat="1" ht="21.95" customHeight="1" x14ac:dyDescent="0.15"/>
    <row r="62731" spans="3:3" customFormat="1" ht="21.95" customHeight="1" x14ac:dyDescent="0.15"/>
    <row r="62732" spans="3:3" s="76" customFormat="1" ht="21.95" customHeight="1" x14ac:dyDescent="0.15"/>
    <row r="62733" spans="3:3" s="76" customFormat="1" ht="21.95" customHeight="1" x14ac:dyDescent="0.15"/>
    <row r="62734" spans="3:3" s="76" customFormat="1" ht="21.95" customHeight="1" x14ac:dyDescent="0.15"/>
    <row r="62735" spans="3:3" s="76" customFormat="1" ht="21.95" customHeight="1" x14ac:dyDescent="0.15"/>
    <row r="62736" spans="3:3" customFormat="1" ht="21.95" customHeight="1" x14ac:dyDescent="0.15"/>
    <row r="62737" customFormat="1" ht="21.95" customHeight="1" x14ac:dyDescent="0.15"/>
    <row r="62738" customFormat="1" ht="21.95" customHeight="1" x14ac:dyDescent="0.15"/>
    <row r="62739" customFormat="1" ht="21.95" customHeight="1" x14ac:dyDescent="0.15"/>
    <row r="62740" customFormat="1" ht="21.95" customHeight="1" x14ac:dyDescent="0.15"/>
    <row r="62741" customFormat="1" ht="21.95" customHeight="1" x14ac:dyDescent="0.15"/>
    <row r="62742" customFormat="1" ht="21.95" customHeight="1" x14ac:dyDescent="0.15"/>
    <row r="62743" customFormat="1" ht="21.95" customHeight="1" x14ac:dyDescent="0.15"/>
    <row r="62744" customFormat="1" ht="21.95" customHeight="1" x14ac:dyDescent="0.15"/>
    <row r="62745" customFormat="1" ht="21.95" customHeight="1" x14ac:dyDescent="0.15"/>
    <row r="62746" customFormat="1" ht="21.95" customHeight="1" x14ac:dyDescent="0.15"/>
    <row r="62747" customFormat="1" ht="32.1" customHeight="1" x14ac:dyDescent="0.15"/>
    <row r="62748" customFormat="1" ht="32.1" customHeight="1" x14ac:dyDescent="0.15"/>
    <row r="62749" customFormat="1" ht="32.1" customHeight="1" x14ac:dyDescent="0.15"/>
    <row r="62750" customFormat="1" ht="32.1" customHeight="1" x14ac:dyDescent="0.15"/>
    <row r="62751" customFormat="1" ht="32.1" customHeight="1" x14ac:dyDescent="0.15"/>
    <row r="62752" customFormat="1" ht="32.1" customHeight="1" x14ac:dyDescent="0.15"/>
    <row r="62753" s="76" customFormat="1" ht="32.1" customHeight="1" x14ac:dyDescent="0.15"/>
    <row r="62754" s="76" customFormat="1" ht="32.1" customHeight="1" x14ac:dyDescent="0.15"/>
    <row r="62755" s="76" customFormat="1" ht="32.1" customHeight="1" x14ac:dyDescent="0.15"/>
    <row r="62756" s="76" customFormat="1" ht="32.1" customHeight="1" x14ac:dyDescent="0.15"/>
    <row r="62757" s="76" customFormat="1" ht="21.95" customHeight="1" x14ac:dyDescent="0.15"/>
    <row r="62758" s="76" customFormat="1" ht="54" customHeight="1" x14ac:dyDescent="0.15"/>
    <row r="62759" s="76" customFormat="1" ht="21.95" customHeight="1" x14ac:dyDescent="0.15"/>
    <row r="62760" s="76" customFormat="1" ht="21.95" customHeight="1" x14ac:dyDescent="0.15"/>
    <row r="62761" s="76" customFormat="1" ht="21.95" customHeight="1" x14ac:dyDescent="0.15"/>
    <row r="62762" s="76" customFormat="1" ht="21.95" customHeight="1" x14ac:dyDescent="0.15"/>
    <row r="62763" s="76" customFormat="1" ht="21.95" customHeight="1" x14ac:dyDescent="0.15"/>
    <row r="62764" s="76" customFormat="1" ht="21.95" customHeight="1" x14ac:dyDescent="0.15"/>
    <row r="62765" s="76" customFormat="1" ht="21.95" customHeight="1" x14ac:dyDescent="0.15"/>
    <row r="62766" s="76" customFormat="1" ht="21.95" customHeight="1" x14ac:dyDescent="0.15"/>
    <row r="62767" s="76" customFormat="1" ht="21.95" customHeight="1" x14ac:dyDescent="0.15"/>
    <row r="62768" s="76" customFormat="1" ht="21.95" customHeight="1" x14ac:dyDescent="0.15"/>
    <row r="62769" s="76" customFormat="1" ht="21.95" customHeight="1" x14ac:dyDescent="0.15"/>
    <row r="62770" s="76" customFormat="1" ht="21.95" customHeight="1" x14ac:dyDescent="0.15"/>
    <row r="62771" s="76" customFormat="1" ht="21.95" customHeight="1" x14ac:dyDescent="0.15"/>
    <row r="62772" s="76" customFormat="1" ht="21.95" customHeight="1" x14ac:dyDescent="0.15"/>
    <row r="62773" s="76" customFormat="1" ht="21.95" customHeight="1" x14ac:dyDescent="0.15"/>
    <row r="62774" s="76" customFormat="1" ht="21.95" customHeight="1" x14ac:dyDescent="0.15"/>
    <row r="62775" s="76" customFormat="1" ht="21.95" customHeight="1" x14ac:dyDescent="0.15"/>
    <row r="62776" s="76" customFormat="1" ht="21.95" customHeight="1" x14ac:dyDescent="0.15"/>
    <row r="62777" s="76" customFormat="1" ht="21.95" customHeight="1" x14ac:dyDescent="0.15"/>
    <row r="62778" s="76" customFormat="1" ht="21.95" customHeight="1" x14ac:dyDescent="0.15"/>
    <row r="62779" s="76" customFormat="1" ht="21.95" customHeight="1" x14ac:dyDescent="0.15"/>
    <row r="62780" s="76" customFormat="1" ht="21.95" customHeight="1" x14ac:dyDescent="0.15"/>
    <row r="62781" s="76" customFormat="1" ht="21.95" customHeight="1" x14ac:dyDescent="0.15"/>
    <row r="62782" s="76" customFormat="1" ht="21.95" customHeight="1" x14ac:dyDescent="0.15"/>
    <row r="62783" s="76" customFormat="1" ht="21.95" customHeight="1" x14ac:dyDescent="0.15"/>
    <row r="62784" s="76" customFormat="1" ht="21.95" customHeight="1" x14ac:dyDescent="0.15"/>
    <row r="62785" s="76" customFormat="1" ht="21.95" customHeight="1" x14ac:dyDescent="0.15"/>
    <row r="62786" s="76" customFormat="1" ht="21.95" customHeight="1" x14ac:dyDescent="0.15"/>
    <row r="62787" s="76" customFormat="1" ht="21.95" customHeight="1" x14ac:dyDescent="0.15"/>
    <row r="62788" s="76" customFormat="1" ht="21.95" customHeight="1" x14ac:dyDescent="0.15"/>
    <row r="62789" s="76" customFormat="1" ht="21.95" customHeight="1" x14ac:dyDescent="0.15"/>
    <row r="62790" s="76" customFormat="1" ht="21.95" customHeight="1" x14ac:dyDescent="0.15"/>
    <row r="62791" s="76" customFormat="1" ht="21.95" customHeight="1" x14ac:dyDescent="0.15"/>
    <row r="62792" s="76" customFormat="1" ht="21.95" customHeight="1" x14ac:dyDescent="0.15"/>
    <row r="62793" s="76" customFormat="1" ht="21.95" customHeight="1" x14ac:dyDescent="0.15"/>
    <row r="62794" s="76" customFormat="1" ht="21.95" customHeight="1" x14ac:dyDescent="0.15"/>
    <row r="62795" s="76" customFormat="1" ht="21.95" customHeight="1" x14ac:dyDescent="0.15"/>
    <row r="62796" s="76" customFormat="1" ht="21.95" customHeight="1" x14ac:dyDescent="0.15"/>
    <row r="62797" s="76" customFormat="1" ht="21.95" customHeight="1" x14ac:dyDescent="0.15"/>
    <row r="62798" s="76" customFormat="1" ht="21.95" customHeight="1" x14ac:dyDescent="0.15"/>
    <row r="62799" s="76" customFormat="1" ht="21.95" customHeight="1" x14ac:dyDescent="0.15"/>
    <row r="62800" s="76" customFormat="1" ht="21.95" customHeight="1" x14ac:dyDescent="0.15"/>
    <row r="62801" s="76" customFormat="1" ht="21.95" customHeight="1" x14ac:dyDescent="0.15"/>
    <row r="62802" s="76" customFormat="1" ht="21.95" customHeight="1" x14ac:dyDescent="0.15"/>
    <row r="62803" s="76" customFormat="1" ht="21.95" customHeight="1" x14ac:dyDescent="0.15"/>
    <row r="62804" s="76" customFormat="1" ht="21.95" customHeight="1" x14ac:dyDescent="0.15"/>
    <row r="62805" s="76" customFormat="1" ht="21.95" customHeight="1" x14ac:dyDescent="0.15"/>
    <row r="62806" s="76" customFormat="1" ht="21.95" customHeight="1" x14ac:dyDescent="0.15"/>
    <row r="62807" s="76" customFormat="1" ht="21.95" customHeight="1" x14ac:dyDescent="0.15"/>
    <row r="62808" s="76" customFormat="1" ht="21.95" customHeight="1" x14ac:dyDescent="0.15"/>
    <row r="62809" s="76" customFormat="1" ht="35.1" customHeight="1" x14ac:dyDescent="0.15"/>
    <row r="62810" s="76" customFormat="1" ht="21.95" customHeight="1" x14ac:dyDescent="0.15"/>
    <row r="62811" s="76" customFormat="1" ht="21.95" customHeight="1" x14ac:dyDescent="0.15"/>
    <row r="62812" s="76" customFormat="1" ht="21.95" customHeight="1" x14ac:dyDescent="0.15"/>
    <row r="62813" s="76" customFormat="1" ht="21.95" customHeight="1" x14ac:dyDescent="0.15"/>
    <row r="62814" s="76" customFormat="1" ht="21.95" customHeight="1" x14ac:dyDescent="0.15"/>
    <row r="62815" s="76" customFormat="1" ht="21.95" customHeight="1" x14ac:dyDescent="0.15"/>
    <row r="62816" s="76" customFormat="1" ht="21.95" customHeight="1" x14ac:dyDescent="0.15"/>
    <row r="62817" s="76" customFormat="1" ht="21.95" customHeight="1" x14ac:dyDescent="0.15"/>
    <row r="62818" s="76" customFormat="1" ht="21.95" customHeight="1" x14ac:dyDescent="0.15"/>
    <row r="62819" s="76" customFormat="1" ht="21.95" customHeight="1" x14ac:dyDescent="0.15"/>
    <row r="62820" s="76" customFormat="1" ht="21.95" customHeight="1" x14ac:dyDescent="0.15"/>
    <row r="62821" s="76" customFormat="1" ht="21.95" customHeight="1" x14ac:dyDescent="0.15"/>
    <row r="62822" s="76" customFormat="1" ht="21.95" customHeight="1" x14ac:dyDescent="0.15"/>
    <row r="62823" s="76" customFormat="1" ht="21.95" customHeight="1" x14ac:dyDescent="0.15"/>
    <row r="62824" s="76" customFormat="1" ht="21.95" customHeight="1" x14ac:dyDescent="0.15"/>
    <row r="62825" s="76" customFormat="1" ht="21.95" customHeight="1" x14ac:dyDescent="0.15"/>
    <row r="62826" s="76" customFormat="1" ht="21.95" customHeight="1" x14ac:dyDescent="0.15"/>
    <row r="62827" s="76" customFormat="1" ht="21.95" customHeight="1" x14ac:dyDescent="0.15"/>
    <row r="62828" s="76" customFormat="1" ht="21.95" customHeight="1" x14ac:dyDescent="0.15"/>
    <row r="62829" s="76" customFormat="1" ht="21.95" customHeight="1" x14ac:dyDescent="0.15"/>
    <row r="62830" s="76" customFormat="1" ht="21.95" customHeight="1" x14ac:dyDescent="0.15"/>
    <row r="62831" s="76" customFormat="1" ht="21.95" customHeight="1" x14ac:dyDescent="0.15"/>
    <row r="62832" s="76" customFormat="1" ht="21.95" customHeight="1" x14ac:dyDescent="0.15"/>
    <row r="62833" spans="3:3" customFormat="1" ht="21.95" customHeight="1" x14ac:dyDescent="0.15"/>
    <row r="62834" spans="3:3" customFormat="1" ht="21.95" customHeight="1" x14ac:dyDescent="0.15"/>
    <row r="62835" spans="3:3" customFormat="1" ht="21.95" customHeight="1" x14ac:dyDescent="0.15">
      <c r="C62835" s="94"/>
    </row>
    <row r="62836" spans="3:3" customFormat="1" ht="21.95" customHeight="1" x14ac:dyDescent="0.15">
      <c r="C62836" s="94"/>
    </row>
    <row r="62837" spans="3:3" customFormat="1" ht="21.95" customHeight="1" x14ac:dyDescent="0.15"/>
    <row r="62838" spans="3:3" customFormat="1" ht="21.95" customHeight="1" x14ac:dyDescent="0.15"/>
    <row r="62839" spans="3:3" customFormat="1" ht="21.95" customHeight="1" x14ac:dyDescent="0.15"/>
    <row r="62840" spans="3:3" customFormat="1" ht="21.95" customHeight="1" x14ac:dyDescent="0.15"/>
    <row r="62841" spans="3:3" customFormat="1" ht="21.95" customHeight="1" x14ac:dyDescent="0.15"/>
    <row r="62842" spans="3:3" customFormat="1" ht="21.95" customHeight="1" x14ac:dyDescent="0.15"/>
    <row r="62843" spans="3:3" customFormat="1" ht="21.95" customHeight="1" x14ac:dyDescent="0.15"/>
    <row r="62844" spans="3:3" s="76" customFormat="1" ht="21.95" customHeight="1" x14ac:dyDescent="0.15"/>
    <row r="62845" spans="3:3" s="76" customFormat="1" ht="21.95" customHeight="1" x14ac:dyDescent="0.15"/>
    <row r="62846" spans="3:3" s="76" customFormat="1" ht="21.95" customHeight="1" x14ac:dyDescent="0.15"/>
    <row r="62847" spans="3:3" s="76" customFormat="1" ht="21.95" customHeight="1" x14ac:dyDescent="0.15"/>
    <row r="62848" spans="3:3" customFormat="1" ht="21.95" customHeight="1" x14ac:dyDescent="0.15"/>
    <row r="62849" customFormat="1" ht="21.95" customHeight="1" x14ac:dyDescent="0.15"/>
    <row r="62850" customFormat="1" ht="21.95" customHeight="1" x14ac:dyDescent="0.15"/>
    <row r="62851" customFormat="1" ht="21.95" customHeight="1" x14ac:dyDescent="0.15"/>
    <row r="62852" customFormat="1" ht="21.95" customHeight="1" x14ac:dyDescent="0.15"/>
    <row r="62853" customFormat="1" ht="21.95" customHeight="1" x14ac:dyDescent="0.15"/>
    <row r="62854" customFormat="1" ht="21.95" customHeight="1" x14ac:dyDescent="0.15"/>
    <row r="62855" customFormat="1" ht="21.95" customHeight="1" x14ac:dyDescent="0.15"/>
    <row r="62856" customFormat="1" ht="21.95" customHeight="1" x14ac:dyDescent="0.15"/>
    <row r="62857" customFormat="1" ht="21.95" customHeight="1" x14ac:dyDescent="0.15"/>
    <row r="62858" customFormat="1" ht="21.95" customHeight="1" x14ac:dyDescent="0.15"/>
    <row r="62859" customFormat="1" ht="32.1" customHeight="1" x14ac:dyDescent="0.15"/>
    <row r="62860" customFormat="1" ht="32.1" customHeight="1" x14ac:dyDescent="0.15"/>
    <row r="62861" customFormat="1" ht="32.1" customHeight="1" x14ac:dyDescent="0.15"/>
    <row r="62862" customFormat="1" ht="32.1" customHeight="1" x14ac:dyDescent="0.15"/>
    <row r="62863" customFormat="1" ht="32.1" customHeight="1" x14ac:dyDescent="0.15"/>
    <row r="62864" customFormat="1" ht="32.1" customHeight="1" x14ac:dyDescent="0.15"/>
    <row r="62865" s="76" customFormat="1" ht="32.1" customHeight="1" x14ac:dyDescent="0.15"/>
    <row r="62866" s="76" customFormat="1" ht="32.1" customHeight="1" x14ac:dyDescent="0.15"/>
    <row r="62867" s="76" customFormat="1" ht="32.1" customHeight="1" x14ac:dyDescent="0.15"/>
    <row r="62868" s="76" customFormat="1" ht="32.1" customHeight="1" x14ac:dyDescent="0.15"/>
    <row r="62869" s="76" customFormat="1" ht="21.95" customHeight="1" x14ac:dyDescent="0.15"/>
    <row r="62870" s="76" customFormat="1" ht="54" customHeight="1" x14ac:dyDescent="0.15"/>
    <row r="62871" s="76" customFormat="1" ht="21.95" customHeight="1" x14ac:dyDescent="0.15"/>
    <row r="62872" s="76" customFormat="1" ht="21.95" customHeight="1" x14ac:dyDescent="0.15"/>
    <row r="62873" s="76" customFormat="1" ht="21.95" customHeight="1" x14ac:dyDescent="0.15"/>
    <row r="62874" s="76" customFormat="1" ht="21.95" customHeight="1" x14ac:dyDescent="0.15"/>
    <row r="62875" s="76" customFormat="1" ht="21.95" customHeight="1" x14ac:dyDescent="0.15"/>
    <row r="62876" s="76" customFormat="1" ht="21.95" customHeight="1" x14ac:dyDescent="0.15"/>
    <row r="62877" s="76" customFormat="1" ht="21.95" customHeight="1" x14ac:dyDescent="0.15"/>
    <row r="62878" s="76" customFormat="1" ht="21.95" customHeight="1" x14ac:dyDescent="0.15"/>
    <row r="62879" s="76" customFormat="1" ht="21.95" customHeight="1" x14ac:dyDescent="0.15"/>
    <row r="62880" s="76" customFormat="1" ht="21.95" customHeight="1" x14ac:dyDescent="0.15"/>
    <row r="62881" s="76" customFormat="1" ht="21.95" customHeight="1" x14ac:dyDescent="0.15"/>
    <row r="62882" s="76" customFormat="1" ht="21.95" customHeight="1" x14ac:dyDescent="0.15"/>
    <row r="62883" s="76" customFormat="1" ht="21.95" customHeight="1" x14ac:dyDescent="0.15"/>
    <row r="62884" s="76" customFormat="1" ht="21.95" customHeight="1" x14ac:dyDescent="0.15"/>
    <row r="62885" s="76" customFormat="1" ht="21.95" customHeight="1" x14ac:dyDescent="0.15"/>
    <row r="62886" s="76" customFormat="1" ht="21.95" customHeight="1" x14ac:dyDescent="0.15"/>
    <row r="62887" s="76" customFormat="1" ht="21.95" customHeight="1" x14ac:dyDescent="0.15"/>
    <row r="62888" s="76" customFormat="1" ht="21.95" customHeight="1" x14ac:dyDescent="0.15"/>
    <row r="62889" s="76" customFormat="1" ht="21.95" customHeight="1" x14ac:dyDescent="0.15"/>
    <row r="62890" s="76" customFormat="1" ht="21.95" customHeight="1" x14ac:dyDescent="0.15"/>
    <row r="62891" s="76" customFormat="1" ht="21.95" customHeight="1" x14ac:dyDescent="0.15"/>
    <row r="62892" s="76" customFormat="1" ht="21.95" customHeight="1" x14ac:dyDescent="0.15"/>
    <row r="62893" s="76" customFormat="1" ht="21.95" customHeight="1" x14ac:dyDescent="0.15"/>
    <row r="62894" s="76" customFormat="1" ht="21.95" customHeight="1" x14ac:dyDescent="0.15"/>
    <row r="62895" s="76" customFormat="1" ht="21.95" customHeight="1" x14ac:dyDescent="0.15"/>
    <row r="62896" s="76" customFormat="1" ht="21.95" customHeight="1" x14ac:dyDescent="0.15"/>
    <row r="62897" s="76" customFormat="1" ht="21.95" customHeight="1" x14ac:dyDescent="0.15"/>
    <row r="62898" s="76" customFormat="1" ht="21.95" customHeight="1" x14ac:dyDescent="0.15"/>
    <row r="62899" s="76" customFormat="1" ht="21.95" customHeight="1" x14ac:dyDescent="0.15"/>
    <row r="62900" s="76" customFormat="1" ht="21.95" customHeight="1" x14ac:dyDescent="0.15"/>
    <row r="62901" s="76" customFormat="1" ht="21.95" customHeight="1" x14ac:dyDescent="0.15"/>
    <row r="62902" s="76" customFormat="1" ht="21.95" customHeight="1" x14ac:dyDescent="0.15"/>
    <row r="62903" s="76" customFormat="1" ht="21.95" customHeight="1" x14ac:dyDescent="0.15"/>
    <row r="62904" s="76" customFormat="1" ht="21.95" customHeight="1" x14ac:dyDescent="0.15"/>
    <row r="62905" s="76" customFormat="1" ht="21.95" customHeight="1" x14ac:dyDescent="0.15"/>
    <row r="62906" s="76" customFormat="1" ht="21.95" customHeight="1" x14ac:dyDescent="0.15"/>
    <row r="62907" s="76" customFormat="1" ht="21.95" customHeight="1" x14ac:dyDescent="0.15"/>
    <row r="62908" s="76" customFormat="1" ht="21.95" customHeight="1" x14ac:dyDescent="0.15"/>
    <row r="62909" s="76" customFormat="1" ht="21.95" customHeight="1" x14ac:dyDescent="0.15"/>
    <row r="62910" s="76" customFormat="1" ht="21.95" customHeight="1" x14ac:dyDescent="0.15"/>
    <row r="62911" s="76" customFormat="1" ht="21.95" customHeight="1" x14ac:dyDescent="0.15"/>
    <row r="62912" s="76" customFormat="1" ht="21.95" customHeight="1" x14ac:dyDescent="0.15"/>
    <row r="62913" s="76" customFormat="1" ht="21.95" customHeight="1" x14ac:dyDescent="0.15"/>
    <row r="62914" s="76" customFormat="1" ht="21.95" customHeight="1" x14ac:dyDescent="0.15"/>
    <row r="62915" s="76" customFormat="1" ht="21.95" customHeight="1" x14ac:dyDescent="0.15"/>
    <row r="62916" s="76" customFormat="1" ht="21.95" customHeight="1" x14ac:dyDescent="0.15"/>
    <row r="62917" s="76" customFormat="1" ht="21.95" customHeight="1" x14ac:dyDescent="0.15"/>
    <row r="62918" s="76" customFormat="1" ht="21.95" customHeight="1" x14ac:dyDescent="0.15"/>
    <row r="62919" s="76" customFormat="1" ht="21.95" customHeight="1" x14ac:dyDescent="0.15"/>
    <row r="62920" s="76" customFormat="1" ht="21.95" customHeight="1" x14ac:dyDescent="0.15"/>
    <row r="62921" s="76" customFormat="1" ht="35.1" customHeight="1" x14ac:dyDescent="0.15"/>
    <row r="62922" s="76" customFormat="1" ht="21.95" customHeight="1" x14ac:dyDescent="0.15"/>
    <row r="62923" s="76" customFormat="1" ht="21.95" customHeight="1" x14ac:dyDescent="0.15"/>
    <row r="62924" s="76" customFormat="1" ht="21.95" customHeight="1" x14ac:dyDescent="0.15"/>
    <row r="62925" s="76" customFormat="1" ht="21.95" customHeight="1" x14ac:dyDescent="0.15"/>
    <row r="62926" s="76" customFormat="1" ht="21.95" customHeight="1" x14ac:dyDescent="0.15"/>
    <row r="62927" s="76" customFormat="1" ht="21.95" customHeight="1" x14ac:dyDescent="0.15"/>
    <row r="62928" s="76" customFormat="1" ht="21.95" customHeight="1" x14ac:dyDescent="0.15"/>
    <row r="62929" s="76" customFormat="1" ht="21.95" customHeight="1" x14ac:dyDescent="0.15"/>
    <row r="62930" s="76" customFormat="1" ht="21.95" customHeight="1" x14ac:dyDescent="0.15"/>
    <row r="62931" s="76" customFormat="1" ht="21.95" customHeight="1" x14ac:dyDescent="0.15"/>
    <row r="62932" s="76" customFormat="1" ht="21.95" customHeight="1" x14ac:dyDescent="0.15"/>
    <row r="62933" s="76" customFormat="1" ht="21.95" customHeight="1" x14ac:dyDescent="0.15"/>
    <row r="62934" s="76" customFormat="1" ht="21.95" customHeight="1" x14ac:dyDescent="0.15"/>
    <row r="62935" s="76" customFormat="1" ht="21.95" customHeight="1" x14ac:dyDescent="0.15"/>
    <row r="62936" s="76" customFormat="1" ht="21.95" customHeight="1" x14ac:dyDescent="0.15"/>
    <row r="62937" s="76" customFormat="1" ht="21.95" customHeight="1" x14ac:dyDescent="0.15"/>
    <row r="62938" s="76" customFormat="1" ht="21.95" customHeight="1" x14ac:dyDescent="0.15"/>
    <row r="62939" s="76" customFormat="1" ht="21.95" customHeight="1" x14ac:dyDescent="0.15"/>
    <row r="62940" s="76" customFormat="1" ht="21.95" customHeight="1" x14ac:dyDescent="0.15"/>
    <row r="62941" s="76" customFormat="1" ht="21.95" customHeight="1" x14ac:dyDescent="0.15"/>
    <row r="62942" s="76" customFormat="1" ht="21.95" customHeight="1" x14ac:dyDescent="0.15"/>
    <row r="62943" s="76" customFormat="1" ht="21.95" customHeight="1" x14ac:dyDescent="0.15"/>
    <row r="62944" s="76" customFormat="1" ht="21.95" customHeight="1" x14ac:dyDescent="0.15"/>
    <row r="62945" spans="3:3" customFormat="1" ht="21.95" customHeight="1" x14ac:dyDescent="0.15"/>
    <row r="62946" spans="3:3" customFormat="1" ht="21.95" customHeight="1" x14ac:dyDescent="0.15"/>
    <row r="62947" spans="3:3" customFormat="1" ht="21.95" customHeight="1" x14ac:dyDescent="0.15">
      <c r="C62947" s="94"/>
    </row>
    <row r="62948" spans="3:3" customFormat="1" ht="21.95" customHeight="1" x14ac:dyDescent="0.15">
      <c r="C62948" s="94"/>
    </row>
    <row r="62949" spans="3:3" customFormat="1" ht="21.95" customHeight="1" x14ac:dyDescent="0.15"/>
    <row r="62950" spans="3:3" customFormat="1" ht="21.95" customHeight="1" x14ac:dyDescent="0.15"/>
    <row r="62951" spans="3:3" customFormat="1" ht="21.95" customHeight="1" x14ac:dyDescent="0.15"/>
    <row r="62952" spans="3:3" customFormat="1" ht="21.95" customHeight="1" x14ac:dyDescent="0.15"/>
    <row r="62953" spans="3:3" customFormat="1" ht="21.95" customHeight="1" x14ac:dyDescent="0.15"/>
    <row r="62954" spans="3:3" customFormat="1" ht="21.95" customHeight="1" x14ac:dyDescent="0.15"/>
    <row r="62955" spans="3:3" customFormat="1" ht="21.95" customHeight="1" x14ac:dyDescent="0.15"/>
    <row r="62956" spans="3:3" s="76" customFormat="1" ht="21.95" customHeight="1" x14ac:dyDescent="0.15"/>
    <row r="62957" spans="3:3" s="76" customFormat="1" ht="21.95" customHeight="1" x14ac:dyDescent="0.15"/>
    <row r="62958" spans="3:3" s="76" customFormat="1" ht="21.95" customHeight="1" x14ac:dyDescent="0.15"/>
    <row r="62959" spans="3:3" s="76" customFormat="1" ht="21.95" customHeight="1" x14ac:dyDescent="0.15"/>
    <row r="62960" spans="3:3" customFormat="1" ht="21.95" customHeight="1" x14ac:dyDescent="0.15"/>
    <row r="62961" customFormat="1" ht="21.95" customHeight="1" x14ac:dyDescent="0.15"/>
    <row r="62962" customFormat="1" ht="21.95" customHeight="1" x14ac:dyDescent="0.15"/>
    <row r="62963" customFormat="1" ht="21.95" customHeight="1" x14ac:dyDescent="0.15"/>
    <row r="62964" customFormat="1" ht="21.95" customHeight="1" x14ac:dyDescent="0.15"/>
    <row r="62965" customFormat="1" ht="21.95" customHeight="1" x14ac:dyDescent="0.15"/>
    <row r="62966" customFormat="1" ht="21.95" customHeight="1" x14ac:dyDescent="0.15"/>
    <row r="62967" customFormat="1" ht="21.95" customHeight="1" x14ac:dyDescent="0.15"/>
    <row r="62968" customFormat="1" ht="21.95" customHeight="1" x14ac:dyDescent="0.15"/>
    <row r="62969" customFormat="1" ht="21.95" customHeight="1" x14ac:dyDescent="0.15"/>
    <row r="62970" customFormat="1" ht="21.95" customHeight="1" x14ac:dyDescent="0.15"/>
    <row r="62971" customFormat="1" ht="32.1" customHeight="1" x14ac:dyDescent="0.15"/>
    <row r="62972" customFormat="1" ht="32.1" customHeight="1" x14ac:dyDescent="0.15"/>
    <row r="62973" customFormat="1" ht="32.1" customHeight="1" x14ac:dyDescent="0.15"/>
    <row r="62974" customFormat="1" ht="32.1" customHeight="1" x14ac:dyDescent="0.15"/>
    <row r="62975" customFormat="1" ht="32.1" customHeight="1" x14ac:dyDescent="0.15"/>
    <row r="62976" customFormat="1" ht="32.1" customHeight="1" x14ac:dyDescent="0.15"/>
    <row r="62977" s="76" customFormat="1" ht="32.1" customHeight="1" x14ac:dyDescent="0.15"/>
    <row r="62978" s="76" customFormat="1" ht="32.1" customHeight="1" x14ac:dyDescent="0.15"/>
    <row r="62979" s="76" customFormat="1" ht="32.1" customHeight="1" x14ac:dyDescent="0.15"/>
    <row r="62980" s="76" customFormat="1" ht="32.1" customHeight="1" x14ac:dyDescent="0.15"/>
    <row r="62981" s="76" customFormat="1" ht="21.95" customHeight="1" x14ac:dyDescent="0.15"/>
    <row r="62982" s="76" customFormat="1" ht="54" customHeight="1" x14ac:dyDescent="0.15"/>
    <row r="62983" s="76" customFormat="1" ht="21.95" customHeight="1" x14ac:dyDescent="0.15"/>
    <row r="62984" s="76" customFormat="1" ht="21.95" customHeight="1" x14ac:dyDescent="0.15"/>
    <row r="62985" s="76" customFormat="1" ht="21.95" customHeight="1" x14ac:dyDescent="0.15"/>
    <row r="62986" s="76" customFormat="1" ht="21.95" customHeight="1" x14ac:dyDescent="0.15"/>
    <row r="62987" s="76" customFormat="1" ht="21.95" customHeight="1" x14ac:dyDescent="0.15"/>
    <row r="62988" s="76" customFormat="1" ht="21.95" customHeight="1" x14ac:dyDescent="0.15"/>
    <row r="62989" s="76" customFormat="1" ht="21.95" customHeight="1" x14ac:dyDescent="0.15"/>
    <row r="62990" s="76" customFormat="1" ht="21.95" customHeight="1" x14ac:dyDescent="0.15"/>
    <row r="62991" s="76" customFormat="1" ht="21.95" customHeight="1" x14ac:dyDescent="0.15"/>
    <row r="62992" s="76" customFormat="1" ht="21.95" customHeight="1" x14ac:dyDescent="0.15"/>
    <row r="62993" s="76" customFormat="1" ht="21.95" customHeight="1" x14ac:dyDescent="0.15"/>
    <row r="62994" s="76" customFormat="1" ht="21.95" customHeight="1" x14ac:dyDescent="0.15"/>
    <row r="62995" s="76" customFormat="1" ht="21.95" customHeight="1" x14ac:dyDescent="0.15"/>
    <row r="62996" s="76" customFormat="1" ht="21.95" customHeight="1" x14ac:dyDescent="0.15"/>
    <row r="62997" s="76" customFormat="1" ht="21.95" customHeight="1" x14ac:dyDescent="0.15"/>
    <row r="62998" s="76" customFormat="1" ht="21.95" customHeight="1" x14ac:dyDescent="0.15"/>
    <row r="62999" s="76" customFormat="1" ht="21.95" customHeight="1" x14ac:dyDescent="0.15"/>
    <row r="63000" s="76" customFormat="1" ht="21.95" customHeight="1" x14ac:dyDescent="0.15"/>
    <row r="63001" s="76" customFormat="1" ht="21.95" customHeight="1" x14ac:dyDescent="0.15"/>
    <row r="63002" s="76" customFormat="1" ht="21.95" customHeight="1" x14ac:dyDescent="0.15"/>
    <row r="63003" s="76" customFormat="1" ht="21.95" customHeight="1" x14ac:dyDescent="0.15"/>
    <row r="63004" s="76" customFormat="1" ht="21.95" customHeight="1" x14ac:dyDescent="0.15"/>
    <row r="63005" s="76" customFormat="1" ht="21.95" customHeight="1" x14ac:dyDescent="0.15"/>
    <row r="63006" s="76" customFormat="1" ht="21.95" customHeight="1" x14ac:dyDescent="0.15"/>
    <row r="63007" s="76" customFormat="1" ht="21.95" customHeight="1" x14ac:dyDescent="0.15"/>
    <row r="63008" s="76" customFormat="1" ht="21.95" customHeight="1" x14ac:dyDescent="0.15"/>
    <row r="63009" s="76" customFormat="1" ht="21.95" customHeight="1" x14ac:dyDescent="0.15"/>
    <row r="63010" s="76" customFormat="1" ht="21.95" customHeight="1" x14ac:dyDescent="0.15"/>
    <row r="63011" s="76" customFormat="1" ht="21.95" customHeight="1" x14ac:dyDescent="0.15"/>
    <row r="63012" s="76" customFormat="1" ht="21.95" customHeight="1" x14ac:dyDescent="0.15"/>
    <row r="63013" s="76" customFormat="1" ht="21.95" customHeight="1" x14ac:dyDescent="0.15"/>
    <row r="63014" s="76" customFormat="1" ht="21.95" customHeight="1" x14ac:dyDescent="0.15"/>
    <row r="63015" s="76" customFormat="1" ht="21.95" customHeight="1" x14ac:dyDescent="0.15"/>
    <row r="63016" s="76" customFormat="1" ht="21.95" customHeight="1" x14ac:dyDescent="0.15"/>
    <row r="63017" s="76" customFormat="1" ht="21.95" customHeight="1" x14ac:dyDescent="0.15"/>
    <row r="63018" s="76" customFormat="1" ht="21.95" customHeight="1" x14ac:dyDescent="0.15"/>
    <row r="63019" s="76" customFormat="1" ht="21.95" customHeight="1" x14ac:dyDescent="0.15"/>
    <row r="63020" s="76" customFormat="1" ht="21.95" customHeight="1" x14ac:dyDescent="0.15"/>
    <row r="63021" s="76" customFormat="1" ht="21.95" customHeight="1" x14ac:dyDescent="0.15"/>
    <row r="63022" s="76" customFormat="1" ht="21.95" customHeight="1" x14ac:dyDescent="0.15"/>
    <row r="63023" s="76" customFormat="1" ht="21.95" customHeight="1" x14ac:dyDescent="0.15"/>
    <row r="63024" s="76" customFormat="1" ht="21.95" customHeight="1" x14ac:dyDescent="0.15"/>
    <row r="63025" s="76" customFormat="1" ht="21.95" customHeight="1" x14ac:dyDescent="0.15"/>
    <row r="63026" s="76" customFormat="1" ht="21.95" customHeight="1" x14ac:dyDescent="0.15"/>
    <row r="63027" s="76" customFormat="1" ht="21.95" customHeight="1" x14ac:dyDescent="0.15"/>
    <row r="63028" s="76" customFormat="1" ht="21.95" customHeight="1" x14ac:dyDescent="0.15"/>
    <row r="63029" s="76" customFormat="1" ht="21.95" customHeight="1" x14ac:dyDescent="0.15"/>
    <row r="63030" s="76" customFormat="1" ht="21.95" customHeight="1" x14ac:dyDescent="0.15"/>
    <row r="63031" s="76" customFormat="1" ht="21.95" customHeight="1" x14ac:dyDescent="0.15"/>
    <row r="63032" s="76" customFormat="1" ht="21.95" customHeight="1" x14ac:dyDescent="0.15"/>
    <row r="63033" s="76" customFormat="1" ht="35.1" customHeight="1" x14ac:dyDescent="0.15"/>
    <row r="63034" s="76" customFormat="1" ht="21.95" customHeight="1" x14ac:dyDescent="0.15"/>
    <row r="63035" s="76" customFormat="1" ht="21.95" customHeight="1" x14ac:dyDescent="0.15"/>
    <row r="63036" s="76" customFormat="1" ht="21.95" customHeight="1" x14ac:dyDescent="0.15"/>
    <row r="63037" s="76" customFormat="1" ht="21.95" customHeight="1" x14ac:dyDescent="0.15"/>
    <row r="63038" s="76" customFormat="1" ht="21.95" customHeight="1" x14ac:dyDescent="0.15"/>
    <row r="63039" s="76" customFormat="1" ht="21.95" customHeight="1" x14ac:dyDescent="0.15"/>
    <row r="63040" s="76" customFormat="1" ht="21.95" customHeight="1" x14ac:dyDescent="0.15"/>
    <row r="63041" s="76" customFormat="1" ht="21.95" customHeight="1" x14ac:dyDescent="0.15"/>
    <row r="63042" s="76" customFormat="1" ht="21.95" customHeight="1" x14ac:dyDescent="0.15"/>
    <row r="63043" s="76" customFormat="1" ht="21.95" customHeight="1" x14ac:dyDescent="0.15"/>
    <row r="63044" s="76" customFormat="1" ht="21.95" customHeight="1" x14ac:dyDescent="0.15"/>
    <row r="63045" s="76" customFormat="1" ht="21.95" customHeight="1" x14ac:dyDescent="0.15"/>
    <row r="63046" s="76" customFormat="1" ht="21.95" customHeight="1" x14ac:dyDescent="0.15"/>
    <row r="63047" s="76" customFormat="1" ht="21.95" customHeight="1" x14ac:dyDescent="0.15"/>
    <row r="63048" s="76" customFormat="1" ht="21.95" customHeight="1" x14ac:dyDescent="0.15"/>
    <row r="63049" s="76" customFormat="1" ht="21.95" customHeight="1" x14ac:dyDescent="0.15"/>
    <row r="63050" s="76" customFormat="1" ht="21.95" customHeight="1" x14ac:dyDescent="0.15"/>
    <row r="63051" s="76" customFormat="1" ht="21.95" customHeight="1" x14ac:dyDescent="0.15"/>
    <row r="63052" s="76" customFormat="1" ht="21.95" customHeight="1" x14ac:dyDescent="0.15"/>
    <row r="63053" s="76" customFormat="1" ht="21.95" customHeight="1" x14ac:dyDescent="0.15"/>
    <row r="63054" s="76" customFormat="1" ht="21.95" customHeight="1" x14ac:dyDescent="0.15"/>
    <row r="63055" s="76" customFormat="1" ht="21.95" customHeight="1" x14ac:dyDescent="0.15"/>
    <row r="63056" s="76" customFormat="1" ht="21.95" customHeight="1" x14ac:dyDescent="0.15"/>
    <row r="63057" spans="3:3" customFormat="1" ht="21.95" customHeight="1" x14ac:dyDescent="0.15"/>
    <row r="63058" spans="3:3" customFormat="1" ht="21.95" customHeight="1" x14ac:dyDescent="0.15"/>
    <row r="63059" spans="3:3" customFormat="1" ht="21.95" customHeight="1" x14ac:dyDescent="0.15">
      <c r="C63059" s="94"/>
    </row>
    <row r="63060" spans="3:3" customFormat="1" ht="21.95" customHeight="1" x14ac:dyDescent="0.15">
      <c r="C63060" s="94"/>
    </row>
    <row r="63061" spans="3:3" customFormat="1" ht="21.95" customHeight="1" x14ac:dyDescent="0.15"/>
    <row r="63062" spans="3:3" customFormat="1" ht="21.95" customHeight="1" x14ac:dyDescent="0.15"/>
    <row r="63063" spans="3:3" customFormat="1" ht="21.95" customHeight="1" x14ac:dyDescent="0.15"/>
    <row r="63064" spans="3:3" customFormat="1" ht="21.95" customHeight="1" x14ac:dyDescent="0.15"/>
    <row r="63065" spans="3:3" customFormat="1" ht="21.95" customHeight="1" x14ac:dyDescent="0.15"/>
    <row r="63066" spans="3:3" customFormat="1" ht="21.95" customHeight="1" x14ac:dyDescent="0.15"/>
    <row r="63067" spans="3:3" customFormat="1" ht="21.95" customHeight="1" x14ac:dyDescent="0.15"/>
    <row r="63068" spans="3:3" s="76" customFormat="1" ht="21.95" customHeight="1" x14ac:dyDescent="0.15"/>
    <row r="63069" spans="3:3" s="76" customFormat="1" ht="21.95" customHeight="1" x14ac:dyDescent="0.15"/>
    <row r="63070" spans="3:3" s="76" customFormat="1" ht="21.95" customHeight="1" x14ac:dyDescent="0.15"/>
    <row r="63071" spans="3:3" s="76" customFormat="1" ht="21.95" customHeight="1" x14ac:dyDescent="0.15"/>
    <row r="63072" spans="3:3" customFormat="1" ht="21.95" customHeight="1" x14ac:dyDescent="0.15"/>
    <row r="63073" customFormat="1" ht="21.95" customHeight="1" x14ac:dyDescent="0.15"/>
    <row r="63074" customFormat="1" ht="21.95" customHeight="1" x14ac:dyDescent="0.15"/>
    <row r="63075" customFormat="1" ht="21.95" customHeight="1" x14ac:dyDescent="0.15"/>
    <row r="63076" customFormat="1" ht="21.95" customHeight="1" x14ac:dyDescent="0.15"/>
    <row r="63077" customFormat="1" ht="21.95" customHeight="1" x14ac:dyDescent="0.15"/>
    <row r="63078" customFormat="1" ht="21.95" customHeight="1" x14ac:dyDescent="0.15"/>
    <row r="63079" customFormat="1" ht="21.95" customHeight="1" x14ac:dyDescent="0.15"/>
    <row r="63080" customFormat="1" ht="21.95" customHeight="1" x14ac:dyDescent="0.15"/>
    <row r="63081" customFormat="1" ht="21.95" customHeight="1" x14ac:dyDescent="0.15"/>
    <row r="63082" customFormat="1" ht="21.95" customHeight="1" x14ac:dyDescent="0.15"/>
    <row r="63083" customFormat="1" ht="32.1" customHeight="1" x14ac:dyDescent="0.15"/>
    <row r="63084" customFormat="1" ht="32.1" customHeight="1" x14ac:dyDescent="0.15"/>
    <row r="63085" customFormat="1" ht="32.1" customHeight="1" x14ac:dyDescent="0.15"/>
    <row r="63086" customFormat="1" ht="32.1" customHeight="1" x14ac:dyDescent="0.15"/>
    <row r="63087" customFormat="1" ht="32.1" customHeight="1" x14ac:dyDescent="0.15"/>
    <row r="63088" customFormat="1" ht="32.1" customHeight="1" x14ac:dyDescent="0.15"/>
    <row r="63089" s="76" customFormat="1" ht="32.1" customHeight="1" x14ac:dyDescent="0.15"/>
    <row r="63090" s="76" customFormat="1" ht="32.1" customHeight="1" x14ac:dyDescent="0.15"/>
    <row r="63091" s="76" customFormat="1" ht="32.1" customHeight="1" x14ac:dyDescent="0.15"/>
    <row r="63092" s="76" customFormat="1" ht="32.1" customHeight="1" x14ac:dyDescent="0.15"/>
    <row r="63093" s="76" customFormat="1" ht="21.95" customHeight="1" x14ac:dyDescent="0.15"/>
    <row r="63094" s="76" customFormat="1" ht="54" customHeight="1" x14ac:dyDescent="0.15"/>
    <row r="63095" s="76" customFormat="1" ht="21.95" customHeight="1" x14ac:dyDescent="0.15"/>
    <row r="63096" s="76" customFormat="1" ht="21.95" customHeight="1" x14ac:dyDescent="0.15"/>
    <row r="63097" s="76" customFormat="1" ht="21.95" customHeight="1" x14ac:dyDescent="0.15"/>
    <row r="63098" s="76" customFormat="1" ht="21.95" customHeight="1" x14ac:dyDescent="0.15"/>
    <row r="63099" s="76" customFormat="1" ht="21.95" customHeight="1" x14ac:dyDescent="0.15"/>
    <row r="63100" s="76" customFormat="1" ht="21.95" customHeight="1" x14ac:dyDescent="0.15"/>
    <row r="63101" s="76" customFormat="1" ht="21.95" customHeight="1" x14ac:dyDescent="0.15"/>
    <row r="63102" s="76" customFormat="1" ht="21.95" customHeight="1" x14ac:dyDescent="0.15"/>
    <row r="63103" s="76" customFormat="1" ht="21.95" customHeight="1" x14ac:dyDescent="0.15"/>
    <row r="63104" s="76" customFormat="1" ht="21.95" customHeight="1" x14ac:dyDescent="0.15"/>
    <row r="63105" s="76" customFormat="1" ht="21.95" customHeight="1" x14ac:dyDescent="0.15"/>
    <row r="63106" s="76" customFormat="1" ht="21.95" customHeight="1" x14ac:dyDescent="0.15"/>
    <row r="63107" s="76" customFormat="1" ht="21.95" customHeight="1" x14ac:dyDescent="0.15"/>
    <row r="63108" s="76" customFormat="1" ht="21.95" customHeight="1" x14ac:dyDescent="0.15"/>
    <row r="63109" s="76" customFormat="1" ht="21.95" customHeight="1" x14ac:dyDescent="0.15"/>
    <row r="63110" s="76" customFormat="1" ht="21.95" customHeight="1" x14ac:dyDescent="0.15"/>
    <row r="63111" s="76" customFormat="1" ht="21.95" customHeight="1" x14ac:dyDescent="0.15"/>
    <row r="63112" s="76" customFormat="1" ht="21.95" customHeight="1" x14ac:dyDescent="0.15"/>
    <row r="63113" s="76" customFormat="1" ht="21.95" customHeight="1" x14ac:dyDescent="0.15"/>
    <row r="63114" s="76" customFormat="1" ht="21.95" customHeight="1" x14ac:dyDescent="0.15"/>
    <row r="63115" s="76" customFormat="1" ht="21.95" customHeight="1" x14ac:dyDescent="0.15"/>
    <row r="63116" s="76" customFormat="1" ht="21.95" customHeight="1" x14ac:dyDescent="0.15"/>
    <row r="63117" s="76" customFormat="1" ht="21.95" customHeight="1" x14ac:dyDescent="0.15"/>
    <row r="63118" s="76" customFormat="1" ht="21.95" customHeight="1" x14ac:dyDescent="0.15"/>
    <row r="63119" s="76" customFormat="1" ht="21.95" customHeight="1" x14ac:dyDescent="0.15"/>
    <row r="63120" s="76" customFormat="1" ht="21.95" customHeight="1" x14ac:dyDescent="0.15"/>
    <row r="63121" s="76" customFormat="1" ht="21.95" customHeight="1" x14ac:dyDescent="0.15"/>
    <row r="63122" s="76" customFormat="1" ht="21.95" customHeight="1" x14ac:dyDescent="0.15"/>
    <row r="63123" s="76" customFormat="1" ht="21.95" customHeight="1" x14ac:dyDescent="0.15"/>
    <row r="63124" s="76" customFormat="1" ht="21.95" customHeight="1" x14ac:dyDescent="0.15"/>
    <row r="63125" s="76" customFormat="1" ht="21.95" customHeight="1" x14ac:dyDescent="0.15"/>
    <row r="63126" s="76" customFormat="1" ht="21.95" customHeight="1" x14ac:dyDescent="0.15"/>
    <row r="63127" s="76" customFormat="1" ht="21.95" customHeight="1" x14ac:dyDescent="0.15"/>
    <row r="63128" s="76" customFormat="1" ht="21.95" customHeight="1" x14ac:dyDescent="0.15"/>
    <row r="63129" s="76" customFormat="1" ht="21.95" customHeight="1" x14ac:dyDescent="0.15"/>
    <row r="63130" s="76" customFormat="1" ht="21.95" customHeight="1" x14ac:dyDescent="0.15"/>
    <row r="63131" s="76" customFormat="1" ht="21.95" customHeight="1" x14ac:dyDescent="0.15"/>
    <row r="63132" s="76" customFormat="1" ht="21.95" customHeight="1" x14ac:dyDescent="0.15"/>
    <row r="63133" s="76" customFormat="1" ht="21.95" customHeight="1" x14ac:dyDescent="0.15"/>
    <row r="63134" s="76" customFormat="1" ht="21.95" customHeight="1" x14ac:dyDescent="0.15"/>
    <row r="63135" s="76" customFormat="1" ht="21.95" customHeight="1" x14ac:dyDescent="0.15"/>
    <row r="63136" s="76" customFormat="1" ht="21.95" customHeight="1" x14ac:dyDescent="0.15"/>
    <row r="63137" s="76" customFormat="1" ht="21.95" customHeight="1" x14ac:dyDescent="0.15"/>
    <row r="63138" s="76" customFormat="1" ht="21.95" customHeight="1" x14ac:dyDescent="0.15"/>
    <row r="63139" s="76" customFormat="1" ht="21.95" customHeight="1" x14ac:dyDescent="0.15"/>
    <row r="63140" s="76" customFormat="1" ht="21.95" customHeight="1" x14ac:dyDescent="0.15"/>
    <row r="63141" s="76" customFormat="1" ht="21.95" customHeight="1" x14ac:dyDescent="0.15"/>
    <row r="63142" s="76" customFormat="1" ht="21.95" customHeight="1" x14ac:dyDescent="0.15"/>
    <row r="63143" s="76" customFormat="1" ht="21.95" customHeight="1" x14ac:dyDescent="0.15"/>
    <row r="63144" s="76" customFormat="1" ht="21.95" customHeight="1" x14ac:dyDescent="0.15"/>
    <row r="63145" s="76" customFormat="1" ht="35.1" customHeight="1" x14ac:dyDescent="0.15"/>
    <row r="63146" s="76" customFormat="1" ht="21.95" customHeight="1" x14ac:dyDescent="0.15"/>
    <row r="63147" s="76" customFormat="1" ht="21.95" customHeight="1" x14ac:dyDescent="0.15"/>
    <row r="63148" s="76" customFormat="1" ht="21.95" customHeight="1" x14ac:dyDescent="0.15"/>
    <row r="63149" s="76" customFormat="1" ht="21.95" customHeight="1" x14ac:dyDescent="0.15"/>
    <row r="63150" s="76" customFormat="1" ht="21.95" customHeight="1" x14ac:dyDescent="0.15"/>
    <row r="63151" s="76" customFormat="1" ht="21.95" customHeight="1" x14ac:dyDescent="0.15"/>
    <row r="63152" s="76" customFormat="1" ht="21.95" customHeight="1" x14ac:dyDescent="0.15"/>
    <row r="63153" s="76" customFormat="1" ht="21.95" customHeight="1" x14ac:dyDescent="0.15"/>
    <row r="63154" s="76" customFormat="1" ht="21.95" customHeight="1" x14ac:dyDescent="0.15"/>
    <row r="63155" s="76" customFormat="1" ht="21.95" customHeight="1" x14ac:dyDescent="0.15"/>
    <row r="63156" s="76" customFormat="1" ht="21.95" customHeight="1" x14ac:dyDescent="0.15"/>
    <row r="63157" s="76" customFormat="1" ht="21.95" customHeight="1" x14ac:dyDescent="0.15"/>
    <row r="63158" s="76" customFormat="1" ht="21.95" customHeight="1" x14ac:dyDescent="0.15"/>
    <row r="63159" s="76" customFormat="1" ht="21.95" customHeight="1" x14ac:dyDescent="0.15"/>
    <row r="63160" s="76" customFormat="1" ht="21.95" customHeight="1" x14ac:dyDescent="0.15"/>
    <row r="63161" s="76" customFormat="1" ht="21.95" customHeight="1" x14ac:dyDescent="0.15"/>
    <row r="63162" s="76" customFormat="1" ht="21.95" customHeight="1" x14ac:dyDescent="0.15"/>
    <row r="63163" s="76" customFormat="1" ht="21.95" customHeight="1" x14ac:dyDescent="0.15"/>
    <row r="63164" s="76" customFormat="1" ht="21.95" customHeight="1" x14ac:dyDescent="0.15"/>
    <row r="63165" s="76" customFormat="1" ht="21.95" customHeight="1" x14ac:dyDescent="0.15"/>
    <row r="63166" s="76" customFormat="1" ht="21.95" customHeight="1" x14ac:dyDescent="0.15"/>
    <row r="63167" s="76" customFormat="1" ht="21.95" customHeight="1" x14ac:dyDescent="0.15"/>
    <row r="63168" s="76" customFormat="1" ht="21.95" customHeight="1" x14ac:dyDescent="0.15"/>
    <row r="63169" spans="3:3" customFormat="1" ht="21.95" customHeight="1" x14ac:dyDescent="0.15"/>
    <row r="63170" spans="3:3" customFormat="1" ht="21.95" customHeight="1" x14ac:dyDescent="0.15"/>
    <row r="63171" spans="3:3" customFormat="1" ht="21.95" customHeight="1" x14ac:dyDescent="0.15">
      <c r="C63171" s="94"/>
    </row>
    <row r="63172" spans="3:3" customFormat="1" ht="21.95" customHeight="1" x14ac:dyDescent="0.15">
      <c r="C63172" s="94"/>
    </row>
    <row r="63173" spans="3:3" customFormat="1" ht="21.95" customHeight="1" x14ac:dyDescent="0.15"/>
    <row r="63174" spans="3:3" customFormat="1" ht="21.95" customHeight="1" x14ac:dyDescent="0.15"/>
    <row r="63175" spans="3:3" customFormat="1" ht="21.95" customHeight="1" x14ac:dyDescent="0.15"/>
    <row r="63176" spans="3:3" customFormat="1" ht="21.95" customHeight="1" x14ac:dyDescent="0.15"/>
    <row r="63177" spans="3:3" customFormat="1" ht="21.95" customHeight="1" x14ac:dyDescent="0.15"/>
    <row r="63178" spans="3:3" customFormat="1" ht="21.95" customHeight="1" x14ac:dyDescent="0.15"/>
    <row r="63179" spans="3:3" customFormat="1" ht="21.95" customHeight="1" x14ac:dyDescent="0.15"/>
    <row r="63180" spans="3:3" s="76" customFormat="1" ht="21.95" customHeight="1" x14ac:dyDescent="0.15"/>
    <row r="63181" spans="3:3" s="76" customFormat="1" ht="21.95" customHeight="1" x14ac:dyDescent="0.15"/>
    <row r="63182" spans="3:3" s="76" customFormat="1" ht="21.95" customHeight="1" x14ac:dyDescent="0.15"/>
    <row r="63183" spans="3:3" s="76" customFormat="1" ht="21.95" customHeight="1" x14ac:dyDescent="0.15"/>
    <row r="63184" spans="3:3" customFormat="1" ht="21.95" customHeight="1" x14ac:dyDescent="0.15"/>
    <row r="63185" customFormat="1" ht="21.95" customHeight="1" x14ac:dyDescent="0.15"/>
    <row r="63186" customFormat="1" ht="21.95" customHeight="1" x14ac:dyDescent="0.15"/>
    <row r="63187" customFormat="1" ht="21.95" customHeight="1" x14ac:dyDescent="0.15"/>
    <row r="63188" customFormat="1" ht="21.95" customHeight="1" x14ac:dyDescent="0.15"/>
    <row r="63189" customFormat="1" ht="21.95" customHeight="1" x14ac:dyDescent="0.15"/>
    <row r="63190" customFormat="1" ht="21.95" customHeight="1" x14ac:dyDescent="0.15"/>
    <row r="63191" customFormat="1" ht="21.95" customHeight="1" x14ac:dyDescent="0.15"/>
    <row r="63192" customFormat="1" ht="21.95" customHeight="1" x14ac:dyDescent="0.15"/>
    <row r="63193" customFormat="1" ht="21.95" customHeight="1" x14ac:dyDescent="0.15"/>
    <row r="63194" customFormat="1" ht="21.95" customHeight="1" x14ac:dyDescent="0.15"/>
    <row r="63195" customFormat="1" ht="32.1" customHeight="1" x14ac:dyDescent="0.15"/>
    <row r="63196" customFormat="1" ht="32.1" customHeight="1" x14ac:dyDescent="0.15"/>
    <row r="63197" customFormat="1" ht="32.1" customHeight="1" x14ac:dyDescent="0.15"/>
    <row r="63198" customFormat="1" ht="32.1" customHeight="1" x14ac:dyDescent="0.15"/>
    <row r="63199" customFormat="1" ht="32.1" customHeight="1" x14ac:dyDescent="0.15"/>
    <row r="63200" customFormat="1" ht="32.1" customHeight="1" x14ac:dyDescent="0.15"/>
    <row r="63201" s="76" customFormat="1" ht="32.1" customHeight="1" x14ac:dyDescent="0.15"/>
    <row r="63202" s="76" customFormat="1" ht="32.1" customHeight="1" x14ac:dyDescent="0.15"/>
    <row r="63203" s="76" customFormat="1" ht="32.1" customHeight="1" x14ac:dyDescent="0.15"/>
    <row r="63204" s="76" customFormat="1" ht="32.1" customHeight="1" x14ac:dyDescent="0.15"/>
    <row r="63205" s="76" customFormat="1" ht="21.95" customHeight="1" x14ac:dyDescent="0.15"/>
    <row r="63206" s="76" customFormat="1" ht="54" customHeight="1" x14ac:dyDescent="0.15"/>
    <row r="63207" s="76" customFormat="1" ht="21.95" customHeight="1" x14ac:dyDescent="0.15"/>
    <row r="63208" s="76" customFormat="1" ht="21.95" customHeight="1" x14ac:dyDescent="0.15"/>
    <row r="63209" s="76" customFormat="1" ht="21.95" customHeight="1" x14ac:dyDescent="0.15"/>
    <row r="63210" s="76" customFormat="1" ht="21.95" customHeight="1" x14ac:dyDescent="0.15"/>
    <row r="63211" s="76" customFormat="1" ht="21.95" customHeight="1" x14ac:dyDescent="0.15"/>
    <row r="63212" s="76" customFormat="1" ht="21.95" customHeight="1" x14ac:dyDescent="0.15"/>
    <row r="63213" s="76" customFormat="1" ht="21.95" customHeight="1" x14ac:dyDescent="0.15"/>
    <row r="63214" s="76" customFormat="1" ht="21.95" customHeight="1" x14ac:dyDescent="0.15"/>
    <row r="63215" s="76" customFormat="1" ht="21.95" customHeight="1" x14ac:dyDescent="0.15"/>
    <row r="63216" s="76" customFormat="1" ht="21.95" customHeight="1" x14ac:dyDescent="0.15"/>
    <row r="63217" s="76" customFormat="1" ht="21.95" customHeight="1" x14ac:dyDescent="0.15"/>
    <row r="63218" s="76" customFormat="1" ht="21.95" customHeight="1" x14ac:dyDescent="0.15"/>
    <row r="63219" s="76" customFormat="1" ht="21.95" customHeight="1" x14ac:dyDescent="0.15"/>
    <row r="63220" s="76" customFormat="1" ht="21.95" customHeight="1" x14ac:dyDescent="0.15"/>
    <row r="63221" s="76" customFormat="1" ht="21.95" customHeight="1" x14ac:dyDescent="0.15"/>
    <row r="63222" s="76" customFormat="1" ht="21.95" customHeight="1" x14ac:dyDescent="0.15"/>
    <row r="63223" s="76" customFormat="1" ht="21.95" customHeight="1" x14ac:dyDescent="0.15"/>
    <row r="63224" s="76" customFormat="1" ht="21.95" customHeight="1" x14ac:dyDescent="0.15"/>
    <row r="63225" s="76" customFormat="1" ht="21.95" customHeight="1" x14ac:dyDescent="0.15"/>
    <row r="63226" s="76" customFormat="1" ht="21.95" customHeight="1" x14ac:dyDescent="0.15"/>
    <row r="63227" s="76" customFormat="1" ht="21.95" customHeight="1" x14ac:dyDescent="0.15"/>
    <row r="63228" s="76" customFormat="1" ht="21.95" customHeight="1" x14ac:dyDescent="0.15"/>
    <row r="63229" s="76" customFormat="1" ht="21.95" customHeight="1" x14ac:dyDescent="0.15"/>
    <row r="63230" s="76" customFormat="1" ht="21.95" customHeight="1" x14ac:dyDescent="0.15"/>
    <row r="63231" s="76" customFormat="1" ht="21.95" customHeight="1" x14ac:dyDescent="0.15"/>
    <row r="63232" s="76" customFormat="1" ht="21.95" customHeight="1" x14ac:dyDescent="0.15"/>
    <row r="63233" s="76" customFormat="1" ht="21.95" customHeight="1" x14ac:dyDescent="0.15"/>
    <row r="63234" s="76" customFormat="1" ht="21.95" customHeight="1" x14ac:dyDescent="0.15"/>
    <row r="63235" s="76" customFormat="1" ht="21.95" customHeight="1" x14ac:dyDescent="0.15"/>
    <row r="63236" s="76" customFormat="1" ht="21.95" customHeight="1" x14ac:dyDescent="0.15"/>
    <row r="63237" s="76" customFormat="1" ht="21.95" customHeight="1" x14ac:dyDescent="0.15"/>
    <row r="63238" s="76" customFormat="1" ht="21.95" customHeight="1" x14ac:dyDescent="0.15"/>
    <row r="63239" s="76" customFormat="1" ht="21.95" customHeight="1" x14ac:dyDescent="0.15"/>
    <row r="63240" s="76" customFormat="1" ht="21.95" customHeight="1" x14ac:dyDescent="0.15"/>
    <row r="63241" s="76" customFormat="1" ht="21.95" customHeight="1" x14ac:dyDescent="0.15"/>
    <row r="63242" s="76" customFormat="1" ht="21.95" customHeight="1" x14ac:dyDescent="0.15"/>
    <row r="63243" s="76" customFormat="1" ht="21.95" customHeight="1" x14ac:dyDescent="0.15"/>
    <row r="63244" s="76" customFormat="1" ht="21.95" customHeight="1" x14ac:dyDescent="0.15"/>
    <row r="63245" s="76" customFormat="1" ht="21.95" customHeight="1" x14ac:dyDescent="0.15"/>
    <row r="63246" s="76" customFormat="1" ht="21.95" customHeight="1" x14ac:dyDescent="0.15"/>
    <row r="63247" s="76" customFormat="1" ht="21.95" customHeight="1" x14ac:dyDescent="0.15"/>
    <row r="63248" s="76" customFormat="1" ht="21.95" customHeight="1" x14ac:dyDescent="0.15"/>
    <row r="63249" s="76" customFormat="1" ht="21.95" customHeight="1" x14ac:dyDescent="0.15"/>
    <row r="63250" s="76" customFormat="1" ht="21.95" customHeight="1" x14ac:dyDescent="0.15"/>
    <row r="63251" s="76" customFormat="1" ht="21.95" customHeight="1" x14ac:dyDescent="0.15"/>
    <row r="63252" s="76" customFormat="1" ht="21.95" customHeight="1" x14ac:dyDescent="0.15"/>
    <row r="63253" s="76" customFormat="1" ht="21.95" customHeight="1" x14ac:dyDescent="0.15"/>
    <row r="63254" s="76" customFormat="1" ht="21.95" customHeight="1" x14ac:dyDescent="0.15"/>
    <row r="63255" s="76" customFormat="1" ht="21.95" customHeight="1" x14ac:dyDescent="0.15"/>
    <row r="63256" s="76" customFormat="1" ht="21.95" customHeight="1" x14ac:dyDescent="0.15"/>
    <row r="63257" s="76" customFormat="1" ht="35.1" customHeight="1" x14ac:dyDescent="0.15"/>
    <row r="63258" s="76" customFormat="1" ht="21.95" customHeight="1" x14ac:dyDescent="0.15"/>
    <row r="63259" s="76" customFormat="1" ht="21.95" customHeight="1" x14ac:dyDescent="0.15"/>
    <row r="63260" s="76" customFormat="1" ht="21.95" customHeight="1" x14ac:dyDescent="0.15"/>
    <row r="63261" s="76" customFormat="1" ht="21.95" customHeight="1" x14ac:dyDescent="0.15"/>
    <row r="63262" s="76" customFormat="1" ht="21.95" customHeight="1" x14ac:dyDescent="0.15"/>
    <row r="63263" s="76" customFormat="1" ht="21.95" customHeight="1" x14ac:dyDescent="0.15"/>
    <row r="63264" s="76" customFormat="1" ht="21.95" customHeight="1" x14ac:dyDescent="0.15"/>
    <row r="63265" s="76" customFormat="1" ht="21.95" customHeight="1" x14ac:dyDescent="0.15"/>
    <row r="63266" s="76" customFormat="1" ht="21.95" customHeight="1" x14ac:dyDescent="0.15"/>
    <row r="63267" s="76" customFormat="1" ht="21.95" customHeight="1" x14ac:dyDescent="0.15"/>
    <row r="63268" s="76" customFormat="1" ht="21.95" customHeight="1" x14ac:dyDescent="0.15"/>
    <row r="63269" s="76" customFormat="1" ht="21.95" customHeight="1" x14ac:dyDescent="0.15"/>
    <row r="63270" s="76" customFormat="1" ht="21.95" customHeight="1" x14ac:dyDescent="0.15"/>
    <row r="63271" s="76" customFormat="1" ht="21.95" customHeight="1" x14ac:dyDescent="0.15"/>
    <row r="63272" s="76" customFormat="1" ht="21.95" customHeight="1" x14ac:dyDescent="0.15"/>
    <row r="63273" s="76" customFormat="1" ht="21.95" customHeight="1" x14ac:dyDescent="0.15"/>
    <row r="63274" s="76" customFormat="1" ht="21.95" customHeight="1" x14ac:dyDescent="0.15"/>
    <row r="63275" s="76" customFormat="1" ht="21.95" customHeight="1" x14ac:dyDescent="0.15"/>
    <row r="63276" s="76" customFormat="1" ht="21.95" customHeight="1" x14ac:dyDescent="0.15"/>
    <row r="63277" s="76" customFormat="1" ht="21.95" customHeight="1" x14ac:dyDescent="0.15"/>
    <row r="63278" s="76" customFormat="1" ht="21.95" customHeight="1" x14ac:dyDescent="0.15"/>
    <row r="63279" s="76" customFormat="1" ht="21.95" customHeight="1" x14ac:dyDescent="0.15"/>
    <row r="63280" s="76" customFormat="1" ht="21.95" customHeight="1" x14ac:dyDescent="0.15"/>
    <row r="63281" spans="3:3" customFormat="1" ht="21.95" customHeight="1" x14ac:dyDescent="0.15"/>
    <row r="63282" spans="3:3" customFormat="1" ht="21.95" customHeight="1" x14ac:dyDescent="0.15"/>
    <row r="63283" spans="3:3" customFormat="1" ht="21.95" customHeight="1" x14ac:dyDescent="0.15">
      <c r="C63283" s="94"/>
    </row>
    <row r="63284" spans="3:3" customFormat="1" ht="21.95" customHeight="1" x14ac:dyDescent="0.15">
      <c r="C63284" s="94"/>
    </row>
    <row r="63285" spans="3:3" customFormat="1" ht="21.95" customHeight="1" x14ac:dyDescent="0.15"/>
    <row r="63286" spans="3:3" customFormat="1" ht="21.95" customHeight="1" x14ac:dyDescent="0.15"/>
    <row r="63287" spans="3:3" customFormat="1" ht="21.95" customHeight="1" x14ac:dyDescent="0.15"/>
    <row r="63288" spans="3:3" customFormat="1" ht="21.95" customHeight="1" x14ac:dyDescent="0.15"/>
    <row r="63289" spans="3:3" customFormat="1" ht="21.95" customHeight="1" x14ac:dyDescent="0.15"/>
    <row r="63290" spans="3:3" customFormat="1" ht="21.95" customHeight="1" x14ac:dyDescent="0.15"/>
    <row r="63291" spans="3:3" customFormat="1" ht="21.95" customHeight="1" x14ac:dyDescent="0.15"/>
    <row r="63292" spans="3:3" s="76" customFormat="1" ht="21.95" customHeight="1" x14ac:dyDescent="0.15"/>
    <row r="63293" spans="3:3" s="76" customFormat="1" ht="21.95" customHeight="1" x14ac:dyDescent="0.15"/>
    <row r="63294" spans="3:3" s="76" customFormat="1" ht="21.95" customHeight="1" x14ac:dyDescent="0.15"/>
    <row r="63295" spans="3:3" s="76" customFormat="1" ht="21.95" customHeight="1" x14ac:dyDescent="0.15"/>
    <row r="63296" spans="3:3" customFormat="1" ht="21.95" customHeight="1" x14ac:dyDescent="0.15"/>
    <row r="63297" customFormat="1" ht="21.95" customHeight="1" x14ac:dyDescent="0.15"/>
    <row r="63298" customFormat="1" ht="21.95" customHeight="1" x14ac:dyDescent="0.15"/>
    <row r="63299" customFormat="1" ht="21.95" customHeight="1" x14ac:dyDescent="0.15"/>
    <row r="63300" customFormat="1" ht="21.95" customHeight="1" x14ac:dyDescent="0.15"/>
    <row r="63301" customFormat="1" ht="21.95" customHeight="1" x14ac:dyDescent="0.15"/>
    <row r="63302" customFormat="1" ht="21.95" customHeight="1" x14ac:dyDescent="0.15"/>
    <row r="63303" customFormat="1" ht="21.95" customHeight="1" x14ac:dyDescent="0.15"/>
    <row r="63304" customFormat="1" ht="21.95" customHeight="1" x14ac:dyDescent="0.15"/>
    <row r="63305" customFormat="1" ht="21.95" customHeight="1" x14ac:dyDescent="0.15"/>
    <row r="63306" customFormat="1" ht="21.95" customHeight="1" x14ac:dyDescent="0.15"/>
    <row r="63307" customFormat="1" ht="32.1" customHeight="1" x14ac:dyDescent="0.15"/>
    <row r="63308" customFormat="1" ht="32.1" customHeight="1" x14ac:dyDescent="0.15"/>
    <row r="63309" customFormat="1" ht="32.1" customHeight="1" x14ac:dyDescent="0.15"/>
    <row r="63310" customFormat="1" ht="32.1" customHeight="1" x14ac:dyDescent="0.15"/>
    <row r="63311" customFormat="1" ht="32.1" customHeight="1" x14ac:dyDescent="0.15"/>
    <row r="63312" customFormat="1" ht="32.1" customHeight="1" x14ac:dyDescent="0.15"/>
    <row r="63313" s="76" customFormat="1" ht="32.1" customHeight="1" x14ac:dyDescent="0.15"/>
    <row r="63314" s="76" customFormat="1" ht="32.1" customHeight="1" x14ac:dyDescent="0.15"/>
    <row r="63315" s="76" customFormat="1" ht="32.1" customHeight="1" x14ac:dyDescent="0.15"/>
    <row r="63316" s="76" customFormat="1" ht="32.1" customHeight="1" x14ac:dyDescent="0.15"/>
    <row r="63317" s="76" customFormat="1" ht="21.95" customHeight="1" x14ac:dyDescent="0.15"/>
    <row r="63318" s="76" customFormat="1" ht="54" customHeight="1" x14ac:dyDescent="0.15"/>
    <row r="63319" s="76" customFormat="1" ht="21.95" customHeight="1" x14ac:dyDescent="0.15"/>
    <row r="63320" s="76" customFormat="1" ht="21.95" customHeight="1" x14ac:dyDescent="0.15"/>
    <row r="63321" s="76" customFormat="1" ht="21.95" customHeight="1" x14ac:dyDescent="0.15"/>
    <row r="63322" s="76" customFormat="1" ht="21.95" customHeight="1" x14ac:dyDescent="0.15"/>
    <row r="63323" s="76" customFormat="1" ht="21.95" customHeight="1" x14ac:dyDescent="0.15"/>
    <row r="63324" s="76" customFormat="1" ht="21.95" customHeight="1" x14ac:dyDescent="0.15"/>
    <row r="63325" s="76" customFormat="1" ht="21.95" customHeight="1" x14ac:dyDescent="0.15"/>
    <row r="63326" s="76" customFormat="1" ht="21.95" customHeight="1" x14ac:dyDescent="0.15"/>
    <row r="63327" s="76" customFormat="1" ht="21.95" customHeight="1" x14ac:dyDescent="0.15"/>
    <row r="63328" s="76" customFormat="1" ht="21.95" customHeight="1" x14ac:dyDescent="0.15"/>
    <row r="63329" s="76" customFormat="1" ht="21.95" customHeight="1" x14ac:dyDescent="0.15"/>
    <row r="63330" s="76" customFormat="1" ht="21.95" customHeight="1" x14ac:dyDescent="0.15"/>
    <row r="63331" s="76" customFormat="1" ht="21.95" customHeight="1" x14ac:dyDescent="0.15"/>
    <row r="63332" s="76" customFormat="1" ht="21.95" customHeight="1" x14ac:dyDescent="0.15"/>
    <row r="63333" s="76" customFormat="1" ht="21.95" customHeight="1" x14ac:dyDescent="0.15"/>
    <row r="63334" s="76" customFormat="1" ht="21.95" customHeight="1" x14ac:dyDescent="0.15"/>
    <row r="63335" s="76" customFormat="1" ht="21.95" customHeight="1" x14ac:dyDescent="0.15"/>
    <row r="63336" s="76" customFormat="1" ht="21.95" customHeight="1" x14ac:dyDescent="0.15"/>
    <row r="63337" s="76" customFormat="1" ht="21.95" customHeight="1" x14ac:dyDescent="0.15"/>
    <row r="63338" s="76" customFormat="1" ht="21.95" customHeight="1" x14ac:dyDescent="0.15"/>
    <row r="63339" s="76" customFormat="1" ht="21.95" customHeight="1" x14ac:dyDescent="0.15"/>
    <row r="63340" s="76" customFormat="1" ht="21.95" customHeight="1" x14ac:dyDescent="0.15"/>
    <row r="63341" s="76" customFormat="1" ht="21.95" customHeight="1" x14ac:dyDescent="0.15"/>
    <row r="63342" s="76" customFormat="1" ht="21.95" customHeight="1" x14ac:dyDescent="0.15"/>
    <row r="63343" s="76" customFormat="1" ht="21.95" customHeight="1" x14ac:dyDescent="0.15"/>
    <row r="63344" s="76" customFormat="1" ht="21.95" customHeight="1" x14ac:dyDescent="0.15"/>
    <row r="63345" s="76" customFormat="1" ht="21.95" customHeight="1" x14ac:dyDescent="0.15"/>
    <row r="63346" s="76" customFormat="1" ht="21.95" customHeight="1" x14ac:dyDescent="0.15"/>
    <row r="63347" s="76" customFormat="1" ht="21.95" customHeight="1" x14ac:dyDescent="0.15"/>
    <row r="63348" s="76" customFormat="1" ht="21.95" customHeight="1" x14ac:dyDescent="0.15"/>
    <row r="63349" s="76" customFormat="1" ht="21.95" customHeight="1" x14ac:dyDescent="0.15"/>
    <row r="63350" s="76" customFormat="1" ht="21.95" customHeight="1" x14ac:dyDescent="0.15"/>
    <row r="63351" s="76" customFormat="1" ht="21.95" customHeight="1" x14ac:dyDescent="0.15"/>
    <row r="63352" s="76" customFormat="1" ht="21.95" customHeight="1" x14ac:dyDescent="0.15"/>
    <row r="63353" s="76" customFormat="1" ht="21.95" customHeight="1" x14ac:dyDescent="0.15"/>
    <row r="63354" s="76" customFormat="1" ht="21.95" customHeight="1" x14ac:dyDescent="0.15"/>
    <row r="63355" s="76" customFormat="1" ht="21.95" customHeight="1" x14ac:dyDescent="0.15"/>
    <row r="63356" s="76" customFormat="1" ht="21.95" customHeight="1" x14ac:dyDescent="0.15"/>
    <row r="63357" s="76" customFormat="1" ht="21.95" customHeight="1" x14ac:dyDescent="0.15"/>
    <row r="63358" s="76" customFormat="1" ht="21.95" customHeight="1" x14ac:dyDescent="0.15"/>
    <row r="63359" s="76" customFormat="1" ht="21.95" customHeight="1" x14ac:dyDescent="0.15"/>
    <row r="63360" s="76" customFormat="1" ht="21.95" customHeight="1" x14ac:dyDescent="0.15"/>
    <row r="63361" s="76" customFormat="1" ht="21.95" customHeight="1" x14ac:dyDescent="0.15"/>
    <row r="63362" s="76" customFormat="1" ht="21.95" customHeight="1" x14ac:dyDescent="0.15"/>
    <row r="63363" s="76" customFormat="1" ht="21.95" customHeight="1" x14ac:dyDescent="0.15"/>
    <row r="63364" s="76" customFormat="1" ht="21.95" customHeight="1" x14ac:dyDescent="0.15"/>
    <row r="63365" s="76" customFormat="1" ht="21.95" customHeight="1" x14ac:dyDescent="0.15"/>
    <row r="63366" s="76" customFormat="1" ht="21.95" customHeight="1" x14ac:dyDescent="0.15"/>
    <row r="63367" s="76" customFormat="1" ht="21.95" customHeight="1" x14ac:dyDescent="0.15"/>
    <row r="63368" s="76" customFormat="1" ht="21.95" customHeight="1" x14ac:dyDescent="0.15"/>
    <row r="63369" s="76" customFormat="1" ht="35.1" customHeight="1" x14ac:dyDescent="0.15"/>
    <row r="63370" s="76" customFormat="1" ht="21.95" customHeight="1" x14ac:dyDescent="0.15"/>
    <row r="63371" s="76" customFormat="1" ht="21.95" customHeight="1" x14ac:dyDescent="0.15"/>
    <row r="63372" s="76" customFormat="1" ht="21.95" customHeight="1" x14ac:dyDescent="0.15"/>
    <row r="63373" s="76" customFormat="1" ht="21.95" customHeight="1" x14ac:dyDescent="0.15"/>
    <row r="63374" s="76" customFormat="1" ht="21.95" customHeight="1" x14ac:dyDescent="0.15"/>
    <row r="63375" s="76" customFormat="1" ht="21.95" customHeight="1" x14ac:dyDescent="0.15"/>
    <row r="63376" s="76" customFormat="1" ht="21.95" customHeight="1" x14ac:dyDescent="0.15"/>
    <row r="63377" s="76" customFormat="1" ht="21.95" customHeight="1" x14ac:dyDescent="0.15"/>
    <row r="63378" s="76" customFormat="1" ht="21.95" customHeight="1" x14ac:dyDescent="0.15"/>
    <row r="63379" s="76" customFormat="1" ht="21.95" customHeight="1" x14ac:dyDescent="0.15"/>
    <row r="63380" s="76" customFormat="1" ht="21.95" customHeight="1" x14ac:dyDescent="0.15"/>
    <row r="63381" s="76" customFormat="1" ht="21.95" customHeight="1" x14ac:dyDescent="0.15"/>
    <row r="63382" s="76" customFormat="1" ht="21.95" customHeight="1" x14ac:dyDescent="0.15"/>
    <row r="63383" s="76" customFormat="1" ht="21.95" customHeight="1" x14ac:dyDescent="0.15"/>
    <row r="63384" s="76" customFormat="1" ht="21.95" customHeight="1" x14ac:dyDescent="0.15"/>
    <row r="63385" s="76" customFormat="1" ht="21.95" customHeight="1" x14ac:dyDescent="0.15"/>
    <row r="63386" s="76" customFormat="1" ht="21.95" customHeight="1" x14ac:dyDescent="0.15"/>
    <row r="63387" s="76" customFormat="1" ht="21.95" customHeight="1" x14ac:dyDescent="0.15"/>
    <row r="63388" s="76" customFormat="1" ht="21.95" customHeight="1" x14ac:dyDescent="0.15"/>
    <row r="63389" s="76" customFormat="1" ht="21.95" customHeight="1" x14ac:dyDescent="0.15"/>
    <row r="63390" s="76" customFormat="1" ht="21.95" customHeight="1" x14ac:dyDescent="0.15"/>
    <row r="63391" s="76" customFormat="1" ht="21.95" customHeight="1" x14ac:dyDescent="0.15"/>
    <row r="63392" s="76" customFormat="1" ht="21.95" customHeight="1" x14ac:dyDescent="0.15"/>
    <row r="63393" spans="3:3" customFormat="1" ht="21.95" customHeight="1" x14ac:dyDescent="0.15"/>
    <row r="63394" spans="3:3" customFormat="1" ht="21.95" customHeight="1" x14ac:dyDescent="0.15"/>
    <row r="63395" spans="3:3" customFormat="1" ht="21.95" customHeight="1" x14ac:dyDescent="0.15">
      <c r="C63395" s="94"/>
    </row>
    <row r="63396" spans="3:3" customFormat="1" ht="21.95" customHeight="1" x14ac:dyDescent="0.15">
      <c r="C63396" s="94"/>
    </row>
    <row r="63397" spans="3:3" customFormat="1" ht="21.95" customHeight="1" x14ac:dyDescent="0.15"/>
    <row r="63398" spans="3:3" customFormat="1" ht="21.95" customHeight="1" x14ac:dyDescent="0.15"/>
    <row r="63399" spans="3:3" customFormat="1" ht="21.95" customHeight="1" x14ac:dyDescent="0.15"/>
    <row r="63400" spans="3:3" customFormat="1" ht="21.95" customHeight="1" x14ac:dyDescent="0.15"/>
    <row r="63401" spans="3:3" customFormat="1" ht="21.95" customHeight="1" x14ac:dyDescent="0.15"/>
    <row r="63402" spans="3:3" customFormat="1" ht="21.95" customHeight="1" x14ac:dyDescent="0.15"/>
    <row r="63403" spans="3:3" customFormat="1" ht="21.95" customHeight="1" x14ac:dyDescent="0.15"/>
    <row r="63404" spans="3:3" s="76" customFormat="1" ht="21.95" customHeight="1" x14ac:dyDescent="0.15"/>
    <row r="63405" spans="3:3" s="76" customFormat="1" ht="21.95" customHeight="1" x14ac:dyDescent="0.15"/>
    <row r="63406" spans="3:3" s="76" customFormat="1" ht="21.95" customHeight="1" x14ac:dyDescent="0.15"/>
    <row r="63407" spans="3:3" s="76" customFormat="1" ht="21.95" customHeight="1" x14ac:dyDescent="0.15"/>
    <row r="63408" spans="3:3" customFormat="1" ht="21.95" customHeight="1" x14ac:dyDescent="0.15"/>
    <row r="63409" customFormat="1" ht="21.95" customHeight="1" x14ac:dyDescent="0.15"/>
    <row r="63410" customFormat="1" ht="21.95" customHeight="1" x14ac:dyDescent="0.15"/>
    <row r="63411" customFormat="1" ht="21.95" customHeight="1" x14ac:dyDescent="0.15"/>
    <row r="63412" customFormat="1" ht="21.95" customHeight="1" x14ac:dyDescent="0.15"/>
    <row r="63413" customFormat="1" ht="21.95" customHeight="1" x14ac:dyDescent="0.15"/>
    <row r="63414" customFormat="1" ht="21.95" customHeight="1" x14ac:dyDescent="0.15"/>
    <row r="63415" customFormat="1" ht="21.95" customHeight="1" x14ac:dyDescent="0.15"/>
    <row r="63416" customFormat="1" ht="21.95" customHeight="1" x14ac:dyDescent="0.15"/>
    <row r="63417" customFormat="1" ht="21.95" customHeight="1" x14ac:dyDescent="0.15"/>
    <row r="63418" customFormat="1" ht="21.95" customHeight="1" x14ac:dyDescent="0.15"/>
    <row r="63419" customFormat="1" ht="32.1" customHeight="1" x14ac:dyDescent="0.15"/>
    <row r="63420" customFormat="1" ht="32.1" customHeight="1" x14ac:dyDescent="0.15"/>
    <row r="63421" customFormat="1" ht="32.1" customHeight="1" x14ac:dyDescent="0.15"/>
    <row r="63422" customFormat="1" ht="32.1" customHeight="1" x14ac:dyDescent="0.15"/>
    <row r="63423" customFormat="1" ht="32.1" customHeight="1" x14ac:dyDescent="0.15"/>
    <row r="63424" customFormat="1" ht="32.1" customHeight="1" x14ac:dyDescent="0.15"/>
    <row r="63425" s="76" customFormat="1" ht="32.1" customHeight="1" x14ac:dyDescent="0.15"/>
    <row r="63426" s="76" customFormat="1" ht="32.1" customHeight="1" x14ac:dyDescent="0.15"/>
    <row r="63427" s="76" customFormat="1" ht="32.1" customHeight="1" x14ac:dyDescent="0.15"/>
    <row r="63428" s="76" customFormat="1" ht="32.1" customHeight="1" x14ac:dyDescent="0.15"/>
    <row r="63429" s="76" customFormat="1" ht="21.95" customHeight="1" x14ac:dyDescent="0.15"/>
    <row r="63430" s="76" customFormat="1" ht="54" customHeight="1" x14ac:dyDescent="0.15"/>
    <row r="63431" s="76" customFormat="1" ht="21.95" customHeight="1" x14ac:dyDescent="0.15"/>
    <row r="63432" s="76" customFormat="1" ht="21.95" customHeight="1" x14ac:dyDescent="0.15"/>
    <row r="63433" s="76" customFormat="1" ht="21.95" customHeight="1" x14ac:dyDescent="0.15"/>
    <row r="63434" s="76" customFormat="1" ht="21.95" customHeight="1" x14ac:dyDescent="0.15"/>
    <row r="63435" s="76" customFormat="1" ht="21.95" customHeight="1" x14ac:dyDescent="0.15"/>
    <row r="63436" s="76" customFormat="1" ht="21.95" customHeight="1" x14ac:dyDescent="0.15"/>
    <row r="63437" s="76" customFormat="1" ht="21.95" customHeight="1" x14ac:dyDescent="0.15"/>
    <row r="63438" s="76" customFormat="1" ht="21.95" customHeight="1" x14ac:dyDescent="0.15"/>
    <row r="63439" s="76" customFormat="1" ht="21.95" customHeight="1" x14ac:dyDescent="0.15"/>
    <row r="63440" s="76" customFormat="1" ht="21.95" customHeight="1" x14ac:dyDescent="0.15"/>
    <row r="63441" s="76" customFormat="1" ht="21.95" customHeight="1" x14ac:dyDescent="0.15"/>
    <row r="63442" s="76" customFormat="1" ht="21.95" customHeight="1" x14ac:dyDescent="0.15"/>
    <row r="63443" s="76" customFormat="1" ht="21.95" customHeight="1" x14ac:dyDescent="0.15"/>
    <row r="63444" s="76" customFormat="1" ht="21.95" customHeight="1" x14ac:dyDescent="0.15"/>
    <row r="63445" s="76" customFormat="1" ht="21.95" customHeight="1" x14ac:dyDescent="0.15"/>
    <row r="63446" s="76" customFormat="1" ht="21.95" customHeight="1" x14ac:dyDescent="0.15"/>
    <row r="63447" s="76" customFormat="1" ht="21.95" customHeight="1" x14ac:dyDescent="0.15"/>
    <row r="63448" s="76" customFormat="1" ht="21.95" customHeight="1" x14ac:dyDescent="0.15"/>
    <row r="63449" s="76" customFormat="1" ht="21.95" customHeight="1" x14ac:dyDescent="0.15"/>
    <row r="63450" s="76" customFormat="1" ht="21.95" customHeight="1" x14ac:dyDescent="0.15"/>
    <row r="63451" s="76" customFormat="1" ht="21.95" customHeight="1" x14ac:dyDescent="0.15"/>
    <row r="63452" s="76" customFormat="1" ht="21.95" customHeight="1" x14ac:dyDescent="0.15"/>
    <row r="63453" s="76" customFormat="1" ht="21.95" customHeight="1" x14ac:dyDescent="0.15"/>
    <row r="63454" s="76" customFormat="1" ht="21.95" customHeight="1" x14ac:dyDescent="0.15"/>
    <row r="63455" s="76" customFormat="1" ht="21.95" customHeight="1" x14ac:dyDescent="0.15"/>
    <row r="63456" s="76" customFormat="1" ht="21.95" customHeight="1" x14ac:dyDescent="0.15"/>
    <row r="63457" s="76" customFormat="1" ht="21.95" customHeight="1" x14ac:dyDescent="0.15"/>
    <row r="63458" s="76" customFormat="1" ht="21.95" customHeight="1" x14ac:dyDescent="0.15"/>
    <row r="63459" s="76" customFormat="1" ht="21.95" customHeight="1" x14ac:dyDescent="0.15"/>
    <row r="63460" s="76" customFormat="1" ht="21.95" customHeight="1" x14ac:dyDescent="0.15"/>
    <row r="63461" s="76" customFormat="1" ht="21.95" customHeight="1" x14ac:dyDescent="0.15"/>
    <row r="63462" s="76" customFormat="1" ht="21.95" customHeight="1" x14ac:dyDescent="0.15"/>
    <row r="63463" s="76" customFormat="1" ht="21.95" customHeight="1" x14ac:dyDescent="0.15"/>
    <row r="63464" s="76" customFormat="1" ht="21.95" customHeight="1" x14ac:dyDescent="0.15"/>
    <row r="63465" s="76" customFormat="1" ht="21.95" customHeight="1" x14ac:dyDescent="0.15"/>
    <row r="63466" s="76" customFormat="1" ht="21.95" customHeight="1" x14ac:dyDescent="0.15"/>
    <row r="63467" s="76" customFormat="1" ht="21.95" customHeight="1" x14ac:dyDescent="0.15"/>
    <row r="63468" s="76" customFormat="1" ht="21.95" customHeight="1" x14ac:dyDescent="0.15"/>
    <row r="63469" s="76" customFormat="1" ht="21.95" customHeight="1" x14ac:dyDescent="0.15"/>
    <row r="63470" s="76" customFormat="1" ht="21.95" customHeight="1" x14ac:dyDescent="0.15"/>
    <row r="63471" s="76" customFormat="1" ht="21.95" customHeight="1" x14ac:dyDescent="0.15"/>
    <row r="63472" s="76" customFormat="1" ht="21.95" customHeight="1" x14ac:dyDescent="0.15"/>
    <row r="63473" s="76" customFormat="1" ht="21.95" customHeight="1" x14ac:dyDescent="0.15"/>
    <row r="63474" s="76" customFormat="1" ht="21.95" customHeight="1" x14ac:dyDescent="0.15"/>
    <row r="63475" s="76" customFormat="1" ht="21.95" customHeight="1" x14ac:dyDescent="0.15"/>
    <row r="63476" s="76" customFormat="1" ht="21.95" customHeight="1" x14ac:dyDescent="0.15"/>
    <row r="63477" s="76" customFormat="1" ht="21.95" customHeight="1" x14ac:dyDescent="0.15"/>
    <row r="63478" s="76" customFormat="1" ht="21.95" customHeight="1" x14ac:dyDescent="0.15"/>
    <row r="63479" s="76" customFormat="1" ht="21.95" customHeight="1" x14ac:dyDescent="0.15"/>
    <row r="63480" s="76" customFormat="1" ht="21.95" customHeight="1" x14ac:dyDescent="0.15"/>
    <row r="63481" s="76" customFormat="1" ht="35.1" customHeight="1" x14ac:dyDescent="0.15"/>
    <row r="63482" s="76" customFormat="1" ht="21.95" customHeight="1" x14ac:dyDescent="0.15"/>
    <row r="63483" s="76" customFormat="1" ht="21.95" customHeight="1" x14ac:dyDescent="0.15"/>
    <row r="63484" s="76" customFormat="1" ht="21.95" customHeight="1" x14ac:dyDescent="0.15"/>
    <row r="63485" s="76" customFormat="1" ht="21.95" customHeight="1" x14ac:dyDescent="0.15"/>
    <row r="63486" s="76" customFormat="1" ht="21.95" customHeight="1" x14ac:dyDescent="0.15"/>
    <row r="63487" s="76" customFormat="1" ht="21.95" customHeight="1" x14ac:dyDescent="0.15"/>
    <row r="63488" s="76" customFormat="1" ht="21.95" customHeight="1" x14ac:dyDescent="0.15"/>
    <row r="63489" s="76" customFormat="1" ht="21.95" customHeight="1" x14ac:dyDescent="0.15"/>
    <row r="63490" s="76" customFormat="1" ht="21.95" customHeight="1" x14ac:dyDescent="0.15"/>
    <row r="63491" s="76" customFormat="1" ht="21.95" customHeight="1" x14ac:dyDescent="0.15"/>
    <row r="63492" s="76" customFormat="1" ht="21.95" customHeight="1" x14ac:dyDescent="0.15"/>
    <row r="63493" s="76" customFormat="1" ht="21.95" customHeight="1" x14ac:dyDescent="0.15"/>
    <row r="63494" s="76" customFormat="1" ht="21.95" customHeight="1" x14ac:dyDescent="0.15"/>
    <row r="63495" s="76" customFormat="1" ht="21.95" customHeight="1" x14ac:dyDescent="0.15"/>
    <row r="63496" s="76" customFormat="1" ht="21.95" customHeight="1" x14ac:dyDescent="0.15"/>
    <row r="63497" s="76" customFormat="1" ht="21.95" customHeight="1" x14ac:dyDescent="0.15"/>
    <row r="63498" s="76" customFormat="1" ht="21.95" customHeight="1" x14ac:dyDescent="0.15"/>
    <row r="63499" s="76" customFormat="1" ht="21.95" customHeight="1" x14ac:dyDescent="0.15"/>
    <row r="63500" s="76" customFormat="1" ht="21.95" customHeight="1" x14ac:dyDescent="0.15"/>
    <row r="63501" s="76" customFormat="1" ht="21.95" customHeight="1" x14ac:dyDescent="0.15"/>
    <row r="63502" s="76" customFormat="1" ht="21.95" customHeight="1" x14ac:dyDescent="0.15"/>
    <row r="63503" s="76" customFormat="1" ht="21.95" customHeight="1" x14ac:dyDescent="0.15"/>
    <row r="63504" s="76" customFormat="1" ht="21.95" customHeight="1" x14ac:dyDescent="0.15"/>
    <row r="63505" spans="3:3" customFormat="1" ht="21.95" customHeight="1" x14ac:dyDescent="0.15"/>
    <row r="63506" spans="3:3" customFormat="1" ht="21.95" customHeight="1" x14ac:dyDescent="0.15"/>
    <row r="63507" spans="3:3" customFormat="1" ht="21.95" customHeight="1" x14ac:dyDescent="0.15">
      <c r="C63507" s="94"/>
    </row>
    <row r="63508" spans="3:3" customFormat="1" ht="21.95" customHeight="1" x14ac:dyDescent="0.15">
      <c r="C63508" s="94"/>
    </row>
    <row r="63509" spans="3:3" customFormat="1" ht="21.95" customHeight="1" x14ac:dyDescent="0.15"/>
    <row r="63510" spans="3:3" customFormat="1" ht="21.95" customHeight="1" x14ac:dyDescent="0.15"/>
    <row r="63511" spans="3:3" customFormat="1" ht="21.95" customHeight="1" x14ac:dyDescent="0.15"/>
    <row r="63512" spans="3:3" customFormat="1" ht="21.95" customHeight="1" x14ac:dyDescent="0.15"/>
    <row r="63513" spans="3:3" customFormat="1" ht="21.95" customHeight="1" x14ac:dyDescent="0.15"/>
    <row r="63514" spans="3:3" customFormat="1" ht="21.95" customHeight="1" x14ac:dyDescent="0.15"/>
    <row r="63515" spans="3:3" customFormat="1" ht="21.95" customHeight="1" x14ac:dyDescent="0.15"/>
    <row r="63516" spans="3:3" s="76" customFormat="1" ht="21.95" customHeight="1" x14ac:dyDescent="0.15"/>
    <row r="63517" spans="3:3" s="76" customFormat="1" ht="21.95" customHeight="1" x14ac:dyDescent="0.15"/>
    <row r="63518" spans="3:3" s="76" customFormat="1" ht="21.95" customHeight="1" x14ac:dyDescent="0.15"/>
    <row r="63519" spans="3:3" s="76" customFormat="1" ht="21.95" customHeight="1" x14ac:dyDescent="0.15"/>
    <row r="63520" spans="3:3" customFormat="1" ht="21.95" customHeight="1" x14ac:dyDescent="0.15"/>
    <row r="63521" customFormat="1" ht="21.95" customHeight="1" x14ac:dyDescent="0.15"/>
    <row r="63522" customFormat="1" ht="21.95" customHeight="1" x14ac:dyDescent="0.15"/>
    <row r="63523" customFormat="1" ht="21.95" customHeight="1" x14ac:dyDescent="0.15"/>
    <row r="63524" customFormat="1" ht="21.95" customHeight="1" x14ac:dyDescent="0.15"/>
    <row r="63525" customFormat="1" ht="21.95" customHeight="1" x14ac:dyDescent="0.15"/>
    <row r="63526" customFormat="1" ht="21.95" customHeight="1" x14ac:dyDescent="0.15"/>
    <row r="63527" customFormat="1" ht="21.95" customHeight="1" x14ac:dyDescent="0.15"/>
    <row r="63528" customFormat="1" ht="21.95" customHeight="1" x14ac:dyDescent="0.15"/>
    <row r="63529" customFormat="1" ht="21.95" customHeight="1" x14ac:dyDescent="0.15"/>
    <row r="63530" customFormat="1" ht="21.95" customHeight="1" x14ac:dyDescent="0.15"/>
    <row r="63531" customFormat="1" ht="32.1" customHeight="1" x14ac:dyDescent="0.15"/>
    <row r="63532" customFormat="1" ht="32.1" customHeight="1" x14ac:dyDescent="0.15"/>
    <row r="63533" customFormat="1" ht="32.1" customHeight="1" x14ac:dyDescent="0.15"/>
    <row r="63534" customFormat="1" ht="32.1" customHeight="1" x14ac:dyDescent="0.15"/>
    <row r="63535" customFormat="1" ht="32.1" customHeight="1" x14ac:dyDescent="0.15"/>
    <row r="63536" customFormat="1" ht="32.1" customHeight="1" x14ac:dyDescent="0.15"/>
    <row r="63537" s="76" customFormat="1" ht="32.1" customHeight="1" x14ac:dyDescent="0.15"/>
    <row r="63538" s="76" customFormat="1" ht="32.1" customHeight="1" x14ac:dyDescent="0.15"/>
    <row r="63539" s="76" customFormat="1" ht="32.1" customHeight="1" x14ac:dyDescent="0.15"/>
    <row r="63540" s="76" customFormat="1" ht="32.1" customHeight="1" x14ac:dyDescent="0.15"/>
    <row r="63541" s="76" customFormat="1" ht="21.95" customHeight="1" x14ac:dyDescent="0.15"/>
    <row r="63542" s="76" customFormat="1" ht="54" customHeight="1" x14ac:dyDescent="0.15"/>
    <row r="63543" s="76" customFormat="1" ht="21.95" customHeight="1" x14ac:dyDescent="0.15"/>
    <row r="63544" s="76" customFormat="1" ht="21.95" customHeight="1" x14ac:dyDescent="0.15"/>
    <row r="63545" s="76" customFormat="1" ht="21.95" customHeight="1" x14ac:dyDescent="0.15"/>
    <row r="63546" s="76" customFormat="1" ht="21.95" customHeight="1" x14ac:dyDescent="0.15"/>
    <row r="63547" s="76" customFormat="1" ht="21.95" customHeight="1" x14ac:dyDescent="0.15"/>
    <row r="63548" s="76" customFormat="1" ht="21.95" customHeight="1" x14ac:dyDescent="0.15"/>
    <row r="63549" s="76" customFormat="1" ht="21.95" customHeight="1" x14ac:dyDescent="0.15"/>
    <row r="63550" s="76" customFormat="1" ht="21.95" customHeight="1" x14ac:dyDescent="0.15"/>
    <row r="63551" s="76" customFormat="1" ht="21.95" customHeight="1" x14ac:dyDescent="0.15"/>
    <row r="63552" s="76" customFormat="1" ht="21.95" customHeight="1" x14ac:dyDescent="0.15"/>
    <row r="63553" s="76" customFormat="1" ht="21.95" customHeight="1" x14ac:dyDescent="0.15"/>
    <row r="63554" s="76" customFormat="1" ht="21.95" customHeight="1" x14ac:dyDescent="0.15"/>
    <row r="63555" s="76" customFormat="1" ht="21.95" customHeight="1" x14ac:dyDescent="0.15"/>
    <row r="63556" s="76" customFormat="1" ht="21.95" customHeight="1" x14ac:dyDescent="0.15"/>
    <row r="63557" s="76" customFormat="1" ht="21.95" customHeight="1" x14ac:dyDescent="0.15"/>
    <row r="63558" s="76" customFormat="1" ht="21.95" customHeight="1" x14ac:dyDescent="0.15"/>
    <row r="63559" s="76" customFormat="1" ht="21.95" customHeight="1" x14ac:dyDescent="0.15"/>
    <row r="63560" s="76" customFormat="1" ht="21.95" customHeight="1" x14ac:dyDescent="0.15"/>
    <row r="63561" s="76" customFormat="1" ht="21.95" customHeight="1" x14ac:dyDescent="0.15"/>
    <row r="63562" s="76" customFormat="1" ht="21.95" customHeight="1" x14ac:dyDescent="0.15"/>
    <row r="63563" s="76" customFormat="1" ht="21.95" customHeight="1" x14ac:dyDescent="0.15"/>
    <row r="63564" s="76" customFormat="1" ht="21.95" customHeight="1" x14ac:dyDescent="0.15"/>
    <row r="63565" s="76" customFormat="1" ht="21.95" customHeight="1" x14ac:dyDescent="0.15"/>
    <row r="63566" s="76" customFormat="1" ht="21.95" customHeight="1" x14ac:dyDescent="0.15"/>
    <row r="63567" s="76" customFormat="1" ht="21.95" customHeight="1" x14ac:dyDescent="0.15"/>
    <row r="63568" s="76" customFormat="1" ht="21.95" customHeight="1" x14ac:dyDescent="0.15"/>
    <row r="63569" s="76" customFormat="1" ht="21.95" customHeight="1" x14ac:dyDescent="0.15"/>
    <row r="63570" s="76" customFormat="1" ht="21.95" customHeight="1" x14ac:dyDescent="0.15"/>
    <row r="63571" s="76" customFormat="1" ht="21.95" customHeight="1" x14ac:dyDescent="0.15"/>
    <row r="63572" s="76" customFormat="1" ht="21.95" customHeight="1" x14ac:dyDescent="0.15"/>
    <row r="63573" s="76" customFormat="1" ht="21.95" customHeight="1" x14ac:dyDescent="0.15"/>
    <row r="63574" s="76" customFormat="1" ht="21.95" customHeight="1" x14ac:dyDescent="0.15"/>
    <row r="63575" s="76" customFormat="1" ht="21.95" customHeight="1" x14ac:dyDescent="0.15"/>
    <row r="63576" s="76" customFormat="1" ht="21.95" customHeight="1" x14ac:dyDescent="0.15"/>
    <row r="63577" s="76" customFormat="1" ht="21.95" customHeight="1" x14ac:dyDescent="0.15"/>
    <row r="63578" s="76" customFormat="1" ht="21.95" customHeight="1" x14ac:dyDescent="0.15"/>
    <row r="63579" s="76" customFormat="1" ht="21.95" customHeight="1" x14ac:dyDescent="0.15"/>
    <row r="63580" s="76" customFormat="1" ht="21.95" customHeight="1" x14ac:dyDescent="0.15"/>
    <row r="63581" s="76" customFormat="1" ht="21.95" customHeight="1" x14ac:dyDescent="0.15"/>
    <row r="63582" s="76" customFormat="1" ht="21.95" customHeight="1" x14ac:dyDescent="0.15"/>
    <row r="63583" s="76" customFormat="1" ht="21.95" customHeight="1" x14ac:dyDescent="0.15"/>
    <row r="63584" s="76" customFormat="1" ht="21.95" customHeight="1" x14ac:dyDescent="0.15"/>
    <row r="63585" s="76" customFormat="1" ht="21.95" customHeight="1" x14ac:dyDescent="0.15"/>
    <row r="63586" s="76" customFormat="1" ht="21.95" customHeight="1" x14ac:dyDescent="0.15"/>
    <row r="63587" s="76" customFormat="1" ht="21.95" customHeight="1" x14ac:dyDescent="0.15"/>
    <row r="63588" s="76" customFormat="1" ht="21.95" customHeight="1" x14ac:dyDescent="0.15"/>
    <row r="63589" s="76" customFormat="1" ht="21.95" customHeight="1" x14ac:dyDescent="0.15"/>
    <row r="63590" s="76" customFormat="1" ht="21.95" customHeight="1" x14ac:dyDescent="0.15"/>
    <row r="63591" s="76" customFormat="1" ht="21.95" customHeight="1" x14ac:dyDescent="0.15"/>
    <row r="63592" s="76" customFormat="1" ht="21.95" customHeight="1" x14ac:dyDescent="0.15"/>
    <row r="63593" s="76" customFormat="1" ht="35.1" customHeight="1" x14ac:dyDescent="0.15"/>
    <row r="63594" s="76" customFormat="1" ht="21.95" customHeight="1" x14ac:dyDescent="0.15"/>
    <row r="63595" s="76" customFormat="1" ht="21.95" customHeight="1" x14ac:dyDescent="0.15"/>
    <row r="63596" s="76" customFormat="1" ht="21.95" customHeight="1" x14ac:dyDescent="0.15"/>
    <row r="63597" s="76" customFormat="1" ht="21.95" customHeight="1" x14ac:dyDescent="0.15"/>
    <row r="63598" s="76" customFormat="1" ht="21.95" customHeight="1" x14ac:dyDescent="0.15"/>
    <row r="63599" s="76" customFormat="1" ht="21.95" customHeight="1" x14ac:dyDescent="0.15"/>
    <row r="63600" s="76" customFormat="1" ht="21.95" customHeight="1" x14ac:dyDescent="0.15"/>
    <row r="63601" s="76" customFormat="1" ht="21.95" customHeight="1" x14ac:dyDescent="0.15"/>
    <row r="63602" s="76" customFormat="1" ht="21.95" customHeight="1" x14ac:dyDescent="0.15"/>
    <row r="63603" s="76" customFormat="1" ht="21.95" customHeight="1" x14ac:dyDescent="0.15"/>
    <row r="63604" s="76" customFormat="1" ht="21.95" customHeight="1" x14ac:dyDescent="0.15"/>
    <row r="63605" s="76" customFormat="1" ht="21.95" customHeight="1" x14ac:dyDescent="0.15"/>
    <row r="63606" s="76" customFormat="1" ht="21.95" customHeight="1" x14ac:dyDescent="0.15"/>
    <row r="63607" s="76" customFormat="1" ht="21.95" customHeight="1" x14ac:dyDescent="0.15"/>
    <row r="63608" s="76" customFormat="1" ht="21.95" customHeight="1" x14ac:dyDescent="0.15"/>
    <row r="63609" s="76" customFormat="1" ht="21.95" customHeight="1" x14ac:dyDescent="0.15"/>
    <row r="63610" s="76" customFormat="1" ht="21.95" customHeight="1" x14ac:dyDescent="0.15"/>
    <row r="63611" s="76" customFormat="1" ht="21.95" customHeight="1" x14ac:dyDescent="0.15"/>
    <row r="63612" s="76" customFormat="1" ht="21.95" customHeight="1" x14ac:dyDescent="0.15"/>
    <row r="63613" s="76" customFormat="1" ht="21.95" customHeight="1" x14ac:dyDescent="0.15"/>
    <row r="63614" s="76" customFormat="1" ht="21.95" customHeight="1" x14ac:dyDescent="0.15"/>
    <row r="63615" s="76" customFormat="1" ht="21.95" customHeight="1" x14ac:dyDescent="0.15"/>
    <row r="63616" s="76" customFormat="1" ht="21.95" customHeight="1" x14ac:dyDescent="0.15"/>
    <row r="63617" spans="3:3" customFormat="1" ht="21.95" customHeight="1" x14ac:dyDescent="0.15"/>
    <row r="63618" spans="3:3" customFormat="1" ht="21.95" customHeight="1" x14ac:dyDescent="0.15"/>
    <row r="63619" spans="3:3" customFormat="1" ht="21.95" customHeight="1" x14ac:dyDescent="0.15">
      <c r="C63619" s="94"/>
    </row>
    <row r="63620" spans="3:3" customFormat="1" ht="21.95" customHeight="1" x14ac:dyDescent="0.15">
      <c r="C63620" s="94"/>
    </row>
    <row r="63621" spans="3:3" customFormat="1" ht="21.95" customHeight="1" x14ac:dyDescent="0.15"/>
    <row r="63622" spans="3:3" customFormat="1" ht="21.95" customHeight="1" x14ac:dyDescent="0.15"/>
    <row r="63623" spans="3:3" customFormat="1" ht="21.95" customHeight="1" x14ac:dyDescent="0.15"/>
    <row r="63624" spans="3:3" customFormat="1" ht="21.95" customHeight="1" x14ac:dyDescent="0.15"/>
    <row r="63625" spans="3:3" customFormat="1" ht="21.95" customHeight="1" x14ac:dyDescent="0.15"/>
    <row r="63626" spans="3:3" customFormat="1" ht="21.95" customHeight="1" x14ac:dyDescent="0.15"/>
    <row r="63627" spans="3:3" customFormat="1" ht="21.95" customHeight="1" x14ac:dyDescent="0.15"/>
    <row r="63628" spans="3:3" s="76" customFormat="1" ht="21.95" customHeight="1" x14ac:dyDescent="0.15"/>
    <row r="63629" spans="3:3" s="76" customFormat="1" ht="21.95" customHeight="1" x14ac:dyDescent="0.15"/>
    <row r="63630" spans="3:3" s="76" customFormat="1" ht="21.95" customHeight="1" x14ac:dyDescent="0.15"/>
    <row r="63631" spans="3:3" s="76" customFormat="1" ht="21.95" customHeight="1" x14ac:dyDescent="0.15"/>
    <row r="63632" spans="3:3" customFormat="1" ht="21.95" customHeight="1" x14ac:dyDescent="0.15"/>
    <row r="63633" customFormat="1" ht="21.95" customHeight="1" x14ac:dyDescent="0.15"/>
    <row r="63634" customFormat="1" ht="21.95" customHeight="1" x14ac:dyDescent="0.15"/>
    <row r="63635" customFormat="1" ht="21.95" customHeight="1" x14ac:dyDescent="0.15"/>
    <row r="63636" customFormat="1" ht="21.95" customHeight="1" x14ac:dyDescent="0.15"/>
    <row r="63637" customFormat="1" ht="21.95" customHeight="1" x14ac:dyDescent="0.15"/>
    <row r="63638" customFormat="1" ht="21.95" customHeight="1" x14ac:dyDescent="0.15"/>
    <row r="63639" customFormat="1" ht="21.95" customHeight="1" x14ac:dyDescent="0.15"/>
    <row r="63640" customFormat="1" ht="21.95" customHeight="1" x14ac:dyDescent="0.15"/>
    <row r="63641" customFormat="1" ht="21.95" customHeight="1" x14ac:dyDescent="0.15"/>
    <row r="63642" customFormat="1" ht="21.95" customHeight="1" x14ac:dyDescent="0.15"/>
    <row r="63643" customFormat="1" ht="32.1" customHeight="1" x14ac:dyDescent="0.15"/>
    <row r="63644" customFormat="1" ht="32.1" customHeight="1" x14ac:dyDescent="0.15"/>
    <row r="63645" customFormat="1" ht="32.1" customHeight="1" x14ac:dyDescent="0.15"/>
    <row r="63646" customFormat="1" ht="32.1" customHeight="1" x14ac:dyDescent="0.15"/>
    <row r="63647" customFormat="1" ht="32.1" customHeight="1" x14ac:dyDescent="0.15"/>
    <row r="63648" customFormat="1" ht="32.1" customHeight="1" x14ac:dyDescent="0.15"/>
    <row r="63649" s="76" customFormat="1" ht="32.1" customHeight="1" x14ac:dyDescent="0.15"/>
    <row r="63650" s="76" customFormat="1" ht="32.1" customHeight="1" x14ac:dyDescent="0.15"/>
    <row r="63651" s="76" customFormat="1" ht="32.1" customHeight="1" x14ac:dyDescent="0.15"/>
    <row r="63652" s="76" customFormat="1" ht="32.1" customHeight="1" x14ac:dyDescent="0.15"/>
    <row r="63653" s="76" customFormat="1" ht="21.95" customHeight="1" x14ac:dyDescent="0.15"/>
    <row r="63654" s="76" customFormat="1" ht="54" customHeight="1" x14ac:dyDescent="0.15"/>
    <row r="63655" s="76" customFormat="1" ht="21.95" customHeight="1" x14ac:dyDescent="0.15"/>
    <row r="63656" s="76" customFormat="1" ht="21.95" customHeight="1" x14ac:dyDescent="0.15"/>
    <row r="63657" s="76" customFormat="1" ht="21.95" customHeight="1" x14ac:dyDescent="0.15"/>
    <row r="63658" s="76" customFormat="1" ht="21.95" customHeight="1" x14ac:dyDescent="0.15"/>
    <row r="63659" s="76" customFormat="1" ht="21.95" customHeight="1" x14ac:dyDescent="0.15"/>
    <row r="63660" s="76" customFormat="1" ht="21.95" customHeight="1" x14ac:dyDescent="0.15"/>
    <row r="63661" s="76" customFormat="1" ht="21.95" customHeight="1" x14ac:dyDescent="0.15"/>
    <row r="63662" s="76" customFormat="1" ht="21.95" customHeight="1" x14ac:dyDescent="0.15"/>
    <row r="63663" s="76" customFormat="1" ht="21.95" customHeight="1" x14ac:dyDescent="0.15"/>
    <row r="63664" s="76" customFormat="1" ht="21.95" customHeight="1" x14ac:dyDescent="0.15"/>
    <row r="63665" s="76" customFormat="1" ht="21.95" customHeight="1" x14ac:dyDescent="0.15"/>
    <row r="63666" s="76" customFormat="1" ht="21.95" customHeight="1" x14ac:dyDescent="0.15"/>
    <row r="63667" s="76" customFormat="1" ht="21.95" customHeight="1" x14ac:dyDescent="0.15"/>
    <row r="63668" s="76" customFormat="1" ht="21.95" customHeight="1" x14ac:dyDescent="0.15"/>
    <row r="63669" s="76" customFormat="1" ht="21.95" customHeight="1" x14ac:dyDescent="0.15"/>
    <row r="63670" s="76" customFormat="1" ht="21.95" customHeight="1" x14ac:dyDescent="0.15"/>
    <row r="63671" s="76" customFormat="1" ht="21.95" customHeight="1" x14ac:dyDescent="0.15"/>
    <row r="63672" s="76" customFormat="1" ht="21.95" customHeight="1" x14ac:dyDescent="0.15"/>
    <row r="63673" s="76" customFormat="1" ht="21.95" customHeight="1" x14ac:dyDescent="0.15"/>
    <row r="63674" s="76" customFormat="1" ht="21.95" customHeight="1" x14ac:dyDescent="0.15"/>
    <row r="63675" s="76" customFormat="1" ht="21.95" customHeight="1" x14ac:dyDescent="0.15"/>
    <row r="63676" s="76" customFormat="1" ht="21.95" customHeight="1" x14ac:dyDescent="0.15"/>
    <row r="63677" s="76" customFormat="1" ht="21.95" customHeight="1" x14ac:dyDescent="0.15"/>
    <row r="63678" s="76" customFormat="1" ht="21.95" customHeight="1" x14ac:dyDescent="0.15"/>
    <row r="63679" s="76" customFormat="1" ht="21.95" customHeight="1" x14ac:dyDescent="0.15"/>
    <row r="63680" s="76" customFormat="1" ht="21.95" customHeight="1" x14ac:dyDescent="0.15"/>
    <row r="63681" s="76" customFormat="1" ht="21.95" customHeight="1" x14ac:dyDescent="0.15"/>
    <row r="63682" s="76" customFormat="1" ht="21.95" customHeight="1" x14ac:dyDescent="0.15"/>
    <row r="63683" s="76" customFormat="1" ht="21.95" customHeight="1" x14ac:dyDescent="0.15"/>
    <row r="63684" s="76" customFormat="1" ht="21.95" customHeight="1" x14ac:dyDescent="0.15"/>
    <row r="63685" s="76" customFormat="1" ht="21.95" customHeight="1" x14ac:dyDescent="0.15"/>
    <row r="63686" s="76" customFormat="1" ht="21.95" customHeight="1" x14ac:dyDescent="0.15"/>
    <row r="63687" s="76" customFormat="1" ht="21.95" customHeight="1" x14ac:dyDescent="0.15"/>
    <row r="63688" s="76" customFormat="1" ht="21.95" customHeight="1" x14ac:dyDescent="0.15"/>
    <row r="63689" s="76" customFormat="1" ht="21.95" customHeight="1" x14ac:dyDescent="0.15"/>
    <row r="63690" s="76" customFormat="1" ht="21.95" customHeight="1" x14ac:dyDescent="0.15"/>
    <row r="63691" s="76" customFormat="1" ht="21.95" customHeight="1" x14ac:dyDescent="0.15"/>
    <row r="63692" s="76" customFormat="1" ht="21.95" customHeight="1" x14ac:dyDescent="0.15"/>
    <row r="63693" s="76" customFormat="1" ht="21.95" customHeight="1" x14ac:dyDescent="0.15"/>
    <row r="63694" s="76" customFormat="1" ht="21.95" customHeight="1" x14ac:dyDescent="0.15"/>
    <row r="63695" s="76" customFormat="1" ht="21.95" customHeight="1" x14ac:dyDescent="0.15"/>
    <row r="63696" s="76" customFormat="1" ht="21.95" customHeight="1" x14ac:dyDescent="0.15"/>
    <row r="63697" s="76" customFormat="1" ht="21.95" customHeight="1" x14ac:dyDescent="0.15"/>
    <row r="63698" s="76" customFormat="1" ht="21.95" customHeight="1" x14ac:dyDescent="0.15"/>
    <row r="63699" s="76" customFormat="1" ht="21.95" customHeight="1" x14ac:dyDescent="0.15"/>
    <row r="63700" s="76" customFormat="1" ht="21.95" customHeight="1" x14ac:dyDescent="0.15"/>
    <row r="63701" s="76" customFormat="1" ht="21.95" customHeight="1" x14ac:dyDescent="0.15"/>
    <row r="63702" s="76" customFormat="1" ht="21.95" customHeight="1" x14ac:dyDescent="0.15"/>
    <row r="63703" s="76" customFormat="1" ht="21.95" customHeight="1" x14ac:dyDescent="0.15"/>
    <row r="63704" s="76" customFormat="1" ht="21.95" customHeight="1" x14ac:dyDescent="0.15"/>
    <row r="63705" s="76" customFormat="1" ht="35.1" customHeight="1" x14ac:dyDescent="0.15"/>
    <row r="63706" s="76" customFormat="1" ht="21.95" customHeight="1" x14ac:dyDescent="0.15"/>
    <row r="63707" s="76" customFormat="1" ht="21.95" customHeight="1" x14ac:dyDescent="0.15"/>
    <row r="63708" s="76" customFormat="1" ht="21.95" customHeight="1" x14ac:dyDescent="0.15"/>
    <row r="63709" s="76" customFormat="1" ht="21.95" customHeight="1" x14ac:dyDescent="0.15"/>
    <row r="63710" s="76" customFormat="1" ht="21.95" customHeight="1" x14ac:dyDescent="0.15"/>
    <row r="63711" s="76" customFormat="1" ht="21.95" customHeight="1" x14ac:dyDescent="0.15"/>
    <row r="63712" s="76" customFormat="1" ht="21.95" customHeight="1" x14ac:dyDescent="0.15"/>
    <row r="63713" s="76" customFormat="1" ht="21.95" customHeight="1" x14ac:dyDescent="0.15"/>
    <row r="63714" s="76" customFormat="1" ht="21.95" customHeight="1" x14ac:dyDescent="0.15"/>
    <row r="63715" s="76" customFormat="1" ht="21.95" customHeight="1" x14ac:dyDescent="0.15"/>
    <row r="63716" s="76" customFormat="1" ht="21.95" customHeight="1" x14ac:dyDescent="0.15"/>
    <row r="63717" s="76" customFormat="1" ht="21.95" customHeight="1" x14ac:dyDescent="0.15"/>
    <row r="63718" s="76" customFormat="1" ht="21.95" customHeight="1" x14ac:dyDescent="0.15"/>
    <row r="63719" s="76" customFormat="1" ht="21.95" customHeight="1" x14ac:dyDescent="0.15"/>
    <row r="63720" s="76" customFormat="1" ht="21.95" customHeight="1" x14ac:dyDescent="0.15"/>
    <row r="63721" s="76" customFormat="1" ht="21.95" customHeight="1" x14ac:dyDescent="0.15"/>
    <row r="63722" s="76" customFormat="1" ht="21.95" customHeight="1" x14ac:dyDescent="0.15"/>
    <row r="63723" s="76" customFormat="1" ht="21.95" customHeight="1" x14ac:dyDescent="0.15"/>
    <row r="63724" s="76" customFormat="1" ht="21.95" customHeight="1" x14ac:dyDescent="0.15"/>
    <row r="63725" s="76" customFormat="1" ht="21.95" customHeight="1" x14ac:dyDescent="0.15"/>
    <row r="63726" s="76" customFormat="1" ht="21.95" customHeight="1" x14ac:dyDescent="0.15"/>
    <row r="63727" s="76" customFormat="1" ht="21.95" customHeight="1" x14ac:dyDescent="0.15"/>
    <row r="63728" s="76" customFormat="1" ht="21.95" customHeight="1" x14ac:dyDescent="0.15"/>
    <row r="63729" spans="3:3" customFormat="1" ht="21.95" customHeight="1" x14ac:dyDescent="0.15"/>
    <row r="63730" spans="3:3" customFormat="1" ht="21.95" customHeight="1" x14ac:dyDescent="0.15"/>
    <row r="63731" spans="3:3" customFormat="1" ht="21.95" customHeight="1" x14ac:dyDescent="0.15">
      <c r="C63731" s="94"/>
    </row>
    <row r="63732" spans="3:3" customFormat="1" ht="21.95" customHeight="1" x14ac:dyDescent="0.15">
      <c r="C63732" s="94"/>
    </row>
    <row r="63733" spans="3:3" customFormat="1" ht="21.95" customHeight="1" x14ac:dyDescent="0.15"/>
    <row r="63734" spans="3:3" customFormat="1" ht="21.95" customHeight="1" x14ac:dyDescent="0.15"/>
    <row r="63735" spans="3:3" customFormat="1" ht="21.95" customHeight="1" x14ac:dyDescent="0.15"/>
    <row r="63736" spans="3:3" customFormat="1" ht="21.95" customHeight="1" x14ac:dyDescent="0.15"/>
    <row r="63737" spans="3:3" customFormat="1" ht="21.95" customHeight="1" x14ac:dyDescent="0.15"/>
    <row r="63738" spans="3:3" customFormat="1" ht="21.95" customHeight="1" x14ac:dyDescent="0.15"/>
    <row r="63739" spans="3:3" customFormat="1" ht="21.95" customHeight="1" x14ac:dyDescent="0.15"/>
    <row r="63740" spans="3:3" s="76" customFormat="1" ht="21.95" customHeight="1" x14ac:dyDescent="0.15"/>
    <row r="63741" spans="3:3" s="76" customFormat="1" ht="21.95" customHeight="1" x14ac:dyDescent="0.15"/>
    <row r="63742" spans="3:3" s="76" customFormat="1" ht="21.95" customHeight="1" x14ac:dyDescent="0.15"/>
    <row r="63743" spans="3:3" s="76" customFormat="1" ht="21.95" customHeight="1" x14ac:dyDescent="0.15"/>
    <row r="63744" spans="3:3" customFormat="1" ht="21.95" customHeight="1" x14ac:dyDescent="0.15"/>
    <row r="63745" customFormat="1" ht="21.95" customHeight="1" x14ac:dyDescent="0.15"/>
    <row r="63746" customFormat="1" ht="21.95" customHeight="1" x14ac:dyDescent="0.15"/>
    <row r="63747" customFormat="1" ht="21.95" customHeight="1" x14ac:dyDescent="0.15"/>
    <row r="63748" customFormat="1" ht="21.95" customHeight="1" x14ac:dyDescent="0.15"/>
    <row r="63749" customFormat="1" ht="21.95" customHeight="1" x14ac:dyDescent="0.15"/>
    <row r="63750" customFormat="1" ht="21.95" customHeight="1" x14ac:dyDescent="0.15"/>
    <row r="63751" customFormat="1" ht="21.95" customHeight="1" x14ac:dyDescent="0.15"/>
    <row r="63752" customFormat="1" ht="21.95" customHeight="1" x14ac:dyDescent="0.15"/>
    <row r="63753" customFormat="1" ht="21.95" customHeight="1" x14ac:dyDescent="0.15"/>
    <row r="63754" customFormat="1" ht="21.95" customHeight="1" x14ac:dyDescent="0.15"/>
    <row r="63755" customFormat="1" ht="32.1" customHeight="1" x14ac:dyDescent="0.15"/>
    <row r="63756" customFormat="1" ht="32.1" customHeight="1" x14ac:dyDescent="0.15"/>
    <row r="63757" customFormat="1" ht="32.1" customHeight="1" x14ac:dyDescent="0.15"/>
    <row r="63758" customFormat="1" ht="32.1" customHeight="1" x14ac:dyDescent="0.15"/>
    <row r="63759" customFormat="1" ht="32.1" customHeight="1" x14ac:dyDescent="0.15"/>
    <row r="63760" customFormat="1" ht="32.1" customHeight="1" x14ac:dyDescent="0.15"/>
    <row r="63761" s="76" customFormat="1" ht="32.1" customHeight="1" x14ac:dyDescent="0.15"/>
    <row r="63762" s="76" customFormat="1" ht="32.1" customHeight="1" x14ac:dyDescent="0.15"/>
    <row r="63763" s="76" customFormat="1" ht="32.1" customHeight="1" x14ac:dyDescent="0.15"/>
    <row r="63764" s="76" customFormat="1" ht="32.1" customHeight="1" x14ac:dyDescent="0.15"/>
    <row r="63765" s="76" customFormat="1" ht="21.95" customHeight="1" x14ac:dyDescent="0.15"/>
    <row r="63766" s="76" customFormat="1" ht="54" customHeight="1" x14ac:dyDescent="0.15"/>
    <row r="63767" s="76" customFormat="1" ht="21.95" customHeight="1" x14ac:dyDescent="0.15"/>
    <row r="63768" s="76" customFormat="1" ht="21.95" customHeight="1" x14ac:dyDescent="0.15"/>
    <row r="63769" s="76" customFormat="1" ht="21.95" customHeight="1" x14ac:dyDescent="0.15"/>
    <row r="63770" s="76" customFormat="1" ht="21.95" customHeight="1" x14ac:dyDescent="0.15"/>
    <row r="63771" s="76" customFormat="1" ht="21.95" customHeight="1" x14ac:dyDescent="0.15"/>
    <row r="63772" s="76" customFormat="1" ht="21.95" customHeight="1" x14ac:dyDescent="0.15"/>
    <row r="63773" s="76" customFormat="1" ht="21.95" customHeight="1" x14ac:dyDescent="0.15"/>
    <row r="63774" s="76" customFormat="1" ht="21.95" customHeight="1" x14ac:dyDescent="0.15"/>
    <row r="63775" s="76" customFormat="1" ht="21.95" customHeight="1" x14ac:dyDescent="0.15"/>
    <row r="63776" s="76" customFormat="1" ht="21.95" customHeight="1" x14ac:dyDescent="0.15"/>
    <row r="63777" s="76" customFormat="1" ht="21.95" customHeight="1" x14ac:dyDescent="0.15"/>
    <row r="63778" s="76" customFormat="1" ht="21.95" customHeight="1" x14ac:dyDescent="0.15"/>
    <row r="63779" s="76" customFormat="1" ht="21.95" customHeight="1" x14ac:dyDescent="0.15"/>
    <row r="63780" s="76" customFormat="1" ht="21.95" customHeight="1" x14ac:dyDescent="0.15"/>
    <row r="63781" s="76" customFormat="1" ht="21.95" customHeight="1" x14ac:dyDescent="0.15"/>
    <row r="63782" s="76" customFormat="1" ht="21.95" customHeight="1" x14ac:dyDescent="0.15"/>
    <row r="63783" s="76" customFormat="1" ht="21.95" customHeight="1" x14ac:dyDescent="0.15"/>
    <row r="63784" s="76" customFormat="1" ht="21.95" customHeight="1" x14ac:dyDescent="0.15"/>
    <row r="63785" s="76" customFormat="1" ht="21.95" customHeight="1" x14ac:dyDescent="0.15"/>
    <row r="63786" s="76" customFormat="1" ht="21.95" customHeight="1" x14ac:dyDescent="0.15"/>
    <row r="63787" s="76" customFormat="1" ht="21.95" customHeight="1" x14ac:dyDescent="0.15"/>
    <row r="63788" s="76" customFormat="1" ht="21.95" customHeight="1" x14ac:dyDescent="0.15"/>
    <row r="63789" s="76" customFormat="1" ht="21.95" customHeight="1" x14ac:dyDescent="0.15"/>
    <row r="63790" s="76" customFormat="1" ht="21.95" customHeight="1" x14ac:dyDescent="0.15"/>
    <row r="63791" s="76" customFormat="1" ht="21.95" customHeight="1" x14ac:dyDescent="0.15"/>
    <row r="63792" s="76" customFormat="1" ht="21.95" customHeight="1" x14ac:dyDescent="0.15"/>
    <row r="63793" s="76" customFormat="1" ht="21.95" customHeight="1" x14ac:dyDescent="0.15"/>
    <row r="63794" s="76" customFormat="1" ht="21.95" customHeight="1" x14ac:dyDescent="0.15"/>
    <row r="63795" s="76" customFormat="1" ht="21.95" customHeight="1" x14ac:dyDescent="0.15"/>
    <row r="63796" s="76" customFormat="1" ht="21.95" customHeight="1" x14ac:dyDescent="0.15"/>
    <row r="63797" s="76" customFormat="1" ht="21.95" customHeight="1" x14ac:dyDescent="0.15"/>
    <row r="63798" s="76" customFormat="1" ht="21.95" customHeight="1" x14ac:dyDescent="0.15"/>
    <row r="63799" s="76" customFormat="1" ht="21.95" customHeight="1" x14ac:dyDescent="0.15"/>
    <row r="63800" s="76" customFormat="1" ht="21.95" customHeight="1" x14ac:dyDescent="0.15"/>
    <row r="63801" s="76" customFormat="1" ht="21.95" customHeight="1" x14ac:dyDescent="0.15"/>
    <row r="63802" s="76" customFormat="1" ht="21.95" customHeight="1" x14ac:dyDescent="0.15"/>
    <row r="63803" s="76" customFormat="1" ht="21.95" customHeight="1" x14ac:dyDescent="0.15"/>
    <row r="63804" s="76" customFormat="1" ht="21.95" customHeight="1" x14ac:dyDescent="0.15"/>
    <row r="63805" s="76" customFormat="1" ht="21.95" customHeight="1" x14ac:dyDescent="0.15"/>
    <row r="63806" s="76" customFormat="1" ht="21.95" customHeight="1" x14ac:dyDescent="0.15"/>
    <row r="63807" s="76" customFormat="1" ht="21.95" customHeight="1" x14ac:dyDescent="0.15"/>
    <row r="63808" s="76" customFormat="1" ht="21.95" customHeight="1" x14ac:dyDescent="0.15"/>
    <row r="63809" s="76" customFormat="1" ht="21.95" customHeight="1" x14ac:dyDescent="0.15"/>
    <row r="63810" s="76" customFormat="1" ht="21.95" customHeight="1" x14ac:dyDescent="0.15"/>
    <row r="63811" s="76" customFormat="1" ht="21.95" customHeight="1" x14ac:dyDescent="0.15"/>
    <row r="63812" s="76" customFormat="1" ht="21.95" customHeight="1" x14ac:dyDescent="0.15"/>
    <row r="63813" s="76" customFormat="1" ht="21.95" customHeight="1" x14ac:dyDescent="0.15"/>
    <row r="63814" s="76" customFormat="1" ht="21.95" customHeight="1" x14ac:dyDescent="0.15"/>
    <row r="63815" s="76" customFormat="1" ht="21.95" customHeight="1" x14ac:dyDescent="0.15"/>
    <row r="63816" s="76" customFormat="1" ht="21.95" customHeight="1" x14ac:dyDescent="0.15"/>
    <row r="63817" s="76" customFormat="1" ht="35.1" customHeight="1" x14ac:dyDescent="0.15"/>
    <row r="63818" s="76" customFormat="1" ht="21.95" customHeight="1" x14ac:dyDescent="0.15"/>
    <row r="63819" s="76" customFormat="1" ht="21.95" customHeight="1" x14ac:dyDescent="0.15"/>
    <row r="63820" s="76" customFormat="1" ht="21.95" customHeight="1" x14ac:dyDescent="0.15"/>
    <row r="63821" s="76" customFormat="1" ht="21.95" customHeight="1" x14ac:dyDescent="0.15"/>
    <row r="63822" s="76" customFormat="1" ht="21.95" customHeight="1" x14ac:dyDescent="0.15"/>
    <row r="63823" s="76" customFormat="1" ht="21.95" customHeight="1" x14ac:dyDescent="0.15"/>
    <row r="63824" s="76" customFormat="1" ht="21.95" customHeight="1" x14ac:dyDescent="0.15"/>
    <row r="63825" s="76" customFormat="1" ht="21.95" customHeight="1" x14ac:dyDescent="0.15"/>
    <row r="63826" s="76" customFormat="1" ht="21.95" customHeight="1" x14ac:dyDescent="0.15"/>
    <row r="63827" s="76" customFormat="1" ht="21.95" customHeight="1" x14ac:dyDescent="0.15"/>
    <row r="63828" s="76" customFormat="1" ht="21.95" customHeight="1" x14ac:dyDescent="0.15"/>
    <row r="63829" s="76" customFormat="1" ht="21.95" customHeight="1" x14ac:dyDescent="0.15"/>
    <row r="63830" s="76" customFormat="1" ht="21.95" customHeight="1" x14ac:dyDescent="0.15"/>
    <row r="63831" s="76" customFormat="1" ht="21.95" customHeight="1" x14ac:dyDescent="0.15"/>
    <row r="63832" s="76" customFormat="1" ht="21.95" customHeight="1" x14ac:dyDescent="0.15"/>
    <row r="63833" s="76" customFormat="1" ht="21.95" customHeight="1" x14ac:dyDescent="0.15"/>
    <row r="63834" s="76" customFormat="1" ht="21.95" customHeight="1" x14ac:dyDescent="0.15"/>
    <row r="63835" s="76" customFormat="1" ht="21.95" customHeight="1" x14ac:dyDescent="0.15"/>
    <row r="63836" s="76" customFormat="1" ht="21.95" customHeight="1" x14ac:dyDescent="0.15"/>
    <row r="63837" s="76" customFormat="1" ht="21.95" customHeight="1" x14ac:dyDescent="0.15"/>
    <row r="63838" s="76" customFormat="1" ht="21.95" customHeight="1" x14ac:dyDescent="0.15"/>
    <row r="63839" s="76" customFormat="1" ht="21.95" customHeight="1" x14ac:dyDescent="0.15"/>
    <row r="63840" s="76" customFormat="1" ht="21.95" customHeight="1" x14ac:dyDescent="0.15"/>
    <row r="63841" spans="3:3" customFormat="1" ht="21.95" customHeight="1" x14ac:dyDescent="0.15"/>
    <row r="63842" spans="3:3" customFormat="1" ht="21.95" customHeight="1" x14ac:dyDescent="0.15"/>
    <row r="63843" spans="3:3" customFormat="1" ht="21.95" customHeight="1" x14ac:dyDescent="0.15">
      <c r="C63843" s="94"/>
    </row>
    <row r="63844" spans="3:3" customFormat="1" ht="21.95" customHeight="1" x14ac:dyDescent="0.15">
      <c r="C63844" s="94"/>
    </row>
    <row r="63845" spans="3:3" customFormat="1" ht="21.95" customHeight="1" x14ac:dyDescent="0.15"/>
    <row r="63846" spans="3:3" customFormat="1" ht="21.95" customHeight="1" x14ac:dyDescent="0.15"/>
    <row r="63847" spans="3:3" customFormat="1" ht="21.95" customHeight="1" x14ac:dyDescent="0.15"/>
    <row r="63848" spans="3:3" customFormat="1" ht="21.95" customHeight="1" x14ac:dyDescent="0.15"/>
    <row r="63849" spans="3:3" customFormat="1" ht="21.95" customHeight="1" x14ac:dyDescent="0.15"/>
    <row r="63850" spans="3:3" customFormat="1" ht="21.95" customHeight="1" x14ac:dyDescent="0.15"/>
    <row r="63851" spans="3:3" customFormat="1" ht="21.95" customHeight="1" x14ac:dyDescent="0.15"/>
    <row r="63852" spans="3:3" s="76" customFormat="1" ht="21.95" customHeight="1" x14ac:dyDescent="0.15"/>
    <row r="63853" spans="3:3" s="76" customFormat="1" ht="21.95" customHeight="1" x14ac:dyDescent="0.15"/>
    <row r="63854" spans="3:3" s="76" customFormat="1" ht="21.95" customHeight="1" x14ac:dyDescent="0.15"/>
    <row r="63855" spans="3:3" s="76" customFormat="1" ht="21.95" customHeight="1" x14ac:dyDescent="0.15"/>
    <row r="63856" spans="3:3" customFormat="1" ht="21.95" customHeight="1" x14ac:dyDescent="0.15"/>
    <row r="63857" customFormat="1" ht="21.95" customHeight="1" x14ac:dyDescent="0.15"/>
    <row r="63858" customFormat="1" ht="21.95" customHeight="1" x14ac:dyDescent="0.15"/>
    <row r="63859" customFormat="1" ht="21.95" customHeight="1" x14ac:dyDescent="0.15"/>
    <row r="63860" customFormat="1" ht="21.95" customHeight="1" x14ac:dyDescent="0.15"/>
    <row r="63861" customFormat="1" ht="21.95" customHeight="1" x14ac:dyDescent="0.15"/>
    <row r="63862" customFormat="1" ht="21.95" customHeight="1" x14ac:dyDescent="0.15"/>
    <row r="63863" customFormat="1" ht="21.95" customHeight="1" x14ac:dyDescent="0.15"/>
    <row r="63864" customFormat="1" ht="21.95" customHeight="1" x14ac:dyDescent="0.15"/>
    <row r="63865" customFormat="1" ht="21.95" customHeight="1" x14ac:dyDescent="0.15"/>
    <row r="63866" customFormat="1" ht="21.95" customHeight="1" x14ac:dyDescent="0.15"/>
    <row r="63867" customFormat="1" ht="32.1" customHeight="1" x14ac:dyDescent="0.15"/>
    <row r="63868" customFormat="1" ht="32.1" customHeight="1" x14ac:dyDescent="0.15"/>
    <row r="63869" customFormat="1" ht="32.1" customHeight="1" x14ac:dyDescent="0.15"/>
    <row r="63870" customFormat="1" ht="32.1" customHeight="1" x14ac:dyDescent="0.15"/>
    <row r="63871" customFormat="1" ht="32.1" customHeight="1" x14ac:dyDescent="0.15"/>
    <row r="63872" customFormat="1" ht="32.1" customHeight="1" x14ac:dyDescent="0.15"/>
    <row r="63873" s="76" customFormat="1" ht="32.1" customHeight="1" x14ac:dyDescent="0.15"/>
    <row r="63874" s="76" customFormat="1" ht="32.1" customHeight="1" x14ac:dyDescent="0.15"/>
    <row r="63875" s="76" customFormat="1" ht="32.1" customHeight="1" x14ac:dyDescent="0.15"/>
    <row r="63876" s="76" customFormat="1" ht="32.1" customHeight="1" x14ac:dyDescent="0.15"/>
    <row r="63877" s="76" customFormat="1" ht="21.95" customHeight="1" x14ac:dyDescent="0.15"/>
    <row r="63878" s="76" customFormat="1" ht="54" customHeight="1" x14ac:dyDescent="0.15"/>
    <row r="63879" s="76" customFormat="1" ht="21.95" customHeight="1" x14ac:dyDescent="0.15"/>
    <row r="63880" s="76" customFormat="1" ht="21.95" customHeight="1" x14ac:dyDescent="0.15"/>
    <row r="63881" s="76" customFormat="1" ht="21.95" customHeight="1" x14ac:dyDescent="0.15"/>
    <row r="63882" s="76" customFormat="1" ht="21.95" customHeight="1" x14ac:dyDescent="0.15"/>
    <row r="63883" s="76" customFormat="1" ht="21.95" customHeight="1" x14ac:dyDescent="0.15"/>
    <row r="63884" s="76" customFormat="1" ht="21.95" customHeight="1" x14ac:dyDescent="0.15"/>
    <row r="63885" s="76" customFormat="1" ht="21.95" customHeight="1" x14ac:dyDescent="0.15"/>
    <row r="63886" s="76" customFormat="1" ht="21.95" customHeight="1" x14ac:dyDescent="0.15"/>
    <row r="63887" s="76" customFormat="1" ht="21.95" customHeight="1" x14ac:dyDescent="0.15"/>
    <row r="63888" s="76" customFormat="1" ht="21.95" customHeight="1" x14ac:dyDescent="0.15"/>
    <row r="63889" s="76" customFormat="1" ht="21.95" customHeight="1" x14ac:dyDescent="0.15"/>
    <row r="63890" s="76" customFormat="1" ht="21.95" customHeight="1" x14ac:dyDescent="0.15"/>
    <row r="63891" s="76" customFormat="1" ht="21.95" customHeight="1" x14ac:dyDescent="0.15"/>
    <row r="63892" s="76" customFormat="1" ht="21.95" customHeight="1" x14ac:dyDescent="0.15"/>
    <row r="63893" s="76" customFormat="1" ht="21.95" customHeight="1" x14ac:dyDescent="0.15"/>
    <row r="63894" s="76" customFormat="1" ht="21.95" customHeight="1" x14ac:dyDescent="0.15"/>
    <row r="63895" s="76" customFormat="1" ht="21.95" customHeight="1" x14ac:dyDescent="0.15"/>
    <row r="63896" s="76" customFormat="1" ht="21.95" customHeight="1" x14ac:dyDescent="0.15"/>
    <row r="63897" s="76" customFormat="1" ht="21.95" customHeight="1" x14ac:dyDescent="0.15"/>
    <row r="63898" s="76" customFormat="1" ht="21.95" customHeight="1" x14ac:dyDescent="0.15"/>
    <row r="63899" s="76" customFormat="1" ht="21.95" customHeight="1" x14ac:dyDescent="0.15"/>
    <row r="63900" s="76" customFormat="1" ht="21.95" customHeight="1" x14ac:dyDescent="0.15"/>
    <row r="63901" s="76" customFormat="1" ht="21.95" customHeight="1" x14ac:dyDescent="0.15"/>
    <row r="63902" s="76" customFormat="1" ht="21.95" customHeight="1" x14ac:dyDescent="0.15"/>
    <row r="63903" s="76" customFormat="1" ht="21.95" customHeight="1" x14ac:dyDescent="0.15"/>
    <row r="63904" s="76" customFormat="1" ht="21.95" customHeight="1" x14ac:dyDescent="0.15"/>
    <row r="63905" s="76" customFormat="1" ht="21.95" customHeight="1" x14ac:dyDescent="0.15"/>
    <row r="63906" s="76" customFormat="1" ht="21.95" customHeight="1" x14ac:dyDescent="0.15"/>
    <row r="63907" s="76" customFormat="1" ht="21.95" customHeight="1" x14ac:dyDescent="0.15"/>
    <row r="63908" s="76" customFormat="1" ht="21.95" customHeight="1" x14ac:dyDescent="0.15"/>
    <row r="63909" s="76" customFormat="1" ht="21.95" customHeight="1" x14ac:dyDescent="0.15"/>
    <row r="63910" s="76" customFormat="1" ht="21.95" customHeight="1" x14ac:dyDescent="0.15"/>
    <row r="63911" s="76" customFormat="1" ht="21.95" customHeight="1" x14ac:dyDescent="0.15"/>
    <row r="63912" s="76" customFormat="1" ht="21.95" customHeight="1" x14ac:dyDescent="0.15"/>
    <row r="63913" s="76" customFormat="1" ht="21.95" customHeight="1" x14ac:dyDescent="0.15"/>
    <row r="63914" s="76" customFormat="1" ht="21.95" customHeight="1" x14ac:dyDescent="0.15"/>
    <row r="63915" s="76" customFormat="1" ht="21.95" customHeight="1" x14ac:dyDescent="0.15"/>
    <row r="63916" s="76" customFormat="1" ht="21.95" customHeight="1" x14ac:dyDescent="0.15"/>
    <row r="63917" s="76" customFormat="1" ht="21.95" customHeight="1" x14ac:dyDescent="0.15"/>
    <row r="63918" s="76" customFormat="1" ht="21.95" customHeight="1" x14ac:dyDescent="0.15"/>
    <row r="63919" s="76" customFormat="1" ht="21.95" customHeight="1" x14ac:dyDescent="0.15"/>
    <row r="63920" s="76" customFormat="1" ht="21.95" customHeight="1" x14ac:dyDescent="0.15"/>
    <row r="63921" s="76" customFormat="1" ht="21.95" customHeight="1" x14ac:dyDescent="0.15"/>
    <row r="63922" s="76" customFormat="1" ht="21.95" customHeight="1" x14ac:dyDescent="0.15"/>
    <row r="63923" s="76" customFormat="1" ht="21.95" customHeight="1" x14ac:dyDescent="0.15"/>
    <row r="63924" s="76" customFormat="1" ht="21.95" customHeight="1" x14ac:dyDescent="0.15"/>
    <row r="63925" s="76" customFormat="1" ht="21.95" customHeight="1" x14ac:dyDescent="0.15"/>
    <row r="63926" s="76" customFormat="1" ht="21.95" customHeight="1" x14ac:dyDescent="0.15"/>
    <row r="63927" s="76" customFormat="1" ht="21.95" customHeight="1" x14ac:dyDescent="0.15"/>
    <row r="63928" s="76" customFormat="1" ht="21.95" customHeight="1" x14ac:dyDescent="0.15"/>
    <row r="63929" s="76" customFormat="1" ht="35.1" customHeight="1" x14ac:dyDescent="0.15"/>
    <row r="63930" s="76" customFormat="1" ht="21.95" customHeight="1" x14ac:dyDescent="0.15"/>
    <row r="63931" s="76" customFormat="1" ht="21.95" customHeight="1" x14ac:dyDescent="0.15"/>
    <row r="63932" s="76" customFormat="1" ht="21.95" customHeight="1" x14ac:dyDescent="0.15"/>
    <row r="63933" s="76" customFormat="1" ht="21.95" customHeight="1" x14ac:dyDescent="0.15"/>
    <row r="63934" s="76" customFormat="1" ht="21.95" customHeight="1" x14ac:dyDescent="0.15"/>
    <row r="63935" s="76" customFormat="1" ht="21.95" customHeight="1" x14ac:dyDescent="0.15"/>
    <row r="63936" s="76" customFormat="1" ht="21.95" customHeight="1" x14ac:dyDescent="0.15"/>
    <row r="63937" s="76" customFormat="1" ht="21.95" customHeight="1" x14ac:dyDescent="0.15"/>
    <row r="63938" s="76" customFormat="1" ht="21.95" customHeight="1" x14ac:dyDescent="0.15"/>
    <row r="63939" s="76" customFormat="1" ht="21.95" customHeight="1" x14ac:dyDescent="0.15"/>
    <row r="63940" s="76" customFormat="1" ht="21.95" customHeight="1" x14ac:dyDescent="0.15"/>
    <row r="63941" s="76" customFormat="1" ht="21.95" customHeight="1" x14ac:dyDescent="0.15"/>
    <row r="63942" s="76" customFormat="1" ht="21.95" customHeight="1" x14ac:dyDescent="0.15"/>
    <row r="63943" s="76" customFormat="1" ht="21.95" customHeight="1" x14ac:dyDescent="0.15"/>
    <row r="63944" s="76" customFormat="1" ht="21.95" customHeight="1" x14ac:dyDescent="0.15"/>
    <row r="63945" s="76" customFormat="1" ht="21.95" customHeight="1" x14ac:dyDescent="0.15"/>
    <row r="63946" s="76" customFormat="1" ht="21.95" customHeight="1" x14ac:dyDescent="0.15"/>
    <row r="63947" s="76" customFormat="1" ht="21.95" customHeight="1" x14ac:dyDescent="0.15"/>
    <row r="63948" s="76" customFormat="1" ht="21.95" customHeight="1" x14ac:dyDescent="0.15"/>
    <row r="63949" s="76" customFormat="1" ht="21.95" customHeight="1" x14ac:dyDescent="0.15"/>
    <row r="63950" s="76" customFormat="1" ht="21.95" customHeight="1" x14ac:dyDescent="0.15"/>
    <row r="63951" s="76" customFormat="1" ht="21.95" customHeight="1" x14ac:dyDescent="0.15"/>
    <row r="63952" s="76" customFormat="1" ht="21.95" customHeight="1" x14ac:dyDescent="0.15"/>
    <row r="63953" spans="3:3" customFormat="1" ht="21.95" customHeight="1" x14ac:dyDescent="0.15"/>
    <row r="63954" spans="3:3" customFormat="1" ht="21.95" customHeight="1" x14ac:dyDescent="0.15"/>
    <row r="63955" spans="3:3" customFormat="1" ht="21.95" customHeight="1" x14ac:dyDescent="0.15">
      <c r="C63955" s="94"/>
    </row>
    <row r="63956" spans="3:3" customFormat="1" ht="21.95" customHeight="1" x14ac:dyDescent="0.15">
      <c r="C63956" s="94"/>
    </row>
    <row r="63957" spans="3:3" customFormat="1" ht="21.95" customHeight="1" x14ac:dyDescent="0.15"/>
    <row r="63958" spans="3:3" customFormat="1" ht="21.95" customHeight="1" x14ac:dyDescent="0.15"/>
    <row r="63959" spans="3:3" customFormat="1" ht="21.95" customHeight="1" x14ac:dyDescent="0.15"/>
    <row r="63960" spans="3:3" customFormat="1" ht="21.95" customHeight="1" x14ac:dyDescent="0.15"/>
    <row r="63961" spans="3:3" customFormat="1" ht="21.95" customHeight="1" x14ac:dyDescent="0.15"/>
    <row r="63962" spans="3:3" customFormat="1" ht="21.95" customHeight="1" x14ac:dyDescent="0.15"/>
    <row r="63963" spans="3:3" customFormat="1" ht="21.95" customHeight="1" x14ac:dyDescent="0.15"/>
    <row r="63964" spans="3:3" s="76" customFormat="1" ht="21.95" customHeight="1" x14ac:dyDescent="0.15"/>
    <row r="63965" spans="3:3" s="76" customFormat="1" ht="21.95" customHeight="1" x14ac:dyDescent="0.15"/>
    <row r="63966" spans="3:3" s="76" customFormat="1" ht="21.95" customHeight="1" x14ac:dyDescent="0.15"/>
    <row r="63967" spans="3:3" s="76" customFormat="1" ht="21.95" customHeight="1" x14ac:dyDescent="0.15"/>
    <row r="63968" spans="3:3" customFormat="1" ht="21.95" customHeight="1" x14ac:dyDescent="0.15"/>
    <row r="63969" customFormat="1" ht="21.95" customHeight="1" x14ac:dyDescent="0.15"/>
    <row r="63970" customFormat="1" ht="21.95" customHeight="1" x14ac:dyDescent="0.15"/>
    <row r="63971" customFormat="1" ht="21.95" customHeight="1" x14ac:dyDescent="0.15"/>
    <row r="63972" customFormat="1" ht="21.95" customHeight="1" x14ac:dyDescent="0.15"/>
    <row r="63973" customFormat="1" ht="21.95" customHeight="1" x14ac:dyDescent="0.15"/>
    <row r="63974" customFormat="1" ht="21.95" customHeight="1" x14ac:dyDescent="0.15"/>
    <row r="63975" customFormat="1" ht="21.95" customHeight="1" x14ac:dyDescent="0.15"/>
    <row r="63976" customFormat="1" ht="21.95" customHeight="1" x14ac:dyDescent="0.15"/>
    <row r="63977" customFormat="1" ht="21.95" customHeight="1" x14ac:dyDescent="0.15"/>
    <row r="63978" customFormat="1" ht="21.95" customHeight="1" x14ac:dyDescent="0.15"/>
    <row r="63979" customFormat="1" ht="32.1" customHeight="1" x14ac:dyDescent="0.15"/>
    <row r="63980" customFormat="1" ht="32.1" customHeight="1" x14ac:dyDescent="0.15"/>
    <row r="63981" customFormat="1" ht="32.1" customHeight="1" x14ac:dyDescent="0.15"/>
    <row r="63982" customFormat="1" ht="32.1" customHeight="1" x14ac:dyDescent="0.15"/>
    <row r="63983" customFormat="1" ht="32.1" customHeight="1" x14ac:dyDescent="0.15"/>
    <row r="63984" customFormat="1" ht="32.1" customHeight="1" x14ac:dyDescent="0.15"/>
    <row r="63985" s="76" customFormat="1" ht="32.1" customHeight="1" x14ac:dyDescent="0.15"/>
    <row r="63986" s="76" customFormat="1" ht="32.1" customHeight="1" x14ac:dyDescent="0.15"/>
    <row r="63987" s="76" customFormat="1" ht="32.1" customHeight="1" x14ac:dyDescent="0.15"/>
    <row r="63988" s="76" customFormat="1" ht="32.1" customHeight="1" x14ac:dyDescent="0.15"/>
    <row r="63989" s="76" customFormat="1" ht="21.95" customHeight="1" x14ac:dyDescent="0.15"/>
    <row r="63990" s="76" customFormat="1" ht="54" customHeight="1" x14ac:dyDescent="0.15"/>
    <row r="63991" s="76" customFormat="1" ht="21.95" customHeight="1" x14ac:dyDescent="0.15"/>
    <row r="63992" s="76" customFormat="1" ht="21.95" customHeight="1" x14ac:dyDescent="0.15"/>
    <row r="63993" s="76" customFormat="1" ht="21.95" customHeight="1" x14ac:dyDescent="0.15"/>
    <row r="63994" s="76" customFormat="1" ht="21.95" customHeight="1" x14ac:dyDescent="0.15"/>
    <row r="63995" s="76" customFormat="1" ht="21.95" customHeight="1" x14ac:dyDescent="0.15"/>
    <row r="63996" s="76" customFormat="1" ht="21.95" customHeight="1" x14ac:dyDescent="0.15"/>
    <row r="63997" s="76" customFormat="1" ht="21.95" customHeight="1" x14ac:dyDescent="0.15"/>
    <row r="63998" s="76" customFormat="1" ht="21.95" customHeight="1" x14ac:dyDescent="0.15"/>
    <row r="63999" s="76" customFormat="1" ht="21.95" customHeight="1" x14ac:dyDescent="0.15"/>
    <row r="64000" s="76" customFormat="1" ht="21.95" customHeight="1" x14ac:dyDescent="0.15"/>
    <row r="64001" s="76" customFormat="1" ht="21.95" customHeight="1" x14ac:dyDescent="0.15"/>
    <row r="64002" s="76" customFormat="1" ht="21.95" customHeight="1" x14ac:dyDescent="0.15"/>
    <row r="64003" s="76" customFormat="1" ht="21.95" customHeight="1" x14ac:dyDescent="0.15"/>
    <row r="64004" s="76" customFormat="1" ht="21.95" customHeight="1" x14ac:dyDescent="0.15"/>
    <row r="64005" s="76" customFormat="1" ht="21.95" customHeight="1" x14ac:dyDescent="0.15"/>
    <row r="64006" s="76" customFormat="1" ht="21.95" customHeight="1" x14ac:dyDescent="0.15"/>
    <row r="64007" s="76" customFormat="1" ht="21.95" customHeight="1" x14ac:dyDescent="0.15"/>
    <row r="64008" s="76" customFormat="1" ht="21.95" customHeight="1" x14ac:dyDescent="0.15"/>
    <row r="64009" s="76" customFormat="1" ht="21.95" customHeight="1" x14ac:dyDescent="0.15"/>
    <row r="64010" s="76" customFormat="1" ht="21.95" customHeight="1" x14ac:dyDescent="0.15"/>
    <row r="64011" s="76" customFormat="1" ht="21.95" customHeight="1" x14ac:dyDescent="0.15"/>
    <row r="64012" s="76" customFormat="1" ht="21.95" customHeight="1" x14ac:dyDescent="0.15"/>
    <row r="64013" s="76" customFormat="1" ht="21.95" customHeight="1" x14ac:dyDescent="0.15"/>
    <row r="64014" s="76" customFormat="1" ht="21.95" customHeight="1" x14ac:dyDescent="0.15"/>
    <row r="64015" s="76" customFormat="1" ht="21.95" customHeight="1" x14ac:dyDescent="0.15"/>
    <row r="64016" s="76" customFormat="1" ht="21.95" customHeight="1" x14ac:dyDescent="0.15"/>
    <row r="64017" s="76" customFormat="1" ht="21.95" customHeight="1" x14ac:dyDescent="0.15"/>
    <row r="64018" s="76" customFormat="1" ht="21.95" customHeight="1" x14ac:dyDescent="0.15"/>
    <row r="64019" s="76" customFormat="1" ht="21.95" customHeight="1" x14ac:dyDescent="0.15"/>
    <row r="64020" s="76" customFormat="1" ht="21.95" customHeight="1" x14ac:dyDescent="0.15"/>
    <row r="64021" s="76" customFormat="1" ht="21.95" customHeight="1" x14ac:dyDescent="0.15"/>
    <row r="64022" s="76" customFormat="1" ht="21.95" customHeight="1" x14ac:dyDescent="0.15"/>
    <row r="64023" s="76" customFormat="1" ht="21.95" customHeight="1" x14ac:dyDescent="0.15"/>
    <row r="64024" s="76" customFormat="1" ht="21.95" customHeight="1" x14ac:dyDescent="0.15"/>
    <row r="64025" s="76" customFormat="1" ht="21.95" customHeight="1" x14ac:dyDescent="0.15"/>
    <row r="64026" s="76" customFormat="1" ht="21.95" customHeight="1" x14ac:dyDescent="0.15"/>
    <row r="64027" s="76" customFormat="1" ht="21.95" customHeight="1" x14ac:dyDescent="0.15"/>
    <row r="64028" s="76" customFormat="1" ht="21.95" customHeight="1" x14ac:dyDescent="0.15"/>
    <row r="64029" s="76" customFormat="1" ht="21.95" customHeight="1" x14ac:dyDescent="0.15"/>
    <row r="64030" s="76" customFormat="1" ht="21.95" customHeight="1" x14ac:dyDescent="0.15"/>
    <row r="64031" s="76" customFormat="1" ht="21.95" customHeight="1" x14ac:dyDescent="0.15"/>
    <row r="64032" s="76" customFormat="1" ht="21.95" customHeight="1" x14ac:dyDescent="0.15"/>
    <row r="64033" s="76" customFormat="1" ht="21.95" customHeight="1" x14ac:dyDescent="0.15"/>
    <row r="64034" s="76" customFormat="1" ht="21.95" customHeight="1" x14ac:dyDescent="0.15"/>
    <row r="64035" s="76" customFormat="1" ht="21.95" customHeight="1" x14ac:dyDescent="0.15"/>
    <row r="64036" s="76" customFormat="1" ht="21.95" customHeight="1" x14ac:dyDescent="0.15"/>
    <row r="64037" s="76" customFormat="1" ht="21.95" customHeight="1" x14ac:dyDescent="0.15"/>
    <row r="64038" s="76" customFormat="1" ht="21.95" customHeight="1" x14ac:dyDescent="0.15"/>
    <row r="64039" s="76" customFormat="1" ht="21.95" customHeight="1" x14ac:dyDescent="0.15"/>
    <row r="64040" s="76" customFormat="1" ht="21.95" customHeight="1" x14ac:dyDescent="0.15"/>
    <row r="64041" s="76" customFormat="1" ht="35.1" customHeight="1" x14ac:dyDescent="0.15"/>
    <row r="64042" s="76" customFormat="1" ht="21.95" customHeight="1" x14ac:dyDescent="0.15"/>
    <row r="64043" s="76" customFormat="1" ht="21.95" customHeight="1" x14ac:dyDescent="0.15"/>
    <row r="64044" s="76" customFormat="1" ht="21.95" customHeight="1" x14ac:dyDescent="0.15"/>
    <row r="64045" s="76" customFormat="1" ht="21.95" customHeight="1" x14ac:dyDescent="0.15"/>
    <row r="64046" s="76" customFormat="1" ht="21.95" customHeight="1" x14ac:dyDescent="0.15"/>
    <row r="64047" s="76" customFormat="1" ht="21.95" customHeight="1" x14ac:dyDescent="0.15"/>
    <row r="64048" s="76" customFormat="1" ht="21.95" customHeight="1" x14ac:dyDescent="0.15"/>
    <row r="64049" s="76" customFormat="1" ht="21.95" customHeight="1" x14ac:dyDescent="0.15"/>
    <row r="64050" s="76" customFormat="1" ht="21.95" customHeight="1" x14ac:dyDescent="0.15"/>
    <row r="64051" s="76" customFormat="1" ht="21.95" customHeight="1" x14ac:dyDescent="0.15"/>
    <row r="64052" s="76" customFormat="1" ht="21.95" customHeight="1" x14ac:dyDescent="0.15"/>
    <row r="64053" s="76" customFormat="1" ht="21.95" customHeight="1" x14ac:dyDescent="0.15"/>
    <row r="64054" s="76" customFormat="1" ht="21.95" customHeight="1" x14ac:dyDescent="0.15"/>
    <row r="64055" s="76" customFormat="1" ht="21.95" customHeight="1" x14ac:dyDescent="0.15"/>
    <row r="64056" s="76" customFormat="1" ht="21.95" customHeight="1" x14ac:dyDescent="0.15"/>
    <row r="64057" s="76" customFormat="1" ht="21.95" customHeight="1" x14ac:dyDescent="0.15"/>
    <row r="64058" s="76" customFormat="1" ht="21.95" customHeight="1" x14ac:dyDescent="0.15"/>
    <row r="64059" s="76" customFormat="1" ht="21.95" customHeight="1" x14ac:dyDescent="0.15"/>
    <row r="64060" s="76" customFormat="1" ht="21.95" customHeight="1" x14ac:dyDescent="0.15"/>
    <row r="64061" s="76" customFormat="1" ht="21.95" customHeight="1" x14ac:dyDescent="0.15"/>
    <row r="64062" s="76" customFormat="1" ht="21.95" customHeight="1" x14ac:dyDescent="0.15"/>
    <row r="64063" s="76" customFormat="1" ht="21.95" customHeight="1" x14ac:dyDescent="0.15"/>
    <row r="64064" s="76" customFormat="1" ht="21.95" customHeight="1" x14ac:dyDescent="0.15"/>
    <row r="64065" spans="3:3" customFormat="1" ht="21.95" customHeight="1" x14ac:dyDescent="0.15"/>
    <row r="64066" spans="3:3" customFormat="1" ht="21.95" customHeight="1" x14ac:dyDescent="0.15"/>
    <row r="64067" spans="3:3" customFormat="1" ht="21.95" customHeight="1" x14ac:dyDescent="0.15">
      <c r="C64067" s="94"/>
    </row>
    <row r="64068" spans="3:3" customFormat="1" ht="21.95" customHeight="1" x14ac:dyDescent="0.15">
      <c r="C64068" s="94"/>
    </row>
    <row r="64069" spans="3:3" customFormat="1" ht="21.95" customHeight="1" x14ac:dyDescent="0.15"/>
    <row r="64070" spans="3:3" customFormat="1" ht="21.95" customHeight="1" x14ac:dyDescent="0.15"/>
    <row r="64071" spans="3:3" customFormat="1" ht="21.95" customHeight="1" x14ac:dyDescent="0.15"/>
    <row r="64072" spans="3:3" customFormat="1" ht="21.95" customHeight="1" x14ac:dyDescent="0.15"/>
    <row r="64073" spans="3:3" customFormat="1" ht="21.95" customHeight="1" x14ac:dyDescent="0.15"/>
    <row r="64074" spans="3:3" customFormat="1" ht="21.95" customHeight="1" x14ac:dyDescent="0.15"/>
    <row r="64075" spans="3:3" customFormat="1" ht="21.95" customHeight="1" x14ac:dyDescent="0.15"/>
    <row r="64076" spans="3:3" s="76" customFormat="1" ht="21.95" customHeight="1" x14ac:dyDescent="0.15"/>
    <row r="64077" spans="3:3" s="76" customFormat="1" ht="21.95" customHeight="1" x14ac:dyDescent="0.15"/>
    <row r="64078" spans="3:3" s="76" customFormat="1" ht="21.95" customHeight="1" x14ac:dyDescent="0.15"/>
    <row r="64079" spans="3:3" s="76" customFormat="1" ht="21.95" customHeight="1" x14ac:dyDescent="0.15"/>
    <row r="64080" spans="3:3" customFormat="1" ht="21.95" customHeight="1" x14ac:dyDescent="0.15"/>
    <row r="64081" customFormat="1" ht="21.95" customHeight="1" x14ac:dyDescent="0.15"/>
    <row r="64082" customFormat="1" ht="21.95" customHeight="1" x14ac:dyDescent="0.15"/>
    <row r="64083" customFormat="1" ht="21.95" customHeight="1" x14ac:dyDescent="0.15"/>
    <row r="64084" customFormat="1" ht="21.95" customHeight="1" x14ac:dyDescent="0.15"/>
    <row r="64085" customFormat="1" ht="21.95" customHeight="1" x14ac:dyDescent="0.15"/>
    <row r="64086" customFormat="1" ht="21.95" customHeight="1" x14ac:dyDescent="0.15"/>
    <row r="64087" customFormat="1" ht="21.95" customHeight="1" x14ac:dyDescent="0.15"/>
    <row r="64088" customFormat="1" ht="21.95" customHeight="1" x14ac:dyDescent="0.15"/>
    <row r="64089" customFormat="1" ht="21.95" customHeight="1" x14ac:dyDescent="0.15"/>
    <row r="64090" customFormat="1" ht="21.95" customHeight="1" x14ac:dyDescent="0.15"/>
    <row r="64091" customFormat="1" ht="32.1" customHeight="1" x14ac:dyDescent="0.15"/>
    <row r="64092" customFormat="1" ht="32.1" customHeight="1" x14ac:dyDescent="0.15"/>
    <row r="64093" customFormat="1" ht="32.1" customHeight="1" x14ac:dyDescent="0.15"/>
    <row r="64094" customFormat="1" ht="32.1" customHeight="1" x14ac:dyDescent="0.15"/>
    <row r="64095" customFormat="1" ht="32.1" customHeight="1" x14ac:dyDescent="0.15"/>
    <row r="64096" customFormat="1" ht="32.1" customHeight="1" x14ac:dyDescent="0.15"/>
    <row r="64097" s="76" customFormat="1" ht="32.1" customHeight="1" x14ac:dyDescent="0.15"/>
    <row r="64098" s="76" customFormat="1" ht="32.1" customHeight="1" x14ac:dyDescent="0.15"/>
    <row r="64099" s="76" customFormat="1" ht="32.1" customHeight="1" x14ac:dyDescent="0.15"/>
    <row r="64100" s="76" customFormat="1" ht="32.1" customHeight="1" x14ac:dyDescent="0.15"/>
    <row r="64101" s="76" customFormat="1" ht="21.95" customHeight="1" x14ac:dyDescent="0.15"/>
    <row r="64102" s="76" customFormat="1" ht="54" customHeight="1" x14ac:dyDescent="0.15"/>
    <row r="64103" s="76" customFormat="1" ht="21.95" customHeight="1" x14ac:dyDescent="0.15"/>
    <row r="64104" s="76" customFormat="1" ht="21.95" customHeight="1" x14ac:dyDescent="0.15"/>
    <row r="64105" s="76" customFormat="1" ht="21.95" customHeight="1" x14ac:dyDescent="0.15"/>
    <row r="64106" s="76" customFormat="1" ht="21.95" customHeight="1" x14ac:dyDescent="0.15"/>
    <row r="64107" s="76" customFormat="1" ht="21.95" customHeight="1" x14ac:dyDescent="0.15"/>
    <row r="64108" s="76" customFormat="1" ht="21.95" customHeight="1" x14ac:dyDescent="0.15"/>
    <row r="64109" s="76" customFormat="1" ht="21.95" customHeight="1" x14ac:dyDescent="0.15"/>
    <row r="64110" s="76" customFormat="1" ht="21.95" customHeight="1" x14ac:dyDescent="0.15"/>
    <row r="64111" s="76" customFormat="1" ht="21.95" customHeight="1" x14ac:dyDescent="0.15"/>
    <row r="64112" s="76" customFormat="1" ht="21.95" customHeight="1" x14ac:dyDescent="0.15"/>
    <row r="64113" s="76" customFormat="1" ht="21.95" customHeight="1" x14ac:dyDescent="0.15"/>
    <row r="64114" s="76" customFormat="1" ht="21.95" customHeight="1" x14ac:dyDescent="0.15"/>
    <row r="64115" s="76" customFormat="1" ht="21.95" customHeight="1" x14ac:dyDescent="0.15"/>
    <row r="64116" s="76" customFormat="1" ht="21.95" customHeight="1" x14ac:dyDescent="0.15"/>
    <row r="64117" s="76" customFormat="1" ht="21.95" customHeight="1" x14ac:dyDescent="0.15"/>
    <row r="64118" s="76" customFormat="1" ht="21.95" customHeight="1" x14ac:dyDescent="0.15"/>
    <row r="64119" s="76" customFormat="1" ht="21.95" customHeight="1" x14ac:dyDescent="0.15"/>
    <row r="64120" s="76" customFormat="1" ht="21.95" customHeight="1" x14ac:dyDescent="0.15"/>
    <row r="64121" s="76" customFormat="1" ht="21.95" customHeight="1" x14ac:dyDescent="0.15"/>
    <row r="64122" s="76" customFormat="1" ht="21.95" customHeight="1" x14ac:dyDescent="0.15"/>
    <row r="64123" s="76" customFormat="1" ht="21.95" customHeight="1" x14ac:dyDescent="0.15"/>
    <row r="64124" s="76" customFormat="1" ht="21.95" customHeight="1" x14ac:dyDescent="0.15"/>
    <row r="64125" s="76" customFormat="1" ht="21.95" customHeight="1" x14ac:dyDescent="0.15"/>
    <row r="64126" s="76" customFormat="1" ht="21.95" customHeight="1" x14ac:dyDescent="0.15"/>
    <row r="64127" s="76" customFormat="1" ht="21.95" customHeight="1" x14ac:dyDescent="0.15"/>
    <row r="64128" s="76" customFormat="1" ht="21.95" customHeight="1" x14ac:dyDescent="0.15"/>
    <row r="64129" s="76" customFormat="1" ht="21.95" customHeight="1" x14ac:dyDescent="0.15"/>
    <row r="64130" s="76" customFormat="1" ht="21.95" customHeight="1" x14ac:dyDescent="0.15"/>
    <row r="64131" s="76" customFormat="1" ht="21.95" customHeight="1" x14ac:dyDescent="0.15"/>
    <row r="64132" s="76" customFormat="1" ht="21.95" customHeight="1" x14ac:dyDescent="0.15"/>
    <row r="64133" s="76" customFormat="1" ht="21.95" customHeight="1" x14ac:dyDescent="0.15"/>
    <row r="64134" s="76" customFormat="1" ht="21.95" customHeight="1" x14ac:dyDescent="0.15"/>
    <row r="64135" s="76" customFormat="1" ht="21.95" customHeight="1" x14ac:dyDescent="0.15"/>
    <row r="64136" s="76" customFormat="1" ht="21.95" customHeight="1" x14ac:dyDescent="0.15"/>
    <row r="64137" s="76" customFormat="1" ht="21.95" customHeight="1" x14ac:dyDescent="0.15"/>
    <row r="64138" s="76" customFormat="1" ht="21.95" customHeight="1" x14ac:dyDescent="0.15"/>
    <row r="64139" s="76" customFormat="1" ht="21.95" customHeight="1" x14ac:dyDescent="0.15"/>
    <row r="64140" s="76" customFormat="1" ht="21.95" customHeight="1" x14ac:dyDescent="0.15"/>
    <row r="64141" s="76" customFormat="1" ht="21.95" customHeight="1" x14ac:dyDescent="0.15"/>
    <row r="64142" s="76" customFormat="1" ht="21.95" customHeight="1" x14ac:dyDescent="0.15"/>
    <row r="64143" s="76" customFormat="1" ht="21.95" customHeight="1" x14ac:dyDescent="0.15"/>
    <row r="64144" s="76" customFormat="1" ht="21.95" customHeight="1" x14ac:dyDescent="0.15"/>
    <row r="64145" s="76" customFormat="1" ht="21.95" customHeight="1" x14ac:dyDescent="0.15"/>
    <row r="64146" s="76" customFormat="1" ht="21.95" customHeight="1" x14ac:dyDescent="0.15"/>
    <row r="64147" s="76" customFormat="1" ht="21.95" customHeight="1" x14ac:dyDescent="0.15"/>
    <row r="64148" s="76" customFormat="1" ht="21.95" customHeight="1" x14ac:dyDescent="0.15"/>
    <row r="64149" s="76" customFormat="1" ht="21.95" customHeight="1" x14ac:dyDescent="0.15"/>
    <row r="64150" s="76" customFormat="1" ht="21.95" customHeight="1" x14ac:dyDescent="0.15"/>
    <row r="64151" s="76" customFormat="1" ht="21.95" customHeight="1" x14ac:dyDescent="0.15"/>
    <row r="64152" s="76" customFormat="1" ht="21.95" customHeight="1" x14ac:dyDescent="0.15"/>
    <row r="64153" s="76" customFormat="1" ht="35.1" customHeight="1" x14ac:dyDescent="0.15"/>
    <row r="64154" s="76" customFormat="1" ht="21.95" customHeight="1" x14ac:dyDescent="0.15"/>
    <row r="64155" s="76" customFormat="1" ht="21.95" customHeight="1" x14ac:dyDescent="0.15"/>
    <row r="64156" s="76" customFormat="1" ht="21.95" customHeight="1" x14ac:dyDescent="0.15"/>
    <row r="64157" s="76" customFormat="1" ht="21.95" customHeight="1" x14ac:dyDescent="0.15"/>
    <row r="64158" s="76" customFormat="1" ht="21.95" customHeight="1" x14ac:dyDescent="0.15"/>
    <row r="64159" s="76" customFormat="1" ht="21.95" customHeight="1" x14ac:dyDescent="0.15"/>
    <row r="64160" s="76" customFormat="1" ht="21.95" customHeight="1" x14ac:dyDescent="0.15"/>
    <row r="64161" s="76" customFormat="1" ht="21.95" customHeight="1" x14ac:dyDescent="0.15"/>
    <row r="64162" s="76" customFormat="1" ht="21.95" customHeight="1" x14ac:dyDescent="0.15"/>
    <row r="64163" s="76" customFormat="1" ht="21.95" customHeight="1" x14ac:dyDescent="0.15"/>
    <row r="64164" s="76" customFormat="1" ht="21.95" customHeight="1" x14ac:dyDescent="0.15"/>
    <row r="64165" s="76" customFormat="1" ht="21.95" customHeight="1" x14ac:dyDescent="0.15"/>
    <row r="64166" s="76" customFormat="1" ht="21.95" customHeight="1" x14ac:dyDescent="0.15"/>
    <row r="64167" s="76" customFormat="1" ht="21.95" customHeight="1" x14ac:dyDescent="0.15"/>
    <row r="64168" s="76" customFormat="1" ht="21.95" customHeight="1" x14ac:dyDescent="0.15"/>
    <row r="64169" s="76" customFormat="1" ht="21.95" customHeight="1" x14ac:dyDescent="0.15"/>
    <row r="64170" s="76" customFormat="1" ht="21.95" customHeight="1" x14ac:dyDescent="0.15"/>
    <row r="64171" s="76" customFormat="1" ht="21.95" customHeight="1" x14ac:dyDescent="0.15"/>
    <row r="64172" s="76" customFormat="1" ht="21.95" customHeight="1" x14ac:dyDescent="0.15"/>
    <row r="64173" s="76" customFormat="1" ht="21.95" customHeight="1" x14ac:dyDescent="0.15"/>
    <row r="64174" s="76" customFormat="1" ht="21.95" customHeight="1" x14ac:dyDescent="0.15"/>
    <row r="64175" s="76" customFormat="1" ht="21.95" customHeight="1" x14ac:dyDescent="0.15"/>
    <row r="64176" s="76" customFormat="1" ht="21.95" customHeight="1" x14ac:dyDescent="0.15"/>
    <row r="64177" spans="3:3" customFormat="1" ht="21.95" customHeight="1" x14ac:dyDescent="0.15"/>
    <row r="64178" spans="3:3" customFormat="1" ht="21.95" customHeight="1" x14ac:dyDescent="0.15"/>
    <row r="64179" spans="3:3" customFormat="1" ht="21.95" customHeight="1" x14ac:dyDescent="0.15">
      <c r="C64179" s="94"/>
    </row>
    <row r="64180" spans="3:3" customFormat="1" ht="21.95" customHeight="1" x14ac:dyDescent="0.15">
      <c r="C64180" s="94"/>
    </row>
    <row r="64181" spans="3:3" customFormat="1" ht="21.95" customHeight="1" x14ac:dyDescent="0.15"/>
    <row r="64182" spans="3:3" customFormat="1" ht="21.95" customHeight="1" x14ac:dyDescent="0.15"/>
    <row r="64183" spans="3:3" customFormat="1" ht="21.95" customHeight="1" x14ac:dyDescent="0.15"/>
    <row r="64184" spans="3:3" customFormat="1" ht="21.95" customHeight="1" x14ac:dyDescent="0.15"/>
    <row r="64185" spans="3:3" customFormat="1" ht="21.95" customHeight="1" x14ac:dyDescent="0.15"/>
    <row r="64186" spans="3:3" customFormat="1" ht="21.95" customHeight="1" x14ac:dyDescent="0.15"/>
    <row r="64187" spans="3:3" customFormat="1" ht="21.95" customHeight="1" x14ac:dyDescent="0.15"/>
    <row r="64188" spans="3:3" s="76" customFormat="1" ht="21.95" customHeight="1" x14ac:dyDescent="0.15"/>
    <row r="64189" spans="3:3" s="76" customFormat="1" ht="21.95" customHeight="1" x14ac:dyDescent="0.15"/>
    <row r="64190" spans="3:3" s="76" customFormat="1" ht="21.95" customHeight="1" x14ac:dyDescent="0.15"/>
    <row r="64191" spans="3:3" s="76" customFormat="1" ht="21.95" customHeight="1" x14ac:dyDescent="0.15"/>
    <row r="64192" spans="3:3" customFormat="1" ht="21.95" customHeight="1" x14ac:dyDescent="0.15"/>
    <row r="64193" customFormat="1" ht="21.95" customHeight="1" x14ac:dyDescent="0.15"/>
    <row r="64194" customFormat="1" ht="21.95" customHeight="1" x14ac:dyDescent="0.15"/>
    <row r="64195" customFormat="1" ht="21.95" customHeight="1" x14ac:dyDescent="0.15"/>
    <row r="64196" customFormat="1" ht="21.95" customHeight="1" x14ac:dyDescent="0.15"/>
    <row r="64197" customFormat="1" ht="21.95" customHeight="1" x14ac:dyDescent="0.15"/>
    <row r="64198" customFormat="1" ht="21.95" customHeight="1" x14ac:dyDescent="0.15"/>
    <row r="64199" customFormat="1" ht="21.95" customHeight="1" x14ac:dyDescent="0.15"/>
    <row r="64200" customFormat="1" ht="21.95" customHeight="1" x14ac:dyDescent="0.15"/>
    <row r="64201" customFormat="1" ht="21.95" customHeight="1" x14ac:dyDescent="0.15"/>
    <row r="64202" customFormat="1" ht="21.95" customHeight="1" x14ac:dyDescent="0.15"/>
    <row r="64203" customFormat="1" ht="32.1" customHeight="1" x14ac:dyDescent="0.15"/>
    <row r="64204" customFormat="1" ht="32.1" customHeight="1" x14ac:dyDescent="0.15"/>
    <row r="64205" customFormat="1" ht="32.1" customHeight="1" x14ac:dyDescent="0.15"/>
    <row r="64206" customFormat="1" ht="32.1" customHeight="1" x14ac:dyDescent="0.15"/>
    <row r="64207" customFormat="1" ht="32.1" customHeight="1" x14ac:dyDescent="0.15"/>
    <row r="64208" customFormat="1" ht="32.1" customHeight="1" x14ac:dyDescent="0.15"/>
    <row r="64209" s="76" customFormat="1" ht="32.1" customHeight="1" x14ac:dyDescent="0.15"/>
    <row r="64210" s="76" customFormat="1" ht="32.1" customHeight="1" x14ac:dyDescent="0.15"/>
    <row r="64211" s="76" customFormat="1" ht="32.1" customHeight="1" x14ac:dyDescent="0.15"/>
    <row r="64212" s="76" customFormat="1" ht="32.1" customHeight="1" x14ac:dyDescent="0.15"/>
    <row r="64213" s="76" customFormat="1" ht="21.95" customHeight="1" x14ac:dyDescent="0.15"/>
    <row r="64214" s="76" customFormat="1" ht="54" customHeight="1" x14ac:dyDescent="0.15"/>
    <row r="64215" s="76" customFormat="1" ht="21.95" customHeight="1" x14ac:dyDescent="0.15"/>
    <row r="64216" s="76" customFormat="1" ht="21.95" customHeight="1" x14ac:dyDescent="0.15"/>
    <row r="64217" s="76" customFormat="1" ht="21.95" customHeight="1" x14ac:dyDescent="0.15"/>
    <row r="64218" s="76" customFormat="1" ht="21.95" customHeight="1" x14ac:dyDescent="0.15"/>
    <row r="64219" s="76" customFormat="1" ht="21.95" customHeight="1" x14ac:dyDescent="0.15"/>
    <row r="64220" s="76" customFormat="1" ht="21.95" customHeight="1" x14ac:dyDescent="0.15"/>
    <row r="64221" s="76" customFormat="1" ht="21.95" customHeight="1" x14ac:dyDescent="0.15"/>
    <row r="64222" s="76" customFormat="1" ht="21.95" customHeight="1" x14ac:dyDescent="0.15"/>
    <row r="64223" s="76" customFormat="1" ht="21.95" customHeight="1" x14ac:dyDescent="0.15"/>
    <row r="64224" s="76" customFormat="1" ht="21.95" customHeight="1" x14ac:dyDescent="0.15"/>
    <row r="64225" s="76" customFormat="1" ht="21.95" customHeight="1" x14ac:dyDescent="0.15"/>
    <row r="64226" s="76" customFormat="1" ht="21.95" customHeight="1" x14ac:dyDescent="0.15"/>
    <row r="64227" s="76" customFormat="1" ht="21.95" customHeight="1" x14ac:dyDescent="0.15"/>
    <row r="64228" s="76" customFormat="1" ht="21.95" customHeight="1" x14ac:dyDescent="0.15"/>
    <row r="64229" s="76" customFormat="1" ht="21.95" customHeight="1" x14ac:dyDescent="0.15"/>
    <row r="64230" s="76" customFormat="1" ht="21.95" customHeight="1" x14ac:dyDescent="0.15"/>
    <row r="64231" s="76" customFormat="1" ht="21.95" customHeight="1" x14ac:dyDescent="0.15"/>
    <row r="64232" s="76" customFormat="1" ht="21.95" customHeight="1" x14ac:dyDescent="0.15"/>
    <row r="64233" s="76" customFormat="1" ht="21.95" customHeight="1" x14ac:dyDescent="0.15"/>
    <row r="64234" s="76" customFormat="1" ht="21.95" customHeight="1" x14ac:dyDescent="0.15"/>
    <row r="64235" s="76" customFormat="1" ht="21.95" customHeight="1" x14ac:dyDescent="0.15"/>
    <row r="64236" s="76" customFormat="1" ht="21.95" customHeight="1" x14ac:dyDescent="0.15"/>
    <row r="64237" s="76" customFormat="1" ht="21.95" customHeight="1" x14ac:dyDescent="0.15"/>
    <row r="64238" s="76" customFormat="1" ht="21.95" customHeight="1" x14ac:dyDescent="0.15"/>
    <row r="64239" s="76" customFormat="1" ht="21.95" customHeight="1" x14ac:dyDescent="0.15"/>
    <row r="64240" s="76" customFormat="1" ht="21.95" customHeight="1" x14ac:dyDescent="0.15"/>
    <row r="64241" s="76" customFormat="1" ht="21.95" customHeight="1" x14ac:dyDescent="0.15"/>
    <row r="64242" s="76" customFormat="1" ht="21.95" customHeight="1" x14ac:dyDescent="0.15"/>
    <row r="64243" s="76" customFormat="1" ht="21.95" customHeight="1" x14ac:dyDescent="0.15"/>
    <row r="64244" s="76" customFormat="1" ht="21.95" customHeight="1" x14ac:dyDescent="0.15"/>
    <row r="64245" s="76" customFormat="1" ht="21.95" customHeight="1" x14ac:dyDescent="0.15"/>
    <row r="64246" s="76" customFormat="1" ht="21.95" customHeight="1" x14ac:dyDescent="0.15"/>
    <row r="64247" s="76" customFormat="1" ht="21.95" customHeight="1" x14ac:dyDescent="0.15"/>
    <row r="64248" s="76" customFormat="1" ht="21.95" customHeight="1" x14ac:dyDescent="0.15"/>
    <row r="64249" s="76" customFormat="1" ht="21.95" customHeight="1" x14ac:dyDescent="0.15"/>
    <row r="64250" s="76" customFormat="1" ht="21.95" customHeight="1" x14ac:dyDescent="0.15"/>
    <row r="64251" s="76" customFormat="1" ht="21.95" customHeight="1" x14ac:dyDescent="0.15"/>
    <row r="64252" s="76" customFormat="1" ht="21.95" customHeight="1" x14ac:dyDescent="0.15"/>
    <row r="64253" s="76" customFormat="1" ht="21.95" customHeight="1" x14ac:dyDescent="0.15"/>
    <row r="64254" s="76" customFormat="1" ht="21.95" customHeight="1" x14ac:dyDescent="0.15"/>
    <row r="64255" s="76" customFormat="1" ht="21.95" customHeight="1" x14ac:dyDescent="0.15"/>
    <row r="64256" s="76" customFormat="1" ht="21.95" customHeight="1" x14ac:dyDescent="0.15"/>
    <row r="64257" s="76" customFormat="1" ht="21.95" customHeight="1" x14ac:dyDescent="0.15"/>
    <row r="64258" s="76" customFormat="1" ht="21.95" customHeight="1" x14ac:dyDescent="0.15"/>
    <row r="64259" s="76" customFormat="1" ht="21.95" customHeight="1" x14ac:dyDescent="0.15"/>
    <row r="64260" s="76" customFormat="1" ht="21.95" customHeight="1" x14ac:dyDescent="0.15"/>
    <row r="64261" s="76" customFormat="1" ht="21.95" customHeight="1" x14ac:dyDescent="0.15"/>
    <row r="64262" s="76" customFormat="1" ht="21.95" customHeight="1" x14ac:dyDescent="0.15"/>
    <row r="64263" s="76" customFormat="1" ht="21.95" customHeight="1" x14ac:dyDescent="0.15"/>
    <row r="64264" s="76" customFormat="1" ht="21.95" customHeight="1" x14ac:dyDescent="0.15"/>
    <row r="64265" s="76" customFormat="1" ht="35.1" customHeight="1" x14ac:dyDescent="0.15"/>
    <row r="64266" s="76" customFormat="1" ht="21.95" customHeight="1" x14ac:dyDescent="0.15"/>
    <row r="64267" s="76" customFormat="1" ht="21.95" customHeight="1" x14ac:dyDescent="0.15"/>
    <row r="64268" s="76" customFormat="1" ht="21.95" customHeight="1" x14ac:dyDescent="0.15"/>
    <row r="64269" s="76" customFormat="1" ht="21.95" customHeight="1" x14ac:dyDescent="0.15"/>
    <row r="64270" s="76" customFormat="1" ht="21.95" customHeight="1" x14ac:dyDescent="0.15"/>
    <row r="64271" s="76" customFormat="1" ht="21.95" customHeight="1" x14ac:dyDescent="0.15"/>
    <row r="64272" s="76" customFormat="1" ht="21.95" customHeight="1" x14ac:dyDescent="0.15"/>
    <row r="64273" s="76" customFormat="1" ht="21.95" customHeight="1" x14ac:dyDescent="0.15"/>
    <row r="64274" s="76" customFormat="1" ht="21.95" customHeight="1" x14ac:dyDescent="0.15"/>
    <row r="64275" s="76" customFormat="1" ht="21.95" customHeight="1" x14ac:dyDescent="0.15"/>
    <row r="64276" s="76" customFormat="1" ht="21.95" customHeight="1" x14ac:dyDescent="0.15"/>
    <row r="64277" s="76" customFormat="1" ht="21.95" customHeight="1" x14ac:dyDescent="0.15"/>
    <row r="64278" s="76" customFormat="1" ht="21.95" customHeight="1" x14ac:dyDescent="0.15"/>
    <row r="64279" s="76" customFormat="1" ht="21.95" customHeight="1" x14ac:dyDescent="0.15"/>
    <row r="64280" s="76" customFormat="1" ht="21.95" customHeight="1" x14ac:dyDescent="0.15"/>
    <row r="64281" s="76" customFormat="1" ht="21.95" customHeight="1" x14ac:dyDescent="0.15"/>
    <row r="64282" s="76" customFormat="1" ht="21.95" customHeight="1" x14ac:dyDescent="0.15"/>
    <row r="64283" s="76" customFormat="1" ht="21.95" customHeight="1" x14ac:dyDescent="0.15"/>
    <row r="64284" s="76" customFormat="1" ht="21.95" customHeight="1" x14ac:dyDescent="0.15"/>
    <row r="64285" s="76" customFormat="1" ht="21.95" customHeight="1" x14ac:dyDescent="0.15"/>
    <row r="64286" s="76" customFormat="1" ht="21.95" customHeight="1" x14ac:dyDescent="0.15"/>
    <row r="64287" s="76" customFormat="1" ht="21.95" customHeight="1" x14ac:dyDescent="0.15"/>
    <row r="64288" s="76" customFormat="1" ht="21.95" customHeight="1" x14ac:dyDescent="0.15"/>
    <row r="64289" spans="3:3" customFormat="1" ht="21.95" customHeight="1" x14ac:dyDescent="0.15"/>
    <row r="64290" spans="3:3" customFormat="1" ht="21.95" customHeight="1" x14ac:dyDescent="0.15"/>
    <row r="64291" spans="3:3" customFormat="1" ht="21.95" customHeight="1" x14ac:dyDescent="0.15">
      <c r="C64291" s="94"/>
    </row>
    <row r="64292" spans="3:3" customFormat="1" ht="21.95" customHeight="1" x14ac:dyDescent="0.15">
      <c r="C64292" s="94"/>
    </row>
    <row r="64293" spans="3:3" customFormat="1" ht="21.95" customHeight="1" x14ac:dyDescent="0.15"/>
    <row r="64294" spans="3:3" customFormat="1" ht="21.95" customHeight="1" x14ac:dyDescent="0.15"/>
    <row r="64295" spans="3:3" customFormat="1" ht="21.95" customHeight="1" x14ac:dyDescent="0.15"/>
    <row r="64296" spans="3:3" customFormat="1" ht="21.95" customHeight="1" x14ac:dyDescent="0.15"/>
    <row r="64297" spans="3:3" customFormat="1" ht="21.95" customHeight="1" x14ac:dyDescent="0.15"/>
    <row r="64298" spans="3:3" customFormat="1" ht="21.95" customHeight="1" x14ac:dyDescent="0.15"/>
    <row r="64299" spans="3:3" customFormat="1" ht="21.95" customHeight="1" x14ac:dyDescent="0.15"/>
    <row r="64300" spans="3:3" s="76" customFormat="1" ht="21.95" customHeight="1" x14ac:dyDescent="0.15"/>
    <row r="64301" spans="3:3" s="76" customFormat="1" ht="21.95" customHeight="1" x14ac:dyDescent="0.15"/>
    <row r="64302" spans="3:3" s="76" customFormat="1" ht="21.95" customHeight="1" x14ac:dyDescent="0.15"/>
    <row r="64303" spans="3:3" s="76" customFormat="1" ht="21.95" customHeight="1" x14ac:dyDescent="0.15"/>
    <row r="64304" spans="3:3" customFormat="1" ht="21.95" customHeight="1" x14ac:dyDescent="0.15"/>
    <row r="64305" customFormat="1" ht="21.95" customHeight="1" x14ac:dyDescent="0.15"/>
    <row r="64306" customFormat="1" ht="21.95" customHeight="1" x14ac:dyDescent="0.15"/>
    <row r="64307" customFormat="1" ht="21.95" customHeight="1" x14ac:dyDescent="0.15"/>
    <row r="64308" customFormat="1" ht="21.95" customHeight="1" x14ac:dyDescent="0.15"/>
    <row r="64309" customFormat="1" ht="21.95" customHeight="1" x14ac:dyDescent="0.15"/>
    <row r="64310" customFormat="1" ht="21.95" customHeight="1" x14ac:dyDescent="0.15"/>
    <row r="64311" customFormat="1" ht="21.95" customHeight="1" x14ac:dyDescent="0.15"/>
    <row r="64312" customFormat="1" ht="21.95" customHeight="1" x14ac:dyDescent="0.15"/>
    <row r="64313" customFormat="1" ht="21.95" customHeight="1" x14ac:dyDescent="0.15"/>
    <row r="64314" customFormat="1" ht="21.95" customHeight="1" x14ac:dyDescent="0.15"/>
    <row r="64315" customFormat="1" ht="32.1" customHeight="1" x14ac:dyDescent="0.15"/>
    <row r="64316" customFormat="1" ht="32.1" customHeight="1" x14ac:dyDescent="0.15"/>
    <row r="64317" customFormat="1" ht="32.1" customHeight="1" x14ac:dyDescent="0.15"/>
    <row r="64318" customFormat="1" ht="32.1" customHeight="1" x14ac:dyDescent="0.15"/>
    <row r="64319" customFormat="1" ht="32.1" customHeight="1" x14ac:dyDescent="0.15"/>
    <row r="64320" customFormat="1" ht="32.1" customHeight="1" x14ac:dyDescent="0.15"/>
    <row r="64321" s="76" customFormat="1" ht="32.1" customHeight="1" x14ac:dyDescent="0.15"/>
    <row r="64322" s="76" customFormat="1" ht="32.1" customHeight="1" x14ac:dyDescent="0.15"/>
    <row r="64323" s="76" customFormat="1" ht="32.1" customHeight="1" x14ac:dyDescent="0.15"/>
    <row r="64324" s="76" customFormat="1" ht="32.1" customHeight="1" x14ac:dyDescent="0.15"/>
    <row r="64325" s="76" customFormat="1" ht="21.95" customHeight="1" x14ac:dyDescent="0.15"/>
    <row r="64326" s="76" customFormat="1" ht="54" customHeight="1" x14ac:dyDescent="0.15"/>
    <row r="64327" s="76" customFormat="1" ht="21.95" customHeight="1" x14ac:dyDescent="0.15"/>
    <row r="64328" s="76" customFormat="1" ht="21.95" customHeight="1" x14ac:dyDescent="0.15"/>
    <row r="64329" s="76" customFormat="1" ht="21.95" customHeight="1" x14ac:dyDescent="0.15"/>
    <row r="64330" s="76" customFormat="1" ht="21.95" customHeight="1" x14ac:dyDescent="0.15"/>
    <row r="64331" s="76" customFormat="1" ht="21.95" customHeight="1" x14ac:dyDescent="0.15"/>
    <row r="64332" s="76" customFormat="1" ht="21.95" customHeight="1" x14ac:dyDescent="0.15"/>
    <row r="64333" s="76" customFormat="1" ht="21.95" customHeight="1" x14ac:dyDescent="0.15"/>
    <row r="64334" s="76" customFormat="1" ht="21.95" customHeight="1" x14ac:dyDescent="0.15"/>
    <row r="64335" s="76" customFormat="1" ht="21.95" customHeight="1" x14ac:dyDescent="0.15"/>
    <row r="64336" s="76" customFormat="1" ht="21.95" customHeight="1" x14ac:dyDescent="0.15"/>
    <row r="64337" s="76" customFormat="1" ht="21.95" customHeight="1" x14ac:dyDescent="0.15"/>
    <row r="64338" s="76" customFormat="1" ht="21.95" customHeight="1" x14ac:dyDescent="0.15"/>
    <row r="64339" s="76" customFormat="1" ht="21.95" customHeight="1" x14ac:dyDescent="0.15"/>
    <row r="64340" s="76" customFormat="1" ht="21.95" customHeight="1" x14ac:dyDescent="0.15"/>
    <row r="64341" s="76" customFormat="1" ht="21.95" customHeight="1" x14ac:dyDescent="0.15"/>
    <row r="64342" s="76" customFormat="1" ht="21.95" customHeight="1" x14ac:dyDescent="0.15"/>
    <row r="64343" s="76" customFormat="1" ht="21.95" customHeight="1" x14ac:dyDescent="0.15"/>
    <row r="64344" s="76" customFormat="1" ht="21.95" customHeight="1" x14ac:dyDescent="0.15"/>
    <row r="64345" s="76" customFormat="1" ht="21.95" customHeight="1" x14ac:dyDescent="0.15"/>
    <row r="64346" s="76" customFormat="1" ht="21.95" customHeight="1" x14ac:dyDescent="0.15"/>
    <row r="64347" s="76" customFormat="1" ht="21.95" customHeight="1" x14ac:dyDescent="0.15"/>
    <row r="64348" s="76" customFormat="1" ht="21.95" customHeight="1" x14ac:dyDescent="0.15"/>
    <row r="64349" s="76" customFormat="1" ht="21.95" customHeight="1" x14ac:dyDescent="0.15"/>
    <row r="64350" s="76" customFormat="1" ht="21.95" customHeight="1" x14ac:dyDescent="0.15"/>
    <row r="64351" s="76" customFormat="1" ht="21.95" customHeight="1" x14ac:dyDescent="0.15"/>
    <row r="64352" s="76" customFormat="1" ht="21.95" customHeight="1" x14ac:dyDescent="0.15"/>
    <row r="64353" s="76" customFormat="1" ht="21.95" customHeight="1" x14ac:dyDescent="0.15"/>
    <row r="64354" s="76" customFormat="1" ht="21.95" customHeight="1" x14ac:dyDescent="0.15"/>
    <row r="64355" s="76" customFormat="1" ht="21.95" customHeight="1" x14ac:dyDescent="0.15"/>
    <row r="64356" s="76" customFormat="1" ht="21.95" customHeight="1" x14ac:dyDescent="0.15"/>
    <row r="64357" s="76" customFormat="1" ht="21.95" customHeight="1" x14ac:dyDescent="0.15"/>
    <row r="64358" s="76" customFormat="1" ht="21.95" customHeight="1" x14ac:dyDescent="0.15"/>
    <row r="64359" s="76" customFormat="1" ht="21.95" customHeight="1" x14ac:dyDescent="0.15"/>
    <row r="64360" s="76" customFormat="1" ht="21.95" customHeight="1" x14ac:dyDescent="0.15"/>
    <row r="64361" s="76" customFormat="1" ht="21.95" customHeight="1" x14ac:dyDescent="0.15"/>
    <row r="64362" s="76" customFormat="1" ht="21.95" customHeight="1" x14ac:dyDescent="0.15"/>
    <row r="64363" s="76" customFormat="1" ht="21.95" customHeight="1" x14ac:dyDescent="0.15"/>
    <row r="64364" s="76" customFormat="1" ht="21.95" customHeight="1" x14ac:dyDescent="0.15"/>
    <row r="64365" s="76" customFormat="1" ht="21.95" customHeight="1" x14ac:dyDescent="0.15"/>
    <row r="64366" s="76" customFormat="1" ht="21.95" customHeight="1" x14ac:dyDescent="0.15"/>
    <row r="64367" s="76" customFormat="1" ht="21.95" customHeight="1" x14ac:dyDescent="0.15"/>
    <row r="64368" s="76" customFormat="1" ht="21.95" customHeight="1" x14ac:dyDescent="0.15"/>
    <row r="64369" s="76" customFormat="1" ht="21.95" customHeight="1" x14ac:dyDescent="0.15"/>
    <row r="64370" s="76" customFormat="1" ht="21.95" customHeight="1" x14ac:dyDescent="0.15"/>
    <row r="64371" s="76" customFormat="1" ht="21.95" customHeight="1" x14ac:dyDescent="0.15"/>
    <row r="64372" s="76" customFormat="1" ht="21.95" customHeight="1" x14ac:dyDescent="0.15"/>
    <row r="64373" s="76" customFormat="1" ht="21.95" customHeight="1" x14ac:dyDescent="0.15"/>
    <row r="64374" s="76" customFormat="1" ht="21.95" customHeight="1" x14ac:dyDescent="0.15"/>
    <row r="64375" s="76" customFormat="1" ht="21.95" customHeight="1" x14ac:dyDescent="0.15"/>
    <row r="64376" s="76" customFormat="1" ht="21.95" customHeight="1" x14ac:dyDescent="0.15"/>
    <row r="64377" s="76" customFormat="1" ht="35.1" customHeight="1" x14ac:dyDescent="0.15"/>
    <row r="64378" s="76" customFormat="1" ht="21.95" customHeight="1" x14ac:dyDescent="0.15"/>
    <row r="64379" s="76" customFormat="1" ht="21.95" customHeight="1" x14ac:dyDescent="0.15"/>
    <row r="64380" s="76" customFormat="1" ht="21.95" customHeight="1" x14ac:dyDescent="0.15"/>
    <row r="64381" s="76" customFormat="1" ht="21.95" customHeight="1" x14ac:dyDescent="0.15"/>
    <row r="64382" s="76" customFormat="1" ht="21.95" customHeight="1" x14ac:dyDescent="0.15"/>
    <row r="64383" s="76" customFormat="1" ht="21.95" customHeight="1" x14ac:dyDescent="0.15"/>
    <row r="64384" s="76" customFormat="1" ht="21.95" customHeight="1" x14ac:dyDescent="0.15"/>
    <row r="64385" s="76" customFormat="1" ht="21.95" customHeight="1" x14ac:dyDescent="0.15"/>
    <row r="64386" s="76" customFormat="1" ht="21.95" customHeight="1" x14ac:dyDescent="0.15"/>
    <row r="64387" s="76" customFormat="1" ht="21.95" customHeight="1" x14ac:dyDescent="0.15"/>
    <row r="64388" s="76" customFormat="1" ht="21.95" customHeight="1" x14ac:dyDescent="0.15"/>
    <row r="64389" s="76" customFormat="1" ht="21.95" customHeight="1" x14ac:dyDescent="0.15"/>
    <row r="64390" s="76" customFormat="1" ht="21.95" customHeight="1" x14ac:dyDescent="0.15"/>
    <row r="64391" s="76" customFormat="1" ht="21.95" customHeight="1" x14ac:dyDescent="0.15"/>
    <row r="64392" s="76" customFormat="1" ht="21.95" customHeight="1" x14ac:dyDescent="0.15"/>
    <row r="64393" s="76" customFormat="1" ht="21.95" customHeight="1" x14ac:dyDescent="0.15"/>
    <row r="64394" s="76" customFormat="1" ht="21.95" customHeight="1" x14ac:dyDescent="0.15"/>
    <row r="64395" s="76" customFormat="1" ht="21.95" customHeight="1" x14ac:dyDescent="0.15"/>
    <row r="64396" s="76" customFormat="1" ht="21.95" customHeight="1" x14ac:dyDescent="0.15"/>
    <row r="64397" s="76" customFormat="1" ht="21.95" customHeight="1" x14ac:dyDescent="0.15"/>
    <row r="64398" s="76" customFormat="1" ht="21.95" customHeight="1" x14ac:dyDescent="0.15"/>
    <row r="64399" s="76" customFormat="1" ht="21.95" customHeight="1" x14ac:dyDescent="0.15"/>
    <row r="64400" s="76" customFormat="1" ht="21.95" customHeight="1" x14ac:dyDescent="0.15"/>
    <row r="64401" spans="3:3" customFormat="1" ht="21.95" customHeight="1" x14ac:dyDescent="0.15"/>
    <row r="64402" spans="3:3" customFormat="1" ht="21.95" customHeight="1" x14ac:dyDescent="0.15"/>
    <row r="64403" spans="3:3" customFormat="1" ht="21.95" customHeight="1" x14ac:dyDescent="0.15">
      <c r="C64403" s="94"/>
    </row>
    <row r="64404" spans="3:3" customFormat="1" ht="21.95" customHeight="1" x14ac:dyDescent="0.15">
      <c r="C64404" s="94"/>
    </row>
    <row r="64405" spans="3:3" customFormat="1" ht="21.95" customHeight="1" x14ac:dyDescent="0.15"/>
    <row r="64406" spans="3:3" customFormat="1" ht="21.95" customHeight="1" x14ac:dyDescent="0.15"/>
    <row r="64407" spans="3:3" customFormat="1" ht="21.95" customHeight="1" x14ac:dyDescent="0.15"/>
    <row r="64408" spans="3:3" customFormat="1" ht="21.95" customHeight="1" x14ac:dyDescent="0.15"/>
    <row r="64409" spans="3:3" customFormat="1" ht="21.95" customHeight="1" x14ac:dyDescent="0.15"/>
    <row r="64410" spans="3:3" customFormat="1" ht="21.95" customHeight="1" x14ac:dyDescent="0.15"/>
    <row r="64411" spans="3:3" customFormat="1" ht="21.95" customHeight="1" x14ac:dyDescent="0.15"/>
    <row r="64412" spans="3:3" s="76" customFormat="1" ht="21.95" customHeight="1" x14ac:dyDescent="0.15"/>
    <row r="64413" spans="3:3" s="76" customFormat="1" ht="21.95" customHeight="1" x14ac:dyDescent="0.15"/>
    <row r="64414" spans="3:3" s="76" customFormat="1" ht="21.95" customHeight="1" x14ac:dyDescent="0.15"/>
    <row r="64415" spans="3:3" s="76" customFormat="1" ht="21.95" customHeight="1" x14ac:dyDescent="0.15"/>
    <row r="64416" spans="3:3" customFormat="1" ht="21.95" customHeight="1" x14ac:dyDescent="0.15"/>
    <row r="64417" customFormat="1" ht="21.95" customHeight="1" x14ac:dyDescent="0.15"/>
    <row r="64418" customFormat="1" ht="21.95" customHeight="1" x14ac:dyDescent="0.15"/>
    <row r="64419" customFormat="1" ht="21.95" customHeight="1" x14ac:dyDescent="0.15"/>
    <row r="64420" customFormat="1" ht="21.95" customHeight="1" x14ac:dyDescent="0.15"/>
    <row r="64421" customFormat="1" ht="21.95" customHeight="1" x14ac:dyDescent="0.15"/>
    <row r="64422" customFormat="1" ht="21.95" customHeight="1" x14ac:dyDescent="0.15"/>
    <row r="64423" customFormat="1" ht="21.95" customHeight="1" x14ac:dyDescent="0.15"/>
    <row r="64424" customFormat="1" ht="21.95" customHeight="1" x14ac:dyDescent="0.15"/>
    <row r="64425" customFormat="1" ht="21.95" customHeight="1" x14ac:dyDescent="0.15"/>
    <row r="64426" customFormat="1" ht="21.95" customHeight="1" x14ac:dyDescent="0.15"/>
    <row r="64427" customFormat="1" ht="32.1" customHeight="1" x14ac:dyDescent="0.15"/>
    <row r="64428" customFormat="1" ht="32.1" customHeight="1" x14ac:dyDescent="0.15"/>
    <row r="64429" customFormat="1" ht="32.1" customHeight="1" x14ac:dyDescent="0.15"/>
    <row r="64430" customFormat="1" ht="32.1" customHeight="1" x14ac:dyDescent="0.15"/>
    <row r="64431" customFormat="1" ht="32.1" customHeight="1" x14ac:dyDescent="0.15"/>
    <row r="64432" customFormat="1" ht="32.1" customHeight="1" x14ac:dyDescent="0.15"/>
    <row r="64433" s="76" customFormat="1" ht="32.1" customHeight="1" x14ac:dyDescent="0.15"/>
    <row r="64434" s="76" customFormat="1" ht="32.1" customHeight="1" x14ac:dyDescent="0.15"/>
    <row r="64435" s="76" customFormat="1" ht="32.1" customHeight="1" x14ac:dyDescent="0.15"/>
    <row r="64436" s="76" customFormat="1" ht="32.1" customHeight="1" x14ac:dyDescent="0.15"/>
    <row r="64437" s="76" customFormat="1" ht="21.95" customHeight="1" x14ac:dyDescent="0.15"/>
    <row r="64438" s="76" customFormat="1" ht="54" customHeight="1" x14ac:dyDescent="0.15"/>
    <row r="64439" s="76" customFormat="1" ht="21.95" customHeight="1" x14ac:dyDescent="0.15"/>
    <row r="64440" s="76" customFormat="1" ht="21.95" customHeight="1" x14ac:dyDescent="0.15"/>
    <row r="64441" s="76" customFormat="1" ht="21.95" customHeight="1" x14ac:dyDescent="0.15"/>
    <row r="64442" s="76" customFormat="1" ht="21.95" customHeight="1" x14ac:dyDescent="0.15"/>
    <row r="64443" s="76" customFormat="1" ht="21.95" customHeight="1" x14ac:dyDescent="0.15"/>
    <row r="64444" s="76" customFormat="1" ht="21.95" customHeight="1" x14ac:dyDescent="0.15"/>
    <row r="64445" s="76" customFormat="1" ht="21.95" customHeight="1" x14ac:dyDescent="0.15"/>
    <row r="64446" s="76" customFormat="1" ht="21.95" customHeight="1" x14ac:dyDescent="0.15"/>
    <row r="64447" s="76" customFormat="1" ht="21.95" customHeight="1" x14ac:dyDescent="0.15"/>
    <row r="64448" s="76" customFormat="1" ht="21.95" customHeight="1" x14ac:dyDescent="0.15"/>
    <row r="64449" s="76" customFormat="1" ht="21.95" customHeight="1" x14ac:dyDescent="0.15"/>
    <row r="64450" s="76" customFormat="1" ht="21.95" customHeight="1" x14ac:dyDescent="0.15"/>
    <row r="64451" s="76" customFormat="1" ht="21.95" customHeight="1" x14ac:dyDescent="0.15"/>
    <row r="64452" s="76" customFormat="1" ht="21.95" customHeight="1" x14ac:dyDescent="0.15"/>
    <row r="64453" s="76" customFormat="1" ht="21.95" customHeight="1" x14ac:dyDescent="0.15"/>
    <row r="64454" s="76" customFormat="1" ht="21.95" customHeight="1" x14ac:dyDescent="0.15"/>
    <row r="64455" s="76" customFormat="1" ht="21.95" customHeight="1" x14ac:dyDescent="0.15"/>
    <row r="64456" s="76" customFormat="1" ht="21.95" customHeight="1" x14ac:dyDescent="0.15"/>
    <row r="64457" s="76" customFormat="1" ht="21.95" customHeight="1" x14ac:dyDescent="0.15"/>
    <row r="64458" s="76" customFormat="1" ht="21.95" customHeight="1" x14ac:dyDescent="0.15"/>
    <row r="64459" s="76" customFormat="1" ht="21.95" customHeight="1" x14ac:dyDescent="0.15"/>
    <row r="64460" s="76" customFormat="1" ht="21.95" customHeight="1" x14ac:dyDescent="0.15"/>
    <row r="64461" s="76" customFormat="1" ht="21.95" customHeight="1" x14ac:dyDescent="0.15"/>
    <row r="64462" s="76" customFormat="1" ht="21.95" customHeight="1" x14ac:dyDescent="0.15"/>
    <row r="64463" s="76" customFormat="1" ht="21.95" customHeight="1" x14ac:dyDescent="0.15"/>
    <row r="64464" s="76" customFormat="1" ht="21.95" customHeight="1" x14ac:dyDescent="0.15"/>
    <row r="64465" s="76" customFormat="1" ht="21.95" customHeight="1" x14ac:dyDescent="0.15"/>
    <row r="64466" s="76" customFormat="1" ht="21.95" customHeight="1" x14ac:dyDescent="0.15"/>
    <row r="64467" s="76" customFormat="1" ht="21.95" customHeight="1" x14ac:dyDescent="0.15"/>
    <row r="64468" s="76" customFormat="1" ht="21.95" customHeight="1" x14ac:dyDescent="0.15"/>
    <row r="64469" s="76" customFormat="1" ht="21.95" customHeight="1" x14ac:dyDescent="0.15"/>
    <row r="64470" s="76" customFormat="1" ht="21.95" customHeight="1" x14ac:dyDescent="0.15"/>
    <row r="64471" s="76" customFormat="1" ht="21.95" customHeight="1" x14ac:dyDescent="0.15"/>
    <row r="64472" s="76" customFormat="1" ht="21.95" customHeight="1" x14ac:dyDescent="0.15"/>
    <row r="64473" s="76" customFormat="1" ht="21.95" customHeight="1" x14ac:dyDescent="0.15"/>
    <row r="64474" s="76" customFormat="1" ht="21.95" customHeight="1" x14ac:dyDescent="0.15"/>
    <row r="64475" s="76" customFormat="1" ht="21.95" customHeight="1" x14ac:dyDescent="0.15"/>
    <row r="64476" s="76" customFormat="1" ht="21.95" customHeight="1" x14ac:dyDescent="0.15"/>
    <row r="64477" s="76" customFormat="1" ht="21.95" customHeight="1" x14ac:dyDescent="0.15"/>
    <row r="64478" s="76" customFormat="1" ht="21.95" customHeight="1" x14ac:dyDescent="0.15"/>
    <row r="64479" s="76" customFormat="1" ht="21.95" customHeight="1" x14ac:dyDescent="0.15"/>
    <row r="64480" s="76" customFormat="1" ht="21.95" customHeight="1" x14ac:dyDescent="0.15"/>
    <row r="64481" s="76" customFormat="1" ht="21.95" customHeight="1" x14ac:dyDescent="0.15"/>
    <row r="64482" s="76" customFormat="1" ht="21.95" customHeight="1" x14ac:dyDescent="0.15"/>
    <row r="64483" s="76" customFormat="1" ht="21.95" customHeight="1" x14ac:dyDescent="0.15"/>
    <row r="64484" s="76" customFormat="1" ht="21.95" customHeight="1" x14ac:dyDescent="0.15"/>
    <row r="64485" s="76" customFormat="1" ht="21.95" customHeight="1" x14ac:dyDescent="0.15"/>
    <row r="64486" s="76" customFormat="1" ht="21.95" customHeight="1" x14ac:dyDescent="0.15"/>
    <row r="64487" s="76" customFormat="1" ht="21.95" customHeight="1" x14ac:dyDescent="0.15"/>
    <row r="64488" s="76" customFormat="1" ht="21.95" customHeight="1" x14ac:dyDescent="0.15"/>
    <row r="64489" s="76" customFormat="1" ht="35.1" customHeight="1" x14ac:dyDescent="0.15"/>
    <row r="64490" s="76" customFormat="1" ht="21.95" customHeight="1" x14ac:dyDescent="0.15"/>
    <row r="64491" s="76" customFormat="1" ht="21.95" customHeight="1" x14ac:dyDescent="0.15"/>
    <row r="64492" s="76" customFormat="1" ht="21.95" customHeight="1" x14ac:dyDescent="0.15"/>
    <row r="64493" s="76" customFormat="1" ht="21.95" customHeight="1" x14ac:dyDescent="0.15"/>
    <row r="64494" s="76" customFormat="1" ht="21.95" customHeight="1" x14ac:dyDescent="0.15"/>
    <row r="64495" s="76" customFormat="1" ht="21.95" customHeight="1" x14ac:dyDescent="0.15"/>
    <row r="64496" s="76" customFormat="1" ht="21.95" customHeight="1" x14ac:dyDescent="0.15"/>
    <row r="64497" s="76" customFormat="1" ht="21.95" customHeight="1" x14ac:dyDescent="0.15"/>
    <row r="64498" s="76" customFormat="1" ht="21.95" customHeight="1" x14ac:dyDescent="0.15"/>
    <row r="64499" s="76" customFormat="1" ht="21.95" customHeight="1" x14ac:dyDescent="0.15"/>
    <row r="64500" s="76" customFormat="1" ht="21.95" customHeight="1" x14ac:dyDescent="0.15"/>
    <row r="64501" s="76" customFormat="1" ht="21.95" customHeight="1" x14ac:dyDescent="0.15"/>
    <row r="64502" s="76" customFormat="1" ht="21.95" customHeight="1" x14ac:dyDescent="0.15"/>
    <row r="64503" s="76" customFormat="1" ht="21.95" customHeight="1" x14ac:dyDescent="0.15"/>
    <row r="64504" s="76" customFormat="1" ht="21.95" customHeight="1" x14ac:dyDescent="0.15"/>
    <row r="64505" s="76" customFormat="1" ht="21.95" customHeight="1" x14ac:dyDescent="0.15"/>
    <row r="64506" s="76" customFormat="1" ht="21.95" customHeight="1" x14ac:dyDescent="0.15"/>
    <row r="64507" s="76" customFormat="1" ht="21.95" customHeight="1" x14ac:dyDescent="0.15"/>
    <row r="64508" s="76" customFormat="1" ht="21.95" customHeight="1" x14ac:dyDescent="0.15"/>
    <row r="64509" s="76" customFormat="1" ht="21.95" customHeight="1" x14ac:dyDescent="0.15"/>
    <row r="64510" s="76" customFormat="1" ht="21.95" customHeight="1" x14ac:dyDescent="0.15"/>
    <row r="64511" s="76" customFormat="1" ht="21.95" customHeight="1" x14ac:dyDescent="0.15"/>
    <row r="64512" s="76" customFormat="1" ht="21.95" customHeight="1" x14ac:dyDescent="0.15"/>
    <row r="64513" spans="3:3" customFormat="1" ht="21.95" customHeight="1" x14ac:dyDescent="0.15"/>
    <row r="64514" spans="3:3" customFormat="1" ht="21.95" customHeight="1" x14ac:dyDescent="0.15"/>
    <row r="64515" spans="3:3" customFormat="1" ht="21.95" customHeight="1" x14ac:dyDescent="0.15">
      <c r="C64515" s="94"/>
    </row>
    <row r="64516" spans="3:3" customFormat="1" ht="21.95" customHeight="1" x14ac:dyDescent="0.15">
      <c r="C64516" s="94"/>
    </row>
    <row r="64517" spans="3:3" customFormat="1" ht="21.95" customHeight="1" x14ac:dyDescent="0.15"/>
    <row r="64518" spans="3:3" customFormat="1" ht="21.95" customHeight="1" x14ac:dyDescent="0.15"/>
    <row r="64519" spans="3:3" customFormat="1" ht="21.95" customHeight="1" x14ac:dyDescent="0.15"/>
    <row r="64520" spans="3:3" customFormat="1" ht="21.95" customHeight="1" x14ac:dyDescent="0.15"/>
    <row r="64521" spans="3:3" customFormat="1" ht="21.95" customHeight="1" x14ac:dyDescent="0.15"/>
    <row r="64522" spans="3:3" customFormat="1" ht="21.95" customHeight="1" x14ac:dyDescent="0.15"/>
    <row r="64523" spans="3:3" customFormat="1" ht="21.95" customHeight="1" x14ac:dyDescent="0.15"/>
    <row r="64524" spans="3:3" s="76" customFormat="1" ht="21.95" customHeight="1" x14ac:dyDescent="0.15"/>
    <row r="64525" spans="3:3" s="76" customFormat="1" ht="21.95" customHeight="1" x14ac:dyDescent="0.15"/>
    <row r="64526" spans="3:3" s="76" customFormat="1" ht="21.95" customHeight="1" x14ac:dyDescent="0.15"/>
    <row r="64527" spans="3:3" s="76" customFormat="1" ht="21.95" customHeight="1" x14ac:dyDescent="0.15"/>
    <row r="64528" spans="3:3" customFormat="1" ht="21.95" customHeight="1" x14ac:dyDescent="0.15"/>
    <row r="64529" customFormat="1" ht="21.95" customHeight="1" x14ac:dyDescent="0.15"/>
    <row r="64530" customFormat="1" ht="21.95" customHeight="1" x14ac:dyDescent="0.15"/>
    <row r="64531" customFormat="1" ht="21.95" customHeight="1" x14ac:dyDescent="0.15"/>
    <row r="64532" customFormat="1" ht="21.95" customHeight="1" x14ac:dyDescent="0.15"/>
    <row r="64533" customFormat="1" ht="21.95" customHeight="1" x14ac:dyDescent="0.15"/>
    <row r="64534" customFormat="1" ht="21.95" customHeight="1" x14ac:dyDescent="0.15"/>
    <row r="64535" customFormat="1" ht="21.95" customHeight="1" x14ac:dyDescent="0.15"/>
    <row r="64536" customFormat="1" ht="21.95" customHeight="1" x14ac:dyDescent="0.15"/>
    <row r="64537" customFormat="1" ht="21.95" customHeight="1" x14ac:dyDescent="0.15"/>
    <row r="64538" customFormat="1" ht="21.95" customHeight="1" x14ac:dyDescent="0.15"/>
    <row r="64539" customFormat="1" ht="32.1" customHeight="1" x14ac:dyDescent="0.15"/>
    <row r="64540" customFormat="1" ht="32.1" customHeight="1" x14ac:dyDescent="0.15"/>
    <row r="64541" customFormat="1" ht="32.1" customHeight="1" x14ac:dyDescent="0.15"/>
    <row r="64542" customFormat="1" ht="32.1" customHeight="1" x14ac:dyDescent="0.15"/>
    <row r="64543" customFormat="1" ht="32.1" customHeight="1" x14ac:dyDescent="0.15"/>
    <row r="64544" customFormat="1" ht="32.1" customHeight="1" x14ac:dyDescent="0.15"/>
    <row r="64545" s="76" customFormat="1" ht="32.1" customHeight="1" x14ac:dyDescent="0.15"/>
    <row r="64546" s="76" customFormat="1" ht="32.1" customHeight="1" x14ac:dyDescent="0.15"/>
    <row r="64547" s="76" customFormat="1" ht="32.1" customHeight="1" x14ac:dyDescent="0.15"/>
    <row r="64548" s="76" customFormat="1" ht="32.1" customHeight="1" x14ac:dyDescent="0.15"/>
    <row r="64549" s="76" customFormat="1" ht="21.95" customHeight="1" x14ac:dyDescent="0.15"/>
    <row r="64550" s="76" customFormat="1" ht="54" customHeight="1" x14ac:dyDescent="0.15"/>
    <row r="64551" s="76" customFormat="1" ht="21.95" customHeight="1" x14ac:dyDescent="0.15"/>
    <row r="64552" s="76" customFormat="1" ht="21.95" customHeight="1" x14ac:dyDescent="0.15"/>
    <row r="64553" s="76" customFormat="1" ht="21.95" customHeight="1" x14ac:dyDescent="0.15"/>
    <row r="64554" s="76" customFormat="1" ht="21.95" customHeight="1" x14ac:dyDescent="0.15"/>
    <row r="64555" s="76" customFormat="1" ht="21.95" customHeight="1" x14ac:dyDescent="0.15"/>
    <row r="64556" s="76" customFormat="1" ht="21.95" customHeight="1" x14ac:dyDescent="0.15"/>
    <row r="64557" s="76" customFormat="1" ht="21.95" customHeight="1" x14ac:dyDescent="0.15"/>
    <row r="64558" s="76" customFormat="1" ht="21.95" customHeight="1" x14ac:dyDescent="0.15"/>
    <row r="64559" s="76" customFormat="1" ht="21.95" customHeight="1" x14ac:dyDescent="0.15"/>
    <row r="64560" s="76" customFormat="1" ht="21.95" customHeight="1" x14ac:dyDescent="0.15"/>
    <row r="64561" s="76" customFormat="1" ht="21.95" customHeight="1" x14ac:dyDescent="0.15"/>
    <row r="64562" s="76" customFormat="1" ht="21.95" customHeight="1" x14ac:dyDescent="0.15"/>
    <row r="64563" s="76" customFormat="1" ht="21.95" customHeight="1" x14ac:dyDescent="0.15"/>
    <row r="64564" s="76" customFormat="1" ht="21.95" customHeight="1" x14ac:dyDescent="0.15"/>
    <row r="64565" s="76" customFormat="1" ht="21.95" customHeight="1" x14ac:dyDescent="0.15"/>
    <row r="64566" s="76" customFormat="1" ht="21.95" customHeight="1" x14ac:dyDescent="0.15"/>
    <row r="64567" s="76" customFormat="1" ht="21.95" customHeight="1" x14ac:dyDescent="0.15"/>
    <row r="64568" s="76" customFormat="1" ht="21.95" customHeight="1" x14ac:dyDescent="0.15"/>
    <row r="64569" s="76" customFormat="1" ht="21.95" customHeight="1" x14ac:dyDescent="0.15"/>
    <row r="64570" s="76" customFormat="1" ht="21.95" customHeight="1" x14ac:dyDescent="0.15"/>
    <row r="64571" s="76" customFormat="1" ht="21.95" customHeight="1" x14ac:dyDescent="0.15"/>
    <row r="64572" s="76" customFormat="1" ht="21.95" customHeight="1" x14ac:dyDescent="0.15"/>
    <row r="64573" s="76" customFormat="1" ht="21.95" customHeight="1" x14ac:dyDescent="0.15"/>
    <row r="64574" s="76" customFormat="1" ht="21.95" customHeight="1" x14ac:dyDescent="0.15"/>
    <row r="64575" s="76" customFormat="1" ht="21.95" customHeight="1" x14ac:dyDescent="0.15"/>
    <row r="64576" s="76" customFormat="1" ht="21.95" customHeight="1" x14ac:dyDescent="0.15"/>
    <row r="64577" s="76" customFormat="1" ht="21.95" customHeight="1" x14ac:dyDescent="0.15"/>
    <row r="64578" s="76" customFormat="1" ht="21.95" customHeight="1" x14ac:dyDescent="0.15"/>
    <row r="64579" s="76" customFormat="1" ht="21.95" customHeight="1" x14ac:dyDescent="0.15"/>
    <row r="64580" s="76" customFormat="1" ht="21.95" customHeight="1" x14ac:dyDescent="0.15"/>
    <row r="64581" s="76" customFormat="1" ht="21.95" customHeight="1" x14ac:dyDescent="0.15"/>
    <row r="64582" s="76" customFormat="1" ht="21.95" customHeight="1" x14ac:dyDescent="0.15"/>
    <row r="64583" s="76" customFormat="1" ht="21.95" customHeight="1" x14ac:dyDescent="0.15"/>
    <row r="64584" s="76" customFormat="1" ht="21.95" customHeight="1" x14ac:dyDescent="0.15"/>
    <row r="64585" s="76" customFormat="1" ht="21.95" customHeight="1" x14ac:dyDescent="0.15"/>
    <row r="64586" s="76" customFormat="1" ht="21.95" customHeight="1" x14ac:dyDescent="0.15"/>
    <row r="64587" s="76" customFormat="1" ht="21.95" customHeight="1" x14ac:dyDescent="0.15"/>
    <row r="64588" s="76" customFormat="1" ht="21.95" customHeight="1" x14ac:dyDescent="0.15"/>
    <row r="64589" s="76" customFormat="1" ht="21.95" customHeight="1" x14ac:dyDescent="0.15"/>
    <row r="64590" s="76" customFormat="1" ht="21.95" customHeight="1" x14ac:dyDescent="0.15"/>
    <row r="64591" s="76" customFormat="1" ht="21.95" customHeight="1" x14ac:dyDescent="0.15"/>
    <row r="64592" s="76" customFormat="1" ht="21.95" customHeight="1" x14ac:dyDescent="0.15"/>
    <row r="64593" s="76" customFormat="1" ht="21.95" customHeight="1" x14ac:dyDescent="0.15"/>
    <row r="64594" s="76" customFormat="1" ht="21.95" customHeight="1" x14ac:dyDescent="0.15"/>
    <row r="64595" s="76" customFormat="1" ht="21.95" customHeight="1" x14ac:dyDescent="0.15"/>
    <row r="64596" s="76" customFormat="1" ht="21.95" customHeight="1" x14ac:dyDescent="0.15"/>
    <row r="64597" s="76" customFormat="1" ht="21.95" customHeight="1" x14ac:dyDescent="0.15"/>
    <row r="64598" s="76" customFormat="1" ht="21.95" customHeight="1" x14ac:dyDescent="0.15"/>
    <row r="64599" s="76" customFormat="1" ht="21.95" customHeight="1" x14ac:dyDescent="0.15"/>
    <row r="64600" s="76" customFormat="1" ht="21.95" customHeight="1" x14ac:dyDescent="0.15"/>
    <row r="64601" s="76" customFormat="1" ht="35.1" customHeight="1" x14ac:dyDescent="0.15"/>
    <row r="64602" s="76" customFormat="1" ht="21.95" customHeight="1" x14ac:dyDescent="0.15"/>
    <row r="64603" s="76" customFormat="1" ht="21.95" customHeight="1" x14ac:dyDescent="0.15"/>
    <row r="64604" s="76" customFormat="1" ht="21.95" customHeight="1" x14ac:dyDescent="0.15"/>
    <row r="64605" s="76" customFormat="1" ht="21.95" customHeight="1" x14ac:dyDescent="0.15"/>
    <row r="64606" s="76" customFormat="1" ht="21.95" customHeight="1" x14ac:dyDescent="0.15"/>
    <row r="64607" s="76" customFormat="1" ht="21.95" customHeight="1" x14ac:dyDescent="0.15"/>
    <row r="64608" s="76" customFormat="1" ht="21.95" customHeight="1" x14ac:dyDescent="0.15"/>
    <row r="64609" s="76" customFormat="1" ht="21.95" customHeight="1" x14ac:dyDescent="0.15"/>
    <row r="64610" s="76" customFormat="1" ht="21.95" customHeight="1" x14ac:dyDescent="0.15"/>
    <row r="64611" s="76" customFormat="1" ht="21.95" customHeight="1" x14ac:dyDescent="0.15"/>
    <row r="64612" s="76" customFormat="1" ht="21.95" customHeight="1" x14ac:dyDescent="0.15"/>
    <row r="64613" s="76" customFormat="1" ht="21.95" customHeight="1" x14ac:dyDescent="0.15"/>
    <row r="64614" s="76" customFormat="1" ht="21.95" customHeight="1" x14ac:dyDescent="0.15"/>
    <row r="64615" s="76" customFormat="1" ht="21.95" customHeight="1" x14ac:dyDescent="0.15"/>
    <row r="64616" s="76" customFormat="1" ht="21.95" customHeight="1" x14ac:dyDescent="0.15"/>
    <row r="64617" s="76" customFormat="1" ht="21.95" customHeight="1" x14ac:dyDescent="0.15"/>
    <row r="64618" s="76" customFormat="1" ht="21.95" customHeight="1" x14ac:dyDescent="0.15"/>
    <row r="64619" s="76" customFormat="1" ht="21.95" customHeight="1" x14ac:dyDescent="0.15"/>
    <row r="64620" s="76" customFormat="1" ht="21.95" customHeight="1" x14ac:dyDescent="0.15"/>
    <row r="64621" s="76" customFormat="1" ht="21.95" customHeight="1" x14ac:dyDescent="0.15"/>
    <row r="64622" s="76" customFormat="1" ht="21.95" customHeight="1" x14ac:dyDescent="0.15"/>
    <row r="64623" s="76" customFormat="1" ht="21.95" customHeight="1" x14ac:dyDescent="0.15"/>
    <row r="64624" s="76" customFormat="1" ht="21.95" customHeight="1" x14ac:dyDescent="0.15"/>
    <row r="64625" spans="3:3" customFormat="1" ht="21.95" customHeight="1" x14ac:dyDescent="0.15"/>
    <row r="64626" spans="3:3" customFormat="1" ht="21.95" customHeight="1" x14ac:dyDescent="0.15"/>
    <row r="64627" spans="3:3" customFormat="1" ht="21.95" customHeight="1" x14ac:dyDescent="0.15">
      <c r="C64627" s="94"/>
    </row>
    <row r="64628" spans="3:3" customFormat="1" ht="21.95" customHeight="1" x14ac:dyDescent="0.15">
      <c r="C64628" s="94"/>
    </row>
    <row r="64629" spans="3:3" customFormat="1" ht="21.95" customHeight="1" x14ac:dyDescent="0.15"/>
    <row r="64630" spans="3:3" customFormat="1" ht="21.95" customHeight="1" x14ac:dyDescent="0.15"/>
    <row r="64631" spans="3:3" customFormat="1" ht="21.95" customHeight="1" x14ac:dyDescent="0.15"/>
    <row r="64632" spans="3:3" customFormat="1" ht="21.95" customHeight="1" x14ac:dyDescent="0.15"/>
    <row r="64633" spans="3:3" customFormat="1" ht="21.95" customHeight="1" x14ac:dyDescent="0.15"/>
    <row r="64634" spans="3:3" customFormat="1" ht="21.95" customHeight="1" x14ac:dyDescent="0.15"/>
    <row r="64635" spans="3:3" customFormat="1" ht="21.95" customHeight="1" x14ac:dyDescent="0.15"/>
    <row r="64636" spans="3:3" s="76" customFormat="1" ht="21.95" customHeight="1" x14ac:dyDescent="0.15"/>
    <row r="64637" spans="3:3" s="76" customFormat="1" ht="21.95" customHeight="1" x14ac:dyDescent="0.15"/>
    <row r="64638" spans="3:3" s="76" customFormat="1" ht="21.95" customHeight="1" x14ac:dyDescent="0.15"/>
    <row r="64639" spans="3:3" s="76" customFormat="1" ht="21.95" customHeight="1" x14ac:dyDescent="0.15"/>
    <row r="64640" spans="3:3" customFormat="1" ht="21.95" customHeight="1" x14ac:dyDescent="0.15"/>
    <row r="64641" customFormat="1" ht="21.95" customHeight="1" x14ac:dyDescent="0.15"/>
    <row r="64642" customFormat="1" ht="21.95" customHeight="1" x14ac:dyDescent="0.15"/>
    <row r="64643" customFormat="1" ht="21.95" customHeight="1" x14ac:dyDescent="0.15"/>
    <row r="64644" customFormat="1" ht="21.95" customHeight="1" x14ac:dyDescent="0.15"/>
    <row r="64645" customFormat="1" ht="21.95" customHeight="1" x14ac:dyDescent="0.15"/>
    <row r="64646" customFormat="1" ht="21.95" customHeight="1" x14ac:dyDescent="0.15"/>
    <row r="64647" customFormat="1" ht="21.95" customHeight="1" x14ac:dyDescent="0.15"/>
    <row r="64648" customFormat="1" ht="21.95" customHeight="1" x14ac:dyDescent="0.15"/>
    <row r="64649" customFormat="1" ht="21.95" customHeight="1" x14ac:dyDescent="0.15"/>
    <row r="64650" customFormat="1" ht="21.95" customHeight="1" x14ac:dyDescent="0.15"/>
    <row r="64651" customFormat="1" ht="32.1" customHeight="1" x14ac:dyDescent="0.15"/>
    <row r="64652" customFormat="1" ht="32.1" customHeight="1" x14ac:dyDescent="0.15"/>
    <row r="64653" customFormat="1" ht="32.1" customHeight="1" x14ac:dyDescent="0.15"/>
    <row r="64654" customFormat="1" ht="32.1" customHeight="1" x14ac:dyDescent="0.15"/>
    <row r="64655" customFormat="1" ht="32.1" customHeight="1" x14ac:dyDescent="0.15"/>
    <row r="64656" customFormat="1" ht="32.1" customHeight="1" x14ac:dyDescent="0.15"/>
    <row r="64657" s="76" customFormat="1" ht="32.1" customHeight="1" x14ac:dyDescent="0.15"/>
    <row r="64658" s="76" customFormat="1" ht="32.1" customHeight="1" x14ac:dyDescent="0.15"/>
    <row r="64659" s="76" customFormat="1" ht="32.1" customHeight="1" x14ac:dyDescent="0.15"/>
    <row r="64660" s="76" customFormat="1" ht="32.1" customHeight="1" x14ac:dyDescent="0.15"/>
    <row r="64661" s="76" customFormat="1" ht="21.95" customHeight="1" x14ac:dyDescent="0.15"/>
    <row r="64662" s="76" customFormat="1" ht="54" customHeight="1" x14ac:dyDescent="0.15"/>
    <row r="64663" s="76" customFormat="1" ht="21.95" customHeight="1" x14ac:dyDescent="0.15"/>
    <row r="64664" s="76" customFormat="1" ht="21.95" customHeight="1" x14ac:dyDescent="0.15"/>
    <row r="64665" s="76" customFormat="1" ht="21.95" customHeight="1" x14ac:dyDescent="0.15"/>
    <row r="64666" s="76" customFormat="1" ht="21.95" customHeight="1" x14ac:dyDescent="0.15"/>
    <row r="64667" s="76" customFormat="1" ht="21.95" customHeight="1" x14ac:dyDescent="0.15"/>
    <row r="64668" s="76" customFormat="1" ht="21.95" customHeight="1" x14ac:dyDescent="0.15"/>
    <row r="64669" s="76" customFormat="1" ht="21.95" customHeight="1" x14ac:dyDescent="0.15"/>
    <row r="64670" s="76" customFormat="1" ht="21.95" customHeight="1" x14ac:dyDescent="0.15"/>
    <row r="64671" s="76" customFormat="1" ht="21.95" customHeight="1" x14ac:dyDescent="0.15"/>
    <row r="64672" s="76" customFormat="1" ht="21.95" customHeight="1" x14ac:dyDescent="0.15"/>
    <row r="64673" s="76" customFormat="1" ht="21.95" customHeight="1" x14ac:dyDescent="0.15"/>
    <row r="64674" s="76" customFormat="1" ht="21.95" customHeight="1" x14ac:dyDescent="0.15"/>
    <row r="64675" s="76" customFormat="1" ht="21.95" customHeight="1" x14ac:dyDescent="0.15"/>
    <row r="64676" s="76" customFormat="1" ht="21.95" customHeight="1" x14ac:dyDescent="0.15"/>
    <row r="64677" s="76" customFormat="1" ht="21.95" customHeight="1" x14ac:dyDescent="0.15"/>
    <row r="64678" s="76" customFormat="1" ht="21.95" customHeight="1" x14ac:dyDescent="0.15"/>
    <row r="64679" s="76" customFormat="1" ht="21.95" customHeight="1" x14ac:dyDescent="0.15"/>
    <row r="64680" s="76" customFormat="1" ht="21.95" customHeight="1" x14ac:dyDescent="0.15"/>
    <row r="64681" s="76" customFormat="1" ht="21.95" customHeight="1" x14ac:dyDescent="0.15"/>
    <row r="64682" s="76" customFormat="1" ht="21.95" customHeight="1" x14ac:dyDescent="0.15"/>
    <row r="64683" s="76" customFormat="1" ht="21.95" customHeight="1" x14ac:dyDescent="0.15"/>
    <row r="64684" s="76" customFormat="1" ht="21.95" customHeight="1" x14ac:dyDescent="0.15"/>
    <row r="64685" s="76" customFormat="1" ht="21.95" customHeight="1" x14ac:dyDescent="0.15"/>
    <row r="64686" s="76" customFormat="1" ht="21.95" customHeight="1" x14ac:dyDescent="0.15"/>
    <row r="64687" s="76" customFormat="1" ht="21.95" customHeight="1" x14ac:dyDescent="0.15"/>
    <row r="64688" s="76" customFormat="1" ht="21.95" customHeight="1" x14ac:dyDescent="0.15"/>
    <row r="64689" s="76" customFormat="1" ht="21.95" customHeight="1" x14ac:dyDescent="0.15"/>
    <row r="64690" s="76" customFormat="1" ht="21.95" customHeight="1" x14ac:dyDescent="0.15"/>
    <row r="64691" s="76" customFormat="1" ht="21.95" customHeight="1" x14ac:dyDescent="0.15"/>
    <row r="64692" s="76" customFormat="1" ht="21.95" customHeight="1" x14ac:dyDescent="0.15"/>
    <row r="64693" s="76" customFormat="1" ht="21.95" customHeight="1" x14ac:dyDescent="0.15"/>
    <row r="64694" s="76" customFormat="1" ht="21.95" customHeight="1" x14ac:dyDescent="0.15"/>
    <row r="64695" s="76" customFormat="1" ht="21.95" customHeight="1" x14ac:dyDescent="0.15"/>
    <row r="64696" s="76" customFormat="1" ht="21.95" customHeight="1" x14ac:dyDescent="0.15"/>
    <row r="64697" s="76" customFormat="1" ht="21.95" customHeight="1" x14ac:dyDescent="0.15"/>
    <row r="64698" s="76" customFormat="1" ht="21.95" customHeight="1" x14ac:dyDescent="0.15"/>
    <row r="64699" s="76" customFormat="1" ht="21.95" customHeight="1" x14ac:dyDescent="0.15"/>
    <row r="64700" s="76" customFormat="1" ht="21.95" customHeight="1" x14ac:dyDescent="0.15"/>
    <row r="64701" s="76" customFormat="1" ht="21.95" customHeight="1" x14ac:dyDescent="0.15"/>
    <row r="64702" s="76" customFormat="1" ht="21.95" customHeight="1" x14ac:dyDescent="0.15"/>
    <row r="64703" s="76" customFormat="1" ht="21.95" customHeight="1" x14ac:dyDescent="0.15"/>
    <row r="64704" s="76" customFormat="1" ht="21.95" customHeight="1" x14ac:dyDescent="0.15"/>
    <row r="64705" s="76" customFormat="1" ht="21.95" customHeight="1" x14ac:dyDescent="0.15"/>
    <row r="64706" s="76" customFormat="1" ht="21.95" customHeight="1" x14ac:dyDescent="0.15"/>
    <row r="64707" s="76" customFormat="1" ht="21.95" customHeight="1" x14ac:dyDescent="0.15"/>
    <row r="64708" s="76" customFormat="1" ht="21.95" customHeight="1" x14ac:dyDescent="0.15"/>
    <row r="64709" s="76" customFormat="1" ht="21.95" customHeight="1" x14ac:dyDescent="0.15"/>
    <row r="64710" s="76" customFormat="1" ht="21.95" customHeight="1" x14ac:dyDescent="0.15"/>
    <row r="64711" s="76" customFormat="1" ht="21.95" customHeight="1" x14ac:dyDescent="0.15"/>
    <row r="64712" s="76" customFormat="1" ht="21.95" customHeight="1" x14ac:dyDescent="0.15"/>
    <row r="64713" s="76" customFormat="1" ht="35.1" customHeight="1" x14ac:dyDescent="0.15"/>
    <row r="64714" s="76" customFormat="1" ht="21.95" customHeight="1" x14ac:dyDescent="0.15"/>
    <row r="64715" s="76" customFormat="1" ht="21.95" customHeight="1" x14ac:dyDescent="0.15"/>
    <row r="64716" s="76" customFormat="1" ht="21.95" customHeight="1" x14ac:dyDescent="0.15"/>
    <row r="64717" s="76" customFormat="1" ht="21.95" customHeight="1" x14ac:dyDescent="0.15"/>
    <row r="64718" s="76" customFormat="1" ht="21.95" customHeight="1" x14ac:dyDescent="0.15"/>
    <row r="64719" s="76" customFormat="1" ht="21.95" customHeight="1" x14ac:dyDescent="0.15"/>
    <row r="64720" s="76" customFormat="1" ht="21.95" customHeight="1" x14ac:dyDescent="0.15"/>
    <row r="64721" s="76" customFormat="1" ht="21.95" customHeight="1" x14ac:dyDescent="0.15"/>
    <row r="64722" s="76" customFormat="1" ht="21.95" customHeight="1" x14ac:dyDescent="0.15"/>
    <row r="64723" s="76" customFormat="1" ht="21.95" customHeight="1" x14ac:dyDescent="0.15"/>
    <row r="64724" s="76" customFormat="1" ht="21.95" customHeight="1" x14ac:dyDescent="0.15"/>
    <row r="64725" s="76" customFormat="1" ht="21.95" customHeight="1" x14ac:dyDescent="0.15"/>
    <row r="64726" s="76" customFormat="1" ht="21.95" customHeight="1" x14ac:dyDescent="0.15"/>
    <row r="64727" s="76" customFormat="1" ht="21.95" customHeight="1" x14ac:dyDescent="0.15"/>
    <row r="64728" s="76" customFormat="1" ht="21.95" customHeight="1" x14ac:dyDescent="0.15"/>
    <row r="64729" s="76" customFormat="1" ht="21.95" customHeight="1" x14ac:dyDescent="0.15"/>
    <row r="64730" s="76" customFormat="1" ht="21.95" customHeight="1" x14ac:dyDescent="0.15"/>
    <row r="64731" s="76" customFormat="1" ht="21.95" customHeight="1" x14ac:dyDescent="0.15"/>
    <row r="64732" s="76" customFormat="1" ht="21.95" customHeight="1" x14ac:dyDescent="0.15"/>
    <row r="64733" s="76" customFormat="1" ht="21.95" customHeight="1" x14ac:dyDescent="0.15"/>
    <row r="64734" s="76" customFormat="1" ht="21.95" customHeight="1" x14ac:dyDescent="0.15"/>
    <row r="64735" s="76" customFormat="1" ht="21.95" customHeight="1" x14ac:dyDescent="0.15"/>
    <row r="64736" s="76" customFormat="1" ht="21.95" customHeight="1" x14ac:dyDescent="0.15"/>
    <row r="64737" spans="3:3" customFormat="1" ht="21.95" customHeight="1" x14ac:dyDescent="0.15"/>
    <row r="64738" spans="3:3" customFormat="1" ht="21.95" customHeight="1" x14ac:dyDescent="0.15"/>
    <row r="64739" spans="3:3" customFormat="1" ht="21.95" customHeight="1" x14ac:dyDescent="0.15">
      <c r="C64739" s="94"/>
    </row>
    <row r="64740" spans="3:3" customFormat="1" ht="21.95" customHeight="1" x14ac:dyDescent="0.15">
      <c r="C64740" s="94"/>
    </row>
    <row r="64741" spans="3:3" customFormat="1" ht="21.95" customHeight="1" x14ac:dyDescent="0.15"/>
    <row r="64742" spans="3:3" customFormat="1" ht="21.95" customHeight="1" x14ac:dyDescent="0.15"/>
    <row r="64743" spans="3:3" customFormat="1" ht="21.95" customHeight="1" x14ac:dyDescent="0.15"/>
    <row r="64744" spans="3:3" customFormat="1" ht="21.95" customHeight="1" x14ac:dyDescent="0.15"/>
    <row r="64745" spans="3:3" customFormat="1" ht="21.95" customHeight="1" x14ac:dyDescent="0.15"/>
    <row r="64746" spans="3:3" customFormat="1" ht="21.95" customHeight="1" x14ac:dyDescent="0.15"/>
    <row r="64747" spans="3:3" customFormat="1" ht="21.95" customHeight="1" x14ac:dyDescent="0.15"/>
    <row r="64748" spans="3:3" s="76" customFormat="1" ht="21.95" customHeight="1" x14ac:dyDescent="0.15"/>
    <row r="64749" spans="3:3" s="76" customFormat="1" ht="21.95" customHeight="1" x14ac:dyDescent="0.15"/>
    <row r="64750" spans="3:3" s="76" customFormat="1" ht="21.95" customHeight="1" x14ac:dyDescent="0.15"/>
    <row r="64751" spans="3:3" s="76" customFormat="1" ht="21.95" customHeight="1" x14ac:dyDescent="0.15"/>
    <row r="64752" spans="3:3" customFormat="1" ht="21.95" customHeight="1" x14ac:dyDescent="0.15"/>
    <row r="64753" customFormat="1" ht="21.95" customHeight="1" x14ac:dyDescent="0.15"/>
    <row r="64754" customFormat="1" ht="21.95" customHeight="1" x14ac:dyDescent="0.15"/>
    <row r="64755" customFormat="1" ht="21.95" customHeight="1" x14ac:dyDescent="0.15"/>
    <row r="64756" customFormat="1" ht="21.95" customHeight="1" x14ac:dyDescent="0.15"/>
    <row r="64757" customFormat="1" ht="21.95" customHeight="1" x14ac:dyDescent="0.15"/>
    <row r="64758" customFormat="1" ht="21.95" customHeight="1" x14ac:dyDescent="0.15"/>
    <row r="64759" customFormat="1" ht="21.95" customHeight="1" x14ac:dyDescent="0.15"/>
    <row r="64760" customFormat="1" ht="21.95" customHeight="1" x14ac:dyDescent="0.15"/>
    <row r="64761" customFormat="1" ht="21.95" customHeight="1" x14ac:dyDescent="0.15"/>
    <row r="64762" customFormat="1" ht="21.95" customHeight="1" x14ac:dyDescent="0.15"/>
    <row r="64763" customFormat="1" ht="32.1" customHeight="1" x14ac:dyDescent="0.15"/>
    <row r="64764" customFormat="1" ht="32.1" customHeight="1" x14ac:dyDescent="0.15"/>
    <row r="64765" customFormat="1" ht="32.1" customHeight="1" x14ac:dyDescent="0.15"/>
    <row r="64766" customFormat="1" ht="32.1" customHeight="1" x14ac:dyDescent="0.15"/>
    <row r="64767" customFormat="1" ht="32.1" customHeight="1" x14ac:dyDescent="0.15"/>
    <row r="64768" customFormat="1" ht="32.1" customHeight="1" x14ac:dyDescent="0.15"/>
    <row r="64769" s="76" customFormat="1" ht="32.1" customHeight="1" x14ac:dyDescent="0.15"/>
    <row r="64770" s="76" customFormat="1" ht="32.1" customHeight="1" x14ac:dyDescent="0.15"/>
    <row r="64771" s="76" customFormat="1" ht="32.1" customHeight="1" x14ac:dyDescent="0.15"/>
    <row r="64772" s="76" customFormat="1" ht="32.1" customHeight="1" x14ac:dyDescent="0.15"/>
    <row r="64773" s="76" customFormat="1" ht="21.95" customHeight="1" x14ac:dyDescent="0.15"/>
    <row r="64774" s="76" customFormat="1" ht="54" customHeight="1" x14ac:dyDescent="0.15"/>
    <row r="64775" s="76" customFormat="1" ht="21.95" customHeight="1" x14ac:dyDescent="0.15"/>
    <row r="64776" s="76" customFormat="1" ht="21.95" customHeight="1" x14ac:dyDescent="0.15"/>
    <row r="64777" s="76" customFormat="1" ht="21.95" customHeight="1" x14ac:dyDescent="0.15"/>
    <row r="64778" s="76" customFormat="1" ht="21.95" customHeight="1" x14ac:dyDescent="0.15"/>
    <row r="64779" s="76" customFormat="1" ht="21.95" customHeight="1" x14ac:dyDescent="0.15"/>
    <row r="64780" s="76" customFormat="1" ht="21.95" customHeight="1" x14ac:dyDescent="0.15"/>
    <row r="64781" s="76" customFormat="1" ht="21.95" customHeight="1" x14ac:dyDescent="0.15"/>
    <row r="64782" s="76" customFormat="1" ht="21.95" customHeight="1" x14ac:dyDescent="0.15"/>
    <row r="64783" s="76" customFormat="1" ht="21.95" customHeight="1" x14ac:dyDescent="0.15"/>
    <row r="64784" s="76" customFormat="1" ht="21.95" customHeight="1" x14ac:dyDescent="0.15"/>
    <row r="64785" s="76" customFormat="1" ht="21.95" customHeight="1" x14ac:dyDescent="0.15"/>
    <row r="64786" s="76" customFormat="1" ht="21.95" customHeight="1" x14ac:dyDescent="0.15"/>
    <row r="64787" s="76" customFormat="1" ht="21.95" customHeight="1" x14ac:dyDescent="0.15"/>
    <row r="64788" s="76" customFormat="1" ht="21.95" customHeight="1" x14ac:dyDescent="0.15"/>
    <row r="64789" s="76" customFormat="1" ht="21.95" customHeight="1" x14ac:dyDescent="0.15"/>
    <row r="64790" s="76" customFormat="1" ht="21.95" customHeight="1" x14ac:dyDescent="0.15"/>
    <row r="64791" s="76" customFormat="1" ht="21.95" customHeight="1" x14ac:dyDescent="0.15"/>
    <row r="64792" s="76" customFormat="1" ht="21.95" customHeight="1" x14ac:dyDescent="0.15"/>
    <row r="64793" s="76" customFormat="1" ht="21.95" customHeight="1" x14ac:dyDescent="0.15"/>
    <row r="64794" s="76" customFormat="1" ht="21.95" customHeight="1" x14ac:dyDescent="0.15"/>
    <row r="64795" s="76" customFormat="1" ht="21.95" customHeight="1" x14ac:dyDescent="0.15"/>
    <row r="64796" s="76" customFormat="1" ht="21.95" customHeight="1" x14ac:dyDescent="0.15"/>
    <row r="64797" s="76" customFormat="1" ht="21.95" customHeight="1" x14ac:dyDescent="0.15"/>
    <row r="64798" s="76" customFormat="1" ht="21.95" customHeight="1" x14ac:dyDescent="0.15"/>
    <row r="64799" s="76" customFormat="1" ht="21.95" customHeight="1" x14ac:dyDescent="0.15"/>
    <row r="64800" s="76" customFormat="1" ht="21.95" customHeight="1" x14ac:dyDescent="0.15"/>
    <row r="64801" s="76" customFormat="1" ht="21.95" customHeight="1" x14ac:dyDescent="0.15"/>
    <row r="64802" s="76" customFormat="1" ht="21.95" customHeight="1" x14ac:dyDescent="0.15"/>
    <row r="64803" s="76" customFormat="1" ht="21.95" customHeight="1" x14ac:dyDescent="0.15"/>
    <row r="64804" s="76" customFormat="1" ht="21.95" customHeight="1" x14ac:dyDescent="0.15"/>
    <row r="64805" s="76" customFormat="1" ht="21.95" customHeight="1" x14ac:dyDescent="0.15"/>
    <row r="64806" s="76" customFormat="1" ht="21.95" customHeight="1" x14ac:dyDescent="0.15"/>
    <row r="64807" s="76" customFormat="1" ht="21.95" customHeight="1" x14ac:dyDescent="0.15"/>
    <row r="64808" s="76" customFormat="1" ht="21.95" customHeight="1" x14ac:dyDescent="0.15"/>
    <row r="64809" s="76" customFormat="1" ht="21.95" customHeight="1" x14ac:dyDescent="0.15"/>
    <row r="64810" s="76" customFormat="1" ht="21.95" customHeight="1" x14ac:dyDescent="0.15"/>
    <row r="64811" s="76" customFormat="1" ht="21.95" customHeight="1" x14ac:dyDescent="0.15"/>
    <row r="64812" s="76" customFormat="1" ht="21.95" customHeight="1" x14ac:dyDescent="0.15"/>
    <row r="64813" s="76" customFormat="1" ht="21.95" customHeight="1" x14ac:dyDescent="0.15"/>
    <row r="64814" s="76" customFormat="1" ht="21.95" customHeight="1" x14ac:dyDescent="0.15"/>
    <row r="64815" s="76" customFormat="1" ht="21.95" customHeight="1" x14ac:dyDescent="0.15"/>
    <row r="64816" s="76" customFormat="1" ht="21.95" customHeight="1" x14ac:dyDescent="0.15"/>
    <row r="64817" s="76" customFormat="1" ht="21.95" customHeight="1" x14ac:dyDescent="0.15"/>
    <row r="64818" s="76" customFormat="1" ht="21.95" customHeight="1" x14ac:dyDescent="0.15"/>
    <row r="64819" s="76" customFormat="1" ht="21.95" customHeight="1" x14ac:dyDescent="0.15"/>
    <row r="64820" s="76" customFormat="1" ht="21.95" customHeight="1" x14ac:dyDescent="0.15"/>
    <row r="64821" s="76" customFormat="1" ht="21.95" customHeight="1" x14ac:dyDescent="0.15"/>
    <row r="64822" s="76" customFormat="1" ht="21.95" customHeight="1" x14ac:dyDescent="0.15"/>
    <row r="64823" s="76" customFormat="1" ht="21.95" customHeight="1" x14ac:dyDescent="0.15"/>
    <row r="64824" s="76" customFormat="1" ht="21.95" customHeight="1" x14ac:dyDescent="0.15"/>
    <row r="64825" s="76" customFormat="1" ht="35.1" customHeight="1" x14ac:dyDescent="0.15"/>
    <row r="64826" s="76" customFormat="1" ht="21.95" customHeight="1" x14ac:dyDescent="0.15"/>
    <row r="64827" s="76" customFormat="1" ht="21.95" customHeight="1" x14ac:dyDescent="0.15"/>
    <row r="64828" s="76" customFormat="1" ht="21.95" customHeight="1" x14ac:dyDescent="0.15"/>
    <row r="64829" s="76" customFormat="1" ht="21.95" customHeight="1" x14ac:dyDescent="0.15"/>
    <row r="64830" s="76" customFormat="1" ht="21.95" customHeight="1" x14ac:dyDescent="0.15"/>
    <row r="64831" s="76" customFormat="1" ht="21.95" customHeight="1" x14ac:dyDescent="0.15"/>
    <row r="64832" s="76" customFormat="1" ht="21.95" customHeight="1" x14ac:dyDescent="0.15"/>
    <row r="64833" s="76" customFormat="1" ht="21.95" customHeight="1" x14ac:dyDescent="0.15"/>
    <row r="64834" s="76" customFormat="1" ht="21.95" customHeight="1" x14ac:dyDescent="0.15"/>
    <row r="64835" s="76" customFormat="1" ht="21.95" customHeight="1" x14ac:dyDescent="0.15"/>
    <row r="64836" s="76" customFormat="1" ht="21.95" customHeight="1" x14ac:dyDescent="0.15"/>
    <row r="64837" s="76" customFormat="1" ht="21.95" customHeight="1" x14ac:dyDescent="0.15"/>
    <row r="64838" s="76" customFormat="1" ht="21.95" customHeight="1" x14ac:dyDescent="0.15"/>
    <row r="64839" s="76" customFormat="1" ht="21.95" customHeight="1" x14ac:dyDescent="0.15"/>
    <row r="64840" s="76" customFormat="1" ht="21.95" customHeight="1" x14ac:dyDescent="0.15"/>
    <row r="64841" s="76" customFormat="1" ht="21.95" customHeight="1" x14ac:dyDescent="0.15"/>
    <row r="64842" s="76" customFormat="1" ht="21.95" customHeight="1" x14ac:dyDescent="0.15"/>
    <row r="64843" s="76" customFormat="1" ht="21.95" customHeight="1" x14ac:dyDescent="0.15"/>
    <row r="64844" s="76" customFormat="1" ht="21.95" customHeight="1" x14ac:dyDescent="0.15"/>
    <row r="64845" s="76" customFormat="1" ht="21.95" customHeight="1" x14ac:dyDescent="0.15"/>
    <row r="64846" s="76" customFormat="1" ht="21.95" customHeight="1" x14ac:dyDescent="0.15"/>
    <row r="64847" s="76" customFormat="1" ht="21.95" customHeight="1" x14ac:dyDescent="0.15"/>
    <row r="64848" s="76" customFormat="1" ht="21.95" customHeight="1" x14ac:dyDescent="0.15"/>
    <row r="64849" spans="3:3" customFormat="1" ht="21.95" customHeight="1" x14ac:dyDescent="0.15"/>
    <row r="64850" spans="3:3" customFormat="1" ht="21.95" customHeight="1" x14ac:dyDescent="0.15"/>
    <row r="64851" spans="3:3" customFormat="1" ht="21.95" customHeight="1" x14ac:dyDescent="0.15">
      <c r="C64851" s="94"/>
    </row>
    <row r="64852" spans="3:3" customFormat="1" ht="21.95" customHeight="1" x14ac:dyDescent="0.15">
      <c r="C64852" s="94"/>
    </row>
    <row r="64853" spans="3:3" customFormat="1" ht="21.95" customHeight="1" x14ac:dyDescent="0.15"/>
    <row r="64854" spans="3:3" customFormat="1" ht="21.95" customHeight="1" x14ac:dyDescent="0.15"/>
    <row r="64855" spans="3:3" customFormat="1" ht="21.95" customHeight="1" x14ac:dyDescent="0.15"/>
    <row r="64856" spans="3:3" customFormat="1" ht="21.95" customHeight="1" x14ac:dyDescent="0.15"/>
    <row r="64857" spans="3:3" customFormat="1" ht="21.95" customHeight="1" x14ac:dyDescent="0.15"/>
    <row r="64858" spans="3:3" customFormat="1" ht="21.95" customHeight="1" x14ac:dyDescent="0.15"/>
    <row r="64859" spans="3:3" customFormat="1" ht="21.95" customHeight="1" x14ac:dyDescent="0.15"/>
    <row r="64860" spans="3:3" s="76" customFormat="1" ht="21.95" customHeight="1" x14ac:dyDescent="0.15"/>
    <row r="64861" spans="3:3" s="76" customFormat="1" ht="21.95" customHeight="1" x14ac:dyDescent="0.15"/>
    <row r="64862" spans="3:3" s="76" customFormat="1" ht="21.95" customHeight="1" x14ac:dyDescent="0.15"/>
    <row r="64863" spans="3:3" s="76" customFormat="1" ht="21.95" customHeight="1" x14ac:dyDescent="0.15"/>
    <row r="64864" spans="3:3" customFormat="1" ht="21.95" customHeight="1" x14ac:dyDescent="0.15"/>
    <row r="64865" customFormat="1" ht="21.95" customHeight="1" x14ac:dyDescent="0.15"/>
    <row r="64866" customFormat="1" ht="21.95" customHeight="1" x14ac:dyDescent="0.15"/>
    <row r="64867" customFormat="1" ht="21.95" customHeight="1" x14ac:dyDescent="0.15"/>
    <row r="64868" customFormat="1" ht="21.95" customHeight="1" x14ac:dyDescent="0.15"/>
    <row r="64869" customFormat="1" ht="21.95" customHeight="1" x14ac:dyDescent="0.15"/>
    <row r="64870" customFormat="1" ht="21.95" customHeight="1" x14ac:dyDescent="0.15"/>
    <row r="64871" customFormat="1" ht="21.95" customHeight="1" x14ac:dyDescent="0.15"/>
    <row r="64872" customFormat="1" ht="21.95" customHeight="1" x14ac:dyDescent="0.15"/>
    <row r="64873" customFormat="1" ht="21.95" customHeight="1" x14ac:dyDescent="0.15"/>
    <row r="64874" customFormat="1" ht="21.95" customHeight="1" x14ac:dyDescent="0.15"/>
    <row r="64875" customFormat="1" ht="32.1" customHeight="1" x14ac:dyDescent="0.15"/>
    <row r="64876" customFormat="1" ht="32.1" customHeight="1" x14ac:dyDescent="0.15"/>
    <row r="64877" customFormat="1" ht="32.1" customHeight="1" x14ac:dyDescent="0.15"/>
    <row r="64878" customFormat="1" ht="32.1" customHeight="1" x14ac:dyDescent="0.15"/>
    <row r="64879" customFormat="1" ht="32.1" customHeight="1" x14ac:dyDescent="0.15"/>
    <row r="64880" customFormat="1" ht="32.1" customHeight="1" x14ac:dyDescent="0.15"/>
    <row r="64881" s="76" customFormat="1" ht="32.1" customHeight="1" x14ac:dyDescent="0.15"/>
    <row r="64882" s="76" customFormat="1" ht="32.1" customHeight="1" x14ac:dyDescent="0.15"/>
    <row r="64883" s="76" customFormat="1" ht="32.1" customHeight="1" x14ac:dyDescent="0.15"/>
    <row r="64884" s="76" customFormat="1" ht="32.1" customHeight="1" x14ac:dyDescent="0.15"/>
    <row r="64885" s="76" customFormat="1" ht="21.95" customHeight="1" x14ac:dyDescent="0.15"/>
    <row r="64886" s="76" customFormat="1" ht="54" customHeight="1" x14ac:dyDescent="0.15"/>
    <row r="64887" s="76" customFormat="1" ht="21.95" customHeight="1" x14ac:dyDescent="0.15"/>
    <row r="64888" s="76" customFormat="1" ht="21.95" customHeight="1" x14ac:dyDescent="0.15"/>
    <row r="64889" s="76" customFormat="1" ht="21.95" customHeight="1" x14ac:dyDescent="0.15"/>
    <row r="64890" s="76" customFormat="1" ht="21.95" customHeight="1" x14ac:dyDescent="0.15"/>
    <row r="64891" s="76" customFormat="1" ht="21.95" customHeight="1" x14ac:dyDescent="0.15"/>
    <row r="64892" s="76" customFormat="1" ht="21.95" customHeight="1" x14ac:dyDescent="0.15"/>
    <row r="64893" s="76" customFormat="1" ht="21.95" customHeight="1" x14ac:dyDescent="0.15"/>
    <row r="64894" s="76" customFormat="1" ht="21.95" customHeight="1" x14ac:dyDescent="0.15"/>
    <row r="64895" s="76" customFormat="1" ht="21.95" customHeight="1" x14ac:dyDescent="0.15"/>
    <row r="64896" s="76" customFormat="1" ht="21.95" customHeight="1" x14ac:dyDescent="0.15"/>
    <row r="64897" s="76" customFormat="1" ht="21.95" customHeight="1" x14ac:dyDescent="0.15"/>
    <row r="64898" s="76" customFormat="1" ht="21.95" customHeight="1" x14ac:dyDescent="0.15"/>
    <row r="64899" s="76" customFormat="1" ht="21.95" customHeight="1" x14ac:dyDescent="0.15"/>
    <row r="64900" s="76" customFormat="1" ht="21.95" customHeight="1" x14ac:dyDescent="0.15"/>
    <row r="64901" s="76" customFormat="1" ht="21.95" customHeight="1" x14ac:dyDescent="0.15"/>
    <row r="64902" s="76" customFormat="1" ht="21.95" customHeight="1" x14ac:dyDescent="0.15"/>
    <row r="64903" s="76" customFormat="1" ht="21.95" customHeight="1" x14ac:dyDescent="0.15"/>
    <row r="64904" s="76" customFormat="1" ht="21.95" customHeight="1" x14ac:dyDescent="0.15"/>
    <row r="64905" s="76" customFormat="1" ht="21.95" customHeight="1" x14ac:dyDescent="0.15"/>
    <row r="64906" s="76" customFormat="1" ht="21.95" customHeight="1" x14ac:dyDescent="0.15"/>
    <row r="64907" s="76" customFormat="1" ht="21.95" customHeight="1" x14ac:dyDescent="0.15"/>
    <row r="64908" s="76" customFormat="1" ht="21.95" customHeight="1" x14ac:dyDescent="0.15"/>
    <row r="64909" s="76" customFormat="1" ht="21.95" customHeight="1" x14ac:dyDescent="0.15"/>
    <row r="64910" s="76" customFormat="1" ht="21.95" customHeight="1" x14ac:dyDescent="0.15"/>
    <row r="64911" s="76" customFormat="1" ht="21.95" customHeight="1" x14ac:dyDescent="0.15"/>
    <row r="64912" s="76" customFormat="1" ht="21.95" customHeight="1" x14ac:dyDescent="0.15"/>
    <row r="64913" s="76" customFormat="1" ht="21.95" customHeight="1" x14ac:dyDescent="0.15"/>
    <row r="64914" s="76" customFormat="1" ht="21.95" customHeight="1" x14ac:dyDescent="0.15"/>
    <row r="64915" s="76" customFormat="1" ht="21.95" customHeight="1" x14ac:dyDescent="0.15"/>
    <row r="64916" s="76" customFormat="1" ht="21.95" customHeight="1" x14ac:dyDescent="0.15"/>
    <row r="64917" s="76" customFormat="1" ht="21.95" customHeight="1" x14ac:dyDescent="0.15"/>
    <row r="64918" s="76" customFormat="1" ht="21.95" customHeight="1" x14ac:dyDescent="0.15"/>
    <row r="64919" s="76" customFormat="1" ht="21.95" customHeight="1" x14ac:dyDescent="0.15"/>
    <row r="64920" s="76" customFormat="1" ht="21.95" customHeight="1" x14ac:dyDescent="0.15"/>
    <row r="64921" s="76" customFormat="1" ht="21.95" customHeight="1" x14ac:dyDescent="0.15"/>
    <row r="64922" s="76" customFormat="1" ht="21.95" customHeight="1" x14ac:dyDescent="0.15"/>
    <row r="64923" s="76" customFormat="1" ht="21.95" customHeight="1" x14ac:dyDescent="0.15"/>
    <row r="64924" s="76" customFormat="1" ht="21.95" customHeight="1" x14ac:dyDescent="0.15"/>
    <row r="64925" s="76" customFormat="1" ht="21.95" customHeight="1" x14ac:dyDescent="0.15"/>
    <row r="64926" s="76" customFormat="1" ht="21.95" customHeight="1" x14ac:dyDescent="0.15"/>
    <row r="64927" s="76" customFormat="1" ht="21.95" customHeight="1" x14ac:dyDescent="0.15"/>
    <row r="64928" s="76" customFormat="1" ht="21.95" customHeight="1" x14ac:dyDescent="0.15"/>
    <row r="64929" s="76" customFormat="1" ht="21.95" customHeight="1" x14ac:dyDescent="0.15"/>
    <row r="64930" s="76" customFormat="1" ht="21.95" customHeight="1" x14ac:dyDescent="0.15"/>
    <row r="64931" s="76" customFormat="1" ht="21.95" customHeight="1" x14ac:dyDescent="0.15"/>
    <row r="64932" s="76" customFormat="1" ht="21.95" customHeight="1" x14ac:dyDescent="0.15"/>
    <row r="64933" s="76" customFormat="1" ht="21.95" customHeight="1" x14ac:dyDescent="0.15"/>
    <row r="64934" s="76" customFormat="1" ht="21.95" customHeight="1" x14ac:dyDescent="0.15"/>
    <row r="64935" s="76" customFormat="1" ht="21.95" customHeight="1" x14ac:dyDescent="0.15"/>
    <row r="64936" s="76" customFormat="1" ht="21.95" customHeight="1" x14ac:dyDescent="0.15"/>
    <row r="64937" s="76" customFormat="1" ht="35.1" customHeight="1" x14ac:dyDescent="0.15"/>
    <row r="64938" s="76" customFormat="1" ht="21.95" customHeight="1" x14ac:dyDescent="0.15"/>
    <row r="64939" s="76" customFormat="1" ht="21.95" customHeight="1" x14ac:dyDescent="0.15"/>
    <row r="64940" s="76" customFormat="1" ht="21.95" customHeight="1" x14ac:dyDescent="0.15"/>
    <row r="64941" s="76" customFormat="1" ht="21.95" customHeight="1" x14ac:dyDescent="0.15"/>
    <row r="64942" s="76" customFormat="1" ht="21.95" customHeight="1" x14ac:dyDescent="0.15"/>
    <row r="64943" s="76" customFormat="1" ht="21.95" customHeight="1" x14ac:dyDescent="0.15"/>
    <row r="64944" s="76" customFormat="1" ht="21.95" customHeight="1" x14ac:dyDescent="0.15"/>
    <row r="64945" s="76" customFormat="1" ht="21.95" customHeight="1" x14ac:dyDescent="0.15"/>
    <row r="64946" s="76" customFormat="1" ht="21.95" customHeight="1" x14ac:dyDescent="0.15"/>
    <row r="64947" s="76" customFormat="1" ht="21.95" customHeight="1" x14ac:dyDescent="0.15"/>
    <row r="64948" s="76" customFormat="1" ht="21.95" customHeight="1" x14ac:dyDescent="0.15"/>
    <row r="64949" s="76" customFormat="1" ht="21.95" customHeight="1" x14ac:dyDescent="0.15"/>
    <row r="64950" s="76" customFormat="1" ht="21.95" customHeight="1" x14ac:dyDescent="0.15"/>
    <row r="64951" s="76" customFormat="1" ht="21.95" customHeight="1" x14ac:dyDescent="0.15"/>
    <row r="64952" s="76" customFormat="1" ht="21.95" customHeight="1" x14ac:dyDescent="0.15"/>
    <row r="64953" s="76" customFormat="1" ht="21.95" customHeight="1" x14ac:dyDescent="0.15"/>
    <row r="64954" s="76" customFormat="1" ht="21.95" customHeight="1" x14ac:dyDescent="0.15"/>
    <row r="64955" s="76" customFormat="1" ht="21.95" customHeight="1" x14ac:dyDescent="0.15"/>
    <row r="64956" s="76" customFormat="1" ht="21.95" customHeight="1" x14ac:dyDescent="0.15"/>
    <row r="64957" s="76" customFormat="1" ht="21.95" customHeight="1" x14ac:dyDescent="0.15"/>
    <row r="64958" s="76" customFormat="1" ht="21.95" customHeight="1" x14ac:dyDescent="0.15"/>
    <row r="64959" s="76" customFormat="1" ht="21.95" customHeight="1" x14ac:dyDescent="0.15"/>
    <row r="64960" s="76" customFormat="1" ht="21.95" customHeight="1" x14ac:dyDescent="0.15"/>
    <row r="64961" spans="3:3" customFormat="1" ht="21.95" customHeight="1" x14ac:dyDescent="0.15"/>
    <row r="64962" spans="3:3" customFormat="1" ht="21.95" customHeight="1" x14ac:dyDescent="0.15"/>
    <row r="64963" spans="3:3" customFormat="1" ht="21.95" customHeight="1" x14ac:dyDescent="0.15">
      <c r="C64963" s="94"/>
    </row>
    <row r="64964" spans="3:3" customFormat="1" ht="21.95" customHeight="1" x14ac:dyDescent="0.15">
      <c r="C64964" s="94"/>
    </row>
    <row r="64965" spans="3:3" customFormat="1" ht="21.95" customHeight="1" x14ac:dyDescent="0.15"/>
    <row r="64966" spans="3:3" customFormat="1" ht="21.95" customHeight="1" x14ac:dyDescent="0.15"/>
    <row r="64967" spans="3:3" customFormat="1" ht="21.95" customHeight="1" x14ac:dyDescent="0.15"/>
    <row r="64968" spans="3:3" customFormat="1" ht="21.95" customHeight="1" x14ac:dyDescent="0.15"/>
    <row r="64969" spans="3:3" customFormat="1" ht="21.95" customHeight="1" x14ac:dyDescent="0.15"/>
    <row r="64970" spans="3:3" customFormat="1" ht="21.95" customHeight="1" x14ac:dyDescent="0.15"/>
    <row r="64971" spans="3:3" customFormat="1" ht="21.95" customHeight="1" x14ac:dyDescent="0.15"/>
    <row r="64972" spans="3:3" s="76" customFormat="1" ht="21.95" customHeight="1" x14ac:dyDescent="0.15"/>
    <row r="64973" spans="3:3" s="76" customFormat="1" ht="21.95" customHeight="1" x14ac:dyDescent="0.15"/>
    <row r="64974" spans="3:3" s="76" customFormat="1" ht="21.95" customHeight="1" x14ac:dyDescent="0.15"/>
    <row r="64975" spans="3:3" s="76" customFormat="1" ht="21.95" customHeight="1" x14ac:dyDescent="0.15"/>
    <row r="64976" spans="3:3" customFormat="1" ht="21.95" customHeight="1" x14ac:dyDescent="0.15"/>
    <row r="64977" customFormat="1" ht="21.95" customHeight="1" x14ac:dyDescent="0.15"/>
    <row r="64978" customFormat="1" ht="21.95" customHeight="1" x14ac:dyDescent="0.15"/>
    <row r="64979" customFormat="1" ht="21.95" customHeight="1" x14ac:dyDescent="0.15"/>
    <row r="64980" customFormat="1" ht="21.95" customHeight="1" x14ac:dyDescent="0.15"/>
    <row r="64981" customFormat="1" ht="21.95" customHeight="1" x14ac:dyDescent="0.15"/>
    <row r="64982" customFormat="1" ht="21.95" customHeight="1" x14ac:dyDescent="0.15"/>
    <row r="64983" customFormat="1" ht="21.95" customHeight="1" x14ac:dyDescent="0.15"/>
    <row r="64984" customFormat="1" ht="21.95" customHeight="1" x14ac:dyDescent="0.15"/>
    <row r="64985" customFormat="1" ht="21.95" customHeight="1" x14ac:dyDescent="0.15"/>
    <row r="64986" customFormat="1" ht="21.95" customHeight="1" x14ac:dyDescent="0.15"/>
    <row r="64987" customFormat="1" ht="32.1" customHeight="1" x14ac:dyDescent="0.15"/>
    <row r="64988" customFormat="1" ht="32.1" customHeight="1" x14ac:dyDescent="0.15"/>
    <row r="64989" customFormat="1" ht="32.1" customHeight="1" x14ac:dyDescent="0.15"/>
    <row r="64990" customFormat="1" ht="32.1" customHeight="1" x14ac:dyDescent="0.15"/>
    <row r="64991" customFormat="1" ht="32.1" customHeight="1" x14ac:dyDescent="0.15"/>
    <row r="64992" customFormat="1" ht="32.1" customHeight="1" x14ac:dyDescent="0.15"/>
    <row r="64993" s="76" customFormat="1" ht="32.1" customHeight="1" x14ac:dyDescent="0.15"/>
    <row r="64994" s="76" customFormat="1" ht="32.1" customHeight="1" x14ac:dyDescent="0.15"/>
    <row r="64995" s="76" customFormat="1" ht="32.1" customHeight="1" x14ac:dyDescent="0.15"/>
    <row r="64996" s="76" customFormat="1" ht="32.1" customHeight="1" x14ac:dyDescent="0.15"/>
    <row r="64997" s="76" customFormat="1" ht="21.95" customHeight="1" x14ac:dyDescent="0.15"/>
    <row r="64998" s="76" customFormat="1" ht="54" customHeight="1" x14ac:dyDescent="0.15"/>
    <row r="64999" s="76" customFormat="1" ht="21.95" customHeight="1" x14ac:dyDescent="0.15"/>
    <row r="65000" s="76" customFormat="1" ht="21.95" customHeight="1" x14ac:dyDescent="0.15"/>
    <row r="65001" s="76" customFormat="1" ht="21.95" customHeight="1" x14ac:dyDescent="0.15"/>
    <row r="65002" s="76" customFormat="1" ht="21.95" customHeight="1" x14ac:dyDescent="0.15"/>
    <row r="65003" s="76" customFormat="1" ht="21.95" customHeight="1" x14ac:dyDescent="0.15"/>
    <row r="65004" s="76" customFormat="1" ht="21.95" customHeight="1" x14ac:dyDescent="0.15"/>
    <row r="65005" s="76" customFormat="1" ht="21.95" customHeight="1" x14ac:dyDescent="0.15"/>
    <row r="65006" s="76" customFormat="1" ht="21.95" customHeight="1" x14ac:dyDescent="0.15"/>
    <row r="65007" s="76" customFormat="1" ht="21.95" customHeight="1" x14ac:dyDescent="0.15"/>
    <row r="65008" s="76" customFormat="1" ht="21.95" customHeight="1" x14ac:dyDescent="0.15"/>
    <row r="65009" s="76" customFormat="1" ht="21.95" customHeight="1" x14ac:dyDescent="0.15"/>
    <row r="65010" s="76" customFormat="1" ht="21.95" customHeight="1" x14ac:dyDescent="0.15"/>
    <row r="65011" s="76" customFormat="1" ht="21.95" customHeight="1" x14ac:dyDescent="0.15"/>
    <row r="65012" s="76" customFormat="1" ht="21.95" customHeight="1" x14ac:dyDescent="0.15"/>
    <row r="65013" s="76" customFormat="1" ht="21.95" customHeight="1" x14ac:dyDescent="0.15"/>
    <row r="65014" s="76" customFormat="1" ht="21.95" customHeight="1" x14ac:dyDescent="0.15"/>
    <row r="65015" s="76" customFormat="1" ht="21.95" customHeight="1" x14ac:dyDescent="0.15"/>
    <row r="65016" s="76" customFormat="1" ht="21.95" customHeight="1" x14ac:dyDescent="0.15"/>
    <row r="65017" s="76" customFormat="1" ht="21.95" customHeight="1" x14ac:dyDescent="0.15"/>
    <row r="65018" s="76" customFormat="1" ht="21.95" customHeight="1" x14ac:dyDescent="0.15"/>
    <row r="65019" s="76" customFormat="1" ht="21.95" customHeight="1" x14ac:dyDescent="0.15"/>
    <row r="65020" s="76" customFormat="1" ht="21.95" customHeight="1" x14ac:dyDescent="0.15"/>
    <row r="65021" s="76" customFormat="1" ht="21.95" customHeight="1" x14ac:dyDescent="0.15"/>
    <row r="65022" s="76" customFormat="1" ht="21.95" customHeight="1" x14ac:dyDescent="0.15"/>
    <row r="65023" s="76" customFormat="1" ht="21.95" customHeight="1" x14ac:dyDescent="0.15"/>
    <row r="65024" s="76" customFormat="1" ht="21.95" customHeight="1" x14ac:dyDescent="0.15"/>
    <row r="65025" s="76" customFormat="1" ht="21.95" customHeight="1" x14ac:dyDescent="0.15"/>
    <row r="65026" s="76" customFormat="1" ht="21.95" customHeight="1" x14ac:dyDescent="0.15"/>
    <row r="65027" s="76" customFormat="1" ht="21.95" customHeight="1" x14ac:dyDescent="0.15"/>
    <row r="65028" s="76" customFormat="1" ht="21.95" customHeight="1" x14ac:dyDescent="0.15"/>
    <row r="65029" s="76" customFormat="1" ht="21.95" customHeight="1" x14ac:dyDescent="0.15"/>
    <row r="65030" s="76" customFormat="1" ht="21.95" customHeight="1" x14ac:dyDescent="0.15"/>
    <row r="65031" s="76" customFormat="1" ht="21.95" customHeight="1" x14ac:dyDescent="0.15"/>
    <row r="65032" s="76" customFormat="1" ht="21.95" customHeight="1" x14ac:dyDescent="0.15"/>
    <row r="65033" s="76" customFormat="1" ht="21.95" customHeight="1" x14ac:dyDescent="0.15"/>
    <row r="65034" s="76" customFormat="1" ht="21.95" customHeight="1" x14ac:dyDescent="0.15"/>
    <row r="65035" s="76" customFormat="1" ht="21.95" customHeight="1" x14ac:dyDescent="0.15"/>
    <row r="65036" s="76" customFormat="1" ht="21.95" customHeight="1" x14ac:dyDescent="0.15"/>
    <row r="65037" s="76" customFormat="1" ht="21.95" customHeight="1" x14ac:dyDescent="0.15"/>
    <row r="65038" s="76" customFormat="1" ht="21.95" customHeight="1" x14ac:dyDescent="0.15"/>
    <row r="65039" s="76" customFormat="1" ht="21.95" customHeight="1" x14ac:dyDescent="0.15"/>
    <row r="65040" s="76" customFormat="1" ht="21.95" customHeight="1" x14ac:dyDescent="0.15"/>
    <row r="65041" s="76" customFormat="1" ht="21.95" customHeight="1" x14ac:dyDescent="0.15"/>
    <row r="65042" s="76" customFormat="1" ht="21.95" customHeight="1" x14ac:dyDescent="0.15"/>
    <row r="65043" s="76" customFormat="1" ht="21.95" customHeight="1" x14ac:dyDescent="0.15"/>
    <row r="65044" s="76" customFormat="1" ht="21.95" customHeight="1" x14ac:dyDescent="0.15"/>
    <row r="65045" s="76" customFormat="1" ht="21.95" customHeight="1" x14ac:dyDescent="0.15"/>
    <row r="65046" s="76" customFormat="1" ht="21.95" customHeight="1" x14ac:dyDescent="0.15"/>
    <row r="65047" s="76" customFormat="1" ht="21.95" customHeight="1" x14ac:dyDescent="0.15"/>
    <row r="65048" s="76" customFormat="1" ht="21.95" customHeight="1" x14ac:dyDescent="0.15"/>
    <row r="65049" s="76" customFormat="1" ht="35.1" customHeight="1" x14ac:dyDescent="0.15"/>
    <row r="65050" s="76" customFormat="1" ht="21.95" customHeight="1" x14ac:dyDescent="0.15"/>
    <row r="65051" s="76" customFormat="1" ht="21.95" customHeight="1" x14ac:dyDescent="0.15"/>
    <row r="65052" s="76" customFormat="1" ht="21.95" customHeight="1" x14ac:dyDescent="0.15"/>
    <row r="65053" s="76" customFormat="1" ht="21.95" customHeight="1" x14ac:dyDescent="0.15"/>
    <row r="65054" s="76" customFormat="1" ht="21.95" customHeight="1" x14ac:dyDescent="0.15"/>
    <row r="65055" s="76" customFormat="1" ht="21.95" customHeight="1" x14ac:dyDescent="0.15"/>
    <row r="65056" s="76" customFormat="1" ht="21.95" customHeight="1" x14ac:dyDescent="0.15"/>
    <row r="65057" s="76" customFormat="1" ht="21.95" customHeight="1" x14ac:dyDescent="0.15"/>
    <row r="65058" s="76" customFormat="1" ht="21.95" customHeight="1" x14ac:dyDescent="0.15"/>
    <row r="65059" s="76" customFormat="1" ht="21.95" customHeight="1" x14ac:dyDescent="0.15"/>
    <row r="65060" s="76" customFormat="1" ht="21.95" customHeight="1" x14ac:dyDescent="0.15"/>
    <row r="65061" s="76" customFormat="1" ht="21.95" customHeight="1" x14ac:dyDescent="0.15"/>
    <row r="65062" s="76" customFormat="1" ht="21.95" customHeight="1" x14ac:dyDescent="0.15"/>
    <row r="65063" s="76" customFormat="1" ht="21.95" customHeight="1" x14ac:dyDescent="0.15"/>
    <row r="65064" s="76" customFormat="1" ht="21.95" customHeight="1" x14ac:dyDescent="0.15"/>
    <row r="65065" s="76" customFormat="1" ht="21.95" customHeight="1" x14ac:dyDescent="0.15"/>
    <row r="65066" s="76" customFormat="1" ht="21.95" customHeight="1" x14ac:dyDescent="0.15"/>
    <row r="65067" s="76" customFormat="1" ht="21.95" customHeight="1" x14ac:dyDescent="0.15"/>
    <row r="65068" s="76" customFormat="1" ht="21.95" customHeight="1" x14ac:dyDescent="0.15"/>
    <row r="65069" s="76" customFormat="1" ht="21.95" customHeight="1" x14ac:dyDescent="0.15"/>
    <row r="65070" s="76" customFormat="1" ht="21.95" customHeight="1" x14ac:dyDescent="0.15"/>
    <row r="65071" s="76" customFormat="1" ht="21.95" customHeight="1" x14ac:dyDescent="0.15"/>
    <row r="65072" s="76" customFormat="1" ht="21.95" customHeight="1" x14ac:dyDescent="0.15"/>
    <row r="65073" spans="3:3" customFormat="1" ht="21.95" customHeight="1" x14ac:dyDescent="0.15"/>
    <row r="65074" spans="3:3" customFormat="1" ht="21.95" customHeight="1" x14ac:dyDescent="0.15"/>
    <row r="65075" spans="3:3" customFormat="1" ht="21.95" customHeight="1" x14ac:dyDescent="0.15">
      <c r="C65075" s="94"/>
    </row>
    <row r="65076" spans="3:3" customFormat="1" ht="21.95" customHeight="1" x14ac:dyDescent="0.15">
      <c r="C65076" s="94"/>
    </row>
    <row r="65077" spans="3:3" customFormat="1" ht="21.95" customHeight="1" x14ac:dyDescent="0.15"/>
    <row r="65078" spans="3:3" customFormat="1" ht="21.95" customHeight="1" x14ac:dyDescent="0.15"/>
    <row r="65079" spans="3:3" customFormat="1" ht="21.95" customHeight="1" x14ac:dyDescent="0.15"/>
    <row r="65080" spans="3:3" customFormat="1" ht="21.95" customHeight="1" x14ac:dyDescent="0.15"/>
    <row r="65081" spans="3:3" customFormat="1" ht="21.95" customHeight="1" x14ac:dyDescent="0.15"/>
    <row r="65082" spans="3:3" customFormat="1" ht="21.95" customHeight="1" x14ac:dyDescent="0.15"/>
    <row r="65083" spans="3:3" customFormat="1" ht="21.95" customHeight="1" x14ac:dyDescent="0.15"/>
    <row r="65084" spans="3:3" s="76" customFormat="1" ht="21.95" customHeight="1" x14ac:dyDescent="0.15"/>
    <row r="65085" spans="3:3" s="76" customFormat="1" ht="21.95" customHeight="1" x14ac:dyDescent="0.15"/>
    <row r="65086" spans="3:3" s="76" customFormat="1" ht="21.95" customHeight="1" x14ac:dyDescent="0.15"/>
    <row r="65087" spans="3:3" s="76" customFormat="1" ht="21.95" customHeight="1" x14ac:dyDescent="0.15"/>
    <row r="65088" spans="3:3" customFormat="1" ht="21.95" customHeight="1" x14ac:dyDescent="0.15"/>
    <row r="65089" customFormat="1" ht="21.95" customHeight="1" x14ac:dyDescent="0.15"/>
    <row r="65090" customFormat="1" ht="21.95" customHeight="1" x14ac:dyDescent="0.15"/>
    <row r="65091" customFormat="1" ht="21.95" customHeight="1" x14ac:dyDescent="0.15"/>
    <row r="65092" customFormat="1" ht="21.95" customHeight="1" x14ac:dyDescent="0.15"/>
    <row r="65093" customFormat="1" ht="21.95" customHeight="1" x14ac:dyDescent="0.15"/>
    <row r="65094" customFormat="1" ht="21.95" customHeight="1" x14ac:dyDescent="0.15"/>
    <row r="65095" customFormat="1" ht="21.95" customHeight="1" x14ac:dyDescent="0.15"/>
    <row r="65096" customFormat="1" ht="21.95" customHeight="1" x14ac:dyDescent="0.15"/>
    <row r="65097" customFormat="1" ht="21.95" customHeight="1" x14ac:dyDescent="0.15"/>
    <row r="65098" customFormat="1" ht="21.95" customHeight="1" x14ac:dyDescent="0.15"/>
    <row r="65099" customFormat="1" ht="32.1" customHeight="1" x14ac:dyDescent="0.15"/>
    <row r="65100" customFormat="1" ht="32.1" customHeight="1" x14ac:dyDescent="0.15"/>
    <row r="65101" customFormat="1" ht="32.1" customHeight="1" x14ac:dyDescent="0.15"/>
    <row r="65102" customFormat="1" ht="32.1" customHeight="1" x14ac:dyDescent="0.15"/>
    <row r="65103" customFormat="1" ht="32.1" customHeight="1" x14ac:dyDescent="0.15"/>
    <row r="65104" customFormat="1" ht="32.1" customHeight="1" x14ac:dyDescent="0.15"/>
    <row r="65105" s="76" customFormat="1" ht="32.1" customHeight="1" x14ac:dyDescent="0.15"/>
    <row r="65106" s="76" customFormat="1" ht="32.1" customHeight="1" x14ac:dyDescent="0.15"/>
    <row r="65107" s="76" customFormat="1" ht="32.1" customHeight="1" x14ac:dyDescent="0.15"/>
    <row r="65108" s="76" customFormat="1" ht="32.1" customHeight="1" x14ac:dyDescent="0.15"/>
    <row r="65109" s="76" customFormat="1" ht="21.95" customHeight="1" x14ac:dyDescent="0.15"/>
    <row r="65110" s="76" customFormat="1" ht="54" customHeight="1" x14ac:dyDescent="0.15"/>
    <row r="65111" s="76" customFormat="1" ht="21.95" customHeight="1" x14ac:dyDescent="0.15"/>
    <row r="65112" s="76" customFormat="1" ht="21.95" customHeight="1" x14ac:dyDescent="0.15"/>
    <row r="65113" s="76" customFormat="1" ht="21.95" customHeight="1" x14ac:dyDescent="0.15"/>
    <row r="65114" s="76" customFormat="1" ht="21.95" customHeight="1" x14ac:dyDescent="0.15"/>
    <row r="65115" s="76" customFormat="1" ht="21.95" customHeight="1" x14ac:dyDescent="0.15"/>
    <row r="65116" s="76" customFormat="1" ht="21.95" customHeight="1" x14ac:dyDescent="0.15"/>
    <row r="65117" s="76" customFormat="1" ht="21.95" customHeight="1" x14ac:dyDescent="0.15"/>
    <row r="65118" s="76" customFormat="1" ht="21.95" customHeight="1" x14ac:dyDescent="0.15"/>
    <row r="65119" s="76" customFormat="1" ht="21.95" customHeight="1" x14ac:dyDescent="0.15"/>
    <row r="65120" s="76" customFormat="1" ht="21.95" customHeight="1" x14ac:dyDescent="0.15"/>
    <row r="65121" s="76" customFormat="1" ht="21.95" customHeight="1" x14ac:dyDescent="0.15"/>
    <row r="65122" s="76" customFormat="1" ht="21.95" customHeight="1" x14ac:dyDescent="0.15"/>
    <row r="65123" s="76" customFormat="1" ht="21.95" customHeight="1" x14ac:dyDescent="0.15"/>
    <row r="65124" s="76" customFormat="1" ht="21.95" customHeight="1" x14ac:dyDescent="0.15"/>
    <row r="65125" s="76" customFormat="1" ht="21.95" customHeight="1" x14ac:dyDescent="0.15"/>
    <row r="65126" s="76" customFormat="1" ht="21.95" customHeight="1" x14ac:dyDescent="0.15"/>
    <row r="65127" s="76" customFormat="1" ht="21.95" customHeight="1" x14ac:dyDescent="0.15"/>
    <row r="65128" s="76" customFormat="1" ht="21.95" customHeight="1" x14ac:dyDescent="0.15"/>
    <row r="65129" s="76" customFormat="1" ht="21.95" customHeight="1" x14ac:dyDescent="0.15"/>
    <row r="65130" s="76" customFormat="1" ht="21.95" customHeight="1" x14ac:dyDescent="0.15"/>
    <row r="65131" s="76" customFormat="1" ht="21.95" customHeight="1" x14ac:dyDescent="0.15"/>
    <row r="65132" s="76" customFormat="1" ht="21.95" customHeight="1" x14ac:dyDescent="0.15"/>
    <row r="65133" s="76" customFormat="1" ht="21.95" customHeight="1" x14ac:dyDescent="0.15"/>
    <row r="65134" s="76" customFormat="1" ht="21.95" customHeight="1" x14ac:dyDescent="0.15"/>
    <row r="65135" s="76" customFormat="1" ht="21.95" customHeight="1" x14ac:dyDescent="0.15"/>
    <row r="65136" s="76" customFormat="1" ht="21.95" customHeight="1" x14ac:dyDescent="0.15"/>
    <row r="65137" s="76" customFormat="1" ht="21.95" customHeight="1" x14ac:dyDescent="0.15"/>
    <row r="65138" s="76" customFormat="1" ht="21.95" customHeight="1" x14ac:dyDescent="0.15"/>
    <row r="65139" s="76" customFormat="1" ht="21.95" customHeight="1" x14ac:dyDescent="0.15"/>
    <row r="65140" s="76" customFormat="1" ht="21.95" customHeight="1" x14ac:dyDescent="0.15"/>
    <row r="65141" s="76" customFormat="1" ht="21.95" customHeight="1" x14ac:dyDescent="0.15"/>
    <row r="65142" s="76" customFormat="1" ht="21.95" customHeight="1" x14ac:dyDescent="0.15"/>
    <row r="65143" s="76" customFormat="1" ht="21.95" customHeight="1" x14ac:dyDescent="0.15"/>
    <row r="65144" s="76" customFormat="1" ht="21.95" customHeight="1" x14ac:dyDescent="0.15"/>
    <row r="65145" s="76" customFormat="1" ht="21.95" customHeight="1" x14ac:dyDescent="0.15"/>
    <row r="65146" s="76" customFormat="1" ht="21.95" customHeight="1" x14ac:dyDescent="0.15"/>
    <row r="65147" s="76" customFormat="1" ht="21.95" customHeight="1" x14ac:dyDescent="0.15"/>
    <row r="65148" s="76" customFormat="1" ht="21.95" customHeight="1" x14ac:dyDescent="0.15"/>
    <row r="65149" s="76" customFormat="1" ht="21.95" customHeight="1" x14ac:dyDescent="0.15"/>
    <row r="65150" s="76" customFormat="1" ht="21.95" customHeight="1" x14ac:dyDescent="0.15"/>
    <row r="65151" s="76" customFormat="1" ht="21.95" customHeight="1" x14ac:dyDescent="0.15"/>
    <row r="65152" s="76" customFormat="1" ht="21.95" customHeight="1" x14ac:dyDescent="0.15"/>
    <row r="65153" s="76" customFormat="1" ht="21.95" customHeight="1" x14ac:dyDescent="0.15"/>
    <row r="65154" s="76" customFormat="1" ht="21.95" customHeight="1" x14ac:dyDescent="0.15"/>
    <row r="65155" s="76" customFormat="1" ht="21.95" customHeight="1" x14ac:dyDescent="0.15"/>
    <row r="65156" s="76" customFormat="1" ht="21.95" customHeight="1" x14ac:dyDescent="0.15"/>
    <row r="65157" s="76" customFormat="1" ht="21.95" customHeight="1" x14ac:dyDescent="0.15"/>
    <row r="65158" s="76" customFormat="1" ht="21.95" customHeight="1" x14ac:dyDescent="0.15"/>
    <row r="65159" s="76" customFormat="1" ht="21.95" customHeight="1" x14ac:dyDescent="0.15"/>
    <row r="65160" s="76" customFormat="1" ht="21.95" customHeight="1" x14ac:dyDescent="0.15"/>
    <row r="65161" s="76" customFormat="1" ht="35.1" customHeight="1" x14ac:dyDescent="0.15"/>
    <row r="65162" s="76" customFormat="1" ht="21.95" customHeight="1" x14ac:dyDescent="0.15"/>
    <row r="65163" s="76" customFormat="1" ht="21.95" customHeight="1" x14ac:dyDescent="0.15"/>
    <row r="65164" s="76" customFormat="1" ht="21.95" customHeight="1" x14ac:dyDescent="0.15"/>
    <row r="65165" s="76" customFormat="1" ht="21.95" customHeight="1" x14ac:dyDescent="0.15"/>
    <row r="65166" s="76" customFormat="1" ht="21.95" customHeight="1" x14ac:dyDescent="0.15"/>
    <row r="65167" s="76" customFormat="1" ht="21.95" customHeight="1" x14ac:dyDescent="0.15"/>
    <row r="65168" s="76" customFormat="1" ht="21.95" customHeight="1" x14ac:dyDescent="0.15"/>
    <row r="65169" s="76" customFormat="1" ht="21.95" customHeight="1" x14ac:dyDescent="0.15"/>
    <row r="65170" s="76" customFormat="1" ht="21.95" customHeight="1" x14ac:dyDescent="0.15"/>
    <row r="65171" s="76" customFormat="1" ht="21.95" customHeight="1" x14ac:dyDescent="0.15"/>
    <row r="65172" s="76" customFormat="1" ht="21.95" customHeight="1" x14ac:dyDescent="0.15"/>
    <row r="65173" s="76" customFormat="1" ht="21.95" customHeight="1" x14ac:dyDescent="0.15"/>
    <row r="65174" s="76" customFormat="1" ht="21.95" customHeight="1" x14ac:dyDescent="0.15"/>
    <row r="65175" s="76" customFormat="1" ht="21.95" customHeight="1" x14ac:dyDescent="0.15"/>
    <row r="65176" s="76" customFormat="1" ht="21.95" customHeight="1" x14ac:dyDescent="0.15"/>
    <row r="65177" s="76" customFormat="1" ht="21.95" customHeight="1" x14ac:dyDescent="0.15"/>
    <row r="65178" s="76" customFormat="1" ht="21.95" customHeight="1" x14ac:dyDescent="0.15"/>
    <row r="65179" s="76" customFormat="1" ht="21.95" customHeight="1" x14ac:dyDescent="0.15"/>
    <row r="65180" s="76" customFormat="1" ht="21.95" customHeight="1" x14ac:dyDescent="0.15"/>
    <row r="65181" s="76" customFormat="1" ht="21.95" customHeight="1" x14ac:dyDescent="0.15"/>
    <row r="65182" s="76" customFormat="1" ht="21.95" customHeight="1" x14ac:dyDescent="0.15"/>
    <row r="65183" s="76" customFormat="1" ht="21.95" customHeight="1" x14ac:dyDescent="0.15"/>
    <row r="65184" s="76" customFormat="1" ht="21.95" customHeight="1" x14ac:dyDescent="0.15"/>
    <row r="65185" spans="3:3" customFormat="1" ht="21.95" customHeight="1" x14ac:dyDescent="0.15"/>
    <row r="65186" spans="3:3" customFormat="1" ht="21.95" customHeight="1" x14ac:dyDescent="0.15"/>
    <row r="65187" spans="3:3" customFormat="1" ht="21.95" customHeight="1" x14ac:dyDescent="0.15">
      <c r="C65187" s="94"/>
    </row>
    <row r="65188" spans="3:3" customFormat="1" ht="21.95" customHeight="1" x14ac:dyDescent="0.15">
      <c r="C65188" s="94"/>
    </row>
    <row r="65189" spans="3:3" customFormat="1" ht="21.95" customHeight="1" x14ac:dyDescent="0.15"/>
    <row r="65190" spans="3:3" customFormat="1" ht="21.95" customHeight="1" x14ac:dyDescent="0.15"/>
    <row r="65191" spans="3:3" customFormat="1" ht="21.95" customHeight="1" x14ac:dyDescent="0.15"/>
    <row r="65192" spans="3:3" customFormat="1" ht="21.95" customHeight="1" x14ac:dyDescent="0.15"/>
    <row r="65193" spans="3:3" customFormat="1" ht="21.95" customHeight="1" x14ac:dyDescent="0.15"/>
    <row r="65194" spans="3:3" customFormat="1" ht="21.95" customHeight="1" x14ac:dyDescent="0.15"/>
    <row r="65195" spans="3:3" customFormat="1" ht="21.95" customHeight="1" x14ac:dyDescent="0.15"/>
    <row r="65196" spans="3:3" s="76" customFormat="1" ht="21.95" customHeight="1" x14ac:dyDescent="0.15"/>
    <row r="65197" spans="3:3" s="76" customFormat="1" ht="21.95" customHeight="1" x14ac:dyDescent="0.15"/>
    <row r="65198" spans="3:3" s="76" customFormat="1" ht="21.95" customHeight="1" x14ac:dyDescent="0.15"/>
    <row r="65199" spans="3:3" s="76" customFormat="1" ht="21.95" customHeight="1" x14ac:dyDescent="0.15"/>
    <row r="65200" spans="3:3" customFormat="1" ht="21.95" customHeight="1" x14ac:dyDescent="0.15"/>
    <row r="65201" customFormat="1" ht="21.95" customHeight="1" x14ac:dyDescent="0.15"/>
    <row r="65202" customFormat="1" ht="21.95" customHeight="1" x14ac:dyDescent="0.15"/>
    <row r="65203" customFormat="1" ht="21.95" customHeight="1" x14ac:dyDescent="0.15"/>
    <row r="65204" customFormat="1" ht="21.95" customHeight="1" x14ac:dyDescent="0.15"/>
    <row r="65205" customFormat="1" ht="21.95" customHeight="1" x14ac:dyDescent="0.15"/>
    <row r="65206" customFormat="1" ht="21.95" customHeight="1" x14ac:dyDescent="0.15"/>
    <row r="65207" customFormat="1" ht="21.95" customHeight="1" x14ac:dyDescent="0.15"/>
    <row r="65208" customFormat="1" ht="21.95" customHeight="1" x14ac:dyDescent="0.15"/>
    <row r="65209" customFormat="1" ht="21.95" customHeight="1" x14ac:dyDescent="0.15"/>
    <row r="65210" customFormat="1" ht="21.95" customHeight="1" x14ac:dyDescent="0.15"/>
    <row r="65211" customFormat="1" ht="32.1" customHeight="1" x14ac:dyDescent="0.15"/>
    <row r="65212" customFormat="1" ht="32.1" customHeight="1" x14ac:dyDescent="0.15"/>
    <row r="65213" customFormat="1" ht="32.1" customHeight="1" x14ac:dyDescent="0.15"/>
    <row r="65214" customFormat="1" ht="32.1" customHeight="1" x14ac:dyDescent="0.15"/>
    <row r="65215" customFormat="1" ht="32.1" customHeight="1" x14ac:dyDescent="0.15"/>
    <row r="65216" customFormat="1" ht="32.1" customHeight="1" x14ac:dyDescent="0.15"/>
    <row r="65217" s="76" customFormat="1" ht="32.1" customHeight="1" x14ac:dyDescent="0.15"/>
    <row r="65218" s="76" customFormat="1" ht="32.1" customHeight="1" x14ac:dyDescent="0.15"/>
    <row r="65219" s="76" customFormat="1" ht="32.1" customHeight="1" x14ac:dyDescent="0.15"/>
    <row r="65220" s="76" customFormat="1" ht="32.1" customHeight="1" x14ac:dyDescent="0.15"/>
    <row r="65221" s="76" customFormat="1" ht="21.95" customHeight="1" x14ac:dyDescent="0.15"/>
    <row r="65222" s="76" customFormat="1" ht="54" customHeight="1" x14ac:dyDescent="0.15"/>
    <row r="65223" s="76" customFormat="1" ht="21.95" customHeight="1" x14ac:dyDescent="0.15"/>
    <row r="65224" s="76" customFormat="1" ht="21.95" customHeight="1" x14ac:dyDescent="0.15"/>
    <row r="65225" s="76" customFormat="1" ht="21.95" customHeight="1" x14ac:dyDescent="0.15"/>
    <row r="65226" s="76" customFormat="1" ht="21.95" customHeight="1" x14ac:dyDescent="0.15"/>
    <row r="65227" s="76" customFormat="1" ht="21.95" customHeight="1" x14ac:dyDescent="0.15"/>
    <row r="65228" s="76" customFormat="1" ht="21.95" customHeight="1" x14ac:dyDescent="0.15"/>
    <row r="65229" s="76" customFormat="1" ht="21.95" customHeight="1" x14ac:dyDescent="0.15"/>
    <row r="65230" s="76" customFormat="1" ht="21.95" customHeight="1" x14ac:dyDescent="0.15"/>
    <row r="65231" s="76" customFormat="1" ht="21.95" customHeight="1" x14ac:dyDescent="0.15"/>
    <row r="65232" s="76" customFormat="1" ht="21.95" customHeight="1" x14ac:dyDescent="0.15"/>
    <row r="65233" s="76" customFormat="1" ht="21.95" customHeight="1" x14ac:dyDescent="0.15"/>
    <row r="65234" s="76" customFormat="1" ht="21.95" customHeight="1" x14ac:dyDescent="0.15"/>
    <row r="65235" s="76" customFormat="1" ht="21.95" customHeight="1" x14ac:dyDescent="0.15"/>
    <row r="65236" s="76" customFormat="1" ht="21.95" customHeight="1" x14ac:dyDescent="0.15"/>
    <row r="65237" s="76" customFormat="1" ht="21.95" customHeight="1" x14ac:dyDescent="0.15"/>
    <row r="65238" s="76" customFormat="1" ht="21.95" customHeight="1" x14ac:dyDescent="0.15"/>
    <row r="65239" s="76" customFormat="1" ht="21.95" customHeight="1" x14ac:dyDescent="0.15"/>
    <row r="65240" s="76" customFormat="1" ht="21.95" customHeight="1" x14ac:dyDescent="0.15"/>
    <row r="65241" s="76" customFormat="1" ht="21.95" customHeight="1" x14ac:dyDescent="0.15"/>
    <row r="65242" s="76" customFormat="1" ht="21.95" customHeight="1" x14ac:dyDescent="0.15"/>
    <row r="65243" s="76" customFormat="1" ht="21.95" customHeight="1" x14ac:dyDescent="0.15"/>
    <row r="65244" s="76" customFormat="1" ht="21.95" customHeight="1" x14ac:dyDescent="0.15"/>
    <row r="65245" s="76" customFormat="1" ht="21.95" customHeight="1" x14ac:dyDescent="0.15"/>
    <row r="65246" s="76" customFormat="1" ht="21.95" customHeight="1" x14ac:dyDescent="0.15"/>
    <row r="65247" s="76" customFormat="1" ht="21.95" customHeight="1" x14ac:dyDescent="0.15"/>
    <row r="65248" s="76" customFormat="1" ht="21.95" customHeight="1" x14ac:dyDescent="0.15"/>
    <row r="65249" s="76" customFormat="1" ht="21.95" customHeight="1" x14ac:dyDescent="0.15"/>
    <row r="65250" s="76" customFormat="1" ht="21.95" customHeight="1" x14ac:dyDescent="0.15"/>
    <row r="65251" s="76" customFormat="1" ht="21.95" customHeight="1" x14ac:dyDescent="0.15"/>
    <row r="65252" s="76" customFormat="1" ht="21.95" customHeight="1" x14ac:dyDescent="0.15"/>
    <row r="65253" s="76" customFormat="1" ht="21.95" customHeight="1" x14ac:dyDescent="0.15"/>
    <row r="65254" s="76" customFormat="1" ht="21.95" customHeight="1" x14ac:dyDescent="0.15"/>
    <row r="65255" s="76" customFormat="1" ht="21.95" customHeight="1" x14ac:dyDescent="0.15"/>
    <row r="65256" s="76" customFormat="1" ht="21.95" customHeight="1" x14ac:dyDescent="0.15"/>
    <row r="65257" s="76" customFormat="1" ht="21.95" customHeight="1" x14ac:dyDescent="0.15"/>
    <row r="65258" s="76" customFormat="1" ht="21.95" customHeight="1" x14ac:dyDescent="0.15"/>
    <row r="65259" s="76" customFormat="1" ht="21.95" customHeight="1" x14ac:dyDescent="0.15"/>
    <row r="65260" s="76" customFormat="1" ht="21.95" customHeight="1" x14ac:dyDescent="0.15"/>
    <row r="65261" s="76" customFormat="1" ht="21.95" customHeight="1" x14ac:dyDescent="0.15"/>
    <row r="65262" s="76" customFormat="1" ht="21.95" customHeight="1" x14ac:dyDescent="0.15"/>
    <row r="65263" s="76" customFormat="1" ht="21.95" customHeight="1" x14ac:dyDescent="0.15"/>
    <row r="65264" s="76" customFormat="1" ht="21.95" customHeight="1" x14ac:dyDescent="0.15"/>
    <row r="65265" s="76" customFormat="1" ht="21.95" customHeight="1" x14ac:dyDescent="0.15"/>
    <row r="65266" s="76" customFormat="1" ht="21.95" customHeight="1" x14ac:dyDescent="0.15"/>
    <row r="65267" s="76" customFormat="1" ht="21.95" customHeight="1" x14ac:dyDescent="0.15"/>
    <row r="65268" s="76" customFormat="1" ht="21.95" customHeight="1" x14ac:dyDescent="0.15"/>
    <row r="65269" s="76" customFormat="1" ht="21.95" customHeight="1" x14ac:dyDescent="0.15"/>
    <row r="65270" s="76" customFormat="1" ht="21.95" customHeight="1" x14ac:dyDescent="0.15"/>
    <row r="65271" s="76" customFormat="1" ht="21.95" customHeight="1" x14ac:dyDescent="0.15"/>
    <row r="65272" s="76" customFormat="1" ht="21.95" customHeight="1" x14ac:dyDescent="0.15"/>
    <row r="65273" s="76" customFormat="1" ht="35.1" customHeight="1" x14ac:dyDescent="0.15"/>
    <row r="65274" s="76" customFormat="1" ht="21.95" customHeight="1" x14ac:dyDescent="0.15"/>
    <row r="65275" s="76" customFormat="1" ht="21.95" customHeight="1" x14ac:dyDescent="0.15"/>
    <row r="65276" s="76" customFormat="1" ht="21.95" customHeight="1" x14ac:dyDescent="0.15"/>
    <row r="65277" s="76" customFormat="1" ht="21.95" customHeight="1" x14ac:dyDescent="0.15"/>
    <row r="65278" s="76" customFormat="1" ht="21.95" customHeight="1" x14ac:dyDescent="0.15"/>
    <row r="65279" s="76" customFormat="1" ht="21.95" customHeight="1" x14ac:dyDescent="0.15"/>
    <row r="65280" s="76" customFormat="1" ht="21.95" customHeight="1" x14ac:dyDescent="0.15"/>
    <row r="65281" s="76" customFormat="1" ht="21.95" customHeight="1" x14ac:dyDescent="0.15"/>
    <row r="65282" s="76" customFormat="1" ht="21.95" customHeight="1" x14ac:dyDescent="0.15"/>
    <row r="65283" s="76" customFormat="1" ht="21.95" customHeight="1" x14ac:dyDescent="0.15"/>
    <row r="65284" s="76" customFormat="1" ht="21.95" customHeight="1" x14ac:dyDescent="0.15"/>
    <row r="65285" s="76" customFormat="1" ht="21.95" customHeight="1" x14ac:dyDescent="0.15"/>
    <row r="65286" s="76" customFormat="1" ht="21.95" customHeight="1" x14ac:dyDescent="0.15"/>
    <row r="65287" s="76" customFormat="1" ht="21.95" customHeight="1" x14ac:dyDescent="0.15"/>
    <row r="65288" s="76" customFormat="1" ht="21.95" customHeight="1" x14ac:dyDescent="0.15"/>
    <row r="65289" s="76" customFormat="1" ht="21.95" customHeight="1" x14ac:dyDescent="0.15"/>
    <row r="65290" s="76" customFormat="1" ht="21.95" customHeight="1" x14ac:dyDescent="0.15"/>
    <row r="65291" s="76" customFormat="1" ht="21.95" customHeight="1" x14ac:dyDescent="0.15"/>
    <row r="65292" s="76" customFormat="1" ht="21.95" customHeight="1" x14ac:dyDescent="0.15"/>
    <row r="65293" s="76" customFormat="1" ht="21.95" customHeight="1" x14ac:dyDescent="0.15"/>
    <row r="65294" s="76" customFormat="1" ht="21.95" customHeight="1" x14ac:dyDescent="0.15"/>
    <row r="65295" s="76" customFormat="1" ht="21.95" customHeight="1" x14ac:dyDescent="0.15"/>
    <row r="65296" s="76" customFormat="1" ht="21.95" customHeight="1" x14ac:dyDescent="0.15"/>
    <row r="65297" spans="3:3" customFormat="1" ht="21.95" customHeight="1" x14ac:dyDescent="0.15"/>
    <row r="65298" spans="3:3" customFormat="1" ht="21.95" customHeight="1" x14ac:dyDescent="0.15"/>
    <row r="65299" spans="3:3" customFormat="1" ht="21.95" customHeight="1" x14ac:dyDescent="0.15">
      <c r="C65299" s="94"/>
    </row>
    <row r="65300" spans="3:3" customFormat="1" ht="21.95" customHeight="1" x14ac:dyDescent="0.15">
      <c r="C65300" s="94"/>
    </row>
    <row r="65301" spans="3:3" customFormat="1" ht="21.95" customHeight="1" x14ac:dyDescent="0.15"/>
    <row r="65302" spans="3:3" customFormat="1" ht="21.95" customHeight="1" x14ac:dyDescent="0.15"/>
    <row r="65303" spans="3:3" customFormat="1" ht="21.95" customHeight="1" x14ac:dyDescent="0.15"/>
    <row r="65304" spans="3:3" customFormat="1" ht="21.95" customHeight="1" x14ac:dyDescent="0.15"/>
    <row r="65305" spans="3:3" customFormat="1" ht="21.95" customHeight="1" x14ac:dyDescent="0.15"/>
    <row r="65306" spans="3:3" customFormat="1" ht="21.95" customHeight="1" x14ac:dyDescent="0.15"/>
    <row r="65307" spans="3:3" customFormat="1" ht="21.95" customHeight="1" x14ac:dyDescent="0.15"/>
    <row r="65308" spans="3:3" s="76" customFormat="1" ht="21.95" customHeight="1" x14ac:dyDescent="0.15"/>
    <row r="65309" spans="3:3" s="76" customFormat="1" ht="21.95" customHeight="1" x14ac:dyDescent="0.15"/>
    <row r="65310" spans="3:3" s="76" customFormat="1" ht="21.95" customHeight="1" x14ac:dyDescent="0.15"/>
    <row r="65311" spans="3:3" s="76" customFormat="1" ht="21.95" customHeight="1" x14ac:dyDescent="0.15"/>
    <row r="65312" spans="3:3" customFormat="1" ht="21.95" customHeight="1" x14ac:dyDescent="0.15"/>
    <row r="65313" customFormat="1" ht="21.95" customHeight="1" x14ac:dyDescent="0.15"/>
    <row r="65314" customFormat="1" ht="21.95" customHeight="1" x14ac:dyDescent="0.15"/>
    <row r="65315" customFormat="1" ht="21.95" customHeight="1" x14ac:dyDescent="0.15"/>
    <row r="65316" customFormat="1" ht="21.95" customHeight="1" x14ac:dyDescent="0.15"/>
    <row r="65317" customFormat="1" ht="21.95" customHeight="1" x14ac:dyDescent="0.15"/>
    <row r="65318" customFormat="1" ht="21.95" customHeight="1" x14ac:dyDescent="0.15"/>
    <row r="65319" customFormat="1" ht="21.95" customHeight="1" x14ac:dyDescent="0.15"/>
    <row r="65320" customFormat="1" ht="21.95" customHeight="1" x14ac:dyDescent="0.15"/>
    <row r="65321" customFormat="1" ht="21.95" customHeight="1" x14ac:dyDescent="0.15"/>
    <row r="65322" customFormat="1" ht="21.95" customHeight="1" x14ac:dyDescent="0.15"/>
    <row r="65323" customFormat="1" ht="32.1" customHeight="1" x14ac:dyDescent="0.15"/>
    <row r="65324" customFormat="1" ht="32.1" customHeight="1" x14ac:dyDescent="0.15"/>
    <row r="65325" customFormat="1" ht="32.1" customHeight="1" x14ac:dyDescent="0.15"/>
    <row r="65326" customFormat="1" ht="32.1" customHeight="1" x14ac:dyDescent="0.15"/>
    <row r="65327" customFormat="1" ht="32.1" customHeight="1" x14ac:dyDescent="0.15"/>
    <row r="65328" customFormat="1" ht="32.1" customHeight="1" x14ac:dyDescent="0.15"/>
    <row r="65329" s="76" customFormat="1" ht="32.1" customHeight="1" x14ac:dyDescent="0.15"/>
    <row r="65330" s="76" customFormat="1" ht="32.1" customHeight="1" x14ac:dyDescent="0.15"/>
    <row r="65331" s="76" customFormat="1" ht="32.1" customHeight="1" x14ac:dyDescent="0.15"/>
    <row r="65332" s="76" customFormat="1" ht="32.1" customHeight="1" x14ac:dyDescent="0.15"/>
    <row r="65333" s="76" customFormat="1" ht="21.95" customHeight="1" x14ac:dyDescent="0.15"/>
    <row r="65334" s="76" customFormat="1" ht="54" customHeight="1" x14ac:dyDescent="0.15"/>
    <row r="65335" s="76" customFormat="1" ht="21.95" customHeight="1" x14ac:dyDescent="0.15"/>
    <row r="65336" s="76" customFormat="1" ht="21.95" customHeight="1" x14ac:dyDescent="0.15"/>
    <row r="65337" s="76" customFormat="1" ht="21.95" customHeight="1" x14ac:dyDescent="0.15"/>
    <row r="65338" s="76" customFormat="1" ht="21.95" customHeight="1" x14ac:dyDescent="0.15"/>
    <row r="65339" s="76" customFormat="1" ht="21.95" customHeight="1" x14ac:dyDescent="0.15"/>
    <row r="65340" s="76" customFormat="1" ht="21.95" customHeight="1" x14ac:dyDescent="0.15"/>
    <row r="65341" s="76" customFormat="1" ht="21.95" customHeight="1" x14ac:dyDescent="0.15"/>
    <row r="65342" s="76" customFormat="1" ht="21.95" customHeight="1" x14ac:dyDescent="0.15"/>
    <row r="65343" s="76" customFormat="1" ht="21.95" customHeight="1" x14ac:dyDescent="0.15"/>
    <row r="65344" s="76" customFormat="1" ht="21.95" customHeight="1" x14ac:dyDescent="0.15"/>
    <row r="65345" s="76" customFormat="1" ht="21.95" customHeight="1" x14ac:dyDescent="0.15"/>
    <row r="65346" s="76" customFormat="1" ht="21.95" customHeight="1" x14ac:dyDescent="0.15"/>
    <row r="65347" s="76" customFormat="1" ht="21.95" customHeight="1" x14ac:dyDescent="0.15"/>
    <row r="65348" s="76" customFormat="1" ht="21.95" customHeight="1" x14ac:dyDescent="0.15"/>
    <row r="65349" s="76" customFormat="1" ht="21.95" customHeight="1" x14ac:dyDescent="0.15"/>
    <row r="65350" s="76" customFormat="1" ht="21.95" customHeight="1" x14ac:dyDescent="0.15"/>
    <row r="65351" s="76" customFormat="1" ht="21.95" customHeight="1" x14ac:dyDescent="0.15"/>
    <row r="65352" s="76" customFormat="1" ht="21.95" customHeight="1" x14ac:dyDescent="0.15"/>
    <row r="65353" s="76" customFormat="1" ht="21.95" customHeight="1" x14ac:dyDescent="0.15"/>
    <row r="65354" s="76" customFormat="1" ht="21.95" customHeight="1" x14ac:dyDescent="0.15"/>
    <row r="65355" s="76" customFormat="1" ht="21.95" customHeight="1" x14ac:dyDescent="0.15"/>
    <row r="65356" s="76" customFormat="1" ht="21.95" customHeight="1" x14ac:dyDescent="0.15"/>
    <row r="65357" s="76" customFormat="1" ht="21.95" customHeight="1" x14ac:dyDescent="0.15"/>
    <row r="65358" s="76" customFormat="1" ht="21.95" customHeight="1" x14ac:dyDescent="0.15"/>
    <row r="65359" s="76" customFormat="1" ht="21.95" customHeight="1" x14ac:dyDescent="0.15"/>
    <row r="65360" s="76" customFormat="1" ht="21.95" customHeight="1" x14ac:dyDescent="0.15"/>
    <row r="65361" s="76" customFormat="1" ht="21.95" customHeight="1" x14ac:dyDescent="0.15"/>
    <row r="65362" s="76" customFormat="1" ht="21.95" customHeight="1" x14ac:dyDescent="0.15"/>
    <row r="65363" s="76" customFormat="1" ht="21.95" customHeight="1" x14ac:dyDescent="0.15"/>
    <row r="65364" s="76" customFormat="1" ht="21.95" customHeight="1" x14ac:dyDescent="0.15"/>
    <row r="65365" s="76" customFormat="1" ht="21.95" customHeight="1" x14ac:dyDescent="0.15"/>
    <row r="65366" s="76" customFormat="1" ht="21.95" customHeight="1" x14ac:dyDescent="0.15"/>
    <row r="65367" s="76" customFormat="1" ht="21.95" customHeight="1" x14ac:dyDescent="0.15"/>
    <row r="65368" s="76" customFormat="1" ht="21.95" customHeight="1" x14ac:dyDescent="0.15"/>
    <row r="65369" s="76" customFormat="1" ht="21.95" customHeight="1" x14ac:dyDescent="0.15"/>
    <row r="65370" s="76" customFormat="1" ht="21.95" customHeight="1" x14ac:dyDescent="0.15"/>
    <row r="65371" s="76" customFormat="1" ht="21.95" customHeight="1" x14ac:dyDescent="0.15"/>
    <row r="65372" s="76" customFormat="1" ht="21.95" customHeight="1" x14ac:dyDescent="0.15"/>
    <row r="65373" s="76" customFormat="1" ht="21.95" customHeight="1" x14ac:dyDescent="0.15"/>
    <row r="65374" s="76" customFormat="1" ht="21.95" customHeight="1" x14ac:dyDescent="0.15"/>
    <row r="65375" s="76" customFormat="1" ht="21.95" customHeight="1" x14ac:dyDescent="0.15"/>
    <row r="65376" s="76" customFormat="1" ht="21.95" customHeight="1" x14ac:dyDescent="0.15"/>
    <row r="65377" s="76" customFormat="1" ht="21.95" customHeight="1" x14ac:dyDescent="0.15"/>
    <row r="65378" s="76" customFormat="1" ht="21.95" customHeight="1" x14ac:dyDescent="0.15"/>
    <row r="65379" s="76" customFormat="1" ht="21.95" customHeight="1" x14ac:dyDescent="0.15"/>
    <row r="65380" s="76" customFormat="1" ht="21.95" customHeight="1" x14ac:dyDescent="0.15"/>
    <row r="65381" s="76" customFormat="1" ht="21.95" customHeight="1" x14ac:dyDescent="0.15"/>
    <row r="65382" s="76" customFormat="1" ht="21.95" customHeight="1" x14ac:dyDescent="0.15"/>
    <row r="65383" s="76" customFormat="1" ht="21.95" customHeight="1" x14ac:dyDescent="0.15"/>
    <row r="65384" s="76" customFormat="1" ht="21.95" customHeight="1" x14ac:dyDescent="0.15"/>
    <row r="65385" s="76" customFormat="1" ht="35.1" customHeight="1" x14ac:dyDescent="0.15"/>
    <row r="65386" s="76" customFormat="1" ht="21.95" customHeight="1" x14ac:dyDescent="0.15"/>
    <row r="65387" s="76" customFormat="1" ht="21.95" customHeight="1" x14ac:dyDescent="0.15"/>
    <row r="65388" s="76" customFormat="1" ht="21.95" customHeight="1" x14ac:dyDescent="0.15"/>
    <row r="65389" s="76" customFormat="1" ht="21.95" customHeight="1" x14ac:dyDescent="0.15"/>
    <row r="65390" s="76" customFormat="1" ht="21.95" customHeight="1" x14ac:dyDescent="0.15"/>
    <row r="65391" s="76" customFormat="1" ht="21.95" customHeight="1" x14ac:dyDescent="0.15"/>
    <row r="65392" s="76" customFormat="1" ht="21.95" customHeight="1" x14ac:dyDescent="0.15"/>
    <row r="65393" s="76" customFormat="1" ht="21.95" customHeight="1" x14ac:dyDescent="0.15"/>
    <row r="65394" s="76" customFormat="1" ht="21.95" customHeight="1" x14ac:dyDescent="0.15"/>
    <row r="65395" s="76" customFormat="1" ht="21.95" customHeight="1" x14ac:dyDescent="0.15"/>
    <row r="65396" s="76" customFormat="1" ht="21.95" customHeight="1" x14ac:dyDescent="0.15"/>
    <row r="65397" s="76" customFormat="1" ht="21.95" customHeight="1" x14ac:dyDescent="0.15"/>
    <row r="65398" s="76" customFormat="1" ht="21.95" customHeight="1" x14ac:dyDescent="0.15"/>
    <row r="65399" s="76" customFormat="1" ht="21.95" customHeight="1" x14ac:dyDescent="0.15"/>
    <row r="65400" s="76" customFormat="1" ht="21.95" customHeight="1" x14ac:dyDescent="0.15"/>
    <row r="65401" s="76" customFormat="1" ht="21.95" customHeight="1" x14ac:dyDescent="0.15"/>
    <row r="65402" s="76" customFormat="1" ht="21.95" customHeight="1" x14ac:dyDescent="0.15"/>
    <row r="65403" s="76" customFormat="1" ht="21.95" customHeight="1" x14ac:dyDescent="0.15"/>
    <row r="65404" s="76" customFormat="1" ht="21.95" customHeight="1" x14ac:dyDescent="0.15"/>
    <row r="65405" s="76" customFormat="1" ht="21.95" customHeight="1" x14ac:dyDescent="0.15"/>
    <row r="65406" s="76" customFormat="1" ht="21.95" customHeight="1" x14ac:dyDescent="0.15"/>
    <row r="65407" s="76" customFormat="1" ht="21.95" customHeight="1" x14ac:dyDescent="0.15"/>
    <row r="65408" s="76" customFormat="1" ht="21.95" customHeight="1" x14ac:dyDescent="0.15"/>
    <row r="65409" spans="3:3" customFormat="1" ht="21.95" customHeight="1" x14ac:dyDescent="0.15"/>
    <row r="65410" spans="3:3" customFormat="1" ht="21.95" customHeight="1" x14ac:dyDescent="0.15"/>
    <row r="65411" spans="3:3" customFormat="1" ht="21.95" customHeight="1" x14ac:dyDescent="0.15">
      <c r="C65411" s="94"/>
    </row>
    <row r="65412" spans="3:3" customFormat="1" ht="21.95" customHeight="1" x14ac:dyDescent="0.15">
      <c r="C65412" s="94"/>
    </row>
    <row r="65413" spans="3:3" customFormat="1" ht="21.95" customHeight="1" x14ac:dyDescent="0.15"/>
    <row r="65414" spans="3:3" customFormat="1" ht="21.95" customHeight="1" x14ac:dyDescent="0.15"/>
    <row r="65415" spans="3:3" customFormat="1" ht="21.95" customHeight="1" x14ac:dyDescent="0.15"/>
    <row r="65416" spans="3:3" customFormat="1" ht="21.95" customHeight="1" x14ac:dyDescent="0.15"/>
    <row r="65417" spans="3:3" customFormat="1" ht="21.95" customHeight="1" x14ac:dyDescent="0.15"/>
    <row r="65418" spans="3:3" customFormat="1" ht="21.95" customHeight="1" x14ac:dyDescent="0.15"/>
    <row r="65419" spans="3:3" customFormat="1" ht="21.95" customHeight="1" x14ac:dyDescent="0.15"/>
    <row r="65420" spans="3:3" s="76" customFormat="1" ht="21.95" customHeight="1" x14ac:dyDescent="0.15"/>
    <row r="65421" spans="3:3" s="76" customFormat="1" ht="21.95" customHeight="1" x14ac:dyDescent="0.15"/>
    <row r="65422" spans="3:3" s="76" customFormat="1" ht="21.95" customHeight="1" x14ac:dyDescent="0.15"/>
    <row r="65423" spans="3:3" s="76" customFormat="1" ht="21.95" customHeight="1" x14ac:dyDescent="0.15"/>
    <row r="65424" spans="3:3" customFormat="1" ht="21.95" customHeight="1" x14ac:dyDescent="0.15"/>
    <row r="65425" customFormat="1" ht="21.95" customHeight="1" x14ac:dyDescent="0.15"/>
    <row r="65426" customFormat="1" ht="21.95" customHeight="1" x14ac:dyDescent="0.15"/>
    <row r="65427" customFormat="1" ht="21.95" customHeight="1" x14ac:dyDescent="0.15"/>
    <row r="65428" customFormat="1" ht="21.95" customHeight="1" x14ac:dyDescent="0.15"/>
    <row r="65429" customFormat="1" ht="21.95" customHeight="1" x14ac:dyDescent="0.15"/>
    <row r="65430" customFormat="1" ht="21.95" customHeight="1" x14ac:dyDescent="0.15"/>
    <row r="65431" customFormat="1" ht="21.95" customHeight="1" x14ac:dyDescent="0.15"/>
    <row r="65432" customFormat="1" ht="21.95" customHeight="1" x14ac:dyDescent="0.15"/>
    <row r="65433" customFormat="1" ht="21.95" customHeight="1" x14ac:dyDescent="0.15"/>
    <row r="65434" customFormat="1" ht="21.95" customHeight="1" x14ac:dyDescent="0.15"/>
    <row r="65435" customFormat="1" ht="32.1" customHeight="1" x14ac:dyDescent="0.15"/>
    <row r="65436" customFormat="1" ht="32.1" customHeight="1" x14ac:dyDescent="0.15"/>
    <row r="65437" customFormat="1" ht="32.1" customHeight="1" x14ac:dyDescent="0.15"/>
    <row r="65438" customFormat="1" ht="32.1" customHeight="1" x14ac:dyDescent="0.15"/>
    <row r="65439" customFormat="1" ht="32.1" customHeight="1" x14ac:dyDescent="0.15"/>
    <row r="65440" customFormat="1" ht="32.1" customHeight="1" x14ac:dyDescent="0.15"/>
    <row r="65441" s="76" customFormat="1" ht="32.1" customHeight="1" x14ac:dyDescent="0.15"/>
    <row r="65442" s="76" customFormat="1" ht="32.1" customHeight="1" x14ac:dyDescent="0.15"/>
    <row r="65443" s="76" customFormat="1" ht="32.1" customHeight="1" x14ac:dyDescent="0.15"/>
    <row r="65444" s="76" customFormat="1" ht="32.1" customHeight="1" x14ac:dyDescent="0.15"/>
    <row r="65445" s="76" customFormat="1" ht="21.95" customHeight="1" x14ac:dyDescent="0.15"/>
    <row r="65446" s="76" customFormat="1" ht="54" customHeight="1" x14ac:dyDescent="0.15"/>
    <row r="65447" s="76" customFormat="1" ht="21.95" customHeight="1" x14ac:dyDescent="0.15"/>
    <row r="65448" s="76" customFormat="1" ht="21.95" customHeight="1" x14ac:dyDescent="0.15"/>
    <row r="65449" s="76" customFormat="1" ht="21.95" customHeight="1" x14ac:dyDescent="0.15"/>
    <row r="65450" s="76" customFormat="1" ht="21.95" customHeight="1" x14ac:dyDescent="0.15"/>
    <row r="65451" s="76" customFormat="1" ht="21.95" customHeight="1" x14ac:dyDescent="0.15"/>
    <row r="65452" s="76" customFormat="1" ht="21.95" customHeight="1" x14ac:dyDescent="0.15"/>
    <row r="65453" s="76" customFormat="1" ht="21.95" customHeight="1" x14ac:dyDescent="0.15"/>
    <row r="65454" s="76" customFormat="1" ht="21.95" customHeight="1" x14ac:dyDescent="0.15"/>
    <row r="65455" s="76" customFormat="1" ht="21.95" customHeight="1" x14ac:dyDescent="0.15"/>
    <row r="65456" s="76" customFormat="1" ht="21.95" customHeight="1" x14ac:dyDescent="0.15"/>
    <row r="65457" s="76" customFormat="1" ht="21.95" customHeight="1" x14ac:dyDescent="0.15"/>
    <row r="65458" s="76" customFormat="1" ht="21.95" customHeight="1" x14ac:dyDescent="0.15"/>
    <row r="65459" s="76" customFormat="1" ht="21.95" customHeight="1" x14ac:dyDescent="0.15"/>
    <row r="65460" s="76" customFormat="1" ht="21.95" customHeight="1" x14ac:dyDescent="0.15"/>
    <row r="65461" s="76" customFormat="1" ht="21.95" customHeight="1" x14ac:dyDescent="0.15"/>
    <row r="65462" s="76" customFormat="1" ht="21.95" customHeight="1" x14ac:dyDescent="0.15"/>
    <row r="65463" s="76" customFormat="1" ht="21.95" customHeight="1" x14ac:dyDescent="0.15"/>
    <row r="65464" s="76" customFormat="1" ht="21.95" customHeight="1" x14ac:dyDescent="0.15"/>
    <row r="65465" s="76" customFormat="1" ht="21.95" customHeight="1" x14ac:dyDescent="0.15"/>
    <row r="65466" s="76" customFormat="1" ht="21.95" customHeight="1" x14ac:dyDescent="0.15"/>
    <row r="65467" s="76" customFormat="1" ht="21.95" customHeight="1" x14ac:dyDescent="0.15"/>
    <row r="65468" s="76" customFormat="1" ht="21.95" customHeight="1" x14ac:dyDescent="0.15"/>
    <row r="65469" s="76" customFormat="1" ht="21.95" customHeight="1" x14ac:dyDescent="0.15"/>
    <row r="65470" s="76" customFormat="1" ht="21.95" customHeight="1" x14ac:dyDescent="0.15"/>
    <row r="65471" s="76" customFormat="1" ht="21.95" customHeight="1" x14ac:dyDescent="0.15"/>
    <row r="65472" s="76" customFormat="1" ht="21.95" customHeight="1" x14ac:dyDescent="0.15"/>
    <row r="65473" s="76" customFormat="1" ht="21.95" customHeight="1" x14ac:dyDescent="0.15"/>
    <row r="65474" s="76" customFormat="1" ht="21.95" customHeight="1" x14ac:dyDescent="0.15"/>
    <row r="65475" s="76" customFormat="1" ht="21.95" customHeight="1" x14ac:dyDescent="0.15"/>
    <row r="65476" s="76" customFormat="1" ht="21.95" customHeight="1" x14ac:dyDescent="0.15"/>
    <row r="65477" s="76" customFormat="1" ht="21.95" customHeight="1" x14ac:dyDescent="0.15"/>
    <row r="65478" s="76" customFormat="1" ht="21.95" customHeight="1" x14ac:dyDescent="0.15"/>
    <row r="65479" s="76" customFormat="1" ht="21.95" customHeight="1" x14ac:dyDescent="0.15"/>
    <row r="65480" s="76" customFormat="1" ht="21.95" customHeight="1" x14ac:dyDescent="0.15"/>
    <row r="65481" s="76" customFormat="1" ht="21.95" customHeight="1" x14ac:dyDescent="0.15"/>
    <row r="65482" s="76" customFormat="1" ht="21.95" customHeight="1" x14ac:dyDescent="0.15"/>
    <row r="65483" s="76" customFormat="1" ht="21.95" customHeight="1" x14ac:dyDescent="0.15"/>
    <row r="65484" s="76" customFormat="1" ht="21.95" customHeight="1" x14ac:dyDescent="0.15"/>
    <row r="65485" s="76" customFormat="1" ht="21.95" customHeight="1" x14ac:dyDescent="0.15"/>
    <row r="65486" s="76" customFormat="1" ht="21.95" customHeight="1" x14ac:dyDescent="0.15"/>
    <row r="65487" s="76" customFormat="1" ht="21.95" customHeight="1" x14ac:dyDescent="0.15"/>
    <row r="65488" s="76" customFormat="1" ht="21.95" customHeight="1" x14ac:dyDescent="0.15"/>
    <row r="65489" s="76" customFormat="1" ht="21.95" customHeight="1" x14ac:dyDescent="0.15"/>
    <row r="65490" s="76" customFormat="1" ht="21.95" customHeight="1" x14ac:dyDescent="0.15"/>
    <row r="65491" s="76" customFormat="1" ht="21.95" customHeight="1" x14ac:dyDescent="0.15"/>
    <row r="65492" s="76" customFormat="1" ht="21.95" customHeight="1" x14ac:dyDescent="0.15"/>
    <row r="65493" s="76" customFormat="1" ht="21.95" customHeight="1" x14ac:dyDescent="0.15"/>
    <row r="65494" s="76" customFormat="1" ht="21.95" customHeight="1" x14ac:dyDescent="0.15"/>
    <row r="65495" s="76" customFormat="1" ht="21.95" customHeight="1" x14ac:dyDescent="0.15"/>
    <row r="65496" s="76" customFormat="1" ht="21.95" customHeight="1" x14ac:dyDescent="0.15"/>
    <row r="65497" s="76" customFormat="1" ht="35.1" customHeight="1" x14ac:dyDescent="0.15"/>
    <row r="65498" s="76" customFormat="1" ht="21.95" customHeight="1" x14ac:dyDescent="0.15"/>
    <row r="65499" s="76" customFormat="1" ht="21.95" customHeight="1" x14ac:dyDescent="0.15"/>
    <row r="65500" s="76" customFormat="1" ht="21.95" customHeight="1" x14ac:dyDescent="0.15"/>
    <row r="65501" s="76" customFormat="1" ht="21.95" customHeight="1" x14ac:dyDescent="0.15"/>
    <row r="65502" s="76" customFormat="1" ht="21.95" customHeight="1" x14ac:dyDescent="0.15"/>
    <row r="65503" s="76" customFormat="1" ht="21.95" customHeight="1" x14ac:dyDescent="0.15"/>
    <row r="65504" s="76" customFormat="1" ht="21.95" customHeight="1" x14ac:dyDescent="0.15"/>
    <row r="65505" s="76" customFormat="1" ht="21.95" customHeight="1" x14ac:dyDescent="0.15"/>
    <row r="65506" s="76" customFormat="1" ht="21.95" customHeight="1" x14ac:dyDescent="0.15"/>
    <row r="65507" s="76" customFormat="1" ht="21.95" customHeight="1" x14ac:dyDescent="0.15"/>
    <row r="65508" s="76" customFormat="1" ht="21.95" customHeight="1" x14ac:dyDescent="0.15"/>
    <row r="65509" s="76" customFormat="1" ht="21.95" customHeight="1" x14ac:dyDescent="0.15"/>
    <row r="65510" s="76" customFormat="1" ht="21.95" customHeight="1" x14ac:dyDescent="0.15"/>
    <row r="65511" s="76" customFormat="1" ht="21.95" customHeight="1" x14ac:dyDescent="0.15"/>
    <row r="65512" s="76" customFormat="1" ht="21.95" customHeight="1" x14ac:dyDescent="0.15"/>
    <row r="65513" s="76" customFormat="1" ht="21.95" customHeight="1" x14ac:dyDescent="0.15"/>
    <row r="65514" s="76" customFormat="1" ht="21.95" customHeight="1" x14ac:dyDescent="0.15"/>
    <row r="65515" s="76" customFormat="1" ht="21.95" customHeight="1" x14ac:dyDescent="0.15"/>
    <row r="65516" s="76" customFormat="1" ht="21.95" customHeight="1" x14ac:dyDescent="0.15"/>
    <row r="65517" s="76" customFormat="1" ht="21.95" customHeight="1" x14ac:dyDescent="0.15"/>
    <row r="65518" s="76" customFormat="1" ht="21.95" customHeight="1" x14ac:dyDescent="0.15"/>
    <row r="65519" s="76" customFormat="1" ht="21.95" customHeight="1" x14ac:dyDescent="0.15"/>
    <row r="65520" s="76" customFormat="1" ht="21.95" customHeight="1" x14ac:dyDescent="0.15"/>
    <row r="65521" spans="3:3" customFormat="1" ht="21.95" customHeight="1" x14ac:dyDescent="0.15"/>
    <row r="65522" spans="3:3" customFormat="1" ht="21.95" customHeight="1" x14ac:dyDescent="0.15"/>
    <row r="65523" spans="3:3" customFormat="1" ht="21.95" customHeight="1" x14ac:dyDescent="0.15">
      <c r="C65523" s="94"/>
    </row>
    <row r="65524" spans="3:3" customFormat="1" ht="21.95" customHeight="1" x14ac:dyDescent="0.15">
      <c r="C65524" s="94"/>
    </row>
    <row r="65525" spans="3:3" customFormat="1" ht="21.95" customHeight="1" x14ac:dyDescent="0.15"/>
    <row r="65526" spans="3:3" customFormat="1" ht="21.95" customHeight="1" x14ac:dyDescent="0.15"/>
    <row r="65527" spans="3:3" customFormat="1" ht="21.95" customHeight="1" x14ac:dyDescent="0.15"/>
    <row r="65528" spans="3:3" customFormat="1" ht="21.95" customHeight="1" x14ac:dyDescent="0.15"/>
    <row r="65529" spans="3:3" customFormat="1" ht="21.95" customHeight="1" x14ac:dyDescent="0.15"/>
    <row r="65530" spans="3:3" customFormat="1" ht="21.95" customHeight="1" x14ac:dyDescent="0.15"/>
    <row r="65531" spans="3:3" customFormat="1" ht="21.95" customHeight="1" x14ac:dyDescent="0.15"/>
    <row r="65532" spans="3:3" s="76" customFormat="1" ht="21.95" customHeight="1" x14ac:dyDescent="0.15"/>
    <row r="65533" spans="3:3" s="76" customFormat="1" ht="21.95" customHeight="1" x14ac:dyDescent="0.15"/>
    <row r="65534" spans="3:3" s="76" customFormat="1" ht="21.95" customHeight="1" x14ac:dyDescent="0.15"/>
    <row r="65535" spans="3:3" s="76" customFormat="1" ht="21.95" customHeight="1" x14ac:dyDescent="0.15"/>
    <row r="65536" spans="3:3" customFormat="1" ht="21.95" customHeight="1" x14ac:dyDescent="0.15"/>
  </sheetData>
  <autoFilter ref="A1:I259" xr:uid="{00000000-0009-0000-0000-000000000000}"/>
  <mergeCells count="583">
    <mergeCell ref="C339:C340"/>
    <mergeCell ref="C451:C452"/>
    <mergeCell ref="C563:C564"/>
    <mergeCell ref="C675:C676"/>
    <mergeCell ref="C787:C788"/>
    <mergeCell ref="C899:C900"/>
    <mergeCell ref="C1011:C1012"/>
    <mergeCell ref="C1123:C1124"/>
    <mergeCell ref="C1235:C1236"/>
    <mergeCell ref="C1347:C1348"/>
    <mergeCell ref="C1459:C1460"/>
    <mergeCell ref="C1571:C1572"/>
    <mergeCell ref="C1683:C1684"/>
    <mergeCell ref="C1795:C1796"/>
    <mergeCell ref="C1907:C1908"/>
    <mergeCell ref="C2019:C2020"/>
    <mergeCell ref="C2131:C2132"/>
    <mergeCell ref="C2243:C2244"/>
    <mergeCell ref="C2355:C2356"/>
    <mergeCell ref="C2467:C2468"/>
    <mergeCell ref="C2579:C2580"/>
    <mergeCell ref="C2691:C2692"/>
    <mergeCell ref="C2803:C2804"/>
    <mergeCell ref="C2915:C2916"/>
    <mergeCell ref="C3027:C3028"/>
    <mergeCell ref="C3139:C3140"/>
    <mergeCell ref="C3251:C3252"/>
    <mergeCell ref="C3363:C3364"/>
    <mergeCell ref="C3475:C3476"/>
    <mergeCell ref="C3587:C3588"/>
    <mergeCell ref="C3699:C3700"/>
    <mergeCell ref="C3811:C3812"/>
    <mergeCell ref="C3923:C3924"/>
    <mergeCell ref="C4035:C4036"/>
    <mergeCell ref="C4147:C4148"/>
    <mergeCell ref="C4259:C4260"/>
    <mergeCell ref="C4371:C4372"/>
    <mergeCell ref="C4483:C4484"/>
    <mergeCell ref="C4595:C4596"/>
    <mergeCell ref="C4707:C4708"/>
    <mergeCell ref="C4819:C4820"/>
    <mergeCell ref="C4931:C4932"/>
    <mergeCell ref="C5043:C5044"/>
    <mergeCell ref="C5155:C5156"/>
    <mergeCell ref="C5267:C5268"/>
    <mergeCell ref="C5379:C5380"/>
    <mergeCell ref="C5491:C5492"/>
    <mergeCell ref="C5603:C5604"/>
    <mergeCell ref="C5715:C5716"/>
    <mergeCell ref="C5827:C5828"/>
    <mergeCell ref="C5939:C5940"/>
    <mergeCell ref="C6051:C6052"/>
    <mergeCell ref="C6163:C6164"/>
    <mergeCell ref="C6275:C6276"/>
    <mergeCell ref="C6387:C6388"/>
    <mergeCell ref="C6499:C6500"/>
    <mergeCell ref="C6611:C6612"/>
    <mergeCell ref="C6723:C6724"/>
    <mergeCell ref="C6835:C6836"/>
    <mergeCell ref="C6947:C6948"/>
    <mergeCell ref="C7059:C7060"/>
    <mergeCell ref="C7171:C7172"/>
    <mergeCell ref="C7283:C7284"/>
    <mergeCell ref="C7395:C7396"/>
    <mergeCell ref="C7507:C7508"/>
    <mergeCell ref="C7619:C7620"/>
    <mergeCell ref="C7731:C7732"/>
    <mergeCell ref="C7843:C7844"/>
    <mergeCell ref="C7955:C7956"/>
    <mergeCell ref="C8067:C8068"/>
    <mergeCell ref="C8179:C8180"/>
    <mergeCell ref="C8291:C8292"/>
    <mergeCell ref="C8403:C8404"/>
    <mergeCell ref="C8515:C8516"/>
    <mergeCell ref="C8627:C8628"/>
    <mergeCell ref="C8739:C8740"/>
    <mergeCell ref="C8851:C8852"/>
    <mergeCell ref="C8963:C8964"/>
    <mergeCell ref="C9075:C9076"/>
    <mergeCell ref="C9187:C9188"/>
    <mergeCell ref="C9299:C9300"/>
    <mergeCell ref="C9411:C9412"/>
    <mergeCell ref="C9523:C9524"/>
    <mergeCell ref="C9635:C9636"/>
    <mergeCell ref="C9747:C9748"/>
    <mergeCell ref="C9859:C9860"/>
    <mergeCell ref="C9971:C9972"/>
    <mergeCell ref="C10083:C10084"/>
    <mergeCell ref="C10195:C10196"/>
    <mergeCell ref="C10307:C10308"/>
    <mergeCell ref="C10419:C10420"/>
    <mergeCell ref="C10531:C10532"/>
    <mergeCell ref="C10643:C10644"/>
    <mergeCell ref="C10755:C10756"/>
    <mergeCell ref="C10867:C10868"/>
    <mergeCell ref="C10979:C10980"/>
    <mergeCell ref="C11091:C11092"/>
    <mergeCell ref="C11203:C11204"/>
    <mergeCell ref="C11315:C11316"/>
    <mergeCell ref="C11427:C11428"/>
    <mergeCell ref="C11539:C11540"/>
    <mergeCell ref="C11651:C11652"/>
    <mergeCell ref="C11763:C11764"/>
    <mergeCell ref="C11875:C11876"/>
    <mergeCell ref="C11987:C11988"/>
    <mergeCell ref="C12099:C12100"/>
    <mergeCell ref="C12211:C12212"/>
    <mergeCell ref="C12323:C12324"/>
    <mergeCell ref="C12435:C12436"/>
    <mergeCell ref="C12547:C12548"/>
    <mergeCell ref="C12659:C12660"/>
    <mergeCell ref="C12771:C12772"/>
    <mergeCell ref="C12883:C12884"/>
    <mergeCell ref="C12995:C12996"/>
    <mergeCell ref="C13107:C13108"/>
    <mergeCell ref="C13219:C13220"/>
    <mergeCell ref="C13331:C13332"/>
    <mergeCell ref="C13443:C13444"/>
    <mergeCell ref="C13555:C13556"/>
    <mergeCell ref="C13667:C13668"/>
    <mergeCell ref="C13779:C13780"/>
    <mergeCell ref="C13891:C13892"/>
    <mergeCell ref="C14003:C14004"/>
    <mergeCell ref="C14115:C14116"/>
    <mergeCell ref="C14227:C14228"/>
    <mergeCell ref="C14339:C14340"/>
    <mergeCell ref="C14451:C14452"/>
    <mergeCell ref="C14563:C14564"/>
    <mergeCell ref="C14675:C14676"/>
    <mergeCell ref="C14787:C14788"/>
    <mergeCell ref="C14899:C14900"/>
    <mergeCell ref="C15011:C15012"/>
    <mergeCell ref="C15123:C15124"/>
    <mergeCell ref="C15235:C15236"/>
    <mergeCell ref="C15347:C15348"/>
    <mergeCell ref="C15459:C15460"/>
    <mergeCell ref="C15571:C15572"/>
    <mergeCell ref="C15683:C15684"/>
    <mergeCell ref="C15795:C15796"/>
    <mergeCell ref="C15907:C15908"/>
    <mergeCell ref="C16019:C16020"/>
    <mergeCell ref="C16131:C16132"/>
    <mergeCell ref="C16243:C16244"/>
    <mergeCell ref="C16355:C16356"/>
    <mergeCell ref="C16467:C16468"/>
    <mergeCell ref="C16579:C16580"/>
    <mergeCell ref="C16691:C16692"/>
    <mergeCell ref="C16803:C16804"/>
    <mergeCell ref="C16915:C16916"/>
    <mergeCell ref="C17027:C17028"/>
    <mergeCell ref="C17139:C17140"/>
    <mergeCell ref="C17251:C17252"/>
    <mergeCell ref="C17363:C17364"/>
    <mergeCell ref="C17475:C17476"/>
    <mergeCell ref="C17587:C17588"/>
    <mergeCell ref="C17699:C17700"/>
    <mergeCell ref="C17811:C17812"/>
    <mergeCell ref="C17923:C17924"/>
    <mergeCell ref="C18035:C18036"/>
    <mergeCell ref="C18147:C18148"/>
    <mergeCell ref="C18259:C18260"/>
    <mergeCell ref="C18371:C18372"/>
    <mergeCell ref="C18483:C18484"/>
    <mergeCell ref="C18595:C18596"/>
    <mergeCell ref="C18707:C18708"/>
    <mergeCell ref="C18819:C18820"/>
    <mergeCell ref="C18931:C18932"/>
    <mergeCell ref="C19043:C19044"/>
    <mergeCell ref="C19155:C19156"/>
    <mergeCell ref="C19267:C19268"/>
    <mergeCell ref="C19379:C19380"/>
    <mergeCell ref="C19491:C19492"/>
    <mergeCell ref="C19603:C19604"/>
    <mergeCell ref="C19715:C19716"/>
    <mergeCell ref="C19827:C19828"/>
    <mergeCell ref="C19939:C19940"/>
    <mergeCell ref="C20051:C20052"/>
    <mergeCell ref="C20163:C20164"/>
    <mergeCell ref="C20275:C20276"/>
    <mergeCell ref="C20387:C20388"/>
    <mergeCell ref="C20499:C20500"/>
    <mergeCell ref="C20611:C20612"/>
    <mergeCell ref="C20723:C20724"/>
    <mergeCell ref="C20835:C20836"/>
    <mergeCell ref="C20947:C20948"/>
    <mergeCell ref="C21059:C21060"/>
    <mergeCell ref="C21171:C21172"/>
    <mergeCell ref="C21283:C21284"/>
    <mergeCell ref="C21395:C21396"/>
    <mergeCell ref="C21507:C21508"/>
    <mergeCell ref="C21619:C21620"/>
    <mergeCell ref="C21731:C21732"/>
    <mergeCell ref="C21843:C21844"/>
    <mergeCell ref="C21955:C21956"/>
    <mergeCell ref="C22067:C22068"/>
    <mergeCell ref="C22179:C22180"/>
    <mergeCell ref="C22291:C22292"/>
    <mergeCell ref="C22403:C22404"/>
    <mergeCell ref="C22515:C22516"/>
    <mergeCell ref="C22627:C22628"/>
    <mergeCell ref="C22739:C22740"/>
    <mergeCell ref="C22851:C22852"/>
    <mergeCell ref="C22963:C22964"/>
    <mergeCell ref="C23075:C23076"/>
    <mergeCell ref="C23187:C23188"/>
    <mergeCell ref="C23299:C23300"/>
    <mergeCell ref="C23411:C23412"/>
    <mergeCell ref="C23523:C23524"/>
    <mergeCell ref="C23635:C23636"/>
    <mergeCell ref="C23747:C23748"/>
    <mergeCell ref="C23859:C23860"/>
    <mergeCell ref="C23971:C23972"/>
    <mergeCell ref="C24083:C24084"/>
    <mergeCell ref="C24195:C24196"/>
    <mergeCell ref="C24307:C24308"/>
    <mergeCell ref="C24419:C24420"/>
    <mergeCell ref="C24531:C24532"/>
    <mergeCell ref="C24643:C24644"/>
    <mergeCell ref="C24755:C24756"/>
    <mergeCell ref="C24867:C24868"/>
    <mergeCell ref="C24979:C24980"/>
    <mergeCell ref="C25091:C25092"/>
    <mergeCell ref="C25203:C25204"/>
    <mergeCell ref="C25315:C25316"/>
    <mergeCell ref="C25427:C25428"/>
    <mergeCell ref="C25539:C25540"/>
    <mergeCell ref="C25651:C25652"/>
    <mergeCell ref="C25763:C25764"/>
    <mergeCell ref="C25875:C25876"/>
    <mergeCell ref="C25987:C25988"/>
    <mergeCell ref="C26099:C26100"/>
    <mergeCell ref="C26211:C26212"/>
    <mergeCell ref="C26323:C26324"/>
    <mergeCell ref="C26435:C26436"/>
    <mergeCell ref="C26547:C26548"/>
    <mergeCell ref="C26659:C26660"/>
    <mergeCell ref="C26771:C26772"/>
    <mergeCell ref="C26883:C26884"/>
    <mergeCell ref="C26995:C26996"/>
    <mergeCell ref="C27107:C27108"/>
    <mergeCell ref="C27219:C27220"/>
    <mergeCell ref="C27331:C27332"/>
    <mergeCell ref="C27443:C27444"/>
    <mergeCell ref="C27555:C27556"/>
    <mergeCell ref="C27667:C27668"/>
    <mergeCell ref="C27779:C27780"/>
    <mergeCell ref="C27891:C27892"/>
    <mergeCell ref="C28003:C28004"/>
    <mergeCell ref="C28115:C28116"/>
    <mergeCell ref="C28227:C28228"/>
    <mergeCell ref="C28339:C28340"/>
    <mergeCell ref="C28451:C28452"/>
    <mergeCell ref="C28563:C28564"/>
    <mergeCell ref="C28675:C28676"/>
    <mergeCell ref="C28787:C28788"/>
    <mergeCell ref="C28899:C28900"/>
    <mergeCell ref="C29011:C29012"/>
    <mergeCell ref="C29123:C29124"/>
    <mergeCell ref="C29235:C29236"/>
    <mergeCell ref="C29347:C29348"/>
    <mergeCell ref="C29459:C29460"/>
    <mergeCell ref="C29571:C29572"/>
    <mergeCell ref="C29683:C29684"/>
    <mergeCell ref="C29795:C29796"/>
    <mergeCell ref="C29907:C29908"/>
    <mergeCell ref="C30019:C30020"/>
    <mergeCell ref="C30131:C30132"/>
    <mergeCell ref="C30243:C30244"/>
    <mergeCell ref="C30355:C30356"/>
    <mergeCell ref="C30467:C30468"/>
    <mergeCell ref="C30579:C30580"/>
    <mergeCell ref="C30691:C30692"/>
    <mergeCell ref="C30803:C30804"/>
    <mergeCell ref="C30915:C30916"/>
    <mergeCell ref="C31027:C31028"/>
    <mergeCell ref="C31139:C31140"/>
    <mergeCell ref="C31251:C31252"/>
    <mergeCell ref="C31363:C31364"/>
    <mergeCell ref="C31475:C31476"/>
    <mergeCell ref="C31587:C31588"/>
    <mergeCell ref="C31699:C31700"/>
    <mergeCell ref="C31811:C31812"/>
    <mergeCell ref="C31923:C31924"/>
    <mergeCell ref="C32035:C32036"/>
    <mergeCell ref="C32147:C32148"/>
    <mergeCell ref="C32259:C32260"/>
    <mergeCell ref="C32371:C32372"/>
    <mergeCell ref="C32483:C32484"/>
    <mergeCell ref="C32595:C32596"/>
    <mergeCell ref="C32707:C32708"/>
    <mergeCell ref="C32819:C32820"/>
    <mergeCell ref="C32931:C32932"/>
    <mergeCell ref="C33043:C33044"/>
    <mergeCell ref="C33155:C33156"/>
    <mergeCell ref="C33267:C33268"/>
    <mergeCell ref="C33379:C33380"/>
    <mergeCell ref="C33491:C33492"/>
    <mergeCell ref="C33603:C33604"/>
    <mergeCell ref="C33715:C33716"/>
    <mergeCell ref="C33827:C33828"/>
    <mergeCell ref="C33939:C33940"/>
    <mergeCell ref="C34051:C34052"/>
    <mergeCell ref="C34163:C34164"/>
    <mergeCell ref="C34275:C34276"/>
    <mergeCell ref="C34387:C34388"/>
    <mergeCell ref="C34499:C34500"/>
    <mergeCell ref="C34611:C34612"/>
    <mergeCell ref="C34723:C34724"/>
    <mergeCell ref="C34835:C34836"/>
    <mergeCell ref="C34947:C34948"/>
    <mergeCell ref="C35059:C35060"/>
    <mergeCell ref="C35171:C35172"/>
    <mergeCell ref="C35283:C35284"/>
    <mergeCell ref="C35395:C35396"/>
    <mergeCell ref="C35507:C35508"/>
    <mergeCell ref="C35619:C35620"/>
    <mergeCell ref="C35731:C35732"/>
    <mergeCell ref="C35843:C35844"/>
    <mergeCell ref="C35955:C35956"/>
    <mergeCell ref="C36067:C36068"/>
    <mergeCell ref="C36179:C36180"/>
    <mergeCell ref="C36291:C36292"/>
    <mergeCell ref="C36403:C36404"/>
    <mergeCell ref="C36515:C36516"/>
    <mergeCell ref="C36627:C36628"/>
    <mergeCell ref="C36739:C36740"/>
    <mergeCell ref="C36851:C36852"/>
    <mergeCell ref="C36963:C36964"/>
    <mergeCell ref="C37075:C37076"/>
    <mergeCell ref="C37187:C37188"/>
    <mergeCell ref="C37299:C37300"/>
    <mergeCell ref="C37411:C37412"/>
    <mergeCell ref="C37523:C37524"/>
    <mergeCell ref="C37635:C37636"/>
    <mergeCell ref="C37747:C37748"/>
    <mergeCell ref="C37859:C37860"/>
    <mergeCell ref="C37971:C37972"/>
    <mergeCell ref="C38083:C38084"/>
    <mergeCell ref="C38195:C38196"/>
    <mergeCell ref="C38307:C38308"/>
    <mergeCell ref="C38419:C38420"/>
    <mergeCell ref="C38531:C38532"/>
    <mergeCell ref="C38643:C38644"/>
    <mergeCell ref="C38755:C38756"/>
    <mergeCell ref="C38867:C38868"/>
    <mergeCell ref="C38979:C38980"/>
    <mergeCell ref="C39091:C39092"/>
    <mergeCell ref="C39203:C39204"/>
    <mergeCell ref="C39315:C39316"/>
    <mergeCell ref="C39427:C39428"/>
    <mergeCell ref="C39539:C39540"/>
    <mergeCell ref="C39651:C39652"/>
    <mergeCell ref="C39763:C39764"/>
    <mergeCell ref="C39875:C39876"/>
    <mergeCell ref="C39987:C39988"/>
    <mergeCell ref="C40099:C40100"/>
    <mergeCell ref="C40211:C40212"/>
    <mergeCell ref="C40323:C40324"/>
    <mergeCell ref="C40435:C40436"/>
    <mergeCell ref="C40547:C40548"/>
    <mergeCell ref="C40659:C40660"/>
    <mergeCell ref="C40771:C40772"/>
    <mergeCell ref="C40883:C40884"/>
    <mergeCell ref="C40995:C40996"/>
    <mergeCell ref="C41107:C41108"/>
    <mergeCell ref="C41219:C41220"/>
    <mergeCell ref="C41331:C41332"/>
    <mergeCell ref="C41443:C41444"/>
    <mergeCell ref="C41555:C41556"/>
    <mergeCell ref="C41667:C41668"/>
    <mergeCell ref="C41779:C41780"/>
    <mergeCell ref="C41891:C41892"/>
    <mergeCell ref="C42003:C42004"/>
    <mergeCell ref="C42115:C42116"/>
    <mergeCell ref="C42227:C42228"/>
    <mergeCell ref="C42339:C42340"/>
    <mergeCell ref="C42451:C42452"/>
    <mergeCell ref="C42563:C42564"/>
    <mergeCell ref="C42675:C42676"/>
    <mergeCell ref="C42787:C42788"/>
    <mergeCell ref="C42899:C42900"/>
    <mergeCell ref="C43011:C43012"/>
    <mergeCell ref="C43123:C43124"/>
    <mergeCell ref="C43235:C43236"/>
    <mergeCell ref="C43347:C43348"/>
    <mergeCell ref="C43459:C43460"/>
    <mergeCell ref="C43571:C43572"/>
    <mergeCell ref="C43683:C43684"/>
    <mergeCell ref="C43795:C43796"/>
    <mergeCell ref="C43907:C43908"/>
    <mergeCell ref="C44019:C44020"/>
    <mergeCell ref="C44131:C44132"/>
    <mergeCell ref="C44243:C44244"/>
    <mergeCell ref="C44355:C44356"/>
    <mergeCell ref="C44467:C44468"/>
    <mergeCell ref="C44579:C44580"/>
    <mergeCell ref="C44691:C44692"/>
    <mergeCell ref="C44803:C44804"/>
    <mergeCell ref="C44915:C44916"/>
    <mergeCell ref="C45027:C45028"/>
    <mergeCell ref="C45139:C45140"/>
    <mergeCell ref="C45251:C45252"/>
    <mergeCell ref="C45363:C45364"/>
    <mergeCell ref="C45475:C45476"/>
    <mergeCell ref="C45587:C45588"/>
    <mergeCell ref="C45699:C45700"/>
    <mergeCell ref="C45811:C45812"/>
    <mergeCell ref="C45923:C45924"/>
    <mergeCell ref="C46035:C46036"/>
    <mergeCell ref="C46147:C46148"/>
    <mergeCell ref="C46259:C46260"/>
    <mergeCell ref="C46371:C46372"/>
    <mergeCell ref="C46483:C46484"/>
    <mergeCell ref="C46595:C46596"/>
    <mergeCell ref="C46707:C46708"/>
    <mergeCell ref="C46819:C46820"/>
    <mergeCell ref="C46931:C46932"/>
    <mergeCell ref="C47043:C47044"/>
    <mergeCell ref="C47155:C47156"/>
    <mergeCell ref="C47267:C47268"/>
    <mergeCell ref="C47379:C47380"/>
    <mergeCell ref="C47491:C47492"/>
    <mergeCell ref="C47603:C47604"/>
    <mergeCell ref="C47715:C47716"/>
    <mergeCell ref="C47827:C47828"/>
    <mergeCell ref="C47939:C47940"/>
    <mergeCell ref="C48051:C48052"/>
    <mergeCell ref="C48163:C48164"/>
    <mergeCell ref="C48275:C48276"/>
    <mergeCell ref="C48387:C48388"/>
    <mergeCell ref="C48499:C48500"/>
    <mergeCell ref="C48611:C48612"/>
    <mergeCell ref="C48723:C48724"/>
    <mergeCell ref="C48835:C48836"/>
    <mergeCell ref="C48947:C48948"/>
    <mergeCell ref="C49059:C49060"/>
    <mergeCell ref="C49171:C49172"/>
    <mergeCell ref="C49283:C49284"/>
    <mergeCell ref="C49395:C49396"/>
    <mergeCell ref="C49507:C49508"/>
    <mergeCell ref="C49619:C49620"/>
    <mergeCell ref="C49731:C49732"/>
    <mergeCell ref="C49843:C49844"/>
    <mergeCell ref="C49955:C49956"/>
    <mergeCell ref="C50067:C50068"/>
    <mergeCell ref="C50179:C50180"/>
    <mergeCell ref="C50291:C50292"/>
    <mergeCell ref="C50403:C50404"/>
    <mergeCell ref="C50515:C50516"/>
    <mergeCell ref="C50627:C50628"/>
    <mergeCell ref="C50739:C50740"/>
    <mergeCell ref="C50851:C50852"/>
    <mergeCell ref="C50963:C50964"/>
    <mergeCell ref="C51075:C51076"/>
    <mergeCell ref="C51187:C51188"/>
    <mergeCell ref="C51299:C51300"/>
    <mergeCell ref="C51411:C51412"/>
    <mergeCell ref="C51523:C51524"/>
    <mergeCell ref="C51635:C51636"/>
    <mergeCell ref="C51747:C51748"/>
    <mergeCell ref="C51859:C51860"/>
    <mergeCell ref="C51971:C51972"/>
    <mergeCell ref="C52083:C52084"/>
    <mergeCell ref="C52195:C52196"/>
    <mergeCell ref="C52307:C52308"/>
    <mergeCell ref="C52419:C52420"/>
    <mergeCell ref="C52531:C52532"/>
    <mergeCell ref="C52643:C52644"/>
    <mergeCell ref="C52755:C52756"/>
    <mergeCell ref="C52867:C52868"/>
    <mergeCell ref="C52979:C52980"/>
    <mergeCell ref="C53091:C53092"/>
    <mergeCell ref="C53203:C53204"/>
    <mergeCell ref="C53315:C53316"/>
    <mergeCell ref="C53427:C53428"/>
    <mergeCell ref="C53539:C53540"/>
    <mergeCell ref="C53651:C53652"/>
    <mergeCell ref="C53763:C53764"/>
    <mergeCell ref="C53875:C53876"/>
    <mergeCell ref="C53987:C53988"/>
    <mergeCell ref="C54099:C54100"/>
    <mergeCell ref="C54211:C54212"/>
    <mergeCell ref="C54323:C54324"/>
    <mergeCell ref="C54435:C54436"/>
    <mergeCell ref="C54547:C54548"/>
    <mergeCell ref="C54659:C54660"/>
    <mergeCell ref="C54771:C54772"/>
    <mergeCell ref="C54883:C54884"/>
    <mergeCell ref="C54995:C54996"/>
    <mergeCell ref="C55107:C55108"/>
    <mergeCell ref="C55219:C55220"/>
    <mergeCell ref="C55331:C55332"/>
    <mergeCell ref="C55443:C55444"/>
    <mergeCell ref="C55555:C55556"/>
    <mergeCell ref="C55667:C55668"/>
    <mergeCell ref="C55779:C55780"/>
    <mergeCell ref="C55891:C55892"/>
    <mergeCell ref="C56003:C56004"/>
    <mergeCell ref="C56115:C56116"/>
    <mergeCell ref="C56227:C56228"/>
    <mergeCell ref="C56339:C56340"/>
    <mergeCell ref="C56451:C56452"/>
    <mergeCell ref="C56563:C56564"/>
    <mergeCell ref="C56675:C56676"/>
    <mergeCell ref="C56787:C56788"/>
    <mergeCell ref="C56899:C56900"/>
    <mergeCell ref="C57011:C57012"/>
    <mergeCell ref="C57123:C57124"/>
    <mergeCell ref="C57235:C57236"/>
    <mergeCell ref="C57347:C57348"/>
    <mergeCell ref="C57459:C57460"/>
    <mergeCell ref="C57571:C57572"/>
    <mergeCell ref="C57683:C57684"/>
    <mergeCell ref="C57795:C57796"/>
    <mergeCell ref="C57907:C57908"/>
    <mergeCell ref="C58019:C58020"/>
    <mergeCell ref="C58131:C58132"/>
    <mergeCell ref="C58243:C58244"/>
    <mergeCell ref="C58355:C58356"/>
    <mergeCell ref="C58467:C58468"/>
    <mergeCell ref="C58579:C58580"/>
    <mergeCell ref="C58691:C58692"/>
    <mergeCell ref="C58803:C58804"/>
    <mergeCell ref="C58915:C58916"/>
    <mergeCell ref="C59027:C59028"/>
    <mergeCell ref="C59139:C59140"/>
    <mergeCell ref="C59251:C59252"/>
    <mergeCell ref="C59363:C59364"/>
    <mergeCell ref="C59475:C59476"/>
    <mergeCell ref="C59587:C59588"/>
    <mergeCell ref="C59699:C59700"/>
    <mergeCell ref="C59811:C59812"/>
    <mergeCell ref="C59923:C59924"/>
    <mergeCell ref="C60035:C60036"/>
    <mergeCell ref="C60147:C60148"/>
    <mergeCell ref="C60259:C60260"/>
    <mergeCell ref="C60371:C60372"/>
    <mergeCell ref="C60483:C60484"/>
    <mergeCell ref="C60595:C60596"/>
    <mergeCell ref="C60707:C60708"/>
    <mergeCell ref="C60819:C60820"/>
    <mergeCell ref="C60931:C60932"/>
    <mergeCell ref="C61043:C61044"/>
    <mergeCell ref="C61155:C61156"/>
    <mergeCell ref="C61267:C61268"/>
    <mergeCell ref="C61379:C61380"/>
    <mergeCell ref="C61491:C61492"/>
    <mergeCell ref="C61603:C61604"/>
    <mergeCell ref="C61715:C61716"/>
    <mergeCell ref="C61827:C61828"/>
    <mergeCell ref="C61939:C61940"/>
    <mergeCell ref="C62051:C62052"/>
    <mergeCell ref="C62163:C62164"/>
    <mergeCell ref="C62275:C62276"/>
    <mergeCell ref="C62387:C62388"/>
    <mergeCell ref="C62499:C62500"/>
    <mergeCell ref="C62611:C62612"/>
    <mergeCell ref="C62723:C62724"/>
    <mergeCell ref="C62835:C62836"/>
    <mergeCell ref="C62947:C62948"/>
    <mergeCell ref="C63059:C63060"/>
    <mergeCell ref="C63171:C63172"/>
    <mergeCell ref="C63283:C63284"/>
    <mergeCell ref="C63395:C63396"/>
    <mergeCell ref="C63507:C63508"/>
    <mergeCell ref="C63619:C63620"/>
    <mergeCell ref="C63731:C63732"/>
    <mergeCell ref="C64851:C64852"/>
    <mergeCell ref="C64963:C64964"/>
    <mergeCell ref="C65075:C65076"/>
    <mergeCell ref="C65187:C65188"/>
    <mergeCell ref="C65299:C65300"/>
    <mergeCell ref="C65411:C65412"/>
    <mergeCell ref="C65523:C65524"/>
    <mergeCell ref="C63843:C63844"/>
    <mergeCell ref="C63955:C63956"/>
    <mergeCell ref="C64067:C64068"/>
    <mergeCell ref="C64179:C64180"/>
    <mergeCell ref="C64291:C64292"/>
    <mergeCell ref="C64403:C64404"/>
    <mergeCell ref="C64515:C64516"/>
    <mergeCell ref="C64627:C64628"/>
    <mergeCell ref="C64739:C64740"/>
  </mergeCells>
  <phoneticPr fontId="22" type="noConversion"/>
  <pageMargins left="0.75" right="0.75" top="1" bottom="1" header="0.51180555555555596" footer="0.51180555555555596"/>
  <pageSetup paperSize="9" orientation="portrait"/>
  <headerFooter scaleWithDoc="0" alignWithMargins="0"/>
  <ignoredErrors>
    <ignoredError sqref="E216:E217" numberStoredAsText="1"/>
    <ignoredError sqref="H89 H85 H76 H72 H67 H56:H58" formula="1"/>
  </ignoredError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8"/>
  <sheetViews>
    <sheetView workbookViewId="0">
      <pane ySplit="1" topLeftCell="A2" activePane="bottomLeft" state="frozen"/>
      <selection pane="bottomLeft" activeCell="A2" sqref="A2"/>
    </sheetView>
  </sheetViews>
  <sheetFormatPr defaultColWidth="9" defaultRowHeight="14.25" x14ac:dyDescent="0.15"/>
  <cols>
    <col min="1" max="1" width="20.5" customWidth="1"/>
    <col min="2" max="2" width="34.5" style="55" customWidth="1"/>
    <col min="3" max="3" width="29.625" customWidth="1"/>
    <col min="4" max="4" width="11.75" customWidth="1"/>
    <col min="5" max="5" width="12.25" customWidth="1"/>
    <col min="6" max="6" width="8.125" customWidth="1"/>
    <col min="7" max="7" width="8.625" style="56" customWidth="1"/>
    <col min="8" max="8" width="11.625" customWidth="1"/>
    <col min="9" max="9" width="14.875" customWidth="1"/>
    <col min="10" max="10" width="20.125" customWidth="1"/>
  </cols>
  <sheetData>
    <row r="1" spans="1:9" ht="23.1" customHeight="1" x14ac:dyDescent="0.15">
      <c r="A1" s="26" t="s">
        <v>0</v>
      </c>
      <c r="B1" s="57" t="s">
        <v>1</v>
      </c>
      <c r="C1" s="58" t="s">
        <v>2</v>
      </c>
      <c r="D1" s="7" t="s">
        <v>3</v>
      </c>
      <c r="E1" s="58" t="s">
        <v>4</v>
      </c>
      <c r="F1" s="58" t="s">
        <v>5</v>
      </c>
      <c r="G1" s="58" t="s">
        <v>6</v>
      </c>
      <c r="H1" s="58" t="s">
        <v>7</v>
      </c>
      <c r="I1" s="58" t="s">
        <v>8</v>
      </c>
    </row>
    <row r="2" spans="1:9" s="51" customFormat="1" ht="23.1" customHeight="1" x14ac:dyDescent="0.15">
      <c r="A2" s="92" t="s">
        <v>767</v>
      </c>
      <c r="B2" s="28" t="s">
        <v>446</v>
      </c>
      <c r="C2" s="28" t="s">
        <v>199</v>
      </c>
      <c r="D2" s="3" t="s">
        <v>447</v>
      </c>
      <c r="E2" s="28">
        <v>194400</v>
      </c>
      <c r="F2" s="28"/>
      <c r="G2" s="59">
        <f>100000+94400</f>
        <v>194400</v>
      </c>
      <c r="H2" s="26">
        <f t="shared" ref="H2:H19" si="0">E2-G2</f>
        <v>0</v>
      </c>
      <c r="I2" s="60"/>
    </row>
    <row r="3" spans="1:9" s="52" customFormat="1" ht="23.1" customHeight="1" x14ac:dyDescent="0.15">
      <c r="A3" s="92" t="s">
        <v>768</v>
      </c>
      <c r="B3" s="28" t="s">
        <v>448</v>
      </c>
      <c r="C3" s="28" t="s">
        <v>48</v>
      </c>
      <c r="D3" s="3" t="s">
        <v>447</v>
      </c>
      <c r="E3" s="28">
        <v>101585</v>
      </c>
      <c r="F3" s="28"/>
      <c r="G3" s="59">
        <v>101585</v>
      </c>
      <c r="H3" s="26">
        <f t="shared" si="0"/>
        <v>0</v>
      </c>
      <c r="I3" s="60"/>
    </row>
    <row r="4" spans="1:9" s="51" customFormat="1" ht="23.1" customHeight="1" x14ac:dyDescent="0.15">
      <c r="A4" s="92" t="s">
        <v>769</v>
      </c>
      <c r="B4" s="28" t="s">
        <v>449</v>
      </c>
      <c r="C4" s="28" t="s">
        <v>199</v>
      </c>
      <c r="D4" s="3" t="s">
        <v>450</v>
      </c>
      <c r="E4" s="28">
        <v>197320</v>
      </c>
      <c r="F4" s="28"/>
      <c r="G4" s="59">
        <v>197320</v>
      </c>
      <c r="H4" s="26">
        <f t="shared" si="0"/>
        <v>0</v>
      </c>
      <c r="I4" s="60"/>
    </row>
    <row r="5" spans="1:9" s="51" customFormat="1" ht="23.1" customHeight="1" x14ac:dyDescent="0.15">
      <c r="A5" s="92" t="s">
        <v>770</v>
      </c>
      <c r="B5" s="28" t="s">
        <v>451</v>
      </c>
      <c r="C5" s="28" t="s">
        <v>195</v>
      </c>
      <c r="D5" s="3" t="s">
        <v>450</v>
      </c>
      <c r="E5" s="28">
        <v>194815</v>
      </c>
      <c r="F5" s="28"/>
      <c r="G5" s="59">
        <f>44815+150000</f>
        <v>194815</v>
      </c>
      <c r="H5" s="26">
        <f t="shared" si="0"/>
        <v>0</v>
      </c>
      <c r="I5" s="60"/>
    </row>
    <row r="6" spans="1:9" s="51" customFormat="1" ht="23.1" customHeight="1" x14ac:dyDescent="0.15">
      <c r="A6" s="92" t="s">
        <v>771</v>
      </c>
      <c r="B6" s="28" t="s">
        <v>452</v>
      </c>
      <c r="C6" s="28" t="s">
        <v>199</v>
      </c>
      <c r="D6" s="3" t="s">
        <v>453</v>
      </c>
      <c r="E6" s="28">
        <v>198845</v>
      </c>
      <c r="F6" s="61"/>
      <c r="G6" s="60">
        <f>100000+98845</f>
        <v>198845</v>
      </c>
      <c r="H6" s="26">
        <f t="shared" si="0"/>
        <v>0</v>
      </c>
      <c r="I6" s="60"/>
    </row>
    <row r="7" spans="1:9" s="51" customFormat="1" ht="23.1" customHeight="1" x14ac:dyDescent="0.15">
      <c r="A7" s="92" t="s">
        <v>772</v>
      </c>
      <c r="B7" s="28" t="s">
        <v>454</v>
      </c>
      <c r="C7" s="28" t="s">
        <v>195</v>
      </c>
      <c r="D7" s="3" t="s">
        <v>455</v>
      </c>
      <c r="E7" s="28">
        <v>143000</v>
      </c>
      <c r="F7" s="61"/>
      <c r="G7" s="60">
        <f>43000+100000</f>
        <v>143000</v>
      </c>
      <c r="H7" s="26">
        <f t="shared" si="0"/>
        <v>0</v>
      </c>
      <c r="I7" s="60"/>
    </row>
    <row r="8" spans="1:9" s="51" customFormat="1" ht="23.1" customHeight="1" x14ac:dyDescent="0.15">
      <c r="A8" s="92" t="s">
        <v>773</v>
      </c>
      <c r="B8" s="28" t="s">
        <v>456</v>
      </c>
      <c r="C8" s="28" t="s">
        <v>457</v>
      </c>
      <c r="D8" s="3" t="s">
        <v>455</v>
      </c>
      <c r="E8" s="28">
        <v>65000</v>
      </c>
      <c r="F8" s="28"/>
      <c r="G8" s="59">
        <v>65000</v>
      </c>
      <c r="H8" s="26">
        <f t="shared" si="0"/>
        <v>0</v>
      </c>
      <c r="I8" s="60"/>
    </row>
    <row r="9" spans="1:9" s="51" customFormat="1" ht="23.1" customHeight="1" x14ac:dyDescent="0.15">
      <c r="A9" s="92" t="s">
        <v>774</v>
      </c>
      <c r="B9" s="28" t="s">
        <v>458</v>
      </c>
      <c r="C9" s="28" t="s">
        <v>459</v>
      </c>
      <c r="D9" s="3"/>
      <c r="E9" s="28">
        <v>167500</v>
      </c>
      <c r="F9" s="28"/>
      <c r="G9" s="59">
        <f>30000+90000+47500</f>
        <v>167500</v>
      </c>
      <c r="H9" s="26">
        <f t="shared" si="0"/>
        <v>0</v>
      </c>
      <c r="I9" s="60"/>
    </row>
    <row r="10" spans="1:9" s="51" customFormat="1" ht="23.1" customHeight="1" x14ac:dyDescent="0.15">
      <c r="A10" s="92" t="s">
        <v>775</v>
      </c>
      <c r="B10" s="3" t="s">
        <v>460</v>
      </c>
      <c r="C10" s="28" t="s">
        <v>121</v>
      </c>
      <c r="D10" s="3"/>
      <c r="E10" s="28">
        <v>65400</v>
      </c>
      <c r="F10" s="28"/>
      <c r="G10" s="59">
        <v>65400</v>
      </c>
      <c r="H10" s="26">
        <f t="shared" si="0"/>
        <v>0</v>
      </c>
      <c r="I10" s="60"/>
    </row>
    <row r="11" spans="1:9" s="51" customFormat="1" ht="23.1" customHeight="1" x14ac:dyDescent="0.15">
      <c r="A11" s="92" t="s">
        <v>776</v>
      </c>
      <c r="B11" s="28" t="s">
        <v>461</v>
      </c>
      <c r="C11" s="28" t="s">
        <v>193</v>
      </c>
      <c r="D11" s="3" t="s">
        <v>462</v>
      </c>
      <c r="E11" s="28">
        <v>178740</v>
      </c>
      <c r="F11" s="28"/>
      <c r="G11" s="59">
        <f>48740+130000</f>
        <v>178740</v>
      </c>
      <c r="H11" s="26">
        <f t="shared" si="0"/>
        <v>0</v>
      </c>
      <c r="I11" s="60"/>
    </row>
    <row r="12" spans="1:9" s="51" customFormat="1" ht="23.1" customHeight="1" x14ac:dyDescent="0.15">
      <c r="A12" s="92" t="s">
        <v>777</v>
      </c>
      <c r="B12" s="3" t="s">
        <v>463</v>
      </c>
      <c r="C12" s="28" t="s">
        <v>33</v>
      </c>
      <c r="D12" s="3" t="s">
        <v>455</v>
      </c>
      <c r="E12" s="28">
        <v>199300</v>
      </c>
      <c r="F12" s="28"/>
      <c r="G12" s="59">
        <v>199300</v>
      </c>
      <c r="H12" s="26">
        <f t="shared" si="0"/>
        <v>0</v>
      </c>
      <c r="I12" s="60"/>
    </row>
    <row r="13" spans="1:9" s="51" customFormat="1" ht="23.1" customHeight="1" x14ac:dyDescent="0.15">
      <c r="A13" s="92" t="s">
        <v>778</v>
      </c>
      <c r="B13" s="28" t="s">
        <v>464</v>
      </c>
      <c r="C13" s="28" t="s">
        <v>465</v>
      </c>
      <c r="D13" s="3" t="s">
        <v>453</v>
      </c>
      <c r="E13" s="28">
        <v>155800</v>
      </c>
      <c r="F13" s="28"/>
      <c r="G13" s="59">
        <f>45800+110000</f>
        <v>155800</v>
      </c>
      <c r="H13" s="26">
        <f t="shared" si="0"/>
        <v>0</v>
      </c>
      <c r="I13" s="60"/>
    </row>
    <row r="14" spans="1:9" s="51" customFormat="1" ht="23.1" customHeight="1" x14ac:dyDescent="0.15">
      <c r="A14" s="92" t="s">
        <v>779</v>
      </c>
      <c r="B14" s="28" t="s">
        <v>466</v>
      </c>
      <c r="C14" s="28" t="s">
        <v>48</v>
      </c>
      <c r="D14" s="3"/>
      <c r="E14" s="28">
        <v>194485</v>
      </c>
      <c r="F14" s="52"/>
      <c r="G14" s="60">
        <f>100000+94485</f>
        <v>194485</v>
      </c>
      <c r="H14" s="26">
        <f t="shared" si="0"/>
        <v>0</v>
      </c>
      <c r="I14" s="60" t="s">
        <v>467</v>
      </c>
    </row>
    <row r="15" spans="1:9" s="51" customFormat="1" ht="23.1" customHeight="1" x14ac:dyDescent="0.15">
      <c r="A15" s="92" t="s">
        <v>780</v>
      </c>
      <c r="B15" s="3" t="s">
        <v>468</v>
      </c>
      <c r="C15" s="28" t="s">
        <v>459</v>
      </c>
      <c r="D15" s="3" t="s">
        <v>469</v>
      </c>
      <c r="E15" s="28">
        <v>157110</v>
      </c>
      <c r="F15" s="28"/>
      <c r="G15" s="59">
        <f>80000+77110</f>
        <v>157110</v>
      </c>
      <c r="H15" s="26">
        <f t="shared" si="0"/>
        <v>0</v>
      </c>
      <c r="I15" s="60"/>
    </row>
    <row r="16" spans="1:9" s="53" customFormat="1" ht="23.1" customHeight="1" x14ac:dyDescent="0.15">
      <c r="A16" s="92" t="s">
        <v>781</v>
      </c>
      <c r="B16" s="28" t="s">
        <v>470</v>
      </c>
      <c r="C16" s="28" t="s">
        <v>471</v>
      </c>
      <c r="D16" s="3" t="s">
        <v>472</v>
      </c>
      <c r="E16" s="28">
        <v>192420</v>
      </c>
      <c r="F16" s="28"/>
      <c r="G16" s="59">
        <v>192420</v>
      </c>
      <c r="H16" s="26">
        <f t="shared" si="0"/>
        <v>0</v>
      </c>
      <c r="I16" s="62"/>
    </row>
    <row r="17" spans="1:9" s="51" customFormat="1" ht="23.1" customHeight="1" x14ac:dyDescent="0.15">
      <c r="A17" s="92" t="s">
        <v>782</v>
      </c>
      <c r="B17" s="28" t="s">
        <v>473</v>
      </c>
      <c r="C17" s="28" t="s">
        <v>457</v>
      </c>
      <c r="D17" s="3"/>
      <c r="E17" s="28">
        <v>70200</v>
      </c>
      <c r="F17" s="28"/>
      <c r="G17" s="59">
        <v>70200</v>
      </c>
      <c r="H17" s="26">
        <f t="shared" si="0"/>
        <v>0</v>
      </c>
      <c r="I17" s="60" t="s">
        <v>467</v>
      </c>
    </row>
    <row r="18" spans="1:9" s="51" customFormat="1" ht="23.1" customHeight="1" x14ac:dyDescent="0.15">
      <c r="A18" s="92" t="s">
        <v>783</v>
      </c>
      <c r="B18" s="28" t="s">
        <v>474</v>
      </c>
      <c r="C18" s="28" t="s">
        <v>475</v>
      </c>
      <c r="D18" s="3" t="s">
        <v>476</v>
      </c>
      <c r="E18" s="28">
        <v>190000</v>
      </c>
      <c r="F18" s="28"/>
      <c r="G18" s="59">
        <f>90000+100000</f>
        <v>190000</v>
      </c>
      <c r="H18" s="26">
        <f t="shared" si="0"/>
        <v>0</v>
      </c>
      <c r="I18" s="60"/>
    </row>
    <row r="19" spans="1:9" s="51" customFormat="1" ht="23.1" customHeight="1" x14ac:dyDescent="0.15">
      <c r="A19" s="92" t="s">
        <v>784</v>
      </c>
      <c r="B19" s="27" t="s">
        <v>477</v>
      </c>
      <c r="C19" s="28" t="s">
        <v>218</v>
      </c>
      <c r="D19" s="3" t="s">
        <v>478</v>
      </c>
      <c r="E19" s="28">
        <v>123760</v>
      </c>
      <c r="F19" s="28"/>
      <c r="G19" s="59"/>
      <c r="H19" s="26">
        <f t="shared" si="0"/>
        <v>123760</v>
      </c>
      <c r="I19" s="60"/>
    </row>
    <row r="20" spans="1:9" s="51" customFormat="1" ht="23.1" customHeight="1" x14ac:dyDescent="0.15">
      <c r="A20" s="92" t="s">
        <v>785</v>
      </c>
      <c r="B20" s="27" t="s">
        <v>479</v>
      </c>
      <c r="C20" s="28" t="s">
        <v>334</v>
      </c>
      <c r="D20" s="3" t="s">
        <v>480</v>
      </c>
      <c r="E20" s="86" t="s">
        <v>481</v>
      </c>
      <c r="F20" s="28"/>
      <c r="G20" s="59"/>
      <c r="H20" s="26">
        <v>194800</v>
      </c>
      <c r="I20" s="60"/>
    </row>
    <row r="21" spans="1:9" s="51" customFormat="1" ht="23.1" customHeight="1" x14ac:dyDescent="0.15">
      <c r="A21" s="92" t="s">
        <v>786</v>
      </c>
      <c r="B21" s="28" t="s">
        <v>482</v>
      </c>
      <c r="C21" s="28" t="s">
        <v>483</v>
      </c>
      <c r="D21" s="3"/>
      <c r="E21" s="29">
        <f>5147900.1</f>
        <v>5147900.0999999996</v>
      </c>
      <c r="F21" s="28"/>
      <c r="G21" s="59">
        <f>2274180.05+2873720.05</f>
        <v>5147900.0999999996</v>
      </c>
      <c r="H21" s="26">
        <f t="shared" ref="H21:H26" si="1">E21-G21</f>
        <v>0</v>
      </c>
      <c r="I21" s="60"/>
    </row>
    <row r="22" spans="1:9" s="52" customFormat="1" ht="23.1" customHeight="1" x14ac:dyDescent="0.15">
      <c r="A22" s="92" t="s">
        <v>787</v>
      </c>
      <c r="B22" s="28" t="s">
        <v>484</v>
      </c>
      <c r="C22" s="28" t="s">
        <v>459</v>
      </c>
      <c r="D22" s="3"/>
      <c r="E22" s="28">
        <v>155900</v>
      </c>
      <c r="F22" s="28"/>
      <c r="G22" s="59">
        <v>155900</v>
      </c>
      <c r="H22" s="26">
        <f t="shared" si="1"/>
        <v>0</v>
      </c>
      <c r="I22" s="60"/>
    </row>
    <row r="23" spans="1:9" s="51" customFormat="1" ht="23.1" customHeight="1" x14ac:dyDescent="0.15">
      <c r="A23" s="92" t="s">
        <v>788</v>
      </c>
      <c r="B23" s="27" t="s">
        <v>485</v>
      </c>
      <c r="C23" s="28" t="s">
        <v>486</v>
      </c>
      <c r="D23" s="3" t="s">
        <v>487</v>
      </c>
      <c r="E23" s="29">
        <v>177661.28</v>
      </c>
      <c r="F23" s="28"/>
      <c r="G23" s="59">
        <f>50000+50000+50000</f>
        <v>150000</v>
      </c>
      <c r="H23" s="26">
        <f t="shared" si="1"/>
        <v>27661.279999999999</v>
      </c>
      <c r="I23" s="60"/>
    </row>
    <row r="24" spans="1:9" s="51" customFormat="1" ht="23.1" customHeight="1" x14ac:dyDescent="0.15">
      <c r="A24" s="92" t="s">
        <v>789</v>
      </c>
      <c r="B24" s="63"/>
      <c r="C24" s="64" t="s">
        <v>488</v>
      </c>
      <c r="D24" s="65"/>
      <c r="E24" s="64"/>
      <c r="F24" s="64"/>
      <c r="G24" s="66"/>
      <c r="H24" s="67"/>
      <c r="I24" s="60"/>
    </row>
    <row r="25" spans="1:9" s="54" customFormat="1" ht="23.1" customHeight="1" x14ac:dyDescent="0.15">
      <c r="A25" s="92" t="s">
        <v>790</v>
      </c>
      <c r="B25" s="69" t="s">
        <v>489</v>
      </c>
      <c r="C25" s="69" t="s">
        <v>107</v>
      </c>
      <c r="D25" s="70"/>
      <c r="E25" s="69">
        <v>83200</v>
      </c>
      <c r="F25" s="71"/>
      <c r="G25" s="72">
        <v>83200</v>
      </c>
      <c r="H25" s="68">
        <f t="shared" si="1"/>
        <v>0</v>
      </c>
      <c r="I25" s="72"/>
    </row>
    <row r="26" spans="1:9" s="51" customFormat="1" ht="23.1" customHeight="1" x14ac:dyDescent="0.15">
      <c r="A26" s="92" t="s">
        <v>791</v>
      </c>
      <c r="B26" s="27" t="s">
        <v>490</v>
      </c>
      <c r="C26" s="28" t="s">
        <v>249</v>
      </c>
      <c r="D26" s="3" t="s">
        <v>491</v>
      </c>
      <c r="E26" s="28">
        <v>360500</v>
      </c>
      <c r="F26" s="61"/>
      <c r="G26" s="60">
        <f>100000+100000</f>
        <v>200000</v>
      </c>
      <c r="H26" s="26">
        <f t="shared" si="1"/>
        <v>160500</v>
      </c>
      <c r="I26" s="60"/>
    </row>
    <row r="27" spans="1:9" s="51" customFormat="1" ht="23.1" customHeight="1" x14ac:dyDescent="0.15">
      <c r="A27" s="92" t="s">
        <v>792</v>
      </c>
      <c r="B27" s="27" t="s">
        <v>492</v>
      </c>
      <c r="C27" s="28" t="s">
        <v>301</v>
      </c>
      <c r="D27" s="3" t="s">
        <v>493</v>
      </c>
      <c r="E27" s="28" t="s">
        <v>494</v>
      </c>
      <c r="F27" s="28"/>
      <c r="G27" s="59"/>
      <c r="H27" s="26" t="s">
        <v>494</v>
      </c>
      <c r="I27" s="60"/>
    </row>
    <row r="28" spans="1:9" s="51" customFormat="1" ht="23.1" customHeight="1" x14ac:dyDescent="0.15">
      <c r="A28" s="92" t="s">
        <v>793</v>
      </c>
      <c r="B28" s="27" t="s">
        <v>495</v>
      </c>
      <c r="C28" s="28" t="s">
        <v>326</v>
      </c>
      <c r="D28" s="3" t="s">
        <v>496</v>
      </c>
      <c r="E28" s="28">
        <v>700108</v>
      </c>
      <c r="F28" s="28"/>
      <c r="G28" s="59">
        <v>100000</v>
      </c>
      <c r="H28" s="26">
        <f t="shared" ref="H28:H66" si="2">E28-G28</f>
        <v>600108</v>
      </c>
      <c r="I28" s="60"/>
    </row>
    <row r="29" spans="1:9" s="51" customFormat="1" ht="23.1" customHeight="1" x14ac:dyDescent="0.15">
      <c r="A29" s="92" t="s">
        <v>794</v>
      </c>
      <c r="B29" s="18" t="s">
        <v>497</v>
      </c>
      <c r="C29" s="28" t="s">
        <v>323</v>
      </c>
      <c r="D29" s="3" t="s">
        <v>496</v>
      </c>
      <c r="E29" s="28">
        <v>320492</v>
      </c>
      <c r="F29" s="28"/>
      <c r="G29" s="59"/>
      <c r="H29" s="26">
        <f t="shared" si="2"/>
        <v>320492</v>
      </c>
      <c r="I29" s="60"/>
    </row>
    <row r="30" spans="1:9" s="51" customFormat="1" ht="26.1" customHeight="1" x14ac:dyDescent="0.15">
      <c r="A30" s="92" t="s">
        <v>795</v>
      </c>
      <c r="B30" s="27" t="s">
        <v>498</v>
      </c>
      <c r="C30" s="28" t="s">
        <v>499</v>
      </c>
      <c r="D30" s="3" t="s">
        <v>500</v>
      </c>
      <c r="E30" s="28">
        <v>815100</v>
      </c>
      <c r="F30" s="28"/>
      <c r="G30" s="59">
        <f>50000+100000</f>
        <v>150000</v>
      </c>
      <c r="H30" s="26">
        <f t="shared" si="2"/>
        <v>665100</v>
      </c>
      <c r="I30" s="60"/>
    </row>
    <row r="31" spans="1:9" s="51" customFormat="1" ht="23.1" customHeight="1" x14ac:dyDescent="0.15">
      <c r="A31" s="92" t="s">
        <v>796</v>
      </c>
      <c r="B31" s="3" t="s">
        <v>501</v>
      </c>
      <c r="C31" s="28" t="s">
        <v>502</v>
      </c>
      <c r="D31" s="3"/>
      <c r="E31" s="28">
        <v>564440</v>
      </c>
      <c r="F31" s="28"/>
      <c r="G31" s="59">
        <f>112888+112888+150000+188664</f>
        <v>564440</v>
      </c>
      <c r="H31" s="26">
        <f t="shared" si="2"/>
        <v>0</v>
      </c>
      <c r="I31" s="60"/>
    </row>
    <row r="32" spans="1:9" s="51" customFormat="1" ht="23.1" customHeight="1" x14ac:dyDescent="0.15">
      <c r="A32" s="92" t="s">
        <v>797</v>
      </c>
      <c r="B32" s="28" t="s">
        <v>503</v>
      </c>
      <c r="C32" s="28" t="s">
        <v>95</v>
      </c>
      <c r="D32" s="3"/>
      <c r="E32" s="28">
        <v>46534</v>
      </c>
      <c r="F32" s="28"/>
      <c r="G32" s="59">
        <v>46534</v>
      </c>
      <c r="H32" s="26">
        <f t="shared" si="2"/>
        <v>0</v>
      </c>
      <c r="I32" s="60"/>
    </row>
    <row r="33" spans="1:10" s="51" customFormat="1" ht="23.1" customHeight="1" x14ac:dyDescent="0.15">
      <c r="A33" s="92" t="s">
        <v>798</v>
      </c>
      <c r="B33" s="28" t="s">
        <v>263</v>
      </c>
      <c r="C33" s="28" t="s">
        <v>85</v>
      </c>
      <c r="D33" s="3"/>
      <c r="E33" s="28">
        <v>46534</v>
      </c>
      <c r="F33" s="52"/>
      <c r="G33" s="60">
        <v>46534</v>
      </c>
      <c r="H33" s="26">
        <f t="shared" si="2"/>
        <v>0</v>
      </c>
      <c r="I33" s="60" t="s">
        <v>467</v>
      </c>
    </row>
    <row r="34" spans="1:10" s="51" customFormat="1" ht="23.1" customHeight="1" x14ac:dyDescent="0.15">
      <c r="A34" s="92" t="s">
        <v>799</v>
      </c>
      <c r="B34" s="3" t="s">
        <v>504</v>
      </c>
      <c r="C34" s="28" t="s">
        <v>505</v>
      </c>
      <c r="D34" s="3"/>
      <c r="E34" s="28">
        <v>52666</v>
      </c>
      <c r="F34" s="28"/>
      <c r="G34" s="59">
        <v>52666</v>
      </c>
      <c r="H34" s="26">
        <f t="shared" si="2"/>
        <v>0</v>
      </c>
      <c r="I34" s="60"/>
    </row>
    <row r="35" spans="1:10" s="53" customFormat="1" ht="23.1" customHeight="1" x14ac:dyDescent="0.15">
      <c r="A35" s="92" t="s">
        <v>800</v>
      </c>
      <c r="B35" s="28" t="s">
        <v>506</v>
      </c>
      <c r="C35" s="28" t="s">
        <v>483</v>
      </c>
      <c r="D35" s="3" t="s">
        <v>507</v>
      </c>
      <c r="E35" s="28">
        <v>648000</v>
      </c>
      <c r="F35" s="28"/>
      <c r="G35" s="59">
        <f>144000+504000</f>
        <v>648000</v>
      </c>
      <c r="H35" s="26">
        <f t="shared" si="2"/>
        <v>0</v>
      </c>
      <c r="I35" s="62"/>
    </row>
    <row r="36" spans="1:10" s="51" customFormat="1" ht="23.1" customHeight="1" x14ac:dyDescent="0.15">
      <c r="A36" s="92" t="s">
        <v>801</v>
      </c>
      <c r="B36" s="28" t="s">
        <v>508</v>
      </c>
      <c r="C36" s="28" t="s">
        <v>509</v>
      </c>
      <c r="D36" s="3"/>
      <c r="E36" s="28">
        <v>517150</v>
      </c>
      <c r="F36" s="28"/>
      <c r="G36" s="59">
        <f>57150+150000+30000+80000+100000+100000</f>
        <v>517150</v>
      </c>
      <c r="H36" s="26">
        <f t="shared" si="2"/>
        <v>0</v>
      </c>
      <c r="I36" s="60"/>
    </row>
    <row r="37" spans="1:10" s="51" customFormat="1" ht="23.1" customHeight="1" x14ac:dyDescent="0.15">
      <c r="A37" s="92" t="s">
        <v>802</v>
      </c>
      <c r="B37" s="27" t="s">
        <v>510</v>
      </c>
      <c r="C37" s="28" t="s">
        <v>511</v>
      </c>
      <c r="D37" s="3" t="s">
        <v>496</v>
      </c>
      <c r="E37" s="28">
        <v>1480000</v>
      </c>
      <c r="F37" s="28"/>
      <c r="G37" s="59">
        <f>100000+150000</f>
        <v>250000</v>
      </c>
      <c r="H37" s="26">
        <f t="shared" si="2"/>
        <v>1230000</v>
      </c>
      <c r="I37" s="60"/>
    </row>
    <row r="38" spans="1:10" s="51" customFormat="1" ht="23.1" customHeight="1" x14ac:dyDescent="0.15">
      <c r="A38" s="92" t="s">
        <v>803</v>
      </c>
      <c r="B38" s="88" t="s">
        <v>512</v>
      </c>
      <c r="C38" s="89"/>
      <c r="D38" s="89"/>
      <c r="E38" s="89"/>
      <c r="F38" s="89"/>
      <c r="G38" s="89"/>
      <c r="H38" s="73"/>
      <c r="I38" s="60" t="s">
        <v>513</v>
      </c>
    </row>
    <row r="39" spans="1:10" s="51" customFormat="1" ht="23.1" customHeight="1" x14ac:dyDescent="0.15">
      <c r="A39" s="92" t="s">
        <v>804</v>
      </c>
      <c r="B39" s="91" t="s">
        <v>766</v>
      </c>
      <c r="C39" s="90"/>
      <c r="D39" s="90"/>
      <c r="E39" s="90"/>
      <c r="F39" s="90"/>
      <c r="G39" s="90"/>
      <c r="H39" s="73"/>
      <c r="I39" s="60" t="s">
        <v>513</v>
      </c>
    </row>
    <row r="40" spans="1:10" s="51" customFormat="1" ht="23.1" customHeight="1" x14ac:dyDescent="0.15">
      <c r="A40" s="92" t="s">
        <v>805</v>
      </c>
      <c r="B40" s="27" t="s">
        <v>514</v>
      </c>
      <c r="C40" s="28" t="s">
        <v>515</v>
      </c>
      <c r="D40" s="3" t="s">
        <v>516</v>
      </c>
      <c r="E40" s="28">
        <v>713008</v>
      </c>
      <c r="F40" s="28"/>
      <c r="G40" s="59">
        <f>43008+150000+100000+150000+20000</f>
        <v>463008</v>
      </c>
      <c r="H40" s="26">
        <f t="shared" si="2"/>
        <v>250000</v>
      </c>
      <c r="I40" s="60"/>
    </row>
    <row r="41" spans="1:10" s="52" customFormat="1" ht="23.1" customHeight="1" x14ac:dyDescent="0.15">
      <c r="A41" s="92" t="s">
        <v>806</v>
      </c>
      <c r="B41" s="96" t="s">
        <v>488</v>
      </c>
      <c r="C41" s="97"/>
      <c r="D41" s="97"/>
      <c r="E41" s="97"/>
      <c r="F41" s="97"/>
      <c r="G41" s="98"/>
      <c r="H41" s="26"/>
      <c r="I41" s="60"/>
    </row>
    <row r="42" spans="1:10" s="51" customFormat="1" ht="23.1" customHeight="1" x14ac:dyDescent="0.15">
      <c r="A42" s="92" t="s">
        <v>807</v>
      </c>
      <c r="B42" s="27" t="s">
        <v>517</v>
      </c>
      <c r="C42" s="28" t="s">
        <v>218</v>
      </c>
      <c r="D42" s="3" t="s">
        <v>518</v>
      </c>
      <c r="E42" s="28">
        <v>96000</v>
      </c>
      <c r="F42" s="28"/>
      <c r="G42" s="59"/>
      <c r="H42" s="26">
        <f t="shared" si="2"/>
        <v>96000</v>
      </c>
      <c r="I42" s="60"/>
    </row>
    <row r="43" spans="1:10" s="51" customFormat="1" ht="23.1" customHeight="1" x14ac:dyDescent="0.15">
      <c r="A43" s="92" t="s">
        <v>808</v>
      </c>
      <c r="B43" s="99"/>
      <c r="C43" s="100"/>
      <c r="D43" s="100"/>
      <c r="E43" s="100"/>
      <c r="F43" s="100"/>
      <c r="G43" s="100"/>
      <c r="H43" s="74"/>
      <c r="I43" s="51" t="s">
        <v>519</v>
      </c>
      <c r="J43" s="51" t="s">
        <v>519</v>
      </c>
    </row>
    <row r="44" spans="1:10" s="51" customFormat="1" ht="23.1" customHeight="1" x14ac:dyDescent="0.15">
      <c r="A44" s="92" t="s">
        <v>809</v>
      </c>
      <c r="B44" s="27" t="s">
        <v>520</v>
      </c>
      <c r="C44" s="28" t="s">
        <v>29</v>
      </c>
      <c r="D44" s="3" t="s">
        <v>480</v>
      </c>
      <c r="E44" s="28">
        <v>962140</v>
      </c>
      <c r="F44" s="61">
        <v>962140</v>
      </c>
      <c r="G44" s="60">
        <f>70000+150000+150000</f>
        <v>370000</v>
      </c>
      <c r="H44" s="26">
        <f t="shared" si="2"/>
        <v>592140</v>
      </c>
      <c r="I44" s="60"/>
    </row>
    <row r="45" spans="1:10" s="51" customFormat="1" ht="23.1" customHeight="1" x14ac:dyDescent="0.15">
      <c r="A45" s="92" t="s">
        <v>810</v>
      </c>
      <c r="B45" s="28" t="s">
        <v>521</v>
      </c>
      <c r="C45" s="28" t="s">
        <v>177</v>
      </c>
      <c r="D45" s="3"/>
      <c r="E45" s="28">
        <v>33440</v>
      </c>
      <c r="F45" s="61"/>
      <c r="G45" s="60">
        <v>33440</v>
      </c>
      <c r="H45" s="26">
        <f t="shared" si="2"/>
        <v>0</v>
      </c>
      <c r="I45" s="60"/>
    </row>
    <row r="46" spans="1:10" s="51" customFormat="1" ht="23.1" customHeight="1" x14ac:dyDescent="0.15">
      <c r="A46" s="92" t="s">
        <v>811</v>
      </c>
      <c r="B46" s="27" t="s">
        <v>522</v>
      </c>
      <c r="C46" s="28" t="s">
        <v>177</v>
      </c>
      <c r="D46" s="3" t="s">
        <v>496</v>
      </c>
      <c r="E46" s="28">
        <v>93890</v>
      </c>
      <c r="F46" s="28"/>
      <c r="G46" s="59"/>
      <c r="H46" s="26">
        <f t="shared" si="2"/>
        <v>93890</v>
      </c>
      <c r="I46" s="60"/>
    </row>
    <row r="47" spans="1:10" s="51" customFormat="1" ht="23.1" customHeight="1" x14ac:dyDescent="0.15">
      <c r="A47" s="92" t="s">
        <v>812</v>
      </c>
      <c r="B47" s="27" t="s">
        <v>523</v>
      </c>
      <c r="C47" s="28" t="s">
        <v>177</v>
      </c>
      <c r="D47" s="3" t="s">
        <v>496</v>
      </c>
      <c r="E47" s="28">
        <v>34990</v>
      </c>
      <c r="F47" s="28"/>
      <c r="G47" s="59"/>
      <c r="H47" s="26">
        <f t="shared" si="2"/>
        <v>34990</v>
      </c>
      <c r="I47" s="60"/>
    </row>
    <row r="48" spans="1:10" s="51" customFormat="1" ht="23.1" customHeight="1" x14ac:dyDescent="0.15">
      <c r="A48" s="92" t="s">
        <v>813</v>
      </c>
      <c r="B48" s="18" t="s">
        <v>524</v>
      </c>
      <c r="C48" s="28" t="s">
        <v>19</v>
      </c>
      <c r="D48" s="3" t="s">
        <v>525</v>
      </c>
      <c r="E48" s="28">
        <v>262823</v>
      </c>
      <c r="F48" s="28">
        <v>262823</v>
      </c>
      <c r="G48" s="59">
        <v>100000</v>
      </c>
      <c r="H48" s="26">
        <f t="shared" si="2"/>
        <v>162823</v>
      </c>
      <c r="I48" s="60"/>
    </row>
    <row r="49" spans="1:9" s="51" customFormat="1" ht="23.1" customHeight="1" x14ac:dyDescent="0.15">
      <c r="A49" s="92" t="s">
        <v>814</v>
      </c>
      <c r="B49" s="27" t="s">
        <v>526</v>
      </c>
      <c r="C49" s="28" t="s">
        <v>19</v>
      </c>
      <c r="D49" s="3" t="s">
        <v>527</v>
      </c>
      <c r="E49" s="28">
        <v>982245</v>
      </c>
      <c r="F49" s="28">
        <v>982245</v>
      </c>
      <c r="G49" s="59"/>
      <c r="H49" s="26">
        <f t="shared" si="2"/>
        <v>982245</v>
      </c>
      <c r="I49" s="60"/>
    </row>
    <row r="50" spans="1:9" s="51" customFormat="1" ht="23.1" customHeight="1" x14ac:dyDescent="0.15">
      <c r="A50" s="92" t="s">
        <v>815</v>
      </c>
      <c r="B50" s="18" t="s">
        <v>528</v>
      </c>
      <c r="C50" s="28" t="s">
        <v>76</v>
      </c>
      <c r="D50" s="3" t="s">
        <v>529</v>
      </c>
      <c r="E50" s="28">
        <v>987000</v>
      </c>
      <c r="F50" s="28">
        <v>987000</v>
      </c>
      <c r="G50" s="59">
        <f>50000+150000+50000+180000+170000</f>
        <v>600000</v>
      </c>
      <c r="H50" s="26">
        <f t="shared" si="2"/>
        <v>387000</v>
      </c>
      <c r="I50" s="60"/>
    </row>
    <row r="51" spans="1:9" s="51" customFormat="1" ht="23.1" customHeight="1" x14ac:dyDescent="0.15">
      <c r="A51" s="92" t="s">
        <v>816</v>
      </c>
      <c r="B51" s="27" t="s">
        <v>530</v>
      </c>
      <c r="C51" s="28" t="s">
        <v>511</v>
      </c>
      <c r="D51" s="3" t="s">
        <v>531</v>
      </c>
      <c r="E51" s="28">
        <v>211167</v>
      </c>
      <c r="F51" s="28"/>
      <c r="G51" s="59">
        <f>50000+150000+11167</f>
        <v>211167</v>
      </c>
      <c r="H51" s="26">
        <f t="shared" si="2"/>
        <v>0</v>
      </c>
      <c r="I51" s="60"/>
    </row>
    <row r="52" spans="1:9" s="51" customFormat="1" ht="23.1" customHeight="1" x14ac:dyDescent="0.15">
      <c r="A52" s="92" t="s">
        <v>817</v>
      </c>
      <c r="B52" s="27" t="s">
        <v>532</v>
      </c>
      <c r="C52" s="28" t="s">
        <v>505</v>
      </c>
      <c r="D52" s="3" t="s">
        <v>533</v>
      </c>
      <c r="E52" s="28">
        <v>234277</v>
      </c>
      <c r="F52" s="61">
        <v>234277</v>
      </c>
      <c r="G52" s="75">
        <f>50000+50000+100000</f>
        <v>200000</v>
      </c>
      <c r="H52" s="26">
        <f>F52-G52</f>
        <v>34277</v>
      </c>
      <c r="I52" s="60"/>
    </row>
    <row r="53" spans="1:9" s="51" customFormat="1" ht="23.1" customHeight="1" x14ac:dyDescent="0.15">
      <c r="A53" s="92" t="s">
        <v>818</v>
      </c>
      <c r="B53" s="18" t="s">
        <v>534</v>
      </c>
      <c r="C53" s="28" t="s">
        <v>278</v>
      </c>
      <c r="D53" s="3" t="s">
        <v>535</v>
      </c>
      <c r="E53" s="28">
        <v>170280</v>
      </c>
      <c r="F53" s="28"/>
      <c r="G53" s="59"/>
      <c r="H53" s="26">
        <f t="shared" si="2"/>
        <v>170280</v>
      </c>
      <c r="I53" s="60"/>
    </row>
    <row r="54" spans="1:9" s="53" customFormat="1" ht="23.1" customHeight="1" x14ac:dyDescent="0.15">
      <c r="A54" s="92" t="s">
        <v>819</v>
      </c>
      <c r="B54" s="28" t="s">
        <v>536</v>
      </c>
      <c r="C54" s="28" t="s">
        <v>167</v>
      </c>
      <c r="D54" s="3" t="s">
        <v>531</v>
      </c>
      <c r="E54" s="28">
        <v>77700</v>
      </c>
      <c r="F54" s="28"/>
      <c r="G54" s="59">
        <v>77700</v>
      </c>
      <c r="H54" s="26">
        <f t="shared" si="2"/>
        <v>0</v>
      </c>
      <c r="I54" s="62"/>
    </row>
    <row r="55" spans="1:9" s="51" customFormat="1" ht="23.1" customHeight="1" x14ac:dyDescent="0.15">
      <c r="A55" s="92" t="s">
        <v>820</v>
      </c>
      <c r="B55" s="28" t="s">
        <v>537</v>
      </c>
      <c r="C55" s="28" t="s">
        <v>95</v>
      </c>
      <c r="D55" s="3"/>
      <c r="E55" s="28">
        <v>2120</v>
      </c>
      <c r="F55" s="28"/>
      <c r="G55" s="59">
        <v>2120</v>
      </c>
      <c r="H55" s="26">
        <f t="shared" si="2"/>
        <v>0</v>
      </c>
      <c r="I55" s="60"/>
    </row>
    <row r="56" spans="1:9" s="51" customFormat="1" ht="23.1" customHeight="1" x14ac:dyDescent="0.15">
      <c r="A56" s="92" t="s">
        <v>821</v>
      </c>
      <c r="B56" s="27" t="s">
        <v>538</v>
      </c>
      <c r="C56" s="28" t="s">
        <v>232</v>
      </c>
      <c r="D56" s="3" t="s">
        <v>539</v>
      </c>
      <c r="E56" s="28">
        <v>377351</v>
      </c>
      <c r="F56" s="28"/>
      <c r="G56" s="59"/>
      <c r="H56" s="26">
        <f t="shared" si="2"/>
        <v>377351</v>
      </c>
      <c r="I56" s="60"/>
    </row>
    <row r="57" spans="1:9" s="51" customFormat="1" ht="23.1" customHeight="1" x14ac:dyDescent="0.15">
      <c r="A57" s="92" t="s">
        <v>822</v>
      </c>
      <c r="B57" s="27" t="s">
        <v>540</v>
      </c>
      <c r="C57" s="28" t="s">
        <v>232</v>
      </c>
      <c r="D57" s="3" t="s">
        <v>541</v>
      </c>
      <c r="E57" s="28">
        <v>665034</v>
      </c>
      <c r="F57" s="28">
        <v>665034</v>
      </c>
      <c r="G57" s="59">
        <f>100000+89002+150000+100000</f>
        <v>439002</v>
      </c>
      <c r="H57" s="26">
        <f t="shared" si="2"/>
        <v>226032</v>
      </c>
      <c r="I57" s="60"/>
    </row>
    <row r="58" spans="1:9" s="51" customFormat="1" ht="23.1" customHeight="1" x14ac:dyDescent="0.15">
      <c r="A58" s="92" t="s">
        <v>823</v>
      </c>
      <c r="B58" s="27" t="s">
        <v>542</v>
      </c>
      <c r="C58" s="28" t="s">
        <v>232</v>
      </c>
      <c r="D58" s="3" t="s">
        <v>539</v>
      </c>
      <c r="E58" s="28">
        <v>678004</v>
      </c>
      <c r="F58" s="28"/>
      <c r="G58" s="59">
        <f>100000+78004</f>
        <v>178004</v>
      </c>
      <c r="H58" s="26">
        <f t="shared" si="2"/>
        <v>500000</v>
      </c>
      <c r="I58" s="60"/>
    </row>
    <row r="59" spans="1:9" s="51" customFormat="1" ht="23.1" customHeight="1" x14ac:dyDescent="0.15">
      <c r="A59" s="92" t="s">
        <v>824</v>
      </c>
      <c r="B59" s="27" t="s">
        <v>543</v>
      </c>
      <c r="C59" s="28" t="s">
        <v>177</v>
      </c>
      <c r="D59" s="3" t="s">
        <v>544</v>
      </c>
      <c r="E59" s="28">
        <v>132625</v>
      </c>
      <c r="F59" s="28"/>
      <c r="G59" s="59"/>
      <c r="H59" s="26">
        <f t="shared" si="2"/>
        <v>132625</v>
      </c>
      <c r="I59" s="60"/>
    </row>
    <row r="60" spans="1:9" s="52" customFormat="1" ht="23.1" customHeight="1" x14ac:dyDescent="0.15">
      <c r="A60" s="92" t="s">
        <v>825</v>
      </c>
      <c r="B60" s="28" t="s">
        <v>545</v>
      </c>
      <c r="C60" s="28" t="s">
        <v>546</v>
      </c>
      <c r="D60" s="3"/>
      <c r="E60" s="28">
        <v>33000</v>
      </c>
      <c r="F60" s="28"/>
      <c r="G60" s="59">
        <v>33000</v>
      </c>
      <c r="H60" s="26">
        <f t="shared" si="2"/>
        <v>0</v>
      </c>
      <c r="I60" s="60"/>
    </row>
    <row r="61" spans="1:9" s="51" customFormat="1" ht="23.1" customHeight="1" x14ac:dyDescent="0.15">
      <c r="A61" s="92" t="s">
        <v>826</v>
      </c>
      <c r="B61" s="27" t="s">
        <v>547</v>
      </c>
      <c r="C61" s="28" t="s">
        <v>362</v>
      </c>
      <c r="D61" s="3" t="s">
        <v>544</v>
      </c>
      <c r="E61" s="28">
        <v>265722</v>
      </c>
      <c r="F61" s="28"/>
      <c r="G61" s="59">
        <f>50000+150000</f>
        <v>200000</v>
      </c>
      <c r="H61" s="26">
        <f t="shared" si="2"/>
        <v>65722</v>
      </c>
      <c r="I61" s="60"/>
    </row>
    <row r="62" spans="1:9" s="51" customFormat="1" ht="23.1" customHeight="1" x14ac:dyDescent="0.15">
      <c r="A62" s="92" t="s">
        <v>827</v>
      </c>
      <c r="B62" s="27" t="s">
        <v>263</v>
      </c>
      <c r="C62" s="28" t="s">
        <v>85</v>
      </c>
      <c r="D62" s="3" t="s">
        <v>548</v>
      </c>
      <c r="E62" s="28">
        <v>327600</v>
      </c>
      <c r="F62" s="28"/>
      <c r="G62" s="59">
        <f>47600+160000+120000</f>
        <v>327600</v>
      </c>
      <c r="H62" s="26">
        <f t="shared" si="2"/>
        <v>0</v>
      </c>
      <c r="I62" s="60"/>
    </row>
    <row r="63" spans="1:9" s="51" customFormat="1" ht="23.1" customHeight="1" x14ac:dyDescent="0.15">
      <c r="A63" s="92" t="s">
        <v>828</v>
      </c>
      <c r="B63" s="27" t="s">
        <v>549</v>
      </c>
      <c r="C63" s="28" t="s">
        <v>27</v>
      </c>
      <c r="D63" s="3" t="s">
        <v>550</v>
      </c>
      <c r="E63" s="28">
        <v>50844</v>
      </c>
      <c r="F63" s="61"/>
      <c r="G63" s="60">
        <v>40000</v>
      </c>
      <c r="H63" s="26">
        <f t="shared" si="2"/>
        <v>10844</v>
      </c>
      <c r="I63" s="60"/>
    </row>
    <row r="64" spans="1:9" s="51" customFormat="1" ht="23.1" customHeight="1" x14ac:dyDescent="0.15">
      <c r="A64" s="92" t="s">
        <v>829</v>
      </c>
      <c r="B64" s="28" t="s">
        <v>551</v>
      </c>
      <c r="C64" s="28" t="s">
        <v>552</v>
      </c>
      <c r="D64" s="3" t="s">
        <v>531</v>
      </c>
      <c r="E64" s="28">
        <v>195800</v>
      </c>
      <c r="F64" s="61"/>
      <c r="G64" s="60">
        <f>100000+95800</f>
        <v>195800</v>
      </c>
      <c r="H64" s="26">
        <f t="shared" si="2"/>
        <v>0</v>
      </c>
      <c r="I64" s="60"/>
    </row>
    <row r="65" spans="1:9" s="51" customFormat="1" ht="23.1" customHeight="1" x14ac:dyDescent="0.15">
      <c r="A65" s="92" t="s">
        <v>830</v>
      </c>
      <c r="B65" s="28" t="s">
        <v>553</v>
      </c>
      <c r="C65" s="28" t="s">
        <v>552</v>
      </c>
      <c r="D65" s="3" t="s">
        <v>531</v>
      </c>
      <c r="E65" s="28">
        <v>71020</v>
      </c>
      <c r="F65" s="28"/>
      <c r="G65" s="59">
        <v>71020</v>
      </c>
      <c r="H65" s="26">
        <f t="shared" si="2"/>
        <v>0</v>
      </c>
      <c r="I65" s="60"/>
    </row>
    <row r="66" spans="1:9" s="51" customFormat="1" ht="23.1" customHeight="1" x14ac:dyDescent="0.15">
      <c r="A66" s="92" t="s">
        <v>831</v>
      </c>
      <c r="B66" s="28" t="s">
        <v>554</v>
      </c>
      <c r="C66" s="28" t="s">
        <v>552</v>
      </c>
      <c r="D66" s="3" t="s">
        <v>531</v>
      </c>
      <c r="E66" s="28">
        <v>65310</v>
      </c>
      <c r="F66" s="28"/>
      <c r="G66" s="59">
        <v>65310</v>
      </c>
      <c r="H66" s="26">
        <f t="shared" si="2"/>
        <v>0</v>
      </c>
      <c r="I66" s="60"/>
    </row>
    <row r="67" spans="1:9" s="51" customFormat="1" ht="23.1" customHeight="1" x14ac:dyDescent="0.15">
      <c r="A67" s="92" t="s">
        <v>832</v>
      </c>
      <c r="B67" s="18" t="s">
        <v>555</v>
      </c>
      <c r="C67" s="28" t="s">
        <v>356</v>
      </c>
      <c r="D67" s="3" t="s">
        <v>550</v>
      </c>
      <c r="E67" s="28">
        <v>724900</v>
      </c>
      <c r="F67" s="28"/>
      <c r="G67" s="59"/>
      <c r="H67" s="26">
        <v>724900</v>
      </c>
      <c r="I67" s="60"/>
    </row>
    <row r="68" spans="1:9" x14ac:dyDescent="0.15">
      <c r="H68">
        <f>SUM(H2:H67)</f>
        <v>8163540.2800000003</v>
      </c>
    </row>
  </sheetData>
  <autoFilter ref="A1:I68" xr:uid="{00000000-0009-0000-0000-000001000000}"/>
  <mergeCells count="2">
    <mergeCell ref="B41:G41"/>
    <mergeCell ref="B43:G43"/>
  </mergeCells>
  <phoneticPr fontId="22" type="noConversion"/>
  <pageMargins left="0.75" right="0.75" top="1" bottom="1" header="0.51180555555555596" footer="0.51180555555555596"/>
  <pageSetup paperSize="9" orientation="landscape"/>
  <headerFooter scaleWithDoc="0" alignWithMargins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3"/>
  <sheetViews>
    <sheetView topLeftCell="A73" zoomScale="85" zoomScaleNormal="85" workbookViewId="0">
      <selection activeCell="A2" sqref="A2:A99"/>
    </sheetView>
  </sheetViews>
  <sheetFormatPr defaultColWidth="9" defaultRowHeight="13.5" x14ac:dyDescent="0.15"/>
  <cols>
    <col min="1" max="1" width="15.25" style="41" customWidth="1"/>
    <col min="2" max="2" width="56.625" style="41" customWidth="1"/>
    <col min="3" max="3" width="34.5" style="41" customWidth="1"/>
    <col min="4" max="4" width="10.75" style="41" customWidth="1"/>
    <col min="5" max="5" width="21.125" style="41" customWidth="1"/>
    <col min="6" max="6" width="10.625" style="41" customWidth="1"/>
    <col min="7" max="7" width="12.25" style="41" customWidth="1"/>
    <col min="8" max="8" width="20.875" style="41" customWidth="1"/>
    <col min="9" max="9" width="75.125" style="41" customWidth="1"/>
    <col min="10" max="16384" width="9" style="41"/>
  </cols>
  <sheetData>
    <row r="1" spans="1:9" ht="27.95" customHeight="1" x14ac:dyDescent="0.15">
      <c r="A1" s="43" t="s">
        <v>0</v>
      </c>
      <c r="B1" s="44" t="s">
        <v>1</v>
      </c>
      <c r="C1" s="44" t="s">
        <v>2</v>
      </c>
      <c r="D1" s="44" t="s">
        <v>3</v>
      </c>
      <c r="E1" s="44" t="s">
        <v>4</v>
      </c>
      <c r="F1" s="44" t="s">
        <v>5</v>
      </c>
      <c r="G1" s="44" t="s">
        <v>6</v>
      </c>
      <c r="H1" s="44" t="s">
        <v>7</v>
      </c>
      <c r="I1" s="87" t="s">
        <v>765</v>
      </c>
    </row>
    <row r="2" spans="1:9" ht="24" customHeight="1" x14ac:dyDescent="0.15">
      <c r="A2" s="92" t="s">
        <v>833</v>
      </c>
      <c r="B2" s="45" t="s">
        <v>556</v>
      </c>
      <c r="C2" s="45" t="s">
        <v>249</v>
      </c>
      <c r="D2" s="44" t="s">
        <v>557</v>
      </c>
      <c r="E2" s="45">
        <v>154000</v>
      </c>
      <c r="F2" s="43"/>
      <c r="G2" s="45">
        <f>92400+61600</f>
        <v>154000</v>
      </c>
      <c r="H2" s="43">
        <f t="shared" ref="H2:H36" si="0">E2-G2</f>
        <v>0</v>
      </c>
    </row>
    <row r="3" spans="1:9" ht="24" customHeight="1" x14ac:dyDescent="0.15">
      <c r="A3" s="92" t="s">
        <v>834</v>
      </c>
      <c r="B3" s="45" t="s">
        <v>558</v>
      </c>
      <c r="C3" s="45" t="s">
        <v>81</v>
      </c>
      <c r="D3" s="44" t="s">
        <v>557</v>
      </c>
      <c r="E3" s="45">
        <v>187000</v>
      </c>
      <c r="F3" s="43"/>
      <c r="G3" s="45">
        <f>74800+112200</f>
        <v>187000</v>
      </c>
      <c r="H3" s="43">
        <f t="shared" si="0"/>
        <v>0</v>
      </c>
    </row>
    <row r="4" spans="1:9" ht="24" customHeight="1" x14ac:dyDescent="0.15">
      <c r="A4" s="92" t="s">
        <v>835</v>
      </c>
      <c r="B4" s="45" t="s">
        <v>559</v>
      </c>
      <c r="C4" s="45" t="s">
        <v>560</v>
      </c>
      <c r="D4" s="44" t="s">
        <v>561</v>
      </c>
      <c r="E4" s="45">
        <v>118000</v>
      </c>
      <c r="F4" s="43"/>
      <c r="G4" s="45">
        <v>118000</v>
      </c>
      <c r="H4" s="43">
        <f t="shared" si="0"/>
        <v>0</v>
      </c>
    </row>
    <row r="5" spans="1:9" ht="24" customHeight="1" x14ac:dyDescent="0.15">
      <c r="A5" s="92" t="s">
        <v>836</v>
      </c>
      <c r="B5" s="45" t="s">
        <v>562</v>
      </c>
      <c r="C5" s="45" t="s">
        <v>278</v>
      </c>
      <c r="D5" s="44" t="s">
        <v>563</v>
      </c>
      <c r="E5" s="45">
        <v>994146</v>
      </c>
      <c r="F5" s="43"/>
      <c r="G5" s="45">
        <f>100000+100000+180000+128000</f>
        <v>508000</v>
      </c>
      <c r="H5" s="43">
        <f t="shared" si="0"/>
        <v>486146</v>
      </c>
    </row>
    <row r="6" spans="1:9" ht="24" customHeight="1" x14ac:dyDescent="0.15">
      <c r="A6" s="92" t="s">
        <v>837</v>
      </c>
      <c r="B6" s="45" t="s">
        <v>564</v>
      </c>
      <c r="C6" s="45" t="s">
        <v>107</v>
      </c>
      <c r="D6" s="44" t="s">
        <v>565</v>
      </c>
      <c r="E6" s="45">
        <v>92771</v>
      </c>
      <c r="F6" s="43"/>
      <c r="G6" s="45">
        <v>80000</v>
      </c>
      <c r="H6" s="43">
        <f t="shared" si="0"/>
        <v>12771</v>
      </c>
      <c r="I6" s="41" t="s">
        <v>566</v>
      </c>
    </row>
    <row r="7" spans="1:9" ht="24" customHeight="1" x14ac:dyDescent="0.15">
      <c r="A7" s="92" t="s">
        <v>838</v>
      </c>
      <c r="B7" s="45" t="s">
        <v>567</v>
      </c>
      <c r="C7" s="45" t="s">
        <v>568</v>
      </c>
      <c r="D7" s="44" t="s">
        <v>569</v>
      </c>
      <c r="E7" s="45">
        <v>648000</v>
      </c>
      <c r="F7" s="43"/>
      <c r="G7" s="45">
        <f>180000+468000</f>
        <v>648000</v>
      </c>
      <c r="H7" s="43">
        <f t="shared" si="0"/>
        <v>0</v>
      </c>
    </row>
    <row r="8" spans="1:9" ht="24" customHeight="1" x14ac:dyDescent="0.15">
      <c r="A8" s="92" t="s">
        <v>839</v>
      </c>
      <c r="B8" s="45" t="s">
        <v>570</v>
      </c>
      <c r="C8" s="45" t="s">
        <v>568</v>
      </c>
      <c r="D8" s="44" t="s">
        <v>571</v>
      </c>
      <c r="E8" s="45">
        <v>270000</v>
      </c>
      <c r="F8" s="43"/>
      <c r="G8" s="45">
        <f>120000+100000+50000</f>
        <v>270000</v>
      </c>
      <c r="H8" s="43">
        <f t="shared" si="0"/>
        <v>0</v>
      </c>
    </row>
    <row r="9" spans="1:9" ht="24" customHeight="1" x14ac:dyDescent="0.15">
      <c r="A9" s="92" t="s">
        <v>840</v>
      </c>
      <c r="B9" s="45" t="s">
        <v>572</v>
      </c>
      <c r="C9" s="45" t="s">
        <v>232</v>
      </c>
      <c r="D9" s="44" t="s">
        <v>573</v>
      </c>
      <c r="E9" s="45">
        <v>70500</v>
      </c>
      <c r="F9" s="43">
        <v>70500</v>
      </c>
      <c r="G9" s="45">
        <f>50000+20500</f>
        <v>70500</v>
      </c>
      <c r="H9" s="43">
        <f t="shared" si="0"/>
        <v>0</v>
      </c>
    </row>
    <row r="10" spans="1:9" ht="24" customHeight="1" x14ac:dyDescent="0.15">
      <c r="A10" s="92" t="s">
        <v>841</v>
      </c>
      <c r="B10" s="45" t="s">
        <v>574</v>
      </c>
      <c r="C10" s="45" t="s">
        <v>575</v>
      </c>
      <c r="D10" s="44" t="s">
        <v>576</v>
      </c>
      <c r="E10" s="45">
        <v>457600</v>
      </c>
      <c r="F10" s="43"/>
      <c r="G10" s="45">
        <f>100000+20000+50000</f>
        <v>170000</v>
      </c>
      <c r="H10" s="43">
        <f t="shared" si="0"/>
        <v>287600</v>
      </c>
    </row>
    <row r="11" spans="1:9" ht="24" customHeight="1" x14ac:dyDescent="0.15">
      <c r="A11" s="92" t="s">
        <v>842</v>
      </c>
      <c r="B11" s="45" t="s">
        <v>577</v>
      </c>
      <c r="C11" s="45" t="s">
        <v>249</v>
      </c>
      <c r="D11" s="44" t="s">
        <v>576</v>
      </c>
      <c r="E11" s="45">
        <v>316000</v>
      </c>
      <c r="F11" s="43"/>
      <c r="G11" s="45">
        <f>100000+50000+100000</f>
        <v>250000</v>
      </c>
      <c r="H11" s="43">
        <f t="shared" si="0"/>
        <v>66000</v>
      </c>
      <c r="I11" s="41" t="s">
        <v>566</v>
      </c>
    </row>
    <row r="12" spans="1:9" s="42" customFormat="1" ht="24" customHeight="1" x14ac:dyDescent="0.15">
      <c r="A12" s="92" t="s">
        <v>843</v>
      </c>
      <c r="B12" s="45" t="s">
        <v>578</v>
      </c>
      <c r="C12" s="45" t="s">
        <v>546</v>
      </c>
      <c r="D12" s="45" t="s">
        <v>579</v>
      </c>
      <c r="E12" s="45">
        <v>11157</v>
      </c>
      <c r="F12" s="43"/>
      <c r="G12" s="45">
        <v>11157</v>
      </c>
      <c r="H12" s="43">
        <f t="shared" si="0"/>
        <v>0</v>
      </c>
    </row>
    <row r="13" spans="1:9" s="42" customFormat="1" ht="24" customHeight="1" x14ac:dyDescent="0.15">
      <c r="A13" s="92" t="s">
        <v>844</v>
      </c>
      <c r="B13" s="45" t="s">
        <v>580</v>
      </c>
      <c r="C13" s="45" t="s">
        <v>150</v>
      </c>
      <c r="D13" s="45" t="s">
        <v>581</v>
      </c>
      <c r="E13" s="45">
        <v>897650</v>
      </c>
      <c r="F13" s="43"/>
      <c r="G13" s="45">
        <v>160000</v>
      </c>
      <c r="H13" s="43">
        <f t="shared" si="0"/>
        <v>737650</v>
      </c>
    </row>
    <row r="14" spans="1:9" s="42" customFormat="1" ht="24" customHeight="1" x14ac:dyDescent="0.15">
      <c r="A14" s="92" t="s">
        <v>845</v>
      </c>
      <c r="B14" s="45" t="s">
        <v>582</v>
      </c>
      <c r="C14" s="45" t="s">
        <v>155</v>
      </c>
      <c r="D14" s="45" t="s">
        <v>581</v>
      </c>
      <c r="E14" s="45">
        <v>880000</v>
      </c>
      <c r="F14" s="43"/>
      <c r="G14" s="45"/>
      <c r="H14" s="43">
        <f t="shared" si="0"/>
        <v>880000</v>
      </c>
    </row>
    <row r="15" spans="1:9" s="42" customFormat="1" ht="24" customHeight="1" x14ac:dyDescent="0.15">
      <c r="A15" s="92" t="s">
        <v>846</v>
      </c>
      <c r="B15" s="45" t="s">
        <v>583</v>
      </c>
      <c r="C15" s="45" t="s">
        <v>356</v>
      </c>
      <c r="D15" s="45" t="s">
        <v>581</v>
      </c>
      <c r="E15" s="45">
        <v>727000</v>
      </c>
      <c r="F15" s="43"/>
      <c r="G15" s="45">
        <f>90000+170000</f>
        <v>260000</v>
      </c>
      <c r="H15" s="43">
        <f t="shared" si="0"/>
        <v>467000</v>
      </c>
    </row>
    <row r="16" spans="1:9" ht="24" customHeight="1" x14ac:dyDescent="0.15">
      <c r="A16" s="92" t="s">
        <v>847</v>
      </c>
      <c r="B16" s="45" t="s">
        <v>584</v>
      </c>
      <c r="C16" s="45" t="s">
        <v>443</v>
      </c>
      <c r="D16" s="45" t="s">
        <v>585</v>
      </c>
      <c r="E16" s="45">
        <v>650000</v>
      </c>
      <c r="F16" s="43"/>
      <c r="G16" s="45">
        <f>195000+195000+150000+110000</f>
        <v>650000</v>
      </c>
      <c r="H16" s="43">
        <f t="shared" si="0"/>
        <v>0</v>
      </c>
    </row>
    <row r="17" spans="1:8" ht="24" customHeight="1" x14ac:dyDescent="0.15">
      <c r="A17" s="92" t="s">
        <v>848</v>
      </c>
      <c r="B17" s="45" t="s">
        <v>586</v>
      </c>
      <c r="C17" s="45" t="s">
        <v>155</v>
      </c>
      <c r="D17" s="45" t="s">
        <v>585</v>
      </c>
      <c r="E17" s="45">
        <v>880000</v>
      </c>
      <c r="F17" s="43"/>
      <c r="G17" s="45"/>
      <c r="H17" s="43">
        <f t="shared" si="0"/>
        <v>880000</v>
      </c>
    </row>
    <row r="18" spans="1:8" ht="24" customHeight="1" x14ac:dyDescent="0.15">
      <c r="A18" s="92" t="s">
        <v>849</v>
      </c>
      <c r="B18" s="45" t="s">
        <v>587</v>
      </c>
      <c r="C18" s="45" t="s">
        <v>356</v>
      </c>
      <c r="D18" s="45" t="s">
        <v>585</v>
      </c>
      <c r="E18" s="45">
        <v>875200</v>
      </c>
      <c r="F18" s="43"/>
      <c r="G18" s="45"/>
      <c r="H18" s="43">
        <f t="shared" si="0"/>
        <v>875200</v>
      </c>
    </row>
    <row r="19" spans="1:8" ht="24" customHeight="1" x14ac:dyDescent="0.15">
      <c r="A19" s="92" t="s">
        <v>850</v>
      </c>
      <c r="B19" s="45" t="s">
        <v>588</v>
      </c>
      <c r="C19" s="45" t="s">
        <v>155</v>
      </c>
      <c r="D19" s="45" t="s">
        <v>585</v>
      </c>
      <c r="E19" s="46">
        <v>386295.8</v>
      </c>
      <c r="F19" s="43"/>
      <c r="G19" s="45"/>
      <c r="H19" s="43">
        <f t="shared" si="0"/>
        <v>386295.8</v>
      </c>
    </row>
    <row r="20" spans="1:8" ht="24" customHeight="1" x14ac:dyDescent="0.15">
      <c r="A20" s="92" t="s">
        <v>851</v>
      </c>
      <c r="B20" s="45" t="s">
        <v>589</v>
      </c>
      <c r="C20" s="45" t="s">
        <v>511</v>
      </c>
      <c r="D20" s="45" t="s">
        <v>590</v>
      </c>
      <c r="E20" s="45">
        <v>72104</v>
      </c>
      <c r="F20" s="43"/>
      <c r="G20" s="45"/>
      <c r="H20" s="43">
        <f t="shared" si="0"/>
        <v>72104</v>
      </c>
    </row>
    <row r="21" spans="1:8" ht="24" customHeight="1" x14ac:dyDescent="0.15">
      <c r="A21" s="92" t="s">
        <v>852</v>
      </c>
      <c r="B21" s="45" t="s">
        <v>591</v>
      </c>
      <c r="C21" s="45" t="s">
        <v>511</v>
      </c>
      <c r="D21" s="45" t="s">
        <v>585</v>
      </c>
      <c r="E21" s="45">
        <v>136700</v>
      </c>
      <c r="F21" s="43"/>
      <c r="G21" s="45">
        <v>136700</v>
      </c>
      <c r="H21" s="43">
        <f t="shared" si="0"/>
        <v>0</v>
      </c>
    </row>
    <row r="22" spans="1:8" ht="24" customHeight="1" x14ac:dyDescent="0.15">
      <c r="A22" s="92" t="s">
        <v>853</v>
      </c>
      <c r="B22" s="45" t="s">
        <v>592</v>
      </c>
      <c r="C22" s="45" t="s">
        <v>593</v>
      </c>
      <c r="D22" s="45" t="s">
        <v>594</v>
      </c>
      <c r="E22" s="45">
        <v>192000</v>
      </c>
      <c r="F22" s="43"/>
      <c r="G22" s="45">
        <v>50000</v>
      </c>
      <c r="H22" s="43">
        <f t="shared" si="0"/>
        <v>142000</v>
      </c>
    </row>
    <row r="23" spans="1:8" ht="24" customHeight="1" x14ac:dyDescent="0.15">
      <c r="A23" s="92" t="s">
        <v>854</v>
      </c>
      <c r="B23" s="45" t="s">
        <v>595</v>
      </c>
      <c r="C23" s="45" t="s">
        <v>155</v>
      </c>
      <c r="D23" s="45" t="s">
        <v>596</v>
      </c>
      <c r="E23" s="45">
        <v>440000</v>
      </c>
      <c r="F23" s="43"/>
      <c r="G23" s="45">
        <f>176000+150000</f>
        <v>326000</v>
      </c>
      <c r="H23" s="43">
        <f t="shared" si="0"/>
        <v>114000</v>
      </c>
    </row>
    <row r="24" spans="1:8" ht="24" customHeight="1" x14ac:dyDescent="0.15">
      <c r="A24" s="92" t="s">
        <v>855</v>
      </c>
      <c r="B24" s="45" t="s">
        <v>597</v>
      </c>
      <c r="C24" s="45" t="s">
        <v>150</v>
      </c>
      <c r="D24" s="45" t="s">
        <v>598</v>
      </c>
      <c r="E24" s="45">
        <v>403200</v>
      </c>
      <c r="F24" s="43"/>
      <c r="G24" s="45"/>
      <c r="H24" s="43">
        <f t="shared" si="0"/>
        <v>403200</v>
      </c>
    </row>
    <row r="25" spans="1:8" ht="24" customHeight="1" x14ac:dyDescent="0.15">
      <c r="A25" s="92" t="s">
        <v>856</v>
      </c>
      <c r="B25" s="45" t="s">
        <v>599</v>
      </c>
      <c r="C25" s="45" t="s">
        <v>150</v>
      </c>
      <c r="D25" s="45" t="s">
        <v>590</v>
      </c>
      <c r="E25" s="45">
        <v>847250</v>
      </c>
      <c r="F25" s="43"/>
      <c r="G25" s="45"/>
      <c r="H25" s="43">
        <f t="shared" si="0"/>
        <v>847250</v>
      </c>
    </row>
    <row r="26" spans="1:8" ht="24" customHeight="1" x14ac:dyDescent="0.15">
      <c r="A26" s="92" t="s">
        <v>857</v>
      </c>
      <c r="B26" s="45" t="s">
        <v>600</v>
      </c>
      <c r="C26" s="45" t="s">
        <v>546</v>
      </c>
      <c r="D26" s="45" t="s">
        <v>585</v>
      </c>
      <c r="E26" s="45">
        <v>36000</v>
      </c>
      <c r="F26" s="43"/>
      <c r="G26" s="45">
        <v>36000</v>
      </c>
      <c r="H26" s="43">
        <f t="shared" si="0"/>
        <v>0</v>
      </c>
    </row>
    <row r="27" spans="1:8" s="42" customFormat="1" ht="24" customHeight="1" x14ac:dyDescent="0.15">
      <c r="A27" s="92" t="s">
        <v>858</v>
      </c>
      <c r="B27" s="45" t="s">
        <v>601</v>
      </c>
      <c r="C27" s="45" t="s">
        <v>356</v>
      </c>
      <c r="D27" s="45" t="s">
        <v>602</v>
      </c>
      <c r="E27" s="45">
        <v>743600</v>
      </c>
      <c r="F27" s="43"/>
      <c r="G27" s="45"/>
      <c r="H27" s="43">
        <f t="shared" si="0"/>
        <v>743600</v>
      </c>
    </row>
    <row r="28" spans="1:8" s="42" customFormat="1" ht="24" customHeight="1" x14ac:dyDescent="0.15">
      <c r="A28" s="92" t="s">
        <v>859</v>
      </c>
      <c r="B28" s="45" t="s">
        <v>603</v>
      </c>
      <c r="C28" s="45" t="s">
        <v>195</v>
      </c>
      <c r="D28" s="45" t="s">
        <v>604</v>
      </c>
      <c r="E28" s="45">
        <v>135460</v>
      </c>
      <c r="F28" s="43"/>
      <c r="G28" s="45">
        <v>135460</v>
      </c>
      <c r="H28" s="43">
        <f t="shared" si="0"/>
        <v>0</v>
      </c>
    </row>
    <row r="29" spans="1:8" s="42" customFormat="1" ht="24" customHeight="1" x14ac:dyDescent="0.15">
      <c r="A29" s="92" t="s">
        <v>860</v>
      </c>
      <c r="B29" s="45" t="s">
        <v>605</v>
      </c>
      <c r="C29" s="45" t="s">
        <v>199</v>
      </c>
      <c r="D29" s="45" t="s">
        <v>604</v>
      </c>
      <c r="E29" s="45">
        <v>170358</v>
      </c>
      <c r="F29" s="43"/>
      <c r="G29" s="45">
        <v>170358</v>
      </c>
      <c r="H29" s="43">
        <f t="shared" si="0"/>
        <v>0</v>
      </c>
    </row>
    <row r="30" spans="1:8" s="42" customFormat="1" ht="24" customHeight="1" x14ac:dyDescent="0.15">
      <c r="A30" s="92" t="s">
        <v>861</v>
      </c>
      <c r="B30" s="45" t="s">
        <v>606</v>
      </c>
      <c r="C30" s="45" t="s">
        <v>362</v>
      </c>
      <c r="D30" s="45" t="s">
        <v>607</v>
      </c>
      <c r="E30" s="45">
        <v>215892</v>
      </c>
      <c r="F30" s="43"/>
      <c r="G30" s="45"/>
      <c r="H30" s="43">
        <f t="shared" si="0"/>
        <v>215892</v>
      </c>
    </row>
    <row r="31" spans="1:8" s="42" customFormat="1" ht="24" customHeight="1" x14ac:dyDescent="0.15">
      <c r="A31" s="92" t="s">
        <v>862</v>
      </c>
      <c r="B31" s="45" t="s">
        <v>608</v>
      </c>
      <c r="C31" s="45" t="s">
        <v>362</v>
      </c>
      <c r="D31" s="5" t="s">
        <v>609</v>
      </c>
      <c r="E31" s="45">
        <v>402106</v>
      </c>
      <c r="F31" s="43"/>
      <c r="G31" s="45"/>
      <c r="H31" s="43">
        <f t="shared" si="0"/>
        <v>402106</v>
      </c>
    </row>
    <row r="32" spans="1:8" s="42" customFormat="1" ht="24" customHeight="1" x14ac:dyDescent="0.15">
      <c r="A32" s="92" t="s">
        <v>863</v>
      </c>
      <c r="B32" s="45" t="s">
        <v>610</v>
      </c>
      <c r="C32" s="45" t="s">
        <v>611</v>
      </c>
      <c r="D32" s="45" t="s">
        <v>609</v>
      </c>
      <c r="E32" s="45">
        <v>15800</v>
      </c>
      <c r="F32" s="43"/>
      <c r="G32" s="45">
        <v>15800</v>
      </c>
      <c r="H32" s="43">
        <f t="shared" si="0"/>
        <v>0</v>
      </c>
    </row>
    <row r="33" spans="1:8" s="42" customFormat="1" ht="24" customHeight="1" x14ac:dyDescent="0.15">
      <c r="A33" s="92" t="s">
        <v>864</v>
      </c>
      <c r="B33" s="45" t="s">
        <v>612</v>
      </c>
      <c r="C33" s="45" t="s">
        <v>445</v>
      </c>
      <c r="D33" s="47" t="s">
        <v>579</v>
      </c>
      <c r="E33" s="45" t="s">
        <v>613</v>
      </c>
      <c r="F33" s="43">
        <f>120082-1700+21452</f>
        <v>139834</v>
      </c>
      <c r="G33" s="45">
        <f>29411+51467</f>
        <v>80878</v>
      </c>
      <c r="H33" s="43">
        <f>F33-G33</f>
        <v>58956</v>
      </c>
    </row>
    <row r="34" spans="1:8" s="42" customFormat="1" ht="24" customHeight="1" x14ac:dyDescent="0.15">
      <c r="A34" s="92" t="s">
        <v>865</v>
      </c>
      <c r="B34" s="45" t="s">
        <v>614</v>
      </c>
      <c r="C34" s="45" t="s">
        <v>615</v>
      </c>
      <c r="D34" s="45" t="s">
        <v>616</v>
      </c>
      <c r="E34" s="45">
        <v>195000</v>
      </c>
      <c r="F34" s="43"/>
      <c r="G34" s="45">
        <f>30000+165000</f>
        <v>195000</v>
      </c>
      <c r="H34" s="43">
        <f t="shared" si="0"/>
        <v>0</v>
      </c>
    </row>
    <row r="35" spans="1:8" s="42" customFormat="1" ht="24" customHeight="1" x14ac:dyDescent="0.15">
      <c r="A35" s="92" t="s">
        <v>866</v>
      </c>
      <c r="B35" s="45" t="s">
        <v>617</v>
      </c>
      <c r="C35" s="45" t="s">
        <v>618</v>
      </c>
      <c r="D35" s="45" t="s">
        <v>619</v>
      </c>
      <c r="E35" s="45">
        <v>5730</v>
      </c>
      <c r="F35" s="43"/>
      <c r="G35" s="45">
        <v>5730</v>
      </c>
      <c r="H35" s="43">
        <f t="shared" si="0"/>
        <v>0</v>
      </c>
    </row>
    <row r="36" spans="1:8" s="42" customFormat="1" ht="24" customHeight="1" x14ac:dyDescent="0.15">
      <c r="A36" s="92" t="s">
        <v>867</v>
      </c>
      <c r="B36" s="45" t="s">
        <v>620</v>
      </c>
      <c r="C36" s="45" t="s">
        <v>443</v>
      </c>
      <c r="D36" s="45" t="s">
        <v>621</v>
      </c>
      <c r="E36" s="45">
        <v>50000</v>
      </c>
      <c r="F36" s="43"/>
      <c r="G36" s="45">
        <v>20000</v>
      </c>
      <c r="H36" s="43">
        <f t="shared" si="0"/>
        <v>30000</v>
      </c>
    </row>
    <row r="37" spans="1:8" s="42" customFormat="1" ht="24" customHeight="1" x14ac:dyDescent="0.15">
      <c r="A37" s="92" t="s">
        <v>868</v>
      </c>
      <c r="B37" s="45" t="s">
        <v>622</v>
      </c>
      <c r="C37" s="45" t="s">
        <v>623</v>
      </c>
      <c r="D37" s="45" t="s">
        <v>624</v>
      </c>
      <c r="E37" s="45" t="s">
        <v>494</v>
      </c>
      <c r="F37" s="43"/>
      <c r="G37" s="45"/>
      <c r="H37" s="43" t="s">
        <v>494</v>
      </c>
    </row>
    <row r="38" spans="1:8" s="42" customFormat="1" ht="24" customHeight="1" x14ac:dyDescent="0.15">
      <c r="A38" s="92" t="s">
        <v>869</v>
      </c>
      <c r="B38" s="45" t="s">
        <v>622</v>
      </c>
      <c r="C38" s="45" t="s">
        <v>625</v>
      </c>
      <c r="D38" s="45" t="s">
        <v>624</v>
      </c>
      <c r="E38" s="45" t="s">
        <v>494</v>
      </c>
      <c r="F38" s="43"/>
      <c r="G38" s="45"/>
      <c r="H38" s="43" t="s">
        <v>494</v>
      </c>
    </row>
    <row r="39" spans="1:8" s="42" customFormat="1" ht="24" customHeight="1" x14ac:dyDescent="0.15">
      <c r="A39" s="92" t="s">
        <v>870</v>
      </c>
      <c r="B39" s="45" t="s">
        <v>622</v>
      </c>
      <c r="C39" s="45" t="s">
        <v>626</v>
      </c>
      <c r="D39" s="45" t="s">
        <v>624</v>
      </c>
      <c r="E39" s="45" t="s">
        <v>494</v>
      </c>
      <c r="F39" s="43"/>
      <c r="G39" s="45"/>
      <c r="H39" s="43" t="s">
        <v>494</v>
      </c>
    </row>
    <row r="40" spans="1:8" s="42" customFormat="1" ht="24" customHeight="1" x14ac:dyDescent="0.15">
      <c r="A40" s="92" t="s">
        <v>871</v>
      </c>
      <c r="B40" s="45" t="s">
        <v>622</v>
      </c>
      <c r="C40" s="45" t="s">
        <v>627</v>
      </c>
      <c r="D40" s="5" t="s">
        <v>628</v>
      </c>
      <c r="E40" s="45" t="s">
        <v>494</v>
      </c>
      <c r="F40" s="43"/>
      <c r="G40" s="45"/>
      <c r="H40" s="43" t="s">
        <v>494</v>
      </c>
    </row>
    <row r="41" spans="1:8" s="42" customFormat="1" ht="24" customHeight="1" x14ac:dyDescent="0.15">
      <c r="A41" s="92" t="s">
        <v>872</v>
      </c>
      <c r="B41" s="45" t="s">
        <v>263</v>
      </c>
      <c r="C41" s="45" t="s">
        <v>459</v>
      </c>
      <c r="D41" s="5" t="s">
        <v>629</v>
      </c>
      <c r="E41" s="45">
        <v>177000</v>
      </c>
      <c r="F41" s="43"/>
      <c r="G41" s="45">
        <f>100000+77000</f>
        <v>177000</v>
      </c>
      <c r="H41" s="43">
        <f>E41-G41</f>
        <v>0</v>
      </c>
    </row>
    <row r="42" spans="1:8" s="42" customFormat="1" ht="24" customHeight="1" x14ac:dyDescent="0.15">
      <c r="A42" s="92" t="s">
        <v>873</v>
      </c>
      <c r="B42" s="45" t="s">
        <v>630</v>
      </c>
      <c r="C42" s="45" t="s">
        <v>631</v>
      </c>
      <c r="D42" s="5" t="s">
        <v>632</v>
      </c>
      <c r="E42" s="45" t="s">
        <v>494</v>
      </c>
      <c r="F42" s="43"/>
      <c r="G42" s="45"/>
      <c r="H42" s="43" t="s">
        <v>494</v>
      </c>
    </row>
    <row r="43" spans="1:8" s="42" customFormat="1" ht="24" customHeight="1" x14ac:dyDescent="0.15">
      <c r="A43" s="92" t="s">
        <v>874</v>
      </c>
      <c r="B43" s="45" t="s">
        <v>633</v>
      </c>
      <c r="C43" s="45" t="s">
        <v>623</v>
      </c>
      <c r="D43" s="45" t="s">
        <v>634</v>
      </c>
      <c r="E43" s="45" t="s">
        <v>494</v>
      </c>
      <c r="F43" s="43"/>
      <c r="G43" s="45"/>
      <c r="H43" s="43" t="s">
        <v>494</v>
      </c>
    </row>
    <row r="44" spans="1:8" s="42" customFormat="1" ht="24" customHeight="1" x14ac:dyDescent="0.15">
      <c r="A44" s="92" t="s">
        <v>875</v>
      </c>
      <c r="B44" s="45" t="s">
        <v>635</v>
      </c>
      <c r="C44" s="45" t="s">
        <v>356</v>
      </c>
      <c r="D44" s="5" t="s">
        <v>636</v>
      </c>
      <c r="E44" s="45">
        <v>1759040</v>
      </c>
      <c r="F44" s="43"/>
      <c r="G44" s="45"/>
      <c r="H44" s="43">
        <f>E44-G44</f>
        <v>1759040</v>
      </c>
    </row>
    <row r="45" spans="1:8" s="42" customFormat="1" ht="24" customHeight="1" x14ac:dyDescent="0.15">
      <c r="A45" s="92" t="s">
        <v>876</v>
      </c>
      <c r="B45" s="45" t="s">
        <v>637</v>
      </c>
      <c r="C45" s="45" t="s">
        <v>546</v>
      </c>
      <c r="D45" s="5" t="s">
        <v>636</v>
      </c>
      <c r="E45" s="45" t="s">
        <v>494</v>
      </c>
      <c r="F45" s="43">
        <f>16000+92000+68000+68000+88000</f>
        <v>332000</v>
      </c>
      <c r="G45" s="45">
        <f>100000+72000+50000+110000</f>
        <v>332000</v>
      </c>
      <c r="H45" s="43">
        <f t="shared" ref="H45:H52" si="1">F45-G45</f>
        <v>0</v>
      </c>
    </row>
    <row r="46" spans="1:8" s="42" customFormat="1" ht="24" customHeight="1" x14ac:dyDescent="0.15">
      <c r="A46" s="92" t="s">
        <v>877</v>
      </c>
      <c r="B46" s="45" t="s">
        <v>638</v>
      </c>
      <c r="C46" s="45" t="s">
        <v>19</v>
      </c>
      <c r="D46" s="5" t="s">
        <v>636</v>
      </c>
      <c r="E46" s="45" t="s">
        <v>639</v>
      </c>
      <c r="F46" s="43">
        <v>1985769</v>
      </c>
      <c r="G46" s="45">
        <v>50000</v>
      </c>
      <c r="H46" s="45">
        <f t="shared" si="1"/>
        <v>1935769</v>
      </c>
    </row>
    <row r="47" spans="1:8" s="42" customFormat="1" ht="24" customHeight="1" x14ac:dyDescent="0.15">
      <c r="A47" s="92" t="s">
        <v>878</v>
      </c>
      <c r="B47" s="45" t="s">
        <v>640</v>
      </c>
      <c r="C47" s="45" t="s">
        <v>10</v>
      </c>
      <c r="D47" s="5" t="s">
        <v>636</v>
      </c>
      <c r="E47" s="45" t="s">
        <v>641</v>
      </c>
      <c r="F47" s="43">
        <v>1349842</v>
      </c>
      <c r="G47" s="45">
        <f>100000+100000+149842</f>
        <v>349842</v>
      </c>
      <c r="H47" s="45">
        <f t="shared" si="1"/>
        <v>1000000</v>
      </c>
    </row>
    <row r="48" spans="1:8" s="42" customFormat="1" ht="24" customHeight="1" x14ac:dyDescent="0.15">
      <c r="A48" s="92" t="s">
        <v>879</v>
      </c>
      <c r="B48" s="5" t="s">
        <v>642</v>
      </c>
      <c r="C48" s="5" t="s">
        <v>643</v>
      </c>
      <c r="D48" s="5" t="s">
        <v>636</v>
      </c>
      <c r="E48" s="5" t="s">
        <v>639</v>
      </c>
      <c r="F48" s="5">
        <v>2481165</v>
      </c>
      <c r="G48" s="5">
        <f>100000+50000+50000+100000</f>
        <v>300000</v>
      </c>
      <c r="H48" s="5">
        <f t="shared" si="1"/>
        <v>2181165</v>
      </c>
    </row>
    <row r="49" spans="1:9" s="42" customFormat="1" ht="24" customHeight="1" x14ac:dyDescent="0.15">
      <c r="A49" s="92" t="s">
        <v>880</v>
      </c>
      <c r="B49" s="5" t="s">
        <v>644</v>
      </c>
      <c r="C49" s="5" t="s">
        <v>29</v>
      </c>
      <c r="D49" s="5" t="s">
        <v>636</v>
      </c>
      <c r="E49" s="5" t="s">
        <v>641</v>
      </c>
      <c r="F49" s="5">
        <v>2006606</v>
      </c>
      <c r="G49" s="5"/>
      <c r="H49" s="5">
        <f t="shared" si="1"/>
        <v>2006606</v>
      </c>
    </row>
    <row r="50" spans="1:9" s="42" customFormat="1" ht="24" customHeight="1" x14ac:dyDescent="0.15">
      <c r="A50" s="92" t="s">
        <v>881</v>
      </c>
      <c r="B50" s="5" t="s">
        <v>645</v>
      </c>
      <c r="C50" s="5" t="s">
        <v>17</v>
      </c>
      <c r="D50" s="5" t="s">
        <v>636</v>
      </c>
      <c r="E50" s="5" t="s">
        <v>641</v>
      </c>
      <c r="F50" s="5">
        <v>2432304</v>
      </c>
      <c r="G50" s="5">
        <f>150000+700000</f>
        <v>850000</v>
      </c>
      <c r="H50" s="5">
        <f t="shared" si="1"/>
        <v>1582304</v>
      </c>
      <c r="I50" s="42" t="s">
        <v>646</v>
      </c>
    </row>
    <row r="51" spans="1:9" s="42" customFormat="1" ht="24" customHeight="1" x14ac:dyDescent="0.15">
      <c r="A51" s="92" t="s">
        <v>882</v>
      </c>
      <c r="B51" s="5" t="s">
        <v>647</v>
      </c>
      <c r="C51" s="5" t="s">
        <v>76</v>
      </c>
      <c r="D51" s="5" t="s">
        <v>636</v>
      </c>
      <c r="E51" s="5" t="s">
        <v>641</v>
      </c>
      <c r="F51" s="5">
        <v>1792383</v>
      </c>
      <c r="G51" s="5"/>
      <c r="H51" s="5">
        <f t="shared" si="1"/>
        <v>1792383</v>
      </c>
    </row>
    <row r="52" spans="1:9" s="42" customFormat="1" ht="24" customHeight="1" x14ac:dyDescent="0.15">
      <c r="A52" s="92" t="s">
        <v>883</v>
      </c>
      <c r="B52" s="5" t="s">
        <v>648</v>
      </c>
      <c r="C52" s="5" t="s">
        <v>14</v>
      </c>
      <c r="D52" s="5" t="s">
        <v>636</v>
      </c>
      <c r="E52" s="5" t="s">
        <v>639</v>
      </c>
      <c r="F52" s="5">
        <v>800902</v>
      </c>
      <c r="G52" s="5">
        <f>150000+190902</f>
        <v>340902</v>
      </c>
      <c r="H52" s="5">
        <f t="shared" si="1"/>
        <v>460000</v>
      </c>
    </row>
    <row r="53" spans="1:9" s="42" customFormat="1" ht="24" customHeight="1" x14ac:dyDescent="0.15">
      <c r="A53" s="92" t="s">
        <v>884</v>
      </c>
      <c r="B53" s="5" t="s">
        <v>649</v>
      </c>
      <c r="C53" s="5" t="s">
        <v>650</v>
      </c>
      <c r="D53" s="5" t="s">
        <v>651</v>
      </c>
      <c r="E53" s="5">
        <v>70745</v>
      </c>
      <c r="F53" s="5"/>
      <c r="G53" s="5">
        <f>30000+40745</f>
        <v>70745</v>
      </c>
      <c r="H53" s="5">
        <f>E53-G53</f>
        <v>0</v>
      </c>
    </row>
    <row r="54" spans="1:9" s="42" customFormat="1" ht="24" customHeight="1" x14ac:dyDescent="0.15">
      <c r="A54" s="92" t="s">
        <v>885</v>
      </c>
      <c r="B54" s="5" t="s">
        <v>652</v>
      </c>
      <c r="C54" s="5" t="s">
        <v>107</v>
      </c>
      <c r="D54" s="5" t="s">
        <v>653</v>
      </c>
      <c r="E54" s="5">
        <v>665000</v>
      </c>
      <c r="F54" s="5"/>
      <c r="G54" s="5">
        <v>100000</v>
      </c>
      <c r="H54" s="5">
        <f>E54-G54</f>
        <v>565000</v>
      </c>
    </row>
    <row r="55" spans="1:9" s="42" customFormat="1" ht="24" customHeight="1" x14ac:dyDescent="0.15">
      <c r="A55" s="92" t="s">
        <v>886</v>
      </c>
      <c r="B55" s="5" t="s">
        <v>654</v>
      </c>
      <c r="C55" s="5" t="s">
        <v>655</v>
      </c>
      <c r="D55" s="5" t="s">
        <v>656</v>
      </c>
      <c r="E55" s="5">
        <v>2662000</v>
      </c>
      <c r="F55" s="5"/>
      <c r="G55" s="5">
        <f>798600+150000+150000+100000+50000+700000</f>
        <v>1948600</v>
      </c>
      <c r="H55" s="5">
        <f>E55-G55</f>
        <v>713400</v>
      </c>
    </row>
    <row r="56" spans="1:9" ht="27.95" customHeight="1" x14ac:dyDescent="0.15">
      <c r="A56" s="92" t="s">
        <v>887</v>
      </c>
      <c r="B56" s="43" t="s">
        <v>657</v>
      </c>
      <c r="C56" s="43" t="s">
        <v>658</v>
      </c>
      <c r="D56" s="43">
        <v>2023.9</v>
      </c>
      <c r="E56" s="43" t="s">
        <v>659</v>
      </c>
      <c r="F56" s="43"/>
      <c r="G56" s="43"/>
      <c r="H56" s="43" t="s">
        <v>659</v>
      </c>
    </row>
    <row r="57" spans="1:9" ht="27.95" customHeight="1" x14ac:dyDescent="0.15">
      <c r="A57" s="92" t="s">
        <v>888</v>
      </c>
      <c r="B57" s="48" t="s">
        <v>660</v>
      </c>
      <c r="C57" s="48" t="s">
        <v>661</v>
      </c>
      <c r="D57" s="48" t="s">
        <v>662</v>
      </c>
      <c r="E57" s="48">
        <v>95034</v>
      </c>
      <c r="F57" s="48"/>
      <c r="G57" s="48">
        <f>50000+45034</f>
        <v>95034</v>
      </c>
      <c r="H57" s="48">
        <f t="shared" ref="H57:H86" si="2">E57-G57</f>
        <v>0</v>
      </c>
    </row>
    <row r="58" spans="1:9" ht="27.95" customHeight="1" x14ac:dyDescent="0.15">
      <c r="A58" s="92" t="s">
        <v>889</v>
      </c>
      <c r="B58" s="43" t="s">
        <v>663</v>
      </c>
      <c r="C58" s="43" t="s">
        <v>664</v>
      </c>
      <c r="D58" s="43" t="s">
        <v>665</v>
      </c>
      <c r="E58" s="43">
        <v>181000</v>
      </c>
      <c r="F58" s="43"/>
      <c r="G58" s="43"/>
      <c r="H58" s="43">
        <f t="shared" si="2"/>
        <v>181000</v>
      </c>
    </row>
    <row r="59" spans="1:9" ht="27.95" customHeight="1" x14ac:dyDescent="0.15">
      <c r="A59" s="92" t="s">
        <v>890</v>
      </c>
      <c r="B59" s="43" t="s">
        <v>666</v>
      </c>
      <c r="C59" s="43" t="s">
        <v>667</v>
      </c>
      <c r="D59" s="43" t="s">
        <v>668</v>
      </c>
      <c r="E59" s="43">
        <v>30677.360000000001</v>
      </c>
      <c r="F59" s="43"/>
      <c r="G59" s="43"/>
      <c r="H59" s="43">
        <f t="shared" si="2"/>
        <v>30677.360000000001</v>
      </c>
    </row>
    <row r="60" spans="1:9" ht="27.95" customHeight="1" x14ac:dyDescent="0.15">
      <c r="A60" s="92" t="s">
        <v>891</v>
      </c>
      <c r="B60" s="43" t="s">
        <v>669</v>
      </c>
      <c r="C60" s="43" t="s">
        <v>670</v>
      </c>
      <c r="D60" s="43" t="s">
        <v>671</v>
      </c>
      <c r="E60" s="43">
        <v>453368</v>
      </c>
      <c r="F60" s="43">
        <v>453368</v>
      </c>
      <c r="G60" s="43">
        <f>100000+113368</f>
        <v>213368</v>
      </c>
      <c r="H60" s="43">
        <f t="shared" si="2"/>
        <v>240000</v>
      </c>
    </row>
    <row r="61" spans="1:9" ht="27.95" customHeight="1" x14ac:dyDescent="0.15">
      <c r="A61" s="92" t="s">
        <v>892</v>
      </c>
      <c r="B61" s="43" t="s">
        <v>672</v>
      </c>
      <c r="C61" s="43" t="s">
        <v>515</v>
      </c>
      <c r="D61" s="43" t="s">
        <v>673</v>
      </c>
      <c r="E61" s="43">
        <v>394465</v>
      </c>
      <c r="F61" s="43"/>
      <c r="G61" s="43">
        <v>100000</v>
      </c>
      <c r="H61" s="43">
        <f t="shared" si="2"/>
        <v>294465</v>
      </c>
    </row>
    <row r="62" spans="1:9" ht="27.95" customHeight="1" x14ac:dyDescent="0.15">
      <c r="A62" s="92" t="s">
        <v>893</v>
      </c>
      <c r="B62" s="43" t="s">
        <v>674</v>
      </c>
      <c r="C62" s="43" t="s">
        <v>167</v>
      </c>
      <c r="D62" s="43" t="s">
        <v>675</v>
      </c>
      <c r="E62" s="43">
        <v>814300</v>
      </c>
      <c r="F62" s="43"/>
      <c r="G62" s="43">
        <f>100000+195000+150000</f>
        <v>445000</v>
      </c>
      <c r="H62" s="43">
        <f t="shared" si="2"/>
        <v>369300</v>
      </c>
    </row>
    <row r="63" spans="1:9" ht="27.95" customHeight="1" x14ac:dyDescent="0.15">
      <c r="A63" s="92" t="s">
        <v>894</v>
      </c>
      <c r="B63" s="43" t="s">
        <v>676</v>
      </c>
      <c r="C63" s="43" t="s">
        <v>505</v>
      </c>
      <c r="D63" s="43" t="s">
        <v>677</v>
      </c>
      <c r="E63" s="43">
        <v>113433</v>
      </c>
      <c r="F63" s="43"/>
      <c r="G63" s="43"/>
      <c r="H63" s="43">
        <f t="shared" si="2"/>
        <v>113433</v>
      </c>
    </row>
    <row r="64" spans="1:9" ht="27.95" customHeight="1" x14ac:dyDescent="0.15">
      <c r="A64" s="92" t="s">
        <v>895</v>
      </c>
      <c r="B64" s="43" t="s">
        <v>678</v>
      </c>
      <c r="C64" s="43" t="s">
        <v>560</v>
      </c>
      <c r="D64" s="43" t="s">
        <v>679</v>
      </c>
      <c r="E64" s="43">
        <v>76000</v>
      </c>
      <c r="F64" s="43"/>
      <c r="G64" s="43">
        <v>76000</v>
      </c>
      <c r="H64" s="43">
        <f t="shared" si="2"/>
        <v>0</v>
      </c>
    </row>
    <row r="65" spans="1:9" ht="27.95" customHeight="1" x14ac:dyDescent="0.15">
      <c r="A65" s="92" t="s">
        <v>896</v>
      </c>
      <c r="B65" s="43" t="s">
        <v>680</v>
      </c>
      <c r="C65" s="43" t="s">
        <v>515</v>
      </c>
      <c r="D65" s="43" t="s">
        <v>679</v>
      </c>
      <c r="E65" s="43">
        <v>197000</v>
      </c>
      <c r="F65" s="43"/>
      <c r="G65" s="43">
        <v>197000</v>
      </c>
      <c r="H65" s="43">
        <f t="shared" si="2"/>
        <v>0</v>
      </c>
    </row>
    <row r="66" spans="1:9" ht="27.95" customHeight="1" x14ac:dyDescent="0.15">
      <c r="A66" s="92" t="s">
        <v>897</v>
      </c>
      <c r="B66" s="43" t="s">
        <v>681</v>
      </c>
      <c r="C66" s="43" t="s">
        <v>655</v>
      </c>
      <c r="D66" s="43" t="s">
        <v>682</v>
      </c>
      <c r="E66" s="43">
        <v>92505</v>
      </c>
      <c r="F66" s="43"/>
      <c r="G66" s="43">
        <v>92505</v>
      </c>
      <c r="H66" s="43">
        <f t="shared" si="2"/>
        <v>0</v>
      </c>
    </row>
    <row r="67" spans="1:9" ht="27.95" customHeight="1" x14ac:dyDescent="0.15">
      <c r="A67" s="92" t="s">
        <v>898</v>
      </c>
      <c r="B67" s="43" t="s">
        <v>683</v>
      </c>
      <c r="C67" s="43" t="s">
        <v>655</v>
      </c>
      <c r="D67" s="43"/>
      <c r="E67" s="43">
        <v>60462</v>
      </c>
      <c r="F67" s="43"/>
      <c r="G67" s="43">
        <v>60462</v>
      </c>
      <c r="H67" s="43">
        <f t="shared" si="2"/>
        <v>0</v>
      </c>
    </row>
    <row r="68" spans="1:9" ht="27.95" customHeight="1" x14ac:dyDescent="0.15">
      <c r="A68" s="92" t="s">
        <v>899</v>
      </c>
      <c r="B68" s="43" t="s">
        <v>684</v>
      </c>
      <c r="C68" s="43" t="s">
        <v>177</v>
      </c>
      <c r="D68" s="43" t="s">
        <v>685</v>
      </c>
      <c r="E68" s="43">
        <v>71850</v>
      </c>
      <c r="F68" s="43"/>
      <c r="G68" s="43"/>
      <c r="H68" s="43">
        <f t="shared" si="2"/>
        <v>71850</v>
      </c>
    </row>
    <row r="69" spans="1:9" ht="27.95" customHeight="1" x14ac:dyDescent="0.15">
      <c r="A69" s="92" t="s">
        <v>900</v>
      </c>
      <c r="B69" s="43" t="s">
        <v>686</v>
      </c>
      <c r="C69" s="43" t="s">
        <v>177</v>
      </c>
      <c r="D69" s="43" t="s">
        <v>685</v>
      </c>
      <c r="E69" s="43">
        <v>403210</v>
      </c>
      <c r="F69" s="43"/>
      <c r="G69" s="43"/>
      <c r="H69" s="43">
        <f t="shared" si="2"/>
        <v>403210</v>
      </c>
    </row>
    <row r="70" spans="1:9" ht="27.95" customHeight="1" x14ac:dyDescent="0.15">
      <c r="A70" s="92" t="s">
        <v>901</v>
      </c>
      <c r="B70" s="43" t="s">
        <v>687</v>
      </c>
      <c r="C70" s="43" t="s">
        <v>688</v>
      </c>
      <c r="D70" s="43" t="s">
        <v>689</v>
      </c>
      <c r="E70" s="43">
        <v>52743</v>
      </c>
      <c r="F70" s="43">
        <v>52743</v>
      </c>
      <c r="G70" s="43">
        <v>52743</v>
      </c>
      <c r="H70" s="43">
        <f t="shared" si="2"/>
        <v>0</v>
      </c>
    </row>
    <row r="71" spans="1:9" ht="24" customHeight="1" x14ac:dyDescent="0.15">
      <c r="A71" s="92" t="s">
        <v>902</v>
      </c>
      <c r="B71" s="43" t="s">
        <v>690</v>
      </c>
      <c r="C71" s="43" t="s">
        <v>691</v>
      </c>
      <c r="D71" s="43" t="s">
        <v>692</v>
      </c>
      <c r="E71" s="43">
        <v>30000</v>
      </c>
      <c r="F71" s="43"/>
      <c r="G71" s="43"/>
      <c r="H71" s="43">
        <f t="shared" si="2"/>
        <v>30000</v>
      </c>
    </row>
    <row r="72" spans="1:9" ht="42" customHeight="1" x14ac:dyDescent="0.15">
      <c r="A72" s="92" t="s">
        <v>903</v>
      </c>
      <c r="B72" s="49" t="s">
        <v>693</v>
      </c>
      <c r="C72" s="43" t="s">
        <v>658</v>
      </c>
      <c r="D72" s="43" t="s">
        <v>694</v>
      </c>
      <c r="E72" s="43">
        <v>105400</v>
      </c>
      <c r="F72" s="43"/>
      <c r="G72" s="43">
        <f>50000+55400</f>
        <v>105400</v>
      </c>
      <c r="H72" s="43">
        <f t="shared" si="2"/>
        <v>0</v>
      </c>
    </row>
    <row r="73" spans="1:9" ht="23.1" customHeight="1" x14ac:dyDescent="0.15">
      <c r="A73" s="92" t="s">
        <v>904</v>
      </c>
      <c r="B73" s="43" t="s">
        <v>695</v>
      </c>
      <c r="C73" s="43" t="s">
        <v>259</v>
      </c>
      <c r="D73" s="43" t="s">
        <v>696</v>
      </c>
      <c r="E73" s="43">
        <v>30000</v>
      </c>
      <c r="F73" s="43"/>
      <c r="G73" s="43">
        <v>30000</v>
      </c>
      <c r="H73" s="43">
        <f t="shared" si="2"/>
        <v>0</v>
      </c>
    </row>
    <row r="74" spans="1:9" ht="23.1" customHeight="1" x14ac:dyDescent="0.15">
      <c r="A74" s="92" t="s">
        <v>905</v>
      </c>
      <c r="B74" s="43" t="s">
        <v>263</v>
      </c>
      <c r="C74" s="43" t="s">
        <v>459</v>
      </c>
      <c r="D74" s="43" t="s">
        <v>697</v>
      </c>
      <c r="E74" s="43">
        <v>78900</v>
      </c>
      <c r="F74" s="43"/>
      <c r="G74" s="43">
        <v>78900</v>
      </c>
      <c r="H74" s="43">
        <f t="shared" si="2"/>
        <v>0</v>
      </c>
    </row>
    <row r="75" spans="1:9" ht="23.1" customHeight="1" x14ac:dyDescent="0.15">
      <c r="A75" s="92" t="s">
        <v>906</v>
      </c>
      <c r="B75" s="43" t="s">
        <v>698</v>
      </c>
      <c r="C75" s="43" t="s">
        <v>699</v>
      </c>
      <c r="D75" s="43" t="s">
        <v>700</v>
      </c>
      <c r="E75" s="43">
        <v>26215</v>
      </c>
      <c r="F75" s="43"/>
      <c r="G75" s="43">
        <v>26215</v>
      </c>
      <c r="H75" s="43">
        <f t="shared" si="2"/>
        <v>0</v>
      </c>
    </row>
    <row r="76" spans="1:9" ht="23.1" customHeight="1" x14ac:dyDescent="0.15">
      <c r="A76" s="92" t="s">
        <v>907</v>
      </c>
      <c r="B76" s="43" t="s">
        <v>701</v>
      </c>
      <c r="C76" s="43" t="s">
        <v>702</v>
      </c>
      <c r="D76" s="43" t="s">
        <v>703</v>
      </c>
      <c r="E76" s="43">
        <v>13000</v>
      </c>
      <c r="F76" s="43"/>
      <c r="G76" s="43">
        <v>13000</v>
      </c>
      <c r="H76" s="43">
        <f t="shared" si="2"/>
        <v>0</v>
      </c>
    </row>
    <row r="77" spans="1:9" ht="23.1" customHeight="1" x14ac:dyDescent="0.15">
      <c r="A77" s="92" t="s">
        <v>908</v>
      </c>
      <c r="B77" s="43" t="s">
        <v>704</v>
      </c>
      <c r="C77" s="43" t="s">
        <v>483</v>
      </c>
      <c r="D77" s="43" t="s">
        <v>705</v>
      </c>
      <c r="E77" s="43">
        <v>5110679.5999999996</v>
      </c>
      <c r="F77" s="43">
        <v>5110679.5999999996</v>
      </c>
      <c r="G77" s="43">
        <f>2032193+2056350.68+1022135.92</f>
        <v>5110679.5999999996</v>
      </c>
      <c r="H77" s="43">
        <f t="shared" si="2"/>
        <v>0</v>
      </c>
      <c r="I77" s="41" t="s">
        <v>706</v>
      </c>
    </row>
    <row r="78" spans="1:9" ht="24" customHeight="1" x14ac:dyDescent="0.15">
      <c r="A78" s="92" t="s">
        <v>909</v>
      </c>
      <c r="B78" s="43" t="s">
        <v>707</v>
      </c>
      <c r="C78" s="43" t="s">
        <v>483</v>
      </c>
      <c r="D78" s="43" t="s">
        <v>705</v>
      </c>
      <c r="E78" s="43">
        <v>648000</v>
      </c>
      <c r="F78" s="43"/>
      <c r="G78" s="43">
        <f>259200+259200+129600</f>
        <v>648000</v>
      </c>
      <c r="H78" s="43">
        <f t="shared" si="2"/>
        <v>0</v>
      </c>
    </row>
    <row r="79" spans="1:9" ht="23.1" customHeight="1" x14ac:dyDescent="0.15">
      <c r="A79" s="92" t="s">
        <v>910</v>
      </c>
      <c r="B79" s="50" t="s">
        <v>708</v>
      </c>
      <c r="C79" s="50" t="s">
        <v>709</v>
      </c>
      <c r="D79" s="50" t="s">
        <v>710</v>
      </c>
      <c r="E79" s="50">
        <v>2693250</v>
      </c>
      <c r="F79" s="50"/>
      <c r="G79" s="50">
        <f>807975+100000+100000+95000</f>
        <v>1102975</v>
      </c>
      <c r="H79" s="50">
        <f t="shared" si="2"/>
        <v>1590275</v>
      </c>
    </row>
    <row r="80" spans="1:9" ht="23.1" customHeight="1" x14ac:dyDescent="0.15">
      <c r="A80" s="92" t="s">
        <v>911</v>
      </c>
      <c r="B80" s="43" t="s">
        <v>711</v>
      </c>
      <c r="C80" s="43" t="s">
        <v>611</v>
      </c>
      <c r="D80" s="43" t="s">
        <v>700</v>
      </c>
      <c r="E80" s="43">
        <v>90000</v>
      </c>
      <c r="F80" s="43"/>
      <c r="G80" s="43">
        <f>45000+45000</f>
        <v>90000</v>
      </c>
      <c r="H80" s="43">
        <f t="shared" si="2"/>
        <v>0</v>
      </c>
    </row>
    <row r="81" spans="1:9" ht="23.1" customHeight="1" x14ac:dyDescent="0.15">
      <c r="A81" s="92" t="s">
        <v>912</v>
      </c>
      <c r="B81" s="43" t="s">
        <v>712</v>
      </c>
      <c r="C81" s="43" t="s">
        <v>611</v>
      </c>
      <c r="D81" s="43" t="s">
        <v>700</v>
      </c>
      <c r="E81" s="43">
        <v>30000</v>
      </c>
      <c r="F81" s="43"/>
      <c r="G81" s="43">
        <v>30000</v>
      </c>
      <c r="H81" s="43">
        <f t="shared" si="2"/>
        <v>0</v>
      </c>
    </row>
    <row r="82" spans="1:9" ht="23.1" customHeight="1" x14ac:dyDescent="0.15">
      <c r="A82" s="92" t="s">
        <v>913</v>
      </c>
      <c r="B82" s="43" t="s">
        <v>713</v>
      </c>
      <c r="C82" s="43" t="s">
        <v>85</v>
      </c>
      <c r="D82" s="43" t="s">
        <v>696</v>
      </c>
      <c r="E82" s="43">
        <v>166370</v>
      </c>
      <c r="F82" s="43"/>
      <c r="G82" s="43">
        <f>40000+126370</f>
        <v>166370</v>
      </c>
      <c r="H82" s="43">
        <f t="shared" si="2"/>
        <v>0</v>
      </c>
    </row>
    <row r="83" spans="1:9" ht="21.95" customHeight="1" x14ac:dyDescent="0.15">
      <c r="A83" s="92" t="s">
        <v>914</v>
      </c>
      <c r="B83" s="43" t="s">
        <v>714</v>
      </c>
      <c r="C83" s="43" t="s">
        <v>483</v>
      </c>
      <c r="D83" s="43" t="s">
        <v>705</v>
      </c>
      <c r="E83" s="43">
        <f>2686000+129100</f>
        <v>2815100</v>
      </c>
      <c r="F83" s="43"/>
      <c r="G83" s="43">
        <f>792300+798100+1095600</f>
        <v>2686000</v>
      </c>
      <c r="H83" s="43">
        <f t="shared" si="2"/>
        <v>129100</v>
      </c>
      <c r="I83" s="41" t="s">
        <v>715</v>
      </c>
    </row>
    <row r="84" spans="1:9" ht="21" customHeight="1" x14ac:dyDescent="0.15">
      <c r="A84" s="92" t="s">
        <v>915</v>
      </c>
      <c r="B84" s="43" t="s">
        <v>716</v>
      </c>
      <c r="C84" s="43" t="s">
        <v>688</v>
      </c>
      <c r="D84" s="43" t="s">
        <v>717</v>
      </c>
      <c r="E84" s="43">
        <v>77000</v>
      </c>
      <c r="F84" s="43"/>
      <c r="G84" s="43">
        <v>77000</v>
      </c>
      <c r="H84" s="43">
        <f t="shared" si="2"/>
        <v>0</v>
      </c>
    </row>
    <row r="85" spans="1:9" ht="21" customHeight="1" x14ac:dyDescent="0.15">
      <c r="A85" s="92" t="s">
        <v>916</v>
      </c>
      <c r="B85" s="43" t="s">
        <v>718</v>
      </c>
      <c r="C85" s="43" t="s">
        <v>719</v>
      </c>
      <c r="D85" s="44" t="s">
        <v>720</v>
      </c>
      <c r="E85" s="43">
        <v>1900107</v>
      </c>
      <c r="F85" s="43">
        <v>1991682</v>
      </c>
      <c r="G85" s="43">
        <f>190010.7+100000+180000+173188.2+100000+100000+160000</f>
        <v>1003198.9</v>
      </c>
      <c r="H85" s="43">
        <f>F85-G85</f>
        <v>988483.1</v>
      </c>
    </row>
    <row r="86" spans="1:9" ht="21" customHeight="1" x14ac:dyDescent="0.15">
      <c r="A86" s="92" t="s">
        <v>917</v>
      </c>
      <c r="B86" s="43" t="s">
        <v>721</v>
      </c>
      <c r="C86" s="43" t="s">
        <v>81</v>
      </c>
      <c r="D86" s="43" t="s">
        <v>722</v>
      </c>
      <c r="E86" s="43">
        <v>63000</v>
      </c>
      <c r="F86" s="43"/>
      <c r="G86" s="43"/>
      <c r="H86" s="43">
        <f t="shared" si="2"/>
        <v>63000</v>
      </c>
    </row>
    <row r="87" spans="1:9" ht="21" customHeight="1" x14ac:dyDescent="0.15">
      <c r="A87" s="92" t="s">
        <v>918</v>
      </c>
      <c r="B87" s="43" t="s">
        <v>723</v>
      </c>
      <c r="C87" s="43" t="s">
        <v>724</v>
      </c>
      <c r="D87" s="43" t="s">
        <v>725</v>
      </c>
      <c r="E87" s="43" t="s">
        <v>494</v>
      </c>
      <c r="F87" s="43">
        <f>32780.8+45427.2+36192+43368</f>
        <v>157768</v>
      </c>
      <c r="G87" s="43">
        <f>32780.8+81619.2+43368</f>
        <v>157768</v>
      </c>
      <c r="H87" s="43">
        <f>F87-G87</f>
        <v>0</v>
      </c>
    </row>
    <row r="88" spans="1:9" ht="21" customHeight="1" x14ac:dyDescent="0.15">
      <c r="A88" s="92" t="s">
        <v>919</v>
      </c>
      <c r="B88" s="43" t="s">
        <v>726</v>
      </c>
      <c r="C88" s="43" t="s">
        <v>709</v>
      </c>
      <c r="D88" s="43" t="s">
        <v>727</v>
      </c>
      <c r="E88" s="43">
        <v>480000</v>
      </c>
      <c r="F88" s="43"/>
      <c r="G88" s="43">
        <f>192000+100000+188000</f>
        <v>480000</v>
      </c>
      <c r="H88" s="43">
        <f t="shared" ref="H88:H94" si="3">E88-G88</f>
        <v>0</v>
      </c>
    </row>
    <row r="89" spans="1:9" ht="21" customHeight="1" x14ac:dyDescent="0.15">
      <c r="A89" s="92" t="s">
        <v>920</v>
      </c>
      <c r="B89" s="43" t="s">
        <v>728</v>
      </c>
      <c r="C89" s="43" t="s">
        <v>729</v>
      </c>
      <c r="D89" s="44" t="s">
        <v>730</v>
      </c>
      <c r="E89" s="43">
        <v>180000</v>
      </c>
      <c r="F89" s="43"/>
      <c r="G89" s="43">
        <f>45000+30000+50000</f>
        <v>125000</v>
      </c>
      <c r="H89" s="43">
        <f t="shared" si="3"/>
        <v>55000</v>
      </c>
    </row>
    <row r="90" spans="1:9" ht="21" customHeight="1" x14ac:dyDescent="0.15">
      <c r="A90" s="92" t="s">
        <v>921</v>
      </c>
      <c r="B90" s="43" t="s">
        <v>731</v>
      </c>
      <c r="C90" s="43" t="s">
        <v>502</v>
      </c>
      <c r="D90" s="43" t="s">
        <v>732</v>
      </c>
      <c r="E90" s="43">
        <v>588954</v>
      </c>
      <c r="F90" s="43"/>
      <c r="G90" s="43">
        <f>117790.8+117790.8+117790.8+117790.8+117790.8</f>
        <v>588954</v>
      </c>
      <c r="H90" s="43">
        <f t="shared" si="3"/>
        <v>0</v>
      </c>
    </row>
    <row r="91" spans="1:9" ht="21" customHeight="1" x14ac:dyDescent="0.15">
      <c r="A91" s="92" t="s">
        <v>922</v>
      </c>
      <c r="B91" s="43" t="s">
        <v>733</v>
      </c>
      <c r="C91" s="43" t="s">
        <v>734</v>
      </c>
      <c r="D91" s="43" t="s">
        <v>710</v>
      </c>
      <c r="E91" s="43">
        <v>189945</v>
      </c>
      <c r="F91" s="43"/>
      <c r="G91" s="43">
        <v>189945</v>
      </c>
      <c r="H91" s="43">
        <f t="shared" si="3"/>
        <v>0</v>
      </c>
    </row>
    <row r="92" spans="1:9" ht="21" customHeight="1" x14ac:dyDescent="0.15">
      <c r="A92" s="92" t="s">
        <v>923</v>
      </c>
      <c r="B92" s="43" t="s">
        <v>735</v>
      </c>
      <c r="C92" s="43" t="s">
        <v>509</v>
      </c>
      <c r="D92" s="43" t="s">
        <v>736</v>
      </c>
      <c r="E92" s="43">
        <v>538900</v>
      </c>
      <c r="F92" s="43"/>
      <c r="G92" s="43">
        <f>100000+150000+150000</f>
        <v>400000</v>
      </c>
      <c r="H92" s="43">
        <f t="shared" si="3"/>
        <v>138900</v>
      </c>
    </row>
    <row r="93" spans="1:9" ht="21" customHeight="1" x14ac:dyDescent="0.15">
      <c r="A93" s="92" t="s">
        <v>924</v>
      </c>
      <c r="B93" s="43" t="s">
        <v>737</v>
      </c>
      <c r="C93" s="43" t="s">
        <v>218</v>
      </c>
      <c r="D93" s="43" t="s">
        <v>738</v>
      </c>
      <c r="E93" s="43">
        <v>40000</v>
      </c>
      <c r="F93" s="43"/>
      <c r="G93" s="43"/>
      <c r="H93" s="43">
        <f t="shared" si="3"/>
        <v>40000</v>
      </c>
    </row>
    <row r="94" spans="1:9" ht="21" customHeight="1" x14ac:dyDescent="0.15">
      <c r="A94" s="92" t="s">
        <v>925</v>
      </c>
      <c r="B94" s="43" t="s">
        <v>739</v>
      </c>
      <c r="C94" s="43" t="s">
        <v>664</v>
      </c>
      <c r="D94" s="43" t="s">
        <v>740</v>
      </c>
      <c r="E94" s="43">
        <v>171000</v>
      </c>
      <c r="F94" s="43"/>
      <c r="G94" s="43"/>
      <c r="H94" s="43">
        <f t="shared" si="3"/>
        <v>171000</v>
      </c>
    </row>
    <row r="95" spans="1:9" ht="21" customHeight="1" x14ac:dyDescent="0.15">
      <c r="A95" s="92" t="s">
        <v>926</v>
      </c>
      <c r="B95" s="43" t="s">
        <v>741</v>
      </c>
      <c r="C95" s="43" t="s">
        <v>742</v>
      </c>
      <c r="D95" s="43" t="s">
        <v>743</v>
      </c>
      <c r="E95" s="43" t="s">
        <v>494</v>
      </c>
      <c r="F95" s="43"/>
      <c r="G95" s="43"/>
      <c r="H95" s="43" t="s">
        <v>494</v>
      </c>
      <c r="I95" s="41" t="s">
        <v>744</v>
      </c>
    </row>
    <row r="96" spans="1:9" ht="21" customHeight="1" x14ac:dyDescent="0.15">
      <c r="A96" s="92" t="s">
        <v>927</v>
      </c>
      <c r="B96" s="43" t="s">
        <v>745</v>
      </c>
      <c r="C96" s="43" t="s">
        <v>593</v>
      </c>
      <c r="D96" s="43" t="s">
        <v>746</v>
      </c>
      <c r="E96" s="43">
        <v>188000</v>
      </c>
      <c r="F96" s="43"/>
      <c r="G96" s="43"/>
      <c r="H96" s="43">
        <f>E96-G96</f>
        <v>188000</v>
      </c>
    </row>
    <row r="97" spans="1:9" ht="21" customHeight="1" x14ac:dyDescent="0.15">
      <c r="A97" s="92" t="s">
        <v>928</v>
      </c>
      <c r="B97" s="43" t="s">
        <v>747</v>
      </c>
      <c r="C97" s="43" t="s">
        <v>362</v>
      </c>
      <c r="D97" s="43" t="s">
        <v>748</v>
      </c>
      <c r="E97" s="43">
        <v>54480</v>
      </c>
      <c r="F97" s="43"/>
      <c r="G97" s="43">
        <v>54480</v>
      </c>
      <c r="H97" s="43">
        <f>E97-G97</f>
        <v>0</v>
      </c>
    </row>
    <row r="98" spans="1:9" ht="21" customHeight="1" x14ac:dyDescent="0.15">
      <c r="A98" s="92" t="s">
        <v>929</v>
      </c>
      <c r="B98" s="43" t="s">
        <v>749</v>
      </c>
      <c r="C98" s="43" t="s">
        <v>27</v>
      </c>
      <c r="D98" s="43" t="s">
        <v>710</v>
      </c>
      <c r="E98" s="43">
        <v>182232</v>
      </c>
      <c r="F98" s="43">
        <v>182232</v>
      </c>
      <c r="G98" s="43"/>
      <c r="H98" s="43">
        <f>F98-G98</f>
        <v>182232</v>
      </c>
    </row>
    <row r="99" spans="1:9" ht="21" customHeight="1" x14ac:dyDescent="0.15">
      <c r="A99" s="92" t="s">
        <v>930</v>
      </c>
      <c r="B99" s="43" t="s">
        <v>750</v>
      </c>
      <c r="C99" s="43" t="s">
        <v>650</v>
      </c>
      <c r="D99" s="43" t="s">
        <v>673</v>
      </c>
      <c r="E99" s="43" t="s">
        <v>751</v>
      </c>
      <c r="F99" s="43">
        <v>182245.8</v>
      </c>
      <c r="G99" s="43">
        <f>140000+42245.8</f>
        <v>182245.8</v>
      </c>
      <c r="H99" s="43">
        <f>F99-G99</f>
        <v>0</v>
      </c>
      <c r="I99" s="43"/>
    </row>
    <row r="100" spans="1:9" ht="21" customHeight="1" x14ac:dyDescent="0.15">
      <c r="H100" s="41">
        <f>SUM(H2:H99)</f>
        <v>27383363.260000002</v>
      </c>
    </row>
    <row r="101" spans="1:9" ht="21" customHeight="1" x14ac:dyDescent="0.15"/>
    <row r="102" spans="1:9" ht="21" customHeight="1" x14ac:dyDescent="0.15"/>
    <row r="103" spans="1:9" ht="21" customHeight="1" x14ac:dyDescent="0.15"/>
  </sheetData>
  <autoFilter ref="A1:I100" xr:uid="{00000000-0009-0000-0000-000002000000}"/>
  <phoneticPr fontId="22" type="noConversion"/>
  <pageMargins left="0.75" right="0.75" top="1" bottom="1" header="0.51180555555555596" footer="0.51180555555555596"/>
  <pageSetup paperSize="9" orientation="portrait"/>
  <headerFooter scaleWithDoc="0" alignWithMargins="0"/>
  <ignoredErrors>
    <ignoredError sqref="H85:H86" formula="1"/>
  </ignoredErrors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65536"/>
  <sheetViews>
    <sheetView tabSelected="1" workbookViewId="0">
      <pane ySplit="2" topLeftCell="A58" activePane="bottomLeft" state="frozen"/>
      <selection pane="bottomLeft" activeCell="B60" sqref="B60"/>
    </sheetView>
  </sheetViews>
  <sheetFormatPr defaultColWidth="8.125" defaultRowHeight="21.95" customHeight="1" x14ac:dyDescent="0.15"/>
  <cols>
    <col min="1" max="1" width="7.25" style="13" customWidth="1"/>
    <col min="2" max="2" width="47.625" style="14" customWidth="1"/>
    <col min="3" max="3" width="30.75" style="13" customWidth="1"/>
    <col min="4" max="4" width="11.125" style="15" customWidth="1"/>
    <col min="5" max="5" width="10.625" style="15" customWidth="1"/>
    <col min="6" max="6" width="12.75" style="15" customWidth="1"/>
    <col min="7" max="7" width="13.875" style="15" customWidth="1"/>
    <col min="8" max="8" width="22" style="9" customWidth="1"/>
    <col min="9" max="16384" width="8.125" style="9"/>
  </cols>
  <sheetData>
    <row r="1" spans="1:8" ht="27.95" customHeight="1" x14ac:dyDescent="0.15">
      <c r="A1" s="102" t="s">
        <v>752</v>
      </c>
      <c r="B1" s="103"/>
      <c r="C1" s="102"/>
      <c r="D1" s="102"/>
      <c r="E1" s="102"/>
      <c r="F1" s="102"/>
      <c r="G1" s="102"/>
    </row>
    <row r="2" spans="1:8" s="8" customFormat="1" ht="21.95" customHeight="1" x14ac:dyDescent="0.15">
      <c r="A2" s="1" t="s">
        <v>0</v>
      </c>
      <c r="B2" s="16" t="s">
        <v>1</v>
      </c>
      <c r="C2" s="7" t="s">
        <v>2</v>
      </c>
      <c r="D2" s="2" t="s">
        <v>4</v>
      </c>
      <c r="E2" s="2" t="s">
        <v>5</v>
      </c>
      <c r="F2" s="2" t="s">
        <v>6</v>
      </c>
      <c r="G2" s="2" t="s">
        <v>7</v>
      </c>
      <c r="H2" s="17" t="s">
        <v>8</v>
      </c>
    </row>
    <row r="3" spans="1:8" s="8" customFormat="1" ht="20.100000000000001" customHeight="1" x14ac:dyDescent="0.15">
      <c r="A3" s="1">
        <v>2021</v>
      </c>
      <c r="B3" s="18" t="s">
        <v>9</v>
      </c>
      <c r="C3" s="3" t="s">
        <v>10</v>
      </c>
      <c r="D3" s="4">
        <f>华腾2021!E2</f>
        <v>25864</v>
      </c>
      <c r="E3" s="2">
        <f>华腾2021!F2</f>
        <v>25864</v>
      </c>
      <c r="F3" s="4">
        <f>华腾2021!G2</f>
        <v>25864</v>
      </c>
      <c r="G3" s="2">
        <f>E3-F3</f>
        <v>0</v>
      </c>
    </row>
    <row r="4" spans="1:8" s="8" customFormat="1" ht="20.100000000000001" customHeight="1" x14ac:dyDescent="0.15">
      <c r="A4" s="1">
        <v>2021</v>
      </c>
      <c r="B4" s="18" t="s">
        <v>13</v>
      </c>
      <c r="C4" s="19" t="s">
        <v>14</v>
      </c>
      <c r="D4" s="4">
        <f>华腾2021!E3</f>
        <v>87020</v>
      </c>
      <c r="E4" s="2">
        <f>华腾2021!F3</f>
        <v>87020</v>
      </c>
      <c r="F4" s="4">
        <f>华腾2021!G3</f>
        <v>87020</v>
      </c>
      <c r="G4" s="2">
        <f t="shared" ref="G4:G30" si="0">E4-F4</f>
        <v>0</v>
      </c>
    </row>
    <row r="5" spans="1:8" s="8" customFormat="1" ht="20.100000000000001" customHeight="1" x14ac:dyDescent="0.15">
      <c r="A5" s="1">
        <v>2021</v>
      </c>
      <c r="B5" s="18" t="s">
        <v>15</v>
      </c>
      <c r="C5" s="19" t="s">
        <v>14</v>
      </c>
      <c r="D5" s="4">
        <f>华腾2021!E4</f>
        <v>46176</v>
      </c>
      <c r="E5" s="2">
        <f>华腾2021!F4</f>
        <v>46176</v>
      </c>
      <c r="F5" s="4">
        <f>华腾2021!G4</f>
        <v>46176</v>
      </c>
      <c r="G5" s="2">
        <f t="shared" si="0"/>
        <v>0</v>
      </c>
    </row>
    <row r="6" spans="1:8" s="8" customFormat="1" ht="20.100000000000001" customHeight="1" x14ac:dyDescent="0.15">
      <c r="A6" s="1">
        <v>2021</v>
      </c>
      <c r="B6" s="18" t="s">
        <v>16</v>
      </c>
      <c r="C6" s="3" t="s">
        <v>17</v>
      </c>
      <c r="D6" s="4">
        <f>华腾2021!E5</f>
        <v>255735</v>
      </c>
      <c r="E6" s="2">
        <f>华腾2021!F5</f>
        <v>255735</v>
      </c>
      <c r="F6" s="4">
        <f>华腾2021!G5</f>
        <v>255735</v>
      </c>
      <c r="G6" s="2">
        <f t="shared" si="0"/>
        <v>0</v>
      </c>
    </row>
    <row r="7" spans="1:8" s="8" customFormat="1" ht="20.100000000000001" customHeight="1" x14ac:dyDescent="0.15">
      <c r="A7" s="1">
        <v>2021</v>
      </c>
      <c r="B7" s="18" t="s">
        <v>18</v>
      </c>
      <c r="C7" s="3" t="s">
        <v>19</v>
      </c>
      <c r="D7" s="4">
        <f>华腾2021!E6</f>
        <v>361256</v>
      </c>
      <c r="E7" s="2">
        <f>华腾2021!F6</f>
        <v>361256</v>
      </c>
      <c r="F7" s="4">
        <f>华腾2021!G6</f>
        <v>361256</v>
      </c>
      <c r="G7" s="2">
        <f t="shared" si="0"/>
        <v>0</v>
      </c>
    </row>
    <row r="8" spans="1:8" s="8" customFormat="1" ht="20.100000000000001" customHeight="1" x14ac:dyDescent="0.15">
      <c r="A8" s="1">
        <v>2021</v>
      </c>
      <c r="B8" s="18" t="s">
        <v>21</v>
      </c>
      <c r="C8" s="3" t="s">
        <v>22</v>
      </c>
      <c r="D8" s="4">
        <f>华腾2021!E7</f>
        <v>136139</v>
      </c>
      <c r="E8" s="2">
        <f>华腾2021!F7</f>
        <v>136139</v>
      </c>
      <c r="F8" s="4">
        <f>华腾2021!G7</f>
        <v>136139</v>
      </c>
      <c r="G8" s="2">
        <f t="shared" si="0"/>
        <v>0</v>
      </c>
    </row>
    <row r="9" spans="1:8" s="8" customFormat="1" ht="20.100000000000001" customHeight="1" x14ac:dyDescent="0.15">
      <c r="A9" s="1">
        <v>2021</v>
      </c>
      <c r="B9" s="18" t="s">
        <v>23</v>
      </c>
      <c r="C9" s="3" t="s">
        <v>24</v>
      </c>
      <c r="D9" s="4">
        <f>华腾2021!E8</f>
        <v>196770</v>
      </c>
      <c r="E9" s="2">
        <f>华腾2021!F8</f>
        <v>196770</v>
      </c>
      <c r="F9" s="4">
        <f>华腾2021!G8</f>
        <v>196770</v>
      </c>
      <c r="G9" s="2">
        <f t="shared" si="0"/>
        <v>0</v>
      </c>
    </row>
    <row r="10" spans="1:8" s="8" customFormat="1" ht="20.100000000000001" customHeight="1" x14ac:dyDescent="0.15">
      <c r="A10" s="1">
        <v>2021</v>
      </c>
      <c r="B10" s="18" t="s">
        <v>26</v>
      </c>
      <c r="C10" s="3" t="s">
        <v>27</v>
      </c>
      <c r="D10" s="4">
        <f>华腾2021!E9</f>
        <v>29070</v>
      </c>
      <c r="E10" s="2">
        <f>华腾2021!F9</f>
        <v>29070</v>
      </c>
      <c r="F10" s="4">
        <f>华腾2021!G9</f>
        <v>29070</v>
      </c>
      <c r="G10" s="2">
        <f t="shared" si="0"/>
        <v>0</v>
      </c>
    </row>
    <row r="11" spans="1:8" s="8" customFormat="1" ht="20.100000000000001" customHeight="1" x14ac:dyDescent="0.15">
      <c r="A11" s="1">
        <v>2021</v>
      </c>
      <c r="B11" s="18" t="s">
        <v>28</v>
      </c>
      <c r="C11" s="3" t="s">
        <v>29</v>
      </c>
      <c r="D11" s="4">
        <f>华腾2021!E10</f>
        <v>90133</v>
      </c>
      <c r="E11" s="2">
        <f>华腾2021!F10</f>
        <v>90133</v>
      </c>
      <c r="F11" s="4">
        <f>华腾2021!G10</f>
        <v>90133</v>
      </c>
      <c r="G11" s="2">
        <f t="shared" si="0"/>
        <v>0</v>
      </c>
    </row>
    <row r="12" spans="1:8" s="8" customFormat="1" ht="20.100000000000001" customHeight="1" x14ac:dyDescent="0.15">
      <c r="A12" s="1">
        <v>2021</v>
      </c>
      <c r="B12" s="18" t="s">
        <v>30</v>
      </c>
      <c r="C12" s="3" t="s">
        <v>31</v>
      </c>
      <c r="D12" s="4">
        <f>华腾2021!E11</f>
        <v>55095</v>
      </c>
      <c r="E12" s="2">
        <f>华腾2021!F11</f>
        <v>55095</v>
      </c>
      <c r="F12" s="4">
        <f>华腾2021!G11</f>
        <v>55095</v>
      </c>
      <c r="G12" s="2">
        <f t="shared" si="0"/>
        <v>0</v>
      </c>
    </row>
    <row r="13" spans="1:8" ht="20.100000000000001" customHeight="1" x14ac:dyDescent="0.15">
      <c r="A13" s="1">
        <v>2021</v>
      </c>
      <c r="B13" s="18" t="s">
        <v>32</v>
      </c>
      <c r="C13" s="3" t="s">
        <v>33</v>
      </c>
      <c r="D13" s="4">
        <f>华腾2021!E12</f>
        <v>179970</v>
      </c>
      <c r="E13" s="2">
        <f>华腾2021!F12</f>
        <v>172346</v>
      </c>
      <c r="F13" s="4">
        <f>华腾2021!G12</f>
        <v>172346</v>
      </c>
      <c r="G13" s="2">
        <f t="shared" si="0"/>
        <v>0</v>
      </c>
      <c r="H13" s="20" t="s">
        <v>753</v>
      </c>
    </row>
    <row r="14" spans="1:8" ht="20.100000000000001" customHeight="1" x14ac:dyDescent="0.15">
      <c r="A14" s="1">
        <v>2021</v>
      </c>
      <c r="B14" s="18" t="s">
        <v>35</v>
      </c>
      <c r="C14" s="3" t="s">
        <v>33</v>
      </c>
      <c r="D14" s="4">
        <f>华腾2021!E13</f>
        <v>167424</v>
      </c>
      <c r="E14" s="2">
        <f>华腾2021!F13</f>
        <v>160232</v>
      </c>
      <c r="F14" s="4">
        <f>华腾2021!G13</f>
        <v>160232</v>
      </c>
      <c r="G14" s="2">
        <f t="shared" si="0"/>
        <v>0</v>
      </c>
      <c r="H14" s="20" t="s">
        <v>753</v>
      </c>
    </row>
    <row r="15" spans="1:8" ht="20.100000000000001" customHeight="1" x14ac:dyDescent="0.15">
      <c r="A15" s="1">
        <v>2021</v>
      </c>
      <c r="B15" s="18" t="s">
        <v>36</v>
      </c>
      <c r="C15" s="3" t="s">
        <v>33</v>
      </c>
      <c r="D15" s="4">
        <f>华腾2021!E14</f>
        <v>163218</v>
      </c>
      <c r="E15" s="2">
        <f>华腾2021!F14</f>
        <v>161004</v>
      </c>
      <c r="F15" s="4">
        <f>华腾2021!G14</f>
        <v>161004</v>
      </c>
      <c r="G15" s="2">
        <f t="shared" si="0"/>
        <v>0</v>
      </c>
      <c r="H15" s="20" t="s">
        <v>753</v>
      </c>
    </row>
    <row r="16" spans="1:8" ht="20.100000000000001" customHeight="1" x14ac:dyDescent="0.15">
      <c r="A16" s="1">
        <v>2021</v>
      </c>
      <c r="B16" s="18" t="s">
        <v>37</v>
      </c>
      <c r="C16" s="3" t="s">
        <v>33</v>
      </c>
      <c r="D16" s="4">
        <f>华腾2021!E15</f>
        <v>184255</v>
      </c>
      <c r="E16" s="2">
        <f>华腾2021!F15</f>
        <v>177994</v>
      </c>
      <c r="F16" s="4">
        <f>华腾2021!G15</f>
        <v>177994</v>
      </c>
      <c r="G16" s="2">
        <f t="shared" si="0"/>
        <v>0</v>
      </c>
      <c r="H16" s="20" t="s">
        <v>753</v>
      </c>
    </row>
    <row r="17" spans="1:8" s="8" customFormat="1" ht="20.100000000000001" customHeight="1" x14ac:dyDescent="0.15">
      <c r="A17" s="1">
        <v>2021</v>
      </c>
      <c r="B17" s="18" t="s">
        <v>38</v>
      </c>
      <c r="C17" s="3" t="s">
        <v>33</v>
      </c>
      <c r="D17" s="4">
        <f>华腾2021!E16</f>
        <v>161021</v>
      </c>
      <c r="E17" s="2">
        <f>华腾2021!F16</f>
        <v>153831</v>
      </c>
      <c r="F17" s="4">
        <f>华腾2021!G16</f>
        <v>153831</v>
      </c>
      <c r="G17" s="2">
        <f t="shared" si="0"/>
        <v>0</v>
      </c>
      <c r="H17" s="20" t="s">
        <v>753</v>
      </c>
    </row>
    <row r="18" spans="1:8" s="8" customFormat="1" ht="20.100000000000001" customHeight="1" x14ac:dyDescent="0.15">
      <c r="A18" s="1">
        <v>2021</v>
      </c>
      <c r="B18" s="18" t="s">
        <v>39</v>
      </c>
      <c r="C18" s="3" t="s">
        <v>33</v>
      </c>
      <c r="D18" s="4">
        <f>华腾2021!E17</f>
        <v>124818</v>
      </c>
      <c r="E18" s="2">
        <f>华腾2021!F17</f>
        <v>115036</v>
      </c>
      <c r="F18" s="4">
        <f>华腾2021!G17</f>
        <v>115036</v>
      </c>
      <c r="G18" s="2">
        <f t="shared" si="0"/>
        <v>0</v>
      </c>
      <c r="H18" s="20" t="s">
        <v>753</v>
      </c>
    </row>
    <row r="19" spans="1:8" s="8" customFormat="1" ht="20.100000000000001" customHeight="1" x14ac:dyDescent="0.15">
      <c r="A19" s="1">
        <v>2021</v>
      </c>
      <c r="B19" s="18" t="s">
        <v>41</v>
      </c>
      <c r="C19" s="3" t="s">
        <v>33</v>
      </c>
      <c r="D19" s="4">
        <f>华腾2021!E18</f>
        <v>173010</v>
      </c>
      <c r="E19" s="2">
        <f>华腾2021!F18</f>
        <v>169972</v>
      </c>
      <c r="F19" s="4">
        <f>华腾2021!G18</f>
        <v>169972</v>
      </c>
      <c r="G19" s="2">
        <f t="shared" si="0"/>
        <v>0</v>
      </c>
      <c r="H19" s="20" t="s">
        <v>753</v>
      </c>
    </row>
    <row r="20" spans="1:8" s="8" customFormat="1" ht="20.100000000000001" customHeight="1" x14ac:dyDescent="0.15">
      <c r="A20" s="1">
        <v>2021</v>
      </c>
      <c r="B20" s="18" t="s">
        <v>42</v>
      </c>
      <c r="C20" s="3" t="s">
        <v>33</v>
      </c>
      <c r="D20" s="4">
        <f>华腾2021!E19</f>
        <v>159886</v>
      </c>
      <c r="E20" s="2">
        <f>华腾2021!F19</f>
        <v>158558</v>
      </c>
      <c r="F20" s="4">
        <f>华腾2021!G19</f>
        <v>158558</v>
      </c>
      <c r="G20" s="2">
        <f t="shared" si="0"/>
        <v>0</v>
      </c>
      <c r="H20" s="20" t="s">
        <v>753</v>
      </c>
    </row>
    <row r="21" spans="1:8" s="8" customFormat="1" ht="20.100000000000001" customHeight="1" x14ac:dyDescent="0.15">
      <c r="A21" s="1">
        <v>2021</v>
      </c>
      <c r="B21" s="18" t="s">
        <v>43</v>
      </c>
      <c r="C21" s="3" t="s">
        <v>33</v>
      </c>
      <c r="D21" s="4">
        <f>华腾2021!E20</f>
        <v>110949</v>
      </c>
      <c r="E21" s="2">
        <f>华腾2021!F20</f>
        <v>102255</v>
      </c>
      <c r="F21" s="4">
        <f>华腾2021!G20</f>
        <v>102255</v>
      </c>
      <c r="G21" s="2">
        <f t="shared" si="0"/>
        <v>0</v>
      </c>
      <c r="H21" s="20" t="s">
        <v>753</v>
      </c>
    </row>
    <row r="22" spans="1:8" s="8" customFormat="1" ht="20.100000000000001" customHeight="1" x14ac:dyDescent="0.15">
      <c r="A22" s="1">
        <v>2021</v>
      </c>
      <c r="B22" s="18" t="s">
        <v>44</v>
      </c>
      <c r="C22" s="3" t="s">
        <v>33</v>
      </c>
      <c r="D22" s="4">
        <f>华腾2021!E21</f>
        <v>167423</v>
      </c>
      <c r="E22" s="2">
        <f>华腾2021!F21</f>
        <v>160729</v>
      </c>
      <c r="F22" s="4">
        <f>华腾2021!G21</f>
        <v>160729</v>
      </c>
      <c r="G22" s="2">
        <f t="shared" si="0"/>
        <v>0</v>
      </c>
      <c r="H22" s="20" t="s">
        <v>753</v>
      </c>
    </row>
    <row r="23" spans="1:8" s="8" customFormat="1" ht="20.100000000000001" customHeight="1" x14ac:dyDescent="0.15">
      <c r="A23" s="1">
        <v>2021</v>
      </c>
      <c r="B23" s="18" t="s">
        <v>45</v>
      </c>
      <c r="C23" s="3" t="s">
        <v>33</v>
      </c>
      <c r="D23" s="4">
        <f>华腾2021!E22</f>
        <v>174126</v>
      </c>
      <c r="E23" s="2">
        <f>华腾2021!F22</f>
        <v>166648</v>
      </c>
      <c r="F23" s="4">
        <f>华腾2021!G22</f>
        <v>166648</v>
      </c>
      <c r="G23" s="2">
        <f t="shared" si="0"/>
        <v>0</v>
      </c>
      <c r="H23" s="20" t="s">
        <v>753</v>
      </c>
    </row>
    <row r="24" spans="1:8" s="8" customFormat="1" ht="20.100000000000001" customHeight="1" x14ac:dyDescent="0.15">
      <c r="A24" s="1">
        <v>2021</v>
      </c>
      <c r="B24" s="18" t="s">
        <v>46</v>
      </c>
      <c r="C24" s="3" t="s">
        <v>33</v>
      </c>
      <c r="D24" s="4">
        <f>华腾2021!E23</f>
        <v>182801</v>
      </c>
      <c r="E24" s="2">
        <f>华腾2021!F23</f>
        <v>175177</v>
      </c>
      <c r="F24" s="4">
        <f>华腾2021!G23</f>
        <v>175177</v>
      </c>
      <c r="G24" s="2">
        <f t="shared" si="0"/>
        <v>0</v>
      </c>
      <c r="H24" s="20" t="s">
        <v>753</v>
      </c>
    </row>
    <row r="25" spans="1:8" s="8" customFormat="1" ht="20.100000000000001" customHeight="1" x14ac:dyDescent="0.15">
      <c r="A25" s="1">
        <v>2021</v>
      </c>
      <c r="B25" s="18" t="s">
        <v>47</v>
      </c>
      <c r="C25" s="3" t="s">
        <v>48</v>
      </c>
      <c r="D25" s="4">
        <f>华腾2021!E24</f>
        <v>116242</v>
      </c>
      <c r="E25" s="2">
        <f>华腾2021!F24</f>
        <v>108621</v>
      </c>
      <c r="F25" s="4">
        <f>华腾2021!G24</f>
        <v>108621</v>
      </c>
      <c r="G25" s="2">
        <f t="shared" si="0"/>
        <v>0</v>
      </c>
      <c r="H25" s="20" t="s">
        <v>753</v>
      </c>
    </row>
    <row r="26" spans="1:8" s="8" customFormat="1" ht="20.100000000000001" customHeight="1" x14ac:dyDescent="0.15">
      <c r="A26" s="1">
        <v>2021</v>
      </c>
      <c r="B26" s="18" t="s">
        <v>49</v>
      </c>
      <c r="C26" s="3" t="s">
        <v>48</v>
      </c>
      <c r="D26" s="4">
        <f>华腾2021!E25</f>
        <v>165605</v>
      </c>
      <c r="E26" s="2">
        <f>华腾2021!F25</f>
        <v>154987</v>
      </c>
      <c r="F26" s="4">
        <f>华腾2021!G25</f>
        <v>154987</v>
      </c>
      <c r="G26" s="2">
        <f t="shared" si="0"/>
        <v>0</v>
      </c>
      <c r="H26" s="20" t="s">
        <v>753</v>
      </c>
    </row>
    <row r="27" spans="1:8" s="8" customFormat="1" ht="20.100000000000001" customHeight="1" x14ac:dyDescent="0.15">
      <c r="A27" s="1">
        <v>2021</v>
      </c>
      <c r="B27" s="18" t="s">
        <v>50</v>
      </c>
      <c r="C27" s="3" t="s">
        <v>48</v>
      </c>
      <c r="D27" s="4">
        <f>华腾2021!E26</f>
        <v>149885</v>
      </c>
      <c r="E27" s="2">
        <f>华腾2021!F26</f>
        <v>140957</v>
      </c>
      <c r="F27" s="4">
        <f>华腾2021!G26</f>
        <v>140957</v>
      </c>
      <c r="G27" s="2">
        <f t="shared" si="0"/>
        <v>0</v>
      </c>
      <c r="H27" s="20" t="s">
        <v>753</v>
      </c>
    </row>
    <row r="28" spans="1:8" s="8" customFormat="1" ht="20.100000000000001" customHeight="1" x14ac:dyDescent="0.15">
      <c r="A28" s="1">
        <v>2021</v>
      </c>
      <c r="B28" s="18" t="s">
        <v>51</v>
      </c>
      <c r="C28" s="3" t="s">
        <v>48</v>
      </c>
      <c r="D28" s="4">
        <f>华腾2021!E27</f>
        <v>150538</v>
      </c>
      <c r="E28" s="2">
        <f>华腾2021!F27</f>
        <v>140318</v>
      </c>
      <c r="F28" s="4">
        <f>华腾2021!G27</f>
        <v>140318</v>
      </c>
      <c r="G28" s="2">
        <f t="shared" si="0"/>
        <v>0</v>
      </c>
      <c r="H28" s="20" t="s">
        <v>753</v>
      </c>
    </row>
    <row r="29" spans="1:8" s="8" customFormat="1" ht="20.100000000000001" customHeight="1" x14ac:dyDescent="0.15">
      <c r="A29" s="1">
        <v>2021</v>
      </c>
      <c r="B29" s="18" t="s">
        <v>52</v>
      </c>
      <c r="C29" s="3" t="s">
        <v>48</v>
      </c>
      <c r="D29" s="4">
        <f>华腾2021!E28</f>
        <v>163780</v>
      </c>
      <c r="E29" s="2">
        <f>华腾2021!F28</f>
        <v>153733</v>
      </c>
      <c r="F29" s="4">
        <f>华腾2021!G28</f>
        <v>153733</v>
      </c>
      <c r="G29" s="2">
        <f t="shared" si="0"/>
        <v>0</v>
      </c>
      <c r="H29" s="20" t="s">
        <v>753</v>
      </c>
    </row>
    <row r="30" spans="1:8" s="8" customFormat="1" ht="20.100000000000001" customHeight="1" x14ac:dyDescent="0.15">
      <c r="A30" s="1">
        <v>2021</v>
      </c>
      <c r="B30" s="18" t="s">
        <v>53</v>
      </c>
      <c r="C30" s="3" t="s">
        <v>48</v>
      </c>
      <c r="D30" s="4">
        <f>华腾2021!E29</f>
        <v>151117</v>
      </c>
      <c r="E30" s="2">
        <f>华腾2021!F29</f>
        <v>141768</v>
      </c>
      <c r="F30" s="4">
        <f>华腾2021!G29</f>
        <v>141768</v>
      </c>
      <c r="G30" s="2">
        <f t="shared" si="0"/>
        <v>0</v>
      </c>
      <c r="H30" s="20" t="s">
        <v>753</v>
      </c>
    </row>
    <row r="31" spans="1:8" s="8" customFormat="1" ht="20.100000000000001" customHeight="1" x14ac:dyDescent="0.15">
      <c r="A31" s="1">
        <v>2021</v>
      </c>
      <c r="B31" s="18" t="s">
        <v>54</v>
      </c>
      <c r="C31" s="3" t="s">
        <v>48</v>
      </c>
      <c r="D31" s="4">
        <f>华腾2021!E30</f>
        <v>188800</v>
      </c>
      <c r="E31" s="2">
        <f>华腾2021!F30</f>
        <v>0</v>
      </c>
      <c r="F31" s="4">
        <f>华腾2021!G30</f>
        <v>188800</v>
      </c>
      <c r="G31" s="2">
        <f>D31-F31</f>
        <v>0</v>
      </c>
      <c r="H31" s="20" t="s">
        <v>753</v>
      </c>
    </row>
    <row r="32" spans="1:8" s="8" customFormat="1" ht="20.100000000000001" customHeight="1" x14ac:dyDescent="0.15">
      <c r="A32" s="1">
        <v>2021</v>
      </c>
      <c r="B32" s="18" t="s">
        <v>55</v>
      </c>
      <c r="C32" s="3" t="s">
        <v>48</v>
      </c>
      <c r="D32" s="4">
        <f>华腾2021!E31</f>
        <v>181657</v>
      </c>
      <c r="E32" s="2">
        <f>华腾2021!F31</f>
        <v>169831</v>
      </c>
      <c r="F32" s="4">
        <f>华腾2021!G31</f>
        <v>169831</v>
      </c>
      <c r="G32" s="2">
        <f>E32-F32</f>
        <v>0</v>
      </c>
      <c r="H32" s="20" t="s">
        <v>753</v>
      </c>
    </row>
    <row r="33" spans="1:8" s="8" customFormat="1" ht="20.100000000000001" customHeight="1" x14ac:dyDescent="0.15">
      <c r="A33" s="1">
        <v>2021</v>
      </c>
      <c r="B33" s="18" t="s">
        <v>56</v>
      </c>
      <c r="C33" s="3" t="s">
        <v>48</v>
      </c>
      <c r="D33" s="4">
        <f>华腾2021!E32</f>
        <v>190750</v>
      </c>
      <c r="E33" s="2">
        <f>华腾2021!F32</f>
        <v>177941</v>
      </c>
      <c r="F33" s="4">
        <f>华腾2021!G32</f>
        <v>177941</v>
      </c>
      <c r="G33" s="2">
        <f>E33-F33</f>
        <v>0</v>
      </c>
      <c r="H33" s="20" t="s">
        <v>753</v>
      </c>
    </row>
    <row r="34" spans="1:8" ht="20.100000000000001" customHeight="1" x14ac:dyDescent="0.15">
      <c r="A34" s="1">
        <v>2021</v>
      </c>
      <c r="B34" s="18" t="s">
        <v>57</v>
      </c>
      <c r="C34" s="3" t="s">
        <v>48</v>
      </c>
      <c r="D34" s="4">
        <f>华腾2021!E33</f>
        <v>152701</v>
      </c>
      <c r="E34" s="2">
        <f>华腾2021!F33</f>
        <v>0</v>
      </c>
      <c r="F34" s="4">
        <f>华腾2021!G33</f>
        <v>152701</v>
      </c>
      <c r="G34" s="2">
        <f>D34-F34</f>
        <v>0</v>
      </c>
      <c r="H34" s="20" t="s">
        <v>753</v>
      </c>
    </row>
    <row r="35" spans="1:8" ht="20.100000000000001" customHeight="1" x14ac:dyDescent="0.15">
      <c r="A35" s="1">
        <v>2021</v>
      </c>
      <c r="B35" s="18" t="s">
        <v>58</v>
      </c>
      <c r="C35" s="3" t="s">
        <v>48</v>
      </c>
      <c r="D35" s="4">
        <f>华腾2021!E34</f>
        <v>133848</v>
      </c>
      <c r="E35" s="2">
        <f>华腾2021!F34</f>
        <v>0</v>
      </c>
      <c r="F35" s="4">
        <f>华腾2021!G34</f>
        <v>133848</v>
      </c>
      <c r="G35" s="2">
        <f t="shared" ref="G35:G56" si="1">D35-F35</f>
        <v>0</v>
      </c>
      <c r="H35" s="20" t="s">
        <v>753</v>
      </c>
    </row>
    <row r="36" spans="1:8" ht="20.100000000000001" customHeight="1" x14ac:dyDescent="0.15">
      <c r="A36" s="1">
        <v>2021</v>
      </c>
      <c r="B36" s="18" t="s">
        <v>60</v>
      </c>
      <c r="C36" s="3" t="s">
        <v>48</v>
      </c>
      <c r="D36" s="4">
        <f>华腾2021!E35</f>
        <v>136749</v>
      </c>
      <c r="E36" s="2">
        <f>华腾2021!F35</f>
        <v>0</v>
      </c>
      <c r="F36" s="4">
        <f>华腾2021!G35</f>
        <v>136749</v>
      </c>
      <c r="G36" s="2">
        <f t="shared" si="1"/>
        <v>0</v>
      </c>
      <c r="H36" s="20" t="s">
        <v>753</v>
      </c>
    </row>
    <row r="37" spans="1:8" ht="20.100000000000001" customHeight="1" x14ac:dyDescent="0.15">
      <c r="A37" s="1">
        <v>2021</v>
      </c>
      <c r="B37" s="18" t="s">
        <v>61</v>
      </c>
      <c r="C37" s="3" t="s">
        <v>48</v>
      </c>
      <c r="D37" s="4">
        <f>华腾2021!E36</f>
        <v>192817</v>
      </c>
      <c r="E37" s="2">
        <f>华腾2021!F36</f>
        <v>0</v>
      </c>
      <c r="F37" s="4">
        <f>华腾2021!G36</f>
        <v>192817</v>
      </c>
      <c r="G37" s="2">
        <f t="shared" si="1"/>
        <v>0</v>
      </c>
      <c r="H37" s="20" t="s">
        <v>753</v>
      </c>
    </row>
    <row r="38" spans="1:8" ht="20.100000000000001" customHeight="1" x14ac:dyDescent="0.15">
      <c r="A38" s="1">
        <v>2021</v>
      </c>
      <c r="B38" s="18" t="s">
        <v>62</v>
      </c>
      <c r="C38" s="3" t="s">
        <v>14</v>
      </c>
      <c r="D38" s="4">
        <f>华腾2021!E37</f>
        <v>170458</v>
      </c>
      <c r="E38" s="2">
        <f>华腾2021!F37</f>
        <v>170458</v>
      </c>
      <c r="F38" s="4">
        <f>华腾2021!G37</f>
        <v>170458</v>
      </c>
      <c r="G38" s="2">
        <f t="shared" si="1"/>
        <v>0</v>
      </c>
      <c r="H38" s="20"/>
    </row>
    <row r="39" spans="1:8" ht="20.100000000000001" customHeight="1" x14ac:dyDescent="0.15">
      <c r="A39" s="1">
        <v>2021</v>
      </c>
      <c r="B39" s="18" t="s">
        <v>64</v>
      </c>
      <c r="C39" s="3" t="s">
        <v>65</v>
      </c>
      <c r="D39" s="4">
        <f>华腾2021!E38</f>
        <v>1291000</v>
      </c>
      <c r="E39" s="2">
        <f>华腾2021!F38</f>
        <v>0</v>
      </c>
      <c r="F39" s="4">
        <f>华腾2021!G38</f>
        <v>694000</v>
      </c>
      <c r="G39" s="2">
        <f t="shared" si="1"/>
        <v>597000</v>
      </c>
    </row>
    <row r="40" spans="1:8" ht="20.100000000000001" customHeight="1" x14ac:dyDescent="0.15">
      <c r="A40" s="1">
        <v>2021</v>
      </c>
      <c r="B40" s="18" t="s">
        <v>68</v>
      </c>
      <c r="C40" s="3" t="s">
        <v>69</v>
      </c>
      <c r="D40" s="4">
        <f>华腾2021!E39</f>
        <v>194400</v>
      </c>
      <c r="E40" s="2">
        <f>华腾2021!F39</f>
        <v>0</v>
      </c>
      <c r="F40" s="4">
        <f>华腾2021!G39</f>
        <v>194400</v>
      </c>
      <c r="G40" s="2">
        <f t="shared" si="1"/>
        <v>0</v>
      </c>
      <c r="H40" s="20" t="s">
        <v>753</v>
      </c>
    </row>
    <row r="41" spans="1:8" ht="20.100000000000001" customHeight="1" x14ac:dyDescent="0.15">
      <c r="A41" s="1">
        <v>2021</v>
      </c>
      <c r="B41" s="18" t="s">
        <v>71</v>
      </c>
      <c r="C41" s="3" t="s">
        <v>48</v>
      </c>
      <c r="D41" s="4">
        <f>华腾2021!E40</f>
        <v>198856</v>
      </c>
      <c r="E41" s="2">
        <f>华腾2021!F40</f>
        <v>0</v>
      </c>
      <c r="F41" s="4">
        <f>华腾2021!G40</f>
        <v>198856</v>
      </c>
      <c r="G41" s="2">
        <f t="shared" si="1"/>
        <v>0</v>
      </c>
      <c r="H41" s="20" t="s">
        <v>753</v>
      </c>
    </row>
    <row r="42" spans="1:8" ht="20.100000000000001" customHeight="1" x14ac:dyDescent="0.15">
      <c r="A42" s="1">
        <v>2021</v>
      </c>
      <c r="B42" s="18" t="s">
        <v>72</v>
      </c>
      <c r="C42" s="3" t="s">
        <v>22</v>
      </c>
      <c r="D42" s="4">
        <f>华腾2021!E41</f>
        <v>197813</v>
      </c>
      <c r="E42" s="2">
        <f>华腾2021!F41</f>
        <v>0</v>
      </c>
      <c r="F42" s="4">
        <f>华腾2021!G41</f>
        <v>47813</v>
      </c>
      <c r="G42" s="2">
        <f t="shared" si="1"/>
        <v>150000</v>
      </c>
    </row>
    <row r="43" spans="1:8" ht="20.100000000000001" customHeight="1" x14ac:dyDescent="0.15">
      <c r="A43" s="1">
        <v>2021</v>
      </c>
      <c r="B43" s="18" t="s">
        <v>74</v>
      </c>
      <c r="C43" s="3" t="s">
        <v>22</v>
      </c>
      <c r="D43" s="4">
        <f>华腾2021!E42</f>
        <v>199772</v>
      </c>
      <c r="E43" s="2">
        <f>华腾2021!F42</f>
        <v>0</v>
      </c>
      <c r="F43" s="4">
        <f>华腾2021!G42</f>
        <v>99772</v>
      </c>
      <c r="G43" s="2">
        <f t="shared" si="1"/>
        <v>100000</v>
      </c>
    </row>
    <row r="44" spans="1:8" ht="20.100000000000001" customHeight="1" x14ac:dyDescent="0.15">
      <c r="A44" s="1">
        <v>2021</v>
      </c>
      <c r="B44" s="18" t="s">
        <v>75</v>
      </c>
      <c r="C44" s="3" t="s">
        <v>76</v>
      </c>
      <c r="D44" s="4">
        <f>华腾2021!E43</f>
        <v>191849</v>
      </c>
      <c r="E44" s="2">
        <f>华腾2021!F43</f>
        <v>0</v>
      </c>
      <c r="F44" s="4">
        <f>华腾2021!G43</f>
        <v>41849</v>
      </c>
      <c r="G44" s="2">
        <f t="shared" si="1"/>
        <v>150000</v>
      </c>
    </row>
    <row r="45" spans="1:8" ht="20.100000000000001" customHeight="1" x14ac:dyDescent="0.15">
      <c r="A45" s="1">
        <v>2021</v>
      </c>
      <c r="B45" s="18" t="s">
        <v>77</v>
      </c>
      <c r="C45" s="3" t="s">
        <v>76</v>
      </c>
      <c r="D45" s="4">
        <f>华腾2021!E44</f>
        <v>97929</v>
      </c>
      <c r="E45" s="2">
        <f>华腾2021!F44</f>
        <v>0</v>
      </c>
      <c r="F45" s="4">
        <f>华腾2021!G44</f>
        <v>97929</v>
      </c>
      <c r="G45" s="2">
        <f t="shared" si="1"/>
        <v>0</v>
      </c>
    </row>
    <row r="46" spans="1:8" ht="20.100000000000001" customHeight="1" x14ac:dyDescent="0.15">
      <c r="A46" s="1">
        <v>2021</v>
      </c>
      <c r="B46" s="18" t="s">
        <v>78</v>
      </c>
      <c r="C46" s="3" t="s">
        <v>24</v>
      </c>
      <c r="D46" s="4">
        <f>华腾2021!E45</f>
        <v>141372</v>
      </c>
      <c r="E46" s="2">
        <f>华腾2021!F45</f>
        <v>0</v>
      </c>
      <c r="F46" s="4">
        <f>华腾2021!G45</f>
        <v>141372</v>
      </c>
      <c r="G46" s="2">
        <f t="shared" si="1"/>
        <v>0</v>
      </c>
    </row>
    <row r="47" spans="1:8" ht="20.100000000000001" customHeight="1" x14ac:dyDescent="0.15">
      <c r="A47" s="1">
        <v>2021</v>
      </c>
      <c r="B47" s="18" t="s">
        <v>79</v>
      </c>
      <c r="C47" s="3" t="s">
        <v>24</v>
      </c>
      <c r="D47" s="4">
        <f>华腾2021!E46</f>
        <v>88420</v>
      </c>
      <c r="E47" s="2">
        <f>华腾2021!F46</f>
        <v>0</v>
      </c>
      <c r="F47" s="4">
        <f>华腾2021!G46</f>
        <v>88420</v>
      </c>
      <c r="G47" s="2">
        <f t="shared" si="1"/>
        <v>0</v>
      </c>
    </row>
    <row r="48" spans="1:8" ht="20.100000000000001" customHeight="1" x14ac:dyDescent="0.15">
      <c r="A48" s="1">
        <v>2021</v>
      </c>
      <c r="B48" s="18" t="s">
        <v>80</v>
      </c>
      <c r="C48" s="3" t="s">
        <v>81</v>
      </c>
      <c r="D48" s="4">
        <f>华腾2021!E47</f>
        <v>198000</v>
      </c>
      <c r="E48" s="2">
        <f>华腾2021!F47</f>
        <v>0</v>
      </c>
      <c r="F48" s="4">
        <f>华腾2021!G47</f>
        <v>198000</v>
      </c>
      <c r="G48" s="2">
        <f t="shared" si="1"/>
        <v>0</v>
      </c>
    </row>
    <row r="49" spans="1:8" ht="20.100000000000001" customHeight="1" x14ac:dyDescent="0.15">
      <c r="A49" s="1">
        <v>2021</v>
      </c>
      <c r="B49" s="18" t="s">
        <v>83</v>
      </c>
      <c r="C49" s="3" t="s">
        <v>81</v>
      </c>
      <c r="D49" s="4">
        <f>华腾2021!E48</f>
        <v>40000</v>
      </c>
      <c r="E49" s="2">
        <f>华腾2021!F48</f>
        <v>0</v>
      </c>
      <c r="F49" s="4">
        <f>华腾2021!G48</f>
        <v>40000</v>
      </c>
      <c r="G49" s="2">
        <f t="shared" si="1"/>
        <v>0</v>
      </c>
    </row>
    <row r="50" spans="1:8" ht="20.100000000000001" customHeight="1" x14ac:dyDescent="0.15">
      <c r="A50" s="1">
        <v>2021</v>
      </c>
      <c r="B50" s="18" t="s">
        <v>84</v>
      </c>
      <c r="C50" s="3" t="s">
        <v>85</v>
      </c>
      <c r="D50" s="4">
        <f>华腾2021!E49</f>
        <v>178000</v>
      </c>
      <c r="E50" s="2">
        <f>华腾2021!F49</f>
        <v>0</v>
      </c>
      <c r="F50" s="4">
        <f>华腾2021!G49</f>
        <v>178000</v>
      </c>
      <c r="G50" s="2">
        <f t="shared" si="1"/>
        <v>0</v>
      </c>
    </row>
    <row r="51" spans="1:8" ht="20.100000000000001" customHeight="1" x14ac:dyDescent="0.15">
      <c r="A51" s="1">
        <v>2021</v>
      </c>
      <c r="B51" s="18" t="s">
        <v>87</v>
      </c>
      <c r="C51" s="3" t="s">
        <v>88</v>
      </c>
      <c r="D51" s="4">
        <f>华腾2021!E50</f>
        <v>116940</v>
      </c>
      <c r="E51" s="2">
        <f>华腾2021!F50</f>
        <v>0</v>
      </c>
      <c r="F51" s="4">
        <f>华腾2021!G50</f>
        <v>116940</v>
      </c>
      <c r="G51" s="2">
        <f t="shared" si="1"/>
        <v>0</v>
      </c>
    </row>
    <row r="52" spans="1:8" ht="20.100000000000001" customHeight="1" x14ac:dyDescent="0.15">
      <c r="A52" s="1">
        <v>2021</v>
      </c>
      <c r="B52" s="18" t="s">
        <v>90</v>
      </c>
      <c r="C52" s="3" t="s">
        <v>88</v>
      </c>
      <c r="D52" s="4">
        <f>华腾2021!E51</f>
        <v>41211</v>
      </c>
      <c r="E52" s="2">
        <f>华腾2021!F51</f>
        <v>0</v>
      </c>
      <c r="F52" s="4">
        <f>华腾2021!G51</f>
        <v>41211</v>
      </c>
      <c r="G52" s="2">
        <f t="shared" si="1"/>
        <v>0</v>
      </c>
    </row>
    <row r="53" spans="1:8" ht="20.100000000000001" customHeight="1" x14ac:dyDescent="0.15">
      <c r="A53" s="1">
        <v>2021</v>
      </c>
      <c r="B53" s="18" t="s">
        <v>91</v>
      </c>
      <c r="C53" s="3" t="s">
        <v>92</v>
      </c>
      <c r="D53" s="4">
        <f>华腾2021!E52</f>
        <v>71600</v>
      </c>
      <c r="E53" s="2">
        <f>华腾2021!F52</f>
        <v>0</v>
      </c>
      <c r="F53" s="4">
        <f>华腾2021!G52</f>
        <v>71600</v>
      </c>
      <c r="G53" s="2">
        <f t="shared" si="1"/>
        <v>0</v>
      </c>
    </row>
    <row r="54" spans="1:8" ht="20.100000000000001" customHeight="1" x14ac:dyDescent="0.15">
      <c r="A54" s="1">
        <v>2021</v>
      </c>
      <c r="B54" s="18" t="s">
        <v>93</v>
      </c>
      <c r="C54" s="3" t="s">
        <v>92</v>
      </c>
      <c r="D54" s="4">
        <f>华腾2021!E53</f>
        <v>136950</v>
      </c>
      <c r="E54" s="2">
        <f>华腾2021!F53</f>
        <v>0</v>
      </c>
      <c r="F54" s="4">
        <f>华腾2021!G53</f>
        <v>136950</v>
      </c>
      <c r="G54" s="2">
        <f t="shared" si="1"/>
        <v>0</v>
      </c>
    </row>
    <row r="55" spans="1:8" ht="20.100000000000001" customHeight="1" x14ac:dyDescent="0.15">
      <c r="A55" s="1">
        <v>2021</v>
      </c>
      <c r="B55" s="18" t="s">
        <v>94</v>
      </c>
      <c r="C55" s="3" t="s">
        <v>95</v>
      </c>
      <c r="D55" s="4">
        <f>华腾2021!E54</f>
        <v>18020</v>
      </c>
      <c r="E55" s="2">
        <f>华腾2021!F54</f>
        <v>0</v>
      </c>
      <c r="F55" s="4">
        <f>华腾2021!G54</f>
        <v>18020</v>
      </c>
      <c r="G55" s="2">
        <f t="shared" si="1"/>
        <v>0</v>
      </c>
    </row>
    <row r="56" spans="1:8" ht="20.100000000000001" customHeight="1" x14ac:dyDescent="0.15">
      <c r="A56" s="1">
        <v>2021</v>
      </c>
      <c r="B56" s="18" t="s">
        <v>97</v>
      </c>
      <c r="C56" s="3" t="s">
        <v>48</v>
      </c>
      <c r="D56" s="4">
        <f>华腾2021!E55</f>
        <v>176080</v>
      </c>
      <c r="E56" s="2">
        <f>华腾2021!F55</f>
        <v>0</v>
      </c>
      <c r="F56" s="4">
        <f>华腾2021!G55</f>
        <v>176080</v>
      </c>
      <c r="G56" s="2">
        <f t="shared" si="1"/>
        <v>0</v>
      </c>
      <c r="H56" s="20" t="s">
        <v>753</v>
      </c>
    </row>
    <row r="57" spans="1:8" ht="20.100000000000001" customHeight="1" x14ac:dyDescent="0.15">
      <c r="A57" s="1">
        <v>2021</v>
      </c>
      <c r="B57" s="18" t="s">
        <v>99</v>
      </c>
      <c r="C57" s="3" t="s">
        <v>100</v>
      </c>
      <c r="D57" s="4">
        <f>华腾2021!E56</f>
        <v>121926</v>
      </c>
      <c r="E57" s="2">
        <f>华腾2021!F56</f>
        <v>107720</v>
      </c>
      <c r="F57" s="4">
        <f>华腾2021!G56</f>
        <v>107720</v>
      </c>
      <c r="G57" s="4">
        <f>E57-F57</f>
        <v>0</v>
      </c>
      <c r="H57" s="20" t="s">
        <v>753</v>
      </c>
    </row>
    <row r="58" spans="1:8" ht="20.100000000000001" customHeight="1" x14ac:dyDescent="0.15">
      <c r="A58" s="1">
        <v>2021</v>
      </c>
      <c r="B58" s="18" t="s">
        <v>101</v>
      </c>
      <c r="C58" s="3" t="s">
        <v>102</v>
      </c>
      <c r="D58" s="4">
        <f>华腾2021!E57</f>
        <v>157500</v>
      </c>
      <c r="E58" s="2">
        <f>华腾2021!F57</f>
        <v>0</v>
      </c>
      <c r="F58" s="4">
        <f>华腾2021!G57</f>
        <v>157500</v>
      </c>
      <c r="G58" s="4">
        <f>D58-F58</f>
        <v>0</v>
      </c>
    </row>
    <row r="59" spans="1:8" ht="20.100000000000001" customHeight="1" x14ac:dyDescent="0.15">
      <c r="A59" s="1">
        <v>2021</v>
      </c>
      <c r="B59" s="18" t="s">
        <v>103</v>
      </c>
      <c r="C59" s="3" t="s">
        <v>100</v>
      </c>
      <c r="D59" s="4">
        <f>华腾2021!E58</f>
        <v>13548</v>
      </c>
      <c r="E59" s="2">
        <f>华腾2021!F58</f>
        <v>11969</v>
      </c>
      <c r="F59" s="4">
        <f>华腾2021!G58</f>
        <v>11969</v>
      </c>
      <c r="G59" s="4">
        <f>E59-F59</f>
        <v>0</v>
      </c>
      <c r="H59" s="20" t="s">
        <v>753</v>
      </c>
    </row>
    <row r="60" spans="1:8" ht="20.100000000000001" customHeight="1" x14ac:dyDescent="0.15">
      <c r="A60" s="1">
        <v>2021</v>
      </c>
      <c r="B60" s="18" t="s">
        <v>104</v>
      </c>
      <c r="C60" s="3" t="s">
        <v>105</v>
      </c>
      <c r="D60" s="4">
        <f>华腾2021!E59</f>
        <v>185310</v>
      </c>
      <c r="E60" s="2">
        <f>华腾2021!F59</f>
        <v>0</v>
      </c>
      <c r="F60" s="4">
        <f>华腾2021!G59</f>
        <v>185310</v>
      </c>
      <c r="G60" s="4">
        <f>D60-F60</f>
        <v>0</v>
      </c>
      <c r="H60" s="20" t="s">
        <v>753</v>
      </c>
    </row>
    <row r="61" spans="1:8" ht="20.100000000000001" customHeight="1" x14ac:dyDescent="0.15">
      <c r="A61" s="1">
        <v>2021</v>
      </c>
      <c r="B61" s="18" t="s">
        <v>106</v>
      </c>
      <c r="C61" s="3" t="s">
        <v>107</v>
      </c>
      <c r="D61" s="4">
        <f>华腾2021!E60</f>
        <v>198000</v>
      </c>
      <c r="E61" s="2">
        <f>华腾2021!F60</f>
        <v>0</v>
      </c>
      <c r="F61" s="4">
        <f>华腾2021!G60</f>
        <v>98000</v>
      </c>
      <c r="G61" s="4">
        <f t="shared" ref="G61:G67" si="2">D61-F61</f>
        <v>100000</v>
      </c>
    </row>
    <row r="62" spans="1:8" ht="20.100000000000001" customHeight="1" x14ac:dyDescent="0.15">
      <c r="A62" s="1">
        <v>2021</v>
      </c>
      <c r="B62" s="18" t="s">
        <v>108</v>
      </c>
      <c r="C62" s="3" t="s">
        <v>109</v>
      </c>
      <c r="D62" s="4">
        <f>华腾2021!E61</f>
        <v>79200</v>
      </c>
      <c r="E62" s="2">
        <f>华腾2021!F61</f>
        <v>0</v>
      </c>
      <c r="F62" s="4">
        <f>华腾2021!G61</f>
        <v>79200</v>
      </c>
      <c r="G62" s="4">
        <f t="shared" si="2"/>
        <v>0</v>
      </c>
      <c r="H62" s="20" t="s">
        <v>753</v>
      </c>
    </row>
    <row r="63" spans="1:8" ht="20.100000000000001" customHeight="1" x14ac:dyDescent="0.15">
      <c r="A63" s="1">
        <v>2021</v>
      </c>
      <c r="B63" s="18" t="s">
        <v>111</v>
      </c>
      <c r="C63" s="3" t="s">
        <v>109</v>
      </c>
      <c r="D63" s="4">
        <f>华腾2021!E62</f>
        <v>184870</v>
      </c>
      <c r="E63" s="2">
        <f>华腾2021!F62</f>
        <v>0</v>
      </c>
      <c r="F63" s="4">
        <f>华腾2021!G62</f>
        <v>184870</v>
      </c>
      <c r="G63" s="4">
        <f t="shared" si="2"/>
        <v>0</v>
      </c>
      <c r="H63" s="20" t="s">
        <v>753</v>
      </c>
    </row>
    <row r="64" spans="1:8" ht="20.100000000000001" customHeight="1" x14ac:dyDescent="0.15">
      <c r="A64" s="1">
        <v>2021</v>
      </c>
      <c r="B64" s="18" t="s">
        <v>112</v>
      </c>
      <c r="C64" s="3" t="s">
        <v>109</v>
      </c>
      <c r="D64" s="4">
        <f>华腾2021!E63</f>
        <v>194850</v>
      </c>
      <c r="E64" s="2">
        <f>华腾2021!F63</f>
        <v>0</v>
      </c>
      <c r="F64" s="4">
        <f>华腾2021!G63</f>
        <v>194850</v>
      </c>
      <c r="G64" s="4">
        <f t="shared" si="2"/>
        <v>0</v>
      </c>
      <c r="H64" s="20" t="s">
        <v>753</v>
      </c>
    </row>
    <row r="65" spans="1:8" ht="20.100000000000001" customHeight="1" x14ac:dyDescent="0.15">
      <c r="A65" s="1">
        <v>2021</v>
      </c>
      <c r="B65" s="18" t="s">
        <v>113</v>
      </c>
      <c r="C65" s="3" t="s">
        <v>114</v>
      </c>
      <c r="D65" s="4">
        <f>华腾2021!E64</f>
        <v>150160</v>
      </c>
      <c r="E65" s="2">
        <f>华腾2021!F64</f>
        <v>0</v>
      </c>
      <c r="F65" s="4">
        <f>华腾2021!G64</f>
        <v>150160</v>
      </c>
      <c r="G65" s="4">
        <f t="shared" si="2"/>
        <v>0</v>
      </c>
      <c r="H65" s="20" t="s">
        <v>753</v>
      </c>
    </row>
    <row r="66" spans="1:8" ht="20.100000000000001" customHeight="1" x14ac:dyDescent="0.15">
      <c r="A66" s="1">
        <v>2021</v>
      </c>
      <c r="B66" s="18" t="s">
        <v>115</v>
      </c>
      <c r="C66" s="3" t="s">
        <v>114</v>
      </c>
      <c r="D66" s="4">
        <f>华腾2021!E65</f>
        <v>158400</v>
      </c>
      <c r="E66" s="2">
        <f>华腾2021!F65</f>
        <v>0</v>
      </c>
      <c r="F66" s="4">
        <f>华腾2021!G65</f>
        <v>158400</v>
      </c>
      <c r="G66" s="4">
        <f t="shared" si="2"/>
        <v>0</v>
      </c>
      <c r="H66" s="20" t="s">
        <v>753</v>
      </c>
    </row>
    <row r="67" spans="1:8" ht="20.100000000000001" customHeight="1" x14ac:dyDescent="0.15">
      <c r="A67" s="1">
        <v>2021</v>
      </c>
      <c r="B67" s="18" t="s">
        <v>116</v>
      </c>
      <c r="C67" s="3" t="s">
        <v>114</v>
      </c>
      <c r="D67" s="4">
        <f>华腾2021!E66</f>
        <v>169260</v>
      </c>
      <c r="E67" s="2">
        <f>华腾2021!F66</f>
        <v>0</v>
      </c>
      <c r="F67" s="4">
        <f>华腾2021!G66</f>
        <v>169260</v>
      </c>
      <c r="G67" s="4">
        <f t="shared" si="2"/>
        <v>0</v>
      </c>
      <c r="H67" s="20" t="s">
        <v>753</v>
      </c>
    </row>
    <row r="68" spans="1:8" ht="20.100000000000001" customHeight="1" x14ac:dyDescent="0.15">
      <c r="A68" s="1">
        <v>2021</v>
      </c>
      <c r="B68" s="18" t="s">
        <v>118</v>
      </c>
      <c r="C68" s="3" t="s">
        <v>76</v>
      </c>
      <c r="D68" s="4">
        <f>华腾2021!E67</f>
        <v>40897</v>
      </c>
      <c r="E68" s="2">
        <f>华腾2021!F67</f>
        <v>36343</v>
      </c>
      <c r="F68" s="4">
        <f>华腾2021!G67</f>
        <v>36343</v>
      </c>
      <c r="G68" s="4">
        <f>E68-F68</f>
        <v>0</v>
      </c>
    </row>
    <row r="69" spans="1:8" ht="20.100000000000001" customHeight="1" x14ac:dyDescent="0.15">
      <c r="A69" s="1">
        <v>2021</v>
      </c>
      <c r="B69" s="18" t="s">
        <v>120</v>
      </c>
      <c r="C69" s="3" t="s">
        <v>121</v>
      </c>
      <c r="D69" s="4">
        <f>华腾2021!E68</f>
        <v>115000</v>
      </c>
      <c r="E69" s="2">
        <f>华腾2021!F68</f>
        <v>0</v>
      </c>
      <c r="F69" s="4">
        <f>华腾2021!G68</f>
        <v>115000</v>
      </c>
      <c r="G69" s="4">
        <f>D69-F69</f>
        <v>0</v>
      </c>
    </row>
    <row r="70" spans="1:8" ht="20.100000000000001" customHeight="1" x14ac:dyDescent="0.15">
      <c r="A70" s="1">
        <v>2021</v>
      </c>
      <c r="B70" s="18" t="s">
        <v>123</v>
      </c>
      <c r="C70" s="3" t="s">
        <v>124</v>
      </c>
      <c r="D70" s="4">
        <f>华腾2021!E69</f>
        <v>191535</v>
      </c>
      <c r="E70" s="2">
        <f>华腾2021!F69</f>
        <v>0</v>
      </c>
      <c r="F70" s="4">
        <f>华腾2021!G69</f>
        <v>191535</v>
      </c>
      <c r="G70" s="4">
        <f>D70-F70</f>
        <v>0</v>
      </c>
    </row>
    <row r="71" spans="1:8" ht="20.100000000000001" customHeight="1" x14ac:dyDescent="0.15">
      <c r="A71" s="1">
        <v>2021</v>
      </c>
      <c r="B71" s="18" t="s">
        <v>125</v>
      </c>
      <c r="C71" s="3" t="s">
        <v>124</v>
      </c>
      <c r="D71" s="4">
        <f>华腾2021!E70</f>
        <v>36160</v>
      </c>
      <c r="E71" s="2">
        <f>华腾2021!F70</f>
        <v>0</v>
      </c>
      <c r="F71" s="4">
        <f>华腾2021!G70</f>
        <v>36160</v>
      </c>
      <c r="G71" s="4">
        <f>D71-F71</f>
        <v>0</v>
      </c>
    </row>
    <row r="72" spans="1:8" ht="20.100000000000001" customHeight="1" x14ac:dyDescent="0.15">
      <c r="A72" s="1">
        <v>2021</v>
      </c>
      <c r="B72" s="18" t="s">
        <v>126</v>
      </c>
      <c r="C72" s="3" t="s">
        <v>127</v>
      </c>
      <c r="D72" s="4">
        <f>华腾2021!E71</f>
        <v>164605</v>
      </c>
      <c r="E72" s="2">
        <f>华腾2021!F71</f>
        <v>0</v>
      </c>
      <c r="F72" s="4">
        <f>华腾2021!G71</f>
        <v>164605</v>
      </c>
      <c r="G72" s="4">
        <f>D72-F72</f>
        <v>0</v>
      </c>
    </row>
    <row r="73" spans="1:8" ht="20.100000000000001" customHeight="1" x14ac:dyDescent="0.15">
      <c r="A73" s="1">
        <v>2021</v>
      </c>
      <c r="B73" s="18" t="s">
        <v>128</v>
      </c>
      <c r="C73" s="3" t="s">
        <v>76</v>
      </c>
      <c r="D73" s="4">
        <f>华腾2021!E72</f>
        <v>125844</v>
      </c>
      <c r="E73" s="2">
        <f>华腾2021!F72</f>
        <v>119391</v>
      </c>
      <c r="F73" s="4">
        <f>华腾2021!G72</f>
        <v>119391</v>
      </c>
      <c r="G73" s="4">
        <f>E73-F73</f>
        <v>0</v>
      </c>
    </row>
    <row r="74" spans="1:8" ht="20.100000000000001" customHeight="1" x14ac:dyDescent="0.15">
      <c r="A74" s="1">
        <v>2021</v>
      </c>
      <c r="B74" s="18" t="s">
        <v>129</v>
      </c>
      <c r="C74" s="3" t="s">
        <v>109</v>
      </c>
      <c r="D74" s="4">
        <f>华腾2021!E73</f>
        <v>158400</v>
      </c>
      <c r="E74" s="2">
        <f>华腾2021!F73</f>
        <v>0</v>
      </c>
      <c r="F74" s="4">
        <f>华腾2021!G73</f>
        <v>158400</v>
      </c>
      <c r="G74" s="4">
        <f>D74-F74</f>
        <v>0</v>
      </c>
      <c r="H74" s="20" t="s">
        <v>753</v>
      </c>
    </row>
    <row r="75" spans="1:8" ht="20.100000000000001" customHeight="1" x14ac:dyDescent="0.15">
      <c r="A75" s="1">
        <v>2021</v>
      </c>
      <c r="B75" s="18" t="s">
        <v>130</v>
      </c>
      <c r="C75" s="3" t="s">
        <v>131</v>
      </c>
      <c r="D75" s="4">
        <f>华腾2021!E74</f>
        <v>72000</v>
      </c>
      <c r="E75" s="2">
        <f>华腾2021!F74</f>
        <v>0</v>
      </c>
      <c r="F75" s="4">
        <f>华腾2021!G74</f>
        <v>72000</v>
      </c>
      <c r="G75" s="4">
        <f t="shared" ref="G75:G85" si="3">D75-F75</f>
        <v>0</v>
      </c>
    </row>
    <row r="76" spans="1:8" ht="20.100000000000001" customHeight="1" x14ac:dyDescent="0.15">
      <c r="A76" s="1">
        <v>2021</v>
      </c>
      <c r="B76" s="18" t="s">
        <v>133</v>
      </c>
      <c r="C76" s="3" t="s">
        <v>19</v>
      </c>
      <c r="D76" s="4">
        <f>华腾2021!E75</f>
        <v>155837</v>
      </c>
      <c r="E76" s="2">
        <f>华腾2021!F75</f>
        <v>168080</v>
      </c>
      <c r="F76" s="4">
        <f>华腾2021!G75</f>
        <v>168080</v>
      </c>
      <c r="G76" s="4">
        <f>华腾2021!H75</f>
        <v>0</v>
      </c>
    </row>
    <row r="77" spans="1:8" ht="20.100000000000001" customHeight="1" x14ac:dyDescent="0.15">
      <c r="A77" s="1">
        <v>2021</v>
      </c>
      <c r="B77" s="18" t="s">
        <v>135</v>
      </c>
      <c r="C77" s="3" t="s">
        <v>19</v>
      </c>
      <c r="D77" s="4">
        <f>华腾2021!E76</f>
        <v>83995</v>
      </c>
      <c r="E77" s="2">
        <f>华腾2021!F76</f>
        <v>90762</v>
      </c>
      <c r="F77" s="4">
        <f>华腾2021!G76</f>
        <v>90762</v>
      </c>
      <c r="G77" s="4">
        <f>E77-F77</f>
        <v>0</v>
      </c>
    </row>
    <row r="78" spans="1:8" ht="20.100000000000001" customHeight="1" x14ac:dyDescent="0.15">
      <c r="A78" s="1">
        <v>2021</v>
      </c>
      <c r="B78" s="18" t="s">
        <v>136</v>
      </c>
      <c r="C78" s="3" t="s">
        <v>19</v>
      </c>
      <c r="D78" s="4">
        <f>华腾2021!E77</f>
        <v>186730</v>
      </c>
      <c r="E78" s="2">
        <f>华腾2021!F77</f>
        <v>191479</v>
      </c>
      <c r="F78" s="4">
        <f>华腾2021!G77</f>
        <v>191479</v>
      </c>
      <c r="G78" s="4">
        <f>华腾2021!H77</f>
        <v>0</v>
      </c>
    </row>
    <row r="79" spans="1:8" ht="20.100000000000001" customHeight="1" x14ac:dyDescent="0.15">
      <c r="A79" s="1">
        <v>2021</v>
      </c>
      <c r="B79" s="18" t="s">
        <v>137</v>
      </c>
      <c r="C79" s="3" t="s">
        <v>138</v>
      </c>
      <c r="D79" s="4">
        <f>华腾2021!E78</f>
        <v>162442</v>
      </c>
      <c r="E79" s="2">
        <f>华腾2021!F78</f>
        <v>170089</v>
      </c>
      <c r="F79" s="4">
        <f>华腾2021!G78</f>
        <v>170089</v>
      </c>
      <c r="G79" s="4">
        <f>E79-F79</f>
        <v>0</v>
      </c>
    </row>
    <row r="80" spans="1:8" ht="20.100000000000001" customHeight="1" x14ac:dyDescent="0.15">
      <c r="A80" s="1">
        <v>2021</v>
      </c>
      <c r="B80" s="18" t="s">
        <v>139</v>
      </c>
      <c r="C80" s="3" t="s">
        <v>138</v>
      </c>
      <c r="D80" s="4">
        <f>华腾2021!E79</f>
        <v>145494</v>
      </c>
      <c r="E80" s="2">
        <f>华腾2021!F79</f>
        <v>154171</v>
      </c>
      <c r="F80" s="4">
        <f>华腾2021!G79</f>
        <v>154171</v>
      </c>
      <c r="G80" s="4">
        <f>华腾2021!H79</f>
        <v>0</v>
      </c>
    </row>
    <row r="81" spans="1:8" ht="20.100000000000001" customHeight="1" x14ac:dyDescent="0.15">
      <c r="A81" s="1">
        <v>2021</v>
      </c>
      <c r="B81" s="18" t="s">
        <v>140</v>
      </c>
      <c r="C81" s="3" t="s">
        <v>29</v>
      </c>
      <c r="D81" s="4">
        <f>华腾2021!E80</f>
        <v>179385</v>
      </c>
      <c r="E81" s="2">
        <f>华腾2021!F80</f>
        <v>179385</v>
      </c>
      <c r="F81" s="4">
        <f>华腾2021!G80</f>
        <v>179385</v>
      </c>
      <c r="G81" s="4">
        <f t="shared" si="3"/>
        <v>0</v>
      </c>
    </row>
    <row r="82" spans="1:8" ht="20.100000000000001" customHeight="1" x14ac:dyDescent="0.15">
      <c r="A82" s="1">
        <v>2021</v>
      </c>
      <c r="B82" s="18" t="s">
        <v>142</v>
      </c>
      <c r="C82" s="3" t="s">
        <v>29</v>
      </c>
      <c r="D82" s="4">
        <f>华腾2021!E81</f>
        <v>173698</v>
      </c>
      <c r="E82" s="2">
        <f>华腾2021!F81</f>
        <v>0</v>
      </c>
      <c r="F82" s="4">
        <f>华腾2021!G81</f>
        <v>173698</v>
      </c>
      <c r="G82" s="4">
        <f t="shared" si="3"/>
        <v>0</v>
      </c>
    </row>
    <row r="83" spans="1:8" ht="20.100000000000001" customHeight="1" x14ac:dyDescent="0.15">
      <c r="A83" s="1">
        <v>2021</v>
      </c>
      <c r="B83" s="18" t="s">
        <v>143</v>
      </c>
      <c r="C83" s="3" t="s">
        <v>29</v>
      </c>
      <c r="D83" s="4">
        <f>华腾2021!E82</f>
        <v>190315</v>
      </c>
      <c r="E83" s="2">
        <f>华腾2021!F82</f>
        <v>0</v>
      </c>
      <c r="F83" s="4">
        <f>华腾2021!G82</f>
        <v>190315</v>
      </c>
      <c r="G83" s="4">
        <f t="shared" si="3"/>
        <v>0</v>
      </c>
    </row>
    <row r="84" spans="1:8" ht="20.100000000000001" customHeight="1" x14ac:dyDescent="0.15">
      <c r="A84" s="1">
        <v>2021</v>
      </c>
      <c r="B84" s="18" t="s">
        <v>144</v>
      </c>
      <c r="C84" s="3" t="s">
        <v>29</v>
      </c>
      <c r="D84" s="4">
        <f>华腾2021!E83</f>
        <v>160703</v>
      </c>
      <c r="E84" s="2">
        <f>华腾2021!F83</f>
        <v>160703</v>
      </c>
      <c r="F84" s="4">
        <f>华腾2021!G83</f>
        <v>160703</v>
      </c>
      <c r="G84" s="4">
        <f t="shared" si="3"/>
        <v>0</v>
      </c>
    </row>
    <row r="85" spans="1:8" ht="20.100000000000001" customHeight="1" x14ac:dyDescent="0.15">
      <c r="A85" s="1">
        <v>2021</v>
      </c>
      <c r="B85" s="18" t="s">
        <v>146</v>
      </c>
      <c r="C85" s="3" t="s">
        <v>105</v>
      </c>
      <c r="D85" s="4">
        <f>华腾2021!E84</f>
        <v>115154</v>
      </c>
      <c r="E85" s="2">
        <f>华腾2021!F84</f>
        <v>0</v>
      </c>
      <c r="F85" s="4">
        <f>华腾2021!G84</f>
        <v>115154</v>
      </c>
      <c r="G85" s="4">
        <f t="shared" si="3"/>
        <v>0</v>
      </c>
      <c r="H85" s="20" t="s">
        <v>753</v>
      </c>
    </row>
    <row r="86" spans="1:8" ht="20.100000000000001" customHeight="1" x14ac:dyDescent="0.15">
      <c r="A86" s="1">
        <v>2021</v>
      </c>
      <c r="B86" s="18" t="s">
        <v>148</v>
      </c>
      <c r="C86" s="3" t="s">
        <v>76</v>
      </c>
      <c r="D86" s="4">
        <f>华腾2021!E85</f>
        <v>126748</v>
      </c>
      <c r="E86" s="2">
        <f>华腾2021!F85</f>
        <v>121550</v>
      </c>
      <c r="F86" s="4">
        <f>华腾2021!G85</f>
        <v>121550</v>
      </c>
      <c r="G86" s="4">
        <f>E86-F86</f>
        <v>0</v>
      </c>
    </row>
    <row r="87" spans="1:8" ht="20.100000000000001" customHeight="1" x14ac:dyDescent="0.15">
      <c r="A87" s="1">
        <v>2021</v>
      </c>
      <c r="B87" s="18" t="s">
        <v>149</v>
      </c>
      <c r="C87" s="3" t="s">
        <v>150</v>
      </c>
      <c r="D87" s="4">
        <f>华腾2021!E86</f>
        <v>197500</v>
      </c>
      <c r="E87" s="2">
        <f>华腾2021!F86</f>
        <v>0</v>
      </c>
      <c r="F87" s="4">
        <f>华腾2021!G86</f>
        <v>197500</v>
      </c>
      <c r="G87" s="4">
        <f>D87-F87</f>
        <v>0</v>
      </c>
    </row>
    <row r="88" spans="1:8" ht="20.100000000000001" customHeight="1" x14ac:dyDescent="0.15">
      <c r="A88" s="1">
        <v>2021</v>
      </c>
      <c r="B88" s="18" t="s">
        <v>152</v>
      </c>
      <c r="C88" s="3" t="s">
        <v>88</v>
      </c>
      <c r="D88" s="4">
        <f>华腾2021!E87</f>
        <v>37515.599999999999</v>
      </c>
      <c r="E88" s="2">
        <f>华腾2021!F87</f>
        <v>0</v>
      </c>
      <c r="F88" s="4">
        <f>华腾2021!G87</f>
        <v>37515.599999999999</v>
      </c>
      <c r="G88" s="4">
        <f>D88-F88</f>
        <v>0</v>
      </c>
    </row>
    <row r="89" spans="1:8" ht="20.100000000000001" customHeight="1" x14ac:dyDescent="0.15">
      <c r="A89" s="1">
        <v>2021</v>
      </c>
      <c r="B89" s="18" t="s">
        <v>154</v>
      </c>
      <c r="C89" s="3" t="s">
        <v>155</v>
      </c>
      <c r="D89" s="4">
        <f>华腾2021!E88</f>
        <v>198500</v>
      </c>
      <c r="E89" s="2">
        <f>华腾2021!F88</f>
        <v>0</v>
      </c>
      <c r="F89" s="4">
        <f>华腾2021!G88</f>
        <v>198500</v>
      </c>
      <c r="G89" s="4">
        <f>D89-F89</f>
        <v>0</v>
      </c>
    </row>
    <row r="90" spans="1:8" ht="20.100000000000001" customHeight="1" x14ac:dyDescent="0.15">
      <c r="A90" s="1">
        <v>2021</v>
      </c>
      <c r="B90" s="18" t="s">
        <v>156</v>
      </c>
      <c r="C90" s="3" t="s">
        <v>155</v>
      </c>
      <c r="D90" s="4" t="str">
        <f>华腾2021!E89</f>
        <v>按55/平米</v>
      </c>
      <c r="E90" s="2">
        <f>华腾2021!F89</f>
        <v>339429.75</v>
      </c>
      <c r="F90" s="4">
        <f>华腾2021!G89</f>
        <v>0</v>
      </c>
      <c r="G90" s="4">
        <f>E90-F90</f>
        <v>339429.75</v>
      </c>
    </row>
    <row r="91" spans="1:8" ht="20.100000000000001" customHeight="1" x14ac:dyDescent="0.15">
      <c r="A91" s="1">
        <v>2021</v>
      </c>
      <c r="B91" s="18" t="s">
        <v>158</v>
      </c>
      <c r="C91" s="3" t="s">
        <v>159</v>
      </c>
      <c r="D91" s="4">
        <f>华腾2021!E90</f>
        <v>48460</v>
      </c>
      <c r="E91" s="2">
        <f>华腾2021!F90</f>
        <v>0</v>
      </c>
      <c r="F91" s="4">
        <f>华腾2021!G90</f>
        <v>48460</v>
      </c>
      <c r="G91" s="4">
        <f>D91-F91</f>
        <v>0</v>
      </c>
    </row>
    <row r="92" spans="1:8" ht="20.100000000000001" customHeight="1" x14ac:dyDescent="0.15">
      <c r="A92" s="1">
        <v>2021</v>
      </c>
      <c r="B92" s="18" t="s">
        <v>160</v>
      </c>
      <c r="C92" s="3" t="s">
        <v>161</v>
      </c>
      <c r="D92" s="4">
        <f>华腾2021!E91</f>
        <v>48222</v>
      </c>
      <c r="E92" s="2">
        <f>华腾2021!F91</f>
        <v>0</v>
      </c>
      <c r="F92" s="4">
        <f>华腾2021!G91</f>
        <v>48222</v>
      </c>
      <c r="G92" s="4">
        <f t="shared" ref="G92:G109" si="4">D92-F92</f>
        <v>0</v>
      </c>
    </row>
    <row r="93" spans="1:8" ht="20.100000000000001" customHeight="1" x14ac:dyDescent="0.15">
      <c r="A93" s="1">
        <v>2021</v>
      </c>
      <c r="B93" s="18" t="s">
        <v>162</v>
      </c>
      <c r="C93" s="3" t="s">
        <v>163</v>
      </c>
      <c r="D93" s="4">
        <f>华腾2021!E92</f>
        <v>156816.79999999999</v>
      </c>
      <c r="E93" s="2">
        <f>华腾2021!F92</f>
        <v>0</v>
      </c>
      <c r="F93" s="4">
        <f>华腾2021!G92</f>
        <v>156816.79999999999</v>
      </c>
      <c r="G93" s="4">
        <f t="shared" si="4"/>
        <v>0</v>
      </c>
    </row>
    <row r="94" spans="1:8" ht="20.100000000000001" customHeight="1" x14ac:dyDescent="0.15">
      <c r="A94" s="1">
        <v>2021</v>
      </c>
      <c r="B94" s="18" t="s">
        <v>164</v>
      </c>
      <c r="C94" s="3" t="s">
        <v>165</v>
      </c>
      <c r="D94" s="4">
        <f>华腾2021!E93</f>
        <v>179535.1</v>
      </c>
      <c r="E94" s="2">
        <f>华腾2021!F93</f>
        <v>0</v>
      </c>
      <c r="F94" s="4">
        <f>华腾2021!G93</f>
        <v>179535.1</v>
      </c>
      <c r="G94" s="4">
        <f t="shared" si="4"/>
        <v>0</v>
      </c>
    </row>
    <row r="95" spans="1:8" ht="20.100000000000001" customHeight="1" x14ac:dyDescent="0.15">
      <c r="A95" s="1">
        <v>2021</v>
      </c>
      <c r="B95" s="18" t="s">
        <v>166</v>
      </c>
      <c r="C95" s="3" t="s">
        <v>167</v>
      </c>
      <c r="D95" s="4">
        <f>华腾2021!E94</f>
        <v>88340</v>
      </c>
      <c r="E95" s="2">
        <f>华腾2021!F94</f>
        <v>0</v>
      </c>
      <c r="F95" s="4">
        <f>华腾2021!G94</f>
        <v>88340</v>
      </c>
      <c r="G95" s="4">
        <f t="shared" si="4"/>
        <v>0</v>
      </c>
    </row>
    <row r="96" spans="1:8" ht="20.100000000000001" customHeight="1" x14ac:dyDescent="0.15">
      <c r="A96" s="1">
        <v>2021</v>
      </c>
      <c r="B96" s="18" t="s">
        <v>169</v>
      </c>
      <c r="C96" s="3" t="s">
        <v>17</v>
      </c>
      <c r="D96" s="4">
        <f>华腾2021!E95</f>
        <v>113714</v>
      </c>
      <c r="E96" s="2">
        <f>华腾2021!F95</f>
        <v>113714</v>
      </c>
      <c r="F96" s="4">
        <f>华腾2021!G95</f>
        <v>113714</v>
      </c>
      <c r="G96" s="4">
        <f t="shared" si="4"/>
        <v>0</v>
      </c>
    </row>
    <row r="97" spans="1:8" ht="20.100000000000001" customHeight="1" x14ac:dyDescent="0.15">
      <c r="A97" s="1">
        <v>2021</v>
      </c>
      <c r="B97" s="18" t="s">
        <v>170</v>
      </c>
      <c r="C97" s="3" t="s">
        <v>109</v>
      </c>
      <c r="D97" s="4">
        <f>华腾2021!E96</f>
        <v>172840</v>
      </c>
      <c r="E97" s="2">
        <f>华腾2021!F96</f>
        <v>0</v>
      </c>
      <c r="F97" s="4">
        <f>华腾2021!G96</f>
        <v>172840</v>
      </c>
      <c r="G97" s="4">
        <f t="shared" si="4"/>
        <v>0</v>
      </c>
      <c r="H97" s="20" t="s">
        <v>753</v>
      </c>
    </row>
    <row r="98" spans="1:8" ht="20.100000000000001" customHeight="1" x14ac:dyDescent="0.15">
      <c r="A98" s="1">
        <v>2021</v>
      </c>
      <c r="B98" s="18" t="s">
        <v>172</v>
      </c>
      <c r="C98" s="3" t="s">
        <v>88</v>
      </c>
      <c r="D98" s="4">
        <f>华腾2021!E97</f>
        <v>36250</v>
      </c>
      <c r="E98" s="2">
        <f>华腾2021!F97</f>
        <v>0</v>
      </c>
      <c r="F98" s="4">
        <f>华腾2021!G97</f>
        <v>36250</v>
      </c>
      <c r="G98" s="4">
        <f t="shared" si="4"/>
        <v>0</v>
      </c>
    </row>
    <row r="99" spans="1:8" ht="20.100000000000001" customHeight="1" x14ac:dyDescent="0.15">
      <c r="A99" s="1">
        <v>2021</v>
      </c>
      <c r="B99" s="18" t="s">
        <v>174</v>
      </c>
      <c r="C99" s="3" t="s">
        <v>88</v>
      </c>
      <c r="D99" s="4">
        <f>华腾2021!E98</f>
        <v>10156</v>
      </c>
      <c r="E99" s="2">
        <f>华腾2021!F98</f>
        <v>0</v>
      </c>
      <c r="F99" s="4">
        <f>华腾2021!G98</f>
        <v>10156</v>
      </c>
      <c r="G99" s="4">
        <f t="shared" si="4"/>
        <v>0</v>
      </c>
    </row>
    <row r="100" spans="1:8" ht="20.100000000000001" customHeight="1" x14ac:dyDescent="0.15">
      <c r="A100" s="1">
        <v>2021</v>
      </c>
      <c r="B100" s="18" t="s">
        <v>176</v>
      </c>
      <c r="C100" s="3" t="s">
        <v>177</v>
      </c>
      <c r="D100" s="4">
        <f>华腾2021!E99</f>
        <v>194070</v>
      </c>
      <c r="E100" s="2">
        <f>华腾2021!F99</f>
        <v>0</v>
      </c>
      <c r="F100" s="4">
        <f>华腾2021!G99</f>
        <v>194070</v>
      </c>
      <c r="G100" s="4">
        <f t="shared" si="4"/>
        <v>0</v>
      </c>
    </row>
    <row r="101" spans="1:8" ht="20.100000000000001" customHeight="1" x14ac:dyDescent="0.15">
      <c r="A101" s="1">
        <v>2021</v>
      </c>
      <c r="B101" s="18" t="s">
        <v>178</v>
      </c>
      <c r="C101" s="3" t="s">
        <v>177</v>
      </c>
      <c r="D101" s="4">
        <f>华腾2021!E100</f>
        <v>188980</v>
      </c>
      <c r="E101" s="2">
        <f>华腾2021!F100</f>
        <v>0</v>
      </c>
      <c r="F101" s="4">
        <f>华腾2021!G100</f>
        <v>188980</v>
      </c>
      <c r="G101" s="4">
        <f t="shared" si="4"/>
        <v>0</v>
      </c>
    </row>
    <row r="102" spans="1:8" ht="20.100000000000001" customHeight="1" x14ac:dyDescent="0.15">
      <c r="A102" s="1">
        <v>2021</v>
      </c>
      <c r="B102" s="18" t="s">
        <v>179</v>
      </c>
      <c r="C102" s="3" t="s">
        <v>177</v>
      </c>
      <c r="D102" s="4">
        <f>华腾2021!E101</f>
        <v>198200</v>
      </c>
      <c r="E102" s="2">
        <f>华腾2021!F101</f>
        <v>0</v>
      </c>
      <c r="F102" s="4">
        <f>华腾2021!G101</f>
        <v>198200</v>
      </c>
      <c r="G102" s="4">
        <f t="shared" si="4"/>
        <v>0</v>
      </c>
    </row>
    <row r="103" spans="1:8" ht="20.100000000000001" customHeight="1" x14ac:dyDescent="0.15">
      <c r="A103" s="1">
        <v>2021</v>
      </c>
      <c r="B103" s="18" t="s">
        <v>180</v>
      </c>
      <c r="C103" s="3" t="s">
        <v>88</v>
      </c>
      <c r="D103" s="4">
        <f>华腾2021!E102</f>
        <v>49720</v>
      </c>
      <c r="E103" s="2">
        <f>华腾2021!F102</f>
        <v>0</v>
      </c>
      <c r="F103" s="4">
        <f>华腾2021!G102</f>
        <v>49720</v>
      </c>
      <c r="G103" s="4">
        <f t="shared" si="4"/>
        <v>0</v>
      </c>
    </row>
    <row r="104" spans="1:8" ht="20.100000000000001" customHeight="1" x14ac:dyDescent="0.15">
      <c r="A104" s="1">
        <v>2021</v>
      </c>
      <c r="B104" s="18" t="s">
        <v>181</v>
      </c>
      <c r="C104" s="3" t="s">
        <v>182</v>
      </c>
      <c r="D104" s="4">
        <f>华腾2021!E103</f>
        <v>42200</v>
      </c>
      <c r="E104" s="2">
        <f>华腾2021!F103</f>
        <v>0</v>
      </c>
      <c r="F104" s="4">
        <f>华腾2021!G103</f>
        <v>42200</v>
      </c>
      <c r="G104" s="4">
        <f t="shared" si="4"/>
        <v>0</v>
      </c>
    </row>
    <row r="105" spans="1:8" ht="20.100000000000001" customHeight="1" x14ac:dyDescent="0.15">
      <c r="A105" s="1">
        <v>2021</v>
      </c>
      <c r="B105" s="18" t="s">
        <v>183</v>
      </c>
      <c r="C105" s="3" t="s">
        <v>27</v>
      </c>
      <c r="D105" s="4">
        <f>华腾2021!E104</f>
        <v>121197</v>
      </c>
      <c r="E105" s="2">
        <f>华腾2021!F104</f>
        <v>121197</v>
      </c>
      <c r="F105" s="4">
        <f>华腾2021!G104</f>
        <v>121197</v>
      </c>
      <c r="G105" s="4">
        <f t="shared" si="4"/>
        <v>0</v>
      </c>
    </row>
    <row r="106" spans="1:8" ht="20.100000000000001" customHeight="1" x14ac:dyDescent="0.15">
      <c r="A106" s="1">
        <v>2021</v>
      </c>
      <c r="B106" s="18" t="s">
        <v>184</v>
      </c>
      <c r="C106" s="3" t="s">
        <v>185</v>
      </c>
      <c r="D106" s="4">
        <f>华腾2021!E105</f>
        <v>102917</v>
      </c>
      <c r="E106" s="2">
        <f>华腾2021!F105</f>
        <v>0</v>
      </c>
      <c r="F106" s="4">
        <f>华腾2021!G105</f>
        <v>102917</v>
      </c>
      <c r="G106" s="4">
        <f t="shared" si="4"/>
        <v>0</v>
      </c>
    </row>
    <row r="107" spans="1:8" ht="20.100000000000001" customHeight="1" x14ac:dyDescent="0.15">
      <c r="A107" s="1">
        <v>2021</v>
      </c>
      <c r="B107" s="18" t="s">
        <v>187</v>
      </c>
      <c r="C107" s="3" t="s">
        <v>17</v>
      </c>
      <c r="D107" s="4">
        <f>华腾2021!E106</f>
        <v>109293</v>
      </c>
      <c r="E107" s="2">
        <f>华腾2021!F106</f>
        <v>109293</v>
      </c>
      <c r="F107" s="4">
        <f>华腾2021!G106</f>
        <v>109293</v>
      </c>
      <c r="G107" s="4">
        <f t="shared" si="4"/>
        <v>0</v>
      </c>
    </row>
    <row r="108" spans="1:8" ht="20.100000000000001" customHeight="1" x14ac:dyDescent="0.15">
      <c r="A108" s="1">
        <v>2021</v>
      </c>
      <c r="B108" s="18" t="s">
        <v>188</v>
      </c>
      <c r="C108" s="3" t="s">
        <v>17</v>
      </c>
      <c r="D108" s="4">
        <f>华腾2021!E107</f>
        <v>136332</v>
      </c>
      <c r="E108" s="2">
        <f>华腾2021!F107</f>
        <v>136332</v>
      </c>
      <c r="F108" s="4">
        <f>华腾2021!G107</f>
        <v>136332</v>
      </c>
      <c r="G108" s="4">
        <f t="shared" si="4"/>
        <v>0</v>
      </c>
    </row>
    <row r="109" spans="1:8" ht="20.100000000000001" customHeight="1" x14ac:dyDescent="0.15">
      <c r="A109" s="1">
        <v>2021</v>
      </c>
      <c r="B109" s="21" t="s">
        <v>189</v>
      </c>
      <c r="C109" s="3" t="s">
        <v>190</v>
      </c>
      <c r="D109" s="4">
        <f>华腾2021!E108</f>
        <v>43700</v>
      </c>
      <c r="E109" s="2">
        <f>华腾2021!F108</f>
        <v>0</v>
      </c>
      <c r="F109" s="4">
        <f>华腾2021!G108</f>
        <v>43700</v>
      </c>
      <c r="G109" s="4">
        <f t="shared" si="4"/>
        <v>0</v>
      </c>
    </row>
    <row r="110" spans="1:8" ht="20.100000000000001" customHeight="1" x14ac:dyDescent="0.15">
      <c r="A110" s="1">
        <v>2021</v>
      </c>
      <c r="B110" s="18" t="s">
        <v>192</v>
      </c>
      <c r="C110" s="3" t="s">
        <v>193</v>
      </c>
      <c r="D110" s="4">
        <f>华腾2021!E109</f>
        <v>166208</v>
      </c>
      <c r="E110" s="2">
        <f>华腾2021!F109</f>
        <v>152825</v>
      </c>
      <c r="F110" s="4">
        <f>华腾2021!G109</f>
        <v>152825</v>
      </c>
      <c r="G110" s="4">
        <f>E110-F110</f>
        <v>0</v>
      </c>
      <c r="H110" s="20" t="s">
        <v>753</v>
      </c>
    </row>
    <row r="111" spans="1:8" ht="20.100000000000001" customHeight="1" x14ac:dyDescent="0.15">
      <c r="A111" s="1">
        <v>2021</v>
      </c>
      <c r="B111" s="21" t="s">
        <v>194</v>
      </c>
      <c r="C111" s="6" t="s">
        <v>195</v>
      </c>
      <c r="D111" s="4">
        <f>华腾2021!E110</f>
        <v>51661</v>
      </c>
      <c r="E111" s="2">
        <f>华腾2021!F110</f>
        <v>47742</v>
      </c>
      <c r="F111" s="4">
        <f>华腾2021!G110</f>
        <v>47742</v>
      </c>
      <c r="G111" s="4">
        <f t="shared" ref="G111:G119" si="5">E111-F111</f>
        <v>0</v>
      </c>
      <c r="H111" s="20" t="s">
        <v>753</v>
      </c>
    </row>
    <row r="112" spans="1:8" ht="20.100000000000001" customHeight="1" x14ac:dyDescent="0.15">
      <c r="A112" s="1">
        <v>2021</v>
      </c>
      <c r="B112" s="21" t="s">
        <v>196</v>
      </c>
      <c r="C112" s="6" t="s">
        <v>195</v>
      </c>
      <c r="D112" s="4">
        <f>华腾2021!E111</f>
        <v>51549</v>
      </c>
      <c r="E112" s="2">
        <f>华腾2021!F111</f>
        <v>47619</v>
      </c>
      <c r="F112" s="4">
        <f>华腾2021!G111</f>
        <v>47619</v>
      </c>
      <c r="G112" s="4">
        <f t="shared" si="5"/>
        <v>0</v>
      </c>
      <c r="H112" s="20" t="s">
        <v>753</v>
      </c>
    </row>
    <row r="113" spans="1:8" ht="20.100000000000001" customHeight="1" x14ac:dyDescent="0.15">
      <c r="A113" s="1">
        <v>2021</v>
      </c>
      <c r="B113" s="21" t="s">
        <v>197</v>
      </c>
      <c r="C113" s="6" t="s">
        <v>195</v>
      </c>
      <c r="D113" s="4">
        <f>华腾2021!E112</f>
        <v>46133</v>
      </c>
      <c r="E113" s="2">
        <f>华腾2021!F112</f>
        <v>42164</v>
      </c>
      <c r="F113" s="4">
        <f>华腾2021!G112</f>
        <v>42164</v>
      </c>
      <c r="G113" s="4">
        <f t="shared" si="5"/>
        <v>0</v>
      </c>
      <c r="H113" s="20" t="s">
        <v>753</v>
      </c>
    </row>
    <row r="114" spans="1:8" s="8" customFormat="1" ht="20.100000000000001" customHeight="1" x14ac:dyDescent="0.15">
      <c r="A114" s="1">
        <v>2021</v>
      </c>
      <c r="B114" s="16" t="s">
        <v>198</v>
      </c>
      <c r="C114" s="7" t="s">
        <v>199</v>
      </c>
      <c r="D114" s="4">
        <f>华腾2021!E113</f>
        <v>48072</v>
      </c>
      <c r="E114" s="2">
        <f>华腾2021!F113</f>
        <v>44112</v>
      </c>
      <c r="F114" s="4">
        <f>华腾2021!G113</f>
        <v>44112</v>
      </c>
      <c r="G114" s="4">
        <f t="shared" si="5"/>
        <v>0</v>
      </c>
      <c r="H114" s="20" t="s">
        <v>753</v>
      </c>
    </row>
    <row r="115" spans="1:8" s="8" customFormat="1" ht="20.100000000000001" customHeight="1" x14ac:dyDescent="0.15">
      <c r="A115" s="1">
        <v>2021</v>
      </c>
      <c r="B115" s="18" t="s">
        <v>201</v>
      </c>
      <c r="C115" s="3" t="s">
        <v>199</v>
      </c>
      <c r="D115" s="4">
        <f>华腾2021!E114</f>
        <v>48732</v>
      </c>
      <c r="E115" s="2">
        <f>华腾2021!F114</f>
        <v>44778</v>
      </c>
      <c r="F115" s="4">
        <f>华腾2021!G114</f>
        <v>44778</v>
      </c>
      <c r="G115" s="4">
        <f t="shared" si="5"/>
        <v>0</v>
      </c>
      <c r="H115" s="20" t="s">
        <v>753</v>
      </c>
    </row>
    <row r="116" spans="1:8" s="8" customFormat="1" ht="20.100000000000001" customHeight="1" x14ac:dyDescent="0.15">
      <c r="A116" s="1">
        <v>2021</v>
      </c>
      <c r="B116" s="18" t="s">
        <v>202</v>
      </c>
      <c r="C116" s="116" t="s">
        <v>199</v>
      </c>
      <c r="D116" s="4">
        <f>华腾2021!E115</f>
        <v>47126</v>
      </c>
      <c r="E116" s="2">
        <f>华腾2021!F115</f>
        <v>43176</v>
      </c>
      <c r="F116" s="4">
        <f>华腾2021!G115</f>
        <v>43176</v>
      </c>
      <c r="G116" s="4">
        <f t="shared" si="5"/>
        <v>0</v>
      </c>
      <c r="H116" s="20" t="s">
        <v>753</v>
      </c>
    </row>
    <row r="117" spans="1:8" s="8" customFormat="1" ht="20.100000000000001" customHeight="1" x14ac:dyDescent="0.15">
      <c r="A117" s="1">
        <v>2021</v>
      </c>
      <c r="B117" s="18" t="s">
        <v>203</v>
      </c>
      <c r="C117" s="116"/>
      <c r="D117" s="4">
        <f>华腾2021!E116</f>
        <v>60738</v>
      </c>
      <c r="E117" s="2">
        <f>华腾2021!F116</f>
        <v>55547</v>
      </c>
      <c r="F117" s="4">
        <f>华腾2021!G116</f>
        <v>55547</v>
      </c>
      <c r="G117" s="4">
        <f t="shared" si="5"/>
        <v>0</v>
      </c>
      <c r="H117" s="20" t="s">
        <v>753</v>
      </c>
    </row>
    <row r="118" spans="1:8" s="8" customFormat="1" ht="20.100000000000001" customHeight="1" x14ac:dyDescent="0.15">
      <c r="A118" s="1">
        <v>2021</v>
      </c>
      <c r="B118" s="18" t="s">
        <v>205</v>
      </c>
      <c r="C118" s="3" t="s">
        <v>105</v>
      </c>
      <c r="D118" s="4">
        <f>华腾2021!E117</f>
        <v>67248</v>
      </c>
      <c r="E118" s="2">
        <f>华腾2021!F117</f>
        <v>62021</v>
      </c>
      <c r="F118" s="4">
        <f>华腾2021!G117</f>
        <v>62021</v>
      </c>
      <c r="G118" s="4">
        <f t="shared" si="5"/>
        <v>0</v>
      </c>
      <c r="H118" s="20" t="s">
        <v>753</v>
      </c>
    </row>
    <row r="119" spans="1:8" s="8" customFormat="1" ht="20.100000000000001" customHeight="1" x14ac:dyDescent="0.15">
      <c r="A119" s="1">
        <v>2021</v>
      </c>
      <c r="B119" s="18" t="s">
        <v>206</v>
      </c>
      <c r="C119" s="3" t="s">
        <v>105</v>
      </c>
      <c r="D119" s="4">
        <f>华腾2021!E118</f>
        <v>63332</v>
      </c>
      <c r="E119" s="2">
        <f>华腾2021!F118</f>
        <v>58059</v>
      </c>
      <c r="F119" s="4">
        <f>华腾2021!G118</f>
        <v>58059</v>
      </c>
      <c r="G119" s="4">
        <f t="shared" si="5"/>
        <v>0</v>
      </c>
      <c r="H119" s="20" t="s">
        <v>753</v>
      </c>
    </row>
    <row r="120" spans="1:8" s="8" customFormat="1" ht="20.100000000000001" customHeight="1" x14ac:dyDescent="0.15">
      <c r="A120" s="1">
        <v>2021</v>
      </c>
      <c r="B120" s="18" t="s">
        <v>207</v>
      </c>
      <c r="C120" s="3" t="s">
        <v>107</v>
      </c>
      <c r="D120" s="4">
        <f>华腾2021!E119</f>
        <v>195600</v>
      </c>
      <c r="E120" s="2">
        <f>华腾2021!F119</f>
        <v>0</v>
      </c>
      <c r="F120" s="4">
        <f>华腾2021!G119</f>
        <v>195600</v>
      </c>
      <c r="G120" s="2">
        <f>D120-F120</f>
        <v>0</v>
      </c>
    </row>
    <row r="121" spans="1:8" s="8" customFormat="1" ht="20.100000000000001" customHeight="1" x14ac:dyDescent="0.15">
      <c r="A121" s="1">
        <v>2021</v>
      </c>
      <c r="B121" s="18" t="s">
        <v>208</v>
      </c>
      <c r="C121" s="3" t="s">
        <v>92</v>
      </c>
      <c r="D121" s="4">
        <f>华腾2021!E120</f>
        <v>113400</v>
      </c>
      <c r="E121" s="2">
        <f>华腾2021!F120</f>
        <v>0</v>
      </c>
      <c r="F121" s="4">
        <f>华腾2021!G120</f>
        <v>113400</v>
      </c>
      <c r="G121" s="2">
        <f>D121-F121</f>
        <v>0</v>
      </c>
    </row>
    <row r="122" spans="1:8" s="8" customFormat="1" ht="20.100000000000001" customHeight="1" x14ac:dyDescent="0.15">
      <c r="A122" s="1">
        <v>2021</v>
      </c>
      <c r="B122" s="18" t="s">
        <v>209</v>
      </c>
      <c r="C122" s="3" t="s">
        <v>210</v>
      </c>
      <c r="D122" s="4">
        <f>华腾2021!E121</f>
        <v>38453</v>
      </c>
      <c r="E122" s="2">
        <f>华腾2021!F121</f>
        <v>32017</v>
      </c>
      <c r="F122" s="4">
        <f>华腾2021!G121</f>
        <v>32017</v>
      </c>
      <c r="G122" s="2">
        <f>E122-F122</f>
        <v>0</v>
      </c>
    </row>
    <row r="123" spans="1:8" s="8" customFormat="1" ht="20.100000000000001" customHeight="1" x14ac:dyDescent="0.15">
      <c r="A123" s="1">
        <v>2021</v>
      </c>
      <c r="B123" s="18" t="s">
        <v>211</v>
      </c>
      <c r="C123" s="3" t="s">
        <v>76</v>
      </c>
      <c r="D123" s="4">
        <f>华腾2021!E122</f>
        <v>66162</v>
      </c>
      <c r="E123" s="2">
        <f>华腾2021!F122</f>
        <v>59853</v>
      </c>
      <c r="F123" s="4">
        <f>华腾2021!G122</f>
        <v>59853</v>
      </c>
      <c r="G123" s="2">
        <f>E123-F123</f>
        <v>0</v>
      </c>
    </row>
    <row r="124" spans="1:8" s="8" customFormat="1" ht="20.100000000000001" customHeight="1" x14ac:dyDescent="0.15">
      <c r="A124" s="1">
        <v>2021</v>
      </c>
      <c r="B124" s="18" t="s">
        <v>212</v>
      </c>
      <c r="C124" s="3" t="s">
        <v>182</v>
      </c>
      <c r="D124" s="4">
        <f>华腾2021!E123</f>
        <v>23800</v>
      </c>
      <c r="E124" s="2">
        <f>华腾2021!F123</f>
        <v>0</v>
      </c>
      <c r="F124" s="4">
        <f>华腾2021!G123</f>
        <v>23800</v>
      </c>
      <c r="G124" s="2">
        <f>D124-F124</f>
        <v>0</v>
      </c>
    </row>
    <row r="125" spans="1:8" ht="20.100000000000001" customHeight="1" x14ac:dyDescent="0.15">
      <c r="A125" s="1">
        <v>2021</v>
      </c>
      <c r="B125" s="18" t="s">
        <v>214</v>
      </c>
      <c r="C125" s="3" t="s">
        <v>215</v>
      </c>
      <c r="D125" s="4">
        <f>华腾2021!E124</f>
        <v>173310</v>
      </c>
      <c r="E125" s="2">
        <f>华腾2021!F124</f>
        <v>0</v>
      </c>
      <c r="F125" s="4">
        <f>华腾2021!G124</f>
        <v>173310</v>
      </c>
      <c r="G125" s="2">
        <f t="shared" ref="G125:G132" si="6">D125-F125</f>
        <v>0</v>
      </c>
    </row>
    <row r="126" spans="1:8" ht="20.100000000000001" customHeight="1" x14ac:dyDescent="0.15">
      <c r="A126" s="1">
        <v>2021</v>
      </c>
      <c r="B126" s="18" t="s">
        <v>217</v>
      </c>
      <c r="C126" s="3" t="s">
        <v>218</v>
      </c>
      <c r="D126" s="4">
        <f>华腾2021!E125</f>
        <v>196230</v>
      </c>
      <c r="E126" s="2">
        <f>华腾2021!F125</f>
        <v>0</v>
      </c>
      <c r="F126" s="4">
        <f>华腾2021!G125</f>
        <v>196230</v>
      </c>
      <c r="G126" s="2">
        <f t="shared" si="6"/>
        <v>0</v>
      </c>
    </row>
    <row r="127" spans="1:8" ht="20.100000000000001" customHeight="1" x14ac:dyDescent="0.15">
      <c r="A127" s="1">
        <v>2021</v>
      </c>
      <c r="B127" s="18" t="s">
        <v>220</v>
      </c>
      <c r="C127" s="3" t="s">
        <v>218</v>
      </c>
      <c r="D127" s="4">
        <f>华腾2021!E126</f>
        <v>185590</v>
      </c>
      <c r="E127" s="2">
        <f>华腾2021!F126</f>
        <v>0</v>
      </c>
      <c r="F127" s="4">
        <f>华腾2021!G126</f>
        <v>185590</v>
      </c>
      <c r="G127" s="2">
        <f t="shared" si="6"/>
        <v>0</v>
      </c>
    </row>
    <row r="128" spans="1:8" ht="20.100000000000001" customHeight="1" x14ac:dyDescent="0.15">
      <c r="A128" s="1">
        <v>2021</v>
      </c>
      <c r="B128" s="18" t="s">
        <v>221</v>
      </c>
      <c r="C128" s="3" t="s">
        <v>218</v>
      </c>
      <c r="D128" s="4">
        <f>华腾2021!E127</f>
        <v>188270</v>
      </c>
      <c r="E128" s="2">
        <f>华腾2021!F127</f>
        <v>0</v>
      </c>
      <c r="F128" s="4">
        <f>华腾2021!G127</f>
        <v>188270</v>
      </c>
      <c r="G128" s="2">
        <f t="shared" si="6"/>
        <v>0</v>
      </c>
    </row>
    <row r="129" spans="1:7" s="8" customFormat="1" ht="20.100000000000001" customHeight="1" x14ac:dyDescent="0.15">
      <c r="A129" s="1">
        <v>2021</v>
      </c>
      <c r="B129" s="18" t="s">
        <v>222</v>
      </c>
      <c r="C129" s="3" t="s">
        <v>218</v>
      </c>
      <c r="D129" s="4">
        <f>华腾2021!E128</f>
        <v>130800</v>
      </c>
      <c r="E129" s="2">
        <f>华腾2021!F128</f>
        <v>0</v>
      </c>
      <c r="F129" s="4">
        <f>华腾2021!G128</f>
        <v>130800</v>
      </c>
      <c r="G129" s="2">
        <f t="shared" si="6"/>
        <v>0</v>
      </c>
    </row>
    <row r="130" spans="1:7" s="8" customFormat="1" ht="20.100000000000001" customHeight="1" x14ac:dyDescent="0.15">
      <c r="A130" s="1">
        <v>2021</v>
      </c>
      <c r="B130" s="18" t="s">
        <v>223</v>
      </c>
      <c r="C130" s="3" t="s">
        <v>95</v>
      </c>
      <c r="D130" s="4">
        <f>华腾2021!E129</f>
        <v>31376</v>
      </c>
      <c r="E130" s="2">
        <f>华腾2021!F129</f>
        <v>0</v>
      </c>
      <c r="F130" s="4">
        <f>华腾2021!G129</f>
        <v>31376</v>
      </c>
      <c r="G130" s="2">
        <f t="shared" si="6"/>
        <v>0</v>
      </c>
    </row>
    <row r="131" spans="1:7" s="8" customFormat="1" ht="20.100000000000001" customHeight="1" x14ac:dyDescent="0.15">
      <c r="A131" s="1">
        <v>2021</v>
      </c>
      <c r="B131" s="18" t="s">
        <v>225</v>
      </c>
      <c r="C131" s="3" t="s">
        <v>218</v>
      </c>
      <c r="D131" s="4">
        <f>华腾2021!E130</f>
        <v>95130</v>
      </c>
      <c r="E131" s="2">
        <f>华腾2021!F130</f>
        <v>0</v>
      </c>
      <c r="F131" s="4">
        <f>华腾2021!G130</f>
        <v>95130</v>
      </c>
      <c r="G131" s="2">
        <f t="shared" si="6"/>
        <v>0</v>
      </c>
    </row>
    <row r="132" spans="1:7" s="8" customFormat="1" ht="20.100000000000001" customHeight="1" x14ac:dyDescent="0.15">
      <c r="A132" s="1">
        <v>2021</v>
      </c>
      <c r="B132" s="18" t="s">
        <v>226</v>
      </c>
      <c r="C132" s="3" t="s">
        <v>185</v>
      </c>
      <c r="D132" s="4">
        <f>华腾2021!E131</f>
        <v>199476</v>
      </c>
      <c r="E132" s="2">
        <f>华腾2021!F131</f>
        <v>0</v>
      </c>
      <c r="F132" s="4">
        <f>华腾2021!G131</f>
        <v>199476</v>
      </c>
      <c r="G132" s="2">
        <f t="shared" si="6"/>
        <v>0</v>
      </c>
    </row>
    <row r="133" spans="1:7" s="8" customFormat="1" ht="20.100000000000001" customHeight="1" x14ac:dyDescent="0.15">
      <c r="A133" s="1">
        <v>2021</v>
      </c>
      <c r="B133" s="18" t="s">
        <v>227</v>
      </c>
      <c r="C133" s="3" t="s">
        <v>228</v>
      </c>
      <c r="D133" s="4">
        <f>华腾2021!E132</f>
        <v>144994</v>
      </c>
      <c r="E133" s="2">
        <f>华腾2021!F132</f>
        <v>127377</v>
      </c>
      <c r="F133" s="4">
        <f>华腾2021!G132</f>
        <v>127377</v>
      </c>
      <c r="G133" s="2">
        <f>E133-F133</f>
        <v>0</v>
      </c>
    </row>
    <row r="134" spans="1:7" s="8" customFormat="1" ht="20.100000000000001" customHeight="1" x14ac:dyDescent="0.15">
      <c r="A134" s="1">
        <v>2021</v>
      </c>
      <c r="B134" s="18" t="s">
        <v>229</v>
      </c>
      <c r="C134" s="3" t="s">
        <v>210</v>
      </c>
      <c r="D134" s="4">
        <f>华腾2021!E133</f>
        <v>198554</v>
      </c>
      <c r="E134" s="2">
        <f>华腾2021!F133</f>
        <v>126269</v>
      </c>
      <c r="F134" s="4">
        <f>华腾2021!G133</f>
        <v>126269</v>
      </c>
      <c r="G134" s="2">
        <f>E134-F134</f>
        <v>0</v>
      </c>
    </row>
    <row r="135" spans="1:7" s="8" customFormat="1" ht="20.100000000000001" customHeight="1" x14ac:dyDescent="0.15">
      <c r="A135" s="1">
        <v>2021</v>
      </c>
      <c r="B135" s="18" t="s">
        <v>230</v>
      </c>
      <c r="C135" s="3" t="s">
        <v>215</v>
      </c>
      <c r="D135" s="4">
        <f>华腾2021!E134</f>
        <v>177670</v>
      </c>
      <c r="E135" s="2">
        <f>华腾2021!F134</f>
        <v>0</v>
      </c>
      <c r="F135" s="4">
        <f>华腾2021!G134</f>
        <v>177670</v>
      </c>
      <c r="G135" s="2">
        <f>D135-F135</f>
        <v>0</v>
      </c>
    </row>
    <row r="136" spans="1:7" s="8" customFormat="1" ht="20.100000000000001" customHeight="1" x14ac:dyDescent="0.15">
      <c r="A136" s="1">
        <v>2021</v>
      </c>
      <c r="B136" s="18" t="s">
        <v>231</v>
      </c>
      <c r="C136" s="3" t="s">
        <v>232</v>
      </c>
      <c r="D136" s="4">
        <f>华腾2021!E135</f>
        <v>140498</v>
      </c>
      <c r="E136" s="2">
        <v>140498</v>
      </c>
      <c r="F136" s="4">
        <f>华腾2021!G135</f>
        <v>140498</v>
      </c>
      <c r="G136" s="2">
        <f>D136-F136</f>
        <v>0</v>
      </c>
    </row>
    <row r="137" spans="1:7" s="8" customFormat="1" ht="20.100000000000001" customHeight="1" x14ac:dyDescent="0.15">
      <c r="A137" s="1">
        <v>2021</v>
      </c>
      <c r="B137" s="18" t="s">
        <v>233</v>
      </c>
      <c r="C137" s="3" t="s">
        <v>234</v>
      </c>
      <c r="D137" s="4">
        <f>华腾2021!E136</f>
        <v>69743</v>
      </c>
      <c r="E137" s="2">
        <f>华腾2021!F136</f>
        <v>0</v>
      </c>
      <c r="F137" s="4">
        <f>华腾2021!G136</f>
        <v>69743</v>
      </c>
      <c r="G137" s="2">
        <f>D137-F137</f>
        <v>0</v>
      </c>
    </row>
    <row r="138" spans="1:7" s="8" customFormat="1" ht="20.100000000000001" customHeight="1" x14ac:dyDescent="0.15">
      <c r="A138" s="1">
        <v>2021</v>
      </c>
      <c r="B138" s="18" t="s">
        <v>235</v>
      </c>
      <c r="C138" s="3" t="s">
        <v>210</v>
      </c>
      <c r="D138" s="4">
        <f>华腾2021!E137</f>
        <v>153434</v>
      </c>
      <c r="E138" s="2">
        <f>华腾2021!F137</f>
        <v>89129</v>
      </c>
      <c r="F138" s="4">
        <f>华腾2021!G137</f>
        <v>89129</v>
      </c>
      <c r="G138" s="2">
        <f>E138-F138</f>
        <v>0</v>
      </c>
    </row>
    <row r="139" spans="1:7" s="8" customFormat="1" ht="20.100000000000001" customHeight="1" x14ac:dyDescent="0.15">
      <c r="A139" s="1">
        <v>2021</v>
      </c>
      <c r="B139" s="18" t="s">
        <v>236</v>
      </c>
      <c r="C139" s="3" t="s">
        <v>237</v>
      </c>
      <c r="D139" s="4">
        <f>华腾2021!E138</f>
        <v>146876</v>
      </c>
      <c r="E139" s="2">
        <f>华腾2021!F138</f>
        <v>93870</v>
      </c>
      <c r="F139" s="4">
        <f>华腾2021!G138</f>
        <v>93870</v>
      </c>
      <c r="G139" s="2">
        <f>E139-F139</f>
        <v>0</v>
      </c>
    </row>
    <row r="140" spans="1:7" s="8" customFormat="1" ht="20.100000000000001" customHeight="1" x14ac:dyDescent="0.15">
      <c r="A140" s="1">
        <v>2021</v>
      </c>
      <c r="B140" s="18" t="s">
        <v>239</v>
      </c>
      <c r="C140" s="3" t="s">
        <v>237</v>
      </c>
      <c r="D140" s="4">
        <f>华腾2021!E139</f>
        <v>140794</v>
      </c>
      <c r="E140" s="2">
        <f>华腾2021!F139</f>
        <v>87332</v>
      </c>
      <c r="F140" s="4">
        <f>华腾2021!G139</f>
        <v>87332</v>
      </c>
      <c r="G140" s="2">
        <f>E140-F140</f>
        <v>0</v>
      </c>
    </row>
    <row r="141" spans="1:7" s="8" customFormat="1" ht="20.100000000000001" customHeight="1" x14ac:dyDescent="0.15">
      <c r="A141" s="1">
        <v>2021</v>
      </c>
      <c r="B141" s="18" t="s">
        <v>240</v>
      </c>
      <c r="C141" s="3" t="s">
        <v>177</v>
      </c>
      <c r="D141" s="4">
        <f>华腾2021!E140</f>
        <v>132047</v>
      </c>
      <c r="E141" s="2">
        <f>华腾2021!F140</f>
        <v>0</v>
      </c>
      <c r="F141" s="4">
        <f>华腾2021!G140</f>
        <v>132047</v>
      </c>
      <c r="G141" s="2">
        <f>D141-F141</f>
        <v>0</v>
      </c>
    </row>
    <row r="142" spans="1:7" s="8" customFormat="1" ht="20.100000000000001" customHeight="1" x14ac:dyDescent="0.15">
      <c r="A142" s="1">
        <v>2021</v>
      </c>
      <c r="B142" s="18" t="s">
        <v>242</v>
      </c>
      <c r="C142" s="3" t="s">
        <v>177</v>
      </c>
      <c r="D142" s="4">
        <f>华腾2021!E141</f>
        <v>177967</v>
      </c>
      <c r="E142" s="2">
        <f>华腾2021!F141</f>
        <v>0</v>
      </c>
      <c r="F142" s="4">
        <f>华腾2021!G141</f>
        <v>177967</v>
      </c>
      <c r="G142" s="2">
        <f>D142-F142</f>
        <v>0</v>
      </c>
    </row>
    <row r="143" spans="1:7" s="8" customFormat="1" ht="20.100000000000001" customHeight="1" x14ac:dyDescent="0.15">
      <c r="A143" s="1">
        <v>2021</v>
      </c>
      <c r="B143" s="18" t="s">
        <v>243</v>
      </c>
      <c r="C143" s="3" t="s">
        <v>29</v>
      </c>
      <c r="D143" s="4">
        <f>华腾2021!E142</f>
        <v>41988</v>
      </c>
      <c r="E143" s="2">
        <f>华腾2021!F142</f>
        <v>0</v>
      </c>
      <c r="F143" s="4">
        <f>华腾2021!G142</f>
        <v>41988</v>
      </c>
      <c r="G143" s="2">
        <f>D143-F143</f>
        <v>0</v>
      </c>
    </row>
    <row r="144" spans="1:7" s="8" customFormat="1" ht="20.100000000000001" customHeight="1" x14ac:dyDescent="0.15">
      <c r="A144" s="1">
        <v>2021</v>
      </c>
      <c r="B144" s="18" t="s">
        <v>244</v>
      </c>
      <c r="C144" s="3" t="s">
        <v>232</v>
      </c>
      <c r="D144" s="4">
        <f>华腾2021!E143</f>
        <v>48007</v>
      </c>
      <c r="E144" s="2">
        <f>华腾2021!F143</f>
        <v>0</v>
      </c>
      <c r="F144" s="4">
        <f>华腾2021!G143</f>
        <v>48007</v>
      </c>
      <c r="G144" s="2">
        <f>D144-F144</f>
        <v>0</v>
      </c>
    </row>
    <row r="145" spans="1:8" s="8" customFormat="1" ht="20.100000000000001" customHeight="1" x14ac:dyDescent="0.15">
      <c r="A145" s="1">
        <v>2021</v>
      </c>
      <c r="B145" s="18" t="s">
        <v>246</v>
      </c>
      <c r="C145" s="3" t="s">
        <v>195</v>
      </c>
      <c r="D145" s="4">
        <f>华腾2021!E144</f>
        <v>47910</v>
      </c>
      <c r="E145" s="2">
        <f>华腾2021!F144</f>
        <v>43959</v>
      </c>
      <c r="F145" s="4">
        <f>华腾2021!G144</f>
        <v>43959</v>
      </c>
      <c r="G145" s="2">
        <f>E145-F145</f>
        <v>0</v>
      </c>
      <c r="H145" s="20" t="s">
        <v>753</v>
      </c>
    </row>
    <row r="146" spans="1:8" ht="20.100000000000001" customHeight="1" x14ac:dyDescent="0.15">
      <c r="A146" s="1">
        <v>2021</v>
      </c>
      <c r="B146" s="18" t="s">
        <v>247</v>
      </c>
      <c r="C146" s="3" t="s">
        <v>199</v>
      </c>
      <c r="D146" s="4">
        <f>华腾2021!E145</f>
        <v>53559</v>
      </c>
      <c r="E146" s="2">
        <f>华腾2021!F145</f>
        <v>49671</v>
      </c>
      <c r="F146" s="4">
        <f>华腾2021!G145</f>
        <v>49671</v>
      </c>
      <c r="G146" s="2">
        <f>E146-F146</f>
        <v>0</v>
      </c>
      <c r="H146" s="20" t="s">
        <v>753</v>
      </c>
    </row>
    <row r="147" spans="1:8" ht="20.100000000000001" customHeight="1" x14ac:dyDescent="0.15">
      <c r="A147" s="1">
        <v>2021</v>
      </c>
      <c r="B147" s="18" t="s">
        <v>248</v>
      </c>
      <c r="C147" s="3" t="s">
        <v>249</v>
      </c>
      <c r="D147" s="4">
        <f>华腾2021!E146</f>
        <v>51500</v>
      </c>
      <c r="E147" s="2">
        <f>华腾2021!F146</f>
        <v>0</v>
      </c>
      <c r="F147" s="4">
        <f>华腾2021!G146</f>
        <v>51500</v>
      </c>
      <c r="G147" s="2">
        <f>D147-F147</f>
        <v>0</v>
      </c>
    </row>
    <row r="148" spans="1:8" ht="20.100000000000001" customHeight="1" x14ac:dyDescent="0.15">
      <c r="A148" s="1">
        <v>2021</v>
      </c>
      <c r="B148" s="18" t="s">
        <v>250</v>
      </c>
      <c r="C148" s="3" t="s">
        <v>185</v>
      </c>
      <c r="D148" s="4">
        <f>华腾2021!E147</f>
        <v>198930</v>
      </c>
      <c r="E148" s="2">
        <f>华腾2021!F147</f>
        <v>0</v>
      </c>
      <c r="F148" s="4">
        <f>华腾2021!G147</f>
        <v>198930</v>
      </c>
      <c r="G148" s="2">
        <f t="shared" ref="G148:G153" si="7">D148-F148</f>
        <v>0</v>
      </c>
    </row>
    <row r="149" spans="1:8" ht="20.100000000000001" customHeight="1" x14ac:dyDescent="0.15">
      <c r="A149" s="1">
        <v>2021</v>
      </c>
      <c r="B149" s="18" t="s">
        <v>252</v>
      </c>
      <c r="C149" s="3" t="s">
        <v>190</v>
      </c>
      <c r="D149" s="4">
        <f>华腾2021!E148</f>
        <v>42500</v>
      </c>
      <c r="E149" s="2">
        <f>华腾2021!F148</f>
        <v>0</v>
      </c>
      <c r="F149" s="4">
        <f>华腾2021!G148</f>
        <v>42500</v>
      </c>
      <c r="G149" s="2">
        <f t="shared" si="7"/>
        <v>0</v>
      </c>
    </row>
    <row r="150" spans="1:8" ht="20.100000000000001" customHeight="1" x14ac:dyDescent="0.15">
      <c r="A150" s="1">
        <v>2021</v>
      </c>
      <c r="B150" s="18" t="s">
        <v>254</v>
      </c>
      <c r="C150" s="3" t="s">
        <v>185</v>
      </c>
      <c r="D150" s="4">
        <f>华腾2021!E149</f>
        <v>109800</v>
      </c>
      <c r="E150" s="2">
        <f>华腾2021!F149</f>
        <v>0</v>
      </c>
      <c r="F150" s="4">
        <f>华腾2021!G149</f>
        <v>109800</v>
      </c>
      <c r="G150" s="2">
        <f t="shared" si="7"/>
        <v>0</v>
      </c>
    </row>
    <row r="151" spans="1:8" ht="20.100000000000001" customHeight="1" x14ac:dyDescent="0.15">
      <c r="A151" s="1">
        <v>2021</v>
      </c>
      <c r="B151" s="18" t="s">
        <v>255</v>
      </c>
      <c r="C151" s="3" t="s">
        <v>182</v>
      </c>
      <c r="D151" s="4">
        <f>华腾2021!E150</f>
        <v>17000</v>
      </c>
      <c r="E151" s="2">
        <f>华腾2021!F150</f>
        <v>0</v>
      </c>
      <c r="F151" s="4">
        <f>华腾2021!G150</f>
        <v>17000</v>
      </c>
      <c r="G151" s="2">
        <f t="shared" si="7"/>
        <v>0</v>
      </c>
    </row>
    <row r="152" spans="1:8" ht="20.100000000000001" customHeight="1" x14ac:dyDescent="0.15">
      <c r="A152" s="1">
        <v>2021</v>
      </c>
      <c r="B152" s="18" t="s">
        <v>256</v>
      </c>
      <c r="C152" s="3" t="s">
        <v>182</v>
      </c>
      <c r="D152" s="4">
        <f>华腾2021!E151</f>
        <v>57990</v>
      </c>
      <c r="E152" s="2">
        <f>华腾2021!F151</f>
        <v>0</v>
      </c>
      <c r="F152" s="4">
        <f>华腾2021!G151</f>
        <v>57990</v>
      </c>
      <c r="G152" s="2">
        <f t="shared" si="7"/>
        <v>0</v>
      </c>
    </row>
    <row r="153" spans="1:8" ht="20.100000000000001" customHeight="1" x14ac:dyDescent="0.15">
      <c r="A153" s="1">
        <v>2021</v>
      </c>
      <c r="B153" s="18" t="s">
        <v>258</v>
      </c>
      <c r="C153" s="3" t="s">
        <v>259</v>
      </c>
      <c r="D153" s="4">
        <f>华腾2021!E152</f>
        <v>80000</v>
      </c>
      <c r="E153" s="2">
        <f>华腾2021!F152</f>
        <v>0</v>
      </c>
      <c r="F153" s="4">
        <f>华腾2021!G152</f>
        <v>80000</v>
      </c>
      <c r="G153" s="2">
        <f t="shared" si="7"/>
        <v>0</v>
      </c>
    </row>
    <row r="154" spans="1:8" ht="20.100000000000001" customHeight="1" x14ac:dyDescent="0.15">
      <c r="A154" s="1">
        <v>2021</v>
      </c>
      <c r="B154" s="18" t="s">
        <v>260</v>
      </c>
      <c r="C154" s="3" t="s">
        <v>261</v>
      </c>
      <c r="D154" s="4" t="str">
        <f>华腾2021!E153</f>
        <v>最低3000每项</v>
      </c>
      <c r="E154" s="2">
        <f>华腾2021!F153</f>
        <v>0</v>
      </c>
      <c r="F154" s="4">
        <f>华腾2021!G153</f>
        <v>0</v>
      </c>
      <c r="G154" s="2" t="s">
        <v>262</v>
      </c>
    </row>
    <row r="155" spans="1:8" ht="20.100000000000001" customHeight="1" x14ac:dyDescent="0.15">
      <c r="A155" s="1">
        <v>2021</v>
      </c>
      <c r="B155" s="18" t="s">
        <v>263</v>
      </c>
      <c r="C155" s="3" t="s">
        <v>85</v>
      </c>
      <c r="D155" s="4">
        <f>华腾2021!E154</f>
        <v>159600</v>
      </c>
      <c r="E155" s="2">
        <f>华腾2021!F154</f>
        <v>0</v>
      </c>
      <c r="F155" s="4">
        <f>华腾2021!G154</f>
        <v>159600</v>
      </c>
      <c r="G155" s="2">
        <f>D155-F155</f>
        <v>0</v>
      </c>
    </row>
    <row r="156" spans="1:8" ht="20.100000000000001" customHeight="1" x14ac:dyDescent="0.15">
      <c r="A156" s="1">
        <v>2021</v>
      </c>
      <c r="B156" s="18" t="s">
        <v>265</v>
      </c>
      <c r="C156" s="3" t="s">
        <v>266</v>
      </c>
      <c r="D156" s="4">
        <f>华腾2021!E155</f>
        <v>55000</v>
      </c>
      <c r="E156" s="2">
        <f>华腾2021!F155</f>
        <v>0</v>
      </c>
      <c r="F156" s="4">
        <f>华腾2021!G155</f>
        <v>55000</v>
      </c>
      <c r="G156" s="2">
        <f t="shared" ref="G156:G187" si="8">D156-F156</f>
        <v>0</v>
      </c>
    </row>
    <row r="157" spans="1:8" ht="20.100000000000001" customHeight="1" x14ac:dyDescent="0.15">
      <c r="A157" s="1">
        <v>2021</v>
      </c>
      <c r="B157" s="18" t="s">
        <v>267</v>
      </c>
      <c r="C157" s="3" t="s">
        <v>167</v>
      </c>
      <c r="D157" s="4">
        <f>华腾2021!E156</f>
        <v>164360</v>
      </c>
      <c r="E157" s="2">
        <f>华腾2021!F156</f>
        <v>0</v>
      </c>
      <c r="F157" s="4">
        <f>华腾2021!G156</f>
        <v>164360</v>
      </c>
      <c r="G157" s="2">
        <f t="shared" si="8"/>
        <v>0</v>
      </c>
    </row>
    <row r="158" spans="1:8" ht="20.100000000000001" customHeight="1" x14ac:dyDescent="0.15">
      <c r="A158" s="1">
        <v>2021</v>
      </c>
      <c r="B158" s="18" t="s">
        <v>268</v>
      </c>
      <c r="C158" s="3" t="s">
        <v>215</v>
      </c>
      <c r="D158" s="4">
        <f>华腾2021!E157</f>
        <v>158752</v>
      </c>
      <c r="E158" s="2">
        <f>华腾2021!F157</f>
        <v>0</v>
      </c>
      <c r="F158" s="4">
        <f>华腾2021!G157</f>
        <v>158752</v>
      </c>
      <c r="G158" s="2">
        <f t="shared" si="8"/>
        <v>0</v>
      </c>
    </row>
    <row r="159" spans="1:8" ht="20.100000000000001" customHeight="1" x14ac:dyDescent="0.15">
      <c r="A159" s="1">
        <v>2021</v>
      </c>
      <c r="B159" s="18" t="s">
        <v>270</v>
      </c>
      <c r="C159" s="3" t="s">
        <v>95</v>
      </c>
      <c r="D159" s="4">
        <f>华腾2021!E158</f>
        <v>113420</v>
      </c>
      <c r="E159" s="2">
        <f>华腾2021!F158</f>
        <v>0</v>
      </c>
      <c r="F159" s="4">
        <f>华腾2021!G158</f>
        <v>113420</v>
      </c>
      <c r="G159" s="2">
        <f t="shared" si="8"/>
        <v>0</v>
      </c>
    </row>
    <row r="160" spans="1:8" ht="20.100000000000001" customHeight="1" x14ac:dyDescent="0.15">
      <c r="A160" s="1">
        <v>2021</v>
      </c>
      <c r="B160" s="18" t="s">
        <v>272</v>
      </c>
      <c r="C160" s="3" t="s">
        <v>182</v>
      </c>
      <c r="D160" s="4">
        <f>华腾2021!E159</f>
        <v>27500</v>
      </c>
      <c r="E160" s="2">
        <f>华腾2021!F159</f>
        <v>0</v>
      </c>
      <c r="F160" s="4">
        <f>华腾2021!G159</f>
        <v>27500</v>
      </c>
      <c r="G160" s="2">
        <f t="shared" si="8"/>
        <v>0</v>
      </c>
    </row>
    <row r="161" spans="1:8" ht="20.100000000000001" customHeight="1" x14ac:dyDescent="0.15">
      <c r="A161" s="1">
        <v>2021</v>
      </c>
      <c r="B161" s="18" t="s">
        <v>273</v>
      </c>
      <c r="C161" s="3" t="s">
        <v>182</v>
      </c>
      <c r="D161" s="4">
        <f>华腾2021!E160</f>
        <v>23800</v>
      </c>
      <c r="E161" s="2">
        <f>华腾2021!F160</f>
        <v>0</v>
      </c>
      <c r="F161" s="4">
        <f>华腾2021!G160</f>
        <v>23800</v>
      </c>
      <c r="G161" s="2">
        <f t="shared" si="8"/>
        <v>0</v>
      </c>
    </row>
    <row r="162" spans="1:8" ht="20.100000000000001" customHeight="1" x14ac:dyDescent="0.15">
      <c r="A162" s="1">
        <v>2021</v>
      </c>
      <c r="B162" s="18" t="s">
        <v>274</v>
      </c>
      <c r="C162" s="3" t="s">
        <v>275</v>
      </c>
      <c r="D162" s="4">
        <f>华腾2021!E161</f>
        <v>86930</v>
      </c>
      <c r="E162" s="2">
        <f>华腾2021!F161</f>
        <v>0</v>
      </c>
      <c r="F162" s="4">
        <f>华腾2021!G161</f>
        <v>86930</v>
      </c>
      <c r="G162" s="2">
        <f t="shared" si="8"/>
        <v>0</v>
      </c>
    </row>
    <row r="163" spans="1:8" ht="20.100000000000001" customHeight="1" x14ac:dyDescent="0.15">
      <c r="A163" s="1">
        <v>2021</v>
      </c>
      <c r="B163" s="18" t="s">
        <v>277</v>
      </c>
      <c r="C163" s="3" t="s">
        <v>278</v>
      </c>
      <c r="D163" s="4">
        <f>华腾2021!E162</f>
        <v>67223.83</v>
      </c>
      <c r="E163" s="2">
        <f>华腾2021!F162</f>
        <v>0</v>
      </c>
      <c r="F163" s="4">
        <f>华腾2021!G162</f>
        <v>67223.83</v>
      </c>
      <c r="G163" s="2">
        <f t="shared" si="8"/>
        <v>0</v>
      </c>
    </row>
    <row r="164" spans="1:8" ht="20.100000000000001" customHeight="1" x14ac:dyDescent="0.15">
      <c r="A164" s="1">
        <v>2021</v>
      </c>
      <c r="B164" s="18" t="s">
        <v>280</v>
      </c>
      <c r="C164" s="3" t="s">
        <v>278</v>
      </c>
      <c r="D164" s="4">
        <f>华腾2021!E163</f>
        <v>42950</v>
      </c>
      <c r="E164" s="2">
        <f>华腾2021!F163</f>
        <v>0</v>
      </c>
      <c r="F164" s="4">
        <f>华腾2021!G163</f>
        <v>42950</v>
      </c>
      <c r="G164" s="2">
        <f t="shared" si="8"/>
        <v>0</v>
      </c>
    </row>
    <row r="165" spans="1:8" ht="20.100000000000001" customHeight="1" x14ac:dyDescent="0.15">
      <c r="A165" s="1">
        <v>2021</v>
      </c>
      <c r="B165" s="18" t="s">
        <v>282</v>
      </c>
      <c r="C165" s="3" t="s">
        <v>278</v>
      </c>
      <c r="D165" s="4">
        <f>华腾2021!E164</f>
        <v>158000</v>
      </c>
      <c r="E165" s="2">
        <f>华腾2021!F164</f>
        <v>0</v>
      </c>
      <c r="F165" s="4">
        <f>华腾2021!G164</f>
        <v>158000</v>
      </c>
      <c r="G165" s="2">
        <f t="shared" si="8"/>
        <v>0</v>
      </c>
    </row>
    <row r="166" spans="1:8" ht="20.100000000000001" customHeight="1" x14ac:dyDescent="0.15">
      <c r="A166" s="1">
        <v>2021</v>
      </c>
      <c r="B166" s="18" t="s">
        <v>283</v>
      </c>
      <c r="C166" s="3" t="s">
        <v>278</v>
      </c>
      <c r="D166" s="4">
        <f>华腾2021!E165</f>
        <v>169935.15</v>
      </c>
      <c r="E166" s="2">
        <f>华腾2021!F165</f>
        <v>0</v>
      </c>
      <c r="F166" s="4">
        <f>华腾2021!G165</f>
        <v>169935.15</v>
      </c>
      <c r="G166" s="2">
        <f t="shared" si="8"/>
        <v>0</v>
      </c>
    </row>
    <row r="167" spans="1:8" ht="20.100000000000001" customHeight="1" x14ac:dyDescent="0.15">
      <c r="A167" s="1">
        <v>2021</v>
      </c>
      <c r="B167" s="18" t="s">
        <v>285</v>
      </c>
      <c r="C167" s="3" t="s">
        <v>124</v>
      </c>
      <c r="D167" s="4">
        <f>华腾2021!E166</f>
        <v>34775</v>
      </c>
      <c r="E167" s="2">
        <f>华腾2021!F166</f>
        <v>0</v>
      </c>
      <c r="F167" s="4">
        <f>华腾2021!G166</f>
        <v>34775</v>
      </c>
      <c r="G167" s="2">
        <f t="shared" si="8"/>
        <v>0</v>
      </c>
    </row>
    <row r="168" spans="1:8" ht="20.100000000000001" customHeight="1" x14ac:dyDescent="0.15">
      <c r="A168" s="1">
        <v>2021</v>
      </c>
      <c r="B168" s="18" t="s">
        <v>287</v>
      </c>
      <c r="C168" s="3" t="s">
        <v>288</v>
      </c>
      <c r="D168" s="4">
        <f>华腾2021!E167</f>
        <v>41110.400000000001</v>
      </c>
      <c r="E168" s="2">
        <f>华腾2021!F167</f>
        <v>0</v>
      </c>
      <c r="F168" s="4">
        <f>华腾2021!G167</f>
        <v>41110.400000000001</v>
      </c>
      <c r="G168" s="2">
        <f t="shared" si="8"/>
        <v>0</v>
      </c>
    </row>
    <row r="169" spans="1:8" ht="20.100000000000001" customHeight="1" x14ac:dyDescent="0.15">
      <c r="A169" s="1">
        <v>2021</v>
      </c>
      <c r="B169" s="18" t="s">
        <v>290</v>
      </c>
      <c r="C169" s="3" t="s">
        <v>278</v>
      </c>
      <c r="D169" s="4">
        <f>华腾2021!E168</f>
        <v>175261.53</v>
      </c>
      <c r="E169" s="2">
        <f>华腾2021!F168</f>
        <v>0</v>
      </c>
      <c r="F169" s="4">
        <f>华腾2021!G168</f>
        <v>175261.53</v>
      </c>
      <c r="G169" s="2">
        <f t="shared" si="8"/>
        <v>0</v>
      </c>
    </row>
    <row r="170" spans="1:8" ht="20.100000000000001" customHeight="1" x14ac:dyDescent="0.15">
      <c r="A170" s="1">
        <v>2021</v>
      </c>
      <c r="B170" s="18" t="s">
        <v>291</v>
      </c>
      <c r="C170" s="3" t="s">
        <v>292</v>
      </c>
      <c r="D170" s="4">
        <f>华腾2021!E169</f>
        <v>199368</v>
      </c>
      <c r="E170" s="2">
        <f>华腾2021!F169</f>
        <v>0</v>
      </c>
      <c r="F170" s="4">
        <f>华腾2021!G169</f>
        <v>199368</v>
      </c>
      <c r="G170" s="2">
        <f t="shared" si="8"/>
        <v>0</v>
      </c>
    </row>
    <row r="171" spans="1:8" ht="20.100000000000001" customHeight="1" x14ac:dyDescent="0.15">
      <c r="A171" s="1">
        <v>2021</v>
      </c>
      <c r="B171" s="18" t="s">
        <v>294</v>
      </c>
      <c r="C171" s="3" t="s">
        <v>295</v>
      </c>
      <c r="D171" s="4">
        <f>华腾2021!E170</f>
        <v>171464.7</v>
      </c>
      <c r="E171" s="2">
        <f>华腾2021!F170</f>
        <v>0</v>
      </c>
      <c r="F171" s="4">
        <f>华腾2021!G170</f>
        <v>171464.7</v>
      </c>
      <c r="G171" s="2">
        <f t="shared" si="8"/>
        <v>0</v>
      </c>
    </row>
    <row r="172" spans="1:8" ht="20.100000000000001" customHeight="1" x14ac:dyDescent="0.15">
      <c r="A172" s="1">
        <v>2021</v>
      </c>
      <c r="B172" s="18" t="s">
        <v>297</v>
      </c>
      <c r="C172" s="3" t="s">
        <v>298</v>
      </c>
      <c r="D172" s="4">
        <f>华腾2021!E171</f>
        <v>170000</v>
      </c>
      <c r="E172" s="2">
        <f>华腾2021!F171</f>
        <v>0</v>
      </c>
      <c r="F172" s="4">
        <f>华腾2021!G171</f>
        <v>170000</v>
      </c>
      <c r="G172" s="2">
        <f t="shared" si="8"/>
        <v>0</v>
      </c>
    </row>
    <row r="173" spans="1:8" ht="20.100000000000001" customHeight="1" x14ac:dyDescent="0.15">
      <c r="A173" s="1">
        <v>2021</v>
      </c>
      <c r="B173" s="18" t="s">
        <v>300</v>
      </c>
      <c r="C173" s="3" t="s">
        <v>301</v>
      </c>
      <c r="D173" s="4">
        <f>华腾2021!E172</f>
        <v>5245463.1399999997</v>
      </c>
      <c r="E173" s="2">
        <f>华腾2021!F172</f>
        <v>0</v>
      </c>
      <c r="F173" s="4">
        <f>华腾2021!G172</f>
        <v>5245463.1399999997</v>
      </c>
      <c r="G173" s="2">
        <f t="shared" si="8"/>
        <v>0</v>
      </c>
    </row>
    <row r="174" spans="1:8" ht="20.100000000000001" customHeight="1" x14ac:dyDescent="0.15">
      <c r="A174" s="1">
        <v>2021</v>
      </c>
      <c r="B174" s="18" t="s">
        <v>303</v>
      </c>
      <c r="C174" s="3" t="s">
        <v>95</v>
      </c>
      <c r="D174" s="4">
        <f>华腾2021!E173</f>
        <v>113420</v>
      </c>
      <c r="E174" s="2">
        <f>华腾2021!F173</f>
        <v>0</v>
      </c>
      <c r="F174" s="4">
        <f>华腾2021!G173</f>
        <v>113420</v>
      </c>
      <c r="G174" s="2">
        <f t="shared" si="8"/>
        <v>0</v>
      </c>
    </row>
    <row r="175" spans="1:8" ht="20.100000000000001" customHeight="1" x14ac:dyDescent="0.15">
      <c r="A175" s="1">
        <v>2021</v>
      </c>
      <c r="B175" s="18" t="s">
        <v>305</v>
      </c>
      <c r="C175" s="3" t="s">
        <v>306</v>
      </c>
      <c r="D175" s="4">
        <f>华腾2021!E174</f>
        <v>72124</v>
      </c>
      <c r="E175" s="2">
        <f>华腾2021!F174</f>
        <v>0</v>
      </c>
      <c r="F175" s="4">
        <f>华腾2021!G174</f>
        <v>72124</v>
      </c>
      <c r="G175" s="2">
        <f t="shared" si="8"/>
        <v>0</v>
      </c>
      <c r="H175" s="20" t="s">
        <v>753</v>
      </c>
    </row>
    <row r="176" spans="1:8" ht="20.100000000000001" customHeight="1" x14ac:dyDescent="0.15">
      <c r="A176" s="1">
        <v>2021</v>
      </c>
      <c r="B176" s="18" t="s">
        <v>308</v>
      </c>
      <c r="C176" s="3" t="s">
        <v>309</v>
      </c>
      <c r="D176" s="4">
        <f>华腾2021!E175</f>
        <v>89740</v>
      </c>
      <c r="E176" s="2">
        <f>华腾2021!F175</f>
        <v>0</v>
      </c>
      <c r="F176" s="4">
        <f>华腾2021!G175</f>
        <v>89740</v>
      </c>
      <c r="G176" s="2">
        <f t="shared" si="8"/>
        <v>0</v>
      </c>
      <c r="H176" s="20" t="s">
        <v>753</v>
      </c>
    </row>
    <row r="177" spans="1:8" ht="20.100000000000001" customHeight="1" x14ac:dyDescent="0.15">
      <c r="A177" s="1">
        <v>2021</v>
      </c>
      <c r="B177" s="18" t="s">
        <v>311</v>
      </c>
      <c r="C177" s="3" t="s">
        <v>48</v>
      </c>
      <c r="D177" s="4">
        <f>华腾2021!E176</f>
        <v>56164</v>
      </c>
      <c r="E177" s="2">
        <f>华腾2021!F176</f>
        <v>0</v>
      </c>
      <c r="F177" s="4">
        <f>华腾2021!G176</f>
        <v>56164</v>
      </c>
      <c r="G177" s="2">
        <f t="shared" si="8"/>
        <v>0</v>
      </c>
      <c r="H177" s="20" t="s">
        <v>753</v>
      </c>
    </row>
    <row r="178" spans="1:8" ht="20.100000000000001" customHeight="1" x14ac:dyDescent="0.15">
      <c r="A178" s="1">
        <v>2021</v>
      </c>
      <c r="B178" s="18" t="s">
        <v>313</v>
      </c>
      <c r="C178" s="3" t="s">
        <v>309</v>
      </c>
      <c r="D178" s="4">
        <f>华腾2021!E177</f>
        <v>62000</v>
      </c>
      <c r="E178" s="2">
        <f>华腾2021!F177</f>
        <v>0</v>
      </c>
      <c r="F178" s="4">
        <f>华腾2021!G177</f>
        <v>62000</v>
      </c>
      <c r="G178" s="2">
        <f t="shared" si="8"/>
        <v>0</v>
      </c>
      <c r="H178" s="20" t="s">
        <v>753</v>
      </c>
    </row>
    <row r="179" spans="1:8" ht="20.100000000000001" customHeight="1" x14ac:dyDescent="0.15">
      <c r="A179" s="1">
        <v>2021</v>
      </c>
      <c r="B179" s="18" t="s">
        <v>314</v>
      </c>
      <c r="C179" s="3" t="s">
        <v>69</v>
      </c>
      <c r="D179" s="4">
        <f>华腾2021!E178</f>
        <v>38950</v>
      </c>
      <c r="E179" s="2">
        <f>华腾2021!F178</f>
        <v>0</v>
      </c>
      <c r="F179" s="4">
        <f>华腾2021!G178</f>
        <v>38950</v>
      </c>
      <c r="G179" s="2">
        <f t="shared" si="8"/>
        <v>0</v>
      </c>
      <c r="H179" s="20" t="s">
        <v>753</v>
      </c>
    </row>
    <row r="180" spans="1:8" ht="20.100000000000001" customHeight="1" x14ac:dyDescent="0.15">
      <c r="A180" s="1">
        <v>2021</v>
      </c>
      <c r="B180" s="18" t="s">
        <v>315</v>
      </c>
      <c r="C180" s="3" t="s">
        <v>316</v>
      </c>
      <c r="D180" s="4">
        <f>华腾2021!E179</f>
        <v>37200</v>
      </c>
      <c r="E180" s="2">
        <f>华腾2021!F179</f>
        <v>0</v>
      </c>
      <c r="F180" s="4">
        <f>华腾2021!G179</f>
        <v>20000</v>
      </c>
      <c r="G180" s="2">
        <f t="shared" si="8"/>
        <v>17200</v>
      </c>
    </row>
    <row r="181" spans="1:8" ht="20.100000000000001" customHeight="1" x14ac:dyDescent="0.15">
      <c r="A181" s="1">
        <v>2021</v>
      </c>
      <c r="B181" s="18" t="s">
        <v>317</v>
      </c>
      <c r="C181" s="3" t="s">
        <v>295</v>
      </c>
      <c r="D181" s="4">
        <f>华腾2021!E180</f>
        <v>12200.32</v>
      </c>
      <c r="E181" s="2">
        <f>华腾2021!F180</f>
        <v>0</v>
      </c>
      <c r="F181" s="4">
        <f>华腾2021!G180</f>
        <v>12200.32</v>
      </c>
      <c r="G181" s="2">
        <f t="shared" si="8"/>
        <v>0</v>
      </c>
    </row>
    <row r="182" spans="1:8" ht="20.100000000000001" customHeight="1" x14ac:dyDescent="0.15">
      <c r="A182" s="1">
        <v>2021</v>
      </c>
      <c r="B182" s="18" t="s">
        <v>318</v>
      </c>
      <c r="C182" s="3" t="s">
        <v>292</v>
      </c>
      <c r="D182" s="4">
        <f>华腾2021!E181</f>
        <v>23155</v>
      </c>
      <c r="E182" s="2">
        <f>华腾2021!F181</f>
        <v>0</v>
      </c>
      <c r="F182" s="4">
        <f>华腾2021!G181</f>
        <v>23155</v>
      </c>
      <c r="G182" s="2">
        <f t="shared" si="8"/>
        <v>0</v>
      </c>
    </row>
    <row r="183" spans="1:8" ht="20.100000000000001" customHeight="1" x14ac:dyDescent="0.15">
      <c r="A183" s="1">
        <v>2021</v>
      </c>
      <c r="B183" s="18" t="s">
        <v>319</v>
      </c>
      <c r="C183" s="3" t="s">
        <v>249</v>
      </c>
      <c r="D183" s="4">
        <f>华腾2021!E182</f>
        <v>42000</v>
      </c>
      <c r="E183" s="2">
        <f>华腾2021!F182</f>
        <v>0</v>
      </c>
      <c r="F183" s="4">
        <f>华腾2021!G182</f>
        <v>42000</v>
      </c>
      <c r="G183" s="2">
        <f t="shared" si="8"/>
        <v>0</v>
      </c>
    </row>
    <row r="184" spans="1:8" ht="20.100000000000001" customHeight="1" x14ac:dyDescent="0.15">
      <c r="A184" s="1">
        <v>2021</v>
      </c>
      <c r="B184" s="18" t="s">
        <v>321</v>
      </c>
      <c r="C184" s="3" t="s">
        <v>155</v>
      </c>
      <c r="D184" s="4">
        <f>华腾2021!E183</f>
        <v>33286</v>
      </c>
      <c r="E184" s="2">
        <f>华腾2021!F183</f>
        <v>0</v>
      </c>
      <c r="F184" s="4">
        <f>华腾2021!G183</f>
        <v>33286</v>
      </c>
      <c r="G184" s="2">
        <f t="shared" si="8"/>
        <v>0</v>
      </c>
    </row>
    <row r="185" spans="1:8" ht="20.100000000000001" customHeight="1" x14ac:dyDescent="0.15">
      <c r="A185" s="1">
        <v>2021</v>
      </c>
      <c r="B185" s="18" t="s">
        <v>322</v>
      </c>
      <c r="C185" s="3" t="s">
        <v>323</v>
      </c>
      <c r="D185" s="4" t="str">
        <f>华腾2021!E184</f>
        <v>140000</v>
      </c>
      <c r="E185" s="2">
        <f>华腾2021!F184</f>
        <v>0</v>
      </c>
      <c r="F185" s="4">
        <f>华腾2021!G184</f>
        <v>140000</v>
      </c>
      <c r="G185" s="2">
        <f t="shared" si="8"/>
        <v>0</v>
      </c>
    </row>
    <row r="186" spans="1:8" ht="20.100000000000001" customHeight="1" x14ac:dyDescent="0.15">
      <c r="A186" s="1">
        <v>2021</v>
      </c>
      <c r="B186" s="18" t="s">
        <v>325</v>
      </c>
      <c r="C186" s="3" t="s">
        <v>326</v>
      </c>
      <c r="D186" s="4" t="str">
        <f>华腾2021!E185</f>
        <v>64000</v>
      </c>
      <c r="E186" s="2">
        <f>华腾2021!F185</f>
        <v>0</v>
      </c>
      <c r="F186" s="4">
        <f>华腾2021!G185</f>
        <v>64000</v>
      </c>
      <c r="G186" s="2">
        <f t="shared" si="8"/>
        <v>0</v>
      </c>
    </row>
    <row r="187" spans="1:8" ht="20.100000000000001" customHeight="1" x14ac:dyDescent="0.15">
      <c r="A187" s="1">
        <v>2021</v>
      </c>
      <c r="B187" s="18" t="s">
        <v>328</v>
      </c>
      <c r="C187" s="3" t="s">
        <v>95</v>
      </c>
      <c r="D187" s="4">
        <f>华腾2021!E186</f>
        <v>113420</v>
      </c>
      <c r="E187" s="2">
        <f>华腾2021!F186</f>
        <v>0</v>
      </c>
      <c r="F187" s="4">
        <f>华腾2021!G186</f>
        <v>113420</v>
      </c>
      <c r="G187" s="2">
        <f t="shared" si="8"/>
        <v>0</v>
      </c>
    </row>
    <row r="188" spans="1:8" ht="20.100000000000001" customHeight="1" x14ac:dyDescent="0.15">
      <c r="A188" s="1">
        <v>2021</v>
      </c>
      <c r="B188" s="18" t="s">
        <v>330</v>
      </c>
      <c r="C188" s="3" t="s">
        <v>323</v>
      </c>
      <c r="D188" s="4" t="str">
        <f>华腾2021!E187</f>
        <v>140000</v>
      </c>
      <c r="E188" s="2">
        <f>华腾2021!F187</f>
        <v>0</v>
      </c>
      <c r="F188" s="4">
        <f>华腾2021!G187</f>
        <v>140000</v>
      </c>
      <c r="G188" s="2">
        <f t="shared" ref="G188:G218" si="9">D188-F188</f>
        <v>0</v>
      </c>
    </row>
    <row r="189" spans="1:8" ht="20.100000000000001" customHeight="1" x14ac:dyDescent="0.15">
      <c r="A189" s="1">
        <v>2021</v>
      </c>
      <c r="B189" s="18" t="s">
        <v>332</v>
      </c>
      <c r="C189" s="3" t="s">
        <v>326</v>
      </c>
      <c r="D189" s="4" t="str">
        <f>华腾2021!E188</f>
        <v>64000</v>
      </c>
      <c r="E189" s="2">
        <f>华腾2021!F188</f>
        <v>0</v>
      </c>
      <c r="F189" s="4">
        <f>华腾2021!G188</f>
        <v>64000</v>
      </c>
      <c r="G189" s="2">
        <f t="shared" si="9"/>
        <v>0</v>
      </c>
    </row>
    <row r="190" spans="1:8" ht="20.100000000000001" customHeight="1" x14ac:dyDescent="0.15">
      <c r="A190" s="1">
        <v>2021</v>
      </c>
      <c r="B190" s="18" t="s">
        <v>333</v>
      </c>
      <c r="C190" s="3" t="s">
        <v>334</v>
      </c>
      <c r="D190" s="4">
        <f>华腾2021!E189</f>
        <v>122508</v>
      </c>
      <c r="E190" s="2">
        <f>华腾2021!F189</f>
        <v>0</v>
      </c>
      <c r="F190" s="4">
        <f>华腾2021!G189</f>
        <v>122508</v>
      </c>
      <c r="G190" s="2">
        <f t="shared" si="9"/>
        <v>0</v>
      </c>
    </row>
    <row r="191" spans="1:8" ht="20.100000000000001" customHeight="1" x14ac:dyDescent="0.15">
      <c r="A191" s="1">
        <v>2021</v>
      </c>
      <c r="B191" s="18" t="s">
        <v>336</v>
      </c>
      <c r="C191" s="3" t="s">
        <v>334</v>
      </c>
      <c r="D191" s="4">
        <f>华腾2021!E190</f>
        <v>182652</v>
      </c>
      <c r="E191" s="2">
        <f>华腾2021!F190</f>
        <v>0</v>
      </c>
      <c r="F191" s="4">
        <f>华腾2021!G190</f>
        <v>182652</v>
      </c>
      <c r="G191" s="2">
        <f t="shared" si="9"/>
        <v>0</v>
      </c>
    </row>
    <row r="192" spans="1:8" ht="20.100000000000001" customHeight="1" x14ac:dyDescent="0.15">
      <c r="A192" s="1">
        <v>2021</v>
      </c>
      <c r="B192" s="18" t="s">
        <v>338</v>
      </c>
      <c r="C192" s="3" t="s">
        <v>334</v>
      </c>
      <c r="D192" s="4">
        <f>华腾2021!E191</f>
        <v>193700</v>
      </c>
      <c r="E192" s="2">
        <f>华腾2021!F191</f>
        <v>0</v>
      </c>
      <c r="F192" s="4">
        <f>华腾2021!G191</f>
        <v>193700</v>
      </c>
      <c r="G192" s="2">
        <f t="shared" si="9"/>
        <v>0</v>
      </c>
    </row>
    <row r="193" spans="1:7" ht="20.100000000000001" customHeight="1" x14ac:dyDescent="0.15">
      <c r="A193" s="1">
        <v>2021</v>
      </c>
      <c r="B193" s="18" t="s">
        <v>340</v>
      </c>
      <c r="C193" s="3" t="s">
        <v>218</v>
      </c>
      <c r="D193" s="4">
        <f>华腾2021!E192</f>
        <v>185000</v>
      </c>
      <c r="E193" s="2">
        <f>华腾2021!F192</f>
        <v>0</v>
      </c>
      <c r="F193" s="4">
        <f>华腾2021!G192</f>
        <v>185000</v>
      </c>
      <c r="G193" s="2">
        <f t="shared" si="9"/>
        <v>0</v>
      </c>
    </row>
    <row r="194" spans="1:7" ht="20.100000000000001" customHeight="1" x14ac:dyDescent="0.15">
      <c r="A194" s="1">
        <v>2021</v>
      </c>
      <c r="B194" s="18" t="s">
        <v>342</v>
      </c>
      <c r="C194" s="3" t="s">
        <v>218</v>
      </c>
      <c r="D194" s="4">
        <f>华腾2021!E193</f>
        <v>189060</v>
      </c>
      <c r="E194" s="2">
        <f>华腾2021!F193</f>
        <v>0</v>
      </c>
      <c r="F194" s="4">
        <f>华腾2021!G193</f>
        <v>189060</v>
      </c>
      <c r="G194" s="2">
        <f t="shared" si="9"/>
        <v>0</v>
      </c>
    </row>
    <row r="195" spans="1:7" ht="20.100000000000001" customHeight="1" x14ac:dyDescent="0.15">
      <c r="A195" s="1">
        <v>2021</v>
      </c>
      <c r="B195" s="18" t="s">
        <v>343</v>
      </c>
      <c r="C195" s="3" t="s">
        <v>344</v>
      </c>
      <c r="D195" s="4">
        <f>华腾2021!E194</f>
        <v>173290</v>
      </c>
      <c r="E195" s="2">
        <f>华腾2021!F194</f>
        <v>0</v>
      </c>
      <c r="F195" s="4">
        <f>华腾2021!G194</f>
        <v>173290</v>
      </c>
      <c r="G195" s="2">
        <f t="shared" si="9"/>
        <v>0</v>
      </c>
    </row>
    <row r="196" spans="1:7" ht="20.100000000000001" customHeight="1" x14ac:dyDescent="0.15">
      <c r="A196" s="1">
        <v>2021</v>
      </c>
      <c r="B196" s="18" t="s">
        <v>345</v>
      </c>
      <c r="C196" s="3" t="s">
        <v>177</v>
      </c>
      <c r="D196" s="4">
        <f>华腾2021!E195</f>
        <v>37118</v>
      </c>
      <c r="E196" s="2">
        <f>华腾2021!F195</f>
        <v>0</v>
      </c>
      <c r="F196" s="4">
        <f>华腾2021!G195</f>
        <v>37118</v>
      </c>
      <c r="G196" s="2">
        <f t="shared" si="9"/>
        <v>0</v>
      </c>
    </row>
    <row r="197" spans="1:7" ht="20.100000000000001" customHeight="1" x14ac:dyDescent="0.15">
      <c r="A197" s="1">
        <v>2021</v>
      </c>
      <c r="B197" s="18" t="s">
        <v>346</v>
      </c>
      <c r="C197" s="3" t="s">
        <v>347</v>
      </c>
      <c r="D197" s="4">
        <f>华腾2021!E196</f>
        <v>56700</v>
      </c>
      <c r="E197" s="2">
        <f>华腾2021!F196</f>
        <v>0</v>
      </c>
      <c r="F197" s="4">
        <f>华腾2021!G196</f>
        <v>56700</v>
      </c>
      <c r="G197" s="2">
        <f t="shared" si="9"/>
        <v>0</v>
      </c>
    </row>
    <row r="198" spans="1:7" ht="20.100000000000001" customHeight="1" x14ac:dyDescent="0.15">
      <c r="A198" s="1">
        <v>2021</v>
      </c>
      <c r="B198" s="18" t="s">
        <v>348</v>
      </c>
      <c r="C198" s="3" t="s">
        <v>107</v>
      </c>
      <c r="D198" s="4">
        <f>华腾2021!E197</f>
        <v>98900</v>
      </c>
      <c r="E198" s="2">
        <f>华腾2021!F197</f>
        <v>0</v>
      </c>
      <c r="F198" s="4">
        <f>华腾2021!G197</f>
        <v>98900</v>
      </c>
      <c r="G198" s="2">
        <f t="shared" si="9"/>
        <v>0</v>
      </c>
    </row>
    <row r="199" spans="1:7" ht="20.100000000000001" customHeight="1" x14ac:dyDescent="0.15">
      <c r="A199" s="1">
        <v>2021</v>
      </c>
      <c r="B199" s="18" t="s">
        <v>349</v>
      </c>
      <c r="C199" s="3" t="s">
        <v>350</v>
      </c>
      <c r="D199" s="4">
        <f>华腾2021!E198</f>
        <v>56000</v>
      </c>
      <c r="E199" s="2">
        <f>华腾2021!F198</f>
        <v>0</v>
      </c>
      <c r="F199" s="4">
        <f>华腾2021!G198</f>
        <v>56000</v>
      </c>
      <c r="G199" s="2">
        <f t="shared" si="9"/>
        <v>0</v>
      </c>
    </row>
    <row r="200" spans="1:7" ht="20.100000000000001" customHeight="1" x14ac:dyDescent="0.15">
      <c r="A200" s="1">
        <v>2021</v>
      </c>
      <c r="B200" s="18" t="s">
        <v>352</v>
      </c>
      <c r="C200" s="3" t="s">
        <v>261</v>
      </c>
      <c r="D200" s="4">
        <f>华腾2021!E199</f>
        <v>60000</v>
      </c>
      <c r="E200" s="2">
        <f>华腾2021!F199</f>
        <v>0</v>
      </c>
      <c r="F200" s="4">
        <f>华腾2021!G199</f>
        <v>60000</v>
      </c>
      <c r="G200" s="2">
        <f t="shared" si="9"/>
        <v>0</v>
      </c>
    </row>
    <row r="201" spans="1:7" ht="20.100000000000001" customHeight="1" x14ac:dyDescent="0.15">
      <c r="A201" s="1">
        <v>2021</v>
      </c>
      <c r="B201" s="18" t="s">
        <v>353</v>
      </c>
      <c r="C201" s="3" t="s">
        <v>150</v>
      </c>
      <c r="D201" s="4">
        <f>华腾2021!E200</f>
        <v>33800</v>
      </c>
      <c r="E201" s="2">
        <f>华腾2021!F200</f>
        <v>0</v>
      </c>
      <c r="F201" s="4">
        <f>华腾2021!G200</f>
        <v>33800</v>
      </c>
      <c r="G201" s="2">
        <f t="shared" si="9"/>
        <v>0</v>
      </c>
    </row>
    <row r="202" spans="1:7" ht="20.100000000000001" customHeight="1" x14ac:dyDescent="0.15">
      <c r="A202" s="1">
        <v>2021</v>
      </c>
      <c r="B202" s="18" t="s">
        <v>355</v>
      </c>
      <c r="C202" s="3" t="s">
        <v>356</v>
      </c>
      <c r="D202" s="4">
        <f>华腾2021!E201</f>
        <v>33800</v>
      </c>
      <c r="E202" s="2">
        <f>华腾2021!F201</f>
        <v>0</v>
      </c>
      <c r="F202" s="4">
        <f>华腾2021!G201</f>
        <v>33800</v>
      </c>
      <c r="G202" s="2">
        <f t="shared" si="9"/>
        <v>0</v>
      </c>
    </row>
    <row r="203" spans="1:7" ht="20.100000000000001" customHeight="1" x14ac:dyDescent="0.15">
      <c r="A203" s="1">
        <v>2021</v>
      </c>
      <c r="B203" s="18" t="s">
        <v>357</v>
      </c>
      <c r="C203" s="3" t="s">
        <v>155</v>
      </c>
      <c r="D203" s="4">
        <f>华腾2021!E202</f>
        <v>33800</v>
      </c>
      <c r="E203" s="2">
        <f>华腾2021!F202</f>
        <v>0</v>
      </c>
      <c r="F203" s="4">
        <f>华腾2021!G202</f>
        <v>33800</v>
      </c>
      <c r="G203" s="2">
        <f t="shared" si="9"/>
        <v>0</v>
      </c>
    </row>
    <row r="204" spans="1:7" ht="20.100000000000001" customHeight="1" x14ac:dyDescent="0.15">
      <c r="A204" s="1">
        <v>2021</v>
      </c>
      <c r="B204" s="18" t="s">
        <v>359</v>
      </c>
      <c r="C204" s="3" t="s">
        <v>360</v>
      </c>
      <c r="D204" s="4">
        <f>华腾2021!E203</f>
        <v>155607</v>
      </c>
      <c r="E204" s="2">
        <f>华腾2021!F203</f>
        <v>0</v>
      </c>
      <c r="F204" s="4">
        <f>华腾2021!G203</f>
        <v>155607</v>
      </c>
      <c r="G204" s="2">
        <f t="shared" si="9"/>
        <v>0</v>
      </c>
    </row>
    <row r="205" spans="1:7" ht="20.100000000000001" customHeight="1" x14ac:dyDescent="0.15">
      <c r="A205" s="1">
        <v>2021</v>
      </c>
      <c r="B205" s="18" t="s">
        <v>754</v>
      </c>
      <c r="C205" s="3" t="s">
        <v>362</v>
      </c>
      <c r="D205" s="4">
        <f>华腾2021!E204</f>
        <v>120824</v>
      </c>
      <c r="E205" s="2">
        <f>华腾2021!F204</f>
        <v>0</v>
      </c>
      <c r="F205" s="4">
        <f>华腾2021!G204</f>
        <v>120824</v>
      </c>
      <c r="G205" s="2">
        <f t="shared" si="9"/>
        <v>0</v>
      </c>
    </row>
    <row r="206" spans="1:7" ht="20.100000000000001" customHeight="1" x14ac:dyDescent="0.15">
      <c r="A206" s="1">
        <v>2021</v>
      </c>
      <c r="B206" s="18" t="s">
        <v>755</v>
      </c>
      <c r="C206" s="3" t="s">
        <v>362</v>
      </c>
      <c r="D206" s="4">
        <f>华腾2021!E205</f>
        <v>160867.5</v>
      </c>
      <c r="E206" s="2">
        <f>华腾2021!F205</f>
        <v>0</v>
      </c>
      <c r="F206" s="4">
        <f>华腾2021!G205</f>
        <v>160867.5</v>
      </c>
      <c r="G206" s="2">
        <f t="shared" si="9"/>
        <v>0</v>
      </c>
    </row>
    <row r="207" spans="1:7" ht="20.100000000000001" customHeight="1" x14ac:dyDescent="0.15">
      <c r="A207" s="1">
        <v>2021</v>
      </c>
      <c r="B207" s="18" t="s">
        <v>756</v>
      </c>
      <c r="C207" s="3" t="s">
        <v>362</v>
      </c>
      <c r="D207" s="4">
        <f>华腾2021!E206</f>
        <v>121686.5</v>
      </c>
      <c r="E207" s="2">
        <f>华腾2021!F206</f>
        <v>0</v>
      </c>
      <c r="F207" s="4">
        <f>华腾2021!G206</f>
        <v>121686.5</v>
      </c>
      <c r="G207" s="2">
        <f t="shared" si="9"/>
        <v>0</v>
      </c>
    </row>
    <row r="208" spans="1:7" ht="20.100000000000001" customHeight="1" x14ac:dyDescent="0.15">
      <c r="A208" s="1">
        <v>2021</v>
      </c>
      <c r="B208" s="18" t="s">
        <v>365</v>
      </c>
      <c r="C208" s="3" t="s">
        <v>278</v>
      </c>
      <c r="D208" s="4">
        <f>华腾2021!E207</f>
        <v>122972</v>
      </c>
      <c r="E208" s="2">
        <f>华腾2021!F207</f>
        <v>0</v>
      </c>
      <c r="F208" s="4">
        <f>华腾2021!G207</f>
        <v>122972</v>
      </c>
      <c r="G208" s="2">
        <f t="shared" si="9"/>
        <v>0</v>
      </c>
    </row>
    <row r="209" spans="1:8" ht="20.100000000000001" customHeight="1" x14ac:dyDescent="0.15">
      <c r="A209" s="1">
        <v>2021</v>
      </c>
      <c r="B209" s="18" t="s">
        <v>366</v>
      </c>
      <c r="C209" s="3" t="s">
        <v>367</v>
      </c>
      <c r="D209" s="4">
        <f>华腾2021!E208</f>
        <v>19500</v>
      </c>
      <c r="E209" s="2">
        <f>华腾2021!F208</f>
        <v>0</v>
      </c>
      <c r="F209" s="4">
        <f>华腾2021!G208</f>
        <v>19500</v>
      </c>
      <c r="G209" s="2">
        <f t="shared" si="9"/>
        <v>0</v>
      </c>
    </row>
    <row r="210" spans="1:8" ht="20.100000000000001" customHeight="1" x14ac:dyDescent="0.15">
      <c r="A210" s="1">
        <v>2021</v>
      </c>
      <c r="B210" s="18" t="s">
        <v>368</v>
      </c>
      <c r="C210" s="3" t="s">
        <v>369</v>
      </c>
      <c r="D210" s="4">
        <f>华腾2021!E209</f>
        <v>22400</v>
      </c>
      <c r="E210" s="2">
        <f>华腾2021!F209</f>
        <v>0</v>
      </c>
      <c r="F210" s="4">
        <f>华腾2021!G209</f>
        <v>22400</v>
      </c>
      <c r="G210" s="2">
        <f t="shared" si="9"/>
        <v>0</v>
      </c>
    </row>
    <row r="211" spans="1:8" ht="20.100000000000001" customHeight="1" x14ac:dyDescent="0.15">
      <c r="A211" s="1">
        <v>2021</v>
      </c>
      <c r="B211" s="18" t="s">
        <v>370</v>
      </c>
      <c r="C211" s="3" t="s">
        <v>371</v>
      </c>
      <c r="D211" s="4">
        <f>华腾2021!E210</f>
        <v>59840</v>
      </c>
      <c r="E211" s="2">
        <f>华腾2021!F210</f>
        <v>0</v>
      </c>
      <c r="F211" s="4">
        <f>华腾2021!G210</f>
        <v>59840</v>
      </c>
      <c r="G211" s="2">
        <f t="shared" si="9"/>
        <v>0</v>
      </c>
      <c r="H211" s="20" t="s">
        <v>753</v>
      </c>
    </row>
    <row r="212" spans="1:8" ht="20.100000000000001" customHeight="1" x14ac:dyDescent="0.15">
      <c r="A212" s="1">
        <v>2021</v>
      </c>
      <c r="B212" s="18" t="s">
        <v>373</v>
      </c>
      <c r="C212" s="3" t="s">
        <v>190</v>
      </c>
      <c r="D212" s="4">
        <f>华腾2021!E211</f>
        <v>48500</v>
      </c>
      <c r="E212" s="2">
        <f>华腾2021!F211</f>
        <v>0</v>
      </c>
      <c r="F212" s="4">
        <f>华腾2021!G211</f>
        <v>48500</v>
      </c>
      <c r="G212" s="2">
        <f t="shared" si="9"/>
        <v>0</v>
      </c>
    </row>
    <row r="213" spans="1:8" ht="20.100000000000001" customHeight="1" x14ac:dyDescent="0.15">
      <c r="A213" s="1">
        <v>2021</v>
      </c>
      <c r="B213" s="18" t="s">
        <v>255</v>
      </c>
      <c r="C213" s="3" t="s">
        <v>182</v>
      </c>
      <c r="D213" s="4">
        <f>华腾2021!E212</f>
        <v>8500</v>
      </c>
      <c r="E213" s="2">
        <f>华腾2021!F212</f>
        <v>0</v>
      </c>
      <c r="F213" s="4">
        <f>华腾2021!G212</f>
        <v>8500</v>
      </c>
      <c r="G213" s="2">
        <f t="shared" si="9"/>
        <v>0</v>
      </c>
    </row>
    <row r="214" spans="1:8" ht="20.100000000000001" customHeight="1" x14ac:dyDescent="0.15">
      <c r="A214" s="1">
        <v>2021</v>
      </c>
      <c r="B214" s="18" t="s">
        <v>376</v>
      </c>
      <c r="C214" s="3" t="s">
        <v>69</v>
      </c>
      <c r="D214" s="4">
        <f>华腾2021!E213</f>
        <v>75700</v>
      </c>
      <c r="E214" s="2">
        <f>华腾2021!F213</f>
        <v>0</v>
      </c>
      <c r="F214" s="4">
        <f>华腾2021!G213</f>
        <v>75700</v>
      </c>
      <c r="G214" s="2">
        <f t="shared" si="9"/>
        <v>0</v>
      </c>
      <c r="H214" s="20" t="s">
        <v>753</v>
      </c>
    </row>
    <row r="215" spans="1:8" ht="20.100000000000001" customHeight="1" x14ac:dyDescent="0.15">
      <c r="A215" s="1">
        <v>2021</v>
      </c>
      <c r="B215" s="18" t="s">
        <v>378</v>
      </c>
      <c r="C215" s="3" t="s">
        <v>309</v>
      </c>
      <c r="D215" s="4">
        <f>华腾2021!E214</f>
        <v>112800</v>
      </c>
      <c r="E215" s="2">
        <f>华腾2021!F214</f>
        <v>0</v>
      </c>
      <c r="F215" s="4">
        <f>华腾2021!G214</f>
        <v>112800</v>
      </c>
      <c r="G215" s="2">
        <f t="shared" si="9"/>
        <v>0</v>
      </c>
      <c r="H215" s="20" t="s">
        <v>753</v>
      </c>
    </row>
    <row r="216" spans="1:8" ht="20.100000000000001" customHeight="1" x14ac:dyDescent="0.15">
      <c r="A216" s="1">
        <v>2021</v>
      </c>
      <c r="B216" s="18" t="s">
        <v>379</v>
      </c>
      <c r="C216" s="3" t="s">
        <v>249</v>
      </c>
      <c r="D216" s="4">
        <f>华腾2021!E215</f>
        <v>436000</v>
      </c>
      <c r="E216" s="2">
        <f>华腾2021!F215</f>
        <v>0</v>
      </c>
      <c r="F216" s="4">
        <f>华腾2021!G215</f>
        <v>436000</v>
      </c>
      <c r="G216" s="2">
        <f t="shared" si="9"/>
        <v>0</v>
      </c>
    </row>
    <row r="217" spans="1:8" ht="20.100000000000001" customHeight="1" x14ac:dyDescent="0.15">
      <c r="A217" s="1">
        <v>2021</v>
      </c>
      <c r="B217" s="18" t="s">
        <v>380</v>
      </c>
      <c r="C217" s="3" t="s">
        <v>323</v>
      </c>
      <c r="D217" s="4" t="str">
        <f>华腾2021!E216</f>
        <v>140000</v>
      </c>
      <c r="E217" s="2">
        <f>华腾2021!F216</f>
        <v>0</v>
      </c>
      <c r="F217" s="4">
        <f>华腾2021!G216</f>
        <v>140000</v>
      </c>
      <c r="G217" s="2">
        <f t="shared" si="9"/>
        <v>0</v>
      </c>
    </row>
    <row r="218" spans="1:8" ht="20.100000000000001" customHeight="1" x14ac:dyDescent="0.15">
      <c r="A218" s="1">
        <v>2021</v>
      </c>
      <c r="B218" s="18" t="s">
        <v>382</v>
      </c>
      <c r="C218" s="3" t="s">
        <v>326</v>
      </c>
      <c r="D218" s="4" t="str">
        <f>华腾2021!E217</f>
        <v>64000</v>
      </c>
      <c r="E218" s="2">
        <f>华腾2021!F217</f>
        <v>0</v>
      </c>
      <c r="F218" s="4">
        <f>华腾2021!G217</f>
        <v>64000</v>
      </c>
      <c r="G218" s="2">
        <f t="shared" si="9"/>
        <v>0</v>
      </c>
    </row>
    <row r="219" spans="1:8" ht="20.100000000000001" customHeight="1" x14ac:dyDescent="0.15">
      <c r="A219" s="1">
        <v>2021</v>
      </c>
      <c r="B219" s="18" t="s">
        <v>383</v>
      </c>
      <c r="C219" s="3" t="s">
        <v>384</v>
      </c>
      <c r="D219" s="4">
        <f>华腾2021!E218</f>
        <v>0</v>
      </c>
      <c r="E219" s="2">
        <f>华腾2021!F218</f>
        <v>6162391</v>
      </c>
      <c r="F219" s="4">
        <f>华腾2021!G218</f>
        <v>1080624</v>
      </c>
      <c r="G219" s="4">
        <f>E219-F219</f>
        <v>5081767</v>
      </c>
    </row>
    <row r="220" spans="1:8" ht="20.100000000000001" customHeight="1" x14ac:dyDescent="0.15">
      <c r="A220" s="1">
        <v>2021</v>
      </c>
      <c r="B220" s="18" t="s">
        <v>385</v>
      </c>
      <c r="C220" s="3" t="s">
        <v>95</v>
      </c>
      <c r="D220" s="4">
        <f>华腾2021!E219</f>
        <v>113420</v>
      </c>
      <c r="E220" s="2">
        <f>华腾2021!F219</f>
        <v>0</v>
      </c>
      <c r="F220" s="4">
        <f>华腾2021!G219</f>
        <v>113420</v>
      </c>
      <c r="G220" s="4">
        <f>D220-F220</f>
        <v>0</v>
      </c>
    </row>
    <row r="221" spans="1:8" ht="20.100000000000001" customHeight="1" x14ac:dyDescent="0.15">
      <c r="A221" s="1">
        <v>2021</v>
      </c>
      <c r="B221" s="21" t="s">
        <v>386</v>
      </c>
      <c r="C221" s="3" t="s">
        <v>323</v>
      </c>
      <c r="D221" s="4">
        <f>华腾2021!E220</f>
        <v>140000</v>
      </c>
      <c r="E221" s="2">
        <f>华腾2021!F220</f>
        <v>0</v>
      </c>
      <c r="F221" s="4">
        <f>华腾2021!G220</f>
        <v>140000</v>
      </c>
      <c r="G221" s="4">
        <f t="shared" ref="G221:G257" si="10">D221-F221</f>
        <v>0</v>
      </c>
    </row>
    <row r="222" spans="1:8" ht="20.100000000000001" customHeight="1" x14ac:dyDescent="0.15">
      <c r="A222" s="1">
        <v>2021</v>
      </c>
      <c r="B222" s="18" t="s">
        <v>388</v>
      </c>
      <c r="C222" s="3" t="s">
        <v>326</v>
      </c>
      <c r="D222" s="4">
        <f>华腾2021!E221</f>
        <v>64000</v>
      </c>
      <c r="E222" s="2">
        <f>华腾2021!F221</f>
        <v>0</v>
      </c>
      <c r="F222" s="4">
        <f>华腾2021!G221</f>
        <v>64000</v>
      </c>
      <c r="G222" s="4">
        <f t="shared" si="10"/>
        <v>0</v>
      </c>
    </row>
    <row r="223" spans="1:8" ht="20.100000000000001" customHeight="1" x14ac:dyDescent="0.15">
      <c r="A223" s="1">
        <v>2021</v>
      </c>
      <c r="B223" s="21" t="s">
        <v>389</v>
      </c>
      <c r="C223" s="6" t="s">
        <v>95</v>
      </c>
      <c r="D223" s="4">
        <f>华腾2021!E222</f>
        <v>113420</v>
      </c>
      <c r="E223" s="2">
        <f>华腾2021!F222</f>
        <v>0</v>
      </c>
      <c r="F223" s="4">
        <f>华腾2021!G222</f>
        <v>113420</v>
      </c>
      <c r="G223" s="4">
        <f t="shared" si="10"/>
        <v>0</v>
      </c>
    </row>
    <row r="224" spans="1:8" ht="20.100000000000001" customHeight="1" x14ac:dyDescent="0.15">
      <c r="A224" s="1">
        <v>2021</v>
      </c>
      <c r="B224" s="21" t="s">
        <v>391</v>
      </c>
      <c r="C224" s="6" t="s">
        <v>323</v>
      </c>
      <c r="D224" s="4">
        <f>华腾2021!E223</f>
        <v>140000</v>
      </c>
      <c r="E224" s="2">
        <f>华腾2021!F223</f>
        <v>0</v>
      </c>
      <c r="F224" s="4">
        <f>华腾2021!G223</f>
        <v>140000</v>
      </c>
      <c r="G224" s="4">
        <f t="shared" si="10"/>
        <v>0</v>
      </c>
    </row>
    <row r="225" spans="1:7" ht="20.100000000000001" customHeight="1" x14ac:dyDescent="0.15">
      <c r="A225" s="1">
        <v>2021</v>
      </c>
      <c r="B225" s="21" t="s">
        <v>393</v>
      </c>
      <c r="C225" s="6" t="s">
        <v>326</v>
      </c>
      <c r="D225" s="4">
        <f>华腾2021!E224</f>
        <v>64000</v>
      </c>
      <c r="E225" s="2">
        <f>华腾2021!F224</f>
        <v>0</v>
      </c>
      <c r="F225" s="4">
        <f>华腾2021!G224</f>
        <v>64000</v>
      </c>
      <c r="G225" s="4">
        <f t="shared" si="10"/>
        <v>0</v>
      </c>
    </row>
    <row r="226" spans="1:7" s="8" customFormat="1" ht="20.100000000000001" customHeight="1" x14ac:dyDescent="0.15">
      <c r="A226" s="1">
        <v>2021</v>
      </c>
      <c r="B226" s="16" t="s">
        <v>394</v>
      </c>
      <c r="C226" s="7" t="s">
        <v>150</v>
      </c>
      <c r="D226" s="4">
        <f>华腾2021!E225</f>
        <v>135200</v>
      </c>
      <c r="E226" s="2">
        <f>华腾2021!F225</f>
        <v>0</v>
      </c>
      <c r="F226" s="4">
        <f>华腾2021!G225</f>
        <v>135200</v>
      </c>
      <c r="G226" s="4">
        <f t="shared" si="10"/>
        <v>0</v>
      </c>
    </row>
    <row r="227" spans="1:7" s="8" customFormat="1" ht="20.100000000000001" customHeight="1" x14ac:dyDescent="0.15">
      <c r="A227" s="1">
        <v>2021</v>
      </c>
      <c r="B227" s="18" t="s">
        <v>396</v>
      </c>
      <c r="C227" s="3" t="s">
        <v>155</v>
      </c>
      <c r="D227" s="4">
        <f>华腾2021!E226</f>
        <v>67600</v>
      </c>
      <c r="E227" s="2">
        <f>华腾2021!F226</f>
        <v>0</v>
      </c>
      <c r="F227" s="4">
        <f>华腾2021!G226</f>
        <v>67600</v>
      </c>
      <c r="G227" s="4">
        <f t="shared" si="10"/>
        <v>0</v>
      </c>
    </row>
    <row r="228" spans="1:7" s="8" customFormat="1" ht="20.100000000000001" customHeight="1" x14ac:dyDescent="0.15">
      <c r="A228" s="1">
        <v>2021</v>
      </c>
      <c r="B228" s="18" t="s">
        <v>397</v>
      </c>
      <c r="C228" s="19" t="s">
        <v>356</v>
      </c>
      <c r="D228" s="4">
        <f>华腾2021!E227</f>
        <v>168000</v>
      </c>
      <c r="E228" s="2">
        <f>华腾2021!F227</f>
        <v>0</v>
      </c>
      <c r="F228" s="4">
        <f>华腾2021!G227</f>
        <v>168000</v>
      </c>
      <c r="G228" s="4">
        <f t="shared" si="10"/>
        <v>0</v>
      </c>
    </row>
    <row r="229" spans="1:7" s="8" customFormat="1" ht="20.100000000000001" customHeight="1" x14ac:dyDescent="0.15">
      <c r="A229" s="1">
        <v>2021</v>
      </c>
      <c r="B229" s="18" t="s">
        <v>397</v>
      </c>
      <c r="C229" s="19" t="s">
        <v>155</v>
      </c>
      <c r="D229" s="4">
        <f>华腾2021!E228</f>
        <v>168000</v>
      </c>
      <c r="E229" s="2">
        <f>华腾2021!F228</f>
        <v>0</v>
      </c>
      <c r="F229" s="4">
        <f>华腾2021!G228</f>
        <v>168000</v>
      </c>
      <c r="G229" s="4">
        <f t="shared" si="10"/>
        <v>0</v>
      </c>
    </row>
    <row r="230" spans="1:7" s="8" customFormat="1" ht="20.100000000000001" customHeight="1" x14ac:dyDescent="0.15">
      <c r="A230" s="1">
        <v>2021</v>
      </c>
      <c r="B230" s="18" t="s">
        <v>399</v>
      </c>
      <c r="C230" s="3" t="s">
        <v>155</v>
      </c>
      <c r="D230" s="4">
        <f>华腾2021!E229</f>
        <v>100800</v>
      </c>
      <c r="E230" s="2">
        <f>华腾2021!F229</f>
        <v>0</v>
      </c>
      <c r="F230" s="4">
        <f>华腾2021!G229</f>
        <v>100800</v>
      </c>
      <c r="G230" s="4">
        <f t="shared" si="10"/>
        <v>0</v>
      </c>
    </row>
    <row r="231" spans="1:7" s="8" customFormat="1" ht="20.100000000000001" customHeight="1" x14ac:dyDescent="0.15">
      <c r="A231" s="1">
        <v>2021</v>
      </c>
      <c r="B231" s="18" t="s">
        <v>401</v>
      </c>
      <c r="C231" s="3" t="s">
        <v>356</v>
      </c>
      <c r="D231" s="4">
        <f>华腾2021!E230</f>
        <v>168000</v>
      </c>
      <c r="E231" s="2">
        <f>华腾2021!F230</f>
        <v>0</v>
      </c>
      <c r="F231" s="4">
        <f>华腾2021!G230</f>
        <v>168000</v>
      </c>
      <c r="G231" s="4">
        <f t="shared" si="10"/>
        <v>0</v>
      </c>
    </row>
    <row r="232" spans="1:7" s="8" customFormat="1" ht="20.100000000000001" customHeight="1" x14ac:dyDescent="0.15">
      <c r="A232" s="1">
        <v>2021</v>
      </c>
      <c r="B232" s="18" t="s">
        <v>402</v>
      </c>
      <c r="C232" s="3" t="s">
        <v>150</v>
      </c>
      <c r="D232" s="4">
        <f>华腾2021!E231</f>
        <v>23760</v>
      </c>
      <c r="E232" s="2">
        <f>华腾2021!F231</f>
        <v>0</v>
      </c>
      <c r="F232" s="4">
        <f>华腾2021!G231</f>
        <v>23760</v>
      </c>
      <c r="G232" s="4">
        <f t="shared" si="10"/>
        <v>0</v>
      </c>
    </row>
    <row r="233" spans="1:7" s="8" customFormat="1" ht="20.100000000000001" customHeight="1" x14ac:dyDescent="0.15">
      <c r="A233" s="1">
        <v>2021</v>
      </c>
      <c r="B233" s="18" t="s">
        <v>403</v>
      </c>
      <c r="C233" s="3" t="s">
        <v>150</v>
      </c>
      <c r="D233" s="4">
        <f>华腾2021!E232</f>
        <v>100800</v>
      </c>
      <c r="E233" s="2">
        <f>华腾2021!F232</f>
        <v>0</v>
      </c>
      <c r="F233" s="4">
        <f>华腾2021!G232</f>
        <v>100800</v>
      </c>
      <c r="G233" s="4">
        <f t="shared" si="10"/>
        <v>0</v>
      </c>
    </row>
    <row r="234" spans="1:7" s="8" customFormat="1" ht="20.100000000000001" customHeight="1" x14ac:dyDescent="0.15">
      <c r="A234" s="1">
        <v>2021</v>
      </c>
      <c r="B234" s="18" t="s">
        <v>405</v>
      </c>
      <c r="C234" s="3" t="s">
        <v>155</v>
      </c>
      <c r="D234" s="4">
        <f>华腾2021!E233</f>
        <v>151200</v>
      </c>
      <c r="E234" s="2">
        <f>华腾2021!F233</f>
        <v>0</v>
      </c>
      <c r="F234" s="4">
        <f>华腾2021!G233</f>
        <v>151200</v>
      </c>
      <c r="G234" s="4">
        <f t="shared" si="10"/>
        <v>0</v>
      </c>
    </row>
    <row r="235" spans="1:7" s="8" customFormat="1" ht="20.100000000000001" customHeight="1" x14ac:dyDescent="0.15">
      <c r="A235" s="1">
        <v>2021</v>
      </c>
      <c r="B235" s="18" t="s">
        <v>406</v>
      </c>
      <c r="C235" s="3" t="s">
        <v>356</v>
      </c>
      <c r="D235" s="4">
        <f>华腾2021!E234</f>
        <v>168000</v>
      </c>
      <c r="E235" s="2">
        <f>华腾2021!F234</f>
        <v>0</v>
      </c>
      <c r="F235" s="4">
        <f>华腾2021!G234</f>
        <v>168000</v>
      </c>
      <c r="G235" s="4">
        <f t="shared" si="10"/>
        <v>0</v>
      </c>
    </row>
    <row r="236" spans="1:7" s="8" customFormat="1" ht="20.100000000000001" customHeight="1" x14ac:dyDescent="0.15">
      <c r="A236" s="1">
        <v>2021</v>
      </c>
      <c r="B236" s="18" t="s">
        <v>406</v>
      </c>
      <c r="C236" s="3" t="s">
        <v>150</v>
      </c>
      <c r="D236" s="4">
        <f>华腾2021!E235</f>
        <v>168000</v>
      </c>
      <c r="E236" s="2">
        <f>华腾2021!F235</f>
        <v>0</v>
      </c>
      <c r="F236" s="4">
        <f>华腾2021!G235</f>
        <v>168000</v>
      </c>
      <c r="G236" s="4">
        <f t="shared" si="10"/>
        <v>0</v>
      </c>
    </row>
    <row r="237" spans="1:7" ht="20.100000000000001" customHeight="1" x14ac:dyDescent="0.15">
      <c r="A237" s="1">
        <v>2021</v>
      </c>
      <c r="B237" s="18" t="s">
        <v>394</v>
      </c>
      <c r="C237" s="3" t="s">
        <v>356</v>
      </c>
      <c r="D237" s="4">
        <f>华腾2021!E236</f>
        <v>135200</v>
      </c>
      <c r="E237" s="2">
        <f>华腾2021!F236</f>
        <v>0</v>
      </c>
      <c r="F237" s="4">
        <f>华腾2021!G236</f>
        <v>135200</v>
      </c>
      <c r="G237" s="4">
        <f t="shared" si="10"/>
        <v>0</v>
      </c>
    </row>
    <row r="238" spans="1:7" ht="20.100000000000001" customHeight="1" x14ac:dyDescent="0.15">
      <c r="A238" s="1">
        <v>2021</v>
      </c>
      <c r="B238" s="18" t="s">
        <v>410</v>
      </c>
      <c r="C238" s="3" t="s">
        <v>150</v>
      </c>
      <c r="D238" s="4">
        <f>华腾2021!E237</f>
        <v>134400</v>
      </c>
      <c r="E238" s="2">
        <f>华腾2021!F237</f>
        <v>0</v>
      </c>
      <c r="F238" s="4">
        <f>华腾2021!G237</f>
        <v>12000</v>
      </c>
      <c r="G238" s="4">
        <f t="shared" si="10"/>
        <v>122400</v>
      </c>
    </row>
    <row r="239" spans="1:7" ht="20.100000000000001" customHeight="1" x14ac:dyDescent="0.15">
      <c r="A239" s="1">
        <v>2021</v>
      </c>
      <c r="B239" s="18" t="s">
        <v>406</v>
      </c>
      <c r="C239" s="3" t="s">
        <v>356</v>
      </c>
      <c r="D239" s="4">
        <f>华腾2021!E238</f>
        <v>168000</v>
      </c>
      <c r="E239" s="2">
        <f>华腾2021!F238</f>
        <v>0</v>
      </c>
      <c r="F239" s="4">
        <f>华腾2021!G238</f>
        <v>0</v>
      </c>
      <c r="G239" s="4">
        <f t="shared" si="10"/>
        <v>168000</v>
      </c>
    </row>
    <row r="240" spans="1:7" ht="20.100000000000001" customHeight="1" x14ac:dyDescent="0.15">
      <c r="A240" s="1">
        <v>2021</v>
      </c>
      <c r="B240" s="18" t="s">
        <v>406</v>
      </c>
      <c r="C240" s="3" t="s">
        <v>356</v>
      </c>
      <c r="D240" s="4">
        <f>华腾2021!E239</f>
        <v>168000</v>
      </c>
      <c r="E240" s="2">
        <f>华腾2021!F239</f>
        <v>0</v>
      </c>
      <c r="F240" s="4">
        <f>华腾2021!G239</f>
        <v>168000</v>
      </c>
      <c r="G240" s="4">
        <f t="shared" si="10"/>
        <v>0</v>
      </c>
    </row>
    <row r="241" spans="1:8" s="8" customFormat="1" ht="20.100000000000001" customHeight="1" x14ac:dyDescent="0.15">
      <c r="A241" s="1">
        <v>2021</v>
      </c>
      <c r="B241" s="18" t="s">
        <v>406</v>
      </c>
      <c r="C241" s="3" t="s">
        <v>155</v>
      </c>
      <c r="D241" s="4">
        <f>华腾2021!E240</f>
        <v>168000</v>
      </c>
      <c r="E241" s="2">
        <f>华腾2021!F240</f>
        <v>0</v>
      </c>
      <c r="F241" s="4">
        <f>华腾2021!G240</f>
        <v>168000</v>
      </c>
      <c r="G241" s="4">
        <f t="shared" si="10"/>
        <v>0</v>
      </c>
    </row>
    <row r="242" spans="1:8" s="8" customFormat="1" ht="20.100000000000001" customHeight="1" x14ac:dyDescent="0.15">
      <c r="A242" s="1">
        <v>2021</v>
      </c>
      <c r="B242" s="18" t="s">
        <v>406</v>
      </c>
      <c r="C242" s="3" t="s">
        <v>155</v>
      </c>
      <c r="D242" s="4">
        <f>华腾2021!E241</f>
        <v>168000</v>
      </c>
      <c r="E242" s="2">
        <f>华腾2021!F241</f>
        <v>0</v>
      </c>
      <c r="F242" s="4">
        <f>华腾2021!G241</f>
        <v>168000</v>
      </c>
      <c r="G242" s="4">
        <f t="shared" si="10"/>
        <v>0</v>
      </c>
    </row>
    <row r="243" spans="1:8" s="8" customFormat="1" ht="20.100000000000001" customHeight="1" x14ac:dyDescent="0.15">
      <c r="A243" s="1">
        <v>2021</v>
      </c>
      <c r="B243" s="18" t="s">
        <v>416</v>
      </c>
      <c r="C243" s="3" t="s">
        <v>356</v>
      </c>
      <c r="D243" s="4">
        <f>华腾2021!E242</f>
        <v>168600</v>
      </c>
      <c r="E243" s="2">
        <f>华腾2021!F242</f>
        <v>0</v>
      </c>
      <c r="F243" s="4">
        <f>华腾2021!G242</f>
        <v>168600</v>
      </c>
      <c r="G243" s="4">
        <f t="shared" si="10"/>
        <v>0</v>
      </c>
    </row>
    <row r="244" spans="1:8" s="8" customFormat="1" ht="20.100000000000001" customHeight="1" x14ac:dyDescent="0.15">
      <c r="A244" s="1">
        <v>2021</v>
      </c>
      <c r="B244" s="18" t="s">
        <v>418</v>
      </c>
      <c r="C244" s="3" t="s">
        <v>155</v>
      </c>
      <c r="D244" s="4">
        <f>华腾2021!E243</f>
        <v>135200</v>
      </c>
      <c r="E244" s="2">
        <f>华腾2021!F243</f>
        <v>0</v>
      </c>
      <c r="F244" s="4">
        <f>华腾2021!G243</f>
        <v>135200</v>
      </c>
      <c r="G244" s="4">
        <f t="shared" si="10"/>
        <v>0</v>
      </c>
    </row>
    <row r="245" spans="1:8" s="8" customFormat="1" ht="20.100000000000001" customHeight="1" x14ac:dyDescent="0.15">
      <c r="A245" s="1">
        <v>2021</v>
      </c>
      <c r="B245" s="18" t="s">
        <v>420</v>
      </c>
      <c r="C245" s="3" t="s">
        <v>356</v>
      </c>
      <c r="D245" s="4">
        <f>华腾2021!E244</f>
        <v>187800</v>
      </c>
      <c r="E245" s="2">
        <f>华腾2021!F244</f>
        <v>0</v>
      </c>
      <c r="F245" s="4">
        <f>华腾2021!G244</f>
        <v>0</v>
      </c>
      <c r="G245" s="4">
        <f t="shared" si="10"/>
        <v>187800</v>
      </c>
    </row>
    <row r="246" spans="1:8" s="8" customFormat="1" ht="20.100000000000001" customHeight="1" x14ac:dyDescent="0.15">
      <c r="A246" s="1">
        <v>2021</v>
      </c>
      <c r="B246" s="18" t="s">
        <v>422</v>
      </c>
      <c r="C246" s="3" t="s">
        <v>356</v>
      </c>
      <c r="D246" s="4">
        <f>华腾2021!E245</f>
        <v>169000</v>
      </c>
      <c r="E246" s="2">
        <f>华腾2021!F245</f>
        <v>0</v>
      </c>
      <c r="F246" s="4">
        <f>华腾2021!G245</f>
        <v>0</v>
      </c>
      <c r="G246" s="4">
        <f t="shared" si="10"/>
        <v>169000</v>
      </c>
    </row>
    <row r="247" spans="1:8" s="8" customFormat="1" ht="20.100000000000001" customHeight="1" x14ac:dyDescent="0.15">
      <c r="A247" s="1">
        <v>2021</v>
      </c>
      <c r="B247" s="18" t="s">
        <v>424</v>
      </c>
      <c r="C247" s="3" t="s">
        <v>249</v>
      </c>
      <c r="D247" s="4">
        <f>华腾2021!E246</f>
        <v>133735</v>
      </c>
      <c r="E247" s="2">
        <f>华腾2021!F246</f>
        <v>0</v>
      </c>
      <c r="F247" s="4">
        <f>华腾2021!G246</f>
        <v>133735</v>
      </c>
      <c r="G247" s="4">
        <f t="shared" si="10"/>
        <v>0</v>
      </c>
    </row>
    <row r="248" spans="1:8" s="8" customFormat="1" ht="20.100000000000001" customHeight="1" x14ac:dyDescent="0.15">
      <c r="A248" s="1">
        <v>2021</v>
      </c>
      <c r="B248" s="18" t="s">
        <v>425</v>
      </c>
      <c r="C248" s="3" t="s">
        <v>249</v>
      </c>
      <c r="D248" s="4">
        <f>华腾2021!E247</f>
        <v>72666</v>
      </c>
      <c r="E248" s="2">
        <f>华腾2021!F247</f>
        <v>0</v>
      </c>
      <c r="F248" s="4">
        <f>华腾2021!G247</f>
        <v>72666</v>
      </c>
      <c r="G248" s="4">
        <f t="shared" si="10"/>
        <v>0</v>
      </c>
    </row>
    <row r="249" spans="1:8" s="8" customFormat="1" ht="20.100000000000001" customHeight="1" x14ac:dyDescent="0.15">
      <c r="A249" s="1">
        <v>2021</v>
      </c>
      <c r="B249" s="18" t="s">
        <v>426</v>
      </c>
      <c r="C249" s="3" t="s">
        <v>275</v>
      </c>
      <c r="D249" s="4">
        <f>华腾2021!E248</f>
        <v>26460</v>
      </c>
      <c r="E249" s="2">
        <f>华腾2021!F248</f>
        <v>0</v>
      </c>
      <c r="F249" s="4">
        <f>华腾2021!G248</f>
        <v>26460</v>
      </c>
      <c r="G249" s="4">
        <f t="shared" si="10"/>
        <v>0</v>
      </c>
    </row>
    <row r="250" spans="1:8" s="8" customFormat="1" ht="20.100000000000001" customHeight="1" x14ac:dyDescent="0.15">
      <c r="A250" s="1">
        <v>2021</v>
      </c>
      <c r="B250" s="18" t="s">
        <v>430</v>
      </c>
      <c r="C250" s="3" t="s">
        <v>29</v>
      </c>
      <c r="D250" s="4">
        <f>华腾2021!E251</f>
        <v>56000</v>
      </c>
      <c r="E250" s="2">
        <f>华腾2021!F251</f>
        <v>0</v>
      </c>
      <c r="F250" s="4">
        <f>华腾2021!G251</f>
        <v>56000</v>
      </c>
      <c r="G250" s="4">
        <f t="shared" si="10"/>
        <v>0</v>
      </c>
    </row>
    <row r="251" spans="1:8" s="8" customFormat="1" ht="20.100000000000001" customHeight="1" x14ac:dyDescent="0.15">
      <c r="A251" s="1">
        <v>2021</v>
      </c>
      <c r="B251" s="18" t="s">
        <v>432</v>
      </c>
      <c r="C251" s="3" t="s">
        <v>24</v>
      </c>
      <c r="D251" s="4">
        <f>华腾2021!E252</f>
        <v>112000</v>
      </c>
      <c r="E251" s="2">
        <f>华腾2021!F252</f>
        <v>0</v>
      </c>
      <c r="F251" s="4">
        <f>华腾2021!G252</f>
        <v>112000</v>
      </c>
      <c r="G251" s="4">
        <f t="shared" si="10"/>
        <v>0</v>
      </c>
    </row>
    <row r="252" spans="1:8" s="8" customFormat="1" ht="20.100000000000001" customHeight="1" x14ac:dyDescent="0.15">
      <c r="A252" s="1">
        <v>2021</v>
      </c>
      <c r="B252" s="18" t="s">
        <v>433</v>
      </c>
      <c r="C252" s="3" t="s">
        <v>10</v>
      </c>
      <c r="D252" s="4">
        <f>华腾2021!E253</f>
        <v>112000</v>
      </c>
      <c r="E252" s="2">
        <f>华腾2021!F253</f>
        <v>0</v>
      </c>
      <c r="F252" s="4">
        <f>华腾2021!G253</f>
        <v>112000</v>
      </c>
      <c r="G252" s="4">
        <f t="shared" si="10"/>
        <v>0</v>
      </c>
    </row>
    <row r="253" spans="1:8" s="8" customFormat="1" ht="20.100000000000001" customHeight="1" x14ac:dyDescent="0.15">
      <c r="A253" s="1">
        <v>2021</v>
      </c>
      <c r="B253" s="18" t="s">
        <v>434</v>
      </c>
      <c r="C253" s="3" t="s">
        <v>435</v>
      </c>
      <c r="D253" s="4">
        <f>华腾2021!E254</f>
        <v>56000</v>
      </c>
      <c r="E253" s="2">
        <f>华腾2021!F254</f>
        <v>0</v>
      </c>
      <c r="F253" s="4">
        <f>华腾2021!G254</f>
        <v>56000</v>
      </c>
      <c r="G253" s="4">
        <f t="shared" si="10"/>
        <v>0</v>
      </c>
    </row>
    <row r="254" spans="1:8" s="8" customFormat="1" ht="20.100000000000001" customHeight="1" x14ac:dyDescent="0.15">
      <c r="A254" s="1">
        <v>2021</v>
      </c>
      <c r="B254" s="18" t="s">
        <v>436</v>
      </c>
      <c r="C254" s="3" t="s">
        <v>437</v>
      </c>
      <c r="D254" s="4">
        <f>华腾2021!E255</f>
        <v>56000</v>
      </c>
      <c r="E254" s="2">
        <f>华腾2021!F255</f>
        <v>0</v>
      </c>
      <c r="F254" s="4">
        <f>华腾2021!G255</f>
        <v>56000</v>
      </c>
      <c r="G254" s="4">
        <f t="shared" si="10"/>
        <v>0</v>
      </c>
    </row>
    <row r="255" spans="1:8" s="8" customFormat="1" ht="20.100000000000001" customHeight="1" x14ac:dyDescent="0.15">
      <c r="A255" s="1">
        <v>2021</v>
      </c>
      <c r="B255" s="18" t="s">
        <v>438</v>
      </c>
      <c r="C255" s="3" t="s">
        <v>199</v>
      </c>
      <c r="D255" s="4">
        <f>华腾2021!E256</f>
        <v>171080</v>
      </c>
      <c r="E255" s="2">
        <f>华腾2021!F256</f>
        <v>0</v>
      </c>
      <c r="F255" s="4">
        <f>华腾2021!G256</f>
        <v>171080</v>
      </c>
      <c r="G255" s="4">
        <f t="shared" si="10"/>
        <v>0</v>
      </c>
      <c r="H255" s="20" t="s">
        <v>753</v>
      </c>
    </row>
    <row r="256" spans="1:8" ht="20.100000000000001" customHeight="1" x14ac:dyDescent="0.15">
      <c r="A256" s="1">
        <v>2021</v>
      </c>
      <c r="B256" s="18" t="s">
        <v>439</v>
      </c>
      <c r="C256" s="3" t="s">
        <v>440</v>
      </c>
      <c r="D256" s="4">
        <f>华腾2021!E257</f>
        <v>119280</v>
      </c>
      <c r="E256" s="2">
        <f>华腾2021!F257</f>
        <v>0</v>
      </c>
      <c r="F256" s="4">
        <f>华腾2021!G257</f>
        <v>119280</v>
      </c>
      <c r="G256" s="4">
        <f t="shared" si="10"/>
        <v>0</v>
      </c>
    </row>
    <row r="257" spans="1:9" ht="20.100000000000001" customHeight="1" x14ac:dyDescent="0.15">
      <c r="A257" s="1">
        <v>2021</v>
      </c>
      <c r="B257" s="21" t="s">
        <v>442</v>
      </c>
      <c r="C257" s="6" t="s">
        <v>443</v>
      </c>
      <c r="D257" s="4">
        <v>25000</v>
      </c>
      <c r="E257" s="4"/>
      <c r="F257" s="4">
        <f>华腾2021!G258</f>
        <v>25000</v>
      </c>
      <c r="G257" s="4">
        <f t="shared" si="10"/>
        <v>0</v>
      </c>
    </row>
    <row r="258" spans="1:9" ht="20.100000000000001" customHeight="1" x14ac:dyDescent="0.15">
      <c r="A258" s="22">
        <v>2021</v>
      </c>
      <c r="B258" s="23" t="str">
        <f>华腾2021!B259</f>
        <v>造价咨询</v>
      </c>
      <c r="C258" s="24" t="str">
        <f>华腾2021!C259</f>
        <v>天津宸颍工程咨询有限公司</v>
      </c>
      <c r="D258" s="4">
        <f>华腾2021!E259</f>
        <v>0</v>
      </c>
      <c r="E258" s="4">
        <f>华腾2021!E259</f>
        <v>0</v>
      </c>
      <c r="F258" s="4">
        <f>华腾2021!G259</f>
        <v>0</v>
      </c>
      <c r="G258" s="4">
        <f>华腾2021!H259</f>
        <v>18700</v>
      </c>
    </row>
    <row r="259" spans="1:9" ht="20.100000000000001" customHeight="1" x14ac:dyDescent="0.15">
      <c r="A259" s="104" t="s">
        <v>757</v>
      </c>
      <c r="B259" s="105"/>
      <c r="C259" s="106"/>
      <c r="D259" s="25">
        <f>SUM(D3:D258)</f>
        <v>35724618.569999993</v>
      </c>
      <c r="E259" s="25">
        <f>SUM(E3:E258)</f>
        <v>14457670.75</v>
      </c>
      <c r="F259" s="25">
        <f>SUM(F3:F258)</f>
        <v>35173383.569999993</v>
      </c>
      <c r="G259" s="25">
        <f>SUM(G3:G258)</f>
        <v>7201296.75</v>
      </c>
    </row>
    <row r="260" spans="1:9" s="10" customFormat="1" ht="20.100000000000001" customHeight="1" x14ac:dyDescent="0.15">
      <c r="A260" s="26">
        <v>2022</v>
      </c>
      <c r="B260" s="27" t="s">
        <v>446</v>
      </c>
      <c r="C260" s="28" t="s">
        <v>199</v>
      </c>
      <c r="D260" s="29">
        <f>华腾2022!E2</f>
        <v>194400</v>
      </c>
      <c r="E260" s="29">
        <f>华腾2022!F2</f>
        <v>0</v>
      </c>
      <c r="F260" s="29">
        <f>华腾2022!G2</f>
        <v>194400</v>
      </c>
      <c r="G260" s="4">
        <f>D260-F260</f>
        <v>0</v>
      </c>
      <c r="H260" s="20" t="s">
        <v>753</v>
      </c>
      <c r="I260" s="30"/>
    </row>
    <row r="261" spans="1:9" s="11" customFormat="1" ht="20.100000000000001" customHeight="1" x14ac:dyDescent="0.15">
      <c r="A261" s="26">
        <v>2022</v>
      </c>
      <c r="B261" s="27" t="s">
        <v>448</v>
      </c>
      <c r="C261" s="28" t="s">
        <v>48</v>
      </c>
      <c r="D261" s="29">
        <f>华腾2022!E3</f>
        <v>101585</v>
      </c>
      <c r="E261" s="29">
        <f>华腾2022!F3</f>
        <v>0</v>
      </c>
      <c r="F261" s="29">
        <f>华腾2022!G3</f>
        <v>101585</v>
      </c>
      <c r="G261" s="4">
        <f t="shared" ref="G261:G283" si="11">D261-F261</f>
        <v>0</v>
      </c>
      <c r="H261" s="20" t="s">
        <v>753</v>
      </c>
      <c r="I261" s="30"/>
    </row>
    <row r="262" spans="1:9" s="10" customFormat="1" ht="20.100000000000001" customHeight="1" x14ac:dyDescent="0.15">
      <c r="A262" s="26">
        <v>2022</v>
      </c>
      <c r="B262" s="27" t="s">
        <v>449</v>
      </c>
      <c r="C262" s="28" t="s">
        <v>199</v>
      </c>
      <c r="D262" s="29">
        <f>华腾2022!E4</f>
        <v>197320</v>
      </c>
      <c r="E262" s="29">
        <f>华腾2022!F4</f>
        <v>0</v>
      </c>
      <c r="F262" s="29">
        <f>华腾2022!G4</f>
        <v>197320</v>
      </c>
      <c r="G262" s="4">
        <f t="shared" si="11"/>
        <v>0</v>
      </c>
      <c r="H262" s="20" t="s">
        <v>753</v>
      </c>
      <c r="I262" s="30"/>
    </row>
    <row r="263" spans="1:9" s="10" customFormat="1" ht="20.100000000000001" customHeight="1" x14ac:dyDescent="0.15">
      <c r="A263" s="26">
        <v>2022</v>
      </c>
      <c r="B263" s="27" t="s">
        <v>451</v>
      </c>
      <c r="C263" s="28" t="s">
        <v>195</v>
      </c>
      <c r="D263" s="29">
        <f>华腾2022!E5</f>
        <v>194815</v>
      </c>
      <c r="E263" s="29">
        <f>华腾2022!F5</f>
        <v>0</v>
      </c>
      <c r="F263" s="29">
        <f>华腾2022!G5</f>
        <v>194815</v>
      </c>
      <c r="G263" s="4">
        <f t="shared" si="11"/>
        <v>0</v>
      </c>
      <c r="H263" s="20" t="s">
        <v>753</v>
      </c>
      <c r="I263" s="30"/>
    </row>
    <row r="264" spans="1:9" s="10" customFormat="1" ht="20.100000000000001" customHeight="1" x14ac:dyDescent="0.15">
      <c r="A264" s="26">
        <v>2022</v>
      </c>
      <c r="B264" s="27" t="s">
        <v>452</v>
      </c>
      <c r="C264" s="28" t="s">
        <v>199</v>
      </c>
      <c r="D264" s="29">
        <f>华腾2022!E6</f>
        <v>198845</v>
      </c>
      <c r="E264" s="29">
        <f>华腾2022!F6</f>
        <v>0</v>
      </c>
      <c r="F264" s="29">
        <f>华腾2022!G6</f>
        <v>198845</v>
      </c>
      <c r="G264" s="4">
        <f t="shared" si="11"/>
        <v>0</v>
      </c>
      <c r="H264" s="20" t="s">
        <v>753</v>
      </c>
      <c r="I264" s="30"/>
    </row>
    <row r="265" spans="1:9" s="10" customFormat="1" ht="20.100000000000001" customHeight="1" x14ac:dyDescent="0.15">
      <c r="A265" s="26">
        <v>2022</v>
      </c>
      <c r="B265" s="27" t="s">
        <v>454</v>
      </c>
      <c r="C265" s="28" t="s">
        <v>195</v>
      </c>
      <c r="D265" s="29">
        <f>华腾2022!E7</f>
        <v>143000</v>
      </c>
      <c r="E265" s="29">
        <f>华腾2022!F7</f>
        <v>0</v>
      </c>
      <c r="F265" s="29">
        <f>华腾2022!G7</f>
        <v>143000</v>
      </c>
      <c r="G265" s="4">
        <f t="shared" si="11"/>
        <v>0</v>
      </c>
      <c r="H265" s="20" t="s">
        <v>753</v>
      </c>
      <c r="I265" s="30"/>
    </row>
    <row r="266" spans="1:9" s="10" customFormat="1" ht="20.100000000000001" customHeight="1" x14ac:dyDescent="0.15">
      <c r="A266" s="26">
        <v>2022</v>
      </c>
      <c r="B266" s="27" t="s">
        <v>456</v>
      </c>
      <c r="C266" s="28" t="s">
        <v>457</v>
      </c>
      <c r="D266" s="29">
        <f>华腾2022!E8</f>
        <v>65000</v>
      </c>
      <c r="E266" s="29">
        <f>华腾2022!F8</f>
        <v>0</v>
      </c>
      <c r="F266" s="29">
        <f>华腾2022!G8</f>
        <v>65000</v>
      </c>
      <c r="G266" s="4">
        <f t="shared" si="11"/>
        <v>0</v>
      </c>
      <c r="H266" s="20" t="s">
        <v>753</v>
      </c>
      <c r="I266" s="30"/>
    </row>
    <row r="267" spans="1:9" s="10" customFormat="1" ht="20.100000000000001" customHeight="1" x14ac:dyDescent="0.15">
      <c r="A267" s="26">
        <v>2022</v>
      </c>
      <c r="B267" s="27" t="s">
        <v>458</v>
      </c>
      <c r="C267" s="28" t="s">
        <v>459</v>
      </c>
      <c r="D267" s="29">
        <f>华腾2022!E9</f>
        <v>167500</v>
      </c>
      <c r="E267" s="29">
        <f>华腾2022!F9</f>
        <v>0</v>
      </c>
      <c r="F267" s="29">
        <f>华腾2022!G9</f>
        <v>167500</v>
      </c>
      <c r="G267" s="4">
        <f t="shared" si="11"/>
        <v>0</v>
      </c>
      <c r="H267" s="30"/>
      <c r="I267" s="30"/>
    </row>
    <row r="268" spans="1:9" s="10" customFormat="1" ht="20.100000000000001" customHeight="1" x14ac:dyDescent="0.15">
      <c r="A268" s="26">
        <v>2022</v>
      </c>
      <c r="B268" s="18" t="s">
        <v>460</v>
      </c>
      <c r="C268" s="28" t="s">
        <v>121</v>
      </c>
      <c r="D268" s="29">
        <f>华腾2022!E10</f>
        <v>65400</v>
      </c>
      <c r="E268" s="29">
        <f>华腾2022!F10</f>
        <v>0</v>
      </c>
      <c r="F268" s="29">
        <f>华腾2022!G10</f>
        <v>65400</v>
      </c>
      <c r="G268" s="4">
        <f t="shared" si="11"/>
        <v>0</v>
      </c>
      <c r="H268" s="30"/>
      <c r="I268" s="30"/>
    </row>
    <row r="269" spans="1:9" s="10" customFormat="1" ht="20.100000000000001" customHeight="1" x14ac:dyDescent="0.15">
      <c r="A269" s="26">
        <v>2022</v>
      </c>
      <c r="B269" s="27" t="s">
        <v>461</v>
      </c>
      <c r="C269" s="28" t="s">
        <v>193</v>
      </c>
      <c r="D269" s="29">
        <f>华腾2022!E11</f>
        <v>178740</v>
      </c>
      <c r="E269" s="29">
        <f>华腾2022!F11</f>
        <v>0</v>
      </c>
      <c r="F269" s="29">
        <f>华腾2022!G11</f>
        <v>178740</v>
      </c>
      <c r="G269" s="4">
        <f t="shared" si="11"/>
        <v>0</v>
      </c>
      <c r="H269" s="20" t="s">
        <v>753</v>
      </c>
      <c r="I269" s="30"/>
    </row>
    <row r="270" spans="1:9" s="10" customFormat="1" ht="20.100000000000001" customHeight="1" x14ac:dyDescent="0.15">
      <c r="A270" s="26">
        <v>2022</v>
      </c>
      <c r="B270" s="18" t="s">
        <v>463</v>
      </c>
      <c r="C270" s="28" t="s">
        <v>33</v>
      </c>
      <c r="D270" s="29">
        <f>华腾2022!E12</f>
        <v>199300</v>
      </c>
      <c r="E270" s="29">
        <f>华腾2022!F12</f>
        <v>0</v>
      </c>
      <c r="F270" s="29">
        <f>华腾2022!G12</f>
        <v>199300</v>
      </c>
      <c r="G270" s="4">
        <f t="shared" si="11"/>
        <v>0</v>
      </c>
      <c r="H270" s="20" t="s">
        <v>753</v>
      </c>
      <c r="I270" s="30"/>
    </row>
    <row r="271" spans="1:9" s="10" customFormat="1" ht="20.100000000000001" customHeight="1" x14ac:dyDescent="0.15">
      <c r="A271" s="26">
        <v>2022</v>
      </c>
      <c r="B271" s="27" t="s">
        <v>464</v>
      </c>
      <c r="C271" s="28" t="s">
        <v>465</v>
      </c>
      <c r="D271" s="29">
        <f>华腾2022!E13</f>
        <v>155800</v>
      </c>
      <c r="E271" s="29">
        <f>华腾2022!F13</f>
        <v>0</v>
      </c>
      <c r="F271" s="29">
        <f>华腾2022!G13</f>
        <v>155800</v>
      </c>
      <c r="G271" s="4">
        <f t="shared" si="11"/>
        <v>0</v>
      </c>
      <c r="H271" s="20" t="s">
        <v>753</v>
      </c>
      <c r="I271" s="30"/>
    </row>
    <row r="272" spans="1:9" s="10" customFormat="1" ht="20.100000000000001" customHeight="1" x14ac:dyDescent="0.15">
      <c r="A272" s="26">
        <v>2022</v>
      </c>
      <c r="B272" s="27" t="s">
        <v>466</v>
      </c>
      <c r="C272" s="28" t="s">
        <v>48</v>
      </c>
      <c r="D272" s="29">
        <f>华腾2022!E14</f>
        <v>194485</v>
      </c>
      <c r="E272" s="29">
        <f>华腾2022!F14</f>
        <v>0</v>
      </c>
      <c r="F272" s="29">
        <f>华腾2022!G14</f>
        <v>194485</v>
      </c>
      <c r="G272" s="4">
        <f t="shared" si="11"/>
        <v>0</v>
      </c>
      <c r="H272" s="20" t="s">
        <v>753</v>
      </c>
      <c r="I272" s="30"/>
    </row>
    <row r="273" spans="1:9" s="10" customFormat="1" ht="20.100000000000001" customHeight="1" x14ac:dyDescent="0.15">
      <c r="A273" s="26">
        <v>2022</v>
      </c>
      <c r="B273" s="18" t="s">
        <v>468</v>
      </c>
      <c r="C273" s="28" t="s">
        <v>459</v>
      </c>
      <c r="D273" s="29">
        <f>华腾2022!E15</f>
        <v>157110</v>
      </c>
      <c r="E273" s="29">
        <f>华腾2022!F15</f>
        <v>0</v>
      </c>
      <c r="F273" s="29">
        <f>华腾2022!G15</f>
        <v>157110</v>
      </c>
      <c r="G273" s="4">
        <f t="shared" si="11"/>
        <v>0</v>
      </c>
      <c r="H273" s="30"/>
      <c r="I273" s="30"/>
    </row>
    <row r="274" spans="1:9" s="12" customFormat="1" ht="20.100000000000001" customHeight="1" x14ac:dyDescent="0.15">
      <c r="A274" s="26">
        <v>2022</v>
      </c>
      <c r="B274" s="27" t="s">
        <v>470</v>
      </c>
      <c r="C274" s="28" t="s">
        <v>471</v>
      </c>
      <c r="D274" s="29">
        <f>华腾2022!E16</f>
        <v>192420</v>
      </c>
      <c r="E274" s="29">
        <f>华腾2022!F16</f>
        <v>0</v>
      </c>
      <c r="F274" s="29">
        <f>华腾2022!G16</f>
        <v>192420</v>
      </c>
      <c r="G274" s="4">
        <f t="shared" si="11"/>
        <v>0</v>
      </c>
      <c r="H274" s="30"/>
      <c r="I274" s="31"/>
    </row>
    <row r="275" spans="1:9" s="10" customFormat="1" ht="20.100000000000001" customHeight="1" x14ac:dyDescent="0.15">
      <c r="A275" s="26">
        <v>2022</v>
      </c>
      <c r="B275" s="27" t="s">
        <v>473</v>
      </c>
      <c r="C275" s="28" t="s">
        <v>457</v>
      </c>
      <c r="D275" s="29">
        <f>华腾2022!E17</f>
        <v>70200</v>
      </c>
      <c r="E275" s="29">
        <f>华腾2022!F17</f>
        <v>0</v>
      </c>
      <c r="F275" s="29">
        <f>华腾2022!G17</f>
        <v>70200</v>
      </c>
      <c r="G275" s="4">
        <f t="shared" si="11"/>
        <v>0</v>
      </c>
      <c r="H275" s="20" t="s">
        <v>753</v>
      </c>
      <c r="I275" s="30"/>
    </row>
    <row r="276" spans="1:9" s="10" customFormat="1" ht="20.100000000000001" customHeight="1" x14ac:dyDescent="0.15">
      <c r="A276" s="26">
        <v>2022</v>
      </c>
      <c r="B276" s="27" t="s">
        <v>474</v>
      </c>
      <c r="C276" s="28" t="s">
        <v>475</v>
      </c>
      <c r="D276" s="29">
        <f>华腾2022!E18</f>
        <v>190000</v>
      </c>
      <c r="E276" s="29">
        <f>华腾2022!F18</f>
        <v>0</v>
      </c>
      <c r="F276" s="29">
        <f>华腾2022!G18</f>
        <v>190000</v>
      </c>
      <c r="G276" s="4">
        <f t="shared" si="11"/>
        <v>0</v>
      </c>
      <c r="H276" s="20" t="s">
        <v>753</v>
      </c>
      <c r="I276" s="30"/>
    </row>
    <row r="277" spans="1:9" s="10" customFormat="1" ht="20.100000000000001" customHeight="1" x14ac:dyDescent="0.15">
      <c r="A277" s="26">
        <v>2022</v>
      </c>
      <c r="B277" s="27" t="s">
        <v>477</v>
      </c>
      <c r="C277" s="28" t="s">
        <v>218</v>
      </c>
      <c r="D277" s="29">
        <f>华腾2022!E19</f>
        <v>123760</v>
      </c>
      <c r="E277" s="29">
        <f>华腾2022!F19</f>
        <v>0</v>
      </c>
      <c r="F277" s="29">
        <f>华腾2022!G19</f>
        <v>0</v>
      </c>
      <c r="G277" s="4">
        <f t="shared" si="11"/>
        <v>123760</v>
      </c>
      <c r="H277" s="30"/>
      <c r="I277" s="30"/>
    </row>
    <row r="278" spans="1:9" s="10" customFormat="1" ht="20.100000000000001" customHeight="1" x14ac:dyDescent="0.15">
      <c r="A278" s="26">
        <v>2022</v>
      </c>
      <c r="B278" s="27" t="s">
        <v>479</v>
      </c>
      <c r="C278" s="28" t="s">
        <v>334</v>
      </c>
      <c r="D278" s="29" t="str">
        <f>华腾2022!E20</f>
        <v xml:space="preserve">194800 </v>
      </c>
      <c r="E278" s="29">
        <f>华腾2022!F20</f>
        <v>0</v>
      </c>
      <c r="F278" s="29">
        <f>华腾2022!G20</f>
        <v>0</v>
      </c>
      <c r="G278" s="4">
        <f t="shared" si="11"/>
        <v>194800</v>
      </c>
      <c r="H278" s="30"/>
      <c r="I278" s="30"/>
    </row>
    <row r="279" spans="1:9" s="10" customFormat="1" ht="20.100000000000001" customHeight="1" x14ac:dyDescent="0.15">
      <c r="A279" s="26">
        <v>2022</v>
      </c>
      <c r="B279" s="27" t="s">
        <v>482</v>
      </c>
      <c r="C279" s="28" t="s">
        <v>483</v>
      </c>
      <c r="D279" s="29">
        <f>华腾2022!E21</f>
        <v>5147900.0999999996</v>
      </c>
      <c r="E279" s="29">
        <f>华腾2022!F21</f>
        <v>0</v>
      </c>
      <c r="F279" s="29">
        <f>华腾2022!G21</f>
        <v>5147900.0999999996</v>
      </c>
      <c r="G279" s="4">
        <f t="shared" si="11"/>
        <v>0</v>
      </c>
      <c r="H279" s="30"/>
      <c r="I279" s="30"/>
    </row>
    <row r="280" spans="1:9" s="11" customFormat="1" ht="20.100000000000001" customHeight="1" x14ac:dyDescent="0.15">
      <c r="A280" s="26">
        <v>2022</v>
      </c>
      <c r="B280" s="27" t="s">
        <v>484</v>
      </c>
      <c r="C280" s="28" t="s">
        <v>459</v>
      </c>
      <c r="D280" s="29">
        <f>华腾2022!E22</f>
        <v>155900</v>
      </c>
      <c r="E280" s="29">
        <f>华腾2022!F22</f>
        <v>0</v>
      </c>
      <c r="F280" s="29">
        <f>华腾2022!G22</f>
        <v>155900</v>
      </c>
      <c r="G280" s="4">
        <f t="shared" si="11"/>
        <v>0</v>
      </c>
      <c r="H280" s="30"/>
      <c r="I280" s="30"/>
    </row>
    <row r="281" spans="1:9" s="10" customFormat="1" ht="20.100000000000001" customHeight="1" x14ac:dyDescent="0.15">
      <c r="A281" s="26">
        <v>2022</v>
      </c>
      <c r="B281" s="27" t="s">
        <v>485</v>
      </c>
      <c r="C281" s="28" t="s">
        <v>486</v>
      </c>
      <c r="D281" s="29">
        <f>华腾2022!E23</f>
        <v>177661.28</v>
      </c>
      <c r="E281" s="29">
        <f>华腾2022!F23</f>
        <v>0</v>
      </c>
      <c r="F281" s="29">
        <f>华腾2022!G23</f>
        <v>150000</v>
      </c>
      <c r="G281" s="4">
        <f t="shared" si="11"/>
        <v>27661.279999999999</v>
      </c>
      <c r="H281" s="30"/>
      <c r="I281" s="30"/>
    </row>
    <row r="282" spans="1:9" s="10" customFormat="1" ht="20.100000000000001" customHeight="1" x14ac:dyDescent="0.15">
      <c r="A282" s="26">
        <v>2022</v>
      </c>
      <c r="B282" s="27" t="s">
        <v>489</v>
      </c>
      <c r="C282" s="28" t="s">
        <v>107</v>
      </c>
      <c r="D282" s="29">
        <f>华腾2022!E25</f>
        <v>83200</v>
      </c>
      <c r="E282" s="29">
        <f>华腾2022!F25</f>
        <v>0</v>
      </c>
      <c r="F282" s="29">
        <f>华腾2022!G25</f>
        <v>83200</v>
      </c>
      <c r="G282" s="4">
        <f t="shared" si="11"/>
        <v>0</v>
      </c>
      <c r="H282" s="11"/>
      <c r="I282" s="30"/>
    </row>
    <row r="283" spans="1:9" s="10" customFormat="1" ht="20.100000000000001" customHeight="1" x14ac:dyDescent="0.15">
      <c r="A283" s="26">
        <v>2022</v>
      </c>
      <c r="B283" s="27" t="s">
        <v>490</v>
      </c>
      <c r="C283" s="28" t="s">
        <v>758</v>
      </c>
      <c r="D283" s="29">
        <f>华腾2022!E26</f>
        <v>360500</v>
      </c>
      <c r="E283" s="29">
        <f>华腾2022!F26</f>
        <v>0</v>
      </c>
      <c r="F283" s="29">
        <f>华腾2022!G26</f>
        <v>200000</v>
      </c>
      <c r="G283" s="4">
        <f t="shared" si="11"/>
        <v>160500</v>
      </c>
      <c r="H283" s="11"/>
      <c r="I283" s="30"/>
    </row>
    <row r="284" spans="1:9" s="10" customFormat="1" ht="20.100000000000001" customHeight="1" x14ac:dyDescent="0.15">
      <c r="A284" s="26">
        <v>2022</v>
      </c>
      <c r="B284" s="27" t="s">
        <v>492</v>
      </c>
      <c r="C284" s="28" t="s">
        <v>301</v>
      </c>
      <c r="D284" s="29" t="str">
        <f>华腾2022!E27</f>
        <v>无明细</v>
      </c>
      <c r="E284" s="29">
        <f>华腾2022!F27</f>
        <v>0</v>
      </c>
      <c r="F284" s="29">
        <f>华腾2022!G27</f>
        <v>0</v>
      </c>
      <c r="G284" s="32" t="s">
        <v>494</v>
      </c>
      <c r="H284" s="30"/>
      <c r="I284" s="30"/>
    </row>
    <row r="285" spans="1:9" s="10" customFormat="1" ht="20.100000000000001" customHeight="1" x14ac:dyDescent="0.15">
      <c r="A285" s="26">
        <v>2022</v>
      </c>
      <c r="B285" s="27" t="s">
        <v>495</v>
      </c>
      <c r="C285" s="28" t="s">
        <v>326</v>
      </c>
      <c r="D285" s="29">
        <f>华腾2022!E28</f>
        <v>700108</v>
      </c>
      <c r="E285" s="29">
        <f>华腾2022!F28</f>
        <v>0</v>
      </c>
      <c r="F285" s="29">
        <f>华腾2022!G28</f>
        <v>100000</v>
      </c>
      <c r="G285" s="32">
        <f t="shared" ref="G285:G297" si="12">D285-F285</f>
        <v>600108</v>
      </c>
      <c r="H285" s="30"/>
      <c r="I285" s="30"/>
    </row>
    <row r="286" spans="1:9" s="10" customFormat="1" ht="20.100000000000001" customHeight="1" x14ac:dyDescent="0.15">
      <c r="A286" s="26">
        <v>2022</v>
      </c>
      <c r="B286" s="18" t="s">
        <v>497</v>
      </c>
      <c r="C286" s="28" t="s">
        <v>323</v>
      </c>
      <c r="D286" s="29">
        <f>华腾2022!E29</f>
        <v>320492</v>
      </c>
      <c r="E286" s="29">
        <f>华腾2022!F29</f>
        <v>0</v>
      </c>
      <c r="F286" s="29">
        <f>华腾2022!G29</f>
        <v>0</v>
      </c>
      <c r="G286" s="32">
        <f t="shared" si="12"/>
        <v>320492</v>
      </c>
      <c r="H286" s="30"/>
      <c r="I286" s="30"/>
    </row>
    <row r="287" spans="1:9" s="10" customFormat="1" ht="20.100000000000001" customHeight="1" x14ac:dyDescent="0.15">
      <c r="A287" s="26">
        <v>2022</v>
      </c>
      <c r="B287" s="27" t="s">
        <v>498</v>
      </c>
      <c r="C287" s="28" t="s">
        <v>499</v>
      </c>
      <c r="D287" s="29">
        <f>华腾2022!E30</f>
        <v>815100</v>
      </c>
      <c r="E287" s="29">
        <f>华腾2022!F30</f>
        <v>0</v>
      </c>
      <c r="F287" s="29">
        <f>华腾2022!G30</f>
        <v>150000</v>
      </c>
      <c r="G287" s="32">
        <f t="shared" si="12"/>
        <v>665100</v>
      </c>
      <c r="H287" s="30"/>
      <c r="I287" s="30"/>
    </row>
    <row r="288" spans="1:9" s="10" customFormat="1" ht="20.100000000000001" customHeight="1" x14ac:dyDescent="0.15">
      <c r="A288" s="26">
        <v>2022</v>
      </c>
      <c r="B288" s="18" t="s">
        <v>501</v>
      </c>
      <c r="C288" s="28" t="s">
        <v>502</v>
      </c>
      <c r="D288" s="29">
        <f>华腾2022!E31</f>
        <v>564440</v>
      </c>
      <c r="E288" s="29">
        <f>华腾2022!F31</f>
        <v>0</v>
      </c>
      <c r="F288" s="29">
        <f>华腾2022!G31</f>
        <v>564440</v>
      </c>
      <c r="G288" s="32">
        <f t="shared" si="12"/>
        <v>0</v>
      </c>
      <c r="H288" s="30"/>
      <c r="I288" s="30"/>
    </row>
    <row r="289" spans="1:9" s="10" customFormat="1" ht="20.100000000000001" customHeight="1" x14ac:dyDescent="0.15">
      <c r="A289" s="26">
        <v>2022</v>
      </c>
      <c r="B289" s="27" t="s">
        <v>503</v>
      </c>
      <c r="C289" s="28" t="s">
        <v>95</v>
      </c>
      <c r="D289" s="29">
        <f>华腾2022!E32</f>
        <v>46534</v>
      </c>
      <c r="E289" s="29">
        <f>华腾2022!F32</f>
        <v>0</v>
      </c>
      <c r="F289" s="29">
        <f>华腾2022!G32</f>
        <v>46534</v>
      </c>
      <c r="G289" s="32">
        <f t="shared" si="12"/>
        <v>0</v>
      </c>
      <c r="H289" s="30"/>
      <c r="I289" s="30"/>
    </row>
    <row r="290" spans="1:9" s="10" customFormat="1" ht="20.100000000000001" customHeight="1" x14ac:dyDescent="0.15">
      <c r="A290" s="26">
        <v>2022</v>
      </c>
      <c r="B290" s="27" t="s">
        <v>263</v>
      </c>
      <c r="C290" s="28" t="s">
        <v>85</v>
      </c>
      <c r="D290" s="29">
        <f>华腾2022!E33</f>
        <v>46534</v>
      </c>
      <c r="E290" s="29">
        <f>华腾2022!F33</f>
        <v>0</v>
      </c>
      <c r="F290" s="29">
        <f>华腾2022!G33</f>
        <v>46534</v>
      </c>
      <c r="G290" s="32">
        <f t="shared" si="12"/>
        <v>0</v>
      </c>
      <c r="H290" s="11"/>
      <c r="I290" s="30"/>
    </row>
    <row r="291" spans="1:9" s="10" customFormat="1" ht="20.100000000000001" customHeight="1" x14ac:dyDescent="0.15">
      <c r="A291" s="26">
        <v>2022</v>
      </c>
      <c r="B291" s="18" t="s">
        <v>504</v>
      </c>
      <c r="C291" s="28" t="s">
        <v>505</v>
      </c>
      <c r="D291" s="29">
        <f>华腾2022!E34</f>
        <v>52666</v>
      </c>
      <c r="E291" s="29">
        <f>华腾2022!F34</f>
        <v>0</v>
      </c>
      <c r="F291" s="29">
        <f>华腾2022!G34</f>
        <v>52666</v>
      </c>
      <c r="G291" s="32">
        <f t="shared" si="12"/>
        <v>0</v>
      </c>
      <c r="H291" s="30"/>
      <c r="I291" s="30"/>
    </row>
    <row r="292" spans="1:9" s="12" customFormat="1" ht="20.100000000000001" customHeight="1" x14ac:dyDescent="0.15">
      <c r="A292" s="26">
        <v>2022</v>
      </c>
      <c r="B292" s="27" t="s">
        <v>506</v>
      </c>
      <c r="C292" s="28" t="s">
        <v>483</v>
      </c>
      <c r="D292" s="29">
        <f>华腾2022!E35</f>
        <v>648000</v>
      </c>
      <c r="E292" s="29">
        <f>华腾2022!F35</f>
        <v>0</v>
      </c>
      <c r="F292" s="29">
        <f>华腾2022!G35</f>
        <v>648000</v>
      </c>
      <c r="G292" s="32">
        <f t="shared" si="12"/>
        <v>0</v>
      </c>
      <c r="H292" s="30"/>
      <c r="I292" s="31"/>
    </row>
    <row r="293" spans="1:9" s="10" customFormat="1" ht="20.100000000000001" customHeight="1" x14ac:dyDescent="0.15">
      <c r="A293" s="26">
        <v>2022</v>
      </c>
      <c r="B293" s="27" t="s">
        <v>508</v>
      </c>
      <c r="C293" s="28" t="s">
        <v>509</v>
      </c>
      <c r="D293" s="29">
        <f>华腾2022!E36</f>
        <v>517150</v>
      </c>
      <c r="E293" s="29">
        <f>华腾2022!F36</f>
        <v>0</v>
      </c>
      <c r="F293" s="29">
        <f>华腾2022!G36</f>
        <v>517150</v>
      </c>
      <c r="G293" s="32">
        <f t="shared" si="12"/>
        <v>0</v>
      </c>
      <c r="H293" s="30"/>
      <c r="I293" s="30"/>
    </row>
    <row r="294" spans="1:9" s="10" customFormat="1" ht="20.100000000000001" customHeight="1" x14ac:dyDescent="0.15">
      <c r="A294" s="26">
        <v>2022</v>
      </c>
      <c r="B294" s="27" t="s">
        <v>510</v>
      </c>
      <c r="C294" s="28" t="s">
        <v>511</v>
      </c>
      <c r="D294" s="29">
        <f>华腾2022!E37</f>
        <v>1480000</v>
      </c>
      <c r="E294" s="29">
        <f>华腾2022!F37</f>
        <v>0</v>
      </c>
      <c r="F294" s="29">
        <f>华腾2022!G37</f>
        <v>250000</v>
      </c>
      <c r="G294" s="32">
        <f t="shared" si="12"/>
        <v>1230000</v>
      </c>
      <c r="H294" s="30"/>
      <c r="I294" s="30"/>
    </row>
    <row r="295" spans="1:9" s="10" customFormat="1" ht="20.100000000000001" customHeight="1" x14ac:dyDescent="0.15">
      <c r="A295" s="26">
        <v>2022</v>
      </c>
      <c r="B295" s="27" t="s">
        <v>759</v>
      </c>
      <c r="C295" s="28" t="s">
        <v>76</v>
      </c>
      <c r="D295" s="29">
        <f>华腾2022!E38</f>
        <v>0</v>
      </c>
      <c r="E295" s="29">
        <f>华腾2022!F38</f>
        <v>0</v>
      </c>
      <c r="F295" s="29">
        <f>华腾2022!G38</f>
        <v>0</v>
      </c>
      <c r="G295" s="32">
        <f t="shared" si="12"/>
        <v>0</v>
      </c>
      <c r="H295" s="30"/>
      <c r="I295" s="30"/>
    </row>
    <row r="296" spans="1:9" s="10" customFormat="1" ht="20.100000000000001" customHeight="1" x14ac:dyDescent="0.15">
      <c r="A296" s="26">
        <v>2022</v>
      </c>
      <c r="B296" s="27" t="s">
        <v>760</v>
      </c>
      <c r="C296" s="28" t="s">
        <v>138</v>
      </c>
      <c r="D296" s="29">
        <f>华腾2022!E39</f>
        <v>0</v>
      </c>
      <c r="E296" s="29">
        <f>华腾2022!F39</f>
        <v>0</v>
      </c>
      <c r="F296" s="29">
        <f>华腾2022!G39</f>
        <v>0</v>
      </c>
      <c r="G296" s="32">
        <f t="shared" si="12"/>
        <v>0</v>
      </c>
      <c r="H296" s="30"/>
      <c r="I296" s="30"/>
    </row>
    <row r="297" spans="1:9" s="10" customFormat="1" ht="20.100000000000001" customHeight="1" x14ac:dyDescent="0.15">
      <c r="A297" s="26">
        <v>2022</v>
      </c>
      <c r="B297" s="27" t="s">
        <v>514</v>
      </c>
      <c r="C297" s="28" t="s">
        <v>515</v>
      </c>
      <c r="D297" s="29">
        <f>华腾2022!E40</f>
        <v>713008</v>
      </c>
      <c r="E297" s="29">
        <f>华腾2022!F40</f>
        <v>0</v>
      </c>
      <c r="F297" s="29">
        <f>华腾2022!G40</f>
        <v>463008</v>
      </c>
      <c r="G297" s="32">
        <f t="shared" si="12"/>
        <v>250000</v>
      </c>
      <c r="H297" s="30"/>
      <c r="I297" s="30"/>
    </row>
    <row r="298" spans="1:9" s="10" customFormat="1" ht="20.100000000000001" customHeight="1" x14ac:dyDescent="0.15">
      <c r="A298" s="26">
        <v>2022</v>
      </c>
      <c r="B298" s="27" t="s">
        <v>517</v>
      </c>
      <c r="C298" s="28" t="s">
        <v>218</v>
      </c>
      <c r="D298" s="29">
        <f>华腾2022!E42</f>
        <v>96000</v>
      </c>
      <c r="E298" s="29">
        <f>华腾2022!F42</f>
        <v>0</v>
      </c>
      <c r="F298" s="29">
        <f>华腾2022!G42</f>
        <v>0</v>
      </c>
      <c r="G298" s="32">
        <f t="shared" ref="G298:G323" si="13">D298-F298</f>
        <v>96000</v>
      </c>
      <c r="H298" s="30"/>
      <c r="I298" s="30"/>
    </row>
    <row r="299" spans="1:9" s="10" customFormat="1" ht="20.100000000000001" customHeight="1" x14ac:dyDescent="0.15">
      <c r="A299" s="26">
        <v>2022</v>
      </c>
      <c r="B299" s="27" t="s">
        <v>477</v>
      </c>
      <c r="C299" s="28" t="s">
        <v>218</v>
      </c>
      <c r="D299" s="29">
        <f>华腾2022!E43</f>
        <v>0</v>
      </c>
      <c r="E299" s="29">
        <f>华腾2022!F43</f>
        <v>0</v>
      </c>
      <c r="F299" s="29">
        <f>华腾2022!G43</f>
        <v>0</v>
      </c>
      <c r="G299" s="32">
        <f t="shared" si="13"/>
        <v>0</v>
      </c>
      <c r="H299" s="30"/>
      <c r="I299" s="30"/>
    </row>
    <row r="300" spans="1:9" s="10" customFormat="1" ht="20.100000000000001" customHeight="1" x14ac:dyDescent="0.15">
      <c r="A300" s="26">
        <v>2022</v>
      </c>
      <c r="B300" s="27" t="s">
        <v>520</v>
      </c>
      <c r="C300" s="28" t="s">
        <v>29</v>
      </c>
      <c r="D300" s="29">
        <f>华腾2022!E44</f>
        <v>962140</v>
      </c>
      <c r="E300" s="29">
        <f>华腾2022!F44</f>
        <v>962140</v>
      </c>
      <c r="F300" s="29">
        <f>华腾2022!G44</f>
        <v>370000</v>
      </c>
      <c r="G300" s="32">
        <f t="shared" si="13"/>
        <v>592140</v>
      </c>
      <c r="H300" s="11"/>
      <c r="I300" s="30"/>
    </row>
    <row r="301" spans="1:9" s="10" customFormat="1" ht="20.100000000000001" customHeight="1" x14ac:dyDescent="0.15">
      <c r="A301" s="26">
        <v>2022</v>
      </c>
      <c r="B301" s="27" t="s">
        <v>521</v>
      </c>
      <c r="C301" s="28" t="s">
        <v>177</v>
      </c>
      <c r="D301" s="29">
        <f>华腾2022!E45</f>
        <v>33440</v>
      </c>
      <c r="E301" s="29">
        <f>华腾2022!F45</f>
        <v>0</v>
      </c>
      <c r="F301" s="29">
        <f>华腾2022!G45</f>
        <v>33440</v>
      </c>
      <c r="G301" s="32">
        <f t="shared" si="13"/>
        <v>0</v>
      </c>
      <c r="H301" s="11"/>
      <c r="I301" s="30"/>
    </row>
    <row r="302" spans="1:9" s="10" customFormat="1" ht="20.100000000000001" customHeight="1" x14ac:dyDescent="0.15">
      <c r="A302" s="26">
        <v>2022</v>
      </c>
      <c r="B302" s="27" t="s">
        <v>522</v>
      </c>
      <c r="C302" s="28" t="s">
        <v>177</v>
      </c>
      <c r="D302" s="29">
        <f>华腾2022!E46</f>
        <v>93890</v>
      </c>
      <c r="E302" s="29">
        <f>华腾2022!F46</f>
        <v>0</v>
      </c>
      <c r="F302" s="29">
        <f>华腾2022!G46</f>
        <v>0</v>
      </c>
      <c r="G302" s="32">
        <f t="shared" si="13"/>
        <v>93890</v>
      </c>
      <c r="H302" s="30"/>
      <c r="I302" s="30"/>
    </row>
    <row r="303" spans="1:9" s="10" customFormat="1" ht="20.100000000000001" customHeight="1" x14ac:dyDescent="0.15">
      <c r="A303" s="26">
        <v>2022</v>
      </c>
      <c r="B303" s="27" t="s">
        <v>523</v>
      </c>
      <c r="C303" s="28" t="s">
        <v>177</v>
      </c>
      <c r="D303" s="29">
        <f>华腾2022!E47</f>
        <v>34990</v>
      </c>
      <c r="E303" s="29">
        <f>华腾2022!F47</f>
        <v>0</v>
      </c>
      <c r="F303" s="29">
        <f>华腾2022!G47</f>
        <v>0</v>
      </c>
      <c r="G303" s="32">
        <f t="shared" si="13"/>
        <v>34990</v>
      </c>
      <c r="H303" s="30"/>
      <c r="I303" s="30"/>
    </row>
    <row r="304" spans="1:9" s="10" customFormat="1" ht="20.100000000000001" customHeight="1" x14ac:dyDescent="0.15">
      <c r="A304" s="26">
        <v>2022</v>
      </c>
      <c r="B304" s="18" t="s">
        <v>524</v>
      </c>
      <c r="C304" s="28" t="s">
        <v>19</v>
      </c>
      <c r="D304" s="29">
        <f>华腾2022!E48</f>
        <v>262823</v>
      </c>
      <c r="E304" s="29">
        <f>华腾2022!F48</f>
        <v>262823</v>
      </c>
      <c r="F304" s="29">
        <f>华腾2022!G48</f>
        <v>100000</v>
      </c>
      <c r="G304" s="32">
        <f t="shared" si="13"/>
        <v>162823</v>
      </c>
      <c r="H304" s="30"/>
      <c r="I304" s="30"/>
    </row>
    <row r="305" spans="1:9" s="10" customFormat="1" ht="20.100000000000001" customHeight="1" x14ac:dyDescent="0.15">
      <c r="A305" s="26">
        <v>2022</v>
      </c>
      <c r="B305" s="27" t="s">
        <v>526</v>
      </c>
      <c r="C305" s="28" t="s">
        <v>19</v>
      </c>
      <c r="D305" s="29">
        <f>华腾2022!E49</f>
        <v>982245</v>
      </c>
      <c r="E305" s="29">
        <f>华腾2022!F49</f>
        <v>982245</v>
      </c>
      <c r="F305" s="29">
        <f>华腾2022!G49</f>
        <v>0</v>
      </c>
      <c r="G305" s="32">
        <f t="shared" si="13"/>
        <v>982245</v>
      </c>
      <c r="H305" s="30"/>
      <c r="I305" s="30"/>
    </row>
    <row r="306" spans="1:9" s="10" customFormat="1" ht="20.100000000000001" customHeight="1" x14ac:dyDescent="0.15">
      <c r="A306" s="26">
        <v>2022</v>
      </c>
      <c r="B306" s="18" t="s">
        <v>528</v>
      </c>
      <c r="C306" s="28" t="s">
        <v>76</v>
      </c>
      <c r="D306" s="29">
        <f>华腾2022!E50</f>
        <v>987000</v>
      </c>
      <c r="E306" s="29">
        <f>华腾2022!F50</f>
        <v>987000</v>
      </c>
      <c r="F306" s="29">
        <f>华腾2022!G50</f>
        <v>600000</v>
      </c>
      <c r="G306" s="32">
        <f t="shared" si="13"/>
        <v>387000</v>
      </c>
      <c r="H306" s="30"/>
      <c r="I306" s="30"/>
    </row>
    <row r="307" spans="1:9" s="10" customFormat="1" ht="20.100000000000001" customHeight="1" x14ac:dyDescent="0.15">
      <c r="A307" s="26">
        <v>2022</v>
      </c>
      <c r="B307" s="27" t="s">
        <v>530</v>
      </c>
      <c r="C307" s="28" t="s">
        <v>511</v>
      </c>
      <c r="D307" s="29">
        <f>华腾2022!E51</f>
        <v>211167</v>
      </c>
      <c r="E307" s="29">
        <f>华腾2022!F51</f>
        <v>0</v>
      </c>
      <c r="F307" s="29">
        <f>华腾2022!G51</f>
        <v>211167</v>
      </c>
      <c r="G307" s="32">
        <f t="shared" si="13"/>
        <v>0</v>
      </c>
      <c r="H307" s="30"/>
      <c r="I307" s="30"/>
    </row>
    <row r="308" spans="1:9" s="10" customFormat="1" ht="20.100000000000001" customHeight="1" x14ac:dyDescent="0.15">
      <c r="A308" s="26">
        <v>2022</v>
      </c>
      <c r="B308" s="27" t="s">
        <v>532</v>
      </c>
      <c r="C308" s="28" t="s">
        <v>505</v>
      </c>
      <c r="D308" s="29">
        <f>华腾2022!E52</f>
        <v>234277</v>
      </c>
      <c r="E308" s="29">
        <f>华腾2022!F52</f>
        <v>234277</v>
      </c>
      <c r="F308" s="29">
        <f>华腾2022!G52</f>
        <v>200000</v>
      </c>
      <c r="G308" s="32">
        <f>E308-F308</f>
        <v>34277</v>
      </c>
      <c r="H308" s="11"/>
      <c r="I308" s="30"/>
    </row>
    <row r="309" spans="1:9" s="10" customFormat="1" ht="20.100000000000001" customHeight="1" x14ac:dyDescent="0.15">
      <c r="A309" s="26">
        <v>2022</v>
      </c>
      <c r="B309" s="18" t="s">
        <v>534</v>
      </c>
      <c r="C309" s="28" t="s">
        <v>278</v>
      </c>
      <c r="D309" s="29">
        <f>华腾2022!E53</f>
        <v>170280</v>
      </c>
      <c r="E309" s="29">
        <f>华腾2022!F53</f>
        <v>0</v>
      </c>
      <c r="F309" s="29">
        <f>华腾2022!G53</f>
        <v>0</v>
      </c>
      <c r="G309" s="32">
        <f t="shared" si="13"/>
        <v>170280</v>
      </c>
      <c r="H309" s="30"/>
      <c r="I309" s="30"/>
    </row>
    <row r="310" spans="1:9" s="12" customFormat="1" ht="20.100000000000001" customHeight="1" x14ac:dyDescent="0.15">
      <c r="A310" s="26">
        <v>2022</v>
      </c>
      <c r="B310" s="27" t="s">
        <v>536</v>
      </c>
      <c r="C310" s="28" t="s">
        <v>167</v>
      </c>
      <c r="D310" s="29">
        <f>华腾2022!E54</f>
        <v>77700</v>
      </c>
      <c r="E310" s="29">
        <f>华腾2022!F54</f>
        <v>0</v>
      </c>
      <c r="F310" s="29">
        <f>华腾2022!G54</f>
        <v>77700</v>
      </c>
      <c r="G310" s="32">
        <f t="shared" si="13"/>
        <v>0</v>
      </c>
      <c r="H310" s="30"/>
      <c r="I310" s="31"/>
    </row>
    <row r="311" spans="1:9" s="10" customFormat="1" ht="20.100000000000001" customHeight="1" x14ac:dyDescent="0.15">
      <c r="A311" s="26">
        <v>2022</v>
      </c>
      <c r="B311" s="27" t="s">
        <v>537</v>
      </c>
      <c r="C311" s="28" t="s">
        <v>95</v>
      </c>
      <c r="D311" s="29">
        <f>华腾2022!E55</f>
        <v>2120</v>
      </c>
      <c r="E311" s="29">
        <f>华腾2022!F55</f>
        <v>0</v>
      </c>
      <c r="F311" s="29">
        <f>华腾2022!G55</f>
        <v>2120</v>
      </c>
      <c r="G311" s="32">
        <f t="shared" si="13"/>
        <v>0</v>
      </c>
      <c r="H311" s="30"/>
      <c r="I311" s="30"/>
    </row>
    <row r="312" spans="1:9" s="10" customFormat="1" ht="20.100000000000001" customHeight="1" x14ac:dyDescent="0.15">
      <c r="A312" s="26">
        <v>2022</v>
      </c>
      <c r="B312" s="27" t="s">
        <v>538</v>
      </c>
      <c r="C312" s="28" t="s">
        <v>232</v>
      </c>
      <c r="D312" s="29">
        <f>华腾2022!E56</f>
        <v>377351</v>
      </c>
      <c r="E312" s="29">
        <f>华腾2022!F56</f>
        <v>0</v>
      </c>
      <c r="F312" s="29">
        <f>华腾2022!G56</f>
        <v>0</v>
      </c>
      <c r="G312" s="32">
        <f t="shared" si="13"/>
        <v>377351</v>
      </c>
      <c r="H312" s="30"/>
      <c r="I312" s="30"/>
    </row>
    <row r="313" spans="1:9" s="10" customFormat="1" ht="20.100000000000001" customHeight="1" x14ac:dyDescent="0.15">
      <c r="A313" s="26">
        <v>2022</v>
      </c>
      <c r="B313" s="27" t="s">
        <v>540</v>
      </c>
      <c r="C313" s="28" t="s">
        <v>232</v>
      </c>
      <c r="D313" s="29">
        <f>华腾2022!E57</f>
        <v>665034</v>
      </c>
      <c r="E313" s="29">
        <f>华腾2022!F57</f>
        <v>665034</v>
      </c>
      <c r="F313" s="29">
        <f>华腾2022!G57</f>
        <v>439002</v>
      </c>
      <c r="G313" s="32">
        <f t="shared" si="13"/>
        <v>226032</v>
      </c>
      <c r="H313" s="30"/>
      <c r="I313" s="30"/>
    </row>
    <row r="314" spans="1:9" s="10" customFormat="1" ht="20.100000000000001" customHeight="1" x14ac:dyDescent="0.15">
      <c r="A314" s="26">
        <v>2022</v>
      </c>
      <c r="B314" s="27" t="s">
        <v>542</v>
      </c>
      <c r="C314" s="28" t="s">
        <v>232</v>
      </c>
      <c r="D314" s="29">
        <f>华腾2022!E58</f>
        <v>678004</v>
      </c>
      <c r="E314" s="29">
        <f>华腾2022!F58</f>
        <v>0</v>
      </c>
      <c r="F314" s="29">
        <f>华腾2022!G58</f>
        <v>178004</v>
      </c>
      <c r="G314" s="32">
        <f t="shared" si="13"/>
        <v>500000</v>
      </c>
      <c r="H314" s="30"/>
      <c r="I314" s="30"/>
    </row>
    <row r="315" spans="1:9" s="10" customFormat="1" ht="20.100000000000001" customHeight="1" x14ac:dyDescent="0.15">
      <c r="A315" s="26">
        <v>2022</v>
      </c>
      <c r="B315" s="27" t="s">
        <v>543</v>
      </c>
      <c r="C315" s="28" t="s">
        <v>177</v>
      </c>
      <c r="D315" s="29">
        <f>华腾2022!E59</f>
        <v>132625</v>
      </c>
      <c r="E315" s="29">
        <f>华腾2022!F59</f>
        <v>0</v>
      </c>
      <c r="F315" s="29">
        <f>华腾2022!G59</f>
        <v>0</v>
      </c>
      <c r="G315" s="32">
        <f t="shared" si="13"/>
        <v>132625</v>
      </c>
      <c r="H315" s="30"/>
      <c r="I315" s="30"/>
    </row>
    <row r="316" spans="1:9" s="11" customFormat="1" ht="20.100000000000001" customHeight="1" x14ac:dyDescent="0.15">
      <c r="A316" s="26">
        <v>2022</v>
      </c>
      <c r="B316" s="27" t="s">
        <v>545</v>
      </c>
      <c r="C316" s="28" t="s">
        <v>546</v>
      </c>
      <c r="D316" s="29">
        <f>华腾2022!E60</f>
        <v>33000</v>
      </c>
      <c r="E316" s="29">
        <f>华腾2022!F60</f>
        <v>0</v>
      </c>
      <c r="F316" s="29">
        <f>华腾2022!G60</f>
        <v>33000</v>
      </c>
      <c r="G316" s="32">
        <f t="shared" si="13"/>
        <v>0</v>
      </c>
      <c r="H316" s="30"/>
      <c r="I316" s="30"/>
    </row>
    <row r="317" spans="1:9" s="10" customFormat="1" ht="20.100000000000001" customHeight="1" x14ac:dyDescent="0.15">
      <c r="A317" s="26">
        <v>2022</v>
      </c>
      <c r="B317" s="27" t="s">
        <v>547</v>
      </c>
      <c r="C317" s="28" t="s">
        <v>362</v>
      </c>
      <c r="D317" s="29">
        <f>华腾2022!E61</f>
        <v>265722</v>
      </c>
      <c r="E317" s="29">
        <f>华腾2022!F61</f>
        <v>0</v>
      </c>
      <c r="F317" s="29">
        <f>华腾2022!G61</f>
        <v>200000</v>
      </c>
      <c r="G317" s="32">
        <f t="shared" si="13"/>
        <v>65722</v>
      </c>
      <c r="H317" s="30"/>
      <c r="I317" s="30"/>
    </row>
    <row r="318" spans="1:9" s="10" customFormat="1" ht="20.100000000000001" customHeight="1" x14ac:dyDescent="0.15">
      <c r="A318" s="26">
        <v>2022</v>
      </c>
      <c r="B318" s="27" t="s">
        <v>263</v>
      </c>
      <c r="C318" s="28" t="s">
        <v>85</v>
      </c>
      <c r="D318" s="29">
        <f>华腾2022!E62</f>
        <v>327600</v>
      </c>
      <c r="E318" s="29">
        <f>华腾2022!F62</f>
        <v>0</v>
      </c>
      <c r="F318" s="29">
        <f>华腾2022!G62</f>
        <v>327600</v>
      </c>
      <c r="G318" s="32">
        <f t="shared" si="13"/>
        <v>0</v>
      </c>
      <c r="H318" s="30"/>
      <c r="I318" s="30"/>
    </row>
    <row r="319" spans="1:9" s="10" customFormat="1" ht="20.100000000000001" customHeight="1" x14ac:dyDescent="0.15">
      <c r="A319" s="26">
        <v>2022</v>
      </c>
      <c r="B319" s="27" t="s">
        <v>549</v>
      </c>
      <c r="C319" s="28" t="s">
        <v>27</v>
      </c>
      <c r="D319" s="29">
        <f>华腾2022!E63</f>
        <v>50844</v>
      </c>
      <c r="E319" s="29">
        <f>华腾2022!F63</f>
        <v>0</v>
      </c>
      <c r="F319" s="29">
        <f>华腾2022!G63</f>
        <v>40000</v>
      </c>
      <c r="G319" s="32">
        <f t="shared" si="13"/>
        <v>10844</v>
      </c>
      <c r="H319" s="11"/>
      <c r="I319" s="30"/>
    </row>
    <row r="320" spans="1:9" s="10" customFormat="1" ht="20.100000000000001" customHeight="1" x14ac:dyDescent="0.15">
      <c r="A320" s="26">
        <v>2022</v>
      </c>
      <c r="B320" s="27" t="s">
        <v>551</v>
      </c>
      <c r="C320" s="28" t="s">
        <v>552</v>
      </c>
      <c r="D320" s="29">
        <f>华腾2022!E64</f>
        <v>195800</v>
      </c>
      <c r="E320" s="29">
        <f>华腾2022!F64</f>
        <v>0</v>
      </c>
      <c r="F320" s="29">
        <f>华腾2022!G64</f>
        <v>195800</v>
      </c>
      <c r="G320" s="32">
        <f t="shared" si="13"/>
        <v>0</v>
      </c>
      <c r="H320" s="11"/>
      <c r="I320" s="30"/>
    </row>
    <row r="321" spans="1:9" s="10" customFormat="1" ht="20.100000000000001" customHeight="1" x14ac:dyDescent="0.15">
      <c r="A321" s="26">
        <v>2022</v>
      </c>
      <c r="B321" s="27" t="s">
        <v>553</v>
      </c>
      <c r="C321" s="28" t="s">
        <v>552</v>
      </c>
      <c r="D321" s="29">
        <f>华腾2022!E65</f>
        <v>71020</v>
      </c>
      <c r="E321" s="29">
        <f>华腾2022!F65</f>
        <v>0</v>
      </c>
      <c r="F321" s="29">
        <f>华腾2022!G65</f>
        <v>71020</v>
      </c>
      <c r="G321" s="32">
        <f t="shared" si="13"/>
        <v>0</v>
      </c>
      <c r="H321" s="30"/>
      <c r="I321" s="30"/>
    </row>
    <row r="322" spans="1:9" s="10" customFormat="1" ht="20.100000000000001" customHeight="1" x14ac:dyDescent="0.15">
      <c r="A322" s="26">
        <v>2022</v>
      </c>
      <c r="B322" s="27" t="s">
        <v>554</v>
      </c>
      <c r="C322" s="28" t="s">
        <v>552</v>
      </c>
      <c r="D322" s="29">
        <f>华腾2022!E66</f>
        <v>65310</v>
      </c>
      <c r="E322" s="29">
        <f>华腾2022!F66</f>
        <v>0</v>
      </c>
      <c r="F322" s="29">
        <f>华腾2022!G66</f>
        <v>65310</v>
      </c>
      <c r="G322" s="32">
        <f t="shared" si="13"/>
        <v>0</v>
      </c>
      <c r="H322" s="30"/>
      <c r="I322" s="30"/>
    </row>
    <row r="323" spans="1:9" s="10" customFormat="1" ht="20.100000000000001" customHeight="1" x14ac:dyDescent="0.15">
      <c r="A323" s="26">
        <v>2022</v>
      </c>
      <c r="B323" s="18" t="s">
        <v>555</v>
      </c>
      <c r="C323" s="28" t="s">
        <v>356</v>
      </c>
      <c r="D323" s="29">
        <f>华腾2022!E67</f>
        <v>724900</v>
      </c>
      <c r="E323" s="29">
        <f>华腾2022!F67</f>
        <v>0</v>
      </c>
      <c r="F323" s="29">
        <f>华腾2022!G67</f>
        <v>0</v>
      </c>
      <c r="G323" s="32">
        <f t="shared" si="13"/>
        <v>724900</v>
      </c>
      <c r="H323" s="30"/>
      <c r="I323" s="30"/>
    </row>
    <row r="324" spans="1:9" s="10" customFormat="1" ht="20.100000000000001" customHeight="1" x14ac:dyDescent="0.15">
      <c r="A324" s="107" t="s">
        <v>761</v>
      </c>
      <c r="B324" s="108"/>
      <c r="C324" s="109"/>
      <c r="D324" s="33">
        <f>SUM(D260:D323)</f>
        <v>22354155.379999999</v>
      </c>
      <c r="E324" s="33">
        <f>SUM(E260:E323)</f>
        <v>4093519</v>
      </c>
      <c r="F324" s="33">
        <f>SUM(F260:F323)</f>
        <v>14385415.1</v>
      </c>
      <c r="G324" s="33">
        <f>SUM(G260:G323)</f>
        <v>8163540.2800000003</v>
      </c>
      <c r="H324" s="30"/>
      <c r="I324" s="30"/>
    </row>
    <row r="325" spans="1:9" s="8" customFormat="1" ht="20.100000000000001" customHeight="1" x14ac:dyDescent="0.15">
      <c r="A325" s="1">
        <v>2023</v>
      </c>
      <c r="B325" s="18" t="s">
        <v>556</v>
      </c>
      <c r="C325" s="3" t="s">
        <v>249</v>
      </c>
      <c r="D325" s="4">
        <f>华腾2023!E2</f>
        <v>154000</v>
      </c>
      <c r="E325" s="2">
        <f>华腾2023!F2</f>
        <v>0</v>
      </c>
      <c r="F325" s="4">
        <f>华腾2023!G2</f>
        <v>154000</v>
      </c>
      <c r="G325" s="32">
        <f t="shared" ref="G325:G359" si="14">D325-F325</f>
        <v>0</v>
      </c>
      <c r="H325" s="8">
        <v>0</v>
      </c>
    </row>
    <row r="326" spans="1:9" s="8" customFormat="1" ht="20.100000000000001" customHeight="1" x14ac:dyDescent="0.15">
      <c r="A326" s="1">
        <v>2023</v>
      </c>
      <c r="B326" s="18" t="s">
        <v>558</v>
      </c>
      <c r="C326" s="3" t="s">
        <v>81</v>
      </c>
      <c r="D326" s="4">
        <f>华腾2023!E3</f>
        <v>187000</v>
      </c>
      <c r="E326" s="2">
        <f>华腾2023!F3</f>
        <v>0</v>
      </c>
      <c r="F326" s="4">
        <f>华腾2023!G3</f>
        <v>187000</v>
      </c>
      <c r="G326" s="32">
        <f t="shared" si="14"/>
        <v>0</v>
      </c>
      <c r="H326" s="8">
        <v>0</v>
      </c>
    </row>
    <row r="327" spans="1:9" s="8" customFormat="1" ht="20.100000000000001" customHeight="1" x14ac:dyDescent="0.15">
      <c r="A327" s="1">
        <v>2023</v>
      </c>
      <c r="B327" s="18" t="s">
        <v>559</v>
      </c>
      <c r="C327" s="3" t="s">
        <v>560</v>
      </c>
      <c r="D327" s="4">
        <f>华腾2023!E4</f>
        <v>118000</v>
      </c>
      <c r="E327" s="2">
        <f>华腾2023!F4</f>
        <v>0</v>
      </c>
      <c r="F327" s="4">
        <f>华腾2023!G4</f>
        <v>118000</v>
      </c>
      <c r="G327" s="32">
        <f t="shared" si="14"/>
        <v>0</v>
      </c>
      <c r="H327" s="8">
        <v>0</v>
      </c>
    </row>
    <row r="328" spans="1:9" s="8" customFormat="1" ht="20.100000000000001" customHeight="1" x14ac:dyDescent="0.15">
      <c r="A328" s="1">
        <v>2023</v>
      </c>
      <c r="B328" s="18" t="s">
        <v>562</v>
      </c>
      <c r="C328" s="3" t="s">
        <v>278</v>
      </c>
      <c r="D328" s="4">
        <f>华腾2023!E5</f>
        <v>994146</v>
      </c>
      <c r="E328" s="2">
        <f>华腾2023!F5</f>
        <v>0</v>
      </c>
      <c r="F328" s="4">
        <f>华腾2023!G5</f>
        <v>508000</v>
      </c>
      <c r="G328" s="32">
        <f t="shared" si="14"/>
        <v>486146</v>
      </c>
      <c r="H328" s="8">
        <v>486146</v>
      </c>
    </row>
    <row r="329" spans="1:9" s="8" customFormat="1" ht="20.100000000000001" customHeight="1" x14ac:dyDescent="0.15">
      <c r="A329" s="1">
        <v>2023</v>
      </c>
      <c r="B329" s="18" t="s">
        <v>564</v>
      </c>
      <c r="C329" s="3" t="s">
        <v>107</v>
      </c>
      <c r="D329" s="4">
        <f>华腾2023!E6</f>
        <v>92771</v>
      </c>
      <c r="E329" s="2">
        <f>华腾2023!F6</f>
        <v>0</v>
      </c>
      <c r="F329" s="4">
        <f>华腾2023!G6</f>
        <v>80000</v>
      </c>
      <c r="G329" s="32">
        <f t="shared" si="14"/>
        <v>12771</v>
      </c>
      <c r="H329" s="8">
        <v>12771</v>
      </c>
    </row>
    <row r="330" spans="1:9" s="8" customFormat="1" ht="20.100000000000001" customHeight="1" x14ac:dyDescent="0.15">
      <c r="A330" s="1">
        <v>2023</v>
      </c>
      <c r="B330" s="18" t="s">
        <v>567</v>
      </c>
      <c r="C330" s="3" t="s">
        <v>568</v>
      </c>
      <c r="D330" s="4">
        <f>华腾2023!E7</f>
        <v>648000</v>
      </c>
      <c r="E330" s="2">
        <f>华腾2023!F7</f>
        <v>0</v>
      </c>
      <c r="F330" s="4">
        <f>华腾2023!G7</f>
        <v>648000</v>
      </c>
      <c r="G330" s="32">
        <f t="shared" si="14"/>
        <v>0</v>
      </c>
      <c r="H330" s="8">
        <v>0</v>
      </c>
    </row>
    <row r="331" spans="1:9" s="8" customFormat="1" ht="20.100000000000001" customHeight="1" x14ac:dyDescent="0.15">
      <c r="A331" s="1">
        <v>2023</v>
      </c>
      <c r="B331" s="18" t="s">
        <v>570</v>
      </c>
      <c r="C331" s="3" t="s">
        <v>568</v>
      </c>
      <c r="D331" s="4">
        <f>华腾2023!E8</f>
        <v>270000</v>
      </c>
      <c r="E331" s="2">
        <f>华腾2023!F8</f>
        <v>0</v>
      </c>
      <c r="F331" s="4">
        <f>华腾2023!G8</f>
        <v>270000</v>
      </c>
      <c r="G331" s="32">
        <f t="shared" si="14"/>
        <v>0</v>
      </c>
      <c r="H331" s="8">
        <v>0</v>
      </c>
    </row>
    <row r="332" spans="1:9" s="8" customFormat="1" ht="20.100000000000001" customHeight="1" x14ac:dyDescent="0.15">
      <c r="A332" s="1">
        <v>2023</v>
      </c>
      <c r="B332" s="18" t="s">
        <v>572</v>
      </c>
      <c r="C332" s="3" t="s">
        <v>232</v>
      </c>
      <c r="D332" s="4">
        <f>华腾2023!E9</f>
        <v>70500</v>
      </c>
      <c r="E332" s="2">
        <f>华腾2023!F9</f>
        <v>70500</v>
      </c>
      <c r="F332" s="4">
        <f>华腾2023!G9</f>
        <v>70500</v>
      </c>
      <c r="G332" s="32">
        <f t="shared" si="14"/>
        <v>0</v>
      </c>
      <c r="H332" s="8">
        <v>0</v>
      </c>
    </row>
    <row r="333" spans="1:9" s="8" customFormat="1" ht="20.100000000000001" customHeight="1" x14ac:dyDescent="0.15">
      <c r="A333" s="1">
        <v>2023</v>
      </c>
      <c r="B333" s="18" t="s">
        <v>574</v>
      </c>
      <c r="C333" s="3" t="s">
        <v>575</v>
      </c>
      <c r="D333" s="4">
        <f>华腾2023!E10</f>
        <v>457600</v>
      </c>
      <c r="E333" s="2">
        <f>华腾2023!F10</f>
        <v>0</v>
      </c>
      <c r="F333" s="4">
        <f>华腾2023!G10</f>
        <v>170000</v>
      </c>
      <c r="G333" s="32">
        <f t="shared" si="14"/>
        <v>287600</v>
      </c>
      <c r="H333" s="8">
        <v>287600</v>
      </c>
    </row>
    <row r="334" spans="1:9" s="8" customFormat="1" ht="20.100000000000001" customHeight="1" x14ac:dyDescent="0.15">
      <c r="A334" s="1">
        <v>2023</v>
      </c>
      <c r="B334" s="18" t="s">
        <v>577</v>
      </c>
      <c r="C334" s="3" t="s">
        <v>249</v>
      </c>
      <c r="D334" s="4">
        <f>华腾2023!E11</f>
        <v>316000</v>
      </c>
      <c r="E334" s="2">
        <f>华腾2023!F11</f>
        <v>0</v>
      </c>
      <c r="F334" s="4">
        <f>华腾2023!G11</f>
        <v>250000</v>
      </c>
      <c r="G334" s="32">
        <f t="shared" si="14"/>
        <v>66000</v>
      </c>
      <c r="H334" s="8">
        <v>66000</v>
      </c>
    </row>
    <row r="335" spans="1:9" ht="20.100000000000001" customHeight="1" x14ac:dyDescent="0.15">
      <c r="A335" s="1">
        <v>2023</v>
      </c>
      <c r="B335" s="18" t="s">
        <v>578</v>
      </c>
      <c r="C335" s="3" t="s">
        <v>546</v>
      </c>
      <c r="D335" s="4">
        <f>华腾2023!E12</f>
        <v>11157</v>
      </c>
      <c r="E335" s="2">
        <f>华腾2023!F12</f>
        <v>0</v>
      </c>
      <c r="F335" s="4">
        <f>华腾2023!G12</f>
        <v>11157</v>
      </c>
      <c r="G335" s="32">
        <f t="shared" si="14"/>
        <v>0</v>
      </c>
      <c r="H335" s="9">
        <v>0</v>
      </c>
    </row>
    <row r="336" spans="1:9" ht="20.100000000000001" customHeight="1" x14ac:dyDescent="0.15">
      <c r="A336" s="1">
        <v>2023</v>
      </c>
      <c r="B336" s="18" t="s">
        <v>580</v>
      </c>
      <c r="C336" s="3" t="s">
        <v>150</v>
      </c>
      <c r="D336" s="4">
        <f>华腾2023!E13</f>
        <v>897650</v>
      </c>
      <c r="E336" s="2">
        <f>华腾2023!F13</f>
        <v>0</v>
      </c>
      <c r="F336" s="4">
        <f>华腾2023!G13</f>
        <v>160000</v>
      </c>
      <c r="G336" s="32">
        <f t="shared" si="14"/>
        <v>737650</v>
      </c>
      <c r="H336" s="9">
        <v>737650</v>
      </c>
    </row>
    <row r="337" spans="1:8" ht="20.100000000000001" customHeight="1" x14ac:dyDescent="0.15">
      <c r="A337" s="1">
        <v>2023</v>
      </c>
      <c r="B337" s="18" t="s">
        <v>582</v>
      </c>
      <c r="C337" s="3" t="s">
        <v>155</v>
      </c>
      <c r="D337" s="4">
        <f>华腾2023!E14</f>
        <v>880000</v>
      </c>
      <c r="E337" s="2">
        <f>华腾2023!F14</f>
        <v>0</v>
      </c>
      <c r="F337" s="4">
        <f>华腾2023!G14</f>
        <v>0</v>
      </c>
      <c r="G337" s="32">
        <f t="shared" si="14"/>
        <v>880000</v>
      </c>
      <c r="H337" s="9">
        <v>880000</v>
      </c>
    </row>
    <row r="338" spans="1:8" ht="20.100000000000001" customHeight="1" x14ac:dyDescent="0.15">
      <c r="A338" s="1">
        <v>2023</v>
      </c>
      <c r="B338" s="18" t="s">
        <v>583</v>
      </c>
      <c r="C338" s="3" t="s">
        <v>356</v>
      </c>
      <c r="D338" s="4">
        <f>华腾2023!E15</f>
        <v>727000</v>
      </c>
      <c r="E338" s="2">
        <f>华腾2023!F15</f>
        <v>0</v>
      </c>
      <c r="F338" s="4">
        <f>华腾2023!G15</f>
        <v>260000</v>
      </c>
      <c r="G338" s="32">
        <f t="shared" si="14"/>
        <v>467000</v>
      </c>
      <c r="H338" s="9">
        <v>467000</v>
      </c>
    </row>
    <row r="339" spans="1:8" s="8" customFormat="1" ht="20.100000000000001" customHeight="1" x14ac:dyDescent="0.15">
      <c r="A339" s="1">
        <v>2023</v>
      </c>
      <c r="B339" s="18" t="s">
        <v>584</v>
      </c>
      <c r="C339" s="3" t="s">
        <v>443</v>
      </c>
      <c r="D339" s="4">
        <f>华腾2023!E16</f>
        <v>650000</v>
      </c>
      <c r="E339" s="2">
        <f>华腾2023!F16</f>
        <v>0</v>
      </c>
      <c r="F339" s="4">
        <f>华腾2023!G16</f>
        <v>650000</v>
      </c>
      <c r="G339" s="32">
        <f t="shared" si="14"/>
        <v>0</v>
      </c>
      <c r="H339" s="8">
        <v>0</v>
      </c>
    </row>
    <row r="340" spans="1:8" s="8" customFormat="1" ht="20.100000000000001" customHeight="1" x14ac:dyDescent="0.15">
      <c r="A340" s="1">
        <v>2023</v>
      </c>
      <c r="B340" s="18" t="s">
        <v>586</v>
      </c>
      <c r="C340" s="3" t="s">
        <v>155</v>
      </c>
      <c r="D340" s="4">
        <f>华腾2023!E17</f>
        <v>880000</v>
      </c>
      <c r="E340" s="2">
        <f>华腾2023!F17</f>
        <v>0</v>
      </c>
      <c r="F340" s="4">
        <f>华腾2023!G17</f>
        <v>0</v>
      </c>
      <c r="G340" s="32">
        <f t="shared" si="14"/>
        <v>880000</v>
      </c>
      <c r="H340" s="8">
        <v>880000</v>
      </c>
    </row>
    <row r="341" spans="1:8" s="8" customFormat="1" ht="20.100000000000001" customHeight="1" x14ac:dyDescent="0.15">
      <c r="A341" s="1">
        <v>2023</v>
      </c>
      <c r="B341" s="18" t="s">
        <v>587</v>
      </c>
      <c r="C341" s="3" t="s">
        <v>356</v>
      </c>
      <c r="D341" s="4">
        <f>华腾2023!E18</f>
        <v>875200</v>
      </c>
      <c r="E341" s="2">
        <f>华腾2023!F18</f>
        <v>0</v>
      </c>
      <c r="F341" s="4">
        <f>华腾2023!G18</f>
        <v>0</v>
      </c>
      <c r="G341" s="32">
        <f t="shared" si="14"/>
        <v>875200</v>
      </c>
      <c r="H341" s="8">
        <v>875200</v>
      </c>
    </row>
    <row r="342" spans="1:8" s="8" customFormat="1" ht="20.100000000000001" customHeight="1" x14ac:dyDescent="0.15">
      <c r="A342" s="1">
        <v>2023</v>
      </c>
      <c r="B342" s="18" t="s">
        <v>588</v>
      </c>
      <c r="C342" s="3" t="s">
        <v>155</v>
      </c>
      <c r="D342" s="4">
        <f>华腾2023!E19</f>
        <v>386295.8</v>
      </c>
      <c r="E342" s="2">
        <f>华腾2023!F19</f>
        <v>0</v>
      </c>
      <c r="F342" s="4">
        <f>华腾2023!G19</f>
        <v>0</v>
      </c>
      <c r="G342" s="32">
        <f t="shared" si="14"/>
        <v>386295.8</v>
      </c>
      <c r="H342" s="8">
        <v>386295.8</v>
      </c>
    </row>
    <row r="343" spans="1:8" s="8" customFormat="1" ht="20.100000000000001" customHeight="1" x14ac:dyDescent="0.15">
      <c r="A343" s="1">
        <v>2023</v>
      </c>
      <c r="B343" s="18" t="s">
        <v>589</v>
      </c>
      <c r="C343" s="3" t="s">
        <v>511</v>
      </c>
      <c r="D343" s="4">
        <f>华腾2023!E20</f>
        <v>72104</v>
      </c>
      <c r="E343" s="2">
        <f>华腾2023!F20</f>
        <v>0</v>
      </c>
      <c r="F343" s="4">
        <f>华腾2023!G20</f>
        <v>0</v>
      </c>
      <c r="G343" s="32">
        <f t="shared" si="14"/>
        <v>72104</v>
      </c>
      <c r="H343" s="8">
        <v>72104</v>
      </c>
    </row>
    <row r="344" spans="1:8" s="8" customFormat="1" ht="20.100000000000001" customHeight="1" x14ac:dyDescent="0.15">
      <c r="A344" s="1">
        <v>2023</v>
      </c>
      <c r="B344" s="18" t="s">
        <v>591</v>
      </c>
      <c r="C344" s="3" t="s">
        <v>511</v>
      </c>
      <c r="D344" s="4">
        <f>华腾2023!E21</f>
        <v>136700</v>
      </c>
      <c r="E344" s="2">
        <f>华腾2023!F21</f>
        <v>0</v>
      </c>
      <c r="F344" s="4">
        <f>华腾2023!G21</f>
        <v>136700</v>
      </c>
      <c r="G344" s="32">
        <f t="shared" si="14"/>
        <v>0</v>
      </c>
      <c r="H344" s="8">
        <v>0</v>
      </c>
    </row>
    <row r="345" spans="1:8" s="8" customFormat="1" ht="20.100000000000001" customHeight="1" x14ac:dyDescent="0.15">
      <c r="A345" s="1">
        <v>2023</v>
      </c>
      <c r="B345" s="18" t="s">
        <v>592</v>
      </c>
      <c r="C345" s="3" t="s">
        <v>762</v>
      </c>
      <c r="D345" s="4">
        <f>华腾2023!E22</f>
        <v>192000</v>
      </c>
      <c r="E345" s="2">
        <f>华腾2023!F22</f>
        <v>0</v>
      </c>
      <c r="F345" s="4">
        <f>华腾2023!G22</f>
        <v>50000</v>
      </c>
      <c r="G345" s="32">
        <f t="shared" si="14"/>
        <v>142000</v>
      </c>
      <c r="H345" s="8">
        <v>142000</v>
      </c>
    </row>
    <row r="346" spans="1:8" s="8" customFormat="1" ht="20.100000000000001" customHeight="1" x14ac:dyDescent="0.15">
      <c r="A346" s="1">
        <v>2023</v>
      </c>
      <c r="B346" s="18" t="s">
        <v>595</v>
      </c>
      <c r="C346" s="3" t="s">
        <v>155</v>
      </c>
      <c r="D346" s="4">
        <f>华腾2023!E23</f>
        <v>440000</v>
      </c>
      <c r="E346" s="2">
        <f>华腾2023!F23</f>
        <v>0</v>
      </c>
      <c r="F346" s="4">
        <f>华腾2023!G23</f>
        <v>326000</v>
      </c>
      <c r="G346" s="32">
        <f t="shared" si="14"/>
        <v>114000</v>
      </c>
      <c r="H346" s="8">
        <v>114000</v>
      </c>
    </row>
    <row r="347" spans="1:8" s="8" customFormat="1" ht="20.100000000000001" customHeight="1" x14ac:dyDescent="0.15">
      <c r="A347" s="1">
        <v>2023</v>
      </c>
      <c r="B347" s="18" t="s">
        <v>597</v>
      </c>
      <c r="C347" s="3" t="s">
        <v>150</v>
      </c>
      <c r="D347" s="4">
        <f>华腾2023!E24</f>
        <v>403200</v>
      </c>
      <c r="E347" s="2">
        <f>华腾2023!F24</f>
        <v>0</v>
      </c>
      <c r="F347" s="4">
        <f>华腾2023!G24</f>
        <v>0</v>
      </c>
      <c r="G347" s="32">
        <f t="shared" si="14"/>
        <v>403200</v>
      </c>
      <c r="H347" s="8">
        <v>403200</v>
      </c>
    </row>
    <row r="348" spans="1:8" s="8" customFormat="1" ht="20.100000000000001" customHeight="1" x14ac:dyDescent="0.15">
      <c r="A348" s="1">
        <v>2023</v>
      </c>
      <c r="B348" s="18" t="s">
        <v>599</v>
      </c>
      <c r="C348" s="3" t="s">
        <v>150</v>
      </c>
      <c r="D348" s="4">
        <f>华腾2023!E25</f>
        <v>847250</v>
      </c>
      <c r="E348" s="2">
        <f>华腾2023!F25</f>
        <v>0</v>
      </c>
      <c r="F348" s="4">
        <f>华腾2023!G25</f>
        <v>0</v>
      </c>
      <c r="G348" s="32">
        <f t="shared" si="14"/>
        <v>847250</v>
      </c>
      <c r="H348" s="8">
        <v>847250</v>
      </c>
    </row>
    <row r="349" spans="1:8" s="8" customFormat="1" ht="20.100000000000001" customHeight="1" x14ac:dyDescent="0.15">
      <c r="A349" s="1">
        <v>2023</v>
      </c>
      <c r="B349" s="18" t="s">
        <v>600</v>
      </c>
      <c r="C349" s="3" t="s">
        <v>546</v>
      </c>
      <c r="D349" s="4">
        <f>华腾2023!E26</f>
        <v>36000</v>
      </c>
      <c r="E349" s="2">
        <f>华腾2023!F26</f>
        <v>0</v>
      </c>
      <c r="F349" s="4">
        <f>华腾2023!G26</f>
        <v>36000</v>
      </c>
      <c r="G349" s="32">
        <f t="shared" si="14"/>
        <v>0</v>
      </c>
      <c r="H349" s="8">
        <v>0</v>
      </c>
    </row>
    <row r="350" spans="1:8" ht="20.100000000000001" customHeight="1" x14ac:dyDescent="0.15">
      <c r="A350" s="1">
        <v>2023</v>
      </c>
      <c r="B350" s="18" t="s">
        <v>601</v>
      </c>
      <c r="C350" s="3" t="s">
        <v>356</v>
      </c>
      <c r="D350" s="4">
        <f>华腾2023!E27</f>
        <v>743600</v>
      </c>
      <c r="E350" s="2">
        <f>华腾2023!F27</f>
        <v>0</v>
      </c>
      <c r="F350" s="4">
        <f>华腾2023!G27</f>
        <v>0</v>
      </c>
      <c r="G350" s="32">
        <f t="shared" si="14"/>
        <v>743600</v>
      </c>
      <c r="H350" s="9">
        <v>743600</v>
      </c>
    </row>
    <row r="351" spans="1:8" ht="20.100000000000001" customHeight="1" x14ac:dyDescent="0.15">
      <c r="A351" s="1">
        <v>2023</v>
      </c>
      <c r="B351" s="18" t="s">
        <v>603</v>
      </c>
      <c r="C351" s="3" t="s">
        <v>195</v>
      </c>
      <c r="D351" s="4">
        <f>华腾2023!E28</f>
        <v>135460</v>
      </c>
      <c r="E351" s="2">
        <f>华腾2023!F28</f>
        <v>0</v>
      </c>
      <c r="F351" s="4">
        <f>华腾2023!G28</f>
        <v>135460</v>
      </c>
      <c r="G351" s="32">
        <f t="shared" si="14"/>
        <v>0</v>
      </c>
      <c r="H351" s="20">
        <v>0</v>
      </c>
    </row>
    <row r="352" spans="1:8" ht="20.100000000000001" customHeight="1" x14ac:dyDescent="0.15">
      <c r="A352" s="1">
        <v>2023</v>
      </c>
      <c r="B352" s="18" t="s">
        <v>605</v>
      </c>
      <c r="C352" s="3" t="s">
        <v>199</v>
      </c>
      <c r="D352" s="4">
        <f>华腾2023!E29</f>
        <v>170358</v>
      </c>
      <c r="E352" s="2">
        <f>华腾2023!F29</f>
        <v>0</v>
      </c>
      <c r="F352" s="4">
        <f>华腾2023!G29</f>
        <v>170358</v>
      </c>
      <c r="G352" s="32">
        <f t="shared" si="14"/>
        <v>0</v>
      </c>
      <c r="H352" s="20">
        <v>0</v>
      </c>
    </row>
    <row r="353" spans="1:8" ht="20.100000000000001" customHeight="1" x14ac:dyDescent="0.15">
      <c r="A353" s="1">
        <v>2023</v>
      </c>
      <c r="B353" s="18" t="s">
        <v>606</v>
      </c>
      <c r="C353" s="3" t="s">
        <v>362</v>
      </c>
      <c r="D353" s="4">
        <f>华腾2023!E30</f>
        <v>215892</v>
      </c>
      <c r="E353" s="2">
        <f>华腾2023!F30</f>
        <v>0</v>
      </c>
      <c r="F353" s="4">
        <f>华腾2023!G30</f>
        <v>0</v>
      </c>
      <c r="G353" s="32">
        <f t="shared" si="14"/>
        <v>215892</v>
      </c>
      <c r="H353" s="9">
        <v>215892</v>
      </c>
    </row>
    <row r="354" spans="1:8" ht="20.100000000000001" customHeight="1" x14ac:dyDescent="0.15">
      <c r="A354" s="1">
        <v>2023</v>
      </c>
      <c r="B354" s="18" t="s">
        <v>608</v>
      </c>
      <c r="C354" s="3" t="s">
        <v>362</v>
      </c>
      <c r="D354" s="4">
        <f>华腾2023!E31</f>
        <v>402106</v>
      </c>
      <c r="E354" s="2">
        <f>华腾2023!F31</f>
        <v>0</v>
      </c>
      <c r="F354" s="4">
        <f>华腾2023!G31</f>
        <v>0</v>
      </c>
      <c r="G354" s="32">
        <f t="shared" si="14"/>
        <v>402106</v>
      </c>
      <c r="H354" s="9">
        <v>402106</v>
      </c>
    </row>
    <row r="355" spans="1:8" ht="20.100000000000001" customHeight="1" x14ac:dyDescent="0.15">
      <c r="A355" s="1">
        <v>2023</v>
      </c>
      <c r="B355" s="18" t="s">
        <v>610</v>
      </c>
      <c r="C355" s="3" t="s">
        <v>611</v>
      </c>
      <c r="D355" s="4">
        <f>华腾2023!E32</f>
        <v>15800</v>
      </c>
      <c r="E355" s="2">
        <f>华腾2023!F32</f>
        <v>0</v>
      </c>
      <c r="F355" s="4">
        <f>华腾2023!G32</f>
        <v>15800</v>
      </c>
      <c r="G355" s="32">
        <f t="shared" si="14"/>
        <v>0</v>
      </c>
      <c r="H355" s="9">
        <v>0</v>
      </c>
    </row>
    <row r="356" spans="1:8" ht="20.100000000000001" customHeight="1" x14ac:dyDescent="0.15">
      <c r="A356" s="1">
        <v>2023</v>
      </c>
      <c r="B356" s="18" t="str">
        <f>华腾2023!B33</f>
        <v>2023年造价咨询合同框架协议</v>
      </c>
      <c r="C356" s="3" t="str">
        <f>华腾2023!C33</f>
        <v>天津宸颍工程咨询有限公司</v>
      </c>
      <c r="D356" s="4" t="str">
        <f>华腾2023!E33</f>
        <v>框架协议</v>
      </c>
      <c r="E356" s="2">
        <f>华腾2023!F33</f>
        <v>139834</v>
      </c>
      <c r="F356" s="4">
        <f>华腾2023!G33</f>
        <v>80878</v>
      </c>
      <c r="G356" s="32">
        <f>E356-F356</f>
        <v>58956</v>
      </c>
      <c r="H356" s="9">
        <v>37504</v>
      </c>
    </row>
    <row r="357" spans="1:8" ht="20.100000000000001" customHeight="1" x14ac:dyDescent="0.15">
      <c r="A357" s="1">
        <v>2023</v>
      </c>
      <c r="B357" s="18" t="s">
        <v>614</v>
      </c>
      <c r="C357" s="3" t="s">
        <v>615</v>
      </c>
      <c r="D357" s="4">
        <f>华腾2023!E34</f>
        <v>195000</v>
      </c>
      <c r="E357" s="2">
        <f>华腾2023!F34</f>
        <v>0</v>
      </c>
      <c r="F357" s="4">
        <f>华腾2023!G34</f>
        <v>195000</v>
      </c>
      <c r="G357" s="32">
        <f t="shared" si="14"/>
        <v>0</v>
      </c>
      <c r="H357" s="9">
        <v>165000</v>
      </c>
    </row>
    <row r="358" spans="1:8" ht="20.100000000000001" customHeight="1" x14ac:dyDescent="0.15">
      <c r="A358" s="1">
        <v>2023</v>
      </c>
      <c r="B358" s="18" t="s">
        <v>617</v>
      </c>
      <c r="C358" s="3" t="s">
        <v>618</v>
      </c>
      <c r="D358" s="4">
        <f>华腾2023!E35</f>
        <v>5730</v>
      </c>
      <c r="E358" s="2">
        <f>华腾2023!F35</f>
        <v>0</v>
      </c>
      <c r="F358" s="4">
        <f>华腾2023!G35</f>
        <v>5730</v>
      </c>
      <c r="G358" s="32">
        <f t="shared" si="14"/>
        <v>0</v>
      </c>
      <c r="H358" s="9">
        <v>0</v>
      </c>
    </row>
    <row r="359" spans="1:8" ht="20.100000000000001" customHeight="1" x14ac:dyDescent="0.15">
      <c r="A359" s="1">
        <v>2023</v>
      </c>
      <c r="B359" s="18" t="s">
        <v>620</v>
      </c>
      <c r="C359" s="3" t="s">
        <v>443</v>
      </c>
      <c r="D359" s="4">
        <f>华腾2023!E36</f>
        <v>50000</v>
      </c>
      <c r="E359" s="2">
        <f>华腾2023!F36</f>
        <v>0</v>
      </c>
      <c r="F359" s="4">
        <f>华腾2023!G36</f>
        <v>20000</v>
      </c>
      <c r="G359" s="32">
        <f t="shared" si="14"/>
        <v>30000</v>
      </c>
      <c r="H359" s="9">
        <v>30000</v>
      </c>
    </row>
    <row r="360" spans="1:8" ht="20.100000000000001" customHeight="1" x14ac:dyDescent="0.15">
      <c r="A360" s="1">
        <v>2023</v>
      </c>
      <c r="B360" s="18" t="s">
        <v>622</v>
      </c>
      <c r="C360" s="3" t="s">
        <v>623</v>
      </c>
      <c r="D360" s="4" t="str">
        <f>华腾2023!E37</f>
        <v>无明细</v>
      </c>
      <c r="E360" s="2">
        <f>华腾2023!F37</f>
        <v>0</v>
      </c>
      <c r="F360" s="4">
        <f>华腾2023!G37</f>
        <v>0</v>
      </c>
      <c r="G360" s="2" t="s">
        <v>494</v>
      </c>
      <c r="H360" s="9" t="s">
        <v>494</v>
      </c>
    </row>
    <row r="361" spans="1:8" ht="20.100000000000001" customHeight="1" x14ac:dyDescent="0.15">
      <c r="A361" s="1">
        <v>2023</v>
      </c>
      <c r="B361" s="18" t="s">
        <v>622</v>
      </c>
      <c r="C361" s="3" t="s">
        <v>625</v>
      </c>
      <c r="D361" s="4" t="str">
        <f>华腾2023!E38</f>
        <v>无明细</v>
      </c>
      <c r="E361" s="2">
        <f>华腾2023!F38</f>
        <v>0</v>
      </c>
      <c r="F361" s="4">
        <f>华腾2023!G38</f>
        <v>0</v>
      </c>
      <c r="G361" s="2" t="s">
        <v>494</v>
      </c>
      <c r="H361" s="9" t="s">
        <v>494</v>
      </c>
    </row>
    <row r="362" spans="1:8" ht="20.100000000000001" customHeight="1" x14ac:dyDescent="0.15">
      <c r="A362" s="1">
        <v>2023</v>
      </c>
      <c r="B362" s="18" t="s">
        <v>622</v>
      </c>
      <c r="C362" s="3" t="s">
        <v>626</v>
      </c>
      <c r="D362" s="4" t="str">
        <f>华腾2023!E39</f>
        <v>无明细</v>
      </c>
      <c r="E362" s="2">
        <f>华腾2023!F39</f>
        <v>0</v>
      </c>
      <c r="F362" s="4">
        <f>华腾2023!G39</f>
        <v>0</v>
      </c>
      <c r="G362" s="2" t="s">
        <v>494</v>
      </c>
      <c r="H362" s="9" t="s">
        <v>494</v>
      </c>
    </row>
    <row r="363" spans="1:8" ht="20.100000000000001" customHeight="1" x14ac:dyDescent="0.15">
      <c r="A363" s="1">
        <v>2023</v>
      </c>
      <c r="B363" s="18" t="s">
        <v>622</v>
      </c>
      <c r="C363" s="3" t="s">
        <v>627</v>
      </c>
      <c r="D363" s="4" t="str">
        <f>华腾2023!E40</f>
        <v>无明细</v>
      </c>
      <c r="E363" s="2">
        <f>华腾2023!F40</f>
        <v>0</v>
      </c>
      <c r="F363" s="4">
        <f>华腾2023!G40</f>
        <v>0</v>
      </c>
      <c r="G363" s="2" t="s">
        <v>494</v>
      </c>
      <c r="H363" s="9" t="s">
        <v>494</v>
      </c>
    </row>
    <row r="364" spans="1:8" ht="20.100000000000001" customHeight="1" x14ac:dyDescent="0.15">
      <c r="A364" s="1">
        <v>2023</v>
      </c>
      <c r="B364" s="18" t="s">
        <v>263</v>
      </c>
      <c r="C364" s="3" t="s">
        <v>459</v>
      </c>
      <c r="D364" s="4">
        <f>华腾2023!E41</f>
        <v>177000</v>
      </c>
      <c r="E364" s="2">
        <f>华腾2023!F41</f>
        <v>0</v>
      </c>
      <c r="F364" s="4">
        <f>华腾2023!G41</f>
        <v>177000</v>
      </c>
      <c r="G364" s="2">
        <f>D364-F364</f>
        <v>0</v>
      </c>
      <c r="H364" s="9">
        <v>0</v>
      </c>
    </row>
    <row r="365" spans="1:8" ht="20.100000000000001" customHeight="1" x14ac:dyDescent="0.15">
      <c r="A365" s="1">
        <v>2023</v>
      </c>
      <c r="B365" s="18" t="s">
        <v>630</v>
      </c>
      <c r="C365" s="3" t="s">
        <v>631</v>
      </c>
      <c r="D365" s="4" t="str">
        <f>华腾2023!E42</f>
        <v>无明细</v>
      </c>
      <c r="E365" s="2">
        <f>华腾2023!F42</f>
        <v>0</v>
      </c>
      <c r="F365" s="4">
        <f>华腾2023!G42</f>
        <v>0</v>
      </c>
      <c r="G365" s="2" t="s">
        <v>494</v>
      </c>
      <c r="H365" s="9" t="s">
        <v>494</v>
      </c>
    </row>
    <row r="366" spans="1:8" ht="20.100000000000001" customHeight="1" x14ac:dyDescent="0.15">
      <c r="A366" s="1">
        <v>2023</v>
      </c>
      <c r="B366" s="18" t="s">
        <v>633</v>
      </c>
      <c r="C366" s="3" t="s">
        <v>623</v>
      </c>
      <c r="D366" s="4" t="str">
        <f>华腾2023!E43</f>
        <v>无明细</v>
      </c>
      <c r="E366" s="2">
        <f>华腾2023!F43</f>
        <v>0</v>
      </c>
      <c r="F366" s="4">
        <f>华腾2023!G43</f>
        <v>0</v>
      </c>
      <c r="G366" s="2" t="s">
        <v>494</v>
      </c>
      <c r="H366" s="9" t="s">
        <v>494</v>
      </c>
    </row>
    <row r="367" spans="1:8" ht="20.100000000000001" customHeight="1" x14ac:dyDescent="0.15">
      <c r="A367" s="1">
        <v>2023</v>
      </c>
      <c r="B367" s="18" t="s">
        <v>635</v>
      </c>
      <c r="C367" s="3" t="s">
        <v>356</v>
      </c>
      <c r="D367" s="4">
        <f>华腾2023!E44</f>
        <v>1759040</v>
      </c>
      <c r="E367" s="2">
        <f>华腾2023!F44</f>
        <v>0</v>
      </c>
      <c r="F367" s="4">
        <f>华腾2023!G44</f>
        <v>0</v>
      </c>
      <c r="G367" s="2">
        <f>D367-F367</f>
        <v>1759040</v>
      </c>
      <c r="H367" s="9">
        <v>1759040</v>
      </c>
    </row>
    <row r="368" spans="1:8" ht="20.100000000000001" customHeight="1" x14ac:dyDescent="0.15">
      <c r="A368" s="1">
        <v>2023</v>
      </c>
      <c r="B368" s="18" t="s">
        <v>637</v>
      </c>
      <c r="C368" s="3" t="s">
        <v>546</v>
      </c>
      <c r="D368" s="4" t="str">
        <f>华腾2023!E45</f>
        <v>无明细</v>
      </c>
      <c r="E368" s="2">
        <f>华腾2023!F45</f>
        <v>332000</v>
      </c>
      <c r="F368" s="4">
        <f>华腾2023!G45</f>
        <v>332000</v>
      </c>
      <c r="G368" s="2">
        <f t="shared" ref="G368:G375" si="15">E368-F368</f>
        <v>0</v>
      </c>
      <c r="H368" s="9">
        <v>0</v>
      </c>
    </row>
    <row r="369" spans="1:8" ht="20.100000000000001" customHeight="1" x14ac:dyDescent="0.15">
      <c r="A369" s="1">
        <v>2023</v>
      </c>
      <c r="B369" s="18" t="s">
        <v>638</v>
      </c>
      <c r="C369" s="3" t="s">
        <v>19</v>
      </c>
      <c r="D369" s="4" t="str">
        <f>华腾2023!E46</f>
        <v>造价金额*0.94</v>
      </c>
      <c r="E369" s="2">
        <f>华腾2023!F46</f>
        <v>1985769</v>
      </c>
      <c r="F369" s="4">
        <f>华腾2023!G46</f>
        <v>50000</v>
      </c>
      <c r="G369" s="4">
        <f t="shared" si="15"/>
        <v>1935769</v>
      </c>
      <c r="H369" s="9">
        <v>1935769</v>
      </c>
    </row>
    <row r="370" spans="1:8" ht="20.100000000000001" customHeight="1" x14ac:dyDescent="0.15">
      <c r="A370" s="1">
        <v>2023</v>
      </c>
      <c r="B370" s="18" t="s">
        <v>640</v>
      </c>
      <c r="C370" s="3" t="s">
        <v>10</v>
      </c>
      <c r="D370" s="4" t="str">
        <f>华腾2023!E47</f>
        <v>造价金额*0.92</v>
      </c>
      <c r="E370" s="2">
        <f>华腾2023!F47</f>
        <v>1349842</v>
      </c>
      <c r="F370" s="4">
        <f>华腾2023!G47</f>
        <v>349842</v>
      </c>
      <c r="G370" s="4">
        <f t="shared" si="15"/>
        <v>1000000</v>
      </c>
      <c r="H370" s="9">
        <v>1000000</v>
      </c>
    </row>
    <row r="371" spans="1:8" ht="20.100000000000001" customHeight="1" x14ac:dyDescent="0.15">
      <c r="A371" s="1">
        <v>2023</v>
      </c>
      <c r="B371" s="21" t="s">
        <v>642</v>
      </c>
      <c r="C371" s="6" t="s">
        <v>643</v>
      </c>
      <c r="D371" s="4" t="str">
        <f>华腾2023!E48</f>
        <v>造价金额*0.94</v>
      </c>
      <c r="E371" s="2">
        <f>华腾2023!F48</f>
        <v>2481165</v>
      </c>
      <c r="F371" s="4">
        <f>华腾2023!G48</f>
        <v>300000</v>
      </c>
      <c r="G371" s="4">
        <f t="shared" si="15"/>
        <v>2181165</v>
      </c>
      <c r="H371" s="9">
        <v>2181165</v>
      </c>
    </row>
    <row r="372" spans="1:8" ht="20.100000000000001" customHeight="1" x14ac:dyDescent="0.15">
      <c r="A372" s="1">
        <v>2023</v>
      </c>
      <c r="B372" s="21" t="s">
        <v>644</v>
      </c>
      <c r="C372" s="6" t="s">
        <v>29</v>
      </c>
      <c r="D372" s="4" t="str">
        <f>华腾2023!E49</f>
        <v>造价金额*0.92</v>
      </c>
      <c r="E372" s="2">
        <v>2006606</v>
      </c>
      <c r="F372" s="4">
        <f>华腾2023!G49</f>
        <v>0</v>
      </c>
      <c r="G372" s="4">
        <f t="shared" si="15"/>
        <v>2006606</v>
      </c>
      <c r="H372" s="9">
        <v>2006606</v>
      </c>
    </row>
    <row r="373" spans="1:8" ht="20.100000000000001" customHeight="1" x14ac:dyDescent="0.15">
      <c r="A373" s="1">
        <v>2023</v>
      </c>
      <c r="B373" s="21" t="s">
        <v>645</v>
      </c>
      <c r="C373" s="6" t="s">
        <v>17</v>
      </c>
      <c r="D373" s="4" t="str">
        <f>华腾2023!E50</f>
        <v>造价金额*0.92</v>
      </c>
      <c r="E373" s="2">
        <f>华腾2023!F50</f>
        <v>2432304</v>
      </c>
      <c r="F373" s="4">
        <f>华腾2023!G50</f>
        <v>850000</v>
      </c>
      <c r="G373" s="4">
        <f t="shared" si="15"/>
        <v>1582304</v>
      </c>
      <c r="H373" s="9">
        <v>1582304</v>
      </c>
    </row>
    <row r="374" spans="1:8" ht="20.100000000000001" customHeight="1" x14ac:dyDescent="0.15">
      <c r="A374" s="1">
        <v>2023</v>
      </c>
      <c r="B374" s="21" t="s">
        <v>647</v>
      </c>
      <c r="C374" s="6" t="s">
        <v>76</v>
      </c>
      <c r="D374" s="4" t="str">
        <f>华腾2023!E51</f>
        <v>造价金额*0.92</v>
      </c>
      <c r="E374" s="2">
        <f>华腾2023!F51</f>
        <v>1792383</v>
      </c>
      <c r="F374" s="4">
        <f>华腾2023!G51</f>
        <v>0</v>
      </c>
      <c r="G374" s="4">
        <f t="shared" si="15"/>
        <v>1792383</v>
      </c>
      <c r="H374" s="9">
        <v>1792383</v>
      </c>
    </row>
    <row r="375" spans="1:8" ht="20.100000000000001" customHeight="1" x14ac:dyDescent="0.15">
      <c r="A375" s="1">
        <v>2023</v>
      </c>
      <c r="B375" s="21" t="s">
        <v>648</v>
      </c>
      <c r="C375" s="6" t="s">
        <v>14</v>
      </c>
      <c r="D375" s="4" t="str">
        <f>华腾2023!E52</f>
        <v>造价金额*0.94</v>
      </c>
      <c r="E375" s="2">
        <f>华腾2023!F52</f>
        <v>800902</v>
      </c>
      <c r="F375" s="4">
        <f>华腾2023!G52</f>
        <v>340902</v>
      </c>
      <c r="G375" s="4">
        <f t="shared" si="15"/>
        <v>460000</v>
      </c>
      <c r="H375" s="9">
        <v>460000</v>
      </c>
    </row>
    <row r="376" spans="1:8" ht="20.100000000000001" customHeight="1" x14ac:dyDescent="0.15">
      <c r="A376" s="1">
        <v>2023</v>
      </c>
      <c r="B376" s="21" t="s">
        <v>649</v>
      </c>
      <c r="C376" s="6" t="s">
        <v>650</v>
      </c>
      <c r="D376" s="4">
        <f>华腾2023!E53</f>
        <v>70745</v>
      </c>
      <c r="E376" s="2">
        <f>华腾2023!F53</f>
        <v>0</v>
      </c>
      <c r="F376" s="4">
        <f>华腾2023!G53</f>
        <v>70745</v>
      </c>
      <c r="G376" s="4">
        <f>D376-F376</f>
        <v>0</v>
      </c>
      <c r="H376" s="9">
        <v>0</v>
      </c>
    </row>
    <row r="377" spans="1:8" ht="20.100000000000001" customHeight="1" x14ac:dyDescent="0.15">
      <c r="A377" s="1">
        <v>2023</v>
      </c>
      <c r="B377" s="21" t="s">
        <v>652</v>
      </c>
      <c r="C377" s="6" t="s">
        <v>107</v>
      </c>
      <c r="D377" s="4">
        <f>华腾2023!E54</f>
        <v>665000</v>
      </c>
      <c r="E377" s="2">
        <f>华腾2023!F54</f>
        <v>0</v>
      </c>
      <c r="F377" s="4">
        <f>华腾2023!G54</f>
        <v>100000</v>
      </c>
      <c r="G377" s="4">
        <f>D377-F377</f>
        <v>565000</v>
      </c>
      <c r="H377" s="9">
        <v>565000</v>
      </c>
    </row>
    <row r="378" spans="1:8" ht="20.100000000000001" customHeight="1" x14ac:dyDescent="0.15">
      <c r="A378" s="1">
        <v>2023</v>
      </c>
      <c r="B378" s="21" t="s">
        <v>654</v>
      </c>
      <c r="C378" s="6" t="s">
        <v>655</v>
      </c>
      <c r="D378" s="4">
        <f>华腾2023!E55</f>
        <v>2662000</v>
      </c>
      <c r="E378" s="2">
        <f>华腾2023!F55</f>
        <v>0</v>
      </c>
      <c r="F378" s="4">
        <f>华腾2023!G55</f>
        <v>1948600</v>
      </c>
      <c r="G378" s="4">
        <f>D378-F378</f>
        <v>713400</v>
      </c>
      <c r="H378" s="9">
        <v>713400</v>
      </c>
    </row>
    <row r="379" spans="1:8" ht="20.100000000000001" customHeight="1" x14ac:dyDescent="0.15">
      <c r="A379" s="1">
        <v>2023</v>
      </c>
      <c r="B379" s="21" t="str">
        <f>华腾2023!B56</f>
        <v>换热站改造项目及新建项目设计服务</v>
      </c>
      <c r="C379" s="6" t="str">
        <f>华腾2023!C56</f>
        <v>中科瑞城设计有限公司</v>
      </c>
      <c r="D379" s="4" t="str">
        <f>华腾2023!E56</f>
        <v>无明细（见71号合同）</v>
      </c>
      <c r="E379" s="2">
        <f>华腾2023!F56</f>
        <v>0</v>
      </c>
      <c r="F379" s="4">
        <f>华腾2023!G56</f>
        <v>0</v>
      </c>
      <c r="G379" s="4" t="s">
        <v>494</v>
      </c>
      <c r="H379" s="9" t="s">
        <v>659</v>
      </c>
    </row>
    <row r="380" spans="1:8" ht="20.100000000000001" customHeight="1" x14ac:dyDescent="0.15">
      <c r="A380" s="1">
        <v>2023</v>
      </c>
      <c r="B380" s="21" t="str">
        <f>华腾2023!B57</f>
        <v>2023年华腾供热碎修工程（第一批）</v>
      </c>
      <c r="C380" s="6" t="str">
        <f>华腾2023!C57</f>
        <v>天津源融市政工程有限公司</v>
      </c>
      <c r="D380" s="4">
        <f>华腾2023!E57</f>
        <v>95034</v>
      </c>
      <c r="E380" s="2">
        <f>华腾2023!F57</f>
        <v>0</v>
      </c>
      <c r="F380" s="4">
        <f>华腾2023!G57</f>
        <v>95034</v>
      </c>
      <c r="G380" s="4">
        <f>D380-F380</f>
        <v>0</v>
      </c>
      <c r="H380" s="9">
        <v>0</v>
      </c>
    </row>
    <row r="381" spans="1:8" ht="20.100000000000001" customHeight="1" x14ac:dyDescent="0.15">
      <c r="A381" s="1">
        <v>2023</v>
      </c>
      <c r="B381" s="21" t="str">
        <f>华腾2023!B58</f>
        <v>万新村锅炉房改造方案设计</v>
      </c>
      <c r="C381" s="6" t="str">
        <f>华腾2023!C58</f>
        <v>中国市政工程华北设计研究总院有限公司</v>
      </c>
      <c r="D381" s="4">
        <f>华腾2023!E58</f>
        <v>181000</v>
      </c>
      <c r="E381" s="2">
        <f>华腾2023!F58</f>
        <v>0</v>
      </c>
      <c r="F381" s="4">
        <f>华腾2023!G58</f>
        <v>0</v>
      </c>
      <c r="G381" s="4">
        <f>D381-F381</f>
        <v>181000</v>
      </c>
      <c r="H381" s="9">
        <v>181000</v>
      </c>
    </row>
    <row r="382" spans="1:8" ht="20.100000000000001" customHeight="1" x14ac:dyDescent="0.15">
      <c r="A382" s="1">
        <v>2023</v>
      </c>
      <c r="B382" s="21" t="str">
        <f>华腾2023!B59</f>
        <v>万新村供热站消防改造工程</v>
      </c>
      <c r="C382" s="6" t="str">
        <f>华腾2023!C59</f>
        <v>天津利安信合科技发展有限公司</v>
      </c>
      <c r="D382" s="4">
        <f>华腾2023!E59</f>
        <v>30677.360000000001</v>
      </c>
      <c r="E382" s="2">
        <f>华腾2023!F59</f>
        <v>0</v>
      </c>
      <c r="F382" s="4">
        <f>华腾2023!G59</f>
        <v>0</v>
      </c>
      <c r="G382" s="4">
        <f>D382-F382</f>
        <v>30677.360000000001</v>
      </c>
      <c r="H382" s="9">
        <v>30677.360000000001</v>
      </c>
    </row>
    <row r="383" spans="1:8" ht="20.100000000000001" customHeight="1" x14ac:dyDescent="0.15">
      <c r="A383" s="1">
        <v>2023</v>
      </c>
      <c r="B383" s="21" t="str">
        <f>华腾2023!B60</f>
        <v>万新村供热站下属2号站拆分工程—室外管网工程</v>
      </c>
      <c r="C383" s="6" t="str">
        <f>华腾2023!C60</f>
        <v>天津市祥宜建筑安装有限公司</v>
      </c>
      <c r="D383" s="4">
        <f>华腾2023!E60</f>
        <v>453368</v>
      </c>
      <c r="E383" s="2">
        <f>华腾2023!F60</f>
        <v>453368</v>
      </c>
      <c r="F383" s="4">
        <f>华腾2023!G60</f>
        <v>213368</v>
      </c>
      <c r="G383" s="4">
        <f>D383-F383</f>
        <v>240000</v>
      </c>
      <c r="H383" s="9">
        <v>240000</v>
      </c>
    </row>
    <row r="384" spans="1:8" ht="20.100000000000001" customHeight="1" x14ac:dyDescent="0.15">
      <c r="A384" s="1">
        <v>2023</v>
      </c>
      <c r="B384" s="21" t="str">
        <f>华腾2023!B61</f>
        <v>2023年华腾供热地热潜水泵维修项目</v>
      </c>
      <c r="C384" s="6" t="str">
        <f>华腾2023!C61</f>
        <v>天津天泰轩泓地热科技发展有限公司</v>
      </c>
      <c r="D384" s="4">
        <f>华腾2023!E61</f>
        <v>394465</v>
      </c>
      <c r="E384" s="2">
        <f>华腾2023!F61</f>
        <v>0</v>
      </c>
      <c r="F384" s="4">
        <f>华腾2023!G61</f>
        <v>100000</v>
      </c>
      <c r="G384" s="4">
        <f t="shared" ref="G384:G409" si="16">D384-F384</f>
        <v>294465</v>
      </c>
      <c r="H384" s="9">
        <v>294465</v>
      </c>
    </row>
    <row r="385" spans="1:8" ht="20.100000000000001" customHeight="1" x14ac:dyDescent="0.15">
      <c r="A385" s="1">
        <v>2023</v>
      </c>
      <c r="B385" s="21" t="str">
        <f>华腾2023!B62</f>
        <v>华腾供热万新村1-9号站二网循环泵采购及服务项目</v>
      </c>
      <c r="C385" s="6" t="str">
        <f>华腾2023!C62</f>
        <v>天津市无双众鑫科技发展有限公司</v>
      </c>
      <c r="D385" s="4">
        <f>华腾2023!E62</f>
        <v>814300</v>
      </c>
      <c r="E385" s="2">
        <f>华腾2023!F62</f>
        <v>0</v>
      </c>
      <c r="F385" s="4">
        <f>华腾2023!G62</f>
        <v>445000</v>
      </c>
      <c r="G385" s="4">
        <f t="shared" si="16"/>
        <v>369300</v>
      </c>
      <c r="H385" s="9">
        <v>369300</v>
      </c>
    </row>
    <row r="386" spans="1:8" ht="20.100000000000001" customHeight="1" x14ac:dyDescent="0.15">
      <c r="A386" s="1">
        <v>2023</v>
      </c>
      <c r="B386" s="21" t="str">
        <f>华腾2023!B63</f>
        <v>2023年盛东北园、程林北里夏季检修项目</v>
      </c>
      <c r="C386" s="6" t="str">
        <f>华腾2023!C63</f>
        <v>天津鑫隆建筑工程有限公司</v>
      </c>
      <c r="D386" s="4">
        <f>华腾2023!E63</f>
        <v>113433</v>
      </c>
      <c r="E386" s="2">
        <f>华腾2023!F63</f>
        <v>0</v>
      </c>
      <c r="F386" s="4">
        <f>华腾2023!G63</f>
        <v>0</v>
      </c>
      <c r="G386" s="4">
        <f t="shared" si="16"/>
        <v>113433</v>
      </c>
      <c r="H386" s="9">
        <v>113433</v>
      </c>
    </row>
    <row r="387" spans="1:8" ht="20.100000000000001" customHeight="1" x14ac:dyDescent="0.15">
      <c r="A387" s="1">
        <v>2023</v>
      </c>
      <c r="B387" s="21" t="str">
        <f>华腾2023!B64</f>
        <v>秀悦站耐高温潜水电泵</v>
      </c>
      <c r="C387" s="6" t="str">
        <f>华腾2023!C64</f>
        <v>天津天泰宏凯泵业制造有限公司</v>
      </c>
      <c r="D387" s="4">
        <f>华腾2023!E64</f>
        <v>76000</v>
      </c>
      <c r="E387" s="2">
        <f>华腾2023!F64</f>
        <v>0</v>
      </c>
      <c r="F387" s="4">
        <f>华腾2023!G64</f>
        <v>76000</v>
      </c>
      <c r="G387" s="4">
        <f t="shared" si="16"/>
        <v>0</v>
      </c>
      <c r="H387" s="9">
        <v>0</v>
      </c>
    </row>
    <row r="388" spans="1:8" ht="20.100000000000001" customHeight="1" x14ac:dyDescent="0.15">
      <c r="A388" s="1">
        <v>2023</v>
      </c>
      <c r="B388" s="21" t="str">
        <f>华腾2023!B65</f>
        <v>华腾供热品香、香兰地热井潜水泵项目</v>
      </c>
      <c r="C388" s="6" t="str">
        <f>华腾2023!C65</f>
        <v>天津天泰轩泓地热科技发展有限公司</v>
      </c>
      <c r="D388" s="4">
        <f>华腾2023!E65</f>
        <v>197000</v>
      </c>
      <c r="E388" s="2">
        <f>华腾2023!F65</f>
        <v>0</v>
      </c>
      <c r="F388" s="4">
        <f>华腾2023!G65</f>
        <v>197000</v>
      </c>
      <c r="G388" s="4">
        <f t="shared" si="16"/>
        <v>0</v>
      </c>
      <c r="H388" s="9">
        <v>0</v>
      </c>
    </row>
    <row r="389" spans="1:8" ht="20.100000000000001" customHeight="1" x14ac:dyDescent="0.15">
      <c r="A389" s="1">
        <v>2023</v>
      </c>
      <c r="B389" s="21" t="str">
        <f>华腾2023!B66</f>
        <v>2023年华腾供热贵环小区、汇海南里、汇海北里二级泵采购项目</v>
      </c>
      <c r="C389" s="6" t="str">
        <f>华腾2023!C66</f>
        <v>上海凯泉泵业（集团）有限公司</v>
      </c>
      <c r="D389" s="4">
        <f>华腾2023!E66</f>
        <v>92505</v>
      </c>
      <c r="E389" s="2">
        <f>华腾2023!F66</f>
        <v>0</v>
      </c>
      <c r="F389" s="4">
        <f>华腾2023!G66</f>
        <v>92505</v>
      </c>
      <c r="G389" s="4">
        <f t="shared" si="16"/>
        <v>0</v>
      </c>
      <c r="H389" s="9">
        <v>0</v>
      </c>
    </row>
    <row r="390" spans="1:8" ht="20.100000000000001" customHeight="1" x14ac:dyDescent="0.15">
      <c r="A390" s="1">
        <v>2023</v>
      </c>
      <c r="B390" s="21" t="str">
        <f>华腾2023!B67</f>
        <v>2023年万新村下属换热站备用二级泵采购项目</v>
      </c>
      <c r="C390" s="6" t="str">
        <f>华腾2023!C67</f>
        <v>上海凯泉泵业（集团）有限公司</v>
      </c>
      <c r="D390" s="4">
        <f>华腾2023!E67</f>
        <v>60462</v>
      </c>
      <c r="E390" s="2">
        <f>华腾2023!F67</f>
        <v>0</v>
      </c>
      <c r="F390" s="4">
        <f>华腾2023!G67</f>
        <v>60462</v>
      </c>
      <c r="G390" s="4">
        <f t="shared" si="16"/>
        <v>0</v>
      </c>
      <c r="H390" s="9">
        <v>0</v>
      </c>
    </row>
    <row r="391" spans="1:8" ht="20.100000000000001" customHeight="1" x14ac:dyDescent="0.15">
      <c r="A391" s="1">
        <v>2023</v>
      </c>
      <c r="B391" s="21" t="str">
        <f>华腾2023!B68</f>
        <v>万新村供热站下属聚醚部厂区院内供暖泵站设施迁移改造项目-电气工程</v>
      </c>
      <c r="C391" s="6" t="str">
        <f>华腾2023!C68</f>
        <v>天津鼎邦电气有限公司</v>
      </c>
      <c r="D391" s="4">
        <f>华腾2023!E68</f>
        <v>71850</v>
      </c>
      <c r="E391" s="2">
        <f>华腾2023!F68</f>
        <v>0</v>
      </c>
      <c r="F391" s="4">
        <f>华腾2023!G68</f>
        <v>0</v>
      </c>
      <c r="G391" s="4">
        <f t="shared" si="16"/>
        <v>71850</v>
      </c>
      <c r="H391" s="9">
        <v>71850</v>
      </c>
    </row>
    <row r="392" spans="1:8" ht="20.100000000000001" customHeight="1" x14ac:dyDescent="0.15">
      <c r="A392" s="1">
        <v>2023</v>
      </c>
      <c r="B392" s="21" t="str">
        <f>华腾2023!B69</f>
        <v>华腾供热万新村1-9号站二网循环泵配套变频柜采购及服务项目</v>
      </c>
      <c r="C392" s="6" t="str">
        <f>华腾2023!C69</f>
        <v>天津鼎邦电气有限公司</v>
      </c>
      <c r="D392" s="4">
        <f>华腾2023!E69</f>
        <v>403210</v>
      </c>
      <c r="E392" s="2">
        <f>华腾2023!F69</f>
        <v>0</v>
      </c>
      <c r="F392" s="4">
        <f>华腾2023!G69</f>
        <v>0</v>
      </c>
      <c r="G392" s="4">
        <f t="shared" si="16"/>
        <v>403210</v>
      </c>
      <c r="H392" s="9">
        <v>403210</v>
      </c>
    </row>
    <row r="393" spans="1:8" ht="20.100000000000001" customHeight="1" x14ac:dyDescent="0.15">
      <c r="A393" s="1">
        <v>2023</v>
      </c>
      <c r="B393" s="21" t="str">
        <f>华腾2023!B70</f>
        <v>2023年华腾供热VPN网络监控安装及其他网络维修</v>
      </c>
      <c r="C393" s="6" t="str">
        <f>华腾2023!C70</f>
        <v>中国联合网络通信有限公司天津市分公司</v>
      </c>
      <c r="D393" s="4">
        <f>华腾2023!E70</f>
        <v>52743</v>
      </c>
      <c r="E393" s="2">
        <f>华腾2023!F70</f>
        <v>52743</v>
      </c>
      <c r="F393" s="4">
        <f>华腾2023!G70</f>
        <v>52743</v>
      </c>
      <c r="G393" s="4">
        <f t="shared" si="16"/>
        <v>0</v>
      </c>
      <c r="H393" s="9">
        <v>0</v>
      </c>
    </row>
    <row r="394" spans="1:8" ht="20.100000000000001" customHeight="1" x14ac:dyDescent="0.15">
      <c r="A394" s="1">
        <v>2023</v>
      </c>
      <c r="B394" s="21" t="str">
        <f>华腾2023!B71</f>
        <v>天津市河东区中山门地热尾水梯级利用项目</v>
      </c>
      <c r="C394" s="6" t="str">
        <f>华腾2023!C71</f>
        <v>中国建筑科学研究院天津分院</v>
      </c>
      <c r="D394" s="4">
        <f>华腾2023!E71</f>
        <v>30000</v>
      </c>
      <c r="E394" s="2">
        <f>华腾2023!F71</f>
        <v>0</v>
      </c>
      <c r="F394" s="4">
        <f>华腾2023!G71</f>
        <v>0</v>
      </c>
      <c r="G394" s="4">
        <f t="shared" si="16"/>
        <v>30000</v>
      </c>
      <c r="H394" s="9">
        <v>30000</v>
      </c>
    </row>
    <row r="395" spans="1:8" ht="20.100000000000001" customHeight="1" x14ac:dyDescent="0.15">
      <c r="A395" s="1">
        <v>2023</v>
      </c>
      <c r="B395" s="21" t="str">
        <f>华腾2023!B72</f>
        <v>万新村2号站拆分工程、于明庄二次网及楼道立管改造工程、远翠东里9# 10#楼前管改造工程</v>
      </c>
      <c r="C395" s="6" t="str">
        <f>华腾2023!C72</f>
        <v>中科瑞城设计有限公司</v>
      </c>
      <c r="D395" s="4">
        <f>华腾2023!E72</f>
        <v>105400</v>
      </c>
      <c r="E395" s="2">
        <f>华腾2023!F72</f>
        <v>0</v>
      </c>
      <c r="F395" s="4">
        <f>华腾2023!G72</f>
        <v>105400</v>
      </c>
      <c r="G395" s="4">
        <f t="shared" si="16"/>
        <v>0</v>
      </c>
      <c r="H395" s="9">
        <v>0</v>
      </c>
    </row>
    <row r="396" spans="1:8" ht="20.100000000000001" customHeight="1" x14ac:dyDescent="0.15">
      <c r="A396" s="1">
        <v>2023</v>
      </c>
      <c r="B396" s="21" t="str">
        <f>华腾2023!B73</f>
        <v>华腾供热2023年度能源管家咨询服务项目</v>
      </c>
      <c r="C396" s="6" t="str">
        <f>华腾2023!C73</f>
        <v>天津艾菲克科技有限公司</v>
      </c>
      <c r="D396" s="4">
        <f>华腾2023!E73</f>
        <v>30000</v>
      </c>
      <c r="E396" s="2">
        <f>华腾2023!F73</f>
        <v>0</v>
      </c>
      <c r="F396" s="4">
        <f>华腾2023!G73</f>
        <v>30000</v>
      </c>
      <c r="G396" s="4">
        <f t="shared" si="16"/>
        <v>0</v>
      </c>
      <c r="H396" s="9">
        <v>0</v>
      </c>
    </row>
    <row r="397" spans="1:8" ht="20.100000000000001" customHeight="1" x14ac:dyDescent="0.15">
      <c r="A397" s="22">
        <v>2023</v>
      </c>
      <c r="B397" s="21" t="str">
        <f>华腾2023!B74</f>
        <v>华腾万新村供热站下属换热站水泵维修项目</v>
      </c>
      <c r="C397" s="6" t="str">
        <f>华腾2023!C74</f>
        <v>天津市北辰区大力机械设备维修中心</v>
      </c>
      <c r="D397" s="4">
        <f>华腾2023!E74</f>
        <v>78900</v>
      </c>
      <c r="E397" s="2">
        <f>华腾2023!F74</f>
        <v>0</v>
      </c>
      <c r="F397" s="4">
        <f>华腾2023!G74</f>
        <v>78900</v>
      </c>
      <c r="G397" s="4">
        <f t="shared" si="16"/>
        <v>0</v>
      </c>
      <c r="H397" s="9">
        <v>0</v>
      </c>
    </row>
    <row r="398" spans="1:8" ht="20.100000000000001" customHeight="1" x14ac:dyDescent="0.15">
      <c r="A398" s="22">
        <v>2023</v>
      </c>
      <c r="B398" s="21" t="str">
        <f>华腾2023!B75</f>
        <v>华腾供热可燃气体报警系统采购及安装</v>
      </c>
      <c r="C398" s="6" t="str">
        <f>华腾2023!C75</f>
        <v>天津市益高燃气设备科技有限公司</v>
      </c>
      <c r="D398" s="4">
        <f>华腾2023!E75</f>
        <v>26215</v>
      </c>
      <c r="E398" s="2">
        <f>华腾2023!F75</f>
        <v>0</v>
      </c>
      <c r="F398" s="4">
        <f>华腾2023!G75</f>
        <v>26215</v>
      </c>
      <c r="G398" s="4">
        <f t="shared" si="16"/>
        <v>0</v>
      </c>
      <c r="H398" s="9">
        <v>0</v>
      </c>
    </row>
    <row r="399" spans="1:8" ht="20.100000000000001" customHeight="1" x14ac:dyDescent="0.15">
      <c r="A399" s="22">
        <v>2023</v>
      </c>
      <c r="B399" s="21" t="str">
        <f>华腾2023!B76</f>
        <v>华腾供热电磁流量计</v>
      </c>
      <c r="C399" s="6" t="str">
        <f>华腾2023!C76</f>
        <v>天津市大港仪表有限公司</v>
      </c>
      <c r="D399" s="4">
        <f>华腾2023!E76</f>
        <v>13000</v>
      </c>
      <c r="E399" s="2">
        <f>华腾2023!F76</f>
        <v>0</v>
      </c>
      <c r="F399" s="4">
        <f>华腾2023!G76</f>
        <v>13000</v>
      </c>
      <c r="G399" s="4">
        <f t="shared" si="16"/>
        <v>0</v>
      </c>
      <c r="H399" s="9">
        <v>0</v>
      </c>
    </row>
    <row r="400" spans="1:8" ht="20.100000000000001" customHeight="1" x14ac:dyDescent="0.15">
      <c r="A400" s="22">
        <v>2023</v>
      </c>
      <c r="B400" s="21" t="str">
        <f>华腾2023!B77</f>
        <v>华腾供热供热系统维护（抢修）协议</v>
      </c>
      <c r="C400" s="6" t="str">
        <f>华腾2023!C77</f>
        <v>天津市津东创展城市发展有限公司</v>
      </c>
      <c r="D400" s="4">
        <f>华腾2023!E77</f>
        <v>5110679.5999999996</v>
      </c>
      <c r="E400" s="2">
        <f>华腾2023!F77</f>
        <v>5110679.5999999996</v>
      </c>
      <c r="F400" s="4">
        <f>华腾2023!G77</f>
        <v>5110679.5999999996</v>
      </c>
      <c r="G400" s="4">
        <f t="shared" si="16"/>
        <v>0</v>
      </c>
      <c r="H400" s="9">
        <v>0</v>
      </c>
    </row>
    <row r="401" spans="1:8" ht="20.100000000000001" customHeight="1" x14ac:dyDescent="0.15">
      <c r="A401" s="22">
        <v>2023</v>
      </c>
      <c r="B401" s="21" t="str">
        <f>华腾2023!B78</f>
        <v>华腾供热地热站维护（值守）和调试协议</v>
      </c>
      <c r="C401" s="6" t="str">
        <f>华腾2023!C78</f>
        <v>天津市津东创展城市发展有限公司</v>
      </c>
      <c r="D401" s="4">
        <f>华腾2023!E78</f>
        <v>648000</v>
      </c>
      <c r="E401" s="2">
        <f>华腾2023!F78</f>
        <v>0</v>
      </c>
      <c r="F401" s="4">
        <f>华腾2023!G78</f>
        <v>648000</v>
      </c>
      <c r="G401" s="4">
        <f t="shared" si="16"/>
        <v>0</v>
      </c>
      <c r="H401" s="9">
        <v>0</v>
      </c>
    </row>
    <row r="402" spans="1:8" ht="20.100000000000001" customHeight="1" x14ac:dyDescent="0.15">
      <c r="A402" s="22">
        <v>2023</v>
      </c>
      <c r="B402" s="21" t="str">
        <f>华腾2023!B79</f>
        <v>华腾供热万新村二级泵及下属换热站变频柜改造服务项目</v>
      </c>
      <c r="C402" s="6" t="str">
        <f>华腾2023!C79</f>
        <v>天津市东和瑞捷科技发展有限公司</v>
      </c>
      <c r="D402" s="4">
        <f>华腾2023!E79</f>
        <v>2693250</v>
      </c>
      <c r="E402" s="2">
        <f>华腾2023!F79</f>
        <v>0</v>
      </c>
      <c r="F402" s="4">
        <f>华腾2023!G79</f>
        <v>1102975</v>
      </c>
      <c r="G402" s="4">
        <f t="shared" si="16"/>
        <v>1590275</v>
      </c>
      <c r="H402" s="9">
        <v>1590275</v>
      </c>
    </row>
    <row r="403" spans="1:8" ht="20.100000000000001" customHeight="1" x14ac:dyDescent="0.15">
      <c r="A403" s="22">
        <v>2023</v>
      </c>
      <c r="B403" s="21" t="str">
        <f>华腾2023!B80</f>
        <v>华腾供热万新村11、15、16、17区热力管线探测服务项目</v>
      </c>
      <c r="C403" s="6" t="str">
        <f>华腾2023!C80</f>
        <v>天津海滨工程勘察设计有限公司</v>
      </c>
      <c r="D403" s="4">
        <f>华腾2023!E80</f>
        <v>90000</v>
      </c>
      <c r="E403" s="2">
        <f>华腾2023!F80</f>
        <v>0</v>
      </c>
      <c r="F403" s="4">
        <f>华腾2023!G80</f>
        <v>90000</v>
      </c>
      <c r="G403" s="4">
        <f t="shared" si="16"/>
        <v>0</v>
      </c>
      <c r="H403" s="9">
        <v>0</v>
      </c>
    </row>
    <row r="404" spans="1:8" ht="20.100000000000001" customHeight="1" x14ac:dyDescent="0.15">
      <c r="A404" s="22">
        <v>2023</v>
      </c>
      <c r="B404" s="21" t="str">
        <f>华腾2023!B81</f>
        <v>华腾供热中山门地热尾水梯级利用测绘服务项目</v>
      </c>
      <c r="C404" s="6" t="str">
        <f>华腾2023!C81</f>
        <v>天津海滨工程勘察设计有限公司</v>
      </c>
      <c r="D404" s="4">
        <f>华腾2023!E81</f>
        <v>30000</v>
      </c>
      <c r="E404" s="2">
        <f>华腾2023!F81</f>
        <v>0</v>
      </c>
      <c r="F404" s="4">
        <f>华腾2023!G81</f>
        <v>30000</v>
      </c>
      <c r="G404" s="4">
        <f t="shared" si="16"/>
        <v>0</v>
      </c>
      <c r="H404" s="9">
        <v>0</v>
      </c>
    </row>
    <row r="405" spans="1:8" ht="20.100000000000001" customHeight="1" x14ac:dyDescent="0.15">
      <c r="A405" s="22">
        <v>2023</v>
      </c>
      <c r="B405" s="21" t="str">
        <f>华腾2023!B82</f>
        <v>华腾供热下属换热站运行水泵检查维护保养项目</v>
      </c>
      <c r="C405" s="6" t="str">
        <f>华腾2023!C82</f>
        <v>天津市西青区万润机电设备维修中心</v>
      </c>
      <c r="D405" s="4">
        <f>华腾2023!E82</f>
        <v>166370</v>
      </c>
      <c r="E405" s="2">
        <f>华腾2023!F82</f>
        <v>0</v>
      </c>
      <c r="F405" s="4">
        <f>华腾2023!G82</f>
        <v>166370</v>
      </c>
      <c r="G405" s="4">
        <f t="shared" si="16"/>
        <v>0</v>
      </c>
      <c r="H405" s="9">
        <v>0</v>
      </c>
    </row>
    <row r="406" spans="1:8" ht="20.100000000000001" customHeight="1" x14ac:dyDescent="0.15">
      <c r="A406" s="22">
        <v>2023</v>
      </c>
      <c r="B406" s="21" t="str">
        <f>华腾2023!B83</f>
        <v>万新村、和平村燃气锅炉房供热冬季运行、电工值守及问题处理</v>
      </c>
      <c r="C406" s="6" t="str">
        <f>华腾2023!C83</f>
        <v>天津市津东创展城市发展有限公司</v>
      </c>
      <c r="D406" s="4">
        <f>华腾2023!E83</f>
        <v>2815100</v>
      </c>
      <c r="E406" s="2">
        <f>华腾2023!F83</f>
        <v>0</v>
      </c>
      <c r="F406" s="4">
        <f>华腾2023!G83</f>
        <v>2686000</v>
      </c>
      <c r="G406" s="4">
        <f t="shared" si="16"/>
        <v>129100</v>
      </c>
      <c r="H406" s="9">
        <v>129100</v>
      </c>
    </row>
    <row r="407" spans="1:8" ht="20.100000000000001" customHeight="1" x14ac:dyDescent="0.15">
      <c r="A407" s="22">
        <v>2023</v>
      </c>
      <c r="B407" s="21" t="str">
        <f>华腾2023!B84</f>
        <v>华腾供热网络调测升级及服务</v>
      </c>
      <c r="C407" s="6" t="str">
        <f>华腾2023!C84</f>
        <v>中国联合网络通信有限公司天津市分公司</v>
      </c>
      <c r="D407" s="4">
        <f>华腾2023!E84</f>
        <v>77000</v>
      </c>
      <c r="E407" s="2">
        <f>华腾2023!F84</f>
        <v>0</v>
      </c>
      <c r="F407" s="4">
        <f>华腾2023!G84</f>
        <v>77000</v>
      </c>
      <c r="G407" s="4">
        <f t="shared" si="16"/>
        <v>0</v>
      </c>
      <c r="H407" s="9">
        <v>0</v>
      </c>
    </row>
    <row r="408" spans="1:8" ht="20.100000000000001" customHeight="1" x14ac:dyDescent="0.15">
      <c r="A408" s="22">
        <v>2023</v>
      </c>
      <c r="B408" s="21" t="str">
        <f>华腾2023!B85</f>
        <v>华腾供热19处站点电力设备维修工程</v>
      </c>
      <c r="C408" s="6" t="str">
        <f>华腾2023!C85</f>
        <v>天津开发区君安电气有限公司</v>
      </c>
      <c r="D408" s="4">
        <f>华腾2023!E85</f>
        <v>1900107</v>
      </c>
      <c r="E408" s="2">
        <v>1991682</v>
      </c>
      <c r="F408" s="4">
        <f>华腾2023!G85</f>
        <v>1003198.9</v>
      </c>
      <c r="G408" s="4">
        <f>E408-F408</f>
        <v>988483.1</v>
      </c>
      <c r="H408" s="9">
        <v>988483.1</v>
      </c>
    </row>
    <row r="409" spans="1:8" ht="20.100000000000001" customHeight="1" x14ac:dyDescent="0.15">
      <c r="A409" s="22">
        <v>2023</v>
      </c>
      <c r="B409" s="21" t="str">
        <f>华腾2023!B86</f>
        <v>和平村供热站锅炉系统维护及设备维护保养</v>
      </c>
      <c r="C409" s="6" t="str">
        <f>华腾2023!C86</f>
        <v>天津市辰雨达机电设备销售有限公司</v>
      </c>
      <c r="D409" s="4">
        <f>华腾2023!E86</f>
        <v>63000</v>
      </c>
      <c r="E409" s="2">
        <f>华腾2023!F86</f>
        <v>0</v>
      </c>
      <c r="F409" s="4">
        <f>华腾2023!G86</f>
        <v>0</v>
      </c>
      <c r="G409" s="4">
        <f t="shared" si="16"/>
        <v>63000</v>
      </c>
      <c r="H409" s="9">
        <v>63000</v>
      </c>
    </row>
    <row r="410" spans="1:8" ht="20.100000000000001" customHeight="1" x14ac:dyDescent="0.15">
      <c r="A410" s="22">
        <v>2023</v>
      </c>
      <c r="B410" s="21" t="str">
        <f>华腾2023!B87</f>
        <v>华腾供热2023-2024万新村供热站能源管理项目</v>
      </c>
      <c r="C410" s="6" t="str">
        <f>华腾2023!C87</f>
        <v>北京智联科电技术有限公司</v>
      </c>
      <c r="D410" s="4" t="s">
        <v>494</v>
      </c>
      <c r="E410" s="2">
        <f>华腾2023!F87</f>
        <v>157768</v>
      </c>
      <c r="F410" s="4">
        <f>华腾2023!G87</f>
        <v>157768</v>
      </c>
      <c r="G410" s="4">
        <f>E410-F410</f>
        <v>0</v>
      </c>
      <c r="H410" s="9">
        <v>0</v>
      </c>
    </row>
    <row r="411" spans="1:8" ht="20.100000000000001" customHeight="1" x14ac:dyDescent="0.15">
      <c r="A411" s="1">
        <v>2023</v>
      </c>
      <c r="B411" s="21" t="str">
        <f>华腾2023!B88</f>
        <v>河东区华腾供热调度运行技术服务项目</v>
      </c>
      <c r="C411" s="6" t="str">
        <f>华腾2023!C88</f>
        <v>天津市东和瑞捷科技发展有限公司</v>
      </c>
      <c r="D411" s="4">
        <f>华腾2023!E88</f>
        <v>480000</v>
      </c>
      <c r="E411" s="2">
        <f>华腾2023!F88</f>
        <v>0</v>
      </c>
      <c r="F411" s="4">
        <f>华腾2023!G88</f>
        <v>480000</v>
      </c>
      <c r="G411" s="4">
        <f t="shared" ref="G411:G417" si="17">D411-F411</f>
        <v>0</v>
      </c>
      <c r="H411" s="9">
        <v>0</v>
      </c>
    </row>
    <row r="412" spans="1:8" ht="20.100000000000001" customHeight="1" x14ac:dyDescent="0.15">
      <c r="A412" s="1">
        <v>2023</v>
      </c>
      <c r="B412" s="21" t="str">
        <f>华腾2023!B89</f>
        <v>2023年万新站及海河新天地地热站10kv变电站运维</v>
      </c>
      <c r="C412" s="6" t="str">
        <f>华腾2023!C89</f>
        <v>天津民安电力设备有限公司</v>
      </c>
      <c r="D412" s="4">
        <f>华腾2023!E89</f>
        <v>180000</v>
      </c>
      <c r="E412" s="2">
        <f>华腾2023!F89</f>
        <v>0</v>
      </c>
      <c r="F412" s="4">
        <f>华腾2023!G89</f>
        <v>125000</v>
      </c>
      <c r="G412" s="4">
        <f t="shared" si="17"/>
        <v>55000</v>
      </c>
      <c r="H412" s="9">
        <v>55000</v>
      </c>
    </row>
    <row r="413" spans="1:8" ht="20.100000000000001" customHeight="1" x14ac:dyDescent="0.15">
      <c r="A413" s="1">
        <v>2023</v>
      </c>
      <c r="B413" s="21" t="str">
        <f>华腾2023!B90</f>
        <v>华腾供热2023-2024供热季环境监测项目</v>
      </c>
      <c r="C413" s="6" t="str">
        <f>华腾2023!C90</f>
        <v>天津纳宝产品检测有限公司</v>
      </c>
      <c r="D413" s="4">
        <f>华腾2023!E90</f>
        <v>588954</v>
      </c>
      <c r="E413" s="2">
        <f>华腾2023!F90</f>
        <v>0</v>
      </c>
      <c r="F413" s="4">
        <f>华腾2023!G90</f>
        <v>588954</v>
      </c>
      <c r="G413" s="4">
        <f t="shared" si="17"/>
        <v>0</v>
      </c>
      <c r="H413" s="9">
        <v>0</v>
      </c>
    </row>
    <row r="414" spans="1:8" ht="20.100000000000001" customHeight="1" x14ac:dyDescent="0.15">
      <c r="A414" s="1">
        <v>2023</v>
      </c>
      <c r="B414" s="21" t="str">
        <f>华腾2023!B91</f>
        <v>2023年和平村夏季检修</v>
      </c>
      <c r="C414" s="6" t="str">
        <f>华腾2023!C91</f>
        <v>天津景润鸿诚市政工程有限公司</v>
      </c>
      <c r="D414" s="4">
        <f>华腾2023!E91</f>
        <v>189945</v>
      </c>
      <c r="E414" s="2">
        <f>华腾2023!F91</f>
        <v>0</v>
      </c>
      <c r="F414" s="4">
        <f>华腾2023!G91</f>
        <v>189945</v>
      </c>
      <c r="G414" s="4">
        <f t="shared" si="17"/>
        <v>0</v>
      </c>
      <c r="H414" s="9">
        <v>0</v>
      </c>
    </row>
    <row r="415" spans="1:8" ht="20.100000000000001" customHeight="1" x14ac:dyDescent="0.15">
      <c r="A415" s="1">
        <v>2023</v>
      </c>
      <c r="B415" s="21" t="str">
        <f>华腾2023!B92</f>
        <v>2023万新站一网蝶阀采购项目</v>
      </c>
      <c r="C415" s="6" t="str">
        <f>华腾2023!C92</f>
        <v>天津凯世通阀门制造有限公司</v>
      </c>
      <c r="D415" s="4">
        <f>华腾2023!E92</f>
        <v>538900</v>
      </c>
      <c r="E415" s="2">
        <f>华腾2023!F92</f>
        <v>0</v>
      </c>
      <c r="F415" s="4">
        <f>华腾2023!G92</f>
        <v>400000</v>
      </c>
      <c r="G415" s="4">
        <f t="shared" si="17"/>
        <v>138900</v>
      </c>
      <c r="H415" s="9">
        <v>138900</v>
      </c>
    </row>
    <row r="416" spans="1:8" ht="20.100000000000001" customHeight="1" x14ac:dyDescent="0.15">
      <c r="A416" s="22">
        <v>2023</v>
      </c>
      <c r="B416" s="21" t="str">
        <f>华腾2023!B93</f>
        <v>华腾供热所属供热站锅炉房公用部分计算机控制系统技术服务项目</v>
      </c>
      <c r="C416" s="6" t="str">
        <f>华腾2023!C93</f>
        <v>天津市优硕科技有限公司</v>
      </c>
      <c r="D416" s="4">
        <f>华腾2023!E93</f>
        <v>40000</v>
      </c>
      <c r="E416" s="2">
        <f>华腾2023!F93</f>
        <v>0</v>
      </c>
      <c r="F416" s="4">
        <f>华腾2023!G93</f>
        <v>0</v>
      </c>
      <c r="G416" s="4">
        <f t="shared" si="17"/>
        <v>40000</v>
      </c>
      <c r="H416" s="9">
        <v>40000</v>
      </c>
    </row>
    <row r="417" spans="1:8" ht="20.100000000000001" customHeight="1" x14ac:dyDescent="0.15">
      <c r="A417" s="22">
        <v>2023</v>
      </c>
      <c r="B417" s="21" t="str">
        <f>华腾2023!B94</f>
        <v>中山门地热尾水梯级利用—设计项目</v>
      </c>
      <c r="C417" s="6" t="str">
        <f>华腾2023!C94</f>
        <v>中国市政工程华北设计研究总院有限公司</v>
      </c>
      <c r="D417" s="4">
        <f>华腾2023!E94</f>
        <v>171000</v>
      </c>
      <c r="E417" s="2">
        <f>华腾2023!F94</f>
        <v>0</v>
      </c>
      <c r="F417" s="4">
        <f>华腾2023!G94</f>
        <v>0</v>
      </c>
      <c r="G417" s="4">
        <f t="shared" si="17"/>
        <v>171000</v>
      </c>
      <c r="H417" s="9">
        <v>171000</v>
      </c>
    </row>
    <row r="418" spans="1:8" ht="20.100000000000001" customHeight="1" x14ac:dyDescent="0.15">
      <c r="A418" s="22">
        <v>2023</v>
      </c>
      <c r="B418" s="21" t="str">
        <f>华腾2023!B95</f>
        <v>华腾供热2023-2024采暖水药剂采购项目</v>
      </c>
      <c r="C418" s="6" t="str">
        <f>华腾2023!C95</f>
        <v>功成（天津）锅炉技术有限公司</v>
      </c>
      <c r="D418" s="4" t="str">
        <f>华腾2023!E95</f>
        <v>无明细</v>
      </c>
      <c r="E418" s="2">
        <f>华腾2023!F95</f>
        <v>0</v>
      </c>
      <c r="F418" s="4">
        <f>华腾2023!G95</f>
        <v>0</v>
      </c>
      <c r="G418" s="4" t="s">
        <v>494</v>
      </c>
      <c r="H418" s="9" t="s">
        <v>494</v>
      </c>
    </row>
    <row r="419" spans="1:8" ht="20.100000000000001" customHeight="1" x14ac:dyDescent="0.15">
      <c r="A419" s="22">
        <v>2023</v>
      </c>
      <c r="B419" s="21" t="str">
        <f>华腾2023!B96</f>
        <v>万新村供热站一网二级泵系统改造工程</v>
      </c>
      <c r="C419" s="6" t="str">
        <f>华腾2023!C96</f>
        <v>天津市政工程设计研究总院有限公司</v>
      </c>
      <c r="D419" s="4">
        <f>华腾2023!E96</f>
        <v>188000</v>
      </c>
      <c r="E419" s="2">
        <f>华腾2023!F96</f>
        <v>0</v>
      </c>
      <c r="F419" s="4">
        <f>华腾2023!G96</f>
        <v>0</v>
      </c>
      <c r="G419" s="4">
        <f>D419-F419</f>
        <v>188000</v>
      </c>
      <c r="H419" s="9">
        <v>188000</v>
      </c>
    </row>
    <row r="420" spans="1:8" ht="20.100000000000001" customHeight="1" x14ac:dyDescent="0.15">
      <c r="A420" s="22">
        <v>2023</v>
      </c>
      <c r="B420" s="21" t="str">
        <f>华腾2023!B97</f>
        <v>华腾防汛物资采购项目</v>
      </c>
      <c r="C420" s="6" t="str">
        <f>华腾2023!C97</f>
        <v>天津普达瑞克机电工程有限公司</v>
      </c>
      <c r="D420" s="4">
        <f>华腾2023!E97</f>
        <v>54480</v>
      </c>
      <c r="E420" s="2">
        <f>华腾2023!F97</f>
        <v>0</v>
      </c>
      <c r="F420" s="4">
        <f>华腾2023!G97</f>
        <v>54480</v>
      </c>
      <c r="G420" s="4">
        <f>D420-F420</f>
        <v>0</v>
      </c>
      <c r="H420" s="9">
        <v>0</v>
      </c>
    </row>
    <row r="421" spans="1:8" ht="20.100000000000001" customHeight="1" x14ac:dyDescent="0.15">
      <c r="A421" s="22">
        <v>2023</v>
      </c>
      <c r="B421" s="21" t="str">
        <f>华腾2023!B98</f>
        <v>2023年中山门地热舒畅嘉园夏季检修项目</v>
      </c>
      <c r="C421" s="6" t="str">
        <f>华腾2023!C98</f>
        <v>天津军星管业集团建设工程有限公司</v>
      </c>
      <c r="D421" s="4">
        <f>华腾2023!E98</f>
        <v>182232</v>
      </c>
      <c r="E421" s="2">
        <f>华腾2023!F98</f>
        <v>182232</v>
      </c>
      <c r="F421" s="4">
        <f>华腾2023!G98</f>
        <v>0</v>
      </c>
      <c r="G421" s="4">
        <f>E421-F421</f>
        <v>182232</v>
      </c>
      <c r="H421" s="9">
        <v>182232</v>
      </c>
    </row>
    <row r="422" spans="1:8" ht="20.100000000000001" customHeight="1" x14ac:dyDescent="0.15">
      <c r="A422" s="22">
        <v>2023</v>
      </c>
      <c r="B422" s="21" t="str">
        <f>华腾2023!B99</f>
        <v>2023-2024年华腾供热采暖季应急用工项目</v>
      </c>
      <c r="C422" s="6" t="str">
        <f>华腾2023!C99</f>
        <v>天津诚泓建筑工程有限公司</v>
      </c>
      <c r="D422" s="4" t="str">
        <f>华腾2023!E99</f>
        <v>312.6元/天</v>
      </c>
      <c r="E422" s="2">
        <f>华腾2023!F99</f>
        <v>182245.8</v>
      </c>
      <c r="F422" s="4">
        <f>华腾2023!G99</f>
        <v>182245.8</v>
      </c>
      <c r="G422" s="4">
        <f>E422-F422</f>
        <v>0</v>
      </c>
      <c r="H422" s="9">
        <v>0</v>
      </c>
    </row>
    <row r="423" spans="1:8" ht="20.100000000000001" customHeight="1" x14ac:dyDescent="0.15">
      <c r="A423" s="110" t="s">
        <v>763</v>
      </c>
      <c r="B423" s="111"/>
      <c r="C423" s="112"/>
      <c r="D423" s="34">
        <f>SUM(D325:D378)</f>
        <v>18010304.800000001</v>
      </c>
      <c r="E423" s="34">
        <f>SUM(E325:E378)</f>
        <v>13391305</v>
      </c>
      <c r="F423" s="34">
        <f>SUM(F325:F378)</f>
        <v>9227672</v>
      </c>
      <c r="G423" s="34">
        <f>SUM(G325:G422)</f>
        <v>27383363.260000002</v>
      </c>
    </row>
    <row r="424" spans="1:8" ht="20.100000000000001" customHeight="1" x14ac:dyDescent="0.15">
      <c r="A424" s="113" t="s">
        <v>764</v>
      </c>
      <c r="B424" s="114"/>
      <c r="C424" s="113"/>
      <c r="D424" s="115"/>
      <c r="E424" s="115"/>
      <c r="F424" s="115"/>
      <c r="G424" s="35">
        <f>G259+G324+G423</f>
        <v>42748200.290000007</v>
      </c>
    </row>
    <row r="425" spans="1:8" ht="21.95" customHeight="1" x14ac:dyDescent="0.15">
      <c r="A425" s="17"/>
      <c r="B425" s="36"/>
      <c r="C425" s="37"/>
      <c r="F425" s="38"/>
      <c r="G425" s="38"/>
    </row>
    <row r="426" spans="1:8" ht="21.95" customHeight="1" x14ac:dyDescent="0.15">
      <c r="A426" s="17"/>
      <c r="B426" s="36"/>
      <c r="C426" s="37"/>
      <c r="G426" s="38"/>
    </row>
    <row r="427" spans="1:8" ht="21.95" customHeight="1" x14ac:dyDescent="0.15">
      <c r="A427" s="17"/>
      <c r="B427" s="36"/>
      <c r="C427" s="37"/>
      <c r="G427" s="38"/>
    </row>
    <row r="428" spans="1:8" ht="21.95" customHeight="1" x14ac:dyDescent="0.15">
      <c r="A428" s="17"/>
      <c r="B428" s="36"/>
      <c r="C428" s="37"/>
      <c r="G428" s="38"/>
    </row>
    <row r="429" spans="1:8" ht="21.95" customHeight="1" x14ac:dyDescent="0.15">
      <c r="A429" s="17"/>
      <c r="B429" s="36"/>
      <c r="C429" s="37"/>
      <c r="G429" s="38"/>
    </row>
    <row r="430" spans="1:8" ht="21.95" customHeight="1" x14ac:dyDescent="0.15">
      <c r="A430" s="17"/>
      <c r="B430" s="36"/>
      <c r="C430" s="37"/>
      <c r="G430" s="38"/>
    </row>
    <row r="431" spans="1:8" ht="21.95" customHeight="1" x14ac:dyDescent="0.15">
      <c r="A431" s="17"/>
      <c r="B431" s="36"/>
      <c r="C431" s="37"/>
      <c r="G431" s="38"/>
    </row>
    <row r="432" spans="1:8" ht="21.95" customHeight="1" x14ac:dyDescent="0.15">
      <c r="A432" s="17"/>
      <c r="B432" s="36"/>
      <c r="C432" s="37"/>
      <c r="G432" s="38"/>
    </row>
    <row r="433" spans="1:7" ht="21.95" customHeight="1" x14ac:dyDescent="0.15">
      <c r="A433" s="17"/>
      <c r="B433" s="36"/>
      <c r="C433" s="37"/>
      <c r="G433" s="38"/>
    </row>
    <row r="434" spans="1:7" ht="21.95" customHeight="1" x14ac:dyDescent="0.15">
      <c r="A434" s="17"/>
      <c r="B434" s="36"/>
      <c r="C434" s="37"/>
      <c r="G434" s="38"/>
    </row>
    <row r="435" spans="1:7" ht="21.95" customHeight="1" x14ac:dyDescent="0.15">
      <c r="A435" s="17"/>
      <c r="B435" s="36"/>
      <c r="C435" s="37"/>
      <c r="G435" s="38"/>
    </row>
    <row r="436" spans="1:7" ht="21.95" customHeight="1" x14ac:dyDescent="0.15">
      <c r="A436" s="17"/>
      <c r="B436" s="36"/>
      <c r="C436" s="37"/>
      <c r="G436" s="38"/>
    </row>
    <row r="437" spans="1:7" ht="21.95" customHeight="1" x14ac:dyDescent="0.15">
      <c r="A437" s="17"/>
      <c r="B437" s="36"/>
      <c r="C437" s="37"/>
    </row>
    <row r="438" spans="1:7" ht="21.95" customHeight="1" x14ac:dyDescent="0.15">
      <c r="A438" s="17"/>
      <c r="B438" s="36"/>
      <c r="C438" s="37"/>
    </row>
    <row r="439" spans="1:7" ht="21.95" customHeight="1" x14ac:dyDescent="0.15">
      <c r="A439" s="17"/>
      <c r="B439" s="36"/>
      <c r="C439" s="37"/>
    </row>
    <row r="440" spans="1:7" ht="21.95" customHeight="1" x14ac:dyDescent="0.15">
      <c r="A440" s="17"/>
      <c r="B440" s="36"/>
      <c r="C440" s="37"/>
    </row>
    <row r="441" spans="1:7" ht="21.95" customHeight="1" x14ac:dyDescent="0.15">
      <c r="A441" s="17"/>
      <c r="B441" s="36"/>
      <c r="C441" s="37"/>
    </row>
    <row r="442" spans="1:7" ht="21.95" customHeight="1" x14ac:dyDescent="0.15">
      <c r="A442" s="17"/>
      <c r="B442" s="36"/>
      <c r="C442" s="37"/>
    </row>
    <row r="443" spans="1:7" ht="21.95" customHeight="1" x14ac:dyDescent="0.15">
      <c r="A443" s="17"/>
      <c r="B443" s="36"/>
      <c r="C443" s="37"/>
    </row>
    <row r="444" spans="1:7" ht="21.95" customHeight="1" x14ac:dyDescent="0.15">
      <c r="A444" s="17"/>
      <c r="B444" s="36"/>
      <c r="C444" s="37"/>
    </row>
    <row r="445" spans="1:7" ht="21.95" customHeight="1" x14ac:dyDescent="0.15">
      <c r="A445" s="17"/>
      <c r="B445" s="36"/>
      <c r="C445" s="37"/>
    </row>
    <row r="446" spans="1:7" ht="21.95" customHeight="1" x14ac:dyDescent="0.15">
      <c r="A446" s="17"/>
      <c r="B446" s="36"/>
      <c r="C446" s="37"/>
    </row>
    <row r="447" spans="1:7" ht="21.95" customHeight="1" x14ac:dyDescent="0.15">
      <c r="A447" s="17"/>
      <c r="B447" s="36"/>
      <c r="C447" s="37"/>
    </row>
    <row r="448" spans="1:7" ht="21.95" customHeight="1" x14ac:dyDescent="0.15">
      <c r="A448" s="17"/>
      <c r="B448" s="36"/>
      <c r="C448" s="37"/>
    </row>
    <row r="449" spans="1:3" ht="21.95" customHeight="1" x14ac:dyDescent="0.15">
      <c r="A449" s="17"/>
      <c r="B449" s="36"/>
      <c r="C449" s="37"/>
    </row>
    <row r="450" spans="1:3" ht="21.95" customHeight="1" x14ac:dyDescent="0.15">
      <c r="A450" s="17"/>
      <c r="B450" s="36"/>
      <c r="C450" s="37"/>
    </row>
    <row r="451" spans="1:3" ht="21.95" customHeight="1" x14ac:dyDescent="0.15">
      <c r="A451" s="17"/>
      <c r="B451" s="36"/>
      <c r="C451" s="37"/>
    </row>
    <row r="452" spans="1:3" ht="21.95" customHeight="1" x14ac:dyDescent="0.15">
      <c r="A452" s="17"/>
      <c r="B452" s="36"/>
      <c r="C452" s="37"/>
    </row>
    <row r="453" spans="1:3" ht="21.95" customHeight="1" x14ac:dyDescent="0.15">
      <c r="A453" s="17"/>
      <c r="B453" s="36"/>
      <c r="C453" s="37"/>
    </row>
    <row r="454" spans="1:3" ht="21.95" customHeight="1" x14ac:dyDescent="0.15">
      <c r="A454" s="17"/>
      <c r="B454" s="36"/>
      <c r="C454" s="37"/>
    </row>
    <row r="455" spans="1:3" ht="21.95" customHeight="1" x14ac:dyDescent="0.15">
      <c r="A455" s="17"/>
      <c r="B455" s="36"/>
      <c r="C455" s="37"/>
    </row>
    <row r="456" spans="1:3" ht="21.95" customHeight="1" x14ac:dyDescent="0.15">
      <c r="A456" s="17"/>
      <c r="B456" s="36"/>
      <c r="C456" s="37"/>
    </row>
    <row r="457" spans="1:3" ht="21.95" customHeight="1" x14ac:dyDescent="0.15">
      <c r="A457" s="17"/>
      <c r="B457" s="36"/>
      <c r="C457" s="37"/>
    </row>
    <row r="458" spans="1:3" ht="21.95" customHeight="1" x14ac:dyDescent="0.15">
      <c r="A458" s="17"/>
      <c r="B458" s="36"/>
      <c r="C458" s="37"/>
    </row>
    <row r="459" spans="1:3" ht="21.95" customHeight="1" x14ac:dyDescent="0.15">
      <c r="A459" s="17"/>
      <c r="B459" s="36"/>
      <c r="C459" s="37"/>
    </row>
    <row r="460" spans="1:3" ht="21.95" customHeight="1" x14ac:dyDescent="0.15">
      <c r="A460" s="17"/>
      <c r="B460" s="36"/>
      <c r="C460" s="37"/>
    </row>
    <row r="461" spans="1:3" ht="21.95" customHeight="1" x14ac:dyDescent="0.15">
      <c r="A461" s="17"/>
      <c r="B461" s="36"/>
      <c r="C461" s="37"/>
    </row>
    <row r="462" spans="1:3" ht="21.95" customHeight="1" x14ac:dyDescent="0.15">
      <c r="A462" s="17"/>
      <c r="B462" s="36"/>
      <c r="C462" s="37"/>
    </row>
    <row r="463" spans="1:3" ht="21.95" customHeight="1" x14ac:dyDescent="0.15">
      <c r="A463" s="17"/>
      <c r="B463" s="36"/>
      <c r="C463" s="37"/>
    </row>
    <row r="464" spans="1:3" ht="21.95" customHeight="1" x14ac:dyDescent="0.15">
      <c r="A464" s="17"/>
      <c r="B464" s="36"/>
      <c r="C464" s="37"/>
    </row>
    <row r="465" spans="1:7" ht="21.95" customHeight="1" x14ac:dyDescent="0.15">
      <c r="A465" s="17"/>
      <c r="B465" s="36"/>
      <c r="C465" s="37"/>
    </row>
    <row r="466" spans="1:7" ht="21.95" customHeight="1" x14ac:dyDescent="0.15">
      <c r="A466" s="17"/>
      <c r="B466" s="36"/>
      <c r="C466" s="37"/>
    </row>
    <row r="467" spans="1:7" ht="21.95" customHeight="1" x14ac:dyDescent="0.15">
      <c r="A467" s="17"/>
      <c r="B467" s="36"/>
      <c r="C467" s="37"/>
    </row>
    <row r="468" spans="1:7" ht="21.95" customHeight="1" x14ac:dyDescent="0.15">
      <c r="A468" s="17"/>
      <c r="B468" s="36"/>
      <c r="C468" s="37"/>
      <c r="G468" s="38"/>
    </row>
    <row r="469" spans="1:7" ht="21.95" customHeight="1" x14ac:dyDescent="0.15">
      <c r="A469" s="17"/>
      <c r="B469" s="36"/>
      <c r="C469" s="37"/>
    </row>
    <row r="470" spans="1:7" ht="35.1" customHeight="1" x14ac:dyDescent="0.15">
      <c r="A470" s="17"/>
      <c r="B470" s="36"/>
      <c r="C470" s="37"/>
    </row>
    <row r="471" spans="1:7" ht="21.95" customHeight="1" x14ac:dyDescent="0.15">
      <c r="A471" s="17"/>
      <c r="B471" s="36"/>
      <c r="C471" s="37"/>
    </row>
    <row r="472" spans="1:7" ht="21.95" customHeight="1" x14ac:dyDescent="0.15">
      <c r="A472" s="17"/>
      <c r="B472" s="36"/>
      <c r="C472" s="37"/>
    </row>
    <row r="473" spans="1:7" ht="21.95" customHeight="1" x14ac:dyDescent="0.15">
      <c r="A473" s="17"/>
      <c r="B473" s="36"/>
      <c r="C473" s="37"/>
    </row>
    <row r="474" spans="1:7" ht="21.95" customHeight="1" x14ac:dyDescent="0.15">
      <c r="A474" s="17"/>
      <c r="B474" s="36"/>
      <c r="C474" s="37"/>
    </row>
    <row r="475" spans="1:7" ht="21.95" customHeight="1" x14ac:dyDescent="0.15">
      <c r="A475" s="17"/>
      <c r="B475" s="36"/>
      <c r="C475" s="37"/>
    </row>
    <row r="476" spans="1:7" ht="21.95" customHeight="1" x14ac:dyDescent="0.15">
      <c r="A476" s="17"/>
      <c r="B476" s="36"/>
      <c r="C476" s="37"/>
    </row>
    <row r="477" spans="1:7" ht="21.95" customHeight="1" x14ac:dyDescent="0.15">
      <c r="A477" s="17"/>
      <c r="B477" s="36"/>
      <c r="C477" s="37"/>
    </row>
    <row r="478" spans="1:7" ht="21.95" customHeight="1" x14ac:dyDescent="0.15">
      <c r="A478" s="17"/>
      <c r="B478" s="36"/>
      <c r="C478" s="37"/>
      <c r="G478" s="38"/>
    </row>
    <row r="479" spans="1:7" ht="21.95" customHeight="1" x14ac:dyDescent="0.15">
      <c r="A479" s="17"/>
      <c r="B479" s="36"/>
      <c r="C479" s="37"/>
      <c r="G479" s="38"/>
    </row>
    <row r="480" spans="1:7" ht="21.95" customHeight="1" x14ac:dyDescent="0.15">
      <c r="A480" s="17"/>
      <c r="B480" s="36"/>
      <c r="C480" s="37"/>
    </row>
    <row r="481" spans="1:7" ht="21.95" customHeight="1" x14ac:dyDescent="0.15">
      <c r="A481" s="17"/>
      <c r="B481" s="36"/>
      <c r="C481" s="37"/>
    </row>
    <row r="482" spans="1:7" ht="21.95" customHeight="1" x14ac:dyDescent="0.15">
      <c r="A482" s="17"/>
      <c r="B482" s="36"/>
      <c r="C482" s="37"/>
    </row>
    <row r="483" spans="1:7" ht="21.95" customHeight="1" x14ac:dyDescent="0.15">
      <c r="A483" s="17"/>
      <c r="B483" s="36"/>
      <c r="C483" s="37"/>
      <c r="G483" s="38"/>
    </row>
    <row r="484" spans="1:7" ht="21.95" customHeight="1" x14ac:dyDescent="0.15">
      <c r="A484" s="17"/>
      <c r="B484" s="36"/>
      <c r="C484" s="37"/>
    </row>
    <row r="485" spans="1:7" ht="21.95" customHeight="1" x14ac:dyDescent="0.15">
      <c r="A485" s="17"/>
      <c r="B485" s="36"/>
      <c r="C485" s="37"/>
    </row>
    <row r="486" spans="1:7" ht="21.95" customHeight="1" x14ac:dyDescent="0.15">
      <c r="A486" s="17"/>
      <c r="B486" s="36"/>
      <c r="C486" s="37"/>
    </row>
    <row r="487" spans="1:7" ht="21.95" customHeight="1" x14ac:dyDescent="0.15">
      <c r="A487" s="17"/>
      <c r="B487" s="36"/>
      <c r="C487" s="37"/>
    </row>
    <row r="488" spans="1:7" ht="21.95" customHeight="1" x14ac:dyDescent="0.15">
      <c r="A488" s="17"/>
      <c r="B488" s="36"/>
      <c r="C488" s="37"/>
    </row>
    <row r="489" spans="1:7" ht="21.95" customHeight="1" x14ac:dyDescent="0.15">
      <c r="A489" s="17"/>
      <c r="C489" s="37"/>
    </row>
    <row r="490" spans="1:7" ht="21.95" customHeight="1" x14ac:dyDescent="0.15">
      <c r="A490" s="17"/>
      <c r="B490" s="36"/>
      <c r="C490" s="37"/>
    </row>
    <row r="491" spans="1:7" ht="21.95" customHeight="1" x14ac:dyDescent="0.15">
      <c r="A491" s="17"/>
    </row>
    <row r="492" spans="1:7" ht="21.95" customHeight="1" x14ac:dyDescent="0.15">
      <c r="A492" s="17"/>
    </row>
    <row r="493" spans="1:7" ht="21.95" customHeight="1" x14ac:dyDescent="0.15">
      <c r="A493" s="17"/>
    </row>
    <row r="494" spans="1:7" s="8" customFormat="1" ht="21.95" customHeight="1" x14ac:dyDescent="0.15">
      <c r="A494" s="17"/>
      <c r="B494" s="39"/>
      <c r="C494" s="40"/>
      <c r="D494" s="38"/>
      <c r="E494" s="38"/>
      <c r="F494" s="38"/>
      <c r="G494" s="38"/>
    </row>
    <row r="495" spans="1:7" s="8" customFormat="1" ht="21.95" customHeight="1" x14ac:dyDescent="0.15">
      <c r="A495" s="17"/>
      <c r="B495" s="36"/>
      <c r="C495" s="37"/>
      <c r="D495" s="15"/>
      <c r="E495" s="38"/>
      <c r="F495" s="15"/>
      <c r="G495" s="38"/>
    </row>
    <row r="496" spans="1:7" s="8" customFormat="1" ht="21.95" customHeight="1" x14ac:dyDescent="0.15">
      <c r="A496" s="17"/>
      <c r="B496" s="36"/>
      <c r="C496" s="95"/>
      <c r="D496" s="15"/>
      <c r="E496" s="38"/>
      <c r="F496" s="15"/>
      <c r="G496" s="38"/>
    </row>
    <row r="497" spans="1:7" s="8" customFormat="1" ht="21.95" customHeight="1" x14ac:dyDescent="0.15">
      <c r="A497" s="17"/>
      <c r="B497" s="36"/>
      <c r="C497" s="95"/>
      <c r="D497" s="15"/>
      <c r="E497" s="38"/>
      <c r="F497" s="38"/>
      <c r="G497" s="38"/>
    </row>
    <row r="498" spans="1:7" s="8" customFormat="1" ht="21.95" customHeight="1" x14ac:dyDescent="0.15">
      <c r="A498" s="17"/>
      <c r="B498" s="36"/>
      <c r="C498" s="37"/>
      <c r="D498" s="15"/>
      <c r="E498" s="38"/>
      <c r="F498" s="15"/>
      <c r="G498" s="38"/>
    </row>
    <row r="499" spans="1:7" s="8" customFormat="1" ht="21.95" customHeight="1" x14ac:dyDescent="0.15">
      <c r="A499" s="17"/>
      <c r="B499" s="36"/>
      <c r="C499" s="37"/>
      <c r="D499" s="15"/>
      <c r="E499" s="38"/>
      <c r="F499" s="38"/>
      <c r="G499" s="38"/>
    </row>
    <row r="500" spans="1:7" s="8" customFormat="1" ht="21.95" customHeight="1" x14ac:dyDescent="0.15">
      <c r="A500" s="17"/>
      <c r="B500" s="36"/>
      <c r="C500" s="37"/>
      <c r="D500" s="15"/>
      <c r="E500" s="38"/>
      <c r="F500" s="15"/>
      <c r="G500" s="38"/>
    </row>
    <row r="501" spans="1:7" s="8" customFormat="1" ht="21.95" customHeight="1" x14ac:dyDescent="0.15">
      <c r="A501" s="17"/>
      <c r="B501" s="36"/>
      <c r="C501" s="37"/>
      <c r="D501" s="15"/>
      <c r="E501" s="38"/>
      <c r="F501" s="38"/>
      <c r="G501" s="38"/>
    </row>
    <row r="502" spans="1:7" s="8" customFormat="1" ht="21.95" customHeight="1" x14ac:dyDescent="0.15">
      <c r="A502" s="17"/>
      <c r="B502" s="36"/>
      <c r="C502" s="37"/>
      <c r="D502" s="15"/>
      <c r="E502" s="38"/>
      <c r="F502" s="15"/>
      <c r="G502" s="38"/>
    </row>
    <row r="503" spans="1:7" s="8" customFormat="1" ht="21.95" customHeight="1" x14ac:dyDescent="0.15">
      <c r="A503" s="17"/>
      <c r="B503" s="36"/>
      <c r="C503" s="37"/>
      <c r="D503" s="15"/>
      <c r="E503" s="38"/>
      <c r="F503" s="38"/>
      <c r="G503" s="38"/>
    </row>
    <row r="504" spans="1:7" s="8" customFormat="1" ht="21.95" customHeight="1" x14ac:dyDescent="0.15">
      <c r="A504" s="17"/>
      <c r="B504" s="36"/>
      <c r="C504" s="37"/>
      <c r="D504" s="15"/>
      <c r="E504" s="38"/>
      <c r="F504" s="15"/>
      <c r="G504" s="38"/>
    </row>
    <row r="505" spans="1:7" ht="21.95" customHeight="1" x14ac:dyDescent="0.15">
      <c r="A505" s="17"/>
      <c r="B505" s="36"/>
      <c r="C505" s="37"/>
      <c r="E505" s="38"/>
      <c r="F505" s="38"/>
      <c r="G505" s="38"/>
    </row>
    <row r="506" spans="1:7" ht="21.95" customHeight="1" x14ac:dyDescent="0.15">
      <c r="A506" s="17"/>
      <c r="B506" s="36"/>
      <c r="C506" s="37"/>
      <c r="E506" s="38"/>
      <c r="G506" s="38"/>
    </row>
    <row r="507" spans="1:7" ht="21.95" customHeight="1" x14ac:dyDescent="0.15">
      <c r="A507" s="17"/>
      <c r="B507" s="36"/>
      <c r="C507" s="37"/>
      <c r="E507" s="38"/>
      <c r="G507" s="38"/>
    </row>
    <row r="508" spans="1:7" ht="21.95" customHeight="1" x14ac:dyDescent="0.15">
      <c r="A508" s="17"/>
      <c r="B508" s="36"/>
      <c r="C508" s="37"/>
      <c r="E508" s="38"/>
      <c r="F508" s="38"/>
      <c r="G508" s="38"/>
    </row>
    <row r="509" spans="1:7" s="8" customFormat="1" ht="21.95" customHeight="1" x14ac:dyDescent="0.15">
      <c r="A509" s="17"/>
      <c r="B509" s="36"/>
      <c r="C509" s="37"/>
      <c r="D509" s="15"/>
      <c r="E509" s="38"/>
      <c r="F509" s="38"/>
      <c r="G509" s="38"/>
    </row>
    <row r="510" spans="1:7" s="8" customFormat="1" ht="21.95" customHeight="1" x14ac:dyDescent="0.15">
      <c r="A510" s="17"/>
      <c r="B510" s="36"/>
      <c r="C510" s="37"/>
      <c r="D510" s="15"/>
      <c r="E510" s="38"/>
      <c r="F510" s="38"/>
      <c r="G510" s="38"/>
    </row>
    <row r="511" spans="1:7" s="8" customFormat="1" ht="21.95" customHeight="1" x14ac:dyDescent="0.15">
      <c r="A511" s="17"/>
      <c r="B511" s="36"/>
      <c r="C511" s="37"/>
      <c r="D511" s="15"/>
      <c r="E511" s="38"/>
      <c r="F511" s="38"/>
      <c r="G511" s="38"/>
    </row>
    <row r="512" spans="1:7" s="8" customFormat="1" ht="21.95" customHeight="1" x14ac:dyDescent="0.15">
      <c r="A512" s="17"/>
      <c r="B512" s="36"/>
      <c r="C512" s="37"/>
      <c r="D512" s="15"/>
      <c r="E512" s="38"/>
      <c r="F512" s="38"/>
      <c r="G512" s="38"/>
    </row>
    <row r="513" spans="1:7" s="8" customFormat="1" ht="21.95" customHeight="1" x14ac:dyDescent="0.15">
      <c r="A513" s="17"/>
      <c r="B513" s="36"/>
      <c r="C513" s="37"/>
      <c r="D513" s="15"/>
      <c r="E513" s="38"/>
      <c r="F513" s="38"/>
      <c r="G513" s="38"/>
    </row>
    <row r="514" spans="1:7" s="8" customFormat="1" ht="21.95" customHeight="1" x14ac:dyDescent="0.15">
      <c r="A514" s="17"/>
      <c r="B514" s="36"/>
      <c r="C514" s="37"/>
      <c r="D514" s="15"/>
      <c r="E514" s="38"/>
      <c r="F514" s="38"/>
      <c r="G514" s="38"/>
    </row>
    <row r="515" spans="1:7" s="8" customFormat="1" ht="21.95" customHeight="1" x14ac:dyDescent="0.15">
      <c r="A515" s="17"/>
      <c r="B515" s="36"/>
      <c r="C515" s="37"/>
      <c r="D515" s="15"/>
      <c r="E515" s="38"/>
      <c r="F515" s="38"/>
      <c r="G515" s="38"/>
    </row>
    <row r="516" spans="1:7" s="8" customFormat="1" ht="21.95" customHeight="1" x14ac:dyDescent="0.15">
      <c r="A516" s="17"/>
      <c r="B516" s="36"/>
      <c r="C516" s="37"/>
      <c r="D516" s="15"/>
      <c r="E516" s="38"/>
      <c r="F516" s="38"/>
      <c r="G516" s="38"/>
    </row>
    <row r="517" spans="1:7" s="8" customFormat="1" ht="21.95" customHeight="1" x14ac:dyDescent="0.15">
      <c r="A517" s="17"/>
      <c r="B517" s="36"/>
      <c r="C517" s="37"/>
      <c r="D517" s="15"/>
      <c r="E517" s="38"/>
      <c r="F517" s="38"/>
      <c r="G517" s="38"/>
    </row>
    <row r="518" spans="1:7" s="8" customFormat="1" ht="21.95" customHeight="1" x14ac:dyDescent="0.15">
      <c r="A518" s="17"/>
      <c r="B518" s="36"/>
      <c r="C518" s="37"/>
      <c r="D518" s="15"/>
      <c r="E518" s="38"/>
      <c r="F518" s="38"/>
      <c r="G518" s="38"/>
    </row>
    <row r="519" spans="1:7" s="8" customFormat="1" ht="21.95" customHeight="1" x14ac:dyDescent="0.15">
      <c r="A519" s="17"/>
      <c r="B519" s="36"/>
      <c r="C519" s="37"/>
      <c r="D519" s="15"/>
      <c r="E519" s="38"/>
      <c r="F519" s="38"/>
      <c r="G519" s="38"/>
    </row>
    <row r="520" spans="1:7" s="8" customFormat="1" ht="32.1" customHeight="1" x14ac:dyDescent="0.15">
      <c r="A520" s="17"/>
      <c r="B520" s="36"/>
      <c r="C520" s="37"/>
      <c r="D520" s="15"/>
      <c r="E520" s="38"/>
      <c r="F520" s="38"/>
      <c r="G520" s="38"/>
    </row>
    <row r="521" spans="1:7" s="8" customFormat="1" ht="32.1" customHeight="1" x14ac:dyDescent="0.15">
      <c r="A521" s="17"/>
      <c r="B521" s="36"/>
      <c r="C521" s="37"/>
      <c r="D521" s="15"/>
      <c r="E521" s="38"/>
      <c r="F521" s="38"/>
      <c r="G521" s="38"/>
    </row>
    <row r="522" spans="1:7" s="8" customFormat="1" ht="32.1" customHeight="1" x14ac:dyDescent="0.15">
      <c r="A522" s="17"/>
      <c r="B522" s="36"/>
      <c r="C522" s="37"/>
      <c r="D522" s="15"/>
      <c r="E522" s="38"/>
      <c r="F522" s="38"/>
      <c r="G522" s="38"/>
    </row>
    <row r="523" spans="1:7" s="8" customFormat="1" ht="32.1" customHeight="1" x14ac:dyDescent="0.15">
      <c r="A523" s="17"/>
      <c r="B523" s="36"/>
      <c r="C523" s="37"/>
      <c r="D523" s="15"/>
      <c r="E523" s="38"/>
      <c r="F523" s="38"/>
      <c r="G523" s="38"/>
    </row>
    <row r="524" spans="1:7" s="8" customFormat="1" ht="32.1" customHeight="1" x14ac:dyDescent="0.15">
      <c r="A524" s="17"/>
      <c r="B524" s="36"/>
      <c r="C524" s="37"/>
      <c r="D524" s="15"/>
      <c r="E524" s="38"/>
      <c r="F524" s="38"/>
      <c r="G524" s="38"/>
    </row>
    <row r="525" spans="1:7" s="8" customFormat="1" ht="32.1" customHeight="1" x14ac:dyDescent="0.15">
      <c r="A525" s="17"/>
      <c r="B525" s="36"/>
      <c r="C525" s="37"/>
      <c r="D525" s="15"/>
      <c r="E525" s="38"/>
      <c r="F525" s="38"/>
      <c r="G525" s="38"/>
    </row>
    <row r="526" spans="1:7" ht="32.1" customHeight="1" x14ac:dyDescent="0.15">
      <c r="A526" s="17"/>
      <c r="B526" s="36"/>
      <c r="C526" s="37"/>
      <c r="E526" s="38"/>
      <c r="F526" s="38"/>
      <c r="G526" s="38"/>
    </row>
    <row r="527" spans="1:7" ht="32.1" customHeight="1" x14ac:dyDescent="0.15">
      <c r="A527" s="17"/>
      <c r="B527" s="36"/>
      <c r="C527" s="37"/>
      <c r="F527" s="38"/>
      <c r="G527" s="38"/>
    </row>
    <row r="528" spans="1:7" ht="32.1" customHeight="1" x14ac:dyDescent="0.15">
      <c r="A528" s="17"/>
      <c r="B528" s="36"/>
      <c r="C528" s="37"/>
      <c r="F528" s="38"/>
      <c r="G528" s="38"/>
    </row>
    <row r="529" spans="1:7" ht="32.1" customHeight="1" x14ac:dyDescent="0.15">
      <c r="A529" s="17"/>
      <c r="B529" s="36"/>
      <c r="C529" s="37"/>
      <c r="F529" s="38"/>
      <c r="G529" s="38"/>
    </row>
    <row r="530" spans="1:7" ht="21.95" customHeight="1" x14ac:dyDescent="0.15">
      <c r="A530" s="17"/>
      <c r="B530" s="36"/>
      <c r="C530" s="37"/>
      <c r="F530" s="38"/>
      <c r="G530" s="38"/>
    </row>
    <row r="531" spans="1:7" ht="54" customHeight="1" x14ac:dyDescent="0.15">
      <c r="A531" s="17"/>
      <c r="B531" s="36"/>
      <c r="C531" s="37"/>
      <c r="F531" s="38"/>
      <c r="G531" s="38"/>
    </row>
    <row r="532" spans="1:7" ht="21.95" customHeight="1" x14ac:dyDescent="0.15">
      <c r="A532" s="17"/>
      <c r="B532" s="36"/>
      <c r="C532" s="37"/>
      <c r="F532" s="38"/>
      <c r="G532" s="38"/>
    </row>
    <row r="533" spans="1:7" ht="21.95" customHeight="1" x14ac:dyDescent="0.15">
      <c r="A533" s="17"/>
      <c r="B533" s="36"/>
      <c r="C533" s="37"/>
      <c r="F533" s="38"/>
      <c r="G533" s="38"/>
    </row>
    <row r="534" spans="1:7" ht="21.95" customHeight="1" x14ac:dyDescent="0.15">
      <c r="A534" s="17"/>
      <c r="B534" s="36"/>
      <c r="C534" s="37"/>
      <c r="F534" s="38"/>
      <c r="G534" s="38"/>
    </row>
    <row r="535" spans="1:7" ht="21.95" customHeight="1" x14ac:dyDescent="0.15">
      <c r="A535" s="17"/>
      <c r="B535" s="36"/>
      <c r="C535" s="37"/>
      <c r="F535" s="38"/>
      <c r="G535" s="38"/>
    </row>
    <row r="536" spans="1:7" ht="21.95" customHeight="1" x14ac:dyDescent="0.15">
      <c r="A536" s="17"/>
      <c r="B536" s="36"/>
      <c r="C536" s="37"/>
      <c r="F536" s="38"/>
      <c r="G536" s="38"/>
    </row>
    <row r="537" spans="1:7" ht="21.95" customHeight="1" x14ac:dyDescent="0.15">
      <c r="A537" s="17"/>
      <c r="B537" s="36"/>
      <c r="C537" s="37"/>
      <c r="F537" s="38"/>
      <c r="G537" s="38"/>
    </row>
    <row r="538" spans="1:7" ht="21.95" customHeight="1" x14ac:dyDescent="0.15">
      <c r="A538" s="17"/>
      <c r="B538" s="36"/>
      <c r="C538" s="37"/>
      <c r="G538" s="38"/>
    </row>
    <row r="539" spans="1:7" ht="21.95" customHeight="1" x14ac:dyDescent="0.15">
      <c r="A539" s="17"/>
      <c r="B539" s="36"/>
      <c r="C539" s="37"/>
      <c r="G539" s="38"/>
    </row>
    <row r="540" spans="1:7" ht="21.95" customHeight="1" x14ac:dyDescent="0.15">
      <c r="A540" s="17"/>
      <c r="B540" s="36"/>
      <c r="C540" s="37"/>
      <c r="G540" s="38"/>
    </row>
    <row r="541" spans="1:7" ht="21.95" customHeight="1" x14ac:dyDescent="0.15">
      <c r="A541" s="17"/>
      <c r="B541" s="36"/>
      <c r="C541" s="37"/>
      <c r="G541" s="38"/>
    </row>
    <row r="542" spans="1:7" ht="21.95" customHeight="1" x14ac:dyDescent="0.15">
      <c r="A542" s="17"/>
      <c r="B542" s="36"/>
      <c r="C542" s="37"/>
      <c r="G542" s="38"/>
    </row>
    <row r="543" spans="1:7" ht="21.95" customHeight="1" x14ac:dyDescent="0.15">
      <c r="A543" s="17"/>
      <c r="B543" s="36"/>
      <c r="C543" s="37"/>
      <c r="G543" s="38"/>
    </row>
    <row r="544" spans="1:7" ht="21.95" customHeight="1" x14ac:dyDescent="0.15">
      <c r="A544" s="17"/>
      <c r="B544" s="36"/>
      <c r="C544" s="37"/>
      <c r="G544" s="38"/>
    </row>
    <row r="545" spans="1:7" ht="21.95" customHeight="1" x14ac:dyDescent="0.15">
      <c r="A545" s="17"/>
      <c r="B545" s="36"/>
      <c r="C545" s="37"/>
      <c r="G545" s="38"/>
    </row>
    <row r="546" spans="1:7" ht="21.95" customHeight="1" x14ac:dyDescent="0.15">
      <c r="A546" s="17"/>
      <c r="B546" s="36"/>
      <c r="C546" s="37"/>
      <c r="G546" s="38"/>
    </row>
    <row r="547" spans="1:7" ht="21.95" customHeight="1" x14ac:dyDescent="0.15">
      <c r="A547" s="17"/>
      <c r="B547" s="36"/>
      <c r="C547" s="37"/>
      <c r="G547" s="38"/>
    </row>
    <row r="548" spans="1:7" ht="21.95" customHeight="1" x14ac:dyDescent="0.15">
      <c r="A548" s="17"/>
      <c r="B548" s="36"/>
      <c r="C548" s="37"/>
      <c r="G548" s="38"/>
    </row>
    <row r="549" spans="1:7" ht="21.95" customHeight="1" x14ac:dyDescent="0.15">
      <c r="A549" s="17"/>
      <c r="B549" s="36"/>
      <c r="C549" s="37"/>
    </row>
    <row r="550" spans="1:7" ht="21.95" customHeight="1" x14ac:dyDescent="0.15">
      <c r="A550" s="17"/>
      <c r="B550" s="36"/>
      <c r="C550" s="37"/>
    </row>
    <row r="551" spans="1:7" ht="21.95" customHeight="1" x14ac:dyDescent="0.15">
      <c r="A551" s="17"/>
      <c r="B551" s="36"/>
      <c r="C551" s="37"/>
    </row>
    <row r="552" spans="1:7" ht="21.95" customHeight="1" x14ac:dyDescent="0.15">
      <c r="A552" s="17"/>
      <c r="B552" s="36"/>
      <c r="C552" s="37"/>
    </row>
    <row r="553" spans="1:7" ht="21.95" customHeight="1" x14ac:dyDescent="0.15">
      <c r="A553" s="17"/>
      <c r="B553" s="36"/>
      <c r="C553" s="37"/>
    </row>
    <row r="554" spans="1:7" ht="21.95" customHeight="1" x14ac:dyDescent="0.15">
      <c r="A554" s="17"/>
      <c r="B554" s="36"/>
      <c r="C554" s="37"/>
    </row>
    <row r="555" spans="1:7" ht="21.95" customHeight="1" x14ac:dyDescent="0.15">
      <c r="A555" s="17"/>
      <c r="B555" s="36"/>
      <c r="C555" s="37"/>
    </row>
    <row r="556" spans="1:7" ht="21.95" customHeight="1" x14ac:dyDescent="0.15">
      <c r="A556" s="17"/>
      <c r="B556" s="36"/>
      <c r="C556" s="37"/>
    </row>
    <row r="557" spans="1:7" ht="21.95" customHeight="1" x14ac:dyDescent="0.15">
      <c r="A557" s="17"/>
      <c r="B557" s="36"/>
      <c r="C557" s="37"/>
    </row>
    <row r="558" spans="1:7" ht="21.95" customHeight="1" x14ac:dyDescent="0.15">
      <c r="A558" s="17"/>
      <c r="B558" s="36"/>
      <c r="C558" s="37"/>
    </row>
    <row r="559" spans="1:7" ht="21.95" customHeight="1" x14ac:dyDescent="0.15">
      <c r="A559" s="17"/>
      <c r="B559" s="36"/>
      <c r="C559" s="37"/>
    </row>
    <row r="560" spans="1:7" ht="21.95" customHeight="1" x14ac:dyDescent="0.15">
      <c r="A560" s="17"/>
      <c r="B560" s="36"/>
      <c r="C560" s="37"/>
    </row>
    <row r="561" spans="1:3" ht="21.95" customHeight="1" x14ac:dyDescent="0.15">
      <c r="A561" s="17"/>
      <c r="B561" s="36"/>
      <c r="C561" s="37"/>
    </row>
    <row r="562" spans="1:3" ht="21.95" customHeight="1" x14ac:dyDescent="0.15">
      <c r="A562" s="17"/>
      <c r="B562" s="36"/>
      <c r="C562" s="37"/>
    </row>
    <row r="563" spans="1:3" ht="21.95" customHeight="1" x14ac:dyDescent="0.15">
      <c r="A563" s="17"/>
      <c r="B563" s="36"/>
      <c r="C563" s="37"/>
    </row>
    <row r="564" spans="1:3" ht="21.95" customHeight="1" x14ac:dyDescent="0.15">
      <c r="A564" s="17"/>
      <c r="B564" s="36"/>
      <c r="C564" s="37"/>
    </row>
    <row r="565" spans="1:3" ht="21.95" customHeight="1" x14ac:dyDescent="0.15">
      <c r="A565" s="17"/>
      <c r="B565" s="36"/>
      <c r="C565" s="37"/>
    </row>
    <row r="566" spans="1:3" ht="21.95" customHeight="1" x14ac:dyDescent="0.15">
      <c r="A566" s="17"/>
      <c r="B566" s="36"/>
      <c r="C566" s="37"/>
    </row>
    <row r="567" spans="1:3" ht="21.95" customHeight="1" x14ac:dyDescent="0.15">
      <c r="A567" s="17"/>
      <c r="B567" s="36"/>
      <c r="C567" s="37"/>
    </row>
    <row r="568" spans="1:3" ht="21.95" customHeight="1" x14ac:dyDescent="0.15">
      <c r="A568" s="17"/>
      <c r="B568" s="36"/>
      <c r="C568" s="37"/>
    </row>
    <row r="569" spans="1:3" ht="21.95" customHeight="1" x14ac:dyDescent="0.15">
      <c r="A569" s="17"/>
      <c r="B569" s="36"/>
      <c r="C569" s="37"/>
    </row>
    <row r="570" spans="1:3" ht="21.95" customHeight="1" x14ac:dyDescent="0.15">
      <c r="A570" s="17"/>
      <c r="B570" s="36"/>
      <c r="C570" s="37"/>
    </row>
    <row r="571" spans="1:3" ht="21.95" customHeight="1" x14ac:dyDescent="0.15">
      <c r="A571" s="17"/>
      <c r="B571" s="36"/>
      <c r="C571" s="37"/>
    </row>
    <row r="572" spans="1:3" ht="21.95" customHeight="1" x14ac:dyDescent="0.15">
      <c r="A572" s="17"/>
      <c r="B572" s="36"/>
      <c r="C572" s="37"/>
    </row>
    <row r="573" spans="1:3" ht="21.95" customHeight="1" x14ac:dyDescent="0.15">
      <c r="A573" s="17"/>
      <c r="B573" s="36"/>
      <c r="C573" s="37"/>
    </row>
    <row r="574" spans="1:3" ht="21.95" customHeight="1" x14ac:dyDescent="0.15">
      <c r="A574" s="17"/>
      <c r="B574" s="36"/>
      <c r="C574" s="37"/>
    </row>
    <row r="575" spans="1:3" ht="21.95" customHeight="1" x14ac:dyDescent="0.15">
      <c r="A575" s="17"/>
      <c r="B575" s="36"/>
      <c r="C575" s="37"/>
    </row>
    <row r="576" spans="1:3" ht="21.95" customHeight="1" x14ac:dyDescent="0.15">
      <c r="A576" s="17"/>
      <c r="B576" s="36"/>
      <c r="C576" s="37"/>
    </row>
    <row r="577" spans="1:7" ht="21.95" customHeight="1" x14ac:dyDescent="0.15">
      <c r="A577" s="17"/>
      <c r="B577" s="36"/>
      <c r="C577" s="37"/>
    </row>
    <row r="578" spans="1:7" ht="21.95" customHeight="1" x14ac:dyDescent="0.15">
      <c r="A578" s="17"/>
      <c r="B578" s="36"/>
      <c r="C578" s="37"/>
    </row>
    <row r="579" spans="1:7" ht="21.95" customHeight="1" x14ac:dyDescent="0.15">
      <c r="A579" s="17"/>
      <c r="B579" s="36"/>
      <c r="C579" s="37"/>
    </row>
    <row r="580" spans="1:7" ht="21.95" customHeight="1" x14ac:dyDescent="0.15">
      <c r="A580" s="17"/>
      <c r="B580" s="36"/>
      <c r="C580" s="37"/>
      <c r="G580" s="38"/>
    </row>
    <row r="581" spans="1:7" ht="21.95" customHeight="1" x14ac:dyDescent="0.15">
      <c r="A581" s="17"/>
      <c r="B581" s="36"/>
      <c r="C581" s="37"/>
    </row>
    <row r="582" spans="1:7" ht="35.1" customHeight="1" x14ac:dyDescent="0.15">
      <c r="A582" s="17"/>
      <c r="B582" s="36"/>
      <c r="C582" s="37"/>
    </row>
    <row r="583" spans="1:7" ht="21.95" customHeight="1" x14ac:dyDescent="0.15">
      <c r="A583" s="17"/>
      <c r="B583" s="36"/>
      <c r="C583" s="37"/>
    </row>
    <row r="584" spans="1:7" ht="21.95" customHeight="1" x14ac:dyDescent="0.15">
      <c r="A584" s="17"/>
      <c r="B584" s="36"/>
      <c r="C584" s="37"/>
    </row>
    <row r="585" spans="1:7" ht="21.95" customHeight="1" x14ac:dyDescent="0.15">
      <c r="A585" s="17"/>
      <c r="B585" s="36"/>
      <c r="C585" s="37"/>
    </row>
    <row r="586" spans="1:7" ht="21.95" customHeight="1" x14ac:dyDescent="0.15">
      <c r="A586" s="17"/>
      <c r="B586" s="36"/>
      <c r="C586" s="37"/>
    </row>
    <row r="587" spans="1:7" ht="21.95" customHeight="1" x14ac:dyDescent="0.15">
      <c r="A587" s="17"/>
      <c r="B587" s="36"/>
      <c r="C587" s="37"/>
    </row>
    <row r="588" spans="1:7" ht="21.95" customHeight="1" x14ac:dyDescent="0.15">
      <c r="A588" s="17"/>
      <c r="B588" s="36"/>
      <c r="C588" s="37"/>
    </row>
    <row r="589" spans="1:7" ht="21.95" customHeight="1" x14ac:dyDescent="0.15">
      <c r="A589" s="17"/>
      <c r="B589" s="36"/>
      <c r="C589" s="37"/>
    </row>
    <row r="590" spans="1:7" ht="21.95" customHeight="1" x14ac:dyDescent="0.15">
      <c r="A590" s="17"/>
      <c r="B590" s="36"/>
      <c r="C590" s="37"/>
      <c r="G590" s="38"/>
    </row>
    <row r="591" spans="1:7" ht="21.95" customHeight="1" x14ac:dyDescent="0.15">
      <c r="A591" s="17"/>
      <c r="B591" s="36"/>
      <c r="C591" s="37"/>
      <c r="G591" s="38"/>
    </row>
    <row r="592" spans="1:7" ht="21.95" customHeight="1" x14ac:dyDescent="0.15">
      <c r="A592" s="17"/>
      <c r="B592" s="36"/>
      <c r="C592" s="37"/>
    </row>
    <row r="593" spans="1:7" ht="21.95" customHeight="1" x14ac:dyDescent="0.15">
      <c r="A593" s="17"/>
      <c r="B593" s="36"/>
      <c r="C593" s="37"/>
    </row>
    <row r="594" spans="1:7" ht="21.95" customHeight="1" x14ac:dyDescent="0.15">
      <c r="A594" s="17"/>
      <c r="B594" s="36"/>
      <c r="C594" s="37"/>
    </row>
    <row r="595" spans="1:7" ht="21.95" customHeight="1" x14ac:dyDescent="0.15">
      <c r="A595" s="17"/>
      <c r="B595" s="36"/>
      <c r="C595" s="37"/>
      <c r="G595" s="38"/>
    </row>
    <row r="596" spans="1:7" ht="21.95" customHeight="1" x14ac:dyDescent="0.15">
      <c r="A596" s="17"/>
      <c r="B596" s="36"/>
      <c r="C596" s="37"/>
    </row>
    <row r="597" spans="1:7" ht="21.95" customHeight="1" x14ac:dyDescent="0.15">
      <c r="A597" s="17"/>
      <c r="B597" s="36"/>
      <c r="C597" s="37"/>
    </row>
    <row r="598" spans="1:7" ht="21.95" customHeight="1" x14ac:dyDescent="0.15">
      <c r="A598" s="17"/>
      <c r="B598" s="36"/>
      <c r="C598" s="37"/>
    </row>
    <row r="599" spans="1:7" ht="21.95" customHeight="1" x14ac:dyDescent="0.15">
      <c r="A599" s="17"/>
      <c r="B599" s="36"/>
      <c r="C599" s="37"/>
    </row>
    <row r="600" spans="1:7" ht="21.95" customHeight="1" x14ac:dyDescent="0.15">
      <c r="A600" s="17"/>
      <c r="B600" s="36"/>
      <c r="C600" s="37"/>
    </row>
    <row r="601" spans="1:7" ht="21.95" customHeight="1" x14ac:dyDescent="0.15">
      <c r="A601" s="17"/>
      <c r="C601" s="37"/>
    </row>
    <row r="602" spans="1:7" ht="21.95" customHeight="1" x14ac:dyDescent="0.15">
      <c r="A602" s="17"/>
      <c r="B602" s="36"/>
      <c r="C602" s="37"/>
    </row>
    <row r="603" spans="1:7" ht="21.95" customHeight="1" x14ac:dyDescent="0.15">
      <c r="A603" s="17"/>
    </row>
    <row r="604" spans="1:7" ht="21.95" customHeight="1" x14ac:dyDescent="0.15">
      <c r="A604" s="17"/>
    </row>
    <row r="605" spans="1:7" ht="21.95" customHeight="1" x14ac:dyDescent="0.15">
      <c r="A605" s="17"/>
    </row>
    <row r="606" spans="1:7" s="8" customFormat="1" ht="21.95" customHeight="1" x14ac:dyDescent="0.15">
      <c r="A606" s="17"/>
      <c r="B606" s="39"/>
      <c r="C606" s="40"/>
      <c r="D606" s="38"/>
      <c r="E606" s="38"/>
      <c r="F606" s="38"/>
      <c r="G606" s="38"/>
    </row>
    <row r="607" spans="1:7" s="8" customFormat="1" ht="21.95" customHeight="1" x14ac:dyDescent="0.15">
      <c r="A607" s="17"/>
      <c r="B607" s="36"/>
      <c r="C607" s="37"/>
      <c r="D607" s="15"/>
      <c r="E607" s="38"/>
      <c r="F607" s="15"/>
      <c r="G607" s="38"/>
    </row>
    <row r="608" spans="1:7" s="8" customFormat="1" ht="21.95" customHeight="1" x14ac:dyDescent="0.15">
      <c r="A608" s="17"/>
      <c r="B608" s="36"/>
      <c r="C608" s="95"/>
      <c r="D608" s="15"/>
      <c r="E608" s="38"/>
      <c r="F608" s="15"/>
      <c r="G608" s="38"/>
    </row>
    <row r="609" spans="1:7" s="8" customFormat="1" ht="21.95" customHeight="1" x14ac:dyDescent="0.15">
      <c r="A609" s="17"/>
      <c r="B609" s="36"/>
      <c r="C609" s="95"/>
      <c r="D609" s="15"/>
      <c r="E609" s="38"/>
      <c r="F609" s="38"/>
      <c r="G609" s="38"/>
    </row>
    <row r="610" spans="1:7" s="8" customFormat="1" ht="21.95" customHeight="1" x14ac:dyDescent="0.15">
      <c r="A610" s="17"/>
      <c r="B610" s="36"/>
      <c r="C610" s="37"/>
      <c r="D610" s="15"/>
      <c r="E610" s="38"/>
      <c r="F610" s="15"/>
      <c r="G610" s="38"/>
    </row>
    <row r="611" spans="1:7" s="8" customFormat="1" ht="21.95" customHeight="1" x14ac:dyDescent="0.15">
      <c r="A611" s="17"/>
      <c r="B611" s="36"/>
      <c r="C611" s="37"/>
      <c r="D611" s="15"/>
      <c r="E611" s="38"/>
      <c r="F611" s="38"/>
      <c r="G611" s="38"/>
    </row>
    <row r="612" spans="1:7" s="8" customFormat="1" ht="21.95" customHeight="1" x14ac:dyDescent="0.15">
      <c r="A612" s="17"/>
      <c r="B612" s="36"/>
      <c r="C612" s="37"/>
      <c r="D612" s="15"/>
      <c r="E612" s="38"/>
      <c r="F612" s="15"/>
      <c r="G612" s="38"/>
    </row>
    <row r="613" spans="1:7" s="8" customFormat="1" ht="21.95" customHeight="1" x14ac:dyDescent="0.15">
      <c r="A613" s="17"/>
      <c r="B613" s="36"/>
      <c r="C613" s="37"/>
      <c r="D613" s="15"/>
      <c r="E613" s="38"/>
      <c r="F613" s="38"/>
      <c r="G613" s="38"/>
    </row>
    <row r="614" spans="1:7" s="8" customFormat="1" ht="21.95" customHeight="1" x14ac:dyDescent="0.15">
      <c r="A614" s="17"/>
      <c r="B614" s="36"/>
      <c r="C614" s="37"/>
      <c r="D614" s="15"/>
      <c r="E614" s="38"/>
      <c r="F614" s="15"/>
      <c r="G614" s="38"/>
    </row>
    <row r="615" spans="1:7" s="8" customFormat="1" ht="21.95" customHeight="1" x14ac:dyDescent="0.15">
      <c r="A615" s="17"/>
      <c r="B615" s="36"/>
      <c r="C615" s="37"/>
      <c r="D615" s="15"/>
      <c r="E615" s="38"/>
      <c r="F615" s="38"/>
      <c r="G615" s="38"/>
    </row>
    <row r="616" spans="1:7" s="8" customFormat="1" ht="21.95" customHeight="1" x14ac:dyDescent="0.15">
      <c r="A616" s="17"/>
      <c r="B616" s="36"/>
      <c r="C616" s="37"/>
      <c r="D616" s="15"/>
      <c r="E616" s="38"/>
      <c r="F616" s="15"/>
      <c r="G616" s="38"/>
    </row>
    <row r="617" spans="1:7" ht="21.95" customHeight="1" x14ac:dyDescent="0.15">
      <c r="A617" s="17"/>
      <c r="B617" s="36"/>
      <c r="C617" s="37"/>
      <c r="E617" s="38"/>
      <c r="F617" s="38"/>
      <c r="G617" s="38"/>
    </row>
    <row r="618" spans="1:7" ht="21.95" customHeight="1" x14ac:dyDescent="0.15">
      <c r="A618" s="17"/>
      <c r="B618" s="36"/>
      <c r="C618" s="37"/>
      <c r="E618" s="38"/>
      <c r="G618" s="38"/>
    </row>
    <row r="619" spans="1:7" ht="21.95" customHeight="1" x14ac:dyDescent="0.15">
      <c r="A619" s="17"/>
      <c r="B619" s="36"/>
      <c r="C619" s="37"/>
      <c r="E619" s="38"/>
      <c r="G619" s="38"/>
    </row>
    <row r="620" spans="1:7" ht="21.95" customHeight="1" x14ac:dyDescent="0.15">
      <c r="A620" s="17"/>
      <c r="B620" s="36"/>
      <c r="C620" s="37"/>
      <c r="E620" s="38"/>
      <c r="F620" s="38"/>
      <c r="G620" s="38"/>
    </row>
    <row r="621" spans="1:7" s="8" customFormat="1" ht="21.95" customHeight="1" x14ac:dyDescent="0.15">
      <c r="A621" s="17"/>
      <c r="B621" s="36"/>
      <c r="C621" s="37"/>
      <c r="D621" s="15"/>
      <c r="E621" s="38"/>
      <c r="F621" s="38"/>
      <c r="G621" s="38"/>
    </row>
    <row r="622" spans="1:7" s="8" customFormat="1" ht="21.95" customHeight="1" x14ac:dyDescent="0.15">
      <c r="A622" s="17"/>
      <c r="B622" s="36"/>
      <c r="C622" s="37"/>
      <c r="D622" s="15"/>
      <c r="E622" s="38"/>
      <c r="F622" s="38"/>
      <c r="G622" s="38"/>
    </row>
    <row r="623" spans="1:7" s="8" customFormat="1" ht="21.95" customHeight="1" x14ac:dyDescent="0.15">
      <c r="A623" s="17"/>
      <c r="B623" s="36"/>
      <c r="C623" s="37"/>
      <c r="D623" s="15"/>
      <c r="E623" s="38"/>
      <c r="F623" s="38"/>
      <c r="G623" s="38"/>
    </row>
    <row r="624" spans="1:7" s="8" customFormat="1" ht="21.95" customHeight="1" x14ac:dyDescent="0.15">
      <c r="A624" s="17"/>
      <c r="B624" s="36"/>
      <c r="C624" s="37"/>
      <c r="D624" s="15"/>
      <c r="E624" s="38"/>
      <c r="F624" s="38"/>
      <c r="G624" s="38"/>
    </row>
    <row r="625" spans="1:7" s="8" customFormat="1" ht="21.95" customHeight="1" x14ac:dyDescent="0.15">
      <c r="A625" s="17"/>
      <c r="B625" s="36"/>
      <c r="C625" s="37"/>
      <c r="D625" s="15"/>
      <c r="E625" s="38"/>
      <c r="F625" s="38"/>
      <c r="G625" s="38"/>
    </row>
    <row r="626" spans="1:7" s="8" customFormat="1" ht="21.95" customHeight="1" x14ac:dyDescent="0.15">
      <c r="A626" s="17"/>
      <c r="B626" s="36"/>
      <c r="C626" s="37"/>
      <c r="D626" s="15"/>
      <c r="E626" s="38"/>
      <c r="F626" s="38"/>
      <c r="G626" s="38"/>
    </row>
    <row r="627" spans="1:7" s="8" customFormat="1" ht="21.95" customHeight="1" x14ac:dyDescent="0.15">
      <c r="A627" s="17"/>
      <c r="B627" s="36"/>
      <c r="C627" s="37"/>
      <c r="D627" s="15"/>
      <c r="E627" s="38"/>
      <c r="F627" s="38"/>
      <c r="G627" s="38"/>
    </row>
    <row r="628" spans="1:7" s="8" customFormat="1" ht="21.95" customHeight="1" x14ac:dyDescent="0.15">
      <c r="A628" s="17"/>
      <c r="B628" s="36"/>
      <c r="C628" s="37"/>
      <c r="D628" s="15"/>
      <c r="E628" s="38"/>
      <c r="F628" s="38"/>
      <c r="G628" s="38"/>
    </row>
    <row r="629" spans="1:7" s="8" customFormat="1" ht="21.95" customHeight="1" x14ac:dyDescent="0.15">
      <c r="A629" s="17"/>
      <c r="B629" s="36"/>
      <c r="C629" s="37"/>
      <c r="D629" s="15"/>
      <c r="E629" s="38"/>
      <c r="F629" s="38"/>
      <c r="G629" s="38"/>
    </row>
    <row r="630" spans="1:7" s="8" customFormat="1" ht="21.95" customHeight="1" x14ac:dyDescent="0.15">
      <c r="A630" s="17"/>
      <c r="B630" s="36"/>
      <c r="C630" s="37"/>
      <c r="D630" s="15"/>
      <c r="E630" s="38"/>
      <c r="F630" s="38"/>
      <c r="G630" s="38"/>
    </row>
    <row r="631" spans="1:7" s="8" customFormat="1" ht="21.95" customHeight="1" x14ac:dyDescent="0.15">
      <c r="A631" s="17"/>
      <c r="B631" s="36"/>
      <c r="C631" s="37"/>
      <c r="D631" s="15"/>
      <c r="E631" s="38"/>
      <c r="F631" s="38"/>
      <c r="G631" s="38"/>
    </row>
    <row r="632" spans="1:7" s="8" customFormat="1" ht="32.1" customHeight="1" x14ac:dyDescent="0.15">
      <c r="A632" s="17"/>
      <c r="B632" s="36"/>
      <c r="C632" s="37"/>
      <c r="D632" s="15"/>
      <c r="E632" s="38"/>
      <c r="F632" s="38"/>
      <c r="G632" s="38"/>
    </row>
    <row r="633" spans="1:7" s="8" customFormat="1" ht="32.1" customHeight="1" x14ac:dyDescent="0.15">
      <c r="A633" s="17"/>
      <c r="B633" s="36"/>
      <c r="C633" s="37"/>
      <c r="D633" s="15"/>
      <c r="E633" s="38"/>
      <c r="F633" s="38"/>
      <c r="G633" s="38"/>
    </row>
    <row r="634" spans="1:7" s="8" customFormat="1" ht="32.1" customHeight="1" x14ac:dyDescent="0.15">
      <c r="A634" s="17"/>
      <c r="B634" s="36"/>
      <c r="C634" s="37"/>
      <c r="D634" s="15"/>
      <c r="E634" s="38"/>
      <c r="F634" s="38"/>
      <c r="G634" s="38"/>
    </row>
    <row r="635" spans="1:7" s="8" customFormat="1" ht="32.1" customHeight="1" x14ac:dyDescent="0.15">
      <c r="A635" s="17"/>
      <c r="B635" s="36"/>
      <c r="C635" s="37"/>
      <c r="D635" s="15"/>
      <c r="E635" s="38"/>
      <c r="F635" s="38"/>
      <c r="G635" s="38"/>
    </row>
    <row r="636" spans="1:7" s="8" customFormat="1" ht="32.1" customHeight="1" x14ac:dyDescent="0.15">
      <c r="A636" s="17"/>
      <c r="B636" s="36"/>
      <c r="C636" s="37"/>
      <c r="D636" s="15"/>
      <c r="E636" s="38"/>
      <c r="F636" s="38"/>
      <c r="G636" s="38"/>
    </row>
    <row r="637" spans="1:7" s="8" customFormat="1" ht="32.1" customHeight="1" x14ac:dyDescent="0.15">
      <c r="A637" s="17"/>
      <c r="B637" s="36"/>
      <c r="C637" s="37"/>
      <c r="D637" s="15"/>
      <c r="E637" s="38"/>
      <c r="F637" s="38"/>
      <c r="G637" s="38"/>
    </row>
    <row r="638" spans="1:7" ht="32.1" customHeight="1" x14ac:dyDescent="0.15">
      <c r="A638" s="17"/>
      <c r="B638" s="36"/>
      <c r="C638" s="37"/>
      <c r="E638" s="38"/>
      <c r="F638" s="38"/>
      <c r="G638" s="38"/>
    </row>
    <row r="639" spans="1:7" ht="32.1" customHeight="1" x14ac:dyDescent="0.15">
      <c r="A639" s="17"/>
      <c r="B639" s="36"/>
      <c r="C639" s="37"/>
      <c r="F639" s="38"/>
      <c r="G639" s="38"/>
    </row>
    <row r="640" spans="1:7" ht="32.1" customHeight="1" x14ac:dyDescent="0.15">
      <c r="A640" s="17"/>
      <c r="B640" s="36"/>
      <c r="C640" s="37"/>
      <c r="F640" s="38"/>
      <c r="G640" s="38"/>
    </row>
    <row r="641" spans="1:7" ht="32.1" customHeight="1" x14ac:dyDescent="0.15">
      <c r="A641" s="17"/>
      <c r="B641" s="36"/>
      <c r="C641" s="37"/>
      <c r="F641" s="38"/>
      <c r="G641" s="38"/>
    </row>
    <row r="642" spans="1:7" ht="21.95" customHeight="1" x14ac:dyDescent="0.15">
      <c r="A642" s="17"/>
      <c r="B642" s="36"/>
      <c r="C642" s="37"/>
      <c r="F642" s="38"/>
      <c r="G642" s="38"/>
    </row>
    <row r="643" spans="1:7" ht="54" customHeight="1" x14ac:dyDescent="0.15">
      <c r="A643" s="17"/>
      <c r="B643" s="36"/>
      <c r="C643" s="37"/>
      <c r="F643" s="38"/>
      <c r="G643" s="38"/>
    </row>
    <row r="644" spans="1:7" ht="21.95" customHeight="1" x14ac:dyDescent="0.15">
      <c r="A644" s="17"/>
      <c r="B644" s="36"/>
      <c r="C644" s="37"/>
      <c r="F644" s="38"/>
      <c r="G644" s="38"/>
    </row>
    <row r="645" spans="1:7" ht="21.95" customHeight="1" x14ac:dyDescent="0.15">
      <c r="A645" s="17"/>
      <c r="B645" s="36"/>
      <c r="C645" s="37"/>
      <c r="F645" s="38"/>
      <c r="G645" s="38"/>
    </row>
    <row r="646" spans="1:7" ht="21.95" customHeight="1" x14ac:dyDescent="0.15">
      <c r="A646" s="17"/>
      <c r="B646" s="36"/>
      <c r="C646" s="37"/>
      <c r="F646" s="38"/>
      <c r="G646" s="38"/>
    </row>
    <row r="647" spans="1:7" ht="21.95" customHeight="1" x14ac:dyDescent="0.15">
      <c r="A647" s="17"/>
      <c r="B647" s="36"/>
      <c r="C647" s="37"/>
      <c r="F647" s="38"/>
      <c r="G647" s="38"/>
    </row>
    <row r="648" spans="1:7" ht="21.95" customHeight="1" x14ac:dyDescent="0.15">
      <c r="A648" s="17"/>
      <c r="B648" s="36"/>
      <c r="C648" s="37"/>
      <c r="F648" s="38"/>
      <c r="G648" s="38"/>
    </row>
    <row r="649" spans="1:7" ht="21.95" customHeight="1" x14ac:dyDescent="0.15">
      <c r="A649" s="17"/>
      <c r="B649" s="36"/>
      <c r="C649" s="37"/>
      <c r="F649" s="38"/>
      <c r="G649" s="38"/>
    </row>
    <row r="650" spans="1:7" ht="21.95" customHeight="1" x14ac:dyDescent="0.15">
      <c r="A650" s="17"/>
      <c r="B650" s="36"/>
      <c r="C650" s="37"/>
      <c r="G650" s="38"/>
    </row>
    <row r="651" spans="1:7" ht="21.95" customHeight="1" x14ac:dyDescent="0.15">
      <c r="A651" s="17"/>
      <c r="B651" s="36"/>
      <c r="C651" s="37"/>
      <c r="G651" s="38"/>
    </row>
    <row r="652" spans="1:7" ht="21.95" customHeight="1" x14ac:dyDescent="0.15">
      <c r="A652" s="17"/>
      <c r="B652" s="36"/>
      <c r="C652" s="37"/>
      <c r="G652" s="38"/>
    </row>
    <row r="653" spans="1:7" ht="21.95" customHeight="1" x14ac:dyDescent="0.15">
      <c r="A653" s="17"/>
      <c r="B653" s="36"/>
      <c r="C653" s="37"/>
      <c r="G653" s="38"/>
    </row>
    <row r="654" spans="1:7" ht="21.95" customHeight="1" x14ac:dyDescent="0.15">
      <c r="A654" s="17"/>
      <c r="B654" s="36"/>
      <c r="C654" s="37"/>
      <c r="G654" s="38"/>
    </row>
    <row r="655" spans="1:7" ht="21.95" customHeight="1" x14ac:dyDescent="0.15">
      <c r="A655" s="17"/>
      <c r="B655" s="36"/>
      <c r="C655" s="37"/>
      <c r="G655" s="38"/>
    </row>
    <row r="656" spans="1:7" ht="21.95" customHeight="1" x14ac:dyDescent="0.15">
      <c r="A656" s="17"/>
      <c r="B656" s="36"/>
      <c r="C656" s="37"/>
      <c r="G656" s="38"/>
    </row>
    <row r="657" spans="1:7" ht="21.95" customHeight="1" x14ac:dyDescent="0.15">
      <c r="A657" s="17"/>
      <c r="B657" s="36"/>
      <c r="C657" s="37"/>
      <c r="G657" s="38"/>
    </row>
    <row r="658" spans="1:7" ht="21.95" customHeight="1" x14ac:dyDescent="0.15">
      <c r="A658" s="17"/>
      <c r="B658" s="36"/>
      <c r="C658" s="37"/>
      <c r="G658" s="38"/>
    </row>
    <row r="659" spans="1:7" ht="21.95" customHeight="1" x14ac:dyDescent="0.15">
      <c r="A659" s="17"/>
      <c r="B659" s="36"/>
      <c r="C659" s="37"/>
      <c r="G659" s="38"/>
    </row>
    <row r="660" spans="1:7" ht="21.95" customHeight="1" x14ac:dyDescent="0.15">
      <c r="A660" s="17"/>
      <c r="B660" s="36"/>
      <c r="C660" s="37"/>
      <c r="G660" s="38"/>
    </row>
    <row r="661" spans="1:7" ht="21.95" customHeight="1" x14ac:dyDescent="0.15">
      <c r="A661" s="17"/>
      <c r="B661" s="36"/>
      <c r="C661" s="37"/>
    </row>
    <row r="662" spans="1:7" ht="21.95" customHeight="1" x14ac:dyDescent="0.15">
      <c r="A662" s="17"/>
      <c r="B662" s="36"/>
      <c r="C662" s="37"/>
    </row>
    <row r="663" spans="1:7" ht="21.95" customHeight="1" x14ac:dyDescent="0.15">
      <c r="A663" s="17"/>
      <c r="B663" s="36"/>
      <c r="C663" s="37"/>
    </row>
    <row r="664" spans="1:7" ht="21.95" customHeight="1" x14ac:dyDescent="0.15">
      <c r="A664" s="17"/>
      <c r="B664" s="36"/>
      <c r="C664" s="37"/>
    </row>
    <row r="665" spans="1:7" ht="21.95" customHeight="1" x14ac:dyDescent="0.15">
      <c r="A665" s="17"/>
      <c r="B665" s="36"/>
      <c r="C665" s="37"/>
    </row>
    <row r="666" spans="1:7" ht="21.95" customHeight="1" x14ac:dyDescent="0.15">
      <c r="A666" s="17"/>
      <c r="B666" s="36"/>
      <c r="C666" s="37"/>
    </row>
    <row r="667" spans="1:7" ht="21.95" customHeight="1" x14ac:dyDescent="0.15">
      <c r="A667" s="17"/>
      <c r="B667" s="36"/>
      <c r="C667" s="37"/>
    </row>
    <row r="668" spans="1:7" ht="21.95" customHeight="1" x14ac:dyDescent="0.15">
      <c r="A668" s="17"/>
      <c r="B668" s="36"/>
      <c r="C668" s="37"/>
    </row>
    <row r="669" spans="1:7" ht="21.95" customHeight="1" x14ac:dyDescent="0.15">
      <c r="A669" s="17"/>
      <c r="B669" s="36"/>
      <c r="C669" s="37"/>
    </row>
    <row r="670" spans="1:7" ht="21.95" customHeight="1" x14ac:dyDescent="0.15">
      <c r="A670" s="17"/>
      <c r="B670" s="36"/>
      <c r="C670" s="37"/>
    </row>
    <row r="671" spans="1:7" ht="21.95" customHeight="1" x14ac:dyDescent="0.15">
      <c r="A671" s="17"/>
      <c r="B671" s="36"/>
      <c r="C671" s="37"/>
    </row>
    <row r="672" spans="1:7" ht="21.95" customHeight="1" x14ac:dyDescent="0.15">
      <c r="A672" s="17"/>
      <c r="B672" s="36"/>
      <c r="C672" s="37"/>
    </row>
    <row r="673" spans="1:3" ht="21.95" customHeight="1" x14ac:dyDescent="0.15">
      <c r="A673" s="17"/>
      <c r="B673" s="36"/>
      <c r="C673" s="37"/>
    </row>
    <row r="674" spans="1:3" ht="21.95" customHeight="1" x14ac:dyDescent="0.15">
      <c r="A674" s="17"/>
      <c r="B674" s="36"/>
      <c r="C674" s="37"/>
    </row>
    <row r="675" spans="1:3" ht="21.95" customHeight="1" x14ac:dyDescent="0.15">
      <c r="A675" s="17"/>
      <c r="B675" s="36"/>
      <c r="C675" s="37"/>
    </row>
    <row r="676" spans="1:3" ht="21.95" customHeight="1" x14ac:dyDescent="0.15">
      <c r="A676" s="17"/>
      <c r="B676" s="36"/>
      <c r="C676" s="37"/>
    </row>
    <row r="677" spans="1:3" ht="21.95" customHeight="1" x14ac:dyDescent="0.15">
      <c r="A677" s="17"/>
      <c r="B677" s="36"/>
      <c r="C677" s="37"/>
    </row>
    <row r="678" spans="1:3" ht="21.95" customHeight="1" x14ac:dyDescent="0.15">
      <c r="A678" s="17"/>
      <c r="B678" s="36"/>
      <c r="C678" s="37"/>
    </row>
    <row r="679" spans="1:3" ht="21.95" customHeight="1" x14ac:dyDescent="0.15">
      <c r="A679" s="17"/>
      <c r="B679" s="36"/>
      <c r="C679" s="37"/>
    </row>
    <row r="680" spans="1:3" ht="21.95" customHeight="1" x14ac:dyDescent="0.15">
      <c r="A680" s="17"/>
      <c r="B680" s="36"/>
      <c r="C680" s="37"/>
    </row>
    <row r="681" spans="1:3" ht="21.95" customHeight="1" x14ac:dyDescent="0.15">
      <c r="A681" s="17"/>
      <c r="B681" s="36"/>
      <c r="C681" s="37"/>
    </row>
    <row r="682" spans="1:3" ht="21.95" customHeight="1" x14ac:dyDescent="0.15">
      <c r="A682" s="17"/>
      <c r="B682" s="36"/>
      <c r="C682" s="37"/>
    </row>
    <row r="683" spans="1:3" ht="21.95" customHeight="1" x14ac:dyDescent="0.15">
      <c r="A683" s="17"/>
      <c r="B683" s="36"/>
      <c r="C683" s="37"/>
    </row>
    <row r="684" spans="1:3" ht="21.95" customHeight="1" x14ac:dyDescent="0.15">
      <c r="A684" s="17"/>
      <c r="B684" s="36"/>
      <c r="C684" s="37"/>
    </row>
    <row r="685" spans="1:3" ht="21.95" customHeight="1" x14ac:dyDescent="0.15">
      <c r="A685" s="17"/>
      <c r="B685" s="36"/>
      <c r="C685" s="37"/>
    </row>
    <row r="686" spans="1:3" ht="21.95" customHeight="1" x14ac:dyDescent="0.15">
      <c r="A686" s="17"/>
      <c r="B686" s="36"/>
      <c r="C686" s="37"/>
    </row>
    <row r="687" spans="1:3" ht="21.95" customHeight="1" x14ac:dyDescent="0.15">
      <c r="A687" s="17"/>
      <c r="B687" s="36"/>
      <c r="C687" s="37"/>
    </row>
    <row r="688" spans="1:3" ht="21.95" customHeight="1" x14ac:dyDescent="0.15">
      <c r="A688" s="17"/>
      <c r="B688" s="36"/>
      <c r="C688" s="37"/>
    </row>
    <row r="689" spans="1:7" ht="21.95" customHeight="1" x14ac:dyDescent="0.15">
      <c r="A689" s="17"/>
      <c r="B689" s="36"/>
      <c r="C689" s="37"/>
    </row>
    <row r="690" spans="1:7" ht="21.95" customHeight="1" x14ac:dyDescent="0.15">
      <c r="A690" s="17"/>
      <c r="B690" s="36"/>
      <c r="C690" s="37"/>
    </row>
    <row r="691" spans="1:7" ht="21.95" customHeight="1" x14ac:dyDescent="0.15">
      <c r="A691" s="17"/>
      <c r="B691" s="36"/>
      <c r="C691" s="37"/>
    </row>
    <row r="692" spans="1:7" ht="21.95" customHeight="1" x14ac:dyDescent="0.15">
      <c r="A692" s="17"/>
      <c r="B692" s="36"/>
      <c r="C692" s="37"/>
      <c r="G692" s="38"/>
    </row>
    <row r="693" spans="1:7" ht="21.95" customHeight="1" x14ac:dyDescent="0.15">
      <c r="A693" s="17"/>
      <c r="B693" s="36"/>
      <c r="C693" s="37"/>
    </row>
    <row r="694" spans="1:7" ht="35.1" customHeight="1" x14ac:dyDescent="0.15">
      <c r="A694" s="17"/>
      <c r="B694" s="36"/>
      <c r="C694" s="37"/>
    </row>
    <row r="695" spans="1:7" ht="21.95" customHeight="1" x14ac:dyDescent="0.15">
      <c r="A695" s="17"/>
      <c r="B695" s="36"/>
      <c r="C695" s="37"/>
    </row>
    <row r="696" spans="1:7" ht="21.95" customHeight="1" x14ac:dyDescent="0.15">
      <c r="A696" s="17"/>
      <c r="B696" s="36"/>
      <c r="C696" s="37"/>
    </row>
    <row r="697" spans="1:7" ht="21.95" customHeight="1" x14ac:dyDescent="0.15">
      <c r="A697" s="17"/>
      <c r="B697" s="36"/>
      <c r="C697" s="37"/>
    </row>
    <row r="698" spans="1:7" ht="21.95" customHeight="1" x14ac:dyDescent="0.15">
      <c r="A698" s="17"/>
      <c r="B698" s="36"/>
      <c r="C698" s="37"/>
    </row>
    <row r="699" spans="1:7" ht="21.95" customHeight="1" x14ac:dyDescent="0.15">
      <c r="A699" s="17"/>
      <c r="B699" s="36"/>
      <c r="C699" s="37"/>
    </row>
    <row r="700" spans="1:7" ht="21.95" customHeight="1" x14ac:dyDescent="0.15">
      <c r="A700" s="17"/>
      <c r="B700" s="36"/>
      <c r="C700" s="37"/>
    </row>
    <row r="701" spans="1:7" ht="21.95" customHeight="1" x14ac:dyDescent="0.15">
      <c r="A701" s="17"/>
      <c r="B701" s="36"/>
      <c r="C701" s="37"/>
    </row>
    <row r="702" spans="1:7" ht="21.95" customHeight="1" x14ac:dyDescent="0.15">
      <c r="A702" s="17"/>
      <c r="B702" s="36"/>
      <c r="C702" s="37"/>
      <c r="G702" s="38"/>
    </row>
    <row r="703" spans="1:7" ht="21.95" customHeight="1" x14ac:dyDescent="0.15">
      <c r="A703" s="17"/>
      <c r="B703" s="36"/>
      <c r="C703" s="37"/>
      <c r="G703" s="38"/>
    </row>
    <row r="704" spans="1:7" ht="21.95" customHeight="1" x14ac:dyDescent="0.15">
      <c r="A704" s="17"/>
      <c r="B704" s="36"/>
      <c r="C704" s="37"/>
    </row>
    <row r="705" spans="1:7" ht="21.95" customHeight="1" x14ac:dyDescent="0.15">
      <c r="A705" s="17"/>
      <c r="B705" s="36"/>
      <c r="C705" s="37"/>
    </row>
    <row r="706" spans="1:7" ht="21.95" customHeight="1" x14ac:dyDescent="0.15">
      <c r="A706" s="17"/>
      <c r="B706" s="36"/>
      <c r="C706" s="37"/>
    </row>
    <row r="707" spans="1:7" ht="21.95" customHeight="1" x14ac:dyDescent="0.15">
      <c r="A707" s="17"/>
      <c r="B707" s="36"/>
      <c r="C707" s="37"/>
      <c r="G707" s="38"/>
    </row>
    <row r="708" spans="1:7" ht="21.95" customHeight="1" x14ac:dyDescent="0.15">
      <c r="A708" s="17"/>
      <c r="B708" s="36"/>
      <c r="C708" s="37"/>
    </row>
    <row r="709" spans="1:7" ht="21.95" customHeight="1" x14ac:dyDescent="0.15">
      <c r="A709" s="17"/>
      <c r="B709" s="36"/>
      <c r="C709" s="37"/>
    </row>
    <row r="710" spans="1:7" ht="21.95" customHeight="1" x14ac:dyDescent="0.15">
      <c r="A710" s="17"/>
      <c r="B710" s="36"/>
      <c r="C710" s="37"/>
    </row>
    <row r="711" spans="1:7" ht="21.95" customHeight="1" x14ac:dyDescent="0.15">
      <c r="A711" s="17"/>
      <c r="B711" s="36"/>
      <c r="C711" s="37"/>
    </row>
    <row r="712" spans="1:7" ht="21.95" customHeight="1" x14ac:dyDescent="0.15">
      <c r="A712" s="17"/>
      <c r="B712" s="36"/>
      <c r="C712" s="37"/>
    </row>
    <row r="713" spans="1:7" ht="21.95" customHeight="1" x14ac:dyDescent="0.15">
      <c r="A713" s="17"/>
      <c r="C713" s="37"/>
    </row>
    <row r="714" spans="1:7" ht="21.95" customHeight="1" x14ac:dyDescent="0.15">
      <c r="A714" s="17"/>
      <c r="B714" s="36"/>
      <c r="C714" s="37"/>
    </row>
    <row r="715" spans="1:7" ht="21.95" customHeight="1" x14ac:dyDescent="0.15">
      <c r="A715" s="17"/>
    </row>
    <row r="716" spans="1:7" ht="21.95" customHeight="1" x14ac:dyDescent="0.15">
      <c r="A716" s="17"/>
    </row>
    <row r="717" spans="1:7" ht="21.95" customHeight="1" x14ac:dyDescent="0.15">
      <c r="A717" s="17"/>
    </row>
    <row r="718" spans="1:7" s="8" customFormat="1" ht="21.95" customHeight="1" x14ac:dyDescent="0.15">
      <c r="A718" s="17"/>
      <c r="B718" s="39"/>
      <c r="C718" s="40"/>
      <c r="D718" s="38"/>
      <c r="E718" s="38"/>
      <c r="F718" s="38"/>
      <c r="G718" s="38"/>
    </row>
    <row r="719" spans="1:7" s="8" customFormat="1" ht="21.95" customHeight="1" x14ac:dyDescent="0.15">
      <c r="A719" s="17"/>
      <c r="B719" s="36"/>
      <c r="C719" s="37"/>
      <c r="D719" s="15"/>
      <c r="E719" s="38"/>
      <c r="F719" s="15"/>
      <c r="G719" s="38"/>
    </row>
    <row r="720" spans="1:7" s="8" customFormat="1" ht="21.95" customHeight="1" x14ac:dyDescent="0.15">
      <c r="A720" s="17"/>
      <c r="B720" s="36"/>
      <c r="C720" s="95"/>
      <c r="D720" s="15"/>
      <c r="E720" s="38"/>
      <c r="F720" s="15"/>
      <c r="G720" s="38"/>
    </row>
    <row r="721" spans="1:7" s="8" customFormat="1" ht="21.95" customHeight="1" x14ac:dyDescent="0.15">
      <c r="A721" s="17"/>
      <c r="B721" s="36"/>
      <c r="C721" s="95"/>
      <c r="D721" s="15"/>
      <c r="E721" s="38"/>
      <c r="F721" s="38"/>
      <c r="G721" s="38"/>
    </row>
    <row r="722" spans="1:7" s="8" customFormat="1" ht="21.95" customHeight="1" x14ac:dyDescent="0.15">
      <c r="A722" s="17"/>
      <c r="B722" s="36"/>
      <c r="C722" s="37"/>
      <c r="D722" s="15"/>
      <c r="E722" s="38"/>
      <c r="F722" s="15"/>
      <c r="G722" s="38"/>
    </row>
    <row r="723" spans="1:7" s="8" customFormat="1" ht="21.95" customHeight="1" x14ac:dyDescent="0.15">
      <c r="A723" s="17"/>
      <c r="B723" s="36"/>
      <c r="C723" s="37"/>
      <c r="D723" s="15"/>
      <c r="E723" s="38"/>
      <c r="F723" s="38"/>
      <c r="G723" s="38"/>
    </row>
    <row r="724" spans="1:7" s="8" customFormat="1" ht="21.95" customHeight="1" x14ac:dyDescent="0.15">
      <c r="A724" s="17"/>
      <c r="B724" s="36"/>
      <c r="C724" s="37"/>
      <c r="D724" s="15"/>
      <c r="E724" s="38"/>
      <c r="F724" s="15"/>
      <c r="G724" s="38"/>
    </row>
    <row r="725" spans="1:7" s="8" customFormat="1" ht="21.95" customHeight="1" x14ac:dyDescent="0.15">
      <c r="A725" s="17"/>
      <c r="B725" s="36"/>
      <c r="C725" s="37"/>
      <c r="D725" s="15"/>
      <c r="E725" s="38"/>
      <c r="F725" s="38"/>
      <c r="G725" s="38"/>
    </row>
    <row r="726" spans="1:7" s="8" customFormat="1" ht="21.95" customHeight="1" x14ac:dyDescent="0.15">
      <c r="A726" s="17"/>
      <c r="B726" s="36"/>
      <c r="C726" s="37"/>
      <c r="D726" s="15"/>
      <c r="E726" s="38"/>
      <c r="F726" s="15"/>
      <c r="G726" s="38"/>
    </row>
    <row r="727" spans="1:7" s="8" customFormat="1" ht="21.95" customHeight="1" x14ac:dyDescent="0.15">
      <c r="A727" s="17"/>
      <c r="B727" s="36"/>
      <c r="C727" s="37"/>
      <c r="D727" s="15"/>
      <c r="E727" s="38"/>
      <c r="F727" s="38"/>
      <c r="G727" s="38"/>
    </row>
    <row r="728" spans="1:7" s="8" customFormat="1" ht="21.95" customHeight="1" x14ac:dyDescent="0.15">
      <c r="A728" s="17"/>
      <c r="B728" s="36"/>
      <c r="C728" s="37"/>
      <c r="D728" s="15"/>
      <c r="E728" s="38"/>
      <c r="F728" s="15"/>
      <c r="G728" s="38"/>
    </row>
    <row r="729" spans="1:7" ht="21.95" customHeight="1" x14ac:dyDescent="0.15">
      <c r="A729" s="17"/>
      <c r="B729" s="36"/>
      <c r="C729" s="37"/>
      <c r="E729" s="38"/>
      <c r="F729" s="38"/>
      <c r="G729" s="38"/>
    </row>
    <row r="730" spans="1:7" ht="21.95" customHeight="1" x14ac:dyDescent="0.15">
      <c r="A730" s="17"/>
      <c r="B730" s="36"/>
      <c r="C730" s="37"/>
      <c r="E730" s="38"/>
      <c r="G730" s="38"/>
    </row>
    <row r="731" spans="1:7" ht="21.95" customHeight="1" x14ac:dyDescent="0.15">
      <c r="A731" s="17"/>
      <c r="B731" s="36"/>
      <c r="C731" s="37"/>
      <c r="E731" s="38"/>
      <c r="G731" s="38"/>
    </row>
    <row r="732" spans="1:7" ht="21.95" customHeight="1" x14ac:dyDescent="0.15">
      <c r="A732" s="17"/>
      <c r="B732" s="36"/>
      <c r="C732" s="37"/>
      <c r="E732" s="38"/>
      <c r="F732" s="38"/>
      <c r="G732" s="38"/>
    </row>
    <row r="733" spans="1:7" s="8" customFormat="1" ht="21.95" customHeight="1" x14ac:dyDescent="0.15">
      <c r="A733" s="17"/>
      <c r="B733" s="36"/>
      <c r="C733" s="37"/>
      <c r="D733" s="15"/>
      <c r="E733" s="38"/>
      <c r="F733" s="38"/>
      <c r="G733" s="38"/>
    </row>
    <row r="734" spans="1:7" s="8" customFormat="1" ht="21.95" customHeight="1" x14ac:dyDescent="0.15">
      <c r="A734" s="17"/>
      <c r="B734" s="36"/>
      <c r="C734" s="37"/>
      <c r="D734" s="15"/>
      <c r="E734" s="38"/>
      <c r="F734" s="38"/>
      <c r="G734" s="38"/>
    </row>
    <row r="735" spans="1:7" s="8" customFormat="1" ht="21.95" customHeight="1" x14ac:dyDescent="0.15">
      <c r="A735" s="17"/>
      <c r="B735" s="36"/>
      <c r="C735" s="37"/>
      <c r="D735" s="15"/>
      <c r="E735" s="38"/>
      <c r="F735" s="38"/>
      <c r="G735" s="38"/>
    </row>
    <row r="736" spans="1:7" s="8" customFormat="1" ht="21.95" customHeight="1" x14ac:dyDescent="0.15">
      <c r="A736" s="17"/>
      <c r="B736" s="36"/>
      <c r="C736" s="37"/>
      <c r="D736" s="15"/>
      <c r="E736" s="38"/>
      <c r="F736" s="38"/>
      <c r="G736" s="38"/>
    </row>
    <row r="737" spans="1:7" s="8" customFormat="1" ht="21.95" customHeight="1" x14ac:dyDescent="0.15">
      <c r="A737" s="17"/>
      <c r="B737" s="36"/>
      <c r="C737" s="37"/>
      <c r="D737" s="15"/>
      <c r="E737" s="38"/>
      <c r="F737" s="38"/>
      <c r="G737" s="38"/>
    </row>
    <row r="738" spans="1:7" s="8" customFormat="1" ht="21.95" customHeight="1" x14ac:dyDescent="0.15">
      <c r="A738" s="17"/>
      <c r="B738" s="36"/>
      <c r="C738" s="37"/>
      <c r="D738" s="15"/>
      <c r="E738" s="38"/>
      <c r="F738" s="38"/>
      <c r="G738" s="38"/>
    </row>
    <row r="739" spans="1:7" s="8" customFormat="1" ht="21.95" customHeight="1" x14ac:dyDescent="0.15">
      <c r="A739" s="17"/>
      <c r="B739" s="36"/>
      <c r="C739" s="37"/>
      <c r="D739" s="15"/>
      <c r="E739" s="38"/>
      <c r="F739" s="38"/>
      <c r="G739" s="38"/>
    </row>
    <row r="740" spans="1:7" s="8" customFormat="1" ht="21.95" customHeight="1" x14ac:dyDescent="0.15">
      <c r="A740" s="17"/>
      <c r="B740" s="36"/>
      <c r="C740" s="37"/>
      <c r="D740" s="15"/>
      <c r="E740" s="38"/>
      <c r="F740" s="38"/>
      <c r="G740" s="38"/>
    </row>
    <row r="741" spans="1:7" s="8" customFormat="1" ht="21.95" customHeight="1" x14ac:dyDescent="0.15">
      <c r="A741" s="17"/>
      <c r="B741" s="36"/>
      <c r="C741" s="37"/>
      <c r="D741" s="15"/>
      <c r="E741" s="38"/>
      <c r="F741" s="38"/>
      <c r="G741" s="38"/>
    </row>
    <row r="742" spans="1:7" s="8" customFormat="1" ht="21.95" customHeight="1" x14ac:dyDescent="0.15">
      <c r="A742" s="17"/>
      <c r="B742" s="36"/>
      <c r="C742" s="37"/>
      <c r="D742" s="15"/>
      <c r="E742" s="38"/>
      <c r="F742" s="38"/>
      <c r="G742" s="38"/>
    </row>
    <row r="743" spans="1:7" s="8" customFormat="1" ht="21.95" customHeight="1" x14ac:dyDescent="0.15">
      <c r="A743" s="17"/>
      <c r="B743" s="36"/>
      <c r="C743" s="37"/>
      <c r="D743" s="15"/>
      <c r="E743" s="38"/>
      <c r="F743" s="38"/>
      <c r="G743" s="38"/>
    </row>
    <row r="744" spans="1:7" s="8" customFormat="1" ht="32.1" customHeight="1" x14ac:dyDescent="0.15">
      <c r="A744" s="17"/>
      <c r="B744" s="36"/>
      <c r="C744" s="37"/>
      <c r="D744" s="15"/>
      <c r="E744" s="38"/>
      <c r="F744" s="38"/>
      <c r="G744" s="38"/>
    </row>
    <row r="745" spans="1:7" s="8" customFormat="1" ht="32.1" customHeight="1" x14ac:dyDescent="0.15">
      <c r="A745" s="17"/>
      <c r="B745" s="36"/>
      <c r="C745" s="37"/>
      <c r="D745" s="15"/>
      <c r="E745" s="38"/>
      <c r="F745" s="38"/>
      <c r="G745" s="38"/>
    </row>
    <row r="746" spans="1:7" s="8" customFormat="1" ht="32.1" customHeight="1" x14ac:dyDescent="0.15">
      <c r="A746" s="17"/>
      <c r="B746" s="36"/>
      <c r="C746" s="37"/>
      <c r="D746" s="15"/>
      <c r="E746" s="38"/>
      <c r="F746" s="38"/>
      <c r="G746" s="38"/>
    </row>
    <row r="747" spans="1:7" s="8" customFormat="1" ht="32.1" customHeight="1" x14ac:dyDescent="0.15">
      <c r="A747" s="17"/>
      <c r="B747" s="36"/>
      <c r="C747" s="37"/>
      <c r="D747" s="15"/>
      <c r="E747" s="38"/>
      <c r="F747" s="38"/>
      <c r="G747" s="38"/>
    </row>
    <row r="748" spans="1:7" s="8" customFormat="1" ht="32.1" customHeight="1" x14ac:dyDescent="0.15">
      <c r="A748" s="17"/>
      <c r="B748" s="36"/>
      <c r="C748" s="37"/>
      <c r="D748" s="15"/>
      <c r="E748" s="38"/>
      <c r="F748" s="38"/>
      <c r="G748" s="38"/>
    </row>
    <row r="749" spans="1:7" s="8" customFormat="1" ht="32.1" customHeight="1" x14ac:dyDescent="0.15">
      <c r="A749" s="17"/>
      <c r="B749" s="36"/>
      <c r="C749" s="37"/>
      <c r="D749" s="15"/>
      <c r="E749" s="38"/>
      <c r="F749" s="38"/>
      <c r="G749" s="38"/>
    </row>
    <row r="750" spans="1:7" ht="32.1" customHeight="1" x14ac:dyDescent="0.15">
      <c r="A750" s="17"/>
      <c r="B750" s="36"/>
      <c r="C750" s="37"/>
      <c r="E750" s="38"/>
      <c r="F750" s="38"/>
      <c r="G750" s="38"/>
    </row>
    <row r="751" spans="1:7" ht="32.1" customHeight="1" x14ac:dyDescent="0.15">
      <c r="A751" s="17"/>
      <c r="B751" s="36"/>
      <c r="C751" s="37"/>
      <c r="F751" s="38"/>
      <c r="G751" s="38"/>
    </row>
    <row r="752" spans="1:7" ht="32.1" customHeight="1" x14ac:dyDescent="0.15">
      <c r="A752" s="17"/>
      <c r="B752" s="36"/>
      <c r="C752" s="37"/>
      <c r="F752" s="38"/>
      <c r="G752" s="38"/>
    </row>
    <row r="753" spans="1:7" ht="32.1" customHeight="1" x14ac:dyDescent="0.15">
      <c r="A753" s="17"/>
      <c r="B753" s="36"/>
      <c r="C753" s="37"/>
      <c r="F753" s="38"/>
      <c r="G753" s="38"/>
    </row>
    <row r="754" spans="1:7" ht="21.95" customHeight="1" x14ac:dyDescent="0.15">
      <c r="A754" s="17"/>
      <c r="B754" s="36"/>
      <c r="C754" s="37"/>
      <c r="F754" s="38"/>
      <c r="G754" s="38"/>
    </row>
    <row r="755" spans="1:7" ht="54" customHeight="1" x14ac:dyDescent="0.15">
      <c r="A755" s="17"/>
      <c r="B755" s="36"/>
      <c r="C755" s="37"/>
      <c r="F755" s="38"/>
      <c r="G755" s="38"/>
    </row>
    <row r="756" spans="1:7" ht="21.95" customHeight="1" x14ac:dyDescent="0.15">
      <c r="A756" s="17"/>
      <c r="B756" s="36"/>
      <c r="C756" s="37"/>
      <c r="F756" s="38"/>
      <c r="G756" s="38"/>
    </row>
    <row r="757" spans="1:7" ht="21.95" customHeight="1" x14ac:dyDescent="0.15">
      <c r="A757" s="17"/>
      <c r="B757" s="36"/>
      <c r="C757" s="37"/>
      <c r="F757" s="38"/>
      <c r="G757" s="38"/>
    </row>
    <row r="758" spans="1:7" ht="21.95" customHeight="1" x14ac:dyDescent="0.15">
      <c r="A758" s="17"/>
      <c r="B758" s="36"/>
      <c r="C758" s="37"/>
      <c r="F758" s="38"/>
      <c r="G758" s="38"/>
    </row>
    <row r="759" spans="1:7" ht="21.95" customHeight="1" x14ac:dyDescent="0.15">
      <c r="A759" s="17"/>
      <c r="B759" s="36"/>
      <c r="C759" s="37"/>
      <c r="F759" s="38"/>
      <c r="G759" s="38"/>
    </row>
    <row r="760" spans="1:7" ht="21.95" customHeight="1" x14ac:dyDescent="0.15">
      <c r="A760" s="17"/>
      <c r="B760" s="36"/>
      <c r="C760" s="37"/>
      <c r="F760" s="38"/>
      <c r="G760" s="38"/>
    </row>
    <row r="761" spans="1:7" ht="21.95" customHeight="1" x14ac:dyDescent="0.15">
      <c r="A761" s="17"/>
      <c r="B761" s="36"/>
      <c r="C761" s="37"/>
      <c r="F761" s="38"/>
      <c r="G761" s="38"/>
    </row>
    <row r="762" spans="1:7" ht="21.95" customHeight="1" x14ac:dyDescent="0.15">
      <c r="A762" s="17"/>
      <c r="B762" s="36"/>
      <c r="C762" s="37"/>
      <c r="G762" s="38"/>
    </row>
    <row r="763" spans="1:7" ht="21.95" customHeight="1" x14ac:dyDescent="0.15">
      <c r="A763" s="17"/>
      <c r="B763" s="36"/>
      <c r="C763" s="37"/>
      <c r="G763" s="38"/>
    </row>
    <row r="764" spans="1:7" ht="21.95" customHeight="1" x14ac:dyDescent="0.15">
      <c r="A764" s="17"/>
      <c r="B764" s="36"/>
      <c r="C764" s="37"/>
      <c r="G764" s="38"/>
    </row>
    <row r="765" spans="1:7" ht="21.95" customHeight="1" x14ac:dyDescent="0.15">
      <c r="A765" s="17"/>
      <c r="B765" s="36"/>
      <c r="C765" s="37"/>
      <c r="G765" s="38"/>
    </row>
    <row r="766" spans="1:7" ht="21.95" customHeight="1" x14ac:dyDescent="0.15">
      <c r="A766" s="17"/>
      <c r="B766" s="36"/>
      <c r="C766" s="37"/>
      <c r="G766" s="38"/>
    </row>
    <row r="767" spans="1:7" ht="21.95" customHeight="1" x14ac:dyDescent="0.15">
      <c r="A767" s="17"/>
      <c r="B767" s="36"/>
      <c r="C767" s="37"/>
      <c r="G767" s="38"/>
    </row>
    <row r="768" spans="1:7" ht="21.95" customHeight="1" x14ac:dyDescent="0.15">
      <c r="A768" s="17"/>
      <c r="B768" s="36"/>
      <c r="C768" s="37"/>
      <c r="G768" s="38"/>
    </row>
    <row r="769" spans="1:7" ht="21.95" customHeight="1" x14ac:dyDescent="0.15">
      <c r="A769" s="17"/>
      <c r="B769" s="36"/>
      <c r="C769" s="37"/>
      <c r="G769" s="38"/>
    </row>
    <row r="770" spans="1:7" ht="21.95" customHeight="1" x14ac:dyDescent="0.15">
      <c r="A770" s="17"/>
      <c r="B770" s="36"/>
      <c r="C770" s="37"/>
      <c r="G770" s="38"/>
    </row>
    <row r="771" spans="1:7" ht="21.95" customHeight="1" x14ac:dyDescent="0.15">
      <c r="A771" s="17"/>
      <c r="B771" s="36"/>
      <c r="C771" s="37"/>
      <c r="G771" s="38"/>
    </row>
    <row r="772" spans="1:7" ht="21.95" customHeight="1" x14ac:dyDescent="0.15">
      <c r="A772" s="17"/>
      <c r="B772" s="36"/>
      <c r="C772" s="37"/>
      <c r="G772" s="38"/>
    </row>
    <row r="773" spans="1:7" ht="21.95" customHeight="1" x14ac:dyDescent="0.15">
      <c r="A773" s="17"/>
      <c r="B773" s="36"/>
      <c r="C773" s="37"/>
    </row>
    <row r="774" spans="1:7" ht="21.95" customHeight="1" x14ac:dyDescent="0.15">
      <c r="A774" s="17"/>
      <c r="B774" s="36"/>
      <c r="C774" s="37"/>
    </row>
    <row r="775" spans="1:7" ht="21.95" customHeight="1" x14ac:dyDescent="0.15">
      <c r="A775" s="17"/>
      <c r="B775" s="36"/>
      <c r="C775" s="37"/>
    </row>
    <row r="776" spans="1:7" ht="21.95" customHeight="1" x14ac:dyDescent="0.15">
      <c r="A776" s="17"/>
      <c r="B776" s="36"/>
      <c r="C776" s="37"/>
    </row>
    <row r="777" spans="1:7" ht="21.95" customHeight="1" x14ac:dyDescent="0.15">
      <c r="A777" s="17"/>
      <c r="B777" s="36"/>
      <c r="C777" s="37"/>
    </row>
    <row r="778" spans="1:7" ht="21.95" customHeight="1" x14ac:dyDescent="0.15">
      <c r="A778" s="17"/>
      <c r="B778" s="36"/>
      <c r="C778" s="37"/>
    </row>
    <row r="779" spans="1:7" ht="21.95" customHeight="1" x14ac:dyDescent="0.15">
      <c r="A779" s="17"/>
      <c r="B779" s="36"/>
      <c r="C779" s="37"/>
    </row>
    <row r="780" spans="1:7" ht="21.95" customHeight="1" x14ac:dyDescent="0.15">
      <c r="A780" s="17"/>
      <c r="B780" s="36"/>
      <c r="C780" s="37"/>
    </row>
    <row r="781" spans="1:7" ht="21.95" customHeight="1" x14ac:dyDescent="0.15">
      <c r="A781" s="17"/>
      <c r="B781" s="36"/>
      <c r="C781" s="37"/>
    </row>
    <row r="782" spans="1:7" ht="21.95" customHeight="1" x14ac:dyDescent="0.15">
      <c r="A782" s="17"/>
      <c r="B782" s="36"/>
      <c r="C782" s="37"/>
    </row>
    <row r="783" spans="1:7" ht="21.95" customHeight="1" x14ac:dyDescent="0.15">
      <c r="A783" s="17"/>
      <c r="B783" s="36"/>
      <c r="C783" s="37"/>
    </row>
    <row r="784" spans="1:7" ht="21.95" customHeight="1" x14ac:dyDescent="0.15">
      <c r="A784" s="17"/>
      <c r="B784" s="36"/>
      <c r="C784" s="37"/>
    </row>
    <row r="785" spans="1:3" ht="21.95" customHeight="1" x14ac:dyDescent="0.15">
      <c r="A785" s="17"/>
      <c r="B785" s="36"/>
      <c r="C785" s="37"/>
    </row>
    <row r="786" spans="1:3" ht="21.95" customHeight="1" x14ac:dyDescent="0.15">
      <c r="A786" s="17"/>
      <c r="B786" s="36"/>
      <c r="C786" s="37"/>
    </row>
    <row r="787" spans="1:3" ht="21.95" customHeight="1" x14ac:dyDescent="0.15">
      <c r="A787" s="17"/>
      <c r="B787" s="36"/>
      <c r="C787" s="37"/>
    </row>
    <row r="788" spans="1:3" ht="21.95" customHeight="1" x14ac:dyDescent="0.15">
      <c r="A788" s="17"/>
      <c r="B788" s="36"/>
      <c r="C788" s="37"/>
    </row>
    <row r="789" spans="1:3" ht="21.95" customHeight="1" x14ac:dyDescent="0.15">
      <c r="A789" s="17"/>
      <c r="B789" s="36"/>
      <c r="C789" s="37"/>
    </row>
    <row r="790" spans="1:3" ht="21.95" customHeight="1" x14ac:dyDescent="0.15">
      <c r="A790" s="17"/>
      <c r="B790" s="36"/>
      <c r="C790" s="37"/>
    </row>
    <row r="791" spans="1:3" ht="21.95" customHeight="1" x14ac:dyDescent="0.15">
      <c r="A791" s="17"/>
      <c r="B791" s="36"/>
      <c r="C791" s="37"/>
    </row>
    <row r="792" spans="1:3" ht="21.95" customHeight="1" x14ac:dyDescent="0.15">
      <c r="A792" s="17"/>
      <c r="B792" s="36"/>
      <c r="C792" s="37"/>
    </row>
    <row r="793" spans="1:3" ht="21.95" customHeight="1" x14ac:dyDescent="0.15">
      <c r="A793" s="17"/>
      <c r="B793" s="36"/>
      <c r="C793" s="37"/>
    </row>
    <row r="794" spans="1:3" ht="21.95" customHeight="1" x14ac:dyDescent="0.15">
      <c r="A794" s="17"/>
      <c r="B794" s="36"/>
      <c r="C794" s="37"/>
    </row>
    <row r="795" spans="1:3" ht="21.95" customHeight="1" x14ac:dyDescent="0.15">
      <c r="A795" s="17"/>
      <c r="B795" s="36"/>
      <c r="C795" s="37"/>
    </row>
    <row r="796" spans="1:3" ht="21.95" customHeight="1" x14ac:dyDescent="0.15">
      <c r="A796" s="17"/>
      <c r="B796" s="36"/>
      <c r="C796" s="37"/>
    </row>
    <row r="797" spans="1:3" ht="21.95" customHeight="1" x14ac:dyDescent="0.15">
      <c r="A797" s="17"/>
      <c r="B797" s="36"/>
      <c r="C797" s="37"/>
    </row>
    <row r="798" spans="1:3" ht="21.95" customHeight="1" x14ac:dyDescent="0.15">
      <c r="A798" s="17"/>
      <c r="B798" s="36"/>
      <c r="C798" s="37"/>
    </row>
    <row r="799" spans="1:3" ht="21.95" customHeight="1" x14ac:dyDescent="0.15">
      <c r="A799" s="17"/>
      <c r="B799" s="36"/>
      <c r="C799" s="37"/>
    </row>
    <row r="800" spans="1:3" ht="21.95" customHeight="1" x14ac:dyDescent="0.15">
      <c r="A800" s="17"/>
      <c r="B800" s="36"/>
      <c r="C800" s="37"/>
    </row>
    <row r="801" spans="1:7" ht="21.95" customHeight="1" x14ac:dyDescent="0.15">
      <c r="A801" s="17"/>
      <c r="B801" s="36"/>
      <c r="C801" s="37"/>
    </row>
    <row r="802" spans="1:7" ht="21.95" customHeight="1" x14ac:dyDescent="0.15">
      <c r="A802" s="17"/>
      <c r="B802" s="36"/>
      <c r="C802" s="37"/>
    </row>
    <row r="803" spans="1:7" ht="21.95" customHeight="1" x14ac:dyDescent="0.15">
      <c r="A803" s="17"/>
      <c r="B803" s="36"/>
      <c r="C803" s="37"/>
    </row>
    <row r="804" spans="1:7" ht="21.95" customHeight="1" x14ac:dyDescent="0.15">
      <c r="A804" s="17"/>
      <c r="B804" s="36"/>
      <c r="C804" s="37"/>
      <c r="G804" s="38"/>
    </row>
    <row r="805" spans="1:7" ht="21.95" customHeight="1" x14ac:dyDescent="0.15">
      <c r="A805" s="17"/>
      <c r="B805" s="36"/>
      <c r="C805" s="37"/>
    </row>
    <row r="806" spans="1:7" ht="35.1" customHeight="1" x14ac:dyDescent="0.15">
      <c r="A806" s="17"/>
      <c r="B806" s="36"/>
      <c r="C806" s="37"/>
    </row>
    <row r="807" spans="1:7" ht="21.95" customHeight="1" x14ac:dyDescent="0.15">
      <c r="A807" s="17"/>
      <c r="B807" s="36"/>
      <c r="C807" s="37"/>
    </row>
    <row r="808" spans="1:7" ht="21.95" customHeight="1" x14ac:dyDescent="0.15">
      <c r="A808" s="17"/>
      <c r="B808" s="36"/>
      <c r="C808" s="37"/>
    </row>
    <row r="809" spans="1:7" ht="21.95" customHeight="1" x14ac:dyDescent="0.15">
      <c r="A809" s="17"/>
      <c r="B809" s="36"/>
      <c r="C809" s="37"/>
    </row>
    <row r="810" spans="1:7" ht="21.95" customHeight="1" x14ac:dyDescent="0.15">
      <c r="A810" s="17"/>
      <c r="B810" s="36"/>
      <c r="C810" s="37"/>
    </row>
    <row r="811" spans="1:7" ht="21.95" customHeight="1" x14ac:dyDescent="0.15">
      <c r="A811" s="17"/>
      <c r="B811" s="36"/>
      <c r="C811" s="37"/>
    </row>
    <row r="812" spans="1:7" ht="21.95" customHeight="1" x14ac:dyDescent="0.15">
      <c r="A812" s="17"/>
      <c r="B812" s="36"/>
      <c r="C812" s="37"/>
    </row>
    <row r="813" spans="1:7" ht="21.95" customHeight="1" x14ac:dyDescent="0.15">
      <c r="A813" s="17"/>
      <c r="B813" s="36"/>
      <c r="C813" s="37"/>
    </row>
    <row r="814" spans="1:7" ht="21.95" customHeight="1" x14ac:dyDescent="0.15">
      <c r="A814" s="17"/>
      <c r="B814" s="36"/>
      <c r="C814" s="37"/>
      <c r="G814" s="38"/>
    </row>
    <row r="815" spans="1:7" ht="21.95" customHeight="1" x14ac:dyDescent="0.15">
      <c r="A815" s="17"/>
      <c r="B815" s="36"/>
      <c r="C815" s="37"/>
      <c r="G815" s="38"/>
    </row>
    <row r="816" spans="1:7" ht="21.95" customHeight="1" x14ac:dyDescent="0.15">
      <c r="A816" s="17"/>
      <c r="B816" s="36"/>
      <c r="C816" s="37"/>
    </row>
    <row r="817" spans="1:7" ht="21.95" customHeight="1" x14ac:dyDescent="0.15">
      <c r="A817" s="17"/>
      <c r="B817" s="36"/>
      <c r="C817" s="37"/>
    </row>
    <row r="818" spans="1:7" ht="21.95" customHeight="1" x14ac:dyDescent="0.15">
      <c r="A818" s="17"/>
      <c r="B818" s="36"/>
      <c r="C818" s="37"/>
    </row>
    <row r="819" spans="1:7" ht="21.95" customHeight="1" x14ac:dyDescent="0.15">
      <c r="A819" s="17"/>
      <c r="B819" s="36"/>
      <c r="C819" s="37"/>
      <c r="G819" s="38"/>
    </row>
    <row r="820" spans="1:7" ht="21.95" customHeight="1" x14ac:dyDescent="0.15">
      <c r="A820" s="17"/>
      <c r="B820" s="36"/>
      <c r="C820" s="37"/>
    </row>
    <row r="821" spans="1:7" ht="21.95" customHeight="1" x14ac:dyDescent="0.15">
      <c r="A821" s="17"/>
      <c r="B821" s="36"/>
      <c r="C821" s="37"/>
    </row>
    <row r="822" spans="1:7" ht="21.95" customHeight="1" x14ac:dyDescent="0.15">
      <c r="A822" s="17"/>
      <c r="B822" s="36"/>
      <c r="C822" s="37"/>
    </row>
    <row r="823" spans="1:7" ht="21.95" customHeight="1" x14ac:dyDescent="0.15">
      <c r="A823" s="17"/>
      <c r="B823" s="36"/>
      <c r="C823" s="37"/>
    </row>
    <row r="824" spans="1:7" ht="21.95" customHeight="1" x14ac:dyDescent="0.15">
      <c r="A824" s="17"/>
      <c r="B824" s="36"/>
      <c r="C824" s="37"/>
    </row>
    <row r="825" spans="1:7" ht="21.95" customHeight="1" x14ac:dyDescent="0.15">
      <c r="A825" s="17"/>
      <c r="C825" s="37"/>
    </row>
    <row r="826" spans="1:7" ht="21.95" customHeight="1" x14ac:dyDescent="0.15">
      <c r="A826" s="17"/>
      <c r="B826" s="36"/>
      <c r="C826" s="37"/>
    </row>
    <row r="827" spans="1:7" ht="21.95" customHeight="1" x14ac:dyDescent="0.15">
      <c r="A827" s="17"/>
    </row>
    <row r="828" spans="1:7" ht="21.95" customHeight="1" x14ac:dyDescent="0.15">
      <c r="A828" s="17"/>
    </row>
    <row r="829" spans="1:7" ht="21.95" customHeight="1" x14ac:dyDescent="0.15">
      <c r="A829" s="17"/>
    </row>
    <row r="830" spans="1:7" s="8" customFormat="1" ht="21.95" customHeight="1" x14ac:dyDescent="0.15">
      <c r="A830" s="17"/>
      <c r="B830" s="39"/>
      <c r="C830" s="40"/>
      <c r="D830" s="38"/>
      <c r="E830" s="38"/>
      <c r="F830" s="38"/>
      <c r="G830" s="38"/>
    </row>
    <row r="831" spans="1:7" s="8" customFormat="1" ht="21.95" customHeight="1" x14ac:dyDescent="0.15">
      <c r="A831" s="17"/>
      <c r="B831" s="36"/>
      <c r="C831" s="37"/>
      <c r="D831" s="15"/>
      <c r="E831" s="38"/>
      <c r="F831" s="15"/>
      <c r="G831" s="38"/>
    </row>
    <row r="832" spans="1:7" s="8" customFormat="1" ht="21.95" customHeight="1" x14ac:dyDescent="0.15">
      <c r="A832" s="17"/>
      <c r="B832" s="36"/>
      <c r="C832" s="95"/>
      <c r="D832" s="15"/>
      <c r="E832" s="38"/>
      <c r="F832" s="15"/>
      <c r="G832" s="38"/>
    </row>
    <row r="833" spans="1:7" s="8" customFormat="1" ht="21.95" customHeight="1" x14ac:dyDescent="0.15">
      <c r="A833" s="17"/>
      <c r="B833" s="36"/>
      <c r="C833" s="95"/>
      <c r="D833" s="15"/>
      <c r="E833" s="38"/>
      <c r="F833" s="38"/>
      <c r="G833" s="38"/>
    </row>
    <row r="834" spans="1:7" s="8" customFormat="1" ht="21.95" customHeight="1" x14ac:dyDescent="0.15">
      <c r="A834" s="17"/>
      <c r="B834" s="36"/>
      <c r="C834" s="37"/>
      <c r="D834" s="15"/>
      <c r="E834" s="38"/>
      <c r="F834" s="15"/>
      <c r="G834" s="38"/>
    </row>
    <row r="835" spans="1:7" s="8" customFormat="1" ht="21.95" customHeight="1" x14ac:dyDescent="0.15">
      <c r="A835" s="17"/>
      <c r="B835" s="36"/>
      <c r="C835" s="37"/>
      <c r="D835" s="15"/>
      <c r="E835" s="38"/>
      <c r="F835" s="38"/>
      <c r="G835" s="38"/>
    </row>
    <row r="836" spans="1:7" s="8" customFormat="1" ht="21.95" customHeight="1" x14ac:dyDescent="0.15">
      <c r="A836" s="17"/>
      <c r="B836" s="36"/>
      <c r="C836" s="37"/>
      <c r="D836" s="15"/>
      <c r="E836" s="38"/>
      <c r="F836" s="15"/>
      <c r="G836" s="38"/>
    </row>
    <row r="837" spans="1:7" s="8" customFormat="1" ht="21.95" customHeight="1" x14ac:dyDescent="0.15">
      <c r="A837" s="17"/>
      <c r="B837" s="36"/>
      <c r="C837" s="37"/>
      <c r="D837" s="15"/>
      <c r="E837" s="38"/>
      <c r="F837" s="38"/>
      <c r="G837" s="38"/>
    </row>
    <row r="838" spans="1:7" s="8" customFormat="1" ht="21.95" customHeight="1" x14ac:dyDescent="0.15">
      <c r="A838" s="17"/>
      <c r="B838" s="36"/>
      <c r="C838" s="37"/>
      <c r="D838" s="15"/>
      <c r="E838" s="38"/>
      <c r="F838" s="15"/>
      <c r="G838" s="38"/>
    </row>
    <row r="839" spans="1:7" s="8" customFormat="1" ht="21.95" customHeight="1" x14ac:dyDescent="0.15">
      <c r="A839" s="17"/>
      <c r="B839" s="36"/>
      <c r="C839" s="37"/>
      <c r="D839" s="15"/>
      <c r="E839" s="38"/>
      <c r="F839" s="38"/>
      <c r="G839" s="38"/>
    </row>
    <row r="840" spans="1:7" s="8" customFormat="1" ht="21.95" customHeight="1" x14ac:dyDescent="0.15">
      <c r="A840" s="17"/>
      <c r="B840" s="36"/>
      <c r="C840" s="37"/>
      <c r="D840" s="15"/>
      <c r="E840" s="38"/>
      <c r="F840" s="15"/>
      <c r="G840" s="38"/>
    </row>
    <row r="841" spans="1:7" ht="21.95" customHeight="1" x14ac:dyDescent="0.15">
      <c r="A841" s="17"/>
      <c r="B841" s="36"/>
      <c r="C841" s="37"/>
      <c r="E841" s="38"/>
      <c r="F841" s="38"/>
      <c r="G841" s="38"/>
    </row>
    <row r="842" spans="1:7" ht="21.95" customHeight="1" x14ac:dyDescent="0.15">
      <c r="A842" s="17"/>
      <c r="B842" s="36"/>
      <c r="C842" s="37"/>
      <c r="E842" s="38"/>
      <c r="G842" s="38"/>
    </row>
    <row r="843" spans="1:7" ht="21.95" customHeight="1" x14ac:dyDescent="0.15">
      <c r="A843" s="17"/>
      <c r="B843" s="36"/>
      <c r="C843" s="37"/>
      <c r="E843" s="38"/>
      <c r="G843" s="38"/>
    </row>
    <row r="844" spans="1:7" ht="21.95" customHeight="1" x14ac:dyDescent="0.15">
      <c r="A844" s="17"/>
      <c r="B844" s="36"/>
      <c r="C844" s="37"/>
      <c r="E844" s="38"/>
      <c r="F844" s="38"/>
      <c r="G844" s="38"/>
    </row>
    <row r="845" spans="1:7" s="8" customFormat="1" ht="21.95" customHeight="1" x14ac:dyDescent="0.15">
      <c r="A845" s="17"/>
      <c r="B845" s="36"/>
      <c r="C845" s="37"/>
      <c r="D845" s="15"/>
      <c r="E845" s="38"/>
      <c r="F845" s="38"/>
      <c r="G845" s="38"/>
    </row>
    <row r="846" spans="1:7" s="8" customFormat="1" ht="21.95" customHeight="1" x14ac:dyDescent="0.15">
      <c r="A846" s="17"/>
      <c r="B846" s="36"/>
      <c r="C846" s="37"/>
      <c r="D846" s="15"/>
      <c r="E846" s="38"/>
      <c r="F846" s="38"/>
      <c r="G846" s="38"/>
    </row>
    <row r="847" spans="1:7" s="8" customFormat="1" ht="21.95" customHeight="1" x14ac:dyDescent="0.15">
      <c r="A847" s="17"/>
      <c r="B847" s="36"/>
      <c r="C847" s="37"/>
      <c r="D847" s="15"/>
      <c r="E847" s="38"/>
      <c r="F847" s="38"/>
      <c r="G847" s="38"/>
    </row>
    <row r="848" spans="1:7" s="8" customFormat="1" ht="21.95" customHeight="1" x14ac:dyDescent="0.15">
      <c r="A848" s="17"/>
      <c r="B848" s="36"/>
      <c r="C848" s="37"/>
      <c r="D848" s="15"/>
      <c r="E848" s="38"/>
      <c r="F848" s="38"/>
      <c r="G848" s="38"/>
    </row>
    <row r="849" spans="1:7" s="8" customFormat="1" ht="21.95" customHeight="1" x14ac:dyDescent="0.15">
      <c r="A849" s="17"/>
      <c r="B849" s="36"/>
      <c r="C849" s="37"/>
      <c r="D849" s="15"/>
      <c r="E849" s="38"/>
      <c r="F849" s="38"/>
      <c r="G849" s="38"/>
    </row>
    <row r="850" spans="1:7" s="8" customFormat="1" ht="21.95" customHeight="1" x14ac:dyDescent="0.15">
      <c r="A850" s="17"/>
      <c r="B850" s="36"/>
      <c r="C850" s="37"/>
      <c r="D850" s="15"/>
      <c r="E850" s="38"/>
      <c r="F850" s="38"/>
      <c r="G850" s="38"/>
    </row>
    <row r="851" spans="1:7" s="8" customFormat="1" ht="21.95" customHeight="1" x14ac:dyDescent="0.15">
      <c r="A851" s="17"/>
      <c r="B851" s="36"/>
      <c r="C851" s="37"/>
      <c r="D851" s="15"/>
      <c r="E851" s="38"/>
      <c r="F851" s="38"/>
      <c r="G851" s="38"/>
    </row>
    <row r="852" spans="1:7" s="8" customFormat="1" ht="21.95" customHeight="1" x14ac:dyDescent="0.15">
      <c r="A852" s="17"/>
      <c r="B852" s="36"/>
      <c r="C852" s="37"/>
      <c r="D852" s="15"/>
      <c r="E852" s="38"/>
      <c r="F852" s="38"/>
      <c r="G852" s="38"/>
    </row>
    <row r="853" spans="1:7" s="8" customFormat="1" ht="21.95" customHeight="1" x14ac:dyDescent="0.15">
      <c r="A853" s="17"/>
      <c r="B853" s="36"/>
      <c r="C853" s="37"/>
      <c r="D853" s="15"/>
      <c r="E853" s="38"/>
      <c r="F853" s="38"/>
      <c r="G853" s="38"/>
    </row>
    <row r="854" spans="1:7" s="8" customFormat="1" ht="21.95" customHeight="1" x14ac:dyDescent="0.15">
      <c r="A854" s="17"/>
      <c r="B854" s="36"/>
      <c r="C854" s="37"/>
      <c r="D854" s="15"/>
      <c r="E854" s="38"/>
      <c r="F854" s="38"/>
      <c r="G854" s="38"/>
    </row>
    <row r="855" spans="1:7" s="8" customFormat="1" ht="21.95" customHeight="1" x14ac:dyDescent="0.15">
      <c r="A855" s="17"/>
      <c r="B855" s="36"/>
      <c r="C855" s="37"/>
      <c r="D855" s="15"/>
      <c r="E855" s="38"/>
      <c r="F855" s="38"/>
      <c r="G855" s="38"/>
    </row>
    <row r="856" spans="1:7" s="8" customFormat="1" ht="32.1" customHeight="1" x14ac:dyDescent="0.15">
      <c r="A856" s="17"/>
      <c r="B856" s="36"/>
      <c r="C856" s="37"/>
      <c r="D856" s="15"/>
      <c r="E856" s="38"/>
      <c r="F856" s="38"/>
      <c r="G856" s="38"/>
    </row>
    <row r="857" spans="1:7" s="8" customFormat="1" ht="32.1" customHeight="1" x14ac:dyDescent="0.15">
      <c r="A857" s="17"/>
      <c r="B857" s="36"/>
      <c r="C857" s="37"/>
      <c r="D857" s="15"/>
      <c r="E857" s="38"/>
      <c r="F857" s="38"/>
      <c r="G857" s="38"/>
    </row>
    <row r="858" spans="1:7" s="8" customFormat="1" ht="32.1" customHeight="1" x14ac:dyDescent="0.15">
      <c r="A858" s="17"/>
      <c r="B858" s="36"/>
      <c r="C858" s="37"/>
      <c r="D858" s="15"/>
      <c r="E858" s="38"/>
      <c r="F858" s="38"/>
      <c r="G858" s="38"/>
    </row>
    <row r="859" spans="1:7" s="8" customFormat="1" ht="32.1" customHeight="1" x14ac:dyDescent="0.15">
      <c r="A859" s="17"/>
      <c r="B859" s="36"/>
      <c r="C859" s="37"/>
      <c r="D859" s="15"/>
      <c r="E859" s="38"/>
      <c r="F859" s="38"/>
      <c r="G859" s="38"/>
    </row>
    <row r="860" spans="1:7" s="8" customFormat="1" ht="32.1" customHeight="1" x14ac:dyDescent="0.15">
      <c r="A860" s="17"/>
      <c r="B860" s="36"/>
      <c r="C860" s="37"/>
      <c r="D860" s="15"/>
      <c r="E860" s="38"/>
      <c r="F860" s="38"/>
      <c r="G860" s="38"/>
    </row>
    <row r="861" spans="1:7" s="8" customFormat="1" ht="32.1" customHeight="1" x14ac:dyDescent="0.15">
      <c r="A861" s="17"/>
      <c r="B861" s="36"/>
      <c r="C861" s="37"/>
      <c r="D861" s="15"/>
      <c r="E861" s="38"/>
      <c r="F861" s="38"/>
      <c r="G861" s="38"/>
    </row>
    <row r="862" spans="1:7" ht="32.1" customHeight="1" x14ac:dyDescent="0.15">
      <c r="A862" s="17"/>
      <c r="B862" s="36"/>
      <c r="C862" s="37"/>
      <c r="E862" s="38"/>
      <c r="F862" s="38"/>
      <c r="G862" s="38"/>
    </row>
    <row r="863" spans="1:7" ht="32.1" customHeight="1" x14ac:dyDescent="0.15">
      <c r="A863" s="17"/>
      <c r="B863" s="36"/>
      <c r="C863" s="37"/>
      <c r="F863" s="38"/>
      <c r="G863" s="38"/>
    </row>
    <row r="864" spans="1:7" ht="32.1" customHeight="1" x14ac:dyDescent="0.15">
      <c r="A864" s="17"/>
      <c r="B864" s="36"/>
      <c r="C864" s="37"/>
      <c r="F864" s="38"/>
      <c r="G864" s="38"/>
    </row>
    <row r="865" spans="1:7" ht="32.1" customHeight="1" x14ac:dyDescent="0.15">
      <c r="A865" s="17"/>
      <c r="B865" s="36"/>
      <c r="C865" s="37"/>
      <c r="F865" s="38"/>
      <c r="G865" s="38"/>
    </row>
    <row r="866" spans="1:7" ht="21.95" customHeight="1" x14ac:dyDescent="0.15">
      <c r="A866" s="17"/>
      <c r="B866" s="36"/>
      <c r="C866" s="37"/>
      <c r="F866" s="38"/>
      <c r="G866" s="38"/>
    </row>
    <row r="867" spans="1:7" ht="54" customHeight="1" x14ac:dyDescent="0.15">
      <c r="A867" s="17"/>
      <c r="B867" s="36"/>
      <c r="C867" s="37"/>
      <c r="F867" s="38"/>
      <c r="G867" s="38"/>
    </row>
    <row r="868" spans="1:7" ht="21.95" customHeight="1" x14ac:dyDescent="0.15">
      <c r="A868" s="17"/>
      <c r="B868" s="36"/>
      <c r="C868" s="37"/>
      <c r="F868" s="38"/>
      <c r="G868" s="38"/>
    </row>
    <row r="869" spans="1:7" ht="21.95" customHeight="1" x14ac:dyDescent="0.15">
      <c r="A869" s="17"/>
      <c r="B869" s="36"/>
      <c r="C869" s="37"/>
      <c r="F869" s="38"/>
      <c r="G869" s="38"/>
    </row>
    <row r="870" spans="1:7" ht="21.95" customHeight="1" x14ac:dyDescent="0.15">
      <c r="A870" s="17"/>
      <c r="B870" s="36"/>
      <c r="C870" s="37"/>
      <c r="F870" s="38"/>
      <c r="G870" s="38"/>
    </row>
    <row r="871" spans="1:7" ht="21.95" customHeight="1" x14ac:dyDescent="0.15">
      <c r="A871" s="17"/>
      <c r="B871" s="36"/>
      <c r="C871" s="37"/>
      <c r="F871" s="38"/>
      <c r="G871" s="38"/>
    </row>
    <row r="872" spans="1:7" ht="21.95" customHeight="1" x14ac:dyDescent="0.15">
      <c r="A872" s="17"/>
      <c r="B872" s="36"/>
      <c r="C872" s="37"/>
      <c r="F872" s="38"/>
      <c r="G872" s="38"/>
    </row>
    <row r="873" spans="1:7" ht="21.95" customHeight="1" x14ac:dyDescent="0.15">
      <c r="A873" s="17"/>
      <c r="B873" s="36"/>
      <c r="C873" s="37"/>
      <c r="F873" s="38"/>
      <c r="G873" s="38"/>
    </row>
    <row r="874" spans="1:7" ht="21.95" customHeight="1" x14ac:dyDescent="0.15">
      <c r="A874" s="17"/>
      <c r="B874" s="36"/>
      <c r="C874" s="37"/>
      <c r="G874" s="38"/>
    </row>
    <row r="875" spans="1:7" ht="21.95" customHeight="1" x14ac:dyDescent="0.15">
      <c r="A875" s="17"/>
      <c r="B875" s="36"/>
      <c r="C875" s="37"/>
      <c r="G875" s="38"/>
    </row>
    <row r="876" spans="1:7" ht="21.95" customHeight="1" x14ac:dyDescent="0.15">
      <c r="A876" s="17"/>
      <c r="B876" s="36"/>
      <c r="C876" s="37"/>
      <c r="G876" s="38"/>
    </row>
    <row r="877" spans="1:7" ht="21.95" customHeight="1" x14ac:dyDescent="0.15">
      <c r="A877" s="17"/>
      <c r="B877" s="36"/>
      <c r="C877" s="37"/>
      <c r="G877" s="38"/>
    </row>
    <row r="878" spans="1:7" ht="21.95" customHeight="1" x14ac:dyDescent="0.15">
      <c r="A878" s="17"/>
      <c r="B878" s="36"/>
      <c r="C878" s="37"/>
      <c r="G878" s="38"/>
    </row>
    <row r="879" spans="1:7" ht="21.95" customHeight="1" x14ac:dyDescent="0.15">
      <c r="A879" s="17"/>
      <c r="B879" s="36"/>
      <c r="C879" s="37"/>
      <c r="G879" s="38"/>
    </row>
    <row r="880" spans="1:7" ht="21.95" customHeight="1" x14ac:dyDescent="0.15">
      <c r="A880" s="17"/>
      <c r="B880" s="36"/>
      <c r="C880" s="37"/>
      <c r="G880" s="38"/>
    </row>
    <row r="881" spans="1:7" ht="21.95" customHeight="1" x14ac:dyDescent="0.15">
      <c r="A881" s="17"/>
      <c r="B881" s="36"/>
      <c r="C881" s="37"/>
      <c r="G881" s="38"/>
    </row>
    <row r="882" spans="1:7" ht="21.95" customHeight="1" x14ac:dyDescent="0.15">
      <c r="A882" s="17"/>
      <c r="B882" s="36"/>
      <c r="C882" s="37"/>
      <c r="G882" s="38"/>
    </row>
    <row r="883" spans="1:7" ht="21.95" customHeight="1" x14ac:dyDescent="0.15">
      <c r="A883" s="17"/>
      <c r="B883" s="36"/>
      <c r="C883" s="37"/>
      <c r="G883" s="38"/>
    </row>
    <row r="884" spans="1:7" ht="21.95" customHeight="1" x14ac:dyDescent="0.15">
      <c r="A884" s="17"/>
      <c r="B884" s="36"/>
      <c r="C884" s="37"/>
      <c r="G884" s="38"/>
    </row>
    <row r="885" spans="1:7" ht="21.95" customHeight="1" x14ac:dyDescent="0.15">
      <c r="A885" s="17"/>
      <c r="B885" s="36"/>
      <c r="C885" s="37"/>
    </row>
    <row r="886" spans="1:7" ht="21.95" customHeight="1" x14ac:dyDescent="0.15">
      <c r="A886" s="17"/>
      <c r="B886" s="36"/>
      <c r="C886" s="37"/>
    </row>
    <row r="887" spans="1:7" ht="21.95" customHeight="1" x14ac:dyDescent="0.15">
      <c r="A887" s="17"/>
      <c r="B887" s="36"/>
      <c r="C887" s="37"/>
    </row>
    <row r="888" spans="1:7" ht="21.95" customHeight="1" x14ac:dyDescent="0.15">
      <c r="A888" s="17"/>
      <c r="B888" s="36"/>
      <c r="C888" s="37"/>
    </row>
    <row r="889" spans="1:7" ht="21.95" customHeight="1" x14ac:dyDescent="0.15">
      <c r="A889" s="17"/>
      <c r="B889" s="36"/>
      <c r="C889" s="37"/>
    </row>
    <row r="890" spans="1:7" ht="21.95" customHeight="1" x14ac:dyDescent="0.15">
      <c r="A890" s="17"/>
      <c r="B890" s="36"/>
      <c r="C890" s="37"/>
    </row>
    <row r="891" spans="1:7" ht="21.95" customHeight="1" x14ac:dyDescent="0.15">
      <c r="A891" s="17"/>
      <c r="B891" s="36"/>
      <c r="C891" s="37"/>
    </row>
    <row r="892" spans="1:7" ht="21.95" customHeight="1" x14ac:dyDescent="0.15">
      <c r="A892" s="17"/>
      <c r="B892" s="36"/>
      <c r="C892" s="37"/>
    </row>
    <row r="893" spans="1:7" ht="21.95" customHeight="1" x14ac:dyDescent="0.15">
      <c r="A893" s="17"/>
      <c r="B893" s="36"/>
      <c r="C893" s="37"/>
    </row>
    <row r="894" spans="1:7" ht="21.95" customHeight="1" x14ac:dyDescent="0.15">
      <c r="A894" s="17"/>
      <c r="B894" s="36"/>
      <c r="C894" s="37"/>
    </row>
    <row r="895" spans="1:7" ht="21.95" customHeight="1" x14ac:dyDescent="0.15">
      <c r="A895" s="17"/>
      <c r="B895" s="36"/>
      <c r="C895" s="37"/>
    </row>
    <row r="896" spans="1:7" ht="21.95" customHeight="1" x14ac:dyDescent="0.15">
      <c r="A896" s="17"/>
      <c r="B896" s="36"/>
      <c r="C896" s="37"/>
    </row>
    <row r="897" spans="1:3" ht="21.95" customHeight="1" x14ac:dyDescent="0.15">
      <c r="A897" s="17"/>
      <c r="B897" s="36"/>
      <c r="C897" s="37"/>
    </row>
    <row r="898" spans="1:3" ht="21.95" customHeight="1" x14ac:dyDescent="0.15">
      <c r="A898" s="17"/>
      <c r="B898" s="36"/>
      <c r="C898" s="37"/>
    </row>
    <row r="899" spans="1:3" ht="21.95" customHeight="1" x14ac:dyDescent="0.15">
      <c r="A899" s="17"/>
      <c r="B899" s="36"/>
      <c r="C899" s="37"/>
    </row>
    <row r="900" spans="1:3" ht="21.95" customHeight="1" x14ac:dyDescent="0.15">
      <c r="A900" s="17"/>
      <c r="B900" s="36"/>
      <c r="C900" s="37"/>
    </row>
    <row r="901" spans="1:3" ht="21.95" customHeight="1" x14ac:dyDescent="0.15">
      <c r="A901" s="17"/>
      <c r="B901" s="36"/>
      <c r="C901" s="37"/>
    </row>
    <row r="902" spans="1:3" ht="21.95" customHeight="1" x14ac:dyDescent="0.15">
      <c r="A902" s="17"/>
      <c r="B902" s="36"/>
      <c r="C902" s="37"/>
    </row>
    <row r="903" spans="1:3" ht="21.95" customHeight="1" x14ac:dyDescent="0.15">
      <c r="A903" s="17"/>
      <c r="B903" s="36"/>
      <c r="C903" s="37"/>
    </row>
    <row r="904" spans="1:3" ht="21.95" customHeight="1" x14ac:dyDescent="0.15">
      <c r="A904" s="17"/>
      <c r="B904" s="36"/>
      <c r="C904" s="37"/>
    </row>
    <row r="905" spans="1:3" ht="21.95" customHeight="1" x14ac:dyDescent="0.15">
      <c r="A905" s="17"/>
      <c r="B905" s="36"/>
      <c r="C905" s="37"/>
    </row>
    <row r="906" spans="1:3" ht="21.95" customHeight="1" x14ac:dyDescent="0.15">
      <c r="A906" s="17"/>
      <c r="B906" s="36"/>
      <c r="C906" s="37"/>
    </row>
    <row r="907" spans="1:3" ht="21.95" customHeight="1" x14ac:dyDescent="0.15">
      <c r="A907" s="17"/>
      <c r="B907" s="36"/>
      <c r="C907" s="37"/>
    </row>
    <row r="908" spans="1:3" ht="21.95" customHeight="1" x14ac:dyDescent="0.15">
      <c r="A908" s="17"/>
      <c r="B908" s="36"/>
      <c r="C908" s="37"/>
    </row>
    <row r="909" spans="1:3" ht="21.95" customHeight="1" x14ac:dyDescent="0.15">
      <c r="A909" s="17"/>
      <c r="B909" s="36"/>
      <c r="C909" s="37"/>
    </row>
    <row r="910" spans="1:3" ht="21.95" customHeight="1" x14ac:dyDescent="0.15">
      <c r="A910" s="17"/>
      <c r="B910" s="36"/>
      <c r="C910" s="37"/>
    </row>
    <row r="911" spans="1:3" ht="21.95" customHeight="1" x14ac:dyDescent="0.15">
      <c r="A911" s="17"/>
      <c r="B911" s="36"/>
      <c r="C911" s="37"/>
    </row>
    <row r="912" spans="1:3" ht="21.95" customHeight="1" x14ac:dyDescent="0.15">
      <c r="A912" s="17"/>
      <c r="B912" s="36"/>
      <c r="C912" s="37"/>
    </row>
    <row r="913" spans="1:7" ht="21.95" customHeight="1" x14ac:dyDescent="0.15">
      <c r="A913" s="17"/>
      <c r="B913" s="36"/>
      <c r="C913" s="37"/>
    </row>
    <row r="914" spans="1:7" ht="21.95" customHeight="1" x14ac:dyDescent="0.15">
      <c r="A914" s="17"/>
      <c r="B914" s="36"/>
      <c r="C914" s="37"/>
    </row>
    <row r="915" spans="1:7" ht="21.95" customHeight="1" x14ac:dyDescent="0.15">
      <c r="A915" s="17"/>
      <c r="B915" s="36"/>
      <c r="C915" s="37"/>
    </row>
    <row r="916" spans="1:7" ht="21.95" customHeight="1" x14ac:dyDescent="0.15">
      <c r="A916" s="17"/>
      <c r="B916" s="36"/>
      <c r="C916" s="37"/>
      <c r="G916" s="38"/>
    </row>
    <row r="917" spans="1:7" ht="21.95" customHeight="1" x14ac:dyDescent="0.15">
      <c r="A917" s="17"/>
      <c r="B917" s="36"/>
      <c r="C917" s="37"/>
    </row>
    <row r="918" spans="1:7" ht="35.1" customHeight="1" x14ac:dyDescent="0.15">
      <c r="A918" s="17"/>
      <c r="B918" s="36"/>
      <c r="C918" s="37"/>
    </row>
    <row r="919" spans="1:7" ht="21.95" customHeight="1" x14ac:dyDescent="0.15">
      <c r="A919" s="17"/>
      <c r="B919" s="36"/>
      <c r="C919" s="37"/>
    </row>
    <row r="920" spans="1:7" ht="21.95" customHeight="1" x14ac:dyDescent="0.15">
      <c r="A920" s="17"/>
      <c r="B920" s="36"/>
      <c r="C920" s="37"/>
    </row>
    <row r="921" spans="1:7" ht="21.95" customHeight="1" x14ac:dyDescent="0.15">
      <c r="A921" s="17"/>
      <c r="B921" s="36"/>
      <c r="C921" s="37"/>
    </row>
    <row r="922" spans="1:7" ht="21.95" customHeight="1" x14ac:dyDescent="0.15">
      <c r="A922" s="17"/>
      <c r="B922" s="36"/>
      <c r="C922" s="37"/>
    </row>
    <row r="923" spans="1:7" ht="21.95" customHeight="1" x14ac:dyDescent="0.15">
      <c r="A923" s="17"/>
      <c r="B923" s="36"/>
      <c r="C923" s="37"/>
    </row>
    <row r="924" spans="1:7" ht="21.95" customHeight="1" x14ac:dyDescent="0.15">
      <c r="A924" s="17"/>
      <c r="B924" s="36"/>
      <c r="C924" s="37"/>
    </row>
    <row r="925" spans="1:7" ht="21.95" customHeight="1" x14ac:dyDescent="0.15">
      <c r="A925" s="17"/>
      <c r="B925" s="36"/>
      <c r="C925" s="37"/>
    </row>
    <row r="926" spans="1:7" ht="21.95" customHeight="1" x14ac:dyDescent="0.15">
      <c r="A926" s="17"/>
      <c r="B926" s="36"/>
      <c r="C926" s="37"/>
      <c r="G926" s="38"/>
    </row>
    <row r="927" spans="1:7" ht="21.95" customHeight="1" x14ac:dyDescent="0.15">
      <c r="A927" s="17"/>
      <c r="B927" s="36"/>
      <c r="C927" s="37"/>
      <c r="G927" s="38"/>
    </row>
    <row r="928" spans="1:7" ht="21.95" customHeight="1" x14ac:dyDescent="0.15">
      <c r="A928" s="17"/>
      <c r="B928" s="36"/>
      <c r="C928" s="37"/>
    </row>
    <row r="929" spans="1:7" ht="21.95" customHeight="1" x14ac:dyDescent="0.15">
      <c r="A929" s="17"/>
      <c r="B929" s="36"/>
      <c r="C929" s="37"/>
    </row>
    <row r="930" spans="1:7" ht="21.95" customHeight="1" x14ac:dyDescent="0.15">
      <c r="A930" s="17"/>
      <c r="B930" s="36"/>
      <c r="C930" s="37"/>
    </row>
    <row r="931" spans="1:7" ht="21.95" customHeight="1" x14ac:dyDescent="0.15">
      <c r="A931" s="17"/>
      <c r="B931" s="36"/>
      <c r="C931" s="37"/>
      <c r="G931" s="38"/>
    </row>
    <row r="932" spans="1:7" ht="21.95" customHeight="1" x14ac:dyDescent="0.15">
      <c r="A932" s="17"/>
      <c r="B932" s="36"/>
      <c r="C932" s="37"/>
    </row>
    <row r="933" spans="1:7" ht="21.95" customHeight="1" x14ac:dyDescent="0.15">
      <c r="A933" s="17"/>
      <c r="B933" s="36"/>
      <c r="C933" s="37"/>
    </row>
    <row r="934" spans="1:7" ht="21.95" customHeight="1" x14ac:dyDescent="0.15">
      <c r="A934" s="17"/>
      <c r="B934" s="36"/>
      <c r="C934" s="37"/>
    </row>
    <row r="935" spans="1:7" ht="21.95" customHeight="1" x14ac:dyDescent="0.15">
      <c r="A935" s="17"/>
      <c r="B935" s="36"/>
      <c r="C935" s="37"/>
    </row>
    <row r="936" spans="1:7" ht="21.95" customHeight="1" x14ac:dyDescent="0.15">
      <c r="A936" s="17"/>
      <c r="B936" s="36"/>
      <c r="C936" s="37"/>
    </row>
    <row r="937" spans="1:7" ht="21.95" customHeight="1" x14ac:dyDescent="0.15">
      <c r="A937" s="17"/>
      <c r="C937" s="37"/>
    </row>
    <row r="938" spans="1:7" ht="21.95" customHeight="1" x14ac:dyDescent="0.15">
      <c r="A938" s="17"/>
      <c r="B938" s="36"/>
      <c r="C938" s="37"/>
    </row>
    <row r="939" spans="1:7" ht="21.95" customHeight="1" x14ac:dyDescent="0.15">
      <c r="A939" s="17"/>
    </row>
    <row r="940" spans="1:7" ht="21.95" customHeight="1" x14ac:dyDescent="0.15">
      <c r="A940" s="17"/>
    </row>
    <row r="941" spans="1:7" ht="21.95" customHeight="1" x14ac:dyDescent="0.15">
      <c r="A941" s="17"/>
    </row>
    <row r="942" spans="1:7" s="8" customFormat="1" ht="21.95" customHeight="1" x14ac:dyDescent="0.15">
      <c r="A942" s="17"/>
      <c r="B942" s="39"/>
      <c r="C942" s="40"/>
      <c r="D942" s="38"/>
      <c r="E942" s="38"/>
      <c r="F942" s="38"/>
      <c r="G942" s="38"/>
    </row>
    <row r="943" spans="1:7" s="8" customFormat="1" ht="21.95" customHeight="1" x14ac:dyDescent="0.15">
      <c r="A943" s="17"/>
      <c r="B943" s="36"/>
      <c r="C943" s="37"/>
      <c r="D943" s="15"/>
      <c r="E943" s="38"/>
      <c r="F943" s="15"/>
      <c r="G943" s="38"/>
    </row>
    <row r="944" spans="1:7" s="8" customFormat="1" ht="21.95" customHeight="1" x14ac:dyDescent="0.15">
      <c r="A944" s="17"/>
      <c r="B944" s="36"/>
      <c r="C944" s="95"/>
      <c r="D944" s="15"/>
      <c r="E944" s="38"/>
      <c r="F944" s="15"/>
      <c r="G944" s="38"/>
    </row>
    <row r="945" spans="1:7" s="8" customFormat="1" ht="21.95" customHeight="1" x14ac:dyDescent="0.15">
      <c r="A945" s="17"/>
      <c r="B945" s="36"/>
      <c r="C945" s="95"/>
      <c r="D945" s="15"/>
      <c r="E945" s="38"/>
      <c r="F945" s="38"/>
      <c r="G945" s="38"/>
    </row>
    <row r="946" spans="1:7" s="8" customFormat="1" ht="21.95" customHeight="1" x14ac:dyDescent="0.15">
      <c r="A946" s="17"/>
      <c r="B946" s="36"/>
      <c r="C946" s="37"/>
      <c r="D946" s="15"/>
      <c r="E946" s="38"/>
      <c r="F946" s="15"/>
      <c r="G946" s="38"/>
    </row>
    <row r="947" spans="1:7" s="8" customFormat="1" ht="21.95" customHeight="1" x14ac:dyDescent="0.15">
      <c r="A947" s="17"/>
      <c r="B947" s="36"/>
      <c r="C947" s="37"/>
      <c r="D947" s="15"/>
      <c r="E947" s="38"/>
      <c r="F947" s="38"/>
      <c r="G947" s="38"/>
    </row>
    <row r="948" spans="1:7" s="8" customFormat="1" ht="21.95" customHeight="1" x14ac:dyDescent="0.15">
      <c r="A948" s="17"/>
      <c r="B948" s="36"/>
      <c r="C948" s="37"/>
      <c r="D948" s="15"/>
      <c r="E948" s="38"/>
      <c r="F948" s="15"/>
      <c r="G948" s="38"/>
    </row>
    <row r="949" spans="1:7" s="8" customFormat="1" ht="21.95" customHeight="1" x14ac:dyDescent="0.15">
      <c r="A949" s="17"/>
      <c r="B949" s="36"/>
      <c r="C949" s="37"/>
      <c r="D949" s="15"/>
      <c r="E949" s="38"/>
      <c r="F949" s="38"/>
      <c r="G949" s="38"/>
    </row>
    <row r="950" spans="1:7" s="8" customFormat="1" ht="21.95" customHeight="1" x14ac:dyDescent="0.15">
      <c r="A950" s="17"/>
      <c r="B950" s="36"/>
      <c r="C950" s="37"/>
      <c r="D950" s="15"/>
      <c r="E950" s="38"/>
      <c r="F950" s="15"/>
      <c r="G950" s="38"/>
    </row>
    <row r="951" spans="1:7" s="8" customFormat="1" ht="21.95" customHeight="1" x14ac:dyDescent="0.15">
      <c r="A951" s="17"/>
      <c r="B951" s="36"/>
      <c r="C951" s="37"/>
      <c r="D951" s="15"/>
      <c r="E951" s="38"/>
      <c r="F951" s="38"/>
      <c r="G951" s="38"/>
    </row>
    <row r="952" spans="1:7" s="8" customFormat="1" ht="21.95" customHeight="1" x14ac:dyDescent="0.15">
      <c r="A952" s="17"/>
      <c r="B952" s="36"/>
      <c r="C952" s="37"/>
      <c r="D952" s="15"/>
      <c r="E952" s="38"/>
      <c r="F952" s="15"/>
      <c r="G952" s="38"/>
    </row>
    <row r="953" spans="1:7" ht="21.95" customHeight="1" x14ac:dyDescent="0.15">
      <c r="A953" s="17"/>
      <c r="B953" s="36"/>
      <c r="C953" s="37"/>
      <c r="E953" s="38"/>
      <c r="F953" s="38"/>
      <c r="G953" s="38"/>
    </row>
    <row r="954" spans="1:7" ht="21.95" customHeight="1" x14ac:dyDescent="0.15">
      <c r="A954" s="17"/>
      <c r="B954" s="36"/>
      <c r="C954" s="37"/>
      <c r="E954" s="38"/>
      <c r="G954" s="38"/>
    </row>
    <row r="955" spans="1:7" ht="21.95" customHeight="1" x14ac:dyDescent="0.15">
      <c r="A955" s="17"/>
      <c r="B955" s="36"/>
      <c r="C955" s="37"/>
      <c r="E955" s="38"/>
      <c r="G955" s="38"/>
    </row>
    <row r="956" spans="1:7" ht="21.95" customHeight="1" x14ac:dyDescent="0.15">
      <c r="A956" s="17"/>
      <c r="B956" s="36"/>
      <c r="C956" s="37"/>
      <c r="E956" s="38"/>
      <c r="F956" s="38"/>
      <c r="G956" s="38"/>
    </row>
    <row r="957" spans="1:7" s="8" customFormat="1" ht="21.95" customHeight="1" x14ac:dyDescent="0.15">
      <c r="A957" s="17"/>
      <c r="B957" s="36"/>
      <c r="C957" s="37"/>
      <c r="D957" s="15"/>
      <c r="E957" s="38"/>
      <c r="F957" s="38"/>
      <c r="G957" s="38"/>
    </row>
    <row r="958" spans="1:7" s="8" customFormat="1" ht="21.95" customHeight="1" x14ac:dyDescent="0.15">
      <c r="A958" s="17"/>
      <c r="B958" s="36"/>
      <c r="C958" s="37"/>
      <c r="D958" s="15"/>
      <c r="E958" s="38"/>
      <c r="F958" s="38"/>
      <c r="G958" s="38"/>
    </row>
    <row r="959" spans="1:7" s="8" customFormat="1" ht="21.95" customHeight="1" x14ac:dyDescent="0.15">
      <c r="A959" s="17"/>
      <c r="B959" s="36"/>
      <c r="C959" s="37"/>
      <c r="D959" s="15"/>
      <c r="E959" s="38"/>
      <c r="F959" s="38"/>
      <c r="G959" s="38"/>
    </row>
    <row r="960" spans="1:7" s="8" customFormat="1" ht="21.95" customHeight="1" x14ac:dyDescent="0.15">
      <c r="A960" s="17"/>
      <c r="B960" s="36"/>
      <c r="C960" s="37"/>
      <c r="D960" s="15"/>
      <c r="E960" s="38"/>
      <c r="F960" s="38"/>
      <c r="G960" s="38"/>
    </row>
    <row r="961" spans="1:7" s="8" customFormat="1" ht="21.95" customHeight="1" x14ac:dyDescent="0.15">
      <c r="A961" s="17"/>
      <c r="B961" s="36"/>
      <c r="C961" s="37"/>
      <c r="D961" s="15"/>
      <c r="E961" s="38"/>
      <c r="F961" s="38"/>
      <c r="G961" s="38"/>
    </row>
    <row r="962" spans="1:7" s="8" customFormat="1" ht="21.95" customHeight="1" x14ac:dyDescent="0.15">
      <c r="A962" s="17"/>
      <c r="B962" s="36"/>
      <c r="C962" s="37"/>
      <c r="D962" s="15"/>
      <c r="E962" s="38"/>
      <c r="F962" s="38"/>
      <c r="G962" s="38"/>
    </row>
    <row r="963" spans="1:7" s="8" customFormat="1" ht="21.95" customHeight="1" x14ac:dyDescent="0.15">
      <c r="A963" s="17"/>
      <c r="B963" s="36"/>
      <c r="C963" s="37"/>
      <c r="D963" s="15"/>
      <c r="E963" s="38"/>
      <c r="F963" s="38"/>
      <c r="G963" s="38"/>
    </row>
    <row r="964" spans="1:7" s="8" customFormat="1" ht="21.95" customHeight="1" x14ac:dyDescent="0.15">
      <c r="A964" s="17"/>
      <c r="B964" s="36"/>
      <c r="C964" s="37"/>
      <c r="D964" s="15"/>
      <c r="E964" s="38"/>
      <c r="F964" s="38"/>
      <c r="G964" s="38"/>
    </row>
    <row r="965" spans="1:7" s="8" customFormat="1" ht="21.95" customHeight="1" x14ac:dyDescent="0.15">
      <c r="A965" s="17"/>
      <c r="B965" s="36"/>
      <c r="C965" s="37"/>
      <c r="D965" s="15"/>
      <c r="E965" s="38"/>
      <c r="F965" s="38"/>
      <c r="G965" s="38"/>
    </row>
    <row r="966" spans="1:7" s="8" customFormat="1" ht="21.95" customHeight="1" x14ac:dyDescent="0.15">
      <c r="A966" s="17"/>
      <c r="B966" s="36"/>
      <c r="C966" s="37"/>
      <c r="D966" s="15"/>
      <c r="E966" s="38"/>
      <c r="F966" s="38"/>
      <c r="G966" s="38"/>
    </row>
    <row r="967" spans="1:7" s="8" customFormat="1" ht="21.95" customHeight="1" x14ac:dyDescent="0.15">
      <c r="A967" s="17"/>
      <c r="B967" s="36"/>
      <c r="C967" s="37"/>
      <c r="D967" s="15"/>
      <c r="E967" s="38"/>
      <c r="F967" s="38"/>
      <c r="G967" s="38"/>
    </row>
    <row r="968" spans="1:7" s="8" customFormat="1" ht="32.1" customHeight="1" x14ac:dyDescent="0.15">
      <c r="A968" s="17"/>
      <c r="B968" s="36"/>
      <c r="C968" s="37"/>
      <c r="D968" s="15"/>
      <c r="E968" s="38"/>
      <c r="F968" s="38"/>
      <c r="G968" s="38"/>
    </row>
    <row r="969" spans="1:7" s="8" customFormat="1" ht="32.1" customHeight="1" x14ac:dyDescent="0.15">
      <c r="A969" s="17"/>
      <c r="B969" s="36"/>
      <c r="C969" s="37"/>
      <c r="D969" s="15"/>
      <c r="E969" s="38"/>
      <c r="F969" s="38"/>
      <c r="G969" s="38"/>
    </row>
    <row r="970" spans="1:7" s="8" customFormat="1" ht="32.1" customHeight="1" x14ac:dyDescent="0.15">
      <c r="A970" s="17"/>
      <c r="B970" s="36"/>
      <c r="C970" s="37"/>
      <c r="D970" s="15"/>
      <c r="E970" s="38"/>
      <c r="F970" s="38"/>
      <c r="G970" s="38"/>
    </row>
    <row r="971" spans="1:7" s="8" customFormat="1" ht="32.1" customHeight="1" x14ac:dyDescent="0.15">
      <c r="A971" s="17"/>
      <c r="B971" s="36"/>
      <c r="C971" s="37"/>
      <c r="D971" s="15"/>
      <c r="E971" s="38"/>
      <c r="F971" s="38"/>
      <c r="G971" s="38"/>
    </row>
    <row r="972" spans="1:7" s="8" customFormat="1" ht="32.1" customHeight="1" x14ac:dyDescent="0.15">
      <c r="A972" s="17"/>
      <c r="B972" s="36"/>
      <c r="C972" s="37"/>
      <c r="D972" s="15"/>
      <c r="E972" s="38"/>
      <c r="F972" s="38"/>
      <c r="G972" s="38"/>
    </row>
    <row r="973" spans="1:7" s="8" customFormat="1" ht="32.1" customHeight="1" x14ac:dyDescent="0.15">
      <c r="A973" s="17"/>
      <c r="B973" s="36"/>
      <c r="C973" s="37"/>
      <c r="D973" s="15"/>
      <c r="E973" s="38"/>
      <c r="F973" s="38"/>
      <c r="G973" s="38"/>
    </row>
    <row r="974" spans="1:7" ht="32.1" customHeight="1" x14ac:dyDescent="0.15">
      <c r="A974" s="17"/>
      <c r="B974" s="36"/>
      <c r="C974" s="37"/>
      <c r="E974" s="38"/>
      <c r="F974" s="38"/>
      <c r="G974" s="38"/>
    </row>
    <row r="975" spans="1:7" ht="32.1" customHeight="1" x14ac:dyDescent="0.15">
      <c r="A975" s="17"/>
      <c r="B975" s="36"/>
      <c r="C975" s="37"/>
      <c r="F975" s="38"/>
      <c r="G975" s="38"/>
    </row>
    <row r="976" spans="1:7" ht="32.1" customHeight="1" x14ac:dyDescent="0.15">
      <c r="A976" s="17"/>
      <c r="B976" s="36"/>
      <c r="C976" s="37"/>
      <c r="F976" s="38"/>
      <c r="G976" s="38"/>
    </row>
    <row r="977" spans="1:7" ht="32.1" customHeight="1" x14ac:dyDescent="0.15">
      <c r="A977" s="17"/>
      <c r="B977" s="36"/>
      <c r="C977" s="37"/>
      <c r="F977" s="38"/>
      <c r="G977" s="38"/>
    </row>
    <row r="978" spans="1:7" ht="21.95" customHeight="1" x14ac:dyDescent="0.15">
      <c r="A978" s="17"/>
      <c r="B978" s="36"/>
      <c r="C978" s="37"/>
      <c r="F978" s="38"/>
      <c r="G978" s="38"/>
    </row>
    <row r="979" spans="1:7" ht="54" customHeight="1" x14ac:dyDescent="0.15">
      <c r="A979" s="17"/>
      <c r="B979" s="36"/>
      <c r="C979" s="37"/>
      <c r="F979" s="38"/>
      <c r="G979" s="38"/>
    </row>
    <row r="980" spans="1:7" ht="21.95" customHeight="1" x14ac:dyDescent="0.15">
      <c r="A980" s="17"/>
      <c r="B980" s="36"/>
      <c r="C980" s="37"/>
      <c r="F980" s="38"/>
      <c r="G980" s="38"/>
    </row>
    <row r="981" spans="1:7" ht="21.95" customHeight="1" x14ac:dyDescent="0.15">
      <c r="A981" s="17"/>
      <c r="B981" s="36"/>
      <c r="C981" s="37"/>
      <c r="F981" s="38"/>
      <c r="G981" s="38"/>
    </row>
    <row r="982" spans="1:7" ht="21.95" customHeight="1" x14ac:dyDescent="0.15">
      <c r="A982" s="17"/>
      <c r="B982" s="36"/>
      <c r="C982" s="37"/>
      <c r="F982" s="38"/>
      <c r="G982" s="38"/>
    </row>
    <row r="983" spans="1:7" ht="21.95" customHeight="1" x14ac:dyDescent="0.15">
      <c r="A983" s="17"/>
      <c r="B983" s="36"/>
      <c r="C983" s="37"/>
      <c r="F983" s="38"/>
      <c r="G983" s="38"/>
    </row>
    <row r="984" spans="1:7" ht="21.95" customHeight="1" x14ac:dyDescent="0.15">
      <c r="A984" s="17"/>
      <c r="B984" s="36"/>
      <c r="C984" s="37"/>
      <c r="F984" s="38"/>
      <c r="G984" s="38"/>
    </row>
    <row r="985" spans="1:7" ht="21.95" customHeight="1" x14ac:dyDescent="0.15">
      <c r="A985" s="17"/>
      <c r="B985" s="36"/>
      <c r="C985" s="37"/>
      <c r="F985" s="38"/>
      <c r="G985" s="38"/>
    </row>
    <row r="986" spans="1:7" ht="21.95" customHeight="1" x14ac:dyDescent="0.15">
      <c r="A986" s="17"/>
      <c r="B986" s="36"/>
      <c r="C986" s="37"/>
      <c r="G986" s="38"/>
    </row>
    <row r="987" spans="1:7" ht="21.95" customHeight="1" x14ac:dyDescent="0.15">
      <c r="A987" s="17"/>
      <c r="B987" s="36"/>
      <c r="C987" s="37"/>
      <c r="G987" s="38"/>
    </row>
    <row r="988" spans="1:7" ht="21.95" customHeight="1" x14ac:dyDescent="0.15">
      <c r="A988" s="17"/>
      <c r="B988" s="36"/>
      <c r="C988" s="37"/>
      <c r="G988" s="38"/>
    </row>
    <row r="989" spans="1:7" ht="21.95" customHeight="1" x14ac:dyDescent="0.15">
      <c r="A989" s="17"/>
      <c r="B989" s="36"/>
      <c r="C989" s="37"/>
      <c r="G989" s="38"/>
    </row>
    <row r="990" spans="1:7" ht="21.95" customHeight="1" x14ac:dyDescent="0.15">
      <c r="A990" s="17"/>
      <c r="B990" s="36"/>
      <c r="C990" s="37"/>
      <c r="G990" s="38"/>
    </row>
    <row r="991" spans="1:7" ht="21.95" customHeight="1" x14ac:dyDescent="0.15">
      <c r="A991" s="17"/>
      <c r="B991" s="36"/>
      <c r="C991" s="37"/>
      <c r="G991" s="38"/>
    </row>
    <row r="992" spans="1:7" ht="21.95" customHeight="1" x14ac:dyDescent="0.15">
      <c r="A992" s="17"/>
      <c r="B992" s="36"/>
      <c r="C992" s="37"/>
      <c r="G992" s="38"/>
    </row>
    <row r="993" spans="1:7" ht="21.95" customHeight="1" x14ac:dyDescent="0.15">
      <c r="A993" s="17"/>
      <c r="B993" s="36"/>
      <c r="C993" s="37"/>
      <c r="G993" s="38"/>
    </row>
    <row r="994" spans="1:7" ht="21.95" customHeight="1" x14ac:dyDescent="0.15">
      <c r="A994" s="17"/>
      <c r="B994" s="36"/>
      <c r="C994" s="37"/>
      <c r="G994" s="38"/>
    </row>
    <row r="995" spans="1:7" ht="21.95" customHeight="1" x14ac:dyDescent="0.15">
      <c r="A995" s="17"/>
      <c r="B995" s="36"/>
      <c r="C995" s="37"/>
      <c r="G995" s="38"/>
    </row>
    <row r="996" spans="1:7" ht="21.95" customHeight="1" x14ac:dyDescent="0.15">
      <c r="A996" s="17"/>
      <c r="B996" s="36"/>
      <c r="C996" s="37"/>
      <c r="G996" s="38"/>
    </row>
    <row r="997" spans="1:7" ht="21.95" customHeight="1" x14ac:dyDescent="0.15">
      <c r="A997" s="17"/>
      <c r="B997" s="36"/>
      <c r="C997" s="37"/>
    </row>
    <row r="998" spans="1:7" ht="21.95" customHeight="1" x14ac:dyDescent="0.15">
      <c r="A998" s="17"/>
      <c r="B998" s="36"/>
      <c r="C998" s="37"/>
    </row>
    <row r="999" spans="1:7" ht="21.95" customHeight="1" x14ac:dyDescent="0.15">
      <c r="A999" s="17"/>
      <c r="B999" s="36"/>
      <c r="C999" s="37"/>
    </row>
    <row r="1000" spans="1:7" ht="21.95" customHeight="1" x14ac:dyDescent="0.15">
      <c r="A1000" s="17"/>
      <c r="B1000" s="36"/>
      <c r="C1000" s="37"/>
    </row>
    <row r="1001" spans="1:7" ht="21.95" customHeight="1" x14ac:dyDescent="0.15">
      <c r="A1001" s="17"/>
      <c r="B1001" s="36"/>
      <c r="C1001" s="37"/>
    </row>
    <row r="1002" spans="1:7" ht="21.95" customHeight="1" x14ac:dyDescent="0.15">
      <c r="A1002" s="17"/>
      <c r="B1002" s="36"/>
      <c r="C1002" s="37"/>
    </row>
    <row r="1003" spans="1:7" ht="21.95" customHeight="1" x14ac:dyDescent="0.15">
      <c r="A1003" s="17"/>
      <c r="B1003" s="36"/>
      <c r="C1003" s="37"/>
    </row>
    <row r="1004" spans="1:7" ht="21.95" customHeight="1" x14ac:dyDescent="0.15">
      <c r="A1004" s="17"/>
      <c r="B1004" s="36"/>
      <c r="C1004" s="37"/>
    </row>
    <row r="1005" spans="1:7" ht="21.95" customHeight="1" x14ac:dyDescent="0.15">
      <c r="A1005" s="17"/>
      <c r="B1005" s="36"/>
      <c r="C1005" s="37"/>
    </row>
    <row r="1006" spans="1:7" ht="21.95" customHeight="1" x14ac:dyDescent="0.15">
      <c r="A1006" s="17"/>
      <c r="B1006" s="36"/>
      <c r="C1006" s="37"/>
    </row>
    <row r="1007" spans="1:7" ht="21.95" customHeight="1" x14ac:dyDescent="0.15">
      <c r="A1007" s="17"/>
      <c r="B1007" s="36"/>
      <c r="C1007" s="37"/>
    </row>
    <row r="1008" spans="1:7" ht="21.95" customHeight="1" x14ac:dyDescent="0.15">
      <c r="A1008" s="17"/>
      <c r="B1008" s="36"/>
      <c r="C1008" s="37"/>
    </row>
    <row r="1009" spans="1:3" ht="21.95" customHeight="1" x14ac:dyDescent="0.15">
      <c r="A1009" s="17"/>
      <c r="B1009" s="36"/>
      <c r="C1009" s="37"/>
    </row>
    <row r="1010" spans="1:3" ht="21.95" customHeight="1" x14ac:dyDescent="0.15">
      <c r="A1010" s="17"/>
      <c r="B1010" s="36"/>
      <c r="C1010" s="37"/>
    </row>
    <row r="1011" spans="1:3" ht="21.95" customHeight="1" x14ac:dyDescent="0.15">
      <c r="A1011" s="17"/>
      <c r="B1011" s="36"/>
      <c r="C1011" s="37"/>
    </row>
    <row r="1012" spans="1:3" ht="21.95" customHeight="1" x14ac:dyDescent="0.15">
      <c r="A1012" s="17"/>
      <c r="B1012" s="36"/>
      <c r="C1012" s="37"/>
    </row>
    <row r="1013" spans="1:3" ht="21.95" customHeight="1" x14ac:dyDescent="0.15">
      <c r="A1013" s="17"/>
      <c r="B1013" s="36"/>
      <c r="C1013" s="37"/>
    </row>
    <row r="1014" spans="1:3" ht="21.95" customHeight="1" x14ac:dyDescent="0.15">
      <c r="A1014" s="17"/>
      <c r="B1014" s="36"/>
      <c r="C1014" s="37"/>
    </row>
    <row r="1015" spans="1:3" ht="21.95" customHeight="1" x14ac:dyDescent="0.15">
      <c r="A1015" s="17"/>
      <c r="B1015" s="36"/>
      <c r="C1015" s="37"/>
    </row>
    <row r="1016" spans="1:3" ht="21.95" customHeight="1" x14ac:dyDescent="0.15">
      <c r="A1016" s="17"/>
      <c r="B1016" s="36"/>
      <c r="C1016" s="37"/>
    </row>
    <row r="1017" spans="1:3" ht="21.95" customHeight="1" x14ac:dyDescent="0.15">
      <c r="A1017" s="17"/>
      <c r="B1017" s="36"/>
      <c r="C1017" s="37"/>
    </row>
    <row r="1018" spans="1:3" ht="21.95" customHeight="1" x14ac:dyDescent="0.15">
      <c r="A1018" s="17"/>
      <c r="B1018" s="36"/>
      <c r="C1018" s="37"/>
    </row>
    <row r="1019" spans="1:3" ht="21.95" customHeight="1" x14ac:dyDescent="0.15">
      <c r="A1019" s="17"/>
      <c r="B1019" s="36"/>
      <c r="C1019" s="37"/>
    </row>
    <row r="1020" spans="1:3" ht="21.95" customHeight="1" x14ac:dyDescent="0.15">
      <c r="A1020" s="17"/>
      <c r="B1020" s="36"/>
      <c r="C1020" s="37"/>
    </row>
    <row r="1021" spans="1:3" ht="21.95" customHeight="1" x14ac:dyDescent="0.15">
      <c r="A1021" s="17"/>
      <c r="B1021" s="36"/>
      <c r="C1021" s="37"/>
    </row>
    <row r="1022" spans="1:3" ht="21.95" customHeight="1" x14ac:dyDescent="0.15">
      <c r="A1022" s="17"/>
      <c r="B1022" s="36"/>
      <c r="C1022" s="37"/>
    </row>
    <row r="1023" spans="1:3" ht="21.95" customHeight="1" x14ac:dyDescent="0.15">
      <c r="A1023" s="17"/>
      <c r="B1023" s="36"/>
      <c r="C1023" s="37"/>
    </row>
    <row r="1024" spans="1:3" ht="21.95" customHeight="1" x14ac:dyDescent="0.15">
      <c r="A1024" s="17"/>
      <c r="B1024" s="36"/>
      <c r="C1024" s="37"/>
    </row>
    <row r="1025" spans="1:7" ht="21.95" customHeight="1" x14ac:dyDescent="0.15">
      <c r="A1025" s="17"/>
      <c r="B1025" s="36"/>
      <c r="C1025" s="37"/>
    </row>
    <row r="1026" spans="1:7" ht="21.95" customHeight="1" x14ac:dyDescent="0.15">
      <c r="A1026" s="17"/>
      <c r="B1026" s="36"/>
      <c r="C1026" s="37"/>
    </row>
    <row r="1027" spans="1:7" ht="21.95" customHeight="1" x14ac:dyDescent="0.15">
      <c r="A1027" s="17"/>
      <c r="B1027" s="36"/>
      <c r="C1027" s="37"/>
    </row>
    <row r="1028" spans="1:7" ht="21.95" customHeight="1" x14ac:dyDescent="0.15">
      <c r="A1028" s="17"/>
      <c r="B1028" s="36"/>
      <c r="C1028" s="37"/>
      <c r="G1028" s="38"/>
    </row>
    <row r="1029" spans="1:7" ht="21.95" customHeight="1" x14ac:dyDescent="0.15">
      <c r="A1029" s="17"/>
      <c r="B1029" s="36"/>
      <c r="C1029" s="37"/>
    </row>
    <row r="1030" spans="1:7" ht="35.1" customHeight="1" x14ac:dyDescent="0.15">
      <c r="A1030" s="17"/>
      <c r="B1030" s="36"/>
      <c r="C1030" s="37"/>
    </row>
    <row r="1031" spans="1:7" ht="21.95" customHeight="1" x14ac:dyDescent="0.15">
      <c r="A1031" s="17"/>
      <c r="B1031" s="36"/>
      <c r="C1031" s="37"/>
    </row>
    <row r="1032" spans="1:7" ht="21.95" customHeight="1" x14ac:dyDescent="0.15">
      <c r="A1032" s="17"/>
      <c r="B1032" s="36"/>
      <c r="C1032" s="37"/>
    </row>
    <row r="1033" spans="1:7" ht="21.95" customHeight="1" x14ac:dyDescent="0.15">
      <c r="A1033" s="17"/>
      <c r="B1033" s="36"/>
      <c r="C1033" s="37"/>
    </row>
    <row r="1034" spans="1:7" ht="21.95" customHeight="1" x14ac:dyDescent="0.15">
      <c r="A1034" s="17"/>
      <c r="B1034" s="36"/>
      <c r="C1034" s="37"/>
    </row>
    <row r="1035" spans="1:7" ht="21.95" customHeight="1" x14ac:dyDescent="0.15">
      <c r="A1035" s="17"/>
      <c r="B1035" s="36"/>
      <c r="C1035" s="37"/>
    </row>
    <row r="1036" spans="1:7" ht="21.95" customHeight="1" x14ac:dyDescent="0.15">
      <c r="A1036" s="17"/>
      <c r="B1036" s="36"/>
      <c r="C1036" s="37"/>
    </row>
    <row r="1037" spans="1:7" ht="21.95" customHeight="1" x14ac:dyDescent="0.15">
      <c r="A1037" s="17"/>
      <c r="B1037" s="36"/>
      <c r="C1037" s="37"/>
    </row>
    <row r="1038" spans="1:7" ht="21.95" customHeight="1" x14ac:dyDescent="0.15">
      <c r="A1038" s="17"/>
      <c r="B1038" s="36"/>
      <c r="C1038" s="37"/>
      <c r="G1038" s="38"/>
    </row>
    <row r="1039" spans="1:7" ht="21.95" customHeight="1" x14ac:dyDescent="0.15">
      <c r="A1039" s="17"/>
      <c r="B1039" s="36"/>
      <c r="C1039" s="37"/>
      <c r="G1039" s="38"/>
    </row>
    <row r="1040" spans="1:7" ht="21.95" customHeight="1" x14ac:dyDescent="0.15">
      <c r="A1040" s="17"/>
      <c r="B1040" s="36"/>
      <c r="C1040" s="37"/>
    </row>
    <row r="1041" spans="1:7" ht="21.95" customHeight="1" x14ac:dyDescent="0.15">
      <c r="A1041" s="17"/>
      <c r="B1041" s="36"/>
      <c r="C1041" s="37"/>
    </row>
    <row r="1042" spans="1:7" ht="21.95" customHeight="1" x14ac:dyDescent="0.15">
      <c r="A1042" s="17"/>
      <c r="B1042" s="36"/>
      <c r="C1042" s="37"/>
    </row>
    <row r="1043" spans="1:7" ht="21.95" customHeight="1" x14ac:dyDescent="0.15">
      <c r="A1043" s="17"/>
      <c r="B1043" s="36"/>
      <c r="C1043" s="37"/>
      <c r="G1043" s="38"/>
    </row>
    <row r="1044" spans="1:7" ht="21.95" customHeight="1" x14ac:dyDescent="0.15">
      <c r="A1044" s="17"/>
      <c r="B1044" s="36"/>
      <c r="C1044" s="37"/>
    </row>
    <row r="1045" spans="1:7" ht="21.95" customHeight="1" x14ac:dyDescent="0.15">
      <c r="A1045" s="17"/>
      <c r="B1045" s="36"/>
      <c r="C1045" s="37"/>
    </row>
    <row r="1046" spans="1:7" ht="21.95" customHeight="1" x14ac:dyDescent="0.15">
      <c r="A1046" s="17"/>
      <c r="B1046" s="36"/>
      <c r="C1046" s="37"/>
    </row>
    <row r="1047" spans="1:7" ht="21.95" customHeight="1" x14ac:dyDescent="0.15">
      <c r="A1047" s="17"/>
      <c r="B1047" s="36"/>
      <c r="C1047" s="37"/>
    </row>
    <row r="1048" spans="1:7" ht="21.95" customHeight="1" x14ac:dyDescent="0.15">
      <c r="A1048" s="17"/>
      <c r="B1048" s="36"/>
      <c r="C1048" s="37"/>
    </row>
    <row r="1049" spans="1:7" ht="21.95" customHeight="1" x14ac:dyDescent="0.15">
      <c r="A1049" s="17"/>
      <c r="C1049" s="37"/>
    </row>
    <row r="1050" spans="1:7" ht="21.95" customHeight="1" x14ac:dyDescent="0.15">
      <c r="A1050" s="17"/>
      <c r="B1050" s="36"/>
      <c r="C1050" s="37"/>
    </row>
    <row r="1051" spans="1:7" ht="21.95" customHeight="1" x14ac:dyDescent="0.15">
      <c r="A1051" s="17"/>
    </row>
    <row r="1052" spans="1:7" ht="21.95" customHeight="1" x14ac:dyDescent="0.15">
      <c r="A1052" s="17"/>
    </row>
    <row r="1053" spans="1:7" ht="21.95" customHeight="1" x14ac:dyDescent="0.15">
      <c r="A1053" s="17"/>
    </row>
    <row r="1054" spans="1:7" s="8" customFormat="1" ht="21.95" customHeight="1" x14ac:dyDescent="0.15">
      <c r="A1054" s="17"/>
      <c r="B1054" s="39"/>
      <c r="C1054" s="40"/>
      <c r="D1054" s="38"/>
      <c r="E1054" s="38"/>
      <c r="F1054" s="38"/>
      <c r="G1054" s="38"/>
    </row>
    <row r="1055" spans="1:7" s="8" customFormat="1" ht="21.95" customHeight="1" x14ac:dyDescent="0.15">
      <c r="A1055" s="17"/>
      <c r="B1055" s="36"/>
      <c r="C1055" s="37"/>
      <c r="D1055" s="15"/>
      <c r="E1055" s="38"/>
      <c r="F1055" s="15"/>
      <c r="G1055" s="38"/>
    </row>
    <row r="1056" spans="1:7" s="8" customFormat="1" ht="21.95" customHeight="1" x14ac:dyDescent="0.15">
      <c r="A1056" s="17"/>
      <c r="B1056" s="36"/>
      <c r="C1056" s="95"/>
      <c r="D1056" s="15"/>
      <c r="E1056" s="38"/>
      <c r="F1056" s="15"/>
      <c r="G1056" s="38"/>
    </row>
    <row r="1057" spans="1:7" s="8" customFormat="1" ht="21.95" customHeight="1" x14ac:dyDescent="0.15">
      <c r="A1057" s="17"/>
      <c r="B1057" s="36"/>
      <c r="C1057" s="95"/>
      <c r="D1057" s="15"/>
      <c r="E1057" s="38"/>
      <c r="F1057" s="38"/>
      <c r="G1057" s="38"/>
    </row>
    <row r="1058" spans="1:7" s="8" customFormat="1" ht="21.95" customHeight="1" x14ac:dyDescent="0.15">
      <c r="A1058" s="17"/>
      <c r="B1058" s="36"/>
      <c r="C1058" s="37"/>
      <c r="D1058" s="15"/>
      <c r="E1058" s="38"/>
      <c r="F1058" s="15"/>
      <c r="G1058" s="38"/>
    </row>
    <row r="1059" spans="1:7" s="8" customFormat="1" ht="21.95" customHeight="1" x14ac:dyDescent="0.15">
      <c r="A1059" s="17"/>
      <c r="B1059" s="36"/>
      <c r="C1059" s="37"/>
      <c r="D1059" s="15"/>
      <c r="E1059" s="38"/>
      <c r="F1059" s="38"/>
      <c r="G1059" s="38"/>
    </row>
    <row r="1060" spans="1:7" s="8" customFormat="1" ht="21.95" customHeight="1" x14ac:dyDescent="0.15">
      <c r="A1060" s="17"/>
      <c r="B1060" s="36"/>
      <c r="C1060" s="37"/>
      <c r="D1060" s="15"/>
      <c r="E1060" s="38"/>
      <c r="F1060" s="15"/>
      <c r="G1060" s="38"/>
    </row>
    <row r="1061" spans="1:7" s="8" customFormat="1" ht="21.95" customHeight="1" x14ac:dyDescent="0.15">
      <c r="A1061" s="17"/>
      <c r="B1061" s="36"/>
      <c r="C1061" s="37"/>
      <c r="D1061" s="15"/>
      <c r="E1061" s="38"/>
      <c r="F1061" s="38"/>
      <c r="G1061" s="38"/>
    </row>
    <row r="1062" spans="1:7" s="8" customFormat="1" ht="21.95" customHeight="1" x14ac:dyDescent="0.15">
      <c r="A1062" s="17"/>
      <c r="B1062" s="36"/>
      <c r="C1062" s="37"/>
      <c r="D1062" s="15"/>
      <c r="E1062" s="38"/>
      <c r="F1062" s="15"/>
      <c r="G1062" s="38"/>
    </row>
    <row r="1063" spans="1:7" s="8" customFormat="1" ht="21.95" customHeight="1" x14ac:dyDescent="0.15">
      <c r="A1063" s="17"/>
      <c r="B1063" s="36"/>
      <c r="C1063" s="37"/>
      <c r="D1063" s="15"/>
      <c r="E1063" s="38"/>
      <c r="F1063" s="38"/>
      <c r="G1063" s="38"/>
    </row>
    <row r="1064" spans="1:7" s="8" customFormat="1" ht="21.95" customHeight="1" x14ac:dyDescent="0.15">
      <c r="A1064" s="17"/>
      <c r="B1064" s="36"/>
      <c r="C1064" s="37"/>
      <c r="D1064" s="15"/>
      <c r="E1064" s="38"/>
      <c r="F1064" s="15"/>
      <c r="G1064" s="38"/>
    </row>
    <row r="1065" spans="1:7" ht="21.95" customHeight="1" x14ac:dyDescent="0.15">
      <c r="A1065" s="17"/>
      <c r="B1065" s="36"/>
      <c r="C1065" s="37"/>
      <c r="E1065" s="38"/>
      <c r="F1065" s="38"/>
      <c r="G1065" s="38"/>
    </row>
    <row r="1066" spans="1:7" ht="21.95" customHeight="1" x14ac:dyDescent="0.15">
      <c r="A1066" s="17"/>
      <c r="B1066" s="36"/>
      <c r="C1066" s="37"/>
      <c r="E1066" s="38"/>
      <c r="G1066" s="38"/>
    </row>
    <row r="1067" spans="1:7" ht="21.95" customHeight="1" x14ac:dyDescent="0.15">
      <c r="A1067" s="17"/>
      <c r="B1067" s="36"/>
      <c r="C1067" s="37"/>
      <c r="E1067" s="38"/>
      <c r="G1067" s="38"/>
    </row>
    <row r="1068" spans="1:7" ht="21.95" customHeight="1" x14ac:dyDescent="0.15">
      <c r="A1068" s="17"/>
      <c r="B1068" s="36"/>
      <c r="C1068" s="37"/>
      <c r="E1068" s="38"/>
      <c r="F1068" s="38"/>
      <c r="G1068" s="38"/>
    </row>
    <row r="1069" spans="1:7" s="8" customFormat="1" ht="21.95" customHeight="1" x14ac:dyDescent="0.15">
      <c r="A1069" s="17"/>
      <c r="B1069" s="36"/>
      <c r="C1069" s="37"/>
      <c r="D1069" s="15"/>
      <c r="E1069" s="38"/>
      <c r="F1069" s="38"/>
      <c r="G1069" s="38"/>
    </row>
    <row r="1070" spans="1:7" s="8" customFormat="1" ht="21.95" customHeight="1" x14ac:dyDescent="0.15">
      <c r="A1070" s="17"/>
      <c r="B1070" s="36"/>
      <c r="C1070" s="37"/>
      <c r="D1070" s="15"/>
      <c r="E1070" s="38"/>
      <c r="F1070" s="38"/>
      <c r="G1070" s="38"/>
    </row>
    <row r="1071" spans="1:7" s="8" customFormat="1" ht="21.95" customHeight="1" x14ac:dyDescent="0.15">
      <c r="A1071" s="17"/>
      <c r="B1071" s="36"/>
      <c r="C1071" s="37"/>
      <c r="D1071" s="15"/>
      <c r="E1071" s="38"/>
      <c r="F1071" s="38"/>
      <c r="G1071" s="38"/>
    </row>
    <row r="1072" spans="1:7" s="8" customFormat="1" ht="21.95" customHeight="1" x14ac:dyDescent="0.15">
      <c r="A1072" s="17"/>
      <c r="B1072" s="36"/>
      <c r="C1072" s="37"/>
      <c r="D1072" s="15"/>
      <c r="E1072" s="38"/>
      <c r="F1072" s="38"/>
      <c r="G1072" s="38"/>
    </row>
    <row r="1073" spans="1:7" s="8" customFormat="1" ht="21.95" customHeight="1" x14ac:dyDescent="0.15">
      <c r="A1073" s="17"/>
      <c r="B1073" s="36"/>
      <c r="C1073" s="37"/>
      <c r="D1073" s="15"/>
      <c r="E1073" s="38"/>
      <c r="F1073" s="38"/>
      <c r="G1073" s="38"/>
    </row>
    <row r="1074" spans="1:7" s="8" customFormat="1" ht="21.95" customHeight="1" x14ac:dyDescent="0.15">
      <c r="A1074" s="17"/>
      <c r="B1074" s="36"/>
      <c r="C1074" s="37"/>
      <c r="D1074" s="15"/>
      <c r="E1074" s="38"/>
      <c r="F1074" s="38"/>
      <c r="G1074" s="38"/>
    </row>
    <row r="1075" spans="1:7" s="8" customFormat="1" ht="21.95" customHeight="1" x14ac:dyDescent="0.15">
      <c r="A1075" s="17"/>
      <c r="B1075" s="36"/>
      <c r="C1075" s="37"/>
      <c r="D1075" s="15"/>
      <c r="E1075" s="38"/>
      <c r="F1075" s="38"/>
      <c r="G1075" s="38"/>
    </row>
    <row r="1076" spans="1:7" s="8" customFormat="1" ht="21.95" customHeight="1" x14ac:dyDescent="0.15">
      <c r="A1076" s="17"/>
      <c r="B1076" s="36"/>
      <c r="C1076" s="37"/>
      <c r="D1076" s="15"/>
      <c r="E1076" s="38"/>
      <c r="F1076" s="38"/>
      <c r="G1076" s="38"/>
    </row>
    <row r="1077" spans="1:7" s="8" customFormat="1" ht="21.95" customHeight="1" x14ac:dyDescent="0.15">
      <c r="A1077" s="17"/>
      <c r="B1077" s="36"/>
      <c r="C1077" s="37"/>
      <c r="D1077" s="15"/>
      <c r="E1077" s="38"/>
      <c r="F1077" s="38"/>
      <c r="G1077" s="38"/>
    </row>
    <row r="1078" spans="1:7" s="8" customFormat="1" ht="21.95" customHeight="1" x14ac:dyDescent="0.15">
      <c r="A1078" s="17"/>
      <c r="B1078" s="36"/>
      <c r="C1078" s="37"/>
      <c r="D1078" s="15"/>
      <c r="E1078" s="38"/>
      <c r="F1078" s="38"/>
      <c r="G1078" s="38"/>
    </row>
    <row r="1079" spans="1:7" s="8" customFormat="1" ht="21.95" customHeight="1" x14ac:dyDescent="0.15">
      <c r="A1079" s="17"/>
      <c r="B1079" s="36"/>
      <c r="C1079" s="37"/>
      <c r="D1079" s="15"/>
      <c r="E1079" s="38"/>
      <c r="F1079" s="38"/>
      <c r="G1079" s="38"/>
    </row>
    <row r="1080" spans="1:7" s="8" customFormat="1" ht="32.1" customHeight="1" x14ac:dyDescent="0.15">
      <c r="A1080" s="17"/>
      <c r="B1080" s="36"/>
      <c r="C1080" s="37"/>
      <c r="D1080" s="15"/>
      <c r="E1080" s="38"/>
      <c r="F1080" s="38"/>
      <c r="G1080" s="38"/>
    </row>
    <row r="1081" spans="1:7" s="8" customFormat="1" ht="32.1" customHeight="1" x14ac:dyDescent="0.15">
      <c r="A1081" s="17"/>
      <c r="B1081" s="36"/>
      <c r="C1081" s="37"/>
      <c r="D1081" s="15"/>
      <c r="E1081" s="38"/>
      <c r="F1081" s="38"/>
      <c r="G1081" s="38"/>
    </row>
    <row r="1082" spans="1:7" s="8" customFormat="1" ht="32.1" customHeight="1" x14ac:dyDescent="0.15">
      <c r="A1082" s="17"/>
      <c r="B1082" s="36"/>
      <c r="C1082" s="37"/>
      <c r="D1082" s="15"/>
      <c r="E1082" s="38"/>
      <c r="F1082" s="38"/>
      <c r="G1082" s="38"/>
    </row>
    <row r="1083" spans="1:7" s="8" customFormat="1" ht="32.1" customHeight="1" x14ac:dyDescent="0.15">
      <c r="A1083" s="17"/>
      <c r="B1083" s="36"/>
      <c r="C1083" s="37"/>
      <c r="D1083" s="15"/>
      <c r="E1083" s="38"/>
      <c r="F1083" s="38"/>
      <c r="G1083" s="38"/>
    </row>
    <row r="1084" spans="1:7" s="8" customFormat="1" ht="32.1" customHeight="1" x14ac:dyDescent="0.15">
      <c r="A1084" s="17"/>
      <c r="B1084" s="36"/>
      <c r="C1084" s="37"/>
      <c r="D1084" s="15"/>
      <c r="E1084" s="38"/>
      <c r="F1084" s="38"/>
      <c r="G1084" s="38"/>
    </row>
    <row r="1085" spans="1:7" s="8" customFormat="1" ht="32.1" customHeight="1" x14ac:dyDescent="0.15">
      <c r="A1085" s="17"/>
      <c r="B1085" s="36"/>
      <c r="C1085" s="37"/>
      <c r="D1085" s="15"/>
      <c r="E1085" s="38"/>
      <c r="F1085" s="38"/>
      <c r="G1085" s="38"/>
    </row>
    <row r="1086" spans="1:7" ht="32.1" customHeight="1" x14ac:dyDescent="0.15">
      <c r="A1086" s="17"/>
      <c r="B1086" s="36"/>
      <c r="C1086" s="37"/>
      <c r="E1086" s="38"/>
      <c r="F1086" s="38"/>
      <c r="G1086" s="38"/>
    </row>
    <row r="1087" spans="1:7" ht="32.1" customHeight="1" x14ac:dyDescent="0.15">
      <c r="A1087" s="17"/>
      <c r="B1087" s="36"/>
      <c r="C1087" s="37"/>
      <c r="F1087" s="38"/>
      <c r="G1087" s="38"/>
    </row>
    <row r="1088" spans="1:7" ht="32.1" customHeight="1" x14ac:dyDescent="0.15">
      <c r="A1088" s="17"/>
      <c r="B1088" s="36"/>
      <c r="C1088" s="37"/>
      <c r="F1088" s="38"/>
      <c r="G1088" s="38"/>
    </row>
    <row r="1089" spans="1:7" ht="32.1" customHeight="1" x14ac:dyDescent="0.15">
      <c r="A1089" s="17"/>
      <c r="B1089" s="36"/>
      <c r="C1089" s="37"/>
      <c r="F1089" s="38"/>
      <c r="G1089" s="38"/>
    </row>
    <row r="1090" spans="1:7" ht="21.95" customHeight="1" x14ac:dyDescent="0.15">
      <c r="A1090" s="17"/>
      <c r="B1090" s="36"/>
      <c r="C1090" s="37"/>
      <c r="F1090" s="38"/>
      <c r="G1090" s="38"/>
    </row>
    <row r="1091" spans="1:7" ht="54" customHeight="1" x14ac:dyDescent="0.15">
      <c r="A1091" s="17"/>
      <c r="B1091" s="36"/>
      <c r="C1091" s="37"/>
      <c r="F1091" s="38"/>
      <c r="G1091" s="38"/>
    </row>
    <row r="1092" spans="1:7" ht="21.95" customHeight="1" x14ac:dyDescent="0.15">
      <c r="A1092" s="17"/>
      <c r="B1092" s="36"/>
      <c r="C1092" s="37"/>
      <c r="F1092" s="38"/>
      <c r="G1092" s="38"/>
    </row>
    <row r="1093" spans="1:7" ht="21.95" customHeight="1" x14ac:dyDescent="0.15">
      <c r="A1093" s="17"/>
      <c r="B1093" s="36"/>
      <c r="C1093" s="37"/>
      <c r="F1093" s="38"/>
      <c r="G1093" s="38"/>
    </row>
    <row r="1094" spans="1:7" ht="21.95" customHeight="1" x14ac:dyDescent="0.15">
      <c r="A1094" s="17"/>
      <c r="B1094" s="36"/>
      <c r="C1094" s="37"/>
      <c r="F1094" s="38"/>
      <c r="G1094" s="38"/>
    </row>
    <row r="1095" spans="1:7" ht="21.95" customHeight="1" x14ac:dyDescent="0.15">
      <c r="A1095" s="17"/>
      <c r="B1095" s="36"/>
      <c r="C1095" s="37"/>
      <c r="F1095" s="38"/>
      <c r="G1095" s="38"/>
    </row>
    <row r="1096" spans="1:7" ht="21.95" customHeight="1" x14ac:dyDescent="0.15">
      <c r="A1096" s="17"/>
      <c r="B1096" s="36"/>
      <c r="C1096" s="37"/>
      <c r="F1096" s="38"/>
      <c r="G1096" s="38"/>
    </row>
    <row r="1097" spans="1:7" ht="21.95" customHeight="1" x14ac:dyDescent="0.15">
      <c r="A1097" s="17"/>
      <c r="B1097" s="36"/>
      <c r="C1097" s="37"/>
      <c r="F1097" s="38"/>
      <c r="G1097" s="38"/>
    </row>
    <row r="1098" spans="1:7" ht="21.95" customHeight="1" x14ac:dyDescent="0.15">
      <c r="A1098" s="17"/>
      <c r="B1098" s="36"/>
      <c r="C1098" s="37"/>
      <c r="G1098" s="38"/>
    </row>
    <row r="1099" spans="1:7" ht="21.95" customHeight="1" x14ac:dyDescent="0.15">
      <c r="A1099" s="17"/>
      <c r="B1099" s="36"/>
      <c r="C1099" s="37"/>
      <c r="G1099" s="38"/>
    </row>
    <row r="1100" spans="1:7" ht="21.95" customHeight="1" x14ac:dyDescent="0.15">
      <c r="A1100" s="17"/>
      <c r="B1100" s="36"/>
      <c r="C1100" s="37"/>
      <c r="G1100" s="38"/>
    </row>
    <row r="1101" spans="1:7" ht="21.95" customHeight="1" x14ac:dyDescent="0.15">
      <c r="A1101" s="17"/>
      <c r="B1101" s="36"/>
      <c r="C1101" s="37"/>
      <c r="G1101" s="38"/>
    </row>
    <row r="1102" spans="1:7" ht="21.95" customHeight="1" x14ac:dyDescent="0.15">
      <c r="A1102" s="17"/>
      <c r="B1102" s="36"/>
      <c r="C1102" s="37"/>
      <c r="G1102" s="38"/>
    </row>
    <row r="1103" spans="1:7" ht="21.95" customHeight="1" x14ac:dyDescent="0.15">
      <c r="A1103" s="17"/>
      <c r="B1103" s="36"/>
      <c r="C1103" s="37"/>
      <c r="G1103" s="38"/>
    </row>
    <row r="1104" spans="1:7" ht="21.95" customHeight="1" x14ac:dyDescent="0.15">
      <c r="A1104" s="17"/>
      <c r="B1104" s="36"/>
      <c r="C1104" s="37"/>
      <c r="G1104" s="38"/>
    </row>
    <row r="1105" spans="1:7" ht="21.95" customHeight="1" x14ac:dyDescent="0.15">
      <c r="A1105" s="17"/>
      <c r="B1105" s="36"/>
      <c r="C1105" s="37"/>
      <c r="G1105" s="38"/>
    </row>
    <row r="1106" spans="1:7" ht="21.95" customHeight="1" x14ac:dyDescent="0.15">
      <c r="A1106" s="17"/>
      <c r="B1106" s="36"/>
      <c r="C1106" s="37"/>
      <c r="G1106" s="38"/>
    </row>
    <row r="1107" spans="1:7" ht="21.95" customHeight="1" x14ac:dyDescent="0.15">
      <c r="A1107" s="17"/>
      <c r="B1107" s="36"/>
      <c r="C1107" s="37"/>
      <c r="G1107" s="38"/>
    </row>
    <row r="1108" spans="1:7" ht="21.95" customHeight="1" x14ac:dyDescent="0.15">
      <c r="A1108" s="17"/>
      <c r="B1108" s="36"/>
      <c r="C1108" s="37"/>
      <c r="G1108" s="38"/>
    </row>
    <row r="1109" spans="1:7" ht="21.95" customHeight="1" x14ac:dyDescent="0.15">
      <c r="A1109" s="17"/>
      <c r="B1109" s="36"/>
      <c r="C1109" s="37"/>
    </row>
    <row r="1110" spans="1:7" ht="21.95" customHeight="1" x14ac:dyDescent="0.15">
      <c r="A1110" s="17"/>
      <c r="B1110" s="36"/>
      <c r="C1110" s="37"/>
    </row>
    <row r="1111" spans="1:7" ht="21.95" customHeight="1" x14ac:dyDescent="0.15">
      <c r="A1111" s="17"/>
      <c r="B1111" s="36"/>
      <c r="C1111" s="37"/>
    </row>
    <row r="1112" spans="1:7" ht="21.95" customHeight="1" x14ac:dyDescent="0.15">
      <c r="A1112" s="17"/>
      <c r="B1112" s="36"/>
      <c r="C1112" s="37"/>
    </row>
    <row r="1113" spans="1:7" ht="21.95" customHeight="1" x14ac:dyDescent="0.15">
      <c r="A1113" s="17"/>
      <c r="B1113" s="36"/>
      <c r="C1113" s="37"/>
    </row>
    <row r="1114" spans="1:7" ht="21.95" customHeight="1" x14ac:dyDescent="0.15">
      <c r="A1114" s="17"/>
      <c r="B1114" s="36"/>
      <c r="C1114" s="37"/>
    </row>
    <row r="1115" spans="1:7" ht="21.95" customHeight="1" x14ac:dyDescent="0.15">
      <c r="A1115" s="17"/>
      <c r="B1115" s="36"/>
      <c r="C1115" s="37"/>
    </row>
    <row r="1116" spans="1:7" ht="21.95" customHeight="1" x14ac:dyDescent="0.15">
      <c r="A1116" s="17"/>
      <c r="B1116" s="36"/>
      <c r="C1116" s="37"/>
    </row>
    <row r="1117" spans="1:7" ht="21.95" customHeight="1" x14ac:dyDescent="0.15">
      <c r="A1117" s="17"/>
      <c r="B1117" s="36"/>
      <c r="C1117" s="37"/>
    </row>
    <row r="1118" spans="1:7" ht="21.95" customHeight="1" x14ac:dyDescent="0.15">
      <c r="A1118" s="17"/>
      <c r="B1118" s="36"/>
      <c r="C1118" s="37"/>
    </row>
    <row r="1119" spans="1:7" ht="21.95" customHeight="1" x14ac:dyDescent="0.15">
      <c r="A1119" s="17"/>
      <c r="B1119" s="36"/>
      <c r="C1119" s="37"/>
    </row>
    <row r="1120" spans="1:7" ht="21.95" customHeight="1" x14ac:dyDescent="0.15">
      <c r="A1120" s="17"/>
      <c r="B1120" s="36"/>
      <c r="C1120" s="37"/>
    </row>
    <row r="1121" spans="1:3" ht="21.95" customHeight="1" x14ac:dyDescent="0.15">
      <c r="A1121" s="17"/>
      <c r="B1121" s="36"/>
      <c r="C1121" s="37"/>
    </row>
    <row r="1122" spans="1:3" ht="21.95" customHeight="1" x14ac:dyDescent="0.15">
      <c r="A1122" s="17"/>
      <c r="B1122" s="36"/>
      <c r="C1122" s="37"/>
    </row>
    <row r="1123" spans="1:3" ht="21.95" customHeight="1" x14ac:dyDescent="0.15">
      <c r="A1123" s="17"/>
      <c r="B1123" s="36"/>
      <c r="C1123" s="37"/>
    </row>
    <row r="1124" spans="1:3" ht="21.95" customHeight="1" x14ac:dyDescent="0.15">
      <c r="A1124" s="17"/>
      <c r="B1124" s="36"/>
      <c r="C1124" s="37"/>
    </row>
    <row r="1125" spans="1:3" ht="21.95" customHeight="1" x14ac:dyDescent="0.15">
      <c r="A1125" s="17"/>
      <c r="B1125" s="36"/>
      <c r="C1125" s="37"/>
    </row>
    <row r="1126" spans="1:3" ht="21.95" customHeight="1" x14ac:dyDescent="0.15">
      <c r="A1126" s="17"/>
      <c r="B1126" s="36"/>
      <c r="C1126" s="37"/>
    </row>
    <row r="1127" spans="1:3" ht="21.95" customHeight="1" x14ac:dyDescent="0.15">
      <c r="A1127" s="17"/>
      <c r="B1127" s="36"/>
      <c r="C1127" s="37"/>
    </row>
    <row r="1128" spans="1:3" ht="21.95" customHeight="1" x14ac:dyDescent="0.15">
      <c r="A1128" s="17"/>
      <c r="B1128" s="36"/>
      <c r="C1128" s="37"/>
    </row>
    <row r="1129" spans="1:3" ht="21.95" customHeight="1" x14ac:dyDescent="0.15">
      <c r="A1129" s="17"/>
      <c r="B1129" s="36"/>
      <c r="C1129" s="37"/>
    </row>
    <row r="1130" spans="1:3" ht="21.95" customHeight="1" x14ac:dyDescent="0.15">
      <c r="A1130" s="17"/>
      <c r="B1130" s="36"/>
      <c r="C1130" s="37"/>
    </row>
    <row r="1131" spans="1:3" ht="21.95" customHeight="1" x14ac:dyDescent="0.15">
      <c r="A1131" s="17"/>
      <c r="B1131" s="36"/>
      <c r="C1131" s="37"/>
    </row>
    <row r="1132" spans="1:3" ht="21.95" customHeight="1" x14ac:dyDescent="0.15">
      <c r="A1132" s="17"/>
      <c r="B1132" s="36"/>
      <c r="C1132" s="37"/>
    </row>
    <row r="1133" spans="1:3" ht="21.95" customHeight="1" x14ac:dyDescent="0.15">
      <c r="A1133" s="17"/>
      <c r="B1133" s="36"/>
      <c r="C1133" s="37"/>
    </row>
    <row r="1134" spans="1:3" ht="21.95" customHeight="1" x14ac:dyDescent="0.15">
      <c r="A1134" s="17"/>
      <c r="B1134" s="36"/>
      <c r="C1134" s="37"/>
    </row>
    <row r="1135" spans="1:3" ht="21.95" customHeight="1" x14ac:dyDescent="0.15">
      <c r="A1135" s="17"/>
      <c r="B1135" s="36"/>
      <c r="C1135" s="37"/>
    </row>
    <row r="1136" spans="1:3" ht="21.95" customHeight="1" x14ac:dyDescent="0.15">
      <c r="A1136" s="17"/>
      <c r="B1136" s="36"/>
      <c r="C1136" s="37"/>
    </row>
    <row r="1137" spans="1:7" ht="21.95" customHeight="1" x14ac:dyDescent="0.15">
      <c r="A1137" s="17"/>
      <c r="B1137" s="36"/>
      <c r="C1137" s="37"/>
    </row>
    <row r="1138" spans="1:7" ht="21.95" customHeight="1" x14ac:dyDescent="0.15">
      <c r="A1138" s="17"/>
      <c r="B1138" s="36"/>
      <c r="C1138" s="37"/>
    </row>
    <row r="1139" spans="1:7" ht="21.95" customHeight="1" x14ac:dyDescent="0.15">
      <c r="A1139" s="17"/>
      <c r="B1139" s="36"/>
      <c r="C1139" s="37"/>
    </row>
    <row r="1140" spans="1:7" ht="21.95" customHeight="1" x14ac:dyDescent="0.15">
      <c r="A1140" s="17"/>
      <c r="B1140" s="36"/>
      <c r="C1140" s="37"/>
      <c r="G1140" s="38"/>
    </row>
    <row r="1141" spans="1:7" ht="21.95" customHeight="1" x14ac:dyDescent="0.15">
      <c r="A1141" s="17"/>
      <c r="B1141" s="36"/>
      <c r="C1141" s="37"/>
    </row>
    <row r="1142" spans="1:7" ht="35.1" customHeight="1" x14ac:dyDescent="0.15">
      <c r="A1142" s="17"/>
      <c r="B1142" s="36"/>
      <c r="C1142" s="37"/>
    </row>
    <row r="1143" spans="1:7" ht="21.95" customHeight="1" x14ac:dyDescent="0.15">
      <c r="A1143" s="17"/>
      <c r="B1143" s="36"/>
      <c r="C1143" s="37"/>
    </row>
    <row r="1144" spans="1:7" ht="21.95" customHeight="1" x14ac:dyDescent="0.15">
      <c r="A1144" s="17"/>
      <c r="B1144" s="36"/>
      <c r="C1144" s="37"/>
    </row>
    <row r="1145" spans="1:7" ht="21.95" customHeight="1" x14ac:dyDescent="0.15">
      <c r="A1145" s="17"/>
      <c r="B1145" s="36"/>
      <c r="C1145" s="37"/>
    </row>
    <row r="1146" spans="1:7" ht="21.95" customHeight="1" x14ac:dyDescent="0.15">
      <c r="A1146" s="17"/>
      <c r="B1146" s="36"/>
      <c r="C1146" s="37"/>
    </row>
    <row r="1147" spans="1:7" ht="21.95" customHeight="1" x14ac:dyDescent="0.15">
      <c r="A1147" s="17"/>
      <c r="B1147" s="36"/>
      <c r="C1147" s="37"/>
    </row>
    <row r="1148" spans="1:7" ht="21.95" customHeight="1" x14ac:dyDescent="0.15">
      <c r="A1148" s="17"/>
      <c r="B1148" s="36"/>
      <c r="C1148" s="37"/>
    </row>
    <row r="1149" spans="1:7" ht="21.95" customHeight="1" x14ac:dyDescent="0.15">
      <c r="A1149" s="17"/>
      <c r="B1149" s="36"/>
      <c r="C1149" s="37"/>
    </row>
    <row r="1150" spans="1:7" ht="21.95" customHeight="1" x14ac:dyDescent="0.15">
      <c r="A1150" s="17"/>
      <c r="B1150" s="36"/>
      <c r="C1150" s="37"/>
      <c r="G1150" s="38"/>
    </row>
    <row r="1151" spans="1:7" ht="21.95" customHeight="1" x14ac:dyDescent="0.15">
      <c r="A1151" s="17"/>
      <c r="B1151" s="36"/>
      <c r="C1151" s="37"/>
      <c r="G1151" s="38"/>
    </row>
    <row r="1152" spans="1:7" ht="21.95" customHeight="1" x14ac:dyDescent="0.15">
      <c r="A1152" s="17"/>
      <c r="B1152" s="36"/>
      <c r="C1152" s="37"/>
    </row>
    <row r="1153" spans="1:7" ht="21.95" customHeight="1" x14ac:dyDescent="0.15">
      <c r="A1153" s="17"/>
      <c r="B1153" s="36"/>
      <c r="C1153" s="37"/>
    </row>
    <row r="1154" spans="1:7" ht="21.95" customHeight="1" x14ac:dyDescent="0.15">
      <c r="A1154" s="17"/>
      <c r="B1154" s="36"/>
      <c r="C1154" s="37"/>
    </row>
    <row r="1155" spans="1:7" ht="21.95" customHeight="1" x14ac:dyDescent="0.15">
      <c r="A1155" s="17"/>
      <c r="B1155" s="36"/>
      <c r="C1155" s="37"/>
      <c r="G1155" s="38"/>
    </row>
    <row r="1156" spans="1:7" ht="21.95" customHeight="1" x14ac:dyDescent="0.15">
      <c r="A1156" s="17"/>
      <c r="B1156" s="36"/>
      <c r="C1156" s="37"/>
    </row>
    <row r="1157" spans="1:7" ht="21.95" customHeight="1" x14ac:dyDescent="0.15">
      <c r="A1157" s="17"/>
      <c r="B1157" s="36"/>
      <c r="C1157" s="37"/>
    </row>
    <row r="1158" spans="1:7" ht="21.95" customHeight="1" x14ac:dyDescent="0.15">
      <c r="A1158" s="17"/>
      <c r="B1158" s="36"/>
      <c r="C1158" s="37"/>
    </row>
    <row r="1159" spans="1:7" ht="21.95" customHeight="1" x14ac:dyDescent="0.15">
      <c r="A1159" s="17"/>
      <c r="B1159" s="36"/>
      <c r="C1159" s="37"/>
    </row>
    <row r="1160" spans="1:7" ht="21.95" customHeight="1" x14ac:dyDescent="0.15">
      <c r="A1160" s="17"/>
      <c r="B1160" s="36"/>
      <c r="C1160" s="37"/>
    </row>
    <row r="1161" spans="1:7" ht="21.95" customHeight="1" x14ac:dyDescent="0.15">
      <c r="A1161" s="17"/>
      <c r="C1161" s="37"/>
    </row>
    <row r="1162" spans="1:7" ht="21.95" customHeight="1" x14ac:dyDescent="0.15">
      <c r="A1162" s="17"/>
      <c r="B1162" s="36"/>
      <c r="C1162" s="37"/>
    </row>
    <row r="1163" spans="1:7" ht="21.95" customHeight="1" x14ac:dyDescent="0.15">
      <c r="A1163" s="17"/>
    </row>
    <row r="1164" spans="1:7" ht="21.95" customHeight="1" x14ac:dyDescent="0.15">
      <c r="A1164" s="17"/>
    </row>
    <row r="1165" spans="1:7" ht="21.95" customHeight="1" x14ac:dyDescent="0.15">
      <c r="A1165" s="17"/>
    </row>
    <row r="1166" spans="1:7" s="8" customFormat="1" ht="21.95" customHeight="1" x14ac:dyDescent="0.15">
      <c r="A1166" s="17"/>
      <c r="B1166" s="39"/>
      <c r="C1166" s="40"/>
      <c r="D1166" s="38"/>
      <c r="E1166" s="38"/>
      <c r="F1166" s="38"/>
      <c r="G1166" s="38"/>
    </row>
    <row r="1167" spans="1:7" s="8" customFormat="1" ht="21.95" customHeight="1" x14ac:dyDescent="0.15">
      <c r="A1167" s="17"/>
      <c r="B1167" s="36"/>
      <c r="C1167" s="37"/>
      <c r="D1167" s="15"/>
      <c r="E1167" s="38"/>
      <c r="F1167" s="15"/>
      <c r="G1167" s="38"/>
    </row>
    <row r="1168" spans="1:7" s="8" customFormat="1" ht="21.95" customHeight="1" x14ac:dyDescent="0.15">
      <c r="A1168" s="17"/>
      <c r="B1168" s="36"/>
      <c r="C1168" s="95"/>
      <c r="D1168" s="15"/>
      <c r="E1168" s="38"/>
      <c r="F1168" s="15"/>
      <c r="G1168" s="38"/>
    </row>
    <row r="1169" spans="1:7" s="8" customFormat="1" ht="21.95" customHeight="1" x14ac:dyDescent="0.15">
      <c r="A1169" s="17"/>
      <c r="B1169" s="36"/>
      <c r="C1169" s="95"/>
      <c r="D1169" s="15"/>
      <c r="E1169" s="38"/>
      <c r="F1169" s="38"/>
      <c r="G1169" s="38"/>
    </row>
    <row r="1170" spans="1:7" s="8" customFormat="1" ht="21.95" customHeight="1" x14ac:dyDescent="0.15">
      <c r="A1170" s="17"/>
      <c r="B1170" s="36"/>
      <c r="C1170" s="37"/>
      <c r="D1170" s="15"/>
      <c r="E1170" s="38"/>
      <c r="F1170" s="15"/>
      <c r="G1170" s="38"/>
    </row>
    <row r="1171" spans="1:7" s="8" customFormat="1" ht="21.95" customHeight="1" x14ac:dyDescent="0.15">
      <c r="A1171" s="17"/>
      <c r="B1171" s="36"/>
      <c r="C1171" s="37"/>
      <c r="D1171" s="15"/>
      <c r="E1171" s="38"/>
      <c r="F1171" s="38"/>
      <c r="G1171" s="38"/>
    </row>
    <row r="1172" spans="1:7" s="8" customFormat="1" ht="21.95" customHeight="1" x14ac:dyDescent="0.15">
      <c r="A1172" s="17"/>
      <c r="B1172" s="36"/>
      <c r="C1172" s="37"/>
      <c r="D1172" s="15"/>
      <c r="E1172" s="38"/>
      <c r="F1172" s="15"/>
      <c r="G1172" s="38"/>
    </row>
    <row r="1173" spans="1:7" s="8" customFormat="1" ht="21.95" customHeight="1" x14ac:dyDescent="0.15">
      <c r="A1173" s="17"/>
      <c r="B1173" s="36"/>
      <c r="C1173" s="37"/>
      <c r="D1173" s="15"/>
      <c r="E1173" s="38"/>
      <c r="F1173" s="38"/>
      <c r="G1173" s="38"/>
    </row>
    <row r="1174" spans="1:7" s="8" customFormat="1" ht="21.95" customHeight="1" x14ac:dyDescent="0.15">
      <c r="A1174" s="17"/>
      <c r="B1174" s="36"/>
      <c r="C1174" s="37"/>
      <c r="D1174" s="15"/>
      <c r="E1174" s="38"/>
      <c r="F1174" s="15"/>
      <c r="G1174" s="38"/>
    </row>
    <row r="1175" spans="1:7" s="8" customFormat="1" ht="21.95" customHeight="1" x14ac:dyDescent="0.15">
      <c r="A1175" s="17"/>
      <c r="B1175" s="36"/>
      <c r="C1175" s="37"/>
      <c r="D1175" s="15"/>
      <c r="E1175" s="38"/>
      <c r="F1175" s="38"/>
      <c r="G1175" s="38"/>
    </row>
    <row r="1176" spans="1:7" s="8" customFormat="1" ht="21.95" customHeight="1" x14ac:dyDescent="0.15">
      <c r="A1176" s="17"/>
      <c r="B1176" s="36"/>
      <c r="C1176" s="37"/>
      <c r="D1176" s="15"/>
      <c r="E1176" s="38"/>
      <c r="F1176" s="15"/>
      <c r="G1176" s="38"/>
    </row>
    <row r="1177" spans="1:7" ht="21.95" customHeight="1" x14ac:dyDescent="0.15">
      <c r="A1177" s="17"/>
      <c r="B1177" s="36"/>
      <c r="C1177" s="37"/>
      <c r="E1177" s="38"/>
      <c r="F1177" s="38"/>
      <c r="G1177" s="38"/>
    </row>
    <row r="1178" spans="1:7" ht="21.95" customHeight="1" x14ac:dyDescent="0.15">
      <c r="A1178" s="17"/>
      <c r="B1178" s="36"/>
      <c r="C1178" s="37"/>
      <c r="E1178" s="38"/>
      <c r="G1178" s="38"/>
    </row>
    <row r="1179" spans="1:7" ht="21.95" customHeight="1" x14ac:dyDescent="0.15">
      <c r="A1179" s="17"/>
      <c r="B1179" s="36"/>
      <c r="C1179" s="37"/>
      <c r="E1179" s="38"/>
      <c r="G1179" s="38"/>
    </row>
    <row r="1180" spans="1:7" ht="21.95" customHeight="1" x14ac:dyDescent="0.15">
      <c r="A1180" s="17"/>
      <c r="B1180" s="36"/>
      <c r="C1180" s="37"/>
      <c r="E1180" s="38"/>
      <c r="F1180" s="38"/>
      <c r="G1180" s="38"/>
    </row>
    <row r="1181" spans="1:7" s="8" customFormat="1" ht="21.95" customHeight="1" x14ac:dyDescent="0.15">
      <c r="A1181" s="17"/>
      <c r="B1181" s="36"/>
      <c r="C1181" s="37"/>
      <c r="D1181" s="15"/>
      <c r="E1181" s="38"/>
      <c r="F1181" s="38"/>
      <c r="G1181" s="38"/>
    </row>
    <row r="1182" spans="1:7" s="8" customFormat="1" ht="21.95" customHeight="1" x14ac:dyDescent="0.15">
      <c r="A1182" s="17"/>
      <c r="B1182" s="36"/>
      <c r="C1182" s="37"/>
      <c r="D1182" s="15"/>
      <c r="E1182" s="38"/>
      <c r="F1182" s="38"/>
      <c r="G1182" s="38"/>
    </row>
    <row r="1183" spans="1:7" s="8" customFormat="1" ht="21.95" customHeight="1" x14ac:dyDescent="0.15">
      <c r="A1183" s="17"/>
      <c r="B1183" s="36"/>
      <c r="C1183" s="37"/>
      <c r="D1183" s="15"/>
      <c r="E1183" s="38"/>
      <c r="F1183" s="38"/>
      <c r="G1183" s="38"/>
    </row>
    <row r="1184" spans="1:7" s="8" customFormat="1" ht="21.95" customHeight="1" x14ac:dyDescent="0.15">
      <c r="A1184" s="17"/>
      <c r="B1184" s="36"/>
      <c r="C1184" s="37"/>
      <c r="D1184" s="15"/>
      <c r="E1184" s="38"/>
      <c r="F1184" s="38"/>
      <c r="G1184" s="38"/>
    </row>
    <row r="1185" spans="1:7" s="8" customFormat="1" ht="21.95" customHeight="1" x14ac:dyDescent="0.15">
      <c r="A1185" s="17"/>
      <c r="B1185" s="36"/>
      <c r="C1185" s="37"/>
      <c r="D1185" s="15"/>
      <c r="E1185" s="38"/>
      <c r="F1185" s="38"/>
      <c r="G1185" s="38"/>
    </row>
    <row r="1186" spans="1:7" s="8" customFormat="1" ht="21.95" customHeight="1" x14ac:dyDescent="0.15">
      <c r="A1186" s="17"/>
      <c r="B1186" s="36"/>
      <c r="C1186" s="37"/>
      <c r="D1186" s="15"/>
      <c r="E1186" s="38"/>
      <c r="F1186" s="38"/>
      <c r="G1186" s="38"/>
    </row>
    <row r="1187" spans="1:7" s="8" customFormat="1" ht="21.95" customHeight="1" x14ac:dyDescent="0.15">
      <c r="A1187" s="17"/>
      <c r="B1187" s="36"/>
      <c r="C1187" s="37"/>
      <c r="D1187" s="15"/>
      <c r="E1187" s="38"/>
      <c r="F1187" s="38"/>
      <c r="G1187" s="38"/>
    </row>
    <row r="1188" spans="1:7" s="8" customFormat="1" ht="21.95" customHeight="1" x14ac:dyDescent="0.15">
      <c r="A1188" s="17"/>
      <c r="B1188" s="36"/>
      <c r="C1188" s="37"/>
      <c r="D1188" s="15"/>
      <c r="E1188" s="38"/>
      <c r="F1188" s="38"/>
      <c r="G1188" s="38"/>
    </row>
    <row r="1189" spans="1:7" s="8" customFormat="1" ht="21.95" customHeight="1" x14ac:dyDescent="0.15">
      <c r="A1189" s="17"/>
      <c r="B1189" s="36"/>
      <c r="C1189" s="37"/>
      <c r="D1189" s="15"/>
      <c r="E1189" s="38"/>
      <c r="F1189" s="38"/>
      <c r="G1189" s="38"/>
    </row>
    <row r="1190" spans="1:7" s="8" customFormat="1" ht="21.95" customHeight="1" x14ac:dyDescent="0.15">
      <c r="A1190" s="17"/>
      <c r="B1190" s="36"/>
      <c r="C1190" s="37"/>
      <c r="D1190" s="15"/>
      <c r="E1190" s="38"/>
      <c r="F1190" s="38"/>
      <c r="G1190" s="38"/>
    </row>
    <row r="1191" spans="1:7" s="8" customFormat="1" ht="21.95" customHeight="1" x14ac:dyDescent="0.15">
      <c r="A1191" s="17"/>
      <c r="B1191" s="36"/>
      <c r="C1191" s="37"/>
      <c r="D1191" s="15"/>
      <c r="E1191" s="38"/>
      <c r="F1191" s="38"/>
      <c r="G1191" s="38"/>
    </row>
    <row r="1192" spans="1:7" s="8" customFormat="1" ht="32.1" customHeight="1" x14ac:dyDescent="0.15">
      <c r="A1192" s="17"/>
      <c r="B1192" s="36"/>
      <c r="C1192" s="37"/>
      <c r="D1192" s="15"/>
      <c r="E1192" s="38"/>
      <c r="F1192" s="38"/>
      <c r="G1192" s="38"/>
    </row>
    <row r="1193" spans="1:7" s="8" customFormat="1" ht="32.1" customHeight="1" x14ac:dyDescent="0.15">
      <c r="A1193" s="17"/>
      <c r="B1193" s="36"/>
      <c r="C1193" s="37"/>
      <c r="D1193" s="15"/>
      <c r="E1193" s="38"/>
      <c r="F1193" s="38"/>
      <c r="G1193" s="38"/>
    </row>
    <row r="1194" spans="1:7" s="8" customFormat="1" ht="32.1" customHeight="1" x14ac:dyDescent="0.15">
      <c r="A1194" s="17"/>
      <c r="B1194" s="36"/>
      <c r="C1194" s="37"/>
      <c r="D1194" s="15"/>
      <c r="E1194" s="38"/>
      <c r="F1194" s="38"/>
      <c r="G1194" s="38"/>
    </row>
    <row r="1195" spans="1:7" s="8" customFormat="1" ht="32.1" customHeight="1" x14ac:dyDescent="0.15">
      <c r="A1195" s="17"/>
      <c r="B1195" s="36"/>
      <c r="C1195" s="37"/>
      <c r="D1195" s="15"/>
      <c r="E1195" s="38"/>
      <c r="F1195" s="38"/>
      <c r="G1195" s="38"/>
    </row>
    <row r="1196" spans="1:7" s="8" customFormat="1" ht="32.1" customHeight="1" x14ac:dyDescent="0.15">
      <c r="A1196" s="17"/>
      <c r="B1196" s="36"/>
      <c r="C1196" s="37"/>
      <c r="D1196" s="15"/>
      <c r="E1196" s="38"/>
      <c r="F1196" s="38"/>
      <c r="G1196" s="38"/>
    </row>
    <row r="1197" spans="1:7" s="8" customFormat="1" ht="32.1" customHeight="1" x14ac:dyDescent="0.15">
      <c r="A1197" s="17"/>
      <c r="B1197" s="36"/>
      <c r="C1197" s="37"/>
      <c r="D1197" s="15"/>
      <c r="E1197" s="38"/>
      <c r="F1197" s="38"/>
      <c r="G1197" s="38"/>
    </row>
    <row r="1198" spans="1:7" ht="32.1" customHeight="1" x14ac:dyDescent="0.15">
      <c r="A1198" s="17"/>
      <c r="B1198" s="36"/>
      <c r="C1198" s="37"/>
      <c r="E1198" s="38"/>
      <c r="F1198" s="38"/>
      <c r="G1198" s="38"/>
    </row>
    <row r="1199" spans="1:7" ht="32.1" customHeight="1" x14ac:dyDescent="0.15">
      <c r="A1199" s="17"/>
      <c r="B1199" s="36"/>
      <c r="C1199" s="37"/>
      <c r="F1199" s="38"/>
      <c r="G1199" s="38"/>
    </row>
    <row r="1200" spans="1:7" ht="32.1" customHeight="1" x14ac:dyDescent="0.15">
      <c r="A1200" s="17"/>
      <c r="B1200" s="36"/>
      <c r="C1200" s="37"/>
      <c r="F1200" s="38"/>
      <c r="G1200" s="38"/>
    </row>
    <row r="1201" spans="1:7" ht="32.1" customHeight="1" x14ac:dyDescent="0.15">
      <c r="A1201" s="17"/>
      <c r="B1201" s="36"/>
      <c r="C1201" s="37"/>
      <c r="F1201" s="38"/>
      <c r="G1201" s="38"/>
    </row>
    <row r="1202" spans="1:7" ht="21.95" customHeight="1" x14ac:dyDescent="0.15">
      <c r="A1202" s="17"/>
      <c r="B1202" s="36"/>
      <c r="C1202" s="37"/>
      <c r="F1202" s="38"/>
      <c r="G1202" s="38"/>
    </row>
    <row r="1203" spans="1:7" ht="54" customHeight="1" x14ac:dyDescent="0.15">
      <c r="A1203" s="17"/>
      <c r="B1203" s="36"/>
      <c r="C1203" s="37"/>
      <c r="F1203" s="38"/>
      <c r="G1203" s="38"/>
    </row>
    <row r="1204" spans="1:7" ht="21.95" customHeight="1" x14ac:dyDescent="0.15">
      <c r="A1204" s="17"/>
      <c r="B1204" s="36"/>
      <c r="C1204" s="37"/>
      <c r="F1204" s="38"/>
      <c r="G1204" s="38"/>
    </row>
    <row r="1205" spans="1:7" ht="21.95" customHeight="1" x14ac:dyDescent="0.15">
      <c r="A1205" s="17"/>
      <c r="B1205" s="36"/>
      <c r="C1205" s="37"/>
      <c r="F1205" s="38"/>
      <c r="G1205" s="38"/>
    </row>
    <row r="1206" spans="1:7" ht="21.95" customHeight="1" x14ac:dyDescent="0.15">
      <c r="A1206" s="17"/>
      <c r="B1206" s="36"/>
      <c r="C1206" s="37"/>
      <c r="F1206" s="38"/>
      <c r="G1206" s="38"/>
    </row>
    <row r="1207" spans="1:7" ht="21.95" customHeight="1" x14ac:dyDescent="0.15">
      <c r="A1207" s="17"/>
      <c r="B1207" s="36"/>
      <c r="C1207" s="37"/>
      <c r="F1207" s="38"/>
      <c r="G1207" s="38"/>
    </row>
    <row r="1208" spans="1:7" ht="21.95" customHeight="1" x14ac:dyDescent="0.15">
      <c r="A1208" s="17"/>
      <c r="B1208" s="36"/>
      <c r="C1208" s="37"/>
      <c r="F1208" s="38"/>
      <c r="G1208" s="38"/>
    </row>
    <row r="1209" spans="1:7" ht="21.95" customHeight="1" x14ac:dyDescent="0.15">
      <c r="A1209" s="17"/>
      <c r="B1209" s="36"/>
      <c r="C1209" s="37"/>
      <c r="F1209" s="38"/>
      <c r="G1209" s="38"/>
    </row>
    <row r="1210" spans="1:7" ht="21.95" customHeight="1" x14ac:dyDescent="0.15">
      <c r="A1210" s="17"/>
      <c r="B1210" s="36"/>
      <c r="C1210" s="37"/>
      <c r="G1210" s="38"/>
    </row>
    <row r="1211" spans="1:7" ht="21.95" customHeight="1" x14ac:dyDescent="0.15">
      <c r="A1211" s="17"/>
      <c r="B1211" s="36"/>
      <c r="C1211" s="37"/>
      <c r="G1211" s="38"/>
    </row>
    <row r="1212" spans="1:7" ht="21.95" customHeight="1" x14ac:dyDescent="0.15">
      <c r="A1212" s="17"/>
      <c r="B1212" s="36"/>
      <c r="C1212" s="37"/>
      <c r="G1212" s="38"/>
    </row>
    <row r="1213" spans="1:7" ht="21.95" customHeight="1" x14ac:dyDescent="0.15">
      <c r="A1213" s="17"/>
      <c r="B1213" s="36"/>
      <c r="C1213" s="37"/>
      <c r="G1213" s="38"/>
    </row>
    <row r="1214" spans="1:7" ht="21.95" customHeight="1" x14ac:dyDescent="0.15">
      <c r="A1214" s="17"/>
      <c r="B1214" s="36"/>
      <c r="C1214" s="37"/>
      <c r="G1214" s="38"/>
    </row>
    <row r="1215" spans="1:7" ht="21.95" customHeight="1" x14ac:dyDescent="0.15">
      <c r="A1215" s="17"/>
      <c r="B1215" s="36"/>
      <c r="C1215" s="37"/>
      <c r="G1215" s="38"/>
    </row>
    <row r="1216" spans="1:7" ht="21.95" customHeight="1" x14ac:dyDescent="0.15">
      <c r="A1216" s="17"/>
      <c r="B1216" s="36"/>
      <c r="C1216" s="37"/>
      <c r="G1216" s="38"/>
    </row>
    <row r="1217" spans="1:7" ht="21.95" customHeight="1" x14ac:dyDescent="0.15">
      <c r="A1217" s="17"/>
      <c r="B1217" s="36"/>
      <c r="C1217" s="37"/>
      <c r="G1217" s="38"/>
    </row>
    <row r="1218" spans="1:7" ht="21.95" customHeight="1" x14ac:dyDescent="0.15">
      <c r="A1218" s="17"/>
      <c r="B1218" s="36"/>
      <c r="C1218" s="37"/>
      <c r="G1218" s="38"/>
    </row>
    <row r="1219" spans="1:7" ht="21.95" customHeight="1" x14ac:dyDescent="0.15">
      <c r="A1219" s="17"/>
      <c r="B1219" s="36"/>
      <c r="C1219" s="37"/>
      <c r="G1219" s="38"/>
    </row>
    <row r="1220" spans="1:7" ht="21.95" customHeight="1" x14ac:dyDescent="0.15">
      <c r="A1220" s="17"/>
      <c r="B1220" s="36"/>
      <c r="C1220" s="37"/>
      <c r="G1220" s="38"/>
    </row>
    <row r="1221" spans="1:7" ht="21.95" customHeight="1" x14ac:dyDescent="0.15">
      <c r="A1221" s="17"/>
      <c r="B1221" s="36"/>
      <c r="C1221" s="37"/>
    </row>
    <row r="1222" spans="1:7" ht="21.95" customHeight="1" x14ac:dyDescent="0.15">
      <c r="A1222" s="17"/>
      <c r="B1222" s="36"/>
      <c r="C1222" s="37"/>
    </row>
    <row r="1223" spans="1:7" ht="21.95" customHeight="1" x14ac:dyDescent="0.15">
      <c r="A1223" s="17"/>
      <c r="B1223" s="36"/>
      <c r="C1223" s="37"/>
    </row>
    <row r="1224" spans="1:7" ht="21.95" customHeight="1" x14ac:dyDescent="0.15">
      <c r="A1224" s="17"/>
      <c r="B1224" s="36"/>
      <c r="C1224" s="37"/>
    </row>
    <row r="1225" spans="1:7" ht="21.95" customHeight="1" x14ac:dyDescent="0.15">
      <c r="A1225" s="17"/>
      <c r="B1225" s="36"/>
      <c r="C1225" s="37"/>
    </row>
    <row r="1226" spans="1:7" ht="21.95" customHeight="1" x14ac:dyDescent="0.15">
      <c r="A1226" s="17"/>
      <c r="B1226" s="36"/>
      <c r="C1226" s="37"/>
    </row>
    <row r="1227" spans="1:7" ht="21.95" customHeight="1" x14ac:dyDescent="0.15">
      <c r="A1227" s="17"/>
      <c r="B1227" s="36"/>
      <c r="C1227" s="37"/>
    </row>
    <row r="1228" spans="1:7" ht="21.95" customHeight="1" x14ac:dyDescent="0.15">
      <c r="A1228" s="17"/>
      <c r="B1228" s="36"/>
      <c r="C1228" s="37"/>
    </row>
    <row r="1229" spans="1:7" ht="21.95" customHeight="1" x14ac:dyDescent="0.15">
      <c r="A1229" s="17"/>
      <c r="B1229" s="36"/>
      <c r="C1229" s="37"/>
    </row>
    <row r="1230" spans="1:7" ht="21.95" customHeight="1" x14ac:dyDescent="0.15">
      <c r="A1230" s="17"/>
      <c r="B1230" s="36"/>
      <c r="C1230" s="37"/>
    </row>
    <row r="1231" spans="1:7" ht="21.95" customHeight="1" x14ac:dyDescent="0.15">
      <c r="A1231" s="17"/>
      <c r="B1231" s="36"/>
      <c r="C1231" s="37"/>
    </row>
    <row r="1232" spans="1:7" ht="21.95" customHeight="1" x14ac:dyDescent="0.15">
      <c r="A1232" s="17"/>
      <c r="B1232" s="36"/>
      <c r="C1232" s="37"/>
    </row>
    <row r="1233" spans="1:3" ht="21.95" customHeight="1" x14ac:dyDescent="0.15">
      <c r="A1233" s="17"/>
      <c r="B1233" s="36"/>
      <c r="C1233" s="37"/>
    </row>
    <row r="1234" spans="1:3" ht="21.95" customHeight="1" x14ac:dyDescent="0.15">
      <c r="A1234" s="17"/>
      <c r="B1234" s="36"/>
      <c r="C1234" s="37"/>
    </row>
    <row r="1235" spans="1:3" ht="21.95" customHeight="1" x14ac:dyDescent="0.15">
      <c r="A1235" s="17"/>
      <c r="B1235" s="36"/>
      <c r="C1235" s="37"/>
    </row>
    <row r="1236" spans="1:3" ht="21.95" customHeight="1" x14ac:dyDescent="0.15">
      <c r="A1236" s="17"/>
      <c r="B1236" s="36"/>
      <c r="C1236" s="37"/>
    </row>
    <row r="1237" spans="1:3" ht="21.95" customHeight="1" x14ac:dyDescent="0.15">
      <c r="A1237" s="17"/>
      <c r="B1237" s="36"/>
      <c r="C1237" s="37"/>
    </row>
    <row r="1238" spans="1:3" ht="21.95" customHeight="1" x14ac:dyDescent="0.15">
      <c r="A1238" s="17"/>
      <c r="B1238" s="36"/>
      <c r="C1238" s="37"/>
    </row>
    <row r="1239" spans="1:3" ht="21.95" customHeight="1" x14ac:dyDescent="0.15">
      <c r="A1239" s="17"/>
      <c r="B1239" s="36"/>
      <c r="C1239" s="37"/>
    </row>
    <row r="1240" spans="1:3" ht="21.95" customHeight="1" x14ac:dyDescent="0.15">
      <c r="A1240" s="17"/>
      <c r="B1240" s="36"/>
      <c r="C1240" s="37"/>
    </row>
    <row r="1241" spans="1:3" ht="21.95" customHeight="1" x14ac:dyDescent="0.15">
      <c r="A1241" s="17"/>
      <c r="B1241" s="36"/>
      <c r="C1241" s="37"/>
    </row>
    <row r="1242" spans="1:3" ht="21.95" customHeight="1" x14ac:dyDescent="0.15">
      <c r="A1242" s="17"/>
      <c r="B1242" s="36"/>
      <c r="C1242" s="37"/>
    </row>
    <row r="1243" spans="1:3" ht="21.95" customHeight="1" x14ac:dyDescent="0.15">
      <c r="A1243" s="17"/>
      <c r="B1243" s="36"/>
      <c r="C1243" s="37"/>
    </row>
    <row r="1244" spans="1:3" ht="21.95" customHeight="1" x14ac:dyDescent="0.15">
      <c r="A1244" s="17"/>
      <c r="B1244" s="36"/>
      <c r="C1244" s="37"/>
    </row>
    <row r="1245" spans="1:3" ht="21.95" customHeight="1" x14ac:dyDescent="0.15">
      <c r="A1245" s="17"/>
      <c r="B1245" s="36"/>
      <c r="C1245" s="37"/>
    </row>
    <row r="1246" spans="1:3" ht="21.95" customHeight="1" x14ac:dyDescent="0.15">
      <c r="A1246" s="17"/>
      <c r="B1246" s="36"/>
      <c r="C1246" s="37"/>
    </row>
    <row r="1247" spans="1:3" ht="21.95" customHeight="1" x14ac:dyDescent="0.15">
      <c r="A1247" s="17"/>
      <c r="B1247" s="36"/>
      <c r="C1247" s="37"/>
    </row>
    <row r="1248" spans="1:3" ht="21.95" customHeight="1" x14ac:dyDescent="0.15">
      <c r="A1248" s="17"/>
      <c r="B1248" s="36"/>
      <c r="C1248" s="37"/>
    </row>
    <row r="1249" spans="1:7" ht="21.95" customHeight="1" x14ac:dyDescent="0.15">
      <c r="A1249" s="17"/>
      <c r="B1249" s="36"/>
      <c r="C1249" s="37"/>
    </row>
    <row r="1250" spans="1:7" ht="21.95" customHeight="1" x14ac:dyDescent="0.15">
      <c r="A1250" s="17"/>
      <c r="B1250" s="36"/>
      <c r="C1250" s="37"/>
    </row>
    <row r="1251" spans="1:7" ht="21.95" customHeight="1" x14ac:dyDescent="0.15">
      <c r="A1251" s="17"/>
      <c r="B1251" s="36"/>
      <c r="C1251" s="37"/>
    </row>
    <row r="1252" spans="1:7" ht="21.95" customHeight="1" x14ac:dyDescent="0.15">
      <c r="A1252" s="17"/>
      <c r="B1252" s="36"/>
      <c r="C1252" s="37"/>
      <c r="G1252" s="38"/>
    </row>
    <row r="1253" spans="1:7" ht="21.95" customHeight="1" x14ac:dyDescent="0.15">
      <c r="A1253" s="17"/>
      <c r="B1253" s="36"/>
      <c r="C1253" s="37"/>
    </row>
    <row r="1254" spans="1:7" ht="35.1" customHeight="1" x14ac:dyDescent="0.15">
      <c r="A1254" s="17"/>
      <c r="B1254" s="36"/>
      <c r="C1254" s="37"/>
    </row>
    <row r="1255" spans="1:7" ht="21.95" customHeight="1" x14ac:dyDescent="0.15">
      <c r="A1255" s="17"/>
      <c r="B1255" s="36"/>
      <c r="C1255" s="37"/>
    </row>
    <row r="1256" spans="1:7" ht="21.95" customHeight="1" x14ac:dyDescent="0.15">
      <c r="A1256" s="17"/>
      <c r="B1256" s="36"/>
      <c r="C1256" s="37"/>
    </row>
    <row r="1257" spans="1:7" ht="21.95" customHeight="1" x14ac:dyDescent="0.15">
      <c r="A1257" s="17"/>
      <c r="B1257" s="36"/>
      <c r="C1257" s="37"/>
    </row>
    <row r="1258" spans="1:7" ht="21.95" customHeight="1" x14ac:dyDescent="0.15">
      <c r="A1258" s="17"/>
      <c r="B1258" s="36"/>
      <c r="C1258" s="37"/>
    </row>
    <row r="1259" spans="1:7" ht="21.95" customHeight="1" x14ac:dyDescent="0.15">
      <c r="A1259" s="17"/>
      <c r="B1259" s="36"/>
      <c r="C1259" s="37"/>
    </row>
    <row r="1260" spans="1:7" ht="21.95" customHeight="1" x14ac:dyDescent="0.15">
      <c r="A1260" s="17"/>
      <c r="B1260" s="36"/>
      <c r="C1260" s="37"/>
    </row>
    <row r="1261" spans="1:7" ht="21.95" customHeight="1" x14ac:dyDescent="0.15">
      <c r="A1261" s="17"/>
      <c r="B1261" s="36"/>
      <c r="C1261" s="37"/>
    </row>
    <row r="1262" spans="1:7" ht="21.95" customHeight="1" x14ac:dyDescent="0.15">
      <c r="A1262" s="17"/>
      <c r="B1262" s="36"/>
      <c r="C1262" s="37"/>
      <c r="G1262" s="38"/>
    </row>
    <row r="1263" spans="1:7" ht="21.95" customHeight="1" x14ac:dyDescent="0.15">
      <c r="A1263" s="17"/>
      <c r="B1263" s="36"/>
      <c r="C1263" s="37"/>
      <c r="G1263" s="38"/>
    </row>
    <row r="1264" spans="1:7" ht="21.95" customHeight="1" x14ac:dyDescent="0.15">
      <c r="A1264" s="17"/>
      <c r="B1264" s="36"/>
      <c r="C1264" s="37"/>
    </row>
    <row r="1265" spans="1:7" ht="21.95" customHeight="1" x14ac:dyDescent="0.15">
      <c r="A1265" s="17"/>
      <c r="B1265" s="36"/>
      <c r="C1265" s="37"/>
    </row>
    <row r="1266" spans="1:7" ht="21.95" customHeight="1" x14ac:dyDescent="0.15">
      <c r="A1266" s="17"/>
      <c r="B1266" s="36"/>
      <c r="C1266" s="37"/>
    </row>
    <row r="1267" spans="1:7" ht="21.95" customHeight="1" x14ac:dyDescent="0.15">
      <c r="A1267" s="17"/>
      <c r="B1267" s="36"/>
      <c r="C1267" s="37"/>
      <c r="G1267" s="38"/>
    </row>
    <row r="1268" spans="1:7" ht="21.95" customHeight="1" x14ac:dyDescent="0.15">
      <c r="A1268" s="17"/>
      <c r="B1268" s="36"/>
      <c r="C1268" s="37"/>
    </row>
    <row r="1269" spans="1:7" ht="21.95" customHeight="1" x14ac:dyDescent="0.15">
      <c r="A1269" s="17"/>
      <c r="B1269" s="36"/>
      <c r="C1269" s="37"/>
    </row>
    <row r="1270" spans="1:7" ht="21.95" customHeight="1" x14ac:dyDescent="0.15">
      <c r="A1270" s="17"/>
      <c r="B1270" s="36"/>
      <c r="C1270" s="37"/>
    </row>
    <row r="1271" spans="1:7" ht="21.95" customHeight="1" x14ac:dyDescent="0.15">
      <c r="A1271" s="17"/>
      <c r="B1271" s="36"/>
      <c r="C1271" s="37"/>
    </row>
    <row r="1272" spans="1:7" ht="21.95" customHeight="1" x14ac:dyDescent="0.15">
      <c r="A1272" s="17"/>
      <c r="B1272" s="36"/>
      <c r="C1272" s="37"/>
    </row>
    <row r="1273" spans="1:7" ht="21.95" customHeight="1" x14ac:dyDescent="0.15">
      <c r="A1273" s="17"/>
      <c r="C1273" s="37"/>
    </row>
    <row r="1274" spans="1:7" ht="21.95" customHeight="1" x14ac:dyDescent="0.15">
      <c r="A1274" s="17"/>
      <c r="B1274" s="36"/>
      <c r="C1274" s="37"/>
    </row>
    <row r="1275" spans="1:7" ht="21.95" customHeight="1" x14ac:dyDescent="0.15">
      <c r="A1275" s="17"/>
    </row>
    <row r="1276" spans="1:7" ht="21.95" customHeight="1" x14ac:dyDescent="0.15">
      <c r="A1276" s="17"/>
    </row>
    <row r="1277" spans="1:7" ht="21.95" customHeight="1" x14ac:dyDescent="0.15">
      <c r="A1277" s="17"/>
    </row>
    <row r="1278" spans="1:7" s="8" customFormat="1" ht="21.95" customHeight="1" x14ac:dyDescent="0.15">
      <c r="A1278" s="17"/>
      <c r="B1278" s="39"/>
      <c r="C1278" s="40"/>
      <c r="D1278" s="38"/>
      <c r="E1278" s="38"/>
      <c r="F1278" s="38"/>
      <c r="G1278" s="38"/>
    </row>
    <row r="1279" spans="1:7" s="8" customFormat="1" ht="21.95" customHeight="1" x14ac:dyDescent="0.15">
      <c r="A1279" s="17"/>
      <c r="B1279" s="36"/>
      <c r="C1279" s="37"/>
      <c r="D1279" s="15"/>
      <c r="E1279" s="38"/>
      <c r="F1279" s="15"/>
      <c r="G1279" s="38"/>
    </row>
    <row r="1280" spans="1:7" s="8" customFormat="1" ht="21.95" customHeight="1" x14ac:dyDescent="0.15">
      <c r="A1280" s="17"/>
      <c r="B1280" s="36"/>
      <c r="C1280" s="95"/>
      <c r="D1280" s="15"/>
      <c r="E1280" s="38"/>
      <c r="F1280" s="15"/>
      <c r="G1280" s="38"/>
    </row>
    <row r="1281" spans="1:7" s="8" customFormat="1" ht="21.95" customHeight="1" x14ac:dyDescent="0.15">
      <c r="A1281" s="17"/>
      <c r="B1281" s="36"/>
      <c r="C1281" s="95"/>
      <c r="D1281" s="15"/>
      <c r="E1281" s="38"/>
      <c r="F1281" s="38"/>
      <c r="G1281" s="38"/>
    </row>
    <row r="1282" spans="1:7" s="8" customFormat="1" ht="21.95" customHeight="1" x14ac:dyDescent="0.15">
      <c r="A1282" s="17"/>
      <c r="B1282" s="36"/>
      <c r="C1282" s="37"/>
      <c r="D1282" s="15"/>
      <c r="E1282" s="38"/>
      <c r="F1282" s="15"/>
      <c r="G1282" s="38"/>
    </row>
    <row r="1283" spans="1:7" s="8" customFormat="1" ht="21.95" customHeight="1" x14ac:dyDescent="0.15">
      <c r="A1283" s="17"/>
      <c r="B1283" s="36"/>
      <c r="C1283" s="37"/>
      <c r="D1283" s="15"/>
      <c r="E1283" s="38"/>
      <c r="F1283" s="38"/>
      <c r="G1283" s="38"/>
    </row>
    <row r="1284" spans="1:7" s="8" customFormat="1" ht="21.95" customHeight="1" x14ac:dyDescent="0.15">
      <c r="A1284" s="17"/>
      <c r="B1284" s="36"/>
      <c r="C1284" s="37"/>
      <c r="D1284" s="15"/>
      <c r="E1284" s="38"/>
      <c r="F1284" s="15"/>
      <c r="G1284" s="38"/>
    </row>
    <row r="1285" spans="1:7" s="8" customFormat="1" ht="21.95" customHeight="1" x14ac:dyDescent="0.15">
      <c r="A1285" s="17"/>
      <c r="B1285" s="36"/>
      <c r="C1285" s="37"/>
      <c r="D1285" s="15"/>
      <c r="E1285" s="38"/>
      <c r="F1285" s="38"/>
      <c r="G1285" s="38"/>
    </row>
    <row r="1286" spans="1:7" s="8" customFormat="1" ht="21.95" customHeight="1" x14ac:dyDescent="0.15">
      <c r="A1286" s="17"/>
      <c r="B1286" s="36"/>
      <c r="C1286" s="37"/>
      <c r="D1286" s="15"/>
      <c r="E1286" s="38"/>
      <c r="F1286" s="15"/>
      <c r="G1286" s="38"/>
    </row>
    <row r="1287" spans="1:7" s="8" customFormat="1" ht="21.95" customHeight="1" x14ac:dyDescent="0.15">
      <c r="A1287" s="17"/>
      <c r="B1287" s="36"/>
      <c r="C1287" s="37"/>
      <c r="D1287" s="15"/>
      <c r="E1287" s="38"/>
      <c r="F1287" s="38"/>
      <c r="G1287" s="38"/>
    </row>
    <row r="1288" spans="1:7" s="8" customFormat="1" ht="21.95" customHeight="1" x14ac:dyDescent="0.15">
      <c r="A1288" s="17"/>
      <c r="B1288" s="36"/>
      <c r="C1288" s="37"/>
      <c r="D1288" s="15"/>
      <c r="E1288" s="38"/>
      <c r="F1288" s="15"/>
      <c r="G1288" s="38"/>
    </row>
    <row r="1289" spans="1:7" ht="21.95" customHeight="1" x14ac:dyDescent="0.15">
      <c r="A1289" s="17"/>
      <c r="B1289" s="36"/>
      <c r="C1289" s="37"/>
      <c r="E1289" s="38"/>
      <c r="F1289" s="38"/>
      <c r="G1289" s="38"/>
    </row>
    <row r="1290" spans="1:7" ht="21.95" customHeight="1" x14ac:dyDescent="0.15">
      <c r="A1290" s="17"/>
      <c r="B1290" s="36"/>
      <c r="C1290" s="37"/>
      <c r="E1290" s="38"/>
      <c r="G1290" s="38"/>
    </row>
    <row r="1291" spans="1:7" ht="21.95" customHeight="1" x14ac:dyDescent="0.15">
      <c r="A1291" s="17"/>
      <c r="B1291" s="36"/>
      <c r="C1291" s="37"/>
      <c r="E1291" s="38"/>
      <c r="G1291" s="38"/>
    </row>
    <row r="1292" spans="1:7" ht="21.95" customHeight="1" x14ac:dyDescent="0.15">
      <c r="A1292" s="17"/>
      <c r="B1292" s="36"/>
      <c r="C1292" s="37"/>
      <c r="E1292" s="38"/>
      <c r="F1292" s="38"/>
      <c r="G1292" s="38"/>
    </row>
    <row r="1293" spans="1:7" s="8" customFormat="1" ht="21.95" customHeight="1" x14ac:dyDescent="0.15">
      <c r="A1293" s="17"/>
      <c r="B1293" s="36"/>
      <c r="C1293" s="37"/>
      <c r="D1293" s="15"/>
      <c r="E1293" s="38"/>
      <c r="F1293" s="38"/>
      <c r="G1293" s="38"/>
    </row>
    <row r="1294" spans="1:7" s="8" customFormat="1" ht="21.95" customHeight="1" x14ac:dyDescent="0.15">
      <c r="A1294" s="17"/>
      <c r="B1294" s="36"/>
      <c r="C1294" s="37"/>
      <c r="D1294" s="15"/>
      <c r="E1294" s="38"/>
      <c r="F1294" s="38"/>
      <c r="G1294" s="38"/>
    </row>
    <row r="1295" spans="1:7" s="8" customFormat="1" ht="21.95" customHeight="1" x14ac:dyDescent="0.15">
      <c r="A1295" s="17"/>
      <c r="B1295" s="36"/>
      <c r="C1295" s="37"/>
      <c r="D1295" s="15"/>
      <c r="E1295" s="38"/>
      <c r="F1295" s="38"/>
      <c r="G1295" s="38"/>
    </row>
    <row r="1296" spans="1:7" s="8" customFormat="1" ht="21.95" customHeight="1" x14ac:dyDescent="0.15">
      <c r="A1296" s="17"/>
      <c r="B1296" s="36"/>
      <c r="C1296" s="37"/>
      <c r="D1296" s="15"/>
      <c r="E1296" s="38"/>
      <c r="F1296" s="38"/>
      <c r="G1296" s="38"/>
    </row>
    <row r="1297" spans="1:7" s="8" customFormat="1" ht="21.95" customHeight="1" x14ac:dyDescent="0.15">
      <c r="A1297" s="17"/>
      <c r="B1297" s="36"/>
      <c r="C1297" s="37"/>
      <c r="D1297" s="15"/>
      <c r="E1297" s="38"/>
      <c r="F1297" s="38"/>
      <c r="G1297" s="38"/>
    </row>
    <row r="1298" spans="1:7" s="8" customFormat="1" ht="21.95" customHeight="1" x14ac:dyDescent="0.15">
      <c r="A1298" s="17"/>
      <c r="B1298" s="36"/>
      <c r="C1298" s="37"/>
      <c r="D1298" s="15"/>
      <c r="E1298" s="38"/>
      <c r="F1298" s="38"/>
      <c r="G1298" s="38"/>
    </row>
    <row r="1299" spans="1:7" s="8" customFormat="1" ht="21.95" customHeight="1" x14ac:dyDescent="0.15">
      <c r="A1299" s="17"/>
      <c r="B1299" s="36"/>
      <c r="C1299" s="37"/>
      <c r="D1299" s="15"/>
      <c r="E1299" s="38"/>
      <c r="F1299" s="38"/>
      <c r="G1299" s="38"/>
    </row>
    <row r="1300" spans="1:7" s="8" customFormat="1" ht="21.95" customHeight="1" x14ac:dyDescent="0.15">
      <c r="A1300" s="17"/>
      <c r="B1300" s="36"/>
      <c r="C1300" s="37"/>
      <c r="D1300" s="15"/>
      <c r="E1300" s="38"/>
      <c r="F1300" s="38"/>
      <c r="G1300" s="38"/>
    </row>
    <row r="1301" spans="1:7" s="8" customFormat="1" ht="21.95" customHeight="1" x14ac:dyDescent="0.15">
      <c r="A1301" s="17"/>
      <c r="B1301" s="36"/>
      <c r="C1301" s="37"/>
      <c r="D1301" s="15"/>
      <c r="E1301" s="38"/>
      <c r="F1301" s="38"/>
      <c r="G1301" s="38"/>
    </row>
    <row r="1302" spans="1:7" s="8" customFormat="1" ht="21.95" customHeight="1" x14ac:dyDescent="0.15">
      <c r="A1302" s="17"/>
      <c r="B1302" s="36"/>
      <c r="C1302" s="37"/>
      <c r="D1302" s="15"/>
      <c r="E1302" s="38"/>
      <c r="F1302" s="38"/>
      <c r="G1302" s="38"/>
    </row>
    <row r="1303" spans="1:7" s="8" customFormat="1" ht="21.95" customHeight="1" x14ac:dyDescent="0.15">
      <c r="A1303" s="17"/>
      <c r="B1303" s="36"/>
      <c r="C1303" s="37"/>
      <c r="D1303" s="15"/>
      <c r="E1303" s="38"/>
      <c r="F1303" s="38"/>
      <c r="G1303" s="38"/>
    </row>
    <row r="1304" spans="1:7" s="8" customFormat="1" ht="32.1" customHeight="1" x14ac:dyDescent="0.15">
      <c r="A1304" s="17"/>
      <c r="B1304" s="36"/>
      <c r="C1304" s="37"/>
      <c r="D1304" s="15"/>
      <c r="E1304" s="38"/>
      <c r="F1304" s="38"/>
      <c r="G1304" s="38"/>
    </row>
    <row r="1305" spans="1:7" s="8" customFormat="1" ht="32.1" customHeight="1" x14ac:dyDescent="0.15">
      <c r="A1305" s="17"/>
      <c r="B1305" s="36"/>
      <c r="C1305" s="37"/>
      <c r="D1305" s="15"/>
      <c r="E1305" s="38"/>
      <c r="F1305" s="38"/>
      <c r="G1305" s="38"/>
    </row>
    <row r="1306" spans="1:7" s="8" customFormat="1" ht="32.1" customHeight="1" x14ac:dyDescent="0.15">
      <c r="A1306" s="17"/>
      <c r="B1306" s="36"/>
      <c r="C1306" s="37"/>
      <c r="D1306" s="15"/>
      <c r="E1306" s="38"/>
      <c r="F1306" s="38"/>
      <c r="G1306" s="38"/>
    </row>
    <row r="1307" spans="1:7" s="8" customFormat="1" ht="32.1" customHeight="1" x14ac:dyDescent="0.15">
      <c r="A1307" s="17"/>
      <c r="B1307" s="36"/>
      <c r="C1307" s="37"/>
      <c r="D1307" s="15"/>
      <c r="E1307" s="38"/>
      <c r="F1307" s="38"/>
      <c r="G1307" s="38"/>
    </row>
    <row r="1308" spans="1:7" s="8" customFormat="1" ht="32.1" customHeight="1" x14ac:dyDescent="0.15">
      <c r="A1308" s="17"/>
      <c r="B1308" s="36"/>
      <c r="C1308" s="37"/>
      <c r="D1308" s="15"/>
      <c r="E1308" s="38"/>
      <c r="F1308" s="38"/>
      <c r="G1308" s="38"/>
    </row>
    <row r="1309" spans="1:7" s="8" customFormat="1" ht="32.1" customHeight="1" x14ac:dyDescent="0.15">
      <c r="A1309" s="17"/>
      <c r="B1309" s="36"/>
      <c r="C1309" s="37"/>
      <c r="D1309" s="15"/>
      <c r="E1309" s="38"/>
      <c r="F1309" s="38"/>
      <c r="G1309" s="38"/>
    </row>
    <row r="1310" spans="1:7" ht="32.1" customHeight="1" x14ac:dyDescent="0.15">
      <c r="A1310" s="17"/>
      <c r="B1310" s="36"/>
      <c r="C1310" s="37"/>
      <c r="E1310" s="38"/>
      <c r="F1310" s="38"/>
      <c r="G1310" s="38"/>
    </row>
    <row r="1311" spans="1:7" ht="32.1" customHeight="1" x14ac:dyDescent="0.15">
      <c r="A1311" s="17"/>
      <c r="B1311" s="36"/>
      <c r="C1311" s="37"/>
      <c r="F1311" s="38"/>
      <c r="G1311" s="38"/>
    </row>
    <row r="1312" spans="1:7" ht="32.1" customHeight="1" x14ac:dyDescent="0.15">
      <c r="A1312" s="17"/>
      <c r="B1312" s="36"/>
      <c r="C1312" s="37"/>
      <c r="F1312" s="38"/>
      <c r="G1312" s="38"/>
    </row>
    <row r="1313" spans="1:7" ht="32.1" customHeight="1" x14ac:dyDescent="0.15">
      <c r="A1313" s="17"/>
      <c r="B1313" s="36"/>
      <c r="C1313" s="37"/>
      <c r="F1313" s="38"/>
      <c r="G1313" s="38"/>
    </row>
    <row r="1314" spans="1:7" ht="21.95" customHeight="1" x14ac:dyDescent="0.15">
      <c r="A1314" s="17"/>
      <c r="B1314" s="36"/>
      <c r="C1314" s="37"/>
      <c r="F1314" s="38"/>
      <c r="G1314" s="38"/>
    </row>
    <row r="1315" spans="1:7" ht="54" customHeight="1" x14ac:dyDescent="0.15">
      <c r="A1315" s="17"/>
      <c r="B1315" s="36"/>
      <c r="C1315" s="37"/>
      <c r="F1315" s="38"/>
      <c r="G1315" s="38"/>
    </row>
    <row r="1316" spans="1:7" ht="21.95" customHeight="1" x14ac:dyDescent="0.15">
      <c r="A1316" s="17"/>
      <c r="B1316" s="36"/>
      <c r="C1316" s="37"/>
      <c r="F1316" s="38"/>
      <c r="G1316" s="38"/>
    </row>
    <row r="1317" spans="1:7" ht="21.95" customHeight="1" x14ac:dyDescent="0.15">
      <c r="A1317" s="17"/>
      <c r="B1317" s="36"/>
      <c r="C1317" s="37"/>
      <c r="F1317" s="38"/>
      <c r="G1317" s="38"/>
    </row>
    <row r="1318" spans="1:7" ht="21.95" customHeight="1" x14ac:dyDescent="0.15">
      <c r="A1318" s="17"/>
      <c r="B1318" s="36"/>
      <c r="C1318" s="37"/>
      <c r="F1318" s="38"/>
      <c r="G1318" s="38"/>
    </row>
    <row r="1319" spans="1:7" ht="21.95" customHeight="1" x14ac:dyDescent="0.15">
      <c r="A1319" s="17"/>
      <c r="B1319" s="36"/>
      <c r="C1319" s="37"/>
      <c r="F1319" s="38"/>
      <c r="G1319" s="38"/>
    </row>
    <row r="1320" spans="1:7" ht="21.95" customHeight="1" x14ac:dyDescent="0.15">
      <c r="A1320" s="17"/>
      <c r="B1320" s="36"/>
      <c r="C1320" s="37"/>
      <c r="F1320" s="38"/>
      <c r="G1320" s="38"/>
    </row>
    <row r="1321" spans="1:7" ht="21.95" customHeight="1" x14ac:dyDescent="0.15">
      <c r="A1321" s="17"/>
      <c r="B1321" s="36"/>
      <c r="C1321" s="37"/>
      <c r="F1321" s="38"/>
      <c r="G1321" s="38"/>
    </row>
    <row r="1322" spans="1:7" ht="21.95" customHeight="1" x14ac:dyDescent="0.15">
      <c r="A1322" s="17"/>
      <c r="B1322" s="36"/>
      <c r="C1322" s="37"/>
      <c r="G1322" s="38"/>
    </row>
    <row r="1323" spans="1:7" ht="21.95" customHeight="1" x14ac:dyDescent="0.15">
      <c r="A1323" s="17"/>
      <c r="B1323" s="36"/>
      <c r="C1323" s="37"/>
      <c r="G1323" s="38"/>
    </row>
    <row r="1324" spans="1:7" ht="21.95" customHeight="1" x14ac:dyDescent="0.15">
      <c r="A1324" s="17"/>
      <c r="B1324" s="36"/>
      <c r="C1324" s="37"/>
      <c r="G1324" s="38"/>
    </row>
    <row r="1325" spans="1:7" ht="21.95" customHeight="1" x14ac:dyDescent="0.15">
      <c r="A1325" s="17"/>
      <c r="B1325" s="36"/>
      <c r="C1325" s="37"/>
      <c r="G1325" s="38"/>
    </row>
    <row r="1326" spans="1:7" ht="21.95" customHeight="1" x14ac:dyDescent="0.15">
      <c r="A1326" s="17"/>
      <c r="B1326" s="36"/>
      <c r="C1326" s="37"/>
      <c r="G1326" s="38"/>
    </row>
    <row r="1327" spans="1:7" ht="21.95" customHeight="1" x14ac:dyDescent="0.15">
      <c r="A1327" s="17"/>
      <c r="B1327" s="36"/>
      <c r="C1327" s="37"/>
      <c r="G1327" s="38"/>
    </row>
    <row r="1328" spans="1:7" ht="21.95" customHeight="1" x14ac:dyDescent="0.15">
      <c r="A1328" s="17"/>
      <c r="B1328" s="36"/>
      <c r="C1328" s="37"/>
      <c r="G1328" s="38"/>
    </row>
    <row r="1329" spans="1:7" ht="21.95" customHeight="1" x14ac:dyDescent="0.15">
      <c r="A1329" s="17"/>
      <c r="B1329" s="36"/>
      <c r="C1329" s="37"/>
      <c r="G1329" s="38"/>
    </row>
    <row r="1330" spans="1:7" ht="21.95" customHeight="1" x14ac:dyDescent="0.15">
      <c r="A1330" s="17"/>
      <c r="B1330" s="36"/>
      <c r="C1330" s="37"/>
      <c r="G1330" s="38"/>
    </row>
    <row r="1331" spans="1:7" ht="21.95" customHeight="1" x14ac:dyDescent="0.15">
      <c r="A1331" s="17"/>
      <c r="B1331" s="36"/>
      <c r="C1331" s="37"/>
      <c r="G1331" s="38"/>
    </row>
    <row r="1332" spans="1:7" ht="21.95" customHeight="1" x14ac:dyDescent="0.15">
      <c r="A1332" s="17"/>
      <c r="B1332" s="36"/>
      <c r="C1332" s="37"/>
      <c r="G1332" s="38"/>
    </row>
    <row r="1333" spans="1:7" ht="21.95" customHeight="1" x14ac:dyDescent="0.15">
      <c r="A1333" s="17"/>
      <c r="B1333" s="36"/>
      <c r="C1333" s="37"/>
    </row>
    <row r="1334" spans="1:7" ht="21.95" customHeight="1" x14ac:dyDescent="0.15">
      <c r="A1334" s="17"/>
      <c r="B1334" s="36"/>
      <c r="C1334" s="37"/>
    </row>
    <row r="1335" spans="1:7" ht="21.95" customHeight="1" x14ac:dyDescent="0.15">
      <c r="A1335" s="17"/>
      <c r="B1335" s="36"/>
      <c r="C1335" s="37"/>
    </row>
    <row r="1336" spans="1:7" ht="21.95" customHeight="1" x14ac:dyDescent="0.15">
      <c r="A1336" s="17"/>
      <c r="B1336" s="36"/>
      <c r="C1336" s="37"/>
    </row>
    <row r="1337" spans="1:7" ht="21.95" customHeight="1" x14ac:dyDescent="0.15">
      <c r="A1337" s="17"/>
      <c r="B1337" s="36"/>
      <c r="C1337" s="37"/>
    </row>
    <row r="1338" spans="1:7" ht="21.95" customHeight="1" x14ac:dyDescent="0.15">
      <c r="A1338" s="17"/>
      <c r="B1338" s="36"/>
      <c r="C1338" s="37"/>
    </row>
    <row r="1339" spans="1:7" ht="21.95" customHeight="1" x14ac:dyDescent="0.15">
      <c r="A1339" s="17"/>
      <c r="B1339" s="36"/>
      <c r="C1339" s="37"/>
    </row>
    <row r="1340" spans="1:7" ht="21.95" customHeight="1" x14ac:dyDescent="0.15">
      <c r="A1340" s="17"/>
      <c r="B1340" s="36"/>
      <c r="C1340" s="37"/>
    </row>
    <row r="1341" spans="1:7" ht="21.95" customHeight="1" x14ac:dyDescent="0.15">
      <c r="A1341" s="17"/>
      <c r="B1341" s="36"/>
      <c r="C1341" s="37"/>
    </row>
    <row r="1342" spans="1:7" ht="21.95" customHeight="1" x14ac:dyDescent="0.15">
      <c r="A1342" s="17"/>
      <c r="B1342" s="36"/>
      <c r="C1342" s="37"/>
    </row>
    <row r="1343" spans="1:7" ht="21.95" customHeight="1" x14ac:dyDescent="0.15">
      <c r="A1343" s="17"/>
      <c r="B1343" s="36"/>
      <c r="C1343" s="37"/>
    </row>
    <row r="1344" spans="1:7" ht="21.95" customHeight="1" x14ac:dyDescent="0.15">
      <c r="A1344" s="17"/>
      <c r="B1344" s="36"/>
      <c r="C1344" s="37"/>
    </row>
    <row r="1345" spans="1:3" ht="21.95" customHeight="1" x14ac:dyDescent="0.15">
      <c r="A1345" s="17"/>
      <c r="B1345" s="36"/>
      <c r="C1345" s="37"/>
    </row>
    <row r="1346" spans="1:3" ht="21.95" customHeight="1" x14ac:dyDescent="0.15">
      <c r="A1346" s="17"/>
      <c r="B1346" s="36"/>
      <c r="C1346" s="37"/>
    </row>
    <row r="1347" spans="1:3" ht="21.95" customHeight="1" x14ac:dyDescent="0.15">
      <c r="A1347" s="17"/>
      <c r="B1347" s="36"/>
      <c r="C1347" s="37"/>
    </row>
    <row r="1348" spans="1:3" ht="21.95" customHeight="1" x14ac:dyDescent="0.15">
      <c r="A1348" s="17"/>
      <c r="B1348" s="36"/>
      <c r="C1348" s="37"/>
    </row>
    <row r="1349" spans="1:3" ht="21.95" customHeight="1" x14ac:dyDescent="0.15">
      <c r="A1349" s="17"/>
      <c r="B1349" s="36"/>
      <c r="C1349" s="37"/>
    </row>
    <row r="1350" spans="1:3" ht="21.95" customHeight="1" x14ac:dyDescent="0.15">
      <c r="A1350" s="17"/>
      <c r="B1350" s="36"/>
      <c r="C1350" s="37"/>
    </row>
    <row r="1351" spans="1:3" ht="21.95" customHeight="1" x14ac:dyDescent="0.15">
      <c r="A1351" s="17"/>
      <c r="B1351" s="36"/>
      <c r="C1351" s="37"/>
    </row>
    <row r="1352" spans="1:3" ht="21.95" customHeight="1" x14ac:dyDescent="0.15">
      <c r="A1352" s="17"/>
      <c r="B1352" s="36"/>
      <c r="C1352" s="37"/>
    </row>
    <row r="1353" spans="1:3" ht="21.95" customHeight="1" x14ac:dyDescent="0.15">
      <c r="A1353" s="17"/>
      <c r="B1353" s="36"/>
      <c r="C1353" s="37"/>
    </row>
    <row r="1354" spans="1:3" ht="21.95" customHeight="1" x14ac:dyDescent="0.15">
      <c r="A1354" s="17"/>
      <c r="B1354" s="36"/>
      <c r="C1354" s="37"/>
    </row>
    <row r="1355" spans="1:3" ht="21.95" customHeight="1" x14ac:dyDescent="0.15">
      <c r="A1355" s="17"/>
      <c r="B1355" s="36"/>
      <c r="C1355" s="37"/>
    </row>
    <row r="1356" spans="1:3" ht="21.95" customHeight="1" x14ac:dyDescent="0.15">
      <c r="A1356" s="17"/>
      <c r="B1356" s="36"/>
      <c r="C1356" s="37"/>
    </row>
    <row r="1357" spans="1:3" ht="21.95" customHeight="1" x14ac:dyDescent="0.15">
      <c r="A1357" s="17"/>
      <c r="B1357" s="36"/>
      <c r="C1357" s="37"/>
    </row>
    <row r="1358" spans="1:3" ht="21.95" customHeight="1" x14ac:dyDescent="0.15">
      <c r="A1358" s="17"/>
      <c r="B1358" s="36"/>
      <c r="C1358" s="37"/>
    </row>
    <row r="1359" spans="1:3" ht="21.95" customHeight="1" x14ac:dyDescent="0.15">
      <c r="A1359" s="17"/>
      <c r="B1359" s="36"/>
      <c r="C1359" s="37"/>
    </row>
    <row r="1360" spans="1:3" ht="21.95" customHeight="1" x14ac:dyDescent="0.15">
      <c r="A1360" s="17"/>
      <c r="B1360" s="36"/>
      <c r="C1360" s="37"/>
    </row>
    <row r="1361" spans="1:7" ht="21.95" customHeight="1" x14ac:dyDescent="0.15">
      <c r="A1361" s="17"/>
      <c r="B1361" s="36"/>
      <c r="C1361" s="37"/>
    </row>
    <row r="1362" spans="1:7" ht="21.95" customHeight="1" x14ac:dyDescent="0.15">
      <c r="A1362" s="17"/>
      <c r="B1362" s="36"/>
      <c r="C1362" s="37"/>
    </row>
    <row r="1363" spans="1:7" ht="21.95" customHeight="1" x14ac:dyDescent="0.15">
      <c r="A1363" s="17"/>
      <c r="B1363" s="36"/>
      <c r="C1363" s="37"/>
    </row>
    <row r="1364" spans="1:7" ht="21.95" customHeight="1" x14ac:dyDescent="0.15">
      <c r="A1364" s="17"/>
      <c r="B1364" s="36"/>
      <c r="C1364" s="37"/>
      <c r="G1364" s="38"/>
    </row>
    <row r="1365" spans="1:7" ht="21.95" customHeight="1" x14ac:dyDescent="0.15">
      <c r="A1365" s="17"/>
      <c r="B1365" s="36"/>
      <c r="C1365" s="37"/>
    </row>
    <row r="1366" spans="1:7" ht="35.1" customHeight="1" x14ac:dyDescent="0.15">
      <c r="A1366" s="17"/>
      <c r="B1366" s="36"/>
      <c r="C1366" s="37"/>
    </row>
    <row r="1367" spans="1:7" ht="21.95" customHeight="1" x14ac:dyDescent="0.15">
      <c r="A1367" s="17"/>
      <c r="B1367" s="36"/>
      <c r="C1367" s="37"/>
    </row>
    <row r="1368" spans="1:7" ht="21.95" customHeight="1" x14ac:dyDescent="0.15">
      <c r="A1368" s="17"/>
      <c r="B1368" s="36"/>
      <c r="C1368" s="37"/>
    </row>
    <row r="1369" spans="1:7" ht="21.95" customHeight="1" x14ac:dyDescent="0.15">
      <c r="A1369" s="17"/>
      <c r="B1369" s="36"/>
      <c r="C1369" s="37"/>
    </row>
    <row r="1370" spans="1:7" ht="21.95" customHeight="1" x14ac:dyDescent="0.15">
      <c r="A1370" s="17"/>
      <c r="B1370" s="36"/>
      <c r="C1370" s="37"/>
    </row>
    <row r="1371" spans="1:7" ht="21.95" customHeight="1" x14ac:dyDescent="0.15">
      <c r="A1371" s="17"/>
      <c r="B1371" s="36"/>
      <c r="C1371" s="37"/>
    </row>
    <row r="1372" spans="1:7" ht="21.95" customHeight="1" x14ac:dyDescent="0.15">
      <c r="A1372" s="17"/>
      <c r="B1372" s="36"/>
      <c r="C1372" s="37"/>
    </row>
    <row r="1373" spans="1:7" ht="21.95" customHeight="1" x14ac:dyDescent="0.15">
      <c r="A1373" s="17"/>
      <c r="B1373" s="36"/>
      <c r="C1373" s="37"/>
    </row>
    <row r="1374" spans="1:7" ht="21.95" customHeight="1" x14ac:dyDescent="0.15">
      <c r="A1374" s="17"/>
      <c r="B1374" s="36"/>
      <c r="C1374" s="37"/>
      <c r="G1374" s="38"/>
    </row>
    <row r="1375" spans="1:7" ht="21.95" customHeight="1" x14ac:dyDescent="0.15">
      <c r="A1375" s="17"/>
      <c r="B1375" s="36"/>
      <c r="C1375" s="37"/>
      <c r="G1375" s="38"/>
    </row>
    <row r="1376" spans="1:7" ht="21.95" customHeight="1" x14ac:dyDescent="0.15">
      <c r="A1376" s="17"/>
      <c r="B1376" s="36"/>
      <c r="C1376" s="37"/>
    </row>
    <row r="1377" spans="1:7" ht="21.95" customHeight="1" x14ac:dyDescent="0.15">
      <c r="A1377" s="17"/>
      <c r="B1377" s="36"/>
      <c r="C1377" s="37"/>
    </row>
    <row r="1378" spans="1:7" ht="21.95" customHeight="1" x14ac:dyDescent="0.15">
      <c r="A1378" s="17"/>
      <c r="B1378" s="36"/>
      <c r="C1378" s="37"/>
    </row>
    <row r="1379" spans="1:7" ht="21.95" customHeight="1" x14ac:dyDescent="0.15">
      <c r="A1379" s="17"/>
      <c r="B1379" s="36"/>
      <c r="C1379" s="37"/>
      <c r="G1379" s="38"/>
    </row>
    <row r="1380" spans="1:7" ht="21.95" customHeight="1" x14ac:dyDescent="0.15">
      <c r="A1380" s="17"/>
      <c r="B1380" s="36"/>
      <c r="C1380" s="37"/>
    </row>
    <row r="1381" spans="1:7" ht="21.95" customHeight="1" x14ac:dyDescent="0.15">
      <c r="A1381" s="17"/>
      <c r="B1381" s="36"/>
      <c r="C1381" s="37"/>
    </row>
    <row r="1382" spans="1:7" ht="21.95" customHeight="1" x14ac:dyDescent="0.15">
      <c r="A1382" s="17"/>
      <c r="B1382" s="36"/>
      <c r="C1382" s="37"/>
    </row>
    <row r="1383" spans="1:7" ht="21.95" customHeight="1" x14ac:dyDescent="0.15">
      <c r="A1383" s="17"/>
      <c r="B1383" s="36"/>
      <c r="C1383" s="37"/>
    </row>
    <row r="1384" spans="1:7" ht="21.95" customHeight="1" x14ac:dyDescent="0.15">
      <c r="A1384" s="17"/>
      <c r="B1384" s="36"/>
      <c r="C1384" s="37"/>
    </row>
    <row r="1385" spans="1:7" ht="21.95" customHeight="1" x14ac:dyDescent="0.15">
      <c r="A1385" s="17"/>
      <c r="C1385" s="37"/>
    </row>
    <row r="1386" spans="1:7" ht="21.95" customHeight="1" x14ac:dyDescent="0.15">
      <c r="A1386" s="17"/>
      <c r="B1386" s="36"/>
      <c r="C1386" s="37"/>
    </row>
    <row r="1387" spans="1:7" ht="21.95" customHeight="1" x14ac:dyDescent="0.15">
      <c r="A1387" s="17"/>
    </row>
    <row r="1388" spans="1:7" ht="21.95" customHeight="1" x14ac:dyDescent="0.15">
      <c r="A1388" s="17"/>
    </row>
    <row r="1389" spans="1:7" ht="21.95" customHeight="1" x14ac:dyDescent="0.15">
      <c r="A1389" s="17"/>
    </row>
    <row r="1390" spans="1:7" s="8" customFormat="1" ht="21.95" customHeight="1" x14ac:dyDescent="0.15">
      <c r="A1390" s="17"/>
      <c r="B1390" s="39"/>
      <c r="C1390" s="40"/>
      <c r="D1390" s="38"/>
      <c r="E1390" s="38"/>
      <c r="F1390" s="38"/>
      <c r="G1390" s="38"/>
    </row>
    <row r="1391" spans="1:7" s="8" customFormat="1" ht="21.95" customHeight="1" x14ac:dyDescent="0.15">
      <c r="A1391" s="17"/>
      <c r="B1391" s="36"/>
      <c r="C1391" s="37"/>
      <c r="D1391" s="15"/>
      <c r="E1391" s="38"/>
      <c r="F1391" s="15"/>
      <c r="G1391" s="38"/>
    </row>
    <row r="1392" spans="1:7" s="8" customFormat="1" ht="21.95" customHeight="1" x14ac:dyDescent="0.15">
      <c r="A1392" s="17"/>
      <c r="B1392" s="36"/>
      <c r="C1392" s="95"/>
      <c r="D1392" s="15"/>
      <c r="E1392" s="38"/>
      <c r="F1392" s="15"/>
      <c r="G1392" s="38"/>
    </row>
    <row r="1393" spans="1:7" s="8" customFormat="1" ht="21.95" customHeight="1" x14ac:dyDescent="0.15">
      <c r="A1393" s="17"/>
      <c r="B1393" s="36"/>
      <c r="C1393" s="95"/>
      <c r="D1393" s="15"/>
      <c r="E1393" s="38"/>
      <c r="F1393" s="38"/>
      <c r="G1393" s="38"/>
    </row>
    <row r="1394" spans="1:7" s="8" customFormat="1" ht="21.95" customHeight="1" x14ac:dyDescent="0.15">
      <c r="A1394" s="17"/>
      <c r="B1394" s="36"/>
      <c r="C1394" s="37"/>
      <c r="D1394" s="15"/>
      <c r="E1394" s="38"/>
      <c r="F1394" s="15"/>
      <c r="G1394" s="38"/>
    </row>
    <row r="1395" spans="1:7" s="8" customFormat="1" ht="21.95" customHeight="1" x14ac:dyDescent="0.15">
      <c r="A1395" s="17"/>
      <c r="B1395" s="36"/>
      <c r="C1395" s="37"/>
      <c r="D1395" s="15"/>
      <c r="E1395" s="38"/>
      <c r="F1395" s="38"/>
      <c r="G1395" s="38"/>
    </row>
    <row r="1396" spans="1:7" s="8" customFormat="1" ht="21.95" customHeight="1" x14ac:dyDescent="0.15">
      <c r="A1396" s="17"/>
      <c r="B1396" s="36"/>
      <c r="C1396" s="37"/>
      <c r="D1396" s="15"/>
      <c r="E1396" s="38"/>
      <c r="F1396" s="15"/>
      <c r="G1396" s="38"/>
    </row>
    <row r="1397" spans="1:7" s="8" customFormat="1" ht="21.95" customHeight="1" x14ac:dyDescent="0.15">
      <c r="A1397" s="17"/>
      <c r="B1397" s="36"/>
      <c r="C1397" s="37"/>
      <c r="D1397" s="15"/>
      <c r="E1397" s="38"/>
      <c r="F1397" s="38"/>
      <c r="G1397" s="38"/>
    </row>
    <row r="1398" spans="1:7" s="8" customFormat="1" ht="21.95" customHeight="1" x14ac:dyDescent="0.15">
      <c r="A1398" s="17"/>
      <c r="B1398" s="36"/>
      <c r="C1398" s="37"/>
      <c r="D1398" s="15"/>
      <c r="E1398" s="38"/>
      <c r="F1398" s="15"/>
      <c r="G1398" s="38"/>
    </row>
    <row r="1399" spans="1:7" s="8" customFormat="1" ht="21.95" customHeight="1" x14ac:dyDescent="0.15">
      <c r="A1399" s="17"/>
      <c r="B1399" s="36"/>
      <c r="C1399" s="37"/>
      <c r="D1399" s="15"/>
      <c r="E1399" s="38"/>
      <c r="F1399" s="38"/>
      <c r="G1399" s="38"/>
    </row>
    <row r="1400" spans="1:7" s="8" customFormat="1" ht="21.95" customHeight="1" x14ac:dyDescent="0.15">
      <c r="A1400" s="17"/>
      <c r="B1400" s="36"/>
      <c r="C1400" s="37"/>
      <c r="D1400" s="15"/>
      <c r="E1400" s="38"/>
      <c r="F1400" s="15"/>
      <c r="G1400" s="38"/>
    </row>
    <row r="1401" spans="1:7" ht="21.95" customHeight="1" x14ac:dyDescent="0.15">
      <c r="A1401" s="17"/>
      <c r="B1401" s="36"/>
      <c r="C1401" s="37"/>
      <c r="E1401" s="38"/>
      <c r="F1401" s="38"/>
      <c r="G1401" s="38"/>
    </row>
    <row r="1402" spans="1:7" ht="21.95" customHeight="1" x14ac:dyDescent="0.15">
      <c r="A1402" s="17"/>
      <c r="B1402" s="36"/>
      <c r="C1402" s="37"/>
      <c r="E1402" s="38"/>
      <c r="G1402" s="38"/>
    </row>
    <row r="1403" spans="1:7" ht="21.95" customHeight="1" x14ac:dyDescent="0.15">
      <c r="A1403" s="17"/>
      <c r="B1403" s="36"/>
      <c r="C1403" s="37"/>
      <c r="E1403" s="38"/>
      <c r="G1403" s="38"/>
    </row>
    <row r="1404" spans="1:7" ht="21.95" customHeight="1" x14ac:dyDescent="0.15">
      <c r="A1404" s="17"/>
      <c r="B1404" s="36"/>
      <c r="C1404" s="37"/>
      <c r="E1404" s="38"/>
      <c r="F1404" s="38"/>
      <c r="G1404" s="38"/>
    </row>
    <row r="1405" spans="1:7" s="8" customFormat="1" ht="21.95" customHeight="1" x14ac:dyDescent="0.15">
      <c r="A1405" s="17"/>
      <c r="B1405" s="36"/>
      <c r="C1405" s="37"/>
      <c r="D1405" s="15"/>
      <c r="E1405" s="38"/>
      <c r="F1405" s="38"/>
      <c r="G1405" s="38"/>
    </row>
    <row r="1406" spans="1:7" s="8" customFormat="1" ht="21.95" customHeight="1" x14ac:dyDescent="0.15">
      <c r="A1406" s="17"/>
      <c r="B1406" s="36"/>
      <c r="C1406" s="37"/>
      <c r="D1406" s="15"/>
      <c r="E1406" s="38"/>
      <c r="F1406" s="38"/>
      <c r="G1406" s="38"/>
    </row>
    <row r="1407" spans="1:7" s="8" customFormat="1" ht="21.95" customHeight="1" x14ac:dyDescent="0.15">
      <c r="A1407" s="17"/>
      <c r="B1407" s="36"/>
      <c r="C1407" s="37"/>
      <c r="D1407" s="15"/>
      <c r="E1407" s="38"/>
      <c r="F1407" s="38"/>
      <c r="G1407" s="38"/>
    </row>
    <row r="1408" spans="1:7" s="8" customFormat="1" ht="21.95" customHeight="1" x14ac:dyDescent="0.15">
      <c r="A1408" s="17"/>
      <c r="B1408" s="36"/>
      <c r="C1408" s="37"/>
      <c r="D1408" s="15"/>
      <c r="E1408" s="38"/>
      <c r="F1408" s="38"/>
      <c r="G1408" s="38"/>
    </row>
    <row r="1409" spans="1:7" s="8" customFormat="1" ht="21.95" customHeight="1" x14ac:dyDescent="0.15">
      <c r="A1409" s="17"/>
      <c r="B1409" s="36"/>
      <c r="C1409" s="37"/>
      <c r="D1409" s="15"/>
      <c r="E1409" s="38"/>
      <c r="F1409" s="38"/>
      <c r="G1409" s="38"/>
    </row>
    <row r="1410" spans="1:7" s="8" customFormat="1" ht="21.95" customHeight="1" x14ac:dyDescent="0.15">
      <c r="A1410" s="17"/>
      <c r="B1410" s="36"/>
      <c r="C1410" s="37"/>
      <c r="D1410" s="15"/>
      <c r="E1410" s="38"/>
      <c r="F1410" s="38"/>
      <c r="G1410" s="38"/>
    </row>
    <row r="1411" spans="1:7" s="8" customFormat="1" ht="21.95" customHeight="1" x14ac:dyDescent="0.15">
      <c r="A1411" s="17"/>
      <c r="B1411" s="36"/>
      <c r="C1411" s="37"/>
      <c r="D1411" s="15"/>
      <c r="E1411" s="38"/>
      <c r="F1411" s="38"/>
      <c r="G1411" s="38"/>
    </row>
    <row r="1412" spans="1:7" s="8" customFormat="1" ht="21.95" customHeight="1" x14ac:dyDescent="0.15">
      <c r="A1412" s="17"/>
      <c r="B1412" s="36"/>
      <c r="C1412" s="37"/>
      <c r="D1412" s="15"/>
      <c r="E1412" s="38"/>
      <c r="F1412" s="38"/>
      <c r="G1412" s="38"/>
    </row>
    <row r="1413" spans="1:7" s="8" customFormat="1" ht="21.95" customHeight="1" x14ac:dyDescent="0.15">
      <c r="A1413" s="17"/>
      <c r="B1413" s="36"/>
      <c r="C1413" s="37"/>
      <c r="D1413" s="15"/>
      <c r="E1413" s="38"/>
      <c r="F1413" s="38"/>
      <c r="G1413" s="38"/>
    </row>
    <row r="1414" spans="1:7" s="8" customFormat="1" ht="21.95" customHeight="1" x14ac:dyDescent="0.15">
      <c r="A1414" s="17"/>
      <c r="B1414" s="36"/>
      <c r="C1414" s="37"/>
      <c r="D1414" s="15"/>
      <c r="E1414" s="38"/>
      <c r="F1414" s="38"/>
      <c r="G1414" s="38"/>
    </row>
    <row r="1415" spans="1:7" s="8" customFormat="1" ht="21.95" customHeight="1" x14ac:dyDescent="0.15">
      <c r="A1415" s="17"/>
      <c r="B1415" s="36"/>
      <c r="C1415" s="37"/>
      <c r="D1415" s="15"/>
      <c r="E1415" s="38"/>
      <c r="F1415" s="38"/>
      <c r="G1415" s="38"/>
    </row>
    <row r="1416" spans="1:7" s="8" customFormat="1" ht="32.1" customHeight="1" x14ac:dyDescent="0.15">
      <c r="A1416" s="17"/>
      <c r="B1416" s="36"/>
      <c r="C1416" s="37"/>
      <c r="D1416" s="15"/>
      <c r="E1416" s="38"/>
      <c r="F1416" s="38"/>
      <c r="G1416" s="38"/>
    </row>
    <row r="1417" spans="1:7" s="8" customFormat="1" ht="32.1" customHeight="1" x14ac:dyDescent="0.15">
      <c r="A1417" s="17"/>
      <c r="B1417" s="36"/>
      <c r="C1417" s="37"/>
      <c r="D1417" s="15"/>
      <c r="E1417" s="38"/>
      <c r="F1417" s="38"/>
      <c r="G1417" s="38"/>
    </row>
    <row r="1418" spans="1:7" s="8" customFormat="1" ht="32.1" customHeight="1" x14ac:dyDescent="0.15">
      <c r="A1418" s="17"/>
      <c r="B1418" s="36"/>
      <c r="C1418" s="37"/>
      <c r="D1418" s="15"/>
      <c r="E1418" s="38"/>
      <c r="F1418" s="38"/>
      <c r="G1418" s="38"/>
    </row>
    <row r="1419" spans="1:7" s="8" customFormat="1" ht="32.1" customHeight="1" x14ac:dyDescent="0.15">
      <c r="A1419" s="17"/>
      <c r="B1419" s="36"/>
      <c r="C1419" s="37"/>
      <c r="D1419" s="15"/>
      <c r="E1419" s="38"/>
      <c r="F1419" s="38"/>
      <c r="G1419" s="38"/>
    </row>
    <row r="1420" spans="1:7" s="8" customFormat="1" ht="32.1" customHeight="1" x14ac:dyDescent="0.15">
      <c r="A1420" s="17"/>
      <c r="B1420" s="36"/>
      <c r="C1420" s="37"/>
      <c r="D1420" s="15"/>
      <c r="E1420" s="38"/>
      <c r="F1420" s="38"/>
      <c r="G1420" s="38"/>
    </row>
    <row r="1421" spans="1:7" s="8" customFormat="1" ht="32.1" customHeight="1" x14ac:dyDescent="0.15">
      <c r="A1421" s="17"/>
      <c r="B1421" s="36"/>
      <c r="C1421" s="37"/>
      <c r="D1421" s="15"/>
      <c r="E1421" s="38"/>
      <c r="F1421" s="38"/>
      <c r="G1421" s="38"/>
    </row>
    <row r="1422" spans="1:7" ht="32.1" customHeight="1" x14ac:dyDescent="0.15">
      <c r="A1422" s="17"/>
      <c r="B1422" s="36"/>
      <c r="C1422" s="37"/>
      <c r="E1422" s="38"/>
      <c r="F1422" s="38"/>
      <c r="G1422" s="38"/>
    </row>
    <row r="1423" spans="1:7" ht="32.1" customHeight="1" x14ac:dyDescent="0.15">
      <c r="A1423" s="17"/>
      <c r="B1423" s="36"/>
      <c r="C1423" s="37"/>
      <c r="F1423" s="38"/>
      <c r="G1423" s="38"/>
    </row>
    <row r="1424" spans="1:7" ht="32.1" customHeight="1" x14ac:dyDescent="0.15">
      <c r="A1424" s="17"/>
      <c r="B1424" s="36"/>
      <c r="C1424" s="37"/>
      <c r="F1424" s="38"/>
      <c r="G1424" s="38"/>
    </row>
    <row r="1425" spans="1:7" ht="32.1" customHeight="1" x14ac:dyDescent="0.15">
      <c r="A1425" s="17"/>
      <c r="B1425" s="36"/>
      <c r="C1425" s="37"/>
      <c r="F1425" s="38"/>
      <c r="G1425" s="38"/>
    </row>
    <row r="1426" spans="1:7" ht="21.95" customHeight="1" x14ac:dyDescent="0.15">
      <c r="A1426" s="17"/>
      <c r="B1426" s="36"/>
      <c r="C1426" s="37"/>
      <c r="F1426" s="38"/>
      <c r="G1426" s="38"/>
    </row>
    <row r="1427" spans="1:7" ht="54" customHeight="1" x14ac:dyDescent="0.15">
      <c r="A1427" s="17"/>
      <c r="B1427" s="36"/>
      <c r="C1427" s="37"/>
      <c r="F1427" s="38"/>
      <c r="G1427" s="38"/>
    </row>
    <row r="1428" spans="1:7" ht="21.95" customHeight="1" x14ac:dyDescent="0.15">
      <c r="A1428" s="17"/>
      <c r="B1428" s="36"/>
      <c r="C1428" s="37"/>
      <c r="F1428" s="38"/>
      <c r="G1428" s="38"/>
    </row>
    <row r="1429" spans="1:7" ht="21.95" customHeight="1" x14ac:dyDescent="0.15">
      <c r="A1429" s="17"/>
      <c r="B1429" s="36"/>
      <c r="C1429" s="37"/>
      <c r="F1429" s="38"/>
      <c r="G1429" s="38"/>
    </row>
    <row r="1430" spans="1:7" ht="21.95" customHeight="1" x14ac:dyDescent="0.15">
      <c r="A1430" s="17"/>
      <c r="B1430" s="36"/>
      <c r="C1430" s="37"/>
      <c r="F1430" s="38"/>
      <c r="G1430" s="38"/>
    </row>
    <row r="1431" spans="1:7" ht="21.95" customHeight="1" x14ac:dyDescent="0.15">
      <c r="A1431" s="17"/>
      <c r="B1431" s="36"/>
      <c r="C1431" s="37"/>
      <c r="F1431" s="38"/>
      <c r="G1431" s="38"/>
    </row>
    <row r="1432" spans="1:7" ht="21.95" customHeight="1" x14ac:dyDescent="0.15">
      <c r="A1432" s="17"/>
      <c r="B1432" s="36"/>
      <c r="C1432" s="37"/>
      <c r="F1432" s="38"/>
      <c r="G1432" s="38"/>
    </row>
    <row r="1433" spans="1:7" ht="21.95" customHeight="1" x14ac:dyDescent="0.15">
      <c r="A1433" s="17"/>
      <c r="B1433" s="36"/>
      <c r="C1433" s="37"/>
      <c r="F1433" s="38"/>
      <c r="G1433" s="38"/>
    </row>
    <row r="1434" spans="1:7" ht="21.95" customHeight="1" x14ac:dyDescent="0.15">
      <c r="A1434" s="17"/>
      <c r="B1434" s="36"/>
      <c r="C1434" s="37"/>
      <c r="G1434" s="38"/>
    </row>
    <row r="1435" spans="1:7" ht="21.95" customHeight="1" x14ac:dyDescent="0.15">
      <c r="A1435" s="17"/>
      <c r="B1435" s="36"/>
      <c r="C1435" s="37"/>
      <c r="G1435" s="38"/>
    </row>
    <row r="1436" spans="1:7" ht="21.95" customHeight="1" x14ac:dyDescent="0.15">
      <c r="A1436" s="17"/>
      <c r="B1436" s="36"/>
      <c r="C1436" s="37"/>
      <c r="G1436" s="38"/>
    </row>
    <row r="1437" spans="1:7" ht="21.95" customHeight="1" x14ac:dyDescent="0.15">
      <c r="A1437" s="17"/>
      <c r="B1437" s="36"/>
      <c r="C1437" s="37"/>
      <c r="G1437" s="38"/>
    </row>
    <row r="1438" spans="1:7" ht="21.95" customHeight="1" x14ac:dyDescent="0.15">
      <c r="A1438" s="17"/>
      <c r="B1438" s="36"/>
      <c r="C1438" s="37"/>
      <c r="G1438" s="38"/>
    </row>
    <row r="1439" spans="1:7" ht="21.95" customHeight="1" x14ac:dyDescent="0.15">
      <c r="A1439" s="17"/>
      <c r="B1439" s="36"/>
      <c r="C1439" s="37"/>
      <c r="G1439" s="38"/>
    </row>
    <row r="1440" spans="1:7" ht="21.95" customHeight="1" x14ac:dyDescent="0.15">
      <c r="A1440" s="17"/>
      <c r="B1440" s="36"/>
      <c r="C1440" s="37"/>
      <c r="G1440" s="38"/>
    </row>
    <row r="1441" spans="1:7" ht="21.95" customHeight="1" x14ac:dyDescent="0.15">
      <c r="A1441" s="17"/>
      <c r="B1441" s="36"/>
      <c r="C1441" s="37"/>
      <c r="G1441" s="38"/>
    </row>
    <row r="1442" spans="1:7" ht="21.95" customHeight="1" x14ac:dyDescent="0.15">
      <c r="A1442" s="17"/>
      <c r="B1442" s="36"/>
      <c r="C1442" s="37"/>
      <c r="G1442" s="38"/>
    </row>
    <row r="1443" spans="1:7" ht="21.95" customHeight="1" x14ac:dyDescent="0.15">
      <c r="A1443" s="17"/>
      <c r="B1443" s="36"/>
      <c r="C1443" s="37"/>
      <c r="G1443" s="38"/>
    </row>
    <row r="1444" spans="1:7" ht="21.95" customHeight="1" x14ac:dyDescent="0.15">
      <c r="A1444" s="17"/>
      <c r="B1444" s="36"/>
      <c r="C1444" s="37"/>
      <c r="G1444" s="38"/>
    </row>
    <row r="1445" spans="1:7" ht="21.95" customHeight="1" x14ac:dyDescent="0.15">
      <c r="A1445" s="17"/>
      <c r="B1445" s="36"/>
      <c r="C1445" s="37"/>
    </row>
    <row r="1446" spans="1:7" ht="21.95" customHeight="1" x14ac:dyDescent="0.15">
      <c r="A1446" s="17"/>
      <c r="B1446" s="36"/>
      <c r="C1446" s="37"/>
    </row>
    <row r="1447" spans="1:7" ht="21.95" customHeight="1" x14ac:dyDescent="0.15">
      <c r="A1447" s="17"/>
      <c r="B1447" s="36"/>
      <c r="C1447" s="37"/>
    </row>
    <row r="1448" spans="1:7" ht="21.95" customHeight="1" x14ac:dyDescent="0.15">
      <c r="A1448" s="17"/>
      <c r="B1448" s="36"/>
      <c r="C1448" s="37"/>
    </row>
    <row r="1449" spans="1:7" ht="21.95" customHeight="1" x14ac:dyDescent="0.15">
      <c r="A1449" s="17"/>
      <c r="B1449" s="36"/>
      <c r="C1449" s="37"/>
    </row>
    <row r="1450" spans="1:7" ht="21.95" customHeight="1" x14ac:dyDescent="0.15">
      <c r="A1450" s="17"/>
      <c r="B1450" s="36"/>
      <c r="C1450" s="37"/>
    </row>
    <row r="1451" spans="1:7" ht="21.95" customHeight="1" x14ac:dyDescent="0.15">
      <c r="A1451" s="17"/>
      <c r="B1451" s="36"/>
      <c r="C1451" s="37"/>
    </row>
    <row r="1452" spans="1:7" ht="21.95" customHeight="1" x14ac:dyDescent="0.15">
      <c r="A1452" s="17"/>
      <c r="B1452" s="36"/>
      <c r="C1452" s="37"/>
    </row>
    <row r="1453" spans="1:7" ht="21.95" customHeight="1" x14ac:dyDescent="0.15">
      <c r="A1453" s="17"/>
      <c r="B1453" s="36"/>
      <c r="C1453" s="37"/>
    </row>
    <row r="1454" spans="1:7" ht="21.95" customHeight="1" x14ac:dyDescent="0.15">
      <c r="A1454" s="17"/>
      <c r="B1454" s="36"/>
      <c r="C1454" s="37"/>
    </row>
    <row r="1455" spans="1:7" ht="21.95" customHeight="1" x14ac:dyDescent="0.15">
      <c r="A1455" s="17"/>
      <c r="B1455" s="36"/>
      <c r="C1455" s="37"/>
    </row>
    <row r="1456" spans="1:7" ht="21.95" customHeight="1" x14ac:dyDescent="0.15">
      <c r="A1456" s="17"/>
      <c r="B1456" s="36"/>
      <c r="C1456" s="37"/>
    </row>
    <row r="1457" spans="1:3" ht="21.95" customHeight="1" x14ac:dyDescent="0.15">
      <c r="A1457" s="17"/>
      <c r="B1457" s="36"/>
      <c r="C1457" s="37"/>
    </row>
    <row r="1458" spans="1:3" ht="21.95" customHeight="1" x14ac:dyDescent="0.15">
      <c r="A1458" s="17"/>
      <c r="B1458" s="36"/>
      <c r="C1458" s="37"/>
    </row>
    <row r="1459" spans="1:3" ht="21.95" customHeight="1" x14ac:dyDescent="0.15">
      <c r="A1459" s="17"/>
      <c r="B1459" s="36"/>
      <c r="C1459" s="37"/>
    </row>
    <row r="1460" spans="1:3" ht="21.95" customHeight="1" x14ac:dyDescent="0.15">
      <c r="A1460" s="17"/>
      <c r="B1460" s="36"/>
      <c r="C1460" s="37"/>
    </row>
    <row r="1461" spans="1:3" ht="21.95" customHeight="1" x14ac:dyDescent="0.15">
      <c r="A1461" s="17"/>
      <c r="B1461" s="36"/>
      <c r="C1461" s="37"/>
    </row>
    <row r="1462" spans="1:3" ht="21.95" customHeight="1" x14ac:dyDescent="0.15">
      <c r="A1462" s="17"/>
      <c r="B1462" s="36"/>
      <c r="C1462" s="37"/>
    </row>
    <row r="1463" spans="1:3" ht="21.95" customHeight="1" x14ac:dyDescent="0.15">
      <c r="A1463" s="17"/>
      <c r="B1463" s="36"/>
      <c r="C1463" s="37"/>
    </row>
    <row r="1464" spans="1:3" ht="21.95" customHeight="1" x14ac:dyDescent="0.15">
      <c r="A1464" s="17"/>
      <c r="B1464" s="36"/>
      <c r="C1464" s="37"/>
    </row>
    <row r="1465" spans="1:3" ht="21.95" customHeight="1" x14ac:dyDescent="0.15">
      <c r="A1465" s="17"/>
      <c r="B1465" s="36"/>
      <c r="C1465" s="37"/>
    </row>
    <row r="1466" spans="1:3" ht="21.95" customHeight="1" x14ac:dyDescent="0.15">
      <c r="A1466" s="17"/>
      <c r="B1466" s="36"/>
      <c r="C1466" s="37"/>
    </row>
    <row r="1467" spans="1:3" ht="21.95" customHeight="1" x14ac:dyDescent="0.15">
      <c r="A1467" s="17"/>
      <c r="B1467" s="36"/>
      <c r="C1467" s="37"/>
    </row>
    <row r="1468" spans="1:3" ht="21.95" customHeight="1" x14ac:dyDescent="0.15">
      <c r="A1468" s="17"/>
      <c r="B1468" s="36"/>
      <c r="C1468" s="37"/>
    </row>
    <row r="1469" spans="1:3" ht="21.95" customHeight="1" x14ac:dyDescent="0.15">
      <c r="A1469" s="17"/>
      <c r="B1469" s="36"/>
      <c r="C1469" s="37"/>
    </row>
    <row r="1470" spans="1:3" ht="21.95" customHeight="1" x14ac:dyDescent="0.15">
      <c r="A1470" s="17"/>
      <c r="B1470" s="36"/>
      <c r="C1470" s="37"/>
    </row>
    <row r="1471" spans="1:3" ht="21.95" customHeight="1" x14ac:dyDescent="0.15">
      <c r="A1471" s="17"/>
      <c r="B1471" s="36"/>
      <c r="C1471" s="37"/>
    </row>
    <row r="1472" spans="1:3" ht="21.95" customHeight="1" x14ac:dyDescent="0.15">
      <c r="A1472" s="17"/>
      <c r="B1472" s="36"/>
      <c r="C1472" s="37"/>
    </row>
    <row r="1473" spans="1:7" ht="21.95" customHeight="1" x14ac:dyDescent="0.15">
      <c r="A1473" s="17"/>
      <c r="B1473" s="36"/>
      <c r="C1473" s="37"/>
    </row>
    <row r="1474" spans="1:7" ht="21.95" customHeight="1" x14ac:dyDescent="0.15">
      <c r="A1474" s="17"/>
      <c r="B1474" s="36"/>
      <c r="C1474" s="37"/>
    </row>
    <row r="1475" spans="1:7" ht="21.95" customHeight="1" x14ac:dyDescent="0.15">
      <c r="A1475" s="17"/>
      <c r="B1475" s="36"/>
      <c r="C1475" s="37"/>
    </row>
    <row r="1476" spans="1:7" ht="21.95" customHeight="1" x14ac:dyDescent="0.15">
      <c r="A1476" s="17"/>
      <c r="B1476" s="36"/>
      <c r="C1476" s="37"/>
      <c r="G1476" s="38"/>
    </row>
    <row r="1477" spans="1:7" ht="21.95" customHeight="1" x14ac:dyDescent="0.15">
      <c r="A1477" s="17"/>
      <c r="B1477" s="36"/>
      <c r="C1477" s="37"/>
    </row>
    <row r="1478" spans="1:7" ht="35.1" customHeight="1" x14ac:dyDescent="0.15">
      <c r="A1478" s="17"/>
      <c r="B1478" s="36"/>
      <c r="C1478" s="37"/>
    </row>
    <row r="1479" spans="1:7" ht="21.95" customHeight="1" x14ac:dyDescent="0.15">
      <c r="A1479" s="17"/>
      <c r="B1479" s="36"/>
      <c r="C1479" s="37"/>
    </row>
    <row r="1480" spans="1:7" ht="21.95" customHeight="1" x14ac:dyDescent="0.15">
      <c r="A1480" s="17"/>
      <c r="B1480" s="36"/>
      <c r="C1480" s="37"/>
    </row>
    <row r="1481" spans="1:7" ht="21.95" customHeight="1" x14ac:dyDescent="0.15">
      <c r="A1481" s="17"/>
      <c r="B1481" s="36"/>
      <c r="C1481" s="37"/>
    </row>
    <row r="1482" spans="1:7" ht="21.95" customHeight="1" x14ac:dyDescent="0.15">
      <c r="A1482" s="17"/>
      <c r="B1482" s="36"/>
      <c r="C1482" s="37"/>
    </row>
    <row r="1483" spans="1:7" ht="21.95" customHeight="1" x14ac:dyDescent="0.15">
      <c r="A1483" s="17"/>
      <c r="B1483" s="36"/>
      <c r="C1483" s="37"/>
    </row>
    <row r="1484" spans="1:7" ht="21.95" customHeight="1" x14ac:dyDescent="0.15">
      <c r="A1484" s="17"/>
      <c r="B1484" s="36"/>
      <c r="C1484" s="37"/>
    </row>
    <row r="1485" spans="1:7" ht="21.95" customHeight="1" x14ac:dyDescent="0.15">
      <c r="A1485" s="17"/>
      <c r="B1485" s="36"/>
      <c r="C1485" s="37"/>
    </row>
    <row r="1486" spans="1:7" ht="21.95" customHeight="1" x14ac:dyDescent="0.15">
      <c r="A1486" s="17"/>
      <c r="B1486" s="36"/>
      <c r="C1486" s="37"/>
      <c r="G1486" s="38"/>
    </row>
    <row r="1487" spans="1:7" ht="21.95" customHeight="1" x14ac:dyDescent="0.15">
      <c r="A1487" s="17"/>
      <c r="B1487" s="36"/>
      <c r="C1487" s="37"/>
      <c r="G1487" s="38"/>
    </row>
    <row r="1488" spans="1:7" ht="21.95" customHeight="1" x14ac:dyDescent="0.15">
      <c r="A1488" s="17"/>
      <c r="B1488" s="36"/>
      <c r="C1488" s="37"/>
    </row>
    <row r="1489" spans="1:7" ht="21.95" customHeight="1" x14ac:dyDescent="0.15">
      <c r="A1489" s="17"/>
      <c r="B1489" s="36"/>
      <c r="C1489" s="37"/>
    </row>
    <row r="1490" spans="1:7" ht="21.95" customHeight="1" x14ac:dyDescent="0.15">
      <c r="A1490" s="17"/>
      <c r="B1490" s="36"/>
      <c r="C1490" s="37"/>
    </row>
    <row r="1491" spans="1:7" ht="21.95" customHeight="1" x14ac:dyDescent="0.15">
      <c r="A1491" s="17"/>
      <c r="B1491" s="36"/>
      <c r="C1491" s="37"/>
      <c r="G1491" s="38"/>
    </row>
    <row r="1492" spans="1:7" ht="21.95" customHeight="1" x14ac:dyDescent="0.15">
      <c r="A1492" s="17"/>
      <c r="B1492" s="36"/>
      <c r="C1492" s="37"/>
    </row>
    <row r="1493" spans="1:7" ht="21.95" customHeight="1" x14ac:dyDescent="0.15">
      <c r="A1493" s="17"/>
      <c r="B1493" s="36"/>
      <c r="C1493" s="37"/>
    </row>
    <row r="1494" spans="1:7" ht="21.95" customHeight="1" x14ac:dyDescent="0.15">
      <c r="A1494" s="17"/>
      <c r="B1494" s="36"/>
      <c r="C1494" s="37"/>
    </row>
    <row r="1495" spans="1:7" ht="21.95" customHeight="1" x14ac:dyDescent="0.15">
      <c r="A1495" s="17"/>
      <c r="B1495" s="36"/>
      <c r="C1495" s="37"/>
    </row>
    <row r="1496" spans="1:7" ht="21.95" customHeight="1" x14ac:dyDescent="0.15">
      <c r="A1496" s="17"/>
      <c r="B1496" s="36"/>
      <c r="C1496" s="37"/>
    </row>
    <row r="1497" spans="1:7" ht="21.95" customHeight="1" x14ac:dyDescent="0.15">
      <c r="A1497" s="17"/>
      <c r="C1497" s="37"/>
    </row>
    <row r="1498" spans="1:7" ht="21.95" customHeight="1" x14ac:dyDescent="0.15">
      <c r="A1498" s="17"/>
      <c r="B1498" s="36"/>
      <c r="C1498" s="37"/>
    </row>
    <row r="1499" spans="1:7" ht="21.95" customHeight="1" x14ac:dyDescent="0.15">
      <c r="A1499" s="17"/>
    </row>
    <row r="1500" spans="1:7" ht="21.95" customHeight="1" x14ac:dyDescent="0.15">
      <c r="A1500" s="17"/>
    </row>
    <row r="1501" spans="1:7" ht="21.95" customHeight="1" x14ac:dyDescent="0.15">
      <c r="A1501" s="17"/>
    </row>
    <row r="1502" spans="1:7" s="8" customFormat="1" ht="21.95" customHeight="1" x14ac:dyDescent="0.15">
      <c r="A1502" s="17"/>
      <c r="B1502" s="39"/>
      <c r="C1502" s="40"/>
      <c r="D1502" s="38"/>
      <c r="E1502" s="38"/>
      <c r="F1502" s="38"/>
      <c r="G1502" s="38"/>
    </row>
    <row r="1503" spans="1:7" s="8" customFormat="1" ht="21.95" customHeight="1" x14ac:dyDescent="0.15">
      <c r="A1503" s="17"/>
      <c r="B1503" s="36"/>
      <c r="C1503" s="37"/>
      <c r="D1503" s="15"/>
      <c r="E1503" s="38"/>
      <c r="F1503" s="15"/>
      <c r="G1503" s="38"/>
    </row>
    <row r="1504" spans="1:7" s="8" customFormat="1" ht="21.95" customHeight="1" x14ac:dyDescent="0.15">
      <c r="A1504" s="17"/>
      <c r="B1504" s="36"/>
      <c r="C1504" s="95"/>
      <c r="D1504" s="15"/>
      <c r="E1504" s="38"/>
      <c r="F1504" s="15"/>
      <c r="G1504" s="38"/>
    </row>
    <row r="1505" spans="1:7" s="8" customFormat="1" ht="21.95" customHeight="1" x14ac:dyDescent="0.15">
      <c r="A1505" s="17"/>
      <c r="B1505" s="36"/>
      <c r="C1505" s="95"/>
      <c r="D1505" s="15"/>
      <c r="E1505" s="38"/>
      <c r="F1505" s="38"/>
      <c r="G1505" s="38"/>
    </row>
    <row r="1506" spans="1:7" s="8" customFormat="1" ht="21.95" customHeight="1" x14ac:dyDescent="0.15">
      <c r="A1506" s="17"/>
      <c r="B1506" s="36"/>
      <c r="C1506" s="37"/>
      <c r="D1506" s="15"/>
      <c r="E1506" s="38"/>
      <c r="F1506" s="15"/>
      <c r="G1506" s="38"/>
    </row>
    <row r="1507" spans="1:7" s="8" customFormat="1" ht="21.95" customHeight="1" x14ac:dyDescent="0.15">
      <c r="A1507" s="17"/>
      <c r="B1507" s="36"/>
      <c r="C1507" s="37"/>
      <c r="D1507" s="15"/>
      <c r="E1507" s="38"/>
      <c r="F1507" s="38"/>
      <c r="G1507" s="38"/>
    </row>
    <row r="1508" spans="1:7" s="8" customFormat="1" ht="21.95" customHeight="1" x14ac:dyDescent="0.15">
      <c r="A1508" s="17"/>
      <c r="B1508" s="36"/>
      <c r="C1508" s="37"/>
      <c r="D1508" s="15"/>
      <c r="E1508" s="38"/>
      <c r="F1508" s="15"/>
      <c r="G1508" s="38"/>
    </row>
    <row r="1509" spans="1:7" s="8" customFormat="1" ht="21.95" customHeight="1" x14ac:dyDescent="0.15">
      <c r="A1509" s="17"/>
      <c r="B1509" s="36"/>
      <c r="C1509" s="37"/>
      <c r="D1509" s="15"/>
      <c r="E1509" s="38"/>
      <c r="F1509" s="38"/>
      <c r="G1509" s="38"/>
    </row>
    <row r="1510" spans="1:7" s="8" customFormat="1" ht="21.95" customHeight="1" x14ac:dyDescent="0.15">
      <c r="A1510" s="17"/>
      <c r="B1510" s="36"/>
      <c r="C1510" s="37"/>
      <c r="D1510" s="15"/>
      <c r="E1510" s="38"/>
      <c r="F1510" s="15"/>
      <c r="G1510" s="38"/>
    </row>
    <row r="1511" spans="1:7" s="8" customFormat="1" ht="21.95" customHeight="1" x14ac:dyDescent="0.15">
      <c r="A1511" s="17"/>
      <c r="B1511" s="36"/>
      <c r="C1511" s="37"/>
      <c r="D1511" s="15"/>
      <c r="E1511" s="38"/>
      <c r="F1511" s="38"/>
      <c r="G1511" s="38"/>
    </row>
    <row r="1512" spans="1:7" s="8" customFormat="1" ht="21.95" customHeight="1" x14ac:dyDescent="0.15">
      <c r="A1512" s="17"/>
      <c r="B1512" s="36"/>
      <c r="C1512" s="37"/>
      <c r="D1512" s="15"/>
      <c r="E1512" s="38"/>
      <c r="F1512" s="15"/>
      <c r="G1512" s="38"/>
    </row>
    <row r="1513" spans="1:7" ht="21.95" customHeight="1" x14ac:dyDescent="0.15">
      <c r="A1513" s="17"/>
      <c r="B1513" s="36"/>
      <c r="C1513" s="37"/>
      <c r="E1513" s="38"/>
      <c r="F1513" s="38"/>
      <c r="G1513" s="38"/>
    </row>
    <row r="1514" spans="1:7" ht="21.95" customHeight="1" x14ac:dyDescent="0.15">
      <c r="A1514" s="17"/>
      <c r="B1514" s="36"/>
      <c r="C1514" s="37"/>
      <c r="E1514" s="38"/>
      <c r="G1514" s="38"/>
    </row>
    <row r="1515" spans="1:7" ht="21.95" customHeight="1" x14ac:dyDescent="0.15">
      <c r="A1515" s="17"/>
      <c r="B1515" s="36"/>
      <c r="C1515" s="37"/>
      <c r="E1515" s="38"/>
      <c r="G1515" s="38"/>
    </row>
    <row r="1516" spans="1:7" ht="21.95" customHeight="1" x14ac:dyDescent="0.15">
      <c r="A1516" s="17"/>
      <c r="B1516" s="36"/>
      <c r="C1516" s="37"/>
      <c r="E1516" s="38"/>
      <c r="F1516" s="38"/>
      <c r="G1516" s="38"/>
    </row>
    <row r="1517" spans="1:7" s="8" customFormat="1" ht="21.95" customHeight="1" x14ac:dyDescent="0.15">
      <c r="A1517" s="17"/>
      <c r="B1517" s="36"/>
      <c r="C1517" s="37"/>
      <c r="D1517" s="15"/>
      <c r="E1517" s="38"/>
      <c r="F1517" s="38"/>
      <c r="G1517" s="38"/>
    </row>
    <row r="1518" spans="1:7" s="8" customFormat="1" ht="21.95" customHeight="1" x14ac:dyDescent="0.15">
      <c r="A1518" s="17"/>
      <c r="B1518" s="36"/>
      <c r="C1518" s="37"/>
      <c r="D1518" s="15"/>
      <c r="E1518" s="38"/>
      <c r="F1518" s="38"/>
      <c r="G1518" s="38"/>
    </row>
    <row r="1519" spans="1:7" s="8" customFormat="1" ht="21.95" customHeight="1" x14ac:dyDescent="0.15">
      <c r="A1519" s="17"/>
      <c r="B1519" s="36"/>
      <c r="C1519" s="37"/>
      <c r="D1519" s="15"/>
      <c r="E1519" s="38"/>
      <c r="F1519" s="38"/>
      <c r="G1519" s="38"/>
    </row>
    <row r="1520" spans="1:7" s="8" customFormat="1" ht="21.95" customHeight="1" x14ac:dyDescent="0.15">
      <c r="A1520" s="17"/>
      <c r="B1520" s="36"/>
      <c r="C1520" s="37"/>
      <c r="D1520" s="15"/>
      <c r="E1520" s="38"/>
      <c r="F1520" s="38"/>
      <c r="G1520" s="38"/>
    </row>
    <row r="1521" spans="1:7" s="8" customFormat="1" ht="21.95" customHeight="1" x14ac:dyDescent="0.15">
      <c r="A1521" s="17"/>
      <c r="B1521" s="36"/>
      <c r="C1521" s="37"/>
      <c r="D1521" s="15"/>
      <c r="E1521" s="38"/>
      <c r="F1521" s="38"/>
      <c r="G1521" s="38"/>
    </row>
    <row r="1522" spans="1:7" s="8" customFormat="1" ht="21.95" customHeight="1" x14ac:dyDescent="0.15">
      <c r="A1522" s="17"/>
      <c r="B1522" s="36"/>
      <c r="C1522" s="37"/>
      <c r="D1522" s="15"/>
      <c r="E1522" s="38"/>
      <c r="F1522" s="38"/>
      <c r="G1522" s="38"/>
    </row>
    <row r="1523" spans="1:7" s="8" customFormat="1" ht="21.95" customHeight="1" x14ac:dyDescent="0.15">
      <c r="A1523" s="17"/>
      <c r="B1523" s="36"/>
      <c r="C1523" s="37"/>
      <c r="D1523" s="15"/>
      <c r="E1523" s="38"/>
      <c r="F1523" s="38"/>
      <c r="G1523" s="38"/>
    </row>
    <row r="1524" spans="1:7" s="8" customFormat="1" ht="21.95" customHeight="1" x14ac:dyDescent="0.15">
      <c r="A1524" s="17"/>
      <c r="B1524" s="36"/>
      <c r="C1524" s="37"/>
      <c r="D1524" s="15"/>
      <c r="E1524" s="38"/>
      <c r="F1524" s="38"/>
      <c r="G1524" s="38"/>
    </row>
    <row r="1525" spans="1:7" s="8" customFormat="1" ht="21.95" customHeight="1" x14ac:dyDescent="0.15">
      <c r="A1525" s="17"/>
      <c r="B1525" s="36"/>
      <c r="C1525" s="37"/>
      <c r="D1525" s="15"/>
      <c r="E1525" s="38"/>
      <c r="F1525" s="38"/>
      <c r="G1525" s="38"/>
    </row>
    <row r="1526" spans="1:7" s="8" customFormat="1" ht="21.95" customHeight="1" x14ac:dyDescent="0.15">
      <c r="A1526" s="17"/>
      <c r="B1526" s="36"/>
      <c r="C1526" s="37"/>
      <c r="D1526" s="15"/>
      <c r="E1526" s="38"/>
      <c r="F1526" s="38"/>
      <c r="G1526" s="38"/>
    </row>
    <row r="1527" spans="1:7" s="8" customFormat="1" ht="21.95" customHeight="1" x14ac:dyDescent="0.15">
      <c r="A1527" s="17"/>
      <c r="B1527" s="36"/>
      <c r="C1527" s="37"/>
      <c r="D1527" s="15"/>
      <c r="E1527" s="38"/>
      <c r="F1527" s="38"/>
      <c r="G1527" s="38"/>
    </row>
    <row r="1528" spans="1:7" s="8" customFormat="1" ht="32.1" customHeight="1" x14ac:dyDescent="0.15">
      <c r="A1528" s="17"/>
      <c r="B1528" s="36"/>
      <c r="C1528" s="37"/>
      <c r="D1528" s="15"/>
      <c r="E1528" s="38"/>
      <c r="F1528" s="38"/>
      <c r="G1528" s="38"/>
    </row>
    <row r="1529" spans="1:7" s="8" customFormat="1" ht="32.1" customHeight="1" x14ac:dyDescent="0.15">
      <c r="A1529" s="17"/>
      <c r="B1529" s="36"/>
      <c r="C1529" s="37"/>
      <c r="D1529" s="15"/>
      <c r="E1529" s="38"/>
      <c r="F1529" s="38"/>
      <c r="G1529" s="38"/>
    </row>
    <row r="1530" spans="1:7" s="8" customFormat="1" ht="32.1" customHeight="1" x14ac:dyDescent="0.15">
      <c r="A1530" s="17"/>
      <c r="B1530" s="36"/>
      <c r="C1530" s="37"/>
      <c r="D1530" s="15"/>
      <c r="E1530" s="38"/>
      <c r="F1530" s="38"/>
      <c r="G1530" s="38"/>
    </row>
    <row r="1531" spans="1:7" s="8" customFormat="1" ht="32.1" customHeight="1" x14ac:dyDescent="0.15">
      <c r="A1531" s="17"/>
      <c r="B1531" s="36"/>
      <c r="C1531" s="37"/>
      <c r="D1531" s="15"/>
      <c r="E1531" s="38"/>
      <c r="F1531" s="38"/>
      <c r="G1531" s="38"/>
    </row>
    <row r="1532" spans="1:7" s="8" customFormat="1" ht="32.1" customHeight="1" x14ac:dyDescent="0.15">
      <c r="A1532" s="17"/>
      <c r="B1532" s="36"/>
      <c r="C1532" s="37"/>
      <c r="D1532" s="15"/>
      <c r="E1532" s="38"/>
      <c r="F1532" s="38"/>
      <c r="G1532" s="38"/>
    </row>
    <row r="1533" spans="1:7" s="8" customFormat="1" ht="32.1" customHeight="1" x14ac:dyDescent="0.15">
      <c r="A1533" s="17"/>
      <c r="B1533" s="36"/>
      <c r="C1533" s="37"/>
      <c r="D1533" s="15"/>
      <c r="E1533" s="38"/>
      <c r="F1533" s="38"/>
      <c r="G1533" s="38"/>
    </row>
    <row r="1534" spans="1:7" ht="32.1" customHeight="1" x14ac:dyDescent="0.15">
      <c r="A1534" s="17"/>
      <c r="B1534" s="36"/>
      <c r="C1534" s="37"/>
      <c r="E1534" s="38"/>
      <c r="F1534" s="38"/>
      <c r="G1534" s="38"/>
    </row>
    <row r="1535" spans="1:7" ht="32.1" customHeight="1" x14ac:dyDescent="0.15">
      <c r="A1535" s="17"/>
      <c r="B1535" s="36"/>
      <c r="C1535" s="37"/>
      <c r="F1535" s="38"/>
      <c r="G1535" s="38"/>
    </row>
    <row r="1536" spans="1:7" ht="32.1" customHeight="1" x14ac:dyDescent="0.15">
      <c r="A1536" s="17"/>
      <c r="B1536" s="36"/>
      <c r="C1536" s="37"/>
      <c r="F1536" s="38"/>
      <c r="G1536" s="38"/>
    </row>
    <row r="1537" spans="1:7" ht="32.1" customHeight="1" x14ac:dyDescent="0.15">
      <c r="A1537" s="17"/>
      <c r="B1537" s="36"/>
      <c r="C1537" s="37"/>
      <c r="F1537" s="38"/>
      <c r="G1537" s="38"/>
    </row>
    <row r="1538" spans="1:7" ht="21.95" customHeight="1" x14ac:dyDescent="0.15">
      <c r="A1538" s="17"/>
      <c r="B1538" s="36"/>
      <c r="C1538" s="37"/>
      <c r="F1538" s="38"/>
      <c r="G1538" s="38"/>
    </row>
    <row r="1539" spans="1:7" ht="54" customHeight="1" x14ac:dyDescent="0.15">
      <c r="A1539" s="17"/>
      <c r="B1539" s="36"/>
      <c r="C1539" s="37"/>
      <c r="F1539" s="38"/>
      <c r="G1539" s="38"/>
    </row>
    <row r="1540" spans="1:7" ht="21.95" customHeight="1" x14ac:dyDescent="0.15">
      <c r="A1540" s="17"/>
      <c r="B1540" s="36"/>
      <c r="C1540" s="37"/>
      <c r="F1540" s="38"/>
      <c r="G1540" s="38"/>
    </row>
    <row r="1541" spans="1:7" ht="21.95" customHeight="1" x14ac:dyDescent="0.15">
      <c r="A1541" s="17"/>
      <c r="B1541" s="36"/>
      <c r="C1541" s="37"/>
      <c r="F1541" s="38"/>
      <c r="G1541" s="38"/>
    </row>
    <row r="1542" spans="1:7" ht="21.95" customHeight="1" x14ac:dyDescent="0.15">
      <c r="A1542" s="17"/>
      <c r="B1542" s="36"/>
      <c r="C1542" s="37"/>
      <c r="F1542" s="38"/>
      <c r="G1542" s="38"/>
    </row>
    <row r="1543" spans="1:7" ht="21.95" customHeight="1" x14ac:dyDescent="0.15">
      <c r="A1543" s="17"/>
      <c r="B1543" s="36"/>
      <c r="C1543" s="37"/>
      <c r="F1543" s="38"/>
      <c r="G1543" s="38"/>
    </row>
    <row r="1544" spans="1:7" ht="21.95" customHeight="1" x14ac:dyDescent="0.15">
      <c r="A1544" s="17"/>
      <c r="B1544" s="36"/>
      <c r="C1544" s="37"/>
      <c r="F1544" s="38"/>
      <c r="G1544" s="38"/>
    </row>
    <row r="1545" spans="1:7" ht="21.95" customHeight="1" x14ac:dyDescent="0.15">
      <c r="A1545" s="17"/>
      <c r="B1545" s="36"/>
      <c r="C1545" s="37"/>
      <c r="F1545" s="38"/>
      <c r="G1545" s="38"/>
    </row>
    <row r="1546" spans="1:7" ht="21.95" customHeight="1" x14ac:dyDescent="0.15">
      <c r="A1546" s="17"/>
      <c r="B1546" s="36"/>
      <c r="C1546" s="37"/>
      <c r="G1546" s="38"/>
    </row>
    <row r="1547" spans="1:7" ht="21.95" customHeight="1" x14ac:dyDescent="0.15">
      <c r="A1547" s="17"/>
      <c r="B1547" s="36"/>
      <c r="C1547" s="37"/>
      <c r="G1547" s="38"/>
    </row>
    <row r="1548" spans="1:7" ht="21.95" customHeight="1" x14ac:dyDescent="0.15">
      <c r="A1548" s="17"/>
      <c r="B1548" s="36"/>
      <c r="C1548" s="37"/>
      <c r="G1548" s="38"/>
    </row>
    <row r="1549" spans="1:7" ht="21.95" customHeight="1" x14ac:dyDescent="0.15">
      <c r="A1549" s="17"/>
      <c r="B1549" s="36"/>
      <c r="C1549" s="37"/>
      <c r="G1549" s="38"/>
    </row>
    <row r="1550" spans="1:7" ht="21.95" customHeight="1" x14ac:dyDescent="0.15">
      <c r="A1550" s="17"/>
      <c r="B1550" s="36"/>
      <c r="C1550" s="37"/>
      <c r="G1550" s="38"/>
    </row>
    <row r="1551" spans="1:7" ht="21.95" customHeight="1" x14ac:dyDescent="0.15">
      <c r="A1551" s="17"/>
      <c r="B1551" s="36"/>
      <c r="C1551" s="37"/>
      <c r="G1551" s="38"/>
    </row>
    <row r="1552" spans="1:7" ht="21.95" customHeight="1" x14ac:dyDescent="0.15">
      <c r="A1552" s="17"/>
      <c r="B1552" s="36"/>
      <c r="C1552" s="37"/>
      <c r="G1552" s="38"/>
    </row>
    <row r="1553" spans="1:7" ht="21.95" customHeight="1" x14ac:dyDescent="0.15">
      <c r="A1553" s="17"/>
      <c r="B1553" s="36"/>
      <c r="C1553" s="37"/>
      <c r="G1553" s="38"/>
    </row>
    <row r="1554" spans="1:7" ht="21.95" customHeight="1" x14ac:dyDescent="0.15">
      <c r="A1554" s="17"/>
      <c r="B1554" s="36"/>
      <c r="C1554" s="37"/>
      <c r="G1554" s="38"/>
    </row>
    <row r="1555" spans="1:7" ht="21.95" customHeight="1" x14ac:dyDescent="0.15">
      <c r="A1555" s="17"/>
      <c r="B1555" s="36"/>
      <c r="C1555" s="37"/>
      <c r="G1555" s="38"/>
    </row>
    <row r="1556" spans="1:7" ht="21.95" customHeight="1" x14ac:dyDescent="0.15">
      <c r="A1556" s="17"/>
      <c r="B1556" s="36"/>
      <c r="C1556" s="37"/>
      <c r="G1556" s="38"/>
    </row>
    <row r="1557" spans="1:7" ht="21.95" customHeight="1" x14ac:dyDescent="0.15">
      <c r="A1557" s="17"/>
      <c r="B1557" s="36"/>
      <c r="C1557" s="37"/>
    </row>
    <row r="1558" spans="1:7" ht="21.95" customHeight="1" x14ac:dyDescent="0.15">
      <c r="A1558" s="17"/>
      <c r="B1558" s="36"/>
      <c r="C1558" s="37"/>
    </row>
    <row r="1559" spans="1:7" ht="21.95" customHeight="1" x14ac:dyDescent="0.15">
      <c r="A1559" s="17"/>
      <c r="B1559" s="36"/>
      <c r="C1559" s="37"/>
    </row>
    <row r="1560" spans="1:7" ht="21.95" customHeight="1" x14ac:dyDescent="0.15">
      <c r="A1560" s="17"/>
      <c r="B1560" s="36"/>
      <c r="C1560" s="37"/>
    </row>
    <row r="1561" spans="1:7" ht="21.95" customHeight="1" x14ac:dyDescent="0.15">
      <c r="A1561" s="17"/>
      <c r="B1561" s="36"/>
      <c r="C1561" s="37"/>
    </row>
    <row r="1562" spans="1:7" ht="21.95" customHeight="1" x14ac:dyDescent="0.15">
      <c r="A1562" s="17"/>
      <c r="B1562" s="36"/>
      <c r="C1562" s="37"/>
    </row>
    <row r="1563" spans="1:7" ht="21.95" customHeight="1" x14ac:dyDescent="0.15">
      <c r="A1563" s="17"/>
      <c r="B1563" s="36"/>
      <c r="C1563" s="37"/>
    </row>
    <row r="1564" spans="1:7" ht="21.95" customHeight="1" x14ac:dyDescent="0.15">
      <c r="A1564" s="17"/>
      <c r="B1564" s="36"/>
      <c r="C1564" s="37"/>
    </row>
    <row r="1565" spans="1:7" ht="21.95" customHeight="1" x14ac:dyDescent="0.15">
      <c r="A1565" s="17"/>
      <c r="B1565" s="36"/>
      <c r="C1565" s="37"/>
    </row>
    <row r="1566" spans="1:7" ht="21.95" customHeight="1" x14ac:dyDescent="0.15">
      <c r="A1566" s="17"/>
      <c r="B1566" s="36"/>
      <c r="C1566" s="37"/>
    </row>
    <row r="1567" spans="1:7" ht="21.95" customHeight="1" x14ac:dyDescent="0.15">
      <c r="A1567" s="17"/>
      <c r="B1567" s="36"/>
      <c r="C1567" s="37"/>
    </row>
    <row r="1568" spans="1:7" ht="21.95" customHeight="1" x14ac:dyDescent="0.15">
      <c r="A1568" s="17"/>
      <c r="B1568" s="36"/>
      <c r="C1568" s="37"/>
    </row>
    <row r="1569" spans="1:3" ht="21.95" customHeight="1" x14ac:dyDescent="0.15">
      <c r="A1569" s="17"/>
      <c r="B1569" s="36"/>
      <c r="C1569" s="37"/>
    </row>
    <row r="1570" spans="1:3" ht="21.95" customHeight="1" x14ac:dyDescent="0.15">
      <c r="A1570" s="17"/>
      <c r="B1570" s="36"/>
      <c r="C1570" s="37"/>
    </row>
    <row r="1571" spans="1:3" ht="21.95" customHeight="1" x14ac:dyDescent="0.15">
      <c r="A1571" s="17"/>
      <c r="B1571" s="36"/>
      <c r="C1571" s="37"/>
    </row>
    <row r="1572" spans="1:3" ht="21.95" customHeight="1" x14ac:dyDescent="0.15">
      <c r="A1572" s="17"/>
      <c r="B1572" s="36"/>
      <c r="C1572" s="37"/>
    </row>
    <row r="1573" spans="1:3" ht="21.95" customHeight="1" x14ac:dyDescent="0.15">
      <c r="A1573" s="17"/>
      <c r="B1573" s="36"/>
      <c r="C1573" s="37"/>
    </row>
    <row r="1574" spans="1:3" ht="21.95" customHeight="1" x14ac:dyDescent="0.15">
      <c r="A1574" s="17"/>
      <c r="B1574" s="36"/>
      <c r="C1574" s="37"/>
    </row>
    <row r="1575" spans="1:3" ht="21.95" customHeight="1" x14ac:dyDescent="0.15">
      <c r="A1575" s="17"/>
      <c r="B1575" s="36"/>
      <c r="C1575" s="37"/>
    </row>
    <row r="1576" spans="1:3" ht="21.95" customHeight="1" x14ac:dyDescent="0.15">
      <c r="A1576" s="17"/>
      <c r="B1576" s="36"/>
      <c r="C1576" s="37"/>
    </row>
    <row r="1577" spans="1:3" ht="21.95" customHeight="1" x14ac:dyDescent="0.15">
      <c r="A1577" s="17"/>
      <c r="B1577" s="36"/>
      <c r="C1577" s="37"/>
    </row>
    <row r="1578" spans="1:3" ht="21.95" customHeight="1" x14ac:dyDescent="0.15">
      <c r="A1578" s="17"/>
      <c r="B1578" s="36"/>
      <c r="C1578" s="37"/>
    </row>
    <row r="1579" spans="1:3" ht="21.95" customHeight="1" x14ac:dyDescent="0.15">
      <c r="A1579" s="17"/>
      <c r="B1579" s="36"/>
      <c r="C1579" s="37"/>
    </row>
    <row r="1580" spans="1:3" ht="21.95" customHeight="1" x14ac:dyDescent="0.15">
      <c r="A1580" s="17"/>
      <c r="B1580" s="36"/>
      <c r="C1580" s="37"/>
    </row>
    <row r="1581" spans="1:3" ht="21.95" customHeight="1" x14ac:dyDescent="0.15">
      <c r="A1581" s="17"/>
      <c r="B1581" s="36"/>
      <c r="C1581" s="37"/>
    </row>
    <row r="1582" spans="1:3" ht="21.95" customHeight="1" x14ac:dyDescent="0.15">
      <c r="A1582" s="17"/>
      <c r="B1582" s="36"/>
      <c r="C1582" s="37"/>
    </row>
    <row r="1583" spans="1:3" ht="21.95" customHeight="1" x14ac:dyDescent="0.15">
      <c r="A1583" s="17"/>
      <c r="B1583" s="36"/>
      <c r="C1583" s="37"/>
    </row>
    <row r="1584" spans="1:3" ht="21.95" customHeight="1" x14ac:dyDescent="0.15">
      <c r="A1584" s="17"/>
      <c r="B1584" s="36"/>
      <c r="C1584" s="37"/>
    </row>
    <row r="1585" spans="1:7" ht="21.95" customHeight="1" x14ac:dyDescent="0.15">
      <c r="A1585" s="17"/>
      <c r="B1585" s="36"/>
      <c r="C1585" s="37"/>
    </row>
    <row r="1586" spans="1:7" ht="21.95" customHeight="1" x14ac:dyDescent="0.15">
      <c r="A1586" s="17"/>
      <c r="B1586" s="36"/>
      <c r="C1586" s="37"/>
    </row>
    <row r="1587" spans="1:7" ht="21.95" customHeight="1" x14ac:dyDescent="0.15">
      <c r="A1587" s="17"/>
      <c r="B1587" s="36"/>
      <c r="C1587" s="37"/>
    </row>
    <row r="1588" spans="1:7" ht="21.95" customHeight="1" x14ac:dyDescent="0.15">
      <c r="A1588" s="17"/>
      <c r="B1588" s="36"/>
      <c r="C1588" s="37"/>
      <c r="G1588" s="38"/>
    </row>
    <row r="1589" spans="1:7" ht="21.95" customHeight="1" x14ac:dyDescent="0.15">
      <c r="A1589" s="17"/>
      <c r="B1589" s="36"/>
      <c r="C1589" s="37"/>
    </row>
    <row r="1590" spans="1:7" ht="35.1" customHeight="1" x14ac:dyDescent="0.15">
      <c r="A1590" s="17"/>
      <c r="B1590" s="36"/>
      <c r="C1590" s="37"/>
    </row>
    <row r="1591" spans="1:7" ht="21.95" customHeight="1" x14ac:dyDescent="0.15">
      <c r="A1591" s="17"/>
      <c r="B1591" s="36"/>
      <c r="C1591" s="37"/>
    </row>
    <row r="1592" spans="1:7" ht="21.95" customHeight="1" x14ac:dyDescent="0.15">
      <c r="A1592" s="17"/>
      <c r="B1592" s="36"/>
      <c r="C1592" s="37"/>
    </row>
    <row r="1593" spans="1:7" ht="21.95" customHeight="1" x14ac:dyDescent="0.15">
      <c r="A1593" s="17"/>
      <c r="B1593" s="36"/>
      <c r="C1593" s="37"/>
    </row>
    <row r="1594" spans="1:7" ht="21.95" customHeight="1" x14ac:dyDescent="0.15">
      <c r="A1594" s="17"/>
      <c r="B1594" s="36"/>
      <c r="C1594" s="37"/>
    </row>
    <row r="1595" spans="1:7" ht="21.95" customHeight="1" x14ac:dyDescent="0.15">
      <c r="A1595" s="17"/>
      <c r="B1595" s="36"/>
      <c r="C1595" s="37"/>
    </row>
    <row r="1596" spans="1:7" ht="21.95" customHeight="1" x14ac:dyDescent="0.15">
      <c r="A1596" s="17"/>
      <c r="B1596" s="36"/>
      <c r="C1596" s="37"/>
    </row>
    <row r="1597" spans="1:7" ht="21.95" customHeight="1" x14ac:dyDescent="0.15">
      <c r="A1597" s="17"/>
      <c r="B1597" s="36"/>
      <c r="C1597" s="37"/>
    </row>
    <row r="1598" spans="1:7" ht="21.95" customHeight="1" x14ac:dyDescent="0.15">
      <c r="A1598" s="17"/>
      <c r="B1598" s="36"/>
      <c r="C1598" s="37"/>
      <c r="G1598" s="38"/>
    </row>
    <row r="1599" spans="1:7" ht="21.95" customHeight="1" x14ac:dyDescent="0.15">
      <c r="A1599" s="17"/>
      <c r="B1599" s="36"/>
      <c r="C1599" s="37"/>
      <c r="G1599" s="38"/>
    </row>
    <row r="1600" spans="1:7" ht="21.95" customHeight="1" x14ac:dyDescent="0.15">
      <c r="A1600" s="17"/>
      <c r="B1600" s="36"/>
      <c r="C1600" s="37"/>
    </row>
    <row r="1601" spans="1:7" ht="21.95" customHeight="1" x14ac:dyDescent="0.15">
      <c r="A1601" s="17"/>
      <c r="B1601" s="36"/>
      <c r="C1601" s="37"/>
    </row>
    <row r="1602" spans="1:7" ht="21.95" customHeight="1" x14ac:dyDescent="0.15">
      <c r="A1602" s="17"/>
      <c r="B1602" s="36"/>
      <c r="C1602" s="37"/>
    </row>
    <row r="1603" spans="1:7" ht="21.95" customHeight="1" x14ac:dyDescent="0.15">
      <c r="A1603" s="17"/>
      <c r="B1603" s="36"/>
      <c r="C1603" s="37"/>
      <c r="G1603" s="38"/>
    </row>
    <row r="1604" spans="1:7" ht="21.95" customHeight="1" x14ac:dyDescent="0.15">
      <c r="A1604" s="17"/>
      <c r="B1604" s="36"/>
      <c r="C1604" s="37"/>
    </row>
    <row r="1605" spans="1:7" ht="21.95" customHeight="1" x14ac:dyDescent="0.15">
      <c r="A1605" s="17"/>
      <c r="B1605" s="36"/>
      <c r="C1605" s="37"/>
    </row>
    <row r="1606" spans="1:7" ht="21.95" customHeight="1" x14ac:dyDescent="0.15">
      <c r="A1606" s="17"/>
      <c r="B1606" s="36"/>
      <c r="C1606" s="37"/>
    </row>
    <row r="1607" spans="1:7" ht="21.95" customHeight="1" x14ac:dyDescent="0.15">
      <c r="A1607" s="17"/>
      <c r="B1607" s="36"/>
      <c r="C1607" s="37"/>
    </row>
    <row r="1608" spans="1:7" ht="21.95" customHeight="1" x14ac:dyDescent="0.15">
      <c r="A1608" s="17"/>
      <c r="B1608" s="36"/>
      <c r="C1608" s="37"/>
    </row>
    <row r="1609" spans="1:7" ht="21.95" customHeight="1" x14ac:dyDescent="0.15">
      <c r="A1609" s="17"/>
      <c r="C1609" s="37"/>
    </row>
    <row r="1610" spans="1:7" ht="21.95" customHeight="1" x14ac:dyDescent="0.15">
      <c r="A1610" s="17"/>
      <c r="B1610" s="36"/>
      <c r="C1610" s="37"/>
    </row>
    <row r="1611" spans="1:7" ht="21.95" customHeight="1" x14ac:dyDescent="0.15">
      <c r="A1611" s="17"/>
    </row>
    <row r="1612" spans="1:7" ht="21.95" customHeight="1" x14ac:dyDescent="0.15">
      <c r="A1612" s="17"/>
    </row>
    <row r="1613" spans="1:7" ht="21.95" customHeight="1" x14ac:dyDescent="0.15">
      <c r="A1613" s="17"/>
    </row>
    <row r="1614" spans="1:7" s="8" customFormat="1" ht="21.95" customHeight="1" x14ac:dyDescent="0.15">
      <c r="A1614" s="17"/>
      <c r="B1614" s="39"/>
      <c r="C1614" s="40"/>
      <c r="D1614" s="38"/>
      <c r="E1614" s="38"/>
      <c r="F1614" s="38"/>
      <c r="G1614" s="38"/>
    </row>
    <row r="1615" spans="1:7" s="8" customFormat="1" ht="21.95" customHeight="1" x14ac:dyDescent="0.15">
      <c r="A1615" s="17"/>
      <c r="B1615" s="36"/>
      <c r="C1615" s="37"/>
      <c r="D1615" s="15"/>
      <c r="E1615" s="38"/>
      <c r="F1615" s="15"/>
      <c r="G1615" s="38"/>
    </row>
    <row r="1616" spans="1:7" s="8" customFormat="1" ht="21.95" customHeight="1" x14ac:dyDescent="0.15">
      <c r="A1616" s="17"/>
      <c r="B1616" s="36"/>
      <c r="C1616" s="95"/>
      <c r="D1616" s="15"/>
      <c r="E1616" s="38"/>
      <c r="F1616" s="15"/>
      <c r="G1616" s="38"/>
    </row>
    <row r="1617" spans="1:7" s="8" customFormat="1" ht="21.95" customHeight="1" x14ac:dyDescent="0.15">
      <c r="A1617" s="17"/>
      <c r="B1617" s="36"/>
      <c r="C1617" s="95"/>
      <c r="D1617" s="15"/>
      <c r="E1617" s="38"/>
      <c r="F1617" s="38"/>
      <c r="G1617" s="38"/>
    </row>
    <row r="1618" spans="1:7" s="8" customFormat="1" ht="21.95" customHeight="1" x14ac:dyDescent="0.15">
      <c r="A1618" s="17"/>
      <c r="B1618" s="36"/>
      <c r="C1618" s="37"/>
      <c r="D1618" s="15"/>
      <c r="E1618" s="38"/>
      <c r="F1618" s="15"/>
      <c r="G1618" s="38"/>
    </row>
    <row r="1619" spans="1:7" s="8" customFormat="1" ht="21.95" customHeight="1" x14ac:dyDescent="0.15">
      <c r="A1619" s="17"/>
      <c r="B1619" s="36"/>
      <c r="C1619" s="37"/>
      <c r="D1619" s="15"/>
      <c r="E1619" s="38"/>
      <c r="F1619" s="38"/>
      <c r="G1619" s="38"/>
    </row>
    <row r="1620" spans="1:7" s="8" customFormat="1" ht="21.95" customHeight="1" x14ac:dyDescent="0.15">
      <c r="A1620" s="17"/>
      <c r="B1620" s="36"/>
      <c r="C1620" s="37"/>
      <c r="D1620" s="15"/>
      <c r="E1620" s="38"/>
      <c r="F1620" s="15"/>
      <c r="G1620" s="38"/>
    </row>
    <row r="1621" spans="1:7" s="8" customFormat="1" ht="21.95" customHeight="1" x14ac:dyDescent="0.15">
      <c r="A1621" s="17"/>
      <c r="B1621" s="36"/>
      <c r="C1621" s="37"/>
      <c r="D1621" s="15"/>
      <c r="E1621" s="38"/>
      <c r="F1621" s="38"/>
      <c r="G1621" s="38"/>
    </row>
    <row r="1622" spans="1:7" s="8" customFormat="1" ht="21.95" customHeight="1" x14ac:dyDescent="0.15">
      <c r="A1622" s="17"/>
      <c r="B1622" s="36"/>
      <c r="C1622" s="37"/>
      <c r="D1622" s="15"/>
      <c r="E1622" s="38"/>
      <c r="F1622" s="15"/>
      <c r="G1622" s="38"/>
    </row>
    <row r="1623" spans="1:7" s="8" customFormat="1" ht="21.95" customHeight="1" x14ac:dyDescent="0.15">
      <c r="A1623" s="17"/>
      <c r="B1623" s="36"/>
      <c r="C1623" s="37"/>
      <c r="D1623" s="15"/>
      <c r="E1623" s="38"/>
      <c r="F1623" s="38"/>
      <c r="G1623" s="38"/>
    </row>
    <row r="1624" spans="1:7" s="8" customFormat="1" ht="21.95" customHeight="1" x14ac:dyDescent="0.15">
      <c r="A1624" s="17"/>
      <c r="B1624" s="36"/>
      <c r="C1624" s="37"/>
      <c r="D1624" s="15"/>
      <c r="E1624" s="38"/>
      <c r="F1624" s="15"/>
      <c r="G1624" s="38"/>
    </row>
    <row r="1625" spans="1:7" ht="21.95" customHeight="1" x14ac:dyDescent="0.15">
      <c r="A1625" s="17"/>
      <c r="B1625" s="36"/>
      <c r="C1625" s="37"/>
      <c r="E1625" s="38"/>
      <c r="F1625" s="38"/>
      <c r="G1625" s="38"/>
    </row>
    <row r="1626" spans="1:7" ht="21.95" customHeight="1" x14ac:dyDescent="0.15">
      <c r="A1626" s="17"/>
      <c r="B1626" s="36"/>
      <c r="C1626" s="37"/>
      <c r="E1626" s="38"/>
      <c r="G1626" s="38"/>
    </row>
    <row r="1627" spans="1:7" ht="21.95" customHeight="1" x14ac:dyDescent="0.15">
      <c r="A1627" s="17"/>
      <c r="B1627" s="36"/>
      <c r="C1627" s="37"/>
      <c r="E1627" s="38"/>
      <c r="G1627" s="38"/>
    </row>
    <row r="1628" spans="1:7" ht="21.95" customHeight="1" x14ac:dyDescent="0.15">
      <c r="A1628" s="17"/>
      <c r="B1628" s="36"/>
      <c r="C1628" s="37"/>
      <c r="E1628" s="38"/>
      <c r="F1628" s="38"/>
      <c r="G1628" s="38"/>
    </row>
    <row r="1629" spans="1:7" s="8" customFormat="1" ht="21.95" customHeight="1" x14ac:dyDescent="0.15">
      <c r="A1629" s="17"/>
      <c r="B1629" s="36"/>
      <c r="C1629" s="37"/>
      <c r="D1629" s="15"/>
      <c r="E1629" s="38"/>
      <c r="F1629" s="38"/>
      <c r="G1629" s="38"/>
    </row>
    <row r="1630" spans="1:7" s="8" customFormat="1" ht="21.95" customHeight="1" x14ac:dyDescent="0.15">
      <c r="A1630" s="17"/>
      <c r="B1630" s="36"/>
      <c r="C1630" s="37"/>
      <c r="D1630" s="15"/>
      <c r="E1630" s="38"/>
      <c r="F1630" s="38"/>
      <c r="G1630" s="38"/>
    </row>
    <row r="1631" spans="1:7" s="8" customFormat="1" ht="21.95" customHeight="1" x14ac:dyDescent="0.15">
      <c r="A1631" s="17"/>
      <c r="B1631" s="36"/>
      <c r="C1631" s="37"/>
      <c r="D1631" s="15"/>
      <c r="E1631" s="38"/>
      <c r="F1631" s="38"/>
      <c r="G1631" s="38"/>
    </row>
    <row r="1632" spans="1:7" s="8" customFormat="1" ht="21.95" customHeight="1" x14ac:dyDescent="0.15">
      <c r="A1632" s="17"/>
      <c r="B1632" s="36"/>
      <c r="C1632" s="37"/>
      <c r="D1632" s="15"/>
      <c r="E1632" s="38"/>
      <c r="F1632" s="38"/>
      <c r="G1632" s="38"/>
    </row>
    <row r="1633" spans="1:7" s="8" customFormat="1" ht="21.95" customHeight="1" x14ac:dyDescent="0.15">
      <c r="A1633" s="17"/>
      <c r="B1633" s="36"/>
      <c r="C1633" s="37"/>
      <c r="D1633" s="15"/>
      <c r="E1633" s="38"/>
      <c r="F1633" s="38"/>
      <c r="G1633" s="38"/>
    </row>
    <row r="1634" spans="1:7" s="8" customFormat="1" ht="21.95" customHeight="1" x14ac:dyDescent="0.15">
      <c r="A1634" s="17"/>
      <c r="B1634" s="36"/>
      <c r="C1634" s="37"/>
      <c r="D1634" s="15"/>
      <c r="E1634" s="38"/>
      <c r="F1634" s="38"/>
      <c r="G1634" s="38"/>
    </row>
    <row r="1635" spans="1:7" s="8" customFormat="1" ht="21.95" customHeight="1" x14ac:dyDescent="0.15">
      <c r="A1635" s="17"/>
      <c r="B1635" s="36"/>
      <c r="C1635" s="37"/>
      <c r="D1635" s="15"/>
      <c r="E1635" s="38"/>
      <c r="F1635" s="38"/>
      <c r="G1635" s="38"/>
    </row>
    <row r="1636" spans="1:7" s="8" customFormat="1" ht="21.95" customHeight="1" x14ac:dyDescent="0.15">
      <c r="A1636" s="17"/>
      <c r="B1636" s="36"/>
      <c r="C1636" s="37"/>
      <c r="D1636" s="15"/>
      <c r="E1636" s="38"/>
      <c r="F1636" s="38"/>
      <c r="G1636" s="38"/>
    </row>
    <row r="1637" spans="1:7" s="8" customFormat="1" ht="21.95" customHeight="1" x14ac:dyDescent="0.15">
      <c r="A1637" s="17"/>
      <c r="B1637" s="36"/>
      <c r="C1637" s="37"/>
      <c r="D1637" s="15"/>
      <c r="E1637" s="38"/>
      <c r="F1637" s="38"/>
      <c r="G1637" s="38"/>
    </row>
    <row r="1638" spans="1:7" s="8" customFormat="1" ht="21.95" customHeight="1" x14ac:dyDescent="0.15">
      <c r="A1638" s="17"/>
      <c r="B1638" s="36"/>
      <c r="C1638" s="37"/>
      <c r="D1638" s="15"/>
      <c r="E1638" s="38"/>
      <c r="F1638" s="38"/>
      <c r="G1638" s="38"/>
    </row>
    <row r="1639" spans="1:7" s="8" customFormat="1" ht="21.95" customHeight="1" x14ac:dyDescent="0.15">
      <c r="A1639" s="17"/>
      <c r="B1639" s="36"/>
      <c r="C1639" s="37"/>
      <c r="D1639" s="15"/>
      <c r="E1639" s="38"/>
      <c r="F1639" s="38"/>
      <c r="G1639" s="38"/>
    </row>
    <row r="1640" spans="1:7" s="8" customFormat="1" ht="32.1" customHeight="1" x14ac:dyDescent="0.15">
      <c r="A1640" s="17"/>
      <c r="B1640" s="36"/>
      <c r="C1640" s="37"/>
      <c r="D1640" s="15"/>
      <c r="E1640" s="38"/>
      <c r="F1640" s="38"/>
      <c r="G1640" s="38"/>
    </row>
    <row r="1641" spans="1:7" s="8" customFormat="1" ht="32.1" customHeight="1" x14ac:dyDescent="0.15">
      <c r="A1641" s="17"/>
      <c r="B1641" s="36"/>
      <c r="C1641" s="37"/>
      <c r="D1641" s="15"/>
      <c r="E1641" s="38"/>
      <c r="F1641" s="38"/>
      <c r="G1641" s="38"/>
    </row>
    <row r="1642" spans="1:7" s="8" customFormat="1" ht="32.1" customHeight="1" x14ac:dyDescent="0.15">
      <c r="A1642" s="17"/>
      <c r="B1642" s="36"/>
      <c r="C1642" s="37"/>
      <c r="D1642" s="15"/>
      <c r="E1642" s="38"/>
      <c r="F1642" s="38"/>
      <c r="G1642" s="38"/>
    </row>
    <row r="1643" spans="1:7" s="8" customFormat="1" ht="32.1" customHeight="1" x14ac:dyDescent="0.15">
      <c r="A1643" s="17"/>
      <c r="B1643" s="36"/>
      <c r="C1643" s="37"/>
      <c r="D1643" s="15"/>
      <c r="E1643" s="38"/>
      <c r="F1643" s="38"/>
      <c r="G1643" s="38"/>
    </row>
    <row r="1644" spans="1:7" s="8" customFormat="1" ht="32.1" customHeight="1" x14ac:dyDescent="0.15">
      <c r="A1644" s="17"/>
      <c r="B1644" s="36"/>
      <c r="C1644" s="37"/>
      <c r="D1644" s="15"/>
      <c r="E1644" s="38"/>
      <c r="F1644" s="38"/>
      <c r="G1644" s="38"/>
    </row>
    <row r="1645" spans="1:7" s="8" customFormat="1" ht="32.1" customHeight="1" x14ac:dyDescent="0.15">
      <c r="A1645" s="17"/>
      <c r="B1645" s="36"/>
      <c r="C1645" s="37"/>
      <c r="D1645" s="15"/>
      <c r="E1645" s="38"/>
      <c r="F1645" s="38"/>
      <c r="G1645" s="38"/>
    </row>
    <row r="1646" spans="1:7" ht="32.1" customHeight="1" x14ac:dyDescent="0.15">
      <c r="A1646" s="17"/>
      <c r="B1646" s="36"/>
      <c r="C1646" s="37"/>
      <c r="E1646" s="38"/>
      <c r="F1646" s="38"/>
      <c r="G1646" s="38"/>
    </row>
    <row r="1647" spans="1:7" ht="32.1" customHeight="1" x14ac:dyDescent="0.15">
      <c r="A1647" s="17"/>
      <c r="B1647" s="36"/>
      <c r="C1647" s="37"/>
      <c r="F1647" s="38"/>
      <c r="G1647" s="38"/>
    </row>
    <row r="1648" spans="1:7" ht="32.1" customHeight="1" x14ac:dyDescent="0.15">
      <c r="A1648" s="17"/>
      <c r="B1648" s="36"/>
      <c r="C1648" s="37"/>
      <c r="F1648" s="38"/>
      <c r="G1648" s="38"/>
    </row>
    <row r="1649" spans="1:7" ht="32.1" customHeight="1" x14ac:dyDescent="0.15">
      <c r="A1649" s="17"/>
      <c r="B1649" s="36"/>
      <c r="C1649" s="37"/>
      <c r="F1649" s="38"/>
      <c r="G1649" s="38"/>
    </row>
    <row r="1650" spans="1:7" ht="21.95" customHeight="1" x14ac:dyDescent="0.15">
      <c r="A1650" s="17"/>
      <c r="B1650" s="36"/>
      <c r="C1650" s="37"/>
      <c r="F1650" s="38"/>
      <c r="G1650" s="38"/>
    </row>
    <row r="1651" spans="1:7" ht="54" customHeight="1" x14ac:dyDescent="0.15">
      <c r="A1651" s="17"/>
      <c r="B1651" s="36"/>
      <c r="C1651" s="37"/>
      <c r="F1651" s="38"/>
      <c r="G1651" s="38"/>
    </row>
    <row r="1652" spans="1:7" ht="21.95" customHeight="1" x14ac:dyDescent="0.15">
      <c r="A1652" s="17"/>
      <c r="B1652" s="36"/>
      <c r="C1652" s="37"/>
      <c r="F1652" s="38"/>
      <c r="G1652" s="38"/>
    </row>
    <row r="1653" spans="1:7" ht="21.95" customHeight="1" x14ac:dyDescent="0.15">
      <c r="A1653" s="17"/>
      <c r="B1653" s="36"/>
      <c r="C1653" s="37"/>
      <c r="F1653" s="38"/>
      <c r="G1653" s="38"/>
    </row>
    <row r="1654" spans="1:7" ht="21.95" customHeight="1" x14ac:dyDescent="0.15">
      <c r="A1654" s="17"/>
      <c r="B1654" s="36"/>
      <c r="C1654" s="37"/>
      <c r="F1654" s="38"/>
      <c r="G1654" s="38"/>
    </row>
    <row r="1655" spans="1:7" ht="21.95" customHeight="1" x14ac:dyDescent="0.15">
      <c r="A1655" s="17"/>
      <c r="B1655" s="36"/>
      <c r="C1655" s="37"/>
      <c r="F1655" s="38"/>
      <c r="G1655" s="38"/>
    </row>
    <row r="1656" spans="1:7" ht="21.95" customHeight="1" x14ac:dyDescent="0.15">
      <c r="A1656" s="17"/>
      <c r="B1656" s="36"/>
      <c r="C1656" s="37"/>
      <c r="F1656" s="38"/>
      <c r="G1656" s="38"/>
    </row>
    <row r="1657" spans="1:7" ht="21.95" customHeight="1" x14ac:dyDescent="0.15">
      <c r="A1657" s="17"/>
      <c r="B1657" s="36"/>
      <c r="C1657" s="37"/>
      <c r="F1657" s="38"/>
      <c r="G1657" s="38"/>
    </row>
    <row r="1658" spans="1:7" ht="21.95" customHeight="1" x14ac:dyDescent="0.15">
      <c r="A1658" s="17"/>
      <c r="B1658" s="36"/>
      <c r="C1658" s="37"/>
      <c r="G1658" s="38"/>
    </row>
    <row r="1659" spans="1:7" ht="21.95" customHeight="1" x14ac:dyDescent="0.15">
      <c r="A1659" s="17"/>
      <c r="B1659" s="36"/>
      <c r="C1659" s="37"/>
      <c r="G1659" s="38"/>
    </row>
    <row r="1660" spans="1:7" ht="21.95" customHeight="1" x14ac:dyDescent="0.15">
      <c r="A1660" s="17"/>
      <c r="B1660" s="36"/>
      <c r="C1660" s="37"/>
      <c r="G1660" s="38"/>
    </row>
    <row r="1661" spans="1:7" ht="21.95" customHeight="1" x14ac:dyDescent="0.15">
      <c r="A1661" s="17"/>
      <c r="B1661" s="36"/>
      <c r="C1661" s="37"/>
      <c r="G1661" s="38"/>
    </row>
    <row r="1662" spans="1:7" ht="21.95" customHeight="1" x14ac:dyDescent="0.15">
      <c r="A1662" s="17"/>
      <c r="B1662" s="36"/>
      <c r="C1662" s="37"/>
      <c r="G1662" s="38"/>
    </row>
    <row r="1663" spans="1:7" ht="21.95" customHeight="1" x14ac:dyDescent="0.15">
      <c r="A1663" s="17"/>
      <c r="B1663" s="36"/>
      <c r="C1663" s="37"/>
      <c r="G1663" s="38"/>
    </row>
    <row r="1664" spans="1:7" ht="21.95" customHeight="1" x14ac:dyDescent="0.15">
      <c r="A1664" s="17"/>
      <c r="B1664" s="36"/>
      <c r="C1664" s="37"/>
      <c r="G1664" s="38"/>
    </row>
    <row r="1665" spans="1:7" ht="21.95" customHeight="1" x14ac:dyDescent="0.15">
      <c r="A1665" s="17"/>
      <c r="B1665" s="36"/>
      <c r="C1665" s="37"/>
      <c r="G1665" s="38"/>
    </row>
    <row r="1666" spans="1:7" ht="21.95" customHeight="1" x14ac:dyDescent="0.15">
      <c r="A1666" s="17"/>
      <c r="B1666" s="36"/>
      <c r="C1666" s="37"/>
      <c r="G1666" s="38"/>
    </row>
    <row r="1667" spans="1:7" ht="21.95" customHeight="1" x14ac:dyDescent="0.15">
      <c r="A1667" s="17"/>
      <c r="B1667" s="36"/>
      <c r="C1667" s="37"/>
      <c r="G1667" s="38"/>
    </row>
    <row r="1668" spans="1:7" ht="21.95" customHeight="1" x14ac:dyDescent="0.15">
      <c r="A1668" s="17"/>
      <c r="B1668" s="36"/>
      <c r="C1668" s="37"/>
      <c r="G1668" s="38"/>
    </row>
    <row r="1669" spans="1:7" ht="21.95" customHeight="1" x14ac:dyDescent="0.15">
      <c r="A1669" s="17"/>
      <c r="B1669" s="36"/>
      <c r="C1669" s="37"/>
    </row>
    <row r="1670" spans="1:7" ht="21.95" customHeight="1" x14ac:dyDescent="0.15">
      <c r="A1670" s="17"/>
      <c r="B1670" s="36"/>
      <c r="C1670" s="37"/>
    </row>
    <row r="1671" spans="1:7" ht="21.95" customHeight="1" x14ac:dyDescent="0.15">
      <c r="A1671" s="17"/>
      <c r="B1671" s="36"/>
      <c r="C1671" s="37"/>
    </row>
    <row r="1672" spans="1:7" ht="21.95" customHeight="1" x14ac:dyDescent="0.15">
      <c r="A1672" s="17"/>
      <c r="B1672" s="36"/>
      <c r="C1672" s="37"/>
    </row>
    <row r="1673" spans="1:7" ht="21.95" customHeight="1" x14ac:dyDescent="0.15">
      <c r="A1673" s="17"/>
      <c r="B1673" s="36"/>
      <c r="C1673" s="37"/>
    </row>
    <row r="1674" spans="1:7" ht="21.95" customHeight="1" x14ac:dyDescent="0.15">
      <c r="A1674" s="17"/>
      <c r="B1674" s="36"/>
      <c r="C1674" s="37"/>
    </row>
    <row r="1675" spans="1:7" ht="21.95" customHeight="1" x14ac:dyDescent="0.15">
      <c r="A1675" s="17"/>
      <c r="B1675" s="36"/>
      <c r="C1675" s="37"/>
    </row>
    <row r="1676" spans="1:7" ht="21.95" customHeight="1" x14ac:dyDescent="0.15">
      <c r="A1676" s="17"/>
      <c r="B1676" s="36"/>
      <c r="C1676" s="37"/>
    </row>
    <row r="1677" spans="1:7" ht="21.95" customHeight="1" x14ac:dyDescent="0.15">
      <c r="A1677" s="17"/>
      <c r="B1677" s="36"/>
      <c r="C1677" s="37"/>
    </row>
    <row r="1678" spans="1:7" ht="21.95" customHeight="1" x14ac:dyDescent="0.15">
      <c r="A1678" s="17"/>
      <c r="B1678" s="36"/>
      <c r="C1678" s="37"/>
    </row>
    <row r="1679" spans="1:7" ht="21.95" customHeight="1" x14ac:dyDescent="0.15">
      <c r="A1679" s="17"/>
      <c r="B1679" s="36"/>
      <c r="C1679" s="37"/>
    </row>
    <row r="1680" spans="1:7" ht="21.95" customHeight="1" x14ac:dyDescent="0.15">
      <c r="A1680" s="17"/>
      <c r="B1680" s="36"/>
      <c r="C1680" s="37"/>
    </row>
    <row r="1681" spans="1:3" ht="21.95" customHeight="1" x14ac:dyDescent="0.15">
      <c r="A1681" s="17"/>
      <c r="B1681" s="36"/>
      <c r="C1681" s="37"/>
    </row>
    <row r="1682" spans="1:3" ht="21.95" customHeight="1" x14ac:dyDescent="0.15">
      <c r="A1682" s="17"/>
      <c r="B1682" s="36"/>
      <c r="C1682" s="37"/>
    </row>
    <row r="1683" spans="1:3" ht="21.95" customHeight="1" x14ac:dyDescent="0.15">
      <c r="A1683" s="17"/>
      <c r="B1683" s="36"/>
      <c r="C1683" s="37"/>
    </row>
    <row r="1684" spans="1:3" ht="21.95" customHeight="1" x14ac:dyDescent="0.15">
      <c r="A1684" s="17"/>
      <c r="B1684" s="36"/>
      <c r="C1684" s="37"/>
    </row>
    <row r="1685" spans="1:3" ht="21.95" customHeight="1" x14ac:dyDescent="0.15">
      <c r="A1685" s="17"/>
      <c r="B1685" s="36"/>
      <c r="C1685" s="37"/>
    </row>
    <row r="1686" spans="1:3" ht="21.95" customHeight="1" x14ac:dyDescent="0.15">
      <c r="A1686" s="17"/>
      <c r="B1686" s="36"/>
      <c r="C1686" s="37"/>
    </row>
    <row r="1687" spans="1:3" ht="21.95" customHeight="1" x14ac:dyDescent="0.15">
      <c r="A1687" s="17"/>
      <c r="B1687" s="36"/>
      <c r="C1687" s="37"/>
    </row>
    <row r="1688" spans="1:3" ht="21.95" customHeight="1" x14ac:dyDescent="0.15">
      <c r="A1688" s="17"/>
      <c r="B1688" s="36"/>
      <c r="C1688" s="37"/>
    </row>
    <row r="1689" spans="1:3" ht="21.95" customHeight="1" x14ac:dyDescent="0.15">
      <c r="A1689" s="17"/>
      <c r="B1689" s="36"/>
      <c r="C1689" s="37"/>
    </row>
    <row r="1690" spans="1:3" ht="21.95" customHeight="1" x14ac:dyDescent="0.15">
      <c r="A1690" s="17"/>
      <c r="B1690" s="36"/>
      <c r="C1690" s="37"/>
    </row>
    <row r="1691" spans="1:3" ht="21.95" customHeight="1" x14ac:dyDescent="0.15">
      <c r="A1691" s="17"/>
      <c r="B1691" s="36"/>
      <c r="C1691" s="37"/>
    </row>
    <row r="1692" spans="1:3" ht="21.95" customHeight="1" x14ac:dyDescent="0.15">
      <c r="A1692" s="17"/>
      <c r="B1692" s="36"/>
      <c r="C1692" s="37"/>
    </row>
    <row r="1693" spans="1:3" ht="21.95" customHeight="1" x14ac:dyDescent="0.15">
      <c r="A1693" s="17"/>
      <c r="B1693" s="36"/>
      <c r="C1693" s="37"/>
    </row>
    <row r="1694" spans="1:3" ht="21.95" customHeight="1" x14ac:dyDescent="0.15">
      <c r="A1694" s="17"/>
      <c r="B1694" s="36"/>
      <c r="C1694" s="37"/>
    </row>
    <row r="1695" spans="1:3" ht="21.95" customHeight="1" x14ac:dyDescent="0.15">
      <c r="A1695" s="17"/>
      <c r="B1695" s="36"/>
      <c r="C1695" s="37"/>
    </row>
    <row r="1696" spans="1:3" ht="21.95" customHeight="1" x14ac:dyDescent="0.15">
      <c r="A1696" s="17"/>
      <c r="B1696" s="36"/>
      <c r="C1696" s="37"/>
    </row>
    <row r="1697" spans="1:7" ht="21.95" customHeight="1" x14ac:dyDescent="0.15">
      <c r="A1697" s="17"/>
      <c r="B1697" s="36"/>
      <c r="C1697" s="37"/>
    </row>
    <row r="1698" spans="1:7" ht="21.95" customHeight="1" x14ac:dyDescent="0.15">
      <c r="A1698" s="17"/>
      <c r="B1698" s="36"/>
      <c r="C1698" s="37"/>
    </row>
    <row r="1699" spans="1:7" ht="21.95" customHeight="1" x14ac:dyDescent="0.15">
      <c r="A1699" s="17"/>
      <c r="B1699" s="36"/>
      <c r="C1699" s="37"/>
    </row>
    <row r="1700" spans="1:7" ht="21.95" customHeight="1" x14ac:dyDescent="0.15">
      <c r="A1700" s="17"/>
      <c r="B1700" s="36"/>
      <c r="C1700" s="37"/>
      <c r="G1700" s="38"/>
    </row>
    <row r="1701" spans="1:7" ht="21.95" customHeight="1" x14ac:dyDescent="0.15">
      <c r="A1701" s="17"/>
      <c r="B1701" s="36"/>
      <c r="C1701" s="37"/>
    </row>
    <row r="1702" spans="1:7" ht="35.1" customHeight="1" x14ac:dyDescent="0.15">
      <c r="A1702" s="17"/>
      <c r="B1702" s="36"/>
      <c r="C1702" s="37"/>
    </row>
    <row r="1703" spans="1:7" ht="21.95" customHeight="1" x14ac:dyDescent="0.15">
      <c r="A1703" s="17"/>
      <c r="B1703" s="36"/>
      <c r="C1703" s="37"/>
    </row>
    <row r="1704" spans="1:7" ht="21.95" customHeight="1" x14ac:dyDescent="0.15">
      <c r="A1704" s="17"/>
      <c r="B1704" s="36"/>
      <c r="C1704" s="37"/>
    </row>
    <row r="1705" spans="1:7" ht="21.95" customHeight="1" x14ac:dyDescent="0.15">
      <c r="A1705" s="17"/>
      <c r="B1705" s="36"/>
      <c r="C1705" s="37"/>
    </row>
    <row r="1706" spans="1:7" ht="21.95" customHeight="1" x14ac:dyDescent="0.15">
      <c r="A1706" s="17"/>
      <c r="B1706" s="36"/>
      <c r="C1706" s="37"/>
    </row>
    <row r="1707" spans="1:7" ht="21.95" customHeight="1" x14ac:dyDescent="0.15">
      <c r="A1707" s="17"/>
      <c r="B1707" s="36"/>
      <c r="C1707" s="37"/>
    </row>
    <row r="1708" spans="1:7" ht="21.95" customHeight="1" x14ac:dyDescent="0.15">
      <c r="A1708" s="17"/>
      <c r="B1708" s="36"/>
      <c r="C1708" s="37"/>
    </row>
    <row r="1709" spans="1:7" ht="21.95" customHeight="1" x14ac:dyDescent="0.15">
      <c r="A1709" s="17"/>
      <c r="B1709" s="36"/>
      <c r="C1709" s="37"/>
    </row>
    <row r="1710" spans="1:7" ht="21.95" customHeight="1" x14ac:dyDescent="0.15">
      <c r="A1710" s="17"/>
      <c r="B1710" s="36"/>
      <c r="C1710" s="37"/>
      <c r="G1710" s="38"/>
    </row>
    <row r="1711" spans="1:7" ht="21.95" customHeight="1" x14ac:dyDescent="0.15">
      <c r="A1711" s="17"/>
      <c r="B1711" s="36"/>
      <c r="C1711" s="37"/>
      <c r="G1711" s="38"/>
    </row>
    <row r="1712" spans="1:7" ht="21.95" customHeight="1" x14ac:dyDescent="0.15">
      <c r="A1712" s="17"/>
      <c r="B1712" s="36"/>
      <c r="C1712" s="37"/>
    </row>
    <row r="1713" spans="1:7" ht="21.95" customHeight="1" x14ac:dyDescent="0.15">
      <c r="A1713" s="17"/>
      <c r="B1713" s="36"/>
      <c r="C1713" s="37"/>
    </row>
    <row r="1714" spans="1:7" ht="21.95" customHeight="1" x14ac:dyDescent="0.15">
      <c r="A1714" s="17"/>
      <c r="B1714" s="36"/>
      <c r="C1714" s="37"/>
    </row>
    <row r="1715" spans="1:7" ht="21.95" customHeight="1" x14ac:dyDescent="0.15">
      <c r="A1715" s="17"/>
      <c r="B1715" s="36"/>
      <c r="C1715" s="37"/>
      <c r="G1715" s="38"/>
    </row>
    <row r="1716" spans="1:7" ht="21.95" customHeight="1" x14ac:dyDescent="0.15">
      <c r="A1716" s="17"/>
      <c r="B1716" s="36"/>
      <c r="C1716" s="37"/>
    </row>
    <row r="1717" spans="1:7" ht="21.95" customHeight="1" x14ac:dyDescent="0.15">
      <c r="A1717" s="17"/>
      <c r="B1717" s="36"/>
      <c r="C1717" s="37"/>
    </row>
    <row r="1718" spans="1:7" ht="21.95" customHeight="1" x14ac:dyDescent="0.15">
      <c r="A1718" s="17"/>
      <c r="B1718" s="36"/>
      <c r="C1718" s="37"/>
    </row>
    <row r="1719" spans="1:7" ht="21.95" customHeight="1" x14ac:dyDescent="0.15">
      <c r="A1719" s="17"/>
      <c r="B1719" s="36"/>
      <c r="C1719" s="37"/>
    </row>
    <row r="1720" spans="1:7" ht="21.95" customHeight="1" x14ac:dyDescent="0.15">
      <c r="A1720" s="17"/>
      <c r="B1720" s="36"/>
      <c r="C1720" s="37"/>
    </row>
    <row r="1721" spans="1:7" ht="21.95" customHeight="1" x14ac:dyDescent="0.15">
      <c r="A1721" s="17"/>
      <c r="C1721" s="37"/>
    </row>
    <row r="1722" spans="1:7" ht="21.95" customHeight="1" x14ac:dyDescent="0.15">
      <c r="A1722" s="17"/>
      <c r="B1722" s="36"/>
      <c r="C1722" s="37"/>
    </row>
    <row r="1723" spans="1:7" ht="21.95" customHeight="1" x14ac:dyDescent="0.15">
      <c r="A1723" s="17"/>
    </row>
    <row r="1724" spans="1:7" ht="21.95" customHeight="1" x14ac:dyDescent="0.15">
      <c r="A1724" s="17"/>
    </row>
    <row r="1725" spans="1:7" ht="21.95" customHeight="1" x14ac:dyDescent="0.15">
      <c r="A1725" s="17"/>
    </row>
    <row r="1726" spans="1:7" s="8" customFormat="1" ht="21.95" customHeight="1" x14ac:dyDescent="0.15">
      <c r="A1726" s="17"/>
      <c r="B1726" s="39"/>
      <c r="C1726" s="40"/>
      <c r="D1726" s="38"/>
      <c r="E1726" s="38"/>
      <c r="F1726" s="38"/>
      <c r="G1726" s="38"/>
    </row>
    <row r="1727" spans="1:7" s="8" customFormat="1" ht="21.95" customHeight="1" x14ac:dyDescent="0.15">
      <c r="A1727" s="17"/>
      <c r="B1727" s="36"/>
      <c r="C1727" s="37"/>
      <c r="D1727" s="15"/>
      <c r="E1727" s="38"/>
      <c r="F1727" s="15"/>
      <c r="G1727" s="38"/>
    </row>
    <row r="1728" spans="1:7" s="8" customFormat="1" ht="21.95" customHeight="1" x14ac:dyDescent="0.15">
      <c r="A1728" s="17"/>
      <c r="B1728" s="36"/>
      <c r="C1728" s="95"/>
      <c r="D1728" s="15"/>
      <c r="E1728" s="38"/>
      <c r="F1728" s="15"/>
      <c r="G1728" s="38"/>
    </row>
    <row r="1729" spans="1:7" s="8" customFormat="1" ht="21.95" customHeight="1" x14ac:dyDescent="0.15">
      <c r="A1729" s="17"/>
      <c r="B1729" s="36"/>
      <c r="C1729" s="95"/>
      <c r="D1729" s="15"/>
      <c r="E1729" s="38"/>
      <c r="F1729" s="38"/>
      <c r="G1729" s="38"/>
    </row>
    <row r="1730" spans="1:7" s="8" customFormat="1" ht="21.95" customHeight="1" x14ac:dyDescent="0.15">
      <c r="A1730" s="17"/>
      <c r="B1730" s="36"/>
      <c r="C1730" s="37"/>
      <c r="D1730" s="15"/>
      <c r="E1730" s="38"/>
      <c r="F1730" s="15"/>
      <c r="G1730" s="38"/>
    </row>
    <row r="1731" spans="1:7" s="8" customFormat="1" ht="21.95" customHeight="1" x14ac:dyDescent="0.15">
      <c r="A1731" s="17"/>
      <c r="B1731" s="36"/>
      <c r="C1731" s="37"/>
      <c r="D1731" s="15"/>
      <c r="E1731" s="38"/>
      <c r="F1731" s="38"/>
      <c r="G1731" s="38"/>
    </row>
    <row r="1732" spans="1:7" s="8" customFormat="1" ht="21.95" customHeight="1" x14ac:dyDescent="0.15">
      <c r="A1732" s="17"/>
      <c r="B1732" s="36"/>
      <c r="C1732" s="37"/>
      <c r="D1732" s="15"/>
      <c r="E1732" s="38"/>
      <c r="F1732" s="15"/>
      <c r="G1732" s="38"/>
    </row>
    <row r="1733" spans="1:7" s="8" customFormat="1" ht="21.95" customHeight="1" x14ac:dyDescent="0.15">
      <c r="A1733" s="17"/>
      <c r="B1733" s="36"/>
      <c r="C1733" s="37"/>
      <c r="D1733" s="15"/>
      <c r="E1733" s="38"/>
      <c r="F1733" s="38"/>
      <c r="G1733" s="38"/>
    </row>
    <row r="1734" spans="1:7" s="8" customFormat="1" ht="21.95" customHeight="1" x14ac:dyDescent="0.15">
      <c r="A1734" s="17"/>
      <c r="B1734" s="36"/>
      <c r="C1734" s="37"/>
      <c r="D1734" s="15"/>
      <c r="E1734" s="38"/>
      <c r="F1734" s="15"/>
      <c r="G1734" s="38"/>
    </row>
    <row r="1735" spans="1:7" s="8" customFormat="1" ht="21.95" customHeight="1" x14ac:dyDescent="0.15">
      <c r="A1735" s="17"/>
      <c r="B1735" s="36"/>
      <c r="C1735" s="37"/>
      <c r="D1735" s="15"/>
      <c r="E1735" s="38"/>
      <c r="F1735" s="38"/>
      <c r="G1735" s="38"/>
    </row>
    <row r="1736" spans="1:7" s="8" customFormat="1" ht="21.95" customHeight="1" x14ac:dyDescent="0.15">
      <c r="A1736" s="17"/>
      <c r="B1736" s="36"/>
      <c r="C1736" s="37"/>
      <c r="D1736" s="15"/>
      <c r="E1736" s="38"/>
      <c r="F1736" s="15"/>
      <c r="G1736" s="38"/>
    </row>
    <row r="1737" spans="1:7" ht="21.95" customHeight="1" x14ac:dyDescent="0.15">
      <c r="A1737" s="17"/>
      <c r="B1737" s="36"/>
      <c r="C1737" s="37"/>
      <c r="E1737" s="38"/>
      <c r="F1737" s="38"/>
      <c r="G1737" s="38"/>
    </row>
    <row r="1738" spans="1:7" ht="21.95" customHeight="1" x14ac:dyDescent="0.15">
      <c r="A1738" s="17"/>
      <c r="B1738" s="36"/>
      <c r="C1738" s="37"/>
      <c r="E1738" s="38"/>
      <c r="G1738" s="38"/>
    </row>
    <row r="1739" spans="1:7" ht="21.95" customHeight="1" x14ac:dyDescent="0.15">
      <c r="A1739" s="17"/>
      <c r="B1739" s="36"/>
      <c r="C1739" s="37"/>
      <c r="E1739" s="38"/>
      <c r="G1739" s="38"/>
    </row>
    <row r="1740" spans="1:7" ht="21.95" customHeight="1" x14ac:dyDescent="0.15">
      <c r="A1740" s="17"/>
      <c r="B1740" s="36"/>
      <c r="C1740" s="37"/>
      <c r="E1740" s="38"/>
      <c r="F1740" s="38"/>
      <c r="G1740" s="38"/>
    </row>
    <row r="1741" spans="1:7" s="8" customFormat="1" ht="21.95" customHeight="1" x14ac:dyDescent="0.15">
      <c r="A1741" s="17"/>
      <c r="B1741" s="36"/>
      <c r="C1741" s="37"/>
      <c r="D1741" s="15"/>
      <c r="E1741" s="38"/>
      <c r="F1741" s="38"/>
      <c r="G1741" s="38"/>
    </row>
    <row r="1742" spans="1:7" s="8" customFormat="1" ht="21.95" customHeight="1" x14ac:dyDescent="0.15">
      <c r="A1742" s="17"/>
      <c r="B1742" s="36"/>
      <c r="C1742" s="37"/>
      <c r="D1742" s="15"/>
      <c r="E1742" s="38"/>
      <c r="F1742" s="38"/>
      <c r="G1742" s="38"/>
    </row>
    <row r="1743" spans="1:7" s="8" customFormat="1" ht="21.95" customHeight="1" x14ac:dyDescent="0.15">
      <c r="A1743" s="17"/>
      <c r="B1743" s="36"/>
      <c r="C1743" s="37"/>
      <c r="D1743" s="15"/>
      <c r="E1743" s="38"/>
      <c r="F1743" s="38"/>
      <c r="G1743" s="38"/>
    </row>
    <row r="1744" spans="1:7" s="8" customFormat="1" ht="21.95" customHeight="1" x14ac:dyDescent="0.15">
      <c r="A1744" s="17"/>
      <c r="B1744" s="36"/>
      <c r="C1744" s="37"/>
      <c r="D1744" s="15"/>
      <c r="E1744" s="38"/>
      <c r="F1744" s="38"/>
      <c r="G1744" s="38"/>
    </row>
    <row r="1745" spans="1:7" s="8" customFormat="1" ht="21.95" customHeight="1" x14ac:dyDescent="0.15">
      <c r="A1745" s="17"/>
      <c r="B1745" s="36"/>
      <c r="C1745" s="37"/>
      <c r="D1745" s="15"/>
      <c r="E1745" s="38"/>
      <c r="F1745" s="38"/>
      <c r="G1745" s="38"/>
    </row>
    <row r="1746" spans="1:7" s="8" customFormat="1" ht="21.95" customHeight="1" x14ac:dyDescent="0.15">
      <c r="A1746" s="17"/>
      <c r="B1746" s="36"/>
      <c r="C1746" s="37"/>
      <c r="D1746" s="15"/>
      <c r="E1746" s="38"/>
      <c r="F1746" s="38"/>
      <c r="G1746" s="38"/>
    </row>
    <row r="1747" spans="1:7" s="8" customFormat="1" ht="21.95" customHeight="1" x14ac:dyDescent="0.15">
      <c r="A1747" s="17"/>
      <c r="B1747" s="36"/>
      <c r="C1747" s="37"/>
      <c r="D1747" s="15"/>
      <c r="E1747" s="38"/>
      <c r="F1747" s="38"/>
      <c r="G1747" s="38"/>
    </row>
    <row r="1748" spans="1:7" s="8" customFormat="1" ht="21.95" customHeight="1" x14ac:dyDescent="0.15">
      <c r="A1748" s="17"/>
      <c r="B1748" s="36"/>
      <c r="C1748" s="37"/>
      <c r="D1748" s="15"/>
      <c r="E1748" s="38"/>
      <c r="F1748" s="38"/>
      <c r="G1748" s="38"/>
    </row>
    <row r="1749" spans="1:7" s="8" customFormat="1" ht="21.95" customHeight="1" x14ac:dyDescent="0.15">
      <c r="A1749" s="17"/>
      <c r="B1749" s="36"/>
      <c r="C1749" s="37"/>
      <c r="D1749" s="15"/>
      <c r="E1749" s="38"/>
      <c r="F1749" s="38"/>
      <c r="G1749" s="38"/>
    </row>
    <row r="1750" spans="1:7" s="8" customFormat="1" ht="21.95" customHeight="1" x14ac:dyDescent="0.15">
      <c r="A1750" s="17"/>
      <c r="B1750" s="36"/>
      <c r="C1750" s="37"/>
      <c r="D1750" s="15"/>
      <c r="E1750" s="38"/>
      <c r="F1750" s="38"/>
      <c r="G1750" s="38"/>
    </row>
    <row r="1751" spans="1:7" s="8" customFormat="1" ht="21.95" customHeight="1" x14ac:dyDescent="0.15">
      <c r="A1751" s="17"/>
      <c r="B1751" s="36"/>
      <c r="C1751" s="37"/>
      <c r="D1751" s="15"/>
      <c r="E1751" s="38"/>
      <c r="F1751" s="38"/>
      <c r="G1751" s="38"/>
    </row>
    <row r="1752" spans="1:7" s="8" customFormat="1" ht="32.1" customHeight="1" x14ac:dyDescent="0.15">
      <c r="A1752" s="17"/>
      <c r="B1752" s="36"/>
      <c r="C1752" s="37"/>
      <c r="D1752" s="15"/>
      <c r="E1752" s="38"/>
      <c r="F1752" s="38"/>
      <c r="G1752" s="38"/>
    </row>
    <row r="1753" spans="1:7" s="8" customFormat="1" ht="32.1" customHeight="1" x14ac:dyDescent="0.15">
      <c r="A1753" s="17"/>
      <c r="B1753" s="36"/>
      <c r="C1753" s="37"/>
      <c r="D1753" s="15"/>
      <c r="E1753" s="38"/>
      <c r="F1753" s="38"/>
      <c r="G1753" s="38"/>
    </row>
    <row r="1754" spans="1:7" s="8" customFormat="1" ht="32.1" customHeight="1" x14ac:dyDescent="0.15">
      <c r="A1754" s="17"/>
      <c r="B1754" s="36"/>
      <c r="C1754" s="37"/>
      <c r="D1754" s="15"/>
      <c r="E1754" s="38"/>
      <c r="F1754" s="38"/>
      <c r="G1754" s="38"/>
    </row>
    <row r="1755" spans="1:7" s="8" customFormat="1" ht="32.1" customHeight="1" x14ac:dyDescent="0.15">
      <c r="A1755" s="17"/>
      <c r="B1755" s="36"/>
      <c r="C1755" s="37"/>
      <c r="D1755" s="15"/>
      <c r="E1755" s="38"/>
      <c r="F1755" s="38"/>
      <c r="G1755" s="38"/>
    </row>
    <row r="1756" spans="1:7" s="8" customFormat="1" ht="32.1" customHeight="1" x14ac:dyDescent="0.15">
      <c r="A1756" s="17"/>
      <c r="B1756" s="36"/>
      <c r="C1756" s="37"/>
      <c r="D1756" s="15"/>
      <c r="E1756" s="38"/>
      <c r="F1756" s="38"/>
      <c r="G1756" s="38"/>
    </row>
    <row r="1757" spans="1:7" s="8" customFormat="1" ht="32.1" customHeight="1" x14ac:dyDescent="0.15">
      <c r="A1757" s="17"/>
      <c r="B1757" s="36"/>
      <c r="C1757" s="37"/>
      <c r="D1757" s="15"/>
      <c r="E1757" s="38"/>
      <c r="F1757" s="38"/>
      <c r="G1757" s="38"/>
    </row>
    <row r="1758" spans="1:7" ht="32.1" customHeight="1" x14ac:dyDescent="0.15">
      <c r="A1758" s="17"/>
      <c r="B1758" s="36"/>
      <c r="C1758" s="37"/>
      <c r="E1758" s="38"/>
      <c r="F1758" s="38"/>
      <c r="G1758" s="38"/>
    </row>
    <row r="1759" spans="1:7" ht="32.1" customHeight="1" x14ac:dyDescent="0.15">
      <c r="A1759" s="17"/>
      <c r="B1759" s="36"/>
      <c r="C1759" s="37"/>
      <c r="F1759" s="38"/>
      <c r="G1759" s="38"/>
    </row>
    <row r="1760" spans="1:7" ht="32.1" customHeight="1" x14ac:dyDescent="0.15">
      <c r="A1760" s="17"/>
      <c r="B1760" s="36"/>
      <c r="C1760" s="37"/>
      <c r="F1760" s="38"/>
      <c r="G1760" s="38"/>
    </row>
    <row r="1761" spans="1:7" ht="32.1" customHeight="1" x14ac:dyDescent="0.15">
      <c r="A1761" s="17"/>
      <c r="B1761" s="36"/>
      <c r="C1761" s="37"/>
      <c r="F1761" s="38"/>
      <c r="G1761" s="38"/>
    </row>
    <row r="1762" spans="1:7" ht="21.95" customHeight="1" x14ac:dyDescent="0.15">
      <c r="A1762" s="17"/>
      <c r="B1762" s="36"/>
      <c r="C1762" s="37"/>
      <c r="F1762" s="38"/>
      <c r="G1762" s="38"/>
    </row>
    <row r="1763" spans="1:7" ht="54" customHeight="1" x14ac:dyDescent="0.15">
      <c r="A1763" s="17"/>
      <c r="B1763" s="36"/>
      <c r="C1763" s="37"/>
      <c r="F1763" s="38"/>
      <c r="G1763" s="38"/>
    </row>
    <row r="1764" spans="1:7" ht="21.95" customHeight="1" x14ac:dyDescent="0.15">
      <c r="A1764" s="17"/>
      <c r="B1764" s="36"/>
      <c r="C1764" s="37"/>
      <c r="F1764" s="38"/>
      <c r="G1764" s="38"/>
    </row>
    <row r="1765" spans="1:7" ht="21.95" customHeight="1" x14ac:dyDescent="0.15">
      <c r="A1765" s="17"/>
      <c r="B1765" s="36"/>
      <c r="C1765" s="37"/>
      <c r="F1765" s="38"/>
      <c r="G1765" s="38"/>
    </row>
    <row r="1766" spans="1:7" ht="21.95" customHeight="1" x14ac:dyDescent="0.15">
      <c r="A1766" s="17"/>
      <c r="B1766" s="36"/>
      <c r="C1766" s="37"/>
      <c r="F1766" s="38"/>
      <c r="G1766" s="38"/>
    </row>
    <row r="1767" spans="1:7" ht="21.95" customHeight="1" x14ac:dyDescent="0.15">
      <c r="A1767" s="17"/>
      <c r="B1767" s="36"/>
      <c r="C1767" s="37"/>
      <c r="F1767" s="38"/>
      <c r="G1767" s="38"/>
    </row>
    <row r="1768" spans="1:7" ht="21.95" customHeight="1" x14ac:dyDescent="0.15">
      <c r="A1768" s="17"/>
      <c r="B1768" s="36"/>
      <c r="C1768" s="37"/>
      <c r="F1768" s="38"/>
      <c r="G1768" s="38"/>
    </row>
    <row r="1769" spans="1:7" ht="21.95" customHeight="1" x14ac:dyDescent="0.15">
      <c r="A1769" s="17"/>
      <c r="B1769" s="36"/>
      <c r="C1769" s="37"/>
      <c r="F1769" s="38"/>
      <c r="G1769" s="38"/>
    </row>
    <row r="1770" spans="1:7" ht="21.95" customHeight="1" x14ac:dyDescent="0.15">
      <c r="A1770" s="17"/>
      <c r="B1770" s="36"/>
      <c r="C1770" s="37"/>
      <c r="G1770" s="38"/>
    </row>
    <row r="1771" spans="1:7" ht="21.95" customHeight="1" x14ac:dyDescent="0.15">
      <c r="A1771" s="17"/>
      <c r="B1771" s="36"/>
      <c r="C1771" s="37"/>
      <c r="G1771" s="38"/>
    </row>
    <row r="1772" spans="1:7" ht="21.95" customHeight="1" x14ac:dyDescent="0.15">
      <c r="A1772" s="17"/>
      <c r="B1772" s="36"/>
      <c r="C1772" s="37"/>
      <c r="G1772" s="38"/>
    </row>
    <row r="1773" spans="1:7" ht="21.95" customHeight="1" x14ac:dyDescent="0.15">
      <c r="A1773" s="17"/>
      <c r="B1773" s="36"/>
      <c r="C1773" s="37"/>
      <c r="G1773" s="38"/>
    </row>
    <row r="1774" spans="1:7" ht="21.95" customHeight="1" x14ac:dyDescent="0.15">
      <c r="A1774" s="17"/>
      <c r="B1774" s="36"/>
      <c r="C1774" s="37"/>
      <c r="G1774" s="38"/>
    </row>
    <row r="1775" spans="1:7" ht="21.95" customHeight="1" x14ac:dyDescent="0.15">
      <c r="A1775" s="17"/>
      <c r="B1775" s="36"/>
      <c r="C1775" s="37"/>
      <c r="G1775" s="38"/>
    </row>
    <row r="1776" spans="1:7" ht="21.95" customHeight="1" x14ac:dyDescent="0.15">
      <c r="A1776" s="17"/>
      <c r="B1776" s="36"/>
      <c r="C1776" s="37"/>
      <c r="G1776" s="38"/>
    </row>
    <row r="1777" spans="1:7" ht="21.95" customHeight="1" x14ac:dyDescent="0.15">
      <c r="A1777" s="17"/>
      <c r="B1777" s="36"/>
      <c r="C1777" s="37"/>
      <c r="G1777" s="38"/>
    </row>
    <row r="1778" spans="1:7" ht="21.95" customHeight="1" x14ac:dyDescent="0.15">
      <c r="A1778" s="17"/>
      <c r="B1778" s="36"/>
      <c r="C1778" s="37"/>
      <c r="G1778" s="38"/>
    </row>
    <row r="1779" spans="1:7" ht="21.95" customHeight="1" x14ac:dyDescent="0.15">
      <c r="A1779" s="17"/>
      <c r="B1779" s="36"/>
      <c r="C1779" s="37"/>
      <c r="G1779" s="38"/>
    </row>
    <row r="1780" spans="1:7" ht="21.95" customHeight="1" x14ac:dyDescent="0.15">
      <c r="A1780" s="17"/>
      <c r="B1780" s="36"/>
      <c r="C1780" s="37"/>
      <c r="G1780" s="38"/>
    </row>
    <row r="1781" spans="1:7" ht="21.95" customHeight="1" x14ac:dyDescent="0.15">
      <c r="A1781" s="17"/>
      <c r="B1781" s="36"/>
      <c r="C1781" s="37"/>
    </row>
    <row r="1782" spans="1:7" ht="21.95" customHeight="1" x14ac:dyDescent="0.15">
      <c r="A1782" s="17"/>
      <c r="B1782" s="36"/>
      <c r="C1782" s="37"/>
    </row>
    <row r="1783" spans="1:7" ht="21.95" customHeight="1" x14ac:dyDescent="0.15">
      <c r="A1783" s="17"/>
      <c r="B1783" s="36"/>
      <c r="C1783" s="37"/>
    </row>
    <row r="1784" spans="1:7" ht="21.95" customHeight="1" x14ac:dyDescent="0.15">
      <c r="A1784" s="17"/>
      <c r="B1784" s="36"/>
      <c r="C1784" s="37"/>
    </row>
    <row r="1785" spans="1:7" ht="21.95" customHeight="1" x14ac:dyDescent="0.15">
      <c r="A1785" s="17"/>
      <c r="B1785" s="36"/>
      <c r="C1785" s="37"/>
    </row>
    <row r="1786" spans="1:7" ht="21.95" customHeight="1" x14ac:dyDescent="0.15">
      <c r="A1786" s="17"/>
      <c r="B1786" s="36"/>
      <c r="C1786" s="37"/>
    </row>
    <row r="1787" spans="1:7" ht="21.95" customHeight="1" x14ac:dyDescent="0.15">
      <c r="A1787" s="17"/>
      <c r="B1787" s="36"/>
      <c r="C1787" s="37"/>
    </row>
    <row r="1788" spans="1:7" ht="21.95" customHeight="1" x14ac:dyDescent="0.15">
      <c r="A1788" s="17"/>
      <c r="B1788" s="36"/>
      <c r="C1788" s="37"/>
    </row>
    <row r="1789" spans="1:7" ht="21.95" customHeight="1" x14ac:dyDescent="0.15">
      <c r="A1789" s="17"/>
      <c r="B1789" s="36"/>
      <c r="C1789" s="37"/>
    </row>
    <row r="1790" spans="1:7" ht="21.95" customHeight="1" x14ac:dyDescent="0.15">
      <c r="A1790" s="17"/>
      <c r="B1790" s="36"/>
      <c r="C1790" s="37"/>
    </row>
    <row r="1791" spans="1:7" ht="21.95" customHeight="1" x14ac:dyDescent="0.15">
      <c r="A1791" s="17"/>
      <c r="B1791" s="36"/>
      <c r="C1791" s="37"/>
    </row>
    <row r="1792" spans="1:7" ht="21.95" customHeight="1" x14ac:dyDescent="0.15">
      <c r="A1792" s="17"/>
      <c r="B1792" s="36"/>
      <c r="C1792" s="37"/>
    </row>
    <row r="1793" spans="1:3" ht="21.95" customHeight="1" x14ac:dyDescent="0.15">
      <c r="A1793" s="17"/>
      <c r="B1793" s="36"/>
      <c r="C1793" s="37"/>
    </row>
    <row r="1794" spans="1:3" ht="21.95" customHeight="1" x14ac:dyDescent="0.15">
      <c r="A1794" s="17"/>
      <c r="B1794" s="36"/>
      <c r="C1794" s="37"/>
    </row>
    <row r="1795" spans="1:3" ht="21.95" customHeight="1" x14ac:dyDescent="0.15">
      <c r="A1795" s="17"/>
      <c r="B1795" s="36"/>
      <c r="C1795" s="37"/>
    </row>
    <row r="1796" spans="1:3" ht="21.95" customHeight="1" x14ac:dyDescent="0.15">
      <c r="A1796" s="17"/>
      <c r="B1796" s="36"/>
      <c r="C1796" s="37"/>
    </row>
    <row r="1797" spans="1:3" ht="21.95" customHeight="1" x14ac:dyDescent="0.15">
      <c r="A1797" s="17"/>
      <c r="B1797" s="36"/>
      <c r="C1797" s="37"/>
    </row>
    <row r="1798" spans="1:3" ht="21.95" customHeight="1" x14ac:dyDescent="0.15">
      <c r="A1798" s="17"/>
      <c r="B1798" s="36"/>
      <c r="C1798" s="37"/>
    </row>
    <row r="1799" spans="1:3" ht="21.95" customHeight="1" x14ac:dyDescent="0.15">
      <c r="A1799" s="17"/>
      <c r="B1799" s="36"/>
      <c r="C1799" s="37"/>
    </row>
    <row r="1800" spans="1:3" ht="21.95" customHeight="1" x14ac:dyDescent="0.15">
      <c r="A1800" s="17"/>
      <c r="B1800" s="36"/>
      <c r="C1800" s="37"/>
    </row>
    <row r="1801" spans="1:3" ht="21.95" customHeight="1" x14ac:dyDescent="0.15">
      <c r="A1801" s="17"/>
      <c r="B1801" s="36"/>
      <c r="C1801" s="37"/>
    </row>
    <row r="1802" spans="1:3" ht="21.95" customHeight="1" x14ac:dyDescent="0.15">
      <c r="A1802" s="17"/>
      <c r="B1802" s="36"/>
      <c r="C1802" s="37"/>
    </row>
    <row r="1803" spans="1:3" ht="21.95" customHeight="1" x14ac:dyDescent="0.15">
      <c r="A1803" s="17"/>
      <c r="B1803" s="36"/>
      <c r="C1803" s="37"/>
    </row>
    <row r="1804" spans="1:3" ht="21.95" customHeight="1" x14ac:dyDescent="0.15">
      <c r="A1804" s="17"/>
      <c r="B1804" s="36"/>
      <c r="C1804" s="37"/>
    </row>
    <row r="1805" spans="1:3" ht="21.95" customHeight="1" x14ac:dyDescent="0.15">
      <c r="A1805" s="17"/>
      <c r="B1805" s="36"/>
      <c r="C1805" s="37"/>
    </row>
    <row r="1806" spans="1:3" ht="21.95" customHeight="1" x14ac:dyDescent="0.15">
      <c r="A1806" s="17"/>
      <c r="B1806" s="36"/>
      <c r="C1806" s="37"/>
    </row>
    <row r="1807" spans="1:3" ht="21.95" customHeight="1" x14ac:dyDescent="0.15">
      <c r="A1807" s="17"/>
      <c r="B1807" s="36"/>
      <c r="C1807" s="37"/>
    </row>
    <row r="1808" spans="1:3" ht="21.95" customHeight="1" x14ac:dyDescent="0.15">
      <c r="A1808" s="17"/>
      <c r="B1808" s="36"/>
      <c r="C1808" s="37"/>
    </row>
    <row r="1809" spans="1:7" ht="21.95" customHeight="1" x14ac:dyDescent="0.15">
      <c r="A1809" s="17"/>
      <c r="B1809" s="36"/>
      <c r="C1809" s="37"/>
    </row>
    <row r="1810" spans="1:7" ht="21.95" customHeight="1" x14ac:dyDescent="0.15">
      <c r="A1810" s="17"/>
      <c r="B1810" s="36"/>
      <c r="C1810" s="37"/>
    </row>
    <row r="1811" spans="1:7" ht="21.95" customHeight="1" x14ac:dyDescent="0.15">
      <c r="A1811" s="17"/>
      <c r="B1811" s="36"/>
      <c r="C1811" s="37"/>
    </row>
    <row r="1812" spans="1:7" ht="21.95" customHeight="1" x14ac:dyDescent="0.15">
      <c r="A1812" s="17"/>
      <c r="B1812" s="36"/>
      <c r="C1812" s="37"/>
      <c r="G1812" s="38"/>
    </row>
    <row r="1813" spans="1:7" ht="21.95" customHeight="1" x14ac:dyDescent="0.15">
      <c r="A1813" s="17"/>
      <c r="B1813" s="36"/>
      <c r="C1813" s="37"/>
    </row>
    <row r="1814" spans="1:7" ht="35.1" customHeight="1" x14ac:dyDescent="0.15">
      <c r="A1814" s="17"/>
      <c r="B1814" s="36"/>
      <c r="C1814" s="37"/>
    </row>
    <row r="1815" spans="1:7" ht="21.95" customHeight="1" x14ac:dyDescent="0.15">
      <c r="A1815" s="17"/>
      <c r="B1815" s="36"/>
      <c r="C1815" s="37"/>
    </row>
    <row r="1816" spans="1:7" ht="21.95" customHeight="1" x14ac:dyDescent="0.15">
      <c r="A1816" s="17"/>
      <c r="B1816" s="36"/>
      <c r="C1816" s="37"/>
    </row>
    <row r="1817" spans="1:7" ht="21.95" customHeight="1" x14ac:dyDescent="0.15">
      <c r="A1817" s="17"/>
      <c r="B1817" s="36"/>
      <c r="C1817" s="37"/>
    </row>
    <row r="1818" spans="1:7" ht="21.95" customHeight="1" x14ac:dyDescent="0.15">
      <c r="A1818" s="17"/>
      <c r="B1818" s="36"/>
      <c r="C1818" s="37"/>
    </row>
    <row r="1819" spans="1:7" ht="21.95" customHeight="1" x14ac:dyDescent="0.15">
      <c r="A1819" s="17"/>
      <c r="B1819" s="36"/>
      <c r="C1819" s="37"/>
    </row>
    <row r="1820" spans="1:7" ht="21.95" customHeight="1" x14ac:dyDescent="0.15">
      <c r="A1820" s="17"/>
      <c r="B1820" s="36"/>
      <c r="C1820" s="37"/>
    </row>
    <row r="1821" spans="1:7" ht="21.95" customHeight="1" x14ac:dyDescent="0.15">
      <c r="A1821" s="17"/>
      <c r="B1821" s="36"/>
      <c r="C1821" s="37"/>
    </row>
    <row r="1822" spans="1:7" ht="21.95" customHeight="1" x14ac:dyDescent="0.15">
      <c r="A1822" s="17"/>
      <c r="B1822" s="36"/>
      <c r="C1822" s="37"/>
      <c r="G1822" s="38"/>
    </row>
    <row r="1823" spans="1:7" ht="21.95" customHeight="1" x14ac:dyDescent="0.15">
      <c r="A1823" s="17"/>
      <c r="B1823" s="36"/>
      <c r="C1823" s="37"/>
      <c r="G1823" s="38"/>
    </row>
    <row r="1824" spans="1:7" ht="21.95" customHeight="1" x14ac:dyDescent="0.15">
      <c r="A1824" s="17"/>
      <c r="B1824" s="36"/>
      <c r="C1824" s="37"/>
    </row>
    <row r="1825" spans="1:7" ht="21.95" customHeight="1" x14ac:dyDescent="0.15">
      <c r="A1825" s="17"/>
      <c r="B1825" s="36"/>
      <c r="C1825" s="37"/>
    </row>
    <row r="1826" spans="1:7" ht="21.95" customHeight="1" x14ac:dyDescent="0.15">
      <c r="A1826" s="17"/>
      <c r="B1826" s="36"/>
      <c r="C1826" s="37"/>
    </row>
    <row r="1827" spans="1:7" ht="21.95" customHeight="1" x14ac:dyDescent="0.15">
      <c r="A1827" s="17"/>
      <c r="B1827" s="36"/>
      <c r="C1827" s="37"/>
      <c r="G1827" s="38"/>
    </row>
    <row r="1828" spans="1:7" ht="21.95" customHeight="1" x14ac:dyDescent="0.15">
      <c r="A1828" s="17"/>
      <c r="B1828" s="36"/>
      <c r="C1828" s="37"/>
    </row>
    <row r="1829" spans="1:7" ht="21.95" customHeight="1" x14ac:dyDescent="0.15">
      <c r="A1829" s="17"/>
      <c r="B1829" s="36"/>
      <c r="C1829" s="37"/>
    </row>
    <row r="1830" spans="1:7" ht="21.95" customHeight="1" x14ac:dyDescent="0.15">
      <c r="A1830" s="17"/>
      <c r="B1830" s="36"/>
      <c r="C1830" s="37"/>
    </row>
    <row r="1831" spans="1:7" ht="21.95" customHeight="1" x14ac:dyDescent="0.15">
      <c r="A1831" s="17"/>
      <c r="B1831" s="36"/>
      <c r="C1831" s="37"/>
    </row>
    <row r="1832" spans="1:7" ht="21.95" customHeight="1" x14ac:dyDescent="0.15">
      <c r="A1832" s="17"/>
      <c r="B1832" s="36"/>
      <c r="C1832" s="37"/>
    </row>
    <row r="1833" spans="1:7" ht="21.95" customHeight="1" x14ac:dyDescent="0.15">
      <c r="A1833" s="17"/>
      <c r="C1833" s="37"/>
    </row>
    <row r="1834" spans="1:7" ht="21.95" customHeight="1" x14ac:dyDescent="0.15">
      <c r="A1834" s="17"/>
      <c r="B1834" s="36"/>
      <c r="C1834" s="37"/>
    </row>
    <row r="1835" spans="1:7" ht="21.95" customHeight="1" x14ac:dyDescent="0.15">
      <c r="A1835" s="17"/>
    </row>
    <row r="1836" spans="1:7" ht="21.95" customHeight="1" x14ac:dyDescent="0.15">
      <c r="A1836" s="17"/>
    </row>
    <row r="1837" spans="1:7" ht="21.95" customHeight="1" x14ac:dyDescent="0.15">
      <c r="A1837" s="17"/>
    </row>
    <row r="1838" spans="1:7" s="8" customFormat="1" ht="21.95" customHeight="1" x14ac:dyDescent="0.15">
      <c r="A1838" s="17"/>
      <c r="B1838" s="39"/>
      <c r="C1838" s="40"/>
      <c r="D1838" s="38"/>
      <c r="E1838" s="38"/>
      <c r="F1838" s="38"/>
      <c r="G1838" s="38"/>
    </row>
    <row r="1839" spans="1:7" s="8" customFormat="1" ht="21.95" customHeight="1" x14ac:dyDescent="0.15">
      <c r="A1839" s="17"/>
      <c r="B1839" s="36"/>
      <c r="C1839" s="37"/>
      <c r="D1839" s="15"/>
      <c r="E1839" s="38"/>
      <c r="F1839" s="15"/>
      <c r="G1839" s="38"/>
    </row>
    <row r="1840" spans="1:7" s="8" customFormat="1" ht="21.95" customHeight="1" x14ac:dyDescent="0.15">
      <c r="A1840" s="17"/>
      <c r="B1840" s="36"/>
      <c r="C1840" s="95"/>
      <c r="D1840" s="15"/>
      <c r="E1840" s="38"/>
      <c r="F1840" s="15"/>
      <c r="G1840" s="38"/>
    </row>
    <row r="1841" spans="1:7" s="8" customFormat="1" ht="21.95" customHeight="1" x14ac:dyDescent="0.15">
      <c r="A1841" s="17"/>
      <c r="B1841" s="36"/>
      <c r="C1841" s="95"/>
      <c r="D1841" s="15"/>
      <c r="E1841" s="38"/>
      <c r="F1841" s="38"/>
      <c r="G1841" s="38"/>
    </row>
    <row r="1842" spans="1:7" s="8" customFormat="1" ht="21.95" customHeight="1" x14ac:dyDescent="0.15">
      <c r="A1842" s="17"/>
      <c r="B1842" s="36"/>
      <c r="C1842" s="37"/>
      <c r="D1842" s="15"/>
      <c r="E1842" s="38"/>
      <c r="F1842" s="15"/>
      <c r="G1842" s="38"/>
    </row>
    <row r="1843" spans="1:7" s="8" customFormat="1" ht="21.95" customHeight="1" x14ac:dyDescent="0.15">
      <c r="A1843" s="17"/>
      <c r="B1843" s="36"/>
      <c r="C1843" s="37"/>
      <c r="D1843" s="15"/>
      <c r="E1843" s="38"/>
      <c r="F1843" s="38"/>
      <c r="G1843" s="38"/>
    </row>
    <row r="1844" spans="1:7" s="8" customFormat="1" ht="21.95" customHeight="1" x14ac:dyDescent="0.15">
      <c r="A1844" s="17"/>
      <c r="B1844" s="36"/>
      <c r="C1844" s="37"/>
      <c r="D1844" s="15"/>
      <c r="E1844" s="38"/>
      <c r="F1844" s="15"/>
      <c r="G1844" s="38"/>
    </row>
    <row r="1845" spans="1:7" s="8" customFormat="1" ht="21.95" customHeight="1" x14ac:dyDescent="0.15">
      <c r="A1845" s="17"/>
      <c r="B1845" s="36"/>
      <c r="C1845" s="37"/>
      <c r="D1845" s="15"/>
      <c r="E1845" s="38"/>
      <c r="F1845" s="38"/>
      <c r="G1845" s="38"/>
    </row>
    <row r="1846" spans="1:7" s="8" customFormat="1" ht="21.95" customHeight="1" x14ac:dyDescent="0.15">
      <c r="A1846" s="17"/>
      <c r="B1846" s="36"/>
      <c r="C1846" s="37"/>
      <c r="D1846" s="15"/>
      <c r="E1846" s="38"/>
      <c r="F1846" s="15"/>
      <c r="G1846" s="38"/>
    </row>
    <row r="1847" spans="1:7" s="8" customFormat="1" ht="21.95" customHeight="1" x14ac:dyDescent="0.15">
      <c r="A1847" s="17"/>
      <c r="B1847" s="36"/>
      <c r="C1847" s="37"/>
      <c r="D1847" s="15"/>
      <c r="E1847" s="38"/>
      <c r="F1847" s="38"/>
      <c r="G1847" s="38"/>
    </row>
    <row r="1848" spans="1:7" s="8" customFormat="1" ht="21.95" customHeight="1" x14ac:dyDescent="0.15">
      <c r="A1848" s="17"/>
      <c r="B1848" s="36"/>
      <c r="C1848" s="37"/>
      <c r="D1848" s="15"/>
      <c r="E1848" s="38"/>
      <c r="F1848" s="15"/>
      <c r="G1848" s="38"/>
    </row>
    <row r="1849" spans="1:7" ht="21.95" customHeight="1" x14ac:dyDescent="0.15">
      <c r="A1849" s="17"/>
      <c r="B1849" s="36"/>
      <c r="C1849" s="37"/>
      <c r="E1849" s="38"/>
      <c r="F1849" s="38"/>
      <c r="G1849" s="38"/>
    </row>
    <row r="1850" spans="1:7" ht="21.95" customHeight="1" x14ac:dyDescent="0.15">
      <c r="A1850" s="17"/>
      <c r="B1850" s="36"/>
      <c r="C1850" s="37"/>
      <c r="E1850" s="38"/>
      <c r="G1850" s="38"/>
    </row>
    <row r="1851" spans="1:7" ht="21.95" customHeight="1" x14ac:dyDescent="0.15">
      <c r="A1851" s="17"/>
      <c r="B1851" s="36"/>
      <c r="C1851" s="37"/>
      <c r="E1851" s="38"/>
      <c r="G1851" s="38"/>
    </row>
    <row r="1852" spans="1:7" ht="21.95" customHeight="1" x14ac:dyDescent="0.15">
      <c r="A1852" s="17"/>
      <c r="B1852" s="36"/>
      <c r="C1852" s="37"/>
      <c r="E1852" s="38"/>
      <c r="F1852" s="38"/>
      <c r="G1852" s="38"/>
    </row>
    <row r="1853" spans="1:7" s="8" customFormat="1" ht="21.95" customHeight="1" x14ac:dyDescent="0.15">
      <c r="A1853" s="17"/>
      <c r="B1853" s="36"/>
      <c r="C1853" s="37"/>
      <c r="D1853" s="15"/>
      <c r="E1853" s="38"/>
      <c r="F1853" s="38"/>
      <c r="G1853" s="38"/>
    </row>
    <row r="1854" spans="1:7" s="8" customFormat="1" ht="21.95" customHeight="1" x14ac:dyDescent="0.15">
      <c r="A1854" s="17"/>
      <c r="B1854" s="36"/>
      <c r="C1854" s="37"/>
      <c r="D1854" s="15"/>
      <c r="E1854" s="38"/>
      <c r="F1854" s="38"/>
      <c r="G1854" s="38"/>
    </row>
    <row r="1855" spans="1:7" s="8" customFormat="1" ht="21.95" customHeight="1" x14ac:dyDescent="0.15">
      <c r="A1855" s="17"/>
      <c r="B1855" s="36"/>
      <c r="C1855" s="37"/>
      <c r="D1855" s="15"/>
      <c r="E1855" s="38"/>
      <c r="F1855" s="38"/>
      <c r="G1855" s="38"/>
    </row>
    <row r="1856" spans="1:7" s="8" customFormat="1" ht="21.95" customHeight="1" x14ac:dyDescent="0.15">
      <c r="A1856" s="17"/>
      <c r="B1856" s="36"/>
      <c r="C1856" s="37"/>
      <c r="D1856" s="15"/>
      <c r="E1856" s="38"/>
      <c r="F1856" s="38"/>
      <c r="G1856" s="38"/>
    </row>
    <row r="1857" spans="1:7" s="8" customFormat="1" ht="21.95" customHeight="1" x14ac:dyDescent="0.15">
      <c r="A1857" s="17"/>
      <c r="B1857" s="36"/>
      <c r="C1857" s="37"/>
      <c r="D1857" s="15"/>
      <c r="E1857" s="38"/>
      <c r="F1857" s="38"/>
      <c r="G1857" s="38"/>
    </row>
    <row r="1858" spans="1:7" s="8" customFormat="1" ht="21.95" customHeight="1" x14ac:dyDescent="0.15">
      <c r="A1858" s="17"/>
      <c r="B1858" s="36"/>
      <c r="C1858" s="37"/>
      <c r="D1858" s="15"/>
      <c r="E1858" s="38"/>
      <c r="F1858" s="38"/>
      <c r="G1858" s="38"/>
    </row>
    <row r="1859" spans="1:7" s="8" customFormat="1" ht="21.95" customHeight="1" x14ac:dyDescent="0.15">
      <c r="A1859" s="17"/>
      <c r="B1859" s="36"/>
      <c r="C1859" s="37"/>
      <c r="D1859" s="15"/>
      <c r="E1859" s="38"/>
      <c r="F1859" s="38"/>
      <c r="G1859" s="38"/>
    </row>
    <row r="1860" spans="1:7" s="8" customFormat="1" ht="21.95" customHeight="1" x14ac:dyDescent="0.15">
      <c r="A1860" s="17"/>
      <c r="B1860" s="36"/>
      <c r="C1860" s="37"/>
      <c r="D1860" s="15"/>
      <c r="E1860" s="38"/>
      <c r="F1860" s="38"/>
      <c r="G1860" s="38"/>
    </row>
    <row r="1861" spans="1:7" s="8" customFormat="1" ht="21.95" customHeight="1" x14ac:dyDescent="0.15">
      <c r="A1861" s="17"/>
      <c r="B1861" s="36"/>
      <c r="C1861" s="37"/>
      <c r="D1861" s="15"/>
      <c r="E1861" s="38"/>
      <c r="F1861" s="38"/>
      <c r="G1861" s="38"/>
    </row>
    <row r="1862" spans="1:7" s="8" customFormat="1" ht="21.95" customHeight="1" x14ac:dyDescent="0.15">
      <c r="A1862" s="17"/>
      <c r="B1862" s="36"/>
      <c r="C1862" s="37"/>
      <c r="D1862" s="15"/>
      <c r="E1862" s="38"/>
      <c r="F1862" s="38"/>
      <c r="G1862" s="38"/>
    </row>
    <row r="1863" spans="1:7" s="8" customFormat="1" ht="21.95" customHeight="1" x14ac:dyDescent="0.15">
      <c r="A1863" s="17"/>
      <c r="B1863" s="36"/>
      <c r="C1863" s="37"/>
      <c r="D1863" s="15"/>
      <c r="E1863" s="38"/>
      <c r="F1863" s="38"/>
      <c r="G1863" s="38"/>
    </row>
    <row r="1864" spans="1:7" s="8" customFormat="1" ht="32.1" customHeight="1" x14ac:dyDescent="0.15">
      <c r="A1864" s="17"/>
      <c r="B1864" s="36"/>
      <c r="C1864" s="37"/>
      <c r="D1864" s="15"/>
      <c r="E1864" s="38"/>
      <c r="F1864" s="38"/>
      <c r="G1864" s="38"/>
    </row>
    <row r="1865" spans="1:7" s="8" customFormat="1" ht="32.1" customHeight="1" x14ac:dyDescent="0.15">
      <c r="A1865" s="17"/>
      <c r="B1865" s="36"/>
      <c r="C1865" s="37"/>
      <c r="D1865" s="15"/>
      <c r="E1865" s="38"/>
      <c r="F1865" s="38"/>
      <c r="G1865" s="38"/>
    </row>
    <row r="1866" spans="1:7" s="8" customFormat="1" ht="32.1" customHeight="1" x14ac:dyDescent="0.15">
      <c r="A1866" s="17"/>
      <c r="B1866" s="36"/>
      <c r="C1866" s="37"/>
      <c r="D1866" s="15"/>
      <c r="E1866" s="38"/>
      <c r="F1866" s="38"/>
      <c r="G1866" s="38"/>
    </row>
    <row r="1867" spans="1:7" s="8" customFormat="1" ht="32.1" customHeight="1" x14ac:dyDescent="0.15">
      <c r="A1867" s="17"/>
      <c r="B1867" s="36"/>
      <c r="C1867" s="37"/>
      <c r="D1867" s="15"/>
      <c r="E1867" s="38"/>
      <c r="F1867" s="38"/>
      <c r="G1867" s="38"/>
    </row>
    <row r="1868" spans="1:7" s="8" customFormat="1" ht="32.1" customHeight="1" x14ac:dyDescent="0.15">
      <c r="A1868" s="17"/>
      <c r="B1868" s="36"/>
      <c r="C1868" s="37"/>
      <c r="D1868" s="15"/>
      <c r="E1868" s="38"/>
      <c r="F1868" s="38"/>
      <c r="G1868" s="38"/>
    </row>
    <row r="1869" spans="1:7" s="8" customFormat="1" ht="32.1" customHeight="1" x14ac:dyDescent="0.15">
      <c r="A1869" s="17"/>
      <c r="B1869" s="36"/>
      <c r="C1869" s="37"/>
      <c r="D1869" s="15"/>
      <c r="E1869" s="38"/>
      <c r="F1869" s="38"/>
      <c r="G1869" s="38"/>
    </row>
    <row r="1870" spans="1:7" ht="32.1" customHeight="1" x14ac:dyDescent="0.15">
      <c r="A1870" s="17"/>
      <c r="B1870" s="36"/>
      <c r="C1870" s="37"/>
      <c r="E1870" s="38"/>
      <c r="F1870" s="38"/>
      <c r="G1870" s="38"/>
    </row>
    <row r="1871" spans="1:7" ht="32.1" customHeight="1" x14ac:dyDescent="0.15">
      <c r="A1871" s="17"/>
      <c r="B1871" s="36"/>
      <c r="C1871" s="37"/>
      <c r="F1871" s="38"/>
      <c r="G1871" s="38"/>
    </row>
    <row r="1872" spans="1:7" ht="32.1" customHeight="1" x14ac:dyDescent="0.15">
      <c r="A1872" s="17"/>
      <c r="B1872" s="36"/>
      <c r="C1872" s="37"/>
      <c r="F1872" s="38"/>
      <c r="G1872" s="38"/>
    </row>
    <row r="1873" spans="1:7" ht="32.1" customHeight="1" x14ac:dyDescent="0.15">
      <c r="A1873" s="17"/>
      <c r="B1873" s="36"/>
      <c r="C1873" s="37"/>
      <c r="F1873" s="38"/>
      <c r="G1873" s="38"/>
    </row>
    <row r="1874" spans="1:7" ht="21.95" customHeight="1" x14ac:dyDescent="0.15">
      <c r="A1874" s="17"/>
      <c r="B1874" s="36"/>
      <c r="C1874" s="37"/>
      <c r="F1874" s="38"/>
      <c r="G1874" s="38"/>
    </row>
    <row r="1875" spans="1:7" ht="54" customHeight="1" x14ac:dyDescent="0.15">
      <c r="A1875" s="17"/>
      <c r="B1875" s="36"/>
      <c r="C1875" s="37"/>
      <c r="F1875" s="38"/>
      <c r="G1875" s="38"/>
    </row>
    <row r="1876" spans="1:7" ht="21.95" customHeight="1" x14ac:dyDescent="0.15">
      <c r="A1876" s="17"/>
      <c r="B1876" s="36"/>
      <c r="C1876" s="37"/>
      <c r="F1876" s="38"/>
      <c r="G1876" s="38"/>
    </row>
    <row r="1877" spans="1:7" ht="21.95" customHeight="1" x14ac:dyDescent="0.15">
      <c r="A1877" s="17"/>
      <c r="B1877" s="36"/>
      <c r="C1877" s="37"/>
      <c r="F1877" s="38"/>
      <c r="G1877" s="38"/>
    </row>
    <row r="1878" spans="1:7" ht="21.95" customHeight="1" x14ac:dyDescent="0.15">
      <c r="A1878" s="17"/>
      <c r="B1878" s="36"/>
      <c r="C1878" s="37"/>
      <c r="F1878" s="38"/>
      <c r="G1878" s="38"/>
    </row>
    <row r="1879" spans="1:7" ht="21.95" customHeight="1" x14ac:dyDescent="0.15">
      <c r="A1879" s="17"/>
      <c r="B1879" s="36"/>
      <c r="C1879" s="37"/>
      <c r="F1879" s="38"/>
      <c r="G1879" s="38"/>
    </row>
    <row r="1880" spans="1:7" ht="21.95" customHeight="1" x14ac:dyDescent="0.15">
      <c r="A1880" s="17"/>
      <c r="B1880" s="36"/>
      <c r="C1880" s="37"/>
      <c r="F1880" s="38"/>
      <c r="G1880" s="38"/>
    </row>
    <row r="1881" spans="1:7" ht="21.95" customHeight="1" x14ac:dyDescent="0.15">
      <c r="A1881" s="17"/>
      <c r="B1881" s="36"/>
      <c r="C1881" s="37"/>
      <c r="F1881" s="38"/>
      <c r="G1881" s="38"/>
    </row>
    <row r="1882" spans="1:7" ht="21.95" customHeight="1" x14ac:dyDescent="0.15">
      <c r="A1882" s="17"/>
      <c r="B1882" s="36"/>
      <c r="C1882" s="37"/>
      <c r="G1882" s="38"/>
    </row>
    <row r="1883" spans="1:7" ht="21.95" customHeight="1" x14ac:dyDescent="0.15">
      <c r="A1883" s="17"/>
      <c r="B1883" s="36"/>
      <c r="C1883" s="37"/>
      <c r="G1883" s="38"/>
    </row>
    <row r="1884" spans="1:7" ht="21.95" customHeight="1" x14ac:dyDescent="0.15">
      <c r="A1884" s="17"/>
      <c r="B1884" s="36"/>
      <c r="C1884" s="37"/>
      <c r="G1884" s="38"/>
    </row>
    <row r="1885" spans="1:7" ht="21.95" customHeight="1" x14ac:dyDescent="0.15">
      <c r="A1885" s="17"/>
      <c r="B1885" s="36"/>
      <c r="C1885" s="37"/>
      <c r="G1885" s="38"/>
    </row>
    <row r="1886" spans="1:7" ht="21.95" customHeight="1" x14ac:dyDescent="0.15">
      <c r="A1886" s="17"/>
      <c r="B1886" s="36"/>
      <c r="C1886" s="37"/>
      <c r="G1886" s="38"/>
    </row>
    <row r="1887" spans="1:7" ht="21.95" customHeight="1" x14ac:dyDescent="0.15">
      <c r="A1887" s="17"/>
      <c r="B1887" s="36"/>
      <c r="C1887" s="37"/>
      <c r="G1887" s="38"/>
    </row>
    <row r="1888" spans="1:7" ht="21.95" customHeight="1" x14ac:dyDescent="0.15">
      <c r="A1888" s="17"/>
      <c r="B1888" s="36"/>
      <c r="C1888" s="37"/>
      <c r="G1888" s="38"/>
    </row>
    <row r="1889" spans="1:7" ht="21.95" customHeight="1" x14ac:dyDescent="0.15">
      <c r="A1889" s="17"/>
      <c r="B1889" s="36"/>
      <c r="C1889" s="37"/>
      <c r="G1889" s="38"/>
    </row>
    <row r="1890" spans="1:7" ht="21.95" customHeight="1" x14ac:dyDescent="0.15">
      <c r="A1890" s="17"/>
      <c r="B1890" s="36"/>
      <c r="C1890" s="37"/>
      <c r="G1890" s="38"/>
    </row>
    <row r="1891" spans="1:7" ht="21.95" customHeight="1" x14ac:dyDescent="0.15">
      <c r="A1891" s="17"/>
      <c r="B1891" s="36"/>
      <c r="C1891" s="37"/>
      <c r="G1891" s="38"/>
    </row>
    <row r="1892" spans="1:7" ht="21.95" customHeight="1" x14ac:dyDescent="0.15">
      <c r="A1892" s="17"/>
      <c r="B1892" s="36"/>
      <c r="C1892" s="37"/>
      <c r="G1892" s="38"/>
    </row>
    <row r="1893" spans="1:7" ht="21.95" customHeight="1" x14ac:dyDescent="0.15">
      <c r="A1893" s="17"/>
      <c r="B1893" s="36"/>
      <c r="C1893" s="37"/>
    </row>
    <row r="1894" spans="1:7" ht="21.95" customHeight="1" x14ac:dyDescent="0.15">
      <c r="A1894" s="17"/>
      <c r="B1894" s="36"/>
      <c r="C1894" s="37"/>
    </row>
    <row r="1895" spans="1:7" ht="21.95" customHeight="1" x14ac:dyDescent="0.15">
      <c r="A1895" s="17"/>
      <c r="B1895" s="36"/>
      <c r="C1895" s="37"/>
    </row>
    <row r="1896" spans="1:7" ht="21.95" customHeight="1" x14ac:dyDescent="0.15">
      <c r="A1896" s="17"/>
      <c r="B1896" s="36"/>
      <c r="C1896" s="37"/>
    </row>
    <row r="1897" spans="1:7" ht="21.95" customHeight="1" x14ac:dyDescent="0.15">
      <c r="A1897" s="17"/>
      <c r="B1897" s="36"/>
      <c r="C1897" s="37"/>
    </row>
    <row r="1898" spans="1:7" ht="21.95" customHeight="1" x14ac:dyDescent="0.15">
      <c r="A1898" s="17"/>
      <c r="B1898" s="36"/>
      <c r="C1898" s="37"/>
    </row>
    <row r="1899" spans="1:7" ht="21.95" customHeight="1" x14ac:dyDescent="0.15">
      <c r="A1899" s="17"/>
      <c r="B1899" s="36"/>
      <c r="C1899" s="37"/>
    </row>
    <row r="1900" spans="1:7" ht="21.95" customHeight="1" x14ac:dyDescent="0.15">
      <c r="A1900" s="17"/>
      <c r="B1900" s="36"/>
      <c r="C1900" s="37"/>
    </row>
    <row r="1901" spans="1:7" ht="21.95" customHeight="1" x14ac:dyDescent="0.15">
      <c r="A1901" s="17"/>
      <c r="B1901" s="36"/>
      <c r="C1901" s="37"/>
    </row>
    <row r="1902" spans="1:7" ht="21.95" customHeight="1" x14ac:dyDescent="0.15">
      <c r="A1902" s="17"/>
      <c r="B1902" s="36"/>
      <c r="C1902" s="37"/>
    </row>
    <row r="1903" spans="1:7" ht="21.95" customHeight="1" x14ac:dyDescent="0.15">
      <c r="A1903" s="17"/>
      <c r="B1903" s="36"/>
      <c r="C1903" s="37"/>
    </row>
    <row r="1904" spans="1:7" ht="21.95" customHeight="1" x14ac:dyDescent="0.15">
      <c r="A1904" s="17"/>
      <c r="B1904" s="36"/>
      <c r="C1904" s="37"/>
    </row>
    <row r="1905" spans="1:3" ht="21.95" customHeight="1" x14ac:dyDescent="0.15">
      <c r="A1905" s="17"/>
      <c r="B1905" s="36"/>
      <c r="C1905" s="37"/>
    </row>
    <row r="1906" spans="1:3" ht="21.95" customHeight="1" x14ac:dyDescent="0.15">
      <c r="A1906" s="17"/>
      <c r="B1906" s="36"/>
      <c r="C1906" s="37"/>
    </row>
    <row r="1907" spans="1:3" ht="21.95" customHeight="1" x14ac:dyDescent="0.15">
      <c r="A1907" s="17"/>
      <c r="B1907" s="36"/>
      <c r="C1907" s="37"/>
    </row>
    <row r="1908" spans="1:3" ht="21.95" customHeight="1" x14ac:dyDescent="0.15">
      <c r="A1908" s="17"/>
      <c r="B1908" s="36"/>
      <c r="C1908" s="37"/>
    </row>
    <row r="1909" spans="1:3" ht="21.95" customHeight="1" x14ac:dyDescent="0.15">
      <c r="A1909" s="17"/>
      <c r="B1909" s="36"/>
      <c r="C1909" s="37"/>
    </row>
    <row r="1910" spans="1:3" ht="21.95" customHeight="1" x14ac:dyDescent="0.15">
      <c r="A1910" s="17"/>
      <c r="B1910" s="36"/>
      <c r="C1910" s="37"/>
    </row>
    <row r="1911" spans="1:3" ht="21.95" customHeight="1" x14ac:dyDescent="0.15">
      <c r="A1911" s="17"/>
      <c r="B1911" s="36"/>
      <c r="C1911" s="37"/>
    </row>
    <row r="1912" spans="1:3" ht="21.95" customHeight="1" x14ac:dyDescent="0.15">
      <c r="A1912" s="17"/>
      <c r="B1912" s="36"/>
      <c r="C1912" s="37"/>
    </row>
    <row r="1913" spans="1:3" ht="21.95" customHeight="1" x14ac:dyDescent="0.15">
      <c r="A1913" s="17"/>
      <c r="B1913" s="36"/>
      <c r="C1913" s="37"/>
    </row>
    <row r="1914" spans="1:3" ht="21.95" customHeight="1" x14ac:dyDescent="0.15">
      <c r="A1914" s="17"/>
      <c r="B1914" s="36"/>
      <c r="C1914" s="37"/>
    </row>
    <row r="1915" spans="1:3" ht="21.95" customHeight="1" x14ac:dyDescent="0.15">
      <c r="A1915" s="17"/>
      <c r="B1915" s="36"/>
      <c r="C1915" s="37"/>
    </row>
    <row r="1916" spans="1:3" ht="21.95" customHeight="1" x14ac:dyDescent="0.15">
      <c r="A1916" s="17"/>
      <c r="B1916" s="36"/>
      <c r="C1916" s="37"/>
    </row>
    <row r="1917" spans="1:3" ht="21.95" customHeight="1" x14ac:dyDescent="0.15">
      <c r="A1917" s="17"/>
      <c r="B1917" s="36"/>
      <c r="C1917" s="37"/>
    </row>
    <row r="1918" spans="1:3" ht="21.95" customHeight="1" x14ac:dyDescent="0.15">
      <c r="A1918" s="17"/>
      <c r="B1918" s="36"/>
      <c r="C1918" s="37"/>
    </row>
    <row r="1919" spans="1:3" ht="21.95" customHeight="1" x14ac:dyDescent="0.15">
      <c r="A1919" s="17"/>
      <c r="B1919" s="36"/>
      <c r="C1919" s="37"/>
    </row>
    <row r="1920" spans="1:3" ht="21.95" customHeight="1" x14ac:dyDescent="0.15">
      <c r="A1920" s="17"/>
      <c r="B1920" s="36"/>
      <c r="C1920" s="37"/>
    </row>
    <row r="1921" spans="1:7" ht="21.95" customHeight="1" x14ac:dyDescent="0.15">
      <c r="A1921" s="17"/>
      <c r="B1921" s="36"/>
      <c r="C1921" s="37"/>
    </row>
    <row r="1922" spans="1:7" ht="21.95" customHeight="1" x14ac:dyDescent="0.15">
      <c r="A1922" s="17"/>
      <c r="B1922" s="36"/>
      <c r="C1922" s="37"/>
    </row>
    <row r="1923" spans="1:7" ht="21.95" customHeight="1" x14ac:dyDescent="0.15">
      <c r="A1923" s="17"/>
      <c r="B1923" s="36"/>
      <c r="C1923" s="37"/>
    </row>
    <row r="1924" spans="1:7" ht="21.95" customHeight="1" x14ac:dyDescent="0.15">
      <c r="A1924" s="17"/>
      <c r="B1924" s="36"/>
      <c r="C1924" s="37"/>
      <c r="G1924" s="38"/>
    </row>
    <row r="1925" spans="1:7" ht="21.95" customHeight="1" x14ac:dyDescent="0.15">
      <c r="A1925" s="17"/>
      <c r="B1925" s="36"/>
      <c r="C1925" s="37"/>
    </row>
    <row r="1926" spans="1:7" ht="35.1" customHeight="1" x14ac:dyDescent="0.15">
      <c r="A1926" s="17"/>
      <c r="B1926" s="36"/>
      <c r="C1926" s="37"/>
    </row>
    <row r="1927" spans="1:7" ht="21.95" customHeight="1" x14ac:dyDescent="0.15">
      <c r="A1927" s="17"/>
      <c r="B1927" s="36"/>
      <c r="C1927" s="37"/>
    </row>
    <row r="1928" spans="1:7" ht="21.95" customHeight="1" x14ac:dyDescent="0.15">
      <c r="A1928" s="17"/>
      <c r="B1928" s="36"/>
      <c r="C1928" s="37"/>
    </row>
    <row r="1929" spans="1:7" ht="21.95" customHeight="1" x14ac:dyDescent="0.15">
      <c r="A1929" s="17"/>
      <c r="B1929" s="36"/>
      <c r="C1929" s="37"/>
    </row>
    <row r="1930" spans="1:7" ht="21.95" customHeight="1" x14ac:dyDescent="0.15">
      <c r="A1930" s="17"/>
      <c r="B1930" s="36"/>
      <c r="C1930" s="37"/>
    </row>
    <row r="1931" spans="1:7" ht="21.95" customHeight="1" x14ac:dyDescent="0.15">
      <c r="A1931" s="17"/>
      <c r="B1931" s="36"/>
      <c r="C1931" s="37"/>
    </row>
    <row r="1932" spans="1:7" ht="21.95" customHeight="1" x14ac:dyDescent="0.15">
      <c r="A1932" s="17"/>
      <c r="B1932" s="36"/>
      <c r="C1932" s="37"/>
    </row>
    <row r="1933" spans="1:7" ht="21.95" customHeight="1" x14ac:dyDescent="0.15">
      <c r="A1933" s="17"/>
      <c r="B1933" s="36"/>
      <c r="C1933" s="37"/>
    </row>
    <row r="1934" spans="1:7" ht="21.95" customHeight="1" x14ac:dyDescent="0.15">
      <c r="A1934" s="17"/>
      <c r="B1934" s="36"/>
      <c r="C1934" s="37"/>
      <c r="G1934" s="38"/>
    </row>
    <row r="1935" spans="1:7" ht="21.95" customHeight="1" x14ac:dyDescent="0.15">
      <c r="A1935" s="17"/>
      <c r="B1935" s="36"/>
      <c r="C1935" s="37"/>
      <c r="G1935" s="38"/>
    </row>
    <row r="1936" spans="1:7" ht="21.95" customHeight="1" x14ac:dyDescent="0.15">
      <c r="A1936" s="17"/>
      <c r="B1936" s="36"/>
      <c r="C1936" s="37"/>
    </row>
    <row r="1937" spans="1:7" ht="21.95" customHeight="1" x14ac:dyDescent="0.15">
      <c r="A1937" s="17"/>
      <c r="B1937" s="36"/>
      <c r="C1937" s="37"/>
    </row>
    <row r="1938" spans="1:7" ht="21.95" customHeight="1" x14ac:dyDescent="0.15">
      <c r="A1938" s="17"/>
      <c r="B1938" s="36"/>
      <c r="C1938" s="37"/>
    </row>
    <row r="1939" spans="1:7" ht="21.95" customHeight="1" x14ac:dyDescent="0.15">
      <c r="A1939" s="17"/>
      <c r="B1939" s="36"/>
      <c r="C1939" s="37"/>
      <c r="G1939" s="38"/>
    </row>
    <row r="1940" spans="1:7" ht="21.95" customHeight="1" x14ac:dyDescent="0.15">
      <c r="A1940" s="17"/>
      <c r="B1940" s="36"/>
      <c r="C1940" s="37"/>
    </row>
    <row r="1941" spans="1:7" ht="21.95" customHeight="1" x14ac:dyDescent="0.15">
      <c r="A1941" s="17"/>
      <c r="B1941" s="36"/>
      <c r="C1941" s="37"/>
    </row>
    <row r="1942" spans="1:7" ht="21.95" customHeight="1" x14ac:dyDescent="0.15">
      <c r="A1942" s="17"/>
      <c r="B1942" s="36"/>
      <c r="C1942" s="37"/>
    </row>
    <row r="1943" spans="1:7" ht="21.95" customHeight="1" x14ac:dyDescent="0.15">
      <c r="A1943" s="17"/>
      <c r="B1943" s="36"/>
      <c r="C1943" s="37"/>
    </row>
    <row r="1944" spans="1:7" ht="21.95" customHeight="1" x14ac:dyDescent="0.15">
      <c r="A1944" s="17"/>
      <c r="B1944" s="36"/>
      <c r="C1944" s="37"/>
    </row>
    <row r="1945" spans="1:7" ht="21.95" customHeight="1" x14ac:dyDescent="0.15">
      <c r="A1945" s="17"/>
      <c r="C1945" s="37"/>
    </row>
    <row r="1946" spans="1:7" ht="21.95" customHeight="1" x14ac:dyDescent="0.15">
      <c r="A1946" s="17"/>
      <c r="B1946" s="36"/>
      <c r="C1946" s="37"/>
    </row>
    <row r="1947" spans="1:7" ht="21.95" customHeight="1" x14ac:dyDescent="0.15">
      <c r="A1947" s="17"/>
    </row>
    <row r="1948" spans="1:7" ht="21.95" customHeight="1" x14ac:dyDescent="0.15">
      <c r="A1948" s="17"/>
    </row>
    <row r="1949" spans="1:7" ht="21.95" customHeight="1" x14ac:dyDescent="0.15">
      <c r="A1949" s="17"/>
    </row>
    <row r="1950" spans="1:7" s="8" customFormat="1" ht="21.95" customHeight="1" x14ac:dyDescent="0.15">
      <c r="A1950" s="17"/>
      <c r="B1950" s="39"/>
      <c r="C1950" s="40"/>
      <c r="D1950" s="38"/>
      <c r="E1950" s="38"/>
      <c r="F1950" s="38"/>
      <c r="G1950" s="38"/>
    </row>
    <row r="1951" spans="1:7" s="8" customFormat="1" ht="21.95" customHeight="1" x14ac:dyDescent="0.15">
      <c r="A1951" s="17"/>
      <c r="B1951" s="36"/>
      <c r="C1951" s="37"/>
      <c r="D1951" s="15"/>
      <c r="E1951" s="38"/>
      <c r="F1951" s="15"/>
      <c r="G1951" s="38"/>
    </row>
    <row r="1952" spans="1:7" s="8" customFormat="1" ht="21.95" customHeight="1" x14ac:dyDescent="0.15">
      <c r="A1952" s="17"/>
      <c r="B1952" s="36"/>
      <c r="C1952" s="95"/>
      <c r="D1952" s="15"/>
      <c r="E1952" s="38"/>
      <c r="F1952" s="15"/>
      <c r="G1952" s="38"/>
    </row>
    <row r="1953" spans="1:7" s="8" customFormat="1" ht="21.95" customHeight="1" x14ac:dyDescent="0.15">
      <c r="A1953" s="17"/>
      <c r="B1953" s="36"/>
      <c r="C1953" s="95"/>
      <c r="D1953" s="15"/>
      <c r="E1953" s="38"/>
      <c r="F1953" s="38"/>
      <c r="G1953" s="38"/>
    </row>
    <row r="1954" spans="1:7" s="8" customFormat="1" ht="21.95" customHeight="1" x14ac:dyDescent="0.15">
      <c r="A1954" s="17"/>
      <c r="B1954" s="36"/>
      <c r="C1954" s="37"/>
      <c r="D1954" s="15"/>
      <c r="E1954" s="38"/>
      <c r="F1954" s="15"/>
      <c r="G1954" s="38"/>
    </row>
    <row r="1955" spans="1:7" s="8" customFormat="1" ht="21.95" customHeight="1" x14ac:dyDescent="0.15">
      <c r="A1955" s="17"/>
      <c r="B1955" s="36"/>
      <c r="C1955" s="37"/>
      <c r="D1955" s="15"/>
      <c r="E1955" s="38"/>
      <c r="F1955" s="38"/>
      <c r="G1955" s="38"/>
    </row>
    <row r="1956" spans="1:7" s="8" customFormat="1" ht="21.95" customHeight="1" x14ac:dyDescent="0.15">
      <c r="A1956" s="17"/>
      <c r="B1956" s="36"/>
      <c r="C1956" s="37"/>
      <c r="D1956" s="15"/>
      <c r="E1956" s="38"/>
      <c r="F1956" s="15"/>
      <c r="G1956" s="38"/>
    </row>
    <row r="1957" spans="1:7" s="8" customFormat="1" ht="21.95" customHeight="1" x14ac:dyDescent="0.15">
      <c r="A1957" s="17"/>
      <c r="B1957" s="36"/>
      <c r="C1957" s="37"/>
      <c r="D1957" s="15"/>
      <c r="E1957" s="38"/>
      <c r="F1957" s="38"/>
      <c r="G1957" s="38"/>
    </row>
    <row r="1958" spans="1:7" s="8" customFormat="1" ht="21.95" customHeight="1" x14ac:dyDescent="0.15">
      <c r="A1958" s="17"/>
      <c r="B1958" s="36"/>
      <c r="C1958" s="37"/>
      <c r="D1958" s="15"/>
      <c r="E1958" s="38"/>
      <c r="F1958" s="15"/>
      <c r="G1958" s="38"/>
    </row>
    <row r="1959" spans="1:7" s="8" customFormat="1" ht="21.95" customHeight="1" x14ac:dyDescent="0.15">
      <c r="A1959" s="17"/>
      <c r="B1959" s="36"/>
      <c r="C1959" s="37"/>
      <c r="D1959" s="15"/>
      <c r="E1959" s="38"/>
      <c r="F1959" s="38"/>
      <c r="G1959" s="38"/>
    </row>
    <row r="1960" spans="1:7" s="8" customFormat="1" ht="21.95" customHeight="1" x14ac:dyDescent="0.15">
      <c r="A1960" s="17"/>
      <c r="B1960" s="36"/>
      <c r="C1960" s="37"/>
      <c r="D1960" s="15"/>
      <c r="E1960" s="38"/>
      <c r="F1960" s="15"/>
      <c r="G1960" s="38"/>
    </row>
    <row r="1961" spans="1:7" ht="21.95" customHeight="1" x14ac:dyDescent="0.15">
      <c r="A1961" s="17"/>
      <c r="B1961" s="36"/>
      <c r="C1961" s="37"/>
      <c r="E1961" s="38"/>
      <c r="F1961" s="38"/>
      <c r="G1961" s="38"/>
    </row>
    <row r="1962" spans="1:7" ht="21.95" customHeight="1" x14ac:dyDescent="0.15">
      <c r="A1962" s="17"/>
      <c r="B1962" s="36"/>
      <c r="C1962" s="37"/>
      <c r="E1962" s="38"/>
      <c r="G1962" s="38"/>
    </row>
    <row r="1963" spans="1:7" ht="21.95" customHeight="1" x14ac:dyDescent="0.15">
      <c r="A1963" s="17"/>
      <c r="B1963" s="36"/>
      <c r="C1963" s="37"/>
      <c r="E1963" s="38"/>
      <c r="G1963" s="38"/>
    </row>
    <row r="1964" spans="1:7" ht="21.95" customHeight="1" x14ac:dyDescent="0.15">
      <c r="A1964" s="17"/>
      <c r="B1964" s="36"/>
      <c r="C1964" s="37"/>
      <c r="E1964" s="38"/>
      <c r="F1964" s="38"/>
      <c r="G1964" s="38"/>
    </row>
    <row r="1965" spans="1:7" s="8" customFormat="1" ht="21.95" customHeight="1" x14ac:dyDescent="0.15">
      <c r="A1965" s="17"/>
      <c r="B1965" s="36"/>
      <c r="C1965" s="37"/>
      <c r="D1965" s="15"/>
      <c r="E1965" s="38"/>
      <c r="F1965" s="38"/>
      <c r="G1965" s="38"/>
    </row>
    <row r="1966" spans="1:7" s="8" customFormat="1" ht="21.95" customHeight="1" x14ac:dyDescent="0.15">
      <c r="A1966" s="17"/>
      <c r="B1966" s="36"/>
      <c r="C1966" s="37"/>
      <c r="D1966" s="15"/>
      <c r="E1966" s="38"/>
      <c r="F1966" s="38"/>
      <c r="G1966" s="38"/>
    </row>
    <row r="1967" spans="1:7" s="8" customFormat="1" ht="21.95" customHeight="1" x14ac:dyDescent="0.15">
      <c r="A1967" s="17"/>
      <c r="B1967" s="36"/>
      <c r="C1967" s="37"/>
      <c r="D1967" s="15"/>
      <c r="E1967" s="38"/>
      <c r="F1967" s="38"/>
      <c r="G1967" s="38"/>
    </row>
    <row r="1968" spans="1:7" s="8" customFormat="1" ht="21.95" customHeight="1" x14ac:dyDescent="0.15">
      <c r="A1968" s="17"/>
      <c r="B1968" s="36"/>
      <c r="C1968" s="37"/>
      <c r="D1968" s="15"/>
      <c r="E1968" s="38"/>
      <c r="F1968" s="38"/>
      <c r="G1968" s="38"/>
    </row>
    <row r="1969" spans="1:7" s="8" customFormat="1" ht="21.95" customHeight="1" x14ac:dyDescent="0.15">
      <c r="A1969" s="17"/>
      <c r="B1969" s="36"/>
      <c r="C1969" s="37"/>
      <c r="D1969" s="15"/>
      <c r="E1969" s="38"/>
      <c r="F1969" s="38"/>
      <c r="G1969" s="38"/>
    </row>
    <row r="1970" spans="1:7" s="8" customFormat="1" ht="21.95" customHeight="1" x14ac:dyDescent="0.15">
      <c r="A1970" s="17"/>
      <c r="B1970" s="36"/>
      <c r="C1970" s="37"/>
      <c r="D1970" s="15"/>
      <c r="E1970" s="38"/>
      <c r="F1970" s="38"/>
      <c r="G1970" s="38"/>
    </row>
    <row r="1971" spans="1:7" s="8" customFormat="1" ht="21.95" customHeight="1" x14ac:dyDescent="0.15">
      <c r="A1971" s="17"/>
      <c r="B1971" s="36"/>
      <c r="C1971" s="37"/>
      <c r="D1971" s="15"/>
      <c r="E1971" s="38"/>
      <c r="F1971" s="38"/>
      <c r="G1971" s="38"/>
    </row>
    <row r="1972" spans="1:7" s="8" customFormat="1" ht="21.95" customHeight="1" x14ac:dyDescent="0.15">
      <c r="A1972" s="17"/>
      <c r="B1972" s="36"/>
      <c r="C1972" s="37"/>
      <c r="D1972" s="15"/>
      <c r="E1972" s="38"/>
      <c r="F1972" s="38"/>
      <c r="G1972" s="38"/>
    </row>
    <row r="1973" spans="1:7" s="8" customFormat="1" ht="21.95" customHeight="1" x14ac:dyDescent="0.15">
      <c r="A1973" s="17"/>
      <c r="B1973" s="36"/>
      <c r="C1973" s="37"/>
      <c r="D1973" s="15"/>
      <c r="E1973" s="38"/>
      <c r="F1973" s="38"/>
      <c r="G1973" s="38"/>
    </row>
    <row r="1974" spans="1:7" s="8" customFormat="1" ht="21.95" customHeight="1" x14ac:dyDescent="0.15">
      <c r="A1974" s="17"/>
      <c r="B1974" s="36"/>
      <c r="C1974" s="37"/>
      <c r="D1974" s="15"/>
      <c r="E1974" s="38"/>
      <c r="F1974" s="38"/>
      <c r="G1974" s="38"/>
    </row>
    <row r="1975" spans="1:7" s="8" customFormat="1" ht="21.95" customHeight="1" x14ac:dyDescent="0.15">
      <c r="A1975" s="17"/>
      <c r="B1975" s="36"/>
      <c r="C1975" s="37"/>
      <c r="D1975" s="15"/>
      <c r="E1975" s="38"/>
      <c r="F1975" s="38"/>
      <c r="G1975" s="38"/>
    </row>
    <row r="1976" spans="1:7" s="8" customFormat="1" ht="32.1" customHeight="1" x14ac:dyDescent="0.15">
      <c r="A1976" s="17"/>
      <c r="B1976" s="36"/>
      <c r="C1976" s="37"/>
      <c r="D1976" s="15"/>
      <c r="E1976" s="38"/>
      <c r="F1976" s="38"/>
      <c r="G1976" s="38"/>
    </row>
    <row r="1977" spans="1:7" s="8" customFormat="1" ht="32.1" customHeight="1" x14ac:dyDescent="0.15">
      <c r="A1977" s="17"/>
      <c r="B1977" s="36"/>
      <c r="C1977" s="37"/>
      <c r="D1977" s="15"/>
      <c r="E1977" s="38"/>
      <c r="F1977" s="38"/>
      <c r="G1977" s="38"/>
    </row>
    <row r="1978" spans="1:7" s="8" customFormat="1" ht="32.1" customHeight="1" x14ac:dyDescent="0.15">
      <c r="A1978" s="17"/>
      <c r="B1978" s="36"/>
      <c r="C1978" s="37"/>
      <c r="D1978" s="15"/>
      <c r="E1978" s="38"/>
      <c r="F1978" s="38"/>
      <c r="G1978" s="38"/>
    </row>
    <row r="1979" spans="1:7" s="8" customFormat="1" ht="32.1" customHeight="1" x14ac:dyDescent="0.15">
      <c r="A1979" s="17"/>
      <c r="B1979" s="36"/>
      <c r="C1979" s="37"/>
      <c r="D1979" s="15"/>
      <c r="E1979" s="38"/>
      <c r="F1979" s="38"/>
      <c r="G1979" s="38"/>
    </row>
    <row r="1980" spans="1:7" s="8" customFormat="1" ht="32.1" customHeight="1" x14ac:dyDescent="0.15">
      <c r="A1980" s="17"/>
      <c r="B1980" s="36"/>
      <c r="C1980" s="37"/>
      <c r="D1980" s="15"/>
      <c r="E1980" s="38"/>
      <c r="F1980" s="38"/>
      <c r="G1980" s="38"/>
    </row>
    <row r="1981" spans="1:7" s="8" customFormat="1" ht="32.1" customHeight="1" x14ac:dyDescent="0.15">
      <c r="A1981" s="17"/>
      <c r="B1981" s="36"/>
      <c r="C1981" s="37"/>
      <c r="D1981" s="15"/>
      <c r="E1981" s="38"/>
      <c r="F1981" s="38"/>
      <c r="G1981" s="38"/>
    </row>
    <row r="1982" spans="1:7" ht="32.1" customHeight="1" x14ac:dyDescent="0.15">
      <c r="A1982" s="17"/>
      <c r="B1982" s="36"/>
      <c r="C1982" s="37"/>
      <c r="E1982" s="38"/>
      <c r="F1982" s="38"/>
      <c r="G1982" s="38"/>
    </row>
    <row r="1983" spans="1:7" ht="32.1" customHeight="1" x14ac:dyDescent="0.15">
      <c r="A1983" s="17"/>
      <c r="B1983" s="36"/>
      <c r="C1983" s="37"/>
      <c r="F1983" s="38"/>
      <c r="G1983" s="38"/>
    </row>
    <row r="1984" spans="1:7" ht="32.1" customHeight="1" x14ac:dyDescent="0.15">
      <c r="A1984" s="17"/>
      <c r="B1984" s="36"/>
      <c r="C1984" s="37"/>
      <c r="F1984" s="38"/>
      <c r="G1984" s="38"/>
    </row>
    <row r="1985" spans="1:7" ht="32.1" customHeight="1" x14ac:dyDescent="0.15">
      <c r="A1985" s="17"/>
      <c r="B1985" s="36"/>
      <c r="C1985" s="37"/>
      <c r="F1985" s="38"/>
      <c r="G1985" s="38"/>
    </row>
    <row r="1986" spans="1:7" ht="21.95" customHeight="1" x14ac:dyDescent="0.15">
      <c r="A1986" s="17"/>
      <c r="B1986" s="36"/>
      <c r="C1986" s="37"/>
      <c r="F1986" s="38"/>
      <c r="G1986" s="38"/>
    </row>
    <row r="1987" spans="1:7" ht="54" customHeight="1" x14ac:dyDescent="0.15">
      <c r="A1987" s="17"/>
      <c r="B1987" s="36"/>
      <c r="C1987" s="37"/>
      <c r="F1987" s="38"/>
      <c r="G1987" s="38"/>
    </row>
    <row r="1988" spans="1:7" ht="21.95" customHeight="1" x14ac:dyDescent="0.15">
      <c r="A1988" s="17"/>
      <c r="B1988" s="36"/>
      <c r="C1988" s="37"/>
      <c r="F1988" s="38"/>
      <c r="G1988" s="38"/>
    </row>
    <row r="1989" spans="1:7" ht="21.95" customHeight="1" x14ac:dyDescent="0.15">
      <c r="A1989" s="17"/>
      <c r="B1989" s="36"/>
      <c r="C1989" s="37"/>
      <c r="F1989" s="38"/>
      <c r="G1989" s="38"/>
    </row>
    <row r="1990" spans="1:7" ht="21.95" customHeight="1" x14ac:dyDescent="0.15">
      <c r="A1990" s="17"/>
      <c r="B1990" s="36"/>
      <c r="C1990" s="37"/>
      <c r="F1990" s="38"/>
      <c r="G1990" s="38"/>
    </row>
    <row r="1991" spans="1:7" ht="21.95" customHeight="1" x14ac:dyDescent="0.15">
      <c r="A1991" s="17"/>
      <c r="B1991" s="36"/>
      <c r="C1991" s="37"/>
      <c r="F1991" s="38"/>
      <c r="G1991" s="38"/>
    </row>
    <row r="1992" spans="1:7" ht="21.95" customHeight="1" x14ac:dyDescent="0.15">
      <c r="A1992" s="17"/>
      <c r="B1992" s="36"/>
      <c r="C1992" s="37"/>
      <c r="F1992" s="38"/>
      <c r="G1992" s="38"/>
    </row>
    <row r="1993" spans="1:7" ht="21.95" customHeight="1" x14ac:dyDescent="0.15">
      <c r="A1993" s="17"/>
      <c r="B1993" s="36"/>
      <c r="C1993" s="37"/>
      <c r="F1993" s="38"/>
      <c r="G1993" s="38"/>
    </row>
    <row r="1994" spans="1:7" ht="21.95" customHeight="1" x14ac:dyDescent="0.15">
      <c r="A1994" s="17"/>
      <c r="B1994" s="36"/>
      <c r="C1994" s="37"/>
      <c r="G1994" s="38"/>
    </row>
    <row r="1995" spans="1:7" ht="21.95" customHeight="1" x14ac:dyDescent="0.15">
      <c r="A1995" s="17"/>
      <c r="B1995" s="36"/>
      <c r="C1995" s="37"/>
      <c r="G1995" s="38"/>
    </row>
    <row r="1996" spans="1:7" ht="21.95" customHeight="1" x14ac:dyDescent="0.15">
      <c r="A1996" s="17"/>
      <c r="B1996" s="36"/>
      <c r="C1996" s="37"/>
      <c r="G1996" s="38"/>
    </row>
    <row r="1997" spans="1:7" ht="21.95" customHeight="1" x14ac:dyDescent="0.15">
      <c r="A1997" s="17"/>
      <c r="B1997" s="36"/>
      <c r="C1997" s="37"/>
      <c r="G1997" s="38"/>
    </row>
    <row r="1998" spans="1:7" ht="21.95" customHeight="1" x14ac:dyDescent="0.15">
      <c r="A1998" s="17"/>
      <c r="B1998" s="36"/>
      <c r="C1998" s="37"/>
      <c r="G1998" s="38"/>
    </row>
    <row r="1999" spans="1:7" ht="21.95" customHeight="1" x14ac:dyDescent="0.15">
      <c r="A1999" s="17"/>
      <c r="B1999" s="36"/>
      <c r="C1999" s="37"/>
      <c r="G1999" s="38"/>
    </row>
    <row r="2000" spans="1:7" ht="21.95" customHeight="1" x14ac:dyDescent="0.15">
      <c r="A2000" s="17"/>
      <c r="B2000" s="36"/>
      <c r="C2000" s="37"/>
      <c r="G2000" s="38"/>
    </row>
    <row r="2001" spans="1:7" ht="21.95" customHeight="1" x14ac:dyDescent="0.15">
      <c r="A2001" s="17"/>
      <c r="B2001" s="36"/>
      <c r="C2001" s="37"/>
      <c r="G2001" s="38"/>
    </row>
    <row r="2002" spans="1:7" ht="21.95" customHeight="1" x14ac:dyDescent="0.15">
      <c r="A2002" s="17"/>
      <c r="B2002" s="36"/>
      <c r="C2002" s="37"/>
      <c r="G2002" s="38"/>
    </row>
    <row r="2003" spans="1:7" ht="21.95" customHeight="1" x14ac:dyDescent="0.15">
      <c r="A2003" s="17"/>
      <c r="B2003" s="36"/>
      <c r="C2003" s="37"/>
      <c r="G2003" s="38"/>
    </row>
    <row r="2004" spans="1:7" ht="21.95" customHeight="1" x14ac:dyDescent="0.15">
      <c r="A2004" s="17"/>
      <c r="B2004" s="36"/>
      <c r="C2004" s="37"/>
      <c r="G2004" s="38"/>
    </row>
    <row r="2005" spans="1:7" ht="21.95" customHeight="1" x14ac:dyDescent="0.15">
      <c r="A2005" s="17"/>
      <c r="B2005" s="36"/>
      <c r="C2005" s="37"/>
    </row>
    <row r="2006" spans="1:7" ht="21.95" customHeight="1" x14ac:dyDescent="0.15">
      <c r="A2006" s="17"/>
      <c r="B2006" s="36"/>
      <c r="C2006" s="37"/>
    </row>
    <row r="2007" spans="1:7" ht="21.95" customHeight="1" x14ac:dyDescent="0.15">
      <c r="A2007" s="17"/>
      <c r="B2007" s="36"/>
      <c r="C2007" s="37"/>
    </row>
    <row r="2008" spans="1:7" ht="21.95" customHeight="1" x14ac:dyDescent="0.15">
      <c r="A2008" s="17"/>
      <c r="B2008" s="36"/>
      <c r="C2008" s="37"/>
    </row>
    <row r="2009" spans="1:7" ht="21.95" customHeight="1" x14ac:dyDescent="0.15">
      <c r="A2009" s="17"/>
      <c r="B2009" s="36"/>
      <c r="C2009" s="37"/>
    </row>
    <row r="2010" spans="1:7" ht="21.95" customHeight="1" x14ac:dyDescent="0.15">
      <c r="A2010" s="17"/>
      <c r="B2010" s="36"/>
      <c r="C2010" s="37"/>
    </row>
    <row r="2011" spans="1:7" ht="21.95" customHeight="1" x14ac:dyDescent="0.15">
      <c r="A2011" s="17"/>
      <c r="B2011" s="36"/>
      <c r="C2011" s="37"/>
    </row>
    <row r="2012" spans="1:7" ht="21.95" customHeight="1" x14ac:dyDescent="0.15">
      <c r="A2012" s="17"/>
      <c r="B2012" s="36"/>
      <c r="C2012" s="37"/>
    </row>
    <row r="2013" spans="1:7" ht="21.95" customHeight="1" x14ac:dyDescent="0.15">
      <c r="A2013" s="17"/>
      <c r="B2013" s="36"/>
      <c r="C2013" s="37"/>
    </row>
    <row r="2014" spans="1:7" ht="21.95" customHeight="1" x14ac:dyDescent="0.15">
      <c r="A2014" s="17"/>
      <c r="B2014" s="36"/>
      <c r="C2014" s="37"/>
    </row>
    <row r="2015" spans="1:7" ht="21.95" customHeight="1" x14ac:dyDescent="0.15">
      <c r="A2015" s="17"/>
      <c r="B2015" s="36"/>
      <c r="C2015" s="37"/>
    </row>
    <row r="2016" spans="1:7" ht="21.95" customHeight="1" x14ac:dyDescent="0.15">
      <c r="A2016" s="17"/>
      <c r="B2016" s="36"/>
      <c r="C2016" s="37"/>
    </row>
    <row r="2017" spans="1:3" ht="21.95" customHeight="1" x14ac:dyDescent="0.15">
      <c r="A2017" s="17"/>
      <c r="B2017" s="36"/>
      <c r="C2017" s="37"/>
    </row>
    <row r="2018" spans="1:3" ht="21.95" customHeight="1" x14ac:dyDescent="0.15">
      <c r="A2018" s="17"/>
      <c r="B2018" s="36"/>
      <c r="C2018" s="37"/>
    </row>
    <row r="2019" spans="1:3" ht="21.95" customHeight="1" x14ac:dyDescent="0.15">
      <c r="A2019" s="17"/>
      <c r="B2019" s="36"/>
      <c r="C2019" s="37"/>
    </row>
    <row r="2020" spans="1:3" ht="21.95" customHeight="1" x14ac:dyDescent="0.15">
      <c r="A2020" s="17"/>
      <c r="B2020" s="36"/>
      <c r="C2020" s="37"/>
    </row>
    <row r="2021" spans="1:3" ht="21.95" customHeight="1" x14ac:dyDescent="0.15">
      <c r="A2021" s="17"/>
      <c r="B2021" s="36"/>
      <c r="C2021" s="37"/>
    </row>
    <row r="2022" spans="1:3" ht="21.95" customHeight="1" x14ac:dyDescent="0.15">
      <c r="A2022" s="17"/>
      <c r="B2022" s="36"/>
      <c r="C2022" s="37"/>
    </row>
    <row r="2023" spans="1:3" ht="21.95" customHeight="1" x14ac:dyDescent="0.15">
      <c r="A2023" s="17"/>
      <c r="B2023" s="36"/>
      <c r="C2023" s="37"/>
    </row>
    <row r="2024" spans="1:3" ht="21.95" customHeight="1" x14ac:dyDescent="0.15">
      <c r="A2024" s="17"/>
      <c r="B2024" s="36"/>
      <c r="C2024" s="37"/>
    </row>
    <row r="2025" spans="1:3" ht="21.95" customHeight="1" x14ac:dyDescent="0.15">
      <c r="A2025" s="17"/>
      <c r="B2025" s="36"/>
      <c r="C2025" s="37"/>
    </row>
    <row r="2026" spans="1:3" ht="21.95" customHeight="1" x14ac:dyDescent="0.15">
      <c r="A2026" s="17"/>
      <c r="B2026" s="36"/>
      <c r="C2026" s="37"/>
    </row>
    <row r="2027" spans="1:3" ht="21.95" customHeight="1" x14ac:dyDescent="0.15">
      <c r="A2027" s="17"/>
      <c r="B2027" s="36"/>
      <c r="C2027" s="37"/>
    </row>
    <row r="2028" spans="1:3" ht="21.95" customHeight="1" x14ac:dyDescent="0.15">
      <c r="A2028" s="17"/>
      <c r="B2028" s="36"/>
      <c r="C2028" s="37"/>
    </row>
    <row r="2029" spans="1:3" ht="21.95" customHeight="1" x14ac:dyDescent="0.15">
      <c r="A2029" s="17"/>
      <c r="B2029" s="36"/>
      <c r="C2029" s="37"/>
    </row>
    <row r="2030" spans="1:3" ht="21.95" customHeight="1" x14ac:dyDescent="0.15">
      <c r="A2030" s="17"/>
      <c r="B2030" s="36"/>
      <c r="C2030" s="37"/>
    </row>
    <row r="2031" spans="1:3" ht="21.95" customHeight="1" x14ac:dyDescent="0.15">
      <c r="A2031" s="17"/>
      <c r="B2031" s="36"/>
      <c r="C2031" s="37"/>
    </row>
    <row r="2032" spans="1:3" ht="21.95" customHeight="1" x14ac:dyDescent="0.15">
      <c r="A2032" s="17"/>
      <c r="B2032" s="36"/>
      <c r="C2032" s="37"/>
    </row>
    <row r="2033" spans="1:7" ht="21.95" customHeight="1" x14ac:dyDescent="0.15">
      <c r="A2033" s="17"/>
      <c r="B2033" s="36"/>
      <c r="C2033" s="37"/>
    </row>
    <row r="2034" spans="1:7" ht="21.95" customHeight="1" x14ac:dyDescent="0.15">
      <c r="A2034" s="17"/>
      <c r="B2034" s="36"/>
      <c r="C2034" s="37"/>
    </row>
    <row r="2035" spans="1:7" ht="21.95" customHeight="1" x14ac:dyDescent="0.15">
      <c r="A2035" s="17"/>
      <c r="B2035" s="36"/>
      <c r="C2035" s="37"/>
    </row>
    <row r="2036" spans="1:7" ht="21.95" customHeight="1" x14ac:dyDescent="0.15">
      <c r="A2036" s="17"/>
      <c r="B2036" s="36"/>
      <c r="C2036" s="37"/>
      <c r="G2036" s="38"/>
    </row>
    <row r="2037" spans="1:7" ht="21.95" customHeight="1" x14ac:dyDescent="0.15">
      <c r="A2037" s="17"/>
      <c r="B2037" s="36"/>
      <c r="C2037" s="37"/>
    </row>
    <row r="2038" spans="1:7" ht="35.1" customHeight="1" x14ac:dyDescent="0.15">
      <c r="A2038" s="17"/>
      <c r="B2038" s="36"/>
      <c r="C2038" s="37"/>
    </row>
    <row r="2039" spans="1:7" ht="21.95" customHeight="1" x14ac:dyDescent="0.15">
      <c r="A2039" s="17"/>
      <c r="B2039" s="36"/>
      <c r="C2039" s="37"/>
    </row>
    <row r="2040" spans="1:7" ht="21.95" customHeight="1" x14ac:dyDescent="0.15">
      <c r="A2040" s="17"/>
      <c r="B2040" s="36"/>
      <c r="C2040" s="37"/>
    </row>
    <row r="2041" spans="1:7" ht="21.95" customHeight="1" x14ac:dyDescent="0.15">
      <c r="A2041" s="17"/>
      <c r="B2041" s="36"/>
      <c r="C2041" s="37"/>
    </row>
    <row r="2042" spans="1:7" ht="21.95" customHeight="1" x14ac:dyDescent="0.15">
      <c r="A2042" s="17"/>
      <c r="B2042" s="36"/>
      <c r="C2042" s="37"/>
    </row>
    <row r="2043" spans="1:7" ht="21.95" customHeight="1" x14ac:dyDescent="0.15">
      <c r="A2043" s="17"/>
      <c r="B2043" s="36"/>
      <c r="C2043" s="37"/>
    </row>
    <row r="2044" spans="1:7" ht="21.95" customHeight="1" x14ac:dyDescent="0.15">
      <c r="A2044" s="17"/>
      <c r="B2044" s="36"/>
      <c r="C2044" s="37"/>
    </row>
    <row r="2045" spans="1:7" ht="21.95" customHeight="1" x14ac:dyDescent="0.15">
      <c r="A2045" s="17"/>
      <c r="B2045" s="36"/>
      <c r="C2045" s="37"/>
    </row>
    <row r="2046" spans="1:7" ht="21.95" customHeight="1" x14ac:dyDescent="0.15">
      <c r="A2046" s="17"/>
      <c r="B2046" s="36"/>
      <c r="C2046" s="37"/>
      <c r="G2046" s="38"/>
    </row>
    <row r="2047" spans="1:7" ht="21.95" customHeight="1" x14ac:dyDescent="0.15">
      <c r="A2047" s="17"/>
      <c r="B2047" s="36"/>
      <c r="C2047" s="37"/>
      <c r="G2047" s="38"/>
    </row>
    <row r="2048" spans="1:7" ht="21.95" customHeight="1" x14ac:dyDescent="0.15">
      <c r="A2048" s="17"/>
      <c r="B2048" s="36"/>
      <c r="C2048" s="37"/>
    </row>
    <row r="2049" spans="1:7" ht="21.95" customHeight="1" x14ac:dyDescent="0.15">
      <c r="A2049" s="17"/>
      <c r="B2049" s="36"/>
      <c r="C2049" s="37"/>
    </row>
    <row r="2050" spans="1:7" ht="21.95" customHeight="1" x14ac:dyDescent="0.15">
      <c r="A2050" s="17"/>
      <c r="B2050" s="36"/>
      <c r="C2050" s="37"/>
    </row>
    <row r="2051" spans="1:7" ht="21.95" customHeight="1" x14ac:dyDescent="0.15">
      <c r="A2051" s="17"/>
      <c r="B2051" s="36"/>
      <c r="C2051" s="37"/>
      <c r="G2051" s="38"/>
    </row>
    <row r="2052" spans="1:7" ht="21.95" customHeight="1" x14ac:dyDescent="0.15">
      <c r="A2052" s="17"/>
      <c r="B2052" s="36"/>
      <c r="C2052" s="37"/>
    </row>
    <row r="2053" spans="1:7" ht="21.95" customHeight="1" x14ac:dyDescent="0.15">
      <c r="A2053" s="17"/>
      <c r="B2053" s="36"/>
      <c r="C2053" s="37"/>
    </row>
    <row r="2054" spans="1:7" ht="21.95" customHeight="1" x14ac:dyDescent="0.15">
      <c r="A2054" s="17"/>
      <c r="B2054" s="36"/>
      <c r="C2054" s="37"/>
    </row>
    <row r="2055" spans="1:7" ht="21.95" customHeight="1" x14ac:dyDescent="0.15">
      <c r="A2055" s="17"/>
      <c r="B2055" s="36"/>
      <c r="C2055" s="37"/>
    </row>
    <row r="2056" spans="1:7" ht="21.95" customHeight="1" x14ac:dyDescent="0.15">
      <c r="A2056" s="17"/>
      <c r="B2056" s="36"/>
      <c r="C2056" s="37"/>
    </row>
    <row r="2057" spans="1:7" ht="21.95" customHeight="1" x14ac:dyDescent="0.15">
      <c r="A2057" s="17"/>
      <c r="C2057" s="37"/>
    </row>
    <row r="2058" spans="1:7" ht="21.95" customHeight="1" x14ac:dyDescent="0.15">
      <c r="A2058" s="17"/>
      <c r="B2058" s="36"/>
      <c r="C2058" s="37"/>
    </row>
    <row r="2059" spans="1:7" ht="21.95" customHeight="1" x14ac:dyDescent="0.15">
      <c r="A2059" s="17"/>
    </row>
    <row r="2060" spans="1:7" ht="21.95" customHeight="1" x14ac:dyDescent="0.15">
      <c r="A2060" s="17"/>
    </row>
    <row r="2061" spans="1:7" ht="21.95" customHeight="1" x14ac:dyDescent="0.15">
      <c r="A2061" s="17"/>
    </row>
    <row r="2062" spans="1:7" s="8" customFormat="1" ht="21.95" customHeight="1" x14ac:dyDescent="0.15">
      <c r="A2062" s="17"/>
      <c r="B2062" s="39"/>
      <c r="C2062" s="40"/>
      <c r="D2062" s="38"/>
      <c r="E2062" s="38"/>
      <c r="F2062" s="38"/>
      <c r="G2062" s="38"/>
    </row>
    <row r="2063" spans="1:7" s="8" customFormat="1" ht="21.95" customHeight="1" x14ac:dyDescent="0.15">
      <c r="A2063" s="17"/>
      <c r="B2063" s="36"/>
      <c r="C2063" s="37"/>
      <c r="D2063" s="15"/>
      <c r="E2063" s="38"/>
      <c r="F2063" s="15"/>
      <c r="G2063" s="38"/>
    </row>
    <row r="2064" spans="1:7" s="8" customFormat="1" ht="21.95" customHeight="1" x14ac:dyDescent="0.15">
      <c r="A2064" s="17"/>
      <c r="B2064" s="36"/>
      <c r="C2064" s="95"/>
      <c r="D2064" s="15"/>
      <c r="E2064" s="38"/>
      <c r="F2064" s="15"/>
      <c r="G2064" s="38"/>
    </row>
    <row r="2065" spans="1:7" s="8" customFormat="1" ht="21.95" customHeight="1" x14ac:dyDescent="0.15">
      <c r="A2065" s="17"/>
      <c r="B2065" s="36"/>
      <c r="C2065" s="95"/>
      <c r="D2065" s="15"/>
      <c r="E2065" s="38"/>
      <c r="F2065" s="38"/>
      <c r="G2065" s="38"/>
    </row>
    <row r="2066" spans="1:7" s="8" customFormat="1" ht="21.95" customHeight="1" x14ac:dyDescent="0.15">
      <c r="A2066" s="17"/>
      <c r="B2066" s="36"/>
      <c r="C2066" s="37"/>
      <c r="D2066" s="15"/>
      <c r="E2066" s="38"/>
      <c r="F2066" s="15"/>
      <c r="G2066" s="38"/>
    </row>
    <row r="2067" spans="1:7" s="8" customFormat="1" ht="21.95" customHeight="1" x14ac:dyDescent="0.15">
      <c r="A2067" s="17"/>
      <c r="B2067" s="36"/>
      <c r="C2067" s="37"/>
      <c r="D2067" s="15"/>
      <c r="E2067" s="38"/>
      <c r="F2067" s="38"/>
      <c r="G2067" s="38"/>
    </row>
    <row r="2068" spans="1:7" s="8" customFormat="1" ht="21.95" customHeight="1" x14ac:dyDescent="0.15">
      <c r="A2068" s="17"/>
      <c r="B2068" s="36"/>
      <c r="C2068" s="37"/>
      <c r="D2068" s="15"/>
      <c r="E2068" s="38"/>
      <c r="F2068" s="15"/>
      <c r="G2068" s="38"/>
    </row>
    <row r="2069" spans="1:7" s="8" customFormat="1" ht="21.95" customHeight="1" x14ac:dyDescent="0.15">
      <c r="A2069" s="17"/>
      <c r="B2069" s="36"/>
      <c r="C2069" s="37"/>
      <c r="D2069" s="15"/>
      <c r="E2069" s="38"/>
      <c r="F2069" s="38"/>
      <c r="G2069" s="38"/>
    </row>
    <row r="2070" spans="1:7" s="8" customFormat="1" ht="21.95" customHeight="1" x14ac:dyDescent="0.15">
      <c r="A2070" s="17"/>
      <c r="B2070" s="36"/>
      <c r="C2070" s="37"/>
      <c r="D2070" s="15"/>
      <c r="E2070" s="38"/>
      <c r="F2070" s="15"/>
      <c r="G2070" s="38"/>
    </row>
    <row r="2071" spans="1:7" s="8" customFormat="1" ht="21.95" customHeight="1" x14ac:dyDescent="0.15">
      <c r="A2071" s="17"/>
      <c r="B2071" s="36"/>
      <c r="C2071" s="37"/>
      <c r="D2071" s="15"/>
      <c r="E2071" s="38"/>
      <c r="F2071" s="38"/>
      <c r="G2071" s="38"/>
    </row>
    <row r="2072" spans="1:7" s="8" customFormat="1" ht="21.95" customHeight="1" x14ac:dyDescent="0.15">
      <c r="A2072" s="17"/>
      <c r="B2072" s="36"/>
      <c r="C2072" s="37"/>
      <c r="D2072" s="15"/>
      <c r="E2072" s="38"/>
      <c r="F2072" s="15"/>
      <c r="G2072" s="38"/>
    </row>
    <row r="2073" spans="1:7" ht="21.95" customHeight="1" x14ac:dyDescent="0.15">
      <c r="A2073" s="17"/>
      <c r="B2073" s="36"/>
      <c r="C2073" s="37"/>
      <c r="E2073" s="38"/>
      <c r="F2073" s="38"/>
      <c r="G2073" s="38"/>
    </row>
    <row r="2074" spans="1:7" ht="21.95" customHeight="1" x14ac:dyDescent="0.15">
      <c r="A2074" s="17"/>
      <c r="B2074" s="36"/>
      <c r="C2074" s="37"/>
      <c r="E2074" s="38"/>
      <c r="G2074" s="38"/>
    </row>
    <row r="2075" spans="1:7" ht="21.95" customHeight="1" x14ac:dyDescent="0.15">
      <c r="A2075" s="17"/>
      <c r="B2075" s="36"/>
      <c r="C2075" s="37"/>
      <c r="E2075" s="38"/>
      <c r="G2075" s="38"/>
    </row>
    <row r="2076" spans="1:7" ht="21.95" customHeight="1" x14ac:dyDescent="0.15">
      <c r="A2076" s="17"/>
      <c r="B2076" s="36"/>
      <c r="C2076" s="37"/>
      <c r="E2076" s="38"/>
      <c r="F2076" s="38"/>
      <c r="G2076" s="38"/>
    </row>
    <row r="2077" spans="1:7" s="8" customFormat="1" ht="21.95" customHeight="1" x14ac:dyDescent="0.15">
      <c r="A2077" s="17"/>
      <c r="B2077" s="36"/>
      <c r="C2077" s="37"/>
      <c r="D2077" s="15"/>
      <c r="E2077" s="38"/>
      <c r="F2077" s="38"/>
      <c r="G2077" s="38"/>
    </row>
    <row r="2078" spans="1:7" s="8" customFormat="1" ht="21.95" customHeight="1" x14ac:dyDescent="0.15">
      <c r="A2078" s="17"/>
      <c r="B2078" s="36"/>
      <c r="C2078" s="37"/>
      <c r="D2078" s="15"/>
      <c r="E2078" s="38"/>
      <c r="F2078" s="38"/>
      <c r="G2078" s="38"/>
    </row>
    <row r="2079" spans="1:7" s="8" customFormat="1" ht="21.95" customHeight="1" x14ac:dyDescent="0.15">
      <c r="A2079" s="17"/>
      <c r="B2079" s="36"/>
      <c r="C2079" s="37"/>
      <c r="D2079" s="15"/>
      <c r="E2079" s="38"/>
      <c r="F2079" s="38"/>
      <c r="G2079" s="38"/>
    </row>
    <row r="2080" spans="1:7" s="8" customFormat="1" ht="21.95" customHeight="1" x14ac:dyDescent="0.15">
      <c r="A2080" s="17"/>
      <c r="B2080" s="36"/>
      <c r="C2080" s="37"/>
      <c r="D2080" s="15"/>
      <c r="E2080" s="38"/>
      <c r="F2080" s="38"/>
      <c r="G2080" s="38"/>
    </row>
    <row r="2081" spans="1:7" s="8" customFormat="1" ht="21.95" customHeight="1" x14ac:dyDescent="0.15">
      <c r="A2081" s="17"/>
      <c r="B2081" s="36"/>
      <c r="C2081" s="37"/>
      <c r="D2081" s="15"/>
      <c r="E2081" s="38"/>
      <c r="F2081" s="38"/>
      <c r="G2081" s="38"/>
    </row>
    <row r="2082" spans="1:7" s="8" customFormat="1" ht="21.95" customHeight="1" x14ac:dyDescent="0.15">
      <c r="A2082" s="17"/>
      <c r="B2082" s="36"/>
      <c r="C2082" s="37"/>
      <c r="D2082" s="15"/>
      <c r="E2082" s="38"/>
      <c r="F2082" s="38"/>
      <c r="G2082" s="38"/>
    </row>
    <row r="2083" spans="1:7" s="8" customFormat="1" ht="21.95" customHeight="1" x14ac:dyDescent="0.15">
      <c r="A2083" s="17"/>
      <c r="B2083" s="36"/>
      <c r="C2083" s="37"/>
      <c r="D2083" s="15"/>
      <c r="E2083" s="38"/>
      <c r="F2083" s="38"/>
      <c r="G2083" s="38"/>
    </row>
    <row r="2084" spans="1:7" s="8" customFormat="1" ht="21.95" customHeight="1" x14ac:dyDescent="0.15">
      <c r="A2084" s="17"/>
      <c r="B2084" s="36"/>
      <c r="C2084" s="37"/>
      <c r="D2084" s="15"/>
      <c r="E2084" s="38"/>
      <c r="F2084" s="38"/>
      <c r="G2084" s="38"/>
    </row>
    <row r="2085" spans="1:7" s="8" customFormat="1" ht="21.95" customHeight="1" x14ac:dyDescent="0.15">
      <c r="A2085" s="17"/>
      <c r="B2085" s="36"/>
      <c r="C2085" s="37"/>
      <c r="D2085" s="15"/>
      <c r="E2085" s="38"/>
      <c r="F2085" s="38"/>
      <c r="G2085" s="38"/>
    </row>
    <row r="2086" spans="1:7" s="8" customFormat="1" ht="21.95" customHeight="1" x14ac:dyDescent="0.15">
      <c r="A2086" s="17"/>
      <c r="B2086" s="36"/>
      <c r="C2086" s="37"/>
      <c r="D2086" s="15"/>
      <c r="E2086" s="38"/>
      <c r="F2086" s="38"/>
      <c r="G2086" s="38"/>
    </row>
    <row r="2087" spans="1:7" s="8" customFormat="1" ht="21.95" customHeight="1" x14ac:dyDescent="0.15">
      <c r="A2087" s="17"/>
      <c r="B2087" s="36"/>
      <c r="C2087" s="37"/>
      <c r="D2087" s="15"/>
      <c r="E2087" s="38"/>
      <c r="F2087" s="38"/>
      <c r="G2087" s="38"/>
    </row>
    <row r="2088" spans="1:7" s="8" customFormat="1" ht="32.1" customHeight="1" x14ac:dyDescent="0.15">
      <c r="A2088" s="17"/>
      <c r="B2088" s="36"/>
      <c r="C2088" s="37"/>
      <c r="D2088" s="15"/>
      <c r="E2088" s="38"/>
      <c r="F2088" s="38"/>
      <c r="G2088" s="38"/>
    </row>
    <row r="2089" spans="1:7" s="8" customFormat="1" ht="32.1" customHeight="1" x14ac:dyDescent="0.15">
      <c r="A2089" s="17"/>
      <c r="B2089" s="36"/>
      <c r="C2089" s="37"/>
      <c r="D2089" s="15"/>
      <c r="E2089" s="38"/>
      <c r="F2089" s="38"/>
      <c r="G2089" s="38"/>
    </row>
    <row r="2090" spans="1:7" s="8" customFormat="1" ht="32.1" customHeight="1" x14ac:dyDescent="0.15">
      <c r="A2090" s="17"/>
      <c r="B2090" s="36"/>
      <c r="C2090" s="37"/>
      <c r="D2090" s="15"/>
      <c r="E2090" s="38"/>
      <c r="F2090" s="38"/>
      <c r="G2090" s="38"/>
    </row>
    <row r="2091" spans="1:7" s="8" customFormat="1" ht="32.1" customHeight="1" x14ac:dyDescent="0.15">
      <c r="A2091" s="17"/>
      <c r="B2091" s="36"/>
      <c r="C2091" s="37"/>
      <c r="D2091" s="15"/>
      <c r="E2091" s="38"/>
      <c r="F2091" s="38"/>
      <c r="G2091" s="38"/>
    </row>
    <row r="2092" spans="1:7" s="8" customFormat="1" ht="32.1" customHeight="1" x14ac:dyDescent="0.15">
      <c r="A2092" s="17"/>
      <c r="B2092" s="36"/>
      <c r="C2092" s="37"/>
      <c r="D2092" s="15"/>
      <c r="E2092" s="38"/>
      <c r="F2092" s="38"/>
      <c r="G2092" s="38"/>
    </row>
    <row r="2093" spans="1:7" s="8" customFormat="1" ht="32.1" customHeight="1" x14ac:dyDescent="0.15">
      <c r="A2093" s="17"/>
      <c r="B2093" s="36"/>
      <c r="C2093" s="37"/>
      <c r="D2093" s="15"/>
      <c r="E2093" s="38"/>
      <c r="F2093" s="38"/>
      <c r="G2093" s="38"/>
    </row>
    <row r="2094" spans="1:7" ht="32.1" customHeight="1" x14ac:dyDescent="0.15">
      <c r="A2094" s="17"/>
      <c r="B2094" s="36"/>
      <c r="C2094" s="37"/>
      <c r="E2094" s="38"/>
      <c r="F2094" s="38"/>
      <c r="G2094" s="38"/>
    </row>
    <row r="2095" spans="1:7" ht="32.1" customHeight="1" x14ac:dyDescent="0.15">
      <c r="A2095" s="17"/>
      <c r="B2095" s="36"/>
      <c r="C2095" s="37"/>
      <c r="F2095" s="38"/>
      <c r="G2095" s="38"/>
    </row>
    <row r="2096" spans="1:7" ht="32.1" customHeight="1" x14ac:dyDescent="0.15">
      <c r="A2096" s="17"/>
      <c r="B2096" s="36"/>
      <c r="C2096" s="37"/>
      <c r="F2096" s="38"/>
      <c r="G2096" s="38"/>
    </row>
    <row r="2097" spans="1:7" ht="32.1" customHeight="1" x14ac:dyDescent="0.15">
      <c r="A2097" s="17"/>
      <c r="B2097" s="36"/>
      <c r="C2097" s="37"/>
      <c r="F2097" s="38"/>
      <c r="G2097" s="38"/>
    </row>
    <row r="2098" spans="1:7" ht="21.95" customHeight="1" x14ac:dyDescent="0.15">
      <c r="A2098" s="17"/>
      <c r="B2098" s="36"/>
      <c r="C2098" s="37"/>
      <c r="F2098" s="38"/>
      <c r="G2098" s="38"/>
    </row>
    <row r="2099" spans="1:7" ht="54" customHeight="1" x14ac:dyDescent="0.15">
      <c r="A2099" s="17"/>
      <c r="B2099" s="36"/>
      <c r="C2099" s="37"/>
      <c r="F2099" s="38"/>
      <c r="G2099" s="38"/>
    </row>
    <row r="2100" spans="1:7" ht="21.95" customHeight="1" x14ac:dyDescent="0.15">
      <c r="A2100" s="17"/>
      <c r="B2100" s="36"/>
      <c r="C2100" s="37"/>
      <c r="F2100" s="38"/>
      <c r="G2100" s="38"/>
    </row>
    <row r="2101" spans="1:7" ht="21.95" customHeight="1" x14ac:dyDescent="0.15">
      <c r="A2101" s="17"/>
      <c r="B2101" s="36"/>
      <c r="C2101" s="37"/>
      <c r="F2101" s="38"/>
      <c r="G2101" s="38"/>
    </row>
    <row r="2102" spans="1:7" ht="21.95" customHeight="1" x14ac:dyDescent="0.15">
      <c r="A2102" s="17"/>
      <c r="B2102" s="36"/>
      <c r="C2102" s="37"/>
      <c r="F2102" s="38"/>
      <c r="G2102" s="38"/>
    </row>
    <row r="2103" spans="1:7" ht="21.95" customHeight="1" x14ac:dyDescent="0.15">
      <c r="A2103" s="17"/>
      <c r="B2103" s="36"/>
      <c r="C2103" s="37"/>
      <c r="F2103" s="38"/>
      <c r="G2103" s="38"/>
    </row>
    <row r="2104" spans="1:7" ht="21.95" customHeight="1" x14ac:dyDescent="0.15">
      <c r="A2104" s="17"/>
      <c r="B2104" s="36"/>
      <c r="C2104" s="37"/>
      <c r="F2104" s="38"/>
      <c r="G2104" s="38"/>
    </row>
    <row r="2105" spans="1:7" ht="21.95" customHeight="1" x14ac:dyDescent="0.15">
      <c r="A2105" s="17"/>
      <c r="B2105" s="36"/>
      <c r="C2105" s="37"/>
      <c r="F2105" s="38"/>
      <c r="G2105" s="38"/>
    </row>
    <row r="2106" spans="1:7" ht="21.95" customHeight="1" x14ac:dyDescent="0.15">
      <c r="A2106" s="17"/>
      <c r="B2106" s="36"/>
      <c r="C2106" s="37"/>
      <c r="G2106" s="38"/>
    </row>
    <row r="2107" spans="1:7" ht="21.95" customHeight="1" x14ac:dyDescent="0.15">
      <c r="A2107" s="17"/>
      <c r="B2107" s="36"/>
      <c r="C2107" s="37"/>
      <c r="G2107" s="38"/>
    </row>
    <row r="2108" spans="1:7" ht="21.95" customHeight="1" x14ac:dyDescent="0.15">
      <c r="A2108" s="17"/>
      <c r="B2108" s="36"/>
      <c r="C2108" s="37"/>
      <c r="G2108" s="38"/>
    </row>
    <row r="2109" spans="1:7" ht="21.95" customHeight="1" x14ac:dyDescent="0.15">
      <c r="A2109" s="17"/>
      <c r="B2109" s="36"/>
      <c r="C2109" s="37"/>
      <c r="G2109" s="38"/>
    </row>
    <row r="2110" spans="1:7" ht="21.95" customHeight="1" x14ac:dyDescent="0.15">
      <c r="A2110" s="17"/>
      <c r="B2110" s="36"/>
      <c r="C2110" s="37"/>
      <c r="G2110" s="38"/>
    </row>
    <row r="2111" spans="1:7" ht="21.95" customHeight="1" x14ac:dyDescent="0.15">
      <c r="A2111" s="17"/>
      <c r="B2111" s="36"/>
      <c r="C2111" s="37"/>
      <c r="G2111" s="38"/>
    </row>
    <row r="2112" spans="1:7" ht="21.95" customHeight="1" x14ac:dyDescent="0.15">
      <c r="A2112" s="17"/>
      <c r="B2112" s="36"/>
      <c r="C2112" s="37"/>
      <c r="G2112" s="38"/>
    </row>
    <row r="2113" spans="1:7" ht="21.95" customHeight="1" x14ac:dyDescent="0.15">
      <c r="A2113" s="17"/>
      <c r="B2113" s="36"/>
      <c r="C2113" s="37"/>
      <c r="G2113" s="38"/>
    </row>
    <row r="2114" spans="1:7" ht="21.95" customHeight="1" x14ac:dyDescent="0.15">
      <c r="A2114" s="17"/>
      <c r="B2114" s="36"/>
      <c r="C2114" s="37"/>
      <c r="G2114" s="38"/>
    </row>
    <row r="2115" spans="1:7" ht="21.95" customHeight="1" x14ac:dyDescent="0.15">
      <c r="A2115" s="17"/>
      <c r="B2115" s="36"/>
      <c r="C2115" s="37"/>
      <c r="G2115" s="38"/>
    </row>
    <row r="2116" spans="1:7" ht="21.95" customHeight="1" x14ac:dyDescent="0.15">
      <c r="A2116" s="17"/>
      <c r="B2116" s="36"/>
      <c r="C2116" s="37"/>
      <c r="G2116" s="38"/>
    </row>
    <row r="2117" spans="1:7" ht="21.95" customHeight="1" x14ac:dyDescent="0.15">
      <c r="A2117" s="17"/>
      <c r="B2117" s="36"/>
      <c r="C2117" s="37"/>
    </row>
    <row r="2118" spans="1:7" ht="21.95" customHeight="1" x14ac:dyDescent="0.15">
      <c r="A2118" s="17"/>
      <c r="B2118" s="36"/>
      <c r="C2118" s="37"/>
    </row>
    <row r="2119" spans="1:7" ht="21.95" customHeight="1" x14ac:dyDescent="0.15">
      <c r="A2119" s="17"/>
      <c r="B2119" s="36"/>
      <c r="C2119" s="37"/>
    </row>
    <row r="2120" spans="1:7" ht="21.95" customHeight="1" x14ac:dyDescent="0.15">
      <c r="A2120" s="17"/>
      <c r="B2120" s="36"/>
      <c r="C2120" s="37"/>
    </row>
    <row r="2121" spans="1:7" ht="21.95" customHeight="1" x14ac:dyDescent="0.15">
      <c r="A2121" s="17"/>
      <c r="B2121" s="36"/>
      <c r="C2121" s="37"/>
    </row>
    <row r="2122" spans="1:7" ht="21.95" customHeight="1" x14ac:dyDescent="0.15">
      <c r="A2122" s="17"/>
      <c r="B2122" s="36"/>
      <c r="C2122" s="37"/>
    </row>
    <row r="2123" spans="1:7" ht="21.95" customHeight="1" x14ac:dyDescent="0.15">
      <c r="A2123" s="17"/>
      <c r="B2123" s="36"/>
      <c r="C2123" s="37"/>
    </row>
    <row r="2124" spans="1:7" ht="21.95" customHeight="1" x14ac:dyDescent="0.15">
      <c r="A2124" s="17"/>
      <c r="B2124" s="36"/>
      <c r="C2124" s="37"/>
    </row>
    <row r="2125" spans="1:7" ht="21.95" customHeight="1" x14ac:dyDescent="0.15">
      <c r="A2125" s="17"/>
      <c r="B2125" s="36"/>
      <c r="C2125" s="37"/>
    </row>
    <row r="2126" spans="1:7" ht="21.95" customHeight="1" x14ac:dyDescent="0.15">
      <c r="A2126" s="17"/>
      <c r="B2126" s="36"/>
      <c r="C2126" s="37"/>
    </row>
    <row r="2127" spans="1:7" ht="21.95" customHeight="1" x14ac:dyDescent="0.15">
      <c r="A2127" s="17"/>
      <c r="B2127" s="36"/>
      <c r="C2127" s="37"/>
    </row>
    <row r="2128" spans="1:7" ht="21.95" customHeight="1" x14ac:dyDescent="0.15">
      <c r="A2128" s="17"/>
      <c r="B2128" s="36"/>
      <c r="C2128" s="37"/>
    </row>
    <row r="2129" spans="1:3" ht="21.95" customHeight="1" x14ac:dyDescent="0.15">
      <c r="A2129" s="17"/>
      <c r="B2129" s="36"/>
      <c r="C2129" s="37"/>
    </row>
    <row r="2130" spans="1:3" ht="21.95" customHeight="1" x14ac:dyDescent="0.15">
      <c r="A2130" s="17"/>
      <c r="B2130" s="36"/>
      <c r="C2130" s="37"/>
    </row>
    <row r="2131" spans="1:3" ht="21.95" customHeight="1" x14ac:dyDescent="0.15">
      <c r="A2131" s="17"/>
      <c r="B2131" s="36"/>
      <c r="C2131" s="37"/>
    </row>
    <row r="2132" spans="1:3" ht="21.95" customHeight="1" x14ac:dyDescent="0.15">
      <c r="A2132" s="17"/>
      <c r="B2132" s="36"/>
      <c r="C2132" s="37"/>
    </row>
    <row r="2133" spans="1:3" ht="21.95" customHeight="1" x14ac:dyDescent="0.15">
      <c r="A2133" s="17"/>
      <c r="B2133" s="36"/>
      <c r="C2133" s="37"/>
    </row>
    <row r="2134" spans="1:3" ht="21.95" customHeight="1" x14ac:dyDescent="0.15">
      <c r="A2134" s="17"/>
      <c r="B2134" s="36"/>
      <c r="C2134" s="37"/>
    </row>
    <row r="2135" spans="1:3" ht="21.95" customHeight="1" x14ac:dyDescent="0.15">
      <c r="A2135" s="17"/>
      <c r="B2135" s="36"/>
      <c r="C2135" s="37"/>
    </row>
    <row r="2136" spans="1:3" ht="21.95" customHeight="1" x14ac:dyDescent="0.15">
      <c r="A2136" s="17"/>
      <c r="B2136" s="36"/>
      <c r="C2136" s="37"/>
    </row>
    <row r="2137" spans="1:3" ht="21.95" customHeight="1" x14ac:dyDescent="0.15">
      <c r="A2137" s="17"/>
      <c r="B2137" s="36"/>
      <c r="C2137" s="37"/>
    </row>
    <row r="2138" spans="1:3" ht="21.95" customHeight="1" x14ac:dyDescent="0.15">
      <c r="A2138" s="17"/>
      <c r="B2138" s="36"/>
      <c r="C2138" s="37"/>
    </row>
    <row r="2139" spans="1:3" ht="21.95" customHeight="1" x14ac:dyDescent="0.15">
      <c r="A2139" s="17"/>
      <c r="B2139" s="36"/>
      <c r="C2139" s="37"/>
    </row>
    <row r="2140" spans="1:3" ht="21.95" customHeight="1" x14ac:dyDescent="0.15">
      <c r="A2140" s="17"/>
      <c r="B2140" s="36"/>
      <c r="C2140" s="37"/>
    </row>
    <row r="2141" spans="1:3" ht="21.95" customHeight="1" x14ac:dyDescent="0.15">
      <c r="A2141" s="17"/>
      <c r="B2141" s="36"/>
      <c r="C2141" s="37"/>
    </row>
    <row r="2142" spans="1:3" ht="21.95" customHeight="1" x14ac:dyDescent="0.15">
      <c r="A2142" s="17"/>
      <c r="B2142" s="36"/>
      <c r="C2142" s="37"/>
    </row>
    <row r="2143" spans="1:3" ht="21.95" customHeight="1" x14ac:dyDescent="0.15">
      <c r="A2143" s="17"/>
      <c r="B2143" s="36"/>
      <c r="C2143" s="37"/>
    </row>
    <row r="2144" spans="1:3" ht="21.95" customHeight="1" x14ac:dyDescent="0.15">
      <c r="A2144" s="17"/>
      <c r="B2144" s="36"/>
      <c r="C2144" s="37"/>
    </row>
    <row r="2145" spans="1:7" ht="21.95" customHeight="1" x14ac:dyDescent="0.15">
      <c r="A2145" s="17"/>
      <c r="B2145" s="36"/>
      <c r="C2145" s="37"/>
    </row>
    <row r="2146" spans="1:7" ht="21.95" customHeight="1" x14ac:dyDescent="0.15">
      <c r="A2146" s="17"/>
      <c r="B2146" s="36"/>
      <c r="C2146" s="37"/>
    </row>
    <row r="2147" spans="1:7" ht="21.95" customHeight="1" x14ac:dyDescent="0.15">
      <c r="A2147" s="17"/>
      <c r="B2147" s="36"/>
      <c r="C2147" s="37"/>
    </row>
    <row r="2148" spans="1:7" ht="21.95" customHeight="1" x14ac:dyDescent="0.15">
      <c r="A2148" s="17"/>
      <c r="B2148" s="36"/>
      <c r="C2148" s="37"/>
      <c r="G2148" s="38"/>
    </row>
    <row r="2149" spans="1:7" ht="21.95" customHeight="1" x14ac:dyDescent="0.15">
      <c r="A2149" s="17"/>
      <c r="B2149" s="36"/>
      <c r="C2149" s="37"/>
    </row>
    <row r="2150" spans="1:7" ht="35.1" customHeight="1" x14ac:dyDescent="0.15">
      <c r="A2150" s="17"/>
      <c r="B2150" s="36"/>
      <c r="C2150" s="37"/>
    </row>
    <row r="2151" spans="1:7" ht="21.95" customHeight="1" x14ac:dyDescent="0.15">
      <c r="A2151" s="17"/>
      <c r="B2151" s="36"/>
      <c r="C2151" s="37"/>
    </row>
    <row r="2152" spans="1:7" ht="21.95" customHeight="1" x14ac:dyDescent="0.15">
      <c r="A2152" s="17"/>
      <c r="B2152" s="36"/>
      <c r="C2152" s="37"/>
    </row>
    <row r="2153" spans="1:7" ht="21.95" customHeight="1" x14ac:dyDescent="0.15">
      <c r="A2153" s="17"/>
      <c r="B2153" s="36"/>
      <c r="C2153" s="37"/>
    </row>
    <row r="2154" spans="1:7" ht="21.95" customHeight="1" x14ac:dyDescent="0.15">
      <c r="A2154" s="17"/>
      <c r="B2154" s="36"/>
      <c r="C2154" s="37"/>
    </row>
    <row r="2155" spans="1:7" ht="21.95" customHeight="1" x14ac:dyDescent="0.15">
      <c r="A2155" s="17"/>
      <c r="B2155" s="36"/>
      <c r="C2155" s="37"/>
    </row>
    <row r="2156" spans="1:7" ht="21.95" customHeight="1" x14ac:dyDescent="0.15">
      <c r="A2156" s="17"/>
      <c r="B2156" s="36"/>
      <c r="C2156" s="37"/>
    </row>
    <row r="2157" spans="1:7" ht="21.95" customHeight="1" x14ac:dyDescent="0.15">
      <c r="A2157" s="17"/>
      <c r="B2157" s="36"/>
      <c r="C2157" s="37"/>
    </row>
    <row r="2158" spans="1:7" ht="21.95" customHeight="1" x14ac:dyDescent="0.15">
      <c r="A2158" s="17"/>
      <c r="B2158" s="36"/>
      <c r="C2158" s="37"/>
      <c r="G2158" s="38"/>
    </row>
    <row r="2159" spans="1:7" ht="21.95" customHeight="1" x14ac:dyDescent="0.15">
      <c r="A2159" s="17"/>
      <c r="B2159" s="36"/>
      <c r="C2159" s="37"/>
      <c r="G2159" s="38"/>
    </row>
    <row r="2160" spans="1:7" ht="21.95" customHeight="1" x14ac:dyDescent="0.15">
      <c r="A2160" s="17"/>
      <c r="B2160" s="36"/>
      <c r="C2160" s="37"/>
    </row>
    <row r="2161" spans="1:7" ht="21.95" customHeight="1" x14ac:dyDescent="0.15">
      <c r="A2161" s="17"/>
      <c r="B2161" s="36"/>
      <c r="C2161" s="37"/>
    </row>
    <row r="2162" spans="1:7" ht="21.95" customHeight="1" x14ac:dyDescent="0.15">
      <c r="A2162" s="17"/>
      <c r="B2162" s="36"/>
      <c r="C2162" s="37"/>
    </row>
    <row r="2163" spans="1:7" ht="21.95" customHeight="1" x14ac:dyDescent="0.15">
      <c r="A2163" s="17"/>
      <c r="B2163" s="36"/>
      <c r="C2163" s="37"/>
      <c r="G2163" s="38"/>
    </row>
    <row r="2164" spans="1:7" ht="21.95" customHeight="1" x14ac:dyDescent="0.15">
      <c r="A2164" s="17"/>
      <c r="B2164" s="36"/>
      <c r="C2164" s="37"/>
    </row>
    <row r="2165" spans="1:7" ht="21.95" customHeight="1" x14ac:dyDescent="0.15">
      <c r="A2165" s="17"/>
      <c r="B2165" s="36"/>
      <c r="C2165" s="37"/>
    </row>
    <row r="2166" spans="1:7" ht="21.95" customHeight="1" x14ac:dyDescent="0.15">
      <c r="A2166" s="17"/>
      <c r="B2166" s="36"/>
      <c r="C2166" s="37"/>
    </row>
    <row r="2167" spans="1:7" ht="21.95" customHeight="1" x14ac:dyDescent="0.15">
      <c r="A2167" s="17"/>
      <c r="B2167" s="36"/>
      <c r="C2167" s="37"/>
    </row>
    <row r="2168" spans="1:7" ht="21.95" customHeight="1" x14ac:dyDescent="0.15">
      <c r="A2168" s="17"/>
      <c r="B2168" s="36"/>
      <c r="C2168" s="37"/>
    </row>
    <row r="2169" spans="1:7" ht="21.95" customHeight="1" x14ac:dyDescent="0.15">
      <c r="A2169" s="17"/>
      <c r="C2169" s="37"/>
    </row>
    <row r="2170" spans="1:7" ht="21.95" customHeight="1" x14ac:dyDescent="0.15">
      <c r="A2170" s="17"/>
      <c r="B2170" s="36"/>
      <c r="C2170" s="37"/>
    </row>
    <row r="2171" spans="1:7" ht="21.95" customHeight="1" x14ac:dyDescent="0.15">
      <c r="A2171" s="17"/>
    </row>
    <row r="2172" spans="1:7" ht="21.95" customHeight="1" x14ac:dyDescent="0.15">
      <c r="A2172" s="17"/>
    </row>
    <row r="2173" spans="1:7" ht="21.95" customHeight="1" x14ac:dyDescent="0.15">
      <c r="A2173" s="17"/>
    </row>
    <row r="2174" spans="1:7" s="8" customFormat="1" ht="21.95" customHeight="1" x14ac:dyDescent="0.15">
      <c r="A2174" s="17"/>
      <c r="B2174" s="39"/>
      <c r="C2174" s="40"/>
      <c r="D2174" s="38"/>
      <c r="E2174" s="38"/>
      <c r="F2174" s="38"/>
      <c r="G2174" s="38"/>
    </row>
    <row r="2175" spans="1:7" s="8" customFormat="1" ht="21.95" customHeight="1" x14ac:dyDescent="0.15">
      <c r="A2175" s="17"/>
      <c r="B2175" s="36"/>
      <c r="C2175" s="37"/>
      <c r="D2175" s="15"/>
      <c r="E2175" s="38"/>
      <c r="F2175" s="15"/>
      <c r="G2175" s="38"/>
    </row>
    <row r="2176" spans="1:7" s="8" customFormat="1" ht="21.95" customHeight="1" x14ac:dyDescent="0.15">
      <c r="A2176" s="17"/>
      <c r="B2176" s="36"/>
      <c r="C2176" s="95"/>
      <c r="D2176" s="15"/>
      <c r="E2176" s="38"/>
      <c r="F2176" s="15"/>
      <c r="G2176" s="38"/>
    </row>
    <row r="2177" spans="1:7" s="8" customFormat="1" ht="21.95" customHeight="1" x14ac:dyDescent="0.15">
      <c r="A2177" s="17"/>
      <c r="B2177" s="36"/>
      <c r="C2177" s="95"/>
      <c r="D2177" s="15"/>
      <c r="E2177" s="38"/>
      <c r="F2177" s="38"/>
      <c r="G2177" s="38"/>
    </row>
    <row r="2178" spans="1:7" s="8" customFormat="1" ht="21.95" customHeight="1" x14ac:dyDescent="0.15">
      <c r="A2178" s="17"/>
      <c r="B2178" s="36"/>
      <c r="C2178" s="37"/>
      <c r="D2178" s="15"/>
      <c r="E2178" s="38"/>
      <c r="F2178" s="15"/>
      <c r="G2178" s="38"/>
    </row>
    <row r="2179" spans="1:7" s="8" customFormat="1" ht="21.95" customHeight="1" x14ac:dyDescent="0.15">
      <c r="A2179" s="17"/>
      <c r="B2179" s="36"/>
      <c r="C2179" s="37"/>
      <c r="D2179" s="15"/>
      <c r="E2179" s="38"/>
      <c r="F2179" s="38"/>
      <c r="G2179" s="38"/>
    </row>
    <row r="2180" spans="1:7" s="8" customFormat="1" ht="21.95" customHeight="1" x14ac:dyDescent="0.15">
      <c r="A2180" s="17"/>
      <c r="B2180" s="36"/>
      <c r="C2180" s="37"/>
      <c r="D2180" s="15"/>
      <c r="E2180" s="38"/>
      <c r="F2180" s="15"/>
      <c r="G2180" s="38"/>
    </row>
    <row r="2181" spans="1:7" s="8" customFormat="1" ht="21.95" customHeight="1" x14ac:dyDescent="0.15">
      <c r="A2181" s="17"/>
      <c r="B2181" s="36"/>
      <c r="C2181" s="37"/>
      <c r="D2181" s="15"/>
      <c r="E2181" s="38"/>
      <c r="F2181" s="38"/>
      <c r="G2181" s="38"/>
    </row>
    <row r="2182" spans="1:7" s="8" customFormat="1" ht="21.95" customHeight="1" x14ac:dyDescent="0.15">
      <c r="A2182" s="17"/>
      <c r="B2182" s="36"/>
      <c r="C2182" s="37"/>
      <c r="D2182" s="15"/>
      <c r="E2182" s="38"/>
      <c r="F2182" s="15"/>
      <c r="G2182" s="38"/>
    </row>
    <row r="2183" spans="1:7" s="8" customFormat="1" ht="21.95" customHeight="1" x14ac:dyDescent="0.15">
      <c r="A2183" s="17"/>
      <c r="B2183" s="36"/>
      <c r="C2183" s="37"/>
      <c r="D2183" s="15"/>
      <c r="E2183" s="38"/>
      <c r="F2183" s="38"/>
      <c r="G2183" s="38"/>
    </row>
    <row r="2184" spans="1:7" s="8" customFormat="1" ht="21.95" customHeight="1" x14ac:dyDescent="0.15">
      <c r="A2184" s="17"/>
      <c r="B2184" s="36"/>
      <c r="C2184" s="37"/>
      <c r="D2184" s="15"/>
      <c r="E2184" s="38"/>
      <c r="F2184" s="15"/>
      <c r="G2184" s="38"/>
    </row>
    <row r="2185" spans="1:7" ht="21.95" customHeight="1" x14ac:dyDescent="0.15">
      <c r="A2185" s="17"/>
      <c r="B2185" s="36"/>
      <c r="C2185" s="37"/>
      <c r="E2185" s="38"/>
      <c r="F2185" s="38"/>
      <c r="G2185" s="38"/>
    </row>
    <row r="2186" spans="1:7" ht="21.95" customHeight="1" x14ac:dyDescent="0.15">
      <c r="A2186" s="17"/>
      <c r="B2186" s="36"/>
      <c r="C2186" s="37"/>
      <c r="E2186" s="38"/>
      <c r="G2186" s="38"/>
    </row>
    <row r="2187" spans="1:7" ht="21.95" customHeight="1" x14ac:dyDescent="0.15">
      <c r="A2187" s="17"/>
      <c r="B2187" s="36"/>
      <c r="C2187" s="37"/>
      <c r="E2187" s="38"/>
      <c r="G2187" s="38"/>
    </row>
    <row r="2188" spans="1:7" ht="21.95" customHeight="1" x14ac:dyDescent="0.15">
      <c r="A2188" s="17"/>
      <c r="B2188" s="36"/>
      <c r="C2188" s="37"/>
      <c r="E2188" s="38"/>
      <c r="F2188" s="38"/>
      <c r="G2188" s="38"/>
    </row>
    <row r="2189" spans="1:7" s="8" customFormat="1" ht="21.95" customHeight="1" x14ac:dyDescent="0.15">
      <c r="A2189" s="17"/>
      <c r="B2189" s="36"/>
      <c r="C2189" s="37"/>
      <c r="D2189" s="15"/>
      <c r="E2189" s="38"/>
      <c r="F2189" s="38"/>
      <c r="G2189" s="38"/>
    </row>
    <row r="2190" spans="1:7" s="8" customFormat="1" ht="21.95" customHeight="1" x14ac:dyDescent="0.15">
      <c r="A2190" s="17"/>
      <c r="B2190" s="36"/>
      <c r="C2190" s="37"/>
      <c r="D2190" s="15"/>
      <c r="E2190" s="38"/>
      <c r="F2190" s="38"/>
      <c r="G2190" s="38"/>
    </row>
    <row r="2191" spans="1:7" s="8" customFormat="1" ht="21.95" customHeight="1" x14ac:dyDescent="0.15">
      <c r="A2191" s="17"/>
      <c r="B2191" s="36"/>
      <c r="C2191" s="37"/>
      <c r="D2191" s="15"/>
      <c r="E2191" s="38"/>
      <c r="F2191" s="38"/>
      <c r="G2191" s="38"/>
    </row>
    <row r="2192" spans="1:7" s="8" customFormat="1" ht="21.95" customHeight="1" x14ac:dyDescent="0.15">
      <c r="A2192" s="17"/>
      <c r="B2192" s="36"/>
      <c r="C2192" s="37"/>
      <c r="D2192" s="15"/>
      <c r="E2192" s="38"/>
      <c r="F2192" s="38"/>
      <c r="G2192" s="38"/>
    </row>
    <row r="2193" spans="1:7" s="8" customFormat="1" ht="21.95" customHeight="1" x14ac:dyDescent="0.15">
      <c r="A2193" s="17"/>
      <c r="B2193" s="36"/>
      <c r="C2193" s="37"/>
      <c r="D2193" s="15"/>
      <c r="E2193" s="38"/>
      <c r="F2193" s="38"/>
      <c r="G2193" s="38"/>
    </row>
    <row r="2194" spans="1:7" s="8" customFormat="1" ht="21.95" customHeight="1" x14ac:dyDescent="0.15">
      <c r="A2194" s="17"/>
      <c r="B2194" s="36"/>
      <c r="C2194" s="37"/>
      <c r="D2194" s="15"/>
      <c r="E2194" s="38"/>
      <c r="F2194" s="38"/>
      <c r="G2194" s="38"/>
    </row>
    <row r="2195" spans="1:7" s="8" customFormat="1" ht="21.95" customHeight="1" x14ac:dyDescent="0.15">
      <c r="A2195" s="17"/>
      <c r="B2195" s="36"/>
      <c r="C2195" s="37"/>
      <c r="D2195" s="15"/>
      <c r="E2195" s="38"/>
      <c r="F2195" s="38"/>
      <c r="G2195" s="38"/>
    </row>
    <row r="2196" spans="1:7" s="8" customFormat="1" ht="21.95" customHeight="1" x14ac:dyDescent="0.15">
      <c r="A2196" s="17"/>
      <c r="B2196" s="36"/>
      <c r="C2196" s="37"/>
      <c r="D2196" s="15"/>
      <c r="E2196" s="38"/>
      <c r="F2196" s="38"/>
      <c r="G2196" s="38"/>
    </row>
    <row r="2197" spans="1:7" s="8" customFormat="1" ht="21.95" customHeight="1" x14ac:dyDescent="0.15">
      <c r="A2197" s="17"/>
      <c r="B2197" s="36"/>
      <c r="C2197" s="37"/>
      <c r="D2197" s="15"/>
      <c r="E2197" s="38"/>
      <c r="F2197" s="38"/>
      <c r="G2197" s="38"/>
    </row>
    <row r="2198" spans="1:7" s="8" customFormat="1" ht="21.95" customHeight="1" x14ac:dyDescent="0.15">
      <c r="A2198" s="17"/>
      <c r="B2198" s="36"/>
      <c r="C2198" s="37"/>
      <c r="D2198" s="15"/>
      <c r="E2198" s="38"/>
      <c r="F2198" s="38"/>
      <c r="G2198" s="38"/>
    </row>
    <row r="2199" spans="1:7" s="8" customFormat="1" ht="21.95" customHeight="1" x14ac:dyDescent="0.15">
      <c r="A2199" s="17"/>
      <c r="B2199" s="36"/>
      <c r="C2199" s="37"/>
      <c r="D2199" s="15"/>
      <c r="E2199" s="38"/>
      <c r="F2199" s="38"/>
      <c r="G2199" s="38"/>
    </row>
    <row r="2200" spans="1:7" s="8" customFormat="1" ht="32.1" customHeight="1" x14ac:dyDescent="0.15">
      <c r="A2200" s="17"/>
      <c r="B2200" s="36"/>
      <c r="C2200" s="37"/>
      <c r="D2200" s="15"/>
      <c r="E2200" s="38"/>
      <c r="F2200" s="38"/>
      <c r="G2200" s="38"/>
    </row>
    <row r="2201" spans="1:7" s="8" customFormat="1" ht="32.1" customHeight="1" x14ac:dyDescent="0.15">
      <c r="A2201" s="17"/>
      <c r="B2201" s="36"/>
      <c r="C2201" s="37"/>
      <c r="D2201" s="15"/>
      <c r="E2201" s="38"/>
      <c r="F2201" s="38"/>
      <c r="G2201" s="38"/>
    </row>
    <row r="2202" spans="1:7" s="8" customFormat="1" ht="32.1" customHeight="1" x14ac:dyDescent="0.15">
      <c r="A2202" s="17"/>
      <c r="B2202" s="36"/>
      <c r="C2202" s="37"/>
      <c r="D2202" s="15"/>
      <c r="E2202" s="38"/>
      <c r="F2202" s="38"/>
      <c r="G2202" s="38"/>
    </row>
    <row r="2203" spans="1:7" s="8" customFormat="1" ht="32.1" customHeight="1" x14ac:dyDescent="0.15">
      <c r="A2203" s="17"/>
      <c r="B2203" s="36"/>
      <c r="C2203" s="37"/>
      <c r="D2203" s="15"/>
      <c r="E2203" s="38"/>
      <c r="F2203" s="38"/>
      <c r="G2203" s="38"/>
    </row>
    <row r="2204" spans="1:7" s="8" customFormat="1" ht="32.1" customHeight="1" x14ac:dyDescent="0.15">
      <c r="A2204" s="17"/>
      <c r="B2204" s="36"/>
      <c r="C2204" s="37"/>
      <c r="D2204" s="15"/>
      <c r="E2204" s="38"/>
      <c r="F2204" s="38"/>
      <c r="G2204" s="38"/>
    </row>
    <row r="2205" spans="1:7" s="8" customFormat="1" ht="32.1" customHeight="1" x14ac:dyDescent="0.15">
      <c r="A2205" s="17"/>
      <c r="B2205" s="36"/>
      <c r="C2205" s="37"/>
      <c r="D2205" s="15"/>
      <c r="E2205" s="38"/>
      <c r="F2205" s="38"/>
      <c r="G2205" s="38"/>
    </row>
    <row r="2206" spans="1:7" ht="32.1" customHeight="1" x14ac:dyDescent="0.15">
      <c r="A2206" s="17"/>
      <c r="B2206" s="36"/>
      <c r="C2206" s="37"/>
      <c r="E2206" s="38"/>
      <c r="F2206" s="38"/>
      <c r="G2206" s="38"/>
    </row>
    <row r="2207" spans="1:7" ht="32.1" customHeight="1" x14ac:dyDescent="0.15">
      <c r="A2207" s="17"/>
      <c r="B2207" s="36"/>
      <c r="C2207" s="37"/>
      <c r="F2207" s="38"/>
      <c r="G2207" s="38"/>
    </row>
    <row r="2208" spans="1:7" ht="32.1" customHeight="1" x14ac:dyDescent="0.15">
      <c r="A2208" s="17"/>
      <c r="B2208" s="36"/>
      <c r="C2208" s="37"/>
      <c r="F2208" s="38"/>
      <c r="G2208" s="38"/>
    </row>
    <row r="2209" spans="1:7" ht="32.1" customHeight="1" x14ac:dyDescent="0.15">
      <c r="A2209" s="17"/>
      <c r="B2209" s="36"/>
      <c r="C2209" s="37"/>
      <c r="F2209" s="38"/>
      <c r="G2209" s="38"/>
    </row>
    <row r="2210" spans="1:7" ht="21.95" customHeight="1" x14ac:dyDescent="0.15">
      <c r="A2210" s="17"/>
      <c r="B2210" s="36"/>
      <c r="C2210" s="37"/>
      <c r="F2210" s="38"/>
      <c r="G2210" s="38"/>
    </row>
    <row r="2211" spans="1:7" ht="54" customHeight="1" x14ac:dyDescent="0.15">
      <c r="A2211" s="17"/>
      <c r="B2211" s="36"/>
      <c r="C2211" s="37"/>
      <c r="F2211" s="38"/>
      <c r="G2211" s="38"/>
    </row>
    <row r="2212" spans="1:7" ht="21.95" customHeight="1" x14ac:dyDescent="0.15">
      <c r="A2212" s="17"/>
      <c r="B2212" s="36"/>
      <c r="C2212" s="37"/>
      <c r="F2212" s="38"/>
      <c r="G2212" s="38"/>
    </row>
    <row r="2213" spans="1:7" ht="21.95" customHeight="1" x14ac:dyDescent="0.15">
      <c r="A2213" s="17"/>
      <c r="B2213" s="36"/>
      <c r="C2213" s="37"/>
      <c r="F2213" s="38"/>
      <c r="G2213" s="38"/>
    </row>
    <row r="2214" spans="1:7" ht="21.95" customHeight="1" x14ac:dyDescent="0.15">
      <c r="A2214" s="17"/>
      <c r="B2214" s="36"/>
      <c r="C2214" s="37"/>
      <c r="F2214" s="38"/>
      <c r="G2214" s="38"/>
    </row>
    <row r="2215" spans="1:7" ht="21.95" customHeight="1" x14ac:dyDescent="0.15">
      <c r="A2215" s="17"/>
      <c r="B2215" s="36"/>
      <c r="C2215" s="37"/>
      <c r="F2215" s="38"/>
      <c r="G2215" s="38"/>
    </row>
    <row r="2216" spans="1:7" ht="21.95" customHeight="1" x14ac:dyDescent="0.15">
      <c r="A2216" s="17"/>
      <c r="B2216" s="36"/>
      <c r="C2216" s="37"/>
      <c r="F2216" s="38"/>
      <c r="G2216" s="38"/>
    </row>
    <row r="2217" spans="1:7" ht="21.95" customHeight="1" x14ac:dyDescent="0.15">
      <c r="A2217" s="17"/>
      <c r="B2217" s="36"/>
      <c r="C2217" s="37"/>
      <c r="F2217" s="38"/>
      <c r="G2217" s="38"/>
    </row>
    <row r="2218" spans="1:7" ht="21.95" customHeight="1" x14ac:dyDescent="0.15">
      <c r="A2218" s="17"/>
      <c r="B2218" s="36"/>
      <c r="C2218" s="37"/>
      <c r="G2218" s="38"/>
    </row>
    <row r="2219" spans="1:7" ht="21.95" customHeight="1" x14ac:dyDescent="0.15">
      <c r="A2219" s="17"/>
      <c r="B2219" s="36"/>
      <c r="C2219" s="37"/>
      <c r="G2219" s="38"/>
    </row>
    <row r="2220" spans="1:7" ht="21.95" customHeight="1" x14ac:dyDescent="0.15">
      <c r="A2220" s="17"/>
      <c r="B2220" s="36"/>
      <c r="C2220" s="37"/>
      <c r="G2220" s="38"/>
    </row>
    <row r="2221" spans="1:7" ht="21.95" customHeight="1" x14ac:dyDescent="0.15">
      <c r="A2221" s="17"/>
      <c r="B2221" s="36"/>
      <c r="C2221" s="37"/>
      <c r="G2221" s="38"/>
    </row>
    <row r="2222" spans="1:7" ht="21.95" customHeight="1" x14ac:dyDescent="0.15">
      <c r="A2222" s="17"/>
      <c r="B2222" s="36"/>
      <c r="C2222" s="37"/>
      <c r="G2222" s="38"/>
    </row>
    <row r="2223" spans="1:7" ht="21.95" customHeight="1" x14ac:dyDescent="0.15">
      <c r="A2223" s="17"/>
      <c r="B2223" s="36"/>
      <c r="C2223" s="37"/>
      <c r="G2223" s="38"/>
    </row>
    <row r="2224" spans="1:7" ht="21.95" customHeight="1" x14ac:dyDescent="0.15">
      <c r="A2224" s="17"/>
      <c r="B2224" s="36"/>
      <c r="C2224" s="37"/>
      <c r="G2224" s="38"/>
    </row>
    <row r="2225" spans="1:7" ht="21.95" customHeight="1" x14ac:dyDescent="0.15">
      <c r="A2225" s="17"/>
      <c r="B2225" s="36"/>
      <c r="C2225" s="37"/>
      <c r="G2225" s="38"/>
    </row>
    <row r="2226" spans="1:7" ht="21.95" customHeight="1" x14ac:dyDescent="0.15">
      <c r="A2226" s="17"/>
      <c r="B2226" s="36"/>
      <c r="C2226" s="37"/>
      <c r="G2226" s="38"/>
    </row>
    <row r="2227" spans="1:7" ht="21.95" customHeight="1" x14ac:dyDescent="0.15">
      <c r="A2227" s="17"/>
      <c r="B2227" s="36"/>
      <c r="C2227" s="37"/>
      <c r="G2227" s="38"/>
    </row>
    <row r="2228" spans="1:7" ht="21.95" customHeight="1" x14ac:dyDescent="0.15">
      <c r="A2228" s="17"/>
      <c r="B2228" s="36"/>
      <c r="C2228" s="37"/>
      <c r="G2228" s="38"/>
    </row>
    <row r="2229" spans="1:7" ht="21.95" customHeight="1" x14ac:dyDescent="0.15">
      <c r="A2229" s="17"/>
      <c r="B2229" s="36"/>
      <c r="C2229" s="37"/>
    </row>
    <row r="2230" spans="1:7" ht="21.95" customHeight="1" x14ac:dyDescent="0.15">
      <c r="A2230" s="17"/>
      <c r="B2230" s="36"/>
      <c r="C2230" s="37"/>
    </row>
    <row r="2231" spans="1:7" ht="21.95" customHeight="1" x14ac:dyDescent="0.15">
      <c r="A2231" s="17"/>
      <c r="B2231" s="36"/>
      <c r="C2231" s="37"/>
    </row>
    <row r="2232" spans="1:7" ht="21.95" customHeight="1" x14ac:dyDescent="0.15">
      <c r="A2232" s="17"/>
      <c r="B2232" s="36"/>
      <c r="C2232" s="37"/>
    </row>
    <row r="2233" spans="1:7" ht="21.95" customHeight="1" x14ac:dyDescent="0.15">
      <c r="A2233" s="17"/>
      <c r="B2233" s="36"/>
      <c r="C2233" s="37"/>
    </row>
    <row r="2234" spans="1:7" ht="21.95" customHeight="1" x14ac:dyDescent="0.15">
      <c r="A2234" s="17"/>
      <c r="B2234" s="36"/>
      <c r="C2234" s="37"/>
    </row>
    <row r="2235" spans="1:7" ht="21.95" customHeight="1" x14ac:dyDescent="0.15">
      <c r="A2235" s="17"/>
      <c r="B2235" s="36"/>
      <c r="C2235" s="37"/>
    </row>
    <row r="2236" spans="1:7" ht="21.95" customHeight="1" x14ac:dyDescent="0.15">
      <c r="A2236" s="17"/>
      <c r="B2236" s="36"/>
      <c r="C2236" s="37"/>
    </row>
    <row r="2237" spans="1:7" ht="21.95" customHeight="1" x14ac:dyDescent="0.15">
      <c r="A2237" s="17"/>
      <c r="B2237" s="36"/>
      <c r="C2237" s="37"/>
    </row>
    <row r="2238" spans="1:7" ht="21.95" customHeight="1" x14ac:dyDescent="0.15">
      <c r="A2238" s="17"/>
      <c r="B2238" s="36"/>
      <c r="C2238" s="37"/>
    </row>
    <row r="2239" spans="1:7" ht="21.95" customHeight="1" x14ac:dyDescent="0.15">
      <c r="A2239" s="17"/>
      <c r="B2239" s="36"/>
      <c r="C2239" s="37"/>
    </row>
    <row r="2240" spans="1:7" ht="21.95" customHeight="1" x14ac:dyDescent="0.15">
      <c r="A2240" s="17"/>
      <c r="B2240" s="36"/>
      <c r="C2240" s="37"/>
    </row>
    <row r="2241" spans="1:3" ht="21.95" customHeight="1" x14ac:dyDescent="0.15">
      <c r="A2241" s="17"/>
      <c r="B2241" s="36"/>
      <c r="C2241" s="37"/>
    </row>
    <row r="2242" spans="1:3" ht="21.95" customHeight="1" x14ac:dyDescent="0.15">
      <c r="A2242" s="17"/>
      <c r="B2242" s="36"/>
      <c r="C2242" s="37"/>
    </row>
    <row r="2243" spans="1:3" ht="21.95" customHeight="1" x14ac:dyDescent="0.15">
      <c r="A2243" s="17"/>
      <c r="B2243" s="36"/>
      <c r="C2243" s="37"/>
    </row>
    <row r="2244" spans="1:3" ht="21.95" customHeight="1" x14ac:dyDescent="0.15">
      <c r="A2244" s="17"/>
      <c r="B2244" s="36"/>
      <c r="C2244" s="37"/>
    </row>
    <row r="2245" spans="1:3" ht="21.95" customHeight="1" x14ac:dyDescent="0.15">
      <c r="A2245" s="17"/>
      <c r="B2245" s="36"/>
      <c r="C2245" s="37"/>
    </row>
    <row r="2246" spans="1:3" ht="21.95" customHeight="1" x14ac:dyDescent="0.15">
      <c r="A2246" s="17"/>
      <c r="B2246" s="36"/>
      <c r="C2246" s="37"/>
    </row>
    <row r="2247" spans="1:3" ht="21.95" customHeight="1" x14ac:dyDescent="0.15">
      <c r="A2247" s="17"/>
      <c r="B2247" s="36"/>
      <c r="C2247" s="37"/>
    </row>
    <row r="2248" spans="1:3" ht="21.95" customHeight="1" x14ac:dyDescent="0.15">
      <c r="A2248" s="17"/>
      <c r="B2248" s="36"/>
      <c r="C2248" s="37"/>
    </row>
    <row r="2249" spans="1:3" ht="21.95" customHeight="1" x14ac:dyDescent="0.15">
      <c r="A2249" s="17"/>
      <c r="B2249" s="36"/>
      <c r="C2249" s="37"/>
    </row>
    <row r="2250" spans="1:3" ht="21.95" customHeight="1" x14ac:dyDescent="0.15">
      <c r="A2250" s="17"/>
      <c r="B2250" s="36"/>
      <c r="C2250" s="37"/>
    </row>
    <row r="2251" spans="1:3" ht="21.95" customHeight="1" x14ac:dyDescent="0.15">
      <c r="A2251" s="17"/>
      <c r="B2251" s="36"/>
      <c r="C2251" s="37"/>
    </row>
    <row r="2252" spans="1:3" ht="21.95" customHeight="1" x14ac:dyDescent="0.15">
      <c r="A2252" s="17"/>
      <c r="B2252" s="36"/>
      <c r="C2252" s="37"/>
    </row>
    <row r="2253" spans="1:3" ht="21.95" customHeight="1" x14ac:dyDescent="0.15">
      <c r="A2253" s="17"/>
      <c r="B2253" s="36"/>
      <c r="C2253" s="37"/>
    </row>
    <row r="2254" spans="1:3" ht="21.95" customHeight="1" x14ac:dyDescent="0.15">
      <c r="A2254" s="17"/>
      <c r="B2254" s="36"/>
      <c r="C2254" s="37"/>
    </row>
    <row r="2255" spans="1:3" ht="21.95" customHeight="1" x14ac:dyDescent="0.15">
      <c r="A2255" s="17"/>
      <c r="B2255" s="36"/>
      <c r="C2255" s="37"/>
    </row>
    <row r="2256" spans="1:3" ht="21.95" customHeight="1" x14ac:dyDescent="0.15">
      <c r="A2256" s="17"/>
      <c r="B2256" s="36"/>
      <c r="C2256" s="37"/>
    </row>
    <row r="2257" spans="1:7" ht="21.95" customHeight="1" x14ac:dyDescent="0.15">
      <c r="A2257" s="17"/>
      <c r="B2257" s="36"/>
      <c r="C2257" s="37"/>
    </row>
    <row r="2258" spans="1:7" ht="21.95" customHeight="1" x14ac:dyDescent="0.15">
      <c r="A2258" s="17"/>
      <c r="B2258" s="36"/>
      <c r="C2258" s="37"/>
    </row>
    <row r="2259" spans="1:7" ht="21.95" customHeight="1" x14ac:dyDescent="0.15">
      <c r="A2259" s="17"/>
      <c r="B2259" s="36"/>
      <c r="C2259" s="37"/>
    </row>
    <row r="2260" spans="1:7" ht="21.95" customHeight="1" x14ac:dyDescent="0.15">
      <c r="A2260" s="17"/>
      <c r="B2260" s="36"/>
      <c r="C2260" s="37"/>
      <c r="G2260" s="38"/>
    </row>
    <row r="2261" spans="1:7" ht="21.95" customHeight="1" x14ac:dyDescent="0.15">
      <c r="A2261" s="17"/>
      <c r="B2261" s="36"/>
      <c r="C2261" s="37"/>
    </row>
    <row r="2262" spans="1:7" ht="35.1" customHeight="1" x14ac:dyDescent="0.15">
      <c r="A2262" s="17"/>
      <c r="B2262" s="36"/>
      <c r="C2262" s="37"/>
    </row>
    <row r="2263" spans="1:7" ht="21.95" customHeight="1" x14ac:dyDescent="0.15">
      <c r="A2263" s="17"/>
      <c r="B2263" s="36"/>
      <c r="C2263" s="37"/>
    </row>
    <row r="2264" spans="1:7" ht="21.95" customHeight="1" x14ac:dyDescent="0.15">
      <c r="A2264" s="17"/>
      <c r="B2264" s="36"/>
      <c r="C2264" s="37"/>
    </row>
    <row r="2265" spans="1:7" ht="21.95" customHeight="1" x14ac:dyDescent="0.15">
      <c r="A2265" s="17"/>
      <c r="B2265" s="36"/>
      <c r="C2265" s="37"/>
    </row>
    <row r="2266" spans="1:7" ht="21.95" customHeight="1" x14ac:dyDescent="0.15">
      <c r="A2266" s="17"/>
      <c r="B2266" s="36"/>
      <c r="C2266" s="37"/>
    </row>
    <row r="2267" spans="1:7" ht="21.95" customHeight="1" x14ac:dyDescent="0.15">
      <c r="A2267" s="17"/>
      <c r="B2267" s="36"/>
      <c r="C2267" s="37"/>
    </row>
    <row r="2268" spans="1:7" ht="21.95" customHeight="1" x14ac:dyDescent="0.15">
      <c r="A2268" s="17"/>
      <c r="B2268" s="36"/>
      <c r="C2268" s="37"/>
    </row>
    <row r="2269" spans="1:7" ht="21.95" customHeight="1" x14ac:dyDescent="0.15">
      <c r="A2269" s="17"/>
      <c r="B2269" s="36"/>
      <c r="C2269" s="37"/>
    </row>
    <row r="2270" spans="1:7" ht="21.95" customHeight="1" x14ac:dyDescent="0.15">
      <c r="A2270" s="17"/>
      <c r="B2270" s="36"/>
      <c r="C2270" s="37"/>
      <c r="G2270" s="38"/>
    </row>
    <row r="2271" spans="1:7" ht="21.95" customHeight="1" x14ac:dyDescent="0.15">
      <c r="A2271" s="17"/>
      <c r="B2271" s="36"/>
      <c r="C2271" s="37"/>
      <c r="G2271" s="38"/>
    </row>
    <row r="2272" spans="1:7" ht="21.95" customHeight="1" x14ac:dyDescent="0.15">
      <c r="A2272" s="17"/>
      <c r="B2272" s="36"/>
      <c r="C2272" s="37"/>
    </row>
    <row r="2273" spans="1:7" ht="21.95" customHeight="1" x14ac:dyDescent="0.15">
      <c r="A2273" s="17"/>
      <c r="B2273" s="36"/>
      <c r="C2273" s="37"/>
    </row>
    <row r="2274" spans="1:7" ht="21.95" customHeight="1" x14ac:dyDescent="0.15">
      <c r="A2274" s="17"/>
      <c r="B2274" s="36"/>
      <c r="C2274" s="37"/>
    </row>
    <row r="2275" spans="1:7" ht="21.95" customHeight="1" x14ac:dyDescent="0.15">
      <c r="A2275" s="17"/>
      <c r="B2275" s="36"/>
      <c r="C2275" s="37"/>
      <c r="G2275" s="38"/>
    </row>
    <row r="2276" spans="1:7" ht="21.95" customHeight="1" x14ac:dyDescent="0.15">
      <c r="A2276" s="17"/>
      <c r="B2276" s="36"/>
      <c r="C2276" s="37"/>
    </row>
    <row r="2277" spans="1:7" ht="21.95" customHeight="1" x14ac:dyDescent="0.15">
      <c r="A2277" s="17"/>
      <c r="B2277" s="36"/>
      <c r="C2277" s="37"/>
    </row>
    <row r="2278" spans="1:7" ht="21.95" customHeight="1" x14ac:dyDescent="0.15">
      <c r="A2278" s="17"/>
      <c r="B2278" s="36"/>
      <c r="C2278" s="37"/>
    </row>
    <row r="2279" spans="1:7" ht="21.95" customHeight="1" x14ac:dyDescent="0.15">
      <c r="A2279" s="17"/>
      <c r="B2279" s="36"/>
      <c r="C2279" s="37"/>
    </row>
    <row r="2280" spans="1:7" ht="21.95" customHeight="1" x14ac:dyDescent="0.15">
      <c r="A2280" s="17"/>
      <c r="B2280" s="36"/>
      <c r="C2280" s="37"/>
    </row>
    <row r="2281" spans="1:7" ht="21.95" customHeight="1" x14ac:dyDescent="0.15">
      <c r="A2281" s="17"/>
      <c r="C2281" s="37"/>
    </row>
    <row r="2282" spans="1:7" ht="21.95" customHeight="1" x14ac:dyDescent="0.15">
      <c r="A2282" s="17"/>
      <c r="B2282" s="36"/>
      <c r="C2282" s="37"/>
    </row>
    <row r="2283" spans="1:7" ht="21.95" customHeight="1" x14ac:dyDescent="0.15">
      <c r="A2283" s="17"/>
    </row>
    <row r="2284" spans="1:7" ht="21.95" customHeight="1" x14ac:dyDescent="0.15">
      <c r="A2284" s="17"/>
    </row>
    <row r="2285" spans="1:7" ht="21.95" customHeight="1" x14ac:dyDescent="0.15">
      <c r="A2285" s="17"/>
    </row>
    <row r="2286" spans="1:7" s="8" customFormat="1" ht="21.95" customHeight="1" x14ac:dyDescent="0.15">
      <c r="A2286" s="17"/>
      <c r="B2286" s="39"/>
      <c r="C2286" s="40"/>
      <c r="D2286" s="38"/>
      <c r="E2286" s="38"/>
      <c r="F2286" s="38"/>
      <c r="G2286" s="38"/>
    </row>
    <row r="2287" spans="1:7" s="8" customFormat="1" ht="21.95" customHeight="1" x14ac:dyDescent="0.15">
      <c r="A2287" s="17"/>
      <c r="B2287" s="36"/>
      <c r="C2287" s="37"/>
      <c r="D2287" s="15"/>
      <c r="E2287" s="38"/>
      <c r="F2287" s="15"/>
      <c r="G2287" s="38"/>
    </row>
    <row r="2288" spans="1:7" s="8" customFormat="1" ht="21.95" customHeight="1" x14ac:dyDescent="0.15">
      <c r="A2288" s="17"/>
      <c r="B2288" s="36"/>
      <c r="C2288" s="95"/>
      <c r="D2288" s="15"/>
      <c r="E2288" s="38"/>
      <c r="F2288" s="15"/>
      <c r="G2288" s="38"/>
    </row>
    <row r="2289" spans="1:7" s="8" customFormat="1" ht="21.95" customHeight="1" x14ac:dyDescent="0.15">
      <c r="A2289" s="17"/>
      <c r="B2289" s="36"/>
      <c r="C2289" s="95"/>
      <c r="D2289" s="15"/>
      <c r="E2289" s="38"/>
      <c r="F2289" s="38"/>
      <c r="G2289" s="38"/>
    </row>
    <row r="2290" spans="1:7" s="8" customFormat="1" ht="21.95" customHeight="1" x14ac:dyDescent="0.15">
      <c r="A2290" s="17"/>
      <c r="B2290" s="36"/>
      <c r="C2290" s="37"/>
      <c r="D2290" s="15"/>
      <c r="E2290" s="38"/>
      <c r="F2290" s="15"/>
      <c r="G2290" s="38"/>
    </row>
    <row r="2291" spans="1:7" s="8" customFormat="1" ht="21.95" customHeight="1" x14ac:dyDescent="0.15">
      <c r="A2291" s="17"/>
      <c r="B2291" s="36"/>
      <c r="C2291" s="37"/>
      <c r="D2291" s="15"/>
      <c r="E2291" s="38"/>
      <c r="F2291" s="38"/>
      <c r="G2291" s="38"/>
    </row>
    <row r="2292" spans="1:7" s="8" customFormat="1" ht="21.95" customHeight="1" x14ac:dyDescent="0.15">
      <c r="A2292" s="17"/>
      <c r="B2292" s="36"/>
      <c r="C2292" s="37"/>
      <c r="D2292" s="15"/>
      <c r="E2292" s="38"/>
      <c r="F2292" s="15"/>
      <c r="G2292" s="38"/>
    </row>
    <row r="2293" spans="1:7" s="8" customFormat="1" ht="21.95" customHeight="1" x14ac:dyDescent="0.15">
      <c r="A2293" s="17"/>
      <c r="B2293" s="36"/>
      <c r="C2293" s="37"/>
      <c r="D2293" s="15"/>
      <c r="E2293" s="38"/>
      <c r="F2293" s="38"/>
      <c r="G2293" s="38"/>
    </row>
    <row r="2294" spans="1:7" s="8" customFormat="1" ht="21.95" customHeight="1" x14ac:dyDescent="0.15">
      <c r="A2294" s="17"/>
      <c r="B2294" s="36"/>
      <c r="C2294" s="37"/>
      <c r="D2294" s="15"/>
      <c r="E2294" s="38"/>
      <c r="F2294" s="15"/>
      <c r="G2294" s="38"/>
    </row>
    <row r="2295" spans="1:7" s="8" customFormat="1" ht="21.95" customHeight="1" x14ac:dyDescent="0.15">
      <c r="A2295" s="17"/>
      <c r="B2295" s="36"/>
      <c r="C2295" s="37"/>
      <c r="D2295" s="15"/>
      <c r="E2295" s="38"/>
      <c r="F2295" s="38"/>
      <c r="G2295" s="38"/>
    </row>
    <row r="2296" spans="1:7" s="8" customFormat="1" ht="21.95" customHeight="1" x14ac:dyDescent="0.15">
      <c r="A2296" s="17"/>
      <c r="B2296" s="36"/>
      <c r="C2296" s="37"/>
      <c r="D2296" s="15"/>
      <c r="E2296" s="38"/>
      <c r="F2296" s="15"/>
      <c r="G2296" s="38"/>
    </row>
    <row r="2297" spans="1:7" ht="21.95" customHeight="1" x14ac:dyDescent="0.15">
      <c r="A2297" s="17"/>
      <c r="B2297" s="36"/>
      <c r="C2297" s="37"/>
      <c r="E2297" s="38"/>
      <c r="F2297" s="38"/>
      <c r="G2297" s="38"/>
    </row>
    <row r="2298" spans="1:7" ht="21.95" customHeight="1" x14ac:dyDescent="0.15">
      <c r="A2298" s="17"/>
      <c r="B2298" s="36"/>
      <c r="C2298" s="37"/>
      <c r="E2298" s="38"/>
      <c r="G2298" s="38"/>
    </row>
    <row r="2299" spans="1:7" ht="21.95" customHeight="1" x14ac:dyDescent="0.15">
      <c r="A2299" s="17"/>
      <c r="B2299" s="36"/>
      <c r="C2299" s="37"/>
      <c r="E2299" s="38"/>
      <c r="G2299" s="38"/>
    </row>
    <row r="2300" spans="1:7" ht="21.95" customHeight="1" x14ac:dyDescent="0.15">
      <c r="A2300" s="17"/>
      <c r="B2300" s="36"/>
      <c r="C2300" s="37"/>
      <c r="E2300" s="38"/>
      <c r="F2300" s="38"/>
      <c r="G2300" s="38"/>
    </row>
    <row r="2301" spans="1:7" s="8" customFormat="1" ht="21.95" customHeight="1" x14ac:dyDescent="0.15">
      <c r="A2301" s="17"/>
      <c r="B2301" s="36"/>
      <c r="C2301" s="37"/>
      <c r="D2301" s="15"/>
      <c r="E2301" s="38"/>
      <c r="F2301" s="38"/>
      <c r="G2301" s="38"/>
    </row>
    <row r="2302" spans="1:7" s="8" customFormat="1" ht="21.95" customHeight="1" x14ac:dyDescent="0.15">
      <c r="A2302" s="17"/>
      <c r="B2302" s="36"/>
      <c r="C2302" s="37"/>
      <c r="D2302" s="15"/>
      <c r="E2302" s="38"/>
      <c r="F2302" s="38"/>
      <c r="G2302" s="38"/>
    </row>
    <row r="2303" spans="1:7" s="8" customFormat="1" ht="21.95" customHeight="1" x14ac:dyDescent="0.15">
      <c r="A2303" s="17"/>
      <c r="B2303" s="36"/>
      <c r="C2303" s="37"/>
      <c r="D2303" s="15"/>
      <c r="E2303" s="38"/>
      <c r="F2303" s="38"/>
      <c r="G2303" s="38"/>
    </row>
    <row r="2304" spans="1:7" s="8" customFormat="1" ht="21.95" customHeight="1" x14ac:dyDescent="0.15">
      <c r="A2304" s="17"/>
      <c r="B2304" s="36"/>
      <c r="C2304" s="37"/>
      <c r="D2304" s="15"/>
      <c r="E2304" s="38"/>
      <c r="F2304" s="38"/>
      <c r="G2304" s="38"/>
    </row>
    <row r="2305" spans="1:7" s="8" customFormat="1" ht="21.95" customHeight="1" x14ac:dyDescent="0.15">
      <c r="A2305" s="17"/>
      <c r="B2305" s="36"/>
      <c r="C2305" s="37"/>
      <c r="D2305" s="15"/>
      <c r="E2305" s="38"/>
      <c r="F2305" s="38"/>
      <c r="G2305" s="38"/>
    </row>
    <row r="2306" spans="1:7" s="8" customFormat="1" ht="21.95" customHeight="1" x14ac:dyDescent="0.15">
      <c r="A2306" s="17"/>
      <c r="B2306" s="36"/>
      <c r="C2306" s="37"/>
      <c r="D2306" s="15"/>
      <c r="E2306" s="38"/>
      <c r="F2306" s="38"/>
      <c r="G2306" s="38"/>
    </row>
    <row r="2307" spans="1:7" s="8" customFormat="1" ht="21.95" customHeight="1" x14ac:dyDescent="0.15">
      <c r="A2307" s="17"/>
      <c r="B2307" s="36"/>
      <c r="C2307" s="37"/>
      <c r="D2307" s="15"/>
      <c r="E2307" s="38"/>
      <c r="F2307" s="38"/>
      <c r="G2307" s="38"/>
    </row>
    <row r="2308" spans="1:7" s="8" customFormat="1" ht="21.95" customHeight="1" x14ac:dyDescent="0.15">
      <c r="A2308" s="17"/>
      <c r="B2308" s="36"/>
      <c r="C2308" s="37"/>
      <c r="D2308" s="15"/>
      <c r="E2308" s="38"/>
      <c r="F2308" s="38"/>
      <c r="G2308" s="38"/>
    </row>
    <row r="2309" spans="1:7" s="8" customFormat="1" ht="21.95" customHeight="1" x14ac:dyDescent="0.15">
      <c r="A2309" s="17"/>
      <c r="B2309" s="36"/>
      <c r="C2309" s="37"/>
      <c r="D2309" s="15"/>
      <c r="E2309" s="38"/>
      <c r="F2309" s="38"/>
      <c r="G2309" s="38"/>
    </row>
    <row r="2310" spans="1:7" s="8" customFormat="1" ht="21.95" customHeight="1" x14ac:dyDescent="0.15">
      <c r="A2310" s="17"/>
      <c r="B2310" s="36"/>
      <c r="C2310" s="37"/>
      <c r="D2310" s="15"/>
      <c r="E2310" s="38"/>
      <c r="F2310" s="38"/>
      <c r="G2310" s="38"/>
    </row>
    <row r="2311" spans="1:7" s="8" customFormat="1" ht="21.95" customHeight="1" x14ac:dyDescent="0.15">
      <c r="A2311" s="17"/>
      <c r="B2311" s="36"/>
      <c r="C2311" s="37"/>
      <c r="D2311" s="15"/>
      <c r="E2311" s="38"/>
      <c r="F2311" s="38"/>
      <c r="G2311" s="38"/>
    </row>
    <row r="2312" spans="1:7" s="8" customFormat="1" ht="32.1" customHeight="1" x14ac:dyDescent="0.15">
      <c r="A2312" s="17"/>
      <c r="B2312" s="36"/>
      <c r="C2312" s="37"/>
      <c r="D2312" s="15"/>
      <c r="E2312" s="38"/>
      <c r="F2312" s="38"/>
      <c r="G2312" s="38"/>
    </row>
    <row r="2313" spans="1:7" s="8" customFormat="1" ht="32.1" customHeight="1" x14ac:dyDescent="0.15">
      <c r="A2313" s="17"/>
      <c r="B2313" s="36"/>
      <c r="C2313" s="37"/>
      <c r="D2313" s="15"/>
      <c r="E2313" s="38"/>
      <c r="F2313" s="38"/>
      <c r="G2313" s="38"/>
    </row>
    <row r="2314" spans="1:7" s="8" customFormat="1" ht="32.1" customHeight="1" x14ac:dyDescent="0.15">
      <c r="A2314" s="17"/>
      <c r="B2314" s="36"/>
      <c r="C2314" s="37"/>
      <c r="D2314" s="15"/>
      <c r="E2314" s="38"/>
      <c r="F2314" s="38"/>
      <c r="G2314" s="38"/>
    </row>
    <row r="2315" spans="1:7" s="8" customFormat="1" ht="32.1" customHeight="1" x14ac:dyDescent="0.15">
      <c r="A2315" s="17"/>
      <c r="B2315" s="36"/>
      <c r="C2315" s="37"/>
      <c r="D2315" s="15"/>
      <c r="E2315" s="38"/>
      <c r="F2315" s="38"/>
      <c r="G2315" s="38"/>
    </row>
    <row r="2316" spans="1:7" s="8" customFormat="1" ht="32.1" customHeight="1" x14ac:dyDescent="0.15">
      <c r="A2316" s="17"/>
      <c r="B2316" s="36"/>
      <c r="C2316" s="37"/>
      <c r="D2316" s="15"/>
      <c r="E2316" s="38"/>
      <c r="F2316" s="38"/>
      <c r="G2316" s="38"/>
    </row>
    <row r="2317" spans="1:7" s="8" customFormat="1" ht="32.1" customHeight="1" x14ac:dyDescent="0.15">
      <c r="A2317" s="17"/>
      <c r="B2317" s="36"/>
      <c r="C2317" s="37"/>
      <c r="D2317" s="15"/>
      <c r="E2317" s="38"/>
      <c r="F2317" s="38"/>
      <c r="G2317" s="38"/>
    </row>
    <row r="2318" spans="1:7" ht="32.1" customHeight="1" x14ac:dyDescent="0.15">
      <c r="A2318" s="17"/>
      <c r="B2318" s="36"/>
      <c r="C2318" s="37"/>
      <c r="E2318" s="38"/>
      <c r="F2318" s="38"/>
      <c r="G2318" s="38"/>
    </row>
    <row r="2319" spans="1:7" ht="32.1" customHeight="1" x14ac:dyDescent="0.15">
      <c r="A2319" s="17"/>
      <c r="B2319" s="36"/>
      <c r="C2319" s="37"/>
      <c r="F2319" s="38"/>
      <c r="G2319" s="38"/>
    </row>
    <row r="2320" spans="1:7" ht="32.1" customHeight="1" x14ac:dyDescent="0.15">
      <c r="A2320" s="17"/>
      <c r="B2320" s="36"/>
      <c r="C2320" s="37"/>
      <c r="F2320" s="38"/>
      <c r="G2320" s="38"/>
    </row>
    <row r="2321" spans="1:7" ht="32.1" customHeight="1" x14ac:dyDescent="0.15">
      <c r="A2321" s="17"/>
      <c r="B2321" s="36"/>
      <c r="C2321" s="37"/>
      <c r="F2321" s="38"/>
      <c r="G2321" s="38"/>
    </row>
    <row r="2322" spans="1:7" ht="21.95" customHeight="1" x14ac:dyDescent="0.15">
      <c r="A2322" s="17"/>
      <c r="B2322" s="36"/>
      <c r="C2322" s="37"/>
      <c r="F2322" s="38"/>
      <c r="G2322" s="38"/>
    </row>
    <row r="2323" spans="1:7" ht="54" customHeight="1" x14ac:dyDescent="0.15">
      <c r="A2323" s="17"/>
      <c r="B2323" s="36"/>
      <c r="C2323" s="37"/>
      <c r="F2323" s="38"/>
      <c r="G2323" s="38"/>
    </row>
    <row r="2324" spans="1:7" ht="21.95" customHeight="1" x14ac:dyDescent="0.15">
      <c r="A2324" s="17"/>
      <c r="B2324" s="36"/>
      <c r="C2324" s="37"/>
      <c r="F2324" s="38"/>
      <c r="G2324" s="38"/>
    </row>
    <row r="2325" spans="1:7" ht="21.95" customHeight="1" x14ac:dyDescent="0.15">
      <c r="A2325" s="17"/>
      <c r="B2325" s="36"/>
      <c r="C2325" s="37"/>
      <c r="F2325" s="38"/>
      <c r="G2325" s="38"/>
    </row>
    <row r="2326" spans="1:7" ht="21.95" customHeight="1" x14ac:dyDescent="0.15">
      <c r="A2326" s="17"/>
      <c r="B2326" s="36"/>
      <c r="C2326" s="37"/>
      <c r="F2326" s="38"/>
      <c r="G2326" s="38"/>
    </row>
    <row r="2327" spans="1:7" ht="21.95" customHeight="1" x14ac:dyDescent="0.15">
      <c r="A2327" s="17"/>
      <c r="B2327" s="36"/>
      <c r="C2327" s="37"/>
      <c r="F2327" s="38"/>
      <c r="G2327" s="38"/>
    </row>
    <row r="2328" spans="1:7" ht="21.95" customHeight="1" x14ac:dyDescent="0.15">
      <c r="A2328" s="17"/>
      <c r="B2328" s="36"/>
      <c r="C2328" s="37"/>
      <c r="F2328" s="38"/>
      <c r="G2328" s="38"/>
    </row>
    <row r="2329" spans="1:7" ht="21.95" customHeight="1" x14ac:dyDescent="0.15">
      <c r="A2329" s="17"/>
      <c r="B2329" s="36"/>
      <c r="C2329" s="37"/>
      <c r="F2329" s="38"/>
      <c r="G2329" s="38"/>
    </row>
    <row r="2330" spans="1:7" ht="21.95" customHeight="1" x14ac:dyDescent="0.15">
      <c r="A2330" s="17"/>
      <c r="B2330" s="36"/>
      <c r="C2330" s="37"/>
      <c r="G2330" s="38"/>
    </row>
    <row r="2331" spans="1:7" ht="21.95" customHeight="1" x14ac:dyDescent="0.15">
      <c r="A2331" s="17"/>
      <c r="B2331" s="36"/>
      <c r="C2331" s="37"/>
      <c r="G2331" s="38"/>
    </row>
    <row r="2332" spans="1:7" ht="21.95" customHeight="1" x14ac:dyDescent="0.15">
      <c r="A2332" s="17"/>
      <c r="B2332" s="36"/>
      <c r="C2332" s="37"/>
      <c r="G2332" s="38"/>
    </row>
    <row r="2333" spans="1:7" ht="21.95" customHeight="1" x14ac:dyDescent="0.15">
      <c r="A2333" s="17"/>
      <c r="B2333" s="36"/>
      <c r="C2333" s="37"/>
      <c r="G2333" s="38"/>
    </row>
    <row r="2334" spans="1:7" ht="21.95" customHeight="1" x14ac:dyDescent="0.15">
      <c r="A2334" s="17"/>
      <c r="B2334" s="36"/>
      <c r="C2334" s="37"/>
      <c r="G2334" s="38"/>
    </row>
    <row r="2335" spans="1:7" ht="21.95" customHeight="1" x14ac:dyDescent="0.15">
      <c r="A2335" s="17"/>
      <c r="B2335" s="36"/>
      <c r="C2335" s="37"/>
      <c r="G2335" s="38"/>
    </row>
    <row r="2336" spans="1:7" ht="21.95" customHeight="1" x14ac:dyDescent="0.15">
      <c r="A2336" s="17"/>
      <c r="B2336" s="36"/>
      <c r="C2336" s="37"/>
      <c r="G2336" s="38"/>
    </row>
    <row r="2337" spans="1:7" ht="21.95" customHeight="1" x14ac:dyDescent="0.15">
      <c r="A2337" s="17"/>
      <c r="B2337" s="36"/>
      <c r="C2337" s="37"/>
      <c r="G2337" s="38"/>
    </row>
    <row r="2338" spans="1:7" ht="21.95" customHeight="1" x14ac:dyDescent="0.15">
      <c r="A2338" s="17"/>
      <c r="B2338" s="36"/>
      <c r="C2338" s="37"/>
      <c r="G2338" s="38"/>
    </row>
    <row r="2339" spans="1:7" ht="21.95" customHeight="1" x14ac:dyDescent="0.15">
      <c r="A2339" s="17"/>
      <c r="B2339" s="36"/>
      <c r="C2339" s="37"/>
      <c r="G2339" s="38"/>
    </row>
    <row r="2340" spans="1:7" ht="21.95" customHeight="1" x14ac:dyDescent="0.15">
      <c r="A2340" s="17"/>
      <c r="B2340" s="36"/>
      <c r="C2340" s="37"/>
      <c r="G2340" s="38"/>
    </row>
    <row r="2341" spans="1:7" ht="21.95" customHeight="1" x14ac:dyDescent="0.15">
      <c r="A2341" s="17"/>
      <c r="B2341" s="36"/>
      <c r="C2341" s="37"/>
    </row>
    <row r="2342" spans="1:7" ht="21.95" customHeight="1" x14ac:dyDescent="0.15">
      <c r="A2342" s="17"/>
      <c r="B2342" s="36"/>
      <c r="C2342" s="37"/>
    </row>
    <row r="2343" spans="1:7" ht="21.95" customHeight="1" x14ac:dyDescent="0.15">
      <c r="A2343" s="17"/>
      <c r="B2343" s="36"/>
      <c r="C2343" s="37"/>
    </row>
    <row r="2344" spans="1:7" ht="21.95" customHeight="1" x14ac:dyDescent="0.15">
      <c r="A2344" s="17"/>
      <c r="B2344" s="36"/>
      <c r="C2344" s="37"/>
    </row>
    <row r="2345" spans="1:7" ht="21.95" customHeight="1" x14ac:dyDescent="0.15">
      <c r="A2345" s="17"/>
      <c r="B2345" s="36"/>
      <c r="C2345" s="37"/>
    </row>
    <row r="2346" spans="1:7" ht="21.95" customHeight="1" x14ac:dyDescent="0.15">
      <c r="A2346" s="17"/>
      <c r="B2346" s="36"/>
      <c r="C2346" s="37"/>
    </row>
    <row r="2347" spans="1:7" ht="21.95" customHeight="1" x14ac:dyDescent="0.15">
      <c r="A2347" s="17"/>
      <c r="B2347" s="36"/>
      <c r="C2347" s="37"/>
    </row>
    <row r="2348" spans="1:7" ht="21.95" customHeight="1" x14ac:dyDescent="0.15">
      <c r="A2348" s="17"/>
      <c r="B2348" s="36"/>
      <c r="C2348" s="37"/>
    </row>
    <row r="2349" spans="1:7" ht="21.95" customHeight="1" x14ac:dyDescent="0.15">
      <c r="A2349" s="17"/>
      <c r="B2349" s="36"/>
      <c r="C2349" s="37"/>
    </row>
    <row r="2350" spans="1:7" ht="21.95" customHeight="1" x14ac:dyDescent="0.15">
      <c r="A2350" s="17"/>
      <c r="B2350" s="36"/>
      <c r="C2350" s="37"/>
    </row>
    <row r="2351" spans="1:7" ht="21.95" customHeight="1" x14ac:dyDescent="0.15">
      <c r="A2351" s="17"/>
      <c r="B2351" s="36"/>
      <c r="C2351" s="37"/>
    </row>
    <row r="2352" spans="1:7" ht="21.95" customHeight="1" x14ac:dyDescent="0.15">
      <c r="A2352" s="17"/>
      <c r="B2352" s="36"/>
      <c r="C2352" s="37"/>
    </row>
    <row r="2353" spans="1:3" ht="21.95" customHeight="1" x14ac:dyDescent="0.15">
      <c r="A2353" s="17"/>
      <c r="B2353" s="36"/>
      <c r="C2353" s="37"/>
    </row>
    <row r="2354" spans="1:3" ht="21.95" customHeight="1" x14ac:dyDescent="0.15">
      <c r="A2354" s="17"/>
      <c r="B2354" s="36"/>
      <c r="C2354" s="37"/>
    </row>
    <row r="2355" spans="1:3" ht="21.95" customHeight="1" x14ac:dyDescent="0.15">
      <c r="A2355" s="17"/>
      <c r="B2355" s="36"/>
      <c r="C2355" s="37"/>
    </row>
    <row r="2356" spans="1:3" ht="21.95" customHeight="1" x14ac:dyDescent="0.15">
      <c r="A2356" s="17"/>
      <c r="B2356" s="36"/>
      <c r="C2356" s="37"/>
    </row>
    <row r="2357" spans="1:3" ht="21.95" customHeight="1" x14ac:dyDescent="0.15">
      <c r="A2357" s="17"/>
      <c r="B2357" s="36"/>
      <c r="C2357" s="37"/>
    </row>
    <row r="2358" spans="1:3" ht="21.95" customHeight="1" x14ac:dyDescent="0.15">
      <c r="A2358" s="17"/>
      <c r="B2358" s="36"/>
      <c r="C2358" s="37"/>
    </row>
    <row r="2359" spans="1:3" ht="21.95" customHeight="1" x14ac:dyDescent="0.15">
      <c r="A2359" s="17"/>
      <c r="B2359" s="36"/>
      <c r="C2359" s="37"/>
    </row>
    <row r="2360" spans="1:3" ht="21.95" customHeight="1" x14ac:dyDescent="0.15">
      <c r="A2360" s="17"/>
      <c r="B2360" s="36"/>
      <c r="C2360" s="37"/>
    </row>
    <row r="2361" spans="1:3" ht="21.95" customHeight="1" x14ac:dyDescent="0.15">
      <c r="A2361" s="17"/>
      <c r="B2361" s="36"/>
      <c r="C2361" s="37"/>
    </row>
    <row r="2362" spans="1:3" ht="21.95" customHeight="1" x14ac:dyDescent="0.15">
      <c r="A2362" s="17"/>
      <c r="B2362" s="36"/>
      <c r="C2362" s="37"/>
    </row>
    <row r="2363" spans="1:3" ht="21.95" customHeight="1" x14ac:dyDescent="0.15">
      <c r="A2363" s="17"/>
      <c r="B2363" s="36"/>
      <c r="C2363" s="37"/>
    </row>
    <row r="2364" spans="1:3" ht="21.95" customHeight="1" x14ac:dyDescent="0.15">
      <c r="A2364" s="17"/>
      <c r="B2364" s="36"/>
      <c r="C2364" s="37"/>
    </row>
    <row r="2365" spans="1:3" ht="21.95" customHeight="1" x14ac:dyDescent="0.15">
      <c r="A2365" s="17"/>
      <c r="B2365" s="36"/>
      <c r="C2365" s="37"/>
    </row>
    <row r="2366" spans="1:3" ht="21.95" customHeight="1" x14ac:dyDescent="0.15">
      <c r="A2366" s="17"/>
      <c r="B2366" s="36"/>
      <c r="C2366" s="37"/>
    </row>
    <row r="2367" spans="1:3" ht="21.95" customHeight="1" x14ac:dyDescent="0.15">
      <c r="A2367" s="17"/>
      <c r="B2367" s="36"/>
      <c r="C2367" s="37"/>
    </row>
    <row r="2368" spans="1:3" ht="21.95" customHeight="1" x14ac:dyDescent="0.15">
      <c r="A2368" s="17"/>
      <c r="B2368" s="36"/>
      <c r="C2368" s="37"/>
    </row>
    <row r="2369" spans="1:7" ht="21.95" customHeight="1" x14ac:dyDescent="0.15">
      <c r="A2369" s="17"/>
      <c r="B2369" s="36"/>
      <c r="C2369" s="37"/>
    </row>
    <row r="2370" spans="1:7" ht="21.95" customHeight="1" x14ac:dyDescent="0.15">
      <c r="A2370" s="17"/>
      <c r="B2370" s="36"/>
      <c r="C2370" s="37"/>
    </row>
    <row r="2371" spans="1:7" ht="21.95" customHeight="1" x14ac:dyDescent="0.15">
      <c r="A2371" s="17"/>
      <c r="B2371" s="36"/>
      <c r="C2371" s="37"/>
    </row>
    <row r="2372" spans="1:7" ht="21.95" customHeight="1" x14ac:dyDescent="0.15">
      <c r="A2372" s="17"/>
      <c r="B2372" s="36"/>
      <c r="C2372" s="37"/>
      <c r="G2372" s="38"/>
    </row>
    <row r="2373" spans="1:7" ht="21.95" customHeight="1" x14ac:dyDescent="0.15">
      <c r="A2373" s="17"/>
      <c r="B2373" s="36"/>
      <c r="C2373" s="37"/>
    </row>
    <row r="2374" spans="1:7" ht="35.1" customHeight="1" x14ac:dyDescent="0.15">
      <c r="A2374" s="17"/>
      <c r="B2374" s="36"/>
      <c r="C2374" s="37"/>
    </row>
    <row r="2375" spans="1:7" ht="21.95" customHeight="1" x14ac:dyDescent="0.15">
      <c r="A2375" s="17"/>
      <c r="B2375" s="36"/>
      <c r="C2375" s="37"/>
    </row>
    <row r="2376" spans="1:7" ht="21.95" customHeight="1" x14ac:dyDescent="0.15">
      <c r="A2376" s="17"/>
      <c r="B2376" s="36"/>
      <c r="C2376" s="37"/>
    </row>
    <row r="2377" spans="1:7" ht="21.95" customHeight="1" x14ac:dyDescent="0.15">
      <c r="A2377" s="17"/>
      <c r="B2377" s="36"/>
      <c r="C2377" s="37"/>
    </row>
    <row r="2378" spans="1:7" ht="21.95" customHeight="1" x14ac:dyDescent="0.15">
      <c r="A2378" s="17"/>
      <c r="B2378" s="36"/>
      <c r="C2378" s="37"/>
    </row>
    <row r="2379" spans="1:7" ht="21.95" customHeight="1" x14ac:dyDescent="0.15">
      <c r="A2379" s="17"/>
      <c r="B2379" s="36"/>
      <c r="C2379" s="37"/>
    </row>
    <row r="2380" spans="1:7" ht="21.95" customHeight="1" x14ac:dyDescent="0.15">
      <c r="A2380" s="17"/>
      <c r="B2380" s="36"/>
      <c r="C2380" s="37"/>
    </row>
    <row r="2381" spans="1:7" ht="21.95" customHeight="1" x14ac:dyDescent="0.15">
      <c r="A2381" s="17"/>
      <c r="B2381" s="36"/>
      <c r="C2381" s="37"/>
    </row>
    <row r="2382" spans="1:7" ht="21.95" customHeight="1" x14ac:dyDescent="0.15">
      <c r="A2382" s="17"/>
      <c r="B2382" s="36"/>
      <c r="C2382" s="37"/>
      <c r="G2382" s="38"/>
    </row>
    <row r="2383" spans="1:7" ht="21.95" customHeight="1" x14ac:dyDescent="0.15">
      <c r="A2383" s="17"/>
      <c r="B2383" s="36"/>
      <c r="C2383" s="37"/>
      <c r="G2383" s="38"/>
    </row>
    <row r="2384" spans="1:7" ht="21.95" customHeight="1" x14ac:dyDescent="0.15">
      <c r="A2384" s="17"/>
      <c r="B2384" s="36"/>
      <c r="C2384" s="37"/>
    </row>
    <row r="2385" spans="1:7" ht="21.95" customHeight="1" x14ac:dyDescent="0.15">
      <c r="A2385" s="17"/>
      <c r="B2385" s="36"/>
      <c r="C2385" s="37"/>
    </row>
    <row r="2386" spans="1:7" ht="21.95" customHeight="1" x14ac:dyDescent="0.15">
      <c r="A2386" s="17"/>
      <c r="B2386" s="36"/>
      <c r="C2386" s="37"/>
    </row>
    <row r="2387" spans="1:7" ht="21.95" customHeight="1" x14ac:dyDescent="0.15">
      <c r="A2387" s="17"/>
      <c r="B2387" s="36"/>
      <c r="C2387" s="37"/>
      <c r="G2387" s="38"/>
    </row>
    <row r="2388" spans="1:7" ht="21.95" customHeight="1" x14ac:dyDescent="0.15">
      <c r="A2388" s="17"/>
      <c r="B2388" s="36"/>
      <c r="C2388" s="37"/>
    </row>
    <row r="2389" spans="1:7" ht="21.95" customHeight="1" x14ac:dyDescent="0.15">
      <c r="A2389" s="17"/>
      <c r="B2389" s="36"/>
      <c r="C2389" s="37"/>
    </row>
    <row r="2390" spans="1:7" ht="21.95" customHeight="1" x14ac:dyDescent="0.15">
      <c r="A2390" s="17"/>
      <c r="B2390" s="36"/>
      <c r="C2390" s="37"/>
    </row>
    <row r="2391" spans="1:7" ht="21.95" customHeight="1" x14ac:dyDescent="0.15">
      <c r="A2391" s="17"/>
      <c r="B2391" s="36"/>
      <c r="C2391" s="37"/>
    </row>
    <row r="2392" spans="1:7" ht="21.95" customHeight="1" x14ac:dyDescent="0.15">
      <c r="A2392" s="17"/>
      <c r="B2392" s="36"/>
      <c r="C2392" s="37"/>
    </row>
    <row r="2393" spans="1:7" ht="21.95" customHeight="1" x14ac:dyDescent="0.15">
      <c r="A2393" s="17"/>
      <c r="C2393" s="37"/>
    </row>
    <row r="2394" spans="1:7" ht="21.95" customHeight="1" x14ac:dyDescent="0.15">
      <c r="A2394" s="17"/>
      <c r="B2394" s="36"/>
      <c r="C2394" s="37"/>
    </row>
    <row r="2395" spans="1:7" ht="21.95" customHeight="1" x14ac:dyDescent="0.15">
      <c r="A2395" s="17"/>
    </row>
    <row r="2396" spans="1:7" ht="21.95" customHeight="1" x14ac:dyDescent="0.15">
      <c r="A2396" s="17"/>
    </row>
    <row r="2397" spans="1:7" ht="21.95" customHeight="1" x14ac:dyDescent="0.15">
      <c r="A2397" s="17"/>
    </row>
    <row r="2398" spans="1:7" s="8" customFormat="1" ht="21.95" customHeight="1" x14ac:dyDescent="0.15">
      <c r="A2398" s="17"/>
      <c r="B2398" s="39"/>
      <c r="C2398" s="40"/>
      <c r="D2398" s="38"/>
      <c r="E2398" s="38"/>
      <c r="F2398" s="38"/>
      <c r="G2398" s="38"/>
    </row>
    <row r="2399" spans="1:7" s="8" customFormat="1" ht="21.95" customHeight="1" x14ac:dyDescent="0.15">
      <c r="A2399" s="17"/>
      <c r="B2399" s="36"/>
      <c r="C2399" s="37"/>
      <c r="D2399" s="15"/>
      <c r="E2399" s="38"/>
      <c r="F2399" s="15"/>
      <c r="G2399" s="38"/>
    </row>
    <row r="2400" spans="1:7" s="8" customFormat="1" ht="21.95" customHeight="1" x14ac:dyDescent="0.15">
      <c r="A2400" s="17"/>
      <c r="B2400" s="36"/>
      <c r="C2400" s="95"/>
      <c r="D2400" s="15"/>
      <c r="E2400" s="38"/>
      <c r="F2400" s="15"/>
      <c r="G2400" s="38"/>
    </row>
    <row r="2401" spans="1:7" s="8" customFormat="1" ht="21.95" customHeight="1" x14ac:dyDescent="0.15">
      <c r="A2401" s="17"/>
      <c r="B2401" s="36"/>
      <c r="C2401" s="95"/>
      <c r="D2401" s="15"/>
      <c r="E2401" s="38"/>
      <c r="F2401" s="38"/>
      <c r="G2401" s="38"/>
    </row>
    <row r="2402" spans="1:7" s="8" customFormat="1" ht="21.95" customHeight="1" x14ac:dyDescent="0.15">
      <c r="A2402" s="17"/>
      <c r="B2402" s="36"/>
      <c r="C2402" s="37"/>
      <c r="D2402" s="15"/>
      <c r="E2402" s="38"/>
      <c r="F2402" s="15"/>
      <c r="G2402" s="38"/>
    </row>
    <row r="2403" spans="1:7" s="8" customFormat="1" ht="21.95" customHeight="1" x14ac:dyDescent="0.15">
      <c r="A2403" s="17"/>
      <c r="B2403" s="36"/>
      <c r="C2403" s="37"/>
      <c r="D2403" s="15"/>
      <c r="E2403" s="38"/>
      <c r="F2403" s="38"/>
      <c r="G2403" s="38"/>
    </row>
    <row r="2404" spans="1:7" s="8" customFormat="1" ht="21.95" customHeight="1" x14ac:dyDescent="0.15">
      <c r="A2404" s="17"/>
      <c r="B2404" s="36"/>
      <c r="C2404" s="37"/>
      <c r="D2404" s="15"/>
      <c r="E2404" s="38"/>
      <c r="F2404" s="15"/>
      <c r="G2404" s="38"/>
    </row>
    <row r="2405" spans="1:7" s="8" customFormat="1" ht="21.95" customHeight="1" x14ac:dyDescent="0.15">
      <c r="A2405" s="17"/>
      <c r="B2405" s="36"/>
      <c r="C2405" s="37"/>
      <c r="D2405" s="15"/>
      <c r="E2405" s="38"/>
      <c r="F2405" s="38"/>
      <c r="G2405" s="38"/>
    </row>
    <row r="2406" spans="1:7" s="8" customFormat="1" ht="21.95" customHeight="1" x14ac:dyDescent="0.15">
      <c r="A2406" s="17"/>
      <c r="B2406" s="36"/>
      <c r="C2406" s="37"/>
      <c r="D2406" s="15"/>
      <c r="E2406" s="38"/>
      <c r="F2406" s="15"/>
      <c r="G2406" s="38"/>
    </row>
    <row r="2407" spans="1:7" s="8" customFormat="1" ht="21.95" customHeight="1" x14ac:dyDescent="0.15">
      <c r="A2407" s="17"/>
      <c r="B2407" s="36"/>
      <c r="C2407" s="37"/>
      <c r="D2407" s="15"/>
      <c r="E2407" s="38"/>
      <c r="F2407" s="38"/>
      <c r="G2407" s="38"/>
    </row>
    <row r="2408" spans="1:7" s="8" customFormat="1" ht="21.95" customHeight="1" x14ac:dyDescent="0.15">
      <c r="A2408" s="17"/>
      <c r="B2408" s="36"/>
      <c r="C2408" s="37"/>
      <c r="D2408" s="15"/>
      <c r="E2408" s="38"/>
      <c r="F2408" s="15"/>
      <c r="G2408" s="38"/>
    </row>
    <row r="2409" spans="1:7" ht="21.95" customHeight="1" x14ac:dyDescent="0.15">
      <c r="A2409" s="17"/>
      <c r="B2409" s="36"/>
      <c r="C2409" s="37"/>
      <c r="E2409" s="38"/>
      <c r="F2409" s="38"/>
      <c r="G2409" s="38"/>
    </row>
    <row r="2410" spans="1:7" ht="21.95" customHeight="1" x14ac:dyDescent="0.15">
      <c r="A2410" s="17"/>
      <c r="B2410" s="36"/>
      <c r="C2410" s="37"/>
      <c r="E2410" s="38"/>
      <c r="G2410" s="38"/>
    </row>
    <row r="2411" spans="1:7" ht="21.95" customHeight="1" x14ac:dyDescent="0.15">
      <c r="A2411" s="17"/>
      <c r="B2411" s="36"/>
      <c r="C2411" s="37"/>
      <c r="E2411" s="38"/>
      <c r="G2411" s="38"/>
    </row>
    <row r="2412" spans="1:7" ht="21.95" customHeight="1" x14ac:dyDescent="0.15">
      <c r="A2412" s="17"/>
      <c r="B2412" s="36"/>
      <c r="C2412" s="37"/>
      <c r="E2412" s="38"/>
      <c r="F2412" s="38"/>
      <c r="G2412" s="38"/>
    </row>
    <row r="2413" spans="1:7" s="8" customFormat="1" ht="21.95" customHeight="1" x14ac:dyDescent="0.15">
      <c r="A2413" s="17"/>
      <c r="B2413" s="36"/>
      <c r="C2413" s="37"/>
      <c r="D2413" s="15"/>
      <c r="E2413" s="38"/>
      <c r="F2413" s="38"/>
      <c r="G2413" s="38"/>
    </row>
    <row r="2414" spans="1:7" s="8" customFormat="1" ht="21.95" customHeight="1" x14ac:dyDescent="0.15">
      <c r="A2414" s="17"/>
      <c r="B2414" s="36"/>
      <c r="C2414" s="37"/>
      <c r="D2414" s="15"/>
      <c r="E2414" s="38"/>
      <c r="F2414" s="38"/>
      <c r="G2414" s="38"/>
    </row>
    <row r="2415" spans="1:7" s="8" customFormat="1" ht="21.95" customHeight="1" x14ac:dyDescent="0.15">
      <c r="A2415" s="17"/>
      <c r="B2415" s="36"/>
      <c r="C2415" s="37"/>
      <c r="D2415" s="15"/>
      <c r="E2415" s="38"/>
      <c r="F2415" s="38"/>
      <c r="G2415" s="38"/>
    </row>
    <row r="2416" spans="1:7" s="8" customFormat="1" ht="21.95" customHeight="1" x14ac:dyDescent="0.15">
      <c r="A2416" s="17"/>
      <c r="B2416" s="36"/>
      <c r="C2416" s="37"/>
      <c r="D2416" s="15"/>
      <c r="E2416" s="38"/>
      <c r="F2416" s="38"/>
      <c r="G2416" s="38"/>
    </row>
    <row r="2417" spans="1:7" s="8" customFormat="1" ht="21.95" customHeight="1" x14ac:dyDescent="0.15">
      <c r="A2417" s="17"/>
      <c r="B2417" s="36"/>
      <c r="C2417" s="37"/>
      <c r="D2417" s="15"/>
      <c r="E2417" s="38"/>
      <c r="F2417" s="38"/>
      <c r="G2417" s="38"/>
    </row>
    <row r="2418" spans="1:7" s="8" customFormat="1" ht="21.95" customHeight="1" x14ac:dyDescent="0.15">
      <c r="A2418" s="17"/>
      <c r="B2418" s="36"/>
      <c r="C2418" s="37"/>
      <c r="D2418" s="15"/>
      <c r="E2418" s="38"/>
      <c r="F2418" s="38"/>
      <c r="G2418" s="38"/>
    </row>
    <row r="2419" spans="1:7" s="8" customFormat="1" ht="21.95" customHeight="1" x14ac:dyDescent="0.15">
      <c r="A2419" s="17"/>
      <c r="B2419" s="36"/>
      <c r="C2419" s="37"/>
      <c r="D2419" s="15"/>
      <c r="E2419" s="38"/>
      <c r="F2419" s="38"/>
      <c r="G2419" s="38"/>
    </row>
    <row r="2420" spans="1:7" s="8" customFormat="1" ht="21.95" customHeight="1" x14ac:dyDescent="0.15">
      <c r="A2420" s="17"/>
      <c r="B2420" s="36"/>
      <c r="C2420" s="37"/>
      <c r="D2420" s="15"/>
      <c r="E2420" s="38"/>
      <c r="F2420" s="38"/>
      <c r="G2420" s="38"/>
    </row>
    <row r="2421" spans="1:7" s="8" customFormat="1" ht="21.95" customHeight="1" x14ac:dyDescent="0.15">
      <c r="A2421" s="17"/>
      <c r="B2421" s="36"/>
      <c r="C2421" s="37"/>
      <c r="D2421" s="15"/>
      <c r="E2421" s="38"/>
      <c r="F2421" s="38"/>
      <c r="G2421" s="38"/>
    </row>
    <row r="2422" spans="1:7" s="8" customFormat="1" ht="21.95" customHeight="1" x14ac:dyDescent="0.15">
      <c r="A2422" s="17"/>
      <c r="B2422" s="36"/>
      <c r="C2422" s="37"/>
      <c r="D2422" s="15"/>
      <c r="E2422" s="38"/>
      <c r="F2422" s="38"/>
      <c r="G2422" s="38"/>
    </row>
    <row r="2423" spans="1:7" s="8" customFormat="1" ht="21.95" customHeight="1" x14ac:dyDescent="0.15">
      <c r="A2423" s="17"/>
      <c r="B2423" s="36"/>
      <c r="C2423" s="37"/>
      <c r="D2423" s="15"/>
      <c r="E2423" s="38"/>
      <c r="F2423" s="38"/>
      <c r="G2423" s="38"/>
    </row>
    <row r="2424" spans="1:7" s="8" customFormat="1" ht="32.1" customHeight="1" x14ac:dyDescent="0.15">
      <c r="A2424" s="17"/>
      <c r="B2424" s="36"/>
      <c r="C2424" s="37"/>
      <c r="D2424" s="15"/>
      <c r="E2424" s="38"/>
      <c r="F2424" s="38"/>
      <c r="G2424" s="38"/>
    </row>
    <row r="2425" spans="1:7" s="8" customFormat="1" ht="32.1" customHeight="1" x14ac:dyDescent="0.15">
      <c r="A2425" s="17"/>
      <c r="B2425" s="36"/>
      <c r="C2425" s="37"/>
      <c r="D2425" s="15"/>
      <c r="E2425" s="38"/>
      <c r="F2425" s="38"/>
      <c r="G2425" s="38"/>
    </row>
    <row r="2426" spans="1:7" s="8" customFormat="1" ht="32.1" customHeight="1" x14ac:dyDescent="0.15">
      <c r="A2426" s="17"/>
      <c r="B2426" s="36"/>
      <c r="C2426" s="37"/>
      <c r="D2426" s="15"/>
      <c r="E2426" s="38"/>
      <c r="F2426" s="38"/>
      <c r="G2426" s="38"/>
    </row>
    <row r="2427" spans="1:7" s="8" customFormat="1" ht="32.1" customHeight="1" x14ac:dyDescent="0.15">
      <c r="A2427" s="17"/>
      <c r="B2427" s="36"/>
      <c r="C2427" s="37"/>
      <c r="D2427" s="15"/>
      <c r="E2427" s="38"/>
      <c r="F2427" s="38"/>
      <c r="G2427" s="38"/>
    </row>
    <row r="2428" spans="1:7" s="8" customFormat="1" ht="32.1" customHeight="1" x14ac:dyDescent="0.15">
      <c r="A2428" s="17"/>
      <c r="B2428" s="36"/>
      <c r="C2428" s="37"/>
      <c r="D2428" s="15"/>
      <c r="E2428" s="38"/>
      <c r="F2428" s="38"/>
      <c r="G2428" s="38"/>
    </row>
    <row r="2429" spans="1:7" s="8" customFormat="1" ht="32.1" customHeight="1" x14ac:dyDescent="0.15">
      <c r="A2429" s="17"/>
      <c r="B2429" s="36"/>
      <c r="C2429" s="37"/>
      <c r="D2429" s="15"/>
      <c r="E2429" s="38"/>
      <c r="F2429" s="38"/>
      <c r="G2429" s="38"/>
    </row>
    <row r="2430" spans="1:7" ht="32.1" customHeight="1" x14ac:dyDescent="0.15">
      <c r="A2430" s="17"/>
      <c r="B2430" s="36"/>
      <c r="C2430" s="37"/>
      <c r="E2430" s="38"/>
      <c r="F2430" s="38"/>
      <c r="G2430" s="38"/>
    </row>
    <row r="2431" spans="1:7" ht="32.1" customHeight="1" x14ac:dyDescent="0.15">
      <c r="A2431" s="17"/>
      <c r="B2431" s="36"/>
      <c r="C2431" s="37"/>
      <c r="F2431" s="38"/>
      <c r="G2431" s="38"/>
    </row>
    <row r="2432" spans="1:7" ht="32.1" customHeight="1" x14ac:dyDescent="0.15">
      <c r="A2432" s="17"/>
      <c r="B2432" s="36"/>
      <c r="C2432" s="37"/>
      <c r="F2432" s="38"/>
      <c r="G2432" s="38"/>
    </row>
    <row r="2433" spans="1:7" ht="32.1" customHeight="1" x14ac:dyDescent="0.15">
      <c r="A2433" s="17"/>
      <c r="B2433" s="36"/>
      <c r="C2433" s="37"/>
      <c r="F2433" s="38"/>
      <c r="G2433" s="38"/>
    </row>
    <row r="2434" spans="1:7" ht="21.95" customHeight="1" x14ac:dyDescent="0.15">
      <c r="A2434" s="17"/>
      <c r="B2434" s="36"/>
      <c r="C2434" s="37"/>
      <c r="F2434" s="38"/>
      <c r="G2434" s="38"/>
    </row>
    <row r="2435" spans="1:7" ht="54" customHeight="1" x14ac:dyDescent="0.15">
      <c r="A2435" s="17"/>
      <c r="B2435" s="36"/>
      <c r="C2435" s="37"/>
      <c r="F2435" s="38"/>
      <c r="G2435" s="38"/>
    </row>
    <row r="2436" spans="1:7" ht="21.95" customHeight="1" x14ac:dyDescent="0.15">
      <c r="A2436" s="17"/>
      <c r="B2436" s="36"/>
      <c r="C2436" s="37"/>
      <c r="F2436" s="38"/>
      <c r="G2436" s="38"/>
    </row>
    <row r="2437" spans="1:7" ht="21.95" customHeight="1" x14ac:dyDescent="0.15">
      <c r="A2437" s="17"/>
      <c r="B2437" s="36"/>
      <c r="C2437" s="37"/>
      <c r="F2437" s="38"/>
      <c r="G2437" s="38"/>
    </row>
    <row r="2438" spans="1:7" ht="21.95" customHeight="1" x14ac:dyDescent="0.15">
      <c r="A2438" s="17"/>
      <c r="B2438" s="36"/>
      <c r="C2438" s="37"/>
      <c r="F2438" s="38"/>
      <c r="G2438" s="38"/>
    </row>
    <row r="2439" spans="1:7" ht="21.95" customHeight="1" x14ac:dyDescent="0.15">
      <c r="A2439" s="17"/>
      <c r="B2439" s="36"/>
      <c r="C2439" s="37"/>
      <c r="F2439" s="38"/>
      <c r="G2439" s="38"/>
    </row>
    <row r="2440" spans="1:7" ht="21.95" customHeight="1" x14ac:dyDescent="0.15">
      <c r="A2440" s="17"/>
      <c r="B2440" s="36"/>
      <c r="C2440" s="37"/>
      <c r="F2440" s="38"/>
      <c r="G2440" s="38"/>
    </row>
    <row r="2441" spans="1:7" ht="21.95" customHeight="1" x14ac:dyDescent="0.15">
      <c r="A2441" s="17"/>
      <c r="B2441" s="36"/>
      <c r="C2441" s="37"/>
      <c r="F2441" s="38"/>
      <c r="G2441" s="38"/>
    </row>
    <row r="2442" spans="1:7" ht="21.95" customHeight="1" x14ac:dyDescent="0.15">
      <c r="A2442" s="17"/>
      <c r="B2442" s="36"/>
      <c r="C2442" s="37"/>
      <c r="G2442" s="38"/>
    </row>
    <row r="2443" spans="1:7" ht="21.95" customHeight="1" x14ac:dyDescent="0.15">
      <c r="A2443" s="17"/>
      <c r="B2443" s="36"/>
      <c r="C2443" s="37"/>
      <c r="G2443" s="38"/>
    </row>
    <row r="2444" spans="1:7" ht="21.95" customHeight="1" x14ac:dyDescent="0.15">
      <c r="A2444" s="17"/>
      <c r="B2444" s="36"/>
      <c r="C2444" s="37"/>
      <c r="G2444" s="38"/>
    </row>
    <row r="2445" spans="1:7" ht="21.95" customHeight="1" x14ac:dyDescent="0.15">
      <c r="A2445" s="17"/>
      <c r="B2445" s="36"/>
      <c r="C2445" s="37"/>
      <c r="G2445" s="38"/>
    </row>
    <row r="2446" spans="1:7" ht="21.95" customHeight="1" x14ac:dyDescent="0.15">
      <c r="A2446" s="17"/>
      <c r="B2446" s="36"/>
      <c r="C2446" s="37"/>
      <c r="G2446" s="38"/>
    </row>
    <row r="2447" spans="1:7" ht="21.95" customHeight="1" x14ac:dyDescent="0.15">
      <c r="A2447" s="17"/>
      <c r="B2447" s="36"/>
      <c r="C2447" s="37"/>
      <c r="G2447" s="38"/>
    </row>
    <row r="2448" spans="1:7" ht="21.95" customHeight="1" x14ac:dyDescent="0.15">
      <c r="A2448" s="17"/>
      <c r="B2448" s="36"/>
      <c r="C2448" s="37"/>
      <c r="G2448" s="38"/>
    </row>
    <row r="2449" spans="1:7" ht="21.95" customHeight="1" x14ac:dyDescent="0.15">
      <c r="A2449" s="17"/>
      <c r="B2449" s="36"/>
      <c r="C2449" s="37"/>
      <c r="G2449" s="38"/>
    </row>
    <row r="2450" spans="1:7" ht="21.95" customHeight="1" x14ac:dyDescent="0.15">
      <c r="A2450" s="17"/>
      <c r="B2450" s="36"/>
      <c r="C2450" s="37"/>
      <c r="G2450" s="38"/>
    </row>
    <row r="2451" spans="1:7" ht="21.95" customHeight="1" x14ac:dyDescent="0.15">
      <c r="A2451" s="17"/>
      <c r="B2451" s="36"/>
      <c r="C2451" s="37"/>
      <c r="G2451" s="38"/>
    </row>
    <row r="2452" spans="1:7" ht="21.95" customHeight="1" x14ac:dyDescent="0.15">
      <c r="A2452" s="17"/>
      <c r="B2452" s="36"/>
      <c r="C2452" s="37"/>
      <c r="G2452" s="38"/>
    </row>
    <row r="2453" spans="1:7" ht="21.95" customHeight="1" x14ac:dyDescent="0.15">
      <c r="A2453" s="17"/>
      <c r="B2453" s="36"/>
      <c r="C2453" s="37"/>
    </row>
    <row r="2454" spans="1:7" ht="21.95" customHeight="1" x14ac:dyDescent="0.15">
      <c r="A2454" s="17"/>
      <c r="B2454" s="36"/>
      <c r="C2454" s="37"/>
    </row>
    <row r="2455" spans="1:7" ht="21.95" customHeight="1" x14ac:dyDescent="0.15">
      <c r="A2455" s="17"/>
      <c r="B2455" s="36"/>
      <c r="C2455" s="37"/>
    </row>
    <row r="2456" spans="1:7" ht="21.95" customHeight="1" x14ac:dyDescent="0.15">
      <c r="A2456" s="17"/>
      <c r="B2456" s="36"/>
      <c r="C2456" s="37"/>
    </row>
    <row r="2457" spans="1:7" ht="21.95" customHeight="1" x14ac:dyDescent="0.15">
      <c r="A2457" s="17"/>
      <c r="B2457" s="36"/>
      <c r="C2457" s="37"/>
    </row>
    <row r="2458" spans="1:7" ht="21.95" customHeight="1" x14ac:dyDescent="0.15">
      <c r="A2458" s="17"/>
      <c r="B2458" s="36"/>
      <c r="C2458" s="37"/>
    </row>
    <row r="2459" spans="1:7" ht="21.95" customHeight="1" x14ac:dyDescent="0.15">
      <c r="A2459" s="17"/>
      <c r="B2459" s="36"/>
      <c r="C2459" s="37"/>
    </row>
    <row r="2460" spans="1:7" ht="21.95" customHeight="1" x14ac:dyDescent="0.15">
      <c r="A2460" s="17"/>
      <c r="B2460" s="36"/>
      <c r="C2460" s="37"/>
    </row>
    <row r="2461" spans="1:7" ht="21.95" customHeight="1" x14ac:dyDescent="0.15">
      <c r="A2461" s="17"/>
      <c r="B2461" s="36"/>
      <c r="C2461" s="37"/>
    </row>
    <row r="2462" spans="1:7" ht="21.95" customHeight="1" x14ac:dyDescent="0.15">
      <c r="A2462" s="17"/>
      <c r="B2462" s="36"/>
      <c r="C2462" s="37"/>
    </row>
    <row r="2463" spans="1:7" ht="21.95" customHeight="1" x14ac:dyDescent="0.15">
      <c r="A2463" s="17"/>
      <c r="B2463" s="36"/>
      <c r="C2463" s="37"/>
    </row>
    <row r="2464" spans="1:7" ht="21.95" customHeight="1" x14ac:dyDescent="0.15">
      <c r="A2464" s="17"/>
      <c r="B2464" s="36"/>
      <c r="C2464" s="37"/>
    </row>
    <row r="2465" spans="1:3" ht="21.95" customHeight="1" x14ac:dyDescent="0.15">
      <c r="A2465" s="17"/>
      <c r="B2465" s="36"/>
      <c r="C2465" s="37"/>
    </row>
    <row r="2466" spans="1:3" ht="21.95" customHeight="1" x14ac:dyDescent="0.15">
      <c r="A2466" s="17"/>
      <c r="B2466" s="36"/>
      <c r="C2466" s="37"/>
    </row>
    <row r="2467" spans="1:3" ht="21.95" customHeight="1" x14ac:dyDescent="0.15">
      <c r="A2467" s="17"/>
      <c r="B2467" s="36"/>
      <c r="C2467" s="37"/>
    </row>
    <row r="2468" spans="1:3" ht="21.95" customHeight="1" x14ac:dyDescent="0.15">
      <c r="A2468" s="17"/>
      <c r="B2468" s="36"/>
      <c r="C2468" s="37"/>
    </row>
    <row r="2469" spans="1:3" ht="21.95" customHeight="1" x14ac:dyDescent="0.15">
      <c r="A2469" s="17"/>
      <c r="B2469" s="36"/>
      <c r="C2469" s="37"/>
    </row>
    <row r="2470" spans="1:3" ht="21.95" customHeight="1" x14ac:dyDescent="0.15">
      <c r="A2470" s="17"/>
      <c r="B2470" s="36"/>
      <c r="C2470" s="37"/>
    </row>
    <row r="2471" spans="1:3" ht="21.95" customHeight="1" x14ac:dyDescent="0.15">
      <c r="A2471" s="17"/>
      <c r="B2471" s="36"/>
      <c r="C2471" s="37"/>
    </row>
    <row r="2472" spans="1:3" ht="21.95" customHeight="1" x14ac:dyDescent="0.15">
      <c r="A2472" s="17"/>
      <c r="B2472" s="36"/>
      <c r="C2472" s="37"/>
    </row>
    <row r="2473" spans="1:3" ht="21.95" customHeight="1" x14ac:dyDescent="0.15">
      <c r="A2473" s="17"/>
      <c r="B2473" s="36"/>
      <c r="C2473" s="37"/>
    </row>
    <row r="2474" spans="1:3" ht="21.95" customHeight="1" x14ac:dyDescent="0.15">
      <c r="A2474" s="17"/>
      <c r="B2474" s="36"/>
      <c r="C2474" s="37"/>
    </row>
    <row r="2475" spans="1:3" ht="21.95" customHeight="1" x14ac:dyDescent="0.15">
      <c r="A2475" s="17"/>
      <c r="B2475" s="36"/>
      <c r="C2475" s="37"/>
    </row>
    <row r="2476" spans="1:3" ht="21.95" customHeight="1" x14ac:dyDescent="0.15">
      <c r="A2476" s="17"/>
      <c r="B2476" s="36"/>
      <c r="C2476" s="37"/>
    </row>
    <row r="2477" spans="1:3" ht="21.95" customHeight="1" x14ac:dyDescent="0.15">
      <c r="A2477" s="17"/>
      <c r="B2477" s="36"/>
      <c r="C2477" s="37"/>
    </row>
    <row r="2478" spans="1:3" ht="21.95" customHeight="1" x14ac:dyDescent="0.15">
      <c r="A2478" s="17"/>
      <c r="B2478" s="36"/>
      <c r="C2478" s="37"/>
    </row>
    <row r="2479" spans="1:3" ht="21.95" customHeight="1" x14ac:dyDescent="0.15">
      <c r="A2479" s="17"/>
      <c r="B2479" s="36"/>
      <c r="C2479" s="37"/>
    </row>
    <row r="2480" spans="1:3" ht="21.95" customHeight="1" x14ac:dyDescent="0.15">
      <c r="A2480" s="17"/>
      <c r="B2480" s="36"/>
      <c r="C2480" s="37"/>
    </row>
    <row r="2481" spans="1:7" ht="21.95" customHeight="1" x14ac:dyDescent="0.15">
      <c r="A2481" s="17"/>
      <c r="B2481" s="36"/>
      <c r="C2481" s="37"/>
    </row>
    <row r="2482" spans="1:7" ht="21.95" customHeight="1" x14ac:dyDescent="0.15">
      <c r="A2482" s="17"/>
      <c r="B2482" s="36"/>
      <c r="C2482" s="37"/>
    </row>
    <row r="2483" spans="1:7" ht="21.95" customHeight="1" x14ac:dyDescent="0.15">
      <c r="A2483" s="17"/>
      <c r="B2483" s="36"/>
      <c r="C2483" s="37"/>
    </row>
    <row r="2484" spans="1:7" ht="21.95" customHeight="1" x14ac:dyDescent="0.15">
      <c r="A2484" s="17"/>
      <c r="B2484" s="36"/>
      <c r="C2484" s="37"/>
      <c r="G2484" s="38"/>
    </row>
    <row r="2485" spans="1:7" ht="21.95" customHeight="1" x14ac:dyDescent="0.15">
      <c r="A2485" s="17"/>
      <c r="B2485" s="36"/>
      <c r="C2485" s="37"/>
    </row>
    <row r="2486" spans="1:7" ht="35.1" customHeight="1" x14ac:dyDescent="0.15">
      <c r="A2486" s="17"/>
      <c r="B2486" s="36"/>
      <c r="C2486" s="37"/>
    </row>
    <row r="2487" spans="1:7" ht="21.95" customHeight="1" x14ac:dyDescent="0.15">
      <c r="A2487" s="17"/>
      <c r="B2487" s="36"/>
      <c r="C2487" s="37"/>
    </row>
    <row r="2488" spans="1:7" ht="21.95" customHeight="1" x14ac:dyDescent="0.15">
      <c r="A2488" s="17"/>
      <c r="B2488" s="36"/>
      <c r="C2488" s="37"/>
    </row>
    <row r="2489" spans="1:7" ht="21.95" customHeight="1" x14ac:dyDescent="0.15">
      <c r="A2489" s="17"/>
      <c r="B2489" s="36"/>
      <c r="C2489" s="37"/>
    </row>
    <row r="2490" spans="1:7" ht="21.95" customHeight="1" x14ac:dyDescent="0.15">
      <c r="A2490" s="17"/>
      <c r="B2490" s="36"/>
      <c r="C2490" s="37"/>
    </row>
    <row r="2491" spans="1:7" ht="21.95" customHeight="1" x14ac:dyDescent="0.15">
      <c r="A2491" s="17"/>
      <c r="B2491" s="36"/>
      <c r="C2491" s="37"/>
    </row>
    <row r="2492" spans="1:7" ht="21.95" customHeight="1" x14ac:dyDescent="0.15">
      <c r="A2492" s="17"/>
      <c r="B2492" s="36"/>
      <c r="C2492" s="37"/>
    </row>
    <row r="2493" spans="1:7" ht="21.95" customHeight="1" x14ac:dyDescent="0.15">
      <c r="A2493" s="17"/>
      <c r="B2493" s="36"/>
      <c r="C2493" s="37"/>
    </row>
    <row r="2494" spans="1:7" ht="21.95" customHeight="1" x14ac:dyDescent="0.15">
      <c r="A2494" s="17"/>
      <c r="B2494" s="36"/>
      <c r="C2494" s="37"/>
      <c r="G2494" s="38"/>
    </row>
    <row r="2495" spans="1:7" ht="21.95" customHeight="1" x14ac:dyDescent="0.15">
      <c r="A2495" s="17"/>
      <c r="B2495" s="36"/>
      <c r="C2495" s="37"/>
      <c r="G2495" s="38"/>
    </row>
    <row r="2496" spans="1:7" ht="21.95" customHeight="1" x14ac:dyDescent="0.15">
      <c r="A2496" s="17"/>
      <c r="B2496" s="36"/>
      <c r="C2496" s="37"/>
    </row>
    <row r="2497" spans="1:7" ht="21.95" customHeight="1" x14ac:dyDescent="0.15">
      <c r="A2497" s="17"/>
      <c r="B2497" s="36"/>
      <c r="C2497" s="37"/>
    </row>
    <row r="2498" spans="1:7" ht="21.95" customHeight="1" x14ac:dyDescent="0.15">
      <c r="A2498" s="17"/>
      <c r="B2498" s="36"/>
      <c r="C2498" s="37"/>
    </row>
    <row r="2499" spans="1:7" ht="21.95" customHeight="1" x14ac:dyDescent="0.15">
      <c r="A2499" s="17"/>
      <c r="B2499" s="36"/>
      <c r="C2499" s="37"/>
      <c r="G2499" s="38"/>
    </row>
    <row r="2500" spans="1:7" ht="21.95" customHeight="1" x14ac:dyDescent="0.15">
      <c r="A2500" s="17"/>
      <c r="B2500" s="36"/>
      <c r="C2500" s="37"/>
    </row>
    <row r="2501" spans="1:7" ht="21.95" customHeight="1" x14ac:dyDescent="0.15">
      <c r="A2501" s="17"/>
      <c r="B2501" s="36"/>
      <c r="C2501" s="37"/>
    </row>
    <row r="2502" spans="1:7" ht="21.95" customHeight="1" x14ac:dyDescent="0.15">
      <c r="A2502" s="17"/>
      <c r="B2502" s="36"/>
      <c r="C2502" s="37"/>
    </row>
    <row r="2503" spans="1:7" ht="21.95" customHeight="1" x14ac:dyDescent="0.15">
      <c r="A2503" s="17"/>
      <c r="B2503" s="36"/>
      <c r="C2503" s="37"/>
    </row>
    <row r="2504" spans="1:7" ht="21.95" customHeight="1" x14ac:dyDescent="0.15">
      <c r="A2504" s="17"/>
      <c r="B2504" s="36"/>
      <c r="C2504" s="37"/>
    </row>
    <row r="2505" spans="1:7" ht="21.95" customHeight="1" x14ac:dyDescent="0.15">
      <c r="A2505" s="17"/>
      <c r="C2505" s="37"/>
    </row>
    <row r="2506" spans="1:7" ht="21.95" customHeight="1" x14ac:dyDescent="0.15">
      <c r="A2506" s="17"/>
      <c r="B2506" s="36"/>
      <c r="C2506" s="37"/>
    </row>
    <row r="2507" spans="1:7" ht="21.95" customHeight="1" x14ac:dyDescent="0.15">
      <c r="A2507" s="17"/>
    </row>
    <row r="2508" spans="1:7" ht="21.95" customHeight="1" x14ac:dyDescent="0.15">
      <c r="A2508" s="17"/>
    </row>
    <row r="2509" spans="1:7" ht="21.95" customHeight="1" x14ac:dyDescent="0.15">
      <c r="A2509" s="17"/>
    </row>
    <row r="2510" spans="1:7" s="8" customFormat="1" ht="21.95" customHeight="1" x14ac:dyDescent="0.15">
      <c r="A2510" s="17"/>
      <c r="B2510" s="39"/>
      <c r="C2510" s="40"/>
      <c r="D2510" s="38"/>
      <c r="E2510" s="38"/>
      <c r="F2510" s="38"/>
      <c r="G2510" s="38"/>
    </row>
    <row r="2511" spans="1:7" s="8" customFormat="1" ht="21.95" customHeight="1" x14ac:dyDescent="0.15">
      <c r="A2511" s="17"/>
      <c r="B2511" s="36"/>
      <c r="C2511" s="37"/>
      <c r="D2511" s="15"/>
      <c r="E2511" s="38"/>
      <c r="F2511" s="15"/>
      <c r="G2511" s="38"/>
    </row>
    <row r="2512" spans="1:7" s="8" customFormat="1" ht="21.95" customHeight="1" x14ac:dyDescent="0.15">
      <c r="A2512" s="17"/>
      <c r="B2512" s="36"/>
      <c r="C2512" s="95"/>
      <c r="D2512" s="15"/>
      <c r="E2512" s="38"/>
      <c r="F2512" s="15"/>
      <c r="G2512" s="38"/>
    </row>
    <row r="2513" spans="1:7" s="8" customFormat="1" ht="21.95" customHeight="1" x14ac:dyDescent="0.15">
      <c r="A2513" s="17"/>
      <c r="B2513" s="36"/>
      <c r="C2513" s="95"/>
      <c r="D2513" s="15"/>
      <c r="E2513" s="38"/>
      <c r="F2513" s="38"/>
      <c r="G2513" s="38"/>
    </row>
    <row r="2514" spans="1:7" s="8" customFormat="1" ht="21.95" customHeight="1" x14ac:dyDescent="0.15">
      <c r="A2514" s="17"/>
      <c r="B2514" s="36"/>
      <c r="C2514" s="37"/>
      <c r="D2514" s="15"/>
      <c r="E2514" s="38"/>
      <c r="F2514" s="15"/>
      <c r="G2514" s="38"/>
    </row>
    <row r="2515" spans="1:7" s="8" customFormat="1" ht="21.95" customHeight="1" x14ac:dyDescent="0.15">
      <c r="A2515" s="17"/>
      <c r="B2515" s="36"/>
      <c r="C2515" s="37"/>
      <c r="D2515" s="15"/>
      <c r="E2515" s="38"/>
      <c r="F2515" s="38"/>
      <c r="G2515" s="38"/>
    </row>
    <row r="2516" spans="1:7" s="8" customFormat="1" ht="21.95" customHeight="1" x14ac:dyDescent="0.15">
      <c r="A2516" s="17"/>
      <c r="B2516" s="36"/>
      <c r="C2516" s="37"/>
      <c r="D2516" s="15"/>
      <c r="E2516" s="38"/>
      <c r="F2516" s="15"/>
      <c r="G2516" s="38"/>
    </row>
    <row r="2517" spans="1:7" s="8" customFormat="1" ht="21.95" customHeight="1" x14ac:dyDescent="0.15">
      <c r="A2517" s="17"/>
      <c r="B2517" s="36"/>
      <c r="C2517" s="37"/>
      <c r="D2517" s="15"/>
      <c r="E2517" s="38"/>
      <c r="F2517" s="38"/>
      <c r="G2517" s="38"/>
    </row>
    <row r="2518" spans="1:7" s="8" customFormat="1" ht="21.95" customHeight="1" x14ac:dyDescent="0.15">
      <c r="A2518" s="17"/>
      <c r="B2518" s="36"/>
      <c r="C2518" s="37"/>
      <c r="D2518" s="15"/>
      <c r="E2518" s="38"/>
      <c r="F2518" s="15"/>
      <c r="G2518" s="38"/>
    </row>
    <row r="2519" spans="1:7" s="8" customFormat="1" ht="21.95" customHeight="1" x14ac:dyDescent="0.15">
      <c r="A2519" s="17"/>
      <c r="B2519" s="36"/>
      <c r="C2519" s="37"/>
      <c r="D2519" s="15"/>
      <c r="E2519" s="38"/>
      <c r="F2519" s="38"/>
      <c r="G2519" s="38"/>
    </row>
    <row r="2520" spans="1:7" s="8" customFormat="1" ht="21.95" customHeight="1" x14ac:dyDescent="0.15">
      <c r="A2520" s="17"/>
      <c r="B2520" s="36"/>
      <c r="C2520" s="37"/>
      <c r="D2520" s="15"/>
      <c r="E2520" s="38"/>
      <c r="F2520" s="15"/>
      <c r="G2520" s="38"/>
    </row>
    <row r="2521" spans="1:7" ht="21.95" customHeight="1" x14ac:dyDescent="0.15">
      <c r="A2521" s="17"/>
      <c r="B2521" s="36"/>
      <c r="C2521" s="37"/>
      <c r="E2521" s="38"/>
      <c r="F2521" s="38"/>
      <c r="G2521" s="38"/>
    </row>
    <row r="2522" spans="1:7" ht="21.95" customHeight="1" x14ac:dyDescent="0.15">
      <c r="A2522" s="17"/>
      <c r="B2522" s="36"/>
      <c r="C2522" s="37"/>
      <c r="E2522" s="38"/>
      <c r="G2522" s="38"/>
    </row>
    <row r="2523" spans="1:7" ht="21.95" customHeight="1" x14ac:dyDescent="0.15">
      <c r="A2523" s="17"/>
      <c r="B2523" s="36"/>
      <c r="C2523" s="37"/>
      <c r="E2523" s="38"/>
      <c r="G2523" s="38"/>
    </row>
    <row r="2524" spans="1:7" ht="21.95" customHeight="1" x14ac:dyDescent="0.15">
      <c r="A2524" s="17"/>
      <c r="B2524" s="36"/>
      <c r="C2524" s="37"/>
      <c r="E2524" s="38"/>
      <c r="F2524" s="38"/>
      <c r="G2524" s="38"/>
    </row>
    <row r="2525" spans="1:7" s="8" customFormat="1" ht="21.95" customHeight="1" x14ac:dyDescent="0.15">
      <c r="A2525" s="17"/>
      <c r="B2525" s="36"/>
      <c r="C2525" s="37"/>
      <c r="D2525" s="15"/>
      <c r="E2525" s="38"/>
      <c r="F2525" s="38"/>
      <c r="G2525" s="38"/>
    </row>
    <row r="2526" spans="1:7" s="8" customFormat="1" ht="21.95" customHeight="1" x14ac:dyDescent="0.15">
      <c r="A2526" s="17"/>
      <c r="B2526" s="36"/>
      <c r="C2526" s="37"/>
      <c r="D2526" s="15"/>
      <c r="E2526" s="38"/>
      <c r="F2526" s="38"/>
      <c r="G2526" s="38"/>
    </row>
    <row r="2527" spans="1:7" s="8" customFormat="1" ht="21.95" customHeight="1" x14ac:dyDescent="0.15">
      <c r="A2527" s="17"/>
      <c r="B2527" s="36"/>
      <c r="C2527" s="37"/>
      <c r="D2527" s="15"/>
      <c r="E2527" s="38"/>
      <c r="F2527" s="38"/>
      <c r="G2527" s="38"/>
    </row>
    <row r="2528" spans="1:7" s="8" customFormat="1" ht="21.95" customHeight="1" x14ac:dyDescent="0.15">
      <c r="A2528" s="17"/>
      <c r="B2528" s="36"/>
      <c r="C2528" s="37"/>
      <c r="D2528" s="15"/>
      <c r="E2528" s="38"/>
      <c r="F2528" s="38"/>
      <c r="G2528" s="38"/>
    </row>
    <row r="2529" spans="1:7" s="8" customFormat="1" ht="21.95" customHeight="1" x14ac:dyDescent="0.15">
      <c r="A2529" s="17"/>
      <c r="B2529" s="36"/>
      <c r="C2529" s="37"/>
      <c r="D2529" s="15"/>
      <c r="E2529" s="38"/>
      <c r="F2529" s="38"/>
      <c r="G2529" s="38"/>
    </row>
    <row r="2530" spans="1:7" s="8" customFormat="1" ht="21.95" customHeight="1" x14ac:dyDescent="0.15">
      <c r="A2530" s="17"/>
      <c r="B2530" s="36"/>
      <c r="C2530" s="37"/>
      <c r="D2530" s="15"/>
      <c r="E2530" s="38"/>
      <c r="F2530" s="38"/>
      <c r="G2530" s="38"/>
    </row>
    <row r="2531" spans="1:7" s="8" customFormat="1" ht="21.95" customHeight="1" x14ac:dyDescent="0.15">
      <c r="A2531" s="17"/>
      <c r="B2531" s="36"/>
      <c r="C2531" s="37"/>
      <c r="D2531" s="15"/>
      <c r="E2531" s="38"/>
      <c r="F2531" s="38"/>
      <c r="G2531" s="38"/>
    </row>
    <row r="2532" spans="1:7" s="8" customFormat="1" ht="21.95" customHeight="1" x14ac:dyDescent="0.15">
      <c r="A2532" s="17"/>
      <c r="B2532" s="36"/>
      <c r="C2532" s="37"/>
      <c r="D2532" s="15"/>
      <c r="E2532" s="38"/>
      <c r="F2532" s="38"/>
      <c r="G2532" s="38"/>
    </row>
    <row r="2533" spans="1:7" s="8" customFormat="1" ht="21.95" customHeight="1" x14ac:dyDescent="0.15">
      <c r="A2533" s="17"/>
      <c r="B2533" s="36"/>
      <c r="C2533" s="37"/>
      <c r="D2533" s="15"/>
      <c r="E2533" s="38"/>
      <c r="F2533" s="38"/>
      <c r="G2533" s="38"/>
    </row>
    <row r="2534" spans="1:7" s="8" customFormat="1" ht="21.95" customHeight="1" x14ac:dyDescent="0.15">
      <c r="A2534" s="17"/>
      <c r="B2534" s="36"/>
      <c r="C2534" s="37"/>
      <c r="D2534" s="15"/>
      <c r="E2534" s="38"/>
      <c r="F2534" s="38"/>
      <c r="G2534" s="38"/>
    </row>
    <row r="2535" spans="1:7" s="8" customFormat="1" ht="21.95" customHeight="1" x14ac:dyDescent="0.15">
      <c r="A2535" s="17"/>
      <c r="B2535" s="36"/>
      <c r="C2535" s="37"/>
      <c r="D2535" s="15"/>
      <c r="E2535" s="38"/>
      <c r="F2535" s="38"/>
      <c r="G2535" s="38"/>
    </row>
    <row r="2536" spans="1:7" s="8" customFormat="1" ht="32.1" customHeight="1" x14ac:dyDescent="0.15">
      <c r="A2536" s="17"/>
      <c r="B2536" s="36"/>
      <c r="C2536" s="37"/>
      <c r="D2536" s="15"/>
      <c r="E2536" s="38"/>
      <c r="F2536" s="38"/>
      <c r="G2536" s="38"/>
    </row>
    <row r="2537" spans="1:7" s="8" customFormat="1" ht="32.1" customHeight="1" x14ac:dyDescent="0.15">
      <c r="A2537" s="17"/>
      <c r="B2537" s="36"/>
      <c r="C2537" s="37"/>
      <c r="D2537" s="15"/>
      <c r="E2537" s="38"/>
      <c r="F2537" s="38"/>
      <c r="G2537" s="38"/>
    </row>
    <row r="2538" spans="1:7" s="8" customFormat="1" ht="32.1" customHeight="1" x14ac:dyDescent="0.15">
      <c r="A2538" s="17"/>
      <c r="B2538" s="36"/>
      <c r="C2538" s="37"/>
      <c r="D2538" s="15"/>
      <c r="E2538" s="38"/>
      <c r="F2538" s="38"/>
      <c r="G2538" s="38"/>
    </row>
    <row r="2539" spans="1:7" s="8" customFormat="1" ht="32.1" customHeight="1" x14ac:dyDescent="0.15">
      <c r="A2539" s="17"/>
      <c r="B2539" s="36"/>
      <c r="C2539" s="37"/>
      <c r="D2539" s="15"/>
      <c r="E2539" s="38"/>
      <c r="F2539" s="38"/>
      <c r="G2539" s="38"/>
    </row>
    <row r="2540" spans="1:7" s="8" customFormat="1" ht="32.1" customHeight="1" x14ac:dyDescent="0.15">
      <c r="A2540" s="17"/>
      <c r="B2540" s="36"/>
      <c r="C2540" s="37"/>
      <c r="D2540" s="15"/>
      <c r="E2540" s="38"/>
      <c r="F2540" s="38"/>
      <c r="G2540" s="38"/>
    </row>
    <row r="2541" spans="1:7" s="8" customFormat="1" ht="32.1" customHeight="1" x14ac:dyDescent="0.15">
      <c r="A2541" s="17"/>
      <c r="B2541" s="36"/>
      <c r="C2541" s="37"/>
      <c r="D2541" s="15"/>
      <c r="E2541" s="38"/>
      <c r="F2541" s="38"/>
      <c r="G2541" s="38"/>
    </row>
    <row r="2542" spans="1:7" ht="32.1" customHeight="1" x14ac:dyDescent="0.15">
      <c r="A2542" s="17"/>
      <c r="B2542" s="36"/>
      <c r="C2542" s="37"/>
      <c r="E2542" s="38"/>
      <c r="F2542" s="38"/>
      <c r="G2542" s="38"/>
    </row>
    <row r="2543" spans="1:7" ht="32.1" customHeight="1" x14ac:dyDescent="0.15">
      <c r="A2543" s="17"/>
      <c r="B2543" s="36"/>
      <c r="C2543" s="37"/>
      <c r="F2543" s="38"/>
      <c r="G2543" s="38"/>
    </row>
    <row r="2544" spans="1:7" ht="32.1" customHeight="1" x14ac:dyDescent="0.15">
      <c r="A2544" s="17"/>
      <c r="B2544" s="36"/>
      <c r="C2544" s="37"/>
      <c r="F2544" s="38"/>
      <c r="G2544" s="38"/>
    </row>
    <row r="2545" spans="1:7" ht="32.1" customHeight="1" x14ac:dyDescent="0.15">
      <c r="A2545" s="17"/>
      <c r="B2545" s="36"/>
      <c r="C2545" s="37"/>
      <c r="F2545" s="38"/>
      <c r="G2545" s="38"/>
    </row>
    <row r="2546" spans="1:7" ht="21.95" customHeight="1" x14ac:dyDescent="0.15">
      <c r="A2546" s="17"/>
      <c r="B2546" s="36"/>
      <c r="C2546" s="37"/>
      <c r="F2546" s="38"/>
      <c r="G2546" s="38"/>
    </row>
    <row r="2547" spans="1:7" ht="54" customHeight="1" x14ac:dyDescent="0.15">
      <c r="A2547" s="17"/>
      <c r="B2547" s="36"/>
      <c r="C2547" s="37"/>
      <c r="F2547" s="38"/>
      <c r="G2547" s="38"/>
    </row>
    <row r="2548" spans="1:7" ht="21.95" customHeight="1" x14ac:dyDescent="0.15">
      <c r="A2548" s="17"/>
      <c r="B2548" s="36"/>
      <c r="C2548" s="37"/>
      <c r="F2548" s="38"/>
      <c r="G2548" s="38"/>
    </row>
    <row r="2549" spans="1:7" ht="21.95" customHeight="1" x14ac:dyDescent="0.15">
      <c r="A2549" s="17"/>
      <c r="B2549" s="36"/>
      <c r="C2549" s="37"/>
      <c r="F2549" s="38"/>
      <c r="G2549" s="38"/>
    </row>
    <row r="2550" spans="1:7" ht="21.95" customHeight="1" x14ac:dyDescent="0.15">
      <c r="A2550" s="17"/>
      <c r="B2550" s="36"/>
      <c r="C2550" s="37"/>
      <c r="F2550" s="38"/>
      <c r="G2550" s="38"/>
    </row>
    <row r="2551" spans="1:7" ht="21.95" customHeight="1" x14ac:dyDescent="0.15">
      <c r="A2551" s="17"/>
      <c r="B2551" s="36"/>
      <c r="C2551" s="37"/>
      <c r="F2551" s="38"/>
      <c r="G2551" s="38"/>
    </row>
    <row r="2552" spans="1:7" ht="21.95" customHeight="1" x14ac:dyDescent="0.15">
      <c r="A2552" s="17"/>
      <c r="B2552" s="36"/>
      <c r="C2552" s="37"/>
      <c r="F2552" s="38"/>
      <c r="G2552" s="38"/>
    </row>
    <row r="2553" spans="1:7" ht="21.95" customHeight="1" x14ac:dyDescent="0.15">
      <c r="A2553" s="17"/>
      <c r="B2553" s="36"/>
      <c r="C2553" s="37"/>
      <c r="F2553" s="38"/>
      <c r="G2553" s="38"/>
    </row>
    <row r="2554" spans="1:7" ht="21.95" customHeight="1" x14ac:dyDescent="0.15">
      <c r="A2554" s="17"/>
      <c r="B2554" s="36"/>
      <c r="C2554" s="37"/>
      <c r="G2554" s="38"/>
    </row>
    <row r="2555" spans="1:7" ht="21.95" customHeight="1" x14ac:dyDescent="0.15">
      <c r="A2555" s="17"/>
      <c r="B2555" s="36"/>
      <c r="C2555" s="37"/>
      <c r="G2555" s="38"/>
    </row>
    <row r="2556" spans="1:7" ht="21.95" customHeight="1" x14ac:dyDescent="0.15">
      <c r="A2556" s="17"/>
      <c r="B2556" s="36"/>
      <c r="C2556" s="37"/>
      <c r="G2556" s="38"/>
    </row>
    <row r="2557" spans="1:7" ht="21.95" customHeight="1" x14ac:dyDescent="0.15">
      <c r="A2557" s="17"/>
      <c r="B2557" s="36"/>
      <c r="C2557" s="37"/>
      <c r="G2557" s="38"/>
    </row>
    <row r="2558" spans="1:7" ht="21.95" customHeight="1" x14ac:dyDescent="0.15">
      <c r="A2558" s="17"/>
      <c r="B2558" s="36"/>
      <c r="C2558" s="37"/>
      <c r="G2558" s="38"/>
    </row>
    <row r="2559" spans="1:7" ht="21.95" customHeight="1" x14ac:dyDescent="0.15">
      <c r="A2559" s="17"/>
      <c r="B2559" s="36"/>
      <c r="C2559" s="37"/>
      <c r="G2559" s="38"/>
    </row>
    <row r="2560" spans="1:7" ht="21.95" customHeight="1" x14ac:dyDescent="0.15">
      <c r="A2560" s="17"/>
      <c r="B2560" s="36"/>
      <c r="C2560" s="37"/>
      <c r="G2560" s="38"/>
    </row>
    <row r="2561" spans="1:7" ht="21.95" customHeight="1" x14ac:dyDescent="0.15">
      <c r="A2561" s="17"/>
      <c r="B2561" s="36"/>
      <c r="C2561" s="37"/>
      <c r="G2561" s="38"/>
    </row>
    <row r="2562" spans="1:7" ht="21.95" customHeight="1" x14ac:dyDescent="0.15">
      <c r="A2562" s="17"/>
      <c r="B2562" s="36"/>
      <c r="C2562" s="37"/>
      <c r="G2562" s="38"/>
    </row>
    <row r="2563" spans="1:7" ht="21.95" customHeight="1" x14ac:dyDescent="0.15">
      <c r="A2563" s="17"/>
      <c r="B2563" s="36"/>
      <c r="C2563" s="37"/>
      <c r="G2563" s="38"/>
    </row>
    <row r="2564" spans="1:7" ht="21.95" customHeight="1" x14ac:dyDescent="0.15">
      <c r="A2564" s="17"/>
      <c r="B2564" s="36"/>
      <c r="C2564" s="37"/>
      <c r="G2564" s="38"/>
    </row>
    <row r="2565" spans="1:7" ht="21.95" customHeight="1" x14ac:dyDescent="0.15">
      <c r="A2565" s="17"/>
      <c r="B2565" s="36"/>
      <c r="C2565" s="37"/>
    </row>
    <row r="2566" spans="1:7" ht="21.95" customHeight="1" x14ac:dyDescent="0.15">
      <c r="A2566" s="17"/>
      <c r="B2566" s="36"/>
      <c r="C2566" s="37"/>
    </row>
    <row r="2567" spans="1:7" ht="21.95" customHeight="1" x14ac:dyDescent="0.15">
      <c r="A2567" s="17"/>
      <c r="B2567" s="36"/>
      <c r="C2567" s="37"/>
    </row>
    <row r="2568" spans="1:7" ht="21.95" customHeight="1" x14ac:dyDescent="0.15">
      <c r="A2568" s="17"/>
      <c r="B2568" s="36"/>
      <c r="C2568" s="37"/>
    </row>
    <row r="2569" spans="1:7" ht="21.95" customHeight="1" x14ac:dyDescent="0.15">
      <c r="A2569" s="17"/>
      <c r="B2569" s="36"/>
      <c r="C2569" s="37"/>
    </row>
    <row r="2570" spans="1:7" ht="21.95" customHeight="1" x14ac:dyDescent="0.15">
      <c r="A2570" s="17"/>
      <c r="B2570" s="36"/>
      <c r="C2570" s="37"/>
    </row>
    <row r="2571" spans="1:7" ht="21.95" customHeight="1" x14ac:dyDescent="0.15">
      <c r="A2571" s="17"/>
      <c r="B2571" s="36"/>
      <c r="C2571" s="37"/>
    </row>
    <row r="2572" spans="1:7" ht="21.95" customHeight="1" x14ac:dyDescent="0.15">
      <c r="A2572" s="17"/>
      <c r="B2572" s="36"/>
      <c r="C2572" s="37"/>
    </row>
    <row r="2573" spans="1:7" ht="21.95" customHeight="1" x14ac:dyDescent="0.15">
      <c r="A2573" s="17"/>
      <c r="B2573" s="36"/>
      <c r="C2573" s="37"/>
    </row>
    <row r="2574" spans="1:7" ht="21.95" customHeight="1" x14ac:dyDescent="0.15">
      <c r="A2574" s="17"/>
      <c r="B2574" s="36"/>
      <c r="C2574" s="37"/>
    </row>
    <row r="2575" spans="1:7" ht="21.95" customHeight="1" x14ac:dyDescent="0.15">
      <c r="A2575" s="17"/>
      <c r="B2575" s="36"/>
      <c r="C2575" s="37"/>
    </row>
    <row r="2576" spans="1:7" ht="21.95" customHeight="1" x14ac:dyDescent="0.15">
      <c r="A2576" s="17"/>
      <c r="B2576" s="36"/>
      <c r="C2576" s="37"/>
    </row>
    <row r="2577" spans="1:3" ht="21.95" customHeight="1" x14ac:dyDescent="0.15">
      <c r="A2577" s="17"/>
      <c r="B2577" s="36"/>
      <c r="C2577" s="37"/>
    </row>
    <row r="2578" spans="1:3" ht="21.95" customHeight="1" x14ac:dyDescent="0.15">
      <c r="A2578" s="17"/>
      <c r="B2578" s="36"/>
      <c r="C2578" s="37"/>
    </row>
    <row r="2579" spans="1:3" ht="21.95" customHeight="1" x14ac:dyDescent="0.15">
      <c r="A2579" s="17"/>
      <c r="B2579" s="36"/>
      <c r="C2579" s="37"/>
    </row>
    <row r="2580" spans="1:3" ht="21.95" customHeight="1" x14ac:dyDescent="0.15">
      <c r="A2580" s="17"/>
      <c r="B2580" s="36"/>
      <c r="C2580" s="37"/>
    </row>
    <row r="2581" spans="1:3" ht="21.95" customHeight="1" x14ac:dyDescent="0.15">
      <c r="A2581" s="17"/>
      <c r="B2581" s="36"/>
      <c r="C2581" s="37"/>
    </row>
    <row r="2582" spans="1:3" ht="21.95" customHeight="1" x14ac:dyDescent="0.15">
      <c r="A2582" s="17"/>
      <c r="B2582" s="36"/>
      <c r="C2582" s="37"/>
    </row>
    <row r="2583" spans="1:3" ht="21.95" customHeight="1" x14ac:dyDescent="0.15">
      <c r="A2583" s="17"/>
      <c r="B2583" s="36"/>
      <c r="C2583" s="37"/>
    </row>
    <row r="2584" spans="1:3" ht="21.95" customHeight="1" x14ac:dyDescent="0.15">
      <c r="A2584" s="17"/>
      <c r="B2584" s="36"/>
      <c r="C2584" s="37"/>
    </row>
    <row r="2585" spans="1:3" ht="21.95" customHeight="1" x14ac:dyDescent="0.15">
      <c r="A2585" s="17"/>
      <c r="B2585" s="36"/>
      <c r="C2585" s="37"/>
    </row>
    <row r="2586" spans="1:3" ht="21.95" customHeight="1" x14ac:dyDescent="0.15">
      <c r="A2586" s="17"/>
      <c r="B2586" s="36"/>
      <c r="C2586" s="37"/>
    </row>
    <row r="2587" spans="1:3" ht="21.95" customHeight="1" x14ac:dyDescent="0.15">
      <c r="A2587" s="17"/>
      <c r="B2587" s="36"/>
      <c r="C2587" s="37"/>
    </row>
    <row r="2588" spans="1:3" ht="21.95" customHeight="1" x14ac:dyDescent="0.15">
      <c r="A2588" s="17"/>
      <c r="B2588" s="36"/>
      <c r="C2588" s="37"/>
    </row>
    <row r="2589" spans="1:3" ht="21.95" customHeight="1" x14ac:dyDescent="0.15">
      <c r="A2589" s="17"/>
      <c r="B2589" s="36"/>
      <c r="C2589" s="37"/>
    </row>
    <row r="2590" spans="1:3" ht="21.95" customHeight="1" x14ac:dyDescent="0.15">
      <c r="A2590" s="17"/>
      <c r="B2590" s="36"/>
      <c r="C2590" s="37"/>
    </row>
    <row r="2591" spans="1:3" ht="21.95" customHeight="1" x14ac:dyDescent="0.15">
      <c r="A2591" s="17"/>
      <c r="B2591" s="36"/>
      <c r="C2591" s="37"/>
    </row>
    <row r="2592" spans="1:3" ht="21.95" customHeight="1" x14ac:dyDescent="0.15">
      <c r="A2592" s="17"/>
      <c r="B2592" s="36"/>
      <c r="C2592" s="37"/>
    </row>
    <row r="2593" spans="1:7" ht="21.95" customHeight="1" x14ac:dyDescent="0.15">
      <c r="A2593" s="17"/>
      <c r="B2593" s="36"/>
      <c r="C2593" s="37"/>
    </row>
    <row r="2594" spans="1:7" ht="21.95" customHeight="1" x14ac:dyDescent="0.15">
      <c r="A2594" s="17"/>
      <c r="B2594" s="36"/>
      <c r="C2594" s="37"/>
    </row>
    <row r="2595" spans="1:7" ht="21.95" customHeight="1" x14ac:dyDescent="0.15">
      <c r="A2595" s="17"/>
      <c r="B2595" s="36"/>
      <c r="C2595" s="37"/>
    </row>
    <row r="2596" spans="1:7" ht="21.95" customHeight="1" x14ac:dyDescent="0.15">
      <c r="A2596" s="17"/>
      <c r="B2596" s="36"/>
      <c r="C2596" s="37"/>
      <c r="G2596" s="38"/>
    </row>
    <row r="2597" spans="1:7" ht="21.95" customHeight="1" x14ac:dyDescent="0.15">
      <c r="A2597" s="17"/>
      <c r="B2597" s="36"/>
      <c r="C2597" s="37"/>
    </row>
    <row r="2598" spans="1:7" ht="35.1" customHeight="1" x14ac:dyDescent="0.15">
      <c r="A2598" s="17"/>
      <c r="B2598" s="36"/>
      <c r="C2598" s="37"/>
    </row>
    <row r="2599" spans="1:7" ht="21.95" customHeight="1" x14ac:dyDescent="0.15">
      <c r="A2599" s="17"/>
      <c r="B2599" s="36"/>
      <c r="C2599" s="37"/>
    </row>
    <row r="2600" spans="1:7" ht="21.95" customHeight="1" x14ac:dyDescent="0.15">
      <c r="A2600" s="17"/>
      <c r="B2600" s="36"/>
      <c r="C2600" s="37"/>
    </row>
    <row r="2601" spans="1:7" ht="21.95" customHeight="1" x14ac:dyDescent="0.15">
      <c r="A2601" s="17"/>
      <c r="B2601" s="36"/>
      <c r="C2601" s="37"/>
    </row>
    <row r="2602" spans="1:7" ht="21.95" customHeight="1" x14ac:dyDescent="0.15">
      <c r="A2602" s="17"/>
      <c r="B2602" s="36"/>
      <c r="C2602" s="37"/>
    </row>
    <row r="2603" spans="1:7" ht="21.95" customHeight="1" x14ac:dyDescent="0.15">
      <c r="A2603" s="17"/>
      <c r="B2603" s="36"/>
      <c r="C2603" s="37"/>
    </row>
    <row r="2604" spans="1:7" ht="21.95" customHeight="1" x14ac:dyDescent="0.15">
      <c r="A2604" s="17"/>
      <c r="B2604" s="36"/>
      <c r="C2604" s="37"/>
    </row>
    <row r="2605" spans="1:7" ht="21.95" customHeight="1" x14ac:dyDescent="0.15">
      <c r="A2605" s="17"/>
      <c r="B2605" s="36"/>
      <c r="C2605" s="37"/>
    </row>
    <row r="2606" spans="1:7" ht="21.95" customHeight="1" x14ac:dyDescent="0.15">
      <c r="A2606" s="17"/>
      <c r="B2606" s="36"/>
      <c r="C2606" s="37"/>
      <c r="G2606" s="38"/>
    </row>
    <row r="2607" spans="1:7" ht="21.95" customHeight="1" x14ac:dyDescent="0.15">
      <c r="A2607" s="17"/>
      <c r="B2607" s="36"/>
      <c r="C2607" s="37"/>
      <c r="G2607" s="38"/>
    </row>
    <row r="2608" spans="1:7" ht="21.95" customHeight="1" x14ac:dyDescent="0.15">
      <c r="A2608" s="17"/>
      <c r="B2608" s="36"/>
      <c r="C2608" s="37"/>
    </row>
    <row r="2609" spans="1:7" ht="21.95" customHeight="1" x14ac:dyDescent="0.15">
      <c r="A2609" s="17"/>
      <c r="B2609" s="36"/>
      <c r="C2609" s="37"/>
    </row>
    <row r="2610" spans="1:7" ht="21.95" customHeight="1" x14ac:dyDescent="0.15">
      <c r="A2610" s="17"/>
      <c r="B2610" s="36"/>
      <c r="C2610" s="37"/>
    </row>
    <row r="2611" spans="1:7" ht="21.95" customHeight="1" x14ac:dyDescent="0.15">
      <c r="A2611" s="17"/>
      <c r="B2611" s="36"/>
      <c r="C2611" s="37"/>
      <c r="G2611" s="38"/>
    </row>
    <row r="2612" spans="1:7" ht="21.95" customHeight="1" x14ac:dyDescent="0.15">
      <c r="A2612" s="17"/>
      <c r="B2612" s="36"/>
      <c r="C2612" s="37"/>
    </row>
    <row r="2613" spans="1:7" ht="21.95" customHeight="1" x14ac:dyDescent="0.15">
      <c r="A2613" s="17"/>
      <c r="B2613" s="36"/>
      <c r="C2613" s="37"/>
    </row>
    <row r="2614" spans="1:7" ht="21.95" customHeight="1" x14ac:dyDescent="0.15">
      <c r="A2614" s="17"/>
      <c r="B2614" s="36"/>
      <c r="C2614" s="37"/>
    </row>
    <row r="2615" spans="1:7" ht="21.95" customHeight="1" x14ac:dyDescent="0.15">
      <c r="A2615" s="17"/>
      <c r="B2615" s="36"/>
      <c r="C2615" s="37"/>
    </row>
    <row r="2616" spans="1:7" ht="21.95" customHeight="1" x14ac:dyDescent="0.15">
      <c r="A2616" s="17"/>
      <c r="B2616" s="36"/>
      <c r="C2616" s="37"/>
    </row>
    <row r="2617" spans="1:7" ht="21.95" customHeight="1" x14ac:dyDescent="0.15">
      <c r="A2617" s="17"/>
      <c r="C2617" s="37"/>
    </row>
    <row r="2618" spans="1:7" ht="21.95" customHeight="1" x14ac:dyDescent="0.15">
      <c r="A2618" s="17"/>
      <c r="B2618" s="36"/>
      <c r="C2618" s="37"/>
    </row>
    <row r="2619" spans="1:7" ht="21.95" customHeight="1" x14ac:dyDescent="0.15">
      <c r="A2619" s="17"/>
    </row>
    <row r="2620" spans="1:7" ht="21.95" customHeight="1" x14ac:dyDescent="0.15">
      <c r="A2620" s="17"/>
    </row>
    <row r="2621" spans="1:7" ht="21.95" customHeight="1" x14ac:dyDescent="0.15">
      <c r="A2621" s="17"/>
    </row>
    <row r="2622" spans="1:7" s="8" customFormat="1" ht="21.95" customHeight="1" x14ac:dyDescent="0.15">
      <c r="A2622" s="17"/>
      <c r="B2622" s="39"/>
      <c r="C2622" s="40"/>
      <c r="D2622" s="38"/>
      <c r="E2622" s="38"/>
      <c r="F2622" s="38"/>
      <c r="G2622" s="38"/>
    </row>
    <row r="2623" spans="1:7" s="8" customFormat="1" ht="21.95" customHeight="1" x14ac:dyDescent="0.15">
      <c r="A2623" s="17"/>
      <c r="B2623" s="36"/>
      <c r="C2623" s="37"/>
      <c r="D2623" s="15"/>
      <c r="E2623" s="38"/>
      <c r="F2623" s="15"/>
      <c r="G2623" s="38"/>
    </row>
    <row r="2624" spans="1:7" s="8" customFormat="1" ht="21.95" customHeight="1" x14ac:dyDescent="0.15">
      <c r="A2624" s="17"/>
      <c r="B2624" s="36"/>
      <c r="C2624" s="95"/>
      <c r="D2624" s="15"/>
      <c r="E2624" s="38"/>
      <c r="F2624" s="15"/>
      <c r="G2624" s="38"/>
    </row>
    <row r="2625" spans="1:7" s="8" customFormat="1" ht="21.95" customHeight="1" x14ac:dyDescent="0.15">
      <c r="A2625" s="17"/>
      <c r="B2625" s="36"/>
      <c r="C2625" s="95"/>
      <c r="D2625" s="15"/>
      <c r="E2625" s="38"/>
      <c r="F2625" s="38"/>
      <c r="G2625" s="38"/>
    </row>
    <row r="2626" spans="1:7" s="8" customFormat="1" ht="21.95" customHeight="1" x14ac:dyDescent="0.15">
      <c r="A2626" s="17"/>
      <c r="B2626" s="36"/>
      <c r="C2626" s="37"/>
      <c r="D2626" s="15"/>
      <c r="E2626" s="38"/>
      <c r="F2626" s="15"/>
      <c r="G2626" s="38"/>
    </row>
    <row r="2627" spans="1:7" s="8" customFormat="1" ht="21.95" customHeight="1" x14ac:dyDescent="0.15">
      <c r="A2627" s="17"/>
      <c r="B2627" s="36"/>
      <c r="C2627" s="37"/>
      <c r="D2627" s="15"/>
      <c r="E2627" s="38"/>
      <c r="F2627" s="38"/>
      <c r="G2627" s="38"/>
    </row>
    <row r="2628" spans="1:7" s="8" customFormat="1" ht="21.95" customHeight="1" x14ac:dyDescent="0.15">
      <c r="A2628" s="17"/>
      <c r="B2628" s="36"/>
      <c r="C2628" s="37"/>
      <c r="D2628" s="15"/>
      <c r="E2628" s="38"/>
      <c r="F2628" s="15"/>
      <c r="G2628" s="38"/>
    </row>
    <row r="2629" spans="1:7" s="8" customFormat="1" ht="21.95" customHeight="1" x14ac:dyDescent="0.15">
      <c r="A2629" s="17"/>
      <c r="B2629" s="36"/>
      <c r="C2629" s="37"/>
      <c r="D2629" s="15"/>
      <c r="E2629" s="38"/>
      <c r="F2629" s="38"/>
      <c r="G2629" s="38"/>
    </row>
    <row r="2630" spans="1:7" s="8" customFormat="1" ht="21.95" customHeight="1" x14ac:dyDescent="0.15">
      <c r="A2630" s="17"/>
      <c r="B2630" s="36"/>
      <c r="C2630" s="37"/>
      <c r="D2630" s="15"/>
      <c r="E2630" s="38"/>
      <c r="F2630" s="15"/>
      <c r="G2630" s="38"/>
    </row>
    <row r="2631" spans="1:7" s="8" customFormat="1" ht="21.95" customHeight="1" x14ac:dyDescent="0.15">
      <c r="A2631" s="17"/>
      <c r="B2631" s="36"/>
      <c r="C2631" s="37"/>
      <c r="D2631" s="15"/>
      <c r="E2631" s="38"/>
      <c r="F2631" s="38"/>
      <c r="G2631" s="38"/>
    </row>
    <row r="2632" spans="1:7" s="8" customFormat="1" ht="21.95" customHeight="1" x14ac:dyDescent="0.15">
      <c r="A2632" s="17"/>
      <c r="B2632" s="36"/>
      <c r="C2632" s="37"/>
      <c r="D2632" s="15"/>
      <c r="E2632" s="38"/>
      <c r="F2632" s="15"/>
      <c r="G2632" s="38"/>
    </row>
    <row r="2633" spans="1:7" ht="21.95" customHeight="1" x14ac:dyDescent="0.15">
      <c r="A2633" s="17"/>
      <c r="B2633" s="36"/>
      <c r="C2633" s="37"/>
      <c r="E2633" s="38"/>
      <c r="F2633" s="38"/>
      <c r="G2633" s="38"/>
    </row>
    <row r="2634" spans="1:7" ht="21.95" customHeight="1" x14ac:dyDescent="0.15">
      <c r="A2634" s="17"/>
      <c r="B2634" s="36"/>
      <c r="C2634" s="37"/>
      <c r="E2634" s="38"/>
      <c r="G2634" s="38"/>
    </row>
    <row r="2635" spans="1:7" ht="21.95" customHeight="1" x14ac:dyDescent="0.15">
      <c r="A2635" s="17"/>
      <c r="B2635" s="36"/>
      <c r="C2635" s="37"/>
      <c r="E2635" s="38"/>
      <c r="G2635" s="38"/>
    </row>
    <row r="2636" spans="1:7" ht="21.95" customHeight="1" x14ac:dyDescent="0.15">
      <c r="A2636" s="17"/>
      <c r="B2636" s="36"/>
      <c r="C2636" s="37"/>
      <c r="E2636" s="38"/>
      <c r="F2636" s="38"/>
      <c r="G2636" s="38"/>
    </row>
    <row r="2637" spans="1:7" s="8" customFormat="1" ht="21.95" customHeight="1" x14ac:dyDescent="0.15">
      <c r="A2637" s="17"/>
      <c r="B2637" s="36"/>
      <c r="C2637" s="37"/>
      <c r="D2637" s="15"/>
      <c r="E2637" s="38"/>
      <c r="F2637" s="38"/>
      <c r="G2637" s="38"/>
    </row>
    <row r="2638" spans="1:7" s="8" customFormat="1" ht="21.95" customHeight="1" x14ac:dyDescent="0.15">
      <c r="A2638" s="17"/>
      <c r="B2638" s="36"/>
      <c r="C2638" s="37"/>
      <c r="D2638" s="15"/>
      <c r="E2638" s="38"/>
      <c r="F2638" s="38"/>
      <c r="G2638" s="38"/>
    </row>
    <row r="2639" spans="1:7" s="8" customFormat="1" ht="21.95" customHeight="1" x14ac:dyDescent="0.15">
      <c r="A2639" s="17"/>
      <c r="B2639" s="36"/>
      <c r="C2639" s="37"/>
      <c r="D2639" s="15"/>
      <c r="E2639" s="38"/>
      <c r="F2639" s="38"/>
      <c r="G2639" s="38"/>
    </row>
    <row r="2640" spans="1:7" s="8" customFormat="1" ht="21.95" customHeight="1" x14ac:dyDescent="0.15">
      <c r="A2640" s="17"/>
      <c r="B2640" s="36"/>
      <c r="C2640" s="37"/>
      <c r="D2640" s="15"/>
      <c r="E2640" s="38"/>
      <c r="F2640" s="38"/>
      <c r="G2640" s="38"/>
    </row>
    <row r="2641" spans="1:7" s="8" customFormat="1" ht="21.95" customHeight="1" x14ac:dyDescent="0.15">
      <c r="A2641" s="17"/>
      <c r="B2641" s="36"/>
      <c r="C2641" s="37"/>
      <c r="D2641" s="15"/>
      <c r="E2641" s="38"/>
      <c r="F2641" s="38"/>
      <c r="G2641" s="38"/>
    </row>
    <row r="2642" spans="1:7" s="8" customFormat="1" ht="21.95" customHeight="1" x14ac:dyDescent="0.15">
      <c r="A2642" s="17"/>
      <c r="B2642" s="36"/>
      <c r="C2642" s="37"/>
      <c r="D2642" s="15"/>
      <c r="E2642" s="38"/>
      <c r="F2642" s="38"/>
      <c r="G2642" s="38"/>
    </row>
    <row r="2643" spans="1:7" s="8" customFormat="1" ht="21.95" customHeight="1" x14ac:dyDescent="0.15">
      <c r="A2643" s="17"/>
      <c r="B2643" s="36"/>
      <c r="C2643" s="37"/>
      <c r="D2643" s="15"/>
      <c r="E2643" s="38"/>
      <c r="F2643" s="38"/>
      <c r="G2643" s="38"/>
    </row>
    <row r="2644" spans="1:7" s="8" customFormat="1" ht="21.95" customHeight="1" x14ac:dyDescent="0.15">
      <c r="A2644" s="17"/>
      <c r="B2644" s="36"/>
      <c r="C2644" s="37"/>
      <c r="D2644" s="15"/>
      <c r="E2644" s="38"/>
      <c r="F2644" s="38"/>
      <c r="G2644" s="38"/>
    </row>
    <row r="2645" spans="1:7" s="8" customFormat="1" ht="21.95" customHeight="1" x14ac:dyDescent="0.15">
      <c r="A2645" s="17"/>
      <c r="B2645" s="36"/>
      <c r="C2645" s="37"/>
      <c r="D2645" s="15"/>
      <c r="E2645" s="38"/>
      <c r="F2645" s="38"/>
      <c r="G2645" s="38"/>
    </row>
    <row r="2646" spans="1:7" s="8" customFormat="1" ht="21.95" customHeight="1" x14ac:dyDescent="0.15">
      <c r="A2646" s="17"/>
      <c r="B2646" s="36"/>
      <c r="C2646" s="37"/>
      <c r="D2646" s="15"/>
      <c r="E2646" s="38"/>
      <c r="F2646" s="38"/>
      <c r="G2646" s="38"/>
    </row>
    <row r="2647" spans="1:7" s="8" customFormat="1" ht="21.95" customHeight="1" x14ac:dyDescent="0.15">
      <c r="A2647" s="17"/>
      <c r="B2647" s="36"/>
      <c r="C2647" s="37"/>
      <c r="D2647" s="15"/>
      <c r="E2647" s="38"/>
      <c r="F2647" s="38"/>
      <c r="G2647" s="38"/>
    </row>
    <row r="2648" spans="1:7" s="8" customFormat="1" ht="32.1" customHeight="1" x14ac:dyDescent="0.15">
      <c r="A2648" s="17"/>
      <c r="B2648" s="36"/>
      <c r="C2648" s="37"/>
      <c r="D2648" s="15"/>
      <c r="E2648" s="38"/>
      <c r="F2648" s="38"/>
      <c r="G2648" s="38"/>
    </row>
    <row r="2649" spans="1:7" s="8" customFormat="1" ht="32.1" customHeight="1" x14ac:dyDescent="0.15">
      <c r="A2649" s="17"/>
      <c r="B2649" s="36"/>
      <c r="C2649" s="37"/>
      <c r="D2649" s="15"/>
      <c r="E2649" s="38"/>
      <c r="F2649" s="38"/>
      <c r="G2649" s="38"/>
    </row>
    <row r="2650" spans="1:7" s="8" customFormat="1" ht="32.1" customHeight="1" x14ac:dyDescent="0.15">
      <c r="A2650" s="17"/>
      <c r="B2650" s="36"/>
      <c r="C2650" s="37"/>
      <c r="D2650" s="15"/>
      <c r="E2650" s="38"/>
      <c r="F2650" s="38"/>
      <c r="G2650" s="38"/>
    </row>
    <row r="2651" spans="1:7" s="8" customFormat="1" ht="32.1" customHeight="1" x14ac:dyDescent="0.15">
      <c r="A2651" s="17"/>
      <c r="B2651" s="36"/>
      <c r="C2651" s="37"/>
      <c r="D2651" s="15"/>
      <c r="E2651" s="38"/>
      <c r="F2651" s="38"/>
      <c r="G2651" s="38"/>
    </row>
    <row r="2652" spans="1:7" s="8" customFormat="1" ht="32.1" customHeight="1" x14ac:dyDescent="0.15">
      <c r="A2652" s="17"/>
      <c r="B2652" s="36"/>
      <c r="C2652" s="37"/>
      <c r="D2652" s="15"/>
      <c r="E2652" s="38"/>
      <c r="F2652" s="38"/>
      <c r="G2652" s="38"/>
    </row>
    <row r="2653" spans="1:7" s="8" customFormat="1" ht="32.1" customHeight="1" x14ac:dyDescent="0.15">
      <c r="A2653" s="17"/>
      <c r="B2653" s="36"/>
      <c r="C2653" s="37"/>
      <c r="D2653" s="15"/>
      <c r="E2653" s="38"/>
      <c r="F2653" s="38"/>
      <c r="G2653" s="38"/>
    </row>
    <row r="2654" spans="1:7" ht="32.1" customHeight="1" x14ac:dyDescent="0.15">
      <c r="A2654" s="17"/>
      <c r="B2654" s="36"/>
      <c r="C2654" s="37"/>
      <c r="E2654" s="38"/>
      <c r="F2654" s="38"/>
      <c r="G2654" s="38"/>
    </row>
    <row r="2655" spans="1:7" ht="32.1" customHeight="1" x14ac:dyDescent="0.15">
      <c r="A2655" s="17"/>
      <c r="B2655" s="36"/>
      <c r="C2655" s="37"/>
      <c r="F2655" s="38"/>
      <c r="G2655" s="38"/>
    </row>
    <row r="2656" spans="1:7" ht="32.1" customHeight="1" x14ac:dyDescent="0.15">
      <c r="A2656" s="17"/>
      <c r="B2656" s="36"/>
      <c r="C2656" s="37"/>
      <c r="F2656" s="38"/>
      <c r="G2656" s="38"/>
    </row>
    <row r="2657" spans="1:7" ht="32.1" customHeight="1" x14ac:dyDescent="0.15">
      <c r="A2657" s="17"/>
      <c r="B2657" s="36"/>
      <c r="C2657" s="37"/>
      <c r="F2657" s="38"/>
      <c r="G2657" s="38"/>
    </row>
    <row r="2658" spans="1:7" ht="21.95" customHeight="1" x14ac:dyDescent="0.15">
      <c r="A2658" s="17"/>
      <c r="B2658" s="36"/>
      <c r="C2658" s="37"/>
      <c r="F2658" s="38"/>
      <c r="G2658" s="38"/>
    </row>
    <row r="2659" spans="1:7" ht="54" customHeight="1" x14ac:dyDescent="0.15">
      <c r="A2659" s="17"/>
      <c r="B2659" s="36"/>
      <c r="C2659" s="37"/>
      <c r="F2659" s="38"/>
      <c r="G2659" s="38"/>
    </row>
    <row r="2660" spans="1:7" ht="21.95" customHeight="1" x14ac:dyDescent="0.15">
      <c r="A2660" s="17"/>
      <c r="B2660" s="36"/>
      <c r="C2660" s="37"/>
      <c r="F2660" s="38"/>
      <c r="G2660" s="38"/>
    </row>
    <row r="2661" spans="1:7" ht="21.95" customHeight="1" x14ac:dyDescent="0.15">
      <c r="A2661" s="17"/>
      <c r="B2661" s="36"/>
      <c r="C2661" s="37"/>
      <c r="F2661" s="38"/>
      <c r="G2661" s="38"/>
    </row>
    <row r="2662" spans="1:7" ht="21.95" customHeight="1" x14ac:dyDescent="0.15">
      <c r="A2662" s="17"/>
      <c r="B2662" s="36"/>
      <c r="C2662" s="37"/>
      <c r="F2662" s="38"/>
      <c r="G2662" s="38"/>
    </row>
    <row r="2663" spans="1:7" ht="21.95" customHeight="1" x14ac:dyDescent="0.15">
      <c r="A2663" s="17"/>
      <c r="B2663" s="36"/>
      <c r="C2663" s="37"/>
      <c r="F2663" s="38"/>
      <c r="G2663" s="38"/>
    </row>
    <row r="2664" spans="1:7" ht="21.95" customHeight="1" x14ac:dyDescent="0.15">
      <c r="A2664" s="17"/>
      <c r="B2664" s="36"/>
      <c r="C2664" s="37"/>
      <c r="F2664" s="38"/>
      <c r="G2664" s="38"/>
    </row>
    <row r="2665" spans="1:7" ht="21.95" customHeight="1" x14ac:dyDescent="0.15">
      <c r="A2665" s="17"/>
      <c r="B2665" s="36"/>
      <c r="C2665" s="37"/>
      <c r="F2665" s="38"/>
      <c r="G2665" s="38"/>
    </row>
    <row r="2666" spans="1:7" ht="21.95" customHeight="1" x14ac:dyDescent="0.15">
      <c r="A2666" s="17"/>
      <c r="B2666" s="36"/>
      <c r="C2666" s="37"/>
      <c r="G2666" s="38"/>
    </row>
    <row r="2667" spans="1:7" ht="21.95" customHeight="1" x14ac:dyDescent="0.15">
      <c r="A2667" s="17"/>
      <c r="B2667" s="36"/>
      <c r="C2667" s="37"/>
      <c r="G2667" s="38"/>
    </row>
    <row r="2668" spans="1:7" ht="21.95" customHeight="1" x14ac:dyDescent="0.15">
      <c r="A2668" s="17"/>
      <c r="B2668" s="36"/>
      <c r="C2668" s="37"/>
      <c r="G2668" s="38"/>
    </row>
    <row r="2669" spans="1:7" ht="21.95" customHeight="1" x14ac:dyDescent="0.15">
      <c r="A2669" s="17"/>
      <c r="B2669" s="36"/>
      <c r="C2669" s="37"/>
      <c r="G2669" s="38"/>
    </row>
    <row r="2670" spans="1:7" ht="21.95" customHeight="1" x14ac:dyDescent="0.15">
      <c r="A2670" s="17"/>
      <c r="B2670" s="36"/>
      <c r="C2670" s="37"/>
      <c r="G2670" s="38"/>
    </row>
    <row r="2671" spans="1:7" ht="21.95" customHeight="1" x14ac:dyDescent="0.15">
      <c r="A2671" s="17"/>
      <c r="B2671" s="36"/>
      <c r="C2671" s="37"/>
      <c r="G2671" s="38"/>
    </row>
    <row r="2672" spans="1:7" ht="21.95" customHeight="1" x14ac:dyDescent="0.15">
      <c r="A2672" s="17"/>
      <c r="B2672" s="36"/>
      <c r="C2672" s="37"/>
      <c r="G2672" s="38"/>
    </row>
    <row r="2673" spans="1:7" ht="21.95" customHeight="1" x14ac:dyDescent="0.15">
      <c r="A2673" s="17"/>
      <c r="B2673" s="36"/>
      <c r="C2673" s="37"/>
      <c r="G2673" s="38"/>
    </row>
    <row r="2674" spans="1:7" ht="21.95" customHeight="1" x14ac:dyDescent="0.15">
      <c r="A2674" s="17"/>
      <c r="B2674" s="36"/>
      <c r="C2674" s="37"/>
      <c r="G2674" s="38"/>
    </row>
    <row r="2675" spans="1:7" ht="21.95" customHeight="1" x14ac:dyDescent="0.15">
      <c r="A2675" s="17"/>
      <c r="B2675" s="36"/>
      <c r="C2675" s="37"/>
      <c r="G2675" s="38"/>
    </row>
    <row r="2676" spans="1:7" ht="21.95" customHeight="1" x14ac:dyDescent="0.15">
      <c r="A2676" s="17"/>
      <c r="B2676" s="36"/>
      <c r="C2676" s="37"/>
      <c r="G2676" s="38"/>
    </row>
    <row r="2677" spans="1:7" ht="21.95" customHeight="1" x14ac:dyDescent="0.15">
      <c r="A2677" s="17"/>
      <c r="B2677" s="36"/>
      <c r="C2677" s="37"/>
    </row>
    <row r="2678" spans="1:7" ht="21.95" customHeight="1" x14ac:dyDescent="0.15">
      <c r="A2678" s="17"/>
      <c r="B2678" s="36"/>
      <c r="C2678" s="37"/>
    </row>
    <row r="2679" spans="1:7" ht="21.95" customHeight="1" x14ac:dyDescent="0.15">
      <c r="A2679" s="17"/>
      <c r="B2679" s="36"/>
      <c r="C2679" s="37"/>
    </row>
    <row r="2680" spans="1:7" ht="21.95" customHeight="1" x14ac:dyDescent="0.15">
      <c r="A2680" s="17"/>
      <c r="B2680" s="36"/>
      <c r="C2680" s="37"/>
    </row>
    <row r="2681" spans="1:7" ht="21.95" customHeight="1" x14ac:dyDescent="0.15">
      <c r="A2681" s="17"/>
      <c r="B2681" s="36"/>
      <c r="C2681" s="37"/>
    </row>
    <row r="2682" spans="1:7" ht="21.95" customHeight="1" x14ac:dyDescent="0.15">
      <c r="A2682" s="17"/>
      <c r="B2682" s="36"/>
      <c r="C2682" s="37"/>
    </row>
    <row r="2683" spans="1:7" ht="21.95" customHeight="1" x14ac:dyDescent="0.15">
      <c r="A2683" s="17"/>
      <c r="B2683" s="36"/>
      <c r="C2683" s="37"/>
    </row>
    <row r="2684" spans="1:7" ht="21.95" customHeight="1" x14ac:dyDescent="0.15">
      <c r="A2684" s="17"/>
      <c r="B2684" s="36"/>
      <c r="C2684" s="37"/>
    </row>
    <row r="2685" spans="1:7" ht="21.95" customHeight="1" x14ac:dyDescent="0.15">
      <c r="A2685" s="17"/>
      <c r="B2685" s="36"/>
      <c r="C2685" s="37"/>
    </row>
    <row r="2686" spans="1:7" ht="21.95" customHeight="1" x14ac:dyDescent="0.15">
      <c r="A2686" s="17"/>
      <c r="B2686" s="36"/>
      <c r="C2686" s="37"/>
    </row>
    <row r="2687" spans="1:7" ht="21.95" customHeight="1" x14ac:dyDescent="0.15">
      <c r="A2687" s="17"/>
      <c r="B2687" s="36"/>
      <c r="C2687" s="37"/>
    </row>
    <row r="2688" spans="1:7" ht="21.95" customHeight="1" x14ac:dyDescent="0.15">
      <c r="A2688" s="17"/>
      <c r="B2688" s="36"/>
      <c r="C2688" s="37"/>
    </row>
    <row r="2689" spans="1:3" ht="21.95" customHeight="1" x14ac:dyDescent="0.15">
      <c r="A2689" s="17"/>
      <c r="B2689" s="36"/>
      <c r="C2689" s="37"/>
    </row>
    <row r="2690" spans="1:3" ht="21.95" customHeight="1" x14ac:dyDescent="0.15">
      <c r="A2690" s="17"/>
      <c r="B2690" s="36"/>
      <c r="C2690" s="37"/>
    </row>
    <row r="2691" spans="1:3" ht="21.95" customHeight="1" x14ac:dyDescent="0.15">
      <c r="A2691" s="17"/>
      <c r="B2691" s="36"/>
      <c r="C2691" s="37"/>
    </row>
    <row r="2692" spans="1:3" ht="21.95" customHeight="1" x14ac:dyDescent="0.15">
      <c r="A2692" s="17"/>
      <c r="B2692" s="36"/>
      <c r="C2692" s="37"/>
    </row>
    <row r="2693" spans="1:3" ht="21.95" customHeight="1" x14ac:dyDescent="0.15">
      <c r="A2693" s="17"/>
      <c r="B2693" s="36"/>
      <c r="C2693" s="37"/>
    </row>
    <row r="2694" spans="1:3" ht="21.95" customHeight="1" x14ac:dyDescent="0.15">
      <c r="A2694" s="17"/>
      <c r="B2694" s="36"/>
      <c r="C2694" s="37"/>
    </row>
    <row r="2695" spans="1:3" ht="21.95" customHeight="1" x14ac:dyDescent="0.15">
      <c r="A2695" s="17"/>
      <c r="B2695" s="36"/>
      <c r="C2695" s="37"/>
    </row>
    <row r="2696" spans="1:3" ht="21.95" customHeight="1" x14ac:dyDescent="0.15">
      <c r="A2696" s="17"/>
      <c r="B2696" s="36"/>
      <c r="C2696" s="37"/>
    </row>
    <row r="2697" spans="1:3" ht="21.95" customHeight="1" x14ac:dyDescent="0.15">
      <c r="A2697" s="17"/>
      <c r="B2697" s="36"/>
      <c r="C2697" s="37"/>
    </row>
    <row r="2698" spans="1:3" ht="21.95" customHeight="1" x14ac:dyDescent="0.15">
      <c r="A2698" s="17"/>
      <c r="B2698" s="36"/>
      <c r="C2698" s="37"/>
    </row>
    <row r="2699" spans="1:3" ht="21.95" customHeight="1" x14ac:dyDescent="0.15">
      <c r="A2699" s="17"/>
      <c r="B2699" s="36"/>
      <c r="C2699" s="37"/>
    </row>
    <row r="2700" spans="1:3" ht="21.95" customHeight="1" x14ac:dyDescent="0.15">
      <c r="A2700" s="17"/>
      <c r="B2700" s="36"/>
      <c r="C2700" s="37"/>
    </row>
    <row r="2701" spans="1:3" ht="21.95" customHeight="1" x14ac:dyDescent="0.15">
      <c r="A2701" s="17"/>
      <c r="B2701" s="36"/>
      <c r="C2701" s="37"/>
    </row>
    <row r="2702" spans="1:3" ht="21.95" customHeight="1" x14ac:dyDescent="0.15">
      <c r="A2702" s="17"/>
      <c r="B2702" s="36"/>
      <c r="C2702" s="37"/>
    </row>
    <row r="2703" spans="1:3" ht="21.95" customHeight="1" x14ac:dyDescent="0.15">
      <c r="A2703" s="17"/>
      <c r="B2703" s="36"/>
      <c r="C2703" s="37"/>
    </row>
    <row r="2704" spans="1:3" ht="21.95" customHeight="1" x14ac:dyDescent="0.15">
      <c r="A2704" s="17"/>
      <c r="B2704" s="36"/>
      <c r="C2704" s="37"/>
    </row>
    <row r="2705" spans="1:7" ht="21.95" customHeight="1" x14ac:dyDescent="0.15">
      <c r="A2705" s="17"/>
      <c r="B2705" s="36"/>
      <c r="C2705" s="37"/>
    </row>
    <row r="2706" spans="1:7" ht="21.95" customHeight="1" x14ac:dyDescent="0.15">
      <c r="A2706" s="17"/>
      <c r="B2706" s="36"/>
      <c r="C2706" s="37"/>
    </row>
    <row r="2707" spans="1:7" ht="21.95" customHeight="1" x14ac:dyDescent="0.15">
      <c r="A2707" s="17"/>
      <c r="B2707" s="36"/>
      <c r="C2707" s="37"/>
    </row>
    <row r="2708" spans="1:7" ht="21.95" customHeight="1" x14ac:dyDescent="0.15">
      <c r="A2708" s="17"/>
      <c r="B2708" s="36"/>
      <c r="C2708" s="37"/>
      <c r="G2708" s="38"/>
    </row>
    <row r="2709" spans="1:7" ht="21.95" customHeight="1" x14ac:dyDescent="0.15">
      <c r="A2709" s="17"/>
      <c r="B2709" s="36"/>
      <c r="C2709" s="37"/>
    </row>
    <row r="2710" spans="1:7" ht="35.1" customHeight="1" x14ac:dyDescent="0.15">
      <c r="A2710" s="17"/>
      <c r="B2710" s="36"/>
      <c r="C2710" s="37"/>
    </row>
    <row r="2711" spans="1:7" ht="21.95" customHeight="1" x14ac:dyDescent="0.15">
      <c r="A2711" s="17"/>
      <c r="B2711" s="36"/>
      <c r="C2711" s="37"/>
    </row>
    <row r="2712" spans="1:7" ht="21.95" customHeight="1" x14ac:dyDescent="0.15">
      <c r="A2712" s="17"/>
      <c r="B2712" s="36"/>
      <c r="C2712" s="37"/>
    </row>
    <row r="2713" spans="1:7" ht="21.95" customHeight="1" x14ac:dyDescent="0.15">
      <c r="A2713" s="17"/>
      <c r="B2713" s="36"/>
      <c r="C2713" s="37"/>
    </row>
    <row r="2714" spans="1:7" ht="21.95" customHeight="1" x14ac:dyDescent="0.15">
      <c r="A2714" s="17"/>
      <c r="B2714" s="36"/>
      <c r="C2714" s="37"/>
    </row>
    <row r="2715" spans="1:7" ht="21.95" customHeight="1" x14ac:dyDescent="0.15">
      <c r="A2715" s="17"/>
      <c r="B2715" s="36"/>
      <c r="C2715" s="37"/>
    </row>
    <row r="2716" spans="1:7" ht="21.95" customHeight="1" x14ac:dyDescent="0.15">
      <c r="A2716" s="17"/>
      <c r="B2716" s="36"/>
      <c r="C2716" s="37"/>
    </row>
    <row r="2717" spans="1:7" ht="21.95" customHeight="1" x14ac:dyDescent="0.15">
      <c r="A2717" s="17"/>
      <c r="B2717" s="36"/>
      <c r="C2717" s="37"/>
    </row>
    <row r="2718" spans="1:7" ht="21.95" customHeight="1" x14ac:dyDescent="0.15">
      <c r="A2718" s="17"/>
      <c r="B2718" s="36"/>
      <c r="C2718" s="37"/>
      <c r="G2718" s="38"/>
    </row>
    <row r="2719" spans="1:7" ht="21.95" customHeight="1" x14ac:dyDescent="0.15">
      <c r="A2719" s="17"/>
      <c r="B2719" s="36"/>
      <c r="C2719" s="37"/>
      <c r="G2719" s="38"/>
    </row>
    <row r="2720" spans="1:7" ht="21.95" customHeight="1" x14ac:dyDescent="0.15">
      <c r="A2720" s="17"/>
      <c r="B2720" s="36"/>
      <c r="C2720" s="37"/>
    </row>
    <row r="2721" spans="1:7" ht="21.95" customHeight="1" x14ac:dyDescent="0.15">
      <c r="A2721" s="17"/>
      <c r="B2721" s="36"/>
      <c r="C2721" s="37"/>
    </row>
    <row r="2722" spans="1:7" ht="21.95" customHeight="1" x14ac:dyDescent="0.15">
      <c r="A2722" s="17"/>
      <c r="B2722" s="36"/>
      <c r="C2722" s="37"/>
    </row>
    <row r="2723" spans="1:7" ht="21.95" customHeight="1" x14ac:dyDescent="0.15">
      <c r="A2723" s="17"/>
      <c r="B2723" s="36"/>
      <c r="C2723" s="37"/>
      <c r="G2723" s="38"/>
    </row>
    <row r="2724" spans="1:7" ht="21.95" customHeight="1" x14ac:dyDescent="0.15">
      <c r="A2724" s="17"/>
      <c r="B2724" s="36"/>
      <c r="C2724" s="37"/>
    </row>
    <row r="2725" spans="1:7" ht="21.95" customHeight="1" x14ac:dyDescent="0.15">
      <c r="A2725" s="17"/>
      <c r="B2725" s="36"/>
      <c r="C2725" s="37"/>
    </row>
    <row r="2726" spans="1:7" ht="21.95" customHeight="1" x14ac:dyDescent="0.15">
      <c r="A2726" s="17"/>
      <c r="B2726" s="36"/>
      <c r="C2726" s="37"/>
    </row>
    <row r="2727" spans="1:7" ht="21.95" customHeight="1" x14ac:dyDescent="0.15">
      <c r="A2727" s="17"/>
      <c r="B2727" s="36"/>
      <c r="C2727" s="37"/>
    </row>
    <row r="2728" spans="1:7" ht="21.95" customHeight="1" x14ac:dyDescent="0.15">
      <c r="A2728" s="17"/>
      <c r="B2728" s="36"/>
      <c r="C2728" s="37"/>
    </row>
    <row r="2729" spans="1:7" ht="21.95" customHeight="1" x14ac:dyDescent="0.15">
      <c r="A2729" s="17"/>
      <c r="C2729" s="37"/>
    </row>
    <row r="2730" spans="1:7" ht="21.95" customHeight="1" x14ac:dyDescent="0.15">
      <c r="A2730" s="17"/>
      <c r="B2730" s="36"/>
      <c r="C2730" s="37"/>
    </row>
    <row r="2731" spans="1:7" ht="21.95" customHeight="1" x14ac:dyDescent="0.15">
      <c r="A2731" s="17"/>
    </row>
    <row r="2732" spans="1:7" ht="21.95" customHeight="1" x14ac:dyDescent="0.15">
      <c r="A2732" s="17"/>
    </row>
    <row r="2733" spans="1:7" ht="21.95" customHeight="1" x14ac:dyDescent="0.15">
      <c r="A2733" s="17"/>
    </row>
    <row r="2734" spans="1:7" s="8" customFormat="1" ht="21.95" customHeight="1" x14ac:dyDescent="0.15">
      <c r="A2734" s="17"/>
      <c r="B2734" s="39"/>
      <c r="C2734" s="40"/>
      <c r="D2734" s="38"/>
      <c r="E2734" s="38"/>
      <c r="F2734" s="38"/>
      <c r="G2734" s="38"/>
    </row>
    <row r="2735" spans="1:7" s="8" customFormat="1" ht="21.95" customHeight="1" x14ac:dyDescent="0.15">
      <c r="A2735" s="17"/>
      <c r="B2735" s="36"/>
      <c r="C2735" s="37"/>
      <c r="D2735" s="15"/>
      <c r="E2735" s="38"/>
      <c r="F2735" s="15"/>
      <c r="G2735" s="38"/>
    </row>
    <row r="2736" spans="1:7" s="8" customFormat="1" ht="21.95" customHeight="1" x14ac:dyDescent="0.15">
      <c r="A2736" s="17"/>
      <c r="B2736" s="36"/>
      <c r="C2736" s="95"/>
      <c r="D2736" s="15"/>
      <c r="E2736" s="38"/>
      <c r="F2736" s="15"/>
      <c r="G2736" s="38"/>
    </row>
    <row r="2737" spans="1:7" s="8" customFormat="1" ht="21.95" customHeight="1" x14ac:dyDescent="0.15">
      <c r="A2737" s="17"/>
      <c r="B2737" s="36"/>
      <c r="C2737" s="95"/>
      <c r="D2737" s="15"/>
      <c r="E2737" s="38"/>
      <c r="F2737" s="38"/>
      <c r="G2737" s="38"/>
    </row>
    <row r="2738" spans="1:7" s="8" customFormat="1" ht="21.95" customHeight="1" x14ac:dyDescent="0.15">
      <c r="A2738" s="17"/>
      <c r="B2738" s="36"/>
      <c r="C2738" s="37"/>
      <c r="D2738" s="15"/>
      <c r="E2738" s="38"/>
      <c r="F2738" s="15"/>
      <c r="G2738" s="38"/>
    </row>
    <row r="2739" spans="1:7" s="8" customFormat="1" ht="21.95" customHeight="1" x14ac:dyDescent="0.15">
      <c r="A2739" s="17"/>
      <c r="B2739" s="36"/>
      <c r="C2739" s="37"/>
      <c r="D2739" s="15"/>
      <c r="E2739" s="38"/>
      <c r="F2739" s="38"/>
      <c r="G2739" s="38"/>
    </row>
    <row r="2740" spans="1:7" s="8" customFormat="1" ht="21.95" customHeight="1" x14ac:dyDescent="0.15">
      <c r="A2740" s="17"/>
      <c r="B2740" s="36"/>
      <c r="C2740" s="37"/>
      <c r="D2740" s="15"/>
      <c r="E2740" s="38"/>
      <c r="F2740" s="15"/>
      <c r="G2740" s="38"/>
    </row>
    <row r="2741" spans="1:7" s="8" customFormat="1" ht="21.95" customHeight="1" x14ac:dyDescent="0.15">
      <c r="A2741" s="17"/>
      <c r="B2741" s="36"/>
      <c r="C2741" s="37"/>
      <c r="D2741" s="15"/>
      <c r="E2741" s="38"/>
      <c r="F2741" s="38"/>
      <c r="G2741" s="38"/>
    </row>
    <row r="2742" spans="1:7" s="8" customFormat="1" ht="21.95" customHeight="1" x14ac:dyDescent="0.15">
      <c r="A2742" s="17"/>
      <c r="B2742" s="36"/>
      <c r="C2742" s="37"/>
      <c r="D2742" s="15"/>
      <c r="E2742" s="38"/>
      <c r="F2742" s="15"/>
      <c r="G2742" s="38"/>
    </row>
    <row r="2743" spans="1:7" s="8" customFormat="1" ht="21.95" customHeight="1" x14ac:dyDescent="0.15">
      <c r="A2743" s="17"/>
      <c r="B2743" s="36"/>
      <c r="C2743" s="37"/>
      <c r="D2743" s="15"/>
      <c r="E2743" s="38"/>
      <c r="F2743" s="38"/>
      <c r="G2743" s="38"/>
    </row>
    <row r="2744" spans="1:7" s="8" customFormat="1" ht="21.95" customHeight="1" x14ac:dyDescent="0.15">
      <c r="A2744" s="17"/>
      <c r="B2744" s="36"/>
      <c r="C2744" s="37"/>
      <c r="D2744" s="15"/>
      <c r="E2744" s="38"/>
      <c r="F2744" s="15"/>
      <c r="G2744" s="38"/>
    </row>
    <row r="2745" spans="1:7" ht="21.95" customHeight="1" x14ac:dyDescent="0.15">
      <c r="A2745" s="17"/>
      <c r="B2745" s="36"/>
      <c r="C2745" s="37"/>
      <c r="E2745" s="38"/>
      <c r="F2745" s="38"/>
      <c r="G2745" s="38"/>
    </row>
    <row r="2746" spans="1:7" ht="21.95" customHeight="1" x14ac:dyDescent="0.15">
      <c r="A2746" s="17"/>
      <c r="B2746" s="36"/>
      <c r="C2746" s="37"/>
      <c r="E2746" s="38"/>
      <c r="G2746" s="38"/>
    </row>
    <row r="2747" spans="1:7" ht="21.95" customHeight="1" x14ac:dyDescent="0.15">
      <c r="A2747" s="17"/>
      <c r="B2747" s="36"/>
      <c r="C2747" s="37"/>
      <c r="E2747" s="38"/>
      <c r="G2747" s="38"/>
    </row>
    <row r="2748" spans="1:7" ht="21.95" customHeight="1" x14ac:dyDescent="0.15">
      <c r="A2748" s="17"/>
      <c r="B2748" s="36"/>
      <c r="C2748" s="37"/>
      <c r="E2748" s="38"/>
      <c r="F2748" s="38"/>
      <c r="G2748" s="38"/>
    </row>
    <row r="2749" spans="1:7" s="8" customFormat="1" ht="21.95" customHeight="1" x14ac:dyDescent="0.15">
      <c r="A2749" s="17"/>
      <c r="B2749" s="36"/>
      <c r="C2749" s="37"/>
      <c r="D2749" s="15"/>
      <c r="E2749" s="38"/>
      <c r="F2749" s="38"/>
      <c r="G2749" s="38"/>
    </row>
    <row r="2750" spans="1:7" s="8" customFormat="1" ht="21.95" customHeight="1" x14ac:dyDescent="0.15">
      <c r="A2750" s="17"/>
      <c r="B2750" s="36"/>
      <c r="C2750" s="37"/>
      <c r="D2750" s="15"/>
      <c r="E2750" s="38"/>
      <c r="F2750" s="38"/>
      <c r="G2750" s="38"/>
    </row>
    <row r="2751" spans="1:7" s="8" customFormat="1" ht="21.95" customHeight="1" x14ac:dyDescent="0.15">
      <c r="A2751" s="17"/>
      <c r="B2751" s="36"/>
      <c r="C2751" s="37"/>
      <c r="D2751" s="15"/>
      <c r="E2751" s="38"/>
      <c r="F2751" s="38"/>
      <c r="G2751" s="38"/>
    </row>
    <row r="2752" spans="1:7" s="8" customFormat="1" ht="21.95" customHeight="1" x14ac:dyDescent="0.15">
      <c r="A2752" s="17"/>
      <c r="B2752" s="36"/>
      <c r="C2752" s="37"/>
      <c r="D2752" s="15"/>
      <c r="E2752" s="38"/>
      <c r="F2752" s="38"/>
      <c r="G2752" s="38"/>
    </row>
    <row r="2753" spans="1:7" s="8" customFormat="1" ht="21.95" customHeight="1" x14ac:dyDescent="0.15">
      <c r="A2753" s="17"/>
      <c r="B2753" s="36"/>
      <c r="C2753" s="37"/>
      <c r="D2753" s="15"/>
      <c r="E2753" s="38"/>
      <c r="F2753" s="38"/>
      <c r="G2753" s="38"/>
    </row>
    <row r="2754" spans="1:7" s="8" customFormat="1" ht="21.95" customHeight="1" x14ac:dyDescent="0.15">
      <c r="A2754" s="17"/>
      <c r="B2754" s="36"/>
      <c r="C2754" s="37"/>
      <c r="D2754" s="15"/>
      <c r="E2754" s="38"/>
      <c r="F2754" s="38"/>
      <c r="G2754" s="38"/>
    </row>
    <row r="2755" spans="1:7" s="8" customFormat="1" ht="21.95" customHeight="1" x14ac:dyDescent="0.15">
      <c r="A2755" s="17"/>
      <c r="B2755" s="36"/>
      <c r="C2755" s="37"/>
      <c r="D2755" s="15"/>
      <c r="E2755" s="38"/>
      <c r="F2755" s="38"/>
      <c r="G2755" s="38"/>
    </row>
    <row r="2756" spans="1:7" s="8" customFormat="1" ht="21.95" customHeight="1" x14ac:dyDescent="0.15">
      <c r="A2756" s="17"/>
      <c r="B2756" s="36"/>
      <c r="C2756" s="37"/>
      <c r="D2756" s="15"/>
      <c r="E2756" s="38"/>
      <c r="F2756" s="38"/>
      <c r="G2756" s="38"/>
    </row>
    <row r="2757" spans="1:7" s="8" customFormat="1" ht="21.95" customHeight="1" x14ac:dyDescent="0.15">
      <c r="A2757" s="17"/>
      <c r="B2757" s="36"/>
      <c r="C2757" s="37"/>
      <c r="D2757" s="15"/>
      <c r="E2757" s="38"/>
      <c r="F2757" s="38"/>
      <c r="G2757" s="38"/>
    </row>
    <row r="2758" spans="1:7" s="8" customFormat="1" ht="21.95" customHeight="1" x14ac:dyDescent="0.15">
      <c r="A2758" s="17"/>
      <c r="B2758" s="36"/>
      <c r="C2758" s="37"/>
      <c r="D2758" s="15"/>
      <c r="E2758" s="38"/>
      <c r="F2758" s="38"/>
      <c r="G2758" s="38"/>
    </row>
    <row r="2759" spans="1:7" s="8" customFormat="1" ht="21.95" customHeight="1" x14ac:dyDescent="0.15">
      <c r="A2759" s="17"/>
      <c r="B2759" s="36"/>
      <c r="C2759" s="37"/>
      <c r="D2759" s="15"/>
      <c r="E2759" s="38"/>
      <c r="F2759" s="38"/>
      <c r="G2759" s="38"/>
    </row>
    <row r="2760" spans="1:7" s="8" customFormat="1" ht="32.1" customHeight="1" x14ac:dyDescent="0.15">
      <c r="A2760" s="17"/>
      <c r="B2760" s="36"/>
      <c r="C2760" s="37"/>
      <c r="D2760" s="15"/>
      <c r="E2760" s="38"/>
      <c r="F2760" s="38"/>
      <c r="G2760" s="38"/>
    </row>
    <row r="2761" spans="1:7" s="8" customFormat="1" ht="32.1" customHeight="1" x14ac:dyDescent="0.15">
      <c r="A2761" s="17"/>
      <c r="B2761" s="36"/>
      <c r="C2761" s="37"/>
      <c r="D2761" s="15"/>
      <c r="E2761" s="38"/>
      <c r="F2761" s="38"/>
      <c r="G2761" s="38"/>
    </row>
    <row r="2762" spans="1:7" s="8" customFormat="1" ht="32.1" customHeight="1" x14ac:dyDescent="0.15">
      <c r="A2762" s="17"/>
      <c r="B2762" s="36"/>
      <c r="C2762" s="37"/>
      <c r="D2762" s="15"/>
      <c r="E2762" s="38"/>
      <c r="F2762" s="38"/>
      <c r="G2762" s="38"/>
    </row>
    <row r="2763" spans="1:7" s="8" customFormat="1" ht="32.1" customHeight="1" x14ac:dyDescent="0.15">
      <c r="A2763" s="17"/>
      <c r="B2763" s="36"/>
      <c r="C2763" s="37"/>
      <c r="D2763" s="15"/>
      <c r="E2763" s="38"/>
      <c r="F2763" s="38"/>
      <c r="G2763" s="38"/>
    </row>
    <row r="2764" spans="1:7" s="8" customFormat="1" ht="32.1" customHeight="1" x14ac:dyDescent="0.15">
      <c r="A2764" s="17"/>
      <c r="B2764" s="36"/>
      <c r="C2764" s="37"/>
      <c r="D2764" s="15"/>
      <c r="E2764" s="38"/>
      <c r="F2764" s="38"/>
      <c r="G2764" s="38"/>
    </row>
    <row r="2765" spans="1:7" s="8" customFormat="1" ht="32.1" customHeight="1" x14ac:dyDescent="0.15">
      <c r="A2765" s="17"/>
      <c r="B2765" s="36"/>
      <c r="C2765" s="37"/>
      <c r="D2765" s="15"/>
      <c r="E2765" s="38"/>
      <c r="F2765" s="38"/>
      <c r="G2765" s="38"/>
    </row>
    <row r="2766" spans="1:7" ht="32.1" customHeight="1" x14ac:dyDescent="0.15">
      <c r="A2766" s="17"/>
      <c r="B2766" s="36"/>
      <c r="C2766" s="37"/>
      <c r="E2766" s="38"/>
      <c r="F2766" s="38"/>
      <c r="G2766" s="38"/>
    </row>
    <row r="2767" spans="1:7" ht="32.1" customHeight="1" x14ac:dyDescent="0.15">
      <c r="A2767" s="17"/>
      <c r="B2767" s="36"/>
      <c r="C2767" s="37"/>
      <c r="F2767" s="38"/>
      <c r="G2767" s="38"/>
    </row>
    <row r="2768" spans="1:7" ht="32.1" customHeight="1" x14ac:dyDescent="0.15">
      <c r="A2768" s="17"/>
      <c r="B2768" s="36"/>
      <c r="C2768" s="37"/>
      <c r="F2768" s="38"/>
      <c r="G2768" s="38"/>
    </row>
    <row r="2769" spans="1:7" ht="32.1" customHeight="1" x14ac:dyDescent="0.15">
      <c r="A2769" s="17"/>
      <c r="B2769" s="36"/>
      <c r="C2769" s="37"/>
      <c r="F2769" s="38"/>
      <c r="G2769" s="38"/>
    </row>
    <row r="2770" spans="1:7" ht="21.95" customHeight="1" x14ac:dyDescent="0.15">
      <c r="A2770" s="17"/>
      <c r="B2770" s="36"/>
      <c r="C2770" s="37"/>
      <c r="F2770" s="38"/>
      <c r="G2770" s="38"/>
    </row>
    <row r="2771" spans="1:7" ht="54" customHeight="1" x14ac:dyDescent="0.15">
      <c r="A2771" s="17"/>
      <c r="B2771" s="36"/>
      <c r="C2771" s="37"/>
      <c r="F2771" s="38"/>
      <c r="G2771" s="38"/>
    </row>
    <row r="2772" spans="1:7" ht="21.95" customHeight="1" x14ac:dyDescent="0.15">
      <c r="A2772" s="17"/>
      <c r="B2772" s="36"/>
      <c r="C2772" s="37"/>
      <c r="F2772" s="38"/>
      <c r="G2772" s="38"/>
    </row>
    <row r="2773" spans="1:7" ht="21.95" customHeight="1" x14ac:dyDescent="0.15">
      <c r="A2773" s="17"/>
      <c r="B2773" s="36"/>
      <c r="C2773" s="37"/>
      <c r="F2773" s="38"/>
      <c r="G2773" s="38"/>
    </row>
    <row r="2774" spans="1:7" ht="21.95" customHeight="1" x14ac:dyDescent="0.15">
      <c r="A2774" s="17"/>
      <c r="B2774" s="36"/>
      <c r="C2774" s="37"/>
      <c r="F2774" s="38"/>
      <c r="G2774" s="38"/>
    </row>
    <row r="2775" spans="1:7" ht="21.95" customHeight="1" x14ac:dyDescent="0.15">
      <c r="A2775" s="17"/>
      <c r="B2775" s="36"/>
      <c r="C2775" s="37"/>
      <c r="F2775" s="38"/>
      <c r="G2775" s="38"/>
    </row>
    <row r="2776" spans="1:7" ht="21.95" customHeight="1" x14ac:dyDescent="0.15">
      <c r="A2776" s="17"/>
      <c r="B2776" s="36"/>
      <c r="C2776" s="37"/>
      <c r="F2776" s="38"/>
      <c r="G2776" s="38"/>
    </row>
    <row r="2777" spans="1:7" ht="21.95" customHeight="1" x14ac:dyDescent="0.15">
      <c r="A2777" s="17"/>
      <c r="B2777" s="36"/>
      <c r="C2777" s="37"/>
      <c r="F2777" s="38"/>
      <c r="G2777" s="38"/>
    </row>
    <row r="2778" spans="1:7" ht="21.95" customHeight="1" x14ac:dyDescent="0.15">
      <c r="A2778" s="17"/>
      <c r="B2778" s="36"/>
      <c r="C2778" s="37"/>
      <c r="G2778" s="38"/>
    </row>
    <row r="2779" spans="1:7" ht="21.95" customHeight="1" x14ac:dyDescent="0.15">
      <c r="A2779" s="17"/>
      <c r="B2779" s="36"/>
      <c r="C2779" s="37"/>
      <c r="G2779" s="38"/>
    </row>
    <row r="2780" spans="1:7" ht="21.95" customHeight="1" x14ac:dyDescent="0.15">
      <c r="A2780" s="17"/>
      <c r="B2780" s="36"/>
      <c r="C2780" s="37"/>
      <c r="G2780" s="38"/>
    </row>
    <row r="2781" spans="1:7" ht="21.95" customHeight="1" x14ac:dyDescent="0.15">
      <c r="A2781" s="17"/>
      <c r="B2781" s="36"/>
      <c r="C2781" s="37"/>
      <c r="G2781" s="38"/>
    </row>
    <row r="2782" spans="1:7" ht="21.95" customHeight="1" x14ac:dyDescent="0.15">
      <c r="A2782" s="17"/>
      <c r="B2782" s="36"/>
      <c r="C2782" s="37"/>
      <c r="G2782" s="38"/>
    </row>
    <row r="2783" spans="1:7" ht="21.95" customHeight="1" x14ac:dyDescent="0.15">
      <c r="A2783" s="17"/>
      <c r="B2783" s="36"/>
      <c r="C2783" s="37"/>
      <c r="G2783" s="38"/>
    </row>
    <row r="2784" spans="1:7" ht="21.95" customHeight="1" x14ac:dyDescent="0.15">
      <c r="A2784" s="17"/>
      <c r="B2784" s="36"/>
      <c r="C2784" s="37"/>
      <c r="G2784" s="38"/>
    </row>
    <row r="2785" spans="1:7" ht="21.95" customHeight="1" x14ac:dyDescent="0.15">
      <c r="A2785" s="17"/>
      <c r="B2785" s="36"/>
      <c r="C2785" s="37"/>
      <c r="G2785" s="38"/>
    </row>
    <row r="2786" spans="1:7" ht="21.95" customHeight="1" x14ac:dyDescent="0.15">
      <c r="A2786" s="17"/>
      <c r="B2786" s="36"/>
      <c r="C2786" s="37"/>
      <c r="G2786" s="38"/>
    </row>
    <row r="2787" spans="1:7" ht="21.95" customHeight="1" x14ac:dyDescent="0.15">
      <c r="A2787" s="17"/>
      <c r="B2787" s="36"/>
      <c r="C2787" s="37"/>
      <c r="G2787" s="38"/>
    </row>
    <row r="2788" spans="1:7" ht="21.95" customHeight="1" x14ac:dyDescent="0.15">
      <c r="A2788" s="17"/>
      <c r="B2788" s="36"/>
      <c r="C2788" s="37"/>
      <c r="G2788" s="38"/>
    </row>
    <row r="2789" spans="1:7" ht="21.95" customHeight="1" x14ac:dyDescent="0.15">
      <c r="A2789" s="17"/>
      <c r="B2789" s="36"/>
      <c r="C2789" s="37"/>
    </row>
    <row r="2790" spans="1:7" ht="21.95" customHeight="1" x14ac:dyDescent="0.15">
      <c r="A2790" s="17"/>
      <c r="B2790" s="36"/>
      <c r="C2790" s="37"/>
    </row>
    <row r="2791" spans="1:7" ht="21.95" customHeight="1" x14ac:dyDescent="0.15">
      <c r="A2791" s="17"/>
      <c r="B2791" s="36"/>
      <c r="C2791" s="37"/>
    </row>
    <row r="2792" spans="1:7" ht="21.95" customHeight="1" x14ac:dyDescent="0.15">
      <c r="A2792" s="17"/>
      <c r="B2792" s="36"/>
      <c r="C2792" s="37"/>
    </row>
    <row r="2793" spans="1:7" ht="21.95" customHeight="1" x14ac:dyDescent="0.15">
      <c r="A2793" s="17"/>
      <c r="B2793" s="36"/>
      <c r="C2793" s="37"/>
    </row>
    <row r="2794" spans="1:7" ht="21.95" customHeight="1" x14ac:dyDescent="0.15">
      <c r="A2794" s="17"/>
      <c r="B2794" s="36"/>
      <c r="C2794" s="37"/>
    </row>
    <row r="2795" spans="1:7" ht="21.95" customHeight="1" x14ac:dyDescent="0.15">
      <c r="A2795" s="17"/>
      <c r="B2795" s="36"/>
      <c r="C2795" s="37"/>
    </row>
    <row r="2796" spans="1:7" ht="21.95" customHeight="1" x14ac:dyDescent="0.15">
      <c r="A2796" s="17"/>
      <c r="B2796" s="36"/>
      <c r="C2796" s="37"/>
    </row>
    <row r="2797" spans="1:7" ht="21.95" customHeight="1" x14ac:dyDescent="0.15">
      <c r="A2797" s="17"/>
      <c r="B2797" s="36"/>
      <c r="C2797" s="37"/>
    </row>
    <row r="2798" spans="1:7" ht="21.95" customHeight="1" x14ac:dyDescent="0.15">
      <c r="A2798" s="17"/>
      <c r="B2798" s="36"/>
      <c r="C2798" s="37"/>
    </row>
    <row r="2799" spans="1:7" ht="21.95" customHeight="1" x14ac:dyDescent="0.15">
      <c r="A2799" s="17"/>
      <c r="B2799" s="36"/>
      <c r="C2799" s="37"/>
    </row>
    <row r="2800" spans="1:7" ht="21.95" customHeight="1" x14ac:dyDescent="0.15">
      <c r="A2800" s="17"/>
      <c r="B2800" s="36"/>
      <c r="C2800" s="37"/>
    </row>
    <row r="2801" spans="1:3" ht="21.95" customHeight="1" x14ac:dyDescent="0.15">
      <c r="A2801" s="17"/>
      <c r="B2801" s="36"/>
      <c r="C2801" s="37"/>
    </row>
    <row r="2802" spans="1:3" ht="21.95" customHeight="1" x14ac:dyDescent="0.15">
      <c r="A2802" s="17"/>
      <c r="B2802" s="36"/>
      <c r="C2802" s="37"/>
    </row>
    <row r="2803" spans="1:3" ht="21.95" customHeight="1" x14ac:dyDescent="0.15">
      <c r="A2803" s="17"/>
      <c r="B2803" s="36"/>
      <c r="C2803" s="37"/>
    </row>
    <row r="2804" spans="1:3" ht="21.95" customHeight="1" x14ac:dyDescent="0.15">
      <c r="A2804" s="17"/>
      <c r="B2804" s="36"/>
      <c r="C2804" s="37"/>
    </row>
    <row r="2805" spans="1:3" ht="21.95" customHeight="1" x14ac:dyDescent="0.15">
      <c r="A2805" s="17"/>
      <c r="B2805" s="36"/>
      <c r="C2805" s="37"/>
    </row>
    <row r="2806" spans="1:3" ht="21.95" customHeight="1" x14ac:dyDescent="0.15">
      <c r="A2806" s="17"/>
      <c r="B2806" s="36"/>
      <c r="C2806" s="37"/>
    </row>
    <row r="2807" spans="1:3" ht="21.95" customHeight="1" x14ac:dyDescent="0.15">
      <c r="A2807" s="17"/>
      <c r="B2807" s="36"/>
      <c r="C2807" s="37"/>
    </row>
    <row r="2808" spans="1:3" ht="21.95" customHeight="1" x14ac:dyDescent="0.15">
      <c r="A2808" s="17"/>
      <c r="B2808" s="36"/>
      <c r="C2808" s="37"/>
    </row>
    <row r="2809" spans="1:3" ht="21.95" customHeight="1" x14ac:dyDescent="0.15">
      <c r="A2809" s="17"/>
      <c r="B2809" s="36"/>
      <c r="C2809" s="37"/>
    </row>
    <row r="2810" spans="1:3" ht="21.95" customHeight="1" x14ac:dyDescent="0.15">
      <c r="A2810" s="17"/>
      <c r="B2810" s="36"/>
      <c r="C2810" s="37"/>
    </row>
    <row r="2811" spans="1:3" ht="21.95" customHeight="1" x14ac:dyDescent="0.15">
      <c r="A2811" s="17"/>
      <c r="B2811" s="36"/>
      <c r="C2811" s="37"/>
    </row>
    <row r="2812" spans="1:3" ht="21.95" customHeight="1" x14ac:dyDescent="0.15">
      <c r="A2812" s="17"/>
      <c r="B2812" s="36"/>
      <c r="C2812" s="37"/>
    </row>
    <row r="2813" spans="1:3" ht="21.95" customHeight="1" x14ac:dyDescent="0.15">
      <c r="A2813" s="17"/>
      <c r="B2813" s="36"/>
      <c r="C2813" s="37"/>
    </row>
    <row r="2814" spans="1:3" ht="21.95" customHeight="1" x14ac:dyDescent="0.15">
      <c r="A2814" s="17"/>
      <c r="B2814" s="36"/>
      <c r="C2814" s="37"/>
    </row>
    <row r="2815" spans="1:3" ht="21.95" customHeight="1" x14ac:dyDescent="0.15">
      <c r="A2815" s="17"/>
      <c r="B2815" s="36"/>
      <c r="C2815" s="37"/>
    </row>
    <row r="2816" spans="1:3" ht="21.95" customHeight="1" x14ac:dyDescent="0.15">
      <c r="A2816" s="17"/>
      <c r="B2816" s="36"/>
      <c r="C2816" s="37"/>
    </row>
    <row r="2817" spans="1:7" ht="21.95" customHeight="1" x14ac:dyDescent="0.15">
      <c r="A2817" s="17"/>
      <c r="B2817" s="36"/>
      <c r="C2817" s="37"/>
    </row>
    <row r="2818" spans="1:7" ht="21.95" customHeight="1" x14ac:dyDescent="0.15">
      <c r="A2818" s="17"/>
      <c r="B2818" s="36"/>
      <c r="C2818" s="37"/>
    </row>
    <row r="2819" spans="1:7" ht="21.95" customHeight="1" x14ac:dyDescent="0.15">
      <c r="A2819" s="17"/>
      <c r="B2819" s="36"/>
      <c r="C2819" s="37"/>
    </row>
    <row r="2820" spans="1:7" ht="21.95" customHeight="1" x14ac:dyDescent="0.15">
      <c r="A2820" s="17"/>
      <c r="B2820" s="36"/>
      <c r="C2820" s="37"/>
      <c r="G2820" s="38"/>
    </row>
    <row r="2821" spans="1:7" ht="21.95" customHeight="1" x14ac:dyDescent="0.15">
      <c r="A2821" s="17"/>
      <c r="B2821" s="36"/>
      <c r="C2821" s="37"/>
    </row>
    <row r="2822" spans="1:7" ht="35.1" customHeight="1" x14ac:dyDescent="0.15">
      <c r="A2822" s="17"/>
      <c r="B2822" s="36"/>
      <c r="C2822" s="37"/>
    </row>
    <row r="2823" spans="1:7" ht="21.95" customHeight="1" x14ac:dyDescent="0.15">
      <c r="A2823" s="17"/>
      <c r="B2823" s="36"/>
      <c r="C2823" s="37"/>
    </row>
    <row r="2824" spans="1:7" ht="21.95" customHeight="1" x14ac:dyDescent="0.15">
      <c r="A2824" s="17"/>
      <c r="B2824" s="36"/>
      <c r="C2824" s="37"/>
    </row>
    <row r="2825" spans="1:7" ht="21.95" customHeight="1" x14ac:dyDescent="0.15">
      <c r="A2825" s="17"/>
      <c r="B2825" s="36"/>
      <c r="C2825" s="37"/>
    </row>
    <row r="2826" spans="1:7" ht="21.95" customHeight="1" x14ac:dyDescent="0.15">
      <c r="A2826" s="17"/>
      <c r="B2826" s="36"/>
      <c r="C2826" s="37"/>
    </row>
    <row r="2827" spans="1:7" ht="21.95" customHeight="1" x14ac:dyDescent="0.15">
      <c r="A2827" s="17"/>
      <c r="B2827" s="36"/>
      <c r="C2827" s="37"/>
    </row>
    <row r="2828" spans="1:7" ht="21.95" customHeight="1" x14ac:dyDescent="0.15">
      <c r="A2828" s="17"/>
      <c r="B2828" s="36"/>
      <c r="C2828" s="37"/>
    </row>
    <row r="2829" spans="1:7" ht="21.95" customHeight="1" x14ac:dyDescent="0.15">
      <c r="A2829" s="17"/>
      <c r="B2829" s="36"/>
      <c r="C2829" s="37"/>
    </row>
    <row r="2830" spans="1:7" ht="21.95" customHeight="1" x14ac:dyDescent="0.15">
      <c r="A2830" s="17"/>
      <c r="B2830" s="36"/>
      <c r="C2830" s="37"/>
      <c r="G2830" s="38"/>
    </row>
    <row r="2831" spans="1:7" ht="21.95" customHeight="1" x14ac:dyDescent="0.15">
      <c r="A2831" s="17"/>
      <c r="B2831" s="36"/>
      <c r="C2831" s="37"/>
      <c r="G2831" s="38"/>
    </row>
    <row r="2832" spans="1:7" ht="21.95" customHeight="1" x14ac:dyDescent="0.15">
      <c r="A2832" s="17"/>
      <c r="B2832" s="36"/>
      <c r="C2832" s="37"/>
    </row>
    <row r="2833" spans="1:7" ht="21.95" customHeight="1" x14ac:dyDescent="0.15">
      <c r="A2833" s="17"/>
      <c r="B2833" s="36"/>
      <c r="C2833" s="37"/>
    </row>
    <row r="2834" spans="1:7" ht="21.95" customHeight="1" x14ac:dyDescent="0.15">
      <c r="A2834" s="17"/>
      <c r="B2834" s="36"/>
      <c r="C2834" s="37"/>
    </row>
    <row r="2835" spans="1:7" ht="21.95" customHeight="1" x14ac:dyDescent="0.15">
      <c r="A2835" s="17"/>
      <c r="B2835" s="36"/>
      <c r="C2835" s="37"/>
      <c r="G2835" s="38"/>
    </row>
    <row r="2836" spans="1:7" ht="21.95" customHeight="1" x14ac:dyDescent="0.15">
      <c r="A2836" s="17"/>
      <c r="B2836" s="36"/>
      <c r="C2836" s="37"/>
    </row>
    <row r="2837" spans="1:7" ht="21.95" customHeight="1" x14ac:dyDescent="0.15">
      <c r="A2837" s="17"/>
      <c r="B2837" s="36"/>
      <c r="C2837" s="37"/>
    </row>
    <row r="2838" spans="1:7" ht="21.95" customHeight="1" x14ac:dyDescent="0.15">
      <c r="A2838" s="17"/>
      <c r="B2838" s="36"/>
      <c r="C2838" s="37"/>
    </row>
    <row r="2839" spans="1:7" ht="21.95" customHeight="1" x14ac:dyDescent="0.15">
      <c r="A2839" s="17"/>
      <c r="B2839" s="36"/>
      <c r="C2839" s="37"/>
    </row>
    <row r="2840" spans="1:7" ht="21.95" customHeight="1" x14ac:dyDescent="0.15">
      <c r="A2840" s="17"/>
      <c r="B2840" s="36"/>
      <c r="C2840" s="37"/>
    </row>
    <row r="2841" spans="1:7" ht="21.95" customHeight="1" x14ac:dyDescent="0.15">
      <c r="A2841" s="17"/>
      <c r="C2841" s="37"/>
    </row>
    <row r="2842" spans="1:7" ht="21.95" customHeight="1" x14ac:dyDescent="0.15">
      <c r="A2842" s="17"/>
      <c r="B2842" s="36"/>
      <c r="C2842" s="37"/>
    </row>
    <row r="2843" spans="1:7" ht="21.95" customHeight="1" x14ac:dyDescent="0.15">
      <c r="A2843" s="17"/>
    </row>
    <row r="2844" spans="1:7" ht="21.95" customHeight="1" x14ac:dyDescent="0.15">
      <c r="A2844" s="17"/>
    </row>
    <row r="2845" spans="1:7" ht="21.95" customHeight="1" x14ac:dyDescent="0.15">
      <c r="A2845" s="17"/>
    </row>
    <row r="2846" spans="1:7" s="8" customFormat="1" ht="21.95" customHeight="1" x14ac:dyDescent="0.15">
      <c r="A2846" s="17"/>
      <c r="B2846" s="39"/>
      <c r="C2846" s="40"/>
      <c r="D2846" s="38"/>
      <c r="E2846" s="38"/>
      <c r="F2846" s="38"/>
      <c r="G2846" s="38"/>
    </row>
    <row r="2847" spans="1:7" s="8" customFormat="1" ht="21.95" customHeight="1" x14ac:dyDescent="0.15">
      <c r="A2847" s="17"/>
      <c r="B2847" s="36"/>
      <c r="C2847" s="37"/>
      <c r="D2847" s="15"/>
      <c r="E2847" s="38"/>
      <c r="F2847" s="15"/>
      <c r="G2847" s="38"/>
    </row>
    <row r="2848" spans="1:7" s="8" customFormat="1" ht="21.95" customHeight="1" x14ac:dyDescent="0.15">
      <c r="A2848" s="17"/>
      <c r="B2848" s="36"/>
      <c r="C2848" s="95"/>
      <c r="D2848" s="15"/>
      <c r="E2848" s="38"/>
      <c r="F2848" s="15"/>
      <c r="G2848" s="38"/>
    </row>
    <row r="2849" spans="1:7" s="8" customFormat="1" ht="21.95" customHeight="1" x14ac:dyDescent="0.15">
      <c r="A2849" s="17"/>
      <c r="B2849" s="36"/>
      <c r="C2849" s="95"/>
      <c r="D2849" s="15"/>
      <c r="E2849" s="38"/>
      <c r="F2849" s="38"/>
      <c r="G2849" s="38"/>
    </row>
    <row r="2850" spans="1:7" s="8" customFormat="1" ht="21.95" customHeight="1" x14ac:dyDescent="0.15">
      <c r="A2850" s="17"/>
      <c r="B2850" s="36"/>
      <c r="C2850" s="37"/>
      <c r="D2850" s="15"/>
      <c r="E2850" s="38"/>
      <c r="F2850" s="15"/>
      <c r="G2850" s="38"/>
    </row>
    <row r="2851" spans="1:7" s="8" customFormat="1" ht="21.95" customHeight="1" x14ac:dyDescent="0.15">
      <c r="A2851" s="17"/>
      <c r="B2851" s="36"/>
      <c r="C2851" s="37"/>
      <c r="D2851" s="15"/>
      <c r="E2851" s="38"/>
      <c r="F2851" s="38"/>
      <c r="G2851" s="38"/>
    </row>
    <row r="2852" spans="1:7" s="8" customFormat="1" ht="21.95" customHeight="1" x14ac:dyDescent="0.15">
      <c r="A2852" s="17"/>
      <c r="B2852" s="36"/>
      <c r="C2852" s="37"/>
      <c r="D2852" s="15"/>
      <c r="E2852" s="38"/>
      <c r="F2852" s="15"/>
      <c r="G2852" s="38"/>
    </row>
    <row r="2853" spans="1:7" s="8" customFormat="1" ht="21.95" customHeight="1" x14ac:dyDescent="0.15">
      <c r="A2853" s="17"/>
      <c r="B2853" s="36"/>
      <c r="C2853" s="37"/>
      <c r="D2853" s="15"/>
      <c r="E2853" s="38"/>
      <c r="F2853" s="38"/>
      <c r="G2853" s="38"/>
    </row>
    <row r="2854" spans="1:7" s="8" customFormat="1" ht="21.95" customHeight="1" x14ac:dyDescent="0.15">
      <c r="A2854" s="17"/>
      <c r="B2854" s="36"/>
      <c r="C2854" s="37"/>
      <c r="D2854" s="15"/>
      <c r="E2854" s="38"/>
      <c r="F2854" s="15"/>
      <c r="G2854" s="38"/>
    </row>
    <row r="2855" spans="1:7" s="8" customFormat="1" ht="21.95" customHeight="1" x14ac:dyDescent="0.15">
      <c r="A2855" s="17"/>
      <c r="B2855" s="36"/>
      <c r="C2855" s="37"/>
      <c r="D2855" s="15"/>
      <c r="E2855" s="38"/>
      <c r="F2855" s="38"/>
      <c r="G2855" s="38"/>
    </row>
    <row r="2856" spans="1:7" s="8" customFormat="1" ht="21.95" customHeight="1" x14ac:dyDescent="0.15">
      <c r="A2856" s="17"/>
      <c r="B2856" s="36"/>
      <c r="C2856" s="37"/>
      <c r="D2856" s="15"/>
      <c r="E2856" s="38"/>
      <c r="F2856" s="15"/>
      <c r="G2856" s="38"/>
    </row>
    <row r="2857" spans="1:7" ht="21.95" customHeight="1" x14ac:dyDescent="0.15">
      <c r="A2857" s="17"/>
      <c r="B2857" s="36"/>
      <c r="C2857" s="37"/>
      <c r="E2857" s="38"/>
      <c r="F2857" s="38"/>
      <c r="G2857" s="38"/>
    </row>
    <row r="2858" spans="1:7" ht="21.95" customHeight="1" x14ac:dyDescent="0.15">
      <c r="A2858" s="17"/>
      <c r="B2858" s="36"/>
      <c r="C2858" s="37"/>
      <c r="E2858" s="38"/>
      <c r="G2858" s="38"/>
    </row>
    <row r="2859" spans="1:7" ht="21.95" customHeight="1" x14ac:dyDescent="0.15">
      <c r="A2859" s="17"/>
      <c r="B2859" s="36"/>
      <c r="C2859" s="37"/>
      <c r="E2859" s="38"/>
      <c r="G2859" s="38"/>
    </row>
    <row r="2860" spans="1:7" ht="21.95" customHeight="1" x14ac:dyDescent="0.15">
      <c r="A2860" s="17"/>
      <c r="B2860" s="36"/>
      <c r="C2860" s="37"/>
      <c r="E2860" s="38"/>
      <c r="F2860" s="38"/>
      <c r="G2860" s="38"/>
    </row>
    <row r="2861" spans="1:7" s="8" customFormat="1" ht="21.95" customHeight="1" x14ac:dyDescent="0.15">
      <c r="A2861" s="17"/>
      <c r="B2861" s="36"/>
      <c r="C2861" s="37"/>
      <c r="D2861" s="15"/>
      <c r="E2861" s="38"/>
      <c r="F2861" s="38"/>
      <c r="G2861" s="38"/>
    </row>
    <row r="2862" spans="1:7" s="8" customFormat="1" ht="21.95" customHeight="1" x14ac:dyDescent="0.15">
      <c r="A2862" s="17"/>
      <c r="B2862" s="36"/>
      <c r="C2862" s="37"/>
      <c r="D2862" s="15"/>
      <c r="E2862" s="38"/>
      <c r="F2862" s="38"/>
      <c r="G2862" s="38"/>
    </row>
    <row r="2863" spans="1:7" s="8" customFormat="1" ht="21.95" customHeight="1" x14ac:dyDescent="0.15">
      <c r="A2863" s="17"/>
      <c r="B2863" s="36"/>
      <c r="C2863" s="37"/>
      <c r="D2863" s="15"/>
      <c r="E2863" s="38"/>
      <c r="F2863" s="38"/>
      <c r="G2863" s="38"/>
    </row>
    <row r="2864" spans="1:7" s="8" customFormat="1" ht="21.95" customHeight="1" x14ac:dyDescent="0.15">
      <c r="A2864" s="17"/>
      <c r="B2864" s="36"/>
      <c r="C2864" s="37"/>
      <c r="D2864" s="15"/>
      <c r="E2864" s="38"/>
      <c r="F2864" s="38"/>
      <c r="G2864" s="38"/>
    </row>
    <row r="2865" spans="1:7" s="8" customFormat="1" ht="21.95" customHeight="1" x14ac:dyDescent="0.15">
      <c r="A2865" s="17"/>
      <c r="B2865" s="36"/>
      <c r="C2865" s="37"/>
      <c r="D2865" s="15"/>
      <c r="E2865" s="38"/>
      <c r="F2865" s="38"/>
      <c r="G2865" s="38"/>
    </row>
    <row r="2866" spans="1:7" s="8" customFormat="1" ht="21.95" customHeight="1" x14ac:dyDescent="0.15">
      <c r="A2866" s="17"/>
      <c r="B2866" s="36"/>
      <c r="C2866" s="37"/>
      <c r="D2866" s="15"/>
      <c r="E2866" s="38"/>
      <c r="F2866" s="38"/>
      <c r="G2866" s="38"/>
    </row>
    <row r="2867" spans="1:7" s="8" customFormat="1" ht="21.95" customHeight="1" x14ac:dyDescent="0.15">
      <c r="A2867" s="17"/>
      <c r="B2867" s="36"/>
      <c r="C2867" s="37"/>
      <c r="D2867" s="15"/>
      <c r="E2867" s="38"/>
      <c r="F2867" s="38"/>
      <c r="G2867" s="38"/>
    </row>
    <row r="2868" spans="1:7" s="8" customFormat="1" ht="21.95" customHeight="1" x14ac:dyDescent="0.15">
      <c r="A2868" s="17"/>
      <c r="B2868" s="36"/>
      <c r="C2868" s="37"/>
      <c r="D2868" s="15"/>
      <c r="E2868" s="38"/>
      <c r="F2868" s="38"/>
      <c r="G2868" s="38"/>
    </row>
    <row r="2869" spans="1:7" s="8" customFormat="1" ht="21.95" customHeight="1" x14ac:dyDescent="0.15">
      <c r="A2869" s="17"/>
      <c r="B2869" s="36"/>
      <c r="C2869" s="37"/>
      <c r="D2869" s="15"/>
      <c r="E2869" s="38"/>
      <c r="F2869" s="38"/>
      <c r="G2869" s="38"/>
    </row>
    <row r="2870" spans="1:7" s="8" customFormat="1" ht="21.95" customHeight="1" x14ac:dyDescent="0.15">
      <c r="A2870" s="17"/>
      <c r="B2870" s="36"/>
      <c r="C2870" s="37"/>
      <c r="D2870" s="15"/>
      <c r="E2870" s="38"/>
      <c r="F2870" s="38"/>
      <c r="G2870" s="38"/>
    </row>
    <row r="2871" spans="1:7" s="8" customFormat="1" ht="21.95" customHeight="1" x14ac:dyDescent="0.15">
      <c r="A2871" s="17"/>
      <c r="B2871" s="36"/>
      <c r="C2871" s="37"/>
      <c r="D2871" s="15"/>
      <c r="E2871" s="38"/>
      <c r="F2871" s="38"/>
      <c r="G2871" s="38"/>
    </row>
    <row r="2872" spans="1:7" s="8" customFormat="1" ht="32.1" customHeight="1" x14ac:dyDescent="0.15">
      <c r="A2872" s="17"/>
      <c r="B2872" s="36"/>
      <c r="C2872" s="37"/>
      <c r="D2872" s="15"/>
      <c r="E2872" s="38"/>
      <c r="F2872" s="38"/>
      <c r="G2872" s="38"/>
    </row>
    <row r="2873" spans="1:7" s="8" customFormat="1" ht="32.1" customHeight="1" x14ac:dyDescent="0.15">
      <c r="A2873" s="17"/>
      <c r="B2873" s="36"/>
      <c r="C2873" s="37"/>
      <c r="D2873" s="15"/>
      <c r="E2873" s="38"/>
      <c r="F2873" s="38"/>
      <c r="G2873" s="38"/>
    </row>
    <row r="2874" spans="1:7" s="8" customFormat="1" ht="32.1" customHeight="1" x14ac:dyDescent="0.15">
      <c r="A2874" s="17"/>
      <c r="B2874" s="36"/>
      <c r="C2874" s="37"/>
      <c r="D2874" s="15"/>
      <c r="E2874" s="38"/>
      <c r="F2874" s="38"/>
      <c r="G2874" s="38"/>
    </row>
    <row r="2875" spans="1:7" s="8" customFormat="1" ht="32.1" customHeight="1" x14ac:dyDescent="0.15">
      <c r="A2875" s="17"/>
      <c r="B2875" s="36"/>
      <c r="C2875" s="37"/>
      <c r="D2875" s="15"/>
      <c r="E2875" s="38"/>
      <c r="F2875" s="38"/>
      <c r="G2875" s="38"/>
    </row>
    <row r="2876" spans="1:7" s="8" customFormat="1" ht="32.1" customHeight="1" x14ac:dyDescent="0.15">
      <c r="A2876" s="17"/>
      <c r="B2876" s="36"/>
      <c r="C2876" s="37"/>
      <c r="D2876" s="15"/>
      <c r="E2876" s="38"/>
      <c r="F2876" s="38"/>
      <c r="G2876" s="38"/>
    </row>
    <row r="2877" spans="1:7" s="8" customFormat="1" ht="32.1" customHeight="1" x14ac:dyDescent="0.15">
      <c r="A2877" s="17"/>
      <c r="B2877" s="36"/>
      <c r="C2877" s="37"/>
      <c r="D2877" s="15"/>
      <c r="E2877" s="38"/>
      <c r="F2877" s="38"/>
      <c r="G2877" s="38"/>
    </row>
    <row r="2878" spans="1:7" ht="32.1" customHeight="1" x14ac:dyDescent="0.15">
      <c r="A2878" s="17"/>
      <c r="B2878" s="36"/>
      <c r="C2878" s="37"/>
      <c r="E2878" s="38"/>
      <c r="F2878" s="38"/>
      <c r="G2878" s="38"/>
    </row>
    <row r="2879" spans="1:7" ht="32.1" customHeight="1" x14ac:dyDescent="0.15">
      <c r="A2879" s="17"/>
      <c r="B2879" s="36"/>
      <c r="C2879" s="37"/>
      <c r="F2879" s="38"/>
      <c r="G2879" s="38"/>
    </row>
    <row r="2880" spans="1:7" ht="32.1" customHeight="1" x14ac:dyDescent="0.15">
      <c r="A2880" s="17"/>
      <c r="B2880" s="36"/>
      <c r="C2880" s="37"/>
      <c r="F2880" s="38"/>
      <c r="G2880" s="38"/>
    </row>
    <row r="2881" spans="1:7" ht="32.1" customHeight="1" x14ac:dyDescent="0.15">
      <c r="A2881" s="17"/>
      <c r="B2881" s="36"/>
      <c r="C2881" s="37"/>
      <c r="F2881" s="38"/>
      <c r="G2881" s="38"/>
    </row>
    <row r="2882" spans="1:7" ht="21.95" customHeight="1" x14ac:dyDescent="0.15">
      <c r="A2882" s="17"/>
      <c r="B2882" s="36"/>
      <c r="C2882" s="37"/>
      <c r="F2882" s="38"/>
      <c r="G2882" s="38"/>
    </row>
    <row r="2883" spans="1:7" ht="54" customHeight="1" x14ac:dyDescent="0.15">
      <c r="A2883" s="17"/>
      <c r="B2883" s="36"/>
      <c r="C2883" s="37"/>
      <c r="F2883" s="38"/>
      <c r="G2883" s="38"/>
    </row>
    <row r="2884" spans="1:7" ht="21.95" customHeight="1" x14ac:dyDescent="0.15">
      <c r="A2884" s="17"/>
      <c r="B2884" s="36"/>
      <c r="C2884" s="37"/>
      <c r="F2884" s="38"/>
      <c r="G2884" s="38"/>
    </row>
    <row r="2885" spans="1:7" ht="21.95" customHeight="1" x14ac:dyDescent="0.15">
      <c r="A2885" s="17"/>
      <c r="B2885" s="36"/>
      <c r="C2885" s="37"/>
      <c r="F2885" s="38"/>
      <c r="G2885" s="38"/>
    </row>
    <row r="2886" spans="1:7" ht="21.95" customHeight="1" x14ac:dyDescent="0.15">
      <c r="A2886" s="17"/>
      <c r="B2886" s="36"/>
      <c r="C2886" s="37"/>
      <c r="F2886" s="38"/>
      <c r="G2886" s="38"/>
    </row>
    <row r="2887" spans="1:7" ht="21.95" customHeight="1" x14ac:dyDescent="0.15">
      <c r="A2887" s="17"/>
      <c r="B2887" s="36"/>
      <c r="C2887" s="37"/>
      <c r="F2887" s="38"/>
      <c r="G2887" s="38"/>
    </row>
    <row r="2888" spans="1:7" ht="21.95" customHeight="1" x14ac:dyDescent="0.15">
      <c r="A2888" s="17"/>
      <c r="B2888" s="36"/>
      <c r="C2888" s="37"/>
      <c r="F2888" s="38"/>
      <c r="G2888" s="38"/>
    </row>
    <row r="2889" spans="1:7" ht="21.95" customHeight="1" x14ac:dyDescent="0.15">
      <c r="A2889" s="17"/>
      <c r="B2889" s="36"/>
      <c r="C2889" s="37"/>
      <c r="F2889" s="38"/>
      <c r="G2889" s="38"/>
    </row>
    <row r="2890" spans="1:7" ht="21.95" customHeight="1" x14ac:dyDescent="0.15">
      <c r="A2890" s="17"/>
      <c r="B2890" s="36"/>
      <c r="C2890" s="37"/>
      <c r="G2890" s="38"/>
    </row>
    <row r="2891" spans="1:7" ht="21.95" customHeight="1" x14ac:dyDescent="0.15">
      <c r="A2891" s="17"/>
      <c r="B2891" s="36"/>
      <c r="C2891" s="37"/>
      <c r="G2891" s="38"/>
    </row>
    <row r="2892" spans="1:7" ht="21.95" customHeight="1" x14ac:dyDescent="0.15">
      <c r="A2892" s="17"/>
      <c r="B2892" s="36"/>
      <c r="C2892" s="37"/>
      <c r="G2892" s="38"/>
    </row>
    <row r="2893" spans="1:7" ht="21.95" customHeight="1" x14ac:dyDescent="0.15">
      <c r="A2893" s="17"/>
      <c r="B2893" s="36"/>
      <c r="C2893" s="37"/>
      <c r="G2893" s="38"/>
    </row>
    <row r="2894" spans="1:7" ht="21.95" customHeight="1" x14ac:dyDescent="0.15">
      <c r="A2894" s="17"/>
      <c r="B2894" s="36"/>
      <c r="C2894" s="37"/>
      <c r="G2894" s="38"/>
    </row>
    <row r="2895" spans="1:7" ht="21.95" customHeight="1" x14ac:dyDescent="0.15">
      <c r="A2895" s="17"/>
      <c r="B2895" s="36"/>
      <c r="C2895" s="37"/>
      <c r="G2895" s="38"/>
    </row>
    <row r="2896" spans="1:7" ht="21.95" customHeight="1" x14ac:dyDescent="0.15">
      <c r="A2896" s="17"/>
      <c r="B2896" s="36"/>
      <c r="C2896" s="37"/>
      <c r="G2896" s="38"/>
    </row>
    <row r="2897" spans="1:7" ht="21.95" customHeight="1" x14ac:dyDescent="0.15">
      <c r="A2897" s="17"/>
      <c r="B2897" s="36"/>
      <c r="C2897" s="37"/>
      <c r="G2897" s="38"/>
    </row>
    <row r="2898" spans="1:7" ht="21.95" customHeight="1" x14ac:dyDescent="0.15">
      <c r="A2898" s="17"/>
      <c r="B2898" s="36"/>
      <c r="C2898" s="37"/>
      <c r="G2898" s="38"/>
    </row>
    <row r="2899" spans="1:7" ht="21.95" customHeight="1" x14ac:dyDescent="0.15">
      <c r="A2899" s="17"/>
      <c r="B2899" s="36"/>
      <c r="C2899" s="37"/>
      <c r="G2899" s="38"/>
    </row>
    <row r="2900" spans="1:7" ht="21.95" customHeight="1" x14ac:dyDescent="0.15">
      <c r="A2900" s="17"/>
      <c r="B2900" s="36"/>
      <c r="C2900" s="37"/>
      <c r="G2900" s="38"/>
    </row>
    <row r="2901" spans="1:7" ht="21.95" customHeight="1" x14ac:dyDescent="0.15">
      <c r="A2901" s="17"/>
      <c r="B2901" s="36"/>
      <c r="C2901" s="37"/>
    </row>
    <row r="2902" spans="1:7" ht="21.95" customHeight="1" x14ac:dyDescent="0.15">
      <c r="A2902" s="17"/>
      <c r="B2902" s="36"/>
      <c r="C2902" s="37"/>
    </row>
    <row r="2903" spans="1:7" ht="21.95" customHeight="1" x14ac:dyDescent="0.15">
      <c r="A2903" s="17"/>
      <c r="B2903" s="36"/>
      <c r="C2903" s="37"/>
    </row>
    <row r="2904" spans="1:7" ht="21.95" customHeight="1" x14ac:dyDescent="0.15">
      <c r="A2904" s="17"/>
      <c r="B2904" s="36"/>
      <c r="C2904" s="37"/>
    </row>
    <row r="2905" spans="1:7" ht="21.95" customHeight="1" x14ac:dyDescent="0.15">
      <c r="A2905" s="17"/>
      <c r="B2905" s="36"/>
      <c r="C2905" s="37"/>
    </row>
    <row r="2906" spans="1:7" ht="21.95" customHeight="1" x14ac:dyDescent="0.15">
      <c r="A2906" s="17"/>
      <c r="B2906" s="36"/>
      <c r="C2906" s="37"/>
    </row>
    <row r="2907" spans="1:7" ht="21.95" customHeight="1" x14ac:dyDescent="0.15">
      <c r="A2907" s="17"/>
      <c r="B2907" s="36"/>
      <c r="C2907" s="37"/>
    </row>
    <row r="2908" spans="1:7" ht="21.95" customHeight="1" x14ac:dyDescent="0.15">
      <c r="A2908" s="17"/>
      <c r="B2908" s="36"/>
      <c r="C2908" s="37"/>
    </row>
    <row r="2909" spans="1:7" ht="21.95" customHeight="1" x14ac:dyDescent="0.15">
      <c r="A2909" s="17"/>
      <c r="B2909" s="36"/>
      <c r="C2909" s="37"/>
    </row>
    <row r="2910" spans="1:7" ht="21.95" customHeight="1" x14ac:dyDescent="0.15">
      <c r="A2910" s="17"/>
      <c r="B2910" s="36"/>
      <c r="C2910" s="37"/>
    </row>
    <row r="2911" spans="1:7" ht="21.95" customHeight="1" x14ac:dyDescent="0.15">
      <c r="A2911" s="17"/>
      <c r="B2911" s="36"/>
      <c r="C2911" s="37"/>
    </row>
    <row r="2912" spans="1:7" ht="21.95" customHeight="1" x14ac:dyDescent="0.15">
      <c r="A2912" s="17"/>
      <c r="B2912" s="36"/>
      <c r="C2912" s="37"/>
    </row>
    <row r="2913" spans="1:3" ht="21.95" customHeight="1" x14ac:dyDescent="0.15">
      <c r="A2913" s="17"/>
      <c r="B2913" s="36"/>
      <c r="C2913" s="37"/>
    </row>
    <row r="2914" spans="1:3" ht="21.95" customHeight="1" x14ac:dyDescent="0.15">
      <c r="A2914" s="17"/>
      <c r="B2914" s="36"/>
      <c r="C2914" s="37"/>
    </row>
    <row r="2915" spans="1:3" ht="21.95" customHeight="1" x14ac:dyDescent="0.15">
      <c r="A2915" s="17"/>
      <c r="B2915" s="36"/>
      <c r="C2915" s="37"/>
    </row>
    <row r="2916" spans="1:3" ht="21.95" customHeight="1" x14ac:dyDescent="0.15">
      <c r="A2916" s="17"/>
      <c r="B2916" s="36"/>
      <c r="C2916" s="37"/>
    </row>
    <row r="2917" spans="1:3" ht="21.95" customHeight="1" x14ac:dyDescent="0.15">
      <c r="A2917" s="17"/>
      <c r="B2917" s="36"/>
      <c r="C2917" s="37"/>
    </row>
    <row r="2918" spans="1:3" ht="21.95" customHeight="1" x14ac:dyDescent="0.15">
      <c r="A2918" s="17"/>
      <c r="B2918" s="36"/>
      <c r="C2918" s="37"/>
    </row>
    <row r="2919" spans="1:3" ht="21.95" customHeight="1" x14ac:dyDescent="0.15">
      <c r="A2919" s="17"/>
      <c r="B2919" s="36"/>
      <c r="C2919" s="37"/>
    </row>
    <row r="2920" spans="1:3" ht="21.95" customHeight="1" x14ac:dyDescent="0.15">
      <c r="A2920" s="17"/>
      <c r="B2920" s="36"/>
      <c r="C2920" s="37"/>
    </row>
    <row r="2921" spans="1:3" ht="21.95" customHeight="1" x14ac:dyDescent="0.15">
      <c r="A2921" s="17"/>
      <c r="B2921" s="36"/>
      <c r="C2921" s="37"/>
    </row>
    <row r="2922" spans="1:3" ht="21.95" customHeight="1" x14ac:dyDescent="0.15">
      <c r="A2922" s="17"/>
      <c r="B2922" s="36"/>
      <c r="C2922" s="37"/>
    </row>
    <row r="2923" spans="1:3" ht="21.95" customHeight="1" x14ac:dyDescent="0.15">
      <c r="A2923" s="17"/>
      <c r="B2923" s="36"/>
      <c r="C2923" s="37"/>
    </row>
    <row r="2924" spans="1:3" ht="21.95" customHeight="1" x14ac:dyDescent="0.15">
      <c r="A2924" s="17"/>
      <c r="B2924" s="36"/>
      <c r="C2924" s="37"/>
    </row>
    <row r="2925" spans="1:3" ht="21.95" customHeight="1" x14ac:dyDescent="0.15">
      <c r="A2925" s="17"/>
      <c r="B2925" s="36"/>
      <c r="C2925" s="37"/>
    </row>
    <row r="2926" spans="1:3" ht="21.95" customHeight="1" x14ac:dyDescent="0.15">
      <c r="A2926" s="17"/>
      <c r="B2926" s="36"/>
      <c r="C2926" s="37"/>
    </row>
    <row r="2927" spans="1:3" ht="21.95" customHeight="1" x14ac:dyDescent="0.15">
      <c r="A2927" s="17"/>
      <c r="B2927" s="36"/>
      <c r="C2927" s="37"/>
    </row>
    <row r="2928" spans="1:3" ht="21.95" customHeight="1" x14ac:dyDescent="0.15">
      <c r="A2928" s="17"/>
      <c r="B2928" s="36"/>
      <c r="C2928" s="37"/>
    </row>
    <row r="2929" spans="1:7" ht="21.95" customHeight="1" x14ac:dyDescent="0.15">
      <c r="A2929" s="17"/>
      <c r="B2929" s="36"/>
      <c r="C2929" s="37"/>
    </row>
    <row r="2930" spans="1:7" ht="21.95" customHeight="1" x14ac:dyDescent="0.15">
      <c r="A2930" s="17"/>
      <c r="B2930" s="36"/>
      <c r="C2930" s="37"/>
    </row>
    <row r="2931" spans="1:7" ht="21.95" customHeight="1" x14ac:dyDescent="0.15">
      <c r="A2931" s="17"/>
      <c r="B2931" s="36"/>
      <c r="C2931" s="37"/>
    </row>
    <row r="2932" spans="1:7" ht="21.95" customHeight="1" x14ac:dyDescent="0.15">
      <c r="A2932" s="17"/>
      <c r="B2932" s="36"/>
      <c r="C2932" s="37"/>
      <c r="G2932" s="38"/>
    </row>
    <row r="2933" spans="1:7" ht="21.95" customHeight="1" x14ac:dyDescent="0.15">
      <c r="A2933" s="17"/>
      <c r="B2933" s="36"/>
      <c r="C2933" s="37"/>
    </row>
    <row r="2934" spans="1:7" ht="35.1" customHeight="1" x14ac:dyDescent="0.15">
      <c r="A2934" s="17"/>
      <c r="B2934" s="36"/>
      <c r="C2934" s="37"/>
    </row>
    <row r="2935" spans="1:7" ht="21.95" customHeight="1" x14ac:dyDescent="0.15">
      <c r="A2935" s="17"/>
      <c r="B2935" s="36"/>
      <c r="C2935" s="37"/>
    </row>
    <row r="2936" spans="1:7" ht="21.95" customHeight="1" x14ac:dyDescent="0.15">
      <c r="A2936" s="17"/>
      <c r="B2936" s="36"/>
      <c r="C2936" s="37"/>
    </row>
    <row r="2937" spans="1:7" ht="21.95" customHeight="1" x14ac:dyDescent="0.15">
      <c r="A2937" s="17"/>
      <c r="B2937" s="36"/>
      <c r="C2937" s="37"/>
    </row>
    <row r="2938" spans="1:7" ht="21.95" customHeight="1" x14ac:dyDescent="0.15">
      <c r="A2938" s="17"/>
      <c r="B2938" s="36"/>
      <c r="C2938" s="37"/>
    </row>
    <row r="2939" spans="1:7" ht="21.95" customHeight="1" x14ac:dyDescent="0.15">
      <c r="A2939" s="17"/>
      <c r="B2939" s="36"/>
      <c r="C2939" s="37"/>
    </row>
    <row r="2940" spans="1:7" ht="21.95" customHeight="1" x14ac:dyDescent="0.15">
      <c r="A2940" s="17"/>
      <c r="B2940" s="36"/>
      <c r="C2940" s="37"/>
    </row>
    <row r="2941" spans="1:7" ht="21.95" customHeight="1" x14ac:dyDescent="0.15">
      <c r="A2941" s="17"/>
      <c r="B2941" s="36"/>
      <c r="C2941" s="37"/>
    </row>
    <row r="2942" spans="1:7" ht="21.95" customHeight="1" x14ac:dyDescent="0.15">
      <c r="A2942" s="17"/>
      <c r="B2942" s="36"/>
      <c r="C2942" s="37"/>
      <c r="G2942" s="38"/>
    </row>
    <row r="2943" spans="1:7" ht="21.95" customHeight="1" x14ac:dyDescent="0.15">
      <c r="A2943" s="17"/>
      <c r="B2943" s="36"/>
      <c r="C2943" s="37"/>
      <c r="G2943" s="38"/>
    </row>
    <row r="2944" spans="1:7" ht="21.95" customHeight="1" x14ac:dyDescent="0.15">
      <c r="A2944" s="17"/>
      <c r="B2944" s="36"/>
      <c r="C2944" s="37"/>
    </row>
    <row r="2945" spans="1:7" ht="21.95" customHeight="1" x14ac:dyDescent="0.15">
      <c r="A2945" s="17"/>
      <c r="B2945" s="36"/>
      <c r="C2945" s="37"/>
    </row>
    <row r="2946" spans="1:7" ht="21.95" customHeight="1" x14ac:dyDescent="0.15">
      <c r="A2946" s="17"/>
      <c r="B2946" s="36"/>
      <c r="C2946" s="37"/>
    </row>
    <row r="2947" spans="1:7" ht="21.95" customHeight="1" x14ac:dyDescent="0.15">
      <c r="A2947" s="17"/>
      <c r="B2947" s="36"/>
      <c r="C2947" s="37"/>
      <c r="G2947" s="38"/>
    </row>
    <row r="2948" spans="1:7" ht="21.95" customHeight="1" x14ac:dyDescent="0.15">
      <c r="A2948" s="17"/>
      <c r="B2948" s="36"/>
      <c r="C2948" s="37"/>
    </row>
    <row r="2949" spans="1:7" ht="21.95" customHeight="1" x14ac:dyDescent="0.15">
      <c r="A2949" s="17"/>
      <c r="B2949" s="36"/>
      <c r="C2949" s="37"/>
    </row>
    <row r="2950" spans="1:7" ht="21.95" customHeight="1" x14ac:dyDescent="0.15">
      <c r="A2950" s="17"/>
      <c r="B2950" s="36"/>
      <c r="C2950" s="37"/>
    </row>
    <row r="2951" spans="1:7" ht="21.95" customHeight="1" x14ac:dyDescent="0.15">
      <c r="A2951" s="17"/>
      <c r="B2951" s="36"/>
      <c r="C2951" s="37"/>
    </row>
    <row r="2952" spans="1:7" ht="21.95" customHeight="1" x14ac:dyDescent="0.15">
      <c r="A2952" s="17"/>
      <c r="B2952" s="36"/>
      <c r="C2952" s="37"/>
    </row>
    <row r="2953" spans="1:7" ht="21.95" customHeight="1" x14ac:dyDescent="0.15">
      <c r="A2953" s="17"/>
      <c r="C2953" s="37"/>
    </row>
    <row r="2954" spans="1:7" ht="21.95" customHeight="1" x14ac:dyDescent="0.15">
      <c r="A2954" s="17"/>
      <c r="B2954" s="36"/>
      <c r="C2954" s="37"/>
    </row>
    <row r="2955" spans="1:7" ht="21.95" customHeight="1" x14ac:dyDescent="0.15">
      <c r="A2955" s="17"/>
    </row>
    <row r="2956" spans="1:7" ht="21.95" customHeight="1" x14ac:dyDescent="0.15">
      <c r="A2956" s="17"/>
    </row>
    <row r="2957" spans="1:7" ht="21.95" customHeight="1" x14ac:dyDescent="0.15">
      <c r="A2957" s="17"/>
    </row>
    <row r="2958" spans="1:7" s="8" customFormat="1" ht="21.95" customHeight="1" x14ac:dyDescent="0.15">
      <c r="A2958" s="17"/>
      <c r="B2958" s="39"/>
      <c r="C2958" s="40"/>
      <c r="D2958" s="38"/>
      <c r="E2958" s="38"/>
      <c r="F2958" s="38"/>
      <c r="G2958" s="38"/>
    </row>
    <row r="2959" spans="1:7" s="8" customFormat="1" ht="21.95" customHeight="1" x14ac:dyDescent="0.15">
      <c r="A2959" s="17"/>
      <c r="B2959" s="36"/>
      <c r="C2959" s="37"/>
      <c r="D2959" s="15"/>
      <c r="E2959" s="38"/>
      <c r="F2959" s="15"/>
      <c r="G2959" s="38"/>
    </row>
    <row r="2960" spans="1:7" s="8" customFormat="1" ht="21.95" customHeight="1" x14ac:dyDescent="0.15">
      <c r="A2960" s="17"/>
      <c r="B2960" s="36"/>
      <c r="C2960" s="95"/>
      <c r="D2960" s="15"/>
      <c r="E2960" s="38"/>
      <c r="F2960" s="15"/>
      <c r="G2960" s="38"/>
    </row>
    <row r="2961" spans="1:7" s="8" customFormat="1" ht="21.95" customHeight="1" x14ac:dyDescent="0.15">
      <c r="A2961" s="17"/>
      <c r="B2961" s="36"/>
      <c r="C2961" s="95"/>
      <c r="D2961" s="15"/>
      <c r="E2961" s="38"/>
      <c r="F2961" s="38"/>
      <c r="G2961" s="38"/>
    </row>
    <row r="2962" spans="1:7" s="8" customFormat="1" ht="21.95" customHeight="1" x14ac:dyDescent="0.15">
      <c r="A2962" s="17"/>
      <c r="B2962" s="36"/>
      <c r="C2962" s="37"/>
      <c r="D2962" s="15"/>
      <c r="E2962" s="38"/>
      <c r="F2962" s="15"/>
      <c r="G2962" s="38"/>
    </row>
    <row r="2963" spans="1:7" s="8" customFormat="1" ht="21.95" customHeight="1" x14ac:dyDescent="0.15">
      <c r="A2963" s="17"/>
      <c r="B2963" s="36"/>
      <c r="C2963" s="37"/>
      <c r="D2963" s="15"/>
      <c r="E2963" s="38"/>
      <c r="F2963" s="38"/>
      <c r="G2963" s="38"/>
    </row>
    <row r="2964" spans="1:7" s="8" customFormat="1" ht="21.95" customHeight="1" x14ac:dyDescent="0.15">
      <c r="A2964" s="17"/>
      <c r="B2964" s="36"/>
      <c r="C2964" s="37"/>
      <c r="D2964" s="15"/>
      <c r="E2964" s="38"/>
      <c r="F2964" s="15"/>
      <c r="G2964" s="38"/>
    </row>
    <row r="2965" spans="1:7" s="8" customFormat="1" ht="21.95" customHeight="1" x14ac:dyDescent="0.15">
      <c r="A2965" s="17"/>
      <c r="B2965" s="36"/>
      <c r="C2965" s="37"/>
      <c r="D2965" s="15"/>
      <c r="E2965" s="38"/>
      <c r="F2965" s="38"/>
      <c r="G2965" s="38"/>
    </row>
    <row r="2966" spans="1:7" s="8" customFormat="1" ht="21.95" customHeight="1" x14ac:dyDescent="0.15">
      <c r="A2966" s="17"/>
      <c r="B2966" s="36"/>
      <c r="C2966" s="37"/>
      <c r="D2966" s="15"/>
      <c r="E2966" s="38"/>
      <c r="F2966" s="15"/>
      <c r="G2966" s="38"/>
    </row>
    <row r="2967" spans="1:7" s="8" customFormat="1" ht="21.95" customHeight="1" x14ac:dyDescent="0.15">
      <c r="A2967" s="17"/>
      <c r="B2967" s="36"/>
      <c r="C2967" s="37"/>
      <c r="D2967" s="15"/>
      <c r="E2967" s="38"/>
      <c r="F2967" s="38"/>
      <c r="G2967" s="38"/>
    </row>
    <row r="2968" spans="1:7" s="8" customFormat="1" ht="21.95" customHeight="1" x14ac:dyDescent="0.15">
      <c r="A2968" s="17"/>
      <c r="B2968" s="36"/>
      <c r="C2968" s="37"/>
      <c r="D2968" s="15"/>
      <c r="E2968" s="38"/>
      <c r="F2968" s="15"/>
      <c r="G2968" s="38"/>
    </row>
    <row r="2969" spans="1:7" ht="21.95" customHeight="1" x14ac:dyDescent="0.15">
      <c r="A2969" s="17"/>
      <c r="B2969" s="36"/>
      <c r="C2969" s="37"/>
      <c r="E2969" s="38"/>
      <c r="F2969" s="38"/>
      <c r="G2969" s="38"/>
    </row>
    <row r="2970" spans="1:7" ht="21.95" customHeight="1" x14ac:dyDescent="0.15">
      <c r="A2970" s="17"/>
      <c r="B2970" s="36"/>
      <c r="C2970" s="37"/>
      <c r="E2970" s="38"/>
      <c r="G2970" s="38"/>
    </row>
    <row r="2971" spans="1:7" ht="21.95" customHeight="1" x14ac:dyDescent="0.15">
      <c r="A2971" s="17"/>
      <c r="B2971" s="36"/>
      <c r="C2971" s="37"/>
      <c r="E2971" s="38"/>
      <c r="G2971" s="38"/>
    </row>
    <row r="2972" spans="1:7" ht="21.95" customHeight="1" x14ac:dyDescent="0.15">
      <c r="A2972" s="17"/>
      <c r="B2972" s="36"/>
      <c r="C2972" s="37"/>
      <c r="E2972" s="38"/>
      <c r="F2972" s="38"/>
      <c r="G2972" s="38"/>
    </row>
    <row r="2973" spans="1:7" s="8" customFormat="1" ht="21.95" customHeight="1" x14ac:dyDescent="0.15">
      <c r="A2973" s="17"/>
      <c r="B2973" s="36"/>
      <c r="C2973" s="37"/>
      <c r="D2973" s="15"/>
      <c r="E2973" s="38"/>
      <c r="F2973" s="38"/>
      <c r="G2973" s="38"/>
    </row>
    <row r="2974" spans="1:7" s="8" customFormat="1" ht="21.95" customHeight="1" x14ac:dyDescent="0.15">
      <c r="A2974" s="17"/>
      <c r="B2974" s="36"/>
      <c r="C2974" s="37"/>
      <c r="D2974" s="15"/>
      <c r="E2974" s="38"/>
      <c r="F2974" s="38"/>
      <c r="G2974" s="38"/>
    </row>
    <row r="2975" spans="1:7" s="8" customFormat="1" ht="21.95" customHeight="1" x14ac:dyDescent="0.15">
      <c r="A2975" s="17"/>
      <c r="B2975" s="36"/>
      <c r="C2975" s="37"/>
      <c r="D2975" s="15"/>
      <c r="E2975" s="38"/>
      <c r="F2975" s="38"/>
      <c r="G2975" s="38"/>
    </row>
    <row r="2976" spans="1:7" s="8" customFormat="1" ht="21.95" customHeight="1" x14ac:dyDescent="0.15">
      <c r="A2976" s="17"/>
      <c r="B2976" s="36"/>
      <c r="C2976" s="37"/>
      <c r="D2976" s="15"/>
      <c r="E2976" s="38"/>
      <c r="F2976" s="38"/>
      <c r="G2976" s="38"/>
    </row>
    <row r="2977" spans="1:7" s="8" customFormat="1" ht="21.95" customHeight="1" x14ac:dyDescent="0.15">
      <c r="A2977" s="17"/>
      <c r="B2977" s="36"/>
      <c r="C2977" s="37"/>
      <c r="D2977" s="15"/>
      <c r="E2977" s="38"/>
      <c r="F2977" s="38"/>
      <c r="G2977" s="38"/>
    </row>
    <row r="2978" spans="1:7" s="8" customFormat="1" ht="21.95" customHeight="1" x14ac:dyDescent="0.15">
      <c r="A2978" s="17"/>
      <c r="B2978" s="36"/>
      <c r="C2978" s="37"/>
      <c r="D2978" s="15"/>
      <c r="E2978" s="38"/>
      <c r="F2978" s="38"/>
      <c r="G2978" s="38"/>
    </row>
    <row r="2979" spans="1:7" s="8" customFormat="1" ht="21.95" customHeight="1" x14ac:dyDescent="0.15">
      <c r="A2979" s="17"/>
      <c r="B2979" s="36"/>
      <c r="C2979" s="37"/>
      <c r="D2979" s="15"/>
      <c r="E2979" s="38"/>
      <c r="F2979" s="38"/>
      <c r="G2979" s="38"/>
    </row>
    <row r="2980" spans="1:7" s="8" customFormat="1" ht="21.95" customHeight="1" x14ac:dyDescent="0.15">
      <c r="A2980" s="17"/>
      <c r="B2980" s="36"/>
      <c r="C2980" s="37"/>
      <c r="D2980" s="15"/>
      <c r="E2980" s="38"/>
      <c r="F2980" s="38"/>
      <c r="G2980" s="38"/>
    </row>
    <row r="2981" spans="1:7" s="8" customFormat="1" ht="21.95" customHeight="1" x14ac:dyDescent="0.15">
      <c r="A2981" s="17"/>
      <c r="B2981" s="36"/>
      <c r="C2981" s="37"/>
      <c r="D2981" s="15"/>
      <c r="E2981" s="38"/>
      <c r="F2981" s="38"/>
      <c r="G2981" s="38"/>
    </row>
    <row r="2982" spans="1:7" s="8" customFormat="1" ht="21.95" customHeight="1" x14ac:dyDescent="0.15">
      <c r="A2982" s="17"/>
      <c r="B2982" s="36"/>
      <c r="C2982" s="37"/>
      <c r="D2982" s="15"/>
      <c r="E2982" s="38"/>
      <c r="F2982" s="38"/>
      <c r="G2982" s="38"/>
    </row>
    <row r="2983" spans="1:7" s="8" customFormat="1" ht="21.95" customHeight="1" x14ac:dyDescent="0.15">
      <c r="A2983" s="17"/>
      <c r="B2983" s="36"/>
      <c r="C2983" s="37"/>
      <c r="D2983" s="15"/>
      <c r="E2983" s="38"/>
      <c r="F2983" s="38"/>
      <c r="G2983" s="38"/>
    </row>
    <row r="2984" spans="1:7" s="8" customFormat="1" ht="32.1" customHeight="1" x14ac:dyDescent="0.15">
      <c r="A2984" s="17"/>
      <c r="B2984" s="36"/>
      <c r="C2984" s="37"/>
      <c r="D2984" s="15"/>
      <c r="E2984" s="38"/>
      <c r="F2984" s="38"/>
      <c r="G2984" s="38"/>
    </row>
    <row r="2985" spans="1:7" s="8" customFormat="1" ht="32.1" customHeight="1" x14ac:dyDescent="0.15">
      <c r="A2985" s="17"/>
      <c r="B2985" s="36"/>
      <c r="C2985" s="37"/>
      <c r="D2985" s="15"/>
      <c r="E2985" s="38"/>
      <c r="F2985" s="38"/>
      <c r="G2985" s="38"/>
    </row>
    <row r="2986" spans="1:7" s="8" customFormat="1" ht="32.1" customHeight="1" x14ac:dyDescent="0.15">
      <c r="A2986" s="17"/>
      <c r="B2986" s="36"/>
      <c r="C2986" s="37"/>
      <c r="D2986" s="15"/>
      <c r="E2986" s="38"/>
      <c r="F2986" s="38"/>
      <c r="G2986" s="38"/>
    </row>
    <row r="2987" spans="1:7" s="8" customFormat="1" ht="32.1" customHeight="1" x14ac:dyDescent="0.15">
      <c r="A2987" s="17"/>
      <c r="B2987" s="36"/>
      <c r="C2987" s="37"/>
      <c r="D2987" s="15"/>
      <c r="E2987" s="38"/>
      <c r="F2987" s="38"/>
      <c r="G2987" s="38"/>
    </row>
    <row r="2988" spans="1:7" s="8" customFormat="1" ht="32.1" customHeight="1" x14ac:dyDescent="0.15">
      <c r="A2988" s="17"/>
      <c r="B2988" s="36"/>
      <c r="C2988" s="37"/>
      <c r="D2988" s="15"/>
      <c r="E2988" s="38"/>
      <c r="F2988" s="38"/>
      <c r="G2988" s="38"/>
    </row>
    <row r="2989" spans="1:7" s="8" customFormat="1" ht="32.1" customHeight="1" x14ac:dyDescent="0.15">
      <c r="A2989" s="17"/>
      <c r="B2989" s="36"/>
      <c r="C2989" s="37"/>
      <c r="D2989" s="15"/>
      <c r="E2989" s="38"/>
      <c r="F2989" s="38"/>
      <c r="G2989" s="38"/>
    </row>
    <row r="2990" spans="1:7" ht="32.1" customHeight="1" x14ac:dyDescent="0.15">
      <c r="A2990" s="17"/>
      <c r="B2990" s="36"/>
      <c r="C2990" s="37"/>
      <c r="E2990" s="38"/>
      <c r="F2990" s="38"/>
      <c r="G2990" s="38"/>
    </row>
    <row r="2991" spans="1:7" ht="32.1" customHeight="1" x14ac:dyDescent="0.15">
      <c r="A2991" s="17"/>
      <c r="B2991" s="36"/>
      <c r="C2991" s="37"/>
      <c r="F2991" s="38"/>
      <c r="G2991" s="38"/>
    </row>
    <row r="2992" spans="1:7" ht="32.1" customHeight="1" x14ac:dyDescent="0.15">
      <c r="A2992" s="17"/>
      <c r="B2992" s="36"/>
      <c r="C2992" s="37"/>
      <c r="F2992" s="38"/>
      <c r="G2992" s="38"/>
    </row>
    <row r="2993" spans="1:7" ht="32.1" customHeight="1" x14ac:dyDescent="0.15">
      <c r="A2993" s="17"/>
      <c r="B2993" s="36"/>
      <c r="C2993" s="37"/>
      <c r="F2993" s="38"/>
      <c r="G2993" s="38"/>
    </row>
    <row r="2994" spans="1:7" ht="21.95" customHeight="1" x14ac:dyDescent="0.15">
      <c r="A2994" s="17"/>
      <c r="B2994" s="36"/>
      <c r="C2994" s="37"/>
      <c r="F2994" s="38"/>
      <c r="G2994" s="38"/>
    </row>
    <row r="2995" spans="1:7" ht="54" customHeight="1" x14ac:dyDescent="0.15">
      <c r="A2995" s="17"/>
      <c r="B2995" s="36"/>
      <c r="C2995" s="37"/>
      <c r="F2995" s="38"/>
      <c r="G2995" s="38"/>
    </row>
    <row r="2996" spans="1:7" ht="21.95" customHeight="1" x14ac:dyDescent="0.15">
      <c r="A2996" s="17"/>
      <c r="B2996" s="36"/>
      <c r="C2996" s="37"/>
      <c r="F2996" s="38"/>
      <c r="G2996" s="38"/>
    </row>
    <row r="2997" spans="1:7" ht="21.95" customHeight="1" x14ac:dyDescent="0.15">
      <c r="A2997" s="17"/>
      <c r="B2997" s="36"/>
      <c r="C2997" s="37"/>
      <c r="F2997" s="38"/>
      <c r="G2997" s="38"/>
    </row>
    <row r="2998" spans="1:7" ht="21.95" customHeight="1" x14ac:dyDescent="0.15">
      <c r="A2998" s="17"/>
      <c r="B2998" s="36"/>
      <c r="C2998" s="37"/>
      <c r="F2998" s="38"/>
      <c r="G2998" s="38"/>
    </row>
    <row r="2999" spans="1:7" ht="21.95" customHeight="1" x14ac:dyDescent="0.15">
      <c r="A2999" s="17"/>
      <c r="B2999" s="36"/>
      <c r="C2999" s="37"/>
      <c r="F2999" s="38"/>
      <c r="G2999" s="38"/>
    </row>
    <row r="3000" spans="1:7" ht="21.95" customHeight="1" x14ac:dyDescent="0.15">
      <c r="A3000" s="17"/>
      <c r="B3000" s="36"/>
      <c r="C3000" s="37"/>
      <c r="F3000" s="38"/>
      <c r="G3000" s="38"/>
    </row>
    <row r="3001" spans="1:7" ht="21.95" customHeight="1" x14ac:dyDescent="0.15">
      <c r="A3001" s="17"/>
      <c r="B3001" s="36"/>
      <c r="C3001" s="37"/>
      <c r="F3001" s="38"/>
      <c r="G3001" s="38"/>
    </row>
    <row r="3002" spans="1:7" ht="21.95" customHeight="1" x14ac:dyDescent="0.15">
      <c r="A3002" s="17"/>
      <c r="B3002" s="36"/>
      <c r="C3002" s="37"/>
      <c r="G3002" s="38"/>
    </row>
    <row r="3003" spans="1:7" ht="21.95" customHeight="1" x14ac:dyDescent="0.15">
      <c r="A3003" s="17"/>
      <c r="B3003" s="36"/>
      <c r="C3003" s="37"/>
      <c r="G3003" s="38"/>
    </row>
    <row r="3004" spans="1:7" ht="21.95" customHeight="1" x14ac:dyDescent="0.15">
      <c r="A3004" s="17"/>
      <c r="B3004" s="36"/>
      <c r="C3004" s="37"/>
      <c r="G3004" s="38"/>
    </row>
    <row r="3005" spans="1:7" ht="21.95" customHeight="1" x14ac:dyDescent="0.15">
      <c r="A3005" s="17"/>
      <c r="B3005" s="36"/>
      <c r="C3005" s="37"/>
      <c r="G3005" s="38"/>
    </row>
    <row r="3006" spans="1:7" ht="21.95" customHeight="1" x14ac:dyDescent="0.15">
      <c r="A3006" s="17"/>
      <c r="B3006" s="36"/>
      <c r="C3006" s="37"/>
      <c r="G3006" s="38"/>
    </row>
    <row r="3007" spans="1:7" ht="21.95" customHeight="1" x14ac:dyDescent="0.15">
      <c r="A3007" s="17"/>
      <c r="B3007" s="36"/>
      <c r="C3007" s="37"/>
      <c r="G3007" s="38"/>
    </row>
    <row r="3008" spans="1:7" ht="21.95" customHeight="1" x14ac:dyDescent="0.15">
      <c r="A3008" s="17"/>
      <c r="B3008" s="36"/>
      <c r="C3008" s="37"/>
      <c r="G3008" s="38"/>
    </row>
    <row r="3009" spans="1:7" ht="21.95" customHeight="1" x14ac:dyDescent="0.15">
      <c r="A3009" s="17"/>
      <c r="B3009" s="36"/>
      <c r="C3009" s="37"/>
      <c r="G3009" s="38"/>
    </row>
    <row r="3010" spans="1:7" ht="21.95" customHeight="1" x14ac:dyDescent="0.15">
      <c r="A3010" s="17"/>
      <c r="B3010" s="36"/>
      <c r="C3010" s="37"/>
      <c r="G3010" s="38"/>
    </row>
    <row r="3011" spans="1:7" ht="21.95" customHeight="1" x14ac:dyDescent="0.15">
      <c r="A3011" s="17"/>
      <c r="B3011" s="36"/>
      <c r="C3011" s="37"/>
      <c r="G3011" s="38"/>
    </row>
    <row r="3012" spans="1:7" ht="21.95" customHeight="1" x14ac:dyDescent="0.15">
      <c r="A3012" s="17"/>
      <c r="B3012" s="36"/>
      <c r="C3012" s="37"/>
      <c r="G3012" s="38"/>
    </row>
    <row r="3013" spans="1:7" ht="21.95" customHeight="1" x14ac:dyDescent="0.15">
      <c r="A3013" s="17"/>
      <c r="B3013" s="36"/>
      <c r="C3013" s="37"/>
    </row>
    <row r="3014" spans="1:7" ht="21.95" customHeight="1" x14ac:dyDescent="0.15">
      <c r="A3014" s="17"/>
      <c r="B3014" s="36"/>
      <c r="C3014" s="37"/>
    </row>
    <row r="3015" spans="1:7" ht="21.95" customHeight="1" x14ac:dyDescent="0.15">
      <c r="A3015" s="17"/>
      <c r="B3015" s="36"/>
      <c r="C3015" s="37"/>
    </row>
    <row r="3016" spans="1:7" ht="21.95" customHeight="1" x14ac:dyDescent="0.15">
      <c r="A3016" s="17"/>
      <c r="B3016" s="36"/>
      <c r="C3016" s="37"/>
    </row>
    <row r="3017" spans="1:7" ht="21.95" customHeight="1" x14ac:dyDescent="0.15">
      <c r="A3017" s="17"/>
      <c r="B3017" s="36"/>
      <c r="C3017" s="37"/>
    </row>
    <row r="3018" spans="1:7" ht="21.95" customHeight="1" x14ac:dyDescent="0.15">
      <c r="A3018" s="17"/>
      <c r="B3018" s="36"/>
      <c r="C3018" s="37"/>
    </row>
    <row r="3019" spans="1:7" ht="21.95" customHeight="1" x14ac:dyDescent="0.15">
      <c r="A3019" s="17"/>
      <c r="B3019" s="36"/>
      <c r="C3019" s="37"/>
    </row>
    <row r="3020" spans="1:7" ht="21.95" customHeight="1" x14ac:dyDescent="0.15">
      <c r="A3020" s="17"/>
      <c r="B3020" s="36"/>
      <c r="C3020" s="37"/>
    </row>
    <row r="3021" spans="1:7" ht="21.95" customHeight="1" x14ac:dyDescent="0.15">
      <c r="A3021" s="17"/>
      <c r="B3021" s="36"/>
      <c r="C3021" s="37"/>
    </row>
    <row r="3022" spans="1:7" ht="21.95" customHeight="1" x14ac:dyDescent="0.15">
      <c r="A3022" s="17"/>
      <c r="B3022" s="36"/>
      <c r="C3022" s="37"/>
    </row>
    <row r="3023" spans="1:7" ht="21.95" customHeight="1" x14ac:dyDescent="0.15">
      <c r="A3023" s="17"/>
      <c r="B3023" s="36"/>
      <c r="C3023" s="37"/>
    </row>
    <row r="3024" spans="1:7" ht="21.95" customHeight="1" x14ac:dyDescent="0.15">
      <c r="A3024" s="17"/>
      <c r="B3024" s="36"/>
      <c r="C3024" s="37"/>
    </row>
    <row r="3025" spans="1:3" ht="21.95" customHeight="1" x14ac:dyDescent="0.15">
      <c r="A3025" s="17"/>
      <c r="B3025" s="36"/>
      <c r="C3025" s="37"/>
    </row>
    <row r="3026" spans="1:3" ht="21.95" customHeight="1" x14ac:dyDescent="0.15">
      <c r="A3026" s="17"/>
      <c r="B3026" s="36"/>
      <c r="C3026" s="37"/>
    </row>
    <row r="3027" spans="1:3" ht="21.95" customHeight="1" x14ac:dyDescent="0.15">
      <c r="A3027" s="17"/>
      <c r="B3027" s="36"/>
      <c r="C3027" s="37"/>
    </row>
    <row r="3028" spans="1:3" ht="21.95" customHeight="1" x14ac:dyDescent="0.15">
      <c r="A3028" s="17"/>
      <c r="B3028" s="36"/>
      <c r="C3028" s="37"/>
    </row>
    <row r="3029" spans="1:3" ht="21.95" customHeight="1" x14ac:dyDescent="0.15">
      <c r="A3029" s="17"/>
      <c r="B3029" s="36"/>
      <c r="C3029" s="37"/>
    </row>
    <row r="3030" spans="1:3" ht="21.95" customHeight="1" x14ac:dyDescent="0.15">
      <c r="A3030" s="17"/>
      <c r="B3030" s="36"/>
      <c r="C3030" s="37"/>
    </row>
    <row r="3031" spans="1:3" ht="21.95" customHeight="1" x14ac:dyDescent="0.15">
      <c r="A3031" s="17"/>
      <c r="B3031" s="36"/>
      <c r="C3031" s="37"/>
    </row>
    <row r="3032" spans="1:3" ht="21.95" customHeight="1" x14ac:dyDescent="0.15">
      <c r="A3032" s="17"/>
      <c r="B3032" s="36"/>
      <c r="C3032" s="37"/>
    </row>
    <row r="3033" spans="1:3" ht="21.95" customHeight="1" x14ac:dyDescent="0.15">
      <c r="A3033" s="17"/>
      <c r="B3033" s="36"/>
      <c r="C3033" s="37"/>
    </row>
    <row r="3034" spans="1:3" ht="21.95" customHeight="1" x14ac:dyDescent="0.15">
      <c r="A3034" s="17"/>
      <c r="B3034" s="36"/>
      <c r="C3034" s="37"/>
    </row>
    <row r="3035" spans="1:3" ht="21.95" customHeight="1" x14ac:dyDescent="0.15">
      <c r="A3035" s="17"/>
      <c r="B3035" s="36"/>
      <c r="C3035" s="37"/>
    </row>
    <row r="3036" spans="1:3" ht="21.95" customHeight="1" x14ac:dyDescent="0.15">
      <c r="A3036" s="17"/>
      <c r="B3036" s="36"/>
      <c r="C3036" s="37"/>
    </row>
    <row r="3037" spans="1:3" ht="21.95" customHeight="1" x14ac:dyDescent="0.15">
      <c r="A3037" s="17"/>
      <c r="B3037" s="36"/>
      <c r="C3037" s="37"/>
    </row>
    <row r="3038" spans="1:3" ht="21.95" customHeight="1" x14ac:dyDescent="0.15">
      <c r="A3038" s="17"/>
      <c r="B3038" s="36"/>
      <c r="C3038" s="37"/>
    </row>
    <row r="3039" spans="1:3" ht="21.95" customHeight="1" x14ac:dyDescent="0.15">
      <c r="A3039" s="17"/>
      <c r="B3039" s="36"/>
      <c r="C3039" s="37"/>
    </row>
    <row r="3040" spans="1:3" ht="21.95" customHeight="1" x14ac:dyDescent="0.15">
      <c r="A3040" s="17"/>
      <c r="B3040" s="36"/>
      <c r="C3040" s="37"/>
    </row>
    <row r="3041" spans="1:7" ht="21.95" customHeight="1" x14ac:dyDescent="0.15">
      <c r="A3041" s="17"/>
      <c r="B3041" s="36"/>
      <c r="C3041" s="37"/>
    </row>
    <row r="3042" spans="1:7" ht="21.95" customHeight="1" x14ac:dyDescent="0.15">
      <c r="A3042" s="17"/>
      <c r="B3042" s="36"/>
      <c r="C3042" s="37"/>
    </row>
    <row r="3043" spans="1:7" ht="21.95" customHeight="1" x14ac:dyDescent="0.15">
      <c r="A3043" s="17"/>
      <c r="B3043" s="36"/>
      <c r="C3043" s="37"/>
    </row>
    <row r="3044" spans="1:7" ht="21.95" customHeight="1" x14ac:dyDescent="0.15">
      <c r="A3044" s="17"/>
      <c r="B3044" s="36"/>
      <c r="C3044" s="37"/>
      <c r="G3044" s="38"/>
    </row>
    <row r="3045" spans="1:7" ht="21.95" customHeight="1" x14ac:dyDescent="0.15">
      <c r="A3045" s="17"/>
      <c r="B3045" s="36"/>
      <c r="C3045" s="37"/>
    </row>
    <row r="3046" spans="1:7" ht="35.1" customHeight="1" x14ac:dyDescent="0.15">
      <c r="A3046" s="17"/>
      <c r="B3046" s="36"/>
      <c r="C3046" s="37"/>
    </row>
    <row r="3047" spans="1:7" ht="21.95" customHeight="1" x14ac:dyDescent="0.15">
      <c r="A3047" s="17"/>
      <c r="B3047" s="36"/>
      <c r="C3047" s="37"/>
    </row>
    <row r="3048" spans="1:7" ht="21.95" customHeight="1" x14ac:dyDescent="0.15">
      <c r="A3048" s="17"/>
      <c r="B3048" s="36"/>
      <c r="C3048" s="37"/>
    </row>
    <row r="3049" spans="1:7" ht="21.95" customHeight="1" x14ac:dyDescent="0.15">
      <c r="A3049" s="17"/>
      <c r="B3049" s="36"/>
      <c r="C3049" s="37"/>
    </row>
    <row r="3050" spans="1:7" ht="21.95" customHeight="1" x14ac:dyDescent="0.15">
      <c r="A3050" s="17"/>
      <c r="B3050" s="36"/>
      <c r="C3050" s="37"/>
    </row>
    <row r="3051" spans="1:7" ht="21.95" customHeight="1" x14ac:dyDescent="0.15">
      <c r="A3051" s="17"/>
      <c r="B3051" s="36"/>
      <c r="C3051" s="37"/>
    </row>
    <row r="3052" spans="1:7" ht="21.95" customHeight="1" x14ac:dyDescent="0.15">
      <c r="A3052" s="17"/>
      <c r="B3052" s="36"/>
      <c r="C3052" s="37"/>
    </row>
    <row r="3053" spans="1:7" ht="21.95" customHeight="1" x14ac:dyDescent="0.15">
      <c r="A3053" s="17"/>
      <c r="B3053" s="36"/>
      <c r="C3053" s="37"/>
    </row>
    <row r="3054" spans="1:7" ht="21.95" customHeight="1" x14ac:dyDescent="0.15">
      <c r="A3054" s="17"/>
      <c r="B3054" s="36"/>
      <c r="C3054" s="37"/>
      <c r="G3054" s="38"/>
    </row>
    <row r="3055" spans="1:7" ht="21.95" customHeight="1" x14ac:dyDescent="0.15">
      <c r="A3055" s="17"/>
      <c r="B3055" s="36"/>
      <c r="C3055" s="37"/>
      <c r="G3055" s="38"/>
    </row>
    <row r="3056" spans="1:7" ht="21.95" customHeight="1" x14ac:dyDescent="0.15">
      <c r="A3056" s="17"/>
      <c r="B3056" s="36"/>
      <c r="C3056" s="37"/>
    </row>
    <row r="3057" spans="1:7" ht="21.95" customHeight="1" x14ac:dyDescent="0.15">
      <c r="A3057" s="17"/>
      <c r="B3057" s="36"/>
      <c r="C3057" s="37"/>
    </row>
    <row r="3058" spans="1:7" ht="21.95" customHeight="1" x14ac:dyDescent="0.15">
      <c r="A3058" s="17"/>
      <c r="B3058" s="36"/>
      <c r="C3058" s="37"/>
    </row>
    <row r="3059" spans="1:7" ht="21.95" customHeight="1" x14ac:dyDescent="0.15">
      <c r="A3059" s="17"/>
      <c r="B3059" s="36"/>
      <c r="C3059" s="37"/>
      <c r="G3059" s="38"/>
    </row>
    <row r="3060" spans="1:7" ht="21.95" customHeight="1" x14ac:dyDescent="0.15">
      <c r="A3060" s="17"/>
      <c r="B3060" s="36"/>
      <c r="C3060" s="37"/>
    </row>
    <row r="3061" spans="1:7" ht="21.95" customHeight="1" x14ac:dyDescent="0.15">
      <c r="A3061" s="17"/>
      <c r="B3061" s="36"/>
      <c r="C3061" s="37"/>
    </row>
    <row r="3062" spans="1:7" ht="21.95" customHeight="1" x14ac:dyDescent="0.15">
      <c r="A3062" s="17"/>
      <c r="B3062" s="36"/>
      <c r="C3062" s="37"/>
    </row>
    <row r="3063" spans="1:7" ht="21.95" customHeight="1" x14ac:dyDescent="0.15">
      <c r="A3063" s="17"/>
      <c r="B3063" s="36"/>
      <c r="C3063" s="37"/>
    </row>
    <row r="3064" spans="1:7" ht="21.95" customHeight="1" x14ac:dyDescent="0.15">
      <c r="A3064" s="17"/>
      <c r="B3064" s="36"/>
      <c r="C3064" s="37"/>
    </row>
    <row r="3065" spans="1:7" ht="21.95" customHeight="1" x14ac:dyDescent="0.15">
      <c r="A3065" s="17"/>
      <c r="C3065" s="37"/>
    </row>
    <row r="3066" spans="1:7" ht="21.95" customHeight="1" x14ac:dyDescent="0.15">
      <c r="A3066" s="17"/>
      <c r="B3066" s="36"/>
      <c r="C3066" s="37"/>
    </row>
    <row r="3067" spans="1:7" ht="21.95" customHeight="1" x14ac:dyDescent="0.15">
      <c r="A3067" s="17"/>
    </row>
    <row r="3068" spans="1:7" ht="21.95" customHeight="1" x14ac:dyDescent="0.15">
      <c r="A3068" s="17"/>
    </row>
    <row r="3069" spans="1:7" ht="21.95" customHeight="1" x14ac:dyDescent="0.15">
      <c r="A3069" s="17"/>
    </row>
    <row r="3070" spans="1:7" s="8" customFormat="1" ht="21.95" customHeight="1" x14ac:dyDescent="0.15">
      <c r="A3070" s="17"/>
      <c r="B3070" s="39"/>
      <c r="C3070" s="40"/>
      <c r="D3070" s="38"/>
      <c r="E3070" s="38"/>
      <c r="F3070" s="38"/>
      <c r="G3070" s="38"/>
    </row>
    <row r="3071" spans="1:7" s="8" customFormat="1" ht="21.95" customHeight="1" x14ac:dyDescent="0.15">
      <c r="A3071" s="17"/>
      <c r="B3071" s="36"/>
      <c r="C3071" s="37"/>
      <c r="D3071" s="15"/>
      <c r="E3071" s="38"/>
      <c r="F3071" s="15"/>
      <c r="G3071" s="38"/>
    </row>
    <row r="3072" spans="1:7" s="8" customFormat="1" ht="21.95" customHeight="1" x14ac:dyDescent="0.15">
      <c r="A3072" s="17"/>
      <c r="B3072" s="36"/>
      <c r="C3072" s="95"/>
      <c r="D3072" s="15"/>
      <c r="E3072" s="38"/>
      <c r="F3072" s="15"/>
      <c r="G3072" s="38"/>
    </row>
    <row r="3073" spans="1:7" s="8" customFormat="1" ht="21.95" customHeight="1" x14ac:dyDescent="0.15">
      <c r="A3073" s="17"/>
      <c r="B3073" s="36"/>
      <c r="C3073" s="95"/>
      <c r="D3073" s="15"/>
      <c r="E3073" s="38"/>
      <c r="F3073" s="38"/>
      <c r="G3073" s="38"/>
    </row>
    <row r="3074" spans="1:7" s="8" customFormat="1" ht="21.95" customHeight="1" x14ac:dyDescent="0.15">
      <c r="A3074" s="17"/>
      <c r="B3074" s="36"/>
      <c r="C3074" s="37"/>
      <c r="D3074" s="15"/>
      <c r="E3074" s="38"/>
      <c r="F3074" s="15"/>
      <c r="G3074" s="38"/>
    </row>
    <row r="3075" spans="1:7" s="8" customFormat="1" ht="21.95" customHeight="1" x14ac:dyDescent="0.15">
      <c r="A3075" s="17"/>
      <c r="B3075" s="36"/>
      <c r="C3075" s="37"/>
      <c r="D3075" s="15"/>
      <c r="E3075" s="38"/>
      <c r="F3075" s="38"/>
      <c r="G3075" s="38"/>
    </row>
    <row r="3076" spans="1:7" s="8" customFormat="1" ht="21.95" customHeight="1" x14ac:dyDescent="0.15">
      <c r="A3076" s="17"/>
      <c r="B3076" s="36"/>
      <c r="C3076" s="37"/>
      <c r="D3076" s="15"/>
      <c r="E3076" s="38"/>
      <c r="F3076" s="15"/>
      <c r="G3076" s="38"/>
    </row>
    <row r="3077" spans="1:7" s="8" customFormat="1" ht="21.95" customHeight="1" x14ac:dyDescent="0.15">
      <c r="A3077" s="17"/>
      <c r="B3077" s="36"/>
      <c r="C3077" s="37"/>
      <c r="D3077" s="15"/>
      <c r="E3077" s="38"/>
      <c r="F3077" s="38"/>
      <c r="G3077" s="38"/>
    </row>
    <row r="3078" spans="1:7" s="8" customFormat="1" ht="21.95" customHeight="1" x14ac:dyDescent="0.15">
      <c r="A3078" s="17"/>
      <c r="B3078" s="36"/>
      <c r="C3078" s="37"/>
      <c r="D3078" s="15"/>
      <c r="E3078" s="38"/>
      <c r="F3078" s="15"/>
      <c r="G3078" s="38"/>
    </row>
    <row r="3079" spans="1:7" s="8" customFormat="1" ht="21.95" customHeight="1" x14ac:dyDescent="0.15">
      <c r="A3079" s="17"/>
      <c r="B3079" s="36"/>
      <c r="C3079" s="37"/>
      <c r="D3079" s="15"/>
      <c r="E3079" s="38"/>
      <c r="F3079" s="38"/>
      <c r="G3079" s="38"/>
    </row>
    <row r="3080" spans="1:7" s="8" customFormat="1" ht="21.95" customHeight="1" x14ac:dyDescent="0.15">
      <c r="A3080" s="17"/>
      <c r="B3080" s="36"/>
      <c r="C3080" s="37"/>
      <c r="D3080" s="15"/>
      <c r="E3080" s="38"/>
      <c r="F3080" s="15"/>
      <c r="G3080" s="38"/>
    </row>
    <row r="3081" spans="1:7" ht="21.95" customHeight="1" x14ac:dyDescent="0.15">
      <c r="A3081" s="17"/>
      <c r="B3081" s="36"/>
      <c r="C3081" s="37"/>
      <c r="E3081" s="38"/>
      <c r="F3081" s="38"/>
      <c r="G3081" s="38"/>
    </row>
    <row r="3082" spans="1:7" ht="21.95" customHeight="1" x14ac:dyDescent="0.15">
      <c r="A3082" s="17"/>
      <c r="B3082" s="36"/>
      <c r="C3082" s="37"/>
      <c r="E3082" s="38"/>
      <c r="G3082" s="38"/>
    </row>
    <row r="3083" spans="1:7" ht="21.95" customHeight="1" x14ac:dyDescent="0.15">
      <c r="A3083" s="17"/>
      <c r="B3083" s="36"/>
      <c r="C3083" s="37"/>
      <c r="E3083" s="38"/>
      <c r="G3083" s="38"/>
    </row>
    <row r="3084" spans="1:7" ht="21.95" customHeight="1" x14ac:dyDescent="0.15">
      <c r="A3084" s="17"/>
      <c r="B3084" s="36"/>
      <c r="C3084" s="37"/>
      <c r="E3084" s="38"/>
      <c r="F3084" s="38"/>
      <c r="G3084" s="38"/>
    </row>
    <row r="3085" spans="1:7" s="8" customFormat="1" ht="21.95" customHeight="1" x14ac:dyDescent="0.15">
      <c r="A3085" s="17"/>
      <c r="B3085" s="36"/>
      <c r="C3085" s="37"/>
      <c r="D3085" s="15"/>
      <c r="E3085" s="38"/>
      <c r="F3085" s="38"/>
      <c r="G3085" s="38"/>
    </row>
    <row r="3086" spans="1:7" s="8" customFormat="1" ht="21.95" customHeight="1" x14ac:dyDescent="0.15">
      <c r="A3086" s="17"/>
      <c r="B3086" s="36"/>
      <c r="C3086" s="37"/>
      <c r="D3086" s="15"/>
      <c r="E3086" s="38"/>
      <c r="F3086" s="38"/>
      <c r="G3086" s="38"/>
    </row>
    <row r="3087" spans="1:7" s="8" customFormat="1" ht="21.95" customHeight="1" x14ac:dyDescent="0.15">
      <c r="A3087" s="17"/>
      <c r="B3087" s="36"/>
      <c r="C3087" s="37"/>
      <c r="D3087" s="15"/>
      <c r="E3087" s="38"/>
      <c r="F3087" s="38"/>
      <c r="G3087" s="38"/>
    </row>
    <row r="3088" spans="1:7" s="8" customFormat="1" ht="21.95" customHeight="1" x14ac:dyDescent="0.15">
      <c r="A3088" s="17"/>
      <c r="B3088" s="36"/>
      <c r="C3088" s="37"/>
      <c r="D3088" s="15"/>
      <c r="E3088" s="38"/>
      <c r="F3088" s="38"/>
      <c r="G3088" s="38"/>
    </row>
    <row r="3089" spans="1:7" s="8" customFormat="1" ht="21.95" customHeight="1" x14ac:dyDescent="0.15">
      <c r="A3089" s="17"/>
      <c r="B3089" s="36"/>
      <c r="C3089" s="37"/>
      <c r="D3089" s="15"/>
      <c r="E3089" s="38"/>
      <c r="F3089" s="38"/>
      <c r="G3089" s="38"/>
    </row>
    <row r="3090" spans="1:7" s="8" customFormat="1" ht="21.95" customHeight="1" x14ac:dyDescent="0.15">
      <c r="A3090" s="17"/>
      <c r="B3090" s="36"/>
      <c r="C3090" s="37"/>
      <c r="D3090" s="15"/>
      <c r="E3090" s="38"/>
      <c r="F3090" s="38"/>
      <c r="G3090" s="38"/>
    </row>
    <row r="3091" spans="1:7" s="8" customFormat="1" ht="21.95" customHeight="1" x14ac:dyDescent="0.15">
      <c r="A3091" s="17"/>
      <c r="B3091" s="36"/>
      <c r="C3091" s="37"/>
      <c r="D3091" s="15"/>
      <c r="E3091" s="38"/>
      <c r="F3091" s="38"/>
      <c r="G3091" s="38"/>
    </row>
    <row r="3092" spans="1:7" s="8" customFormat="1" ht="21.95" customHeight="1" x14ac:dyDescent="0.15">
      <c r="A3092" s="17"/>
      <c r="B3092" s="36"/>
      <c r="C3092" s="37"/>
      <c r="D3092" s="15"/>
      <c r="E3092" s="38"/>
      <c r="F3092" s="38"/>
      <c r="G3092" s="38"/>
    </row>
    <row r="3093" spans="1:7" s="8" customFormat="1" ht="21.95" customHeight="1" x14ac:dyDescent="0.15">
      <c r="A3093" s="17"/>
      <c r="B3093" s="36"/>
      <c r="C3093" s="37"/>
      <c r="D3093" s="15"/>
      <c r="E3093" s="38"/>
      <c r="F3093" s="38"/>
      <c r="G3093" s="38"/>
    </row>
    <row r="3094" spans="1:7" s="8" customFormat="1" ht="21.95" customHeight="1" x14ac:dyDescent="0.15">
      <c r="A3094" s="17"/>
      <c r="B3094" s="36"/>
      <c r="C3094" s="37"/>
      <c r="D3094" s="15"/>
      <c r="E3094" s="38"/>
      <c r="F3094" s="38"/>
      <c r="G3094" s="38"/>
    </row>
    <row r="3095" spans="1:7" s="8" customFormat="1" ht="21.95" customHeight="1" x14ac:dyDescent="0.15">
      <c r="A3095" s="17"/>
      <c r="B3095" s="36"/>
      <c r="C3095" s="37"/>
      <c r="D3095" s="15"/>
      <c r="E3095" s="38"/>
      <c r="F3095" s="38"/>
      <c r="G3095" s="38"/>
    </row>
    <row r="3096" spans="1:7" s="8" customFormat="1" ht="32.1" customHeight="1" x14ac:dyDescent="0.15">
      <c r="A3096" s="17"/>
      <c r="B3096" s="36"/>
      <c r="C3096" s="37"/>
      <c r="D3096" s="15"/>
      <c r="E3096" s="38"/>
      <c r="F3096" s="38"/>
      <c r="G3096" s="38"/>
    </row>
    <row r="3097" spans="1:7" s="8" customFormat="1" ht="32.1" customHeight="1" x14ac:dyDescent="0.15">
      <c r="A3097" s="17"/>
      <c r="B3097" s="36"/>
      <c r="C3097" s="37"/>
      <c r="D3097" s="15"/>
      <c r="E3097" s="38"/>
      <c r="F3097" s="38"/>
      <c r="G3097" s="38"/>
    </row>
    <row r="3098" spans="1:7" s="8" customFormat="1" ht="32.1" customHeight="1" x14ac:dyDescent="0.15">
      <c r="A3098" s="17"/>
      <c r="B3098" s="36"/>
      <c r="C3098" s="37"/>
      <c r="D3098" s="15"/>
      <c r="E3098" s="38"/>
      <c r="F3098" s="38"/>
      <c r="G3098" s="38"/>
    </row>
    <row r="3099" spans="1:7" s="8" customFormat="1" ht="32.1" customHeight="1" x14ac:dyDescent="0.15">
      <c r="A3099" s="17"/>
      <c r="B3099" s="36"/>
      <c r="C3099" s="37"/>
      <c r="D3099" s="15"/>
      <c r="E3099" s="38"/>
      <c r="F3099" s="38"/>
      <c r="G3099" s="38"/>
    </row>
    <row r="3100" spans="1:7" s="8" customFormat="1" ht="32.1" customHeight="1" x14ac:dyDescent="0.15">
      <c r="A3100" s="17"/>
      <c r="B3100" s="36"/>
      <c r="C3100" s="37"/>
      <c r="D3100" s="15"/>
      <c r="E3100" s="38"/>
      <c r="F3100" s="38"/>
      <c r="G3100" s="38"/>
    </row>
    <row r="3101" spans="1:7" s="8" customFormat="1" ht="32.1" customHeight="1" x14ac:dyDescent="0.15">
      <c r="A3101" s="17"/>
      <c r="B3101" s="36"/>
      <c r="C3101" s="37"/>
      <c r="D3101" s="15"/>
      <c r="E3101" s="38"/>
      <c r="F3101" s="38"/>
      <c r="G3101" s="38"/>
    </row>
    <row r="3102" spans="1:7" ht="32.1" customHeight="1" x14ac:dyDescent="0.15">
      <c r="A3102" s="17"/>
      <c r="B3102" s="36"/>
      <c r="C3102" s="37"/>
      <c r="E3102" s="38"/>
      <c r="F3102" s="38"/>
      <c r="G3102" s="38"/>
    </row>
    <row r="3103" spans="1:7" ht="32.1" customHeight="1" x14ac:dyDescent="0.15">
      <c r="A3103" s="17"/>
      <c r="B3103" s="36"/>
      <c r="C3103" s="37"/>
      <c r="F3103" s="38"/>
      <c r="G3103" s="38"/>
    </row>
    <row r="3104" spans="1:7" ht="32.1" customHeight="1" x14ac:dyDescent="0.15">
      <c r="A3104" s="17"/>
      <c r="B3104" s="36"/>
      <c r="C3104" s="37"/>
      <c r="F3104" s="38"/>
      <c r="G3104" s="38"/>
    </row>
    <row r="3105" spans="1:7" ht="32.1" customHeight="1" x14ac:dyDescent="0.15">
      <c r="A3105" s="17"/>
      <c r="B3105" s="36"/>
      <c r="C3105" s="37"/>
      <c r="F3105" s="38"/>
      <c r="G3105" s="38"/>
    </row>
    <row r="3106" spans="1:7" ht="21.95" customHeight="1" x14ac:dyDescent="0.15">
      <c r="A3106" s="17"/>
      <c r="B3106" s="36"/>
      <c r="C3106" s="37"/>
      <c r="F3106" s="38"/>
      <c r="G3106" s="38"/>
    </row>
    <row r="3107" spans="1:7" ht="54" customHeight="1" x14ac:dyDescent="0.15">
      <c r="A3107" s="17"/>
      <c r="B3107" s="36"/>
      <c r="C3107" s="37"/>
      <c r="F3107" s="38"/>
      <c r="G3107" s="38"/>
    </row>
    <row r="3108" spans="1:7" ht="21.95" customHeight="1" x14ac:dyDescent="0.15">
      <c r="A3108" s="17"/>
      <c r="B3108" s="36"/>
      <c r="C3108" s="37"/>
      <c r="F3108" s="38"/>
      <c r="G3108" s="38"/>
    </row>
    <row r="3109" spans="1:7" ht="21.95" customHeight="1" x14ac:dyDescent="0.15">
      <c r="A3109" s="17"/>
      <c r="B3109" s="36"/>
      <c r="C3109" s="37"/>
      <c r="F3109" s="38"/>
      <c r="G3109" s="38"/>
    </row>
    <row r="3110" spans="1:7" ht="21.95" customHeight="1" x14ac:dyDescent="0.15">
      <c r="A3110" s="17"/>
      <c r="B3110" s="36"/>
      <c r="C3110" s="37"/>
      <c r="F3110" s="38"/>
      <c r="G3110" s="38"/>
    </row>
    <row r="3111" spans="1:7" ht="21.95" customHeight="1" x14ac:dyDescent="0.15">
      <c r="A3111" s="17"/>
      <c r="B3111" s="36"/>
      <c r="C3111" s="37"/>
      <c r="F3111" s="38"/>
      <c r="G3111" s="38"/>
    </row>
    <row r="3112" spans="1:7" ht="21.95" customHeight="1" x14ac:dyDescent="0.15">
      <c r="A3112" s="17"/>
      <c r="B3112" s="36"/>
      <c r="C3112" s="37"/>
      <c r="F3112" s="38"/>
      <c r="G3112" s="38"/>
    </row>
    <row r="3113" spans="1:7" ht="21.95" customHeight="1" x14ac:dyDescent="0.15">
      <c r="A3113" s="17"/>
      <c r="B3113" s="36"/>
      <c r="C3113" s="37"/>
      <c r="F3113" s="38"/>
      <c r="G3113" s="38"/>
    </row>
    <row r="3114" spans="1:7" ht="21.95" customHeight="1" x14ac:dyDescent="0.15">
      <c r="A3114" s="17"/>
      <c r="B3114" s="36"/>
      <c r="C3114" s="37"/>
      <c r="G3114" s="38"/>
    </row>
    <row r="3115" spans="1:7" ht="21.95" customHeight="1" x14ac:dyDescent="0.15">
      <c r="A3115" s="17"/>
      <c r="B3115" s="36"/>
      <c r="C3115" s="37"/>
      <c r="G3115" s="38"/>
    </row>
    <row r="3116" spans="1:7" ht="21.95" customHeight="1" x14ac:dyDescent="0.15">
      <c r="A3116" s="17"/>
      <c r="B3116" s="36"/>
      <c r="C3116" s="37"/>
      <c r="G3116" s="38"/>
    </row>
    <row r="3117" spans="1:7" ht="21.95" customHeight="1" x14ac:dyDescent="0.15">
      <c r="A3117" s="17"/>
      <c r="B3117" s="36"/>
      <c r="C3117" s="37"/>
      <c r="G3117" s="38"/>
    </row>
    <row r="3118" spans="1:7" ht="21.95" customHeight="1" x14ac:dyDescent="0.15">
      <c r="A3118" s="17"/>
      <c r="B3118" s="36"/>
      <c r="C3118" s="37"/>
      <c r="G3118" s="38"/>
    </row>
    <row r="3119" spans="1:7" ht="21.95" customHeight="1" x14ac:dyDescent="0.15">
      <c r="A3119" s="17"/>
      <c r="B3119" s="36"/>
      <c r="C3119" s="37"/>
      <c r="G3119" s="38"/>
    </row>
    <row r="3120" spans="1:7" ht="21.95" customHeight="1" x14ac:dyDescent="0.15">
      <c r="A3120" s="17"/>
      <c r="B3120" s="36"/>
      <c r="C3120" s="37"/>
      <c r="G3120" s="38"/>
    </row>
    <row r="3121" spans="1:7" ht="21.95" customHeight="1" x14ac:dyDescent="0.15">
      <c r="A3121" s="17"/>
      <c r="B3121" s="36"/>
      <c r="C3121" s="37"/>
      <c r="G3121" s="38"/>
    </row>
    <row r="3122" spans="1:7" ht="21.95" customHeight="1" x14ac:dyDescent="0.15">
      <c r="A3122" s="17"/>
      <c r="B3122" s="36"/>
      <c r="C3122" s="37"/>
      <c r="G3122" s="38"/>
    </row>
    <row r="3123" spans="1:7" ht="21.95" customHeight="1" x14ac:dyDescent="0.15">
      <c r="A3123" s="17"/>
      <c r="B3123" s="36"/>
      <c r="C3123" s="37"/>
      <c r="G3123" s="38"/>
    </row>
    <row r="3124" spans="1:7" ht="21.95" customHeight="1" x14ac:dyDescent="0.15">
      <c r="A3124" s="17"/>
      <c r="B3124" s="36"/>
      <c r="C3124" s="37"/>
      <c r="G3124" s="38"/>
    </row>
    <row r="3125" spans="1:7" ht="21.95" customHeight="1" x14ac:dyDescent="0.15">
      <c r="A3125" s="17"/>
      <c r="B3125" s="36"/>
      <c r="C3125" s="37"/>
    </row>
    <row r="3126" spans="1:7" ht="21.95" customHeight="1" x14ac:dyDescent="0.15">
      <c r="A3126" s="17"/>
      <c r="B3126" s="36"/>
      <c r="C3126" s="37"/>
    </row>
    <row r="3127" spans="1:7" ht="21.95" customHeight="1" x14ac:dyDescent="0.15">
      <c r="A3127" s="17"/>
      <c r="B3127" s="36"/>
      <c r="C3127" s="37"/>
    </row>
    <row r="3128" spans="1:7" ht="21.95" customHeight="1" x14ac:dyDescent="0.15">
      <c r="A3128" s="17"/>
      <c r="B3128" s="36"/>
      <c r="C3128" s="37"/>
    </row>
    <row r="3129" spans="1:7" ht="21.95" customHeight="1" x14ac:dyDescent="0.15">
      <c r="A3129" s="17"/>
      <c r="B3129" s="36"/>
      <c r="C3129" s="37"/>
    </row>
    <row r="3130" spans="1:7" ht="21.95" customHeight="1" x14ac:dyDescent="0.15">
      <c r="A3130" s="17"/>
      <c r="B3130" s="36"/>
      <c r="C3130" s="37"/>
    </row>
    <row r="3131" spans="1:7" ht="21.95" customHeight="1" x14ac:dyDescent="0.15">
      <c r="A3131" s="17"/>
      <c r="B3131" s="36"/>
      <c r="C3131" s="37"/>
    </row>
    <row r="3132" spans="1:7" ht="21.95" customHeight="1" x14ac:dyDescent="0.15">
      <c r="A3132" s="17"/>
      <c r="B3132" s="36"/>
      <c r="C3132" s="37"/>
    </row>
    <row r="3133" spans="1:7" ht="21.95" customHeight="1" x14ac:dyDescent="0.15">
      <c r="A3133" s="17"/>
      <c r="B3133" s="36"/>
      <c r="C3133" s="37"/>
    </row>
    <row r="3134" spans="1:7" ht="21.95" customHeight="1" x14ac:dyDescent="0.15">
      <c r="A3134" s="17"/>
      <c r="B3134" s="36"/>
      <c r="C3134" s="37"/>
    </row>
    <row r="3135" spans="1:7" ht="21.95" customHeight="1" x14ac:dyDescent="0.15">
      <c r="A3135" s="17"/>
      <c r="B3135" s="36"/>
      <c r="C3135" s="37"/>
    </row>
    <row r="3136" spans="1:7" ht="21.95" customHeight="1" x14ac:dyDescent="0.15">
      <c r="A3136" s="17"/>
      <c r="B3136" s="36"/>
      <c r="C3136" s="37"/>
    </row>
    <row r="3137" spans="1:3" ht="21.95" customHeight="1" x14ac:dyDescent="0.15">
      <c r="A3137" s="17"/>
      <c r="B3137" s="36"/>
      <c r="C3137" s="37"/>
    </row>
    <row r="3138" spans="1:3" ht="21.95" customHeight="1" x14ac:dyDescent="0.15">
      <c r="A3138" s="17"/>
      <c r="B3138" s="36"/>
      <c r="C3138" s="37"/>
    </row>
    <row r="3139" spans="1:3" ht="21.95" customHeight="1" x14ac:dyDescent="0.15">
      <c r="A3139" s="17"/>
      <c r="B3139" s="36"/>
      <c r="C3139" s="37"/>
    </row>
    <row r="3140" spans="1:3" ht="21.95" customHeight="1" x14ac:dyDescent="0.15">
      <c r="A3140" s="17"/>
      <c r="B3140" s="36"/>
      <c r="C3140" s="37"/>
    </row>
    <row r="3141" spans="1:3" ht="21.95" customHeight="1" x14ac:dyDescent="0.15">
      <c r="A3141" s="17"/>
      <c r="B3141" s="36"/>
      <c r="C3141" s="37"/>
    </row>
    <row r="3142" spans="1:3" ht="21.95" customHeight="1" x14ac:dyDescent="0.15">
      <c r="A3142" s="17"/>
      <c r="B3142" s="36"/>
      <c r="C3142" s="37"/>
    </row>
    <row r="3143" spans="1:3" ht="21.95" customHeight="1" x14ac:dyDescent="0.15">
      <c r="A3143" s="17"/>
      <c r="B3143" s="36"/>
      <c r="C3143" s="37"/>
    </row>
    <row r="3144" spans="1:3" ht="21.95" customHeight="1" x14ac:dyDescent="0.15">
      <c r="A3144" s="17"/>
      <c r="B3144" s="36"/>
      <c r="C3144" s="37"/>
    </row>
    <row r="3145" spans="1:3" ht="21.95" customHeight="1" x14ac:dyDescent="0.15">
      <c r="A3145" s="17"/>
      <c r="B3145" s="36"/>
      <c r="C3145" s="37"/>
    </row>
    <row r="3146" spans="1:3" ht="21.95" customHeight="1" x14ac:dyDescent="0.15">
      <c r="A3146" s="17"/>
      <c r="B3146" s="36"/>
      <c r="C3146" s="37"/>
    </row>
    <row r="3147" spans="1:3" ht="21.95" customHeight="1" x14ac:dyDescent="0.15">
      <c r="A3147" s="17"/>
      <c r="B3147" s="36"/>
      <c r="C3147" s="37"/>
    </row>
    <row r="3148" spans="1:3" ht="21.95" customHeight="1" x14ac:dyDescent="0.15">
      <c r="A3148" s="17"/>
      <c r="B3148" s="36"/>
      <c r="C3148" s="37"/>
    </row>
    <row r="3149" spans="1:3" ht="21.95" customHeight="1" x14ac:dyDescent="0.15">
      <c r="A3149" s="17"/>
      <c r="B3149" s="36"/>
      <c r="C3149" s="37"/>
    </row>
    <row r="3150" spans="1:3" ht="21.95" customHeight="1" x14ac:dyDescent="0.15">
      <c r="A3150" s="17"/>
      <c r="B3150" s="36"/>
      <c r="C3150" s="37"/>
    </row>
    <row r="3151" spans="1:3" ht="21.95" customHeight="1" x14ac:dyDescent="0.15">
      <c r="A3151" s="17"/>
      <c r="B3151" s="36"/>
      <c r="C3151" s="37"/>
    </row>
    <row r="3152" spans="1:3" ht="21.95" customHeight="1" x14ac:dyDescent="0.15">
      <c r="A3152" s="17"/>
      <c r="B3152" s="36"/>
      <c r="C3152" s="37"/>
    </row>
    <row r="3153" spans="1:7" ht="21.95" customHeight="1" x14ac:dyDescent="0.15">
      <c r="A3153" s="17"/>
      <c r="B3153" s="36"/>
      <c r="C3153" s="37"/>
    </row>
    <row r="3154" spans="1:7" ht="21.95" customHeight="1" x14ac:dyDescent="0.15">
      <c r="A3154" s="17"/>
      <c r="B3154" s="36"/>
      <c r="C3154" s="37"/>
    </row>
    <row r="3155" spans="1:7" ht="21.95" customHeight="1" x14ac:dyDescent="0.15">
      <c r="A3155" s="17"/>
      <c r="B3155" s="36"/>
      <c r="C3155" s="37"/>
    </row>
    <row r="3156" spans="1:7" ht="21.95" customHeight="1" x14ac:dyDescent="0.15">
      <c r="A3156" s="17"/>
      <c r="B3156" s="36"/>
      <c r="C3156" s="37"/>
      <c r="G3156" s="38"/>
    </row>
    <row r="3157" spans="1:7" ht="21.95" customHeight="1" x14ac:dyDescent="0.15">
      <c r="A3157" s="17"/>
      <c r="B3157" s="36"/>
      <c r="C3157" s="37"/>
    </row>
    <row r="3158" spans="1:7" ht="35.1" customHeight="1" x14ac:dyDescent="0.15">
      <c r="A3158" s="17"/>
      <c r="B3158" s="36"/>
      <c r="C3158" s="37"/>
    </row>
    <row r="3159" spans="1:7" ht="21.95" customHeight="1" x14ac:dyDescent="0.15">
      <c r="A3159" s="17"/>
      <c r="B3159" s="36"/>
      <c r="C3159" s="37"/>
    </row>
    <row r="3160" spans="1:7" ht="21.95" customHeight="1" x14ac:dyDescent="0.15">
      <c r="A3160" s="17"/>
      <c r="B3160" s="36"/>
      <c r="C3160" s="37"/>
    </row>
    <row r="3161" spans="1:7" ht="21.95" customHeight="1" x14ac:dyDescent="0.15">
      <c r="A3161" s="17"/>
      <c r="B3161" s="36"/>
      <c r="C3161" s="37"/>
    </row>
    <row r="3162" spans="1:7" ht="21.95" customHeight="1" x14ac:dyDescent="0.15">
      <c r="A3162" s="17"/>
      <c r="B3162" s="36"/>
      <c r="C3162" s="37"/>
    </row>
    <row r="3163" spans="1:7" ht="21.95" customHeight="1" x14ac:dyDescent="0.15">
      <c r="A3163" s="17"/>
      <c r="B3163" s="36"/>
      <c r="C3163" s="37"/>
    </row>
    <row r="3164" spans="1:7" ht="21.95" customHeight="1" x14ac:dyDescent="0.15">
      <c r="A3164" s="17"/>
      <c r="B3164" s="36"/>
      <c r="C3164" s="37"/>
    </row>
    <row r="3165" spans="1:7" ht="21.95" customHeight="1" x14ac:dyDescent="0.15">
      <c r="A3165" s="17"/>
      <c r="B3165" s="36"/>
      <c r="C3165" s="37"/>
    </row>
    <row r="3166" spans="1:7" ht="21.95" customHeight="1" x14ac:dyDescent="0.15">
      <c r="A3166" s="17"/>
      <c r="B3166" s="36"/>
      <c r="C3166" s="37"/>
      <c r="G3166" s="38"/>
    </row>
    <row r="3167" spans="1:7" ht="21.95" customHeight="1" x14ac:dyDescent="0.15">
      <c r="A3167" s="17"/>
      <c r="B3167" s="36"/>
      <c r="C3167" s="37"/>
      <c r="G3167" s="38"/>
    </row>
    <row r="3168" spans="1:7" ht="21.95" customHeight="1" x14ac:dyDescent="0.15">
      <c r="A3168" s="17"/>
      <c r="B3168" s="36"/>
      <c r="C3168" s="37"/>
    </row>
    <row r="3169" spans="1:7" ht="21.95" customHeight="1" x14ac:dyDescent="0.15">
      <c r="A3169" s="17"/>
      <c r="B3169" s="36"/>
      <c r="C3169" s="37"/>
    </row>
    <row r="3170" spans="1:7" ht="21.95" customHeight="1" x14ac:dyDescent="0.15">
      <c r="A3170" s="17"/>
      <c r="B3170" s="36"/>
      <c r="C3170" s="37"/>
    </row>
    <row r="3171" spans="1:7" ht="21.95" customHeight="1" x14ac:dyDescent="0.15">
      <c r="A3171" s="17"/>
      <c r="B3171" s="36"/>
      <c r="C3171" s="37"/>
      <c r="G3171" s="38"/>
    </row>
    <row r="3172" spans="1:7" ht="21.95" customHeight="1" x14ac:dyDescent="0.15">
      <c r="A3172" s="17"/>
      <c r="B3172" s="36"/>
      <c r="C3172" s="37"/>
    </row>
    <row r="3173" spans="1:7" ht="21.95" customHeight="1" x14ac:dyDescent="0.15">
      <c r="A3173" s="17"/>
      <c r="B3173" s="36"/>
      <c r="C3173" s="37"/>
    </row>
    <row r="3174" spans="1:7" ht="21.95" customHeight="1" x14ac:dyDescent="0.15">
      <c r="A3174" s="17"/>
      <c r="B3174" s="36"/>
      <c r="C3174" s="37"/>
    </row>
    <row r="3175" spans="1:7" ht="21.95" customHeight="1" x14ac:dyDescent="0.15">
      <c r="A3175" s="17"/>
      <c r="B3175" s="36"/>
      <c r="C3175" s="37"/>
    </row>
    <row r="3176" spans="1:7" ht="21.95" customHeight="1" x14ac:dyDescent="0.15">
      <c r="A3176" s="17"/>
      <c r="B3176" s="36"/>
      <c r="C3176" s="37"/>
    </row>
    <row r="3177" spans="1:7" ht="21.95" customHeight="1" x14ac:dyDescent="0.15">
      <c r="A3177" s="17"/>
      <c r="C3177" s="37"/>
    </row>
    <row r="3178" spans="1:7" ht="21.95" customHeight="1" x14ac:dyDescent="0.15">
      <c r="A3178" s="17"/>
      <c r="B3178" s="36"/>
      <c r="C3178" s="37"/>
    </row>
    <row r="3179" spans="1:7" ht="21.95" customHeight="1" x14ac:dyDescent="0.15">
      <c r="A3179" s="17"/>
    </row>
    <row r="3180" spans="1:7" ht="21.95" customHeight="1" x14ac:dyDescent="0.15">
      <c r="A3180" s="17"/>
    </row>
    <row r="3181" spans="1:7" ht="21.95" customHeight="1" x14ac:dyDescent="0.15">
      <c r="A3181" s="17"/>
    </row>
    <row r="3182" spans="1:7" s="8" customFormat="1" ht="21.95" customHeight="1" x14ac:dyDescent="0.15">
      <c r="A3182" s="17"/>
      <c r="B3182" s="39"/>
      <c r="C3182" s="40"/>
      <c r="D3182" s="38"/>
      <c r="E3182" s="38"/>
      <c r="F3182" s="38"/>
      <c r="G3182" s="38"/>
    </row>
    <row r="3183" spans="1:7" s="8" customFormat="1" ht="21.95" customHeight="1" x14ac:dyDescent="0.15">
      <c r="A3183" s="17"/>
      <c r="B3183" s="36"/>
      <c r="C3183" s="37"/>
      <c r="D3183" s="15"/>
      <c r="E3183" s="38"/>
      <c r="F3183" s="15"/>
      <c r="G3183" s="38"/>
    </row>
    <row r="3184" spans="1:7" s="8" customFormat="1" ht="21.95" customHeight="1" x14ac:dyDescent="0.15">
      <c r="A3184" s="17"/>
      <c r="B3184" s="36"/>
      <c r="C3184" s="95"/>
      <c r="D3184" s="15"/>
      <c r="E3184" s="38"/>
      <c r="F3184" s="15"/>
      <c r="G3184" s="38"/>
    </row>
    <row r="3185" spans="1:7" s="8" customFormat="1" ht="21.95" customHeight="1" x14ac:dyDescent="0.15">
      <c r="A3185" s="17"/>
      <c r="B3185" s="36"/>
      <c r="C3185" s="95"/>
      <c r="D3185" s="15"/>
      <c r="E3185" s="38"/>
      <c r="F3185" s="38"/>
      <c r="G3185" s="38"/>
    </row>
    <row r="3186" spans="1:7" s="8" customFormat="1" ht="21.95" customHeight="1" x14ac:dyDescent="0.15">
      <c r="A3186" s="17"/>
      <c r="B3186" s="36"/>
      <c r="C3186" s="37"/>
      <c r="D3186" s="15"/>
      <c r="E3186" s="38"/>
      <c r="F3186" s="15"/>
      <c r="G3186" s="38"/>
    </row>
    <row r="3187" spans="1:7" s="8" customFormat="1" ht="21.95" customHeight="1" x14ac:dyDescent="0.15">
      <c r="A3187" s="17"/>
      <c r="B3187" s="36"/>
      <c r="C3187" s="37"/>
      <c r="D3187" s="15"/>
      <c r="E3187" s="38"/>
      <c r="F3187" s="38"/>
      <c r="G3187" s="38"/>
    </row>
    <row r="3188" spans="1:7" s="8" customFormat="1" ht="21.95" customHeight="1" x14ac:dyDescent="0.15">
      <c r="A3188" s="17"/>
      <c r="B3188" s="36"/>
      <c r="C3188" s="37"/>
      <c r="D3188" s="15"/>
      <c r="E3188" s="38"/>
      <c r="F3188" s="15"/>
      <c r="G3188" s="38"/>
    </row>
    <row r="3189" spans="1:7" s="8" customFormat="1" ht="21.95" customHeight="1" x14ac:dyDescent="0.15">
      <c r="A3189" s="17"/>
      <c r="B3189" s="36"/>
      <c r="C3189" s="37"/>
      <c r="D3189" s="15"/>
      <c r="E3189" s="38"/>
      <c r="F3189" s="38"/>
      <c r="G3189" s="38"/>
    </row>
    <row r="3190" spans="1:7" s="8" customFormat="1" ht="21.95" customHeight="1" x14ac:dyDescent="0.15">
      <c r="A3190" s="17"/>
      <c r="B3190" s="36"/>
      <c r="C3190" s="37"/>
      <c r="D3190" s="15"/>
      <c r="E3190" s="38"/>
      <c r="F3190" s="15"/>
      <c r="G3190" s="38"/>
    </row>
    <row r="3191" spans="1:7" s="8" customFormat="1" ht="21.95" customHeight="1" x14ac:dyDescent="0.15">
      <c r="A3191" s="17"/>
      <c r="B3191" s="36"/>
      <c r="C3191" s="37"/>
      <c r="D3191" s="15"/>
      <c r="E3191" s="38"/>
      <c r="F3191" s="38"/>
      <c r="G3191" s="38"/>
    </row>
    <row r="3192" spans="1:7" s="8" customFormat="1" ht="21.95" customHeight="1" x14ac:dyDescent="0.15">
      <c r="A3192" s="17"/>
      <c r="B3192" s="36"/>
      <c r="C3192" s="37"/>
      <c r="D3192" s="15"/>
      <c r="E3192" s="38"/>
      <c r="F3192" s="15"/>
      <c r="G3192" s="38"/>
    </row>
    <row r="3193" spans="1:7" ht="21.95" customHeight="1" x14ac:dyDescent="0.15">
      <c r="A3193" s="17"/>
      <c r="B3193" s="36"/>
      <c r="C3193" s="37"/>
      <c r="E3193" s="38"/>
      <c r="F3193" s="38"/>
      <c r="G3193" s="38"/>
    </row>
    <row r="3194" spans="1:7" ht="21.95" customHeight="1" x14ac:dyDescent="0.15">
      <c r="A3194" s="17"/>
      <c r="B3194" s="36"/>
      <c r="C3194" s="37"/>
      <c r="E3194" s="38"/>
      <c r="G3194" s="38"/>
    </row>
    <row r="3195" spans="1:7" ht="21.95" customHeight="1" x14ac:dyDescent="0.15">
      <c r="A3195" s="17"/>
      <c r="B3195" s="36"/>
      <c r="C3195" s="37"/>
      <c r="E3195" s="38"/>
      <c r="G3195" s="38"/>
    </row>
    <row r="3196" spans="1:7" ht="21.95" customHeight="1" x14ac:dyDescent="0.15">
      <c r="A3196" s="17"/>
      <c r="B3196" s="36"/>
      <c r="C3196" s="37"/>
      <c r="E3196" s="38"/>
      <c r="F3196" s="38"/>
      <c r="G3196" s="38"/>
    </row>
    <row r="3197" spans="1:7" s="8" customFormat="1" ht="21.95" customHeight="1" x14ac:dyDescent="0.15">
      <c r="A3197" s="17"/>
      <c r="B3197" s="36"/>
      <c r="C3197" s="37"/>
      <c r="D3197" s="15"/>
      <c r="E3197" s="38"/>
      <c r="F3197" s="38"/>
      <c r="G3197" s="38"/>
    </row>
    <row r="3198" spans="1:7" s="8" customFormat="1" ht="21.95" customHeight="1" x14ac:dyDescent="0.15">
      <c r="A3198" s="17"/>
      <c r="B3198" s="36"/>
      <c r="C3198" s="37"/>
      <c r="D3198" s="15"/>
      <c r="E3198" s="38"/>
      <c r="F3198" s="38"/>
      <c r="G3198" s="38"/>
    </row>
    <row r="3199" spans="1:7" s="8" customFormat="1" ht="21.95" customHeight="1" x14ac:dyDescent="0.15">
      <c r="A3199" s="17"/>
      <c r="B3199" s="36"/>
      <c r="C3199" s="37"/>
      <c r="D3199" s="15"/>
      <c r="E3199" s="38"/>
      <c r="F3199" s="38"/>
      <c r="G3199" s="38"/>
    </row>
    <row r="3200" spans="1:7" s="8" customFormat="1" ht="21.95" customHeight="1" x14ac:dyDescent="0.15">
      <c r="A3200" s="17"/>
      <c r="B3200" s="36"/>
      <c r="C3200" s="37"/>
      <c r="D3200" s="15"/>
      <c r="E3200" s="38"/>
      <c r="F3200" s="38"/>
      <c r="G3200" s="38"/>
    </row>
    <row r="3201" spans="1:7" s="8" customFormat="1" ht="21.95" customHeight="1" x14ac:dyDescent="0.15">
      <c r="A3201" s="17"/>
      <c r="B3201" s="36"/>
      <c r="C3201" s="37"/>
      <c r="D3201" s="15"/>
      <c r="E3201" s="38"/>
      <c r="F3201" s="38"/>
      <c r="G3201" s="38"/>
    </row>
    <row r="3202" spans="1:7" s="8" customFormat="1" ht="21.95" customHeight="1" x14ac:dyDescent="0.15">
      <c r="A3202" s="17"/>
      <c r="B3202" s="36"/>
      <c r="C3202" s="37"/>
      <c r="D3202" s="15"/>
      <c r="E3202" s="38"/>
      <c r="F3202" s="38"/>
      <c r="G3202" s="38"/>
    </row>
    <row r="3203" spans="1:7" s="8" customFormat="1" ht="21.95" customHeight="1" x14ac:dyDescent="0.15">
      <c r="A3203" s="17"/>
      <c r="B3203" s="36"/>
      <c r="C3203" s="37"/>
      <c r="D3203" s="15"/>
      <c r="E3203" s="38"/>
      <c r="F3203" s="38"/>
      <c r="G3203" s="38"/>
    </row>
    <row r="3204" spans="1:7" s="8" customFormat="1" ht="21.95" customHeight="1" x14ac:dyDescent="0.15">
      <c r="A3204" s="17"/>
      <c r="B3204" s="36"/>
      <c r="C3204" s="37"/>
      <c r="D3204" s="15"/>
      <c r="E3204" s="38"/>
      <c r="F3204" s="38"/>
      <c r="G3204" s="38"/>
    </row>
    <row r="3205" spans="1:7" s="8" customFormat="1" ht="21.95" customHeight="1" x14ac:dyDescent="0.15">
      <c r="A3205" s="17"/>
      <c r="B3205" s="36"/>
      <c r="C3205" s="37"/>
      <c r="D3205" s="15"/>
      <c r="E3205" s="38"/>
      <c r="F3205" s="38"/>
      <c r="G3205" s="38"/>
    </row>
    <row r="3206" spans="1:7" s="8" customFormat="1" ht="21.95" customHeight="1" x14ac:dyDescent="0.15">
      <c r="A3206" s="17"/>
      <c r="B3206" s="36"/>
      <c r="C3206" s="37"/>
      <c r="D3206" s="15"/>
      <c r="E3206" s="38"/>
      <c r="F3206" s="38"/>
      <c r="G3206" s="38"/>
    </row>
    <row r="3207" spans="1:7" s="8" customFormat="1" ht="21.95" customHeight="1" x14ac:dyDescent="0.15">
      <c r="A3207" s="17"/>
      <c r="B3207" s="36"/>
      <c r="C3207" s="37"/>
      <c r="D3207" s="15"/>
      <c r="E3207" s="38"/>
      <c r="F3207" s="38"/>
      <c r="G3207" s="38"/>
    </row>
    <row r="3208" spans="1:7" s="8" customFormat="1" ht="32.1" customHeight="1" x14ac:dyDescent="0.15">
      <c r="A3208" s="17"/>
      <c r="B3208" s="36"/>
      <c r="C3208" s="37"/>
      <c r="D3208" s="15"/>
      <c r="E3208" s="38"/>
      <c r="F3208" s="38"/>
      <c r="G3208" s="38"/>
    </row>
    <row r="3209" spans="1:7" s="8" customFormat="1" ht="32.1" customHeight="1" x14ac:dyDescent="0.15">
      <c r="A3209" s="17"/>
      <c r="B3209" s="36"/>
      <c r="C3209" s="37"/>
      <c r="D3209" s="15"/>
      <c r="E3209" s="38"/>
      <c r="F3209" s="38"/>
      <c r="G3209" s="38"/>
    </row>
    <row r="3210" spans="1:7" s="8" customFormat="1" ht="32.1" customHeight="1" x14ac:dyDescent="0.15">
      <c r="A3210" s="17"/>
      <c r="B3210" s="36"/>
      <c r="C3210" s="37"/>
      <c r="D3210" s="15"/>
      <c r="E3210" s="38"/>
      <c r="F3210" s="38"/>
      <c r="G3210" s="38"/>
    </row>
    <row r="3211" spans="1:7" s="8" customFormat="1" ht="32.1" customHeight="1" x14ac:dyDescent="0.15">
      <c r="A3211" s="17"/>
      <c r="B3211" s="36"/>
      <c r="C3211" s="37"/>
      <c r="D3211" s="15"/>
      <c r="E3211" s="38"/>
      <c r="F3211" s="38"/>
      <c r="G3211" s="38"/>
    </row>
    <row r="3212" spans="1:7" s="8" customFormat="1" ht="32.1" customHeight="1" x14ac:dyDescent="0.15">
      <c r="A3212" s="17"/>
      <c r="B3212" s="36"/>
      <c r="C3212" s="37"/>
      <c r="D3212" s="15"/>
      <c r="E3212" s="38"/>
      <c r="F3212" s="38"/>
      <c r="G3212" s="38"/>
    </row>
    <row r="3213" spans="1:7" s="8" customFormat="1" ht="32.1" customHeight="1" x14ac:dyDescent="0.15">
      <c r="A3213" s="17"/>
      <c r="B3213" s="36"/>
      <c r="C3213" s="37"/>
      <c r="D3213" s="15"/>
      <c r="E3213" s="38"/>
      <c r="F3213" s="38"/>
      <c r="G3213" s="38"/>
    </row>
    <row r="3214" spans="1:7" ht="32.1" customHeight="1" x14ac:dyDescent="0.15">
      <c r="A3214" s="17"/>
      <c r="B3214" s="36"/>
      <c r="C3214" s="37"/>
      <c r="E3214" s="38"/>
      <c r="F3214" s="38"/>
      <c r="G3214" s="38"/>
    </row>
    <row r="3215" spans="1:7" ht="32.1" customHeight="1" x14ac:dyDescent="0.15">
      <c r="A3215" s="17"/>
      <c r="B3215" s="36"/>
      <c r="C3215" s="37"/>
      <c r="F3215" s="38"/>
      <c r="G3215" s="38"/>
    </row>
    <row r="3216" spans="1:7" ht="32.1" customHeight="1" x14ac:dyDescent="0.15">
      <c r="A3216" s="17"/>
      <c r="B3216" s="36"/>
      <c r="C3216" s="37"/>
      <c r="F3216" s="38"/>
      <c r="G3216" s="38"/>
    </row>
    <row r="3217" spans="1:7" ht="32.1" customHeight="1" x14ac:dyDescent="0.15">
      <c r="A3217" s="17"/>
      <c r="B3217" s="36"/>
      <c r="C3217" s="37"/>
      <c r="F3217" s="38"/>
      <c r="G3217" s="38"/>
    </row>
    <row r="3218" spans="1:7" ht="21.95" customHeight="1" x14ac:dyDescent="0.15">
      <c r="A3218" s="17"/>
      <c r="B3218" s="36"/>
      <c r="C3218" s="37"/>
      <c r="F3218" s="38"/>
      <c r="G3218" s="38"/>
    </row>
    <row r="3219" spans="1:7" ht="54" customHeight="1" x14ac:dyDescent="0.15">
      <c r="A3219" s="17"/>
      <c r="B3219" s="36"/>
      <c r="C3219" s="37"/>
      <c r="F3219" s="38"/>
      <c r="G3219" s="38"/>
    </row>
    <row r="3220" spans="1:7" ht="21.95" customHeight="1" x14ac:dyDescent="0.15">
      <c r="A3220" s="17"/>
      <c r="B3220" s="36"/>
      <c r="C3220" s="37"/>
      <c r="F3220" s="38"/>
      <c r="G3220" s="38"/>
    </row>
    <row r="3221" spans="1:7" ht="21.95" customHeight="1" x14ac:dyDescent="0.15">
      <c r="A3221" s="17"/>
      <c r="B3221" s="36"/>
      <c r="C3221" s="37"/>
      <c r="F3221" s="38"/>
      <c r="G3221" s="38"/>
    </row>
    <row r="3222" spans="1:7" ht="21.95" customHeight="1" x14ac:dyDescent="0.15">
      <c r="A3222" s="17"/>
      <c r="B3222" s="36"/>
      <c r="C3222" s="37"/>
      <c r="F3222" s="38"/>
      <c r="G3222" s="38"/>
    </row>
    <row r="3223" spans="1:7" ht="21.95" customHeight="1" x14ac:dyDescent="0.15">
      <c r="A3223" s="17"/>
      <c r="B3223" s="36"/>
      <c r="C3223" s="37"/>
      <c r="F3223" s="38"/>
      <c r="G3223" s="38"/>
    </row>
    <row r="3224" spans="1:7" ht="21.95" customHeight="1" x14ac:dyDescent="0.15">
      <c r="A3224" s="17"/>
      <c r="B3224" s="36"/>
      <c r="C3224" s="37"/>
      <c r="F3224" s="38"/>
      <c r="G3224" s="38"/>
    </row>
    <row r="3225" spans="1:7" ht="21.95" customHeight="1" x14ac:dyDescent="0.15">
      <c r="A3225" s="17"/>
      <c r="B3225" s="36"/>
      <c r="C3225" s="37"/>
      <c r="F3225" s="38"/>
      <c r="G3225" s="38"/>
    </row>
    <row r="3226" spans="1:7" ht="21.95" customHeight="1" x14ac:dyDescent="0.15">
      <c r="A3226" s="17"/>
      <c r="B3226" s="36"/>
      <c r="C3226" s="37"/>
      <c r="G3226" s="38"/>
    </row>
    <row r="3227" spans="1:7" ht="21.95" customHeight="1" x14ac:dyDescent="0.15">
      <c r="A3227" s="17"/>
      <c r="B3227" s="36"/>
      <c r="C3227" s="37"/>
      <c r="G3227" s="38"/>
    </row>
    <row r="3228" spans="1:7" ht="21.95" customHeight="1" x14ac:dyDescent="0.15">
      <c r="A3228" s="17"/>
      <c r="B3228" s="36"/>
      <c r="C3228" s="37"/>
      <c r="G3228" s="38"/>
    </row>
    <row r="3229" spans="1:7" ht="21.95" customHeight="1" x14ac:dyDescent="0.15">
      <c r="A3229" s="17"/>
      <c r="B3229" s="36"/>
      <c r="C3229" s="37"/>
      <c r="G3229" s="38"/>
    </row>
    <row r="3230" spans="1:7" ht="21.95" customHeight="1" x14ac:dyDescent="0.15">
      <c r="A3230" s="17"/>
      <c r="B3230" s="36"/>
      <c r="C3230" s="37"/>
      <c r="G3230" s="38"/>
    </row>
    <row r="3231" spans="1:7" ht="21.95" customHeight="1" x14ac:dyDescent="0.15">
      <c r="A3231" s="17"/>
      <c r="B3231" s="36"/>
      <c r="C3231" s="37"/>
      <c r="G3231" s="38"/>
    </row>
    <row r="3232" spans="1:7" ht="21.95" customHeight="1" x14ac:dyDescent="0.15">
      <c r="A3232" s="17"/>
      <c r="B3232" s="36"/>
      <c r="C3232" s="37"/>
      <c r="G3232" s="38"/>
    </row>
    <row r="3233" spans="1:7" ht="21.95" customHeight="1" x14ac:dyDescent="0.15">
      <c r="A3233" s="17"/>
      <c r="B3233" s="36"/>
      <c r="C3233" s="37"/>
      <c r="G3233" s="38"/>
    </row>
    <row r="3234" spans="1:7" ht="21.95" customHeight="1" x14ac:dyDescent="0.15">
      <c r="A3234" s="17"/>
      <c r="B3234" s="36"/>
      <c r="C3234" s="37"/>
      <c r="G3234" s="38"/>
    </row>
    <row r="3235" spans="1:7" ht="21.95" customHeight="1" x14ac:dyDescent="0.15">
      <c r="A3235" s="17"/>
      <c r="B3235" s="36"/>
      <c r="C3235" s="37"/>
      <c r="G3235" s="38"/>
    </row>
    <row r="3236" spans="1:7" ht="21.95" customHeight="1" x14ac:dyDescent="0.15">
      <c r="A3236" s="17"/>
      <c r="B3236" s="36"/>
      <c r="C3236" s="37"/>
      <c r="G3236" s="38"/>
    </row>
    <row r="3237" spans="1:7" ht="21.95" customHeight="1" x14ac:dyDescent="0.15">
      <c r="A3237" s="17"/>
      <c r="B3237" s="36"/>
      <c r="C3237" s="37"/>
    </row>
    <row r="3238" spans="1:7" ht="21.95" customHeight="1" x14ac:dyDescent="0.15">
      <c r="A3238" s="17"/>
      <c r="B3238" s="36"/>
      <c r="C3238" s="37"/>
    </row>
    <row r="3239" spans="1:7" ht="21.95" customHeight="1" x14ac:dyDescent="0.15">
      <c r="A3239" s="17"/>
      <c r="B3239" s="36"/>
      <c r="C3239" s="37"/>
    </row>
    <row r="3240" spans="1:7" ht="21.95" customHeight="1" x14ac:dyDescent="0.15">
      <c r="A3240" s="17"/>
      <c r="B3240" s="36"/>
      <c r="C3240" s="37"/>
    </row>
    <row r="3241" spans="1:7" ht="21.95" customHeight="1" x14ac:dyDescent="0.15">
      <c r="A3241" s="17"/>
      <c r="B3241" s="36"/>
      <c r="C3241" s="37"/>
    </row>
    <row r="3242" spans="1:7" ht="21.95" customHeight="1" x14ac:dyDescent="0.15">
      <c r="A3242" s="17"/>
      <c r="B3242" s="36"/>
      <c r="C3242" s="37"/>
    </row>
    <row r="3243" spans="1:7" ht="21.95" customHeight="1" x14ac:dyDescent="0.15">
      <c r="A3243" s="17"/>
      <c r="B3243" s="36"/>
      <c r="C3243" s="37"/>
    </row>
    <row r="3244" spans="1:7" ht="21.95" customHeight="1" x14ac:dyDescent="0.15">
      <c r="A3244" s="17"/>
      <c r="B3244" s="36"/>
      <c r="C3244" s="37"/>
    </row>
    <row r="3245" spans="1:7" ht="21.95" customHeight="1" x14ac:dyDescent="0.15">
      <c r="A3245" s="17"/>
      <c r="B3245" s="36"/>
      <c r="C3245" s="37"/>
    </row>
    <row r="3246" spans="1:7" ht="21.95" customHeight="1" x14ac:dyDescent="0.15">
      <c r="A3246" s="17"/>
      <c r="B3246" s="36"/>
      <c r="C3246" s="37"/>
    </row>
    <row r="3247" spans="1:7" ht="21.95" customHeight="1" x14ac:dyDescent="0.15">
      <c r="A3247" s="17"/>
      <c r="B3247" s="36"/>
      <c r="C3247" s="37"/>
    </row>
    <row r="3248" spans="1:7" ht="21.95" customHeight="1" x14ac:dyDescent="0.15">
      <c r="A3248" s="17"/>
      <c r="B3248" s="36"/>
      <c r="C3248" s="37"/>
    </row>
    <row r="3249" spans="1:3" ht="21.95" customHeight="1" x14ac:dyDescent="0.15">
      <c r="A3249" s="17"/>
      <c r="B3249" s="36"/>
      <c r="C3249" s="37"/>
    </row>
    <row r="3250" spans="1:3" ht="21.95" customHeight="1" x14ac:dyDescent="0.15">
      <c r="A3250" s="17"/>
      <c r="B3250" s="36"/>
      <c r="C3250" s="37"/>
    </row>
    <row r="3251" spans="1:3" ht="21.95" customHeight="1" x14ac:dyDescent="0.15">
      <c r="A3251" s="17"/>
      <c r="B3251" s="36"/>
      <c r="C3251" s="37"/>
    </row>
    <row r="3252" spans="1:3" ht="21.95" customHeight="1" x14ac:dyDescent="0.15">
      <c r="A3252" s="17"/>
      <c r="B3252" s="36"/>
      <c r="C3252" s="37"/>
    </row>
    <row r="3253" spans="1:3" ht="21.95" customHeight="1" x14ac:dyDescent="0.15">
      <c r="A3253" s="17"/>
      <c r="B3253" s="36"/>
      <c r="C3253" s="37"/>
    </row>
    <row r="3254" spans="1:3" ht="21.95" customHeight="1" x14ac:dyDescent="0.15">
      <c r="A3254" s="17"/>
      <c r="B3254" s="36"/>
      <c r="C3254" s="37"/>
    </row>
    <row r="3255" spans="1:3" ht="21.95" customHeight="1" x14ac:dyDescent="0.15">
      <c r="A3255" s="17"/>
      <c r="B3255" s="36"/>
      <c r="C3255" s="37"/>
    </row>
    <row r="3256" spans="1:3" ht="21.95" customHeight="1" x14ac:dyDescent="0.15">
      <c r="A3256" s="17"/>
      <c r="B3256" s="36"/>
      <c r="C3256" s="37"/>
    </row>
    <row r="3257" spans="1:3" ht="21.95" customHeight="1" x14ac:dyDescent="0.15">
      <c r="A3257" s="17"/>
      <c r="B3257" s="36"/>
      <c r="C3257" s="37"/>
    </row>
    <row r="3258" spans="1:3" ht="21.95" customHeight="1" x14ac:dyDescent="0.15">
      <c r="A3258" s="17"/>
      <c r="B3258" s="36"/>
      <c r="C3258" s="37"/>
    </row>
    <row r="3259" spans="1:3" ht="21.95" customHeight="1" x14ac:dyDescent="0.15">
      <c r="A3259" s="17"/>
      <c r="B3259" s="36"/>
      <c r="C3259" s="37"/>
    </row>
    <row r="3260" spans="1:3" ht="21.95" customHeight="1" x14ac:dyDescent="0.15">
      <c r="A3260" s="17"/>
      <c r="B3260" s="36"/>
      <c r="C3260" s="37"/>
    </row>
    <row r="3261" spans="1:3" ht="21.95" customHeight="1" x14ac:dyDescent="0.15">
      <c r="A3261" s="17"/>
      <c r="B3261" s="36"/>
      <c r="C3261" s="37"/>
    </row>
    <row r="3262" spans="1:3" ht="21.95" customHeight="1" x14ac:dyDescent="0.15">
      <c r="A3262" s="17"/>
      <c r="B3262" s="36"/>
      <c r="C3262" s="37"/>
    </row>
    <row r="3263" spans="1:3" ht="21.95" customHeight="1" x14ac:dyDescent="0.15">
      <c r="A3263" s="17"/>
      <c r="B3263" s="36"/>
      <c r="C3263" s="37"/>
    </row>
    <row r="3264" spans="1:3" ht="21.95" customHeight="1" x14ac:dyDescent="0.15">
      <c r="A3264" s="17"/>
      <c r="B3264" s="36"/>
      <c r="C3264" s="37"/>
    </row>
    <row r="3265" spans="1:7" ht="21.95" customHeight="1" x14ac:dyDescent="0.15">
      <c r="A3265" s="17"/>
      <c r="B3265" s="36"/>
      <c r="C3265" s="37"/>
    </row>
    <row r="3266" spans="1:7" ht="21.95" customHeight="1" x14ac:dyDescent="0.15">
      <c r="A3266" s="17"/>
      <c r="B3266" s="36"/>
      <c r="C3266" s="37"/>
    </row>
    <row r="3267" spans="1:7" ht="21.95" customHeight="1" x14ac:dyDescent="0.15">
      <c r="A3267" s="17"/>
      <c r="B3267" s="36"/>
      <c r="C3267" s="37"/>
    </row>
    <row r="3268" spans="1:7" ht="21.95" customHeight="1" x14ac:dyDescent="0.15">
      <c r="A3268" s="17"/>
      <c r="B3268" s="36"/>
      <c r="C3268" s="37"/>
      <c r="G3268" s="38"/>
    </row>
    <row r="3269" spans="1:7" ht="21.95" customHeight="1" x14ac:dyDescent="0.15">
      <c r="A3269" s="17"/>
      <c r="B3269" s="36"/>
      <c r="C3269" s="37"/>
    </row>
    <row r="3270" spans="1:7" ht="35.1" customHeight="1" x14ac:dyDescent="0.15">
      <c r="A3270" s="17"/>
      <c r="B3270" s="36"/>
      <c r="C3270" s="37"/>
    </row>
    <row r="3271" spans="1:7" ht="21.95" customHeight="1" x14ac:dyDescent="0.15">
      <c r="A3271" s="17"/>
      <c r="B3271" s="36"/>
      <c r="C3271" s="37"/>
    </row>
    <row r="3272" spans="1:7" ht="21.95" customHeight="1" x14ac:dyDescent="0.15">
      <c r="A3272" s="17"/>
      <c r="B3272" s="36"/>
      <c r="C3272" s="37"/>
    </row>
    <row r="3273" spans="1:7" ht="21.95" customHeight="1" x14ac:dyDescent="0.15">
      <c r="A3273" s="17"/>
      <c r="B3273" s="36"/>
      <c r="C3273" s="37"/>
    </row>
    <row r="3274" spans="1:7" ht="21.95" customHeight="1" x14ac:dyDescent="0.15">
      <c r="A3274" s="17"/>
      <c r="B3274" s="36"/>
      <c r="C3274" s="37"/>
    </row>
    <row r="3275" spans="1:7" ht="21.95" customHeight="1" x14ac:dyDescent="0.15">
      <c r="A3275" s="17"/>
      <c r="B3275" s="36"/>
      <c r="C3275" s="37"/>
    </row>
    <row r="3276" spans="1:7" ht="21.95" customHeight="1" x14ac:dyDescent="0.15">
      <c r="A3276" s="17"/>
      <c r="B3276" s="36"/>
      <c r="C3276" s="37"/>
    </row>
    <row r="3277" spans="1:7" ht="21.95" customHeight="1" x14ac:dyDescent="0.15">
      <c r="A3277" s="17"/>
      <c r="B3277" s="36"/>
      <c r="C3277" s="37"/>
    </row>
    <row r="3278" spans="1:7" ht="21.95" customHeight="1" x14ac:dyDescent="0.15">
      <c r="A3278" s="17"/>
      <c r="B3278" s="36"/>
      <c r="C3278" s="37"/>
      <c r="G3278" s="38"/>
    </row>
    <row r="3279" spans="1:7" ht="21.95" customHeight="1" x14ac:dyDescent="0.15">
      <c r="A3279" s="17"/>
      <c r="B3279" s="36"/>
      <c r="C3279" s="37"/>
      <c r="G3279" s="38"/>
    </row>
    <row r="3280" spans="1:7" ht="21.95" customHeight="1" x14ac:dyDescent="0.15">
      <c r="A3280" s="17"/>
      <c r="B3280" s="36"/>
      <c r="C3280" s="37"/>
    </row>
    <row r="3281" spans="1:7" ht="21.95" customHeight="1" x14ac:dyDescent="0.15">
      <c r="A3281" s="17"/>
      <c r="B3281" s="36"/>
      <c r="C3281" s="37"/>
    </row>
    <row r="3282" spans="1:7" ht="21.95" customHeight="1" x14ac:dyDescent="0.15">
      <c r="A3282" s="17"/>
      <c r="B3282" s="36"/>
      <c r="C3282" s="37"/>
    </row>
    <row r="3283" spans="1:7" ht="21.95" customHeight="1" x14ac:dyDescent="0.15">
      <c r="A3283" s="17"/>
      <c r="B3283" s="36"/>
      <c r="C3283" s="37"/>
      <c r="G3283" s="38"/>
    </row>
    <row r="3284" spans="1:7" ht="21.95" customHeight="1" x14ac:dyDescent="0.15">
      <c r="A3284" s="17"/>
      <c r="B3284" s="36"/>
      <c r="C3284" s="37"/>
    </row>
    <row r="3285" spans="1:7" ht="21.95" customHeight="1" x14ac:dyDescent="0.15">
      <c r="A3285" s="17"/>
      <c r="B3285" s="36"/>
      <c r="C3285" s="37"/>
    </row>
    <row r="3286" spans="1:7" ht="21.95" customHeight="1" x14ac:dyDescent="0.15">
      <c r="A3286" s="17"/>
      <c r="B3286" s="36"/>
      <c r="C3286" s="37"/>
    </row>
    <row r="3287" spans="1:7" ht="21.95" customHeight="1" x14ac:dyDescent="0.15">
      <c r="A3287" s="17"/>
      <c r="B3287" s="36"/>
      <c r="C3287" s="37"/>
    </row>
    <row r="3288" spans="1:7" ht="21.95" customHeight="1" x14ac:dyDescent="0.15">
      <c r="A3288" s="17"/>
      <c r="B3288" s="36"/>
      <c r="C3288" s="37"/>
    </row>
    <row r="3289" spans="1:7" ht="21.95" customHeight="1" x14ac:dyDescent="0.15">
      <c r="A3289" s="17"/>
      <c r="C3289" s="37"/>
    </row>
    <row r="3290" spans="1:7" ht="21.95" customHeight="1" x14ac:dyDescent="0.15">
      <c r="A3290" s="17"/>
      <c r="B3290" s="36"/>
      <c r="C3290" s="37"/>
    </row>
    <row r="3291" spans="1:7" ht="21.95" customHeight="1" x14ac:dyDescent="0.15">
      <c r="A3291" s="17"/>
    </row>
    <row r="3292" spans="1:7" ht="21.95" customHeight="1" x14ac:dyDescent="0.15">
      <c r="A3292" s="17"/>
    </row>
    <row r="3293" spans="1:7" ht="21.95" customHeight="1" x14ac:dyDescent="0.15">
      <c r="A3293" s="17"/>
    </row>
    <row r="3294" spans="1:7" s="8" customFormat="1" ht="21.95" customHeight="1" x14ac:dyDescent="0.15">
      <c r="A3294" s="17"/>
      <c r="B3294" s="39"/>
      <c r="C3294" s="40"/>
      <c r="D3294" s="38"/>
      <c r="E3294" s="38"/>
      <c r="F3294" s="38"/>
      <c r="G3294" s="38"/>
    </row>
    <row r="3295" spans="1:7" s="8" customFormat="1" ht="21.95" customHeight="1" x14ac:dyDescent="0.15">
      <c r="A3295" s="17"/>
      <c r="B3295" s="36"/>
      <c r="C3295" s="37"/>
      <c r="D3295" s="15"/>
      <c r="E3295" s="38"/>
      <c r="F3295" s="15"/>
      <c r="G3295" s="38"/>
    </row>
    <row r="3296" spans="1:7" s="8" customFormat="1" ht="21.95" customHeight="1" x14ac:dyDescent="0.15">
      <c r="A3296" s="17"/>
      <c r="B3296" s="36"/>
      <c r="C3296" s="95"/>
      <c r="D3296" s="15"/>
      <c r="E3296" s="38"/>
      <c r="F3296" s="15"/>
      <c r="G3296" s="38"/>
    </row>
    <row r="3297" spans="1:7" s="8" customFormat="1" ht="21.95" customHeight="1" x14ac:dyDescent="0.15">
      <c r="A3297" s="17"/>
      <c r="B3297" s="36"/>
      <c r="C3297" s="95"/>
      <c r="D3297" s="15"/>
      <c r="E3297" s="38"/>
      <c r="F3297" s="38"/>
      <c r="G3297" s="38"/>
    </row>
    <row r="3298" spans="1:7" s="8" customFormat="1" ht="21.95" customHeight="1" x14ac:dyDescent="0.15">
      <c r="A3298" s="17"/>
      <c r="B3298" s="36"/>
      <c r="C3298" s="37"/>
      <c r="D3298" s="15"/>
      <c r="E3298" s="38"/>
      <c r="F3298" s="15"/>
      <c r="G3298" s="38"/>
    </row>
    <row r="3299" spans="1:7" s="8" customFormat="1" ht="21.95" customHeight="1" x14ac:dyDescent="0.15">
      <c r="A3299" s="17"/>
      <c r="B3299" s="36"/>
      <c r="C3299" s="37"/>
      <c r="D3299" s="15"/>
      <c r="E3299" s="38"/>
      <c r="F3299" s="38"/>
      <c r="G3299" s="38"/>
    </row>
    <row r="3300" spans="1:7" s="8" customFormat="1" ht="21.95" customHeight="1" x14ac:dyDescent="0.15">
      <c r="A3300" s="17"/>
      <c r="B3300" s="36"/>
      <c r="C3300" s="37"/>
      <c r="D3300" s="15"/>
      <c r="E3300" s="38"/>
      <c r="F3300" s="15"/>
      <c r="G3300" s="38"/>
    </row>
    <row r="3301" spans="1:7" s="8" customFormat="1" ht="21.95" customHeight="1" x14ac:dyDescent="0.15">
      <c r="A3301" s="17"/>
      <c r="B3301" s="36"/>
      <c r="C3301" s="37"/>
      <c r="D3301" s="15"/>
      <c r="E3301" s="38"/>
      <c r="F3301" s="38"/>
      <c r="G3301" s="38"/>
    </row>
    <row r="3302" spans="1:7" s="8" customFormat="1" ht="21.95" customHeight="1" x14ac:dyDescent="0.15">
      <c r="A3302" s="17"/>
      <c r="B3302" s="36"/>
      <c r="C3302" s="37"/>
      <c r="D3302" s="15"/>
      <c r="E3302" s="38"/>
      <c r="F3302" s="15"/>
      <c r="G3302" s="38"/>
    </row>
    <row r="3303" spans="1:7" s="8" customFormat="1" ht="21.95" customHeight="1" x14ac:dyDescent="0.15">
      <c r="A3303" s="17"/>
      <c r="B3303" s="36"/>
      <c r="C3303" s="37"/>
      <c r="D3303" s="15"/>
      <c r="E3303" s="38"/>
      <c r="F3303" s="38"/>
      <c r="G3303" s="38"/>
    </row>
    <row r="3304" spans="1:7" s="8" customFormat="1" ht="21.95" customHeight="1" x14ac:dyDescent="0.15">
      <c r="A3304" s="17"/>
      <c r="B3304" s="36"/>
      <c r="C3304" s="37"/>
      <c r="D3304" s="15"/>
      <c r="E3304" s="38"/>
      <c r="F3304" s="15"/>
      <c r="G3304" s="38"/>
    </row>
    <row r="3305" spans="1:7" ht="21.95" customHeight="1" x14ac:dyDescent="0.15">
      <c r="A3305" s="17"/>
      <c r="B3305" s="36"/>
      <c r="C3305" s="37"/>
      <c r="E3305" s="38"/>
      <c r="F3305" s="38"/>
      <c r="G3305" s="38"/>
    </row>
    <row r="3306" spans="1:7" ht="21.95" customHeight="1" x14ac:dyDescent="0.15">
      <c r="A3306" s="17"/>
      <c r="B3306" s="36"/>
      <c r="C3306" s="37"/>
      <c r="E3306" s="38"/>
      <c r="G3306" s="38"/>
    </row>
    <row r="3307" spans="1:7" ht="21.95" customHeight="1" x14ac:dyDescent="0.15">
      <c r="A3307" s="17"/>
      <c r="B3307" s="36"/>
      <c r="C3307" s="37"/>
      <c r="E3307" s="38"/>
      <c r="G3307" s="38"/>
    </row>
    <row r="3308" spans="1:7" ht="21.95" customHeight="1" x14ac:dyDescent="0.15">
      <c r="A3308" s="17"/>
      <c r="B3308" s="36"/>
      <c r="C3308" s="37"/>
      <c r="E3308" s="38"/>
      <c r="F3308" s="38"/>
      <c r="G3308" s="38"/>
    </row>
    <row r="3309" spans="1:7" s="8" customFormat="1" ht="21.95" customHeight="1" x14ac:dyDescent="0.15">
      <c r="A3309" s="17"/>
      <c r="B3309" s="36"/>
      <c r="C3309" s="37"/>
      <c r="D3309" s="15"/>
      <c r="E3309" s="38"/>
      <c r="F3309" s="38"/>
      <c r="G3309" s="38"/>
    </row>
    <row r="3310" spans="1:7" s="8" customFormat="1" ht="21.95" customHeight="1" x14ac:dyDescent="0.15">
      <c r="A3310" s="17"/>
      <c r="B3310" s="36"/>
      <c r="C3310" s="37"/>
      <c r="D3310" s="15"/>
      <c r="E3310" s="38"/>
      <c r="F3310" s="38"/>
      <c r="G3310" s="38"/>
    </row>
    <row r="3311" spans="1:7" s="8" customFormat="1" ht="21.95" customHeight="1" x14ac:dyDescent="0.15">
      <c r="A3311" s="17"/>
      <c r="B3311" s="36"/>
      <c r="C3311" s="37"/>
      <c r="D3311" s="15"/>
      <c r="E3311" s="38"/>
      <c r="F3311" s="38"/>
      <c r="G3311" s="38"/>
    </row>
    <row r="3312" spans="1:7" s="8" customFormat="1" ht="21.95" customHeight="1" x14ac:dyDescent="0.15">
      <c r="A3312" s="17"/>
      <c r="B3312" s="36"/>
      <c r="C3312" s="37"/>
      <c r="D3312" s="15"/>
      <c r="E3312" s="38"/>
      <c r="F3312" s="38"/>
      <c r="G3312" s="38"/>
    </row>
    <row r="3313" spans="1:7" s="8" customFormat="1" ht="21.95" customHeight="1" x14ac:dyDescent="0.15">
      <c r="A3313" s="17"/>
      <c r="B3313" s="36"/>
      <c r="C3313" s="37"/>
      <c r="D3313" s="15"/>
      <c r="E3313" s="38"/>
      <c r="F3313" s="38"/>
      <c r="G3313" s="38"/>
    </row>
    <row r="3314" spans="1:7" s="8" customFormat="1" ht="21.95" customHeight="1" x14ac:dyDescent="0.15">
      <c r="A3314" s="17"/>
      <c r="B3314" s="36"/>
      <c r="C3314" s="37"/>
      <c r="D3314" s="15"/>
      <c r="E3314" s="38"/>
      <c r="F3314" s="38"/>
      <c r="G3314" s="38"/>
    </row>
    <row r="3315" spans="1:7" s="8" customFormat="1" ht="21.95" customHeight="1" x14ac:dyDescent="0.15">
      <c r="A3315" s="17"/>
      <c r="B3315" s="36"/>
      <c r="C3315" s="37"/>
      <c r="D3315" s="15"/>
      <c r="E3315" s="38"/>
      <c r="F3315" s="38"/>
      <c r="G3315" s="38"/>
    </row>
    <row r="3316" spans="1:7" s="8" customFormat="1" ht="21.95" customHeight="1" x14ac:dyDescent="0.15">
      <c r="A3316" s="17"/>
      <c r="B3316" s="36"/>
      <c r="C3316" s="37"/>
      <c r="D3316" s="15"/>
      <c r="E3316" s="38"/>
      <c r="F3316" s="38"/>
      <c r="G3316" s="38"/>
    </row>
    <row r="3317" spans="1:7" s="8" customFormat="1" ht="21.95" customHeight="1" x14ac:dyDescent="0.15">
      <c r="A3317" s="17"/>
      <c r="B3317" s="36"/>
      <c r="C3317" s="37"/>
      <c r="D3317" s="15"/>
      <c r="E3317" s="38"/>
      <c r="F3317" s="38"/>
      <c r="G3317" s="38"/>
    </row>
    <row r="3318" spans="1:7" s="8" customFormat="1" ht="21.95" customHeight="1" x14ac:dyDescent="0.15">
      <c r="A3318" s="17"/>
      <c r="B3318" s="36"/>
      <c r="C3318" s="37"/>
      <c r="D3318" s="15"/>
      <c r="E3318" s="38"/>
      <c r="F3318" s="38"/>
      <c r="G3318" s="38"/>
    </row>
    <row r="3319" spans="1:7" s="8" customFormat="1" ht="21.95" customHeight="1" x14ac:dyDescent="0.15">
      <c r="A3319" s="17"/>
      <c r="B3319" s="36"/>
      <c r="C3319" s="37"/>
      <c r="D3319" s="15"/>
      <c r="E3319" s="38"/>
      <c r="F3319" s="38"/>
      <c r="G3319" s="38"/>
    </row>
    <row r="3320" spans="1:7" s="8" customFormat="1" ht="32.1" customHeight="1" x14ac:dyDescent="0.15">
      <c r="A3320" s="17"/>
      <c r="B3320" s="36"/>
      <c r="C3320" s="37"/>
      <c r="D3320" s="15"/>
      <c r="E3320" s="38"/>
      <c r="F3320" s="38"/>
      <c r="G3320" s="38"/>
    </row>
    <row r="3321" spans="1:7" s="8" customFormat="1" ht="32.1" customHeight="1" x14ac:dyDescent="0.15">
      <c r="A3321" s="17"/>
      <c r="B3321" s="36"/>
      <c r="C3321" s="37"/>
      <c r="D3321" s="15"/>
      <c r="E3321" s="38"/>
      <c r="F3321" s="38"/>
      <c r="G3321" s="38"/>
    </row>
    <row r="3322" spans="1:7" s="8" customFormat="1" ht="32.1" customHeight="1" x14ac:dyDescent="0.15">
      <c r="A3322" s="17"/>
      <c r="B3322" s="36"/>
      <c r="C3322" s="37"/>
      <c r="D3322" s="15"/>
      <c r="E3322" s="38"/>
      <c r="F3322" s="38"/>
      <c r="G3322" s="38"/>
    </row>
    <row r="3323" spans="1:7" s="8" customFormat="1" ht="32.1" customHeight="1" x14ac:dyDescent="0.15">
      <c r="A3323" s="17"/>
      <c r="B3323" s="36"/>
      <c r="C3323" s="37"/>
      <c r="D3323" s="15"/>
      <c r="E3323" s="38"/>
      <c r="F3323" s="38"/>
      <c r="G3323" s="38"/>
    </row>
    <row r="3324" spans="1:7" s="8" customFormat="1" ht="32.1" customHeight="1" x14ac:dyDescent="0.15">
      <c r="A3324" s="17"/>
      <c r="B3324" s="36"/>
      <c r="C3324" s="37"/>
      <c r="D3324" s="15"/>
      <c r="E3324" s="38"/>
      <c r="F3324" s="38"/>
      <c r="G3324" s="38"/>
    </row>
    <row r="3325" spans="1:7" s="8" customFormat="1" ht="32.1" customHeight="1" x14ac:dyDescent="0.15">
      <c r="A3325" s="17"/>
      <c r="B3325" s="36"/>
      <c r="C3325" s="37"/>
      <c r="D3325" s="15"/>
      <c r="E3325" s="38"/>
      <c r="F3325" s="38"/>
      <c r="G3325" s="38"/>
    </row>
    <row r="3326" spans="1:7" ht="32.1" customHeight="1" x14ac:dyDescent="0.15">
      <c r="A3326" s="17"/>
      <c r="B3326" s="36"/>
      <c r="C3326" s="37"/>
      <c r="E3326" s="38"/>
      <c r="F3326" s="38"/>
      <c r="G3326" s="38"/>
    </row>
    <row r="3327" spans="1:7" ht="32.1" customHeight="1" x14ac:dyDescent="0.15">
      <c r="A3327" s="17"/>
      <c r="B3327" s="36"/>
      <c r="C3327" s="37"/>
      <c r="F3327" s="38"/>
      <c r="G3327" s="38"/>
    </row>
    <row r="3328" spans="1:7" ht="32.1" customHeight="1" x14ac:dyDescent="0.15">
      <c r="A3328" s="17"/>
      <c r="B3328" s="36"/>
      <c r="C3328" s="37"/>
      <c r="F3328" s="38"/>
      <c r="G3328" s="38"/>
    </row>
    <row r="3329" spans="1:7" ht="32.1" customHeight="1" x14ac:dyDescent="0.15">
      <c r="A3329" s="17"/>
      <c r="B3329" s="36"/>
      <c r="C3329" s="37"/>
      <c r="F3329" s="38"/>
      <c r="G3329" s="38"/>
    </row>
    <row r="3330" spans="1:7" ht="21.95" customHeight="1" x14ac:dyDescent="0.15">
      <c r="A3330" s="17"/>
      <c r="B3330" s="36"/>
      <c r="C3330" s="37"/>
      <c r="F3330" s="38"/>
      <c r="G3330" s="38"/>
    </row>
    <row r="3331" spans="1:7" ht="54" customHeight="1" x14ac:dyDescent="0.15">
      <c r="A3331" s="17"/>
      <c r="B3331" s="36"/>
      <c r="C3331" s="37"/>
      <c r="F3331" s="38"/>
      <c r="G3331" s="38"/>
    </row>
    <row r="3332" spans="1:7" ht="21.95" customHeight="1" x14ac:dyDescent="0.15">
      <c r="A3332" s="17"/>
      <c r="B3332" s="36"/>
      <c r="C3332" s="37"/>
      <c r="F3332" s="38"/>
      <c r="G3332" s="38"/>
    </row>
    <row r="3333" spans="1:7" ht="21.95" customHeight="1" x14ac:dyDescent="0.15">
      <c r="A3333" s="17"/>
      <c r="B3333" s="36"/>
      <c r="C3333" s="37"/>
      <c r="F3333" s="38"/>
      <c r="G3333" s="38"/>
    </row>
    <row r="3334" spans="1:7" ht="21.95" customHeight="1" x14ac:dyDescent="0.15">
      <c r="A3334" s="17"/>
      <c r="B3334" s="36"/>
      <c r="C3334" s="37"/>
      <c r="F3334" s="38"/>
      <c r="G3334" s="38"/>
    </row>
    <row r="3335" spans="1:7" ht="21.95" customHeight="1" x14ac:dyDescent="0.15">
      <c r="A3335" s="17"/>
      <c r="B3335" s="36"/>
      <c r="C3335" s="37"/>
      <c r="F3335" s="38"/>
      <c r="G3335" s="38"/>
    </row>
    <row r="3336" spans="1:7" ht="21.95" customHeight="1" x14ac:dyDescent="0.15">
      <c r="A3336" s="17"/>
      <c r="B3336" s="36"/>
      <c r="C3336" s="37"/>
      <c r="F3336" s="38"/>
      <c r="G3336" s="38"/>
    </row>
    <row r="3337" spans="1:7" ht="21.95" customHeight="1" x14ac:dyDescent="0.15">
      <c r="A3337" s="17"/>
      <c r="B3337" s="36"/>
      <c r="C3337" s="37"/>
      <c r="F3337" s="38"/>
      <c r="G3337" s="38"/>
    </row>
    <row r="3338" spans="1:7" ht="21.95" customHeight="1" x14ac:dyDescent="0.15">
      <c r="A3338" s="17"/>
      <c r="B3338" s="36"/>
      <c r="C3338" s="37"/>
      <c r="G3338" s="38"/>
    </row>
    <row r="3339" spans="1:7" ht="21.95" customHeight="1" x14ac:dyDescent="0.15">
      <c r="A3339" s="17"/>
      <c r="B3339" s="36"/>
      <c r="C3339" s="37"/>
      <c r="G3339" s="38"/>
    </row>
    <row r="3340" spans="1:7" ht="21.95" customHeight="1" x14ac:dyDescent="0.15">
      <c r="A3340" s="17"/>
      <c r="B3340" s="36"/>
      <c r="C3340" s="37"/>
      <c r="G3340" s="38"/>
    </row>
    <row r="3341" spans="1:7" ht="21.95" customHeight="1" x14ac:dyDescent="0.15">
      <c r="A3341" s="17"/>
      <c r="B3341" s="36"/>
      <c r="C3341" s="37"/>
      <c r="G3341" s="38"/>
    </row>
    <row r="3342" spans="1:7" ht="21.95" customHeight="1" x14ac:dyDescent="0.15">
      <c r="A3342" s="17"/>
      <c r="B3342" s="36"/>
      <c r="C3342" s="37"/>
      <c r="G3342" s="38"/>
    </row>
    <row r="3343" spans="1:7" ht="21.95" customHeight="1" x14ac:dyDescent="0.15">
      <c r="A3343" s="17"/>
      <c r="B3343" s="36"/>
      <c r="C3343" s="37"/>
      <c r="G3343" s="38"/>
    </row>
    <row r="3344" spans="1:7" ht="21.95" customHeight="1" x14ac:dyDescent="0.15">
      <c r="A3344" s="17"/>
      <c r="B3344" s="36"/>
      <c r="C3344" s="37"/>
      <c r="G3344" s="38"/>
    </row>
    <row r="3345" spans="1:7" ht="21.95" customHeight="1" x14ac:dyDescent="0.15">
      <c r="A3345" s="17"/>
      <c r="B3345" s="36"/>
      <c r="C3345" s="37"/>
      <c r="G3345" s="38"/>
    </row>
    <row r="3346" spans="1:7" ht="21.95" customHeight="1" x14ac:dyDescent="0.15">
      <c r="A3346" s="17"/>
      <c r="B3346" s="36"/>
      <c r="C3346" s="37"/>
      <c r="G3346" s="38"/>
    </row>
    <row r="3347" spans="1:7" ht="21.95" customHeight="1" x14ac:dyDescent="0.15">
      <c r="A3347" s="17"/>
      <c r="B3347" s="36"/>
      <c r="C3347" s="37"/>
      <c r="G3347" s="38"/>
    </row>
    <row r="3348" spans="1:7" ht="21.95" customHeight="1" x14ac:dyDescent="0.15">
      <c r="A3348" s="17"/>
      <c r="B3348" s="36"/>
      <c r="C3348" s="37"/>
      <c r="G3348" s="38"/>
    </row>
    <row r="3349" spans="1:7" ht="21.95" customHeight="1" x14ac:dyDescent="0.15">
      <c r="A3349" s="17"/>
      <c r="B3349" s="36"/>
      <c r="C3349" s="37"/>
    </row>
    <row r="3350" spans="1:7" ht="21.95" customHeight="1" x14ac:dyDescent="0.15">
      <c r="A3350" s="17"/>
      <c r="B3350" s="36"/>
      <c r="C3350" s="37"/>
    </row>
    <row r="3351" spans="1:7" ht="21.95" customHeight="1" x14ac:dyDescent="0.15">
      <c r="A3351" s="17"/>
      <c r="B3351" s="36"/>
      <c r="C3351" s="37"/>
    </row>
    <row r="3352" spans="1:7" ht="21.95" customHeight="1" x14ac:dyDescent="0.15">
      <c r="A3352" s="17"/>
      <c r="B3352" s="36"/>
      <c r="C3352" s="37"/>
    </row>
    <row r="3353" spans="1:7" ht="21.95" customHeight="1" x14ac:dyDescent="0.15">
      <c r="A3353" s="17"/>
      <c r="B3353" s="36"/>
      <c r="C3353" s="37"/>
    </row>
    <row r="3354" spans="1:7" ht="21.95" customHeight="1" x14ac:dyDescent="0.15">
      <c r="A3354" s="17"/>
      <c r="B3354" s="36"/>
      <c r="C3354" s="37"/>
    </row>
    <row r="3355" spans="1:7" ht="21.95" customHeight="1" x14ac:dyDescent="0.15">
      <c r="A3355" s="17"/>
      <c r="B3355" s="36"/>
      <c r="C3355" s="37"/>
    </row>
    <row r="3356" spans="1:7" ht="21.95" customHeight="1" x14ac:dyDescent="0.15">
      <c r="A3356" s="17"/>
      <c r="B3356" s="36"/>
      <c r="C3356" s="37"/>
    </row>
    <row r="3357" spans="1:7" ht="21.95" customHeight="1" x14ac:dyDescent="0.15">
      <c r="A3357" s="17"/>
      <c r="B3357" s="36"/>
      <c r="C3357" s="37"/>
    </row>
    <row r="3358" spans="1:7" ht="21.95" customHeight="1" x14ac:dyDescent="0.15">
      <c r="A3358" s="17"/>
      <c r="B3358" s="36"/>
      <c r="C3358" s="37"/>
    </row>
    <row r="3359" spans="1:7" ht="21.95" customHeight="1" x14ac:dyDescent="0.15">
      <c r="A3359" s="17"/>
      <c r="B3359" s="36"/>
      <c r="C3359" s="37"/>
    </row>
    <row r="3360" spans="1:7" ht="21.95" customHeight="1" x14ac:dyDescent="0.15">
      <c r="A3360" s="17"/>
      <c r="B3360" s="36"/>
      <c r="C3360" s="37"/>
    </row>
    <row r="3361" spans="1:3" ht="21.95" customHeight="1" x14ac:dyDescent="0.15">
      <c r="A3361" s="17"/>
      <c r="B3361" s="36"/>
      <c r="C3361" s="37"/>
    </row>
    <row r="3362" spans="1:3" ht="21.95" customHeight="1" x14ac:dyDescent="0.15">
      <c r="A3362" s="17"/>
      <c r="B3362" s="36"/>
      <c r="C3362" s="37"/>
    </row>
    <row r="3363" spans="1:3" ht="21.95" customHeight="1" x14ac:dyDescent="0.15">
      <c r="A3363" s="17"/>
      <c r="B3363" s="36"/>
      <c r="C3363" s="37"/>
    </row>
    <row r="3364" spans="1:3" ht="21.95" customHeight="1" x14ac:dyDescent="0.15">
      <c r="A3364" s="17"/>
      <c r="B3364" s="36"/>
      <c r="C3364" s="37"/>
    </row>
    <row r="3365" spans="1:3" ht="21.95" customHeight="1" x14ac:dyDescent="0.15">
      <c r="A3365" s="17"/>
      <c r="B3365" s="36"/>
      <c r="C3365" s="37"/>
    </row>
    <row r="3366" spans="1:3" ht="21.95" customHeight="1" x14ac:dyDescent="0.15">
      <c r="A3366" s="17"/>
      <c r="B3366" s="36"/>
      <c r="C3366" s="37"/>
    </row>
    <row r="3367" spans="1:3" ht="21.95" customHeight="1" x14ac:dyDescent="0.15">
      <c r="A3367" s="17"/>
      <c r="B3367" s="36"/>
      <c r="C3367" s="37"/>
    </row>
    <row r="3368" spans="1:3" ht="21.95" customHeight="1" x14ac:dyDescent="0.15">
      <c r="A3368" s="17"/>
      <c r="B3368" s="36"/>
      <c r="C3368" s="37"/>
    </row>
    <row r="3369" spans="1:3" ht="21.95" customHeight="1" x14ac:dyDescent="0.15">
      <c r="A3369" s="17"/>
      <c r="B3369" s="36"/>
      <c r="C3369" s="37"/>
    </row>
    <row r="3370" spans="1:3" ht="21.95" customHeight="1" x14ac:dyDescent="0.15">
      <c r="A3370" s="17"/>
      <c r="B3370" s="36"/>
      <c r="C3370" s="37"/>
    </row>
    <row r="3371" spans="1:3" ht="21.95" customHeight="1" x14ac:dyDescent="0.15">
      <c r="A3371" s="17"/>
      <c r="B3371" s="36"/>
      <c r="C3371" s="37"/>
    </row>
    <row r="3372" spans="1:3" ht="21.95" customHeight="1" x14ac:dyDescent="0.15">
      <c r="A3372" s="17"/>
      <c r="B3372" s="36"/>
      <c r="C3372" s="37"/>
    </row>
    <row r="3373" spans="1:3" ht="21.95" customHeight="1" x14ac:dyDescent="0.15">
      <c r="A3373" s="17"/>
      <c r="B3373" s="36"/>
      <c r="C3373" s="37"/>
    </row>
    <row r="3374" spans="1:3" ht="21.95" customHeight="1" x14ac:dyDescent="0.15">
      <c r="A3374" s="17"/>
      <c r="B3374" s="36"/>
      <c r="C3374" s="37"/>
    </row>
    <row r="3375" spans="1:3" ht="21.95" customHeight="1" x14ac:dyDescent="0.15">
      <c r="A3375" s="17"/>
      <c r="B3375" s="36"/>
      <c r="C3375" s="37"/>
    </row>
    <row r="3376" spans="1:3" ht="21.95" customHeight="1" x14ac:dyDescent="0.15">
      <c r="A3376" s="17"/>
      <c r="B3376" s="36"/>
      <c r="C3376" s="37"/>
    </row>
    <row r="3377" spans="1:7" ht="21.95" customHeight="1" x14ac:dyDescent="0.15">
      <c r="A3377" s="17"/>
      <c r="B3377" s="36"/>
      <c r="C3377" s="37"/>
    </row>
    <row r="3378" spans="1:7" ht="21.95" customHeight="1" x14ac:dyDescent="0.15">
      <c r="A3378" s="17"/>
      <c r="B3378" s="36"/>
      <c r="C3378" s="37"/>
    </row>
    <row r="3379" spans="1:7" ht="21.95" customHeight="1" x14ac:dyDescent="0.15">
      <c r="A3379" s="17"/>
      <c r="B3379" s="36"/>
      <c r="C3379" s="37"/>
    </row>
    <row r="3380" spans="1:7" ht="21.95" customHeight="1" x14ac:dyDescent="0.15">
      <c r="A3380" s="17"/>
      <c r="B3380" s="36"/>
      <c r="C3380" s="37"/>
      <c r="G3380" s="38"/>
    </row>
    <row r="3381" spans="1:7" ht="21.95" customHeight="1" x14ac:dyDescent="0.15">
      <c r="A3381" s="17"/>
      <c r="B3381" s="36"/>
      <c r="C3381" s="37"/>
    </row>
    <row r="3382" spans="1:7" ht="35.1" customHeight="1" x14ac:dyDescent="0.15">
      <c r="A3382" s="17"/>
      <c r="B3382" s="36"/>
      <c r="C3382" s="37"/>
    </row>
    <row r="3383" spans="1:7" ht="21.95" customHeight="1" x14ac:dyDescent="0.15">
      <c r="A3383" s="17"/>
      <c r="B3383" s="36"/>
      <c r="C3383" s="37"/>
    </row>
    <row r="3384" spans="1:7" ht="21.95" customHeight="1" x14ac:dyDescent="0.15">
      <c r="A3384" s="17"/>
      <c r="B3384" s="36"/>
      <c r="C3384" s="37"/>
    </row>
    <row r="3385" spans="1:7" ht="21.95" customHeight="1" x14ac:dyDescent="0.15">
      <c r="A3385" s="17"/>
      <c r="B3385" s="36"/>
      <c r="C3385" s="37"/>
    </row>
    <row r="3386" spans="1:7" ht="21.95" customHeight="1" x14ac:dyDescent="0.15">
      <c r="A3386" s="17"/>
      <c r="B3386" s="36"/>
      <c r="C3386" s="37"/>
    </row>
    <row r="3387" spans="1:7" ht="21.95" customHeight="1" x14ac:dyDescent="0.15">
      <c r="A3387" s="17"/>
      <c r="B3387" s="36"/>
      <c r="C3387" s="37"/>
    </row>
    <row r="3388" spans="1:7" ht="21.95" customHeight="1" x14ac:dyDescent="0.15">
      <c r="A3388" s="17"/>
      <c r="B3388" s="36"/>
      <c r="C3388" s="37"/>
    </row>
    <row r="3389" spans="1:7" ht="21.95" customHeight="1" x14ac:dyDescent="0.15">
      <c r="A3389" s="17"/>
      <c r="B3389" s="36"/>
      <c r="C3389" s="37"/>
    </row>
    <row r="3390" spans="1:7" ht="21.95" customHeight="1" x14ac:dyDescent="0.15">
      <c r="A3390" s="17"/>
      <c r="B3390" s="36"/>
      <c r="C3390" s="37"/>
      <c r="G3390" s="38"/>
    </row>
    <row r="3391" spans="1:7" ht="21.95" customHeight="1" x14ac:dyDescent="0.15">
      <c r="A3391" s="17"/>
      <c r="B3391" s="36"/>
      <c r="C3391" s="37"/>
      <c r="G3391" s="38"/>
    </row>
    <row r="3392" spans="1:7" ht="21.95" customHeight="1" x14ac:dyDescent="0.15">
      <c r="A3392" s="17"/>
      <c r="B3392" s="36"/>
      <c r="C3392" s="37"/>
    </row>
    <row r="3393" spans="1:7" ht="21.95" customHeight="1" x14ac:dyDescent="0.15">
      <c r="A3393" s="17"/>
      <c r="B3393" s="36"/>
      <c r="C3393" s="37"/>
    </row>
    <row r="3394" spans="1:7" ht="21.95" customHeight="1" x14ac:dyDescent="0.15">
      <c r="A3394" s="17"/>
      <c r="B3394" s="36"/>
      <c r="C3394" s="37"/>
    </row>
    <row r="3395" spans="1:7" ht="21.95" customHeight="1" x14ac:dyDescent="0.15">
      <c r="A3395" s="17"/>
      <c r="B3395" s="36"/>
      <c r="C3395" s="37"/>
      <c r="G3395" s="38"/>
    </row>
    <row r="3396" spans="1:7" ht="21.95" customHeight="1" x14ac:dyDescent="0.15">
      <c r="A3396" s="17"/>
      <c r="B3396" s="36"/>
      <c r="C3396" s="37"/>
    </row>
    <row r="3397" spans="1:7" ht="21.95" customHeight="1" x14ac:dyDescent="0.15">
      <c r="A3397" s="17"/>
      <c r="B3397" s="36"/>
      <c r="C3397" s="37"/>
    </row>
    <row r="3398" spans="1:7" ht="21.95" customHeight="1" x14ac:dyDescent="0.15">
      <c r="A3398" s="17"/>
      <c r="B3398" s="36"/>
      <c r="C3398" s="37"/>
    </row>
    <row r="3399" spans="1:7" ht="21.95" customHeight="1" x14ac:dyDescent="0.15">
      <c r="A3399" s="17"/>
      <c r="B3399" s="36"/>
      <c r="C3399" s="37"/>
    </row>
    <row r="3400" spans="1:7" ht="21.95" customHeight="1" x14ac:dyDescent="0.15">
      <c r="A3400" s="17"/>
      <c r="B3400" s="36"/>
      <c r="C3400" s="37"/>
    </row>
    <row r="3401" spans="1:7" ht="21.95" customHeight="1" x14ac:dyDescent="0.15">
      <c r="A3401" s="17"/>
      <c r="C3401" s="37"/>
    </row>
    <row r="3402" spans="1:7" ht="21.95" customHeight="1" x14ac:dyDescent="0.15">
      <c r="A3402" s="17"/>
      <c r="B3402" s="36"/>
      <c r="C3402" s="37"/>
    </row>
    <row r="3403" spans="1:7" ht="21.95" customHeight="1" x14ac:dyDescent="0.15">
      <c r="A3403" s="17"/>
    </row>
    <row r="3404" spans="1:7" ht="21.95" customHeight="1" x14ac:dyDescent="0.15">
      <c r="A3404" s="17"/>
    </row>
    <row r="3405" spans="1:7" ht="21.95" customHeight="1" x14ac:dyDescent="0.15">
      <c r="A3405" s="17"/>
    </row>
    <row r="3406" spans="1:7" s="8" customFormat="1" ht="21.95" customHeight="1" x14ac:dyDescent="0.15">
      <c r="A3406" s="17"/>
      <c r="B3406" s="39"/>
      <c r="C3406" s="40"/>
      <c r="D3406" s="38"/>
      <c r="E3406" s="38"/>
      <c r="F3406" s="38"/>
      <c r="G3406" s="38"/>
    </row>
    <row r="3407" spans="1:7" s="8" customFormat="1" ht="21.95" customHeight="1" x14ac:dyDescent="0.15">
      <c r="A3407" s="17"/>
      <c r="B3407" s="36"/>
      <c r="C3407" s="37"/>
      <c r="D3407" s="15"/>
      <c r="E3407" s="38"/>
      <c r="F3407" s="15"/>
      <c r="G3407" s="38"/>
    </row>
    <row r="3408" spans="1:7" s="8" customFormat="1" ht="21.95" customHeight="1" x14ac:dyDescent="0.15">
      <c r="A3408" s="17"/>
      <c r="B3408" s="36"/>
      <c r="C3408" s="95"/>
      <c r="D3408" s="15"/>
      <c r="E3408" s="38"/>
      <c r="F3408" s="15"/>
      <c r="G3408" s="38"/>
    </row>
    <row r="3409" spans="1:7" s="8" customFormat="1" ht="21.95" customHeight="1" x14ac:dyDescent="0.15">
      <c r="A3409" s="17"/>
      <c r="B3409" s="36"/>
      <c r="C3409" s="95"/>
      <c r="D3409" s="15"/>
      <c r="E3409" s="38"/>
      <c r="F3409" s="38"/>
      <c r="G3409" s="38"/>
    </row>
    <row r="3410" spans="1:7" s="8" customFormat="1" ht="21.95" customHeight="1" x14ac:dyDescent="0.15">
      <c r="A3410" s="17"/>
      <c r="B3410" s="36"/>
      <c r="C3410" s="37"/>
      <c r="D3410" s="15"/>
      <c r="E3410" s="38"/>
      <c r="F3410" s="15"/>
      <c r="G3410" s="38"/>
    </row>
    <row r="3411" spans="1:7" s="8" customFormat="1" ht="21.95" customHeight="1" x14ac:dyDescent="0.15">
      <c r="A3411" s="17"/>
      <c r="B3411" s="36"/>
      <c r="C3411" s="37"/>
      <c r="D3411" s="15"/>
      <c r="E3411" s="38"/>
      <c r="F3411" s="38"/>
      <c r="G3411" s="38"/>
    </row>
    <row r="3412" spans="1:7" s="8" customFormat="1" ht="21.95" customHeight="1" x14ac:dyDescent="0.15">
      <c r="A3412" s="17"/>
      <c r="B3412" s="36"/>
      <c r="C3412" s="37"/>
      <c r="D3412" s="15"/>
      <c r="E3412" s="38"/>
      <c r="F3412" s="15"/>
      <c r="G3412" s="38"/>
    </row>
    <row r="3413" spans="1:7" s="8" customFormat="1" ht="21.95" customHeight="1" x14ac:dyDescent="0.15">
      <c r="A3413" s="17"/>
      <c r="B3413" s="36"/>
      <c r="C3413" s="37"/>
      <c r="D3413" s="15"/>
      <c r="E3413" s="38"/>
      <c r="F3413" s="38"/>
      <c r="G3413" s="38"/>
    </row>
    <row r="3414" spans="1:7" s="8" customFormat="1" ht="21.95" customHeight="1" x14ac:dyDescent="0.15">
      <c r="A3414" s="17"/>
      <c r="B3414" s="36"/>
      <c r="C3414" s="37"/>
      <c r="D3414" s="15"/>
      <c r="E3414" s="38"/>
      <c r="F3414" s="15"/>
      <c r="G3414" s="38"/>
    </row>
    <row r="3415" spans="1:7" s="8" customFormat="1" ht="21.95" customHeight="1" x14ac:dyDescent="0.15">
      <c r="A3415" s="17"/>
      <c r="B3415" s="36"/>
      <c r="C3415" s="37"/>
      <c r="D3415" s="15"/>
      <c r="E3415" s="38"/>
      <c r="F3415" s="38"/>
      <c r="G3415" s="38"/>
    </row>
    <row r="3416" spans="1:7" s="8" customFormat="1" ht="21.95" customHeight="1" x14ac:dyDescent="0.15">
      <c r="A3416" s="17"/>
      <c r="B3416" s="36"/>
      <c r="C3416" s="37"/>
      <c r="D3416" s="15"/>
      <c r="E3416" s="38"/>
      <c r="F3416" s="15"/>
      <c r="G3416" s="38"/>
    </row>
    <row r="3417" spans="1:7" ht="21.95" customHeight="1" x14ac:dyDescent="0.15">
      <c r="A3417" s="17"/>
      <c r="B3417" s="36"/>
      <c r="C3417" s="37"/>
      <c r="E3417" s="38"/>
      <c r="F3417" s="38"/>
      <c r="G3417" s="38"/>
    </row>
    <row r="3418" spans="1:7" ht="21.95" customHeight="1" x14ac:dyDescent="0.15">
      <c r="A3418" s="17"/>
      <c r="B3418" s="36"/>
      <c r="C3418" s="37"/>
      <c r="E3418" s="38"/>
      <c r="G3418" s="38"/>
    </row>
    <row r="3419" spans="1:7" ht="21.95" customHeight="1" x14ac:dyDescent="0.15">
      <c r="A3419" s="17"/>
      <c r="B3419" s="36"/>
      <c r="C3419" s="37"/>
      <c r="E3419" s="38"/>
      <c r="G3419" s="38"/>
    </row>
    <row r="3420" spans="1:7" ht="21.95" customHeight="1" x14ac:dyDescent="0.15">
      <c r="A3420" s="17"/>
      <c r="B3420" s="36"/>
      <c r="C3420" s="37"/>
      <c r="E3420" s="38"/>
      <c r="F3420" s="38"/>
      <c r="G3420" s="38"/>
    </row>
    <row r="3421" spans="1:7" s="8" customFormat="1" ht="21.95" customHeight="1" x14ac:dyDescent="0.15">
      <c r="A3421" s="17"/>
      <c r="B3421" s="36"/>
      <c r="C3421" s="37"/>
      <c r="D3421" s="15"/>
      <c r="E3421" s="38"/>
      <c r="F3421" s="38"/>
      <c r="G3421" s="38"/>
    </row>
    <row r="3422" spans="1:7" s="8" customFormat="1" ht="21.95" customHeight="1" x14ac:dyDescent="0.15">
      <c r="A3422" s="17"/>
      <c r="B3422" s="36"/>
      <c r="C3422" s="37"/>
      <c r="D3422" s="15"/>
      <c r="E3422" s="38"/>
      <c r="F3422" s="38"/>
      <c r="G3422" s="38"/>
    </row>
    <row r="3423" spans="1:7" s="8" customFormat="1" ht="21.95" customHeight="1" x14ac:dyDescent="0.15">
      <c r="A3423" s="17"/>
      <c r="B3423" s="36"/>
      <c r="C3423" s="37"/>
      <c r="D3423" s="15"/>
      <c r="E3423" s="38"/>
      <c r="F3423" s="38"/>
      <c r="G3423" s="38"/>
    </row>
    <row r="3424" spans="1:7" s="8" customFormat="1" ht="21.95" customHeight="1" x14ac:dyDescent="0.15">
      <c r="A3424" s="17"/>
      <c r="B3424" s="36"/>
      <c r="C3424" s="37"/>
      <c r="D3424" s="15"/>
      <c r="E3424" s="38"/>
      <c r="F3424" s="38"/>
      <c r="G3424" s="38"/>
    </row>
    <row r="3425" spans="1:7" s="8" customFormat="1" ht="21.95" customHeight="1" x14ac:dyDescent="0.15">
      <c r="A3425" s="17"/>
      <c r="B3425" s="36"/>
      <c r="C3425" s="37"/>
      <c r="D3425" s="15"/>
      <c r="E3425" s="38"/>
      <c r="F3425" s="38"/>
      <c r="G3425" s="38"/>
    </row>
    <row r="3426" spans="1:7" s="8" customFormat="1" ht="21.95" customHeight="1" x14ac:dyDescent="0.15">
      <c r="A3426" s="17"/>
      <c r="B3426" s="36"/>
      <c r="C3426" s="37"/>
      <c r="D3426" s="15"/>
      <c r="E3426" s="38"/>
      <c r="F3426" s="38"/>
      <c r="G3426" s="38"/>
    </row>
    <row r="3427" spans="1:7" s="8" customFormat="1" ht="21.95" customHeight="1" x14ac:dyDescent="0.15">
      <c r="A3427" s="17"/>
      <c r="B3427" s="36"/>
      <c r="C3427" s="37"/>
      <c r="D3427" s="15"/>
      <c r="E3427" s="38"/>
      <c r="F3427" s="38"/>
      <c r="G3427" s="38"/>
    </row>
    <row r="3428" spans="1:7" s="8" customFormat="1" ht="21.95" customHeight="1" x14ac:dyDescent="0.15">
      <c r="A3428" s="17"/>
      <c r="B3428" s="36"/>
      <c r="C3428" s="37"/>
      <c r="D3428" s="15"/>
      <c r="E3428" s="38"/>
      <c r="F3428" s="38"/>
      <c r="G3428" s="38"/>
    </row>
    <row r="3429" spans="1:7" s="8" customFormat="1" ht="21.95" customHeight="1" x14ac:dyDescent="0.15">
      <c r="A3429" s="17"/>
      <c r="B3429" s="36"/>
      <c r="C3429" s="37"/>
      <c r="D3429" s="15"/>
      <c r="E3429" s="38"/>
      <c r="F3429" s="38"/>
      <c r="G3429" s="38"/>
    </row>
    <row r="3430" spans="1:7" s="8" customFormat="1" ht="21.95" customHeight="1" x14ac:dyDescent="0.15">
      <c r="A3430" s="17"/>
      <c r="B3430" s="36"/>
      <c r="C3430" s="37"/>
      <c r="D3430" s="15"/>
      <c r="E3430" s="38"/>
      <c r="F3430" s="38"/>
      <c r="G3430" s="38"/>
    </row>
    <row r="3431" spans="1:7" s="8" customFormat="1" ht="21.95" customHeight="1" x14ac:dyDescent="0.15">
      <c r="A3431" s="17"/>
      <c r="B3431" s="36"/>
      <c r="C3431" s="37"/>
      <c r="D3431" s="15"/>
      <c r="E3431" s="38"/>
      <c r="F3431" s="38"/>
      <c r="G3431" s="38"/>
    </row>
    <row r="3432" spans="1:7" s="8" customFormat="1" ht="32.1" customHeight="1" x14ac:dyDescent="0.15">
      <c r="A3432" s="17"/>
      <c r="B3432" s="36"/>
      <c r="C3432" s="37"/>
      <c r="D3432" s="15"/>
      <c r="E3432" s="38"/>
      <c r="F3432" s="38"/>
      <c r="G3432" s="38"/>
    </row>
    <row r="3433" spans="1:7" s="8" customFormat="1" ht="32.1" customHeight="1" x14ac:dyDescent="0.15">
      <c r="A3433" s="17"/>
      <c r="B3433" s="36"/>
      <c r="C3433" s="37"/>
      <c r="D3433" s="15"/>
      <c r="E3433" s="38"/>
      <c r="F3433" s="38"/>
      <c r="G3433" s="38"/>
    </row>
    <row r="3434" spans="1:7" s="8" customFormat="1" ht="32.1" customHeight="1" x14ac:dyDescent="0.15">
      <c r="A3434" s="17"/>
      <c r="B3434" s="36"/>
      <c r="C3434" s="37"/>
      <c r="D3434" s="15"/>
      <c r="E3434" s="38"/>
      <c r="F3434" s="38"/>
      <c r="G3434" s="38"/>
    </row>
    <row r="3435" spans="1:7" s="8" customFormat="1" ht="32.1" customHeight="1" x14ac:dyDescent="0.15">
      <c r="A3435" s="17"/>
      <c r="B3435" s="36"/>
      <c r="C3435" s="37"/>
      <c r="D3435" s="15"/>
      <c r="E3435" s="38"/>
      <c r="F3435" s="38"/>
      <c r="G3435" s="38"/>
    </row>
    <row r="3436" spans="1:7" s="8" customFormat="1" ht="32.1" customHeight="1" x14ac:dyDescent="0.15">
      <c r="A3436" s="17"/>
      <c r="B3436" s="36"/>
      <c r="C3436" s="37"/>
      <c r="D3436" s="15"/>
      <c r="E3436" s="38"/>
      <c r="F3436" s="38"/>
      <c r="G3436" s="38"/>
    </row>
    <row r="3437" spans="1:7" s="8" customFormat="1" ht="32.1" customHeight="1" x14ac:dyDescent="0.15">
      <c r="A3437" s="17"/>
      <c r="B3437" s="36"/>
      <c r="C3437" s="37"/>
      <c r="D3437" s="15"/>
      <c r="E3437" s="38"/>
      <c r="F3437" s="38"/>
      <c r="G3437" s="38"/>
    </row>
    <row r="3438" spans="1:7" ht="32.1" customHeight="1" x14ac:dyDescent="0.15">
      <c r="A3438" s="17"/>
      <c r="B3438" s="36"/>
      <c r="C3438" s="37"/>
      <c r="E3438" s="38"/>
      <c r="F3438" s="38"/>
      <c r="G3438" s="38"/>
    </row>
    <row r="3439" spans="1:7" ht="32.1" customHeight="1" x14ac:dyDescent="0.15">
      <c r="A3439" s="17"/>
      <c r="B3439" s="36"/>
      <c r="C3439" s="37"/>
      <c r="F3439" s="38"/>
      <c r="G3439" s="38"/>
    </row>
    <row r="3440" spans="1:7" ht="32.1" customHeight="1" x14ac:dyDescent="0.15">
      <c r="A3440" s="17"/>
      <c r="B3440" s="36"/>
      <c r="C3440" s="37"/>
      <c r="F3440" s="38"/>
      <c r="G3440" s="38"/>
    </row>
    <row r="3441" spans="1:7" ht="32.1" customHeight="1" x14ac:dyDescent="0.15">
      <c r="A3441" s="17"/>
      <c r="B3441" s="36"/>
      <c r="C3441" s="37"/>
      <c r="F3441" s="38"/>
      <c r="G3441" s="38"/>
    </row>
    <row r="3442" spans="1:7" ht="21.95" customHeight="1" x14ac:dyDescent="0.15">
      <c r="A3442" s="17"/>
      <c r="B3442" s="36"/>
      <c r="C3442" s="37"/>
      <c r="F3442" s="38"/>
      <c r="G3442" s="38"/>
    </row>
    <row r="3443" spans="1:7" ht="54" customHeight="1" x14ac:dyDescent="0.15">
      <c r="A3443" s="17"/>
      <c r="B3443" s="36"/>
      <c r="C3443" s="37"/>
      <c r="F3443" s="38"/>
      <c r="G3443" s="38"/>
    </row>
    <row r="3444" spans="1:7" ht="21.95" customHeight="1" x14ac:dyDescent="0.15">
      <c r="A3444" s="17"/>
      <c r="B3444" s="36"/>
      <c r="C3444" s="37"/>
      <c r="F3444" s="38"/>
      <c r="G3444" s="38"/>
    </row>
    <row r="3445" spans="1:7" ht="21.95" customHeight="1" x14ac:dyDescent="0.15">
      <c r="A3445" s="17"/>
      <c r="B3445" s="36"/>
      <c r="C3445" s="37"/>
      <c r="F3445" s="38"/>
      <c r="G3445" s="38"/>
    </row>
    <row r="3446" spans="1:7" ht="21.95" customHeight="1" x14ac:dyDescent="0.15">
      <c r="A3446" s="17"/>
      <c r="B3446" s="36"/>
      <c r="C3446" s="37"/>
      <c r="F3446" s="38"/>
      <c r="G3446" s="38"/>
    </row>
    <row r="3447" spans="1:7" ht="21.95" customHeight="1" x14ac:dyDescent="0.15">
      <c r="A3447" s="17"/>
      <c r="B3447" s="36"/>
      <c r="C3447" s="37"/>
      <c r="F3447" s="38"/>
      <c r="G3447" s="38"/>
    </row>
    <row r="3448" spans="1:7" ht="21.95" customHeight="1" x14ac:dyDescent="0.15">
      <c r="A3448" s="17"/>
      <c r="B3448" s="36"/>
      <c r="C3448" s="37"/>
      <c r="F3448" s="38"/>
      <c r="G3448" s="38"/>
    </row>
    <row r="3449" spans="1:7" ht="21.95" customHeight="1" x14ac:dyDescent="0.15">
      <c r="A3449" s="17"/>
      <c r="B3449" s="36"/>
      <c r="C3449" s="37"/>
      <c r="F3449" s="38"/>
      <c r="G3449" s="38"/>
    </row>
    <row r="3450" spans="1:7" ht="21.95" customHeight="1" x14ac:dyDescent="0.15">
      <c r="A3450" s="17"/>
      <c r="B3450" s="36"/>
      <c r="C3450" s="37"/>
      <c r="G3450" s="38"/>
    </row>
    <row r="3451" spans="1:7" ht="21.95" customHeight="1" x14ac:dyDescent="0.15">
      <c r="A3451" s="17"/>
      <c r="B3451" s="36"/>
      <c r="C3451" s="37"/>
      <c r="G3451" s="38"/>
    </row>
    <row r="3452" spans="1:7" ht="21.95" customHeight="1" x14ac:dyDescent="0.15">
      <c r="A3452" s="17"/>
      <c r="B3452" s="36"/>
      <c r="C3452" s="37"/>
      <c r="G3452" s="38"/>
    </row>
    <row r="3453" spans="1:7" ht="21.95" customHeight="1" x14ac:dyDescent="0.15">
      <c r="A3453" s="17"/>
      <c r="B3453" s="36"/>
      <c r="C3453" s="37"/>
      <c r="G3453" s="38"/>
    </row>
    <row r="3454" spans="1:7" ht="21.95" customHeight="1" x14ac:dyDescent="0.15">
      <c r="A3454" s="17"/>
      <c r="B3454" s="36"/>
      <c r="C3454" s="37"/>
      <c r="G3454" s="38"/>
    </row>
    <row r="3455" spans="1:7" ht="21.95" customHeight="1" x14ac:dyDescent="0.15">
      <c r="A3455" s="17"/>
      <c r="B3455" s="36"/>
      <c r="C3455" s="37"/>
      <c r="G3455" s="38"/>
    </row>
    <row r="3456" spans="1:7" ht="21.95" customHeight="1" x14ac:dyDescent="0.15">
      <c r="A3456" s="17"/>
      <c r="B3456" s="36"/>
      <c r="C3456" s="37"/>
      <c r="G3456" s="38"/>
    </row>
    <row r="3457" s="9" customFormat="1" ht="21.95" customHeight="1" x14ac:dyDescent="0.15"/>
    <row r="3458" s="9" customFormat="1" ht="21.95" customHeight="1" x14ac:dyDescent="0.15"/>
    <row r="3459" s="9" customFormat="1" ht="21.95" customHeight="1" x14ac:dyDescent="0.15"/>
    <row r="3460" s="9" customFormat="1" ht="21.95" customHeight="1" x14ac:dyDescent="0.15"/>
    <row r="3461" s="9" customFormat="1" ht="21.95" customHeight="1" x14ac:dyDescent="0.15"/>
    <row r="3462" s="9" customFormat="1" ht="21.95" customHeight="1" x14ac:dyDescent="0.15"/>
    <row r="3463" s="9" customFormat="1" ht="21.95" customHeight="1" x14ac:dyDescent="0.15"/>
    <row r="3464" s="9" customFormat="1" ht="21.95" customHeight="1" x14ac:dyDescent="0.15"/>
    <row r="3465" s="9" customFormat="1" ht="21.95" customHeight="1" x14ac:dyDescent="0.15"/>
    <row r="3466" s="9" customFormat="1" ht="21.95" customHeight="1" x14ac:dyDescent="0.15"/>
    <row r="3467" s="9" customFormat="1" ht="21.95" customHeight="1" x14ac:dyDescent="0.15"/>
    <row r="3468" s="9" customFormat="1" ht="21.95" customHeight="1" x14ac:dyDescent="0.15"/>
    <row r="3469" s="9" customFormat="1" ht="21.95" customHeight="1" x14ac:dyDescent="0.15"/>
    <row r="3470" s="9" customFormat="1" ht="21.95" customHeight="1" x14ac:dyDescent="0.15"/>
    <row r="3471" s="9" customFormat="1" ht="21.95" customHeight="1" x14ac:dyDescent="0.15"/>
    <row r="3472" s="9" customFormat="1" ht="21.95" customHeight="1" x14ac:dyDescent="0.15"/>
    <row r="3473" s="9" customFormat="1" ht="21.95" customHeight="1" x14ac:dyDescent="0.15"/>
    <row r="3474" s="9" customFormat="1" ht="21.95" customHeight="1" x14ac:dyDescent="0.15"/>
    <row r="3475" s="9" customFormat="1" ht="21.95" customHeight="1" x14ac:dyDescent="0.15"/>
    <row r="3476" s="9" customFormat="1" ht="21.95" customHeight="1" x14ac:dyDescent="0.15"/>
    <row r="3477" s="9" customFormat="1" ht="21.95" customHeight="1" x14ac:dyDescent="0.15"/>
    <row r="3478" s="9" customFormat="1" ht="21.95" customHeight="1" x14ac:dyDescent="0.15"/>
    <row r="3479" s="9" customFormat="1" ht="21.95" customHeight="1" x14ac:dyDescent="0.15"/>
    <row r="3480" s="9" customFormat="1" ht="21.95" customHeight="1" x14ac:dyDescent="0.15"/>
    <row r="3481" s="9" customFormat="1" ht="21.95" customHeight="1" x14ac:dyDescent="0.15"/>
    <row r="3482" s="9" customFormat="1" ht="21.95" customHeight="1" x14ac:dyDescent="0.15"/>
    <row r="3483" s="9" customFormat="1" ht="21.95" customHeight="1" x14ac:dyDescent="0.15"/>
    <row r="3484" s="9" customFormat="1" ht="21.95" customHeight="1" x14ac:dyDescent="0.15"/>
    <row r="3485" s="9" customFormat="1" ht="21.95" customHeight="1" x14ac:dyDescent="0.15"/>
    <row r="3486" s="9" customFormat="1" ht="21.95" customHeight="1" x14ac:dyDescent="0.15"/>
    <row r="3487" s="9" customFormat="1" ht="21.95" customHeight="1" x14ac:dyDescent="0.15"/>
    <row r="3488" s="9" customFormat="1" ht="21.95" customHeight="1" x14ac:dyDescent="0.15"/>
    <row r="3489" s="9" customFormat="1" ht="21.95" customHeight="1" x14ac:dyDescent="0.15"/>
    <row r="3490" s="9" customFormat="1" ht="21.95" customHeight="1" x14ac:dyDescent="0.15"/>
    <row r="3491" s="9" customFormat="1" ht="21.95" customHeight="1" x14ac:dyDescent="0.15"/>
    <row r="3492" s="9" customFormat="1" ht="21.95" customHeight="1" x14ac:dyDescent="0.15"/>
    <row r="3493" s="9" customFormat="1" ht="21.95" customHeight="1" x14ac:dyDescent="0.15"/>
    <row r="3494" s="9" customFormat="1" ht="35.1" customHeight="1" x14ac:dyDescent="0.15"/>
    <row r="3495" s="9" customFormat="1" ht="21.95" customHeight="1" x14ac:dyDescent="0.15"/>
    <row r="3496" s="9" customFormat="1" ht="21.95" customHeight="1" x14ac:dyDescent="0.15"/>
    <row r="3497" s="9" customFormat="1" ht="21.95" customHeight="1" x14ac:dyDescent="0.15"/>
    <row r="3498" s="9" customFormat="1" ht="21.95" customHeight="1" x14ac:dyDescent="0.15"/>
    <row r="3499" s="9" customFormat="1" ht="21.95" customHeight="1" x14ac:dyDescent="0.15"/>
    <row r="3500" s="9" customFormat="1" ht="21.95" customHeight="1" x14ac:dyDescent="0.15"/>
    <row r="3501" s="9" customFormat="1" ht="21.95" customHeight="1" x14ac:dyDescent="0.15"/>
    <row r="3502" s="9" customFormat="1" ht="21.95" customHeight="1" x14ac:dyDescent="0.15"/>
    <row r="3503" s="9" customFormat="1" ht="21.95" customHeight="1" x14ac:dyDescent="0.15"/>
    <row r="3504" s="9" customFormat="1" ht="21.95" customHeight="1" x14ac:dyDescent="0.15"/>
    <row r="3505" spans="3:3" s="9" customFormat="1" ht="21.95" customHeight="1" x14ac:dyDescent="0.15"/>
    <row r="3506" spans="3:3" s="9" customFormat="1" ht="21.95" customHeight="1" x14ac:dyDescent="0.15"/>
    <row r="3507" spans="3:3" s="9" customFormat="1" ht="21.95" customHeight="1" x14ac:dyDescent="0.15"/>
    <row r="3508" spans="3:3" s="9" customFormat="1" ht="21.95" customHeight="1" x14ac:dyDescent="0.15"/>
    <row r="3509" spans="3:3" s="9" customFormat="1" ht="21.95" customHeight="1" x14ac:dyDescent="0.15"/>
    <row r="3510" spans="3:3" s="9" customFormat="1" ht="21.95" customHeight="1" x14ac:dyDescent="0.15"/>
    <row r="3511" spans="3:3" s="9" customFormat="1" ht="21.95" customHeight="1" x14ac:dyDescent="0.15"/>
    <row r="3512" spans="3:3" s="9" customFormat="1" ht="21.95" customHeight="1" x14ac:dyDescent="0.15"/>
    <row r="3513" spans="3:3" s="9" customFormat="1" ht="21.95" customHeight="1" x14ac:dyDescent="0.15"/>
    <row r="3514" spans="3:3" s="9" customFormat="1" ht="21.95" customHeight="1" x14ac:dyDescent="0.15"/>
    <row r="3515" spans="3:3" s="9" customFormat="1" ht="21.95" customHeight="1" x14ac:dyDescent="0.15"/>
    <row r="3516" spans="3:3" s="9" customFormat="1" ht="21.95" customHeight="1" x14ac:dyDescent="0.15"/>
    <row r="3517" spans="3:3" s="9" customFormat="1" ht="21.95" customHeight="1" x14ac:dyDescent="0.15"/>
    <row r="3518" spans="3:3" s="8" customFormat="1" ht="21.95" customHeight="1" x14ac:dyDescent="0.15"/>
    <row r="3519" spans="3:3" s="8" customFormat="1" ht="21.95" customHeight="1" x14ac:dyDescent="0.15"/>
    <row r="3520" spans="3:3" s="8" customFormat="1" ht="21.95" customHeight="1" x14ac:dyDescent="0.15">
      <c r="C3520" s="101"/>
    </row>
    <row r="3521" spans="3:3" s="8" customFormat="1" ht="21.95" customHeight="1" x14ac:dyDescent="0.15">
      <c r="C3521" s="101"/>
    </row>
    <row r="3522" spans="3:3" s="8" customFormat="1" ht="21.95" customHeight="1" x14ac:dyDescent="0.15"/>
    <row r="3523" spans="3:3" s="8" customFormat="1" ht="21.95" customHeight="1" x14ac:dyDescent="0.15"/>
    <row r="3524" spans="3:3" s="8" customFormat="1" ht="21.95" customHeight="1" x14ac:dyDescent="0.15"/>
    <row r="3525" spans="3:3" s="8" customFormat="1" ht="21.95" customHeight="1" x14ac:dyDescent="0.15"/>
    <row r="3526" spans="3:3" s="8" customFormat="1" ht="21.95" customHeight="1" x14ac:dyDescent="0.15"/>
    <row r="3527" spans="3:3" s="8" customFormat="1" ht="21.95" customHeight="1" x14ac:dyDescent="0.15"/>
    <row r="3528" spans="3:3" s="8" customFormat="1" ht="21.95" customHeight="1" x14ac:dyDescent="0.15"/>
    <row r="3529" spans="3:3" s="9" customFormat="1" ht="21.95" customHeight="1" x14ac:dyDescent="0.15"/>
    <row r="3530" spans="3:3" s="9" customFormat="1" ht="21.95" customHeight="1" x14ac:dyDescent="0.15"/>
    <row r="3531" spans="3:3" s="9" customFormat="1" ht="21.95" customHeight="1" x14ac:dyDescent="0.15"/>
    <row r="3532" spans="3:3" s="9" customFormat="1" ht="21.95" customHeight="1" x14ac:dyDescent="0.15"/>
    <row r="3533" spans="3:3" s="8" customFormat="1" ht="21.95" customHeight="1" x14ac:dyDescent="0.15"/>
    <row r="3534" spans="3:3" s="8" customFormat="1" ht="21.95" customHeight="1" x14ac:dyDescent="0.15"/>
    <row r="3535" spans="3:3" s="8" customFormat="1" ht="21.95" customHeight="1" x14ac:dyDescent="0.15"/>
    <row r="3536" spans="3:3" s="8" customFormat="1" ht="21.95" customHeight="1" x14ac:dyDescent="0.15"/>
    <row r="3537" s="8" customFormat="1" ht="21.95" customHeight="1" x14ac:dyDescent="0.15"/>
    <row r="3538" s="8" customFormat="1" ht="21.95" customHeight="1" x14ac:dyDescent="0.15"/>
    <row r="3539" s="8" customFormat="1" ht="21.95" customHeight="1" x14ac:dyDescent="0.15"/>
    <row r="3540" s="8" customFormat="1" ht="21.95" customHeight="1" x14ac:dyDescent="0.15"/>
    <row r="3541" s="8" customFormat="1" ht="21.95" customHeight="1" x14ac:dyDescent="0.15"/>
    <row r="3542" s="8" customFormat="1" ht="21.95" customHeight="1" x14ac:dyDescent="0.15"/>
    <row r="3543" s="8" customFormat="1" ht="21.95" customHeight="1" x14ac:dyDescent="0.15"/>
    <row r="3544" s="8" customFormat="1" ht="32.1" customHeight="1" x14ac:dyDescent="0.15"/>
    <row r="3545" s="8" customFormat="1" ht="32.1" customHeight="1" x14ac:dyDescent="0.15"/>
    <row r="3546" s="8" customFormat="1" ht="32.1" customHeight="1" x14ac:dyDescent="0.15"/>
    <row r="3547" s="8" customFormat="1" ht="32.1" customHeight="1" x14ac:dyDescent="0.15"/>
    <row r="3548" s="8" customFormat="1" ht="32.1" customHeight="1" x14ac:dyDescent="0.15"/>
    <row r="3549" s="8" customFormat="1" ht="32.1" customHeight="1" x14ac:dyDescent="0.15"/>
    <row r="3550" s="9" customFormat="1" ht="32.1" customHeight="1" x14ac:dyDescent="0.15"/>
    <row r="3551" s="9" customFormat="1" ht="32.1" customHeight="1" x14ac:dyDescent="0.15"/>
    <row r="3552" s="9" customFormat="1" ht="32.1" customHeight="1" x14ac:dyDescent="0.15"/>
    <row r="3553" s="9" customFormat="1" ht="32.1" customHeight="1" x14ac:dyDescent="0.15"/>
    <row r="3554" s="9" customFormat="1" ht="21.95" customHeight="1" x14ac:dyDescent="0.15"/>
    <row r="3555" s="9" customFormat="1" ht="54" customHeight="1" x14ac:dyDescent="0.15"/>
    <row r="3556" s="9" customFormat="1" ht="21.95" customHeight="1" x14ac:dyDescent="0.15"/>
    <row r="3557" s="9" customFormat="1" ht="21.95" customHeight="1" x14ac:dyDescent="0.15"/>
    <row r="3558" s="9" customFormat="1" ht="21.95" customHeight="1" x14ac:dyDescent="0.15"/>
    <row r="3559" s="9" customFormat="1" ht="21.95" customHeight="1" x14ac:dyDescent="0.15"/>
    <row r="3560" s="9" customFormat="1" ht="21.95" customHeight="1" x14ac:dyDescent="0.15"/>
    <row r="3561" s="9" customFormat="1" ht="21.95" customHeight="1" x14ac:dyDescent="0.15"/>
    <row r="3562" s="9" customFormat="1" ht="21.95" customHeight="1" x14ac:dyDescent="0.15"/>
    <row r="3563" s="9" customFormat="1" ht="21.95" customHeight="1" x14ac:dyDescent="0.15"/>
    <row r="3564" s="9" customFormat="1" ht="21.95" customHeight="1" x14ac:dyDescent="0.15"/>
    <row r="3565" s="9" customFormat="1" ht="21.95" customHeight="1" x14ac:dyDescent="0.15"/>
    <row r="3566" s="9" customFormat="1" ht="21.95" customHeight="1" x14ac:dyDescent="0.15"/>
    <row r="3567" s="9" customFormat="1" ht="21.95" customHeight="1" x14ac:dyDescent="0.15"/>
    <row r="3568" s="9" customFormat="1" ht="21.95" customHeight="1" x14ac:dyDescent="0.15"/>
    <row r="3569" s="9" customFormat="1" ht="21.95" customHeight="1" x14ac:dyDescent="0.15"/>
    <row r="3570" s="9" customFormat="1" ht="21.95" customHeight="1" x14ac:dyDescent="0.15"/>
    <row r="3571" s="9" customFormat="1" ht="21.95" customHeight="1" x14ac:dyDescent="0.15"/>
    <row r="3572" s="9" customFormat="1" ht="21.95" customHeight="1" x14ac:dyDescent="0.15"/>
    <row r="3573" s="9" customFormat="1" ht="21.95" customHeight="1" x14ac:dyDescent="0.15"/>
    <row r="3574" s="9" customFormat="1" ht="21.95" customHeight="1" x14ac:dyDescent="0.15"/>
    <row r="3575" s="9" customFormat="1" ht="21.95" customHeight="1" x14ac:dyDescent="0.15"/>
    <row r="3576" s="9" customFormat="1" ht="21.95" customHeight="1" x14ac:dyDescent="0.15"/>
    <row r="3577" s="9" customFormat="1" ht="21.95" customHeight="1" x14ac:dyDescent="0.15"/>
    <row r="3578" s="9" customFormat="1" ht="21.95" customHeight="1" x14ac:dyDescent="0.15"/>
    <row r="3579" s="9" customFormat="1" ht="21.95" customHeight="1" x14ac:dyDescent="0.15"/>
    <row r="3580" s="9" customFormat="1" ht="21.95" customHeight="1" x14ac:dyDescent="0.15"/>
    <row r="3581" s="9" customFormat="1" ht="21.95" customHeight="1" x14ac:dyDescent="0.15"/>
    <row r="3582" s="9" customFormat="1" ht="21.95" customHeight="1" x14ac:dyDescent="0.15"/>
    <row r="3583" s="9" customFormat="1" ht="21.95" customHeight="1" x14ac:dyDescent="0.15"/>
    <row r="3584" s="9" customFormat="1" ht="21.95" customHeight="1" x14ac:dyDescent="0.15"/>
    <row r="3585" s="9" customFormat="1" ht="21.95" customHeight="1" x14ac:dyDescent="0.15"/>
    <row r="3586" s="9" customFormat="1" ht="21.95" customHeight="1" x14ac:dyDescent="0.15"/>
    <row r="3587" s="9" customFormat="1" ht="21.95" customHeight="1" x14ac:dyDescent="0.15"/>
    <row r="3588" s="9" customFormat="1" ht="21.95" customHeight="1" x14ac:dyDescent="0.15"/>
    <row r="3589" s="9" customFormat="1" ht="21.95" customHeight="1" x14ac:dyDescent="0.15"/>
    <row r="3590" s="9" customFormat="1" ht="21.95" customHeight="1" x14ac:dyDescent="0.15"/>
    <row r="3591" s="9" customFormat="1" ht="21.95" customHeight="1" x14ac:dyDescent="0.15"/>
    <row r="3592" s="9" customFormat="1" ht="21.95" customHeight="1" x14ac:dyDescent="0.15"/>
    <row r="3593" s="9" customFormat="1" ht="21.95" customHeight="1" x14ac:dyDescent="0.15"/>
    <row r="3594" s="9" customFormat="1" ht="21.95" customHeight="1" x14ac:dyDescent="0.15"/>
    <row r="3595" s="9" customFormat="1" ht="21.95" customHeight="1" x14ac:dyDescent="0.15"/>
    <row r="3596" s="9" customFormat="1" ht="21.95" customHeight="1" x14ac:dyDescent="0.15"/>
    <row r="3597" s="9" customFormat="1" ht="21.95" customHeight="1" x14ac:dyDescent="0.15"/>
    <row r="3598" s="9" customFormat="1" ht="21.95" customHeight="1" x14ac:dyDescent="0.15"/>
    <row r="3599" s="9" customFormat="1" ht="21.95" customHeight="1" x14ac:dyDescent="0.15"/>
    <row r="3600" s="9" customFormat="1" ht="21.95" customHeight="1" x14ac:dyDescent="0.15"/>
    <row r="3601" s="9" customFormat="1" ht="21.95" customHeight="1" x14ac:dyDescent="0.15"/>
    <row r="3602" s="9" customFormat="1" ht="21.95" customHeight="1" x14ac:dyDescent="0.15"/>
    <row r="3603" s="9" customFormat="1" ht="21.95" customHeight="1" x14ac:dyDescent="0.15"/>
    <row r="3604" s="9" customFormat="1" ht="21.95" customHeight="1" x14ac:dyDescent="0.15"/>
    <row r="3605" s="9" customFormat="1" ht="21.95" customHeight="1" x14ac:dyDescent="0.15"/>
    <row r="3606" s="9" customFormat="1" ht="35.1" customHeight="1" x14ac:dyDescent="0.15"/>
    <row r="3607" s="9" customFormat="1" ht="21.95" customHeight="1" x14ac:dyDescent="0.15"/>
    <row r="3608" s="9" customFormat="1" ht="21.95" customHeight="1" x14ac:dyDescent="0.15"/>
    <row r="3609" s="9" customFormat="1" ht="21.95" customHeight="1" x14ac:dyDescent="0.15"/>
    <row r="3610" s="9" customFormat="1" ht="21.95" customHeight="1" x14ac:dyDescent="0.15"/>
    <row r="3611" s="9" customFormat="1" ht="21.95" customHeight="1" x14ac:dyDescent="0.15"/>
    <row r="3612" s="9" customFormat="1" ht="21.95" customHeight="1" x14ac:dyDescent="0.15"/>
    <row r="3613" s="9" customFormat="1" ht="21.95" customHeight="1" x14ac:dyDescent="0.15"/>
    <row r="3614" s="9" customFormat="1" ht="21.95" customHeight="1" x14ac:dyDescent="0.15"/>
    <row r="3615" s="9" customFormat="1" ht="21.95" customHeight="1" x14ac:dyDescent="0.15"/>
    <row r="3616" s="9" customFormat="1" ht="21.95" customHeight="1" x14ac:dyDescent="0.15"/>
    <row r="3617" spans="3:3" s="9" customFormat="1" ht="21.95" customHeight="1" x14ac:dyDescent="0.15"/>
    <row r="3618" spans="3:3" s="9" customFormat="1" ht="21.95" customHeight="1" x14ac:dyDescent="0.15"/>
    <row r="3619" spans="3:3" s="9" customFormat="1" ht="21.95" customHeight="1" x14ac:dyDescent="0.15"/>
    <row r="3620" spans="3:3" s="9" customFormat="1" ht="21.95" customHeight="1" x14ac:dyDescent="0.15"/>
    <row r="3621" spans="3:3" s="9" customFormat="1" ht="21.95" customHeight="1" x14ac:dyDescent="0.15"/>
    <row r="3622" spans="3:3" s="9" customFormat="1" ht="21.95" customHeight="1" x14ac:dyDescent="0.15"/>
    <row r="3623" spans="3:3" s="9" customFormat="1" ht="21.95" customHeight="1" x14ac:dyDescent="0.15"/>
    <row r="3624" spans="3:3" s="9" customFormat="1" ht="21.95" customHeight="1" x14ac:dyDescent="0.15"/>
    <row r="3625" spans="3:3" s="9" customFormat="1" ht="21.95" customHeight="1" x14ac:dyDescent="0.15"/>
    <row r="3626" spans="3:3" s="9" customFormat="1" ht="21.95" customHeight="1" x14ac:dyDescent="0.15"/>
    <row r="3627" spans="3:3" s="9" customFormat="1" ht="21.95" customHeight="1" x14ac:dyDescent="0.15"/>
    <row r="3628" spans="3:3" s="9" customFormat="1" ht="21.95" customHeight="1" x14ac:dyDescent="0.15"/>
    <row r="3629" spans="3:3" s="9" customFormat="1" ht="21.95" customHeight="1" x14ac:dyDescent="0.15"/>
    <row r="3630" spans="3:3" s="8" customFormat="1" ht="21.95" customHeight="1" x14ac:dyDescent="0.15"/>
    <row r="3631" spans="3:3" s="8" customFormat="1" ht="21.95" customHeight="1" x14ac:dyDescent="0.15"/>
    <row r="3632" spans="3:3" s="8" customFormat="1" ht="21.95" customHeight="1" x14ac:dyDescent="0.15">
      <c r="C3632" s="101"/>
    </row>
    <row r="3633" spans="3:3" s="8" customFormat="1" ht="21.95" customHeight="1" x14ac:dyDescent="0.15">
      <c r="C3633" s="101"/>
    </row>
    <row r="3634" spans="3:3" s="8" customFormat="1" ht="21.95" customHeight="1" x14ac:dyDescent="0.15"/>
    <row r="3635" spans="3:3" s="8" customFormat="1" ht="21.95" customHeight="1" x14ac:dyDescent="0.15"/>
    <row r="3636" spans="3:3" s="8" customFormat="1" ht="21.95" customHeight="1" x14ac:dyDescent="0.15"/>
    <row r="3637" spans="3:3" s="8" customFormat="1" ht="21.95" customHeight="1" x14ac:dyDescent="0.15"/>
    <row r="3638" spans="3:3" s="8" customFormat="1" ht="21.95" customHeight="1" x14ac:dyDescent="0.15"/>
    <row r="3639" spans="3:3" s="8" customFormat="1" ht="21.95" customHeight="1" x14ac:dyDescent="0.15"/>
    <row r="3640" spans="3:3" s="8" customFormat="1" ht="21.95" customHeight="1" x14ac:dyDescent="0.15"/>
    <row r="3641" spans="3:3" s="9" customFormat="1" ht="21.95" customHeight="1" x14ac:dyDescent="0.15"/>
    <row r="3642" spans="3:3" s="9" customFormat="1" ht="21.95" customHeight="1" x14ac:dyDescent="0.15"/>
    <row r="3643" spans="3:3" s="9" customFormat="1" ht="21.95" customHeight="1" x14ac:dyDescent="0.15"/>
    <row r="3644" spans="3:3" s="9" customFormat="1" ht="21.95" customHeight="1" x14ac:dyDescent="0.15"/>
    <row r="3645" spans="3:3" s="8" customFormat="1" ht="21.95" customHeight="1" x14ac:dyDescent="0.15"/>
    <row r="3646" spans="3:3" s="8" customFormat="1" ht="21.95" customHeight="1" x14ac:dyDescent="0.15"/>
    <row r="3647" spans="3:3" s="8" customFormat="1" ht="21.95" customHeight="1" x14ac:dyDescent="0.15"/>
    <row r="3648" spans="3:3" s="8" customFormat="1" ht="21.95" customHeight="1" x14ac:dyDescent="0.15"/>
    <row r="3649" s="8" customFormat="1" ht="21.95" customHeight="1" x14ac:dyDescent="0.15"/>
    <row r="3650" s="8" customFormat="1" ht="21.95" customHeight="1" x14ac:dyDescent="0.15"/>
    <row r="3651" s="8" customFormat="1" ht="21.95" customHeight="1" x14ac:dyDescent="0.15"/>
    <row r="3652" s="8" customFormat="1" ht="21.95" customHeight="1" x14ac:dyDescent="0.15"/>
    <row r="3653" s="8" customFormat="1" ht="21.95" customHeight="1" x14ac:dyDescent="0.15"/>
    <row r="3654" s="8" customFormat="1" ht="21.95" customHeight="1" x14ac:dyDescent="0.15"/>
    <row r="3655" s="8" customFormat="1" ht="21.95" customHeight="1" x14ac:dyDescent="0.15"/>
    <row r="3656" s="8" customFormat="1" ht="32.1" customHeight="1" x14ac:dyDescent="0.15"/>
    <row r="3657" s="8" customFormat="1" ht="32.1" customHeight="1" x14ac:dyDescent="0.15"/>
    <row r="3658" s="8" customFormat="1" ht="32.1" customHeight="1" x14ac:dyDescent="0.15"/>
    <row r="3659" s="8" customFormat="1" ht="32.1" customHeight="1" x14ac:dyDescent="0.15"/>
    <row r="3660" s="8" customFormat="1" ht="32.1" customHeight="1" x14ac:dyDescent="0.15"/>
    <row r="3661" s="8" customFormat="1" ht="32.1" customHeight="1" x14ac:dyDescent="0.15"/>
    <row r="3662" s="9" customFormat="1" ht="32.1" customHeight="1" x14ac:dyDescent="0.15"/>
    <row r="3663" s="9" customFormat="1" ht="32.1" customHeight="1" x14ac:dyDescent="0.15"/>
    <row r="3664" s="9" customFormat="1" ht="32.1" customHeight="1" x14ac:dyDescent="0.15"/>
    <row r="3665" s="9" customFormat="1" ht="32.1" customHeight="1" x14ac:dyDescent="0.15"/>
    <row r="3666" s="9" customFormat="1" ht="21.95" customHeight="1" x14ac:dyDescent="0.15"/>
    <row r="3667" s="9" customFormat="1" ht="54" customHeight="1" x14ac:dyDescent="0.15"/>
    <row r="3668" s="9" customFormat="1" ht="21.95" customHeight="1" x14ac:dyDescent="0.15"/>
    <row r="3669" s="9" customFormat="1" ht="21.95" customHeight="1" x14ac:dyDescent="0.15"/>
    <row r="3670" s="9" customFormat="1" ht="21.95" customHeight="1" x14ac:dyDescent="0.15"/>
    <row r="3671" s="9" customFormat="1" ht="21.95" customHeight="1" x14ac:dyDescent="0.15"/>
    <row r="3672" s="9" customFormat="1" ht="21.95" customHeight="1" x14ac:dyDescent="0.15"/>
    <row r="3673" s="9" customFormat="1" ht="21.95" customHeight="1" x14ac:dyDescent="0.15"/>
    <row r="3674" s="9" customFormat="1" ht="21.95" customHeight="1" x14ac:dyDescent="0.15"/>
    <row r="3675" s="9" customFormat="1" ht="21.95" customHeight="1" x14ac:dyDescent="0.15"/>
    <row r="3676" s="9" customFormat="1" ht="21.95" customHeight="1" x14ac:dyDescent="0.15"/>
    <row r="3677" s="9" customFormat="1" ht="21.95" customHeight="1" x14ac:dyDescent="0.15"/>
    <row r="3678" s="9" customFormat="1" ht="21.95" customHeight="1" x14ac:dyDescent="0.15"/>
    <row r="3679" s="9" customFormat="1" ht="21.95" customHeight="1" x14ac:dyDescent="0.15"/>
    <row r="3680" s="9" customFormat="1" ht="21.95" customHeight="1" x14ac:dyDescent="0.15"/>
    <row r="3681" s="9" customFormat="1" ht="21.95" customHeight="1" x14ac:dyDescent="0.15"/>
    <row r="3682" s="9" customFormat="1" ht="21.95" customHeight="1" x14ac:dyDescent="0.15"/>
    <row r="3683" s="9" customFormat="1" ht="21.95" customHeight="1" x14ac:dyDescent="0.15"/>
    <row r="3684" s="9" customFormat="1" ht="21.95" customHeight="1" x14ac:dyDescent="0.15"/>
    <row r="3685" s="9" customFormat="1" ht="21.95" customHeight="1" x14ac:dyDescent="0.15"/>
    <row r="3686" s="9" customFormat="1" ht="21.95" customHeight="1" x14ac:dyDescent="0.15"/>
    <row r="3687" s="9" customFormat="1" ht="21.95" customHeight="1" x14ac:dyDescent="0.15"/>
    <row r="3688" s="9" customFormat="1" ht="21.95" customHeight="1" x14ac:dyDescent="0.15"/>
    <row r="3689" s="9" customFormat="1" ht="21.95" customHeight="1" x14ac:dyDescent="0.15"/>
    <row r="3690" s="9" customFormat="1" ht="21.95" customHeight="1" x14ac:dyDescent="0.15"/>
    <row r="3691" s="9" customFormat="1" ht="21.95" customHeight="1" x14ac:dyDescent="0.15"/>
    <row r="3692" s="9" customFormat="1" ht="21.95" customHeight="1" x14ac:dyDescent="0.15"/>
    <row r="3693" s="9" customFormat="1" ht="21.95" customHeight="1" x14ac:dyDescent="0.15"/>
    <row r="3694" s="9" customFormat="1" ht="21.95" customHeight="1" x14ac:dyDescent="0.15"/>
    <row r="3695" s="9" customFormat="1" ht="21.95" customHeight="1" x14ac:dyDescent="0.15"/>
    <row r="3696" s="9" customFormat="1" ht="21.95" customHeight="1" x14ac:dyDescent="0.15"/>
    <row r="3697" s="9" customFormat="1" ht="21.95" customHeight="1" x14ac:dyDescent="0.15"/>
    <row r="3698" s="9" customFormat="1" ht="21.95" customHeight="1" x14ac:dyDescent="0.15"/>
    <row r="3699" s="9" customFormat="1" ht="21.95" customHeight="1" x14ac:dyDescent="0.15"/>
    <row r="3700" s="9" customFormat="1" ht="21.95" customHeight="1" x14ac:dyDescent="0.15"/>
    <row r="3701" s="9" customFormat="1" ht="21.95" customHeight="1" x14ac:dyDescent="0.15"/>
    <row r="3702" s="9" customFormat="1" ht="21.95" customHeight="1" x14ac:dyDescent="0.15"/>
    <row r="3703" s="9" customFormat="1" ht="21.95" customHeight="1" x14ac:dyDescent="0.15"/>
    <row r="3704" s="9" customFormat="1" ht="21.95" customHeight="1" x14ac:dyDescent="0.15"/>
    <row r="3705" s="9" customFormat="1" ht="21.95" customHeight="1" x14ac:dyDescent="0.15"/>
    <row r="3706" s="9" customFormat="1" ht="21.95" customHeight="1" x14ac:dyDescent="0.15"/>
    <row r="3707" s="9" customFormat="1" ht="21.95" customHeight="1" x14ac:dyDescent="0.15"/>
    <row r="3708" s="9" customFormat="1" ht="21.95" customHeight="1" x14ac:dyDescent="0.15"/>
    <row r="3709" s="9" customFormat="1" ht="21.95" customHeight="1" x14ac:dyDescent="0.15"/>
    <row r="3710" s="9" customFormat="1" ht="21.95" customHeight="1" x14ac:dyDescent="0.15"/>
    <row r="3711" s="9" customFormat="1" ht="21.95" customHeight="1" x14ac:dyDescent="0.15"/>
    <row r="3712" s="9" customFormat="1" ht="21.95" customHeight="1" x14ac:dyDescent="0.15"/>
    <row r="3713" s="9" customFormat="1" ht="21.95" customHeight="1" x14ac:dyDescent="0.15"/>
    <row r="3714" s="9" customFormat="1" ht="21.95" customHeight="1" x14ac:dyDescent="0.15"/>
    <row r="3715" s="9" customFormat="1" ht="21.95" customHeight="1" x14ac:dyDescent="0.15"/>
    <row r="3716" s="9" customFormat="1" ht="21.95" customHeight="1" x14ac:dyDescent="0.15"/>
    <row r="3717" s="9" customFormat="1" ht="21.95" customHeight="1" x14ac:dyDescent="0.15"/>
    <row r="3718" s="9" customFormat="1" ht="35.1" customHeight="1" x14ac:dyDescent="0.15"/>
    <row r="3719" s="9" customFormat="1" ht="21.95" customHeight="1" x14ac:dyDescent="0.15"/>
    <row r="3720" s="9" customFormat="1" ht="21.95" customHeight="1" x14ac:dyDescent="0.15"/>
    <row r="3721" s="9" customFormat="1" ht="21.95" customHeight="1" x14ac:dyDescent="0.15"/>
    <row r="3722" s="9" customFormat="1" ht="21.95" customHeight="1" x14ac:dyDescent="0.15"/>
    <row r="3723" s="9" customFormat="1" ht="21.95" customHeight="1" x14ac:dyDescent="0.15"/>
    <row r="3724" s="9" customFormat="1" ht="21.95" customHeight="1" x14ac:dyDescent="0.15"/>
    <row r="3725" s="9" customFormat="1" ht="21.95" customHeight="1" x14ac:dyDescent="0.15"/>
    <row r="3726" s="9" customFormat="1" ht="21.95" customHeight="1" x14ac:dyDescent="0.15"/>
    <row r="3727" s="9" customFormat="1" ht="21.95" customHeight="1" x14ac:dyDescent="0.15"/>
    <row r="3728" s="9" customFormat="1" ht="21.95" customHeight="1" x14ac:dyDescent="0.15"/>
    <row r="3729" spans="3:3" s="9" customFormat="1" ht="21.95" customHeight="1" x14ac:dyDescent="0.15"/>
    <row r="3730" spans="3:3" s="9" customFormat="1" ht="21.95" customHeight="1" x14ac:dyDescent="0.15"/>
    <row r="3731" spans="3:3" s="9" customFormat="1" ht="21.95" customHeight="1" x14ac:dyDescent="0.15"/>
    <row r="3732" spans="3:3" s="9" customFormat="1" ht="21.95" customHeight="1" x14ac:dyDescent="0.15"/>
    <row r="3733" spans="3:3" s="9" customFormat="1" ht="21.95" customHeight="1" x14ac:dyDescent="0.15"/>
    <row r="3734" spans="3:3" s="9" customFormat="1" ht="21.95" customHeight="1" x14ac:dyDescent="0.15"/>
    <row r="3735" spans="3:3" s="9" customFormat="1" ht="21.95" customHeight="1" x14ac:dyDescent="0.15"/>
    <row r="3736" spans="3:3" s="9" customFormat="1" ht="21.95" customHeight="1" x14ac:dyDescent="0.15"/>
    <row r="3737" spans="3:3" s="9" customFormat="1" ht="21.95" customHeight="1" x14ac:dyDescent="0.15"/>
    <row r="3738" spans="3:3" s="9" customFormat="1" ht="21.95" customHeight="1" x14ac:dyDescent="0.15"/>
    <row r="3739" spans="3:3" s="9" customFormat="1" ht="21.95" customHeight="1" x14ac:dyDescent="0.15"/>
    <row r="3740" spans="3:3" s="9" customFormat="1" ht="21.95" customHeight="1" x14ac:dyDescent="0.15"/>
    <row r="3741" spans="3:3" s="9" customFormat="1" ht="21.95" customHeight="1" x14ac:dyDescent="0.15"/>
    <row r="3742" spans="3:3" s="8" customFormat="1" ht="21.95" customHeight="1" x14ac:dyDescent="0.15"/>
    <row r="3743" spans="3:3" s="8" customFormat="1" ht="21.95" customHeight="1" x14ac:dyDescent="0.15"/>
    <row r="3744" spans="3:3" s="8" customFormat="1" ht="21.95" customHeight="1" x14ac:dyDescent="0.15">
      <c r="C3744" s="101"/>
    </row>
    <row r="3745" spans="3:3" s="8" customFormat="1" ht="21.95" customHeight="1" x14ac:dyDescent="0.15">
      <c r="C3745" s="101"/>
    </row>
    <row r="3746" spans="3:3" s="8" customFormat="1" ht="21.95" customHeight="1" x14ac:dyDescent="0.15"/>
    <row r="3747" spans="3:3" s="8" customFormat="1" ht="21.95" customHeight="1" x14ac:dyDescent="0.15"/>
    <row r="3748" spans="3:3" s="8" customFormat="1" ht="21.95" customHeight="1" x14ac:dyDescent="0.15"/>
    <row r="3749" spans="3:3" s="8" customFormat="1" ht="21.95" customHeight="1" x14ac:dyDescent="0.15"/>
    <row r="3750" spans="3:3" s="8" customFormat="1" ht="21.95" customHeight="1" x14ac:dyDescent="0.15"/>
    <row r="3751" spans="3:3" s="8" customFormat="1" ht="21.95" customHeight="1" x14ac:dyDescent="0.15"/>
    <row r="3752" spans="3:3" s="8" customFormat="1" ht="21.95" customHeight="1" x14ac:dyDescent="0.15"/>
    <row r="3753" spans="3:3" s="9" customFormat="1" ht="21.95" customHeight="1" x14ac:dyDescent="0.15"/>
    <row r="3754" spans="3:3" s="9" customFormat="1" ht="21.95" customHeight="1" x14ac:dyDescent="0.15"/>
    <row r="3755" spans="3:3" s="9" customFormat="1" ht="21.95" customHeight="1" x14ac:dyDescent="0.15"/>
    <row r="3756" spans="3:3" s="9" customFormat="1" ht="21.95" customHeight="1" x14ac:dyDescent="0.15"/>
    <row r="3757" spans="3:3" s="8" customFormat="1" ht="21.95" customHeight="1" x14ac:dyDescent="0.15"/>
    <row r="3758" spans="3:3" s="8" customFormat="1" ht="21.95" customHeight="1" x14ac:dyDescent="0.15"/>
    <row r="3759" spans="3:3" s="8" customFormat="1" ht="21.95" customHeight="1" x14ac:dyDescent="0.15"/>
    <row r="3760" spans="3:3" s="8" customFormat="1" ht="21.95" customHeight="1" x14ac:dyDescent="0.15"/>
    <row r="3761" s="8" customFormat="1" ht="21.95" customHeight="1" x14ac:dyDescent="0.15"/>
    <row r="3762" s="8" customFormat="1" ht="21.95" customHeight="1" x14ac:dyDescent="0.15"/>
    <row r="3763" s="8" customFormat="1" ht="21.95" customHeight="1" x14ac:dyDescent="0.15"/>
    <row r="3764" s="8" customFormat="1" ht="21.95" customHeight="1" x14ac:dyDescent="0.15"/>
    <row r="3765" s="8" customFormat="1" ht="21.95" customHeight="1" x14ac:dyDescent="0.15"/>
    <row r="3766" s="8" customFormat="1" ht="21.95" customHeight="1" x14ac:dyDescent="0.15"/>
    <row r="3767" s="8" customFormat="1" ht="21.95" customHeight="1" x14ac:dyDescent="0.15"/>
    <row r="3768" s="8" customFormat="1" ht="32.1" customHeight="1" x14ac:dyDescent="0.15"/>
    <row r="3769" s="8" customFormat="1" ht="32.1" customHeight="1" x14ac:dyDescent="0.15"/>
    <row r="3770" s="8" customFormat="1" ht="32.1" customHeight="1" x14ac:dyDescent="0.15"/>
    <row r="3771" s="8" customFormat="1" ht="32.1" customHeight="1" x14ac:dyDescent="0.15"/>
    <row r="3772" s="8" customFormat="1" ht="32.1" customHeight="1" x14ac:dyDescent="0.15"/>
    <row r="3773" s="8" customFormat="1" ht="32.1" customHeight="1" x14ac:dyDescent="0.15"/>
    <row r="3774" s="9" customFormat="1" ht="32.1" customHeight="1" x14ac:dyDescent="0.15"/>
    <row r="3775" s="9" customFormat="1" ht="32.1" customHeight="1" x14ac:dyDescent="0.15"/>
    <row r="3776" s="9" customFormat="1" ht="32.1" customHeight="1" x14ac:dyDescent="0.15"/>
    <row r="3777" s="9" customFormat="1" ht="32.1" customHeight="1" x14ac:dyDescent="0.15"/>
    <row r="3778" s="9" customFormat="1" ht="21.95" customHeight="1" x14ac:dyDescent="0.15"/>
    <row r="3779" s="9" customFormat="1" ht="54" customHeight="1" x14ac:dyDescent="0.15"/>
    <row r="3780" s="9" customFormat="1" ht="21.95" customHeight="1" x14ac:dyDescent="0.15"/>
    <row r="3781" s="9" customFormat="1" ht="21.95" customHeight="1" x14ac:dyDescent="0.15"/>
    <row r="3782" s="9" customFormat="1" ht="21.95" customHeight="1" x14ac:dyDescent="0.15"/>
    <row r="3783" s="9" customFormat="1" ht="21.95" customHeight="1" x14ac:dyDescent="0.15"/>
    <row r="3784" s="9" customFormat="1" ht="21.95" customHeight="1" x14ac:dyDescent="0.15"/>
    <row r="3785" s="9" customFormat="1" ht="21.95" customHeight="1" x14ac:dyDescent="0.15"/>
    <row r="3786" s="9" customFormat="1" ht="21.95" customHeight="1" x14ac:dyDescent="0.15"/>
    <row r="3787" s="9" customFormat="1" ht="21.95" customHeight="1" x14ac:dyDescent="0.15"/>
    <row r="3788" s="9" customFormat="1" ht="21.95" customHeight="1" x14ac:dyDescent="0.15"/>
    <row r="3789" s="9" customFormat="1" ht="21.95" customHeight="1" x14ac:dyDescent="0.15"/>
    <row r="3790" s="9" customFormat="1" ht="21.95" customHeight="1" x14ac:dyDescent="0.15"/>
    <row r="3791" s="9" customFormat="1" ht="21.95" customHeight="1" x14ac:dyDescent="0.15"/>
    <row r="3792" s="9" customFormat="1" ht="21.95" customHeight="1" x14ac:dyDescent="0.15"/>
    <row r="3793" s="9" customFormat="1" ht="21.95" customHeight="1" x14ac:dyDescent="0.15"/>
    <row r="3794" s="9" customFormat="1" ht="21.95" customHeight="1" x14ac:dyDescent="0.15"/>
    <row r="3795" s="9" customFormat="1" ht="21.95" customHeight="1" x14ac:dyDescent="0.15"/>
    <row r="3796" s="9" customFormat="1" ht="21.95" customHeight="1" x14ac:dyDescent="0.15"/>
    <row r="3797" s="9" customFormat="1" ht="21.95" customHeight="1" x14ac:dyDescent="0.15"/>
    <row r="3798" s="9" customFormat="1" ht="21.95" customHeight="1" x14ac:dyDescent="0.15"/>
    <row r="3799" s="9" customFormat="1" ht="21.95" customHeight="1" x14ac:dyDescent="0.15"/>
    <row r="3800" s="9" customFormat="1" ht="21.95" customHeight="1" x14ac:dyDescent="0.15"/>
    <row r="3801" s="9" customFormat="1" ht="21.95" customHeight="1" x14ac:dyDescent="0.15"/>
    <row r="3802" s="9" customFormat="1" ht="21.95" customHeight="1" x14ac:dyDescent="0.15"/>
    <row r="3803" s="9" customFormat="1" ht="21.95" customHeight="1" x14ac:dyDescent="0.15"/>
    <row r="3804" s="9" customFormat="1" ht="21.95" customHeight="1" x14ac:dyDescent="0.15"/>
    <row r="3805" s="9" customFormat="1" ht="21.95" customHeight="1" x14ac:dyDescent="0.15"/>
    <row r="3806" s="9" customFormat="1" ht="21.95" customHeight="1" x14ac:dyDescent="0.15"/>
    <row r="3807" s="9" customFormat="1" ht="21.95" customHeight="1" x14ac:dyDescent="0.15"/>
    <row r="3808" s="9" customFormat="1" ht="21.95" customHeight="1" x14ac:dyDescent="0.15"/>
    <row r="3809" s="9" customFormat="1" ht="21.95" customHeight="1" x14ac:dyDescent="0.15"/>
    <row r="3810" s="9" customFormat="1" ht="21.95" customHeight="1" x14ac:dyDescent="0.15"/>
    <row r="3811" s="9" customFormat="1" ht="21.95" customHeight="1" x14ac:dyDescent="0.15"/>
    <row r="3812" s="9" customFormat="1" ht="21.95" customHeight="1" x14ac:dyDescent="0.15"/>
    <row r="3813" s="9" customFormat="1" ht="21.95" customHeight="1" x14ac:dyDescent="0.15"/>
    <row r="3814" s="9" customFormat="1" ht="21.95" customHeight="1" x14ac:dyDescent="0.15"/>
    <row r="3815" s="9" customFormat="1" ht="21.95" customHeight="1" x14ac:dyDescent="0.15"/>
    <row r="3816" s="9" customFormat="1" ht="21.95" customHeight="1" x14ac:dyDescent="0.15"/>
    <row r="3817" s="9" customFormat="1" ht="21.95" customHeight="1" x14ac:dyDescent="0.15"/>
    <row r="3818" s="9" customFormat="1" ht="21.95" customHeight="1" x14ac:dyDescent="0.15"/>
    <row r="3819" s="9" customFormat="1" ht="21.95" customHeight="1" x14ac:dyDescent="0.15"/>
    <row r="3820" s="9" customFormat="1" ht="21.95" customHeight="1" x14ac:dyDescent="0.15"/>
    <row r="3821" s="9" customFormat="1" ht="21.95" customHeight="1" x14ac:dyDescent="0.15"/>
    <row r="3822" s="9" customFormat="1" ht="21.95" customHeight="1" x14ac:dyDescent="0.15"/>
    <row r="3823" s="9" customFormat="1" ht="21.95" customHeight="1" x14ac:dyDescent="0.15"/>
    <row r="3824" s="9" customFormat="1" ht="21.95" customHeight="1" x14ac:dyDescent="0.15"/>
    <row r="3825" s="9" customFormat="1" ht="21.95" customHeight="1" x14ac:dyDescent="0.15"/>
    <row r="3826" s="9" customFormat="1" ht="21.95" customHeight="1" x14ac:dyDescent="0.15"/>
    <row r="3827" s="9" customFormat="1" ht="21.95" customHeight="1" x14ac:dyDescent="0.15"/>
    <row r="3828" s="9" customFormat="1" ht="21.95" customHeight="1" x14ac:dyDescent="0.15"/>
    <row r="3829" s="9" customFormat="1" ht="21.95" customHeight="1" x14ac:dyDescent="0.15"/>
    <row r="3830" s="9" customFormat="1" ht="35.1" customHeight="1" x14ac:dyDescent="0.15"/>
    <row r="3831" s="9" customFormat="1" ht="21.95" customHeight="1" x14ac:dyDescent="0.15"/>
    <row r="3832" s="9" customFormat="1" ht="21.95" customHeight="1" x14ac:dyDescent="0.15"/>
    <row r="3833" s="9" customFormat="1" ht="21.95" customHeight="1" x14ac:dyDescent="0.15"/>
    <row r="3834" s="9" customFormat="1" ht="21.95" customHeight="1" x14ac:dyDescent="0.15"/>
    <row r="3835" s="9" customFormat="1" ht="21.95" customHeight="1" x14ac:dyDescent="0.15"/>
    <row r="3836" s="9" customFormat="1" ht="21.95" customHeight="1" x14ac:dyDescent="0.15"/>
    <row r="3837" s="9" customFormat="1" ht="21.95" customHeight="1" x14ac:dyDescent="0.15"/>
    <row r="3838" s="9" customFormat="1" ht="21.95" customHeight="1" x14ac:dyDescent="0.15"/>
    <row r="3839" s="9" customFormat="1" ht="21.95" customHeight="1" x14ac:dyDescent="0.15"/>
    <row r="3840" s="9" customFormat="1" ht="21.95" customHeight="1" x14ac:dyDescent="0.15"/>
    <row r="3841" spans="3:3" s="9" customFormat="1" ht="21.95" customHeight="1" x14ac:dyDescent="0.15"/>
    <row r="3842" spans="3:3" s="9" customFormat="1" ht="21.95" customHeight="1" x14ac:dyDescent="0.15"/>
    <row r="3843" spans="3:3" s="9" customFormat="1" ht="21.95" customHeight="1" x14ac:dyDescent="0.15"/>
    <row r="3844" spans="3:3" s="9" customFormat="1" ht="21.95" customHeight="1" x14ac:dyDescent="0.15"/>
    <row r="3845" spans="3:3" s="9" customFormat="1" ht="21.95" customHeight="1" x14ac:dyDescent="0.15"/>
    <row r="3846" spans="3:3" s="9" customFormat="1" ht="21.95" customHeight="1" x14ac:dyDescent="0.15"/>
    <row r="3847" spans="3:3" s="9" customFormat="1" ht="21.95" customHeight="1" x14ac:dyDescent="0.15"/>
    <row r="3848" spans="3:3" s="9" customFormat="1" ht="21.95" customHeight="1" x14ac:dyDescent="0.15"/>
    <row r="3849" spans="3:3" s="9" customFormat="1" ht="21.95" customHeight="1" x14ac:dyDescent="0.15"/>
    <row r="3850" spans="3:3" s="9" customFormat="1" ht="21.95" customHeight="1" x14ac:dyDescent="0.15"/>
    <row r="3851" spans="3:3" s="9" customFormat="1" ht="21.95" customHeight="1" x14ac:dyDescent="0.15"/>
    <row r="3852" spans="3:3" s="9" customFormat="1" ht="21.95" customHeight="1" x14ac:dyDescent="0.15"/>
    <row r="3853" spans="3:3" s="9" customFormat="1" ht="21.95" customHeight="1" x14ac:dyDescent="0.15"/>
    <row r="3854" spans="3:3" s="8" customFormat="1" ht="21.95" customHeight="1" x14ac:dyDescent="0.15"/>
    <row r="3855" spans="3:3" s="8" customFormat="1" ht="21.95" customHeight="1" x14ac:dyDescent="0.15"/>
    <row r="3856" spans="3:3" s="8" customFormat="1" ht="21.95" customHeight="1" x14ac:dyDescent="0.15">
      <c r="C3856" s="101"/>
    </row>
    <row r="3857" spans="3:3" s="8" customFormat="1" ht="21.95" customHeight="1" x14ac:dyDescent="0.15">
      <c r="C3857" s="101"/>
    </row>
    <row r="3858" spans="3:3" s="8" customFormat="1" ht="21.95" customHeight="1" x14ac:dyDescent="0.15"/>
    <row r="3859" spans="3:3" s="8" customFormat="1" ht="21.95" customHeight="1" x14ac:dyDescent="0.15"/>
    <row r="3860" spans="3:3" s="8" customFormat="1" ht="21.95" customHeight="1" x14ac:dyDescent="0.15"/>
    <row r="3861" spans="3:3" s="8" customFormat="1" ht="21.95" customHeight="1" x14ac:dyDescent="0.15"/>
    <row r="3862" spans="3:3" s="8" customFormat="1" ht="21.95" customHeight="1" x14ac:dyDescent="0.15"/>
    <row r="3863" spans="3:3" s="8" customFormat="1" ht="21.95" customHeight="1" x14ac:dyDescent="0.15"/>
    <row r="3864" spans="3:3" s="8" customFormat="1" ht="21.95" customHeight="1" x14ac:dyDescent="0.15"/>
    <row r="3865" spans="3:3" s="9" customFormat="1" ht="21.95" customHeight="1" x14ac:dyDescent="0.15"/>
    <row r="3866" spans="3:3" s="9" customFormat="1" ht="21.95" customHeight="1" x14ac:dyDescent="0.15"/>
    <row r="3867" spans="3:3" s="9" customFormat="1" ht="21.95" customHeight="1" x14ac:dyDescent="0.15"/>
    <row r="3868" spans="3:3" s="9" customFormat="1" ht="21.95" customHeight="1" x14ac:dyDescent="0.15"/>
    <row r="3869" spans="3:3" s="8" customFormat="1" ht="21.95" customHeight="1" x14ac:dyDescent="0.15"/>
    <row r="3870" spans="3:3" s="8" customFormat="1" ht="21.95" customHeight="1" x14ac:dyDescent="0.15"/>
    <row r="3871" spans="3:3" s="8" customFormat="1" ht="21.95" customHeight="1" x14ac:dyDescent="0.15"/>
    <row r="3872" spans="3:3" s="8" customFormat="1" ht="21.95" customHeight="1" x14ac:dyDescent="0.15"/>
    <row r="3873" s="8" customFormat="1" ht="21.95" customHeight="1" x14ac:dyDescent="0.15"/>
    <row r="3874" s="8" customFormat="1" ht="21.95" customHeight="1" x14ac:dyDescent="0.15"/>
    <row r="3875" s="8" customFormat="1" ht="21.95" customHeight="1" x14ac:dyDescent="0.15"/>
    <row r="3876" s="8" customFormat="1" ht="21.95" customHeight="1" x14ac:dyDescent="0.15"/>
    <row r="3877" s="8" customFormat="1" ht="21.95" customHeight="1" x14ac:dyDescent="0.15"/>
    <row r="3878" s="8" customFormat="1" ht="21.95" customHeight="1" x14ac:dyDescent="0.15"/>
    <row r="3879" s="8" customFormat="1" ht="21.95" customHeight="1" x14ac:dyDescent="0.15"/>
    <row r="3880" s="8" customFormat="1" ht="32.1" customHeight="1" x14ac:dyDescent="0.15"/>
    <row r="3881" s="8" customFormat="1" ht="32.1" customHeight="1" x14ac:dyDescent="0.15"/>
    <row r="3882" s="8" customFormat="1" ht="32.1" customHeight="1" x14ac:dyDescent="0.15"/>
    <row r="3883" s="8" customFormat="1" ht="32.1" customHeight="1" x14ac:dyDescent="0.15"/>
    <row r="3884" s="8" customFormat="1" ht="32.1" customHeight="1" x14ac:dyDescent="0.15"/>
    <row r="3885" s="8" customFormat="1" ht="32.1" customHeight="1" x14ac:dyDescent="0.15"/>
    <row r="3886" s="9" customFormat="1" ht="32.1" customHeight="1" x14ac:dyDescent="0.15"/>
    <row r="3887" s="9" customFormat="1" ht="32.1" customHeight="1" x14ac:dyDescent="0.15"/>
    <row r="3888" s="9" customFormat="1" ht="32.1" customHeight="1" x14ac:dyDescent="0.15"/>
    <row r="3889" s="9" customFormat="1" ht="32.1" customHeight="1" x14ac:dyDescent="0.15"/>
    <row r="3890" s="9" customFormat="1" ht="21.95" customHeight="1" x14ac:dyDescent="0.15"/>
    <row r="3891" s="9" customFormat="1" ht="54" customHeight="1" x14ac:dyDescent="0.15"/>
    <row r="3892" s="9" customFormat="1" ht="21.95" customHeight="1" x14ac:dyDescent="0.15"/>
    <row r="3893" s="9" customFormat="1" ht="21.95" customHeight="1" x14ac:dyDescent="0.15"/>
    <row r="3894" s="9" customFormat="1" ht="21.95" customHeight="1" x14ac:dyDescent="0.15"/>
    <row r="3895" s="9" customFormat="1" ht="21.95" customHeight="1" x14ac:dyDescent="0.15"/>
    <row r="3896" s="9" customFormat="1" ht="21.95" customHeight="1" x14ac:dyDescent="0.15"/>
    <row r="3897" s="9" customFormat="1" ht="21.95" customHeight="1" x14ac:dyDescent="0.15"/>
    <row r="3898" s="9" customFormat="1" ht="21.95" customHeight="1" x14ac:dyDescent="0.15"/>
    <row r="3899" s="9" customFormat="1" ht="21.95" customHeight="1" x14ac:dyDescent="0.15"/>
    <row r="3900" s="9" customFormat="1" ht="21.95" customHeight="1" x14ac:dyDescent="0.15"/>
    <row r="3901" s="9" customFormat="1" ht="21.95" customHeight="1" x14ac:dyDescent="0.15"/>
    <row r="3902" s="9" customFormat="1" ht="21.95" customHeight="1" x14ac:dyDescent="0.15"/>
    <row r="3903" s="9" customFormat="1" ht="21.95" customHeight="1" x14ac:dyDescent="0.15"/>
    <row r="3904" s="9" customFormat="1" ht="21.95" customHeight="1" x14ac:dyDescent="0.15"/>
    <row r="3905" s="9" customFormat="1" ht="21.95" customHeight="1" x14ac:dyDescent="0.15"/>
    <row r="3906" s="9" customFormat="1" ht="21.95" customHeight="1" x14ac:dyDescent="0.15"/>
    <row r="3907" s="9" customFormat="1" ht="21.95" customHeight="1" x14ac:dyDescent="0.15"/>
    <row r="3908" s="9" customFormat="1" ht="21.95" customHeight="1" x14ac:dyDescent="0.15"/>
    <row r="3909" s="9" customFormat="1" ht="21.95" customHeight="1" x14ac:dyDescent="0.15"/>
    <row r="3910" s="9" customFormat="1" ht="21.95" customHeight="1" x14ac:dyDescent="0.15"/>
    <row r="3911" s="9" customFormat="1" ht="21.95" customHeight="1" x14ac:dyDescent="0.15"/>
    <row r="3912" s="9" customFormat="1" ht="21.95" customHeight="1" x14ac:dyDescent="0.15"/>
    <row r="3913" s="9" customFormat="1" ht="21.95" customHeight="1" x14ac:dyDescent="0.15"/>
    <row r="3914" s="9" customFormat="1" ht="21.95" customHeight="1" x14ac:dyDescent="0.15"/>
    <row r="3915" s="9" customFormat="1" ht="21.95" customHeight="1" x14ac:dyDescent="0.15"/>
    <row r="3916" s="9" customFormat="1" ht="21.95" customHeight="1" x14ac:dyDescent="0.15"/>
    <row r="3917" s="9" customFormat="1" ht="21.95" customHeight="1" x14ac:dyDescent="0.15"/>
    <row r="3918" s="9" customFormat="1" ht="21.95" customHeight="1" x14ac:dyDescent="0.15"/>
    <row r="3919" s="9" customFormat="1" ht="21.95" customHeight="1" x14ac:dyDescent="0.15"/>
    <row r="3920" s="9" customFormat="1" ht="21.95" customHeight="1" x14ac:dyDescent="0.15"/>
    <row r="3921" s="9" customFormat="1" ht="21.95" customHeight="1" x14ac:dyDescent="0.15"/>
    <row r="3922" s="9" customFormat="1" ht="21.95" customHeight="1" x14ac:dyDescent="0.15"/>
    <row r="3923" s="9" customFormat="1" ht="21.95" customHeight="1" x14ac:dyDescent="0.15"/>
    <row r="3924" s="9" customFormat="1" ht="21.95" customHeight="1" x14ac:dyDescent="0.15"/>
    <row r="3925" s="9" customFormat="1" ht="21.95" customHeight="1" x14ac:dyDescent="0.15"/>
    <row r="3926" s="9" customFormat="1" ht="21.95" customHeight="1" x14ac:dyDescent="0.15"/>
    <row r="3927" s="9" customFormat="1" ht="21.95" customHeight="1" x14ac:dyDescent="0.15"/>
    <row r="3928" s="9" customFormat="1" ht="21.95" customHeight="1" x14ac:dyDescent="0.15"/>
    <row r="3929" s="9" customFormat="1" ht="21.95" customHeight="1" x14ac:dyDescent="0.15"/>
    <row r="3930" s="9" customFormat="1" ht="21.95" customHeight="1" x14ac:dyDescent="0.15"/>
    <row r="3931" s="9" customFormat="1" ht="21.95" customHeight="1" x14ac:dyDescent="0.15"/>
    <row r="3932" s="9" customFormat="1" ht="21.95" customHeight="1" x14ac:dyDescent="0.15"/>
    <row r="3933" s="9" customFormat="1" ht="21.95" customHeight="1" x14ac:dyDescent="0.15"/>
    <row r="3934" s="9" customFormat="1" ht="21.95" customHeight="1" x14ac:dyDescent="0.15"/>
    <row r="3935" s="9" customFormat="1" ht="21.95" customHeight="1" x14ac:dyDescent="0.15"/>
    <row r="3936" s="9" customFormat="1" ht="21.95" customHeight="1" x14ac:dyDescent="0.15"/>
    <row r="3937" s="9" customFormat="1" ht="21.95" customHeight="1" x14ac:dyDescent="0.15"/>
    <row r="3938" s="9" customFormat="1" ht="21.95" customHeight="1" x14ac:dyDescent="0.15"/>
    <row r="3939" s="9" customFormat="1" ht="21.95" customHeight="1" x14ac:dyDescent="0.15"/>
    <row r="3940" s="9" customFormat="1" ht="21.95" customHeight="1" x14ac:dyDescent="0.15"/>
    <row r="3941" s="9" customFormat="1" ht="21.95" customHeight="1" x14ac:dyDescent="0.15"/>
    <row r="3942" s="9" customFormat="1" ht="35.1" customHeight="1" x14ac:dyDescent="0.15"/>
    <row r="3943" s="9" customFormat="1" ht="21.95" customHeight="1" x14ac:dyDescent="0.15"/>
    <row r="3944" s="9" customFormat="1" ht="21.95" customHeight="1" x14ac:dyDescent="0.15"/>
    <row r="3945" s="9" customFormat="1" ht="21.95" customHeight="1" x14ac:dyDescent="0.15"/>
    <row r="3946" s="9" customFormat="1" ht="21.95" customHeight="1" x14ac:dyDescent="0.15"/>
    <row r="3947" s="9" customFormat="1" ht="21.95" customHeight="1" x14ac:dyDescent="0.15"/>
    <row r="3948" s="9" customFormat="1" ht="21.95" customHeight="1" x14ac:dyDescent="0.15"/>
    <row r="3949" s="9" customFormat="1" ht="21.95" customHeight="1" x14ac:dyDescent="0.15"/>
    <row r="3950" s="9" customFormat="1" ht="21.95" customHeight="1" x14ac:dyDescent="0.15"/>
    <row r="3951" s="9" customFormat="1" ht="21.95" customHeight="1" x14ac:dyDescent="0.15"/>
    <row r="3952" s="9" customFormat="1" ht="21.95" customHeight="1" x14ac:dyDescent="0.15"/>
    <row r="3953" spans="3:3" s="9" customFormat="1" ht="21.95" customHeight="1" x14ac:dyDescent="0.15"/>
    <row r="3954" spans="3:3" s="9" customFormat="1" ht="21.95" customHeight="1" x14ac:dyDescent="0.15"/>
    <row r="3955" spans="3:3" s="9" customFormat="1" ht="21.95" customHeight="1" x14ac:dyDescent="0.15"/>
    <row r="3956" spans="3:3" s="9" customFormat="1" ht="21.95" customHeight="1" x14ac:dyDescent="0.15"/>
    <row r="3957" spans="3:3" s="9" customFormat="1" ht="21.95" customHeight="1" x14ac:dyDescent="0.15"/>
    <row r="3958" spans="3:3" s="9" customFormat="1" ht="21.95" customHeight="1" x14ac:dyDescent="0.15"/>
    <row r="3959" spans="3:3" s="9" customFormat="1" ht="21.95" customHeight="1" x14ac:dyDescent="0.15"/>
    <row r="3960" spans="3:3" s="9" customFormat="1" ht="21.95" customHeight="1" x14ac:dyDescent="0.15"/>
    <row r="3961" spans="3:3" s="9" customFormat="1" ht="21.95" customHeight="1" x14ac:dyDescent="0.15"/>
    <row r="3962" spans="3:3" s="9" customFormat="1" ht="21.95" customHeight="1" x14ac:dyDescent="0.15"/>
    <row r="3963" spans="3:3" s="9" customFormat="1" ht="21.95" customHeight="1" x14ac:dyDescent="0.15"/>
    <row r="3964" spans="3:3" s="9" customFormat="1" ht="21.95" customHeight="1" x14ac:dyDescent="0.15"/>
    <row r="3965" spans="3:3" s="9" customFormat="1" ht="21.95" customHeight="1" x14ac:dyDescent="0.15"/>
    <row r="3966" spans="3:3" s="8" customFormat="1" ht="21.95" customHeight="1" x14ac:dyDescent="0.15"/>
    <row r="3967" spans="3:3" s="8" customFormat="1" ht="21.95" customHeight="1" x14ac:dyDescent="0.15"/>
    <row r="3968" spans="3:3" s="8" customFormat="1" ht="21.95" customHeight="1" x14ac:dyDescent="0.15">
      <c r="C3968" s="101"/>
    </row>
    <row r="3969" spans="3:3" s="8" customFormat="1" ht="21.95" customHeight="1" x14ac:dyDescent="0.15">
      <c r="C3969" s="101"/>
    </row>
    <row r="3970" spans="3:3" s="8" customFormat="1" ht="21.95" customHeight="1" x14ac:dyDescent="0.15"/>
    <row r="3971" spans="3:3" s="8" customFormat="1" ht="21.95" customHeight="1" x14ac:dyDescent="0.15"/>
    <row r="3972" spans="3:3" s="8" customFormat="1" ht="21.95" customHeight="1" x14ac:dyDescent="0.15"/>
    <row r="3973" spans="3:3" s="8" customFormat="1" ht="21.95" customHeight="1" x14ac:dyDescent="0.15"/>
    <row r="3974" spans="3:3" s="8" customFormat="1" ht="21.95" customHeight="1" x14ac:dyDescent="0.15"/>
    <row r="3975" spans="3:3" s="8" customFormat="1" ht="21.95" customHeight="1" x14ac:dyDescent="0.15"/>
    <row r="3976" spans="3:3" s="8" customFormat="1" ht="21.95" customHeight="1" x14ac:dyDescent="0.15"/>
    <row r="3977" spans="3:3" s="9" customFormat="1" ht="21.95" customHeight="1" x14ac:dyDescent="0.15"/>
    <row r="3978" spans="3:3" s="9" customFormat="1" ht="21.95" customHeight="1" x14ac:dyDescent="0.15"/>
    <row r="3979" spans="3:3" s="9" customFormat="1" ht="21.95" customHeight="1" x14ac:dyDescent="0.15"/>
    <row r="3980" spans="3:3" s="9" customFormat="1" ht="21.95" customHeight="1" x14ac:dyDescent="0.15"/>
    <row r="3981" spans="3:3" s="8" customFormat="1" ht="21.95" customHeight="1" x14ac:dyDescent="0.15"/>
    <row r="3982" spans="3:3" s="8" customFormat="1" ht="21.95" customHeight="1" x14ac:dyDescent="0.15"/>
    <row r="3983" spans="3:3" s="8" customFormat="1" ht="21.95" customHeight="1" x14ac:dyDescent="0.15"/>
    <row r="3984" spans="3:3" s="8" customFormat="1" ht="21.95" customHeight="1" x14ac:dyDescent="0.15"/>
    <row r="3985" s="8" customFormat="1" ht="21.95" customHeight="1" x14ac:dyDescent="0.15"/>
    <row r="3986" s="8" customFormat="1" ht="21.95" customHeight="1" x14ac:dyDescent="0.15"/>
    <row r="3987" s="8" customFormat="1" ht="21.95" customHeight="1" x14ac:dyDescent="0.15"/>
    <row r="3988" s="8" customFormat="1" ht="21.95" customHeight="1" x14ac:dyDescent="0.15"/>
    <row r="3989" s="8" customFormat="1" ht="21.95" customHeight="1" x14ac:dyDescent="0.15"/>
    <row r="3990" s="8" customFormat="1" ht="21.95" customHeight="1" x14ac:dyDescent="0.15"/>
    <row r="3991" s="8" customFormat="1" ht="21.95" customHeight="1" x14ac:dyDescent="0.15"/>
    <row r="3992" s="8" customFormat="1" ht="32.1" customHeight="1" x14ac:dyDescent="0.15"/>
    <row r="3993" s="8" customFormat="1" ht="32.1" customHeight="1" x14ac:dyDescent="0.15"/>
    <row r="3994" s="8" customFormat="1" ht="32.1" customHeight="1" x14ac:dyDescent="0.15"/>
    <row r="3995" s="8" customFormat="1" ht="32.1" customHeight="1" x14ac:dyDescent="0.15"/>
    <row r="3996" s="8" customFormat="1" ht="32.1" customHeight="1" x14ac:dyDescent="0.15"/>
    <row r="3997" s="8" customFormat="1" ht="32.1" customHeight="1" x14ac:dyDescent="0.15"/>
    <row r="3998" s="9" customFormat="1" ht="32.1" customHeight="1" x14ac:dyDescent="0.15"/>
    <row r="3999" s="9" customFormat="1" ht="32.1" customHeight="1" x14ac:dyDescent="0.15"/>
    <row r="4000" s="9" customFormat="1" ht="32.1" customHeight="1" x14ac:dyDescent="0.15"/>
    <row r="4001" s="9" customFormat="1" ht="32.1" customHeight="1" x14ac:dyDescent="0.15"/>
    <row r="4002" s="9" customFormat="1" ht="21.95" customHeight="1" x14ac:dyDescent="0.15"/>
    <row r="4003" s="9" customFormat="1" ht="54" customHeight="1" x14ac:dyDescent="0.15"/>
    <row r="4004" s="9" customFormat="1" ht="21.95" customHeight="1" x14ac:dyDescent="0.15"/>
    <row r="4005" s="9" customFormat="1" ht="21.95" customHeight="1" x14ac:dyDescent="0.15"/>
    <row r="4006" s="9" customFormat="1" ht="21.95" customHeight="1" x14ac:dyDescent="0.15"/>
    <row r="4007" s="9" customFormat="1" ht="21.95" customHeight="1" x14ac:dyDescent="0.15"/>
    <row r="4008" s="9" customFormat="1" ht="21.95" customHeight="1" x14ac:dyDescent="0.15"/>
    <row r="4009" s="9" customFormat="1" ht="21.95" customHeight="1" x14ac:dyDescent="0.15"/>
    <row r="4010" s="9" customFormat="1" ht="21.95" customHeight="1" x14ac:dyDescent="0.15"/>
    <row r="4011" s="9" customFormat="1" ht="21.95" customHeight="1" x14ac:dyDescent="0.15"/>
    <row r="4012" s="9" customFormat="1" ht="21.95" customHeight="1" x14ac:dyDescent="0.15"/>
    <row r="4013" s="9" customFormat="1" ht="21.95" customHeight="1" x14ac:dyDescent="0.15"/>
    <row r="4014" s="9" customFormat="1" ht="21.95" customHeight="1" x14ac:dyDescent="0.15"/>
    <row r="4015" s="9" customFormat="1" ht="21.95" customHeight="1" x14ac:dyDescent="0.15"/>
    <row r="4016" s="9" customFormat="1" ht="21.95" customHeight="1" x14ac:dyDescent="0.15"/>
    <row r="4017" s="9" customFormat="1" ht="21.95" customHeight="1" x14ac:dyDescent="0.15"/>
    <row r="4018" s="9" customFormat="1" ht="21.95" customHeight="1" x14ac:dyDescent="0.15"/>
    <row r="4019" s="9" customFormat="1" ht="21.95" customHeight="1" x14ac:dyDescent="0.15"/>
    <row r="4020" s="9" customFormat="1" ht="21.95" customHeight="1" x14ac:dyDescent="0.15"/>
    <row r="4021" s="9" customFormat="1" ht="21.95" customHeight="1" x14ac:dyDescent="0.15"/>
    <row r="4022" s="9" customFormat="1" ht="21.95" customHeight="1" x14ac:dyDescent="0.15"/>
    <row r="4023" s="9" customFormat="1" ht="21.95" customHeight="1" x14ac:dyDescent="0.15"/>
    <row r="4024" s="9" customFormat="1" ht="21.95" customHeight="1" x14ac:dyDescent="0.15"/>
    <row r="4025" s="9" customFormat="1" ht="21.95" customHeight="1" x14ac:dyDescent="0.15"/>
    <row r="4026" s="9" customFormat="1" ht="21.95" customHeight="1" x14ac:dyDescent="0.15"/>
    <row r="4027" s="9" customFormat="1" ht="21.95" customHeight="1" x14ac:dyDescent="0.15"/>
    <row r="4028" s="9" customFormat="1" ht="21.95" customHeight="1" x14ac:dyDescent="0.15"/>
    <row r="4029" s="9" customFormat="1" ht="21.95" customHeight="1" x14ac:dyDescent="0.15"/>
    <row r="4030" s="9" customFormat="1" ht="21.95" customHeight="1" x14ac:dyDescent="0.15"/>
    <row r="4031" s="9" customFormat="1" ht="21.95" customHeight="1" x14ac:dyDescent="0.15"/>
    <row r="4032" s="9" customFormat="1" ht="21.95" customHeight="1" x14ac:dyDescent="0.15"/>
    <row r="4033" s="9" customFormat="1" ht="21.95" customHeight="1" x14ac:dyDescent="0.15"/>
    <row r="4034" s="9" customFormat="1" ht="21.95" customHeight="1" x14ac:dyDescent="0.15"/>
    <row r="4035" s="9" customFormat="1" ht="21.95" customHeight="1" x14ac:dyDescent="0.15"/>
    <row r="4036" s="9" customFormat="1" ht="21.95" customHeight="1" x14ac:dyDescent="0.15"/>
    <row r="4037" s="9" customFormat="1" ht="21.95" customHeight="1" x14ac:dyDescent="0.15"/>
    <row r="4038" s="9" customFormat="1" ht="21.95" customHeight="1" x14ac:dyDescent="0.15"/>
    <row r="4039" s="9" customFormat="1" ht="21.95" customHeight="1" x14ac:dyDescent="0.15"/>
    <row r="4040" s="9" customFormat="1" ht="21.95" customHeight="1" x14ac:dyDescent="0.15"/>
    <row r="4041" s="9" customFormat="1" ht="21.95" customHeight="1" x14ac:dyDescent="0.15"/>
    <row r="4042" s="9" customFormat="1" ht="21.95" customHeight="1" x14ac:dyDescent="0.15"/>
    <row r="4043" s="9" customFormat="1" ht="21.95" customHeight="1" x14ac:dyDescent="0.15"/>
    <row r="4044" s="9" customFormat="1" ht="21.95" customHeight="1" x14ac:dyDescent="0.15"/>
    <row r="4045" s="9" customFormat="1" ht="21.95" customHeight="1" x14ac:dyDescent="0.15"/>
    <row r="4046" s="9" customFormat="1" ht="21.95" customHeight="1" x14ac:dyDescent="0.15"/>
    <row r="4047" s="9" customFormat="1" ht="21.95" customHeight="1" x14ac:dyDescent="0.15"/>
    <row r="4048" s="9" customFormat="1" ht="21.95" customHeight="1" x14ac:dyDescent="0.15"/>
    <row r="4049" s="9" customFormat="1" ht="21.95" customHeight="1" x14ac:dyDescent="0.15"/>
    <row r="4050" s="9" customFormat="1" ht="21.95" customHeight="1" x14ac:dyDescent="0.15"/>
    <row r="4051" s="9" customFormat="1" ht="21.95" customHeight="1" x14ac:dyDescent="0.15"/>
    <row r="4052" s="9" customFormat="1" ht="21.95" customHeight="1" x14ac:dyDescent="0.15"/>
    <row r="4053" s="9" customFormat="1" ht="21.95" customHeight="1" x14ac:dyDescent="0.15"/>
    <row r="4054" s="9" customFormat="1" ht="35.1" customHeight="1" x14ac:dyDescent="0.15"/>
    <row r="4055" s="9" customFormat="1" ht="21.95" customHeight="1" x14ac:dyDescent="0.15"/>
    <row r="4056" s="9" customFormat="1" ht="21.95" customHeight="1" x14ac:dyDescent="0.15"/>
    <row r="4057" s="9" customFormat="1" ht="21.95" customHeight="1" x14ac:dyDescent="0.15"/>
    <row r="4058" s="9" customFormat="1" ht="21.95" customHeight="1" x14ac:dyDescent="0.15"/>
    <row r="4059" s="9" customFormat="1" ht="21.95" customHeight="1" x14ac:dyDescent="0.15"/>
    <row r="4060" s="9" customFormat="1" ht="21.95" customHeight="1" x14ac:dyDescent="0.15"/>
    <row r="4061" s="9" customFormat="1" ht="21.95" customHeight="1" x14ac:dyDescent="0.15"/>
    <row r="4062" s="9" customFormat="1" ht="21.95" customHeight="1" x14ac:dyDescent="0.15"/>
    <row r="4063" s="9" customFormat="1" ht="21.95" customHeight="1" x14ac:dyDescent="0.15"/>
    <row r="4064" s="9" customFormat="1" ht="21.95" customHeight="1" x14ac:dyDescent="0.15"/>
    <row r="4065" spans="3:3" s="9" customFormat="1" ht="21.95" customHeight="1" x14ac:dyDescent="0.15"/>
    <row r="4066" spans="3:3" s="9" customFormat="1" ht="21.95" customHeight="1" x14ac:dyDescent="0.15"/>
    <row r="4067" spans="3:3" s="9" customFormat="1" ht="21.95" customHeight="1" x14ac:dyDescent="0.15"/>
    <row r="4068" spans="3:3" s="9" customFormat="1" ht="21.95" customHeight="1" x14ac:dyDescent="0.15"/>
    <row r="4069" spans="3:3" s="9" customFormat="1" ht="21.95" customHeight="1" x14ac:dyDescent="0.15"/>
    <row r="4070" spans="3:3" s="9" customFormat="1" ht="21.95" customHeight="1" x14ac:dyDescent="0.15"/>
    <row r="4071" spans="3:3" s="9" customFormat="1" ht="21.95" customHeight="1" x14ac:dyDescent="0.15"/>
    <row r="4072" spans="3:3" s="9" customFormat="1" ht="21.95" customHeight="1" x14ac:dyDescent="0.15"/>
    <row r="4073" spans="3:3" s="9" customFormat="1" ht="21.95" customHeight="1" x14ac:dyDescent="0.15"/>
    <row r="4074" spans="3:3" s="9" customFormat="1" ht="21.95" customHeight="1" x14ac:dyDescent="0.15"/>
    <row r="4075" spans="3:3" s="9" customFormat="1" ht="21.95" customHeight="1" x14ac:dyDescent="0.15"/>
    <row r="4076" spans="3:3" s="9" customFormat="1" ht="21.95" customHeight="1" x14ac:dyDescent="0.15"/>
    <row r="4077" spans="3:3" s="9" customFormat="1" ht="21.95" customHeight="1" x14ac:dyDescent="0.15"/>
    <row r="4078" spans="3:3" s="8" customFormat="1" ht="21.95" customHeight="1" x14ac:dyDescent="0.15"/>
    <row r="4079" spans="3:3" s="8" customFormat="1" ht="21.95" customHeight="1" x14ac:dyDescent="0.15"/>
    <row r="4080" spans="3:3" s="8" customFormat="1" ht="21.95" customHeight="1" x14ac:dyDescent="0.15">
      <c r="C4080" s="101"/>
    </row>
    <row r="4081" spans="3:3" s="8" customFormat="1" ht="21.95" customHeight="1" x14ac:dyDescent="0.15">
      <c r="C4081" s="101"/>
    </row>
    <row r="4082" spans="3:3" s="8" customFormat="1" ht="21.95" customHeight="1" x14ac:dyDescent="0.15"/>
    <row r="4083" spans="3:3" s="8" customFormat="1" ht="21.95" customHeight="1" x14ac:dyDescent="0.15"/>
    <row r="4084" spans="3:3" s="8" customFormat="1" ht="21.95" customHeight="1" x14ac:dyDescent="0.15"/>
    <row r="4085" spans="3:3" s="8" customFormat="1" ht="21.95" customHeight="1" x14ac:dyDescent="0.15"/>
    <row r="4086" spans="3:3" s="8" customFormat="1" ht="21.95" customHeight="1" x14ac:dyDescent="0.15"/>
    <row r="4087" spans="3:3" s="8" customFormat="1" ht="21.95" customHeight="1" x14ac:dyDescent="0.15"/>
    <row r="4088" spans="3:3" s="8" customFormat="1" ht="21.95" customHeight="1" x14ac:dyDescent="0.15"/>
    <row r="4089" spans="3:3" s="9" customFormat="1" ht="21.95" customHeight="1" x14ac:dyDescent="0.15"/>
    <row r="4090" spans="3:3" s="9" customFormat="1" ht="21.95" customHeight="1" x14ac:dyDescent="0.15"/>
    <row r="4091" spans="3:3" s="9" customFormat="1" ht="21.95" customHeight="1" x14ac:dyDescent="0.15"/>
    <row r="4092" spans="3:3" s="9" customFormat="1" ht="21.95" customHeight="1" x14ac:dyDescent="0.15"/>
    <row r="4093" spans="3:3" s="8" customFormat="1" ht="21.95" customHeight="1" x14ac:dyDescent="0.15"/>
    <row r="4094" spans="3:3" s="8" customFormat="1" ht="21.95" customHeight="1" x14ac:dyDescent="0.15"/>
    <row r="4095" spans="3:3" s="8" customFormat="1" ht="21.95" customHeight="1" x14ac:dyDescent="0.15"/>
    <row r="4096" spans="3:3" s="8" customFormat="1" ht="21.95" customHeight="1" x14ac:dyDescent="0.15"/>
    <row r="4097" s="8" customFormat="1" ht="21.95" customHeight="1" x14ac:dyDescent="0.15"/>
    <row r="4098" s="8" customFormat="1" ht="21.95" customHeight="1" x14ac:dyDescent="0.15"/>
    <row r="4099" s="8" customFormat="1" ht="21.95" customHeight="1" x14ac:dyDescent="0.15"/>
    <row r="4100" s="8" customFormat="1" ht="21.95" customHeight="1" x14ac:dyDescent="0.15"/>
    <row r="4101" s="8" customFormat="1" ht="21.95" customHeight="1" x14ac:dyDescent="0.15"/>
    <row r="4102" s="8" customFormat="1" ht="21.95" customHeight="1" x14ac:dyDescent="0.15"/>
    <row r="4103" s="8" customFormat="1" ht="21.95" customHeight="1" x14ac:dyDescent="0.15"/>
    <row r="4104" s="8" customFormat="1" ht="32.1" customHeight="1" x14ac:dyDescent="0.15"/>
    <row r="4105" s="8" customFormat="1" ht="32.1" customHeight="1" x14ac:dyDescent="0.15"/>
    <row r="4106" s="8" customFormat="1" ht="32.1" customHeight="1" x14ac:dyDescent="0.15"/>
    <row r="4107" s="8" customFormat="1" ht="32.1" customHeight="1" x14ac:dyDescent="0.15"/>
    <row r="4108" s="8" customFormat="1" ht="32.1" customHeight="1" x14ac:dyDescent="0.15"/>
    <row r="4109" s="8" customFormat="1" ht="32.1" customHeight="1" x14ac:dyDescent="0.15"/>
    <row r="4110" s="9" customFormat="1" ht="32.1" customHeight="1" x14ac:dyDescent="0.15"/>
    <row r="4111" s="9" customFormat="1" ht="32.1" customHeight="1" x14ac:dyDescent="0.15"/>
    <row r="4112" s="9" customFormat="1" ht="32.1" customHeight="1" x14ac:dyDescent="0.15"/>
    <row r="4113" s="9" customFormat="1" ht="32.1" customHeight="1" x14ac:dyDescent="0.15"/>
    <row r="4114" s="9" customFormat="1" ht="21.95" customHeight="1" x14ac:dyDescent="0.15"/>
    <row r="4115" s="9" customFormat="1" ht="54" customHeight="1" x14ac:dyDescent="0.15"/>
    <row r="4116" s="9" customFormat="1" ht="21.95" customHeight="1" x14ac:dyDescent="0.15"/>
    <row r="4117" s="9" customFormat="1" ht="21.95" customHeight="1" x14ac:dyDescent="0.15"/>
    <row r="4118" s="9" customFormat="1" ht="21.95" customHeight="1" x14ac:dyDescent="0.15"/>
    <row r="4119" s="9" customFormat="1" ht="21.95" customHeight="1" x14ac:dyDescent="0.15"/>
    <row r="4120" s="9" customFormat="1" ht="21.95" customHeight="1" x14ac:dyDescent="0.15"/>
    <row r="4121" s="9" customFormat="1" ht="21.95" customHeight="1" x14ac:dyDescent="0.15"/>
    <row r="4122" s="9" customFormat="1" ht="21.95" customHeight="1" x14ac:dyDescent="0.15"/>
    <row r="4123" s="9" customFormat="1" ht="21.95" customHeight="1" x14ac:dyDescent="0.15"/>
    <row r="4124" s="9" customFormat="1" ht="21.95" customHeight="1" x14ac:dyDescent="0.15"/>
    <row r="4125" s="9" customFormat="1" ht="21.95" customHeight="1" x14ac:dyDescent="0.15"/>
    <row r="4126" s="9" customFormat="1" ht="21.95" customHeight="1" x14ac:dyDescent="0.15"/>
    <row r="4127" s="9" customFormat="1" ht="21.95" customHeight="1" x14ac:dyDescent="0.15"/>
    <row r="4128" s="9" customFormat="1" ht="21.95" customHeight="1" x14ac:dyDescent="0.15"/>
    <row r="4129" s="9" customFormat="1" ht="21.95" customHeight="1" x14ac:dyDescent="0.15"/>
    <row r="4130" s="9" customFormat="1" ht="21.95" customHeight="1" x14ac:dyDescent="0.15"/>
    <row r="4131" s="9" customFormat="1" ht="21.95" customHeight="1" x14ac:dyDescent="0.15"/>
    <row r="4132" s="9" customFormat="1" ht="21.95" customHeight="1" x14ac:dyDescent="0.15"/>
    <row r="4133" s="9" customFormat="1" ht="21.95" customHeight="1" x14ac:dyDescent="0.15"/>
    <row r="4134" s="9" customFormat="1" ht="21.95" customHeight="1" x14ac:dyDescent="0.15"/>
    <row r="4135" s="9" customFormat="1" ht="21.95" customHeight="1" x14ac:dyDescent="0.15"/>
    <row r="4136" s="9" customFormat="1" ht="21.95" customHeight="1" x14ac:dyDescent="0.15"/>
    <row r="4137" s="9" customFormat="1" ht="21.95" customHeight="1" x14ac:dyDescent="0.15"/>
    <row r="4138" s="9" customFormat="1" ht="21.95" customHeight="1" x14ac:dyDescent="0.15"/>
    <row r="4139" s="9" customFormat="1" ht="21.95" customHeight="1" x14ac:dyDescent="0.15"/>
    <row r="4140" s="9" customFormat="1" ht="21.95" customHeight="1" x14ac:dyDescent="0.15"/>
    <row r="4141" s="9" customFormat="1" ht="21.95" customHeight="1" x14ac:dyDescent="0.15"/>
    <row r="4142" s="9" customFormat="1" ht="21.95" customHeight="1" x14ac:dyDescent="0.15"/>
    <row r="4143" s="9" customFormat="1" ht="21.95" customHeight="1" x14ac:dyDescent="0.15"/>
    <row r="4144" s="9" customFormat="1" ht="21.95" customHeight="1" x14ac:dyDescent="0.15"/>
    <row r="4145" s="9" customFormat="1" ht="21.95" customHeight="1" x14ac:dyDescent="0.15"/>
    <row r="4146" s="9" customFormat="1" ht="21.95" customHeight="1" x14ac:dyDescent="0.15"/>
    <row r="4147" s="9" customFormat="1" ht="21.95" customHeight="1" x14ac:dyDescent="0.15"/>
    <row r="4148" s="9" customFormat="1" ht="21.95" customHeight="1" x14ac:dyDescent="0.15"/>
    <row r="4149" s="9" customFormat="1" ht="21.95" customHeight="1" x14ac:dyDescent="0.15"/>
    <row r="4150" s="9" customFormat="1" ht="21.95" customHeight="1" x14ac:dyDescent="0.15"/>
    <row r="4151" s="9" customFormat="1" ht="21.95" customHeight="1" x14ac:dyDescent="0.15"/>
    <row r="4152" s="9" customFormat="1" ht="21.95" customHeight="1" x14ac:dyDescent="0.15"/>
    <row r="4153" s="9" customFormat="1" ht="21.95" customHeight="1" x14ac:dyDescent="0.15"/>
    <row r="4154" s="9" customFormat="1" ht="21.95" customHeight="1" x14ac:dyDescent="0.15"/>
    <row r="4155" s="9" customFormat="1" ht="21.95" customHeight="1" x14ac:dyDescent="0.15"/>
    <row r="4156" s="9" customFormat="1" ht="21.95" customHeight="1" x14ac:dyDescent="0.15"/>
    <row r="4157" s="9" customFormat="1" ht="21.95" customHeight="1" x14ac:dyDescent="0.15"/>
    <row r="4158" s="9" customFormat="1" ht="21.95" customHeight="1" x14ac:dyDescent="0.15"/>
    <row r="4159" s="9" customFormat="1" ht="21.95" customHeight="1" x14ac:dyDescent="0.15"/>
    <row r="4160" s="9" customFormat="1" ht="21.95" customHeight="1" x14ac:dyDescent="0.15"/>
    <row r="4161" s="9" customFormat="1" ht="21.95" customHeight="1" x14ac:dyDescent="0.15"/>
    <row r="4162" s="9" customFormat="1" ht="21.95" customHeight="1" x14ac:dyDescent="0.15"/>
    <row r="4163" s="9" customFormat="1" ht="21.95" customHeight="1" x14ac:dyDescent="0.15"/>
    <row r="4164" s="9" customFormat="1" ht="21.95" customHeight="1" x14ac:dyDescent="0.15"/>
    <row r="4165" s="9" customFormat="1" ht="21.95" customHeight="1" x14ac:dyDescent="0.15"/>
    <row r="4166" s="9" customFormat="1" ht="35.1" customHeight="1" x14ac:dyDescent="0.15"/>
    <row r="4167" s="9" customFormat="1" ht="21.95" customHeight="1" x14ac:dyDescent="0.15"/>
    <row r="4168" s="9" customFormat="1" ht="21.95" customHeight="1" x14ac:dyDescent="0.15"/>
    <row r="4169" s="9" customFormat="1" ht="21.95" customHeight="1" x14ac:dyDescent="0.15"/>
    <row r="4170" s="9" customFormat="1" ht="21.95" customHeight="1" x14ac:dyDescent="0.15"/>
    <row r="4171" s="9" customFormat="1" ht="21.95" customHeight="1" x14ac:dyDescent="0.15"/>
    <row r="4172" s="9" customFormat="1" ht="21.95" customHeight="1" x14ac:dyDescent="0.15"/>
    <row r="4173" s="9" customFormat="1" ht="21.95" customHeight="1" x14ac:dyDescent="0.15"/>
    <row r="4174" s="9" customFormat="1" ht="21.95" customHeight="1" x14ac:dyDescent="0.15"/>
    <row r="4175" s="9" customFormat="1" ht="21.95" customHeight="1" x14ac:dyDescent="0.15"/>
    <row r="4176" s="9" customFormat="1" ht="21.95" customHeight="1" x14ac:dyDescent="0.15"/>
    <row r="4177" spans="3:3" s="9" customFormat="1" ht="21.95" customHeight="1" x14ac:dyDescent="0.15"/>
    <row r="4178" spans="3:3" s="9" customFormat="1" ht="21.95" customHeight="1" x14ac:dyDescent="0.15"/>
    <row r="4179" spans="3:3" s="9" customFormat="1" ht="21.95" customHeight="1" x14ac:dyDescent="0.15"/>
    <row r="4180" spans="3:3" s="9" customFormat="1" ht="21.95" customHeight="1" x14ac:dyDescent="0.15"/>
    <row r="4181" spans="3:3" s="9" customFormat="1" ht="21.95" customHeight="1" x14ac:dyDescent="0.15"/>
    <row r="4182" spans="3:3" s="9" customFormat="1" ht="21.95" customHeight="1" x14ac:dyDescent="0.15"/>
    <row r="4183" spans="3:3" s="9" customFormat="1" ht="21.95" customHeight="1" x14ac:dyDescent="0.15"/>
    <row r="4184" spans="3:3" s="9" customFormat="1" ht="21.95" customHeight="1" x14ac:dyDescent="0.15"/>
    <row r="4185" spans="3:3" s="9" customFormat="1" ht="21.95" customHeight="1" x14ac:dyDescent="0.15"/>
    <row r="4186" spans="3:3" s="9" customFormat="1" ht="21.95" customHeight="1" x14ac:dyDescent="0.15"/>
    <row r="4187" spans="3:3" s="9" customFormat="1" ht="21.95" customHeight="1" x14ac:dyDescent="0.15"/>
    <row r="4188" spans="3:3" s="9" customFormat="1" ht="21.95" customHeight="1" x14ac:dyDescent="0.15"/>
    <row r="4189" spans="3:3" s="9" customFormat="1" ht="21.95" customHeight="1" x14ac:dyDescent="0.15"/>
    <row r="4190" spans="3:3" s="8" customFormat="1" ht="21.95" customHeight="1" x14ac:dyDescent="0.15"/>
    <row r="4191" spans="3:3" s="8" customFormat="1" ht="21.95" customHeight="1" x14ac:dyDescent="0.15"/>
    <row r="4192" spans="3:3" s="8" customFormat="1" ht="21.95" customHeight="1" x14ac:dyDescent="0.15">
      <c r="C4192" s="101"/>
    </row>
    <row r="4193" spans="3:3" s="8" customFormat="1" ht="21.95" customHeight="1" x14ac:dyDescent="0.15">
      <c r="C4193" s="101"/>
    </row>
    <row r="4194" spans="3:3" s="8" customFormat="1" ht="21.95" customHeight="1" x14ac:dyDescent="0.15"/>
    <row r="4195" spans="3:3" s="8" customFormat="1" ht="21.95" customHeight="1" x14ac:dyDescent="0.15"/>
    <row r="4196" spans="3:3" s="8" customFormat="1" ht="21.95" customHeight="1" x14ac:dyDescent="0.15"/>
    <row r="4197" spans="3:3" s="8" customFormat="1" ht="21.95" customHeight="1" x14ac:dyDescent="0.15"/>
    <row r="4198" spans="3:3" s="8" customFormat="1" ht="21.95" customHeight="1" x14ac:dyDescent="0.15"/>
    <row r="4199" spans="3:3" s="8" customFormat="1" ht="21.95" customHeight="1" x14ac:dyDescent="0.15"/>
    <row r="4200" spans="3:3" s="8" customFormat="1" ht="21.95" customHeight="1" x14ac:dyDescent="0.15"/>
    <row r="4201" spans="3:3" s="9" customFormat="1" ht="21.95" customHeight="1" x14ac:dyDescent="0.15"/>
    <row r="4202" spans="3:3" s="9" customFormat="1" ht="21.95" customHeight="1" x14ac:dyDescent="0.15"/>
    <row r="4203" spans="3:3" s="9" customFormat="1" ht="21.95" customHeight="1" x14ac:dyDescent="0.15"/>
    <row r="4204" spans="3:3" s="9" customFormat="1" ht="21.95" customHeight="1" x14ac:dyDescent="0.15"/>
    <row r="4205" spans="3:3" s="8" customFormat="1" ht="21.95" customHeight="1" x14ac:dyDescent="0.15"/>
    <row r="4206" spans="3:3" s="8" customFormat="1" ht="21.95" customHeight="1" x14ac:dyDescent="0.15"/>
    <row r="4207" spans="3:3" s="8" customFormat="1" ht="21.95" customHeight="1" x14ac:dyDescent="0.15"/>
    <row r="4208" spans="3:3" s="8" customFormat="1" ht="21.95" customHeight="1" x14ac:dyDescent="0.15"/>
    <row r="4209" s="8" customFormat="1" ht="21.95" customHeight="1" x14ac:dyDescent="0.15"/>
    <row r="4210" s="8" customFormat="1" ht="21.95" customHeight="1" x14ac:dyDescent="0.15"/>
    <row r="4211" s="8" customFormat="1" ht="21.95" customHeight="1" x14ac:dyDescent="0.15"/>
    <row r="4212" s="8" customFormat="1" ht="21.95" customHeight="1" x14ac:dyDescent="0.15"/>
    <row r="4213" s="8" customFormat="1" ht="21.95" customHeight="1" x14ac:dyDescent="0.15"/>
    <row r="4214" s="8" customFormat="1" ht="21.95" customHeight="1" x14ac:dyDescent="0.15"/>
    <row r="4215" s="8" customFormat="1" ht="21.95" customHeight="1" x14ac:dyDescent="0.15"/>
    <row r="4216" s="8" customFormat="1" ht="32.1" customHeight="1" x14ac:dyDescent="0.15"/>
    <row r="4217" s="8" customFormat="1" ht="32.1" customHeight="1" x14ac:dyDescent="0.15"/>
    <row r="4218" s="8" customFormat="1" ht="32.1" customHeight="1" x14ac:dyDescent="0.15"/>
    <row r="4219" s="8" customFormat="1" ht="32.1" customHeight="1" x14ac:dyDescent="0.15"/>
    <row r="4220" s="8" customFormat="1" ht="32.1" customHeight="1" x14ac:dyDescent="0.15"/>
    <row r="4221" s="8" customFormat="1" ht="32.1" customHeight="1" x14ac:dyDescent="0.15"/>
    <row r="4222" s="9" customFormat="1" ht="32.1" customHeight="1" x14ac:dyDescent="0.15"/>
    <row r="4223" s="9" customFormat="1" ht="32.1" customHeight="1" x14ac:dyDescent="0.15"/>
    <row r="4224" s="9" customFormat="1" ht="32.1" customHeight="1" x14ac:dyDescent="0.15"/>
    <row r="4225" s="9" customFormat="1" ht="32.1" customHeight="1" x14ac:dyDescent="0.15"/>
    <row r="4226" s="9" customFormat="1" ht="21.95" customHeight="1" x14ac:dyDescent="0.15"/>
    <row r="4227" s="9" customFormat="1" ht="54" customHeight="1" x14ac:dyDescent="0.15"/>
    <row r="4228" s="9" customFormat="1" ht="21.95" customHeight="1" x14ac:dyDescent="0.15"/>
    <row r="4229" s="9" customFormat="1" ht="21.95" customHeight="1" x14ac:dyDescent="0.15"/>
    <row r="4230" s="9" customFormat="1" ht="21.95" customHeight="1" x14ac:dyDescent="0.15"/>
    <row r="4231" s="9" customFormat="1" ht="21.95" customHeight="1" x14ac:dyDescent="0.15"/>
    <row r="4232" s="9" customFormat="1" ht="21.95" customHeight="1" x14ac:dyDescent="0.15"/>
    <row r="4233" s="9" customFormat="1" ht="21.95" customHeight="1" x14ac:dyDescent="0.15"/>
    <row r="4234" s="9" customFormat="1" ht="21.95" customHeight="1" x14ac:dyDescent="0.15"/>
    <row r="4235" s="9" customFormat="1" ht="21.95" customHeight="1" x14ac:dyDescent="0.15"/>
    <row r="4236" s="9" customFormat="1" ht="21.95" customHeight="1" x14ac:dyDescent="0.15"/>
    <row r="4237" s="9" customFormat="1" ht="21.95" customHeight="1" x14ac:dyDescent="0.15"/>
    <row r="4238" s="9" customFormat="1" ht="21.95" customHeight="1" x14ac:dyDescent="0.15"/>
    <row r="4239" s="9" customFormat="1" ht="21.95" customHeight="1" x14ac:dyDescent="0.15"/>
    <row r="4240" s="9" customFormat="1" ht="21.95" customHeight="1" x14ac:dyDescent="0.15"/>
    <row r="4241" s="9" customFormat="1" ht="21.95" customHeight="1" x14ac:dyDescent="0.15"/>
    <row r="4242" s="9" customFormat="1" ht="21.95" customHeight="1" x14ac:dyDescent="0.15"/>
    <row r="4243" s="9" customFormat="1" ht="21.95" customHeight="1" x14ac:dyDescent="0.15"/>
    <row r="4244" s="9" customFormat="1" ht="21.95" customHeight="1" x14ac:dyDescent="0.15"/>
    <row r="4245" s="9" customFormat="1" ht="21.95" customHeight="1" x14ac:dyDescent="0.15"/>
    <row r="4246" s="9" customFormat="1" ht="21.95" customHeight="1" x14ac:dyDescent="0.15"/>
    <row r="4247" s="9" customFormat="1" ht="21.95" customHeight="1" x14ac:dyDescent="0.15"/>
    <row r="4248" s="9" customFormat="1" ht="21.95" customHeight="1" x14ac:dyDescent="0.15"/>
    <row r="4249" s="9" customFormat="1" ht="21.95" customHeight="1" x14ac:dyDescent="0.15"/>
    <row r="4250" s="9" customFormat="1" ht="21.95" customHeight="1" x14ac:dyDescent="0.15"/>
    <row r="4251" s="9" customFormat="1" ht="21.95" customHeight="1" x14ac:dyDescent="0.15"/>
    <row r="4252" s="9" customFormat="1" ht="21.95" customHeight="1" x14ac:dyDescent="0.15"/>
    <row r="4253" s="9" customFormat="1" ht="21.95" customHeight="1" x14ac:dyDescent="0.15"/>
    <row r="4254" s="9" customFormat="1" ht="21.95" customHeight="1" x14ac:dyDescent="0.15"/>
    <row r="4255" s="9" customFormat="1" ht="21.95" customHeight="1" x14ac:dyDescent="0.15"/>
    <row r="4256" s="9" customFormat="1" ht="21.95" customHeight="1" x14ac:dyDescent="0.15"/>
    <row r="4257" s="9" customFormat="1" ht="21.95" customHeight="1" x14ac:dyDescent="0.15"/>
    <row r="4258" s="9" customFormat="1" ht="21.95" customHeight="1" x14ac:dyDescent="0.15"/>
    <row r="4259" s="9" customFormat="1" ht="21.95" customHeight="1" x14ac:dyDescent="0.15"/>
    <row r="4260" s="9" customFormat="1" ht="21.95" customHeight="1" x14ac:dyDescent="0.15"/>
    <row r="4261" s="9" customFormat="1" ht="21.95" customHeight="1" x14ac:dyDescent="0.15"/>
    <row r="4262" s="9" customFormat="1" ht="21.95" customHeight="1" x14ac:dyDescent="0.15"/>
    <row r="4263" s="9" customFormat="1" ht="21.95" customHeight="1" x14ac:dyDescent="0.15"/>
    <row r="4264" s="9" customFormat="1" ht="21.95" customHeight="1" x14ac:dyDescent="0.15"/>
    <row r="4265" s="9" customFormat="1" ht="21.95" customHeight="1" x14ac:dyDescent="0.15"/>
    <row r="4266" s="9" customFormat="1" ht="21.95" customHeight="1" x14ac:dyDescent="0.15"/>
    <row r="4267" s="9" customFormat="1" ht="21.95" customHeight="1" x14ac:dyDescent="0.15"/>
    <row r="4268" s="9" customFormat="1" ht="21.95" customHeight="1" x14ac:dyDescent="0.15"/>
    <row r="4269" s="9" customFormat="1" ht="21.95" customHeight="1" x14ac:dyDescent="0.15"/>
    <row r="4270" s="9" customFormat="1" ht="21.95" customHeight="1" x14ac:dyDescent="0.15"/>
    <row r="4271" s="9" customFormat="1" ht="21.95" customHeight="1" x14ac:dyDescent="0.15"/>
    <row r="4272" s="9" customFormat="1" ht="21.95" customHeight="1" x14ac:dyDescent="0.15"/>
    <row r="4273" s="9" customFormat="1" ht="21.95" customHeight="1" x14ac:dyDescent="0.15"/>
    <row r="4274" s="9" customFormat="1" ht="21.95" customHeight="1" x14ac:dyDescent="0.15"/>
    <row r="4275" s="9" customFormat="1" ht="21.95" customHeight="1" x14ac:dyDescent="0.15"/>
    <row r="4276" s="9" customFormat="1" ht="21.95" customHeight="1" x14ac:dyDescent="0.15"/>
    <row r="4277" s="9" customFormat="1" ht="21.95" customHeight="1" x14ac:dyDescent="0.15"/>
    <row r="4278" s="9" customFormat="1" ht="35.1" customHeight="1" x14ac:dyDescent="0.15"/>
    <row r="4279" s="9" customFormat="1" ht="21.95" customHeight="1" x14ac:dyDescent="0.15"/>
    <row r="4280" s="9" customFormat="1" ht="21.95" customHeight="1" x14ac:dyDescent="0.15"/>
    <row r="4281" s="9" customFormat="1" ht="21.95" customHeight="1" x14ac:dyDescent="0.15"/>
    <row r="4282" s="9" customFormat="1" ht="21.95" customHeight="1" x14ac:dyDescent="0.15"/>
    <row r="4283" s="9" customFormat="1" ht="21.95" customHeight="1" x14ac:dyDescent="0.15"/>
    <row r="4284" s="9" customFormat="1" ht="21.95" customHeight="1" x14ac:dyDescent="0.15"/>
    <row r="4285" s="9" customFormat="1" ht="21.95" customHeight="1" x14ac:dyDescent="0.15"/>
    <row r="4286" s="9" customFormat="1" ht="21.95" customHeight="1" x14ac:dyDescent="0.15"/>
    <row r="4287" s="9" customFormat="1" ht="21.95" customHeight="1" x14ac:dyDescent="0.15"/>
    <row r="4288" s="9" customFormat="1" ht="21.95" customHeight="1" x14ac:dyDescent="0.15"/>
    <row r="4289" spans="3:3" s="9" customFormat="1" ht="21.95" customHeight="1" x14ac:dyDescent="0.15"/>
    <row r="4290" spans="3:3" s="9" customFormat="1" ht="21.95" customHeight="1" x14ac:dyDescent="0.15"/>
    <row r="4291" spans="3:3" s="9" customFormat="1" ht="21.95" customHeight="1" x14ac:dyDescent="0.15"/>
    <row r="4292" spans="3:3" s="9" customFormat="1" ht="21.95" customHeight="1" x14ac:dyDescent="0.15"/>
    <row r="4293" spans="3:3" s="9" customFormat="1" ht="21.95" customHeight="1" x14ac:dyDescent="0.15"/>
    <row r="4294" spans="3:3" s="9" customFormat="1" ht="21.95" customHeight="1" x14ac:dyDescent="0.15"/>
    <row r="4295" spans="3:3" s="9" customFormat="1" ht="21.95" customHeight="1" x14ac:dyDescent="0.15"/>
    <row r="4296" spans="3:3" s="9" customFormat="1" ht="21.95" customHeight="1" x14ac:dyDescent="0.15"/>
    <row r="4297" spans="3:3" s="9" customFormat="1" ht="21.95" customHeight="1" x14ac:dyDescent="0.15"/>
    <row r="4298" spans="3:3" s="9" customFormat="1" ht="21.95" customHeight="1" x14ac:dyDescent="0.15"/>
    <row r="4299" spans="3:3" s="9" customFormat="1" ht="21.95" customHeight="1" x14ac:dyDescent="0.15"/>
    <row r="4300" spans="3:3" s="9" customFormat="1" ht="21.95" customHeight="1" x14ac:dyDescent="0.15"/>
    <row r="4301" spans="3:3" s="9" customFormat="1" ht="21.95" customHeight="1" x14ac:dyDescent="0.15"/>
    <row r="4302" spans="3:3" s="8" customFormat="1" ht="21.95" customHeight="1" x14ac:dyDescent="0.15"/>
    <row r="4303" spans="3:3" s="8" customFormat="1" ht="21.95" customHeight="1" x14ac:dyDescent="0.15"/>
    <row r="4304" spans="3:3" s="8" customFormat="1" ht="21.95" customHeight="1" x14ac:dyDescent="0.15">
      <c r="C4304" s="101"/>
    </row>
    <row r="4305" spans="3:3" s="8" customFormat="1" ht="21.95" customHeight="1" x14ac:dyDescent="0.15">
      <c r="C4305" s="101"/>
    </row>
    <row r="4306" spans="3:3" s="8" customFormat="1" ht="21.95" customHeight="1" x14ac:dyDescent="0.15"/>
    <row r="4307" spans="3:3" s="8" customFormat="1" ht="21.95" customHeight="1" x14ac:dyDescent="0.15"/>
    <row r="4308" spans="3:3" s="8" customFormat="1" ht="21.95" customHeight="1" x14ac:dyDescent="0.15"/>
    <row r="4309" spans="3:3" s="8" customFormat="1" ht="21.95" customHeight="1" x14ac:dyDescent="0.15"/>
    <row r="4310" spans="3:3" s="8" customFormat="1" ht="21.95" customHeight="1" x14ac:dyDescent="0.15"/>
    <row r="4311" spans="3:3" s="8" customFormat="1" ht="21.95" customHeight="1" x14ac:dyDescent="0.15"/>
    <row r="4312" spans="3:3" s="8" customFormat="1" ht="21.95" customHeight="1" x14ac:dyDescent="0.15"/>
    <row r="4313" spans="3:3" s="9" customFormat="1" ht="21.95" customHeight="1" x14ac:dyDescent="0.15"/>
    <row r="4314" spans="3:3" s="9" customFormat="1" ht="21.95" customHeight="1" x14ac:dyDescent="0.15"/>
    <row r="4315" spans="3:3" s="9" customFormat="1" ht="21.95" customHeight="1" x14ac:dyDescent="0.15"/>
    <row r="4316" spans="3:3" s="9" customFormat="1" ht="21.95" customHeight="1" x14ac:dyDescent="0.15"/>
    <row r="4317" spans="3:3" s="8" customFormat="1" ht="21.95" customHeight="1" x14ac:dyDescent="0.15"/>
    <row r="4318" spans="3:3" s="8" customFormat="1" ht="21.95" customHeight="1" x14ac:dyDescent="0.15"/>
    <row r="4319" spans="3:3" s="8" customFormat="1" ht="21.95" customHeight="1" x14ac:dyDescent="0.15"/>
    <row r="4320" spans="3:3" s="8" customFormat="1" ht="21.95" customHeight="1" x14ac:dyDescent="0.15"/>
    <row r="4321" s="8" customFormat="1" ht="21.95" customHeight="1" x14ac:dyDescent="0.15"/>
    <row r="4322" s="8" customFormat="1" ht="21.95" customHeight="1" x14ac:dyDescent="0.15"/>
    <row r="4323" s="8" customFormat="1" ht="21.95" customHeight="1" x14ac:dyDescent="0.15"/>
    <row r="4324" s="8" customFormat="1" ht="21.95" customHeight="1" x14ac:dyDescent="0.15"/>
    <row r="4325" s="8" customFormat="1" ht="21.95" customHeight="1" x14ac:dyDescent="0.15"/>
    <row r="4326" s="8" customFormat="1" ht="21.95" customHeight="1" x14ac:dyDescent="0.15"/>
    <row r="4327" s="8" customFormat="1" ht="21.95" customHeight="1" x14ac:dyDescent="0.15"/>
    <row r="4328" s="8" customFormat="1" ht="32.1" customHeight="1" x14ac:dyDescent="0.15"/>
    <row r="4329" s="8" customFormat="1" ht="32.1" customHeight="1" x14ac:dyDescent="0.15"/>
    <row r="4330" s="8" customFormat="1" ht="32.1" customHeight="1" x14ac:dyDescent="0.15"/>
    <row r="4331" s="8" customFormat="1" ht="32.1" customHeight="1" x14ac:dyDescent="0.15"/>
    <row r="4332" s="8" customFormat="1" ht="32.1" customHeight="1" x14ac:dyDescent="0.15"/>
    <row r="4333" s="8" customFormat="1" ht="32.1" customHeight="1" x14ac:dyDescent="0.15"/>
    <row r="4334" s="9" customFormat="1" ht="32.1" customHeight="1" x14ac:dyDescent="0.15"/>
    <row r="4335" s="9" customFormat="1" ht="32.1" customHeight="1" x14ac:dyDescent="0.15"/>
    <row r="4336" s="9" customFormat="1" ht="32.1" customHeight="1" x14ac:dyDescent="0.15"/>
    <row r="4337" s="9" customFormat="1" ht="32.1" customHeight="1" x14ac:dyDescent="0.15"/>
    <row r="4338" s="9" customFormat="1" ht="21.95" customHeight="1" x14ac:dyDescent="0.15"/>
    <row r="4339" s="9" customFormat="1" ht="54" customHeight="1" x14ac:dyDescent="0.15"/>
    <row r="4340" s="9" customFormat="1" ht="21.95" customHeight="1" x14ac:dyDescent="0.15"/>
    <row r="4341" s="9" customFormat="1" ht="21.95" customHeight="1" x14ac:dyDescent="0.15"/>
    <row r="4342" s="9" customFormat="1" ht="21.95" customHeight="1" x14ac:dyDescent="0.15"/>
    <row r="4343" s="9" customFormat="1" ht="21.95" customHeight="1" x14ac:dyDescent="0.15"/>
    <row r="4344" s="9" customFormat="1" ht="21.95" customHeight="1" x14ac:dyDescent="0.15"/>
    <row r="4345" s="9" customFormat="1" ht="21.95" customHeight="1" x14ac:dyDescent="0.15"/>
    <row r="4346" s="9" customFormat="1" ht="21.95" customHeight="1" x14ac:dyDescent="0.15"/>
    <row r="4347" s="9" customFormat="1" ht="21.95" customHeight="1" x14ac:dyDescent="0.15"/>
    <row r="4348" s="9" customFormat="1" ht="21.95" customHeight="1" x14ac:dyDescent="0.15"/>
    <row r="4349" s="9" customFormat="1" ht="21.95" customHeight="1" x14ac:dyDescent="0.15"/>
    <row r="4350" s="9" customFormat="1" ht="21.95" customHeight="1" x14ac:dyDescent="0.15"/>
    <row r="4351" s="9" customFormat="1" ht="21.95" customHeight="1" x14ac:dyDescent="0.15"/>
    <row r="4352" s="9" customFormat="1" ht="21.95" customHeight="1" x14ac:dyDescent="0.15"/>
    <row r="4353" s="9" customFormat="1" ht="21.95" customHeight="1" x14ac:dyDescent="0.15"/>
    <row r="4354" s="9" customFormat="1" ht="21.95" customHeight="1" x14ac:dyDescent="0.15"/>
    <row r="4355" s="9" customFormat="1" ht="21.95" customHeight="1" x14ac:dyDescent="0.15"/>
    <row r="4356" s="9" customFormat="1" ht="21.95" customHeight="1" x14ac:dyDescent="0.15"/>
    <row r="4357" s="9" customFormat="1" ht="21.95" customHeight="1" x14ac:dyDescent="0.15"/>
    <row r="4358" s="9" customFormat="1" ht="21.95" customHeight="1" x14ac:dyDescent="0.15"/>
    <row r="4359" s="9" customFormat="1" ht="21.95" customHeight="1" x14ac:dyDescent="0.15"/>
    <row r="4360" s="9" customFormat="1" ht="21.95" customHeight="1" x14ac:dyDescent="0.15"/>
    <row r="4361" s="9" customFormat="1" ht="21.95" customHeight="1" x14ac:dyDescent="0.15"/>
    <row r="4362" s="9" customFormat="1" ht="21.95" customHeight="1" x14ac:dyDescent="0.15"/>
    <row r="4363" s="9" customFormat="1" ht="21.95" customHeight="1" x14ac:dyDescent="0.15"/>
    <row r="4364" s="9" customFormat="1" ht="21.95" customHeight="1" x14ac:dyDescent="0.15"/>
    <row r="4365" s="9" customFormat="1" ht="21.95" customHeight="1" x14ac:dyDescent="0.15"/>
    <row r="4366" s="9" customFormat="1" ht="21.95" customHeight="1" x14ac:dyDescent="0.15"/>
    <row r="4367" s="9" customFormat="1" ht="21.95" customHeight="1" x14ac:dyDescent="0.15"/>
    <row r="4368" s="9" customFormat="1" ht="21.95" customHeight="1" x14ac:dyDescent="0.15"/>
    <row r="4369" s="9" customFormat="1" ht="21.95" customHeight="1" x14ac:dyDescent="0.15"/>
    <row r="4370" s="9" customFormat="1" ht="21.95" customHeight="1" x14ac:dyDescent="0.15"/>
    <row r="4371" s="9" customFormat="1" ht="21.95" customHeight="1" x14ac:dyDescent="0.15"/>
    <row r="4372" s="9" customFormat="1" ht="21.95" customHeight="1" x14ac:dyDescent="0.15"/>
    <row r="4373" s="9" customFormat="1" ht="21.95" customHeight="1" x14ac:dyDescent="0.15"/>
    <row r="4374" s="9" customFormat="1" ht="21.95" customHeight="1" x14ac:dyDescent="0.15"/>
    <row r="4375" s="9" customFormat="1" ht="21.95" customHeight="1" x14ac:dyDescent="0.15"/>
    <row r="4376" s="9" customFormat="1" ht="21.95" customHeight="1" x14ac:dyDescent="0.15"/>
    <row r="4377" s="9" customFormat="1" ht="21.95" customHeight="1" x14ac:dyDescent="0.15"/>
    <row r="4378" s="9" customFormat="1" ht="21.95" customHeight="1" x14ac:dyDescent="0.15"/>
    <row r="4379" s="9" customFormat="1" ht="21.95" customHeight="1" x14ac:dyDescent="0.15"/>
    <row r="4380" s="9" customFormat="1" ht="21.95" customHeight="1" x14ac:dyDescent="0.15"/>
    <row r="4381" s="9" customFormat="1" ht="21.95" customHeight="1" x14ac:dyDescent="0.15"/>
    <row r="4382" s="9" customFormat="1" ht="21.95" customHeight="1" x14ac:dyDescent="0.15"/>
    <row r="4383" s="9" customFormat="1" ht="21.95" customHeight="1" x14ac:dyDescent="0.15"/>
    <row r="4384" s="9" customFormat="1" ht="21.95" customHeight="1" x14ac:dyDescent="0.15"/>
    <row r="4385" s="9" customFormat="1" ht="21.95" customHeight="1" x14ac:dyDescent="0.15"/>
    <row r="4386" s="9" customFormat="1" ht="21.95" customHeight="1" x14ac:dyDescent="0.15"/>
    <row r="4387" s="9" customFormat="1" ht="21.95" customHeight="1" x14ac:dyDescent="0.15"/>
    <row r="4388" s="9" customFormat="1" ht="21.95" customHeight="1" x14ac:dyDescent="0.15"/>
    <row r="4389" s="9" customFormat="1" ht="21.95" customHeight="1" x14ac:dyDescent="0.15"/>
    <row r="4390" s="9" customFormat="1" ht="35.1" customHeight="1" x14ac:dyDescent="0.15"/>
    <row r="4391" s="9" customFormat="1" ht="21.95" customHeight="1" x14ac:dyDescent="0.15"/>
    <row r="4392" s="9" customFormat="1" ht="21.95" customHeight="1" x14ac:dyDescent="0.15"/>
    <row r="4393" s="9" customFormat="1" ht="21.95" customHeight="1" x14ac:dyDescent="0.15"/>
    <row r="4394" s="9" customFormat="1" ht="21.95" customHeight="1" x14ac:dyDescent="0.15"/>
    <row r="4395" s="9" customFormat="1" ht="21.95" customHeight="1" x14ac:dyDescent="0.15"/>
    <row r="4396" s="9" customFormat="1" ht="21.95" customHeight="1" x14ac:dyDescent="0.15"/>
    <row r="4397" s="9" customFormat="1" ht="21.95" customHeight="1" x14ac:dyDescent="0.15"/>
    <row r="4398" s="9" customFormat="1" ht="21.95" customHeight="1" x14ac:dyDescent="0.15"/>
    <row r="4399" s="9" customFormat="1" ht="21.95" customHeight="1" x14ac:dyDescent="0.15"/>
    <row r="4400" s="9" customFormat="1" ht="21.95" customHeight="1" x14ac:dyDescent="0.15"/>
    <row r="4401" spans="3:3" s="9" customFormat="1" ht="21.95" customHeight="1" x14ac:dyDescent="0.15"/>
    <row r="4402" spans="3:3" s="9" customFormat="1" ht="21.95" customHeight="1" x14ac:dyDescent="0.15"/>
    <row r="4403" spans="3:3" s="9" customFormat="1" ht="21.95" customHeight="1" x14ac:dyDescent="0.15"/>
    <row r="4404" spans="3:3" s="9" customFormat="1" ht="21.95" customHeight="1" x14ac:dyDescent="0.15"/>
    <row r="4405" spans="3:3" s="9" customFormat="1" ht="21.95" customHeight="1" x14ac:dyDescent="0.15"/>
    <row r="4406" spans="3:3" s="9" customFormat="1" ht="21.95" customHeight="1" x14ac:dyDescent="0.15"/>
    <row r="4407" spans="3:3" s="9" customFormat="1" ht="21.95" customHeight="1" x14ac:dyDescent="0.15"/>
    <row r="4408" spans="3:3" s="9" customFormat="1" ht="21.95" customHeight="1" x14ac:dyDescent="0.15"/>
    <row r="4409" spans="3:3" s="9" customFormat="1" ht="21.95" customHeight="1" x14ac:dyDescent="0.15"/>
    <row r="4410" spans="3:3" s="9" customFormat="1" ht="21.95" customHeight="1" x14ac:dyDescent="0.15"/>
    <row r="4411" spans="3:3" s="9" customFormat="1" ht="21.95" customHeight="1" x14ac:dyDescent="0.15"/>
    <row r="4412" spans="3:3" s="9" customFormat="1" ht="21.95" customHeight="1" x14ac:dyDescent="0.15"/>
    <row r="4413" spans="3:3" s="9" customFormat="1" ht="21.95" customHeight="1" x14ac:dyDescent="0.15"/>
    <row r="4414" spans="3:3" s="8" customFormat="1" ht="21.95" customHeight="1" x14ac:dyDescent="0.15"/>
    <row r="4415" spans="3:3" s="8" customFormat="1" ht="21.95" customHeight="1" x14ac:dyDescent="0.15"/>
    <row r="4416" spans="3:3" s="8" customFormat="1" ht="21.95" customHeight="1" x14ac:dyDescent="0.15">
      <c r="C4416" s="101"/>
    </row>
    <row r="4417" spans="3:3" s="8" customFormat="1" ht="21.95" customHeight="1" x14ac:dyDescent="0.15">
      <c r="C4417" s="101"/>
    </row>
    <row r="4418" spans="3:3" s="8" customFormat="1" ht="21.95" customHeight="1" x14ac:dyDescent="0.15"/>
    <row r="4419" spans="3:3" s="8" customFormat="1" ht="21.95" customHeight="1" x14ac:dyDescent="0.15"/>
    <row r="4420" spans="3:3" s="8" customFormat="1" ht="21.95" customHeight="1" x14ac:dyDescent="0.15"/>
    <row r="4421" spans="3:3" s="8" customFormat="1" ht="21.95" customHeight="1" x14ac:dyDescent="0.15"/>
    <row r="4422" spans="3:3" s="8" customFormat="1" ht="21.95" customHeight="1" x14ac:dyDescent="0.15"/>
    <row r="4423" spans="3:3" s="8" customFormat="1" ht="21.95" customHeight="1" x14ac:dyDescent="0.15"/>
    <row r="4424" spans="3:3" s="8" customFormat="1" ht="21.95" customHeight="1" x14ac:dyDescent="0.15"/>
    <row r="4425" spans="3:3" s="9" customFormat="1" ht="21.95" customHeight="1" x14ac:dyDescent="0.15"/>
    <row r="4426" spans="3:3" s="9" customFormat="1" ht="21.95" customHeight="1" x14ac:dyDescent="0.15"/>
    <row r="4427" spans="3:3" s="9" customFormat="1" ht="21.95" customHeight="1" x14ac:dyDescent="0.15"/>
    <row r="4428" spans="3:3" s="9" customFormat="1" ht="21.95" customHeight="1" x14ac:dyDescent="0.15"/>
    <row r="4429" spans="3:3" s="8" customFormat="1" ht="21.95" customHeight="1" x14ac:dyDescent="0.15"/>
    <row r="4430" spans="3:3" s="8" customFormat="1" ht="21.95" customHeight="1" x14ac:dyDescent="0.15"/>
    <row r="4431" spans="3:3" s="8" customFormat="1" ht="21.95" customHeight="1" x14ac:dyDescent="0.15"/>
    <row r="4432" spans="3:3" s="8" customFormat="1" ht="21.95" customHeight="1" x14ac:dyDescent="0.15"/>
    <row r="4433" s="8" customFormat="1" ht="21.95" customHeight="1" x14ac:dyDescent="0.15"/>
    <row r="4434" s="8" customFormat="1" ht="21.95" customHeight="1" x14ac:dyDescent="0.15"/>
    <row r="4435" s="8" customFormat="1" ht="21.95" customHeight="1" x14ac:dyDescent="0.15"/>
    <row r="4436" s="8" customFormat="1" ht="21.95" customHeight="1" x14ac:dyDescent="0.15"/>
    <row r="4437" s="8" customFormat="1" ht="21.95" customHeight="1" x14ac:dyDescent="0.15"/>
    <row r="4438" s="8" customFormat="1" ht="21.95" customHeight="1" x14ac:dyDescent="0.15"/>
    <row r="4439" s="8" customFormat="1" ht="21.95" customHeight="1" x14ac:dyDescent="0.15"/>
    <row r="4440" s="8" customFormat="1" ht="32.1" customHeight="1" x14ac:dyDescent="0.15"/>
    <row r="4441" s="8" customFormat="1" ht="32.1" customHeight="1" x14ac:dyDescent="0.15"/>
    <row r="4442" s="8" customFormat="1" ht="32.1" customHeight="1" x14ac:dyDescent="0.15"/>
    <row r="4443" s="8" customFormat="1" ht="32.1" customHeight="1" x14ac:dyDescent="0.15"/>
    <row r="4444" s="8" customFormat="1" ht="32.1" customHeight="1" x14ac:dyDescent="0.15"/>
    <row r="4445" s="8" customFormat="1" ht="32.1" customHeight="1" x14ac:dyDescent="0.15"/>
    <row r="4446" s="9" customFormat="1" ht="32.1" customHeight="1" x14ac:dyDescent="0.15"/>
    <row r="4447" s="9" customFormat="1" ht="32.1" customHeight="1" x14ac:dyDescent="0.15"/>
    <row r="4448" s="9" customFormat="1" ht="32.1" customHeight="1" x14ac:dyDescent="0.15"/>
    <row r="4449" s="9" customFormat="1" ht="32.1" customHeight="1" x14ac:dyDescent="0.15"/>
    <row r="4450" s="9" customFormat="1" ht="21.95" customHeight="1" x14ac:dyDescent="0.15"/>
    <row r="4451" s="9" customFormat="1" ht="54" customHeight="1" x14ac:dyDescent="0.15"/>
    <row r="4452" s="9" customFormat="1" ht="21.95" customHeight="1" x14ac:dyDescent="0.15"/>
    <row r="4453" s="9" customFormat="1" ht="21.95" customHeight="1" x14ac:dyDescent="0.15"/>
    <row r="4454" s="9" customFormat="1" ht="21.95" customHeight="1" x14ac:dyDescent="0.15"/>
    <row r="4455" s="9" customFormat="1" ht="21.95" customHeight="1" x14ac:dyDescent="0.15"/>
    <row r="4456" s="9" customFormat="1" ht="21.95" customHeight="1" x14ac:dyDescent="0.15"/>
    <row r="4457" s="9" customFormat="1" ht="21.95" customHeight="1" x14ac:dyDescent="0.15"/>
    <row r="4458" s="9" customFormat="1" ht="21.95" customHeight="1" x14ac:dyDescent="0.15"/>
    <row r="4459" s="9" customFormat="1" ht="21.95" customHeight="1" x14ac:dyDescent="0.15"/>
    <row r="4460" s="9" customFormat="1" ht="21.95" customHeight="1" x14ac:dyDescent="0.15"/>
    <row r="4461" s="9" customFormat="1" ht="21.95" customHeight="1" x14ac:dyDescent="0.15"/>
    <row r="4462" s="9" customFormat="1" ht="21.95" customHeight="1" x14ac:dyDescent="0.15"/>
    <row r="4463" s="9" customFormat="1" ht="21.95" customHeight="1" x14ac:dyDescent="0.15"/>
    <row r="4464" s="9" customFormat="1" ht="21.95" customHeight="1" x14ac:dyDescent="0.15"/>
    <row r="4465" s="9" customFormat="1" ht="21.95" customHeight="1" x14ac:dyDescent="0.15"/>
    <row r="4466" s="9" customFormat="1" ht="21.95" customHeight="1" x14ac:dyDescent="0.15"/>
    <row r="4467" s="9" customFormat="1" ht="21.95" customHeight="1" x14ac:dyDescent="0.15"/>
    <row r="4468" s="9" customFormat="1" ht="21.95" customHeight="1" x14ac:dyDescent="0.15"/>
    <row r="4469" s="9" customFormat="1" ht="21.95" customHeight="1" x14ac:dyDescent="0.15"/>
    <row r="4470" s="9" customFormat="1" ht="21.95" customHeight="1" x14ac:dyDescent="0.15"/>
    <row r="4471" s="9" customFormat="1" ht="21.95" customHeight="1" x14ac:dyDescent="0.15"/>
    <row r="4472" s="9" customFormat="1" ht="21.95" customHeight="1" x14ac:dyDescent="0.15"/>
    <row r="4473" s="9" customFormat="1" ht="21.95" customHeight="1" x14ac:dyDescent="0.15"/>
    <row r="4474" s="9" customFormat="1" ht="21.95" customHeight="1" x14ac:dyDescent="0.15"/>
    <row r="4475" s="9" customFormat="1" ht="21.95" customHeight="1" x14ac:dyDescent="0.15"/>
    <row r="4476" s="9" customFormat="1" ht="21.95" customHeight="1" x14ac:dyDescent="0.15"/>
    <row r="4477" s="9" customFormat="1" ht="21.95" customHeight="1" x14ac:dyDescent="0.15"/>
    <row r="4478" s="9" customFormat="1" ht="21.95" customHeight="1" x14ac:dyDescent="0.15"/>
    <row r="4479" s="9" customFormat="1" ht="21.95" customHeight="1" x14ac:dyDescent="0.15"/>
    <row r="4480" s="9" customFormat="1" ht="21.95" customHeight="1" x14ac:dyDescent="0.15"/>
    <row r="4481" s="9" customFormat="1" ht="21.95" customHeight="1" x14ac:dyDescent="0.15"/>
    <row r="4482" s="9" customFormat="1" ht="21.95" customHeight="1" x14ac:dyDescent="0.15"/>
    <row r="4483" s="9" customFormat="1" ht="21.95" customHeight="1" x14ac:dyDescent="0.15"/>
    <row r="4484" s="9" customFormat="1" ht="21.95" customHeight="1" x14ac:dyDescent="0.15"/>
    <row r="4485" s="9" customFormat="1" ht="21.95" customHeight="1" x14ac:dyDescent="0.15"/>
    <row r="4486" s="9" customFormat="1" ht="21.95" customHeight="1" x14ac:dyDescent="0.15"/>
    <row r="4487" s="9" customFormat="1" ht="21.95" customHeight="1" x14ac:dyDescent="0.15"/>
    <row r="4488" s="9" customFormat="1" ht="21.95" customHeight="1" x14ac:dyDescent="0.15"/>
    <row r="4489" s="9" customFormat="1" ht="21.95" customHeight="1" x14ac:dyDescent="0.15"/>
    <row r="4490" s="9" customFormat="1" ht="21.95" customHeight="1" x14ac:dyDescent="0.15"/>
    <row r="4491" s="9" customFormat="1" ht="21.95" customHeight="1" x14ac:dyDescent="0.15"/>
    <row r="4492" s="9" customFormat="1" ht="21.95" customHeight="1" x14ac:dyDescent="0.15"/>
    <row r="4493" s="9" customFormat="1" ht="21.95" customHeight="1" x14ac:dyDescent="0.15"/>
    <row r="4494" s="9" customFormat="1" ht="21.95" customHeight="1" x14ac:dyDescent="0.15"/>
    <row r="4495" s="9" customFormat="1" ht="21.95" customHeight="1" x14ac:dyDescent="0.15"/>
    <row r="4496" s="9" customFormat="1" ht="21.95" customHeight="1" x14ac:dyDescent="0.15"/>
    <row r="4497" s="9" customFormat="1" ht="21.95" customHeight="1" x14ac:dyDescent="0.15"/>
    <row r="4498" s="9" customFormat="1" ht="21.95" customHeight="1" x14ac:dyDescent="0.15"/>
    <row r="4499" s="9" customFormat="1" ht="21.95" customHeight="1" x14ac:dyDescent="0.15"/>
    <row r="4500" s="9" customFormat="1" ht="21.95" customHeight="1" x14ac:dyDescent="0.15"/>
    <row r="4501" s="9" customFormat="1" ht="21.95" customHeight="1" x14ac:dyDescent="0.15"/>
    <row r="4502" s="9" customFormat="1" ht="35.1" customHeight="1" x14ac:dyDescent="0.15"/>
    <row r="4503" s="9" customFormat="1" ht="21.95" customHeight="1" x14ac:dyDescent="0.15"/>
    <row r="4504" s="9" customFormat="1" ht="21.95" customHeight="1" x14ac:dyDescent="0.15"/>
    <row r="4505" s="9" customFormat="1" ht="21.95" customHeight="1" x14ac:dyDescent="0.15"/>
    <row r="4506" s="9" customFormat="1" ht="21.95" customHeight="1" x14ac:dyDescent="0.15"/>
    <row r="4507" s="9" customFormat="1" ht="21.95" customHeight="1" x14ac:dyDescent="0.15"/>
    <row r="4508" s="9" customFormat="1" ht="21.95" customHeight="1" x14ac:dyDescent="0.15"/>
    <row r="4509" s="9" customFormat="1" ht="21.95" customHeight="1" x14ac:dyDescent="0.15"/>
    <row r="4510" s="9" customFormat="1" ht="21.95" customHeight="1" x14ac:dyDescent="0.15"/>
    <row r="4511" s="9" customFormat="1" ht="21.95" customHeight="1" x14ac:dyDescent="0.15"/>
    <row r="4512" s="9" customFormat="1" ht="21.95" customHeight="1" x14ac:dyDescent="0.15"/>
    <row r="4513" spans="3:3" s="9" customFormat="1" ht="21.95" customHeight="1" x14ac:dyDescent="0.15"/>
    <row r="4514" spans="3:3" s="9" customFormat="1" ht="21.95" customHeight="1" x14ac:dyDescent="0.15"/>
    <row r="4515" spans="3:3" s="9" customFormat="1" ht="21.95" customHeight="1" x14ac:dyDescent="0.15"/>
    <row r="4516" spans="3:3" s="9" customFormat="1" ht="21.95" customHeight="1" x14ac:dyDescent="0.15"/>
    <row r="4517" spans="3:3" s="9" customFormat="1" ht="21.95" customHeight="1" x14ac:dyDescent="0.15"/>
    <row r="4518" spans="3:3" s="9" customFormat="1" ht="21.95" customHeight="1" x14ac:dyDescent="0.15"/>
    <row r="4519" spans="3:3" s="9" customFormat="1" ht="21.95" customHeight="1" x14ac:dyDescent="0.15"/>
    <row r="4520" spans="3:3" s="9" customFormat="1" ht="21.95" customHeight="1" x14ac:dyDescent="0.15"/>
    <row r="4521" spans="3:3" s="9" customFormat="1" ht="21.95" customHeight="1" x14ac:dyDescent="0.15"/>
    <row r="4522" spans="3:3" s="9" customFormat="1" ht="21.95" customHeight="1" x14ac:dyDescent="0.15"/>
    <row r="4523" spans="3:3" s="9" customFormat="1" ht="21.95" customHeight="1" x14ac:dyDescent="0.15"/>
    <row r="4524" spans="3:3" s="9" customFormat="1" ht="21.95" customHeight="1" x14ac:dyDescent="0.15"/>
    <row r="4525" spans="3:3" s="9" customFormat="1" ht="21.95" customHeight="1" x14ac:dyDescent="0.15"/>
    <row r="4526" spans="3:3" s="8" customFormat="1" ht="21.95" customHeight="1" x14ac:dyDescent="0.15"/>
    <row r="4527" spans="3:3" s="8" customFormat="1" ht="21.95" customHeight="1" x14ac:dyDescent="0.15"/>
    <row r="4528" spans="3:3" s="8" customFormat="1" ht="21.95" customHeight="1" x14ac:dyDescent="0.15">
      <c r="C4528" s="101"/>
    </row>
    <row r="4529" spans="3:3" s="8" customFormat="1" ht="21.95" customHeight="1" x14ac:dyDescent="0.15">
      <c r="C4529" s="101"/>
    </row>
    <row r="4530" spans="3:3" s="8" customFormat="1" ht="21.95" customHeight="1" x14ac:dyDescent="0.15"/>
    <row r="4531" spans="3:3" s="8" customFormat="1" ht="21.95" customHeight="1" x14ac:dyDescent="0.15"/>
    <row r="4532" spans="3:3" s="8" customFormat="1" ht="21.95" customHeight="1" x14ac:dyDescent="0.15"/>
    <row r="4533" spans="3:3" s="8" customFormat="1" ht="21.95" customHeight="1" x14ac:dyDescent="0.15"/>
    <row r="4534" spans="3:3" s="8" customFormat="1" ht="21.95" customHeight="1" x14ac:dyDescent="0.15"/>
    <row r="4535" spans="3:3" s="8" customFormat="1" ht="21.95" customHeight="1" x14ac:dyDescent="0.15"/>
    <row r="4536" spans="3:3" s="8" customFormat="1" ht="21.95" customHeight="1" x14ac:dyDescent="0.15"/>
    <row r="4537" spans="3:3" s="9" customFormat="1" ht="21.95" customHeight="1" x14ac:dyDescent="0.15"/>
    <row r="4538" spans="3:3" s="9" customFormat="1" ht="21.95" customHeight="1" x14ac:dyDescent="0.15"/>
    <row r="4539" spans="3:3" s="9" customFormat="1" ht="21.95" customHeight="1" x14ac:dyDescent="0.15"/>
    <row r="4540" spans="3:3" s="9" customFormat="1" ht="21.95" customHeight="1" x14ac:dyDescent="0.15"/>
    <row r="4541" spans="3:3" s="8" customFormat="1" ht="21.95" customHeight="1" x14ac:dyDescent="0.15"/>
    <row r="4542" spans="3:3" s="8" customFormat="1" ht="21.95" customHeight="1" x14ac:dyDescent="0.15"/>
    <row r="4543" spans="3:3" s="8" customFormat="1" ht="21.95" customHeight="1" x14ac:dyDescent="0.15"/>
    <row r="4544" spans="3:3" s="8" customFormat="1" ht="21.95" customHeight="1" x14ac:dyDescent="0.15"/>
    <row r="4545" s="8" customFormat="1" ht="21.95" customHeight="1" x14ac:dyDescent="0.15"/>
    <row r="4546" s="8" customFormat="1" ht="21.95" customHeight="1" x14ac:dyDescent="0.15"/>
    <row r="4547" s="8" customFormat="1" ht="21.95" customHeight="1" x14ac:dyDescent="0.15"/>
    <row r="4548" s="8" customFormat="1" ht="21.95" customHeight="1" x14ac:dyDescent="0.15"/>
    <row r="4549" s="8" customFormat="1" ht="21.95" customHeight="1" x14ac:dyDescent="0.15"/>
    <row r="4550" s="8" customFormat="1" ht="21.95" customHeight="1" x14ac:dyDescent="0.15"/>
    <row r="4551" s="8" customFormat="1" ht="21.95" customHeight="1" x14ac:dyDescent="0.15"/>
    <row r="4552" s="8" customFormat="1" ht="32.1" customHeight="1" x14ac:dyDescent="0.15"/>
    <row r="4553" s="8" customFormat="1" ht="32.1" customHeight="1" x14ac:dyDescent="0.15"/>
    <row r="4554" s="8" customFormat="1" ht="32.1" customHeight="1" x14ac:dyDescent="0.15"/>
    <row r="4555" s="8" customFormat="1" ht="32.1" customHeight="1" x14ac:dyDescent="0.15"/>
    <row r="4556" s="8" customFormat="1" ht="32.1" customHeight="1" x14ac:dyDescent="0.15"/>
    <row r="4557" s="8" customFormat="1" ht="32.1" customHeight="1" x14ac:dyDescent="0.15"/>
    <row r="4558" s="9" customFormat="1" ht="32.1" customHeight="1" x14ac:dyDescent="0.15"/>
    <row r="4559" s="9" customFormat="1" ht="32.1" customHeight="1" x14ac:dyDescent="0.15"/>
    <row r="4560" s="9" customFormat="1" ht="32.1" customHeight="1" x14ac:dyDescent="0.15"/>
    <row r="4561" s="9" customFormat="1" ht="32.1" customHeight="1" x14ac:dyDescent="0.15"/>
    <row r="4562" s="9" customFormat="1" ht="21.95" customHeight="1" x14ac:dyDescent="0.15"/>
    <row r="4563" s="9" customFormat="1" ht="54" customHeight="1" x14ac:dyDescent="0.15"/>
    <row r="4564" s="9" customFormat="1" ht="21.95" customHeight="1" x14ac:dyDescent="0.15"/>
    <row r="4565" s="9" customFormat="1" ht="21.95" customHeight="1" x14ac:dyDescent="0.15"/>
    <row r="4566" s="9" customFormat="1" ht="21.95" customHeight="1" x14ac:dyDescent="0.15"/>
    <row r="4567" s="9" customFormat="1" ht="21.95" customHeight="1" x14ac:dyDescent="0.15"/>
    <row r="4568" s="9" customFormat="1" ht="21.95" customHeight="1" x14ac:dyDescent="0.15"/>
    <row r="4569" s="9" customFormat="1" ht="21.95" customHeight="1" x14ac:dyDescent="0.15"/>
    <row r="4570" s="9" customFormat="1" ht="21.95" customHeight="1" x14ac:dyDescent="0.15"/>
    <row r="4571" s="9" customFormat="1" ht="21.95" customHeight="1" x14ac:dyDescent="0.15"/>
    <row r="4572" s="9" customFormat="1" ht="21.95" customHeight="1" x14ac:dyDescent="0.15"/>
    <row r="4573" s="9" customFormat="1" ht="21.95" customHeight="1" x14ac:dyDescent="0.15"/>
    <row r="4574" s="9" customFormat="1" ht="21.95" customHeight="1" x14ac:dyDescent="0.15"/>
    <row r="4575" s="9" customFormat="1" ht="21.95" customHeight="1" x14ac:dyDescent="0.15"/>
    <row r="4576" s="9" customFormat="1" ht="21.95" customHeight="1" x14ac:dyDescent="0.15"/>
    <row r="4577" s="9" customFormat="1" ht="21.95" customHeight="1" x14ac:dyDescent="0.15"/>
    <row r="4578" s="9" customFormat="1" ht="21.95" customHeight="1" x14ac:dyDescent="0.15"/>
    <row r="4579" s="9" customFormat="1" ht="21.95" customHeight="1" x14ac:dyDescent="0.15"/>
    <row r="4580" s="9" customFormat="1" ht="21.95" customHeight="1" x14ac:dyDescent="0.15"/>
    <row r="4581" s="9" customFormat="1" ht="21.95" customHeight="1" x14ac:dyDescent="0.15"/>
    <row r="4582" s="9" customFormat="1" ht="21.95" customHeight="1" x14ac:dyDescent="0.15"/>
    <row r="4583" s="9" customFormat="1" ht="21.95" customHeight="1" x14ac:dyDescent="0.15"/>
    <row r="4584" s="9" customFormat="1" ht="21.95" customHeight="1" x14ac:dyDescent="0.15"/>
    <row r="4585" s="9" customFormat="1" ht="21.95" customHeight="1" x14ac:dyDescent="0.15"/>
    <row r="4586" s="9" customFormat="1" ht="21.95" customHeight="1" x14ac:dyDescent="0.15"/>
    <row r="4587" s="9" customFormat="1" ht="21.95" customHeight="1" x14ac:dyDescent="0.15"/>
    <row r="4588" s="9" customFormat="1" ht="21.95" customHeight="1" x14ac:dyDescent="0.15"/>
    <row r="4589" s="9" customFormat="1" ht="21.95" customHeight="1" x14ac:dyDescent="0.15"/>
    <row r="4590" s="9" customFormat="1" ht="21.95" customHeight="1" x14ac:dyDescent="0.15"/>
    <row r="4591" s="9" customFormat="1" ht="21.95" customHeight="1" x14ac:dyDescent="0.15"/>
    <row r="4592" s="9" customFormat="1" ht="21.95" customHeight="1" x14ac:dyDescent="0.15"/>
    <row r="4593" s="9" customFormat="1" ht="21.95" customHeight="1" x14ac:dyDescent="0.15"/>
    <row r="4594" s="9" customFormat="1" ht="21.95" customHeight="1" x14ac:dyDescent="0.15"/>
    <row r="4595" s="9" customFormat="1" ht="21.95" customHeight="1" x14ac:dyDescent="0.15"/>
    <row r="4596" s="9" customFormat="1" ht="21.95" customHeight="1" x14ac:dyDescent="0.15"/>
    <row r="4597" s="9" customFormat="1" ht="21.95" customHeight="1" x14ac:dyDescent="0.15"/>
    <row r="4598" s="9" customFormat="1" ht="21.95" customHeight="1" x14ac:dyDescent="0.15"/>
    <row r="4599" s="9" customFormat="1" ht="21.95" customHeight="1" x14ac:dyDescent="0.15"/>
    <row r="4600" s="9" customFormat="1" ht="21.95" customHeight="1" x14ac:dyDescent="0.15"/>
    <row r="4601" s="9" customFormat="1" ht="21.95" customHeight="1" x14ac:dyDescent="0.15"/>
    <row r="4602" s="9" customFormat="1" ht="21.95" customHeight="1" x14ac:dyDescent="0.15"/>
    <row r="4603" s="9" customFormat="1" ht="21.95" customHeight="1" x14ac:dyDescent="0.15"/>
    <row r="4604" s="9" customFormat="1" ht="21.95" customHeight="1" x14ac:dyDescent="0.15"/>
    <row r="4605" s="9" customFormat="1" ht="21.95" customHeight="1" x14ac:dyDescent="0.15"/>
    <row r="4606" s="9" customFormat="1" ht="21.95" customHeight="1" x14ac:dyDescent="0.15"/>
    <row r="4607" s="9" customFormat="1" ht="21.95" customHeight="1" x14ac:dyDescent="0.15"/>
    <row r="4608" s="9" customFormat="1" ht="21.95" customHeight="1" x14ac:dyDescent="0.15"/>
    <row r="4609" s="9" customFormat="1" ht="21.95" customHeight="1" x14ac:dyDescent="0.15"/>
    <row r="4610" s="9" customFormat="1" ht="21.95" customHeight="1" x14ac:dyDescent="0.15"/>
    <row r="4611" s="9" customFormat="1" ht="21.95" customHeight="1" x14ac:dyDescent="0.15"/>
    <row r="4612" s="9" customFormat="1" ht="21.95" customHeight="1" x14ac:dyDescent="0.15"/>
    <row r="4613" s="9" customFormat="1" ht="21.95" customHeight="1" x14ac:dyDescent="0.15"/>
    <row r="4614" s="9" customFormat="1" ht="35.1" customHeight="1" x14ac:dyDescent="0.15"/>
    <row r="4615" s="9" customFormat="1" ht="21.95" customHeight="1" x14ac:dyDescent="0.15"/>
    <row r="4616" s="9" customFormat="1" ht="21.95" customHeight="1" x14ac:dyDescent="0.15"/>
    <row r="4617" s="9" customFormat="1" ht="21.95" customHeight="1" x14ac:dyDescent="0.15"/>
    <row r="4618" s="9" customFormat="1" ht="21.95" customHeight="1" x14ac:dyDescent="0.15"/>
    <row r="4619" s="9" customFormat="1" ht="21.95" customHeight="1" x14ac:dyDescent="0.15"/>
    <row r="4620" s="9" customFormat="1" ht="21.95" customHeight="1" x14ac:dyDescent="0.15"/>
    <row r="4621" s="9" customFormat="1" ht="21.95" customHeight="1" x14ac:dyDescent="0.15"/>
    <row r="4622" s="9" customFormat="1" ht="21.95" customHeight="1" x14ac:dyDescent="0.15"/>
    <row r="4623" s="9" customFormat="1" ht="21.95" customHeight="1" x14ac:dyDescent="0.15"/>
    <row r="4624" s="9" customFormat="1" ht="21.95" customHeight="1" x14ac:dyDescent="0.15"/>
    <row r="4625" spans="3:3" s="9" customFormat="1" ht="21.95" customHeight="1" x14ac:dyDescent="0.15"/>
    <row r="4626" spans="3:3" s="9" customFormat="1" ht="21.95" customHeight="1" x14ac:dyDescent="0.15"/>
    <row r="4627" spans="3:3" s="9" customFormat="1" ht="21.95" customHeight="1" x14ac:dyDescent="0.15"/>
    <row r="4628" spans="3:3" s="9" customFormat="1" ht="21.95" customHeight="1" x14ac:dyDescent="0.15"/>
    <row r="4629" spans="3:3" s="9" customFormat="1" ht="21.95" customHeight="1" x14ac:dyDescent="0.15"/>
    <row r="4630" spans="3:3" s="9" customFormat="1" ht="21.95" customHeight="1" x14ac:dyDescent="0.15"/>
    <row r="4631" spans="3:3" s="9" customFormat="1" ht="21.95" customHeight="1" x14ac:dyDescent="0.15"/>
    <row r="4632" spans="3:3" s="9" customFormat="1" ht="21.95" customHeight="1" x14ac:dyDescent="0.15"/>
    <row r="4633" spans="3:3" s="9" customFormat="1" ht="21.95" customHeight="1" x14ac:dyDescent="0.15"/>
    <row r="4634" spans="3:3" s="9" customFormat="1" ht="21.95" customHeight="1" x14ac:dyDescent="0.15"/>
    <row r="4635" spans="3:3" s="9" customFormat="1" ht="21.95" customHeight="1" x14ac:dyDescent="0.15"/>
    <row r="4636" spans="3:3" s="9" customFormat="1" ht="21.95" customHeight="1" x14ac:dyDescent="0.15"/>
    <row r="4637" spans="3:3" s="9" customFormat="1" ht="21.95" customHeight="1" x14ac:dyDescent="0.15"/>
    <row r="4638" spans="3:3" s="8" customFormat="1" ht="21.95" customHeight="1" x14ac:dyDescent="0.15"/>
    <row r="4639" spans="3:3" s="8" customFormat="1" ht="21.95" customHeight="1" x14ac:dyDescent="0.15"/>
    <row r="4640" spans="3:3" s="8" customFormat="1" ht="21.95" customHeight="1" x14ac:dyDescent="0.15">
      <c r="C4640" s="101"/>
    </row>
    <row r="4641" spans="3:3" s="8" customFormat="1" ht="21.95" customHeight="1" x14ac:dyDescent="0.15">
      <c r="C4641" s="101"/>
    </row>
    <row r="4642" spans="3:3" s="8" customFormat="1" ht="21.95" customHeight="1" x14ac:dyDescent="0.15"/>
    <row r="4643" spans="3:3" s="8" customFormat="1" ht="21.95" customHeight="1" x14ac:dyDescent="0.15"/>
    <row r="4644" spans="3:3" s="8" customFormat="1" ht="21.95" customHeight="1" x14ac:dyDescent="0.15"/>
    <row r="4645" spans="3:3" s="8" customFormat="1" ht="21.95" customHeight="1" x14ac:dyDescent="0.15"/>
    <row r="4646" spans="3:3" s="8" customFormat="1" ht="21.95" customHeight="1" x14ac:dyDescent="0.15"/>
    <row r="4647" spans="3:3" s="8" customFormat="1" ht="21.95" customHeight="1" x14ac:dyDescent="0.15"/>
    <row r="4648" spans="3:3" s="8" customFormat="1" ht="21.95" customHeight="1" x14ac:dyDescent="0.15"/>
    <row r="4649" spans="3:3" s="9" customFormat="1" ht="21.95" customHeight="1" x14ac:dyDescent="0.15"/>
    <row r="4650" spans="3:3" s="9" customFormat="1" ht="21.95" customHeight="1" x14ac:dyDescent="0.15"/>
    <row r="4651" spans="3:3" s="9" customFormat="1" ht="21.95" customHeight="1" x14ac:dyDescent="0.15"/>
    <row r="4652" spans="3:3" s="9" customFormat="1" ht="21.95" customHeight="1" x14ac:dyDescent="0.15"/>
    <row r="4653" spans="3:3" s="8" customFormat="1" ht="21.95" customHeight="1" x14ac:dyDescent="0.15"/>
    <row r="4654" spans="3:3" s="8" customFormat="1" ht="21.95" customHeight="1" x14ac:dyDescent="0.15"/>
    <row r="4655" spans="3:3" s="8" customFormat="1" ht="21.95" customHeight="1" x14ac:dyDescent="0.15"/>
    <row r="4656" spans="3:3" s="8" customFormat="1" ht="21.95" customHeight="1" x14ac:dyDescent="0.15"/>
    <row r="4657" s="8" customFormat="1" ht="21.95" customHeight="1" x14ac:dyDescent="0.15"/>
    <row r="4658" s="8" customFormat="1" ht="21.95" customHeight="1" x14ac:dyDescent="0.15"/>
    <row r="4659" s="8" customFormat="1" ht="21.95" customHeight="1" x14ac:dyDescent="0.15"/>
    <row r="4660" s="8" customFormat="1" ht="21.95" customHeight="1" x14ac:dyDescent="0.15"/>
    <row r="4661" s="8" customFormat="1" ht="21.95" customHeight="1" x14ac:dyDescent="0.15"/>
    <row r="4662" s="8" customFormat="1" ht="21.95" customHeight="1" x14ac:dyDescent="0.15"/>
    <row r="4663" s="8" customFormat="1" ht="21.95" customHeight="1" x14ac:dyDescent="0.15"/>
    <row r="4664" s="8" customFormat="1" ht="32.1" customHeight="1" x14ac:dyDescent="0.15"/>
    <row r="4665" s="8" customFormat="1" ht="32.1" customHeight="1" x14ac:dyDescent="0.15"/>
    <row r="4666" s="8" customFormat="1" ht="32.1" customHeight="1" x14ac:dyDescent="0.15"/>
    <row r="4667" s="8" customFormat="1" ht="32.1" customHeight="1" x14ac:dyDescent="0.15"/>
    <row r="4668" s="8" customFormat="1" ht="32.1" customHeight="1" x14ac:dyDescent="0.15"/>
    <row r="4669" s="8" customFormat="1" ht="32.1" customHeight="1" x14ac:dyDescent="0.15"/>
    <row r="4670" s="9" customFormat="1" ht="32.1" customHeight="1" x14ac:dyDescent="0.15"/>
    <row r="4671" s="9" customFormat="1" ht="32.1" customHeight="1" x14ac:dyDescent="0.15"/>
    <row r="4672" s="9" customFormat="1" ht="32.1" customHeight="1" x14ac:dyDescent="0.15"/>
    <row r="4673" s="9" customFormat="1" ht="32.1" customHeight="1" x14ac:dyDescent="0.15"/>
    <row r="4674" s="9" customFormat="1" ht="21.95" customHeight="1" x14ac:dyDescent="0.15"/>
    <row r="4675" s="9" customFormat="1" ht="54" customHeight="1" x14ac:dyDescent="0.15"/>
    <row r="4676" s="9" customFormat="1" ht="21.95" customHeight="1" x14ac:dyDescent="0.15"/>
    <row r="4677" s="9" customFormat="1" ht="21.95" customHeight="1" x14ac:dyDescent="0.15"/>
    <row r="4678" s="9" customFormat="1" ht="21.95" customHeight="1" x14ac:dyDescent="0.15"/>
    <row r="4679" s="9" customFormat="1" ht="21.95" customHeight="1" x14ac:dyDescent="0.15"/>
    <row r="4680" s="9" customFormat="1" ht="21.95" customHeight="1" x14ac:dyDescent="0.15"/>
    <row r="4681" s="9" customFormat="1" ht="21.95" customHeight="1" x14ac:dyDescent="0.15"/>
    <row r="4682" s="9" customFormat="1" ht="21.95" customHeight="1" x14ac:dyDescent="0.15"/>
    <row r="4683" s="9" customFormat="1" ht="21.95" customHeight="1" x14ac:dyDescent="0.15"/>
    <row r="4684" s="9" customFormat="1" ht="21.95" customHeight="1" x14ac:dyDescent="0.15"/>
    <row r="4685" s="9" customFormat="1" ht="21.95" customHeight="1" x14ac:dyDescent="0.15"/>
    <row r="4686" s="9" customFormat="1" ht="21.95" customHeight="1" x14ac:dyDescent="0.15"/>
    <row r="4687" s="9" customFormat="1" ht="21.95" customHeight="1" x14ac:dyDescent="0.15"/>
    <row r="4688" s="9" customFormat="1" ht="21.95" customHeight="1" x14ac:dyDescent="0.15"/>
    <row r="4689" s="9" customFormat="1" ht="21.95" customHeight="1" x14ac:dyDescent="0.15"/>
    <row r="4690" s="9" customFormat="1" ht="21.95" customHeight="1" x14ac:dyDescent="0.15"/>
    <row r="4691" s="9" customFormat="1" ht="21.95" customHeight="1" x14ac:dyDescent="0.15"/>
    <row r="4692" s="9" customFormat="1" ht="21.95" customHeight="1" x14ac:dyDescent="0.15"/>
    <row r="4693" s="9" customFormat="1" ht="21.95" customHeight="1" x14ac:dyDescent="0.15"/>
    <row r="4694" s="9" customFormat="1" ht="21.95" customHeight="1" x14ac:dyDescent="0.15"/>
    <row r="4695" s="9" customFormat="1" ht="21.95" customHeight="1" x14ac:dyDescent="0.15"/>
    <row r="4696" s="9" customFormat="1" ht="21.95" customHeight="1" x14ac:dyDescent="0.15"/>
    <row r="4697" s="9" customFormat="1" ht="21.95" customHeight="1" x14ac:dyDescent="0.15"/>
    <row r="4698" s="9" customFormat="1" ht="21.95" customHeight="1" x14ac:dyDescent="0.15"/>
    <row r="4699" s="9" customFormat="1" ht="21.95" customHeight="1" x14ac:dyDescent="0.15"/>
    <row r="4700" s="9" customFormat="1" ht="21.95" customHeight="1" x14ac:dyDescent="0.15"/>
    <row r="4701" s="9" customFormat="1" ht="21.95" customHeight="1" x14ac:dyDescent="0.15"/>
    <row r="4702" s="9" customFormat="1" ht="21.95" customHeight="1" x14ac:dyDescent="0.15"/>
    <row r="4703" s="9" customFormat="1" ht="21.95" customHeight="1" x14ac:dyDescent="0.15"/>
    <row r="4704" s="9" customFormat="1" ht="21.95" customHeight="1" x14ac:dyDescent="0.15"/>
    <row r="4705" s="9" customFormat="1" ht="21.95" customHeight="1" x14ac:dyDescent="0.15"/>
    <row r="4706" s="9" customFormat="1" ht="21.95" customHeight="1" x14ac:dyDescent="0.15"/>
    <row r="4707" s="9" customFormat="1" ht="21.95" customHeight="1" x14ac:dyDescent="0.15"/>
    <row r="4708" s="9" customFormat="1" ht="21.95" customHeight="1" x14ac:dyDescent="0.15"/>
    <row r="4709" s="9" customFormat="1" ht="21.95" customHeight="1" x14ac:dyDescent="0.15"/>
    <row r="4710" s="9" customFormat="1" ht="21.95" customHeight="1" x14ac:dyDescent="0.15"/>
    <row r="4711" s="9" customFormat="1" ht="21.95" customHeight="1" x14ac:dyDescent="0.15"/>
    <row r="4712" s="9" customFormat="1" ht="21.95" customHeight="1" x14ac:dyDescent="0.15"/>
    <row r="4713" s="9" customFormat="1" ht="21.95" customHeight="1" x14ac:dyDescent="0.15"/>
    <row r="4714" s="9" customFormat="1" ht="21.95" customHeight="1" x14ac:dyDescent="0.15"/>
    <row r="4715" s="9" customFormat="1" ht="21.95" customHeight="1" x14ac:dyDescent="0.15"/>
    <row r="4716" s="9" customFormat="1" ht="21.95" customHeight="1" x14ac:dyDescent="0.15"/>
    <row r="4717" s="9" customFormat="1" ht="21.95" customHeight="1" x14ac:dyDescent="0.15"/>
    <row r="4718" s="9" customFormat="1" ht="21.95" customHeight="1" x14ac:dyDescent="0.15"/>
    <row r="4719" s="9" customFormat="1" ht="21.95" customHeight="1" x14ac:dyDescent="0.15"/>
    <row r="4720" s="9" customFormat="1" ht="21.95" customHeight="1" x14ac:dyDescent="0.15"/>
    <row r="4721" s="9" customFormat="1" ht="21.95" customHeight="1" x14ac:dyDescent="0.15"/>
    <row r="4722" s="9" customFormat="1" ht="21.95" customHeight="1" x14ac:dyDescent="0.15"/>
    <row r="4723" s="9" customFormat="1" ht="21.95" customHeight="1" x14ac:dyDescent="0.15"/>
    <row r="4724" s="9" customFormat="1" ht="21.95" customHeight="1" x14ac:dyDescent="0.15"/>
    <row r="4725" s="9" customFormat="1" ht="21.95" customHeight="1" x14ac:dyDescent="0.15"/>
    <row r="4726" s="9" customFormat="1" ht="35.1" customHeight="1" x14ac:dyDescent="0.15"/>
    <row r="4727" s="9" customFormat="1" ht="21.95" customHeight="1" x14ac:dyDescent="0.15"/>
    <row r="4728" s="9" customFormat="1" ht="21.95" customHeight="1" x14ac:dyDescent="0.15"/>
    <row r="4729" s="9" customFormat="1" ht="21.95" customHeight="1" x14ac:dyDescent="0.15"/>
    <row r="4730" s="9" customFormat="1" ht="21.95" customHeight="1" x14ac:dyDescent="0.15"/>
    <row r="4731" s="9" customFormat="1" ht="21.95" customHeight="1" x14ac:dyDescent="0.15"/>
    <row r="4732" s="9" customFormat="1" ht="21.95" customHeight="1" x14ac:dyDescent="0.15"/>
    <row r="4733" s="9" customFormat="1" ht="21.95" customHeight="1" x14ac:dyDescent="0.15"/>
    <row r="4734" s="9" customFormat="1" ht="21.95" customHeight="1" x14ac:dyDescent="0.15"/>
    <row r="4735" s="9" customFormat="1" ht="21.95" customHeight="1" x14ac:dyDescent="0.15"/>
    <row r="4736" s="9" customFormat="1" ht="21.95" customHeight="1" x14ac:dyDescent="0.15"/>
    <row r="4737" spans="3:3" s="9" customFormat="1" ht="21.95" customHeight="1" x14ac:dyDescent="0.15"/>
    <row r="4738" spans="3:3" s="9" customFormat="1" ht="21.95" customHeight="1" x14ac:dyDescent="0.15"/>
    <row r="4739" spans="3:3" s="9" customFormat="1" ht="21.95" customHeight="1" x14ac:dyDescent="0.15"/>
    <row r="4740" spans="3:3" s="9" customFormat="1" ht="21.95" customHeight="1" x14ac:dyDescent="0.15"/>
    <row r="4741" spans="3:3" s="9" customFormat="1" ht="21.95" customHeight="1" x14ac:dyDescent="0.15"/>
    <row r="4742" spans="3:3" s="9" customFormat="1" ht="21.95" customHeight="1" x14ac:dyDescent="0.15"/>
    <row r="4743" spans="3:3" s="9" customFormat="1" ht="21.95" customHeight="1" x14ac:dyDescent="0.15"/>
    <row r="4744" spans="3:3" s="9" customFormat="1" ht="21.95" customHeight="1" x14ac:dyDescent="0.15"/>
    <row r="4745" spans="3:3" s="9" customFormat="1" ht="21.95" customHeight="1" x14ac:dyDescent="0.15"/>
    <row r="4746" spans="3:3" s="9" customFormat="1" ht="21.95" customHeight="1" x14ac:dyDescent="0.15"/>
    <row r="4747" spans="3:3" s="9" customFormat="1" ht="21.95" customHeight="1" x14ac:dyDescent="0.15"/>
    <row r="4748" spans="3:3" s="9" customFormat="1" ht="21.95" customHeight="1" x14ac:dyDescent="0.15"/>
    <row r="4749" spans="3:3" s="9" customFormat="1" ht="21.95" customHeight="1" x14ac:dyDescent="0.15"/>
    <row r="4750" spans="3:3" s="8" customFormat="1" ht="21.95" customHeight="1" x14ac:dyDescent="0.15"/>
    <row r="4751" spans="3:3" s="8" customFormat="1" ht="21.95" customHeight="1" x14ac:dyDescent="0.15"/>
    <row r="4752" spans="3:3" s="8" customFormat="1" ht="21.95" customHeight="1" x14ac:dyDescent="0.15">
      <c r="C4752" s="101"/>
    </row>
    <row r="4753" spans="3:3" s="8" customFormat="1" ht="21.95" customHeight="1" x14ac:dyDescent="0.15">
      <c r="C4753" s="101"/>
    </row>
    <row r="4754" spans="3:3" s="8" customFormat="1" ht="21.95" customHeight="1" x14ac:dyDescent="0.15"/>
    <row r="4755" spans="3:3" s="8" customFormat="1" ht="21.95" customHeight="1" x14ac:dyDescent="0.15"/>
    <row r="4756" spans="3:3" s="8" customFormat="1" ht="21.95" customHeight="1" x14ac:dyDescent="0.15"/>
    <row r="4757" spans="3:3" s="8" customFormat="1" ht="21.95" customHeight="1" x14ac:dyDescent="0.15"/>
    <row r="4758" spans="3:3" s="8" customFormat="1" ht="21.95" customHeight="1" x14ac:dyDescent="0.15"/>
    <row r="4759" spans="3:3" s="8" customFormat="1" ht="21.95" customHeight="1" x14ac:dyDescent="0.15"/>
    <row r="4760" spans="3:3" s="8" customFormat="1" ht="21.95" customHeight="1" x14ac:dyDescent="0.15"/>
    <row r="4761" spans="3:3" s="9" customFormat="1" ht="21.95" customHeight="1" x14ac:dyDescent="0.15"/>
    <row r="4762" spans="3:3" s="9" customFormat="1" ht="21.95" customHeight="1" x14ac:dyDescent="0.15"/>
    <row r="4763" spans="3:3" s="9" customFormat="1" ht="21.95" customHeight="1" x14ac:dyDescent="0.15"/>
    <row r="4764" spans="3:3" s="9" customFormat="1" ht="21.95" customHeight="1" x14ac:dyDescent="0.15"/>
    <row r="4765" spans="3:3" s="8" customFormat="1" ht="21.95" customHeight="1" x14ac:dyDescent="0.15"/>
    <row r="4766" spans="3:3" s="8" customFormat="1" ht="21.95" customHeight="1" x14ac:dyDescent="0.15"/>
    <row r="4767" spans="3:3" s="8" customFormat="1" ht="21.95" customHeight="1" x14ac:dyDescent="0.15"/>
    <row r="4768" spans="3:3" s="8" customFormat="1" ht="21.95" customHeight="1" x14ac:dyDescent="0.15"/>
    <row r="4769" s="8" customFormat="1" ht="21.95" customHeight="1" x14ac:dyDescent="0.15"/>
    <row r="4770" s="8" customFormat="1" ht="21.95" customHeight="1" x14ac:dyDescent="0.15"/>
    <row r="4771" s="8" customFormat="1" ht="21.95" customHeight="1" x14ac:dyDescent="0.15"/>
    <row r="4772" s="8" customFormat="1" ht="21.95" customHeight="1" x14ac:dyDescent="0.15"/>
    <row r="4773" s="8" customFormat="1" ht="21.95" customHeight="1" x14ac:dyDescent="0.15"/>
    <row r="4774" s="8" customFormat="1" ht="21.95" customHeight="1" x14ac:dyDescent="0.15"/>
    <row r="4775" s="8" customFormat="1" ht="21.95" customHeight="1" x14ac:dyDescent="0.15"/>
    <row r="4776" s="8" customFormat="1" ht="32.1" customHeight="1" x14ac:dyDescent="0.15"/>
    <row r="4777" s="8" customFormat="1" ht="32.1" customHeight="1" x14ac:dyDescent="0.15"/>
    <row r="4778" s="8" customFormat="1" ht="32.1" customHeight="1" x14ac:dyDescent="0.15"/>
    <row r="4779" s="8" customFormat="1" ht="32.1" customHeight="1" x14ac:dyDescent="0.15"/>
    <row r="4780" s="8" customFormat="1" ht="32.1" customHeight="1" x14ac:dyDescent="0.15"/>
    <row r="4781" s="8" customFormat="1" ht="32.1" customHeight="1" x14ac:dyDescent="0.15"/>
    <row r="4782" s="9" customFormat="1" ht="32.1" customHeight="1" x14ac:dyDescent="0.15"/>
    <row r="4783" s="9" customFormat="1" ht="32.1" customHeight="1" x14ac:dyDescent="0.15"/>
    <row r="4784" s="9" customFormat="1" ht="32.1" customHeight="1" x14ac:dyDescent="0.15"/>
    <row r="4785" s="9" customFormat="1" ht="32.1" customHeight="1" x14ac:dyDescent="0.15"/>
    <row r="4786" s="9" customFormat="1" ht="21.95" customHeight="1" x14ac:dyDescent="0.15"/>
    <row r="4787" s="9" customFormat="1" ht="54" customHeight="1" x14ac:dyDescent="0.15"/>
    <row r="4788" s="9" customFormat="1" ht="21.95" customHeight="1" x14ac:dyDescent="0.15"/>
    <row r="4789" s="9" customFormat="1" ht="21.95" customHeight="1" x14ac:dyDescent="0.15"/>
    <row r="4790" s="9" customFormat="1" ht="21.95" customHeight="1" x14ac:dyDescent="0.15"/>
    <row r="4791" s="9" customFormat="1" ht="21.95" customHeight="1" x14ac:dyDescent="0.15"/>
    <row r="4792" s="9" customFormat="1" ht="21.95" customHeight="1" x14ac:dyDescent="0.15"/>
    <row r="4793" s="9" customFormat="1" ht="21.95" customHeight="1" x14ac:dyDescent="0.15"/>
    <row r="4794" s="9" customFormat="1" ht="21.95" customHeight="1" x14ac:dyDescent="0.15"/>
    <row r="4795" s="9" customFormat="1" ht="21.95" customHeight="1" x14ac:dyDescent="0.15"/>
    <row r="4796" s="9" customFormat="1" ht="21.95" customHeight="1" x14ac:dyDescent="0.15"/>
    <row r="4797" s="9" customFormat="1" ht="21.95" customHeight="1" x14ac:dyDescent="0.15"/>
    <row r="4798" s="9" customFormat="1" ht="21.95" customHeight="1" x14ac:dyDescent="0.15"/>
    <row r="4799" s="9" customFormat="1" ht="21.95" customHeight="1" x14ac:dyDescent="0.15"/>
    <row r="4800" s="9" customFormat="1" ht="21.95" customHeight="1" x14ac:dyDescent="0.15"/>
    <row r="4801" s="9" customFormat="1" ht="21.95" customHeight="1" x14ac:dyDescent="0.15"/>
    <row r="4802" s="9" customFormat="1" ht="21.95" customHeight="1" x14ac:dyDescent="0.15"/>
    <row r="4803" s="9" customFormat="1" ht="21.95" customHeight="1" x14ac:dyDescent="0.15"/>
    <row r="4804" s="9" customFormat="1" ht="21.95" customHeight="1" x14ac:dyDescent="0.15"/>
    <row r="4805" s="9" customFormat="1" ht="21.95" customHeight="1" x14ac:dyDescent="0.15"/>
    <row r="4806" s="9" customFormat="1" ht="21.95" customHeight="1" x14ac:dyDescent="0.15"/>
    <row r="4807" s="9" customFormat="1" ht="21.95" customHeight="1" x14ac:dyDescent="0.15"/>
    <row r="4808" s="9" customFormat="1" ht="21.95" customHeight="1" x14ac:dyDescent="0.15"/>
    <row r="4809" s="9" customFormat="1" ht="21.95" customHeight="1" x14ac:dyDescent="0.15"/>
    <row r="4810" s="9" customFormat="1" ht="21.95" customHeight="1" x14ac:dyDescent="0.15"/>
    <row r="4811" s="9" customFormat="1" ht="21.95" customHeight="1" x14ac:dyDescent="0.15"/>
    <row r="4812" s="9" customFormat="1" ht="21.95" customHeight="1" x14ac:dyDescent="0.15"/>
    <row r="4813" s="9" customFormat="1" ht="21.95" customHeight="1" x14ac:dyDescent="0.15"/>
    <row r="4814" s="9" customFormat="1" ht="21.95" customHeight="1" x14ac:dyDescent="0.15"/>
    <row r="4815" s="9" customFormat="1" ht="21.95" customHeight="1" x14ac:dyDescent="0.15"/>
    <row r="4816" s="9" customFormat="1" ht="21.95" customHeight="1" x14ac:dyDescent="0.15"/>
    <row r="4817" s="9" customFormat="1" ht="21.95" customHeight="1" x14ac:dyDescent="0.15"/>
    <row r="4818" s="9" customFormat="1" ht="21.95" customHeight="1" x14ac:dyDescent="0.15"/>
    <row r="4819" s="9" customFormat="1" ht="21.95" customHeight="1" x14ac:dyDescent="0.15"/>
    <row r="4820" s="9" customFormat="1" ht="21.95" customHeight="1" x14ac:dyDescent="0.15"/>
    <row r="4821" s="9" customFormat="1" ht="21.95" customHeight="1" x14ac:dyDescent="0.15"/>
    <row r="4822" s="9" customFormat="1" ht="21.95" customHeight="1" x14ac:dyDescent="0.15"/>
    <row r="4823" s="9" customFormat="1" ht="21.95" customHeight="1" x14ac:dyDescent="0.15"/>
    <row r="4824" s="9" customFormat="1" ht="21.95" customHeight="1" x14ac:dyDescent="0.15"/>
    <row r="4825" s="9" customFormat="1" ht="21.95" customHeight="1" x14ac:dyDescent="0.15"/>
    <row r="4826" s="9" customFormat="1" ht="21.95" customHeight="1" x14ac:dyDescent="0.15"/>
    <row r="4827" s="9" customFormat="1" ht="21.95" customHeight="1" x14ac:dyDescent="0.15"/>
    <row r="4828" s="9" customFormat="1" ht="21.95" customHeight="1" x14ac:dyDescent="0.15"/>
    <row r="4829" s="9" customFormat="1" ht="21.95" customHeight="1" x14ac:dyDescent="0.15"/>
    <row r="4830" s="9" customFormat="1" ht="21.95" customHeight="1" x14ac:dyDescent="0.15"/>
    <row r="4831" s="9" customFormat="1" ht="21.95" customHeight="1" x14ac:dyDescent="0.15"/>
    <row r="4832" s="9" customFormat="1" ht="21.95" customHeight="1" x14ac:dyDescent="0.15"/>
    <row r="4833" s="9" customFormat="1" ht="21.95" customHeight="1" x14ac:dyDescent="0.15"/>
    <row r="4834" s="9" customFormat="1" ht="21.95" customHeight="1" x14ac:dyDescent="0.15"/>
    <row r="4835" s="9" customFormat="1" ht="21.95" customHeight="1" x14ac:dyDescent="0.15"/>
    <row r="4836" s="9" customFormat="1" ht="21.95" customHeight="1" x14ac:dyDescent="0.15"/>
    <row r="4837" s="9" customFormat="1" ht="21.95" customHeight="1" x14ac:dyDescent="0.15"/>
    <row r="4838" s="9" customFormat="1" ht="35.1" customHeight="1" x14ac:dyDescent="0.15"/>
    <row r="4839" s="9" customFormat="1" ht="21.95" customHeight="1" x14ac:dyDescent="0.15"/>
    <row r="4840" s="9" customFormat="1" ht="21.95" customHeight="1" x14ac:dyDescent="0.15"/>
    <row r="4841" s="9" customFormat="1" ht="21.95" customHeight="1" x14ac:dyDescent="0.15"/>
    <row r="4842" s="9" customFormat="1" ht="21.95" customHeight="1" x14ac:dyDescent="0.15"/>
    <row r="4843" s="9" customFormat="1" ht="21.95" customHeight="1" x14ac:dyDescent="0.15"/>
    <row r="4844" s="9" customFormat="1" ht="21.95" customHeight="1" x14ac:dyDescent="0.15"/>
    <row r="4845" s="9" customFormat="1" ht="21.95" customHeight="1" x14ac:dyDescent="0.15"/>
    <row r="4846" s="9" customFormat="1" ht="21.95" customHeight="1" x14ac:dyDescent="0.15"/>
    <row r="4847" s="9" customFormat="1" ht="21.95" customHeight="1" x14ac:dyDescent="0.15"/>
    <row r="4848" s="9" customFormat="1" ht="21.95" customHeight="1" x14ac:dyDescent="0.15"/>
    <row r="4849" spans="3:3" s="9" customFormat="1" ht="21.95" customHeight="1" x14ac:dyDescent="0.15"/>
    <row r="4850" spans="3:3" s="9" customFormat="1" ht="21.95" customHeight="1" x14ac:dyDescent="0.15"/>
    <row r="4851" spans="3:3" s="9" customFormat="1" ht="21.95" customHeight="1" x14ac:dyDescent="0.15"/>
    <row r="4852" spans="3:3" s="9" customFormat="1" ht="21.95" customHeight="1" x14ac:dyDescent="0.15"/>
    <row r="4853" spans="3:3" s="9" customFormat="1" ht="21.95" customHeight="1" x14ac:dyDescent="0.15"/>
    <row r="4854" spans="3:3" s="9" customFormat="1" ht="21.95" customHeight="1" x14ac:dyDescent="0.15"/>
    <row r="4855" spans="3:3" s="9" customFormat="1" ht="21.95" customHeight="1" x14ac:dyDescent="0.15"/>
    <row r="4856" spans="3:3" s="9" customFormat="1" ht="21.95" customHeight="1" x14ac:dyDescent="0.15"/>
    <row r="4857" spans="3:3" s="9" customFormat="1" ht="21.95" customHeight="1" x14ac:dyDescent="0.15"/>
    <row r="4858" spans="3:3" s="9" customFormat="1" ht="21.95" customHeight="1" x14ac:dyDescent="0.15"/>
    <row r="4859" spans="3:3" s="9" customFormat="1" ht="21.95" customHeight="1" x14ac:dyDescent="0.15"/>
    <row r="4860" spans="3:3" s="9" customFormat="1" ht="21.95" customHeight="1" x14ac:dyDescent="0.15"/>
    <row r="4861" spans="3:3" s="9" customFormat="1" ht="21.95" customHeight="1" x14ac:dyDescent="0.15"/>
    <row r="4862" spans="3:3" s="8" customFormat="1" ht="21.95" customHeight="1" x14ac:dyDescent="0.15"/>
    <row r="4863" spans="3:3" s="8" customFormat="1" ht="21.95" customHeight="1" x14ac:dyDescent="0.15"/>
    <row r="4864" spans="3:3" s="8" customFormat="1" ht="21.95" customHeight="1" x14ac:dyDescent="0.15">
      <c r="C4864" s="101"/>
    </row>
    <row r="4865" spans="3:3" s="8" customFormat="1" ht="21.95" customHeight="1" x14ac:dyDescent="0.15">
      <c r="C4865" s="101"/>
    </row>
    <row r="4866" spans="3:3" s="8" customFormat="1" ht="21.95" customHeight="1" x14ac:dyDescent="0.15"/>
    <row r="4867" spans="3:3" s="8" customFormat="1" ht="21.95" customHeight="1" x14ac:dyDescent="0.15"/>
    <row r="4868" spans="3:3" s="8" customFormat="1" ht="21.95" customHeight="1" x14ac:dyDescent="0.15"/>
    <row r="4869" spans="3:3" s="8" customFormat="1" ht="21.95" customHeight="1" x14ac:dyDescent="0.15"/>
    <row r="4870" spans="3:3" s="8" customFormat="1" ht="21.95" customHeight="1" x14ac:dyDescent="0.15"/>
    <row r="4871" spans="3:3" s="8" customFormat="1" ht="21.95" customHeight="1" x14ac:dyDescent="0.15"/>
    <row r="4872" spans="3:3" s="8" customFormat="1" ht="21.95" customHeight="1" x14ac:dyDescent="0.15"/>
    <row r="4873" spans="3:3" s="9" customFormat="1" ht="21.95" customHeight="1" x14ac:dyDescent="0.15"/>
    <row r="4874" spans="3:3" s="9" customFormat="1" ht="21.95" customHeight="1" x14ac:dyDescent="0.15"/>
    <row r="4875" spans="3:3" s="9" customFormat="1" ht="21.95" customHeight="1" x14ac:dyDescent="0.15"/>
    <row r="4876" spans="3:3" s="9" customFormat="1" ht="21.95" customHeight="1" x14ac:dyDescent="0.15"/>
    <row r="4877" spans="3:3" s="8" customFormat="1" ht="21.95" customHeight="1" x14ac:dyDescent="0.15"/>
    <row r="4878" spans="3:3" s="8" customFormat="1" ht="21.95" customHeight="1" x14ac:dyDescent="0.15"/>
    <row r="4879" spans="3:3" s="8" customFormat="1" ht="21.95" customHeight="1" x14ac:dyDescent="0.15"/>
    <row r="4880" spans="3:3" s="8" customFormat="1" ht="21.95" customHeight="1" x14ac:dyDescent="0.15"/>
    <row r="4881" s="8" customFormat="1" ht="21.95" customHeight="1" x14ac:dyDescent="0.15"/>
    <row r="4882" s="8" customFormat="1" ht="21.95" customHeight="1" x14ac:dyDescent="0.15"/>
    <row r="4883" s="8" customFormat="1" ht="21.95" customHeight="1" x14ac:dyDescent="0.15"/>
    <row r="4884" s="8" customFormat="1" ht="21.95" customHeight="1" x14ac:dyDescent="0.15"/>
    <row r="4885" s="8" customFormat="1" ht="21.95" customHeight="1" x14ac:dyDescent="0.15"/>
    <row r="4886" s="8" customFormat="1" ht="21.95" customHeight="1" x14ac:dyDescent="0.15"/>
    <row r="4887" s="8" customFormat="1" ht="21.95" customHeight="1" x14ac:dyDescent="0.15"/>
    <row r="4888" s="8" customFormat="1" ht="32.1" customHeight="1" x14ac:dyDescent="0.15"/>
    <row r="4889" s="8" customFormat="1" ht="32.1" customHeight="1" x14ac:dyDescent="0.15"/>
    <row r="4890" s="8" customFormat="1" ht="32.1" customHeight="1" x14ac:dyDescent="0.15"/>
    <row r="4891" s="8" customFormat="1" ht="32.1" customHeight="1" x14ac:dyDescent="0.15"/>
    <row r="4892" s="8" customFormat="1" ht="32.1" customHeight="1" x14ac:dyDescent="0.15"/>
    <row r="4893" s="8" customFormat="1" ht="32.1" customHeight="1" x14ac:dyDescent="0.15"/>
    <row r="4894" s="9" customFormat="1" ht="32.1" customHeight="1" x14ac:dyDescent="0.15"/>
    <row r="4895" s="9" customFormat="1" ht="32.1" customHeight="1" x14ac:dyDescent="0.15"/>
    <row r="4896" s="9" customFormat="1" ht="32.1" customHeight="1" x14ac:dyDescent="0.15"/>
    <row r="4897" s="9" customFormat="1" ht="32.1" customHeight="1" x14ac:dyDescent="0.15"/>
    <row r="4898" s="9" customFormat="1" ht="21.95" customHeight="1" x14ac:dyDescent="0.15"/>
    <row r="4899" s="9" customFormat="1" ht="54" customHeight="1" x14ac:dyDescent="0.15"/>
    <row r="4900" s="9" customFormat="1" ht="21.95" customHeight="1" x14ac:dyDescent="0.15"/>
    <row r="4901" s="9" customFormat="1" ht="21.95" customHeight="1" x14ac:dyDescent="0.15"/>
    <row r="4902" s="9" customFormat="1" ht="21.95" customHeight="1" x14ac:dyDescent="0.15"/>
    <row r="4903" s="9" customFormat="1" ht="21.95" customHeight="1" x14ac:dyDescent="0.15"/>
    <row r="4904" s="9" customFormat="1" ht="21.95" customHeight="1" x14ac:dyDescent="0.15"/>
    <row r="4905" s="9" customFormat="1" ht="21.95" customHeight="1" x14ac:dyDescent="0.15"/>
    <row r="4906" s="9" customFormat="1" ht="21.95" customHeight="1" x14ac:dyDescent="0.15"/>
    <row r="4907" s="9" customFormat="1" ht="21.95" customHeight="1" x14ac:dyDescent="0.15"/>
    <row r="4908" s="9" customFormat="1" ht="21.95" customHeight="1" x14ac:dyDescent="0.15"/>
    <row r="4909" s="9" customFormat="1" ht="21.95" customHeight="1" x14ac:dyDescent="0.15"/>
    <row r="4910" s="9" customFormat="1" ht="21.95" customHeight="1" x14ac:dyDescent="0.15"/>
    <row r="4911" s="9" customFormat="1" ht="21.95" customHeight="1" x14ac:dyDescent="0.15"/>
    <row r="4912" s="9" customFormat="1" ht="21.95" customHeight="1" x14ac:dyDescent="0.15"/>
    <row r="4913" s="9" customFormat="1" ht="21.95" customHeight="1" x14ac:dyDescent="0.15"/>
    <row r="4914" s="9" customFormat="1" ht="21.95" customHeight="1" x14ac:dyDescent="0.15"/>
    <row r="4915" s="9" customFormat="1" ht="21.95" customHeight="1" x14ac:dyDescent="0.15"/>
    <row r="4916" s="9" customFormat="1" ht="21.95" customHeight="1" x14ac:dyDescent="0.15"/>
    <row r="4917" s="9" customFormat="1" ht="21.95" customHeight="1" x14ac:dyDescent="0.15"/>
    <row r="4918" s="9" customFormat="1" ht="21.95" customHeight="1" x14ac:dyDescent="0.15"/>
    <row r="4919" s="9" customFormat="1" ht="21.95" customHeight="1" x14ac:dyDescent="0.15"/>
    <row r="4920" s="9" customFormat="1" ht="21.95" customHeight="1" x14ac:dyDescent="0.15"/>
    <row r="4921" s="9" customFormat="1" ht="21.95" customHeight="1" x14ac:dyDescent="0.15"/>
    <row r="4922" s="9" customFormat="1" ht="21.95" customHeight="1" x14ac:dyDescent="0.15"/>
    <row r="4923" s="9" customFormat="1" ht="21.95" customHeight="1" x14ac:dyDescent="0.15"/>
    <row r="4924" s="9" customFormat="1" ht="21.95" customHeight="1" x14ac:dyDescent="0.15"/>
    <row r="4925" s="9" customFormat="1" ht="21.95" customHeight="1" x14ac:dyDescent="0.15"/>
    <row r="4926" s="9" customFormat="1" ht="21.95" customHeight="1" x14ac:dyDescent="0.15"/>
    <row r="4927" s="9" customFormat="1" ht="21.95" customHeight="1" x14ac:dyDescent="0.15"/>
    <row r="4928" s="9" customFormat="1" ht="21.95" customHeight="1" x14ac:dyDescent="0.15"/>
    <row r="4929" s="9" customFormat="1" ht="21.95" customHeight="1" x14ac:dyDescent="0.15"/>
    <row r="4930" s="9" customFormat="1" ht="21.95" customHeight="1" x14ac:dyDescent="0.15"/>
    <row r="4931" s="9" customFormat="1" ht="21.95" customHeight="1" x14ac:dyDescent="0.15"/>
    <row r="4932" s="9" customFormat="1" ht="21.95" customHeight="1" x14ac:dyDescent="0.15"/>
    <row r="4933" s="9" customFormat="1" ht="21.95" customHeight="1" x14ac:dyDescent="0.15"/>
    <row r="4934" s="9" customFormat="1" ht="21.95" customHeight="1" x14ac:dyDescent="0.15"/>
    <row r="4935" s="9" customFormat="1" ht="21.95" customHeight="1" x14ac:dyDescent="0.15"/>
    <row r="4936" s="9" customFormat="1" ht="21.95" customHeight="1" x14ac:dyDescent="0.15"/>
    <row r="4937" s="9" customFormat="1" ht="21.95" customHeight="1" x14ac:dyDescent="0.15"/>
    <row r="4938" s="9" customFormat="1" ht="21.95" customHeight="1" x14ac:dyDescent="0.15"/>
    <row r="4939" s="9" customFormat="1" ht="21.95" customHeight="1" x14ac:dyDescent="0.15"/>
    <row r="4940" s="9" customFormat="1" ht="21.95" customHeight="1" x14ac:dyDescent="0.15"/>
    <row r="4941" s="9" customFormat="1" ht="21.95" customHeight="1" x14ac:dyDescent="0.15"/>
    <row r="4942" s="9" customFormat="1" ht="21.95" customHeight="1" x14ac:dyDescent="0.15"/>
    <row r="4943" s="9" customFormat="1" ht="21.95" customHeight="1" x14ac:dyDescent="0.15"/>
    <row r="4944" s="9" customFormat="1" ht="21.95" customHeight="1" x14ac:dyDescent="0.15"/>
    <row r="4945" s="9" customFormat="1" ht="21.95" customHeight="1" x14ac:dyDescent="0.15"/>
    <row r="4946" s="9" customFormat="1" ht="21.95" customHeight="1" x14ac:dyDescent="0.15"/>
    <row r="4947" s="9" customFormat="1" ht="21.95" customHeight="1" x14ac:dyDescent="0.15"/>
    <row r="4948" s="9" customFormat="1" ht="21.95" customHeight="1" x14ac:dyDescent="0.15"/>
    <row r="4949" s="9" customFormat="1" ht="21.95" customHeight="1" x14ac:dyDescent="0.15"/>
    <row r="4950" s="9" customFormat="1" ht="35.1" customHeight="1" x14ac:dyDescent="0.15"/>
    <row r="4951" s="9" customFormat="1" ht="21.95" customHeight="1" x14ac:dyDescent="0.15"/>
    <row r="4952" s="9" customFormat="1" ht="21.95" customHeight="1" x14ac:dyDescent="0.15"/>
    <row r="4953" s="9" customFormat="1" ht="21.95" customHeight="1" x14ac:dyDescent="0.15"/>
    <row r="4954" s="9" customFormat="1" ht="21.95" customHeight="1" x14ac:dyDescent="0.15"/>
    <row r="4955" s="9" customFormat="1" ht="21.95" customHeight="1" x14ac:dyDescent="0.15"/>
    <row r="4956" s="9" customFormat="1" ht="21.95" customHeight="1" x14ac:dyDescent="0.15"/>
    <row r="4957" s="9" customFormat="1" ht="21.95" customHeight="1" x14ac:dyDescent="0.15"/>
    <row r="4958" s="9" customFormat="1" ht="21.95" customHeight="1" x14ac:dyDescent="0.15"/>
    <row r="4959" s="9" customFormat="1" ht="21.95" customHeight="1" x14ac:dyDescent="0.15"/>
    <row r="4960" s="9" customFormat="1" ht="21.95" customHeight="1" x14ac:dyDescent="0.15"/>
    <row r="4961" spans="3:3" s="9" customFormat="1" ht="21.95" customHeight="1" x14ac:dyDescent="0.15"/>
    <row r="4962" spans="3:3" s="9" customFormat="1" ht="21.95" customHeight="1" x14ac:dyDescent="0.15"/>
    <row r="4963" spans="3:3" s="9" customFormat="1" ht="21.95" customHeight="1" x14ac:dyDescent="0.15"/>
    <row r="4964" spans="3:3" s="9" customFormat="1" ht="21.95" customHeight="1" x14ac:dyDescent="0.15"/>
    <row r="4965" spans="3:3" s="9" customFormat="1" ht="21.95" customHeight="1" x14ac:dyDescent="0.15"/>
    <row r="4966" spans="3:3" s="9" customFormat="1" ht="21.95" customHeight="1" x14ac:dyDescent="0.15"/>
    <row r="4967" spans="3:3" s="9" customFormat="1" ht="21.95" customHeight="1" x14ac:dyDescent="0.15"/>
    <row r="4968" spans="3:3" s="9" customFormat="1" ht="21.95" customHeight="1" x14ac:dyDescent="0.15"/>
    <row r="4969" spans="3:3" s="9" customFormat="1" ht="21.95" customHeight="1" x14ac:dyDescent="0.15"/>
    <row r="4970" spans="3:3" s="9" customFormat="1" ht="21.95" customHeight="1" x14ac:dyDescent="0.15"/>
    <row r="4971" spans="3:3" s="9" customFormat="1" ht="21.95" customHeight="1" x14ac:dyDescent="0.15"/>
    <row r="4972" spans="3:3" s="9" customFormat="1" ht="21.95" customHeight="1" x14ac:dyDescent="0.15"/>
    <row r="4973" spans="3:3" s="9" customFormat="1" ht="21.95" customHeight="1" x14ac:dyDescent="0.15"/>
    <row r="4974" spans="3:3" s="8" customFormat="1" ht="21.95" customHeight="1" x14ac:dyDescent="0.15"/>
    <row r="4975" spans="3:3" s="8" customFormat="1" ht="21.95" customHeight="1" x14ac:dyDescent="0.15"/>
    <row r="4976" spans="3:3" s="8" customFormat="1" ht="21.95" customHeight="1" x14ac:dyDescent="0.15">
      <c r="C4976" s="101"/>
    </row>
    <row r="4977" spans="3:3" s="8" customFormat="1" ht="21.95" customHeight="1" x14ac:dyDescent="0.15">
      <c r="C4977" s="101"/>
    </row>
    <row r="4978" spans="3:3" s="8" customFormat="1" ht="21.95" customHeight="1" x14ac:dyDescent="0.15"/>
    <row r="4979" spans="3:3" s="8" customFormat="1" ht="21.95" customHeight="1" x14ac:dyDescent="0.15"/>
    <row r="4980" spans="3:3" s="8" customFormat="1" ht="21.95" customHeight="1" x14ac:dyDescent="0.15"/>
    <row r="4981" spans="3:3" s="8" customFormat="1" ht="21.95" customHeight="1" x14ac:dyDescent="0.15"/>
    <row r="4982" spans="3:3" s="8" customFormat="1" ht="21.95" customHeight="1" x14ac:dyDescent="0.15"/>
    <row r="4983" spans="3:3" s="8" customFormat="1" ht="21.95" customHeight="1" x14ac:dyDescent="0.15"/>
    <row r="4984" spans="3:3" s="8" customFormat="1" ht="21.95" customHeight="1" x14ac:dyDescent="0.15"/>
    <row r="4985" spans="3:3" s="9" customFormat="1" ht="21.95" customHeight="1" x14ac:dyDescent="0.15"/>
    <row r="4986" spans="3:3" s="9" customFormat="1" ht="21.95" customHeight="1" x14ac:dyDescent="0.15"/>
    <row r="4987" spans="3:3" s="9" customFormat="1" ht="21.95" customHeight="1" x14ac:dyDescent="0.15"/>
    <row r="4988" spans="3:3" s="9" customFormat="1" ht="21.95" customHeight="1" x14ac:dyDescent="0.15"/>
    <row r="4989" spans="3:3" s="8" customFormat="1" ht="21.95" customHeight="1" x14ac:dyDescent="0.15"/>
    <row r="4990" spans="3:3" s="8" customFormat="1" ht="21.95" customHeight="1" x14ac:dyDescent="0.15"/>
    <row r="4991" spans="3:3" s="8" customFormat="1" ht="21.95" customHeight="1" x14ac:dyDescent="0.15"/>
    <row r="4992" spans="3:3" s="8" customFormat="1" ht="21.95" customHeight="1" x14ac:dyDescent="0.15"/>
    <row r="4993" s="8" customFormat="1" ht="21.95" customHeight="1" x14ac:dyDescent="0.15"/>
    <row r="4994" s="8" customFormat="1" ht="21.95" customHeight="1" x14ac:dyDescent="0.15"/>
    <row r="4995" s="8" customFormat="1" ht="21.95" customHeight="1" x14ac:dyDescent="0.15"/>
    <row r="4996" s="8" customFormat="1" ht="21.95" customHeight="1" x14ac:dyDescent="0.15"/>
    <row r="4997" s="8" customFormat="1" ht="21.95" customHeight="1" x14ac:dyDescent="0.15"/>
    <row r="4998" s="8" customFormat="1" ht="21.95" customHeight="1" x14ac:dyDescent="0.15"/>
    <row r="4999" s="8" customFormat="1" ht="21.95" customHeight="1" x14ac:dyDescent="0.15"/>
    <row r="5000" s="8" customFormat="1" ht="32.1" customHeight="1" x14ac:dyDescent="0.15"/>
    <row r="5001" s="8" customFormat="1" ht="32.1" customHeight="1" x14ac:dyDescent="0.15"/>
    <row r="5002" s="8" customFormat="1" ht="32.1" customHeight="1" x14ac:dyDescent="0.15"/>
    <row r="5003" s="8" customFormat="1" ht="32.1" customHeight="1" x14ac:dyDescent="0.15"/>
    <row r="5004" s="8" customFormat="1" ht="32.1" customHeight="1" x14ac:dyDescent="0.15"/>
    <row r="5005" s="8" customFormat="1" ht="32.1" customHeight="1" x14ac:dyDescent="0.15"/>
    <row r="5006" s="9" customFormat="1" ht="32.1" customHeight="1" x14ac:dyDescent="0.15"/>
    <row r="5007" s="9" customFormat="1" ht="32.1" customHeight="1" x14ac:dyDescent="0.15"/>
    <row r="5008" s="9" customFormat="1" ht="32.1" customHeight="1" x14ac:dyDescent="0.15"/>
    <row r="5009" s="9" customFormat="1" ht="32.1" customHeight="1" x14ac:dyDescent="0.15"/>
    <row r="5010" s="9" customFormat="1" ht="21.95" customHeight="1" x14ac:dyDescent="0.15"/>
    <row r="5011" s="9" customFormat="1" ht="54" customHeight="1" x14ac:dyDescent="0.15"/>
    <row r="5012" s="9" customFormat="1" ht="21.95" customHeight="1" x14ac:dyDescent="0.15"/>
    <row r="5013" s="9" customFormat="1" ht="21.95" customHeight="1" x14ac:dyDescent="0.15"/>
    <row r="5014" s="9" customFormat="1" ht="21.95" customHeight="1" x14ac:dyDescent="0.15"/>
    <row r="5015" s="9" customFormat="1" ht="21.95" customHeight="1" x14ac:dyDescent="0.15"/>
    <row r="5016" s="9" customFormat="1" ht="21.95" customHeight="1" x14ac:dyDescent="0.15"/>
    <row r="5017" s="9" customFormat="1" ht="21.95" customHeight="1" x14ac:dyDescent="0.15"/>
    <row r="5018" s="9" customFormat="1" ht="21.95" customHeight="1" x14ac:dyDescent="0.15"/>
    <row r="5019" s="9" customFormat="1" ht="21.95" customHeight="1" x14ac:dyDescent="0.15"/>
    <row r="5020" s="9" customFormat="1" ht="21.95" customHeight="1" x14ac:dyDescent="0.15"/>
    <row r="5021" s="9" customFormat="1" ht="21.95" customHeight="1" x14ac:dyDescent="0.15"/>
    <row r="5022" s="9" customFormat="1" ht="21.95" customHeight="1" x14ac:dyDescent="0.15"/>
    <row r="5023" s="9" customFormat="1" ht="21.95" customHeight="1" x14ac:dyDescent="0.15"/>
    <row r="5024" s="9" customFormat="1" ht="21.95" customHeight="1" x14ac:dyDescent="0.15"/>
    <row r="5025" s="9" customFormat="1" ht="21.95" customHeight="1" x14ac:dyDescent="0.15"/>
    <row r="5026" s="9" customFormat="1" ht="21.95" customHeight="1" x14ac:dyDescent="0.15"/>
    <row r="5027" s="9" customFormat="1" ht="21.95" customHeight="1" x14ac:dyDescent="0.15"/>
    <row r="5028" s="9" customFormat="1" ht="21.95" customHeight="1" x14ac:dyDescent="0.15"/>
    <row r="5029" s="9" customFormat="1" ht="21.95" customHeight="1" x14ac:dyDescent="0.15"/>
    <row r="5030" s="9" customFormat="1" ht="21.95" customHeight="1" x14ac:dyDescent="0.15"/>
    <row r="5031" s="9" customFormat="1" ht="21.95" customHeight="1" x14ac:dyDescent="0.15"/>
    <row r="5032" s="9" customFormat="1" ht="21.95" customHeight="1" x14ac:dyDescent="0.15"/>
    <row r="5033" s="9" customFormat="1" ht="21.95" customHeight="1" x14ac:dyDescent="0.15"/>
    <row r="5034" s="9" customFormat="1" ht="21.95" customHeight="1" x14ac:dyDescent="0.15"/>
    <row r="5035" s="9" customFormat="1" ht="21.95" customHeight="1" x14ac:dyDescent="0.15"/>
    <row r="5036" s="9" customFormat="1" ht="21.95" customHeight="1" x14ac:dyDescent="0.15"/>
    <row r="5037" s="9" customFormat="1" ht="21.95" customHeight="1" x14ac:dyDescent="0.15"/>
    <row r="5038" s="9" customFormat="1" ht="21.95" customHeight="1" x14ac:dyDescent="0.15"/>
    <row r="5039" s="9" customFormat="1" ht="21.95" customHeight="1" x14ac:dyDescent="0.15"/>
    <row r="5040" s="9" customFormat="1" ht="21.95" customHeight="1" x14ac:dyDescent="0.15"/>
    <row r="5041" s="9" customFormat="1" ht="21.95" customHeight="1" x14ac:dyDescent="0.15"/>
    <row r="5042" s="9" customFormat="1" ht="21.95" customHeight="1" x14ac:dyDescent="0.15"/>
    <row r="5043" s="9" customFormat="1" ht="21.95" customHeight="1" x14ac:dyDescent="0.15"/>
    <row r="5044" s="9" customFormat="1" ht="21.95" customHeight="1" x14ac:dyDescent="0.15"/>
    <row r="5045" s="9" customFormat="1" ht="21.95" customHeight="1" x14ac:dyDescent="0.15"/>
    <row r="5046" s="9" customFormat="1" ht="21.95" customHeight="1" x14ac:dyDescent="0.15"/>
    <row r="5047" s="9" customFormat="1" ht="21.95" customHeight="1" x14ac:dyDescent="0.15"/>
    <row r="5048" s="9" customFormat="1" ht="21.95" customHeight="1" x14ac:dyDescent="0.15"/>
    <row r="5049" s="9" customFormat="1" ht="21.95" customHeight="1" x14ac:dyDescent="0.15"/>
    <row r="5050" s="9" customFormat="1" ht="21.95" customHeight="1" x14ac:dyDescent="0.15"/>
    <row r="5051" s="9" customFormat="1" ht="21.95" customHeight="1" x14ac:dyDescent="0.15"/>
    <row r="5052" s="9" customFormat="1" ht="21.95" customHeight="1" x14ac:dyDescent="0.15"/>
    <row r="5053" s="9" customFormat="1" ht="21.95" customHeight="1" x14ac:dyDescent="0.15"/>
    <row r="5054" s="9" customFormat="1" ht="21.95" customHeight="1" x14ac:dyDescent="0.15"/>
    <row r="5055" s="9" customFormat="1" ht="21.95" customHeight="1" x14ac:dyDescent="0.15"/>
    <row r="5056" s="9" customFormat="1" ht="21.95" customHeight="1" x14ac:dyDescent="0.15"/>
    <row r="5057" s="9" customFormat="1" ht="21.95" customHeight="1" x14ac:dyDescent="0.15"/>
    <row r="5058" s="9" customFormat="1" ht="21.95" customHeight="1" x14ac:dyDescent="0.15"/>
    <row r="5059" s="9" customFormat="1" ht="21.95" customHeight="1" x14ac:dyDescent="0.15"/>
    <row r="5060" s="9" customFormat="1" ht="21.95" customHeight="1" x14ac:dyDescent="0.15"/>
    <row r="5061" s="9" customFormat="1" ht="21.95" customHeight="1" x14ac:dyDescent="0.15"/>
    <row r="5062" s="9" customFormat="1" ht="35.1" customHeight="1" x14ac:dyDescent="0.15"/>
    <row r="5063" s="9" customFormat="1" ht="21.95" customHeight="1" x14ac:dyDescent="0.15"/>
    <row r="5064" s="9" customFormat="1" ht="21.95" customHeight="1" x14ac:dyDescent="0.15"/>
    <row r="5065" s="9" customFormat="1" ht="21.95" customHeight="1" x14ac:dyDescent="0.15"/>
    <row r="5066" s="9" customFormat="1" ht="21.95" customHeight="1" x14ac:dyDescent="0.15"/>
    <row r="5067" s="9" customFormat="1" ht="21.95" customHeight="1" x14ac:dyDescent="0.15"/>
    <row r="5068" s="9" customFormat="1" ht="21.95" customHeight="1" x14ac:dyDescent="0.15"/>
    <row r="5069" s="9" customFormat="1" ht="21.95" customHeight="1" x14ac:dyDescent="0.15"/>
    <row r="5070" s="9" customFormat="1" ht="21.95" customHeight="1" x14ac:dyDescent="0.15"/>
    <row r="5071" s="9" customFormat="1" ht="21.95" customHeight="1" x14ac:dyDescent="0.15"/>
    <row r="5072" s="9" customFormat="1" ht="21.95" customHeight="1" x14ac:dyDescent="0.15"/>
    <row r="5073" spans="3:3" s="9" customFormat="1" ht="21.95" customHeight="1" x14ac:dyDescent="0.15"/>
    <row r="5074" spans="3:3" s="9" customFormat="1" ht="21.95" customHeight="1" x14ac:dyDescent="0.15"/>
    <row r="5075" spans="3:3" s="9" customFormat="1" ht="21.95" customHeight="1" x14ac:dyDescent="0.15"/>
    <row r="5076" spans="3:3" s="9" customFormat="1" ht="21.95" customHeight="1" x14ac:dyDescent="0.15"/>
    <row r="5077" spans="3:3" s="9" customFormat="1" ht="21.95" customHeight="1" x14ac:dyDescent="0.15"/>
    <row r="5078" spans="3:3" s="9" customFormat="1" ht="21.95" customHeight="1" x14ac:dyDescent="0.15"/>
    <row r="5079" spans="3:3" s="9" customFormat="1" ht="21.95" customHeight="1" x14ac:dyDescent="0.15"/>
    <row r="5080" spans="3:3" s="9" customFormat="1" ht="21.95" customHeight="1" x14ac:dyDescent="0.15"/>
    <row r="5081" spans="3:3" s="9" customFormat="1" ht="21.95" customHeight="1" x14ac:dyDescent="0.15"/>
    <row r="5082" spans="3:3" s="9" customFormat="1" ht="21.95" customHeight="1" x14ac:dyDescent="0.15"/>
    <row r="5083" spans="3:3" s="9" customFormat="1" ht="21.95" customHeight="1" x14ac:dyDescent="0.15"/>
    <row r="5084" spans="3:3" s="9" customFormat="1" ht="21.95" customHeight="1" x14ac:dyDescent="0.15"/>
    <row r="5085" spans="3:3" s="9" customFormat="1" ht="21.95" customHeight="1" x14ac:dyDescent="0.15"/>
    <row r="5086" spans="3:3" s="8" customFormat="1" ht="21.95" customHeight="1" x14ac:dyDescent="0.15"/>
    <row r="5087" spans="3:3" s="8" customFormat="1" ht="21.95" customHeight="1" x14ac:dyDescent="0.15"/>
    <row r="5088" spans="3:3" s="8" customFormat="1" ht="21.95" customHeight="1" x14ac:dyDescent="0.15">
      <c r="C5088" s="101"/>
    </row>
    <row r="5089" spans="3:3" s="8" customFormat="1" ht="21.95" customHeight="1" x14ac:dyDescent="0.15">
      <c r="C5089" s="101"/>
    </row>
    <row r="5090" spans="3:3" s="8" customFormat="1" ht="21.95" customHeight="1" x14ac:dyDescent="0.15"/>
    <row r="5091" spans="3:3" s="8" customFormat="1" ht="21.95" customHeight="1" x14ac:dyDescent="0.15"/>
    <row r="5092" spans="3:3" s="8" customFormat="1" ht="21.95" customHeight="1" x14ac:dyDescent="0.15"/>
    <row r="5093" spans="3:3" s="8" customFormat="1" ht="21.95" customHeight="1" x14ac:dyDescent="0.15"/>
    <row r="5094" spans="3:3" s="8" customFormat="1" ht="21.95" customHeight="1" x14ac:dyDescent="0.15"/>
    <row r="5095" spans="3:3" s="8" customFormat="1" ht="21.95" customHeight="1" x14ac:dyDescent="0.15"/>
    <row r="5096" spans="3:3" s="8" customFormat="1" ht="21.95" customHeight="1" x14ac:dyDescent="0.15"/>
    <row r="5097" spans="3:3" s="9" customFormat="1" ht="21.95" customHeight="1" x14ac:dyDescent="0.15"/>
    <row r="5098" spans="3:3" s="9" customFormat="1" ht="21.95" customHeight="1" x14ac:dyDescent="0.15"/>
    <row r="5099" spans="3:3" s="9" customFormat="1" ht="21.95" customHeight="1" x14ac:dyDescent="0.15"/>
    <row r="5100" spans="3:3" s="9" customFormat="1" ht="21.95" customHeight="1" x14ac:dyDescent="0.15"/>
    <row r="5101" spans="3:3" s="8" customFormat="1" ht="21.95" customHeight="1" x14ac:dyDescent="0.15"/>
    <row r="5102" spans="3:3" s="8" customFormat="1" ht="21.95" customHeight="1" x14ac:dyDescent="0.15"/>
    <row r="5103" spans="3:3" s="8" customFormat="1" ht="21.95" customHeight="1" x14ac:dyDescent="0.15"/>
    <row r="5104" spans="3:3" s="8" customFormat="1" ht="21.95" customHeight="1" x14ac:dyDescent="0.15"/>
    <row r="5105" s="8" customFormat="1" ht="21.95" customHeight="1" x14ac:dyDescent="0.15"/>
    <row r="5106" s="8" customFormat="1" ht="21.95" customHeight="1" x14ac:dyDescent="0.15"/>
    <row r="5107" s="8" customFormat="1" ht="21.95" customHeight="1" x14ac:dyDescent="0.15"/>
    <row r="5108" s="8" customFormat="1" ht="21.95" customHeight="1" x14ac:dyDescent="0.15"/>
    <row r="5109" s="8" customFormat="1" ht="21.95" customHeight="1" x14ac:dyDescent="0.15"/>
    <row r="5110" s="8" customFormat="1" ht="21.95" customHeight="1" x14ac:dyDescent="0.15"/>
    <row r="5111" s="8" customFormat="1" ht="21.95" customHeight="1" x14ac:dyDescent="0.15"/>
    <row r="5112" s="8" customFormat="1" ht="32.1" customHeight="1" x14ac:dyDescent="0.15"/>
    <row r="5113" s="8" customFormat="1" ht="32.1" customHeight="1" x14ac:dyDescent="0.15"/>
    <row r="5114" s="8" customFormat="1" ht="32.1" customHeight="1" x14ac:dyDescent="0.15"/>
    <row r="5115" s="8" customFormat="1" ht="32.1" customHeight="1" x14ac:dyDescent="0.15"/>
    <row r="5116" s="8" customFormat="1" ht="32.1" customHeight="1" x14ac:dyDescent="0.15"/>
    <row r="5117" s="8" customFormat="1" ht="32.1" customHeight="1" x14ac:dyDescent="0.15"/>
    <row r="5118" s="9" customFormat="1" ht="32.1" customHeight="1" x14ac:dyDescent="0.15"/>
    <row r="5119" s="9" customFormat="1" ht="32.1" customHeight="1" x14ac:dyDescent="0.15"/>
    <row r="5120" s="9" customFormat="1" ht="32.1" customHeight="1" x14ac:dyDescent="0.15"/>
    <row r="5121" s="9" customFormat="1" ht="32.1" customHeight="1" x14ac:dyDescent="0.15"/>
    <row r="5122" s="9" customFormat="1" ht="21.95" customHeight="1" x14ac:dyDescent="0.15"/>
    <row r="5123" s="9" customFormat="1" ht="54" customHeight="1" x14ac:dyDescent="0.15"/>
    <row r="5124" s="9" customFormat="1" ht="21.95" customHeight="1" x14ac:dyDescent="0.15"/>
    <row r="5125" s="9" customFormat="1" ht="21.95" customHeight="1" x14ac:dyDescent="0.15"/>
    <row r="5126" s="9" customFormat="1" ht="21.95" customHeight="1" x14ac:dyDescent="0.15"/>
    <row r="5127" s="9" customFormat="1" ht="21.95" customHeight="1" x14ac:dyDescent="0.15"/>
    <row r="5128" s="9" customFormat="1" ht="21.95" customHeight="1" x14ac:dyDescent="0.15"/>
    <row r="5129" s="9" customFormat="1" ht="21.95" customHeight="1" x14ac:dyDescent="0.15"/>
    <row r="5130" s="9" customFormat="1" ht="21.95" customHeight="1" x14ac:dyDescent="0.15"/>
    <row r="5131" s="9" customFormat="1" ht="21.95" customHeight="1" x14ac:dyDescent="0.15"/>
    <row r="5132" s="9" customFormat="1" ht="21.95" customHeight="1" x14ac:dyDescent="0.15"/>
    <row r="5133" s="9" customFormat="1" ht="21.95" customHeight="1" x14ac:dyDescent="0.15"/>
    <row r="5134" s="9" customFormat="1" ht="21.95" customHeight="1" x14ac:dyDescent="0.15"/>
    <row r="5135" s="9" customFormat="1" ht="21.95" customHeight="1" x14ac:dyDescent="0.15"/>
    <row r="5136" s="9" customFormat="1" ht="21.95" customHeight="1" x14ac:dyDescent="0.15"/>
    <row r="5137" s="9" customFormat="1" ht="21.95" customHeight="1" x14ac:dyDescent="0.15"/>
    <row r="5138" s="9" customFormat="1" ht="21.95" customHeight="1" x14ac:dyDescent="0.15"/>
    <row r="5139" s="9" customFormat="1" ht="21.95" customHeight="1" x14ac:dyDescent="0.15"/>
    <row r="5140" s="9" customFormat="1" ht="21.95" customHeight="1" x14ac:dyDescent="0.15"/>
    <row r="5141" s="9" customFormat="1" ht="21.95" customHeight="1" x14ac:dyDescent="0.15"/>
    <row r="5142" s="9" customFormat="1" ht="21.95" customHeight="1" x14ac:dyDescent="0.15"/>
    <row r="5143" s="9" customFormat="1" ht="21.95" customHeight="1" x14ac:dyDescent="0.15"/>
    <row r="5144" s="9" customFormat="1" ht="21.95" customHeight="1" x14ac:dyDescent="0.15"/>
    <row r="5145" s="9" customFormat="1" ht="21.95" customHeight="1" x14ac:dyDescent="0.15"/>
    <row r="5146" s="9" customFormat="1" ht="21.95" customHeight="1" x14ac:dyDescent="0.15"/>
    <row r="5147" s="9" customFormat="1" ht="21.95" customHeight="1" x14ac:dyDescent="0.15"/>
    <row r="5148" s="9" customFormat="1" ht="21.95" customHeight="1" x14ac:dyDescent="0.15"/>
    <row r="5149" s="9" customFormat="1" ht="21.95" customHeight="1" x14ac:dyDescent="0.15"/>
    <row r="5150" s="9" customFormat="1" ht="21.95" customHeight="1" x14ac:dyDescent="0.15"/>
    <row r="5151" s="9" customFormat="1" ht="21.95" customHeight="1" x14ac:dyDescent="0.15"/>
    <row r="5152" s="9" customFormat="1" ht="21.95" customHeight="1" x14ac:dyDescent="0.15"/>
    <row r="5153" s="9" customFormat="1" ht="21.95" customHeight="1" x14ac:dyDescent="0.15"/>
    <row r="5154" s="9" customFormat="1" ht="21.95" customHeight="1" x14ac:dyDescent="0.15"/>
    <row r="5155" s="9" customFormat="1" ht="21.95" customHeight="1" x14ac:dyDescent="0.15"/>
    <row r="5156" s="9" customFormat="1" ht="21.95" customHeight="1" x14ac:dyDescent="0.15"/>
    <row r="5157" s="9" customFormat="1" ht="21.95" customHeight="1" x14ac:dyDescent="0.15"/>
    <row r="5158" s="9" customFormat="1" ht="21.95" customHeight="1" x14ac:dyDescent="0.15"/>
    <row r="5159" s="9" customFormat="1" ht="21.95" customHeight="1" x14ac:dyDescent="0.15"/>
    <row r="5160" s="9" customFormat="1" ht="21.95" customHeight="1" x14ac:dyDescent="0.15"/>
    <row r="5161" s="9" customFormat="1" ht="21.95" customHeight="1" x14ac:dyDescent="0.15"/>
    <row r="5162" s="9" customFormat="1" ht="21.95" customHeight="1" x14ac:dyDescent="0.15"/>
    <row r="5163" s="9" customFormat="1" ht="21.95" customHeight="1" x14ac:dyDescent="0.15"/>
    <row r="5164" s="9" customFormat="1" ht="21.95" customHeight="1" x14ac:dyDescent="0.15"/>
    <row r="5165" s="9" customFormat="1" ht="21.95" customHeight="1" x14ac:dyDescent="0.15"/>
    <row r="5166" s="9" customFormat="1" ht="21.95" customHeight="1" x14ac:dyDescent="0.15"/>
    <row r="5167" s="9" customFormat="1" ht="21.95" customHeight="1" x14ac:dyDescent="0.15"/>
    <row r="5168" s="9" customFormat="1" ht="21.95" customHeight="1" x14ac:dyDescent="0.15"/>
    <row r="5169" s="9" customFormat="1" ht="21.95" customHeight="1" x14ac:dyDescent="0.15"/>
    <row r="5170" s="9" customFormat="1" ht="21.95" customHeight="1" x14ac:dyDescent="0.15"/>
    <row r="5171" s="9" customFormat="1" ht="21.95" customHeight="1" x14ac:dyDescent="0.15"/>
    <row r="5172" s="9" customFormat="1" ht="21.95" customHeight="1" x14ac:dyDescent="0.15"/>
    <row r="5173" s="9" customFormat="1" ht="21.95" customHeight="1" x14ac:dyDescent="0.15"/>
    <row r="5174" s="9" customFormat="1" ht="35.1" customHeight="1" x14ac:dyDescent="0.15"/>
    <row r="5175" s="9" customFormat="1" ht="21.95" customHeight="1" x14ac:dyDescent="0.15"/>
    <row r="5176" s="9" customFormat="1" ht="21.95" customHeight="1" x14ac:dyDescent="0.15"/>
    <row r="5177" s="9" customFormat="1" ht="21.95" customHeight="1" x14ac:dyDescent="0.15"/>
    <row r="5178" s="9" customFormat="1" ht="21.95" customHeight="1" x14ac:dyDescent="0.15"/>
    <row r="5179" s="9" customFormat="1" ht="21.95" customHeight="1" x14ac:dyDescent="0.15"/>
    <row r="5180" s="9" customFormat="1" ht="21.95" customHeight="1" x14ac:dyDescent="0.15"/>
    <row r="5181" s="9" customFormat="1" ht="21.95" customHeight="1" x14ac:dyDescent="0.15"/>
    <row r="5182" s="9" customFormat="1" ht="21.95" customHeight="1" x14ac:dyDescent="0.15"/>
    <row r="5183" s="9" customFormat="1" ht="21.95" customHeight="1" x14ac:dyDescent="0.15"/>
    <row r="5184" s="9" customFormat="1" ht="21.95" customHeight="1" x14ac:dyDescent="0.15"/>
    <row r="5185" spans="3:3" s="9" customFormat="1" ht="21.95" customHeight="1" x14ac:dyDescent="0.15"/>
    <row r="5186" spans="3:3" s="9" customFormat="1" ht="21.95" customHeight="1" x14ac:dyDescent="0.15"/>
    <row r="5187" spans="3:3" s="9" customFormat="1" ht="21.95" customHeight="1" x14ac:dyDescent="0.15"/>
    <row r="5188" spans="3:3" s="9" customFormat="1" ht="21.95" customHeight="1" x14ac:dyDescent="0.15"/>
    <row r="5189" spans="3:3" s="9" customFormat="1" ht="21.95" customHeight="1" x14ac:dyDescent="0.15"/>
    <row r="5190" spans="3:3" s="9" customFormat="1" ht="21.95" customHeight="1" x14ac:dyDescent="0.15"/>
    <row r="5191" spans="3:3" s="9" customFormat="1" ht="21.95" customHeight="1" x14ac:dyDescent="0.15"/>
    <row r="5192" spans="3:3" s="9" customFormat="1" ht="21.95" customHeight="1" x14ac:dyDescent="0.15"/>
    <row r="5193" spans="3:3" s="9" customFormat="1" ht="21.95" customHeight="1" x14ac:dyDescent="0.15"/>
    <row r="5194" spans="3:3" s="9" customFormat="1" ht="21.95" customHeight="1" x14ac:dyDescent="0.15"/>
    <row r="5195" spans="3:3" s="9" customFormat="1" ht="21.95" customHeight="1" x14ac:dyDescent="0.15"/>
    <row r="5196" spans="3:3" s="9" customFormat="1" ht="21.95" customHeight="1" x14ac:dyDescent="0.15"/>
    <row r="5197" spans="3:3" s="9" customFormat="1" ht="21.95" customHeight="1" x14ac:dyDescent="0.15"/>
    <row r="5198" spans="3:3" s="8" customFormat="1" ht="21.95" customHeight="1" x14ac:dyDescent="0.15"/>
    <row r="5199" spans="3:3" s="8" customFormat="1" ht="21.95" customHeight="1" x14ac:dyDescent="0.15"/>
    <row r="5200" spans="3:3" s="8" customFormat="1" ht="21.95" customHeight="1" x14ac:dyDescent="0.15">
      <c r="C5200" s="101"/>
    </row>
    <row r="5201" spans="3:3" s="8" customFormat="1" ht="21.95" customHeight="1" x14ac:dyDescent="0.15">
      <c r="C5201" s="101"/>
    </row>
    <row r="5202" spans="3:3" s="8" customFormat="1" ht="21.95" customHeight="1" x14ac:dyDescent="0.15"/>
    <row r="5203" spans="3:3" s="8" customFormat="1" ht="21.95" customHeight="1" x14ac:dyDescent="0.15"/>
    <row r="5204" spans="3:3" s="8" customFormat="1" ht="21.95" customHeight="1" x14ac:dyDescent="0.15"/>
    <row r="5205" spans="3:3" s="8" customFormat="1" ht="21.95" customHeight="1" x14ac:dyDescent="0.15"/>
    <row r="5206" spans="3:3" s="8" customFormat="1" ht="21.95" customHeight="1" x14ac:dyDescent="0.15"/>
    <row r="5207" spans="3:3" s="8" customFormat="1" ht="21.95" customHeight="1" x14ac:dyDescent="0.15"/>
    <row r="5208" spans="3:3" s="8" customFormat="1" ht="21.95" customHeight="1" x14ac:dyDescent="0.15"/>
    <row r="5209" spans="3:3" s="9" customFormat="1" ht="21.95" customHeight="1" x14ac:dyDescent="0.15"/>
    <row r="5210" spans="3:3" s="9" customFormat="1" ht="21.95" customHeight="1" x14ac:dyDescent="0.15"/>
    <row r="5211" spans="3:3" s="9" customFormat="1" ht="21.95" customHeight="1" x14ac:dyDescent="0.15"/>
    <row r="5212" spans="3:3" s="9" customFormat="1" ht="21.95" customHeight="1" x14ac:dyDescent="0.15"/>
    <row r="5213" spans="3:3" s="8" customFormat="1" ht="21.95" customHeight="1" x14ac:dyDescent="0.15"/>
    <row r="5214" spans="3:3" s="8" customFormat="1" ht="21.95" customHeight="1" x14ac:dyDescent="0.15"/>
    <row r="5215" spans="3:3" s="8" customFormat="1" ht="21.95" customHeight="1" x14ac:dyDescent="0.15"/>
    <row r="5216" spans="3:3" s="8" customFormat="1" ht="21.95" customHeight="1" x14ac:dyDescent="0.15"/>
    <row r="5217" s="8" customFormat="1" ht="21.95" customHeight="1" x14ac:dyDescent="0.15"/>
    <row r="5218" s="8" customFormat="1" ht="21.95" customHeight="1" x14ac:dyDescent="0.15"/>
    <row r="5219" s="8" customFormat="1" ht="21.95" customHeight="1" x14ac:dyDescent="0.15"/>
    <row r="5220" s="8" customFormat="1" ht="21.95" customHeight="1" x14ac:dyDescent="0.15"/>
    <row r="5221" s="8" customFormat="1" ht="21.95" customHeight="1" x14ac:dyDescent="0.15"/>
    <row r="5222" s="8" customFormat="1" ht="21.95" customHeight="1" x14ac:dyDescent="0.15"/>
    <row r="5223" s="8" customFormat="1" ht="21.95" customHeight="1" x14ac:dyDescent="0.15"/>
    <row r="5224" s="8" customFormat="1" ht="32.1" customHeight="1" x14ac:dyDescent="0.15"/>
    <row r="5225" s="8" customFormat="1" ht="32.1" customHeight="1" x14ac:dyDescent="0.15"/>
    <row r="5226" s="8" customFormat="1" ht="32.1" customHeight="1" x14ac:dyDescent="0.15"/>
    <row r="5227" s="8" customFormat="1" ht="32.1" customHeight="1" x14ac:dyDescent="0.15"/>
    <row r="5228" s="8" customFormat="1" ht="32.1" customHeight="1" x14ac:dyDescent="0.15"/>
    <row r="5229" s="8" customFormat="1" ht="32.1" customHeight="1" x14ac:dyDescent="0.15"/>
    <row r="5230" s="9" customFormat="1" ht="32.1" customHeight="1" x14ac:dyDescent="0.15"/>
    <row r="5231" s="9" customFormat="1" ht="32.1" customHeight="1" x14ac:dyDescent="0.15"/>
    <row r="5232" s="9" customFormat="1" ht="32.1" customHeight="1" x14ac:dyDescent="0.15"/>
    <row r="5233" s="9" customFormat="1" ht="32.1" customHeight="1" x14ac:dyDescent="0.15"/>
    <row r="5234" s="9" customFormat="1" ht="21.95" customHeight="1" x14ac:dyDescent="0.15"/>
    <row r="5235" s="9" customFormat="1" ht="54" customHeight="1" x14ac:dyDescent="0.15"/>
    <row r="5236" s="9" customFormat="1" ht="21.95" customHeight="1" x14ac:dyDescent="0.15"/>
    <row r="5237" s="9" customFormat="1" ht="21.95" customHeight="1" x14ac:dyDescent="0.15"/>
    <row r="5238" s="9" customFormat="1" ht="21.95" customHeight="1" x14ac:dyDescent="0.15"/>
    <row r="5239" s="9" customFormat="1" ht="21.95" customHeight="1" x14ac:dyDescent="0.15"/>
    <row r="5240" s="9" customFormat="1" ht="21.95" customHeight="1" x14ac:dyDescent="0.15"/>
    <row r="5241" s="9" customFormat="1" ht="21.95" customHeight="1" x14ac:dyDescent="0.15"/>
    <row r="5242" s="9" customFormat="1" ht="21.95" customHeight="1" x14ac:dyDescent="0.15"/>
    <row r="5243" s="9" customFormat="1" ht="21.95" customHeight="1" x14ac:dyDescent="0.15"/>
    <row r="5244" s="9" customFormat="1" ht="21.95" customHeight="1" x14ac:dyDescent="0.15"/>
    <row r="5245" s="9" customFormat="1" ht="21.95" customHeight="1" x14ac:dyDescent="0.15"/>
    <row r="5246" s="9" customFormat="1" ht="21.95" customHeight="1" x14ac:dyDescent="0.15"/>
    <row r="5247" s="9" customFormat="1" ht="21.95" customHeight="1" x14ac:dyDescent="0.15"/>
    <row r="5248" s="9" customFormat="1" ht="21.95" customHeight="1" x14ac:dyDescent="0.15"/>
    <row r="5249" s="9" customFormat="1" ht="21.95" customHeight="1" x14ac:dyDescent="0.15"/>
    <row r="5250" s="9" customFormat="1" ht="21.95" customHeight="1" x14ac:dyDescent="0.15"/>
    <row r="5251" s="9" customFormat="1" ht="21.95" customHeight="1" x14ac:dyDescent="0.15"/>
    <row r="5252" s="9" customFormat="1" ht="21.95" customHeight="1" x14ac:dyDescent="0.15"/>
    <row r="5253" s="9" customFormat="1" ht="21.95" customHeight="1" x14ac:dyDescent="0.15"/>
    <row r="5254" s="9" customFormat="1" ht="21.95" customHeight="1" x14ac:dyDescent="0.15"/>
    <row r="5255" s="9" customFormat="1" ht="21.95" customHeight="1" x14ac:dyDescent="0.15"/>
    <row r="5256" s="9" customFormat="1" ht="21.95" customHeight="1" x14ac:dyDescent="0.15"/>
    <row r="5257" s="9" customFormat="1" ht="21.95" customHeight="1" x14ac:dyDescent="0.15"/>
    <row r="5258" s="9" customFormat="1" ht="21.95" customHeight="1" x14ac:dyDescent="0.15"/>
    <row r="5259" s="9" customFormat="1" ht="21.95" customHeight="1" x14ac:dyDescent="0.15"/>
    <row r="5260" s="9" customFormat="1" ht="21.95" customHeight="1" x14ac:dyDescent="0.15"/>
    <row r="5261" s="9" customFormat="1" ht="21.95" customHeight="1" x14ac:dyDescent="0.15"/>
    <row r="5262" s="9" customFormat="1" ht="21.95" customHeight="1" x14ac:dyDescent="0.15"/>
    <row r="5263" s="9" customFormat="1" ht="21.95" customHeight="1" x14ac:dyDescent="0.15"/>
    <row r="5264" s="9" customFormat="1" ht="21.95" customHeight="1" x14ac:dyDescent="0.15"/>
    <row r="5265" s="9" customFormat="1" ht="21.95" customHeight="1" x14ac:dyDescent="0.15"/>
    <row r="5266" s="9" customFormat="1" ht="21.95" customHeight="1" x14ac:dyDescent="0.15"/>
    <row r="5267" s="9" customFormat="1" ht="21.95" customHeight="1" x14ac:dyDescent="0.15"/>
    <row r="5268" s="9" customFormat="1" ht="21.95" customHeight="1" x14ac:dyDescent="0.15"/>
    <row r="5269" s="9" customFormat="1" ht="21.95" customHeight="1" x14ac:dyDescent="0.15"/>
    <row r="5270" s="9" customFormat="1" ht="21.95" customHeight="1" x14ac:dyDescent="0.15"/>
    <row r="5271" s="9" customFormat="1" ht="21.95" customHeight="1" x14ac:dyDescent="0.15"/>
    <row r="5272" s="9" customFormat="1" ht="21.95" customHeight="1" x14ac:dyDescent="0.15"/>
    <row r="5273" s="9" customFormat="1" ht="21.95" customHeight="1" x14ac:dyDescent="0.15"/>
    <row r="5274" s="9" customFormat="1" ht="21.95" customHeight="1" x14ac:dyDescent="0.15"/>
    <row r="5275" s="9" customFormat="1" ht="21.95" customHeight="1" x14ac:dyDescent="0.15"/>
    <row r="5276" s="9" customFormat="1" ht="21.95" customHeight="1" x14ac:dyDescent="0.15"/>
    <row r="5277" s="9" customFormat="1" ht="21.95" customHeight="1" x14ac:dyDescent="0.15"/>
    <row r="5278" s="9" customFormat="1" ht="21.95" customHeight="1" x14ac:dyDescent="0.15"/>
    <row r="5279" s="9" customFormat="1" ht="21.95" customHeight="1" x14ac:dyDescent="0.15"/>
    <row r="5280" s="9" customFormat="1" ht="21.95" customHeight="1" x14ac:dyDescent="0.15"/>
    <row r="5281" s="9" customFormat="1" ht="21.95" customHeight="1" x14ac:dyDescent="0.15"/>
    <row r="5282" s="9" customFormat="1" ht="21.95" customHeight="1" x14ac:dyDescent="0.15"/>
    <row r="5283" s="9" customFormat="1" ht="21.95" customHeight="1" x14ac:dyDescent="0.15"/>
    <row r="5284" s="9" customFormat="1" ht="21.95" customHeight="1" x14ac:dyDescent="0.15"/>
    <row r="5285" s="9" customFormat="1" ht="21.95" customHeight="1" x14ac:dyDescent="0.15"/>
    <row r="5286" s="9" customFormat="1" ht="35.1" customHeight="1" x14ac:dyDescent="0.15"/>
    <row r="5287" s="9" customFormat="1" ht="21.95" customHeight="1" x14ac:dyDescent="0.15"/>
    <row r="5288" s="9" customFormat="1" ht="21.95" customHeight="1" x14ac:dyDescent="0.15"/>
    <row r="5289" s="9" customFormat="1" ht="21.95" customHeight="1" x14ac:dyDescent="0.15"/>
    <row r="5290" s="9" customFormat="1" ht="21.95" customHeight="1" x14ac:dyDescent="0.15"/>
    <row r="5291" s="9" customFormat="1" ht="21.95" customHeight="1" x14ac:dyDescent="0.15"/>
    <row r="5292" s="9" customFormat="1" ht="21.95" customHeight="1" x14ac:dyDescent="0.15"/>
    <row r="5293" s="9" customFormat="1" ht="21.95" customHeight="1" x14ac:dyDescent="0.15"/>
    <row r="5294" s="9" customFormat="1" ht="21.95" customHeight="1" x14ac:dyDescent="0.15"/>
    <row r="5295" s="9" customFormat="1" ht="21.95" customHeight="1" x14ac:dyDescent="0.15"/>
    <row r="5296" s="9" customFormat="1" ht="21.95" customHeight="1" x14ac:dyDescent="0.15"/>
    <row r="5297" spans="3:3" s="9" customFormat="1" ht="21.95" customHeight="1" x14ac:dyDescent="0.15"/>
    <row r="5298" spans="3:3" s="9" customFormat="1" ht="21.95" customHeight="1" x14ac:dyDescent="0.15"/>
    <row r="5299" spans="3:3" s="9" customFormat="1" ht="21.95" customHeight="1" x14ac:dyDescent="0.15"/>
    <row r="5300" spans="3:3" s="9" customFormat="1" ht="21.95" customHeight="1" x14ac:dyDescent="0.15"/>
    <row r="5301" spans="3:3" s="9" customFormat="1" ht="21.95" customHeight="1" x14ac:dyDescent="0.15"/>
    <row r="5302" spans="3:3" s="9" customFormat="1" ht="21.95" customHeight="1" x14ac:dyDescent="0.15"/>
    <row r="5303" spans="3:3" s="9" customFormat="1" ht="21.95" customHeight="1" x14ac:dyDescent="0.15"/>
    <row r="5304" spans="3:3" s="9" customFormat="1" ht="21.95" customHeight="1" x14ac:dyDescent="0.15"/>
    <row r="5305" spans="3:3" s="9" customFormat="1" ht="21.95" customHeight="1" x14ac:dyDescent="0.15"/>
    <row r="5306" spans="3:3" s="9" customFormat="1" ht="21.95" customHeight="1" x14ac:dyDescent="0.15"/>
    <row r="5307" spans="3:3" s="9" customFormat="1" ht="21.95" customHeight="1" x14ac:dyDescent="0.15"/>
    <row r="5308" spans="3:3" s="9" customFormat="1" ht="21.95" customHeight="1" x14ac:dyDescent="0.15"/>
    <row r="5309" spans="3:3" s="9" customFormat="1" ht="21.95" customHeight="1" x14ac:dyDescent="0.15"/>
    <row r="5310" spans="3:3" s="8" customFormat="1" ht="21.95" customHeight="1" x14ac:dyDescent="0.15"/>
    <row r="5311" spans="3:3" s="8" customFormat="1" ht="21.95" customHeight="1" x14ac:dyDescent="0.15"/>
    <row r="5312" spans="3:3" s="8" customFormat="1" ht="21.95" customHeight="1" x14ac:dyDescent="0.15">
      <c r="C5312" s="101"/>
    </row>
    <row r="5313" spans="3:3" s="8" customFormat="1" ht="21.95" customHeight="1" x14ac:dyDescent="0.15">
      <c r="C5313" s="101"/>
    </row>
    <row r="5314" spans="3:3" s="8" customFormat="1" ht="21.95" customHeight="1" x14ac:dyDescent="0.15"/>
    <row r="5315" spans="3:3" s="8" customFormat="1" ht="21.95" customHeight="1" x14ac:dyDescent="0.15"/>
    <row r="5316" spans="3:3" s="8" customFormat="1" ht="21.95" customHeight="1" x14ac:dyDescent="0.15"/>
    <row r="5317" spans="3:3" s="8" customFormat="1" ht="21.95" customHeight="1" x14ac:dyDescent="0.15"/>
    <row r="5318" spans="3:3" s="8" customFormat="1" ht="21.95" customHeight="1" x14ac:dyDescent="0.15"/>
    <row r="5319" spans="3:3" s="8" customFormat="1" ht="21.95" customHeight="1" x14ac:dyDescent="0.15"/>
    <row r="5320" spans="3:3" s="8" customFormat="1" ht="21.95" customHeight="1" x14ac:dyDescent="0.15"/>
    <row r="5321" spans="3:3" s="9" customFormat="1" ht="21.95" customHeight="1" x14ac:dyDescent="0.15"/>
    <row r="5322" spans="3:3" s="9" customFormat="1" ht="21.95" customHeight="1" x14ac:dyDescent="0.15"/>
    <row r="5323" spans="3:3" s="9" customFormat="1" ht="21.95" customHeight="1" x14ac:dyDescent="0.15"/>
    <row r="5324" spans="3:3" s="9" customFormat="1" ht="21.95" customHeight="1" x14ac:dyDescent="0.15"/>
    <row r="5325" spans="3:3" s="8" customFormat="1" ht="21.95" customHeight="1" x14ac:dyDescent="0.15"/>
    <row r="5326" spans="3:3" s="8" customFormat="1" ht="21.95" customHeight="1" x14ac:dyDescent="0.15"/>
    <row r="5327" spans="3:3" s="8" customFormat="1" ht="21.95" customHeight="1" x14ac:dyDescent="0.15"/>
    <row r="5328" spans="3:3" s="8" customFormat="1" ht="21.95" customHeight="1" x14ac:dyDescent="0.15"/>
    <row r="5329" s="8" customFormat="1" ht="21.95" customHeight="1" x14ac:dyDescent="0.15"/>
    <row r="5330" s="8" customFormat="1" ht="21.95" customHeight="1" x14ac:dyDescent="0.15"/>
    <row r="5331" s="8" customFormat="1" ht="21.95" customHeight="1" x14ac:dyDescent="0.15"/>
    <row r="5332" s="8" customFormat="1" ht="21.95" customHeight="1" x14ac:dyDescent="0.15"/>
    <row r="5333" s="8" customFormat="1" ht="21.95" customHeight="1" x14ac:dyDescent="0.15"/>
    <row r="5334" s="8" customFormat="1" ht="21.95" customHeight="1" x14ac:dyDescent="0.15"/>
    <row r="5335" s="8" customFormat="1" ht="21.95" customHeight="1" x14ac:dyDescent="0.15"/>
    <row r="5336" s="8" customFormat="1" ht="32.1" customHeight="1" x14ac:dyDescent="0.15"/>
    <row r="5337" s="8" customFormat="1" ht="32.1" customHeight="1" x14ac:dyDescent="0.15"/>
    <row r="5338" s="8" customFormat="1" ht="32.1" customHeight="1" x14ac:dyDescent="0.15"/>
    <row r="5339" s="8" customFormat="1" ht="32.1" customHeight="1" x14ac:dyDescent="0.15"/>
    <row r="5340" s="8" customFormat="1" ht="32.1" customHeight="1" x14ac:dyDescent="0.15"/>
    <row r="5341" s="8" customFormat="1" ht="32.1" customHeight="1" x14ac:dyDescent="0.15"/>
    <row r="5342" s="9" customFormat="1" ht="32.1" customHeight="1" x14ac:dyDescent="0.15"/>
    <row r="5343" s="9" customFormat="1" ht="32.1" customHeight="1" x14ac:dyDescent="0.15"/>
    <row r="5344" s="9" customFormat="1" ht="32.1" customHeight="1" x14ac:dyDescent="0.15"/>
    <row r="5345" s="9" customFormat="1" ht="32.1" customHeight="1" x14ac:dyDescent="0.15"/>
    <row r="5346" s="9" customFormat="1" ht="21.95" customHeight="1" x14ac:dyDescent="0.15"/>
    <row r="5347" s="9" customFormat="1" ht="54" customHeight="1" x14ac:dyDescent="0.15"/>
    <row r="5348" s="9" customFormat="1" ht="21.95" customHeight="1" x14ac:dyDescent="0.15"/>
    <row r="5349" s="9" customFormat="1" ht="21.95" customHeight="1" x14ac:dyDescent="0.15"/>
    <row r="5350" s="9" customFormat="1" ht="21.95" customHeight="1" x14ac:dyDescent="0.15"/>
    <row r="5351" s="9" customFormat="1" ht="21.95" customHeight="1" x14ac:dyDescent="0.15"/>
    <row r="5352" s="9" customFormat="1" ht="21.95" customHeight="1" x14ac:dyDescent="0.15"/>
    <row r="5353" s="9" customFormat="1" ht="21.95" customHeight="1" x14ac:dyDescent="0.15"/>
    <row r="5354" s="9" customFormat="1" ht="21.95" customHeight="1" x14ac:dyDescent="0.15"/>
    <row r="5355" s="9" customFormat="1" ht="21.95" customHeight="1" x14ac:dyDescent="0.15"/>
    <row r="5356" s="9" customFormat="1" ht="21.95" customHeight="1" x14ac:dyDescent="0.15"/>
    <row r="5357" s="9" customFormat="1" ht="21.95" customHeight="1" x14ac:dyDescent="0.15"/>
    <row r="5358" s="9" customFormat="1" ht="21.95" customHeight="1" x14ac:dyDescent="0.15"/>
    <row r="5359" s="9" customFormat="1" ht="21.95" customHeight="1" x14ac:dyDescent="0.15"/>
    <row r="5360" s="9" customFormat="1" ht="21.95" customHeight="1" x14ac:dyDescent="0.15"/>
    <row r="5361" s="9" customFormat="1" ht="21.95" customHeight="1" x14ac:dyDescent="0.15"/>
    <row r="5362" s="9" customFormat="1" ht="21.95" customHeight="1" x14ac:dyDescent="0.15"/>
    <row r="5363" s="9" customFormat="1" ht="21.95" customHeight="1" x14ac:dyDescent="0.15"/>
    <row r="5364" s="9" customFormat="1" ht="21.95" customHeight="1" x14ac:dyDescent="0.15"/>
    <row r="5365" s="9" customFormat="1" ht="21.95" customHeight="1" x14ac:dyDescent="0.15"/>
    <row r="5366" s="9" customFormat="1" ht="21.95" customHeight="1" x14ac:dyDescent="0.15"/>
    <row r="5367" s="9" customFormat="1" ht="21.95" customHeight="1" x14ac:dyDescent="0.15"/>
    <row r="5368" s="9" customFormat="1" ht="21.95" customHeight="1" x14ac:dyDescent="0.15"/>
    <row r="5369" s="9" customFormat="1" ht="21.95" customHeight="1" x14ac:dyDescent="0.15"/>
    <row r="5370" s="9" customFormat="1" ht="21.95" customHeight="1" x14ac:dyDescent="0.15"/>
    <row r="5371" s="9" customFormat="1" ht="21.95" customHeight="1" x14ac:dyDescent="0.15"/>
    <row r="5372" s="9" customFormat="1" ht="21.95" customHeight="1" x14ac:dyDescent="0.15"/>
    <row r="5373" s="9" customFormat="1" ht="21.95" customHeight="1" x14ac:dyDescent="0.15"/>
    <row r="5374" s="9" customFormat="1" ht="21.95" customHeight="1" x14ac:dyDescent="0.15"/>
    <row r="5375" s="9" customFormat="1" ht="21.95" customHeight="1" x14ac:dyDescent="0.15"/>
    <row r="5376" s="9" customFormat="1" ht="21.95" customHeight="1" x14ac:dyDescent="0.15"/>
    <row r="5377" s="9" customFormat="1" ht="21.95" customHeight="1" x14ac:dyDescent="0.15"/>
    <row r="5378" s="9" customFormat="1" ht="21.95" customHeight="1" x14ac:dyDescent="0.15"/>
    <row r="5379" s="9" customFormat="1" ht="21.95" customHeight="1" x14ac:dyDescent="0.15"/>
    <row r="5380" s="9" customFormat="1" ht="21.95" customHeight="1" x14ac:dyDescent="0.15"/>
    <row r="5381" s="9" customFormat="1" ht="21.95" customHeight="1" x14ac:dyDescent="0.15"/>
    <row r="5382" s="9" customFormat="1" ht="21.95" customHeight="1" x14ac:dyDescent="0.15"/>
    <row r="5383" s="9" customFormat="1" ht="21.95" customHeight="1" x14ac:dyDescent="0.15"/>
    <row r="5384" s="9" customFormat="1" ht="21.95" customHeight="1" x14ac:dyDescent="0.15"/>
    <row r="5385" s="9" customFormat="1" ht="21.95" customHeight="1" x14ac:dyDescent="0.15"/>
    <row r="5386" s="9" customFormat="1" ht="21.95" customHeight="1" x14ac:dyDescent="0.15"/>
    <row r="5387" s="9" customFormat="1" ht="21.95" customHeight="1" x14ac:dyDescent="0.15"/>
    <row r="5388" s="9" customFormat="1" ht="21.95" customHeight="1" x14ac:dyDescent="0.15"/>
    <row r="5389" s="9" customFormat="1" ht="21.95" customHeight="1" x14ac:dyDescent="0.15"/>
    <row r="5390" s="9" customFormat="1" ht="21.95" customHeight="1" x14ac:dyDescent="0.15"/>
    <row r="5391" s="9" customFormat="1" ht="21.95" customHeight="1" x14ac:dyDescent="0.15"/>
    <row r="5392" s="9" customFormat="1" ht="21.95" customHeight="1" x14ac:dyDescent="0.15"/>
    <row r="5393" s="9" customFormat="1" ht="21.95" customHeight="1" x14ac:dyDescent="0.15"/>
    <row r="5394" s="9" customFormat="1" ht="21.95" customHeight="1" x14ac:dyDescent="0.15"/>
    <row r="5395" s="9" customFormat="1" ht="21.95" customHeight="1" x14ac:dyDescent="0.15"/>
    <row r="5396" s="9" customFormat="1" ht="21.95" customHeight="1" x14ac:dyDescent="0.15"/>
    <row r="5397" s="9" customFormat="1" ht="21.95" customHeight="1" x14ac:dyDescent="0.15"/>
    <row r="5398" s="9" customFormat="1" ht="35.1" customHeight="1" x14ac:dyDescent="0.15"/>
    <row r="5399" s="9" customFormat="1" ht="21.95" customHeight="1" x14ac:dyDescent="0.15"/>
    <row r="5400" s="9" customFormat="1" ht="21.95" customHeight="1" x14ac:dyDescent="0.15"/>
    <row r="5401" s="9" customFormat="1" ht="21.95" customHeight="1" x14ac:dyDescent="0.15"/>
    <row r="5402" s="9" customFormat="1" ht="21.95" customHeight="1" x14ac:dyDescent="0.15"/>
    <row r="5403" s="9" customFormat="1" ht="21.95" customHeight="1" x14ac:dyDescent="0.15"/>
    <row r="5404" s="9" customFormat="1" ht="21.95" customHeight="1" x14ac:dyDescent="0.15"/>
    <row r="5405" s="9" customFormat="1" ht="21.95" customHeight="1" x14ac:dyDescent="0.15"/>
    <row r="5406" s="9" customFormat="1" ht="21.95" customHeight="1" x14ac:dyDescent="0.15"/>
    <row r="5407" s="9" customFormat="1" ht="21.95" customHeight="1" x14ac:dyDescent="0.15"/>
    <row r="5408" s="9" customFormat="1" ht="21.95" customHeight="1" x14ac:dyDescent="0.15"/>
    <row r="5409" spans="3:3" s="9" customFormat="1" ht="21.95" customHeight="1" x14ac:dyDescent="0.15"/>
    <row r="5410" spans="3:3" s="9" customFormat="1" ht="21.95" customHeight="1" x14ac:dyDescent="0.15"/>
    <row r="5411" spans="3:3" s="9" customFormat="1" ht="21.95" customHeight="1" x14ac:dyDescent="0.15"/>
    <row r="5412" spans="3:3" s="9" customFormat="1" ht="21.95" customHeight="1" x14ac:dyDescent="0.15"/>
    <row r="5413" spans="3:3" s="9" customFormat="1" ht="21.95" customHeight="1" x14ac:dyDescent="0.15"/>
    <row r="5414" spans="3:3" s="9" customFormat="1" ht="21.95" customHeight="1" x14ac:dyDescent="0.15"/>
    <row r="5415" spans="3:3" s="9" customFormat="1" ht="21.95" customHeight="1" x14ac:dyDescent="0.15"/>
    <row r="5416" spans="3:3" s="9" customFormat="1" ht="21.95" customHeight="1" x14ac:dyDescent="0.15"/>
    <row r="5417" spans="3:3" s="9" customFormat="1" ht="21.95" customHeight="1" x14ac:dyDescent="0.15"/>
    <row r="5418" spans="3:3" s="9" customFormat="1" ht="21.95" customHeight="1" x14ac:dyDescent="0.15"/>
    <row r="5419" spans="3:3" s="9" customFormat="1" ht="21.95" customHeight="1" x14ac:dyDescent="0.15"/>
    <row r="5420" spans="3:3" s="9" customFormat="1" ht="21.95" customHeight="1" x14ac:dyDescent="0.15"/>
    <row r="5421" spans="3:3" s="9" customFormat="1" ht="21.95" customHeight="1" x14ac:dyDescent="0.15"/>
    <row r="5422" spans="3:3" s="8" customFormat="1" ht="21.95" customHeight="1" x14ac:dyDescent="0.15"/>
    <row r="5423" spans="3:3" s="8" customFormat="1" ht="21.95" customHeight="1" x14ac:dyDescent="0.15"/>
    <row r="5424" spans="3:3" s="8" customFormat="1" ht="21.95" customHeight="1" x14ac:dyDescent="0.15">
      <c r="C5424" s="101"/>
    </row>
    <row r="5425" spans="3:3" s="8" customFormat="1" ht="21.95" customHeight="1" x14ac:dyDescent="0.15">
      <c r="C5425" s="101"/>
    </row>
    <row r="5426" spans="3:3" s="8" customFormat="1" ht="21.95" customHeight="1" x14ac:dyDescent="0.15"/>
    <row r="5427" spans="3:3" s="8" customFormat="1" ht="21.95" customHeight="1" x14ac:dyDescent="0.15"/>
    <row r="5428" spans="3:3" s="8" customFormat="1" ht="21.95" customHeight="1" x14ac:dyDescent="0.15"/>
    <row r="5429" spans="3:3" s="8" customFormat="1" ht="21.95" customHeight="1" x14ac:dyDescent="0.15"/>
    <row r="5430" spans="3:3" s="8" customFormat="1" ht="21.95" customHeight="1" x14ac:dyDescent="0.15"/>
    <row r="5431" spans="3:3" s="8" customFormat="1" ht="21.95" customHeight="1" x14ac:dyDescent="0.15"/>
    <row r="5432" spans="3:3" s="8" customFormat="1" ht="21.95" customHeight="1" x14ac:dyDescent="0.15"/>
    <row r="5433" spans="3:3" s="9" customFormat="1" ht="21.95" customHeight="1" x14ac:dyDescent="0.15"/>
    <row r="5434" spans="3:3" s="9" customFormat="1" ht="21.95" customHeight="1" x14ac:dyDescent="0.15"/>
    <row r="5435" spans="3:3" s="9" customFormat="1" ht="21.95" customHeight="1" x14ac:dyDescent="0.15"/>
    <row r="5436" spans="3:3" s="9" customFormat="1" ht="21.95" customHeight="1" x14ac:dyDescent="0.15"/>
    <row r="5437" spans="3:3" s="8" customFormat="1" ht="21.95" customHeight="1" x14ac:dyDescent="0.15"/>
    <row r="5438" spans="3:3" s="8" customFormat="1" ht="21.95" customHeight="1" x14ac:dyDescent="0.15"/>
    <row r="5439" spans="3:3" s="8" customFormat="1" ht="21.95" customHeight="1" x14ac:dyDescent="0.15"/>
    <row r="5440" spans="3:3" s="8" customFormat="1" ht="21.95" customHeight="1" x14ac:dyDescent="0.15"/>
    <row r="5441" s="8" customFormat="1" ht="21.95" customHeight="1" x14ac:dyDescent="0.15"/>
    <row r="5442" s="8" customFormat="1" ht="21.95" customHeight="1" x14ac:dyDescent="0.15"/>
    <row r="5443" s="8" customFormat="1" ht="21.95" customHeight="1" x14ac:dyDescent="0.15"/>
    <row r="5444" s="8" customFormat="1" ht="21.95" customHeight="1" x14ac:dyDescent="0.15"/>
    <row r="5445" s="8" customFormat="1" ht="21.95" customHeight="1" x14ac:dyDescent="0.15"/>
    <row r="5446" s="8" customFormat="1" ht="21.95" customHeight="1" x14ac:dyDescent="0.15"/>
    <row r="5447" s="8" customFormat="1" ht="21.95" customHeight="1" x14ac:dyDescent="0.15"/>
    <row r="5448" s="8" customFormat="1" ht="32.1" customHeight="1" x14ac:dyDescent="0.15"/>
    <row r="5449" s="8" customFormat="1" ht="32.1" customHeight="1" x14ac:dyDescent="0.15"/>
    <row r="5450" s="8" customFormat="1" ht="32.1" customHeight="1" x14ac:dyDescent="0.15"/>
    <row r="5451" s="8" customFormat="1" ht="32.1" customHeight="1" x14ac:dyDescent="0.15"/>
    <row r="5452" s="8" customFormat="1" ht="32.1" customHeight="1" x14ac:dyDescent="0.15"/>
    <row r="5453" s="8" customFormat="1" ht="32.1" customHeight="1" x14ac:dyDescent="0.15"/>
    <row r="5454" s="9" customFormat="1" ht="32.1" customHeight="1" x14ac:dyDescent="0.15"/>
    <row r="5455" s="9" customFormat="1" ht="32.1" customHeight="1" x14ac:dyDescent="0.15"/>
    <row r="5456" s="9" customFormat="1" ht="32.1" customHeight="1" x14ac:dyDescent="0.15"/>
    <row r="5457" s="9" customFormat="1" ht="32.1" customHeight="1" x14ac:dyDescent="0.15"/>
    <row r="5458" s="9" customFormat="1" ht="21.95" customHeight="1" x14ac:dyDescent="0.15"/>
    <row r="5459" s="9" customFormat="1" ht="54" customHeight="1" x14ac:dyDescent="0.15"/>
    <row r="5460" s="9" customFormat="1" ht="21.95" customHeight="1" x14ac:dyDescent="0.15"/>
    <row r="5461" s="9" customFormat="1" ht="21.95" customHeight="1" x14ac:dyDescent="0.15"/>
    <row r="5462" s="9" customFormat="1" ht="21.95" customHeight="1" x14ac:dyDescent="0.15"/>
    <row r="5463" s="9" customFormat="1" ht="21.95" customHeight="1" x14ac:dyDescent="0.15"/>
    <row r="5464" s="9" customFormat="1" ht="21.95" customHeight="1" x14ac:dyDescent="0.15"/>
    <row r="5465" s="9" customFormat="1" ht="21.95" customHeight="1" x14ac:dyDescent="0.15"/>
    <row r="5466" s="9" customFormat="1" ht="21.95" customHeight="1" x14ac:dyDescent="0.15"/>
    <row r="5467" s="9" customFormat="1" ht="21.95" customHeight="1" x14ac:dyDescent="0.15"/>
    <row r="5468" s="9" customFormat="1" ht="21.95" customHeight="1" x14ac:dyDescent="0.15"/>
    <row r="5469" s="9" customFormat="1" ht="21.95" customHeight="1" x14ac:dyDescent="0.15"/>
    <row r="5470" s="9" customFormat="1" ht="21.95" customHeight="1" x14ac:dyDescent="0.15"/>
    <row r="5471" s="9" customFormat="1" ht="21.95" customHeight="1" x14ac:dyDescent="0.15"/>
    <row r="5472" s="9" customFormat="1" ht="21.95" customHeight="1" x14ac:dyDescent="0.15"/>
    <row r="5473" s="9" customFormat="1" ht="21.95" customHeight="1" x14ac:dyDescent="0.15"/>
    <row r="5474" s="9" customFormat="1" ht="21.95" customHeight="1" x14ac:dyDescent="0.15"/>
    <row r="5475" s="9" customFormat="1" ht="21.95" customHeight="1" x14ac:dyDescent="0.15"/>
    <row r="5476" s="9" customFormat="1" ht="21.95" customHeight="1" x14ac:dyDescent="0.15"/>
    <row r="5477" s="9" customFormat="1" ht="21.95" customHeight="1" x14ac:dyDescent="0.15"/>
    <row r="5478" s="9" customFormat="1" ht="21.95" customHeight="1" x14ac:dyDescent="0.15"/>
    <row r="5479" s="9" customFormat="1" ht="21.95" customHeight="1" x14ac:dyDescent="0.15"/>
    <row r="5480" s="9" customFormat="1" ht="21.95" customHeight="1" x14ac:dyDescent="0.15"/>
    <row r="5481" s="9" customFormat="1" ht="21.95" customHeight="1" x14ac:dyDescent="0.15"/>
    <row r="5482" s="9" customFormat="1" ht="21.95" customHeight="1" x14ac:dyDescent="0.15"/>
    <row r="5483" s="9" customFormat="1" ht="21.95" customHeight="1" x14ac:dyDescent="0.15"/>
    <row r="5484" s="9" customFormat="1" ht="21.95" customHeight="1" x14ac:dyDescent="0.15"/>
    <row r="5485" s="9" customFormat="1" ht="21.95" customHeight="1" x14ac:dyDescent="0.15"/>
    <row r="5486" s="9" customFormat="1" ht="21.95" customHeight="1" x14ac:dyDescent="0.15"/>
    <row r="5487" s="9" customFormat="1" ht="21.95" customHeight="1" x14ac:dyDescent="0.15"/>
    <row r="5488" s="9" customFormat="1" ht="21.95" customHeight="1" x14ac:dyDescent="0.15"/>
    <row r="5489" s="9" customFormat="1" ht="21.95" customHeight="1" x14ac:dyDescent="0.15"/>
    <row r="5490" s="9" customFormat="1" ht="21.95" customHeight="1" x14ac:dyDescent="0.15"/>
    <row r="5491" s="9" customFormat="1" ht="21.95" customHeight="1" x14ac:dyDescent="0.15"/>
    <row r="5492" s="9" customFormat="1" ht="21.95" customHeight="1" x14ac:dyDescent="0.15"/>
    <row r="5493" s="9" customFormat="1" ht="21.95" customHeight="1" x14ac:dyDescent="0.15"/>
    <row r="5494" s="9" customFormat="1" ht="21.95" customHeight="1" x14ac:dyDescent="0.15"/>
    <row r="5495" s="9" customFormat="1" ht="21.95" customHeight="1" x14ac:dyDescent="0.15"/>
    <row r="5496" s="9" customFormat="1" ht="21.95" customHeight="1" x14ac:dyDescent="0.15"/>
    <row r="5497" s="9" customFormat="1" ht="21.95" customHeight="1" x14ac:dyDescent="0.15"/>
    <row r="5498" s="9" customFormat="1" ht="21.95" customHeight="1" x14ac:dyDescent="0.15"/>
    <row r="5499" s="9" customFormat="1" ht="21.95" customHeight="1" x14ac:dyDescent="0.15"/>
    <row r="5500" s="9" customFormat="1" ht="21.95" customHeight="1" x14ac:dyDescent="0.15"/>
    <row r="5501" s="9" customFormat="1" ht="21.95" customHeight="1" x14ac:dyDescent="0.15"/>
    <row r="5502" s="9" customFormat="1" ht="21.95" customHeight="1" x14ac:dyDescent="0.15"/>
    <row r="5503" s="9" customFormat="1" ht="21.95" customHeight="1" x14ac:dyDescent="0.15"/>
    <row r="5504" s="9" customFormat="1" ht="21.95" customHeight="1" x14ac:dyDescent="0.15"/>
    <row r="5505" s="9" customFormat="1" ht="21.95" customHeight="1" x14ac:dyDescent="0.15"/>
    <row r="5506" s="9" customFormat="1" ht="21.95" customHeight="1" x14ac:dyDescent="0.15"/>
    <row r="5507" s="9" customFormat="1" ht="21.95" customHeight="1" x14ac:dyDescent="0.15"/>
    <row r="5508" s="9" customFormat="1" ht="21.95" customHeight="1" x14ac:dyDescent="0.15"/>
    <row r="5509" s="9" customFormat="1" ht="21.95" customHeight="1" x14ac:dyDescent="0.15"/>
    <row r="5510" s="9" customFormat="1" ht="35.1" customHeight="1" x14ac:dyDescent="0.15"/>
    <row r="5511" s="9" customFormat="1" ht="21.95" customHeight="1" x14ac:dyDescent="0.15"/>
    <row r="5512" s="9" customFormat="1" ht="21.95" customHeight="1" x14ac:dyDescent="0.15"/>
    <row r="5513" s="9" customFormat="1" ht="21.95" customHeight="1" x14ac:dyDescent="0.15"/>
    <row r="5514" s="9" customFormat="1" ht="21.95" customHeight="1" x14ac:dyDescent="0.15"/>
    <row r="5515" s="9" customFormat="1" ht="21.95" customHeight="1" x14ac:dyDescent="0.15"/>
    <row r="5516" s="9" customFormat="1" ht="21.95" customHeight="1" x14ac:dyDescent="0.15"/>
    <row r="5517" s="9" customFormat="1" ht="21.95" customHeight="1" x14ac:dyDescent="0.15"/>
    <row r="5518" s="9" customFormat="1" ht="21.95" customHeight="1" x14ac:dyDescent="0.15"/>
    <row r="5519" s="9" customFormat="1" ht="21.95" customHeight="1" x14ac:dyDescent="0.15"/>
    <row r="5520" s="9" customFormat="1" ht="21.95" customHeight="1" x14ac:dyDescent="0.15"/>
    <row r="5521" spans="3:3" s="9" customFormat="1" ht="21.95" customHeight="1" x14ac:dyDescent="0.15"/>
    <row r="5522" spans="3:3" s="9" customFormat="1" ht="21.95" customHeight="1" x14ac:dyDescent="0.15"/>
    <row r="5523" spans="3:3" s="9" customFormat="1" ht="21.95" customHeight="1" x14ac:dyDescent="0.15"/>
    <row r="5524" spans="3:3" s="9" customFormat="1" ht="21.95" customHeight="1" x14ac:dyDescent="0.15"/>
    <row r="5525" spans="3:3" s="9" customFormat="1" ht="21.95" customHeight="1" x14ac:dyDescent="0.15"/>
    <row r="5526" spans="3:3" s="9" customFormat="1" ht="21.95" customHeight="1" x14ac:dyDescent="0.15"/>
    <row r="5527" spans="3:3" s="9" customFormat="1" ht="21.95" customHeight="1" x14ac:dyDescent="0.15"/>
    <row r="5528" spans="3:3" s="9" customFormat="1" ht="21.95" customHeight="1" x14ac:dyDescent="0.15"/>
    <row r="5529" spans="3:3" s="9" customFormat="1" ht="21.95" customHeight="1" x14ac:dyDescent="0.15"/>
    <row r="5530" spans="3:3" s="9" customFormat="1" ht="21.95" customHeight="1" x14ac:dyDescent="0.15"/>
    <row r="5531" spans="3:3" s="9" customFormat="1" ht="21.95" customHeight="1" x14ac:dyDescent="0.15"/>
    <row r="5532" spans="3:3" s="9" customFormat="1" ht="21.95" customHeight="1" x14ac:dyDescent="0.15"/>
    <row r="5533" spans="3:3" s="9" customFormat="1" ht="21.95" customHeight="1" x14ac:dyDescent="0.15"/>
    <row r="5534" spans="3:3" s="8" customFormat="1" ht="21.95" customHeight="1" x14ac:dyDescent="0.15"/>
    <row r="5535" spans="3:3" s="8" customFormat="1" ht="21.95" customHeight="1" x14ac:dyDescent="0.15"/>
    <row r="5536" spans="3:3" s="8" customFormat="1" ht="21.95" customHeight="1" x14ac:dyDescent="0.15">
      <c r="C5536" s="101"/>
    </row>
    <row r="5537" spans="3:3" s="8" customFormat="1" ht="21.95" customHeight="1" x14ac:dyDescent="0.15">
      <c r="C5537" s="101"/>
    </row>
    <row r="5538" spans="3:3" s="8" customFormat="1" ht="21.95" customHeight="1" x14ac:dyDescent="0.15"/>
    <row r="5539" spans="3:3" s="8" customFormat="1" ht="21.95" customHeight="1" x14ac:dyDescent="0.15"/>
    <row r="5540" spans="3:3" s="8" customFormat="1" ht="21.95" customHeight="1" x14ac:dyDescent="0.15"/>
    <row r="5541" spans="3:3" s="8" customFormat="1" ht="21.95" customHeight="1" x14ac:dyDescent="0.15"/>
    <row r="5542" spans="3:3" s="8" customFormat="1" ht="21.95" customHeight="1" x14ac:dyDescent="0.15"/>
    <row r="5543" spans="3:3" s="8" customFormat="1" ht="21.95" customHeight="1" x14ac:dyDescent="0.15"/>
    <row r="5544" spans="3:3" s="8" customFormat="1" ht="21.95" customHeight="1" x14ac:dyDescent="0.15"/>
    <row r="5545" spans="3:3" s="9" customFormat="1" ht="21.95" customHeight="1" x14ac:dyDescent="0.15"/>
    <row r="5546" spans="3:3" s="9" customFormat="1" ht="21.95" customHeight="1" x14ac:dyDescent="0.15"/>
    <row r="5547" spans="3:3" s="9" customFormat="1" ht="21.95" customHeight="1" x14ac:dyDescent="0.15"/>
    <row r="5548" spans="3:3" s="9" customFormat="1" ht="21.95" customHeight="1" x14ac:dyDescent="0.15"/>
    <row r="5549" spans="3:3" s="8" customFormat="1" ht="21.95" customHeight="1" x14ac:dyDescent="0.15"/>
    <row r="5550" spans="3:3" s="8" customFormat="1" ht="21.95" customHeight="1" x14ac:dyDescent="0.15"/>
    <row r="5551" spans="3:3" s="8" customFormat="1" ht="21.95" customHeight="1" x14ac:dyDescent="0.15"/>
    <row r="5552" spans="3:3" s="8" customFormat="1" ht="21.95" customHeight="1" x14ac:dyDescent="0.15"/>
    <row r="5553" s="8" customFormat="1" ht="21.95" customHeight="1" x14ac:dyDescent="0.15"/>
    <row r="5554" s="8" customFormat="1" ht="21.95" customHeight="1" x14ac:dyDescent="0.15"/>
    <row r="5555" s="8" customFormat="1" ht="21.95" customHeight="1" x14ac:dyDescent="0.15"/>
    <row r="5556" s="8" customFormat="1" ht="21.95" customHeight="1" x14ac:dyDescent="0.15"/>
    <row r="5557" s="8" customFormat="1" ht="21.95" customHeight="1" x14ac:dyDescent="0.15"/>
    <row r="5558" s="8" customFormat="1" ht="21.95" customHeight="1" x14ac:dyDescent="0.15"/>
    <row r="5559" s="8" customFormat="1" ht="21.95" customHeight="1" x14ac:dyDescent="0.15"/>
    <row r="5560" s="8" customFormat="1" ht="32.1" customHeight="1" x14ac:dyDescent="0.15"/>
    <row r="5561" s="8" customFormat="1" ht="32.1" customHeight="1" x14ac:dyDescent="0.15"/>
    <row r="5562" s="8" customFormat="1" ht="32.1" customHeight="1" x14ac:dyDescent="0.15"/>
    <row r="5563" s="8" customFormat="1" ht="32.1" customHeight="1" x14ac:dyDescent="0.15"/>
    <row r="5564" s="8" customFormat="1" ht="32.1" customHeight="1" x14ac:dyDescent="0.15"/>
    <row r="5565" s="8" customFormat="1" ht="32.1" customHeight="1" x14ac:dyDescent="0.15"/>
    <row r="5566" s="9" customFormat="1" ht="32.1" customHeight="1" x14ac:dyDescent="0.15"/>
    <row r="5567" s="9" customFormat="1" ht="32.1" customHeight="1" x14ac:dyDescent="0.15"/>
    <row r="5568" s="9" customFormat="1" ht="32.1" customHeight="1" x14ac:dyDescent="0.15"/>
    <row r="5569" s="9" customFormat="1" ht="32.1" customHeight="1" x14ac:dyDescent="0.15"/>
    <row r="5570" s="9" customFormat="1" ht="21.95" customHeight="1" x14ac:dyDescent="0.15"/>
    <row r="5571" s="9" customFormat="1" ht="54" customHeight="1" x14ac:dyDescent="0.15"/>
    <row r="5572" s="9" customFormat="1" ht="21.95" customHeight="1" x14ac:dyDescent="0.15"/>
    <row r="5573" s="9" customFormat="1" ht="21.95" customHeight="1" x14ac:dyDescent="0.15"/>
    <row r="5574" s="9" customFormat="1" ht="21.95" customHeight="1" x14ac:dyDescent="0.15"/>
    <row r="5575" s="9" customFormat="1" ht="21.95" customHeight="1" x14ac:dyDescent="0.15"/>
    <row r="5576" s="9" customFormat="1" ht="21.95" customHeight="1" x14ac:dyDescent="0.15"/>
    <row r="5577" s="9" customFormat="1" ht="21.95" customHeight="1" x14ac:dyDescent="0.15"/>
    <row r="5578" s="9" customFormat="1" ht="21.95" customHeight="1" x14ac:dyDescent="0.15"/>
    <row r="5579" s="9" customFormat="1" ht="21.95" customHeight="1" x14ac:dyDescent="0.15"/>
    <row r="5580" s="9" customFormat="1" ht="21.95" customHeight="1" x14ac:dyDescent="0.15"/>
    <row r="5581" s="9" customFormat="1" ht="21.95" customHeight="1" x14ac:dyDescent="0.15"/>
    <row r="5582" s="9" customFormat="1" ht="21.95" customHeight="1" x14ac:dyDescent="0.15"/>
    <row r="5583" s="9" customFormat="1" ht="21.95" customHeight="1" x14ac:dyDescent="0.15"/>
    <row r="5584" s="9" customFormat="1" ht="21.95" customHeight="1" x14ac:dyDescent="0.15"/>
    <row r="5585" s="9" customFormat="1" ht="21.95" customHeight="1" x14ac:dyDescent="0.15"/>
    <row r="5586" s="9" customFormat="1" ht="21.95" customHeight="1" x14ac:dyDescent="0.15"/>
    <row r="5587" s="9" customFormat="1" ht="21.95" customHeight="1" x14ac:dyDescent="0.15"/>
    <row r="5588" s="9" customFormat="1" ht="21.95" customHeight="1" x14ac:dyDescent="0.15"/>
    <row r="5589" s="9" customFormat="1" ht="21.95" customHeight="1" x14ac:dyDescent="0.15"/>
    <row r="5590" s="9" customFormat="1" ht="21.95" customHeight="1" x14ac:dyDescent="0.15"/>
    <row r="5591" s="9" customFormat="1" ht="21.95" customHeight="1" x14ac:dyDescent="0.15"/>
    <row r="5592" s="9" customFormat="1" ht="21.95" customHeight="1" x14ac:dyDescent="0.15"/>
    <row r="5593" s="9" customFormat="1" ht="21.95" customHeight="1" x14ac:dyDescent="0.15"/>
    <row r="5594" s="9" customFormat="1" ht="21.95" customHeight="1" x14ac:dyDescent="0.15"/>
    <row r="5595" s="9" customFormat="1" ht="21.95" customHeight="1" x14ac:dyDescent="0.15"/>
    <row r="5596" s="9" customFormat="1" ht="21.95" customHeight="1" x14ac:dyDescent="0.15"/>
    <row r="5597" s="9" customFormat="1" ht="21.95" customHeight="1" x14ac:dyDescent="0.15"/>
    <row r="5598" s="9" customFormat="1" ht="21.95" customHeight="1" x14ac:dyDescent="0.15"/>
    <row r="5599" s="9" customFormat="1" ht="21.95" customHeight="1" x14ac:dyDescent="0.15"/>
    <row r="5600" s="9" customFormat="1" ht="21.95" customHeight="1" x14ac:dyDescent="0.15"/>
    <row r="5601" s="9" customFormat="1" ht="21.95" customHeight="1" x14ac:dyDescent="0.15"/>
    <row r="5602" s="9" customFormat="1" ht="21.95" customHeight="1" x14ac:dyDescent="0.15"/>
    <row r="5603" s="9" customFormat="1" ht="21.95" customHeight="1" x14ac:dyDescent="0.15"/>
    <row r="5604" s="9" customFormat="1" ht="21.95" customHeight="1" x14ac:dyDescent="0.15"/>
    <row r="5605" s="9" customFormat="1" ht="21.95" customHeight="1" x14ac:dyDescent="0.15"/>
    <row r="5606" s="9" customFormat="1" ht="21.95" customHeight="1" x14ac:dyDescent="0.15"/>
    <row r="5607" s="9" customFormat="1" ht="21.95" customHeight="1" x14ac:dyDescent="0.15"/>
    <row r="5608" s="9" customFormat="1" ht="21.95" customHeight="1" x14ac:dyDescent="0.15"/>
    <row r="5609" s="9" customFormat="1" ht="21.95" customHeight="1" x14ac:dyDescent="0.15"/>
    <row r="5610" s="9" customFormat="1" ht="21.95" customHeight="1" x14ac:dyDescent="0.15"/>
    <row r="5611" s="9" customFormat="1" ht="21.95" customHeight="1" x14ac:dyDescent="0.15"/>
    <row r="5612" s="9" customFormat="1" ht="21.95" customHeight="1" x14ac:dyDescent="0.15"/>
    <row r="5613" s="9" customFormat="1" ht="21.95" customHeight="1" x14ac:dyDescent="0.15"/>
    <row r="5614" s="9" customFormat="1" ht="21.95" customHeight="1" x14ac:dyDescent="0.15"/>
    <row r="5615" s="9" customFormat="1" ht="21.95" customHeight="1" x14ac:dyDescent="0.15"/>
    <row r="5616" s="9" customFormat="1" ht="21.95" customHeight="1" x14ac:dyDescent="0.15"/>
    <row r="5617" s="9" customFormat="1" ht="21.95" customHeight="1" x14ac:dyDescent="0.15"/>
    <row r="5618" s="9" customFormat="1" ht="21.95" customHeight="1" x14ac:dyDescent="0.15"/>
    <row r="5619" s="9" customFormat="1" ht="21.95" customHeight="1" x14ac:dyDescent="0.15"/>
    <row r="5620" s="9" customFormat="1" ht="21.95" customHeight="1" x14ac:dyDescent="0.15"/>
    <row r="5621" s="9" customFormat="1" ht="21.95" customHeight="1" x14ac:dyDescent="0.15"/>
    <row r="5622" s="9" customFormat="1" ht="35.1" customHeight="1" x14ac:dyDescent="0.15"/>
    <row r="5623" s="9" customFormat="1" ht="21.95" customHeight="1" x14ac:dyDescent="0.15"/>
    <row r="5624" s="9" customFormat="1" ht="21.95" customHeight="1" x14ac:dyDescent="0.15"/>
    <row r="5625" s="9" customFormat="1" ht="21.95" customHeight="1" x14ac:dyDescent="0.15"/>
    <row r="5626" s="9" customFormat="1" ht="21.95" customHeight="1" x14ac:dyDescent="0.15"/>
    <row r="5627" s="9" customFormat="1" ht="21.95" customHeight="1" x14ac:dyDescent="0.15"/>
    <row r="5628" s="9" customFormat="1" ht="21.95" customHeight="1" x14ac:dyDescent="0.15"/>
    <row r="5629" s="9" customFormat="1" ht="21.95" customHeight="1" x14ac:dyDescent="0.15"/>
    <row r="5630" s="9" customFormat="1" ht="21.95" customHeight="1" x14ac:dyDescent="0.15"/>
    <row r="5631" s="9" customFormat="1" ht="21.95" customHeight="1" x14ac:dyDescent="0.15"/>
    <row r="5632" s="9" customFormat="1" ht="21.95" customHeight="1" x14ac:dyDescent="0.15"/>
    <row r="5633" spans="3:3" s="9" customFormat="1" ht="21.95" customHeight="1" x14ac:dyDescent="0.15"/>
    <row r="5634" spans="3:3" s="9" customFormat="1" ht="21.95" customHeight="1" x14ac:dyDescent="0.15"/>
    <row r="5635" spans="3:3" s="9" customFormat="1" ht="21.95" customHeight="1" x14ac:dyDescent="0.15"/>
    <row r="5636" spans="3:3" s="9" customFormat="1" ht="21.95" customHeight="1" x14ac:dyDescent="0.15"/>
    <row r="5637" spans="3:3" s="9" customFormat="1" ht="21.95" customHeight="1" x14ac:dyDescent="0.15"/>
    <row r="5638" spans="3:3" s="9" customFormat="1" ht="21.95" customHeight="1" x14ac:dyDescent="0.15"/>
    <row r="5639" spans="3:3" s="9" customFormat="1" ht="21.95" customHeight="1" x14ac:dyDescent="0.15"/>
    <row r="5640" spans="3:3" s="9" customFormat="1" ht="21.95" customHeight="1" x14ac:dyDescent="0.15"/>
    <row r="5641" spans="3:3" s="9" customFormat="1" ht="21.95" customHeight="1" x14ac:dyDescent="0.15"/>
    <row r="5642" spans="3:3" s="9" customFormat="1" ht="21.95" customHeight="1" x14ac:dyDescent="0.15"/>
    <row r="5643" spans="3:3" s="9" customFormat="1" ht="21.95" customHeight="1" x14ac:dyDescent="0.15"/>
    <row r="5644" spans="3:3" s="9" customFormat="1" ht="21.95" customHeight="1" x14ac:dyDescent="0.15"/>
    <row r="5645" spans="3:3" s="9" customFormat="1" ht="21.95" customHeight="1" x14ac:dyDescent="0.15"/>
    <row r="5646" spans="3:3" s="8" customFormat="1" ht="21.95" customHeight="1" x14ac:dyDescent="0.15"/>
    <row r="5647" spans="3:3" s="8" customFormat="1" ht="21.95" customHeight="1" x14ac:dyDescent="0.15"/>
    <row r="5648" spans="3:3" s="8" customFormat="1" ht="21.95" customHeight="1" x14ac:dyDescent="0.15">
      <c r="C5648" s="101"/>
    </row>
    <row r="5649" spans="3:3" s="8" customFormat="1" ht="21.95" customHeight="1" x14ac:dyDescent="0.15">
      <c r="C5649" s="101"/>
    </row>
    <row r="5650" spans="3:3" s="8" customFormat="1" ht="21.95" customHeight="1" x14ac:dyDescent="0.15"/>
    <row r="5651" spans="3:3" s="8" customFormat="1" ht="21.95" customHeight="1" x14ac:dyDescent="0.15"/>
    <row r="5652" spans="3:3" s="8" customFormat="1" ht="21.95" customHeight="1" x14ac:dyDescent="0.15"/>
    <row r="5653" spans="3:3" s="8" customFormat="1" ht="21.95" customHeight="1" x14ac:dyDescent="0.15"/>
    <row r="5654" spans="3:3" s="8" customFormat="1" ht="21.95" customHeight="1" x14ac:dyDescent="0.15"/>
    <row r="5655" spans="3:3" s="8" customFormat="1" ht="21.95" customHeight="1" x14ac:dyDescent="0.15"/>
    <row r="5656" spans="3:3" s="8" customFormat="1" ht="21.95" customHeight="1" x14ac:dyDescent="0.15"/>
    <row r="5657" spans="3:3" s="9" customFormat="1" ht="21.95" customHeight="1" x14ac:dyDescent="0.15"/>
    <row r="5658" spans="3:3" s="9" customFormat="1" ht="21.95" customHeight="1" x14ac:dyDescent="0.15"/>
    <row r="5659" spans="3:3" s="9" customFormat="1" ht="21.95" customHeight="1" x14ac:dyDescent="0.15"/>
    <row r="5660" spans="3:3" s="9" customFormat="1" ht="21.95" customHeight="1" x14ac:dyDescent="0.15"/>
    <row r="5661" spans="3:3" s="8" customFormat="1" ht="21.95" customHeight="1" x14ac:dyDescent="0.15"/>
    <row r="5662" spans="3:3" s="8" customFormat="1" ht="21.95" customHeight="1" x14ac:dyDescent="0.15"/>
    <row r="5663" spans="3:3" s="8" customFormat="1" ht="21.95" customHeight="1" x14ac:dyDescent="0.15"/>
    <row r="5664" spans="3:3" s="8" customFormat="1" ht="21.95" customHeight="1" x14ac:dyDescent="0.15"/>
    <row r="5665" s="8" customFormat="1" ht="21.95" customHeight="1" x14ac:dyDescent="0.15"/>
    <row r="5666" s="8" customFormat="1" ht="21.95" customHeight="1" x14ac:dyDescent="0.15"/>
    <row r="5667" s="8" customFormat="1" ht="21.95" customHeight="1" x14ac:dyDescent="0.15"/>
    <row r="5668" s="8" customFormat="1" ht="21.95" customHeight="1" x14ac:dyDescent="0.15"/>
    <row r="5669" s="8" customFormat="1" ht="21.95" customHeight="1" x14ac:dyDescent="0.15"/>
    <row r="5670" s="8" customFormat="1" ht="21.95" customHeight="1" x14ac:dyDescent="0.15"/>
    <row r="5671" s="8" customFormat="1" ht="21.95" customHeight="1" x14ac:dyDescent="0.15"/>
    <row r="5672" s="8" customFormat="1" ht="32.1" customHeight="1" x14ac:dyDescent="0.15"/>
    <row r="5673" s="8" customFormat="1" ht="32.1" customHeight="1" x14ac:dyDescent="0.15"/>
    <row r="5674" s="8" customFormat="1" ht="32.1" customHeight="1" x14ac:dyDescent="0.15"/>
    <row r="5675" s="8" customFormat="1" ht="32.1" customHeight="1" x14ac:dyDescent="0.15"/>
    <row r="5676" s="8" customFormat="1" ht="32.1" customHeight="1" x14ac:dyDescent="0.15"/>
    <row r="5677" s="8" customFormat="1" ht="32.1" customHeight="1" x14ac:dyDescent="0.15"/>
    <row r="5678" s="9" customFormat="1" ht="32.1" customHeight="1" x14ac:dyDescent="0.15"/>
    <row r="5679" s="9" customFormat="1" ht="32.1" customHeight="1" x14ac:dyDescent="0.15"/>
    <row r="5680" s="9" customFormat="1" ht="32.1" customHeight="1" x14ac:dyDescent="0.15"/>
    <row r="5681" s="9" customFormat="1" ht="32.1" customHeight="1" x14ac:dyDescent="0.15"/>
    <row r="5682" s="9" customFormat="1" ht="21.95" customHeight="1" x14ac:dyDescent="0.15"/>
    <row r="5683" s="9" customFormat="1" ht="54" customHeight="1" x14ac:dyDescent="0.15"/>
    <row r="5684" s="9" customFormat="1" ht="21.95" customHeight="1" x14ac:dyDescent="0.15"/>
    <row r="5685" s="9" customFormat="1" ht="21.95" customHeight="1" x14ac:dyDescent="0.15"/>
    <row r="5686" s="9" customFormat="1" ht="21.95" customHeight="1" x14ac:dyDescent="0.15"/>
    <row r="5687" s="9" customFormat="1" ht="21.95" customHeight="1" x14ac:dyDescent="0.15"/>
    <row r="5688" s="9" customFormat="1" ht="21.95" customHeight="1" x14ac:dyDescent="0.15"/>
    <row r="5689" s="9" customFormat="1" ht="21.95" customHeight="1" x14ac:dyDescent="0.15"/>
    <row r="5690" s="9" customFormat="1" ht="21.95" customHeight="1" x14ac:dyDescent="0.15"/>
    <row r="5691" s="9" customFormat="1" ht="21.95" customHeight="1" x14ac:dyDescent="0.15"/>
    <row r="5692" s="9" customFormat="1" ht="21.95" customHeight="1" x14ac:dyDescent="0.15"/>
    <row r="5693" s="9" customFormat="1" ht="21.95" customHeight="1" x14ac:dyDescent="0.15"/>
    <row r="5694" s="9" customFormat="1" ht="21.95" customHeight="1" x14ac:dyDescent="0.15"/>
    <row r="5695" s="9" customFormat="1" ht="21.95" customHeight="1" x14ac:dyDescent="0.15"/>
    <row r="5696" s="9" customFormat="1" ht="21.95" customHeight="1" x14ac:dyDescent="0.15"/>
    <row r="5697" s="9" customFormat="1" ht="21.95" customHeight="1" x14ac:dyDescent="0.15"/>
    <row r="5698" s="9" customFormat="1" ht="21.95" customHeight="1" x14ac:dyDescent="0.15"/>
    <row r="5699" s="9" customFormat="1" ht="21.95" customHeight="1" x14ac:dyDescent="0.15"/>
    <row r="5700" s="9" customFormat="1" ht="21.95" customHeight="1" x14ac:dyDescent="0.15"/>
    <row r="5701" s="9" customFormat="1" ht="21.95" customHeight="1" x14ac:dyDescent="0.15"/>
    <row r="5702" s="9" customFormat="1" ht="21.95" customHeight="1" x14ac:dyDescent="0.15"/>
    <row r="5703" s="9" customFormat="1" ht="21.95" customHeight="1" x14ac:dyDescent="0.15"/>
    <row r="5704" s="9" customFormat="1" ht="21.95" customHeight="1" x14ac:dyDescent="0.15"/>
    <row r="5705" s="9" customFormat="1" ht="21.95" customHeight="1" x14ac:dyDescent="0.15"/>
    <row r="5706" s="9" customFormat="1" ht="21.95" customHeight="1" x14ac:dyDescent="0.15"/>
    <row r="5707" s="9" customFormat="1" ht="21.95" customHeight="1" x14ac:dyDescent="0.15"/>
    <row r="5708" s="9" customFormat="1" ht="21.95" customHeight="1" x14ac:dyDescent="0.15"/>
    <row r="5709" s="9" customFormat="1" ht="21.95" customHeight="1" x14ac:dyDescent="0.15"/>
    <row r="5710" s="9" customFormat="1" ht="21.95" customHeight="1" x14ac:dyDescent="0.15"/>
    <row r="5711" s="9" customFormat="1" ht="21.95" customHeight="1" x14ac:dyDescent="0.15"/>
    <row r="5712" s="9" customFormat="1" ht="21.95" customHeight="1" x14ac:dyDescent="0.15"/>
    <row r="5713" s="9" customFormat="1" ht="21.95" customHeight="1" x14ac:dyDescent="0.15"/>
    <row r="5714" s="9" customFormat="1" ht="21.95" customHeight="1" x14ac:dyDescent="0.15"/>
    <row r="5715" s="9" customFormat="1" ht="21.95" customHeight="1" x14ac:dyDescent="0.15"/>
    <row r="5716" s="9" customFormat="1" ht="21.95" customHeight="1" x14ac:dyDescent="0.15"/>
    <row r="5717" s="9" customFormat="1" ht="21.95" customHeight="1" x14ac:dyDescent="0.15"/>
    <row r="5718" s="9" customFormat="1" ht="21.95" customHeight="1" x14ac:dyDescent="0.15"/>
    <row r="5719" s="9" customFormat="1" ht="21.95" customHeight="1" x14ac:dyDescent="0.15"/>
    <row r="5720" s="9" customFormat="1" ht="21.95" customHeight="1" x14ac:dyDescent="0.15"/>
    <row r="5721" s="9" customFormat="1" ht="21.95" customHeight="1" x14ac:dyDescent="0.15"/>
    <row r="5722" s="9" customFormat="1" ht="21.95" customHeight="1" x14ac:dyDescent="0.15"/>
    <row r="5723" s="9" customFormat="1" ht="21.95" customHeight="1" x14ac:dyDescent="0.15"/>
    <row r="5724" s="9" customFormat="1" ht="21.95" customHeight="1" x14ac:dyDescent="0.15"/>
    <row r="5725" s="9" customFormat="1" ht="21.95" customHeight="1" x14ac:dyDescent="0.15"/>
    <row r="5726" s="9" customFormat="1" ht="21.95" customHeight="1" x14ac:dyDescent="0.15"/>
    <row r="5727" s="9" customFormat="1" ht="21.95" customHeight="1" x14ac:dyDescent="0.15"/>
    <row r="5728" s="9" customFormat="1" ht="21.95" customHeight="1" x14ac:dyDescent="0.15"/>
    <row r="5729" s="9" customFormat="1" ht="21.95" customHeight="1" x14ac:dyDescent="0.15"/>
    <row r="5730" s="9" customFormat="1" ht="21.95" customHeight="1" x14ac:dyDescent="0.15"/>
    <row r="5731" s="9" customFormat="1" ht="21.95" customHeight="1" x14ac:dyDescent="0.15"/>
    <row r="5732" s="9" customFormat="1" ht="21.95" customHeight="1" x14ac:dyDescent="0.15"/>
    <row r="5733" s="9" customFormat="1" ht="21.95" customHeight="1" x14ac:dyDescent="0.15"/>
    <row r="5734" s="9" customFormat="1" ht="35.1" customHeight="1" x14ac:dyDescent="0.15"/>
    <row r="5735" s="9" customFormat="1" ht="21.95" customHeight="1" x14ac:dyDescent="0.15"/>
    <row r="5736" s="9" customFormat="1" ht="21.95" customHeight="1" x14ac:dyDescent="0.15"/>
    <row r="5737" s="9" customFormat="1" ht="21.95" customHeight="1" x14ac:dyDescent="0.15"/>
    <row r="5738" s="9" customFormat="1" ht="21.95" customHeight="1" x14ac:dyDescent="0.15"/>
    <row r="5739" s="9" customFormat="1" ht="21.95" customHeight="1" x14ac:dyDescent="0.15"/>
    <row r="5740" s="9" customFormat="1" ht="21.95" customHeight="1" x14ac:dyDescent="0.15"/>
    <row r="5741" s="9" customFormat="1" ht="21.95" customHeight="1" x14ac:dyDescent="0.15"/>
    <row r="5742" s="9" customFormat="1" ht="21.95" customHeight="1" x14ac:dyDescent="0.15"/>
    <row r="5743" s="9" customFormat="1" ht="21.95" customHeight="1" x14ac:dyDescent="0.15"/>
    <row r="5744" s="9" customFormat="1" ht="21.95" customHeight="1" x14ac:dyDescent="0.15"/>
    <row r="5745" spans="3:3" s="9" customFormat="1" ht="21.95" customHeight="1" x14ac:dyDescent="0.15"/>
    <row r="5746" spans="3:3" s="9" customFormat="1" ht="21.95" customHeight="1" x14ac:dyDescent="0.15"/>
    <row r="5747" spans="3:3" s="9" customFormat="1" ht="21.95" customHeight="1" x14ac:dyDescent="0.15"/>
    <row r="5748" spans="3:3" s="9" customFormat="1" ht="21.95" customHeight="1" x14ac:dyDescent="0.15"/>
    <row r="5749" spans="3:3" s="9" customFormat="1" ht="21.95" customHeight="1" x14ac:dyDescent="0.15"/>
    <row r="5750" spans="3:3" s="9" customFormat="1" ht="21.95" customHeight="1" x14ac:dyDescent="0.15"/>
    <row r="5751" spans="3:3" s="9" customFormat="1" ht="21.95" customHeight="1" x14ac:dyDescent="0.15"/>
    <row r="5752" spans="3:3" s="9" customFormat="1" ht="21.95" customHeight="1" x14ac:dyDescent="0.15"/>
    <row r="5753" spans="3:3" s="9" customFormat="1" ht="21.95" customHeight="1" x14ac:dyDescent="0.15"/>
    <row r="5754" spans="3:3" s="9" customFormat="1" ht="21.95" customHeight="1" x14ac:dyDescent="0.15"/>
    <row r="5755" spans="3:3" s="9" customFormat="1" ht="21.95" customHeight="1" x14ac:dyDescent="0.15"/>
    <row r="5756" spans="3:3" s="9" customFormat="1" ht="21.95" customHeight="1" x14ac:dyDescent="0.15"/>
    <row r="5757" spans="3:3" s="9" customFormat="1" ht="21.95" customHeight="1" x14ac:dyDescent="0.15"/>
    <row r="5758" spans="3:3" s="8" customFormat="1" ht="21.95" customHeight="1" x14ac:dyDescent="0.15"/>
    <row r="5759" spans="3:3" s="8" customFormat="1" ht="21.95" customHeight="1" x14ac:dyDescent="0.15"/>
    <row r="5760" spans="3:3" s="8" customFormat="1" ht="21.95" customHeight="1" x14ac:dyDescent="0.15">
      <c r="C5760" s="101"/>
    </row>
    <row r="5761" spans="3:3" s="8" customFormat="1" ht="21.95" customHeight="1" x14ac:dyDescent="0.15">
      <c r="C5761" s="101"/>
    </row>
    <row r="5762" spans="3:3" s="8" customFormat="1" ht="21.95" customHeight="1" x14ac:dyDescent="0.15"/>
    <row r="5763" spans="3:3" s="8" customFormat="1" ht="21.95" customHeight="1" x14ac:dyDescent="0.15"/>
    <row r="5764" spans="3:3" s="8" customFormat="1" ht="21.95" customHeight="1" x14ac:dyDescent="0.15"/>
    <row r="5765" spans="3:3" s="8" customFormat="1" ht="21.95" customHeight="1" x14ac:dyDescent="0.15"/>
    <row r="5766" spans="3:3" s="8" customFormat="1" ht="21.95" customHeight="1" x14ac:dyDescent="0.15"/>
    <row r="5767" spans="3:3" s="8" customFormat="1" ht="21.95" customHeight="1" x14ac:dyDescent="0.15"/>
    <row r="5768" spans="3:3" s="8" customFormat="1" ht="21.95" customHeight="1" x14ac:dyDescent="0.15"/>
    <row r="5769" spans="3:3" s="9" customFormat="1" ht="21.95" customHeight="1" x14ac:dyDescent="0.15"/>
    <row r="5770" spans="3:3" s="9" customFormat="1" ht="21.95" customHeight="1" x14ac:dyDescent="0.15"/>
    <row r="5771" spans="3:3" s="9" customFormat="1" ht="21.95" customHeight="1" x14ac:dyDescent="0.15"/>
    <row r="5772" spans="3:3" s="9" customFormat="1" ht="21.95" customHeight="1" x14ac:dyDescent="0.15"/>
    <row r="5773" spans="3:3" s="8" customFormat="1" ht="21.95" customHeight="1" x14ac:dyDescent="0.15"/>
    <row r="5774" spans="3:3" s="8" customFormat="1" ht="21.95" customHeight="1" x14ac:dyDescent="0.15"/>
    <row r="5775" spans="3:3" s="8" customFormat="1" ht="21.95" customHeight="1" x14ac:dyDescent="0.15"/>
    <row r="5776" spans="3:3" s="8" customFormat="1" ht="21.95" customHeight="1" x14ac:dyDescent="0.15"/>
    <row r="5777" s="8" customFormat="1" ht="21.95" customHeight="1" x14ac:dyDescent="0.15"/>
    <row r="5778" s="8" customFormat="1" ht="21.95" customHeight="1" x14ac:dyDescent="0.15"/>
    <row r="5779" s="8" customFormat="1" ht="21.95" customHeight="1" x14ac:dyDescent="0.15"/>
    <row r="5780" s="8" customFormat="1" ht="21.95" customHeight="1" x14ac:dyDescent="0.15"/>
    <row r="5781" s="8" customFormat="1" ht="21.95" customHeight="1" x14ac:dyDescent="0.15"/>
    <row r="5782" s="8" customFormat="1" ht="21.95" customHeight="1" x14ac:dyDescent="0.15"/>
    <row r="5783" s="8" customFormat="1" ht="21.95" customHeight="1" x14ac:dyDescent="0.15"/>
    <row r="5784" s="8" customFormat="1" ht="32.1" customHeight="1" x14ac:dyDescent="0.15"/>
    <row r="5785" s="8" customFormat="1" ht="32.1" customHeight="1" x14ac:dyDescent="0.15"/>
    <row r="5786" s="8" customFormat="1" ht="32.1" customHeight="1" x14ac:dyDescent="0.15"/>
    <row r="5787" s="8" customFormat="1" ht="32.1" customHeight="1" x14ac:dyDescent="0.15"/>
    <row r="5788" s="8" customFormat="1" ht="32.1" customHeight="1" x14ac:dyDescent="0.15"/>
    <row r="5789" s="8" customFormat="1" ht="32.1" customHeight="1" x14ac:dyDescent="0.15"/>
    <row r="5790" s="9" customFormat="1" ht="32.1" customHeight="1" x14ac:dyDescent="0.15"/>
    <row r="5791" s="9" customFormat="1" ht="32.1" customHeight="1" x14ac:dyDescent="0.15"/>
    <row r="5792" s="9" customFormat="1" ht="32.1" customHeight="1" x14ac:dyDescent="0.15"/>
    <row r="5793" s="9" customFormat="1" ht="32.1" customHeight="1" x14ac:dyDescent="0.15"/>
    <row r="5794" s="9" customFormat="1" ht="21.95" customHeight="1" x14ac:dyDescent="0.15"/>
    <row r="5795" s="9" customFormat="1" ht="54" customHeight="1" x14ac:dyDescent="0.15"/>
    <row r="5796" s="9" customFormat="1" ht="21.95" customHeight="1" x14ac:dyDescent="0.15"/>
    <row r="5797" s="9" customFormat="1" ht="21.95" customHeight="1" x14ac:dyDescent="0.15"/>
    <row r="5798" s="9" customFormat="1" ht="21.95" customHeight="1" x14ac:dyDescent="0.15"/>
    <row r="5799" s="9" customFormat="1" ht="21.95" customHeight="1" x14ac:dyDescent="0.15"/>
    <row r="5800" s="9" customFormat="1" ht="21.95" customHeight="1" x14ac:dyDescent="0.15"/>
    <row r="5801" s="9" customFormat="1" ht="21.95" customHeight="1" x14ac:dyDescent="0.15"/>
    <row r="5802" s="9" customFormat="1" ht="21.95" customHeight="1" x14ac:dyDescent="0.15"/>
    <row r="5803" s="9" customFormat="1" ht="21.95" customHeight="1" x14ac:dyDescent="0.15"/>
    <row r="5804" s="9" customFormat="1" ht="21.95" customHeight="1" x14ac:dyDescent="0.15"/>
    <row r="5805" s="9" customFormat="1" ht="21.95" customHeight="1" x14ac:dyDescent="0.15"/>
    <row r="5806" s="9" customFormat="1" ht="21.95" customHeight="1" x14ac:dyDescent="0.15"/>
    <row r="5807" s="9" customFormat="1" ht="21.95" customHeight="1" x14ac:dyDescent="0.15"/>
    <row r="5808" s="9" customFormat="1" ht="21.95" customHeight="1" x14ac:dyDescent="0.15"/>
    <row r="5809" s="9" customFormat="1" ht="21.95" customHeight="1" x14ac:dyDescent="0.15"/>
    <row r="5810" s="9" customFormat="1" ht="21.95" customHeight="1" x14ac:dyDescent="0.15"/>
    <row r="5811" s="9" customFormat="1" ht="21.95" customHeight="1" x14ac:dyDescent="0.15"/>
    <row r="5812" s="9" customFormat="1" ht="21.95" customHeight="1" x14ac:dyDescent="0.15"/>
    <row r="5813" s="9" customFormat="1" ht="21.95" customHeight="1" x14ac:dyDescent="0.15"/>
    <row r="5814" s="9" customFormat="1" ht="21.95" customHeight="1" x14ac:dyDescent="0.15"/>
    <row r="5815" s="9" customFormat="1" ht="21.95" customHeight="1" x14ac:dyDescent="0.15"/>
    <row r="5816" s="9" customFormat="1" ht="21.95" customHeight="1" x14ac:dyDescent="0.15"/>
    <row r="5817" s="9" customFormat="1" ht="21.95" customHeight="1" x14ac:dyDescent="0.15"/>
    <row r="5818" s="9" customFormat="1" ht="21.95" customHeight="1" x14ac:dyDescent="0.15"/>
    <row r="5819" s="9" customFormat="1" ht="21.95" customHeight="1" x14ac:dyDescent="0.15"/>
    <row r="5820" s="9" customFormat="1" ht="21.95" customHeight="1" x14ac:dyDescent="0.15"/>
    <row r="5821" s="9" customFormat="1" ht="21.95" customHeight="1" x14ac:dyDescent="0.15"/>
    <row r="5822" s="9" customFormat="1" ht="21.95" customHeight="1" x14ac:dyDescent="0.15"/>
    <row r="5823" s="9" customFormat="1" ht="21.95" customHeight="1" x14ac:dyDescent="0.15"/>
    <row r="5824" s="9" customFormat="1" ht="21.95" customHeight="1" x14ac:dyDescent="0.15"/>
    <row r="5825" s="9" customFormat="1" ht="21.95" customHeight="1" x14ac:dyDescent="0.15"/>
    <row r="5826" s="9" customFormat="1" ht="21.95" customHeight="1" x14ac:dyDescent="0.15"/>
    <row r="5827" s="9" customFormat="1" ht="21.95" customHeight="1" x14ac:dyDescent="0.15"/>
    <row r="5828" s="9" customFormat="1" ht="21.95" customHeight="1" x14ac:dyDescent="0.15"/>
    <row r="5829" s="9" customFormat="1" ht="21.95" customHeight="1" x14ac:dyDescent="0.15"/>
    <row r="5830" s="9" customFormat="1" ht="21.95" customHeight="1" x14ac:dyDescent="0.15"/>
    <row r="5831" s="9" customFormat="1" ht="21.95" customHeight="1" x14ac:dyDescent="0.15"/>
    <row r="5832" s="9" customFormat="1" ht="21.95" customHeight="1" x14ac:dyDescent="0.15"/>
    <row r="5833" s="9" customFormat="1" ht="21.95" customHeight="1" x14ac:dyDescent="0.15"/>
    <row r="5834" s="9" customFormat="1" ht="21.95" customHeight="1" x14ac:dyDescent="0.15"/>
    <row r="5835" s="9" customFormat="1" ht="21.95" customHeight="1" x14ac:dyDescent="0.15"/>
    <row r="5836" s="9" customFormat="1" ht="21.95" customHeight="1" x14ac:dyDescent="0.15"/>
    <row r="5837" s="9" customFormat="1" ht="21.95" customHeight="1" x14ac:dyDescent="0.15"/>
    <row r="5838" s="9" customFormat="1" ht="21.95" customHeight="1" x14ac:dyDescent="0.15"/>
    <row r="5839" s="9" customFormat="1" ht="21.95" customHeight="1" x14ac:dyDescent="0.15"/>
    <row r="5840" s="9" customFormat="1" ht="21.95" customHeight="1" x14ac:dyDescent="0.15"/>
    <row r="5841" s="9" customFormat="1" ht="21.95" customHeight="1" x14ac:dyDescent="0.15"/>
    <row r="5842" s="9" customFormat="1" ht="21.95" customHeight="1" x14ac:dyDescent="0.15"/>
    <row r="5843" s="9" customFormat="1" ht="21.95" customHeight="1" x14ac:dyDescent="0.15"/>
    <row r="5844" s="9" customFormat="1" ht="21.95" customHeight="1" x14ac:dyDescent="0.15"/>
    <row r="5845" s="9" customFormat="1" ht="21.95" customHeight="1" x14ac:dyDescent="0.15"/>
    <row r="5846" s="9" customFormat="1" ht="35.1" customHeight="1" x14ac:dyDescent="0.15"/>
    <row r="5847" s="9" customFormat="1" ht="21.95" customHeight="1" x14ac:dyDescent="0.15"/>
    <row r="5848" s="9" customFormat="1" ht="21.95" customHeight="1" x14ac:dyDescent="0.15"/>
    <row r="5849" s="9" customFormat="1" ht="21.95" customHeight="1" x14ac:dyDescent="0.15"/>
    <row r="5850" s="9" customFormat="1" ht="21.95" customHeight="1" x14ac:dyDescent="0.15"/>
    <row r="5851" s="9" customFormat="1" ht="21.95" customHeight="1" x14ac:dyDescent="0.15"/>
    <row r="5852" s="9" customFormat="1" ht="21.95" customHeight="1" x14ac:dyDescent="0.15"/>
    <row r="5853" s="9" customFormat="1" ht="21.95" customHeight="1" x14ac:dyDescent="0.15"/>
    <row r="5854" s="9" customFormat="1" ht="21.95" customHeight="1" x14ac:dyDescent="0.15"/>
    <row r="5855" s="9" customFormat="1" ht="21.95" customHeight="1" x14ac:dyDescent="0.15"/>
    <row r="5856" s="9" customFormat="1" ht="21.95" customHeight="1" x14ac:dyDescent="0.15"/>
    <row r="5857" spans="3:3" s="9" customFormat="1" ht="21.95" customHeight="1" x14ac:dyDescent="0.15"/>
    <row r="5858" spans="3:3" s="9" customFormat="1" ht="21.95" customHeight="1" x14ac:dyDescent="0.15"/>
    <row r="5859" spans="3:3" s="9" customFormat="1" ht="21.95" customHeight="1" x14ac:dyDescent="0.15"/>
    <row r="5860" spans="3:3" s="9" customFormat="1" ht="21.95" customHeight="1" x14ac:dyDescent="0.15"/>
    <row r="5861" spans="3:3" s="9" customFormat="1" ht="21.95" customHeight="1" x14ac:dyDescent="0.15"/>
    <row r="5862" spans="3:3" s="9" customFormat="1" ht="21.95" customHeight="1" x14ac:dyDescent="0.15"/>
    <row r="5863" spans="3:3" s="9" customFormat="1" ht="21.95" customHeight="1" x14ac:dyDescent="0.15"/>
    <row r="5864" spans="3:3" s="9" customFormat="1" ht="21.95" customHeight="1" x14ac:dyDescent="0.15"/>
    <row r="5865" spans="3:3" s="9" customFormat="1" ht="21.95" customHeight="1" x14ac:dyDescent="0.15"/>
    <row r="5866" spans="3:3" s="9" customFormat="1" ht="21.95" customHeight="1" x14ac:dyDescent="0.15"/>
    <row r="5867" spans="3:3" s="9" customFormat="1" ht="21.95" customHeight="1" x14ac:dyDescent="0.15"/>
    <row r="5868" spans="3:3" s="9" customFormat="1" ht="21.95" customHeight="1" x14ac:dyDescent="0.15"/>
    <row r="5869" spans="3:3" s="9" customFormat="1" ht="21.95" customHeight="1" x14ac:dyDescent="0.15"/>
    <row r="5870" spans="3:3" s="8" customFormat="1" ht="21.95" customHeight="1" x14ac:dyDescent="0.15"/>
    <row r="5871" spans="3:3" s="8" customFormat="1" ht="21.95" customHeight="1" x14ac:dyDescent="0.15"/>
    <row r="5872" spans="3:3" s="8" customFormat="1" ht="21.95" customHeight="1" x14ac:dyDescent="0.15">
      <c r="C5872" s="101"/>
    </row>
    <row r="5873" spans="3:3" s="8" customFormat="1" ht="21.95" customHeight="1" x14ac:dyDescent="0.15">
      <c r="C5873" s="101"/>
    </row>
    <row r="5874" spans="3:3" s="8" customFormat="1" ht="21.95" customHeight="1" x14ac:dyDescent="0.15"/>
    <row r="5875" spans="3:3" s="8" customFormat="1" ht="21.95" customHeight="1" x14ac:dyDescent="0.15"/>
    <row r="5876" spans="3:3" s="8" customFormat="1" ht="21.95" customHeight="1" x14ac:dyDescent="0.15"/>
    <row r="5877" spans="3:3" s="8" customFormat="1" ht="21.95" customHeight="1" x14ac:dyDescent="0.15"/>
    <row r="5878" spans="3:3" s="8" customFormat="1" ht="21.95" customHeight="1" x14ac:dyDescent="0.15"/>
    <row r="5879" spans="3:3" s="8" customFormat="1" ht="21.95" customHeight="1" x14ac:dyDescent="0.15"/>
    <row r="5880" spans="3:3" s="8" customFormat="1" ht="21.95" customHeight="1" x14ac:dyDescent="0.15"/>
    <row r="5881" spans="3:3" s="9" customFormat="1" ht="21.95" customHeight="1" x14ac:dyDescent="0.15"/>
    <row r="5882" spans="3:3" s="9" customFormat="1" ht="21.95" customHeight="1" x14ac:dyDescent="0.15"/>
    <row r="5883" spans="3:3" s="9" customFormat="1" ht="21.95" customHeight="1" x14ac:dyDescent="0.15"/>
    <row r="5884" spans="3:3" s="9" customFormat="1" ht="21.95" customHeight="1" x14ac:dyDescent="0.15"/>
    <row r="5885" spans="3:3" s="8" customFormat="1" ht="21.95" customHeight="1" x14ac:dyDescent="0.15"/>
    <row r="5886" spans="3:3" s="8" customFormat="1" ht="21.95" customHeight="1" x14ac:dyDescent="0.15"/>
    <row r="5887" spans="3:3" s="8" customFormat="1" ht="21.95" customHeight="1" x14ac:dyDescent="0.15"/>
    <row r="5888" spans="3:3" s="8" customFormat="1" ht="21.95" customHeight="1" x14ac:dyDescent="0.15"/>
    <row r="5889" s="8" customFormat="1" ht="21.95" customHeight="1" x14ac:dyDescent="0.15"/>
    <row r="5890" s="8" customFormat="1" ht="21.95" customHeight="1" x14ac:dyDescent="0.15"/>
    <row r="5891" s="8" customFormat="1" ht="21.95" customHeight="1" x14ac:dyDescent="0.15"/>
    <row r="5892" s="8" customFormat="1" ht="21.95" customHeight="1" x14ac:dyDescent="0.15"/>
    <row r="5893" s="8" customFormat="1" ht="21.95" customHeight="1" x14ac:dyDescent="0.15"/>
    <row r="5894" s="8" customFormat="1" ht="21.95" customHeight="1" x14ac:dyDescent="0.15"/>
    <row r="5895" s="8" customFormat="1" ht="21.95" customHeight="1" x14ac:dyDescent="0.15"/>
    <row r="5896" s="8" customFormat="1" ht="32.1" customHeight="1" x14ac:dyDescent="0.15"/>
    <row r="5897" s="8" customFormat="1" ht="32.1" customHeight="1" x14ac:dyDescent="0.15"/>
    <row r="5898" s="8" customFormat="1" ht="32.1" customHeight="1" x14ac:dyDescent="0.15"/>
    <row r="5899" s="8" customFormat="1" ht="32.1" customHeight="1" x14ac:dyDescent="0.15"/>
    <row r="5900" s="8" customFormat="1" ht="32.1" customHeight="1" x14ac:dyDescent="0.15"/>
    <row r="5901" s="8" customFormat="1" ht="32.1" customHeight="1" x14ac:dyDescent="0.15"/>
    <row r="5902" s="9" customFormat="1" ht="32.1" customHeight="1" x14ac:dyDescent="0.15"/>
    <row r="5903" s="9" customFormat="1" ht="32.1" customHeight="1" x14ac:dyDescent="0.15"/>
    <row r="5904" s="9" customFormat="1" ht="32.1" customHeight="1" x14ac:dyDescent="0.15"/>
    <row r="5905" s="9" customFormat="1" ht="32.1" customHeight="1" x14ac:dyDescent="0.15"/>
    <row r="5906" s="9" customFormat="1" ht="21.95" customHeight="1" x14ac:dyDescent="0.15"/>
    <row r="5907" s="9" customFormat="1" ht="54" customHeight="1" x14ac:dyDescent="0.15"/>
    <row r="5908" s="9" customFormat="1" ht="21.95" customHeight="1" x14ac:dyDescent="0.15"/>
    <row r="5909" s="9" customFormat="1" ht="21.95" customHeight="1" x14ac:dyDescent="0.15"/>
    <row r="5910" s="9" customFormat="1" ht="21.95" customHeight="1" x14ac:dyDescent="0.15"/>
    <row r="5911" s="9" customFormat="1" ht="21.95" customHeight="1" x14ac:dyDescent="0.15"/>
    <row r="5912" s="9" customFormat="1" ht="21.95" customHeight="1" x14ac:dyDescent="0.15"/>
    <row r="5913" s="9" customFormat="1" ht="21.95" customHeight="1" x14ac:dyDescent="0.15"/>
    <row r="5914" s="9" customFormat="1" ht="21.95" customHeight="1" x14ac:dyDescent="0.15"/>
    <row r="5915" s="9" customFormat="1" ht="21.95" customHeight="1" x14ac:dyDescent="0.15"/>
    <row r="5916" s="9" customFormat="1" ht="21.95" customHeight="1" x14ac:dyDescent="0.15"/>
    <row r="5917" s="9" customFormat="1" ht="21.95" customHeight="1" x14ac:dyDescent="0.15"/>
    <row r="5918" s="9" customFormat="1" ht="21.95" customHeight="1" x14ac:dyDescent="0.15"/>
    <row r="5919" s="9" customFormat="1" ht="21.95" customHeight="1" x14ac:dyDescent="0.15"/>
    <row r="5920" s="9" customFormat="1" ht="21.95" customHeight="1" x14ac:dyDescent="0.15"/>
    <row r="5921" s="9" customFormat="1" ht="21.95" customHeight="1" x14ac:dyDescent="0.15"/>
    <row r="5922" s="9" customFormat="1" ht="21.95" customHeight="1" x14ac:dyDescent="0.15"/>
    <row r="5923" s="9" customFormat="1" ht="21.95" customHeight="1" x14ac:dyDescent="0.15"/>
    <row r="5924" s="9" customFormat="1" ht="21.95" customHeight="1" x14ac:dyDescent="0.15"/>
    <row r="5925" s="9" customFormat="1" ht="21.95" customHeight="1" x14ac:dyDescent="0.15"/>
    <row r="5926" s="9" customFormat="1" ht="21.95" customHeight="1" x14ac:dyDescent="0.15"/>
    <row r="5927" s="9" customFormat="1" ht="21.95" customHeight="1" x14ac:dyDescent="0.15"/>
    <row r="5928" s="9" customFormat="1" ht="21.95" customHeight="1" x14ac:dyDescent="0.15"/>
    <row r="5929" s="9" customFormat="1" ht="21.95" customHeight="1" x14ac:dyDescent="0.15"/>
    <row r="5930" s="9" customFormat="1" ht="21.95" customHeight="1" x14ac:dyDescent="0.15"/>
    <row r="5931" s="9" customFormat="1" ht="21.95" customHeight="1" x14ac:dyDescent="0.15"/>
    <row r="5932" s="9" customFormat="1" ht="21.95" customHeight="1" x14ac:dyDescent="0.15"/>
    <row r="5933" s="9" customFormat="1" ht="21.95" customHeight="1" x14ac:dyDescent="0.15"/>
    <row r="5934" s="9" customFormat="1" ht="21.95" customHeight="1" x14ac:dyDescent="0.15"/>
    <row r="5935" s="9" customFormat="1" ht="21.95" customHeight="1" x14ac:dyDescent="0.15"/>
    <row r="5936" s="9" customFormat="1" ht="21.95" customHeight="1" x14ac:dyDescent="0.15"/>
    <row r="5937" s="9" customFormat="1" ht="21.95" customHeight="1" x14ac:dyDescent="0.15"/>
    <row r="5938" s="9" customFormat="1" ht="21.95" customHeight="1" x14ac:dyDescent="0.15"/>
    <row r="5939" s="9" customFormat="1" ht="21.95" customHeight="1" x14ac:dyDescent="0.15"/>
    <row r="5940" s="9" customFormat="1" ht="21.95" customHeight="1" x14ac:dyDescent="0.15"/>
    <row r="5941" s="9" customFormat="1" ht="21.95" customHeight="1" x14ac:dyDescent="0.15"/>
    <row r="5942" s="9" customFormat="1" ht="21.95" customHeight="1" x14ac:dyDescent="0.15"/>
    <row r="5943" s="9" customFormat="1" ht="21.95" customHeight="1" x14ac:dyDescent="0.15"/>
    <row r="5944" s="9" customFormat="1" ht="21.95" customHeight="1" x14ac:dyDescent="0.15"/>
    <row r="5945" s="9" customFormat="1" ht="21.95" customHeight="1" x14ac:dyDescent="0.15"/>
    <row r="5946" s="9" customFormat="1" ht="21.95" customHeight="1" x14ac:dyDescent="0.15"/>
    <row r="5947" s="9" customFormat="1" ht="21.95" customHeight="1" x14ac:dyDescent="0.15"/>
    <row r="5948" s="9" customFormat="1" ht="21.95" customHeight="1" x14ac:dyDescent="0.15"/>
    <row r="5949" s="9" customFormat="1" ht="21.95" customHeight="1" x14ac:dyDescent="0.15"/>
    <row r="5950" s="9" customFormat="1" ht="21.95" customHeight="1" x14ac:dyDescent="0.15"/>
    <row r="5951" s="9" customFormat="1" ht="21.95" customHeight="1" x14ac:dyDescent="0.15"/>
    <row r="5952" s="9" customFormat="1" ht="21.95" customHeight="1" x14ac:dyDescent="0.15"/>
    <row r="5953" s="9" customFormat="1" ht="21.95" customHeight="1" x14ac:dyDescent="0.15"/>
    <row r="5954" s="9" customFormat="1" ht="21.95" customHeight="1" x14ac:dyDescent="0.15"/>
    <row r="5955" s="9" customFormat="1" ht="21.95" customHeight="1" x14ac:dyDescent="0.15"/>
    <row r="5956" s="9" customFormat="1" ht="21.95" customHeight="1" x14ac:dyDescent="0.15"/>
    <row r="5957" s="9" customFormat="1" ht="21.95" customHeight="1" x14ac:dyDescent="0.15"/>
    <row r="5958" s="9" customFormat="1" ht="35.1" customHeight="1" x14ac:dyDescent="0.15"/>
    <row r="5959" s="9" customFormat="1" ht="21.95" customHeight="1" x14ac:dyDescent="0.15"/>
    <row r="5960" s="9" customFormat="1" ht="21.95" customHeight="1" x14ac:dyDescent="0.15"/>
    <row r="5961" s="9" customFormat="1" ht="21.95" customHeight="1" x14ac:dyDescent="0.15"/>
    <row r="5962" s="9" customFormat="1" ht="21.95" customHeight="1" x14ac:dyDescent="0.15"/>
    <row r="5963" s="9" customFormat="1" ht="21.95" customHeight="1" x14ac:dyDescent="0.15"/>
    <row r="5964" s="9" customFormat="1" ht="21.95" customHeight="1" x14ac:dyDescent="0.15"/>
    <row r="5965" s="9" customFormat="1" ht="21.95" customHeight="1" x14ac:dyDescent="0.15"/>
    <row r="5966" s="9" customFormat="1" ht="21.95" customHeight="1" x14ac:dyDescent="0.15"/>
    <row r="5967" s="9" customFormat="1" ht="21.95" customHeight="1" x14ac:dyDescent="0.15"/>
    <row r="5968" s="9" customFormat="1" ht="21.95" customHeight="1" x14ac:dyDescent="0.15"/>
    <row r="5969" spans="3:3" s="9" customFormat="1" ht="21.95" customHeight="1" x14ac:dyDescent="0.15"/>
    <row r="5970" spans="3:3" s="9" customFormat="1" ht="21.95" customHeight="1" x14ac:dyDescent="0.15"/>
    <row r="5971" spans="3:3" s="9" customFormat="1" ht="21.95" customHeight="1" x14ac:dyDescent="0.15"/>
    <row r="5972" spans="3:3" s="9" customFormat="1" ht="21.95" customHeight="1" x14ac:dyDescent="0.15"/>
    <row r="5973" spans="3:3" s="9" customFormat="1" ht="21.95" customHeight="1" x14ac:dyDescent="0.15"/>
    <row r="5974" spans="3:3" s="9" customFormat="1" ht="21.95" customHeight="1" x14ac:dyDescent="0.15"/>
    <row r="5975" spans="3:3" s="9" customFormat="1" ht="21.95" customHeight="1" x14ac:dyDescent="0.15"/>
    <row r="5976" spans="3:3" s="9" customFormat="1" ht="21.95" customHeight="1" x14ac:dyDescent="0.15"/>
    <row r="5977" spans="3:3" s="9" customFormat="1" ht="21.95" customHeight="1" x14ac:dyDescent="0.15"/>
    <row r="5978" spans="3:3" s="9" customFormat="1" ht="21.95" customHeight="1" x14ac:dyDescent="0.15"/>
    <row r="5979" spans="3:3" s="9" customFormat="1" ht="21.95" customHeight="1" x14ac:dyDescent="0.15"/>
    <row r="5980" spans="3:3" s="9" customFormat="1" ht="21.95" customHeight="1" x14ac:dyDescent="0.15"/>
    <row r="5981" spans="3:3" s="9" customFormat="1" ht="21.95" customHeight="1" x14ac:dyDescent="0.15"/>
    <row r="5982" spans="3:3" s="8" customFormat="1" ht="21.95" customHeight="1" x14ac:dyDescent="0.15"/>
    <row r="5983" spans="3:3" s="8" customFormat="1" ht="21.95" customHeight="1" x14ac:dyDescent="0.15"/>
    <row r="5984" spans="3:3" s="8" customFormat="1" ht="21.95" customHeight="1" x14ac:dyDescent="0.15">
      <c r="C5984" s="101"/>
    </row>
    <row r="5985" spans="3:3" s="8" customFormat="1" ht="21.95" customHeight="1" x14ac:dyDescent="0.15">
      <c r="C5985" s="101"/>
    </row>
    <row r="5986" spans="3:3" s="8" customFormat="1" ht="21.95" customHeight="1" x14ac:dyDescent="0.15"/>
    <row r="5987" spans="3:3" s="8" customFormat="1" ht="21.95" customHeight="1" x14ac:dyDescent="0.15"/>
    <row r="5988" spans="3:3" s="8" customFormat="1" ht="21.95" customHeight="1" x14ac:dyDescent="0.15"/>
    <row r="5989" spans="3:3" s="8" customFormat="1" ht="21.95" customHeight="1" x14ac:dyDescent="0.15"/>
    <row r="5990" spans="3:3" s="8" customFormat="1" ht="21.95" customHeight="1" x14ac:dyDescent="0.15"/>
    <row r="5991" spans="3:3" s="8" customFormat="1" ht="21.95" customHeight="1" x14ac:dyDescent="0.15"/>
    <row r="5992" spans="3:3" s="8" customFormat="1" ht="21.95" customHeight="1" x14ac:dyDescent="0.15"/>
    <row r="5993" spans="3:3" s="9" customFormat="1" ht="21.95" customHeight="1" x14ac:dyDescent="0.15"/>
    <row r="5994" spans="3:3" s="9" customFormat="1" ht="21.95" customHeight="1" x14ac:dyDescent="0.15"/>
    <row r="5995" spans="3:3" s="9" customFormat="1" ht="21.95" customHeight="1" x14ac:dyDescent="0.15"/>
    <row r="5996" spans="3:3" s="9" customFormat="1" ht="21.95" customHeight="1" x14ac:dyDescent="0.15"/>
    <row r="5997" spans="3:3" s="8" customFormat="1" ht="21.95" customHeight="1" x14ac:dyDescent="0.15"/>
    <row r="5998" spans="3:3" s="8" customFormat="1" ht="21.95" customHeight="1" x14ac:dyDescent="0.15"/>
    <row r="5999" spans="3:3" s="8" customFormat="1" ht="21.95" customHeight="1" x14ac:dyDescent="0.15"/>
    <row r="6000" spans="3:3" s="8" customFormat="1" ht="21.95" customHeight="1" x14ac:dyDescent="0.15"/>
    <row r="6001" s="8" customFormat="1" ht="21.95" customHeight="1" x14ac:dyDescent="0.15"/>
    <row r="6002" s="8" customFormat="1" ht="21.95" customHeight="1" x14ac:dyDescent="0.15"/>
    <row r="6003" s="8" customFormat="1" ht="21.95" customHeight="1" x14ac:dyDescent="0.15"/>
    <row r="6004" s="8" customFormat="1" ht="21.95" customHeight="1" x14ac:dyDescent="0.15"/>
    <row r="6005" s="8" customFormat="1" ht="21.95" customHeight="1" x14ac:dyDescent="0.15"/>
    <row r="6006" s="8" customFormat="1" ht="21.95" customHeight="1" x14ac:dyDescent="0.15"/>
    <row r="6007" s="8" customFormat="1" ht="21.95" customHeight="1" x14ac:dyDescent="0.15"/>
    <row r="6008" s="8" customFormat="1" ht="32.1" customHeight="1" x14ac:dyDescent="0.15"/>
    <row r="6009" s="8" customFormat="1" ht="32.1" customHeight="1" x14ac:dyDescent="0.15"/>
    <row r="6010" s="8" customFormat="1" ht="32.1" customHeight="1" x14ac:dyDescent="0.15"/>
    <row r="6011" s="8" customFormat="1" ht="32.1" customHeight="1" x14ac:dyDescent="0.15"/>
    <row r="6012" s="8" customFormat="1" ht="32.1" customHeight="1" x14ac:dyDescent="0.15"/>
    <row r="6013" s="8" customFormat="1" ht="32.1" customHeight="1" x14ac:dyDescent="0.15"/>
    <row r="6014" s="9" customFormat="1" ht="32.1" customHeight="1" x14ac:dyDescent="0.15"/>
    <row r="6015" s="9" customFormat="1" ht="32.1" customHeight="1" x14ac:dyDescent="0.15"/>
    <row r="6016" s="9" customFormat="1" ht="32.1" customHeight="1" x14ac:dyDescent="0.15"/>
    <row r="6017" s="9" customFormat="1" ht="32.1" customHeight="1" x14ac:dyDescent="0.15"/>
    <row r="6018" s="9" customFormat="1" ht="21.95" customHeight="1" x14ac:dyDescent="0.15"/>
    <row r="6019" s="9" customFormat="1" ht="54" customHeight="1" x14ac:dyDescent="0.15"/>
    <row r="6020" s="9" customFormat="1" ht="21.95" customHeight="1" x14ac:dyDescent="0.15"/>
    <row r="6021" s="9" customFormat="1" ht="21.95" customHeight="1" x14ac:dyDescent="0.15"/>
    <row r="6022" s="9" customFormat="1" ht="21.95" customHeight="1" x14ac:dyDescent="0.15"/>
    <row r="6023" s="9" customFormat="1" ht="21.95" customHeight="1" x14ac:dyDescent="0.15"/>
    <row r="6024" s="9" customFormat="1" ht="21.95" customHeight="1" x14ac:dyDescent="0.15"/>
    <row r="6025" s="9" customFormat="1" ht="21.95" customHeight="1" x14ac:dyDescent="0.15"/>
    <row r="6026" s="9" customFormat="1" ht="21.95" customHeight="1" x14ac:dyDescent="0.15"/>
    <row r="6027" s="9" customFormat="1" ht="21.95" customHeight="1" x14ac:dyDescent="0.15"/>
    <row r="6028" s="9" customFormat="1" ht="21.95" customHeight="1" x14ac:dyDescent="0.15"/>
    <row r="6029" s="9" customFormat="1" ht="21.95" customHeight="1" x14ac:dyDescent="0.15"/>
    <row r="6030" s="9" customFormat="1" ht="21.95" customHeight="1" x14ac:dyDescent="0.15"/>
    <row r="6031" s="9" customFormat="1" ht="21.95" customHeight="1" x14ac:dyDescent="0.15"/>
    <row r="6032" s="9" customFormat="1" ht="21.95" customHeight="1" x14ac:dyDescent="0.15"/>
    <row r="6033" s="9" customFormat="1" ht="21.95" customHeight="1" x14ac:dyDescent="0.15"/>
    <row r="6034" s="9" customFormat="1" ht="21.95" customHeight="1" x14ac:dyDescent="0.15"/>
    <row r="6035" s="9" customFormat="1" ht="21.95" customHeight="1" x14ac:dyDescent="0.15"/>
    <row r="6036" s="9" customFormat="1" ht="21.95" customHeight="1" x14ac:dyDescent="0.15"/>
    <row r="6037" s="9" customFormat="1" ht="21.95" customHeight="1" x14ac:dyDescent="0.15"/>
    <row r="6038" s="9" customFormat="1" ht="21.95" customHeight="1" x14ac:dyDescent="0.15"/>
    <row r="6039" s="9" customFormat="1" ht="21.95" customHeight="1" x14ac:dyDescent="0.15"/>
    <row r="6040" s="9" customFormat="1" ht="21.95" customHeight="1" x14ac:dyDescent="0.15"/>
    <row r="6041" s="9" customFormat="1" ht="21.95" customHeight="1" x14ac:dyDescent="0.15"/>
    <row r="6042" s="9" customFormat="1" ht="21.95" customHeight="1" x14ac:dyDescent="0.15"/>
    <row r="6043" s="9" customFormat="1" ht="21.95" customHeight="1" x14ac:dyDescent="0.15"/>
    <row r="6044" s="9" customFormat="1" ht="21.95" customHeight="1" x14ac:dyDescent="0.15"/>
    <row r="6045" s="9" customFormat="1" ht="21.95" customHeight="1" x14ac:dyDescent="0.15"/>
    <row r="6046" s="9" customFormat="1" ht="21.95" customHeight="1" x14ac:dyDescent="0.15"/>
    <row r="6047" s="9" customFormat="1" ht="21.95" customHeight="1" x14ac:dyDescent="0.15"/>
    <row r="6048" s="9" customFormat="1" ht="21.95" customHeight="1" x14ac:dyDescent="0.15"/>
    <row r="6049" s="9" customFormat="1" ht="21.95" customHeight="1" x14ac:dyDescent="0.15"/>
    <row r="6050" s="9" customFormat="1" ht="21.95" customHeight="1" x14ac:dyDescent="0.15"/>
    <row r="6051" s="9" customFormat="1" ht="21.95" customHeight="1" x14ac:dyDescent="0.15"/>
    <row r="6052" s="9" customFormat="1" ht="21.95" customHeight="1" x14ac:dyDescent="0.15"/>
    <row r="6053" s="9" customFormat="1" ht="21.95" customHeight="1" x14ac:dyDescent="0.15"/>
    <row r="6054" s="9" customFormat="1" ht="21.95" customHeight="1" x14ac:dyDescent="0.15"/>
    <row r="6055" s="9" customFormat="1" ht="21.95" customHeight="1" x14ac:dyDescent="0.15"/>
    <row r="6056" s="9" customFormat="1" ht="21.95" customHeight="1" x14ac:dyDescent="0.15"/>
    <row r="6057" s="9" customFormat="1" ht="21.95" customHeight="1" x14ac:dyDescent="0.15"/>
    <row r="6058" s="9" customFormat="1" ht="21.95" customHeight="1" x14ac:dyDescent="0.15"/>
    <row r="6059" s="9" customFormat="1" ht="21.95" customHeight="1" x14ac:dyDescent="0.15"/>
    <row r="6060" s="9" customFormat="1" ht="21.95" customHeight="1" x14ac:dyDescent="0.15"/>
    <row r="6061" s="9" customFormat="1" ht="21.95" customHeight="1" x14ac:dyDescent="0.15"/>
    <row r="6062" s="9" customFormat="1" ht="21.95" customHeight="1" x14ac:dyDescent="0.15"/>
    <row r="6063" s="9" customFormat="1" ht="21.95" customHeight="1" x14ac:dyDescent="0.15"/>
    <row r="6064" s="9" customFormat="1" ht="21.95" customHeight="1" x14ac:dyDescent="0.15"/>
    <row r="6065" s="9" customFormat="1" ht="21.95" customHeight="1" x14ac:dyDescent="0.15"/>
    <row r="6066" s="9" customFormat="1" ht="21.95" customHeight="1" x14ac:dyDescent="0.15"/>
    <row r="6067" s="9" customFormat="1" ht="21.95" customHeight="1" x14ac:dyDescent="0.15"/>
    <row r="6068" s="9" customFormat="1" ht="21.95" customHeight="1" x14ac:dyDescent="0.15"/>
    <row r="6069" s="9" customFormat="1" ht="21.95" customHeight="1" x14ac:dyDescent="0.15"/>
    <row r="6070" s="9" customFormat="1" ht="35.1" customHeight="1" x14ac:dyDescent="0.15"/>
    <row r="6071" s="9" customFormat="1" ht="21.95" customHeight="1" x14ac:dyDescent="0.15"/>
    <row r="6072" s="9" customFormat="1" ht="21.95" customHeight="1" x14ac:dyDescent="0.15"/>
    <row r="6073" s="9" customFormat="1" ht="21.95" customHeight="1" x14ac:dyDescent="0.15"/>
    <row r="6074" s="9" customFormat="1" ht="21.95" customHeight="1" x14ac:dyDescent="0.15"/>
    <row r="6075" s="9" customFormat="1" ht="21.95" customHeight="1" x14ac:dyDescent="0.15"/>
    <row r="6076" s="9" customFormat="1" ht="21.95" customHeight="1" x14ac:dyDescent="0.15"/>
    <row r="6077" s="9" customFormat="1" ht="21.95" customHeight="1" x14ac:dyDescent="0.15"/>
    <row r="6078" s="9" customFormat="1" ht="21.95" customHeight="1" x14ac:dyDescent="0.15"/>
    <row r="6079" s="9" customFormat="1" ht="21.95" customHeight="1" x14ac:dyDescent="0.15"/>
    <row r="6080" s="9" customFormat="1" ht="21.95" customHeight="1" x14ac:dyDescent="0.15"/>
    <row r="6081" spans="3:3" s="9" customFormat="1" ht="21.95" customHeight="1" x14ac:dyDescent="0.15"/>
    <row r="6082" spans="3:3" s="9" customFormat="1" ht="21.95" customHeight="1" x14ac:dyDescent="0.15"/>
    <row r="6083" spans="3:3" s="9" customFormat="1" ht="21.95" customHeight="1" x14ac:dyDescent="0.15"/>
    <row r="6084" spans="3:3" s="9" customFormat="1" ht="21.95" customHeight="1" x14ac:dyDescent="0.15"/>
    <row r="6085" spans="3:3" s="9" customFormat="1" ht="21.95" customHeight="1" x14ac:dyDescent="0.15"/>
    <row r="6086" spans="3:3" s="9" customFormat="1" ht="21.95" customHeight="1" x14ac:dyDescent="0.15"/>
    <row r="6087" spans="3:3" s="9" customFormat="1" ht="21.95" customHeight="1" x14ac:dyDescent="0.15"/>
    <row r="6088" spans="3:3" s="9" customFormat="1" ht="21.95" customHeight="1" x14ac:dyDescent="0.15"/>
    <row r="6089" spans="3:3" s="9" customFormat="1" ht="21.95" customHeight="1" x14ac:dyDescent="0.15"/>
    <row r="6090" spans="3:3" s="9" customFormat="1" ht="21.95" customHeight="1" x14ac:dyDescent="0.15"/>
    <row r="6091" spans="3:3" s="9" customFormat="1" ht="21.95" customHeight="1" x14ac:dyDescent="0.15"/>
    <row r="6092" spans="3:3" s="9" customFormat="1" ht="21.95" customHeight="1" x14ac:dyDescent="0.15"/>
    <row r="6093" spans="3:3" s="9" customFormat="1" ht="21.95" customHeight="1" x14ac:dyDescent="0.15"/>
    <row r="6094" spans="3:3" s="8" customFormat="1" ht="21.95" customHeight="1" x14ac:dyDescent="0.15"/>
    <row r="6095" spans="3:3" s="8" customFormat="1" ht="21.95" customHeight="1" x14ac:dyDescent="0.15"/>
    <row r="6096" spans="3:3" s="8" customFormat="1" ht="21.95" customHeight="1" x14ac:dyDescent="0.15">
      <c r="C6096" s="101"/>
    </row>
    <row r="6097" spans="3:3" s="8" customFormat="1" ht="21.95" customHeight="1" x14ac:dyDescent="0.15">
      <c r="C6097" s="101"/>
    </row>
    <row r="6098" spans="3:3" s="8" customFormat="1" ht="21.95" customHeight="1" x14ac:dyDescent="0.15"/>
    <row r="6099" spans="3:3" s="8" customFormat="1" ht="21.95" customHeight="1" x14ac:dyDescent="0.15"/>
    <row r="6100" spans="3:3" s="8" customFormat="1" ht="21.95" customHeight="1" x14ac:dyDescent="0.15"/>
    <row r="6101" spans="3:3" s="8" customFormat="1" ht="21.95" customHeight="1" x14ac:dyDescent="0.15"/>
    <row r="6102" spans="3:3" s="8" customFormat="1" ht="21.95" customHeight="1" x14ac:dyDescent="0.15"/>
    <row r="6103" spans="3:3" s="8" customFormat="1" ht="21.95" customHeight="1" x14ac:dyDescent="0.15"/>
    <row r="6104" spans="3:3" s="8" customFormat="1" ht="21.95" customHeight="1" x14ac:dyDescent="0.15"/>
    <row r="6105" spans="3:3" s="9" customFormat="1" ht="21.95" customHeight="1" x14ac:dyDescent="0.15"/>
    <row r="6106" spans="3:3" s="9" customFormat="1" ht="21.95" customHeight="1" x14ac:dyDescent="0.15"/>
    <row r="6107" spans="3:3" s="9" customFormat="1" ht="21.95" customHeight="1" x14ac:dyDescent="0.15"/>
    <row r="6108" spans="3:3" s="9" customFormat="1" ht="21.95" customHeight="1" x14ac:dyDescent="0.15"/>
    <row r="6109" spans="3:3" s="8" customFormat="1" ht="21.95" customHeight="1" x14ac:dyDescent="0.15"/>
    <row r="6110" spans="3:3" s="8" customFormat="1" ht="21.95" customHeight="1" x14ac:dyDescent="0.15"/>
    <row r="6111" spans="3:3" s="8" customFormat="1" ht="21.95" customHeight="1" x14ac:dyDescent="0.15"/>
    <row r="6112" spans="3:3" s="8" customFormat="1" ht="21.95" customHeight="1" x14ac:dyDescent="0.15"/>
    <row r="6113" s="8" customFormat="1" ht="21.95" customHeight="1" x14ac:dyDescent="0.15"/>
    <row r="6114" s="8" customFormat="1" ht="21.95" customHeight="1" x14ac:dyDescent="0.15"/>
    <row r="6115" s="8" customFormat="1" ht="21.95" customHeight="1" x14ac:dyDescent="0.15"/>
    <row r="6116" s="8" customFormat="1" ht="21.95" customHeight="1" x14ac:dyDescent="0.15"/>
    <row r="6117" s="8" customFormat="1" ht="21.95" customHeight="1" x14ac:dyDescent="0.15"/>
    <row r="6118" s="8" customFormat="1" ht="21.95" customHeight="1" x14ac:dyDescent="0.15"/>
    <row r="6119" s="8" customFormat="1" ht="21.95" customHeight="1" x14ac:dyDescent="0.15"/>
    <row r="6120" s="8" customFormat="1" ht="32.1" customHeight="1" x14ac:dyDescent="0.15"/>
    <row r="6121" s="8" customFormat="1" ht="32.1" customHeight="1" x14ac:dyDescent="0.15"/>
    <row r="6122" s="8" customFormat="1" ht="32.1" customHeight="1" x14ac:dyDescent="0.15"/>
    <row r="6123" s="8" customFormat="1" ht="32.1" customHeight="1" x14ac:dyDescent="0.15"/>
    <row r="6124" s="8" customFormat="1" ht="32.1" customHeight="1" x14ac:dyDescent="0.15"/>
    <row r="6125" s="8" customFormat="1" ht="32.1" customHeight="1" x14ac:dyDescent="0.15"/>
    <row r="6126" s="9" customFormat="1" ht="32.1" customHeight="1" x14ac:dyDescent="0.15"/>
    <row r="6127" s="9" customFormat="1" ht="32.1" customHeight="1" x14ac:dyDescent="0.15"/>
    <row r="6128" s="9" customFormat="1" ht="32.1" customHeight="1" x14ac:dyDescent="0.15"/>
    <row r="6129" s="9" customFormat="1" ht="32.1" customHeight="1" x14ac:dyDescent="0.15"/>
    <row r="6130" s="9" customFormat="1" ht="21.95" customHeight="1" x14ac:dyDescent="0.15"/>
    <row r="6131" s="9" customFormat="1" ht="54" customHeight="1" x14ac:dyDescent="0.15"/>
    <row r="6132" s="9" customFormat="1" ht="21.95" customHeight="1" x14ac:dyDescent="0.15"/>
    <row r="6133" s="9" customFormat="1" ht="21.95" customHeight="1" x14ac:dyDescent="0.15"/>
    <row r="6134" s="9" customFormat="1" ht="21.95" customHeight="1" x14ac:dyDescent="0.15"/>
    <row r="6135" s="9" customFormat="1" ht="21.95" customHeight="1" x14ac:dyDescent="0.15"/>
    <row r="6136" s="9" customFormat="1" ht="21.95" customHeight="1" x14ac:dyDescent="0.15"/>
    <row r="6137" s="9" customFormat="1" ht="21.95" customHeight="1" x14ac:dyDescent="0.15"/>
    <row r="6138" s="9" customFormat="1" ht="21.95" customHeight="1" x14ac:dyDescent="0.15"/>
    <row r="6139" s="9" customFormat="1" ht="21.95" customHeight="1" x14ac:dyDescent="0.15"/>
    <row r="6140" s="9" customFormat="1" ht="21.95" customHeight="1" x14ac:dyDescent="0.15"/>
    <row r="6141" s="9" customFormat="1" ht="21.95" customHeight="1" x14ac:dyDescent="0.15"/>
    <row r="6142" s="9" customFormat="1" ht="21.95" customHeight="1" x14ac:dyDescent="0.15"/>
    <row r="6143" s="9" customFormat="1" ht="21.95" customHeight="1" x14ac:dyDescent="0.15"/>
    <row r="6144" s="9" customFormat="1" ht="21.95" customHeight="1" x14ac:dyDescent="0.15"/>
    <row r="6145" s="9" customFormat="1" ht="21.95" customHeight="1" x14ac:dyDescent="0.15"/>
    <row r="6146" s="9" customFormat="1" ht="21.95" customHeight="1" x14ac:dyDescent="0.15"/>
    <row r="6147" s="9" customFormat="1" ht="21.95" customHeight="1" x14ac:dyDescent="0.15"/>
    <row r="6148" s="9" customFormat="1" ht="21.95" customHeight="1" x14ac:dyDescent="0.15"/>
    <row r="6149" s="9" customFormat="1" ht="21.95" customHeight="1" x14ac:dyDescent="0.15"/>
    <row r="6150" s="9" customFormat="1" ht="21.95" customHeight="1" x14ac:dyDescent="0.15"/>
    <row r="6151" s="9" customFormat="1" ht="21.95" customHeight="1" x14ac:dyDescent="0.15"/>
    <row r="6152" s="9" customFormat="1" ht="21.95" customHeight="1" x14ac:dyDescent="0.15"/>
    <row r="6153" s="9" customFormat="1" ht="21.95" customHeight="1" x14ac:dyDescent="0.15"/>
    <row r="6154" s="9" customFormat="1" ht="21.95" customHeight="1" x14ac:dyDescent="0.15"/>
    <row r="6155" s="9" customFormat="1" ht="21.95" customHeight="1" x14ac:dyDescent="0.15"/>
    <row r="6156" s="9" customFormat="1" ht="21.95" customHeight="1" x14ac:dyDescent="0.15"/>
    <row r="6157" s="9" customFormat="1" ht="21.95" customHeight="1" x14ac:dyDescent="0.15"/>
    <row r="6158" s="9" customFormat="1" ht="21.95" customHeight="1" x14ac:dyDescent="0.15"/>
    <row r="6159" s="9" customFormat="1" ht="21.95" customHeight="1" x14ac:dyDescent="0.15"/>
    <row r="6160" s="9" customFormat="1" ht="21.95" customHeight="1" x14ac:dyDescent="0.15"/>
    <row r="6161" s="9" customFormat="1" ht="21.95" customHeight="1" x14ac:dyDescent="0.15"/>
    <row r="6162" s="9" customFormat="1" ht="21.95" customHeight="1" x14ac:dyDescent="0.15"/>
    <row r="6163" s="9" customFormat="1" ht="21.95" customHeight="1" x14ac:dyDescent="0.15"/>
    <row r="6164" s="9" customFormat="1" ht="21.95" customHeight="1" x14ac:dyDescent="0.15"/>
    <row r="6165" s="9" customFormat="1" ht="21.95" customHeight="1" x14ac:dyDescent="0.15"/>
    <row r="6166" s="9" customFormat="1" ht="21.95" customHeight="1" x14ac:dyDescent="0.15"/>
    <row r="6167" s="9" customFormat="1" ht="21.95" customHeight="1" x14ac:dyDescent="0.15"/>
    <row r="6168" s="9" customFormat="1" ht="21.95" customHeight="1" x14ac:dyDescent="0.15"/>
    <row r="6169" s="9" customFormat="1" ht="21.95" customHeight="1" x14ac:dyDescent="0.15"/>
    <row r="6170" s="9" customFormat="1" ht="21.95" customHeight="1" x14ac:dyDescent="0.15"/>
    <row r="6171" s="9" customFormat="1" ht="21.95" customHeight="1" x14ac:dyDescent="0.15"/>
    <row r="6172" s="9" customFormat="1" ht="21.95" customHeight="1" x14ac:dyDescent="0.15"/>
    <row r="6173" s="9" customFormat="1" ht="21.95" customHeight="1" x14ac:dyDescent="0.15"/>
    <row r="6174" s="9" customFormat="1" ht="21.95" customHeight="1" x14ac:dyDescent="0.15"/>
    <row r="6175" s="9" customFormat="1" ht="21.95" customHeight="1" x14ac:dyDescent="0.15"/>
    <row r="6176" s="9" customFormat="1" ht="21.95" customHeight="1" x14ac:dyDescent="0.15"/>
    <row r="6177" s="9" customFormat="1" ht="21.95" customHeight="1" x14ac:dyDescent="0.15"/>
    <row r="6178" s="9" customFormat="1" ht="21.95" customHeight="1" x14ac:dyDescent="0.15"/>
    <row r="6179" s="9" customFormat="1" ht="21.95" customHeight="1" x14ac:dyDescent="0.15"/>
    <row r="6180" s="9" customFormat="1" ht="21.95" customHeight="1" x14ac:dyDescent="0.15"/>
    <row r="6181" s="9" customFormat="1" ht="21.95" customHeight="1" x14ac:dyDescent="0.15"/>
    <row r="6182" s="9" customFormat="1" ht="35.1" customHeight="1" x14ac:dyDescent="0.15"/>
    <row r="6183" s="9" customFormat="1" ht="21.95" customHeight="1" x14ac:dyDescent="0.15"/>
    <row r="6184" s="9" customFormat="1" ht="21.95" customHeight="1" x14ac:dyDescent="0.15"/>
    <row r="6185" s="9" customFormat="1" ht="21.95" customHeight="1" x14ac:dyDescent="0.15"/>
    <row r="6186" s="9" customFormat="1" ht="21.95" customHeight="1" x14ac:dyDescent="0.15"/>
    <row r="6187" s="9" customFormat="1" ht="21.95" customHeight="1" x14ac:dyDescent="0.15"/>
    <row r="6188" s="9" customFormat="1" ht="21.95" customHeight="1" x14ac:dyDescent="0.15"/>
    <row r="6189" s="9" customFormat="1" ht="21.95" customHeight="1" x14ac:dyDescent="0.15"/>
    <row r="6190" s="9" customFormat="1" ht="21.95" customHeight="1" x14ac:dyDescent="0.15"/>
    <row r="6191" s="9" customFormat="1" ht="21.95" customHeight="1" x14ac:dyDescent="0.15"/>
    <row r="6192" s="9" customFormat="1" ht="21.95" customHeight="1" x14ac:dyDescent="0.15"/>
    <row r="6193" spans="3:3" s="9" customFormat="1" ht="21.95" customHeight="1" x14ac:dyDescent="0.15"/>
    <row r="6194" spans="3:3" s="9" customFormat="1" ht="21.95" customHeight="1" x14ac:dyDescent="0.15"/>
    <row r="6195" spans="3:3" s="9" customFormat="1" ht="21.95" customHeight="1" x14ac:dyDescent="0.15"/>
    <row r="6196" spans="3:3" s="9" customFormat="1" ht="21.95" customHeight="1" x14ac:dyDescent="0.15"/>
    <row r="6197" spans="3:3" s="9" customFormat="1" ht="21.95" customHeight="1" x14ac:dyDescent="0.15"/>
    <row r="6198" spans="3:3" s="9" customFormat="1" ht="21.95" customHeight="1" x14ac:dyDescent="0.15"/>
    <row r="6199" spans="3:3" s="9" customFormat="1" ht="21.95" customHeight="1" x14ac:dyDescent="0.15"/>
    <row r="6200" spans="3:3" s="9" customFormat="1" ht="21.95" customHeight="1" x14ac:dyDescent="0.15"/>
    <row r="6201" spans="3:3" s="9" customFormat="1" ht="21.95" customHeight="1" x14ac:dyDescent="0.15"/>
    <row r="6202" spans="3:3" s="9" customFormat="1" ht="21.95" customHeight="1" x14ac:dyDescent="0.15"/>
    <row r="6203" spans="3:3" s="9" customFormat="1" ht="21.95" customHeight="1" x14ac:dyDescent="0.15"/>
    <row r="6204" spans="3:3" s="9" customFormat="1" ht="21.95" customHeight="1" x14ac:dyDescent="0.15"/>
    <row r="6205" spans="3:3" s="9" customFormat="1" ht="21.95" customHeight="1" x14ac:dyDescent="0.15"/>
    <row r="6206" spans="3:3" s="8" customFormat="1" ht="21.95" customHeight="1" x14ac:dyDescent="0.15"/>
    <row r="6207" spans="3:3" s="8" customFormat="1" ht="21.95" customHeight="1" x14ac:dyDescent="0.15"/>
    <row r="6208" spans="3:3" s="8" customFormat="1" ht="21.95" customHeight="1" x14ac:dyDescent="0.15">
      <c r="C6208" s="101"/>
    </row>
    <row r="6209" spans="3:3" s="8" customFormat="1" ht="21.95" customHeight="1" x14ac:dyDescent="0.15">
      <c r="C6209" s="101"/>
    </row>
    <row r="6210" spans="3:3" s="8" customFormat="1" ht="21.95" customHeight="1" x14ac:dyDescent="0.15"/>
    <row r="6211" spans="3:3" s="8" customFormat="1" ht="21.95" customHeight="1" x14ac:dyDescent="0.15"/>
    <row r="6212" spans="3:3" s="8" customFormat="1" ht="21.95" customHeight="1" x14ac:dyDescent="0.15"/>
    <row r="6213" spans="3:3" s="8" customFormat="1" ht="21.95" customHeight="1" x14ac:dyDescent="0.15"/>
    <row r="6214" spans="3:3" s="8" customFormat="1" ht="21.95" customHeight="1" x14ac:dyDescent="0.15"/>
    <row r="6215" spans="3:3" s="8" customFormat="1" ht="21.95" customHeight="1" x14ac:dyDescent="0.15"/>
    <row r="6216" spans="3:3" s="8" customFormat="1" ht="21.95" customHeight="1" x14ac:dyDescent="0.15"/>
    <row r="6217" spans="3:3" s="9" customFormat="1" ht="21.95" customHeight="1" x14ac:dyDescent="0.15"/>
    <row r="6218" spans="3:3" s="9" customFormat="1" ht="21.95" customHeight="1" x14ac:dyDescent="0.15"/>
    <row r="6219" spans="3:3" s="9" customFormat="1" ht="21.95" customHeight="1" x14ac:dyDescent="0.15"/>
    <row r="6220" spans="3:3" s="9" customFormat="1" ht="21.95" customHeight="1" x14ac:dyDescent="0.15"/>
    <row r="6221" spans="3:3" s="8" customFormat="1" ht="21.95" customHeight="1" x14ac:dyDescent="0.15"/>
    <row r="6222" spans="3:3" s="8" customFormat="1" ht="21.95" customHeight="1" x14ac:dyDescent="0.15"/>
    <row r="6223" spans="3:3" s="8" customFormat="1" ht="21.95" customHeight="1" x14ac:dyDescent="0.15"/>
    <row r="6224" spans="3:3" s="8" customFormat="1" ht="21.95" customHeight="1" x14ac:dyDescent="0.15"/>
    <row r="6225" s="8" customFormat="1" ht="21.95" customHeight="1" x14ac:dyDescent="0.15"/>
    <row r="6226" s="8" customFormat="1" ht="21.95" customHeight="1" x14ac:dyDescent="0.15"/>
    <row r="6227" s="8" customFormat="1" ht="21.95" customHeight="1" x14ac:dyDescent="0.15"/>
    <row r="6228" s="8" customFormat="1" ht="21.95" customHeight="1" x14ac:dyDescent="0.15"/>
    <row r="6229" s="8" customFormat="1" ht="21.95" customHeight="1" x14ac:dyDescent="0.15"/>
    <row r="6230" s="8" customFormat="1" ht="21.95" customHeight="1" x14ac:dyDescent="0.15"/>
    <row r="6231" s="8" customFormat="1" ht="21.95" customHeight="1" x14ac:dyDescent="0.15"/>
    <row r="6232" s="8" customFormat="1" ht="32.1" customHeight="1" x14ac:dyDescent="0.15"/>
    <row r="6233" s="8" customFormat="1" ht="32.1" customHeight="1" x14ac:dyDescent="0.15"/>
    <row r="6234" s="8" customFormat="1" ht="32.1" customHeight="1" x14ac:dyDescent="0.15"/>
    <row r="6235" s="8" customFormat="1" ht="32.1" customHeight="1" x14ac:dyDescent="0.15"/>
    <row r="6236" s="8" customFormat="1" ht="32.1" customHeight="1" x14ac:dyDescent="0.15"/>
    <row r="6237" s="8" customFormat="1" ht="32.1" customHeight="1" x14ac:dyDescent="0.15"/>
    <row r="6238" s="9" customFormat="1" ht="32.1" customHeight="1" x14ac:dyDescent="0.15"/>
    <row r="6239" s="9" customFormat="1" ht="32.1" customHeight="1" x14ac:dyDescent="0.15"/>
    <row r="6240" s="9" customFormat="1" ht="32.1" customHeight="1" x14ac:dyDescent="0.15"/>
    <row r="6241" s="9" customFormat="1" ht="32.1" customHeight="1" x14ac:dyDescent="0.15"/>
    <row r="6242" s="9" customFormat="1" ht="21.95" customHeight="1" x14ac:dyDescent="0.15"/>
    <row r="6243" s="9" customFormat="1" ht="54" customHeight="1" x14ac:dyDescent="0.15"/>
    <row r="6244" s="9" customFormat="1" ht="21.95" customHeight="1" x14ac:dyDescent="0.15"/>
    <row r="6245" s="9" customFormat="1" ht="21.95" customHeight="1" x14ac:dyDescent="0.15"/>
    <row r="6246" s="9" customFormat="1" ht="21.95" customHeight="1" x14ac:dyDescent="0.15"/>
    <row r="6247" s="9" customFormat="1" ht="21.95" customHeight="1" x14ac:dyDescent="0.15"/>
    <row r="6248" s="9" customFormat="1" ht="21.95" customHeight="1" x14ac:dyDescent="0.15"/>
    <row r="6249" s="9" customFormat="1" ht="21.95" customHeight="1" x14ac:dyDescent="0.15"/>
    <row r="6250" s="9" customFormat="1" ht="21.95" customHeight="1" x14ac:dyDescent="0.15"/>
    <row r="6251" s="9" customFormat="1" ht="21.95" customHeight="1" x14ac:dyDescent="0.15"/>
    <row r="6252" s="9" customFormat="1" ht="21.95" customHeight="1" x14ac:dyDescent="0.15"/>
    <row r="6253" s="9" customFormat="1" ht="21.95" customHeight="1" x14ac:dyDescent="0.15"/>
    <row r="6254" s="9" customFormat="1" ht="21.95" customHeight="1" x14ac:dyDescent="0.15"/>
    <row r="6255" s="9" customFormat="1" ht="21.95" customHeight="1" x14ac:dyDescent="0.15"/>
    <row r="6256" s="9" customFormat="1" ht="21.95" customHeight="1" x14ac:dyDescent="0.15"/>
    <row r="6257" s="9" customFormat="1" ht="21.95" customHeight="1" x14ac:dyDescent="0.15"/>
    <row r="6258" s="9" customFormat="1" ht="21.95" customHeight="1" x14ac:dyDescent="0.15"/>
    <row r="6259" s="9" customFormat="1" ht="21.95" customHeight="1" x14ac:dyDescent="0.15"/>
    <row r="6260" s="9" customFormat="1" ht="21.95" customHeight="1" x14ac:dyDescent="0.15"/>
    <row r="6261" s="9" customFormat="1" ht="21.95" customHeight="1" x14ac:dyDescent="0.15"/>
    <row r="6262" s="9" customFormat="1" ht="21.95" customHeight="1" x14ac:dyDescent="0.15"/>
    <row r="6263" s="9" customFormat="1" ht="21.95" customHeight="1" x14ac:dyDescent="0.15"/>
    <row r="6264" s="9" customFormat="1" ht="21.95" customHeight="1" x14ac:dyDescent="0.15"/>
    <row r="6265" s="9" customFormat="1" ht="21.95" customHeight="1" x14ac:dyDescent="0.15"/>
    <row r="6266" s="9" customFormat="1" ht="21.95" customHeight="1" x14ac:dyDescent="0.15"/>
    <row r="6267" s="9" customFormat="1" ht="21.95" customHeight="1" x14ac:dyDescent="0.15"/>
    <row r="6268" s="9" customFormat="1" ht="21.95" customHeight="1" x14ac:dyDescent="0.15"/>
    <row r="6269" s="9" customFormat="1" ht="21.95" customHeight="1" x14ac:dyDescent="0.15"/>
    <row r="6270" s="9" customFormat="1" ht="21.95" customHeight="1" x14ac:dyDescent="0.15"/>
    <row r="6271" s="9" customFormat="1" ht="21.95" customHeight="1" x14ac:dyDescent="0.15"/>
    <row r="6272" s="9" customFormat="1" ht="21.95" customHeight="1" x14ac:dyDescent="0.15"/>
    <row r="6273" s="9" customFormat="1" ht="21.95" customHeight="1" x14ac:dyDescent="0.15"/>
    <row r="6274" s="9" customFormat="1" ht="21.95" customHeight="1" x14ac:dyDescent="0.15"/>
    <row r="6275" s="9" customFormat="1" ht="21.95" customHeight="1" x14ac:dyDescent="0.15"/>
    <row r="6276" s="9" customFormat="1" ht="21.95" customHeight="1" x14ac:dyDescent="0.15"/>
    <row r="6277" s="9" customFormat="1" ht="21.95" customHeight="1" x14ac:dyDescent="0.15"/>
    <row r="6278" s="9" customFormat="1" ht="21.95" customHeight="1" x14ac:dyDescent="0.15"/>
    <row r="6279" s="9" customFormat="1" ht="21.95" customHeight="1" x14ac:dyDescent="0.15"/>
    <row r="6280" s="9" customFormat="1" ht="21.95" customHeight="1" x14ac:dyDescent="0.15"/>
    <row r="6281" s="9" customFormat="1" ht="21.95" customHeight="1" x14ac:dyDescent="0.15"/>
    <row r="6282" s="9" customFormat="1" ht="21.95" customHeight="1" x14ac:dyDescent="0.15"/>
    <row r="6283" s="9" customFormat="1" ht="21.95" customHeight="1" x14ac:dyDescent="0.15"/>
    <row r="6284" s="9" customFormat="1" ht="21.95" customHeight="1" x14ac:dyDescent="0.15"/>
    <row r="6285" s="9" customFormat="1" ht="21.95" customHeight="1" x14ac:dyDescent="0.15"/>
    <row r="6286" s="9" customFormat="1" ht="21.95" customHeight="1" x14ac:dyDescent="0.15"/>
    <row r="6287" s="9" customFormat="1" ht="21.95" customHeight="1" x14ac:dyDescent="0.15"/>
    <row r="6288" s="9" customFormat="1" ht="21.95" customHeight="1" x14ac:dyDescent="0.15"/>
    <row r="6289" s="9" customFormat="1" ht="21.95" customHeight="1" x14ac:dyDescent="0.15"/>
    <row r="6290" s="9" customFormat="1" ht="21.95" customHeight="1" x14ac:dyDescent="0.15"/>
    <row r="6291" s="9" customFormat="1" ht="21.95" customHeight="1" x14ac:dyDescent="0.15"/>
    <row r="6292" s="9" customFormat="1" ht="21.95" customHeight="1" x14ac:dyDescent="0.15"/>
    <row r="6293" s="9" customFormat="1" ht="21.95" customHeight="1" x14ac:dyDescent="0.15"/>
    <row r="6294" s="9" customFormat="1" ht="35.1" customHeight="1" x14ac:dyDescent="0.15"/>
    <row r="6295" s="9" customFormat="1" ht="21.95" customHeight="1" x14ac:dyDescent="0.15"/>
    <row r="6296" s="9" customFormat="1" ht="21.95" customHeight="1" x14ac:dyDescent="0.15"/>
    <row r="6297" s="9" customFormat="1" ht="21.95" customHeight="1" x14ac:dyDescent="0.15"/>
    <row r="6298" s="9" customFormat="1" ht="21.95" customHeight="1" x14ac:dyDescent="0.15"/>
    <row r="6299" s="9" customFormat="1" ht="21.95" customHeight="1" x14ac:dyDescent="0.15"/>
    <row r="6300" s="9" customFormat="1" ht="21.95" customHeight="1" x14ac:dyDescent="0.15"/>
    <row r="6301" s="9" customFormat="1" ht="21.95" customHeight="1" x14ac:dyDescent="0.15"/>
    <row r="6302" s="9" customFormat="1" ht="21.95" customHeight="1" x14ac:dyDescent="0.15"/>
    <row r="6303" s="9" customFormat="1" ht="21.95" customHeight="1" x14ac:dyDescent="0.15"/>
    <row r="6304" s="9" customFormat="1" ht="21.95" customHeight="1" x14ac:dyDescent="0.15"/>
    <row r="6305" spans="3:3" s="9" customFormat="1" ht="21.95" customHeight="1" x14ac:dyDescent="0.15"/>
    <row r="6306" spans="3:3" s="9" customFormat="1" ht="21.95" customHeight="1" x14ac:dyDescent="0.15"/>
    <row r="6307" spans="3:3" s="9" customFormat="1" ht="21.95" customHeight="1" x14ac:dyDescent="0.15"/>
    <row r="6308" spans="3:3" s="9" customFormat="1" ht="21.95" customHeight="1" x14ac:dyDescent="0.15"/>
    <row r="6309" spans="3:3" s="9" customFormat="1" ht="21.95" customHeight="1" x14ac:dyDescent="0.15"/>
    <row r="6310" spans="3:3" s="9" customFormat="1" ht="21.95" customHeight="1" x14ac:dyDescent="0.15"/>
    <row r="6311" spans="3:3" s="9" customFormat="1" ht="21.95" customHeight="1" x14ac:dyDescent="0.15"/>
    <row r="6312" spans="3:3" s="9" customFormat="1" ht="21.95" customHeight="1" x14ac:dyDescent="0.15"/>
    <row r="6313" spans="3:3" s="9" customFormat="1" ht="21.95" customHeight="1" x14ac:dyDescent="0.15"/>
    <row r="6314" spans="3:3" s="9" customFormat="1" ht="21.95" customHeight="1" x14ac:dyDescent="0.15"/>
    <row r="6315" spans="3:3" s="9" customFormat="1" ht="21.95" customHeight="1" x14ac:dyDescent="0.15"/>
    <row r="6316" spans="3:3" s="9" customFormat="1" ht="21.95" customHeight="1" x14ac:dyDescent="0.15"/>
    <row r="6317" spans="3:3" s="9" customFormat="1" ht="21.95" customHeight="1" x14ac:dyDescent="0.15"/>
    <row r="6318" spans="3:3" s="8" customFormat="1" ht="21.95" customHeight="1" x14ac:dyDescent="0.15"/>
    <row r="6319" spans="3:3" s="8" customFormat="1" ht="21.95" customHeight="1" x14ac:dyDescent="0.15"/>
    <row r="6320" spans="3:3" s="8" customFormat="1" ht="21.95" customHeight="1" x14ac:dyDescent="0.15">
      <c r="C6320" s="101"/>
    </row>
    <row r="6321" spans="3:3" s="8" customFormat="1" ht="21.95" customHeight="1" x14ac:dyDescent="0.15">
      <c r="C6321" s="101"/>
    </row>
    <row r="6322" spans="3:3" s="8" customFormat="1" ht="21.95" customHeight="1" x14ac:dyDescent="0.15"/>
    <row r="6323" spans="3:3" s="8" customFormat="1" ht="21.95" customHeight="1" x14ac:dyDescent="0.15"/>
    <row r="6324" spans="3:3" s="8" customFormat="1" ht="21.95" customHeight="1" x14ac:dyDescent="0.15"/>
    <row r="6325" spans="3:3" s="8" customFormat="1" ht="21.95" customHeight="1" x14ac:dyDescent="0.15"/>
    <row r="6326" spans="3:3" s="8" customFormat="1" ht="21.95" customHeight="1" x14ac:dyDescent="0.15"/>
    <row r="6327" spans="3:3" s="8" customFormat="1" ht="21.95" customHeight="1" x14ac:dyDescent="0.15"/>
    <row r="6328" spans="3:3" s="8" customFormat="1" ht="21.95" customHeight="1" x14ac:dyDescent="0.15"/>
    <row r="6329" spans="3:3" s="9" customFormat="1" ht="21.95" customHeight="1" x14ac:dyDescent="0.15"/>
    <row r="6330" spans="3:3" s="9" customFormat="1" ht="21.95" customHeight="1" x14ac:dyDescent="0.15"/>
    <row r="6331" spans="3:3" s="9" customFormat="1" ht="21.95" customHeight="1" x14ac:dyDescent="0.15"/>
    <row r="6332" spans="3:3" s="9" customFormat="1" ht="21.95" customHeight="1" x14ac:dyDescent="0.15"/>
    <row r="6333" spans="3:3" s="8" customFormat="1" ht="21.95" customHeight="1" x14ac:dyDescent="0.15"/>
    <row r="6334" spans="3:3" s="8" customFormat="1" ht="21.95" customHeight="1" x14ac:dyDescent="0.15"/>
    <row r="6335" spans="3:3" s="8" customFormat="1" ht="21.95" customHeight="1" x14ac:dyDescent="0.15"/>
    <row r="6336" spans="3:3" s="8" customFormat="1" ht="21.95" customHeight="1" x14ac:dyDescent="0.15"/>
    <row r="6337" s="8" customFormat="1" ht="21.95" customHeight="1" x14ac:dyDescent="0.15"/>
    <row r="6338" s="8" customFormat="1" ht="21.95" customHeight="1" x14ac:dyDescent="0.15"/>
    <row r="6339" s="8" customFormat="1" ht="21.95" customHeight="1" x14ac:dyDescent="0.15"/>
    <row r="6340" s="8" customFormat="1" ht="21.95" customHeight="1" x14ac:dyDescent="0.15"/>
    <row r="6341" s="8" customFormat="1" ht="21.95" customHeight="1" x14ac:dyDescent="0.15"/>
    <row r="6342" s="8" customFormat="1" ht="21.95" customHeight="1" x14ac:dyDescent="0.15"/>
    <row r="6343" s="8" customFormat="1" ht="21.95" customHeight="1" x14ac:dyDescent="0.15"/>
    <row r="6344" s="8" customFormat="1" ht="32.1" customHeight="1" x14ac:dyDescent="0.15"/>
    <row r="6345" s="8" customFormat="1" ht="32.1" customHeight="1" x14ac:dyDescent="0.15"/>
    <row r="6346" s="8" customFormat="1" ht="32.1" customHeight="1" x14ac:dyDescent="0.15"/>
    <row r="6347" s="8" customFormat="1" ht="32.1" customHeight="1" x14ac:dyDescent="0.15"/>
    <row r="6348" s="8" customFormat="1" ht="32.1" customHeight="1" x14ac:dyDescent="0.15"/>
    <row r="6349" s="8" customFormat="1" ht="32.1" customHeight="1" x14ac:dyDescent="0.15"/>
    <row r="6350" s="9" customFormat="1" ht="32.1" customHeight="1" x14ac:dyDescent="0.15"/>
    <row r="6351" s="9" customFormat="1" ht="32.1" customHeight="1" x14ac:dyDescent="0.15"/>
    <row r="6352" s="9" customFormat="1" ht="32.1" customHeight="1" x14ac:dyDescent="0.15"/>
    <row r="6353" s="9" customFormat="1" ht="32.1" customHeight="1" x14ac:dyDescent="0.15"/>
    <row r="6354" s="9" customFormat="1" ht="21.95" customHeight="1" x14ac:dyDescent="0.15"/>
    <row r="6355" s="9" customFormat="1" ht="54" customHeight="1" x14ac:dyDescent="0.15"/>
    <row r="6356" s="9" customFormat="1" ht="21.95" customHeight="1" x14ac:dyDescent="0.15"/>
    <row r="6357" s="9" customFormat="1" ht="21.95" customHeight="1" x14ac:dyDescent="0.15"/>
    <row r="6358" s="9" customFormat="1" ht="21.95" customHeight="1" x14ac:dyDescent="0.15"/>
    <row r="6359" s="9" customFormat="1" ht="21.95" customHeight="1" x14ac:dyDescent="0.15"/>
    <row r="6360" s="9" customFormat="1" ht="21.95" customHeight="1" x14ac:dyDescent="0.15"/>
    <row r="6361" s="9" customFormat="1" ht="21.95" customHeight="1" x14ac:dyDescent="0.15"/>
    <row r="6362" s="9" customFormat="1" ht="21.95" customHeight="1" x14ac:dyDescent="0.15"/>
    <row r="6363" s="9" customFormat="1" ht="21.95" customHeight="1" x14ac:dyDescent="0.15"/>
    <row r="6364" s="9" customFormat="1" ht="21.95" customHeight="1" x14ac:dyDescent="0.15"/>
    <row r="6365" s="9" customFormat="1" ht="21.95" customHeight="1" x14ac:dyDescent="0.15"/>
    <row r="6366" s="9" customFormat="1" ht="21.95" customHeight="1" x14ac:dyDescent="0.15"/>
    <row r="6367" s="9" customFormat="1" ht="21.95" customHeight="1" x14ac:dyDescent="0.15"/>
    <row r="6368" s="9" customFormat="1" ht="21.95" customHeight="1" x14ac:dyDescent="0.15"/>
    <row r="6369" s="9" customFormat="1" ht="21.95" customHeight="1" x14ac:dyDescent="0.15"/>
    <row r="6370" s="9" customFormat="1" ht="21.95" customHeight="1" x14ac:dyDescent="0.15"/>
    <row r="6371" s="9" customFormat="1" ht="21.95" customHeight="1" x14ac:dyDescent="0.15"/>
    <row r="6372" s="9" customFormat="1" ht="21.95" customHeight="1" x14ac:dyDescent="0.15"/>
    <row r="6373" s="9" customFormat="1" ht="21.95" customHeight="1" x14ac:dyDescent="0.15"/>
    <row r="6374" s="9" customFormat="1" ht="21.95" customHeight="1" x14ac:dyDescent="0.15"/>
    <row r="6375" s="9" customFormat="1" ht="21.95" customHeight="1" x14ac:dyDescent="0.15"/>
    <row r="6376" s="9" customFormat="1" ht="21.95" customHeight="1" x14ac:dyDescent="0.15"/>
    <row r="6377" s="9" customFormat="1" ht="21.95" customHeight="1" x14ac:dyDescent="0.15"/>
    <row r="6378" s="9" customFormat="1" ht="21.95" customHeight="1" x14ac:dyDescent="0.15"/>
    <row r="6379" s="9" customFormat="1" ht="21.95" customHeight="1" x14ac:dyDescent="0.15"/>
    <row r="6380" s="9" customFormat="1" ht="21.95" customHeight="1" x14ac:dyDescent="0.15"/>
    <row r="6381" s="9" customFormat="1" ht="21.95" customHeight="1" x14ac:dyDescent="0.15"/>
    <row r="6382" s="9" customFormat="1" ht="21.95" customHeight="1" x14ac:dyDescent="0.15"/>
    <row r="6383" s="9" customFormat="1" ht="21.95" customHeight="1" x14ac:dyDescent="0.15"/>
    <row r="6384" s="9" customFormat="1" ht="21.95" customHeight="1" x14ac:dyDescent="0.15"/>
    <row r="6385" s="9" customFormat="1" ht="21.95" customHeight="1" x14ac:dyDescent="0.15"/>
    <row r="6386" s="9" customFormat="1" ht="21.95" customHeight="1" x14ac:dyDescent="0.15"/>
    <row r="6387" s="9" customFormat="1" ht="21.95" customHeight="1" x14ac:dyDescent="0.15"/>
    <row r="6388" s="9" customFormat="1" ht="21.95" customHeight="1" x14ac:dyDescent="0.15"/>
    <row r="6389" s="9" customFormat="1" ht="21.95" customHeight="1" x14ac:dyDescent="0.15"/>
    <row r="6390" s="9" customFormat="1" ht="21.95" customHeight="1" x14ac:dyDescent="0.15"/>
    <row r="6391" s="9" customFormat="1" ht="21.95" customHeight="1" x14ac:dyDescent="0.15"/>
    <row r="6392" s="9" customFormat="1" ht="21.95" customHeight="1" x14ac:dyDescent="0.15"/>
    <row r="6393" s="9" customFormat="1" ht="21.95" customHeight="1" x14ac:dyDescent="0.15"/>
    <row r="6394" s="9" customFormat="1" ht="21.95" customHeight="1" x14ac:dyDescent="0.15"/>
    <row r="6395" s="9" customFormat="1" ht="21.95" customHeight="1" x14ac:dyDescent="0.15"/>
    <row r="6396" s="9" customFormat="1" ht="21.95" customHeight="1" x14ac:dyDescent="0.15"/>
    <row r="6397" s="9" customFormat="1" ht="21.95" customHeight="1" x14ac:dyDescent="0.15"/>
    <row r="6398" s="9" customFormat="1" ht="21.95" customHeight="1" x14ac:dyDescent="0.15"/>
    <row r="6399" s="9" customFormat="1" ht="21.95" customHeight="1" x14ac:dyDescent="0.15"/>
    <row r="6400" s="9" customFormat="1" ht="21.95" customHeight="1" x14ac:dyDescent="0.15"/>
    <row r="6401" s="9" customFormat="1" ht="21.95" customHeight="1" x14ac:dyDescent="0.15"/>
    <row r="6402" s="9" customFormat="1" ht="21.95" customHeight="1" x14ac:dyDescent="0.15"/>
    <row r="6403" s="9" customFormat="1" ht="21.95" customHeight="1" x14ac:dyDescent="0.15"/>
    <row r="6404" s="9" customFormat="1" ht="21.95" customHeight="1" x14ac:dyDescent="0.15"/>
    <row r="6405" s="9" customFormat="1" ht="21.95" customHeight="1" x14ac:dyDescent="0.15"/>
    <row r="6406" s="9" customFormat="1" ht="35.1" customHeight="1" x14ac:dyDescent="0.15"/>
    <row r="6407" s="9" customFormat="1" ht="21.95" customHeight="1" x14ac:dyDescent="0.15"/>
    <row r="6408" s="9" customFormat="1" ht="21.95" customHeight="1" x14ac:dyDescent="0.15"/>
    <row r="6409" s="9" customFormat="1" ht="21.95" customHeight="1" x14ac:dyDescent="0.15"/>
    <row r="6410" s="9" customFormat="1" ht="21.95" customHeight="1" x14ac:dyDescent="0.15"/>
    <row r="6411" s="9" customFormat="1" ht="21.95" customHeight="1" x14ac:dyDescent="0.15"/>
    <row r="6412" s="9" customFormat="1" ht="21.95" customHeight="1" x14ac:dyDescent="0.15"/>
    <row r="6413" s="9" customFormat="1" ht="21.95" customHeight="1" x14ac:dyDescent="0.15"/>
    <row r="6414" s="9" customFormat="1" ht="21.95" customHeight="1" x14ac:dyDescent="0.15"/>
    <row r="6415" s="9" customFormat="1" ht="21.95" customHeight="1" x14ac:dyDescent="0.15"/>
    <row r="6416" s="9" customFormat="1" ht="21.95" customHeight="1" x14ac:dyDescent="0.15"/>
    <row r="6417" spans="3:3" s="9" customFormat="1" ht="21.95" customHeight="1" x14ac:dyDescent="0.15"/>
    <row r="6418" spans="3:3" s="9" customFormat="1" ht="21.95" customHeight="1" x14ac:dyDescent="0.15"/>
    <row r="6419" spans="3:3" s="9" customFormat="1" ht="21.95" customHeight="1" x14ac:dyDescent="0.15"/>
    <row r="6420" spans="3:3" s="9" customFormat="1" ht="21.95" customHeight="1" x14ac:dyDescent="0.15"/>
    <row r="6421" spans="3:3" s="9" customFormat="1" ht="21.95" customHeight="1" x14ac:dyDescent="0.15"/>
    <row r="6422" spans="3:3" s="9" customFormat="1" ht="21.95" customHeight="1" x14ac:dyDescent="0.15"/>
    <row r="6423" spans="3:3" s="9" customFormat="1" ht="21.95" customHeight="1" x14ac:dyDescent="0.15"/>
    <row r="6424" spans="3:3" s="9" customFormat="1" ht="21.95" customHeight="1" x14ac:dyDescent="0.15"/>
    <row r="6425" spans="3:3" s="9" customFormat="1" ht="21.95" customHeight="1" x14ac:dyDescent="0.15"/>
    <row r="6426" spans="3:3" s="9" customFormat="1" ht="21.95" customHeight="1" x14ac:dyDescent="0.15"/>
    <row r="6427" spans="3:3" s="9" customFormat="1" ht="21.95" customHeight="1" x14ac:dyDescent="0.15"/>
    <row r="6428" spans="3:3" s="9" customFormat="1" ht="21.95" customHeight="1" x14ac:dyDescent="0.15"/>
    <row r="6429" spans="3:3" s="9" customFormat="1" ht="21.95" customHeight="1" x14ac:dyDescent="0.15"/>
    <row r="6430" spans="3:3" s="8" customFormat="1" ht="21.95" customHeight="1" x14ac:dyDescent="0.15"/>
    <row r="6431" spans="3:3" s="8" customFormat="1" ht="21.95" customHeight="1" x14ac:dyDescent="0.15"/>
    <row r="6432" spans="3:3" s="8" customFormat="1" ht="21.95" customHeight="1" x14ac:dyDescent="0.15">
      <c r="C6432" s="101"/>
    </row>
    <row r="6433" spans="3:3" s="8" customFormat="1" ht="21.95" customHeight="1" x14ac:dyDescent="0.15">
      <c r="C6433" s="101"/>
    </row>
    <row r="6434" spans="3:3" s="8" customFormat="1" ht="21.95" customHeight="1" x14ac:dyDescent="0.15"/>
    <row r="6435" spans="3:3" s="8" customFormat="1" ht="21.95" customHeight="1" x14ac:dyDescent="0.15"/>
    <row r="6436" spans="3:3" s="8" customFormat="1" ht="21.95" customHeight="1" x14ac:dyDescent="0.15"/>
    <row r="6437" spans="3:3" s="8" customFormat="1" ht="21.95" customHeight="1" x14ac:dyDescent="0.15"/>
    <row r="6438" spans="3:3" s="8" customFormat="1" ht="21.95" customHeight="1" x14ac:dyDescent="0.15"/>
    <row r="6439" spans="3:3" s="8" customFormat="1" ht="21.95" customHeight="1" x14ac:dyDescent="0.15"/>
    <row r="6440" spans="3:3" s="8" customFormat="1" ht="21.95" customHeight="1" x14ac:dyDescent="0.15"/>
    <row r="6441" spans="3:3" s="9" customFormat="1" ht="21.95" customHeight="1" x14ac:dyDescent="0.15"/>
    <row r="6442" spans="3:3" s="9" customFormat="1" ht="21.95" customHeight="1" x14ac:dyDescent="0.15"/>
    <row r="6443" spans="3:3" s="9" customFormat="1" ht="21.95" customHeight="1" x14ac:dyDescent="0.15"/>
    <row r="6444" spans="3:3" s="9" customFormat="1" ht="21.95" customHeight="1" x14ac:dyDescent="0.15"/>
    <row r="6445" spans="3:3" s="8" customFormat="1" ht="21.95" customHeight="1" x14ac:dyDescent="0.15"/>
    <row r="6446" spans="3:3" s="8" customFormat="1" ht="21.95" customHeight="1" x14ac:dyDescent="0.15"/>
    <row r="6447" spans="3:3" s="8" customFormat="1" ht="21.95" customHeight="1" x14ac:dyDescent="0.15"/>
    <row r="6448" spans="3:3" s="8" customFormat="1" ht="21.95" customHeight="1" x14ac:dyDescent="0.15"/>
    <row r="6449" s="8" customFormat="1" ht="21.95" customHeight="1" x14ac:dyDescent="0.15"/>
    <row r="6450" s="8" customFormat="1" ht="21.95" customHeight="1" x14ac:dyDescent="0.15"/>
    <row r="6451" s="8" customFormat="1" ht="21.95" customHeight="1" x14ac:dyDescent="0.15"/>
    <row r="6452" s="8" customFormat="1" ht="21.95" customHeight="1" x14ac:dyDescent="0.15"/>
    <row r="6453" s="8" customFormat="1" ht="21.95" customHeight="1" x14ac:dyDescent="0.15"/>
    <row r="6454" s="8" customFormat="1" ht="21.95" customHeight="1" x14ac:dyDescent="0.15"/>
    <row r="6455" s="8" customFormat="1" ht="21.95" customHeight="1" x14ac:dyDescent="0.15"/>
    <row r="6456" s="8" customFormat="1" ht="32.1" customHeight="1" x14ac:dyDescent="0.15"/>
    <row r="6457" s="8" customFormat="1" ht="32.1" customHeight="1" x14ac:dyDescent="0.15"/>
    <row r="6458" s="8" customFormat="1" ht="32.1" customHeight="1" x14ac:dyDescent="0.15"/>
    <row r="6459" s="8" customFormat="1" ht="32.1" customHeight="1" x14ac:dyDescent="0.15"/>
    <row r="6460" s="8" customFormat="1" ht="32.1" customHeight="1" x14ac:dyDescent="0.15"/>
    <row r="6461" s="8" customFormat="1" ht="32.1" customHeight="1" x14ac:dyDescent="0.15"/>
    <row r="6462" s="9" customFormat="1" ht="32.1" customHeight="1" x14ac:dyDescent="0.15"/>
    <row r="6463" s="9" customFormat="1" ht="32.1" customHeight="1" x14ac:dyDescent="0.15"/>
    <row r="6464" s="9" customFormat="1" ht="32.1" customHeight="1" x14ac:dyDescent="0.15"/>
    <row r="6465" s="9" customFormat="1" ht="32.1" customHeight="1" x14ac:dyDescent="0.15"/>
    <row r="6466" s="9" customFormat="1" ht="21.95" customHeight="1" x14ac:dyDescent="0.15"/>
    <row r="6467" s="9" customFormat="1" ht="54" customHeight="1" x14ac:dyDescent="0.15"/>
    <row r="6468" s="9" customFormat="1" ht="21.95" customHeight="1" x14ac:dyDescent="0.15"/>
    <row r="6469" s="9" customFormat="1" ht="21.95" customHeight="1" x14ac:dyDescent="0.15"/>
    <row r="6470" s="9" customFormat="1" ht="21.95" customHeight="1" x14ac:dyDescent="0.15"/>
    <row r="6471" s="9" customFormat="1" ht="21.95" customHeight="1" x14ac:dyDescent="0.15"/>
    <row r="6472" s="9" customFormat="1" ht="21.95" customHeight="1" x14ac:dyDescent="0.15"/>
    <row r="6473" s="9" customFormat="1" ht="21.95" customHeight="1" x14ac:dyDescent="0.15"/>
    <row r="6474" s="9" customFormat="1" ht="21.95" customHeight="1" x14ac:dyDescent="0.15"/>
    <row r="6475" s="9" customFormat="1" ht="21.95" customHeight="1" x14ac:dyDescent="0.15"/>
    <row r="6476" s="9" customFormat="1" ht="21.95" customHeight="1" x14ac:dyDescent="0.15"/>
    <row r="6477" s="9" customFormat="1" ht="21.95" customHeight="1" x14ac:dyDescent="0.15"/>
    <row r="6478" s="9" customFormat="1" ht="21.95" customHeight="1" x14ac:dyDescent="0.15"/>
    <row r="6479" s="9" customFormat="1" ht="21.95" customHeight="1" x14ac:dyDescent="0.15"/>
    <row r="6480" s="9" customFormat="1" ht="21.95" customHeight="1" x14ac:dyDescent="0.15"/>
    <row r="6481" s="9" customFormat="1" ht="21.95" customHeight="1" x14ac:dyDescent="0.15"/>
    <row r="6482" s="9" customFormat="1" ht="21.95" customHeight="1" x14ac:dyDescent="0.15"/>
    <row r="6483" s="9" customFormat="1" ht="21.95" customHeight="1" x14ac:dyDescent="0.15"/>
    <row r="6484" s="9" customFormat="1" ht="21.95" customHeight="1" x14ac:dyDescent="0.15"/>
    <row r="6485" s="9" customFormat="1" ht="21.95" customHeight="1" x14ac:dyDescent="0.15"/>
    <row r="6486" s="9" customFormat="1" ht="21.95" customHeight="1" x14ac:dyDescent="0.15"/>
    <row r="6487" s="9" customFormat="1" ht="21.95" customHeight="1" x14ac:dyDescent="0.15"/>
    <row r="6488" s="9" customFormat="1" ht="21.95" customHeight="1" x14ac:dyDescent="0.15"/>
    <row r="6489" s="9" customFormat="1" ht="21.95" customHeight="1" x14ac:dyDescent="0.15"/>
    <row r="6490" s="9" customFormat="1" ht="21.95" customHeight="1" x14ac:dyDescent="0.15"/>
    <row r="6491" s="9" customFormat="1" ht="21.95" customHeight="1" x14ac:dyDescent="0.15"/>
    <row r="6492" s="9" customFormat="1" ht="21.95" customHeight="1" x14ac:dyDescent="0.15"/>
    <row r="6493" s="9" customFormat="1" ht="21.95" customHeight="1" x14ac:dyDescent="0.15"/>
    <row r="6494" s="9" customFormat="1" ht="21.95" customHeight="1" x14ac:dyDescent="0.15"/>
    <row r="6495" s="9" customFormat="1" ht="21.95" customHeight="1" x14ac:dyDescent="0.15"/>
    <row r="6496" s="9" customFormat="1" ht="21.95" customHeight="1" x14ac:dyDescent="0.15"/>
    <row r="6497" s="9" customFormat="1" ht="21.95" customHeight="1" x14ac:dyDescent="0.15"/>
    <row r="6498" s="9" customFormat="1" ht="21.95" customHeight="1" x14ac:dyDescent="0.15"/>
    <row r="6499" s="9" customFormat="1" ht="21.95" customHeight="1" x14ac:dyDescent="0.15"/>
    <row r="6500" s="9" customFormat="1" ht="21.95" customHeight="1" x14ac:dyDescent="0.15"/>
    <row r="6501" s="9" customFormat="1" ht="21.95" customHeight="1" x14ac:dyDescent="0.15"/>
    <row r="6502" s="9" customFormat="1" ht="21.95" customHeight="1" x14ac:dyDescent="0.15"/>
    <row r="6503" s="9" customFormat="1" ht="21.95" customHeight="1" x14ac:dyDescent="0.15"/>
    <row r="6504" s="9" customFormat="1" ht="21.95" customHeight="1" x14ac:dyDescent="0.15"/>
    <row r="6505" s="9" customFormat="1" ht="21.95" customHeight="1" x14ac:dyDescent="0.15"/>
    <row r="6506" s="9" customFormat="1" ht="21.95" customHeight="1" x14ac:dyDescent="0.15"/>
    <row r="6507" s="9" customFormat="1" ht="21.95" customHeight="1" x14ac:dyDescent="0.15"/>
    <row r="6508" s="9" customFormat="1" ht="21.95" customHeight="1" x14ac:dyDescent="0.15"/>
    <row r="6509" s="9" customFormat="1" ht="21.95" customHeight="1" x14ac:dyDescent="0.15"/>
    <row r="6510" s="9" customFormat="1" ht="21.95" customHeight="1" x14ac:dyDescent="0.15"/>
    <row r="6511" s="9" customFormat="1" ht="21.95" customHeight="1" x14ac:dyDescent="0.15"/>
    <row r="6512" s="9" customFormat="1" ht="21.95" customHeight="1" x14ac:dyDescent="0.15"/>
    <row r="6513" s="9" customFormat="1" ht="21.95" customHeight="1" x14ac:dyDescent="0.15"/>
    <row r="6514" s="9" customFormat="1" ht="21.95" customHeight="1" x14ac:dyDescent="0.15"/>
    <row r="6515" s="9" customFormat="1" ht="21.95" customHeight="1" x14ac:dyDescent="0.15"/>
    <row r="6516" s="9" customFormat="1" ht="21.95" customHeight="1" x14ac:dyDescent="0.15"/>
    <row r="6517" s="9" customFormat="1" ht="21.95" customHeight="1" x14ac:dyDescent="0.15"/>
    <row r="6518" s="9" customFormat="1" ht="35.1" customHeight="1" x14ac:dyDescent="0.15"/>
    <row r="6519" s="9" customFormat="1" ht="21.95" customHeight="1" x14ac:dyDescent="0.15"/>
    <row r="6520" s="9" customFormat="1" ht="21.95" customHeight="1" x14ac:dyDescent="0.15"/>
    <row r="6521" s="9" customFormat="1" ht="21.95" customHeight="1" x14ac:dyDescent="0.15"/>
    <row r="6522" s="9" customFormat="1" ht="21.95" customHeight="1" x14ac:dyDescent="0.15"/>
    <row r="6523" s="9" customFormat="1" ht="21.95" customHeight="1" x14ac:dyDescent="0.15"/>
    <row r="6524" s="9" customFormat="1" ht="21.95" customHeight="1" x14ac:dyDescent="0.15"/>
    <row r="6525" s="9" customFormat="1" ht="21.95" customHeight="1" x14ac:dyDescent="0.15"/>
    <row r="6526" s="9" customFormat="1" ht="21.95" customHeight="1" x14ac:dyDescent="0.15"/>
    <row r="6527" s="9" customFormat="1" ht="21.95" customHeight="1" x14ac:dyDescent="0.15"/>
    <row r="6528" s="9" customFormat="1" ht="21.95" customHeight="1" x14ac:dyDescent="0.15"/>
    <row r="6529" spans="3:3" s="9" customFormat="1" ht="21.95" customHeight="1" x14ac:dyDescent="0.15"/>
    <row r="6530" spans="3:3" s="9" customFormat="1" ht="21.95" customHeight="1" x14ac:dyDescent="0.15"/>
    <row r="6531" spans="3:3" s="9" customFormat="1" ht="21.95" customHeight="1" x14ac:dyDescent="0.15"/>
    <row r="6532" spans="3:3" s="9" customFormat="1" ht="21.95" customHeight="1" x14ac:dyDescent="0.15"/>
    <row r="6533" spans="3:3" s="9" customFormat="1" ht="21.95" customHeight="1" x14ac:dyDescent="0.15"/>
    <row r="6534" spans="3:3" s="9" customFormat="1" ht="21.95" customHeight="1" x14ac:dyDescent="0.15"/>
    <row r="6535" spans="3:3" s="9" customFormat="1" ht="21.95" customHeight="1" x14ac:dyDescent="0.15"/>
    <row r="6536" spans="3:3" s="9" customFormat="1" ht="21.95" customHeight="1" x14ac:dyDescent="0.15"/>
    <row r="6537" spans="3:3" s="9" customFormat="1" ht="21.95" customHeight="1" x14ac:dyDescent="0.15"/>
    <row r="6538" spans="3:3" s="9" customFormat="1" ht="21.95" customHeight="1" x14ac:dyDescent="0.15"/>
    <row r="6539" spans="3:3" s="9" customFormat="1" ht="21.95" customHeight="1" x14ac:dyDescent="0.15"/>
    <row r="6540" spans="3:3" s="9" customFormat="1" ht="21.95" customHeight="1" x14ac:dyDescent="0.15"/>
    <row r="6541" spans="3:3" s="9" customFormat="1" ht="21.95" customHeight="1" x14ac:dyDescent="0.15"/>
    <row r="6542" spans="3:3" s="8" customFormat="1" ht="21.95" customHeight="1" x14ac:dyDescent="0.15"/>
    <row r="6543" spans="3:3" s="8" customFormat="1" ht="21.95" customHeight="1" x14ac:dyDescent="0.15"/>
    <row r="6544" spans="3:3" s="8" customFormat="1" ht="21.95" customHeight="1" x14ac:dyDescent="0.15">
      <c r="C6544" s="101"/>
    </row>
    <row r="6545" spans="3:3" s="8" customFormat="1" ht="21.95" customHeight="1" x14ac:dyDescent="0.15">
      <c r="C6545" s="101"/>
    </row>
    <row r="6546" spans="3:3" s="8" customFormat="1" ht="21.95" customHeight="1" x14ac:dyDescent="0.15"/>
    <row r="6547" spans="3:3" s="8" customFormat="1" ht="21.95" customHeight="1" x14ac:dyDescent="0.15"/>
    <row r="6548" spans="3:3" s="8" customFormat="1" ht="21.95" customHeight="1" x14ac:dyDescent="0.15"/>
    <row r="6549" spans="3:3" s="8" customFormat="1" ht="21.95" customHeight="1" x14ac:dyDescent="0.15"/>
    <row r="6550" spans="3:3" s="8" customFormat="1" ht="21.95" customHeight="1" x14ac:dyDescent="0.15"/>
    <row r="6551" spans="3:3" s="8" customFormat="1" ht="21.95" customHeight="1" x14ac:dyDescent="0.15"/>
    <row r="6552" spans="3:3" s="8" customFormat="1" ht="21.95" customHeight="1" x14ac:dyDescent="0.15"/>
    <row r="6553" spans="3:3" s="9" customFormat="1" ht="21.95" customHeight="1" x14ac:dyDescent="0.15"/>
    <row r="6554" spans="3:3" s="9" customFormat="1" ht="21.95" customHeight="1" x14ac:dyDescent="0.15"/>
    <row r="6555" spans="3:3" s="9" customFormat="1" ht="21.95" customHeight="1" x14ac:dyDescent="0.15"/>
    <row r="6556" spans="3:3" s="9" customFormat="1" ht="21.95" customHeight="1" x14ac:dyDescent="0.15"/>
    <row r="6557" spans="3:3" s="8" customFormat="1" ht="21.95" customHeight="1" x14ac:dyDescent="0.15"/>
    <row r="6558" spans="3:3" s="8" customFormat="1" ht="21.95" customHeight="1" x14ac:dyDescent="0.15"/>
    <row r="6559" spans="3:3" s="8" customFormat="1" ht="21.95" customHeight="1" x14ac:dyDescent="0.15"/>
    <row r="6560" spans="3:3" s="8" customFormat="1" ht="21.95" customHeight="1" x14ac:dyDescent="0.15"/>
    <row r="6561" s="8" customFormat="1" ht="21.95" customHeight="1" x14ac:dyDescent="0.15"/>
    <row r="6562" s="8" customFormat="1" ht="21.95" customHeight="1" x14ac:dyDescent="0.15"/>
    <row r="6563" s="8" customFormat="1" ht="21.95" customHeight="1" x14ac:dyDescent="0.15"/>
    <row r="6564" s="8" customFormat="1" ht="21.95" customHeight="1" x14ac:dyDescent="0.15"/>
    <row r="6565" s="8" customFormat="1" ht="21.95" customHeight="1" x14ac:dyDescent="0.15"/>
    <row r="6566" s="8" customFormat="1" ht="21.95" customHeight="1" x14ac:dyDescent="0.15"/>
    <row r="6567" s="8" customFormat="1" ht="21.95" customHeight="1" x14ac:dyDescent="0.15"/>
    <row r="6568" s="8" customFormat="1" ht="32.1" customHeight="1" x14ac:dyDescent="0.15"/>
    <row r="6569" s="8" customFormat="1" ht="32.1" customHeight="1" x14ac:dyDescent="0.15"/>
    <row r="6570" s="8" customFormat="1" ht="32.1" customHeight="1" x14ac:dyDescent="0.15"/>
    <row r="6571" s="8" customFormat="1" ht="32.1" customHeight="1" x14ac:dyDescent="0.15"/>
    <row r="6572" s="8" customFormat="1" ht="32.1" customHeight="1" x14ac:dyDescent="0.15"/>
    <row r="6573" s="8" customFormat="1" ht="32.1" customHeight="1" x14ac:dyDescent="0.15"/>
    <row r="6574" s="9" customFormat="1" ht="32.1" customHeight="1" x14ac:dyDescent="0.15"/>
    <row r="6575" s="9" customFormat="1" ht="32.1" customHeight="1" x14ac:dyDescent="0.15"/>
    <row r="6576" s="9" customFormat="1" ht="32.1" customHeight="1" x14ac:dyDescent="0.15"/>
    <row r="6577" s="9" customFormat="1" ht="32.1" customHeight="1" x14ac:dyDescent="0.15"/>
    <row r="6578" s="9" customFormat="1" ht="21.95" customHeight="1" x14ac:dyDescent="0.15"/>
    <row r="6579" s="9" customFormat="1" ht="54" customHeight="1" x14ac:dyDescent="0.15"/>
    <row r="6580" s="9" customFormat="1" ht="21.95" customHeight="1" x14ac:dyDescent="0.15"/>
    <row r="6581" s="9" customFormat="1" ht="21.95" customHeight="1" x14ac:dyDescent="0.15"/>
    <row r="6582" s="9" customFormat="1" ht="21.95" customHeight="1" x14ac:dyDescent="0.15"/>
    <row r="6583" s="9" customFormat="1" ht="21.95" customHeight="1" x14ac:dyDescent="0.15"/>
    <row r="6584" s="9" customFormat="1" ht="21.95" customHeight="1" x14ac:dyDescent="0.15"/>
    <row r="6585" s="9" customFormat="1" ht="21.95" customHeight="1" x14ac:dyDescent="0.15"/>
    <row r="6586" s="9" customFormat="1" ht="21.95" customHeight="1" x14ac:dyDescent="0.15"/>
    <row r="6587" s="9" customFormat="1" ht="21.95" customHeight="1" x14ac:dyDescent="0.15"/>
    <row r="6588" s="9" customFormat="1" ht="21.95" customHeight="1" x14ac:dyDescent="0.15"/>
    <row r="6589" s="9" customFormat="1" ht="21.95" customHeight="1" x14ac:dyDescent="0.15"/>
    <row r="6590" s="9" customFormat="1" ht="21.95" customHeight="1" x14ac:dyDescent="0.15"/>
    <row r="6591" s="9" customFormat="1" ht="21.95" customHeight="1" x14ac:dyDescent="0.15"/>
    <row r="6592" s="9" customFormat="1" ht="21.95" customHeight="1" x14ac:dyDescent="0.15"/>
    <row r="6593" s="9" customFormat="1" ht="21.95" customHeight="1" x14ac:dyDescent="0.15"/>
    <row r="6594" s="9" customFormat="1" ht="21.95" customHeight="1" x14ac:dyDescent="0.15"/>
    <row r="6595" s="9" customFormat="1" ht="21.95" customHeight="1" x14ac:dyDescent="0.15"/>
    <row r="6596" s="9" customFormat="1" ht="21.95" customHeight="1" x14ac:dyDescent="0.15"/>
    <row r="6597" s="9" customFormat="1" ht="21.95" customHeight="1" x14ac:dyDescent="0.15"/>
    <row r="6598" s="9" customFormat="1" ht="21.95" customHeight="1" x14ac:dyDescent="0.15"/>
    <row r="6599" s="9" customFormat="1" ht="21.95" customHeight="1" x14ac:dyDescent="0.15"/>
    <row r="6600" s="9" customFormat="1" ht="21.95" customHeight="1" x14ac:dyDescent="0.15"/>
    <row r="6601" s="9" customFormat="1" ht="21.95" customHeight="1" x14ac:dyDescent="0.15"/>
    <row r="6602" s="9" customFormat="1" ht="21.95" customHeight="1" x14ac:dyDescent="0.15"/>
    <row r="6603" s="9" customFormat="1" ht="21.95" customHeight="1" x14ac:dyDescent="0.15"/>
    <row r="6604" s="9" customFormat="1" ht="21.95" customHeight="1" x14ac:dyDescent="0.15"/>
    <row r="6605" s="9" customFormat="1" ht="21.95" customHeight="1" x14ac:dyDescent="0.15"/>
    <row r="6606" s="9" customFormat="1" ht="21.95" customHeight="1" x14ac:dyDescent="0.15"/>
    <row r="6607" s="9" customFormat="1" ht="21.95" customHeight="1" x14ac:dyDescent="0.15"/>
    <row r="6608" s="9" customFormat="1" ht="21.95" customHeight="1" x14ac:dyDescent="0.15"/>
    <row r="6609" s="9" customFormat="1" ht="21.95" customHeight="1" x14ac:dyDescent="0.15"/>
    <row r="6610" s="9" customFormat="1" ht="21.95" customHeight="1" x14ac:dyDescent="0.15"/>
    <row r="6611" s="9" customFormat="1" ht="21.95" customHeight="1" x14ac:dyDescent="0.15"/>
    <row r="6612" s="9" customFormat="1" ht="21.95" customHeight="1" x14ac:dyDescent="0.15"/>
    <row r="6613" s="9" customFormat="1" ht="21.95" customHeight="1" x14ac:dyDescent="0.15"/>
    <row r="6614" s="9" customFormat="1" ht="21.95" customHeight="1" x14ac:dyDescent="0.15"/>
    <row r="6615" s="9" customFormat="1" ht="21.95" customHeight="1" x14ac:dyDescent="0.15"/>
    <row r="6616" s="9" customFormat="1" ht="21.95" customHeight="1" x14ac:dyDescent="0.15"/>
    <row r="6617" s="9" customFormat="1" ht="21.95" customHeight="1" x14ac:dyDescent="0.15"/>
    <row r="6618" s="9" customFormat="1" ht="21.95" customHeight="1" x14ac:dyDescent="0.15"/>
    <row r="6619" s="9" customFormat="1" ht="21.95" customHeight="1" x14ac:dyDescent="0.15"/>
    <row r="6620" s="9" customFormat="1" ht="21.95" customHeight="1" x14ac:dyDescent="0.15"/>
    <row r="6621" s="9" customFormat="1" ht="21.95" customHeight="1" x14ac:dyDescent="0.15"/>
    <row r="6622" s="9" customFormat="1" ht="21.95" customHeight="1" x14ac:dyDescent="0.15"/>
    <row r="6623" s="9" customFormat="1" ht="21.95" customHeight="1" x14ac:dyDescent="0.15"/>
    <row r="6624" s="9" customFormat="1" ht="21.95" customHeight="1" x14ac:dyDescent="0.15"/>
    <row r="6625" s="9" customFormat="1" ht="21.95" customHeight="1" x14ac:dyDescent="0.15"/>
    <row r="6626" s="9" customFormat="1" ht="21.95" customHeight="1" x14ac:dyDescent="0.15"/>
    <row r="6627" s="9" customFormat="1" ht="21.95" customHeight="1" x14ac:dyDescent="0.15"/>
    <row r="6628" s="9" customFormat="1" ht="21.95" customHeight="1" x14ac:dyDescent="0.15"/>
    <row r="6629" s="9" customFormat="1" ht="21.95" customHeight="1" x14ac:dyDescent="0.15"/>
    <row r="6630" s="9" customFormat="1" ht="35.1" customHeight="1" x14ac:dyDescent="0.15"/>
    <row r="6631" s="9" customFormat="1" ht="21.95" customHeight="1" x14ac:dyDescent="0.15"/>
    <row r="6632" s="9" customFormat="1" ht="21.95" customHeight="1" x14ac:dyDescent="0.15"/>
    <row r="6633" s="9" customFormat="1" ht="21.95" customHeight="1" x14ac:dyDescent="0.15"/>
    <row r="6634" s="9" customFormat="1" ht="21.95" customHeight="1" x14ac:dyDescent="0.15"/>
    <row r="6635" s="9" customFormat="1" ht="21.95" customHeight="1" x14ac:dyDescent="0.15"/>
    <row r="6636" s="9" customFormat="1" ht="21.95" customHeight="1" x14ac:dyDescent="0.15"/>
    <row r="6637" s="9" customFormat="1" ht="21.95" customHeight="1" x14ac:dyDescent="0.15"/>
    <row r="6638" s="9" customFormat="1" ht="21.95" customHeight="1" x14ac:dyDescent="0.15"/>
    <row r="6639" s="9" customFormat="1" ht="21.95" customHeight="1" x14ac:dyDescent="0.15"/>
    <row r="6640" s="9" customFormat="1" ht="21.95" customHeight="1" x14ac:dyDescent="0.15"/>
    <row r="6641" spans="3:3" s="9" customFormat="1" ht="21.95" customHeight="1" x14ac:dyDescent="0.15"/>
    <row r="6642" spans="3:3" s="9" customFormat="1" ht="21.95" customHeight="1" x14ac:dyDescent="0.15"/>
    <row r="6643" spans="3:3" s="9" customFormat="1" ht="21.95" customHeight="1" x14ac:dyDescent="0.15"/>
    <row r="6644" spans="3:3" s="9" customFormat="1" ht="21.95" customHeight="1" x14ac:dyDescent="0.15"/>
    <row r="6645" spans="3:3" s="9" customFormat="1" ht="21.95" customHeight="1" x14ac:dyDescent="0.15"/>
    <row r="6646" spans="3:3" s="9" customFormat="1" ht="21.95" customHeight="1" x14ac:dyDescent="0.15"/>
    <row r="6647" spans="3:3" s="9" customFormat="1" ht="21.95" customHeight="1" x14ac:dyDescent="0.15"/>
    <row r="6648" spans="3:3" s="9" customFormat="1" ht="21.95" customHeight="1" x14ac:dyDescent="0.15"/>
    <row r="6649" spans="3:3" s="9" customFormat="1" ht="21.95" customHeight="1" x14ac:dyDescent="0.15"/>
    <row r="6650" spans="3:3" s="9" customFormat="1" ht="21.95" customHeight="1" x14ac:dyDescent="0.15"/>
    <row r="6651" spans="3:3" s="9" customFormat="1" ht="21.95" customHeight="1" x14ac:dyDescent="0.15"/>
    <row r="6652" spans="3:3" s="9" customFormat="1" ht="21.95" customHeight="1" x14ac:dyDescent="0.15"/>
    <row r="6653" spans="3:3" s="9" customFormat="1" ht="21.95" customHeight="1" x14ac:dyDescent="0.15"/>
    <row r="6654" spans="3:3" s="8" customFormat="1" ht="21.95" customHeight="1" x14ac:dyDescent="0.15"/>
    <row r="6655" spans="3:3" s="8" customFormat="1" ht="21.95" customHeight="1" x14ac:dyDescent="0.15"/>
    <row r="6656" spans="3:3" s="8" customFormat="1" ht="21.95" customHeight="1" x14ac:dyDescent="0.15">
      <c r="C6656" s="101"/>
    </row>
    <row r="6657" spans="3:3" s="8" customFormat="1" ht="21.95" customHeight="1" x14ac:dyDescent="0.15">
      <c r="C6657" s="101"/>
    </row>
    <row r="6658" spans="3:3" s="8" customFormat="1" ht="21.95" customHeight="1" x14ac:dyDescent="0.15"/>
    <row r="6659" spans="3:3" s="8" customFormat="1" ht="21.95" customHeight="1" x14ac:dyDescent="0.15"/>
    <row r="6660" spans="3:3" s="8" customFormat="1" ht="21.95" customHeight="1" x14ac:dyDescent="0.15"/>
    <row r="6661" spans="3:3" s="8" customFormat="1" ht="21.95" customHeight="1" x14ac:dyDescent="0.15"/>
    <row r="6662" spans="3:3" s="8" customFormat="1" ht="21.95" customHeight="1" x14ac:dyDescent="0.15"/>
    <row r="6663" spans="3:3" s="8" customFormat="1" ht="21.95" customHeight="1" x14ac:dyDescent="0.15"/>
    <row r="6664" spans="3:3" s="8" customFormat="1" ht="21.95" customHeight="1" x14ac:dyDescent="0.15"/>
    <row r="6665" spans="3:3" s="9" customFormat="1" ht="21.95" customHeight="1" x14ac:dyDescent="0.15"/>
    <row r="6666" spans="3:3" s="9" customFormat="1" ht="21.95" customHeight="1" x14ac:dyDescent="0.15"/>
    <row r="6667" spans="3:3" s="9" customFormat="1" ht="21.95" customHeight="1" x14ac:dyDescent="0.15"/>
    <row r="6668" spans="3:3" s="9" customFormat="1" ht="21.95" customHeight="1" x14ac:dyDescent="0.15"/>
    <row r="6669" spans="3:3" s="8" customFormat="1" ht="21.95" customHeight="1" x14ac:dyDescent="0.15"/>
    <row r="6670" spans="3:3" s="8" customFormat="1" ht="21.95" customHeight="1" x14ac:dyDescent="0.15"/>
    <row r="6671" spans="3:3" s="8" customFormat="1" ht="21.95" customHeight="1" x14ac:dyDescent="0.15"/>
    <row r="6672" spans="3:3" s="8" customFormat="1" ht="21.95" customHeight="1" x14ac:dyDescent="0.15"/>
    <row r="6673" s="8" customFormat="1" ht="21.95" customHeight="1" x14ac:dyDescent="0.15"/>
    <row r="6674" s="8" customFormat="1" ht="21.95" customHeight="1" x14ac:dyDescent="0.15"/>
    <row r="6675" s="8" customFormat="1" ht="21.95" customHeight="1" x14ac:dyDescent="0.15"/>
    <row r="6676" s="8" customFormat="1" ht="21.95" customHeight="1" x14ac:dyDescent="0.15"/>
    <row r="6677" s="8" customFormat="1" ht="21.95" customHeight="1" x14ac:dyDescent="0.15"/>
    <row r="6678" s="8" customFormat="1" ht="21.95" customHeight="1" x14ac:dyDescent="0.15"/>
    <row r="6679" s="8" customFormat="1" ht="21.95" customHeight="1" x14ac:dyDescent="0.15"/>
    <row r="6680" s="8" customFormat="1" ht="32.1" customHeight="1" x14ac:dyDescent="0.15"/>
    <row r="6681" s="8" customFormat="1" ht="32.1" customHeight="1" x14ac:dyDescent="0.15"/>
    <row r="6682" s="8" customFormat="1" ht="32.1" customHeight="1" x14ac:dyDescent="0.15"/>
    <row r="6683" s="8" customFormat="1" ht="32.1" customHeight="1" x14ac:dyDescent="0.15"/>
    <row r="6684" s="8" customFormat="1" ht="32.1" customHeight="1" x14ac:dyDescent="0.15"/>
    <row r="6685" s="8" customFormat="1" ht="32.1" customHeight="1" x14ac:dyDescent="0.15"/>
    <row r="6686" s="9" customFormat="1" ht="32.1" customHeight="1" x14ac:dyDescent="0.15"/>
    <row r="6687" s="9" customFormat="1" ht="32.1" customHeight="1" x14ac:dyDescent="0.15"/>
    <row r="6688" s="9" customFormat="1" ht="32.1" customHeight="1" x14ac:dyDescent="0.15"/>
    <row r="6689" s="9" customFormat="1" ht="32.1" customHeight="1" x14ac:dyDescent="0.15"/>
    <row r="6690" s="9" customFormat="1" ht="21.95" customHeight="1" x14ac:dyDescent="0.15"/>
    <row r="6691" s="9" customFormat="1" ht="54" customHeight="1" x14ac:dyDescent="0.15"/>
    <row r="6692" s="9" customFormat="1" ht="21.95" customHeight="1" x14ac:dyDescent="0.15"/>
    <row r="6693" s="9" customFormat="1" ht="21.95" customHeight="1" x14ac:dyDescent="0.15"/>
    <row r="6694" s="9" customFormat="1" ht="21.95" customHeight="1" x14ac:dyDescent="0.15"/>
    <row r="6695" s="9" customFormat="1" ht="21.95" customHeight="1" x14ac:dyDescent="0.15"/>
    <row r="6696" s="9" customFormat="1" ht="21.95" customHeight="1" x14ac:dyDescent="0.15"/>
    <row r="6697" s="9" customFormat="1" ht="21.95" customHeight="1" x14ac:dyDescent="0.15"/>
    <row r="6698" s="9" customFormat="1" ht="21.95" customHeight="1" x14ac:dyDescent="0.15"/>
    <row r="6699" s="9" customFormat="1" ht="21.95" customHeight="1" x14ac:dyDescent="0.15"/>
    <row r="6700" s="9" customFormat="1" ht="21.95" customHeight="1" x14ac:dyDescent="0.15"/>
    <row r="6701" s="9" customFormat="1" ht="21.95" customHeight="1" x14ac:dyDescent="0.15"/>
    <row r="6702" s="9" customFormat="1" ht="21.95" customHeight="1" x14ac:dyDescent="0.15"/>
    <row r="6703" s="9" customFormat="1" ht="21.95" customHeight="1" x14ac:dyDescent="0.15"/>
    <row r="6704" s="9" customFormat="1" ht="21.95" customHeight="1" x14ac:dyDescent="0.15"/>
    <row r="6705" s="9" customFormat="1" ht="21.95" customHeight="1" x14ac:dyDescent="0.15"/>
    <row r="6706" s="9" customFormat="1" ht="21.95" customHeight="1" x14ac:dyDescent="0.15"/>
    <row r="6707" s="9" customFormat="1" ht="21.95" customHeight="1" x14ac:dyDescent="0.15"/>
    <row r="6708" s="9" customFormat="1" ht="21.95" customHeight="1" x14ac:dyDescent="0.15"/>
    <row r="6709" s="9" customFormat="1" ht="21.95" customHeight="1" x14ac:dyDescent="0.15"/>
    <row r="6710" s="9" customFormat="1" ht="21.95" customHeight="1" x14ac:dyDescent="0.15"/>
    <row r="6711" s="9" customFormat="1" ht="21.95" customHeight="1" x14ac:dyDescent="0.15"/>
    <row r="6712" s="9" customFormat="1" ht="21.95" customHeight="1" x14ac:dyDescent="0.15"/>
    <row r="6713" s="9" customFormat="1" ht="21.95" customHeight="1" x14ac:dyDescent="0.15"/>
    <row r="6714" s="9" customFormat="1" ht="21.95" customHeight="1" x14ac:dyDescent="0.15"/>
    <row r="6715" s="9" customFormat="1" ht="21.95" customHeight="1" x14ac:dyDescent="0.15"/>
    <row r="6716" s="9" customFormat="1" ht="21.95" customHeight="1" x14ac:dyDescent="0.15"/>
    <row r="6717" s="9" customFormat="1" ht="21.95" customHeight="1" x14ac:dyDescent="0.15"/>
    <row r="6718" s="9" customFormat="1" ht="21.95" customHeight="1" x14ac:dyDescent="0.15"/>
    <row r="6719" s="9" customFormat="1" ht="21.95" customHeight="1" x14ac:dyDescent="0.15"/>
    <row r="6720" s="9" customFormat="1" ht="21.95" customHeight="1" x14ac:dyDescent="0.15"/>
    <row r="6721" s="9" customFormat="1" ht="21.95" customHeight="1" x14ac:dyDescent="0.15"/>
    <row r="6722" s="9" customFormat="1" ht="21.95" customHeight="1" x14ac:dyDescent="0.15"/>
    <row r="6723" s="9" customFormat="1" ht="21.95" customHeight="1" x14ac:dyDescent="0.15"/>
    <row r="6724" s="9" customFormat="1" ht="21.95" customHeight="1" x14ac:dyDescent="0.15"/>
    <row r="6725" s="9" customFormat="1" ht="21.95" customHeight="1" x14ac:dyDescent="0.15"/>
    <row r="6726" s="9" customFormat="1" ht="21.95" customHeight="1" x14ac:dyDescent="0.15"/>
    <row r="6727" s="9" customFormat="1" ht="21.95" customHeight="1" x14ac:dyDescent="0.15"/>
    <row r="6728" s="9" customFormat="1" ht="21.95" customHeight="1" x14ac:dyDescent="0.15"/>
    <row r="6729" s="9" customFormat="1" ht="21.95" customHeight="1" x14ac:dyDescent="0.15"/>
    <row r="6730" s="9" customFormat="1" ht="21.95" customHeight="1" x14ac:dyDescent="0.15"/>
    <row r="6731" s="9" customFormat="1" ht="21.95" customHeight="1" x14ac:dyDescent="0.15"/>
    <row r="6732" s="9" customFormat="1" ht="21.95" customHeight="1" x14ac:dyDescent="0.15"/>
    <row r="6733" s="9" customFormat="1" ht="21.95" customHeight="1" x14ac:dyDescent="0.15"/>
    <row r="6734" s="9" customFormat="1" ht="21.95" customHeight="1" x14ac:dyDescent="0.15"/>
    <row r="6735" s="9" customFormat="1" ht="21.95" customHeight="1" x14ac:dyDescent="0.15"/>
    <row r="6736" s="9" customFormat="1" ht="21.95" customHeight="1" x14ac:dyDescent="0.15"/>
    <row r="6737" s="9" customFormat="1" ht="21.95" customHeight="1" x14ac:dyDescent="0.15"/>
    <row r="6738" s="9" customFormat="1" ht="21.95" customHeight="1" x14ac:dyDescent="0.15"/>
    <row r="6739" s="9" customFormat="1" ht="21.95" customHeight="1" x14ac:dyDescent="0.15"/>
    <row r="6740" s="9" customFormat="1" ht="21.95" customHeight="1" x14ac:dyDescent="0.15"/>
    <row r="6741" s="9" customFormat="1" ht="21.95" customHeight="1" x14ac:dyDescent="0.15"/>
    <row r="6742" s="9" customFormat="1" ht="35.1" customHeight="1" x14ac:dyDescent="0.15"/>
    <row r="6743" s="9" customFormat="1" ht="21.95" customHeight="1" x14ac:dyDescent="0.15"/>
    <row r="6744" s="9" customFormat="1" ht="21.95" customHeight="1" x14ac:dyDescent="0.15"/>
    <row r="6745" s="9" customFormat="1" ht="21.95" customHeight="1" x14ac:dyDescent="0.15"/>
    <row r="6746" s="9" customFormat="1" ht="21.95" customHeight="1" x14ac:dyDescent="0.15"/>
    <row r="6747" s="9" customFormat="1" ht="21.95" customHeight="1" x14ac:dyDescent="0.15"/>
    <row r="6748" s="9" customFormat="1" ht="21.95" customHeight="1" x14ac:dyDescent="0.15"/>
    <row r="6749" s="9" customFormat="1" ht="21.95" customHeight="1" x14ac:dyDescent="0.15"/>
    <row r="6750" s="9" customFormat="1" ht="21.95" customHeight="1" x14ac:dyDescent="0.15"/>
    <row r="6751" s="9" customFormat="1" ht="21.95" customHeight="1" x14ac:dyDescent="0.15"/>
    <row r="6752" s="9" customFormat="1" ht="21.95" customHeight="1" x14ac:dyDescent="0.15"/>
    <row r="6753" spans="3:3" s="9" customFormat="1" ht="21.95" customHeight="1" x14ac:dyDescent="0.15"/>
    <row r="6754" spans="3:3" s="9" customFormat="1" ht="21.95" customHeight="1" x14ac:dyDescent="0.15"/>
    <row r="6755" spans="3:3" s="9" customFormat="1" ht="21.95" customHeight="1" x14ac:dyDescent="0.15"/>
    <row r="6756" spans="3:3" s="9" customFormat="1" ht="21.95" customHeight="1" x14ac:dyDescent="0.15"/>
    <row r="6757" spans="3:3" s="9" customFormat="1" ht="21.95" customHeight="1" x14ac:dyDescent="0.15"/>
    <row r="6758" spans="3:3" s="9" customFormat="1" ht="21.95" customHeight="1" x14ac:dyDescent="0.15"/>
    <row r="6759" spans="3:3" s="9" customFormat="1" ht="21.95" customHeight="1" x14ac:dyDescent="0.15"/>
    <row r="6760" spans="3:3" s="9" customFormat="1" ht="21.95" customHeight="1" x14ac:dyDescent="0.15"/>
    <row r="6761" spans="3:3" s="9" customFormat="1" ht="21.95" customHeight="1" x14ac:dyDescent="0.15"/>
    <row r="6762" spans="3:3" s="9" customFormat="1" ht="21.95" customHeight="1" x14ac:dyDescent="0.15"/>
    <row r="6763" spans="3:3" s="9" customFormat="1" ht="21.95" customHeight="1" x14ac:dyDescent="0.15"/>
    <row r="6764" spans="3:3" s="9" customFormat="1" ht="21.95" customHeight="1" x14ac:dyDescent="0.15"/>
    <row r="6765" spans="3:3" s="9" customFormat="1" ht="21.95" customHeight="1" x14ac:dyDescent="0.15"/>
    <row r="6766" spans="3:3" s="8" customFormat="1" ht="21.95" customHeight="1" x14ac:dyDescent="0.15"/>
    <row r="6767" spans="3:3" s="8" customFormat="1" ht="21.95" customHeight="1" x14ac:dyDescent="0.15"/>
    <row r="6768" spans="3:3" s="8" customFormat="1" ht="21.95" customHeight="1" x14ac:dyDescent="0.15">
      <c r="C6768" s="101"/>
    </row>
    <row r="6769" spans="3:3" s="8" customFormat="1" ht="21.95" customHeight="1" x14ac:dyDescent="0.15">
      <c r="C6769" s="101"/>
    </row>
    <row r="6770" spans="3:3" s="8" customFormat="1" ht="21.95" customHeight="1" x14ac:dyDescent="0.15"/>
    <row r="6771" spans="3:3" s="8" customFormat="1" ht="21.95" customHeight="1" x14ac:dyDescent="0.15"/>
    <row r="6772" spans="3:3" s="8" customFormat="1" ht="21.95" customHeight="1" x14ac:dyDescent="0.15"/>
    <row r="6773" spans="3:3" s="8" customFormat="1" ht="21.95" customHeight="1" x14ac:dyDescent="0.15"/>
    <row r="6774" spans="3:3" s="8" customFormat="1" ht="21.95" customHeight="1" x14ac:dyDescent="0.15"/>
    <row r="6775" spans="3:3" s="8" customFormat="1" ht="21.95" customHeight="1" x14ac:dyDescent="0.15"/>
    <row r="6776" spans="3:3" s="8" customFormat="1" ht="21.95" customHeight="1" x14ac:dyDescent="0.15"/>
    <row r="6777" spans="3:3" s="9" customFormat="1" ht="21.95" customHeight="1" x14ac:dyDescent="0.15"/>
    <row r="6778" spans="3:3" s="9" customFormat="1" ht="21.95" customHeight="1" x14ac:dyDescent="0.15"/>
    <row r="6779" spans="3:3" s="9" customFormat="1" ht="21.95" customHeight="1" x14ac:dyDescent="0.15"/>
    <row r="6780" spans="3:3" s="9" customFormat="1" ht="21.95" customHeight="1" x14ac:dyDescent="0.15"/>
    <row r="6781" spans="3:3" s="8" customFormat="1" ht="21.95" customHeight="1" x14ac:dyDescent="0.15"/>
    <row r="6782" spans="3:3" s="8" customFormat="1" ht="21.95" customHeight="1" x14ac:dyDescent="0.15"/>
    <row r="6783" spans="3:3" s="8" customFormat="1" ht="21.95" customHeight="1" x14ac:dyDescent="0.15"/>
    <row r="6784" spans="3:3" s="8" customFormat="1" ht="21.95" customHeight="1" x14ac:dyDescent="0.15"/>
    <row r="6785" s="8" customFormat="1" ht="21.95" customHeight="1" x14ac:dyDescent="0.15"/>
    <row r="6786" s="8" customFormat="1" ht="21.95" customHeight="1" x14ac:dyDescent="0.15"/>
    <row r="6787" s="8" customFormat="1" ht="21.95" customHeight="1" x14ac:dyDescent="0.15"/>
    <row r="6788" s="8" customFormat="1" ht="21.95" customHeight="1" x14ac:dyDescent="0.15"/>
    <row r="6789" s="8" customFormat="1" ht="21.95" customHeight="1" x14ac:dyDescent="0.15"/>
    <row r="6790" s="8" customFormat="1" ht="21.95" customHeight="1" x14ac:dyDescent="0.15"/>
    <row r="6791" s="8" customFormat="1" ht="21.95" customHeight="1" x14ac:dyDescent="0.15"/>
    <row r="6792" s="8" customFormat="1" ht="32.1" customHeight="1" x14ac:dyDescent="0.15"/>
    <row r="6793" s="8" customFormat="1" ht="32.1" customHeight="1" x14ac:dyDescent="0.15"/>
    <row r="6794" s="8" customFormat="1" ht="32.1" customHeight="1" x14ac:dyDescent="0.15"/>
    <row r="6795" s="8" customFormat="1" ht="32.1" customHeight="1" x14ac:dyDescent="0.15"/>
    <row r="6796" s="8" customFormat="1" ht="32.1" customHeight="1" x14ac:dyDescent="0.15"/>
    <row r="6797" s="8" customFormat="1" ht="32.1" customHeight="1" x14ac:dyDescent="0.15"/>
    <row r="6798" s="9" customFormat="1" ht="32.1" customHeight="1" x14ac:dyDescent="0.15"/>
    <row r="6799" s="9" customFormat="1" ht="32.1" customHeight="1" x14ac:dyDescent="0.15"/>
    <row r="6800" s="9" customFormat="1" ht="32.1" customHeight="1" x14ac:dyDescent="0.15"/>
    <row r="6801" s="9" customFormat="1" ht="32.1" customHeight="1" x14ac:dyDescent="0.15"/>
    <row r="6802" s="9" customFormat="1" ht="21.95" customHeight="1" x14ac:dyDescent="0.15"/>
    <row r="6803" s="9" customFormat="1" ht="54" customHeight="1" x14ac:dyDescent="0.15"/>
    <row r="6804" s="9" customFormat="1" ht="21.95" customHeight="1" x14ac:dyDescent="0.15"/>
    <row r="6805" s="9" customFormat="1" ht="21.95" customHeight="1" x14ac:dyDescent="0.15"/>
    <row r="6806" s="9" customFormat="1" ht="21.95" customHeight="1" x14ac:dyDescent="0.15"/>
    <row r="6807" s="9" customFormat="1" ht="21.95" customHeight="1" x14ac:dyDescent="0.15"/>
    <row r="6808" s="9" customFormat="1" ht="21.95" customHeight="1" x14ac:dyDescent="0.15"/>
    <row r="6809" s="9" customFormat="1" ht="21.95" customHeight="1" x14ac:dyDescent="0.15"/>
    <row r="6810" s="9" customFormat="1" ht="21.95" customHeight="1" x14ac:dyDescent="0.15"/>
    <row r="6811" s="9" customFormat="1" ht="21.95" customHeight="1" x14ac:dyDescent="0.15"/>
    <row r="6812" s="9" customFormat="1" ht="21.95" customHeight="1" x14ac:dyDescent="0.15"/>
    <row r="6813" s="9" customFormat="1" ht="21.95" customHeight="1" x14ac:dyDescent="0.15"/>
    <row r="6814" s="9" customFormat="1" ht="21.95" customHeight="1" x14ac:dyDescent="0.15"/>
    <row r="6815" s="9" customFormat="1" ht="21.95" customHeight="1" x14ac:dyDescent="0.15"/>
    <row r="6816" s="9" customFormat="1" ht="21.95" customHeight="1" x14ac:dyDescent="0.15"/>
    <row r="6817" s="9" customFormat="1" ht="21.95" customHeight="1" x14ac:dyDescent="0.15"/>
    <row r="6818" s="9" customFormat="1" ht="21.95" customHeight="1" x14ac:dyDescent="0.15"/>
    <row r="6819" s="9" customFormat="1" ht="21.95" customHeight="1" x14ac:dyDescent="0.15"/>
    <row r="6820" s="9" customFormat="1" ht="21.95" customHeight="1" x14ac:dyDescent="0.15"/>
    <row r="6821" s="9" customFormat="1" ht="21.95" customHeight="1" x14ac:dyDescent="0.15"/>
    <row r="6822" s="9" customFormat="1" ht="21.95" customHeight="1" x14ac:dyDescent="0.15"/>
    <row r="6823" s="9" customFormat="1" ht="21.95" customHeight="1" x14ac:dyDescent="0.15"/>
    <row r="6824" s="9" customFormat="1" ht="21.95" customHeight="1" x14ac:dyDescent="0.15"/>
    <row r="6825" s="9" customFormat="1" ht="21.95" customHeight="1" x14ac:dyDescent="0.15"/>
    <row r="6826" s="9" customFormat="1" ht="21.95" customHeight="1" x14ac:dyDescent="0.15"/>
    <row r="6827" s="9" customFormat="1" ht="21.95" customHeight="1" x14ac:dyDescent="0.15"/>
    <row r="6828" s="9" customFormat="1" ht="21.95" customHeight="1" x14ac:dyDescent="0.15"/>
    <row r="6829" s="9" customFormat="1" ht="21.95" customHeight="1" x14ac:dyDescent="0.15"/>
    <row r="6830" s="9" customFormat="1" ht="21.95" customHeight="1" x14ac:dyDescent="0.15"/>
    <row r="6831" s="9" customFormat="1" ht="21.95" customHeight="1" x14ac:dyDescent="0.15"/>
    <row r="6832" s="9" customFormat="1" ht="21.95" customHeight="1" x14ac:dyDescent="0.15"/>
    <row r="6833" s="9" customFormat="1" ht="21.95" customHeight="1" x14ac:dyDescent="0.15"/>
    <row r="6834" s="9" customFormat="1" ht="21.95" customHeight="1" x14ac:dyDescent="0.15"/>
    <row r="6835" s="9" customFormat="1" ht="21.95" customHeight="1" x14ac:dyDescent="0.15"/>
    <row r="6836" s="9" customFormat="1" ht="21.95" customHeight="1" x14ac:dyDescent="0.15"/>
    <row r="6837" s="9" customFormat="1" ht="21.95" customHeight="1" x14ac:dyDescent="0.15"/>
    <row r="6838" s="9" customFormat="1" ht="21.95" customHeight="1" x14ac:dyDescent="0.15"/>
    <row r="6839" s="9" customFormat="1" ht="21.95" customHeight="1" x14ac:dyDescent="0.15"/>
    <row r="6840" s="9" customFormat="1" ht="21.95" customHeight="1" x14ac:dyDescent="0.15"/>
    <row r="6841" s="9" customFormat="1" ht="21.95" customHeight="1" x14ac:dyDescent="0.15"/>
    <row r="6842" s="9" customFormat="1" ht="21.95" customHeight="1" x14ac:dyDescent="0.15"/>
    <row r="6843" s="9" customFormat="1" ht="21.95" customHeight="1" x14ac:dyDescent="0.15"/>
    <row r="6844" s="9" customFormat="1" ht="21.95" customHeight="1" x14ac:dyDescent="0.15"/>
    <row r="6845" s="9" customFormat="1" ht="21.95" customHeight="1" x14ac:dyDescent="0.15"/>
    <row r="6846" s="9" customFormat="1" ht="21.95" customHeight="1" x14ac:dyDescent="0.15"/>
    <row r="6847" s="9" customFormat="1" ht="21.95" customHeight="1" x14ac:dyDescent="0.15"/>
    <row r="6848" s="9" customFormat="1" ht="21.95" customHeight="1" x14ac:dyDescent="0.15"/>
    <row r="6849" s="9" customFormat="1" ht="21.95" customHeight="1" x14ac:dyDescent="0.15"/>
    <row r="6850" s="9" customFormat="1" ht="21.95" customHeight="1" x14ac:dyDescent="0.15"/>
    <row r="6851" s="9" customFormat="1" ht="21.95" customHeight="1" x14ac:dyDescent="0.15"/>
    <row r="6852" s="9" customFormat="1" ht="21.95" customHeight="1" x14ac:dyDescent="0.15"/>
    <row r="6853" s="9" customFormat="1" ht="21.95" customHeight="1" x14ac:dyDescent="0.15"/>
    <row r="6854" s="9" customFormat="1" ht="35.1" customHeight="1" x14ac:dyDescent="0.15"/>
    <row r="6855" s="9" customFormat="1" ht="21.95" customHeight="1" x14ac:dyDescent="0.15"/>
    <row r="6856" s="9" customFormat="1" ht="21.95" customHeight="1" x14ac:dyDescent="0.15"/>
    <row r="6857" s="9" customFormat="1" ht="21.95" customHeight="1" x14ac:dyDescent="0.15"/>
    <row r="6858" s="9" customFormat="1" ht="21.95" customHeight="1" x14ac:dyDescent="0.15"/>
    <row r="6859" s="9" customFormat="1" ht="21.95" customHeight="1" x14ac:dyDescent="0.15"/>
    <row r="6860" s="9" customFormat="1" ht="21.95" customHeight="1" x14ac:dyDescent="0.15"/>
    <row r="6861" s="9" customFormat="1" ht="21.95" customHeight="1" x14ac:dyDescent="0.15"/>
    <row r="6862" s="9" customFormat="1" ht="21.95" customHeight="1" x14ac:dyDescent="0.15"/>
    <row r="6863" s="9" customFormat="1" ht="21.95" customHeight="1" x14ac:dyDescent="0.15"/>
    <row r="6864" s="9" customFormat="1" ht="21.95" customHeight="1" x14ac:dyDescent="0.15"/>
    <row r="6865" spans="3:3" s="9" customFormat="1" ht="21.95" customHeight="1" x14ac:dyDescent="0.15"/>
    <row r="6866" spans="3:3" s="9" customFormat="1" ht="21.95" customHeight="1" x14ac:dyDescent="0.15"/>
    <row r="6867" spans="3:3" s="9" customFormat="1" ht="21.95" customHeight="1" x14ac:dyDescent="0.15"/>
    <row r="6868" spans="3:3" s="9" customFormat="1" ht="21.95" customHeight="1" x14ac:dyDescent="0.15"/>
    <row r="6869" spans="3:3" s="9" customFormat="1" ht="21.95" customHeight="1" x14ac:dyDescent="0.15"/>
    <row r="6870" spans="3:3" s="9" customFormat="1" ht="21.95" customHeight="1" x14ac:dyDescent="0.15"/>
    <row r="6871" spans="3:3" s="9" customFormat="1" ht="21.95" customHeight="1" x14ac:dyDescent="0.15"/>
    <row r="6872" spans="3:3" s="9" customFormat="1" ht="21.95" customHeight="1" x14ac:dyDescent="0.15"/>
    <row r="6873" spans="3:3" s="9" customFormat="1" ht="21.95" customHeight="1" x14ac:dyDescent="0.15"/>
    <row r="6874" spans="3:3" s="9" customFormat="1" ht="21.95" customHeight="1" x14ac:dyDescent="0.15"/>
    <row r="6875" spans="3:3" s="9" customFormat="1" ht="21.95" customHeight="1" x14ac:dyDescent="0.15"/>
    <row r="6876" spans="3:3" s="9" customFormat="1" ht="21.95" customHeight="1" x14ac:dyDescent="0.15"/>
    <row r="6877" spans="3:3" s="9" customFormat="1" ht="21.95" customHeight="1" x14ac:dyDescent="0.15"/>
    <row r="6878" spans="3:3" s="8" customFormat="1" ht="21.95" customHeight="1" x14ac:dyDescent="0.15"/>
    <row r="6879" spans="3:3" s="8" customFormat="1" ht="21.95" customHeight="1" x14ac:dyDescent="0.15"/>
    <row r="6880" spans="3:3" s="8" customFormat="1" ht="21.95" customHeight="1" x14ac:dyDescent="0.15">
      <c r="C6880" s="101"/>
    </row>
    <row r="6881" spans="3:3" s="8" customFormat="1" ht="21.95" customHeight="1" x14ac:dyDescent="0.15">
      <c r="C6881" s="101"/>
    </row>
    <row r="6882" spans="3:3" s="8" customFormat="1" ht="21.95" customHeight="1" x14ac:dyDescent="0.15"/>
    <row r="6883" spans="3:3" s="8" customFormat="1" ht="21.95" customHeight="1" x14ac:dyDescent="0.15"/>
    <row r="6884" spans="3:3" s="8" customFormat="1" ht="21.95" customHeight="1" x14ac:dyDescent="0.15"/>
    <row r="6885" spans="3:3" s="8" customFormat="1" ht="21.95" customHeight="1" x14ac:dyDescent="0.15"/>
    <row r="6886" spans="3:3" s="8" customFormat="1" ht="21.95" customHeight="1" x14ac:dyDescent="0.15"/>
    <row r="6887" spans="3:3" s="8" customFormat="1" ht="21.95" customHeight="1" x14ac:dyDescent="0.15"/>
    <row r="6888" spans="3:3" s="8" customFormat="1" ht="21.95" customHeight="1" x14ac:dyDescent="0.15"/>
    <row r="6889" spans="3:3" s="9" customFormat="1" ht="21.95" customHeight="1" x14ac:dyDescent="0.15"/>
    <row r="6890" spans="3:3" s="9" customFormat="1" ht="21.95" customHeight="1" x14ac:dyDescent="0.15"/>
    <row r="6891" spans="3:3" s="9" customFormat="1" ht="21.95" customHeight="1" x14ac:dyDescent="0.15"/>
    <row r="6892" spans="3:3" s="9" customFormat="1" ht="21.95" customHeight="1" x14ac:dyDescent="0.15"/>
    <row r="6893" spans="3:3" s="8" customFormat="1" ht="21.95" customHeight="1" x14ac:dyDescent="0.15"/>
    <row r="6894" spans="3:3" s="8" customFormat="1" ht="21.95" customHeight="1" x14ac:dyDescent="0.15"/>
    <row r="6895" spans="3:3" s="8" customFormat="1" ht="21.95" customHeight="1" x14ac:dyDescent="0.15"/>
    <row r="6896" spans="3:3" s="8" customFormat="1" ht="21.95" customHeight="1" x14ac:dyDescent="0.15"/>
    <row r="6897" s="8" customFormat="1" ht="21.95" customHeight="1" x14ac:dyDescent="0.15"/>
    <row r="6898" s="8" customFormat="1" ht="21.95" customHeight="1" x14ac:dyDescent="0.15"/>
    <row r="6899" s="8" customFormat="1" ht="21.95" customHeight="1" x14ac:dyDescent="0.15"/>
    <row r="6900" s="8" customFormat="1" ht="21.95" customHeight="1" x14ac:dyDescent="0.15"/>
    <row r="6901" s="8" customFormat="1" ht="21.95" customHeight="1" x14ac:dyDescent="0.15"/>
    <row r="6902" s="8" customFormat="1" ht="21.95" customHeight="1" x14ac:dyDescent="0.15"/>
    <row r="6903" s="8" customFormat="1" ht="21.95" customHeight="1" x14ac:dyDescent="0.15"/>
    <row r="6904" s="8" customFormat="1" ht="32.1" customHeight="1" x14ac:dyDescent="0.15"/>
    <row r="6905" s="8" customFormat="1" ht="32.1" customHeight="1" x14ac:dyDescent="0.15"/>
    <row r="6906" s="8" customFormat="1" ht="32.1" customHeight="1" x14ac:dyDescent="0.15"/>
    <row r="6907" s="8" customFormat="1" ht="32.1" customHeight="1" x14ac:dyDescent="0.15"/>
    <row r="6908" s="8" customFormat="1" ht="32.1" customHeight="1" x14ac:dyDescent="0.15"/>
    <row r="6909" s="8" customFormat="1" ht="32.1" customHeight="1" x14ac:dyDescent="0.15"/>
    <row r="6910" s="9" customFormat="1" ht="32.1" customHeight="1" x14ac:dyDescent="0.15"/>
    <row r="6911" s="9" customFormat="1" ht="32.1" customHeight="1" x14ac:dyDescent="0.15"/>
    <row r="6912" s="9" customFormat="1" ht="32.1" customHeight="1" x14ac:dyDescent="0.15"/>
    <row r="6913" s="9" customFormat="1" ht="32.1" customHeight="1" x14ac:dyDescent="0.15"/>
    <row r="6914" s="9" customFormat="1" ht="21.95" customHeight="1" x14ac:dyDescent="0.15"/>
    <row r="6915" s="9" customFormat="1" ht="54" customHeight="1" x14ac:dyDescent="0.15"/>
    <row r="6916" s="9" customFormat="1" ht="21.95" customHeight="1" x14ac:dyDescent="0.15"/>
    <row r="6917" s="9" customFormat="1" ht="21.95" customHeight="1" x14ac:dyDescent="0.15"/>
    <row r="6918" s="9" customFormat="1" ht="21.95" customHeight="1" x14ac:dyDescent="0.15"/>
    <row r="6919" s="9" customFormat="1" ht="21.95" customHeight="1" x14ac:dyDescent="0.15"/>
    <row r="6920" s="9" customFormat="1" ht="21.95" customHeight="1" x14ac:dyDescent="0.15"/>
    <row r="6921" s="9" customFormat="1" ht="21.95" customHeight="1" x14ac:dyDescent="0.15"/>
    <row r="6922" s="9" customFormat="1" ht="21.95" customHeight="1" x14ac:dyDescent="0.15"/>
    <row r="6923" s="9" customFormat="1" ht="21.95" customHeight="1" x14ac:dyDescent="0.15"/>
    <row r="6924" s="9" customFormat="1" ht="21.95" customHeight="1" x14ac:dyDescent="0.15"/>
    <row r="6925" s="9" customFormat="1" ht="21.95" customHeight="1" x14ac:dyDescent="0.15"/>
    <row r="6926" s="9" customFormat="1" ht="21.95" customHeight="1" x14ac:dyDescent="0.15"/>
    <row r="6927" s="9" customFormat="1" ht="21.95" customHeight="1" x14ac:dyDescent="0.15"/>
    <row r="6928" s="9" customFormat="1" ht="21.95" customHeight="1" x14ac:dyDescent="0.15"/>
    <row r="6929" s="9" customFormat="1" ht="21.95" customHeight="1" x14ac:dyDescent="0.15"/>
    <row r="6930" s="9" customFormat="1" ht="21.95" customHeight="1" x14ac:dyDescent="0.15"/>
    <row r="6931" s="9" customFormat="1" ht="21.95" customHeight="1" x14ac:dyDescent="0.15"/>
    <row r="6932" s="9" customFormat="1" ht="21.95" customHeight="1" x14ac:dyDescent="0.15"/>
    <row r="6933" s="9" customFormat="1" ht="21.95" customHeight="1" x14ac:dyDescent="0.15"/>
    <row r="6934" s="9" customFormat="1" ht="21.95" customHeight="1" x14ac:dyDescent="0.15"/>
    <row r="6935" s="9" customFormat="1" ht="21.95" customHeight="1" x14ac:dyDescent="0.15"/>
    <row r="6936" s="9" customFormat="1" ht="21.95" customHeight="1" x14ac:dyDescent="0.15"/>
    <row r="6937" s="9" customFormat="1" ht="21.95" customHeight="1" x14ac:dyDescent="0.15"/>
    <row r="6938" s="9" customFormat="1" ht="21.95" customHeight="1" x14ac:dyDescent="0.15"/>
    <row r="6939" s="9" customFormat="1" ht="21.95" customHeight="1" x14ac:dyDescent="0.15"/>
    <row r="6940" s="9" customFormat="1" ht="21.95" customHeight="1" x14ac:dyDescent="0.15"/>
    <row r="6941" s="9" customFormat="1" ht="21.95" customHeight="1" x14ac:dyDescent="0.15"/>
    <row r="6942" s="9" customFormat="1" ht="21.95" customHeight="1" x14ac:dyDescent="0.15"/>
    <row r="6943" s="9" customFormat="1" ht="21.95" customHeight="1" x14ac:dyDescent="0.15"/>
    <row r="6944" s="9" customFormat="1" ht="21.95" customHeight="1" x14ac:dyDescent="0.15"/>
    <row r="6945" s="9" customFormat="1" ht="21.95" customHeight="1" x14ac:dyDescent="0.15"/>
    <row r="6946" s="9" customFormat="1" ht="21.95" customHeight="1" x14ac:dyDescent="0.15"/>
    <row r="6947" s="9" customFormat="1" ht="21.95" customHeight="1" x14ac:dyDescent="0.15"/>
    <row r="6948" s="9" customFormat="1" ht="21.95" customHeight="1" x14ac:dyDescent="0.15"/>
    <row r="6949" s="9" customFormat="1" ht="21.95" customHeight="1" x14ac:dyDescent="0.15"/>
    <row r="6950" s="9" customFormat="1" ht="21.95" customHeight="1" x14ac:dyDescent="0.15"/>
    <row r="6951" s="9" customFormat="1" ht="21.95" customHeight="1" x14ac:dyDescent="0.15"/>
    <row r="6952" s="9" customFormat="1" ht="21.95" customHeight="1" x14ac:dyDescent="0.15"/>
    <row r="6953" s="9" customFormat="1" ht="21.95" customHeight="1" x14ac:dyDescent="0.15"/>
    <row r="6954" s="9" customFormat="1" ht="21.95" customHeight="1" x14ac:dyDescent="0.15"/>
    <row r="6955" s="9" customFormat="1" ht="21.95" customHeight="1" x14ac:dyDescent="0.15"/>
    <row r="6956" s="9" customFormat="1" ht="21.95" customHeight="1" x14ac:dyDescent="0.15"/>
    <row r="6957" s="9" customFormat="1" ht="21.95" customHeight="1" x14ac:dyDescent="0.15"/>
    <row r="6958" s="9" customFormat="1" ht="21.95" customHeight="1" x14ac:dyDescent="0.15"/>
    <row r="6959" s="9" customFormat="1" ht="21.95" customHeight="1" x14ac:dyDescent="0.15"/>
    <row r="6960" s="9" customFormat="1" ht="21.95" customHeight="1" x14ac:dyDescent="0.15"/>
    <row r="6961" s="9" customFormat="1" ht="21.95" customHeight="1" x14ac:dyDescent="0.15"/>
    <row r="6962" s="9" customFormat="1" ht="21.95" customHeight="1" x14ac:dyDescent="0.15"/>
    <row r="6963" s="9" customFormat="1" ht="21.95" customHeight="1" x14ac:dyDescent="0.15"/>
    <row r="6964" s="9" customFormat="1" ht="21.95" customHeight="1" x14ac:dyDescent="0.15"/>
    <row r="6965" s="9" customFormat="1" ht="21.95" customHeight="1" x14ac:dyDescent="0.15"/>
    <row r="6966" s="9" customFormat="1" ht="35.1" customHeight="1" x14ac:dyDescent="0.15"/>
    <row r="6967" s="9" customFormat="1" ht="21.95" customHeight="1" x14ac:dyDescent="0.15"/>
    <row r="6968" s="9" customFormat="1" ht="21.95" customHeight="1" x14ac:dyDescent="0.15"/>
    <row r="6969" s="9" customFormat="1" ht="21.95" customHeight="1" x14ac:dyDescent="0.15"/>
    <row r="6970" s="9" customFormat="1" ht="21.95" customHeight="1" x14ac:dyDescent="0.15"/>
    <row r="6971" s="9" customFormat="1" ht="21.95" customHeight="1" x14ac:dyDescent="0.15"/>
    <row r="6972" s="9" customFormat="1" ht="21.95" customHeight="1" x14ac:dyDescent="0.15"/>
    <row r="6973" s="9" customFormat="1" ht="21.95" customHeight="1" x14ac:dyDescent="0.15"/>
    <row r="6974" s="9" customFormat="1" ht="21.95" customHeight="1" x14ac:dyDescent="0.15"/>
    <row r="6975" s="9" customFormat="1" ht="21.95" customHeight="1" x14ac:dyDescent="0.15"/>
    <row r="6976" s="9" customFormat="1" ht="21.95" customHeight="1" x14ac:dyDescent="0.15"/>
    <row r="6977" spans="3:3" s="9" customFormat="1" ht="21.95" customHeight="1" x14ac:dyDescent="0.15"/>
    <row r="6978" spans="3:3" s="9" customFormat="1" ht="21.95" customHeight="1" x14ac:dyDescent="0.15"/>
    <row r="6979" spans="3:3" s="9" customFormat="1" ht="21.95" customHeight="1" x14ac:dyDescent="0.15"/>
    <row r="6980" spans="3:3" s="9" customFormat="1" ht="21.95" customHeight="1" x14ac:dyDescent="0.15"/>
    <row r="6981" spans="3:3" s="9" customFormat="1" ht="21.95" customHeight="1" x14ac:dyDescent="0.15"/>
    <row r="6982" spans="3:3" s="9" customFormat="1" ht="21.95" customHeight="1" x14ac:dyDescent="0.15"/>
    <row r="6983" spans="3:3" s="9" customFormat="1" ht="21.95" customHeight="1" x14ac:dyDescent="0.15"/>
    <row r="6984" spans="3:3" s="9" customFormat="1" ht="21.95" customHeight="1" x14ac:dyDescent="0.15"/>
    <row r="6985" spans="3:3" s="9" customFormat="1" ht="21.95" customHeight="1" x14ac:dyDescent="0.15"/>
    <row r="6986" spans="3:3" s="9" customFormat="1" ht="21.95" customHeight="1" x14ac:dyDescent="0.15"/>
    <row r="6987" spans="3:3" s="9" customFormat="1" ht="21.95" customHeight="1" x14ac:dyDescent="0.15"/>
    <row r="6988" spans="3:3" s="9" customFormat="1" ht="21.95" customHeight="1" x14ac:dyDescent="0.15"/>
    <row r="6989" spans="3:3" s="9" customFormat="1" ht="21.95" customHeight="1" x14ac:dyDescent="0.15"/>
    <row r="6990" spans="3:3" s="8" customFormat="1" ht="21.95" customHeight="1" x14ac:dyDescent="0.15"/>
    <row r="6991" spans="3:3" s="8" customFormat="1" ht="21.95" customHeight="1" x14ac:dyDescent="0.15"/>
    <row r="6992" spans="3:3" s="8" customFormat="1" ht="21.95" customHeight="1" x14ac:dyDescent="0.15">
      <c r="C6992" s="101"/>
    </row>
    <row r="6993" spans="3:3" s="8" customFormat="1" ht="21.95" customHeight="1" x14ac:dyDescent="0.15">
      <c r="C6993" s="101"/>
    </row>
    <row r="6994" spans="3:3" s="8" customFormat="1" ht="21.95" customHeight="1" x14ac:dyDescent="0.15"/>
    <row r="6995" spans="3:3" s="8" customFormat="1" ht="21.95" customHeight="1" x14ac:dyDescent="0.15"/>
    <row r="6996" spans="3:3" s="8" customFormat="1" ht="21.95" customHeight="1" x14ac:dyDescent="0.15"/>
    <row r="6997" spans="3:3" s="8" customFormat="1" ht="21.95" customHeight="1" x14ac:dyDescent="0.15"/>
    <row r="6998" spans="3:3" s="8" customFormat="1" ht="21.95" customHeight="1" x14ac:dyDescent="0.15"/>
    <row r="6999" spans="3:3" s="8" customFormat="1" ht="21.95" customHeight="1" x14ac:dyDescent="0.15"/>
    <row r="7000" spans="3:3" s="8" customFormat="1" ht="21.95" customHeight="1" x14ac:dyDescent="0.15"/>
    <row r="7001" spans="3:3" s="9" customFormat="1" ht="21.95" customHeight="1" x14ac:dyDescent="0.15"/>
    <row r="7002" spans="3:3" s="9" customFormat="1" ht="21.95" customHeight="1" x14ac:dyDescent="0.15"/>
    <row r="7003" spans="3:3" s="9" customFormat="1" ht="21.95" customHeight="1" x14ac:dyDescent="0.15"/>
    <row r="7004" spans="3:3" s="9" customFormat="1" ht="21.95" customHeight="1" x14ac:dyDescent="0.15"/>
    <row r="7005" spans="3:3" s="8" customFormat="1" ht="21.95" customHeight="1" x14ac:dyDescent="0.15"/>
    <row r="7006" spans="3:3" s="8" customFormat="1" ht="21.95" customHeight="1" x14ac:dyDescent="0.15"/>
    <row r="7007" spans="3:3" s="8" customFormat="1" ht="21.95" customHeight="1" x14ac:dyDescent="0.15"/>
    <row r="7008" spans="3:3" s="8" customFormat="1" ht="21.95" customHeight="1" x14ac:dyDescent="0.15"/>
    <row r="7009" s="8" customFormat="1" ht="21.95" customHeight="1" x14ac:dyDescent="0.15"/>
    <row r="7010" s="8" customFormat="1" ht="21.95" customHeight="1" x14ac:dyDescent="0.15"/>
    <row r="7011" s="8" customFormat="1" ht="21.95" customHeight="1" x14ac:dyDescent="0.15"/>
    <row r="7012" s="8" customFormat="1" ht="21.95" customHeight="1" x14ac:dyDescent="0.15"/>
    <row r="7013" s="8" customFormat="1" ht="21.95" customHeight="1" x14ac:dyDescent="0.15"/>
    <row r="7014" s="8" customFormat="1" ht="21.95" customHeight="1" x14ac:dyDescent="0.15"/>
    <row r="7015" s="8" customFormat="1" ht="21.95" customHeight="1" x14ac:dyDescent="0.15"/>
    <row r="7016" s="8" customFormat="1" ht="32.1" customHeight="1" x14ac:dyDescent="0.15"/>
    <row r="7017" s="8" customFormat="1" ht="32.1" customHeight="1" x14ac:dyDescent="0.15"/>
    <row r="7018" s="8" customFormat="1" ht="32.1" customHeight="1" x14ac:dyDescent="0.15"/>
    <row r="7019" s="8" customFormat="1" ht="32.1" customHeight="1" x14ac:dyDescent="0.15"/>
    <row r="7020" s="8" customFormat="1" ht="32.1" customHeight="1" x14ac:dyDescent="0.15"/>
    <row r="7021" s="8" customFormat="1" ht="32.1" customHeight="1" x14ac:dyDescent="0.15"/>
    <row r="7022" s="9" customFormat="1" ht="32.1" customHeight="1" x14ac:dyDescent="0.15"/>
    <row r="7023" s="9" customFormat="1" ht="32.1" customHeight="1" x14ac:dyDescent="0.15"/>
    <row r="7024" s="9" customFormat="1" ht="32.1" customHeight="1" x14ac:dyDescent="0.15"/>
    <row r="7025" s="9" customFormat="1" ht="32.1" customHeight="1" x14ac:dyDescent="0.15"/>
    <row r="7026" s="9" customFormat="1" ht="21.95" customHeight="1" x14ac:dyDescent="0.15"/>
    <row r="7027" s="9" customFormat="1" ht="54" customHeight="1" x14ac:dyDescent="0.15"/>
    <row r="7028" s="9" customFormat="1" ht="21.95" customHeight="1" x14ac:dyDescent="0.15"/>
    <row r="7029" s="9" customFormat="1" ht="21.95" customHeight="1" x14ac:dyDescent="0.15"/>
    <row r="7030" s="9" customFormat="1" ht="21.95" customHeight="1" x14ac:dyDescent="0.15"/>
    <row r="7031" s="9" customFormat="1" ht="21.95" customHeight="1" x14ac:dyDescent="0.15"/>
    <row r="7032" s="9" customFormat="1" ht="21.95" customHeight="1" x14ac:dyDescent="0.15"/>
    <row r="7033" s="9" customFormat="1" ht="21.95" customHeight="1" x14ac:dyDescent="0.15"/>
    <row r="7034" s="9" customFormat="1" ht="21.95" customHeight="1" x14ac:dyDescent="0.15"/>
    <row r="7035" s="9" customFormat="1" ht="21.95" customHeight="1" x14ac:dyDescent="0.15"/>
    <row r="7036" s="9" customFormat="1" ht="21.95" customHeight="1" x14ac:dyDescent="0.15"/>
    <row r="7037" s="9" customFormat="1" ht="21.95" customHeight="1" x14ac:dyDescent="0.15"/>
    <row r="7038" s="9" customFormat="1" ht="21.95" customHeight="1" x14ac:dyDescent="0.15"/>
    <row r="7039" s="9" customFormat="1" ht="21.95" customHeight="1" x14ac:dyDescent="0.15"/>
    <row r="7040" s="9" customFormat="1" ht="21.95" customHeight="1" x14ac:dyDescent="0.15"/>
    <row r="7041" s="9" customFormat="1" ht="21.95" customHeight="1" x14ac:dyDescent="0.15"/>
    <row r="7042" s="9" customFormat="1" ht="21.95" customHeight="1" x14ac:dyDescent="0.15"/>
    <row r="7043" s="9" customFormat="1" ht="21.95" customHeight="1" x14ac:dyDescent="0.15"/>
    <row r="7044" s="9" customFormat="1" ht="21.95" customHeight="1" x14ac:dyDescent="0.15"/>
    <row r="7045" s="9" customFormat="1" ht="21.95" customHeight="1" x14ac:dyDescent="0.15"/>
    <row r="7046" s="9" customFormat="1" ht="21.95" customHeight="1" x14ac:dyDescent="0.15"/>
    <row r="7047" s="9" customFormat="1" ht="21.95" customHeight="1" x14ac:dyDescent="0.15"/>
    <row r="7048" s="9" customFormat="1" ht="21.95" customHeight="1" x14ac:dyDescent="0.15"/>
    <row r="7049" s="9" customFormat="1" ht="21.95" customHeight="1" x14ac:dyDescent="0.15"/>
    <row r="7050" s="9" customFormat="1" ht="21.95" customHeight="1" x14ac:dyDescent="0.15"/>
    <row r="7051" s="9" customFormat="1" ht="21.95" customHeight="1" x14ac:dyDescent="0.15"/>
    <row r="7052" s="9" customFormat="1" ht="21.95" customHeight="1" x14ac:dyDescent="0.15"/>
    <row r="7053" s="9" customFormat="1" ht="21.95" customHeight="1" x14ac:dyDescent="0.15"/>
    <row r="7054" s="9" customFormat="1" ht="21.95" customHeight="1" x14ac:dyDescent="0.15"/>
    <row r="7055" s="9" customFormat="1" ht="21.95" customHeight="1" x14ac:dyDescent="0.15"/>
    <row r="7056" s="9" customFormat="1" ht="21.95" customHeight="1" x14ac:dyDescent="0.15"/>
    <row r="7057" s="9" customFormat="1" ht="21.95" customHeight="1" x14ac:dyDescent="0.15"/>
    <row r="7058" s="9" customFormat="1" ht="21.95" customHeight="1" x14ac:dyDescent="0.15"/>
    <row r="7059" s="9" customFormat="1" ht="21.95" customHeight="1" x14ac:dyDescent="0.15"/>
    <row r="7060" s="9" customFormat="1" ht="21.95" customHeight="1" x14ac:dyDescent="0.15"/>
    <row r="7061" s="9" customFormat="1" ht="21.95" customHeight="1" x14ac:dyDescent="0.15"/>
    <row r="7062" s="9" customFormat="1" ht="21.95" customHeight="1" x14ac:dyDescent="0.15"/>
    <row r="7063" s="9" customFormat="1" ht="21.95" customHeight="1" x14ac:dyDescent="0.15"/>
    <row r="7064" s="9" customFormat="1" ht="21.95" customHeight="1" x14ac:dyDescent="0.15"/>
    <row r="7065" s="9" customFormat="1" ht="21.95" customHeight="1" x14ac:dyDescent="0.15"/>
    <row r="7066" s="9" customFormat="1" ht="21.95" customHeight="1" x14ac:dyDescent="0.15"/>
    <row r="7067" s="9" customFormat="1" ht="21.95" customHeight="1" x14ac:dyDescent="0.15"/>
    <row r="7068" s="9" customFormat="1" ht="21.95" customHeight="1" x14ac:dyDescent="0.15"/>
    <row r="7069" s="9" customFormat="1" ht="21.95" customHeight="1" x14ac:dyDescent="0.15"/>
    <row r="7070" s="9" customFormat="1" ht="21.95" customHeight="1" x14ac:dyDescent="0.15"/>
    <row r="7071" s="9" customFormat="1" ht="21.95" customHeight="1" x14ac:dyDescent="0.15"/>
    <row r="7072" s="9" customFormat="1" ht="21.95" customHeight="1" x14ac:dyDescent="0.15"/>
    <row r="7073" s="9" customFormat="1" ht="21.95" customHeight="1" x14ac:dyDescent="0.15"/>
    <row r="7074" s="9" customFormat="1" ht="21.95" customHeight="1" x14ac:dyDescent="0.15"/>
    <row r="7075" s="9" customFormat="1" ht="21.95" customHeight="1" x14ac:dyDescent="0.15"/>
    <row r="7076" s="9" customFormat="1" ht="21.95" customHeight="1" x14ac:dyDescent="0.15"/>
    <row r="7077" s="9" customFormat="1" ht="21.95" customHeight="1" x14ac:dyDescent="0.15"/>
    <row r="7078" s="9" customFormat="1" ht="35.1" customHeight="1" x14ac:dyDescent="0.15"/>
    <row r="7079" s="9" customFormat="1" ht="21.95" customHeight="1" x14ac:dyDescent="0.15"/>
    <row r="7080" s="9" customFormat="1" ht="21.95" customHeight="1" x14ac:dyDescent="0.15"/>
    <row r="7081" s="9" customFormat="1" ht="21.95" customHeight="1" x14ac:dyDescent="0.15"/>
    <row r="7082" s="9" customFormat="1" ht="21.95" customHeight="1" x14ac:dyDescent="0.15"/>
    <row r="7083" s="9" customFormat="1" ht="21.95" customHeight="1" x14ac:dyDescent="0.15"/>
    <row r="7084" s="9" customFormat="1" ht="21.95" customHeight="1" x14ac:dyDescent="0.15"/>
    <row r="7085" s="9" customFormat="1" ht="21.95" customHeight="1" x14ac:dyDescent="0.15"/>
    <row r="7086" s="9" customFormat="1" ht="21.95" customHeight="1" x14ac:dyDescent="0.15"/>
    <row r="7087" s="9" customFormat="1" ht="21.95" customHeight="1" x14ac:dyDescent="0.15"/>
    <row r="7088" s="9" customFormat="1" ht="21.95" customHeight="1" x14ac:dyDescent="0.15"/>
    <row r="7089" spans="3:3" s="9" customFormat="1" ht="21.95" customHeight="1" x14ac:dyDescent="0.15"/>
    <row r="7090" spans="3:3" s="9" customFormat="1" ht="21.95" customHeight="1" x14ac:dyDescent="0.15"/>
    <row r="7091" spans="3:3" s="9" customFormat="1" ht="21.95" customHeight="1" x14ac:dyDescent="0.15"/>
    <row r="7092" spans="3:3" s="9" customFormat="1" ht="21.95" customHeight="1" x14ac:dyDescent="0.15"/>
    <row r="7093" spans="3:3" s="9" customFormat="1" ht="21.95" customHeight="1" x14ac:dyDescent="0.15"/>
    <row r="7094" spans="3:3" s="9" customFormat="1" ht="21.95" customHeight="1" x14ac:dyDescent="0.15"/>
    <row r="7095" spans="3:3" s="9" customFormat="1" ht="21.95" customHeight="1" x14ac:dyDescent="0.15"/>
    <row r="7096" spans="3:3" s="9" customFormat="1" ht="21.95" customHeight="1" x14ac:dyDescent="0.15"/>
    <row r="7097" spans="3:3" s="9" customFormat="1" ht="21.95" customHeight="1" x14ac:dyDescent="0.15"/>
    <row r="7098" spans="3:3" s="9" customFormat="1" ht="21.95" customHeight="1" x14ac:dyDescent="0.15"/>
    <row r="7099" spans="3:3" s="9" customFormat="1" ht="21.95" customHeight="1" x14ac:dyDescent="0.15"/>
    <row r="7100" spans="3:3" s="9" customFormat="1" ht="21.95" customHeight="1" x14ac:dyDescent="0.15"/>
    <row r="7101" spans="3:3" s="9" customFormat="1" ht="21.95" customHeight="1" x14ac:dyDescent="0.15"/>
    <row r="7102" spans="3:3" s="8" customFormat="1" ht="21.95" customHeight="1" x14ac:dyDescent="0.15"/>
    <row r="7103" spans="3:3" s="8" customFormat="1" ht="21.95" customHeight="1" x14ac:dyDescent="0.15"/>
    <row r="7104" spans="3:3" s="8" customFormat="1" ht="21.95" customHeight="1" x14ac:dyDescent="0.15">
      <c r="C7104" s="101"/>
    </row>
    <row r="7105" spans="3:3" s="8" customFormat="1" ht="21.95" customHeight="1" x14ac:dyDescent="0.15">
      <c r="C7105" s="101"/>
    </row>
    <row r="7106" spans="3:3" s="8" customFormat="1" ht="21.95" customHeight="1" x14ac:dyDescent="0.15"/>
    <row r="7107" spans="3:3" s="8" customFormat="1" ht="21.95" customHeight="1" x14ac:dyDescent="0.15"/>
    <row r="7108" spans="3:3" s="8" customFormat="1" ht="21.95" customHeight="1" x14ac:dyDescent="0.15"/>
    <row r="7109" spans="3:3" s="8" customFormat="1" ht="21.95" customHeight="1" x14ac:dyDescent="0.15"/>
    <row r="7110" spans="3:3" s="8" customFormat="1" ht="21.95" customHeight="1" x14ac:dyDescent="0.15"/>
    <row r="7111" spans="3:3" s="8" customFormat="1" ht="21.95" customHeight="1" x14ac:dyDescent="0.15"/>
    <row r="7112" spans="3:3" s="8" customFormat="1" ht="21.95" customHeight="1" x14ac:dyDescent="0.15"/>
    <row r="7113" spans="3:3" s="9" customFormat="1" ht="21.95" customHeight="1" x14ac:dyDescent="0.15"/>
    <row r="7114" spans="3:3" s="9" customFormat="1" ht="21.95" customHeight="1" x14ac:dyDescent="0.15"/>
    <row r="7115" spans="3:3" s="9" customFormat="1" ht="21.95" customHeight="1" x14ac:dyDescent="0.15"/>
    <row r="7116" spans="3:3" s="9" customFormat="1" ht="21.95" customHeight="1" x14ac:dyDescent="0.15"/>
    <row r="7117" spans="3:3" s="8" customFormat="1" ht="21.95" customHeight="1" x14ac:dyDescent="0.15"/>
    <row r="7118" spans="3:3" s="8" customFormat="1" ht="21.95" customHeight="1" x14ac:dyDescent="0.15"/>
    <row r="7119" spans="3:3" s="8" customFormat="1" ht="21.95" customHeight="1" x14ac:dyDescent="0.15"/>
    <row r="7120" spans="3:3" s="8" customFormat="1" ht="21.95" customHeight="1" x14ac:dyDescent="0.15"/>
    <row r="7121" s="8" customFormat="1" ht="21.95" customHeight="1" x14ac:dyDescent="0.15"/>
    <row r="7122" s="8" customFormat="1" ht="21.95" customHeight="1" x14ac:dyDescent="0.15"/>
    <row r="7123" s="8" customFormat="1" ht="21.95" customHeight="1" x14ac:dyDescent="0.15"/>
    <row r="7124" s="8" customFormat="1" ht="21.95" customHeight="1" x14ac:dyDescent="0.15"/>
    <row r="7125" s="8" customFormat="1" ht="21.95" customHeight="1" x14ac:dyDescent="0.15"/>
    <row r="7126" s="8" customFormat="1" ht="21.95" customHeight="1" x14ac:dyDescent="0.15"/>
    <row r="7127" s="8" customFormat="1" ht="21.95" customHeight="1" x14ac:dyDescent="0.15"/>
    <row r="7128" s="8" customFormat="1" ht="32.1" customHeight="1" x14ac:dyDescent="0.15"/>
    <row r="7129" s="8" customFormat="1" ht="32.1" customHeight="1" x14ac:dyDescent="0.15"/>
    <row r="7130" s="8" customFormat="1" ht="32.1" customHeight="1" x14ac:dyDescent="0.15"/>
    <row r="7131" s="8" customFormat="1" ht="32.1" customHeight="1" x14ac:dyDescent="0.15"/>
    <row r="7132" s="8" customFormat="1" ht="32.1" customHeight="1" x14ac:dyDescent="0.15"/>
    <row r="7133" s="8" customFormat="1" ht="32.1" customHeight="1" x14ac:dyDescent="0.15"/>
    <row r="7134" s="9" customFormat="1" ht="32.1" customHeight="1" x14ac:dyDescent="0.15"/>
    <row r="7135" s="9" customFormat="1" ht="32.1" customHeight="1" x14ac:dyDescent="0.15"/>
    <row r="7136" s="9" customFormat="1" ht="32.1" customHeight="1" x14ac:dyDescent="0.15"/>
    <row r="7137" s="9" customFormat="1" ht="32.1" customHeight="1" x14ac:dyDescent="0.15"/>
    <row r="7138" s="9" customFormat="1" ht="21.95" customHeight="1" x14ac:dyDescent="0.15"/>
    <row r="7139" s="9" customFormat="1" ht="54" customHeight="1" x14ac:dyDescent="0.15"/>
    <row r="7140" s="9" customFormat="1" ht="21.95" customHeight="1" x14ac:dyDescent="0.15"/>
    <row r="7141" s="9" customFormat="1" ht="21.95" customHeight="1" x14ac:dyDescent="0.15"/>
    <row r="7142" s="9" customFormat="1" ht="21.95" customHeight="1" x14ac:dyDescent="0.15"/>
    <row r="7143" s="9" customFormat="1" ht="21.95" customHeight="1" x14ac:dyDescent="0.15"/>
    <row r="7144" s="9" customFormat="1" ht="21.95" customHeight="1" x14ac:dyDescent="0.15"/>
    <row r="7145" s="9" customFormat="1" ht="21.95" customHeight="1" x14ac:dyDescent="0.15"/>
    <row r="7146" s="9" customFormat="1" ht="21.95" customHeight="1" x14ac:dyDescent="0.15"/>
    <row r="7147" s="9" customFormat="1" ht="21.95" customHeight="1" x14ac:dyDescent="0.15"/>
    <row r="7148" s="9" customFormat="1" ht="21.95" customHeight="1" x14ac:dyDescent="0.15"/>
    <row r="7149" s="9" customFormat="1" ht="21.95" customHeight="1" x14ac:dyDescent="0.15"/>
    <row r="7150" s="9" customFormat="1" ht="21.95" customHeight="1" x14ac:dyDescent="0.15"/>
    <row r="7151" s="9" customFormat="1" ht="21.95" customHeight="1" x14ac:dyDescent="0.15"/>
    <row r="7152" s="9" customFormat="1" ht="21.95" customHeight="1" x14ac:dyDescent="0.15"/>
    <row r="7153" s="9" customFormat="1" ht="21.95" customHeight="1" x14ac:dyDescent="0.15"/>
    <row r="7154" s="9" customFormat="1" ht="21.95" customHeight="1" x14ac:dyDescent="0.15"/>
    <row r="7155" s="9" customFormat="1" ht="21.95" customHeight="1" x14ac:dyDescent="0.15"/>
    <row r="7156" s="9" customFormat="1" ht="21.95" customHeight="1" x14ac:dyDescent="0.15"/>
    <row r="7157" s="9" customFormat="1" ht="21.95" customHeight="1" x14ac:dyDescent="0.15"/>
    <row r="7158" s="9" customFormat="1" ht="21.95" customHeight="1" x14ac:dyDescent="0.15"/>
    <row r="7159" s="9" customFormat="1" ht="21.95" customHeight="1" x14ac:dyDescent="0.15"/>
    <row r="7160" s="9" customFormat="1" ht="21.95" customHeight="1" x14ac:dyDescent="0.15"/>
    <row r="7161" s="9" customFormat="1" ht="21.95" customHeight="1" x14ac:dyDescent="0.15"/>
    <row r="7162" s="9" customFormat="1" ht="21.95" customHeight="1" x14ac:dyDescent="0.15"/>
    <row r="7163" s="9" customFormat="1" ht="21.95" customHeight="1" x14ac:dyDescent="0.15"/>
    <row r="7164" s="9" customFormat="1" ht="21.95" customHeight="1" x14ac:dyDescent="0.15"/>
    <row r="7165" s="9" customFormat="1" ht="21.95" customHeight="1" x14ac:dyDescent="0.15"/>
    <row r="7166" s="9" customFormat="1" ht="21.95" customHeight="1" x14ac:dyDescent="0.15"/>
    <row r="7167" s="9" customFormat="1" ht="21.95" customHeight="1" x14ac:dyDescent="0.15"/>
    <row r="7168" s="9" customFormat="1" ht="21.95" customHeight="1" x14ac:dyDescent="0.15"/>
    <row r="7169" s="9" customFormat="1" ht="21.95" customHeight="1" x14ac:dyDescent="0.15"/>
    <row r="7170" s="9" customFormat="1" ht="21.95" customHeight="1" x14ac:dyDescent="0.15"/>
    <row r="7171" s="9" customFormat="1" ht="21.95" customHeight="1" x14ac:dyDescent="0.15"/>
    <row r="7172" s="9" customFormat="1" ht="21.95" customHeight="1" x14ac:dyDescent="0.15"/>
    <row r="7173" s="9" customFormat="1" ht="21.95" customHeight="1" x14ac:dyDescent="0.15"/>
    <row r="7174" s="9" customFormat="1" ht="21.95" customHeight="1" x14ac:dyDescent="0.15"/>
    <row r="7175" s="9" customFormat="1" ht="21.95" customHeight="1" x14ac:dyDescent="0.15"/>
    <row r="7176" s="9" customFormat="1" ht="21.95" customHeight="1" x14ac:dyDescent="0.15"/>
    <row r="7177" s="9" customFormat="1" ht="21.95" customHeight="1" x14ac:dyDescent="0.15"/>
    <row r="7178" s="9" customFormat="1" ht="21.95" customHeight="1" x14ac:dyDescent="0.15"/>
    <row r="7179" s="9" customFormat="1" ht="21.95" customHeight="1" x14ac:dyDescent="0.15"/>
    <row r="7180" s="9" customFormat="1" ht="21.95" customHeight="1" x14ac:dyDescent="0.15"/>
    <row r="7181" s="9" customFormat="1" ht="21.95" customHeight="1" x14ac:dyDescent="0.15"/>
    <row r="7182" s="9" customFormat="1" ht="21.95" customHeight="1" x14ac:dyDescent="0.15"/>
    <row r="7183" s="9" customFormat="1" ht="21.95" customHeight="1" x14ac:dyDescent="0.15"/>
    <row r="7184" s="9" customFormat="1" ht="21.95" customHeight="1" x14ac:dyDescent="0.15"/>
    <row r="7185" s="9" customFormat="1" ht="21.95" customHeight="1" x14ac:dyDescent="0.15"/>
    <row r="7186" s="9" customFormat="1" ht="21.95" customHeight="1" x14ac:dyDescent="0.15"/>
    <row r="7187" s="9" customFormat="1" ht="21.95" customHeight="1" x14ac:dyDescent="0.15"/>
    <row r="7188" s="9" customFormat="1" ht="21.95" customHeight="1" x14ac:dyDescent="0.15"/>
    <row r="7189" s="9" customFormat="1" ht="21.95" customHeight="1" x14ac:dyDescent="0.15"/>
    <row r="7190" s="9" customFormat="1" ht="35.1" customHeight="1" x14ac:dyDescent="0.15"/>
    <row r="7191" s="9" customFormat="1" ht="21.95" customHeight="1" x14ac:dyDescent="0.15"/>
    <row r="7192" s="9" customFormat="1" ht="21.95" customHeight="1" x14ac:dyDescent="0.15"/>
    <row r="7193" s="9" customFormat="1" ht="21.95" customHeight="1" x14ac:dyDescent="0.15"/>
    <row r="7194" s="9" customFormat="1" ht="21.95" customHeight="1" x14ac:dyDescent="0.15"/>
    <row r="7195" s="9" customFormat="1" ht="21.95" customHeight="1" x14ac:dyDescent="0.15"/>
    <row r="7196" s="9" customFormat="1" ht="21.95" customHeight="1" x14ac:dyDescent="0.15"/>
    <row r="7197" s="9" customFormat="1" ht="21.95" customHeight="1" x14ac:dyDescent="0.15"/>
    <row r="7198" s="9" customFormat="1" ht="21.95" customHeight="1" x14ac:dyDescent="0.15"/>
    <row r="7199" s="9" customFormat="1" ht="21.95" customHeight="1" x14ac:dyDescent="0.15"/>
    <row r="7200" s="9" customFormat="1" ht="21.95" customHeight="1" x14ac:dyDescent="0.15"/>
    <row r="7201" spans="3:3" s="9" customFormat="1" ht="21.95" customHeight="1" x14ac:dyDescent="0.15"/>
    <row r="7202" spans="3:3" s="9" customFormat="1" ht="21.95" customHeight="1" x14ac:dyDescent="0.15"/>
    <row r="7203" spans="3:3" s="9" customFormat="1" ht="21.95" customHeight="1" x14ac:dyDescent="0.15"/>
    <row r="7204" spans="3:3" s="9" customFormat="1" ht="21.95" customHeight="1" x14ac:dyDescent="0.15"/>
    <row r="7205" spans="3:3" s="9" customFormat="1" ht="21.95" customHeight="1" x14ac:dyDescent="0.15"/>
    <row r="7206" spans="3:3" s="9" customFormat="1" ht="21.95" customHeight="1" x14ac:dyDescent="0.15"/>
    <row r="7207" spans="3:3" s="9" customFormat="1" ht="21.95" customHeight="1" x14ac:dyDescent="0.15"/>
    <row r="7208" spans="3:3" s="9" customFormat="1" ht="21.95" customHeight="1" x14ac:dyDescent="0.15"/>
    <row r="7209" spans="3:3" s="9" customFormat="1" ht="21.95" customHeight="1" x14ac:dyDescent="0.15"/>
    <row r="7210" spans="3:3" s="9" customFormat="1" ht="21.95" customHeight="1" x14ac:dyDescent="0.15"/>
    <row r="7211" spans="3:3" s="9" customFormat="1" ht="21.95" customHeight="1" x14ac:dyDescent="0.15"/>
    <row r="7212" spans="3:3" s="9" customFormat="1" ht="21.95" customHeight="1" x14ac:dyDescent="0.15"/>
    <row r="7213" spans="3:3" s="9" customFormat="1" ht="21.95" customHeight="1" x14ac:dyDescent="0.15"/>
    <row r="7214" spans="3:3" s="8" customFormat="1" ht="21.95" customHeight="1" x14ac:dyDescent="0.15"/>
    <row r="7215" spans="3:3" s="8" customFormat="1" ht="21.95" customHeight="1" x14ac:dyDescent="0.15"/>
    <row r="7216" spans="3:3" s="8" customFormat="1" ht="21.95" customHeight="1" x14ac:dyDescent="0.15">
      <c r="C7216" s="101"/>
    </row>
    <row r="7217" spans="3:3" s="8" customFormat="1" ht="21.95" customHeight="1" x14ac:dyDescent="0.15">
      <c r="C7217" s="101"/>
    </row>
    <row r="7218" spans="3:3" s="8" customFormat="1" ht="21.95" customHeight="1" x14ac:dyDescent="0.15"/>
    <row r="7219" spans="3:3" s="8" customFormat="1" ht="21.95" customHeight="1" x14ac:dyDescent="0.15"/>
    <row r="7220" spans="3:3" s="8" customFormat="1" ht="21.95" customHeight="1" x14ac:dyDescent="0.15"/>
    <row r="7221" spans="3:3" s="8" customFormat="1" ht="21.95" customHeight="1" x14ac:dyDescent="0.15"/>
    <row r="7222" spans="3:3" s="8" customFormat="1" ht="21.95" customHeight="1" x14ac:dyDescent="0.15"/>
    <row r="7223" spans="3:3" s="8" customFormat="1" ht="21.95" customHeight="1" x14ac:dyDescent="0.15"/>
    <row r="7224" spans="3:3" s="8" customFormat="1" ht="21.95" customHeight="1" x14ac:dyDescent="0.15"/>
    <row r="7225" spans="3:3" s="9" customFormat="1" ht="21.95" customHeight="1" x14ac:dyDescent="0.15"/>
    <row r="7226" spans="3:3" s="9" customFormat="1" ht="21.95" customHeight="1" x14ac:dyDescent="0.15"/>
    <row r="7227" spans="3:3" s="9" customFormat="1" ht="21.95" customHeight="1" x14ac:dyDescent="0.15"/>
    <row r="7228" spans="3:3" s="9" customFormat="1" ht="21.95" customHeight="1" x14ac:dyDescent="0.15"/>
    <row r="7229" spans="3:3" s="8" customFormat="1" ht="21.95" customHeight="1" x14ac:dyDescent="0.15"/>
    <row r="7230" spans="3:3" s="8" customFormat="1" ht="21.95" customHeight="1" x14ac:dyDescent="0.15"/>
    <row r="7231" spans="3:3" s="8" customFormat="1" ht="21.95" customHeight="1" x14ac:dyDescent="0.15"/>
    <row r="7232" spans="3:3" s="8" customFormat="1" ht="21.95" customHeight="1" x14ac:dyDescent="0.15"/>
    <row r="7233" s="8" customFormat="1" ht="21.95" customHeight="1" x14ac:dyDescent="0.15"/>
    <row r="7234" s="8" customFormat="1" ht="21.95" customHeight="1" x14ac:dyDescent="0.15"/>
    <row r="7235" s="8" customFormat="1" ht="21.95" customHeight="1" x14ac:dyDescent="0.15"/>
    <row r="7236" s="8" customFormat="1" ht="21.95" customHeight="1" x14ac:dyDescent="0.15"/>
    <row r="7237" s="8" customFormat="1" ht="21.95" customHeight="1" x14ac:dyDescent="0.15"/>
    <row r="7238" s="8" customFormat="1" ht="21.95" customHeight="1" x14ac:dyDescent="0.15"/>
    <row r="7239" s="8" customFormat="1" ht="21.95" customHeight="1" x14ac:dyDescent="0.15"/>
    <row r="7240" s="8" customFormat="1" ht="32.1" customHeight="1" x14ac:dyDescent="0.15"/>
    <row r="7241" s="8" customFormat="1" ht="32.1" customHeight="1" x14ac:dyDescent="0.15"/>
    <row r="7242" s="8" customFormat="1" ht="32.1" customHeight="1" x14ac:dyDescent="0.15"/>
    <row r="7243" s="8" customFormat="1" ht="32.1" customHeight="1" x14ac:dyDescent="0.15"/>
    <row r="7244" s="8" customFormat="1" ht="32.1" customHeight="1" x14ac:dyDescent="0.15"/>
    <row r="7245" s="8" customFormat="1" ht="32.1" customHeight="1" x14ac:dyDescent="0.15"/>
    <row r="7246" s="9" customFormat="1" ht="32.1" customHeight="1" x14ac:dyDescent="0.15"/>
    <row r="7247" s="9" customFormat="1" ht="32.1" customHeight="1" x14ac:dyDescent="0.15"/>
    <row r="7248" s="9" customFormat="1" ht="32.1" customHeight="1" x14ac:dyDescent="0.15"/>
    <row r="7249" s="9" customFormat="1" ht="32.1" customHeight="1" x14ac:dyDescent="0.15"/>
    <row r="7250" s="9" customFormat="1" ht="21.95" customHeight="1" x14ac:dyDescent="0.15"/>
    <row r="7251" s="9" customFormat="1" ht="54" customHeight="1" x14ac:dyDescent="0.15"/>
    <row r="7252" s="9" customFormat="1" ht="21.95" customHeight="1" x14ac:dyDescent="0.15"/>
    <row r="7253" s="9" customFormat="1" ht="21.95" customHeight="1" x14ac:dyDescent="0.15"/>
    <row r="7254" s="9" customFormat="1" ht="21.95" customHeight="1" x14ac:dyDescent="0.15"/>
    <row r="7255" s="9" customFormat="1" ht="21.95" customHeight="1" x14ac:dyDescent="0.15"/>
    <row r="7256" s="9" customFormat="1" ht="21.95" customHeight="1" x14ac:dyDescent="0.15"/>
    <row r="7257" s="9" customFormat="1" ht="21.95" customHeight="1" x14ac:dyDescent="0.15"/>
    <row r="7258" s="9" customFormat="1" ht="21.95" customHeight="1" x14ac:dyDescent="0.15"/>
    <row r="7259" s="9" customFormat="1" ht="21.95" customHeight="1" x14ac:dyDescent="0.15"/>
    <row r="7260" s="9" customFormat="1" ht="21.95" customHeight="1" x14ac:dyDescent="0.15"/>
    <row r="7261" s="9" customFormat="1" ht="21.95" customHeight="1" x14ac:dyDescent="0.15"/>
    <row r="7262" s="9" customFormat="1" ht="21.95" customHeight="1" x14ac:dyDescent="0.15"/>
    <row r="7263" s="9" customFormat="1" ht="21.95" customHeight="1" x14ac:dyDescent="0.15"/>
    <row r="7264" s="9" customFormat="1" ht="21.95" customHeight="1" x14ac:dyDescent="0.15"/>
    <row r="7265" s="9" customFormat="1" ht="21.95" customHeight="1" x14ac:dyDescent="0.15"/>
    <row r="7266" s="9" customFormat="1" ht="21.95" customHeight="1" x14ac:dyDescent="0.15"/>
    <row r="7267" s="9" customFormat="1" ht="21.95" customHeight="1" x14ac:dyDescent="0.15"/>
    <row r="7268" s="9" customFormat="1" ht="21.95" customHeight="1" x14ac:dyDescent="0.15"/>
    <row r="7269" s="9" customFormat="1" ht="21.95" customHeight="1" x14ac:dyDescent="0.15"/>
    <row r="7270" s="9" customFormat="1" ht="21.95" customHeight="1" x14ac:dyDescent="0.15"/>
    <row r="7271" s="9" customFormat="1" ht="21.95" customHeight="1" x14ac:dyDescent="0.15"/>
    <row r="7272" s="9" customFormat="1" ht="21.95" customHeight="1" x14ac:dyDescent="0.15"/>
    <row r="7273" s="9" customFormat="1" ht="21.95" customHeight="1" x14ac:dyDescent="0.15"/>
    <row r="7274" s="9" customFormat="1" ht="21.95" customHeight="1" x14ac:dyDescent="0.15"/>
    <row r="7275" s="9" customFormat="1" ht="21.95" customHeight="1" x14ac:dyDescent="0.15"/>
    <row r="7276" s="9" customFormat="1" ht="21.95" customHeight="1" x14ac:dyDescent="0.15"/>
    <row r="7277" s="9" customFormat="1" ht="21.95" customHeight="1" x14ac:dyDescent="0.15"/>
    <row r="7278" s="9" customFormat="1" ht="21.95" customHeight="1" x14ac:dyDescent="0.15"/>
    <row r="7279" s="9" customFormat="1" ht="21.95" customHeight="1" x14ac:dyDescent="0.15"/>
    <row r="7280" s="9" customFormat="1" ht="21.95" customHeight="1" x14ac:dyDescent="0.15"/>
    <row r="7281" s="9" customFormat="1" ht="21.95" customHeight="1" x14ac:dyDescent="0.15"/>
    <row r="7282" s="9" customFormat="1" ht="21.95" customHeight="1" x14ac:dyDescent="0.15"/>
    <row r="7283" s="9" customFormat="1" ht="21.95" customHeight="1" x14ac:dyDescent="0.15"/>
    <row r="7284" s="9" customFormat="1" ht="21.95" customHeight="1" x14ac:dyDescent="0.15"/>
    <row r="7285" s="9" customFormat="1" ht="21.95" customHeight="1" x14ac:dyDescent="0.15"/>
    <row r="7286" s="9" customFormat="1" ht="21.95" customHeight="1" x14ac:dyDescent="0.15"/>
    <row r="7287" s="9" customFormat="1" ht="21.95" customHeight="1" x14ac:dyDescent="0.15"/>
    <row r="7288" s="9" customFormat="1" ht="21.95" customHeight="1" x14ac:dyDescent="0.15"/>
    <row r="7289" s="9" customFormat="1" ht="21.95" customHeight="1" x14ac:dyDescent="0.15"/>
    <row r="7290" s="9" customFormat="1" ht="21.95" customHeight="1" x14ac:dyDescent="0.15"/>
    <row r="7291" s="9" customFormat="1" ht="21.95" customHeight="1" x14ac:dyDescent="0.15"/>
    <row r="7292" s="9" customFormat="1" ht="21.95" customHeight="1" x14ac:dyDescent="0.15"/>
    <row r="7293" s="9" customFormat="1" ht="21.95" customHeight="1" x14ac:dyDescent="0.15"/>
    <row r="7294" s="9" customFormat="1" ht="21.95" customHeight="1" x14ac:dyDescent="0.15"/>
    <row r="7295" s="9" customFormat="1" ht="21.95" customHeight="1" x14ac:dyDescent="0.15"/>
    <row r="7296" s="9" customFormat="1" ht="21.95" customHeight="1" x14ac:dyDescent="0.15"/>
    <row r="7297" s="9" customFormat="1" ht="21.95" customHeight="1" x14ac:dyDescent="0.15"/>
    <row r="7298" s="9" customFormat="1" ht="21.95" customHeight="1" x14ac:dyDescent="0.15"/>
    <row r="7299" s="9" customFormat="1" ht="21.95" customHeight="1" x14ac:dyDescent="0.15"/>
    <row r="7300" s="9" customFormat="1" ht="21.95" customHeight="1" x14ac:dyDescent="0.15"/>
    <row r="7301" s="9" customFormat="1" ht="21.95" customHeight="1" x14ac:dyDescent="0.15"/>
    <row r="7302" s="9" customFormat="1" ht="35.1" customHeight="1" x14ac:dyDescent="0.15"/>
    <row r="7303" s="9" customFormat="1" ht="21.95" customHeight="1" x14ac:dyDescent="0.15"/>
    <row r="7304" s="9" customFormat="1" ht="21.95" customHeight="1" x14ac:dyDescent="0.15"/>
    <row r="7305" s="9" customFormat="1" ht="21.95" customHeight="1" x14ac:dyDescent="0.15"/>
    <row r="7306" s="9" customFormat="1" ht="21.95" customHeight="1" x14ac:dyDescent="0.15"/>
    <row r="7307" s="9" customFormat="1" ht="21.95" customHeight="1" x14ac:dyDescent="0.15"/>
    <row r="7308" s="9" customFormat="1" ht="21.95" customHeight="1" x14ac:dyDescent="0.15"/>
    <row r="7309" s="9" customFormat="1" ht="21.95" customHeight="1" x14ac:dyDescent="0.15"/>
    <row r="7310" s="9" customFormat="1" ht="21.95" customHeight="1" x14ac:dyDescent="0.15"/>
    <row r="7311" s="9" customFormat="1" ht="21.95" customHeight="1" x14ac:dyDescent="0.15"/>
    <row r="7312" s="9" customFormat="1" ht="21.95" customHeight="1" x14ac:dyDescent="0.15"/>
    <row r="7313" spans="3:3" s="9" customFormat="1" ht="21.95" customHeight="1" x14ac:dyDescent="0.15"/>
    <row r="7314" spans="3:3" s="9" customFormat="1" ht="21.95" customHeight="1" x14ac:dyDescent="0.15"/>
    <row r="7315" spans="3:3" s="9" customFormat="1" ht="21.95" customHeight="1" x14ac:dyDescent="0.15"/>
    <row r="7316" spans="3:3" s="9" customFormat="1" ht="21.95" customHeight="1" x14ac:dyDescent="0.15"/>
    <row r="7317" spans="3:3" s="9" customFormat="1" ht="21.95" customHeight="1" x14ac:dyDescent="0.15"/>
    <row r="7318" spans="3:3" s="9" customFormat="1" ht="21.95" customHeight="1" x14ac:dyDescent="0.15"/>
    <row r="7319" spans="3:3" s="9" customFormat="1" ht="21.95" customHeight="1" x14ac:dyDescent="0.15"/>
    <row r="7320" spans="3:3" s="9" customFormat="1" ht="21.95" customHeight="1" x14ac:dyDescent="0.15"/>
    <row r="7321" spans="3:3" s="9" customFormat="1" ht="21.95" customHeight="1" x14ac:dyDescent="0.15"/>
    <row r="7322" spans="3:3" s="9" customFormat="1" ht="21.95" customHeight="1" x14ac:dyDescent="0.15"/>
    <row r="7323" spans="3:3" s="9" customFormat="1" ht="21.95" customHeight="1" x14ac:dyDescent="0.15"/>
    <row r="7324" spans="3:3" s="9" customFormat="1" ht="21.95" customHeight="1" x14ac:dyDescent="0.15"/>
    <row r="7325" spans="3:3" s="9" customFormat="1" ht="21.95" customHeight="1" x14ac:dyDescent="0.15"/>
    <row r="7326" spans="3:3" s="8" customFormat="1" ht="21.95" customHeight="1" x14ac:dyDescent="0.15"/>
    <row r="7327" spans="3:3" s="8" customFormat="1" ht="21.95" customHeight="1" x14ac:dyDescent="0.15"/>
    <row r="7328" spans="3:3" s="8" customFormat="1" ht="21.95" customHeight="1" x14ac:dyDescent="0.15">
      <c r="C7328" s="101"/>
    </row>
    <row r="7329" spans="3:3" s="8" customFormat="1" ht="21.95" customHeight="1" x14ac:dyDescent="0.15">
      <c r="C7329" s="101"/>
    </row>
    <row r="7330" spans="3:3" s="8" customFormat="1" ht="21.95" customHeight="1" x14ac:dyDescent="0.15"/>
    <row r="7331" spans="3:3" s="8" customFormat="1" ht="21.95" customHeight="1" x14ac:dyDescent="0.15"/>
    <row r="7332" spans="3:3" s="8" customFormat="1" ht="21.95" customHeight="1" x14ac:dyDescent="0.15"/>
    <row r="7333" spans="3:3" s="8" customFormat="1" ht="21.95" customHeight="1" x14ac:dyDescent="0.15"/>
    <row r="7334" spans="3:3" s="8" customFormat="1" ht="21.95" customHeight="1" x14ac:dyDescent="0.15"/>
    <row r="7335" spans="3:3" s="8" customFormat="1" ht="21.95" customHeight="1" x14ac:dyDescent="0.15"/>
    <row r="7336" spans="3:3" s="8" customFormat="1" ht="21.95" customHeight="1" x14ac:dyDescent="0.15"/>
    <row r="7337" spans="3:3" s="9" customFormat="1" ht="21.95" customHeight="1" x14ac:dyDescent="0.15"/>
    <row r="7338" spans="3:3" s="9" customFormat="1" ht="21.95" customHeight="1" x14ac:dyDescent="0.15"/>
    <row r="7339" spans="3:3" s="9" customFormat="1" ht="21.95" customHeight="1" x14ac:dyDescent="0.15"/>
    <row r="7340" spans="3:3" s="9" customFormat="1" ht="21.95" customHeight="1" x14ac:dyDescent="0.15"/>
    <row r="7341" spans="3:3" s="8" customFormat="1" ht="21.95" customHeight="1" x14ac:dyDescent="0.15"/>
    <row r="7342" spans="3:3" s="8" customFormat="1" ht="21.95" customHeight="1" x14ac:dyDescent="0.15"/>
    <row r="7343" spans="3:3" s="8" customFormat="1" ht="21.95" customHeight="1" x14ac:dyDescent="0.15"/>
    <row r="7344" spans="3:3" s="8" customFormat="1" ht="21.95" customHeight="1" x14ac:dyDescent="0.15"/>
    <row r="7345" s="8" customFormat="1" ht="21.95" customHeight="1" x14ac:dyDescent="0.15"/>
    <row r="7346" s="8" customFormat="1" ht="21.95" customHeight="1" x14ac:dyDescent="0.15"/>
    <row r="7347" s="8" customFormat="1" ht="21.95" customHeight="1" x14ac:dyDescent="0.15"/>
    <row r="7348" s="8" customFormat="1" ht="21.95" customHeight="1" x14ac:dyDescent="0.15"/>
    <row r="7349" s="8" customFormat="1" ht="21.95" customHeight="1" x14ac:dyDescent="0.15"/>
    <row r="7350" s="8" customFormat="1" ht="21.95" customHeight="1" x14ac:dyDescent="0.15"/>
    <row r="7351" s="8" customFormat="1" ht="21.95" customHeight="1" x14ac:dyDescent="0.15"/>
    <row r="7352" s="8" customFormat="1" ht="32.1" customHeight="1" x14ac:dyDescent="0.15"/>
    <row r="7353" s="8" customFormat="1" ht="32.1" customHeight="1" x14ac:dyDescent="0.15"/>
    <row r="7354" s="8" customFormat="1" ht="32.1" customHeight="1" x14ac:dyDescent="0.15"/>
    <row r="7355" s="8" customFormat="1" ht="32.1" customHeight="1" x14ac:dyDescent="0.15"/>
    <row r="7356" s="8" customFormat="1" ht="32.1" customHeight="1" x14ac:dyDescent="0.15"/>
    <row r="7357" s="8" customFormat="1" ht="32.1" customHeight="1" x14ac:dyDescent="0.15"/>
    <row r="7358" s="9" customFormat="1" ht="32.1" customHeight="1" x14ac:dyDescent="0.15"/>
    <row r="7359" s="9" customFormat="1" ht="32.1" customHeight="1" x14ac:dyDescent="0.15"/>
    <row r="7360" s="9" customFormat="1" ht="32.1" customHeight="1" x14ac:dyDescent="0.15"/>
    <row r="7361" s="9" customFormat="1" ht="32.1" customHeight="1" x14ac:dyDescent="0.15"/>
    <row r="7362" s="9" customFormat="1" ht="21.95" customHeight="1" x14ac:dyDescent="0.15"/>
    <row r="7363" s="9" customFormat="1" ht="54" customHeight="1" x14ac:dyDescent="0.15"/>
    <row r="7364" s="9" customFormat="1" ht="21.95" customHeight="1" x14ac:dyDescent="0.15"/>
    <row r="7365" s="9" customFormat="1" ht="21.95" customHeight="1" x14ac:dyDescent="0.15"/>
    <row r="7366" s="9" customFormat="1" ht="21.95" customHeight="1" x14ac:dyDescent="0.15"/>
    <row r="7367" s="9" customFormat="1" ht="21.95" customHeight="1" x14ac:dyDescent="0.15"/>
    <row r="7368" s="9" customFormat="1" ht="21.95" customHeight="1" x14ac:dyDescent="0.15"/>
    <row r="7369" s="9" customFormat="1" ht="21.95" customHeight="1" x14ac:dyDescent="0.15"/>
    <row r="7370" s="9" customFormat="1" ht="21.95" customHeight="1" x14ac:dyDescent="0.15"/>
    <row r="7371" s="9" customFormat="1" ht="21.95" customHeight="1" x14ac:dyDescent="0.15"/>
    <row r="7372" s="9" customFormat="1" ht="21.95" customHeight="1" x14ac:dyDescent="0.15"/>
    <row r="7373" s="9" customFormat="1" ht="21.95" customHeight="1" x14ac:dyDescent="0.15"/>
    <row r="7374" s="9" customFormat="1" ht="21.95" customHeight="1" x14ac:dyDescent="0.15"/>
    <row r="7375" s="9" customFormat="1" ht="21.95" customHeight="1" x14ac:dyDescent="0.15"/>
    <row r="7376" s="9" customFormat="1" ht="21.95" customHeight="1" x14ac:dyDescent="0.15"/>
    <row r="7377" s="9" customFormat="1" ht="21.95" customHeight="1" x14ac:dyDescent="0.15"/>
    <row r="7378" s="9" customFormat="1" ht="21.95" customHeight="1" x14ac:dyDescent="0.15"/>
    <row r="7379" s="9" customFormat="1" ht="21.95" customHeight="1" x14ac:dyDescent="0.15"/>
    <row r="7380" s="9" customFormat="1" ht="21.95" customHeight="1" x14ac:dyDescent="0.15"/>
    <row r="7381" s="9" customFormat="1" ht="21.95" customHeight="1" x14ac:dyDescent="0.15"/>
    <row r="7382" s="9" customFormat="1" ht="21.95" customHeight="1" x14ac:dyDescent="0.15"/>
    <row r="7383" s="9" customFormat="1" ht="21.95" customHeight="1" x14ac:dyDescent="0.15"/>
    <row r="7384" s="9" customFormat="1" ht="21.95" customHeight="1" x14ac:dyDescent="0.15"/>
    <row r="7385" s="9" customFormat="1" ht="21.95" customHeight="1" x14ac:dyDescent="0.15"/>
    <row r="7386" s="9" customFormat="1" ht="21.95" customHeight="1" x14ac:dyDescent="0.15"/>
    <row r="7387" s="9" customFormat="1" ht="21.95" customHeight="1" x14ac:dyDescent="0.15"/>
    <row r="7388" s="9" customFormat="1" ht="21.95" customHeight="1" x14ac:dyDescent="0.15"/>
    <row r="7389" s="9" customFormat="1" ht="21.95" customHeight="1" x14ac:dyDescent="0.15"/>
    <row r="7390" s="9" customFormat="1" ht="21.95" customHeight="1" x14ac:dyDescent="0.15"/>
    <row r="7391" s="9" customFormat="1" ht="21.95" customHeight="1" x14ac:dyDescent="0.15"/>
    <row r="7392" s="9" customFormat="1" ht="21.95" customHeight="1" x14ac:dyDescent="0.15"/>
    <row r="7393" s="9" customFormat="1" ht="21.95" customHeight="1" x14ac:dyDescent="0.15"/>
    <row r="7394" s="9" customFormat="1" ht="21.95" customHeight="1" x14ac:dyDescent="0.15"/>
    <row r="7395" s="9" customFormat="1" ht="21.95" customHeight="1" x14ac:dyDescent="0.15"/>
    <row r="7396" s="9" customFormat="1" ht="21.95" customHeight="1" x14ac:dyDescent="0.15"/>
    <row r="7397" s="9" customFormat="1" ht="21.95" customHeight="1" x14ac:dyDescent="0.15"/>
    <row r="7398" s="9" customFormat="1" ht="21.95" customHeight="1" x14ac:dyDescent="0.15"/>
    <row r="7399" s="9" customFormat="1" ht="21.95" customHeight="1" x14ac:dyDescent="0.15"/>
    <row r="7400" s="9" customFormat="1" ht="21.95" customHeight="1" x14ac:dyDescent="0.15"/>
    <row r="7401" s="9" customFormat="1" ht="21.95" customHeight="1" x14ac:dyDescent="0.15"/>
    <row r="7402" s="9" customFormat="1" ht="21.95" customHeight="1" x14ac:dyDescent="0.15"/>
    <row r="7403" s="9" customFormat="1" ht="21.95" customHeight="1" x14ac:dyDescent="0.15"/>
    <row r="7404" s="9" customFormat="1" ht="21.95" customHeight="1" x14ac:dyDescent="0.15"/>
    <row r="7405" s="9" customFormat="1" ht="21.95" customHeight="1" x14ac:dyDescent="0.15"/>
    <row r="7406" s="9" customFormat="1" ht="21.95" customHeight="1" x14ac:dyDescent="0.15"/>
    <row r="7407" s="9" customFormat="1" ht="21.95" customHeight="1" x14ac:dyDescent="0.15"/>
    <row r="7408" s="9" customFormat="1" ht="21.95" customHeight="1" x14ac:dyDescent="0.15"/>
    <row r="7409" s="9" customFormat="1" ht="21.95" customHeight="1" x14ac:dyDescent="0.15"/>
    <row r="7410" s="9" customFormat="1" ht="21.95" customHeight="1" x14ac:dyDescent="0.15"/>
    <row r="7411" s="9" customFormat="1" ht="21.95" customHeight="1" x14ac:dyDescent="0.15"/>
    <row r="7412" s="9" customFormat="1" ht="21.95" customHeight="1" x14ac:dyDescent="0.15"/>
    <row r="7413" s="9" customFormat="1" ht="21.95" customHeight="1" x14ac:dyDescent="0.15"/>
    <row r="7414" s="9" customFormat="1" ht="35.1" customHeight="1" x14ac:dyDescent="0.15"/>
    <row r="7415" s="9" customFormat="1" ht="21.95" customHeight="1" x14ac:dyDescent="0.15"/>
    <row r="7416" s="9" customFormat="1" ht="21.95" customHeight="1" x14ac:dyDescent="0.15"/>
    <row r="7417" s="9" customFormat="1" ht="21.95" customHeight="1" x14ac:dyDescent="0.15"/>
    <row r="7418" s="9" customFormat="1" ht="21.95" customHeight="1" x14ac:dyDescent="0.15"/>
    <row r="7419" s="9" customFormat="1" ht="21.95" customHeight="1" x14ac:dyDescent="0.15"/>
    <row r="7420" s="9" customFormat="1" ht="21.95" customHeight="1" x14ac:dyDescent="0.15"/>
    <row r="7421" s="9" customFormat="1" ht="21.95" customHeight="1" x14ac:dyDescent="0.15"/>
    <row r="7422" s="9" customFormat="1" ht="21.95" customHeight="1" x14ac:dyDescent="0.15"/>
    <row r="7423" s="9" customFormat="1" ht="21.95" customHeight="1" x14ac:dyDescent="0.15"/>
    <row r="7424" s="9" customFormat="1" ht="21.95" customHeight="1" x14ac:dyDescent="0.15"/>
    <row r="7425" spans="3:3" s="9" customFormat="1" ht="21.95" customHeight="1" x14ac:dyDescent="0.15"/>
    <row r="7426" spans="3:3" s="9" customFormat="1" ht="21.95" customHeight="1" x14ac:dyDescent="0.15"/>
    <row r="7427" spans="3:3" s="9" customFormat="1" ht="21.95" customHeight="1" x14ac:dyDescent="0.15"/>
    <row r="7428" spans="3:3" s="9" customFormat="1" ht="21.95" customHeight="1" x14ac:dyDescent="0.15"/>
    <row r="7429" spans="3:3" s="9" customFormat="1" ht="21.95" customHeight="1" x14ac:dyDescent="0.15"/>
    <row r="7430" spans="3:3" s="9" customFormat="1" ht="21.95" customHeight="1" x14ac:dyDescent="0.15"/>
    <row r="7431" spans="3:3" s="9" customFormat="1" ht="21.95" customHeight="1" x14ac:dyDescent="0.15"/>
    <row r="7432" spans="3:3" s="9" customFormat="1" ht="21.95" customHeight="1" x14ac:dyDescent="0.15"/>
    <row r="7433" spans="3:3" s="9" customFormat="1" ht="21.95" customHeight="1" x14ac:dyDescent="0.15"/>
    <row r="7434" spans="3:3" s="9" customFormat="1" ht="21.95" customHeight="1" x14ac:dyDescent="0.15"/>
    <row r="7435" spans="3:3" s="9" customFormat="1" ht="21.95" customHeight="1" x14ac:dyDescent="0.15"/>
    <row r="7436" spans="3:3" s="9" customFormat="1" ht="21.95" customHeight="1" x14ac:dyDescent="0.15"/>
    <row r="7437" spans="3:3" s="9" customFormat="1" ht="21.95" customHeight="1" x14ac:dyDescent="0.15"/>
    <row r="7438" spans="3:3" s="8" customFormat="1" ht="21.95" customHeight="1" x14ac:dyDescent="0.15"/>
    <row r="7439" spans="3:3" s="8" customFormat="1" ht="21.95" customHeight="1" x14ac:dyDescent="0.15"/>
    <row r="7440" spans="3:3" s="8" customFormat="1" ht="21.95" customHeight="1" x14ac:dyDescent="0.15">
      <c r="C7440" s="101"/>
    </row>
    <row r="7441" spans="3:3" s="8" customFormat="1" ht="21.95" customHeight="1" x14ac:dyDescent="0.15">
      <c r="C7441" s="101"/>
    </row>
    <row r="7442" spans="3:3" s="8" customFormat="1" ht="21.95" customHeight="1" x14ac:dyDescent="0.15"/>
    <row r="7443" spans="3:3" s="8" customFormat="1" ht="21.95" customHeight="1" x14ac:dyDescent="0.15"/>
    <row r="7444" spans="3:3" s="8" customFormat="1" ht="21.95" customHeight="1" x14ac:dyDescent="0.15"/>
    <row r="7445" spans="3:3" s="8" customFormat="1" ht="21.95" customHeight="1" x14ac:dyDescent="0.15"/>
    <row r="7446" spans="3:3" s="8" customFormat="1" ht="21.95" customHeight="1" x14ac:dyDescent="0.15"/>
    <row r="7447" spans="3:3" s="8" customFormat="1" ht="21.95" customHeight="1" x14ac:dyDescent="0.15"/>
    <row r="7448" spans="3:3" s="8" customFormat="1" ht="21.95" customHeight="1" x14ac:dyDescent="0.15"/>
    <row r="7449" spans="3:3" s="9" customFormat="1" ht="21.95" customHeight="1" x14ac:dyDescent="0.15"/>
    <row r="7450" spans="3:3" s="9" customFormat="1" ht="21.95" customHeight="1" x14ac:dyDescent="0.15"/>
    <row r="7451" spans="3:3" s="9" customFormat="1" ht="21.95" customHeight="1" x14ac:dyDescent="0.15"/>
    <row r="7452" spans="3:3" s="9" customFormat="1" ht="21.95" customHeight="1" x14ac:dyDescent="0.15"/>
    <row r="7453" spans="3:3" s="8" customFormat="1" ht="21.95" customHeight="1" x14ac:dyDescent="0.15"/>
    <row r="7454" spans="3:3" s="8" customFormat="1" ht="21.95" customHeight="1" x14ac:dyDescent="0.15"/>
    <row r="7455" spans="3:3" s="8" customFormat="1" ht="21.95" customHeight="1" x14ac:dyDescent="0.15"/>
    <row r="7456" spans="3:3" s="8" customFormat="1" ht="21.95" customHeight="1" x14ac:dyDescent="0.15"/>
    <row r="7457" s="8" customFormat="1" ht="21.95" customHeight="1" x14ac:dyDescent="0.15"/>
    <row r="7458" s="8" customFormat="1" ht="21.95" customHeight="1" x14ac:dyDescent="0.15"/>
    <row r="7459" s="8" customFormat="1" ht="21.95" customHeight="1" x14ac:dyDescent="0.15"/>
    <row r="7460" s="8" customFormat="1" ht="21.95" customHeight="1" x14ac:dyDescent="0.15"/>
    <row r="7461" s="8" customFormat="1" ht="21.95" customHeight="1" x14ac:dyDescent="0.15"/>
    <row r="7462" s="8" customFormat="1" ht="21.95" customHeight="1" x14ac:dyDescent="0.15"/>
    <row r="7463" s="8" customFormat="1" ht="21.95" customHeight="1" x14ac:dyDescent="0.15"/>
    <row r="7464" s="8" customFormat="1" ht="32.1" customHeight="1" x14ac:dyDescent="0.15"/>
    <row r="7465" s="8" customFormat="1" ht="32.1" customHeight="1" x14ac:dyDescent="0.15"/>
    <row r="7466" s="8" customFormat="1" ht="32.1" customHeight="1" x14ac:dyDescent="0.15"/>
    <row r="7467" s="8" customFormat="1" ht="32.1" customHeight="1" x14ac:dyDescent="0.15"/>
    <row r="7468" s="8" customFormat="1" ht="32.1" customHeight="1" x14ac:dyDescent="0.15"/>
    <row r="7469" s="8" customFormat="1" ht="32.1" customHeight="1" x14ac:dyDescent="0.15"/>
    <row r="7470" s="9" customFormat="1" ht="32.1" customHeight="1" x14ac:dyDescent="0.15"/>
    <row r="7471" s="9" customFormat="1" ht="32.1" customHeight="1" x14ac:dyDescent="0.15"/>
    <row r="7472" s="9" customFormat="1" ht="32.1" customHeight="1" x14ac:dyDescent="0.15"/>
    <row r="7473" s="9" customFormat="1" ht="32.1" customHeight="1" x14ac:dyDescent="0.15"/>
    <row r="7474" s="9" customFormat="1" ht="21.95" customHeight="1" x14ac:dyDescent="0.15"/>
    <row r="7475" s="9" customFormat="1" ht="54" customHeight="1" x14ac:dyDescent="0.15"/>
    <row r="7476" s="9" customFormat="1" ht="21.95" customHeight="1" x14ac:dyDescent="0.15"/>
    <row r="7477" s="9" customFormat="1" ht="21.95" customHeight="1" x14ac:dyDescent="0.15"/>
    <row r="7478" s="9" customFormat="1" ht="21.95" customHeight="1" x14ac:dyDescent="0.15"/>
    <row r="7479" s="9" customFormat="1" ht="21.95" customHeight="1" x14ac:dyDescent="0.15"/>
    <row r="7480" s="9" customFormat="1" ht="21.95" customHeight="1" x14ac:dyDescent="0.15"/>
    <row r="7481" s="9" customFormat="1" ht="21.95" customHeight="1" x14ac:dyDescent="0.15"/>
    <row r="7482" s="9" customFormat="1" ht="21.95" customHeight="1" x14ac:dyDescent="0.15"/>
    <row r="7483" s="9" customFormat="1" ht="21.95" customHeight="1" x14ac:dyDescent="0.15"/>
    <row r="7484" s="9" customFormat="1" ht="21.95" customHeight="1" x14ac:dyDescent="0.15"/>
    <row r="7485" s="9" customFormat="1" ht="21.95" customHeight="1" x14ac:dyDescent="0.15"/>
    <row r="7486" s="9" customFormat="1" ht="21.95" customHeight="1" x14ac:dyDescent="0.15"/>
    <row r="7487" s="9" customFormat="1" ht="21.95" customHeight="1" x14ac:dyDescent="0.15"/>
    <row r="7488" s="9" customFormat="1" ht="21.95" customHeight="1" x14ac:dyDescent="0.15"/>
    <row r="7489" s="9" customFormat="1" ht="21.95" customHeight="1" x14ac:dyDescent="0.15"/>
    <row r="7490" s="9" customFormat="1" ht="21.95" customHeight="1" x14ac:dyDescent="0.15"/>
    <row r="7491" s="9" customFormat="1" ht="21.95" customHeight="1" x14ac:dyDescent="0.15"/>
    <row r="7492" s="9" customFormat="1" ht="21.95" customHeight="1" x14ac:dyDescent="0.15"/>
    <row r="7493" s="9" customFormat="1" ht="21.95" customHeight="1" x14ac:dyDescent="0.15"/>
    <row r="7494" s="9" customFormat="1" ht="21.95" customHeight="1" x14ac:dyDescent="0.15"/>
    <row r="7495" s="9" customFormat="1" ht="21.95" customHeight="1" x14ac:dyDescent="0.15"/>
    <row r="7496" s="9" customFormat="1" ht="21.95" customHeight="1" x14ac:dyDescent="0.15"/>
    <row r="7497" s="9" customFormat="1" ht="21.95" customHeight="1" x14ac:dyDescent="0.15"/>
    <row r="7498" s="9" customFormat="1" ht="21.95" customHeight="1" x14ac:dyDescent="0.15"/>
    <row r="7499" s="9" customFormat="1" ht="21.95" customHeight="1" x14ac:dyDescent="0.15"/>
    <row r="7500" s="9" customFormat="1" ht="21.95" customHeight="1" x14ac:dyDescent="0.15"/>
    <row r="7501" s="9" customFormat="1" ht="21.95" customHeight="1" x14ac:dyDescent="0.15"/>
    <row r="7502" s="9" customFormat="1" ht="21.95" customHeight="1" x14ac:dyDescent="0.15"/>
    <row r="7503" s="9" customFormat="1" ht="21.95" customHeight="1" x14ac:dyDescent="0.15"/>
    <row r="7504" s="9" customFormat="1" ht="21.95" customHeight="1" x14ac:dyDescent="0.15"/>
    <row r="7505" s="9" customFormat="1" ht="21.95" customHeight="1" x14ac:dyDescent="0.15"/>
    <row r="7506" s="9" customFormat="1" ht="21.95" customHeight="1" x14ac:dyDescent="0.15"/>
    <row r="7507" s="9" customFormat="1" ht="21.95" customHeight="1" x14ac:dyDescent="0.15"/>
    <row r="7508" s="9" customFormat="1" ht="21.95" customHeight="1" x14ac:dyDescent="0.15"/>
    <row r="7509" s="9" customFormat="1" ht="21.95" customHeight="1" x14ac:dyDescent="0.15"/>
    <row r="7510" s="9" customFormat="1" ht="21.95" customHeight="1" x14ac:dyDescent="0.15"/>
    <row r="7511" s="9" customFormat="1" ht="21.95" customHeight="1" x14ac:dyDescent="0.15"/>
    <row r="7512" s="9" customFormat="1" ht="21.95" customHeight="1" x14ac:dyDescent="0.15"/>
    <row r="7513" s="9" customFormat="1" ht="21.95" customHeight="1" x14ac:dyDescent="0.15"/>
    <row r="7514" s="9" customFormat="1" ht="21.95" customHeight="1" x14ac:dyDescent="0.15"/>
    <row r="7515" s="9" customFormat="1" ht="21.95" customHeight="1" x14ac:dyDescent="0.15"/>
    <row r="7516" s="9" customFormat="1" ht="21.95" customHeight="1" x14ac:dyDescent="0.15"/>
    <row r="7517" s="9" customFormat="1" ht="21.95" customHeight="1" x14ac:dyDescent="0.15"/>
    <row r="7518" s="9" customFormat="1" ht="21.95" customHeight="1" x14ac:dyDescent="0.15"/>
    <row r="7519" s="9" customFormat="1" ht="21.95" customHeight="1" x14ac:dyDescent="0.15"/>
    <row r="7520" s="9" customFormat="1" ht="21.95" customHeight="1" x14ac:dyDescent="0.15"/>
    <row r="7521" s="9" customFormat="1" ht="21.95" customHeight="1" x14ac:dyDescent="0.15"/>
    <row r="7522" s="9" customFormat="1" ht="21.95" customHeight="1" x14ac:dyDescent="0.15"/>
    <row r="7523" s="9" customFormat="1" ht="21.95" customHeight="1" x14ac:dyDescent="0.15"/>
    <row r="7524" s="9" customFormat="1" ht="21.95" customHeight="1" x14ac:dyDescent="0.15"/>
    <row r="7525" s="9" customFormat="1" ht="21.95" customHeight="1" x14ac:dyDescent="0.15"/>
    <row r="7526" s="9" customFormat="1" ht="35.1" customHeight="1" x14ac:dyDescent="0.15"/>
    <row r="7527" s="9" customFormat="1" ht="21.95" customHeight="1" x14ac:dyDescent="0.15"/>
    <row r="7528" s="9" customFormat="1" ht="21.95" customHeight="1" x14ac:dyDescent="0.15"/>
    <row r="7529" s="9" customFormat="1" ht="21.95" customHeight="1" x14ac:dyDescent="0.15"/>
    <row r="7530" s="9" customFormat="1" ht="21.95" customHeight="1" x14ac:dyDescent="0.15"/>
    <row r="7531" s="9" customFormat="1" ht="21.95" customHeight="1" x14ac:dyDescent="0.15"/>
    <row r="7532" s="9" customFormat="1" ht="21.95" customHeight="1" x14ac:dyDescent="0.15"/>
    <row r="7533" s="9" customFormat="1" ht="21.95" customHeight="1" x14ac:dyDescent="0.15"/>
    <row r="7534" s="9" customFormat="1" ht="21.95" customHeight="1" x14ac:dyDescent="0.15"/>
    <row r="7535" s="9" customFormat="1" ht="21.95" customHeight="1" x14ac:dyDescent="0.15"/>
    <row r="7536" s="9" customFormat="1" ht="21.95" customHeight="1" x14ac:dyDescent="0.15"/>
    <row r="7537" spans="3:3" s="9" customFormat="1" ht="21.95" customHeight="1" x14ac:dyDescent="0.15"/>
    <row r="7538" spans="3:3" s="9" customFormat="1" ht="21.95" customHeight="1" x14ac:dyDescent="0.15"/>
    <row r="7539" spans="3:3" s="9" customFormat="1" ht="21.95" customHeight="1" x14ac:dyDescent="0.15"/>
    <row r="7540" spans="3:3" s="9" customFormat="1" ht="21.95" customHeight="1" x14ac:dyDescent="0.15"/>
    <row r="7541" spans="3:3" s="9" customFormat="1" ht="21.95" customHeight="1" x14ac:dyDescent="0.15"/>
    <row r="7542" spans="3:3" s="9" customFormat="1" ht="21.95" customHeight="1" x14ac:dyDescent="0.15"/>
    <row r="7543" spans="3:3" s="9" customFormat="1" ht="21.95" customHeight="1" x14ac:dyDescent="0.15"/>
    <row r="7544" spans="3:3" s="9" customFormat="1" ht="21.95" customHeight="1" x14ac:dyDescent="0.15"/>
    <row r="7545" spans="3:3" s="9" customFormat="1" ht="21.95" customHeight="1" x14ac:dyDescent="0.15"/>
    <row r="7546" spans="3:3" s="9" customFormat="1" ht="21.95" customHeight="1" x14ac:dyDescent="0.15"/>
    <row r="7547" spans="3:3" s="9" customFormat="1" ht="21.95" customHeight="1" x14ac:dyDescent="0.15"/>
    <row r="7548" spans="3:3" s="9" customFormat="1" ht="21.95" customHeight="1" x14ac:dyDescent="0.15"/>
    <row r="7549" spans="3:3" s="9" customFormat="1" ht="21.95" customHeight="1" x14ac:dyDescent="0.15"/>
    <row r="7550" spans="3:3" s="8" customFormat="1" ht="21.95" customHeight="1" x14ac:dyDescent="0.15"/>
    <row r="7551" spans="3:3" s="8" customFormat="1" ht="21.95" customHeight="1" x14ac:dyDescent="0.15"/>
    <row r="7552" spans="3:3" s="8" customFormat="1" ht="21.95" customHeight="1" x14ac:dyDescent="0.15">
      <c r="C7552" s="101"/>
    </row>
    <row r="7553" spans="3:3" s="8" customFormat="1" ht="21.95" customHeight="1" x14ac:dyDescent="0.15">
      <c r="C7553" s="101"/>
    </row>
    <row r="7554" spans="3:3" s="8" customFormat="1" ht="21.95" customHeight="1" x14ac:dyDescent="0.15"/>
    <row r="7555" spans="3:3" s="8" customFormat="1" ht="21.95" customHeight="1" x14ac:dyDescent="0.15"/>
    <row r="7556" spans="3:3" s="8" customFormat="1" ht="21.95" customHeight="1" x14ac:dyDescent="0.15"/>
    <row r="7557" spans="3:3" s="8" customFormat="1" ht="21.95" customHeight="1" x14ac:dyDescent="0.15"/>
    <row r="7558" spans="3:3" s="8" customFormat="1" ht="21.95" customHeight="1" x14ac:dyDescent="0.15"/>
    <row r="7559" spans="3:3" s="8" customFormat="1" ht="21.95" customHeight="1" x14ac:dyDescent="0.15"/>
    <row r="7560" spans="3:3" s="8" customFormat="1" ht="21.95" customHeight="1" x14ac:dyDescent="0.15"/>
    <row r="7561" spans="3:3" s="9" customFormat="1" ht="21.95" customHeight="1" x14ac:dyDescent="0.15"/>
    <row r="7562" spans="3:3" s="9" customFormat="1" ht="21.95" customHeight="1" x14ac:dyDescent="0.15"/>
    <row r="7563" spans="3:3" s="9" customFormat="1" ht="21.95" customHeight="1" x14ac:dyDescent="0.15"/>
    <row r="7564" spans="3:3" s="9" customFormat="1" ht="21.95" customHeight="1" x14ac:dyDescent="0.15"/>
    <row r="7565" spans="3:3" s="8" customFormat="1" ht="21.95" customHeight="1" x14ac:dyDescent="0.15"/>
    <row r="7566" spans="3:3" s="8" customFormat="1" ht="21.95" customHeight="1" x14ac:dyDescent="0.15"/>
    <row r="7567" spans="3:3" s="8" customFormat="1" ht="21.95" customHeight="1" x14ac:dyDescent="0.15"/>
    <row r="7568" spans="3:3" s="8" customFormat="1" ht="21.95" customHeight="1" x14ac:dyDescent="0.15"/>
    <row r="7569" s="8" customFormat="1" ht="21.95" customHeight="1" x14ac:dyDescent="0.15"/>
    <row r="7570" s="8" customFormat="1" ht="21.95" customHeight="1" x14ac:dyDescent="0.15"/>
    <row r="7571" s="8" customFormat="1" ht="21.95" customHeight="1" x14ac:dyDescent="0.15"/>
    <row r="7572" s="8" customFormat="1" ht="21.95" customHeight="1" x14ac:dyDescent="0.15"/>
    <row r="7573" s="8" customFormat="1" ht="21.95" customHeight="1" x14ac:dyDescent="0.15"/>
    <row r="7574" s="8" customFormat="1" ht="21.95" customHeight="1" x14ac:dyDescent="0.15"/>
    <row r="7575" s="8" customFormat="1" ht="21.95" customHeight="1" x14ac:dyDescent="0.15"/>
    <row r="7576" s="8" customFormat="1" ht="32.1" customHeight="1" x14ac:dyDescent="0.15"/>
    <row r="7577" s="8" customFormat="1" ht="32.1" customHeight="1" x14ac:dyDescent="0.15"/>
    <row r="7578" s="8" customFormat="1" ht="32.1" customHeight="1" x14ac:dyDescent="0.15"/>
    <row r="7579" s="8" customFormat="1" ht="32.1" customHeight="1" x14ac:dyDescent="0.15"/>
    <row r="7580" s="8" customFormat="1" ht="32.1" customHeight="1" x14ac:dyDescent="0.15"/>
    <row r="7581" s="8" customFormat="1" ht="32.1" customHeight="1" x14ac:dyDescent="0.15"/>
    <row r="7582" s="9" customFormat="1" ht="32.1" customHeight="1" x14ac:dyDescent="0.15"/>
    <row r="7583" s="9" customFormat="1" ht="32.1" customHeight="1" x14ac:dyDescent="0.15"/>
    <row r="7584" s="9" customFormat="1" ht="32.1" customHeight="1" x14ac:dyDescent="0.15"/>
    <row r="7585" s="9" customFormat="1" ht="32.1" customHeight="1" x14ac:dyDescent="0.15"/>
    <row r="7586" s="9" customFormat="1" ht="21.95" customHeight="1" x14ac:dyDescent="0.15"/>
    <row r="7587" s="9" customFormat="1" ht="54" customHeight="1" x14ac:dyDescent="0.15"/>
    <row r="7588" s="9" customFormat="1" ht="21.95" customHeight="1" x14ac:dyDescent="0.15"/>
    <row r="7589" s="9" customFormat="1" ht="21.95" customHeight="1" x14ac:dyDescent="0.15"/>
    <row r="7590" s="9" customFormat="1" ht="21.95" customHeight="1" x14ac:dyDescent="0.15"/>
    <row r="7591" s="9" customFormat="1" ht="21.95" customHeight="1" x14ac:dyDescent="0.15"/>
    <row r="7592" s="9" customFormat="1" ht="21.95" customHeight="1" x14ac:dyDescent="0.15"/>
    <row r="7593" s="9" customFormat="1" ht="21.95" customHeight="1" x14ac:dyDescent="0.15"/>
    <row r="7594" s="9" customFormat="1" ht="21.95" customHeight="1" x14ac:dyDescent="0.15"/>
    <row r="7595" s="9" customFormat="1" ht="21.95" customHeight="1" x14ac:dyDescent="0.15"/>
    <row r="7596" s="9" customFormat="1" ht="21.95" customHeight="1" x14ac:dyDescent="0.15"/>
    <row r="7597" s="9" customFormat="1" ht="21.95" customHeight="1" x14ac:dyDescent="0.15"/>
    <row r="7598" s="9" customFormat="1" ht="21.95" customHeight="1" x14ac:dyDescent="0.15"/>
    <row r="7599" s="9" customFormat="1" ht="21.95" customHeight="1" x14ac:dyDescent="0.15"/>
    <row r="7600" s="9" customFormat="1" ht="21.95" customHeight="1" x14ac:dyDescent="0.15"/>
    <row r="7601" s="9" customFormat="1" ht="21.95" customHeight="1" x14ac:dyDescent="0.15"/>
    <row r="7602" s="9" customFormat="1" ht="21.95" customHeight="1" x14ac:dyDescent="0.15"/>
    <row r="7603" s="9" customFormat="1" ht="21.95" customHeight="1" x14ac:dyDescent="0.15"/>
    <row r="7604" s="9" customFormat="1" ht="21.95" customHeight="1" x14ac:dyDescent="0.15"/>
    <row r="7605" s="9" customFormat="1" ht="21.95" customHeight="1" x14ac:dyDescent="0.15"/>
    <row r="7606" s="9" customFormat="1" ht="21.95" customHeight="1" x14ac:dyDescent="0.15"/>
    <row r="7607" s="9" customFormat="1" ht="21.95" customHeight="1" x14ac:dyDescent="0.15"/>
    <row r="7608" s="9" customFormat="1" ht="21.95" customHeight="1" x14ac:dyDescent="0.15"/>
    <row r="7609" s="9" customFormat="1" ht="21.95" customHeight="1" x14ac:dyDescent="0.15"/>
    <row r="7610" s="9" customFormat="1" ht="21.95" customHeight="1" x14ac:dyDescent="0.15"/>
    <row r="7611" s="9" customFormat="1" ht="21.95" customHeight="1" x14ac:dyDescent="0.15"/>
    <row r="7612" s="9" customFormat="1" ht="21.95" customHeight="1" x14ac:dyDescent="0.15"/>
    <row r="7613" s="9" customFormat="1" ht="21.95" customHeight="1" x14ac:dyDescent="0.15"/>
    <row r="7614" s="9" customFormat="1" ht="21.95" customHeight="1" x14ac:dyDescent="0.15"/>
    <row r="7615" s="9" customFormat="1" ht="21.95" customHeight="1" x14ac:dyDescent="0.15"/>
    <row r="7616" s="9" customFormat="1" ht="21.95" customHeight="1" x14ac:dyDescent="0.15"/>
    <row r="7617" s="9" customFormat="1" ht="21.95" customHeight="1" x14ac:dyDescent="0.15"/>
    <row r="7618" s="9" customFormat="1" ht="21.95" customHeight="1" x14ac:dyDescent="0.15"/>
    <row r="7619" s="9" customFormat="1" ht="21.95" customHeight="1" x14ac:dyDescent="0.15"/>
    <row r="7620" s="9" customFormat="1" ht="21.95" customHeight="1" x14ac:dyDescent="0.15"/>
    <row r="7621" s="9" customFormat="1" ht="21.95" customHeight="1" x14ac:dyDescent="0.15"/>
    <row r="7622" s="9" customFormat="1" ht="21.95" customHeight="1" x14ac:dyDescent="0.15"/>
    <row r="7623" s="9" customFormat="1" ht="21.95" customHeight="1" x14ac:dyDescent="0.15"/>
    <row r="7624" s="9" customFormat="1" ht="21.95" customHeight="1" x14ac:dyDescent="0.15"/>
    <row r="7625" s="9" customFormat="1" ht="21.95" customHeight="1" x14ac:dyDescent="0.15"/>
    <row r="7626" s="9" customFormat="1" ht="21.95" customHeight="1" x14ac:dyDescent="0.15"/>
    <row r="7627" s="9" customFormat="1" ht="21.95" customHeight="1" x14ac:dyDescent="0.15"/>
    <row r="7628" s="9" customFormat="1" ht="21.95" customHeight="1" x14ac:dyDescent="0.15"/>
    <row r="7629" s="9" customFormat="1" ht="21.95" customHeight="1" x14ac:dyDescent="0.15"/>
    <row r="7630" s="9" customFormat="1" ht="21.95" customHeight="1" x14ac:dyDescent="0.15"/>
    <row r="7631" s="9" customFormat="1" ht="21.95" customHeight="1" x14ac:dyDescent="0.15"/>
    <row r="7632" s="9" customFormat="1" ht="21.95" customHeight="1" x14ac:dyDescent="0.15"/>
    <row r="7633" s="9" customFormat="1" ht="21.95" customHeight="1" x14ac:dyDescent="0.15"/>
    <row r="7634" s="9" customFormat="1" ht="21.95" customHeight="1" x14ac:dyDescent="0.15"/>
    <row r="7635" s="9" customFormat="1" ht="21.95" customHeight="1" x14ac:dyDescent="0.15"/>
    <row r="7636" s="9" customFormat="1" ht="21.95" customHeight="1" x14ac:dyDescent="0.15"/>
    <row r="7637" s="9" customFormat="1" ht="21.95" customHeight="1" x14ac:dyDescent="0.15"/>
    <row r="7638" s="9" customFormat="1" ht="35.1" customHeight="1" x14ac:dyDescent="0.15"/>
    <row r="7639" s="9" customFormat="1" ht="21.95" customHeight="1" x14ac:dyDescent="0.15"/>
    <row r="7640" s="9" customFormat="1" ht="21.95" customHeight="1" x14ac:dyDescent="0.15"/>
    <row r="7641" s="9" customFormat="1" ht="21.95" customHeight="1" x14ac:dyDescent="0.15"/>
    <row r="7642" s="9" customFormat="1" ht="21.95" customHeight="1" x14ac:dyDescent="0.15"/>
    <row r="7643" s="9" customFormat="1" ht="21.95" customHeight="1" x14ac:dyDescent="0.15"/>
    <row r="7644" s="9" customFormat="1" ht="21.95" customHeight="1" x14ac:dyDescent="0.15"/>
    <row r="7645" s="9" customFormat="1" ht="21.95" customHeight="1" x14ac:dyDescent="0.15"/>
    <row r="7646" s="9" customFormat="1" ht="21.95" customHeight="1" x14ac:dyDescent="0.15"/>
    <row r="7647" s="9" customFormat="1" ht="21.95" customHeight="1" x14ac:dyDescent="0.15"/>
    <row r="7648" s="9" customFormat="1" ht="21.95" customHeight="1" x14ac:dyDescent="0.15"/>
    <row r="7649" spans="3:3" s="9" customFormat="1" ht="21.95" customHeight="1" x14ac:dyDescent="0.15"/>
    <row r="7650" spans="3:3" s="9" customFormat="1" ht="21.95" customHeight="1" x14ac:dyDescent="0.15"/>
    <row r="7651" spans="3:3" s="9" customFormat="1" ht="21.95" customHeight="1" x14ac:dyDescent="0.15"/>
    <row r="7652" spans="3:3" s="9" customFormat="1" ht="21.95" customHeight="1" x14ac:dyDescent="0.15"/>
    <row r="7653" spans="3:3" s="9" customFormat="1" ht="21.95" customHeight="1" x14ac:dyDescent="0.15"/>
    <row r="7654" spans="3:3" s="9" customFormat="1" ht="21.95" customHeight="1" x14ac:dyDescent="0.15"/>
    <row r="7655" spans="3:3" s="9" customFormat="1" ht="21.95" customHeight="1" x14ac:dyDescent="0.15"/>
    <row r="7656" spans="3:3" s="9" customFormat="1" ht="21.95" customHeight="1" x14ac:dyDescent="0.15"/>
    <row r="7657" spans="3:3" s="9" customFormat="1" ht="21.95" customHeight="1" x14ac:dyDescent="0.15"/>
    <row r="7658" spans="3:3" s="9" customFormat="1" ht="21.95" customHeight="1" x14ac:dyDescent="0.15"/>
    <row r="7659" spans="3:3" s="9" customFormat="1" ht="21.95" customHeight="1" x14ac:dyDescent="0.15"/>
    <row r="7660" spans="3:3" s="9" customFormat="1" ht="21.95" customHeight="1" x14ac:dyDescent="0.15"/>
    <row r="7661" spans="3:3" s="9" customFormat="1" ht="21.95" customHeight="1" x14ac:dyDescent="0.15"/>
    <row r="7662" spans="3:3" s="8" customFormat="1" ht="21.95" customHeight="1" x14ac:dyDescent="0.15"/>
    <row r="7663" spans="3:3" s="8" customFormat="1" ht="21.95" customHeight="1" x14ac:dyDescent="0.15"/>
    <row r="7664" spans="3:3" s="8" customFormat="1" ht="21.95" customHeight="1" x14ac:dyDescent="0.15">
      <c r="C7664" s="101"/>
    </row>
    <row r="7665" spans="3:3" s="8" customFormat="1" ht="21.95" customHeight="1" x14ac:dyDescent="0.15">
      <c r="C7665" s="101"/>
    </row>
    <row r="7666" spans="3:3" s="8" customFormat="1" ht="21.95" customHeight="1" x14ac:dyDescent="0.15"/>
    <row r="7667" spans="3:3" s="8" customFormat="1" ht="21.95" customHeight="1" x14ac:dyDescent="0.15"/>
    <row r="7668" spans="3:3" s="8" customFormat="1" ht="21.95" customHeight="1" x14ac:dyDescent="0.15"/>
    <row r="7669" spans="3:3" s="8" customFormat="1" ht="21.95" customHeight="1" x14ac:dyDescent="0.15"/>
    <row r="7670" spans="3:3" s="8" customFormat="1" ht="21.95" customHeight="1" x14ac:dyDescent="0.15"/>
    <row r="7671" spans="3:3" s="8" customFormat="1" ht="21.95" customHeight="1" x14ac:dyDescent="0.15"/>
    <row r="7672" spans="3:3" s="8" customFormat="1" ht="21.95" customHeight="1" x14ac:dyDescent="0.15"/>
    <row r="7673" spans="3:3" s="9" customFormat="1" ht="21.95" customHeight="1" x14ac:dyDescent="0.15"/>
    <row r="7674" spans="3:3" s="9" customFormat="1" ht="21.95" customHeight="1" x14ac:dyDescent="0.15"/>
    <row r="7675" spans="3:3" s="9" customFormat="1" ht="21.95" customHeight="1" x14ac:dyDescent="0.15"/>
    <row r="7676" spans="3:3" s="9" customFormat="1" ht="21.95" customHeight="1" x14ac:dyDescent="0.15"/>
    <row r="7677" spans="3:3" s="8" customFormat="1" ht="21.95" customHeight="1" x14ac:dyDescent="0.15"/>
    <row r="7678" spans="3:3" s="8" customFormat="1" ht="21.95" customHeight="1" x14ac:dyDescent="0.15"/>
    <row r="7679" spans="3:3" s="8" customFormat="1" ht="21.95" customHeight="1" x14ac:dyDescent="0.15"/>
    <row r="7680" spans="3:3" s="8" customFormat="1" ht="21.95" customHeight="1" x14ac:dyDescent="0.15"/>
    <row r="7681" s="8" customFormat="1" ht="21.95" customHeight="1" x14ac:dyDescent="0.15"/>
    <row r="7682" s="8" customFormat="1" ht="21.95" customHeight="1" x14ac:dyDescent="0.15"/>
    <row r="7683" s="8" customFormat="1" ht="21.95" customHeight="1" x14ac:dyDescent="0.15"/>
    <row r="7684" s="8" customFormat="1" ht="21.95" customHeight="1" x14ac:dyDescent="0.15"/>
    <row r="7685" s="8" customFormat="1" ht="21.95" customHeight="1" x14ac:dyDescent="0.15"/>
    <row r="7686" s="8" customFormat="1" ht="21.95" customHeight="1" x14ac:dyDescent="0.15"/>
    <row r="7687" s="8" customFormat="1" ht="21.95" customHeight="1" x14ac:dyDescent="0.15"/>
    <row r="7688" s="8" customFormat="1" ht="32.1" customHeight="1" x14ac:dyDescent="0.15"/>
    <row r="7689" s="8" customFormat="1" ht="32.1" customHeight="1" x14ac:dyDescent="0.15"/>
    <row r="7690" s="8" customFormat="1" ht="32.1" customHeight="1" x14ac:dyDescent="0.15"/>
    <row r="7691" s="8" customFormat="1" ht="32.1" customHeight="1" x14ac:dyDescent="0.15"/>
    <row r="7692" s="8" customFormat="1" ht="32.1" customHeight="1" x14ac:dyDescent="0.15"/>
    <row r="7693" s="8" customFormat="1" ht="32.1" customHeight="1" x14ac:dyDescent="0.15"/>
    <row r="7694" s="9" customFormat="1" ht="32.1" customHeight="1" x14ac:dyDescent="0.15"/>
    <row r="7695" s="9" customFormat="1" ht="32.1" customHeight="1" x14ac:dyDescent="0.15"/>
    <row r="7696" s="9" customFormat="1" ht="32.1" customHeight="1" x14ac:dyDescent="0.15"/>
    <row r="7697" s="9" customFormat="1" ht="32.1" customHeight="1" x14ac:dyDescent="0.15"/>
    <row r="7698" s="9" customFormat="1" ht="21.95" customHeight="1" x14ac:dyDescent="0.15"/>
    <row r="7699" s="9" customFormat="1" ht="54" customHeight="1" x14ac:dyDescent="0.15"/>
    <row r="7700" s="9" customFormat="1" ht="21.95" customHeight="1" x14ac:dyDescent="0.15"/>
    <row r="7701" s="9" customFormat="1" ht="21.95" customHeight="1" x14ac:dyDescent="0.15"/>
    <row r="7702" s="9" customFormat="1" ht="21.95" customHeight="1" x14ac:dyDescent="0.15"/>
    <row r="7703" s="9" customFormat="1" ht="21.95" customHeight="1" x14ac:dyDescent="0.15"/>
    <row r="7704" s="9" customFormat="1" ht="21.95" customHeight="1" x14ac:dyDescent="0.15"/>
    <row r="7705" s="9" customFormat="1" ht="21.95" customHeight="1" x14ac:dyDescent="0.15"/>
    <row r="7706" s="9" customFormat="1" ht="21.95" customHeight="1" x14ac:dyDescent="0.15"/>
    <row r="7707" s="9" customFormat="1" ht="21.95" customHeight="1" x14ac:dyDescent="0.15"/>
    <row r="7708" s="9" customFormat="1" ht="21.95" customHeight="1" x14ac:dyDescent="0.15"/>
    <row r="7709" s="9" customFormat="1" ht="21.95" customHeight="1" x14ac:dyDescent="0.15"/>
    <row r="7710" s="9" customFormat="1" ht="21.95" customHeight="1" x14ac:dyDescent="0.15"/>
    <row r="7711" s="9" customFormat="1" ht="21.95" customHeight="1" x14ac:dyDescent="0.15"/>
    <row r="7712" s="9" customFormat="1" ht="21.95" customHeight="1" x14ac:dyDescent="0.15"/>
    <row r="7713" s="9" customFormat="1" ht="21.95" customHeight="1" x14ac:dyDescent="0.15"/>
    <row r="7714" s="9" customFormat="1" ht="21.95" customHeight="1" x14ac:dyDescent="0.15"/>
    <row r="7715" s="9" customFormat="1" ht="21.95" customHeight="1" x14ac:dyDescent="0.15"/>
    <row r="7716" s="9" customFormat="1" ht="21.95" customHeight="1" x14ac:dyDescent="0.15"/>
    <row r="7717" s="9" customFormat="1" ht="21.95" customHeight="1" x14ac:dyDescent="0.15"/>
    <row r="7718" s="9" customFormat="1" ht="21.95" customHeight="1" x14ac:dyDescent="0.15"/>
    <row r="7719" s="9" customFormat="1" ht="21.95" customHeight="1" x14ac:dyDescent="0.15"/>
    <row r="7720" s="9" customFormat="1" ht="21.95" customHeight="1" x14ac:dyDescent="0.15"/>
    <row r="7721" s="9" customFormat="1" ht="21.95" customHeight="1" x14ac:dyDescent="0.15"/>
    <row r="7722" s="9" customFormat="1" ht="21.95" customHeight="1" x14ac:dyDescent="0.15"/>
    <row r="7723" s="9" customFormat="1" ht="21.95" customHeight="1" x14ac:dyDescent="0.15"/>
    <row r="7724" s="9" customFormat="1" ht="21.95" customHeight="1" x14ac:dyDescent="0.15"/>
    <row r="7725" s="9" customFormat="1" ht="21.95" customHeight="1" x14ac:dyDescent="0.15"/>
    <row r="7726" s="9" customFormat="1" ht="21.95" customHeight="1" x14ac:dyDescent="0.15"/>
    <row r="7727" s="9" customFormat="1" ht="21.95" customHeight="1" x14ac:dyDescent="0.15"/>
    <row r="7728" s="9" customFormat="1" ht="21.95" customHeight="1" x14ac:dyDescent="0.15"/>
    <row r="7729" s="9" customFormat="1" ht="21.95" customHeight="1" x14ac:dyDescent="0.15"/>
    <row r="7730" s="9" customFormat="1" ht="21.95" customHeight="1" x14ac:dyDescent="0.15"/>
    <row r="7731" s="9" customFormat="1" ht="21.95" customHeight="1" x14ac:dyDescent="0.15"/>
    <row r="7732" s="9" customFormat="1" ht="21.95" customHeight="1" x14ac:dyDescent="0.15"/>
    <row r="7733" s="9" customFormat="1" ht="21.95" customHeight="1" x14ac:dyDescent="0.15"/>
    <row r="7734" s="9" customFormat="1" ht="21.95" customHeight="1" x14ac:dyDescent="0.15"/>
    <row r="7735" s="9" customFormat="1" ht="21.95" customHeight="1" x14ac:dyDescent="0.15"/>
    <row r="7736" s="9" customFormat="1" ht="21.95" customHeight="1" x14ac:dyDescent="0.15"/>
    <row r="7737" s="9" customFormat="1" ht="21.95" customHeight="1" x14ac:dyDescent="0.15"/>
    <row r="7738" s="9" customFormat="1" ht="21.95" customHeight="1" x14ac:dyDescent="0.15"/>
    <row r="7739" s="9" customFormat="1" ht="21.95" customHeight="1" x14ac:dyDescent="0.15"/>
    <row r="7740" s="9" customFormat="1" ht="21.95" customHeight="1" x14ac:dyDescent="0.15"/>
    <row r="7741" s="9" customFormat="1" ht="21.95" customHeight="1" x14ac:dyDescent="0.15"/>
    <row r="7742" s="9" customFormat="1" ht="21.95" customHeight="1" x14ac:dyDescent="0.15"/>
    <row r="7743" s="9" customFormat="1" ht="21.95" customHeight="1" x14ac:dyDescent="0.15"/>
    <row r="7744" s="9" customFormat="1" ht="21.95" customHeight="1" x14ac:dyDescent="0.15"/>
    <row r="7745" s="9" customFormat="1" ht="21.95" customHeight="1" x14ac:dyDescent="0.15"/>
    <row r="7746" s="9" customFormat="1" ht="21.95" customHeight="1" x14ac:dyDescent="0.15"/>
    <row r="7747" s="9" customFormat="1" ht="21.95" customHeight="1" x14ac:dyDescent="0.15"/>
    <row r="7748" s="9" customFormat="1" ht="21.95" customHeight="1" x14ac:dyDescent="0.15"/>
    <row r="7749" s="9" customFormat="1" ht="21.95" customHeight="1" x14ac:dyDescent="0.15"/>
    <row r="7750" s="9" customFormat="1" ht="35.1" customHeight="1" x14ac:dyDescent="0.15"/>
    <row r="7751" s="9" customFormat="1" ht="21.95" customHeight="1" x14ac:dyDescent="0.15"/>
    <row r="7752" s="9" customFormat="1" ht="21.95" customHeight="1" x14ac:dyDescent="0.15"/>
    <row r="7753" s="9" customFormat="1" ht="21.95" customHeight="1" x14ac:dyDescent="0.15"/>
    <row r="7754" s="9" customFormat="1" ht="21.95" customHeight="1" x14ac:dyDescent="0.15"/>
    <row r="7755" s="9" customFormat="1" ht="21.95" customHeight="1" x14ac:dyDescent="0.15"/>
    <row r="7756" s="9" customFormat="1" ht="21.95" customHeight="1" x14ac:dyDescent="0.15"/>
    <row r="7757" s="9" customFormat="1" ht="21.95" customHeight="1" x14ac:dyDescent="0.15"/>
    <row r="7758" s="9" customFormat="1" ht="21.95" customHeight="1" x14ac:dyDescent="0.15"/>
    <row r="7759" s="9" customFormat="1" ht="21.95" customHeight="1" x14ac:dyDescent="0.15"/>
    <row r="7760" s="9" customFormat="1" ht="21.95" customHeight="1" x14ac:dyDescent="0.15"/>
    <row r="7761" spans="3:3" s="9" customFormat="1" ht="21.95" customHeight="1" x14ac:dyDescent="0.15"/>
    <row r="7762" spans="3:3" s="9" customFormat="1" ht="21.95" customHeight="1" x14ac:dyDescent="0.15"/>
    <row r="7763" spans="3:3" s="9" customFormat="1" ht="21.95" customHeight="1" x14ac:dyDescent="0.15"/>
    <row r="7764" spans="3:3" s="9" customFormat="1" ht="21.95" customHeight="1" x14ac:dyDescent="0.15"/>
    <row r="7765" spans="3:3" s="9" customFormat="1" ht="21.95" customHeight="1" x14ac:dyDescent="0.15"/>
    <row r="7766" spans="3:3" s="9" customFormat="1" ht="21.95" customHeight="1" x14ac:dyDescent="0.15"/>
    <row r="7767" spans="3:3" s="9" customFormat="1" ht="21.95" customHeight="1" x14ac:dyDescent="0.15"/>
    <row r="7768" spans="3:3" s="9" customFormat="1" ht="21.95" customHeight="1" x14ac:dyDescent="0.15"/>
    <row r="7769" spans="3:3" s="9" customFormat="1" ht="21.95" customHeight="1" x14ac:dyDescent="0.15"/>
    <row r="7770" spans="3:3" s="9" customFormat="1" ht="21.95" customHeight="1" x14ac:dyDescent="0.15"/>
    <row r="7771" spans="3:3" s="9" customFormat="1" ht="21.95" customHeight="1" x14ac:dyDescent="0.15"/>
    <row r="7772" spans="3:3" s="9" customFormat="1" ht="21.95" customHeight="1" x14ac:dyDescent="0.15"/>
    <row r="7773" spans="3:3" s="9" customFormat="1" ht="21.95" customHeight="1" x14ac:dyDescent="0.15"/>
    <row r="7774" spans="3:3" s="8" customFormat="1" ht="21.95" customHeight="1" x14ac:dyDescent="0.15"/>
    <row r="7775" spans="3:3" s="8" customFormat="1" ht="21.95" customHeight="1" x14ac:dyDescent="0.15"/>
    <row r="7776" spans="3:3" s="8" customFormat="1" ht="21.95" customHeight="1" x14ac:dyDescent="0.15">
      <c r="C7776" s="101"/>
    </row>
    <row r="7777" spans="3:3" s="8" customFormat="1" ht="21.95" customHeight="1" x14ac:dyDescent="0.15">
      <c r="C7777" s="101"/>
    </row>
    <row r="7778" spans="3:3" s="8" customFormat="1" ht="21.95" customHeight="1" x14ac:dyDescent="0.15"/>
    <row r="7779" spans="3:3" s="8" customFormat="1" ht="21.95" customHeight="1" x14ac:dyDescent="0.15"/>
    <row r="7780" spans="3:3" s="8" customFormat="1" ht="21.95" customHeight="1" x14ac:dyDescent="0.15"/>
    <row r="7781" spans="3:3" s="8" customFormat="1" ht="21.95" customHeight="1" x14ac:dyDescent="0.15"/>
    <row r="7782" spans="3:3" s="8" customFormat="1" ht="21.95" customHeight="1" x14ac:dyDescent="0.15"/>
    <row r="7783" spans="3:3" s="8" customFormat="1" ht="21.95" customHeight="1" x14ac:dyDescent="0.15"/>
    <row r="7784" spans="3:3" s="8" customFormat="1" ht="21.95" customHeight="1" x14ac:dyDescent="0.15"/>
    <row r="7785" spans="3:3" s="9" customFormat="1" ht="21.95" customHeight="1" x14ac:dyDescent="0.15"/>
    <row r="7786" spans="3:3" s="9" customFormat="1" ht="21.95" customHeight="1" x14ac:dyDescent="0.15"/>
    <row r="7787" spans="3:3" s="9" customFormat="1" ht="21.95" customHeight="1" x14ac:dyDescent="0.15"/>
    <row r="7788" spans="3:3" s="9" customFormat="1" ht="21.95" customHeight="1" x14ac:dyDescent="0.15"/>
    <row r="7789" spans="3:3" s="8" customFormat="1" ht="21.95" customHeight="1" x14ac:dyDescent="0.15"/>
    <row r="7790" spans="3:3" s="8" customFormat="1" ht="21.95" customHeight="1" x14ac:dyDescent="0.15"/>
    <row r="7791" spans="3:3" s="8" customFormat="1" ht="21.95" customHeight="1" x14ac:dyDescent="0.15"/>
    <row r="7792" spans="3:3" s="8" customFormat="1" ht="21.95" customHeight="1" x14ac:dyDescent="0.15"/>
    <row r="7793" s="8" customFormat="1" ht="21.95" customHeight="1" x14ac:dyDescent="0.15"/>
    <row r="7794" s="8" customFormat="1" ht="21.95" customHeight="1" x14ac:dyDescent="0.15"/>
    <row r="7795" s="8" customFormat="1" ht="21.95" customHeight="1" x14ac:dyDescent="0.15"/>
    <row r="7796" s="8" customFormat="1" ht="21.95" customHeight="1" x14ac:dyDescent="0.15"/>
    <row r="7797" s="8" customFormat="1" ht="21.95" customHeight="1" x14ac:dyDescent="0.15"/>
    <row r="7798" s="8" customFormat="1" ht="21.95" customHeight="1" x14ac:dyDescent="0.15"/>
    <row r="7799" s="8" customFormat="1" ht="21.95" customHeight="1" x14ac:dyDescent="0.15"/>
    <row r="7800" s="8" customFormat="1" ht="32.1" customHeight="1" x14ac:dyDescent="0.15"/>
    <row r="7801" s="8" customFormat="1" ht="32.1" customHeight="1" x14ac:dyDescent="0.15"/>
    <row r="7802" s="8" customFormat="1" ht="32.1" customHeight="1" x14ac:dyDescent="0.15"/>
    <row r="7803" s="8" customFormat="1" ht="32.1" customHeight="1" x14ac:dyDescent="0.15"/>
    <row r="7804" s="8" customFormat="1" ht="32.1" customHeight="1" x14ac:dyDescent="0.15"/>
    <row r="7805" s="8" customFormat="1" ht="32.1" customHeight="1" x14ac:dyDescent="0.15"/>
    <row r="7806" s="9" customFormat="1" ht="32.1" customHeight="1" x14ac:dyDescent="0.15"/>
    <row r="7807" s="9" customFormat="1" ht="32.1" customHeight="1" x14ac:dyDescent="0.15"/>
    <row r="7808" s="9" customFormat="1" ht="32.1" customHeight="1" x14ac:dyDescent="0.15"/>
    <row r="7809" s="9" customFormat="1" ht="32.1" customHeight="1" x14ac:dyDescent="0.15"/>
    <row r="7810" s="9" customFormat="1" ht="21.95" customHeight="1" x14ac:dyDescent="0.15"/>
    <row r="7811" s="9" customFormat="1" ht="54" customHeight="1" x14ac:dyDescent="0.15"/>
    <row r="7812" s="9" customFormat="1" ht="21.95" customHeight="1" x14ac:dyDescent="0.15"/>
    <row r="7813" s="9" customFormat="1" ht="21.95" customHeight="1" x14ac:dyDescent="0.15"/>
    <row r="7814" s="9" customFormat="1" ht="21.95" customHeight="1" x14ac:dyDescent="0.15"/>
    <row r="7815" s="9" customFormat="1" ht="21.95" customHeight="1" x14ac:dyDescent="0.15"/>
    <row r="7816" s="9" customFormat="1" ht="21.95" customHeight="1" x14ac:dyDescent="0.15"/>
    <row r="7817" s="9" customFormat="1" ht="21.95" customHeight="1" x14ac:dyDescent="0.15"/>
    <row r="7818" s="9" customFormat="1" ht="21.95" customHeight="1" x14ac:dyDescent="0.15"/>
    <row r="7819" s="9" customFormat="1" ht="21.95" customHeight="1" x14ac:dyDescent="0.15"/>
    <row r="7820" s="9" customFormat="1" ht="21.95" customHeight="1" x14ac:dyDescent="0.15"/>
    <row r="7821" s="9" customFormat="1" ht="21.95" customHeight="1" x14ac:dyDescent="0.15"/>
    <row r="7822" s="9" customFormat="1" ht="21.95" customHeight="1" x14ac:dyDescent="0.15"/>
    <row r="7823" s="9" customFormat="1" ht="21.95" customHeight="1" x14ac:dyDescent="0.15"/>
    <row r="7824" s="9" customFormat="1" ht="21.95" customHeight="1" x14ac:dyDescent="0.15"/>
    <row r="7825" s="9" customFormat="1" ht="21.95" customHeight="1" x14ac:dyDescent="0.15"/>
    <row r="7826" s="9" customFormat="1" ht="21.95" customHeight="1" x14ac:dyDescent="0.15"/>
    <row r="7827" s="9" customFormat="1" ht="21.95" customHeight="1" x14ac:dyDescent="0.15"/>
    <row r="7828" s="9" customFormat="1" ht="21.95" customHeight="1" x14ac:dyDescent="0.15"/>
    <row r="7829" s="9" customFormat="1" ht="21.95" customHeight="1" x14ac:dyDescent="0.15"/>
    <row r="7830" s="9" customFormat="1" ht="21.95" customHeight="1" x14ac:dyDescent="0.15"/>
    <row r="7831" s="9" customFormat="1" ht="21.95" customHeight="1" x14ac:dyDescent="0.15"/>
    <row r="7832" s="9" customFormat="1" ht="21.95" customHeight="1" x14ac:dyDescent="0.15"/>
    <row r="7833" s="9" customFormat="1" ht="21.95" customHeight="1" x14ac:dyDescent="0.15"/>
    <row r="7834" s="9" customFormat="1" ht="21.95" customHeight="1" x14ac:dyDescent="0.15"/>
    <row r="7835" s="9" customFormat="1" ht="21.95" customHeight="1" x14ac:dyDescent="0.15"/>
    <row r="7836" s="9" customFormat="1" ht="21.95" customHeight="1" x14ac:dyDescent="0.15"/>
    <row r="7837" s="9" customFormat="1" ht="21.95" customHeight="1" x14ac:dyDescent="0.15"/>
    <row r="7838" s="9" customFormat="1" ht="21.95" customHeight="1" x14ac:dyDescent="0.15"/>
    <row r="7839" s="9" customFormat="1" ht="21.95" customHeight="1" x14ac:dyDescent="0.15"/>
    <row r="7840" s="9" customFormat="1" ht="21.95" customHeight="1" x14ac:dyDescent="0.15"/>
    <row r="7841" s="9" customFormat="1" ht="21.95" customHeight="1" x14ac:dyDescent="0.15"/>
    <row r="7842" s="9" customFormat="1" ht="21.95" customHeight="1" x14ac:dyDescent="0.15"/>
    <row r="7843" s="9" customFormat="1" ht="21.95" customHeight="1" x14ac:dyDescent="0.15"/>
    <row r="7844" s="9" customFormat="1" ht="21.95" customHeight="1" x14ac:dyDescent="0.15"/>
    <row r="7845" s="9" customFormat="1" ht="21.95" customHeight="1" x14ac:dyDescent="0.15"/>
    <row r="7846" s="9" customFormat="1" ht="21.95" customHeight="1" x14ac:dyDescent="0.15"/>
    <row r="7847" s="9" customFormat="1" ht="21.95" customHeight="1" x14ac:dyDescent="0.15"/>
    <row r="7848" s="9" customFormat="1" ht="21.95" customHeight="1" x14ac:dyDescent="0.15"/>
    <row r="7849" s="9" customFormat="1" ht="21.95" customHeight="1" x14ac:dyDescent="0.15"/>
    <row r="7850" s="9" customFormat="1" ht="21.95" customHeight="1" x14ac:dyDescent="0.15"/>
    <row r="7851" s="9" customFormat="1" ht="21.95" customHeight="1" x14ac:dyDescent="0.15"/>
    <row r="7852" s="9" customFormat="1" ht="21.95" customHeight="1" x14ac:dyDescent="0.15"/>
    <row r="7853" s="9" customFormat="1" ht="21.95" customHeight="1" x14ac:dyDescent="0.15"/>
    <row r="7854" s="9" customFormat="1" ht="21.95" customHeight="1" x14ac:dyDescent="0.15"/>
    <row r="7855" s="9" customFormat="1" ht="21.95" customHeight="1" x14ac:dyDescent="0.15"/>
    <row r="7856" s="9" customFormat="1" ht="21.95" customHeight="1" x14ac:dyDescent="0.15"/>
    <row r="7857" s="9" customFormat="1" ht="21.95" customHeight="1" x14ac:dyDescent="0.15"/>
    <row r="7858" s="9" customFormat="1" ht="21.95" customHeight="1" x14ac:dyDescent="0.15"/>
    <row r="7859" s="9" customFormat="1" ht="21.95" customHeight="1" x14ac:dyDescent="0.15"/>
    <row r="7860" s="9" customFormat="1" ht="21.95" customHeight="1" x14ac:dyDescent="0.15"/>
    <row r="7861" s="9" customFormat="1" ht="21.95" customHeight="1" x14ac:dyDescent="0.15"/>
    <row r="7862" s="9" customFormat="1" ht="35.1" customHeight="1" x14ac:dyDescent="0.15"/>
    <row r="7863" s="9" customFormat="1" ht="21.95" customHeight="1" x14ac:dyDescent="0.15"/>
    <row r="7864" s="9" customFormat="1" ht="21.95" customHeight="1" x14ac:dyDescent="0.15"/>
    <row r="7865" s="9" customFormat="1" ht="21.95" customHeight="1" x14ac:dyDescent="0.15"/>
    <row r="7866" s="9" customFormat="1" ht="21.95" customHeight="1" x14ac:dyDescent="0.15"/>
    <row r="7867" s="9" customFormat="1" ht="21.95" customHeight="1" x14ac:dyDescent="0.15"/>
    <row r="7868" s="9" customFormat="1" ht="21.95" customHeight="1" x14ac:dyDescent="0.15"/>
    <row r="7869" s="9" customFormat="1" ht="21.95" customHeight="1" x14ac:dyDescent="0.15"/>
    <row r="7870" s="9" customFormat="1" ht="21.95" customHeight="1" x14ac:dyDescent="0.15"/>
    <row r="7871" s="9" customFormat="1" ht="21.95" customHeight="1" x14ac:dyDescent="0.15"/>
    <row r="7872" s="9" customFormat="1" ht="21.95" customHeight="1" x14ac:dyDescent="0.15"/>
    <row r="7873" spans="3:3" s="9" customFormat="1" ht="21.95" customHeight="1" x14ac:dyDescent="0.15"/>
    <row r="7874" spans="3:3" s="9" customFormat="1" ht="21.95" customHeight="1" x14ac:dyDescent="0.15"/>
    <row r="7875" spans="3:3" s="9" customFormat="1" ht="21.95" customHeight="1" x14ac:dyDescent="0.15"/>
    <row r="7876" spans="3:3" s="9" customFormat="1" ht="21.95" customHeight="1" x14ac:dyDescent="0.15"/>
    <row r="7877" spans="3:3" s="9" customFormat="1" ht="21.95" customHeight="1" x14ac:dyDescent="0.15"/>
    <row r="7878" spans="3:3" s="9" customFormat="1" ht="21.95" customHeight="1" x14ac:dyDescent="0.15"/>
    <row r="7879" spans="3:3" s="9" customFormat="1" ht="21.95" customHeight="1" x14ac:dyDescent="0.15"/>
    <row r="7880" spans="3:3" s="9" customFormat="1" ht="21.95" customHeight="1" x14ac:dyDescent="0.15"/>
    <row r="7881" spans="3:3" s="9" customFormat="1" ht="21.95" customHeight="1" x14ac:dyDescent="0.15"/>
    <row r="7882" spans="3:3" s="9" customFormat="1" ht="21.95" customHeight="1" x14ac:dyDescent="0.15"/>
    <row r="7883" spans="3:3" s="9" customFormat="1" ht="21.95" customHeight="1" x14ac:dyDescent="0.15"/>
    <row r="7884" spans="3:3" s="9" customFormat="1" ht="21.95" customHeight="1" x14ac:dyDescent="0.15"/>
    <row r="7885" spans="3:3" s="9" customFormat="1" ht="21.95" customHeight="1" x14ac:dyDescent="0.15"/>
    <row r="7886" spans="3:3" s="8" customFormat="1" ht="21.95" customHeight="1" x14ac:dyDescent="0.15"/>
    <row r="7887" spans="3:3" s="8" customFormat="1" ht="21.95" customHeight="1" x14ac:dyDescent="0.15"/>
    <row r="7888" spans="3:3" s="8" customFormat="1" ht="21.95" customHeight="1" x14ac:dyDescent="0.15">
      <c r="C7888" s="101"/>
    </row>
    <row r="7889" spans="3:3" s="8" customFormat="1" ht="21.95" customHeight="1" x14ac:dyDescent="0.15">
      <c r="C7889" s="101"/>
    </row>
    <row r="7890" spans="3:3" s="8" customFormat="1" ht="21.95" customHeight="1" x14ac:dyDescent="0.15"/>
    <row r="7891" spans="3:3" s="8" customFormat="1" ht="21.95" customHeight="1" x14ac:dyDescent="0.15"/>
    <row r="7892" spans="3:3" s="8" customFormat="1" ht="21.95" customHeight="1" x14ac:dyDescent="0.15"/>
    <row r="7893" spans="3:3" s="8" customFormat="1" ht="21.95" customHeight="1" x14ac:dyDescent="0.15"/>
    <row r="7894" spans="3:3" s="8" customFormat="1" ht="21.95" customHeight="1" x14ac:dyDescent="0.15"/>
    <row r="7895" spans="3:3" s="8" customFormat="1" ht="21.95" customHeight="1" x14ac:dyDescent="0.15"/>
    <row r="7896" spans="3:3" s="8" customFormat="1" ht="21.95" customHeight="1" x14ac:dyDescent="0.15"/>
    <row r="7897" spans="3:3" s="9" customFormat="1" ht="21.95" customHeight="1" x14ac:dyDescent="0.15"/>
    <row r="7898" spans="3:3" s="9" customFormat="1" ht="21.95" customHeight="1" x14ac:dyDescent="0.15"/>
    <row r="7899" spans="3:3" s="9" customFormat="1" ht="21.95" customHeight="1" x14ac:dyDescent="0.15"/>
    <row r="7900" spans="3:3" s="9" customFormat="1" ht="21.95" customHeight="1" x14ac:dyDescent="0.15"/>
    <row r="7901" spans="3:3" s="8" customFormat="1" ht="21.95" customHeight="1" x14ac:dyDescent="0.15"/>
    <row r="7902" spans="3:3" s="8" customFormat="1" ht="21.95" customHeight="1" x14ac:dyDescent="0.15"/>
    <row r="7903" spans="3:3" s="8" customFormat="1" ht="21.95" customHeight="1" x14ac:dyDescent="0.15"/>
    <row r="7904" spans="3:3" s="8" customFormat="1" ht="21.95" customHeight="1" x14ac:dyDescent="0.15"/>
    <row r="7905" s="8" customFormat="1" ht="21.95" customHeight="1" x14ac:dyDescent="0.15"/>
    <row r="7906" s="8" customFormat="1" ht="21.95" customHeight="1" x14ac:dyDescent="0.15"/>
    <row r="7907" s="8" customFormat="1" ht="21.95" customHeight="1" x14ac:dyDescent="0.15"/>
    <row r="7908" s="8" customFormat="1" ht="21.95" customHeight="1" x14ac:dyDescent="0.15"/>
    <row r="7909" s="8" customFormat="1" ht="21.95" customHeight="1" x14ac:dyDescent="0.15"/>
    <row r="7910" s="8" customFormat="1" ht="21.95" customHeight="1" x14ac:dyDescent="0.15"/>
    <row r="7911" s="8" customFormat="1" ht="21.95" customHeight="1" x14ac:dyDescent="0.15"/>
    <row r="7912" s="8" customFormat="1" ht="32.1" customHeight="1" x14ac:dyDescent="0.15"/>
    <row r="7913" s="8" customFormat="1" ht="32.1" customHeight="1" x14ac:dyDescent="0.15"/>
    <row r="7914" s="8" customFormat="1" ht="32.1" customHeight="1" x14ac:dyDescent="0.15"/>
    <row r="7915" s="8" customFormat="1" ht="32.1" customHeight="1" x14ac:dyDescent="0.15"/>
    <row r="7916" s="8" customFormat="1" ht="32.1" customHeight="1" x14ac:dyDescent="0.15"/>
    <row r="7917" s="8" customFormat="1" ht="32.1" customHeight="1" x14ac:dyDescent="0.15"/>
    <row r="7918" s="9" customFormat="1" ht="32.1" customHeight="1" x14ac:dyDescent="0.15"/>
    <row r="7919" s="9" customFormat="1" ht="32.1" customHeight="1" x14ac:dyDescent="0.15"/>
    <row r="7920" s="9" customFormat="1" ht="32.1" customHeight="1" x14ac:dyDescent="0.15"/>
    <row r="7921" s="9" customFormat="1" ht="32.1" customHeight="1" x14ac:dyDescent="0.15"/>
    <row r="7922" s="9" customFormat="1" ht="21.95" customHeight="1" x14ac:dyDescent="0.15"/>
    <row r="7923" s="9" customFormat="1" ht="54" customHeight="1" x14ac:dyDescent="0.15"/>
    <row r="7924" s="9" customFormat="1" ht="21.95" customHeight="1" x14ac:dyDescent="0.15"/>
    <row r="7925" s="9" customFormat="1" ht="21.95" customHeight="1" x14ac:dyDescent="0.15"/>
    <row r="7926" s="9" customFormat="1" ht="21.95" customHeight="1" x14ac:dyDescent="0.15"/>
    <row r="7927" s="9" customFormat="1" ht="21.95" customHeight="1" x14ac:dyDescent="0.15"/>
    <row r="7928" s="9" customFormat="1" ht="21.95" customHeight="1" x14ac:dyDescent="0.15"/>
    <row r="7929" s="9" customFormat="1" ht="21.95" customHeight="1" x14ac:dyDescent="0.15"/>
    <row r="7930" s="9" customFormat="1" ht="21.95" customHeight="1" x14ac:dyDescent="0.15"/>
    <row r="7931" s="9" customFormat="1" ht="21.95" customHeight="1" x14ac:dyDescent="0.15"/>
    <row r="7932" s="9" customFormat="1" ht="21.95" customHeight="1" x14ac:dyDescent="0.15"/>
    <row r="7933" s="9" customFormat="1" ht="21.95" customHeight="1" x14ac:dyDescent="0.15"/>
    <row r="7934" s="9" customFormat="1" ht="21.95" customHeight="1" x14ac:dyDescent="0.15"/>
    <row r="7935" s="9" customFormat="1" ht="21.95" customHeight="1" x14ac:dyDescent="0.15"/>
    <row r="7936" s="9" customFormat="1" ht="21.95" customHeight="1" x14ac:dyDescent="0.15"/>
    <row r="7937" s="9" customFormat="1" ht="21.95" customHeight="1" x14ac:dyDescent="0.15"/>
    <row r="7938" s="9" customFormat="1" ht="21.95" customHeight="1" x14ac:dyDescent="0.15"/>
    <row r="7939" s="9" customFormat="1" ht="21.95" customHeight="1" x14ac:dyDescent="0.15"/>
    <row r="7940" s="9" customFormat="1" ht="21.95" customHeight="1" x14ac:dyDescent="0.15"/>
    <row r="7941" s="9" customFormat="1" ht="21.95" customHeight="1" x14ac:dyDescent="0.15"/>
    <row r="7942" s="9" customFormat="1" ht="21.95" customHeight="1" x14ac:dyDescent="0.15"/>
    <row r="7943" s="9" customFormat="1" ht="21.95" customHeight="1" x14ac:dyDescent="0.15"/>
    <row r="7944" s="9" customFormat="1" ht="21.95" customHeight="1" x14ac:dyDescent="0.15"/>
    <row r="7945" s="9" customFormat="1" ht="21.95" customHeight="1" x14ac:dyDescent="0.15"/>
    <row r="7946" s="9" customFormat="1" ht="21.95" customHeight="1" x14ac:dyDescent="0.15"/>
    <row r="7947" s="9" customFormat="1" ht="21.95" customHeight="1" x14ac:dyDescent="0.15"/>
    <row r="7948" s="9" customFormat="1" ht="21.95" customHeight="1" x14ac:dyDescent="0.15"/>
    <row r="7949" s="9" customFormat="1" ht="21.95" customHeight="1" x14ac:dyDescent="0.15"/>
    <row r="7950" s="9" customFormat="1" ht="21.95" customHeight="1" x14ac:dyDescent="0.15"/>
    <row r="7951" s="9" customFormat="1" ht="21.95" customHeight="1" x14ac:dyDescent="0.15"/>
    <row r="7952" s="9" customFormat="1" ht="21.95" customHeight="1" x14ac:dyDescent="0.15"/>
    <row r="7953" s="9" customFormat="1" ht="21.95" customHeight="1" x14ac:dyDescent="0.15"/>
    <row r="7954" s="9" customFormat="1" ht="21.95" customHeight="1" x14ac:dyDescent="0.15"/>
    <row r="7955" s="9" customFormat="1" ht="21.95" customHeight="1" x14ac:dyDescent="0.15"/>
    <row r="7956" s="9" customFormat="1" ht="21.95" customHeight="1" x14ac:dyDescent="0.15"/>
    <row r="7957" s="9" customFormat="1" ht="21.95" customHeight="1" x14ac:dyDescent="0.15"/>
    <row r="7958" s="9" customFormat="1" ht="21.95" customHeight="1" x14ac:dyDescent="0.15"/>
    <row r="7959" s="9" customFormat="1" ht="21.95" customHeight="1" x14ac:dyDescent="0.15"/>
    <row r="7960" s="9" customFormat="1" ht="21.95" customHeight="1" x14ac:dyDescent="0.15"/>
    <row r="7961" s="9" customFormat="1" ht="21.95" customHeight="1" x14ac:dyDescent="0.15"/>
    <row r="7962" s="9" customFormat="1" ht="21.95" customHeight="1" x14ac:dyDescent="0.15"/>
    <row r="7963" s="9" customFormat="1" ht="21.95" customHeight="1" x14ac:dyDescent="0.15"/>
    <row r="7964" s="9" customFormat="1" ht="21.95" customHeight="1" x14ac:dyDescent="0.15"/>
    <row r="7965" s="9" customFormat="1" ht="21.95" customHeight="1" x14ac:dyDescent="0.15"/>
    <row r="7966" s="9" customFormat="1" ht="21.95" customHeight="1" x14ac:dyDescent="0.15"/>
    <row r="7967" s="9" customFormat="1" ht="21.95" customHeight="1" x14ac:dyDescent="0.15"/>
    <row r="7968" s="9" customFormat="1" ht="21.95" customHeight="1" x14ac:dyDescent="0.15"/>
    <row r="7969" s="9" customFormat="1" ht="21.95" customHeight="1" x14ac:dyDescent="0.15"/>
    <row r="7970" s="9" customFormat="1" ht="21.95" customHeight="1" x14ac:dyDescent="0.15"/>
    <row r="7971" s="9" customFormat="1" ht="21.95" customHeight="1" x14ac:dyDescent="0.15"/>
    <row r="7972" s="9" customFormat="1" ht="21.95" customHeight="1" x14ac:dyDescent="0.15"/>
    <row r="7973" s="9" customFormat="1" ht="21.95" customHeight="1" x14ac:dyDescent="0.15"/>
    <row r="7974" s="9" customFormat="1" ht="35.1" customHeight="1" x14ac:dyDescent="0.15"/>
    <row r="7975" s="9" customFormat="1" ht="21.95" customHeight="1" x14ac:dyDescent="0.15"/>
    <row r="7976" s="9" customFormat="1" ht="21.95" customHeight="1" x14ac:dyDescent="0.15"/>
    <row r="7977" s="9" customFormat="1" ht="21.95" customHeight="1" x14ac:dyDescent="0.15"/>
    <row r="7978" s="9" customFormat="1" ht="21.95" customHeight="1" x14ac:dyDescent="0.15"/>
    <row r="7979" s="9" customFormat="1" ht="21.95" customHeight="1" x14ac:dyDescent="0.15"/>
    <row r="7980" s="9" customFormat="1" ht="21.95" customHeight="1" x14ac:dyDescent="0.15"/>
    <row r="7981" s="9" customFormat="1" ht="21.95" customHeight="1" x14ac:dyDescent="0.15"/>
    <row r="7982" s="9" customFormat="1" ht="21.95" customHeight="1" x14ac:dyDescent="0.15"/>
    <row r="7983" s="9" customFormat="1" ht="21.95" customHeight="1" x14ac:dyDescent="0.15"/>
    <row r="7984" s="9" customFormat="1" ht="21.95" customHeight="1" x14ac:dyDescent="0.15"/>
    <row r="7985" spans="3:3" s="9" customFormat="1" ht="21.95" customHeight="1" x14ac:dyDescent="0.15"/>
    <row r="7986" spans="3:3" s="9" customFormat="1" ht="21.95" customHeight="1" x14ac:dyDescent="0.15"/>
    <row r="7987" spans="3:3" s="9" customFormat="1" ht="21.95" customHeight="1" x14ac:dyDescent="0.15"/>
    <row r="7988" spans="3:3" s="9" customFormat="1" ht="21.95" customHeight="1" x14ac:dyDescent="0.15"/>
    <row r="7989" spans="3:3" s="9" customFormat="1" ht="21.95" customHeight="1" x14ac:dyDescent="0.15"/>
    <row r="7990" spans="3:3" s="9" customFormat="1" ht="21.95" customHeight="1" x14ac:dyDescent="0.15"/>
    <row r="7991" spans="3:3" s="9" customFormat="1" ht="21.95" customHeight="1" x14ac:dyDescent="0.15"/>
    <row r="7992" spans="3:3" s="9" customFormat="1" ht="21.95" customHeight="1" x14ac:dyDescent="0.15"/>
    <row r="7993" spans="3:3" s="9" customFormat="1" ht="21.95" customHeight="1" x14ac:dyDescent="0.15"/>
    <row r="7994" spans="3:3" s="9" customFormat="1" ht="21.95" customHeight="1" x14ac:dyDescent="0.15"/>
    <row r="7995" spans="3:3" s="9" customFormat="1" ht="21.95" customHeight="1" x14ac:dyDescent="0.15"/>
    <row r="7996" spans="3:3" s="9" customFormat="1" ht="21.95" customHeight="1" x14ac:dyDescent="0.15"/>
    <row r="7997" spans="3:3" s="9" customFormat="1" ht="21.95" customHeight="1" x14ac:dyDescent="0.15"/>
    <row r="7998" spans="3:3" s="8" customFormat="1" ht="21.95" customHeight="1" x14ac:dyDescent="0.15"/>
    <row r="7999" spans="3:3" s="8" customFormat="1" ht="21.95" customHeight="1" x14ac:dyDescent="0.15"/>
    <row r="8000" spans="3:3" s="8" customFormat="1" ht="21.95" customHeight="1" x14ac:dyDescent="0.15">
      <c r="C8000" s="101"/>
    </row>
    <row r="8001" spans="3:3" s="8" customFormat="1" ht="21.95" customHeight="1" x14ac:dyDescent="0.15">
      <c r="C8001" s="101"/>
    </row>
    <row r="8002" spans="3:3" s="8" customFormat="1" ht="21.95" customHeight="1" x14ac:dyDescent="0.15"/>
    <row r="8003" spans="3:3" s="8" customFormat="1" ht="21.95" customHeight="1" x14ac:dyDescent="0.15"/>
    <row r="8004" spans="3:3" s="8" customFormat="1" ht="21.95" customHeight="1" x14ac:dyDescent="0.15"/>
    <row r="8005" spans="3:3" s="8" customFormat="1" ht="21.95" customHeight="1" x14ac:dyDescent="0.15"/>
    <row r="8006" spans="3:3" s="8" customFormat="1" ht="21.95" customHeight="1" x14ac:dyDescent="0.15"/>
    <row r="8007" spans="3:3" s="8" customFormat="1" ht="21.95" customHeight="1" x14ac:dyDescent="0.15"/>
    <row r="8008" spans="3:3" s="8" customFormat="1" ht="21.95" customHeight="1" x14ac:dyDescent="0.15"/>
    <row r="8009" spans="3:3" s="9" customFormat="1" ht="21.95" customHeight="1" x14ac:dyDescent="0.15"/>
    <row r="8010" spans="3:3" s="9" customFormat="1" ht="21.95" customHeight="1" x14ac:dyDescent="0.15"/>
    <row r="8011" spans="3:3" s="9" customFormat="1" ht="21.95" customHeight="1" x14ac:dyDescent="0.15"/>
    <row r="8012" spans="3:3" s="9" customFormat="1" ht="21.95" customHeight="1" x14ac:dyDescent="0.15"/>
    <row r="8013" spans="3:3" s="8" customFormat="1" ht="21.95" customHeight="1" x14ac:dyDescent="0.15"/>
    <row r="8014" spans="3:3" s="8" customFormat="1" ht="21.95" customHeight="1" x14ac:dyDescent="0.15"/>
    <row r="8015" spans="3:3" s="8" customFormat="1" ht="21.95" customHeight="1" x14ac:dyDescent="0.15"/>
    <row r="8016" spans="3:3" s="8" customFormat="1" ht="21.95" customHeight="1" x14ac:dyDescent="0.15"/>
    <row r="8017" s="8" customFormat="1" ht="21.95" customHeight="1" x14ac:dyDescent="0.15"/>
    <row r="8018" s="8" customFormat="1" ht="21.95" customHeight="1" x14ac:dyDescent="0.15"/>
    <row r="8019" s="8" customFormat="1" ht="21.95" customHeight="1" x14ac:dyDescent="0.15"/>
    <row r="8020" s="8" customFormat="1" ht="21.95" customHeight="1" x14ac:dyDescent="0.15"/>
    <row r="8021" s="8" customFormat="1" ht="21.95" customHeight="1" x14ac:dyDescent="0.15"/>
    <row r="8022" s="8" customFormat="1" ht="21.95" customHeight="1" x14ac:dyDescent="0.15"/>
    <row r="8023" s="8" customFormat="1" ht="21.95" customHeight="1" x14ac:dyDescent="0.15"/>
    <row r="8024" s="8" customFormat="1" ht="32.1" customHeight="1" x14ac:dyDescent="0.15"/>
    <row r="8025" s="8" customFormat="1" ht="32.1" customHeight="1" x14ac:dyDescent="0.15"/>
    <row r="8026" s="8" customFormat="1" ht="32.1" customHeight="1" x14ac:dyDescent="0.15"/>
    <row r="8027" s="8" customFormat="1" ht="32.1" customHeight="1" x14ac:dyDescent="0.15"/>
    <row r="8028" s="8" customFormat="1" ht="32.1" customHeight="1" x14ac:dyDescent="0.15"/>
    <row r="8029" s="8" customFormat="1" ht="32.1" customHeight="1" x14ac:dyDescent="0.15"/>
    <row r="8030" s="9" customFormat="1" ht="32.1" customHeight="1" x14ac:dyDescent="0.15"/>
    <row r="8031" s="9" customFormat="1" ht="32.1" customHeight="1" x14ac:dyDescent="0.15"/>
    <row r="8032" s="9" customFormat="1" ht="32.1" customHeight="1" x14ac:dyDescent="0.15"/>
    <row r="8033" s="9" customFormat="1" ht="32.1" customHeight="1" x14ac:dyDescent="0.15"/>
    <row r="8034" s="9" customFormat="1" ht="21.95" customHeight="1" x14ac:dyDescent="0.15"/>
    <row r="8035" s="9" customFormat="1" ht="54" customHeight="1" x14ac:dyDescent="0.15"/>
    <row r="8036" s="9" customFormat="1" ht="21.95" customHeight="1" x14ac:dyDescent="0.15"/>
    <row r="8037" s="9" customFormat="1" ht="21.95" customHeight="1" x14ac:dyDescent="0.15"/>
    <row r="8038" s="9" customFormat="1" ht="21.95" customHeight="1" x14ac:dyDescent="0.15"/>
    <row r="8039" s="9" customFormat="1" ht="21.95" customHeight="1" x14ac:dyDescent="0.15"/>
    <row r="8040" s="9" customFormat="1" ht="21.95" customHeight="1" x14ac:dyDescent="0.15"/>
    <row r="8041" s="9" customFormat="1" ht="21.95" customHeight="1" x14ac:dyDescent="0.15"/>
    <row r="8042" s="9" customFormat="1" ht="21.95" customHeight="1" x14ac:dyDescent="0.15"/>
    <row r="8043" s="9" customFormat="1" ht="21.95" customHeight="1" x14ac:dyDescent="0.15"/>
    <row r="8044" s="9" customFormat="1" ht="21.95" customHeight="1" x14ac:dyDescent="0.15"/>
    <row r="8045" s="9" customFormat="1" ht="21.95" customHeight="1" x14ac:dyDescent="0.15"/>
    <row r="8046" s="9" customFormat="1" ht="21.95" customHeight="1" x14ac:dyDescent="0.15"/>
    <row r="8047" s="9" customFormat="1" ht="21.95" customHeight="1" x14ac:dyDescent="0.15"/>
    <row r="8048" s="9" customFormat="1" ht="21.95" customHeight="1" x14ac:dyDescent="0.15"/>
    <row r="8049" s="9" customFormat="1" ht="21.95" customHeight="1" x14ac:dyDescent="0.15"/>
    <row r="8050" s="9" customFormat="1" ht="21.95" customHeight="1" x14ac:dyDescent="0.15"/>
    <row r="8051" s="9" customFormat="1" ht="21.95" customHeight="1" x14ac:dyDescent="0.15"/>
    <row r="8052" s="9" customFormat="1" ht="21.95" customHeight="1" x14ac:dyDescent="0.15"/>
    <row r="8053" s="9" customFormat="1" ht="21.95" customHeight="1" x14ac:dyDescent="0.15"/>
    <row r="8054" s="9" customFormat="1" ht="21.95" customHeight="1" x14ac:dyDescent="0.15"/>
    <row r="8055" s="9" customFormat="1" ht="21.95" customHeight="1" x14ac:dyDescent="0.15"/>
    <row r="8056" s="9" customFormat="1" ht="21.95" customHeight="1" x14ac:dyDescent="0.15"/>
    <row r="8057" s="9" customFormat="1" ht="21.95" customHeight="1" x14ac:dyDescent="0.15"/>
    <row r="8058" s="9" customFormat="1" ht="21.95" customHeight="1" x14ac:dyDescent="0.15"/>
    <row r="8059" s="9" customFormat="1" ht="21.95" customHeight="1" x14ac:dyDescent="0.15"/>
    <row r="8060" s="9" customFormat="1" ht="21.95" customHeight="1" x14ac:dyDescent="0.15"/>
    <row r="8061" s="9" customFormat="1" ht="21.95" customHeight="1" x14ac:dyDescent="0.15"/>
    <row r="8062" s="9" customFormat="1" ht="21.95" customHeight="1" x14ac:dyDescent="0.15"/>
    <row r="8063" s="9" customFormat="1" ht="21.95" customHeight="1" x14ac:dyDescent="0.15"/>
    <row r="8064" s="9" customFormat="1" ht="21.95" customHeight="1" x14ac:dyDescent="0.15"/>
    <row r="8065" s="9" customFormat="1" ht="21.95" customHeight="1" x14ac:dyDescent="0.15"/>
    <row r="8066" s="9" customFormat="1" ht="21.95" customHeight="1" x14ac:dyDescent="0.15"/>
    <row r="8067" s="9" customFormat="1" ht="21.95" customHeight="1" x14ac:dyDescent="0.15"/>
    <row r="8068" s="9" customFormat="1" ht="21.95" customHeight="1" x14ac:dyDescent="0.15"/>
    <row r="8069" s="9" customFormat="1" ht="21.95" customHeight="1" x14ac:dyDescent="0.15"/>
    <row r="8070" s="9" customFormat="1" ht="21.95" customHeight="1" x14ac:dyDescent="0.15"/>
    <row r="8071" s="9" customFormat="1" ht="21.95" customHeight="1" x14ac:dyDescent="0.15"/>
    <row r="8072" s="9" customFormat="1" ht="21.95" customHeight="1" x14ac:dyDescent="0.15"/>
    <row r="8073" s="9" customFormat="1" ht="21.95" customHeight="1" x14ac:dyDescent="0.15"/>
    <row r="8074" s="9" customFormat="1" ht="21.95" customHeight="1" x14ac:dyDescent="0.15"/>
    <row r="8075" s="9" customFormat="1" ht="21.95" customHeight="1" x14ac:dyDescent="0.15"/>
    <row r="8076" s="9" customFormat="1" ht="21.95" customHeight="1" x14ac:dyDescent="0.15"/>
    <row r="8077" s="9" customFormat="1" ht="21.95" customHeight="1" x14ac:dyDescent="0.15"/>
    <row r="8078" s="9" customFormat="1" ht="21.95" customHeight="1" x14ac:dyDescent="0.15"/>
    <row r="8079" s="9" customFormat="1" ht="21.95" customHeight="1" x14ac:dyDescent="0.15"/>
    <row r="8080" s="9" customFormat="1" ht="21.95" customHeight="1" x14ac:dyDescent="0.15"/>
    <row r="8081" s="9" customFormat="1" ht="21.95" customHeight="1" x14ac:dyDescent="0.15"/>
    <row r="8082" s="9" customFormat="1" ht="21.95" customHeight="1" x14ac:dyDescent="0.15"/>
    <row r="8083" s="9" customFormat="1" ht="21.95" customHeight="1" x14ac:dyDescent="0.15"/>
    <row r="8084" s="9" customFormat="1" ht="21.95" customHeight="1" x14ac:dyDescent="0.15"/>
    <row r="8085" s="9" customFormat="1" ht="21.95" customHeight="1" x14ac:dyDescent="0.15"/>
    <row r="8086" s="9" customFormat="1" ht="35.1" customHeight="1" x14ac:dyDescent="0.15"/>
    <row r="8087" s="9" customFormat="1" ht="21.95" customHeight="1" x14ac:dyDescent="0.15"/>
    <row r="8088" s="9" customFormat="1" ht="21.95" customHeight="1" x14ac:dyDescent="0.15"/>
    <row r="8089" s="9" customFormat="1" ht="21.95" customHeight="1" x14ac:dyDescent="0.15"/>
    <row r="8090" s="9" customFormat="1" ht="21.95" customHeight="1" x14ac:dyDescent="0.15"/>
    <row r="8091" s="9" customFormat="1" ht="21.95" customHeight="1" x14ac:dyDescent="0.15"/>
    <row r="8092" s="9" customFormat="1" ht="21.95" customHeight="1" x14ac:dyDescent="0.15"/>
    <row r="8093" s="9" customFormat="1" ht="21.95" customHeight="1" x14ac:dyDescent="0.15"/>
    <row r="8094" s="9" customFormat="1" ht="21.95" customHeight="1" x14ac:dyDescent="0.15"/>
    <row r="8095" s="9" customFormat="1" ht="21.95" customHeight="1" x14ac:dyDescent="0.15"/>
    <row r="8096" s="9" customFormat="1" ht="21.95" customHeight="1" x14ac:dyDescent="0.15"/>
    <row r="8097" spans="3:3" s="9" customFormat="1" ht="21.95" customHeight="1" x14ac:dyDescent="0.15"/>
    <row r="8098" spans="3:3" s="9" customFormat="1" ht="21.95" customHeight="1" x14ac:dyDescent="0.15"/>
    <row r="8099" spans="3:3" s="9" customFormat="1" ht="21.95" customHeight="1" x14ac:dyDescent="0.15"/>
    <row r="8100" spans="3:3" s="9" customFormat="1" ht="21.95" customHeight="1" x14ac:dyDescent="0.15"/>
    <row r="8101" spans="3:3" s="9" customFormat="1" ht="21.95" customHeight="1" x14ac:dyDescent="0.15"/>
    <row r="8102" spans="3:3" s="9" customFormat="1" ht="21.95" customHeight="1" x14ac:dyDescent="0.15"/>
    <row r="8103" spans="3:3" s="9" customFormat="1" ht="21.95" customHeight="1" x14ac:dyDescent="0.15"/>
    <row r="8104" spans="3:3" s="9" customFormat="1" ht="21.95" customHeight="1" x14ac:dyDescent="0.15"/>
    <row r="8105" spans="3:3" s="9" customFormat="1" ht="21.95" customHeight="1" x14ac:dyDescent="0.15"/>
    <row r="8106" spans="3:3" s="9" customFormat="1" ht="21.95" customHeight="1" x14ac:dyDescent="0.15"/>
    <row r="8107" spans="3:3" s="9" customFormat="1" ht="21.95" customHeight="1" x14ac:dyDescent="0.15"/>
    <row r="8108" spans="3:3" s="9" customFormat="1" ht="21.95" customHeight="1" x14ac:dyDescent="0.15"/>
    <row r="8109" spans="3:3" s="9" customFormat="1" ht="21.95" customHeight="1" x14ac:dyDescent="0.15"/>
    <row r="8110" spans="3:3" s="8" customFormat="1" ht="21.95" customHeight="1" x14ac:dyDescent="0.15"/>
    <row r="8111" spans="3:3" s="8" customFormat="1" ht="21.95" customHeight="1" x14ac:dyDescent="0.15"/>
    <row r="8112" spans="3:3" s="8" customFormat="1" ht="21.95" customHeight="1" x14ac:dyDescent="0.15">
      <c r="C8112" s="101"/>
    </row>
    <row r="8113" spans="3:3" s="8" customFormat="1" ht="21.95" customHeight="1" x14ac:dyDescent="0.15">
      <c r="C8113" s="101"/>
    </row>
    <row r="8114" spans="3:3" s="8" customFormat="1" ht="21.95" customHeight="1" x14ac:dyDescent="0.15"/>
    <row r="8115" spans="3:3" s="8" customFormat="1" ht="21.95" customHeight="1" x14ac:dyDescent="0.15"/>
    <row r="8116" spans="3:3" s="8" customFormat="1" ht="21.95" customHeight="1" x14ac:dyDescent="0.15"/>
    <row r="8117" spans="3:3" s="8" customFormat="1" ht="21.95" customHeight="1" x14ac:dyDescent="0.15"/>
    <row r="8118" spans="3:3" s="8" customFormat="1" ht="21.95" customHeight="1" x14ac:dyDescent="0.15"/>
    <row r="8119" spans="3:3" s="8" customFormat="1" ht="21.95" customHeight="1" x14ac:dyDescent="0.15"/>
    <row r="8120" spans="3:3" s="8" customFormat="1" ht="21.95" customHeight="1" x14ac:dyDescent="0.15"/>
    <row r="8121" spans="3:3" s="9" customFormat="1" ht="21.95" customHeight="1" x14ac:dyDescent="0.15"/>
    <row r="8122" spans="3:3" s="9" customFormat="1" ht="21.95" customHeight="1" x14ac:dyDescent="0.15"/>
    <row r="8123" spans="3:3" s="9" customFormat="1" ht="21.95" customHeight="1" x14ac:dyDescent="0.15"/>
    <row r="8124" spans="3:3" s="9" customFormat="1" ht="21.95" customHeight="1" x14ac:dyDescent="0.15"/>
    <row r="8125" spans="3:3" s="8" customFormat="1" ht="21.95" customHeight="1" x14ac:dyDescent="0.15"/>
    <row r="8126" spans="3:3" s="8" customFormat="1" ht="21.95" customHeight="1" x14ac:dyDescent="0.15"/>
    <row r="8127" spans="3:3" s="8" customFormat="1" ht="21.95" customHeight="1" x14ac:dyDescent="0.15"/>
    <row r="8128" spans="3:3" s="8" customFormat="1" ht="21.95" customHeight="1" x14ac:dyDescent="0.15"/>
    <row r="8129" s="8" customFormat="1" ht="21.95" customHeight="1" x14ac:dyDescent="0.15"/>
    <row r="8130" s="8" customFormat="1" ht="21.95" customHeight="1" x14ac:dyDescent="0.15"/>
    <row r="8131" s="8" customFormat="1" ht="21.95" customHeight="1" x14ac:dyDescent="0.15"/>
    <row r="8132" s="8" customFormat="1" ht="21.95" customHeight="1" x14ac:dyDescent="0.15"/>
    <row r="8133" s="8" customFormat="1" ht="21.95" customHeight="1" x14ac:dyDescent="0.15"/>
    <row r="8134" s="8" customFormat="1" ht="21.95" customHeight="1" x14ac:dyDescent="0.15"/>
    <row r="8135" s="8" customFormat="1" ht="21.95" customHeight="1" x14ac:dyDescent="0.15"/>
    <row r="8136" s="8" customFormat="1" ht="32.1" customHeight="1" x14ac:dyDescent="0.15"/>
    <row r="8137" s="8" customFormat="1" ht="32.1" customHeight="1" x14ac:dyDescent="0.15"/>
    <row r="8138" s="8" customFormat="1" ht="32.1" customHeight="1" x14ac:dyDescent="0.15"/>
    <row r="8139" s="8" customFormat="1" ht="32.1" customHeight="1" x14ac:dyDescent="0.15"/>
    <row r="8140" s="8" customFormat="1" ht="32.1" customHeight="1" x14ac:dyDescent="0.15"/>
    <row r="8141" s="8" customFormat="1" ht="32.1" customHeight="1" x14ac:dyDescent="0.15"/>
    <row r="8142" s="9" customFormat="1" ht="32.1" customHeight="1" x14ac:dyDescent="0.15"/>
    <row r="8143" s="9" customFormat="1" ht="32.1" customHeight="1" x14ac:dyDescent="0.15"/>
    <row r="8144" s="9" customFormat="1" ht="32.1" customHeight="1" x14ac:dyDescent="0.15"/>
    <row r="8145" s="9" customFormat="1" ht="32.1" customHeight="1" x14ac:dyDescent="0.15"/>
    <row r="8146" s="9" customFormat="1" ht="21.95" customHeight="1" x14ac:dyDescent="0.15"/>
    <row r="8147" s="9" customFormat="1" ht="54" customHeight="1" x14ac:dyDescent="0.15"/>
    <row r="8148" s="9" customFormat="1" ht="21.95" customHeight="1" x14ac:dyDescent="0.15"/>
    <row r="8149" s="9" customFormat="1" ht="21.95" customHeight="1" x14ac:dyDescent="0.15"/>
    <row r="8150" s="9" customFormat="1" ht="21.95" customHeight="1" x14ac:dyDescent="0.15"/>
    <row r="8151" s="9" customFormat="1" ht="21.95" customHeight="1" x14ac:dyDescent="0.15"/>
    <row r="8152" s="9" customFormat="1" ht="21.95" customHeight="1" x14ac:dyDescent="0.15"/>
    <row r="8153" s="9" customFormat="1" ht="21.95" customHeight="1" x14ac:dyDescent="0.15"/>
    <row r="8154" s="9" customFormat="1" ht="21.95" customHeight="1" x14ac:dyDescent="0.15"/>
    <row r="8155" s="9" customFormat="1" ht="21.95" customHeight="1" x14ac:dyDescent="0.15"/>
    <row r="8156" s="9" customFormat="1" ht="21.95" customHeight="1" x14ac:dyDescent="0.15"/>
    <row r="8157" s="9" customFormat="1" ht="21.95" customHeight="1" x14ac:dyDescent="0.15"/>
    <row r="8158" s="9" customFormat="1" ht="21.95" customHeight="1" x14ac:dyDescent="0.15"/>
    <row r="8159" s="9" customFormat="1" ht="21.95" customHeight="1" x14ac:dyDescent="0.15"/>
    <row r="8160" s="9" customFormat="1" ht="21.95" customHeight="1" x14ac:dyDescent="0.15"/>
    <row r="8161" s="9" customFormat="1" ht="21.95" customHeight="1" x14ac:dyDescent="0.15"/>
    <row r="8162" s="9" customFormat="1" ht="21.95" customHeight="1" x14ac:dyDescent="0.15"/>
    <row r="8163" s="9" customFormat="1" ht="21.95" customHeight="1" x14ac:dyDescent="0.15"/>
    <row r="8164" s="9" customFormat="1" ht="21.95" customHeight="1" x14ac:dyDescent="0.15"/>
    <row r="8165" s="9" customFormat="1" ht="21.95" customHeight="1" x14ac:dyDescent="0.15"/>
    <row r="8166" s="9" customFormat="1" ht="21.95" customHeight="1" x14ac:dyDescent="0.15"/>
    <row r="8167" s="9" customFormat="1" ht="21.95" customHeight="1" x14ac:dyDescent="0.15"/>
    <row r="8168" s="9" customFormat="1" ht="21.95" customHeight="1" x14ac:dyDescent="0.15"/>
    <row r="8169" s="9" customFormat="1" ht="21.95" customHeight="1" x14ac:dyDescent="0.15"/>
    <row r="8170" s="9" customFormat="1" ht="21.95" customHeight="1" x14ac:dyDescent="0.15"/>
    <row r="8171" s="9" customFormat="1" ht="21.95" customHeight="1" x14ac:dyDescent="0.15"/>
    <row r="8172" s="9" customFormat="1" ht="21.95" customHeight="1" x14ac:dyDescent="0.15"/>
    <row r="8173" s="9" customFormat="1" ht="21.95" customHeight="1" x14ac:dyDescent="0.15"/>
    <row r="8174" s="9" customFormat="1" ht="21.95" customHeight="1" x14ac:dyDescent="0.15"/>
    <row r="8175" s="9" customFormat="1" ht="21.95" customHeight="1" x14ac:dyDescent="0.15"/>
    <row r="8176" s="9" customFormat="1" ht="21.95" customHeight="1" x14ac:dyDescent="0.15"/>
    <row r="8177" s="9" customFormat="1" ht="21.95" customHeight="1" x14ac:dyDescent="0.15"/>
    <row r="8178" s="9" customFormat="1" ht="21.95" customHeight="1" x14ac:dyDescent="0.15"/>
    <row r="8179" s="9" customFormat="1" ht="21.95" customHeight="1" x14ac:dyDescent="0.15"/>
    <row r="8180" s="9" customFormat="1" ht="21.95" customHeight="1" x14ac:dyDescent="0.15"/>
    <row r="8181" s="9" customFormat="1" ht="21.95" customHeight="1" x14ac:dyDescent="0.15"/>
    <row r="8182" s="9" customFormat="1" ht="21.95" customHeight="1" x14ac:dyDescent="0.15"/>
    <row r="8183" s="9" customFormat="1" ht="21.95" customHeight="1" x14ac:dyDescent="0.15"/>
    <row r="8184" s="9" customFormat="1" ht="21.95" customHeight="1" x14ac:dyDescent="0.15"/>
    <row r="8185" s="9" customFormat="1" ht="21.95" customHeight="1" x14ac:dyDescent="0.15"/>
    <row r="8186" s="9" customFormat="1" ht="21.95" customHeight="1" x14ac:dyDescent="0.15"/>
    <row r="8187" s="9" customFormat="1" ht="21.95" customHeight="1" x14ac:dyDescent="0.15"/>
    <row r="8188" s="9" customFormat="1" ht="21.95" customHeight="1" x14ac:dyDescent="0.15"/>
    <row r="8189" s="9" customFormat="1" ht="21.95" customHeight="1" x14ac:dyDescent="0.15"/>
    <row r="8190" s="9" customFormat="1" ht="21.95" customHeight="1" x14ac:dyDescent="0.15"/>
    <row r="8191" s="9" customFormat="1" ht="21.95" customHeight="1" x14ac:dyDescent="0.15"/>
    <row r="8192" s="9" customFormat="1" ht="21.95" customHeight="1" x14ac:dyDescent="0.15"/>
    <row r="8193" s="9" customFormat="1" ht="21.95" customHeight="1" x14ac:dyDescent="0.15"/>
    <row r="8194" s="9" customFormat="1" ht="21.95" customHeight="1" x14ac:dyDescent="0.15"/>
    <row r="8195" s="9" customFormat="1" ht="21.95" customHeight="1" x14ac:dyDescent="0.15"/>
    <row r="8196" s="9" customFormat="1" ht="21.95" customHeight="1" x14ac:dyDescent="0.15"/>
    <row r="8197" s="9" customFormat="1" ht="21.95" customHeight="1" x14ac:dyDescent="0.15"/>
    <row r="8198" s="9" customFormat="1" ht="35.1" customHeight="1" x14ac:dyDescent="0.15"/>
    <row r="8199" s="9" customFormat="1" ht="21.95" customHeight="1" x14ac:dyDescent="0.15"/>
    <row r="8200" s="9" customFormat="1" ht="21.95" customHeight="1" x14ac:dyDescent="0.15"/>
    <row r="8201" s="9" customFormat="1" ht="21.95" customHeight="1" x14ac:dyDescent="0.15"/>
    <row r="8202" s="9" customFormat="1" ht="21.95" customHeight="1" x14ac:dyDescent="0.15"/>
    <row r="8203" s="9" customFormat="1" ht="21.95" customHeight="1" x14ac:dyDescent="0.15"/>
    <row r="8204" s="9" customFormat="1" ht="21.95" customHeight="1" x14ac:dyDescent="0.15"/>
    <row r="8205" s="9" customFormat="1" ht="21.95" customHeight="1" x14ac:dyDescent="0.15"/>
    <row r="8206" s="9" customFormat="1" ht="21.95" customHeight="1" x14ac:dyDescent="0.15"/>
    <row r="8207" s="9" customFormat="1" ht="21.95" customHeight="1" x14ac:dyDescent="0.15"/>
    <row r="8208" s="9" customFormat="1" ht="21.95" customHeight="1" x14ac:dyDescent="0.15"/>
    <row r="8209" spans="3:3" s="9" customFormat="1" ht="21.95" customHeight="1" x14ac:dyDescent="0.15"/>
    <row r="8210" spans="3:3" s="9" customFormat="1" ht="21.95" customHeight="1" x14ac:dyDescent="0.15"/>
    <row r="8211" spans="3:3" s="9" customFormat="1" ht="21.95" customHeight="1" x14ac:dyDescent="0.15"/>
    <row r="8212" spans="3:3" s="9" customFormat="1" ht="21.95" customHeight="1" x14ac:dyDescent="0.15"/>
    <row r="8213" spans="3:3" s="9" customFormat="1" ht="21.95" customHeight="1" x14ac:dyDescent="0.15"/>
    <row r="8214" spans="3:3" s="9" customFormat="1" ht="21.95" customHeight="1" x14ac:dyDescent="0.15"/>
    <row r="8215" spans="3:3" s="9" customFormat="1" ht="21.95" customHeight="1" x14ac:dyDescent="0.15"/>
    <row r="8216" spans="3:3" s="9" customFormat="1" ht="21.95" customHeight="1" x14ac:dyDescent="0.15"/>
    <row r="8217" spans="3:3" s="9" customFormat="1" ht="21.95" customHeight="1" x14ac:dyDescent="0.15"/>
    <row r="8218" spans="3:3" s="9" customFormat="1" ht="21.95" customHeight="1" x14ac:dyDescent="0.15"/>
    <row r="8219" spans="3:3" s="9" customFormat="1" ht="21.95" customHeight="1" x14ac:dyDescent="0.15"/>
    <row r="8220" spans="3:3" s="9" customFormat="1" ht="21.95" customHeight="1" x14ac:dyDescent="0.15"/>
    <row r="8221" spans="3:3" s="9" customFormat="1" ht="21.95" customHeight="1" x14ac:dyDescent="0.15"/>
    <row r="8222" spans="3:3" s="8" customFormat="1" ht="21.95" customHeight="1" x14ac:dyDescent="0.15"/>
    <row r="8223" spans="3:3" s="8" customFormat="1" ht="21.95" customHeight="1" x14ac:dyDescent="0.15"/>
    <row r="8224" spans="3:3" s="8" customFormat="1" ht="21.95" customHeight="1" x14ac:dyDescent="0.15">
      <c r="C8224" s="101"/>
    </row>
    <row r="8225" spans="3:3" s="8" customFormat="1" ht="21.95" customHeight="1" x14ac:dyDescent="0.15">
      <c r="C8225" s="101"/>
    </row>
    <row r="8226" spans="3:3" s="8" customFormat="1" ht="21.95" customHeight="1" x14ac:dyDescent="0.15"/>
    <row r="8227" spans="3:3" s="8" customFormat="1" ht="21.95" customHeight="1" x14ac:dyDescent="0.15"/>
    <row r="8228" spans="3:3" s="8" customFormat="1" ht="21.95" customHeight="1" x14ac:dyDescent="0.15"/>
    <row r="8229" spans="3:3" s="8" customFormat="1" ht="21.95" customHeight="1" x14ac:dyDescent="0.15"/>
    <row r="8230" spans="3:3" s="8" customFormat="1" ht="21.95" customHeight="1" x14ac:dyDescent="0.15"/>
    <row r="8231" spans="3:3" s="8" customFormat="1" ht="21.95" customHeight="1" x14ac:dyDescent="0.15"/>
    <row r="8232" spans="3:3" s="8" customFormat="1" ht="21.95" customHeight="1" x14ac:dyDescent="0.15"/>
    <row r="8233" spans="3:3" s="9" customFormat="1" ht="21.95" customHeight="1" x14ac:dyDescent="0.15"/>
    <row r="8234" spans="3:3" s="9" customFormat="1" ht="21.95" customHeight="1" x14ac:dyDescent="0.15"/>
    <row r="8235" spans="3:3" s="9" customFormat="1" ht="21.95" customHeight="1" x14ac:dyDescent="0.15"/>
    <row r="8236" spans="3:3" s="9" customFormat="1" ht="21.95" customHeight="1" x14ac:dyDescent="0.15"/>
    <row r="8237" spans="3:3" s="8" customFormat="1" ht="21.95" customHeight="1" x14ac:dyDescent="0.15"/>
    <row r="8238" spans="3:3" s="8" customFormat="1" ht="21.95" customHeight="1" x14ac:dyDescent="0.15"/>
    <row r="8239" spans="3:3" s="8" customFormat="1" ht="21.95" customHeight="1" x14ac:dyDescent="0.15"/>
    <row r="8240" spans="3:3" s="8" customFormat="1" ht="21.95" customHeight="1" x14ac:dyDescent="0.15"/>
    <row r="8241" s="8" customFormat="1" ht="21.95" customHeight="1" x14ac:dyDescent="0.15"/>
    <row r="8242" s="8" customFormat="1" ht="21.95" customHeight="1" x14ac:dyDescent="0.15"/>
    <row r="8243" s="8" customFormat="1" ht="21.95" customHeight="1" x14ac:dyDescent="0.15"/>
    <row r="8244" s="8" customFormat="1" ht="21.95" customHeight="1" x14ac:dyDescent="0.15"/>
    <row r="8245" s="8" customFormat="1" ht="21.95" customHeight="1" x14ac:dyDescent="0.15"/>
    <row r="8246" s="8" customFormat="1" ht="21.95" customHeight="1" x14ac:dyDescent="0.15"/>
    <row r="8247" s="8" customFormat="1" ht="21.95" customHeight="1" x14ac:dyDescent="0.15"/>
    <row r="8248" s="8" customFormat="1" ht="32.1" customHeight="1" x14ac:dyDescent="0.15"/>
    <row r="8249" s="8" customFormat="1" ht="32.1" customHeight="1" x14ac:dyDescent="0.15"/>
    <row r="8250" s="8" customFormat="1" ht="32.1" customHeight="1" x14ac:dyDescent="0.15"/>
    <row r="8251" s="8" customFormat="1" ht="32.1" customHeight="1" x14ac:dyDescent="0.15"/>
    <row r="8252" s="8" customFormat="1" ht="32.1" customHeight="1" x14ac:dyDescent="0.15"/>
    <row r="8253" s="8" customFormat="1" ht="32.1" customHeight="1" x14ac:dyDescent="0.15"/>
    <row r="8254" s="9" customFormat="1" ht="32.1" customHeight="1" x14ac:dyDescent="0.15"/>
    <row r="8255" s="9" customFormat="1" ht="32.1" customHeight="1" x14ac:dyDescent="0.15"/>
    <row r="8256" s="9" customFormat="1" ht="32.1" customHeight="1" x14ac:dyDescent="0.15"/>
    <row r="8257" s="9" customFormat="1" ht="32.1" customHeight="1" x14ac:dyDescent="0.15"/>
    <row r="8258" s="9" customFormat="1" ht="21.95" customHeight="1" x14ac:dyDescent="0.15"/>
    <row r="8259" s="9" customFormat="1" ht="54" customHeight="1" x14ac:dyDescent="0.15"/>
    <row r="8260" s="9" customFormat="1" ht="21.95" customHeight="1" x14ac:dyDescent="0.15"/>
    <row r="8261" s="9" customFormat="1" ht="21.95" customHeight="1" x14ac:dyDescent="0.15"/>
    <row r="8262" s="9" customFormat="1" ht="21.95" customHeight="1" x14ac:dyDescent="0.15"/>
    <row r="8263" s="9" customFormat="1" ht="21.95" customHeight="1" x14ac:dyDescent="0.15"/>
    <row r="8264" s="9" customFormat="1" ht="21.95" customHeight="1" x14ac:dyDescent="0.15"/>
    <row r="8265" s="9" customFormat="1" ht="21.95" customHeight="1" x14ac:dyDescent="0.15"/>
    <row r="8266" s="9" customFormat="1" ht="21.95" customHeight="1" x14ac:dyDescent="0.15"/>
    <row r="8267" s="9" customFormat="1" ht="21.95" customHeight="1" x14ac:dyDescent="0.15"/>
    <row r="8268" s="9" customFormat="1" ht="21.95" customHeight="1" x14ac:dyDescent="0.15"/>
    <row r="8269" s="9" customFormat="1" ht="21.95" customHeight="1" x14ac:dyDescent="0.15"/>
    <row r="8270" s="9" customFormat="1" ht="21.95" customHeight="1" x14ac:dyDescent="0.15"/>
    <row r="8271" s="9" customFormat="1" ht="21.95" customHeight="1" x14ac:dyDescent="0.15"/>
    <row r="8272" s="9" customFormat="1" ht="21.95" customHeight="1" x14ac:dyDescent="0.15"/>
    <row r="8273" s="9" customFormat="1" ht="21.95" customHeight="1" x14ac:dyDescent="0.15"/>
    <row r="8274" s="9" customFormat="1" ht="21.95" customHeight="1" x14ac:dyDescent="0.15"/>
    <row r="8275" s="9" customFormat="1" ht="21.95" customHeight="1" x14ac:dyDescent="0.15"/>
    <row r="8276" s="9" customFormat="1" ht="21.95" customHeight="1" x14ac:dyDescent="0.15"/>
    <row r="8277" s="9" customFormat="1" ht="21.95" customHeight="1" x14ac:dyDescent="0.15"/>
    <row r="8278" s="9" customFormat="1" ht="21.95" customHeight="1" x14ac:dyDescent="0.15"/>
    <row r="8279" s="9" customFormat="1" ht="21.95" customHeight="1" x14ac:dyDescent="0.15"/>
    <row r="8280" s="9" customFormat="1" ht="21.95" customHeight="1" x14ac:dyDescent="0.15"/>
    <row r="8281" s="9" customFormat="1" ht="21.95" customHeight="1" x14ac:dyDescent="0.15"/>
    <row r="8282" s="9" customFormat="1" ht="21.95" customHeight="1" x14ac:dyDescent="0.15"/>
    <row r="8283" s="9" customFormat="1" ht="21.95" customHeight="1" x14ac:dyDescent="0.15"/>
    <row r="8284" s="9" customFormat="1" ht="21.95" customHeight="1" x14ac:dyDescent="0.15"/>
    <row r="8285" s="9" customFormat="1" ht="21.95" customHeight="1" x14ac:dyDescent="0.15"/>
    <row r="8286" s="9" customFormat="1" ht="21.95" customHeight="1" x14ac:dyDescent="0.15"/>
    <row r="8287" s="9" customFormat="1" ht="21.95" customHeight="1" x14ac:dyDescent="0.15"/>
    <row r="8288" s="9" customFormat="1" ht="21.95" customHeight="1" x14ac:dyDescent="0.15"/>
    <row r="8289" s="9" customFormat="1" ht="21.95" customHeight="1" x14ac:dyDescent="0.15"/>
    <row r="8290" s="9" customFormat="1" ht="21.95" customHeight="1" x14ac:dyDescent="0.15"/>
    <row r="8291" s="9" customFormat="1" ht="21.95" customHeight="1" x14ac:dyDescent="0.15"/>
    <row r="8292" s="9" customFormat="1" ht="21.95" customHeight="1" x14ac:dyDescent="0.15"/>
    <row r="8293" s="9" customFormat="1" ht="21.95" customHeight="1" x14ac:dyDescent="0.15"/>
    <row r="8294" s="9" customFormat="1" ht="21.95" customHeight="1" x14ac:dyDescent="0.15"/>
    <row r="8295" s="9" customFormat="1" ht="21.95" customHeight="1" x14ac:dyDescent="0.15"/>
    <row r="8296" s="9" customFormat="1" ht="21.95" customHeight="1" x14ac:dyDescent="0.15"/>
    <row r="8297" s="9" customFormat="1" ht="21.95" customHeight="1" x14ac:dyDescent="0.15"/>
    <row r="8298" s="9" customFormat="1" ht="21.95" customHeight="1" x14ac:dyDescent="0.15"/>
    <row r="8299" s="9" customFormat="1" ht="21.95" customHeight="1" x14ac:dyDescent="0.15"/>
    <row r="8300" s="9" customFormat="1" ht="21.95" customHeight="1" x14ac:dyDescent="0.15"/>
    <row r="8301" s="9" customFormat="1" ht="21.95" customHeight="1" x14ac:dyDescent="0.15"/>
    <row r="8302" s="9" customFormat="1" ht="21.95" customHeight="1" x14ac:dyDescent="0.15"/>
    <row r="8303" s="9" customFormat="1" ht="21.95" customHeight="1" x14ac:dyDescent="0.15"/>
    <row r="8304" s="9" customFormat="1" ht="21.95" customHeight="1" x14ac:dyDescent="0.15"/>
    <row r="8305" s="9" customFormat="1" ht="21.95" customHeight="1" x14ac:dyDescent="0.15"/>
    <row r="8306" s="9" customFormat="1" ht="21.95" customHeight="1" x14ac:dyDescent="0.15"/>
    <row r="8307" s="9" customFormat="1" ht="21.95" customHeight="1" x14ac:dyDescent="0.15"/>
    <row r="8308" s="9" customFormat="1" ht="21.95" customHeight="1" x14ac:dyDescent="0.15"/>
    <row r="8309" s="9" customFormat="1" ht="21.95" customHeight="1" x14ac:dyDescent="0.15"/>
    <row r="8310" s="9" customFormat="1" ht="35.1" customHeight="1" x14ac:dyDescent="0.15"/>
    <row r="8311" s="9" customFormat="1" ht="21.95" customHeight="1" x14ac:dyDescent="0.15"/>
    <row r="8312" s="9" customFormat="1" ht="21.95" customHeight="1" x14ac:dyDescent="0.15"/>
    <row r="8313" s="9" customFormat="1" ht="21.95" customHeight="1" x14ac:dyDescent="0.15"/>
    <row r="8314" s="9" customFormat="1" ht="21.95" customHeight="1" x14ac:dyDescent="0.15"/>
    <row r="8315" s="9" customFormat="1" ht="21.95" customHeight="1" x14ac:dyDescent="0.15"/>
    <row r="8316" s="9" customFormat="1" ht="21.95" customHeight="1" x14ac:dyDescent="0.15"/>
    <row r="8317" s="9" customFormat="1" ht="21.95" customHeight="1" x14ac:dyDescent="0.15"/>
    <row r="8318" s="9" customFormat="1" ht="21.95" customHeight="1" x14ac:dyDescent="0.15"/>
    <row r="8319" s="9" customFormat="1" ht="21.95" customHeight="1" x14ac:dyDescent="0.15"/>
    <row r="8320" s="9" customFormat="1" ht="21.95" customHeight="1" x14ac:dyDescent="0.15"/>
    <row r="8321" spans="3:3" s="9" customFormat="1" ht="21.95" customHeight="1" x14ac:dyDescent="0.15"/>
    <row r="8322" spans="3:3" s="9" customFormat="1" ht="21.95" customHeight="1" x14ac:dyDescent="0.15"/>
    <row r="8323" spans="3:3" s="9" customFormat="1" ht="21.95" customHeight="1" x14ac:dyDescent="0.15"/>
    <row r="8324" spans="3:3" s="9" customFormat="1" ht="21.95" customHeight="1" x14ac:dyDescent="0.15"/>
    <row r="8325" spans="3:3" s="9" customFormat="1" ht="21.95" customHeight="1" x14ac:dyDescent="0.15"/>
    <row r="8326" spans="3:3" s="9" customFormat="1" ht="21.95" customHeight="1" x14ac:dyDescent="0.15"/>
    <row r="8327" spans="3:3" s="9" customFormat="1" ht="21.95" customHeight="1" x14ac:dyDescent="0.15"/>
    <row r="8328" spans="3:3" s="9" customFormat="1" ht="21.95" customHeight="1" x14ac:dyDescent="0.15"/>
    <row r="8329" spans="3:3" s="9" customFormat="1" ht="21.95" customHeight="1" x14ac:dyDescent="0.15"/>
    <row r="8330" spans="3:3" s="9" customFormat="1" ht="21.95" customHeight="1" x14ac:dyDescent="0.15"/>
    <row r="8331" spans="3:3" s="9" customFormat="1" ht="21.95" customHeight="1" x14ac:dyDescent="0.15"/>
    <row r="8332" spans="3:3" s="9" customFormat="1" ht="21.95" customHeight="1" x14ac:dyDescent="0.15"/>
    <row r="8333" spans="3:3" s="9" customFormat="1" ht="21.95" customHeight="1" x14ac:dyDescent="0.15"/>
    <row r="8334" spans="3:3" s="8" customFormat="1" ht="21.95" customHeight="1" x14ac:dyDescent="0.15"/>
    <row r="8335" spans="3:3" s="8" customFormat="1" ht="21.95" customHeight="1" x14ac:dyDescent="0.15"/>
    <row r="8336" spans="3:3" s="8" customFormat="1" ht="21.95" customHeight="1" x14ac:dyDescent="0.15">
      <c r="C8336" s="101"/>
    </row>
    <row r="8337" spans="3:3" s="8" customFormat="1" ht="21.95" customHeight="1" x14ac:dyDescent="0.15">
      <c r="C8337" s="101"/>
    </row>
    <row r="8338" spans="3:3" s="8" customFormat="1" ht="21.95" customHeight="1" x14ac:dyDescent="0.15"/>
    <row r="8339" spans="3:3" s="8" customFormat="1" ht="21.95" customHeight="1" x14ac:dyDescent="0.15"/>
    <row r="8340" spans="3:3" s="8" customFormat="1" ht="21.95" customHeight="1" x14ac:dyDescent="0.15"/>
    <row r="8341" spans="3:3" s="8" customFormat="1" ht="21.95" customHeight="1" x14ac:dyDescent="0.15"/>
    <row r="8342" spans="3:3" s="8" customFormat="1" ht="21.95" customHeight="1" x14ac:dyDescent="0.15"/>
    <row r="8343" spans="3:3" s="8" customFormat="1" ht="21.95" customHeight="1" x14ac:dyDescent="0.15"/>
    <row r="8344" spans="3:3" s="8" customFormat="1" ht="21.95" customHeight="1" x14ac:dyDescent="0.15"/>
    <row r="8345" spans="3:3" s="9" customFormat="1" ht="21.95" customHeight="1" x14ac:dyDescent="0.15"/>
    <row r="8346" spans="3:3" s="9" customFormat="1" ht="21.95" customHeight="1" x14ac:dyDescent="0.15"/>
    <row r="8347" spans="3:3" s="9" customFormat="1" ht="21.95" customHeight="1" x14ac:dyDescent="0.15"/>
    <row r="8348" spans="3:3" s="9" customFormat="1" ht="21.95" customHeight="1" x14ac:dyDescent="0.15"/>
    <row r="8349" spans="3:3" s="8" customFormat="1" ht="21.95" customHeight="1" x14ac:dyDescent="0.15"/>
    <row r="8350" spans="3:3" s="8" customFormat="1" ht="21.95" customHeight="1" x14ac:dyDescent="0.15"/>
    <row r="8351" spans="3:3" s="8" customFormat="1" ht="21.95" customHeight="1" x14ac:dyDescent="0.15"/>
    <row r="8352" spans="3:3" s="8" customFormat="1" ht="21.95" customHeight="1" x14ac:dyDescent="0.15"/>
    <row r="8353" s="8" customFormat="1" ht="21.95" customHeight="1" x14ac:dyDescent="0.15"/>
    <row r="8354" s="8" customFormat="1" ht="21.95" customHeight="1" x14ac:dyDescent="0.15"/>
    <row r="8355" s="8" customFormat="1" ht="21.95" customHeight="1" x14ac:dyDescent="0.15"/>
    <row r="8356" s="8" customFormat="1" ht="21.95" customHeight="1" x14ac:dyDescent="0.15"/>
    <row r="8357" s="8" customFormat="1" ht="21.95" customHeight="1" x14ac:dyDescent="0.15"/>
    <row r="8358" s="8" customFormat="1" ht="21.95" customHeight="1" x14ac:dyDescent="0.15"/>
    <row r="8359" s="8" customFormat="1" ht="21.95" customHeight="1" x14ac:dyDescent="0.15"/>
    <row r="8360" s="8" customFormat="1" ht="32.1" customHeight="1" x14ac:dyDescent="0.15"/>
    <row r="8361" s="8" customFormat="1" ht="32.1" customHeight="1" x14ac:dyDescent="0.15"/>
    <row r="8362" s="8" customFormat="1" ht="32.1" customHeight="1" x14ac:dyDescent="0.15"/>
    <row r="8363" s="8" customFormat="1" ht="32.1" customHeight="1" x14ac:dyDescent="0.15"/>
    <row r="8364" s="8" customFormat="1" ht="32.1" customHeight="1" x14ac:dyDescent="0.15"/>
    <row r="8365" s="8" customFormat="1" ht="32.1" customHeight="1" x14ac:dyDescent="0.15"/>
    <row r="8366" s="9" customFormat="1" ht="32.1" customHeight="1" x14ac:dyDescent="0.15"/>
    <row r="8367" s="9" customFormat="1" ht="32.1" customHeight="1" x14ac:dyDescent="0.15"/>
    <row r="8368" s="9" customFormat="1" ht="32.1" customHeight="1" x14ac:dyDescent="0.15"/>
    <row r="8369" s="9" customFormat="1" ht="32.1" customHeight="1" x14ac:dyDescent="0.15"/>
    <row r="8370" s="9" customFormat="1" ht="21.95" customHeight="1" x14ac:dyDescent="0.15"/>
    <row r="8371" s="9" customFormat="1" ht="54" customHeight="1" x14ac:dyDescent="0.15"/>
    <row r="8372" s="9" customFormat="1" ht="21.95" customHeight="1" x14ac:dyDescent="0.15"/>
    <row r="8373" s="9" customFormat="1" ht="21.95" customHeight="1" x14ac:dyDescent="0.15"/>
    <row r="8374" s="9" customFormat="1" ht="21.95" customHeight="1" x14ac:dyDescent="0.15"/>
    <row r="8375" s="9" customFormat="1" ht="21.95" customHeight="1" x14ac:dyDescent="0.15"/>
    <row r="8376" s="9" customFormat="1" ht="21.95" customHeight="1" x14ac:dyDescent="0.15"/>
    <row r="8377" s="9" customFormat="1" ht="21.95" customHeight="1" x14ac:dyDescent="0.15"/>
    <row r="8378" s="9" customFormat="1" ht="21.95" customHeight="1" x14ac:dyDescent="0.15"/>
    <row r="8379" s="9" customFormat="1" ht="21.95" customHeight="1" x14ac:dyDescent="0.15"/>
    <row r="8380" s="9" customFormat="1" ht="21.95" customHeight="1" x14ac:dyDescent="0.15"/>
    <row r="8381" s="9" customFormat="1" ht="21.95" customHeight="1" x14ac:dyDescent="0.15"/>
    <row r="8382" s="9" customFormat="1" ht="21.95" customHeight="1" x14ac:dyDescent="0.15"/>
    <row r="8383" s="9" customFormat="1" ht="21.95" customHeight="1" x14ac:dyDescent="0.15"/>
    <row r="8384" s="9" customFormat="1" ht="21.95" customHeight="1" x14ac:dyDescent="0.15"/>
    <row r="8385" s="9" customFormat="1" ht="21.95" customHeight="1" x14ac:dyDescent="0.15"/>
    <row r="8386" s="9" customFormat="1" ht="21.95" customHeight="1" x14ac:dyDescent="0.15"/>
    <row r="8387" s="9" customFormat="1" ht="21.95" customHeight="1" x14ac:dyDescent="0.15"/>
    <row r="8388" s="9" customFormat="1" ht="21.95" customHeight="1" x14ac:dyDescent="0.15"/>
    <row r="8389" s="9" customFormat="1" ht="21.95" customHeight="1" x14ac:dyDescent="0.15"/>
    <row r="8390" s="9" customFormat="1" ht="21.95" customHeight="1" x14ac:dyDescent="0.15"/>
    <row r="8391" s="9" customFormat="1" ht="21.95" customHeight="1" x14ac:dyDescent="0.15"/>
    <row r="8392" s="9" customFormat="1" ht="21.95" customHeight="1" x14ac:dyDescent="0.15"/>
    <row r="8393" s="9" customFormat="1" ht="21.95" customHeight="1" x14ac:dyDescent="0.15"/>
    <row r="8394" s="9" customFormat="1" ht="21.95" customHeight="1" x14ac:dyDescent="0.15"/>
    <row r="8395" s="9" customFormat="1" ht="21.95" customHeight="1" x14ac:dyDescent="0.15"/>
    <row r="8396" s="9" customFormat="1" ht="21.95" customHeight="1" x14ac:dyDescent="0.15"/>
    <row r="8397" s="9" customFormat="1" ht="21.95" customHeight="1" x14ac:dyDescent="0.15"/>
    <row r="8398" s="9" customFormat="1" ht="21.95" customHeight="1" x14ac:dyDescent="0.15"/>
    <row r="8399" s="9" customFormat="1" ht="21.95" customHeight="1" x14ac:dyDescent="0.15"/>
    <row r="8400" s="9" customFormat="1" ht="21.95" customHeight="1" x14ac:dyDescent="0.15"/>
    <row r="8401" s="9" customFormat="1" ht="21.95" customHeight="1" x14ac:dyDescent="0.15"/>
    <row r="8402" s="9" customFormat="1" ht="21.95" customHeight="1" x14ac:dyDescent="0.15"/>
    <row r="8403" s="9" customFormat="1" ht="21.95" customHeight="1" x14ac:dyDescent="0.15"/>
    <row r="8404" s="9" customFormat="1" ht="21.95" customHeight="1" x14ac:dyDescent="0.15"/>
    <row r="8405" s="9" customFormat="1" ht="21.95" customHeight="1" x14ac:dyDescent="0.15"/>
    <row r="8406" s="9" customFormat="1" ht="21.95" customHeight="1" x14ac:dyDescent="0.15"/>
    <row r="8407" s="9" customFormat="1" ht="21.95" customHeight="1" x14ac:dyDescent="0.15"/>
    <row r="8408" s="9" customFormat="1" ht="21.95" customHeight="1" x14ac:dyDescent="0.15"/>
    <row r="8409" s="9" customFormat="1" ht="21.95" customHeight="1" x14ac:dyDescent="0.15"/>
    <row r="8410" s="9" customFormat="1" ht="21.95" customHeight="1" x14ac:dyDescent="0.15"/>
    <row r="8411" s="9" customFormat="1" ht="21.95" customHeight="1" x14ac:dyDescent="0.15"/>
    <row r="8412" s="9" customFormat="1" ht="21.95" customHeight="1" x14ac:dyDescent="0.15"/>
    <row r="8413" s="9" customFormat="1" ht="21.95" customHeight="1" x14ac:dyDescent="0.15"/>
    <row r="8414" s="9" customFormat="1" ht="21.95" customHeight="1" x14ac:dyDescent="0.15"/>
    <row r="8415" s="9" customFormat="1" ht="21.95" customHeight="1" x14ac:dyDescent="0.15"/>
    <row r="8416" s="9" customFormat="1" ht="21.95" customHeight="1" x14ac:dyDescent="0.15"/>
    <row r="8417" s="9" customFormat="1" ht="21.95" customHeight="1" x14ac:dyDescent="0.15"/>
    <row r="8418" s="9" customFormat="1" ht="21.95" customHeight="1" x14ac:dyDescent="0.15"/>
    <row r="8419" s="9" customFormat="1" ht="21.95" customHeight="1" x14ac:dyDescent="0.15"/>
    <row r="8420" s="9" customFormat="1" ht="21.95" customHeight="1" x14ac:dyDescent="0.15"/>
    <row r="8421" s="9" customFormat="1" ht="21.95" customHeight="1" x14ac:dyDescent="0.15"/>
    <row r="8422" s="9" customFormat="1" ht="35.1" customHeight="1" x14ac:dyDescent="0.15"/>
    <row r="8423" s="9" customFormat="1" ht="21.95" customHeight="1" x14ac:dyDescent="0.15"/>
    <row r="8424" s="9" customFormat="1" ht="21.95" customHeight="1" x14ac:dyDescent="0.15"/>
    <row r="8425" s="9" customFormat="1" ht="21.95" customHeight="1" x14ac:dyDescent="0.15"/>
    <row r="8426" s="9" customFormat="1" ht="21.95" customHeight="1" x14ac:dyDescent="0.15"/>
    <row r="8427" s="9" customFormat="1" ht="21.95" customHeight="1" x14ac:dyDescent="0.15"/>
    <row r="8428" s="9" customFormat="1" ht="21.95" customHeight="1" x14ac:dyDescent="0.15"/>
    <row r="8429" s="9" customFormat="1" ht="21.95" customHeight="1" x14ac:dyDescent="0.15"/>
    <row r="8430" s="9" customFormat="1" ht="21.95" customHeight="1" x14ac:dyDescent="0.15"/>
    <row r="8431" s="9" customFormat="1" ht="21.95" customHeight="1" x14ac:dyDescent="0.15"/>
    <row r="8432" s="9" customFormat="1" ht="21.95" customHeight="1" x14ac:dyDescent="0.15"/>
    <row r="8433" spans="3:3" s="9" customFormat="1" ht="21.95" customHeight="1" x14ac:dyDescent="0.15"/>
    <row r="8434" spans="3:3" s="9" customFormat="1" ht="21.95" customHeight="1" x14ac:dyDescent="0.15"/>
    <row r="8435" spans="3:3" s="9" customFormat="1" ht="21.95" customHeight="1" x14ac:dyDescent="0.15"/>
    <row r="8436" spans="3:3" s="9" customFormat="1" ht="21.95" customHeight="1" x14ac:dyDescent="0.15"/>
    <row r="8437" spans="3:3" s="9" customFormat="1" ht="21.95" customHeight="1" x14ac:dyDescent="0.15"/>
    <row r="8438" spans="3:3" s="9" customFormat="1" ht="21.95" customHeight="1" x14ac:dyDescent="0.15"/>
    <row r="8439" spans="3:3" s="9" customFormat="1" ht="21.95" customHeight="1" x14ac:dyDescent="0.15"/>
    <row r="8440" spans="3:3" s="9" customFormat="1" ht="21.95" customHeight="1" x14ac:dyDescent="0.15"/>
    <row r="8441" spans="3:3" s="9" customFormat="1" ht="21.95" customHeight="1" x14ac:dyDescent="0.15"/>
    <row r="8442" spans="3:3" s="9" customFormat="1" ht="21.95" customHeight="1" x14ac:dyDescent="0.15"/>
    <row r="8443" spans="3:3" s="9" customFormat="1" ht="21.95" customHeight="1" x14ac:dyDescent="0.15"/>
    <row r="8444" spans="3:3" s="9" customFormat="1" ht="21.95" customHeight="1" x14ac:dyDescent="0.15"/>
    <row r="8445" spans="3:3" s="9" customFormat="1" ht="21.95" customHeight="1" x14ac:dyDescent="0.15"/>
    <row r="8446" spans="3:3" s="8" customFormat="1" ht="21.95" customHeight="1" x14ac:dyDescent="0.15"/>
    <row r="8447" spans="3:3" s="8" customFormat="1" ht="21.95" customHeight="1" x14ac:dyDescent="0.15"/>
    <row r="8448" spans="3:3" s="8" customFormat="1" ht="21.95" customHeight="1" x14ac:dyDescent="0.15">
      <c r="C8448" s="101"/>
    </row>
    <row r="8449" spans="3:3" s="8" customFormat="1" ht="21.95" customHeight="1" x14ac:dyDescent="0.15">
      <c r="C8449" s="101"/>
    </row>
    <row r="8450" spans="3:3" s="8" customFormat="1" ht="21.95" customHeight="1" x14ac:dyDescent="0.15"/>
    <row r="8451" spans="3:3" s="8" customFormat="1" ht="21.95" customHeight="1" x14ac:dyDescent="0.15"/>
    <row r="8452" spans="3:3" s="8" customFormat="1" ht="21.95" customHeight="1" x14ac:dyDescent="0.15"/>
    <row r="8453" spans="3:3" s="8" customFormat="1" ht="21.95" customHeight="1" x14ac:dyDescent="0.15"/>
    <row r="8454" spans="3:3" s="8" customFormat="1" ht="21.95" customHeight="1" x14ac:dyDescent="0.15"/>
    <row r="8455" spans="3:3" s="8" customFormat="1" ht="21.95" customHeight="1" x14ac:dyDescent="0.15"/>
    <row r="8456" spans="3:3" s="8" customFormat="1" ht="21.95" customHeight="1" x14ac:dyDescent="0.15"/>
    <row r="8457" spans="3:3" s="9" customFormat="1" ht="21.95" customHeight="1" x14ac:dyDescent="0.15"/>
    <row r="8458" spans="3:3" s="9" customFormat="1" ht="21.95" customHeight="1" x14ac:dyDescent="0.15"/>
    <row r="8459" spans="3:3" s="9" customFormat="1" ht="21.95" customHeight="1" x14ac:dyDescent="0.15"/>
    <row r="8460" spans="3:3" s="9" customFormat="1" ht="21.95" customHeight="1" x14ac:dyDescent="0.15"/>
    <row r="8461" spans="3:3" s="8" customFormat="1" ht="21.95" customHeight="1" x14ac:dyDescent="0.15"/>
    <row r="8462" spans="3:3" s="8" customFormat="1" ht="21.95" customHeight="1" x14ac:dyDescent="0.15"/>
    <row r="8463" spans="3:3" s="8" customFormat="1" ht="21.95" customHeight="1" x14ac:dyDescent="0.15"/>
    <row r="8464" spans="3:3" s="8" customFormat="1" ht="21.95" customHeight="1" x14ac:dyDescent="0.15"/>
    <row r="8465" s="8" customFormat="1" ht="21.95" customHeight="1" x14ac:dyDescent="0.15"/>
    <row r="8466" s="8" customFormat="1" ht="21.95" customHeight="1" x14ac:dyDescent="0.15"/>
    <row r="8467" s="8" customFormat="1" ht="21.95" customHeight="1" x14ac:dyDescent="0.15"/>
    <row r="8468" s="8" customFormat="1" ht="21.95" customHeight="1" x14ac:dyDescent="0.15"/>
    <row r="8469" s="8" customFormat="1" ht="21.95" customHeight="1" x14ac:dyDescent="0.15"/>
    <row r="8470" s="8" customFormat="1" ht="21.95" customHeight="1" x14ac:dyDescent="0.15"/>
    <row r="8471" s="8" customFormat="1" ht="21.95" customHeight="1" x14ac:dyDescent="0.15"/>
    <row r="8472" s="8" customFormat="1" ht="32.1" customHeight="1" x14ac:dyDescent="0.15"/>
    <row r="8473" s="8" customFormat="1" ht="32.1" customHeight="1" x14ac:dyDescent="0.15"/>
    <row r="8474" s="8" customFormat="1" ht="32.1" customHeight="1" x14ac:dyDescent="0.15"/>
    <row r="8475" s="8" customFormat="1" ht="32.1" customHeight="1" x14ac:dyDescent="0.15"/>
    <row r="8476" s="8" customFormat="1" ht="32.1" customHeight="1" x14ac:dyDescent="0.15"/>
    <row r="8477" s="8" customFormat="1" ht="32.1" customHeight="1" x14ac:dyDescent="0.15"/>
    <row r="8478" s="9" customFormat="1" ht="32.1" customHeight="1" x14ac:dyDescent="0.15"/>
    <row r="8479" s="9" customFormat="1" ht="32.1" customHeight="1" x14ac:dyDescent="0.15"/>
    <row r="8480" s="9" customFormat="1" ht="32.1" customHeight="1" x14ac:dyDescent="0.15"/>
    <row r="8481" s="9" customFormat="1" ht="32.1" customHeight="1" x14ac:dyDescent="0.15"/>
    <row r="8482" s="9" customFormat="1" ht="21.95" customHeight="1" x14ac:dyDescent="0.15"/>
    <row r="8483" s="9" customFormat="1" ht="54" customHeight="1" x14ac:dyDescent="0.15"/>
    <row r="8484" s="9" customFormat="1" ht="21.95" customHeight="1" x14ac:dyDescent="0.15"/>
    <row r="8485" s="9" customFormat="1" ht="21.95" customHeight="1" x14ac:dyDescent="0.15"/>
    <row r="8486" s="9" customFormat="1" ht="21.95" customHeight="1" x14ac:dyDescent="0.15"/>
    <row r="8487" s="9" customFormat="1" ht="21.95" customHeight="1" x14ac:dyDescent="0.15"/>
    <row r="8488" s="9" customFormat="1" ht="21.95" customHeight="1" x14ac:dyDescent="0.15"/>
    <row r="8489" s="9" customFormat="1" ht="21.95" customHeight="1" x14ac:dyDescent="0.15"/>
    <row r="8490" s="9" customFormat="1" ht="21.95" customHeight="1" x14ac:dyDescent="0.15"/>
    <row r="8491" s="9" customFormat="1" ht="21.95" customHeight="1" x14ac:dyDescent="0.15"/>
    <row r="8492" s="9" customFormat="1" ht="21.95" customHeight="1" x14ac:dyDescent="0.15"/>
    <row r="8493" s="9" customFormat="1" ht="21.95" customHeight="1" x14ac:dyDescent="0.15"/>
    <row r="8494" s="9" customFormat="1" ht="21.95" customHeight="1" x14ac:dyDescent="0.15"/>
    <row r="8495" s="9" customFormat="1" ht="21.95" customHeight="1" x14ac:dyDescent="0.15"/>
    <row r="8496" s="9" customFormat="1" ht="21.95" customHeight="1" x14ac:dyDescent="0.15"/>
    <row r="8497" s="9" customFormat="1" ht="21.95" customHeight="1" x14ac:dyDescent="0.15"/>
    <row r="8498" s="9" customFormat="1" ht="21.95" customHeight="1" x14ac:dyDescent="0.15"/>
    <row r="8499" s="9" customFormat="1" ht="21.95" customHeight="1" x14ac:dyDescent="0.15"/>
    <row r="8500" s="9" customFormat="1" ht="21.95" customHeight="1" x14ac:dyDescent="0.15"/>
    <row r="8501" s="9" customFormat="1" ht="21.95" customHeight="1" x14ac:dyDescent="0.15"/>
    <row r="8502" s="9" customFormat="1" ht="21.95" customHeight="1" x14ac:dyDescent="0.15"/>
    <row r="8503" s="9" customFormat="1" ht="21.95" customHeight="1" x14ac:dyDescent="0.15"/>
    <row r="8504" s="9" customFormat="1" ht="21.95" customHeight="1" x14ac:dyDescent="0.15"/>
    <row r="8505" s="9" customFormat="1" ht="21.95" customHeight="1" x14ac:dyDescent="0.15"/>
    <row r="8506" s="9" customFormat="1" ht="21.95" customHeight="1" x14ac:dyDescent="0.15"/>
    <row r="8507" s="9" customFormat="1" ht="21.95" customHeight="1" x14ac:dyDescent="0.15"/>
    <row r="8508" s="9" customFormat="1" ht="21.95" customHeight="1" x14ac:dyDescent="0.15"/>
    <row r="8509" s="9" customFormat="1" ht="21.95" customHeight="1" x14ac:dyDescent="0.15"/>
    <row r="8510" s="9" customFormat="1" ht="21.95" customHeight="1" x14ac:dyDescent="0.15"/>
    <row r="8511" s="9" customFormat="1" ht="21.95" customHeight="1" x14ac:dyDescent="0.15"/>
    <row r="8512" s="9" customFormat="1" ht="21.95" customHeight="1" x14ac:dyDescent="0.15"/>
    <row r="8513" s="9" customFormat="1" ht="21.95" customHeight="1" x14ac:dyDescent="0.15"/>
    <row r="8514" s="9" customFormat="1" ht="21.95" customHeight="1" x14ac:dyDescent="0.15"/>
    <row r="8515" s="9" customFormat="1" ht="21.95" customHeight="1" x14ac:dyDescent="0.15"/>
    <row r="8516" s="9" customFormat="1" ht="21.95" customHeight="1" x14ac:dyDescent="0.15"/>
    <row r="8517" s="9" customFormat="1" ht="21.95" customHeight="1" x14ac:dyDescent="0.15"/>
    <row r="8518" s="9" customFormat="1" ht="21.95" customHeight="1" x14ac:dyDescent="0.15"/>
    <row r="8519" s="9" customFormat="1" ht="21.95" customHeight="1" x14ac:dyDescent="0.15"/>
    <row r="8520" s="9" customFormat="1" ht="21.95" customHeight="1" x14ac:dyDescent="0.15"/>
    <row r="8521" s="9" customFormat="1" ht="21.95" customHeight="1" x14ac:dyDescent="0.15"/>
    <row r="8522" s="9" customFormat="1" ht="21.95" customHeight="1" x14ac:dyDescent="0.15"/>
    <row r="8523" s="9" customFormat="1" ht="21.95" customHeight="1" x14ac:dyDescent="0.15"/>
    <row r="8524" s="9" customFormat="1" ht="21.95" customHeight="1" x14ac:dyDescent="0.15"/>
    <row r="8525" s="9" customFormat="1" ht="21.95" customHeight="1" x14ac:dyDescent="0.15"/>
    <row r="8526" s="9" customFormat="1" ht="21.95" customHeight="1" x14ac:dyDescent="0.15"/>
    <row r="8527" s="9" customFormat="1" ht="21.95" customHeight="1" x14ac:dyDescent="0.15"/>
    <row r="8528" s="9" customFormat="1" ht="21.95" customHeight="1" x14ac:dyDescent="0.15"/>
    <row r="8529" s="9" customFormat="1" ht="21.95" customHeight="1" x14ac:dyDescent="0.15"/>
    <row r="8530" s="9" customFormat="1" ht="21.95" customHeight="1" x14ac:dyDescent="0.15"/>
    <row r="8531" s="9" customFormat="1" ht="21.95" customHeight="1" x14ac:dyDescent="0.15"/>
    <row r="8532" s="9" customFormat="1" ht="21.95" customHeight="1" x14ac:dyDescent="0.15"/>
    <row r="8533" s="9" customFormat="1" ht="21.95" customHeight="1" x14ac:dyDescent="0.15"/>
    <row r="8534" s="9" customFormat="1" ht="35.1" customHeight="1" x14ac:dyDescent="0.15"/>
    <row r="8535" s="9" customFormat="1" ht="21.95" customHeight="1" x14ac:dyDescent="0.15"/>
    <row r="8536" s="9" customFormat="1" ht="21.95" customHeight="1" x14ac:dyDescent="0.15"/>
    <row r="8537" s="9" customFormat="1" ht="21.95" customHeight="1" x14ac:dyDescent="0.15"/>
    <row r="8538" s="9" customFormat="1" ht="21.95" customHeight="1" x14ac:dyDescent="0.15"/>
    <row r="8539" s="9" customFormat="1" ht="21.95" customHeight="1" x14ac:dyDescent="0.15"/>
    <row r="8540" s="9" customFormat="1" ht="21.95" customHeight="1" x14ac:dyDescent="0.15"/>
    <row r="8541" s="9" customFormat="1" ht="21.95" customHeight="1" x14ac:dyDescent="0.15"/>
    <row r="8542" s="9" customFormat="1" ht="21.95" customHeight="1" x14ac:dyDescent="0.15"/>
    <row r="8543" s="9" customFormat="1" ht="21.95" customHeight="1" x14ac:dyDescent="0.15"/>
    <row r="8544" s="9" customFormat="1" ht="21.95" customHeight="1" x14ac:dyDescent="0.15"/>
    <row r="8545" spans="3:3" s="9" customFormat="1" ht="21.95" customHeight="1" x14ac:dyDescent="0.15"/>
    <row r="8546" spans="3:3" s="9" customFormat="1" ht="21.95" customHeight="1" x14ac:dyDescent="0.15"/>
    <row r="8547" spans="3:3" s="9" customFormat="1" ht="21.95" customHeight="1" x14ac:dyDescent="0.15"/>
    <row r="8548" spans="3:3" s="9" customFormat="1" ht="21.95" customHeight="1" x14ac:dyDescent="0.15"/>
    <row r="8549" spans="3:3" s="9" customFormat="1" ht="21.95" customHeight="1" x14ac:dyDescent="0.15"/>
    <row r="8550" spans="3:3" s="9" customFormat="1" ht="21.95" customHeight="1" x14ac:dyDescent="0.15"/>
    <row r="8551" spans="3:3" s="9" customFormat="1" ht="21.95" customHeight="1" x14ac:dyDescent="0.15"/>
    <row r="8552" spans="3:3" s="9" customFormat="1" ht="21.95" customHeight="1" x14ac:dyDescent="0.15"/>
    <row r="8553" spans="3:3" s="9" customFormat="1" ht="21.95" customHeight="1" x14ac:dyDescent="0.15"/>
    <row r="8554" spans="3:3" s="9" customFormat="1" ht="21.95" customHeight="1" x14ac:dyDescent="0.15"/>
    <row r="8555" spans="3:3" s="9" customFormat="1" ht="21.95" customHeight="1" x14ac:dyDescent="0.15"/>
    <row r="8556" spans="3:3" s="9" customFormat="1" ht="21.95" customHeight="1" x14ac:dyDescent="0.15"/>
    <row r="8557" spans="3:3" s="9" customFormat="1" ht="21.95" customHeight="1" x14ac:dyDescent="0.15"/>
    <row r="8558" spans="3:3" s="8" customFormat="1" ht="21.95" customHeight="1" x14ac:dyDescent="0.15"/>
    <row r="8559" spans="3:3" s="8" customFormat="1" ht="21.95" customHeight="1" x14ac:dyDescent="0.15"/>
    <row r="8560" spans="3:3" s="8" customFormat="1" ht="21.95" customHeight="1" x14ac:dyDescent="0.15">
      <c r="C8560" s="101"/>
    </row>
    <row r="8561" spans="3:3" s="8" customFormat="1" ht="21.95" customHeight="1" x14ac:dyDescent="0.15">
      <c r="C8561" s="101"/>
    </row>
    <row r="8562" spans="3:3" s="8" customFormat="1" ht="21.95" customHeight="1" x14ac:dyDescent="0.15"/>
    <row r="8563" spans="3:3" s="8" customFormat="1" ht="21.95" customHeight="1" x14ac:dyDescent="0.15"/>
    <row r="8564" spans="3:3" s="8" customFormat="1" ht="21.95" customHeight="1" x14ac:dyDescent="0.15"/>
    <row r="8565" spans="3:3" s="8" customFormat="1" ht="21.95" customHeight="1" x14ac:dyDescent="0.15"/>
    <row r="8566" spans="3:3" s="8" customFormat="1" ht="21.95" customHeight="1" x14ac:dyDescent="0.15"/>
    <row r="8567" spans="3:3" s="8" customFormat="1" ht="21.95" customHeight="1" x14ac:dyDescent="0.15"/>
    <row r="8568" spans="3:3" s="8" customFormat="1" ht="21.95" customHeight="1" x14ac:dyDescent="0.15"/>
    <row r="8569" spans="3:3" s="9" customFormat="1" ht="21.95" customHeight="1" x14ac:dyDescent="0.15"/>
    <row r="8570" spans="3:3" s="9" customFormat="1" ht="21.95" customHeight="1" x14ac:dyDescent="0.15"/>
    <row r="8571" spans="3:3" s="9" customFormat="1" ht="21.95" customHeight="1" x14ac:dyDescent="0.15"/>
    <row r="8572" spans="3:3" s="9" customFormat="1" ht="21.95" customHeight="1" x14ac:dyDescent="0.15"/>
    <row r="8573" spans="3:3" s="8" customFormat="1" ht="21.95" customHeight="1" x14ac:dyDescent="0.15"/>
    <row r="8574" spans="3:3" s="8" customFormat="1" ht="21.95" customHeight="1" x14ac:dyDescent="0.15"/>
    <row r="8575" spans="3:3" s="8" customFormat="1" ht="21.95" customHeight="1" x14ac:dyDescent="0.15"/>
    <row r="8576" spans="3:3" s="8" customFormat="1" ht="21.95" customHeight="1" x14ac:dyDescent="0.15"/>
    <row r="8577" s="8" customFormat="1" ht="21.95" customHeight="1" x14ac:dyDescent="0.15"/>
    <row r="8578" s="8" customFormat="1" ht="21.95" customHeight="1" x14ac:dyDescent="0.15"/>
    <row r="8579" s="8" customFormat="1" ht="21.95" customHeight="1" x14ac:dyDescent="0.15"/>
    <row r="8580" s="8" customFormat="1" ht="21.95" customHeight="1" x14ac:dyDescent="0.15"/>
    <row r="8581" s="8" customFormat="1" ht="21.95" customHeight="1" x14ac:dyDescent="0.15"/>
    <row r="8582" s="8" customFormat="1" ht="21.95" customHeight="1" x14ac:dyDescent="0.15"/>
    <row r="8583" s="8" customFormat="1" ht="21.95" customHeight="1" x14ac:dyDescent="0.15"/>
    <row r="8584" s="8" customFormat="1" ht="32.1" customHeight="1" x14ac:dyDescent="0.15"/>
    <row r="8585" s="8" customFormat="1" ht="32.1" customHeight="1" x14ac:dyDescent="0.15"/>
    <row r="8586" s="8" customFormat="1" ht="32.1" customHeight="1" x14ac:dyDescent="0.15"/>
    <row r="8587" s="8" customFormat="1" ht="32.1" customHeight="1" x14ac:dyDescent="0.15"/>
    <row r="8588" s="8" customFormat="1" ht="32.1" customHeight="1" x14ac:dyDescent="0.15"/>
    <row r="8589" s="8" customFormat="1" ht="32.1" customHeight="1" x14ac:dyDescent="0.15"/>
    <row r="8590" s="9" customFormat="1" ht="32.1" customHeight="1" x14ac:dyDescent="0.15"/>
    <row r="8591" s="9" customFormat="1" ht="32.1" customHeight="1" x14ac:dyDescent="0.15"/>
    <row r="8592" s="9" customFormat="1" ht="32.1" customHeight="1" x14ac:dyDescent="0.15"/>
    <row r="8593" s="9" customFormat="1" ht="32.1" customHeight="1" x14ac:dyDescent="0.15"/>
    <row r="8594" s="9" customFormat="1" ht="21.95" customHeight="1" x14ac:dyDescent="0.15"/>
    <row r="8595" s="9" customFormat="1" ht="54" customHeight="1" x14ac:dyDescent="0.15"/>
    <row r="8596" s="9" customFormat="1" ht="21.95" customHeight="1" x14ac:dyDescent="0.15"/>
    <row r="8597" s="9" customFormat="1" ht="21.95" customHeight="1" x14ac:dyDescent="0.15"/>
    <row r="8598" s="9" customFormat="1" ht="21.95" customHeight="1" x14ac:dyDescent="0.15"/>
    <row r="8599" s="9" customFormat="1" ht="21.95" customHeight="1" x14ac:dyDescent="0.15"/>
    <row r="8600" s="9" customFormat="1" ht="21.95" customHeight="1" x14ac:dyDescent="0.15"/>
    <row r="8601" s="9" customFormat="1" ht="21.95" customHeight="1" x14ac:dyDescent="0.15"/>
    <row r="8602" s="9" customFormat="1" ht="21.95" customHeight="1" x14ac:dyDescent="0.15"/>
    <row r="8603" s="9" customFormat="1" ht="21.95" customHeight="1" x14ac:dyDescent="0.15"/>
    <row r="8604" s="9" customFormat="1" ht="21.95" customHeight="1" x14ac:dyDescent="0.15"/>
    <row r="8605" s="9" customFormat="1" ht="21.95" customHeight="1" x14ac:dyDescent="0.15"/>
    <row r="8606" s="9" customFormat="1" ht="21.95" customHeight="1" x14ac:dyDescent="0.15"/>
    <row r="8607" s="9" customFormat="1" ht="21.95" customHeight="1" x14ac:dyDescent="0.15"/>
    <row r="8608" s="9" customFormat="1" ht="21.95" customHeight="1" x14ac:dyDescent="0.15"/>
    <row r="8609" s="9" customFormat="1" ht="21.95" customHeight="1" x14ac:dyDescent="0.15"/>
    <row r="8610" s="9" customFormat="1" ht="21.95" customHeight="1" x14ac:dyDescent="0.15"/>
    <row r="8611" s="9" customFormat="1" ht="21.95" customHeight="1" x14ac:dyDescent="0.15"/>
    <row r="8612" s="9" customFormat="1" ht="21.95" customHeight="1" x14ac:dyDescent="0.15"/>
    <row r="8613" s="9" customFormat="1" ht="21.95" customHeight="1" x14ac:dyDescent="0.15"/>
    <row r="8614" s="9" customFormat="1" ht="21.95" customHeight="1" x14ac:dyDescent="0.15"/>
    <row r="8615" s="9" customFormat="1" ht="21.95" customHeight="1" x14ac:dyDescent="0.15"/>
    <row r="8616" s="9" customFormat="1" ht="21.95" customHeight="1" x14ac:dyDescent="0.15"/>
    <row r="8617" s="9" customFormat="1" ht="21.95" customHeight="1" x14ac:dyDescent="0.15"/>
    <row r="8618" s="9" customFormat="1" ht="21.95" customHeight="1" x14ac:dyDescent="0.15"/>
    <row r="8619" s="9" customFormat="1" ht="21.95" customHeight="1" x14ac:dyDescent="0.15"/>
    <row r="8620" s="9" customFormat="1" ht="21.95" customHeight="1" x14ac:dyDescent="0.15"/>
    <row r="8621" s="9" customFormat="1" ht="21.95" customHeight="1" x14ac:dyDescent="0.15"/>
    <row r="8622" s="9" customFormat="1" ht="21.95" customHeight="1" x14ac:dyDescent="0.15"/>
    <row r="8623" s="9" customFormat="1" ht="21.95" customHeight="1" x14ac:dyDescent="0.15"/>
    <row r="8624" s="9" customFormat="1" ht="21.95" customHeight="1" x14ac:dyDescent="0.15"/>
    <row r="8625" s="9" customFormat="1" ht="21.95" customHeight="1" x14ac:dyDescent="0.15"/>
    <row r="8626" s="9" customFormat="1" ht="21.95" customHeight="1" x14ac:dyDescent="0.15"/>
    <row r="8627" s="9" customFormat="1" ht="21.95" customHeight="1" x14ac:dyDescent="0.15"/>
    <row r="8628" s="9" customFormat="1" ht="21.95" customHeight="1" x14ac:dyDescent="0.15"/>
    <row r="8629" s="9" customFormat="1" ht="21.95" customHeight="1" x14ac:dyDescent="0.15"/>
    <row r="8630" s="9" customFormat="1" ht="21.95" customHeight="1" x14ac:dyDescent="0.15"/>
    <row r="8631" s="9" customFormat="1" ht="21.95" customHeight="1" x14ac:dyDescent="0.15"/>
    <row r="8632" s="9" customFormat="1" ht="21.95" customHeight="1" x14ac:dyDescent="0.15"/>
    <row r="8633" s="9" customFormat="1" ht="21.95" customHeight="1" x14ac:dyDescent="0.15"/>
    <row r="8634" s="9" customFormat="1" ht="21.95" customHeight="1" x14ac:dyDescent="0.15"/>
    <row r="8635" s="9" customFormat="1" ht="21.95" customHeight="1" x14ac:dyDescent="0.15"/>
    <row r="8636" s="9" customFormat="1" ht="21.95" customHeight="1" x14ac:dyDescent="0.15"/>
    <row r="8637" s="9" customFormat="1" ht="21.95" customHeight="1" x14ac:dyDescent="0.15"/>
    <row r="8638" s="9" customFormat="1" ht="21.95" customHeight="1" x14ac:dyDescent="0.15"/>
    <row r="8639" s="9" customFormat="1" ht="21.95" customHeight="1" x14ac:dyDescent="0.15"/>
    <row r="8640" s="9" customFormat="1" ht="21.95" customHeight="1" x14ac:dyDescent="0.15"/>
    <row r="8641" s="9" customFormat="1" ht="21.95" customHeight="1" x14ac:dyDescent="0.15"/>
    <row r="8642" s="9" customFormat="1" ht="21.95" customHeight="1" x14ac:dyDescent="0.15"/>
    <row r="8643" s="9" customFormat="1" ht="21.95" customHeight="1" x14ac:dyDescent="0.15"/>
    <row r="8644" s="9" customFormat="1" ht="21.95" customHeight="1" x14ac:dyDescent="0.15"/>
    <row r="8645" s="9" customFormat="1" ht="21.95" customHeight="1" x14ac:dyDescent="0.15"/>
    <row r="8646" s="9" customFormat="1" ht="35.1" customHeight="1" x14ac:dyDescent="0.15"/>
    <row r="8647" s="9" customFormat="1" ht="21.95" customHeight="1" x14ac:dyDescent="0.15"/>
    <row r="8648" s="9" customFormat="1" ht="21.95" customHeight="1" x14ac:dyDescent="0.15"/>
    <row r="8649" s="9" customFormat="1" ht="21.95" customHeight="1" x14ac:dyDescent="0.15"/>
    <row r="8650" s="9" customFormat="1" ht="21.95" customHeight="1" x14ac:dyDescent="0.15"/>
    <row r="8651" s="9" customFormat="1" ht="21.95" customHeight="1" x14ac:dyDescent="0.15"/>
    <row r="8652" s="9" customFormat="1" ht="21.95" customHeight="1" x14ac:dyDescent="0.15"/>
    <row r="8653" s="9" customFormat="1" ht="21.95" customHeight="1" x14ac:dyDescent="0.15"/>
    <row r="8654" s="9" customFormat="1" ht="21.95" customHeight="1" x14ac:dyDescent="0.15"/>
    <row r="8655" s="9" customFormat="1" ht="21.95" customHeight="1" x14ac:dyDescent="0.15"/>
    <row r="8656" s="9" customFormat="1" ht="21.95" customHeight="1" x14ac:dyDescent="0.15"/>
    <row r="8657" spans="3:3" s="9" customFormat="1" ht="21.95" customHeight="1" x14ac:dyDescent="0.15"/>
    <row r="8658" spans="3:3" s="9" customFormat="1" ht="21.95" customHeight="1" x14ac:dyDescent="0.15"/>
    <row r="8659" spans="3:3" s="9" customFormat="1" ht="21.95" customHeight="1" x14ac:dyDescent="0.15"/>
    <row r="8660" spans="3:3" s="9" customFormat="1" ht="21.95" customHeight="1" x14ac:dyDescent="0.15"/>
    <row r="8661" spans="3:3" s="9" customFormat="1" ht="21.95" customHeight="1" x14ac:dyDescent="0.15"/>
    <row r="8662" spans="3:3" s="9" customFormat="1" ht="21.95" customHeight="1" x14ac:dyDescent="0.15"/>
    <row r="8663" spans="3:3" s="9" customFormat="1" ht="21.95" customHeight="1" x14ac:dyDescent="0.15"/>
    <row r="8664" spans="3:3" s="9" customFormat="1" ht="21.95" customHeight="1" x14ac:dyDescent="0.15"/>
    <row r="8665" spans="3:3" s="9" customFormat="1" ht="21.95" customHeight="1" x14ac:dyDescent="0.15"/>
    <row r="8666" spans="3:3" s="9" customFormat="1" ht="21.95" customHeight="1" x14ac:dyDescent="0.15"/>
    <row r="8667" spans="3:3" s="9" customFormat="1" ht="21.95" customHeight="1" x14ac:dyDescent="0.15"/>
    <row r="8668" spans="3:3" s="9" customFormat="1" ht="21.95" customHeight="1" x14ac:dyDescent="0.15"/>
    <row r="8669" spans="3:3" s="9" customFormat="1" ht="21.95" customHeight="1" x14ac:dyDescent="0.15"/>
    <row r="8670" spans="3:3" s="8" customFormat="1" ht="21.95" customHeight="1" x14ac:dyDescent="0.15"/>
    <row r="8671" spans="3:3" s="8" customFormat="1" ht="21.95" customHeight="1" x14ac:dyDescent="0.15"/>
    <row r="8672" spans="3:3" s="8" customFormat="1" ht="21.95" customHeight="1" x14ac:dyDescent="0.15">
      <c r="C8672" s="101"/>
    </row>
    <row r="8673" spans="3:3" s="8" customFormat="1" ht="21.95" customHeight="1" x14ac:dyDescent="0.15">
      <c r="C8673" s="101"/>
    </row>
    <row r="8674" spans="3:3" s="8" customFormat="1" ht="21.95" customHeight="1" x14ac:dyDescent="0.15"/>
    <row r="8675" spans="3:3" s="8" customFormat="1" ht="21.95" customHeight="1" x14ac:dyDescent="0.15"/>
    <row r="8676" spans="3:3" s="8" customFormat="1" ht="21.95" customHeight="1" x14ac:dyDescent="0.15"/>
    <row r="8677" spans="3:3" s="8" customFormat="1" ht="21.95" customHeight="1" x14ac:dyDescent="0.15"/>
    <row r="8678" spans="3:3" s="8" customFormat="1" ht="21.95" customHeight="1" x14ac:dyDescent="0.15"/>
    <row r="8679" spans="3:3" s="8" customFormat="1" ht="21.95" customHeight="1" x14ac:dyDescent="0.15"/>
    <row r="8680" spans="3:3" s="8" customFormat="1" ht="21.95" customHeight="1" x14ac:dyDescent="0.15"/>
    <row r="8681" spans="3:3" s="9" customFormat="1" ht="21.95" customHeight="1" x14ac:dyDescent="0.15"/>
    <row r="8682" spans="3:3" s="9" customFormat="1" ht="21.95" customHeight="1" x14ac:dyDescent="0.15"/>
    <row r="8683" spans="3:3" s="9" customFormat="1" ht="21.95" customHeight="1" x14ac:dyDescent="0.15"/>
    <row r="8684" spans="3:3" s="9" customFormat="1" ht="21.95" customHeight="1" x14ac:dyDescent="0.15"/>
    <row r="8685" spans="3:3" s="8" customFormat="1" ht="21.95" customHeight="1" x14ac:dyDescent="0.15"/>
    <row r="8686" spans="3:3" s="8" customFormat="1" ht="21.95" customHeight="1" x14ac:dyDescent="0.15"/>
    <row r="8687" spans="3:3" s="8" customFormat="1" ht="21.95" customHeight="1" x14ac:dyDescent="0.15"/>
    <row r="8688" spans="3:3" s="8" customFormat="1" ht="21.95" customHeight="1" x14ac:dyDescent="0.15"/>
    <row r="8689" s="8" customFormat="1" ht="21.95" customHeight="1" x14ac:dyDescent="0.15"/>
    <row r="8690" s="8" customFormat="1" ht="21.95" customHeight="1" x14ac:dyDescent="0.15"/>
    <row r="8691" s="8" customFormat="1" ht="21.95" customHeight="1" x14ac:dyDescent="0.15"/>
    <row r="8692" s="8" customFormat="1" ht="21.95" customHeight="1" x14ac:dyDescent="0.15"/>
    <row r="8693" s="8" customFormat="1" ht="21.95" customHeight="1" x14ac:dyDescent="0.15"/>
    <row r="8694" s="8" customFormat="1" ht="21.95" customHeight="1" x14ac:dyDescent="0.15"/>
    <row r="8695" s="8" customFormat="1" ht="21.95" customHeight="1" x14ac:dyDescent="0.15"/>
    <row r="8696" s="8" customFormat="1" ht="32.1" customHeight="1" x14ac:dyDescent="0.15"/>
    <row r="8697" s="8" customFormat="1" ht="32.1" customHeight="1" x14ac:dyDescent="0.15"/>
    <row r="8698" s="8" customFormat="1" ht="32.1" customHeight="1" x14ac:dyDescent="0.15"/>
    <row r="8699" s="8" customFormat="1" ht="32.1" customHeight="1" x14ac:dyDescent="0.15"/>
    <row r="8700" s="8" customFormat="1" ht="32.1" customHeight="1" x14ac:dyDescent="0.15"/>
    <row r="8701" s="8" customFormat="1" ht="32.1" customHeight="1" x14ac:dyDescent="0.15"/>
    <row r="8702" s="9" customFormat="1" ht="32.1" customHeight="1" x14ac:dyDescent="0.15"/>
    <row r="8703" s="9" customFormat="1" ht="32.1" customHeight="1" x14ac:dyDescent="0.15"/>
    <row r="8704" s="9" customFormat="1" ht="32.1" customHeight="1" x14ac:dyDescent="0.15"/>
    <row r="8705" s="9" customFormat="1" ht="32.1" customHeight="1" x14ac:dyDescent="0.15"/>
    <row r="8706" s="9" customFormat="1" ht="21.95" customHeight="1" x14ac:dyDescent="0.15"/>
    <row r="8707" s="9" customFormat="1" ht="54" customHeight="1" x14ac:dyDescent="0.15"/>
    <row r="8708" s="9" customFormat="1" ht="21.95" customHeight="1" x14ac:dyDescent="0.15"/>
    <row r="8709" s="9" customFormat="1" ht="21.95" customHeight="1" x14ac:dyDescent="0.15"/>
    <row r="8710" s="9" customFormat="1" ht="21.95" customHeight="1" x14ac:dyDescent="0.15"/>
    <row r="8711" s="9" customFormat="1" ht="21.95" customHeight="1" x14ac:dyDescent="0.15"/>
    <row r="8712" s="9" customFormat="1" ht="21.95" customHeight="1" x14ac:dyDescent="0.15"/>
    <row r="8713" s="9" customFormat="1" ht="21.95" customHeight="1" x14ac:dyDescent="0.15"/>
    <row r="8714" s="9" customFormat="1" ht="21.95" customHeight="1" x14ac:dyDescent="0.15"/>
    <row r="8715" s="9" customFormat="1" ht="21.95" customHeight="1" x14ac:dyDescent="0.15"/>
    <row r="8716" s="9" customFormat="1" ht="21.95" customHeight="1" x14ac:dyDescent="0.15"/>
    <row r="8717" s="9" customFormat="1" ht="21.95" customHeight="1" x14ac:dyDescent="0.15"/>
    <row r="8718" s="9" customFormat="1" ht="21.95" customHeight="1" x14ac:dyDescent="0.15"/>
    <row r="8719" s="9" customFormat="1" ht="21.95" customHeight="1" x14ac:dyDescent="0.15"/>
    <row r="8720" s="9" customFormat="1" ht="21.95" customHeight="1" x14ac:dyDescent="0.15"/>
    <row r="8721" s="9" customFormat="1" ht="21.95" customHeight="1" x14ac:dyDescent="0.15"/>
    <row r="8722" s="9" customFormat="1" ht="21.95" customHeight="1" x14ac:dyDescent="0.15"/>
    <row r="8723" s="9" customFormat="1" ht="21.95" customHeight="1" x14ac:dyDescent="0.15"/>
    <row r="8724" s="9" customFormat="1" ht="21.95" customHeight="1" x14ac:dyDescent="0.15"/>
    <row r="8725" s="9" customFormat="1" ht="21.95" customHeight="1" x14ac:dyDescent="0.15"/>
    <row r="8726" s="9" customFormat="1" ht="21.95" customHeight="1" x14ac:dyDescent="0.15"/>
    <row r="8727" s="9" customFormat="1" ht="21.95" customHeight="1" x14ac:dyDescent="0.15"/>
    <row r="8728" s="9" customFormat="1" ht="21.95" customHeight="1" x14ac:dyDescent="0.15"/>
    <row r="8729" s="9" customFormat="1" ht="21.95" customHeight="1" x14ac:dyDescent="0.15"/>
    <row r="8730" s="9" customFormat="1" ht="21.95" customHeight="1" x14ac:dyDescent="0.15"/>
    <row r="8731" s="9" customFormat="1" ht="21.95" customHeight="1" x14ac:dyDescent="0.15"/>
    <row r="8732" s="9" customFormat="1" ht="21.95" customHeight="1" x14ac:dyDescent="0.15"/>
    <row r="8733" s="9" customFormat="1" ht="21.95" customHeight="1" x14ac:dyDescent="0.15"/>
    <row r="8734" s="9" customFormat="1" ht="21.95" customHeight="1" x14ac:dyDescent="0.15"/>
    <row r="8735" s="9" customFormat="1" ht="21.95" customHeight="1" x14ac:dyDescent="0.15"/>
    <row r="8736" s="9" customFormat="1" ht="21.95" customHeight="1" x14ac:dyDescent="0.15"/>
    <row r="8737" s="9" customFormat="1" ht="21.95" customHeight="1" x14ac:dyDescent="0.15"/>
    <row r="8738" s="9" customFormat="1" ht="21.95" customHeight="1" x14ac:dyDescent="0.15"/>
    <row r="8739" s="9" customFormat="1" ht="21.95" customHeight="1" x14ac:dyDescent="0.15"/>
    <row r="8740" s="9" customFormat="1" ht="21.95" customHeight="1" x14ac:dyDescent="0.15"/>
    <row r="8741" s="9" customFormat="1" ht="21.95" customHeight="1" x14ac:dyDescent="0.15"/>
    <row r="8742" s="9" customFormat="1" ht="21.95" customHeight="1" x14ac:dyDescent="0.15"/>
    <row r="8743" s="9" customFormat="1" ht="21.95" customHeight="1" x14ac:dyDescent="0.15"/>
    <row r="8744" s="9" customFormat="1" ht="21.95" customHeight="1" x14ac:dyDescent="0.15"/>
    <row r="8745" s="9" customFormat="1" ht="21.95" customHeight="1" x14ac:dyDescent="0.15"/>
    <row r="8746" s="9" customFormat="1" ht="21.95" customHeight="1" x14ac:dyDescent="0.15"/>
    <row r="8747" s="9" customFormat="1" ht="21.95" customHeight="1" x14ac:dyDescent="0.15"/>
    <row r="8748" s="9" customFormat="1" ht="21.95" customHeight="1" x14ac:dyDescent="0.15"/>
    <row r="8749" s="9" customFormat="1" ht="21.95" customHeight="1" x14ac:dyDescent="0.15"/>
    <row r="8750" s="9" customFormat="1" ht="21.95" customHeight="1" x14ac:dyDescent="0.15"/>
    <row r="8751" s="9" customFormat="1" ht="21.95" customHeight="1" x14ac:dyDescent="0.15"/>
    <row r="8752" s="9" customFormat="1" ht="21.95" customHeight="1" x14ac:dyDescent="0.15"/>
    <row r="8753" s="9" customFormat="1" ht="21.95" customHeight="1" x14ac:dyDescent="0.15"/>
    <row r="8754" s="9" customFormat="1" ht="21.95" customHeight="1" x14ac:dyDescent="0.15"/>
    <row r="8755" s="9" customFormat="1" ht="21.95" customHeight="1" x14ac:dyDescent="0.15"/>
    <row r="8756" s="9" customFormat="1" ht="21.95" customHeight="1" x14ac:dyDescent="0.15"/>
    <row r="8757" s="9" customFormat="1" ht="21.95" customHeight="1" x14ac:dyDescent="0.15"/>
    <row r="8758" s="9" customFormat="1" ht="35.1" customHeight="1" x14ac:dyDescent="0.15"/>
    <row r="8759" s="9" customFormat="1" ht="21.95" customHeight="1" x14ac:dyDescent="0.15"/>
    <row r="8760" s="9" customFormat="1" ht="21.95" customHeight="1" x14ac:dyDescent="0.15"/>
    <row r="8761" s="9" customFormat="1" ht="21.95" customHeight="1" x14ac:dyDescent="0.15"/>
    <row r="8762" s="9" customFormat="1" ht="21.95" customHeight="1" x14ac:dyDescent="0.15"/>
    <row r="8763" s="9" customFormat="1" ht="21.95" customHeight="1" x14ac:dyDescent="0.15"/>
    <row r="8764" s="9" customFormat="1" ht="21.95" customHeight="1" x14ac:dyDescent="0.15"/>
    <row r="8765" s="9" customFormat="1" ht="21.95" customHeight="1" x14ac:dyDescent="0.15"/>
    <row r="8766" s="9" customFormat="1" ht="21.95" customHeight="1" x14ac:dyDescent="0.15"/>
    <row r="8767" s="9" customFormat="1" ht="21.95" customHeight="1" x14ac:dyDescent="0.15"/>
    <row r="8768" s="9" customFormat="1" ht="21.95" customHeight="1" x14ac:dyDescent="0.15"/>
    <row r="8769" spans="3:3" s="9" customFormat="1" ht="21.95" customHeight="1" x14ac:dyDescent="0.15"/>
    <row r="8770" spans="3:3" s="9" customFormat="1" ht="21.95" customHeight="1" x14ac:dyDescent="0.15"/>
    <row r="8771" spans="3:3" s="9" customFormat="1" ht="21.95" customHeight="1" x14ac:dyDescent="0.15"/>
    <row r="8772" spans="3:3" s="9" customFormat="1" ht="21.95" customHeight="1" x14ac:dyDescent="0.15"/>
    <row r="8773" spans="3:3" s="9" customFormat="1" ht="21.95" customHeight="1" x14ac:dyDescent="0.15"/>
    <row r="8774" spans="3:3" s="9" customFormat="1" ht="21.95" customHeight="1" x14ac:dyDescent="0.15"/>
    <row r="8775" spans="3:3" s="9" customFormat="1" ht="21.95" customHeight="1" x14ac:dyDescent="0.15"/>
    <row r="8776" spans="3:3" s="9" customFormat="1" ht="21.95" customHeight="1" x14ac:dyDescent="0.15"/>
    <row r="8777" spans="3:3" s="9" customFormat="1" ht="21.95" customHeight="1" x14ac:dyDescent="0.15"/>
    <row r="8778" spans="3:3" s="9" customFormat="1" ht="21.95" customHeight="1" x14ac:dyDescent="0.15"/>
    <row r="8779" spans="3:3" s="9" customFormat="1" ht="21.95" customHeight="1" x14ac:dyDescent="0.15"/>
    <row r="8780" spans="3:3" s="9" customFormat="1" ht="21.95" customHeight="1" x14ac:dyDescent="0.15"/>
    <row r="8781" spans="3:3" s="9" customFormat="1" ht="21.95" customHeight="1" x14ac:dyDescent="0.15"/>
    <row r="8782" spans="3:3" s="8" customFormat="1" ht="21.95" customHeight="1" x14ac:dyDescent="0.15"/>
    <row r="8783" spans="3:3" s="8" customFormat="1" ht="21.95" customHeight="1" x14ac:dyDescent="0.15"/>
    <row r="8784" spans="3:3" s="8" customFormat="1" ht="21.95" customHeight="1" x14ac:dyDescent="0.15">
      <c r="C8784" s="101"/>
    </row>
    <row r="8785" spans="3:3" s="8" customFormat="1" ht="21.95" customHeight="1" x14ac:dyDescent="0.15">
      <c r="C8785" s="101"/>
    </row>
    <row r="8786" spans="3:3" s="8" customFormat="1" ht="21.95" customHeight="1" x14ac:dyDescent="0.15"/>
    <row r="8787" spans="3:3" s="8" customFormat="1" ht="21.95" customHeight="1" x14ac:dyDescent="0.15"/>
    <row r="8788" spans="3:3" s="8" customFormat="1" ht="21.95" customHeight="1" x14ac:dyDescent="0.15"/>
    <row r="8789" spans="3:3" s="8" customFormat="1" ht="21.95" customHeight="1" x14ac:dyDescent="0.15"/>
    <row r="8790" spans="3:3" s="8" customFormat="1" ht="21.95" customHeight="1" x14ac:dyDescent="0.15"/>
    <row r="8791" spans="3:3" s="8" customFormat="1" ht="21.95" customHeight="1" x14ac:dyDescent="0.15"/>
    <row r="8792" spans="3:3" s="8" customFormat="1" ht="21.95" customHeight="1" x14ac:dyDescent="0.15"/>
    <row r="8793" spans="3:3" s="9" customFormat="1" ht="21.95" customHeight="1" x14ac:dyDescent="0.15"/>
    <row r="8794" spans="3:3" s="9" customFormat="1" ht="21.95" customHeight="1" x14ac:dyDescent="0.15"/>
    <row r="8795" spans="3:3" s="9" customFormat="1" ht="21.95" customHeight="1" x14ac:dyDescent="0.15"/>
    <row r="8796" spans="3:3" s="9" customFormat="1" ht="21.95" customHeight="1" x14ac:dyDescent="0.15"/>
    <row r="8797" spans="3:3" s="8" customFormat="1" ht="21.95" customHeight="1" x14ac:dyDescent="0.15"/>
    <row r="8798" spans="3:3" s="8" customFormat="1" ht="21.95" customHeight="1" x14ac:dyDescent="0.15"/>
    <row r="8799" spans="3:3" s="8" customFormat="1" ht="21.95" customHeight="1" x14ac:dyDescent="0.15"/>
    <row r="8800" spans="3:3" s="8" customFormat="1" ht="21.95" customHeight="1" x14ac:dyDescent="0.15"/>
    <row r="8801" s="8" customFormat="1" ht="21.95" customHeight="1" x14ac:dyDescent="0.15"/>
    <row r="8802" s="8" customFormat="1" ht="21.95" customHeight="1" x14ac:dyDescent="0.15"/>
    <row r="8803" s="8" customFormat="1" ht="21.95" customHeight="1" x14ac:dyDescent="0.15"/>
    <row r="8804" s="8" customFormat="1" ht="21.95" customHeight="1" x14ac:dyDescent="0.15"/>
    <row r="8805" s="8" customFormat="1" ht="21.95" customHeight="1" x14ac:dyDescent="0.15"/>
    <row r="8806" s="8" customFormat="1" ht="21.95" customHeight="1" x14ac:dyDescent="0.15"/>
    <row r="8807" s="8" customFormat="1" ht="21.95" customHeight="1" x14ac:dyDescent="0.15"/>
    <row r="8808" s="8" customFormat="1" ht="32.1" customHeight="1" x14ac:dyDescent="0.15"/>
    <row r="8809" s="8" customFormat="1" ht="32.1" customHeight="1" x14ac:dyDescent="0.15"/>
    <row r="8810" s="8" customFormat="1" ht="32.1" customHeight="1" x14ac:dyDescent="0.15"/>
    <row r="8811" s="8" customFormat="1" ht="32.1" customHeight="1" x14ac:dyDescent="0.15"/>
    <row r="8812" s="8" customFormat="1" ht="32.1" customHeight="1" x14ac:dyDescent="0.15"/>
    <row r="8813" s="8" customFormat="1" ht="32.1" customHeight="1" x14ac:dyDescent="0.15"/>
    <row r="8814" s="9" customFormat="1" ht="32.1" customHeight="1" x14ac:dyDescent="0.15"/>
    <row r="8815" s="9" customFormat="1" ht="32.1" customHeight="1" x14ac:dyDescent="0.15"/>
    <row r="8816" s="9" customFormat="1" ht="32.1" customHeight="1" x14ac:dyDescent="0.15"/>
    <row r="8817" s="9" customFormat="1" ht="32.1" customHeight="1" x14ac:dyDescent="0.15"/>
    <row r="8818" s="9" customFormat="1" ht="21.95" customHeight="1" x14ac:dyDescent="0.15"/>
    <row r="8819" s="9" customFormat="1" ht="54" customHeight="1" x14ac:dyDescent="0.15"/>
    <row r="8820" s="9" customFormat="1" ht="21.95" customHeight="1" x14ac:dyDescent="0.15"/>
    <row r="8821" s="9" customFormat="1" ht="21.95" customHeight="1" x14ac:dyDescent="0.15"/>
    <row r="8822" s="9" customFormat="1" ht="21.95" customHeight="1" x14ac:dyDescent="0.15"/>
    <row r="8823" s="9" customFormat="1" ht="21.95" customHeight="1" x14ac:dyDescent="0.15"/>
    <row r="8824" s="9" customFormat="1" ht="21.95" customHeight="1" x14ac:dyDescent="0.15"/>
    <row r="8825" s="9" customFormat="1" ht="21.95" customHeight="1" x14ac:dyDescent="0.15"/>
    <row r="8826" s="9" customFormat="1" ht="21.95" customHeight="1" x14ac:dyDescent="0.15"/>
    <row r="8827" s="9" customFormat="1" ht="21.95" customHeight="1" x14ac:dyDescent="0.15"/>
    <row r="8828" s="9" customFormat="1" ht="21.95" customHeight="1" x14ac:dyDescent="0.15"/>
    <row r="8829" s="9" customFormat="1" ht="21.95" customHeight="1" x14ac:dyDescent="0.15"/>
    <row r="8830" s="9" customFormat="1" ht="21.95" customHeight="1" x14ac:dyDescent="0.15"/>
    <row r="8831" s="9" customFormat="1" ht="21.95" customHeight="1" x14ac:dyDescent="0.15"/>
    <row r="8832" s="9" customFormat="1" ht="21.95" customHeight="1" x14ac:dyDescent="0.15"/>
    <row r="8833" s="9" customFormat="1" ht="21.95" customHeight="1" x14ac:dyDescent="0.15"/>
    <row r="8834" s="9" customFormat="1" ht="21.95" customHeight="1" x14ac:dyDescent="0.15"/>
    <row r="8835" s="9" customFormat="1" ht="21.95" customHeight="1" x14ac:dyDescent="0.15"/>
    <row r="8836" s="9" customFormat="1" ht="21.95" customHeight="1" x14ac:dyDescent="0.15"/>
    <row r="8837" s="9" customFormat="1" ht="21.95" customHeight="1" x14ac:dyDescent="0.15"/>
    <row r="8838" s="9" customFormat="1" ht="21.95" customHeight="1" x14ac:dyDescent="0.15"/>
    <row r="8839" s="9" customFormat="1" ht="21.95" customHeight="1" x14ac:dyDescent="0.15"/>
    <row r="8840" s="9" customFormat="1" ht="21.95" customHeight="1" x14ac:dyDescent="0.15"/>
    <row r="8841" s="9" customFormat="1" ht="21.95" customHeight="1" x14ac:dyDescent="0.15"/>
    <row r="8842" s="9" customFormat="1" ht="21.95" customHeight="1" x14ac:dyDescent="0.15"/>
    <row r="8843" s="9" customFormat="1" ht="21.95" customHeight="1" x14ac:dyDescent="0.15"/>
    <row r="8844" s="9" customFormat="1" ht="21.95" customHeight="1" x14ac:dyDescent="0.15"/>
    <row r="8845" s="9" customFormat="1" ht="21.95" customHeight="1" x14ac:dyDescent="0.15"/>
    <row r="8846" s="9" customFormat="1" ht="21.95" customHeight="1" x14ac:dyDescent="0.15"/>
    <row r="8847" s="9" customFormat="1" ht="21.95" customHeight="1" x14ac:dyDescent="0.15"/>
    <row r="8848" s="9" customFormat="1" ht="21.95" customHeight="1" x14ac:dyDescent="0.15"/>
    <row r="8849" s="9" customFormat="1" ht="21.95" customHeight="1" x14ac:dyDescent="0.15"/>
    <row r="8850" s="9" customFormat="1" ht="21.95" customHeight="1" x14ac:dyDescent="0.15"/>
    <row r="8851" s="9" customFormat="1" ht="21.95" customHeight="1" x14ac:dyDescent="0.15"/>
    <row r="8852" s="9" customFormat="1" ht="21.95" customHeight="1" x14ac:dyDescent="0.15"/>
    <row r="8853" s="9" customFormat="1" ht="21.95" customHeight="1" x14ac:dyDescent="0.15"/>
    <row r="8854" s="9" customFormat="1" ht="21.95" customHeight="1" x14ac:dyDescent="0.15"/>
    <row r="8855" s="9" customFormat="1" ht="21.95" customHeight="1" x14ac:dyDescent="0.15"/>
    <row r="8856" s="9" customFormat="1" ht="21.95" customHeight="1" x14ac:dyDescent="0.15"/>
    <row r="8857" s="9" customFormat="1" ht="21.95" customHeight="1" x14ac:dyDescent="0.15"/>
    <row r="8858" s="9" customFormat="1" ht="21.95" customHeight="1" x14ac:dyDescent="0.15"/>
    <row r="8859" s="9" customFormat="1" ht="21.95" customHeight="1" x14ac:dyDescent="0.15"/>
    <row r="8860" s="9" customFormat="1" ht="21.95" customHeight="1" x14ac:dyDescent="0.15"/>
    <row r="8861" s="9" customFormat="1" ht="21.95" customHeight="1" x14ac:dyDescent="0.15"/>
    <row r="8862" s="9" customFormat="1" ht="21.95" customHeight="1" x14ac:dyDescent="0.15"/>
    <row r="8863" s="9" customFormat="1" ht="21.95" customHeight="1" x14ac:dyDescent="0.15"/>
    <row r="8864" s="9" customFormat="1" ht="21.95" customHeight="1" x14ac:dyDescent="0.15"/>
    <row r="8865" s="9" customFormat="1" ht="21.95" customHeight="1" x14ac:dyDescent="0.15"/>
    <row r="8866" s="9" customFormat="1" ht="21.95" customHeight="1" x14ac:dyDescent="0.15"/>
    <row r="8867" s="9" customFormat="1" ht="21.95" customHeight="1" x14ac:dyDescent="0.15"/>
    <row r="8868" s="9" customFormat="1" ht="21.95" customHeight="1" x14ac:dyDescent="0.15"/>
    <row r="8869" s="9" customFormat="1" ht="21.95" customHeight="1" x14ac:dyDescent="0.15"/>
    <row r="8870" s="9" customFormat="1" ht="35.1" customHeight="1" x14ac:dyDescent="0.15"/>
    <row r="8871" s="9" customFormat="1" ht="21.95" customHeight="1" x14ac:dyDescent="0.15"/>
    <row r="8872" s="9" customFormat="1" ht="21.95" customHeight="1" x14ac:dyDescent="0.15"/>
    <row r="8873" s="9" customFormat="1" ht="21.95" customHeight="1" x14ac:dyDescent="0.15"/>
    <row r="8874" s="9" customFormat="1" ht="21.95" customHeight="1" x14ac:dyDescent="0.15"/>
    <row r="8875" s="9" customFormat="1" ht="21.95" customHeight="1" x14ac:dyDescent="0.15"/>
    <row r="8876" s="9" customFormat="1" ht="21.95" customHeight="1" x14ac:dyDescent="0.15"/>
    <row r="8877" s="9" customFormat="1" ht="21.95" customHeight="1" x14ac:dyDescent="0.15"/>
    <row r="8878" s="9" customFormat="1" ht="21.95" customHeight="1" x14ac:dyDescent="0.15"/>
    <row r="8879" s="9" customFormat="1" ht="21.95" customHeight="1" x14ac:dyDescent="0.15"/>
    <row r="8880" s="9" customFormat="1" ht="21.95" customHeight="1" x14ac:dyDescent="0.15"/>
    <row r="8881" spans="3:3" s="9" customFormat="1" ht="21.95" customHeight="1" x14ac:dyDescent="0.15"/>
    <row r="8882" spans="3:3" s="9" customFormat="1" ht="21.95" customHeight="1" x14ac:dyDescent="0.15"/>
    <row r="8883" spans="3:3" s="9" customFormat="1" ht="21.95" customHeight="1" x14ac:dyDescent="0.15"/>
    <row r="8884" spans="3:3" s="9" customFormat="1" ht="21.95" customHeight="1" x14ac:dyDescent="0.15"/>
    <row r="8885" spans="3:3" s="9" customFormat="1" ht="21.95" customHeight="1" x14ac:dyDescent="0.15"/>
    <row r="8886" spans="3:3" s="9" customFormat="1" ht="21.95" customHeight="1" x14ac:dyDescent="0.15"/>
    <row r="8887" spans="3:3" s="9" customFormat="1" ht="21.95" customHeight="1" x14ac:dyDescent="0.15"/>
    <row r="8888" spans="3:3" s="9" customFormat="1" ht="21.95" customHeight="1" x14ac:dyDescent="0.15"/>
    <row r="8889" spans="3:3" s="9" customFormat="1" ht="21.95" customHeight="1" x14ac:dyDescent="0.15"/>
    <row r="8890" spans="3:3" s="9" customFormat="1" ht="21.95" customHeight="1" x14ac:dyDescent="0.15"/>
    <row r="8891" spans="3:3" s="9" customFormat="1" ht="21.95" customHeight="1" x14ac:dyDescent="0.15"/>
    <row r="8892" spans="3:3" s="9" customFormat="1" ht="21.95" customHeight="1" x14ac:dyDescent="0.15"/>
    <row r="8893" spans="3:3" s="9" customFormat="1" ht="21.95" customHeight="1" x14ac:dyDescent="0.15"/>
    <row r="8894" spans="3:3" s="8" customFormat="1" ht="21.95" customHeight="1" x14ac:dyDescent="0.15"/>
    <row r="8895" spans="3:3" s="8" customFormat="1" ht="21.95" customHeight="1" x14ac:dyDescent="0.15"/>
    <row r="8896" spans="3:3" s="8" customFormat="1" ht="21.95" customHeight="1" x14ac:dyDescent="0.15">
      <c r="C8896" s="101"/>
    </row>
    <row r="8897" spans="3:3" s="8" customFormat="1" ht="21.95" customHeight="1" x14ac:dyDescent="0.15">
      <c r="C8897" s="101"/>
    </row>
    <row r="8898" spans="3:3" s="8" customFormat="1" ht="21.95" customHeight="1" x14ac:dyDescent="0.15"/>
    <row r="8899" spans="3:3" s="8" customFormat="1" ht="21.95" customHeight="1" x14ac:dyDescent="0.15"/>
    <row r="8900" spans="3:3" s="8" customFormat="1" ht="21.95" customHeight="1" x14ac:dyDescent="0.15"/>
    <row r="8901" spans="3:3" s="8" customFormat="1" ht="21.95" customHeight="1" x14ac:dyDescent="0.15"/>
    <row r="8902" spans="3:3" s="8" customFormat="1" ht="21.95" customHeight="1" x14ac:dyDescent="0.15"/>
    <row r="8903" spans="3:3" s="8" customFormat="1" ht="21.95" customHeight="1" x14ac:dyDescent="0.15"/>
    <row r="8904" spans="3:3" s="8" customFormat="1" ht="21.95" customHeight="1" x14ac:dyDescent="0.15"/>
    <row r="8905" spans="3:3" s="9" customFormat="1" ht="21.95" customHeight="1" x14ac:dyDescent="0.15"/>
    <row r="8906" spans="3:3" s="9" customFormat="1" ht="21.95" customHeight="1" x14ac:dyDescent="0.15"/>
    <row r="8907" spans="3:3" s="9" customFormat="1" ht="21.95" customHeight="1" x14ac:dyDescent="0.15"/>
    <row r="8908" spans="3:3" s="9" customFormat="1" ht="21.95" customHeight="1" x14ac:dyDescent="0.15"/>
    <row r="8909" spans="3:3" s="8" customFormat="1" ht="21.95" customHeight="1" x14ac:dyDescent="0.15"/>
    <row r="8910" spans="3:3" s="8" customFormat="1" ht="21.95" customHeight="1" x14ac:dyDescent="0.15"/>
    <row r="8911" spans="3:3" s="8" customFormat="1" ht="21.95" customHeight="1" x14ac:dyDescent="0.15"/>
    <row r="8912" spans="3:3" s="8" customFormat="1" ht="21.95" customHeight="1" x14ac:dyDescent="0.15"/>
    <row r="8913" s="8" customFormat="1" ht="21.95" customHeight="1" x14ac:dyDescent="0.15"/>
    <row r="8914" s="8" customFormat="1" ht="21.95" customHeight="1" x14ac:dyDescent="0.15"/>
    <row r="8915" s="8" customFormat="1" ht="21.95" customHeight="1" x14ac:dyDescent="0.15"/>
    <row r="8916" s="8" customFormat="1" ht="21.95" customHeight="1" x14ac:dyDescent="0.15"/>
    <row r="8917" s="8" customFormat="1" ht="21.95" customHeight="1" x14ac:dyDescent="0.15"/>
    <row r="8918" s="8" customFormat="1" ht="21.95" customHeight="1" x14ac:dyDescent="0.15"/>
    <row r="8919" s="8" customFormat="1" ht="21.95" customHeight="1" x14ac:dyDescent="0.15"/>
    <row r="8920" s="8" customFormat="1" ht="32.1" customHeight="1" x14ac:dyDescent="0.15"/>
    <row r="8921" s="8" customFormat="1" ht="32.1" customHeight="1" x14ac:dyDescent="0.15"/>
    <row r="8922" s="8" customFormat="1" ht="32.1" customHeight="1" x14ac:dyDescent="0.15"/>
    <row r="8923" s="8" customFormat="1" ht="32.1" customHeight="1" x14ac:dyDescent="0.15"/>
    <row r="8924" s="8" customFormat="1" ht="32.1" customHeight="1" x14ac:dyDescent="0.15"/>
    <row r="8925" s="8" customFormat="1" ht="32.1" customHeight="1" x14ac:dyDescent="0.15"/>
    <row r="8926" s="9" customFormat="1" ht="32.1" customHeight="1" x14ac:dyDescent="0.15"/>
    <row r="8927" s="9" customFormat="1" ht="32.1" customHeight="1" x14ac:dyDescent="0.15"/>
    <row r="8928" s="9" customFormat="1" ht="32.1" customHeight="1" x14ac:dyDescent="0.15"/>
    <row r="8929" s="9" customFormat="1" ht="32.1" customHeight="1" x14ac:dyDescent="0.15"/>
    <row r="8930" s="9" customFormat="1" ht="21.95" customHeight="1" x14ac:dyDescent="0.15"/>
    <row r="8931" s="9" customFormat="1" ht="54" customHeight="1" x14ac:dyDescent="0.15"/>
    <row r="8932" s="9" customFormat="1" ht="21.95" customHeight="1" x14ac:dyDescent="0.15"/>
    <row r="8933" s="9" customFormat="1" ht="21.95" customHeight="1" x14ac:dyDescent="0.15"/>
    <row r="8934" s="9" customFormat="1" ht="21.95" customHeight="1" x14ac:dyDescent="0.15"/>
    <row r="8935" s="9" customFormat="1" ht="21.95" customHeight="1" x14ac:dyDescent="0.15"/>
    <row r="8936" s="9" customFormat="1" ht="21.95" customHeight="1" x14ac:dyDescent="0.15"/>
    <row r="8937" s="9" customFormat="1" ht="21.95" customHeight="1" x14ac:dyDescent="0.15"/>
    <row r="8938" s="9" customFormat="1" ht="21.95" customHeight="1" x14ac:dyDescent="0.15"/>
    <row r="8939" s="9" customFormat="1" ht="21.95" customHeight="1" x14ac:dyDescent="0.15"/>
    <row r="8940" s="9" customFormat="1" ht="21.95" customHeight="1" x14ac:dyDescent="0.15"/>
    <row r="8941" s="9" customFormat="1" ht="21.95" customHeight="1" x14ac:dyDescent="0.15"/>
    <row r="8942" s="9" customFormat="1" ht="21.95" customHeight="1" x14ac:dyDescent="0.15"/>
    <row r="8943" s="9" customFormat="1" ht="21.95" customHeight="1" x14ac:dyDescent="0.15"/>
    <row r="8944" s="9" customFormat="1" ht="21.95" customHeight="1" x14ac:dyDescent="0.15"/>
    <row r="8945" s="9" customFormat="1" ht="21.95" customHeight="1" x14ac:dyDescent="0.15"/>
    <row r="8946" s="9" customFormat="1" ht="21.95" customHeight="1" x14ac:dyDescent="0.15"/>
    <row r="8947" s="9" customFormat="1" ht="21.95" customHeight="1" x14ac:dyDescent="0.15"/>
    <row r="8948" s="9" customFormat="1" ht="21.95" customHeight="1" x14ac:dyDescent="0.15"/>
    <row r="8949" s="9" customFormat="1" ht="21.95" customHeight="1" x14ac:dyDescent="0.15"/>
    <row r="8950" s="9" customFormat="1" ht="21.95" customHeight="1" x14ac:dyDescent="0.15"/>
    <row r="8951" s="9" customFormat="1" ht="21.95" customHeight="1" x14ac:dyDescent="0.15"/>
    <row r="8952" s="9" customFormat="1" ht="21.95" customHeight="1" x14ac:dyDescent="0.15"/>
    <row r="8953" s="9" customFormat="1" ht="21.95" customHeight="1" x14ac:dyDescent="0.15"/>
    <row r="8954" s="9" customFormat="1" ht="21.95" customHeight="1" x14ac:dyDescent="0.15"/>
    <row r="8955" s="9" customFormat="1" ht="21.95" customHeight="1" x14ac:dyDescent="0.15"/>
    <row r="8956" s="9" customFormat="1" ht="21.95" customHeight="1" x14ac:dyDescent="0.15"/>
    <row r="8957" s="9" customFormat="1" ht="21.95" customHeight="1" x14ac:dyDescent="0.15"/>
    <row r="8958" s="9" customFormat="1" ht="21.95" customHeight="1" x14ac:dyDescent="0.15"/>
    <row r="8959" s="9" customFormat="1" ht="21.95" customHeight="1" x14ac:dyDescent="0.15"/>
    <row r="8960" s="9" customFormat="1" ht="21.95" customHeight="1" x14ac:dyDescent="0.15"/>
    <row r="8961" s="9" customFormat="1" ht="21.95" customHeight="1" x14ac:dyDescent="0.15"/>
    <row r="8962" s="9" customFormat="1" ht="21.95" customHeight="1" x14ac:dyDescent="0.15"/>
    <row r="8963" s="9" customFormat="1" ht="21.95" customHeight="1" x14ac:dyDescent="0.15"/>
    <row r="8964" s="9" customFormat="1" ht="21.95" customHeight="1" x14ac:dyDescent="0.15"/>
    <row r="8965" s="9" customFormat="1" ht="21.95" customHeight="1" x14ac:dyDescent="0.15"/>
    <row r="8966" s="9" customFormat="1" ht="21.95" customHeight="1" x14ac:dyDescent="0.15"/>
    <row r="8967" s="9" customFormat="1" ht="21.95" customHeight="1" x14ac:dyDescent="0.15"/>
    <row r="8968" s="9" customFormat="1" ht="21.95" customHeight="1" x14ac:dyDescent="0.15"/>
    <row r="8969" s="9" customFormat="1" ht="21.95" customHeight="1" x14ac:dyDescent="0.15"/>
    <row r="8970" s="9" customFormat="1" ht="21.95" customHeight="1" x14ac:dyDescent="0.15"/>
    <row r="8971" s="9" customFormat="1" ht="21.95" customHeight="1" x14ac:dyDescent="0.15"/>
    <row r="8972" s="9" customFormat="1" ht="21.95" customHeight="1" x14ac:dyDescent="0.15"/>
    <row r="8973" s="9" customFormat="1" ht="21.95" customHeight="1" x14ac:dyDescent="0.15"/>
    <row r="8974" s="9" customFormat="1" ht="21.95" customHeight="1" x14ac:dyDescent="0.15"/>
    <row r="8975" s="9" customFormat="1" ht="21.95" customHeight="1" x14ac:dyDescent="0.15"/>
    <row r="8976" s="9" customFormat="1" ht="21.95" customHeight="1" x14ac:dyDescent="0.15"/>
    <row r="8977" s="9" customFormat="1" ht="21.95" customHeight="1" x14ac:dyDescent="0.15"/>
    <row r="8978" s="9" customFormat="1" ht="21.95" customHeight="1" x14ac:dyDescent="0.15"/>
    <row r="8979" s="9" customFormat="1" ht="21.95" customHeight="1" x14ac:dyDescent="0.15"/>
    <row r="8980" s="9" customFormat="1" ht="21.95" customHeight="1" x14ac:dyDescent="0.15"/>
    <row r="8981" s="9" customFormat="1" ht="21.95" customHeight="1" x14ac:dyDescent="0.15"/>
    <row r="8982" s="9" customFormat="1" ht="35.1" customHeight="1" x14ac:dyDescent="0.15"/>
    <row r="8983" s="9" customFormat="1" ht="21.95" customHeight="1" x14ac:dyDescent="0.15"/>
    <row r="8984" s="9" customFormat="1" ht="21.95" customHeight="1" x14ac:dyDescent="0.15"/>
    <row r="8985" s="9" customFormat="1" ht="21.95" customHeight="1" x14ac:dyDescent="0.15"/>
    <row r="8986" s="9" customFormat="1" ht="21.95" customHeight="1" x14ac:dyDescent="0.15"/>
    <row r="8987" s="9" customFormat="1" ht="21.95" customHeight="1" x14ac:dyDescent="0.15"/>
    <row r="8988" s="9" customFormat="1" ht="21.95" customHeight="1" x14ac:dyDescent="0.15"/>
    <row r="8989" s="9" customFormat="1" ht="21.95" customHeight="1" x14ac:dyDescent="0.15"/>
    <row r="8990" s="9" customFormat="1" ht="21.95" customHeight="1" x14ac:dyDescent="0.15"/>
    <row r="8991" s="9" customFormat="1" ht="21.95" customHeight="1" x14ac:dyDescent="0.15"/>
    <row r="8992" s="9" customFormat="1" ht="21.95" customHeight="1" x14ac:dyDescent="0.15"/>
    <row r="8993" spans="3:3" s="9" customFormat="1" ht="21.95" customHeight="1" x14ac:dyDescent="0.15"/>
    <row r="8994" spans="3:3" s="9" customFormat="1" ht="21.95" customHeight="1" x14ac:dyDescent="0.15"/>
    <row r="8995" spans="3:3" s="9" customFormat="1" ht="21.95" customHeight="1" x14ac:dyDescent="0.15"/>
    <row r="8996" spans="3:3" s="9" customFormat="1" ht="21.95" customHeight="1" x14ac:dyDescent="0.15"/>
    <row r="8997" spans="3:3" s="9" customFormat="1" ht="21.95" customHeight="1" x14ac:dyDescent="0.15"/>
    <row r="8998" spans="3:3" s="9" customFormat="1" ht="21.95" customHeight="1" x14ac:dyDescent="0.15"/>
    <row r="8999" spans="3:3" s="9" customFormat="1" ht="21.95" customHeight="1" x14ac:dyDescent="0.15"/>
    <row r="9000" spans="3:3" s="9" customFormat="1" ht="21.95" customHeight="1" x14ac:dyDescent="0.15"/>
    <row r="9001" spans="3:3" s="9" customFormat="1" ht="21.95" customHeight="1" x14ac:dyDescent="0.15"/>
    <row r="9002" spans="3:3" s="9" customFormat="1" ht="21.95" customHeight="1" x14ac:dyDescent="0.15"/>
    <row r="9003" spans="3:3" s="9" customFormat="1" ht="21.95" customHeight="1" x14ac:dyDescent="0.15"/>
    <row r="9004" spans="3:3" s="9" customFormat="1" ht="21.95" customHeight="1" x14ac:dyDescent="0.15"/>
    <row r="9005" spans="3:3" s="9" customFormat="1" ht="21.95" customHeight="1" x14ac:dyDescent="0.15"/>
    <row r="9006" spans="3:3" s="8" customFormat="1" ht="21.95" customHeight="1" x14ac:dyDescent="0.15"/>
    <row r="9007" spans="3:3" s="8" customFormat="1" ht="21.95" customHeight="1" x14ac:dyDescent="0.15"/>
    <row r="9008" spans="3:3" s="8" customFormat="1" ht="21.95" customHeight="1" x14ac:dyDescent="0.15">
      <c r="C9008" s="101"/>
    </row>
    <row r="9009" spans="3:3" s="8" customFormat="1" ht="21.95" customHeight="1" x14ac:dyDescent="0.15">
      <c r="C9009" s="101"/>
    </row>
    <row r="9010" spans="3:3" s="8" customFormat="1" ht="21.95" customHeight="1" x14ac:dyDescent="0.15"/>
    <row r="9011" spans="3:3" s="8" customFormat="1" ht="21.95" customHeight="1" x14ac:dyDescent="0.15"/>
    <row r="9012" spans="3:3" s="8" customFormat="1" ht="21.95" customHeight="1" x14ac:dyDescent="0.15"/>
    <row r="9013" spans="3:3" s="8" customFormat="1" ht="21.95" customHeight="1" x14ac:dyDescent="0.15"/>
    <row r="9014" spans="3:3" s="8" customFormat="1" ht="21.95" customHeight="1" x14ac:dyDescent="0.15"/>
    <row r="9015" spans="3:3" s="8" customFormat="1" ht="21.95" customHeight="1" x14ac:dyDescent="0.15"/>
    <row r="9016" spans="3:3" s="8" customFormat="1" ht="21.95" customHeight="1" x14ac:dyDescent="0.15"/>
    <row r="9017" spans="3:3" s="9" customFormat="1" ht="21.95" customHeight="1" x14ac:dyDescent="0.15"/>
    <row r="9018" spans="3:3" s="9" customFormat="1" ht="21.95" customHeight="1" x14ac:dyDescent="0.15"/>
    <row r="9019" spans="3:3" s="9" customFormat="1" ht="21.95" customHeight="1" x14ac:dyDescent="0.15"/>
    <row r="9020" spans="3:3" s="9" customFormat="1" ht="21.95" customHeight="1" x14ac:dyDescent="0.15"/>
    <row r="9021" spans="3:3" s="8" customFormat="1" ht="21.95" customHeight="1" x14ac:dyDescent="0.15"/>
    <row r="9022" spans="3:3" s="8" customFormat="1" ht="21.95" customHeight="1" x14ac:dyDescent="0.15"/>
    <row r="9023" spans="3:3" s="8" customFormat="1" ht="21.95" customHeight="1" x14ac:dyDescent="0.15"/>
    <row r="9024" spans="3:3" s="8" customFormat="1" ht="21.95" customHeight="1" x14ac:dyDescent="0.15"/>
    <row r="9025" s="8" customFormat="1" ht="21.95" customHeight="1" x14ac:dyDescent="0.15"/>
    <row r="9026" s="8" customFormat="1" ht="21.95" customHeight="1" x14ac:dyDescent="0.15"/>
    <row r="9027" s="8" customFormat="1" ht="21.95" customHeight="1" x14ac:dyDescent="0.15"/>
    <row r="9028" s="8" customFormat="1" ht="21.95" customHeight="1" x14ac:dyDescent="0.15"/>
    <row r="9029" s="8" customFormat="1" ht="21.95" customHeight="1" x14ac:dyDescent="0.15"/>
    <row r="9030" s="8" customFormat="1" ht="21.95" customHeight="1" x14ac:dyDescent="0.15"/>
    <row r="9031" s="8" customFormat="1" ht="21.95" customHeight="1" x14ac:dyDescent="0.15"/>
    <row r="9032" s="8" customFormat="1" ht="32.1" customHeight="1" x14ac:dyDescent="0.15"/>
    <row r="9033" s="8" customFormat="1" ht="32.1" customHeight="1" x14ac:dyDescent="0.15"/>
    <row r="9034" s="8" customFormat="1" ht="32.1" customHeight="1" x14ac:dyDescent="0.15"/>
    <row r="9035" s="8" customFormat="1" ht="32.1" customHeight="1" x14ac:dyDescent="0.15"/>
    <row r="9036" s="8" customFormat="1" ht="32.1" customHeight="1" x14ac:dyDescent="0.15"/>
    <row r="9037" s="8" customFormat="1" ht="32.1" customHeight="1" x14ac:dyDescent="0.15"/>
    <row r="9038" s="9" customFormat="1" ht="32.1" customHeight="1" x14ac:dyDescent="0.15"/>
    <row r="9039" s="9" customFormat="1" ht="32.1" customHeight="1" x14ac:dyDescent="0.15"/>
    <row r="9040" s="9" customFormat="1" ht="32.1" customHeight="1" x14ac:dyDescent="0.15"/>
    <row r="9041" s="9" customFormat="1" ht="32.1" customHeight="1" x14ac:dyDescent="0.15"/>
    <row r="9042" s="9" customFormat="1" ht="21.95" customHeight="1" x14ac:dyDescent="0.15"/>
    <row r="9043" s="9" customFormat="1" ht="54" customHeight="1" x14ac:dyDescent="0.15"/>
    <row r="9044" s="9" customFormat="1" ht="21.95" customHeight="1" x14ac:dyDescent="0.15"/>
    <row r="9045" s="9" customFormat="1" ht="21.95" customHeight="1" x14ac:dyDescent="0.15"/>
    <row r="9046" s="9" customFormat="1" ht="21.95" customHeight="1" x14ac:dyDescent="0.15"/>
    <row r="9047" s="9" customFormat="1" ht="21.95" customHeight="1" x14ac:dyDescent="0.15"/>
    <row r="9048" s="9" customFormat="1" ht="21.95" customHeight="1" x14ac:dyDescent="0.15"/>
    <row r="9049" s="9" customFormat="1" ht="21.95" customHeight="1" x14ac:dyDescent="0.15"/>
    <row r="9050" s="9" customFormat="1" ht="21.95" customHeight="1" x14ac:dyDescent="0.15"/>
    <row r="9051" s="9" customFormat="1" ht="21.95" customHeight="1" x14ac:dyDescent="0.15"/>
    <row r="9052" s="9" customFormat="1" ht="21.95" customHeight="1" x14ac:dyDescent="0.15"/>
    <row r="9053" s="9" customFormat="1" ht="21.95" customHeight="1" x14ac:dyDescent="0.15"/>
    <row r="9054" s="9" customFormat="1" ht="21.95" customHeight="1" x14ac:dyDescent="0.15"/>
    <row r="9055" s="9" customFormat="1" ht="21.95" customHeight="1" x14ac:dyDescent="0.15"/>
    <row r="9056" s="9" customFormat="1" ht="21.95" customHeight="1" x14ac:dyDescent="0.15"/>
    <row r="9057" s="9" customFormat="1" ht="21.95" customHeight="1" x14ac:dyDescent="0.15"/>
    <row r="9058" s="9" customFormat="1" ht="21.95" customHeight="1" x14ac:dyDescent="0.15"/>
    <row r="9059" s="9" customFormat="1" ht="21.95" customHeight="1" x14ac:dyDescent="0.15"/>
    <row r="9060" s="9" customFormat="1" ht="21.95" customHeight="1" x14ac:dyDescent="0.15"/>
    <row r="9061" s="9" customFormat="1" ht="21.95" customHeight="1" x14ac:dyDescent="0.15"/>
    <row r="9062" s="9" customFormat="1" ht="21.95" customHeight="1" x14ac:dyDescent="0.15"/>
    <row r="9063" s="9" customFormat="1" ht="21.95" customHeight="1" x14ac:dyDescent="0.15"/>
    <row r="9064" s="9" customFormat="1" ht="21.95" customHeight="1" x14ac:dyDescent="0.15"/>
    <row r="9065" s="9" customFormat="1" ht="21.95" customHeight="1" x14ac:dyDescent="0.15"/>
    <row r="9066" s="9" customFormat="1" ht="21.95" customHeight="1" x14ac:dyDescent="0.15"/>
    <row r="9067" s="9" customFormat="1" ht="21.95" customHeight="1" x14ac:dyDescent="0.15"/>
    <row r="9068" s="9" customFormat="1" ht="21.95" customHeight="1" x14ac:dyDescent="0.15"/>
    <row r="9069" s="9" customFormat="1" ht="21.95" customHeight="1" x14ac:dyDescent="0.15"/>
    <row r="9070" s="9" customFormat="1" ht="21.95" customHeight="1" x14ac:dyDescent="0.15"/>
    <row r="9071" s="9" customFormat="1" ht="21.95" customHeight="1" x14ac:dyDescent="0.15"/>
    <row r="9072" s="9" customFormat="1" ht="21.95" customHeight="1" x14ac:dyDescent="0.15"/>
    <row r="9073" s="9" customFormat="1" ht="21.95" customHeight="1" x14ac:dyDescent="0.15"/>
    <row r="9074" s="9" customFormat="1" ht="21.95" customHeight="1" x14ac:dyDescent="0.15"/>
    <row r="9075" s="9" customFormat="1" ht="21.95" customHeight="1" x14ac:dyDescent="0.15"/>
    <row r="9076" s="9" customFormat="1" ht="21.95" customHeight="1" x14ac:dyDescent="0.15"/>
    <row r="9077" s="9" customFormat="1" ht="21.95" customHeight="1" x14ac:dyDescent="0.15"/>
    <row r="9078" s="9" customFormat="1" ht="21.95" customHeight="1" x14ac:dyDescent="0.15"/>
    <row r="9079" s="9" customFormat="1" ht="21.95" customHeight="1" x14ac:dyDescent="0.15"/>
    <row r="9080" s="9" customFormat="1" ht="21.95" customHeight="1" x14ac:dyDescent="0.15"/>
    <row r="9081" s="9" customFormat="1" ht="21.95" customHeight="1" x14ac:dyDescent="0.15"/>
    <row r="9082" s="9" customFormat="1" ht="21.95" customHeight="1" x14ac:dyDescent="0.15"/>
    <row r="9083" s="9" customFormat="1" ht="21.95" customHeight="1" x14ac:dyDescent="0.15"/>
    <row r="9084" s="9" customFormat="1" ht="21.95" customHeight="1" x14ac:dyDescent="0.15"/>
    <row r="9085" s="9" customFormat="1" ht="21.95" customHeight="1" x14ac:dyDescent="0.15"/>
    <row r="9086" s="9" customFormat="1" ht="21.95" customHeight="1" x14ac:dyDescent="0.15"/>
    <row r="9087" s="9" customFormat="1" ht="21.95" customHeight="1" x14ac:dyDescent="0.15"/>
    <row r="9088" s="9" customFormat="1" ht="21.95" customHeight="1" x14ac:dyDescent="0.15"/>
    <row r="9089" s="9" customFormat="1" ht="21.95" customHeight="1" x14ac:dyDescent="0.15"/>
    <row r="9090" s="9" customFormat="1" ht="21.95" customHeight="1" x14ac:dyDescent="0.15"/>
    <row r="9091" s="9" customFormat="1" ht="21.95" customHeight="1" x14ac:dyDescent="0.15"/>
    <row r="9092" s="9" customFormat="1" ht="21.95" customHeight="1" x14ac:dyDescent="0.15"/>
    <row r="9093" s="9" customFormat="1" ht="21.95" customHeight="1" x14ac:dyDescent="0.15"/>
    <row r="9094" s="9" customFormat="1" ht="35.1" customHeight="1" x14ac:dyDescent="0.15"/>
    <row r="9095" s="9" customFormat="1" ht="21.95" customHeight="1" x14ac:dyDescent="0.15"/>
    <row r="9096" s="9" customFormat="1" ht="21.95" customHeight="1" x14ac:dyDescent="0.15"/>
    <row r="9097" s="9" customFormat="1" ht="21.95" customHeight="1" x14ac:dyDescent="0.15"/>
    <row r="9098" s="9" customFormat="1" ht="21.95" customHeight="1" x14ac:dyDescent="0.15"/>
    <row r="9099" s="9" customFormat="1" ht="21.95" customHeight="1" x14ac:dyDescent="0.15"/>
    <row r="9100" s="9" customFormat="1" ht="21.95" customHeight="1" x14ac:dyDescent="0.15"/>
    <row r="9101" s="9" customFormat="1" ht="21.95" customHeight="1" x14ac:dyDescent="0.15"/>
    <row r="9102" s="9" customFormat="1" ht="21.95" customHeight="1" x14ac:dyDescent="0.15"/>
    <row r="9103" s="9" customFormat="1" ht="21.95" customHeight="1" x14ac:dyDescent="0.15"/>
    <row r="9104" s="9" customFormat="1" ht="21.95" customHeight="1" x14ac:dyDescent="0.15"/>
    <row r="9105" spans="3:3" s="9" customFormat="1" ht="21.95" customHeight="1" x14ac:dyDescent="0.15"/>
    <row r="9106" spans="3:3" s="9" customFormat="1" ht="21.95" customHeight="1" x14ac:dyDescent="0.15"/>
    <row r="9107" spans="3:3" s="9" customFormat="1" ht="21.95" customHeight="1" x14ac:dyDescent="0.15"/>
    <row r="9108" spans="3:3" s="9" customFormat="1" ht="21.95" customHeight="1" x14ac:dyDescent="0.15"/>
    <row r="9109" spans="3:3" s="9" customFormat="1" ht="21.95" customHeight="1" x14ac:dyDescent="0.15"/>
    <row r="9110" spans="3:3" s="9" customFormat="1" ht="21.95" customHeight="1" x14ac:dyDescent="0.15"/>
    <row r="9111" spans="3:3" s="9" customFormat="1" ht="21.95" customHeight="1" x14ac:dyDescent="0.15"/>
    <row r="9112" spans="3:3" s="9" customFormat="1" ht="21.95" customHeight="1" x14ac:dyDescent="0.15"/>
    <row r="9113" spans="3:3" s="9" customFormat="1" ht="21.95" customHeight="1" x14ac:dyDescent="0.15"/>
    <row r="9114" spans="3:3" s="9" customFormat="1" ht="21.95" customHeight="1" x14ac:dyDescent="0.15"/>
    <row r="9115" spans="3:3" s="9" customFormat="1" ht="21.95" customHeight="1" x14ac:dyDescent="0.15"/>
    <row r="9116" spans="3:3" s="9" customFormat="1" ht="21.95" customHeight="1" x14ac:dyDescent="0.15"/>
    <row r="9117" spans="3:3" s="9" customFormat="1" ht="21.95" customHeight="1" x14ac:dyDescent="0.15"/>
    <row r="9118" spans="3:3" s="8" customFormat="1" ht="21.95" customHeight="1" x14ac:dyDescent="0.15"/>
    <row r="9119" spans="3:3" s="8" customFormat="1" ht="21.95" customHeight="1" x14ac:dyDescent="0.15"/>
    <row r="9120" spans="3:3" s="8" customFormat="1" ht="21.95" customHeight="1" x14ac:dyDescent="0.15">
      <c r="C9120" s="101"/>
    </row>
    <row r="9121" spans="3:3" s="8" customFormat="1" ht="21.95" customHeight="1" x14ac:dyDescent="0.15">
      <c r="C9121" s="101"/>
    </row>
    <row r="9122" spans="3:3" s="8" customFormat="1" ht="21.95" customHeight="1" x14ac:dyDescent="0.15"/>
    <row r="9123" spans="3:3" s="8" customFormat="1" ht="21.95" customHeight="1" x14ac:dyDescent="0.15"/>
    <row r="9124" spans="3:3" s="8" customFormat="1" ht="21.95" customHeight="1" x14ac:dyDescent="0.15"/>
    <row r="9125" spans="3:3" s="8" customFormat="1" ht="21.95" customHeight="1" x14ac:dyDescent="0.15"/>
    <row r="9126" spans="3:3" s="8" customFormat="1" ht="21.95" customHeight="1" x14ac:dyDescent="0.15"/>
    <row r="9127" spans="3:3" s="8" customFormat="1" ht="21.95" customHeight="1" x14ac:dyDescent="0.15"/>
    <row r="9128" spans="3:3" s="8" customFormat="1" ht="21.95" customHeight="1" x14ac:dyDescent="0.15"/>
    <row r="9129" spans="3:3" s="9" customFormat="1" ht="21.95" customHeight="1" x14ac:dyDescent="0.15"/>
    <row r="9130" spans="3:3" s="9" customFormat="1" ht="21.95" customHeight="1" x14ac:dyDescent="0.15"/>
    <row r="9131" spans="3:3" s="9" customFormat="1" ht="21.95" customHeight="1" x14ac:dyDescent="0.15"/>
    <row r="9132" spans="3:3" s="9" customFormat="1" ht="21.95" customHeight="1" x14ac:dyDescent="0.15"/>
    <row r="9133" spans="3:3" s="8" customFormat="1" ht="21.95" customHeight="1" x14ac:dyDescent="0.15"/>
    <row r="9134" spans="3:3" s="8" customFormat="1" ht="21.95" customHeight="1" x14ac:dyDescent="0.15"/>
    <row r="9135" spans="3:3" s="8" customFormat="1" ht="21.95" customHeight="1" x14ac:dyDescent="0.15"/>
    <row r="9136" spans="3:3" s="8" customFormat="1" ht="21.95" customHeight="1" x14ac:dyDescent="0.15"/>
    <row r="9137" s="8" customFormat="1" ht="21.95" customHeight="1" x14ac:dyDescent="0.15"/>
    <row r="9138" s="8" customFormat="1" ht="21.95" customHeight="1" x14ac:dyDescent="0.15"/>
    <row r="9139" s="8" customFormat="1" ht="21.95" customHeight="1" x14ac:dyDescent="0.15"/>
    <row r="9140" s="8" customFormat="1" ht="21.95" customHeight="1" x14ac:dyDescent="0.15"/>
    <row r="9141" s="8" customFormat="1" ht="21.95" customHeight="1" x14ac:dyDescent="0.15"/>
    <row r="9142" s="8" customFormat="1" ht="21.95" customHeight="1" x14ac:dyDescent="0.15"/>
    <row r="9143" s="8" customFormat="1" ht="21.95" customHeight="1" x14ac:dyDescent="0.15"/>
    <row r="9144" s="8" customFormat="1" ht="32.1" customHeight="1" x14ac:dyDescent="0.15"/>
    <row r="9145" s="8" customFormat="1" ht="32.1" customHeight="1" x14ac:dyDescent="0.15"/>
    <row r="9146" s="8" customFormat="1" ht="32.1" customHeight="1" x14ac:dyDescent="0.15"/>
    <row r="9147" s="8" customFormat="1" ht="32.1" customHeight="1" x14ac:dyDescent="0.15"/>
    <row r="9148" s="8" customFormat="1" ht="32.1" customHeight="1" x14ac:dyDescent="0.15"/>
    <row r="9149" s="8" customFormat="1" ht="32.1" customHeight="1" x14ac:dyDescent="0.15"/>
    <row r="9150" s="9" customFormat="1" ht="32.1" customHeight="1" x14ac:dyDescent="0.15"/>
    <row r="9151" s="9" customFormat="1" ht="32.1" customHeight="1" x14ac:dyDescent="0.15"/>
    <row r="9152" s="9" customFormat="1" ht="32.1" customHeight="1" x14ac:dyDescent="0.15"/>
    <row r="9153" s="9" customFormat="1" ht="32.1" customHeight="1" x14ac:dyDescent="0.15"/>
    <row r="9154" s="9" customFormat="1" ht="21.95" customHeight="1" x14ac:dyDescent="0.15"/>
    <row r="9155" s="9" customFormat="1" ht="54" customHeight="1" x14ac:dyDescent="0.15"/>
    <row r="9156" s="9" customFormat="1" ht="21.95" customHeight="1" x14ac:dyDescent="0.15"/>
    <row r="9157" s="9" customFormat="1" ht="21.95" customHeight="1" x14ac:dyDescent="0.15"/>
    <row r="9158" s="9" customFormat="1" ht="21.95" customHeight="1" x14ac:dyDescent="0.15"/>
    <row r="9159" s="9" customFormat="1" ht="21.95" customHeight="1" x14ac:dyDescent="0.15"/>
    <row r="9160" s="9" customFormat="1" ht="21.95" customHeight="1" x14ac:dyDescent="0.15"/>
    <row r="9161" s="9" customFormat="1" ht="21.95" customHeight="1" x14ac:dyDescent="0.15"/>
    <row r="9162" s="9" customFormat="1" ht="21.95" customHeight="1" x14ac:dyDescent="0.15"/>
    <row r="9163" s="9" customFormat="1" ht="21.95" customHeight="1" x14ac:dyDescent="0.15"/>
    <row r="9164" s="9" customFormat="1" ht="21.95" customHeight="1" x14ac:dyDescent="0.15"/>
    <row r="9165" s="9" customFormat="1" ht="21.95" customHeight="1" x14ac:dyDescent="0.15"/>
    <row r="9166" s="9" customFormat="1" ht="21.95" customHeight="1" x14ac:dyDescent="0.15"/>
    <row r="9167" s="9" customFormat="1" ht="21.95" customHeight="1" x14ac:dyDescent="0.15"/>
    <row r="9168" s="9" customFormat="1" ht="21.95" customHeight="1" x14ac:dyDescent="0.15"/>
    <row r="9169" s="9" customFormat="1" ht="21.95" customHeight="1" x14ac:dyDescent="0.15"/>
    <row r="9170" s="9" customFormat="1" ht="21.95" customHeight="1" x14ac:dyDescent="0.15"/>
    <row r="9171" s="9" customFormat="1" ht="21.95" customHeight="1" x14ac:dyDescent="0.15"/>
    <row r="9172" s="9" customFormat="1" ht="21.95" customHeight="1" x14ac:dyDescent="0.15"/>
    <row r="9173" s="9" customFormat="1" ht="21.95" customHeight="1" x14ac:dyDescent="0.15"/>
    <row r="9174" s="9" customFormat="1" ht="21.95" customHeight="1" x14ac:dyDescent="0.15"/>
    <row r="9175" s="9" customFormat="1" ht="21.95" customHeight="1" x14ac:dyDescent="0.15"/>
    <row r="9176" s="9" customFormat="1" ht="21.95" customHeight="1" x14ac:dyDescent="0.15"/>
    <row r="9177" s="9" customFormat="1" ht="21.95" customHeight="1" x14ac:dyDescent="0.15"/>
    <row r="9178" s="9" customFormat="1" ht="21.95" customHeight="1" x14ac:dyDescent="0.15"/>
    <row r="9179" s="9" customFormat="1" ht="21.95" customHeight="1" x14ac:dyDescent="0.15"/>
    <row r="9180" s="9" customFormat="1" ht="21.95" customHeight="1" x14ac:dyDescent="0.15"/>
    <row r="9181" s="9" customFormat="1" ht="21.95" customHeight="1" x14ac:dyDescent="0.15"/>
    <row r="9182" s="9" customFormat="1" ht="21.95" customHeight="1" x14ac:dyDescent="0.15"/>
    <row r="9183" s="9" customFormat="1" ht="21.95" customHeight="1" x14ac:dyDescent="0.15"/>
    <row r="9184" s="9" customFormat="1" ht="21.95" customHeight="1" x14ac:dyDescent="0.15"/>
    <row r="9185" s="9" customFormat="1" ht="21.95" customHeight="1" x14ac:dyDescent="0.15"/>
    <row r="9186" s="9" customFormat="1" ht="21.95" customHeight="1" x14ac:dyDescent="0.15"/>
    <row r="9187" s="9" customFormat="1" ht="21.95" customHeight="1" x14ac:dyDescent="0.15"/>
    <row r="9188" s="9" customFormat="1" ht="21.95" customHeight="1" x14ac:dyDescent="0.15"/>
    <row r="9189" s="9" customFormat="1" ht="21.95" customHeight="1" x14ac:dyDescent="0.15"/>
    <row r="9190" s="9" customFormat="1" ht="21.95" customHeight="1" x14ac:dyDescent="0.15"/>
    <row r="9191" s="9" customFormat="1" ht="21.95" customHeight="1" x14ac:dyDescent="0.15"/>
    <row r="9192" s="9" customFormat="1" ht="21.95" customHeight="1" x14ac:dyDescent="0.15"/>
    <row r="9193" s="9" customFormat="1" ht="21.95" customHeight="1" x14ac:dyDescent="0.15"/>
    <row r="9194" s="9" customFormat="1" ht="21.95" customHeight="1" x14ac:dyDescent="0.15"/>
    <row r="9195" s="9" customFormat="1" ht="21.95" customHeight="1" x14ac:dyDescent="0.15"/>
    <row r="9196" s="9" customFormat="1" ht="21.95" customHeight="1" x14ac:dyDescent="0.15"/>
    <row r="9197" s="9" customFormat="1" ht="21.95" customHeight="1" x14ac:dyDescent="0.15"/>
    <row r="9198" s="9" customFormat="1" ht="21.95" customHeight="1" x14ac:dyDescent="0.15"/>
    <row r="9199" s="9" customFormat="1" ht="21.95" customHeight="1" x14ac:dyDescent="0.15"/>
    <row r="9200" s="9" customFormat="1" ht="21.95" customHeight="1" x14ac:dyDescent="0.15"/>
    <row r="9201" s="9" customFormat="1" ht="21.95" customHeight="1" x14ac:dyDescent="0.15"/>
    <row r="9202" s="9" customFormat="1" ht="21.95" customHeight="1" x14ac:dyDescent="0.15"/>
    <row r="9203" s="9" customFormat="1" ht="21.95" customHeight="1" x14ac:dyDescent="0.15"/>
    <row r="9204" s="9" customFormat="1" ht="21.95" customHeight="1" x14ac:dyDescent="0.15"/>
    <row r="9205" s="9" customFormat="1" ht="21.95" customHeight="1" x14ac:dyDescent="0.15"/>
    <row r="9206" s="9" customFormat="1" ht="35.1" customHeight="1" x14ac:dyDescent="0.15"/>
    <row r="9207" s="9" customFormat="1" ht="21.95" customHeight="1" x14ac:dyDescent="0.15"/>
    <row r="9208" s="9" customFormat="1" ht="21.95" customHeight="1" x14ac:dyDescent="0.15"/>
    <row r="9209" s="9" customFormat="1" ht="21.95" customHeight="1" x14ac:dyDescent="0.15"/>
    <row r="9210" s="9" customFormat="1" ht="21.95" customHeight="1" x14ac:dyDescent="0.15"/>
    <row r="9211" s="9" customFormat="1" ht="21.95" customHeight="1" x14ac:dyDescent="0.15"/>
    <row r="9212" s="9" customFormat="1" ht="21.95" customHeight="1" x14ac:dyDescent="0.15"/>
    <row r="9213" s="9" customFormat="1" ht="21.95" customHeight="1" x14ac:dyDescent="0.15"/>
    <row r="9214" s="9" customFormat="1" ht="21.95" customHeight="1" x14ac:dyDescent="0.15"/>
    <row r="9215" s="9" customFormat="1" ht="21.95" customHeight="1" x14ac:dyDescent="0.15"/>
    <row r="9216" s="9" customFormat="1" ht="21.95" customHeight="1" x14ac:dyDescent="0.15"/>
    <row r="9217" spans="3:3" s="9" customFormat="1" ht="21.95" customHeight="1" x14ac:dyDescent="0.15"/>
    <row r="9218" spans="3:3" s="9" customFormat="1" ht="21.95" customHeight="1" x14ac:dyDescent="0.15"/>
    <row r="9219" spans="3:3" s="9" customFormat="1" ht="21.95" customHeight="1" x14ac:dyDescent="0.15"/>
    <row r="9220" spans="3:3" s="9" customFormat="1" ht="21.95" customHeight="1" x14ac:dyDescent="0.15"/>
    <row r="9221" spans="3:3" s="9" customFormat="1" ht="21.95" customHeight="1" x14ac:dyDescent="0.15"/>
    <row r="9222" spans="3:3" s="9" customFormat="1" ht="21.95" customHeight="1" x14ac:dyDescent="0.15"/>
    <row r="9223" spans="3:3" s="9" customFormat="1" ht="21.95" customHeight="1" x14ac:dyDescent="0.15"/>
    <row r="9224" spans="3:3" s="9" customFormat="1" ht="21.95" customHeight="1" x14ac:dyDescent="0.15"/>
    <row r="9225" spans="3:3" s="9" customFormat="1" ht="21.95" customHeight="1" x14ac:dyDescent="0.15"/>
    <row r="9226" spans="3:3" s="9" customFormat="1" ht="21.95" customHeight="1" x14ac:dyDescent="0.15"/>
    <row r="9227" spans="3:3" s="9" customFormat="1" ht="21.95" customHeight="1" x14ac:dyDescent="0.15"/>
    <row r="9228" spans="3:3" s="9" customFormat="1" ht="21.95" customHeight="1" x14ac:dyDescent="0.15"/>
    <row r="9229" spans="3:3" s="9" customFormat="1" ht="21.95" customHeight="1" x14ac:dyDescent="0.15"/>
    <row r="9230" spans="3:3" s="8" customFormat="1" ht="21.95" customHeight="1" x14ac:dyDescent="0.15"/>
    <row r="9231" spans="3:3" s="8" customFormat="1" ht="21.95" customHeight="1" x14ac:dyDescent="0.15"/>
    <row r="9232" spans="3:3" s="8" customFormat="1" ht="21.95" customHeight="1" x14ac:dyDescent="0.15">
      <c r="C9232" s="101"/>
    </row>
    <row r="9233" spans="3:3" s="8" customFormat="1" ht="21.95" customHeight="1" x14ac:dyDescent="0.15">
      <c r="C9233" s="101"/>
    </row>
    <row r="9234" spans="3:3" s="8" customFormat="1" ht="21.95" customHeight="1" x14ac:dyDescent="0.15"/>
    <row r="9235" spans="3:3" s="8" customFormat="1" ht="21.95" customHeight="1" x14ac:dyDescent="0.15"/>
    <row r="9236" spans="3:3" s="8" customFormat="1" ht="21.95" customHeight="1" x14ac:dyDescent="0.15"/>
    <row r="9237" spans="3:3" s="8" customFormat="1" ht="21.95" customHeight="1" x14ac:dyDescent="0.15"/>
    <row r="9238" spans="3:3" s="8" customFormat="1" ht="21.95" customHeight="1" x14ac:dyDescent="0.15"/>
    <row r="9239" spans="3:3" s="8" customFormat="1" ht="21.95" customHeight="1" x14ac:dyDescent="0.15"/>
    <row r="9240" spans="3:3" s="8" customFormat="1" ht="21.95" customHeight="1" x14ac:dyDescent="0.15"/>
    <row r="9241" spans="3:3" s="9" customFormat="1" ht="21.95" customHeight="1" x14ac:dyDescent="0.15"/>
    <row r="9242" spans="3:3" s="9" customFormat="1" ht="21.95" customHeight="1" x14ac:dyDescent="0.15"/>
    <row r="9243" spans="3:3" s="9" customFormat="1" ht="21.95" customHeight="1" x14ac:dyDescent="0.15"/>
    <row r="9244" spans="3:3" s="9" customFormat="1" ht="21.95" customHeight="1" x14ac:dyDescent="0.15"/>
    <row r="9245" spans="3:3" s="8" customFormat="1" ht="21.95" customHeight="1" x14ac:dyDescent="0.15"/>
    <row r="9246" spans="3:3" s="8" customFormat="1" ht="21.95" customHeight="1" x14ac:dyDescent="0.15"/>
    <row r="9247" spans="3:3" s="8" customFormat="1" ht="21.95" customHeight="1" x14ac:dyDescent="0.15"/>
    <row r="9248" spans="3:3" s="8" customFormat="1" ht="21.95" customHeight="1" x14ac:dyDescent="0.15"/>
    <row r="9249" s="8" customFormat="1" ht="21.95" customHeight="1" x14ac:dyDescent="0.15"/>
    <row r="9250" s="8" customFormat="1" ht="21.95" customHeight="1" x14ac:dyDescent="0.15"/>
    <row r="9251" s="8" customFormat="1" ht="21.95" customHeight="1" x14ac:dyDescent="0.15"/>
    <row r="9252" s="8" customFormat="1" ht="21.95" customHeight="1" x14ac:dyDescent="0.15"/>
    <row r="9253" s="8" customFormat="1" ht="21.95" customHeight="1" x14ac:dyDescent="0.15"/>
    <row r="9254" s="8" customFormat="1" ht="21.95" customHeight="1" x14ac:dyDescent="0.15"/>
    <row r="9255" s="8" customFormat="1" ht="21.95" customHeight="1" x14ac:dyDescent="0.15"/>
    <row r="9256" s="8" customFormat="1" ht="32.1" customHeight="1" x14ac:dyDescent="0.15"/>
    <row r="9257" s="8" customFormat="1" ht="32.1" customHeight="1" x14ac:dyDescent="0.15"/>
    <row r="9258" s="8" customFormat="1" ht="32.1" customHeight="1" x14ac:dyDescent="0.15"/>
    <row r="9259" s="8" customFormat="1" ht="32.1" customHeight="1" x14ac:dyDescent="0.15"/>
    <row r="9260" s="8" customFormat="1" ht="32.1" customHeight="1" x14ac:dyDescent="0.15"/>
    <row r="9261" s="8" customFormat="1" ht="32.1" customHeight="1" x14ac:dyDescent="0.15"/>
    <row r="9262" s="9" customFormat="1" ht="32.1" customHeight="1" x14ac:dyDescent="0.15"/>
    <row r="9263" s="9" customFormat="1" ht="32.1" customHeight="1" x14ac:dyDescent="0.15"/>
    <row r="9264" s="9" customFormat="1" ht="32.1" customHeight="1" x14ac:dyDescent="0.15"/>
    <row r="9265" s="9" customFormat="1" ht="32.1" customHeight="1" x14ac:dyDescent="0.15"/>
    <row r="9266" s="9" customFormat="1" ht="21.95" customHeight="1" x14ac:dyDescent="0.15"/>
    <row r="9267" s="9" customFormat="1" ht="54" customHeight="1" x14ac:dyDescent="0.15"/>
    <row r="9268" s="9" customFormat="1" ht="21.95" customHeight="1" x14ac:dyDescent="0.15"/>
    <row r="9269" s="9" customFormat="1" ht="21.95" customHeight="1" x14ac:dyDescent="0.15"/>
    <row r="9270" s="9" customFormat="1" ht="21.95" customHeight="1" x14ac:dyDescent="0.15"/>
    <row r="9271" s="9" customFormat="1" ht="21.95" customHeight="1" x14ac:dyDescent="0.15"/>
    <row r="9272" s="9" customFormat="1" ht="21.95" customHeight="1" x14ac:dyDescent="0.15"/>
    <row r="9273" s="9" customFormat="1" ht="21.95" customHeight="1" x14ac:dyDescent="0.15"/>
    <row r="9274" s="9" customFormat="1" ht="21.95" customHeight="1" x14ac:dyDescent="0.15"/>
    <row r="9275" s="9" customFormat="1" ht="21.95" customHeight="1" x14ac:dyDescent="0.15"/>
    <row r="9276" s="9" customFormat="1" ht="21.95" customHeight="1" x14ac:dyDescent="0.15"/>
    <row r="9277" s="9" customFormat="1" ht="21.95" customHeight="1" x14ac:dyDescent="0.15"/>
    <row r="9278" s="9" customFormat="1" ht="21.95" customHeight="1" x14ac:dyDescent="0.15"/>
    <row r="9279" s="9" customFormat="1" ht="21.95" customHeight="1" x14ac:dyDescent="0.15"/>
    <row r="9280" s="9" customFormat="1" ht="21.95" customHeight="1" x14ac:dyDescent="0.15"/>
    <row r="9281" s="9" customFormat="1" ht="21.95" customHeight="1" x14ac:dyDescent="0.15"/>
    <row r="9282" s="9" customFormat="1" ht="21.95" customHeight="1" x14ac:dyDescent="0.15"/>
    <row r="9283" s="9" customFormat="1" ht="21.95" customHeight="1" x14ac:dyDescent="0.15"/>
    <row r="9284" s="9" customFormat="1" ht="21.95" customHeight="1" x14ac:dyDescent="0.15"/>
    <row r="9285" s="9" customFormat="1" ht="21.95" customHeight="1" x14ac:dyDescent="0.15"/>
    <row r="9286" s="9" customFormat="1" ht="21.95" customHeight="1" x14ac:dyDescent="0.15"/>
    <row r="9287" s="9" customFormat="1" ht="21.95" customHeight="1" x14ac:dyDescent="0.15"/>
    <row r="9288" s="9" customFormat="1" ht="21.95" customHeight="1" x14ac:dyDescent="0.15"/>
    <row r="9289" s="9" customFormat="1" ht="21.95" customHeight="1" x14ac:dyDescent="0.15"/>
    <row r="9290" s="9" customFormat="1" ht="21.95" customHeight="1" x14ac:dyDescent="0.15"/>
    <row r="9291" s="9" customFormat="1" ht="21.95" customHeight="1" x14ac:dyDescent="0.15"/>
    <row r="9292" s="9" customFormat="1" ht="21.95" customHeight="1" x14ac:dyDescent="0.15"/>
    <row r="9293" s="9" customFormat="1" ht="21.95" customHeight="1" x14ac:dyDescent="0.15"/>
    <row r="9294" s="9" customFormat="1" ht="21.95" customHeight="1" x14ac:dyDescent="0.15"/>
    <row r="9295" s="9" customFormat="1" ht="21.95" customHeight="1" x14ac:dyDescent="0.15"/>
    <row r="9296" s="9" customFormat="1" ht="21.95" customHeight="1" x14ac:dyDescent="0.15"/>
    <row r="9297" s="9" customFormat="1" ht="21.95" customHeight="1" x14ac:dyDescent="0.15"/>
    <row r="9298" s="9" customFormat="1" ht="21.95" customHeight="1" x14ac:dyDescent="0.15"/>
    <row r="9299" s="9" customFormat="1" ht="21.95" customHeight="1" x14ac:dyDescent="0.15"/>
    <row r="9300" s="9" customFormat="1" ht="21.95" customHeight="1" x14ac:dyDescent="0.15"/>
    <row r="9301" s="9" customFormat="1" ht="21.95" customHeight="1" x14ac:dyDescent="0.15"/>
    <row r="9302" s="9" customFormat="1" ht="21.95" customHeight="1" x14ac:dyDescent="0.15"/>
    <row r="9303" s="9" customFormat="1" ht="21.95" customHeight="1" x14ac:dyDescent="0.15"/>
    <row r="9304" s="9" customFormat="1" ht="21.95" customHeight="1" x14ac:dyDescent="0.15"/>
    <row r="9305" s="9" customFormat="1" ht="21.95" customHeight="1" x14ac:dyDescent="0.15"/>
    <row r="9306" s="9" customFormat="1" ht="21.95" customHeight="1" x14ac:dyDescent="0.15"/>
    <row r="9307" s="9" customFormat="1" ht="21.95" customHeight="1" x14ac:dyDescent="0.15"/>
    <row r="9308" s="9" customFormat="1" ht="21.95" customHeight="1" x14ac:dyDescent="0.15"/>
    <row r="9309" s="9" customFormat="1" ht="21.95" customHeight="1" x14ac:dyDescent="0.15"/>
    <row r="9310" s="9" customFormat="1" ht="21.95" customHeight="1" x14ac:dyDescent="0.15"/>
    <row r="9311" s="9" customFormat="1" ht="21.95" customHeight="1" x14ac:dyDescent="0.15"/>
    <row r="9312" s="9" customFormat="1" ht="21.95" customHeight="1" x14ac:dyDescent="0.15"/>
    <row r="9313" s="9" customFormat="1" ht="21.95" customHeight="1" x14ac:dyDescent="0.15"/>
    <row r="9314" s="9" customFormat="1" ht="21.95" customHeight="1" x14ac:dyDescent="0.15"/>
    <row r="9315" s="9" customFormat="1" ht="21.95" customHeight="1" x14ac:dyDescent="0.15"/>
    <row r="9316" s="9" customFormat="1" ht="21.95" customHeight="1" x14ac:dyDescent="0.15"/>
    <row r="9317" s="9" customFormat="1" ht="21.95" customHeight="1" x14ac:dyDescent="0.15"/>
    <row r="9318" s="9" customFormat="1" ht="35.1" customHeight="1" x14ac:dyDescent="0.15"/>
    <row r="9319" s="9" customFormat="1" ht="21.95" customHeight="1" x14ac:dyDescent="0.15"/>
    <row r="9320" s="9" customFormat="1" ht="21.95" customHeight="1" x14ac:dyDescent="0.15"/>
    <row r="9321" s="9" customFormat="1" ht="21.95" customHeight="1" x14ac:dyDescent="0.15"/>
    <row r="9322" s="9" customFormat="1" ht="21.95" customHeight="1" x14ac:dyDescent="0.15"/>
    <row r="9323" s="9" customFormat="1" ht="21.95" customHeight="1" x14ac:dyDescent="0.15"/>
    <row r="9324" s="9" customFormat="1" ht="21.95" customHeight="1" x14ac:dyDescent="0.15"/>
    <row r="9325" s="9" customFormat="1" ht="21.95" customHeight="1" x14ac:dyDescent="0.15"/>
    <row r="9326" s="9" customFormat="1" ht="21.95" customHeight="1" x14ac:dyDescent="0.15"/>
    <row r="9327" s="9" customFormat="1" ht="21.95" customHeight="1" x14ac:dyDescent="0.15"/>
    <row r="9328" s="9" customFormat="1" ht="21.95" customHeight="1" x14ac:dyDescent="0.15"/>
    <row r="9329" spans="3:3" s="9" customFormat="1" ht="21.95" customHeight="1" x14ac:dyDescent="0.15"/>
    <row r="9330" spans="3:3" s="9" customFormat="1" ht="21.95" customHeight="1" x14ac:dyDescent="0.15"/>
    <row r="9331" spans="3:3" s="9" customFormat="1" ht="21.95" customHeight="1" x14ac:dyDescent="0.15"/>
    <row r="9332" spans="3:3" s="9" customFormat="1" ht="21.95" customHeight="1" x14ac:dyDescent="0.15"/>
    <row r="9333" spans="3:3" s="9" customFormat="1" ht="21.95" customHeight="1" x14ac:dyDescent="0.15"/>
    <row r="9334" spans="3:3" s="9" customFormat="1" ht="21.95" customHeight="1" x14ac:dyDescent="0.15"/>
    <row r="9335" spans="3:3" s="9" customFormat="1" ht="21.95" customHeight="1" x14ac:dyDescent="0.15"/>
    <row r="9336" spans="3:3" s="9" customFormat="1" ht="21.95" customHeight="1" x14ac:dyDescent="0.15"/>
    <row r="9337" spans="3:3" s="9" customFormat="1" ht="21.95" customHeight="1" x14ac:dyDescent="0.15"/>
    <row r="9338" spans="3:3" s="9" customFormat="1" ht="21.95" customHeight="1" x14ac:dyDescent="0.15"/>
    <row r="9339" spans="3:3" s="9" customFormat="1" ht="21.95" customHeight="1" x14ac:dyDescent="0.15"/>
    <row r="9340" spans="3:3" s="9" customFormat="1" ht="21.95" customHeight="1" x14ac:dyDescent="0.15"/>
    <row r="9341" spans="3:3" s="9" customFormat="1" ht="21.95" customHeight="1" x14ac:dyDescent="0.15"/>
    <row r="9342" spans="3:3" s="8" customFormat="1" ht="21.95" customHeight="1" x14ac:dyDescent="0.15"/>
    <row r="9343" spans="3:3" s="8" customFormat="1" ht="21.95" customHeight="1" x14ac:dyDescent="0.15"/>
    <row r="9344" spans="3:3" s="8" customFormat="1" ht="21.95" customHeight="1" x14ac:dyDescent="0.15">
      <c r="C9344" s="101"/>
    </row>
    <row r="9345" spans="3:3" s="8" customFormat="1" ht="21.95" customHeight="1" x14ac:dyDescent="0.15">
      <c r="C9345" s="101"/>
    </row>
    <row r="9346" spans="3:3" s="8" customFormat="1" ht="21.95" customHeight="1" x14ac:dyDescent="0.15"/>
    <row r="9347" spans="3:3" s="8" customFormat="1" ht="21.95" customHeight="1" x14ac:dyDescent="0.15"/>
    <row r="9348" spans="3:3" s="8" customFormat="1" ht="21.95" customHeight="1" x14ac:dyDescent="0.15"/>
    <row r="9349" spans="3:3" s="8" customFormat="1" ht="21.95" customHeight="1" x14ac:dyDescent="0.15"/>
    <row r="9350" spans="3:3" s="8" customFormat="1" ht="21.95" customHeight="1" x14ac:dyDescent="0.15"/>
    <row r="9351" spans="3:3" s="8" customFormat="1" ht="21.95" customHeight="1" x14ac:dyDescent="0.15"/>
    <row r="9352" spans="3:3" s="8" customFormat="1" ht="21.95" customHeight="1" x14ac:dyDescent="0.15"/>
    <row r="9353" spans="3:3" s="9" customFormat="1" ht="21.95" customHeight="1" x14ac:dyDescent="0.15"/>
    <row r="9354" spans="3:3" s="9" customFormat="1" ht="21.95" customHeight="1" x14ac:dyDescent="0.15"/>
    <row r="9355" spans="3:3" s="9" customFormat="1" ht="21.95" customHeight="1" x14ac:dyDescent="0.15"/>
    <row r="9356" spans="3:3" s="9" customFormat="1" ht="21.95" customHeight="1" x14ac:dyDescent="0.15"/>
    <row r="9357" spans="3:3" s="8" customFormat="1" ht="21.95" customHeight="1" x14ac:dyDescent="0.15"/>
    <row r="9358" spans="3:3" s="8" customFormat="1" ht="21.95" customHeight="1" x14ac:dyDescent="0.15"/>
    <row r="9359" spans="3:3" s="8" customFormat="1" ht="21.95" customHeight="1" x14ac:dyDescent="0.15"/>
    <row r="9360" spans="3:3" s="8" customFormat="1" ht="21.95" customHeight="1" x14ac:dyDescent="0.15"/>
    <row r="9361" s="8" customFormat="1" ht="21.95" customHeight="1" x14ac:dyDescent="0.15"/>
    <row r="9362" s="8" customFormat="1" ht="21.95" customHeight="1" x14ac:dyDescent="0.15"/>
    <row r="9363" s="8" customFormat="1" ht="21.95" customHeight="1" x14ac:dyDescent="0.15"/>
    <row r="9364" s="8" customFormat="1" ht="21.95" customHeight="1" x14ac:dyDescent="0.15"/>
    <row r="9365" s="8" customFormat="1" ht="21.95" customHeight="1" x14ac:dyDescent="0.15"/>
    <row r="9366" s="8" customFormat="1" ht="21.95" customHeight="1" x14ac:dyDescent="0.15"/>
    <row r="9367" s="8" customFormat="1" ht="21.95" customHeight="1" x14ac:dyDescent="0.15"/>
    <row r="9368" s="8" customFormat="1" ht="32.1" customHeight="1" x14ac:dyDescent="0.15"/>
    <row r="9369" s="8" customFormat="1" ht="32.1" customHeight="1" x14ac:dyDescent="0.15"/>
    <row r="9370" s="8" customFormat="1" ht="32.1" customHeight="1" x14ac:dyDescent="0.15"/>
    <row r="9371" s="8" customFormat="1" ht="32.1" customHeight="1" x14ac:dyDescent="0.15"/>
    <row r="9372" s="8" customFormat="1" ht="32.1" customHeight="1" x14ac:dyDescent="0.15"/>
    <row r="9373" s="8" customFormat="1" ht="32.1" customHeight="1" x14ac:dyDescent="0.15"/>
    <row r="9374" s="9" customFormat="1" ht="32.1" customHeight="1" x14ac:dyDescent="0.15"/>
    <row r="9375" s="9" customFormat="1" ht="32.1" customHeight="1" x14ac:dyDescent="0.15"/>
    <row r="9376" s="9" customFormat="1" ht="32.1" customHeight="1" x14ac:dyDescent="0.15"/>
    <row r="9377" s="9" customFormat="1" ht="32.1" customHeight="1" x14ac:dyDescent="0.15"/>
    <row r="9378" s="9" customFormat="1" ht="21.95" customHeight="1" x14ac:dyDescent="0.15"/>
    <row r="9379" s="9" customFormat="1" ht="54" customHeight="1" x14ac:dyDescent="0.15"/>
    <row r="9380" s="9" customFormat="1" ht="21.95" customHeight="1" x14ac:dyDescent="0.15"/>
    <row r="9381" s="9" customFormat="1" ht="21.95" customHeight="1" x14ac:dyDescent="0.15"/>
    <row r="9382" s="9" customFormat="1" ht="21.95" customHeight="1" x14ac:dyDescent="0.15"/>
    <row r="9383" s="9" customFormat="1" ht="21.95" customHeight="1" x14ac:dyDescent="0.15"/>
    <row r="9384" s="9" customFormat="1" ht="21.95" customHeight="1" x14ac:dyDescent="0.15"/>
    <row r="9385" s="9" customFormat="1" ht="21.95" customHeight="1" x14ac:dyDescent="0.15"/>
    <row r="9386" s="9" customFormat="1" ht="21.95" customHeight="1" x14ac:dyDescent="0.15"/>
    <row r="9387" s="9" customFormat="1" ht="21.95" customHeight="1" x14ac:dyDescent="0.15"/>
    <row r="9388" s="9" customFormat="1" ht="21.95" customHeight="1" x14ac:dyDescent="0.15"/>
    <row r="9389" s="9" customFormat="1" ht="21.95" customHeight="1" x14ac:dyDescent="0.15"/>
    <row r="9390" s="9" customFormat="1" ht="21.95" customHeight="1" x14ac:dyDescent="0.15"/>
    <row r="9391" s="9" customFormat="1" ht="21.95" customHeight="1" x14ac:dyDescent="0.15"/>
    <row r="9392" s="9" customFormat="1" ht="21.95" customHeight="1" x14ac:dyDescent="0.15"/>
    <row r="9393" s="9" customFormat="1" ht="21.95" customHeight="1" x14ac:dyDescent="0.15"/>
    <row r="9394" s="9" customFormat="1" ht="21.95" customHeight="1" x14ac:dyDescent="0.15"/>
    <row r="9395" s="9" customFormat="1" ht="21.95" customHeight="1" x14ac:dyDescent="0.15"/>
    <row r="9396" s="9" customFormat="1" ht="21.95" customHeight="1" x14ac:dyDescent="0.15"/>
    <row r="9397" s="9" customFormat="1" ht="21.95" customHeight="1" x14ac:dyDescent="0.15"/>
    <row r="9398" s="9" customFormat="1" ht="21.95" customHeight="1" x14ac:dyDescent="0.15"/>
    <row r="9399" s="9" customFormat="1" ht="21.95" customHeight="1" x14ac:dyDescent="0.15"/>
    <row r="9400" s="9" customFormat="1" ht="21.95" customHeight="1" x14ac:dyDescent="0.15"/>
    <row r="9401" s="9" customFormat="1" ht="21.95" customHeight="1" x14ac:dyDescent="0.15"/>
    <row r="9402" s="9" customFormat="1" ht="21.95" customHeight="1" x14ac:dyDescent="0.15"/>
    <row r="9403" s="9" customFormat="1" ht="21.95" customHeight="1" x14ac:dyDescent="0.15"/>
    <row r="9404" s="9" customFormat="1" ht="21.95" customHeight="1" x14ac:dyDescent="0.15"/>
    <row r="9405" s="9" customFormat="1" ht="21.95" customHeight="1" x14ac:dyDescent="0.15"/>
    <row r="9406" s="9" customFormat="1" ht="21.95" customHeight="1" x14ac:dyDescent="0.15"/>
    <row r="9407" s="9" customFormat="1" ht="21.95" customHeight="1" x14ac:dyDescent="0.15"/>
    <row r="9408" s="9" customFormat="1" ht="21.95" customHeight="1" x14ac:dyDescent="0.15"/>
    <row r="9409" s="9" customFormat="1" ht="21.95" customHeight="1" x14ac:dyDescent="0.15"/>
    <row r="9410" s="9" customFormat="1" ht="21.95" customHeight="1" x14ac:dyDescent="0.15"/>
    <row r="9411" s="9" customFormat="1" ht="21.95" customHeight="1" x14ac:dyDescent="0.15"/>
    <row r="9412" s="9" customFormat="1" ht="21.95" customHeight="1" x14ac:dyDescent="0.15"/>
    <row r="9413" s="9" customFormat="1" ht="21.95" customHeight="1" x14ac:dyDescent="0.15"/>
    <row r="9414" s="9" customFormat="1" ht="21.95" customHeight="1" x14ac:dyDescent="0.15"/>
    <row r="9415" s="9" customFormat="1" ht="21.95" customHeight="1" x14ac:dyDescent="0.15"/>
    <row r="9416" s="9" customFormat="1" ht="21.95" customHeight="1" x14ac:dyDescent="0.15"/>
    <row r="9417" s="9" customFormat="1" ht="21.95" customHeight="1" x14ac:dyDescent="0.15"/>
    <row r="9418" s="9" customFormat="1" ht="21.95" customHeight="1" x14ac:dyDescent="0.15"/>
    <row r="9419" s="9" customFormat="1" ht="21.95" customHeight="1" x14ac:dyDescent="0.15"/>
    <row r="9420" s="9" customFormat="1" ht="21.95" customHeight="1" x14ac:dyDescent="0.15"/>
    <row r="9421" s="9" customFormat="1" ht="21.95" customHeight="1" x14ac:dyDescent="0.15"/>
    <row r="9422" s="9" customFormat="1" ht="21.95" customHeight="1" x14ac:dyDescent="0.15"/>
    <row r="9423" s="9" customFormat="1" ht="21.95" customHeight="1" x14ac:dyDescent="0.15"/>
    <row r="9424" s="9" customFormat="1" ht="21.95" customHeight="1" x14ac:dyDescent="0.15"/>
    <row r="9425" s="9" customFormat="1" ht="21.95" customHeight="1" x14ac:dyDescent="0.15"/>
    <row r="9426" s="9" customFormat="1" ht="21.95" customHeight="1" x14ac:dyDescent="0.15"/>
    <row r="9427" s="9" customFormat="1" ht="21.95" customHeight="1" x14ac:dyDescent="0.15"/>
    <row r="9428" s="9" customFormat="1" ht="21.95" customHeight="1" x14ac:dyDescent="0.15"/>
    <row r="9429" s="9" customFormat="1" ht="21.95" customHeight="1" x14ac:dyDescent="0.15"/>
    <row r="9430" s="9" customFormat="1" ht="35.1" customHeight="1" x14ac:dyDescent="0.15"/>
    <row r="9431" s="9" customFormat="1" ht="21.95" customHeight="1" x14ac:dyDescent="0.15"/>
    <row r="9432" s="9" customFormat="1" ht="21.95" customHeight="1" x14ac:dyDescent="0.15"/>
    <row r="9433" s="9" customFormat="1" ht="21.95" customHeight="1" x14ac:dyDescent="0.15"/>
    <row r="9434" s="9" customFormat="1" ht="21.95" customHeight="1" x14ac:dyDescent="0.15"/>
    <row r="9435" s="9" customFormat="1" ht="21.95" customHeight="1" x14ac:dyDescent="0.15"/>
    <row r="9436" s="9" customFormat="1" ht="21.95" customHeight="1" x14ac:dyDescent="0.15"/>
    <row r="9437" s="9" customFormat="1" ht="21.95" customHeight="1" x14ac:dyDescent="0.15"/>
    <row r="9438" s="9" customFormat="1" ht="21.95" customHeight="1" x14ac:dyDescent="0.15"/>
    <row r="9439" s="9" customFormat="1" ht="21.95" customHeight="1" x14ac:dyDescent="0.15"/>
    <row r="9440" s="9" customFormat="1" ht="21.95" customHeight="1" x14ac:dyDescent="0.15"/>
    <row r="9441" spans="3:3" s="9" customFormat="1" ht="21.95" customHeight="1" x14ac:dyDescent="0.15"/>
    <row r="9442" spans="3:3" s="9" customFormat="1" ht="21.95" customHeight="1" x14ac:dyDescent="0.15"/>
    <row r="9443" spans="3:3" s="9" customFormat="1" ht="21.95" customHeight="1" x14ac:dyDescent="0.15"/>
    <row r="9444" spans="3:3" s="9" customFormat="1" ht="21.95" customHeight="1" x14ac:dyDescent="0.15"/>
    <row r="9445" spans="3:3" s="9" customFormat="1" ht="21.95" customHeight="1" x14ac:dyDescent="0.15"/>
    <row r="9446" spans="3:3" s="9" customFormat="1" ht="21.95" customHeight="1" x14ac:dyDescent="0.15"/>
    <row r="9447" spans="3:3" s="9" customFormat="1" ht="21.95" customHeight="1" x14ac:dyDescent="0.15"/>
    <row r="9448" spans="3:3" s="9" customFormat="1" ht="21.95" customHeight="1" x14ac:dyDescent="0.15"/>
    <row r="9449" spans="3:3" s="9" customFormat="1" ht="21.95" customHeight="1" x14ac:dyDescent="0.15"/>
    <row r="9450" spans="3:3" s="9" customFormat="1" ht="21.95" customHeight="1" x14ac:dyDescent="0.15"/>
    <row r="9451" spans="3:3" s="9" customFormat="1" ht="21.95" customHeight="1" x14ac:dyDescent="0.15"/>
    <row r="9452" spans="3:3" s="9" customFormat="1" ht="21.95" customHeight="1" x14ac:dyDescent="0.15"/>
    <row r="9453" spans="3:3" s="9" customFormat="1" ht="21.95" customHeight="1" x14ac:dyDescent="0.15"/>
    <row r="9454" spans="3:3" s="8" customFormat="1" ht="21.95" customHeight="1" x14ac:dyDescent="0.15"/>
    <row r="9455" spans="3:3" s="8" customFormat="1" ht="21.95" customHeight="1" x14ac:dyDescent="0.15"/>
    <row r="9456" spans="3:3" s="8" customFormat="1" ht="21.95" customHeight="1" x14ac:dyDescent="0.15">
      <c r="C9456" s="101"/>
    </row>
    <row r="9457" spans="3:3" s="8" customFormat="1" ht="21.95" customHeight="1" x14ac:dyDescent="0.15">
      <c r="C9457" s="101"/>
    </row>
    <row r="9458" spans="3:3" s="8" customFormat="1" ht="21.95" customHeight="1" x14ac:dyDescent="0.15"/>
    <row r="9459" spans="3:3" s="8" customFormat="1" ht="21.95" customHeight="1" x14ac:dyDescent="0.15"/>
    <row r="9460" spans="3:3" s="8" customFormat="1" ht="21.95" customHeight="1" x14ac:dyDescent="0.15"/>
    <row r="9461" spans="3:3" s="8" customFormat="1" ht="21.95" customHeight="1" x14ac:dyDescent="0.15"/>
    <row r="9462" spans="3:3" s="8" customFormat="1" ht="21.95" customHeight="1" x14ac:dyDescent="0.15"/>
    <row r="9463" spans="3:3" s="8" customFormat="1" ht="21.95" customHeight="1" x14ac:dyDescent="0.15"/>
    <row r="9464" spans="3:3" s="8" customFormat="1" ht="21.95" customHeight="1" x14ac:dyDescent="0.15"/>
    <row r="9465" spans="3:3" s="9" customFormat="1" ht="21.95" customHeight="1" x14ac:dyDescent="0.15"/>
    <row r="9466" spans="3:3" s="9" customFormat="1" ht="21.95" customHeight="1" x14ac:dyDescent="0.15"/>
    <row r="9467" spans="3:3" s="9" customFormat="1" ht="21.95" customHeight="1" x14ac:dyDescent="0.15"/>
    <row r="9468" spans="3:3" s="9" customFormat="1" ht="21.95" customHeight="1" x14ac:dyDescent="0.15"/>
    <row r="9469" spans="3:3" s="8" customFormat="1" ht="21.95" customHeight="1" x14ac:dyDescent="0.15"/>
    <row r="9470" spans="3:3" s="8" customFormat="1" ht="21.95" customHeight="1" x14ac:dyDescent="0.15"/>
    <row r="9471" spans="3:3" s="8" customFormat="1" ht="21.95" customHeight="1" x14ac:dyDescent="0.15"/>
    <row r="9472" spans="3:3" s="8" customFormat="1" ht="21.95" customHeight="1" x14ac:dyDescent="0.15"/>
    <row r="9473" s="8" customFormat="1" ht="21.95" customHeight="1" x14ac:dyDescent="0.15"/>
    <row r="9474" s="8" customFormat="1" ht="21.95" customHeight="1" x14ac:dyDescent="0.15"/>
    <row r="9475" s="8" customFormat="1" ht="21.95" customHeight="1" x14ac:dyDescent="0.15"/>
    <row r="9476" s="8" customFormat="1" ht="21.95" customHeight="1" x14ac:dyDescent="0.15"/>
    <row r="9477" s="8" customFormat="1" ht="21.95" customHeight="1" x14ac:dyDescent="0.15"/>
    <row r="9478" s="8" customFormat="1" ht="21.95" customHeight="1" x14ac:dyDescent="0.15"/>
    <row r="9479" s="8" customFormat="1" ht="21.95" customHeight="1" x14ac:dyDescent="0.15"/>
    <row r="9480" s="8" customFormat="1" ht="32.1" customHeight="1" x14ac:dyDescent="0.15"/>
    <row r="9481" s="8" customFormat="1" ht="32.1" customHeight="1" x14ac:dyDescent="0.15"/>
    <row r="9482" s="8" customFormat="1" ht="32.1" customHeight="1" x14ac:dyDescent="0.15"/>
    <row r="9483" s="8" customFormat="1" ht="32.1" customHeight="1" x14ac:dyDescent="0.15"/>
    <row r="9484" s="8" customFormat="1" ht="32.1" customHeight="1" x14ac:dyDescent="0.15"/>
    <row r="9485" s="8" customFormat="1" ht="32.1" customHeight="1" x14ac:dyDescent="0.15"/>
    <row r="9486" s="9" customFormat="1" ht="32.1" customHeight="1" x14ac:dyDescent="0.15"/>
    <row r="9487" s="9" customFormat="1" ht="32.1" customHeight="1" x14ac:dyDescent="0.15"/>
    <row r="9488" s="9" customFormat="1" ht="32.1" customHeight="1" x14ac:dyDescent="0.15"/>
    <row r="9489" s="9" customFormat="1" ht="32.1" customHeight="1" x14ac:dyDescent="0.15"/>
    <row r="9490" s="9" customFormat="1" ht="21.95" customHeight="1" x14ac:dyDescent="0.15"/>
    <row r="9491" s="9" customFormat="1" ht="54" customHeight="1" x14ac:dyDescent="0.15"/>
    <row r="9492" s="9" customFormat="1" ht="21.95" customHeight="1" x14ac:dyDescent="0.15"/>
    <row r="9493" s="9" customFormat="1" ht="21.95" customHeight="1" x14ac:dyDescent="0.15"/>
    <row r="9494" s="9" customFormat="1" ht="21.95" customHeight="1" x14ac:dyDescent="0.15"/>
    <row r="9495" s="9" customFormat="1" ht="21.95" customHeight="1" x14ac:dyDescent="0.15"/>
    <row r="9496" s="9" customFormat="1" ht="21.95" customHeight="1" x14ac:dyDescent="0.15"/>
    <row r="9497" s="9" customFormat="1" ht="21.95" customHeight="1" x14ac:dyDescent="0.15"/>
    <row r="9498" s="9" customFormat="1" ht="21.95" customHeight="1" x14ac:dyDescent="0.15"/>
    <row r="9499" s="9" customFormat="1" ht="21.95" customHeight="1" x14ac:dyDescent="0.15"/>
    <row r="9500" s="9" customFormat="1" ht="21.95" customHeight="1" x14ac:dyDescent="0.15"/>
    <row r="9501" s="9" customFormat="1" ht="21.95" customHeight="1" x14ac:dyDescent="0.15"/>
    <row r="9502" s="9" customFormat="1" ht="21.95" customHeight="1" x14ac:dyDescent="0.15"/>
    <row r="9503" s="9" customFormat="1" ht="21.95" customHeight="1" x14ac:dyDescent="0.15"/>
    <row r="9504" s="9" customFormat="1" ht="21.95" customHeight="1" x14ac:dyDescent="0.15"/>
    <row r="9505" s="9" customFormat="1" ht="21.95" customHeight="1" x14ac:dyDescent="0.15"/>
    <row r="9506" s="9" customFormat="1" ht="21.95" customHeight="1" x14ac:dyDescent="0.15"/>
    <row r="9507" s="9" customFormat="1" ht="21.95" customHeight="1" x14ac:dyDescent="0.15"/>
    <row r="9508" s="9" customFormat="1" ht="21.95" customHeight="1" x14ac:dyDescent="0.15"/>
    <row r="9509" s="9" customFormat="1" ht="21.95" customHeight="1" x14ac:dyDescent="0.15"/>
    <row r="9510" s="9" customFormat="1" ht="21.95" customHeight="1" x14ac:dyDescent="0.15"/>
    <row r="9511" s="9" customFormat="1" ht="21.95" customHeight="1" x14ac:dyDescent="0.15"/>
    <row r="9512" s="9" customFormat="1" ht="21.95" customHeight="1" x14ac:dyDescent="0.15"/>
    <row r="9513" s="9" customFormat="1" ht="21.95" customHeight="1" x14ac:dyDescent="0.15"/>
    <row r="9514" s="9" customFormat="1" ht="21.95" customHeight="1" x14ac:dyDescent="0.15"/>
    <row r="9515" s="9" customFormat="1" ht="21.95" customHeight="1" x14ac:dyDescent="0.15"/>
    <row r="9516" s="9" customFormat="1" ht="21.95" customHeight="1" x14ac:dyDescent="0.15"/>
    <row r="9517" s="9" customFormat="1" ht="21.95" customHeight="1" x14ac:dyDescent="0.15"/>
    <row r="9518" s="9" customFormat="1" ht="21.95" customHeight="1" x14ac:dyDescent="0.15"/>
    <row r="9519" s="9" customFormat="1" ht="21.95" customHeight="1" x14ac:dyDescent="0.15"/>
    <row r="9520" s="9" customFormat="1" ht="21.95" customHeight="1" x14ac:dyDescent="0.15"/>
    <row r="9521" s="9" customFormat="1" ht="21.95" customHeight="1" x14ac:dyDescent="0.15"/>
    <row r="9522" s="9" customFormat="1" ht="21.95" customHeight="1" x14ac:dyDescent="0.15"/>
    <row r="9523" s="9" customFormat="1" ht="21.95" customHeight="1" x14ac:dyDescent="0.15"/>
    <row r="9524" s="9" customFormat="1" ht="21.95" customHeight="1" x14ac:dyDescent="0.15"/>
    <row r="9525" s="9" customFormat="1" ht="21.95" customHeight="1" x14ac:dyDescent="0.15"/>
    <row r="9526" s="9" customFormat="1" ht="21.95" customHeight="1" x14ac:dyDescent="0.15"/>
    <row r="9527" s="9" customFormat="1" ht="21.95" customHeight="1" x14ac:dyDescent="0.15"/>
    <row r="9528" s="9" customFormat="1" ht="21.95" customHeight="1" x14ac:dyDescent="0.15"/>
    <row r="9529" s="9" customFormat="1" ht="21.95" customHeight="1" x14ac:dyDescent="0.15"/>
    <row r="9530" s="9" customFormat="1" ht="21.95" customHeight="1" x14ac:dyDescent="0.15"/>
    <row r="9531" s="9" customFormat="1" ht="21.95" customHeight="1" x14ac:dyDescent="0.15"/>
    <row r="9532" s="9" customFormat="1" ht="21.95" customHeight="1" x14ac:dyDescent="0.15"/>
    <row r="9533" s="9" customFormat="1" ht="21.95" customHeight="1" x14ac:dyDescent="0.15"/>
    <row r="9534" s="9" customFormat="1" ht="21.95" customHeight="1" x14ac:dyDescent="0.15"/>
    <row r="9535" s="9" customFormat="1" ht="21.95" customHeight="1" x14ac:dyDescent="0.15"/>
    <row r="9536" s="9" customFormat="1" ht="21.95" customHeight="1" x14ac:dyDescent="0.15"/>
    <row r="9537" s="9" customFormat="1" ht="21.95" customHeight="1" x14ac:dyDescent="0.15"/>
    <row r="9538" s="9" customFormat="1" ht="21.95" customHeight="1" x14ac:dyDescent="0.15"/>
    <row r="9539" s="9" customFormat="1" ht="21.95" customHeight="1" x14ac:dyDescent="0.15"/>
    <row r="9540" s="9" customFormat="1" ht="21.95" customHeight="1" x14ac:dyDescent="0.15"/>
    <row r="9541" s="9" customFormat="1" ht="21.95" customHeight="1" x14ac:dyDescent="0.15"/>
    <row r="9542" s="9" customFormat="1" ht="35.1" customHeight="1" x14ac:dyDescent="0.15"/>
    <row r="9543" s="9" customFormat="1" ht="21.95" customHeight="1" x14ac:dyDescent="0.15"/>
    <row r="9544" s="9" customFormat="1" ht="21.95" customHeight="1" x14ac:dyDescent="0.15"/>
    <row r="9545" s="9" customFormat="1" ht="21.95" customHeight="1" x14ac:dyDescent="0.15"/>
    <row r="9546" s="9" customFormat="1" ht="21.95" customHeight="1" x14ac:dyDescent="0.15"/>
    <row r="9547" s="9" customFormat="1" ht="21.95" customHeight="1" x14ac:dyDescent="0.15"/>
    <row r="9548" s="9" customFormat="1" ht="21.95" customHeight="1" x14ac:dyDescent="0.15"/>
    <row r="9549" s="9" customFormat="1" ht="21.95" customHeight="1" x14ac:dyDescent="0.15"/>
    <row r="9550" s="9" customFormat="1" ht="21.95" customHeight="1" x14ac:dyDescent="0.15"/>
    <row r="9551" s="9" customFormat="1" ht="21.95" customHeight="1" x14ac:dyDescent="0.15"/>
    <row r="9552" s="9" customFormat="1" ht="21.95" customHeight="1" x14ac:dyDescent="0.15"/>
    <row r="9553" spans="3:3" s="9" customFormat="1" ht="21.95" customHeight="1" x14ac:dyDescent="0.15"/>
    <row r="9554" spans="3:3" s="9" customFormat="1" ht="21.95" customHeight="1" x14ac:dyDescent="0.15"/>
    <row r="9555" spans="3:3" s="9" customFormat="1" ht="21.95" customHeight="1" x14ac:dyDescent="0.15"/>
    <row r="9556" spans="3:3" s="9" customFormat="1" ht="21.95" customHeight="1" x14ac:dyDescent="0.15"/>
    <row r="9557" spans="3:3" s="9" customFormat="1" ht="21.95" customHeight="1" x14ac:dyDescent="0.15"/>
    <row r="9558" spans="3:3" s="9" customFormat="1" ht="21.95" customHeight="1" x14ac:dyDescent="0.15"/>
    <row r="9559" spans="3:3" s="9" customFormat="1" ht="21.95" customHeight="1" x14ac:dyDescent="0.15"/>
    <row r="9560" spans="3:3" s="9" customFormat="1" ht="21.95" customHeight="1" x14ac:dyDescent="0.15"/>
    <row r="9561" spans="3:3" s="9" customFormat="1" ht="21.95" customHeight="1" x14ac:dyDescent="0.15"/>
    <row r="9562" spans="3:3" s="9" customFormat="1" ht="21.95" customHeight="1" x14ac:dyDescent="0.15"/>
    <row r="9563" spans="3:3" s="9" customFormat="1" ht="21.95" customHeight="1" x14ac:dyDescent="0.15"/>
    <row r="9564" spans="3:3" s="9" customFormat="1" ht="21.95" customHeight="1" x14ac:dyDescent="0.15"/>
    <row r="9565" spans="3:3" s="9" customFormat="1" ht="21.95" customHeight="1" x14ac:dyDescent="0.15"/>
    <row r="9566" spans="3:3" s="8" customFormat="1" ht="21.95" customHeight="1" x14ac:dyDescent="0.15"/>
    <row r="9567" spans="3:3" s="8" customFormat="1" ht="21.95" customHeight="1" x14ac:dyDescent="0.15"/>
    <row r="9568" spans="3:3" s="8" customFormat="1" ht="21.95" customHeight="1" x14ac:dyDescent="0.15">
      <c r="C9568" s="101"/>
    </row>
    <row r="9569" spans="3:3" s="8" customFormat="1" ht="21.95" customHeight="1" x14ac:dyDescent="0.15">
      <c r="C9569" s="101"/>
    </row>
    <row r="9570" spans="3:3" s="8" customFormat="1" ht="21.95" customHeight="1" x14ac:dyDescent="0.15"/>
    <row r="9571" spans="3:3" s="8" customFormat="1" ht="21.95" customHeight="1" x14ac:dyDescent="0.15"/>
    <row r="9572" spans="3:3" s="8" customFormat="1" ht="21.95" customHeight="1" x14ac:dyDescent="0.15"/>
    <row r="9573" spans="3:3" s="8" customFormat="1" ht="21.95" customHeight="1" x14ac:dyDescent="0.15"/>
    <row r="9574" spans="3:3" s="8" customFormat="1" ht="21.95" customHeight="1" x14ac:dyDescent="0.15"/>
    <row r="9575" spans="3:3" s="8" customFormat="1" ht="21.95" customHeight="1" x14ac:dyDescent="0.15"/>
    <row r="9576" spans="3:3" s="8" customFormat="1" ht="21.95" customHeight="1" x14ac:dyDescent="0.15"/>
    <row r="9577" spans="3:3" s="9" customFormat="1" ht="21.95" customHeight="1" x14ac:dyDescent="0.15"/>
    <row r="9578" spans="3:3" s="9" customFormat="1" ht="21.95" customHeight="1" x14ac:dyDescent="0.15"/>
    <row r="9579" spans="3:3" s="9" customFormat="1" ht="21.95" customHeight="1" x14ac:dyDescent="0.15"/>
    <row r="9580" spans="3:3" s="9" customFormat="1" ht="21.95" customHeight="1" x14ac:dyDescent="0.15"/>
    <row r="9581" spans="3:3" s="8" customFormat="1" ht="21.95" customHeight="1" x14ac:dyDescent="0.15"/>
    <row r="9582" spans="3:3" s="8" customFormat="1" ht="21.95" customHeight="1" x14ac:dyDescent="0.15"/>
    <row r="9583" spans="3:3" s="8" customFormat="1" ht="21.95" customHeight="1" x14ac:dyDescent="0.15"/>
    <row r="9584" spans="3:3" s="8" customFormat="1" ht="21.95" customHeight="1" x14ac:dyDescent="0.15"/>
    <row r="9585" s="8" customFormat="1" ht="21.95" customHeight="1" x14ac:dyDescent="0.15"/>
    <row r="9586" s="8" customFormat="1" ht="21.95" customHeight="1" x14ac:dyDescent="0.15"/>
    <row r="9587" s="8" customFormat="1" ht="21.95" customHeight="1" x14ac:dyDescent="0.15"/>
    <row r="9588" s="8" customFormat="1" ht="21.95" customHeight="1" x14ac:dyDescent="0.15"/>
    <row r="9589" s="8" customFormat="1" ht="21.95" customHeight="1" x14ac:dyDescent="0.15"/>
    <row r="9590" s="8" customFormat="1" ht="21.95" customHeight="1" x14ac:dyDescent="0.15"/>
    <row r="9591" s="8" customFormat="1" ht="21.95" customHeight="1" x14ac:dyDescent="0.15"/>
    <row r="9592" s="8" customFormat="1" ht="32.1" customHeight="1" x14ac:dyDescent="0.15"/>
    <row r="9593" s="8" customFormat="1" ht="32.1" customHeight="1" x14ac:dyDescent="0.15"/>
    <row r="9594" s="8" customFormat="1" ht="32.1" customHeight="1" x14ac:dyDescent="0.15"/>
    <row r="9595" s="8" customFormat="1" ht="32.1" customHeight="1" x14ac:dyDescent="0.15"/>
    <row r="9596" s="8" customFormat="1" ht="32.1" customHeight="1" x14ac:dyDescent="0.15"/>
    <row r="9597" s="8" customFormat="1" ht="32.1" customHeight="1" x14ac:dyDescent="0.15"/>
    <row r="9598" s="9" customFormat="1" ht="32.1" customHeight="1" x14ac:dyDescent="0.15"/>
    <row r="9599" s="9" customFormat="1" ht="32.1" customHeight="1" x14ac:dyDescent="0.15"/>
    <row r="9600" s="9" customFormat="1" ht="32.1" customHeight="1" x14ac:dyDescent="0.15"/>
    <row r="9601" s="9" customFormat="1" ht="32.1" customHeight="1" x14ac:dyDescent="0.15"/>
    <row r="9602" s="9" customFormat="1" ht="21.95" customHeight="1" x14ac:dyDescent="0.15"/>
    <row r="9603" s="9" customFormat="1" ht="54" customHeight="1" x14ac:dyDescent="0.15"/>
    <row r="9604" s="9" customFormat="1" ht="21.95" customHeight="1" x14ac:dyDescent="0.15"/>
    <row r="9605" s="9" customFormat="1" ht="21.95" customHeight="1" x14ac:dyDescent="0.15"/>
    <row r="9606" s="9" customFormat="1" ht="21.95" customHeight="1" x14ac:dyDescent="0.15"/>
    <row r="9607" s="9" customFormat="1" ht="21.95" customHeight="1" x14ac:dyDescent="0.15"/>
    <row r="9608" s="9" customFormat="1" ht="21.95" customHeight="1" x14ac:dyDescent="0.15"/>
    <row r="9609" s="9" customFormat="1" ht="21.95" customHeight="1" x14ac:dyDescent="0.15"/>
    <row r="9610" s="9" customFormat="1" ht="21.95" customHeight="1" x14ac:dyDescent="0.15"/>
    <row r="9611" s="9" customFormat="1" ht="21.95" customHeight="1" x14ac:dyDescent="0.15"/>
    <row r="9612" s="9" customFormat="1" ht="21.95" customHeight="1" x14ac:dyDescent="0.15"/>
    <row r="9613" s="9" customFormat="1" ht="21.95" customHeight="1" x14ac:dyDescent="0.15"/>
    <row r="9614" s="9" customFormat="1" ht="21.95" customHeight="1" x14ac:dyDescent="0.15"/>
    <row r="9615" s="9" customFormat="1" ht="21.95" customHeight="1" x14ac:dyDescent="0.15"/>
    <row r="9616" s="9" customFormat="1" ht="21.95" customHeight="1" x14ac:dyDescent="0.15"/>
    <row r="9617" s="9" customFormat="1" ht="21.95" customHeight="1" x14ac:dyDescent="0.15"/>
    <row r="9618" s="9" customFormat="1" ht="21.95" customHeight="1" x14ac:dyDescent="0.15"/>
    <row r="9619" s="9" customFormat="1" ht="21.95" customHeight="1" x14ac:dyDescent="0.15"/>
    <row r="9620" s="9" customFormat="1" ht="21.95" customHeight="1" x14ac:dyDescent="0.15"/>
    <row r="9621" s="9" customFormat="1" ht="21.95" customHeight="1" x14ac:dyDescent="0.15"/>
    <row r="9622" s="9" customFormat="1" ht="21.95" customHeight="1" x14ac:dyDescent="0.15"/>
    <row r="9623" s="9" customFormat="1" ht="21.95" customHeight="1" x14ac:dyDescent="0.15"/>
    <row r="9624" s="9" customFormat="1" ht="21.95" customHeight="1" x14ac:dyDescent="0.15"/>
    <row r="9625" s="9" customFormat="1" ht="21.95" customHeight="1" x14ac:dyDescent="0.15"/>
    <row r="9626" s="9" customFormat="1" ht="21.95" customHeight="1" x14ac:dyDescent="0.15"/>
    <row r="9627" s="9" customFormat="1" ht="21.95" customHeight="1" x14ac:dyDescent="0.15"/>
    <row r="9628" s="9" customFormat="1" ht="21.95" customHeight="1" x14ac:dyDescent="0.15"/>
    <row r="9629" s="9" customFormat="1" ht="21.95" customHeight="1" x14ac:dyDescent="0.15"/>
    <row r="9630" s="9" customFormat="1" ht="21.95" customHeight="1" x14ac:dyDescent="0.15"/>
    <row r="9631" s="9" customFormat="1" ht="21.95" customHeight="1" x14ac:dyDescent="0.15"/>
    <row r="9632" s="9" customFormat="1" ht="21.95" customHeight="1" x14ac:dyDescent="0.15"/>
    <row r="9633" s="9" customFormat="1" ht="21.95" customHeight="1" x14ac:dyDescent="0.15"/>
    <row r="9634" s="9" customFormat="1" ht="21.95" customHeight="1" x14ac:dyDescent="0.15"/>
    <row r="9635" s="9" customFormat="1" ht="21.95" customHeight="1" x14ac:dyDescent="0.15"/>
    <row r="9636" s="9" customFormat="1" ht="21.95" customHeight="1" x14ac:dyDescent="0.15"/>
    <row r="9637" s="9" customFormat="1" ht="21.95" customHeight="1" x14ac:dyDescent="0.15"/>
    <row r="9638" s="9" customFormat="1" ht="21.95" customHeight="1" x14ac:dyDescent="0.15"/>
    <row r="9639" s="9" customFormat="1" ht="21.95" customHeight="1" x14ac:dyDescent="0.15"/>
    <row r="9640" s="9" customFormat="1" ht="21.95" customHeight="1" x14ac:dyDescent="0.15"/>
    <row r="9641" s="9" customFormat="1" ht="21.95" customHeight="1" x14ac:dyDescent="0.15"/>
    <row r="9642" s="9" customFormat="1" ht="21.95" customHeight="1" x14ac:dyDescent="0.15"/>
    <row r="9643" s="9" customFormat="1" ht="21.95" customHeight="1" x14ac:dyDescent="0.15"/>
    <row r="9644" s="9" customFormat="1" ht="21.95" customHeight="1" x14ac:dyDescent="0.15"/>
    <row r="9645" s="9" customFormat="1" ht="21.95" customHeight="1" x14ac:dyDescent="0.15"/>
    <row r="9646" s="9" customFormat="1" ht="21.95" customHeight="1" x14ac:dyDescent="0.15"/>
    <row r="9647" s="9" customFormat="1" ht="21.95" customHeight="1" x14ac:dyDescent="0.15"/>
    <row r="9648" s="9" customFormat="1" ht="21.95" customHeight="1" x14ac:dyDescent="0.15"/>
    <row r="9649" s="9" customFormat="1" ht="21.95" customHeight="1" x14ac:dyDescent="0.15"/>
    <row r="9650" s="9" customFormat="1" ht="21.95" customHeight="1" x14ac:dyDescent="0.15"/>
    <row r="9651" s="9" customFormat="1" ht="21.95" customHeight="1" x14ac:dyDescent="0.15"/>
    <row r="9652" s="9" customFormat="1" ht="21.95" customHeight="1" x14ac:dyDescent="0.15"/>
    <row r="9653" s="9" customFormat="1" ht="21.95" customHeight="1" x14ac:dyDescent="0.15"/>
    <row r="9654" s="9" customFormat="1" ht="35.1" customHeight="1" x14ac:dyDescent="0.15"/>
    <row r="9655" s="9" customFormat="1" ht="21.95" customHeight="1" x14ac:dyDescent="0.15"/>
    <row r="9656" s="9" customFormat="1" ht="21.95" customHeight="1" x14ac:dyDescent="0.15"/>
    <row r="9657" s="9" customFormat="1" ht="21.95" customHeight="1" x14ac:dyDescent="0.15"/>
    <row r="9658" s="9" customFormat="1" ht="21.95" customHeight="1" x14ac:dyDescent="0.15"/>
    <row r="9659" s="9" customFormat="1" ht="21.95" customHeight="1" x14ac:dyDescent="0.15"/>
    <row r="9660" s="9" customFormat="1" ht="21.95" customHeight="1" x14ac:dyDescent="0.15"/>
    <row r="9661" s="9" customFormat="1" ht="21.95" customHeight="1" x14ac:dyDescent="0.15"/>
    <row r="9662" s="9" customFormat="1" ht="21.95" customHeight="1" x14ac:dyDescent="0.15"/>
    <row r="9663" s="9" customFormat="1" ht="21.95" customHeight="1" x14ac:dyDescent="0.15"/>
    <row r="9664" s="9" customFormat="1" ht="21.95" customHeight="1" x14ac:dyDescent="0.15"/>
    <row r="9665" spans="3:3" s="9" customFormat="1" ht="21.95" customHeight="1" x14ac:dyDescent="0.15"/>
    <row r="9666" spans="3:3" s="9" customFormat="1" ht="21.95" customHeight="1" x14ac:dyDescent="0.15"/>
    <row r="9667" spans="3:3" s="9" customFormat="1" ht="21.95" customHeight="1" x14ac:dyDescent="0.15"/>
    <row r="9668" spans="3:3" s="9" customFormat="1" ht="21.95" customHeight="1" x14ac:dyDescent="0.15"/>
    <row r="9669" spans="3:3" s="9" customFormat="1" ht="21.95" customHeight="1" x14ac:dyDescent="0.15"/>
    <row r="9670" spans="3:3" s="9" customFormat="1" ht="21.95" customHeight="1" x14ac:dyDescent="0.15"/>
    <row r="9671" spans="3:3" s="9" customFormat="1" ht="21.95" customHeight="1" x14ac:dyDescent="0.15"/>
    <row r="9672" spans="3:3" s="9" customFormat="1" ht="21.95" customHeight="1" x14ac:dyDescent="0.15"/>
    <row r="9673" spans="3:3" s="9" customFormat="1" ht="21.95" customHeight="1" x14ac:dyDescent="0.15"/>
    <row r="9674" spans="3:3" s="9" customFormat="1" ht="21.95" customHeight="1" x14ac:dyDescent="0.15"/>
    <row r="9675" spans="3:3" s="9" customFormat="1" ht="21.95" customHeight="1" x14ac:dyDescent="0.15"/>
    <row r="9676" spans="3:3" s="9" customFormat="1" ht="21.95" customHeight="1" x14ac:dyDescent="0.15"/>
    <row r="9677" spans="3:3" s="9" customFormat="1" ht="21.95" customHeight="1" x14ac:dyDescent="0.15"/>
    <row r="9678" spans="3:3" s="8" customFormat="1" ht="21.95" customHeight="1" x14ac:dyDescent="0.15"/>
    <row r="9679" spans="3:3" s="8" customFormat="1" ht="21.95" customHeight="1" x14ac:dyDescent="0.15"/>
    <row r="9680" spans="3:3" s="8" customFormat="1" ht="21.95" customHeight="1" x14ac:dyDescent="0.15">
      <c r="C9680" s="101"/>
    </row>
    <row r="9681" spans="3:3" s="8" customFormat="1" ht="21.95" customHeight="1" x14ac:dyDescent="0.15">
      <c r="C9681" s="101"/>
    </row>
    <row r="9682" spans="3:3" s="8" customFormat="1" ht="21.95" customHeight="1" x14ac:dyDescent="0.15"/>
    <row r="9683" spans="3:3" s="8" customFormat="1" ht="21.95" customHeight="1" x14ac:dyDescent="0.15"/>
    <row r="9684" spans="3:3" s="8" customFormat="1" ht="21.95" customHeight="1" x14ac:dyDescent="0.15"/>
    <row r="9685" spans="3:3" s="8" customFormat="1" ht="21.95" customHeight="1" x14ac:dyDescent="0.15"/>
    <row r="9686" spans="3:3" s="8" customFormat="1" ht="21.95" customHeight="1" x14ac:dyDescent="0.15"/>
    <row r="9687" spans="3:3" s="8" customFormat="1" ht="21.95" customHeight="1" x14ac:dyDescent="0.15"/>
    <row r="9688" spans="3:3" s="8" customFormat="1" ht="21.95" customHeight="1" x14ac:dyDescent="0.15"/>
    <row r="9689" spans="3:3" s="9" customFormat="1" ht="21.95" customHeight="1" x14ac:dyDescent="0.15"/>
    <row r="9690" spans="3:3" s="9" customFormat="1" ht="21.95" customHeight="1" x14ac:dyDescent="0.15"/>
    <row r="9691" spans="3:3" s="9" customFormat="1" ht="21.95" customHeight="1" x14ac:dyDescent="0.15"/>
    <row r="9692" spans="3:3" s="9" customFormat="1" ht="21.95" customHeight="1" x14ac:dyDescent="0.15"/>
    <row r="9693" spans="3:3" s="8" customFormat="1" ht="21.95" customHeight="1" x14ac:dyDescent="0.15"/>
    <row r="9694" spans="3:3" s="8" customFormat="1" ht="21.95" customHeight="1" x14ac:dyDescent="0.15"/>
    <row r="9695" spans="3:3" s="8" customFormat="1" ht="21.95" customHeight="1" x14ac:dyDescent="0.15"/>
    <row r="9696" spans="3:3" s="8" customFormat="1" ht="21.95" customHeight="1" x14ac:dyDescent="0.15"/>
    <row r="9697" s="8" customFormat="1" ht="21.95" customHeight="1" x14ac:dyDescent="0.15"/>
    <row r="9698" s="8" customFormat="1" ht="21.95" customHeight="1" x14ac:dyDescent="0.15"/>
    <row r="9699" s="8" customFormat="1" ht="21.95" customHeight="1" x14ac:dyDescent="0.15"/>
    <row r="9700" s="8" customFormat="1" ht="21.95" customHeight="1" x14ac:dyDescent="0.15"/>
    <row r="9701" s="8" customFormat="1" ht="21.95" customHeight="1" x14ac:dyDescent="0.15"/>
    <row r="9702" s="8" customFormat="1" ht="21.95" customHeight="1" x14ac:dyDescent="0.15"/>
    <row r="9703" s="8" customFormat="1" ht="21.95" customHeight="1" x14ac:dyDescent="0.15"/>
    <row r="9704" s="8" customFormat="1" ht="32.1" customHeight="1" x14ac:dyDescent="0.15"/>
    <row r="9705" s="8" customFormat="1" ht="32.1" customHeight="1" x14ac:dyDescent="0.15"/>
    <row r="9706" s="8" customFormat="1" ht="32.1" customHeight="1" x14ac:dyDescent="0.15"/>
    <row r="9707" s="8" customFormat="1" ht="32.1" customHeight="1" x14ac:dyDescent="0.15"/>
    <row r="9708" s="8" customFormat="1" ht="32.1" customHeight="1" x14ac:dyDescent="0.15"/>
    <row r="9709" s="8" customFormat="1" ht="32.1" customHeight="1" x14ac:dyDescent="0.15"/>
    <row r="9710" s="9" customFormat="1" ht="32.1" customHeight="1" x14ac:dyDescent="0.15"/>
    <row r="9711" s="9" customFormat="1" ht="32.1" customHeight="1" x14ac:dyDescent="0.15"/>
    <row r="9712" s="9" customFormat="1" ht="32.1" customHeight="1" x14ac:dyDescent="0.15"/>
    <row r="9713" s="9" customFormat="1" ht="32.1" customHeight="1" x14ac:dyDescent="0.15"/>
    <row r="9714" s="9" customFormat="1" ht="21.95" customHeight="1" x14ac:dyDescent="0.15"/>
    <row r="9715" s="9" customFormat="1" ht="54" customHeight="1" x14ac:dyDescent="0.15"/>
    <row r="9716" s="9" customFormat="1" ht="21.95" customHeight="1" x14ac:dyDescent="0.15"/>
    <row r="9717" s="9" customFormat="1" ht="21.95" customHeight="1" x14ac:dyDescent="0.15"/>
    <row r="9718" s="9" customFormat="1" ht="21.95" customHeight="1" x14ac:dyDescent="0.15"/>
    <row r="9719" s="9" customFormat="1" ht="21.95" customHeight="1" x14ac:dyDescent="0.15"/>
    <row r="9720" s="9" customFormat="1" ht="21.95" customHeight="1" x14ac:dyDescent="0.15"/>
    <row r="9721" s="9" customFormat="1" ht="21.95" customHeight="1" x14ac:dyDescent="0.15"/>
    <row r="9722" s="9" customFormat="1" ht="21.95" customHeight="1" x14ac:dyDescent="0.15"/>
    <row r="9723" s="9" customFormat="1" ht="21.95" customHeight="1" x14ac:dyDescent="0.15"/>
    <row r="9724" s="9" customFormat="1" ht="21.95" customHeight="1" x14ac:dyDescent="0.15"/>
    <row r="9725" s="9" customFormat="1" ht="21.95" customHeight="1" x14ac:dyDescent="0.15"/>
    <row r="9726" s="9" customFormat="1" ht="21.95" customHeight="1" x14ac:dyDescent="0.15"/>
    <row r="9727" s="9" customFormat="1" ht="21.95" customHeight="1" x14ac:dyDescent="0.15"/>
    <row r="9728" s="9" customFormat="1" ht="21.95" customHeight="1" x14ac:dyDescent="0.15"/>
    <row r="9729" s="9" customFormat="1" ht="21.95" customHeight="1" x14ac:dyDescent="0.15"/>
    <row r="9730" s="9" customFormat="1" ht="21.95" customHeight="1" x14ac:dyDescent="0.15"/>
    <row r="9731" s="9" customFormat="1" ht="21.95" customHeight="1" x14ac:dyDescent="0.15"/>
    <row r="9732" s="9" customFormat="1" ht="21.95" customHeight="1" x14ac:dyDescent="0.15"/>
    <row r="9733" s="9" customFormat="1" ht="21.95" customHeight="1" x14ac:dyDescent="0.15"/>
    <row r="9734" s="9" customFormat="1" ht="21.95" customHeight="1" x14ac:dyDescent="0.15"/>
    <row r="9735" s="9" customFormat="1" ht="21.95" customHeight="1" x14ac:dyDescent="0.15"/>
    <row r="9736" s="9" customFormat="1" ht="21.95" customHeight="1" x14ac:dyDescent="0.15"/>
    <row r="9737" s="9" customFormat="1" ht="21.95" customHeight="1" x14ac:dyDescent="0.15"/>
    <row r="9738" s="9" customFormat="1" ht="21.95" customHeight="1" x14ac:dyDescent="0.15"/>
    <row r="9739" s="9" customFormat="1" ht="21.95" customHeight="1" x14ac:dyDescent="0.15"/>
    <row r="9740" s="9" customFormat="1" ht="21.95" customHeight="1" x14ac:dyDescent="0.15"/>
    <row r="9741" s="9" customFormat="1" ht="21.95" customHeight="1" x14ac:dyDescent="0.15"/>
    <row r="9742" s="9" customFormat="1" ht="21.95" customHeight="1" x14ac:dyDescent="0.15"/>
    <row r="9743" s="9" customFormat="1" ht="21.95" customHeight="1" x14ac:dyDescent="0.15"/>
    <row r="9744" s="9" customFormat="1" ht="21.95" customHeight="1" x14ac:dyDescent="0.15"/>
    <row r="9745" s="9" customFormat="1" ht="21.95" customHeight="1" x14ac:dyDescent="0.15"/>
    <row r="9746" s="9" customFormat="1" ht="21.95" customHeight="1" x14ac:dyDescent="0.15"/>
    <row r="9747" s="9" customFormat="1" ht="21.95" customHeight="1" x14ac:dyDescent="0.15"/>
    <row r="9748" s="9" customFormat="1" ht="21.95" customHeight="1" x14ac:dyDescent="0.15"/>
    <row r="9749" s="9" customFormat="1" ht="21.95" customHeight="1" x14ac:dyDescent="0.15"/>
    <row r="9750" s="9" customFormat="1" ht="21.95" customHeight="1" x14ac:dyDescent="0.15"/>
    <row r="9751" s="9" customFormat="1" ht="21.95" customHeight="1" x14ac:dyDescent="0.15"/>
    <row r="9752" s="9" customFormat="1" ht="21.95" customHeight="1" x14ac:dyDescent="0.15"/>
    <row r="9753" s="9" customFormat="1" ht="21.95" customHeight="1" x14ac:dyDescent="0.15"/>
    <row r="9754" s="9" customFormat="1" ht="21.95" customHeight="1" x14ac:dyDescent="0.15"/>
    <row r="9755" s="9" customFormat="1" ht="21.95" customHeight="1" x14ac:dyDescent="0.15"/>
    <row r="9756" s="9" customFormat="1" ht="21.95" customHeight="1" x14ac:dyDescent="0.15"/>
    <row r="9757" s="9" customFormat="1" ht="21.95" customHeight="1" x14ac:dyDescent="0.15"/>
    <row r="9758" s="9" customFormat="1" ht="21.95" customHeight="1" x14ac:dyDescent="0.15"/>
    <row r="9759" s="9" customFormat="1" ht="21.95" customHeight="1" x14ac:dyDescent="0.15"/>
    <row r="9760" s="9" customFormat="1" ht="21.95" customHeight="1" x14ac:dyDescent="0.15"/>
    <row r="9761" s="9" customFormat="1" ht="21.95" customHeight="1" x14ac:dyDescent="0.15"/>
    <row r="9762" s="9" customFormat="1" ht="21.95" customHeight="1" x14ac:dyDescent="0.15"/>
    <row r="9763" s="9" customFormat="1" ht="21.95" customHeight="1" x14ac:dyDescent="0.15"/>
    <row r="9764" s="9" customFormat="1" ht="21.95" customHeight="1" x14ac:dyDescent="0.15"/>
    <row r="9765" s="9" customFormat="1" ht="21.95" customHeight="1" x14ac:dyDescent="0.15"/>
    <row r="9766" s="9" customFormat="1" ht="35.1" customHeight="1" x14ac:dyDescent="0.15"/>
    <row r="9767" s="9" customFormat="1" ht="21.95" customHeight="1" x14ac:dyDescent="0.15"/>
    <row r="9768" s="9" customFormat="1" ht="21.95" customHeight="1" x14ac:dyDescent="0.15"/>
    <row r="9769" s="9" customFormat="1" ht="21.95" customHeight="1" x14ac:dyDescent="0.15"/>
    <row r="9770" s="9" customFormat="1" ht="21.95" customHeight="1" x14ac:dyDescent="0.15"/>
    <row r="9771" s="9" customFormat="1" ht="21.95" customHeight="1" x14ac:dyDescent="0.15"/>
    <row r="9772" s="9" customFormat="1" ht="21.95" customHeight="1" x14ac:dyDescent="0.15"/>
    <row r="9773" s="9" customFormat="1" ht="21.95" customHeight="1" x14ac:dyDescent="0.15"/>
    <row r="9774" s="9" customFormat="1" ht="21.95" customHeight="1" x14ac:dyDescent="0.15"/>
    <row r="9775" s="9" customFormat="1" ht="21.95" customHeight="1" x14ac:dyDescent="0.15"/>
    <row r="9776" s="9" customFormat="1" ht="21.95" customHeight="1" x14ac:dyDescent="0.15"/>
    <row r="9777" spans="3:3" s="9" customFormat="1" ht="21.95" customHeight="1" x14ac:dyDescent="0.15"/>
    <row r="9778" spans="3:3" s="9" customFormat="1" ht="21.95" customHeight="1" x14ac:dyDescent="0.15"/>
    <row r="9779" spans="3:3" s="9" customFormat="1" ht="21.95" customHeight="1" x14ac:dyDescent="0.15"/>
    <row r="9780" spans="3:3" s="9" customFormat="1" ht="21.95" customHeight="1" x14ac:dyDescent="0.15"/>
    <row r="9781" spans="3:3" s="9" customFormat="1" ht="21.95" customHeight="1" x14ac:dyDescent="0.15"/>
    <row r="9782" spans="3:3" s="9" customFormat="1" ht="21.95" customHeight="1" x14ac:dyDescent="0.15"/>
    <row r="9783" spans="3:3" s="9" customFormat="1" ht="21.95" customHeight="1" x14ac:dyDescent="0.15"/>
    <row r="9784" spans="3:3" s="9" customFormat="1" ht="21.95" customHeight="1" x14ac:dyDescent="0.15"/>
    <row r="9785" spans="3:3" s="9" customFormat="1" ht="21.95" customHeight="1" x14ac:dyDescent="0.15"/>
    <row r="9786" spans="3:3" s="9" customFormat="1" ht="21.95" customHeight="1" x14ac:dyDescent="0.15"/>
    <row r="9787" spans="3:3" s="9" customFormat="1" ht="21.95" customHeight="1" x14ac:dyDescent="0.15"/>
    <row r="9788" spans="3:3" s="9" customFormat="1" ht="21.95" customHeight="1" x14ac:dyDescent="0.15"/>
    <row r="9789" spans="3:3" s="9" customFormat="1" ht="21.95" customHeight="1" x14ac:dyDescent="0.15"/>
    <row r="9790" spans="3:3" s="8" customFormat="1" ht="21.95" customHeight="1" x14ac:dyDescent="0.15"/>
    <row r="9791" spans="3:3" s="8" customFormat="1" ht="21.95" customHeight="1" x14ac:dyDescent="0.15"/>
    <row r="9792" spans="3:3" s="8" customFormat="1" ht="21.95" customHeight="1" x14ac:dyDescent="0.15">
      <c r="C9792" s="101"/>
    </row>
    <row r="9793" spans="3:3" s="8" customFormat="1" ht="21.95" customHeight="1" x14ac:dyDescent="0.15">
      <c r="C9793" s="101"/>
    </row>
    <row r="9794" spans="3:3" s="8" customFormat="1" ht="21.95" customHeight="1" x14ac:dyDescent="0.15"/>
    <row r="9795" spans="3:3" s="8" customFormat="1" ht="21.95" customHeight="1" x14ac:dyDescent="0.15"/>
    <row r="9796" spans="3:3" s="8" customFormat="1" ht="21.95" customHeight="1" x14ac:dyDescent="0.15"/>
    <row r="9797" spans="3:3" s="8" customFormat="1" ht="21.95" customHeight="1" x14ac:dyDescent="0.15"/>
    <row r="9798" spans="3:3" s="8" customFormat="1" ht="21.95" customHeight="1" x14ac:dyDescent="0.15"/>
    <row r="9799" spans="3:3" s="8" customFormat="1" ht="21.95" customHeight="1" x14ac:dyDescent="0.15"/>
    <row r="9800" spans="3:3" s="8" customFormat="1" ht="21.95" customHeight="1" x14ac:dyDescent="0.15"/>
    <row r="9801" spans="3:3" s="9" customFormat="1" ht="21.95" customHeight="1" x14ac:dyDescent="0.15"/>
    <row r="9802" spans="3:3" s="9" customFormat="1" ht="21.95" customHeight="1" x14ac:dyDescent="0.15"/>
    <row r="9803" spans="3:3" s="9" customFormat="1" ht="21.95" customHeight="1" x14ac:dyDescent="0.15"/>
    <row r="9804" spans="3:3" s="9" customFormat="1" ht="21.95" customHeight="1" x14ac:dyDescent="0.15"/>
    <row r="9805" spans="3:3" s="8" customFormat="1" ht="21.95" customHeight="1" x14ac:dyDescent="0.15"/>
    <row r="9806" spans="3:3" s="8" customFormat="1" ht="21.95" customHeight="1" x14ac:dyDescent="0.15"/>
    <row r="9807" spans="3:3" s="8" customFormat="1" ht="21.95" customHeight="1" x14ac:dyDescent="0.15"/>
    <row r="9808" spans="3:3" s="8" customFormat="1" ht="21.95" customHeight="1" x14ac:dyDescent="0.15"/>
    <row r="9809" s="8" customFormat="1" ht="21.95" customHeight="1" x14ac:dyDescent="0.15"/>
    <row r="9810" s="8" customFormat="1" ht="21.95" customHeight="1" x14ac:dyDescent="0.15"/>
    <row r="9811" s="8" customFormat="1" ht="21.95" customHeight="1" x14ac:dyDescent="0.15"/>
    <row r="9812" s="8" customFormat="1" ht="21.95" customHeight="1" x14ac:dyDescent="0.15"/>
    <row r="9813" s="8" customFormat="1" ht="21.95" customHeight="1" x14ac:dyDescent="0.15"/>
    <row r="9814" s="8" customFormat="1" ht="21.95" customHeight="1" x14ac:dyDescent="0.15"/>
    <row r="9815" s="8" customFormat="1" ht="21.95" customHeight="1" x14ac:dyDescent="0.15"/>
    <row r="9816" s="8" customFormat="1" ht="32.1" customHeight="1" x14ac:dyDescent="0.15"/>
    <row r="9817" s="8" customFormat="1" ht="32.1" customHeight="1" x14ac:dyDescent="0.15"/>
    <row r="9818" s="8" customFormat="1" ht="32.1" customHeight="1" x14ac:dyDescent="0.15"/>
    <row r="9819" s="8" customFormat="1" ht="32.1" customHeight="1" x14ac:dyDescent="0.15"/>
    <row r="9820" s="8" customFormat="1" ht="32.1" customHeight="1" x14ac:dyDescent="0.15"/>
    <row r="9821" s="8" customFormat="1" ht="32.1" customHeight="1" x14ac:dyDescent="0.15"/>
    <row r="9822" s="9" customFormat="1" ht="32.1" customHeight="1" x14ac:dyDescent="0.15"/>
    <row r="9823" s="9" customFormat="1" ht="32.1" customHeight="1" x14ac:dyDescent="0.15"/>
    <row r="9824" s="9" customFormat="1" ht="32.1" customHeight="1" x14ac:dyDescent="0.15"/>
    <row r="9825" s="9" customFormat="1" ht="32.1" customHeight="1" x14ac:dyDescent="0.15"/>
    <row r="9826" s="9" customFormat="1" ht="21.95" customHeight="1" x14ac:dyDescent="0.15"/>
    <row r="9827" s="9" customFormat="1" ht="54" customHeight="1" x14ac:dyDescent="0.15"/>
    <row r="9828" s="9" customFormat="1" ht="21.95" customHeight="1" x14ac:dyDescent="0.15"/>
    <row r="9829" s="9" customFormat="1" ht="21.95" customHeight="1" x14ac:dyDescent="0.15"/>
    <row r="9830" s="9" customFormat="1" ht="21.95" customHeight="1" x14ac:dyDescent="0.15"/>
    <row r="9831" s="9" customFormat="1" ht="21.95" customHeight="1" x14ac:dyDescent="0.15"/>
    <row r="9832" s="9" customFormat="1" ht="21.95" customHeight="1" x14ac:dyDescent="0.15"/>
    <row r="9833" s="9" customFormat="1" ht="21.95" customHeight="1" x14ac:dyDescent="0.15"/>
    <row r="9834" s="9" customFormat="1" ht="21.95" customHeight="1" x14ac:dyDescent="0.15"/>
    <row r="9835" s="9" customFormat="1" ht="21.95" customHeight="1" x14ac:dyDescent="0.15"/>
    <row r="9836" s="9" customFormat="1" ht="21.95" customHeight="1" x14ac:dyDescent="0.15"/>
    <row r="9837" s="9" customFormat="1" ht="21.95" customHeight="1" x14ac:dyDescent="0.15"/>
    <row r="9838" s="9" customFormat="1" ht="21.95" customHeight="1" x14ac:dyDescent="0.15"/>
    <row r="9839" s="9" customFormat="1" ht="21.95" customHeight="1" x14ac:dyDescent="0.15"/>
    <row r="9840" s="9" customFormat="1" ht="21.95" customHeight="1" x14ac:dyDescent="0.15"/>
    <row r="9841" s="9" customFormat="1" ht="21.95" customHeight="1" x14ac:dyDescent="0.15"/>
    <row r="9842" s="9" customFormat="1" ht="21.95" customHeight="1" x14ac:dyDescent="0.15"/>
    <row r="9843" s="9" customFormat="1" ht="21.95" customHeight="1" x14ac:dyDescent="0.15"/>
    <row r="9844" s="9" customFormat="1" ht="21.95" customHeight="1" x14ac:dyDescent="0.15"/>
    <row r="9845" s="9" customFormat="1" ht="21.95" customHeight="1" x14ac:dyDescent="0.15"/>
    <row r="9846" s="9" customFormat="1" ht="21.95" customHeight="1" x14ac:dyDescent="0.15"/>
    <row r="9847" s="9" customFormat="1" ht="21.95" customHeight="1" x14ac:dyDescent="0.15"/>
    <row r="9848" s="9" customFormat="1" ht="21.95" customHeight="1" x14ac:dyDescent="0.15"/>
    <row r="9849" s="9" customFormat="1" ht="21.95" customHeight="1" x14ac:dyDescent="0.15"/>
    <row r="9850" s="9" customFormat="1" ht="21.95" customHeight="1" x14ac:dyDescent="0.15"/>
    <row r="9851" s="9" customFormat="1" ht="21.95" customHeight="1" x14ac:dyDescent="0.15"/>
    <row r="9852" s="9" customFormat="1" ht="21.95" customHeight="1" x14ac:dyDescent="0.15"/>
    <row r="9853" s="9" customFormat="1" ht="21.95" customHeight="1" x14ac:dyDescent="0.15"/>
    <row r="9854" s="9" customFormat="1" ht="21.95" customHeight="1" x14ac:dyDescent="0.15"/>
    <row r="9855" s="9" customFormat="1" ht="21.95" customHeight="1" x14ac:dyDescent="0.15"/>
    <row r="9856" s="9" customFormat="1" ht="21.95" customHeight="1" x14ac:dyDescent="0.15"/>
    <row r="9857" s="9" customFormat="1" ht="21.95" customHeight="1" x14ac:dyDescent="0.15"/>
    <row r="9858" s="9" customFormat="1" ht="21.95" customHeight="1" x14ac:dyDescent="0.15"/>
    <row r="9859" s="9" customFormat="1" ht="21.95" customHeight="1" x14ac:dyDescent="0.15"/>
    <row r="9860" s="9" customFormat="1" ht="21.95" customHeight="1" x14ac:dyDescent="0.15"/>
    <row r="9861" s="9" customFormat="1" ht="21.95" customHeight="1" x14ac:dyDescent="0.15"/>
    <row r="9862" s="9" customFormat="1" ht="21.95" customHeight="1" x14ac:dyDescent="0.15"/>
    <row r="9863" s="9" customFormat="1" ht="21.95" customHeight="1" x14ac:dyDescent="0.15"/>
    <row r="9864" s="9" customFormat="1" ht="21.95" customHeight="1" x14ac:dyDescent="0.15"/>
    <row r="9865" s="9" customFormat="1" ht="21.95" customHeight="1" x14ac:dyDescent="0.15"/>
    <row r="9866" s="9" customFormat="1" ht="21.95" customHeight="1" x14ac:dyDescent="0.15"/>
    <row r="9867" s="9" customFormat="1" ht="21.95" customHeight="1" x14ac:dyDescent="0.15"/>
    <row r="9868" s="9" customFormat="1" ht="21.95" customHeight="1" x14ac:dyDescent="0.15"/>
    <row r="9869" s="9" customFormat="1" ht="21.95" customHeight="1" x14ac:dyDescent="0.15"/>
    <row r="9870" s="9" customFormat="1" ht="21.95" customHeight="1" x14ac:dyDescent="0.15"/>
    <row r="9871" s="9" customFormat="1" ht="21.95" customHeight="1" x14ac:dyDescent="0.15"/>
    <row r="9872" s="9" customFormat="1" ht="21.95" customHeight="1" x14ac:dyDescent="0.15"/>
    <row r="9873" s="9" customFormat="1" ht="21.95" customHeight="1" x14ac:dyDescent="0.15"/>
    <row r="9874" s="9" customFormat="1" ht="21.95" customHeight="1" x14ac:dyDescent="0.15"/>
    <row r="9875" s="9" customFormat="1" ht="21.95" customHeight="1" x14ac:dyDescent="0.15"/>
    <row r="9876" s="9" customFormat="1" ht="21.95" customHeight="1" x14ac:dyDescent="0.15"/>
    <row r="9877" s="9" customFormat="1" ht="21.95" customHeight="1" x14ac:dyDescent="0.15"/>
    <row r="9878" s="9" customFormat="1" ht="35.1" customHeight="1" x14ac:dyDescent="0.15"/>
    <row r="9879" s="9" customFormat="1" ht="21.95" customHeight="1" x14ac:dyDescent="0.15"/>
    <row r="9880" s="9" customFormat="1" ht="21.95" customHeight="1" x14ac:dyDescent="0.15"/>
    <row r="9881" s="9" customFormat="1" ht="21.95" customHeight="1" x14ac:dyDescent="0.15"/>
    <row r="9882" s="9" customFormat="1" ht="21.95" customHeight="1" x14ac:dyDescent="0.15"/>
    <row r="9883" s="9" customFormat="1" ht="21.95" customHeight="1" x14ac:dyDescent="0.15"/>
    <row r="9884" s="9" customFormat="1" ht="21.95" customHeight="1" x14ac:dyDescent="0.15"/>
    <row r="9885" s="9" customFormat="1" ht="21.95" customHeight="1" x14ac:dyDescent="0.15"/>
    <row r="9886" s="9" customFormat="1" ht="21.95" customHeight="1" x14ac:dyDescent="0.15"/>
    <row r="9887" s="9" customFormat="1" ht="21.95" customHeight="1" x14ac:dyDescent="0.15"/>
    <row r="9888" s="9" customFormat="1" ht="21.95" customHeight="1" x14ac:dyDescent="0.15"/>
    <row r="9889" spans="3:3" s="9" customFormat="1" ht="21.95" customHeight="1" x14ac:dyDescent="0.15"/>
    <row r="9890" spans="3:3" s="9" customFormat="1" ht="21.95" customHeight="1" x14ac:dyDescent="0.15"/>
    <row r="9891" spans="3:3" s="9" customFormat="1" ht="21.95" customHeight="1" x14ac:dyDescent="0.15"/>
    <row r="9892" spans="3:3" s="9" customFormat="1" ht="21.95" customHeight="1" x14ac:dyDescent="0.15"/>
    <row r="9893" spans="3:3" s="9" customFormat="1" ht="21.95" customHeight="1" x14ac:dyDescent="0.15"/>
    <row r="9894" spans="3:3" s="9" customFormat="1" ht="21.95" customHeight="1" x14ac:dyDescent="0.15"/>
    <row r="9895" spans="3:3" s="9" customFormat="1" ht="21.95" customHeight="1" x14ac:dyDescent="0.15"/>
    <row r="9896" spans="3:3" s="9" customFormat="1" ht="21.95" customHeight="1" x14ac:dyDescent="0.15"/>
    <row r="9897" spans="3:3" s="9" customFormat="1" ht="21.95" customHeight="1" x14ac:dyDescent="0.15"/>
    <row r="9898" spans="3:3" s="9" customFormat="1" ht="21.95" customHeight="1" x14ac:dyDescent="0.15"/>
    <row r="9899" spans="3:3" s="9" customFormat="1" ht="21.95" customHeight="1" x14ac:dyDescent="0.15"/>
    <row r="9900" spans="3:3" s="9" customFormat="1" ht="21.95" customHeight="1" x14ac:dyDescent="0.15"/>
    <row r="9901" spans="3:3" s="9" customFormat="1" ht="21.95" customHeight="1" x14ac:dyDescent="0.15"/>
    <row r="9902" spans="3:3" s="8" customFormat="1" ht="21.95" customHeight="1" x14ac:dyDescent="0.15"/>
    <row r="9903" spans="3:3" s="8" customFormat="1" ht="21.95" customHeight="1" x14ac:dyDescent="0.15"/>
    <row r="9904" spans="3:3" s="8" customFormat="1" ht="21.95" customHeight="1" x14ac:dyDescent="0.15">
      <c r="C9904" s="101"/>
    </row>
    <row r="9905" spans="3:3" s="8" customFormat="1" ht="21.95" customHeight="1" x14ac:dyDescent="0.15">
      <c r="C9905" s="101"/>
    </row>
    <row r="9906" spans="3:3" s="8" customFormat="1" ht="21.95" customHeight="1" x14ac:dyDescent="0.15"/>
    <row r="9907" spans="3:3" s="8" customFormat="1" ht="21.95" customHeight="1" x14ac:dyDescent="0.15"/>
    <row r="9908" spans="3:3" s="8" customFormat="1" ht="21.95" customHeight="1" x14ac:dyDescent="0.15"/>
    <row r="9909" spans="3:3" s="8" customFormat="1" ht="21.95" customHeight="1" x14ac:dyDescent="0.15"/>
    <row r="9910" spans="3:3" s="8" customFormat="1" ht="21.95" customHeight="1" x14ac:dyDescent="0.15"/>
    <row r="9911" spans="3:3" s="8" customFormat="1" ht="21.95" customHeight="1" x14ac:dyDescent="0.15"/>
    <row r="9912" spans="3:3" s="8" customFormat="1" ht="21.95" customHeight="1" x14ac:dyDescent="0.15"/>
    <row r="9913" spans="3:3" s="9" customFormat="1" ht="21.95" customHeight="1" x14ac:dyDescent="0.15"/>
    <row r="9914" spans="3:3" s="9" customFormat="1" ht="21.95" customHeight="1" x14ac:dyDescent="0.15"/>
    <row r="9915" spans="3:3" s="9" customFormat="1" ht="21.95" customHeight="1" x14ac:dyDescent="0.15"/>
    <row r="9916" spans="3:3" s="9" customFormat="1" ht="21.95" customHeight="1" x14ac:dyDescent="0.15"/>
    <row r="9917" spans="3:3" s="8" customFormat="1" ht="21.95" customHeight="1" x14ac:dyDescent="0.15"/>
    <row r="9918" spans="3:3" s="8" customFormat="1" ht="21.95" customHeight="1" x14ac:dyDescent="0.15"/>
    <row r="9919" spans="3:3" s="8" customFormat="1" ht="21.95" customHeight="1" x14ac:dyDescent="0.15"/>
    <row r="9920" spans="3:3" s="8" customFormat="1" ht="21.95" customHeight="1" x14ac:dyDescent="0.15"/>
    <row r="9921" s="8" customFormat="1" ht="21.95" customHeight="1" x14ac:dyDescent="0.15"/>
    <row r="9922" s="8" customFormat="1" ht="21.95" customHeight="1" x14ac:dyDescent="0.15"/>
    <row r="9923" s="8" customFormat="1" ht="21.95" customHeight="1" x14ac:dyDescent="0.15"/>
    <row r="9924" s="8" customFormat="1" ht="21.95" customHeight="1" x14ac:dyDescent="0.15"/>
    <row r="9925" s="8" customFormat="1" ht="21.95" customHeight="1" x14ac:dyDescent="0.15"/>
    <row r="9926" s="8" customFormat="1" ht="21.95" customHeight="1" x14ac:dyDescent="0.15"/>
    <row r="9927" s="8" customFormat="1" ht="21.95" customHeight="1" x14ac:dyDescent="0.15"/>
    <row r="9928" s="8" customFormat="1" ht="32.1" customHeight="1" x14ac:dyDescent="0.15"/>
    <row r="9929" s="8" customFormat="1" ht="32.1" customHeight="1" x14ac:dyDescent="0.15"/>
    <row r="9930" s="8" customFormat="1" ht="32.1" customHeight="1" x14ac:dyDescent="0.15"/>
    <row r="9931" s="8" customFormat="1" ht="32.1" customHeight="1" x14ac:dyDescent="0.15"/>
    <row r="9932" s="8" customFormat="1" ht="32.1" customHeight="1" x14ac:dyDescent="0.15"/>
    <row r="9933" s="8" customFormat="1" ht="32.1" customHeight="1" x14ac:dyDescent="0.15"/>
    <row r="9934" s="9" customFormat="1" ht="32.1" customHeight="1" x14ac:dyDescent="0.15"/>
    <row r="9935" s="9" customFormat="1" ht="32.1" customHeight="1" x14ac:dyDescent="0.15"/>
    <row r="9936" s="9" customFormat="1" ht="32.1" customHeight="1" x14ac:dyDescent="0.15"/>
    <row r="9937" s="9" customFormat="1" ht="32.1" customHeight="1" x14ac:dyDescent="0.15"/>
    <row r="9938" s="9" customFormat="1" ht="21.95" customHeight="1" x14ac:dyDescent="0.15"/>
    <row r="9939" s="9" customFormat="1" ht="54" customHeight="1" x14ac:dyDescent="0.15"/>
    <row r="9940" s="9" customFormat="1" ht="21.95" customHeight="1" x14ac:dyDescent="0.15"/>
    <row r="9941" s="9" customFormat="1" ht="21.95" customHeight="1" x14ac:dyDescent="0.15"/>
    <row r="9942" s="9" customFormat="1" ht="21.95" customHeight="1" x14ac:dyDescent="0.15"/>
    <row r="9943" s="9" customFormat="1" ht="21.95" customHeight="1" x14ac:dyDescent="0.15"/>
    <row r="9944" s="9" customFormat="1" ht="21.95" customHeight="1" x14ac:dyDescent="0.15"/>
    <row r="9945" s="9" customFormat="1" ht="21.95" customHeight="1" x14ac:dyDescent="0.15"/>
    <row r="9946" s="9" customFormat="1" ht="21.95" customHeight="1" x14ac:dyDescent="0.15"/>
    <row r="9947" s="9" customFormat="1" ht="21.95" customHeight="1" x14ac:dyDescent="0.15"/>
    <row r="9948" s="9" customFormat="1" ht="21.95" customHeight="1" x14ac:dyDescent="0.15"/>
    <row r="9949" s="9" customFormat="1" ht="21.95" customHeight="1" x14ac:dyDescent="0.15"/>
    <row r="9950" s="9" customFormat="1" ht="21.95" customHeight="1" x14ac:dyDescent="0.15"/>
    <row r="9951" s="9" customFormat="1" ht="21.95" customHeight="1" x14ac:dyDescent="0.15"/>
    <row r="9952" s="9" customFormat="1" ht="21.95" customHeight="1" x14ac:dyDescent="0.15"/>
    <row r="9953" s="9" customFormat="1" ht="21.95" customHeight="1" x14ac:dyDescent="0.15"/>
    <row r="9954" s="9" customFormat="1" ht="21.95" customHeight="1" x14ac:dyDescent="0.15"/>
    <row r="9955" s="9" customFormat="1" ht="21.95" customHeight="1" x14ac:dyDescent="0.15"/>
    <row r="9956" s="9" customFormat="1" ht="21.95" customHeight="1" x14ac:dyDescent="0.15"/>
    <row r="9957" s="9" customFormat="1" ht="21.95" customHeight="1" x14ac:dyDescent="0.15"/>
    <row r="9958" s="9" customFormat="1" ht="21.95" customHeight="1" x14ac:dyDescent="0.15"/>
    <row r="9959" s="9" customFormat="1" ht="21.95" customHeight="1" x14ac:dyDescent="0.15"/>
    <row r="9960" s="9" customFormat="1" ht="21.95" customHeight="1" x14ac:dyDescent="0.15"/>
    <row r="9961" s="9" customFormat="1" ht="21.95" customHeight="1" x14ac:dyDescent="0.15"/>
    <row r="9962" s="9" customFormat="1" ht="21.95" customHeight="1" x14ac:dyDescent="0.15"/>
    <row r="9963" s="9" customFormat="1" ht="21.95" customHeight="1" x14ac:dyDescent="0.15"/>
    <row r="9964" s="9" customFormat="1" ht="21.95" customHeight="1" x14ac:dyDescent="0.15"/>
    <row r="9965" s="9" customFormat="1" ht="21.95" customHeight="1" x14ac:dyDescent="0.15"/>
    <row r="9966" s="9" customFormat="1" ht="21.95" customHeight="1" x14ac:dyDescent="0.15"/>
    <row r="9967" s="9" customFormat="1" ht="21.95" customHeight="1" x14ac:dyDescent="0.15"/>
    <row r="9968" s="9" customFormat="1" ht="21.95" customHeight="1" x14ac:dyDescent="0.15"/>
    <row r="9969" s="9" customFormat="1" ht="21.95" customHeight="1" x14ac:dyDescent="0.15"/>
    <row r="9970" s="9" customFormat="1" ht="21.95" customHeight="1" x14ac:dyDescent="0.15"/>
    <row r="9971" s="9" customFormat="1" ht="21.95" customHeight="1" x14ac:dyDescent="0.15"/>
    <row r="9972" s="9" customFormat="1" ht="21.95" customHeight="1" x14ac:dyDescent="0.15"/>
    <row r="9973" s="9" customFormat="1" ht="21.95" customHeight="1" x14ac:dyDescent="0.15"/>
    <row r="9974" s="9" customFormat="1" ht="21.95" customHeight="1" x14ac:dyDescent="0.15"/>
    <row r="9975" s="9" customFormat="1" ht="21.95" customHeight="1" x14ac:dyDescent="0.15"/>
    <row r="9976" s="9" customFormat="1" ht="21.95" customHeight="1" x14ac:dyDescent="0.15"/>
    <row r="9977" s="9" customFormat="1" ht="21.95" customHeight="1" x14ac:dyDescent="0.15"/>
    <row r="9978" s="9" customFormat="1" ht="21.95" customHeight="1" x14ac:dyDescent="0.15"/>
    <row r="9979" s="9" customFormat="1" ht="21.95" customHeight="1" x14ac:dyDescent="0.15"/>
    <row r="9980" s="9" customFormat="1" ht="21.95" customHeight="1" x14ac:dyDescent="0.15"/>
    <row r="9981" s="9" customFormat="1" ht="21.95" customHeight="1" x14ac:dyDescent="0.15"/>
    <row r="9982" s="9" customFormat="1" ht="21.95" customHeight="1" x14ac:dyDescent="0.15"/>
    <row r="9983" s="9" customFormat="1" ht="21.95" customHeight="1" x14ac:dyDescent="0.15"/>
    <row r="9984" s="9" customFormat="1" ht="21.95" customHeight="1" x14ac:dyDescent="0.15"/>
    <row r="9985" s="9" customFormat="1" ht="21.95" customHeight="1" x14ac:dyDescent="0.15"/>
    <row r="9986" s="9" customFormat="1" ht="21.95" customHeight="1" x14ac:dyDescent="0.15"/>
    <row r="9987" s="9" customFormat="1" ht="21.95" customHeight="1" x14ac:dyDescent="0.15"/>
    <row r="9988" s="9" customFormat="1" ht="21.95" customHeight="1" x14ac:dyDescent="0.15"/>
    <row r="9989" s="9" customFormat="1" ht="21.95" customHeight="1" x14ac:dyDescent="0.15"/>
    <row r="9990" s="9" customFormat="1" ht="35.1" customHeight="1" x14ac:dyDescent="0.15"/>
    <row r="9991" s="9" customFormat="1" ht="21.95" customHeight="1" x14ac:dyDescent="0.15"/>
    <row r="9992" s="9" customFormat="1" ht="21.95" customHeight="1" x14ac:dyDescent="0.15"/>
    <row r="9993" s="9" customFormat="1" ht="21.95" customHeight="1" x14ac:dyDescent="0.15"/>
    <row r="9994" s="9" customFormat="1" ht="21.95" customHeight="1" x14ac:dyDescent="0.15"/>
    <row r="9995" s="9" customFormat="1" ht="21.95" customHeight="1" x14ac:dyDescent="0.15"/>
    <row r="9996" s="9" customFormat="1" ht="21.95" customHeight="1" x14ac:dyDescent="0.15"/>
    <row r="9997" s="9" customFormat="1" ht="21.95" customHeight="1" x14ac:dyDescent="0.15"/>
    <row r="9998" s="9" customFormat="1" ht="21.95" customHeight="1" x14ac:dyDescent="0.15"/>
    <row r="9999" s="9" customFormat="1" ht="21.95" customHeight="1" x14ac:dyDescent="0.15"/>
    <row r="10000" s="9" customFormat="1" ht="21.95" customHeight="1" x14ac:dyDescent="0.15"/>
    <row r="10001" spans="3:3" s="9" customFormat="1" ht="21.95" customHeight="1" x14ac:dyDescent="0.15"/>
    <row r="10002" spans="3:3" s="9" customFormat="1" ht="21.95" customHeight="1" x14ac:dyDescent="0.15"/>
    <row r="10003" spans="3:3" s="9" customFormat="1" ht="21.95" customHeight="1" x14ac:dyDescent="0.15"/>
    <row r="10004" spans="3:3" s="9" customFormat="1" ht="21.95" customHeight="1" x14ac:dyDescent="0.15"/>
    <row r="10005" spans="3:3" s="9" customFormat="1" ht="21.95" customHeight="1" x14ac:dyDescent="0.15"/>
    <row r="10006" spans="3:3" s="9" customFormat="1" ht="21.95" customHeight="1" x14ac:dyDescent="0.15"/>
    <row r="10007" spans="3:3" s="9" customFormat="1" ht="21.95" customHeight="1" x14ac:dyDescent="0.15"/>
    <row r="10008" spans="3:3" s="9" customFormat="1" ht="21.95" customHeight="1" x14ac:dyDescent="0.15"/>
    <row r="10009" spans="3:3" s="9" customFormat="1" ht="21.95" customHeight="1" x14ac:dyDescent="0.15"/>
    <row r="10010" spans="3:3" s="9" customFormat="1" ht="21.95" customHeight="1" x14ac:dyDescent="0.15"/>
    <row r="10011" spans="3:3" s="9" customFormat="1" ht="21.95" customHeight="1" x14ac:dyDescent="0.15"/>
    <row r="10012" spans="3:3" s="9" customFormat="1" ht="21.95" customHeight="1" x14ac:dyDescent="0.15"/>
    <row r="10013" spans="3:3" s="9" customFormat="1" ht="21.95" customHeight="1" x14ac:dyDescent="0.15"/>
    <row r="10014" spans="3:3" s="8" customFormat="1" ht="21.95" customHeight="1" x14ac:dyDescent="0.15"/>
    <row r="10015" spans="3:3" s="8" customFormat="1" ht="21.95" customHeight="1" x14ac:dyDescent="0.15"/>
    <row r="10016" spans="3:3" s="8" customFormat="1" ht="21.95" customHeight="1" x14ac:dyDescent="0.15">
      <c r="C10016" s="101"/>
    </row>
    <row r="10017" spans="3:3" s="8" customFormat="1" ht="21.95" customHeight="1" x14ac:dyDescent="0.15">
      <c r="C10017" s="101"/>
    </row>
    <row r="10018" spans="3:3" s="8" customFormat="1" ht="21.95" customHeight="1" x14ac:dyDescent="0.15"/>
    <row r="10019" spans="3:3" s="8" customFormat="1" ht="21.95" customHeight="1" x14ac:dyDescent="0.15"/>
    <row r="10020" spans="3:3" s="8" customFormat="1" ht="21.95" customHeight="1" x14ac:dyDescent="0.15"/>
    <row r="10021" spans="3:3" s="8" customFormat="1" ht="21.95" customHeight="1" x14ac:dyDescent="0.15"/>
    <row r="10022" spans="3:3" s="8" customFormat="1" ht="21.95" customHeight="1" x14ac:dyDescent="0.15"/>
    <row r="10023" spans="3:3" s="8" customFormat="1" ht="21.95" customHeight="1" x14ac:dyDescent="0.15"/>
    <row r="10024" spans="3:3" s="8" customFormat="1" ht="21.95" customHeight="1" x14ac:dyDescent="0.15"/>
    <row r="10025" spans="3:3" s="9" customFormat="1" ht="21.95" customHeight="1" x14ac:dyDescent="0.15"/>
    <row r="10026" spans="3:3" s="9" customFormat="1" ht="21.95" customHeight="1" x14ac:dyDescent="0.15"/>
    <row r="10027" spans="3:3" s="9" customFormat="1" ht="21.95" customHeight="1" x14ac:dyDescent="0.15"/>
    <row r="10028" spans="3:3" s="9" customFormat="1" ht="21.95" customHeight="1" x14ac:dyDescent="0.15"/>
    <row r="10029" spans="3:3" s="8" customFormat="1" ht="21.95" customHeight="1" x14ac:dyDescent="0.15"/>
    <row r="10030" spans="3:3" s="8" customFormat="1" ht="21.95" customHeight="1" x14ac:dyDescent="0.15"/>
    <row r="10031" spans="3:3" s="8" customFormat="1" ht="21.95" customHeight="1" x14ac:dyDescent="0.15"/>
    <row r="10032" spans="3:3" s="8" customFormat="1" ht="21.95" customHeight="1" x14ac:dyDescent="0.15"/>
    <row r="10033" s="8" customFormat="1" ht="21.95" customHeight="1" x14ac:dyDescent="0.15"/>
    <row r="10034" s="8" customFormat="1" ht="21.95" customHeight="1" x14ac:dyDescent="0.15"/>
    <row r="10035" s="8" customFormat="1" ht="21.95" customHeight="1" x14ac:dyDescent="0.15"/>
    <row r="10036" s="8" customFormat="1" ht="21.95" customHeight="1" x14ac:dyDescent="0.15"/>
    <row r="10037" s="8" customFormat="1" ht="21.95" customHeight="1" x14ac:dyDescent="0.15"/>
    <row r="10038" s="8" customFormat="1" ht="21.95" customHeight="1" x14ac:dyDescent="0.15"/>
    <row r="10039" s="8" customFormat="1" ht="21.95" customHeight="1" x14ac:dyDescent="0.15"/>
    <row r="10040" s="8" customFormat="1" ht="32.1" customHeight="1" x14ac:dyDescent="0.15"/>
    <row r="10041" s="8" customFormat="1" ht="32.1" customHeight="1" x14ac:dyDescent="0.15"/>
    <row r="10042" s="8" customFormat="1" ht="32.1" customHeight="1" x14ac:dyDescent="0.15"/>
    <row r="10043" s="8" customFormat="1" ht="32.1" customHeight="1" x14ac:dyDescent="0.15"/>
    <row r="10044" s="8" customFormat="1" ht="32.1" customHeight="1" x14ac:dyDescent="0.15"/>
    <row r="10045" s="8" customFormat="1" ht="32.1" customHeight="1" x14ac:dyDescent="0.15"/>
    <row r="10046" s="9" customFormat="1" ht="32.1" customHeight="1" x14ac:dyDescent="0.15"/>
    <row r="10047" s="9" customFormat="1" ht="32.1" customHeight="1" x14ac:dyDescent="0.15"/>
    <row r="10048" s="9" customFormat="1" ht="32.1" customHeight="1" x14ac:dyDescent="0.15"/>
    <row r="10049" s="9" customFormat="1" ht="32.1" customHeight="1" x14ac:dyDescent="0.15"/>
    <row r="10050" s="9" customFormat="1" ht="21.95" customHeight="1" x14ac:dyDescent="0.15"/>
    <row r="10051" s="9" customFormat="1" ht="54" customHeight="1" x14ac:dyDescent="0.15"/>
    <row r="10052" s="9" customFormat="1" ht="21.95" customHeight="1" x14ac:dyDescent="0.15"/>
    <row r="10053" s="9" customFormat="1" ht="21.95" customHeight="1" x14ac:dyDescent="0.15"/>
    <row r="10054" s="9" customFormat="1" ht="21.95" customHeight="1" x14ac:dyDescent="0.15"/>
    <row r="10055" s="9" customFormat="1" ht="21.95" customHeight="1" x14ac:dyDescent="0.15"/>
    <row r="10056" s="9" customFormat="1" ht="21.95" customHeight="1" x14ac:dyDescent="0.15"/>
    <row r="10057" s="9" customFormat="1" ht="21.95" customHeight="1" x14ac:dyDescent="0.15"/>
    <row r="10058" s="9" customFormat="1" ht="21.95" customHeight="1" x14ac:dyDescent="0.15"/>
    <row r="10059" s="9" customFormat="1" ht="21.95" customHeight="1" x14ac:dyDescent="0.15"/>
    <row r="10060" s="9" customFormat="1" ht="21.95" customHeight="1" x14ac:dyDescent="0.15"/>
    <row r="10061" s="9" customFormat="1" ht="21.95" customHeight="1" x14ac:dyDescent="0.15"/>
    <row r="10062" s="9" customFormat="1" ht="21.95" customHeight="1" x14ac:dyDescent="0.15"/>
    <row r="10063" s="9" customFormat="1" ht="21.95" customHeight="1" x14ac:dyDescent="0.15"/>
    <row r="10064" s="9" customFormat="1" ht="21.95" customHeight="1" x14ac:dyDescent="0.15"/>
    <row r="10065" s="9" customFormat="1" ht="21.95" customHeight="1" x14ac:dyDescent="0.15"/>
    <row r="10066" s="9" customFormat="1" ht="21.95" customHeight="1" x14ac:dyDescent="0.15"/>
    <row r="10067" s="9" customFormat="1" ht="21.95" customHeight="1" x14ac:dyDescent="0.15"/>
    <row r="10068" s="9" customFormat="1" ht="21.95" customHeight="1" x14ac:dyDescent="0.15"/>
    <row r="10069" s="9" customFormat="1" ht="21.95" customHeight="1" x14ac:dyDescent="0.15"/>
    <row r="10070" s="9" customFormat="1" ht="21.95" customHeight="1" x14ac:dyDescent="0.15"/>
    <row r="10071" s="9" customFormat="1" ht="21.95" customHeight="1" x14ac:dyDescent="0.15"/>
    <row r="10072" s="9" customFormat="1" ht="21.95" customHeight="1" x14ac:dyDescent="0.15"/>
    <row r="10073" s="9" customFormat="1" ht="21.95" customHeight="1" x14ac:dyDescent="0.15"/>
    <row r="10074" s="9" customFormat="1" ht="21.95" customHeight="1" x14ac:dyDescent="0.15"/>
    <row r="10075" s="9" customFormat="1" ht="21.95" customHeight="1" x14ac:dyDescent="0.15"/>
    <row r="10076" s="9" customFormat="1" ht="21.95" customHeight="1" x14ac:dyDescent="0.15"/>
    <row r="10077" s="9" customFormat="1" ht="21.95" customHeight="1" x14ac:dyDescent="0.15"/>
    <row r="10078" s="9" customFormat="1" ht="21.95" customHeight="1" x14ac:dyDescent="0.15"/>
    <row r="10079" s="9" customFormat="1" ht="21.95" customHeight="1" x14ac:dyDescent="0.15"/>
    <row r="10080" s="9" customFormat="1" ht="21.95" customHeight="1" x14ac:dyDescent="0.15"/>
    <row r="10081" s="9" customFormat="1" ht="21.95" customHeight="1" x14ac:dyDescent="0.15"/>
    <row r="10082" s="9" customFormat="1" ht="21.95" customHeight="1" x14ac:dyDescent="0.15"/>
    <row r="10083" s="9" customFormat="1" ht="21.95" customHeight="1" x14ac:dyDescent="0.15"/>
    <row r="10084" s="9" customFormat="1" ht="21.95" customHeight="1" x14ac:dyDescent="0.15"/>
    <row r="10085" s="9" customFormat="1" ht="21.95" customHeight="1" x14ac:dyDescent="0.15"/>
    <row r="10086" s="9" customFormat="1" ht="21.95" customHeight="1" x14ac:dyDescent="0.15"/>
    <row r="10087" s="9" customFormat="1" ht="21.95" customHeight="1" x14ac:dyDescent="0.15"/>
    <row r="10088" s="9" customFormat="1" ht="21.95" customHeight="1" x14ac:dyDescent="0.15"/>
    <row r="10089" s="9" customFormat="1" ht="21.95" customHeight="1" x14ac:dyDescent="0.15"/>
    <row r="10090" s="9" customFormat="1" ht="21.95" customHeight="1" x14ac:dyDescent="0.15"/>
    <row r="10091" s="9" customFormat="1" ht="21.95" customHeight="1" x14ac:dyDescent="0.15"/>
    <row r="10092" s="9" customFormat="1" ht="21.95" customHeight="1" x14ac:dyDescent="0.15"/>
    <row r="10093" s="9" customFormat="1" ht="21.95" customHeight="1" x14ac:dyDescent="0.15"/>
    <row r="10094" s="9" customFormat="1" ht="21.95" customHeight="1" x14ac:dyDescent="0.15"/>
    <row r="10095" s="9" customFormat="1" ht="21.95" customHeight="1" x14ac:dyDescent="0.15"/>
    <row r="10096" s="9" customFormat="1" ht="21.95" customHeight="1" x14ac:dyDescent="0.15"/>
    <row r="10097" s="9" customFormat="1" ht="21.95" customHeight="1" x14ac:dyDescent="0.15"/>
    <row r="10098" s="9" customFormat="1" ht="21.95" customHeight="1" x14ac:dyDescent="0.15"/>
    <row r="10099" s="9" customFormat="1" ht="21.95" customHeight="1" x14ac:dyDescent="0.15"/>
    <row r="10100" s="9" customFormat="1" ht="21.95" customHeight="1" x14ac:dyDescent="0.15"/>
    <row r="10101" s="9" customFormat="1" ht="21.95" customHeight="1" x14ac:dyDescent="0.15"/>
    <row r="10102" s="9" customFormat="1" ht="35.1" customHeight="1" x14ac:dyDescent="0.15"/>
    <row r="10103" s="9" customFormat="1" ht="21.95" customHeight="1" x14ac:dyDescent="0.15"/>
    <row r="10104" s="9" customFormat="1" ht="21.95" customHeight="1" x14ac:dyDescent="0.15"/>
    <row r="10105" s="9" customFormat="1" ht="21.95" customHeight="1" x14ac:dyDescent="0.15"/>
    <row r="10106" s="9" customFormat="1" ht="21.95" customHeight="1" x14ac:dyDescent="0.15"/>
    <row r="10107" s="9" customFormat="1" ht="21.95" customHeight="1" x14ac:dyDescent="0.15"/>
    <row r="10108" s="9" customFormat="1" ht="21.95" customHeight="1" x14ac:dyDescent="0.15"/>
    <row r="10109" s="9" customFormat="1" ht="21.95" customHeight="1" x14ac:dyDescent="0.15"/>
    <row r="10110" s="9" customFormat="1" ht="21.95" customHeight="1" x14ac:dyDescent="0.15"/>
    <row r="10111" s="9" customFormat="1" ht="21.95" customHeight="1" x14ac:dyDescent="0.15"/>
    <row r="10112" s="9" customFormat="1" ht="21.95" customHeight="1" x14ac:dyDescent="0.15"/>
    <row r="10113" spans="3:3" s="9" customFormat="1" ht="21.95" customHeight="1" x14ac:dyDescent="0.15"/>
    <row r="10114" spans="3:3" s="9" customFormat="1" ht="21.95" customHeight="1" x14ac:dyDescent="0.15"/>
    <row r="10115" spans="3:3" s="9" customFormat="1" ht="21.95" customHeight="1" x14ac:dyDescent="0.15"/>
    <row r="10116" spans="3:3" s="9" customFormat="1" ht="21.95" customHeight="1" x14ac:dyDescent="0.15"/>
    <row r="10117" spans="3:3" s="9" customFormat="1" ht="21.95" customHeight="1" x14ac:dyDescent="0.15"/>
    <row r="10118" spans="3:3" s="9" customFormat="1" ht="21.95" customHeight="1" x14ac:dyDescent="0.15"/>
    <row r="10119" spans="3:3" s="9" customFormat="1" ht="21.95" customHeight="1" x14ac:dyDescent="0.15"/>
    <row r="10120" spans="3:3" s="9" customFormat="1" ht="21.95" customHeight="1" x14ac:dyDescent="0.15"/>
    <row r="10121" spans="3:3" s="9" customFormat="1" ht="21.95" customHeight="1" x14ac:dyDescent="0.15"/>
    <row r="10122" spans="3:3" s="9" customFormat="1" ht="21.95" customHeight="1" x14ac:dyDescent="0.15"/>
    <row r="10123" spans="3:3" s="9" customFormat="1" ht="21.95" customHeight="1" x14ac:dyDescent="0.15"/>
    <row r="10124" spans="3:3" s="9" customFormat="1" ht="21.95" customHeight="1" x14ac:dyDescent="0.15"/>
    <row r="10125" spans="3:3" s="9" customFormat="1" ht="21.95" customHeight="1" x14ac:dyDescent="0.15"/>
    <row r="10126" spans="3:3" s="8" customFormat="1" ht="21.95" customHeight="1" x14ac:dyDescent="0.15"/>
    <row r="10127" spans="3:3" s="8" customFormat="1" ht="21.95" customHeight="1" x14ac:dyDescent="0.15"/>
    <row r="10128" spans="3:3" s="8" customFormat="1" ht="21.95" customHeight="1" x14ac:dyDescent="0.15">
      <c r="C10128" s="101"/>
    </row>
    <row r="10129" spans="3:3" s="8" customFormat="1" ht="21.95" customHeight="1" x14ac:dyDescent="0.15">
      <c r="C10129" s="101"/>
    </row>
    <row r="10130" spans="3:3" s="8" customFormat="1" ht="21.95" customHeight="1" x14ac:dyDescent="0.15"/>
    <row r="10131" spans="3:3" s="8" customFormat="1" ht="21.95" customHeight="1" x14ac:dyDescent="0.15"/>
    <row r="10132" spans="3:3" s="8" customFormat="1" ht="21.95" customHeight="1" x14ac:dyDescent="0.15"/>
    <row r="10133" spans="3:3" s="8" customFormat="1" ht="21.95" customHeight="1" x14ac:dyDescent="0.15"/>
    <row r="10134" spans="3:3" s="8" customFormat="1" ht="21.95" customHeight="1" x14ac:dyDescent="0.15"/>
    <row r="10135" spans="3:3" s="8" customFormat="1" ht="21.95" customHeight="1" x14ac:dyDescent="0.15"/>
    <row r="10136" spans="3:3" s="8" customFormat="1" ht="21.95" customHeight="1" x14ac:dyDescent="0.15"/>
    <row r="10137" spans="3:3" s="9" customFormat="1" ht="21.95" customHeight="1" x14ac:dyDescent="0.15"/>
    <row r="10138" spans="3:3" s="9" customFormat="1" ht="21.95" customHeight="1" x14ac:dyDescent="0.15"/>
    <row r="10139" spans="3:3" s="9" customFormat="1" ht="21.95" customHeight="1" x14ac:dyDescent="0.15"/>
    <row r="10140" spans="3:3" s="9" customFormat="1" ht="21.95" customHeight="1" x14ac:dyDescent="0.15"/>
    <row r="10141" spans="3:3" s="8" customFormat="1" ht="21.95" customHeight="1" x14ac:dyDescent="0.15"/>
    <row r="10142" spans="3:3" s="8" customFormat="1" ht="21.95" customHeight="1" x14ac:dyDescent="0.15"/>
    <row r="10143" spans="3:3" s="8" customFormat="1" ht="21.95" customHeight="1" x14ac:dyDescent="0.15"/>
    <row r="10144" spans="3:3" s="8" customFormat="1" ht="21.95" customHeight="1" x14ac:dyDescent="0.15"/>
    <row r="10145" s="8" customFormat="1" ht="21.95" customHeight="1" x14ac:dyDescent="0.15"/>
    <row r="10146" s="8" customFormat="1" ht="21.95" customHeight="1" x14ac:dyDescent="0.15"/>
    <row r="10147" s="8" customFormat="1" ht="21.95" customHeight="1" x14ac:dyDescent="0.15"/>
    <row r="10148" s="8" customFormat="1" ht="21.95" customHeight="1" x14ac:dyDescent="0.15"/>
    <row r="10149" s="8" customFormat="1" ht="21.95" customHeight="1" x14ac:dyDescent="0.15"/>
    <row r="10150" s="8" customFormat="1" ht="21.95" customHeight="1" x14ac:dyDescent="0.15"/>
    <row r="10151" s="8" customFormat="1" ht="21.95" customHeight="1" x14ac:dyDescent="0.15"/>
    <row r="10152" s="8" customFormat="1" ht="32.1" customHeight="1" x14ac:dyDescent="0.15"/>
    <row r="10153" s="8" customFormat="1" ht="32.1" customHeight="1" x14ac:dyDescent="0.15"/>
    <row r="10154" s="8" customFormat="1" ht="32.1" customHeight="1" x14ac:dyDescent="0.15"/>
    <row r="10155" s="8" customFormat="1" ht="32.1" customHeight="1" x14ac:dyDescent="0.15"/>
    <row r="10156" s="8" customFormat="1" ht="32.1" customHeight="1" x14ac:dyDescent="0.15"/>
    <row r="10157" s="8" customFormat="1" ht="32.1" customHeight="1" x14ac:dyDescent="0.15"/>
    <row r="10158" s="9" customFormat="1" ht="32.1" customHeight="1" x14ac:dyDescent="0.15"/>
    <row r="10159" s="9" customFormat="1" ht="32.1" customHeight="1" x14ac:dyDescent="0.15"/>
    <row r="10160" s="9" customFormat="1" ht="32.1" customHeight="1" x14ac:dyDescent="0.15"/>
    <row r="10161" s="9" customFormat="1" ht="32.1" customHeight="1" x14ac:dyDescent="0.15"/>
    <row r="10162" s="9" customFormat="1" ht="21.95" customHeight="1" x14ac:dyDescent="0.15"/>
    <row r="10163" s="9" customFormat="1" ht="54" customHeight="1" x14ac:dyDescent="0.15"/>
    <row r="10164" s="9" customFormat="1" ht="21.95" customHeight="1" x14ac:dyDescent="0.15"/>
    <row r="10165" s="9" customFormat="1" ht="21.95" customHeight="1" x14ac:dyDescent="0.15"/>
    <row r="10166" s="9" customFormat="1" ht="21.95" customHeight="1" x14ac:dyDescent="0.15"/>
    <row r="10167" s="9" customFormat="1" ht="21.95" customHeight="1" x14ac:dyDescent="0.15"/>
    <row r="10168" s="9" customFormat="1" ht="21.95" customHeight="1" x14ac:dyDescent="0.15"/>
    <row r="10169" s="9" customFormat="1" ht="21.95" customHeight="1" x14ac:dyDescent="0.15"/>
    <row r="10170" s="9" customFormat="1" ht="21.95" customHeight="1" x14ac:dyDescent="0.15"/>
    <row r="10171" s="9" customFormat="1" ht="21.95" customHeight="1" x14ac:dyDescent="0.15"/>
    <row r="10172" s="9" customFormat="1" ht="21.95" customHeight="1" x14ac:dyDescent="0.15"/>
    <row r="10173" s="9" customFormat="1" ht="21.95" customHeight="1" x14ac:dyDescent="0.15"/>
    <row r="10174" s="9" customFormat="1" ht="21.95" customHeight="1" x14ac:dyDescent="0.15"/>
    <row r="10175" s="9" customFormat="1" ht="21.95" customHeight="1" x14ac:dyDescent="0.15"/>
    <row r="10176" s="9" customFormat="1" ht="21.95" customHeight="1" x14ac:dyDescent="0.15"/>
    <row r="10177" s="9" customFormat="1" ht="21.95" customHeight="1" x14ac:dyDescent="0.15"/>
    <row r="10178" s="9" customFormat="1" ht="21.95" customHeight="1" x14ac:dyDescent="0.15"/>
    <row r="10179" s="9" customFormat="1" ht="21.95" customHeight="1" x14ac:dyDescent="0.15"/>
    <row r="10180" s="9" customFormat="1" ht="21.95" customHeight="1" x14ac:dyDescent="0.15"/>
    <row r="10181" s="9" customFormat="1" ht="21.95" customHeight="1" x14ac:dyDescent="0.15"/>
    <row r="10182" s="9" customFormat="1" ht="21.95" customHeight="1" x14ac:dyDescent="0.15"/>
    <row r="10183" s="9" customFormat="1" ht="21.95" customHeight="1" x14ac:dyDescent="0.15"/>
    <row r="10184" s="9" customFormat="1" ht="21.95" customHeight="1" x14ac:dyDescent="0.15"/>
    <row r="10185" s="9" customFormat="1" ht="21.95" customHeight="1" x14ac:dyDescent="0.15"/>
    <row r="10186" s="9" customFormat="1" ht="21.95" customHeight="1" x14ac:dyDescent="0.15"/>
    <row r="10187" s="9" customFormat="1" ht="21.95" customHeight="1" x14ac:dyDescent="0.15"/>
    <row r="10188" s="9" customFormat="1" ht="21.95" customHeight="1" x14ac:dyDescent="0.15"/>
    <row r="10189" s="9" customFormat="1" ht="21.95" customHeight="1" x14ac:dyDescent="0.15"/>
    <row r="10190" s="9" customFormat="1" ht="21.95" customHeight="1" x14ac:dyDescent="0.15"/>
    <row r="10191" s="9" customFormat="1" ht="21.95" customHeight="1" x14ac:dyDescent="0.15"/>
    <row r="10192" s="9" customFormat="1" ht="21.95" customHeight="1" x14ac:dyDescent="0.15"/>
    <row r="10193" s="9" customFormat="1" ht="21.95" customHeight="1" x14ac:dyDescent="0.15"/>
    <row r="10194" s="9" customFormat="1" ht="21.95" customHeight="1" x14ac:dyDescent="0.15"/>
    <row r="10195" s="9" customFormat="1" ht="21.95" customHeight="1" x14ac:dyDescent="0.15"/>
    <row r="10196" s="9" customFormat="1" ht="21.95" customHeight="1" x14ac:dyDescent="0.15"/>
    <row r="10197" s="9" customFormat="1" ht="21.95" customHeight="1" x14ac:dyDescent="0.15"/>
    <row r="10198" s="9" customFormat="1" ht="21.95" customHeight="1" x14ac:dyDescent="0.15"/>
    <row r="10199" s="9" customFormat="1" ht="21.95" customHeight="1" x14ac:dyDescent="0.15"/>
    <row r="10200" s="9" customFormat="1" ht="21.95" customHeight="1" x14ac:dyDescent="0.15"/>
    <row r="10201" s="9" customFormat="1" ht="21.95" customHeight="1" x14ac:dyDescent="0.15"/>
    <row r="10202" s="9" customFormat="1" ht="21.95" customHeight="1" x14ac:dyDescent="0.15"/>
    <row r="10203" s="9" customFormat="1" ht="21.95" customHeight="1" x14ac:dyDescent="0.15"/>
    <row r="10204" s="9" customFormat="1" ht="21.95" customHeight="1" x14ac:dyDescent="0.15"/>
    <row r="10205" s="9" customFormat="1" ht="21.95" customHeight="1" x14ac:dyDescent="0.15"/>
    <row r="10206" s="9" customFormat="1" ht="21.95" customHeight="1" x14ac:dyDescent="0.15"/>
    <row r="10207" s="9" customFormat="1" ht="21.95" customHeight="1" x14ac:dyDescent="0.15"/>
    <row r="10208" s="9" customFormat="1" ht="21.95" customHeight="1" x14ac:dyDescent="0.15"/>
    <row r="10209" s="9" customFormat="1" ht="21.95" customHeight="1" x14ac:dyDescent="0.15"/>
    <row r="10210" s="9" customFormat="1" ht="21.95" customHeight="1" x14ac:dyDescent="0.15"/>
    <row r="10211" s="9" customFormat="1" ht="21.95" customHeight="1" x14ac:dyDescent="0.15"/>
    <row r="10212" s="9" customFormat="1" ht="21.95" customHeight="1" x14ac:dyDescent="0.15"/>
    <row r="10213" s="9" customFormat="1" ht="21.95" customHeight="1" x14ac:dyDescent="0.15"/>
    <row r="10214" s="9" customFormat="1" ht="35.1" customHeight="1" x14ac:dyDescent="0.15"/>
    <row r="10215" s="9" customFormat="1" ht="21.95" customHeight="1" x14ac:dyDescent="0.15"/>
    <row r="10216" s="9" customFormat="1" ht="21.95" customHeight="1" x14ac:dyDescent="0.15"/>
    <row r="10217" s="9" customFormat="1" ht="21.95" customHeight="1" x14ac:dyDescent="0.15"/>
    <row r="10218" s="9" customFormat="1" ht="21.95" customHeight="1" x14ac:dyDescent="0.15"/>
    <row r="10219" s="9" customFormat="1" ht="21.95" customHeight="1" x14ac:dyDescent="0.15"/>
    <row r="10220" s="9" customFormat="1" ht="21.95" customHeight="1" x14ac:dyDescent="0.15"/>
    <row r="10221" s="9" customFormat="1" ht="21.95" customHeight="1" x14ac:dyDescent="0.15"/>
    <row r="10222" s="9" customFormat="1" ht="21.95" customHeight="1" x14ac:dyDescent="0.15"/>
    <row r="10223" s="9" customFormat="1" ht="21.95" customHeight="1" x14ac:dyDescent="0.15"/>
    <row r="10224" s="9" customFormat="1" ht="21.95" customHeight="1" x14ac:dyDescent="0.15"/>
    <row r="10225" spans="3:3" s="9" customFormat="1" ht="21.95" customHeight="1" x14ac:dyDescent="0.15"/>
    <row r="10226" spans="3:3" s="9" customFormat="1" ht="21.95" customHeight="1" x14ac:dyDescent="0.15"/>
    <row r="10227" spans="3:3" s="9" customFormat="1" ht="21.95" customHeight="1" x14ac:dyDescent="0.15"/>
    <row r="10228" spans="3:3" s="9" customFormat="1" ht="21.95" customHeight="1" x14ac:dyDescent="0.15"/>
    <row r="10229" spans="3:3" s="9" customFormat="1" ht="21.95" customHeight="1" x14ac:dyDescent="0.15"/>
    <row r="10230" spans="3:3" s="9" customFormat="1" ht="21.95" customHeight="1" x14ac:dyDescent="0.15"/>
    <row r="10231" spans="3:3" s="9" customFormat="1" ht="21.95" customHeight="1" x14ac:dyDescent="0.15"/>
    <row r="10232" spans="3:3" s="9" customFormat="1" ht="21.95" customHeight="1" x14ac:dyDescent="0.15"/>
    <row r="10233" spans="3:3" s="9" customFormat="1" ht="21.95" customHeight="1" x14ac:dyDescent="0.15"/>
    <row r="10234" spans="3:3" s="9" customFormat="1" ht="21.95" customHeight="1" x14ac:dyDescent="0.15"/>
    <row r="10235" spans="3:3" s="9" customFormat="1" ht="21.95" customHeight="1" x14ac:dyDescent="0.15"/>
    <row r="10236" spans="3:3" s="9" customFormat="1" ht="21.95" customHeight="1" x14ac:dyDescent="0.15"/>
    <row r="10237" spans="3:3" s="9" customFormat="1" ht="21.95" customHeight="1" x14ac:dyDescent="0.15"/>
    <row r="10238" spans="3:3" s="8" customFormat="1" ht="21.95" customHeight="1" x14ac:dyDescent="0.15"/>
    <row r="10239" spans="3:3" s="8" customFormat="1" ht="21.95" customHeight="1" x14ac:dyDescent="0.15"/>
    <row r="10240" spans="3:3" s="8" customFormat="1" ht="21.95" customHeight="1" x14ac:dyDescent="0.15">
      <c r="C10240" s="101"/>
    </row>
    <row r="10241" spans="3:3" s="8" customFormat="1" ht="21.95" customHeight="1" x14ac:dyDescent="0.15">
      <c r="C10241" s="101"/>
    </row>
    <row r="10242" spans="3:3" s="8" customFormat="1" ht="21.95" customHeight="1" x14ac:dyDescent="0.15"/>
    <row r="10243" spans="3:3" s="8" customFormat="1" ht="21.95" customHeight="1" x14ac:dyDescent="0.15"/>
    <row r="10244" spans="3:3" s="8" customFormat="1" ht="21.95" customHeight="1" x14ac:dyDescent="0.15"/>
    <row r="10245" spans="3:3" s="8" customFormat="1" ht="21.95" customHeight="1" x14ac:dyDescent="0.15"/>
    <row r="10246" spans="3:3" s="8" customFormat="1" ht="21.95" customHeight="1" x14ac:dyDescent="0.15"/>
    <row r="10247" spans="3:3" s="8" customFormat="1" ht="21.95" customHeight="1" x14ac:dyDescent="0.15"/>
    <row r="10248" spans="3:3" s="8" customFormat="1" ht="21.95" customHeight="1" x14ac:dyDescent="0.15"/>
    <row r="10249" spans="3:3" s="9" customFormat="1" ht="21.95" customHeight="1" x14ac:dyDescent="0.15"/>
    <row r="10250" spans="3:3" s="9" customFormat="1" ht="21.95" customHeight="1" x14ac:dyDescent="0.15"/>
    <row r="10251" spans="3:3" s="9" customFormat="1" ht="21.95" customHeight="1" x14ac:dyDescent="0.15"/>
    <row r="10252" spans="3:3" s="9" customFormat="1" ht="21.95" customHeight="1" x14ac:dyDescent="0.15"/>
    <row r="10253" spans="3:3" s="8" customFormat="1" ht="21.95" customHeight="1" x14ac:dyDescent="0.15"/>
    <row r="10254" spans="3:3" s="8" customFormat="1" ht="21.95" customHeight="1" x14ac:dyDescent="0.15"/>
    <row r="10255" spans="3:3" s="8" customFormat="1" ht="21.95" customHeight="1" x14ac:dyDescent="0.15"/>
    <row r="10256" spans="3:3" s="8" customFormat="1" ht="21.95" customHeight="1" x14ac:dyDescent="0.15"/>
    <row r="10257" s="8" customFormat="1" ht="21.95" customHeight="1" x14ac:dyDescent="0.15"/>
    <row r="10258" s="8" customFormat="1" ht="21.95" customHeight="1" x14ac:dyDescent="0.15"/>
    <row r="10259" s="8" customFormat="1" ht="21.95" customHeight="1" x14ac:dyDescent="0.15"/>
    <row r="10260" s="8" customFormat="1" ht="21.95" customHeight="1" x14ac:dyDescent="0.15"/>
    <row r="10261" s="8" customFormat="1" ht="21.95" customHeight="1" x14ac:dyDescent="0.15"/>
    <row r="10262" s="8" customFormat="1" ht="21.95" customHeight="1" x14ac:dyDescent="0.15"/>
    <row r="10263" s="8" customFormat="1" ht="21.95" customHeight="1" x14ac:dyDescent="0.15"/>
    <row r="10264" s="8" customFormat="1" ht="32.1" customHeight="1" x14ac:dyDescent="0.15"/>
    <row r="10265" s="8" customFormat="1" ht="32.1" customHeight="1" x14ac:dyDescent="0.15"/>
    <row r="10266" s="8" customFormat="1" ht="32.1" customHeight="1" x14ac:dyDescent="0.15"/>
    <row r="10267" s="8" customFormat="1" ht="32.1" customHeight="1" x14ac:dyDescent="0.15"/>
    <row r="10268" s="8" customFormat="1" ht="32.1" customHeight="1" x14ac:dyDescent="0.15"/>
    <row r="10269" s="8" customFormat="1" ht="32.1" customHeight="1" x14ac:dyDescent="0.15"/>
    <row r="10270" s="9" customFormat="1" ht="32.1" customHeight="1" x14ac:dyDescent="0.15"/>
    <row r="10271" s="9" customFormat="1" ht="32.1" customHeight="1" x14ac:dyDescent="0.15"/>
    <row r="10272" s="9" customFormat="1" ht="32.1" customHeight="1" x14ac:dyDescent="0.15"/>
    <row r="10273" s="9" customFormat="1" ht="32.1" customHeight="1" x14ac:dyDescent="0.15"/>
    <row r="10274" s="9" customFormat="1" ht="21.95" customHeight="1" x14ac:dyDescent="0.15"/>
    <row r="10275" s="9" customFormat="1" ht="54" customHeight="1" x14ac:dyDescent="0.15"/>
    <row r="10276" s="9" customFormat="1" ht="21.95" customHeight="1" x14ac:dyDescent="0.15"/>
    <row r="10277" s="9" customFormat="1" ht="21.95" customHeight="1" x14ac:dyDescent="0.15"/>
    <row r="10278" s="9" customFormat="1" ht="21.95" customHeight="1" x14ac:dyDescent="0.15"/>
    <row r="10279" s="9" customFormat="1" ht="21.95" customHeight="1" x14ac:dyDescent="0.15"/>
    <row r="10280" s="9" customFormat="1" ht="21.95" customHeight="1" x14ac:dyDescent="0.15"/>
    <row r="10281" s="9" customFormat="1" ht="21.95" customHeight="1" x14ac:dyDescent="0.15"/>
    <row r="10282" s="9" customFormat="1" ht="21.95" customHeight="1" x14ac:dyDescent="0.15"/>
    <row r="10283" s="9" customFormat="1" ht="21.95" customHeight="1" x14ac:dyDescent="0.15"/>
    <row r="10284" s="9" customFormat="1" ht="21.95" customHeight="1" x14ac:dyDescent="0.15"/>
    <row r="10285" s="9" customFormat="1" ht="21.95" customHeight="1" x14ac:dyDescent="0.15"/>
    <row r="10286" s="9" customFormat="1" ht="21.95" customHeight="1" x14ac:dyDescent="0.15"/>
    <row r="10287" s="9" customFormat="1" ht="21.95" customHeight="1" x14ac:dyDescent="0.15"/>
    <row r="10288" s="9" customFormat="1" ht="21.95" customHeight="1" x14ac:dyDescent="0.15"/>
    <row r="10289" s="9" customFormat="1" ht="21.95" customHeight="1" x14ac:dyDescent="0.15"/>
    <row r="10290" s="9" customFormat="1" ht="21.95" customHeight="1" x14ac:dyDescent="0.15"/>
    <row r="10291" s="9" customFormat="1" ht="21.95" customHeight="1" x14ac:dyDescent="0.15"/>
    <row r="10292" s="9" customFormat="1" ht="21.95" customHeight="1" x14ac:dyDescent="0.15"/>
    <row r="10293" s="9" customFormat="1" ht="21.95" customHeight="1" x14ac:dyDescent="0.15"/>
    <row r="10294" s="9" customFormat="1" ht="21.95" customHeight="1" x14ac:dyDescent="0.15"/>
    <row r="10295" s="9" customFormat="1" ht="21.95" customHeight="1" x14ac:dyDescent="0.15"/>
    <row r="10296" s="9" customFormat="1" ht="21.95" customHeight="1" x14ac:dyDescent="0.15"/>
    <row r="10297" s="9" customFormat="1" ht="21.95" customHeight="1" x14ac:dyDescent="0.15"/>
    <row r="10298" s="9" customFormat="1" ht="21.95" customHeight="1" x14ac:dyDescent="0.15"/>
    <row r="10299" s="9" customFormat="1" ht="21.95" customHeight="1" x14ac:dyDescent="0.15"/>
    <row r="10300" s="9" customFormat="1" ht="21.95" customHeight="1" x14ac:dyDescent="0.15"/>
    <row r="10301" s="9" customFormat="1" ht="21.95" customHeight="1" x14ac:dyDescent="0.15"/>
    <row r="10302" s="9" customFormat="1" ht="21.95" customHeight="1" x14ac:dyDescent="0.15"/>
    <row r="10303" s="9" customFormat="1" ht="21.95" customHeight="1" x14ac:dyDescent="0.15"/>
    <row r="10304" s="9" customFormat="1" ht="21.95" customHeight="1" x14ac:dyDescent="0.15"/>
    <row r="10305" s="9" customFormat="1" ht="21.95" customHeight="1" x14ac:dyDescent="0.15"/>
    <row r="10306" s="9" customFormat="1" ht="21.95" customHeight="1" x14ac:dyDescent="0.15"/>
    <row r="10307" s="9" customFormat="1" ht="21.95" customHeight="1" x14ac:dyDescent="0.15"/>
    <row r="10308" s="9" customFormat="1" ht="21.95" customHeight="1" x14ac:dyDescent="0.15"/>
    <row r="10309" s="9" customFormat="1" ht="21.95" customHeight="1" x14ac:dyDescent="0.15"/>
    <row r="10310" s="9" customFormat="1" ht="21.95" customHeight="1" x14ac:dyDescent="0.15"/>
    <row r="10311" s="9" customFormat="1" ht="21.95" customHeight="1" x14ac:dyDescent="0.15"/>
    <row r="10312" s="9" customFormat="1" ht="21.95" customHeight="1" x14ac:dyDescent="0.15"/>
    <row r="10313" s="9" customFormat="1" ht="21.95" customHeight="1" x14ac:dyDescent="0.15"/>
    <row r="10314" s="9" customFormat="1" ht="21.95" customHeight="1" x14ac:dyDescent="0.15"/>
    <row r="10315" s="9" customFormat="1" ht="21.95" customHeight="1" x14ac:dyDescent="0.15"/>
    <row r="10316" s="9" customFormat="1" ht="21.95" customHeight="1" x14ac:dyDescent="0.15"/>
    <row r="10317" s="9" customFormat="1" ht="21.95" customHeight="1" x14ac:dyDescent="0.15"/>
    <row r="10318" s="9" customFormat="1" ht="21.95" customHeight="1" x14ac:dyDescent="0.15"/>
    <row r="10319" s="9" customFormat="1" ht="21.95" customHeight="1" x14ac:dyDescent="0.15"/>
    <row r="10320" s="9" customFormat="1" ht="21.95" customHeight="1" x14ac:dyDescent="0.15"/>
    <row r="10321" s="9" customFormat="1" ht="21.95" customHeight="1" x14ac:dyDescent="0.15"/>
    <row r="10322" s="9" customFormat="1" ht="21.95" customHeight="1" x14ac:dyDescent="0.15"/>
    <row r="10323" s="9" customFormat="1" ht="21.95" customHeight="1" x14ac:dyDescent="0.15"/>
    <row r="10324" s="9" customFormat="1" ht="21.95" customHeight="1" x14ac:dyDescent="0.15"/>
    <row r="10325" s="9" customFormat="1" ht="21.95" customHeight="1" x14ac:dyDescent="0.15"/>
    <row r="10326" s="9" customFormat="1" ht="35.1" customHeight="1" x14ac:dyDescent="0.15"/>
    <row r="10327" s="9" customFormat="1" ht="21.95" customHeight="1" x14ac:dyDescent="0.15"/>
    <row r="10328" s="9" customFormat="1" ht="21.95" customHeight="1" x14ac:dyDescent="0.15"/>
    <row r="10329" s="9" customFormat="1" ht="21.95" customHeight="1" x14ac:dyDescent="0.15"/>
    <row r="10330" s="9" customFormat="1" ht="21.95" customHeight="1" x14ac:dyDescent="0.15"/>
    <row r="10331" s="9" customFormat="1" ht="21.95" customHeight="1" x14ac:dyDescent="0.15"/>
    <row r="10332" s="9" customFormat="1" ht="21.95" customHeight="1" x14ac:dyDescent="0.15"/>
    <row r="10333" s="9" customFormat="1" ht="21.95" customHeight="1" x14ac:dyDescent="0.15"/>
    <row r="10334" s="9" customFormat="1" ht="21.95" customHeight="1" x14ac:dyDescent="0.15"/>
    <row r="10335" s="9" customFormat="1" ht="21.95" customHeight="1" x14ac:dyDescent="0.15"/>
    <row r="10336" s="9" customFormat="1" ht="21.95" customHeight="1" x14ac:dyDescent="0.15"/>
    <row r="10337" spans="3:3" s="9" customFormat="1" ht="21.95" customHeight="1" x14ac:dyDescent="0.15"/>
    <row r="10338" spans="3:3" s="9" customFormat="1" ht="21.95" customHeight="1" x14ac:dyDescent="0.15"/>
    <row r="10339" spans="3:3" s="9" customFormat="1" ht="21.95" customHeight="1" x14ac:dyDescent="0.15"/>
    <row r="10340" spans="3:3" s="9" customFormat="1" ht="21.95" customHeight="1" x14ac:dyDescent="0.15"/>
    <row r="10341" spans="3:3" s="9" customFormat="1" ht="21.95" customHeight="1" x14ac:dyDescent="0.15"/>
    <row r="10342" spans="3:3" s="9" customFormat="1" ht="21.95" customHeight="1" x14ac:dyDescent="0.15"/>
    <row r="10343" spans="3:3" s="9" customFormat="1" ht="21.95" customHeight="1" x14ac:dyDescent="0.15"/>
    <row r="10344" spans="3:3" s="9" customFormat="1" ht="21.95" customHeight="1" x14ac:dyDescent="0.15"/>
    <row r="10345" spans="3:3" s="9" customFormat="1" ht="21.95" customHeight="1" x14ac:dyDescent="0.15"/>
    <row r="10346" spans="3:3" s="9" customFormat="1" ht="21.95" customHeight="1" x14ac:dyDescent="0.15"/>
    <row r="10347" spans="3:3" s="9" customFormat="1" ht="21.95" customHeight="1" x14ac:dyDescent="0.15"/>
    <row r="10348" spans="3:3" s="9" customFormat="1" ht="21.95" customHeight="1" x14ac:dyDescent="0.15"/>
    <row r="10349" spans="3:3" s="9" customFormat="1" ht="21.95" customHeight="1" x14ac:dyDescent="0.15"/>
    <row r="10350" spans="3:3" s="8" customFormat="1" ht="21.95" customHeight="1" x14ac:dyDescent="0.15"/>
    <row r="10351" spans="3:3" s="8" customFormat="1" ht="21.95" customHeight="1" x14ac:dyDescent="0.15"/>
    <row r="10352" spans="3:3" s="8" customFormat="1" ht="21.95" customHeight="1" x14ac:dyDescent="0.15">
      <c r="C10352" s="101"/>
    </row>
    <row r="10353" spans="3:3" s="8" customFormat="1" ht="21.95" customHeight="1" x14ac:dyDescent="0.15">
      <c r="C10353" s="101"/>
    </row>
    <row r="10354" spans="3:3" s="8" customFormat="1" ht="21.95" customHeight="1" x14ac:dyDescent="0.15"/>
    <row r="10355" spans="3:3" s="8" customFormat="1" ht="21.95" customHeight="1" x14ac:dyDescent="0.15"/>
    <row r="10356" spans="3:3" s="8" customFormat="1" ht="21.95" customHeight="1" x14ac:dyDescent="0.15"/>
    <row r="10357" spans="3:3" s="8" customFormat="1" ht="21.95" customHeight="1" x14ac:dyDescent="0.15"/>
    <row r="10358" spans="3:3" s="8" customFormat="1" ht="21.95" customHeight="1" x14ac:dyDescent="0.15"/>
    <row r="10359" spans="3:3" s="8" customFormat="1" ht="21.95" customHeight="1" x14ac:dyDescent="0.15"/>
    <row r="10360" spans="3:3" s="8" customFormat="1" ht="21.95" customHeight="1" x14ac:dyDescent="0.15"/>
    <row r="10361" spans="3:3" s="9" customFormat="1" ht="21.95" customHeight="1" x14ac:dyDescent="0.15"/>
    <row r="10362" spans="3:3" s="9" customFormat="1" ht="21.95" customHeight="1" x14ac:dyDescent="0.15"/>
    <row r="10363" spans="3:3" s="9" customFormat="1" ht="21.95" customHeight="1" x14ac:dyDescent="0.15"/>
    <row r="10364" spans="3:3" s="9" customFormat="1" ht="21.95" customHeight="1" x14ac:dyDescent="0.15"/>
    <row r="10365" spans="3:3" s="8" customFormat="1" ht="21.95" customHeight="1" x14ac:dyDescent="0.15"/>
    <row r="10366" spans="3:3" s="8" customFormat="1" ht="21.95" customHeight="1" x14ac:dyDescent="0.15"/>
    <row r="10367" spans="3:3" s="8" customFormat="1" ht="21.95" customHeight="1" x14ac:dyDescent="0.15"/>
    <row r="10368" spans="3:3" s="8" customFormat="1" ht="21.95" customHeight="1" x14ac:dyDescent="0.15"/>
    <row r="10369" s="8" customFormat="1" ht="21.95" customHeight="1" x14ac:dyDescent="0.15"/>
    <row r="10370" s="8" customFormat="1" ht="21.95" customHeight="1" x14ac:dyDescent="0.15"/>
    <row r="10371" s="8" customFormat="1" ht="21.95" customHeight="1" x14ac:dyDescent="0.15"/>
    <row r="10372" s="8" customFormat="1" ht="21.95" customHeight="1" x14ac:dyDescent="0.15"/>
    <row r="10373" s="8" customFormat="1" ht="21.95" customHeight="1" x14ac:dyDescent="0.15"/>
    <row r="10374" s="8" customFormat="1" ht="21.95" customHeight="1" x14ac:dyDescent="0.15"/>
    <row r="10375" s="8" customFormat="1" ht="21.95" customHeight="1" x14ac:dyDescent="0.15"/>
    <row r="10376" s="8" customFormat="1" ht="32.1" customHeight="1" x14ac:dyDescent="0.15"/>
    <row r="10377" s="8" customFormat="1" ht="32.1" customHeight="1" x14ac:dyDescent="0.15"/>
    <row r="10378" s="8" customFormat="1" ht="32.1" customHeight="1" x14ac:dyDescent="0.15"/>
    <row r="10379" s="8" customFormat="1" ht="32.1" customHeight="1" x14ac:dyDescent="0.15"/>
    <row r="10380" s="8" customFormat="1" ht="32.1" customHeight="1" x14ac:dyDescent="0.15"/>
    <row r="10381" s="8" customFormat="1" ht="32.1" customHeight="1" x14ac:dyDescent="0.15"/>
    <row r="10382" s="9" customFormat="1" ht="32.1" customHeight="1" x14ac:dyDescent="0.15"/>
    <row r="10383" s="9" customFormat="1" ht="32.1" customHeight="1" x14ac:dyDescent="0.15"/>
    <row r="10384" s="9" customFormat="1" ht="32.1" customHeight="1" x14ac:dyDescent="0.15"/>
    <row r="10385" s="9" customFormat="1" ht="32.1" customHeight="1" x14ac:dyDescent="0.15"/>
    <row r="10386" s="9" customFormat="1" ht="21.95" customHeight="1" x14ac:dyDescent="0.15"/>
    <row r="10387" s="9" customFormat="1" ht="54" customHeight="1" x14ac:dyDescent="0.15"/>
    <row r="10388" s="9" customFormat="1" ht="21.95" customHeight="1" x14ac:dyDescent="0.15"/>
    <row r="10389" s="9" customFormat="1" ht="21.95" customHeight="1" x14ac:dyDescent="0.15"/>
    <row r="10390" s="9" customFormat="1" ht="21.95" customHeight="1" x14ac:dyDescent="0.15"/>
    <row r="10391" s="9" customFormat="1" ht="21.95" customHeight="1" x14ac:dyDescent="0.15"/>
    <row r="10392" s="9" customFormat="1" ht="21.95" customHeight="1" x14ac:dyDescent="0.15"/>
    <row r="10393" s="9" customFormat="1" ht="21.95" customHeight="1" x14ac:dyDescent="0.15"/>
    <row r="10394" s="9" customFormat="1" ht="21.95" customHeight="1" x14ac:dyDescent="0.15"/>
    <row r="10395" s="9" customFormat="1" ht="21.95" customHeight="1" x14ac:dyDescent="0.15"/>
    <row r="10396" s="9" customFormat="1" ht="21.95" customHeight="1" x14ac:dyDescent="0.15"/>
    <row r="10397" s="9" customFormat="1" ht="21.95" customHeight="1" x14ac:dyDescent="0.15"/>
    <row r="10398" s="9" customFormat="1" ht="21.95" customHeight="1" x14ac:dyDescent="0.15"/>
    <row r="10399" s="9" customFormat="1" ht="21.95" customHeight="1" x14ac:dyDescent="0.15"/>
    <row r="10400" s="9" customFormat="1" ht="21.95" customHeight="1" x14ac:dyDescent="0.15"/>
    <row r="10401" s="9" customFormat="1" ht="21.95" customHeight="1" x14ac:dyDescent="0.15"/>
    <row r="10402" s="9" customFormat="1" ht="21.95" customHeight="1" x14ac:dyDescent="0.15"/>
    <row r="10403" s="9" customFormat="1" ht="21.95" customHeight="1" x14ac:dyDescent="0.15"/>
    <row r="10404" s="9" customFormat="1" ht="21.95" customHeight="1" x14ac:dyDescent="0.15"/>
    <row r="10405" s="9" customFormat="1" ht="21.95" customHeight="1" x14ac:dyDescent="0.15"/>
    <row r="10406" s="9" customFormat="1" ht="21.95" customHeight="1" x14ac:dyDescent="0.15"/>
    <row r="10407" s="9" customFormat="1" ht="21.95" customHeight="1" x14ac:dyDescent="0.15"/>
    <row r="10408" s="9" customFormat="1" ht="21.95" customHeight="1" x14ac:dyDescent="0.15"/>
    <row r="10409" s="9" customFormat="1" ht="21.95" customHeight="1" x14ac:dyDescent="0.15"/>
    <row r="10410" s="9" customFormat="1" ht="21.95" customHeight="1" x14ac:dyDescent="0.15"/>
    <row r="10411" s="9" customFormat="1" ht="21.95" customHeight="1" x14ac:dyDescent="0.15"/>
    <row r="10412" s="9" customFormat="1" ht="21.95" customHeight="1" x14ac:dyDescent="0.15"/>
    <row r="10413" s="9" customFormat="1" ht="21.95" customHeight="1" x14ac:dyDescent="0.15"/>
    <row r="10414" s="9" customFormat="1" ht="21.95" customHeight="1" x14ac:dyDescent="0.15"/>
    <row r="10415" s="9" customFormat="1" ht="21.95" customHeight="1" x14ac:dyDescent="0.15"/>
    <row r="10416" s="9" customFormat="1" ht="21.95" customHeight="1" x14ac:dyDescent="0.15"/>
    <row r="10417" s="9" customFormat="1" ht="21.95" customHeight="1" x14ac:dyDescent="0.15"/>
    <row r="10418" s="9" customFormat="1" ht="21.95" customHeight="1" x14ac:dyDescent="0.15"/>
    <row r="10419" s="9" customFormat="1" ht="21.95" customHeight="1" x14ac:dyDescent="0.15"/>
    <row r="10420" s="9" customFormat="1" ht="21.95" customHeight="1" x14ac:dyDescent="0.15"/>
    <row r="10421" s="9" customFormat="1" ht="21.95" customHeight="1" x14ac:dyDescent="0.15"/>
    <row r="10422" s="9" customFormat="1" ht="21.95" customHeight="1" x14ac:dyDescent="0.15"/>
    <row r="10423" s="9" customFormat="1" ht="21.95" customHeight="1" x14ac:dyDescent="0.15"/>
    <row r="10424" s="9" customFormat="1" ht="21.95" customHeight="1" x14ac:dyDescent="0.15"/>
    <row r="10425" s="9" customFormat="1" ht="21.95" customHeight="1" x14ac:dyDescent="0.15"/>
    <row r="10426" s="9" customFormat="1" ht="21.95" customHeight="1" x14ac:dyDescent="0.15"/>
    <row r="10427" s="9" customFormat="1" ht="21.95" customHeight="1" x14ac:dyDescent="0.15"/>
    <row r="10428" s="9" customFormat="1" ht="21.95" customHeight="1" x14ac:dyDescent="0.15"/>
    <row r="10429" s="9" customFormat="1" ht="21.95" customHeight="1" x14ac:dyDescent="0.15"/>
    <row r="10430" s="9" customFormat="1" ht="21.95" customHeight="1" x14ac:dyDescent="0.15"/>
    <row r="10431" s="9" customFormat="1" ht="21.95" customHeight="1" x14ac:dyDescent="0.15"/>
    <row r="10432" s="9" customFormat="1" ht="21.95" customHeight="1" x14ac:dyDescent="0.15"/>
    <row r="10433" s="9" customFormat="1" ht="21.95" customHeight="1" x14ac:dyDescent="0.15"/>
    <row r="10434" s="9" customFormat="1" ht="21.95" customHeight="1" x14ac:dyDescent="0.15"/>
    <row r="10435" s="9" customFormat="1" ht="21.95" customHeight="1" x14ac:dyDescent="0.15"/>
    <row r="10436" s="9" customFormat="1" ht="21.95" customHeight="1" x14ac:dyDescent="0.15"/>
    <row r="10437" s="9" customFormat="1" ht="21.95" customHeight="1" x14ac:dyDescent="0.15"/>
    <row r="10438" s="9" customFormat="1" ht="35.1" customHeight="1" x14ac:dyDescent="0.15"/>
    <row r="10439" s="9" customFormat="1" ht="21.95" customHeight="1" x14ac:dyDescent="0.15"/>
    <row r="10440" s="9" customFormat="1" ht="21.95" customHeight="1" x14ac:dyDescent="0.15"/>
    <row r="10441" s="9" customFormat="1" ht="21.95" customHeight="1" x14ac:dyDescent="0.15"/>
    <row r="10442" s="9" customFormat="1" ht="21.95" customHeight="1" x14ac:dyDescent="0.15"/>
    <row r="10443" s="9" customFormat="1" ht="21.95" customHeight="1" x14ac:dyDescent="0.15"/>
    <row r="10444" s="9" customFormat="1" ht="21.95" customHeight="1" x14ac:dyDescent="0.15"/>
    <row r="10445" s="9" customFormat="1" ht="21.95" customHeight="1" x14ac:dyDescent="0.15"/>
    <row r="10446" s="9" customFormat="1" ht="21.95" customHeight="1" x14ac:dyDescent="0.15"/>
    <row r="10447" s="9" customFormat="1" ht="21.95" customHeight="1" x14ac:dyDescent="0.15"/>
    <row r="10448" s="9" customFormat="1" ht="21.95" customHeight="1" x14ac:dyDescent="0.15"/>
    <row r="10449" spans="3:3" s="9" customFormat="1" ht="21.95" customHeight="1" x14ac:dyDescent="0.15"/>
    <row r="10450" spans="3:3" s="9" customFormat="1" ht="21.95" customHeight="1" x14ac:dyDescent="0.15"/>
    <row r="10451" spans="3:3" s="9" customFormat="1" ht="21.95" customHeight="1" x14ac:dyDescent="0.15"/>
    <row r="10452" spans="3:3" s="9" customFormat="1" ht="21.95" customHeight="1" x14ac:dyDescent="0.15"/>
    <row r="10453" spans="3:3" s="9" customFormat="1" ht="21.95" customHeight="1" x14ac:dyDescent="0.15"/>
    <row r="10454" spans="3:3" s="9" customFormat="1" ht="21.95" customHeight="1" x14ac:dyDescent="0.15"/>
    <row r="10455" spans="3:3" s="9" customFormat="1" ht="21.95" customHeight="1" x14ac:dyDescent="0.15"/>
    <row r="10456" spans="3:3" s="9" customFormat="1" ht="21.95" customHeight="1" x14ac:dyDescent="0.15"/>
    <row r="10457" spans="3:3" s="9" customFormat="1" ht="21.95" customHeight="1" x14ac:dyDescent="0.15"/>
    <row r="10458" spans="3:3" s="9" customFormat="1" ht="21.95" customHeight="1" x14ac:dyDescent="0.15"/>
    <row r="10459" spans="3:3" s="9" customFormat="1" ht="21.95" customHeight="1" x14ac:dyDescent="0.15"/>
    <row r="10460" spans="3:3" s="9" customFormat="1" ht="21.95" customHeight="1" x14ac:dyDescent="0.15"/>
    <row r="10461" spans="3:3" s="9" customFormat="1" ht="21.95" customHeight="1" x14ac:dyDescent="0.15"/>
    <row r="10462" spans="3:3" s="8" customFormat="1" ht="21.95" customHeight="1" x14ac:dyDescent="0.15"/>
    <row r="10463" spans="3:3" s="8" customFormat="1" ht="21.95" customHeight="1" x14ac:dyDescent="0.15"/>
    <row r="10464" spans="3:3" s="8" customFormat="1" ht="21.95" customHeight="1" x14ac:dyDescent="0.15">
      <c r="C10464" s="101"/>
    </row>
    <row r="10465" spans="3:3" s="8" customFormat="1" ht="21.95" customHeight="1" x14ac:dyDescent="0.15">
      <c r="C10465" s="101"/>
    </row>
    <row r="10466" spans="3:3" s="8" customFormat="1" ht="21.95" customHeight="1" x14ac:dyDescent="0.15"/>
    <row r="10467" spans="3:3" s="8" customFormat="1" ht="21.95" customHeight="1" x14ac:dyDescent="0.15"/>
    <row r="10468" spans="3:3" s="8" customFormat="1" ht="21.95" customHeight="1" x14ac:dyDescent="0.15"/>
    <row r="10469" spans="3:3" s="8" customFormat="1" ht="21.95" customHeight="1" x14ac:dyDescent="0.15"/>
    <row r="10470" spans="3:3" s="8" customFormat="1" ht="21.95" customHeight="1" x14ac:dyDescent="0.15"/>
    <row r="10471" spans="3:3" s="8" customFormat="1" ht="21.95" customHeight="1" x14ac:dyDescent="0.15"/>
    <row r="10472" spans="3:3" s="8" customFormat="1" ht="21.95" customHeight="1" x14ac:dyDescent="0.15"/>
    <row r="10473" spans="3:3" s="9" customFormat="1" ht="21.95" customHeight="1" x14ac:dyDescent="0.15"/>
    <row r="10474" spans="3:3" s="9" customFormat="1" ht="21.95" customHeight="1" x14ac:dyDescent="0.15"/>
    <row r="10475" spans="3:3" s="9" customFormat="1" ht="21.95" customHeight="1" x14ac:dyDescent="0.15"/>
    <row r="10476" spans="3:3" s="9" customFormat="1" ht="21.95" customHeight="1" x14ac:dyDescent="0.15"/>
    <row r="10477" spans="3:3" s="8" customFormat="1" ht="21.95" customHeight="1" x14ac:dyDescent="0.15"/>
    <row r="10478" spans="3:3" s="8" customFormat="1" ht="21.95" customHeight="1" x14ac:dyDescent="0.15"/>
    <row r="10479" spans="3:3" s="8" customFormat="1" ht="21.95" customHeight="1" x14ac:dyDescent="0.15"/>
    <row r="10480" spans="3:3" s="8" customFormat="1" ht="21.95" customHeight="1" x14ac:dyDescent="0.15"/>
    <row r="10481" s="8" customFormat="1" ht="21.95" customHeight="1" x14ac:dyDescent="0.15"/>
    <row r="10482" s="8" customFormat="1" ht="21.95" customHeight="1" x14ac:dyDescent="0.15"/>
    <row r="10483" s="8" customFormat="1" ht="21.95" customHeight="1" x14ac:dyDescent="0.15"/>
    <row r="10484" s="8" customFormat="1" ht="21.95" customHeight="1" x14ac:dyDescent="0.15"/>
    <row r="10485" s="8" customFormat="1" ht="21.95" customHeight="1" x14ac:dyDescent="0.15"/>
    <row r="10486" s="8" customFormat="1" ht="21.95" customHeight="1" x14ac:dyDescent="0.15"/>
    <row r="10487" s="8" customFormat="1" ht="21.95" customHeight="1" x14ac:dyDescent="0.15"/>
    <row r="10488" s="8" customFormat="1" ht="32.1" customHeight="1" x14ac:dyDescent="0.15"/>
    <row r="10489" s="8" customFormat="1" ht="32.1" customHeight="1" x14ac:dyDescent="0.15"/>
    <row r="10490" s="8" customFormat="1" ht="32.1" customHeight="1" x14ac:dyDescent="0.15"/>
    <row r="10491" s="8" customFormat="1" ht="32.1" customHeight="1" x14ac:dyDescent="0.15"/>
    <row r="10492" s="8" customFormat="1" ht="32.1" customHeight="1" x14ac:dyDescent="0.15"/>
    <row r="10493" s="8" customFormat="1" ht="32.1" customHeight="1" x14ac:dyDescent="0.15"/>
    <row r="10494" s="9" customFormat="1" ht="32.1" customHeight="1" x14ac:dyDescent="0.15"/>
    <row r="10495" s="9" customFormat="1" ht="32.1" customHeight="1" x14ac:dyDescent="0.15"/>
    <row r="10496" s="9" customFormat="1" ht="32.1" customHeight="1" x14ac:dyDescent="0.15"/>
    <row r="10497" s="9" customFormat="1" ht="32.1" customHeight="1" x14ac:dyDescent="0.15"/>
    <row r="10498" s="9" customFormat="1" ht="21.95" customHeight="1" x14ac:dyDescent="0.15"/>
    <row r="10499" s="9" customFormat="1" ht="54" customHeight="1" x14ac:dyDescent="0.15"/>
    <row r="10500" s="9" customFormat="1" ht="21.95" customHeight="1" x14ac:dyDescent="0.15"/>
    <row r="10501" s="9" customFormat="1" ht="21.95" customHeight="1" x14ac:dyDescent="0.15"/>
    <row r="10502" s="9" customFormat="1" ht="21.95" customHeight="1" x14ac:dyDescent="0.15"/>
    <row r="10503" s="9" customFormat="1" ht="21.95" customHeight="1" x14ac:dyDescent="0.15"/>
    <row r="10504" s="9" customFormat="1" ht="21.95" customHeight="1" x14ac:dyDescent="0.15"/>
    <row r="10505" s="9" customFormat="1" ht="21.95" customHeight="1" x14ac:dyDescent="0.15"/>
    <row r="10506" s="9" customFormat="1" ht="21.95" customHeight="1" x14ac:dyDescent="0.15"/>
    <row r="10507" s="9" customFormat="1" ht="21.95" customHeight="1" x14ac:dyDescent="0.15"/>
    <row r="10508" s="9" customFormat="1" ht="21.95" customHeight="1" x14ac:dyDescent="0.15"/>
    <row r="10509" s="9" customFormat="1" ht="21.95" customHeight="1" x14ac:dyDescent="0.15"/>
    <row r="10510" s="9" customFormat="1" ht="21.95" customHeight="1" x14ac:dyDescent="0.15"/>
    <row r="10511" s="9" customFormat="1" ht="21.95" customHeight="1" x14ac:dyDescent="0.15"/>
    <row r="10512" s="9" customFormat="1" ht="21.95" customHeight="1" x14ac:dyDescent="0.15"/>
    <row r="10513" s="9" customFormat="1" ht="21.95" customHeight="1" x14ac:dyDescent="0.15"/>
    <row r="10514" s="9" customFormat="1" ht="21.95" customHeight="1" x14ac:dyDescent="0.15"/>
    <row r="10515" s="9" customFormat="1" ht="21.95" customHeight="1" x14ac:dyDescent="0.15"/>
    <row r="10516" s="9" customFormat="1" ht="21.95" customHeight="1" x14ac:dyDescent="0.15"/>
    <row r="10517" s="9" customFormat="1" ht="21.95" customHeight="1" x14ac:dyDescent="0.15"/>
    <row r="10518" s="9" customFormat="1" ht="21.95" customHeight="1" x14ac:dyDescent="0.15"/>
    <row r="10519" s="9" customFormat="1" ht="21.95" customHeight="1" x14ac:dyDescent="0.15"/>
    <row r="10520" s="9" customFormat="1" ht="21.95" customHeight="1" x14ac:dyDescent="0.15"/>
    <row r="10521" s="9" customFormat="1" ht="21.95" customHeight="1" x14ac:dyDescent="0.15"/>
    <row r="10522" s="9" customFormat="1" ht="21.95" customHeight="1" x14ac:dyDescent="0.15"/>
    <row r="10523" s="9" customFormat="1" ht="21.95" customHeight="1" x14ac:dyDescent="0.15"/>
    <row r="10524" s="9" customFormat="1" ht="21.95" customHeight="1" x14ac:dyDescent="0.15"/>
    <row r="10525" s="9" customFormat="1" ht="21.95" customHeight="1" x14ac:dyDescent="0.15"/>
    <row r="10526" s="9" customFormat="1" ht="21.95" customHeight="1" x14ac:dyDescent="0.15"/>
    <row r="10527" s="9" customFormat="1" ht="21.95" customHeight="1" x14ac:dyDescent="0.15"/>
    <row r="10528" s="9" customFormat="1" ht="21.95" customHeight="1" x14ac:dyDescent="0.15"/>
    <row r="10529" s="9" customFormat="1" ht="21.95" customHeight="1" x14ac:dyDescent="0.15"/>
    <row r="10530" s="9" customFormat="1" ht="21.95" customHeight="1" x14ac:dyDescent="0.15"/>
    <row r="10531" s="9" customFormat="1" ht="21.95" customHeight="1" x14ac:dyDescent="0.15"/>
    <row r="10532" s="9" customFormat="1" ht="21.95" customHeight="1" x14ac:dyDescent="0.15"/>
    <row r="10533" s="9" customFormat="1" ht="21.95" customHeight="1" x14ac:dyDescent="0.15"/>
    <row r="10534" s="9" customFormat="1" ht="21.95" customHeight="1" x14ac:dyDescent="0.15"/>
    <row r="10535" s="9" customFormat="1" ht="21.95" customHeight="1" x14ac:dyDescent="0.15"/>
    <row r="10536" s="9" customFormat="1" ht="21.95" customHeight="1" x14ac:dyDescent="0.15"/>
    <row r="10537" s="9" customFormat="1" ht="21.95" customHeight="1" x14ac:dyDescent="0.15"/>
    <row r="10538" s="9" customFormat="1" ht="21.95" customHeight="1" x14ac:dyDescent="0.15"/>
    <row r="10539" s="9" customFormat="1" ht="21.95" customHeight="1" x14ac:dyDescent="0.15"/>
    <row r="10540" s="9" customFormat="1" ht="21.95" customHeight="1" x14ac:dyDescent="0.15"/>
    <row r="10541" s="9" customFormat="1" ht="21.95" customHeight="1" x14ac:dyDescent="0.15"/>
    <row r="10542" s="9" customFormat="1" ht="21.95" customHeight="1" x14ac:dyDescent="0.15"/>
    <row r="10543" s="9" customFormat="1" ht="21.95" customHeight="1" x14ac:dyDescent="0.15"/>
    <row r="10544" s="9" customFormat="1" ht="21.95" customHeight="1" x14ac:dyDescent="0.15"/>
    <row r="10545" s="9" customFormat="1" ht="21.95" customHeight="1" x14ac:dyDescent="0.15"/>
    <row r="10546" s="9" customFormat="1" ht="21.95" customHeight="1" x14ac:dyDescent="0.15"/>
    <row r="10547" s="9" customFormat="1" ht="21.95" customHeight="1" x14ac:dyDescent="0.15"/>
    <row r="10548" s="9" customFormat="1" ht="21.95" customHeight="1" x14ac:dyDescent="0.15"/>
    <row r="10549" s="9" customFormat="1" ht="21.95" customHeight="1" x14ac:dyDescent="0.15"/>
    <row r="10550" s="9" customFormat="1" ht="35.1" customHeight="1" x14ac:dyDescent="0.15"/>
    <row r="10551" s="9" customFormat="1" ht="21.95" customHeight="1" x14ac:dyDescent="0.15"/>
    <row r="10552" s="9" customFormat="1" ht="21.95" customHeight="1" x14ac:dyDescent="0.15"/>
    <row r="10553" s="9" customFormat="1" ht="21.95" customHeight="1" x14ac:dyDescent="0.15"/>
    <row r="10554" s="9" customFormat="1" ht="21.95" customHeight="1" x14ac:dyDescent="0.15"/>
    <row r="10555" s="9" customFormat="1" ht="21.95" customHeight="1" x14ac:dyDescent="0.15"/>
    <row r="10556" s="9" customFormat="1" ht="21.95" customHeight="1" x14ac:dyDescent="0.15"/>
    <row r="10557" s="9" customFormat="1" ht="21.95" customHeight="1" x14ac:dyDescent="0.15"/>
    <row r="10558" s="9" customFormat="1" ht="21.95" customHeight="1" x14ac:dyDescent="0.15"/>
    <row r="10559" s="9" customFormat="1" ht="21.95" customHeight="1" x14ac:dyDescent="0.15"/>
    <row r="10560" s="9" customFormat="1" ht="21.95" customHeight="1" x14ac:dyDescent="0.15"/>
    <row r="10561" spans="3:3" s="9" customFormat="1" ht="21.95" customHeight="1" x14ac:dyDescent="0.15"/>
    <row r="10562" spans="3:3" s="9" customFormat="1" ht="21.95" customHeight="1" x14ac:dyDescent="0.15"/>
    <row r="10563" spans="3:3" s="9" customFormat="1" ht="21.95" customHeight="1" x14ac:dyDescent="0.15"/>
    <row r="10564" spans="3:3" s="9" customFormat="1" ht="21.95" customHeight="1" x14ac:dyDescent="0.15"/>
    <row r="10565" spans="3:3" s="9" customFormat="1" ht="21.95" customHeight="1" x14ac:dyDescent="0.15"/>
    <row r="10566" spans="3:3" s="9" customFormat="1" ht="21.95" customHeight="1" x14ac:dyDescent="0.15"/>
    <row r="10567" spans="3:3" s="9" customFormat="1" ht="21.95" customHeight="1" x14ac:dyDescent="0.15"/>
    <row r="10568" spans="3:3" s="9" customFormat="1" ht="21.95" customHeight="1" x14ac:dyDescent="0.15"/>
    <row r="10569" spans="3:3" s="9" customFormat="1" ht="21.95" customHeight="1" x14ac:dyDescent="0.15"/>
    <row r="10570" spans="3:3" s="9" customFormat="1" ht="21.95" customHeight="1" x14ac:dyDescent="0.15"/>
    <row r="10571" spans="3:3" s="9" customFormat="1" ht="21.95" customHeight="1" x14ac:dyDescent="0.15"/>
    <row r="10572" spans="3:3" s="9" customFormat="1" ht="21.95" customHeight="1" x14ac:dyDescent="0.15"/>
    <row r="10573" spans="3:3" s="9" customFormat="1" ht="21.95" customHeight="1" x14ac:dyDescent="0.15"/>
    <row r="10574" spans="3:3" s="8" customFormat="1" ht="21.95" customHeight="1" x14ac:dyDescent="0.15"/>
    <row r="10575" spans="3:3" s="8" customFormat="1" ht="21.95" customHeight="1" x14ac:dyDescent="0.15"/>
    <row r="10576" spans="3:3" s="8" customFormat="1" ht="21.95" customHeight="1" x14ac:dyDescent="0.15">
      <c r="C10576" s="101"/>
    </row>
    <row r="10577" spans="3:3" s="8" customFormat="1" ht="21.95" customHeight="1" x14ac:dyDescent="0.15">
      <c r="C10577" s="101"/>
    </row>
    <row r="10578" spans="3:3" s="8" customFormat="1" ht="21.95" customHeight="1" x14ac:dyDescent="0.15"/>
    <row r="10579" spans="3:3" s="8" customFormat="1" ht="21.95" customHeight="1" x14ac:dyDescent="0.15"/>
    <row r="10580" spans="3:3" s="8" customFormat="1" ht="21.95" customHeight="1" x14ac:dyDescent="0.15"/>
    <row r="10581" spans="3:3" s="8" customFormat="1" ht="21.95" customHeight="1" x14ac:dyDescent="0.15"/>
    <row r="10582" spans="3:3" s="8" customFormat="1" ht="21.95" customHeight="1" x14ac:dyDescent="0.15"/>
    <row r="10583" spans="3:3" s="8" customFormat="1" ht="21.95" customHeight="1" x14ac:dyDescent="0.15"/>
    <row r="10584" spans="3:3" s="8" customFormat="1" ht="21.95" customHeight="1" x14ac:dyDescent="0.15"/>
    <row r="10585" spans="3:3" s="9" customFormat="1" ht="21.95" customHeight="1" x14ac:dyDescent="0.15"/>
    <row r="10586" spans="3:3" s="9" customFormat="1" ht="21.95" customHeight="1" x14ac:dyDescent="0.15"/>
    <row r="10587" spans="3:3" s="9" customFormat="1" ht="21.95" customHeight="1" x14ac:dyDescent="0.15"/>
    <row r="10588" spans="3:3" s="9" customFormat="1" ht="21.95" customHeight="1" x14ac:dyDescent="0.15"/>
    <row r="10589" spans="3:3" s="8" customFormat="1" ht="21.95" customHeight="1" x14ac:dyDescent="0.15"/>
    <row r="10590" spans="3:3" s="8" customFormat="1" ht="21.95" customHeight="1" x14ac:dyDescent="0.15"/>
    <row r="10591" spans="3:3" s="8" customFormat="1" ht="21.95" customHeight="1" x14ac:dyDescent="0.15"/>
    <row r="10592" spans="3:3" s="8" customFormat="1" ht="21.95" customHeight="1" x14ac:dyDescent="0.15"/>
    <row r="10593" s="8" customFormat="1" ht="21.95" customHeight="1" x14ac:dyDescent="0.15"/>
    <row r="10594" s="8" customFormat="1" ht="21.95" customHeight="1" x14ac:dyDescent="0.15"/>
    <row r="10595" s="8" customFormat="1" ht="21.95" customHeight="1" x14ac:dyDescent="0.15"/>
    <row r="10596" s="8" customFormat="1" ht="21.95" customHeight="1" x14ac:dyDescent="0.15"/>
    <row r="10597" s="8" customFormat="1" ht="21.95" customHeight="1" x14ac:dyDescent="0.15"/>
    <row r="10598" s="8" customFormat="1" ht="21.95" customHeight="1" x14ac:dyDescent="0.15"/>
    <row r="10599" s="8" customFormat="1" ht="21.95" customHeight="1" x14ac:dyDescent="0.15"/>
    <row r="10600" s="8" customFormat="1" ht="32.1" customHeight="1" x14ac:dyDescent="0.15"/>
    <row r="10601" s="8" customFormat="1" ht="32.1" customHeight="1" x14ac:dyDescent="0.15"/>
    <row r="10602" s="8" customFormat="1" ht="32.1" customHeight="1" x14ac:dyDescent="0.15"/>
    <row r="10603" s="8" customFormat="1" ht="32.1" customHeight="1" x14ac:dyDescent="0.15"/>
    <row r="10604" s="8" customFormat="1" ht="32.1" customHeight="1" x14ac:dyDescent="0.15"/>
    <row r="10605" s="8" customFormat="1" ht="32.1" customHeight="1" x14ac:dyDescent="0.15"/>
    <row r="10606" s="9" customFormat="1" ht="32.1" customHeight="1" x14ac:dyDescent="0.15"/>
    <row r="10607" s="9" customFormat="1" ht="32.1" customHeight="1" x14ac:dyDescent="0.15"/>
    <row r="10608" s="9" customFormat="1" ht="32.1" customHeight="1" x14ac:dyDescent="0.15"/>
    <row r="10609" s="9" customFormat="1" ht="32.1" customHeight="1" x14ac:dyDescent="0.15"/>
    <row r="10610" s="9" customFormat="1" ht="21.95" customHeight="1" x14ac:dyDescent="0.15"/>
    <row r="10611" s="9" customFormat="1" ht="54" customHeight="1" x14ac:dyDescent="0.15"/>
    <row r="10612" s="9" customFormat="1" ht="21.95" customHeight="1" x14ac:dyDescent="0.15"/>
    <row r="10613" s="9" customFormat="1" ht="21.95" customHeight="1" x14ac:dyDescent="0.15"/>
    <row r="10614" s="9" customFormat="1" ht="21.95" customHeight="1" x14ac:dyDescent="0.15"/>
    <row r="10615" s="9" customFormat="1" ht="21.95" customHeight="1" x14ac:dyDescent="0.15"/>
    <row r="10616" s="9" customFormat="1" ht="21.95" customHeight="1" x14ac:dyDescent="0.15"/>
    <row r="10617" s="9" customFormat="1" ht="21.95" customHeight="1" x14ac:dyDescent="0.15"/>
    <row r="10618" s="9" customFormat="1" ht="21.95" customHeight="1" x14ac:dyDescent="0.15"/>
    <row r="10619" s="9" customFormat="1" ht="21.95" customHeight="1" x14ac:dyDescent="0.15"/>
    <row r="10620" s="9" customFormat="1" ht="21.95" customHeight="1" x14ac:dyDescent="0.15"/>
    <row r="10621" s="9" customFormat="1" ht="21.95" customHeight="1" x14ac:dyDescent="0.15"/>
    <row r="10622" s="9" customFormat="1" ht="21.95" customHeight="1" x14ac:dyDescent="0.15"/>
    <row r="10623" s="9" customFormat="1" ht="21.95" customHeight="1" x14ac:dyDescent="0.15"/>
    <row r="10624" s="9" customFormat="1" ht="21.95" customHeight="1" x14ac:dyDescent="0.15"/>
    <row r="10625" s="9" customFormat="1" ht="21.95" customHeight="1" x14ac:dyDescent="0.15"/>
    <row r="10626" s="9" customFormat="1" ht="21.95" customHeight="1" x14ac:dyDescent="0.15"/>
    <row r="10627" s="9" customFormat="1" ht="21.95" customHeight="1" x14ac:dyDescent="0.15"/>
    <row r="10628" s="9" customFormat="1" ht="21.95" customHeight="1" x14ac:dyDescent="0.15"/>
    <row r="10629" s="9" customFormat="1" ht="21.95" customHeight="1" x14ac:dyDescent="0.15"/>
    <row r="10630" s="9" customFormat="1" ht="21.95" customHeight="1" x14ac:dyDescent="0.15"/>
    <row r="10631" s="9" customFormat="1" ht="21.95" customHeight="1" x14ac:dyDescent="0.15"/>
    <row r="10632" s="9" customFormat="1" ht="21.95" customHeight="1" x14ac:dyDescent="0.15"/>
    <row r="10633" s="9" customFormat="1" ht="21.95" customHeight="1" x14ac:dyDescent="0.15"/>
    <row r="10634" s="9" customFormat="1" ht="21.95" customHeight="1" x14ac:dyDescent="0.15"/>
    <row r="10635" s="9" customFormat="1" ht="21.95" customHeight="1" x14ac:dyDescent="0.15"/>
    <row r="10636" s="9" customFormat="1" ht="21.95" customHeight="1" x14ac:dyDescent="0.15"/>
    <row r="10637" s="9" customFormat="1" ht="21.95" customHeight="1" x14ac:dyDescent="0.15"/>
    <row r="10638" s="9" customFormat="1" ht="21.95" customHeight="1" x14ac:dyDescent="0.15"/>
    <row r="10639" s="9" customFormat="1" ht="21.95" customHeight="1" x14ac:dyDescent="0.15"/>
    <row r="10640" s="9" customFormat="1" ht="21.95" customHeight="1" x14ac:dyDescent="0.15"/>
    <row r="10641" s="9" customFormat="1" ht="21.95" customHeight="1" x14ac:dyDescent="0.15"/>
    <row r="10642" s="9" customFormat="1" ht="21.95" customHeight="1" x14ac:dyDescent="0.15"/>
    <row r="10643" s="9" customFormat="1" ht="21.95" customHeight="1" x14ac:dyDescent="0.15"/>
    <row r="10644" s="9" customFormat="1" ht="21.95" customHeight="1" x14ac:dyDescent="0.15"/>
    <row r="10645" s="9" customFormat="1" ht="21.95" customHeight="1" x14ac:dyDescent="0.15"/>
    <row r="10646" s="9" customFormat="1" ht="21.95" customHeight="1" x14ac:dyDescent="0.15"/>
    <row r="10647" s="9" customFormat="1" ht="21.95" customHeight="1" x14ac:dyDescent="0.15"/>
    <row r="10648" s="9" customFormat="1" ht="21.95" customHeight="1" x14ac:dyDescent="0.15"/>
    <row r="10649" s="9" customFormat="1" ht="21.95" customHeight="1" x14ac:dyDescent="0.15"/>
    <row r="10650" s="9" customFormat="1" ht="21.95" customHeight="1" x14ac:dyDescent="0.15"/>
    <row r="10651" s="9" customFormat="1" ht="21.95" customHeight="1" x14ac:dyDescent="0.15"/>
    <row r="10652" s="9" customFormat="1" ht="21.95" customHeight="1" x14ac:dyDescent="0.15"/>
    <row r="10653" s="9" customFormat="1" ht="21.95" customHeight="1" x14ac:dyDescent="0.15"/>
    <row r="10654" s="9" customFormat="1" ht="21.95" customHeight="1" x14ac:dyDescent="0.15"/>
    <row r="10655" s="9" customFormat="1" ht="21.95" customHeight="1" x14ac:dyDescent="0.15"/>
    <row r="10656" s="9" customFormat="1" ht="21.95" customHeight="1" x14ac:dyDescent="0.15"/>
    <row r="10657" s="9" customFormat="1" ht="21.95" customHeight="1" x14ac:dyDescent="0.15"/>
    <row r="10658" s="9" customFormat="1" ht="21.95" customHeight="1" x14ac:dyDescent="0.15"/>
    <row r="10659" s="9" customFormat="1" ht="21.95" customHeight="1" x14ac:dyDescent="0.15"/>
    <row r="10660" s="9" customFormat="1" ht="21.95" customHeight="1" x14ac:dyDescent="0.15"/>
    <row r="10661" s="9" customFormat="1" ht="21.95" customHeight="1" x14ac:dyDescent="0.15"/>
    <row r="10662" s="9" customFormat="1" ht="35.1" customHeight="1" x14ac:dyDescent="0.15"/>
    <row r="10663" s="9" customFormat="1" ht="21.95" customHeight="1" x14ac:dyDescent="0.15"/>
    <row r="10664" s="9" customFormat="1" ht="21.95" customHeight="1" x14ac:dyDescent="0.15"/>
    <row r="10665" s="9" customFormat="1" ht="21.95" customHeight="1" x14ac:dyDescent="0.15"/>
    <row r="10666" s="9" customFormat="1" ht="21.95" customHeight="1" x14ac:dyDescent="0.15"/>
    <row r="10667" s="9" customFormat="1" ht="21.95" customHeight="1" x14ac:dyDescent="0.15"/>
    <row r="10668" s="9" customFormat="1" ht="21.95" customHeight="1" x14ac:dyDescent="0.15"/>
    <row r="10669" s="9" customFormat="1" ht="21.95" customHeight="1" x14ac:dyDescent="0.15"/>
    <row r="10670" s="9" customFormat="1" ht="21.95" customHeight="1" x14ac:dyDescent="0.15"/>
    <row r="10671" s="9" customFormat="1" ht="21.95" customHeight="1" x14ac:dyDescent="0.15"/>
    <row r="10672" s="9" customFormat="1" ht="21.95" customHeight="1" x14ac:dyDescent="0.15"/>
    <row r="10673" spans="3:3" s="9" customFormat="1" ht="21.95" customHeight="1" x14ac:dyDescent="0.15"/>
    <row r="10674" spans="3:3" s="9" customFormat="1" ht="21.95" customHeight="1" x14ac:dyDescent="0.15"/>
    <row r="10675" spans="3:3" s="9" customFormat="1" ht="21.95" customHeight="1" x14ac:dyDescent="0.15"/>
    <row r="10676" spans="3:3" s="9" customFormat="1" ht="21.95" customHeight="1" x14ac:dyDescent="0.15"/>
    <row r="10677" spans="3:3" s="9" customFormat="1" ht="21.95" customHeight="1" x14ac:dyDescent="0.15"/>
    <row r="10678" spans="3:3" s="9" customFormat="1" ht="21.95" customHeight="1" x14ac:dyDescent="0.15"/>
    <row r="10679" spans="3:3" s="9" customFormat="1" ht="21.95" customHeight="1" x14ac:dyDescent="0.15"/>
    <row r="10680" spans="3:3" s="9" customFormat="1" ht="21.95" customHeight="1" x14ac:dyDescent="0.15"/>
    <row r="10681" spans="3:3" s="9" customFormat="1" ht="21.95" customHeight="1" x14ac:dyDescent="0.15"/>
    <row r="10682" spans="3:3" s="9" customFormat="1" ht="21.95" customHeight="1" x14ac:dyDescent="0.15"/>
    <row r="10683" spans="3:3" s="9" customFormat="1" ht="21.95" customHeight="1" x14ac:dyDescent="0.15"/>
    <row r="10684" spans="3:3" s="9" customFormat="1" ht="21.95" customHeight="1" x14ac:dyDescent="0.15"/>
    <row r="10685" spans="3:3" s="9" customFormat="1" ht="21.95" customHeight="1" x14ac:dyDescent="0.15"/>
    <row r="10686" spans="3:3" s="8" customFormat="1" ht="21.95" customHeight="1" x14ac:dyDescent="0.15"/>
    <row r="10687" spans="3:3" s="8" customFormat="1" ht="21.95" customHeight="1" x14ac:dyDescent="0.15"/>
    <row r="10688" spans="3:3" s="8" customFormat="1" ht="21.95" customHeight="1" x14ac:dyDescent="0.15">
      <c r="C10688" s="101"/>
    </row>
    <row r="10689" spans="3:3" s="8" customFormat="1" ht="21.95" customHeight="1" x14ac:dyDescent="0.15">
      <c r="C10689" s="101"/>
    </row>
    <row r="10690" spans="3:3" s="8" customFormat="1" ht="21.95" customHeight="1" x14ac:dyDescent="0.15"/>
    <row r="10691" spans="3:3" s="8" customFormat="1" ht="21.95" customHeight="1" x14ac:dyDescent="0.15"/>
    <row r="10692" spans="3:3" s="8" customFormat="1" ht="21.95" customHeight="1" x14ac:dyDescent="0.15"/>
    <row r="10693" spans="3:3" s="8" customFormat="1" ht="21.95" customHeight="1" x14ac:dyDescent="0.15"/>
    <row r="10694" spans="3:3" s="8" customFormat="1" ht="21.95" customHeight="1" x14ac:dyDescent="0.15"/>
    <row r="10695" spans="3:3" s="8" customFormat="1" ht="21.95" customHeight="1" x14ac:dyDescent="0.15"/>
    <row r="10696" spans="3:3" s="8" customFormat="1" ht="21.95" customHeight="1" x14ac:dyDescent="0.15"/>
    <row r="10697" spans="3:3" s="9" customFormat="1" ht="21.95" customHeight="1" x14ac:dyDescent="0.15"/>
    <row r="10698" spans="3:3" s="9" customFormat="1" ht="21.95" customHeight="1" x14ac:dyDescent="0.15"/>
    <row r="10699" spans="3:3" s="9" customFormat="1" ht="21.95" customHeight="1" x14ac:dyDescent="0.15"/>
    <row r="10700" spans="3:3" s="9" customFormat="1" ht="21.95" customHeight="1" x14ac:dyDescent="0.15"/>
    <row r="10701" spans="3:3" s="8" customFormat="1" ht="21.95" customHeight="1" x14ac:dyDescent="0.15"/>
    <row r="10702" spans="3:3" s="8" customFormat="1" ht="21.95" customHeight="1" x14ac:dyDescent="0.15"/>
    <row r="10703" spans="3:3" s="8" customFormat="1" ht="21.95" customHeight="1" x14ac:dyDescent="0.15"/>
    <row r="10704" spans="3:3" s="8" customFormat="1" ht="21.95" customHeight="1" x14ac:dyDescent="0.15"/>
    <row r="10705" s="8" customFormat="1" ht="21.95" customHeight="1" x14ac:dyDescent="0.15"/>
    <row r="10706" s="8" customFormat="1" ht="21.95" customHeight="1" x14ac:dyDescent="0.15"/>
    <row r="10707" s="8" customFormat="1" ht="21.95" customHeight="1" x14ac:dyDescent="0.15"/>
    <row r="10708" s="8" customFormat="1" ht="21.95" customHeight="1" x14ac:dyDescent="0.15"/>
    <row r="10709" s="8" customFormat="1" ht="21.95" customHeight="1" x14ac:dyDescent="0.15"/>
    <row r="10710" s="8" customFormat="1" ht="21.95" customHeight="1" x14ac:dyDescent="0.15"/>
    <row r="10711" s="8" customFormat="1" ht="21.95" customHeight="1" x14ac:dyDescent="0.15"/>
    <row r="10712" s="8" customFormat="1" ht="32.1" customHeight="1" x14ac:dyDescent="0.15"/>
    <row r="10713" s="8" customFormat="1" ht="32.1" customHeight="1" x14ac:dyDescent="0.15"/>
    <row r="10714" s="8" customFormat="1" ht="32.1" customHeight="1" x14ac:dyDescent="0.15"/>
    <row r="10715" s="8" customFormat="1" ht="32.1" customHeight="1" x14ac:dyDescent="0.15"/>
    <row r="10716" s="8" customFormat="1" ht="32.1" customHeight="1" x14ac:dyDescent="0.15"/>
    <row r="10717" s="8" customFormat="1" ht="32.1" customHeight="1" x14ac:dyDescent="0.15"/>
    <row r="10718" s="9" customFormat="1" ht="32.1" customHeight="1" x14ac:dyDescent="0.15"/>
    <row r="10719" s="9" customFormat="1" ht="32.1" customHeight="1" x14ac:dyDescent="0.15"/>
    <row r="10720" s="9" customFormat="1" ht="32.1" customHeight="1" x14ac:dyDescent="0.15"/>
    <row r="10721" s="9" customFormat="1" ht="32.1" customHeight="1" x14ac:dyDescent="0.15"/>
    <row r="10722" s="9" customFormat="1" ht="21.95" customHeight="1" x14ac:dyDescent="0.15"/>
    <row r="10723" s="9" customFormat="1" ht="54" customHeight="1" x14ac:dyDescent="0.15"/>
    <row r="10724" s="9" customFormat="1" ht="21.95" customHeight="1" x14ac:dyDescent="0.15"/>
    <row r="10725" s="9" customFormat="1" ht="21.95" customHeight="1" x14ac:dyDescent="0.15"/>
    <row r="10726" s="9" customFormat="1" ht="21.95" customHeight="1" x14ac:dyDescent="0.15"/>
    <row r="10727" s="9" customFormat="1" ht="21.95" customHeight="1" x14ac:dyDescent="0.15"/>
    <row r="10728" s="9" customFormat="1" ht="21.95" customHeight="1" x14ac:dyDescent="0.15"/>
    <row r="10729" s="9" customFormat="1" ht="21.95" customHeight="1" x14ac:dyDescent="0.15"/>
    <row r="10730" s="9" customFormat="1" ht="21.95" customHeight="1" x14ac:dyDescent="0.15"/>
    <row r="10731" s="9" customFormat="1" ht="21.95" customHeight="1" x14ac:dyDescent="0.15"/>
    <row r="10732" s="9" customFormat="1" ht="21.95" customHeight="1" x14ac:dyDescent="0.15"/>
    <row r="10733" s="9" customFormat="1" ht="21.95" customHeight="1" x14ac:dyDescent="0.15"/>
    <row r="10734" s="9" customFormat="1" ht="21.95" customHeight="1" x14ac:dyDescent="0.15"/>
    <row r="10735" s="9" customFormat="1" ht="21.95" customHeight="1" x14ac:dyDescent="0.15"/>
    <row r="10736" s="9" customFormat="1" ht="21.95" customHeight="1" x14ac:dyDescent="0.15"/>
    <row r="10737" s="9" customFormat="1" ht="21.95" customHeight="1" x14ac:dyDescent="0.15"/>
    <row r="10738" s="9" customFormat="1" ht="21.95" customHeight="1" x14ac:dyDescent="0.15"/>
    <row r="10739" s="9" customFormat="1" ht="21.95" customHeight="1" x14ac:dyDescent="0.15"/>
    <row r="10740" s="9" customFormat="1" ht="21.95" customHeight="1" x14ac:dyDescent="0.15"/>
    <row r="10741" s="9" customFormat="1" ht="21.95" customHeight="1" x14ac:dyDescent="0.15"/>
    <row r="10742" s="9" customFormat="1" ht="21.95" customHeight="1" x14ac:dyDescent="0.15"/>
    <row r="10743" s="9" customFormat="1" ht="21.95" customHeight="1" x14ac:dyDescent="0.15"/>
    <row r="10744" s="9" customFormat="1" ht="21.95" customHeight="1" x14ac:dyDescent="0.15"/>
    <row r="10745" s="9" customFormat="1" ht="21.95" customHeight="1" x14ac:dyDescent="0.15"/>
    <row r="10746" s="9" customFormat="1" ht="21.95" customHeight="1" x14ac:dyDescent="0.15"/>
    <row r="10747" s="9" customFormat="1" ht="21.95" customHeight="1" x14ac:dyDescent="0.15"/>
    <row r="10748" s="9" customFormat="1" ht="21.95" customHeight="1" x14ac:dyDescent="0.15"/>
    <row r="10749" s="9" customFormat="1" ht="21.95" customHeight="1" x14ac:dyDescent="0.15"/>
    <row r="10750" s="9" customFormat="1" ht="21.95" customHeight="1" x14ac:dyDescent="0.15"/>
    <row r="10751" s="9" customFormat="1" ht="21.95" customHeight="1" x14ac:dyDescent="0.15"/>
    <row r="10752" s="9" customFormat="1" ht="21.95" customHeight="1" x14ac:dyDescent="0.15"/>
    <row r="10753" s="9" customFormat="1" ht="21.95" customHeight="1" x14ac:dyDescent="0.15"/>
    <row r="10754" s="9" customFormat="1" ht="21.95" customHeight="1" x14ac:dyDescent="0.15"/>
    <row r="10755" s="9" customFormat="1" ht="21.95" customHeight="1" x14ac:dyDescent="0.15"/>
    <row r="10756" s="9" customFormat="1" ht="21.95" customHeight="1" x14ac:dyDescent="0.15"/>
    <row r="10757" s="9" customFormat="1" ht="21.95" customHeight="1" x14ac:dyDescent="0.15"/>
    <row r="10758" s="9" customFormat="1" ht="21.95" customHeight="1" x14ac:dyDescent="0.15"/>
    <row r="10759" s="9" customFormat="1" ht="21.95" customHeight="1" x14ac:dyDescent="0.15"/>
    <row r="10760" s="9" customFormat="1" ht="21.95" customHeight="1" x14ac:dyDescent="0.15"/>
    <row r="10761" s="9" customFormat="1" ht="21.95" customHeight="1" x14ac:dyDescent="0.15"/>
    <row r="10762" s="9" customFormat="1" ht="21.95" customHeight="1" x14ac:dyDescent="0.15"/>
    <row r="10763" s="9" customFormat="1" ht="21.95" customHeight="1" x14ac:dyDescent="0.15"/>
    <row r="10764" s="9" customFormat="1" ht="21.95" customHeight="1" x14ac:dyDescent="0.15"/>
    <row r="10765" s="9" customFormat="1" ht="21.95" customHeight="1" x14ac:dyDescent="0.15"/>
    <row r="10766" s="9" customFormat="1" ht="21.95" customHeight="1" x14ac:dyDescent="0.15"/>
    <row r="10767" s="9" customFormat="1" ht="21.95" customHeight="1" x14ac:dyDescent="0.15"/>
    <row r="10768" s="9" customFormat="1" ht="21.95" customHeight="1" x14ac:dyDescent="0.15"/>
    <row r="10769" s="9" customFormat="1" ht="21.95" customHeight="1" x14ac:dyDescent="0.15"/>
    <row r="10770" s="9" customFormat="1" ht="21.95" customHeight="1" x14ac:dyDescent="0.15"/>
    <row r="10771" s="9" customFormat="1" ht="21.95" customHeight="1" x14ac:dyDescent="0.15"/>
    <row r="10772" s="9" customFormat="1" ht="21.95" customHeight="1" x14ac:dyDescent="0.15"/>
    <row r="10773" s="9" customFormat="1" ht="21.95" customHeight="1" x14ac:dyDescent="0.15"/>
    <row r="10774" s="9" customFormat="1" ht="35.1" customHeight="1" x14ac:dyDescent="0.15"/>
    <row r="10775" s="9" customFormat="1" ht="21.95" customHeight="1" x14ac:dyDescent="0.15"/>
    <row r="10776" s="9" customFormat="1" ht="21.95" customHeight="1" x14ac:dyDescent="0.15"/>
    <row r="10777" s="9" customFormat="1" ht="21.95" customHeight="1" x14ac:dyDescent="0.15"/>
    <row r="10778" s="9" customFormat="1" ht="21.95" customHeight="1" x14ac:dyDescent="0.15"/>
    <row r="10779" s="9" customFormat="1" ht="21.95" customHeight="1" x14ac:dyDescent="0.15"/>
    <row r="10780" s="9" customFormat="1" ht="21.95" customHeight="1" x14ac:dyDescent="0.15"/>
    <row r="10781" s="9" customFormat="1" ht="21.95" customHeight="1" x14ac:dyDescent="0.15"/>
    <row r="10782" s="9" customFormat="1" ht="21.95" customHeight="1" x14ac:dyDescent="0.15"/>
    <row r="10783" s="9" customFormat="1" ht="21.95" customHeight="1" x14ac:dyDescent="0.15"/>
    <row r="10784" s="9" customFormat="1" ht="21.95" customHeight="1" x14ac:dyDescent="0.15"/>
    <row r="10785" spans="3:3" s="9" customFormat="1" ht="21.95" customHeight="1" x14ac:dyDescent="0.15"/>
    <row r="10786" spans="3:3" s="9" customFormat="1" ht="21.95" customHeight="1" x14ac:dyDescent="0.15"/>
    <row r="10787" spans="3:3" s="9" customFormat="1" ht="21.95" customHeight="1" x14ac:dyDescent="0.15"/>
    <row r="10788" spans="3:3" s="9" customFormat="1" ht="21.95" customHeight="1" x14ac:dyDescent="0.15"/>
    <row r="10789" spans="3:3" s="9" customFormat="1" ht="21.95" customHeight="1" x14ac:dyDescent="0.15"/>
    <row r="10790" spans="3:3" s="9" customFormat="1" ht="21.95" customHeight="1" x14ac:dyDescent="0.15"/>
    <row r="10791" spans="3:3" s="9" customFormat="1" ht="21.95" customHeight="1" x14ac:dyDescent="0.15"/>
    <row r="10792" spans="3:3" s="9" customFormat="1" ht="21.95" customHeight="1" x14ac:dyDescent="0.15"/>
    <row r="10793" spans="3:3" s="9" customFormat="1" ht="21.95" customHeight="1" x14ac:dyDescent="0.15"/>
    <row r="10794" spans="3:3" s="9" customFormat="1" ht="21.95" customHeight="1" x14ac:dyDescent="0.15"/>
    <row r="10795" spans="3:3" s="9" customFormat="1" ht="21.95" customHeight="1" x14ac:dyDescent="0.15"/>
    <row r="10796" spans="3:3" s="9" customFormat="1" ht="21.95" customHeight="1" x14ac:dyDescent="0.15"/>
    <row r="10797" spans="3:3" s="9" customFormat="1" ht="21.95" customHeight="1" x14ac:dyDescent="0.15"/>
    <row r="10798" spans="3:3" s="8" customFormat="1" ht="21.95" customHeight="1" x14ac:dyDescent="0.15"/>
    <row r="10799" spans="3:3" s="8" customFormat="1" ht="21.95" customHeight="1" x14ac:dyDescent="0.15"/>
    <row r="10800" spans="3:3" s="8" customFormat="1" ht="21.95" customHeight="1" x14ac:dyDescent="0.15">
      <c r="C10800" s="101"/>
    </row>
    <row r="10801" spans="3:3" s="8" customFormat="1" ht="21.95" customHeight="1" x14ac:dyDescent="0.15">
      <c r="C10801" s="101"/>
    </row>
    <row r="10802" spans="3:3" s="8" customFormat="1" ht="21.95" customHeight="1" x14ac:dyDescent="0.15"/>
    <row r="10803" spans="3:3" s="8" customFormat="1" ht="21.95" customHeight="1" x14ac:dyDescent="0.15"/>
    <row r="10804" spans="3:3" s="8" customFormat="1" ht="21.95" customHeight="1" x14ac:dyDescent="0.15"/>
    <row r="10805" spans="3:3" s="8" customFormat="1" ht="21.95" customHeight="1" x14ac:dyDescent="0.15"/>
    <row r="10806" spans="3:3" s="8" customFormat="1" ht="21.95" customHeight="1" x14ac:dyDescent="0.15"/>
    <row r="10807" spans="3:3" s="8" customFormat="1" ht="21.95" customHeight="1" x14ac:dyDescent="0.15"/>
    <row r="10808" spans="3:3" s="8" customFormat="1" ht="21.95" customHeight="1" x14ac:dyDescent="0.15"/>
    <row r="10809" spans="3:3" s="9" customFormat="1" ht="21.95" customHeight="1" x14ac:dyDescent="0.15"/>
    <row r="10810" spans="3:3" s="9" customFormat="1" ht="21.95" customHeight="1" x14ac:dyDescent="0.15"/>
    <row r="10811" spans="3:3" s="9" customFormat="1" ht="21.95" customHeight="1" x14ac:dyDescent="0.15"/>
    <row r="10812" spans="3:3" s="9" customFormat="1" ht="21.95" customHeight="1" x14ac:dyDescent="0.15"/>
    <row r="10813" spans="3:3" s="8" customFormat="1" ht="21.95" customHeight="1" x14ac:dyDescent="0.15"/>
    <row r="10814" spans="3:3" s="8" customFormat="1" ht="21.95" customHeight="1" x14ac:dyDescent="0.15"/>
    <row r="10815" spans="3:3" s="8" customFormat="1" ht="21.95" customHeight="1" x14ac:dyDescent="0.15"/>
    <row r="10816" spans="3:3" s="8" customFormat="1" ht="21.95" customHeight="1" x14ac:dyDescent="0.15"/>
    <row r="10817" s="8" customFormat="1" ht="21.95" customHeight="1" x14ac:dyDescent="0.15"/>
    <row r="10818" s="8" customFormat="1" ht="21.95" customHeight="1" x14ac:dyDescent="0.15"/>
    <row r="10819" s="8" customFormat="1" ht="21.95" customHeight="1" x14ac:dyDescent="0.15"/>
    <row r="10820" s="8" customFormat="1" ht="21.95" customHeight="1" x14ac:dyDescent="0.15"/>
    <row r="10821" s="8" customFormat="1" ht="21.95" customHeight="1" x14ac:dyDescent="0.15"/>
    <row r="10822" s="8" customFormat="1" ht="21.95" customHeight="1" x14ac:dyDescent="0.15"/>
    <row r="10823" s="8" customFormat="1" ht="21.95" customHeight="1" x14ac:dyDescent="0.15"/>
    <row r="10824" s="8" customFormat="1" ht="32.1" customHeight="1" x14ac:dyDescent="0.15"/>
    <row r="10825" s="8" customFormat="1" ht="32.1" customHeight="1" x14ac:dyDescent="0.15"/>
    <row r="10826" s="8" customFormat="1" ht="32.1" customHeight="1" x14ac:dyDescent="0.15"/>
    <row r="10827" s="8" customFormat="1" ht="32.1" customHeight="1" x14ac:dyDescent="0.15"/>
    <row r="10828" s="8" customFormat="1" ht="32.1" customHeight="1" x14ac:dyDescent="0.15"/>
    <row r="10829" s="8" customFormat="1" ht="32.1" customHeight="1" x14ac:dyDescent="0.15"/>
    <row r="10830" s="9" customFormat="1" ht="32.1" customHeight="1" x14ac:dyDescent="0.15"/>
    <row r="10831" s="9" customFormat="1" ht="32.1" customHeight="1" x14ac:dyDescent="0.15"/>
    <row r="10832" s="9" customFormat="1" ht="32.1" customHeight="1" x14ac:dyDescent="0.15"/>
    <row r="10833" s="9" customFormat="1" ht="32.1" customHeight="1" x14ac:dyDescent="0.15"/>
    <row r="10834" s="9" customFormat="1" ht="21.95" customHeight="1" x14ac:dyDescent="0.15"/>
    <row r="10835" s="9" customFormat="1" ht="54" customHeight="1" x14ac:dyDescent="0.15"/>
    <row r="10836" s="9" customFormat="1" ht="21.95" customHeight="1" x14ac:dyDescent="0.15"/>
    <row r="10837" s="9" customFormat="1" ht="21.95" customHeight="1" x14ac:dyDescent="0.15"/>
    <row r="10838" s="9" customFormat="1" ht="21.95" customHeight="1" x14ac:dyDescent="0.15"/>
    <row r="10839" s="9" customFormat="1" ht="21.95" customHeight="1" x14ac:dyDescent="0.15"/>
    <row r="10840" s="9" customFormat="1" ht="21.95" customHeight="1" x14ac:dyDescent="0.15"/>
    <row r="10841" s="9" customFormat="1" ht="21.95" customHeight="1" x14ac:dyDescent="0.15"/>
    <row r="10842" s="9" customFormat="1" ht="21.95" customHeight="1" x14ac:dyDescent="0.15"/>
    <row r="10843" s="9" customFormat="1" ht="21.95" customHeight="1" x14ac:dyDescent="0.15"/>
    <row r="10844" s="9" customFormat="1" ht="21.95" customHeight="1" x14ac:dyDescent="0.15"/>
    <row r="10845" s="9" customFormat="1" ht="21.95" customHeight="1" x14ac:dyDescent="0.15"/>
    <row r="10846" s="9" customFormat="1" ht="21.95" customHeight="1" x14ac:dyDescent="0.15"/>
    <row r="10847" s="9" customFormat="1" ht="21.95" customHeight="1" x14ac:dyDescent="0.15"/>
    <row r="10848" s="9" customFormat="1" ht="21.95" customHeight="1" x14ac:dyDescent="0.15"/>
    <row r="10849" s="9" customFormat="1" ht="21.95" customHeight="1" x14ac:dyDescent="0.15"/>
    <row r="10850" s="9" customFormat="1" ht="21.95" customHeight="1" x14ac:dyDescent="0.15"/>
    <row r="10851" s="9" customFormat="1" ht="21.95" customHeight="1" x14ac:dyDescent="0.15"/>
    <row r="10852" s="9" customFormat="1" ht="21.95" customHeight="1" x14ac:dyDescent="0.15"/>
    <row r="10853" s="9" customFormat="1" ht="21.95" customHeight="1" x14ac:dyDescent="0.15"/>
    <row r="10854" s="9" customFormat="1" ht="21.95" customHeight="1" x14ac:dyDescent="0.15"/>
    <row r="10855" s="9" customFormat="1" ht="21.95" customHeight="1" x14ac:dyDescent="0.15"/>
    <row r="10856" s="9" customFormat="1" ht="21.95" customHeight="1" x14ac:dyDescent="0.15"/>
    <row r="10857" s="9" customFormat="1" ht="21.95" customHeight="1" x14ac:dyDescent="0.15"/>
    <row r="10858" s="9" customFormat="1" ht="21.95" customHeight="1" x14ac:dyDescent="0.15"/>
    <row r="10859" s="9" customFormat="1" ht="21.95" customHeight="1" x14ac:dyDescent="0.15"/>
    <row r="10860" s="9" customFormat="1" ht="21.95" customHeight="1" x14ac:dyDescent="0.15"/>
    <row r="10861" s="9" customFormat="1" ht="21.95" customHeight="1" x14ac:dyDescent="0.15"/>
    <row r="10862" s="9" customFormat="1" ht="21.95" customHeight="1" x14ac:dyDescent="0.15"/>
    <row r="10863" s="9" customFormat="1" ht="21.95" customHeight="1" x14ac:dyDescent="0.15"/>
    <row r="10864" s="9" customFormat="1" ht="21.95" customHeight="1" x14ac:dyDescent="0.15"/>
    <row r="10865" s="9" customFormat="1" ht="21.95" customHeight="1" x14ac:dyDescent="0.15"/>
    <row r="10866" s="9" customFormat="1" ht="21.95" customHeight="1" x14ac:dyDescent="0.15"/>
    <row r="10867" s="9" customFormat="1" ht="21.95" customHeight="1" x14ac:dyDescent="0.15"/>
    <row r="10868" s="9" customFormat="1" ht="21.95" customHeight="1" x14ac:dyDescent="0.15"/>
    <row r="10869" s="9" customFormat="1" ht="21.95" customHeight="1" x14ac:dyDescent="0.15"/>
    <row r="10870" s="9" customFormat="1" ht="21.95" customHeight="1" x14ac:dyDescent="0.15"/>
    <row r="10871" s="9" customFormat="1" ht="21.95" customHeight="1" x14ac:dyDescent="0.15"/>
    <row r="10872" s="9" customFormat="1" ht="21.95" customHeight="1" x14ac:dyDescent="0.15"/>
    <row r="10873" s="9" customFormat="1" ht="21.95" customHeight="1" x14ac:dyDescent="0.15"/>
    <row r="10874" s="9" customFormat="1" ht="21.95" customHeight="1" x14ac:dyDescent="0.15"/>
    <row r="10875" s="9" customFormat="1" ht="21.95" customHeight="1" x14ac:dyDescent="0.15"/>
    <row r="10876" s="9" customFormat="1" ht="21.95" customHeight="1" x14ac:dyDescent="0.15"/>
    <row r="10877" s="9" customFormat="1" ht="21.95" customHeight="1" x14ac:dyDescent="0.15"/>
    <row r="10878" s="9" customFormat="1" ht="21.95" customHeight="1" x14ac:dyDescent="0.15"/>
    <row r="10879" s="9" customFormat="1" ht="21.95" customHeight="1" x14ac:dyDescent="0.15"/>
    <row r="10880" s="9" customFormat="1" ht="21.95" customHeight="1" x14ac:dyDescent="0.15"/>
    <row r="10881" s="9" customFormat="1" ht="21.95" customHeight="1" x14ac:dyDescent="0.15"/>
    <row r="10882" s="9" customFormat="1" ht="21.95" customHeight="1" x14ac:dyDescent="0.15"/>
    <row r="10883" s="9" customFormat="1" ht="21.95" customHeight="1" x14ac:dyDescent="0.15"/>
    <row r="10884" s="9" customFormat="1" ht="21.95" customHeight="1" x14ac:dyDescent="0.15"/>
    <row r="10885" s="9" customFormat="1" ht="21.95" customHeight="1" x14ac:dyDescent="0.15"/>
    <row r="10886" s="9" customFormat="1" ht="35.1" customHeight="1" x14ac:dyDescent="0.15"/>
    <row r="10887" s="9" customFormat="1" ht="21.95" customHeight="1" x14ac:dyDescent="0.15"/>
    <row r="10888" s="9" customFormat="1" ht="21.95" customHeight="1" x14ac:dyDescent="0.15"/>
    <row r="10889" s="9" customFormat="1" ht="21.95" customHeight="1" x14ac:dyDescent="0.15"/>
    <row r="10890" s="9" customFormat="1" ht="21.95" customHeight="1" x14ac:dyDescent="0.15"/>
    <row r="10891" s="9" customFormat="1" ht="21.95" customHeight="1" x14ac:dyDescent="0.15"/>
    <row r="10892" s="9" customFormat="1" ht="21.95" customHeight="1" x14ac:dyDescent="0.15"/>
    <row r="10893" s="9" customFormat="1" ht="21.95" customHeight="1" x14ac:dyDescent="0.15"/>
    <row r="10894" s="9" customFormat="1" ht="21.95" customHeight="1" x14ac:dyDescent="0.15"/>
    <row r="10895" s="9" customFormat="1" ht="21.95" customHeight="1" x14ac:dyDescent="0.15"/>
    <row r="10896" s="9" customFormat="1" ht="21.95" customHeight="1" x14ac:dyDescent="0.15"/>
    <row r="10897" spans="3:3" s="9" customFormat="1" ht="21.95" customHeight="1" x14ac:dyDescent="0.15"/>
    <row r="10898" spans="3:3" s="9" customFormat="1" ht="21.95" customHeight="1" x14ac:dyDescent="0.15"/>
    <row r="10899" spans="3:3" s="9" customFormat="1" ht="21.95" customHeight="1" x14ac:dyDescent="0.15"/>
    <row r="10900" spans="3:3" s="9" customFormat="1" ht="21.95" customHeight="1" x14ac:dyDescent="0.15"/>
    <row r="10901" spans="3:3" s="9" customFormat="1" ht="21.95" customHeight="1" x14ac:dyDescent="0.15"/>
    <row r="10902" spans="3:3" s="9" customFormat="1" ht="21.95" customHeight="1" x14ac:dyDescent="0.15"/>
    <row r="10903" spans="3:3" s="9" customFormat="1" ht="21.95" customHeight="1" x14ac:dyDescent="0.15"/>
    <row r="10904" spans="3:3" s="9" customFormat="1" ht="21.95" customHeight="1" x14ac:dyDescent="0.15"/>
    <row r="10905" spans="3:3" s="9" customFormat="1" ht="21.95" customHeight="1" x14ac:dyDescent="0.15"/>
    <row r="10906" spans="3:3" s="9" customFormat="1" ht="21.95" customHeight="1" x14ac:dyDescent="0.15"/>
    <row r="10907" spans="3:3" s="9" customFormat="1" ht="21.95" customHeight="1" x14ac:dyDescent="0.15"/>
    <row r="10908" spans="3:3" s="9" customFormat="1" ht="21.95" customHeight="1" x14ac:dyDescent="0.15"/>
    <row r="10909" spans="3:3" s="9" customFormat="1" ht="21.95" customHeight="1" x14ac:dyDescent="0.15"/>
    <row r="10910" spans="3:3" s="8" customFormat="1" ht="21.95" customHeight="1" x14ac:dyDescent="0.15"/>
    <row r="10911" spans="3:3" s="8" customFormat="1" ht="21.95" customHeight="1" x14ac:dyDescent="0.15"/>
    <row r="10912" spans="3:3" s="8" customFormat="1" ht="21.95" customHeight="1" x14ac:dyDescent="0.15">
      <c r="C10912" s="101"/>
    </row>
    <row r="10913" spans="3:3" s="8" customFormat="1" ht="21.95" customHeight="1" x14ac:dyDescent="0.15">
      <c r="C10913" s="101"/>
    </row>
    <row r="10914" spans="3:3" s="8" customFormat="1" ht="21.95" customHeight="1" x14ac:dyDescent="0.15"/>
    <row r="10915" spans="3:3" s="8" customFormat="1" ht="21.95" customHeight="1" x14ac:dyDescent="0.15"/>
    <row r="10916" spans="3:3" s="8" customFormat="1" ht="21.95" customHeight="1" x14ac:dyDescent="0.15"/>
    <row r="10917" spans="3:3" s="8" customFormat="1" ht="21.95" customHeight="1" x14ac:dyDescent="0.15"/>
    <row r="10918" spans="3:3" s="8" customFormat="1" ht="21.95" customHeight="1" x14ac:dyDescent="0.15"/>
    <row r="10919" spans="3:3" s="8" customFormat="1" ht="21.95" customHeight="1" x14ac:dyDescent="0.15"/>
    <row r="10920" spans="3:3" s="8" customFormat="1" ht="21.95" customHeight="1" x14ac:dyDescent="0.15"/>
    <row r="10921" spans="3:3" s="9" customFormat="1" ht="21.95" customHeight="1" x14ac:dyDescent="0.15"/>
    <row r="10922" spans="3:3" s="9" customFormat="1" ht="21.95" customHeight="1" x14ac:dyDescent="0.15"/>
    <row r="10923" spans="3:3" s="9" customFormat="1" ht="21.95" customHeight="1" x14ac:dyDescent="0.15"/>
    <row r="10924" spans="3:3" s="9" customFormat="1" ht="21.95" customHeight="1" x14ac:dyDescent="0.15"/>
    <row r="10925" spans="3:3" s="8" customFormat="1" ht="21.95" customHeight="1" x14ac:dyDescent="0.15"/>
    <row r="10926" spans="3:3" s="8" customFormat="1" ht="21.95" customHeight="1" x14ac:dyDescent="0.15"/>
    <row r="10927" spans="3:3" s="8" customFormat="1" ht="21.95" customHeight="1" x14ac:dyDescent="0.15"/>
    <row r="10928" spans="3:3" s="8" customFormat="1" ht="21.95" customHeight="1" x14ac:dyDescent="0.15"/>
    <row r="10929" s="8" customFormat="1" ht="21.95" customHeight="1" x14ac:dyDescent="0.15"/>
    <row r="10930" s="8" customFormat="1" ht="21.95" customHeight="1" x14ac:dyDescent="0.15"/>
    <row r="10931" s="8" customFormat="1" ht="21.95" customHeight="1" x14ac:dyDescent="0.15"/>
    <row r="10932" s="8" customFormat="1" ht="21.95" customHeight="1" x14ac:dyDescent="0.15"/>
    <row r="10933" s="8" customFormat="1" ht="21.95" customHeight="1" x14ac:dyDescent="0.15"/>
    <row r="10934" s="8" customFormat="1" ht="21.95" customHeight="1" x14ac:dyDescent="0.15"/>
    <row r="10935" s="8" customFormat="1" ht="21.95" customHeight="1" x14ac:dyDescent="0.15"/>
    <row r="10936" s="8" customFormat="1" ht="32.1" customHeight="1" x14ac:dyDescent="0.15"/>
    <row r="10937" s="8" customFormat="1" ht="32.1" customHeight="1" x14ac:dyDescent="0.15"/>
    <row r="10938" s="8" customFormat="1" ht="32.1" customHeight="1" x14ac:dyDescent="0.15"/>
    <row r="10939" s="8" customFormat="1" ht="32.1" customHeight="1" x14ac:dyDescent="0.15"/>
    <row r="10940" s="8" customFormat="1" ht="32.1" customHeight="1" x14ac:dyDescent="0.15"/>
    <row r="10941" s="8" customFormat="1" ht="32.1" customHeight="1" x14ac:dyDescent="0.15"/>
    <row r="10942" s="9" customFormat="1" ht="32.1" customHeight="1" x14ac:dyDescent="0.15"/>
    <row r="10943" s="9" customFormat="1" ht="32.1" customHeight="1" x14ac:dyDescent="0.15"/>
    <row r="10944" s="9" customFormat="1" ht="32.1" customHeight="1" x14ac:dyDescent="0.15"/>
    <row r="10945" s="9" customFormat="1" ht="32.1" customHeight="1" x14ac:dyDescent="0.15"/>
    <row r="10946" s="9" customFormat="1" ht="21.95" customHeight="1" x14ac:dyDescent="0.15"/>
    <row r="10947" s="9" customFormat="1" ht="54" customHeight="1" x14ac:dyDescent="0.15"/>
    <row r="10948" s="9" customFormat="1" ht="21.95" customHeight="1" x14ac:dyDescent="0.15"/>
    <row r="10949" s="9" customFormat="1" ht="21.95" customHeight="1" x14ac:dyDescent="0.15"/>
    <row r="10950" s="9" customFormat="1" ht="21.95" customHeight="1" x14ac:dyDescent="0.15"/>
    <row r="10951" s="9" customFormat="1" ht="21.95" customHeight="1" x14ac:dyDescent="0.15"/>
    <row r="10952" s="9" customFormat="1" ht="21.95" customHeight="1" x14ac:dyDescent="0.15"/>
    <row r="10953" s="9" customFormat="1" ht="21.95" customHeight="1" x14ac:dyDescent="0.15"/>
    <row r="10954" s="9" customFormat="1" ht="21.95" customHeight="1" x14ac:dyDescent="0.15"/>
    <row r="10955" s="9" customFormat="1" ht="21.95" customHeight="1" x14ac:dyDescent="0.15"/>
    <row r="10956" s="9" customFormat="1" ht="21.95" customHeight="1" x14ac:dyDescent="0.15"/>
    <row r="10957" s="9" customFormat="1" ht="21.95" customHeight="1" x14ac:dyDescent="0.15"/>
    <row r="10958" s="9" customFormat="1" ht="21.95" customHeight="1" x14ac:dyDescent="0.15"/>
    <row r="10959" s="9" customFormat="1" ht="21.95" customHeight="1" x14ac:dyDescent="0.15"/>
    <row r="10960" s="9" customFormat="1" ht="21.95" customHeight="1" x14ac:dyDescent="0.15"/>
    <row r="10961" s="9" customFormat="1" ht="21.95" customHeight="1" x14ac:dyDescent="0.15"/>
    <row r="10962" s="9" customFormat="1" ht="21.95" customHeight="1" x14ac:dyDescent="0.15"/>
    <row r="10963" s="9" customFormat="1" ht="21.95" customHeight="1" x14ac:dyDescent="0.15"/>
    <row r="10964" s="9" customFormat="1" ht="21.95" customHeight="1" x14ac:dyDescent="0.15"/>
    <row r="10965" s="9" customFormat="1" ht="21.95" customHeight="1" x14ac:dyDescent="0.15"/>
    <row r="10966" s="9" customFormat="1" ht="21.95" customHeight="1" x14ac:dyDescent="0.15"/>
    <row r="10967" s="9" customFormat="1" ht="21.95" customHeight="1" x14ac:dyDescent="0.15"/>
    <row r="10968" s="9" customFormat="1" ht="21.95" customHeight="1" x14ac:dyDescent="0.15"/>
    <row r="10969" s="9" customFormat="1" ht="21.95" customHeight="1" x14ac:dyDescent="0.15"/>
    <row r="10970" s="9" customFormat="1" ht="21.95" customHeight="1" x14ac:dyDescent="0.15"/>
    <row r="10971" s="9" customFormat="1" ht="21.95" customHeight="1" x14ac:dyDescent="0.15"/>
    <row r="10972" s="9" customFormat="1" ht="21.95" customHeight="1" x14ac:dyDescent="0.15"/>
    <row r="10973" s="9" customFormat="1" ht="21.95" customHeight="1" x14ac:dyDescent="0.15"/>
    <row r="10974" s="9" customFormat="1" ht="21.95" customHeight="1" x14ac:dyDescent="0.15"/>
    <row r="10975" s="9" customFormat="1" ht="21.95" customHeight="1" x14ac:dyDescent="0.15"/>
    <row r="10976" s="9" customFormat="1" ht="21.95" customHeight="1" x14ac:dyDescent="0.15"/>
    <row r="10977" s="9" customFormat="1" ht="21.95" customHeight="1" x14ac:dyDescent="0.15"/>
    <row r="10978" s="9" customFormat="1" ht="21.95" customHeight="1" x14ac:dyDescent="0.15"/>
    <row r="10979" s="9" customFormat="1" ht="21.95" customHeight="1" x14ac:dyDescent="0.15"/>
    <row r="10980" s="9" customFormat="1" ht="21.95" customHeight="1" x14ac:dyDescent="0.15"/>
    <row r="10981" s="9" customFormat="1" ht="21.95" customHeight="1" x14ac:dyDescent="0.15"/>
    <row r="10982" s="9" customFormat="1" ht="21.95" customHeight="1" x14ac:dyDescent="0.15"/>
    <row r="10983" s="9" customFormat="1" ht="21.95" customHeight="1" x14ac:dyDescent="0.15"/>
    <row r="10984" s="9" customFormat="1" ht="21.95" customHeight="1" x14ac:dyDescent="0.15"/>
    <row r="10985" s="9" customFormat="1" ht="21.95" customHeight="1" x14ac:dyDescent="0.15"/>
    <row r="10986" s="9" customFormat="1" ht="21.95" customHeight="1" x14ac:dyDescent="0.15"/>
    <row r="10987" s="9" customFormat="1" ht="21.95" customHeight="1" x14ac:dyDescent="0.15"/>
    <row r="10988" s="9" customFormat="1" ht="21.95" customHeight="1" x14ac:dyDescent="0.15"/>
    <row r="10989" s="9" customFormat="1" ht="21.95" customHeight="1" x14ac:dyDescent="0.15"/>
    <row r="10990" s="9" customFormat="1" ht="21.95" customHeight="1" x14ac:dyDescent="0.15"/>
    <row r="10991" s="9" customFormat="1" ht="21.95" customHeight="1" x14ac:dyDescent="0.15"/>
    <row r="10992" s="9" customFormat="1" ht="21.95" customHeight="1" x14ac:dyDescent="0.15"/>
    <row r="10993" s="9" customFormat="1" ht="21.95" customHeight="1" x14ac:dyDescent="0.15"/>
    <row r="10994" s="9" customFormat="1" ht="21.95" customHeight="1" x14ac:dyDescent="0.15"/>
    <row r="10995" s="9" customFormat="1" ht="21.95" customHeight="1" x14ac:dyDescent="0.15"/>
    <row r="10996" s="9" customFormat="1" ht="21.95" customHeight="1" x14ac:dyDescent="0.15"/>
    <row r="10997" s="9" customFormat="1" ht="21.95" customHeight="1" x14ac:dyDescent="0.15"/>
    <row r="10998" s="9" customFormat="1" ht="35.1" customHeight="1" x14ac:dyDescent="0.15"/>
    <row r="10999" s="9" customFormat="1" ht="21.95" customHeight="1" x14ac:dyDescent="0.15"/>
    <row r="11000" s="9" customFormat="1" ht="21.95" customHeight="1" x14ac:dyDescent="0.15"/>
    <row r="11001" s="9" customFormat="1" ht="21.95" customHeight="1" x14ac:dyDescent="0.15"/>
    <row r="11002" s="9" customFormat="1" ht="21.95" customHeight="1" x14ac:dyDescent="0.15"/>
    <row r="11003" s="9" customFormat="1" ht="21.95" customHeight="1" x14ac:dyDescent="0.15"/>
    <row r="11004" s="9" customFormat="1" ht="21.95" customHeight="1" x14ac:dyDescent="0.15"/>
    <row r="11005" s="9" customFormat="1" ht="21.95" customHeight="1" x14ac:dyDescent="0.15"/>
    <row r="11006" s="9" customFormat="1" ht="21.95" customHeight="1" x14ac:dyDescent="0.15"/>
    <row r="11007" s="9" customFormat="1" ht="21.95" customHeight="1" x14ac:dyDescent="0.15"/>
    <row r="11008" s="9" customFormat="1" ht="21.95" customHeight="1" x14ac:dyDescent="0.15"/>
    <row r="11009" spans="3:3" s="9" customFormat="1" ht="21.95" customHeight="1" x14ac:dyDescent="0.15"/>
    <row r="11010" spans="3:3" s="9" customFormat="1" ht="21.95" customHeight="1" x14ac:dyDescent="0.15"/>
    <row r="11011" spans="3:3" s="9" customFormat="1" ht="21.95" customHeight="1" x14ac:dyDescent="0.15"/>
    <row r="11012" spans="3:3" s="9" customFormat="1" ht="21.95" customHeight="1" x14ac:dyDescent="0.15"/>
    <row r="11013" spans="3:3" s="9" customFormat="1" ht="21.95" customHeight="1" x14ac:dyDescent="0.15"/>
    <row r="11014" spans="3:3" s="9" customFormat="1" ht="21.95" customHeight="1" x14ac:dyDescent="0.15"/>
    <row r="11015" spans="3:3" s="9" customFormat="1" ht="21.95" customHeight="1" x14ac:dyDescent="0.15"/>
    <row r="11016" spans="3:3" s="9" customFormat="1" ht="21.95" customHeight="1" x14ac:dyDescent="0.15"/>
    <row r="11017" spans="3:3" s="9" customFormat="1" ht="21.95" customHeight="1" x14ac:dyDescent="0.15"/>
    <row r="11018" spans="3:3" s="9" customFormat="1" ht="21.95" customHeight="1" x14ac:dyDescent="0.15"/>
    <row r="11019" spans="3:3" s="9" customFormat="1" ht="21.95" customHeight="1" x14ac:dyDescent="0.15"/>
    <row r="11020" spans="3:3" s="9" customFormat="1" ht="21.95" customHeight="1" x14ac:dyDescent="0.15"/>
    <row r="11021" spans="3:3" s="9" customFormat="1" ht="21.95" customHeight="1" x14ac:dyDescent="0.15"/>
    <row r="11022" spans="3:3" s="8" customFormat="1" ht="21.95" customHeight="1" x14ac:dyDescent="0.15"/>
    <row r="11023" spans="3:3" s="8" customFormat="1" ht="21.95" customHeight="1" x14ac:dyDescent="0.15"/>
    <row r="11024" spans="3:3" s="8" customFormat="1" ht="21.95" customHeight="1" x14ac:dyDescent="0.15">
      <c r="C11024" s="101"/>
    </row>
    <row r="11025" spans="3:3" s="8" customFormat="1" ht="21.95" customHeight="1" x14ac:dyDescent="0.15">
      <c r="C11025" s="101"/>
    </row>
    <row r="11026" spans="3:3" s="8" customFormat="1" ht="21.95" customHeight="1" x14ac:dyDescent="0.15"/>
    <row r="11027" spans="3:3" s="8" customFormat="1" ht="21.95" customHeight="1" x14ac:dyDescent="0.15"/>
    <row r="11028" spans="3:3" s="8" customFormat="1" ht="21.95" customHeight="1" x14ac:dyDescent="0.15"/>
    <row r="11029" spans="3:3" s="8" customFormat="1" ht="21.95" customHeight="1" x14ac:dyDescent="0.15"/>
    <row r="11030" spans="3:3" s="8" customFormat="1" ht="21.95" customHeight="1" x14ac:dyDescent="0.15"/>
    <row r="11031" spans="3:3" s="8" customFormat="1" ht="21.95" customHeight="1" x14ac:dyDescent="0.15"/>
    <row r="11032" spans="3:3" s="8" customFormat="1" ht="21.95" customHeight="1" x14ac:dyDescent="0.15"/>
    <row r="11033" spans="3:3" s="9" customFormat="1" ht="21.95" customHeight="1" x14ac:dyDescent="0.15"/>
    <row r="11034" spans="3:3" s="9" customFormat="1" ht="21.95" customHeight="1" x14ac:dyDescent="0.15"/>
    <row r="11035" spans="3:3" s="9" customFormat="1" ht="21.95" customHeight="1" x14ac:dyDescent="0.15"/>
    <row r="11036" spans="3:3" s="9" customFormat="1" ht="21.95" customHeight="1" x14ac:dyDescent="0.15"/>
    <row r="11037" spans="3:3" s="8" customFormat="1" ht="21.95" customHeight="1" x14ac:dyDescent="0.15"/>
    <row r="11038" spans="3:3" s="8" customFormat="1" ht="21.95" customHeight="1" x14ac:dyDescent="0.15"/>
    <row r="11039" spans="3:3" s="8" customFormat="1" ht="21.95" customHeight="1" x14ac:dyDescent="0.15"/>
    <row r="11040" spans="3:3" s="8" customFormat="1" ht="21.95" customHeight="1" x14ac:dyDescent="0.15"/>
    <row r="11041" s="8" customFormat="1" ht="21.95" customHeight="1" x14ac:dyDescent="0.15"/>
    <row r="11042" s="8" customFormat="1" ht="21.95" customHeight="1" x14ac:dyDescent="0.15"/>
    <row r="11043" s="8" customFormat="1" ht="21.95" customHeight="1" x14ac:dyDescent="0.15"/>
    <row r="11044" s="8" customFormat="1" ht="21.95" customHeight="1" x14ac:dyDescent="0.15"/>
    <row r="11045" s="8" customFormat="1" ht="21.95" customHeight="1" x14ac:dyDescent="0.15"/>
    <row r="11046" s="8" customFormat="1" ht="21.95" customHeight="1" x14ac:dyDescent="0.15"/>
    <row r="11047" s="8" customFormat="1" ht="21.95" customHeight="1" x14ac:dyDescent="0.15"/>
    <row r="11048" s="8" customFormat="1" ht="32.1" customHeight="1" x14ac:dyDescent="0.15"/>
    <row r="11049" s="8" customFormat="1" ht="32.1" customHeight="1" x14ac:dyDescent="0.15"/>
    <row r="11050" s="8" customFormat="1" ht="32.1" customHeight="1" x14ac:dyDescent="0.15"/>
    <row r="11051" s="8" customFormat="1" ht="32.1" customHeight="1" x14ac:dyDescent="0.15"/>
    <row r="11052" s="8" customFormat="1" ht="32.1" customHeight="1" x14ac:dyDescent="0.15"/>
    <row r="11053" s="8" customFormat="1" ht="32.1" customHeight="1" x14ac:dyDescent="0.15"/>
    <row r="11054" s="9" customFormat="1" ht="32.1" customHeight="1" x14ac:dyDescent="0.15"/>
    <row r="11055" s="9" customFormat="1" ht="32.1" customHeight="1" x14ac:dyDescent="0.15"/>
    <row r="11056" s="9" customFormat="1" ht="32.1" customHeight="1" x14ac:dyDescent="0.15"/>
    <row r="11057" s="9" customFormat="1" ht="32.1" customHeight="1" x14ac:dyDescent="0.15"/>
    <row r="11058" s="9" customFormat="1" ht="21.95" customHeight="1" x14ac:dyDescent="0.15"/>
    <row r="11059" s="9" customFormat="1" ht="54" customHeight="1" x14ac:dyDescent="0.15"/>
    <row r="11060" s="9" customFormat="1" ht="21.95" customHeight="1" x14ac:dyDescent="0.15"/>
    <row r="11061" s="9" customFormat="1" ht="21.95" customHeight="1" x14ac:dyDescent="0.15"/>
    <row r="11062" s="9" customFormat="1" ht="21.95" customHeight="1" x14ac:dyDescent="0.15"/>
    <row r="11063" s="9" customFormat="1" ht="21.95" customHeight="1" x14ac:dyDescent="0.15"/>
    <row r="11064" s="9" customFormat="1" ht="21.95" customHeight="1" x14ac:dyDescent="0.15"/>
    <row r="11065" s="9" customFormat="1" ht="21.95" customHeight="1" x14ac:dyDescent="0.15"/>
    <row r="11066" s="9" customFormat="1" ht="21.95" customHeight="1" x14ac:dyDescent="0.15"/>
    <row r="11067" s="9" customFormat="1" ht="21.95" customHeight="1" x14ac:dyDescent="0.15"/>
    <row r="11068" s="9" customFormat="1" ht="21.95" customHeight="1" x14ac:dyDescent="0.15"/>
    <row r="11069" s="9" customFormat="1" ht="21.95" customHeight="1" x14ac:dyDescent="0.15"/>
    <row r="11070" s="9" customFormat="1" ht="21.95" customHeight="1" x14ac:dyDescent="0.15"/>
    <row r="11071" s="9" customFormat="1" ht="21.95" customHeight="1" x14ac:dyDescent="0.15"/>
    <row r="11072" s="9" customFormat="1" ht="21.95" customHeight="1" x14ac:dyDescent="0.15"/>
    <row r="11073" s="9" customFormat="1" ht="21.95" customHeight="1" x14ac:dyDescent="0.15"/>
    <row r="11074" s="9" customFormat="1" ht="21.95" customHeight="1" x14ac:dyDescent="0.15"/>
    <row r="11075" s="9" customFormat="1" ht="21.95" customHeight="1" x14ac:dyDescent="0.15"/>
    <row r="11076" s="9" customFormat="1" ht="21.95" customHeight="1" x14ac:dyDescent="0.15"/>
    <row r="11077" s="9" customFormat="1" ht="21.95" customHeight="1" x14ac:dyDescent="0.15"/>
    <row r="11078" s="9" customFormat="1" ht="21.95" customHeight="1" x14ac:dyDescent="0.15"/>
    <row r="11079" s="9" customFormat="1" ht="21.95" customHeight="1" x14ac:dyDescent="0.15"/>
    <row r="11080" s="9" customFormat="1" ht="21.95" customHeight="1" x14ac:dyDescent="0.15"/>
    <row r="11081" s="9" customFormat="1" ht="21.95" customHeight="1" x14ac:dyDescent="0.15"/>
    <row r="11082" s="9" customFormat="1" ht="21.95" customHeight="1" x14ac:dyDescent="0.15"/>
    <row r="11083" s="9" customFormat="1" ht="21.95" customHeight="1" x14ac:dyDescent="0.15"/>
    <row r="11084" s="9" customFormat="1" ht="21.95" customHeight="1" x14ac:dyDescent="0.15"/>
    <row r="11085" s="9" customFormat="1" ht="21.95" customHeight="1" x14ac:dyDescent="0.15"/>
    <row r="11086" s="9" customFormat="1" ht="21.95" customHeight="1" x14ac:dyDescent="0.15"/>
    <row r="11087" s="9" customFormat="1" ht="21.95" customHeight="1" x14ac:dyDescent="0.15"/>
    <row r="11088" s="9" customFormat="1" ht="21.95" customHeight="1" x14ac:dyDescent="0.15"/>
    <row r="11089" s="9" customFormat="1" ht="21.95" customHeight="1" x14ac:dyDescent="0.15"/>
    <row r="11090" s="9" customFormat="1" ht="21.95" customHeight="1" x14ac:dyDescent="0.15"/>
    <row r="11091" s="9" customFormat="1" ht="21.95" customHeight="1" x14ac:dyDescent="0.15"/>
    <row r="11092" s="9" customFormat="1" ht="21.95" customHeight="1" x14ac:dyDescent="0.15"/>
    <row r="11093" s="9" customFormat="1" ht="21.95" customHeight="1" x14ac:dyDescent="0.15"/>
    <row r="11094" s="9" customFormat="1" ht="21.95" customHeight="1" x14ac:dyDescent="0.15"/>
    <row r="11095" s="9" customFormat="1" ht="21.95" customHeight="1" x14ac:dyDescent="0.15"/>
    <row r="11096" s="9" customFormat="1" ht="21.95" customHeight="1" x14ac:dyDescent="0.15"/>
    <row r="11097" s="9" customFormat="1" ht="21.95" customHeight="1" x14ac:dyDescent="0.15"/>
    <row r="11098" s="9" customFormat="1" ht="21.95" customHeight="1" x14ac:dyDescent="0.15"/>
    <row r="11099" s="9" customFormat="1" ht="21.95" customHeight="1" x14ac:dyDescent="0.15"/>
    <row r="11100" s="9" customFormat="1" ht="21.95" customHeight="1" x14ac:dyDescent="0.15"/>
    <row r="11101" s="9" customFormat="1" ht="21.95" customHeight="1" x14ac:dyDescent="0.15"/>
    <row r="11102" s="9" customFormat="1" ht="21.95" customHeight="1" x14ac:dyDescent="0.15"/>
    <row r="11103" s="9" customFormat="1" ht="21.95" customHeight="1" x14ac:dyDescent="0.15"/>
    <row r="11104" s="9" customFormat="1" ht="21.95" customHeight="1" x14ac:dyDescent="0.15"/>
    <row r="11105" s="9" customFormat="1" ht="21.95" customHeight="1" x14ac:dyDescent="0.15"/>
    <row r="11106" s="9" customFormat="1" ht="21.95" customHeight="1" x14ac:dyDescent="0.15"/>
    <row r="11107" s="9" customFormat="1" ht="21.95" customHeight="1" x14ac:dyDescent="0.15"/>
    <row r="11108" s="9" customFormat="1" ht="21.95" customHeight="1" x14ac:dyDescent="0.15"/>
    <row r="11109" s="9" customFormat="1" ht="21.95" customHeight="1" x14ac:dyDescent="0.15"/>
    <row r="11110" s="9" customFormat="1" ht="35.1" customHeight="1" x14ac:dyDescent="0.15"/>
    <row r="11111" s="9" customFormat="1" ht="21.95" customHeight="1" x14ac:dyDescent="0.15"/>
    <row r="11112" s="9" customFormat="1" ht="21.95" customHeight="1" x14ac:dyDescent="0.15"/>
    <row r="11113" s="9" customFormat="1" ht="21.95" customHeight="1" x14ac:dyDescent="0.15"/>
    <row r="11114" s="9" customFormat="1" ht="21.95" customHeight="1" x14ac:dyDescent="0.15"/>
    <row r="11115" s="9" customFormat="1" ht="21.95" customHeight="1" x14ac:dyDescent="0.15"/>
    <row r="11116" s="9" customFormat="1" ht="21.95" customHeight="1" x14ac:dyDescent="0.15"/>
    <row r="11117" s="9" customFormat="1" ht="21.95" customHeight="1" x14ac:dyDescent="0.15"/>
    <row r="11118" s="9" customFormat="1" ht="21.95" customHeight="1" x14ac:dyDescent="0.15"/>
    <row r="11119" s="9" customFormat="1" ht="21.95" customHeight="1" x14ac:dyDescent="0.15"/>
    <row r="11120" s="9" customFormat="1" ht="21.95" customHeight="1" x14ac:dyDescent="0.15"/>
    <row r="11121" spans="3:3" s="9" customFormat="1" ht="21.95" customHeight="1" x14ac:dyDescent="0.15"/>
    <row r="11122" spans="3:3" s="9" customFormat="1" ht="21.95" customHeight="1" x14ac:dyDescent="0.15"/>
    <row r="11123" spans="3:3" s="9" customFormat="1" ht="21.95" customHeight="1" x14ac:dyDescent="0.15"/>
    <row r="11124" spans="3:3" s="9" customFormat="1" ht="21.95" customHeight="1" x14ac:dyDescent="0.15"/>
    <row r="11125" spans="3:3" s="9" customFormat="1" ht="21.95" customHeight="1" x14ac:dyDescent="0.15"/>
    <row r="11126" spans="3:3" s="9" customFormat="1" ht="21.95" customHeight="1" x14ac:dyDescent="0.15"/>
    <row r="11127" spans="3:3" s="9" customFormat="1" ht="21.95" customHeight="1" x14ac:dyDescent="0.15"/>
    <row r="11128" spans="3:3" s="9" customFormat="1" ht="21.95" customHeight="1" x14ac:dyDescent="0.15"/>
    <row r="11129" spans="3:3" s="9" customFormat="1" ht="21.95" customHeight="1" x14ac:dyDescent="0.15"/>
    <row r="11130" spans="3:3" s="9" customFormat="1" ht="21.95" customHeight="1" x14ac:dyDescent="0.15"/>
    <row r="11131" spans="3:3" s="9" customFormat="1" ht="21.95" customHeight="1" x14ac:dyDescent="0.15"/>
    <row r="11132" spans="3:3" s="9" customFormat="1" ht="21.95" customHeight="1" x14ac:dyDescent="0.15"/>
    <row r="11133" spans="3:3" s="9" customFormat="1" ht="21.95" customHeight="1" x14ac:dyDescent="0.15"/>
    <row r="11134" spans="3:3" s="8" customFormat="1" ht="21.95" customHeight="1" x14ac:dyDescent="0.15"/>
    <row r="11135" spans="3:3" s="8" customFormat="1" ht="21.95" customHeight="1" x14ac:dyDescent="0.15"/>
    <row r="11136" spans="3:3" s="8" customFormat="1" ht="21.95" customHeight="1" x14ac:dyDescent="0.15">
      <c r="C11136" s="101"/>
    </row>
    <row r="11137" spans="3:3" s="8" customFormat="1" ht="21.95" customHeight="1" x14ac:dyDescent="0.15">
      <c r="C11137" s="101"/>
    </row>
    <row r="11138" spans="3:3" s="8" customFormat="1" ht="21.95" customHeight="1" x14ac:dyDescent="0.15"/>
    <row r="11139" spans="3:3" s="8" customFormat="1" ht="21.95" customHeight="1" x14ac:dyDescent="0.15"/>
    <row r="11140" spans="3:3" s="8" customFormat="1" ht="21.95" customHeight="1" x14ac:dyDescent="0.15"/>
    <row r="11141" spans="3:3" s="8" customFormat="1" ht="21.95" customHeight="1" x14ac:dyDescent="0.15"/>
    <row r="11142" spans="3:3" s="8" customFormat="1" ht="21.95" customHeight="1" x14ac:dyDescent="0.15"/>
    <row r="11143" spans="3:3" s="8" customFormat="1" ht="21.95" customHeight="1" x14ac:dyDescent="0.15"/>
    <row r="11144" spans="3:3" s="8" customFormat="1" ht="21.95" customHeight="1" x14ac:dyDescent="0.15"/>
    <row r="11145" spans="3:3" s="9" customFormat="1" ht="21.95" customHeight="1" x14ac:dyDescent="0.15"/>
    <row r="11146" spans="3:3" s="9" customFormat="1" ht="21.95" customHeight="1" x14ac:dyDescent="0.15"/>
    <row r="11147" spans="3:3" s="9" customFormat="1" ht="21.95" customHeight="1" x14ac:dyDescent="0.15"/>
    <row r="11148" spans="3:3" s="9" customFormat="1" ht="21.95" customHeight="1" x14ac:dyDescent="0.15"/>
    <row r="11149" spans="3:3" s="8" customFormat="1" ht="21.95" customHeight="1" x14ac:dyDescent="0.15"/>
    <row r="11150" spans="3:3" s="8" customFormat="1" ht="21.95" customHeight="1" x14ac:dyDescent="0.15"/>
    <row r="11151" spans="3:3" s="8" customFormat="1" ht="21.95" customHeight="1" x14ac:dyDescent="0.15"/>
    <row r="11152" spans="3:3" s="8" customFormat="1" ht="21.95" customHeight="1" x14ac:dyDescent="0.15"/>
    <row r="11153" s="8" customFormat="1" ht="21.95" customHeight="1" x14ac:dyDescent="0.15"/>
    <row r="11154" s="8" customFormat="1" ht="21.95" customHeight="1" x14ac:dyDescent="0.15"/>
    <row r="11155" s="8" customFormat="1" ht="21.95" customHeight="1" x14ac:dyDescent="0.15"/>
    <row r="11156" s="8" customFormat="1" ht="21.95" customHeight="1" x14ac:dyDescent="0.15"/>
    <row r="11157" s="8" customFormat="1" ht="21.95" customHeight="1" x14ac:dyDescent="0.15"/>
    <row r="11158" s="8" customFormat="1" ht="21.95" customHeight="1" x14ac:dyDescent="0.15"/>
    <row r="11159" s="8" customFormat="1" ht="21.95" customHeight="1" x14ac:dyDescent="0.15"/>
    <row r="11160" s="8" customFormat="1" ht="32.1" customHeight="1" x14ac:dyDescent="0.15"/>
    <row r="11161" s="8" customFormat="1" ht="32.1" customHeight="1" x14ac:dyDescent="0.15"/>
    <row r="11162" s="8" customFormat="1" ht="32.1" customHeight="1" x14ac:dyDescent="0.15"/>
    <row r="11163" s="8" customFormat="1" ht="32.1" customHeight="1" x14ac:dyDescent="0.15"/>
    <row r="11164" s="8" customFormat="1" ht="32.1" customHeight="1" x14ac:dyDescent="0.15"/>
    <row r="11165" s="8" customFormat="1" ht="32.1" customHeight="1" x14ac:dyDescent="0.15"/>
    <row r="11166" s="9" customFormat="1" ht="32.1" customHeight="1" x14ac:dyDescent="0.15"/>
    <row r="11167" s="9" customFormat="1" ht="32.1" customHeight="1" x14ac:dyDescent="0.15"/>
    <row r="11168" s="9" customFormat="1" ht="32.1" customHeight="1" x14ac:dyDescent="0.15"/>
    <row r="11169" s="9" customFormat="1" ht="32.1" customHeight="1" x14ac:dyDescent="0.15"/>
    <row r="11170" s="9" customFormat="1" ht="21.95" customHeight="1" x14ac:dyDescent="0.15"/>
    <row r="11171" s="9" customFormat="1" ht="54" customHeight="1" x14ac:dyDescent="0.15"/>
    <row r="11172" s="9" customFormat="1" ht="21.95" customHeight="1" x14ac:dyDescent="0.15"/>
    <row r="11173" s="9" customFormat="1" ht="21.95" customHeight="1" x14ac:dyDescent="0.15"/>
    <row r="11174" s="9" customFormat="1" ht="21.95" customHeight="1" x14ac:dyDescent="0.15"/>
    <row r="11175" s="9" customFormat="1" ht="21.95" customHeight="1" x14ac:dyDescent="0.15"/>
    <row r="11176" s="9" customFormat="1" ht="21.95" customHeight="1" x14ac:dyDescent="0.15"/>
    <row r="11177" s="9" customFormat="1" ht="21.95" customHeight="1" x14ac:dyDescent="0.15"/>
    <row r="11178" s="9" customFormat="1" ht="21.95" customHeight="1" x14ac:dyDescent="0.15"/>
    <row r="11179" s="9" customFormat="1" ht="21.95" customHeight="1" x14ac:dyDescent="0.15"/>
    <row r="11180" s="9" customFormat="1" ht="21.95" customHeight="1" x14ac:dyDescent="0.15"/>
    <row r="11181" s="9" customFormat="1" ht="21.95" customHeight="1" x14ac:dyDescent="0.15"/>
    <row r="11182" s="9" customFormat="1" ht="21.95" customHeight="1" x14ac:dyDescent="0.15"/>
    <row r="11183" s="9" customFormat="1" ht="21.95" customHeight="1" x14ac:dyDescent="0.15"/>
    <row r="11184" s="9" customFormat="1" ht="21.95" customHeight="1" x14ac:dyDescent="0.15"/>
    <row r="11185" s="9" customFormat="1" ht="21.95" customHeight="1" x14ac:dyDescent="0.15"/>
    <row r="11186" s="9" customFormat="1" ht="21.95" customHeight="1" x14ac:dyDescent="0.15"/>
    <row r="11187" s="9" customFormat="1" ht="21.95" customHeight="1" x14ac:dyDescent="0.15"/>
    <row r="11188" s="9" customFormat="1" ht="21.95" customHeight="1" x14ac:dyDescent="0.15"/>
    <row r="11189" s="9" customFormat="1" ht="21.95" customHeight="1" x14ac:dyDescent="0.15"/>
    <row r="11190" s="9" customFormat="1" ht="21.95" customHeight="1" x14ac:dyDescent="0.15"/>
    <row r="11191" s="9" customFormat="1" ht="21.95" customHeight="1" x14ac:dyDescent="0.15"/>
    <row r="11192" s="9" customFormat="1" ht="21.95" customHeight="1" x14ac:dyDescent="0.15"/>
    <row r="11193" s="9" customFormat="1" ht="21.95" customHeight="1" x14ac:dyDescent="0.15"/>
    <row r="11194" s="9" customFormat="1" ht="21.95" customHeight="1" x14ac:dyDescent="0.15"/>
    <row r="11195" s="9" customFormat="1" ht="21.95" customHeight="1" x14ac:dyDescent="0.15"/>
    <row r="11196" s="9" customFormat="1" ht="21.95" customHeight="1" x14ac:dyDescent="0.15"/>
    <row r="11197" s="9" customFormat="1" ht="21.95" customHeight="1" x14ac:dyDescent="0.15"/>
    <row r="11198" s="9" customFormat="1" ht="21.95" customHeight="1" x14ac:dyDescent="0.15"/>
    <row r="11199" s="9" customFormat="1" ht="21.95" customHeight="1" x14ac:dyDescent="0.15"/>
    <row r="11200" s="9" customFormat="1" ht="21.95" customHeight="1" x14ac:dyDescent="0.15"/>
    <row r="11201" s="9" customFormat="1" ht="21.95" customHeight="1" x14ac:dyDescent="0.15"/>
    <row r="11202" s="9" customFormat="1" ht="21.95" customHeight="1" x14ac:dyDescent="0.15"/>
    <row r="11203" s="9" customFormat="1" ht="21.95" customHeight="1" x14ac:dyDescent="0.15"/>
    <row r="11204" s="9" customFormat="1" ht="21.95" customHeight="1" x14ac:dyDescent="0.15"/>
    <row r="11205" s="9" customFormat="1" ht="21.95" customHeight="1" x14ac:dyDescent="0.15"/>
    <row r="11206" s="9" customFormat="1" ht="21.95" customHeight="1" x14ac:dyDescent="0.15"/>
    <row r="11207" s="9" customFormat="1" ht="21.95" customHeight="1" x14ac:dyDescent="0.15"/>
    <row r="11208" s="9" customFormat="1" ht="21.95" customHeight="1" x14ac:dyDescent="0.15"/>
    <row r="11209" s="9" customFormat="1" ht="21.95" customHeight="1" x14ac:dyDescent="0.15"/>
    <row r="11210" s="9" customFormat="1" ht="21.95" customHeight="1" x14ac:dyDescent="0.15"/>
    <row r="11211" s="9" customFormat="1" ht="21.95" customHeight="1" x14ac:dyDescent="0.15"/>
    <row r="11212" s="9" customFormat="1" ht="21.95" customHeight="1" x14ac:dyDescent="0.15"/>
    <row r="11213" s="9" customFormat="1" ht="21.95" customHeight="1" x14ac:dyDescent="0.15"/>
    <row r="11214" s="9" customFormat="1" ht="21.95" customHeight="1" x14ac:dyDescent="0.15"/>
    <row r="11215" s="9" customFormat="1" ht="21.95" customHeight="1" x14ac:dyDescent="0.15"/>
    <row r="11216" s="9" customFormat="1" ht="21.95" customHeight="1" x14ac:dyDescent="0.15"/>
    <row r="11217" s="9" customFormat="1" ht="21.95" customHeight="1" x14ac:dyDescent="0.15"/>
    <row r="11218" s="9" customFormat="1" ht="21.95" customHeight="1" x14ac:dyDescent="0.15"/>
    <row r="11219" s="9" customFormat="1" ht="21.95" customHeight="1" x14ac:dyDescent="0.15"/>
    <row r="11220" s="9" customFormat="1" ht="21.95" customHeight="1" x14ac:dyDescent="0.15"/>
    <row r="11221" s="9" customFormat="1" ht="21.95" customHeight="1" x14ac:dyDescent="0.15"/>
    <row r="11222" s="9" customFormat="1" ht="35.1" customHeight="1" x14ac:dyDescent="0.15"/>
    <row r="11223" s="9" customFormat="1" ht="21.95" customHeight="1" x14ac:dyDescent="0.15"/>
    <row r="11224" s="9" customFormat="1" ht="21.95" customHeight="1" x14ac:dyDescent="0.15"/>
    <row r="11225" s="9" customFormat="1" ht="21.95" customHeight="1" x14ac:dyDescent="0.15"/>
    <row r="11226" s="9" customFormat="1" ht="21.95" customHeight="1" x14ac:dyDescent="0.15"/>
    <row r="11227" s="9" customFormat="1" ht="21.95" customHeight="1" x14ac:dyDescent="0.15"/>
    <row r="11228" s="9" customFormat="1" ht="21.95" customHeight="1" x14ac:dyDescent="0.15"/>
    <row r="11229" s="9" customFormat="1" ht="21.95" customHeight="1" x14ac:dyDescent="0.15"/>
    <row r="11230" s="9" customFormat="1" ht="21.95" customHeight="1" x14ac:dyDescent="0.15"/>
    <row r="11231" s="9" customFormat="1" ht="21.95" customHeight="1" x14ac:dyDescent="0.15"/>
    <row r="11232" s="9" customFormat="1" ht="21.95" customHeight="1" x14ac:dyDescent="0.15"/>
    <row r="11233" spans="3:3" s="9" customFormat="1" ht="21.95" customHeight="1" x14ac:dyDescent="0.15"/>
    <row r="11234" spans="3:3" s="9" customFormat="1" ht="21.95" customHeight="1" x14ac:dyDescent="0.15"/>
    <row r="11235" spans="3:3" s="9" customFormat="1" ht="21.95" customHeight="1" x14ac:dyDescent="0.15"/>
    <row r="11236" spans="3:3" s="9" customFormat="1" ht="21.95" customHeight="1" x14ac:dyDescent="0.15"/>
    <row r="11237" spans="3:3" s="9" customFormat="1" ht="21.95" customHeight="1" x14ac:dyDescent="0.15"/>
    <row r="11238" spans="3:3" s="9" customFormat="1" ht="21.95" customHeight="1" x14ac:dyDescent="0.15"/>
    <row r="11239" spans="3:3" s="9" customFormat="1" ht="21.95" customHeight="1" x14ac:dyDescent="0.15"/>
    <row r="11240" spans="3:3" s="9" customFormat="1" ht="21.95" customHeight="1" x14ac:dyDescent="0.15"/>
    <row r="11241" spans="3:3" s="9" customFormat="1" ht="21.95" customHeight="1" x14ac:dyDescent="0.15"/>
    <row r="11242" spans="3:3" s="9" customFormat="1" ht="21.95" customHeight="1" x14ac:dyDescent="0.15"/>
    <row r="11243" spans="3:3" s="9" customFormat="1" ht="21.95" customHeight="1" x14ac:dyDescent="0.15"/>
    <row r="11244" spans="3:3" s="9" customFormat="1" ht="21.95" customHeight="1" x14ac:dyDescent="0.15"/>
    <row r="11245" spans="3:3" s="9" customFormat="1" ht="21.95" customHeight="1" x14ac:dyDescent="0.15"/>
    <row r="11246" spans="3:3" s="8" customFormat="1" ht="21.95" customHeight="1" x14ac:dyDescent="0.15"/>
    <row r="11247" spans="3:3" s="8" customFormat="1" ht="21.95" customHeight="1" x14ac:dyDescent="0.15"/>
    <row r="11248" spans="3:3" s="8" customFormat="1" ht="21.95" customHeight="1" x14ac:dyDescent="0.15">
      <c r="C11248" s="101"/>
    </row>
    <row r="11249" spans="3:3" s="8" customFormat="1" ht="21.95" customHeight="1" x14ac:dyDescent="0.15">
      <c r="C11249" s="101"/>
    </row>
    <row r="11250" spans="3:3" s="8" customFormat="1" ht="21.95" customHeight="1" x14ac:dyDescent="0.15"/>
    <row r="11251" spans="3:3" s="8" customFormat="1" ht="21.95" customHeight="1" x14ac:dyDescent="0.15"/>
    <row r="11252" spans="3:3" s="8" customFormat="1" ht="21.95" customHeight="1" x14ac:dyDescent="0.15"/>
    <row r="11253" spans="3:3" s="8" customFormat="1" ht="21.95" customHeight="1" x14ac:dyDescent="0.15"/>
    <row r="11254" spans="3:3" s="8" customFormat="1" ht="21.95" customHeight="1" x14ac:dyDescent="0.15"/>
    <row r="11255" spans="3:3" s="8" customFormat="1" ht="21.95" customHeight="1" x14ac:dyDescent="0.15"/>
    <row r="11256" spans="3:3" s="8" customFormat="1" ht="21.95" customHeight="1" x14ac:dyDescent="0.15"/>
    <row r="11257" spans="3:3" s="9" customFormat="1" ht="21.95" customHeight="1" x14ac:dyDescent="0.15"/>
    <row r="11258" spans="3:3" s="9" customFormat="1" ht="21.95" customHeight="1" x14ac:dyDescent="0.15"/>
    <row r="11259" spans="3:3" s="9" customFormat="1" ht="21.95" customHeight="1" x14ac:dyDescent="0.15"/>
    <row r="11260" spans="3:3" s="9" customFormat="1" ht="21.95" customHeight="1" x14ac:dyDescent="0.15"/>
    <row r="11261" spans="3:3" s="8" customFormat="1" ht="21.95" customHeight="1" x14ac:dyDescent="0.15"/>
    <row r="11262" spans="3:3" s="8" customFormat="1" ht="21.95" customHeight="1" x14ac:dyDescent="0.15"/>
    <row r="11263" spans="3:3" s="8" customFormat="1" ht="21.95" customHeight="1" x14ac:dyDescent="0.15"/>
    <row r="11264" spans="3:3" s="8" customFormat="1" ht="21.95" customHeight="1" x14ac:dyDescent="0.15"/>
    <row r="11265" s="8" customFormat="1" ht="21.95" customHeight="1" x14ac:dyDescent="0.15"/>
    <row r="11266" s="8" customFormat="1" ht="21.95" customHeight="1" x14ac:dyDescent="0.15"/>
    <row r="11267" s="8" customFormat="1" ht="21.95" customHeight="1" x14ac:dyDescent="0.15"/>
    <row r="11268" s="8" customFormat="1" ht="21.95" customHeight="1" x14ac:dyDescent="0.15"/>
    <row r="11269" s="8" customFormat="1" ht="21.95" customHeight="1" x14ac:dyDescent="0.15"/>
    <row r="11270" s="8" customFormat="1" ht="21.95" customHeight="1" x14ac:dyDescent="0.15"/>
    <row r="11271" s="8" customFormat="1" ht="21.95" customHeight="1" x14ac:dyDescent="0.15"/>
    <row r="11272" s="8" customFormat="1" ht="32.1" customHeight="1" x14ac:dyDescent="0.15"/>
    <row r="11273" s="8" customFormat="1" ht="32.1" customHeight="1" x14ac:dyDescent="0.15"/>
    <row r="11274" s="8" customFormat="1" ht="32.1" customHeight="1" x14ac:dyDescent="0.15"/>
    <row r="11275" s="8" customFormat="1" ht="32.1" customHeight="1" x14ac:dyDescent="0.15"/>
    <row r="11276" s="8" customFormat="1" ht="32.1" customHeight="1" x14ac:dyDescent="0.15"/>
    <row r="11277" s="8" customFormat="1" ht="32.1" customHeight="1" x14ac:dyDescent="0.15"/>
    <row r="11278" s="9" customFormat="1" ht="32.1" customHeight="1" x14ac:dyDescent="0.15"/>
    <row r="11279" s="9" customFormat="1" ht="32.1" customHeight="1" x14ac:dyDescent="0.15"/>
    <row r="11280" s="9" customFormat="1" ht="32.1" customHeight="1" x14ac:dyDescent="0.15"/>
    <row r="11281" s="9" customFormat="1" ht="32.1" customHeight="1" x14ac:dyDescent="0.15"/>
    <row r="11282" s="9" customFormat="1" ht="21.95" customHeight="1" x14ac:dyDescent="0.15"/>
    <row r="11283" s="9" customFormat="1" ht="54" customHeight="1" x14ac:dyDescent="0.15"/>
    <row r="11284" s="9" customFormat="1" ht="21.95" customHeight="1" x14ac:dyDescent="0.15"/>
    <row r="11285" s="9" customFormat="1" ht="21.95" customHeight="1" x14ac:dyDescent="0.15"/>
    <row r="11286" s="9" customFormat="1" ht="21.95" customHeight="1" x14ac:dyDescent="0.15"/>
    <row r="11287" s="9" customFormat="1" ht="21.95" customHeight="1" x14ac:dyDescent="0.15"/>
    <row r="11288" s="9" customFormat="1" ht="21.95" customHeight="1" x14ac:dyDescent="0.15"/>
    <row r="11289" s="9" customFormat="1" ht="21.95" customHeight="1" x14ac:dyDescent="0.15"/>
    <row r="11290" s="9" customFormat="1" ht="21.95" customHeight="1" x14ac:dyDescent="0.15"/>
    <row r="11291" s="9" customFormat="1" ht="21.95" customHeight="1" x14ac:dyDescent="0.15"/>
    <row r="11292" s="9" customFormat="1" ht="21.95" customHeight="1" x14ac:dyDescent="0.15"/>
    <row r="11293" s="9" customFormat="1" ht="21.95" customHeight="1" x14ac:dyDescent="0.15"/>
    <row r="11294" s="9" customFormat="1" ht="21.95" customHeight="1" x14ac:dyDescent="0.15"/>
    <row r="11295" s="9" customFormat="1" ht="21.95" customHeight="1" x14ac:dyDescent="0.15"/>
    <row r="11296" s="9" customFormat="1" ht="21.95" customHeight="1" x14ac:dyDescent="0.15"/>
    <row r="11297" s="9" customFormat="1" ht="21.95" customHeight="1" x14ac:dyDescent="0.15"/>
    <row r="11298" s="9" customFormat="1" ht="21.95" customHeight="1" x14ac:dyDescent="0.15"/>
    <row r="11299" s="9" customFormat="1" ht="21.95" customHeight="1" x14ac:dyDescent="0.15"/>
    <row r="11300" s="9" customFormat="1" ht="21.95" customHeight="1" x14ac:dyDescent="0.15"/>
    <row r="11301" s="9" customFormat="1" ht="21.95" customHeight="1" x14ac:dyDescent="0.15"/>
    <row r="11302" s="9" customFormat="1" ht="21.95" customHeight="1" x14ac:dyDescent="0.15"/>
    <row r="11303" s="9" customFormat="1" ht="21.95" customHeight="1" x14ac:dyDescent="0.15"/>
    <row r="11304" s="9" customFormat="1" ht="21.95" customHeight="1" x14ac:dyDescent="0.15"/>
    <row r="11305" s="9" customFormat="1" ht="21.95" customHeight="1" x14ac:dyDescent="0.15"/>
    <row r="11306" s="9" customFormat="1" ht="21.95" customHeight="1" x14ac:dyDescent="0.15"/>
    <row r="11307" s="9" customFormat="1" ht="21.95" customHeight="1" x14ac:dyDescent="0.15"/>
    <row r="11308" s="9" customFormat="1" ht="21.95" customHeight="1" x14ac:dyDescent="0.15"/>
    <row r="11309" s="9" customFormat="1" ht="21.95" customHeight="1" x14ac:dyDescent="0.15"/>
    <row r="11310" s="9" customFormat="1" ht="21.95" customHeight="1" x14ac:dyDescent="0.15"/>
    <row r="11311" s="9" customFormat="1" ht="21.95" customHeight="1" x14ac:dyDescent="0.15"/>
    <row r="11312" s="9" customFormat="1" ht="21.95" customHeight="1" x14ac:dyDescent="0.15"/>
    <row r="11313" s="9" customFormat="1" ht="21.95" customHeight="1" x14ac:dyDescent="0.15"/>
    <row r="11314" s="9" customFormat="1" ht="21.95" customHeight="1" x14ac:dyDescent="0.15"/>
    <row r="11315" s="9" customFormat="1" ht="21.95" customHeight="1" x14ac:dyDescent="0.15"/>
    <row r="11316" s="9" customFormat="1" ht="21.95" customHeight="1" x14ac:dyDescent="0.15"/>
    <row r="11317" s="9" customFormat="1" ht="21.95" customHeight="1" x14ac:dyDescent="0.15"/>
    <row r="11318" s="9" customFormat="1" ht="21.95" customHeight="1" x14ac:dyDescent="0.15"/>
    <row r="11319" s="9" customFormat="1" ht="21.95" customHeight="1" x14ac:dyDescent="0.15"/>
    <row r="11320" s="9" customFormat="1" ht="21.95" customHeight="1" x14ac:dyDescent="0.15"/>
    <row r="11321" s="9" customFormat="1" ht="21.95" customHeight="1" x14ac:dyDescent="0.15"/>
    <row r="11322" s="9" customFormat="1" ht="21.95" customHeight="1" x14ac:dyDescent="0.15"/>
    <row r="11323" s="9" customFormat="1" ht="21.95" customHeight="1" x14ac:dyDescent="0.15"/>
    <row r="11324" s="9" customFormat="1" ht="21.95" customHeight="1" x14ac:dyDescent="0.15"/>
    <row r="11325" s="9" customFormat="1" ht="21.95" customHeight="1" x14ac:dyDescent="0.15"/>
    <row r="11326" s="9" customFormat="1" ht="21.95" customHeight="1" x14ac:dyDescent="0.15"/>
    <row r="11327" s="9" customFormat="1" ht="21.95" customHeight="1" x14ac:dyDescent="0.15"/>
    <row r="11328" s="9" customFormat="1" ht="21.95" customHeight="1" x14ac:dyDescent="0.15"/>
    <row r="11329" s="9" customFormat="1" ht="21.95" customHeight="1" x14ac:dyDescent="0.15"/>
    <row r="11330" s="9" customFormat="1" ht="21.95" customHeight="1" x14ac:dyDescent="0.15"/>
    <row r="11331" s="9" customFormat="1" ht="21.95" customHeight="1" x14ac:dyDescent="0.15"/>
    <row r="11332" s="9" customFormat="1" ht="21.95" customHeight="1" x14ac:dyDescent="0.15"/>
    <row r="11333" s="9" customFormat="1" ht="21.95" customHeight="1" x14ac:dyDescent="0.15"/>
    <row r="11334" s="9" customFormat="1" ht="35.1" customHeight="1" x14ac:dyDescent="0.15"/>
    <row r="11335" s="9" customFormat="1" ht="21.95" customHeight="1" x14ac:dyDescent="0.15"/>
    <row r="11336" s="9" customFormat="1" ht="21.95" customHeight="1" x14ac:dyDescent="0.15"/>
    <row r="11337" s="9" customFormat="1" ht="21.95" customHeight="1" x14ac:dyDescent="0.15"/>
    <row r="11338" s="9" customFormat="1" ht="21.95" customHeight="1" x14ac:dyDescent="0.15"/>
    <row r="11339" s="9" customFormat="1" ht="21.95" customHeight="1" x14ac:dyDescent="0.15"/>
    <row r="11340" s="9" customFormat="1" ht="21.95" customHeight="1" x14ac:dyDescent="0.15"/>
    <row r="11341" s="9" customFormat="1" ht="21.95" customHeight="1" x14ac:dyDescent="0.15"/>
    <row r="11342" s="9" customFormat="1" ht="21.95" customHeight="1" x14ac:dyDescent="0.15"/>
    <row r="11343" s="9" customFormat="1" ht="21.95" customHeight="1" x14ac:dyDescent="0.15"/>
    <row r="11344" s="9" customFormat="1" ht="21.95" customHeight="1" x14ac:dyDescent="0.15"/>
    <row r="11345" spans="3:3" s="9" customFormat="1" ht="21.95" customHeight="1" x14ac:dyDescent="0.15"/>
    <row r="11346" spans="3:3" s="9" customFormat="1" ht="21.95" customHeight="1" x14ac:dyDescent="0.15"/>
    <row r="11347" spans="3:3" s="9" customFormat="1" ht="21.95" customHeight="1" x14ac:dyDescent="0.15"/>
    <row r="11348" spans="3:3" s="9" customFormat="1" ht="21.95" customHeight="1" x14ac:dyDescent="0.15"/>
    <row r="11349" spans="3:3" s="9" customFormat="1" ht="21.95" customHeight="1" x14ac:dyDescent="0.15"/>
    <row r="11350" spans="3:3" s="9" customFormat="1" ht="21.95" customHeight="1" x14ac:dyDescent="0.15"/>
    <row r="11351" spans="3:3" s="9" customFormat="1" ht="21.95" customHeight="1" x14ac:dyDescent="0.15"/>
    <row r="11352" spans="3:3" s="9" customFormat="1" ht="21.95" customHeight="1" x14ac:dyDescent="0.15"/>
    <row r="11353" spans="3:3" s="9" customFormat="1" ht="21.95" customHeight="1" x14ac:dyDescent="0.15"/>
    <row r="11354" spans="3:3" s="9" customFormat="1" ht="21.95" customHeight="1" x14ac:dyDescent="0.15"/>
    <row r="11355" spans="3:3" s="9" customFormat="1" ht="21.95" customHeight="1" x14ac:dyDescent="0.15"/>
    <row r="11356" spans="3:3" s="9" customFormat="1" ht="21.95" customHeight="1" x14ac:dyDescent="0.15"/>
    <row r="11357" spans="3:3" s="9" customFormat="1" ht="21.95" customHeight="1" x14ac:dyDescent="0.15"/>
    <row r="11358" spans="3:3" s="8" customFormat="1" ht="21.95" customHeight="1" x14ac:dyDescent="0.15"/>
    <row r="11359" spans="3:3" s="8" customFormat="1" ht="21.95" customHeight="1" x14ac:dyDescent="0.15"/>
    <row r="11360" spans="3:3" s="8" customFormat="1" ht="21.95" customHeight="1" x14ac:dyDescent="0.15">
      <c r="C11360" s="101"/>
    </row>
    <row r="11361" spans="3:3" s="8" customFormat="1" ht="21.95" customHeight="1" x14ac:dyDescent="0.15">
      <c r="C11361" s="101"/>
    </row>
    <row r="11362" spans="3:3" s="8" customFormat="1" ht="21.95" customHeight="1" x14ac:dyDescent="0.15"/>
    <row r="11363" spans="3:3" s="8" customFormat="1" ht="21.95" customHeight="1" x14ac:dyDescent="0.15"/>
    <row r="11364" spans="3:3" s="8" customFormat="1" ht="21.95" customHeight="1" x14ac:dyDescent="0.15"/>
    <row r="11365" spans="3:3" s="8" customFormat="1" ht="21.95" customHeight="1" x14ac:dyDescent="0.15"/>
    <row r="11366" spans="3:3" s="8" customFormat="1" ht="21.95" customHeight="1" x14ac:dyDescent="0.15"/>
    <row r="11367" spans="3:3" s="8" customFormat="1" ht="21.95" customHeight="1" x14ac:dyDescent="0.15"/>
    <row r="11368" spans="3:3" s="8" customFormat="1" ht="21.95" customHeight="1" x14ac:dyDescent="0.15"/>
    <row r="11369" spans="3:3" s="9" customFormat="1" ht="21.95" customHeight="1" x14ac:dyDescent="0.15"/>
    <row r="11370" spans="3:3" s="9" customFormat="1" ht="21.95" customHeight="1" x14ac:dyDescent="0.15"/>
    <row r="11371" spans="3:3" s="9" customFormat="1" ht="21.95" customHeight="1" x14ac:dyDescent="0.15"/>
    <row r="11372" spans="3:3" s="9" customFormat="1" ht="21.95" customHeight="1" x14ac:dyDescent="0.15"/>
    <row r="11373" spans="3:3" s="8" customFormat="1" ht="21.95" customHeight="1" x14ac:dyDescent="0.15"/>
    <row r="11374" spans="3:3" s="8" customFormat="1" ht="21.95" customHeight="1" x14ac:dyDescent="0.15"/>
    <row r="11375" spans="3:3" s="8" customFormat="1" ht="21.95" customHeight="1" x14ac:dyDescent="0.15"/>
    <row r="11376" spans="3:3" s="8" customFormat="1" ht="21.95" customHeight="1" x14ac:dyDescent="0.15"/>
    <row r="11377" s="8" customFormat="1" ht="21.95" customHeight="1" x14ac:dyDescent="0.15"/>
    <row r="11378" s="8" customFormat="1" ht="21.95" customHeight="1" x14ac:dyDescent="0.15"/>
    <row r="11379" s="8" customFormat="1" ht="21.95" customHeight="1" x14ac:dyDescent="0.15"/>
    <row r="11380" s="8" customFormat="1" ht="21.95" customHeight="1" x14ac:dyDescent="0.15"/>
    <row r="11381" s="8" customFormat="1" ht="21.95" customHeight="1" x14ac:dyDescent="0.15"/>
    <row r="11382" s="8" customFormat="1" ht="21.95" customHeight="1" x14ac:dyDescent="0.15"/>
    <row r="11383" s="8" customFormat="1" ht="21.95" customHeight="1" x14ac:dyDescent="0.15"/>
    <row r="11384" s="8" customFormat="1" ht="32.1" customHeight="1" x14ac:dyDescent="0.15"/>
    <row r="11385" s="8" customFormat="1" ht="32.1" customHeight="1" x14ac:dyDescent="0.15"/>
    <row r="11386" s="8" customFormat="1" ht="32.1" customHeight="1" x14ac:dyDescent="0.15"/>
    <row r="11387" s="8" customFormat="1" ht="32.1" customHeight="1" x14ac:dyDescent="0.15"/>
    <row r="11388" s="8" customFormat="1" ht="32.1" customHeight="1" x14ac:dyDescent="0.15"/>
    <row r="11389" s="8" customFormat="1" ht="32.1" customHeight="1" x14ac:dyDescent="0.15"/>
    <row r="11390" s="9" customFormat="1" ht="32.1" customHeight="1" x14ac:dyDescent="0.15"/>
    <row r="11391" s="9" customFormat="1" ht="32.1" customHeight="1" x14ac:dyDescent="0.15"/>
    <row r="11392" s="9" customFormat="1" ht="32.1" customHeight="1" x14ac:dyDescent="0.15"/>
    <row r="11393" s="9" customFormat="1" ht="32.1" customHeight="1" x14ac:dyDescent="0.15"/>
    <row r="11394" s="9" customFormat="1" ht="21.95" customHeight="1" x14ac:dyDescent="0.15"/>
    <row r="11395" s="9" customFormat="1" ht="54" customHeight="1" x14ac:dyDescent="0.15"/>
    <row r="11396" s="9" customFormat="1" ht="21.95" customHeight="1" x14ac:dyDescent="0.15"/>
    <row r="11397" s="9" customFormat="1" ht="21.95" customHeight="1" x14ac:dyDescent="0.15"/>
    <row r="11398" s="9" customFormat="1" ht="21.95" customHeight="1" x14ac:dyDescent="0.15"/>
    <row r="11399" s="9" customFormat="1" ht="21.95" customHeight="1" x14ac:dyDescent="0.15"/>
    <row r="11400" s="9" customFormat="1" ht="21.95" customHeight="1" x14ac:dyDescent="0.15"/>
    <row r="11401" s="9" customFormat="1" ht="21.95" customHeight="1" x14ac:dyDescent="0.15"/>
    <row r="11402" s="9" customFormat="1" ht="21.95" customHeight="1" x14ac:dyDescent="0.15"/>
    <row r="11403" s="9" customFormat="1" ht="21.95" customHeight="1" x14ac:dyDescent="0.15"/>
    <row r="11404" s="9" customFormat="1" ht="21.95" customHeight="1" x14ac:dyDescent="0.15"/>
    <row r="11405" s="9" customFormat="1" ht="21.95" customHeight="1" x14ac:dyDescent="0.15"/>
    <row r="11406" s="9" customFormat="1" ht="21.95" customHeight="1" x14ac:dyDescent="0.15"/>
    <row r="11407" s="9" customFormat="1" ht="21.95" customHeight="1" x14ac:dyDescent="0.15"/>
    <row r="11408" s="9" customFormat="1" ht="21.95" customHeight="1" x14ac:dyDescent="0.15"/>
    <row r="11409" s="9" customFormat="1" ht="21.95" customHeight="1" x14ac:dyDescent="0.15"/>
    <row r="11410" s="9" customFormat="1" ht="21.95" customHeight="1" x14ac:dyDescent="0.15"/>
    <row r="11411" s="9" customFormat="1" ht="21.95" customHeight="1" x14ac:dyDescent="0.15"/>
    <row r="11412" s="9" customFormat="1" ht="21.95" customHeight="1" x14ac:dyDescent="0.15"/>
    <row r="11413" s="9" customFormat="1" ht="21.95" customHeight="1" x14ac:dyDescent="0.15"/>
    <row r="11414" s="9" customFormat="1" ht="21.95" customHeight="1" x14ac:dyDescent="0.15"/>
    <row r="11415" s="9" customFormat="1" ht="21.95" customHeight="1" x14ac:dyDescent="0.15"/>
    <row r="11416" s="9" customFormat="1" ht="21.95" customHeight="1" x14ac:dyDescent="0.15"/>
    <row r="11417" s="9" customFormat="1" ht="21.95" customHeight="1" x14ac:dyDescent="0.15"/>
    <row r="11418" s="9" customFormat="1" ht="21.95" customHeight="1" x14ac:dyDescent="0.15"/>
    <row r="11419" s="9" customFormat="1" ht="21.95" customHeight="1" x14ac:dyDescent="0.15"/>
    <row r="11420" s="9" customFormat="1" ht="21.95" customHeight="1" x14ac:dyDescent="0.15"/>
    <row r="11421" s="9" customFormat="1" ht="21.95" customHeight="1" x14ac:dyDescent="0.15"/>
    <row r="11422" s="9" customFormat="1" ht="21.95" customHeight="1" x14ac:dyDescent="0.15"/>
    <row r="11423" s="9" customFormat="1" ht="21.95" customHeight="1" x14ac:dyDescent="0.15"/>
    <row r="11424" s="9" customFormat="1" ht="21.95" customHeight="1" x14ac:dyDescent="0.15"/>
    <row r="11425" s="9" customFormat="1" ht="21.95" customHeight="1" x14ac:dyDescent="0.15"/>
    <row r="11426" s="9" customFormat="1" ht="21.95" customHeight="1" x14ac:dyDescent="0.15"/>
    <row r="11427" s="9" customFormat="1" ht="21.95" customHeight="1" x14ac:dyDescent="0.15"/>
    <row r="11428" s="9" customFormat="1" ht="21.95" customHeight="1" x14ac:dyDescent="0.15"/>
    <row r="11429" s="9" customFormat="1" ht="21.95" customHeight="1" x14ac:dyDescent="0.15"/>
    <row r="11430" s="9" customFormat="1" ht="21.95" customHeight="1" x14ac:dyDescent="0.15"/>
    <row r="11431" s="9" customFormat="1" ht="21.95" customHeight="1" x14ac:dyDescent="0.15"/>
    <row r="11432" s="9" customFormat="1" ht="21.95" customHeight="1" x14ac:dyDescent="0.15"/>
    <row r="11433" s="9" customFormat="1" ht="21.95" customHeight="1" x14ac:dyDescent="0.15"/>
    <row r="11434" s="9" customFormat="1" ht="21.95" customHeight="1" x14ac:dyDescent="0.15"/>
    <row r="11435" s="9" customFormat="1" ht="21.95" customHeight="1" x14ac:dyDescent="0.15"/>
    <row r="11436" s="9" customFormat="1" ht="21.95" customHeight="1" x14ac:dyDescent="0.15"/>
    <row r="11437" s="9" customFormat="1" ht="21.95" customHeight="1" x14ac:dyDescent="0.15"/>
    <row r="11438" s="9" customFormat="1" ht="21.95" customHeight="1" x14ac:dyDescent="0.15"/>
    <row r="11439" s="9" customFormat="1" ht="21.95" customHeight="1" x14ac:dyDescent="0.15"/>
    <row r="11440" s="9" customFormat="1" ht="21.95" customHeight="1" x14ac:dyDescent="0.15"/>
    <row r="11441" s="9" customFormat="1" ht="21.95" customHeight="1" x14ac:dyDescent="0.15"/>
    <row r="11442" s="9" customFormat="1" ht="21.95" customHeight="1" x14ac:dyDescent="0.15"/>
    <row r="11443" s="9" customFormat="1" ht="21.95" customHeight="1" x14ac:dyDescent="0.15"/>
    <row r="11444" s="9" customFormat="1" ht="21.95" customHeight="1" x14ac:dyDescent="0.15"/>
    <row r="11445" s="9" customFormat="1" ht="21.95" customHeight="1" x14ac:dyDescent="0.15"/>
    <row r="11446" s="9" customFormat="1" ht="35.1" customHeight="1" x14ac:dyDescent="0.15"/>
    <row r="11447" s="9" customFormat="1" ht="21.95" customHeight="1" x14ac:dyDescent="0.15"/>
    <row r="11448" s="9" customFormat="1" ht="21.95" customHeight="1" x14ac:dyDescent="0.15"/>
    <row r="11449" s="9" customFormat="1" ht="21.95" customHeight="1" x14ac:dyDescent="0.15"/>
    <row r="11450" s="9" customFormat="1" ht="21.95" customHeight="1" x14ac:dyDescent="0.15"/>
    <row r="11451" s="9" customFormat="1" ht="21.95" customHeight="1" x14ac:dyDescent="0.15"/>
    <row r="11452" s="9" customFormat="1" ht="21.95" customHeight="1" x14ac:dyDescent="0.15"/>
    <row r="11453" s="9" customFormat="1" ht="21.95" customHeight="1" x14ac:dyDescent="0.15"/>
    <row r="11454" s="9" customFormat="1" ht="21.95" customHeight="1" x14ac:dyDescent="0.15"/>
    <row r="11455" s="9" customFormat="1" ht="21.95" customHeight="1" x14ac:dyDescent="0.15"/>
    <row r="11456" s="9" customFormat="1" ht="21.95" customHeight="1" x14ac:dyDescent="0.15"/>
    <row r="11457" spans="3:3" s="9" customFormat="1" ht="21.95" customHeight="1" x14ac:dyDescent="0.15"/>
    <row r="11458" spans="3:3" s="9" customFormat="1" ht="21.95" customHeight="1" x14ac:dyDescent="0.15"/>
    <row r="11459" spans="3:3" s="9" customFormat="1" ht="21.95" customHeight="1" x14ac:dyDescent="0.15"/>
    <row r="11460" spans="3:3" s="9" customFormat="1" ht="21.95" customHeight="1" x14ac:dyDescent="0.15"/>
    <row r="11461" spans="3:3" s="9" customFormat="1" ht="21.95" customHeight="1" x14ac:dyDescent="0.15"/>
    <row r="11462" spans="3:3" s="9" customFormat="1" ht="21.95" customHeight="1" x14ac:dyDescent="0.15"/>
    <row r="11463" spans="3:3" s="9" customFormat="1" ht="21.95" customHeight="1" x14ac:dyDescent="0.15"/>
    <row r="11464" spans="3:3" s="9" customFormat="1" ht="21.95" customHeight="1" x14ac:dyDescent="0.15"/>
    <row r="11465" spans="3:3" s="9" customFormat="1" ht="21.95" customHeight="1" x14ac:dyDescent="0.15"/>
    <row r="11466" spans="3:3" s="9" customFormat="1" ht="21.95" customHeight="1" x14ac:dyDescent="0.15"/>
    <row r="11467" spans="3:3" s="9" customFormat="1" ht="21.95" customHeight="1" x14ac:dyDescent="0.15"/>
    <row r="11468" spans="3:3" s="9" customFormat="1" ht="21.95" customHeight="1" x14ac:dyDescent="0.15"/>
    <row r="11469" spans="3:3" s="9" customFormat="1" ht="21.95" customHeight="1" x14ac:dyDescent="0.15"/>
    <row r="11470" spans="3:3" s="8" customFormat="1" ht="21.95" customHeight="1" x14ac:dyDescent="0.15"/>
    <row r="11471" spans="3:3" s="8" customFormat="1" ht="21.95" customHeight="1" x14ac:dyDescent="0.15"/>
    <row r="11472" spans="3:3" s="8" customFormat="1" ht="21.95" customHeight="1" x14ac:dyDescent="0.15">
      <c r="C11472" s="101"/>
    </row>
    <row r="11473" spans="3:3" s="8" customFormat="1" ht="21.95" customHeight="1" x14ac:dyDescent="0.15">
      <c r="C11473" s="101"/>
    </row>
    <row r="11474" spans="3:3" s="8" customFormat="1" ht="21.95" customHeight="1" x14ac:dyDescent="0.15"/>
    <row r="11475" spans="3:3" s="8" customFormat="1" ht="21.95" customHeight="1" x14ac:dyDescent="0.15"/>
    <row r="11476" spans="3:3" s="8" customFormat="1" ht="21.95" customHeight="1" x14ac:dyDescent="0.15"/>
    <row r="11477" spans="3:3" s="8" customFormat="1" ht="21.95" customHeight="1" x14ac:dyDescent="0.15"/>
    <row r="11478" spans="3:3" s="8" customFormat="1" ht="21.95" customHeight="1" x14ac:dyDescent="0.15"/>
    <row r="11479" spans="3:3" s="8" customFormat="1" ht="21.95" customHeight="1" x14ac:dyDescent="0.15"/>
    <row r="11480" spans="3:3" s="8" customFormat="1" ht="21.95" customHeight="1" x14ac:dyDescent="0.15"/>
    <row r="11481" spans="3:3" s="9" customFormat="1" ht="21.95" customHeight="1" x14ac:dyDescent="0.15"/>
    <row r="11482" spans="3:3" s="9" customFormat="1" ht="21.95" customHeight="1" x14ac:dyDescent="0.15"/>
    <row r="11483" spans="3:3" s="9" customFormat="1" ht="21.95" customHeight="1" x14ac:dyDescent="0.15"/>
    <row r="11484" spans="3:3" s="9" customFormat="1" ht="21.95" customHeight="1" x14ac:dyDescent="0.15"/>
    <row r="11485" spans="3:3" s="8" customFormat="1" ht="21.95" customHeight="1" x14ac:dyDescent="0.15"/>
    <row r="11486" spans="3:3" s="8" customFormat="1" ht="21.95" customHeight="1" x14ac:dyDescent="0.15"/>
    <row r="11487" spans="3:3" s="8" customFormat="1" ht="21.95" customHeight="1" x14ac:dyDescent="0.15"/>
    <row r="11488" spans="3:3" s="8" customFormat="1" ht="21.95" customHeight="1" x14ac:dyDescent="0.15"/>
    <row r="11489" s="8" customFormat="1" ht="21.95" customHeight="1" x14ac:dyDescent="0.15"/>
    <row r="11490" s="8" customFormat="1" ht="21.95" customHeight="1" x14ac:dyDescent="0.15"/>
    <row r="11491" s="8" customFormat="1" ht="21.95" customHeight="1" x14ac:dyDescent="0.15"/>
    <row r="11492" s="8" customFormat="1" ht="21.95" customHeight="1" x14ac:dyDescent="0.15"/>
    <row r="11493" s="8" customFormat="1" ht="21.95" customHeight="1" x14ac:dyDescent="0.15"/>
    <row r="11494" s="8" customFormat="1" ht="21.95" customHeight="1" x14ac:dyDescent="0.15"/>
    <row r="11495" s="8" customFormat="1" ht="21.95" customHeight="1" x14ac:dyDescent="0.15"/>
    <row r="11496" s="8" customFormat="1" ht="32.1" customHeight="1" x14ac:dyDescent="0.15"/>
    <row r="11497" s="8" customFormat="1" ht="32.1" customHeight="1" x14ac:dyDescent="0.15"/>
    <row r="11498" s="8" customFormat="1" ht="32.1" customHeight="1" x14ac:dyDescent="0.15"/>
    <row r="11499" s="8" customFormat="1" ht="32.1" customHeight="1" x14ac:dyDescent="0.15"/>
    <row r="11500" s="8" customFormat="1" ht="32.1" customHeight="1" x14ac:dyDescent="0.15"/>
    <row r="11501" s="8" customFormat="1" ht="32.1" customHeight="1" x14ac:dyDescent="0.15"/>
    <row r="11502" s="9" customFormat="1" ht="32.1" customHeight="1" x14ac:dyDescent="0.15"/>
    <row r="11503" s="9" customFormat="1" ht="32.1" customHeight="1" x14ac:dyDescent="0.15"/>
    <row r="11504" s="9" customFormat="1" ht="32.1" customHeight="1" x14ac:dyDescent="0.15"/>
    <row r="11505" s="9" customFormat="1" ht="32.1" customHeight="1" x14ac:dyDescent="0.15"/>
    <row r="11506" s="9" customFormat="1" ht="21.95" customHeight="1" x14ac:dyDescent="0.15"/>
    <row r="11507" s="9" customFormat="1" ht="54" customHeight="1" x14ac:dyDescent="0.15"/>
    <row r="11508" s="9" customFormat="1" ht="21.95" customHeight="1" x14ac:dyDescent="0.15"/>
    <row r="11509" s="9" customFormat="1" ht="21.95" customHeight="1" x14ac:dyDescent="0.15"/>
    <row r="11510" s="9" customFormat="1" ht="21.95" customHeight="1" x14ac:dyDescent="0.15"/>
    <row r="11511" s="9" customFormat="1" ht="21.95" customHeight="1" x14ac:dyDescent="0.15"/>
    <row r="11512" s="9" customFormat="1" ht="21.95" customHeight="1" x14ac:dyDescent="0.15"/>
    <row r="11513" s="9" customFormat="1" ht="21.95" customHeight="1" x14ac:dyDescent="0.15"/>
    <row r="11514" s="9" customFormat="1" ht="21.95" customHeight="1" x14ac:dyDescent="0.15"/>
    <row r="11515" s="9" customFormat="1" ht="21.95" customHeight="1" x14ac:dyDescent="0.15"/>
    <row r="11516" s="9" customFormat="1" ht="21.95" customHeight="1" x14ac:dyDescent="0.15"/>
    <row r="11517" s="9" customFormat="1" ht="21.95" customHeight="1" x14ac:dyDescent="0.15"/>
    <row r="11518" s="9" customFormat="1" ht="21.95" customHeight="1" x14ac:dyDescent="0.15"/>
    <row r="11519" s="9" customFormat="1" ht="21.95" customHeight="1" x14ac:dyDescent="0.15"/>
    <row r="11520" s="9" customFormat="1" ht="21.95" customHeight="1" x14ac:dyDescent="0.15"/>
    <row r="11521" s="9" customFormat="1" ht="21.95" customHeight="1" x14ac:dyDescent="0.15"/>
    <row r="11522" s="9" customFormat="1" ht="21.95" customHeight="1" x14ac:dyDescent="0.15"/>
    <row r="11523" s="9" customFormat="1" ht="21.95" customHeight="1" x14ac:dyDescent="0.15"/>
    <row r="11524" s="9" customFormat="1" ht="21.95" customHeight="1" x14ac:dyDescent="0.15"/>
    <row r="11525" s="9" customFormat="1" ht="21.95" customHeight="1" x14ac:dyDescent="0.15"/>
    <row r="11526" s="9" customFormat="1" ht="21.95" customHeight="1" x14ac:dyDescent="0.15"/>
    <row r="11527" s="9" customFormat="1" ht="21.95" customHeight="1" x14ac:dyDescent="0.15"/>
    <row r="11528" s="9" customFormat="1" ht="21.95" customHeight="1" x14ac:dyDescent="0.15"/>
    <row r="11529" s="9" customFormat="1" ht="21.95" customHeight="1" x14ac:dyDescent="0.15"/>
    <row r="11530" s="9" customFormat="1" ht="21.95" customHeight="1" x14ac:dyDescent="0.15"/>
    <row r="11531" s="9" customFormat="1" ht="21.95" customHeight="1" x14ac:dyDescent="0.15"/>
    <row r="11532" s="9" customFormat="1" ht="21.95" customHeight="1" x14ac:dyDescent="0.15"/>
    <row r="11533" s="9" customFormat="1" ht="21.95" customHeight="1" x14ac:dyDescent="0.15"/>
    <row r="11534" s="9" customFormat="1" ht="21.95" customHeight="1" x14ac:dyDescent="0.15"/>
    <row r="11535" s="9" customFormat="1" ht="21.95" customHeight="1" x14ac:dyDescent="0.15"/>
    <row r="11536" s="9" customFormat="1" ht="21.95" customHeight="1" x14ac:dyDescent="0.15"/>
    <row r="11537" s="9" customFormat="1" ht="21.95" customHeight="1" x14ac:dyDescent="0.15"/>
    <row r="11538" s="9" customFormat="1" ht="21.95" customHeight="1" x14ac:dyDescent="0.15"/>
    <row r="11539" s="9" customFormat="1" ht="21.95" customHeight="1" x14ac:dyDescent="0.15"/>
    <row r="11540" s="9" customFormat="1" ht="21.95" customHeight="1" x14ac:dyDescent="0.15"/>
    <row r="11541" s="9" customFormat="1" ht="21.95" customHeight="1" x14ac:dyDescent="0.15"/>
    <row r="11542" s="9" customFormat="1" ht="21.95" customHeight="1" x14ac:dyDescent="0.15"/>
    <row r="11543" s="9" customFormat="1" ht="21.95" customHeight="1" x14ac:dyDescent="0.15"/>
    <row r="11544" s="9" customFormat="1" ht="21.95" customHeight="1" x14ac:dyDescent="0.15"/>
    <row r="11545" s="9" customFormat="1" ht="21.95" customHeight="1" x14ac:dyDescent="0.15"/>
    <row r="11546" s="9" customFormat="1" ht="21.95" customHeight="1" x14ac:dyDescent="0.15"/>
    <row r="11547" s="9" customFormat="1" ht="21.95" customHeight="1" x14ac:dyDescent="0.15"/>
    <row r="11548" s="9" customFormat="1" ht="21.95" customHeight="1" x14ac:dyDescent="0.15"/>
    <row r="11549" s="9" customFormat="1" ht="21.95" customHeight="1" x14ac:dyDescent="0.15"/>
    <row r="11550" s="9" customFormat="1" ht="21.95" customHeight="1" x14ac:dyDescent="0.15"/>
    <row r="11551" s="9" customFormat="1" ht="21.95" customHeight="1" x14ac:dyDescent="0.15"/>
    <row r="11552" s="9" customFormat="1" ht="21.95" customHeight="1" x14ac:dyDescent="0.15"/>
    <row r="11553" s="9" customFormat="1" ht="21.95" customHeight="1" x14ac:dyDescent="0.15"/>
    <row r="11554" s="9" customFormat="1" ht="21.95" customHeight="1" x14ac:dyDescent="0.15"/>
    <row r="11555" s="9" customFormat="1" ht="21.95" customHeight="1" x14ac:dyDescent="0.15"/>
    <row r="11556" s="9" customFormat="1" ht="21.95" customHeight="1" x14ac:dyDescent="0.15"/>
    <row r="11557" s="9" customFormat="1" ht="21.95" customHeight="1" x14ac:dyDescent="0.15"/>
    <row r="11558" s="9" customFormat="1" ht="35.1" customHeight="1" x14ac:dyDescent="0.15"/>
    <row r="11559" s="9" customFormat="1" ht="21.95" customHeight="1" x14ac:dyDescent="0.15"/>
    <row r="11560" s="9" customFormat="1" ht="21.95" customHeight="1" x14ac:dyDescent="0.15"/>
    <row r="11561" s="9" customFormat="1" ht="21.95" customHeight="1" x14ac:dyDescent="0.15"/>
    <row r="11562" s="9" customFormat="1" ht="21.95" customHeight="1" x14ac:dyDescent="0.15"/>
    <row r="11563" s="9" customFormat="1" ht="21.95" customHeight="1" x14ac:dyDescent="0.15"/>
    <row r="11564" s="9" customFormat="1" ht="21.95" customHeight="1" x14ac:dyDescent="0.15"/>
    <row r="11565" s="9" customFormat="1" ht="21.95" customHeight="1" x14ac:dyDescent="0.15"/>
    <row r="11566" s="9" customFormat="1" ht="21.95" customHeight="1" x14ac:dyDescent="0.15"/>
    <row r="11567" s="9" customFormat="1" ht="21.95" customHeight="1" x14ac:dyDescent="0.15"/>
    <row r="11568" s="9" customFormat="1" ht="21.95" customHeight="1" x14ac:dyDescent="0.15"/>
    <row r="11569" spans="3:3" s="9" customFormat="1" ht="21.95" customHeight="1" x14ac:dyDescent="0.15"/>
    <row r="11570" spans="3:3" s="9" customFormat="1" ht="21.95" customHeight="1" x14ac:dyDescent="0.15"/>
    <row r="11571" spans="3:3" s="9" customFormat="1" ht="21.95" customHeight="1" x14ac:dyDescent="0.15"/>
    <row r="11572" spans="3:3" s="9" customFormat="1" ht="21.95" customHeight="1" x14ac:dyDescent="0.15"/>
    <row r="11573" spans="3:3" s="9" customFormat="1" ht="21.95" customHeight="1" x14ac:dyDescent="0.15"/>
    <row r="11574" spans="3:3" s="9" customFormat="1" ht="21.95" customHeight="1" x14ac:dyDescent="0.15"/>
    <row r="11575" spans="3:3" s="9" customFormat="1" ht="21.95" customHeight="1" x14ac:dyDescent="0.15"/>
    <row r="11576" spans="3:3" s="9" customFormat="1" ht="21.95" customHeight="1" x14ac:dyDescent="0.15"/>
    <row r="11577" spans="3:3" s="9" customFormat="1" ht="21.95" customHeight="1" x14ac:dyDescent="0.15"/>
    <row r="11578" spans="3:3" s="9" customFormat="1" ht="21.95" customHeight="1" x14ac:dyDescent="0.15"/>
    <row r="11579" spans="3:3" s="9" customFormat="1" ht="21.95" customHeight="1" x14ac:dyDescent="0.15"/>
    <row r="11580" spans="3:3" s="9" customFormat="1" ht="21.95" customHeight="1" x14ac:dyDescent="0.15"/>
    <row r="11581" spans="3:3" s="9" customFormat="1" ht="21.95" customHeight="1" x14ac:dyDescent="0.15"/>
    <row r="11582" spans="3:3" s="8" customFormat="1" ht="21.95" customHeight="1" x14ac:dyDescent="0.15"/>
    <row r="11583" spans="3:3" s="8" customFormat="1" ht="21.95" customHeight="1" x14ac:dyDescent="0.15"/>
    <row r="11584" spans="3:3" s="8" customFormat="1" ht="21.95" customHeight="1" x14ac:dyDescent="0.15">
      <c r="C11584" s="101"/>
    </row>
    <row r="11585" spans="3:3" s="8" customFormat="1" ht="21.95" customHeight="1" x14ac:dyDescent="0.15">
      <c r="C11585" s="101"/>
    </row>
    <row r="11586" spans="3:3" s="8" customFormat="1" ht="21.95" customHeight="1" x14ac:dyDescent="0.15"/>
    <row r="11587" spans="3:3" s="8" customFormat="1" ht="21.95" customHeight="1" x14ac:dyDescent="0.15"/>
    <row r="11588" spans="3:3" s="8" customFormat="1" ht="21.95" customHeight="1" x14ac:dyDescent="0.15"/>
    <row r="11589" spans="3:3" s="8" customFormat="1" ht="21.95" customHeight="1" x14ac:dyDescent="0.15"/>
    <row r="11590" spans="3:3" s="8" customFormat="1" ht="21.95" customHeight="1" x14ac:dyDescent="0.15"/>
    <row r="11591" spans="3:3" s="8" customFormat="1" ht="21.95" customHeight="1" x14ac:dyDescent="0.15"/>
    <row r="11592" spans="3:3" s="8" customFormat="1" ht="21.95" customHeight="1" x14ac:dyDescent="0.15"/>
    <row r="11593" spans="3:3" s="9" customFormat="1" ht="21.95" customHeight="1" x14ac:dyDescent="0.15"/>
    <row r="11594" spans="3:3" s="9" customFormat="1" ht="21.95" customHeight="1" x14ac:dyDescent="0.15"/>
    <row r="11595" spans="3:3" s="9" customFormat="1" ht="21.95" customHeight="1" x14ac:dyDescent="0.15"/>
    <row r="11596" spans="3:3" s="9" customFormat="1" ht="21.95" customHeight="1" x14ac:dyDescent="0.15"/>
    <row r="11597" spans="3:3" s="8" customFormat="1" ht="21.95" customHeight="1" x14ac:dyDescent="0.15"/>
    <row r="11598" spans="3:3" s="8" customFormat="1" ht="21.95" customHeight="1" x14ac:dyDescent="0.15"/>
    <row r="11599" spans="3:3" s="8" customFormat="1" ht="21.95" customHeight="1" x14ac:dyDescent="0.15"/>
    <row r="11600" spans="3:3" s="8" customFormat="1" ht="21.95" customHeight="1" x14ac:dyDescent="0.15"/>
    <row r="11601" s="8" customFormat="1" ht="21.95" customHeight="1" x14ac:dyDescent="0.15"/>
    <row r="11602" s="8" customFormat="1" ht="21.95" customHeight="1" x14ac:dyDescent="0.15"/>
    <row r="11603" s="8" customFormat="1" ht="21.95" customHeight="1" x14ac:dyDescent="0.15"/>
    <row r="11604" s="8" customFormat="1" ht="21.95" customHeight="1" x14ac:dyDescent="0.15"/>
    <row r="11605" s="8" customFormat="1" ht="21.95" customHeight="1" x14ac:dyDescent="0.15"/>
    <row r="11606" s="8" customFormat="1" ht="21.95" customHeight="1" x14ac:dyDescent="0.15"/>
    <row r="11607" s="8" customFormat="1" ht="21.95" customHeight="1" x14ac:dyDescent="0.15"/>
    <row r="11608" s="8" customFormat="1" ht="32.1" customHeight="1" x14ac:dyDescent="0.15"/>
    <row r="11609" s="8" customFormat="1" ht="32.1" customHeight="1" x14ac:dyDescent="0.15"/>
    <row r="11610" s="8" customFormat="1" ht="32.1" customHeight="1" x14ac:dyDescent="0.15"/>
    <row r="11611" s="8" customFormat="1" ht="32.1" customHeight="1" x14ac:dyDescent="0.15"/>
    <row r="11612" s="8" customFormat="1" ht="32.1" customHeight="1" x14ac:dyDescent="0.15"/>
    <row r="11613" s="8" customFormat="1" ht="32.1" customHeight="1" x14ac:dyDescent="0.15"/>
    <row r="11614" s="9" customFormat="1" ht="32.1" customHeight="1" x14ac:dyDescent="0.15"/>
    <row r="11615" s="9" customFormat="1" ht="32.1" customHeight="1" x14ac:dyDescent="0.15"/>
    <row r="11616" s="9" customFormat="1" ht="32.1" customHeight="1" x14ac:dyDescent="0.15"/>
    <row r="11617" s="9" customFormat="1" ht="32.1" customHeight="1" x14ac:dyDescent="0.15"/>
    <row r="11618" s="9" customFormat="1" ht="21.95" customHeight="1" x14ac:dyDescent="0.15"/>
    <row r="11619" s="9" customFormat="1" ht="54" customHeight="1" x14ac:dyDescent="0.15"/>
    <row r="11620" s="9" customFormat="1" ht="21.95" customHeight="1" x14ac:dyDescent="0.15"/>
    <row r="11621" s="9" customFormat="1" ht="21.95" customHeight="1" x14ac:dyDescent="0.15"/>
    <row r="11622" s="9" customFormat="1" ht="21.95" customHeight="1" x14ac:dyDescent="0.15"/>
    <row r="11623" s="9" customFormat="1" ht="21.95" customHeight="1" x14ac:dyDescent="0.15"/>
    <row r="11624" s="9" customFormat="1" ht="21.95" customHeight="1" x14ac:dyDescent="0.15"/>
    <row r="11625" s="9" customFormat="1" ht="21.95" customHeight="1" x14ac:dyDescent="0.15"/>
    <row r="11626" s="9" customFormat="1" ht="21.95" customHeight="1" x14ac:dyDescent="0.15"/>
    <row r="11627" s="9" customFormat="1" ht="21.95" customHeight="1" x14ac:dyDescent="0.15"/>
    <row r="11628" s="9" customFormat="1" ht="21.95" customHeight="1" x14ac:dyDescent="0.15"/>
    <row r="11629" s="9" customFormat="1" ht="21.95" customHeight="1" x14ac:dyDescent="0.15"/>
    <row r="11630" s="9" customFormat="1" ht="21.95" customHeight="1" x14ac:dyDescent="0.15"/>
    <row r="11631" s="9" customFormat="1" ht="21.95" customHeight="1" x14ac:dyDescent="0.15"/>
    <row r="11632" s="9" customFormat="1" ht="21.95" customHeight="1" x14ac:dyDescent="0.15"/>
    <row r="11633" s="9" customFormat="1" ht="21.95" customHeight="1" x14ac:dyDescent="0.15"/>
    <row r="11634" s="9" customFormat="1" ht="21.95" customHeight="1" x14ac:dyDescent="0.15"/>
    <row r="11635" s="9" customFormat="1" ht="21.95" customHeight="1" x14ac:dyDescent="0.15"/>
    <row r="11636" s="9" customFormat="1" ht="21.95" customHeight="1" x14ac:dyDescent="0.15"/>
    <row r="11637" s="9" customFormat="1" ht="21.95" customHeight="1" x14ac:dyDescent="0.15"/>
    <row r="11638" s="9" customFormat="1" ht="21.95" customHeight="1" x14ac:dyDescent="0.15"/>
    <row r="11639" s="9" customFormat="1" ht="21.95" customHeight="1" x14ac:dyDescent="0.15"/>
    <row r="11640" s="9" customFormat="1" ht="21.95" customHeight="1" x14ac:dyDescent="0.15"/>
    <row r="11641" s="9" customFormat="1" ht="21.95" customHeight="1" x14ac:dyDescent="0.15"/>
    <row r="11642" s="9" customFormat="1" ht="21.95" customHeight="1" x14ac:dyDescent="0.15"/>
    <row r="11643" s="9" customFormat="1" ht="21.95" customHeight="1" x14ac:dyDescent="0.15"/>
    <row r="11644" s="9" customFormat="1" ht="21.95" customHeight="1" x14ac:dyDescent="0.15"/>
    <row r="11645" s="9" customFormat="1" ht="21.95" customHeight="1" x14ac:dyDescent="0.15"/>
    <row r="11646" s="9" customFormat="1" ht="21.95" customHeight="1" x14ac:dyDescent="0.15"/>
    <row r="11647" s="9" customFormat="1" ht="21.95" customHeight="1" x14ac:dyDescent="0.15"/>
    <row r="11648" s="9" customFormat="1" ht="21.95" customHeight="1" x14ac:dyDescent="0.15"/>
    <row r="11649" s="9" customFormat="1" ht="21.95" customHeight="1" x14ac:dyDescent="0.15"/>
    <row r="11650" s="9" customFormat="1" ht="21.95" customHeight="1" x14ac:dyDescent="0.15"/>
    <row r="11651" s="9" customFormat="1" ht="21.95" customHeight="1" x14ac:dyDescent="0.15"/>
    <row r="11652" s="9" customFormat="1" ht="21.95" customHeight="1" x14ac:dyDescent="0.15"/>
    <row r="11653" s="9" customFormat="1" ht="21.95" customHeight="1" x14ac:dyDescent="0.15"/>
    <row r="11654" s="9" customFormat="1" ht="21.95" customHeight="1" x14ac:dyDescent="0.15"/>
    <row r="11655" s="9" customFormat="1" ht="21.95" customHeight="1" x14ac:dyDescent="0.15"/>
    <row r="11656" s="9" customFormat="1" ht="21.95" customHeight="1" x14ac:dyDescent="0.15"/>
    <row r="11657" s="9" customFormat="1" ht="21.95" customHeight="1" x14ac:dyDescent="0.15"/>
    <row r="11658" s="9" customFormat="1" ht="21.95" customHeight="1" x14ac:dyDescent="0.15"/>
    <row r="11659" s="9" customFormat="1" ht="21.95" customHeight="1" x14ac:dyDescent="0.15"/>
    <row r="11660" s="9" customFormat="1" ht="21.95" customHeight="1" x14ac:dyDescent="0.15"/>
    <row r="11661" s="9" customFormat="1" ht="21.95" customHeight="1" x14ac:dyDescent="0.15"/>
    <row r="11662" s="9" customFormat="1" ht="21.95" customHeight="1" x14ac:dyDescent="0.15"/>
    <row r="11663" s="9" customFormat="1" ht="21.95" customHeight="1" x14ac:dyDescent="0.15"/>
    <row r="11664" s="9" customFormat="1" ht="21.95" customHeight="1" x14ac:dyDescent="0.15"/>
    <row r="11665" s="9" customFormat="1" ht="21.95" customHeight="1" x14ac:dyDescent="0.15"/>
    <row r="11666" s="9" customFormat="1" ht="21.95" customHeight="1" x14ac:dyDescent="0.15"/>
    <row r="11667" s="9" customFormat="1" ht="21.95" customHeight="1" x14ac:dyDescent="0.15"/>
    <row r="11668" s="9" customFormat="1" ht="21.95" customHeight="1" x14ac:dyDescent="0.15"/>
    <row r="11669" s="9" customFormat="1" ht="21.95" customHeight="1" x14ac:dyDescent="0.15"/>
    <row r="11670" s="9" customFormat="1" ht="35.1" customHeight="1" x14ac:dyDescent="0.15"/>
    <row r="11671" s="9" customFormat="1" ht="21.95" customHeight="1" x14ac:dyDescent="0.15"/>
    <row r="11672" s="9" customFormat="1" ht="21.95" customHeight="1" x14ac:dyDescent="0.15"/>
    <row r="11673" s="9" customFormat="1" ht="21.95" customHeight="1" x14ac:dyDescent="0.15"/>
    <row r="11674" s="9" customFormat="1" ht="21.95" customHeight="1" x14ac:dyDescent="0.15"/>
    <row r="11675" s="9" customFormat="1" ht="21.95" customHeight="1" x14ac:dyDescent="0.15"/>
    <row r="11676" s="9" customFormat="1" ht="21.95" customHeight="1" x14ac:dyDescent="0.15"/>
    <row r="11677" s="9" customFormat="1" ht="21.95" customHeight="1" x14ac:dyDescent="0.15"/>
    <row r="11678" s="9" customFormat="1" ht="21.95" customHeight="1" x14ac:dyDescent="0.15"/>
    <row r="11679" s="9" customFormat="1" ht="21.95" customHeight="1" x14ac:dyDescent="0.15"/>
    <row r="11680" s="9" customFormat="1" ht="21.95" customHeight="1" x14ac:dyDescent="0.15"/>
    <row r="11681" spans="3:3" s="9" customFormat="1" ht="21.95" customHeight="1" x14ac:dyDescent="0.15"/>
    <row r="11682" spans="3:3" s="9" customFormat="1" ht="21.95" customHeight="1" x14ac:dyDescent="0.15"/>
    <row r="11683" spans="3:3" s="9" customFormat="1" ht="21.95" customHeight="1" x14ac:dyDescent="0.15"/>
    <row r="11684" spans="3:3" s="9" customFormat="1" ht="21.95" customHeight="1" x14ac:dyDescent="0.15"/>
    <row r="11685" spans="3:3" s="9" customFormat="1" ht="21.95" customHeight="1" x14ac:dyDescent="0.15"/>
    <row r="11686" spans="3:3" s="9" customFormat="1" ht="21.95" customHeight="1" x14ac:dyDescent="0.15"/>
    <row r="11687" spans="3:3" s="9" customFormat="1" ht="21.95" customHeight="1" x14ac:dyDescent="0.15"/>
    <row r="11688" spans="3:3" s="9" customFormat="1" ht="21.95" customHeight="1" x14ac:dyDescent="0.15"/>
    <row r="11689" spans="3:3" s="9" customFormat="1" ht="21.95" customHeight="1" x14ac:dyDescent="0.15"/>
    <row r="11690" spans="3:3" s="9" customFormat="1" ht="21.95" customHeight="1" x14ac:dyDescent="0.15"/>
    <row r="11691" spans="3:3" s="9" customFormat="1" ht="21.95" customHeight="1" x14ac:dyDescent="0.15"/>
    <row r="11692" spans="3:3" s="9" customFormat="1" ht="21.95" customHeight="1" x14ac:dyDescent="0.15"/>
    <row r="11693" spans="3:3" s="9" customFormat="1" ht="21.95" customHeight="1" x14ac:dyDescent="0.15"/>
    <row r="11694" spans="3:3" s="8" customFormat="1" ht="21.95" customHeight="1" x14ac:dyDescent="0.15"/>
    <row r="11695" spans="3:3" s="8" customFormat="1" ht="21.95" customHeight="1" x14ac:dyDescent="0.15"/>
    <row r="11696" spans="3:3" s="8" customFormat="1" ht="21.95" customHeight="1" x14ac:dyDescent="0.15">
      <c r="C11696" s="101"/>
    </row>
    <row r="11697" spans="3:3" s="8" customFormat="1" ht="21.95" customHeight="1" x14ac:dyDescent="0.15">
      <c r="C11697" s="101"/>
    </row>
    <row r="11698" spans="3:3" s="8" customFormat="1" ht="21.95" customHeight="1" x14ac:dyDescent="0.15"/>
    <row r="11699" spans="3:3" s="8" customFormat="1" ht="21.95" customHeight="1" x14ac:dyDescent="0.15"/>
    <row r="11700" spans="3:3" s="8" customFormat="1" ht="21.95" customHeight="1" x14ac:dyDescent="0.15"/>
    <row r="11701" spans="3:3" s="8" customFormat="1" ht="21.95" customHeight="1" x14ac:dyDescent="0.15"/>
    <row r="11702" spans="3:3" s="8" customFormat="1" ht="21.95" customHeight="1" x14ac:dyDescent="0.15"/>
    <row r="11703" spans="3:3" s="8" customFormat="1" ht="21.95" customHeight="1" x14ac:dyDescent="0.15"/>
    <row r="11704" spans="3:3" s="8" customFormat="1" ht="21.95" customHeight="1" x14ac:dyDescent="0.15"/>
    <row r="11705" spans="3:3" s="9" customFormat="1" ht="21.95" customHeight="1" x14ac:dyDescent="0.15"/>
    <row r="11706" spans="3:3" s="9" customFormat="1" ht="21.95" customHeight="1" x14ac:dyDescent="0.15"/>
    <row r="11707" spans="3:3" s="9" customFormat="1" ht="21.95" customHeight="1" x14ac:dyDescent="0.15"/>
    <row r="11708" spans="3:3" s="9" customFormat="1" ht="21.95" customHeight="1" x14ac:dyDescent="0.15"/>
    <row r="11709" spans="3:3" s="8" customFormat="1" ht="21.95" customHeight="1" x14ac:dyDescent="0.15"/>
    <row r="11710" spans="3:3" s="8" customFormat="1" ht="21.95" customHeight="1" x14ac:dyDescent="0.15"/>
    <row r="11711" spans="3:3" s="8" customFormat="1" ht="21.95" customHeight="1" x14ac:dyDescent="0.15"/>
    <row r="11712" spans="3:3" s="8" customFormat="1" ht="21.95" customHeight="1" x14ac:dyDescent="0.15"/>
    <row r="11713" s="8" customFormat="1" ht="21.95" customHeight="1" x14ac:dyDescent="0.15"/>
    <row r="11714" s="8" customFormat="1" ht="21.95" customHeight="1" x14ac:dyDescent="0.15"/>
    <row r="11715" s="8" customFormat="1" ht="21.95" customHeight="1" x14ac:dyDescent="0.15"/>
    <row r="11716" s="8" customFormat="1" ht="21.95" customHeight="1" x14ac:dyDescent="0.15"/>
    <row r="11717" s="8" customFormat="1" ht="21.95" customHeight="1" x14ac:dyDescent="0.15"/>
    <row r="11718" s="8" customFormat="1" ht="21.95" customHeight="1" x14ac:dyDescent="0.15"/>
    <row r="11719" s="8" customFormat="1" ht="21.95" customHeight="1" x14ac:dyDescent="0.15"/>
    <row r="11720" s="8" customFormat="1" ht="32.1" customHeight="1" x14ac:dyDescent="0.15"/>
    <row r="11721" s="8" customFormat="1" ht="32.1" customHeight="1" x14ac:dyDescent="0.15"/>
    <row r="11722" s="8" customFormat="1" ht="32.1" customHeight="1" x14ac:dyDescent="0.15"/>
    <row r="11723" s="8" customFormat="1" ht="32.1" customHeight="1" x14ac:dyDescent="0.15"/>
    <row r="11724" s="8" customFormat="1" ht="32.1" customHeight="1" x14ac:dyDescent="0.15"/>
    <row r="11725" s="8" customFormat="1" ht="32.1" customHeight="1" x14ac:dyDescent="0.15"/>
    <row r="11726" s="9" customFormat="1" ht="32.1" customHeight="1" x14ac:dyDescent="0.15"/>
    <row r="11727" s="9" customFormat="1" ht="32.1" customHeight="1" x14ac:dyDescent="0.15"/>
    <row r="11728" s="9" customFormat="1" ht="32.1" customHeight="1" x14ac:dyDescent="0.15"/>
    <row r="11729" s="9" customFormat="1" ht="32.1" customHeight="1" x14ac:dyDescent="0.15"/>
    <row r="11730" s="9" customFormat="1" ht="21.95" customHeight="1" x14ac:dyDescent="0.15"/>
    <row r="11731" s="9" customFormat="1" ht="54" customHeight="1" x14ac:dyDescent="0.15"/>
    <row r="11732" s="9" customFormat="1" ht="21.95" customHeight="1" x14ac:dyDescent="0.15"/>
    <row r="11733" s="9" customFormat="1" ht="21.95" customHeight="1" x14ac:dyDescent="0.15"/>
    <row r="11734" s="9" customFormat="1" ht="21.95" customHeight="1" x14ac:dyDescent="0.15"/>
    <row r="11735" s="9" customFormat="1" ht="21.95" customHeight="1" x14ac:dyDescent="0.15"/>
    <row r="11736" s="9" customFormat="1" ht="21.95" customHeight="1" x14ac:dyDescent="0.15"/>
    <row r="11737" s="9" customFormat="1" ht="21.95" customHeight="1" x14ac:dyDescent="0.15"/>
    <row r="11738" s="9" customFormat="1" ht="21.95" customHeight="1" x14ac:dyDescent="0.15"/>
    <row r="11739" s="9" customFormat="1" ht="21.95" customHeight="1" x14ac:dyDescent="0.15"/>
    <row r="11740" s="9" customFormat="1" ht="21.95" customHeight="1" x14ac:dyDescent="0.15"/>
    <row r="11741" s="9" customFormat="1" ht="21.95" customHeight="1" x14ac:dyDescent="0.15"/>
    <row r="11742" s="9" customFormat="1" ht="21.95" customHeight="1" x14ac:dyDescent="0.15"/>
    <row r="11743" s="9" customFormat="1" ht="21.95" customHeight="1" x14ac:dyDescent="0.15"/>
    <row r="11744" s="9" customFormat="1" ht="21.95" customHeight="1" x14ac:dyDescent="0.15"/>
    <row r="11745" s="9" customFormat="1" ht="21.95" customHeight="1" x14ac:dyDescent="0.15"/>
    <row r="11746" s="9" customFormat="1" ht="21.95" customHeight="1" x14ac:dyDescent="0.15"/>
    <row r="11747" s="9" customFormat="1" ht="21.95" customHeight="1" x14ac:dyDescent="0.15"/>
    <row r="11748" s="9" customFormat="1" ht="21.95" customHeight="1" x14ac:dyDescent="0.15"/>
    <row r="11749" s="9" customFormat="1" ht="21.95" customHeight="1" x14ac:dyDescent="0.15"/>
    <row r="11750" s="9" customFormat="1" ht="21.95" customHeight="1" x14ac:dyDescent="0.15"/>
    <row r="11751" s="9" customFormat="1" ht="21.95" customHeight="1" x14ac:dyDescent="0.15"/>
    <row r="11752" s="9" customFormat="1" ht="21.95" customHeight="1" x14ac:dyDescent="0.15"/>
    <row r="11753" s="9" customFormat="1" ht="21.95" customHeight="1" x14ac:dyDescent="0.15"/>
    <row r="11754" s="9" customFormat="1" ht="21.95" customHeight="1" x14ac:dyDescent="0.15"/>
    <row r="11755" s="9" customFormat="1" ht="21.95" customHeight="1" x14ac:dyDescent="0.15"/>
    <row r="11756" s="9" customFormat="1" ht="21.95" customHeight="1" x14ac:dyDescent="0.15"/>
    <row r="11757" s="9" customFormat="1" ht="21.95" customHeight="1" x14ac:dyDescent="0.15"/>
    <row r="11758" s="9" customFormat="1" ht="21.95" customHeight="1" x14ac:dyDescent="0.15"/>
    <row r="11759" s="9" customFormat="1" ht="21.95" customHeight="1" x14ac:dyDescent="0.15"/>
    <row r="11760" s="9" customFormat="1" ht="21.95" customHeight="1" x14ac:dyDescent="0.15"/>
    <row r="11761" s="9" customFormat="1" ht="21.95" customHeight="1" x14ac:dyDescent="0.15"/>
    <row r="11762" s="9" customFormat="1" ht="21.95" customHeight="1" x14ac:dyDescent="0.15"/>
    <row r="11763" s="9" customFormat="1" ht="21.95" customHeight="1" x14ac:dyDescent="0.15"/>
    <row r="11764" s="9" customFormat="1" ht="21.95" customHeight="1" x14ac:dyDescent="0.15"/>
    <row r="11765" s="9" customFormat="1" ht="21.95" customHeight="1" x14ac:dyDescent="0.15"/>
    <row r="11766" s="9" customFormat="1" ht="21.95" customHeight="1" x14ac:dyDescent="0.15"/>
    <row r="11767" s="9" customFormat="1" ht="21.95" customHeight="1" x14ac:dyDescent="0.15"/>
    <row r="11768" s="9" customFormat="1" ht="21.95" customHeight="1" x14ac:dyDescent="0.15"/>
    <row r="11769" s="9" customFormat="1" ht="21.95" customHeight="1" x14ac:dyDescent="0.15"/>
    <row r="11770" s="9" customFormat="1" ht="21.95" customHeight="1" x14ac:dyDescent="0.15"/>
    <row r="11771" s="9" customFormat="1" ht="21.95" customHeight="1" x14ac:dyDescent="0.15"/>
    <row r="11772" s="9" customFormat="1" ht="21.95" customHeight="1" x14ac:dyDescent="0.15"/>
    <row r="11773" s="9" customFormat="1" ht="21.95" customHeight="1" x14ac:dyDescent="0.15"/>
    <row r="11774" s="9" customFormat="1" ht="21.95" customHeight="1" x14ac:dyDescent="0.15"/>
    <row r="11775" s="9" customFormat="1" ht="21.95" customHeight="1" x14ac:dyDescent="0.15"/>
    <row r="11776" s="9" customFormat="1" ht="21.95" customHeight="1" x14ac:dyDescent="0.15"/>
    <row r="11777" s="9" customFormat="1" ht="21.95" customHeight="1" x14ac:dyDescent="0.15"/>
    <row r="11778" s="9" customFormat="1" ht="21.95" customHeight="1" x14ac:dyDescent="0.15"/>
    <row r="11779" s="9" customFormat="1" ht="21.95" customHeight="1" x14ac:dyDescent="0.15"/>
    <row r="11780" s="9" customFormat="1" ht="21.95" customHeight="1" x14ac:dyDescent="0.15"/>
    <row r="11781" s="9" customFormat="1" ht="21.95" customHeight="1" x14ac:dyDescent="0.15"/>
    <row r="11782" s="9" customFormat="1" ht="35.1" customHeight="1" x14ac:dyDescent="0.15"/>
    <row r="11783" s="9" customFormat="1" ht="21.95" customHeight="1" x14ac:dyDescent="0.15"/>
    <row r="11784" s="9" customFormat="1" ht="21.95" customHeight="1" x14ac:dyDescent="0.15"/>
    <row r="11785" s="9" customFormat="1" ht="21.95" customHeight="1" x14ac:dyDescent="0.15"/>
    <row r="11786" s="9" customFormat="1" ht="21.95" customHeight="1" x14ac:dyDescent="0.15"/>
    <row r="11787" s="9" customFormat="1" ht="21.95" customHeight="1" x14ac:dyDescent="0.15"/>
    <row r="11788" s="9" customFormat="1" ht="21.95" customHeight="1" x14ac:dyDescent="0.15"/>
    <row r="11789" s="9" customFormat="1" ht="21.95" customHeight="1" x14ac:dyDescent="0.15"/>
    <row r="11790" s="9" customFormat="1" ht="21.95" customHeight="1" x14ac:dyDescent="0.15"/>
    <row r="11791" s="9" customFormat="1" ht="21.95" customHeight="1" x14ac:dyDescent="0.15"/>
    <row r="11792" s="9" customFormat="1" ht="21.95" customHeight="1" x14ac:dyDescent="0.15"/>
    <row r="11793" spans="3:3" s="9" customFormat="1" ht="21.95" customHeight="1" x14ac:dyDescent="0.15"/>
    <row r="11794" spans="3:3" s="9" customFormat="1" ht="21.95" customHeight="1" x14ac:dyDescent="0.15"/>
    <row r="11795" spans="3:3" s="9" customFormat="1" ht="21.95" customHeight="1" x14ac:dyDescent="0.15"/>
    <row r="11796" spans="3:3" s="9" customFormat="1" ht="21.95" customHeight="1" x14ac:dyDescent="0.15"/>
    <row r="11797" spans="3:3" s="9" customFormat="1" ht="21.95" customHeight="1" x14ac:dyDescent="0.15"/>
    <row r="11798" spans="3:3" s="9" customFormat="1" ht="21.95" customHeight="1" x14ac:dyDescent="0.15"/>
    <row r="11799" spans="3:3" s="9" customFormat="1" ht="21.95" customHeight="1" x14ac:dyDescent="0.15"/>
    <row r="11800" spans="3:3" s="9" customFormat="1" ht="21.95" customHeight="1" x14ac:dyDescent="0.15"/>
    <row r="11801" spans="3:3" s="9" customFormat="1" ht="21.95" customHeight="1" x14ac:dyDescent="0.15"/>
    <row r="11802" spans="3:3" s="9" customFormat="1" ht="21.95" customHeight="1" x14ac:dyDescent="0.15"/>
    <row r="11803" spans="3:3" s="9" customFormat="1" ht="21.95" customHeight="1" x14ac:dyDescent="0.15"/>
    <row r="11804" spans="3:3" s="9" customFormat="1" ht="21.95" customHeight="1" x14ac:dyDescent="0.15"/>
    <row r="11805" spans="3:3" s="9" customFormat="1" ht="21.95" customHeight="1" x14ac:dyDescent="0.15"/>
    <row r="11806" spans="3:3" s="8" customFormat="1" ht="21.95" customHeight="1" x14ac:dyDescent="0.15"/>
    <row r="11807" spans="3:3" s="8" customFormat="1" ht="21.95" customHeight="1" x14ac:dyDescent="0.15"/>
    <row r="11808" spans="3:3" s="8" customFormat="1" ht="21.95" customHeight="1" x14ac:dyDescent="0.15">
      <c r="C11808" s="101"/>
    </row>
    <row r="11809" spans="3:3" s="8" customFormat="1" ht="21.95" customHeight="1" x14ac:dyDescent="0.15">
      <c r="C11809" s="101"/>
    </row>
    <row r="11810" spans="3:3" s="8" customFormat="1" ht="21.95" customHeight="1" x14ac:dyDescent="0.15"/>
    <row r="11811" spans="3:3" s="8" customFormat="1" ht="21.95" customHeight="1" x14ac:dyDescent="0.15"/>
    <row r="11812" spans="3:3" s="8" customFormat="1" ht="21.95" customHeight="1" x14ac:dyDescent="0.15"/>
    <row r="11813" spans="3:3" s="8" customFormat="1" ht="21.95" customHeight="1" x14ac:dyDescent="0.15"/>
    <row r="11814" spans="3:3" s="8" customFormat="1" ht="21.95" customHeight="1" x14ac:dyDescent="0.15"/>
    <row r="11815" spans="3:3" s="8" customFormat="1" ht="21.95" customHeight="1" x14ac:dyDescent="0.15"/>
    <row r="11816" spans="3:3" s="8" customFormat="1" ht="21.95" customHeight="1" x14ac:dyDescent="0.15"/>
    <row r="11817" spans="3:3" s="9" customFormat="1" ht="21.95" customHeight="1" x14ac:dyDescent="0.15"/>
    <row r="11818" spans="3:3" s="9" customFormat="1" ht="21.95" customHeight="1" x14ac:dyDescent="0.15"/>
    <row r="11819" spans="3:3" s="9" customFormat="1" ht="21.95" customHeight="1" x14ac:dyDescent="0.15"/>
    <row r="11820" spans="3:3" s="9" customFormat="1" ht="21.95" customHeight="1" x14ac:dyDescent="0.15"/>
    <row r="11821" spans="3:3" s="8" customFormat="1" ht="21.95" customHeight="1" x14ac:dyDescent="0.15"/>
    <row r="11822" spans="3:3" s="8" customFormat="1" ht="21.95" customHeight="1" x14ac:dyDescent="0.15"/>
    <row r="11823" spans="3:3" s="8" customFormat="1" ht="21.95" customHeight="1" x14ac:dyDescent="0.15"/>
    <row r="11824" spans="3:3" s="8" customFormat="1" ht="21.95" customHeight="1" x14ac:dyDescent="0.15"/>
    <row r="11825" s="8" customFormat="1" ht="21.95" customHeight="1" x14ac:dyDescent="0.15"/>
    <row r="11826" s="8" customFormat="1" ht="21.95" customHeight="1" x14ac:dyDescent="0.15"/>
    <row r="11827" s="8" customFormat="1" ht="21.95" customHeight="1" x14ac:dyDescent="0.15"/>
    <row r="11828" s="8" customFormat="1" ht="21.95" customHeight="1" x14ac:dyDescent="0.15"/>
    <row r="11829" s="8" customFormat="1" ht="21.95" customHeight="1" x14ac:dyDescent="0.15"/>
    <row r="11830" s="8" customFormat="1" ht="21.95" customHeight="1" x14ac:dyDescent="0.15"/>
    <row r="11831" s="8" customFormat="1" ht="21.95" customHeight="1" x14ac:dyDescent="0.15"/>
    <row r="11832" s="8" customFormat="1" ht="32.1" customHeight="1" x14ac:dyDescent="0.15"/>
    <row r="11833" s="8" customFormat="1" ht="32.1" customHeight="1" x14ac:dyDescent="0.15"/>
    <row r="11834" s="8" customFormat="1" ht="32.1" customHeight="1" x14ac:dyDescent="0.15"/>
    <row r="11835" s="8" customFormat="1" ht="32.1" customHeight="1" x14ac:dyDescent="0.15"/>
    <row r="11836" s="8" customFormat="1" ht="32.1" customHeight="1" x14ac:dyDescent="0.15"/>
    <row r="11837" s="8" customFormat="1" ht="32.1" customHeight="1" x14ac:dyDescent="0.15"/>
    <row r="11838" s="9" customFormat="1" ht="32.1" customHeight="1" x14ac:dyDescent="0.15"/>
    <row r="11839" s="9" customFormat="1" ht="32.1" customHeight="1" x14ac:dyDescent="0.15"/>
    <row r="11840" s="9" customFormat="1" ht="32.1" customHeight="1" x14ac:dyDescent="0.15"/>
    <row r="11841" s="9" customFormat="1" ht="32.1" customHeight="1" x14ac:dyDescent="0.15"/>
    <row r="11842" s="9" customFormat="1" ht="21.95" customHeight="1" x14ac:dyDescent="0.15"/>
    <row r="11843" s="9" customFormat="1" ht="54" customHeight="1" x14ac:dyDescent="0.15"/>
    <row r="11844" s="9" customFormat="1" ht="21.95" customHeight="1" x14ac:dyDescent="0.15"/>
    <row r="11845" s="9" customFormat="1" ht="21.95" customHeight="1" x14ac:dyDescent="0.15"/>
    <row r="11846" s="9" customFormat="1" ht="21.95" customHeight="1" x14ac:dyDescent="0.15"/>
    <row r="11847" s="9" customFormat="1" ht="21.95" customHeight="1" x14ac:dyDescent="0.15"/>
    <row r="11848" s="9" customFormat="1" ht="21.95" customHeight="1" x14ac:dyDescent="0.15"/>
    <row r="11849" s="9" customFormat="1" ht="21.95" customHeight="1" x14ac:dyDescent="0.15"/>
    <row r="11850" s="9" customFormat="1" ht="21.95" customHeight="1" x14ac:dyDescent="0.15"/>
    <row r="11851" s="9" customFormat="1" ht="21.95" customHeight="1" x14ac:dyDescent="0.15"/>
    <row r="11852" s="9" customFormat="1" ht="21.95" customHeight="1" x14ac:dyDescent="0.15"/>
    <row r="11853" s="9" customFormat="1" ht="21.95" customHeight="1" x14ac:dyDescent="0.15"/>
    <row r="11854" s="9" customFormat="1" ht="21.95" customHeight="1" x14ac:dyDescent="0.15"/>
    <row r="11855" s="9" customFormat="1" ht="21.95" customHeight="1" x14ac:dyDescent="0.15"/>
    <row r="11856" s="9" customFormat="1" ht="21.95" customHeight="1" x14ac:dyDescent="0.15"/>
    <row r="11857" s="9" customFormat="1" ht="21.95" customHeight="1" x14ac:dyDescent="0.15"/>
    <row r="11858" s="9" customFormat="1" ht="21.95" customHeight="1" x14ac:dyDescent="0.15"/>
    <row r="11859" s="9" customFormat="1" ht="21.95" customHeight="1" x14ac:dyDescent="0.15"/>
    <row r="11860" s="9" customFormat="1" ht="21.95" customHeight="1" x14ac:dyDescent="0.15"/>
    <row r="11861" s="9" customFormat="1" ht="21.95" customHeight="1" x14ac:dyDescent="0.15"/>
    <row r="11862" s="9" customFormat="1" ht="21.95" customHeight="1" x14ac:dyDescent="0.15"/>
    <row r="11863" s="9" customFormat="1" ht="21.95" customHeight="1" x14ac:dyDescent="0.15"/>
    <row r="11864" s="9" customFormat="1" ht="21.95" customHeight="1" x14ac:dyDescent="0.15"/>
    <row r="11865" s="9" customFormat="1" ht="21.95" customHeight="1" x14ac:dyDescent="0.15"/>
    <row r="11866" s="9" customFormat="1" ht="21.95" customHeight="1" x14ac:dyDescent="0.15"/>
    <row r="11867" s="9" customFormat="1" ht="21.95" customHeight="1" x14ac:dyDescent="0.15"/>
    <row r="11868" s="9" customFormat="1" ht="21.95" customHeight="1" x14ac:dyDescent="0.15"/>
    <row r="11869" s="9" customFormat="1" ht="21.95" customHeight="1" x14ac:dyDescent="0.15"/>
    <row r="11870" s="9" customFormat="1" ht="21.95" customHeight="1" x14ac:dyDescent="0.15"/>
    <row r="11871" s="9" customFormat="1" ht="21.95" customHeight="1" x14ac:dyDescent="0.15"/>
    <row r="11872" s="9" customFormat="1" ht="21.95" customHeight="1" x14ac:dyDescent="0.15"/>
    <row r="11873" s="9" customFormat="1" ht="21.95" customHeight="1" x14ac:dyDescent="0.15"/>
    <row r="11874" s="9" customFormat="1" ht="21.95" customHeight="1" x14ac:dyDescent="0.15"/>
    <row r="11875" s="9" customFormat="1" ht="21.95" customHeight="1" x14ac:dyDescent="0.15"/>
    <row r="11876" s="9" customFormat="1" ht="21.95" customHeight="1" x14ac:dyDescent="0.15"/>
    <row r="11877" s="9" customFormat="1" ht="21.95" customHeight="1" x14ac:dyDescent="0.15"/>
    <row r="11878" s="9" customFormat="1" ht="21.95" customHeight="1" x14ac:dyDescent="0.15"/>
    <row r="11879" s="9" customFormat="1" ht="21.95" customHeight="1" x14ac:dyDescent="0.15"/>
    <row r="11880" s="9" customFormat="1" ht="21.95" customHeight="1" x14ac:dyDescent="0.15"/>
    <row r="11881" s="9" customFormat="1" ht="21.95" customHeight="1" x14ac:dyDescent="0.15"/>
    <row r="11882" s="9" customFormat="1" ht="21.95" customHeight="1" x14ac:dyDescent="0.15"/>
    <row r="11883" s="9" customFormat="1" ht="21.95" customHeight="1" x14ac:dyDescent="0.15"/>
    <row r="11884" s="9" customFormat="1" ht="21.95" customHeight="1" x14ac:dyDescent="0.15"/>
    <row r="11885" s="9" customFormat="1" ht="21.95" customHeight="1" x14ac:dyDescent="0.15"/>
    <row r="11886" s="9" customFormat="1" ht="21.95" customHeight="1" x14ac:dyDescent="0.15"/>
    <row r="11887" s="9" customFormat="1" ht="21.95" customHeight="1" x14ac:dyDescent="0.15"/>
    <row r="11888" s="9" customFormat="1" ht="21.95" customHeight="1" x14ac:dyDescent="0.15"/>
    <row r="11889" s="9" customFormat="1" ht="21.95" customHeight="1" x14ac:dyDescent="0.15"/>
    <row r="11890" s="9" customFormat="1" ht="21.95" customHeight="1" x14ac:dyDescent="0.15"/>
    <row r="11891" s="9" customFormat="1" ht="21.95" customHeight="1" x14ac:dyDescent="0.15"/>
    <row r="11892" s="9" customFormat="1" ht="21.95" customHeight="1" x14ac:dyDescent="0.15"/>
    <row r="11893" s="9" customFormat="1" ht="21.95" customHeight="1" x14ac:dyDescent="0.15"/>
    <row r="11894" s="9" customFormat="1" ht="35.1" customHeight="1" x14ac:dyDescent="0.15"/>
    <row r="11895" s="9" customFormat="1" ht="21.95" customHeight="1" x14ac:dyDescent="0.15"/>
    <row r="11896" s="9" customFormat="1" ht="21.95" customHeight="1" x14ac:dyDescent="0.15"/>
    <row r="11897" s="9" customFormat="1" ht="21.95" customHeight="1" x14ac:dyDescent="0.15"/>
    <row r="11898" s="9" customFormat="1" ht="21.95" customHeight="1" x14ac:dyDescent="0.15"/>
    <row r="11899" s="9" customFormat="1" ht="21.95" customHeight="1" x14ac:dyDescent="0.15"/>
    <row r="11900" s="9" customFormat="1" ht="21.95" customHeight="1" x14ac:dyDescent="0.15"/>
    <row r="11901" s="9" customFormat="1" ht="21.95" customHeight="1" x14ac:dyDescent="0.15"/>
    <row r="11902" s="9" customFormat="1" ht="21.95" customHeight="1" x14ac:dyDescent="0.15"/>
    <row r="11903" s="9" customFormat="1" ht="21.95" customHeight="1" x14ac:dyDescent="0.15"/>
    <row r="11904" s="9" customFormat="1" ht="21.95" customHeight="1" x14ac:dyDescent="0.15"/>
    <row r="11905" spans="3:3" s="9" customFormat="1" ht="21.95" customHeight="1" x14ac:dyDescent="0.15"/>
    <row r="11906" spans="3:3" s="9" customFormat="1" ht="21.95" customHeight="1" x14ac:dyDescent="0.15"/>
    <row r="11907" spans="3:3" s="9" customFormat="1" ht="21.95" customHeight="1" x14ac:dyDescent="0.15"/>
    <row r="11908" spans="3:3" s="9" customFormat="1" ht="21.95" customHeight="1" x14ac:dyDescent="0.15"/>
    <row r="11909" spans="3:3" s="9" customFormat="1" ht="21.95" customHeight="1" x14ac:dyDescent="0.15"/>
    <row r="11910" spans="3:3" s="9" customFormat="1" ht="21.95" customHeight="1" x14ac:dyDescent="0.15"/>
    <row r="11911" spans="3:3" s="9" customFormat="1" ht="21.95" customHeight="1" x14ac:dyDescent="0.15"/>
    <row r="11912" spans="3:3" s="9" customFormat="1" ht="21.95" customHeight="1" x14ac:dyDescent="0.15"/>
    <row r="11913" spans="3:3" s="9" customFormat="1" ht="21.95" customHeight="1" x14ac:dyDescent="0.15"/>
    <row r="11914" spans="3:3" s="9" customFormat="1" ht="21.95" customHeight="1" x14ac:dyDescent="0.15"/>
    <row r="11915" spans="3:3" s="9" customFormat="1" ht="21.95" customHeight="1" x14ac:dyDescent="0.15"/>
    <row r="11916" spans="3:3" s="9" customFormat="1" ht="21.95" customHeight="1" x14ac:dyDescent="0.15"/>
    <row r="11917" spans="3:3" s="9" customFormat="1" ht="21.95" customHeight="1" x14ac:dyDescent="0.15"/>
    <row r="11918" spans="3:3" s="8" customFormat="1" ht="21.95" customHeight="1" x14ac:dyDescent="0.15"/>
    <row r="11919" spans="3:3" s="8" customFormat="1" ht="21.95" customHeight="1" x14ac:dyDescent="0.15"/>
    <row r="11920" spans="3:3" s="8" customFormat="1" ht="21.95" customHeight="1" x14ac:dyDescent="0.15">
      <c r="C11920" s="101"/>
    </row>
    <row r="11921" spans="3:3" s="8" customFormat="1" ht="21.95" customHeight="1" x14ac:dyDescent="0.15">
      <c r="C11921" s="101"/>
    </row>
    <row r="11922" spans="3:3" s="8" customFormat="1" ht="21.95" customHeight="1" x14ac:dyDescent="0.15"/>
    <row r="11923" spans="3:3" s="8" customFormat="1" ht="21.95" customHeight="1" x14ac:dyDescent="0.15"/>
    <row r="11924" spans="3:3" s="8" customFormat="1" ht="21.95" customHeight="1" x14ac:dyDescent="0.15"/>
    <row r="11925" spans="3:3" s="8" customFormat="1" ht="21.95" customHeight="1" x14ac:dyDescent="0.15"/>
    <row r="11926" spans="3:3" s="8" customFormat="1" ht="21.95" customHeight="1" x14ac:dyDescent="0.15"/>
    <row r="11927" spans="3:3" s="8" customFormat="1" ht="21.95" customHeight="1" x14ac:dyDescent="0.15"/>
    <row r="11928" spans="3:3" s="8" customFormat="1" ht="21.95" customHeight="1" x14ac:dyDescent="0.15"/>
    <row r="11929" spans="3:3" s="9" customFormat="1" ht="21.95" customHeight="1" x14ac:dyDescent="0.15"/>
    <row r="11930" spans="3:3" s="9" customFormat="1" ht="21.95" customHeight="1" x14ac:dyDescent="0.15"/>
    <row r="11931" spans="3:3" s="9" customFormat="1" ht="21.95" customHeight="1" x14ac:dyDescent="0.15"/>
    <row r="11932" spans="3:3" s="9" customFormat="1" ht="21.95" customHeight="1" x14ac:dyDescent="0.15"/>
    <row r="11933" spans="3:3" s="8" customFormat="1" ht="21.95" customHeight="1" x14ac:dyDescent="0.15"/>
    <row r="11934" spans="3:3" s="8" customFormat="1" ht="21.95" customHeight="1" x14ac:dyDescent="0.15"/>
    <row r="11935" spans="3:3" s="8" customFormat="1" ht="21.95" customHeight="1" x14ac:dyDescent="0.15"/>
    <row r="11936" spans="3:3" s="8" customFormat="1" ht="21.95" customHeight="1" x14ac:dyDescent="0.15"/>
    <row r="11937" s="8" customFormat="1" ht="21.95" customHeight="1" x14ac:dyDescent="0.15"/>
    <row r="11938" s="8" customFormat="1" ht="21.95" customHeight="1" x14ac:dyDescent="0.15"/>
    <row r="11939" s="8" customFormat="1" ht="21.95" customHeight="1" x14ac:dyDescent="0.15"/>
    <row r="11940" s="8" customFormat="1" ht="21.95" customHeight="1" x14ac:dyDescent="0.15"/>
    <row r="11941" s="8" customFormat="1" ht="21.95" customHeight="1" x14ac:dyDescent="0.15"/>
    <row r="11942" s="8" customFormat="1" ht="21.95" customHeight="1" x14ac:dyDescent="0.15"/>
    <row r="11943" s="8" customFormat="1" ht="21.95" customHeight="1" x14ac:dyDescent="0.15"/>
    <row r="11944" s="8" customFormat="1" ht="32.1" customHeight="1" x14ac:dyDescent="0.15"/>
    <row r="11945" s="8" customFormat="1" ht="32.1" customHeight="1" x14ac:dyDescent="0.15"/>
    <row r="11946" s="8" customFormat="1" ht="32.1" customHeight="1" x14ac:dyDescent="0.15"/>
    <row r="11947" s="8" customFormat="1" ht="32.1" customHeight="1" x14ac:dyDescent="0.15"/>
    <row r="11948" s="8" customFormat="1" ht="32.1" customHeight="1" x14ac:dyDescent="0.15"/>
    <row r="11949" s="8" customFormat="1" ht="32.1" customHeight="1" x14ac:dyDescent="0.15"/>
    <row r="11950" s="9" customFormat="1" ht="32.1" customHeight="1" x14ac:dyDescent="0.15"/>
    <row r="11951" s="9" customFormat="1" ht="32.1" customHeight="1" x14ac:dyDescent="0.15"/>
    <row r="11952" s="9" customFormat="1" ht="32.1" customHeight="1" x14ac:dyDescent="0.15"/>
    <row r="11953" s="9" customFormat="1" ht="32.1" customHeight="1" x14ac:dyDescent="0.15"/>
    <row r="11954" s="9" customFormat="1" ht="21.95" customHeight="1" x14ac:dyDescent="0.15"/>
    <row r="11955" s="9" customFormat="1" ht="54" customHeight="1" x14ac:dyDescent="0.15"/>
    <row r="11956" s="9" customFormat="1" ht="21.95" customHeight="1" x14ac:dyDescent="0.15"/>
    <row r="11957" s="9" customFormat="1" ht="21.95" customHeight="1" x14ac:dyDescent="0.15"/>
    <row r="11958" s="9" customFormat="1" ht="21.95" customHeight="1" x14ac:dyDescent="0.15"/>
    <row r="11959" s="9" customFormat="1" ht="21.95" customHeight="1" x14ac:dyDescent="0.15"/>
    <row r="11960" s="9" customFormat="1" ht="21.95" customHeight="1" x14ac:dyDescent="0.15"/>
    <row r="11961" s="9" customFormat="1" ht="21.95" customHeight="1" x14ac:dyDescent="0.15"/>
    <row r="11962" s="9" customFormat="1" ht="21.95" customHeight="1" x14ac:dyDescent="0.15"/>
    <row r="11963" s="9" customFormat="1" ht="21.95" customHeight="1" x14ac:dyDescent="0.15"/>
    <row r="11964" s="9" customFormat="1" ht="21.95" customHeight="1" x14ac:dyDescent="0.15"/>
    <row r="11965" s="9" customFormat="1" ht="21.95" customHeight="1" x14ac:dyDescent="0.15"/>
    <row r="11966" s="9" customFormat="1" ht="21.95" customHeight="1" x14ac:dyDescent="0.15"/>
    <row r="11967" s="9" customFormat="1" ht="21.95" customHeight="1" x14ac:dyDescent="0.15"/>
    <row r="11968" s="9" customFormat="1" ht="21.95" customHeight="1" x14ac:dyDescent="0.15"/>
    <row r="11969" s="9" customFormat="1" ht="21.95" customHeight="1" x14ac:dyDescent="0.15"/>
    <row r="11970" s="9" customFormat="1" ht="21.95" customHeight="1" x14ac:dyDescent="0.15"/>
    <row r="11971" s="9" customFormat="1" ht="21.95" customHeight="1" x14ac:dyDescent="0.15"/>
    <row r="11972" s="9" customFormat="1" ht="21.95" customHeight="1" x14ac:dyDescent="0.15"/>
    <row r="11973" s="9" customFormat="1" ht="21.95" customHeight="1" x14ac:dyDescent="0.15"/>
    <row r="11974" s="9" customFormat="1" ht="21.95" customHeight="1" x14ac:dyDescent="0.15"/>
    <row r="11975" s="9" customFormat="1" ht="21.95" customHeight="1" x14ac:dyDescent="0.15"/>
    <row r="11976" s="9" customFormat="1" ht="21.95" customHeight="1" x14ac:dyDescent="0.15"/>
    <row r="11977" s="9" customFormat="1" ht="21.95" customHeight="1" x14ac:dyDescent="0.15"/>
    <row r="11978" s="9" customFormat="1" ht="21.95" customHeight="1" x14ac:dyDescent="0.15"/>
    <row r="11979" s="9" customFormat="1" ht="21.95" customHeight="1" x14ac:dyDescent="0.15"/>
    <row r="11980" s="9" customFormat="1" ht="21.95" customHeight="1" x14ac:dyDescent="0.15"/>
    <row r="11981" s="9" customFormat="1" ht="21.95" customHeight="1" x14ac:dyDescent="0.15"/>
    <row r="11982" s="9" customFormat="1" ht="21.95" customHeight="1" x14ac:dyDescent="0.15"/>
    <row r="11983" s="9" customFormat="1" ht="21.95" customHeight="1" x14ac:dyDescent="0.15"/>
    <row r="11984" s="9" customFormat="1" ht="21.95" customHeight="1" x14ac:dyDescent="0.15"/>
    <row r="11985" s="9" customFormat="1" ht="21.95" customHeight="1" x14ac:dyDescent="0.15"/>
    <row r="11986" s="9" customFormat="1" ht="21.95" customHeight="1" x14ac:dyDescent="0.15"/>
    <row r="11987" s="9" customFormat="1" ht="21.95" customHeight="1" x14ac:dyDescent="0.15"/>
    <row r="11988" s="9" customFormat="1" ht="21.95" customHeight="1" x14ac:dyDescent="0.15"/>
    <row r="11989" s="9" customFormat="1" ht="21.95" customHeight="1" x14ac:dyDescent="0.15"/>
    <row r="11990" s="9" customFormat="1" ht="21.95" customHeight="1" x14ac:dyDescent="0.15"/>
    <row r="11991" s="9" customFormat="1" ht="21.95" customHeight="1" x14ac:dyDescent="0.15"/>
    <row r="11992" s="9" customFormat="1" ht="21.95" customHeight="1" x14ac:dyDescent="0.15"/>
    <row r="11993" s="9" customFormat="1" ht="21.95" customHeight="1" x14ac:dyDescent="0.15"/>
    <row r="11994" s="9" customFormat="1" ht="21.95" customHeight="1" x14ac:dyDescent="0.15"/>
    <row r="11995" s="9" customFormat="1" ht="21.95" customHeight="1" x14ac:dyDescent="0.15"/>
    <row r="11996" s="9" customFormat="1" ht="21.95" customHeight="1" x14ac:dyDescent="0.15"/>
    <row r="11997" s="9" customFormat="1" ht="21.95" customHeight="1" x14ac:dyDescent="0.15"/>
    <row r="11998" s="9" customFormat="1" ht="21.95" customHeight="1" x14ac:dyDescent="0.15"/>
    <row r="11999" s="9" customFormat="1" ht="21.95" customHeight="1" x14ac:dyDescent="0.15"/>
    <row r="12000" s="9" customFormat="1" ht="21.95" customHeight="1" x14ac:dyDescent="0.15"/>
    <row r="12001" s="9" customFormat="1" ht="21.95" customHeight="1" x14ac:dyDescent="0.15"/>
    <row r="12002" s="9" customFormat="1" ht="21.95" customHeight="1" x14ac:dyDescent="0.15"/>
    <row r="12003" s="9" customFormat="1" ht="21.95" customHeight="1" x14ac:dyDescent="0.15"/>
    <row r="12004" s="9" customFormat="1" ht="21.95" customHeight="1" x14ac:dyDescent="0.15"/>
    <row r="12005" s="9" customFormat="1" ht="21.95" customHeight="1" x14ac:dyDescent="0.15"/>
    <row r="12006" s="9" customFormat="1" ht="35.1" customHeight="1" x14ac:dyDescent="0.15"/>
    <row r="12007" s="9" customFormat="1" ht="21.95" customHeight="1" x14ac:dyDescent="0.15"/>
    <row r="12008" s="9" customFormat="1" ht="21.95" customHeight="1" x14ac:dyDescent="0.15"/>
    <row r="12009" s="9" customFormat="1" ht="21.95" customHeight="1" x14ac:dyDescent="0.15"/>
    <row r="12010" s="9" customFormat="1" ht="21.95" customHeight="1" x14ac:dyDescent="0.15"/>
    <row r="12011" s="9" customFormat="1" ht="21.95" customHeight="1" x14ac:dyDescent="0.15"/>
    <row r="12012" s="9" customFormat="1" ht="21.95" customHeight="1" x14ac:dyDescent="0.15"/>
    <row r="12013" s="9" customFormat="1" ht="21.95" customHeight="1" x14ac:dyDescent="0.15"/>
    <row r="12014" s="9" customFormat="1" ht="21.95" customHeight="1" x14ac:dyDescent="0.15"/>
    <row r="12015" s="9" customFormat="1" ht="21.95" customHeight="1" x14ac:dyDescent="0.15"/>
    <row r="12016" s="9" customFormat="1" ht="21.95" customHeight="1" x14ac:dyDescent="0.15"/>
    <row r="12017" spans="3:3" s="9" customFormat="1" ht="21.95" customHeight="1" x14ac:dyDescent="0.15"/>
    <row r="12018" spans="3:3" s="9" customFormat="1" ht="21.95" customHeight="1" x14ac:dyDescent="0.15"/>
    <row r="12019" spans="3:3" s="9" customFormat="1" ht="21.95" customHeight="1" x14ac:dyDescent="0.15"/>
    <row r="12020" spans="3:3" s="9" customFormat="1" ht="21.95" customHeight="1" x14ac:dyDescent="0.15"/>
    <row r="12021" spans="3:3" s="9" customFormat="1" ht="21.95" customHeight="1" x14ac:dyDescent="0.15"/>
    <row r="12022" spans="3:3" s="9" customFormat="1" ht="21.95" customHeight="1" x14ac:dyDescent="0.15"/>
    <row r="12023" spans="3:3" s="9" customFormat="1" ht="21.95" customHeight="1" x14ac:dyDescent="0.15"/>
    <row r="12024" spans="3:3" s="9" customFormat="1" ht="21.95" customHeight="1" x14ac:dyDescent="0.15"/>
    <row r="12025" spans="3:3" s="9" customFormat="1" ht="21.95" customHeight="1" x14ac:dyDescent="0.15"/>
    <row r="12026" spans="3:3" s="9" customFormat="1" ht="21.95" customHeight="1" x14ac:dyDescent="0.15"/>
    <row r="12027" spans="3:3" s="9" customFormat="1" ht="21.95" customHeight="1" x14ac:dyDescent="0.15"/>
    <row r="12028" spans="3:3" s="9" customFormat="1" ht="21.95" customHeight="1" x14ac:dyDescent="0.15"/>
    <row r="12029" spans="3:3" s="9" customFormat="1" ht="21.95" customHeight="1" x14ac:dyDescent="0.15"/>
    <row r="12030" spans="3:3" s="8" customFormat="1" ht="21.95" customHeight="1" x14ac:dyDescent="0.15"/>
    <row r="12031" spans="3:3" s="8" customFormat="1" ht="21.95" customHeight="1" x14ac:dyDescent="0.15"/>
    <row r="12032" spans="3:3" s="8" customFormat="1" ht="21.95" customHeight="1" x14ac:dyDescent="0.15">
      <c r="C12032" s="101"/>
    </row>
    <row r="12033" spans="3:3" s="8" customFormat="1" ht="21.95" customHeight="1" x14ac:dyDescent="0.15">
      <c r="C12033" s="101"/>
    </row>
    <row r="12034" spans="3:3" s="8" customFormat="1" ht="21.95" customHeight="1" x14ac:dyDescent="0.15"/>
    <row r="12035" spans="3:3" s="8" customFormat="1" ht="21.95" customHeight="1" x14ac:dyDescent="0.15"/>
    <row r="12036" spans="3:3" s="8" customFormat="1" ht="21.95" customHeight="1" x14ac:dyDescent="0.15"/>
    <row r="12037" spans="3:3" s="8" customFormat="1" ht="21.95" customHeight="1" x14ac:dyDescent="0.15"/>
    <row r="12038" spans="3:3" s="8" customFormat="1" ht="21.95" customHeight="1" x14ac:dyDescent="0.15"/>
    <row r="12039" spans="3:3" s="8" customFormat="1" ht="21.95" customHeight="1" x14ac:dyDescent="0.15"/>
    <row r="12040" spans="3:3" s="8" customFormat="1" ht="21.95" customHeight="1" x14ac:dyDescent="0.15"/>
    <row r="12041" spans="3:3" s="9" customFormat="1" ht="21.95" customHeight="1" x14ac:dyDescent="0.15"/>
    <row r="12042" spans="3:3" s="9" customFormat="1" ht="21.95" customHeight="1" x14ac:dyDescent="0.15"/>
    <row r="12043" spans="3:3" s="9" customFormat="1" ht="21.95" customHeight="1" x14ac:dyDescent="0.15"/>
    <row r="12044" spans="3:3" s="9" customFormat="1" ht="21.95" customHeight="1" x14ac:dyDescent="0.15"/>
    <row r="12045" spans="3:3" s="8" customFormat="1" ht="21.95" customHeight="1" x14ac:dyDescent="0.15"/>
    <row r="12046" spans="3:3" s="8" customFormat="1" ht="21.95" customHeight="1" x14ac:dyDescent="0.15"/>
    <row r="12047" spans="3:3" s="8" customFormat="1" ht="21.95" customHeight="1" x14ac:dyDescent="0.15"/>
    <row r="12048" spans="3:3" s="8" customFormat="1" ht="21.95" customHeight="1" x14ac:dyDescent="0.15"/>
    <row r="12049" s="8" customFormat="1" ht="21.95" customHeight="1" x14ac:dyDescent="0.15"/>
    <row r="12050" s="8" customFormat="1" ht="21.95" customHeight="1" x14ac:dyDescent="0.15"/>
    <row r="12051" s="8" customFormat="1" ht="21.95" customHeight="1" x14ac:dyDescent="0.15"/>
    <row r="12052" s="8" customFormat="1" ht="21.95" customHeight="1" x14ac:dyDescent="0.15"/>
    <row r="12053" s="8" customFormat="1" ht="21.95" customHeight="1" x14ac:dyDescent="0.15"/>
    <row r="12054" s="8" customFormat="1" ht="21.95" customHeight="1" x14ac:dyDescent="0.15"/>
    <row r="12055" s="8" customFormat="1" ht="21.95" customHeight="1" x14ac:dyDescent="0.15"/>
    <row r="12056" s="8" customFormat="1" ht="32.1" customHeight="1" x14ac:dyDescent="0.15"/>
    <row r="12057" s="8" customFormat="1" ht="32.1" customHeight="1" x14ac:dyDescent="0.15"/>
    <row r="12058" s="8" customFormat="1" ht="32.1" customHeight="1" x14ac:dyDescent="0.15"/>
    <row r="12059" s="8" customFormat="1" ht="32.1" customHeight="1" x14ac:dyDescent="0.15"/>
    <row r="12060" s="8" customFormat="1" ht="32.1" customHeight="1" x14ac:dyDescent="0.15"/>
    <row r="12061" s="8" customFormat="1" ht="32.1" customHeight="1" x14ac:dyDescent="0.15"/>
    <row r="12062" s="9" customFormat="1" ht="32.1" customHeight="1" x14ac:dyDescent="0.15"/>
    <row r="12063" s="9" customFormat="1" ht="32.1" customHeight="1" x14ac:dyDescent="0.15"/>
    <row r="12064" s="9" customFormat="1" ht="32.1" customHeight="1" x14ac:dyDescent="0.15"/>
    <row r="12065" s="9" customFormat="1" ht="32.1" customHeight="1" x14ac:dyDescent="0.15"/>
    <row r="12066" s="9" customFormat="1" ht="21.95" customHeight="1" x14ac:dyDescent="0.15"/>
    <row r="12067" s="9" customFormat="1" ht="54" customHeight="1" x14ac:dyDescent="0.15"/>
    <row r="12068" s="9" customFormat="1" ht="21.95" customHeight="1" x14ac:dyDescent="0.15"/>
    <row r="12069" s="9" customFormat="1" ht="21.95" customHeight="1" x14ac:dyDescent="0.15"/>
    <row r="12070" s="9" customFormat="1" ht="21.95" customHeight="1" x14ac:dyDescent="0.15"/>
    <row r="12071" s="9" customFormat="1" ht="21.95" customHeight="1" x14ac:dyDescent="0.15"/>
    <row r="12072" s="9" customFormat="1" ht="21.95" customHeight="1" x14ac:dyDescent="0.15"/>
    <row r="12073" s="9" customFormat="1" ht="21.95" customHeight="1" x14ac:dyDescent="0.15"/>
    <row r="12074" s="9" customFormat="1" ht="21.95" customHeight="1" x14ac:dyDescent="0.15"/>
    <row r="12075" s="9" customFormat="1" ht="21.95" customHeight="1" x14ac:dyDescent="0.15"/>
    <row r="12076" s="9" customFormat="1" ht="21.95" customHeight="1" x14ac:dyDescent="0.15"/>
    <row r="12077" s="9" customFormat="1" ht="21.95" customHeight="1" x14ac:dyDescent="0.15"/>
    <row r="12078" s="9" customFormat="1" ht="21.95" customHeight="1" x14ac:dyDescent="0.15"/>
    <row r="12079" s="9" customFormat="1" ht="21.95" customHeight="1" x14ac:dyDescent="0.15"/>
    <row r="12080" s="9" customFormat="1" ht="21.95" customHeight="1" x14ac:dyDescent="0.15"/>
    <row r="12081" s="9" customFormat="1" ht="21.95" customHeight="1" x14ac:dyDescent="0.15"/>
    <row r="12082" s="9" customFormat="1" ht="21.95" customHeight="1" x14ac:dyDescent="0.15"/>
    <row r="12083" s="9" customFormat="1" ht="21.95" customHeight="1" x14ac:dyDescent="0.15"/>
    <row r="12084" s="9" customFormat="1" ht="21.95" customHeight="1" x14ac:dyDescent="0.15"/>
    <row r="12085" s="9" customFormat="1" ht="21.95" customHeight="1" x14ac:dyDescent="0.15"/>
    <row r="12086" s="9" customFormat="1" ht="21.95" customHeight="1" x14ac:dyDescent="0.15"/>
    <row r="12087" s="9" customFormat="1" ht="21.95" customHeight="1" x14ac:dyDescent="0.15"/>
    <row r="12088" s="9" customFormat="1" ht="21.95" customHeight="1" x14ac:dyDescent="0.15"/>
    <row r="12089" s="9" customFormat="1" ht="21.95" customHeight="1" x14ac:dyDescent="0.15"/>
    <row r="12090" s="9" customFormat="1" ht="21.95" customHeight="1" x14ac:dyDescent="0.15"/>
    <row r="12091" s="9" customFormat="1" ht="21.95" customHeight="1" x14ac:dyDescent="0.15"/>
    <row r="12092" s="9" customFormat="1" ht="21.95" customHeight="1" x14ac:dyDescent="0.15"/>
    <row r="12093" s="9" customFormat="1" ht="21.95" customHeight="1" x14ac:dyDescent="0.15"/>
    <row r="12094" s="9" customFormat="1" ht="21.95" customHeight="1" x14ac:dyDescent="0.15"/>
    <row r="12095" s="9" customFormat="1" ht="21.95" customHeight="1" x14ac:dyDescent="0.15"/>
    <row r="12096" s="9" customFormat="1" ht="21.95" customHeight="1" x14ac:dyDescent="0.15"/>
    <row r="12097" s="9" customFormat="1" ht="21.95" customHeight="1" x14ac:dyDescent="0.15"/>
    <row r="12098" s="9" customFormat="1" ht="21.95" customHeight="1" x14ac:dyDescent="0.15"/>
    <row r="12099" s="9" customFormat="1" ht="21.95" customHeight="1" x14ac:dyDescent="0.15"/>
    <row r="12100" s="9" customFormat="1" ht="21.95" customHeight="1" x14ac:dyDescent="0.15"/>
    <row r="12101" s="9" customFormat="1" ht="21.95" customHeight="1" x14ac:dyDescent="0.15"/>
    <row r="12102" s="9" customFormat="1" ht="21.95" customHeight="1" x14ac:dyDescent="0.15"/>
    <row r="12103" s="9" customFormat="1" ht="21.95" customHeight="1" x14ac:dyDescent="0.15"/>
    <row r="12104" s="9" customFormat="1" ht="21.95" customHeight="1" x14ac:dyDescent="0.15"/>
    <row r="12105" s="9" customFormat="1" ht="21.95" customHeight="1" x14ac:dyDescent="0.15"/>
    <row r="12106" s="9" customFormat="1" ht="21.95" customHeight="1" x14ac:dyDescent="0.15"/>
    <row r="12107" s="9" customFormat="1" ht="21.95" customHeight="1" x14ac:dyDescent="0.15"/>
    <row r="12108" s="9" customFormat="1" ht="21.95" customHeight="1" x14ac:dyDescent="0.15"/>
    <row r="12109" s="9" customFormat="1" ht="21.95" customHeight="1" x14ac:dyDescent="0.15"/>
    <row r="12110" s="9" customFormat="1" ht="21.95" customHeight="1" x14ac:dyDescent="0.15"/>
    <row r="12111" s="9" customFormat="1" ht="21.95" customHeight="1" x14ac:dyDescent="0.15"/>
    <row r="12112" s="9" customFormat="1" ht="21.95" customHeight="1" x14ac:dyDescent="0.15"/>
    <row r="12113" s="9" customFormat="1" ht="21.95" customHeight="1" x14ac:dyDescent="0.15"/>
    <row r="12114" s="9" customFormat="1" ht="21.95" customHeight="1" x14ac:dyDescent="0.15"/>
    <row r="12115" s="9" customFormat="1" ht="21.95" customHeight="1" x14ac:dyDescent="0.15"/>
    <row r="12116" s="9" customFormat="1" ht="21.95" customHeight="1" x14ac:dyDescent="0.15"/>
    <row r="12117" s="9" customFormat="1" ht="21.95" customHeight="1" x14ac:dyDescent="0.15"/>
    <row r="12118" s="9" customFormat="1" ht="35.1" customHeight="1" x14ac:dyDescent="0.15"/>
    <row r="12119" s="9" customFormat="1" ht="21.95" customHeight="1" x14ac:dyDescent="0.15"/>
    <row r="12120" s="9" customFormat="1" ht="21.95" customHeight="1" x14ac:dyDescent="0.15"/>
    <row r="12121" s="9" customFormat="1" ht="21.95" customHeight="1" x14ac:dyDescent="0.15"/>
    <row r="12122" s="9" customFormat="1" ht="21.95" customHeight="1" x14ac:dyDescent="0.15"/>
    <row r="12123" s="9" customFormat="1" ht="21.95" customHeight="1" x14ac:dyDescent="0.15"/>
    <row r="12124" s="9" customFormat="1" ht="21.95" customHeight="1" x14ac:dyDescent="0.15"/>
    <row r="12125" s="9" customFormat="1" ht="21.95" customHeight="1" x14ac:dyDescent="0.15"/>
    <row r="12126" s="9" customFormat="1" ht="21.95" customHeight="1" x14ac:dyDescent="0.15"/>
    <row r="12127" s="9" customFormat="1" ht="21.95" customHeight="1" x14ac:dyDescent="0.15"/>
    <row r="12128" s="9" customFormat="1" ht="21.95" customHeight="1" x14ac:dyDescent="0.15"/>
    <row r="12129" spans="3:3" s="9" customFormat="1" ht="21.95" customHeight="1" x14ac:dyDescent="0.15"/>
    <row r="12130" spans="3:3" s="9" customFormat="1" ht="21.95" customHeight="1" x14ac:dyDescent="0.15"/>
    <row r="12131" spans="3:3" s="9" customFormat="1" ht="21.95" customHeight="1" x14ac:dyDescent="0.15"/>
    <row r="12132" spans="3:3" s="9" customFormat="1" ht="21.95" customHeight="1" x14ac:dyDescent="0.15"/>
    <row r="12133" spans="3:3" s="9" customFormat="1" ht="21.95" customHeight="1" x14ac:dyDescent="0.15"/>
    <row r="12134" spans="3:3" s="9" customFormat="1" ht="21.95" customHeight="1" x14ac:dyDescent="0.15"/>
    <row r="12135" spans="3:3" s="9" customFormat="1" ht="21.95" customHeight="1" x14ac:dyDescent="0.15"/>
    <row r="12136" spans="3:3" s="9" customFormat="1" ht="21.95" customHeight="1" x14ac:dyDescent="0.15"/>
    <row r="12137" spans="3:3" s="9" customFormat="1" ht="21.95" customHeight="1" x14ac:dyDescent="0.15"/>
    <row r="12138" spans="3:3" s="9" customFormat="1" ht="21.95" customHeight="1" x14ac:dyDescent="0.15"/>
    <row r="12139" spans="3:3" s="9" customFormat="1" ht="21.95" customHeight="1" x14ac:dyDescent="0.15"/>
    <row r="12140" spans="3:3" s="9" customFormat="1" ht="21.95" customHeight="1" x14ac:dyDescent="0.15"/>
    <row r="12141" spans="3:3" s="9" customFormat="1" ht="21.95" customHeight="1" x14ac:dyDescent="0.15"/>
    <row r="12142" spans="3:3" s="8" customFormat="1" ht="21.95" customHeight="1" x14ac:dyDescent="0.15"/>
    <row r="12143" spans="3:3" s="8" customFormat="1" ht="21.95" customHeight="1" x14ac:dyDescent="0.15"/>
    <row r="12144" spans="3:3" s="8" customFormat="1" ht="21.95" customHeight="1" x14ac:dyDescent="0.15">
      <c r="C12144" s="101"/>
    </row>
    <row r="12145" spans="3:3" s="8" customFormat="1" ht="21.95" customHeight="1" x14ac:dyDescent="0.15">
      <c r="C12145" s="101"/>
    </row>
    <row r="12146" spans="3:3" s="8" customFormat="1" ht="21.95" customHeight="1" x14ac:dyDescent="0.15"/>
    <row r="12147" spans="3:3" s="8" customFormat="1" ht="21.95" customHeight="1" x14ac:dyDescent="0.15"/>
    <row r="12148" spans="3:3" s="8" customFormat="1" ht="21.95" customHeight="1" x14ac:dyDescent="0.15"/>
    <row r="12149" spans="3:3" s="8" customFormat="1" ht="21.95" customHeight="1" x14ac:dyDescent="0.15"/>
    <row r="12150" spans="3:3" s="8" customFormat="1" ht="21.95" customHeight="1" x14ac:dyDescent="0.15"/>
    <row r="12151" spans="3:3" s="8" customFormat="1" ht="21.95" customHeight="1" x14ac:dyDescent="0.15"/>
    <row r="12152" spans="3:3" s="8" customFormat="1" ht="21.95" customHeight="1" x14ac:dyDescent="0.15"/>
    <row r="12153" spans="3:3" s="9" customFormat="1" ht="21.95" customHeight="1" x14ac:dyDescent="0.15"/>
    <row r="12154" spans="3:3" s="9" customFormat="1" ht="21.95" customHeight="1" x14ac:dyDescent="0.15"/>
    <row r="12155" spans="3:3" s="9" customFormat="1" ht="21.95" customHeight="1" x14ac:dyDescent="0.15"/>
    <row r="12156" spans="3:3" s="9" customFormat="1" ht="21.95" customHeight="1" x14ac:dyDescent="0.15"/>
    <row r="12157" spans="3:3" s="8" customFormat="1" ht="21.95" customHeight="1" x14ac:dyDescent="0.15"/>
    <row r="12158" spans="3:3" s="8" customFormat="1" ht="21.95" customHeight="1" x14ac:dyDescent="0.15"/>
    <row r="12159" spans="3:3" s="8" customFormat="1" ht="21.95" customHeight="1" x14ac:dyDescent="0.15"/>
    <row r="12160" spans="3:3" s="8" customFormat="1" ht="21.95" customHeight="1" x14ac:dyDescent="0.15"/>
    <row r="12161" s="8" customFormat="1" ht="21.95" customHeight="1" x14ac:dyDescent="0.15"/>
    <row r="12162" s="8" customFormat="1" ht="21.95" customHeight="1" x14ac:dyDescent="0.15"/>
    <row r="12163" s="8" customFormat="1" ht="21.95" customHeight="1" x14ac:dyDescent="0.15"/>
    <row r="12164" s="8" customFormat="1" ht="21.95" customHeight="1" x14ac:dyDescent="0.15"/>
    <row r="12165" s="8" customFormat="1" ht="21.95" customHeight="1" x14ac:dyDescent="0.15"/>
    <row r="12166" s="8" customFormat="1" ht="21.95" customHeight="1" x14ac:dyDescent="0.15"/>
    <row r="12167" s="8" customFormat="1" ht="21.95" customHeight="1" x14ac:dyDescent="0.15"/>
    <row r="12168" s="8" customFormat="1" ht="32.1" customHeight="1" x14ac:dyDescent="0.15"/>
    <row r="12169" s="8" customFormat="1" ht="32.1" customHeight="1" x14ac:dyDescent="0.15"/>
    <row r="12170" s="8" customFormat="1" ht="32.1" customHeight="1" x14ac:dyDescent="0.15"/>
    <row r="12171" s="8" customFormat="1" ht="32.1" customHeight="1" x14ac:dyDescent="0.15"/>
    <row r="12172" s="8" customFormat="1" ht="32.1" customHeight="1" x14ac:dyDescent="0.15"/>
    <row r="12173" s="8" customFormat="1" ht="32.1" customHeight="1" x14ac:dyDescent="0.15"/>
    <row r="12174" s="9" customFormat="1" ht="32.1" customHeight="1" x14ac:dyDescent="0.15"/>
    <row r="12175" s="9" customFormat="1" ht="32.1" customHeight="1" x14ac:dyDescent="0.15"/>
    <row r="12176" s="9" customFormat="1" ht="32.1" customHeight="1" x14ac:dyDescent="0.15"/>
    <row r="12177" s="9" customFormat="1" ht="32.1" customHeight="1" x14ac:dyDescent="0.15"/>
    <row r="12178" s="9" customFormat="1" ht="21.95" customHeight="1" x14ac:dyDescent="0.15"/>
    <row r="12179" s="9" customFormat="1" ht="54" customHeight="1" x14ac:dyDescent="0.15"/>
    <row r="12180" s="9" customFormat="1" ht="21.95" customHeight="1" x14ac:dyDescent="0.15"/>
    <row r="12181" s="9" customFormat="1" ht="21.95" customHeight="1" x14ac:dyDescent="0.15"/>
    <row r="12182" s="9" customFormat="1" ht="21.95" customHeight="1" x14ac:dyDescent="0.15"/>
    <row r="12183" s="9" customFormat="1" ht="21.95" customHeight="1" x14ac:dyDescent="0.15"/>
    <row r="12184" s="9" customFormat="1" ht="21.95" customHeight="1" x14ac:dyDescent="0.15"/>
    <row r="12185" s="9" customFormat="1" ht="21.95" customHeight="1" x14ac:dyDescent="0.15"/>
    <row r="12186" s="9" customFormat="1" ht="21.95" customHeight="1" x14ac:dyDescent="0.15"/>
    <row r="12187" s="9" customFormat="1" ht="21.95" customHeight="1" x14ac:dyDescent="0.15"/>
    <row r="12188" s="9" customFormat="1" ht="21.95" customHeight="1" x14ac:dyDescent="0.15"/>
    <row r="12189" s="9" customFormat="1" ht="21.95" customHeight="1" x14ac:dyDescent="0.15"/>
    <row r="12190" s="9" customFormat="1" ht="21.95" customHeight="1" x14ac:dyDescent="0.15"/>
    <row r="12191" s="9" customFormat="1" ht="21.95" customHeight="1" x14ac:dyDescent="0.15"/>
    <row r="12192" s="9" customFormat="1" ht="21.95" customHeight="1" x14ac:dyDescent="0.15"/>
    <row r="12193" s="9" customFormat="1" ht="21.95" customHeight="1" x14ac:dyDescent="0.15"/>
    <row r="12194" s="9" customFormat="1" ht="21.95" customHeight="1" x14ac:dyDescent="0.15"/>
    <row r="12195" s="9" customFormat="1" ht="21.95" customHeight="1" x14ac:dyDescent="0.15"/>
    <row r="12196" s="9" customFormat="1" ht="21.95" customHeight="1" x14ac:dyDescent="0.15"/>
    <row r="12197" s="9" customFormat="1" ht="21.95" customHeight="1" x14ac:dyDescent="0.15"/>
    <row r="12198" s="9" customFormat="1" ht="21.95" customHeight="1" x14ac:dyDescent="0.15"/>
    <row r="12199" s="9" customFormat="1" ht="21.95" customHeight="1" x14ac:dyDescent="0.15"/>
    <row r="12200" s="9" customFormat="1" ht="21.95" customHeight="1" x14ac:dyDescent="0.15"/>
    <row r="12201" s="9" customFormat="1" ht="21.95" customHeight="1" x14ac:dyDescent="0.15"/>
    <row r="12202" s="9" customFormat="1" ht="21.95" customHeight="1" x14ac:dyDescent="0.15"/>
    <row r="12203" s="9" customFormat="1" ht="21.95" customHeight="1" x14ac:dyDescent="0.15"/>
    <row r="12204" s="9" customFormat="1" ht="21.95" customHeight="1" x14ac:dyDescent="0.15"/>
    <row r="12205" s="9" customFormat="1" ht="21.95" customHeight="1" x14ac:dyDescent="0.15"/>
    <row r="12206" s="9" customFormat="1" ht="21.95" customHeight="1" x14ac:dyDescent="0.15"/>
    <row r="12207" s="9" customFormat="1" ht="21.95" customHeight="1" x14ac:dyDescent="0.15"/>
    <row r="12208" s="9" customFormat="1" ht="21.95" customHeight="1" x14ac:dyDescent="0.15"/>
    <row r="12209" s="9" customFormat="1" ht="21.95" customHeight="1" x14ac:dyDescent="0.15"/>
    <row r="12210" s="9" customFormat="1" ht="21.95" customHeight="1" x14ac:dyDescent="0.15"/>
    <row r="12211" s="9" customFormat="1" ht="21.95" customHeight="1" x14ac:dyDescent="0.15"/>
    <row r="12212" s="9" customFormat="1" ht="21.95" customHeight="1" x14ac:dyDescent="0.15"/>
    <row r="12213" s="9" customFormat="1" ht="21.95" customHeight="1" x14ac:dyDescent="0.15"/>
    <row r="12214" s="9" customFormat="1" ht="21.95" customHeight="1" x14ac:dyDescent="0.15"/>
    <row r="12215" s="9" customFormat="1" ht="21.95" customHeight="1" x14ac:dyDescent="0.15"/>
    <row r="12216" s="9" customFormat="1" ht="21.95" customHeight="1" x14ac:dyDescent="0.15"/>
    <row r="12217" s="9" customFormat="1" ht="21.95" customHeight="1" x14ac:dyDescent="0.15"/>
    <row r="12218" s="9" customFormat="1" ht="21.95" customHeight="1" x14ac:dyDescent="0.15"/>
    <row r="12219" s="9" customFormat="1" ht="21.95" customHeight="1" x14ac:dyDescent="0.15"/>
    <row r="12220" s="9" customFormat="1" ht="21.95" customHeight="1" x14ac:dyDescent="0.15"/>
    <row r="12221" s="9" customFormat="1" ht="21.95" customHeight="1" x14ac:dyDescent="0.15"/>
    <row r="12222" s="9" customFormat="1" ht="21.95" customHeight="1" x14ac:dyDescent="0.15"/>
    <row r="12223" s="9" customFormat="1" ht="21.95" customHeight="1" x14ac:dyDescent="0.15"/>
    <row r="12224" s="9" customFormat="1" ht="21.95" customHeight="1" x14ac:dyDescent="0.15"/>
    <row r="12225" s="9" customFormat="1" ht="21.95" customHeight="1" x14ac:dyDescent="0.15"/>
    <row r="12226" s="9" customFormat="1" ht="21.95" customHeight="1" x14ac:dyDescent="0.15"/>
    <row r="12227" s="9" customFormat="1" ht="21.95" customHeight="1" x14ac:dyDescent="0.15"/>
    <row r="12228" s="9" customFormat="1" ht="21.95" customHeight="1" x14ac:dyDescent="0.15"/>
    <row r="12229" s="9" customFormat="1" ht="21.95" customHeight="1" x14ac:dyDescent="0.15"/>
    <row r="12230" s="9" customFormat="1" ht="35.1" customHeight="1" x14ac:dyDescent="0.15"/>
    <row r="12231" s="9" customFormat="1" ht="21.95" customHeight="1" x14ac:dyDescent="0.15"/>
    <row r="12232" s="9" customFormat="1" ht="21.95" customHeight="1" x14ac:dyDescent="0.15"/>
    <row r="12233" s="9" customFormat="1" ht="21.95" customHeight="1" x14ac:dyDescent="0.15"/>
    <row r="12234" s="9" customFormat="1" ht="21.95" customHeight="1" x14ac:dyDescent="0.15"/>
    <row r="12235" s="9" customFormat="1" ht="21.95" customHeight="1" x14ac:dyDescent="0.15"/>
    <row r="12236" s="9" customFormat="1" ht="21.95" customHeight="1" x14ac:dyDescent="0.15"/>
    <row r="12237" s="9" customFormat="1" ht="21.95" customHeight="1" x14ac:dyDescent="0.15"/>
    <row r="12238" s="9" customFormat="1" ht="21.95" customHeight="1" x14ac:dyDescent="0.15"/>
    <row r="12239" s="9" customFormat="1" ht="21.95" customHeight="1" x14ac:dyDescent="0.15"/>
    <row r="12240" s="9" customFormat="1" ht="21.95" customHeight="1" x14ac:dyDescent="0.15"/>
    <row r="12241" spans="3:3" s="9" customFormat="1" ht="21.95" customHeight="1" x14ac:dyDescent="0.15"/>
    <row r="12242" spans="3:3" s="9" customFormat="1" ht="21.95" customHeight="1" x14ac:dyDescent="0.15"/>
    <row r="12243" spans="3:3" s="9" customFormat="1" ht="21.95" customHeight="1" x14ac:dyDescent="0.15"/>
    <row r="12244" spans="3:3" s="9" customFormat="1" ht="21.95" customHeight="1" x14ac:dyDescent="0.15"/>
    <row r="12245" spans="3:3" s="9" customFormat="1" ht="21.95" customHeight="1" x14ac:dyDescent="0.15"/>
    <row r="12246" spans="3:3" s="9" customFormat="1" ht="21.95" customHeight="1" x14ac:dyDescent="0.15"/>
    <row r="12247" spans="3:3" s="9" customFormat="1" ht="21.95" customHeight="1" x14ac:dyDescent="0.15"/>
    <row r="12248" spans="3:3" s="9" customFormat="1" ht="21.95" customHeight="1" x14ac:dyDescent="0.15"/>
    <row r="12249" spans="3:3" s="9" customFormat="1" ht="21.95" customHeight="1" x14ac:dyDescent="0.15"/>
    <row r="12250" spans="3:3" s="9" customFormat="1" ht="21.95" customHeight="1" x14ac:dyDescent="0.15"/>
    <row r="12251" spans="3:3" s="9" customFormat="1" ht="21.95" customHeight="1" x14ac:dyDescent="0.15"/>
    <row r="12252" spans="3:3" s="9" customFormat="1" ht="21.95" customHeight="1" x14ac:dyDescent="0.15"/>
    <row r="12253" spans="3:3" s="9" customFormat="1" ht="21.95" customHeight="1" x14ac:dyDescent="0.15"/>
    <row r="12254" spans="3:3" s="8" customFormat="1" ht="21.95" customHeight="1" x14ac:dyDescent="0.15"/>
    <row r="12255" spans="3:3" s="8" customFormat="1" ht="21.95" customHeight="1" x14ac:dyDescent="0.15"/>
    <row r="12256" spans="3:3" s="8" customFormat="1" ht="21.95" customHeight="1" x14ac:dyDescent="0.15">
      <c r="C12256" s="101"/>
    </row>
    <row r="12257" spans="3:3" s="8" customFormat="1" ht="21.95" customHeight="1" x14ac:dyDescent="0.15">
      <c r="C12257" s="101"/>
    </row>
    <row r="12258" spans="3:3" s="8" customFormat="1" ht="21.95" customHeight="1" x14ac:dyDescent="0.15"/>
    <row r="12259" spans="3:3" s="8" customFormat="1" ht="21.95" customHeight="1" x14ac:dyDescent="0.15"/>
    <row r="12260" spans="3:3" s="8" customFormat="1" ht="21.95" customHeight="1" x14ac:dyDescent="0.15"/>
    <row r="12261" spans="3:3" s="8" customFormat="1" ht="21.95" customHeight="1" x14ac:dyDescent="0.15"/>
    <row r="12262" spans="3:3" s="8" customFormat="1" ht="21.95" customHeight="1" x14ac:dyDescent="0.15"/>
    <row r="12263" spans="3:3" s="8" customFormat="1" ht="21.95" customHeight="1" x14ac:dyDescent="0.15"/>
    <row r="12264" spans="3:3" s="8" customFormat="1" ht="21.95" customHeight="1" x14ac:dyDescent="0.15"/>
    <row r="12265" spans="3:3" s="9" customFormat="1" ht="21.95" customHeight="1" x14ac:dyDescent="0.15"/>
    <row r="12266" spans="3:3" s="9" customFormat="1" ht="21.95" customHeight="1" x14ac:dyDescent="0.15"/>
    <row r="12267" spans="3:3" s="9" customFormat="1" ht="21.95" customHeight="1" x14ac:dyDescent="0.15"/>
    <row r="12268" spans="3:3" s="9" customFormat="1" ht="21.95" customHeight="1" x14ac:dyDescent="0.15"/>
    <row r="12269" spans="3:3" s="8" customFormat="1" ht="21.95" customHeight="1" x14ac:dyDescent="0.15"/>
    <row r="12270" spans="3:3" s="8" customFormat="1" ht="21.95" customHeight="1" x14ac:dyDescent="0.15"/>
    <row r="12271" spans="3:3" s="8" customFormat="1" ht="21.95" customHeight="1" x14ac:dyDescent="0.15"/>
    <row r="12272" spans="3:3" s="8" customFormat="1" ht="21.95" customHeight="1" x14ac:dyDescent="0.15"/>
    <row r="12273" s="8" customFormat="1" ht="21.95" customHeight="1" x14ac:dyDescent="0.15"/>
    <row r="12274" s="8" customFormat="1" ht="21.95" customHeight="1" x14ac:dyDescent="0.15"/>
    <row r="12275" s="8" customFormat="1" ht="21.95" customHeight="1" x14ac:dyDescent="0.15"/>
    <row r="12276" s="8" customFormat="1" ht="21.95" customHeight="1" x14ac:dyDescent="0.15"/>
    <row r="12277" s="8" customFormat="1" ht="21.95" customHeight="1" x14ac:dyDescent="0.15"/>
    <row r="12278" s="8" customFormat="1" ht="21.95" customHeight="1" x14ac:dyDescent="0.15"/>
    <row r="12279" s="8" customFormat="1" ht="21.95" customHeight="1" x14ac:dyDescent="0.15"/>
    <row r="12280" s="8" customFormat="1" ht="32.1" customHeight="1" x14ac:dyDescent="0.15"/>
    <row r="12281" s="8" customFormat="1" ht="32.1" customHeight="1" x14ac:dyDescent="0.15"/>
    <row r="12282" s="8" customFormat="1" ht="32.1" customHeight="1" x14ac:dyDescent="0.15"/>
    <row r="12283" s="8" customFormat="1" ht="32.1" customHeight="1" x14ac:dyDescent="0.15"/>
    <row r="12284" s="8" customFormat="1" ht="32.1" customHeight="1" x14ac:dyDescent="0.15"/>
    <row r="12285" s="8" customFormat="1" ht="32.1" customHeight="1" x14ac:dyDescent="0.15"/>
    <row r="12286" s="9" customFormat="1" ht="32.1" customHeight="1" x14ac:dyDescent="0.15"/>
    <row r="12287" s="9" customFormat="1" ht="32.1" customHeight="1" x14ac:dyDescent="0.15"/>
    <row r="12288" s="9" customFormat="1" ht="32.1" customHeight="1" x14ac:dyDescent="0.15"/>
    <row r="12289" s="9" customFormat="1" ht="32.1" customHeight="1" x14ac:dyDescent="0.15"/>
    <row r="12290" s="9" customFormat="1" ht="21.95" customHeight="1" x14ac:dyDescent="0.15"/>
    <row r="12291" s="9" customFormat="1" ht="54" customHeight="1" x14ac:dyDescent="0.15"/>
    <row r="12292" s="9" customFormat="1" ht="21.95" customHeight="1" x14ac:dyDescent="0.15"/>
    <row r="12293" s="9" customFormat="1" ht="21.95" customHeight="1" x14ac:dyDescent="0.15"/>
    <row r="12294" s="9" customFormat="1" ht="21.95" customHeight="1" x14ac:dyDescent="0.15"/>
    <row r="12295" s="9" customFormat="1" ht="21.95" customHeight="1" x14ac:dyDescent="0.15"/>
    <row r="12296" s="9" customFormat="1" ht="21.95" customHeight="1" x14ac:dyDescent="0.15"/>
    <row r="12297" s="9" customFormat="1" ht="21.95" customHeight="1" x14ac:dyDescent="0.15"/>
    <row r="12298" s="9" customFormat="1" ht="21.95" customHeight="1" x14ac:dyDescent="0.15"/>
    <row r="12299" s="9" customFormat="1" ht="21.95" customHeight="1" x14ac:dyDescent="0.15"/>
    <row r="12300" s="9" customFormat="1" ht="21.95" customHeight="1" x14ac:dyDescent="0.15"/>
    <row r="12301" s="9" customFormat="1" ht="21.95" customHeight="1" x14ac:dyDescent="0.15"/>
    <row r="12302" s="9" customFormat="1" ht="21.95" customHeight="1" x14ac:dyDescent="0.15"/>
    <row r="12303" s="9" customFormat="1" ht="21.95" customHeight="1" x14ac:dyDescent="0.15"/>
    <row r="12304" s="9" customFormat="1" ht="21.95" customHeight="1" x14ac:dyDescent="0.15"/>
    <row r="12305" s="9" customFormat="1" ht="21.95" customHeight="1" x14ac:dyDescent="0.15"/>
    <row r="12306" s="9" customFormat="1" ht="21.95" customHeight="1" x14ac:dyDescent="0.15"/>
    <row r="12307" s="9" customFormat="1" ht="21.95" customHeight="1" x14ac:dyDescent="0.15"/>
    <row r="12308" s="9" customFormat="1" ht="21.95" customHeight="1" x14ac:dyDescent="0.15"/>
    <row r="12309" s="9" customFormat="1" ht="21.95" customHeight="1" x14ac:dyDescent="0.15"/>
    <row r="12310" s="9" customFormat="1" ht="21.95" customHeight="1" x14ac:dyDescent="0.15"/>
    <row r="12311" s="9" customFormat="1" ht="21.95" customHeight="1" x14ac:dyDescent="0.15"/>
    <row r="12312" s="9" customFormat="1" ht="21.95" customHeight="1" x14ac:dyDescent="0.15"/>
    <row r="12313" s="9" customFormat="1" ht="21.95" customHeight="1" x14ac:dyDescent="0.15"/>
    <row r="12314" s="9" customFormat="1" ht="21.95" customHeight="1" x14ac:dyDescent="0.15"/>
    <row r="12315" s="9" customFormat="1" ht="21.95" customHeight="1" x14ac:dyDescent="0.15"/>
    <row r="12316" s="9" customFormat="1" ht="21.95" customHeight="1" x14ac:dyDescent="0.15"/>
    <row r="12317" s="9" customFormat="1" ht="21.95" customHeight="1" x14ac:dyDescent="0.15"/>
    <row r="12318" s="9" customFormat="1" ht="21.95" customHeight="1" x14ac:dyDescent="0.15"/>
    <row r="12319" s="9" customFormat="1" ht="21.95" customHeight="1" x14ac:dyDescent="0.15"/>
    <row r="12320" s="9" customFormat="1" ht="21.95" customHeight="1" x14ac:dyDescent="0.15"/>
    <row r="12321" s="9" customFormat="1" ht="21.95" customHeight="1" x14ac:dyDescent="0.15"/>
    <row r="12322" s="9" customFormat="1" ht="21.95" customHeight="1" x14ac:dyDescent="0.15"/>
    <row r="12323" s="9" customFormat="1" ht="21.95" customHeight="1" x14ac:dyDescent="0.15"/>
    <row r="12324" s="9" customFormat="1" ht="21.95" customHeight="1" x14ac:dyDescent="0.15"/>
    <row r="12325" s="9" customFormat="1" ht="21.95" customHeight="1" x14ac:dyDescent="0.15"/>
    <row r="12326" s="9" customFormat="1" ht="21.95" customHeight="1" x14ac:dyDescent="0.15"/>
    <row r="12327" s="9" customFormat="1" ht="21.95" customHeight="1" x14ac:dyDescent="0.15"/>
    <row r="12328" s="9" customFormat="1" ht="21.95" customHeight="1" x14ac:dyDescent="0.15"/>
    <row r="12329" s="9" customFormat="1" ht="21.95" customHeight="1" x14ac:dyDescent="0.15"/>
    <row r="12330" s="9" customFormat="1" ht="21.95" customHeight="1" x14ac:dyDescent="0.15"/>
    <row r="12331" s="9" customFormat="1" ht="21.95" customHeight="1" x14ac:dyDescent="0.15"/>
    <row r="12332" s="9" customFormat="1" ht="21.95" customHeight="1" x14ac:dyDescent="0.15"/>
    <row r="12333" s="9" customFormat="1" ht="21.95" customHeight="1" x14ac:dyDescent="0.15"/>
    <row r="12334" s="9" customFormat="1" ht="21.95" customHeight="1" x14ac:dyDescent="0.15"/>
    <row r="12335" s="9" customFormat="1" ht="21.95" customHeight="1" x14ac:dyDescent="0.15"/>
    <row r="12336" s="9" customFormat="1" ht="21.95" customHeight="1" x14ac:dyDescent="0.15"/>
    <row r="12337" s="9" customFormat="1" ht="21.95" customHeight="1" x14ac:dyDescent="0.15"/>
    <row r="12338" s="9" customFormat="1" ht="21.95" customHeight="1" x14ac:dyDescent="0.15"/>
    <row r="12339" s="9" customFormat="1" ht="21.95" customHeight="1" x14ac:dyDescent="0.15"/>
    <row r="12340" s="9" customFormat="1" ht="21.95" customHeight="1" x14ac:dyDescent="0.15"/>
    <row r="12341" s="9" customFormat="1" ht="21.95" customHeight="1" x14ac:dyDescent="0.15"/>
    <row r="12342" s="9" customFormat="1" ht="35.1" customHeight="1" x14ac:dyDescent="0.15"/>
    <row r="12343" s="9" customFormat="1" ht="21.95" customHeight="1" x14ac:dyDescent="0.15"/>
    <row r="12344" s="9" customFormat="1" ht="21.95" customHeight="1" x14ac:dyDescent="0.15"/>
    <row r="12345" s="9" customFormat="1" ht="21.95" customHeight="1" x14ac:dyDescent="0.15"/>
    <row r="12346" s="9" customFormat="1" ht="21.95" customHeight="1" x14ac:dyDescent="0.15"/>
    <row r="12347" s="9" customFormat="1" ht="21.95" customHeight="1" x14ac:dyDescent="0.15"/>
    <row r="12348" s="9" customFormat="1" ht="21.95" customHeight="1" x14ac:dyDescent="0.15"/>
    <row r="12349" s="9" customFormat="1" ht="21.95" customHeight="1" x14ac:dyDescent="0.15"/>
    <row r="12350" s="9" customFormat="1" ht="21.95" customHeight="1" x14ac:dyDescent="0.15"/>
    <row r="12351" s="9" customFormat="1" ht="21.95" customHeight="1" x14ac:dyDescent="0.15"/>
    <row r="12352" s="9" customFormat="1" ht="21.95" customHeight="1" x14ac:dyDescent="0.15"/>
    <row r="12353" spans="3:3" s="9" customFormat="1" ht="21.95" customHeight="1" x14ac:dyDescent="0.15"/>
    <row r="12354" spans="3:3" s="9" customFormat="1" ht="21.95" customHeight="1" x14ac:dyDescent="0.15"/>
    <row r="12355" spans="3:3" s="9" customFormat="1" ht="21.95" customHeight="1" x14ac:dyDescent="0.15"/>
    <row r="12356" spans="3:3" s="9" customFormat="1" ht="21.95" customHeight="1" x14ac:dyDescent="0.15"/>
    <row r="12357" spans="3:3" s="9" customFormat="1" ht="21.95" customHeight="1" x14ac:dyDescent="0.15"/>
    <row r="12358" spans="3:3" s="9" customFormat="1" ht="21.95" customHeight="1" x14ac:dyDescent="0.15"/>
    <row r="12359" spans="3:3" s="9" customFormat="1" ht="21.95" customHeight="1" x14ac:dyDescent="0.15"/>
    <row r="12360" spans="3:3" s="9" customFormat="1" ht="21.95" customHeight="1" x14ac:dyDescent="0.15"/>
    <row r="12361" spans="3:3" s="9" customFormat="1" ht="21.95" customHeight="1" x14ac:dyDescent="0.15"/>
    <row r="12362" spans="3:3" s="9" customFormat="1" ht="21.95" customHeight="1" x14ac:dyDescent="0.15"/>
    <row r="12363" spans="3:3" s="9" customFormat="1" ht="21.95" customHeight="1" x14ac:dyDescent="0.15"/>
    <row r="12364" spans="3:3" s="9" customFormat="1" ht="21.95" customHeight="1" x14ac:dyDescent="0.15"/>
    <row r="12365" spans="3:3" s="9" customFormat="1" ht="21.95" customHeight="1" x14ac:dyDescent="0.15"/>
    <row r="12366" spans="3:3" s="8" customFormat="1" ht="21.95" customHeight="1" x14ac:dyDescent="0.15"/>
    <row r="12367" spans="3:3" s="8" customFormat="1" ht="21.95" customHeight="1" x14ac:dyDescent="0.15"/>
    <row r="12368" spans="3:3" s="8" customFormat="1" ht="21.95" customHeight="1" x14ac:dyDescent="0.15">
      <c r="C12368" s="101"/>
    </row>
    <row r="12369" spans="3:3" s="8" customFormat="1" ht="21.95" customHeight="1" x14ac:dyDescent="0.15">
      <c r="C12369" s="101"/>
    </row>
    <row r="12370" spans="3:3" s="8" customFormat="1" ht="21.95" customHeight="1" x14ac:dyDescent="0.15"/>
    <row r="12371" spans="3:3" s="8" customFormat="1" ht="21.95" customHeight="1" x14ac:dyDescent="0.15"/>
    <row r="12372" spans="3:3" s="8" customFormat="1" ht="21.95" customHeight="1" x14ac:dyDescent="0.15"/>
    <row r="12373" spans="3:3" s="8" customFormat="1" ht="21.95" customHeight="1" x14ac:dyDescent="0.15"/>
    <row r="12374" spans="3:3" s="8" customFormat="1" ht="21.95" customHeight="1" x14ac:dyDescent="0.15"/>
    <row r="12375" spans="3:3" s="8" customFormat="1" ht="21.95" customHeight="1" x14ac:dyDescent="0.15"/>
    <row r="12376" spans="3:3" s="8" customFormat="1" ht="21.95" customHeight="1" x14ac:dyDescent="0.15"/>
    <row r="12377" spans="3:3" s="9" customFormat="1" ht="21.95" customHeight="1" x14ac:dyDescent="0.15"/>
    <row r="12378" spans="3:3" s="9" customFormat="1" ht="21.95" customHeight="1" x14ac:dyDescent="0.15"/>
    <row r="12379" spans="3:3" s="9" customFormat="1" ht="21.95" customHeight="1" x14ac:dyDescent="0.15"/>
    <row r="12380" spans="3:3" s="9" customFormat="1" ht="21.95" customHeight="1" x14ac:dyDescent="0.15"/>
    <row r="12381" spans="3:3" s="8" customFormat="1" ht="21.95" customHeight="1" x14ac:dyDescent="0.15"/>
    <row r="12382" spans="3:3" s="8" customFormat="1" ht="21.95" customHeight="1" x14ac:dyDescent="0.15"/>
    <row r="12383" spans="3:3" s="8" customFormat="1" ht="21.95" customHeight="1" x14ac:dyDescent="0.15"/>
    <row r="12384" spans="3:3" s="8" customFormat="1" ht="21.95" customHeight="1" x14ac:dyDescent="0.15"/>
    <row r="12385" s="8" customFormat="1" ht="21.95" customHeight="1" x14ac:dyDescent="0.15"/>
    <row r="12386" s="8" customFormat="1" ht="21.95" customHeight="1" x14ac:dyDescent="0.15"/>
    <row r="12387" s="8" customFormat="1" ht="21.95" customHeight="1" x14ac:dyDescent="0.15"/>
    <row r="12388" s="8" customFormat="1" ht="21.95" customHeight="1" x14ac:dyDescent="0.15"/>
    <row r="12389" s="8" customFormat="1" ht="21.95" customHeight="1" x14ac:dyDescent="0.15"/>
    <row r="12390" s="8" customFormat="1" ht="21.95" customHeight="1" x14ac:dyDescent="0.15"/>
    <row r="12391" s="8" customFormat="1" ht="21.95" customHeight="1" x14ac:dyDescent="0.15"/>
    <row r="12392" s="8" customFormat="1" ht="32.1" customHeight="1" x14ac:dyDescent="0.15"/>
    <row r="12393" s="8" customFormat="1" ht="32.1" customHeight="1" x14ac:dyDescent="0.15"/>
    <row r="12394" s="8" customFormat="1" ht="32.1" customHeight="1" x14ac:dyDescent="0.15"/>
    <row r="12395" s="8" customFormat="1" ht="32.1" customHeight="1" x14ac:dyDescent="0.15"/>
    <row r="12396" s="8" customFormat="1" ht="32.1" customHeight="1" x14ac:dyDescent="0.15"/>
    <row r="12397" s="8" customFormat="1" ht="32.1" customHeight="1" x14ac:dyDescent="0.15"/>
    <row r="12398" s="9" customFormat="1" ht="32.1" customHeight="1" x14ac:dyDescent="0.15"/>
    <row r="12399" s="9" customFormat="1" ht="32.1" customHeight="1" x14ac:dyDescent="0.15"/>
    <row r="12400" s="9" customFormat="1" ht="32.1" customHeight="1" x14ac:dyDescent="0.15"/>
    <row r="12401" s="9" customFormat="1" ht="32.1" customHeight="1" x14ac:dyDescent="0.15"/>
    <row r="12402" s="9" customFormat="1" ht="21.95" customHeight="1" x14ac:dyDescent="0.15"/>
    <row r="12403" s="9" customFormat="1" ht="54" customHeight="1" x14ac:dyDescent="0.15"/>
    <row r="12404" s="9" customFormat="1" ht="21.95" customHeight="1" x14ac:dyDescent="0.15"/>
    <row r="12405" s="9" customFormat="1" ht="21.95" customHeight="1" x14ac:dyDescent="0.15"/>
    <row r="12406" s="9" customFormat="1" ht="21.95" customHeight="1" x14ac:dyDescent="0.15"/>
    <row r="12407" s="9" customFormat="1" ht="21.95" customHeight="1" x14ac:dyDescent="0.15"/>
    <row r="12408" s="9" customFormat="1" ht="21.95" customHeight="1" x14ac:dyDescent="0.15"/>
    <row r="12409" s="9" customFormat="1" ht="21.95" customHeight="1" x14ac:dyDescent="0.15"/>
    <row r="12410" s="9" customFormat="1" ht="21.95" customHeight="1" x14ac:dyDescent="0.15"/>
    <row r="12411" s="9" customFormat="1" ht="21.95" customHeight="1" x14ac:dyDescent="0.15"/>
    <row r="12412" s="9" customFormat="1" ht="21.95" customHeight="1" x14ac:dyDescent="0.15"/>
    <row r="12413" s="9" customFormat="1" ht="21.95" customHeight="1" x14ac:dyDescent="0.15"/>
    <row r="12414" s="9" customFormat="1" ht="21.95" customHeight="1" x14ac:dyDescent="0.15"/>
    <row r="12415" s="9" customFormat="1" ht="21.95" customHeight="1" x14ac:dyDescent="0.15"/>
    <row r="12416" s="9" customFormat="1" ht="21.95" customHeight="1" x14ac:dyDescent="0.15"/>
    <row r="12417" s="9" customFormat="1" ht="21.95" customHeight="1" x14ac:dyDescent="0.15"/>
    <row r="12418" s="9" customFormat="1" ht="21.95" customHeight="1" x14ac:dyDescent="0.15"/>
    <row r="12419" s="9" customFormat="1" ht="21.95" customHeight="1" x14ac:dyDescent="0.15"/>
    <row r="12420" s="9" customFormat="1" ht="21.95" customHeight="1" x14ac:dyDescent="0.15"/>
    <row r="12421" s="9" customFormat="1" ht="21.95" customHeight="1" x14ac:dyDescent="0.15"/>
    <row r="12422" s="9" customFormat="1" ht="21.95" customHeight="1" x14ac:dyDescent="0.15"/>
    <row r="12423" s="9" customFormat="1" ht="21.95" customHeight="1" x14ac:dyDescent="0.15"/>
    <row r="12424" s="9" customFormat="1" ht="21.95" customHeight="1" x14ac:dyDescent="0.15"/>
    <row r="12425" s="9" customFormat="1" ht="21.95" customHeight="1" x14ac:dyDescent="0.15"/>
    <row r="12426" s="9" customFormat="1" ht="21.95" customHeight="1" x14ac:dyDescent="0.15"/>
    <row r="12427" s="9" customFormat="1" ht="21.95" customHeight="1" x14ac:dyDescent="0.15"/>
    <row r="12428" s="9" customFormat="1" ht="21.95" customHeight="1" x14ac:dyDescent="0.15"/>
    <row r="12429" s="9" customFormat="1" ht="21.95" customHeight="1" x14ac:dyDescent="0.15"/>
    <row r="12430" s="9" customFormat="1" ht="21.95" customHeight="1" x14ac:dyDescent="0.15"/>
    <row r="12431" s="9" customFormat="1" ht="21.95" customHeight="1" x14ac:dyDescent="0.15"/>
    <row r="12432" s="9" customFormat="1" ht="21.95" customHeight="1" x14ac:dyDescent="0.15"/>
    <row r="12433" s="9" customFormat="1" ht="21.95" customHeight="1" x14ac:dyDescent="0.15"/>
    <row r="12434" s="9" customFormat="1" ht="21.95" customHeight="1" x14ac:dyDescent="0.15"/>
    <row r="12435" s="9" customFormat="1" ht="21.95" customHeight="1" x14ac:dyDescent="0.15"/>
    <row r="12436" s="9" customFormat="1" ht="21.95" customHeight="1" x14ac:dyDescent="0.15"/>
    <row r="12437" s="9" customFormat="1" ht="21.95" customHeight="1" x14ac:dyDescent="0.15"/>
    <row r="12438" s="9" customFormat="1" ht="21.95" customHeight="1" x14ac:dyDescent="0.15"/>
    <row r="12439" s="9" customFormat="1" ht="21.95" customHeight="1" x14ac:dyDescent="0.15"/>
    <row r="12440" s="9" customFormat="1" ht="21.95" customHeight="1" x14ac:dyDescent="0.15"/>
    <row r="12441" s="9" customFormat="1" ht="21.95" customHeight="1" x14ac:dyDescent="0.15"/>
    <row r="12442" s="9" customFormat="1" ht="21.95" customHeight="1" x14ac:dyDescent="0.15"/>
    <row r="12443" s="9" customFormat="1" ht="21.95" customHeight="1" x14ac:dyDescent="0.15"/>
    <row r="12444" s="9" customFormat="1" ht="21.95" customHeight="1" x14ac:dyDescent="0.15"/>
    <row r="12445" s="9" customFormat="1" ht="21.95" customHeight="1" x14ac:dyDescent="0.15"/>
    <row r="12446" s="9" customFormat="1" ht="21.95" customHeight="1" x14ac:dyDescent="0.15"/>
    <row r="12447" s="9" customFormat="1" ht="21.95" customHeight="1" x14ac:dyDescent="0.15"/>
    <row r="12448" s="9" customFormat="1" ht="21.95" customHeight="1" x14ac:dyDescent="0.15"/>
    <row r="12449" s="9" customFormat="1" ht="21.95" customHeight="1" x14ac:dyDescent="0.15"/>
    <row r="12450" s="9" customFormat="1" ht="21.95" customHeight="1" x14ac:dyDescent="0.15"/>
    <row r="12451" s="9" customFormat="1" ht="21.95" customHeight="1" x14ac:dyDescent="0.15"/>
    <row r="12452" s="9" customFormat="1" ht="21.95" customHeight="1" x14ac:dyDescent="0.15"/>
    <row r="12453" s="9" customFormat="1" ht="21.95" customHeight="1" x14ac:dyDescent="0.15"/>
    <row r="12454" s="9" customFormat="1" ht="35.1" customHeight="1" x14ac:dyDescent="0.15"/>
    <row r="12455" s="9" customFormat="1" ht="21.95" customHeight="1" x14ac:dyDescent="0.15"/>
    <row r="12456" s="9" customFormat="1" ht="21.95" customHeight="1" x14ac:dyDescent="0.15"/>
    <row r="12457" s="9" customFormat="1" ht="21.95" customHeight="1" x14ac:dyDescent="0.15"/>
    <row r="12458" s="9" customFormat="1" ht="21.95" customHeight="1" x14ac:dyDescent="0.15"/>
    <row r="12459" s="9" customFormat="1" ht="21.95" customHeight="1" x14ac:dyDescent="0.15"/>
    <row r="12460" s="9" customFormat="1" ht="21.95" customHeight="1" x14ac:dyDescent="0.15"/>
    <row r="12461" s="9" customFormat="1" ht="21.95" customHeight="1" x14ac:dyDescent="0.15"/>
    <row r="12462" s="9" customFormat="1" ht="21.95" customHeight="1" x14ac:dyDescent="0.15"/>
    <row r="12463" s="9" customFormat="1" ht="21.95" customHeight="1" x14ac:dyDescent="0.15"/>
    <row r="12464" s="9" customFormat="1" ht="21.95" customHeight="1" x14ac:dyDescent="0.15"/>
    <row r="12465" spans="3:3" s="9" customFormat="1" ht="21.95" customHeight="1" x14ac:dyDescent="0.15"/>
    <row r="12466" spans="3:3" s="9" customFormat="1" ht="21.95" customHeight="1" x14ac:dyDescent="0.15"/>
    <row r="12467" spans="3:3" s="9" customFormat="1" ht="21.95" customHeight="1" x14ac:dyDescent="0.15"/>
    <row r="12468" spans="3:3" s="9" customFormat="1" ht="21.95" customHeight="1" x14ac:dyDescent="0.15"/>
    <row r="12469" spans="3:3" s="9" customFormat="1" ht="21.95" customHeight="1" x14ac:dyDescent="0.15"/>
    <row r="12470" spans="3:3" s="9" customFormat="1" ht="21.95" customHeight="1" x14ac:dyDescent="0.15"/>
    <row r="12471" spans="3:3" s="9" customFormat="1" ht="21.95" customHeight="1" x14ac:dyDescent="0.15"/>
    <row r="12472" spans="3:3" s="9" customFormat="1" ht="21.95" customHeight="1" x14ac:dyDescent="0.15"/>
    <row r="12473" spans="3:3" s="9" customFormat="1" ht="21.95" customHeight="1" x14ac:dyDescent="0.15"/>
    <row r="12474" spans="3:3" s="9" customFormat="1" ht="21.95" customHeight="1" x14ac:dyDescent="0.15"/>
    <row r="12475" spans="3:3" s="9" customFormat="1" ht="21.95" customHeight="1" x14ac:dyDescent="0.15"/>
    <row r="12476" spans="3:3" s="9" customFormat="1" ht="21.95" customHeight="1" x14ac:dyDescent="0.15"/>
    <row r="12477" spans="3:3" s="9" customFormat="1" ht="21.95" customHeight="1" x14ac:dyDescent="0.15"/>
    <row r="12478" spans="3:3" s="8" customFormat="1" ht="21.95" customHeight="1" x14ac:dyDescent="0.15"/>
    <row r="12479" spans="3:3" s="8" customFormat="1" ht="21.95" customHeight="1" x14ac:dyDescent="0.15"/>
    <row r="12480" spans="3:3" s="8" customFormat="1" ht="21.95" customHeight="1" x14ac:dyDescent="0.15">
      <c r="C12480" s="101"/>
    </row>
    <row r="12481" spans="3:3" s="8" customFormat="1" ht="21.95" customHeight="1" x14ac:dyDescent="0.15">
      <c r="C12481" s="101"/>
    </row>
    <row r="12482" spans="3:3" s="8" customFormat="1" ht="21.95" customHeight="1" x14ac:dyDescent="0.15"/>
    <row r="12483" spans="3:3" s="8" customFormat="1" ht="21.95" customHeight="1" x14ac:dyDescent="0.15"/>
    <row r="12484" spans="3:3" s="8" customFormat="1" ht="21.95" customHeight="1" x14ac:dyDescent="0.15"/>
    <row r="12485" spans="3:3" s="8" customFormat="1" ht="21.95" customHeight="1" x14ac:dyDescent="0.15"/>
    <row r="12486" spans="3:3" s="8" customFormat="1" ht="21.95" customHeight="1" x14ac:dyDescent="0.15"/>
    <row r="12487" spans="3:3" s="8" customFormat="1" ht="21.95" customHeight="1" x14ac:dyDescent="0.15"/>
    <row r="12488" spans="3:3" s="8" customFormat="1" ht="21.95" customHeight="1" x14ac:dyDescent="0.15"/>
    <row r="12489" spans="3:3" s="9" customFormat="1" ht="21.95" customHeight="1" x14ac:dyDescent="0.15"/>
    <row r="12490" spans="3:3" s="9" customFormat="1" ht="21.95" customHeight="1" x14ac:dyDescent="0.15"/>
    <row r="12491" spans="3:3" s="9" customFormat="1" ht="21.95" customHeight="1" x14ac:dyDescent="0.15"/>
    <row r="12492" spans="3:3" s="9" customFormat="1" ht="21.95" customHeight="1" x14ac:dyDescent="0.15"/>
    <row r="12493" spans="3:3" s="8" customFormat="1" ht="21.95" customHeight="1" x14ac:dyDescent="0.15"/>
    <row r="12494" spans="3:3" s="8" customFormat="1" ht="21.95" customHeight="1" x14ac:dyDescent="0.15"/>
    <row r="12495" spans="3:3" s="8" customFormat="1" ht="21.95" customHeight="1" x14ac:dyDescent="0.15"/>
    <row r="12496" spans="3:3" s="8" customFormat="1" ht="21.95" customHeight="1" x14ac:dyDescent="0.15"/>
    <row r="12497" s="8" customFormat="1" ht="21.95" customHeight="1" x14ac:dyDescent="0.15"/>
    <row r="12498" s="8" customFormat="1" ht="21.95" customHeight="1" x14ac:dyDescent="0.15"/>
    <row r="12499" s="8" customFormat="1" ht="21.95" customHeight="1" x14ac:dyDescent="0.15"/>
    <row r="12500" s="8" customFormat="1" ht="21.95" customHeight="1" x14ac:dyDescent="0.15"/>
    <row r="12501" s="8" customFormat="1" ht="21.95" customHeight="1" x14ac:dyDescent="0.15"/>
    <row r="12502" s="8" customFormat="1" ht="21.95" customHeight="1" x14ac:dyDescent="0.15"/>
    <row r="12503" s="8" customFormat="1" ht="21.95" customHeight="1" x14ac:dyDescent="0.15"/>
    <row r="12504" s="8" customFormat="1" ht="32.1" customHeight="1" x14ac:dyDescent="0.15"/>
    <row r="12505" s="8" customFormat="1" ht="32.1" customHeight="1" x14ac:dyDescent="0.15"/>
    <row r="12506" s="8" customFormat="1" ht="32.1" customHeight="1" x14ac:dyDescent="0.15"/>
    <row r="12507" s="8" customFormat="1" ht="32.1" customHeight="1" x14ac:dyDescent="0.15"/>
    <row r="12508" s="8" customFormat="1" ht="32.1" customHeight="1" x14ac:dyDescent="0.15"/>
    <row r="12509" s="8" customFormat="1" ht="32.1" customHeight="1" x14ac:dyDescent="0.15"/>
    <row r="12510" s="9" customFormat="1" ht="32.1" customHeight="1" x14ac:dyDescent="0.15"/>
    <row r="12511" s="9" customFormat="1" ht="32.1" customHeight="1" x14ac:dyDescent="0.15"/>
    <row r="12512" s="9" customFormat="1" ht="32.1" customHeight="1" x14ac:dyDescent="0.15"/>
    <row r="12513" s="9" customFormat="1" ht="32.1" customHeight="1" x14ac:dyDescent="0.15"/>
    <row r="12514" s="9" customFormat="1" ht="21.95" customHeight="1" x14ac:dyDescent="0.15"/>
    <row r="12515" s="9" customFormat="1" ht="54" customHeight="1" x14ac:dyDescent="0.15"/>
    <row r="12516" s="9" customFormat="1" ht="21.95" customHeight="1" x14ac:dyDescent="0.15"/>
    <row r="12517" s="9" customFormat="1" ht="21.95" customHeight="1" x14ac:dyDescent="0.15"/>
    <row r="12518" s="9" customFormat="1" ht="21.95" customHeight="1" x14ac:dyDescent="0.15"/>
    <row r="12519" s="9" customFormat="1" ht="21.95" customHeight="1" x14ac:dyDescent="0.15"/>
    <row r="12520" s="9" customFormat="1" ht="21.95" customHeight="1" x14ac:dyDescent="0.15"/>
    <row r="12521" s="9" customFormat="1" ht="21.95" customHeight="1" x14ac:dyDescent="0.15"/>
    <row r="12522" s="9" customFormat="1" ht="21.95" customHeight="1" x14ac:dyDescent="0.15"/>
    <row r="12523" s="9" customFormat="1" ht="21.95" customHeight="1" x14ac:dyDescent="0.15"/>
    <row r="12524" s="9" customFormat="1" ht="21.95" customHeight="1" x14ac:dyDescent="0.15"/>
    <row r="12525" s="9" customFormat="1" ht="21.95" customHeight="1" x14ac:dyDescent="0.15"/>
    <row r="12526" s="9" customFormat="1" ht="21.95" customHeight="1" x14ac:dyDescent="0.15"/>
    <row r="12527" s="9" customFormat="1" ht="21.95" customHeight="1" x14ac:dyDescent="0.15"/>
    <row r="12528" s="9" customFormat="1" ht="21.95" customHeight="1" x14ac:dyDescent="0.15"/>
    <row r="12529" s="9" customFormat="1" ht="21.95" customHeight="1" x14ac:dyDescent="0.15"/>
    <row r="12530" s="9" customFormat="1" ht="21.95" customHeight="1" x14ac:dyDescent="0.15"/>
    <row r="12531" s="9" customFormat="1" ht="21.95" customHeight="1" x14ac:dyDescent="0.15"/>
    <row r="12532" s="9" customFormat="1" ht="21.95" customHeight="1" x14ac:dyDescent="0.15"/>
    <row r="12533" s="9" customFormat="1" ht="21.95" customHeight="1" x14ac:dyDescent="0.15"/>
    <row r="12534" s="9" customFormat="1" ht="21.95" customHeight="1" x14ac:dyDescent="0.15"/>
    <row r="12535" s="9" customFormat="1" ht="21.95" customHeight="1" x14ac:dyDescent="0.15"/>
    <row r="12536" s="9" customFormat="1" ht="21.95" customHeight="1" x14ac:dyDescent="0.15"/>
    <row r="12537" s="9" customFormat="1" ht="21.95" customHeight="1" x14ac:dyDescent="0.15"/>
    <row r="12538" s="9" customFormat="1" ht="21.95" customHeight="1" x14ac:dyDescent="0.15"/>
    <row r="12539" s="9" customFormat="1" ht="21.95" customHeight="1" x14ac:dyDescent="0.15"/>
    <row r="12540" s="9" customFormat="1" ht="21.95" customHeight="1" x14ac:dyDescent="0.15"/>
    <row r="12541" s="9" customFormat="1" ht="21.95" customHeight="1" x14ac:dyDescent="0.15"/>
    <row r="12542" s="9" customFormat="1" ht="21.95" customHeight="1" x14ac:dyDescent="0.15"/>
    <row r="12543" s="9" customFormat="1" ht="21.95" customHeight="1" x14ac:dyDescent="0.15"/>
    <row r="12544" s="9" customFormat="1" ht="21.95" customHeight="1" x14ac:dyDescent="0.15"/>
    <row r="12545" s="9" customFormat="1" ht="21.95" customHeight="1" x14ac:dyDescent="0.15"/>
    <row r="12546" s="9" customFormat="1" ht="21.95" customHeight="1" x14ac:dyDescent="0.15"/>
    <row r="12547" s="9" customFormat="1" ht="21.95" customHeight="1" x14ac:dyDescent="0.15"/>
    <row r="12548" s="9" customFormat="1" ht="21.95" customHeight="1" x14ac:dyDescent="0.15"/>
    <row r="12549" s="9" customFormat="1" ht="21.95" customHeight="1" x14ac:dyDescent="0.15"/>
    <row r="12550" s="9" customFormat="1" ht="21.95" customHeight="1" x14ac:dyDescent="0.15"/>
    <row r="12551" s="9" customFormat="1" ht="21.95" customHeight="1" x14ac:dyDescent="0.15"/>
    <row r="12552" s="9" customFormat="1" ht="21.95" customHeight="1" x14ac:dyDescent="0.15"/>
    <row r="12553" s="9" customFormat="1" ht="21.95" customHeight="1" x14ac:dyDescent="0.15"/>
    <row r="12554" s="9" customFormat="1" ht="21.95" customHeight="1" x14ac:dyDescent="0.15"/>
    <row r="12555" s="9" customFormat="1" ht="21.95" customHeight="1" x14ac:dyDescent="0.15"/>
    <row r="12556" s="9" customFormat="1" ht="21.95" customHeight="1" x14ac:dyDescent="0.15"/>
    <row r="12557" s="9" customFormat="1" ht="21.95" customHeight="1" x14ac:dyDescent="0.15"/>
    <row r="12558" s="9" customFormat="1" ht="21.95" customHeight="1" x14ac:dyDescent="0.15"/>
    <row r="12559" s="9" customFormat="1" ht="21.95" customHeight="1" x14ac:dyDescent="0.15"/>
    <row r="12560" s="9" customFormat="1" ht="21.95" customHeight="1" x14ac:dyDescent="0.15"/>
    <row r="12561" s="9" customFormat="1" ht="21.95" customHeight="1" x14ac:dyDescent="0.15"/>
    <row r="12562" s="9" customFormat="1" ht="21.95" customHeight="1" x14ac:dyDescent="0.15"/>
    <row r="12563" s="9" customFormat="1" ht="21.95" customHeight="1" x14ac:dyDescent="0.15"/>
    <row r="12564" s="9" customFormat="1" ht="21.95" customHeight="1" x14ac:dyDescent="0.15"/>
    <row r="12565" s="9" customFormat="1" ht="21.95" customHeight="1" x14ac:dyDescent="0.15"/>
    <row r="12566" s="9" customFormat="1" ht="35.1" customHeight="1" x14ac:dyDescent="0.15"/>
    <row r="12567" s="9" customFormat="1" ht="21.95" customHeight="1" x14ac:dyDescent="0.15"/>
    <row r="12568" s="9" customFormat="1" ht="21.95" customHeight="1" x14ac:dyDescent="0.15"/>
    <row r="12569" s="9" customFormat="1" ht="21.95" customHeight="1" x14ac:dyDescent="0.15"/>
    <row r="12570" s="9" customFormat="1" ht="21.95" customHeight="1" x14ac:dyDescent="0.15"/>
    <row r="12571" s="9" customFormat="1" ht="21.95" customHeight="1" x14ac:dyDescent="0.15"/>
    <row r="12572" s="9" customFormat="1" ht="21.95" customHeight="1" x14ac:dyDescent="0.15"/>
    <row r="12573" s="9" customFormat="1" ht="21.95" customHeight="1" x14ac:dyDescent="0.15"/>
    <row r="12574" s="9" customFormat="1" ht="21.95" customHeight="1" x14ac:dyDescent="0.15"/>
    <row r="12575" s="9" customFormat="1" ht="21.95" customHeight="1" x14ac:dyDescent="0.15"/>
    <row r="12576" s="9" customFormat="1" ht="21.95" customHeight="1" x14ac:dyDescent="0.15"/>
    <row r="12577" spans="3:3" s="9" customFormat="1" ht="21.95" customHeight="1" x14ac:dyDescent="0.15"/>
    <row r="12578" spans="3:3" s="9" customFormat="1" ht="21.95" customHeight="1" x14ac:dyDescent="0.15"/>
    <row r="12579" spans="3:3" s="9" customFormat="1" ht="21.95" customHeight="1" x14ac:dyDescent="0.15"/>
    <row r="12580" spans="3:3" s="9" customFormat="1" ht="21.95" customHeight="1" x14ac:dyDescent="0.15"/>
    <row r="12581" spans="3:3" s="9" customFormat="1" ht="21.95" customHeight="1" x14ac:dyDescent="0.15"/>
    <row r="12582" spans="3:3" s="9" customFormat="1" ht="21.95" customHeight="1" x14ac:dyDescent="0.15"/>
    <row r="12583" spans="3:3" s="9" customFormat="1" ht="21.95" customHeight="1" x14ac:dyDescent="0.15"/>
    <row r="12584" spans="3:3" s="9" customFormat="1" ht="21.95" customHeight="1" x14ac:dyDescent="0.15"/>
    <row r="12585" spans="3:3" s="9" customFormat="1" ht="21.95" customHeight="1" x14ac:dyDescent="0.15"/>
    <row r="12586" spans="3:3" s="9" customFormat="1" ht="21.95" customHeight="1" x14ac:dyDescent="0.15"/>
    <row r="12587" spans="3:3" s="9" customFormat="1" ht="21.95" customHeight="1" x14ac:dyDescent="0.15"/>
    <row r="12588" spans="3:3" s="9" customFormat="1" ht="21.95" customHeight="1" x14ac:dyDescent="0.15"/>
    <row r="12589" spans="3:3" s="9" customFormat="1" ht="21.95" customHeight="1" x14ac:dyDescent="0.15"/>
    <row r="12590" spans="3:3" s="8" customFormat="1" ht="21.95" customHeight="1" x14ac:dyDescent="0.15"/>
    <row r="12591" spans="3:3" s="8" customFormat="1" ht="21.95" customHeight="1" x14ac:dyDescent="0.15"/>
    <row r="12592" spans="3:3" s="8" customFormat="1" ht="21.95" customHeight="1" x14ac:dyDescent="0.15">
      <c r="C12592" s="101"/>
    </row>
    <row r="12593" spans="3:3" s="8" customFormat="1" ht="21.95" customHeight="1" x14ac:dyDescent="0.15">
      <c r="C12593" s="101"/>
    </row>
    <row r="12594" spans="3:3" s="8" customFormat="1" ht="21.95" customHeight="1" x14ac:dyDescent="0.15"/>
    <row r="12595" spans="3:3" s="8" customFormat="1" ht="21.95" customHeight="1" x14ac:dyDescent="0.15"/>
    <row r="12596" spans="3:3" s="8" customFormat="1" ht="21.95" customHeight="1" x14ac:dyDescent="0.15"/>
    <row r="12597" spans="3:3" s="8" customFormat="1" ht="21.95" customHeight="1" x14ac:dyDescent="0.15"/>
    <row r="12598" spans="3:3" s="8" customFormat="1" ht="21.95" customHeight="1" x14ac:dyDescent="0.15"/>
    <row r="12599" spans="3:3" s="8" customFormat="1" ht="21.95" customHeight="1" x14ac:dyDescent="0.15"/>
    <row r="12600" spans="3:3" s="8" customFormat="1" ht="21.95" customHeight="1" x14ac:dyDescent="0.15"/>
    <row r="12601" spans="3:3" s="9" customFormat="1" ht="21.95" customHeight="1" x14ac:dyDescent="0.15"/>
    <row r="12602" spans="3:3" s="9" customFormat="1" ht="21.95" customHeight="1" x14ac:dyDescent="0.15"/>
    <row r="12603" spans="3:3" s="9" customFormat="1" ht="21.95" customHeight="1" x14ac:dyDescent="0.15"/>
    <row r="12604" spans="3:3" s="9" customFormat="1" ht="21.95" customHeight="1" x14ac:dyDescent="0.15"/>
    <row r="12605" spans="3:3" s="8" customFormat="1" ht="21.95" customHeight="1" x14ac:dyDescent="0.15"/>
    <row r="12606" spans="3:3" s="8" customFormat="1" ht="21.95" customHeight="1" x14ac:dyDescent="0.15"/>
    <row r="12607" spans="3:3" s="8" customFormat="1" ht="21.95" customHeight="1" x14ac:dyDescent="0.15"/>
    <row r="12608" spans="3:3" s="8" customFormat="1" ht="21.95" customHeight="1" x14ac:dyDescent="0.15"/>
    <row r="12609" s="8" customFormat="1" ht="21.95" customHeight="1" x14ac:dyDescent="0.15"/>
    <row r="12610" s="8" customFormat="1" ht="21.95" customHeight="1" x14ac:dyDescent="0.15"/>
    <row r="12611" s="8" customFormat="1" ht="21.95" customHeight="1" x14ac:dyDescent="0.15"/>
    <row r="12612" s="8" customFormat="1" ht="21.95" customHeight="1" x14ac:dyDescent="0.15"/>
    <row r="12613" s="8" customFormat="1" ht="21.95" customHeight="1" x14ac:dyDescent="0.15"/>
    <row r="12614" s="8" customFormat="1" ht="21.95" customHeight="1" x14ac:dyDescent="0.15"/>
    <row r="12615" s="8" customFormat="1" ht="21.95" customHeight="1" x14ac:dyDescent="0.15"/>
    <row r="12616" s="8" customFormat="1" ht="32.1" customHeight="1" x14ac:dyDescent="0.15"/>
    <row r="12617" s="8" customFormat="1" ht="32.1" customHeight="1" x14ac:dyDescent="0.15"/>
    <row r="12618" s="8" customFormat="1" ht="32.1" customHeight="1" x14ac:dyDescent="0.15"/>
    <row r="12619" s="8" customFormat="1" ht="32.1" customHeight="1" x14ac:dyDescent="0.15"/>
    <row r="12620" s="8" customFormat="1" ht="32.1" customHeight="1" x14ac:dyDescent="0.15"/>
    <row r="12621" s="8" customFormat="1" ht="32.1" customHeight="1" x14ac:dyDescent="0.15"/>
    <row r="12622" s="9" customFormat="1" ht="32.1" customHeight="1" x14ac:dyDescent="0.15"/>
    <row r="12623" s="9" customFormat="1" ht="32.1" customHeight="1" x14ac:dyDescent="0.15"/>
    <row r="12624" s="9" customFormat="1" ht="32.1" customHeight="1" x14ac:dyDescent="0.15"/>
    <row r="12625" s="9" customFormat="1" ht="32.1" customHeight="1" x14ac:dyDescent="0.15"/>
    <row r="12626" s="9" customFormat="1" ht="21.95" customHeight="1" x14ac:dyDescent="0.15"/>
    <row r="12627" s="9" customFormat="1" ht="54" customHeight="1" x14ac:dyDescent="0.15"/>
    <row r="12628" s="9" customFormat="1" ht="21.95" customHeight="1" x14ac:dyDescent="0.15"/>
    <row r="12629" s="9" customFormat="1" ht="21.95" customHeight="1" x14ac:dyDescent="0.15"/>
    <row r="12630" s="9" customFormat="1" ht="21.95" customHeight="1" x14ac:dyDescent="0.15"/>
    <row r="12631" s="9" customFormat="1" ht="21.95" customHeight="1" x14ac:dyDescent="0.15"/>
    <row r="12632" s="9" customFormat="1" ht="21.95" customHeight="1" x14ac:dyDescent="0.15"/>
    <row r="12633" s="9" customFormat="1" ht="21.95" customHeight="1" x14ac:dyDescent="0.15"/>
    <row r="12634" s="9" customFormat="1" ht="21.95" customHeight="1" x14ac:dyDescent="0.15"/>
    <row r="12635" s="9" customFormat="1" ht="21.95" customHeight="1" x14ac:dyDescent="0.15"/>
    <row r="12636" s="9" customFormat="1" ht="21.95" customHeight="1" x14ac:dyDescent="0.15"/>
    <row r="12637" s="9" customFormat="1" ht="21.95" customHeight="1" x14ac:dyDescent="0.15"/>
    <row r="12638" s="9" customFormat="1" ht="21.95" customHeight="1" x14ac:dyDescent="0.15"/>
    <row r="12639" s="9" customFormat="1" ht="21.95" customHeight="1" x14ac:dyDescent="0.15"/>
    <row r="12640" s="9" customFormat="1" ht="21.95" customHeight="1" x14ac:dyDescent="0.15"/>
    <row r="12641" s="9" customFormat="1" ht="21.95" customHeight="1" x14ac:dyDescent="0.15"/>
    <row r="12642" s="9" customFormat="1" ht="21.95" customHeight="1" x14ac:dyDescent="0.15"/>
    <row r="12643" s="9" customFormat="1" ht="21.95" customHeight="1" x14ac:dyDescent="0.15"/>
    <row r="12644" s="9" customFormat="1" ht="21.95" customHeight="1" x14ac:dyDescent="0.15"/>
    <row r="12645" s="9" customFormat="1" ht="21.95" customHeight="1" x14ac:dyDescent="0.15"/>
    <row r="12646" s="9" customFormat="1" ht="21.95" customHeight="1" x14ac:dyDescent="0.15"/>
    <row r="12647" s="9" customFormat="1" ht="21.95" customHeight="1" x14ac:dyDescent="0.15"/>
    <row r="12648" s="9" customFormat="1" ht="21.95" customHeight="1" x14ac:dyDescent="0.15"/>
    <row r="12649" s="9" customFormat="1" ht="21.95" customHeight="1" x14ac:dyDescent="0.15"/>
    <row r="12650" s="9" customFormat="1" ht="21.95" customHeight="1" x14ac:dyDescent="0.15"/>
    <row r="12651" s="9" customFormat="1" ht="21.95" customHeight="1" x14ac:dyDescent="0.15"/>
    <row r="12652" s="9" customFormat="1" ht="21.95" customHeight="1" x14ac:dyDescent="0.15"/>
    <row r="12653" s="9" customFormat="1" ht="21.95" customHeight="1" x14ac:dyDescent="0.15"/>
    <row r="12654" s="9" customFormat="1" ht="21.95" customHeight="1" x14ac:dyDescent="0.15"/>
    <row r="12655" s="9" customFormat="1" ht="21.95" customHeight="1" x14ac:dyDescent="0.15"/>
    <row r="12656" s="9" customFormat="1" ht="21.95" customHeight="1" x14ac:dyDescent="0.15"/>
    <row r="12657" s="9" customFormat="1" ht="21.95" customHeight="1" x14ac:dyDescent="0.15"/>
    <row r="12658" s="9" customFormat="1" ht="21.95" customHeight="1" x14ac:dyDescent="0.15"/>
    <row r="12659" s="9" customFormat="1" ht="21.95" customHeight="1" x14ac:dyDescent="0.15"/>
    <row r="12660" s="9" customFormat="1" ht="21.95" customHeight="1" x14ac:dyDescent="0.15"/>
    <row r="12661" s="9" customFormat="1" ht="21.95" customHeight="1" x14ac:dyDescent="0.15"/>
    <row r="12662" s="9" customFormat="1" ht="21.95" customHeight="1" x14ac:dyDescent="0.15"/>
    <row r="12663" s="9" customFormat="1" ht="21.95" customHeight="1" x14ac:dyDescent="0.15"/>
    <row r="12664" s="9" customFormat="1" ht="21.95" customHeight="1" x14ac:dyDescent="0.15"/>
    <row r="12665" s="9" customFormat="1" ht="21.95" customHeight="1" x14ac:dyDescent="0.15"/>
    <row r="12666" s="9" customFormat="1" ht="21.95" customHeight="1" x14ac:dyDescent="0.15"/>
    <row r="12667" s="9" customFormat="1" ht="21.95" customHeight="1" x14ac:dyDescent="0.15"/>
    <row r="12668" s="9" customFormat="1" ht="21.95" customHeight="1" x14ac:dyDescent="0.15"/>
    <row r="12669" s="9" customFormat="1" ht="21.95" customHeight="1" x14ac:dyDescent="0.15"/>
    <row r="12670" s="9" customFormat="1" ht="21.95" customHeight="1" x14ac:dyDescent="0.15"/>
    <row r="12671" s="9" customFormat="1" ht="21.95" customHeight="1" x14ac:dyDescent="0.15"/>
    <row r="12672" s="9" customFormat="1" ht="21.95" customHeight="1" x14ac:dyDescent="0.15"/>
    <row r="12673" s="9" customFormat="1" ht="21.95" customHeight="1" x14ac:dyDescent="0.15"/>
    <row r="12674" s="9" customFormat="1" ht="21.95" customHeight="1" x14ac:dyDescent="0.15"/>
    <row r="12675" s="9" customFormat="1" ht="21.95" customHeight="1" x14ac:dyDescent="0.15"/>
    <row r="12676" s="9" customFormat="1" ht="21.95" customHeight="1" x14ac:dyDescent="0.15"/>
    <row r="12677" s="9" customFormat="1" ht="21.95" customHeight="1" x14ac:dyDescent="0.15"/>
    <row r="12678" s="9" customFormat="1" ht="35.1" customHeight="1" x14ac:dyDescent="0.15"/>
    <row r="12679" s="9" customFormat="1" ht="21.95" customHeight="1" x14ac:dyDescent="0.15"/>
    <row r="12680" s="9" customFormat="1" ht="21.95" customHeight="1" x14ac:dyDescent="0.15"/>
    <row r="12681" s="9" customFormat="1" ht="21.95" customHeight="1" x14ac:dyDescent="0.15"/>
    <row r="12682" s="9" customFormat="1" ht="21.95" customHeight="1" x14ac:dyDescent="0.15"/>
    <row r="12683" s="9" customFormat="1" ht="21.95" customHeight="1" x14ac:dyDescent="0.15"/>
    <row r="12684" s="9" customFormat="1" ht="21.95" customHeight="1" x14ac:dyDescent="0.15"/>
    <row r="12685" s="9" customFormat="1" ht="21.95" customHeight="1" x14ac:dyDescent="0.15"/>
    <row r="12686" s="9" customFormat="1" ht="21.95" customHeight="1" x14ac:dyDescent="0.15"/>
    <row r="12687" s="9" customFormat="1" ht="21.95" customHeight="1" x14ac:dyDescent="0.15"/>
    <row r="12688" s="9" customFormat="1" ht="21.95" customHeight="1" x14ac:dyDescent="0.15"/>
    <row r="12689" spans="3:3" s="9" customFormat="1" ht="21.95" customHeight="1" x14ac:dyDescent="0.15"/>
    <row r="12690" spans="3:3" s="9" customFormat="1" ht="21.95" customHeight="1" x14ac:dyDescent="0.15"/>
    <row r="12691" spans="3:3" s="9" customFormat="1" ht="21.95" customHeight="1" x14ac:dyDescent="0.15"/>
    <row r="12692" spans="3:3" s="9" customFormat="1" ht="21.95" customHeight="1" x14ac:dyDescent="0.15"/>
    <row r="12693" spans="3:3" s="9" customFormat="1" ht="21.95" customHeight="1" x14ac:dyDescent="0.15"/>
    <row r="12694" spans="3:3" s="9" customFormat="1" ht="21.95" customHeight="1" x14ac:dyDescent="0.15"/>
    <row r="12695" spans="3:3" s="9" customFormat="1" ht="21.95" customHeight="1" x14ac:dyDescent="0.15"/>
    <row r="12696" spans="3:3" s="9" customFormat="1" ht="21.95" customHeight="1" x14ac:dyDescent="0.15"/>
    <row r="12697" spans="3:3" s="9" customFormat="1" ht="21.95" customHeight="1" x14ac:dyDescent="0.15"/>
    <row r="12698" spans="3:3" s="9" customFormat="1" ht="21.95" customHeight="1" x14ac:dyDescent="0.15"/>
    <row r="12699" spans="3:3" s="9" customFormat="1" ht="21.95" customHeight="1" x14ac:dyDescent="0.15"/>
    <row r="12700" spans="3:3" s="9" customFormat="1" ht="21.95" customHeight="1" x14ac:dyDescent="0.15"/>
    <row r="12701" spans="3:3" s="9" customFormat="1" ht="21.95" customHeight="1" x14ac:dyDescent="0.15"/>
    <row r="12702" spans="3:3" s="8" customFormat="1" ht="21.95" customHeight="1" x14ac:dyDescent="0.15"/>
    <row r="12703" spans="3:3" s="8" customFormat="1" ht="21.95" customHeight="1" x14ac:dyDescent="0.15"/>
    <row r="12704" spans="3:3" s="8" customFormat="1" ht="21.95" customHeight="1" x14ac:dyDescent="0.15">
      <c r="C12704" s="101"/>
    </row>
    <row r="12705" spans="3:3" s="8" customFormat="1" ht="21.95" customHeight="1" x14ac:dyDescent="0.15">
      <c r="C12705" s="101"/>
    </row>
    <row r="12706" spans="3:3" s="8" customFormat="1" ht="21.95" customHeight="1" x14ac:dyDescent="0.15"/>
    <row r="12707" spans="3:3" s="8" customFormat="1" ht="21.95" customHeight="1" x14ac:dyDescent="0.15"/>
    <row r="12708" spans="3:3" s="8" customFormat="1" ht="21.95" customHeight="1" x14ac:dyDescent="0.15"/>
    <row r="12709" spans="3:3" s="8" customFormat="1" ht="21.95" customHeight="1" x14ac:dyDescent="0.15"/>
    <row r="12710" spans="3:3" s="8" customFormat="1" ht="21.95" customHeight="1" x14ac:dyDescent="0.15"/>
    <row r="12711" spans="3:3" s="8" customFormat="1" ht="21.95" customHeight="1" x14ac:dyDescent="0.15"/>
    <row r="12712" spans="3:3" s="8" customFormat="1" ht="21.95" customHeight="1" x14ac:dyDescent="0.15"/>
    <row r="12713" spans="3:3" s="9" customFormat="1" ht="21.95" customHeight="1" x14ac:dyDescent="0.15"/>
    <row r="12714" spans="3:3" s="9" customFormat="1" ht="21.95" customHeight="1" x14ac:dyDescent="0.15"/>
    <row r="12715" spans="3:3" s="9" customFormat="1" ht="21.95" customHeight="1" x14ac:dyDescent="0.15"/>
    <row r="12716" spans="3:3" s="9" customFormat="1" ht="21.95" customHeight="1" x14ac:dyDescent="0.15"/>
    <row r="12717" spans="3:3" s="8" customFormat="1" ht="21.95" customHeight="1" x14ac:dyDescent="0.15"/>
    <row r="12718" spans="3:3" s="8" customFormat="1" ht="21.95" customHeight="1" x14ac:dyDescent="0.15"/>
    <row r="12719" spans="3:3" s="8" customFormat="1" ht="21.95" customHeight="1" x14ac:dyDescent="0.15"/>
    <row r="12720" spans="3:3" s="8" customFormat="1" ht="21.95" customHeight="1" x14ac:dyDescent="0.15"/>
    <row r="12721" s="8" customFormat="1" ht="21.95" customHeight="1" x14ac:dyDescent="0.15"/>
    <row r="12722" s="8" customFormat="1" ht="21.95" customHeight="1" x14ac:dyDescent="0.15"/>
    <row r="12723" s="8" customFormat="1" ht="21.95" customHeight="1" x14ac:dyDescent="0.15"/>
    <row r="12724" s="8" customFormat="1" ht="21.95" customHeight="1" x14ac:dyDescent="0.15"/>
    <row r="12725" s="8" customFormat="1" ht="21.95" customHeight="1" x14ac:dyDescent="0.15"/>
    <row r="12726" s="8" customFormat="1" ht="21.95" customHeight="1" x14ac:dyDescent="0.15"/>
    <row r="12727" s="8" customFormat="1" ht="21.95" customHeight="1" x14ac:dyDescent="0.15"/>
    <row r="12728" s="8" customFormat="1" ht="32.1" customHeight="1" x14ac:dyDescent="0.15"/>
    <row r="12729" s="8" customFormat="1" ht="32.1" customHeight="1" x14ac:dyDescent="0.15"/>
    <row r="12730" s="8" customFormat="1" ht="32.1" customHeight="1" x14ac:dyDescent="0.15"/>
    <row r="12731" s="8" customFormat="1" ht="32.1" customHeight="1" x14ac:dyDescent="0.15"/>
    <row r="12732" s="8" customFormat="1" ht="32.1" customHeight="1" x14ac:dyDescent="0.15"/>
    <row r="12733" s="8" customFormat="1" ht="32.1" customHeight="1" x14ac:dyDescent="0.15"/>
    <row r="12734" s="9" customFormat="1" ht="32.1" customHeight="1" x14ac:dyDescent="0.15"/>
    <row r="12735" s="9" customFormat="1" ht="32.1" customHeight="1" x14ac:dyDescent="0.15"/>
    <row r="12736" s="9" customFormat="1" ht="32.1" customHeight="1" x14ac:dyDescent="0.15"/>
    <row r="12737" s="9" customFormat="1" ht="32.1" customHeight="1" x14ac:dyDescent="0.15"/>
    <row r="12738" s="9" customFormat="1" ht="21.95" customHeight="1" x14ac:dyDescent="0.15"/>
    <row r="12739" s="9" customFormat="1" ht="54" customHeight="1" x14ac:dyDescent="0.15"/>
    <row r="12740" s="9" customFormat="1" ht="21.95" customHeight="1" x14ac:dyDescent="0.15"/>
    <row r="12741" s="9" customFormat="1" ht="21.95" customHeight="1" x14ac:dyDescent="0.15"/>
    <row r="12742" s="9" customFormat="1" ht="21.95" customHeight="1" x14ac:dyDescent="0.15"/>
    <row r="12743" s="9" customFormat="1" ht="21.95" customHeight="1" x14ac:dyDescent="0.15"/>
    <row r="12744" s="9" customFormat="1" ht="21.95" customHeight="1" x14ac:dyDescent="0.15"/>
    <row r="12745" s="9" customFormat="1" ht="21.95" customHeight="1" x14ac:dyDescent="0.15"/>
    <row r="12746" s="9" customFormat="1" ht="21.95" customHeight="1" x14ac:dyDescent="0.15"/>
    <row r="12747" s="9" customFormat="1" ht="21.95" customHeight="1" x14ac:dyDescent="0.15"/>
    <row r="12748" s="9" customFormat="1" ht="21.95" customHeight="1" x14ac:dyDescent="0.15"/>
    <row r="12749" s="9" customFormat="1" ht="21.95" customHeight="1" x14ac:dyDescent="0.15"/>
    <row r="12750" s="9" customFormat="1" ht="21.95" customHeight="1" x14ac:dyDescent="0.15"/>
    <row r="12751" s="9" customFormat="1" ht="21.95" customHeight="1" x14ac:dyDescent="0.15"/>
    <row r="12752" s="9" customFormat="1" ht="21.95" customHeight="1" x14ac:dyDescent="0.15"/>
    <row r="12753" s="9" customFormat="1" ht="21.95" customHeight="1" x14ac:dyDescent="0.15"/>
    <row r="12754" s="9" customFormat="1" ht="21.95" customHeight="1" x14ac:dyDescent="0.15"/>
    <row r="12755" s="9" customFormat="1" ht="21.95" customHeight="1" x14ac:dyDescent="0.15"/>
    <row r="12756" s="9" customFormat="1" ht="21.95" customHeight="1" x14ac:dyDescent="0.15"/>
    <row r="12757" s="9" customFormat="1" ht="21.95" customHeight="1" x14ac:dyDescent="0.15"/>
    <row r="12758" s="9" customFormat="1" ht="21.95" customHeight="1" x14ac:dyDescent="0.15"/>
    <row r="12759" s="9" customFormat="1" ht="21.95" customHeight="1" x14ac:dyDescent="0.15"/>
    <row r="12760" s="9" customFormat="1" ht="21.95" customHeight="1" x14ac:dyDescent="0.15"/>
    <row r="12761" s="9" customFormat="1" ht="21.95" customHeight="1" x14ac:dyDescent="0.15"/>
    <row r="12762" s="9" customFormat="1" ht="21.95" customHeight="1" x14ac:dyDescent="0.15"/>
    <row r="12763" s="9" customFormat="1" ht="21.95" customHeight="1" x14ac:dyDescent="0.15"/>
    <row r="12764" s="9" customFormat="1" ht="21.95" customHeight="1" x14ac:dyDescent="0.15"/>
    <row r="12765" s="9" customFormat="1" ht="21.95" customHeight="1" x14ac:dyDescent="0.15"/>
    <row r="12766" s="9" customFormat="1" ht="21.95" customHeight="1" x14ac:dyDescent="0.15"/>
    <row r="12767" s="9" customFormat="1" ht="21.95" customHeight="1" x14ac:dyDescent="0.15"/>
    <row r="12768" s="9" customFormat="1" ht="21.95" customHeight="1" x14ac:dyDescent="0.15"/>
    <row r="12769" s="9" customFormat="1" ht="21.95" customHeight="1" x14ac:dyDescent="0.15"/>
    <row r="12770" s="9" customFormat="1" ht="21.95" customHeight="1" x14ac:dyDescent="0.15"/>
    <row r="12771" s="9" customFormat="1" ht="21.95" customHeight="1" x14ac:dyDescent="0.15"/>
    <row r="12772" s="9" customFormat="1" ht="21.95" customHeight="1" x14ac:dyDescent="0.15"/>
    <row r="12773" s="9" customFormat="1" ht="21.95" customHeight="1" x14ac:dyDescent="0.15"/>
    <row r="12774" s="9" customFormat="1" ht="21.95" customHeight="1" x14ac:dyDescent="0.15"/>
    <row r="12775" s="9" customFormat="1" ht="21.95" customHeight="1" x14ac:dyDescent="0.15"/>
    <row r="12776" s="9" customFormat="1" ht="21.95" customHeight="1" x14ac:dyDescent="0.15"/>
    <row r="12777" s="9" customFormat="1" ht="21.95" customHeight="1" x14ac:dyDescent="0.15"/>
    <row r="12778" s="9" customFormat="1" ht="21.95" customHeight="1" x14ac:dyDescent="0.15"/>
    <row r="12779" s="9" customFormat="1" ht="21.95" customHeight="1" x14ac:dyDescent="0.15"/>
    <row r="12780" s="9" customFormat="1" ht="21.95" customHeight="1" x14ac:dyDescent="0.15"/>
    <row r="12781" s="9" customFormat="1" ht="21.95" customHeight="1" x14ac:dyDescent="0.15"/>
    <row r="12782" s="9" customFormat="1" ht="21.95" customHeight="1" x14ac:dyDescent="0.15"/>
    <row r="12783" s="9" customFormat="1" ht="21.95" customHeight="1" x14ac:dyDescent="0.15"/>
    <row r="12784" s="9" customFormat="1" ht="21.95" customHeight="1" x14ac:dyDescent="0.15"/>
    <row r="12785" s="9" customFormat="1" ht="21.95" customHeight="1" x14ac:dyDescent="0.15"/>
    <row r="12786" s="9" customFormat="1" ht="21.95" customHeight="1" x14ac:dyDescent="0.15"/>
    <row r="12787" s="9" customFormat="1" ht="21.95" customHeight="1" x14ac:dyDescent="0.15"/>
    <row r="12788" s="9" customFormat="1" ht="21.95" customHeight="1" x14ac:dyDescent="0.15"/>
    <row r="12789" s="9" customFormat="1" ht="21.95" customHeight="1" x14ac:dyDescent="0.15"/>
    <row r="12790" s="9" customFormat="1" ht="35.1" customHeight="1" x14ac:dyDescent="0.15"/>
    <row r="12791" s="9" customFormat="1" ht="21.95" customHeight="1" x14ac:dyDescent="0.15"/>
    <row r="12792" s="9" customFormat="1" ht="21.95" customHeight="1" x14ac:dyDescent="0.15"/>
    <row r="12793" s="9" customFormat="1" ht="21.95" customHeight="1" x14ac:dyDescent="0.15"/>
    <row r="12794" s="9" customFormat="1" ht="21.95" customHeight="1" x14ac:dyDescent="0.15"/>
    <row r="12795" s="9" customFormat="1" ht="21.95" customHeight="1" x14ac:dyDescent="0.15"/>
    <row r="12796" s="9" customFormat="1" ht="21.95" customHeight="1" x14ac:dyDescent="0.15"/>
    <row r="12797" s="9" customFormat="1" ht="21.95" customHeight="1" x14ac:dyDescent="0.15"/>
    <row r="12798" s="9" customFormat="1" ht="21.95" customHeight="1" x14ac:dyDescent="0.15"/>
    <row r="12799" s="9" customFormat="1" ht="21.95" customHeight="1" x14ac:dyDescent="0.15"/>
    <row r="12800" s="9" customFormat="1" ht="21.95" customHeight="1" x14ac:dyDescent="0.15"/>
    <row r="12801" spans="3:3" s="9" customFormat="1" ht="21.95" customHeight="1" x14ac:dyDescent="0.15"/>
    <row r="12802" spans="3:3" s="9" customFormat="1" ht="21.95" customHeight="1" x14ac:dyDescent="0.15"/>
    <row r="12803" spans="3:3" s="9" customFormat="1" ht="21.95" customHeight="1" x14ac:dyDescent="0.15"/>
    <row r="12804" spans="3:3" s="9" customFormat="1" ht="21.95" customHeight="1" x14ac:dyDescent="0.15"/>
    <row r="12805" spans="3:3" s="9" customFormat="1" ht="21.95" customHeight="1" x14ac:dyDescent="0.15"/>
    <row r="12806" spans="3:3" s="9" customFormat="1" ht="21.95" customHeight="1" x14ac:dyDescent="0.15"/>
    <row r="12807" spans="3:3" s="9" customFormat="1" ht="21.95" customHeight="1" x14ac:dyDescent="0.15"/>
    <row r="12808" spans="3:3" s="9" customFormat="1" ht="21.95" customHeight="1" x14ac:dyDescent="0.15"/>
    <row r="12809" spans="3:3" s="9" customFormat="1" ht="21.95" customHeight="1" x14ac:dyDescent="0.15"/>
    <row r="12810" spans="3:3" s="9" customFormat="1" ht="21.95" customHeight="1" x14ac:dyDescent="0.15"/>
    <row r="12811" spans="3:3" s="9" customFormat="1" ht="21.95" customHeight="1" x14ac:dyDescent="0.15"/>
    <row r="12812" spans="3:3" s="9" customFormat="1" ht="21.95" customHeight="1" x14ac:dyDescent="0.15"/>
    <row r="12813" spans="3:3" s="9" customFormat="1" ht="21.95" customHeight="1" x14ac:dyDescent="0.15"/>
    <row r="12814" spans="3:3" s="8" customFormat="1" ht="21.95" customHeight="1" x14ac:dyDescent="0.15"/>
    <row r="12815" spans="3:3" s="8" customFormat="1" ht="21.95" customHeight="1" x14ac:dyDescent="0.15"/>
    <row r="12816" spans="3:3" s="8" customFormat="1" ht="21.95" customHeight="1" x14ac:dyDescent="0.15">
      <c r="C12816" s="101"/>
    </row>
    <row r="12817" spans="3:3" s="8" customFormat="1" ht="21.95" customHeight="1" x14ac:dyDescent="0.15">
      <c r="C12817" s="101"/>
    </row>
    <row r="12818" spans="3:3" s="8" customFormat="1" ht="21.95" customHeight="1" x14ac:dyDescent="0.15"/>
    <row r="12819" spans="3:3" s="8" customFormat="1" ht="21.95" customHeight="1" x14ac:dyDescent="0.15"/>
    <row r="12820" spans="3:3" s="8" customFormat="1" ht="21.95" customHeight="1" x14ac:dyDescent="0.15"/>
    <row r="12821" spans="3:3" s="8" customFormat="1" ht="21.95" customHeight="1" x14ac:dyDescent="0.15"/>
    <row r="12822" spans="3:3" s="8" customFormat="1" ht="21.95" customHeight="1" x14ac:dyDescent="0.15"/>
    <row r="12823" spans="3:3" s="8" customFormat="1" ht="21.95" customHeight="1" x14ac:dyDescent="0.15"/>
    <row r="12824" spans="3:3" s="8" customFormat="1" ht="21.95" customHeight="1" x14ac:dyDescent="0.15"/>
    <row r="12825" spans="3:3" s="9" customFormat="1" ht="21.95" customHeight="1" x14ac:dyDescent="0.15"/>
    <row r="12826" spans="3:3" s="9" customFormat="1" ht="21.95" customHeight="1" x14ac:dyDescent="0.15"/>
    <row r="12827" spans="3:3" s="9" customFormat="1" ht="21.95" customHeight="1" x14ac:dyDescent="0.15"/>
    <row r="12828" spans="3:3" s="9" customFormat="1" ht="21.95" customHeight="1" x14ac:dyDescent="0.15"/>
    <row r="12829" spans="3:3" s="8" customFormat="1" ht="21.95" customHeight="1" x14ac:dyDescent="0.15"/>
    <row r="12830" spans="3:3" s="8" customFormat="1" ht="21.95" customHeight="1" x14ac:dyDescent="0.15"/>
    <row r="12831" spans="3:3" s="8" customFormat="1" ht="21.95" customHeight="1" x14ac:dyDescent="0.15"/>
    <row r="12832" spans="3:3" s="8" customFormat="1" ht="21.95" customHeight="1" x14ac:dyDescent="0.15"/>
    <row r="12833" s="8" customFormat="1" ht="21.95" customHeight="1" x14ac:dyDescent="0.15"/>
    <row r="12834" s="8" customFormat="1" ht="21.95" customHeight="1" x14ac:dyDescent="0.15"/>
    <row r="12835" s="8" customFormat="1" ht="21.95" customHeight="1" x14ac:dyDescent="0.15"/>
    <row r="12836" s="8" customFormat="1" ht="21.95" customHeight="1" x14ac:dyDescent="0.15"/>
    <row r="12837" s="8" customFormat="1" ht="21.95" customHeight="1" x14ac:dyDescent="0.15"/>
    <row r="12838" s="8" customFormat="1" ht="21.95" customHeight="1" x14ac:dyDescent="0.15"/>
    <row r="12839" s="8" customFormat="1" ht="21.95" customHeight="1" x14ac:dyDescent="0.15"/>
    <row r="12840" s="8" customFormat="1" ht="32.1" customHeight="1" x14ac:dyDescent="0.15"/>
    <row r="12841" s="8" customFormat="1" ht="32.1" customHeight="1" x14ac:dyDescent="0.15"/>
    <row r="12842" s="8" customFormat="1" ht="32.1" customHeight="1" x14ac:dyDescent="0.15"/>
    <row r="12843" s="8" customFormat="1" ht="32.1" customHeight="1" x14ac:dyDescent="0.15"/>
    <row r="12844" s="8" customFormat="1" ht="32.1" customHeight="1" x14ac:dyDescent="0.15"/>
    <row r="12845" s="8" customFormat="1" ht="32.1" customHeight="1" x14ac:dyDescent="0.15"/>
    <row r="12846" s="9" customFormat="1" ht="32.1" customHeight="1" x14ac:dyDescent="0.15"/>
    <row r="12847" s="9" customFormat="1" ht="32.1" customHeight="1" x14ac:dyDescent="0.15"/>
    <row r="12848" s="9" customFormat="1" ht="32.1" customHeight="1" x14ac:dyDescent="0.15"/>
    <row r="12849" s="9" customFormat="1" ht="32.1" customHeight="1" x14ac:dyDescent="0.15"/>
    <row r="12850" s="9" customFormat="1" ht="21.95" customHeight="1" x14ac:dyDescent="0.15"/>
    <row r="12851" s="9" customFormat="1" ht="54" customHeight="1" x14ac:dyDescent="0.15"/>
    <row r="12852" s="9" customFormat="1" ht="21.95" customHeight="1" x14ac:dyDescent="0.15"/>
    <row r="12853" s="9" customFormat="1" ht="21.95" customHeight="1" x14ac:dyDescent="0.15"/>
    <row r="12854" s="9" customFormat="1" ht="21.95" customHeight="1" x14ac:dyDescent="0.15"/>
    <row r="12855" s="9" customFormat="1" ht="21.95" customHeight="1" x14ac:dyDescent="0.15"/>
    <row r="12856" s="9" customFormat="1" ht="21.95" customHeight="1" x14ac:dyDescent="0.15"/>
    <row r="12857" s="9" customFormat="1" ht="21.95" customHeight="1" x14ac:dyDescent="0.15"/>
    <row r="12858" s="9" customFormat="1" ht="21.95" customHeight="1" x14ac:dyDescent="0.15"/>
    <row r="12859" s="9" customFormat="1" ht="21.95" customHeight="1" x14ac:dyDescent="0.15"/>
    <row r="12860" s="9" customFormat="1" ht="21.95" customHeight="1" x14ac:dyDescent="0.15"/>
    <row r="12861" s="9" customFormat="1" ht="21.95" customHeight="1" x14ac:dyDescent="0.15"/>
    <row r="12862" s="9" customFormat="1" ht="21.95" customHeight="1" x14ac:dyDescent="0.15"/>
    <row r="12863" s="9" customFormat="1" ht="21.95" customHeight="1" x14ac:dyDescent="0.15"/>
    <row r="12864" s="9" customFormat="1" ht="21.95" customHeight="1" x14ac:dyDescent="0.15"/>
    <row r="12865" s="9" customFormat="1" ht="21.95" customHeight="1" x14ac:dyDescent="0.15"/>
    <row r="12866" s="9" customFormat="1" ht="21.95" customHeight="1" x14ac:dyDescent="0.15"/>
    <row r="12867" s="9" customFormat="1" ht="21.95" customHeight="1" x14ac:dyDescent="0.15"/>
    <row r="12868" s="9" customFormat="1" ht="21.95" customHeight="1" x14ac:dyDescent="0.15"/>
    <row r="12869" s="9" customFormat="1" ht="21.95" customHeight="1" x14ac:dyDescent="0.15"/>
    <row r="12870" s="9" customFormat="1" ht="21.95" customHeight="1" x14ac:dyDescent="0.15"/>
    <row r="12871" s="9" customFormat="1" ht="21.95" customHeight="1" x14ac:dyDescent="0.15"/>
    <row r="12872" s="9" customFormat="1" ht="21.95" customHeight="1" x14ac:dyDescent="0.15"/>
    <row r="12873" s="9" customFormat="1" ht="21.95" customHeight="1" x14ac:dyDescent="0.15"/>
    <row r="12874" s="9" customFormat="1" ht="21.95" customHeight="1" x14ac:dyDescent="0.15"/>
    <row r="12875" s="9" customFormat="1" ht="21.95" customHeight="1" x14ac:dyDescent="0.15"/>
    <row r="12876" s="9" customFormat="1" ht="21.95" customHeight="1" x14ac:dyDescent="0.15"/>
    <row r="12877" s="9" customFormat="1" ht="21.95" customHeight="1" x14ac:dyDescent="0.15"/>
    <row r="12878" s="9" customFormat="1" ht="21.95" customHeight="1" x14ac:dyDescent="0.15"/>
    <row r="12879" s="9" customFormat="1" ht="21.95" customHeight="1" x14ac:dyDescent="0.15"/>
    <row r="12880" s="9" customFormat="1" ht="21.95" customHeight="1" x14ac:dyDescent="0.15"/>
    <row r="12881" s="9" customFormat="1" ht="21.95" customHeight="1" x14ac:dyDescent="0.15"/>
    <row r="12882" s="9" customFormat="1" ht="21.95" customHeight="1" x14ac:dyDescent="0.15"/>
    <row r="12883" s="9" customFormat="1" ht="21.95" customHeight="1" x14ac:dyDescent="0.15"/>
    <row r="12884" s="9" customFormat="1" ht="21.95" customHeight="1" x14ac:dyDescent="0.15"/>
    <row r="12885" s="9" customFormat="1" ht="21.95" customHeight="1" x14ac:dyDescent="0.15"/>
    <row r="12886" s="9" customFormat="1" ht="21.95" customHeight="1" x14ac:dyDescent="0.15"/>
    <row r="12887" s="9" customFormat="1" ht="21.95" customHeight="1" x14ac:dyDescent="0.15"/>
    <row r="12888" s="9" customFormat="1" ht="21.95" customHeight="1" x14ac:dyDescent="0.15"/>
    <row r="12889" s="9" customFormat="1" ht="21.95" customHeight="1" x14ac:dyDescent="0.15"/>
    <row r="12890" s="9" customFormat="1" ht="21.95" customHeight="1" x14ac:dyDescent="0.15"/>
    <row r="12891" s="9" customFormat="1" ht="21.95" customHeight="1" x14ac:dyDescent="0.15"/>
    <row r="12892" s="9" customFormat="1" ht="21.95" customHeight="1" x14ac:dyDescent="0.15"/>
    <row r="12893" s="9" customFormat="1" ht="21.95" customHeight="1" x14ac:dyDescent="0.15"/>
    <row r="12894" s="9" customFormat="1" ht="21.95" customHeight="1" x14ac:dyDescent="0.15"/>
    <row r="12895" s="9" customFormat="1" ht="21.95" customHeight="1" x14ac:dyDescent="0.15"/>
    <row r="12896" s="9" customFormat="1" ht="21.95" customHeight="1" x14ac:dyDescent="0.15"/>
    <row r="12897" s="9" customFormat="1" ht="21.95" customHeight="1" x14ac:dyDescent="0.15"/>
    <row r="12898" s="9" customFormat="1" ht="21.95" customHeight="1" x14ac:dyDescent="0.15"/>
    <row r="12899" s="9" customFormat="1" ht="21.95" customHeight="1" x14ac:dyDescent="0.15"/>
    <row r="12900" s="9" customFormat="1" ht="21.95" customHeight="1" x14ac:dyDescent="0.15"/>
    <row r="12901" s="9" customFormat="1" ht="21.95" customHeight="1" x14ac:dyDescent="0.15"/>
    <row r="12902" s="9" customFormat="1" ht="35.1" customHeight="1" x14ac:dyDescent="0.15"/>
    <row r="12903" s="9" customFormat="1" ht="21.95" customHeight="1" x14ac:dyDescent="0.15"/>
    <row r="12904" s="9" customFormat="1" ht="21.95" customHeight="1" x14ac:dyDescent="0.15"/>
    <row r="12905" s="9" customFormat="1" ht="21.95" customHeight="1" x14ac:dyDescent="0.15"/>
    <row r="12906" s="9" customFormat="1" ht="21.95" customHeight="1" x14ac:dyDescent="0.15"/>
    <row r="12907" s="9" customFormat="1" ht="21.95" customHeight="1" x14ac:dyDescent="0.15"/>
    <row r="12908" s="9" customFormat="1" ht="21.95" customHeight="1" x14ac:dyDescent="0.15"/>
    <row r="12909" s="9" customFormat="1" ht="21.95" customHeight="1" x14ac:dyDescent="0.15"/>
    <row r="12910" s="9" customFormat="1" ht="21.95" customHeight="1" x14ac:dyDescent="0.15"/>
    <row r="12911" s="9" customFormat="1" ht="21.95" customHeight="1" x14ac:dyDescent="0.15"/>
    <row r="12912" s="9" customFormat="1" ht="21.95" customHeight="1" x14ac:dyDescent="0.15"/>
    <row r="12913" spans="3:3" s="9" customFormat="1" ht="21.95" customHeight="1" x14ac:dyDescent="0.15"/>
    <row r="12914" spans="3:3" s="9" customFormat="1" ht="21.95" customHeight="1" x14ac:dyDescent="0.15"/>
    <row r="12915" spans="3:3" s="9" customFormat="1" ht="21.95" customHeight="1" x14ac:dyDescent="0.15"/>
    <row r="12916" spans="3:3" s="9" customFormat="1" ht="21.95" customHeight="1" x14ac:dyDescent="0.15"/>
    <row r="12917" spans="3:3" s="9" customFormat="1" ht="21.95" customHeight="1" x14ac:dyDescent="0.15"/>
    <row r="12918" spans="3:3" s="9" customFormat="1" ht="21.95" customHeight="1" x14ac:dyDescent="0.15"/>
    <row r="12919" spans="3:3" s="9" customFormat="1" ht="21.95" customHeight="1" x14ac:dyDescent="0.15"/>
    <row r="12920" spans="3:3" s="9" customFormat="1" ht="21.95" customHeight="1" x14ac:dyDescent="0.15"/>
    <row r="12921" spans="3:3" s="9" customFormat="1" ht="21.95" customHeight="1" x14ac:dyDescent="0.15"/>
    <row r="12922" spans="3:3" s="9" customFormat="1" ht="21.95" customHeight="1" x14ac:dyDescent="0.15"/>
    <row r="12923" spans="3:3" s="9" customFormat="1" ht="21.95" customHeight="1" x14ac:dyDescent="0.15"/>
    <row r="12924" spans="3:3" s="9" customFormat="1" ht="21.95" customHeight="1" x14ac:dyDescent="0.15"/>
    <row r="12925" spans="3:3" s="9" customFormat="1" ht="21.95" customHeight="1" x14ac:dyDescent="0.15"/>
    <row r="12926" spans="3:3" s="8" customFormat="1" ht="21.95" customHeight="1" x14ac:dyDescent="0.15"/>
    <row r="12927" spans="3:3" s="8" customFormat="1" ht="21.95" customHeight="1" x14ac:dyDescent="0.15"/>
    <row r="12928" spans="3:3" s="8" customFormat="1" ht="21.95" customHeight="1" x14ac:dyDescent="0.15">
      <c r="C12928" s="101"/>
    </row>
    <row r="12929" spans="3:3" s="8" customFormat="1" ht="21.95" customHeight="1" x14ac:dyDescent="0.15">
      <c r="C12929" s="101"/>
    </row>
    <row r="12930" spans="3:3" s="8" customFormat="1" ht="21.95" customHeight="1" x14ac:dyDescent="0.15"/>
    <row r="12931" spans="3:3" s="8" customFormat="1" ht="21.95" customHeight="1" x14ac:dyDescent="0.15"/>
    <row r="12932" spans="3:3" s="8" customFormat="1" ht="21.95" customHeight="1" x14ac:dyDescent="0.15"/>
    <row r="12933" spans="3:3" s="8" customFormat="1" ht="21.95" customHeight="1" x14ac:dyDescent="0.15"/>
    <row r="12934" spans="3:3" s="8" customFormat="1" ht="21.95" customHeight="1" x14ac:dyDescent="0.15"/>
    <row r="12935" spans="3:3" s="8" customFormat="1" ht="21.95" customHeight="1" x14ac:dyDescent="0.15"/>
    <row r="12936" spans="3:3" s="8" customFormat="1" ht="21.95" customHeight="1" x14ac:dyDescent="0.15"/>
    <row r="12937" spans="3:3" s="9" customFormat="1" ht="21.95" customHeight="1" x14ac:dyDescent="0.15"/>
    <row r="12938" spans="3:3" s="9" customFormat="1" ht="21.95" customHeight="1" x14ac:dyDescent="0.15"/>
    <row r="12939" spans="3:3" s="9" customFormat="1" ht="21.95" customHeight="1" x14ac:dyDescent="0.15"/>
    <row r="12940" spans="3:3" s="9" customFormat="1" ht="21.95" customHeight="1" x14ac:dyDescent="0.15"/>
    <row r="12941" spans="3:3" s="8" customFormat="1" ht="21.95" customHeight="1" x14ac:dyDescent="0.15"/>
    <row r="12942" spans="3:3" s="8" customFormat="1" ht="21.95" customHeight="1" x14ac:dyDescent="0.15"/>
    <row r="12943" spans="3:3" s="8" customFormat="1" ht="21.95" customHeight="1" x14ac:dyDescent="0.15"/>
    <row r="12944" spans="3:3" s="8" customFormat="1" ht="21.95" customHeight="1" x14ac:dyDescent="0.15"/>
    <row r="12945" s="8" customFormat="1" ht="21.95" customHeight="1" x14ac:dyDescent="0.15"/>
    <row r="12946" s="8" customFormat="1" ht="21.95" customHeight="1" x14ac:dyDescent="0.15"/>
    <row r="12947" s="8" customFormat="1" ht="21.95" customHeight="1" x14ac:dyDescent="0.15"/>
    <row r="12948" s="8" customFormat="1" ht="21.95" customHeight="1" x14ac:dyDescent="0.15"/>
    <row r="12949" s="8" customFormat="1" ht="21.95" customHeight="1" x14ac:dyDescent="0.15"/>
    <row r="12950" s="8" customFormat="1" ht="21.95" customHeight="1" x14ac:dyDescent="0.15"/>
    <row r="12951" s="8" customFormat="1" ht="21.95" customHeight="1" x14ac:dyDescent="0.15"/>
    <row r="12952" s="8" customFormat="1" ht="32.1" customHeight="1" x14ac:dyDescent="0.15"/>
    <row r="12953" s="8" customFormat="1" ht="32.1" customHeight="1" x14ac:dyDescent="0.15"/>
    <row r="12954" s="8" customFormat="1" ht="32.1" customHeight="1" x14ac:dyDescent="0.15"/>
    <row r="12955" s="8" customFormat="1" ht="32.1" customHeight="1" x14ac:dyDescent="0.15"/>
    <row r="12956" s="8" customFormat="1" ht="32.1" customHeight="1" x14ac:dyDescent="0.15"/>
    <row r="12957" s="8" customFormat="1" ht="32.1" customHeight="1" x14ac:dyDescent="0.15"/>
    <row r="12958" s="9" customFormat="1" ht="32.1" customHeight="1" x14ac:dyDescent="0.15"/>
    <row r="12959" s="9" customFormat="1" ht="32.1" customHeight="1" x14ac:dyDescent="0.15"/>
    <row r="12960" s="9" customFormat="1" ht="32.1" customHeight="1" x14ac:dyDescent="0.15"/>
    <row r="12961" s="9" customFormat="1" ht="32.1" customHeight="1" x14ac:dyDescent="0.15"/>
    <row r="12962" s="9" customFormat="1" ht="21.95" customHeight="1" x14ac:dyDescent="0.15"/>
    <row r="12963" s="9" customFormat="1" ht="54" customHeight="1" x14ac:dyDescent="0.15"/>
    <row r="12964" s="9" customFormat="1" ht="21.95" customHeight="1" x14ac:dyDescent="0.15"/>
    <row r="12965" s="9" customFormat="1" ht="21.95" customHeight="1" x14ac:dyDescent="0.15"/>
    <row r="12966" s="9" customFormat="1" ht="21.95" customHeight="1" x14ac:dyDescent="0.15"/>
    <row r="12967" s="9" customFormat="1" ht="21.95" customHeight="1" x14ac:dyDescent="0.15"/>
    <row r="12968" s="9" customFormat="1" ht="21.95" customHeight="1" x14ac:dyDescent="0.15"/>
    <row r="12969" s="9" customFormat="1" ht="21.95" customHeight="1" x14ac:dyDescent="0.15"/>
    <row r="12970" s="9" customFormat="1" ht="21.95" customHeight="1" x14ac:dyDescent="0.15"/>
    <row r="12971" s="9" customFormat="1" ht="21.95" customHeight="1" x14ac:dyDescent="0.15"/>
    <row r="12972" s="9" customFormat="1" ht="21.95" customHeight="1" x14ac:dyDescent="0.15"/>
    <row r="12973" s="9" customFormat="1" ht="21.95" customHeight="1" x14ac:dyDescent="0.15"/>
    <row r="12974" s="9" customFormat="1" ht="21.95" customHeight="1" x14ac:dyDescent="0.15"/>
    <row r="12975" s="9" customFormat="1" ht="21.95" customHeight="1" x14ac:dyDescent="0.15"/>
    <row r="12976" s="9" customFormat="1" ht="21.95" customHeight="1" x14ac:dyDescent="0.15"/>
    <row r="12977" s="9" customFormat="1" ht="21.95" customHeight="1" x14ac:dyDescent="0.15"/>
    <row r="12978" s="9" customFormat="1" ht="21.95" customHeight="1" x14ac:dyDescent="0.15"/>
    <row r="12979" s="9" customFormat="1" ht="21.95" customHeight="1" x14ac:dyDescent="0.15"/>
    <row r="12980" s="9" customFormat="1" ht="21.95" customHeight="1" x14ac:dyDescent="0.15"/>
    <row r="12981" s="9" customFormat="1" ht="21.95" customHeight="1" x14ac:dyDescent="0.15"/>
    <row r="12982" s="9" customFormat="1" ht="21.95" customHeight="1" x14ac:dyDescent="0.15"/>
    <row r="12983" s="9" customFormat="1" ht="21.95" customHeight="1" x14ac:dyDescent="0.15"/>
    <row r="12984" s="9" customFormat="1" ht="21.95" customHeight="1" x14ac:dyDescent="0.15"/>
    <row r="12985" s="9" customFormat="1" ht="21.95" customHeight="1" x14ac:dyDescent="0.15"/>
    <row r="12986" s="9" customFormat="1" ht="21.95" customHeight="1" x14ac:dyDescent="0.15"/>
    <row r="12987" s="9" customFormat="1" ht="21.95" customHeight="1" x14ac:dyDescent="0.15"/>
    <row r="12988" s="9" customFormat="1" ht="21.95" customHeight="1" x14ac:dyDescent="0.15"/>
    <row r="12989" s="9" customFormat="1" ht="21.95" customHeight="1" x14ac:dyDescent="0.15"/>
    <row r="12990" s="9" customFormat="1" ht="21.95" customHeight="1" x14ac:dyDescent="0.15"/>
    <row r="12991" s="9" customFormat="1" ht="21.95" customHeight="1" x14ac:dyDescent="0.15"/>
    <row r="12992" s="9" customFormat="1" ht="21.95" customHeight="1" x14ac:dyDescent="0.15"/>
    <row r="12993" s="9" customFormat="1" ht="21.95" customHeight="1" x14ac:dyDescent="0.15"/>
    <row r="12994" s="9" customFormat="1" ht="21.95" customHeight="1" x14ac:dyDescent="0.15"/>
    <row r="12995" s="9" customFormat="1" ht="21.95" customHeight="1" x14ac:dyDescent="0.15"/>
    <row r="12996" s="9" customFormat="1" ht="21.95" customHeight="1" x14ac:dyDescent="0.15"/>
    <row r="12997" s="9" customFormat="1" ht="21.95" customHeight="1" x14ac:dyDescent="0.15"/>
    <row r="12998" s="9" customFormat="1" ht="21.95" customHeight="1" x14ac:dyDescent="0.15"/>
    <row r="12999" s="9" customFormat="1" ht="21.95" customHeight="1" x14ac:dyDescent="0.15"/>
    <row r="13000" s="9" customFormat="1" ht="21.95" customHeight="1" x14ac:dyDescent="0.15"/>
    <row r="13001" s="9" customFormat="1" ht="21.95" customHeight="1" x14ac:dyDescent="0.15"/>
    <row r="13002" s="9" customFormat="1" ht="21.95" customHeight="1" x14ac:dyDescent="0.15"/>
    <row r="13003" s="9" customFormat="1" ht="21.95" customHeight="1" x14ac:dyDescent="0.15"/>
    <row r="13004" s="9" customFormat="1" ht="21.95" customHeight="1" x14ac:dyDescent="0.15"/>
    <row r="13005" s="9" customFormat="1" ht="21.95" customHeight="1" x14ac:dyDescent="0.15"/>
    <row r="13006" s="9" customFormat="1" ht="21.95" customHeight="1" x14ac:dyDescent="0.15"/>
    <row r="13007" s="9" customFormat="1" ht="21.95" customHeight="1" x14ac:dyDescent="0.15"/>
    <row r="13008" s="9" customFormat="1" ht="21.95" customHeight="1" x14ac:dyDescent="0.15"/>
    <row r="13009" s="9" customFormat="1" ht="21.95" customHeight="1" x14ac:dyDescent="0.15"/>
    <row r="13010" s="9" customFormat="1" ht="21.95" customHeight="1" x14ac:dyDescent="0.15"/>
    <row r="13011" s="9" customFormat="1" ht="21.95" customHeight="1" x14ac:dyDescent="0.15"/>
    <row r="13012" s="9" customFormat="1" ht="21.95" customHeight="1" x14ac:dyDescent="0.15"/>
    <row r="13013" s="9" customFormat="1" ht="21.95" customHeight="1" x14ac:dyDescent="0.15"/>
    <row r="13014" s="9" customFormat="1" ht="35.1" customHeight="1" x14ac:dyDescent="0.15"/>
    <row r="13015" s="9" customFormat="1" ht="21.95" customHeight="1" x14ac:dyDescent="0.15"/>
    <row r="13016" s="9" customFormat="1" ht="21.95" customHeight="1" x14ac:dyDescent="0.15"/>
    <row r="13017" s="9" customFormat="1" ht="21.95" customHeight="1" x14ac:dyDescent="0.15"/>
    <row r="13018" s="9" customFormat="1" ht="21.95" customHeight="1" x14ac:dyDescent="0.15"/>
    <row r="13019" s="9" customFormat="1" ht="21.95" customHeight="1" x14ac:dyDescent="0.15"/>
    <row r="13020" s="9" customFormat="1" ht="21.95" customHeight="1" x14ac:dyDescent="0.15"/>
    <row r="13021" s="9" customFormat="1" ht="21.95" customHeight="1" x14ac:dyDescent="0.15"/>
    <row r="13022" s="9" customFormat="1" ht="21.95" customHeight="1" x14ac:dyDescent="0.15"/>
    <row r="13023" s="9" customFormat="1" ht="21.95" customHeight="1" x14ac:dyDescent="0.15"/>
    <row r="13024" s="9" customFormat="1" ht="21.95" customHeight="1" x14ac:dyDescent="0.15"/>
    <row r="13025" spans="3:3" s="9" customFormat="1" ht="21.95" customHeight="1" x14ac:dyDescent="0.15"/>
    <row r="13026" spans="3:3" s="9" customFormat="1" ht="21.95" customHeight="1" x14ac:dyDescent="0.15"/>
    <row r="13027" spans="3:3" s="9" customFormat="1" ht="21.95" customHeight="1" x14ac:dyDescent="0.15"/>
    <row r="13028" spans="3:3" s="9" customFormat="1" ht="21.95" customHeight="1" x14ac:dyDescent="0.15"/>
    <row r="13029" spans="3:3" s="9" customFormat="1" ht="21.95" customHeight="1" x14ac:dyDescent="0.15"/>
    <row r="13030" spans="3:3" s="9" customFormat="1" ht="21.95" customHeight="1" x14ac:dyDescent="0.15"/>
    <row r="13031" spans="3:3" s="9" customFormat="1" ht="21.95" customHeight="1" x14ac:dyDescent="0.15"/>
    <row r="13032" spans="3:3" s="9" customFormat="1" ht="21.95" customHeight="1" x14ac:dyDescent="0.15"/>
    <row r="13033" spans="3:3" s="9" customFormat="1" ht="21.95" customHeight="1" x14ac:dyDescent="0.15"/>
    <row r="13034" spans="3:3" s="9" customFormat="1" ht="21.95" customHeight="1" x14ac:dyDescent="0.15"/>
    <row r="13035" spans="3:3" s="9" customFormat="1" ht="21.95" customHeight="1" x14ac:dyDescent="0.15"/>
    <row r="13036" spans="3:3" s="9" customFormat="1" ht="21.95" customHeight="1" x14ac:dyDescent="0.15"/>
    <row r="13037" spans="3:3" s="9" customFormat="1" ht="21.95" customHeight="1" x14ac:dyDescent="0.15"/>
    <row r="13038" spans="3:3" s="8" customFormat="1" ht="21.95" customHeight="1" x14ac:dyDescent="0.15"/>
    <row r="13039" spans="3:3" s="8" customFormat="1" ht="21.95" customHeight="1" x14ac:dyDescent="0.15"/>
    <row r="13040" spans="3:3" s="8" customFormat="1" ht="21.95" customHeight="1" x14ac:dyDescent="0.15">
      <c r="C13040" s="101"/>
    </row>
    <row r="13041" spans="3:3" s="8" customFormat="1" ht="21.95" customHeight="1" x14ac:dyDescent="0.15">
      <c r="C13041" s="101"/>
    </row>
    <row r="13042" spans="3:3" s="8" customFormat="1" ht="21.95" customHeight="1" x14ac:dyDescent="0.15"/>
    <row r="13043" spans="3:3" s="8" customFormat="1" ht="21.95" customHeight="1" x14ac:dyDescent="0.15"/>
    <row r="13044" spans="3:3" s="8" customFormat="1" ht="21.95" customHeight="1" x14ac:dyDescent="0.15"/>
    <row r="13045" spans="3:3" s="8" customFormat="1" ht="21.95" customHeight="1" x14ac:dyDescent="0.15"/>
    <row r="13046" spans="3:3" s="8" customFormat="1" ht="21.95" customHeight="1" x14ac:dyDescent="0.15"/>
    <row r="13047" spans="3:3" s="8" customFormat="1" ht="21.95" customHeight="1" x14ac:dyDescent="0.15"/>
    <row r="13048" spans="3:3" s="8" customFormat="1" ht="21.95" customHeight="1" x14ac:dyDescent="0.15"/>
    <row r="13049" spans="3:3" s="9" customFormat="1" ht="21.95" customHeight="1" x14ac:dyDescent="0.15"/>
    <row r="13050" spans="3:3" s="9" customFormat="1" ht="21.95" customHeight="1" x14ac:dyDescent="0.15"/>
    <row r="13051" spans="3:3" s="9" customFormat="1" ht="21.95" customHeight="1" x14ac:dyDescent="0.15"/>
    <row r="13052" spans="3:3" s="9" customFormat="1" ht="21.95" customHeight="1" x14ac:dyDescent="0.15"/>
    <row r="13053" spans="3:3" s="8" customFormat="1" ht="21.95" customHeight="1" x14ac:dyDescent="0.15"/>
    <row r="13054" spans="3:3" s="8" customFormat="1" ht="21.95" customHeight="1" x14ac:dyDescent="0.15"/>
    <row r="13055" spans="3:3" s="8" customFormat="1" ht="21.95" customHeight="1" x14ac:dyDescent="0.15"/>
    <row r="13056" spans="3:3" s="8" customFormat="1" ht="21.95" customHeight="1" x14ac:dyDescent="0.15"/>
    <row r="13057" s="8" customFormat="1" ht="21.95" customHeight="1" x14ac:dyDescent="0.15"/>
    <row r="13058" s="8" customFormat="1" ht="21.95" customHeight="1" x14ac:dyDescent="0.15"/>
    <row r="13059" s="8" customFormat="1" ht="21.95" customHeight="1" x14ac:dyDescent="0.15"/>
    <row r="13060" s="8" customFormat="1" ht="21.95" customHeight="1" x14ac:dyDescent="0.15"/>
    <row r="13061" s="8" customFormat="1" ht="21.95" customHeight="1" x14ac:dyDescent="0.15"/>
    <row r="13062" s="8" customFormat="1" ht="21.95" customHeight="1" x14ac:dyDescent="0.15"/>
    <row r="13063" s="8" customFormat="1" ht="21.95" customHeight="1" x14ac:dyDescent="0.15"/>
    <row r="13064" s="8" customFormat="1" ht="32.1" customHeight="1" x14ac:dyDescent="0.15"/>
    <row r="13065" s="8" customFormat="1" ht="32.1" customHeight="1" x14ac:dyDescent="0.15"/>
    <row r="13066" s="8" customFormat="1" ht="32.1" customHeight="1" x14ac:dyDescent="0.15"/>
    <row r="13067" s="8" customFormat="1" ht="32.1" customHeight="1" x14ac:dyDescent="0.15"/>
    <row r="13068" s="8" customFormat="1" ht="32.1" customHeight="1" x14ac:dyDescent="0.15"/>
    <row r="13069" s="8" customFormat="1" ht="32.1" customHeight="1" x14ac:dyDescent="0.15"/>
    <row r="13070" s="9" customFormat="1" ht="32.1" customHeight="1" x14ac:dyDescent="0.15"/>
    <row r="13071" s="9" customFormat="1" ht="32.1" customHeight="1" x14ac:dyDescent="0.15"/>
    <row r="13072" s="9" customFormat="1" ht="32.1" customHeight="1" x14ac:dyDescent="0.15"/>
    <row r="13073" s="9" customFormat="1" ht="32.1" customHeight="1" x14ac:dyDescent="0.15"/>
    <row r="13074" s="9" customFormat="1" ht="21.95" customHeight="1" x14ac:dyDescent="0.15"/>
    <row r="13075" s="9" customFormat="1" ht="54" customHeight="1" x14ac:dyDescent="0.15"/>
    <row r="13076" s="9" customFormat="1" ht="21.95" customHeight="1" x14ac:dyDescent="0.15"/>
    <row r="13077" s="9" customFormat="1" ht="21.95" customHeight="1" x14ac:dyDescent="0.15"/>
    <row r="13078" s="9" customFormat="1" ht="21.95" customHeight="1" x14ac:dyDescent="0.15"/>
    <row r="13079" s="9" customFormat="1" ht="21.95" customHeight="1" x14ac:dyDescent="0.15"/>
    <row r="13080" s="9" customFormat="1" ht="21.95" customHeight="1" x14ac:dyDescent="0.15"/>
    <row r="13081" s="9" customFormat="1" ht="21.95" customHeight="1" x14ac:dyDescent="0.15"/>
    <row r="13082" s="9" customFormat="1" ht="21.95" customHeight="1" x14ac:dyDescent="0.15"/>
    <row r="13083" s="9" customFormat="1" ht="21.95" customHeight="1" x14ac:dyDescent="0.15"/>
    <row r="13084" s="9" customFormat="1" ht="21.95" customHeight="1" x14ac:dyDescent="0.15"/>
    <row r="13085" s="9" customFormat="1" ht="21.95" customHeight="1" x14ac:dyDescent="0.15"/>
    <row r="13086" s="9" customFormat="1" ht="21.95" customHeight="1" x14ac:dyDescent="0.15"/>
    <row r="13087" s="9" customFormat="1" ht="21.95" customHeight="1" x14ac:dyDescent="0.15"/>
    <row r="13088" s="9" customFormat="1" ht="21.95" customHeight="1" x14ac:dyDescent="0.15"/>
    <row r="13089" s="9" customFormat="1" ht="21.95" customHeight="1" x14ac:dyDescent="0.15"/>
    <row r="13090" s="9" customFormat="1" ht="21.95" customHeight="1" x14ac:dyDescent="0.15"/>
    <row r="13091" s="9" customFormat="1" ht="21.95" customHeight="1" x14ac:dyDescent="0.15"/>
    <row r="13092" s="9" customFormat="1" ht="21.95" customHeight="1" x14ac:dyDescent="0.15"/>
    <row r="13093" s="9" customFormat="1" ht="21.95" customHeight="1" x14ac:dyDescent="0.15"/>
    <row r="13094" s="9" customFormat="1" ht="21.95" customHeight="1" x14ac:dyDescent="0.15"/>
    <row r="13095" s="9" customFormat="1" ht="21.95" customHeight="1" x14ac:dyDescent="0.15"/>
    <row r="13096" s="9" customFormat="1" ht="21.95" customHeight="1" x14ac:dyDescent="0.15"/>
    <row r="13097" s="9" customFormat="1" ht="21.95" customHeight="1" x14ac:dyDescent="0.15"/>
    <row r="13098" s="9" customFormat="1" ht="21.95" customHeight="1" x14ac:dyDescent="0.15"/>
    <row r="13099" s="9" customFormat="1" ht="21.95" customHeight="1" x14ac:dyDescent="0.15"/>
    <row r="13100" s="9" customFormat="1" ht="21.95" customHeight="1" x14ac:dyDescent="0.15"/>
    <row r="13101" s="9" customFormat="1" ht="21.95" customHeight="1" x14ac:dyDescent="0.15"/>
    <row r="13102" s="9" customFormat="1" ht="21.95" customHeight="1" x14ac:dyDescent="0.15"/>
    <row r="13103" s="9" customFormat="1" ht="21.95" customHeight="1" x14ac:dyDescent="0.15"/>
    <row r="13104" s="9" customFormat="1" ht="21.95" customHeight="1" x14ac:dyDescent="0.15"/>
    <row r="13105" s="9" customFormat="1" ht="21.95" customHeight="1" x14ac:dyDescent="0.15"/>
    <row r="13106" s="9" customFormat="1" ht="21.95" customHeight="1" x14ac:dyDescent="0.15"/>
    <row r="13107" s="9" customFormat="1" ht="21.95" customHeight="1" x14ac:dyDescent="0.15"/>
    <row r="13108" s="9" customFormat="1" ht="21.95" customHeight="1" x14ac:dyDescent="0.15"/>
    <row r="13109" s="9" customFormat="1" ht="21.95" customHeight="1" x14ac:dyDescent="0.15"/>
    <row r="13110" s="9" customFormat="1" ht="21.95" customHeight="1" x14ac:dyDescent="0.15"/>
    <row r="13111" s="9" customFormat="1" ht="21.95" customHeight="1" x14ac:dyDescent="0.15"/>
    <row r="13112" s="9" customFormat="1" ht="21.95" customHeight="1" x14ac:dyDescent="0.15"/>
    <row r="13113" s="9" customFormat="1" ht="21.95" customHeight="1" x14ac:dyDescent="0.15"/>
    <row r="13114" s="9" customFormat="1" ht="21.95" customHeight="1" x14ac:dyDescent="0.15"/>
    <row r="13115" s="9" customFormat="1" ht="21.95" customHeight="1" x14ac:dyDescent="0.15"/>
    <row r="13116" s="9" customFormat="1" ht="21.95" customHeight="1" x14ac:dyDescent="0.15"/>
    <row r="13117" s="9" customFormat="1" ht="21.95" customHeight="1" x14ac:dyDescent="0.15"/>
    <row r="13118" s="9" customFormat="1" ht="21.95" customHeight="1" x14ac:dyDescent="0.15"/>
    <row r="13119" s="9" customFormat="1" ht="21.95" customHeight="1" x14ac:dyDescent="0.15"/>
    <row r="13120" s="9" customFormat="1" ht="21.95" customHeight="1" x14ac:dyDescent="0.15"/>
    <row r="13121" s="9" customFormat="1" ht="21.95" customHeight="1" x14ac:dyDescent="0.15"/>
    <row r="13122" s="9" customFormat="1" ht="21.95" customHeight="1" x14ac:dyDescent="0.15"/>
    <row r="13123" s="9" customFormat="1" ht="21.95" customHeight="1" x14ac:dyDescent="0.15"/>
    <row r="13124" s="9" customFormat="1" ht="21.95" customHeight="1" x14ac:dyDescent="0.15"/>
    <row r="13125" s="9" customFormat="1" ht="21.95" customHeight="1" x14ac:dyDescent="0.15"/>
    <row r="13126" s="9" customFormat="1" ht="35.1" customHeight="1" x14ac:dyDescent="0.15"/>
    <row r="13127" s="9" customFormat="1" ht="21.95" customHeight="1" x14ac:dyDescent="0.15"/>
    <row r="13128" s="9" customFormat="1" ht="21.95" customHeight="1" x14ac:dyDescent="0.15"/>
    <row r="13129" s="9" customFormat="1" ht="21.95" customHeight="1" x14ac:dyDescent="0.15"/>
    <row r="13130" s="9" customFormat="1" ht="21.95" customHeight="1" x14ac:dyDescent="0.15"/>
    <row r="13131" s="9" customFormat="1" ht="21.95" customHeight="1" x14ac:dyDescent="0.15"/>
    <row r="13132" s="9" customFormat="1" ht="21.95" customHeight="1" x14ac:dyDescent="0.15"/>
    <row r="13133" s="9" customFormat="1" ht="21.95" customHeight="1" x14ac:dyDescent="0.15"/>
    <row r="13134" s="9" customFormat="1" ht="21.95" customHeight="1" x14ac:dyDescent="0.15"/>
    <row r="13135" s="9" customFormat="1" ht="21.95" customHeight="1" x14ac:dyDescent="0.15"/>
    <row r="13136" s="9" customFormat="1" ht="21.95" customHeight="1" x14ac:dyDescent="0.15"/>
    <row r="13137" spans="3:3" s="9" customFormat="1" ht="21.95" customHeight="1" x14ac:dyDescent="0.15"/>
    <row r="13138" spans="3:3" s="9" customFormat="1" ht="21.95" customHeight="1" x14ac:dyDescent="0.15"/>
    <row r="13139" spans="3:3" s="9" customFormat="1" ht="21.95" customHeight="1" x14ac:dyDescent="0.15"/>
    <row r="13140" spans="3:3" s="9" customFormat="1" ht="21.95" customHeight="1" x14ac:dyDescent="0.15"/>
    <row r="13141" spans="3:3" s="9" customFormat="1" ht="21.95" customHeight="1" x14ac:dyDescent="0.15"/>
    <row r="13142" spans="3:3" s="9" customFormat="1" ht="21.95" customHeight="1" x14ac:dyDescent="0.15"/>
    <row r="13143" spans="3:3" s="9" customFormat="1" ht="21.95" customHeight="1" x14ac:dyDescent="0.15"/>
    <row r="13144" spans="3:3" s="9" customFormat="1" ht="21.95" customHeight="1" x14ac:dyDescent="0.15"/>
    <row r="13145" spans="3:3" s="9" customFormat="1" ht="21.95" customHeight="1" x14ac:dyDescent="0.15"/>
    <row r="13146" spans="3:3" s="9" customFormat="1" ht="21.95" customHeight="1" x14ac:dyDescent="0.15"/>
    <row r="13147" spans="3:3" s="9" customFormat="1" ht="21.95" customHeight="1" x14ac:dyDescent="0.15"/>
    <row r="13148" spans="3:3" s="9" customFormat="1" ht="21.95" customHeight="1" x14ac:dyDescent="0.15"/>
    <row r="13149" spans="3:3" s="9" customFormat="1" ht="21.95" customHeight="1" x14ac:dyDescent="0.15"/>
    <row r="13150" spans="3:3" s="8" customFormat="1" ht="21.95" customHeight="1" x14ac:dyDescent="0.15"/>
    <row r="13151" spans="3:3" s="8" customFormat="1" ht="21.95" customHeight="1" x14ac:dyDescent="0.15"/>
    <row r="13152" spans="3:3" s="8" customFormat="1" ht="21.95" customHeight="1" x14ac:dyDescent="0.15">
      <c r="C13152" s="101"/>
    </row>
    <row r="13153" spans="3:3" s="8" customFormat="1" ht="21.95" customHeight="1" x14ac:dyDescent="0.15">
      <c r="C13153" s="101"/>
    </row>
    <row r="13154" spans="3:3" s="8" customFormat="1" ht="21.95" customHeight="1" x14ac:dyDescent="0.15"/>
    <row r="13155" spans="3:3" s="8" customFormat="1" ht="21.95" customHeight="1" x14ac:dyDescent="0.15"/>
    <row r="13156" spans="3:3" s="8" customFormat="1" ht="21.95" customHeight="1" x14ac:dyDescent="0.15"/>
    <row r="13157" spans="3:3" s="8" customFormat="1" ht="21.95" customHeight="1" x14ac:dyDescent="0.15"/>
    <row r="13158" spans="3:3" s="8" customFormat="1" ht="21.95" customHeight="1" x14ac:dyDescent="0.15"/>
    <row r="13159" spans="3:3" s="8" customFormat="1" ht="21.95" customHeight="1" x14ac:dyDescent="0.15"/>
    <row r="13160" spans="3:3" s="8" customFormat="1" ht="21.95" customHeight="1" x14ac:dyDescent="0.15"/>
    <row r="13161" spans="3:3" s="9" customFormat="1" ht="21.95" customHeight="1" x14ac:dyDescent="0.15"/>
    <row r="13162" spans="3:3" s="9" customFormat="1" ht="21.95" customHeight="1" x14ac:dyDescent="0.15"/>
    <row r="13163" spans="3:3" s="9" customFormat="1" ht="21.95" customHeight="1" x14ac:dyDescent="0.15"/>
    <row r="13164" spans="3:3" s="9" customFormat="1" ht="21.95" customHeight="1" x14ac:dyDescent="0.15"/>
    <row r="13165" spans="3:3" s="8" customFormat="1" ht="21.95" customHeight="1" x14ac:dyDescent="0.15"/>
    <row r="13166" spans="3:3" s="8" customFormat="1" ht="21.95" customHeight="1" x14ac:dyDescent="0.15"/>
    <row r="13167" spans="3:3" s="8" customFormat="1" ht="21.95" customHeight="1" x14ac:dyDescent="0.15"/>
    <row r="13168" spans="3:3" s="8" customFormat="1" ht="21.95" customHeight="1" x14ac:dyDescent="0.15"/>
    <row r="13169" s="8" customFormat="1" ht="21.95" customHeight="1" x14ac:dyDescent="0.15"/>
    <row r="13170" s="8" customFormat="1" ht="21.95" customHeight="1" x14ac:dyDescent="0.15"/>
    <row r="13171" s="8" customFormat="1" ht="21.95" customHeight="1" x14ac:dyDescent="0.15"/>
    <row r="13172" s="8" customFormat="1" ht="21.95" customHeight="1" x14ac:dyDescent="0.15"/>
    <row r="13173" s="8" customFormat="1" ht="21.95" customHeight="1" x14ac:dyDescent="0.15"/>
    <row r="13174" s="8" customFormat="1" ht="21.95" customHeight="1" x14ac:dyDescent="0.15"/>
    <row r="13175" s="8" customFormat="1" ht="21.95" customHeight="1" x14ac:dyDescent="0.15"/>
    <row r="13176" s="8" customFormat="1" ht="32.1" customHeight="1" x14ac:dyDescent="0.15"/>
    <row r="13177" s="8" customFormat="1" ht="32.1" customHeight="1" x14ac:dyDescent="0.15"/>
    <row r="13178" s="8" customFormat="1" ht="32.1" customHeight="1" x14ac:dyDescent="0.15"/>
    <row r="13179" s="8" customFormat="1" ht="32.1" customHeight="1" x14ac:dyDescent="0.15"/>
    <row r="13180" s="8" customFormat="1" ht="32.1" customHeight="1" x14ac:dyDescent="0.15"/>
    <row r="13181" s="8" customFormat="1" ht="32.1" customHeight="1" x14ac:dyDescent="0.15"/>
    <row r="13182" s="9" customFormat="1" ht="32.1" customHeight="1" x14ac:dyDescent="0.15"/>
    <row r="13183" s="9" customFormat="1" ht="32.1" customHeight="1" x14ac:dyDescent="0.15"/>
    <row r="13184" s="9" customFormat="1" ht="32.1" customHeight="1" x14ac:dyDescent="0.15"/>
    <row r="13185" s="9" customFormat="1" ht="32.1" customHeight="1" x14ac:dyDescent="0.15"/>
    <row r="13186" s="9" customFormat="1" ht="21.95" customHeight="1" x14ac:dyDescent="0.15"/>
    <row r="13187" s="9" customFormat="1" ht="54" customHeight="1" x14ac:dyDescent="0.15"/>
    <row r="13188" s="9" customFormat="1" ht="21.95" customHeight="1" x14ac:dyDescent="0.15"/>
    <row r="13189" s="9" customFormat="1" ht="21.95" customHeight="1" x14ac:dyDescent="0.15"/>
    <row r="13190" s="9" customFormat="1" ht="21.95" customHeight="1" x14ac:dyDescent="0.15"/>
    <row r="13191" s="9" customFormat="1" ht="21.95" customHeight="1" x14ac:dyDescent="0.15"/>
    <row r="13192" s="9" customFormat="1" ht="21.95" customHeight="1" x14ac:dyDescent="0.15"/>
    <row r="13193" s="9" customFormat="1" ht="21.95" customHeight="1" x14ac:dyDescent="0.15"/>
    <row r="13194" s="9" customFormat="1" ht="21.95" customHeight="1" x14ac:dyDescent="0.15"/>
    <row r="13195" s="9" customFormat="1" ht="21.95" customHeight="1" x14ac:dyDescent="0.15"/>
    <row r="13196" s="9" customFormat="1" ht="21.95" customHeight="1" x14ac:dyDescent="0.15"/>
    <row r="13197" s="9" customFormat="1" ht="21.95" customHeight="1" x14ac:dyDescent="0.15"/>
    <row r="13198" s="9" customFormat="1" ht="21.95" customHeight="1" x14ac:dyDescent="0.15"/>
    <row r="13199" s="9" customFormat="1" ht="21.95" customHeight="1" x14ac:dyDescent="0.15"/>
    <row r="13200" s="9" customFormat="1" ht="21.95" customHeight="1" x14ac:dyDescent="0.15"/>
    <row r="13201" s="9" customFormat="1" ht="21.95" customHeight="1" x14ac:dyDescent="0.15"/>
    <row r="13202" s="9" customFormat="1" ht="21.95" customHeight="1" x14ac:dyDescent="0.15"/>
    <row r="13203" s="9" customFormat="1" ht="21.95" customHeight="1" x14ac:dyDescent="0.15"/>
    <row r="13204" s="9" customFormat="1" ht="21.95" customHeight="1" x14ac:dyDescent="0.15"/>
    <row r="13205" s="9" customFormat="1" ht="21.95" customHeight="1" x14ac:dyDescent="0.15"/>
    <row r="13206" s="9" customFormat="1" ht="21.95" customHeight="1" x14ac:dyDescent="0.15"/>
    <row r="13207" s="9" customFormat="1" ht="21.95" customHeight="1" x14ac:dyDescent="0.15"/>
    <row r="13208" s="9" customFormat="1" ht="21.95" customHeight="1" x14ac:dyDescent="0.15"/>
    <row r="13209" s="9" customFormat="1" ht="21.95" customHeight="1" x14ac:dyDescent="0.15"/>
    <row r="13210" s="9" customFormat="1" ht="21.95" customHeight="1" x14ac:dyDescent="0.15"/>
    <row r="13211" s="9" customFormat="1" ht="21.95" customHeight="1" x14ac:dyDescent="0.15"/>
    <row r="13212" s="9" customFormat="1" ht="21.95" customHeight="1" x14ac:dyDescent="0.15"/>
    <row r="13213" s="9" customFormat="1" ht="21.95" customHeight="1" x14ac:dyDescent="0.15"/>
    <row r="13214" s="9" customFormat="1" ht="21.95" customHeight="1" x14ac:dyDescent="0.15"/>
    <row r="13215" s="9" customFormat="1" ht="21.95" customHeight="1" x14ac:dyDescent="0.15"/>
    <row r="13216" s="9" customFormat="1" ht="21.95" customHeight="1" x14ac:dyDescent="0.15"/>
    <row r="13217" s="9" customFormat="1" ht="21.95" customHeight="1" x14ac:dyDescent="0.15"/>
    <row r="13218" s="9" customFormat="1" ht="21.95" customHeight="1" x14ac:dyDescent="0.15"/>
    <row r="13219" s="9" customFormat="1" ht="21.95" customHeight="1" x14ac:dyDescent="0.15"/>
    <row r="13220" s="9" customFormat="1" ht="21.95" customHeight="1" x14ac:dyDescent="0.15"/>
    <row r="13221" s="9" customFormat="1" ht="21.95" customHeight="1" x14ac:dyDescent="0.15"/>
    <row r="13222" s="9" customFormat="1" ht="21.95" customHeight="1" x14ac:dyDescent="0.15"/>
    <row r="13223" s="9" customFormat="1" ht="21.95" customHeight="1" x14ac:dyDescent="0.15"/>
    <row r="13224" s="9" customFormat="1" ht="21.95" customHeight="1" x14ac:dyDescent="0.15"/>
    <row r="13225" s="9" customFormat="1" ht="21.95" customHeight="1" x14ac:dyDescent="0.15"/>
    <row r="13226" s="9" customFormat="1" ht="21.95" customHeight="1" x14ac:dyDescent="0.15"/>
    <row r="13227" s="9" customFormat="1" ht="21.95" customHeight="1" x14ac:dyDescent="0.15"/>
    <row r="13228" s="9" customFormat="1" ht="21.95" customHeight="1" x14ac:dyDescent="0.15"/>
    <row r="13229" s="9" customFormat="1" ht="21.95" customHeight="1" x14ac:dyDescent="0.15"/>
    <row r="13230" s="9" customFormat="1" ht="21.95" customHeight="1" x14ac:dyDescent="0.15"/>
    <row r="13231" s="9" customFormat="1" ht="21.95" customHeight="1" x14ac:dyDescent="0.15"/>
    <row r="13232" s="9" customFormat="1" ht="21.95" customHeight="1" x14ac:dyDescent="0.15"/>
    <row r="13233" s="9" customFormat="1" ht="21.95" customHeight="1" x14ac:dyDescent="0.15"/>
    <row r="13234" s="9" customFormat="1" ht="21.95" customHeight="1" x14ac:dyDescent="0.15"/>
    <row r="13235" s="9" customFormat="1" ht="21.95" customHeight="1" x14ac:dyDescent="0.15"/>
    <row r="13236" s="9" customFormat="1" ht="21.95" customHeight="1" x14ac:dyDescent="0.15"/>
    <row r="13237" s="9" customFormat="1" ht="21.95" customHeight="1" x14ac:dyDescent="0.15"/>
    <row r="13238" s="9" customFormat="1" ht="35.1" customHeight="1" x14ac:dyDescent="0.15"/>
    <row r="13239" s="9" customFormat="1" ht="21.95" customHeight="1" x14ac:dyDescent="0.15"/>
    <row r="13240" s="9" customFormat="1" ht="21.95" customHeight="1" x14ac:dyDescent="0.15"/>
    <row r="13241" s="9" customFormat="1" ht="21.95" customHeight="1" x14ac:dyDescent="0.15"/>
    <row r="13242" s="9" customFormat="1" ht="21.95" customHeight="1" x14ac:dyDescent="0.15"/>
    <row r="13243" s="9" customFormat="1" ht="21.95" customHeight="1" x14ac:dyDescent="0.15"/>
    <row r="13244" s="9" customFormat="1" ht="21.95" customHeight="1" x14ac:dyDescent="0.15"/>
    <row r="13245" s="9" customFormat="1" ht="21.95" customHeight="1" x14ac:dyDescent="0.15"/>
    <row r="13246" s="9" customFormat="1" ht="21.95" customHeight="1" x14ac:dyDescent="0.15"/>
    <row r="13247" s="9" customFormat="1" ht="21.95" customHeight="1" x14ac:dyDescent="0.15"/>
    <row r="13248" s="9" customFormat="1" ht="21.95" customHeight="1" x14ac:dyDescent="0.15"/>
    <row r="13249" spans="3:3" s="9" customFormat="1" ht="21.95" customHeight="1" x14ac:dyDescent="0.15"/>
    <row r="13250" spans="3:3" s="9" customFormat="1" ht="21.95" customHeight="1" x14ac:dyDescent="0.15"/>
    <row r="13251" spans="3:3" s="9" customFormat="1" ht="21.95" customHeight="1" x14ac:dyDescent="0.15"/>
    <row r="13252" spans="3:3" s="9" customFormat="1" ht="21.95" customHeight="1" x14ac:dyDescent="0.15"/>
    <row r="13253" spans="3:3" s="9" customFormat="1" ht="21.95" customHeight="1" x14ac:dyDescent="0.15"/>
    <row r="13254" spans="3:3" s="9" customFormat="1" ht="21.95" customHeight="1" x14ac:dyDescent="0.15"/>
    <row r="13255" spans="3:3" s="9" customFormat="1" ht="21.95" customHeight="1" x14ac:dyDescent="0.15"/>
    <row r="13256" spans="3:3" s="9" customFormat="1" ht="21.95" customHeight="1" x14ac:dyDescent="0.15"/>
    <row r="13257" spans="3:3" s="9" customFormat="1" ht="21.95" customHeight="1" x14ac:dyDescent="0.15"/>
    <row r="13258" spans="3:3" s="9" customFormat="1" ht="21.95" customHeight="1" x14ac:dyDescent="0.15"/>
    <row r="13259" spans="3:3" s="9" customFormat="1" ht="21.95" customHeight="1" x14ac:dyDescent="0.15"/>
    <row r="13260" spans="3:3" s="9" customFormat="1" ht="21.95" customHeight="1" x14ac:dyDescent="0.15"/>
    <row r="13261" spans="3:3" s="9" customFormat="1" ht="21.95" customHeight="1" x14ac:dyDescent="0.15"/>
    <row r="13262" spans="3:3" s="8" customFormat="1" ht="21.95" customHeight="1" x14ac:dyDescent="0.15"/>
    <row r="13263" spans="3:3" s="8" customFormat="1" ht="21.95" customHeight="1" x14ac:dyDescent="0.15"/>
    <row r="13264" spans="3:3" s="8" customFormat="1" ht="21.95" customHeight="1" x14ac:dyDescent="0.15">
      <c r="C13264" s="101"/>
    </row>
    <row r="13265" spans="3:3" s="8" customFormat="1" ht="21.95" customHeight="1" x14ac:dyDescent="0.15">
      <c r="C13265" s="101"/>
    </row>
    <row r="13266" spans="3:3" s="8" customFormat="1" ht="21.95" customHeight="1" x14ac:dyDescent="0.15"/>
    <row r="13267" spans="3:3" s="8" customFormat="1" ht="21.95" customHeight="1" x14ac:dyDescent="0.15"/>
    <row r="13268" spans="3:3" s="8" customFormat="1" ht="21.95" customHeight="1" x14ac:dyDescent="0.15"/>
    <row r="13269" spans="3:3" s="8" customFormat="1" ht="21.95" customHeight="1" x14ac:dyDescent="0.15"/>
    <row r="13270" spans="3:3" s="8" customFormat="1" ht="21.95" customHeight="1" x14ac:dyDescent="0.15"/>
    <row r="13271" spans="3:3" s="8" customFormat="1" ht="21.95" customHeight="1" x14ac:dyDescent="0.15"/>
    <row r="13272" spans="3:3" s="8" customFormat="1" ht="21.95" customHeight="1" x14ac:dyDescent="0.15"/>
    <row r="13273" spans="3:3" s="9" customFormat="1" ht="21.95" customHeight="1" x14ac:dyDescent="0.15"/>
    <row r="13274" spans="3:3" s="9" customFormat="1" ht="21.95" customHeight="1" x14ac:dyDescent="0.15"/>
    <row r="13275" spans="3:3" s="9" customFormat="1" ht="21.95" customHeight="1" x14ac:dyDescent="0.15"/>
    <row r="13276" spans="3:3" s="9" customFormat="1" ht="21.95" customHeight="1" x14ac:dyDescent="0.15"/>
    <row r="13277" spans="3:3" s="8" customFormat="1" ht="21.95" customHeight="1" x14ac:dyDescent="0.15"/>
    <row r="13278" spans="3:3" s="8" customFormat="1" ht="21.95" customHeight="1" x14ac:dyDescent="0.15"/>
    <row r="13279" spans="3:3" s="8" customFormat="1" ht="21.95" customHeight="1" x14ac:dyDescent="0.15"/>
    <row r="13280" spans="3:3" s="8" customFormat="1" ht="21.95" customHeight="1" x14ac:dyDescent="0.15"/>
    <row r="13281" s="8" customFormat="1" ht="21.95" customHeight="1" x14ac:dyDescent="0.15"/>
    <row r="13282" s="8" customFormat="1" ht="21.95" customHeight="1" x14ac:dyDescent="0.15"/>
    <row r="13283" s="8" customFormat="1" ht="21.95" customHeight="1" x14ac:dyDescent="0.15"/>
    <row r="13284" s="8" customFormat="1" ht="21.95" customHeight="1" x14ac:dyDescent="0.15"/>
    <row r="13285" s="8" customFormat="1" ht="21.95" customHeight="1" x14ac:dyDescent="0.15"/>
    <row r="13286" s="8" customFormat="1" ht="21.95" customHeight="1" x14ac:dyDescent="0.15"/>
    <row r="13287" s="8" customFormat="1" ht="21.95" customHeight="1" x14ac:dyDescent="0.15"/>
    <row r="13288" s="8" customFormat="1" ht="32.1" customHeight="1" x14ac:dyDescent="0.15"/>
    <row r="13289" s="8" customFormat="1" ht="32.1" customHeight="1" x14ac:dyDescent="0.15"/>
    <row r="13290" s="8" customFormat="1" ht="32.1" customHeight="1" x14ac:dyDescent="0.15"/>
    <row r="13291" s="8" customFormat="1" ht="32.1" customHeight="1" x14ac:dyDescent="0.15"/>
    <row r="13292" s="8" customFormat="1" ht="32.1" customHeight="1" x14ac:dyDescent="0.15"/>
    <row r="13293" s="8" customFormat="1" ht="32.1" customHeight="1" x14ac:dyDescent="0.15"/>
    <row r="13294" s="9" customFormat="1" ht="32.1" customHeight="1" x14ac:dyDescent="0.15"/>
    <row r="13295" s="9" customFormat="1" ht="32.1" customHeight="1" x14ac:dyDescent="0.15"/>
    <row r="13296" s="9" customFormat="1" ht="32.1" customHeight="1" x14ac:dyDescent="0.15"/>
    <row r="13297" s="9" customFormat="1" ht="32.1" customHeight="1" x14ac:dyDescent="0.15"/>
    <row r="13298" s="9" customFormat="1" ht="21.95" customHeight="1" x14ac:dyDescent="0.15"/>
    <row r="13299" s="9" customFormat="1" ht="54" customHeight="1" x14ac:dyDescent="0.15"/>
    <row r="13300" s="9" customFormat="1" ht="21.95" customHeight="1" x14ac:dyDescent="0.15"/>
    <row r="13301" s="9" customFormat="1" ht="21.95" customHeight="1" x14ac:dyDescent="0.15"/>
    <row r="13302" s="9" customFormat="1" ht="21.95" customHeight="1" x14ac:dyDescent="0.15"/>
    <row r="13303" s="9" customFormat="1" ht="21.95" customHeight="1" x14ac:dyDescent="0.15"/>
    <row r="13304" s="9" customFormat="1" ht="21.95" customHeight="1" x14ac:dyDescent="0.15"/>
    <row r="13305" s="9" customFormat="1" ht="21.95" customHeight="1" x14ac:dyDescent="0.15"/>
    <row r="13306" s="9" customFormat="1" ht="21.95" customHeight="1" x14ac:dyDescent="0.15"/>
    <row r="13307" s="9" customFormat="1" ht="21.95" customHeight="1" x14ac:dyDescent="0.15"/>
    <row r="13308" s="9" customFormat="1" ht="21.95" customHeight="1" x14ac:dyDescent="0.15"/>
    <row r="13309" s="9" customFormat="1" ht="21.95" customHeight="1" x14ac:dyDescent="0.15"/>
    <row r="13310" s="9" customFormat="1" ht="21.95" customHeight="1" x14ac:dyDescent="0.15"/>
    <row r="13311" s="9" customFormat="1" ht="21.95" customHeight="1" x14ac:dyDescent="0.15"/>
    <row r="13312" s="9" customFormat="1" ht="21.95" customHeight="1" x14ac:dyDescent="0.15"/>
    <row r="13313" s="9" customFormat="1" ht="21.95" customHeight="1" x14ac:dyDescent="0.15"/>
    <row r="13314" s="9" customFormat="1" ht="21.95" customHeight="1" x14ac:dyDescent="0.15"/>
    <row r="13315" s="9" customFormat="1" ht="21.95" customHeight="1" x14ac:dyDescent="0.15"/>
    <row r="13316" s="9" customFormat="1" ht="21.95" customHeight="1" x14ac:dyDescent="0.15"/>
    <row r="13317" s="9" customFormat="1" ht="21.95" customHeight="1" x14ac:dyDescent="0.15"/>
    <row r="13318" s="9" customFormat="1" ht="21.95" customHeight="1" x14ac:dyDescent="0.15"/>
    <row r="13319" s="9" customFormat="1" ht="21.95" customHeight="1" x14ac:dyDescent="0.15"/>
    <row r="13320" s="9" customFormat="1" ht="21.95" customHeight="1" x14ac:dyDescent="0.15"/>
    <row r="13321" s="9" customFormat="1" ht="21.95" customHeight="1" x14ac:dyDescent="0.15"/>
    <row r="13322" s="9" customFormat="1" ht="21.95" customHeight="1" x14ac:dyDescent="0.15"/>
    <row r="13323" s="9" customFormat="1" ht="21.95" customHeight="1" x14ac:dyDescent="0.15"/>
    <row r="13324" s="9" customFormat="1" ht="21.95" customHeight="1" x14ac:dyDescent="0.15"/>
    <row r="13325" s="9" customFormat="1" ht="21.95" customHeight="1" x14ac:dyDescent="0.15"/>
    <row r="13326" s="9" customFormat="1" ht="21.95" customHeight="1" x14ac:dyDescent="0.15"/>
    <row r="13327" s="9" customFormat="1" ht="21.95" customHeight="1" x14ac:dyDescent="0.15"/>
    <row r="13328" s="9" customFormat="1" ht="21.95" customHeight="1" x14ac:dyDescent="0.15"/>
    <row r="13329" s="9" customFormat="1" ht="21.95" customHeight="1" x14ac:dyDescent="0.15"/>
    <row r="13330" s="9" customFormat="1" ht="21.95" customHeight="1" x14ac:dyDescent="0.15"/>
    <row r="13331" s="9" customFormat="1" ht="21.95" customHeight="1" x14ac:dyDescent="0.15"/>
    <row r="13332" s="9" customFormat="1" ht="21.95" customHeight="1" x14ac:dyDescent="0.15"/>
    <row r="13333" s="9" customFormat="1" ht="21.95" customHeight="1" x14ac:dyDescent="0.15"/>
    <row r="13334" s="9" customFormat="1" ht="21.95" customHeight="1" x14ac:dyDescent="0.15"/>
    <row r="13335" s="9" customFormat="1" ht="21.95" customHeight="1" x14ac:dyDescent="0.15"/>
    <row r="13336" s="9" customFormat="1" ht="21.95" customHeight="1" x14ac:dyDescent="0.15"/>
    <row r="13337" s="9" customFormat="1" ht="21.95" customHeight="1" x14ac:dyDescent="0.15"/>
    <row r="13338" s="9" customFormat="1" ht="21.95" customHeight="1" x14ac:dyDescent="0.15"/>
    <row r="13339" s="9" customFormat="1" ht="21.95" customHeight="1" x14ac:dyDescent="0.15"/>
    <row r="13340" s="9" customFormat="1" ht="21.95" customHeight="1" x14ac:dyDescent="0.15"/>
    <row r="13341" s="9" customFormat="1" ht="21.95" customHeight="1" x14ac:dyDescent="0.15"/>
    <row r="13342" s="9" customFormat="1" ht="21.95" customHeight="1" x14ac:dyDescent="0.15"/>
    <row r="13343" s="9" customFormat="1" ht="21.95" customHeight="1" x14ac:dyDescent="0.15"/>
    <row r="13344" s="9" customFormat="1" ht="21.95" customHeight="1" x14ac:dyDescent="0.15"/>
    <row r="13345" s="9" customFormat="1" ht="21.95" customHeight="1" x14ac:dyDescent="0.15"/>
    <row r="13346" s="9" customFormat="1" ht="21.95" customHeight="1" x14ac:dyDescent="0.15"/>
    <row r="13347" s="9" customFormat="1" ht="21.95" customHeight="1" x14ac:dyDescent="0.15"/>
    <row r="13348" s="9" customFormat="1" ht="21.95" customHeight="1" x14ac:dyDescent="0.15"/>
    <row r="13349" s="9" customFormat="1" ht="21.95" customHeight="1" x14ac:dyDescent="0.15"/>
    <row r="13350" s="9" customFormat="1" ht="35.1" customHeight="1" x14ac:dyDescent="0.15"/>
    <row r="13351" s="9" customFormat="1" ht="21.95" customHeight="1" x14ac:dyDescent="0.15"/>
    <row r="13352" s="9" customFormat="1" ht="21.95" customHeight="1" x14ac:dyDescent="0.15"/>
    <row r="13353" s="9" customFormat="1" ht="21.95" customHeight="1" x14ac:dyDescent="0.15"/>
    <row r="13354" s="9" customFormat="1" ht="21.95" customHeight="1" x14ac:dyDescent="0.15"/>
    <row r="13355" s="9" customFormat="1" ht="21.95" customHeight="1" x14ac:dyDescent="0.15"/>
    <row r="13356" s="9" customFormat="1" ht="21.95" customHeight="1" x14ac:dyDescent="0.15"/>
    <row r="13357" s="9" customFormat="1" ht="21.95" customHeight="1" x14ac:dyDescent="0.15"/>
    <row r="13358" s="9" customFormat="1" ht="21.95" customHeight="1" x14ac:dyDescent="0.15"/>
    <row r="13359" s="9" customFormat="1" ht="21.95" customHeight="1" x14ac:dyDescent="0.15"/>
    <row r="13360" s="9" customFormat="1" ht="21.95" customHeight="1" x14ac:dyDescent="0.15"/>
    <row r="13361" spans="3:3" s="9" customFormat="1" ht="21.95" customHeight="1" x14ac:dyDescent="0.15"/>
    <row r="13362" spans="3:3" s="9" customFormat="1" ht="21.95" customHeight="1" x14ac:dyDescent="0.15"/>
    <row r="13363" spans="3:3" s="9" customFormat="1" ht="21.95" customHeight="1" x14ac:dyDescent="0.15"/>
    <row r="13364" spans="3:3" s="9" customFormat="1" ht="21.95" customHeight="1" x14ac:dyDescent="0.15"/>
    <row r="13365" spans="3:3" s="9" customFormat="1" ht="21.95" customHeight="1" x14ac:dyDescent="0.15"/>
    <row r="13366" spans="3:3" s="9" customFormat="1" ht="21.95" customHeight="1" x14ac:dyDescent="0.15"/>
    <row r="13367" spans="3:3" s="9" customFormat="1" ht="21.95" customHeight="1" x14ac:dyDescent="0.15"/>
    <row r="13368" spans="3:3" s="9" customFormat="1" ht="21.95" customHeight="1" x14ac:dyDescent="0.15"/>
    <row r="13369" spans="3:3" s="9" customFormat="1" ht="21.95" customHeight="1" x14ac:dyDescent="0.15"/>
    <row r="13370" spans="3:3" s="9" customFormat="1" ht="21.95" customHeight="1" x14ac:dyDescent="0.15"/>
    <row r="13371" spans="3:3" s="9" customFormat="1" ht="21.95" customHeight="1" x14ac:dyDescent="0.15"/>
    <row r="13372" spans="3:3" s="9" customFormat="1" ht="21.95" customHeight="1" x14ac:dyDescent="0.15"/>
    <row r="13373" spans="3:3" s="9" customFormat="1" ht="21.95" customHeight="1" x14ac:dyDescent="0.15"/>
    <row r="13374" spans="3:3" s="8" customFormat="1" ht="21.95" customHeight="1" x14ac:dyDescent="0.15"/>
    <row r="13375" spans="3:3" s="8" customFormat="1" ht="21.95" customHeight="1" x14ac:dyDescent="0.15"/>
    <row r="13376" spans="3:3" s="8" customFormat="1" ht="21.95" customHeight="1" x14ac:dyDescent="0.15">
      <c r="C13376" s="101"/>
    </row>
    <row r="13377" spans="3:3" s="8" customFormat="1" ht="21.95" customHeight="1" x14ac:dyDescent="0.15">
      <c r="C13377" s="101"/>
    </row>
    <row r="13378" spans="3:3" s="8" customFormat="1" ht="21.95" customHeight="1" x14ac:dyDescent="0.15"/>
    <row r="13379" spans="3:3" s="8" customFormat="1" ht="21.95" customHeight="1" x14ac:dyDescent="0.15"/>
    <row r="13380" spans="3:3" s="8" customFormat="1" ht="21.95" customHeight="1" x14ac:dyDescent="0.15"/>
    <row r="13381" spans="3:3" s="8" customFormat="1" ht="21.95" customHeight="1" x14ac:dyDescent="0.15"/>
    <row r="13382" spans="3:3" s="8" customFormat="1" ht="21.95" customHeight="1" x14ac:dyDescent="0.15"/>
    <row r="13383" spans="3:3" s="8" customFormat="1" ht="21.95" customHeight="1" x14ac:dyDescent="0.15"/>
    <row r="13384" spans="3:3" s="8" customFormat="1" ht="21.95" customHeight="1" x14ac:dyDescent="0.15"/>
    <row r="13385" spans="3:3" s="9" customFormat="1" ht="21.95" customHeight="1" x14ac:dyDescent="0.15"/>
    <row r="13386" spans="3:3" s="9" customFormat="1" ht="21.95" customHeight="1" x14ac:dyDescent="0.15"/>
    <row r="13387" spans="3:3" s="9" customFormat="1" ht="21.95" customHeight="1" x14ac:dyDescent="0.15"/>
    <row r="13388" spans="3:3" s="9" customFormat="1" ht="21.95" customHeight="1" x14ac:dyDescent="0.15"/>
    <row r="13389" spans="3:3" s="8" customFormat="1" ht="21.95" customHeight="1" x14ac:dyDescent="0.15"/>
    <row r="13390" spans="3:3" s="8" customFormat="1" ht="21.95" customHeight="1" x14ac:dyDescent="0.15"/>
    <row r="13391" spans="3:3" s="8" customFormat="1" ht="21.95" customHeight="1" x14ac:dyDescent="0.15"/>
    <row r="13392" spans="3:3" s="8" customFormat="1" ht="21.95" customHeight="1" x14ac:dyDescent="0.15"/>
    <row r="13393" s="8" customFormat="1" ht="21.95" customHeight="1" x14ac:dyDescent="0.15"/>
    <row r="13394" s="8" customFormat="1" ht="21.95" customHeight="1" x14ac:dyDescent="0.15"/>
    <row r="13395" s="8" customFormat="1" ht="21.95" customHeight="1" x14ac:dyDescent="0.15"/>
    <row r="13396" s="8" customFormat="1" ht="21.95" customHeight="1" x14ac:dyDescent="0.15"/>
    <row r="13397" s="8" customFormat="1" ht="21.95" customHeight="1" x14ac:dyDescent="0.15"/>
    <row r="13398" s="8" customFormat="1" ht="21.95" customHeight="1" x14ac:dyDescent="0.15"/>
    <row r="13399" s="8" customFormat="1" ht="21.95" customHeight="1" x14ac:dyDescent="0.15"/>
    <row r="13400" s="8" customFormat="1" ht="32.1" customHeight="1" x14ac:dyDescent="0.15"/>
    <row r="13401" s="8" customFormat="1" ht="32.1" customHeight="1" x14ac:dyDescent="0.15"/>
    <row r="13402" s="8" customFormat="1" ht="32.1" customHeight="1" x14ac:dyDescent="0.15"/>
    <row r="13403" s="8" customFormat="1" ht="32.1" customHeight="1" x14ac:dyDescent="0.15"/>
    <row r="13404" s="8" customFormat="1" ht="32.1" customHeight="1" x14ac:dyDescent="0.15"/>
    <row r="13405" s="8" customFormat="1" ht="32.1" customHeight="1" x14ac:dyDescent="0.15"/>
    <row r="13406" s="9" customFormat="1" ht="32.1" customHeight="1" x14ac:dyDescent="0.15"/>
    <row r="13407" s="9" customFormat="1" ht="32.1" customHeight="1" x14ac:dyDescent="0.15"/>
    <row r="13408" s="9" customFormat="1" ht="32.1" customHeight="1" x14ac:dyDescent="0.15"/>
    <row r="13409" s="9" customFormat="1" ht="32.1" customHeight="1" x14ac:dyDescent="0.15"/>
    <row r="13410" s="9" customFormat="1" ht="21.95" customHeight="1" x14ac:dyDescent="0.15"/>
    <row r="13411" s="9" customFormat="1" ht="54" customHeight="1" x14ac:dyDescent="0.15"/>
    <row r="13412" s="9" customFormat="1" ht="21.95" customHeight="1" x14ac:dyDescent="0.15"/>
    <row r="13413" s="9" customFormat="1" ht="21.95" customHeight="1" x14ac:dyDescent="0.15"/>
    <row r="13414" s="9" customFormat="1" ht="21.95" customHeight="1" x14ac:dyDescent="0.15"/>
    <row r="13415" s="9" customFormat="1" ht="21.95" customHeight="1" x14ac:dyDescent="0.15"/>
    <row r="13416" s="9" customFormat="1" ht="21.95" customHeight="1" x14ac:dyDescent="0.15"/>
    <row r="13417" s="9" customFormat="1" ht="21.95" customHeight="1" x14ac:dyDescent="0.15"/>
    <row r="13418" s="9" customFormat="1" ht="21.95" customHeight="1" x14ac:dyDescent="0.15"/>
    <row r="13419" s="9" customFormat="1" ht="21.95" customHeight="1" x14ac:dyDescent="0.15"/>
    <row r="13420" s="9" customFormat="1" ht="21.95" customHeight="1" x14ac:dyDescent="0.15"/>
    <row r="13421" s="9" customFormat="1" ht="21.95" customHeight="1" x14ac:dyDescent="0.15"/>
    <row r="13422" s="9" customFormat="1" ht="21.95" customHeight="1" x14ac:dyDescent="0.15"/>
    <row r="13423" s="9" customFormat="1" ht="21.95" customHeight="1" x14ac:dyDescent="0.15"/>
    <row r="13424" s="9" customFormat="1" ht="21.95" customHeight="1" x14ac:dyDescent="0.15"/>
    <row r="13425" s="9" customFormat="1" ht="21.95" customHeight="1" x14ac:dyDescent="0.15"/>
    <row r="13426" s="9" customFormat="1" ht="21.95" customHeight="1" x14ac:dyDescent="0.15"/>
    <row r="13427" s="9" customFormat="1" ht="21.95" customHeight="1" x14ac:dyDescent="0.15"/>
    <row r="13428" s="9" customFormat="1" ht="21.95" customHeight="1" x14ac:dyDescent="0.15"/>
    <row r="13429" s="9" customFormat="1" ht="21.95" customHeight="1" x14ac:dyDescent="0.15"/>
    <row r="13430" s="9" customFormat="1" ht="21.95" customHeight="1" x14ac:dyDescent="0.15"/>
    <row r="13431" s="9" customFormat="1" ht="21.95" customHeight="1" x14ac:dyDescent="0.15"/>
    <row r="13432" s="9" customFormat="1" ht="21.95" customHeight="1" x14ac:dyDescent="0.15"/>
    <row r="13433" s="9" customFormat="1" ht="21.95" customHeight="1" x14ac:dyDescent="0.15"/>
    <row r="13434" s="9" customFormat="1" ht="21.95" customHeight="1" x14ac:dyDescent="0.15"/>
    <row r="13435" s="9" customFormat="1" ht="21.95" customHeight="1" x14ac:dyDescent="0.15"/>
    <row r="13436" s="9" customFormat="1" ht="21.95" customHeight="1" x14ac:dyDescent="0.15"/>
    <row r="13437" s="9" customFormat="1" ht="21.95" customHeight="1" x14ac:dyDescent="0.15"/>
    <row r="13438" s="9" customFormat="1" ht="21.95" customHeight="1" x14ac:dyDescent="0.15"/>
    <row r="13439" s="9" customFormat="1" ht="21.95" customHeight="1" x14ac:dyDescent="0.15"/>
    <row r="13440" s="9" customFormat="1" ht="21.95" customHeight="1" x14ac:dyDescent="0.15"/>
    <row r="13441" s="9" customFormat="1" ht="21.95" customHeight="1" x14ac:dyDescent="0.15"/>
    <row r="13442" s="9" customFormat="1" ht="21.95" customHeight="1" x14ac:dyDescent="0.15"/>
    <row r="13443" s="9" customFormat="1" ht="21.95" customHeight="1" x14ac:dyDescent="0.15"/>
    <row r="13444" s="9" customFormat="1" ht="21.95" customHeight="1" x14ac:dyDescent="0.15"/>
    <row r="13445" s="9" customFormat="1" ht="21.95" customHeight="1" x14ac:dyDescent="0.15"/>
    <row r="13446" s="9" customFormat="1" ht="21.95" customHeight="1" x14ac:dyDescent="0.15"/>
    <row r="13447" s="9" customFormat="1" ht="21.95" customHeight="1" x14ac:dyDescent="0.15"/>
    <row r="13448" s="9" customFormat="1" ht="21.95" customHeight="1" x14ac:dyDescent="0.15"/>
    <row r="13449" s="9" customFormat="1" ht="21.95" customHeight="1" x14ac:dyDescent="0.15"/>
    <row r="13450" s="9" customFormat="1" ht="21.95" customHeight="1" x14ac:dyDescent="0.15"/>
    <row r="13451" s="9" customFormat="1" ht="21.95" customHeight="1" x14ac:dyDescent="0.15"/>
    <row r="13452" s="9" customFormat="1" ht="21.95" customHeight="1" x14ac:dyDescent="0.15"/>
    <row r="13453" s="9" customFormat="1" ht="21.95" customHeight="1" x14ac:dyDescent="0.15"/>
    <row r="13454" s="9" customFormat="1" ht="21.95" customHeight="1" x14ac:dyDescent="0.15"/>
    <row r="13455" s="9" customFormat="1" ht="21.95" customHeight="1" x14ac:dyDescent="0.15"/>
    <row r="13456" s="9" customFormat="1" ht="21.95" customHeight="1" x14ac:dyDescent="0.15"/>
    <row r="13457" s="9" customFormat="1" ht="21.95" customHeight="1" x14ac:dyDescent="0.15"/>
    <row r="13458" s="9" customFormat="1" ht="21.95" customHeight="1" x14ac:dyDescent="0.15"/>
    <row r="13459" s="9" customFormat="1" ht="21.95" customHeight="1" x14ac:dyDescent="0.15"/>
    <row r="13460" s="9" customFormat="1" ht="21.95" customHeight="1" x14ac:dyDescent="0.15"/>
    <row r="13461" s="9" customFormat="1" ht="21.95" customHeight="1" x14ac:dyDescent="0.15"/>
    <row r="13462" s="9" customFormat="1" ht="35.1" customHeight="1" x14ac:dyDescent="0.15"/>
    <row r="13463" s="9" customFormat="1" ht="21.95" customHeight="1" x14ac:dyDescent="0.15"/>
    <row r="13464" s="9" customFormat="1" ht="21.95" customHeight="1" x14ac:dyDescent="0.15"/>
    <row r="13465" s="9" customFormat="1" ht="21.95" customHeight="1" x14ac:dyDescent="0.15"/>
    <row r="13466" s="9" customFormat="1" ht="21.95" customHeight="1" x14ac:dyDescent="0.15"/>
    <row r="13467" s="9" customFormat="1" ht="21.95" customHeight="1" x14ac:dyDescent="0.15"/>
    <row r="13468" s="9" customFormat="1" ht="21.95" customHeight="1" x14ac:dyDescent="0.15"/>
    <row r="13469" s="9" customFormat="1" ht="21.95" customHeight="1" x14ac:dyDescent="0.15"/>
    <row r="13470" s="9" customFormat="1" ht="21.95" customHeight="1" x14ac:dyDescent="0.15"/>
    <row r="13471" s="9" customFormat="1" ht="21.95" customHeight="1" x14ac:dyDescent="0.15"/>
    <row r="13472" s="9" customFormat="1" ht="21.95" customHeight="1" x14ac:dyDescent="0.15"/>
    <row r="13473" spans="3:3" s="9" customFormat="1" ht="21.95" customHeight="1" x14ac:dyDescent="0.15"/>
    <row r="13474" spans="3:3" s="9" customFormat="1" ht="21.95" customHeight="1" x14ac:dyDescent="0.15"/>
    <row r="13475" spans="3:3" s="9" customFormat="1" ht="21.95" customHeight="1" x14ac:dyDescent="0.15"/>
    <row r="13476" spans="3:3" s="9" customFormat="1" ht="21.95" customHeight="1" x14ac:dyDescent="0.15"/>
    <row r="13477" spans="3:3" s="9" customFormat="1" ht="21.95" customHeight="1" x14ac:dyDescent="0.15"/>
    <row r="13478" spans="3:3" s="9" customFormat="1" ht="21.95" customHeight="1" x14ac:dyDescent="0.15"/>
    <row r="13479" spans="3:3" s="9" customFormat="1" ht="21.95" customHeight="1" x14ac:dyDescent="0.15"/>
    <row r="13480" spans="3:3" s="9" customFormat="1" ht="21.95" customHeight="1" x14ac:dyDescent="0.15"/>
    <row r="13481" spans="3:3" s="9" customFormat="1" ht="21.95" customHeight="1" x14ac:dyDescent="0.15"/>
    <row r="13482" spans="3:3" s="9" customFormat="1" ht="21.95" customHeight="1" x14ac:dyDescent="0.15"/>
    <row r="13483" spans="3:3" s="9" customFormat="1" ht="21.95" customHeight="1" x14ac:dyDescent="0.15"/>
    <row r="13484" spans="3:3" s="9" customFormat="1" ht="21.95" customHeight="1" x14ac:dyDescent="0.15"/>
    <row r="13485" spans="3:3" s="9" customFormat="1" ht="21.95" customHeight="1" x14ac:dyDescent="0.15"/>
    <row r="13486" spans="3:3" s="8" customFormat="1" ht="21.95" customHeight="1" x14ac:dyDescent="0.15"/>
    <row r="13487" spans="3:3" s="8" customFormat="1" ht="21.95" customHeight="1" x14ac:dyDescent="0.15"/>
    <row r="13488" spans="3:3" s="8" customFormat="1" ht="21.95" customHeight="1" x14ac:dyDescent="0.15">
      <c r="C13488" s="101"/>
    </row>
    <row r="13489" spans="3:3" s="8" customFormat="1" ht="21.95" customHeight="1" x14ac:dyDescent="0.15">
      <c r="C13489" s="101"/>
    </row>
    <row r="13490" spans="3:3" s="8" customFormat="1" ht="21.95" customHeight="1" x14ac:dyDescent="0.15"/>
    <row r="13491" spans="3:3" s="8" customFormat="1" ht="21.95" customHeight="1" x14ac:dyDescent="0.15"/>
    <row r="13492" spans="3:3" s="8" customFormat="1" ht="21.95" customHeight="1" x14ac:dyDescent="0.15"/>
    <row r="13493" spans="3:3" s="8" customFormat="1" ht="21.95" customHeight="1" x14ac:dyDescent="0.15"/>
    <row r="13494" spans="3:3" s="8" customFormat="1" ht="21.95" customHeight="1" x14ac:dyDescent="0.15"/>
    <row r="13495" spans="3:3" s="8" customFormat="1" ht="21.95" customHeight="1" x14ac:dyDescent="0.15"/>
    <row r="13496" spans="3:3" s="8" customFormat="1" ht="21.95" customHeight="1" x14ac:dyDescent="0.15"/>
    <row r="13497" spans="3:3" s="9" customFormat="1" ht="21.95" customHeight="1" x14ac:dyDescent="0.15"/>
    <row r="13498" spans="3:3" s="9" customFormat="1" ht="21.95" customHeight="1" x14ac:dyDescent="0.15"/>
    <row r="13499" spans="3:3" s="9" customFormat="1" ht="21.95" customHeight="1" x14ac:dyDescent="0.15"/>
    <row r="13500" spans="3:3" s="9" customFormat="1" ht="21.95" customHeight="1" x14ac:dyDescent="0.15"/>
    <row r="13501" spans="3:3" s="8" customFormat="1" ht="21.95" customHeight="1" x14ac:dyDescent="0.15"/>
    <row r="13502" spans="3:3" s="8" customFormat="1" ht="21.95" customHeight="1" x14ac:dyDescent="0.15"/>
    <row r="13503" spans="3:3" s="8" customFormat="1" ht="21.95" customHeight="1" x14ac:dyDescent="0.15"/>
    <row r="13504" spans="3:3" s="8" customFormat="1" ht="21.95" customHeight="1" x14ac:dyDescent="0.15"/>
    <row r="13505" s="8" customFormat="1" ht="21.95" customHeight="1" x14ac:dyDescent="0.15"/>
    <row r="13506" s="8" customFormat="1" ht="21.95" customHeight="1" x14ac:dyDescent="0.15"/>
    <row r="13507" s="8" customFormat="1" ht="21.95" customHeight="1" x14ac:dyDescent="0.15"/>
    <row r="13508" s="8" customFormat="1" ht="21.95" customHeight="1" x14ac:dyDescent="0.15"/>
    <row r="13509" s="8" customFormat="1" ht="21.95" customHeight="1" x14ac:dyDescent="0.15"/>
    <row r="13510" s="8" customFormat="1" ht="21.95" customHeight="1" x14ac:dyDescent="0.15"/>
    <row r="13511" s="8" customFormat="1" ht="21.95" customHeight="1" x14ac:dyDescent="0.15"/>
    <row r="13512" s="8" customFormat="1" ht="32.1" customHeight="1" x14ac:dyDescent="0.15"/>
    <row r="13513" s="8" customFormat="1" ht="32.1" customHeight="1" x14ac:dyDescent="0.15"/>
    <row r="13514" s="8" customFormat="1" ht="32.1" customHeight="1" x14ac:dyDescent="0.15"/>
    <row r="13515" s="8" customFormat="1" ht="32.1" customHeight="1" x14ac:dyDescent="0.15"/>
    <row r="13516" s="8" customFormat="1" ht="32.1" customHeight="1" x14ac:dyDescent="0.15"/>
    <row r="13517" s="8" customFormat="1" ht="32.1" customHeight="1" x14ac:dyDescent="0.15"/>
    <row r="13518" s="9" customFormat="1" ht="32.1" customHeight="1" x14ac:dyDescent="0.15"/>
    <row r="13519" s="9" customFormat="1" ht="32.1" customHeight="1" x14ac:dyDescent="0.15"/>
    <row r="13520" s="9" customFormat="1" ht="32.1" customHeight="1" x14ac:dyDescent="0.15"/>
    <row r="13521" s="9" customFormat="1" ht="32.1" customHeight="1" x14ac:dyDescent="0.15"/>
    <row r="13522" s="9" customFormat="1" ht="21.95" customHeight="1" x14ac:dyDescent="0.15"/>
    <row r="13523" s="9" customFormat="1" ht="54" customHeight="1" x14ac:dyDescent="0.15"/>
    <row r="13524" s="9" customFormat="1" ht="21.95" customHeight="1" x14ac:dyDescent="0.15"/>
    <row r="13525" s="9" customFormat="1" ht="21.95" customHeight="1" x14ac:dyDescent="0.15"/>
    <row r="13526" s="9" customFormat="1" ht="21.95" customHeight="1" x14ac:dyDescent="0.15"/>
    <row r="13527" s="9" customFormat="1" ht="21.95" customHeight="1" x14ac:dyDescent="0.15"/>
    <row r="13528" s="9" customFormat="1" ht="21.95" customHeight="1" x14ac:dyDescent="0.15"/>
    <row r="13529" s="9" customFormat="1" ht="21.95" customHeight="1" x14ac:dyDescent="0.15"/>
    <row r="13530" s="9" customFormat="1" ht="21.95" customHeight="1" x14ac:dyDescent="0.15"/>
    <row r="13531" s="9" customFormat="1" ht="21.95" customHeight="1" x14ac:dyDescent="0.15"/>
    <row r="13532" s="9" customFormat="1" ht="21.95" customHeight="1" x14ac:dyDescent="0.15"/>
    <row r="13533" s="9" customFormat="1" ht="21.95" customHeight="1" x14ac:dyDescent="0.15"/>
    <row r="13534" s="9" customFormat="1" ht="21.95" customHeight="1" x14ac:dyDescent="0.15"/>
    <row r="13535" s="9" customFormat="1" ht="21.95" customHeight="1" x14ac:dyDescent="0.15"/>
    <row r="13536" s="9" customFormat="1" ht="21.95" customHeight="1" x14ac:dyDescent="0.15"/>
    <row r="13537" s="9" customFormat="1" ht="21.95" customHeight="1" x14ac:dyDescent="0.15"/>
    <row r="13538" s="9" customFormat="1" ht="21.95" customHeight="1" x14ac:dyDescent="0.15"/>
    <row r="13539" s="9" customFormat="1" ht="21.95" customHeight="1" x14ac:dyDescent="0.15"/>
    <row r="13540" s="9" customFormat="1" ht="21.95" customHeight="1" x14ac:dyDescent="0.15"/>
    <row r="13541" s="9" customFormat="1" ht="21.95" customHeight="1" x14ac:dyDescent="0.15"/>
    <row r="13542" s="9" customFormat="1" ht="21.95" customHeight="1" x14ac:dyDescent="0.15"/>
    <row r="13543" s="9" customFormat="1" ht="21.95" customHeight="1" x14ac:dyDescent="0.15"/>
    <row r="13544" s="9" customFormat="1" ht="21.95" customHeight="1" x14ac:dyDescent="0.15"/>
    <row r="13545" s="9" customFormat="1" ht="21.95" customHeight="1" x14ac:dyDescent="0.15"/>
    <row r="13546" s="9" customFormat="1" ht="21.95" customHeight="1" x14ac:dyDescent="0.15"/>
    <row r="13547" s="9" customFormat="1" ht="21.95" customHeight="1" x14ac:dyDescent="0.15"/>
    <row r="13548" s="9" customFormat="1" ht="21.95" customHeight="1" x14ac:dyDescent="0.15"/>
    <row r="13549" s="9" customFormat="1" ht="21.95" customHeight="1" x14ac:dyDescent="0.15"/>
    <row r="13550" s="9" customFormat="1" ht="21.95" customHeight="1" x14ac:dyDescent="0.15"/>
    <row r="13551" s="9" customFormat="1" ht="21.95" customHeight="1" x14ac:dyDescent="0.15"/>
    <row r="13552" s="9" customFormat="1" ht="21.95" customHeight="1" x14ac:dyDescent="0.15"/>
    <row r="13553" s="9" customFormat="1" ht="21.95" customHeight="1" x14ac:dyDescent="0.15"/>
    <row r="13554" s="9" customFormat="1" ht="21.95" customHeight="1" x14ac:dyDescent="0.15"/>
    <row r="13555" s="9" customFormat="1" ht="21.95" customHeight="1" x14ac:dyDescent="0.15"/>
    <row r="13556" s="9" customFormat="1" ht="21.95" customHeight="1" x14ac:dyDescent="0.15"/>
    <row r="13557" s="9" customFormat="1" ht="21.95" customHeight="1" x14ac:dyDescent="0.15"/>
    <row r="13558" s="9" customFormat="1" ht="21.95" customHeight="1" x14ac:dyDescent="0.15"/>
    <row r="13559" s="9" customFormat="1" ht="21.95" customHeight="1" x14ac:dyDescent="0.15"/>
    <row r="13560" s="9" customFormat="1" ht="21.95" customHeight="1" x14ac:dyDescent="0.15"/>
    <row r="13561" s="9" customFormat="1" ht="21.95" customHeight="1" x14ac:dyDescent="0.15"/>
    <row r="13562" s="9" customFormat="1" ht="21.95" customHeight="1" x14ac:dyDescent="0.15"/>
    <row r="13563" s="9" customFormat="1" ht="21.95" customHeight="1" x14ac:dyDescent="0.15"/>
    <row r="13564" s="9" customFormat="1" ht="21.95" customHeight="1" x14ac:dyDescent="0.15"/>
    <row r="13565" s="9" customFormat="1" ht="21.95" customHeight="1" x14ac:dyDescent="0.15"/>
    <row r="13566" s="9" customFormat="1" ht="21.95" customHeight="1" x14ac:dyDescent="0.15"/>
    <row r="13567" s="9" customFormat="1" ht="21.95" customHeight="1" x14ac:dyDescent="0.15"/>
    <row r="13568" s="9" customFormat="1" ht="21.95" customHeight="1" x14ac:dyDescent="0.15"/>
    <row r="13569" s="9" customFormat="1" ht="21.95" customHeight="1" x14ac:dyDescent="0.15"/>
    <row r="13570" s="9" customFormat="1" ht="21.95" customHeight="1" x14ac:dyDescent="0.15"/>
    <row r="13571" s="9" customFormat="1" ht="21.95" customHeight="1" x14ac:dyDescent="0.15"/>
    <row r="13572" s="9" customFormat="1" ht="21.95" customHeight="1" x14ac:dyDescent="0.15"/>
    <row r="13573" s="9" customFormat="1" ht="21.95" customHeight="1" x14ac:dyDescent="0.15"/>
    <row r="13574" s="9" customFormat="1" ht="35.1" customHeight="1" x14ac:dyDescent="0.15"/>
    <row r="13575" s="9" customFormat="1" ht="21.95" customHeight="1" x14ac:dyDescent="0.15"/>
    <row r="13576" s="9" customFormat="1" ht="21.95" customHeight="1" x14ac:dyDescent="0.15"/>
    <row r="13577" s="9" customFormat="1" ht="21.95" customHeight="1" x14ac:dyDescent="0.15"/>
    <row r="13578" s="9" customFormat="1" ht="21.95" customHeight="1" x14ac:dyDescent="0.15"/>
    <row r="13579" s="9" customFormat="1" ht="21.95" customHeight="1" x14ac:dyDescent="0.15"/>
    <row r="13580" s="9" customFormat="1" ht="21.95" customHeight="1" x14ac:dyDescent="0.15"/>
    <row r="13581" s="9" customFormat="1" ht="21.95" customHeight="1" x14ac:dyDescent="0.15"/>
    <row r="13582" s="9" customFormat="1" ht="21.95" customHeight="1" x14ac:dyDescent="0.15"/>
    <row r="13583" s="9" customFormat="1" ht="21.95" customHeight="1" x14ac:dyDescent="0.15"/>
    <row r="13584" s="9" customFormat="1" ht="21.95" customHeight="1" x14ac:dyDescent="0.15"/>
    <row r="13585" spans="3:3" s="9" customFormat="1" ht="21.95" customHeight="1" x14ac:dyDescent="0.15"/>
    <row r="13586" spans="3:3" s="9" customFormat="1" ht="21.95" customHeight="1" x14ac:dyDescent="0.15"/>
    <row r="13587" spans="3:3" s="9" customFormat="1" ht="21.95" customHeight="1" x14ac:dyDescent="0.15"/>
    <row r="13588" spans="3:3" s="9" customFormat="1" ht="21.95" customHeight="1" x14ac:dyDescent="0.15"/>
    <row r="13589" spans="3:3" s="9" customFormat="1" ht="21.95" customHeight="1" x14ac:dyDescent="0.15"/>
    <row r="13590" spans="3:3" s="9" customFormat="1" ht="21.95" customHeight="1" x14ac:dyDescent="0.15"/>
    <row r="13591" spans="3:3" s="9" customFormat="1" ht="21.95" customHeight="1" x14ac:dyDescent="0.15"/>
    <row r="13592" spans="3:3" s="9" customFormat="1" ht="21.95" customHeight="1" x14ac:dyDescent="0.15"/>
    <row r="13593" spans="3:3" s="9" customFormat="1" ht="21.95" customHeight="1" x14ac:dyDescent="0.15"/>
    <row r="13594" spans="3:3" s="9" customFormat="1" ht="21.95" customHeight="1" x14ac:dyDescent="0.15"/>
    <row r="13595" spans="3:3" s="9" customFormat="1" ht="21.95" customHeight="1" x14ac:dyDescent="0.15"/>
    <row r="13596" spans="3:3" s="9" customFormat="1" ht="21.95" customHeight="1" x14ac:dyDescent="0.15"/>
    <row r="13597" spans="3:3" s="9" customFormat="1" ht="21.95" customHeight="1" x14ac:dyDescent="0.15"/>
    <row r="13598" spans="3:3" s="8" customFormat="1" ht="21.95" customHeight="1" x14ac:dyDescent="0.15"/>
    <row r="13599" spans="3:3" s="8" customFormat="1" ht="21.95" customHeight="1" x14ac:dyDescent="0.15"/>
    <row r="13600" spans="3:3" s="8" customFormat="1" ht="21.95" customHeight="1" x14ac:dyDescent="0.15">
      <c r="C13600" s="101"/>
    </row>
    <row r="13601" spans="3:3" s="8" customFormat="1" ht="21.95" customHeight="1" x14ac:dyDescent="0.15">
      <c r="C13601" s="101"/>
    </row>
    <row r="13602" spans="3:3" s="8" customFormat="1" ht="21.95" customHeight="1" x14ac:dyDescent="0.15"/>
    <row r="13603" spans="3:3" s="8" customFormat="1" ht="21.95" customHeight="1" x14ac:dyDescent="0.15"/>
    <row r="13604" spans="3:3" s="8" customFormat="1" ht="21.95" customHeight="1" x14ac:dyDescent="0.15"/>
    <row r="13605" spans="3:3" s="8" customFormat="1" ht="21.95" customHeight="1" x14ac:dyDescent="0.15"/>
    <row r="13606" spans="3:3" s="8" customFormat="1" ht="21.95" customHeight="1" x14ac:dyDescent="0.15"/>
    <row r="13607" spans="3:3" s="8" customFormat="1" ht="21.95" customHeight="1" x14ac:dyDescent="0.15"/>
    <row r="13608" spans="3:3" s="8" customFormat="1" ht="21.95" customHeight="1" x14ac:dyDescent="0.15"/>
    <row r="13609" spans="3:3" s="9" customFormat="1" ht="21.95" customHeight="1" x14ac:dyDescent="0.15"/>
    <row r="13610" spans="3:3" s="9" customFormat="1" ht="21.95" customHeight="1" x14ac:dyDescent="0.15"/>
    <row r="13611" spans="3:3" s="9" customFormat="1" ht="21.95" customHeight="1" x14ac:dyDescent="0.15"/>
    <row r="13612" spans="3:3" s="9" customFormat="1" ht="21.95" customHeight="1" x14ac:dyDescent="0.15"/>
    <row r="13613" spans="3:3" s="8" customFormat="1" ht="21.95" customHeight="1" x14ac:dyDescent="0.15"/>
    <row r="13614" spans="3:3" s="8" customFormat="1" ht="21.95" customHeight="1" x14ac:dyDescent="0.15"/>
    <row r="13615" spans="3:3" s="8" customFormat="1" ht="21.95" customHeight="1" x14ac:dyDescent="0.15"/>
    <row r="13616" spans="3:3" s="8" customFormat="1" ht="21.95" customHeight="1" x14ac:dyDescent="0.15"/>
    <row r="13617" s="8" customFormat="1" ht="21.95" customHeight="1" x14ac:dyDescent="0.15"/>
    <row r="13618" s="8" customFormat="1" ht="21.95" customHeight="1" x14ac:dyDescent="0.15"/>
    <row r="13619" s="8" customFormat="1" ht="21.95" customHeight="1" x14ac:dyDescent="0.15"/>
    <row r="13620" s="8" customFormat="1" ht="21.95" customHeight="1" x14ac:dyDescent="0.15"/>
    <row r="13621" s="8" customFormat="1" ht="21.95" customHeight="1" x14ac:dyDescent="0.15"/>
    <row r="13622" s="8" customFormat="1" ht="21.95" customHeight="1" x14ac:dyDescent="0.15"/>
    <row r="13623" s="8" customFormat="1" ht="21.95" customHeight="1" x14ac:dyDescent="0.15"/>
    <row r="13624" s="8" customFormat="1" ht="32.1" customHeight="1" x14ac:dyDescent="0.15"/>
    <row r="13625" s="8" customFormat="1" ht="32.1" customHeight="1" x14ac:dyDescent="0.15"/>
    <row r="13626" s="8" customFormat="1" ht="32.1" customHeight="1" x14ac:dyDescent="0.15"/>
    <row r="13627" s="8" customFormat="1" ht="32.1" customHeight="1" x14ac:dyDescent="0.15"/>
    <row r="13628" s="8" customFormat="1" ht="32.1" customHeight="1" x14ac:dyDescent="0.15"/>
    <row r="13629" s="8" customFormat="1" ht="32.1" customHeight="1" x14ac:dyDescent="0.15"/>
    <row r="13630" s="9" customFormat="1" ht="32.1" customHeight="1" x14ac:dyDescent="0.15"/>
    <row r="13631" s="9" customFormat="1" ht="32.1" customHeight="1" x14ac:dyDescent="0.15"/>
    <row r="13632" s="9" customFormat="1" ht="32.1" customHeight="1" x14ac:dyDescent="0.15"/>
    <row r="13633" s="9" customFormat="1" ht="32.1" customHeight="1" x14ac:dyDescent="0.15"/>
    <row r="13634" s="9" customFormat="1" ht="21.95" customHeight="1" x14ac:dyDescent="0.15"/>
    <row r="13635" s="9" customFormat="1" ht="54" customHeight="1" x14ac:dyDescent="0.15"/>
    <row r="13636" s="9" customFormat="1" ht="21.95" customHeight="1" x14ac:dyDescent="0.15"/>
    <row r="13637" s="9" customFormat="1" ht="21.95" customHeight="1" x14ac:dyDescent="0.15"/>
    <row r="13638" s="9" customFormat="1" ht="21.95" customHeight="1" x14ac:dyDescent="0.15"/>
    <row r="13639" s="9" customFormat="1" ht="21.95" customHeight="1" x14ac:dyDescent="0.15"/>
    <row r="13640" s="9" customFormat="1" ht="21.95" customHeight="1" x14ac:dyDescent="0.15"/>
    <row r="13641" s="9" customFormat="1" ht="21.95" customHeight="1" x14ac:dyDescent="0.15"/>
    <row r="13642" s="9" customFormat="1" ht="21.95" customHeight="1" x14ac:dyDescent="0.15"/>
    <row r="13643" s="9" customFormat="1" ht="21.95" customHeight="1" x14ac:dyDescent="0.15"/>
    <row r="13644" s="9" customFormat="1" ht="21.95" customHeight="1" x14ac:dyDescent="0.15"/>
    <row r="13645" s="9" customFormat="1" ht="21.95" customHeight="1" x14ac:dyDescent="0.15"/>
    <row r="13646" s="9" customFormat="1" ht="21.95" customHeight="1" x14ac:dyDescent="0.15"/>
    <row r="13647" s="9" customFormat="1" ht="21.95" customHeight="1" x14ac:dyDescent="0.15"/>
    <row r="13648" s="9" customFormat="1" ht="21.95" customHeight="1" x14ac:dyDescent="0.15"/>
    <row r="13649" s="9" customFormat="1" ht="21.95" customHeight="1" x14ac:dyDescent="0.15"/>
    <row r="13650" s="9" customFormat="1" ht="21.95" customHeight="1" x14ac:dyDescent="0.15"/>
    <row r="13651" s="9" customFormat="1" ht="21.95" customHeight="1" x14ac:dyDescent="0.15"/>
    <row r="13652" s="9" customFormat="1" ht="21.95" customHeight="1" x14ac:dyDescent="0.15"/>
    <row r="13653" s="9" customFormat="1" ht="21.95" customHeight="1" x14ac:dyDescent="0.15"/>
    <row r="13654" s="9" customFormat="1" ht="21.95" customHeight="1" x14ac:dyDescent="0.15"/>
    <row r="13655" s="9" customFormat="1" ht="21.95" customHeight="1" x14ac:dyDescent="0.15"/>
    <row r="13656" s="9" customFormat="1" ht="21.95" customHeight="1" x14ac:dyDescent="0.15"/>
    <row r="13657" s="9" customFormat="1" ht="21.95" customHeight="1" x14ac:dyDescent="0.15"/>
    <row r="13658" s="9" customFormat="1" ht="21.95" customHeight="1" x14ac:dyDescent="0.15"/>
    <row r="13659" s="9" customFormat="1" ht="21.95" customHeight="1" x14ac:dyDescent="0.15"/>
    <row r="13660" s="9" customFormat="1" ht="21.95" customHeight="1" x14ac:dyDescent="0.15"/>
    <row r="13661" s="9" customFormat="1" ht="21.95" customHeight="1" x14ac:dyDescent="0.15"/>
    <row r="13662" s="9" customFormat="1" ht="21.95" customHeight="1" x14ac:dyDescent="0.15"/>
    <row r="13663" s="9" customFormat="1" ht="21.95" customHeight="1" x14ac:dyDescent="0.15"/>
    <row r="13664" s="9" customFormat="1" ht="21.95" customHeight="1" x14ac:dyDescent="0.15"/>
    <row r="13665" s="9" customFormat="1" ht="21.95" customHeight="1" x14ac:dyDescent="0.15"/>
    <row r="13666" s="9" customFormat="1" ht="21.95" customHeight="1" x14ac:dyDescent="0.15"/>
    <row r="13667" s="9" customFormat="1" ht="21.95" customHeight="1" x14ac:dyDescent="0.15"/>
    <row r="13668" s="9" customFormat="1" ht="21.95" customHeight="1" x14ac:dyDescent="0.15"/>
    <row r="13669" s="9" customFormat="1" ht="21.95" customHeight="1" x14ac:dyDescent="0.15"/>
    <row r="13670" s="9" customFormat="1" ht="21.95" customHeight="1" x14ac:dyDescent="0.15"/>
    <row r="13671" s="9" customFormat="1" ht="21.95" customHeight="1" x14ac:dyDescent="0.15"/>
    <row r="13672" s="9" customFormat="1" ht="21.95" customHeight="1" x14ac:dyDescent="0.15"/>
    <row r="13673" s="9" customFormat="1" ht="21.95" customHeight="1" x14ac:dyDescent="0.15"/>
    <row r="13674" s="9" customFormat="1" ht="21.95" customHeight="1" x14ac:dyDescent="0.15"/>
    <row r="13675" s="9" customFormat="1" ht="21.95" customHeight="1" x14ac:dyDescent="0.15"/>
    <row r="13676" s="9" customFormat="1" ht="21.95" customHeight="1" x14ac:dyDescent="0.15"/>
    <row r="13677" s="9" customFormat="1" ht="21.95" customHeight="1" x14ac:dyDescent="0.15"/>
    <row r="13678" s="9" customFormat="1" ht="21.95" customHeight="1" x14ac:dyDescent="0.15"/>
    <row r="13679" s="9" customFormat="1" ht="21.95" customHeight="1" x14ac:dyDescent="0.15"/>
    <row r="13680" s="9" customFormat="1" ht="21.95" customHeight="1" x14ac:dyDescent="0.15"/>
    <row r="13681" s="9" customFormat="1" ht="21.95" customHeight="1" x14ac:dyDescent="0.15"/>
    <row r="13682" s="9" customFormat="1" ht="21.95" customHeight="1" x14ac:dyDescent="0.15"/>
    <row r="13683" s="9" customFormat="1" ht="21.95" customHeight="1" x14ac:dyDescent="0.15"/>
    <row r="13684" s="9" customFormat="1" ht="21.95" customHeight="1" x14ac:dyDescent="0.15"/>
    <row r="13685" s="9" customFormat="1" ht="21.95" customHeight="1" x14ac:dyDescent="0.15"/>
    <row r="13686" s="9" customFormat="1" ht="35.1" customHeight="1" x14ac:dyDescent="0.15"/>
    <row r="13687" s="9" customFormat="1" ht="21.95" customHeight="1" x14ac:dyDescent="0.15"/>
    <row r="13688" s="9" customFormat="1" ht="21.95" customHeight="1" x14ac:dyDescent="0.15"/>
    <row r="13689" s="9" customFormat="1" ht="21.95" customHeight="1" x14ac:dyDescent="0.15"/>
    <row r="13690" s="9" customFormat="1" ht="21.95" customHeight="1" x14ac:dyDescent="0.15"/>
    <row r="13691" s="9" customFormat="1" ht="21.95" customHeight="1" x14ac:dyDescent="0.15"/>
    <row r="13692" s="9" customFormat="1" ht="21.95" customHeight="1" x14ac:dyDescent="0.15"/>
    <row r="13693" s="9" customFormat="1" ht="21.95" customHeight="1" x14ac:dyDescent="0.15"/>
    <row r="13694" s="9" customFormat="1" ht="21.95" customHeight="1" x14ac:dyDescent="0.15"/>
    <row r="13695" s="9" customFormat="1" ht="21.95" customHeight="1" x14ac:dyDescent="0.15"/>
    <row r="13696" s="9" customFormat="1" ht="21.95" customHeight="1" x14ac:dyDescent="0.15"/>
    <row r="13697" spans="3:3" s="9" customFormat="1" ht="21.95" customHeight="1" x14ac:dyDescent="0.15"/>
    <row r="13698" spans="3:3" s="9" customFormat="1" ht="21.95" customHeight="1" x14ac:dyDescent="0.15"/>
    <row r="13699" spans="3:3" s="9" customFormat="1" ht="21.95" customHeight="1" x14ac:dyDescent="0.15"/>
    <row r="13700" spans="3:3" s="9" customFormat="1" ht="21.95" customHeight="1" x14ac:dyDescent="0.15"/>
    <row r="13701" spans="3:3" s="9" customFormat="1" ht="21.95" customHeight="1" x14ac:dyDescent="0.15"/>
    <row r="13702" spans="3:3" s="9" customFormat="1" ht="21.95" customHeight="1" x14ac:dyDescent="0.15"/>
    <row r="13703" spans="3:3" s="9" customFormat="1" ht="21.95" customHeight="1" x14ac:dyDescent="0.15"/>
    <row r="13704" spans="3:3" s="9" customFormat="1" ht="21.95" customHeight="1" x14ac:dyDescent="0.15"/>
    <row r="13705" spans="3:3" s="9" customFormat="1" ht="21.95" customHeight="1" x14ac:dyDescent="0.15"/>
    <row r="13706" spans="3:3" s="9" customFormat="1" ht="21.95" customHeight="1" x14ac:dyDescent="0.15"/>
    <row r="13707" spans="3:3" s="9" customFormat="1" ht="21.95" customHeight="1" x14ac:dyDescent="0.15"/>
    <row r="13708" spans="3:3" s="9" customFormat="1" ht="21.95" customHeight="1" x14ac:dyDescent="0.15"/>
    <row r="13709" spans="3:3" s="9" customFormat="1" ht="21.95" customHeight="1" x14ac:dyDescent="0.15"/>
    <row r="13710" spans="3:3" s="8" customFormat="1" ht="21.95" customHeight="1" x14ac:dyDescent="0.15"/>
    <row r="13711" spans="3:3" s="8" customFormat="1" ht="21.95" customHeight="1" x14ac:dyDescent="0.15"/>
    <row r="13712" spans="3:3" s="8" customFormat="1" ht="21.95" customHeight="1" x14ac:dyDescent="0.15">
      <c r="C13712" s="101"/>
    </row>
    <row r="13713" spans="3:3" s="8" customFormat="1" ht="21.95" customHeight="1" x14ac:dyDescent="0.15">
      <c r="C13713" s="101"/>
    </row>
    <row r="13714" spans="3:3" s="8" customFormat="1" ht="21.95" customHeight="1" x14ac:dyDescent="0.15"/>
    <row r="13715" spans="3:3" s="8" customFormat="1" ht="21.95" customHeight="1" x14ac:dyDescent="0.15"/>
    <row r="13716" spans="3:3" s="8" customFormat="1" ht="21.95" customHeight="1" x14ac:dyDescent="0.15"/>
    <row r="13717" spans="3:3" s="8" customFormat="1" ht="21.95" customHeight="1" x14ac:dyDescent="0.15"/>
    <row r="13718" spans="3:3" s="8" customFormat="1" ht="21.95" customHeight="1" x14ac:dyDescent="0.15"/>
    <row r="13719" spans="3:3" s="8" customFormat="1" ht="21.95" customHeight="1" x14ac:dyDescent="0.15"/>
    <row r="13720" spans="3:3" s="8" customFormat="1" ht="21.95" customHeight="1" x14ac:dyDescent="0.15"/>
    <row r="13721" spans="3:3" s="9" customFormat="1" ht="21.95" customHeight="1" x14ac:dyDescent="0.15"/>
    <row r="13722" spans="3:3" s="9" customFormat="1" ht="21.95" customHeight="1" x14ac:dyDescent="0.15"/>
    <row r="13723" spans="3:3" s="9" customFormat="1" ht="21.95" customHeight="1" x14ac:dyDescent="0.15"/>
    <row r="13724" spans="3:3" s="9" customFormat="1" ht="21.95" customHeight="1" x14ac:dyDescent="0.15"/>
    <row r="13725" spans="3:3" s="8" customFormat="1" ht="21.95" customHeight="1" x14ac:dyDescent="0.15"/>
    <row r="13726" spans="3:3" s="8" customFormat="1" ht="21.95" customHeight="1" x14ac:dyDescent="0.15"/>
    <row r="13727" spans="3:3" s="8" customFormat="1" ht="21.95" customHeight="1" x14ac:dyDescent="0.15"/>
    <row r="13728" spans="3:3" s="8" customFormat="1" ht="21.95" customHeight="1" x14ac:dyDescent="0.15"/>
    <row r="13729" s="8" customFormat="1" ht="21.95" customHeight="1" x14ac:dyDescent="0.15"/>
    <row r="13730" s="8" customFormat="1" ht="21.95" customHeight="1" x14ac:dyDescent="0.15"/>
    <row r="13731" s="8" customFormat="1" ht="21.95" customHeight="1" x14ac:dyDescent="0.15"/>
    <row r="13732" s="8" customFormat="1" ht="21.95" customHeight="1" x14ac:dyDescent="0.15"/>
    <row r="13733" s="8" customFormat="1" ht="21.95" customHeight="1" x14ac:dyDescent="0.15"/>
    <row r="13734" s="8" customFormat="1" ht="21.95" customHeight="1" x14ac:dyDescent="0.15"/>
    <row r="13735" s="8" customFormat="1" ht="21.95" customHeight="1" x14ac:dyDescent="0.15"/>
    <row r="13736" s="8" customFormat="1" ht="32.1" customHeight="1" x14ac:dyDescent="0.15"/>
    <row r="13737" s="8" customFormat="1" ht="32.1" customHeight="1" x14ac:dyDescent="0.15"/>
    <row r="13738" s="8" customFormat="1" ht="32.1" customHeight="1" x14ac:dyDescent="0.15"/>
    <row r="13739" s="8" customFormat="1" ht="32.1" customHeight="1" x14ac:dyDescent="0.15"/>
    <row r="13740" s="8" customFormat="1" ht="32.1" customHeight="1" x14ac:dyDescent="0.15"/>
    <row r="13741" s="8" customFormat="1" ht="32.1" customHeight="1" x14ac:dyDescent="0.15"/>
    <row r="13742" s="9" customFormat="1" ht="32.1" customHeight="1" x14ac:dyDescent="0.15"/>
    <row r="13743" s="9" customFormat="1" ht="32.1" customHeight="1" x14ac:dyDescent="0.15"/>
    <row r="13744" s="9" customFormat="1" ht="32.1" customHeight="1" x14ac:dyDescent="0.15"/>
    <row r="13745" s="9" customFormat="1" ht="32.1" customHeight="1" x14ac:dyDescent="0.15"/>
    <row r="13746" s="9" customFormat="1" ht="21.95" customHeight="1" x14ac:dyDescent="0.15"/>
    <row r="13747" s="9" customFormat="1" ht="54" customHeight="1" x14ac:dyDescent="0.15"/>
    <row r="13748" s="9" customFormat="1" ht="21.95" customHeight="1" x14ac:dyDescent="0.15"/>
    <row r="13749" s="9" customFormat="1" ht="21.95" customHeight="1" x14ac:dyDescent="0.15"/>
    <row r="13750" s="9" customFormat="1" ht="21.95" customHeight="1" x14ac:dyDescent="0.15"/>
    <row r="13751" s="9" customFormat="1" ht="21.95" customHeight="1" x14ac:dyDescent="0.15"/>
    <row r="13752" s="9" customFormat="1" ht="21.95" customHeight="1" x14ac:dyDescent="0.15"/>
    <row r="13753" s="9" customFormat="1" ht="21.95" customHeight="1" x14ac:dyDescent="0.15"/>
    <row r="13754" s="9" customFormat="1" ht="21.95" customHeight="1" x14ac:dyDescent="0.15"/>
    <row r="13755" s="9" customFormat="1" ht="21.95" customHeight="1" x14ac:dyDescent="0.15"/>
    <row r="13756" s="9" customFormat="1" ht="21.95" customHeight="1" x14ac:dyDescent="0.15"/>
    <row r="13757" s="9" customFormat="1" ht="21.95" customHeight="1" x14ac:dyDescent="0.15"/>
    <row r="13758" s="9" customFormat="1" ht="21.95" customHeight="1" x14ac:dyDescent="0.15"/>
    <row r="13759" s="9" customFormat="1" ht="21.95" customHeight="1" x14ac:dyDescent="0.15"/>
    <row r="13760" s="9" customFormat="1" ht="21.95" customHeight="1" x14ac:dyDescent="0.15"/>
    <row r="13761" s="9" customFormat="1" ht="21.95" customHeight="1" x14ac:dyDescent="0.15"/>
    <row r="13762" s="9" customFormat="1" ht="21.95" customHeight="1" x14ac:dyDescent="0.15"/>
    <row r="13763" s="9" customFormat="1" ht="21.95" customHeight="1" x14ac:dyDescent="0.15"/>
    <row r="13764" s="9" customFormat="1" ht="21.95" customHeight="1" x14ac:dyDescent="0.15"/>
    <row r="13765" s="9" customFormat="1" ht="21.95" customHeight="1" x14ac:dyDescent="0.15"/>
    <row r="13766" s="9" customFormat="1" ht="21.95" customHeight="1" x14ac:dyDescent="0.15"/>
    <row r="13767" s="9" customFormat="1" ht="21.95" customHeight="1" x14ac:dyDescent="0.15"/>
    <row r="13768" s="9" customFormat="1" ht="21.95" customHeight="1" x14ac:dyDescent="0.15"/>
    <row r="13769" s="9" customFormat="1" ht="21.95" customHeight="1" x14ac:dyDescent="0.15"/>
    <row r="13770" s="9" customFormat="1" ht="21.95" customHeight="1" x14ac:dyDescent="0.15"/>
    <row r="13771" s="9" customFormat="1" ht="21.95" customHeight="1" x14ac:dyDescent="0.15"/>
    <row r="13772" s="9" customFormat="1" ht="21.95" customHeight="1" x14ac:dyDescent="0.15"/>
    <row r="13773" s="9" customFormat="1" ht="21.95" customHeight="1" x14ac:dyDescent="0.15"/>
    <row r="13774" s="9" customFormat="1" ht="21.95" customHeight="1" x14ac:dyDescent="0.15"/>
    <row r="13775" s="9" customFormat="1" ht="21.95" customHeight="1" x14ac:dyDescent="0.15"/>
    <row r="13776" s="9" customFormat="1" ht="21.95" customHeight="1" x14ac:dyDescent="0.15"/>
    <row r="13777" s="9" customFormat="1" ht="21.95" customHeight="1" x14ac:dyDescent="0.15"/>
    <row r="13778" s="9" customFormat="1" ht="21.95" customHeight="1" x14ac:dyDescent="0.15"/>
    <row r="13779" s="9" customFormat="1" ht="21.95" customHeight="1" x14ac:dyDescent="0.15"/>
    <row r="13780" s="9" customFormat="1" ht="21.95" customHeight="1" x14ac:dyDescent="0.15"/>
    <row r="13781" s="9" customFormat="1" ht="21.95" customHeight="1" x14ac:dyDescent="0.15"/>
    <row r="13782" s="9" customFormat="1" ht="21.95" customHeight="1" x14ac:dyDescent="0.15"/>
    <row r="13783" s="9" customFormat="1" ht="21.95" customHeight="1" x14ac:dyDescent="0.15"/>
    <row r="13784" s="9" customFormat="1" ht="21.95" customHeight="1" x14ac:dyDescent="0.15"/>
    <row r="13785" s="9" customFormat="1" ht="21.95" customHeight="1" x14ac:dyDescent="0.15"/>
    <row r="13786" s="9" customFormat="1" ht="21.95" customHeight="1" x14ac:dyDescent="0.15"/>
    <row r="13787" s="9" customFormat="1" ht="21.95" customHeight="1" x14ac:dyDescent="0.15"/>
    <row r="13788" s="9" customFormat="1" ht="21.95" customHeight="1" x14ac:dyDescent="0.15"/>
    <row r="13789" s="9" customFormat="1" ht="21.95" customHeight="1" x14ac:dyDescent="0.15"/>
    <row r="13790" s="9" customFormat="1" ht="21.95" customHeight="1" x14ac:dyDescent="0.15"/>
    <row r="13791" s="9" customFormat="1" ht="21.95" customHeight="1" x14ac:dyDescent="0.15"/>
    <row r="13792" s="9" customFormat="1" ht="21.95" customHeight="1" x14ac:dyDescent="0.15"/>
    <row r="13793" s="9" customFormat="1" ht="21.95" customHeight="1" x14ac:dyDescent="0.15"/>
    <row r="13794" s="9" customFormat="1" ht="21.95" customHeight="1" x14ac:dyDescent="0.15"/>
    <row r="13795" s="9" customFormat="1" ht="21.95" customHeight="1" x14ac:dyDescent="0.15"/>
    <row r="13796" s="9" customFormat="1" ht="21.95" customHeight="1" x14ac:dyDescent="0.15"/>
    <row r="13797" s="9" customFormat="1" ht="21.95" customHeight="1" x14ac:dyDescent="0.15"/>
    <row r="13798" s="9" customFormat="1" ht="35.1" customHeight="1" x14ac:dyDescent="0.15"/>
    <row r="13799" s="9" customFormat="1" ht="21.95" customHeight="1" x14ac:dyDescent="0.15"/>
    <row r="13800" s="9" customFormat="1" ht="21.95" customHeight="1" x14ac:dyDescent="0.15"/>
    <row r="13801" s="9" customFormat="1" ht="21.95" customHeight="1" x14ac:dyDescent="0.15"/>
    <row r="13802" s="9" customFormat="1" ht="21.95" customHeight="1" x14ac:dyDescent="0.15"/>
    <row r="13803" s="9" customFormat="1" ht="21.95" customHeight="1" x14ac:dyDescent="0.15"/>
    <row r="13804" s="9" customFormat="1" ht="21.95" customHeight="1" x14ac:dyDescent="0.15"/>
    <row r="13805" s="9" customFormat="1" ht="21.95" customHeight="1" x14ac:dyDescent="0.15"/>
    <row r="13806" s="9" customFormat="1" ht="21.95" customHeight="1" x14ac:dyDescent="0.15"/>
    <row r="13807" s="9" customFormat="1" ht="21.95" customHeight="1" x14ac:dyDescent="0.15"/>
    <row r="13808" s="9" customFormat="1" ht="21.95" customHeight="1" x14ac:dyDescent="0.15"/>
    <row r="13809" spans="3:3" s="9" customFormat="1" ht="21.95" customHeight="1" x14ac:dyDescent="0.15"/>
    <row r="13810" spans="3:3" s="9" customFormat="1" ht="21.95" customHeight="1" x14ac:dyDescent="0.15"/>
    <row r="13811" spans="3:3" s="9" customFormat="1" ht="21.95" customHeight="1" x14ac:dyDescent="0.15"/>
    <row r="13812" spans="3:3" s="9" customFormat="1" ht="21.95" customHeight="1" x14ac:dyDescent="0.15"/>
    <row r="13813" spans="3:3" s="9" customFormat="1" ht="21.95" customHeight="1" x14ac:dyDescent="0.15"/>
    <row r="13814" spans="3:3" s="9" customFormat="1" ht="21.95" customHeight="1" x14ac:dyDescent="0.15"/>
    <row r="13815" spans="3:3" s="9" customFormat="1" ht="21.95" customHeight="1" x14ac:dyDescent="0.15"/>
    <row r="13816" spans="3:3" s="9" customFormat="1" ht="21.95" customHeight="1" x14ac:dyDescent="0.15"/>
    <row r="13817" spans="3:3" s="9" customFormat="1" ht="21.95" customHeight="1" x14ac:dyDescent="0.15"/>
    <row r="13818" spans="3:3" s="9" customFormat="1" ht="21.95" customHeight="1" x14ac:dyDescent="0.15"/>
    <row r="13819" spans="3:3" s="9" customFormat="1" ht="21.95" customHeight="1" x14ac:dyDescent="0.15"/>
    <row r="13820" spans="3:3" s="9" customFormat="1" ht="21.95" customHeight="1" x14ac:dyDescent="0.15"/>
    <row r="13821" spans="3:3" s="9" customFormat="1" ht="21.95" customHeight="1" x14ac:dyDescent="0.15"/>
    <row r="13822" spans="3:3" s="8" customFormat="1" ht="21.95" customHeight="1" x14ac:dyDescent="0.15"/>
    <row r="13823" spans="3:3" s="8" customFormat="1" ht="21.95" customHeight="1" x14ac:dyDescent="0.15"/>
    <row r="13824" spans="3:3" s="8" customFormat="1" ht="21.95" customHeight="1" x14ac:dyDescent="0.15">
      <c r="C13824" s="101"/>
    </row>
    <row r="13825" spans="3:3" s="8" customFormat="1" ht="21.95" customHeight="1" x14ac:dyDescent="0.15">
      <c r="C13825" s="101"/>
    </row>
    <row r="13826" spans="3:3" s="8" customFormat="1" ht="21.95" customHeight="1" x14ac:dyDescent="0.15"/>
    <row r="13827" spans="3:3" s="8" customFormat="1" ht="21.95" customHeight="1" x14ac:dyDescent="0.15"/>
    <row r="13828" spans="3:3" s="8" customFormat="1" ht="21.95" customHeight="1" x14ac:dyDescent="0.15"/>
    <row r="13829" spans="3:3" s="8" customFormat="1" ht="21.95" customHeight="1" x14ac:dyDescent="0.15"/>
    <row r="13830" spans="3:3" s="8" customFormat="1" ht="21.95" customHeight="1" x14ac:dyDescent="0.15"/>
    <row r="13831" spans="3:3" s="8" customFormat="1" ht="21.95" customHeight="1" x14ac:dyDescent="0.15"/>
    <row r="13832" spans="3:3" s="8" customFormat="1" ht="21.95" customHeight="1" x14ac:dyDescent="0.15"/>
    <row r="13833" spans="3:3" s="9" customFormat="1" ht="21.95" customHeight="1" x14ac:dyDescent="0.15"/>
    <row r="13834" spans="3:3" s="9" customFormat="1" ht="21.95" customHeight="1" x14ac:dyDescent="0.15"/>
    <row r="13835" spans="3:3" s="9" customFormat="1" ht="21.95" customHeight="1" x14ac:dyDescent="0.15"/>
    <row r="13836" spans="3:3" s="9" customFormat="1" ht="21.95" customHeight="1" x14ac:dyDescent="0.15"/>
    <row r="13837" spans="3:3" s="8" customFormat="1" ht="21.95" customHeight="1" x14ac:dyDescent="0.15"/>
    <row r="13838" spans="3:3" s="8" customFormat="1" ht="21.95" customHeight="1" x14ac:dyDescent="0.15"/>
    <row r="13839" spans="3:3" s="8" customFormat="1" ht="21.95" customHeight="1" x14ac:dyDescent="0.15"/>
    <row r="13840" spans="3:3" s="8" customFormat="1" ht="21.95" customHeight="1" x14ac:dyDescent="0.15"/>
    <row r="13841" s="8" customFormat="1" ht="21.95" customHeight="1" x14ac:dyDescent="0.15"/>
    <row r="13842" s="8" customFormat="1" ht="21.95" customHeight="1" x14ac:dyDescent="0.15"/>
    <row r="13843" s="8" customFormat="1" ht="21.95" customHeight="1" x14ac:dyDescent="0.15"/>
    <row r="13844" s="8" customFormat="1" ht="21.95" customHeight="1" x14ac:dyDescent="0.15"/>
    <row r="13845" s="8" customFormat="1" ht="21.95" customHeight="1" x14ac:dyDescent="0.15"/>
    <row r="13846" s="8" customFormat="1" ht="21.95" customHeight="1" x14ac:dyDescent="0.15"/>
    <row r="13847" s="8" customFormat="1" ht="21.95" customHeight="1" x14ac:dyDescent="0.15"/>
    <row r="13848" s="8" customFormat="1" ht="32.1" customHeight="1" x14ac:dyDescent="0.15"/>
    <row r="13849" s="8" customFormat="1" ht="32.1" customHeight="1" x14ac:dyDescent="0.15"/>
    <row r="13850" s="8" customFormat="1" ht="32.1" customHeight="1" x14ac:dyDescent="0.15"/>
    <row r="13851" s="8" customFormat="1" ht="32.1" customHeight="1" x14ac:dyDescent="0.15"/>
    <row r="13852" s="8" customFormat="1" ht="32.1" customHeight="1" x14ac:dyDescent="0.15"/>
    <row r="13853" s="8" customFormat="1" ht="32.1" customHeight="1" x14ac:dyDescent="0.15"/>
    <row r="13854" s="9" customFormat="1" ht="32.1" customHeight="1" x14ac:dyDescent="0.15"/>
    <row r="13855" s="9" customFormat="1" ht="32.1" customHeight="1" x14ac:dyDescent="0.15"/>
    <row r="13856" s="9" customFormat="1" ht="32.1" customHeight="1" x14ac:dyDescent="0.15"/>
    <row r="13857" s="9" customFormat="1" ht="32.1" customHeight="1" x14ac:dyDescent="0.15"/>
    <row r="13858" s="9" customFormat="1" ht="21.95" customHeight="1" x14ac:dyDescent="0.15"/>
    <row r="13859" s="9" customFormat="1" ht="54" customHeight="1" x14ac:dyDescent="0.15"/>
    <row r="13860" s="9" customFormat="1" ht="21.95" customHeight="1" x14ac:dyDescent="0.15"/>
    <row r="13861" s="9" customFormat="1" ht="21.95" customHeight="1" x14ac:dyDescent="0.15"/>
    <row r="13862" s="9" customFormat="1" ht="21.95" customHeight="1" x14ac:dyDescent="0.15"/>
    <row r="13863" s="9" customFormat="1" ht="21.95" customHeight="1" x14ac:dyDescent="0.15"/>
    <row r="13864" s="9" customFormat="1" ht="21.95" customHeight="1" x14ac:dyDescent="0.15"/>
    <row r="13865" s="9" customFormat="1" ht="21.95" customHeight="1" x14ac:dyDescent="0.15"/>
    <row r="13866" s="9" customFormat="1" ht="21.95" customHeight="1" x14ac:dyDescent="0.15"/>
    <row r="13867" s="9" customFormat="1" ht="21.95" customHeight="1" x14ac:dyDescent="0.15"/>
    <row r="13868" s="9" customFormat="1" ht="21.95" customHeight="1" x14ac:dyDescent="0.15"/>
    <row r="13869" s="9" customFormat="1" ht="21.95" customHeight="1" x14ac:dyDescent="0.15"/>
    <row r="13870" s="9" customFormat="1" ht="21.95" customHeight="1" x14ac:dyDescent="0.15"/>
    <row r="13871" s="9" customFormat="1" ht="21.95" customHeight="1" x14ac:dyDescent="0.15"/>
    <row r="13872" s="9" customFormat="1" ht="21.95" customHeight="1" x14ac:dyDescent="0.15"/>
    <row r="13873" s="9" customFormat="1" ht="21.95" customHeight="1" x14ac:dyDescent="0.15"/>
    <row r="13874" s="9" customFormat="1" ht="21.95" customHeight="1" x14ac:dyDescent="0.15"/>
    <row r="13875" s="9" customFormat="1" ht="21.95" customHeight="1" x14ac:dyDescent="0.15"/>
    <row r="13876" s="9" customFormat="1" ht="21.95" customHeight="1" x14ac:dyDescent="0.15"/>
    <row r="13877" s="9" customFormat="1" ht="21.95" customHeight="1" x14ac:dyDescent="0.15"/>
    <row r="13878" s="9" customFormat="1" ht="21.95" customHeight="1" x14ac:dyDescent="0.15"/>
    <row r="13879" s="9" customFormat="1" ht="21.95" customHeight="1" x14ac:dyDescent="0.15"/>
    <row r="13880" s="9" customFormat="1" ht="21.95" customHeight="1" x14ac:dyDescent="0.15"/>
    <row r="13881" s="9" customFormat="1" ht="21.95" customHeight="1" x14ac:dyDescent="0.15"/>
    <row r="13882" s="9" customFormat="1" ht="21.95" customHeight="1" x14ac:dyDescent="0.15"/>
    <row r="13883" s="9" customFormat="1" ht="21.95" customHeight="1" x14ac:dyDescent="0.15"/>
    <row r="13884" s="9" customFormat="1" ht="21.95" customHeight="1" x14ac:dyDescent="0.15"/>
    <row r="13885" s="9" customFormat="1" ht="21.95" customHeight="1" x14ac:dyDescent="0.15"/>
    <row r="13886" s="9" customFormat="1" ht="21.95" customHeight="1" x14ac:dyDescent="0.15"/>
    <row r="13887" s="9" customFormat="1" ht="21.95" customHeight="1" x14ac:dyDescent="0.15"/>
    <row r="13888" s="9" customFormat="1" ht="21.95" customHeight="1" x14ac:dyDescent="0.15"/>
    <row r="13889" s="9" customFormat="1" ht="21.95" customHeight="1" x14ac:dyDescent="0.15"/>
    <row r="13890" s="9" customFormat="1" ht="21.95" customHeight="1" x14ac:dyDescent="0.15"/>
    <row r="13891" s="9" customFormat="1" ht="21.95" customHeight="1" x14ac:dyDescent="0.15"/>
    <row r="13892" s="9" customFormat="1" ht="21.95" customHeight="1" x14ac:dyDescent="0.15"/>
    <row r="13893" s="9" customFormat="1" ht="21.95" customHeight="1" x14ac:dyDescent="0.15"/>
    <row r="13894" s="9" customFormat="1" ht="21.95" customHeight="1" x14ac:dyDescent="0.15"/>
    <row r="13895" s="9" customFormat="1" ht="21.95" customHeight="1" x14ac:dyDescent="0.15"/>
    <row r="13896" s="9" customFormat="1" ht="21.95" customHeight="1" x14ac:dyDescent="0.15"/>
    <row r="13897" s="9" customFormat="1" ht="21.95" customHeight="1" x14ac:dyDescent="0.15"/>
    <row r="13898" s="9" customFormat="1" ht="21.95" customHeight="1" x14ac:dyDescent="0.15"/>
    <row r="13899" s="9" customFormat="1" ht="21.95" customHeight="1" x14ac:dyDescent="0.15"/>
    <row r="13900" s="9" customFormat="1" ht="21.95" customHeight="1" x14ac:dyDescent="0.15"/>
    <row r="13901" s="9" customFormat="1" ht="21.95" customHeight="1" x14ac:dyDescent="0.15"/>
    <row r="13902" s="9" customFormat="1" ht="21.95" customHeight="1" x14ac:dyDescent="0.15"/>
    <row r="13903" s="9" customFormat="1" ht="21.95" customHeight="1" x14ac:dyDescent="0.15"/>
    <row r="13904" s="9" customFormat="1" ht="21.95" customHeight="1" x14ac:dyDescent="0.15"/>
    <row r="13905" s="9" customFormat="1" ht="21.95" customHeight="1" x14ac:dyDescent="0.15"/>
    <row r="13906" s="9" customFormat="1" ht="21.95" customHeight="1" x14ac:dyDescent="0.15"/>
    <row r="13907" s="9" customFormat="1" ht="21.95" customHeight="1" x14ac:dyDescent="0.15"/>
    <row r="13908" s="9" customFormat="1" ht="21.95" customHeight="1" x14ac:dyDescent="0.15"/>
    <row r="13909" s="9" customFormat="1" ht="21.95" customHeight="1" x14ac:dyDescent="0.15"/>
    <row r="13910" s="9" customFormat="1" ht="35.1" customHeight="1" x14ac:dyDescent="0.15"/>
    <row r="13911" s="9" customFormat="1" ht="21.95" customHeight="1" x14ac:dyDescent="0.15"/>
    <row r="13912" s="9" customFormat="1" ht="21.95" customHeight="1" x14ac:dyDescent="0.15"/>
    <row r="13913" s="9" customFormat="1" ht="21.95" customHeight="1" x14ac:dyDescent="0.15"/>
    <row r="13914" s="9" customFormat="1" ht="21.95" customHeight="1" x14ac:dyDescent="0.15"/>
    <row r="13915" s="9" customFormat="1" ht="21.95" customHeight="1" x14ac:dyDescent="0.15"/>
    <row r="13916" s="9" customFormat="1" ht="21.95" customHeight="1" x14ac:dyDescent="0.15"/>
    <row r="13917" s="9" customFormat="1" ht="21.95" customHeight="1" x14ac:dyDescent="0.15"/>
    <row r="13918" s="9" customFormat="1" ht="21.95" customHeight="1" x14ac:dyDescent="0.15"/>
    <row r="13919" s="9" customFormat="1" ht="21.95" customHeight="1" x14ac:dyDescent="0.15"/>
    <row r="13920" s="9" customFormat="1" ht="21.95" customHeight="1" x14ac:dyDescent="0.15"/>
    <row r="13921" spans="3:3" s="9" customFormat="1" ht="21.95" customHeight="1" x14ac:dyDescent="0.15"/>
    <row r="13922" spans="3:3" s="9" customFormat="1" ht="21.95" customHeight="1" x14ac:dyDescent="0.15"/>
    <row r="13923" spans="3:3" s="9" customFormat="1" ht="21.95" customHeight="1" x14ac:dyDescent="0.15"/>
    <row r="13924" spans="3:3" s="9" customFormat="1" ht="21.95" customHeight="1" x14ac:dyDescent="0.15"/>
    <row r="13925" spans="3:3" s="9" customFormat="1" ht="21.95" customHeight="1" x14ac:dyDescent="0.15"/>
    <row r="13926" spans="3:3" s="9" customFormat="1" ht="21.95" customHeight="1" x14ac:dyDescent="0.15"/>
    <row r="13927" spans="3:3" s="9" customFormat="1" ht="21.95" customHeight="1" x14ac:dyDescent="0.15"/>
    <row r="13928" spans="3:3" s="9" customFormat="1" ht="21.95" customHeight="1" x14ac:dyDescent="0.15"/>
    <row r="13929" spans="3:3" s="9" customFormat="1" ht="21.95" customHeight="1" x14ac:dyDescent="0.15"/>
    <row r="13930" spans="3:3" s="9" customFormat="1" ht="21.95" customHeight="1" x14ac:dyDescent="0.15"/>
    <row r="13931" spans="3:3" s="9" customFormat="1" ht="21.95" customHeight="1" x14ac:dyDescent="0.15"/>
    <row r="13932" spans="3:3" s="9" customFormat="1" ht="21.95" customHeight="1" x14ac:dyDescent="0.15"/>
    <row r="13933" spans="3:3" s="9" customFormat="1" ht="21.95" customHeight="1" x14ac:dyDescent="0.15"/>
    <row r="13934" spans="3:3" s="8" customFormat="1" ht="21.95" customHeight="1" x14ac:dyDescent="0.15"/>
    <row r="13935" spans="3:3" s="8" customFormat="1" ht="21.95" customHeight="1" x14ac:dyDescent="0.15"/>
    <row r="13936" spans="3:3" s="8" customFormat="1" ht="21.95" customHeight="1" x14ac:dyDescent="0.15">
      <c r="C13936" s="101"/>
    </row>
    <row r="13937" spans="3:3" s="8" customFormat="1" ht="21.95" customHeight="1" x14ac:dyDescent="0.15">
      <c r="C13937" s="101"/>
    </row>
    <row r="13938" spans="3:3" s="8" customFormat="1" ht="21.95" customHeight="1" x14ac:dyDescent="0.15"/>
    <row r="13939" spans="3:3" s="8" customFormat="1" ht="21.95" customHeight="1" x14ac:dyDescent="0.15"/>
    <row r="13940" spans="3:3" s="8" customFormat="1" ht="21.95" customHeight="1" x14ac:dyDescent="0.15"/>
    <row r="13941" spans="3:3" s="8" customFormat="1" ht="21.95" customHeight="1" x14ac:dyDescent="0.15"/>
    <row r="13942" spans="3:3" s="8" customFormat="1" ht="21.95" customHeight="1" x14ac:dyDescent="0.15"/>
    <row r="13943" spans="3:3" s="8" customFormat="1" ht="21.95" customHeight="1" x14ac:dyDescent="0.15"/>
    <row r="13944" spans="3:3" s="8" customFormat="1" ht="21.95" customHeight="1" x14ac:dyDescent="0.15"/>
    <row r="13945" spans="3:3" s="9" customFormat="1" ht="21.95" customHeight="1" x14ac:dyDescent="0.15"/>
    <row r="13946" spans="3:3" s="9" customFormat="1" ht="21.95" customHeight="1" x14ac:dyDescent="0.15"/>
    <row r="13947" spans="3:3" s="9" customFormat="1" ht="21.95" customHeight="1" x14ac:dyDescent="0.15"/>
    <row r="13948" spans="3:3" s="9" customFormat="1" ht="21.95" customHeight="1" x14ac:dyDescent="0.15"/>
    <row r="13949" spans="3:3" s="8" customFormat="1" ht="21.95" customHeight="1" x14ac:dyDescent="0.15"/>
    <row r="13950" spans="3:3" s="8" customFormat="1" ht="21.95" customHeight="1" x14ac:dyDescent="0.15"/>
    <row r="13951" spans="3:3" s="8" customFormat="1" ht="21.95" customHeight="1" x14ac:dyDescent="0.15"/>
    <row r="13952" spans="3:3" s="8" customFormat="1" ht="21.95" customHeight="1" x14ac:dyDescent="0.15"/>
    <row r="13953" s="8" customFormat="1" ht="21.95" customHeight="1" x14ac:dyDescent="0.15"/>
    <row r="13954" s="8" customFormat="1" ht="21.95" customHeight="1" x14ac:dyDescent="0.15"/>
    <row r="13955" s="8" customFormat="1" ht="21.95" customHeight="1" x14ac:dyDescent="0.15"/>
    <row r="13956" s="8" customFormat="1" ht="21.95" customHeight="1" x14ac:dyDescent="0.15"/>
    <row r="13957" s="8" customFormat="1" ht="21.95" customHeight="1" x14ac:dyDescent="0.15"/>
    <row r="13958" s="8" customFormat="1" ht="21.95" customHeight="1" x14ac:dyDescent="0.15"/>
    <row r="13959" s="8" customFormat="1" ht="21.95" customHeight="1" x14ac:dyDescent="0.15"/>
    <row r="13960" s="8" customFormat="1" ht="32.1" customHeight="1" x14ac:dyDescent="0.15"/>
    <row r="13961" s="8" customFormat="1" ht="32.1" customHeight="1" x14ac:dyDescent="0.15"/>
    <row r="13962" s="8" customFormat="1" ht="32.1" customHeight="1" x14ac:dyDescent="0.15"/>
    <row r="13963" s="8" customFormat="1" ht="32.1" customHeight="1" x14ac:dyDescent="0.15"/>
    <row r="13964" s="8" customFormat="1" ht="32.1" customHeight="1" x14ac:dyDescent="0.15"/>
    <row r="13965" s="8" customFormat="1" ht="32.1" customHeight="1" x14ac:dyDescent="0.15"/>
    <row r="13966" s="9" customFormat="1" ht="32.1" customHeight="1" x14ac:dyDescent="0.15"/>
    <row r="13967" s="9" customFormat="1" ht="32.1" customHeight="1" x14ac:dyDescent="0.15"/>
    <row r="13968" s="9" customFormat="1" ht="32.1" customHeight="1" x14ac:dyDescent="0.15"/>
    <row r="13969" s="9" customFormat="1" ht="32.1" customHeight="1" x14ac:dyDescent="0.15"/>
    <row r="13970" s="9" customFormat="1" ht="21.95" customHeight="1" x14ac:dyDescent="0.15"/>
    <row r="13971" s="9" customFormat="1" ht="54" customHeight="1" x14ac:dyDescent="0.15"/>
    <row r="13972" s="9" customFormat="1" ht="21.95" customHeight="1" x14ac:dyDescent="0.15"/>
    <row r="13973" s="9" customFormat="1" ht="21.95" customHeight="1" x14ac:dyDescent="0.15"/>
    <row r="13974" s="9" customFormat="1" ht="21.95" customHeight="1" x14ac:dyDescent="0.15"/>
    <row r="13975" s="9" customFormat="1" ht="21.95" customHeight="1" x14ac:dyDescent="0.15"/>
    <row r="13976" s="9" customFormat="1" ht="21.95" customHeight="1" x14ac:dyDescent="0.15"/>
    <row r="13977" s="9" customFormat="1" ht="21.95" customHeight="1" x14ac:dyDescent="0.15"/>
    <row r="13978" s="9" customFormat="1" ht="21.95" customHeight="1" x14ac:dyDescent="0.15"/>
    <row r="13979" s="9" customFormat="1" ht="21.95" customHeight="1" x14ac:dyDescent="0.15"/>
    <row r="13980" s="9" customFormat="1" ht="21.95" customHeight="1" x14ac:dyDescent="0.15"/>
    <row r="13981" s="9" customFormat="1" ht="21.95" customHeight="1" x14ac:dyDescent="0.15"/>
    <row r="13982" s="9" customFormat="1" ht="21.95" customHeight="1" x14ac:dyDescent="0.15"/>
    <row r="13983" s="9" customFormat="1" ht="21.95" customHeight="1" x14ac:dyDescent="0.15"/>
    <row r="13984" s="9" customFormat="1" ht="21.95" customHeight="1" x14ac:dyDescent="0.15"/>
    <row r="13985" s="9" customFormat="1" ht="21.95" customHeight="1" x14ac:dyDescent="0.15"/>
    <row r="13986" s="9" customFormat="1" ht="21.95" customHeight="1" x14ac:dyDescent="0.15"/>
    <row r="13987" s="9" customFormat="1" ht="21.95" customHeight="1" x14ac:dyDescent="0.15"/>
    <row r="13988" s="9" customFormat="1" ht="21.95" customHeight="1" x14ac:dyDescent="0.15"/>
    <row r="13989" s="9" customFormat="1" ht="21.95" customHeight="1" x14ac:dyDescent="0.15"/>
    <row r="13990" s="9" customFormat="1" ht="21.95" customHeight="1" x14ac:dyDescent="0.15"/>
    <row r="13991" s="9" customFormat="1" ht="21.95" customHeight="1" x14ac:dyDescent="0.15"/>
    <row r="13992" s="9" customFormat="1" ht="21.95" customHeight="1" x14ac:dyDescent="0.15"/>
    <row r="13993" s="9" customFormat="1" ht="21.95" customHeight="1" x14ac:dyDescent="0.15"/>
    <row r="13994" s="9" customFormat="1" ht="21.95" customHeight="1" x14ac:dyDescent="0.15"/>
    <row r="13995" s="9" customFormat="1" ht="21.95" customHeight="1" x14ac:dyDescent="0.15"/>
    <row r="13996" s="9" customFormat="1" ht="21.95" customHeight="1" x14ac:dyDescent="0.15"/>
    <row r="13997" s="9" customFormat="1" ht="21.95" customHeight="1" x14ac:dyDescent="0.15"/>
    <row r="13998" s="9" customFormat="1" ht="21.95" customHeight="1" x14ac:dyDescent="0.15"/>
    <row r="13999" s="9" customFormat="1" ht="21.95" customHeight="1" x14ac:dyDescent="0.15"/>
    <row r="14000" s="9" customFormat="1" ht="21.95" customHeight="1" x14ac:dyDescent="0.15"/>
    <row r="14001" s="9" customFormat="1" ht="21.95" customHeight="1" x14ac:dyDescent="0.15"/>
    <row r="14002" s="9" customFormat="1" ht="21.95" customHeight="1" x14ac:dyDescent="0.15"/>
    <row r="14003" s="9" customFormat="1" ht="21.95" customHeight="1" x14ac:dyDescent="0.15"/>
    <row r="14004" s="9" customFormat="1" ht="21.95" customHeight="1" x14ac:dyDescent="0.15"/>
    <row r="14005" s="9" customFormat="1" ht="21.95" customHeight="1" x14ac:dyDescent="0.15"/>
    <row r="14006" s="9" customFormat="1" ht="21.95" customHeight="1" x14ac:dyDescent="0.15"/>
    <row r="14007" s="9" customFormat="1" ht="21.95" customHeight="1" x14ac:dyDescent="0.15"/>
    <row r="14008" s="9" customFormat="1" ht="21.95" customHeight="1" x14ac:dyDescent="0.15"/>
    <row r="14009" s="9" customFormat="1" ht="21.95" customHeight="1" x14ac:dyDescent="0.15"/>
    <row r="14010" s="9" customFormat="1" ht="21.95" customHeight="1" x14ac:dyDescent="0.15"/>
    <row r="14011" s="9" customFormat="1" ht="21.95" customHeight="1" x14ac:dyDescent="0.15"/>
    <row r="14012" s="9" customFormat="1" ht="21.95" customHeight="1" x14ac:dyDescent="0.15"/>
    <row r="14013" s="9" customFormat="1" ht="21.95" customHeight="1" x14ac:dyDescent="0.15"/>
    <row r="14014" s="9" customFormat="1" ht="21.95" customHeight="1" x14ac:dyDescent="0.15"/>
    <row r="14015" s="9" customFormat="1" ht="21.95" customHeight="1" x14ac:dyDescent="0.15"/>
    <row r="14016" s="9" customFormat="1" ht="21.95" customHeight="1" x14ac:dyDescent="0.15"/>
    <row r="14017" s="9" customFormat="1" ht="21.95" customHeight="1" x14ac:dyDescent="0.15"/>
    <row r="14018" s="9" customFormat="1" ht="21.95" customHeight="1" x14ac:dyDescent="0.15"/>
    <row r="14019" s="9" customFormat="1" ht="21.95" customHeight="1" x14ac:dyDescent="0.15"/>
    <row r="14020" s="9" customFormat="1" ht="21.95" customHeight="1" x14ac:dyDescent="0.15"/>
    <row r="14021" s="9" customFormat="1" ht="21.95" customHeight="1" x14ac:dyDescent="0.15"/>
    <row r="14022" s="9" customFormat="1" ht="35.1" customHeight="1" x14ac:dyDescent="0.15"/>
    <row r="14023" s="9" customFormat="1" ht="21.95" customHeight="1" x14ac:dyDescent="0.15"/>
    <row r="14024" s="9" customFormat="1" ht="21.95" customHeight="1" x14ac:dyDescent="0.15"/>
    <row r="14025" s="9" customFormat="1" ht="21.95" customHeight="1" x14ac:dyDescent="0.15"/>
    <row r="14026" s="9" customFormat="1" ht="21.95" customHeight="1" x14ac:dyDescent="0.15"/>
    <row r="14027" s="9" customFormat="1" ht="21.95" customHeight="1" x14ac:dyDescent="0.15"/>
    <row r="14028" s="9" customFormat="1" ht="21.95" customHeight="1" x14ac:dyDescent="0.15"/>
    <row r="14029" s="9" customFormat="1" ht="21.95" customHeight="1" x14ac:dyDescent="0.15"/>
    <row r="14030" s="9" customFormat="1" ht="21.95" customHeight="1" x14ac:dyDescent="0.15"/>
    <row r="14031" s="9" customFormat="1" ht="21.95" customHeight="1" x14ac:dyDescent="0.15"/>
    <row r="14032" s="9" customFormat="1" ht="21.95" customHeight="1" x14ac:dyDescent="0.15"/>
    <row r="14033" spans="3:3" s="9" customFormat="1" ht="21.95" customHeight="1" x14ac:dyDescent="0.15"/>
    <row r="14034" spans="3:3" s="9" customFormat="1" ht="21.95" customHeight="1" x14ac:dyDescent="0.15"/>
    <row r="14035" spans="3:3" s="9" customFormat="1" ht="21.95" customHeight="1" x14ac:dyDescent="0.15"/>
    <row r="14036" spans="3:3" s="9" customFormat="1" ht="21.95" customHeight="1" x14ac:dyDescent="0.15"/>
    <row r="14037" spans="3:3" s="9" customFormat="1" ht="21.95" customHeight="1" x14ac:dyDescent="0.15"/>
    <row r="14038" spans="3:3" s="9" customFormat="1" ht="21.95" customHeight="1" x14ac:dyDescent="0.15"/>
    <row r="14039" spans="3:3" s="9" customFormat="1" ht="21.95" customHeight="1" x14ac:dyDescent="0.15"/>
    <row r="14040" spans="3:3" s="9" customFormat="1" ht="21.95" customHeight="1" x14ac:dyDescent="0.15"/>
    <row r="14041" spans="3:3" s="9" customFormat="1" ht="21.95" customHeight="1" x14ac:dyDescent="0.15"/>
    <row r="14042" spans="3:3" s="9" customFormat="1" ht="21.95" customHeight="1" x14ac:dyDescent="0.15"/>
    <row r="14043" spans="3:3" s="9" customFormat="1" ht="21.95" customHeight="1" x14ac:dyDescent="0.15"/>
    <row r="14044" spans="3:3" s="9" customFormat="1" ht="21.95" customHeight="1" x14ac:dyDescent="0.15"/>
    <row r="14045" spans="3:3" s="9" customFormat="1" ht="21.95" customHeight="1" x14ac:dyDescent="0.15"/>
    <row r="14046" spans="3:3" s="8" customFormat="1" ht="21.95" customHeight="1" x14ac:dyDescent="0.15"/>
    <row r="14047" spans="3:3" s="8" customFormat="1" ht="21.95" customHeight="1" x14ac:dyDescent="0.15"/>
    <row r="14048" spans="3:3" s="8" customFormat="1" ht="21.95" customHeight="1" x14ac:dyDescent="0.15">
      <c r="C14048" s="101"/>
    </row>
    <row r="14049" spans="3:3" s="8" customFormat="1" ht="21.95" customHeight="1" x14ac:dyDescent="0.15">
      <c r="C14049" s="101"/>
    </row>
    <row r="14050" spans="3:3" s="8" customFormat="1" ht="21.95" customHeight="1" x14ac:dyDescent="0.15"/>
    <row r="14051" spans="3:3" s="8" customFormat="1" ht="21.95" customHeight="1" x14ac:dyDescent="0.15"/>
    <row r="14052" spans="3:3" s="8" customFormat="1" ht="21.95" customHeight="1" x14ac:dyDescent="0.15"/>
    <row r="14053" spans="3:3" s="8" customFormat="1" ht="21.95" customHeight="1" x14ac:dyDescent="0.15"/>
    <row r="14054" spans="3:3" s="8" customFormat="1" ht="21.95" customHeight="1" x14ac:dyDescent="0.15"/>
    <row r="14055" spans="3:3" s="8" customFormat="1" ht="21.95" customHeight="1" x14ac:dyDescent="0.15"/>
    <row r="14056" spans="3:3" s="8" customFormat="1" ht="21.95" customHeight="1" x14ac:dyDescent="0.15"/>
    <row r="14057" spans="3:3" s="9" customFormat="1" ht="21.95" customHeight="1" x14ac:dyDescent="0.15"/>
    <row r="14058" spans="3:3" s="9" customFormat="1" ht="21.95" customHeight="1" x14ac:dyDescent="0.15"/>
    <row r="14059" spans="3:3" s="9" customFormat="1" ht="21.95" customHeight="1" x14ac:dyDescent="0.15"/>
    <row r="14060" spans="3:3" s="9" customFormat="1" ht="21.95" customHeight="1" x14ac:dyDescent="0.15"/>
    <row r="14061" spans="3:3" s="8" customFormat="1" ht="21.95" customHeight="1" x14ac:dyDescent="0.15"/>
    <row r="14062" spans="3:3" s="8" customFormat="1" ht="21.95" customHeight="1" x14ac:dyDescent="0.15"/>
    <row r="14063" spans="3:3" s="8" customFormat="1" ht="21.95" customHeight="1" x14ac:dyDescent="0.15"/>
    <row r="14064" spans="3:3" s="8" customFormat="1" ht="21.95" customHeight="1" x14ac:dyDescent="0.15"/>
    <row r="14065" s="8" customFormat="1" ht="21.95" customHeight="1" x14ac:dyDescent="0.15"/>
    <row r="14066" s="8" customFormat="1" ht="21.95" customHeight="1" x14ac:dyDescent="0.15"/>
    <row r="14067" s="8" customFormat="1" ht="21.95" customHeight="1" x14ac:dyDescent="0.15"/>
    <row r="14068" s="8" customFormat="1" ht="21.95" customHeight="1" x14ac:dyDescent="0.15"/>
    <row r="14069" s="8" customFormat="1" ht="21.95" customHeight="1" x14ac:dyDescent="0.15"/>
    <row r="14070" s="8" customFormat="1" ht="21.95" customHeight="1" x14ac:dyDescent="0.15"/>
    <row r="14071" s="8" customFormat="1" ht="21.95" customHeight="1" x14ac:dyDescent="0.15"/>
    <row r="14072" s="8" customFormat="1" ht="32.1" customHeight="1" x14ac:dyDescent="0.15"/>
    <row r="14073" s="8" customFormat="1" ht="32.1" customHeight="1" x14ac:dyDescent="0.15"/>
    <row r="14074" s="8" customFormat="1" ht="32.1" customHeight="1" x14ac:dyDescent="0.15"/>
    <row r="14075" s="8" customFormat="1" ht="32.1" customHeight="1" x14ac:dyDescent="0.15"/>
    <row r="14076" s="8" customFormat="1" ht="32.1" customHeight="1" x14ac:dyDescent="0.15"/>
    <row r="14077" s="8" customFormat="1" ht="32.1" customHeight="1" x14ac:dyDescent="0.15"/>
    <row r="14078" s="9" customFormat="1" ht="32.1" customHeight="1" x14ac:dyDescent="0.15"/>
    <row r="14079" s="9" customFormat="1" ht="32.1" customHeight="1" x14ac:dyDescent="0.15"/>
    <row r="14080" s="9" customFormat="1" ht="32.1" customHeight="1" x14ac:dyDescent="0.15"/>
    <row r="14081" s="9" customFormat="1" ht="32.1" customHeight="1" x14ac:dyDescent="0.15"/>
    <row r="14082" s="9" customFormat="1" ht="21.95" customHeight="1" x14ac:dyDescent="0.15"/>
    <row r="14083" s="9" customFormat="1" ht="54" customHeight="1" x14ac:dyDescent="0.15"/>
    <row r="14084" s="9" customFormat="1" ht="21.95" customHeight="1" x14ac:dyDescent="0.15"/>
    <row r="14085" s="9" customFormat="1" ht="21.95" customHeight="1" x14ac:dyDescent="0.15"/>
    <row r="14086" s="9" customFormat="1" ht="21.95" customHeight="1" x14ac:dyDescent="0.15"/>
    <row r="14087" s="9" customFormat="1" ht="21.95" customHeight="1" x14ac:dyDescent="0.15"/>
    <row r="14088" s="9" customFormat="1" ht="21.95" customHeight="1" x14ac:dyDescent="0.15"/>
    <row r="14089" s="9" customFormat="1" ht="21.95" customHeight="1" x14ac:dyDescent="0.15"/>
    <row r="14090" s="9" customFormat="1" ht="21.95" customHeight="1" x14ac:dyDescent="0.15"/>
    <row r="14091" s="9" customFormat="1" ht="21.95" customHeight="1" x14ac:dyDescent="0.15"/>
    <row r="14092" s="9" customFormat="1" ht="21.95" customHeight="1" x14ac:dyDescent="0.15"/>
    <row r="14093" s="9" customFormat="1" ht="21.95" customHeight="1" x14ac:dyDescent="0.15"/>
    <row r="14094" s="9" customFormat="1" ht="21.95" customHeight="1" x14ac:dyDescent="0.15"/>
    <row r="14095" s="9" customFormat="1" ht="21.95" customHeight="1" x14ac:dyDescent="0.15"/>
    <row r="14096" s="9" customFormat="1" ht="21.95" customHeight="1" x14ac:dyDescent="0.15"/>
    <row r="14097" s="9" customFormat="1" ht="21.95" customHeight="1" x14ac:dyDescent="0.15"/>
    <row r="14098" s="9" customFormat="1" ht="21.95" customHeight="1" x14ac:dyDescent="0.15"/>
    <row r="14099" s="9" customFormat="1" ht="21.95" customHeight="1" x14ac:dyDescent="0.15"/>
    <row r="14100" s="9" customFormat="1" ht="21.95" customHeight="1" x14ac:dyDescent="0.15"/>
    <row r="14101" s="9" customFormat="1" ht="21.95" customHeight="1" x14ac:dyDescent="0.15"/>
    <row r="14102" s="9" customFormat="1" ht="21.95" customHeight="1" x14ac:dyDescent="0.15"/>
    <row r="14103" s="9" customFormat="1" ht="21.95" customHeight="1" x14ac:dyDescent="0.15"/>
    <row r="14104" s="9" customFormat="1" ht="21.95" customHeight="1" x14ac:dyDescent="0.15"/>
    <row r="14105" s="9" customFormat="1" ht="21.95" customHeight="1" x14ac:dyDescent="0.15"/>
    <row r="14106" s="9" customFormat="1" ht="21.95" customHeight="1" x14ac:dyDescent="0.15"/>
    <row r="14107" s="9" customFormat="1" ht="21.95" customHeight="1" x14ac:dyDescent="0.15"/>
    <row r="14108" s="9" customFormat="1" ht="21.95" customHeight="1" x14ac:dyDescent="0.15"/>
    <row r="14109" s="9" customFormat="1" ht="21.95" customHeight="1" x14ac:dyDescent="0.15"/>
    <row r="14110" s="9" customFormat="1" ht="21.95" customHeight="1" x14ac:dyDescent="0.15"/>
    <row r="14111" s="9" customFormat="1" ht="21.95" customHeight="1" x14ac:dyDescent="0.15"/>
    <row r="14112" s="9" customFormat="1" ht="21.95" customHeight="1" x14ac:dyDescent="0.15"/>
    <row r="14113" s="9" customFormat="1" ht="21.95" customHeight="1" x14ac:dyDescent="0.15"/>
    <row r="14114" s="9" customFormat="1" ht="21.95" customHeight="1" x14ac:dyDescent="0.15"/>
    <row r="14115" s="9" customFormat="1" ht="21.95" customHeight="1" x14ac:dyDescent="0.15"/>
    <row r="14116" s="9" customFormat="1" ht="21.95" customHeight="1" x14ac:dyDescent="0.15"/>
    <row r="14117" s="9" customFormat="1" ht="21.95" customHeight="1" x14ac:dyDescent="0.15"/>
    <row r="14118" s="9" customFormat="1" ht="21.95" customHeight="1" x14ac:dyDescent="0.15"/>
    <row r="14119" s="9" customFormat="1" ht="21.95" customHeight="1" x14ac:dyDescent="0.15"/>
    <row r="14120" s="9" customFormat="1" ht="21.95" customHeight="1" x14ac:dyDescent="0.15"/>
    <row r="14121" s="9" customFormat="1" ht="21.95" customHeight="1" x14ac:dyDescent="0.15"/>
    <row r="14122" s="9" customFormat="1" ht="21.95" customHeight="1" x14ac:dyDescent="0.15"/>
    <row r="14123" s="9" customFormat="1" ht="21.95" customHeight="1" x14ac:dyDescent="0.15"/>
    <row r="14124" s="9" customFormat="1" ht="21.95" customHeight="1" x14ac:dyDescent="0.15"/>
    <row r="14125" s="9" customFormat="1" ht="21.95" customHeight="1" x14ac:dyDescent="0.15"/>
    <row r="14126" s="9" customFormat="1" ht="21.95" customHeight="1" x14ac:dyDescent="0.15"/>
    <row r="14127" s="9" customFormat="1" ht="21.95" customHeight="1" x14ac:dyDescent="0.15"/>
    <row r="14128" s="9" customFormat="1" ht="21.95" customHeight="1" x14ac:dyDescent="0.15"/>
    <row r="14129" s="9" customFormat="1" ht="21.95" customHeight="1" x14ac:dyDescent="0.15"/>
    <row r="14130" s="9" customFormat="1" ht="21.95" customHeight="1" x14ac:dyDescent="0.15"/>
    <row r="14131" s="9" customFormat="1" ht="21.95" customHeight="1" x14ac:dyDescent="0.15"/>
    <row r="14132" s="9" customFormat="1" ht="21.95" customHeight="1" x14ac:dyDescent="0.15"/>
    <row r="14133" s="9" customFormat="1" ht="21.95" customHeight="1" x14ac:dyDescent="0.15"/>
    <row r="14134" s="9" customFormat="1" ht="35.1" customHeight="1" x14ac:dyDescent="0.15"/>
    <row r="14135" s="9" customFormat="1" ht="21.95" customHeight="1" x14ac:dyDescent="0.15"/>
    <row r="14136" s="9" customFormat="1" ht="21.95" customHeight="1" x14ac:dyDescent="0.15"/>
    <row r="14137" s="9" customFormat="1" ht="21.95" customHeight="1" x14ac:dyDescent="0.15"/>
    <row r="14138" s="9" customFormat="1" ht="21.95" customHeight="1" x14ac:dyDescent="0.15"/>
    <row r="14139" s="9" customFormat="1" ht="21.95" customHeight="1" x14ac:dyDescent="0.15"/>
    <row r="14140" s="9" customFormat="1" ht="21.95" customHeight="1" x14ac:dyDescent="0.15"/>
    <row r="14141" s="9" customFormat="1" ht="21.95" customHeight="1" x14ac:dyDescent="0.15"/>
    <row r="14142" s="9" customFormat="1" ht="21.95" customHeight="1" x14ac:dyDescent="0.15"/>
    <row r="14143" s="9" customFormat="1" ht="21.95" customHeight="1" x14ac:dyDescent="0.15"/>
    <row r="14144" s="9" customFormat="1" ht="21.95" customHeight="1" x14ac:dyDescent="0.15"/>
    <row r="14145" spans="3:3" s="9" customFormat="1" ht="21.95" customHeight="1" x14ac:dyDescent="0.15"/>
    <row r="14146" spans="3:3" s="9" customFormat="1" ht="21.95" customHeight="1" x14ac:dyDescent="0.15"/>
    <row r="14147" spans="3:3" s="9" customFormat="1" ht="21.95" customHeight="1" x14ac:dyDescent="0.15"/>
    <row r="14148" spans="3:3" s="9" customFormat="1" ht="21.95" customHeight="1" x14ac:dyDescent="0.15"/>
    <row r="14149" spans="3:3" s="9" customFormat="1" ht="21.95" customHeight="1" x14ac:dyDescent="0.15"/>
    <row r="14150" spans="3:3" s="9" customFormat="1" ht="21.95" customHeight="1" x14ac:dyDescent="0.15"/>
    <row r="14151" spans="3:3" s="9" customFormat="1" ht="21.95" customHeight="1" x14ac:dyDescent="0.15"/>
    <row r="14152" spans="3:3" s="9" customFormat="1" ht="21.95" customHeight="1" x14ac:dyDescent="0.15"/>
    <row r="14153" spans="3:3" s="9" customFormat="1" ht="21.95" customHeight="1" x14ac:dyDescent="0.15"/>
    <row r="14154" spans="3:3" s="9" customFormat="1" ht="21.95" customHeight="1" x14ac:dyDescent="0.15"/>
    <row r="14155" spans="3:3" s="9" customFormat="1" ht="21.95" customHeight="1" x14ac:dyDescent="0.15"/>
    <row r="14156" spans="3:3" s="9" customFormat="1" ht="21.95" customHeight="1" x14ac:dyDescent="0.15"/>
    <row r="14157" spans="3:3" s="9" customFormat="1" ht="21.95" customHeight="1" x14ac:dyDescent="0.15"/>
    <row r="14158" spans="3:3" s="8" customFormat="1" ht="21.95" customHeight="1" x14ac:dyDescent="0.15"/>
    <row r="14159" spans="3:3" s="8" customFormat="1" ht="21.95" customHeight="1" x14ac:dyDescent="0.15"/>
    <row r="14160" spans="3:3" s="8" customFormat="1" ht="21.95" customHeight="1" x14ac:dyDescent="0.15">
      <c r="C14160" s="101"/>
    </row>
    <row r="14161" spans="3:3" s="8" customFormat="1" ht="21.95" customHeight="1" x14ac:dyDescent="0.15">
      <c r="C14161" s="101"/>
    </row>
    <row r="14162" spans="3:3" s="8" customFormat="1" ht="21.95" customHeight="1" x14ac:dyDescent="0.15"/>
    <row r="14163" spans="3:3" s="8" customFormat="1" ht="21.95" customHeight="1" x14ac:dyDescent="0.15"/>
    <row r="14164" spans="3:3" s="8" customFormat="1" ht="21.95" customHeight="1" x14ac:dyDescent="0.15"/>
    <row r="14165" spans="3:3" s="8" customFormat="1" ht="21.95" customHeight="1" x14ac:dyDescent="0.15"/>
    <row r="14166" spans="3:3" s="8" customFormat="1" ht="21.95" customHeight="1" x14ac:dyDescent="0.15"/>
    <row r="14167" spans="3:3" s="8" customFormat="1" ht="21.95" customHeight="1" x14ac:dyDescent="0.15"/>
    <row r="14168" spans="3:3" s="8" customFormat="1" ht="21.95" customHeight="1" x14ac:dyDescent="0.15"/>
    <row r="14169" spans="3:3" s="9" customFormat="1" ht="21.95" customHeight="1" x14ac:dyDescent="0.15"/>
    <row r="14170" spans="3:3" s="9" customFormat="1" ht="21.95" customHeight="1" x14ac:dyDescent="0.15"/>
    <row r="14171" spans="3:3" s="9" customFormat="1" ht="21.95" customHeight="1" x14ac:dyDescent="0.15"/>
    <row r="14172" spans="3:3" s="9" customFormat="1" ht="21.95" customHeight="1" x14ac:dyDescent="0.15"/>
    <row r="14173" spans="3:3" s="8" customFormat="1" ht="21.95" customHeight="1" x14ac:dyDescent="0.15"/>
    <row r="14174" spans="3:3" s="8" customFormat="1" ht="21.95" customHeight="1" x14ac:dyDescent="0.15"/>
    <row r="14175" spans="3:3" s="8" customFormat="1" ht="21.95" customHeight="1" x14ac:dyDescent="0.15"/>
    <row r="14176" spans="3:3" s="8" customFormat="1" ht="21.95" customHeight="1" x14ac:dyDescent="0.15"/>
    <row r="14177" s="8" customFormat="1" ht="21.95" customHeight="1" x14ac:dyDescent="0.15"/>
    <row r="14178" s="8" customFormat="1" ht="21.95" customHeight="1" x14ac:dyDescent="0.15"/>
    <row r="14179" s="8" customFormat="1" ht="21.95" customHeight="1" x14ac:dyDescent="0.15"/>
    <row r="14180" s="8" customFormat="1" ht="21.95" customHeight="1" x14ac:dyDescent="0.15"/>
    <row r="14181" s="8" customFormat="1" ht="21.95" customHeight="1" x14ac:dyDescent="0.15"/>
    <row r="14182" s="8" customFormat="1" ht="21.95" customHeight="1" x14ac:dyDescent="0.15"/>
    <row r="14183" s="8" customFormat="1" ht="21.95" customHeight="1" x14ac:dyDescent="0.15"/>
    <row r="14184" s="8" customFormat="1" ht="32.1" customHeight="1" x14ac:dyDescent="0.15"/>
    <row r="14185" s="8" customFormat="1" ht="32.1" customHeight="1" x14ac:dyDescent="0.15"/>
    <row r="14186" s="8" customFormat="1" ht="32.1" customHeight="1" x14ac:dyDescent="0.15"/>
    <row r="14187" s="8" customFormat="1" ht="32.1" customHeight="1" x14ac:dyDescent="0.15"/>
    <row r="14188" s="8" customFormat="1" ht="32.1" customHeight="1" x14ac:dyDescent="0.15"/>
    <row r="14189" s="8" customFormat="1" ht="32.1" customHeight="1" x14ac:dyDescent="0.15"/>
    <row r="14190" s="9" customFormat="1" ht="32.1" customHeight="1" x14ac:dyDescent="0.15"/>
    <row r="14191" s="9" customFormat="1" ht="32.1" customHeight="1" x14ac:dyDescent="0.15"/>
    <row r="14192" s="9" customFormat="1" ht="32.1" customHeight="1" x14ac:dyDescent="0.15"/>
    <row r="14193" s="9" customFormat="1" ht="32.1" customHeight="1" x14ac:dyDescent="0.15"/>
    <row r="14194" s="9" customFormat="1" ht="21.95" customHeight="1" x14ac:dyDescent="0.15"/>
    <row r="14195" s="9" customFormat="1" ht="54" customHeight="1" x14ac:dyDescent="0.15"/>
    <row r="14196" s="9" customFormat="1" ht="21.95" customHeight="1" x14ac:dyDescent="0.15"/>
    <row r="14197" s="9" customFormat="1" ht="21.95" customHeight="1" x14ac:dyDescent="0.15"/>
    <row r="14198" s="9" customFormat="1" ht="21.95" customHeight="1" x14ac:dyDescent="0.15"/>
    <row r="14199" s="9" customFormat="1" ht="21.95" customHeight="1" x14ac:dyDescent="0.15"/>
    <row r="14200" s="9" customFormat="1" ht="21.95" customHeight="1" x14ac:dyDescent="0.15"/>
    <row r="14201" s="9" customFormat="1" ht="21.95" customHeight="1" x14ac:dyDescent="0.15"/>
    <row r="14202" s="9" customFormat="1" ht="21.95" customHeight="1" x14ac:dyDescent="0.15"/>
    <row r="14203" s="9" customFormat="1" ht="21.95" customHeight="1" x14ac:dyDescent="0.15"/>
    <row r="14204" s="9" customFormat="1" ht="21.95" customHeight="1" x14ac:dyDescent="0.15"/>
    <row r="14205" s="9" customFormat="1" ht="21.95" customHeight="1" x14ac:dyDescent="0.15"/>
    <row r="14206" s="9" customFormat="1" ht="21.95" customHeight="1" x14ac:dyDescent="0.15"/>
    <row r="14207" s="9" customFormat="1" ht="21.95" customHeight="1" x14ac:dyDescent="0.15"/>
    <row r="14208" s="9" customFormat="1" ht="21.95" customHeight="1" x14ac:dyDescent="0.15"/>
    <row r="14209" s="9" customFormat="1" ht="21.95" customHeight="1" x14ac:dyDescent="0.15"/>
    <row r="14210" s="9" customFormat="1" ht="21.95" customHeight="1" x14ac:dyDescent="0.15"/>
    <row r="14211" s="9" customFormat="1" ht="21.95" customHeight="1" x14ac:dyDescent="0.15"/>
    <row r="14212" s="9" customFormat="1" ht="21.95" customHeight="1" x14ac:dyDescent="0.15"/>
    <row r="14213" s="9" customFormat="1" ht="21.95" customHeight="1" x14ac:dyDescent="0.15"/>
    <row r="14214" s="9" customFormat="1" ht="21.95" customHeight="1" x14ac:dyDescent="0.15"/>
    <row r="14215" s="9" customFormat="1" ht="21.95" customHeight="1" x14ac:dyDescent="0.15"/>
    <row r="14216" s="9" customFormat="1" ht="21.95" customHeight="1" x14ac:dyDescent="0.15"/>
    <row r="14217" s="9" customFormat="1" ht="21.95" customHeight="1" x14ac:dyDescent="0.15"/>
    <row r="14218" s="9" customFormat="1" ht="21.95" customHeight="1" x14ac:dyDescent="0.15"/>
    <row r="14219" s="9" customFormat="1" ht="21.95" customHeight="1" x14ac:dyDescent="0.15"/>
    <row r="14220" s="9" customFormat="1" ht="21.95" customHeight="1" x14ac:dyDescent="0.15"/>
    <row r="14221" s="9" customFormat="1" ht="21.95" customHeight="1" x14ac:dyDescent="0.15"/>
    <row r="14222" s="9" customFormat="1" ht="21.95" customHeight="1" x14ac:dyDescent="0.15"/>
    <row r="14223" s="9" customFormat="1" ht="21.95" customHeight="1" x14ac:dyDescent="0.15"/>
    <row r="14224" s="9" customFormat="1" ht="21.95" customHeight="1" x14ac:dyDescent="0.15"/>
    <row r="14225" s="9" customFormat="1" ht="21.95" customHeight="1" x14ac:dyDescent="0.15"/>
    <row r="14226" s="9" customFormat="1" ht="21.95" customHeight="1" x14ac:dyDescent="0.15"/>
    <row r="14227" s="9" customFormat="1" ht="21.95" customHeight="1" x14ac:dyDescent="0.15"/>
    <row r="14228" s="9" customFormat="1" ht="21.95" customHeight="1" x14ac:dyDescent="0.15"/>
    <row r="14229" s="9" customFormat="1" ht="21.95" customHeight="1" x14ac:dyDescent="0.15"/>
    <row r="14230" s="9" customFormat="1" ht="21.95" customHeight="1" x14ac:dyDescent="0.15"/>
    <row r="14231" s="9" customFormat="1" ht="21.95" customHeight="1" x14ac:dyDescent="0.15"/>
    <row r="14232" s="9" customFormat="1" ht="21.95" customHeight="1" x14ac:dyDescent="0.15"/>
    <row r="14233" s="9" customFormat="1" ht="21.95" customHeight="1" x14ac:dyDescent="0.15"/>
    <row r="14234" s="9" customFormat="1" ht="21.95" customHeight="1" x14ac:dyDescent="0.15"/>
    <row r="14235" s="9" customFormat="1" ht="21.95" customHeight="1" x14ac:dyDescent="0.15"/>
    <row r="14236" s="9" customFormat="1" ht="21.95" customHeight="1" x14ac:dyDescent="0.15"/>
    <row r="14237" s="9" customFormat="1" ht="21.95" customHeight="1" x14ac:dyDescent="0.15"/>
    <row r="14238" s="9" customFormat="1" ht="21.95" customHeight="1" x14ac:dyDescent="0.15"/>
    <row r="14239" s="9" customFormat="1" ht="21.95" customHeight="1" x14ac:dyDescent="0.15"/>
    <row r="14240" s="9" customFormat="1" ht="21.95" customHeight="1" x14ac:dyDescent="0.15"/>
    <row r="14241" s="9" customFormat="1" ht="21.95" customHeight="1" x14ac:dyDescent="0.15"/>
    <row r="14242" s="9" customFormat="1" ht="21.95" customHeight="1" x14ac:dyDescent="0.15"/>
    <row r="14243" s="9" customFormat="1" ht="21.95" customHeight="1" x14ac:dyDescent="0.15"/>
    <row r="14244" s="9" customFormat="1" ht="21.95" customHeight="1" x14ac:dyDescent="0.15"/>
    <row r="14245" s="9" customFormat="1" ht="21.95" customHeight="1" x14ac:dyDescent="0.15"/>
    <row r="14246" s="9" customFormat="1" ht="35.1" customHeight="1" x14ac:dyDescent="0.15"/>
    <row r="14247" s="9" customFormat="1" ht="21.95" customHeight="1" x14ac:dyDescent="0.15"/>
    <row r="14248" s="9" customFormat="1" ht="21.95" customHeight="1" x14ac:dyDescent="0.15"/>
    <row r="14249" s="9" customFormat="1" ht="21.95" customHeight="1" x14ac:dyDescent="0.15"/>
    <row r="14250" s="9" customFormat="1" ht="21.95" customHeight="1" x14ac:dyDescent="0.15"/>
    <row r="14251" s="9" customFormat="1" ht="21.95" customHeight="1" x14ac:dyDescent="0.15"/>
    <row r="14252" s="9" customFormat="1" ht="21.95" customHeight="1" x14ac:dyDescent="0.15"/>
    <row r="14253" s="9" customFormat="1" ht="21.95" customHeight="1" x14ac:dyDescent="0.15"/>
    <row r="14254" s="9" customFormat="1" ht="21.95" customHeight="1" x14ac:dyDescent="0.15"/>
    <row r="14255" s="9" customFormat="1" ht="21.95" customHeight="1" x14ac:dyDescent="0.15"/>
    <row r="14256" s="9" customFormat="1" ht="21.95" customHeight="1" x14ac:dyDescent="0.15"/>
    <row r="14257" spans="3:3" s="9" customFormat="1" ht="21.95" customHeight="1" x14ac:dyDescent="0.15"/>
    <row r="14258" spans="3:3" s="9" customFormat="1" ht="21.95" customHeight="1" x14ac:dyDescent="0.15"/>
    <row r="14259" spans="3:3" s="9" customFormat="1" ht="21.95" customHeight="1" x14ac:dyDescent="0.15"/>
    <row r="14260" spans="3:3" s="9" customFormat="1" ht="21.95" customHeight="1" x14ac:dyDescent="0.15"/>
    <row r="14261" spans="3:3" s="9" customFormat="1" ht="21.95" customHeight="1" x14ac:dyDescent="0.15"/>
    <row r="14262" spans="3:3" s="9" customFormat="1" ht="21.95" customHeight="1" x14ac:dyDescent="0.15"/>
    <row r="14263" spans="3:3" s="9" customFormat="1" ht="21.95" customHeight="1" x14ac:dyDescent="0.15"/>
    <row r="14264" spans="3:3" s="9" customFormat="1" ht="21.95" customHeight="1" x14ac:dyDescent="0.15"/>
    <row r="14265" spans="3:3" s="9" customFormat="1" ht="21.95" customHeight="1" x14ac:dyDescent="0.15"/>
    <row r="14266" spans="3:3" s="9" customFormat="1" ht="21.95" customHeight="1" x14ac:dyDescent="0.15"/>
    <row r="14267" spans="3:3" s="9" customFormat="1" ht="21.95" customHeight="1" x14ac:dyDescent="0.15"/>
    <row r="14268" spans="3:3" s="9" customFormat="1" ht="21.95" customHeight="1" x14ac:dyDescent="0.15"/>
    <row r="14269" spans="3:3" s="9" customFormat="1" ht="21.95" customHeight="1" x14ac:dyDescent="0.15"/>
    <row r="14270" spans="3:3" s="8" customFormat="1" ht="21.95" customHeight="1" x14ac:dyDescent="0.15"/>
    <row r="14271" spans="3:3" s="8" customFormat="1" ht="21.95" customHeight="1" x14ac:dyDescent="0.15"/>
    <row r="14272" spans="3:3" s="8" customFormat="1" ht="21.95" customHeight="1" x14ac:dyDescent="0.15">
      <c r="C14272" s="101"/>
    </row>
    <row r="14273" spans="3:3" s="8" customFormat="1" ht="21.95" customHeight="1" x14ac:dyDescent="0.15">
      <c r="C14273" s="101"/>
    </row>
    <row r="14274" spans="3:3" s="8" customFormat="1" ht="21.95" customHeight="1" x14ac:dyDescent="0.15"/>
    <row r="14275" spans="3:3" s="8" customFormat="1" ht="21.95" customHeight="1" x14ac:dyDescent="0.15"/>
    <row r="14276" spans="3:3" s="8" customFormat="1" ht="21.95" customHeight="1" x14ac:dyDescent="0.15"/>
    <row r="14277" spans="3:3" s="8" customFormat="1" ht="21.95" customHeight="1" x14ac:dyDescent="0.15"/>
    <row r="14278" spans="3:3" s="8" customFormat="1" ht="21.95" customHeight="1" x14ac:dyDescent="0.15"/>
    <row r="14279" spans="3:3" s="8" customFormat="1" ht="21.95" customHeight="1" x14ac:dyDescent="0.15"/>
    <row r="14280" spans="3:3" s="8" customFormat="1" ht="21.95" customHeight="1" x14ac:dyDescent="0.15"/>
    <row r="14281" spans="3:3" s="9" customFormat="1" ht="21.95" customHeight="1" x14ac:dyDescent="0.15"/>
    <row r="14282" spans="3:3" s="9" customFormat="1" ht="21.95" customHeight="1" x14ac:dyDescent="0.15"/>
    <row r="14283" spans="3:3" s="9" customFormat="1" ht="21.95" customHeight="1" x14ac:dyDescent="0.15"/>
    <row r="14284" spans="3:3" s="9" customFormat="1" ht="21.95" customHeight="1" x14ac:dyDescent="0.15"/>
    <row r="14285" spans="3:3" s="8" customFormat="1" ht="21.95" customHeight="1" x14ac:dyDescent="0.15"/>
    <row r="14286" spans="3:3" s="8" customFormat="1" ht="21.95" customHeight="1" x14ac:dyDescent="0.15"/>
    <row r="14287" spans="3:3" s="8" customFormat="1" ht="21.95" customHeight="1" x14ac:dyDescent="0.15"/>
    <row r="14288" spans="3:3" s="8" customFormat="1" ht="21.95" customHeight="1" x14ac:dyDescent="0.15"/>
    <row r="14289" s="8" customFormat="1" ht="21.95" customHeight="1" x14ac:dyDescent="0.15"/>
    <row r="14290" s="8" customFormat="1" ht="21.95" customHeight="1" x14ac:dyDescent="0.15"/>
    <row r="14291" s="8" customFormat="1" ht="21.95" customHeight="1" x14ac:dyDescent="0.15"/>
    <row r="14292" s="8" customFormat="1" ht="21.95" customHeight="1" x14ac:dyDescent="0.15"/>
    <row r="14293" s="8" customFormat="1" ht="21.95" customHeight="1" x14ac:dyDescent="0.15"/>
    <row r="14294" s="8" customFormat="1" ht="21.95" customHeight="1" x14ac:dyDescent="0.15"/>
    <row r="14295" s="8" customFormat="1" ht="21.95" customHeight="1" x14ac:dyDescent="0.15"/>
    <row r="14296" s="8" customFormat="1" ht="32.1" customHeight="1" x14ac:dyDescent="0.15"/>
    <row r="14297" s="8" customFormat="1" ht="32.1" customHeight="1" x14ac:dyDescent="0.15"/>
    <row r="14298" s="8" customFormat="1" ht="32.1" customHeight="1" x14ac:dyDescent="0.15"/>
    <row r="14299" s="8" customFormat="1" ht="32.1" customHeight="1" x14ac:dyDescent="0.15"/>
    <row r="14300" s="8" customFormat="1" ht="32.1" customHeight="1" x14ac:dyDescent="0.15"/>
    <row r="14301" s="8" customFormat="1" ht="32.1" customHeight="1" x14ac:dyDescent="0.15"/>
    <row r="14302" s="9" customFormat="1" ht="32.1" customHeight="1" x14ac:dyDescent="0.15"/>
    <row r="14303" s="9" customFormat="1" ht="32.1" customHeight="1" x14ac:dyDescent="0.15"/>
    <row r="14304" s="9" customFormat="1" ht="32.1" customHeight="1" x14ac:dyDescent="0.15"/>
    <row r="14305" s="9" customFormat="1" ht="32.1" customHeight="1" x14ac:dyDescent="0.15"/>
    <row r="14306" s="9" customFormat="1" ht="21.95" customHeight="1" x14ac:dyDescent="0.15"/>
    <row r="14307" s="9" customFormat="1" ht="54" customHeight="1" x14ac:dyDescent="0.15"/>
    <row r="14308" s="9" customFormat="1" ht="21.95" customHeight="1" x14ac:dyDescent="0.15"/>
    <row r="14309" s="9" customFormat="1" ht="21.95" customHeight="1" x14ac:dyDescent="0.15"/>
    <row r="14310" s="9" customFormat="1" ht="21.95" customHeight="1" x14ac:dyDescent="0.15"/>
    <row r="14311" s="9" customFormat="1" ht="21.95" customHeight="1" x14ac:dyDescent="0.15"/>
    <row r="14312" s="9" customFormat="1" ht="21.95" customHeight="1" x14ac:dyDescent="0.15"/>
    <row r="14313" s="9" customFormat="1" ht="21.95" customHeight="1" x14ac:dyDescent="0.15"/>
    <row r="14314" s="9" customFormat="1" ht="21.95" customHeight="1" x14ac:dyDescent="0.15"/>
    <row r="14315" s="9" customFormat="1" ht="21.95" customHeight="1" x14ac:dyDescent="0.15"/>
    <row r="14316" s="9" customFormat="1" ht="21.95" customHeight="1" x14ac:dyDescent="0.15"/>
    <row r="14317" s="9" customFormat="1" ht="21.95" customHeight="1" x14ac:dyDescent="0.15"/>
    <row r="14318" s="9" customFormat="1" ht="21.95" customHeight="1" x14ac:dyDescent="0.15"/>
    <row r="14319" s="9" customFormat="1" ht="21.95" customHeight="1" x14ac:dyDescent="0.15"/>
    <row r="14320" s="9" customFormat="1" ht="21.95" customHeight="1" x14ac:dyDescent="0.15"/>
    <row r="14321" s="9" customFormat="1" ht="21.95" customHeight="1" x14ac:dyDescent="0.15"/>
    <row r="14322" s="9" customFormat="1" ht="21.95" customHeight="1" x14ac:dyDescent="0.15"/>
    <row r="14323" s="9" customFormat="1" ht="21.95" customHeight="1" x14ac:dyDescent="0.15"/>
    <row r="14324" s="9" customFormat="1" ht="21.95" customHeight="1" x14ac:dyDescent="0.15"/>
    <row r="14325" s="9" customFormat="1" ht="21.95" customHeight="1" x14ac:dyDescent="0.15"/>
    <row r="14326" s="9" customFormat="1" ht="21.95" customHeight="1" x14ac:dyDescent="0.15"/>
    <row r="14327" s="9" customFormat="1" ht="21.95" customHeight="1" x14ac:dyDescent="0.15"/>
    <row r="14328" s="9" customFormat="1" ht="21.95" customHeight="1" x14ac:dyDescent="0.15"/>
    <row r="14329" s="9" customFormat="1" ht="21.95" customHeight="1" x14ac:dyDescent="0.15"/>
    <row r="14330" s="9" customFormat="1" ht="21.95" customHeight="1" x14ac:dyDescent="0.15"/>
    <row r="14331" s="9" customFormat="1" ht="21.95" customHeight="1" x14ac:dyDescent="0.15"/>
    <row r="14332" s="9" customFormat="1" ht="21.95" customHeight="1" x14ac:dyDescent="0.15"/>
    <row r="14333" s="9" customFormat="1" ht="21.95" customHeight="1" x14ac:dyDescent="0.15"/>
    <row r="14334" s="9" customFormat="1" ht="21.95" customHeight="1" x14ac:dyDescent="0.15"/>
    <row r="14335" s="9" customFormat="1" ht="21.95" customHeight="1" x14ac:dyDescent="0.15"/>
    <row r="14336" s="9" customFormat="1" ht="21.95" customHeight="1" x14ac:dyDescent="0.15"/>
    <row r="14337" s="9" customFormat="1" ht="21.95" customHeight="1" x14ac:dyDescent="0.15"/>
    <row r="14338" s="9" customFormat="1" ht="21.95" customHeight="1" x14ac:dyDescent="0.15"/>
    <row r="14339" s="9" customFormat="1" ht="21.95" customHeight="1" x14ac:dyDescent="0.15"/>
    <row r="14340" s="9" customFormat="1" ht="21.95" customHeight="1" x14ac:dyDescent="0.15"/>
    <row r="14341" s="9" customFormat="1" ht="21.95" customHeight="1" x14ac:dyDescent="0.15"/>
    <row r="14342" s="9" customFormat="1" ht="21.95" customHeight="1" x14ac:dyDescent="0.15"/>
    <row r="14343" s="9" customFormat="1" ht="21.95" customHeight="1" x14ac:dyDescent="0.15"/>
    <row r="14344" s="9" customFormat="1" ht="21.95" customHeight="1" x14ac:dyDescent="0.15"/>
    <row r="14345" s="9" customFormat="1" ht="21.95" customHeight="1" x14ac:dyDescent="0.15"/>
    <row r="14346" s="9" customFormat="1" ht="21.95" customHeight="1" x14ac:dyDescent="0.15"/>
    <row r="14347" s="9" customFormat="1" ht="21.95" customHeight="1" x14ac:dyDescent="0.15"/>
    <row r="14348" s="9" customFormat="1" ht="21.95" customHeight="1" x14ac:dyDescent="0.15"/>
    <row r="14349" s="9" customFormat="1" ht="21.95" customHeight="1" x14ac:dyDescent="0.15"/>
    <row r="14350" s="9" customFormat="1" ht="21.95" customHeight="1" x14ac:dyDescent="0.15"/>
    <row r="14351" s="9" customFormat="1" ht="21.95" customHeight="1" x14ac:dyDescent="0.15"/>
    <row r="14352" s="9" customFormat="1" ht="21.95" customHeight="1" x14ac:dyDescent="0.15"/>
    <row r="14353" s="9" customFormat="1" ht="21.95" customHeight="1" x14ac:dyDescent="0.15"/>
    <row r="14354" s="9" customFormat="1" ht="21.95" customHeight="1" x14ac:dyDescent="0.15"/>
    <row r="14355" s="9" customFormat="1" ht="21.95" customHeight="1" x14ac:dyDescent="0.15"/>
    <row r="14356" s="9" customFormat="1" ht="21.95" customHeight="1" x14ac:dyDescent="0.15"/>
    <row r="14357" s="9" customFormat="1" ht="21.95" customHeight="1" x14ac:dyDescent="0.15"/>
    <row r="14358" s="9" customFormat="1" ht="35.1" customHeight="1" x14ac:dyDescent="0.15"/>
    <row r="14359" s="9" customFormat="1" ht="21.95" customHeight="1" x14ac:dyDescent="0.15"/>
    <row r="14360" s="9" customFormat="1" ht="21.95" customHeight="1" x14ac:dyDescent="0.15"/>
    <row r="14361" s="9" customFormat="1" ht="21.95" customHeight="1" x14ac:dyDescent="0.15"/>
    <row r="14362" s="9" customFormat="1" ht="21.95" customHeight="1" x14ac:dyDescent="0.15"/>
    <row r="14363" s="9" customFormat="1" ht="21.95" customHeight="1" x14ac:dyDescent="0.15"/>
    <row r="14364" s="9" customFormat="1" ht="21.95" customHeight="1" x14ac:dyDescent="0.15"/>
    <row r="14365" s="9" customFormat="1" ht="21.95" customHeight="1" x14ac:dyDescent="0.15"/>
    <row r="14366" s="9" customFormat="1" ht="21.95" customHeight="1" x14ac:dyDescent="0.15"/>
    <row r="14367" s="9" customFormat="1" ht="21.95" customHeight="1" x14ac:dyDescent="0.15"/>
    <row r="14368" s="9" customFormat="1" ht="21.95" customHeight="1" x14ac:dyDescent="0.15"/>
    <row r="14369" spans="3:3" s="9" customFormat="1" ht="21.95" customHeight="1" x14ac:dyDescent="0.15"/>
    <row r="14370" spans="3:3" s="9" customFormat="1" ht="21.95" customHeight="1" x14ac:dyDescent="0.15"/>
    <row r="14371" spans="3:3" s="9" customFormat="1" ht="21.95" customHeight="1" x14ac:dyDescent="0.15"/>
    <row r="14372" spans="3:3" s="9" customFormat="1" ht="21.95" customHeight="1" x14ac:dyDescent="0.15"/>
    <row r="14373" spans="3:3" s="9" customFormat="1" ht="21.95" customHeight="1" x14ac:dyDescent="0.15"/>
    <row r="14374" spans="3:3" s="9" customFormat="1" ht="21.95" customHeight="1" x14ac:dyDescent="0.15"/>
    <row r="14375" spans="3:3" s="9" customFormat="1" ht="21.95" customHeight="1" x14ac:dyDescent="0.15"/>
    <row r="14376" spans="3:3" s="9" customFormat="1" ht="21.95" customHeight="1" x14ac:dyDescent="0.15"/>
    <row r="14377" spans="3:3" s="9" customFormat="1" ht="21.95" customHeight="1" x14ac:dyDescent="0.15"/>
    <row r="14378" spans="3:3" s="9" customFormat="1" ht="21.95" customHeight="1" x14ac:dyDescent="0.15"/>
    <row r="14379" spans="3:3" s="9" customFormat="1" ht="21.95" customHeight="1" x14ac:dyDescent="0.15"/>
    <row r="14380" spans="3:3" s="9" customFormat="1" ht="21.95" customHeight="1" x14ac:dyDescent="0.15"/>
    <row r="14381" spans="3:3" s="9" customFormat="1" ht="21.95" customHeight="1" x14ac:dyDescent="0.15"/>
    <row r="14382" spans="3:3" s="8" customFormat="1" ht="21.95" customHeight="1" x14ac:dyDescent="0.15"/>
    <row r="14383" spans="3:3" s="8" customFormat="1" ht="21.95" customHeight="1" x14ac:dyDescent="0.15"/>
    <row r="14384" spans="3:3" s="8" customFormat="1" ht="21.95" customHeight="1" x14ac:dyDescent="0.15">
      <c r="C14384" s="101"/>
    </row>
    <row r="14385" spans="3:3" s="8" customFormat="1" ht="21.95" customHeight="1" x14ac:dyDescent="0.15">
      <c r="C14385" s="101"/>
    </row>
    <row r="14386" spans="3:3" s="8" customFormat="1" ht="21.95" customHeight="1" x14ac:dyDescent="0.15"/>
    <row r="14387" spans="3:3" s="8" customFormat="1" ht="21.95" customHeight="1" x14ac:dyDescent="0.15"/>
    <row r="14388" spans="3:3" s="8" customFormat="1" ht="21.95" customHeight="1" x14ac:dyDescent="0.15"/>
    <row r="14389" spans="3:3" s="8" customFormat="1" ht="21.95" customHeight="1" x14ac:dyDescent="0.15"/>
    <row r="14390" spans="3:3" s="8" customFormat="1" ht="21.95" customHeight="1" x14ac:dyDescent="0.15"/>
    <row r="14391" spans="3:3" s="8" customFormat="1" ht="21.95" customHeight="1" x14ac:dyDescent="0.15"/>
    <row r="14392" spans="3:3" s="8" customFormat="1" ht="21.95" customHeight="1" x14ac:dyDescent="0.15"/>
    <row r="14393" spans="3:3" s="9" customFormat="1" ht="21.95" customHeight="1" x14ac:dyDescent="0.15"/>
    <row r="14394" spans="3:3" s="9" customFormat="1" ht="21.95" customHeight="1" x14ac:dyDescent="0.15"/>
    <row r="14395" spans="3:3" s="9" customFormat="1" ht="21.95" customHeight="1" x14ac:dyDescent="0.15"/>
    <row r="14396" spans="3:3" s="9" customFormat="1" ht="21.95" customHeight="1" x14ac:dyDescent="0.15"/>
    <row r="14397" spans="3:3" s="8" customFormat="1" ht="21.95" customHeight="1" x14ac:dyDescent="0.15"/>
    <row r="14398" spans="3:3" s="8" customFormat="1" ht="21.95" customHeight="1" x14ac:dyDescent="0.15"/>
    <row r="14399" spans="3:3" s="8" customFormat="1" ht="21.95" customHeight="1" x14ac:dyDescent="0.15"/>
    <row r="14400" spans="3:3" s="8" customFormat="1" ht="21.95" customHeight="1" x14ac:dyDescent="0.15"/>
    <row r="14401" s="8" customFormat="1" ht="21.95" customHeight="1" x14ac:dyDescent="0.15"/>
    <row r="14402" s="8" customFormat="1" ht="21.95" customHeight="1" x14ac:dyDescent="0.15"/>
    <row r="14403" s="8" customFormat="1" ht="21.95" customHeight="1" x14ac:dyDescent="0.15"/>
    <row r="14404" s="8" customFormat="1" ht="21.95" customHeight="1" x14ac:dyDescent="0.15"/>
    <row r="14405" s="8" customFormat="1" ht="21.95" customHeight="1" x14ac:dyDescent="0.15"/>
    <row r="14406" s="8" customFormat="1" ht="21.95" customHeight="1" x14ac:dyDescent="0.15"/>
    <row r="14407" s="8" customFormat="1" ht="21.95" customHeight="1" x14ac:dyDescent="0.15"/>
    <row r="14408" s="8" customFormat="1" ht="32.1" customHeight="1" x14ac:dyDescent="0.15"/>
    <row r="14409" s="8" customFormat="1" ht="32.1" customHeight="1" x14ac:dyDescent="0.15"/>
    <row r="14410" s="8" customFormat="1" ht="32.1" customHeight="1" x14ac:dyDescent="0.15"/>
    <row r="14411" s="8" customFormat="1" ht="32.1" customHeight="1" x14ac:dyDescent="0.15"/>
    <row r="14412" s="8" customFormat="1" ht="32.1" customHeight="1" x14ac:dyDescent="0.15"/>
    <row r="14413" s="8" customFormat="1" ht="32.1" customHeight="1" x14ac:dyDescent="0.15"/>
    <row r="14414" s="9" customFormat="1" ht="32.1" customHeight="1" x14ac:dyDescent="0.15"/>
    <row r="14415" s="9" customFormat="1" ht="32.1" customHeight="1" x14ac:dyDescent="0.15"/>
    <row r="14416" s="9" customFormat="1" ht="32.1" customHeight="1" x14ac:dyDescent="0.15"/>
    <row r="14417" s="9" customFormat="1" ht="32.1" customHeight="1" x14ac:dyDescent="0.15"/>
    <row r="14418" s="9" customFormat="1" ht="21.95" customHeight="1" x14ac:dyDescent="0.15"/>
    <row r="14419" s="9" customFormat="1" ht="54" customHeight="1" x14ac:dyDescent="0.15"/>
    <row r="14420" s="9" customFormat="1" ht="21.95" customHeight="1" x14ac:dyDescent="0.15"/>
    <row r="14421" s="9" customFormat="1" ht="21.95" customHeight="1" x14ac:dyDescent="0.15"/>
    <row r="14422" s="9" customFormat="1" ht="21.95" customHeight="1" x14ac:dyDescent="0.15"/>
    <row r="14423" s="9" customFormat="1" ht="21.95" customHeight="1" x14ac:dyDescent="0.15"/>
    <row r="14424" s="9" customFormat="1" ht="21.95" customHeight="1" x14ac:dyDescent="0.15"/>
    <row r="14425" s="9" customFormat="1" ht="21.95" customHeight="1" x14ac:dyDescent="0.15"/>
    <row r="14426" s="9" customFormat="1" ht="21.95" customHeight="1" x14ac:dyDescent="0.15"/>
    <row r="14427" s="9" customFormat="1" ht="21.95" customHeight="1" x14ac:dyDescent="0.15"/>
    <row r="14428" s="9" customFormat="1" ht="21.95" customHeight="1" x14ac:dyDescent="0.15"/>
    <row r="14429" s="9" customFormat="1" ht="21.95" customHeight="1" x14ac:dyDescent="0.15"/>
    <row r="14430" s="9" customFormat="1" ht="21.95" customHeight="1" x14ac:dyDescent="0.15"/>
    <row r="14431" s="9" customFormat="1" ht="21.95" customHeight="1" x14ac:dyDescent="0.15"/>
    <row r="14432" s="9" customFormat="1" ht="21.95" customHeight="1" x14ac:dyDescent="0.15"/>
    <row r="14433" s="9" customFormat="1" ht="21.95" customHeight="1" x14ac:dyDescent="0.15"/>
    <row r="14434" s="9" customFormat="1" ht="21.95" customHeight="1" x14ac:dyDescent="0.15"/>
    <row r="14435" s="9" customFormat="1" ht="21.95" customHeight="1" x14ac:dyDescent="0.15"/>
    <row r="14436" s="9" customFormat="1" ht="21.95" customHeight="1" x14ac:dyDescent="0.15"/>
    <row r="14437" s="9" customFormat="1" ht="21.95" customHeight="1" x14ac:dyDescent="0.15"/>
    <row r="14438" s="9" customFormat="1" ht="21.95" customHeight="1" x14ac:dyDescent="0.15"/>
    <row r="14439" s="9" customFormat="1" ht="21.95" customHeight="1" x14ac:dyDescent="0.15"/>
    <row r="14440" s="9" customFormat="1" ht="21.95" customHeight="1" x14ac:dyDescent="0.15"/>
    <row r="14441" s="9" customFormat="1" ht="21.95" customHeight="1" x14ac:dyDescent="0.15"/>
    <row r="14442" s="9" customFormat="1" ht="21.95" customHeight="1" x14ac:dyDescent="0.15"/>
    <row r="14443" s="9" customFormat="1" ht="21.95" customHeight="1" x14ac:dyDescent="0.15"/>
    <row r="14444" s="9" customFormat="1" ht="21.95" customHeight="1" x14ac:dyDescent="0.15"/>
    <row r="14445" s="9" customFormat="1" ht="21.95" customHeight="1" x14ac:dyDescent="0.15"/>
    <row r="14446" s="9" customFormat="1" ht="21.95" customHeight="1" x14ac:dyDescent="0.15"/>
    <row r="14447" s="9" customFormat="1" ht="21.95" customHeight="1" x14ac:dyDescent="0.15"/>
    <row r="14448" s="9" customFormat="1" ht="21.95" customHeight="1" x14ac:dyDescent="0.15"/>
    <row r="14449" s="9" customFormat="1" ht="21.95" customHeight="1" x14ac:dyDescent="0.15"/>
    <row r="14450" s="9" customFormat="1" ht="21.95" customHeight="1" x14ac:dyDescent="0.15"/>
    <row r="14451" s="9" customFormat="1" ht="21.95" customHeight="1" x14ac:dyDescent="0.15"/>
    <row r="14452" s="9" customFormat="1" ht="21.95" customHeight="1" x14ac:dyDescent="0.15"/>
    <row r="14453" s="9" customFormat="1" ht="21.95" customHeight="1" x14ac:dyDescent="0.15"/>
    <row r="14454" s="9" customFormat="1" ht="21.95" customHeight="1" x14ac:dyDescent="0.15"/>
    <row r="14455" s="9" customFormat="1" ht="21.95" customHeight="1" x14ac:dyDescent="0.15"/>
    <row r="14456" s="9" customFormat="1" ht="21.95" customHeight="1" x14ac:dyDescent="0.15"/>
    <row r="14457" s="9" customFormat="1" ht="21.95" customHeight="1" x14ac:dyDescent="0.15"/>
    <row r="14458" s="9" customFormat="1" ht="21.95" customHeight="1" x14ac:dyDescent="0.15"/>
    <row r="14459" s="9" customFormat="1" ht="21.95" customHeight="1" x14ac:dyDescent="0.15"/>
    <row r="14460" s="9" customFormat="1" ht="21.95" customHeight="1" x14ac:dyDescent="0.15"/>
    <row r="14461" s="9" customFormat="1" ht="21.95" customHeight="1" x14ac:dyDescent="0.15"/>
    <row r="14462" s="9" customFormat="1" ht="21.95" customHeight="1" x14ac:dyDescent="0.15"/>
    <row r="14463" s="9" customFormat="1" ht="21.95" customHeight="1" x14ac:dyDescent="0.15"/>
    <row r="14464" s="9" customFormat="1" ht="21.95" customHeight="1" x14ac:dyDescent="0.15"/>
    <row r="14465" s="9" customFormat="1" ht="21.95" customHeight="1" x14ac:dyDescent="0.15"/>
    <row r="14466" s="9" customFormat="1" ht="21.95" customHeight="1" x14ac:dyDescent="0.15"/>
    <row r="14467" s="9" customFormat="1" ht="21.95" customHeight="1" x14ac:dyDescent="0.15"/>
    <row r="14468" s="9" customFormat="1" ht="21.95" customHeight="1" x14ac:dyDescent="0.15"/>
    <row r="14469" s="9" customFormat="1" ht="21.95" customHeight="1" x14ac:dyDescent="0.15"/>
    <row r="14470" s="9" customFormat="1" ht="35.1" customHeight="1" x14ac:dyDescent="0.15"/>
    <row r="14471" s="9" customFormat="1" ht="21.95" customHeight="1" x14ac:dyDescent="0.15"/>
    <row r="14472" s="9" customFormat="1" ht="21.95" customHeight="1" x14ac:dyDescent="0.15"/>
    <row r="14473" s="9" customFormat="1" ht="21.95" customHeight="1" x14ac:dyDescent="0.15"/>
    <row r="14474" s="9" customFormat="1" ht="21.95" customHeight="1" x14ac:dyDescent="0.15"/>
    <row r="14475" s="9" customFormat="1" ht="21.95" customHeight="1" x14ac:dyDescent="0.15"/>
    <row r="14476" s="9" customFormat="1" ht="21.95" customHeight="1" x14ac:dyDescent="0.15"/>
    <row r="14477" s="9" customFormat="1" ht="21.95" customHeight="1" x14ac:dyDescent="0.15"/>
    <row r="14478" s="9" customFormat="1" ht="21.95" customHeight="1" x14ac:dyDescent="0.15"/>
    <row r="14479" s="9" customFormat="1" ht="21.95" customHeight="1" x14ac:dyDescent="0.15"/>
    <row r="14480" s="9" customFormat="1" ht="21.95" customHeight="1" x14ac:dyDescent="0.15"/>
    <row r="14481" spans="3:3" s="9" customFormat="1" ht="21.95" customHeight="1" x14ac:dyDescent="0.15"/>
    <row r="14482" spans="3:3" s="9" customFormat="1" ht="21.95" customHeight="1" x14ac:dyDescent="0.15"/>
    <row r="14483" spans="3:3" s="9" customFormat="1" ht="21.95" customHeight="1" x14ac:dyDescent="0.15"/>
    <row r="14484" spans="3:3" s="9" customFormat="1" ht="21.95" customHeight="1" x14ac:dyDescent="0.15"/>
    <row r="14485" spans="3:3" s="9" customFormat="1" ht="21.95" customHeight="1" x14ac:dyDescent="0.15"/>
    <row r="14486" spans="3:3" s="9" customFormat="1" ht="21.95" customHeight="1" x14ac:dyDescent="0.15"/>
    <row r="14487" spans="3:3" s="9" customFormat="1" ht="21.95" customHeight="1" x14ac:dyDescent="0.15"/>
    <row r="14488" spans="3:3" s="9" customFormat="1" ht="21.95" customHeight="1" x14ac:dyDescent="0.15"/>
    <row r="14489" spans="3:3" s="9" customFormat="1" ht="21.95" customHeight="1" x14ac:dyDescent="0.15"/>
    <row r="14490" spans="3:3" s="9" customFormat="1" ht="21.95" customHeight="1" x14ac:dyDescent="0.15"/>
    <row r="14491" spans="3:3" s="9" customFormat="1" ht="21.95" customHeight="1" x14ac:dyDescent="0.15"/>
    <row r="14492" spans="3:3" s="9" customFormat="1" ht="21.95" customHeight="1" x14ac:dyDescent="0.15"/>
    <row r="14493" spans="3:3" s="9" customFormat="1" ht="21.95" customHeight="1" x14ac:dyDescent="0.15"/>
    <row r="14494" spans="3:3" s="8" customFormat="1" ht="21.95" customHeight="1" x14ac:dyDescent="0.15"/>
    <row r="14495" spans="3:3" s="8" customFormat="1" ht="21.95" customHeight="1" x14ac:dyDescent="0.15"/>
    <row r="14496" spans="3:3" s="8" customFormat="1" ht="21.95" customHeight="1" x14ac:dyDescent="0.15">
      <c r="C14496" s="101"/>
    </row>
    <row r="14497" spans="3:3" s="8" customFormat="1" ht="21.95" customHeight="1" x14ac:dyDescent="0.15">
      <c r="C14497" s="101"/>
    </row>
    <row r="14498" spans="3:3" s="8" customFormat="1" ht="21.95" customHeight="1" x14ac:dyDescent="0.15"/>
    <row r="14499" spans="3:3" s="8" customFormat="1" ht="21.95" customHeight="1" x14ac:dyDescent="0.15"/>
    <row r="14500" spans="3:3" s="8" customFormat="1" ht="21.95" customHeight="1" x14ac:dyDescent="0.15"/>
    <row r="14501" spans="3:3" s="8" customFormat="1" ht="21.95" customHeight="1" x14ac:dyDescent="0.15"/>
    <row r="14502" spans="3:3" s="8" customFormat="1" ht="21.95" customHeight="1" x14ac:dyDescent="0.15"/>
    <row r="14503" spans="3:3" s="8" customFormat="1" ht="21.95" customHeight="1" x14ac:dyDescent="0.15"/>
    <row r="14504" spans="3:3" s="8" customFormat="1" ht="21.95" customHeight="1" x14ac:dyDescent="0.15"/>
    <row r="14505" spans="3:3" s="9" customFormat="1" ht="21.95" customHeight="1" x14ac:dyDescent="0.15"/>
    <row r="14506" spans="3:3" s="9" customFormat="1" ht="21.95" customHeight="1" x14ac:dyDescent="0.15"/>
    <row r="14507" spans="3:3" s="9" customFormat="1" ht="21.95" customHeight="1" x14ac:dyDescent="0.15"/>
    <row r="14508" spans="3:3" s="9" customFormat="1" ht="21.95" customHeight="1" x14ac:dyDescent="0.15"/>
    <row r="14509" spans="3:3" s="8" customFormat="1" ht="21.95" customHeight="1" x14ac:dyDescent="0.15"/>
    <row r="14510" spans="3:3" s="8" customFormat="1" ht="21.95" customHeight="1" x14ac:dyDescent="0.15"/>
    <row r="14511" spans="3:3" s="8" customFormat="1" ht="21.95" customHeight="1" x14ac:dyDescent="0.15"/>
    <row r="14512" spans="3:3" s="8" customFormat="1" ht="21.95" customHeight="1" x14ac:dyDescent="0.15"/>
    <row r="14513" s="8" customFormat="1" ht="21.95" customHeight="1" x14ac:dyDescent="0.15"/>
    <row r="14514" s="8" customFormat="1" ht="21.95" customHeight="1" x14ac:dyDescent="0.15"/>
    <row r="14515" s="8" customFormat="1" ht="21.95" customHeight="1" x14ac:dyDescent="0.15"/>
    <row r="14516" s="8" customFormat="1" ht="21.95" customHeight="1" x14ac:dyDescent="0.15"/>
    <row r="14517" s="8" customFormat="1" ht="21.95" customHeight="1" x14ac:dyDescent="0.15"/>
    <row r="14518" s="8" customFormat="1" ht="21.95" customHeight="1" x14ac:dyDescent="0.15"/>
    <row r="14519" s="8" customFormat="1" ht="21.95" customHeight="1" x14ac:dyDescent="0.15"/>
    <row r="14520" s="8" customFormat="1" ht="32.1" customHeight="1" x14ac:dyDescent="0.15"/>
    <row r="14521" s="8" customFormat="1" ht="32.1" customHeight="1" x14ac:dyDescent="0.15"/>
    <row r="14522" s="8" customFormat="1" ht="32.1" customHeight="1" x14ac:dyDescent="0.15"/>
    <row r="14523" s="8" customFormat="1" ht="32.1" customHeight="1" x14ac:dyDescent="0.15"/>
    <row r="14524" s="8" customFormat="1" ht="32.1" customHeight="1" x14ac:dyDescent="0.15"/>
    <row r="14525" s="8" customFormat="1" ht="32.1" customHeight="1" x14ac:dyDescent="0.15"/>
    <row r="14526" s="9" customFormat="1" ht="32.1" customHeight="1" x14ac:dyDescent="0.15"/>
    <row r="14527" s="9" customFormat="1" ht="32.1" customHeight="1" x14ac:dyDescent="0.15"/>
    <row r="14528" s="9" customFormat="1" ht="32.1" customHeight="1" x14ac:dyDescent="0.15"/>
    <row r="14529" s="9" customFormat="1" ht="32.1" customHeight="1" x14ac:dyDescent="0.15"/>
    <row r="14530" s="9" customFormat="1" ht="21.95" customHeight="1" x14ac:dyDescent="0.15"/>
    <row r="14531" s="9" customFormat="1" ht="54" customHeight="1" x14ac:dyDescent="0.15"/>
    <row r="14532" s="9" customFormat="1" ht="21.95" customHeight="1" x14ac:dyDescent="0.15"/>
    <row r="14533" s="9" customFormat="1" ht="21.95" customHeight="1" x14ac:dyDescent="0.15"/>
    <row r="14534" s="9" customFormat="1" ht="21.95" customHeight="1" x14ac:dyDescent="0.15"/>
    <row r="14535" s="9" customFormat="1" ht="21.95" customHeight="1" x14ac:dyDescent="0.15"/>
    <row r="14536" s="9" customFormat="1" ht="21.95" customHeight="1" x14ac:dyDescent="0.15"/>
    <row r="14537" s="9" customFormat="1" ht="21.95" customHeight="1" x14ac:dyDescent="0.15"/>
    <row r="14538" s="9" customFormat="1" ht="21.95" customHeight="1" x14ac:dyDescent="0.15"/>
    <row r="14539" s="9" customFormat="1" ht="21.95" customHeight="1" x14ac:dyDescent="0.15"/>
    <row r="14540" s="9" customFormat="1" ht="21.95" customHeight="1" x14ac:dyDescent="0.15"/>
    <row r="14541" s="9" customFormat="1" ht="21.95" customHeight="1" x14ac:dyDescent="0.15"/>
    <row r="14542" s="9" customFormat="1" ht="21.95" customHeight="1" x14ac:dyDescent="0.15"/>
    <row r="14543" s="9" customFormat="1" ht="21.95" customHeight="1" x14ac:dyDescent="0.15"/>
    <row r="14544" s="9" customFormat="1" ht="21.95" customHeight="1" x14ac:dyDescent="0.15"/>
    <row r="14545" s="9" customFormat="1" ht="21.95" customHeight="1" x14ac:dyDescent="0.15"/>
    <row r="14546" s="9" customFormat="1" ht="21.95" customHeight="1" x14ac:dyDescent="0.15"/>
    <row r="14547" s="9" customFormat="1" ht="21.95" customHeight="1" x14ac:dyDescent="0.15"/>
    <row r="14548" s="9" customFormat="1" ht="21.95" customHeight="1" x14ac:dyDescent="0.15"/>
    <row r="14549" s="9" customFormat="1" ht="21.95" customHeight="1" x14ac:dyDescent="0.15"/>
    <row r="14550" s="9" customFormat="1" ht="21.95" customHeight="1" x14ac:dyDescent="0.15"/>
    <row r="14551" s="9" customFormat="1" ht="21.95" customHeight="1" x14ac:dyDescent="0.15"/>
    <row r="14552" s="9" customFormat="1" ht="21.95" customHeight="1" x14ac:dyDescent="0.15"/>
    <row r="14553" s="9" customFormat="1" ht="21.95" customHeight="1" x14ac:dyDescent="0.15"/>
    <row r="14554" s="9" customFormat="1" ht="21.95" customHeight="1" x14ac:dyDescent="0.15"/>
    <row r="14555" s="9" customFormat="1" ht="21.95" customHeight="1" x14ac:dyDescent="0.15"/>
    <row r="14556" s="9" customFormat="1" ht="21.95" customHeight="1" x14ac:dyDescent="0.15"/>
    <row r="14557" s="9" customFormat="1" ht="21.95" customHeight="1" x14ac:dyDescent="0.15"/>
    <row r="14558" s="9" customFormat="1" ht="21.95" customHeight="1" x14ac:dyDescent="0.15"/>
    <row r="14559" s="9" customFormat="1" ht="21.95" customHeight="1" x14ac:dyDescent="0.15"/>
    <row r="14560" s="9" customFormat="1" ht="21.95" customHeight="1" x14ac:dyDescent="0.15"/>
    <row r="14561" s="9" customFormat="1" ht="21.95" customHeight="1" x14ac:dyDescent="0.15"/>
    <row r="14562" s="9" customFormat="1" ht="21.95" customHeight="1" x14ac:dyDescent="0.15"/>
    <row r="14563" s="9" customFormat="1" ht="21.95" customHeight="1" x14ac:dyDescent="0.15"/>
    <row r="14564" s="9" customFormat="1" ht="21.95" customHeight="1" x14ac:dyDescent="0.15"/>
    <row r="14565" s="9" customFormat="1" ht="21.95" customHeight="1" x14ac:dyDescent="0.15"/>
    <row r="14566" s="9" customFormat="1" ht="21.95" customHeight="1" x14ac:dyDescent="0.15"/>
    <row r="14567" s="9" customFormat="1" ht="21.95" customHeight="1" x14ac:dyDescent="0.15"/>
    <row r="14568" s="9" customFormat="1" ht="21.95" customHeight="1" x14ac:dyDescent="0.15"/>
    <row r="14569" s="9" customFormat="1" ht="21.95" customHeight="1" x14ac:dyDescent="0.15"/>
    <row r="14570" s="9" customFormat="1" ht="21.95" customHeight="1" x14ac:dyDescent="0.15"/>
    <row r="14571" s="9" customFormat="1" ht="21.95" customHeight="1" x14ac:dyDescent="0.15"/>
    <row r="14572" s="9" customFormat="1" ht="21.95" customHeight="1" x14ac:dyDescent="0.15"/>
    <row r="14573" s="9" customFormat="1" ht="21.95" customHeight="1" x14ac:dyDescent="0.15"/>
    <row r="14574" s="9" customFormat="1" ht="21.95" customHeight="1" x14ac:dyDescent="0.15"/>
    <row r="14575" s="9" customFormat="1" ht="21.95" customHeight="1" x14ac:dyDescent="0.15"/>
    <row r="14576" s="9" customFormat="1" ht="21.95" customHeight="1" x14ac:dyDescent="0.15"/>
    <row r="14577" s="9" customFormat="1" ht="21.95" customHeight="1" x14ac:dyDescent="0.15"/>
    <row r="14578" s="9" customFormat="1" ht="21.95" customHeight="1" x14ac:dyDescent="0.15"/>
    <row r="14579" s="9" customFormat="1" ht="21.95" customHeight="1" x14ac:dyDescent="0.15"/>
    <row r="14580" s="9" customFormat="1" ht="21.95" customHeight="1" x14ac:dyDescent="0.15"/>
    <row r="14581" s="9" customFormat="1" ht="21.95" customHeight="1" x14ac:dyDescent="0.15"/>
    <row r="14582" s="9" customFormat="1" ht="35.1" customHeight="1" x14ac:dyDescent="0.15"/>
    <row r="14583" s="9" customFormat="1" ht="21.95" customHeight="1" x14ac:dyDescent="0.15"/>
    <row r="14584" s="9" customFormat="1" ht="21.95" customHeight="1" x14ac:dyDescent="0.15"/>
    <row r="14585" s="9" customFormat="1" ht="21.95" customHeight="1" x14ac:dyDescent="0.15"/>
    <row r="14586" s="9" customFormat="1" ht="21.95" customHeight="1" x14ac:dyDescent="0.15"/>
    <row r="14587" s="9" customFormat="1" ht="21.95" customHeight="1" x14ac:dyDescent="0.15"/>
    <row r="14588" s="9" customFormat="1" ht="21.95" customHeight="1" x14ac:dyDescent="0.15"/>
    <row r="14589" s="9" customFormat="1" ht="21.95" customHeight="1" x14ac:dyDescent="0.15"/>
    <row r="14590" s="9" customFormat="1" ht="21.95" customHeight="1" x14ac:dyDescent="0.15"/>
    <row r="14591" s="9" customFormat="1" ht="21.95" customHeight="1" x14ac:dyDescent="0.15"/>
    <row r="14592" s="9" customFormat="1" ht="21.95" customHeight="1" x14ac:dyDescent="0.15"/>
    <row r="14593" spans="3:3" s="9" customFormat="1" ht="21.95" customHeight="1" x14ac:dyDescent="0.15"/>
    <row r="14594" spans="3:3" s="9" customFormat="1" ht="21.95" customHeight="1" x14ac:dyDescent="0.15"/>
    <row r="14595" spans="3:3" s="9" customFormat="1" ht="21.95" customHeight="1" x14ac:dyDescent="0.15"/>
    <row r="14596" spans="3:3" s="9" customFormat="1" ht="21.95" customHeight="1" x14ac:dyDescent="0.15"/>
    <row r="14597" spans="3:3" s="9" customFormat="1" ht="21.95" customHeight="1" x14ac:dyDescent="0.15"/>
    <row r="14598" spans="3:3" s="9" customFormat="1" ht="21.95" customHeight="1" x14ac:dyDescent="0.15"/>
    <row r="14599" spans="3:3" s="9" customFormat="1" ht="21.95" customHeight="1" x14ac:dyDescent="0.15"/>
    <row r="14600" spans="3:3" s="9" customFormat="1" ht="21.95" customHeight="1" x14ac:dyDescent="0.15"/>
    <row r="14601" spans="3:3" s="9" customFormat="1" ht="21.95" customHeight="1" x14ac:dyDescent="0.15"/>
    <row r="14602" spans="3:3" s="9" customFormat="1" ht="21.95" customHeight="1" x14ac:dyDescent="0.15"/>
    <row r="14603" spans="3:3" s="9" customFormat="1" ht="21.95" customHeight="1" x14ac:dyDescent="0.15"/>
    <row r="14604" spans="3:3" s="9" customFormat="1" ht="21.95" customHeight="1" x14ac:dyDescent="0.15"/>
    <row r="14605" spans="3:3" s="9" customFormat="1" ht="21.95" customHeight="1" x14ac:dyDescent="0.15"/>
    <row r="14606" spans="3:3" s="8" customFormat="1" ht="21.95" customHeight="1" x14ac:dyDescent="0.15"/>
    <row r="14607" spans="3:3" s="8" customFormat="1" ht="21.95" customHeight="1" x14ac:dyDescent="0.15"/>
    <row r="14608" spans="3:3" s="8" customFormat="1" ht="21.95" customHeight="1" x14ac:dyDescent="0.15">
      <c r="C14608" s="101"/>
    </row>
    <row r="14609" spans="3:3" s="8" customFormat="1" ht="21.95" customHeight="1" x14ac:dyDescent="0.15">
      <c r="C14609" s="101"/>
    </row>
    <row r="14610" spans="3:3" s="8" customFormat="1" ht="21.95" customHeight="1" x14ac:dyDescent="0.15"/>
    <row r="14611" spans="3:3" s="8" customFormat="1" ht="21.95" customHeight="1" x14ac:dyDescent="0.15"/>
    <row r="14612" spans="3:3" s="8" customFormat="1" ht="21.95" customHeight="1" x14ac:dyDescent="0.15"/>
    <row r="14613" spans="3:3" s="8" customFormat="1" ht="21.95" customHeight="1" x14ac:dyDescent="0.15"/>
    <row r="14614" spans="3:3" s="8" customFormat="1" ht="21.95" customHeight="1" x14ac:dyDescent="0.15"/>
    <row r="14615" spans="3:3" s="8" customFormat="1" ht="21.95" customHeight="1" x14ac:dyDescent="0.15"/>
    <row r="14616" spans="3:3" s="8" customFormat="1" ht="21.95" customHeight="1" x14ac:dyDescent="0.15"/>
    <row r="14617" spans="3:3" s="9" customFormat="1" ht="21.95" customHeight="1" x14ac:dyDescent="0.15"/>
    <row r="14618" spans="3:3" s="9" customFormat="1" ht="21.95" customHeight="1" x14ac:dyDescent="0.15"/>
    <row r="14619" spans="3:3" s="9" customFormat="1" ht="21.95" customHeight="1" x14ac:dyDescent="0.15"/>
    <row r="14620" spans="3:3" s="9" customFormat="1" ht="21.95" customHeight="1" x14ac:dyDescent="0.15"/>
    <row r="14621" spans="3:3" s="8" customFormat="1" ht="21.95" customHeight="1" x14ac:dyDescent="0.15"/>
    <row r="14622" spans="3:3" s="8" customFormat="1" ht="21.95" customHeight="1" x14ac:dyDescent="0.15"/>
    <row r="14623" spans="3:3" s="8" customFormat="1" ht="21.95" customHeight="1" x14ac:dyDescent="0.15"/>
    <row r="14624" spans="3:3" s="8" customFormat="1" ht="21.95" customHeight="1" x14ac:dyDescent="0.15"/>
    <row r="14625" s="8" customFormat="1" ht="21.95" customHeight="1" x14ac:dyDescent="0.15"/>
    <row r="14626" s="8" customFormat="1" ht="21.95" customHeight="1" x14ac:dyDescent="0.15"/>
    <row r="14627" s="8" customFormat="1" ht="21.95" customHeight="1" x14ac:dyDescent="0.15"/>
    <row r="14628" s="8" customFormat="1" ht="21.95" customHeight="1" x14ac:dyDescent="0.15"/>
    <row r="14629" s="8" customFormat="1" ht="21.95" customHeight="1" x14ac:dyDescent="0.15"/>
    <row r="14630" s="8" customFormat="1" ht="21.95" customHeight="1" x14ac:dyDescent="0.15"/>
    <row r="14631" s="8" customFormat="1" ht="21.95" customHeight="1" x14ac:dyDescent="0.15"/>
    <row r="14632" s="8" customFormat="1" ht="32.1" customHeight="1" x14ac:dyDescent="0.15"/>
    <row r="14633" s="8" customFormat="1" ht="32.1" customHeight="1" x14ac:dyDescent="0.15"/>
    <row r="14634" s="8" customFormat="1" ht="32.1" customHeight="1" x14ac:dyDescent="0.15"/>
    <row r="14635" s="8" customFormat="1" ht="32.1" customHeight="1" x14ac:dyDescent="0.15"/>
    <row r="14636" s="8" customFormat="1" ht="32.1" customHeight="1" x14ac:dyDescent="0.15"/>
    <row r="14637" s="8" customFormat="1" ht="32.1" customHeight="1" x14ac:dyDescent="0.15"/>
    <row r="14638" s="9" customFormat="1" ht="32.1" customHeight="1" x14ac:dyDescent="0.15"/>
    <row r="14639" s="9" customFormat="1" ht="32.1" customHeight="1" x14ac:dyDescent="0.15"/>
    <row r="14640" s="9" customFormat="1" ht="32.1" customHeight="1" x14ac:dyDescent="0.15"/>
    <row r="14641" s="9" customFormat="1" ht="32.1" customHeight="1" x14ac:dyDescent="0.15"/>
    <row r="14642" s="9" customFormat="1" ht="21.95" customHeight="1" x14ac:dyDescent="0.15"/>
    <row r="14643" s="9" customFormat="1" ht="54" customHeight="1" x14ac:dyDescent="0.15"/>
    <row r="14644" s="9" customFormat="1" ht="21.95" customHeight="1" x14ac:dyDescent="0.15"/>
    <row r="14645" s="9" customFormat="1" ht="21.95" customHeight="1" x14ac:dyDescent="0.15"/>
    <row r="14646" s="9" customFormat="1" ht="21.95" customHeight="1" x14ac:dyDescent="0.15"/>
    <row r="14647" s="9" customFormat="1" ht="21.95" customHeight="1" x14ac:dyDescent="0.15"/>
    <row r="14648" s="9" customFormat="1" ht="21.95" customHeight="1" x14ac:dyDescent="0.15"/>
    <row r="14649" s="9" customFormat="1" ht="21.95" customHeight="1" x14ac:dyDescent="0.15"/>
    <row r="14650" s="9" customFormat="1" ht="21.95" customHeight="1" x14ac:dyDescent="0.15"/>
    <row r="14651" s="9" customFormat="1" ht="21.95" customHeight="1" x14ac:dyDescent="0.15"/>
    <row r="14652" s="9" customFormat="1" ht="21.95" customHeight="1" x14ac:dyDescent="0.15"/>
    <row r="14653" s="9" customFormat="1" ht="21.95" customHeight="1" x14ac:dyDescent="0.15"/>
    <row r="14654" s="9" customFormat="1" ht="21.95" customHeight="1" x14ac:dyDescent="0.15"/>
    <row r="14655" s="9" customFormat="1" ht="21.95" customHeight="1" x14ac:dyDescent="0.15"/>
    <row r="14656" s="9" customFormat="1" ht="21.95" customHeight="1" x14ac:dyDescent="0.15"/>
    <row r="14657" s="9" customFormat="1" ht="21.95" customHeight="1" x14ac:dyDescent="0.15"/>
    <row r="14658" s="9" customFormat="1" ht="21.95" customHeight="1" x14ac:dyDescent="0.15"/>
    <row r="14659" s="9" customFormat="1" ht="21.95" customHeight="1" x14ac:dyDescent="0.15"/>
    <row r="14660" s="9" customFormat="1" ht="21.95" customHeight="1" x14ac:dyDescent="0.15"/>
    <row r="14661" s="9" customFormat="1" ht="21.95" customHeight="1" x14ac:dyDescent="0.15"/>
    <row r="14662" s="9" customFormat="1" ht="21.95" customHeight="1" x14ac:dyDescent="0.15"/>
    <row r="14663" s="9" customFormat="1" ht="21.95" customHeight="1" x14ac:dyDescent="0.15"/>
    <row r="14664" s="9" customFormat="1" ht="21.95" customHeight="1" x14ac:dyDescent="0.15"/>
    <row r="14665" s="9" customFormat="1" ht="21.95" customHeight="1" x14ac:dyDescent="0.15"/>
    <row r="14666" s="9" customFormat="1" ht="21.95" customHeight="1" x14ac:dyDescent="0.15"/>
    <row r="14667" s="9" customFormat="1" ht="21.95" customHeight="1" x14ac:dyDescent="0.15"/>
    <row r="14668" s="9" customFormat="1" ht="21.95" customHeight="1" x14ac:dyDescent="0.15"/>
    <row r="14669" s="9" customFormat="1" ht="21.95" customHeight="1" x14ac:dyDescent="0.15"/>
    <row r="14670" s="9" customFormat="1" ht="21.95" customHeight="1" x14ac:dyDescent="0.15"/>
    <row r="14671" s="9" customFormat="1" ht="21.95" customHeight="1" x14ac:dyDescent="0.15"/>
    <row r="14672" s="9" customFormat="1" ht="21.95" customHeight="1" x14ac:dyDescent="0.15"/>
    <row r="14673" s="9" customFormat="1" ht="21.95" customHeight="1" x14ac:dyDescent="0.15"/>
    <row r="14674" s="9" customFormat="1" ht="21.95" customHeight="1" x14ac:dyDescent="0.15"/>
    <row r="14675" s="9" customFormat="1" ht="21.95" customHeight="1" x14ac:dyDescent="0.15"/>
    <row r="14676" s="9" customFormat="1" ht="21.95" customHeight="1" x14ac:dyDescent="0.15"/>
    <row r="14677" s="9" customFormat="1" ht="21.95" customHeight="1" x14ac:dyDescent="0.15"/>
    <row r="14678" s="9" customFormat="1" ht="21.95" customHeight="1" x14ac:dyDescent="0.15"/>
    <row r="14679" s="9" customFormat="1" ht="21.95" customHeight="1" x14ac:dyDescent="0.15"/>
    <row r="14680" s="9" customFormat="1" ht="21.95" customHeight="1" x14ac:dyDescent="0.15"/>
    <row r="14681" s="9" customFormat="1" ht="21.95" customHeight="1" x14ac:dyDescent="0.15"/>
    <row r="14682" s="9" customFormat="1" ht="21.95" customHeight="1" x14ac:dyDescent="0.15"/>
    <row r="14683" s="9" customFormat="1" ht="21.95" customHeight="1" x14ac:dyDescent="0.15"/>
    <row r="14684" s="9" customFormat="1" ht="21.95" customHeight="1" x14ac:dyDescent="0.15"/>
    <row r="14685" s="9" customFormat="1" ht="21.95" customHeight="1" x14ac:dyDescent="0.15"/>
    <row r="14686" s="9" customFormat="1" ht="21.95" customHeight="1" x14ac:dyDescent="0.15"/>
    <row r="14687" s="9" customFormat="1" ht="21.95" customHeight="1" x14ac:dyDescent="0.15"/>
    <row r="14688" s="9" customFormat="1" ht="21.95" customHeight="1" x14ac:dyDescent="0.15"/>
    <row r="14689" s="9" customFormat="1" ht="21.95" customHeight="1" x14ac:dyDescent="0.15"/>
    <row r="14690" s="9" customFormat="1" ht="21.95" customHeight="1" x14ac:dyDescent="0.15"/>
    <row r="14691" s="9" customFormat="1" ht="21.95" customHeight="1" x14ac:dyDescent="0.15"/>
    <row r="14692" s="9" customFormat="1" ht="21.95" customHeight="1" x14ac:dyDescent="0.15"/>
    <row r="14693" s="9" customFormat="1" ht="21.95" customHeight="1" x14ac:dyDescent="0.15"/>
    <row r="14694" s="9" customFormat="1" ht="35.1" customHeight="1" x14ac:dyDescent="0.15"/>
    <row r="14695" s="9" customFormat="1" ht="21.95" customHeight="1" x14ac:dyDescent="0.15"/>
    <row r="14696" s="9" customFormat="1" ht="21.95" customHeight="1" x14ac:dyDescent="0.15"/>
    <row r="14697" s="9" customFormat="1" ht="21.95" customHeight="1" x14ac:dyDescent="0.15"/>
    <row r="14698" s="9" customFormat="1" ht="21.95" customHeight="1" x14ac:dyDescent="0.15"/>
    <row r="14699" s="9" customFormat="1" ht="21.95" customHeight="1" x14ac:dyDescent="0.15"/>
    <row r="14700" s="9" customFormat="1" ht="21.95" customHeight="1" x14ac:dyDescent="0.15"/>
    <row r="14701" s="9" customFormat="1" ht="21.95" customHeight="1" x14ac:dyDescent="0.15"/>
    <row r="14702" s="9" customFormat="1" ht="21.95" customHeight="1" x14ac:dyDescent="0.15"/>
    <row r="14703" s="9" customFormat="1" ht="21.95" customHeight="1" x14ac:dyDescent="0.15"/>
    <row r="14704" s="9" customFormat="1" ht="21.95" customHeight="1" x14ac:dyDescent="0.15"/>
    <row r="14705" spans="3:3" s="9" customFormat="1" ht="21.95" customHeight="1" x14ac:dyDescent="0.15"/>
    <row r="14706" spans="3:3" s="9" customFormat="1" ht="21.95" customHeight="1" x14ac:dyDescent="0.15"/>
    <row r="14707" spans="3:3" s="9" customFormat="1" ht="21.95" customHeight="1" x14ac:dyDescent="0.15"/>
    <row r="14708" spans="3:3" s="9" customFormat="1" ht="21.95" customHeight="1" x14ac:dyDescent="0.15"/>
    <row r="14709" spans="3:3" s="9" customFormat="1" ht="21.95" customHeight="1" x14ac:dyDescent="0.15"/>
    <row r="14710" spans="3:3" s="9" customFormat="1" ht="21.95" customHeight="1" x14ac:dyDescent="0.15"/>
    <row r="14711" spans="3:3" s="9" customFormat="1" ht="21.95" customHeight="1" x14ac:dyDescent="0.15"/>
    <row r="14712" spans="3:3" s="9" customFormat="1" ht="21.95" customHeight="1" x14ac:dyDescent="0.15"/>
    <row r="14713" spans="3:3" s="9" customFormat="1" ht="21.95" customHeight="1" x14ac:dyDescent="0.15"/>
    <row r="14714" spans="3:3" s="9" customFormat="1" ht="21.95" customHeight="1" x14ac:dyDescent="0.15"/>
    <row r="14715" spans="3:3" s="9" customFormat="1" ht="21.95" customHeight="1" x14ac:dyDescent="0.15"/>
    <row r="14716" spans="3:3" s="9" customFormat="1" ht="21.95" customHeight="1" x14ac:dyDescent="0.15"/>
    <row r="14717" spans="3:3" s="9" customFormat="1" ht="21.95" customHeight="1" x14ac:dyDescent="0.15"/>
    <row r="14718" spans="3:3" s="8" customFormat="1" ht="21.95" customHeight="1" x14ac:dyDescent="0.15"/>
    <row r="14719" spans="3:3" s="8" customFormat="1" ht="21.95" customHeight="1" x14ac:dyDescent="0.15"/>
    <row r="14720" spans="3:3" s="8" customFormat="1" ht="21.95" customHeight="1" x14ac:dyDescent="0.15">
      <c r="C14720" s="101"/>
    </row>
    <row r="14721" spans="3:3" s="8" customFormat="1" ht="21.95" customHeight="1" x14ac:dyDescent="0.15">
      <c r="C14721" s="101"/>
    </row>
    <row r="14722" spans="3:3" s="8" customFormat="1" ht="21.95" customHeight="1" x14ac:dyDescent="0.15"/>
    <row r="14723" spans="3:3" s="8" customFormat="1" ht="21.95" customHeight="1" x14ac:dyDescent="0.15"/>
    <row r="14724" spans="3:3" s="8" customFormat="1" ht="21.95" customHeight="1" x14ac:dyDescent="0.15"/>
    <row r="14725" spans="3:3" s="8" customFormat="1" ht="21.95" customHeight="1" x14ac:dyDescent="0.15"/>
    <row r="14726" spans="3:3" s="8" customFormat="1" ht="21.95" customHeight="1" x14ac:dyDescent="0.15"/>
    <row r="14727" spans="3:3" s="8" customFormat="1" ht="21.95" customHeight="1" x14ac:dyDescent="0.15"/>
    <row r="14728" spans="3:3" s="8" customFormat="1" ht="21.95" customHeight="1" x14ac:dyDescent="0.15"/>
    <row r="14729" spans="3:3" s="9" customFormat="1" ht="21.95" customHeight="1" x14ac:dyDescent="0.15"/>
    <row r="14730" spans="3:3" s="9" customFormat="1" ht="21.95" customHeight="1" x14ac:dyDescent="0.15"/>
    <row r="14731" spans="3:3" s="9" customFormat="1" ht="21.95" customHeight="1" x14ac:dyDescent="0.15"/>
    <row r="14732" spans="3:3" s="9" customFormat="1" ht="21.95" customHeight="1" x14ac:dyDescent="0.15"/>
    <row r="14733" spans="3:3" s="8" customFormat="1" ht="21.95" customHeight="1" x14ac:dyDescent="0.15"/>
    <row r="14734" spans="3:3" s="8" customFormat="1" ht="21.95" customHeight="1" x14ac:dyDescent="0.15"/>
    <row r="14735" spans="3:3" s="8" customFormat="1" ht="21.95" customHeight="1" x14ac:dyDescent="0.15"/>
    <row r="14736" spans="3:3" s="8" customFormat="1" ht="21.95" customHeight="1" x14ac:dyDescent="0.15"/>
    <row r="14737" s="8" customFormat="1" ht="21.95" customHeight="1" x14ac:dyDescent="0.15"/>
    <row r="14738" s="8" customFormat="1" ht="21.95" customHeight="1" x14ac:dyDescent="0.15"/>
    <row r="14739" s="8" customFormat="1" ht="21.95" customHeight="1" x14ac:dyDescent="0.15"/>
    <row r="14740" s="8" customFormat="1" ht="21.95" customHeight="1" x14ac:dyDescent="0.15"/>
    <row r="14741" s="8" customFormat="1" ht="21.95" customHeight="1" x14ac:dyDescent="0.15"/>
    <row r="14742" s="8" customFormat="1" ht="21.95" customHeight="1" x14ac:dyDescent="0.15"/>
    <row r="14743" s="8" customFormat="1" ht="21.95" customHeight="1" x14ac:dyDescent="0.15"/>
    <row r="14744" s="8" customFormat="1" ht="32.1" customHeight="1" x14ac:dyDescent="0.15"/>
    <row r="14745" s="8" customFormat="1" ht="32.1" customHeight="1" x14ac:dyDescent="0.15"/>
    <row r="14746" s="8" customFormat="1" ht="32.1" customHeight="1" x14ac:dyDescent="0.15"/>
    <row r="14747" s="8" customFormat="1" ht="32.1" customHeight="1" x14ac:dyDescent="0.15"/>
    <row r="14748" s="8" customFormat="1" ht="32.1" customHeight="1" x14ac:dyDescent="0.15"/>
    <row r="14749" s="8" customFormat="1" ht="32.1" customHeight="1" x14ac:dyDescent="0.15"/>
    <row r="14750" s="9" customFormat="1" ht="32.1" customHeight="1" x14ac:dyDescent="0.15"/>
    <row r="14751" s="9" customFormat="1" ht="32.1" customHeight="1" x14ac:dyDescent="0.15"/>
    <row r="14752" s="9" customFormat="1" ht="32.1" customHeight="1" x14ac:dyDescent="0.15"/>
    <row r="14753" s="9" customFormat="1" ht="32.1" customHeight="1" x14ac:dyDescent="0.15"/>
    <row r="14754" s="9" customFormat="1" ht="21.95" customHeight="1" x14ac:dyDescent="0.15"/>
    <row r="14755" s="9" customFormat="1" ht="54" customHeight="1" x14ac:dyDescent="0.15"/>
    <row r="14756" s="9" customFormat="1" ht="21.95" customHeight="1" x14ac:dyDescent="0.15"/>
    <row r="14757" s="9" customFormat="1" ht="21.95" customHeight="1" x14ac:dyDescent="0.15"/>
    <row r="14758" s="9" customFormat="1" ht="21.95" customHeight="1" x14ac:dyDescent="0.15"/>
    <row r="14759" s="9" customFormat="1" ht="21.95" customHeight="1" x14ac:dyDescent="0.15"/>
    <row r="14760" s="9" customFormat="1" ht="21.95" customHeight="1" x14ac:dyDescent="0.15"/>
    <row r="14761" s="9" customFormat="1" ht="21.95" customHeight="1" x14ac:dyDescent="0.15"/>
    <row r="14762" s="9" customFormat="1" ht="21.95" customHeight="1" x14ac:dyDescent="0.15"/>
    <row r="14763" s="9" customFormat="1" ht="21.95" customHeight="1" x14ac:dyDescent="0.15"/>
    <row r="14764" s="9" customFormat="1" ht="21.95" customHeight="1" x14ac:dyDescent="0.15"/>
    <row r="14765" s="9" customFormat="1" ht="21.95" customHeight="1" x14ac:dyDescent="0.15"/>
    <row r="14766" s="9" customFormat="1" ht="21.95" customHeight="1" x14ac:dyDescent="0.15"/>
    <row r="14767" s="9" customFormat="1" ht="21.95" customHeight="1" x14ac:dyDescent="0.15"/>
    <row r="14768" s="9" customFormat="1" ht="21.95" customHeight="1" x14ac:dyDescent="0.15"/>
    <row r="14769" s="9" customFormat="1" ht="21.95" customHeight="1" x14ac:dyDescent="0.15"/>
    <row r="14770" s="9" customFormat="1" ht="21.95" customHeight="1" x14ac:dyDescent="0.15"/>
    <row r="14771" s="9" customFormat="1" ht="21.95" customHeight="1" x14ac:dyDescent="0.15"/>
    <row r="14772" s="9" customFormat="1" ht="21.95" customHeight="1" x14ac:dyDescent="0.15"/>
    <row r="14773" s="9" customFormat="1" ht="21.95" customHeight="1" x14ac:dyDescent="0.15"/>
    <row r="14774" s="9" customFormat="1" ht="21.95" customHeight="1" x14ac:dyDescent="0.15"/>
    <row r="14775" s="9" customFormat="1" ht="21.95" customHeight="1" x14ac:dyDescent="0.15"/>
    <row r="14776" s="9" customFormat="1" ht="21.95" customHeight="1" x14ac:dyDescent="0.15"/>
    <row r="14777" s="9" customFormat="1" ht="21.95" customHeight="1" x14ac:dyDescent="0.15"/>
    <row r="14778" s="9" customFormat="1" ht="21.95" customHeight="1" x14ac:dyDescent="0.15"/>
    <row r="14779" s="9" customFormat="1" ht="21.95" customHeight="1" x14ac:dyDescent="0.15"/>
    <row r="14780" s="9" customFormat="1" ht="21.95" customHeight="1" x14ac:dyDescent="0.15"/>
    <row r="14781" s="9" customFormat="1" ht="21.95" customHeight="1" x14ac:dyDescent="0.15"/>
    <row r="14782" s="9" customFormat="1" ht="21.95" customHeight="1" x14ac:dyDescent="0.15"/>
    <row r="14783" s="9" customFormat="1" ht="21.95" customHeight="1" x14ac:dyDescent="0.15"/>
    <row r="14784" s="9" customFormat="1" ht="21.95" customHeight="1" x14ac:dyDescent="0.15"/>
    <row r="14785" s="9" customFormat="1" ht="21.95" customHeight="1" x14ac:dyDescent="0.15"/>
    <row r="14786" s="9" customFormat="1" ht="21.95" customHeight="1" x14ac:dyDescent="0.15"/>
    <row r="14787" s="9" customFormat="1" ht="21.95" customHeight="1" x14ac:dyDescent="0.15"/>
    <row r="14788" s="9" customFormat="1" ht="21.95" customHeight="1" x14ac:dyDescent="0.15"/>
    <row r="14789" s="9" customFormat="1" ht="21.95" customHeight="1" x14ac:dyDescent="0.15"/>
    <row r="14790" s="9" customFormat="1" ht="21.95" customHeight="1" x14ac:dyDescent="0.15"/>
    <row r="14791" s="9" customFormat="1" ht="21.95" customHeight="1" x14ac:dyDescent="0.15"/>
    <row r="14792" s="9" customFormat="1" ht="21.95" customHeight="1" x14ac:dyDescent="0.15"/>
    <row r="14793" s="9" customFormat="1" ht="21.95" customHeight="1" x14ac:dyDescent="0.15"/>
    <row r="14794" s="9" customFormat="1" ht="21.95" customHeight="1" x14ac:dyDescent="0.15"/>
    <row r="14795" s="9" customFormat="1" ht="21.95" customHeight="1" x14ac:dyDescent="0.15"/>
    <row r="14796" s="9" customFormat="1" ht="21.95" customHeight="1" x14ac:dyDescent="0.15"/>
    <row r="14797" s="9" customFormat="1" ht="21.95" customHeight="1" x14ac:dyDescent="0.15"/>
    <row r="14798" s="9" customFormat="1" ht="21.95" customHeight="1" x14ac:dyDescent="0.15"/>
    <row r="14799" s="9" customFormat="1" ht="21.95" customHeight="1" x14ac:dyDescent="0.15"/>
    <row r="14800" s="9" customFormat="1" ht="21.95" customHeight="1" x14ac:dyDescent="0.15"/>
    <row r="14801" s="9" customFormat="1" ht="21.95" customHeight="1" x14ac:dyDescent="0.15"/>
    <row r="14802" s="9" customFormat="1" ht="21.95" customHeight="1" x14ac:dyDescent="0.15"/>
    <row r="14803" s="9" customFormat="1" ht="21.95" customHeight="1" x14ac:dyDescent="0.15"/>
    <row r="14804" s="9" customFormat="1" ht="21.95" customHeight="1" x14ac:dyDescent="0.15"/>
    <row r="14805" s="9" customFormat="1" ht="21.95" customHeight="1" x14ac:dyDescent="0.15"/>
    <row r="14806" s="9" customFormat="1" ht="35.1" customHeight="1" x14ac:dyDescent="0.15"/>
    <row r="14807" s="9" customFormat="1" ht="21.95" customHeight="1" x14ac:dyDescent="0.15"/>
    <row r="14808" s="9" customFormat="1" ht="21.95" customHeight="1" x14ac:dyDescent="0.15"/>
    <row r="14809" s="9" customFormat="1" ht="21.95" customHeight="1" x14ac:dyDescent="0.15"/>
    <row r="14810" s="9" customFormat="1" ht="21.95" customHeight="1" x14ac:dyDescent="0.15"/>
    <row r="14811" s="9" customFormat="1" ht="21.95" customHeight="1" x14ac:dyDescent="0.15"/>
    <row r="14812" s="9" customFormat="1" ht="21.95" customHeight="1" x14ac:dyDescent="0.15"/>
    <row r="14813" s="9" customFormat="1" ht="21.95" customHeight="1" x14ac:dyDescent="0.15"/>
    <row r="14814" s="9" customFormat="1" ht="21.95" customHeight="1" x14ac:dyDescent="0.15"/>
    <row r="14815" s="9" customFormat="1" ht="21.95" customHeight="1" x14ac:dyDescent="0.15"/>
    <row r="14816" s="9" customFormat="1" ht="21.95" customHeight="1" x14ac:dyDescent="0.15"/>
    <row r="14817" spans="3:3" s="9" customFormat="1" ht="21.95" customHeight="1" x14ac:dyDescent="0.15"/>
    <row r="14818" spans="3:3" s="9" customFormat="1" ht="21.95" customHeight="1" x14ac:dyDescent="0.15"/>
    <row r="14819" spans="3:3" s="9" customFormat="1" ht="21.95" customHeight="1" x14ac:dyDescent="0.15"/>
    <row r="14820" spans="3:3" s="9" customFormat="1" ht="21.95" customHeight="1" x14ac:dyDescent="0.15"/>
    <row r="14821" spans="3:3" s="9" customFormat="1" ht="21.95" customHeight="1" x14ac:dyDescent="0.15"/>
    <row r="14822" spans="3:3" s="9" customFormat="1" ht="21.95" customHeight="1" x14ac:dyDescent="0.15"/>
    <row r="14823" spans="3:3" s="9" customFormat="1" ht="21.95" customHeight="1" x14ac:dyDescent="0.15"/>
    <row r="14824" spans="3:3" s="9" customFormat="1" ht="21.95" customHeight="1" x14ac:dyDescent="0.15"/>
    <row r="14825" spans="3:3" s="9" customFormat="1" ht="21.95" customHeight="1" x14ac:dyDescent="0.15"/>
    <row r="14826" spans="3:3" s="9" customFormat="1" ht="21.95" customHeight="1" x14ac:dyDescent="0.15"/>
    <row r="14827" spans="3:3" s="9" customFormat="1" ht="21.95" customHeight="1" x14ac:dyDescent="0.15"/>
    <row r="14828" spans="3:3" s="9" customFormat="1" ht="21.95" customHeight="1" x14ac:dyDescent="0.15"/>
    <row r="14829" spans="3:3" s="9" customFormat="1" ht="21.95" customHeight="1" x14ac:dyDescent="0.15"/>
    <row r="14830" spans="3:3" s="8" customFormat="1" ht="21.95" customHeight="1" x14ac:dyDescent="0.15"/>
    <row r="14831" spans="3:3" s="8" customFormat="1" ht="21.95" customHeight="1" x14ac:dyDescent="0.15"/>
    <row r="14832" spans="3:3" s="8" customFormat="1" ht="21.95" customHeight="1" x14ac:dyDescent="0.15">
      <c r="C14832" s="101"/>
    </row>
    <row r="14833" spans="3:3" s="8" customFormat="1" ht="21.95" customHeight="1" x14ac:dyDescent="0.15">
      <c r="C14833" s="101"/>
    </row>
    <row r="14834" spans="3:3" s="8" customFormat="1" ht="21.95" customHeight="1" x14ac:dyDescent="0.15"/>
    <row r="14835" spans="3:3" s="8" customFormat="1" ht="21.95" customHeight="1" x14ac:dyDescent="0.15"/>
    <row r="14836" spans="3:3" s="8" customFormat="1" ht="21.95" customHeight="1" x14ac:dyDescent="0.15"/>
    <row r="14837" spans="3:3" s="8" customFormat="1" ht="21.95" customHeight="1" x14ac:dyDescent="0.15"/>
    <row r="14838" spans="3:3" s="8" customFormat="1" ht="21.95" customHeight="1" x14ac:dyDescent="0.15"/>
    <row r="14839" spans="3:3" s="8" customFormat="1" ht="21.95" customHeight="1" x14ac:dyDescent="0.15"/>
    <row r="14840" spans="3:3" s="8" customFormat="1" ht="21.95" customHeight="1" x14ac:dyDescent="0.15"/>
    <row r="14841" spans="3:3" s="9" customFormat="1" ht="21.95" customHeight="1" x14ac:dyDescent="0.15"/>
    <row r="14842" spans="3:3" s="9" customFormat="1" ht="21.95" customHeight="1" x14ac:dyDescent="0.15"/>
    <row r="14843" spans="3:3" s="9" customFormat="1" ht="21.95" customHeight="1" x14ac:dyDescent="0.15"/>
    <row r="14844" spans="3:3" s="9" customFormat="1" ht="21.95" customHeight="1" x14ac:dyDescent="0.15"/>
    <row r="14845" spans="3:3" s="8" customFormat="1" ht="21.95" customHeight="1" x14ac:dyDescent="0.15"/>
    <row r="14846" spans="3:3" s="8" customFormat="1" ht="21.95" customHeight="1" x14ac:dyDescent="0.15"/>
    <row r="14847" spans="3:3" s="8" customFormat="1" ht="21.95" customHeight="1" x14ac:dyDescent="0.15"/>
    <row r="14848" spans="3:3" s="8" customFormat="1" ht="21.95" customHeight="1" x14ac:dyDescent="0.15"/>
    <row r="14849" s="8" customFormat="1" ht="21.95" customHeight="1" x14ac:dyDescent="0.15"/>
    <row r="14850" s="8" customFormat="1" ht="21.95" customHeight="1" x14ac:dyDescent="0.15"/>
    <row r="14851" s="8" customFormat="1" ht="21.95" customHeight="1" x14ac:dyDescent="0.15"/>
    <row r="14852" s="8" customFormat="1" ht="21.95" customHeight="1" x14ac:dyDescent="0.15"/>
    <row r="14853" s="8" customFormat="1" ht="21.95" customHeight="1" x14ac:dyDescent="0.15"/>
    <row r="14854" s="8" customFormat="1" ht="21.95" customHeight="1" x14ac:dyDescent="0.15"/>
    <row r="14855" s="8" customFormat="1" ht="21.95" customHeight="1" x14ac:dyDescent="0.15"/>
    <row r="14856" s="8" customFormat="1" ht="32.1" customHeight="1" x14ac:dyDescent="0.15"/>
    <row r="14857" s="8" customFormat="1" ht="32.1" customHeight="1" x14ac:dyDescent="0.15"/>
    <row r="14858" s="8" customFormat="1" ht="32.1" customHeight="1" x14ac:dyDescent="0.15"/>
    <row r="14859" s="8" customFormat="1" ht="32.1" customHeight="1" x14ac:dyDescent="0.15"/>
    <row r="14860" s="8" customFormat="1" ht="32.1" customHeight="1" x14ac:dyDescent="0.15"/>
    <row r="14861" s="8" customFormat="1" ht="32.1" customHeight="1" x14ac:dyDescent="0.15"/>
    <row r="14862" s="9" customFormat="1" ht="32.1" customHeight="1" x14ac:dyDescent="0.15"/>
    <row r="14863" s="9" customFormat="1" ht="32.1" customHeight="1" x14ac:dyDescent="0.15"/>
    <row r="14864" s="9" customFormat="1" ht="32.1" customHeight="1" x14ac:dyDescent="0.15"/>
    <row r="14865" s="9" customFormat="1" ht="32.1" customHeight="1" x14ac:dyDescent="0.15"/>
    <row r="14866" s="9" customFormat="1" ht="21.95" customHeight="1" x14ac:dyDescent="0.15"/>
    <row r="14867" s="9" customFormat="1" ht="54" customHeight="1" x14ac:dyDescent="0.15"/>
    <row r="14868" s="9" customFormat="1" ht="21.95" customHeight="1" x14ac:dyDescent="0.15"/>
    <row r="14869" s="9" customFormat="1" ht="21.95" customHeight="1" x14ac:dyDescent="0.15"/>
    <row r="14870" s="9" customFormat="1" ht="21.95" customHeight="1" x14ac:dyDescent="0.15"/>
    <row r="14871" s="9" customFormat="1" ht="21.95" customHeight="1" x14ac:dyDescent="0.15"/>
    <row r="14872" s="9" customFormat="1" ht="21.95" customHeight="1" x14ac:dyDescent="0.15"/>
    <row r="14873" s="9" customFormat="1" ht="21.95" customHeight="1" x14ac:dyDescent="0.15"/>
    <row r="14874" s="9" customFormat="1" ht="21.95" customHeight="1" x14ac:dyDescent="0.15"/>
    <row r="14875" s="9" customFormat="1" ht="21.95" customHeight="1" x14ac:dyDescent="0.15"/>
    <row r="14876" s="9" customFormat="1" ht="21.95" customHeight="1" x14ac:dyDescent="0.15"/>
    <row r="14877" s="9" customFormat="1" ht="21.95" customHeight="1" x14ac:dyDescent="0.15"/>
    <row r="14878" s="9" customFormat="1" ht="21.95" customHeight="1" x14ac:dyDescent="0.15"/>
    <row r="14879" s="9" customFormat="1" ht="21.95" customHeight="1" x14ac:dyDescent="0.15"/>
    <row r="14880" s="9" customFormat="1" ht="21.95" customHeight="1" x14ac:dyDescent="0.15"/>
    <row r="14881" s="9" customFormat="1" ht="21.95" customHeight="1" x14ac:dyDescent="0.15"/>
    <row r="14882" s="9" customFormat="1" ht="21.95" customHeight="1" x14ac:dyDescent="0.15"/>
    <row r="14883" s="9" customFormat="1" ht="21.95" customHeight="1" x14ac:dyDescent="0.15"/>
    <row r="14884" s="9" customFormat="1" ht="21.95" customHeight="1" x14ac:dyDescent="0.15"/>
    <row r="14885" s="9" customFormat="1" ht="21.95" customHeight="1" x14ac:dyDescent="0.15"/>
    <row r="14886" s="9" customFormat="1" ht="21.95" customHeight="1" x14ac:dyDescent="0.15"/>
    <row r="14887" s="9" customFormat="1" ht="21.95" customHeight="1" x14ac:dyDescent="0.15"/>
    <row r="14888" s="9" customFormat="1" ht="21.95" customHeight="1" x14ac:dyDescent="0.15"/>
    <row r="14889" s="9" customFormat="1" ht="21.95" customHeight="1" x14ac:dyDescent="0.15"/>
    <row r="14890" s="9" customFormat="1" ht="21.95" customHeight="1" x14ac:dyDescent="0.15"/>
    <row r="14891" s="9" customFormat="1" ht="21.95" customHeight="1" x14ac:dyDescent="0.15"/>
    <row r="14892" s="9" customFormat="1" ht="21.95" customHeight="1" x14ac:dyDescent="0.15"/>
    <row r="14893" s="9" customFormat="1" ht="21.95" customHeight="1" x14ac:dyDescent="0.15"/>
    <row r="14894" s="9" customFormat="1" ht="21.95" customHeight="1" x14ac:dyDescent="0.15"/>
    <row r="14895" s="9" customFormat="1" ht="21.95" customHeight="1" x14ac:dyDescent="0.15"/>
    <row r="14896" s="9" customFormat="1" ht="21.95" customHeight="1" x14ac:dyDescent="0.15"/>
    <row r="14897" s="9" customFormat="1" ht="21.95" customHeight="1" x14ac:dyDescent="0.15"/>
    <row r="14898" s="9" customFormat="1" ht="21.95" customHeight="1" x14ac:dyDescent="0.15"/>
    <row r="14899" s="9" customFormat="1" ht="21.95" customHeight="1" x14ac:dyDescent="0.15"/>
    <row r="14900" s="9" customFormat="1" ht="21.95" customHeight="1" x14ac:dyDescent="0.15"/>
    <row r="14901" s="9" customFormat="1" ht="21.95" customHeight="1" x14ac:dyDescent="0.15"/>
    <row r="14902" s="9" customFormat="1" ht="21.95" customHeight="1" x14ac:dyDescent="0.15"/>
    <row r="14903" s="9" customFormat="1" ht="21.95" customHeight="1" x14ac:dyDescent="0.15"/>
    <row r="14904" s="9" customFormat="1" ht="21.95" customHeight="1" x14ac:dyDescent="0.15"/>
    <row r="14905" s="9" customFormat="1" ht="21.95" customHeight="1" x14ac:dyDescent="0.15"/>
    <row r="14906" s="9" customFormat="1" ht="21.95" customHeight="1" x14ac:dyDescent="0.15"/>
    <row r="14907" s="9" customFormat="1" ht="21.95" customHeight="1" x14ac:dyDescent="0.15"/>
    <row r="14908" s="9" customFormat="1" ht="21.95" customHeight="1" x14ac:dyDescent="0.15"/>
    <row r="14909" s="9" customFormat="1" ht="21.95" customHeight="1" x14ac:dyDescent="0.15"/>
    <row r="14910" s="9" customFormat="1" ht="21.95" customHeight="1" x14ac:dyDescent="0.15"/>
    <row r="14911" s="9" customFormat="1" ht="21.95" customHeight="1" x14ac:dyDescent="0.15"/>
    <row r="14912" s="9" customFormat="1" ht="21.95" customHeight="1" x14ac:dyDescent="0.15"/>
    <row r="14913" s="9" customFormat="1" ht="21.95" customHeight="1" x14ac:dyDescent="0.15"/>
    <row r="14914" s="9" customFormat="1" ht="21.95" customHeight="1" x14ac:dyDescent="0.15"/>
    <row r="14915" s="9" customFormat="1" ht="21.95" customHeight="1" x14ac:dyDescent="0.15"/>
    <row r="14916" s="9" customFormat="1" ht="21.95" customHeight="1" x14ac:dyDescent="0.15"/>
    <row r="14917" s="9" customFormat="1" ht="21.95" customHeight="1" x14ac:dyDescent="0.15"/>
    <row r="14918" s="9" customFormat="1" ht="35.1" customHeight="1" x14ac:dyDescent="0.15"/>
    <row r="14919" s="9" customFormat="1" ht="21.95" customHeight="1" x14ac:dyDescent="0.15"/>
    <row r="14920" s="9" customFormat="1" ht="21.95" customHeight="1" x14ac:dyDescent="0.15"/>
    <row r="14921" s="9" customFormat="1" ht="21.95" customHeight="1" x14ac:dyDescent="0.15"/>
    <row r="14922" s="9" customFormat="1" ht="21.95" customHeight="1" x14ac:dyDescent="0.15"/>
    <row r="14923" s="9" customFormat="1" ht="21.95" customHeight="1" x14ac:dyDescent="0.15"/>
    <row r="14924" s="9" customFormat="1" ht="21.95" customHeight="1" x14ac:dyDescent="0.15"/>
    <row r="14925" s="9" customFormat="1" ht="21.95" customHeight="1" x14ac:dyDescent="0.15"/>
    <row r="14926" s="9" customFormat="1" ht="21.95" customHeight="1" x14ac:dyDescent="0.15"/>
    <row r="14927" s="9" customFormat="1" ht="21.95" customHeight="1" x14ac:dyDescent="0.15"/>
    <row r="14928" s="9" customFormat="1" ht="21.95" customHeight="1" x14ac:dyDescent="0.15"/>
    <row r="14929" spans="3:3" s="9" customFormat="1" ht="21.95" customHeight="1" x14ac:dyDescent="0.15"/>
    <row r="14930" spans="3:3" s="9" customFormat="1" ht="21.95" customHeight="1" x14ac:dyDescent="0.15"/>
    <row r="14931" spans="3:3" s="9" customFormat="1" ht="21.95" customHeight="1" x14ac:dyDescent="0.15"/>
    <row r="14932" spans="3:3" s="9" customFormat="1" ht="21.95" customHeight="1" x14ac:dyDescent="0.15"/>
    <row r="14933" spans="3:3" s="9" customFormat="1" ht="21.95" customHeight="1" x14ac:dyDescent="0.15"/>
    <row r="14934" spans="3:3" s="9" customFormat="1" ht="21.95" customHeight="1" x14ac:dyDescent="0.15"/>
    <row r="14935" spans="3:3" s="9" customFormat="1" ht="21.95" customHeight="1" x14ac:dyDescent="0.15"/>
    <row r="14936" spans="3:3" s="9" customFormat="1" ht="21.95" customHeight="1" x14ac:dyDescent="0.15"/>
    <row r="14937" spans="3:3" s="9" customFormat="1" ht="21.95" customHeight="1" x14ac:dyDescent="0.15"/>
    <row r="14938" spans="3:3" s="9" customFormat="1" ht="21.95" customHeight="1" x14ac:dyDescent="0.15"/>
    <row r="14939" spans="3:3" s="9" customFormat="1" ht="21.95" customHeight="1" x14ac:dyDescent="0.15"/>
    <row r="14940" spans="3:3" s="9" customFormat="1" ht="21.95" customHeight="1" x14ac:dyDescent="0.15"/>
    <row r="14941" spans="3:3" s="9" customFormat="1" ht="21.95" customHeight="1" x14ac:dyDescent="0.15"/>
    <row r="14942" spans="3:3" s="8" customFormat="1" ht="21.95" customHeight="1" x14ac:dyDescent="0.15"/>
    <row r="14943" spans="3:3" s="8" customFormat="1" ht="21.95" customHeight="1" x14ac:dyDescent="0.15"/>
    <row r="14944" spans="3:3" s="8" customFormat="1" ht="21.95" customHeight="1" x14ac:dyDescent="0.15">
      <c r="C14944" s="101"/>
    </row>
    <row r="14945" spans="3:3" s="8" customFormat="1" ht="21.95" customHeight="1" x14ac:dyDescent="0.15">
      <c r="C14945" s="101"/>
    </row>
    <row r="14946" spans="3:3" s="8" customFormat="1" ht="21.95" customHeight="1" x14ac:dyDescent="0.15"/>
    <row r="14947" spans="3:3" s="8" customFormat="1" ht="21.95" customHeight="1" x14ac:dyDescent="0.15"/>
    <row r="14948" spans="3:3" s="8" customFormat="1" ht="21.95" customHeight="1" x14ac:dyDescent="0.15"/>
    <row r="14949" spans="3:3" s="8" customFormat="1" ht="21.95" customHeight="1" x14ac:dyDescent="0.15"/>
    <row r="14950" spans="3:3" s="8" customFormat="1" ht="21.95" customHeight="1" x14ac:dyDescent="0.15"/>
    <row r="14951" spans="3:3" s="8" customFormat="1" ht="21.95" customHeight="1" x14ac:dyDescent="0.15"/>
    <row r="14952" spans="3:3" s="8" customFormat="1" ht="21.95" customHeight="1" x14ac:dyDescent="0.15"/>
    <row r="14953" spans="3:3" s="9" customFormat="1" ht="21.95" customHeight="1" x14ac:dyDescent="0.15"/>
    <row r="14954" spans="3:3" s="9" customFormat="1" ht="21.95" customHeight="1" x14ac:dyDescent="0.15"/>
    <row r="14955" spans="3:3" s="9" customFormat="1" ht="21.95" customHeight="1" x14ac:dyDescent="0.15"/>
    <row r="14956" spans="3:3" s="9" customFormat="1" ht="21.95" customHeight="1" x14ac:dyDescent="0.15"/>
    <row r="14957" spans="3:3" s="8" customFormat="1" ht="21.95" customHeight="1" x14ac:dyDescent="0.15"/>
    <row r="14958" spans="3:3" s="8" customFormat="1" ht="21.95" customHeight="1" x14ac:dyDescent="0.15"/>
    <row r="14959" spans="3:3" s="8" customFormat="1" ht="21.95" customHeight="1" x14ac:dyDescent="0.15"/>
    <row r="14960" spans="3:3" s="8" customFormat="1" ht="21.95" customHeight="1" x14ac:dyDescent="0.15"/>
    <row r="14961" s="8" customFormat="1" ht="21.95" customHeight="1" x14ac:dyDescent="0.15"/>
    <row r="14962" s="8" customFormat="1" ht="21.95" customHeight="1" x14ac:dyDescent="0.15"/>
    <row r="14963" s="8" customFormat="1" ht="21.95" customHeight="1" x14ac:dyDescent="0.15"/>
    <row r="14964" s="8" customFormat="1" ht="21.95" customHeight="1" x14ac:dyDescent="0.15"/>
    <row r="14965" s="8" customFormat="1" ht="21.95" customHeight="1" x14ac:dyDescent="0.15"/>
    <row r="14966" s="8" customFormat="1" ht="21.95" customHeight="1" x14ac:dyDescent="0.15"/>
    <row r="14967" s="8" customFormat="1" ht="21.95" customHeight="1" x14ac:dyDescent="0.15"/>
    <row r="14968" s="8" customFormat="1" ht="32.1" customHeight="1" x14ac:dyDescent="0.15"/>
    <row r="14969" s="8" customFormat="1" ht="32.1" customHeight="1" x14ac:dyDescent="0.15"/>
    <row r="14970" s="8" customFormat="1" ht="32.1" customHeight="1" x14ac:dyDescent="0.15"/>
    <row r="14971" s="8" customFormat="1" ht="32.1" customHeight="1" x14ac:dyDescent="0.15"/>
    <row r="14972" s="8" customFormat="1" ht="32.1" customHeight="1" x14ac:dyDescent="0.15"/>
    <row r="14973" s="8" customFormat="1" ht="32.1" customHeight="1" x14ac:dyDescent="0.15"/>
    <row r="14974" s="9" customFormat="1" ht="32.1" customHeight="1" x14ac:dyDescent="0.15"/>
    <row r="14975" s="9" customFormat="1" ht="32.1" customHeight="1" x14ac:dyDescent="0.15"/>
    <row r="14976" s="9" customFormat="1" ht="32.1" customHeight="1" x14ac:dyDescent="0.15"/>
    <row r="14977" s="9" customFormat="1" ht="32.1" customHeight="1" x14ac:dyDescent="0.15"/>
    <row r="14978" s="9" customFormat="1" ht="21.95" customHeight="1" x14ac:dyDescent="0.15"/>
    <row r="14979" s="9" customFormat="1" ht="54" customHeight="1" x14ac:dyDescent="0.15"/>
    <row r="14980" s="9" customFormat="1" ht="21.95" customHeight="1" x14ac:dyDescent="0.15"/>
    <row r="14981" s="9" customFormat="1" ht="21.95" customHeight="1" x14ac:dyDescent="0.15"/>
    <row r="14982" s="9" customFormat="1" ht="21.95" customHeight="1" x14ac:dyDescent="0.15"/>
    <row r="14983" s="9" customFormat="1" ht="21.95" customHeight="1" x14ac:dyDescent="0.15"/>
    <row r="14984" s="9" customFormat="1" ht="21.95" customHeight="1" x14ac:dyDescent="0.15"/>
    <row r="14985" s="9" customFormat="1" ht="21.95" customHeight="1" x14ac:dyDescent="0.15"/>
    <row r="14986" s="9" customFormat="1" ht="21.95" customHeight="1" x14ac:dyDescent="0.15"/>
    <row r="14987" s="9" customFormat="1" ht="21.95" customHeight="1" x14ac:dyDescent="0.15"/>
    <row r="14988" s="9" customFormat="1" ht="21.95" customHeight="1" x14ac:dyDescent="0.15"/>
    <row r="14989" s="9" customFormat="1" ht="21.95" customHeight="1" x14ac:dyDescent="0.15"/>
    <row r="14990" s="9" customFormat="1" ht="21.95" customHeight="1" x14ac:dyDescent="0.15"/>
    <row r="14991" s="9" customFormat="1" ht="21.95" customHeight="1" x14ac:dyDescent="0.15"/>
    <row r="14992" s="9" customFormat="1" ht="21.95" customHeight="1" x14ac:dyDescent="0.15"/>
    <row r="14993" s="9" customFormat="1" ht="21.95" customHeight="1" x14ac:dyDescent="0.15"/>
    <row r="14994" s="9" customFormat="1" ht="21.95" customHeight="1" x14ac:dyDescent="0.15"/>
    <row r="14995" s="9" customFormat="1" ht="21.95" customHeight="1" x14ac:dyDescent="0.15"/>
    <row r="14996" s="9" customFormat="1" ht="21.95" customHeight="1" x14ac:dyDescent="0.15"/>
    <row r="14997" s="9" customFormat="1" ht="21.95" customHeight="1" x14ac:dyDescent="0.15"/>
    <row r="14998" s="9" customFormat="1" ht="21.95" customHeight="1" x14ac:dyDescent="0.15"/>
    <row r="14999" s="9" customFormat="1" ht="21.95" customHeight="1" x14ac:dyDescent="0.15"/>
    <row r="15000" s="9" customFormat="1" ht="21.95" customHeight="1" x14ac:dyDescent="0.15"/>
    <row r="15001" s="9" customFormat="1" ht="21.95" customHeight="1" x14ac:dyDescent="0.15"/>
    <row r="15002" s="9" customFormat="1" ht="21.95" customHeight="1" x14ac:dyDescent="0.15"/>
    <row r="15003" s="9" customFormat="1" ht="21.95" customHeight="1" x14ac:dyDescent="0.15"/>
    <row r="15004" s="9" customFormat="1" ht="21.95" customHeight="1" x14ac:dyDescent="0.15"/>
    <row r="15005" s="9" customFormat="1" ht="21.95" customHeight="1" x14ac:dyDescent="0.15"/>
    <row r="15006" s="9" customFormat="1" ht="21.95" customHeight="1" x14ac:dyDescent="0.15"/>
    <row r="15007" s="9" customFormat="1" ht="21.95" customHeight="1" x14ac:dyDescent="0.15"/>
    <row r="15008" s="9" customFormat="1" ht="21.95" customHeight="1" x14ac:dyDescent="0.15"/>
    <row r="15009" s="9" customFormat="1" ht="21.95" customHeight="1" x14ac:dyDescent="0.15"/>
    <row r="15010" s="9" customFormat="1" ht="21.95" customHeight="1" x14ac:dyDescent="0.15"/>
    <row r="15011" s="9" customFormat="1" ht="21.95" customHeight="1" x14ac:dyDescent="0.15"/>
    <row r="15012" s="9" customFormat="1" ht="21.95" customHeight="1" x14ac:dyDescent="0.15"/>
    <row r="15013" s="9" customFormat="1" ht="21.95" customHeight="1" x14ac:dyDescent="0.15"/>
    <row r="15014" s="9" customFormat="1" ht="21.95" customHeight="1" x14ac:dyDescent="0.15"/>
    <row r="15015" s="9" customFormat="1" ht="21.95" customHeight="1" x14ac:dyDescent="0.15"/>
    <row r="15016" s="9" customFormat="1" ht="21.95" customHeight="1" x14ac:dyDescent="0.15"/>
    <row r="15017" s="9" customFormat="1" ht="21.95" customHeight="1" x14ac:dyDescent="0.15"/>
    <row r="15018" s="9" customFormat="1" ht="21.95" customHeight="1" x14ac:dyDescent="0.15"/>
    <row r="15019" s="9" customFormat="1" ht="21.95" customHeight="1" x14ac:dyDescent="0.15"/>
    <row r="15020" s="9" customFormat="1" ht="21.95" customHeight="1" x14ac:dyDescent="0.15"/>
    <row r="15021" s="9" customFormat="1" ht="21.95" customHeight="1" x14ac:dyDescent="0.15"/>
    <row r="15022" s="9" customFormat="1" ht="21.95" customHeight="1" x14ac:dyDescent="0.15"/>
    <row r="15023" s="9" customFormat="1" ht="21.95" customHeight="1" x14ac:dyDescent="0.15"/>
    <row r="15024" s="9" customFormat="1" ht="21.95" customHeight="1" x14ac:dyDescent="0.15"/>
    <row r="15025" s="9" customFormat="1" ht="21.95" customHeight="1" x14ac:dyDescent="0.15"/>
    <row r="15026" s="9" customFormat="1" ht="21.95" customHeight="1" x14ac:dyDescent="0.15"/>
    <row r="15027" s="9" customFormat="1" ht="21.95" customHeight="1" x14ac:dyDescent="0.15"/>
    <row r="15028" s="9" customFormat="1" ht="21.95" customHeight="1" x14ac:dyDescent="0.15"/>
    <row r="15029" s="9" customFormat="1" ht="21.95" customHeight="1" x14ac:dyDescent="0.15"/>
    <row r="15030" s="9" customFormat="1" ht="35.1" customHeight="1" x14ac:dyDescent="0.15"/>
    <row r="15031" s="9" customFormat="1" ht="21.95" customHeight="1" x14ac:dyDescent="0.15"/>
    <row r="15032" s="9" customFormat="1" ht="21.95" customHeight="1" x14ac:dyDescent="0.15"/>
    <row r="15033" s="9" customFormat="1" ht="21.95" customHeight="1" x14ac:dyDescent="0.15"/>
    <row r="15034" s="9" customFormat="1" ht="21.95" customHeight="1" x14ac:dyDescent="0.15"/>
    <row r="15035" s="9" customFormat="1" ht="21.95" customHeight="1" x14ac:dyDescent="0.15"/>
    <row r="15036" s="9" customFormat="1" ht="21.95" customHeight="1" x14ac:dyDescent="0.15"/>
    <row r="15037" s="9" customFormat="1" ht="21.95" customHeight="1" x14ac:dyDescent="0.15"/>
    <row r="15038" s="9" customFormat="1" ht="21.95" customHeight="1" x14ac:dyDescent="0.15"/>
    <row r="15039" s="9" customFormat="1" ht="21.95" customHeight="1" x14ac:dyDescent="0.15"/>
    <row r="15040" s="9" customFormat="1" ht="21.95" customHeight="1" x14ac:dyDescent="0.15"/>
    <row r="15041" spans="3:3" s="9" customFormat="1" ht="21.95" customHeight="1" x14ac:dyDescent="0.15"/>
    <row r="15042" spans="3:3" s="9" customFormat="1" ht="21.95" customHeight="1" x14ac:dyDescent="0.15"/>
    <row r="15043" spans="3:3" s="9" customFormat="1" ht="21.95" customHeight="1" x14ac:dyDescent="0.15"/>
    <row r="15044" spans="3:3" s="9" customFormat="1" ht="21.95" customHeight="1" x14ac:dyDescent="0.15"/>
    <row r="15045" spans="3:3" s="9" customFormat="1" ht="21.95" customHeight="1" x14ac:dyDescent="0.15"/>
    <row r="15046" spans="3:3" s="9" customFormat="1" ht="21.95" customHeight="1" x14ac:dyDescent="0.15"/>
    <row r="15047" spans="3:3" s="9" customFormat="1" ht="21.95" customHeight="1" x14ac:dyDescent="0.15"/>
    <row r="15048" spans="3:3" s="9" customFormat="1" ht="21.95" customHeight="1" x14ac:dyDescent="0.15"/>
    <row r="15049" spans="3:3" s="9" customFormat="1" ht="21.95" customHeight="1" x14ac:dyDescent="0.15"/>
    <row r="15050" spans="3:3" s="9" customFormat="1" ht="21.95" customHeight="1" x14ac:dyDescent="0.15"/>
    <row r="15051" spans="3:3" s="9" customFormat="1" ht="21.95" customHeight="1" x14ac:dyDescent="0.15"/>
    <row r="15052" spans="3:3" s="9" customFormat="1" ht="21.95" customHeight="1" x14ac:dyDescent="0.15"/>
    <row r="15053" spans="3:3" s="9" customFormat="1" ht="21.95" customHeight="1" x14ac:dyDescent="0.15"/>
    <row r="15054" spans="3:3" s="8" customFormat="1" ht="21.95" customHeight="1" x14ac:dyDescent="0.15"/>
    <row r="15055" spans="3:3" s="8" customFormat="1" ht="21.95" customHeight="1" x14ac:dyDescent="0.15"/>
    <row r="15056" spans="3:3" s="8" customFormat="1" ht="21.95" customHeight="1" x14ac:dyDescent="0.15">
      <c r="C15056" s="101"/>
    </row>
    <row r="15057" spans="3:3" s="8" customFormat="1" ht="21.95" customHeight="1" x14ac:dyDescent="0.15">
      <c r="C15057" s="101"/>
    </row>
    <row r="15058" spans="3:3" s="8" customFormat="1" ht="21.95" customHeight="1" x14ac:dyDescent="0.15"/>
    <row r="15059" spans="3:3" s="8" customFormat="1" ht="21.95" customHeight="1" x14ac:dyDescent="0.15"/>
    <row r="15060" spans="3:3" s="8" customFormat="1" ht="21.95" customHeight="1" x14ac:dyDescent="0.15"/>
    <row r="15061" spans="3:3" s="8" customFormat="1" ht="21.95" customHeight="1" x14ac:dyDescent="0.15"/>
    <row r="15062" spans="3:3" s="8" customFormat="1" ht="21.95" customHeight="1" x14ac:dyDescent="0.15"/>
    <row r="15063" spans="3:3" s="8" customFormat="1" ht="21.95" customHeight="1" x14ac:dyDescent="0.15"/>
    <row r="15064" spans="3:3" s="8" customFormat="1" ht="21.95" customHeight="1" x14ac:dyDescent="0.15"/>
    <row r="15065" spans="3:3" s="9" customFormat="1" ht="21.95" customHeight="1" x14ac:dyDescent="0.15"/>
    <row r="15066" spans="3:3" s="9" customFormat="1" ht="21.95" customHeight="1" x14ac:dyDescent="0.15"/>
    <row r="15067" spans="3:3" s="9" customFormat="1" ht="21.95" customHeight="1" x14ac:dyDescent="0.15"/>
    <row r="15068" spans="3:3" s="9" customFormat="1" ht="21.95" customHeight="1" x14ac:dyDescent="0.15"/>
    <row r="15069" spans="3:3" s="8" customFormat="1" ht="21.95" customHeight="1" x14ac:dyDescent="0.15"/>
    <row r="15070" spans="3:3" s="8" customFormat="1" ht="21.95" customHeight="1" x14ac:dyDescent="0.15"/>
    <row r="15071" spans="3:3" s="8" customFormat="1" ht="21.95" customHeight="1" x14ac:dyDescent="0.15"/>
    <row r="15072" spans="3:3" s="8" customFormat="1" ht="21.95" customHeight="1" x14ac:dyDescent="0.15"/>
    <row r="15073" s="8" customFormat="1" ht="21.95" customHeight="1" x14ac:dyDescent="0.15"/>
    <row r="15074" s="8" customFormat="1" ht="21.95" customHeight="1" x14ac:dyDescent="0.15"/>
    <row r="15075" s="8" customFormat="1" ht="21.95" customHeight="1" x14ac:dyDescent="0.15"/>
    <row r="15076" s="8" customFormat="1" ht="21.95" customHeight="1" x14ac:dyDescent="0.15"/>
    <row r="15077" s="8" customFormat="1" ht="21.95" customHeight="1" x14ac:dyDescent="0.15"/>
    <row r="15078" s="8" customFormat="1" ht="21.95" customHeight="1" x14ac:dyDescent="0.15"/>
    <row r="15079" s="8" customFormat="1" ht="21.95" customHeight="1" x14ac:dyDescent="0.15"/>
    <row r="15080" s="8" customFormat="1" ht="32.1" customHeight="1" x14ac:dyDescent="0.15"/>
    <row r="15081" s="8" customFormat="1" ht="32.1" customHeight="1" x14ac:dyDescent="0.15"/>
    <row r="15082" s="8" customFormat="1" ht="32.1" customHeight="1" x14ac:dyDescent="0.15"/>
    <row r="15083" s="8" customFormat="1" ht="32.1" customHeight="1" x14ac:dyDescent="0.15"/>
    <row r="15084" s="8" customFormat="1" ht="32.1" customHeight="1" x14ac:dyDescent="0.15"/>
    <row r="15085" s="8" customFormat="1" ht="32.1" customHeight="1" x14ac:dyDescent="0.15"/>
    <row r="15086" s="9" customFormat="1" ht="32.1" customHeight="1" x14ac:dyDescent="0.15"/>
    <row r="15087" s="9" customFormat="1" ht="32.1" customHeight="1" x14ac:dyDescent="0.15"/>
    <row r="15088" s="9" customFormat="1" ht="32.1" customHeight="1" x14ac:dyDescent="0.15"/>
    <row r="15089" s="9" customFormat="1" ht="32.1" customHeight="1" x14ac:dyDescent="0.15"/>
    <row r="15090" s="9" customFormat="1" ht="21.95" customHeight="1" x14ac:dyDescent="0.15"/>
    <row r="15091" s="9" customFormat="1" ht="54" customHeight="1" x14ac:dyDescent="0.15"/>
    <row r="15092" s="9" customFormat="1" ht="21.95" customHeight="1" x14ac:dyDescent="0.15"/>
    <row r="15093" s="9" customFormat="1" ht="21.95" customHeight="1" x14ac:dyDescent="0.15"/>
    <row r="15094" s="9" customFormat="1" ht="21.95" customHeight="1" x14ac:dyDescent="0.15"/>
    <row r="15095" s="9" customFormat="1" ht="21.95" customHeight="1" x14ac:dyDescent="0.15"/>
    <row r="15096" s="9" customFormat="1" ht="21.95" customHeight="1" x14ac:dyDescent="0.15"/>
    <row r="15097" s="9" customFormat="1" ht="21.95" customHeight="1" x14ac:dyDescent="0.15"/>
    <row r="15098" s="9" customFormat="1" ht="21.95" customHeight="1" x14ac:dyDescent="0.15"/>
    <row r="15099" s="9" customFormat="1" ht="21.95" customHeight="1" x14ac:dyDescent="0.15"/>
    <row r="15100" s="9" customFormat="1" ht="21.95" customHeight="1" x14ac:dyDescent="0.15"/>
    <row r="15101" s="9" customFormat="1" ht="21.95" customHeight="1" x14ac:dyDescent="0.15"/>
    <row r="15102" s="9" customFormat="1" ht="21.95" customHeight="1" x14ac:dyDescent="0.15"/>
    <row r="15103" s="9" customFormat="1" ht="21.95" customHeight="1" x14ac:dyDescent="0.15"/>
    <row r="15104" s="9" customFormat="1" ht="21.95" customHeight="1" x14ac:dyDescent="0.15"/>
    <row r="15105" s="9" customFormat="1" ht="21.95" customHeight="1" x14ac:dyDescent="0.15"/>
    <row r="15106" s="9" customFormat="1" ht="21.95" customHeight="1" x14ac:dyDescent="0.15"/>
    <row r="15107" s="9" customFormat="1" ht="21.95" customHeight="1" x14ac:dyDescent="0.15"/>
    <row r="15108" s="9" customFormat="1" ht="21.95" customHeight="1" x14ac:dyDescent="0.15"/>
    <row r="15109" s="9" customFormat="1" ht="21.95" customHeight="1" x14ac:dyDescent="0.15"/>
    <row r="15110" s="9" customFormat="1" ht="21.95" customHeight="1" x14ac:dyDescent="0.15"/>
    <row r="15111" s="9" customFormat="1" ht="21.95" customHeight="1" x14ac:dyDescent="0.15"/>
    <row r="15112" s="9" customFormat="1" ht="21.95" customHeight="1" x14ac:dyDescent="0.15"/>
    <row r="15113" s="9" customFormat="1" ht="21.95" customHeight="1" x14ac:dyDescent="0.15"/>
    <row r="15114" s="9" customFormat="1" ht="21.95" customHeight="1" x14ac:dyDescent="0.15"/>
    <row r="15115" s="9" customFormat="1" ht="21.95" customHeight="1" x14ac:dyDescent="0.15"/>
    <row r="15116" s="9" customFormat="1" ht="21.95" customHeight="1" x14ac:dyDescent="0.15"/>
    <row r="15117" s="9" customFormat="1" ht="21.95" customHeight="1" x14ac:dyDescent="0.15"/>
    <row r="15118" s="9" customFormat="1" ht="21.95" customHeight="1" x14ac:dyDescent="0.15"/>
    <row r="15119" s="9" customFormat="1" ht="21.95" customHeight="1" x14ac:dyDescent="0.15"/>
    <row r="15120" s="9" customFormat="1" ht="21.95" customHeight="1" x14ac:dyDescent="0.15"/>
    <row r="15121" s="9" customFormat="1" ht="21.95" customHeight="1" x14ac:dyDescent="0.15"/>
    <row r="15122" s="9" customFormat="1" ht="21.95" customHeight="1" x14ac:dyDescent="0.15"/>
    <row r="15123" s="9" customFormat="1" ht="21.95" customHeight="1" x14ac:dyDescent="0.15"/>
    <row r="15124" s="9" customFormat="1" ht="21.95" customHeight="1" x14ac:dyDescent="0.15"/>
    <row r="15125" s="9" customFormat="1" ht="21.95" customHeight="1" x14ac:dyDescent="0.15"/>
    <row r="15126" s="9" customFormat="1" ht="21.95" customHeight="1" x14ac:dyDescent="0.15"/>
    <row r="15127" s="9" customFormat="1" ht="21.95" customHeight="1" x14ac:dyDescent="0.15"/>
    <row r="15128" s="9" customFormat="1" ht="21.95" customHeight="1" x14ac:dyDescent="0.15"/>
    <row r="15129" s="9" customFormat="1" ht="21.95" customHeight="1" x14ac:dyDescent="0.15"/>
    <row r="15130" s="9" customFormat="1" ht="21.95" customHeight="1" x14ac:dyDescent="0.15"/>
    <row r="15131" s="9" customFormat="1" ht="21.95" customHeight="1" x14ac:dyDescent="0.15"/>
    <row r="15132" s="9" customFormat="1" ht="21.95" customHeight="1" x14ac:dyDescent="0.15"/>
    <row r="15133" s="9" customFormat="1" ht="21.95" customHeight="1" x14ac:dyDescent="0.15"/>
    <row r="15134" s="9" customFormat="1" ht="21.95" customHeight="1" x14ac:dyDescent="0.15"/>
    <row r="15135" s="9" customFormat="1" ht="21.95" customHeight="1" x14ac:dyDescent="0.15"/>
    <row r="15136" s="9" customFormat="1" ht="21.95" customHeight="1" x14ac:dyDescent="0.15"/>
    <row r="15137" s="9" customFormat="1" ht="21.95" customHeight="1" x14ac:dyDescent="0.15"/>
    <row r="15138" s="9" customFormat="1" ht="21.95" customHeight="1" x14ac:dyDescent="0.15"/>
    <row r="15139" s="9" customFormat="1" ht="21.95" customHeight="1" x14ac:dyDescent="0.15"/>
    <row r="15140" s="9" customFormat="1" ht="21.95" customHeight="1" x14ac:dyDescent="0.15"/>
    <row r="15141" s="9" customFormat="1" ht="21.95" customHeight="1" x14ac:dyDescent="0.15"/>
    <row r="15142" s="9" customFormat="1" ht="35.1" customHeight="1" x14ac:dyDescent="0.15"/>
    <row r="15143" s="9" customFormat="1" ht="21.95" customHeight="1" x14ac:dyDescent="0.15"/>
    <row r="15144" s="9" customFormat="1" ht="21.95" customHeight="1" x14ac:dyDescent="0.15"/>
    <row r="15145" s="9" customFormat="1" ht="21.95" customHeight="1" x14ac:dyDescent="0.15"/>
    <row r="15146" s="9" customFormat="1" ht="21.95" customHeight="1" x14ac:dyDescent="0.15"/>
    <row r="15147" s="9" customFormat="1" ht="21.95" customHeight="1" x14ac:dyDescent="0.15"/>
    <row r="15148" s="9" customFormat="1" ht="21.95" customHeight="1" x14ac:dyDescent="0.15"/>
    <row r="15149" s="9" customFormat="1" ht="21.95" customHeight="1" x14ac:dyDescent="0.15"/>
    <row r="15150" s="9" customFormat="1" ht="21.95" customHeight="1" x14ac:dyDescent="0.15"/>
    <row r="15151" s="9" customFormat="1" ht="21.95" customHeight="1" x14ac:dyDescent="0.15"/>
    <row r="15152" s="9" customFormat="1" ht="21.95" customHeight="1" x14ac:dyDescent="0.15"/>
    <row r="15153" spans="3:3" s="9" customFormat="1" ht="21.95" customHeight="1" x14ac:dyDescent="0.15"/>
    <row r="15154" spans="3:3" s="9" customFormat="1" ht="21.95" customHeight="1" x14ac:dyDescent="0.15"/>
    <row r="15155" spans="3:3" s="9" customFormat="1" ht="21.95" customHeight="1" x14ac:dyDescent="0.15"/>
    <row r="15156" spans="3:3" s="9" customFormat="1" ht="21.95" customHeight="1" x14ac:dyDescent="0.15"/>
    <row r="15157" spans="3:3" s="9" customFormat="1" ht="21.95" customHeight="1" x14ac:dyDescent="0.15"/>
    <row r="15158" spans="3:3" s="9" customFormat="1" ht="21.95" customHeight="1" x14ac:dyDescent="0.15"/>
    <row r="15159" spans="3:3" s="9" customFormat="1" ht="21.95" customHeight="1" x14ac:dyDescent="0.15"/>
    <row r="15160" spans="3:3" s="9" customFormat="1" ht="21.95" customHeight="1" x14ac:dyDescent="0.15"/>
    <row r="15161" spans="3:3" s="9" customFormat="1" ht="21.95" customHeight="1" x14ac:dyDescent="0.15"/>
    <row r="15162" spans="3:3" s="9" customFormat="1" ht="21.95" customHeight="1" x14ac:dyDescent="0.15"/>
    <row r="15163" spans="3:3" s="9" customFormat="1" ht="21.95" customHeight="1" x14ac:dyDescent="0.15"/>
    <row r="15164" spans="3:3" s="9" customFormat="1" ht="21.95" customHeight="1" x14ac:dyDescent="0.15"/>
    <row r="15165" spans="3:3" s="9" customFormat="1" ht="21.95" customHeight="1" x14ac:dyDescent="0.15"/>
    <row r="15166" spans="3:3" s="8" customFormat="1" ht="21.95" customHeight="1" x14ac:dyDescent="0.15"/>
    <row r="15167" spans="3:3" s="8" customFormat="1" ht="21.95" customHeight="1" x14ac:dyDescent="0.15"/>
    <row r="15168" spans="3:3" s="8" customFormat="1" ht="21.95" customHeight="1" x14ac:dyDescent="0.15">
      <c r="C15168" s="101"/>
    </row>
    <row r="15169" spans="3:3" s="8" customFormat="1" ht="21.95" customHeight="1" x14ac:dyDescent="0.15">
      <c r="C15169" s="101"/>
    </row>
    <row r="15170" spans="3:3" s="8" customFormat="1" ht="21.95" customHeight="1" x14ac:dyDescent="0.15"/>
    <row r="15171" spans="3:3" s="8" customFormat="1" ht="21.95" customHeight="1" x14ac:dyDescent="0.15"/>
    <row r="15172" spans="3:3" s="8" customFormat="1" ht="21.95" customHeight="1" x14ac:dyDescent="0.15"/>
    <row r="15173" spans="3:3" s="8" customFormat="1" ht="21.95" customHeight="1" x14ac:dyDescent="0.15"/>
    <row r="15174" spans="3:3" s="8" customFormat="1" ht="21.95" customHeight="1" x14ac:dyDescent="0.15"/>
    <row r="15175" spans="3:3" s="8" customFormat="1" ht="21.95" customHeight="1" x14ac:dyDescent="0.15"/>
    <row r="15176" spans="3:3" s="8" customFormat="1" ht="21.95" customHeight="1" x14ac:dyDescent="0.15"/>
    <row r="15177" spans="3:3" s="9" customFormat="1" ht="21.95" customHeight="1" x14ac:dyDescent="0.15"/>
    <row r="15178" spans="3:3" s="9" customFormat="1" ht="21.95" customHeight="1" x14ac:dyDescent="0.15"/>
    <row r="15179" spans="3:3" s="9" customFormat="1" ht="21.95" customHeight="1" x14ac:dyDescent="0.15"/>
    <row r="15180" spans="3:3" s="9" customFormat="1" ht="21.95" customHeight="1" x14ac:dyDescent="0.15"/>
    <row r="15181" spans="3:3" s="8" customFormat="1" ht="21.95" customHeight="1" x14ac:dyDescent="0.15"/>
    <row r="15182" spans="3:3" s="8" customFormat="1" ht="21.95" customHeight="1" x14ac:dyDescent="0.15"/>
    <row r="15183" spans="3:3" s="8" customFormat="1" ht="21.95" customHeight="1" x14ac:dyDescent="0.15"/>
    <row r="15184" spans="3:3" s="8" customFormat="1" ht="21.95" customHeight="1" x14ac:dyDescent="0.15"/>
    <row r="15185" s="8" customFormat="1" ht="21.95" customHeight="1" x14ac:dyDescent="0.15"/>
    <row r="15186" s="8" customFormat="1" ht="21.95" customHeight="1" x14ac:dyDescent="0.15"/>
    <row r="15187" s="8" customFormat="1" ht="21.95" customHeight="1" x14ac:dyDescent="0.15"/>
    <row r="15188" s="8" customFormat="1" ht="21.95" customHeight="1" x14ac:dyDescent="0.15"/>
    <row r="15189" s="8" customFormat="1" ht="21.95" customHeight="1" x14ac:dyDescent="0.15"/>
    <row r="15190" s="8" customFormat="1" ht="21.95" customHeight="1" x14ac:dyDescent="0.15"/>
    <row r="15191" s="8" customFormat="1" ht="21.95" customHeight="1" x14ac:dyDescent="0.15"/>
    <row r="15192" s="8" customFormat="1" ht="32.1" customHeight="1" x14ac:dyDescent="0.15"/>
    <row r="15193" s="8" customFormat="1" ht="32.1" customHeight="1" x14ac:dyDescent="0.15"/>
    <row r="15194" s="8" customFormat="1" ht="32.1" customHeight="1" x14ac:dyDescent="0.15"/>
    <row r="15195" s="8" customFormat="1" ht="32.1" customHeight="1" x14ac:dyDescent="0.15"/>
    <row r="15196" s="8" customFormat="1" ht="32.1" customHeight="1" x14ac:dyDescent="0.15"/>
    <row r="15197" s="8" customFormat="1" ht="32.1" customHeight="1" x14ac:dyDescent="0.15"/>
    <row r="15198" s="9" customFormat="1" ht="32.1" customHeight="1" x14ac:dyDescent="0.15"/>
    <row r="15199" s="9" customFormat="1" ht="32.1" customHeight="1" x14ac:dyDescent="0.15"/>
    <row r="15200" s="9" customFormat="1" ht="32.1" customHeight="1" x14ac:dyDescent="0.15"/>
    <row r="15201" s="9" customFormat="1" ht="32.1" customHeight="1" x14ac:dyDescent="0.15"/>
    <row r="15202" s="9" customFormat="1" ht="21.95" customHeight="1" x14ac:dyDescent="0.15"/>
    <row r="15203" s="9" customFormat="1" ht="54" customHeight="1" x14ac:dyDescent="0.15"/>
    <row r="15204" s="9" customFormat="1" ht="21.95" customHeight="1" x14ac:dyDescent="0.15"/>
    <row r="15205" s="9" customFormat="1" ht="21.95" customHeight="1" x14ac:dyDescent="0.15"/>
    <row r="15206" s="9" customFormat="1" ht="21.95" customHeight="1" x14ac:dyDescent="0.15"/>
    <row r="15207" s="9" customFormat="1" ht="21.95" customHeight="1" x14ac:dyDescent="0.15"/>
    <row r="15208" s="9" customFormat="1" ht="21.95" customHeight="1" x14ac:dyDescent="0.15"/>
    <row r="15209" s="9" customFormat="1" ht="21.95" customHeight="1" x14ac:dyDescent="0.15"/>
    <row r="15210" s="9" customFormat="1" ht="21.95" customHeight="1" x14ac:dyDescent="0.15"/>
    <row r="15211" s="9" customFormat="1" ht="21.95" customHeight="1" x14ac:dyDescent="0.15"/>
    <row r="15212" s="9" customFormat="1" ht="21.95" customHeight="1" x14ac:dyDescent="0.15"/>
    <row r="15213" s="9" customFormat="1" ht="21.95" customHeight="1" x14ac:dyDescent="0.15"/>
    <row r="15214" s="9" customFormat="1" ht="21.95" customHeight="1" x14ac:dyDescent="0.15"/>
    <row r="15215" s="9" customFormat="1" ht="21.95" customHeight="1" x14ac:dyDescent="0.15"/>
    <row r="15216" s="9" customFormat="1" ht="21.95" customHeight="1" x14ac:dyDescent="0.15"/>
    <row r="15217" s="9" customFormat="1" ht="21.95" customHeight="1" x14ac:dyDescent="0.15"/>
    <row r="15218" s="9" customFormat="1" ht="21.95" customHeight="1" x14ac:dyDescent="0.15"/>
    <row r="15219" s="9" customFormat="1" ht="21.95" customHeight="1" x14ac:dyDescent="0.15"/>
    <row r="15220" s="9" customFormat="1" ht="21.95" customHeight="1" x14ac:dyDescent="0.15"/>
    <row r="15221" s="9" customFormat="1" ht="21.95" customHeight="1" x14ac:dyDescent="0.15"/>
    <row r="15222" s="9" customFormat="1" ht="21.95" customHeight="1" x14ac:dyDescent="0.15"/>
    <row r="15223" s="9" customFormat="1" ht="21.95" customHeight="1" x14ac:dyDescent="0.15"/>
    <row r="15224" s="9" customFormat="1" ht="21.95" customHeight="1" x14ac:dyDescent="0.15"/>
    <row r="15225" s="9" customFormat="1" ht="21.95" customHeight="1" x14ac:dyDescent="0.15"/>
    <row r="15226" s="9" customFormat="1" ht="21.95" customHeight="1" x14ac:dyDescent="0.15"/>
    <row r="15227" s="9" customFormat="1" ht="21.95" customHeight="1" x14ac:dyDescent="0.15"/>
    <row r="15228" s="9" customFormat="1" ht="21.95" customHeight="1" x14ac:dyDescent="0.15"/>
    <row r="15229" s="9" customFormat="1" ht="21.95" customHeight="1" x14ac:dyDescent="0.15"/>
    <row r="15230" s="9" customFormat="1" ht="21.95" customHeight="1" x14ac:dyDescent="0.15"/>
    <row r="15231" s="9" customFormat="1" ht="21.95" customHeight="1" x14ac:dyDescent="0.15"/>
    <row r="15232" s="9" customFormat="1" ht="21.95" customHeight="1" x14ac:dyDescent="0.15"/>
    <row r="15233" s="9" customFormat="1" ht="21.95" customHeight="1" x14ac:dyDescent="0.15"/>
    <row r="15234" s="9" customFormat="1" ht="21.95" customHeight="1" x14ac:dyDescent="0.15"/>
    <row r="15235" s="9" customFormat="1" ht="21.95" customHeight="1" x14ac:dyDescent="0.15"/>
    <row r="15236" s="9" customFormat="1" ht="21.95" customHeight="1" x14ac:dyDescent="0.15"/>
    <row r="15237" s="9" customFormat="1" ht="21.95" customHeight="1" x14ac:dyDescent="0.15"/>
    <row r="15238" s="9" customFormat="1" ht="21.95" customHeight="1" x14ac:dyDescent="0.15"/>
    <row r="15239" s="9" customFormat="1" ht="21.95" customHeight="1" x14ac:dyDescent="0.15"/>
    <row r="15240" s="9" customFormat="1" ht="21.95" customHeight="1" x14ac:dyDescent="0.15"/>
    <row r="15241" s="9" customFormat="1" ht="21.95" customHeight="1" x14ac:dyDescent="0.15"/>
    <row r="15242" s="9" customFormat="1" ht="21.95" customHeight="1" x14ac:dyDescent="0.15"/>
    <row r="15243" s="9" customFormat="1" ht="21.95" customHeight="1" x14ac:dyDescent="0.15"/>
    <row r="15244" s="9" customFormat="1" ht="21.95" customHeight="1" x14ac:dyDescent="0.15"/>
    <row r="15245" s="9" customFormat="1" ht="21.95" customHeight="1" x14ac:dyDescent="0.15"/>
    <row r="15246" s="9" customFormat="1" ht="21.95" customHeight="1" x14ac:dyDescent="0.15"/>
    <row r="15247" s="9" customFormat="1" ht="21.95" customHeight="1" x14ac:dyDescent="0.15"/>
    <row r="15248" s="9" customFormat="1" ht="21.95" customHeight="1" x14ac:dyDescent="0.15"/>
    <row r="15249" s="9" customFormat="1" ht="21.95" customHeight="1" x14ac:dyDescent="0.15"/>
    <row r="15250" s="9" customFormat="1" ht="21.95" customHeight="1" x14ac:dyDescent="0.15"/>
    <row r="15251" s="9" customFormat="1" ht="21.95" customHeight="1" x14ac:dyDescent="0.15"/>
    <row r="15252" s="9" customFormat="1" ht="21.95" customHeight="1" x14ac:dyDescent="0.15"/>
    <row r="15253" s="9" customFormat="1" ht="21.95" customHeight="1" x14ac:dyDescent="0.15"/>
    <row r="15254" s="9" customFormat="1" ht="35.1" customHeight="1" x14ac:dyDescent="0.15"/>
    <row r="15255" s="9" customFormat="1" ht="21.95" customHeight="1" x14ac:dyDescent="0.15"/>
    <row r="15256" s="9" customFormat="1" ht="21.95" customHeight="1" x14ac:dyDescent="0.15"/>
    <row r="15257" s="9" customFormat="1" ht="21.95" customHeight="1" x14ac:dyDescent="0.15"/>
    <row r="15258" s="9" customFormat="1" ht="21.95" customHeight="1" x14ac:dyDescent="0.15"/>
    <row r="15259" s="9" customFormat="1" ht="21.95" customHeight="1" x14ac:dyDescent="0.15"/>
    <row r="15260" s="9" customFormat="1" ht="21.95" customHeight="1" x14ac:dyDescent="0.15"/>
    <row r="15261" s="9" customFormat="1" ht="21.95" customHeight="1" x14ac:dyDescent="0.15"/>
    <row r="15262" s="9" customFormat="1" ht="21.95" customHeight="1" x14ac:dyDescent="0.15"/>
    <row r="15263" s="9" customFormat="1" ht="21.95" customHeight="1" x14ac:dyDescent="0.15"/>
    <row r="15264" s="9" customFormat="1" ht="21.95" customHeight="1" x14ac:dyDescent="0.15"/>
    <row r="15265" spans="3:3" s="9" customFormat="1" ht="21.95" customHeight="1" x14ac:dyDescent="0.15"/>
    <row r="15266" spans="3:3" s="9" customFormat="1" ht="21.95" customHeight="1" x14ac:dyDescent="0.15"/>
    <row r="15267" spans="3:3" s="9" customFormat="1" ht="21.95" customHeight="1" x14ac:dyDescent="0.15"/>
    <row r="15268" spans="3:3" s="9" customFormat="1" ht="21.95" customHeight="1" x14ac:dyDescent="0.15"/>
    <row r="15269" spans="3:3" s="9" customFormat="1" ht="21.95" customHeight="1" x14ac:dyDescent="0.15"/>
    <row r="15270" spans="3:3" s="9" customFormat="1" ht="21.95" customHeight="1" x14ac:dyDescent="0.15"/>
    <row r="15271" spans="3:3" s="9" customFormat="1" ht="21.95" customHeight="1" x14ac:dyDescent="0.15"/>
    <row r="15272" spans="3:3" s="9" customFormat="1" ht="21.95" customHeight="1" x14ac:dyDescent="0.15"/>
    <row r="15273" spans="3:3" s="9" customFormat="1" ht="21.95" customHeight="1" x14ac:dyDescent="0.15"/>
    <row r="15274" spans="3:3" s="9" customFormat="1" ht="21.95" customHeight="1" x14ac:dyDescent="0.15"/>
    <row r="15275" spans="3:3" s="9" customFormat="1" ht="21.95" customHeight="1" x14ac:dyDescent="0.15"/>
    <row r="15276" spans="3:3" s="9" customFormat="1" ht="21.95" customHeight="1" x14ac:dyDescent="0.15"/>
    <row r="15277" spans="3:3" s="9" customFormat="1" ht="21.95" customHeight="1" x14ac:dyDescent="0.15"/>
    <row r="15278" spans="3:3" s="8" customFormat="1" ht="21.95" customHeight="1" x14ac:dyDescent="0.15"/>
    <row r="15279" spans="3:3" s="8" customFormat="1" ht="21.95" customHeight="1" x14ac:dyDescent="0.15"/>
    <row r="15280" spans="3:3" s="8" customFormat="1" ht="21.95" customHeight="1" x14ac:dyDescent="0.15">
      <c r="C15280" s="101"/>
    </row>
    <row r="15281" spans="3:3" s="8" customFormat="1" ht="21.95" customHeight="1" x14ac:dyDescent="0.15">
      <c r="C15281" s="101"/>
    </row>
    <row r="15282" spans="3:3" s="8" customFormat="1" ht="21.95" customHeight="1" x14ac:dyDescent="0.15"/>
    <row r="15283" spans="3:3" s="8" customFormat="1" ht="21.95" customHeight="1" x14ac:dyDescent="0.15"/>
    <row r="15284" spans="3:3" s="8" customFormat="1" ht="21.95" customHeight="1" x14ac:dyDescent="0.15"/>
    <row r="15285" spans="3:3" s="8" customFormat="1" ht="21.95" customHeight="1" x14ac:dyDescent="0.15"/>
    <row r="15286" spans="3:3" s="8" customFormat="1" ht="21.95" customHeight="1" x14ac:dyDescent="0.15"/>
    <row r="15287" spans="3:3" s="8" customFormat="1" ht="21.95" customHeight="1" x14ac:dyDescent="0.15"/>
    <row r="15288" spans="3:3" s="8" customFormat="1" ht="21.95" customHeight="1" x14ac:dyDescent="0.15"/>
    <row r="15289" spans="3:3" s="9" customFormat="1" ht="21.95" customHeight="1" x14ac:dyDescent="0.15"/>
    <row r="15290" spans="3:3" s="9" customFormat="1" ht="21.95" customHeight="1" x14ac:dyDescent="0.15"/>
    <row r="15291" spans="3:3" s="9" customFormat="1" ht="21.95" customHeight="1" x14ac:dyDescent="0.15"/>
    <row r="15292" spans="3:3" s="9" customFormat="1" ht="21.95" customHeight="1" x14ac:dyDescent="0.15"/>
    <row r="15293" spans="3:3" s="8" customFormat="1" ht="21.95" customHeight="1" x14ac:dyDescent="0.15"/>
    <row r="15294" spans="3:3" s="8" customFormat="1" ht="21.95" customHeight="1" x14ac:dyDescent="0.15"/>
    <row r="15295" spans="3:3" s="8" customFormat="1" ht="21.95" customHeight="1" x14ac:dyDescent="0.15"/>
    <row r="15296" spans="3:3" s="8" customFormat="1" ht="21.95" customHeight="1" x14ac:dyDescent="0.15"/>
    <row r="15297" s="8" customFormat="1" ht="21.95" customHeight="1" x14ac:dyDescent="0.15"/>
    <row r="15298" s="8" customFormat="1" ht="21.95" customHeight="1" x14ac:dyDescent="0.15"/>
    <row r="15299" s="8" customFormat="1" ht="21.95" customHeight="1" x14ac:dyDescent="0.15"/>
    <row r="15300" s="8" customFormat="1" ht="21.95" customHeight="1" x14ac:dyDescent="0.15"/>
    <row r="15301" s="8" customFormat="1" ht="21.95" customHeight="1" x14ac:dyDescent="0.15"/>
    <row r="15302" s="8" customFormat="1" ht="21.95" customHeight="1" x14ac:dyDescent="0.15"/>
    <row r="15303" s="8" customFormat="1" ht="21.95" customHeight="1" x14ac:dyDescent="0.15"/>
    <row r="15304" s="8" customFormat="1" ht="32.1" customHeight="1" x14ac:dyDescent="0.15"/>
    <row r="15305" s="8" customFormat="1" ht="32.1" customHeight="1" x14ac:dyDescent="0.15"/>
    <row r="15306" s="8" customFormat="1" ht="32.1" customHeight="1" x14ac:dyDescent="0.15"/>
    <row r="15307" s="8" customFormat="1" ht="32.1" customHeight="1" x14ac:dyDescent="0.15"/>
    <row r="15308" s="8" customFormat="1" ht="32.1" customHeight="1" x14ac:dyDescent="0.15"/>
    <row r="15309" s="8" customFormat="1" ht="32.1" customHeight="1" x14ac:dyDescent="0.15"/>
    <row r="15310" s="9" customFormat="1" ht="32.1" customHeight="1" x14ac:dyDescent="0.15"/>
    <row r="15311" s="9" customFormat="1" ht="32.1" customHeight="1" x14ac:dyDescent="0.15"/>
    <row r="15312" s="9" customFormat="1" ht="32.1" customHeight="1" x14ac:dyDescent="0.15"/>
    <row r="15313" s="9" customFormat="1" ht="32.1" customHeight="1" x14ac:dyDescent="0.15"/>
    <row r="15314" s="9" customFormat="1" ht="21.95" customHeight="1" x14ac:dyDescent="0.15"/>
    <row r="15315" s="9" customFormat="1" ht="54" customHeight="1" x14ac:dyDescent="0.15"/>
    <row r="15316" s="9" customFormat="1" ht="21.95" customHeight="1" x14ac:dyDescent="0.15"/>
    <row r="15317" s="9" customFormat="1" ht="21.95" customHeight="1" x14ac:dyDescent="0.15"/>
    <row r="15318" s="9" customFormat="1" ht="21.95" customHeight="1" x14ac:dyDescent="0.15"/>
    <row r="15319" s="9" customFormat="1" ht="21.95" customHeight="1" x14ac:dyDescent="0.15"/>
    <row r="15320" s="9" customFormat="1" ht="21.95" customHeight="1" x14ac:dyDescent="0.15"/>
    <row r="15321" s="9" customFormat="1" ht="21.95" customHeight="1" x14ac:dyDescent="0.15"/>
    <row r="15322" s="9" customFormat="1" ht="21.95" customHeight="1" x14ac:dyDescent="0.15"/>
    <row r="15323" s="9" customFormat="1" ht="21.95" customHeight="1" x14ac:dyDescent="0.15"/>
    <row r="15324" s="9" customFormat="1" ht="21.95" customHeight="1" x14ac:dyDescent="0.15"/>
    <row r="15325" s="9" customFormat="1" ht="21.95" customHeight="1" x14ac:dyDescent="0.15"/>
    <row r="15326" s="9" customFormat="1" ht="21.95" customHeight="1" x14ac:dyDescent="0.15"/>
    <row r="15327" s="9" customFormat="1" ht="21.95" customHeight="1" x14ac:dyDescent="0.15"/>
    <row r="15328" s="9" customFormat="1" ht="21.95" customHeight="1" x14ac:dyDescent="0.15"/>
    <row r="15329" s="9" customFormat="1" ht="21.95" customHeight="1" x14ac:dyDescent="0.15"/>
    <row r="15330" s="9" customFormat="1" ht="21.95" customHeight="1" x14ac:dyDescent="0.15"/>
    <row r="15331" s="9" customFormat="1" ht="21.95" customHeight="1" x14ac:dyDescent="0.15"/>
    <row r="15332" s="9" customFormat="1" ht="21.95" customHeight="1" x14ac:dyDescent="0.15"/>
    <row r="15333" s="9" customFormat="1" ht="21.95" customHeight="1" x14ac:dyDescent="0.15"/>
    <row r="15334" s="9" customFormat="1" ht="21.95" customHeight="1" x14ac:dyDescent="0.15"/>
    <row r="15335" s="9" customFormat="1" ht="21.95" customHeight="1" x14ac:dyDescent="0.15"/>
    <row r="15336" s="9" customFormat="1" ht="21.95" customHeight="1" x14ac:dyDescent="0.15"/>
    <row r="15337" s="9" customFormat="1" ht="21.95" customHeight="1" x14ac:dyDescent="0.15"/>
    <row r="15338" s="9" customFormat="1" ht="21.95" customHeight="1" x14ac:dyDescent="0.15"/>
    <row r="15339" s="9" customFormat="1" ht="21.95" customHeight="1" x14ac:dyDescent="0.15"/>
    <row r="15340" s="9" customFormat="1" ht="21.95" customHeight="1" x14ac:dyDescent="0.15"/>
    <row r="15341" s="9" customFormat="1" ht="21.95" customHeight="1" x14ac:dyDescent="0.15"/>
    <row r="15342" s="9" customFormat="1" ht="21.95" customHeight="1" x14ac:dyDescent="0.15"/>
    <row r="15343" s="9" customFormat="1" ht="21.95" customHeight="1" x14ac:dyDescent="0.15"/>
    <row r="15344" s="9" customFormat="1" ht="21.95" customHeight="1" x14ac:dyDescent="0.15"/>
    <row r="15345" s="9" customFormat="1" ht="21.95" customHeight="1" x14ac:dyDescent="0.15"/>
    <row r="15346" s="9" customFormat="1" ht="21.95" customHeight="1" x14ac:dyDescent="0.15"/>
    <row r="15347" s="9" customFormat="1" ht="21.95" customHeight="1" x14ac:dyDescent="0.15"/>
    <row r="15348" s="9" customFormat="1" ht="21.95" customHeight="1" x14ac:dyDescent="0.15"/>
    <row r="15349" s="9" customFormat="1" ht="21.95" customHeight="1" x14ac:dyDescent="0.15"/>
    <row r="15350" s="9" customFormat="1" ht="21.95" customHeight="1" x14ac:dyDescent="0.15"/>
    <row r="15351" s="9" customFormat="1" ht="21.95" customHeight="1" x14ac:dyDescent="0.15"/>
    <row r="15352" s="9" customFormat="1" ht="21.95" customHeight="1" x14ac:dyDescent="0.15"/>
    <row r="15353" s="9" customFormat="1" ht="21.95" customHeight="1" x14ac:dyDescent="0.15"/>
    <row r="15354" s="9" customFormat="1" ht="21.95" customHeight="1" x14ac:dyDescent="0.15"/>
    <row r="15355" s="9" customFormat="1" ht="21.95" customHeight="1" x14ac:dyDescent="0.15"/>
    <row r="15356" s="9" customFormat="1" ht="21.95" customHeight="1" x14ac:dyDescent="0.15"/>
    <row r="15357" s="9" customFormat="1" ht="21.95" customHeight="1" x14ac:dyDescent="0.15"/>
    <row r="15358" s="9" customFormat="1" ht="21.95" customHeight="1" x14ac:dyDescent="0.15"/>
    <row r="15359" s="9" customFormat="1" ht="21.95" customHeight="1" x14ac:dyDescent="0.15"/>
    <row r="15360" s="9" customFormat="1" ht="21.95" customHeight="1" x14ac:dyDescent="0.15"/>
    <row r="15361" s="9" customFormat="1" ht="21.95" customHeight="1" x14ac:dyDescent="0.15"/>
    <row r="15362" s="9" customFormat="1" ht="21.95" customHeight="1" x14ac:dyDescent="0.15"/>
    <row r="15363" s="9" customFormat="1" ht="21.95" customHeight="1" x14ac:dyDescent="0.15"/>
    <row r="15364" s="9" customFormat="1" ht="21.95" customHeight="1" x14ac:dyDescent="0.15"/>
    <row r="15365" s="9" customFormat="1" ht="21.95" customHeight="1" x14ac:dyDescent="0.15"/>
    <row r="15366" s="9" customFormat="1" ht="35.1" customHeight="1" x14ac:dyDescent="0.15"/>
    <row r="15367" s="9" customFormat="1" ht="21.95" customHeight="1" x14ac:dyDescent="0.15"/>
    <row r="15368" s="9" customFormat="1" ht="21.95" customHeight="1" x14ac:dyDescent="0.15"/>
    <row r="15369" s="9" customFormat="1" ht="21.95" customHeight="1" x14ac:dyDescent="0.15"/>
    <row r="15370" s="9" customFormat="1" ht="21.95" customHeight="1" x14ac:dyDescent="0.15"/>
    <row r="15371" s="9" customFormat="1" ht="21.95" customHeight="1" x14ac:dyDescent="0.15"/>
    <row r="15372" s="9" customFormat="1" ht="21.95" customHeight="1" x14ac:dyDescent="0.15"/>
    <row r="15373" s="9" customFormat="1" ht="21.95" customHeight="1" x14ac:dyDescent="0.15"/>
    <row r="15374" s="9" customFormat="1" ht="21.95" customHeight="1" x14ac:dyDescent="0.15"/>
    <row r="15375" s="9" customFormat="1" ht="21.95" customHeight="1" x14ac:dyDescent="0.15"/>
    <row r="15376" s="9" customFormat="1" ht="21.95" customHeight="1" x14ac:dyDescent="0.15"/>
    <row r="15377" spans="3:3" s="9" customFormat="1" ht="21.95" customHeight="1" x14ac:dyDescent="0.15"/>
    <row r="15378" spans="3:3" s="9" customFormat="1" ht="21.95" customHeight="1" x14ac:dyDescent="0.15"/>
    <row r="15379" spans="3:3" s="9" customFormat="1" ht="21.95" customHeight="1" x14ac:dyDescent="0.15"/>
    <row r="15380" spans="3:3" s="9" customFormat="1" ht="21.95" customHeight="1" x14ac:dyDescent="0.15"/>
    <row r="15381" spans="3:3" s="9" customFormat="1" ht="21.95" customHeight="1" x14ac:dyDescent="0.15"/>
    <row r="15382" spans="3:3" s="9" customFormat="1" ht="21.95" customHeight="1" x14ac:dyDescent="0.15"/>
    <row r="15383" spans="3:3" s="9" customFormat="1" ht="21.95" customHeight="1" x14ac:dyDescent="0.15"/>
    <row r="15384" spans="3:3" s="9" customFormat="1" ht="21.95" customHeight="1" x14ac:dyDescent="0.15"/>
    <row r="15385" spans="3:3" s="9" customFormat="1" ht="21.95" customHeight="1" x14ac:dyDescent="0.15"/>
    <row r="15386" spans="3:3" s="9" customFormat="1" ht="21.95" customHeight="1" x14ac:dyDescent="0.15"/>
    <row r="15387" spans="3:3" s="9" customFormat="1" ht="21.95" customHeight="1" x14ac:dyDescent="0.15"/>
    <row r="15388" spans="3:3" s="9" customFormat="1" ht="21.95" customHeight="1" x14ac:dyDescent="0.15"/>
    <row r="15389" spans="3:3" s="9" customFormat="1" ht="21.95" customHeight="1" x14ac:dyDescent="0.15"/>
    <row r="15390" spans="3:3" s="8" customFormat="1" ht="21.95" customHeight="1" x14ac:dyDescent="0.15"/>
    <row r="15391" spans="3:3" s="8" customFormat="1" ht="21.95" customHeight="1" x14ac:dyDescent="0.15"/>
    <row r="15392" spans="3:3" s="8" customFormat="1" ht="21.95" customHeight="1" x14ac:dyDescent="0.15">
      <c r="C15392" s="101"/>
    </row>
    <row r="15393" spans="3:3" s="8" customFormat="1" ht="21.95" customHeight="1" x14ac:dyDescent="0.15">
      <c r="C15393" s="101"/>
    </row>
    <row r="15394" spans="3:3" s="8" customFormat="1" ht="21.95" customHeight="1" x14ac:dyDescent="0.15"/>
    <row r="15395" spans="3:3" s="8" customFormat="1" ht="21.95" customHeight="1" x14ac:dyDescent="0.15"/>
    <row r="15396" spans="3:3" s="8" customFormat="1" ht="21.95" customHeight="1" x14ac:dyDescent="0.15"/>
    <row r="15397" spans="3:3" s="8" customFormat="1" ht="21.95" customHeight="1" x14ac:dyDescent="0.15"/>
    <row r="15398" spans="3:3" s="8" customFormat="1" ht="21.95" customHeight="1" x14ac:dyDescent="0.15"/>
    <row r="15399" spans="3:3" s="8" customFormat="1" ht="21.95" customHeight="1" x14ac:dyDescent="0.15"/>
    <row r="15400" spans="3:3" s="8" customFormat="1" ht="21.95" customHeight="1" x14ac:dyDescent="0.15"/>
    <row r="15401" spans="3:3" s="9" customFormat="1" ht="21.95" customHeight="1" x14ac:dyDescent="0.15"/>
    <row r="15402" spans="3:3" s="9" customFormat="1" ht="21.95" customHeight="1" x14ac:dyDescent="0.15"/>
    <row r="15403" spans="3:3" s="9" customFormat="1" ht="21.95" customHeight="1" x14ac:dyDescent="0.15"/>
    <row r="15404" spans="3:3" s="9" customFormat="1" ht="21.95" customHeight="1" x14ac:dyDescent="0.15"/>
    <row r="15405" spans="3:3" s="8" customFormat="1" ht="21.95" customHeight="1" x14ac:dyDescent="0.15"/>
    <row r="15406" spans="3:3" s="8" customFormat="1" ht="21.95" customHeight="1" x14ac:dyDescent="0.15"/>
    <row r="15407" spans="3:3" s="8" customFormat="1" ht="21.95" customHeight="1" x14ac:dyDescent="0.15"/>
    <row r="15408" spans="3:3" s="8" customFormat="1" ht="21.95" customHeight="1" x14ac:dyDescent="0.15"/>
    <row r="15409" s="8" customFormat="1" ht="21.95" customHeight="1" x14ac:dyDescent="0.15"/>
    <row r="15410" s="8" customFormat="1" ht="21.95" customHeight="1" x14ac:dyDescent="0.15"/>
    <row r="15411" s="8" customFormat="1" ht="21.95" customHeight="1" x14ac:dyDescent="0.15"/>
    <row r="15412" s="8" customFormat="1" ht="21.95" customHeight="1" x14ac:dyDescent="0.15"/>
    <row r="15413" s="8" customFormat="1" ht="21.95" customHeight="1" x14ac:dyDescent="0.15"/>
    <row r="15414" s="8" customFormat="1" ht="21.95" customHeight="1" x14ac:dyDescent="0.15"/>
    <row r="15415" s="8" customFormat="1" ht="21.95" customHeight="1" x14ac:dyDescent="0.15"/>
    <row r="15416" s="8" customFormat="1" ht="32.1" customHeight="1" x14ac:dyDescent="0.15"/>
    <row r="15417" s="8" customFormat="1" ht="32.1" customHeight="1" x14ac:dyDescent="0.15"/>
    <row r="15418" s="8" customFormat="1" ht="32.1" customHeight="1" x14ac:dyDescent="0.15"/>
    <row r="15419" s="8" customFormat="1" ht="32.1" customHeight="1" x14ac:dyDescent="0.15"/>
    <row r="15420" s="8" customFormat="1" ht="32.1" customHeight="1" x14ac:dyDescent="0.15"/>
    <row r="15421" s="8" customFormat="1" ht="32.1" customHeight="1" x14ac:dyDescent="0.15"/>
    <row r="15422" s="9" customFormat="1" ht="32.1" customHeight="1" x14ac:dyDescent="0.15"/>
    <row r="15423" s="9" customFormat="1" ht="32.1" customHeight="1" x14ac:dyDescent="0.15"/>
    <row r="15424" s="9" customFormat="1" ht="32.1" customHeight="1" x14ac:dyDescent="0.15"/>
    <row r="15425" s="9" customFormat="1" ht="32.1" customHeight="1" x14ac:dyDescent="0.15"/>
    <row r="15426" s="9" customFormat="1" ht="21.95" customHeight="1" x14ac:dyDescent="0.15"/>
    <row r="15427" s="9" customFormat="1" ht="54" customHeight="1" x14ac:dyDescent="0.15"/>
    <row r="15428" s="9" customFormat="1" ht="21.95" customHeight="1" x14ac:dyDescent="0.15"/>
    <row r="15429" s="9" customFormat="1" ht="21.95" customHeight="1" x14ac:dyDescent="0.15"/>
    <row r="15430" s="9" customFormat="1" ht="21.95" customHeight="1" x14ac:dyDescent="0.15"/>
    <row r="15431" s="9" customFormat="1" ht="21.95" customHeight="1" x14ac:dyDescent="0.15"/>
    <row r="15432" s="9" customFormat="1" ht="21.95" customHeight="1" x14ac:dyDescent="0.15"/>
    <row r="15433" s="9" customFormat="1" ht="21.95" customHeight="1" x14ac:dyDescent="0.15"/>
    <row r="15434" s="9" customFormat="1" ht="21.95" customHeight="1" x14ac:dyDescent="0.15"/>
    <row r="15435" s="9" customFormat="1" ht="21.95" customHeight="1" x14ac:dyDescent="0.15"/>
    <row r="15436" s="9" customFormat="1" ht="21.95" customHeight="1" x14ac:dyDescent="0.15"/>
    <row r="15437" s="9" customFormat="1" ht="21.95" customHeight="1" x14ac:dyDescent="0.15"/>
    <row r="15438" s="9" customFormat="1" ht="21.95" customHeight="1" x14ac:dyDescent="0.15"/>
    <row r="15439" s="9" customFormat="1" ht="21.95" customHeight="1" x14ac:dyDescent="0.15"/>
    <row r="15440" s="9" customFormat="1" ht="21.95" customHeight="1" x14ac:dyDescent="0.15"/>
    <row r="15441" s="9" customFormat="1" ht="21.95" customHeight="1" x14ac:dyDescent="0.15"/>
    <row r="15442" s="9" customFormat="1" ht="21.95" customHeight="1" x14ac:dyDescent="0.15"/>
    <row r="15443" s="9" customFormat="1" ht="21.95" customHeight="1" x14ac:dyDescent="0.15"/>
    <row r="15444" s="9" customFormat="1" ht="21.95" customHeight="1" x14ac:dyDescent="0.15"/>
    <row r="15445" s="9" customFormat="1" ht="21.95" customHeight="1" x14ac:dyDescent="0.15"/>
    <row r="15446" s="9" customFormat="1" ht="21.95" customHeight="1" x14ac:dyDescent="0.15"/>
    <row r="15447" s="9" customFormat="1" ht="21.95" customHeight="1" x14ac:dyDescent="0.15"/>
    <row r="15448" s="9" customFormat="1" ht="21.95" customHeight="1" x14ac:dyDescent="0.15"/>
    <row r="15449" s="9" customFormat="1" ht="21.95" customHeight="1" x14ac:dyDescent="0.15"/>
    <row r="15450" s="9" customFormat="1" ht="21.95" customHeight="1" x14ac:dyDescent="0.15"/>
    <row r="15451" s="9" customFormat="1" ht="21.95" customHeight="1" x14ac:dyDescent="0.15"/>
    <row r="15452" s="9" customFormat="1" ht="21.95" customHeight="1" x14ac:dyDescent="0.15"/>
    <row r="15453" s="9" customFormat="1" ht="21.95" customHeight="1" x14ac:dyDescent="0.15"/>
    <row r="15454" s="9" customFormat="1" ht="21.95" customHeight="1" x14ac:dyDescent="0.15"/>
    <row r="15455" s="9" customFormat="1" ht="21.95" customHeight="1" x14ac:dyDescent="0.15"/>
    <row r="15456" s="9" customFormat="1" ht="21.95" customHeight="1" x14ac:dyDescent="0.15"/>
    <row r="15457" s="9" customFormat="1" ht="21.95" customHeight="1" x14ac:dyDescent="0.15"/>
    <row r="15458" s="9" customFormat="1" ht="21.95" customHeight="1" x14ac:dyDescent="0.15"/>
    <row r="15459" s="9" customFormat="1" ht="21.95" customHeight="1" x14ac:dyDescent="0.15"/>
    <row r="15460" s="9" customFormat="1" ht="21.95" customHeight="1" x14ac:dyDescent="0.15"/>
    <row r="15461" s="9" customFormat="1" ht="21.95" customHeight="1" x14ac:dyDescent="0.15"/>
    <row r="15462" s="9" customFormat="1" ht="21.95" customHeight="1" x14ac:dyDescent="0.15"/>
    <row r="15463" s="9" customFormat="1" ht="21.95" customHeight="1" x14ac:dyDescent="0.15"/>
    <row r="15464" s="9" customFormat="1" ht="21.95" customHeight="1" x14ac:dyDescent="0.15"/>
    <row r="15465" s="9" customFormat="1" ht="21.95" customHeight="1" x14ac:dyDescent="0.15"/>
    <row r="15466" s="9" customFormat="1" ht="21.95" customHeight="1" x14ac:dyDescent="0.15"/>
    <row r="15467" s="9" customFormat="1" ht="21.95" customHeight="1" x14ac:dyDescent="0.15"/>
    <row r="15468" s="9" customFormat="1" ht="21.95" customHeight="1" x14ac:dyDescent="0.15"/>
    <row r="15469" s="9" customFormat="1" ht="21.95" customHeight="1" x14ac:dyDescent="0.15"/>
    <row r="15470" s="9" customFormat="1" ht="21.95" customHeight="1" x14ac:dyDescent="0.15"/>
    <row r="15471" s="9" customFormat="1" ht="21.95" customHeight="1" x14ac:dyDescent="0.15"/>
    <row r="15472" s="9" customFormat="1" ht="21.95" customHeight="1" x14ac:dyDescent="0.15"/>
    <row r="15473" s="9" customFormat="1" ht="21.95" customHeight="1" x14ac:dyDescent="0.15"/>
    <row r="15474" s="9" customFormat="1" ht="21.95" customHeight="1" x14ac:dyDescent="0.15"/>
    <row r="15475" s="9" customFormat="1" ht="21.95" customHeight="1" x14ac:dyDescent="0.15"/>
    <row r="15476" s="9" customFormat="1" ht="21.95" customHeight="1" x14ac:dyDescent="0.15"/>
    <row r="15477" s="9" customFormat="1" ht="21.95" customHeight="1" x14ac:dyDescent="0.15"/>
    <row r="15478" s="9" customFormat="1" ht="35.1" customHeight="1" x14ac:dyDescent="0.15"/>
    <row r="15479" s="9" customFormat="1" ht="21.95" customHeight="1" x14ac:dyDescent="0.15"/>
    <row r="15480" s="9" customFormat="1" ht="21.95" customHeight="1" x14ac:dyDescent="0.15"/>
    <row r="15481" s="9" customFormat="1" ht="21.95" customHeight="1" x14ac:dyDescent="0.15"/>
    <row r="15482" s="9" customFormat="1" ht="21.95" customHeight="1" x14ac:dyDescent="0.15"/>
    <row r="15483" s="9" customFormat="1" ht="21.95" customHeight="1" x14ac:dyDescent="0.15"/>
    <row r="15484" s="9" customFormat="1" ht="21.95" customHeight="1" x14ac:dyDescent="0.15"/>
    <row r="15485" s="9" customFormat="1" ht="21.95" customHeight="1" x14ac:dyDescent="0.15"/>
    <row r="15486" s="9" customFormat="1" ht="21.95" customHeight="1" x14ac:dyDescent="0.15"/>
    <row r="15487" s="9" customFormat="1" ht="21.95" customHeight="1" x14ac:dyDescent="0.15"/>
    <row r="15488" s="9" customFormat="1" ht="21.95" customHeight="1" x14ac:dyDescent="0.15"/>
    <row r="15489" spans="3:3" s="9" customFormat="1" ht="21.95" customHeight="1" x14ac:dyDescent="0.15"/>
    <row r="15490" spans="3:3" s="9" customFormat="1" ht="21.95" customHeight="1" x14ac:dyDescent="0.15"/>
    <row r="15491" spans="3:3" s="9" customFormat="1" ht="21.95" customHeight="1" x14ac:dyDescent="0.15"/>
    <row r="15492" spans="3:3" s="9" customFormat="1" ht="21.95" customHeight="1" x14ac:dyDescent="0.15"/>
    <row r="15493" spans="3:3" s="9" customFormat="1" ht="21.95" customHeight="1" x14ac:dyDescent="0.15"/>
    <row r="15494" spans="3:3" s="9" customFormat="1" ht="21.95" customHeight="1" x14ac:dyDescent="0.15"/>
    <row r="15495" spans="3:3" s="9" customFormat="1" ht="21.95" customHeight="1" x14ac:dyDescent="0.15"/>
    <row r="15496" spans="3:3" s="9" customFormat="1" ht="21.95" customHeight="1" x14ac:dyDescent="0.15"/>
    <row r="15497" spans="3:3" s="9" customFormat="1" ht="21.95" customHeight="1" x14ac:dyDescent="0.15"/>
    <row r="15498" spans="3:3" s="9" customFormat="1" ht="21.95" customHeight="1" x14ac:dyDescent="0.15"/>
    <row r="15499" spans="3:3" s="9" customFormat="1" ht="21.95" customHeight="1" x14ac:dyDescent="0.15"/>
    <row r="15500" spans="3:3" s="9" customFormat="1" ht="21.95" customHeight="1" x14ac:dyDescent="0.15"/>
    <row r="15501" spans="3:3" s="9" customFormat="1" ht="21.95" customHeight="1" x14ac:dyDescent="0.15"/>
    <row r="15502" spans="3:3" s="8" customFormat="1" ht="21.95" customHeight="1" x14ac:dyDescent="0.15"/>
    <row r="15503" spans="3:3" s="8" customFormat="1" ht="21.95" customHeight="1" x14ac:dyDescent="0.15"/>
    <row r="15504" spans="3:3" s="8" customFormat="1" ht="21.95" customHeight="1" x14ac:dyDescent="0.15">
      <c r="C15504" s="101"/>
    </row>
    <row r="15505" spans="3:3" s="8" customFormat="1" ht="21.95" customHeight="1" x14ac:dyDescent="0.15">
      <c r="C15505" s="101"/>
    </row>
    <row r="15506" spans="3:3" s="8" customFormat="1" ht="21.95" customHeight="1" x14ac:dyDescent="0.15"/>
    <row r="15507" spans="3:3" s="8" customFormat="1" ht="21.95" customHeight="1" x14ac:dyDescent="0.15"/>
    <row r="15508" spans="3:3" s="8" customFormat="1" ht="21.95" customHeight="1" x14ac:dyDescent="0.15"/>
    <row r="15509" spans="3:3" s="8" customFormat="1" ht="21.95" customHeight="1" x14ac:dyDescent="0.15"/>
    <row r="15510" spans="3:3" s="8" customFormat="1" ht="21.95" customHeight="1" x14ac:dyDescent="0.15"/>
    <row r="15511" spans="3:3" s="8" customFormat="1" ht="21.95" customHeight="1" x14ac:dyDescent="0.15"/>
    <row r="15512" spans="3:3" s="8" customFormat="1" ht="21.95" customHeight="1" x14ac:dyDescent="0.15"/>
    <row r="15513" spans="3:3" s="9" customFormat="1" ht="21.95" customHeight="1" x14ac:dyDescent="0.15"/>
    <row r="15514" spans="3:3" s="9" customFormat="1" ht="21.95" customHeight="1" x14ac:dyDescent="0.15"/>
    <row r="15515" spans="3:3" s="9" customFormat="1" ht="21.95" customHeight="1" x14ac:dyDescent="0.15"/>
    <row r="15516" spans="3:3" s="9" customFormat="1" ht="21.95" customHeight="1" x14ac:dyDescent="0.15"/>
    <row r="15517" spans="3:3" s="8" customFormat="1" ht="21.95" customHeight="1" x14ac:dyDescent="0.15"/>
    <row r="15518" spans="3:3" s="8" customFormat="1" ht="21.95" customHeight="1" x14ac:dyDescent="0.15"/>
    <row r="15519" spans="3:3" s="8" customFormat="1" ht="21.95" customHeight="1" x14ac:dyDescent="0.15"/>
    <row r="15520" spans="3:3" s="8" customFormat="1" ht="21.95" customHeight="1" x14ac:dyDescent="0.15"/>
    <row r="15521" s="8" customFormat="1" ht="21.95" customHeight="1" x14ac:dyDescent="0.15"/>
    <row r="15522" s="8" customFormat="1" ht="21.95" customHeight="1" x14ac:dyDescent="0.15"/>
    <row r="15523" s="8" customFormat="1" ht="21.95" customHeight="1" x14ac:dyDescent="0.15"/>
    <row r="15524" s="8" customFormat="1" ht="21.95" customHeight="1" x14ac:dyDescent="0.15"/>
    <row r="15525" s="8" customFormat="1" ht="21.95" customHeight="1" x14ac:dyDescent="0.15"/>
    <row r="15526" s="8" customFormat="1" ht="21.95" customHeight="1" x14ac:dyDescent="0.15"/>
    <row r="15527" s="8" customFormat="1" ht="21.95" customHeight="1" x14ac:dyDescent="0.15"/>
    <row r="15528" s="8" customFormat="1" ht="32.1" customHeight="1" x14ac:dyDescent="0.15"/>
    <row r="15529" s="8" customFormat="1" ht="32.1" customHeight="1" x14ac:dyDescent="0.15"/>
    <row r="15530" s="8" customFormat="1" ht="32.1" customHeight="1" x14ac:dyDescent="0.15"/>
    <row r="15531" s="8" customFormat="1" ht="32.1" customHeight="1" x14ac:dyDescent="0.15"/>
    <row r="15532" s="8" customFormat="1" ht="32.1" customHeight="1" x14ac:dyDescent="0.15"/>
    <row r="15533" s="8" customFormat="1" ht="32.1" customHeight="1" x14ac:dyDescent="0.15"/>
    <row r="15534" s="9" customFormat="1" ht="32.1" customHeight="1" x14ac:dyDescent="0.15"/>
    <row r="15535" s="9" customFormat="1" ht="32.1" customHeight="1" x14ac:dyDescent="0.15"/>
    <row r="15536" s="9" customFormat="1" ht="32.1" customHeight="1" x14ac:dyDescent="0.15"/>
    <row r="15537" s="9" customFormat="1" ht="32.1" customHeight="1" x14ac:dyDescent="0.15"/>
    <row r="15538" s="9" customFormat="1" ht="21.95" customHeight="1" x14ac:dyDescent="0.15"/>
    <row r="15539" s="9" customFormat="1" ht="54" customHeight="1" x14ac:dyDescent="0.15"/>
    <row r="15540" s="9" customFormat="1" ht="21.95" customHeight="1" x14ac:dyDescent="0.15"/>
    <row r="15541" s="9" customFormat="1" ht="21.95" customHeight="1" x14ac:dyDescent="0.15"/>
    <row r="15542" s="9" customFormat="1" ht="21.95" customHeight="1" x14ac:dyDescent="0.15"/>
    <row r="15543" s="9" customFormat="1" ht="21.95" customHeight="1" x14ac:dyDescent="0.15"/>
    <row r="15544" s="9" customFormat="1" ht="21.95" customHeight="1" x14ac:dyDescent="0.15"/>
    <row r="15545" s="9" customFormat="1" ht="21.95" customHeight="1" x14ac:dyDescent="0.15"/>
    <row r="15546" s="9" customFormat="1" ht="21.95" customHeight="1" x14ac:dyDescent="0.15"/>
    <row r="15547" s="9" customFormat="1" ht="21.95" customHeight="1" x14ac:dyDescent="0.15"/>
    <row r="15548" s="9" customFormat="1" ht="21.95" customHeight="1" x14ac:dyDescent="0.15"/>
    <row r="15549" s="9" customFormat="1" ht="21.95" customHeight="1" x14ac:dyDescent="0.15"/>
    <row r="15550" s="9" customFormat="1" ht="21.95" customHeight="1" x14ac:dyDescent="0.15"/>
    <row r="15551" s="9" customFormat="1" ht="21.95" customHeight="1" x14ac:dyDescent="0.15"/>
    <row r="15552" s="9" customFormat="1" ht="21.95" customHeight="1" x14ac:dyDescent="0.15"/>
    <row r="15553" s="9" customFormat="1" ht="21.95" customHeight="1" x14ac:dyDescent="0.15"/>
    <row r="15554" s="9" customFormat="1" ht="21.95" customHeight="1" x14ac:dyDescent="0.15"/>
    <row r="15555" s="9" customFormat="1" ht="21.95" customHeight="1" x14ac:dyDescent="0.15"/>
    <row r="15556" s="9" customFormat="1" ht="21.95" customHeight="1" x14ac:dyDescent="0.15"/>
    <row r="15557" s="9" customFormat="1" ht="21.95" customHeight="1" x14ac:dyDescent="0.15"/>
    <row r="15558" s="9" customFormat="1" ht="21.95" customHeight="1" x14ac:dyDescent="0.15"/>
    <row r="15559" s="9" customFormat="1" ht="21.95" customHeight="1" x14ac:dyDescent="0.15"/>
    <row r="15560" s="9" customFormat="1" ht="21.95" customHeight="1" x14ac:dyDescent="0.15"/>
    <row r="15561" s="9" customFormat="1" ht="21.95" customHeight="1" x14ac:dyDescent="0.15"/>
    <row r="15562" s="9" customFormat="1" ht="21.95" customHeight="1" x14ac:dyDescent="0.15"/>
    <row r="15563" s="9" customFormat="1" ht="21.95" customHeight="1" x14ac:dyDescent="0.15"/>
    <row r="15564" s="9" customFormat="1" ht="21.95" customHeight="1" x14ac:dyDescent="0.15"/>
    <row r="15565" s="9" customFormat="1" ht="21.95" customHeight="1" x14ac:dyDescent="0.15"/>
    <row r="15566" s="9" customFormat="1" ht="21.95" customHeight="1" x14ac:dyDescent="0.15"/>
    <row r="15567" s="9" customFormat="1" ht="21.95" customHeight="1" x14ac:dyDescent="0.15"/>
    <row r="15568" s="9" customFormat="1" ht="21.95" customHeight="1" x14ac:dyDescent="0.15"/>
    <row r="15569" s="9" customFormat="1" ht="21.95" customHeight="1" x14ac:dyDescent="0.15"/>
    <row r="15570" s="9" customFormat="1" ht="21.95" customHeight="1" x14ac:dyDescent="0.15"/>
    <row r="15571" s="9" customFormat="1" ht="21.95" customHeight="1" x14ac:dyDescent="0.15"/>
    <row r="15572" s="9" customFormat="1" ht="21.95" customHeight="1" x14ac:dyDescent="0.15"/>
    <row r="15573" s="9" customFormat="1" ht="21.95" customHeight="1" x14ac:dyDescent="0.15"/>
    <row r="15574" s="9" customFormat="1" ht="21.95" customHeight="1" x14ac:dyDescent="0.15"/>
    <row r="15575" s="9" customFormat="1" ht="21.95" customHeight="1" x14ac:dyDescent="0.15"/>
    <row r="15576" s="9" customFormat="1" ht="21.95" customHeight="1" x14ac:dyDescent="0.15"/>
    <row r="15577" s="9" customFormat="1" ht="21.95" customHeight="1" x14ac:dyDescent="0.15"/>
    <row r="15578" s="9" customFormat="1" ht="21.95" customHeight="1" x14ac:dyDescent="0.15"/>
    <row r="15579" s="9" customFormat="1" ht="21.95" customHeight="1" x14ac:dyDescent="0.15"/>
    <row r="15580" s="9" customFormat="1" ht="21.95" customHeight="1" x14ac:dyDescent="0.15"/>
    <row r="15581" s="9" customFormat="1" ht="21.95" customHeight="1" x14ac:dyDescent="0.15"/>
    <row r="15582" s="9" customFormat="1" ht="21.95" customHeight="1" x14ac:dyDescent="0.15"/>
    <row r="15583" s="9" customFormat="1" ht="21.95" customHeight="1" x14ac:dyDescent="0.15"/>
    <row r="15584" s="9" customFormat="1" ht="21.95" customHeight="1" x14ac:dyDescent="0.15"/>
    <row r="15585" s="9" customFormat="1" ht="21.95" customHeight="1" x14ac:dyDescent="0.15"/>
    <row r="15586" s="9" customFormat="1" ht="21.95" customHeight="1" x14ac:dyDescent="0.15"/>
    <row r="15587" s="9" customFormat="1" ht="21.95" customHeight="1" x14ac:dyDescent="0.15"/>
    <row r="15588" s="9" customFormat="1" ht="21.95" customHeight="1" x14ac:dyDescent="0.15"/>
    <row r="15589" s="9" customFormat="1" ht="21.95" customHeight="1" x14ac:dyDescent="0.15"/>
    <row r="15590" s="9" customFormat="1" ht="35.1" customHeight="1" x14ac:dyDescent="0.15"/>
    <row r="15591" s="9" customFormat="1" ht="21.95" customHeight="1" x14ac:dyDescent="0.15"/>
    <row r="15592" s="9" customFormat="1" ht="21.95" customHeight="1" x14ac:dyDescent="0.15"/>
    <row r="15593" s="9" customFormat="1" ht="21.95" customHeight="1" x14ac:dyDescent="0.15"/>
    <row r="15594" s="9" customFormat="1" ht="21.95" customHeight="1" x14ac:dyDescent="0.15"/>
    <row r="15595" s="9" customFormat="1" ht="21.95" customHeight="1" x14ac:dyDescent="0.15"/>
    <row r="15596" s="9" customFormat="1" ht="21.95" customHeight="1" x14ac:dyDescent="0.15"/>
    <row r="15597" s="9" customFormat="1" ht="21.95" customHeight="1" x14ac:dyDescent="0.15"/>
    <row r="15598" s="9" customFormat="1" ht="21.95" customHeight="1" x14ac:dyDescent="0.15"/>
    <row r="15599" s="9" customFormat="1" ht="21.95" customHeight="1" x14ac:dyDescent="0.15"/>
    <row r="15600" s="9" customFormat="1" ht="21.95" customHeight="1" x14ac:dyDescent="0.15"/>
    <row r="15601" spans="3:3" s="9" customFormat="1" ht="21.95" customHeight="1" x14ac:dyDescent="0.15"/>
    <row r="15602" spans="3:3" s="9" customFormat="1" ht="21.95" customHeight="1" x14ac:dyDescent="0.15"/>
    <row r="15603" spans="3:3" s="9" customFormat="1" ht="21.95" customHeight="1" x14ac:dyDescent="0.15"/>
    <row r="15604" spans="3:3" s="9" customFormat="1" ht="21.95" customHeight="1" x14ac:dyDescent="0.15"/>
    <row r="15605" spans="3:3" s="9" customFormat="1" ht="21.95" customHeight="1" x14ac:dyDescent="0.15"/>
    <row r="15606" spans="3:3" s="9" customFormat="1" ht="21.95" customHeight="1" x14ac:dyDescent="0.15"/>
    <row r="15607" spans="3:3" s="9" customFormat="1" ht="21.95" customHeight="1" x14ac:dyDescent="0.15"/>
    <row r="15608" spans="3:3" s="9" customFormat="1" ht="21.95" customHeight="1" x14ac:dyDescent="0.15"/>
    <row r="15609" spans="3:3" s="9" customFormat="1" ht="21.95" customHeight="1" x14ac:dyDescent="0.15"/>
    <row r="15610" spans="3:3" s="9" customFormat="1" ht="21.95" customHeight="1" x14ac:dyDescent="0.15"/>
    <row r="15611" spans="3:3" s="9" customFormat="1" ht="21.95" customHeight="1" x14ac:dyDescent="0.15"/>
    <row r="15612" spans="3:3" s="9" customFormat="1" ht="21.95" customHeight="1" x14ac:dyDescent="0.15"/>
    <row r="15613" spans="3:3" s="9" customFormat="1" ht="21.95" customHeight="1" x14ac:dyDescent="0.15"/>
    <row r="15614" spans="3:3" s="8" customFormat="1" ht="21.95" customHeight="1" x14ac:dyDescent="0.15"/>
    <row r="15615" spans="3:3" s="8" customFormat="1" ht="21.95" customHeight="1" x14ac:dyDescent="0.15"/>
    <row r="15616" spans="3:3" s="8" customFormat="1" ht="21.95" customHeight="1" x14ac:dyDescent="0.15">
      <c r="C15616" s="101"/>
    </row>
    <row r="15617" spans="3:3" s="8" customFormat="1" ht="21.95" customHeight="1" x14ac:dyDescent="0.15">
      <c r="C15617" s="101"/>
    </row>
    <row r="15618" spans="3:3" s="8" customFormat="1" ht="21.95" customHeight="1" x14ac:dyDescent="0.15"/>
    <row r="15619" spans="3:3" s="8" customFormat="1" ht="21.95" customHeight="1" x14ac:dyDescent="0.15"/>
    <row r="15620" spans="3:3" s="8" customFormat="1" ht="21.95" customHeight="1" x14ac:dyDescent="0.15"/>
    <row r="15621" spans="3:3" s="8" customFormat="1" ht="21.95" customHeight="1" x14ac:dyDescent="0.15"/>
    <row r="15622" spans="3:3" s="8" customFormat="1" ht="21.95" customHeight="1" x14ac:dyDescent="0.15"/>
    <row r="15623" spans="3:3" s="8" customFormat="1" ht="21.95" customHeight="1" x14ac:dyDescent="0.15"/>
    <row r="15624" spans="3:3" s="8" customFormat="1" ht="21.95" customHeight="1" x14ac:dyDescent="0.15"/>
    <row r="15625" spans="3:3" s="9" customFormat="1" ht="21.95" customHeight="1" x14ac:dyDescent="0.15"/>
    <row r="15626" spans="3:3" s="9" customFormat="1" ht="21.95" customHeight="1" x14ac:dyDescent="0.15"/>
    <row r="15627" spans="3:3" s="9" customFormat="1" ht="21.95" customHeight="1" x14ac:dyDescent="0.15"/>
    <row r="15628" spans="3:3" s="9" customFormat="1" ht="21.95" customHeight="1" x14ac:dyDescent="0.15"/>
    <row r="15629" spans="3:3" s="8" customFormat="1" ht="21.95" customHeight="1" x14ac:dyDescent="0.15"/>
    <row r="15630" spans="3:3" s="8" customFormat="1" ht="21.95" customHeight="1" x14ac:dyDescent="0.15"/>
    <row r="15631" spans="3:3" s="8" customFormat="1" ht="21.95" customHeight="1" x14ac:dyDescent="0.15"/>
    <row r="15632" spans="3:3" s="8" customFormat="1" ht="21.95" customHeight="1" x14ac:dyDescent="0.15"/>
    <row r="15633" s="8" customFormat="1" ht="21.95" customHeight="1" x14ac:dyDescent="0.15"/>
    <row r="15634" s="8" customFormat="1" ht="21.95" customHeight="1" x14ac:dyDescent="0.15"/>
    <row r="15635" s="8" customFormat="1" ht="21.95" customHeight="1" x14ac:dyDescent="0.15"/>
    <row r="15636" s="8" customFormat="1" ht="21.95" customHeight="1" x14ac:dyDescent="0.15"/>
    <row r="15637" s="8" customFormat="1" ht="21.95" customHeight="1" x14ac:dyDescent="0.15"/>
    <row r="15638" s="8" customFormat="1" ht="21.95" customHeight="1" x14ac:dyDescent="0.15"/>
    <row r="15639" s="8" customFormat="1" ht="21.95" customHeight="1" x14ac:dyDescent="0.15"/>
    <row r="15640" s="8" customFormat="1" ht="32.1" customHeight="1" x14ac:dyDescent="0.15"/>
    <row r="15641" s="8" customFormat="1" ht="32.1" customHeight="1" x14ac:dyDescent="0.15"/>
    <row r="15642" s="8" customFormat="1" ht="32.1" customHeight="1" x14ac:dyDescent="0.15"/>
    <row r="15643" s="8" customFormat="1" ht="32.1" customHeight="1" x14ac:dyDescent="0.15"/>
    <row r="15644" s="8" customFormat="1" ht="32.1" customHeight="1" x14ac:dyDescent="0.15"/>
    <row r="15645" s="8" customFormat="1" ht="32.1" customHeight="1" x14ac:dyDescent="0.15"/>
    <row r="15646" s="9" customFormat="1" ht="32.1" customHeight="1" x14ac:dyDescent="0.15"/>
    <row r="15647" s="9" customFormat="1" ht="32.1" customHeight="1" x14ac:dyDescent="0.15"/>
    <row r="15648" s="9" customFormat="1" ht="32.1" customHeight="1" x14ac:dyDescent="0.15"/>
    <row r="15649" s="9" customFormat="1" ht="32.1" customHeight="1" x14ac:dyDescent="0.15"/>
    <row r="15650" s="9" customFormat="1" ht="21.95" customHeight="1" x14ac:dyDescent="0.15"/>
    <row r="15651" s="9" customFormat="1" ht="54" customHeight="1" x14ac:dyDescent="0.15"/>
    <row r="15652" s="9" customFormat="1" ht="21.95" customHeight="1" x14ac:dyDescent="0.15"/>
    <row r="15653" s="9" customFormat="1" ht="21.95" customHeight="1" x14ac:dyDescent="0.15"/>
    <row r="15654" s="9" customFormat="1" ht="21.95" customHeight="1" x14ac:dyDescent="0.15"/>
    <row r="15655" s="9" customFormat="1" ht="21.95" customHeight="1" x14ac:dyDescent="0.15"/>
    <row r="15656" s="9" customFormat="1" ht="21.95" customHeight="1" x14ac:dyDescent="0.15"/>
    <row r="15657" s="9" customFormat="1" ht="21.95" customHeight="1" x14ac:dyDescent="0.15"/>
    <row r="15658" s="9" customFormat="1" ht="21.95" customHeight="1" x14ac:dyDescent="0.15"/>
    <row r="15659" s="9" customFormat="1" ht="21.95" customHeight="1" x14ac:dyDescent="0.15"/>
    <row r="15660" s="9" customFormat="1" ht="21.95" customHeight="1" x14ac:dyDescent="0.15"/>
    <row r="15661" s="9" customFormat="1" ht="21.95" customHeight="1" x14ac:dyDescent="0.15"/>
    <row r="15662" s="9" customFormat="1" ht="21.95" customHeight="1" x14ac:dyDescent="0.15"/>
    <row r="15663" s="9" customFormat="1" ht="21.95" customHeight="1" x14ac:dyDescent="0.15"/>
    <row r="15664" s="9" customFormat="1" ht="21.95" customHeight="1" x14ac:dyDescent="0.15"/>
    <row r="15665" s="9" customFormat="1" ht="21.95" customHeight="1" x14ac:dyDescent="0.15"/>
    <row r="15666" s="9" customFormat="1" ht="21.95" customHeight="1" x14ac:dyDescent="0.15"/>
    <row r="15667" s="9" customFormat="1" ht="21.95" customHeight="1" x14ac:dyDescent="0.15"/>
    <row r="15668" s="9" customFormat="1" ht="21.95" customHeight="1" x14ac:dyDescent="0.15"/>
    <row r="15669" s="9" customFormat="1" ht="21.95" customHeight="1" x14ac:dyDescent="0.15"/>
    <row r="15670" s="9" customFormat="1" ht="21.95" customHeight="1" x14ac:dyDescent="0.15"/>
    <row r="15671" s="9" customFormat="1" ht="21.95" customHeight="1" x14ac:dyDescent="0.15"/>
    <row r="15672" s="9" customFormat="1" ht="21.95" customHeight="1" x14ac:dyDescent="0.15"/>
    <row r="15673" s="9" customFormat="1" ht="21.95" customHeight="1" x14ac:dyDescent="0.15"/>
    <row r="15674" s="9" customFormat="1" ht="21.95" customHeight="1" x14ac:dyDescent="0.15"/>
    <row r="15675" s="9" customFormat="1" ht="21.95" customHeight="1" x14ac:dyDescent="0.15"/>
    <row r="15676" s="9" customFormat="1" ht="21.95" customHeight="1" x14ac:dyDescent="0.15"/>
    <row r="15677" s="9" customFormat="1" ht="21.95" customHeight="1" x14ac:dyDescent="0.15"/>
    <row r="15678" s="9" customFormat="1" ht="21.95" customHeight="1" x14ac:dyDescent="0.15"/>
    <row r="15679" s="9" customFormat="1" ht="21.95" customHeight="1" x14ac:dyDescent="0.15"/>
    <row r="15680" s="9" customFormat="1" ht="21.95" customHeight="1" x14ac:dyDescent="0.15"/>
    <row r="15681" s="9" customFormat="1" ht="21.95" customHeight="1" x14ac:dyDescent="0.15"/>
    <row r="15682" s="9" customFormat="1" ht="21.95" customHeight="1" x14ac:dyDescent="0.15"/>
    <row r="15683" s="9" customFormat="1" ht="21.95" customHeight="1" x14ac:dyDescent="0.15"/>
    <row r="15684" s="9" customFormat="1" ht="21.95" customHeight="1" x14ac:dyDescent="0.15"/>
    <row r="15685" s="9" customFormat="1" ht="21.95" customHeight="1" x14ac:dyDescent="0.15"/>
    <row r="15686" s="9" customFormat="1" ht="21.95" customHeight="1" x14ac:dyDescent="0.15"/>
    <row r="15687" s="9" customFormat="1" ht="21.95" customHeight="1" x14ac:dyDescent="0.15"/>
    <row r="15688" s="9" customFormat="1" ht="21.95" customHeight="1" x14ac:dyDescent="0.15"/>
    <row r="15689" s="9" customFormat="1" ht="21.95" customHeight="1" x14ac:dyDescent="0.15"/>
    <row r="15690" s="9" customFormat="1" ht="21.95" customHeight="1" x14ac:dyDescent="0.15"/>
    <row r="15691" s="9" customFormat="1" ht="21.95" customHeight="1" x14ac:dyDescent="0.15"/>
    <row r="15692" s="9" customFormat="1" ht="21.95" customHeight="1" x14ac:dyDescent="0.15"/>
    <row r="15693" s="9" customFormat="1" ht="21.95" customHeight="1" x14ac:dyDescent="0.15"/>
    <row r="15694" s="9" customFormat="1" ht="21.95" customHeight="1" x14ac:dyDescent="0.15"/>
    <row r="15695" s="9" customFormat="1" ht="21.95" customHeight="1" x14ac:dyDescent="0.15"/>
    <row r="15696" s="9" customFormat="1" ht="21.95" customHeight="1" x14ac:dyDescent="0.15"/>
    <row r="15697" s="9" customFormat="1" ht="21.95" customHeight="1" x14ac:dyDescent="0.15"/>
    <row r="15698" s="9" customFormat="1" ht="21.95" customHeight="1" x14ac:dyDescent="0.15"/>
    <row r="15699" s="9" customFormat="1" ht="21.95" customHeight="1" x14ac:dyDescent="0.15"/>
    <row r="15700" s="9" customFormat="1" ht="21.95" customHeight="1" x14ac:dyDescent="0.15"/>
    <row r="15701" s="9" customFormat="1" ht="21.95" customHeight="1" x14ac:dyDescent="0.15"/>
    <row r="15702" s="9" customFormat="1" ht="35.1" customHeight="1" x14ac:dyDescent="0.15"/>
    <row r="15703" s="9" customFormat="1" ht="21.95" customHeight="1" x14ac:dyDescent="0.15"/>
    <row r="15704" s="9" customFormat="1" ht="21.95" customHeight="1" x14ac:dyDescent="0.15"/>
    <row r="15705" s="9" customFormat="1" ht="21.95" customHeight="1" x14ac:dyDescent="0.15"/>
    <row r="15706" s="9" customFormat="1" ht="21.95" customHeight="1" x14ac:dyDescent="0.15"/>
    <row r="15707" s="9" customFormat="1" ht="21.95" customHeight="1" x14ac:dyDescent="0.15"/>
    <row r="15708" s="9" customFormat="1" ht="21.95" customHeight="1" x14ac:dyDescent="0.15"/>
    <row r="15709" s="9" customFormat="1" ht="21.95" customHeight="1" x14ac:dyDescent="0.15"/>
    <row r="15710" s="9" customFormat="1" ht="21.95" customHeight="1" x14ac:dyDescent="0.15"/>
    <row r="15711" s="9" customFormat="1" ht="21.95" customHeight="1" x14ac:dyDescent="0.15"/>
    <row r="15712" s="9" customFormat="1" ht="21.95" customHeight="1" x14ac:dyDescent="0.15"/>
    <row r="15713" spans="3:3" s="9" customFormat="1" ht="21.95" customHeight="1" x14ac:dyDescent="0.15"/>
    <row r="15714" spans="3:3" s="9" customFormat="1" ht="21.95" customHeight="1" x14ac:dyDescent="0.15"/>
    <row r="15715" spans="3:3" s="9" customFormat="1" ht="21.95" customHeight="1" x14ac:dyDescent="0.15"/>
    <row r="15716" spans="3:3" s="9" customFormat="1" ht="21.95" customHeight="1" x14ac:dyDescent="0.15"/>
    <row r="15717" spans="3:3" s="9" customFormat="1" ht="21.95" customHeight="1" x14ac:dyDescent="0.15"/>
    <row r="15718" spans="3:3" s="9" customFormat="1" ht="21.95" customHeight="1" x14ac:dyDescent="0.15"/>
    <row r="15719" spans="3:3" s="9" customFormat="1" ht="21.95" customHeight="1" x14ac:dyDescent="0.15"/>
    <row r="15720" spans="3:3" s="9" customFormat="1" ht="21.95" customHeight="1" x14ac:dyDescent="0.15"/>
    <row r="15721" spans="3:3" s="9" customFormat="1" ht="21.95" customHeight="1" x14ac:dyDescent="0.15"/>
    <row r="15722" spans="3:3" s="9" customFormat="1" ht="21.95" customHeight="1" x14ac:dyDescent="0.15"/>
    <row r="15723" spans="3:3" s="9" customFormat="1" ht="21.95" customHeight="1" x14ac:dyDescent="0.15"/>
    <row r="15724" spans="3:3" s="9" customFormat="1" ht="21.95" customHeight="1" x14ac:dyDescent="0.15"/>
    <row r="15725" spans="3:3" s="9" customFormat="1" ht="21.95" customHeight="1" x14ac:dyDescent="0.15"/>
    <row r="15726" spans="3:3" s="8" customFormat="1" ht="21.95" customHeight="1" x14ac:dyDescent="0.15"/>
    <row r="15727" spans="3:3" s="8" customFormat="1" ht="21.95" customHeight="1" x14ac:dyDescent="0.15"/>
    <row r="15728" spans="3:3" s="8" customFormat="1" ht="21.95" customHeight="1" x14ac:dyDescent="0.15">
      <c r="C15728" s="101"/>
    </row>
    <row r="15729" spans="3:3" s="8" customFormat="1" ht="21.95" customHeight="1" x14ac:dyDescent="0.15">
      <c r="C15729" s="101"/>
    </row>
    <row r="15730" spans="3:3" s="8" customFormat="1" ht="21.95" customHeight="1" x14ac:dyDescent="0.15"/>
    <row r="15731" spans="3:3" s="8" customFormat="1" ht="21.95" customHeight="1" x14ac:dyDescent="0.15"/>
    <row r="15732" spans="3:3" s="8" customFormat="1" ht="21.95" customHeight="1" x14ac:dyDescent="0.15"/>
    <row r="15733" spans="3:3" s="8" customFormat="1" ht="21.95" customHeight="1" x14ac:dyDescent="0.15"/>
    <row r="15734" spans="3:3" s="8" customFormat="1" ht="21.95" customHeight="1" x14ac:dyDescent="0.15"/>
    <row r="15735" spans="3:3" s="8" customFormat="1" ht="21.95" customHeight="1" x14ac:dyDescent="0.15"/>
    <row r="15736" spans="3:3" s="8" customFormat="1" ht="21.95" customHeight="1" x14ac:dyDescent="0.15"/>
    <row r="15737" spans="3:3" s="9" customFormat="1" ht="21.95" customHeight="1" x14ac:dyDescent="0.15"/>
    <row r="15738" spans="3:3" s="9" customFormat="1" ht="21.95" customHeight="1" x14ac:dyDescent="0.15"/>
    <row r="15739" spans="3:3" s="9" customFormat="1" ht="21.95" customHeight="1" x14ac:dyDescent="0.15"/>
    <row r="15740" spans="3:3" s="9" customFormat="1" ht="21.95" customHeight="1" x14ac:dyDescent="0.15"/>
    <row r="15741" spans="3:3" s="8" customFormat="1" ht="21.95" customHeight="1" x14ac:dyDescent="0.15"/>
    <row r="15742" spans="3:3" s="8" customFormat="1" ht="21.95" customHeight="1" x14ac:dyDescent="0.15"/>
    <row r="15743" spans="3:3" s="8" customFormat="1" ht="21.95" customHeight="1" x14ac:dyDescent="0.15"/>
    <row r="15744" spans="3:3" s="8" customFormat="1" ht="21.95" customHeight="1" x14ac:dyDescent="0.15"/>
    <row r="15745" s="8" customFormat="1" ht="21.95" customHeight="1" x14ac:dyDescent="0.15"/>
    <row r="15746" s="8" customFormat="1" ht="21.95" customHeight="1" x14ac:dyDescent="0.15"/>
    <row r="15747" s="8" customFormat="1" ht="21.95" customHeight="1" x14ac:dyDescent="0.15"/>
    <row r="15748" s="8" customFormat="1" ht="21.95" customHeight="1" x14ac:dyDescent="0.15"/>
    <row r="15749" s="8" customFormat="1" ht="21.95" customHeight="1" x14ac:dyDescent="0.15"/>
    <row r="15750" s="8" customFormat="1" ht="21.95" customHeight="1" x14ac:dyDescent="0.15"/>
    <row r="15751" s="8" customFormat="1" ht="21.95" customHeight="1" x14ac:dyDescent="0.15"/>
    <row r="15752" s="8" customFormat="1" ht="32.1" customHeight="1" x14ac:dyDescent="0.15"/>
    <row r="15753" s="8" customFormat="1" ht="32.1" customHeight="1" x14ac:dyDescent="0.15"/>
    <row r="15754" s="8" customFormat="1" ht="32.1" customHeight="1" x14ac:dyDescent="0.15"/>
    <row r="15755" s="8" customFormat="1" ht="32.1" customHeight="1" x14ac:dyDescent="0.15"/>
    <row r="15756" s="8" customFormat="1" ht="32.1" customHeight="1" x14ac:dyDescent="0.15"/>
    <row r="15757" s="8" customFormat="1" ht="32.1" customHeight="1" x14ac:dyDescent="0.15"/>
    <row r="15758" s="9" customFormat="1" ht="32.1" customHeight="1" x14ac:dyDescent="0.15"/>
    <row r="15759" s="9" customFormat="1" ht="32.1" customHeight="1" x14ac:dyDescent="0.15"/>
    <row r="15760" s="9" customFormat="1" ht="32.1" customHeight="1" x14ac:dyDescent="0.15"/>
    <row r="15761" s="9" customFormat="1" ht="32.1" customHeight="1" x14ac:dyDescent="0.15"/>
    <row r="15762" s="9" customFormat="1" ht="21.95" customHeight="1" x14ac:dyDescent="0.15"/>
    <row r="15763" s="9" customFormat="1" ht="54" customHeight="1" x14ac:dyDescent="0.15"/>
    <row r="15764" s="9" customFormat="1" ht="21.95" customHeight="1" x14ac:dyDescent="0.15"/>
    <row r="15765" s="9" customFormat="1" ht="21.95" customHeight="1" x14ac:dyDescent="0.15"/>
    <row r="15766" s="9" customFormat="1" ht="21.95" customHeight="1" x14ac:dyDescent="0.15"/>
    <row r="15767" s="9" customFormat="1" ht="21.95" customHeight="1" x14ac:dyDescent="0.15"/>
    <row r="15768" s="9" customFormat="1" ht="21.95" customHeight="1" x14ac:dyDescent="0.15"/>
    <row r="15769" s="9" customFormat="1" ht="21.95" customHeight="1" x14ac:dyDescent="0.15"/>
    <row r="15770" s="9" customFormat="1" ht="21.95" customHeight="1" x14ac:dyDescent="0.15"/>
    <row r="15771" s="9" customFormat="1" ht="21.95" customHeight="1" x14ac:dyDescent="0.15"/>
    <row r="15772" s="9" customFormat="1" ht="21.95" customHeight="1" x14ac:dyDescent="0.15"/>
    <row r="15773" s="9" customFormat="1" ht="21.95" customHeight="1" x14ac:dyDescent="0.15"/>
    <row r="15774" s="9" customFormat="1" ht="21.95" customHeight="1" x14ac:dyDescent="0.15"/>
    <row r="15775" s="9" customFormat="1" ht="21.95" customHeight="1" x14ac:dyDescent="0.15"/>
    <row r="15776" s="9" customFormat="1" ht="21.95" customHeight="1" x14ac:dyDescent="0.15"/>
    <row r="15777" s="9" customFormat="1" ht="21.95" customHeight="1" x14ac:dyDescent="0.15"/>
    <row r="15778" s="9" customFormat="1" ht="21.95" customHeight="1" x14ac:dyDescent="0.15"/>
    <row r="15779" s="9" customFormat="1" ht="21.95" customHeight="1" x14ac:dyDescent="0.15"/>
    <row r="15780" s="9" customFormat="1" ht="21.95" customHeight="1" x14ac:dyDescent="0.15"/>
    <row r="15781" s="9" customFormat="1" ht="21.95" customHeight="1" x14ac:dyDescent="0.15"/>
    <row r="15782" s="9" customFormat="1" ht="21.95" customHeight="1" x14ac:dyDescent="0.15"/>
    <row r="15783" s="9" customFormat="1" ht="21.95" customHeight="1" x14ac:dyDescent="0.15"/>
    <row r="15784" s="9" customFormat="1" ht="21.95" customHeight="1" x14ac:dyDescent="0.15"/>
    <row r="15785" s="9" customFormat="1" ht="21.95" customHeight="1" x14ac:dyDescent="0.15"/>
    <row r="15786" s="9" customFormat="1" ht="21.95" customHeight="1" x14ac:dyDescent="0.15"/>
    <row r="15787" s="9" customFormat="1" ht="21.95" customHeight="1" x14ac:dyDescent="0.15"/>
    <row r="15788" s="9" customFormat="1" ht="21.95" customHeight="1" x14ac:dyDescent="0.15"/>
    <row r="15789" s="9" customFormat="1" ht="21.95" customHeight="1" x14ac:dyDescent="0.15"/>
    <row r="15790" s="9" customFormat="1" ht="21.95" customHeight="1" x14ac:dyDescent="0.15"/>
    <row r="15791" s="9" customFormat="1" ht="21.95" customHeight="1" x14ac:dyDescent="0.15"/>
    <row r="15792" s="9" customFormat="1" ht="21.95" customHeight="1" x14ac:dyDescent="0.15"/>
    <row r="15793" s="9" customFormat="1" ht="21.95" customHeight="1" x14ac:dyDescent="0.15"/>
    <row r="15794" s="9" customFormat="1" ht="21.95" customHeight="1" x14ac:dyDescent="0.15"/>
    <row r="15795" s="9" customFormat="1" ht="21.95" customHeight="1" x14ac:dyDescent="0.15"/>
    <row r="15796" s="9" customFormat="1" ht="21.95" customHeight="1" x14ac:dyDescent="0.15"/>
    <row r="15797" s="9" customFormat="1" ht="21.95" customHeight="1" x14ac:dyDescent="0.15"/>
    <row r="15798" s="9" customFormat="1" ht="21.95" customHeight="1" x14ac:dyDescent="0.15"/>
    <row r="15799" s="9" customFormat="1" ht="21.95" customHeight="1" x14ac:dyDescent="0.15"/>
    <row r="15800" s="9" customFormat="1" ht="21.95" customHeight="1" x14ac:dyDescent="0.15"/>
    <row r="15801" s="9" customFormat="1" ht="21.95" customHeight="1" x14ac:dyDescent="0.15"/>
    <row r="15802" s="9" customFormat="1" ht="21.95" customHeight="1" x14ac:dyDescent="0.15"/>
    <row r="15803" s="9" customFormat="1" ht="21.95" customHeight="1" x14ac:dyDescent="0.15"/>
    <row r="15804" s="9" customFormat="1" ht="21.95" customHeight="1" x14ac:dyDescent="0.15"/>
    <row r="15805" s="9" customFormat="1" ht="21.95" customHeight="1" x14ac:dyDescent="0.15"/>
    <row r="15806" s="9" customFormat="1" ht="21.95" customHeight="1" x14ac:dyDescent="0.15"/>
    <row r="15807" s="9" customFormat="1" ht="21.95" customHeight="1" x14ac:dyDescent="0.15"/>
    <row r="15808" s="9" customFormat="1" ht="21.95" customHeight="1" x14ac:dyDescent="0.15"/>
    <row r="15809" s="9" customFormat="1" ht="21.95" customHeight="1" x14ac:dyDescent="0.15"/>
    <row r="15810" s="9" customFormat="1" ht="21.95" customHeight="1" x14ac:dyDescent="0.15"/>
    <row r="15811" s="9" customFormat="1" ht="21.95" customHeight="1" x14ac:dyDescent="0.15"/>
    <row r="15812" s="9" customFormat="1" ht="21.95" customHeight="1" x14ac:dyDescent="0.15"/>
    <row r="15813" s="9" customFormat="1" ht="21.95" customHeight="1" x14ac:dyDescent="0.15"/>
    <row r="15814" s="9" customFormat="1" ht="35.1" customHeight="1" x14ac:dyDescent="0.15"/>
    <row r="15815" s="9" customFormat="1" ht="21.95" customHeight="1" x14ac:dyDescent="0.15"/>
    <row r="15816" s="9" customFormat="1" ht="21.95" customHeight="1" x14ac:dyDescent="0.15"/>
    <row r="15817" s="9" customFormat="1" ht="21.95" customHeight="1" x14ac:dyDescent="0.15"/>
    <row r="15818" s="9" customFormat="1" ht="21.95" customHeight="1" x14ac:dyDescent="0.15"/>
    <row r="15819" s="9" customFormat="1" ht="21.95" customHeight="1" x14ac:dyDescent="0.15"/>
    <row r="15820" s="9" customFormat="1" ht="21.95" customHeight="1" x14ac:dyDescent="0.15"/>
    <row r="15821" s="9" customFormat="1" ht="21.95" customHeight="1" x14ac:dyDescent="0.15"/>
    <row r="15822" s="9" customFormat="1" ht="21.95" customHeight="1" x14ac:dyDescent="0.15"/>
    <row r="15823" s="9" customFormat="1" ht="21.95" customHeight="1" x14ac:dyDescent="0.15"/>
    <row r="15824" s="9" customFormat="1" ht="21.95" customHeight="1" x14ac:dyDescent="0.15"/>
    <row r="15825" spans="3:3" s="9" customFormat="1" ht="21.95" customHeight="1" x14ac:dyDescent="0.15"/>
    <row r="15826" spans="3:3" s="9" customFormat="1" ht="21.95" customHeight="1" x14ac:dyDescent="0.15"/>
    <row r="15827" spans="3:3" s="9" customFormat="1" ht="21.95" customHeight="1" x14ac:dyDescent="0.15"/>
    <row r="15828" spans="3:3" s="9" customFormat="1" ht="21.95" customHeight="1" x14ac:dyDescent="0.15"/>
    <row r="15829" spans="3:3" s="9" customFormat="1" ht="21.95" customHeight="1" x14ac:dyDescent="0.15"/>
    <row r="15830" spans="3:3" s="9" customFormat="1" ht="21.95" customHeight="1" x14ac:dyDescent="0.15"/>
    <row r="15831" spans="3:3" s="9" customFormat="1" ht="21.95" customHeight="1" x14ac:dyDescent="0.15"/>
    <row r="15832" spans="3:3" s="9" customFormat="1" ht="21.95" customHeight="1" x14ac:dyDescent="0.15"/>
    <row r="15833" spans="3:3" s="9" customFormat="1" ht="21.95" customHeight="1" x14ac:dyDescent="0.15"/>
    <row r="15834" spans="3:3" s="9" customFormat="1" ht="21.95" customHeight="1" x14ac:dyDescent="0.15"/>
    <row r="15835" spans="3:3" s="9" customFormat="1" ht="21.95" customHeight="1" x14ac:dyDescent="0.15"/>
    <row r="15836" spans="3:3" s="9" customFormat="1" ht="21.95" customHeight="1" x14ac:dyDescent="0.15"/>
    <row r="15837" spans="3:3" s="9" customFormat="1" ht="21.95" customHeight="1" x14ac:dyDescent="0.15"/>
    <row r="15838" spans="3:3" s="8" customFormat="1" ht="21.95" customHeight="1" x14ac:dyDescent="0.15"/>
    <row r="15839" spans="3:3" s="8" customFormat="1" ht="21.95" customHeight="1" x14ac:dyDescent="0.15"/>
    <row r="15840" spans="3:3" s="8" customFormat="1" ht="21.95" customHeight="1" x14ac:dyDescent="0.15">
      <c r="C15840" s="101"/>
    </row>
    <row r="15841" spans="3:3" s="8" customFormat="1" ht="21.95" customHeight="1" x14ac:dyDescent="0.15">
      <c r="C15841" s="101"/>
    </row>
    <row r="15842" spans="3:3" s="8" customFormat="1" ht="21.95" customHeight="1" x14ac:dyDescent="0.15"/>
    <row r="15843" spans="3:3" s="8" customFormat="1" ht="21.95" customHeight="1" x14ac:dyDescent="0.15"/>
    <row r="15844" spans="3:3" s="8" customFormat="1" ht="21.95" customHeight="1" x14ac:dyDescent="0.15"/>
    <row r="15845" spans="3:3" s="8" customFormat="1" ht="21.95" customHeight="1" x14ac:dyDescent="0.15"/>
    <row r="15846" spans="3:3" s="8" customFormat="1" ht="21.95" customHeight="1" x14ac:dyDescent="0.15"/>
    <row r="15847" spans="3:3" s="8" customFormat="1" ht="21.95" customHeight="1" x14ac:dyDescent="0.15"/>
    <row r="15848" spans="3:3" s="8" customFormat="1" ht="21.95" customHeight="1" x14ac:dyDescent="0.15"/>
    <row r="15849" spans="3:3" s="9" customFormat="1" ht="21.95" customHeight="1" x14ac:dyDescent="0.15"/>
    <row r="15850" spans="3:3" s="9" customFormat="1" ht="21.95" customHeight="1" x14ac:dyDescent="0.15"/>
    <row r="15851" spans="3:3" s="9" customFormat="1" ht="21.95" customHeight="1" x14ac:dyDescent="0.15"/>
    <row r="15852" spans="3:3" s="9" customFormat="1" ht="21.95" customHeight="1" x14ac:dyDescent="0.15"/>
    <row r="15853" spans="3:3" s="8" customFormat="1" ht="21.95" customHeight="1" x14ac:dyDescent="0.15"/>
    <row r="15854" spans="3:3" s="8" customFormat="1" ht="21.95" customHeight="1" x14ac:dyDescent="0.15"/>
    <row r="15855" spans="3:3" s="8" customFormat="1" ht="21.95" customHeight="1" x14ac:dyDescent="0.15"/>
    <row r="15856" spans="3:3" s="8" customFormat="1" ht="21.95" customHeight="1" x14ac:dyDescent="0.15"/>
    <row r="15857" s="8" customFormat="1" ht="21.95" customHeight="1" x14ac:dyDescent="0.15"/>
    <row r="15858" s="8" customFormat="1" ht="21.95" customHeight="1" x14ac:dyDescent="0.15"/>
    <row r="15859" s="8" customFormat="1" ht="21.95" customHeight="1" x14ac:dyDescent="0.15"/>
    <row r="15860" s="8" customFormat="1" ht="21.95" customHeight="1" x14ac:dyDescent="0.15"/>
    <row r="15861" s="8" customFormat="1" ht="21.95" customHeight="1" x14ac:dyDescent="0.15"/>
    <row r="15862" s="8" customFormat="1" ht="21.95" customHeight="1" x14ac:dyDescent="0.15"/>
    <row r="15863" s="8" customFormat="1" ht="21.95" customHeight="1" x14ac:dyDescent="0.15"/>
    <row r="15864" s="8" customFormat="1" ht="32.1" customHeight="1" x14ac:dyDescent="0.15"/>
    <row r="15865" s="8" customFormat="1" ht="32.1" customHeight="1" x14ac:dyDescent="0.15"/>
    <row r="15866" s="8" customFormat="1" ht="32.1" customHeight="1" x14ac:dyDescent="0.15"/>
    <row r="15867" s="8" customFormat="1" ht="32.1" customHeight="1" x14ac:dyDescent="0.15"/>
    <row r="15868" s="8" customFormat="1" ht="32.1" customHeight="1" x14ac:dyDescent="0.15"/>
    <row r="15869" s="8" customFormat="1" ht="32.1" customHeight="1" x14ac:dyDescent="0.15"/>
    <row r="15870" s="9" customFormat="1" ht="32.1" customHeight="1" x14ac:dyDescent="0.15"/>
    <row r="15871" s="9" customFormat="1" ht="32.1" customHeight="1" x14ac:dyDescent="0.15"/>
    <row r="15872" s="9" customFormat="1" ht="32.1" customHeight="1" x14ac:dyDescent="0.15"/>
    <row r="15873" s="9" customFormat="1" ht="32.1" customHeight="1" x14ac:dyDescent="0.15"/>
    <row r="15874" s="9" customFormat="1" ht="21.95" customHeight="1" x14ac:dyDescent="0.15"/>
    <row r="15875" s="9" customFormat="1" ht="54" customHeight="1" x14ac:dyDescent="0.15"/>
    <row r="15876" s="9" customFormat="1" ht="21.95" customHeight="1" x14ac:dyDescent="0.15"/>
    <row r="15877" s="9" customFormat="1" ht="21.95" customHeight="1" x14ac:dyDescent="0.15"/>
    <row r="15878" s="9" customFormat="1" ht="21.95" customHeight="1" x14ac:dyDescent="0.15"/>
    <row r="15879" s="9" customFormat="1" ht="21.95" customHeight="1" x14ac:dyDescent="0.15"/>
    <row r="15880" s="9" customFormat="1" ht="21.95" customHeight="1" x14ac:dyDescent="0.15"/>
    <row r="15881" s="9" customFormat="1" ht="21.95" customHeight="1" x14ac:dyDescent="0.15"/>
    <row r="15882" s="9" customFormat="1" ht="21.95" customHeight="1" x14ac:dyDescent="0.15"/>
    <row r="15883" s="9" customFormat="1" ht="21.95" customHeight="1" x14ac:dyDescent="0.15"/>
    <row r="15884" s="9" customFormat="1" ht="21.95" customHeight="1" x14ac:dyDescent="0.15"/>
    <row r="15885" s="9" customFormat="1" ht="21.95" customHeight="1" x14ac:dyDescent="0.15"/>
    <row r="15886" s="9" customFormat="1" ht="21.95" customHeight="1" x14ac:dyDescent="0.15"/>
    <row r="15887" s="9" customFormat="1" ht="21.95" customHeight="1" x14ac:dyDescent="0.15"/>
    <row r="15888" s="9" customFormat="1" ht="21.95" customHeight="1" x14ac:dyDescent="0.15"/>
    <row r="15889" s="9" customFormat="1" ht="21.95" customHeight="1" x14ac:dyDescent="0.15"/>
    <row r="15890" s="9" customFormat="1" ht="21.95" customHeight="1" x14ac:dyDescent="0.15"/>
    <row r="15891" s="9" customFormat="1" ht="21.95" customHeight="1" x14ac:dyDescent="0.15"/>
    <row r="15892" s="9" customFormat="1" ht="21.95" customHeight="1" x14ac:dyDescent="0.15"/>
    <row r="15893" s="9" customFormat="1" ht="21.95" customHeight="1" x14ac:dyDescent="0.15"/>
    <row r="15894" s="9" customFormat="1" ht="21.95" customHeight="1" x14ac:dyDescent="0.15"/>
    <row r="15895" s="9" customFormat="1" ht="21.95" customHeight="1" x14ac:dyDescent="0.15"/>
    <row r="15896" s="9" customFormat="1" ht="21.95" customHeight="1" x14ac:dyDescent="0.15"/>
    <row r="15897" s="9" customFormat="1" ht="21.95" customHeight="1" x14ac:dyDescent="0.15"/>
    <row r="15898" s="9" customFormat="1" ht="21.95" customHeight="1" x14ac:dyDescent="0.15"/>
    <row r="15899" s="9" customFormat="1" ht="21.95" customHeight="1" x14ac:dyDescent="0.15"/>
    <row r="15900" s="9" customFormat="1" ht="21.95" customHeight="1" x14ac:dyDescent="0.15"/>
    <row r="15901" s="9" customFormat="1" ht="21.95" customHeight="1" x14ac:dyDescent="0.15"/>
    <row r="15902" s="9" customFormat="1" ht="21.95" customHeight="1" x14ac:dyDescent="0.15"/>
    <row r="15903" s="9" customFormat="1" ht="21.95" customHeight="1" x14ac:dyDescent="0.15"/>
    <row r="15904" s="9" customFormat="1" ht="21.95" customHeight="1" x14ac:dyDescent="0.15"/>
    <row r="15905" s="9" customFormat="1" ht="21.95" customHeight="1" x14ac:dyDescent="0.15"/>
    <row r="15906" s="9" customFormat="1" ht="21.95" customHeight="1" x14ac:dyDescent="0.15"/>
    <row r="15907" s="9" customFormat="1" ht="21.95" customHeight="1" x14ac:dyDescent="0.15"/>
    <row r="15908" s="9" customFormat="1" ht="21.95" customHeight="1" x14ac:dyDescent="0.15"/>
    <row r="15909" s="9" customFormat="1" ht="21.95" customHeight="1" x14ac:dyDescent="0.15"/>
    <row r="15910" s="9" customFormat="1" ht="21.95" customHeight="1" x14ac:dyDescent="0.15"/>
    <row r="15911" s="9" customFormat="1" ht="21.95" customHeight="1" x14ac:dyDescent="0.15"/>
    <row r="15912" s="9" customFormat="1" ht="21.95" customHeight="1" x14ac:dyDescent="0.15"/>
    <row r="15913" s="9" customFormat="1" ht="21.95" customHeight="1" x14ac:dyDescent="0.15"/>
    <row r="15914" s="9" customFormat="1" ht="21.95" customHeight="1" x14ac:dyDescent="0.15"/>
    <row r="15915" s="9" customFormat="1" ht="21.95" customHeight="1" x14ac:dyDescent="0.15"/>
    <row r="15916" s="9" customFormat="1" ht="21.95" customHeight="1" x14ac:dyDescent="0.15"/>
    <row r="15917" s="9" customFormat="1" ht="21.95" customHeight="1" x14ac:dyDescent="0.15"/>
    <row r="15918" s="9" customFormat="1" ht="21.95" customHeight="1" x14ac:dyDescent="0.15"/>
    <row r="15919" s="9" customFormat="1" ht="21.95" customHeight="1" x14ac:dyDescent="0.15"/>
    <row r="15920" s="9" customFormat="1" ht="21.95" customHeight="1" x14ac:dyDescent="0.15"/>
    <row r="15921" s="9" customFormat="1" ht="21.95" customHeight="1" x14ac:dyDescent="0.15"/>
    <row r="15922" s="9" customFormat="1" ht="21.95" customHeight="1" x14ac:dyDescent="0.15"/>
    <row r="15923" s="9" customFormat="1" ht="21.95" customHeight="1" x14ac:dyDescent="0.15"/>
    <row r="15924" s="9" customFormat="1" ht="21.95" customHeight="1" x14ac:dyDescent="0.15"/>
    <row r="15925" s="9" customFormat="1" ht="21.95" customHeight="1" x14ac:dyDescent="0.15"/>
    <row r="15926" s="9" customFormat="1" ht="35.1" customHeight="1" x14ac:dyDescent="0.15"/>
    <row r="15927" s="9" customFormat="1" ht="21.95" customHeight="1" x14ac:dyDescent="0.15"/>
    <row r="15928" s="9" customFormat="1" ht="21.95" customHeight="1" x14ac:dyDescent="0.15"/>
    <row r="15929" s="9" customFormat="1" ht="21.95" customHeight="1" x14ac:dyDescent="0.15"/>
    <row r="15930" s="9" customFormat="1" ht="21.95" customHeight="1" x14ac:dyDescent="0.15"/>
    <row r="15931" s="9" customFormat="1" ht="21.95" customHeight="1" x14ac:dyDescent="0.15"/>
    <row r="15932" s="9" customFormat="1" ht="21.95" customHeight="1" x14ac:dyDescent="0.15"/>
    <row r="15933" s="9" customFormat="1" ht="21.95" customHeight="1" x14ac:dyDescent="0.15"/>
    <row r="15934" s="9" customFormat="1" ht="21.95" customHeight="1" x14ac:dyDescent="0.15"/>
    <row r="15935" s="9" customFormat="1" ht="21.95" customHeight="1" x14ac:dyDescent="0.15"/>
    <row r="15936" s="9" customFormat="1" ht="21.95" customHeight="1" x14ac:dyDescent="0.15"/>
    <row r="15937" spans="3:3" s="9" customFormat="1" ht="21.95" customHeight="1" x14ac:dyDescent="0.15"/>
    <row r="15938" spans="3:3" s="9" customFormat="1" ht="21.95" customHeight="1" x14ac:dyDescent="0.15"/>
    <row r="15939" spans="3:3" s="9" customFormat="1" ht="21.95" customHeight="1" x14ac:dyDescent="0.15"/>
    <row r="15940" spans="3:3" s="9" customFormat="1" ht="21.95" customHeight="1" x14ac:dyDescent="0.15"/>
    <row r="15941" spans="3:3" s="9" customFormat="1" ht="21.95" customHeight="1" x14ac:dyDescent="0.15"/>
    <row r="15942" spans="3:3" s="9" customFormat="1" ht="21.95" customHeight="1" x14ac:dyDescent="0.15"/>
    <row r="15943" spans="3:3" s="9" customFormat="1" ht="21.95" customHeight="1" x14ac:dyDescent="0.15"/>
    <row r="15944" spans="3:3" s="9" customFormat="1" ht="21.95" customHeight="1" x14ac:dyDescent="0.15"/>
    <row r="15945" spans="3:3" s="9" customFormat="1" ht="21.95" customHeight="1" x14ac:dyDescent="0.15"/>
    <row r="15946" spans="3:3" s="9" customFormat="1" ht="21.95" customHeight="1" x14ac:dyDescent="0.15"/>
    <row r="15947" spans="3:3" s="9" customFormat="1" ht="21.95" customHeight="1" x14ac:dyDescent="0.15"/>
    <row r="15948" spans="3:3" s="9" customFormat="1" ht="21.95" customHeight="1" x14ac:dyDescent="0.15"/>
    <row r="15949" spans="3:3" s="9" customFormat="1" ht="21.95" customHeight="1" x14ac:dyDescent="0.15"/>
    <row r="15950" spans="3:3" s="8" customFormat="1" ht="21.95" customHeight="1" x14ac:dyDescent="0.15"/>
    <row r="15951" spans="3:3" s="8" customFormat="1" ht="21.95" customHeight="1" x14ac:dyDescent="0.15"/>
    <row r="15952" spans="3:3" s="8" customFormat="1" ht="21.95" customHeight="1" x14ac:dyDescent="0.15">
      <c r="C15952" s="101"/>
    </row>
    <row r="15953" spans="3:3" s="8" customFormat="1" ht="21.95" customHeight="1" x14ac:dyDescent="0.15">
      <c r="C15953" s="101"/>
    </row>
    <row r="15954" spans="3:3" s="8" customFormat="1" ht="21.95" customHeight="1" x14ac:dyDescent="0.15"/>
    <row r="15955" spans="3:3" s="8" customFormat="1" ht="21.95" customHeight="1" x14ac:dyDescent="0.15"/>
    <row r="15956" spans="3:3" s="8" customFormat="1" ht="21.95" customHeight="1" x14ac:dyDescent="0.15"/>
    <row r="15957" spans="3:3" s="8" customFormat="1" ht="21.95" customHeight="1" x14ac:dyDescent="0.15"/>
    <row r="15958" spans="3:3" s="8" customFormat="1" ht="21.95" customHeight="1" x14ac:dyDescent="0.15"/>
    <row r="15959" spans="3:3" s="8" customFormat="1" ht="21.95" customHeight="1" x14ac:dyDescent="0.15"/>
    <row r="15960" spans="3:3" s="8" customFormat="1" ht="21.95" customHeight="1" x14ac:dyDescent="0.15"/>
    <row r="15961" spans="3:3" s="9" customFormat="1" ht="21.95" customHeight="1" x14ac:dyDescent="0.15"/>
    <row r="15962" spans="3:3" s="9" customFormat="1" ht="21.95" customHeight="1" x14ac:dyDescent="0.15"/>
    <row r="15963" spans="3:3" s="9" customFormat="1" ht="21.95" customHeight="1" x14ac:dyDescent="0.15"/>
    <row r="15964" spans="3:3" s="9" customFormat="1" ht="21.95" customHeight="1" x14ac:dyDescent="0.15"/>
    <row r="15965" spans="3:3" s="8" customFormat="1" ht="21.95" customHeight="1" x14ac:dyDescent="0.15"/>
    <row r="15966" spans="3:3" s="8" customFormat="1" ht="21.95" customHeight="1" x14ac:dyDescent="0.15"/>
    <row r="15967" spans="3:3" s="8" customFormat="1" ht="21.95" customHeight="1" x14ac:dyDescent="0.15"/>
    <row r="15968" spans="3:3" s="8" customFormat="1" ht="21.95" customHeight="1" x14ac:dyDescent="0.15"/>
    <row r="15969" s="8" customFormat="1" ht="21.95" customHeight="1" x14ac:dyDescent="0.15"/>
    <row r="15970" s="8" customFormat="1" ht="21.95" customHeight="1" x14ac:dyDescent="0.15"/>
    <row r="15971" s="8" customFormat="1" ht="21.95" customHeight="1" x14ac:dyDescent="0.15"/>
    <row r="15972" s="8" customFormat="1" ht="21.95" customHeight="1" x14ac:dyDescent="0.15"/>
    <row r="15973" s="8" customFormat="1" ht="21.95" customHeight="1" x14ac:dyDescent="0.15"/>
    <row r="15974" s="8" customFormat="1" ht="21.95" customHeight="1" x14ac:dyDescent="0.15"/>
    <row r="15975" s="8" customFormat="1" ht="21.95" customHeight="1" x14ac:dyDescent="0.15"/>
    <row r="15976" s="8" customFormat="1" ht="32.1" customHeight="1" x14ac:dyDescent="0.15"/>
    <row r="15977" s="8" customFormat="1" ht="32.1" customHeight="1" x14ac:dyDescent="0.15"/>
    <row r="15978" s="8" customFormat="1" ht="32.1" customHeight="1" x14ac:dyDescent="0.15"/>
    <row r="15979" s="8" customFormat="1" ht="32.1" customHeight="1" x14ac:dyDescent="0.15"/>
    <row r="15980" s="8" customFormat="1" ht="32.1" customHeight="1" x14ac:dyDescent="0.15"/>
    <row r="15981" s="8" customFormat="1" ht="32.1" customHeight="1" x14ac:dyDescent="0.15"/>
    <row r="15982" s="9" customFormat="1" ht="32.1" customHeight="1" x14ac:dyDescent="0.15"/>
    <row r="15983" s="9" customFormat="1" ht="32.1" customHeight="1" x14ac:dyDescent="0.15"/>
    <row r="15984" s="9" customFormat="1" ht="32.1" customHeight="1" x14ac:dyDescent="0.15"/>
    <row r="15985" s="9" customFormat="1" ht="32.1" customHeight="1" x14ac:dyDescent="0.15"/>
    <row r="15986" s="9" customFormat="1" ht="21.95" customHeight="1" x14ac:dyDescent="0.15"/>
    <row r="15987" s="9" customFormat="1" ht="54" customHeight="1" x14ac:dyDescent="0.15"/>
    <row r="15988" s="9" customFormat="1" ht="21.95" customHeight="1" x14ac:dyDescent="0.15"/>
    <row r="15989" s="9" customFormat="1" ht="21.95" customHeight="1" x14ac:dyDescent="0.15"/>
    <row r="15990" s="9" customFormat="1" ht="21.95" customHeight="1" x14ac:dyDescent="0.15"/>
    <row r="15991" s="9" customFormat="1" ht="21.95" customHeight="1" x14ac:dyDescent="0.15"/>
    <row r="15992" s="9" customFormat="1" ht="21.95" customHeight="1" x14ac:dyDescent="0.15"/>
    <row r="15993" s="9" customFormat="1" ht="21.95" customHeight="1" x14ac:dyDescent="0.15"/>
    <row r="15994" s="9" customFormat="1" ht="21.95" customHeight="1" x14ac:dyDescent="0.15"/>
    <row r="15995" s="9" customFormat="1" ht="21.95" customHeight="1" x14ac:dyDescent="0.15"/>
    <row r="15996" s="9" customFormat="1" ht="21.95" customHeight="1" x14ac:dyDescent="0.15"/>
    <row r="15997" s="9" customFormat="1" ht="21.95" customHeight="1" x14ac:dyDescent="0.15"/>
    <row r="15998" s="9" customFormat="1" ht="21.95" customHeight="1" x14ac:dyDescent="0.15"/>
    <row r="15999" s="9" customFormat="1" ht="21.95" customHeight="1" x14ac:dyDescent="0.15"/>
    <row r="16000" s="9" customFormat="1" ht="21.95" customHeight="1" x14ac:dyDescent="0.15"/>
    <row r="16001" s="9" customFormat="1" ht="21.95" customHeight="1" x14ac:dyDescent="0.15"/>
    <row r="16002" s="9" customFormat="1" ht="21.95" customHeight="1" x14ac:dyDescent="0.15"/>
    <row r="16003" s="9" customFormat="1" ht="21.95" customHeight="1" x14ac:dyDescent="0.15"/>
    <row r="16004" s="9" customFormat="1" ht="21.95" customHeight="1" x14ac:dyDescent="0.15"/>
    <row r="16005" s="9" customFormat="1" ht="21.95" customHeight="1" x14ac:dyDescent="0.15"/>
    <row r="16006" s="9" customFormat="1" ht="21.95" customHeight="1" x14ac:dyDescent="0.15"/>
    <row r="16007" s="9" customFormat="1" ht="21.95" customHeight="1" x14ac:dyDescent="0.15"/>
    <row r="16008" s="9" customFormat="1" ht="21.95" customHeight="1" x14ac:dyDescent="0.15"/>
    <row r="16009" s="9" customFormat="1" ht="21.95" customHeight="1" x14ac:dyDescent="0.15"/>
    <row r="16010" s="9" customFormat="1" ht="21.95" customHeight="1" x14ac:dyDescent="0.15"/>
    <row r="16011" s="9" customFormat="1" ht="21.95" customHeight="1" x14ac:dyDescent="0.15"/>
    <row r="16012" s="9" customFormat="1" ht="21.95" customHeight="1" x14ac:dyDescent="0.15"/>
    <row r="16013" s="9" customFormat="1" ht="21.95" customHeight="1" x14ac:dyDescent="0.15"/>
    <row r="16014" s="9" customFormat="1" ht="21.95" customHeight="1" x14ac:dyDescent="0.15"/>
    <row r="16015" s="9" customFormat="1" ht="21.95" customHeight="1" x14ac:dyDescent="0.15"/>
    <row r="16016" s="9" customFormat="1" ht="21.95" customHeight="1" x14ac:dyDescent="0.15"/>
    <row r="16017" s="9" customFormat="1" ht="21.95" customHeight="1" x14ac:dyDescent="0.15"/>
    <row r="16018" s="9" customFormat="1" ht="21.95" customHeight="1" x14ac:dyDescent="0.15"/>
    <row r="16019" s="9" customFormat="1" ht="21.95" customHeight="1" x14ac:dyDescent="0.15"/>
    <row r="16020" s="9" customFormat="1" ht="21.95" customHeight="1" x14ac:dyDescent="0.15"/>
    <row r="16021" s="9" customFormat="1" ht="21.95" customHeight="1" x14ac:dyDescent="0.15"/>
    <row r="16022" s="9" customFormat="1" ht="21.95" customHeight="1" x14ac:dyDescent="0.15"/>
    <row r="16023" s="9" customFormat="1" ht="21.95" customHeight="1" x14ac:dyDescent="0.15"/>
    <row r="16024" s="9" customFormat="1" ht="21.95" customHeight="1" x14ac:dyDescent="0.15"/>
    <row r="16025" s="9" customFormat="1" ht="21.95" customHeight="1" x14ac:dyDescent="0.15"/>
    <row r="16026" s="9" customFormat="1" ht="21.95" customHeight="1" x14ac:dyDescent="0.15"/>
    <row r="16027" s="9" customFormat="1" ht="21.95" customHeight="1" x14ac:dyDescent="0.15"/>
    <row r="16028" s="9" customFormat="1" ht="21.95" customHeight="1" x14ac:dyDescent="0.15"/>
    <row r="16029" s="9" customFormat="1" ht="21.95" customHeight="1" x14ac:dyDescent="0.15"/>
    <row r="16030" s="9" customFormat="1" ht="21.95" customHeight="1" x14ac:dyDescent="0.15"/>
    <row r="16031" s="9" customFormat="1" ht="21.95" customHeight="1" x14ac:dyDescent="0.15"/>
    <row r="16032" s="9" customFormat="1" ht="21.95" customHeight="1" x14ac:dyDescent="0.15"/>
    <row r="16033" s="9" customFormat="1" ht="21.95" customHeight="1" x14ac:dyDescent="0.15"/>
    <row r="16034" s="9" customFormat="1" ht="21.95" customHeight="1" x14ac:dyDescent="0.15"/>
    <row r="16035" s="9" customFormat="1" ht="21.95" customHeight="1" x14ac:dyDescent="0.15"/>
    <row r="16036" s="9" customFormat="1" ht="21.95" customHeight="1" x14ac:dyDescent="0.15"/>
    <row r="16037" s="9" customFormat="1" ht="21.95" customHeight="1" x14ac:dyDescent="0.15"/>
    <row r="16038" s="9" customFormat="1" ht="35.1" customHeight="1" x14ac:dyDescent="0.15"/>
    <row r="16039" s="9" customFormat="1" ht="21.95" customHeight="1" x14ac:dyDescent="0.15"/>
    <row r="16040" s="9" customFormat="1" ht="21.95" customHeight="1" x14ac:dyDescent="0.15"/>
    <row r="16041" s="9" customFormat="1" ht="21.95" customHeight="1" x14ac:dyDescent="0.15"/>
    <row r="16042" s="9" customFormat="1" ht="21.95" customHeight="1" x14ac:dyDescent="0.15"/>
    <row r="16043" s="9" customFormat="1" ht="21.95" customHeight="1" x14ac:dyDescent="0.15"/>
    <row r="16044" s="9" customFormat="1" ht="21.95" customHeight="1" x14ac:dyDescent="0.15"/>
    <row r="16045" s="9" customFormat="1" ht="21.95" customHeight="1" x14ac:dyDescent="0.15"/>
    <row r="16046" s="9" customFormat="1" ht="21.95" customHeight="1" x14ac:dyDescent="0.15"/>
    <row r="16047" s="9" customFormat="1" ht="21.95" customHeight="1" x14ac:dyDescent="0.15"/>
    <row r="16048" s="9" customFormat="1" ht="21.95" customHeight="1" x14ac:dyDescent="0.15"/>
    <row r="16049" spans="3:3" s="9" customFormat="1" ht="21.95" customHeight="1" x14ac:dyDescent="0.15"/>
    <row r="16050" spans="3:3" s="9" customFormat="1" ht="21.95" customHeight="1" x14ac:dyDescent="0.15"/>
    <row r="16051" spans="3:3" s="9" customFormat="1" ht="21.95" customHeight="1" x14ac:dyDescent="0.15"/>
    <row r="16052" spans="3:3" s="9" customFormat="1" ht="21.95" customHeight="1" x14ac:dyDescent="0.15"/>
    <row r="16053" spans="3:3" s="9" customFormat="1" ht="21.95" customHeight="1" x14ac:dyDescent="0.15"/>
    <row r="16054" spans="3:3" s="9" customFormat="1" ht="21.95" customHeight="1" x14ac:dyDescent="0.15"/>
    <row r="16055" spans="3:3" s="9" customFormat="1" ht="21.95" customHeight="1" x14ac:dyDescent="0.15"/>
    <row r="16056" spans="3:3" s="9" customFormat="1" ht="21.95" customHeight="1" x14ac:dyDescent="0.15"/>
    <row r="16057" spans="3:3" s="9" customFormat="1" ht="21.95" customHeight="1" x14ac:dyDescent="0.15"/>
    <row r="16058" spans="3:3" s="9" customFormat="1" ht="21.95" customHeight="1" x14ac:dyDescent="0.15"/>
    <row r="16059" spans="3:3" s="9" customFormat="1" ht="21.95" customHeight="1" x14ac:dyDescent="0.15"/>
    <row r="16060" spans="3:3" s="9" customFormat="1" ht="21.95" customHeight="1" x14ac:dyDescent="0.15"/>
    <row r="16061" spans="3:3" s="9" customFormat="1" ht="21.95" customHeight="1" x14ac:dyDescent="0.15"/>
    <row r="16062" spans="3:3" s="8" customFormat="1" ht="21.95" customHeight="1" x14ac:dyDescent="0.15"/>
    <row r="16063" spans="3:3" s="8" customFormat="1" ht="21.95" customHeight="1" x14ac:dyDescent="0.15"/>
    <row r="16064" spans="3:3" s="8" customFormat="1" ht="21.95" customHeight="1" x14ac:dyDescent="0.15">
      <c r="C16064" s="101"/>
    </row>
    <row r="16065" spans="3:3" s="8" customFormat="1" ht="21.95" customHeight="1" x14ac:dyDescent="0.15">
      <c r="C16065" s="101"/>
    </row>
    <row r="16066" spans="3:3" s="8" customFormat="1" ht="21.95" customHeight="1" x14ac:dyDescent="0.15"/>
    <row r="16067" spans="3:3" s="8" customFormat="1" ht="21.95" customHeight="1" x14ac:dyDescent="0.15"/>
    <row r="16068" spans="3:3" s="8" customFormat="1" ht="21.95" customHeight="1" x14ac:dyDescent="0.15"/>
    <row r="16069" spans="3:3" s="8" customFormat="1" ht="21.95" customHeight="1" x14ac:dyDescent="0.15"/>
    <row r="16070" spans="3:3" s="8" customFormat="1" ht="21.95" customHeight="1" x14ac:dyDescent="0.15"/>
    <row r="16071" spans="3:3" s="8" customFormat="1" ht="21.95" customHeight="1" x14ac:dyDescent="0.15"/>
    <row r="16072" spans="3:3" s="8" customFormat="1" ht="21.95" customHeight="1" x14ac:dyDescent="0.15"/>
    <row r="16073" spans="3:3" s="9" customFormat="1" ht="21.95" customHeight="1" x14ac:dyDescent="0.15"/>
    <row r="16074" spans="3:3" s="9" customFormat="1" ht="21.95" customHeight="1" x14ac:dyDescent="0.15"/>
    <row r="16075" spans="3:3" s="9" customFormat="1" ht="21.95" customHeight="1" x14ac:dyDescent="0.15"/>
    <row r="16076" spans="3:3" s="9" customFormat="1" ht="21.95" customHeight="1" x14ac:dyDescent="0.15"/>
    <row r="16077" spans="3:3" s="8" customFormat="1" ht="21.95" customHeight="1" x14ac:dyDescent="0.15"/>
    <row r="16078" spans="3:3" s="8" customFormat="1" ht="21.95" customHeight="1" x14ac:dyDescent="0.15"/>
    <row r="16079" spans="3:3" s="8" customFormat="1" ht="21.95" customHeight="1" x14ac:dyDescent="0.15"/>
    <row r="16080" spans="3:3" s="8" customFormat="1" ht="21.95" customHeight="1" x14ac:dyDescent="0.15"/>
    <row r="16081" s="8" customFormat="1" ht="21.95" customHeight="1" x14ac:dyDescent="0.15"/>
    <row r="16082" s="8" customFormat="1" ht="21.95" customHeight="1" x14ac:dyDescent="0.15"/>
    <row r="16083" s="8" customFormat="1" ht="21.95" customHeight="1" x14ac:dyDescent="0.15"/>
    <row r="16084" s="8" customFormat="1" ht="21.95" customHeight="1" x14ac:dyDescent="0.15"/>
    <row r="16085" s="8" customFormat="1" ht="21.95" customHeight="1" x14ac:dyDescent="0.15"/>
    <row r="16086" s="8" customFormat="1" ht="21.95" customHeight="1" x14ac:dyDescent="0.15"/>
    <row r="16087" s="8" customFormat="1" ht="21.95" customHeight="1" x14ac:dyDescent="0.15"/>
    <row r="16088" s="8" customFormat="1" ht="32.1" customHeight="1" x14ac:dyDescent="0.15"/>
    <row r="16089" s="8" customFormat="1" ht="32.1" customHeight="1" x14ac:dyDescent="0.15"/>
    <row r="16090" s="8" customFormat="1" ht="32.1" customHeight="1" x14ac:dyDescent="0.15"/>
    <row r="16091" s="8" customFormat="1" ht="32.1" customHeight="1" x14ac:dyDescent="0.15"/>
    <row r="16092" s="8" customFormat="1" ht="32.1" customHeight="1" x14ac:dyDescent="0.15"/>
    <row r="16093" s="8" customFormat="1" ht="32.1" customHeight="1" x14ac:dyDescent="0.15"/>
    <row r="16094" s="9" customFormat="1" ht="32.1" customHeight="1" x14ac:dyDescent="0.15"/>
    <row r="16095" s="9" customFormat="1" ht="32.1" customHeight="1" x14ac:dyDescent="0.15"/>
    <row r="16096" s="9" customFormat="1" ht="32.1" customHeight="1" x14ac:dyDescent="0.15"/>
    <row r="16097" s="9" customFormat="1" ht="32.1" customHeight="1" x14ac:dyDescent="0.15"/>
    <row r="16098" s="9" customFormat="1" ht="21.95" customHeight="1" x14ac:dyDescent="0.15"/>
    <row r="16099" s="9" customFormat="1" ht="54" customHeight="1" x14ac:dyDescent="0.15"/>
    <row r="16100" s="9" customFormat="1" ht="21.95" customHeight="1" x14ac:dyDescent="0.15"/>
    <row r="16101" s="9" customFormat="1" ht="21.95" customHeight="1" x14ac:dyDescent="0.15"/>
    <row r="16102" s="9" customFormat="1" ht="21.95" customHeight="1" x14ac:dyDescent="0.15"/>
    <row r="16103" s="9" customFormat="1" ht="21.95" customHeight="1" x14ac:dyDescent="0.15"/>
    <row r="16104" s="9" customFormat="1" ht="21.95" customHeight="1" x14ac:dyDescent="0.15"/>
    <row r="16105" s="9" customFormat="1" ht="21.95" customHeight="1" x14ac:dyDescent="0.15"/>
    <row r="16106" s="9" customFormat="1" ht="21.95" customHeight="1" x14ac:dyDescent="0.15"/>
    <row r="16107" s="9" customFormat="1" ht="21.95" customHeight="1" x14ac:dyDescent="0.15"/>
    <row r="16108" s="9" customFormat="1" ht="21.95" customHeight="1" x14ac:dyDescent="0.15"/>
    <row r="16109" s="9" customFormat="1" ht="21.95" customHeight="1" x14ac:dyDescent="0.15"/>
    <row r="16110" s="9" customFormat="1" ht="21.95" customHeight="1" x14ac:dyDescent="0.15"/>
    <row r="16111" s="9" customFormat="1" ht="21.95" customHeight="1" x14ac:dyDescent="0.15"/>
    <row r="16112" s="9" customFormat="1" ht="21.95" customHeight="1" x14ac:dyDescent="0.15"/>
    <row r="16113" s="9" customFormat="1" ht="21.95" customHeight="1" x14ac:dyDescent="0.15"/>
    <row r="16114" s="9" customFormat="1" ht="21.95" customHeight="1" x14ac:dyDescent="0.15"/>
    <row r="16115" s="9" customFormat="1" ht="21.95" customHeight="1" x14ac:dyDescent="0.15"/>
    <row r="16116" s="9" customFormat="1" ht="21.95" customHeight="1" x14ac:dyDescent="0.15"/>
    <row r="16117" s="9" customFormat="1" ht="21.95" customHeight="1" x14ac:dyDescent="0.15"/>
    <row r="16118" s="9" customFormat="1" ht="21.95" customHeight="1" x14ac:dyDescent="0.15"/>
    <row r="16119" s="9" customFormat="1" ht="21.95" customHeight="1" x14ac:dyDescent="0.15"/>
    <row r="16120" s="9" customFormat="1" ht="21.95" customHeight="1" x14ac:dyDescent="0.15"/>
    <row r="16121" s="9" customFormat="1" ht="21.95" customHeight="1" x14ac:dyDescent="0.15"/>
    <row r="16122" s="9" customFormat="1" ht="21.95" customHeight="1" x14ac:dyDescent="0.15"/>
    <row r="16123" s="9" customFormat="1" ht="21.95" customHeight="1" x14ac:dyDescent="0.15"/>
    <row r="16124" s="9" customFormat="1" ht="21.95" customHeight="1" x14ac:dyDescent="0.15"/>
    <row r="16125" s="9" customFormat="1" ht="21.95" customHeight="1" x14ac:dyDescent="0.15"/>
    <row r="16126" s="9" customFormat="1" ht="21.95" customHeight="1" x14ac:dyDescent="0.15"/>
    <row r="16127" s="9" customFormat="1" ht="21.95" customHeight="1" x14ac:dyDescent="0.15"/>
    <row r="16128" s="9" customFormat="1" ht="21.95" customHeight="1" x14ac:dyDescent="0.15"/>
    <row r="16129" s="9" customFormat="1" ht="21.95" customHeight="1" x14ac:dyDescent="0.15"/>
    <row r="16130" s="9" customFormat="1" ht="21.95" customHeight="1" x14ac:dyDescent="0.15"/>
    <row r="16131" s="9" customFormat="1" ht="21.95" customHeight="1" x14ac:dyDescent="0.15"/>
    <row r="16132" s="9" customFormat="1" ht="21.95" customHeight="1" x14ac:dyDescent="0.15"/>
    <row r="16133" s="9" customFormat="1" ht="21.95" customHeight="1" x14ac:dyDescent="0.15"/>
    <row r="16134" s="9" customFormat="1" ht="21.95" customHeight="1" x14ac:dyDescent="0.15"/>
    <row r="16135" s="9" customFormat="1" ht="21.95" customHeight="1" x14ac:dyDescent="0.15"/>
    <row r="16136" s="9" customFormat="1" ht="21.95" customHeight="1" x14ac:dyDescent="0.15"/>
    <row r="16137" s="9" customFormat="1" ht="21.95" customHeight="1" x14ac:dyDescent="0.15"/>
    <row r="16138" s="9" customFormat="1" ht="21.95" customHeight="1" x14ac:dyDescent="0.15"/>
    <row r="16139" s="9" customFormat="1" ht="21.95" customHeight="1" x14ac:dyDescent="0.15"/>
    <row r="16140" s="9" customFormat="1" ht="21.95" customHeight="1" x14ac:dyDescent="0.15"/>
    <row r="16141" s="9" customFormat="1" ht="21.95" customHeight="1" x14ac:dyDescent="0.15"/>
    <row r="16142" s="9" customFormat="1" ht="21.95" customHeight="1" x14ac:dyDescent="0.15"/>
    <row r="16143" s="9" customFormat="1" ht="21.95" customHeight="1" x14ac:dyDescent="0.15"/>
    <row r="16144" s="9" customFormat="1" ht="21.95" customHeight="1" x14ac:dyDescent="0.15"/>
    <row r="16145" s="9" customFormat="1" ht="21.95" customHeight="1" x14ac:dyDescent="0.15"/>
    <row r="16146" s="9" customFormat="1" ht="21.95" customHeight="1" x14ac:dyDescent="0.15"/>
    <row r="16147" s="9" customFormat="1" ht="21.95" customHeight="1" x14ac:dyDescent="0.15"/>
    <row r="16148" s="9" customFormat="1" ht="21.95" customHeight="1" x14ac:dyDescent="0.15"/>
    <row r="16149" s="9" customFormat="1" ht="21.95" customHeight="1" x14ac:dyDescent="0.15"/>
    <row r="16150" s="9" customFormat="1" ht="35.1" customHeight="1" x14ac:dyDescent="0.15"/>
    <row r="16151" s="9" customFormat="1" ht="21.95" customHeight="1" x14ac:dyDescent="0.15"/>
    <row r="16152" s="9" customFormat="1" ht="21.95" customHeight="1" x14ac:dyDescent="0.15"/>
    <row r="16153" s="9" customFormat="1" ht="21.95" customHeight="1" x14ac:dyDescent="0.15"/>
    <row r="16154" s="9" customFormat="1" ht="21.95" customHeight="1" x14ac:dyDescent="0.15"/>
    <row r="16155" s="9" customFormat="1" ht="21.95" customHeight="1" x14ac:dyDescent="0.15"/>
    <row r="16156" s="9" customFormat="1" ht="21.95" customHeight="1" x14ac:dyDescent="0.15"/>
    <row r="16157" s="9" customFormat="1" ht="21.95" customHeight="1" x14ac:dyDescent="0.15"/>
    <row r="16158" s="9" customFormat="1" ht="21.95" customHeight="1" x14ac:dyDescent="0.15"/>
    <row r="16159" s="9" customFormat="1" ht="21.95" customHeight="1" x14ac:dyDescent="0.15"/>
    <row r="16160" s="9" customFormat="1" ht="21.95" customHeight="1" x14ac:dyDescent="0.15"/>
    <row r="16161" spans="3:3" s="9" customFormat="1" ht="21.95" customHeight="1" x14ac:dyDescent="0.15"/>
    <row r="16162" spans="3:3" s="9" customFormat="1" ht="21.95" customHeight="1" x14ac:dyDescent="0.15"/>
    <row r="16163" spans="3:3" s="9" customFormat="1" ht="21.95" customHeight="1" x14ac:dyDescent="0.15"/>
    <row r="16164" spans="3:3" s="9" customFormat="1" ht="21.95" customHeight="1" x14ac:dyDescent="0.15"/>
    <row r="16165" spans="3:3" s="9" customFormat="1" ht="21.95" customHeight="1" x14ac:dyDescent="0.15"/>
    <row r="16166" spans="3:3" s="9" customFormat="1" ht="21.95" customHeight="1" x14ac:dyDescent="0.15"/>
    <row r="16167" spans="3:3" s="9" customFormat="1" ht="21.95" customHeight="1" x14ac:dyDescent="0.15"/>
    <row r="16168" spans="3:3" s="9" customFormat="1" ht="21.95" customHeight="1" x14ac:dyDescent="0.15"/>
    <row r="16169" spans="3:3" s="9" customFormat="1" ht="21.95" customHeight="1" x14ac:dyDescent="0.15"/>
    <row r="16170" spans="3:3" s="9" customFormat="1" ht="21.95" customHeight="1" x14ac:dyDescent="0.15"/>
    <row r="16171" spans="3:3" s="9" customFormat="1" ht="21.95" customHeight="1" x14ac:dyDescent="0.15"/>
    <row r="16172" spans="3:3" s="9" customFormat="1" ht="21.95" customHeight="1" x14ac:dyDescent="0.15"/>
    <row r="16173" spans="3:3" s="9" customFormat="1" ht="21.95" customHeight="1" x14ac:dyDescent="0.15"/>
    <row r="16174" spans="3:3" s="8" customFormat="1" ht="21.95" customHeight="1" x14ac:dyDescent="0.15"/>
    <row r="16175" spans="3:3" s="8" customFormat="1" ht="21.95" customHeight="1" x14ac:dyDescent="0.15"/>
    <row r="16176" spans="3:3" s="8" customFormat="1" ht="21.95" customHeight="1" x14ac:dyDescent="0.15">
      <c r="C16176" s="101"/>
    </row>
    <row r="16177" spans="3:3" s="8" customFormat="1" ht="21.95" customHeight="1" x14ac:dyDescent="0.15">
      <c r="C16177" s="101"/>
    </row>
    <row r="16178" spans="3:3" s="8" customFormat="1" ht="21.95" customHeight="1" x14ac:dyDescent="0.15"/>
    <row r="16179" spans="3:3" s="8" customFormat="1" ht="21.95" customHeight="1" x14ac:dyDescent="0.15"/>
    <row r="16180" spans="3:3" s="8" customFormat="1" ht="21.95" customHeight="1" x14ac:dyDescent="0.15"/>
    <row r="16181" spans="3:3" s="8" customFormat="1" ht="21.95" customHeight="1" x14ac:dyDescent="0.15"/>
    <row r="16182" spans="3:3" s="8" customFormat="1" ht="21.95" customHeight="1" x14ac:dyDescent="0.15"/>
    <row r="16183" spans="3:3" s="8" customFormat="1" ht="21.95" customHeight="1" x14ac:dyDescent="0.15"/>
    <row r="16184" spans="3:3" s="8" customFormat="1" ht="21.95" customHeight="1" x14ac:dyDescent="0.15"/>
    <row r="16185" spans="3:3" s="9" customFormat="1" ht="21.95" customHeight="1" x14ac:dyDescent="0.15"/>
    <row r="16186" spans="3:3" s="9" customFormat="1" ht="21.95" customHeight="1" x14ac:dyDescent="0.15"/>
    <row r="16187" spans="3:3" s="9" customFormat="1" ht="21.95" customHeight="1" x14ac:dyDescent="0.15"/>
    <row r="16188" spans="3:3" s="9" customFormat="1" ht="21.95" customHeight="1" x14ac:dyDescent="0.15"/>
    <row r="16189" spans="3:3" s="8" customFormat="1" ht="21.95" customHeight="1" x14ac:dyDescent="0.15"/>
    <row r="16190" spans="3:3" s="8" customFormat="1" ht="21.95" customHeight="1" x14ac:dyDescent="0.15"/>
    <row r="16191" spans="3:3" s="8" customFormat="1" ht="21.95" customHeight="1" x14ac:dyDescent="0.15"/>
    <row r="16192" spans="3:3" s="8" customFormat="1" ht="21.95" customHeight="1" x14ac:dyDescent="0.15"/>
    <row r="16193" s="8" customFormat="1" ht="21.95" customHeight="1" x14ac:dyDescent="0.15"/>
    <row r="16194" s="8" customFormat="1" ht="21.95" customHeight="1" x14ac:dyDescent="0.15"/>
    <row r="16195" s="8" customFormat="1" ht="21.95" customHeight="1" x14ac:dyDescent="0.15"/>
    <row r="16196" s="8" customFormat="1" ht="21.95" customHeight="1" x14ac:dyDescent="0.15"/>
    <row r="16197" s="8" customFormat="1" ht="21.95" customHeight="1" x14ac:dyDescent="0.15"/>
    <row r="16198" s="8" customFormat="1" ht="21.95" customHeight="1" x14ac:dyDescent="0.15"/>
    <row r="16199" s="8" customFormat="1" ht="21.95" customHeight="1" x14ac:dyDescent="0.15"/>
    <row r="16200" s="8" customFormat="1" ht="32.1" customHeight="1" x14ac:dyDescent="0.15"/>
    <row r="16201" s="8" customFormat="1" ht="32.1" customHeight="1" x14ac:dyDescent="0.15"/>
    <row r="16202" s="8" customFormat="1" ht="32.1" customHeight="1" x14ac:dyDescent="0.15"/>
    <row r="16203" s="8" customFormat="1" ht="32.1" customHeight="1" x14ac:dyDescent="0.15"/>
    <row r="16204" s="8" customFormat="1" ht="32.1" customHeight="1" x14ac:dyDescent="0.15"/>
    <row r="16205" s="8" customFormat="1" ht="32.1" customHeight="1" x14ac:dyDescent="0.15"/>
    <row r="16206" s="9" customFormat="1" ht="32.1" customHeight="1" x14ac:dyDescent="0.15"/>
    <row r="16207" s="9" customFormat="1" ht="32.1" customHeight="1" x14ac:dyDescent="0.15"/>
    <row r="16208" s="9" customFormat="1" ht="32.1" customHeight="1" x14ac:dyDescent="0.15"/>
    <row r="16209" s="9" customFormat="1" ht="32.1" customHeight="1" x14ac:dyDescent="0.15"/>
    <row r="16210" s="9" customFormat="1" ht="21.95" customHeight="1" x14ac:dyDescent="0.15"/>
    <row r="16211" s="9" customFormat="1" ht="54" customHeight="1" x14ac:dyDescent="0.15"/>
    <row r="16212" s="9" customFormat="1" ht="21.95" customHeight="1" x14ac:dyDescent="0.15"/>
    <row r="16213" s="9" customFormat="1" ht="21.95" customHeight="1" x14ac:dyDescent="0.15"/>
    <row r="16214" s="9" customFormat="1" ht="21.95" customHeight="1" x14ac:dyDescent="0.15"/>
    <row r="16215" s="9" customFormat="1" ht="21.95" customHeight="1" x14ac:dyDescent="0.15"/>
    <row r="16216" s="9" customFormat="1" ht="21.95" customHeight="1" x14ac:dyDescent="0.15"/>
    <row r="16217" s="9" customFormat="1" ht="21.95" customHeight="1" x14ac:dyDescent="0.15"/>
    <row r="16218" s="9" customFormat="1" ht="21.95" customHeight="1" x14ac:dyDescent="0.15"/>
    <row r="16219" s="9" customFormat="1" ht="21.95" customHeight="1" x14ac:dyDescent="0.15"/>
    <row r="16220" s="9" customFormat="1" ht="21.95" customHeight="1" x14ac:dyDescent="0.15"/>
    <row r="16221" s="9" customFormat="1" ht="21.95" customHeight="1" x14ac:dyDescent="0.15"/>
    <row r="16222" s="9" customFormat="1" ht="21.95" customHeight="1" x14ac:dyDescent="0.15"/>
    <row r="16223" s="9" customFormat="1" ht="21.95" customHeight="1" x14ac:dyDescent="0.15"/>
    <row r="16224" s="9" customFormat="1" ht="21.95" customHeight="1" x14ac:dyDescent="0.15"/>
    <row r="16225" s="9" customFormat="1" ht="21.95" customHeight="1" x14ac:dyDescent="0.15"/>
    <row r="16226" s="9" customFormat="1" ht="21.95" customHeight="1" x14ac:dyDescent="0.15"/>
    <row r="16227" s="9" customFormat="1" ht="21.95" customHeight="1" x14ac:dyDescent="0.15"/>
    <row r="16228" s="9" customFormat="1" ht="21.95" customHeight="1" x14ac:dyDescent="0.15"/>
    <row r="16229" s="9" customFormat="1" ht="21.95" customHeight="1" x14ac:dyDescent="0.15"/>
    <row r="16230" s="9" customFormat="1" ht="21.95" customHeight="1" x14ac:dyDescent="0.15"/>
    <row r="16231" s="9" customFormat="1" ht="21.95" customHeight="1" x14ac:dyDescent="0.15"/>
    <row r="16232" s="9" customFormat="1" ht="21.95" customHeight="1" x14ac:dyDescent="0.15"/>
    <row r="16233" s="9" customFormat="1" ht="21.95" customHeight="1" x14ac:dyDescent="0.15"/>
    <row r="16234" s="9" customFormat="1" ht="21.95" customHeight="1" x14ac:dyDescent="0.15"/>
    <row r="16235" s="9" customFormat="1" ht="21.95" customHeight="1" x14ac:dyDescent="0.15"/>
    <row r="16236" s="9" customFormat="1" ht="21.95" customHeight="1" x14ac:dyDescent="0.15"/>
    <row r="16237" s="9" customFormat="1" ht="21.95" customHeight="1" x14ac:dyDescent="0.15"/>
    <row r="16238" s="9" customFormat="1" ht="21.95" customHeight="1" x14ac:dyDescent="0.15"/>
    <row r="16239" s="9" customFormat="1" ht="21.95" customHeight="1" x14ac:dyDescent="0.15"/>
    <row r="16240" s="9" customFormat="1" ht="21.95" customHeight="1" x14ac:dyDescent="0.15"/>
    <row r="16241" s="9" customFormat="1" ht="21.95" customHeight="1" x14ac:dyDescent="0.15"/>
    <row r="16242" s="9" customFormat="1" ht="21.95" customHeight="1" x14ac:dyDescent="0.15"/>
    <row r="16243" s="9" customFormat="1" ht="21.95" customHeight="1" x14ac:dyDescent="0.15"/>
    <row r="16244" s="9" customFormat="1" ht="21.95" customHeight="1" x14ac:dyDescent="0.15"/>
    <row r="16245" s="9" customFormat="1" ht="21.95" customHeight="1" x14ac:dyDescent="0.15"/>
    <row r="16246" s="9" customFormat="1" ht="21.95" customHeight="1" x14ac:dyDescent="0.15"/>
    <row r="16247" s="9" customFormat="1" ht="21.95" customHeight="1" x14ac:dyDescent="0.15"/>
    <row r="16248" s="9" customFormat="1" ht="21.95" customHeight="1" x14ac:dyDescent="0.15"/>
    <row r="16249" s="9" customFormat="1" ht="21.95" customHeight="1" x14ac:dyDescent="0.15"/>
    <row r="16250" s="9" customFormat="1" ht="21.95" customHeight="1" x14ac:dyDescent="0.15"/>
    <row r="16251" s="9" customFormat="1" ht="21.95" customHeight="1" x14ac:dyDescent="0.15"/>
    <row r="16252" s="9" customFormat="1" ht="21.95" customHeight="1" x14ac:dyDescent="0.15"/>
    <row r="16253" s="9" customFormat="1" ht="21.95" customHeight="1" x14ac:dyDescent="0.15"/>
    <row r="16254" s="9" customFormat="1" ht="21.95" customHeight="1" x14ac:dyDescent="0.15"/>
    <row r="16255" s="9" customFormat="1" ht="21.95" customHeight="1" x14ac:dyDescent="0.15"/>
    <row r="16256" s="9" customFormat="1" ht="21.95" customHeight="1" x14ac:dyDescent="0.15"/>
    <row r="16257" s="9" customFormat="1" ht="21.95" customHeight="1" x14ac:dyDescent="0.15"/>
    <row r="16258" s="9" customFormat="1" ht="21.95" customHeight="1" x14ac:dyDescent="0.15"/>
    <row r="16259" s="9" customFormat="1" ht="21.95" customHeight="1" x14ac:dyDescent="0.15"/>
    <row r="16260" s="9" customFormat="1" ht="21.95" customHeight="1" x14ac:dyDescent="0.15"/>
    <row r="16261" s="9" customFormat="1" ht="21.95" customHeight="1" x14ac:dyDescent="0.15"/>
    <row r="16262" s="9" customFormat="1" ht="35.1" customHeight="1" x14ac:dyDescent="0.15"/>
    <row r="16263" s="9" customFormat="1" ht="21.95" customHeight="1" x14ac:dyDescent="0.15"/>
    <row r="16264" s="9" customFormat="1" ht="21.95" customHeight="1" x14ac:dyDescent="0.15"/>
    <row r="16265" s="9" customFormat="1" ht="21.95" customHeight="1" x14ac:dyDescent="0.15"/>
    <row r="16266" s="9" customFormat="1" ht="21.95" customHeight="1" x14ac:dyDescent="0.15"/>
    <row r="16267" s="9" customFormat="1" ht="21.95" customHeight="1" x14ac:dyDescent="0.15"/>
    <row r="16268" s="9" customFormat="1" ht="21.95" customHeight="1" x14ac:dyDescent="0.15"/>
    <row r="16269" s="9" customFormat="1" ht="21.95" customHeight="1" x14ac:dyDescent="0.15"/>
    <row r="16270" s="9" customFormat="1" ht="21.95" customHeight="1" x14ac:dyDescent="0.15"/>
    <row r="16271" s="9" customFormat="1" ht="21.95" customHeight="1" x14ac:dyDescent="0.15"/>
    <row r="16272" s="9" customFormat="1" ht="21.95" customHeight="1" x14ac:dyDescent="0.15"/>
    <row r="16273" spans="3:3" s="9" customFormat="1" ht="21.95" customHeight="1" x14ac:dyDescent="0.15"/>
    <row r="16274" spans="3:3" s="9" customFormat="1" ht="21.95" customHeight="1" x14ac:dyDescent="0.15"/>
    <row r="16275" spans="3:3" s="9" customFormat="1" ht="21.95" customHeight="1" x14ac:dyDescent="0.15"/>
    <row r="16276" spans="3:3" s="9" customFormat="1" ht="21.95" customHeight="1" x14ac:dyDescent="0.15"/>
    <row r="16277" spans="3:3" s="9" customFormat="1" ht="21.95" customHeight="1" x14ac:dyDescent="0.15"/>
    <row r="16278" spans="3:3" s="9" customFormat="1" ht="21.95" customHeight="1" x14ac:dyDescent="0.15"/>
    <row r="16279" spans="3:3" s="9" customFormat="1" ht="21.95" customHeight="1" x14ac:dyDescent="0.15"/>
    <row r="16280" spans="3:3" s="9" customFormat="1" ht="21.95" customHeight="1" x14ac:dyDescent="0.15"/>
    <row r="16281" spans="3:3" s="9" customFormat="1" ht="21.95" customHeight="1" x14ac:dyDescent="0.15"/>
    <row r="16282" spans="3:3" s="9" customFormat="1" ht="21.95" customHeight="1" x14ac:dyDescent="0.15"/>
    <row r="16283" spans="3:3" s="9" customFormat="1" ht="21.95" customHeight="1" x14ac:dyDescent="0.15"/>
    <row r="16284" spans="3:3" s="9" customFormat="1" ht="21.95" customHeight="1" x14ac:dyDescent="0.15"/>
    <row r="16285" spans="3:3" s="9" customFormat="1" ht="21.95" customHeight="1" x14ac:dyDescent="0.15"/>
    <row r="16286" spans="3:3" s="8" customFormat="1" ht="21.95" customHeight="1" x14ac:dyDescent="0.15"/>
    <row r="16287" spans="3:3" s="8" customFormat="1" ht="21.95" customHeight="1" x14ac:dyDescent="0.15"/>
    <row r="16288" spans="3:3" s="8" customFormat="1" ht="21.95" customHeight="1" x14ac:dyDescent="0.15">
      <c r="C16288" s="101"/>
    </row>
    <row r="16289" spans="3:3" s="8" customFormat="1" ht="21.95" customHeight="1" x14ac:dyDescent="0.15">
      <c r="C16289" s="101"/>
    </row>
    <row r="16290" spans="3:3" s="8" customFormat="1" ht="21.95" customHeight="1" x14ac:dyDescent="0.15"/>
    <row r="16291" spans="3:3" s="8" customFormat="1" ht="21.95" customHeight="1" x14ac:dyDescent="0.15"/>
    <row r="16292" spans="3:3" s="8" customFormat="1" ht="21.95" customHeight="1" x14ac:dyDescent="0.15"/>
    <row r="16293" spans="3:3" s="8" customFormat="1" ht="21.95" customHeight="1" x14ac:dyDescent="0.15"/>
    <row r="16294" spans="3:3" s="8" customFormat="1" ht="21.95" customHeight="1" x14ac:dyDescent="0.15"/>
    <row r="16295" spans="3:3" s="8" customFormat="1" ht="21.95" customHeight="1" x14ac:dyDescent="0.15"/>
    <row r="16296" spans="3:3" s="8" customFormat="1" ht="21.95" customHeight="1" x14ac:dyDescent="0.15"/>
    <row r="16297" spans="3:3" s="9" customFormat="1" ht="21.95" customHeight="1" x14ac:dyDescent="0.15"/>
    <row r="16298" spans="3:3" s="9" customFormat="1" ht="21.95" customHeight="1" x14ac:dyDescent="0.15"/>
    <row r="16299" spans="3:3" s="9" customFormat="1" ht="21.95" customHeight="1" x14ac:dyDescent="0.15"/>
    <row r="16300" spans="3:3" s="9" customFormat="1" ht="21.95" customHeight="1" x14ac:dyDescent="0.15"/>
    <row r="16301" spans="3:3" s="8" customFormat="1" ht="21.95" customHeight="1" x14ac:dyDescent="0.15"/>
    <row r="16302" spans="3:3" s="8" customFormat="1" ht="21.95" customHeight="1" x14ac:dyDescent="0.15"/>
    <row r="16303" spans="3:3" s="8" customFormat="1" ht="21.95" customHeight="1" x14ac:dyDescent="0.15"/>
    <row r="16304" spans="3:3" s="8" customFormat="1" ht="21.95" customHeight="1" x14ac:dyDescent="0.15"/>
    <row r="16305" s="8" customFormat="1" ht="21.95" customHeight="1" x14ac:dyDescent="0.15"/>
    <row r="16306" s="8" customFormat="1" ht="21.95" customHeight="1" x14ac:dyDescent="0.15"/>
    <row r="16307" s="8" customFormat="1" ht="21.95" customHeight="1" x14ac:dyDescent="0.15"/>
    <row r="16308" s="8" customFormat="1" ht="21.95" customHeight="1" x14ac:dyDescent="0.15"/>
    <row r="16309" s="8" customFormat="1" ht="21.95" customHeight="1" x14ac:dyDescent="0.15"/>
    <row r="16310" s="8" customFormat="1" ht="21.95" customHeight="1" x14ac:dyDescent="0.15"/>
    <row r="16311" s="8" customFormat="1" ht="21.95" customHeight="1" x14ac:dyDescent="0.15"/>
    <row r="16312" s="8" customFormat="1" ht="32.1" customHeight="1" x14ac:dyDescent="0.15"/>
    <row r="16313" s="8" customFormat="1" ht="32.1" customHeight="1" x14ac:dyDescent="0.15"/>
    <row r="16314" s="8" customFormat="1" ht="32.1" customHeight="1" x14ac:dyDescent="0.15"/>
    <row r="16315" s="8" customFormat="1" ht="32.1" customHeight="1" x14ac:dyDescent="0.15"/>
    <row r="16316" s="8" customFormat="1" ht="32.1" customHeight="1" x14ac:dyDescent="0.15"/>
    <row r="16317" s="8" customFormat="1" ht="32.1" customHeight="1" x14ac:dyDescent="0.15"/>
    <row r="16318" s="9" customFormat="1" ht="32.1" customHeight="1" x14ac:dyDescent="0.15"/>
    <row r="16319" s="9" customFormat="1" ht="32.1" customHeight="1" x14ac:dyDescent="0.15"/>
    <row r="16320" s="9" customFormat="1" ht="32.1" customHeight="1" x14ac:dyDescent="0.15"/>
    <row r="16321" s="9" customFormat="1" ht="32.1" customHeight="1" x14ac:dyDescent="0.15"/>
    <row r="16322" s="9" customFormat="1" ht="21.95" customHeight="1" x14ac:dyDescent="0.15"/>
    <row r="16323" s="9" customFormat="1" ht="54" customHeight="1" x14ac:dyDescent="0.15"/>
    <row r="16324" s="9" customFormat="1" ht="21.95" customHeight="1" x14ac:dyDescent="0.15"/>
    <row r="16325" s="9" customFormat="1" ht="21.95" customHeight="1" x14ac:dyDescent="0.15"/>
    <row r="16326" s="9" customFormat="1" ht="21.95" customHeight="1" x14ac:dyDescent="0.15"/>
    <row r="16327" s="9" customFormat="1" ht="21.95" customHeight="1" x14ac:dyDescent="0.15"/>
    <row r="16328" s="9" customFormat="1" ht="21.95" customHeight="1" x14ac:dyDescent="0.15"/>
    <row r="16329" s="9" customFormat="1" ht="21.95" customHeight="1" x14ac:dyDescent="0.15"/>
    <row r="16330" s="9" customFormat="1" ht="21.95" customHeight="1" x14ac:dyDescent="0.15"/>
    <row r="16331" s="9" customFormat="1" ht="21.95" customHeight="1" x14ac:dyDescent="0.15"/>
    <row r="16332" s="9" customFormat="1" ht="21.95" customHeight="1" x14ac:dyDescent="0.15"/>
    <row r="16333" s="9" customFormat="1" ht="21.95" customHeight="1" x14ac:dyDescent="0.15"/>
    <row r="16334" s="9" customFormat="1" ht="21.95" customHeight="1" x14ac:dyDescent="0.15"/>
    <row r="16335" s="9" customFormat="1" ht="21.95" customHeight="1" x14ac:dyDescent="0.15"/>
    <row r="16336" s="9" customFormat="1" ht="21.95" customHeight="1" x14ac:dyDescent="0.15"/>
    <row r="16337" s="9" customFormat="1" ht="21.95" customHeight="1" x14ac:dyDescent="0.15"/>
    <row r="16338" s="9" customFormat="1" ht="21.95" customHeight="1" x14ac:dyDescent="0.15"/>
    <row r="16339" s="9" customFormat="1" ht="21.95" customHeight="1" x14ac:dyDescent="0.15"/>
    <row r="16340" s="9" customFormat="1" ht="21.95" customHeight="1" x14ac:dyDescent="0.15"/>
    <row r="16341" s="9" customFormat="1" ht="21.95" customHeight="1" x14ac:dyDescent="0.15"/>
    <row r="16342" s="9" customFormat="1" ht="21.95" customHeight="1" x14ac:dyDescent="0.15"/>
    <row r="16343" s="9" customFormat="1" ht="21.95" customHeight="1" x14ac:dyDescent="0.15"/>
    <row r="16344" s="9" customFormat="1" ht="21.95" customHeight="1" x14ac:dyDescent="0.15"/>
    <row r="16345" s="9" customFormat="1" ht="21.95" customHeight="1" x14ac:dyDescent="0.15"/>
    <row r="16346" s="9" customFormat="1" ht="21.95" customHeight="1" x14ac:dyDescent="0.15"/>
    <row r="16347" s="9" customFormat="1" ht="21.95" customHeight="1" x14ac:dyDescent="0.15"/>
    <row r="16348" s="9" customFormat="1" ht="21.95" customHeight="1" x14ac:dyDescent="0.15"/>
    <row r="16349" s="9" customFormat="1" ht="21.95" customHeight="1" x14ac:dyDescent="0.15"/>
    <row r="16350" s="9" customFormat="1" ht="21.95" customHeight="1" x14ac:dyDescent="0.15"/>
    <row r="16351" s="9" customFormat="1" ht="21.95" customHeight="1" x14ac:dyDescent="0.15"/>
    <row r="16352" s="9" customFormat="1" ht="21.95" customHeight="1" x14ac:dyDescent="0.15"/>
    <row r="16353" s="9" customFormat="1" ht="21.95" customHeight="1" x14ac:dyDescent="0.15"/>
    <row r="16354" s="9" customFormat="1" ht="21.95" customHeight="1" x14ac:dyDescent="0.15"/>
    <row r="16355" s="9" customFormat="1" ht="21.95" customHeight="1" x14ac:dyDescent="0.15"/>
    <row r="16356" s="9" customFormat="1" ht="21.95" customHeight="1" x14ac:dyDescent="0.15"/>
    <row r="16357" s="9" customFormat="1" ht="21.95" customHeight="1" x14ac:dyDescent="0.15"/>
    <row r="16358" s="9" customFormat="1" ht="21.95" customHeight="1" x14ac:dyDescent="0.15"/>
    <row r="16359" s="9" customFormat="1" ht="21.95" customHeight="1" x14ac:dyDescent="0.15"/>
    <row r="16360" s="9" customFormat="1" ht="21.95" customHeight="1" x14ac:dyDescent="0.15"/>
    <row r="16361" s="9" customFormat="1" ht="21.95" customHeight="1" x14ac:dyDescent="0.15"/>
    <row r="16362" s="9" customFormat="1" ht="21.95" customHeight="1" x14ac:dyDescent="0.15"/>
    <row r="16363" s="9" customFormat="1" ht="21.95" customHeight="1" x14ac:dyDescent="0.15"/>
    <row r="16364" s="9" customFormat="1" ht="21.95" customHeight="1" x14ac:dyDescent="0.15"/>
    <row r="16365" s="9" customFormat="1" ht="21.95" customHeight="1" x14ac:dyDescent="0.15"/>
    <row r="16366" s="9" customFormat="1" ht="21.95" customHeight="1" x14ac:dyDescent="0.15"/>
    <row r="16367" s="9" customFormat="1" ht="21.95" customHeight="1" x14ac:dyDescent="0.15"/>
    <row r="16368" s="9" customFormat="1" ht="21.95" customHeight="1" x14ac:dyDescent="0.15"/>
    <row r="16369" s="9" customFormat="1" ht="21.95" customHeight="1" x14ac:dyDescent="0.15"/>
    <row r="16370" s="9" customFormat="1" ht="21.95" customHeight="1" x14ac:dyDescent="0.15"/>
    <row r="16371" s="9" customFormat="1" ht="21.95" customHeight="1" x14ac:dyDescent="0.15"/>
    <row r="16372" s="9" customFormat="1" ht="21.95" customHeight="1" x14ac:dyDescent="0.15"/>
    <row r="16373" s="9" customFormat="1" ht="21.95" customHeight="1" x14ac:dyDescent="0.15"/>
    <row r="16374" s="9" customFormat="1" ht="35.1" customHeight="1" x14ac:dyDescent="0.15"/>
    <row r="16375" s="9" customFormat="1" ht="21.95" customHeight="1" x14ac:dyDescent="0.15"/>
    <row r="16376" s="9" customFormat="1" ht="21.95" customHeight="1" x14ac:dyDescent="0.15"/>
    <row r="16377" s="9" customFormat="1" ht="21.95" customHeight="1" x14ac:dyDescent="0.15"/>
    <row r="16378" s="9" customFormat="1" ht="21.95" customHeight="1" x14ac:dyDescent="0.15"/>
    <row r="16379" s="9" customFormat="1" ht="21.95" customHeight="1" x14ac:dyDescent="0.15"/>
    <row r="16380" s="9" customFormat="1" ht="21.95" customHeight="1" x14ac:dyDescent="0.15"/>
    <row r="16381" s="9" customFormat="1" ht="21.95" customHeight="1" x14ac:dyDescent="0.15"/>
    <row r="16382" s="9" customFormat="1" ht="21.95" customHeight="1" x14ac:dyDescent="0.15"/>
    <row r="16383" s="9" customFormat="1" ht="21.95" customHeight="1" x14ac:dyDescent="0.15"/>
    <row r="16384" s="9" customFormat="1" ht="21.95" customHeight="1" x14ac:dyDescent="0.15"/>
    <row r="16385" spans="3:3" s="9" customFormat="1" ht="21.95" customHeight="1" x14ac:dyDescent="0.15"/>
    <row r="16386" spans="3:3" s="9" customFormat="1" ht="21.95" customHeight="1" x14ac:dyDescent="0.15"/>
    <row r="16387" spans="3:3" s="9" customFormat="1" ht="21.95" customHeight="1" x14ac:dyDescent="0.15"/>
    <row r="16388" spans="3:3" s="9" customFormat="1" ht="21.95" customHeight="1" x14ac:dyDescent="0.15"/>
    <row r="16389" spans="3:3" s="9" customFormat="1" ht="21.95" customHeight="1" x14ac:dyDescent="0.15"/>
    <row r="16390" spans="3:3" s="9" customFormat="1" ht="21.95" customHeight="1" x14ac:dyDescent="0.15"/>
    <row r="16391" spans="3:3" s="9" customFormat="1" ht="21.95" customHeight="1" x14ac:dyDescent="0.15"/>
    <row r="16392" spans="3:3" s="9" customFormat="1" ht="21.95" customHeight="1" x14ac:dyDescent="0.15"/>
    <row r="16393" spans="3:3" s="9" customFormat="1" ht="21.95" customHeight="1" x14ac:dyDescent="0.15"/>
    <row r="16394" spans="3:3" s="9" customFormat="1" ht="21.95" customHeight="1" x14ac:dyDescent="0.15"/>
    <row r="16395" spans="3:3" s="9" customFormat="1" ht="21.95" customHeight="1" x14ac:dyDescent="0.15"/>
    <row r="16396" spans="3:3" s="9" customFormat="1" ht="21.95" customHeight="1" x14ac:dyDescent="0.15"/>
    <row r="16397" spans="3:3" s="9" customFormat="1" ht="21.95" customHeight="1" x14ac:dyDescent="0.15"/>
    <row r="16398" spans="3:3" s="8" customFormat="1" ht="21.95" customHeight="1" x14ac:dyDescent="0.15"/>
    <row r="16399" spans="3:3" s="8" customFormat="1" ht="21.95" customHeight="1" x14ac:dyDescent="0.15"/>
    <row r="16400" spans="3:3" s="8" customFormat="1" ht="21.95" customHeight="1" x14ac:dyDescent="0.15">
      <c r="C16400" s="101"/>
    </row>
    <row r="16401" spans="3:3" s="8" customFormat="1" ht="21.95" customHeight="1" x14ac:dyDescent="0.15">
      <c r="C16401" s="101"/>
    </row>
    <row r="16402" spans="3:3" s="8" customFormat="1" ht="21.95" customHeight="1" x14ac:dyDescent="0.15"/>
    <row r="16403" spans="3:3" s="8" customFormat="1" ht="21.95" customHeight="1" x14ac:dyDescent="0.15"/>
    <row r="16404" spans="3:3" s="8" customFormat="1" ht="21.95" customHeight="1" x14ac:dyDescent="0.15"/>
    <row r="16405" spans="3:3" s="8" customFormat="1" ht="21.95" customHeight="1" x14ac:dyDescent="0.15"/>
    <row r="16406" spans="3:3" s="8" customFormat="1" ht="21.95" customHeight="1" x14ac:dyDescent="0.15"/>
    <row r="16407" spans="3:3" s="8" customFormat="1" ht="21.95" customHeight="1" x14ac:dyDescent="0.15"/>
    <row r="16408" spans="3:3" s="8" customFormat="1" ht="21.95" customHeight="1" x14ac:dyDescent="0.15"/>
    <row r="16409" spans="3:3" s="9" customFormat="1" ht="21.95" customHeight="1" x14ac:dyDescent="0.15"/>
    <row r="16410" spans="3:3" s="9" customFormat="1" ht="21.95" customHeight="1" x14ac:dyDescent="0.15"/>
    <row r="16411" spans="3:3" s="9" customFormat="1" ht="21.95" customHeight="1" x14ac:dyDescent="0.15"/>
    <row r="16412" spans="3:3" s="9" customFormat="1" ht="21.95" customHeight="1" x14ac:dyDescent="0.15"/>
    <row r="16413" spans="3:3" s="8" customFormat="1" ht="21.95" customHeight="1" x14ac:dyDescent="0.15"/>
    <row r="16414" spans="3:3" s="8" customFormat="1" ht="21.95" customHeight="1" x14ac:dyDescent="0.15"/>
    <row r="16415" spans="3:3" s="8" customFormat="1" ht="21.95" customHeight="1" x14ac:dyDescent="0.15"/>
    <row r="16416" spans="3:3" s="8" customFormat="1" ht="21.95" customHeight="1" x14ac:dyDescent="0.15"/>
    <row r="16417" s="8" customFormat="1" ht="21.95" customHeight="1" x14ac:dyDescent="0.15"/>
    <row r="16418" s="8" customFormat="1" ht="21.95" customHeight="1" x14ac:dyDescent="0.15"/>
    <row r="16419" s="8" customFormat="1" ht="21.95" customHeight="1" x14ac:dyDescent="0.15"/>
    <row r="16420" s="8" customFormat="1" ht="21.95" customHeight="1" x14ac:dyDescent="0.15"/>
    <row r="16421" s="8" customFormat="1" ht="21.95" customHeight="1" x14ac:dyDescent="0.15"/>
    <row r="16422" s="8" customFormat="1" ht="21.95" customHeight="1" x14ac:dyDescent="0.15"/>
    <row r="16423" s="8" customFormat="1" ht="21.95" customHeight="1" x14ac:dyDescent="0.15"/>
    <row r="16424" s="8" customFormat="1" ht="32.1" customHeight="1" x14ac:dyDescent="0.15"/>
    <row r="16425" s="8" customFormat="1" ht="32.1" customHeight="1" x14ac:dyDescent="0.15"/>
    <row r="16426" s="8" customFormat="1" ht="32.1" customHeight="1" x14ac:dyDescent="0.15"/>
    <row r="16427" s="8" customFormat="1" ht="32.1" customHeight="1" x14ac:dyDescent="0.15"/>
    <row r="16428" s="8" customFormat="1" ht="32.1" customHeight="1" x14ac:dyDescent="0.15"/>
    <row r="16429" s="8" customFormat="1" ht="32.1" customHeight="1" x14ac:dyDescent="0.15"/>
    <row r="16430" s="9" customFormat="1" ht="32.1" customHeight="1" x14ac:dyDescent="0.15"/>
    <row r="16431" s="9" customFormat="1" ht="32.1" customHeight="1" x14ac:dyDescent="0.15"/>
    <row r="16432" s="9" customFormat="1" ht="32.1" customHeight="1" x14ac:dyDescent="0.15"/>
    <row r="16433" s="9" customFormat="1" ht="32.1" customHeight="1" x14ac:dyDescent="0.15"/>
    <row r="16434" s="9" customFormat="1" ht="21.95" customHeight="1" x14ac:dyDescent="0.15"/>
    <row r="16435" s="9" customFormat="1" ht="54" customHeight="1" x14ac:dyDescent="0.15"/>
    <row r="16436" s="9" customFormat="1" ht="21.95" customHeight="1" x14ac:dyDescent="0.15"/>
    <row r="16437" s="9" customFormat="1" ht="21.95" customHeight="1" x14ac:dyDescent="0.15"/>
    <row r="16438" s="9" customFormat="1" ht="21.95" customHeight="1" x14ac:dyDescent="0.15"/>
    <row r="16439" s="9" customFormat="1" ht="21.95" customHeight="1" x14ac:dyDescent="0.15"/>
    <row r="16440" s="9" customFormat="1" ht="21.95" customHeight="1" x14ac:dyDescent="0.15"/>
    <row r="16441" s="9" customFormat="1" ht="21.95" customHeight="1" x14ac:dyDescent="0.15"/>
    <row r="16442" s="9" customFormat="1" ht="21.95" customHeight="1" x14ac:dyDescent="0.15"/>
    <row r="16443" s="9" customFormat="1" ht="21.95" customHeight="1" x14ac:dyDescent="0.15"/>
    <row r="16444" s="9" customFormat="1" ht="21.95" customHeight="1" x14ac:dyDescent="0.15"/>
    <row r="16445" s="9" customFormat="1" ht="21.95" customHeight="1" x14ac:dyDescent="0.15"/>
    <row r="16446" s="9" customFormat="1" ht="21.95" customHeight="1" x14ac:dyDescent="0.15"/>
    <row r="16447" s="9" customFormat="1" ht="21.95" customHeight="1" x14ac:dyDescent="0.15"/>
    <row r="16448" s="9" customFormat="1" ht="21.95" customHeight="1" x14ac:dyDescent="0.15"/>
    <row r="16449" s="9" customFormat="1" ht="21.95" customHeight="1" x14ac:dyDescent="0.15"/>
    <row r="16450" s="9" customFormat="1" ht="21.95" customHeight="1" x14ac:dyDescent="0.15"/>
    <row r="16451" s="9" customFormat="1" ht="21.95" customHeight="1" x14ac:dyDescent="0.15"/>
    <row r="16452" s="9" customFormat="1" ht="21.95" customHeight="1" x14ac:dyDescent="0.15"/>
    <row r="16453" s="9" customFormat="1" ht="21.95" customHeight="1" x14ac:dyDescent="0.15"/>
    <row r="16454" s="9" customFormat="1" ht="21.95" customHeight="1" x14ac:dyDescent="0.15"/>
    <row r="16455" s="9" customFormat="1" ht="21.95" customHeight="1" x14ac:dyDescent="0.15"/>
    <row r="16456" s="9" customFormat="1" ht="21.95" customHeight="1" x14ac:dyDescent="0.15"/>
    <row r="16457" s="9" customFormat="1" ht="21.95" customHeight="1" x14ac:dyDescent="0.15"/>
    <row r="16458" s="9" customFormat="1" ht="21.95" customHeight="1" x14ac:dyDescent="0.15"/>
    <row r="16459" s="9" customFormat="1" ht="21.95" customHeight="1" x14ac:dyDescent="0.15"/>
    <row r="16460" s="9" customFormat="1" ht="21.95" customHeight="1" x14ac:dyDescent="0.15"/>
    <row r="16461" s="9" customFormat="1" ht="21.95" customHeight="1" x14ac:dyDescent="0.15"/>
    <row r="16462" s="9" customFormat="1" ht="21.95" customHeight="1" x14ac:dyDescent="0.15"/>
    <row r="16463" s="9" customFormat="1" ht="21.95" customHeight="1" x14ac:dyDescent="0.15"/>
    <row r="16464" s="9" customFormat="1" ht="21.95" customHeight="1" x14ac:dyDescent="0.15"/>
    <row r="16465" s="9" customFormat="1" ht="21.95" customHeight="1" x14ac:dyDescent="0.15"/>
    <row r="16466" s="9" customFormat="1" ht="21.95" customHeight="1" x14ac:dyDescent="0.15"/>
    <row r="16467" s="9" customFormat="1" ht="21.95" customHeight="1" x14ac:dyDescent="0.15"/>
    <row r="16468" s="9" customFormat="1" ht="21.95" customHeight="1" x14ac:dyDescent="0.15"/>
    <row r="16469" s="9" customFormat="1" ht="21.95" customHeight="1" x14ac:dyDescent="0.15"/>
    <row r="16470" s="9" customFormat="1" ht="21.95" customHeight="1" x14ac:dyDescent="0.15"/>
    <row r="16471" s="9" customFormat="1" ht="21.95" customHeight="1" x14ac:dyDescent="0.15"/>
    <row r="16472" s="9" customFormat="1" ht="21.95" customHeight="1" x14ac:dyDescent="0.15"/>
    <row r="16473" s="9" customFormat="1" ht="21.95" customHeight="1" x14ac:dyDescent="0.15"/>
    <row r="16474" s="9" customFormat="1" ht="21.95" customHeight="1" x14ac:dyDescent="0.15"/>
    <row r="16475" s="9" customFormat="1" ht="21.95" customHeight="1" x14ac:dyDescent="0.15"/>
    <row r="16476" s="9" customFormat="1" ht="21.95" customHeight="1" x14ac:dyDescent="0.15"/>
    <row r="16477" s="9" customFormat="1" ht="21.95" customHeight="1" x14ac:dyDescent="0.15"/>
    <row r="16478" s="9" customFormat="1" ht="21.95" customHeight="1" x14ac:dyDescent="0.15"/>
    <row r="16479" s="9" customFormat="1" ht="21.95" customHeight="1" x14ac:dyDescent="0.15"/>
    <row r="16480" s="9" customFormat="1" ht="21.95" customHeight="1" x14ac:dyDescent="0.15"/>
    <row r="16481" s="9" customFormat="1" ht="21.95" customHeight="1" x14ac:dyDescent="0.15"/>
    <row r="16482" s="9" customFormat="1" ht="21.95" customHeight="1" x14ac:dyDescent="0.15"/>
    <row r="16483" s="9" customFormat="1" ht="21.95" customHeight="1" x14ac:dyDescent="0.15"/>
    <row r="16484" s="9" customFormat="1" ht="21.95" customHeight="1" x14ac:dyDescent="0.15"/>
    <row r="16485" s="9" customFormat="1" ht="21.95" customHeight="1" x14ac:dyDescent="0.15"/>
    <row r="16486" s="9" customFormat="1" ht="35.1" customHeight="1" x14ac:dyDescent="0.15"/>
    <row r="16487" s="9" customFormat="1" ht="21.95" customHeight="1" x14ac:dyDescent="0.15"/>
    <row r="16488" s="9" customFormat="1" ht="21.95" customHeight="1" x14ac:dyDescent="0.15"/>
    <row r="16489" s="9" customFormat="1" ht="21.95" customHeight="1" x14ac:dyDescent="0.15"/>
    <row r="16490" s="9" customFormat="1" ht="21.95" customHeight="1" x14ac:dyDescent="0.15"/>
    <row r="16491" s="9" customFormat="1" ht="21.95" customHeight="1" x14ac:dyDescent="0.15"/>
    <row r="16492" s="9" customFormat="1" ht="21.95" customHeight="1" x14ac:dyDescent="0.15"/>
    <row r="16493" s="9" customFormat="1" ht="21.95" customHeight="1" x14ac:dyDescent="0.15"/>
    <row r="16494" s="9" customFormat="1" ht="21.95" customHeight="1" x14ac:dyDescent="0.15"/>
    <row r="16495" s="9" customFormat="1" ht="21.95" customHeight="1" x14ac:dyDescent="0.15"/>
    <row r="16496" s="9" customFormat="1" ht="21.95" customHeight="1" x14ac:dyDescent="0.15"/>
    <row r="16497" spans="3:3" s="9" customFormat="1" ht="21.95" customHeight="1" x14ac:dyDescent="0.15"/>
    <row r="16498" spans="3:3" s="9" customFormat="1" ht="21.95" customHeight="1" x14ac:dyDescent="0.15"/>
    <row r="16499" spans="3:3" s="9" customFormat="1" ht="21.95" customHeight="1" x14ac:dyDescent="0.15"/>
    <row r="16500" spans="3:3" s="9" customFormat="1" ht="21.95" customHeight="1" x14ac:dyDescent="0.15"/>
    <row r="16501" spans="3:3" s="9" customFormat="1" ht="21.95" customHeight="1" x14ac:dyDescent="0.15"/>
    <row r="16502" spans="3:3" s="9" customFormat="1" ht="21.95" customHeight="1" x14ac:dyDescent="0.15"/>
    <row r="16503" spans="3:3" s="9" customFormat="1" ht="21.95" customHeight="1" x14ac:dyDescent="0.15"/>
    <row r="16504" spans="3:3" s="9" customFormat="1" ht="21.95" customHeight="1" x14ac:dyDescent="0.15"/>
    <row r="16505" spans="3:3" s="9" customFormat="1" ht="21.95" customHeight="1" x14ac:dyDescent="0.15"/>
    <row r="16506" spans="3:3" s="9" customFormat="1" ht="21.95" customHeight="1" x14ac:dyDescent="0.15"/>
    <row r="16507" spans="3:3" s="9" customFormat="1" ht="21.95" customHeight="1" x14ac:dyDescent="0.15"/>
    <row r="16508" spans="3:3" s="9" customFormat="1" ht="21.95" customHeight="1" x14ac:dyDescent="0.15"/>
    <row r="16509" spans="3:3" s="9" customFormat="1" ht="21.95" customHeight="1" x14ac:dyDescent="0.15"/>
    <row r="16510" spans="3:3" s="8" customFormat="1" ht="21.95" customHeight="1" x14ac:dyDescent="0.15"/>
    <row r="16511" spans="3:3" s="8" customFormat="1" ht="21.95" customHeight="1" x14ac:dyDescent="0.15"/>
    <row r="16512" spans="3:3" s="8" customFormat="1" ht="21.95" customHeight="1" x14ac:dyDescent="0.15">
      <c r="C16512" s="101"/>
    </row>
    <row r="16513" spans="3:3" s="8" customFormat="1" ht="21.95" customHeight="1" x14ac:dyDescent="0.15">
      <c r="C16513" s="101"/>
    </row>
    <row r="16514" spans="3:3" s="8" customFormat="1" ht="21.95" customHeight="1" x14ac:dyDescent="0.15"/>
    <row r="16515" spans="3:3" s="8" customFormat="1" ht="21.95" customHeight="1" x14ac:dyDescent="0.15"/>
    <row r="16516" spans="3:3" s="8" customFormat="1" ht="21.95" customHeight="1" x14ac:dyDescent="0.15"/>
    <row r="16517" spans="3:3" s="8" customFormat="1" ht="21.95" customHeight="1" x14ac:dyDescent="0.15"/>
    <row r="16518" spans="3:3" s="8" customFormat="1" ht="21.95" customHeight="1" x14ac:dyDescent="0.15"/>
    <row r="16519" spans="3:3" s="8" customFormat="1" ht="21.95" customHeight="1" x14ac:dyDescent="0.15"/>
    <row r="16520" spans="3:3" s="8" customFormat="1" ht="21.95" customHeight="1" x14ac:dyDescent="0.15"/>
    <row r="16521" spans="3:3" s="9" customFormat="1" ht="21.95" customHeight="1" x14ac:dyDescent="0.15"/>
    <row r="16522" spans="3:3" s="9" customFormat="1" ht="21.95" customHeight="1" x14ac:dyDescent="0.15"/>
    <row r="16523" spans="3:3" s="9" customFormat="1" ht="21.95" customHeight="1" x14ac:dyDescent="0.15"/>
    <row r="16524" spans="3:3" s="9" customFormat="1" ht="21.95" customHeight="1" x14ac:dyDescent="0.15"/>
    <row r="16525" spans="3:3" s="8" customFormat="1" ht="21.95" customHeight="1" x14ac:dyDescent="0.15"/>
    <row r="16526" spans="3:3" s="8" customFormat="1" ht="21.95" customHeight="1" x14ac:dyDescent="0.15"/>
    <row r="16527" spans="3:3" s="8" customFormat="1" ht="21.95" customHeight="1" x14ac:dyDescent="0.15"/>
    <row r="16528" spans="3:3" s="8" customFormat="1" ht="21.95" customHeight="1" x14ac:dyDescent="0.15"/>
    <row r="16529" s="8" customFormat="1" ht="21.95" customHeight="1" x14ac:dyDescent="0.15"/>
    <row r="16530" s="8" customFormat="1" ht="21.95" customHeight="1" x14ac:dyDescent="0.15"/>
    <row r="16531" s="8" customFormat="1" ht="21.95" customHeight="1" x14ac:dyDescent="0.15"/>
    <row r="16532" s="8" customFormat="1" ht="21.95" customHeight="1" x14ac:dyDescent="0.15"/>
    <row r="16533" s="8" customFormat="1" ht="21.95" customHeight="1" x14ac:dyDescent="0.15"/>
    <row r="16534" s="8" customFormat="1" ht="21.95" customHeight="1" x14ac:dyDescent="0.15"/>
    <row r="16535" s="8" customFormat="1" ht="21.95" customHeight="1" x14ac:dyDescent="0.15"/>
    <row r="16536" s="8" customFormat="1" ht="32.1" customHeight="1" x14ac:dyDescent="0.15"/>
    <row r="16537" s="8" customFormat="1" ht="32.1" customHeight="1" x14ac:dyDescent="0.15"/>
    <row r="16538" s="8" customFormat="1" ht="32.1" customHeight="1" x14ac:dyDescent="0.15"/>
    <row r="16539" s="8" customFormat="1" ht="32.1" customHeight="1" x14ac:dyDescent="0.15"/>
    <row r="16540" s="8" customFormat="1" ht="32.1" customHeight="1" x14ac:dyDescent="0.15"/>
    <row r="16541" s="8" customFormat="1" ht="32.1" customHeight="1" x14ac:dyDescent="0.15"/>
    <row r="16542" s="9" customFormat="1" ht="32.1" customHeight="1" x14ac:dyDescent="0.15"/>
    <row r="16543" s="9" customFormat="1" ht="32.1" customHeight="1" x14ac:dyDescent="0.15"/>
    <row r="16544" s="9" customFormat="1" ht="32.1" customHeight="1" x14ac:dyDescent="0.15"/>
    <row r="16545" s="9" customFormat="1" ht="32.1" customHeight="1" x14ac:dyDescent="0.15"/>
    <row r="16546" s="9" customFormat="1" ht="21.95" customHeight="1" x14ac:dyDescent="0.15"/>
    <row r="16547" s="9" customFormat="1" ht="54" customHeight="1" x14ac:dyDescent="0.15"/>
    <row r="16548" s="9" customFormat="1" ht="21.95" customHeight="1" x14ac:dyDescent="0.15"/>
    <row r="16549" s="9" customFormat="1" ht="21.95" customHeight="1" x14ac:dyDescent="0.15"/>
    <row r="16550" s="9" customFormat="1" ht="21.95" customHeight="1" x14ac:dyDescent="0.15"/>
    <row r="16551" s="9" customFormat="1" ht="21.95" customHeight="1" x14ac:dyDescent="0.15"/>
    <row r="16552" s="9" customFormat="1" ht="21.95" customHeight="1" x14ac:dyDescent="0.15"/>
    <row r="16553" s="9" customFormat="1" ht="21.95" customHeight="1" x14ac:dyDescent="0.15"/>
    <row r="16554" s="9" customFormat="1" ht="21.95" customHeight="1" x14ac:dyDescent="0.15"/>
    <row r="16555" s="9" customFormat="1" ht="21.95" customHeight="1" x14ac:dyDescent="0.15"/>
    <row r="16556" s="9" customFormat="1" ht="21.95" customHeight="1" x14ac:dyDescent="0.15"/>
    <row r="16557" s="9" customFormat="1" ht="21.95" customHeight="1" x14ac:dyDescent="0.15"/>
    <row r="16558" s="9" customFormat="1" ht="21.95" customHeight="1" x14ac:dyDescent="0.15"/>
    <row r="16559" s="9" customFormat="1" ht="21.95" customHeight="1" x14ac:dyDescent="0.15"/>
    <row r="16560" s="9" customFormat="1" ht="21.95" customHeight="1" x14ac:dyDescent="0.15"/>
    <row r="16561" s="9" customFormat="1" ht="21.95" customHeight="1" x14ac:dyDescent="0.15"/>
    <row r="16562" s="9" customFormat="1" ht="21.95" customHeight="1" x14ac:dyDescent="0.15"/>
    <row r="16563" s="9" customFormat="1" ht="21.95" customHeight="1" x14ac:dyDescent="0.15"/>
    <row r="16564" s="9" customFormat="1" ht="21.95" customHeight="1" x14ac:dyDescent="0.15"/>
    <row r="16565" s="9" customFormat="1" ht="21.95" customHeight="1" x14ac:dyDescent="0.15"/>
    <row r="16566" s="9" customFormat="1" ht="21.95" customHeight="1" x14ac:dyDescent="0.15"/>
    <row r="16567" s="9" customFormat="1" ht="21.95" customHeight="1" x14ac:dyDescent="0.15"/>
    <row r="16568" s="9" customFormat="1" ht="21.95" customHeight="1" x14ac:dyDescent="0.15"/>
    <row r="16569" s="9" customFormat="1" ht="21.95" customHeight="1" x14ac:dyDescent="0.15"/>
    <row r="16570" s="9" customFormat="1" ht="21.95" customHeight="1" x14ac:dyDescent="0.15"/>
    <row r="16571" s="9" customFormat="1" ht="21.95" customHeight="1" x14ac:dyDescent="0.15"/>
    <row r="16572" s="9" customFormat="1" ht="21.95" customHeight="1" x14ac:dyDescent="0.15"/>
    <row r="16573" s="9" customFormat="1" ht="21.95" customHeight="1" x14ac:dyDescent="0.15"/>
    <row r="16574" s="9" customFormat="1" ht="21.95" customHeight="1" x14ac:dyDescent="0.15"/>
    <row r="16575" s="9" customFormat="1" ht="21.95" customHeight="1" x14ac:dyDescent="0.15"/>
    <row r="16576" s="9" customFormat="1" ht="21.95" customHeight="1" x14ac:dyDescent="0.15"/>
    <row r="16577" s="9" customFormat="1" ht="21.95" customHeight="1" x14ac:dyDescent="0.15"/>
    <row r="16578" s="9" customFormat="1" ht="21.95" customHeight="1" x14ac:dyDescent="0.15"/>
    <row r="16579" s="9" customFormat="1" ht="21.95" customHeight="1" x14ac:dyDescent="0.15"/>
    <row r="16580" s="9" customFormat="1" ht="21.95" customHeight="1" x14ac:dyDescent="0.15"/>
    <row r="16581" s="9" customFormat="1" ht="21.95" customHeight="1" x14ac:dyDescent="0.15"/>
    <row r="16582" s="9" customFormat="1" ht="21.95" customHeight="1" x14ac:dyDescent="0.15"/>
    <row r="16583" s="9" customFormat="1" ht="21.95" customHeight="1" x14ac:dyDescent="0.15"/>
    <row r="16584" s="9" customFormat="1" ht="21.95" customHeight="1" x14ac:dyDescent="0.15"/>
    <row r="16585" s="9" customFormat="1" ht="21.95" customHeight="1" x14ac:dyDescent="0.15"/>
    <row r="16586" s="9" customFormat="1" ht="21.95" customHeight="1" x14ac:dyDescent="0.15"/>
    <row r="16587" s="9" customFormat="1" ht="21.95" customHeight="1" x14ac:dyDescent="0.15"/>
    <row r="16588" s="9" customFormat="1" ht="21.95" customHeight="1" x14ac:dyDescent="0.15"/>
    <row r="16589" s="9" customFormat="1" ht="21.95" customHeight="1" x14ac:dyDescent="0.15"/>
    <row r="16590" s="9" customFormat="1" ht="21.95" customHeight="1" x14ac:dyDescent="0.15"/>
    <row r="16591" s="9" customFormat="1" ht="21.95" customHeight="1" x14ac:dyDescent="0.15"/>
    <row r="16592" s="9" customFormat="1" ht="21.95" customHeight="1" x14ac:dyDescent="0.15"/>
    <row r="16593" s="9" customFormat="1" ht="21.95" customHeight="1" x14ac:dyDescent="0.15"/>
    <row r="16594" s="9" customFormat="1" ht="21.95" customHeight="1" x14ac:dyDescent="0.15"/>
    <row r="16595" s="9" customFormat="1" ht="21.95" customHeight="1" x14ac:dyDescent="0.15"/>
    <row r="16596" s="9" customFormat="1" ht="21.95" customHeight="1" x14ac:dyDescent="0.15"/>
    <row r="16597" s="9" customFormat="1" ht="21.95" customHeight="1" x14ac:dyDescent="0.15"/>
    <row r="16598" s="9" customFormat="1" ht="35.1" customHeight="1" x14ac:dyDescent="0.15"/>
    <row r="16599" s="9" customFormat="1" ht="21.95" customHeight="1" x14ac:dyDescent="0.15"/>
    <row r="16600" s="9" customFormat="1" ht="21.95" customHeight="1" x14ac:dyDescent="0.15"/>
    <row r="16601" s="9" customFormat="1" ht="21.95" customHeight="1" x14ac:dyDescent="0.15"/>
    <row r="16602" s="9" customFormat="1" ht="21.95" customHeight="1" x14ac:dyDescent="0.15"/>
    <row r="16603" s="9" customFormat="1" ht="21.95" customHeight="1" x14ac:dyDescent="0.15"/>
    <row r="16604" s="9" customFormat="1" ht="21.95" customHeight="1" x14ac:dyDescent="0.15"/>
    <row r="16605" s="9" customFormat="1" ht="21.95" customHeight="1" x14ac:dyDescent="0.15"/>
    <row r="16606" s="9" customFormat="1" ht="21.95" customHeight="1" x14ac:dyDescent="0.15"/>
    <row r="16607" s="9" customFormat="1" ht="21.95" customHeight="1" x14ac:dyDescent="0.15"/>
    <row r="16608" s="9" customFormat="1" ht="21.95" customHeight="1" x14ac:dyDescent="0.15"/>
    <row r="16609" spans="3:3" s="9" customFormat="1" ht="21.95" customHeight="1" x14ac:dyDescent="0.15"/>
    <row r="16610" spans="3:3" s="9" customFormat="1" ht="21.95" customHeight="1" x14ac:dyDescent="0.15"/>
    <row r="16611" spans="3:3" s="9" customFormat="1" ht="21.95" customHeight="1" x14ac:dyDescent="0.15"/>
    <row r="16612" spans="3:3" s="9" customFormat="1" ht="21.95" customHeight="1" x14ac:dyDescent="0.15"/>
    <row r="16613" spans="3:3" s="9" customFormat="1" ht="21.95" customHeight="1" x14ac:dyDescent="0.15"/>
    <row r="16614" spans="3:3" s="9" customFormat="1" ht="21.95" customHeight="1" x14ac:dyDescent="0.15"/>
    <row r="16615" spans="3:3" s="9" customFormat="1" ht="21.95" customHeight="1" x14ac:dyDescent="0.15"/>
    <row r="16616" spans="3:3" s="9" customFormat="1" ht="21.95" customHeight="1" x14ac:dyDescent="0.15"/>
    <row r="16617" spans="3:3" s="9" customFormat="1" ht="21.95" customHeight="1" x14ac:dyDescent="0.15"/>
    <row r="16618" spans="3:3" s="9" customFormat="1" ht="21.95" customHeight="1" x14ac:dyDescent="0.15"/>
    <row r="16619" spans="3:3" s="9" customFormat="1" ht="21.95" customHeight="1" x14ac:dyDescent="0.15"/>
    <row r="16620" spans="3:3" s="9" customFormat="1" ht="21.95" customHeight="1" x14ac:dyDescent="0.15"/>
    <row r="16621" spans="3:3" s="9" customFormat="1" ht="21.95" customHeight="1" x14ac:dyDescent="0.15"/>
    <row r="16622" spans="3:3" s="8" customFormat="1" ht="21.95" customHeight="1" x14ac:dyDescent="0.15"/>
    <row r="16623" spans="3:3" s="8" customFormat="1" ht="21.95" customHeight="1" x14ac:dyDescent="0.15"/>
    <row r="16624" spans="3:3" s="8" customFormat="1" ht="21.95" customHeight="1" x14ac:dyDescent="0.15">
      <c r="C16624" s="101"/>
    </row>
    <row r="16625" spans="3:3" s="8" customFormat="1" ht="21.95" customHeight="1" x14ac:dyDescent="0.15">
      <c r="C16625" s="101"/>
    </row>
    <row r="16626" spans="3:3" s="8" customFormat="1" ht="21.95" customHeight="1" x14ac:dyDescent="0.15"/>
    <row r="16627" spans="3:3" s="8" customFormat="1" ht="21.95" customHeight="1" x14ac:dyDescent="0.15"/>
    <row r="16628" spans="3:3" s="8" customFormat="1" ht="21.95" customHeight="1" x14ac:dyDescent="0.15"/>
    <row r="16629" spans="3:3" s="8" customFormat="1" ht="21.95" customHeight="1" x14ac:dyDescent="0.15"/>
    <row r="16630" spans="3:3" s="8" customFormat="1" ht="21.95" customHeight="1" x14ac:dyDescent="0.15"/>
    <row r="16631" spans="3:3" s="8" customFormat="1" ht="21.95" customHeight="1" x14ac:dyDescent="0.15"/>
    <row r="16632" spans="3:3" s="8" customFormat="1" ht="21.95" customHeight="1" x14ac:dyDescent="0.15"/>
    <row r="16633" spans="3:3" s="9" customFormat="1" ht="21.95" customHeight="1" x14ac:dyDescent="0.15"/>
    <row r="16634" spans="3:3" s="9" customFormat="1" ht="21.95" customHeight="1" x14ac:dyDescent="0.15"/>
    <row r="16635" spans="3:3" s="9" customFormat="1" ht="21.95" customHeight="1" x14ac:dyDescent="0.15"/>
    <row r="16636" spans="3:3" s="9" customFormat="1" ht="21.95" customHeight="1" x14ac:dyDescent="0.15"/>
    <row r="16637" spans="3:3" s="8" customFormat="1" ht="21.95" customHeight="1" x14ac:dyDescent="0.15"/>
    <row r="16638" spans="3:3" s="8" customFormat="1" ht="21.95" customHeight="1" x14ac:dyDescent="0.15"/>
    <row r="16639" spans="3:3" s="8" customFormat="1" ht="21.95" customHeight="1" x14ac:dyDescent="0.15"/>
    <row r="16640" spans="3:3" s="8" customFormat="1" ht="21.95" customHeight="1" x14ac:dyDescent="0.15"/>
    <row r="16641" s="8" customFormat="1" ht="21.95" customHeight="1" x14ac:dyDescent="0.15"/>
    <row r="16642" s="8" customFormat="1" ht="21.95" customHeight="1" x14ac:dyDescent="0.15"/>
    <row r="16643" s="8" customFormat="1" ht="21.95" customHeight="1" x14ac:dyDescent="0.15"/>
    <row r="16644" s="8" customFormat="1" ht="21.95" customHeight="1" x14ac:dyDescent="0.15"/>
    <row r="16645" s="8" customFormat="1" ht="21.95" customHeight="1" x14ac:dyDescent="0.15"/>
    <row r="16646" s="8" customFormat="1" ht="21.95" customHeight="1" x14ac:dyDescent="0.15"/>
    <row r="16647" s="8" customFormat="1" ht="21.95" customHeight="1" x14ac:dyDescent="0.15"/>
    <row r="16648" s="8" customFormat="1" ht="32.1" customHeight="1" x14ac:dyDescent="0.15"/>
    <row r="16649" s="8" customFormat="1" ht="32.1" customHeight="1" x14ac:dyDescent="0.15"/>
    <row r="16650" s="8" customFormat="1" ht="32.1" customHeight="1" x14ac:dyDescent="0.15"/>
    <row r="16651" s="8" customFormat="1" ht="32.1" customHeight="1" x14ac:dyDescent="0.15"/>
    <row r="16652" s="8" customFormat="1" ht="32.1" customHeight="1" x14ac:dyDescent="0.15"/>
    <row r="16653" s="8" customFormat="1" ht="32.1" customHeight="1" x14ac:dyDescent="0.15"/>
    <row r="16654" s="9" customFormat="1" ht="32.1" customHeight="1" x14ac:dyDescent="0.15"/>
    <row r="16655" s="9" customFormat="1" ht="32.1" customHeight="1" x14ac:dyDescent="0.15"/>
    <row r="16656" s="9" customFormat="1" ht="32.1" customHeight="1" x14ac:dyDescent="0.15"/>
    <row r="16657" s="9" customFormat="1" ht="32.1" customHeight="1" x14ac:dyDescent="0.15"/>
    <row r="16658" s="9" customFormat="1" ht="21.95" customHeight="1" x14ac:dyDescent="0.15"/>
    <row r="16659" s="9" customFormat="1" ht="54" customHeight="1" x14ac:dyDescent="0.15"/>
    <row r="16660" s="9" customFormat="1" ht="21.95" customHeight="1" x14ac:dyDescent="0.15"/>
    <row r="16661" s="9" customFormat="1" ht="21.95" customHeight="1" x14ac:dyDescent="0.15"/>
    <row r="16662" s="9" customFormat="1" ht="21.95" customHeight="1" x14ac:dyDescent="0.15"/>
    <row r="16663" s="9" customFormat="1" ht="21.95" customHeight="1" x14ac:dyDescent="0.15"/>
    <row r="16664" s="9" customFormat="1" ht="21.95" customHeight="1" x14ac:dyDescent="0.15"/>
    <row r="16665" s="9" customFormat="1" ht="21.95" customHeight="1" x14ac:dyDescent="0.15"/>
    <row r="16666" s="9" customFormat="1" ht="21.95" customHeight="1" x14ac:dyDescent="0.15"/>
    <row r="16667" s="9" customFormat="1" ht="21.95" customHeight="1" x14ac:dyDescent="0.15"/>
    <row r="16668" s="9" customFormat="1" ht="21.95" customHeight="1" x14ac:dyDescent="0.15"/>
    <row r="16669" s="9" customFormat="1" ht="21.95" customHeight="1" x14ac:dyDescent="0.15"/>
    <row r="16670" s="9" customFormat="1" ht="21.95" customHeight="1" x14ac:dyDescent="0.15"/>
    <row r="16671" s="9" customFormat="1" ht="21.95" customHeight="1" x14ac:dyDescent="0.15"/>
    <row r="16672" s="9" customFormat="1" ht="21.95" customHeight="1" x14ac:dyDescent="0.15"/>
    <row r="16673" s="9" customFormat="1" ht="21.95" customHeight="1" x14ac:dyDescent="0.15"/>
    <row r="16674" s="9" customFormat="1" ht="21.95" customHeight="1" x14ac:dyDescent="0.15"/>
    <row r="16675" s="9" customFormat="1" ht="21.95" customHeight="1" x14ac:dyDescent="0.15"/>
    <row r="16676" s="9" customFormat="1" ht="21.95" customHeight="1" x14ac:dyDescent="0.15"/>
    <row r="16677" s="9" customFormat="1" ht="21.95" customHeight="1" x14ac:dyDescent="0.15"/>
    <row r="16678" s="9" customFormat="1" ht="21.95" customHeight="1" x14ac:dyDescent="0.15"/>
    <row r="16679" s="9" customFormat="1" ht="21.95" customHeight="1" x14ac:dyDescent="0.15"/>
    <row r="16680" s="9" customFormat="1" ht="21.95" customHeight="1" x14ac:dyDescent="0.15"/>
    <row r="16681" s="9" customFormat="1" ht="21.95" customHeight="1" x14ac:dyDescent="0.15"/>
    <row r="16682" s="9" customFormat="1" ht="21.95" customHeight="1" x14ac:dyDescent="0.15"/>
    <row r="16683" s="9" customFormat="1" ht="21.95" customHeight="1" x14ac:dyDescent="0.15"/>
    <row r="16684" s="9" customFormat="1" ht="21.95" customHeight="1" x14ac:dyDescent="0.15"/>
    <row r="16685" s="9" customFormat="1" ht="21.95" customHeight="1" x14ac:dyDescent="0.15"/>
    <row r="16686" s="9" customFormat="1" ht="21.95" customHeight="1" x14ac:dyDescent="0.15"/>
    <row r="16687" s="9" customFormat="1" ht="21.95" customHeight="1" x14ac:dyDescent="0.15"/>
    <row r="16688" s="9" customFormat="1" ht="21.95" customHeight="1" x14ac:dyDescent="0.15"/>
    <row r="16689" s="9" customFormat="1" ht="21.95" customHeight="1" x14ac:dyDescent="0.15"/>
    <row r="16690" s="9" customFormat="1" ht="21.95" customHeight="1" x14ac:dyDescent="0.15"/>
    <row r="16691" s="9" customFormat="1" ht="21.95" customHeight="1" x14ac:dyDescent="0.15"/>
    <row r="16692" s="9" customFormat="1" ht="21.95" customHeight="1" x14ac:dyDescent="0.15"/>
    <row r="16693" s="9" customFormat="1" ht="21.95" customHeight="1" x14ac:dyDescent="0.15"/>
    <row r="16694" s="9" customFormat="1" ht="21.95" customHeight="1" x14ac:dyDescent="0.15"/>
    <row r="16695" s="9" customFormat="1" ht="21.95" customHeight="1" x14ac:dyDescent="0.15"/>
    <row r="16696" s="9" customFormat="1" ht="21.95" customHeight="1" x14ac:dyDescent="0.15"/>
    <row r="16697" s="9" customFormat="1" ht="21.95" customHeight="1" x14ac:dyDescent="0.15"/>
    <row r="16698" s="9" customFormat="1" ht="21.95" customHeight="1" x14ac:dyDescent="0.15"/>
    <row r="16699" s="9" customFormat="1" ht="21.95" customHeight="1" x14ac:dyDescent="0.15"/>
    <row r="16700" s="9" customFormat="1" ht="21.95" customHeight="1" x14ac:dyDescent="0.15"/>
    <row r="16701" s="9" customFormat="1" ht="21.95" customHeight="1" x14ac:dyDescent="0.15"/>
    <row r="16702" s="9" customFormat="1" ht="21.95" customHeight="1" x14ac:dyDescent="0.15"/>
    <row r="16703" s="9" customFormat="1" ht="21.95" customHeight="1" x14ac:dyDescent="0.15"/>
    <row r="16704" s="9" customFormat="1" ht="21.95" customHeight="1" x14ac:dyDescent="0.15"/>
    <row r="16705" s="9" customFormat="1" ht="21.95" customHeight="1" x14ac:dyDescent="0.15"/>
    <row r="16706" s="9" customFormat="1" ht="21.95" customHeight="1" x14ac:dyDescent="0.15"/>
    <row r="16707" s="9" customFormat="1" ht="21.95" customHeight="1" x14ac:dyDescent="0.15"/>
    <row r="16708" s="9" customFormat="1" ht="21.95" customHeight="1" x14ac:dyDescent="0.15"/>
    <row r="16709" s="9" customFormat="1" ht="21.95" customHeight="1" x14ac:dyDescent="0.15"/>
    <row r="16710" s="9" customFormat="1" ht="35.1" customHeight="1" x14ac:dyDescent="0.15"/>
    <row r="16711" s="9" customFormat="1" ht="21.95" customHeight="1" x14ac:dyDescent="0.15"/>
    <row r="16712" s="9" customFormat="1" ht="21.95" customHeight="1" x14ac:dyDescent="0.15"/>
    <row r="16713" s="9" customFormat="1" ht="21.95" customHeight="1" x14ac:dyDescent="0.15"/>
    <row r="16714" s="9" customFormat="1" ht="21.95" customHeight="1" x14ac:dyDescent="0.15"/>
    <row r="16715" s="9" customFormat="1" ht="21.95" customHeight="1" x14ac:dyDescent="0.15"/>
    <row r="16716" s="9" customFormat="1" ht="21.95" customHeight="1" x14ac:dyDescent="0.15"/>
    <row r="16717" s="9" customFormat="1" ht="21.95" customHeight="1" x14ac:dyDescent="0.15"/>
    <row r="16718" s="9" customFormat="1" ht="21.95" customHeight="1" x14ac:dyDescent="0.15"/>
    <row r="16719" s="9" customFormat="1" ht="21.95" customHeight="1" x14ac:dyDescent="0.15"/>
    <row r="16720" s="9" customFormat="1" ht="21.95" customHeight="1" x14ac:dyDescent="0.15"/>
    <row r="16721" spans="3:3" s="9" customFormat="1" ht="21.95" customHeight="1" x14ac:dyDescent="0.15"/>
    <row r="16722" spans="3:3" s="9" customFormat="1" ht="21.95" customHeight="1" x14ac:dyDescent="0.15"/>
    <row r="16723" spans="3:3" s="9" customFormat="1" ht="21.95" customHeight="1" x14ac:dyDescent="0.15"/>
    <row r="16724" spans="3:3" s="9" customFormat="1" ht="21.95" customHeight="1" x14ac:dyDescent="0.15"/>
    <row r="16725" spans="3:3" s="9" customFormat="1" ht="21.95" customHeight="1" x14ac:dyDescent="0.15"/>
    <row r="16726" spans="3:3" s="9" customFormat="1" ht="21.95" customHeight="1" x14ac:dyDescent="0.15"/>
    <row r="16727" spans="3:3" s="9" customFormat="1" ht="21.95" customHeight="1" x14ac:dyDescent="0.15"/>
    <row r="16728" spans="3:3" s="9" customFormat="1" ht="21.95" customHeight="1" x14ac:dyDescent="0.15"/>
    <row r="16729" spans="3:3" s="9" customFormat="1" ht="21.95" customHeight="1" x14ac:dyDescent="0.15"/>
    <row r="16730" spans="3:3" s="9" customFormat="1" ht="21.95" customHeight="1" x14ac:dyDescent="0.15"/>
    <row r="16731" spans="3:3" s="9" customFormat="1" ht="21.95" customHeight="1" x14ac:dyDescent="0.15"/>
    <row r="16732" spans="3:3" s="9" customFormat="1" ht="21.95" customHeight="1" x14ac:dyDescent="0.15"/>
    <row r="16733" spans="3:3" s="9" customFormat="1" ht="21.95" customHeight="1" x14ac:dyDescent="0.15"/>
    <row r="16734" spans="3:3" s="8" customFormat="1" ht="21.95" customHeight="1" x14ac:dyDescent="0.15"/>
    <row r="16735" spans="3:3" s="8" customFormat="1" ht="21.95" customHeight="1" x14ac:dyDescent="0.15"/>
    <row r="16736" spans="3:3" s="8" customFormat="1" ht="21.95" customHeight="1" x14ac:dyDescent="0.15">
      <c r="C16736" s="101"/>
    </row>
    <row r="16737" spans="3:3" s="8" customFormat="1" ht="21.95" customHeight="1" x14ac:dyDescent="0.15">
      <c r="C16737" s="101"/>
    </row>
    <row r="16738" spans="3:3" s="8" customFormat="1" ht="21.95" customHeight="1" x14ac:dyDescent="0.15"/>
    <row r="16739" spans="3:3" s="8" customFormat="1" ht="21.95" customHeight="1" x14ac:dyDescent="0.15"/>
    <row r="16740" spans="3:3" s="8" customFormat="1" ht="21.95" customHeight="1" x14ac:dyDescent="0.15"/>
    <row r="16741" spans="3:3" s="8" customFormat="1" ht="21.95" customHeight="1" x14ac:dyDescent="0.15"/>
    <row r="16742" spans="3:3" s="8" customFormat="1" ht="21.95" customHeight="1" x14ac:dyDescent="0.15"/>
    <row r="16743" spans="3:3" s="8" customFormat="1" ht="21.95" customHeight="1" x14ac:dyDescent="0.15"/>
    <row r="16744" spans="3:3" s="8" customFormat="1" ht="21.95" customHeight="1" x14ac:dyDescent="0.15"/>
    <row r="16745" spans="3:3" s="9" customFormat="1" ht="21.95" customHeight="1" x14ac:dyDescent="0.15"/>
    <row r="16746" spans="3:3" s="9" customFormat="1" ht="21.95" customHeight="1" x14ac:dyDescent="0.15"/>
    <row r="16747" spans="3:3" s="9" customFormat="1" ht="21.95" customHeight="1" x14ac:dyDescent="0.15"/>
    <row r="16748" spans="3:3" s="9" customFormat="1" ht="21.95" customHeight="1" x14ac:dyDescent="0.15"/>
    <row r="16749" spans="3:3" s="8" customFormat="1" ht="21.95" customHeight="1" x14ac:dyDescent="0.15"/>
    <row r="16750" spans="3:3" s="8" customFormat="1" ht="21.95" customHeight="1" x14ac:dyDescent="0.15"/>
    <row r="16751" spans="3:3" s="8" customFormat="1" ht="21.95" customHeight="1" x14ac:dyDescent="0.15"/>
    <row r="16752" spans="3:3" s="8" customFormat="1" ht="21.95" customHeight="1" x14ac:dyDescent="0.15"/>
    <row r="16753" s="8" customFormat="1" ht="21.95" customHeight="1" x14ac:dyDescent="0.15"/>
    <row r="16754" s="8" customFormat="1" ht="21.95" customHeight="1" x14ac:dyDescent="0.15"/>
    <row r="16755" s="8" customFormat="1" ht="21.95" customHeight="1" x14ac:dyDescent="0.15"/>
    <row r="16756" s="8" customFormat="1" ht="21.95" customHeight="1" x14ac:dyDescent="0.15"/>
    <row r="16757" s="8" customFormat="1" ht="21.95" customHeight="1" x14ac:dyDescent="0.15"/>
    <row r="16758" s="8" customFormat="1" ht="21.95" customHeight="1" x14ac:dyDescent="0.15"/>
    <row r="16759" s="8" customFormat="1" ht="21.95" customHeight="1" x14ac:dyDescent="0.15"/>
    <row r="16760" s="8" customFormat="1" ht="32.1" customHeight="1" x14ac:dyDescent="0.15"/>
    <row r="16761" s="8" customFormat="1" ht="32.1" customHeight="1" x14ac:dyDescent="0.15"/>
    <row r="16762" s="8" customFormat="1" ht="32.1" customHeight="1" x14ac:dyDescent="0.15"/>
    <row r="16763" s="8" customFormat="1" ht="32.1" customHeight="1" x14ac:dyDescent="0.15"/>
    <row r="16764" s="8" customFormat="1" ht="32.1" customHeight="1" x14ac:dyDescent="0.15"/>
    <row r="16765" s="8" customFormat="1" ht="32.1" customHeight="1" x14ac:dyDescent="0.15"/>
    <row r="16766" s="9" customFormat="1" ht="32.1" customHeight="1" x14ac:dyDescent="0.15"/>
    <row r="16767" s="9" customFormat="1" ht="32.1" customHeight="1" x14ac:dyDescent="0.15"/>
    <row r="16768" s="9" customFormat="1" ht="32.1" customHeight="1" x14ac:dyDescent="0.15"/>
    <row r="16769" s="9" customFormat="1" ht="32.1" customHeight="1" x14ac:dyDescent="0.15"/>
    <row r="16770" s="9" customFormat="1" ht="21.95" customHeight="1" x14ac:dyDescent="0.15"/>
    <row r="16771" s="9" customFormat="1" ht="54" customHeight="1" x14ac:dyDescent="0.15"/>
    <row r="16772" s="9" customFormat="1" ht="21.95" customHeight="1" x14ac:dyDescent="0.15"/>
    <row r="16773" s="9" customFormat="1" ht="21.95" customHeight="1" x14ac:dyDescent="0.15"/>
    <row r="16774" s="9" customFormat="1" ht="21.95" customHeight="1" x14ac:dyDescent="0.15"/>
    <row r="16775" s="9" customFormat="1" ht="21.95" customHeight="1" x14ac:dyDescent="0.15"/>
    <row r="16776" s="9" customFormat="1" ht="21.95" customHeight="1" x14ac:dyDescent="0.15"/>
    <row r="16777" s="9" customFormat="1" ht="21.95" customHeight="1" x14ac:dyDescent="0.15"/>
    <row r="16778" s="9" customFormat="1" ht="21.95" customHeight="1" x14ac:dyDescent="0.15"/>
    <row r="16779" s="9" customFormat="1" ht="21.95" customHeight="1" x14ac:dyDescent="0.15"/>
    <row r="16780" s="9" customFormat="1" ht="21.95" customHeight="1" x14ac:dyDescent="0.15"/>
    <row r="16781" s="9" customFormat="1" ht="21.95" customHeight="1" x14ac:dyDescent="0.15"/>
    <row r="16782" s="9" customFormat="1" ht="21.95" customHeight="1" x14ac:dyDescent="0.15"/>
    <row r="16783" s="9" customFormat="1" ht="21.95" customHeight="1" x14ac:dyDescent="0.15"/>
    <row r="16784" s="9" customFormat="1" ht="21.95" customHeight="1" x14ac:dyDescent="0.15"/>
    <row r="16785" s="9" customFormat="1" ht="21.95" customHeight="1" x14ac:dyDescent="0.15"/>
    <row r="16786" s="9" customFormat="1" ht="21.95" customHeight="1" x14ac:dyDescent="0.15"/>
    <row r="16787" s="9" customFormat="1" ht="21.95" customHeight="1" x14ac:dyDescent="0.15"/>
    <row r="16788" s="9" customFormat="1" ht="21.95" customHeight="1" x14ac:dyDescent="0.15"/>
    <row r="16789" s="9" customFormat="1" ht="21.95" customHeight="1" x14ac:dyDescent="0.15"/>
    <row r="16790" s="9" customFormat="1" ht="21.95" customHeight="1" x14ac:dyDescent="0.15"/>
    <row r="16791" s="9" customFormat="1" ht="21.95" customHeight="1" x14ac:dyDescent="0.15"/>
    <row r="16792" s="9" customFormat="1" ht="21.95" customHeight="1" x14ac:dyDescent="0.15"/>
    <row r="16793" s="9" customFormat="1" ht="21.95" customHeight="1" x14ac:dyDescent="0.15"/>
    <row r="16794" s="9" customFormat="1" ht="21.95" customHeight="1" x14ac:dyDescent="0.15"/>
    <row r="16795" s="9" customFormat="1" ht="21.95" customHeight="1" x14ac:dyDescent="0.15"/>
    <row r="16796" s="9" customFormat="1" ht="21.95" customHeight="1" x14ac:dyDescent="0.15"/>
    <row r="16797" s="9" customFormat="1" ht="21.95" customHeight="1" x14ac:dyDescent="0.15"/>
    <row r="16798" s="9" customFormat="1" ht="21.95" customHeight="1" x14ac:dyDescent="0.15"/>
    <row r="16799" s="9" customFormat="1" ht="21.95" customHeight="1" x14ac:dyDescent="0.15"/>
    <row r="16800" s="9" customFormat="1" ht="21.95" customHeight="1" x14ac:dyDescent="0.15"/>
    <row r="16801" s="9" customFormat="1" ht="21.95" customHeight="1" x14ac:dyDescent="0.15"/>
    <row r="16802" s="9" customFormat="1" ht="21.95" customHeight="1" x14ac:dyDescent="0.15"/>
    <row r="16803" s="9" customFormat="1" ht="21.95" customHeight="1" x14ac:dyDescent="0.15"/>
    <row r="16804" s="9" customFormat="1" ht="21.95" customHeight="1" x14ac:dyDescent="0.15"/>
    <row r="16805" s="9" customFormat="1" ht="21.95" customHeight="1" x14ac:dyDescent="0.15"/>
    <row r="16806" s="9" customFormat="1" ht="21.95" customHeight="1" x14ac:dyDescent="0.15"/>
    <row r="16807" s="9" customFormat="1" ht="21.95" customHeight="1" x14ac:dyDescent="0.15"/>
    <row r="16808" s="9" customFormat="1" ht="21.95" customHeight="1" x14ac:dyDescent="0.15"/>
    <row r="16809" s="9" customFormat="1" ht="21.95" customHeight="1" x14ac:dyDescent="0.15"/>
    <row r="16810" s="9" customFormat="1" ht="21.95" customHeight="1" x14ac:dyDescent="0.15"/>
    <row r="16811" s="9" customFormat="1" ht="21.95" customHeight="1" x14ac:dyDescent="0.15"/>
    <row r="16812" s="9" customFormat="1" ht="21.95" customHeight="1" x14ac:dyDescent="0.15"/>
    <row r="16813" s="9" customFormat="1" ht="21.95" customHeight="1" x14ac:dyDescent="0.15"/>
    <row r="16814" s="9" customFormat="1" ht="21.95" customHeight="1" x14ac:dyDescent="0.15"/>
    <row r="16815" s="9" customFormat="1" ht="21.95" customHeight="1" x14ac:dyDescent="0.15"/>
    <row r="16816" s="9" customFormat="1" ht="21.95" customHeight="1" x14ac:dyDescent="0.15"/>
    <row r="16817" s="9" customFormat="1" ht="21.95" customHeight="1" x14ac:dyDescent="0.15"/>
    <row r="16818" s="9" customFormat="1" ht="21.95" customHeight="1" x14ac:dyDescent="0.15"/>
    <row r="16819" s="9" customFormat="1" ht="21.95" customHeight="1" x14ac:dyDescent="0.15"/>
    <row r="16820" s="9" customFormat="1" ht="21.95" customHeight="1" x14ac:dyDescent="0.15"/>
    <row r="16821" s="9" customFormat="1" ht="21.95" customHeight="1" x14ac:dyDescent="0.15"/>
    <row r="16822" s="9" customFormat="1" ht="35.1" customHeight="1" x14ac:dyDescent="0.15"/>
    <row r="16823" s="9" customFormat="1" ht="21.95" customHeight="1" x14ac:dyDescent="0.15"/>
    <row r="16824" s="9" customFormat="1" ht="21.95" customHeight="1" x14ac:dyDescent="0.15"/>
    <row r="16825" s="9" customFormat="1" ht="21.95" customHeight="1" x14ac:dyDescent="0.15"/>
    <row r="16826" s="9" customFormat="1" ht="21.95" customHeight="1" x14ac:dyDescent="0.15"/>
    <row r="16827" s="9" customFormat="1" ht="21.95" customHeight="1" x14ac:dyDescent="0.15"/>
    <row r="16828" s="9" customFormat="1" ht="21.95" customHeight="1" x14ac:dyDescent="0.15"/>
    <row r="16829" s="9" customFormat="1" ht="21.95" customHeight="1" x14ac:dyDescent="0.15"/>
    <row r="16830" s="9" customFormat="1" ht="21.95" customHeight="1" x14ac:dyDescent="0.15"/>
    <row r="16831" s="9" customFormat="1" ht="21.95" customHeight="1" x14ac:dyDescent="0.15"/>
    <row r="16832" s="9" customFormat="1" ht="21.95" customHeight="1" x14ac:dyDescent="0.15"/>
    <row r="16833" spans="3:3" s="9" customFormat="1" ht="21.95" customHeight="1" x14ac:dyDescent="0.15"/>
    <row r="16834" spans="3:3" s="9" customFormat="1" ht="21.95" customHeight="1" x14ac:dyDescent="0.15"/>
    <row r="16835" spans="3:3" s="9" customFormat="1" ht="21.95" customHeight="1" x14ac:dyDescent="0.15"/>
    <row r="16836" spans="3:3" s="9" customFormat="1" ht="21.95" customHeight="1" x14ac:dyDescent="0.15"/>
    <row r="16837" spans="3:3" s="9" customFormat="1" ht="21.95" customHeight="1" x14ac:dyDescent="0.15"/>
    <row r="16838" spans="3:3" s="9" customFormat="1" ht="21.95" customHeight="1" x14ac:dyDescent="0.15"/>
    <row r="16839" spans="3:3" s="9" customFormat="1" ht="21.95" customHeight="1" x14ac:dyDescent="0.15"/>
    <row r="16840" spans="3:3" s="9" customFormat="1" ht="21.95" customHeight="1" x14ac:dyDescent="0.15"/>
    <row r="16841" spans="3:3" s="9" customFormat="1" ht="21.95" customHeight="1" x14ac:dyDescent="0.15"/>
    <row r="16842" spans="3:3" s="9" customFormat="1" ht="21.95" customHeight="1" x14ac:dyDescent="0.15"/>
    <row r="16843" spans="3:3" s="9" customFormat="1" ht="21.95" customHeight="1" x14ac:dyDescent="0.15"/>
    <row r="16844" spans="3:3" s="9" customFormat="1" ht="21.95" customHeight="1" x14ac:dyDescent="0.15"/>
    <row r="16845" spans="3:3" s="9" customFormat="1" ht="21.95" customHeight="1" x14ac:dyDescent="0.15"/>
    <row r="16846" spans="3:3" s="8" customFormat="1" ht="21.95" customHeight="1" x14ac:dyDescent="0.15"/>
    <row r="16847" spans="3:3" s="8" customFormat="1" ht="21.95" customHeight="1" x14ac:dyDescent="0.15"/>
    <row r="16848" spans="3:3" s="8" customFormat="1" ht="21.95" customHeight="1" x14ac:dyDescent="0.15">
      <c r="C16848" s="101"/>
    </row>
    <row r="16849" spans="3:3" s="8" customFormat="1" ht="21.95" customHeight="1" x14ac:dyDescent="0.15">
      <c r="C16849" s="101"/>
    </row>
    <row r="16850" spans="3:3" s="8" customFormat="1" ht="21.95" customHeight="1" x14ac:dyDescent="0.15"/>
    <row r="16851" spans="3:3" s="8" customFormat="1" ht="21.95" customHeight="1" x14ac:dyDescent="0.15"/>
    <row r="16852" spans="3:3" s="8" customFormat="1" ht="21.95" customHeight="1" x14ac:dyDescent="0.15"/>
    <row r="16853" spans="3:3" s="8" customFormat="1" ht="21.95" customHeight="1" x14ac:dyDescent="0.15"/>
    <row r="16854" spans="3:3" s="8" customFormat="1" ht="21.95" customHeight="1" x14ac:dyDescent="0.15"/>
    <row r="16855" spans="3:3" s="8" customFormat="1" ht="21.95" customHeight="1" x14ac:dyDescent="0.15"/>
    <row r="16856" spans="3:3" s="8" customFormat="1" ht="21.95" customHeight="1" x14ac:dyDescent="0.15"/>
    <row r="16857" spans="3:3" s="9" customFormat="1" ht="21.95" customHeight="1" x14ac:dyDescent="0.15"/>
    <row r="16858" spans="3:3" s="9" customFormat="1" ht="21.95" customHeight="1" x14ac:dyDescent="0.15"/>
    <row r="16859" spans="3:3" s="9" customFormat="1" ht="21.95" customHeight="1" x14ac:dyDescent="0.15"/>
    <row r="16860" spans="3:3" s="9" customFormat="1" ht="21.95" customHeight="1" x14ac:dyDescent="0.15"/>
    <row r="16861" spans="3:3" s="8" customFormat="1" ht="21.95" customHeight="1" x14ac:dyDescent="0.15"/>
    <row r="16862" spans="3:3" s="8" customFormat="1" ht="21.95" customHeight="1" x14ac:dyDescent="0.15"/>
    <row r="16863" spans="3:3" s="8" customFormat="1" ht="21.95" customHeight="1" x14ac:dyDescent="0.15"/>
    <row r="16864" spans="3:3" s="8" customFormat="1" ht="21.95" customHeight="1" x14ac:dyDescent="0.15"/>
    <row r="16865" s="8" customFormat="1" ht="21.95" customHeight="1" x14ac:dyDescent="0.15"/>
    <row r="16866" s="8" customFormat="1" ht="21.95" customHeight="1" x14ac:dyDescent="0.15"/>
    <row r="16867" s="8" customFormat="1" ht="21.95" customHeight="1" x14ac:dyDescent="0.15"/>
    <row r="16868" s="8" customFormat="1" ht="21.95" customHeight="1" x14ac:dyDescent="0.15"/>
    <row r="16869" s="8" customFormat="1" ht="21.95" customHeight="1" x14ac:dyDescent="0.15"/>
    <row r="16870" s="8" customFormat="1" ht="21.95" customHeight="1" x14ac:dyDescent="0.15"/>
    <row r="16871" s="8" customFormat="1" ht="21.95" customHeight="1" x14ac:dyDescent="0.15"/>
    <row r="16872" s="8" customFormat="1" ht="32.1" customHeight="1" x14ac:dyDescent="0.15"/>
    <row r="16873" s="8" customFormat="1" ht="32.1" customHeight="1" x14ac:dyDescent="0.15"/>
    <row r="16874" s="8" customFormat="1" ht="32.1" customHeight="1" x14ac:dyDescent="0.15"/>
    <row r="16875" s="8" customFormat="1" ht="32.1" customHeight="1" x14ac:dyDescent="0.15"/>
    <row r="16876" s="8" customFormat="1" ht="32.1" customHeight="1" x14ac:dyDescent="0.15"/>
    <row r="16877" s="8" customFormat="1" ht="32.1" customHeight="1" x14ac:dyDescent="0.15"/>
    <row r="16878" s="9" customFormat="1" ht="32.1" customHeight="1" x14ac:dyDescent="0.15"/>
    <row r="16879" s="9" customFormat="1" ht="32.1" customHeight="1" x14ac:dyDescent="0.15"/>
    <row r="16880" s="9" customFormat="1" ht="32.1" customHeight="1" x14ac:dyDescent="0.15"/>
    <row r="16881" s="9" customFormat="1" ht="32.1" customHeight="1" x14ac:dyDescent="0.15"/>
    <row r="16882" s="9" customFormat="1" ht="21.95" customHeight="1" x14ac:dyDescent="0.15"/>
    <row r="16883" s="9" customFormat="1" ht="54" customHeight="1" x14ac:dyDescent="0.15"/>
    <row r="16884" s="9" customFormat="1" ht="21.95" customHeight="1" x14ac:dyDescent="0.15"/>
    <row r="16885" s="9" customFormat="1" ht="21.95" customHeight="1" x14ac:dyDescent="0.15"/>
    <row r="16886" s="9" customFormat="1" ht="21.95" customHeight="1" x14ac:dyDescent="0.15"/>
    <row r="16887" s="9" customFormat="1" ht="21.95" customHeight="1" x14ac:dyDescent="0.15"/>
    <row r="16888" s="9" customFormat="1" ht="21.95" customHeight="1" x14ac:dyDescent="0.15"/>
    <row r="16889" s="9" customFormat="1" ht="21.95" customHeight="1" x14ac:dyDescent="0.15"/>
    <row r="16890" s="9" customFormat="1" ht="21.95" customHeight="1" x14ac:dyDescent="0.15"/>
    <row r="16891" s="9" customFormat="1" ht="21.95" customHeight="1" x14ac:dyDescent="0.15"/>
    <row r="16892" s="9" customFormat="1" ht="21.95" customHeight="1" x14ac:dyDescent="0.15"/>
    <row r="16893" s="9" customFormat="1" ht="21.95" customHeight="1" x14ac:dyDescent="0.15"/>
    <row r="16894" s="9" customFormat="1" ht="21.95" customHeight="1" x14ac:dyDescent="0.15"/>
    <row r="16895" s="9" customFormat="1" ht="21.95" customHeight="1" x14ac:dyDescent="0.15"/>
    <row r="16896" s="9" customFormat="1" ht="21.95" customHeight="1" x14ac:dyDescent="0.15"/>
    <row r="16897" s="9" customFormat="1" ht="21.95" customHeight="1" x14ac:dyDescent="0.15"/>
    <row r="16898" s="9" customFormat="1" ht="21.95" customHeight="1" x14ac:dyDescent="0.15"/>
    <row r="16899" s="9" customFormat="1" ht="21.95" customHeight="1" x14ac:dyDescent="0.15"/>
    <row r="16900" s="9" customFormat="1" ht="21.95" customHeight="1" x14ac:dyDescent="0.15"/>
    <row r="16901" s="9" customFormat="1" ht="21.95" customHeight="1" x14ac:dyDescent="0.15"/>
    <row r="16902" s="9" customFormat="1" ht="21.95" customHeight="1" x14ac:dyDescent="0.15"/>
    <row r="16903" s="9" customFormat="1" ht="21.95" customHeight="1" x14ac:dyDescent="0.15"/>
    <row r="16904" s="9" customFormat="1" ht="21.95" customHeight="1" x14ac:dyDescent="0.15"/>
    <row r="16905" s="9" customFormat="1" ht="21.95" customHeight="1" x14ac:dyDescent="0.15"/>
    <row r="16906" s="9" customFormat="1" ht="21.95" customHeight="1" x14ac:dyDescent="0.15"/>
    <row r="16907" s="9" customFormat="1" ht="21.95" customHeight="1" x14ac:dyDescent="0.15"/>
    <row r="16908" s="9" customFormat="1" ht="21.95" customHeight="1" x14ac:dyDescent="0.15"/>
    <row r="16909" s="9" customFormat="1" ht="21.95" customHeight="1" x14ac:dyDescent="0.15"/>
    <row r="16910" s="9" customFormat="1" ht="21.95" customHeight="1" x14ac:dyDescent="0.15"/>
    <row r="16911" s="9" customFormat="1" ht="21.95" customHeight="1" x14ac:dyDescent="0.15"/>
    <row r="16912" s="9" customFormat="1" ht="21.95" customHeight="1" x14ac:dyDescent="0.15"/>
    <row r="16913" s="9" customFormat="1" ht="21.95" customHeight="1" x14ac:dyDescent="0.15"/>
    <row r="16914" s="9" customFormat="1" ht="21.95" customHeight="1" x14ac:dyDescent="0.15"/>
    <row r="16915" s="9" customFormat="1" ht="21.95" customHeight="1" x14ac:dyDescent="0.15"/>
    <row r="16916" s="9" customFormat="1" ht="21.95" customHeight="1" x14ac:dyDescent="0.15"/>
    <row r="16917" s="9" customFormat="1" ht="21.95" customHeight="1" x14ac:dyDescent="0.15"/>
    <row r="16918" s="9" customFormat="1" ht="21.95" customHeight="1" x14ac:dyDescent="0.15"/>
    <row r="16919" s="9" customFormat="1" ht="21.95" customHeight="1" x14ac:dyDescent="0.15"/>
    <row r="16920" s="9" customFormat="1" ht="21.95" customHeight="1" x14ac:dyDescent="0.15"/>
    <row r="16921" s="9" customFormat="1" ht="21.95" customHeight="1" x14ac:dyDescent="0.15"/>
    <row r="16922" s="9" customFormat="1" ht="21.95" customHeight="1" x14ac:dyDescent="0.15"/>
    <row r="16923" s="9" customFormat="1" ht="21.95" customHeight="1" x14ac:dyDescent="0.15"/>
    <row r="16924" s="9" customFormat="1" ht="21.95" customHeight="1" x14ac:dyDescent="0.15"/>
    <row r="16925" s="9" customFormat="1" ht="21.95" customHeight="1" x14ac:dyDescent="0.15"/>
    <row r="16926" s="9" customFormat="1" ht="21.95" customHeight="1" x14ac:dyDescent="0.15"/>
    <row r="16927" s="9" customFormat="1" ht="21.95" customHeight="1" x14ac:dyDescent="0.15"/>
    <row r="16928" s="9" customFormat="1" ht="21.95" customHeight="1" x14ac:dyDescent="0.15"/>
    <row r="16929" s="9" customFormat="1" ht="21.95" customHeight="1" x14ac:dyDescent="0.15"/>
    <row r="16930" s="9" customFormat="1" ht="21.95" customHeight="1" x14ac:dyDescent="0.15"/>
    <row r="16931" s="9" customFormat="1" ht="21.95" customHeight="1" x14ac:dyDescent="0.15"/>
    <row r="16932" s="9" customFormat="1" ht="21.95" customHeight="1" x14ac:dyDescent="0.15"/>
    <row r="16933" s="9" customFormat="1" ht="21.95" customHeight="1" x14ac:dyDescent="0.15"/>
    <row r="16934" s="9" customFormat="1" ht="35.1" customHeight="1" x14ac:dyDescent="0.15"/>
    <row r="16935" s="9" customFormat="1" ht="21.95" customHeight="1" x14ac:dyDescent="0.15"/>
    <row r="16936" s="9" customFormat="1" ht="21.95" customHeight="1" x14ac:dyDescent="0.15"/>
    <row r="16937" s="9" customFormat="1" ht="21.95" customHeight="1" x14ac:dyDescent="0.15"/>
    <row r="16938" s="9" customFormat="1" ht="21.95" customHeight="1" x14ac:dyDescent="0.15"/>
    <row r="16939" s="9" customFormat="1" ht="21.95" customHeight="1" x14ac:dyDescent="0.15"/>
    <row r="16940" s="9" customFormat="1" ht="21.95" customHeight="1" x14ac:dyDescent="0.15"/>
    <row r="16941" s="9" customFormat="1" ht="21.95" customHeight="1" x14ac:dyDescent="0.15"/>
    <row r="16942" s="9" customFormat="1" ht="21.95" customHeight="1" x14ac:dyDescent="0.15"/>
    <row r="16943" s="9" customFormat="1" ht="21.95" customHeight="1" x14ac:dyDescent="0.15"/>
    <row r="16944" s="9" customFormat="1" ht="21.95" customHeight="1" x14ac:dyDescent="0.15"/>
    <row r="16945" spans="3:3" s="9" customFormat="1" ht="21.95" customHeight="1" x14ac:dyDescent="0.15"/>
    <row r="16946" spans="3:3" s="9" customFormat="1" ht="21.95" customHeight="1" x14ac:dyDescent="0.15"/>
    <row r="16947" spans="3:3" s="9" customFormat="1" ht="21.95" customHeight="1" x14ac:dyDescent="0.15"/>
    <row r="16948" spans="3:3" s="9" customFormat="1" ht="21.95" customHeight="1" x14ac:dyDescent="0.15"/>
    <row r="16949" spans="3:3" s="9" customFormat="1" ht="21.95" customHeight="1" x14ac:dyDescent="0.15"/>
    <row r="16950" spans="3:3" s="9" customFormat="1" ht="21.95" customHeight="1" x14ac:dyDescent="0.15"/>
    <row r="16951" spans="3:3" s="9" customFormat="1" ht="21.95" customHeight="1" x14ac:dyDescent="0.15"/>
    <row r="16952" spans="3:3" s="9" customFormat="1" ht="21.95" customHeight="1" x14ac:dyDescent="0.15"/>
    <row r="16953" spans="3:3" s="9" customFormat="1" ht="21.95" customHeight="1" x14ac:dyDescent="0.15"/>
    <row r="16954" spans="3:3" s="9" customFormat="1" ht="21.95" customHeight="1" x14ac:dyDescent="0.15"/>
    <row r="16955" spans="3:3" s="9" customFormat="1" ht="21.95" customHeight="1" x14ac:dyDescent="0.15"/>
    <row r="16956" spans="3:3" s="9" customFormat="1" ht="21.95" customHeight="1" x14ac:dyDescent="0.15"/>
    <row r="16957" spans="3:3" s="9" customFormat="1" ht="21.95" customHeight="1" x14ac:dyDescent="0.15"/>
    <row r="16958" spans="3:3" s="8" customFormat="1" ht="21.95" customHeight="1" x14ac:dyDescent="0.15"/>
    <row r="16959" spans="3:3" s="8" customFormat="1" ht="21.95" customHeight="1" x14ac:dyDescent="0.15"/>
    <row r="16960" spans="3:3" s="8" customFormat="1" ht="21.95" customHeight="1" x14ac:dyDescent="0.15">
      <c r="C16960" s="101"/>
    </row>
    <row r="16961" spans="3:3" s="8" customFormat="1" ht="21.95" customHeight="1" x14ac:dyDescent="0.15">
      <c r="C16961" s="101"/>
    </row>
    <row r="16962" spans="3:3" s="8" customFormat="1" ht="21.95" customHeight="1" x14ac:dyDescent="0.15"/>
    <row r="16963" spans="3:3" s="8" customFormat="1" ht="21.95" customHeight="1" x14ac:dyDescent="0.15"/>
    <row r="16964" spans="3:3" s="8" customFormat="1" ht="21.95" customHeight="1" x14ac:dyDescent="0.15"/>
    <row r="16965" spans="3:3" s="8" customFormat="1" ht="21.95" customHeight="1" x14ac:dyDescent="0.15"/>
    <row r="16966" spans="3:3" s="8" customFormat="1" ht="21.95" customHeight="1" x14ac:dyDescent="0.15"/>
    <row r="16967" spans="3:3" s="8" customFormat="1" ht="21.95" customHeight="1" x14ac:dyDescent="0.15"/>
    <row r="16968" spans="3:3" s="8" customFormat="1" ht="21.95" customHeight="1" x14ac:dyDescent="0.15"/>
    <row r="16969" spans="3:3" s="9" customFormat="1" ht="21.95" customHeight="1" x14ac:dyDescent="0.15"/>
    <row r="16970" spans="3:3" s="9" customFormat="1" ht="21.95" customHeight="1" x14ac:dyDescent="0.15"/>
    <row r="16971" spans="3:3" s="9" customFormat="1" ht="21.95" customHeight="1" x14ac:dyDescent="0.15"/>
    <row r="16972" spans="3:3" s="9" customFormat="1" ht="21.95" customHeight="1" x14ac:dyDescent="0.15"/>
    <row r="16973" spans="3:3" s="8" customFormat="1" ht="21.95" customHeight="1" x14ac:dyDescent="0.15"/>
    <row r="16974" spans="3:3" s="8" customFormat="1" ht="21.95" customHeight="1" x14ac:dyDescent="0.15"/>
    <row r="16975" spans="3:3" s="8" customFormat="1" ht="21.95" customHeight="1" x14ac:dyDescent="0.15"/>
    <row r="16976" spans="3:3" s="8" customFormat="1" ht="21.95" customHeight="1" x14ac:dyDescent="0.15"/>
    <row r="16977" s="8" customFormat="1" ht="21.95" customHeight="1" x14ac:dyDescent="0.15"/>
    <row r="16978" s="8" customFormat="1" ht="21.95" customHeight="1" x14ac:dyDescent="0.15"/>
    <row r="16979" s="8" customFormat="1" ht="21.95" customHeight="1" x14ac:dyDescent="0.15"/>
    <row r="16980" s="8" customFormat="1" ht="21.95" customHeight="1" x14ac:dyDescent="0.15"/>
    <row r="16981" s="8" customFormat="1" ht="21.95" customHeight="1" x14ac:dyDescent="0.15"/>
    <row r="16982" s="8" customFormat="1" ht="21.95" customHeight="1" x14ac:dyDescent="0.15"/>
    <row r="16983" s="8" customFormat="1" ht="21.95" customHeight="1" x14ac:dyDescent="0.15"/>
    <row r="16984" s="8" customFormat="1" ht="32.1" customHeight="1" x14ac:dyDescent="0.15"/>
    <row r="16985" s="8" customFormat="1" ht="32.1" customHeight="1" x14ac:dyDescent="0.15"/>
    <row r="16986" s="8" customFormat="1" ht="32.1" customHeight="1" x14ac:dyDescent="0.15"/>
    <row r="16987" s="8" customFormat="1" ht="32.1" customHeight="1" x14ac:dyDescent="0.15"/>
    <row r="16988" s="8" customFormat="1" ht="32.1" customHeight="1" x14ac:dyDescent="0.15"/>
    <row r="16989" s="8" customFormat="1" ht="32.1" customHeight="1" x14ac:dyDescent="0.15"/>
    <row r="16990" s="9" customFormat="1" ht="32.1" customHeight="1" x14ac:dyDescent="0.15"/>
    <row r="16991" s="9" customFormat="1" ht="32.1" customHeight="1" x14ac:dyDescent="0.15"/>
    <row r="16992" s="9" customFormat="1" ht="32.1" customHeight="1" x14ac:dyDescent="0.15"/>
    <row r="16993" s="9" customFormat="1" ht="32.1" customHeight="1" x14ac:dyDescent="0.15"/>
    <row r="16994" s="9" customFormat="1" ht="21.95" customHeight="1" x14ac:dyDescent="0.15"/>
    <row r="16995" s="9" customFormat="1" ht="54" customHeight="1" x14ac:dyDescent="0.15"/>
    <row r="16996" s="9" customFormat="1" ht="21.95" customHeight="1" x14ac:dyDescent="0.15"/>
    <row r="16997" s="9" customFormat="1" ht="21.95" customHeight="1" x14ac:dyDescent="0.15"/>
    <row r="16998" s="9" customFormat="1" ht="21.95" customHeight="1" x14ac:dyDescent="0.15"/>
    <row r="16999" s="9" customFormat="1" ht="21.95" customHeight="1" x14ac:dyDescent="0.15"/>
    <row r="17000" s="9" customFormat="1" ht="21.95" customHeight="1" x14ac:dyDescent="0.15"/>
    <row r="17001" s="9" customFormat="1" ht="21.95" customHeight="1" x14ac:dyDescent="0.15"/>
    <row r="17002" s="9" customFormat="1" ht="21.95" customHeight="1" x14ac:dyDescent="0.15"/>
    <row r="17003" s="9" customFormat="1" ht="21.95" customHeight="1" x14ac:dyDescent="0.15"/>
    <row r="17004" s="9" customFormat="1" ht="21.95" customHeight="1" x14ac:dyDescent="0.15"/>
    <row r="17005" s="9" customFormat="1" ht="21.95" customHeight="1" x14ac:dyDescent="0.15"/>
    <row r="17006" s="9" customFormat="1" ht="21.95" customHeight="1" x14ac:dyDescent="0.15"/>
    <row r="17007" s="9" customFormat="1" ht="21.95" customHeight="1" x14ac:dyDescent="0.15"/>
    <row r="17008" s="9" customFormat="1" ht="21.95" customHeight="1" x14ac:dyDescent="0.15"/>
    <row r="17009" s="9" customFormat="1" ht="21.95" customHeight="1" x14ac:dyDescent="0.15"/>
    <row r="17010" s="9" customFormat="1" ht="21.95" customHeight="1" x14ac:dyDescent="0.15"/>
    <row r="17011" s="9" customFormat="1" ht="21.95" customHeight="1" x14ac:dyDescent="0.15"/>
    <row r="17012" s="9" customFormat="1" ht="21.95" customHeight="1" x14ac:dyDescent="0.15"/>
    <row r="17013" s="9" customFormat="1" ht="21.95" customHeight="1" x14ac:dyDescent="0.15"/>
    <row r="17014" s="9" customFormat="1" ht="21.95" customHeight="1" x14ac:dyDescent="0.15"/>
    <row r="17015" s="9" customFormat="1" ht="21.95" customHeight="1" x14ac:dyDescent="0.15"/>
    <row r="17016" s="9" customFormat="1" ht="21.95" customHeight="1" x14ac:dyDescent="0.15"/>
    <row r="17017" s="9" customFormat="1" ht="21.95" customHeight="1" x14ac:dyDescent="0.15"/>
    <row r="17018" s="9" customFormat="1" ht="21.95" customHeight="1" x14ac:dyDescent="0.15"/>
    <row r="17019" s="9" customFormat="1" ht="21.95" customHeight="1" x14ac:dyDescent="0.15"/>
    <row r="17020" s="9" customFormat="1" ht="21.95" customHeight="1" x14ac:dyDescent="0.15"/>
    <row r="17021" s="9" customFormat="1" ht="21.95" customHeight="1" x14ac:dyDescent="0.15"/>
    <row r="17022" s="9" customFormat="1" ht="21.95" customHeight="1" x14ac:dyDescent="0.15"/>
    <row r="17023" s="9" customFormat="1" ht="21.95" customHeight="1" x14ac:dyDescent="0.15"/>
    <row r="17024" s="9" customFormat="1" ht="21.95" customHeight="1" x14ac:dyDescent="0.15"/>
    <row r="17025" s="9" customFormat="1" ht="21.95" customHeight="1" x14ac:dyDescent="0.15"/>
    <row r="17026" s="9" customFormat="1" ht="21.95" customHeight="1" x14ac:dyDescent="0.15"/>
    <row r="17027" s="9" customFormat="1" ht="21.95" customHeight="1" x14ac:dyDescent="0.15"/>
    <row r="17028" s="9" customFormat="1" ht="21.95" customHeight="1" x14ac:dyDescent="0.15"/>
    <row r="17029" s="9" customFormat="1" ht="21.95" customHeight="1" x14ac:dyDescent="0.15"/>
    <row r="17030" s="9" customFormat="1" ht="21.95" customHeight="1" x14ac:dyDescent="0.15"/>
    <row r="17031" s="9" customFormat="1" ht="21.95" customHeight="1" x14ac:dyDescent="0.15"/>
    <row r="17032" s="9" customFormat="1" ht="21.95" customHeight="1" x14ac:dyDescent="0.15"/>
    <row r="17033" s="9" customFormat="1" ht="21.95" customHeight="1" x14ac:dyDescent="0.15"/>
    <row r="17034" s="9" customFormat="1" ht="21.95" customHeight="1" x14ac:dyDescent="0.15"/>
    <row r="17035" s="9" customFormat="1" ht="21.95" customHeight="1" x14ac:dyDescent="0.15"/>
    <row r="17036" s="9" customFormat="1" ht="21.95" customHeight="1" x14ac:dyDescent="0.15"/>
    <row r="17037" s="9" customFormat="1" ht="21.95" customHeight="1" x14ac:dyDescent="0.15"/>
    <row r="17038" s="9" customFormat="1" ht="21.95" customHeight="1" x14ac:dyDescent="0.15"/>
    <row r="17039" s="9" customFormat="1" ht="21.95" customHeight="1" x14ac:dyDescent="0.15"/>
    <row r="17040" s="9" customFormat="1" ht="21.95" customHeight="1" x14ac:dyDescent="0.15"/>
    <row r="17041" s="9" customFormat="1" ht="21.95" customHeight="1" x14ac:dyDescent="0.15"/>
    <row r="17042" s="9" customFormat="1" ht="21.95" customHeight="1" x14ac:dyDescent="0.15"/>
    <row r="17043" s="9" customFormat="1" ht="21.95" customHeight="1" x14ac:dyDescent="0.15"/>
    <row r="17044" s="9" customFormat="1" ht="21.95" customHeight="1" x14ac:dyDescent="0.15"/>
    <row r="17045" s="9" customFormat="1" ht="21.95" customHeight="1" x14ac:dyDescent="0.15"/>
    <row r="17046" s="9" customFormat="1" ht="35.1" customHeight="1" x14ac:dyDescent="0.15"/>
    <row r="17047" s="9" customFormat="1" ht="21.95" customHeight="1" x14ac:dyDescent="0.15"/>
    <row r="17048" s="9" customFormat="1" ht="21.95" customHeight="1" x14ac:dyDescent="0.15"/>
    <row r="17049" s="9" customFormat="1" ht="21.95" customHeight="1" x14ac:dyDescent="0.15"/>
    <row r="17050" s="9" customFormat="1" ht="21.95" customHeight="1" x14ac:dyDescent="0.15"/>
    <row r="17051" s="9" customFormat="1" ht="21.95" customHeight="1" x14ac:dyDescent="0.15"/>
    <row r="17052" s="9" customFormat="1" ht="21.95" customHeight="1" x14ac:dyDescent="0.15"/>
    <row r="17053" s="9" customFormat="1" ht="21.95" customHeight="1" x14ac:dyDescent="0.15"/>
    <row r="17054" s="9" customFormat="1" ht="21.95" customHeight="1" x14ac:dyDescent="0.15"/>
    <row r="17055" s="9" customFormat="1" ht="21.95" customHeight="1" x14ac:dyDescent="0.15"/>
    <row r="17056" s="9" customFormat="1" ht="21.95" customHeight="1" x14ac:dyDescent="0.15"/>
    <row r="17057" spans="3:3" s="9" customFormat="1" ht="21.95" customHeight="1" x14ac:dyDescent="0.15"/>
    <row r="17058" spans="3:3" s="9" customFormat="1" ht="21.95" customHeight="1" x14ac:dyDescent="0.15"/>
    <row r="17059" spans="3:3" s="9" customFormat="1" ht="21.95" customHeight="1" x14ac:dyDescent="0.15"/>
    <row r="17060" spans="3:3" s="9" customFormat="1" ht="21.95" customHeight="1" x14ac:dyDescent="0.15"/>
    <row r="17061" spans="3:3" s="9" customFormat="1" ht="21.95" customHeight="1" x14ac:dyDescent="0.15"/>
    <row r="17062" spans="3:3" s="9" customFormat="1" ht="21.95" customHeight="1" x14ac:dyDescent="0.15"/>
    <row r="17063" spans="3:3" s="9" customFormat="1" ht="21.95" customHeight="1" x14ac:dyDescent="0.15"/>
    <row r="17064" spans="3:3" s="9" customFormat="1" ht="21.95" customHeight="1" x14ac:dyDescent="0.15"/>
    <row r="17065" spans="3:3" s="9" customFormat="1" ht="21.95" customHeight="1" x14ac:dyDescent="0.15"/>
    <row r="17066" spans="3:3" s="9" customFormat="1" ht="21.95" customHeight="1" x14ac:dyDescent="0.15"/>
    <row r="17067" spans="3:3" s="9" customFormat="1" ht="21.95" customHeight="1" x14ac:dyDescent="0.15"/>
    <row r="17068" spans="3:3" s="9" customFormat="1" ht="21.95" customHeight="1" x14ac:dyDescent="0.15"/>
    <row r="17069" spans="3:3" s="9" customFormat="1" ht="21.95" customHeight="1" x14ac:dyDescent="0.15"/>
    <row r="17070" spans="3:3" s="8" customFormat="1" ht="21.95" customHeight="1" x14ac:dyDescent="0.15"/>
    <row r="17071" spans="3:3" s="8" customFormat="1" ht="21.95" customHeight="1" x14ac:dyDescent="0.15"/>
    <row r="17072" spans="3:3" s="8" customFormat="1" ht="21.95" customHeight="1" x14ac:dyDescent="0.15">
      <c r="C17072" s="101"/>
    </row>
    <row r="17073" spans="3:3" s="8" customFormat="1" ht="21.95" customHeight="1" x14ac:dyDescent="0.15">
      <c r="C17073" s="101"/>
    </row>
    <row r="17074" spans="3:3" s="8" customFormat="1" ht="21.95" customHeight="1" x14ac:dyDescent="0.15"/>
    <row r="17075" spans="3:3" s="8" customFormat="1" ht="21.95" customHeight="1" x14ac:dyDescent="0.15"/>
    <row r="17076" spans="3:3" s="8" customFormat="1" ht="21.95" customHeight="1" x14ac:dyDescent="0.15"/>
    <row r="17077" spans="3:3" s="8" customFormat="1" ht="21.95" customHeight="1" x14ac:dyDescent="0.15"/>
    <row r="17078" spans="3:3" s="8" customFormat="1" ht="21.95" customHeight="1" x14ac:dyDescent="0.15"/>
    <row r="17079" spans="3:3" s="8" customFormat="1" ht="21.95" customHeight="1" x14ac:dyDescent="0.15"/>
    <row r="17080" spans="3:3" s="8" customFormat="1" ht="21.95" customHeight="1" x14ac:dyDescent="0.15"/>
    <row r="17081" spans="3:3" s="9" customFormat="1" ht="21.95" customHeight="1" x14ac:dyDescent="0.15"/>
    <row r="17082" spans="3:3" s="9" customFormat="1" ht="21.95" customHeight="1" x14ac:dyDescent="0.15"/>
    <row r="17083" spans="3:3" s="9" customFormat="1" ht="21.95" customHeight="1" x14ac:dyDescent="0.15"/>
    <row r="17084" spans="3:3" s="9" customFormat="1" ht="21.95" customHeight="1" x14ac:dyDescent="0.15"/>
    <row r="17085" spans="3:3" s="8" customFormat="1" ht="21.95" customHeight="1" x14ac:dyDescent="0.15"/>
    <row r="17086" spans="3:3" s="8" customFormat="1" ht="21.95" customHeight="1" x14ac:dyDescent="0.15"/>
    <row r="17087" spans="3:3" s="8" customFormat="1" ht="21.95" customHeight="1" x14ac:dyDescent="0.15"/>
    <row r="17088" spans="3:3" s="8" customFormat="1" ht="21.95" customHeight="1" x14ac:dyDescent="0.15"/>
    <row r="17089" s="8" customFormat="1" ht="21.95" customHeight="1" x14ac:dyDescent="0.15"/>
    <row r="17090" s="8" customFormat="1" ht="21.95" customHeight="1" x14ac:dyDescent="0.15"/>
    <row r="17091" s="8" customFormat="1" ht="21.95" customHeight="1" x14ac:dyDescent="0.15"/>
    <row r="17092" s="8" customFormat="1" ht="21.95" customHeight="1" x14ac:dyDescent="0.15"/>
    <row r="17093" s="8" customFormat="1" ht="21.95" customHeight="1" x14ac:dyDescent="0.15"/>
    <row r="17094" s="8" customFormat="1" ht="21.95" customHeight="1" x14ac:dyDescent="0.15"/>
    <row r="17095" s="8" customFormat="1" ht="21.95" customHeight="1" x14ac:dyDescent="0.15"/>
    <row r="17096" s="8" customFormat="1" ht="32.1" customHeight="1" x14ac:dyDescent="0.15"/>
    <row r="17097" s="8" customFormat="1" ht="32.1" customHeight="1" x14ac:dyDescent="0.15"/>
    <row r="17098" s="8" customFormat="1" ht="32.1" customHeight="1" x14ac:dyDescent="0.15"/>
    <row r="17099" s="8" customFormat="1" ht="32.1" customHeight="1" x14ac:dyDescent="0.15"/>
    <row r="17100" s="8" customFormat="1" ht="32.1" customHeight="1" x14ac:dyDescent="0.15"/>
    <row r="17101" s="8" customFormat="1" ht="32.1" customHeight="1" x14ac:dyDescent="0.15"/>
    <row r="17102" s="9" customFormat="1" ht="32.1" customHeight="1" x14ac:dyDescent="0.15"/>
    <row r="17103" s="9" customFormat="1" ht="32.1" customHeight="1" x14ac:dyDescent="0.15"/>
    <row r="17104" s="9" customFormat="1" ht="32.1" customHeight="1" x14ac:dyDescent="0.15"/>
    <row r="17105" s="9" customFormat="1" ht="32.1" customHeight="1" x14ac:dyDescent="0.15"/>
    <row r="17106" s="9" customFormat="1" ht="21.95" customHeight="1" x14ac:dyDescent="0.15"/>
    <row r="17107" s="9" customFormat="1" ht="54" customHeight="1" x14ac:dyDescent="0.15"/>
    <row r="17108" s="9" customFormat="1" ht="21.95" customHeight="1" x14ac:dyDescent="0.15"/>
    <row r="17109" s="9" customFormat="1" ht="21.95" customHeight="1" x14ac:dyDescent="0.15"/>
    <row r="17110" s="9" customFormat="1" ht="21.95" customHeight="1" x14ac:dyDescent="0.15"/>
    <row r="17111" s="9" customFormat="1" ht="21.95" customHeight="1" x14ac:dyDescent="0.15"/>
    <row r="17112" s="9" customFormat="1" ht="21.95" customHeight="1" x14ac:dyDescent="0.15"/>
    <row r="17113" s="9" customFormat="1" ht="21.95" customHeight="1" x14ac:dyDescent="0.15"/>
    <row r="17114" s="9" customFormat="1" ht="21.95" customHeight="1" x14ac:dyDescent="0.15"/>
    <row r="17115" s="9" customFormat="1" ht="21.95" customHeight="1" x14ac:dyDescent="0.15"/>
    <row r="17116" s="9" customFormat="1" ht="21.95" customHeight="1" x14ac:dyDescent="0.15"/>
    <row r="17117" s="9" customFormat="1" ht="21.95" customHeight="1" x14ac:dyDescent="0.15"/>
    <row r="17118" s="9" customFormat="1" ht="21.95" customHeight="1" x14ac:dyDescent="0.15"/>
    <row r="17119" s="9" customFormat="1" ht="21.95" customHeight="1" x14ac:dyDescent="0.15"/>
    <row r="17120" s="9" customFormat="1" ht="21.95" customHeight="1" x14ac:dyDescent="0.15"/>
    <row r="17121" s="9" customFormat="1" ht="21.95" customHeight="1" x14ac:dyDescent="0.15"/>
    <row r="17122" s="9" customFormat="1" ht="21.95" customHeight="1" x14ac:dyDescent="0.15"/>
    <row r="17123" s="9" customFormat="1" ht="21.95" customHeight="1" x14ac:dyDescent="0.15"/>
    <row r="17124" s="9" customFormat="1" ht="21.95" customHeight="1" x14ac:dyDescent="0.15"/>
    <row r="17125" s="9" customFormat="1" ht="21.95" customHeight="1" x14ac:dyDescent="0.15"/>
    <row r="17126" s="9" customFormat="1" ht="21.95" customHeight="1" x14ac:dyDescent="0.15"/>
    <row r="17127" s="9" customFormat="1" ht="21.95" customHeight="1" x14ac:dyDescent="0.15"/>
    <row r="17128" s="9" customFormat="1" ht="21.95" customHeight="1" x14ac:dyDescent="0.15"/>
    <row r="17129" s="9" customFormat="1" ht="21.95" customHeight="1" x14ac:dyDescent="0.15"/>
    <row r="17130" s="9" customFormat="1" ht="21.95" customHeight="1" x14ac:dyDescent="0.15"/>
    <row r="17131" s="9" customFormat="1" ht="21.95" customHeight="1" x14ac:dyDescent="0.15"/>
    <row r="17132" s="9" customFormat="1" ht="21.95" customHeight="1" x14ac:dyDescent="0.15"/>
    <row r="17133" s="9" customFormat="1" ht="21.95" customHeight="1" x14ac:dyDescent="0.15"/>
    <row r="17134" s="9" customFormat="1" ht="21.95" customHeight="1" x14ac:dyDescent="0.15"/>
    <row r="17135" s="9" customFormat="1" ht="21.95" customHeight="1" x14ac:dyDescent="0.15"/>
    <row r="17136" s="9" customFormat="1" ht="21.95" customHeight="1" x14ac:dyDescent="0.15"/>
    <row r="17137" s="9" customFormat="1" ht="21.95" customHeight="1" x14ac:dyDescent="0.15"/>
    <row r="17138" s="9" customFormat="1" ht="21.95" customHeight="1" x14ac:dyDescent="0.15"/>
    <row r="17139" s="9" customFormat="1" ht="21.95" customHeight="1" x14ac:dyDescent="0.15"/>
    <row r="17140" s="9" customFormat="1" ht="21.95" customHeight="1" x14ac:dyDescent="0.15"/>
    <row r="17141" s="9" customFormat="1" ht="21.95" customHeight="1" x14ac:dyDescent="0.15"/>
    <row r="17142" s="9" customFormat="1" ht="21.95" customHeight="1" x14ac:dyDescent="0.15"/>
    <row r="17143" s="9" customFormat="1" ht="21.95" customHeight="1" x14ac:dyDescent="0.15"/>
    <row r="17144" s="9" customFormat="1" ht="21.95" customHeight="1" x14ac:dyDescent="0.15"/>
    <row r="17145" s="9" customFormat="1" ht="21.95" customHeight="1" x14ac:dyDescent="0.15"/>
    <row r="17146" s="9" customFormat="1" ht="21.95" customHeight="1" x14ac:dyDescent="0.15"/>
    <row r="17147" s="9" customFormat="1" ht="21.95" customHeight="1" x14ac:dyDescent="0.15"/>
    <row r="17148" s="9" customFormat="1" ht="21.95" customHeight="1" x14ac:dyDescent="0.15"/>
    <row r="17149" s="9" customFormat="1" ht="21.95" customHeight="1" x14ac:dyDescent="0.15"/>
    <row r="17150" s="9" customFormat="1" ht="21.95" customHeight="1" x14ac:dyDescent="0.15"/>
    <row r="17151" s="9" customFormat="1" ht="21.95" customHeight="1" x14ac:dyDescent="0.15"/>
    <row r="17152" s="9" customFormat="1" ht="21.95" customHeight="1" x14ac:dyDescent="0.15"/>
    <row r="17153" s="9" customFormat="1" ht="21.95" customHeight="1" x14ac:dyDescent="0.15"/>
    <row r="17154" s="9" customFormat="1" ht="21.95" customHeight="1" x14ac:dyDescent="0.15"/>
    <row r="17155" s="9" customFormat="1" ht="21.95" customHeight="1" x14ac:dyDescent="0.15"/>
    <row r="17156" s="9" customFormat="1" ht="21.95" customHeight="1" x14ac:dyDescent="0.15"/>
    <row r="17157" s="9" customFormat="1" ht="21.95" customHeight="1" x14ac:dyDescent="0.15"/>
    <row r="17158" s="9" customFormat="1" ht="35.1" customHeight="1" x14ac:dyDescent="0.15"/>
    <row r="17159" s="9" customFormat="1" ht="21.95" customHeight="1" x14ac:dyDescent="0.15"/>
    <row r="17160" s="9" customFormat="1" ht="21.95" customHeight="1" x14ac:dyDescent="0.15"/>
    <row r="17161" s="9" customFormat="1" ht="21.95" customHeight="1" x14ac:dyDescent="0.15"/>
    <row r="17162" s="9" customFormat="1" ht="21.95" customHeight="1" x14ac:dyDescent="0.15"/>
    <row r="17163" s="9" customFormat="1" ht="21.95" customHeight="1" x14ac:dyDescent="0.15"/>
    <row r="17164" s="9" customFormat="1" ht="21.95" customHeight="1" x14ac:dyDescent="0.15"/>
    <row r="17165" s="9" customFormat="1" ht="21.95" customHeight="1" x14ac:dyDescent="0.15"/>
    <row r="17166" s="9" customFormat="1" ht="21.95" customHeight="1" x14ac:dyDescent="0.15"/>
    <row r="17167" s="9" customFormat="1" ht="21.95" customHeight="1" x14ac:dyDescent="0.15"/>
    <row r="17168" s="9" customFormat="1" ht="21.95" customHeight="1" x14ac:dyDescent="0.15"/>
    <row r="17169" spans="3:3" s="9" customFormat="1" ht="21.95" customHeight="1" x14ac:dyDescent="0.15"/>
    <row r="17170" spans="3:3" s="9" customFormat="1" ht="21.95" customHeight="1" x14ac:dyDescent="0.15"/>
    <row r="17171" spans="3:3" s="9" customFormat="1" ht="21.95" customHeight="1" x14ac:dyDescent="0.15"/>
    <row r="17172" spans="3:3" s="9" customFormat="1" ht="21.95" customHeight="1" x14ac:dyDescent="0.15"/>
    <row r="17173" spans="3:3" s="9" customFormat="1" ht="21.95" customHeight="1" x14ac:dyDescent="0.15"/>
    <row r="17174" spans="3:3" s="9" customFormat="1" ht="21.95" customHeight="1" x14ac:dyDescent="0.15"/>
    <row r="17175" spans="3:3" s="9" customFormat="1" ht="21.95" customHeight="1" x14ac:dyDescent="0.15"/>
    <row r="17176" spans="3:3" s="9" customFormat="1" ht="21.95" customHeight="1" x14ac:dyDescent="0.15"/>
    <row r="17177" spans="3:3" s="9" customFormat="1" ht="21.95" customHeight="1" x14ac:dyDescent="0.15"/>
    <row r="17178" spans="3:3" s="9" customFormat="1" ht="21.95" customHeight="1" x14ac:dyDescent="0.15"/>
    <row r="17179" spans="3:3" s="9" customFormat="1" ht="21.95" customHeight="1" x14ac:dyDescent="0.15"/>
    <row r="17180" spans="3:3" s="9" customFormat="1" ht="21.95" customHeight="1" x14ac:dyDescent="0.15"/>
    <row r="17181" spans="3:3" s="9" customFormat="1" ht="21.95" customHeight="1" x14ac:dyDescent="0.15"/>
    <row r="17182" spans="3:3" s="8" customFormat="1" ht="21.95" customHeight="1" x14ac:dyDescent="0.15"/>
    <row r="17183" spans="3:3" s="8" customFormat="1" ht="21.95" customHeight="1" x14ac:dyDescent="0.15"/>
    <row r="17184" spans="3:3" s="8" customFormat="1" ht="21.95" customHeight="1" x14ac:dyDescent="0.15">
      <c r="C17184" s="101"/>
    </row>
    <row r="17185" spans="3:3" s="8" customFormat="1" ht="21.95" customHeight="1" x14ac:dyDescent="0.15">
      <c r="C17185" s="101"/>
    </row>
    <row r="17186" spans="3:3" s="8" customFormat="1" ht="21.95" customHeight="1" x14ac:dyDescent="0.15"/>
    <row r="17187" spans="3:3" s="8" customFormat="1" ht="21.95" customHeight="1" x14ac:dyDescent="0.15"/>
    <row r="17188" spans="3:3" s="8" customFormat="1" ht="21.95" customHeight="1" x14ac:dyDescent="0.15"/>
    <row r="17189" spans="3:3" s="8" customFormat="1" ht="21.95" customHeight="1" x14ac:dyDescent="0.15"/>
    <row r="17190" spans="3:3" s="8" customFormat="1" ht="21.95" customHeight="1" x14ac:dyDescent="0.15"/>
    <row r="17191" spans="3:3" s="8" customFormat="1" ht="21.95" customHeight="1" x14ac:dyDescent="0.15"/>
    <row r="17192" spans="3:3" s="8" customFormat="1" ht="21.95" customHeight="1" x14ac:dyDescent="0.15"/>
    <row r="17193" spans="3:3" s="9" customFormat="1" ht="21.95" customHeight="1" x14ac:dyDescent="0.15"/>
    <row r="17194" spans="3:3" s="9" customFormat="1" ht="21.95" customHeight="1" x14ac:dyDescent="0.15"/>
    <row r="17195" spans="3:3" s="9" customFormat="1" ht="21.95" customHeight="1" x14ac:dyDescent="0.15"/>
    <row r="17196" spans="3:3" s="9" customFormat="1" ht="21.95" customHeight="1" x14ac:dyDescent="0.15"/>
    <row r="17197" spans="3:3" s="8" customFormat="1" ht="21.95" customHeight="1" x14ac:dyDescent="0.15"/>
    <row r="17198" spans="3:3" s="8" customFormat="1" ht="21.95" customHeight="1" x14ac:dyDescent="0.15"/>
    <row r="17199" spans="3:3" s="8" customFormat="1" ht="21.95" customHeight="1" x14ac:dyDescent="0.15"/>
    <row r="17200" spans="3:3" s="8" customFormat="1" ht="21.95" customHeight="1" x14ac:dyDescent="0.15"/>
    <row r="17201" s="8" customFormat="1" ht="21.95" customHeight="1" x14ac:dyDescent="0.15"/>
    <row r="17202" s="8" customFormat="1" ht="21.95" customHeight="1" x14ac:dyDescent="0.15"/>
    <row r="17203" s="8" customFormat="1" ht="21.95" customHeight="1" x14ac:dyDescent="0.15"/>
    <row r="17204" s="8" customFormat="1" ht="21.95" customHeight="1" x14ac:dyDescent="0.15"/>
    <row r="17205" s="8" customFormat="1" ht="21.95" customHeight="1" x14ac:dyDescent="0.15"/>
    <row r="17206" s="8" customFormat="1" ht="21.95" customHeight="1" x14ac:dyDescent="0.15"/>
    <row r="17207" s="8" customFormat="1" ht="21.95" customHeight="1" x14ac:dyDescent="0.15"/>
    <row r="17208" s="8" customFormat="1" ht="32.1" customHeight="1" x14ac:dyDescent="0.15"/>
    <row r="17209" s="8" customFormat="1" ht="32.1" customHeight="1" x14ac:dyDescent="0.15"/>
    <row r="17210" s="8" customFormat="1" ht="32.1" customHeight="1" x14ac:dyDescent="0.15"/>
    <row r="17211" s="8" customFormat="1" ht="32.1" customHeight="1" x14ac:dyDescent="0.15"/>
    <row r="17212" s="8" customFormat="1" ht="32.1" customHeight="1" x14ac:dyDescent="0.15"/>
    <row r="17213" s="8" customFormat="1" ht="32.1" customHeight="1" x14ac:dyDescent="0.15"/>
    <row r="17214" s="9" customFormat="1" ht="32.1" customHeight="1" x14ac:dyDescent="0.15"/>
    <row r="17215" s="9" customFormat="1" ht="32.1" customHeight="1" x14ac:dyDescent="0.15"/>
    <row r="17216" s="9" customFormat="1" ht="32.1" customHeight="1" x14ac:dyDescent="0.15"/>
    <row r="17217" s="9" customFormat="1" ht="32.1" customHeight="1" x14ac:dyDescent="0.15"/>
    <row r="17218" s="9" customFormat="1" ht="21.95" customHeight="1" x14ac:dyDescent="0.15"/>
    <row r="17219" s="9" customFormat="1" ht="54" customHeight="1" x14ac:dyDescent="0.15"/>
    <row r="17220" s="9" customFormat="1" ht="21.95" customHeight="1" x14ac:dyDescent="0.15"/>
    <row r="17221" s="9" customFormat="1" ht="21.95" customHeight="1" x14ac:dyDescent="0.15"/>
    <row r="17222" s="9" customFormat="1" ht="21.95" customHeight="1" x14ac:dyDescent="0.15"/>
    <row r="17223" s="9" customFormat="1" ht="21.95" customHeight="1" x14ac:dyDescent="0.15"/>
    <row r="17224" s="9" customFormat="1" ht="21.95" customHeight="1" x14ac:dyDescent="0.15"/>
    <row r="17225" s="9" customFormat="1" ht="21.95" customHeight="1" x14ac:dyDescent="0.15"/>
    <row r="17226" s="9" customFormat="1" ht="21.95" customHeight="1" x14ac:dyDescent="0.15"/>
    <row r="17227" s="9" customFormat="1" ht="21.95" customHeight="1" x14ac:dyDescent="0.15"/>
    <row r="17228" s="9" customFormat="1" ht="21.95" customHeight="1" x14ac:dyDescent="0.15"/>
    <row r="17229" s="9" customFormat="1" ht="21.95" customHeight="1" x14ac:dyDescent="0.15"/>
    <row r="17230" s="9" customFormat="1" ht="21.95" customHeight="1" x14ac:dyDescent="0.15"/>
    <row r="17231" s="9" customFormat="1" ht="21.95" customHeight="1" x14ac:dyDescent="0.15"/>
    <row r="17232" s="9" customFormat="1" ht="21.95" customHeight="1" x14ac:dyDescent="0.15"/>
    <row r="17233" s="9" customFormat="1" ht="21.95" customHeight="1" x14ac:dyDescent="0.15"/>
    <row r="17234" s="9" customFormat="1" ht="21.95" customHeight="1" x14ac:dyDescent="0.15"/>
    <row r="17235" s="9" customFormat="1" ht="21.95" customHeight="1" x14ac:dyDescent="0.15"/>
    <row r="17236" s="9" customFormat="1" ht="21.95" customHeight="1" x14ac:dyDescent="0.15"/>
    <row r="17237" s="9" customFormat="1" ht="21.95" customHeight="1" x14ac:dyDescent="0.15"/>
    <row r="17238" s="9" customFormat="1" ht="21.95" customHeight="1" x14ac:dyDescent="0.15"/>
    <row r="17239" s="9" customFormat="1" ht="21.95" customHeight="1" x14ac:dyDescent="0.15"/>
    <row r="17240" s="9" customFormat="1" ht="21.95" customHeight="1" x14ac:dyDescent="0.15"/>
    <row r="17241" s="9" customFormat="1" ht="21.95" customHeight="1" x14ac:dyDescent="0.15"/>
    <row r="17242" s="9" customFormat="1" ht="21.95" customHeight="1" x14ac:dyDescent="0.15"/>
    <row r="17243" s="9" customFormat="1" ht="21.95" customHeight="1" x14ac:dyDescent="0.15"/>
    <row r="17244" s="9" customFormat="1" ht="21.95" customHeight="1" x14ac:dyDescent="0.15"/>
    <row r="17245" s="9" customFormat="1" ht="21.95" customHeight="1" x14ac:dyDescent="0.15"/>
    <row r="17246" s="9" customFormat="1" ht="21.95" customHeight="1" x14ac:dyDescent="0.15"/>
    <row r="17247" s="9" customFormat="1" ht="21.95" customHeight="1" x14ac:dyDescent="0.15"/>
    <row r="17248" s="9" customFormat="1" ht="21.95" customHeight="1" x14ac:dyDescent="0.15"/>
    <row r="17249" s="9" customFormat="1" ht="21.95" customHeight="1" x14ac:dyDescent="0.15"/>
    <row r="17250" s="9" customFormat="1" ht="21.95" customHeight="1" x14ac:dyDescent="0.15"/>
    <row r="17251" s="9" customFormat="1" ht="21.95" customHeight="1" x14ac:dyDescent="0.15"/>
    <row r="17252" s="9" customFormat="1" ht="21.95" customHeight="1" x14ac:dyDescent="0.15"/>
    <row r="17253" s="9" customFormat="1" ht="21.95" customHeight="1" x14ac:dyDescent="0.15"/>
    <row r="17254" s="9" customFormat="1" ht="21.95" customHeight="1" x14ac:dyDescent="0.15"/>
    <row r="17255" s="9" customFormat="1" ht="21.95" customHeight="1" x14ac:dyDescent="0.15"/>
    <row r="17256" s="9" customFormat="1" ht="21.95" customHeight="1" x14ac:dyDescent="0.15"/>
    <row r="17257" s="9" customFormat="1" ht="21.95" customHeight="1" x14ac:dyDescent="0.15"/>
    <row r="17258" s="9" customFormat="1" ht="21.95" customHeight="1" x14ac:dyDescent="0.15"/>
    <row r="17259" s="9" customFormat="1" ht="21.95" customHeight="1" x14ac:dyDescent="0.15"/>
    <row r="17260" s="9" customFormat="1" ht="21.95" customHeight="1" x14ac:dyDescent="0.15"/>
    <row r="17261" s="9" customFormat="1" ht="21.95" customHeight="1" x14ac:dyDescent="0.15"/>
    <row r="17262" s="9" customFormat="1" ht="21.95" customHeight="1" x14ac:dyDescent="0.15"/>
    <row r="17263" s="9" customFormat="1" ht="21.95" customHeight="1" x14ac:dyDescent="0.15"/>
    <row r="17264" s="9" customFormat="1" ht="21.95" customHeight="1" x14ac:dyDescent="0.15"/>
    <row r="17265" s="9" customFormat="1" ht="21.95" customHeight="1" x14ac:dyDescent="0.15"/>
    <row r="17266" s="9" customFormat="1" ht="21.95" customHeight="1" x14ac:dyDescent="0.15"/>
    <row r="17267" s="9" customFormat="1" ht="21.95" customHeight="1" x14ac:dyDescent="0.15"/>
    <row r="17268" s="9" customFormat="1" ht="21.95" customHeight="1" x14ac:dyDescent="0.15"/>
    <row r="17269" s="9" customFormat="1" ht="21.95" customHeight="1" x14ac:dyDescent="0.15"/>
    <row r="17270" s="9" customFormat="1" ht="35.1" customHeight="1" x14ac:dyDescent="0.15"/>
    <row r="17271" s="9" customFormat="1" ht="21.95" customHeight="1" x14ac:dyDescent="0.15"/>
    <row r="17272" s="9" customFormat="1" ht="21.95" customHeight="1" x14ac:dyDescent="0.15"/>
    <row r="17273" s="9" customFormat="1" ht="21.95" customHeight="1" x14ac:dyDescent="0.15"/>
    <row r="17274" s="9" customFormat="1" ht="21.95" customHeight="1" x14ac:dyDescent="0.15"/>
    <row r="17275" s="9" customFormat="1" ht="21.95" customHeight="1" x14ac:dyDescent="0.15"/>
    <row r="17276" s="9" customFormat="1" ht="21.95" customHeight="1" x14ac:dyDescent="0.15"/>
    <row r="17277" s="9" customFormat="1" ht="21.95" customHeight="1" x14ac:dyDescent="0.15"/>
    <row r="17278" s="9" customFormat="1" ht="21.95" customHeight="1" x14ac:dyDescent="0.15"/>
    <row r="17279" s="9" customFormat="1" ht="21.95" customHeight="1" x14ac:dyDescent="0.15"/>
    <row r="17280" s="9" customFormat="1" ht="21.95" customHeight="1" x14ac:dyDescent="0.15"/>
    <row r="17281" spans="3:3" s="9" customFormat="1" ht="21.95" customHeight="1" x14ac:dyDescent="0.15"/>
    <row r="17282" spans="3:3" s="9" customFormat="1" ht="21.95" customHeight="1" x14ac:dyDescent="0.15"/>
    <row r="17283" spans="3:3" s="9" customFormat="1" ht="21.95" customHeight="1" x14ac:dyDescent="0.15"/>
    <row r="17284" spans="3:3" s="9" customFormat="1" ht="21.95" customHeight="1" x14ac:dyDescent="0.15"/>
    <row r="17285" spans="3:3" s="9" customFormat="1" ht="21.95" customHeight="1" x14ac:dyDescent="0.15"/>
    <row r="17286" spans="3:3" s="9" customFormat="1" ht="21.95" customHeight="1" x14ac:dyDescent="0.15"/>
    <row r="17287" spans="3:3" s="9" customFormat="1" ht="21.95" customHeight="1" x14ac:dyDescent="0.15"/>
    <row r="17288" spans="3:3" s="9" customFormat="1" ht="21.95" customHeight="1" x14ac:dyDescent="0.15"/>
    <row r="17289" spans="3:3" s="9" customFormat="1" ht="21.95" customHeight="1" x14ac:dyDescent="0.15"/>
    <row r="17290" spans="3:3" s="9" customFormat="1" ht="21.95" customHeight="1" x14ac:dyDescent="0.15"/>
    <row r="17291" spans="3:3" s="9" customFormat="1" ht="21.95" customHeight="1" x14ac:dyDescent="0.15"/>
    <row r="17292" spans="3:3" s="9" customFormat="1" ht="21.95" customHeight="1" x14ac:dyDescent="0.15"/>
    <row r="17293" spans="3:3" s="9" customFormat="1" ht="21.95" customHeight="1" x14ac:dyDescent="0.15"/>
    <row r="17294" spans="3:3" s="8" customFormat="1" ht="21.95" customHeight="1" x14ac:dyDescent="0.15"/>
    <row r="17295" spans="3:3" s="8" customFormat="1" ht="21.95" customHeight="1" x14ac:dyDescent="0.15"/>
    <row r="17296" spans="3:3" s="8" customFormat="1" ht="21.95" customHeight="1" x14ac:dyDescent="0.15">
      <c r="C17296" s="101"/>
    </row>
    <row r="17297" spans="3:3" s="8" customFormat="1" ht="21.95" customHeight="1" x14ac:dyDescent="0.15">
      <c r="C17297" s="101"/>
    </row>
    <row r="17298" spans="3:3" s="8" customFormat="1" ht="21.95" customHeight="1" x14ac:dyDescent="0.15"/>
    <row r="17299" spans="3:3" s="8" customFormat="1" ht="21.95" customHeight="1" x14ac:dyDescent="0.15"/>
    <row r="17300" spans="3:3" s="8" customFormat="1" ht="21.95" customHeight="1" x14ac:dyDescent="0.15"/>
    <row r="17301" spans="3:3" s="8" customFormat="1" ht="21.95" customHeight="1" x14ac:dyDescent="0.15"/>
    <row r="17302" spans="3:3" s="8" customFormat="1" ht="21.95" customHeight="1" x14ac:dyDescent="0.15"/>
    <row r="17303" spans="3:3" s="8" customFormat="1" ht="21.95" customHeight="1" x14ac:dyDescent="0.15"/>
    <row r="17304" spans="3:3" s="8" customFormat="1" ht="21.95" customHeight="1" x14ac:dyDescent="0.15"/>
    <row r="17305" spans="3:3" s="9" customFormat="1" ht="21.95" customHeight="1" x14ac:dyDescent="0.15"/>
    <row r="17306" spans="3:3" s="9" customFormat="1" ht="21.95" customHeight="1" x14ac:dyDescent="0.15"/>
    <row r="17307" spans="3:3" s="9" customFormat="1" ht="21.95" customHeight="1" x14ac:dyDescent="0.15"/>
    <row r="17308" spans="3:3" s="9" customFormat="1" ht="21.95" customHeight="1" x14ac:dyDescent="0.15"/>
    <row r="17309" spans="3:3" s="8" customFormat="1" ht="21.95" customHeight="1" x14ac:dyDescent="0.15"/>
    <row r="17310" spans="3:3" s="8" customFormat="1" ht="21.95" customHeight="1" x14ac:dyDescent="0.15"/>
    <row r="17311" spans="3:3" s="8" customFormat="1" ht="21.95" customHeight="1" x14ac:dyDescent="0.15"/>
    <row r="17312" spans="3:3" s="8" customFormat="1" ht="21.95" customHeight="1" x14ac:dyDescent="0.15"/>
    <row r="17313" s="8" customFormat="1" ht="21.95" customHeight="1" x14ac:dyDescent="0.15"/>
    <row r="17314" s="8" customFormat="1" ht="21.95" customHeight="1" x14ac:dyDescent="0.15"/>
    <row r="17315" s="8" customFormat="1" ht="21.95" customHeight="1" x14ac:dyDescent="0.15"/>
    <row r="17316" s="8" customFormat="1" ht="21.95" customHeight="1" x14ac:dyDescent="0.15"/>
    <row r="17317" s="8" customFormat="1" ht="21.95" customHeight="1" x14ac:dyDescent="0.15"/>
    <row r="17318" s="8" customFormat="1" ht="21.95" customHeight="1" x14ac:dyDescent="0.15"/>
    <row r="17319" s="8" customFormat="1" ht="21.95" customHeight="1" x14ac:dyDescent="0.15"/>
    <row r="17320" s="8" customFormat="1" ht="32.1" customHeight="1" x14ac:dyDescent="0.15"/>
    <row r="17321" s="8" customFormat="1" ht="32.1" customHeight="1" x14ac:dyDescent="0.15"/>
    <row r="17322" s="8" customFormat="1" ht="32.1" customHeight="1" x14ac:dyDescent="0.15"/>
    <row r="17323" s="8" customFormat="1" ht="32.1" customHeight="1" x14ac:dyDescent="0.15"/>
    <row r="17324" s="8" customFormat="1" ht="32.1" customHeight="1" x14ac:dyDescent="0.15"/>
    <row r="17325" s="8" customFormat="1" ht="32.1" customHeight="1" x14ac:dyDescent="0.15"/>
    <row r="17326" s="9" customFormat="1" ht="32.1" customHeight="1" x14ac:dyDescent="0.15"/>
    <row r="17327" s="9" customFormat="1" ht="32.1" customHeight="1" x14ac:dyDescent="0.15"/>
    <row r="17328" s="9" customFormat="1" ht="32.1" customHeight="1" x14ac:dyDescent="0.15"/>
    <row r="17329" s="9" customFormat="1" ht="32.1" customHeight="1" x14ac:dyDescent="0.15"/>
    <row r="17330" s="9" customFormat="1" ht="21.95" customHeight="1" x14ac:dyDescent="0.15"/>
    <row r="17331" s="9" customFormat="1" ht="54" customHeight="1" x14ac:dyDescent="0.15"/>
    <row r="17332" s="9" customFormat="1" ht="21.95" customHeight="1" x14ac:dyDescent="0.15"/>
    <row r="17333" s="9" customFormat="1" ht="21.95" customHeight="1" x14ac:dyDescent="0.15"/>
    <row r="17334" s="9" customFormat="1" ht="21.95" customHeight="1" x14ac:dyDescent="0.15"/>
    <row r="17335" s="9" customFormat="1" ht="21.95" customHeight="1" x14ac:dyDescent="0.15"/>
    <row r="17336" s="9" customFormat="1" ht="21.95" customHeight="1" x14ac:dyDescent="0.15"/>
    <row r="17337" s="9" customFormat="1" ht="21.95" customHeight="1" x14ac:dyDescent="0.15"/>
    <row r="17338" s="9" customFormat="1" ht="21.95" customHeight="1" x14ac:dyDescent="0.15"/>
    <row r="17339" s="9" customFormat="1" ht="21.95" customHeight="1" x14ac:dyDescent="0.15"/>
    <row r="17340" s="9" customFormat="1" ht="21.95" customHeight="1" x14ac:dyDescent="0.15"/>
    <row r="17341" s="9" customFormat="1" ht="21.95" customHeight="1" x14ac:dyDescent="0.15"/>
    <row r="17342" s="9" customFormat="1" ht="21.95" customHeight="1" x14ac:dyDescent="0.15"/>
    <row r="17343" s="9" customFormat="1" ht="21.95" customHeight="1" x14ac:dyDescent="0.15"/>
    <row r="17344" s="9" customFormat="1" ht="21.95" customHeight="1" x14ac:dyDescent="0.15"/>
    <row r="17345" s="9" customFormat="1" ht="21.95" customHeight="1" x14ac:dyDescent="0.15"/>
    <row r="17346" s="9" customFormat="1" ht="21.95" customHeight="1" x14ac:dyDescent="0.15"/>
    <row r="17347" s="9" customFormat="1" ht="21.95" customHeight="1" x14ac:dyDescent="0.15"/>
    <row r="17348" s="9" customFormat="1" ht="21.95" customHeight="1" x14ac:dyDescent="0.15"/>
    <row r="17349" s="9" customFormat="1" ht="21.95" customHeight="1" x14ac:dyDescent="0.15"/>
    <row r="17350" s="9" customFormat="1" ht="21.95" customHeight="1" x14ac:dyDescent="0.15"/>
    <row r="17351" s="9" customFormat="1" ht="21.95" customHeight="1" x14ac:dyDescent="0.15"/>
    <row r="17352" s="9" customFormat="1" ht="21.95" customHeight="1" x14ac:dyDescent="0.15"/>
    <row r="17353" s="9" customFormat="1" ht="21.95" customHeight="1" x14ac:dyDescent="0.15"/>
    <row r="17354" s="9" customFormat="1" ht="21.95" customHeight="1" x14ac:dyDescent="0.15"/>
    <row r="17355" s="9" customFormat="1" ht="21.95" customHeight="1" x14ac:dyDescent="0.15"/>
    <row r="17356" s="9" customFormat="1" ht="21.95" customHeight="1" x14ac:dyDescent="0.15"/>
    <row r="17357" s="9" customFormat="1" ht="21.95" customHeight="1" x14ac:dyDescent="0.15"/>
    <row r="17358" s="9" customFormat="1" ht="21.95" customHeight="1" x14ac:dyDescent="0.15"/>
    <row r="17359" s="9" customFormat="1" ht="21.95" customHeight="1" x14ac:dyDescent="0.15"/>
    <row r="17360" s="9" customFormat="1" ht="21.95" customHeight="1" x14ac:dyDescent="0.15"/>
    <row r="17361" s="9" customFormat="1" ht="21.95" customHeight="1" x14ac:dyDescent="0.15"/>
    <row r="17362" s="9" customFormat="1" ht="21.95" customHeight="1" x14ac:dyDescent="0.15"/>
    <row r="17363" s="9" customFormat="1" ht="21.95" customHeight="1" x14ac:dyDescent="0.15"/>
    <row r="17364" s="9" customFormat="1" ht="21.95" customHeight="1" x14ac:dyDescent="0.15"/>
    <row r="17365" s="9" customFormat="1" ht="21.95" customHeight="1" x14ac:dyDescent="0.15"/>
    <row r="17366" s="9" customFormat="1" ht="21.95" customHeight="1" x14ac:dyDescent="0.15"/>
    <row r="17367" s="9" customFormat="1" ht="21.95" customHeight="1" x14ac:dyDescent="0.15"/>
    <row r="17368" s="9" customFormat="1" ht="21.95" customHeight="1" x14ac:dyDescent="0.15"/>
    <row r="17369" s="9" customFormat="1" ht="21.95" customHeight="1" x14ac:dyDescent="0.15"/>
    <row r="17370" s="9" customFormat="1" ht="21.95" customHeight="1" x14ac:dyDescent="0.15"/>
    <row r="17371" s="9" customFormat="1" ht="21.95" customHeight="1" x14ac:dyDescent="0.15"/>
    <row r="17372" s="9" customFormat="1" ht="21.95" customHeight="1" x14ac:dyDescent="0.15"/>
    <row r="17373" s="9" customFormat="1" ht="21.95" customHeight="1" x14ac:dyDescent="0.15"/>
    <row r="17374" s="9" customFormat="1" ht="21.95" customHeight="1" x14ac:dyDescent="0.15"/>
    <row r="17375" s="9" customFormat="1" ht="21.95" customHeight="1" x14ac:dyDescent="0.15"/>
    <row r="17376" s="9" customFormat="1" ht="21.95" customHeight="1" x14ac:dyDescent="0.15"/>
    <row r="17377" s="9" customFormat="1" ht="21.95" customHeight="1" x14ac:dyDescent="0.15"/>
    <row r="17378" s="9" customFormat="1" ht="21.95" customHeight="1" x14ac:dyDescent="0.15"/>
    <row r="17379" s="9" customFormat="1" ht="21.95" customHeight="1" x14ac:dyDescent="0.15"/>
    <row r="17380" s="9" customFormat="1" ht="21.95" customHeight="1" x14ac:dyDescent="0.15"/>
    <row r="17381" s="9" customFormat="1" ht="21.95" customHeight="1" x14ac:dyDescent="0.15"/>
    <row r="17382" s="9" customFormat="1" ht="35.1" customHeight="1" x14ac:dyDescent="0.15"/>
    <row r="17383" s="9" customFormat="1" ht="21.95" customHeight="1" x14ac:dyDescent="0.15"/>
    <row r="17384" s="9" customFormat="1" ht="21.95" customHeight="1" x14ac:dyDescent="0.15"/>
    <row r="17385" s="9" customFormat="1" ht="21.95" customHeight="1" x14ac:dyDescent="0.15"/>
    <row r="17386" s="9" customFormat="1" ht="21.95" customHeight="1" x14ac:dyDescent="0.15"/>
    <row r="17387" s="9" customFormat="1" ht="21.95" customHeight="1" x14ac:dyDescent="0.15"/>
    <row r="17388" s="9" customFormat="1" ht="21.95" customHeight="1" x14ac:dyDescent="0.15"/>
    <row r="17389" s="9" customFormat="1" ht="21.95" customHeight="1" x14ac:dyDescent="0.15"/>
    <row r="17390" s="9" customFormat="1" ht="21.95" customHeight="1" x14ac:dyDescent="0.15"/>
    <row r="17391" s="9" customFormat="1" ht="21.95" customHeight="1" x14ac:dyDescent="0.15"/>
    <row r="17392" s="9" customFormat="1" ht="21.95" customHeight="1" x14ac:dyDescent="0.15"/>
    <row r="17393" spans="3:3" s="9" customFormat="1" ht="21.95" customHeight="1" x14ac:dyDescent="0.15"/>
    <row r="17394" spans="3:3" s="9" customFormat="1" ht="21.95" customHeight="1" x14ac:dyDescent="0.15"/>
    <row r="17395" spans="3:3" s="9" customFormat="1" ht="21.95" customHeight="1" x14ac:dyDescent="0.15"/>
    <row r="17396" spans="3:3" s="9" customFormat="1" ht="21.95" customHeight="1" x14ac:dyDescent="0.15"/>
    <row r="17397" spans="3:3" s="9" customFormat="1" ht="21.95" customHeight="1" x14ac:dyDescent="0.15"/>
    <row r="17398" spans="3:3" s="9" customFormat="1" ht="21.95" customHeight="1" x14ac:dyDescent="0.15"/>
    <row r="17399" spans="3:3" s="9" customFormat="1" ht="21.95" customHeight="1" x14ac:dyDescent="0.15"/>
    <row r="17400" spans="3:3" s="9" customFormat="1" ht="21.95" customHeight="1" x14ac:dyDescent="0.15"/>
    <row r="17401" spans="3:3" s="9" customFormat="1" ht="21.95" customHeight="1" x14ac:dyDescent="0.15"/>
    <row r="17402" spans="3:3" s="9" customFormat="1" ht="21.95" customHeight="1" x14ac:dyDescent="0.15"/>
    <row r="17403" spans="3:3" s="9" customFormat="1" ht="21.95" customHeight="1" x14ac:dyDescent="0.15"/>
    <row r="17404" spans="3:3" s="9" customFormat="1" ht="21.95" customHeight="1" x14ac:dyDescent="0.15"/>
    <row r="17405" spans="3:3" s="9" customFormat="1" ht="21.95" customHeight="1" x14ac:dyDescent="0.15"/>
    <row r="17406" spans="3:3" s="8" customFormat="1" ht="21.95" customHeight="1" x14ac:dyDescent="0.15"/>
    <row r="17407" spans="3:3" s="8" customFormat="1" ht="21.95" customHeight="1" x14ac:dyDescent="0.15"/>
    <row r="17408" spans="3:3" s="8" customFormat="1" ht="21.95" customHeight="1" x14ac:dyDescent="0.15">
      <c r="C17408" s="101"/>
    </row>
    <row r="17409" spans="3:3" s="8" customFormat="1" ht="21.95" customHeight="1" x14ac:dyDescent="0.15">
      <c r="C17409" s="101"/>
    </row>
    <row r="17410" spans="3:3" s="8" customFormat="1" ht="21.95" customHeight="1" x14ac:dyDescent="0.15"/>
    <row r="17411" spans="3:3" s="8" customFormat="1" ht="21.95" customHeight="1" x14ac:dyDescent="0.15"/>
    <row r="17412" spans="3:3" s="8" customFormat="1" ht="21.95" customHeight="1" x14ac:dyDescent="0.15"/>
    <row r="17413" spans="3:3" s="8" customFormat="1" ht="21.95" customHeight="1" x14ac:dyDescent="0.15"/>
    <row r="17414" spans="3:3" s="8" customFormat="1" ht="21.95" customHeight="1" x14ac:dyDescent="0.15"/>
    <row r="17415" spans="3:3" s="8" customFormat="1" ht="21.95" customHeight="1" x14ac:dyDescent="0.15"/>
    <row r="17416" spans="3:3" s="8" customFormat="1" ht="21.95" customHeight="1" x14ac:dyDescent="0.15"/>
    <row r="17417" spans="3:3" s="9" customFormat="1" ht="21.95" customHeight="1" x14ac:dyDescent="0.15"/>
    <row r="17418" spans="3:3" s="9" customFormat="1" ht="21.95" customHeight="1" x14ac:dyDescent="0.15"/>
    <row r="17419" spans="3:3" s="9" customFormat="1" ht="21.95" customHeight="1" x14ac:dyDescent="0.15"/>
    <row r="17420" spans="3:3" s="9" customFormat="1" ht="21.95" customHeight="1" x14ac:dyDescent="0.15"/>
    <row r="17421" spans="3:3" s="8" customFormat="1" ht="21.95" customHeight="1" x14ac:dyDescent="0.15"/>
    <row r="17422" spans="3:3" s="8" customFormat="1" ht="21.95" customHeight="1" x14ac:dyDescent="0.15"/>
    <row r="17423" spans="3:3" s="8" customFormat="1" ht="21.95" customHeight="1" x14ac:dyDescent="0.15"/>
    <row r="17424" spans="3:3" s="8" customFormat="1" ht="21.95" customHeight="1" x14ac:dyDescent="0.15"/>
    <row r="17425" s="8" customFormat="1" ht="21.95" customHeight="1" x14ac:dyDescent="0.15"/>
    <row r="17426" s="8" customFormat="1" ht="21.95" customHeight="1" x14ac:dyDescent="0.15"/>
    <row r="17427" s="8" customFormat="1" ht="21.95" customHeight="1" x14ac:dyDescent="0.15"/>
    <row r="17428" s="8" customFormat="1" ht="21.95" customHeight="1" x14ac:dyDescent="0.15"/>
    <row r="17429" s="8" customFormat="1" ht="21.95" customHeight="1" x14ac:dyDescent="0.15"/>
    <row r="17430" s="8" customFormat="1" ht="21.95" customHeight="1" x14ac:dyDescent="0.15"/>
    <row r="17431" s="8" customFormat="1" ht="21.95" customHeight="1" x14ac:dyDescent="0.15"/>
    <row r="17432" s="8" customFormat="1" ht="32.1" customHeight="1" x14ac:dyDescent="0.15"/>
    <row r="17433" s="8" customFormat="1" ht="32.1" customHeight="1" x14ac:dyDescent="0.15"/>
    <row r="17434" s="8" customFormat="1" ht="32.1" customHeight="1" x14ac:dyDescent="0.15"/>
    <row r="17435" s="8" customFormat="1" ht="32.1" customHeight="1" x14ac:dyDescent="0.15"/>
    <row r="17436" s="8" customFormat="1" ht="32.1" customHeight="1" x14ac:dyDescent="0.15"/>
    <row r="17437" s="8" customFormat="1" ht="32.1" customHeight="1" x14ac:dyDescent="0.15"/>
    <row r="17438" s="9" customFormat="1" ht="32.1" customHeight="1" x14ac:dyDescent="0.15"/>
    <row r="17439" s="9" customFormat="1" ht="32.1" customHeight="1" x14ac:dyDescent="0.15"/>
    <row r="17440" s="9" customFormat="1" ht="32.1" customHeight="1" x14ac:dyDescent="0.15"/>
    <row r="17441" s="9" customFormat="1" ht="32.1" customHeight="1" x14ac:dyDescent="0.15"/>
    <row r="17442" s="9" customFormat="1" ht="21.95" customHeight="1" x14ac:dyDescent="0.15"/>
    <row r="17443" s="9" customFormat="1" ht="54" customHeight="1" x14ac:dyDescent="0.15"/>
    <row r="17444" s="9" customFormat="1" ht="21.95" customHeight="1" x14ac:dyDescent="0.15"/>
    <row r="17445" s="9" customFormat="1" ht="21.95" customHeight="1" x14ac:dyDescent="0.15"/>
    <row r="17446" s="9" customFormat="1" ht="21.95" customHeight="1" x14ac:dyDescent="0.15"/>
    <row r="17447" s="9" customFormat="1" ht="21.95" customHeight="1" x14ac:dyDescent="0.15"/>
    <row r="17448" s="9" customFormat="1" ht="21.95" customHeight="1" x14ac:dyDescent="0.15"/>
    <row r="17449" s="9" customFormat="1" ht="21.95" customHeight="1" x14ac:dyDescent="0.15"/>
    <row r="17450" s="9" customFormat="1" ht="21.95" customHeight="1" x14ac:dyDescent="0.15"/>
    <row r="17451" s="9" customFormat="1" ht="21.95" customHeight="1" x14ac:dyDescent="0.15"/>
    <row r="17452" s="9" customFormat="1" ht="21.95" customHeight="1" x14ac:dyDescent="0.15"/>
    <row r="17453" s="9" customFormat="1" ht="21.95" customHeight="1" x14ac:dyDescent="0.15"/>
    <row r="17454" s="9" customFormat="1" ht="21.95" customHeight="1" x14ac:dyDescent="0.15"/>
    <row r="17455" s="9" customFormat="1" ht="21.95" customHeight="1" x14ac:dyDescent="0.15"/>
    <row r="17456" s="9" customFormat="1" ht="21.95" customHeight="1" x14ac:dyDescent="0.15"/>
    <row r="17457" s="9" customFormat="1" ht="21.95" customHeight="1" x14ac:dyDescent="0.15"/>
    <row r="17458" s="9" customFormat="1" ht="21.95" customHeight="1" x14ac:dyDescent="0.15"/>
    <row r="17459" s="9" customFormat="1" ht="21.95" customHeight="1" x14ac:dyDescent="0.15"/>
    <row r="17460" s="9" customFormat="1" ht="21.95" customHeight="1" x14ac:dyDescent="0.15"/>
    <row r="17461" s="9" customFormat="1" ht="21.95" customHeight="1" x14ac:dyDescent="0.15"/>
    <row r="17462" s="9" customFormat="1" ht="21.95" customHeight="1" x14ac:dyDescent="0.15"/>
    <row r="17463" s="9" customFormat="1" ht="21.95" customHeight="1" x14ac:dyDescent="0.15"/>
    <row r="17464" s="9" customFormat="1" ht="21.95" customHeight="1" x14ac:dyDescent="0.15"/>
    <row r="17465" s="9" customFormat="1" ht="21.95" customHeight="1" x14ac:dyDescent="0.15"/>
    <row r="17466" s="9" customFormat="1" ht="21.95" customHeight="1" x14ac:dyDescent="0.15"/>
    <row r="17467" s="9" customFormat="1" ht="21.95" customHeight="1" x14ac:dyDescent="0.15"/>
    <row r="17468" s="9" customFormat="1" ht="21.95" customHeight="1" x14ac:dyDescent="0.15"/>
    <row r="17469" s="9" customFormat="1" ht="21.95" customHeight="1" x14ac:dyDescent="0.15"/>
    <row r="17470" s="9" customFormat="1" ht="21.95" customHeight="1" x14ac:dyDescent="0.15"/>
    <row r="17471" s="9" customFormat="1" ht="21.95" customHeight="1" x14ac:dyDescent="0.15"/>
    <row r="17472" s="9" customFormat="1" ht="21.95" customHeight="1" x14ac:dyDescent="0.15"/>
    <row r="17473" s="9" customFormat="1" ht="21.95" customHeight="1" x14ac:dyDescent="0.15"/>
    <row r="17474" s="9" customFormat="1" ht="21.95" customHeight="1" x14ac:dyDescent="0.15"/>
    <row r="17475" s="9" customFormat="1" ht="21.95" customHeight="1" x14ac:dyDescent="0.15"/>
    <row r="17476" s="9" customFormat="1" ht="21.95" customHeight="1" x14ac:dyDescent="0.15"/>
    <row r="17477" s="9" customFormat="1" ht="21.95" customHeight="1" x14ac:dyDescent="0.15"/>
    <row r="17478" s="9" customFormat="1" ht="21.95" customHeight="1" x14ac:dyDescent="0.15"/>
    <row r="17479" s="9" customFormat="1" ht="21.95" customHeight="1" x14ac:dyDescent="0.15"/>
    <row r="17480" s="9" customFormat="1" ht="21.95" customHeight="1" x14ac:dyDescent="0.15"/>
    <row r="17481" s="9" customFormat="1" ht="21.95" customHeight="1" x14ac:dyDescent="0.15"/>
    <row r="17482" s="9" customFormat="1" ht="21.95" customHeight="1" x14ac:dyDescent="0.15"/>
    <row r="17483" s="9" customFormat="1" ht="21.95" customHeight="1" x14ac:dyDescent="0.15"/>
    <row r="17484" s="9" customFormat="1" ht="21.95" customHeight="1" x14ac:dyDescent="0.15"/>
    <row r="17485" s="9" customFormat="1" ht="21.95" customHeight="1" x14ac:dyDescent="0.15"/>
    <row r="17486" s="9" customFormat="1" ht="21.95" customHeight="1" x14ac:dyDescent="0.15"/>
    <row r="17487" s="9" customFormat="1" ht="21.95" customHeight="1" x14ac:dyDescent="0.15"/>
    <row r="17488" s="9" customFormat="1" ht="21.95" customHeight="1" x14ac:dyDescent="0.15"/>
    <row r="17489" s="9" customFormat="1" ht="21.95" customHeight="1" x14ac:dyDescent="0.15"/>
    <row r="17490" s="9" customFormat="1" ht="21.95" customHeight="1" x14ac:dyDescent="0.15"/>
    <row r="17491" s="9" customFormat="1" ht="21.95" customHeight="1" x14ac:dyDescent="0.15"/>
    <row r="17492" s="9" customFormat="1" ht="21.95" customHeight="1" x14ac:dyDescent="0.15"/>
    <row r="17493" s="9" customFormat="1" ht="21.95" customHeight="1" x14ac:dyDescent="0.15"/>
    <row r="17494" s="9" customFormat="1" ht="35.1" customHeight="1" x14ac:dyDescent="0.15"/>
    <row r="17495" s="9" customFormat="1" ht="21.95" customHeight="1" x14ac:dyDescent="0.15"/>
    <row r="17496" s="9" customFormat="1" ht="21.95" customHeight="1" x14ac:dyDescent="0.15"/>
    <row r="17497" s="9" customFormat="1" ht="21.95" customHeight="1" x14ac:dyDescent="0.15"/>
    <row r="17498" s="9" customFormat="1" ht="21.95" customHeight="1" x14ac:dyDescent="0.15"/>
    <row r="17499" s="9" customFormat="1" ht="21.95" customHeight="1" x14ac:dyDescent="0.15"/>
    <row r="17500" s="9" customFormat="1" ht="21.95" customHeight="1" x14ac:dyDescent="0.15"/>
    <row r="17501" s="9" customFormat="1" ht="21.95" customHeight="1" x14ac:dyDescent="0.15"/>
    <row r="17502" s="9" customFormat="1" ht="21.95" customHeight="1" x14ac:dyDescent="0.15"/>
    <row r="17503" s="9" customFormat="1" ht="21.95" customHeight="1" x14ac:dyDescent="0.15"/>
    <row r="17504" s="9" customFormat="1" ht="21.95" customHeight="1" x14ac:dyDescent="0.15"/>
    <row r="17505" spans="3:3" s="9" customFormat="1" ht="21.95" customHeight="1" x14ac:dyDescent="0.15"/>
    <row r="17506" spans="3:3" s="9" customFormat="1" ht="21.95" customHeight="1" x14ac:dyDescent="0.15"/>
    <row r="17507" spans="3:3" s="9" customFormat="1" ht="21.95" customHeight="1" x14ac:dyDescent="0.15"/>
    <row r="17508" spans="3:3" s="9" customFormat="1" ht="21.95" customHeight="1" x14ac:dyDescent="0.15"/>
    <row r="17509" spans="3:3" s="9" customFormat="1" ht="21.95" customHeight="1" x14ac:dyDescent="0.15"/>
    <row r="17510" spans="3:3" s="9" customFormat="1" ht="21.95" customHeight="1" x14ac:dyDescent="0.15"/>
    <row r="17511" spans="3:3" s="9" customFormat="1" ht="21.95" customHeight="1" x14ac:dyDescent="0.15"/>
    <row r="17512" spans="3:3" s="9" customFormat="1" ht="21.95" customHeight="1" x14ac:dyDescent="0.15"/>
    <row r="17513" spans="3:3" s="9" customFormat="1" ht="21.95" customHeight="1" x14ac:dyDescent="0.15"/>
    <row r="17514" spans="3:3" s="9" customFormat="1" ht="21.95" customHeight="1" x14ac:dyDescent="0.15"/>
    <row r="17515" spans="3:3" s="9" customFormat="1" ht="21.95" customHeight="1" x14ac:dyDescent="0.15"/>
    <row r="17516" spans="3:3" s="9" customFormat="1" ht="21.95" customHeight="1" x14ac:dyDescent="0.15"/>
    <row r="17517" spans="3:3" s="9" customFormat="1" ht="21.95" customHeight="1" x14ac:dyDescent="0.15"/>
    <row r="17518" spans="3:3" s="8" customFormat="1" ht="21.95" customHeight="1" x14ac:dyDescent="0.15"/>
    <row r="17519" spans="3:3" s="8" customFormat="1" ht="21.95" customHeight="1" x14ac:dyDescent="0.15"/>
    <row r="17520" spans="3:3" s="8" customFormat="1" ht="21.95" customHeight="1" x14ac:dyDescent="0.15">
      <c r="C17520" s="101"/>
    </row>
    <row r="17521" spans="3:3" s="8" customFormat="1" ht="21.95" customHeight="1" x14ac:dyDescent="0.15">
      <c r="C17521" s="101"/>
    </row>
    <row r="17522" spans="3:3" s="8" customFormat="1" ht="21.95" customHeight="1" x14ac:dyDescent="0.15"/>
    <row r="17523" spans="3:3" s="8" customFormat="1" ht="21.95" customHeight="1" x14ac:dyDescent="0.15"/>
    <row r="17524" spans="3:3" s="8" customFormat="1" ht="21.95" customHeight="1" x14ac:dyDescent="0.15"/>
    <row r="17525" spans="3:3" s="8" customFormat="1" ht="21.95" customHeight="1" x14ac:dyDescent="0.15"/>
    <row r="17526" spans="3:3" s="8" customFormat="1" ht="21.95" customHeight="1" x14ac:dyDescent="0.15"/>
    <row r="17527" spans="3:3" s="8" customFormat="1" ht="21.95" customHeight="1" x14ac:dyDescent="0.15"/>
    <row r="17528" spans="3:3" s="8" customFormat="1" ht="21.95" customHeight="1" x14ac:dyDescent="0.15"/>
    <row r="17529" spans="3:3" s="9" customFormat="1" ht="21.95" customHeight="1" x14ac:dyDescent="0.15"/>
    <row r="17530" spans="3:3" s="9" customFormat="1" ht="21.95" customHeight="1" x14ac:dyDescent="0.15"/>
    <row r="17531" spans="3:3" s="9" customFormat="1" ht="21.95" customHeight="1" x14ac:dyDescent="0.15"/>
    <row r="17532" spans="3:3" s="9" customFormat="1" ht="21.95" customHeight="1" x14ac:dyDescent="0.15"/>
    <row r="17533" spans="3:3" s="8" customFormat="1" ht="21.95" customHeight="1" x14ac:dyDescent="0.15"/>
    <row r="17534" spans="3:3" s="8" customFormat="1" ht="21.95" customHeight="1" x14ac:dyDescent="0.15"/>
    <row r="17535" spans="3:3" s="8" customFormat="1" ht="21.95" customHeight="1" x14ac:dyDescent="0.15"/>
    <row r="17536" spans="3:3" s="8" customFormat="1" ht="21.95" customHeight="1" x14ac:dyDescent="0.15"/>
    <row r="17537" s="8" customFormat="1" ht="21.95" customHeight="1" x14ac:dyDescent="0.15"/>
    <row r="17538" s="8" customFormat="1" ht="21.95" customHeight="1" x14ac:dyDescent="0.15"/>
    <row r="17539" s="8" customFormat="1" ht="21.95" customHeight="1" x14ac:dyDescent="0.15"/>
    <row r="17540" s="8" customFormat="1" ht="21.95" customHeight="1" x14ac:dyDescent="0.15"/>
    <row r="17541" s="8" customFormat="1" ht="21.95" customHeight="1" x14ac:dyDescent="0.15"/>
    <row r="17542" s="8" customFormat="1" ht="21.95" customHeight="1" x14ac:dyDescent="0.15"/>
    <row r="17543" s="8" customFormat="1" ht="21.95" customHeight="1" x14ac:dyDescent="0.15"/>
    <row r="17544" s="8" customFormat="1" ht="32.1" customHeight="1" x14ac:dyDescent="0.15"/>
    <row r="17545" s="8" customFormat="1" ht="32.1" customHeight="1" x14ac:dyDescent="0.15"/>
    <row r="17546" s="8" customFormat="1" ht="32.1" customHeight="1" x14ac:dyDescent="0.15"/>
    <row r="17547" s="8" customFormat="1" ht="32.1" customHeight="1" x14ac:dyDescent="0.15"/>
    <row r="17548" s="8" customFormat="1" ht="32.1" customHeight="1" x14ac:dyDescent="0.15"/>
    <row r="17549" s="8" customFormat="1" ht="32.1" customHeight="1" x14ac:dyDescent="0.15"/>
    <row r="17550" s="9" customFormat="1" ht="32.1" customHeight="1" x14ac:dyDescent="0.15"/>
    <row r="17551" s="9" customFormat="1" ht="32.1" customHeight="1" x14ac:dyDescent="0.15"/>
    <row r="17552" s="9" customFormat="1" ht="32.1" customHeight="1" x14ac:dyDescent="0.15"/>
    <row r="17553" s="9" customFormat="1" ht="32.1" customHeight="1" x14ac:dyDescent="0.15"/>
    <row r="17554" s="9" customFormat="1" ht="21.95" customHeight="1" x14ac:dyDescent="0.15"/>
    <row r="17555" s="9" customFormat="1" ht="54" customHeight="1" x14ac:dyDescent="0.15"/>
    <row r="17556" s="9" customFormat="1" ht="21.95" customHeight="1" x14ac:dyDescent="0.15"/>
    <row r="17557" s="9" customFormat="1" ht="21.95" customHeight="1" x14ac:dyDescent="0.15"/>
    <row r="17558" s="9" customFormat="1" ht="21.95" customHeight="1" x14ac:dyDescent="0.15"/>
    <row r="17559" s="9" customFormat="1" ht="21.95" customHeight="1" x14ac:dyDescent="0.15"/>
    <row r="17560" s="9" customFormat="1" ht="21.95" customHeight="1" x14ac:dyDescent="0.15"/>
    <row r="17561" s="9" customFormat="1" ht="21.95" customHeight="1" x14ac:dyDescent="0.15"/>
    <row r="17562" s="9" customFormat="1" ht="21.95" customHeight="1" x14ac:dyDescent="0.15"/>
    <row r="17563" s="9" customFormat="1" ht="21.95" customHeight="1" x14ac:dyDescent="0.15"/>
    <row r="17564" s="9" customFormat="1" ht="21.95" customHeight="1" x14ac:dyDescent="0.15"/>
    <row r="17565" s="9" customFormat="1" ht="21.95" customHeight="1" x14ac:dyDescent="0.15"/>
    <row r="17566" s="9" customFormat="1" ht="21.95" customHeight="1" x14ac:dyDescent="0.15"/>
    <row r="17567" s="9" customFormat="1" ht="21.95" customHeight="1" x14ac:dyDescent="0.15"/>
    <row r="17568" s="9" customFormat="1" ht="21.95" customHeight="1" x14ac:dyDescent="0.15"/>
    <row r="17569" s="9" customFormat="1" ht="21.95" customHeight="1" x14ac:dyDescent="0.15"/>
    <row r="17570" s="9" customFormat="1" ht="21.95" customHeight="1" x14ac:dyDescent="0.15"/>
    <row r="17571" s="9" customFormat="1" ht="21.95" customHeight="1" x14ac:dyDescent="0.15"/>
    <row r="17572" s="9" customFormat="1" ht="21.95" customHeight="1" x14ac:dyDescent="0.15"/>
    <row r="17573" s="9" customFormat="1" ht="21.95" customHeight="1" x14ac:dyDescent="0.15"/>
    <row r="17574" s="9" customFormat="1" ht="21.95" customHeight="1" x14ac:dyDescent="0.15"/>
    <row r="17575" s="9" customFormat="1" ht="21.95" customHeight="1" x14ac:dyDescent="0.15"/>
    <row r="17576" s="9" customFormat="1" ht="21.95" customHeight="1" x14ac:dyDescent="0.15"/>
    <row r="17577" s="9" customFormat="1" ht="21.95" customHeight="1" x14ac:dyDescent="0.15"/>
    <row r="17578" s="9" customFormat="1" ht="21.95" customHeight="1" x14ac:dyDescent="0.15"/>
    <row r="17579" s="9" customFormat="1" ht="21.95" customHeight="1" x14ac:dyDescent="0.15"/>
    <row r="17580" s="9" customFormat="1" ht="21.95" customHeight="1" x14ac:dyDescent="0.15"/>
    <row r="17581" s="9" customFormat="1" ht="21.95" customHeight="1" x14ac:dyDescent="0.15"/>
    <row r="17582" s="9" customFormat="1" ht="21.95" customHeight="1" x14ac:dyDescent="0.15"/>
    <row r="17583" s="9" customFormat="1" ht="21.95" customHeight="1" x14ac:dyDescent="0.15"/>
    <row r="17584" s="9" customFormat="1" ht="21.95" customHeight="1" x14ac:dyDescent="0.15"/>
    <row r="17585" s="9" customFormat="1" ht="21.95" customHeight="1" x14ac:dyDescent="0.15"/>
    <row r="17586" s="9" customFormat="1" ht="21.95" customHeight="1" x14ac:dyDescent="0.15"/>
    <row r="17587" s="9" customFormat="1" ht="21.95" customHeight="1" x14ac:dyDescent="0.15"/>
    <row r="17588" s="9" customFormat="1" ht="21.95" customHeight="1" x14ac:dyDescent="0.15"/>
    <row r="17589" s="9" customFormat="1" ht="21.95" customHeight="1" x14ac:dyDescent="0.15"/>
    <row r="17590" s="9" customFormat="1" ht="21.95" customHeight="1" x14ac:dyDescent="0.15"/>
    <row r="17591" s="9" customFormat="1" ht="21.95" customHeight="1" x14ac:dyDescent="0.15"/>
    <row r="17592" s="9" customFormat="1" ht="21.95" customHeight="1" x14ac:dyDescent="0.15"/>
    <row r="17593" s="9" customFormat="1" ht="21.95" customHeight="1" x14ac:dyDescent="0.15"/>
    <row r="17594" s="9" customFormat="1" ht="21.95" customHeight="1" x14ac:dyDescent="0.15"/>
    <row r="17595" s="9" customFormat="1" ht="21.95" customHeight="1" x14ac:dyDescent="0.15"/>
    <row r="17596" s="9" customFormat="1" ht="21.95" customHeight="1" x14ac:dyDescent="0.15"/>
    <row r="17597" s="9" customFormat="1" ht="21.95" customHeight="1" x14ac:dyDescent="0.15"/>
    <row r="17598" s="9" customFormat="1" ht="21.95" customHeight="1" x14ac:dyDescent="0.15"/>
    <row r="17599" s="9" customFormat="1" ht="21.95" customHeight="1" x14ac:dyDescent="0.15"/>
    <row r="17600" s="9" customFormat="1" ht="21.95" customHeight="1" x14ac:dyDescent="0.15"/>
    <row r="17601" s="9" customFormat="1" ht="21.95" customHeight="1" x14ac:dyDescent="0.15"/>
    <row r="17602" s="9" customFormat="1" ht="21.95" customHeight="1" x14ac:dyDescent="0.15"/>
    <row r="17603" s="9" customFormat="1" ht="21.95" customHeight="1" x14ac:dyDescent="0.15"/>
    <row r="17604" s="9" customFormat="1" ht="21.95" customHeight="1" x14ac:dyDescent="0.15"/>
    <row r="17605" s="9" customFormat="1" ht="21.95" customHeight="1" x14ac:dyDescent="0.15"/>
    <row r="17606" s="9" customFormat="1" ht="35.1" customHeight="1" x14ac:dyDescent="0.15"/>
    <row r="17607" s="9" customFormat="1" ht="21.95" customHeight="1" x14ac:dyDescent="0.15"/>
    <row r="17608" s="9" customFormat="1" ht="21.95" customHeight="1" x14ac:dyDescent="0.15"/>
    <row r="17609" s="9" customFormat="1" ht="21.95" customHeight="1" x14ac:dyDescent="0.15"/>
    <row r="17610" s="9" customFormat="1" ht="21.95" customHeight="1" x14ac:dyDescent="0.15"/>
    <row r="17611" s="9" customFormat="1" ht="21.95" customHeight="1" x14ac:dyDescent="0.15"/>
    <row r="17612" s="9" customFormat="1" ht="21.95" customHeight="1" x14ac:dyDescent="0.15"/>
    <row r="17613" s="9" customFormat="1" ht="21.95" customHeight="1" x14ac:dyDescent="0.15"/>
    <row r="17614" s="9" customFormat="1" ht="21.95" customHeight="1" x14ac:dyDescent="0.15"/>
    <row r="17615" s="9" customFormat="1" ht="21.95" customHeight="1" x14ac:dyDescent="0.15"/>
    <row r="17616" s="9" customFormat="1" ht="21.95" customHeight="1" x14ac:dyDescent="0.15"/>
    <row r="17617" spans="3:3" s="9" customFormat="1" ht="21.95" customHeight="1" x14ac:dyDescent="0.15"/>
    <row r="17618" spans="3:3" s="9" customFormat="1" ht="21.95" customHeight="1" x14ac:dyDescent="0.15"/>
    <row r="17619" spans="3:3" s="9" customFormat="1" ht="21.95" customHeight="1" x14ac:dyDescent="0.15"/>
    <row r="17620" spans="3:3" s="9" customFormat="1" ht="21.95" customHeight="1" x14ac:dyDescent="0.15"/>
    <row r="17621" spans="3:3" s="9" customFormat="1" ht="21.95" customHeight="1" x14ac:dyDescent="0.15"/>
    <row r="17622" spans="3:3" s="9" customFormat="1" ht="21.95" customHeight="1" x14ac:dyDescent="0.15"/>
    <row r="17623" spans="3:3" s="9" customFormat="1" ht="21.95" customHeight="1" x14ac:dyDescent="0.15"/>
    <row r="17624" spans="3:3" s="9" customFormat="1" ht="21.95" customHeight="1" x14ac:dyDescent="0.15"/>
    <row r="17625" spans="3:3" s="9" customFormat="1" ht="21.95" customHeight="1" x14ac:dyDescent="0.15"/>
    <row r="17626" spans="3:3" s="9" customFormat="1" ht="21.95" customHeight="1" x14ac:dyDescent="0.15"/>
    <row r="17627" spans="3:3" s="9" customFormat="1" ht="21.95" customHeight="1" x14ac:dyDescent="0.15"/>
    <row r="17628" spans="3:3" s="9" customFormat="1" ht="21.95" customHeight="1" x14ac:dyDescent="0.15"/>
    <row r="17629" spans="3:3" s="9" customFormat="1" ht="21.95" customHeight="1" x14ac:dyDescent="0.15"/>
    <row r="17630" spans="3:3" s="8" customFormat="1" ht="21.95" customHeight="1" x14ac:dyDescent="0.15"/>
    <row r="17631" spans="3:3" s="8" customFormat="1" ht="21.95" customHeight="1" x14ac:dyDescent="0.15"/>
    <row r="17632" spans="3:3" s="8" customFormat="1" ht="21.95" customHeight="1" x14ac:dyDescent="0.15">
      <c r="C17632" s="101"/>
    </row>
    <row r="17633" spans="3:3" s="8" customFormat="1" ht="21.95" customHeight="1" x14ac:dyDescent="0.15">
      <c r="C17633" s="101"/>
    </row>
    <row r="17634" spans="3:3" s="8" customFormat="1" ht="21.95" customHeight="1" x14ac:dyDescent="0.15"/>
    <row r="17635" spans="3:3" s="8" customFormat="1" ht="21.95" customHeight="1" x14ac:dyDescent="0.15"/>
    <row r="17636" spans="3:3" s="8" customFormat="1" ht="21.95" customHeight="1" x14ac:dyDescent="0.15"/>
    <row r="17637" spans="3:3" s="8" customFormat="1" ht="21.95" customHeight="1" x14ac:dyDescent="0.15"/>
    <row r="17638" spans="3:3" s="8" customFormat="1" ht="21.95" customHeight="1" x14ac:dyDescent="0.15"/>
    <row r="17639" spans="3:3" s="8" customFormat="1" ht="21.95" customHeight="1" x14ac:dyDescent="0.15"/>
    <row r="17640" spans="3:3" s="8" customFormat="1" ht="21.95" customHeight="1" x14ac:dyDescent="0.15"/>
    <row r="17641" spans="3:3" s="9" customFormat="1" ht="21.95" customHeight="1" x14ac:dyDescent="0.15"/>
    <row r="17642" spans="3:3" s="9" customFormat="1" ht="21.95" customHeight="1" x14ac:dyDescent="0.15"/>
    <row r="17643" spans="3:3" s="9" customFormat="1" ht="21.95" customHeight="1" x14ac:dyDescent="0.15"/>
    <row r="17644" spans="3:3" s="9" customFormat="1" ht="21.95" customHeight="1" x14ac:dyDescent="0.15"/>
    <row r="17645" spans="3:3" s="8" customFormat="1" ht="21.95" customHeight="1" x14ac:dyDescent="0.15"/>
    <row r="17646" spans="3:3" s="8" customFormat="1" ht="21.95" customHeight="1" x14ac:dyDescent="0.15"/>
    <row r="17647" spans="3:3" s="8" customFormat="1" ht="21.95" customHeight="1" x14ac:dyDescent="0.15"/>
    <row r="17648" spans="3:3" s="8" customFormat="1" ht="21.95" customHeight="1" x14ac:dyDescent="0.15"/>
    <row r="17649" s="8" customFormat="1" ht="21.95" customHeight="1" x14ac:dyDescent="0.15"/>
    <row r="17650" s="8" customFormat="1" ht="21.95" customHeight="1" x14ac:dyDescent="0.15"/>
    <row r="17651" s="8" customFormat="1" ht="21.95" customHeight="1" x14ac:dyDescent="0.15"/>
    <row r="17652" s="8" customFormat="1" ht="21.95" customHeight="1" x14ac:dyDescent="0.15"/>
    <row r="17653" s="8" customFormat="1" ht="21.95" customHeight="1" x14ac:dyDescent="0.15"/>
    <row r="17654" s="8" customFormat="1" ht="21.95" customHeight="1" x14ac:dyDescent="0.15"/>
    <row r="17655" s="8" customFormat="1" ht="21.95" customHeight="1" x14ac:dyDescent="0.15"/>
    <row r="17656" s="8" customFormat="1" ht="32.1" customHeight="1" x14ac:dyDescent="0.15"/>
    <row r="17657" s="8" customFormat="1" ht="32.1" customHeight="1" x14ac:dyDescent="0.15"/>
    <row r="17658" s="8" customFormat="1" ht="32.1" customHeight="1" x14ac:dyDescent="0.15"/>
    <row r="17659" s="8" customFormat="1" ht="32.1" customHeight="1" x14ac:dyDescent="0.15"/>
    <row r="17660" s="8" customFormat="1" ht="32.1" customHeight="1" x14ac:dyDescent="0.15"/>
    <row r="17661" s="8" customFormat="1" ht="32.1" customHeight="1" x14ac:dyDescent="0.15"/>
    <row r="17662" s="9" customFormat="1" ht="32.1" customHeight="1" x14ac:dyDescent="0.15"/>
    <row r="17663" s="9" customFormat="1" ht="32.1" customHeight="1" x14ac:dyDescent="0.15"/>
    <row r="17664" s="9" customFormat="1" ht="32.1" customHeight="1" x14ac:dyDescent="0.15"/>
    <row r="17665" s="9" customFormat="1" ht="32.1" customHeight="1" x14ac:dyDescent="0.15"/>
    <row r="17666" s="9" customFormat="1" ht="21.95" customHeight="1" x14ac:dyDescent="0.15"/>
    <row r="17667" s="9" customFormat="1" ht="54" customHeight="1" x14ac:dyDescent="0.15"/>
    <row r="17668" s="9" customFormat="1" ht="21.95" customHeight="1" x14ac:dyDescent="0.15"/>
    <row r="17669" s="9" customFormat="1" ht="21.95" customHeight="1" x14ac:dyDescent="0.15"/>
    <row r="17670" s="9" customFormat="1" ht="21.95" customHeight="1" x14ac:dyDescent="0.15"/>
    <row r="17671" s="9" customFormat="1" ht="21.95" customHeight="1" x14ac:dyDescent="0.15"/>
    <row r="17672" s="9" customFormat="1" ht="21.95" customHeight="1" x14ac:dyDescent="0.15"/>
    <row r="17673" s="9" customFormat="1" ht="21.95" customHeight="1" x14ac:dyDescent="0.15"/>
    <row r="17674" s="9" customFormat="1" ht="21.95" customHeight="1" x14ac:dyDescent="0.15"/>
    <row r="17675" s="9" customFormat="1" ht="21.95" customHeight="1" x14ac:dyDescent="0.15"/>
    <row r="17676" s="9" customFormat="1" ht="21.95" customHeight="1" x14ac:dyDescent="0.15"/>
    <row r="17677" s="9" customFormat="1" ht="21.95" customHeight="1" x14ac:dyDescent="0.15"/>
    <row r="17678" s="9" customFormat="1" ht="21.95" customHeight="1" x14ac:dyDescent="0.15"/>
    <row r="17679" s="9" customFormat="1" ht="21.95" customHeight="1" x14ac:dyDescent="0.15"/>
    <row r="17680" s="9" customFormat="1" ht="21.95" customHeight="1" x14ac:dyDescent="0.15"/>
    <row r="17681" s="9" customFormat="1" ht="21.95" customHeight="1" x14ac:dyDescent="0.15"/>
    <row r="17682" s="9" customFormat="1" ht="21.95" customHeight="1" x14ac:dyDescent="0.15"/>
    <row r="17683" s="9" customFormat="1" ht="21.95" customHeight="1" x14ac:dyDescent="0.15"/>
    <row r="17684" s="9" customFormat="1" ht="21.95" customHeight="1" x14ac:dyDescent="0.15"/>
    <row r="17685" s="9" customFormat="1" ht="21.95" customHeight="1" x14ac:dyDescent="0.15"/>
    <row r="17686" s="9" customFormat="1" ht="21.95" customHeight="1" x14ac:dyDescent="0.15"/>
    <row r="17687" s="9" customFormat="1" ht="21.95" customHeight="1" x14ac:dyDescent="0.15"/>
    <row r="17688" s="9" customFormat="1" ht="21.95" customHeight="1" x14ac:dyDescent="0.15"/>
    <row r="17689" s="9" customFormat="1" ht="21.95" customHeight="1" x14ac:dyDescent="0.15"/>
    <row r="17690" s="9" customFormat="1" ht="21.95" customHeight="1" x14ac:dyDescent="0.15"/>
    <row r="17691" s="9" customFormat="1" ht="21.95" customHeight="1" x14ac:dyDescent="0.15"/>
    <row r="17692" s="9" customFormat="1" ht="21.95" customHeight="1" x14ac:dyDescent="0.15"/>
    <row r="17693" s="9" customFormat="1" ht="21.95" customHeight="1" x14ac:dyDescent="0.15"/>
    <row r="17694" s="9" customFormat="1" ht="21.95" customHeight="1" x14ac:dyDescent="0.15"/>
    <row r="17695" s="9" customFormat="1" ht="21.95" customHeight="1" x14ac:dyDescent="0.15"/>
    <row r="17696" s="9" customFormat="1" ht="21.95" customHeight="1" x14ac:dyDescent="0.15"/>
    <row r="17697" s="9" customFormat="1" ht="21.95" customHeight="1" x14ac:dyDescent="0.15"/>
    <row r="17698" s="9" customFormat="1" ht="21.95" customHeight="1" x14ac:dyDescent="0.15"/>
    <row r="17699" s="9" customFormat="1" ht="21.95" customHeight="1" x14ac:dyDescent="0.15"/>
    <row r="17700" s="9" customFormat="1" ht="21.95" customHeight="1" x14ac:dyDescent="0.15"/>
    <row r="17701" s="9" customFormat="1" ht="21.95" customHeight="1" x14ac:dyDescent="0.15"/>
    <row r="17702" s="9" customFormat="1" ht="21.95" customHeight="1" x14ac:dyDescent="0.15"/>
    <row r="17703" s="9" customFormat="1" ht="21.95" customHeight="1" x14ac:dyDescent="0.15"/>
    <row r="17704" s="9" customFormat="1" ht="21.95" customHeight="1" x14ac:dyDescent="0.15"/>
    <row r="17705" s="9" customFormat="1" ht="21.95" customHeight="1" x14ac:dyDescent="0.15"/>
    <row r="17706" s="9" customFormat="1" ht="21.95" customHeight="1" x14ac:dyDescent="0.15"/>
    <row r="17707" s="9" customFormat="1" ht="21.95" customHeight="1" x14ac:dyDescent="0.15"/>
    <row r="17708" s="9" customFormat="1" ht="21.95" customHeight="1" x14ac:dyDescent="0.15"/>
    <row r="17709" s="9" customFormat="1" ht="21.95" customHeight="1" x14ac:dyDescent="0.15"/>
    <row r="17710" s="9" customFormat="1" ht="21.95" customHeight="1" x14ac:dyDescent="0.15"/>
    <row r="17711" s="9" customFormat="1" ht="21.95" customHeight="1" x14ac:dyDescent="0.15"/>
    <row r="17712" s="9" customFormat="1" ht="21.95" customHeight="1" x14ac:dyDescent="0.15"/>
    <row r="17713" s="9" customFormat="1" ht="21.95" customHeight="1" x14ac:dyDescent="0.15"/>
    <row r="17714" s="9" customFormat="1" ht="21.95" customHeight="1" x14ac:dyDescent="0.15"/>
    <row r="17715" s="9" customFormat="1" ht="21.95" customHeight="1" x14ac:dyDescent="0.15"/>
    <row r="17716" s="9" customFormat="1" ht="21.95" customHeight="1" x14ac:dyDescent="0.15"/>
    <row r="17717" s="9" customFormat="1" ht="21.95" customHeight="1" x14ac:dyDescent="0.15"/>
    <row r="17718" s="9" customFormat="1" ht="35.1" customHeight="1" x14ac:dyDescent="0.15"/>
    <row r="17719" s="9" customFormat="1" ht="21.95" customHeight="1" x14ac:dyDescent="0.15"/>
    <row r="17720" s="9" customFormat="1" ht="21.95" customHeight="1" x14ac:dyDescent="0.15"/>
    <row r="17721" s="9" customFormat="1" ht="21.95" customHeight="1" x14ac:dyDescent="0.15"/>
    <row r="17722" s="9" customFormat="1" ht="21.95" customHeight="1" x14ac:dyDescent="0.15"/>
    <row r="17723" s="9" customFormat="1" ht="21.95" customHeight="1" x14ac:dyDescent="0.15"/>
    <row r="17724" s="9" customFormat="1" ht="21.95" customHeight="1" x14ac:dyDescent="0.15"/>
    <row r="17725" s="9" customFormat="1" ht="21.95" customHeight="1" x14ac:dyDescent="0.15"/>
    <row r="17726" s="9" customFormat="1" ht="21.95" customHeight="1" x14ac:dyDescent="0.15"/>
    <row r="17727" s="9" customFormat="1" ht="21.95" customHeight="1" x14ac:dyDescent="0.15"/>
    <row r="17728" s="9" customFormat="1" ht="21.95" customHeight="1" x14ac:dyDescent="0.15"/>
    <row r="17729" spans="3:3" s="9" customFormat="1" ht="21.95" customHeight="1" x14ac:dyDescent="0.15"/>
    <row r="17730" spans="3:3" s="9" customFormat="1" ht="21.95" customHeight="1" x14ac:dyDescent="0.15"/>
    <row r="17731" spans="3:3" s="9" customFormat="1" ht="21.95" customHeight="1" x14ac:dyDescent="0.15"/>
    <row r="17732" spans="3:3" s="9" customFormat="1" ht="21.95" customHeight="1" x14ac:dyDescent="0.15"/>
    <row r="17733" spans="3:3" s="9" customFormat="1" ht="21.95" customHeight="1" x14ac:dyDescent="0.15"/>
    <row r="17734" spans="3:3" s="9" customFormat="1" ht="21.95" customHeight="1" x14ac:dyDescent="0.15"/>
    <row r="17735" spans="3:3" s="9" customFormat="1" ht="21.95" customHeight="1" x14ac:dyDescent="0.15"/>
    <row r="17736" spans="3:3" s="9" customFormat="1" ht="21.95" customHeight="1" x14ac:dyDescent="0.15"/>
    <row r="17737" spans="3:3" s="9" customFormat="1" ht="21.95" customHeight="1" x14ac:dyDescent="0.15"/>
    <row r="17738" spans="3:3" s="9" customFormat="1" ht="21.95" customHeight="1" x14ac:dyDescent="0.15"/>
    <row r="17739" spans="3:3" s="9" customFormat="1" ht="21.95" customHeight="1" x14ac:dyDescent="0.15"/>
    <row r="17740" spans="3:3" s="9" customFormat="1" ht="21.95" customHeight="1" x14ac:dyDescent="0.15"/>
    <row r="17741" spans="3:3" s="9" customFormat="1" ht="21.95" customHeight="1" x14ac:dyDescent="0.15"/>
    <row r="17742" spans="3:3" s="8" customFormat="1" ht="21.95" customHeight="1" x14ac:dyDescent="0.15"/>
    <row r="17743" spans="3:3" s="8" customFormat="1" ht="21.95" customHeight="1" x14ac:dyDescent="0.15"/>
    <row r="17744" spans="3:3" s="8" customFormat="1" ht="21.95" customHeight="1" x14ac:dyDescent="0.15">
      <c r="C17744" s="101"/>
    </row>
    <row r="17745" spans="3:3" s="8" customFormat="1" ht="21.95" customHeight="1" x14ac:dyDescent="0.15">
      <c r="C17745" s="101"/>
    </row>
    <row r="17746" spans="3:3" s="8" customFormat="1" ht="21.95" customHeight="1" x14ac:dyDescent="0.15"/>
    <row r="17747" spans="3:3" s="8" customFormat="1" ht="21.95" customHeight="1" x14ac:dyDescent="0.15"/>
    <row r="17748" spans="3:3" s="8" customFormat="1" ht="21.95" customHeight="1" x14ac:dyDescent="0.15"/>
    <row r="17749" spans="3:3" s="8" customFormat="1" ht="21.95" customHeight="1" x14ac:dyDescent="0.15"/>
    <row r="17750" spans="3:3" s="8" customFormat="1" ht="21.95" customHeight="1" x14ac:dyDescent="0.15"/>
    <row r="17751" spans="3:3" s="8" customFormat="1" ht="21.95" customHeight="1" x14ac:dyDescent="0.15"/>
    <row r="17752" spans="3:3" s="8" customFormat="1" ht="21.95" customHeight="1" x14ac:dyDescent="0.15"/>
    <row r="17753" spans="3:3" s="9" customFormat="1" ht="21.95" customHeight="1" x14ac:dyDescent="0.15"/>
    <row r="17754" spans="3:3" s="9" customFormat="1" ht="21.95" customHeight="1" x14ac:dyDescent="0.15"/>
    <row r="17755" spans="3:3" s="9" customFormat="1" ht="21.95" customHeight="1" x14ac:dyDescent="0.15"/>
    <row r="17756" spans="3:3" s="9" customFormat="1" ht="21.95" customHeight="1" x14ac:dyDescent="0.15"/>
    <row r="17757" spans="3:3" s="8" customFormat="1" ht="21.95" customHeight="1" x14ac:dyDescent="0.15"/>
    <row r="17758" spans="3:3" s="8" customFormat="1" ht="21.95" customHeight="1" x14ac:dyDescent="0.15"/>
    <row r="17759" spans="3:3" s="8" customFormat="1" ht="21.95" customHeight="1" x14ac:dyDescent="0.15"/>
    <row r="17760" spans="3:3" s="8" customFormat="1" ht="21.95" customHeight="1" x14ac:dyDescent="0.15"/>
    <row r="17761" s="8" customFormat="1" ht="21.95" customHeight="1" x14ac:dyDescent="0.15"/>
    <row r="17762" s="8" customFormat="1" ht="21.95" customHeight="1" x14ac:dyDescent="0.15"/>
    <row r="17763" s="8" customFormat="1" ht="21.95" customHeight="1" x14ac:dyDescent="0.15"/>
    <row r="17764" s="8" customFormat="1" ht="21.95" customHeight="1" x14ac:dyDescent="0.15"/>
    <row r="17765" s="8" customFormat="1" ht="21.95" customHeight="1" x14ac:dyDescent="0.15"/>
    <row r="17766" s="8" customFormat="1" ht="21.95" customHeight="1" x14ac:dyDescent="0.15"/>
    <row r="17767" s="8" customFormat="1" ht="21.95" customHeight="1" x14ac:dyDescent="0.15"/>
    <row r="17768" s="8" customFormat="1" ht="32.1" customHeight="1" x14ac:dyDescent="0.15"/>
    <row r="17769" s="8" customFormat="1" ht="32.1" customHeight="1" x14ac:dyDescent="0.15"/>
    <row r="17770" s="8" customFormat="1" ht="32.1" customHeight="1" x14ac:dyDescent="0.15"/>
    <row r="17771" s="8" customFormat="1" ht="32.1" customHeight="1" x14ac:dyDescent="0.15"/>
    <row r="17772" s="8" customFormat="1" ht="32.1" customHeight="1" x14ac:dyDescent="0.15"/>
    <row r="17773" s="8" customFormat="1" ht="32.1" customHeight="1" x14ac:dyDescent="0.15"/>
    <row r="17774" s="9" customFormat="1" ht="32.1" customHeight="1" x14ac:dyDescent="0.15"/>
    <row r="17775" s="9" customFormat="1" ht="32.1" customHeight="1" x14ac:dyDescent="0.15"/>
    <row r="17776" s="9" customFormat="1" ht="32.1" customHeight="1" x14ac:dyDescent="0.15"/>
    <row r="17777" s="9" customFormat="1" ht="32.1" customHeight="1" x14ac:dyDescent="0.15"/>
    <row r="17778" s="9" customFormat="1" ht="21.95" customHeight="1" x14ac:dyDescent="0.15"/>
    <row r="17779" s="9" customFormat="1" ht="54" customHeight="1" x14ac:dyDescent="0.15"/>
    <row r="17780" s="9" customFormat="1" ht="21.95" customHeight="1" x14ac:dyDescent="0.15"/>
    <row r="17781" s="9" customFormat="1" ht="21.95" customHeight="1" x14ac:dyDescent="0.15"/>
    <row r="17782" s="9" customFormat="1" ht="21.95" customHeight="1" x14ac:dyDescent="0.15"/>
    <row r="17783" s="9" customFormat="1" ht="21.95" customHeight="1" x14ac:dyDescent="0.15"/>
    <row r="17784" s="9" customFormat="1" ht="21.95" customHeight="1" x14ac:dyDescent="0.15"/>
    <row r="17785" s="9" customFormat="1" ht="21.95" customHeight="1" x14ac:dyDescent="0.15"/>
    <row r="17786" s="9" customFormat="1" ht="21.95" customHeight="1" x14ac:dyDescent="0.15"/>
    <row r="17787" s="9" customFormat="1" ht="21.95" customHeight="1" x14ac:dyDescent="0.15"/>
    <row r="17788" s="9" customFormat="1" ht="21.95" customHeight="1" x14ac:dyDescent="0.15"/>
    <row r="17789" s="9" customFormat="1" ht="21.95" customHeight="1" x14ac:dyDescent="0.15"/>
    <row r="17790" s="9" customFormat="1" ht="21.95" customHeight="1" x14ac:dyDescent="0.15"/>
    <row r="17791" s="9" customFormat="1" ht="21.95" customHeight="1" x14ac:dyDescent="0.15"/>
    <row r="17792" s="9" customFormat="1" ht="21.95" customHeight="1" x14ac:dyDescent="0.15"/>
    <row r="17793" s="9" customFormat="1" ht="21.95" customHeight="1" x14ac:dyDescent="0.15"/>
    <row r="17794" s="9" customFormat="1" ht="21.95" customHeight="1" x14ac:dyDescent="0.15"/>
    <row r="17795" s="9" customFormat="1" ht="21.95" customHeight="1" x14ac:dyDescent="0.15"/>
    <row r="17796" s="9" customFormat="1" ht="21.95" customHeight="1" x14ac:dyDescent="0.15"/>
    <row r="17797" s="9" customFormat="1" ht="21.95" customHeight="1" x14ac:dyDescent="0.15"/>
    <row r="17798" s="9" customFormat="1" ht="21.95" customHeight="1" x14ac:dyDescent="0.15"/>
    <row r="17799" s="9" customFormat="1" ht="21.95" customHeight="1" x14ac:dyDescent="0.15"/>
    <row r="17800" s="9" customFormat="1" ht="21.95" customHeight="1" x14ac:dyDescent="0.15"/>
    <row r="17801" s="9" customFormat="1" ht="21.95" customHeight="1" x14ac:dyDescent="0.15"/>
    <row r="17802" s="9" customFormat="1" ht="21.95" customHeight="1" x14ac:dyDescent="0.15"/>
    <row r="17803" s="9" customFormat="1" ht="21.95" customHeight="1" x14ac:dyDescent="0.15"/>
    <row r="17804" s="9" customFormat="1" ht="21.95" customHeight="1" x14ac:dyDescent="0.15"/>
    <row r="17805" s="9" customFormat="1" ht="21.95" customHeight="1" x14ac:dyDescent="0.15"/>
    <row r="17806" s="9" customFormat="1" ht="21.95" customHeight="1" x14ac:dyDescent="0.15"/>
    <row r="17807" s="9" customFormat="1" ht="21.95" customHeight="1" x14ac:dyDescent="0.15"/>
    <row r="17808" s="9" customFormat="1" ht="21.95" customHeight="1" x14ac:dyDescent="0.15"/>
    <row r="17809" s="9" customFormat="1" ht="21.95" customHeight="1" x14ac:dyDescent="0.15"/>
    <row r="17810" s="9" customFormat="1" ht="21.95" customHeight="1" x14ac:dyDescent="0.15"/>
    <row r="17811" s="9" customFormat="1" ht="21.95" customHeight="1" x14ac:dyDescent="0.15"/>
    <row r="17812" s="9" customFormat="1" ht="21.95" customHeight="1" x14ac:dyDescent="0.15"/>
    <row r="17813" s="9" customFormat="1" ht="21.95" customHeight="1" x14ac:dyDescent="0.15"/>
    <row r="17814" s="9" customFormat="1" ht="21.95" customHeight="1" x14ac:dyDescent="0.15"/>
    <row r="17815" s="9" customFormat="1" ht="21.95" customHeight="1" x14ac:dyDescent="0.15"/>
    <row r="17816" s="9" customFormat="1" ht="21.95" customHeight="1" x14ac:dyDescent="0.15"/>
    <row r="17817" s="9" customFormat="1" ht="21.95" customHeight="1" x14ac:dyDescent="0.15"/>
    <row r="17818" s="9" customFormat="1" ht="21.95" customHeight="1" x14ac:dyDescent="0.15"/>
    <row r="17819" s="9" customFormat="1" ht="21.95" customHeight="1" x14ac:dyDescent="0.15"/>
    <row r="17820" s="9" customFormat="1" ht="21.95" customHeight="1" x14ac:dyDescent="0.15"/>
    <row r="17821" s="9" customFormat="1" ht="21.95" customHeight="1" x14ac:dyDescent="0.15"/>
    <row r="17822" s="9" customFormat="1" ht="21.95" customHeight="1" x14ac:dyDescent="0.15"/>
    <row r="17823" s="9" customFormat="1" ht="21.95" customHeight="1" x14ac:dyDescent="0.15"/>
    <row r="17824" s="9" customFormat="1" ht="21.95" customHeight="1" x14ac:dyDescent="0.15"/>
    <row r="17825" s="9" customFormat="1" ht="21.95" customHeight="1" x14ac:dyDescent="0.15"/>
    <row r="17826" s="9" customFormat="1" ht="21.95" customHeight="1" x14ac:dyDescent="0.15"/>
    <row r="17827" s="9" customFormat="1" ht="21.95" customHeight="1" x14ac:dyDescent="0.15"/>
    <row r="17828" s="9" customFormat="1" ht="21.95" customHeight="1" x14ac:dyDescent="0.15"/>
    <row r="17829" s="9" customFormat="1" ht="21.95" customHeight="1" x14ac:dyDescent="0.15"/>
    <row r="17830" s="9" customFormat="1" ht="35.1" customHeight="1" x14ac:dyDescent="0.15"/>
    <row r="17831" s="9" customFormat="1" ht="21.95" customHeight="1" x14ac:dyDescent="0.15"/>
    <row r="17832" s="9" customFormat="1" ht="21.95" customHeight="1" x14ac:dyDescent="0.15"/>
    <row r="17833" s="9" customFormat="1" ht="21.95" customHeight="1" x14ac:dyDescent="0.15"/>
    <row r="17834" s="9" customFormat="1" ht="21.95" customHeight="1" x14ac:dyDescent="0.15"/>
    <row r="17835" s="9" customFormat="1" ht="21.95" customHeight="1" x14ac:dyDescent="0.15"/>
    <row r="17836" s="9" customFormat="1" ht="21.95" customHeight="1" x14ac:dyDescent="0.15"/>
    <row r="17837" s="9" customFormat="1" ht="21.95" customHeight="1" x14ac:dyDescent="0.15"/>
    <row r="17838" s="9" customFormat="1" ht="21.95" customHeight="1" x14ac:dyDescent="0.15"/>
    <row r="17839" s="9" customFormat="1" ht="21.95" customHeight="1" x14ac:dyDescent="0.15"/>
    <row r="17840" s="9" customFormat="1" ht="21.95" customHeight="1" x14ac:dyDescent="0.15"/>
    <row r="17841" spans="3:3" s="9" customFormat="1" ht="21.95" customHeight="1" x14ac:dyDescent="0.15"/>
    <row r="17842" spans="3:3" s="9" customFormat="1" ht="21.95" customHeight="1" x14ac:dyDescent="0.15"/>
    <row r="17843" spans="3:3" s="9" customFormat="1" ht="21.95" customHeight="1" x14ac:dyDescent="0.15"/>
    <row r="17844" spans="3:3" s="9" customFormat="1" ht="21.95" customHeight="1" x14ac:dyDescent="0.15"/>
    <row r="17845" spans="3:3" s="9" customFormat="1" ht="21.95" customHeight="1" x14ac:dyDescent="0.15"/>
    <row r="17846" spans="3:3" s="9" customFormat="1" ht="21.95" customHeight="1" x14ac:dyDescent="0.15"/>
    <row r="17847" spans="3:3" s="9" customFormat="1" ht="21.95" customHeight="1" x14ac:dyDescent="0.15"/>
    <row r="17848" spans="3:3" s="9" customFormat="1" ht="21.95" customHeight="1" x14ac:dyDescent="0.15"/>
    <row r="17849" spans="3:3" s="9" customFormat="1" ht="21.95" customHeight="1" x14ac:dyDescent="0.15"/>
    <row r="17850" spans="3:3" s="9" customFormat="1" ht="21.95" customHeight="1" x14ac:dyDescent="0.15"/>
    <row r="17851" spans="3:3" s="9" customFormat="1" ht="21.95" customHeight="1" x14ac:dyDescent="0.15"/>
    <row r="17852" spans="3:3" s="9" customFormat="1" ht="21.95" customHeight="1" x14ac:dyDescent="0.15"/>
    <row r="17853" spans="3:3" s="9" customFormat="1" ht="21.95" customHeight="1" x14ac:dyDescent="0.15"/>
    <row r="17854" spans="3:3" s="8" customFormat="1" ht="21.95" customHeight="1" x14ac:dyDescent="0.15"/>
    <row r="17855" spans="3:3" s="8" customFormat="1" ht="21.95" customHeight="1" x14ac:dyDescent="0.15"/>
    <row r="17856" spans="3:3" s="8" customFormat="1" ht="21.95" customHeight="1" x14ac:dyDescent="0.15">
      <c r="C17856" s="101"/>
    </row>
    <row r="17857" spans="3:3" s="8" customFormat="1" ht="21.95" customHeight="1" x14ac:dyDescent="0.15">
      <c r="C17857" s="101"/>
    </row>
    <row r="17858" spans="3:3" s="8" customFormat="1" ht="21.95" customHeight="1" x14ac:dyDescent="0.15"/>
    <row r="17859" spans="3:3" s="8" customFormat="1" ht="21.95" customHeight="1" x14ac:dyDescent="0.15"/>
    <row r="17860" spans="3:3" s="8" customFormat="1" ht="21.95" customHeight="1" x14ac:dyDescent="0.15"/>
    <row r="17861" spans="3:3" s="8" customFormat="1" ht="21.95" customHeight="1" x14ac:dyDescent="0.15"/>
    <row r="17862" spans="3:3" s="8" customFormat="1" ht="21.95" customHeight="1" x14ac:dyDescent="0.15"/>
    <row r="17863" spans="3:3" s="8" customFormat="1" ht="21.95" customHeight="1" x14ac:dyDescent="0.15"/>
    <row r="17864" spans="3:3" s="8" customFormat="1" ht="21.95" customHeight="1" x14ac:dyDescent="0.15"/>
    <row r="17865" spans="3:3" s="9" customFormat="1" ht="21.95" customHeight="1" x14ac:dyDescent="0.15"/>
    <row r="17866" spans="3:3" s="9" customFormat="1" ht="21.95" customHeight="1" x14ac:dyDescent="0.15"/>
    <row r="17867" spans="3:3" s="9" customFormat="1" ht="21.95" customHeight="1" x14ac:dyDescent="0.15"/>
    <row r="17868" spans="3:3" s="9" customFormat="1" ht="21.95" customHeight="1" x14ac:dyDescent="0.15"/>
    <row r="17869" spans="3:3" s="8" customFormat="1" ht="21.95" customHeight="1" x14ac:dyDescent="0.15"/>
    <row r="17870" spans="3:3" s="8" customFormat="1" ht="21.95" customHeight="1" x14ac:dyDescent="0.15"/>
    <row r="17871" spans="3:3" s="8" customFormat="1" ht="21.95" customHeight="1" x14ac:dyDescent="0.15"/>
    <row r="17872" spans="3:3" s="8" customFormat="1" ht="21.95" customHeight="1" x14ac:dyDescent="0.15"/>
    <row r="17873" s="8" customFormat="1" ht="21.95" customHeight="1" x14ac:dyDescent="0.15"/>
    <row r="17874" s="8" customFormat="1" ht="21.95" customHeight="1" x14ac:dyDescent="0.15"/>
    <row r="17875" s="8" customFormat="1" ht="21.95" customHeight="1" x14ac:dyDescent="0.15"/>
    <row r="17876" s="8" customFormat="1" ht="21.95" customHeight="1" x14ac:dyDescent="0.15"/>
    <row r="17877" s="8" customFormat="1" ht="21.95" customHeight="1" x14ac:dyDescent="0.15"/>
    <row r="17878" s="8" customFormat="1" ht="21.95" customHeight="1" x14ac:dyDescent="0.15"/>
    <row r="17879" s="8" customFormat="1" ht="21.95" customHeight="1" x14ac:dyDescent="0.15"/>
    <row r="17880" s="8" customFormat="1" ht="32.1" customHeight="1" x14ac:dyDescent="0.15"/>
    <row r="17881" s="8" customFormat="1" ht="32.1" customHeight="1" x14ac:dyDescent="0.15"/>
    <row r="17882" s="8" customFormat="1" ht="32.1" customHeight="1" x14ac:dyDescent="0.15"/>
    <row r="17883" s="8" customFormat="1" ht="32.1" customHeight="1" x14ac:dyDescent="0.15"/>
    <row r="17884" s="8" customFormat="1" ht="32.1" customHeight="1" x14ac:dyDescent="0.15"/>
    <row r="17885" s="8" customFormat="1" ht="32.1" customHeight="1" x14ac:dyDescent="0.15"/>
    <row r="17886" s="9" customFormat="1" ht="32.1" customHeight="1" x14ac:dyDescent="0.15"/>
    <row r="17887" s="9" customFormat="1" ht="32.1" customHeight="1" x14ac:dyDescent="0.15"/>
    <row r="17888" s="9" customFormat="1" ht="32.1" customHeight="1" x14ac:dyDescent="0.15"/>
    <row r="17889" s="9" customFormat="1" ht="32.1" customHeight="1" x14ac:dyDescent="0.15"/>
    <row r="17890" s="9" customFormat="1" ht="21.95" customHeight="1" x14ac:dyDescent="0.15"/>
    <row r="17891" s="9" customFormat="1" ht="54" customHeight="1" x14ac:dyDescent="0.15"/>
    <row r="17892" s="9" customFormat="1" ht="21.95" customHeight="1" x14ac:dyDescent="0.15"/>
    <row r="17893" s="9" customFormat="1" ht="21.95" customHeight="1" x14ac:dyDescent="0.15"/>
    <row r="17894" s="9" customFormat="1" ht="21.95" customHeight="1" x14ac:dyDescent="0.15"/>
    <row r="17895" s="9" customFormat="1" ht="21.95" customHeight="1" x14ac:dyDescent="0.15"/>
    <row r="17896" s="9" customFormat="1" ht="21.95" customHeight="1" x14ac:dyDescent="0.15"/>
    <row r="17897" s="9" customFormat="1" ht="21.95" customHeight="1" x14ac:dyDescent="0.15"/>
    <row r="17898" s="9" customFormat="1" ht="21.95" customHeight="1" x14ac:dyDescent="0.15"/>
    <row r="17899" s="9" customFormat="1" ht="21.95" customHeight="1" x14ac:dyDescent="0.15"/>
    <row r="17900" s="9" customFormat="1" ht="21.95" customHeight="1" x14ac:dyDescent="0.15"/>
    <row r="17901" s="9" customFormat="1" ht="21.95" customHeight="1" x14ac:dyDescent="0.15"/>
    <row r="17902" s="9" customFormat="1" ht="21.95" customHeight="1" x14ac:dyDescent="0.15"/>
    <row r="17903" s="9" customFormat="1" ht="21.95" customHeight="1" x14ac:dyDescent="0.15"/>
    <row r="17904" s="9" customFormat="1" ht="21.95" customHeight="1" x14ac:dyDescent="0.15"/>
    <row r="17905" s="9" customFormat="1" ht="21.95" customHeight="1" x14ac:dyDescent="0.15"/>
    <row r="17906" s="9" customFormat="1" ht="21.95" customHeight="1" x14ac:dyDescent="0.15"/>
    <row r="17907" s="9" customFormat="1" ht="21.95" customHeight="1" x14ac:dyDescent="0.15"/>
    <row r="17908" s="9" customFormat="1" ht="21.95" customHeight="1" x14ac:dyDescent="0.15"/>
    <row r="17909" s="9" customFormat="1" ht="21.95" customHeight="1" x14ac:dyDescent="0.15"/>
    <row r="17910" s="9" customFormat="1" ht="21.95" customHeight="1" x14ac:dyDescent="0.15"/>
    <row r="17911" s="9" customFormat="1" ht="21.95" customHeight="1" x14ac:dyDescent="0.15"/>
    <row r="17912" s="9" customFormat="1" ht="21.95" customHeight="1" x14ac:dyDescent="0.15"/>
    <row r="17913" s="9" customFormat="1" ht="21.95" customHeight="1" x14ac:dyDescent="0.15"/>
    <row r="17914" s="9" customFormat="1" ht="21.95" customHeight="1" x14ac:dyDescent="0.15"/>
    <row r="17915" s="9" customFormat="1" ht="21.95" customHeight="1" x14ac:dyDescent="0.15"/>
    <row r="17916" s="9" customFormat="1" ht="21.95" customHeight="1" x14ac:dyDescent="0.15"/>
    <row r="17917" s="9" customFormat="1" ht="21.95" customHeight="1" x14ac:dyDescent="0.15"/>
    <row r="17918" s="9" customFormat="1" ht="21.95" customHeight="1" x14ac:dyDescent="0.15"/>
    <row r="17919" s="9" customFormat="1" ht="21.95" customHeight="1" x14ac:dyDescent="0.15"/>
    <row r="17920" s="9" customFormat="1" ht="21.95" customHeight="1" x14ac:dyDescent="0.15"/>
    <row r="17921" s="9" customFormat="1" ht="21.95" customHeight="1" x14ac:dyDescent="0.15"/>
    <row r="17922" s="9" customFormat="1" ht="21.95" customHeight="1" x14ac:dyDescent="0.15"/>
    <row r="17923" s="9" customFormat="1" ht="21.95" customHeight="1" x14ac:dyDescent="0.15"/>
    <row r="17924" s="9" customFormat="1" ht="21.95" customHeight="1" x14ac:dyDescent="0.15"/>
    <row r="17925" s="9" customFormat="1" ht="21.95" customHeight="1" x14ac:dyDescent="0.15"/>
    <row r="17926" s="9" customFormat="1" ht="21.95" customHeight="1" x14ac:dyDescent="0.15"/>
    <row r="17927" s="9" customFormat="1" ht="21.95" customHeight="1" x14ac:dyDescent="0.15"/>
    <row r="17928" s="9" customFormat="1" ht="21.95" customHeight="1" x14ac:dyDescent="0.15"/>
    <row r="17929" s="9" customFormat="1" ht="21.95" customHeight="1" x14ac:dyDescent="0.15"/>
    <row r="17930" s="9" customFormat="1" ht="21.95" customHeight="1" x14ac:dyDescent="0.15"/>
    <row r="17931" s="9" customFormat="1" ht="21.95" customHeight="1" x14ac:dyDescent="0.15"/>
    <row r="17932" s="9" customFormat="1" ht="21.95" customHeight="1" x14ac:dyDescent="0.15"/>
    <row r="17933" s="9" customFormat="1" ht="21.95" customHeight="1" x14ac:dyDescent="0.15"/>
    <row r="17934" s="9" customFormat="1" ht="21.95" customHeight="1" x14ac:dyDescent="0.15"/>
    <row r="17935" s="9" customFormat="1" ht="21.95" customHeight="1" x14ac:dyDescent="0.15"/>
    <row r="17936" s="9" customFormat="1" ht="21.95" customHeight="1" x14ac:dyDescent="0.15"/>
    <row r="17937" s="9" customFormat="1" ht="21.95" customHeight="1" x14ac:dyDescent="0.15"/>
    <row r="17938" s="9" customFormat="1" ht="21.95" customHeight="1" x14ac:dyDescent="0.15"/>
    <row r="17939" s="9" customFormat="1" ht="21.95" customHeight="1" x14ac:dyDescent="0.15"/>
    <row r="17940" s="9" customFormat="1" ht="21.95" customHeight="1" x14ac:dyDescent="0.15"/>
    <row r="17941" s="9" customFormat="1" ht="21.95" customHeight="1" x14ac:dyDescent="0.15"/>
    <row r="17942" s="9" customFormat="1" ht="35.1" customHeight="1" x14ac:dyDescent="0.15"/>
    <row r="17943" s="9" customFormat="1" ht="21.95" customHeight="1" x14ac:dyDescent="0.15"/>
    <row r="17944" s="9" customFormat="1" ht="21.95" customHeight="1" x14ac:dyDescent="0.15"/>
    <row r="17945" s="9" customFormat="1" ht="21.95" customHeight="1" x14ac:dyDescent="0.15"/>
    <row r="17946" s="9" customFormat="1" ht="21.95" customHeight="1" x14ac:dyDescent="0.15"/>
    <row r="17947" s="9" customFormat="1" ht="21.95" customHeight="1" x14ac:dyDescent="0.15"/>
    <row r="17948" s="9" customFormat="1" ht="21.95" customHeight="1" x14ac:dyDescent="0.15"/>
    <row r="17949" s="9" customFormat="1" ht="21.95" customHeight="1" x14ac:dyDescent="0.15"/>
    <row r="17950" s="9" customFormat="1" ht="21.95" customHeight="1" x14ac:dyDescent="0.15"/>
    <row r="17951" s="9" customFormat="1" ht="21.95" customHeight="1" x14ac:dyDescent="0.15"/>
    <row r="17952" s="9" customFormat="1" ht="21.95" customHeight="1" x14ac:dyDescent="0.15"/>
    <row r="17953" spans="3:3" s="9" customFormat="1" ht="21.95" customHeight="1" x14ac:dyDescent="0.15"/>
    <row r="17954" spans="3:3" s="9" customFormat="1" ht="21.95" customHeight="1" x14ac:dyDescent="0.15"/>
    <row r="17955" spans="3:3" s="9" customFormat="1" ht="21.95" customHeight="1" x14ac:dyDescent="0.15"/>
    <row r="17956" spans="3:3" s="9" customFormat="1" ht="21.95" customHeight="1" x14ac:dyDescent="0.15"/>
    <row r="17957" spans="3:3" s="9" customFormat="1" ht="21.95" customHeight="1" x14ac:dyDescent="0.15"/>
    <row r="17958" spans="3:3" s="9" customFormat="1" ht="21.95" customHeight="1" x14ac:dyDescent="0.15"/>
    <row r="17959" spans="3:3" s="9" customFormat="1" ht="21.95" customHeight="1" x14ac:dyDescent="0.15"/>
    <row r="17960" spans="3:3" s="9" customFormat="1" ht="21.95" customHeight="1" x14ac:dyDescent="0.15"/>
    <row r="17961" spans="3:3" s="9" customFormat="1" ht="21.95" customHeight="1" x14ac:dyDescent="0.15"/>
    <row r="17962" spans="3:3" s="9" customFormat="1" ht="21.95" customHeight="1" x14ac:dyDescent="0.15"/>
    <row r="17963" spans="3:3" s="9" customFormat="1" ht="21.95" customHeight="1" x14ac:dyDescent="0.15"/>
    <row r="17964" spans="3:3" s="9" customFormat="1" ht="21.95" customHeight="1" x14ac:dyDescent="0.15"/>
    <row r="17965" spans="3:3" s="9" customFormat="1" ht="21.95" customHeight="1" x14ac:dyDescent="0.15"/>
    <row r="17966" spans="3:3" s="8" customFormat="1" ht="21.95" customHeight="1" x14ac:dyDescent="0.15"/>
    <row r="17967" spans="3:3" s="8" customFormat="1" ht="21.95" customHeight="1" x14ac:dyDescent="0.15"/>
    <row r="17968" spans="3:3" s="8" customFormat="1" ht="21.95" customHeight="1" x14ac:dyDescent="0.15">
      <c r="C17968" s="101"/>
    </row>
    <row r="17969" spans="3:3" s="8" customFormat="1" ht="21.95" customHeight="1" x14ac:dyDescent="0.15">
      <c r="C17969" s="101"/>
    </row>
    <row r="17970" spans="3:3" s="8" customFormat="1" ht="21.95" customHeight="1" x14ac:dyDescent="0.15"/>
    <row r="17971" spans="3:3" s="8" customFormat="1" ht="21.95" customHeight="1" x14ac:dyDescent="0.15"/>
    <row r="17972" spans="3:3" s="8" customFormat="1" ht="21.95" customHeight="1" x14ac:dyDescent="0.15"/>
    <row r="17973" spans="3:3" s="8" customFormat="1" ht="21.95" customHeight="1" x14ac:dyDescent="0.15"/>
    <row r="17974" spans="3:3" s="8" customFormat="1" ht="21.95" customHeight="1" x14ac:dyDescent="0.15"/>
    <row r="17975" spans="3:3" s="8" customFormat="1" ht="21.95" customHeight="1" x14ac:dyDescent="0.15"/>
    <row r="17976" spans="3:3" s="8" customFormat="1" ht="21.95" customHeight="1" x14ac:dyDescent="0.15"/>
    <row r="17977" spans="3:3" s="9" customFormat="1" ht="21.95" customHeight="1" x14ac:dyDescent="0.15"/>
    <row r="17978" spans="3:3" s="9" customFormat="1" ht="21.95" customHeight="1" x14ac:dyDescent="0.15"/>
    <row r="17979" spans="3:3" s="9" customFormat="1" ht="21.95" customHeight="1" x14ac:dyDescent="0.15"/>
    <row r="17980" spans="3:3" s="9" customFormat="1" ht="21.95" customHeight="1" x14ac:dyDescent="0.15"/>
    <row r="17981" spans="3:3" s="8" customFormat="1" ht="21.95" customHeight="1" x14ac:dyDescent="0.15"/>
    <row r="17982" spans="3:3" s="8" customFormat="1" ht="21.95" customHeight="1" x14ac:dyDescent="0.15"/>
    <row r="17983" spans="3:3" s="8" customFormat="1" ht="21.95" customHeight="1" x14ac:dyDescent="0.15"/>
    <row r="17984" spans="3:3" s="8" customFormat="1" ht="21.95" customHeight="1" x14ac:dyDescent="0.15"/>
    <row r="17985" s="8" customFormat="1" ht="21.95" customHeight="1" x14ac:dyDescent="0.15"/>
    <row r="17986" s="8" customFormat="1" ht="21.95" customHeight="1" x14ac:dyDescent="0.15"/>
    <row r="17987" s="8" customFormat="1" ht="21.95" customHeight="1" x14ac:dyDescent="0.15"/>
    <row r="17988" s="8" customFormat="1" ht="21.95" customHeight="1" x14ac:dyDescent="0.15"/>
    <row r="17989" s="8" customFormat="1" ht="21.95" customHeight="1" x14ac:dyDescent="0.15"/>
    <row r="17990" s="8" customFormat="1" ht="21.95" customHeight="1" x14ac:dyDescent="0.15"/>
    <row r="17991" s="8" customFormat="1" ht="21.95" customHeight="1" x14ac:dyDescent="0.15"/>
    <row r="17992" s="8" customFormat="1" ht="32.1" customHeight="1" x14ac:dyDescent="0.15"/>
    <row r="17993" s="8" customFormat="1" ht="32.1" customHeight="1" x14ac:dyDescent="0.15"/>
    <row r="17994" s="8" customFormat="1" ht="32.1" customHeight="1" x14ac:dyDescent="0.15"/>
    <row r="17995" s="8" customFormat="1" ht="32.1" customHeight="1" x14ac:dyDescent="0.15"/>
    <row r="17996" s="8" customFormat="1" ht="32.1" customHeight="1" x14ac:dyDescent="0.15"/>
    <row r="17997" s="8" customFormat="1" ht="32.1" customHeight="1" x14ac:dyDescent="0.15"/>
    <row r="17998" s="9" customFormat="1" ht="32.1" customHeight="1" x14ac:dyDescent="0.15"/>
    <row r="17999" s="9" customFormat="1" ht="32.1" customHeight="1" x14ac:dyDescent="0.15"/>
    <row r="18000" s="9" customFormat="1" ht="32.1" customHeight="1" x14ac:dyDescent="0.15"/>
    <row r="18001" s="9" customFormat="1" ht="32.1" customHeight="1" x14ac:dyDescent="0.15"/>
    <row r="18002" s="9" customFormat="1" ht="21.95" customHeight="1" x14ac:dyDescent="0.15"/>
    <row r="18003" s="9" customFormat="1" ht="54" customHeight="1" x14ac:dyDescent="0.15"/>
    <row r="18004" s="9" customFormat="1" ht="21.95" customHeight="1" x14ac:dyDescent="0.15"/>
    <row r="18005" s="9" customFormat="1" ht="21.95" customHeight="1" x14ac:dyDescent="0.15"/>
    <row r="18006" s="9" customFormat="1" ht="21.95" customHeight="1" x14ac:dyDescent="0.15"/>
    <row r="18007" s="9" customFormat="1" ht="21.95" customHeight="1" x14ac:dyDescent="0.15"/>
    <row r="18008" s="9" customFormat="1" ht="21.95" customHeight="1" x14ac:dyDescent="0.15"/>
    <row r="18009" s="9" customFormat="1" ht="21.95" customHeight="1" x14ac:dyDescent="0.15"/>
    <row r="18010" s="9" customFormat="1" ht="21.95" customHeight="1" x14ac:dyDescent="0.15"/>
    <row r="18011" s="9" customFormat="1" ht="21.95" customHeight="1" x14ac:dyDescent="0.15"/>
    <row r="18012" s="9" customFormat="1" ht="21.95" customHeight="1" x14ac:dyDescent="0.15"/>
    <row r="18013" s="9" customFormat="1" ht="21.95" customHeight="1" x14ac:dyDescent="0.15"/>
    <row r="18014" s="9" customFormat="1" ht="21.95" customHeight="1" x14ac:dyDescent="0.15"/>
    <row r="18015" s="9" customFormat="1" ht="21.95" customHeight="1" x14ac:dyDescent="0.15"/>
    <row r="18016" s="9" customFormat="1" ht="21.95" customHeight="1" x14ac:dyDescent="0.15"/>
    <row r="18017" s="9" customFormat="1" ht="21.95" customHeight="1" x14ac:dyDescent="0.15"/>
    <row r="18018" s="9" customFormat="1" ht="21.95" customHeight="1" x14ac:dyDescent="0.15"/>
    <row r="18019" s="9" customFormat="1" ht="21.95" customHeight="1" x14ac:dyDescent="0.15"/>
    <row r="18020" s="9" customFormat="1" ht="21.95" customHeight="1" x14ac:dyDescent="0.15"/>
    <row r="18021" s="9" customFormat="1" ht="21.95" customHeight="1" x14ac:dyDescent="0.15"/>
    <row r="18022" s="9" customFormat="1" ht="21.95" customHeight="1" x14ac:dyDescent="0.15"/>
    <row r="18023" s="9" customFormat="1" ht="21.95" customHeight="1" x14ac:dyDescent="0.15"/>
    <row r="18024" s="9" customFormat="1" ht="21.95" customHeight="1" x14ac:dyDescent="0.15"/>
    <row r="18025" s="9" customFormat="1" ht="21.95" customHeight="1" x14ac:dyDescent="0.15"/>
    <row r="18026" s="9" customFormat="1" ht="21.95" customHeight="1" x14ac:dyDescent="0.15"/>
    <row r="18027" s="9" customFormat="1" ht="21.95" customHeight="1" x14ac:dyDescent="0.15"/>
    <row r="18028" s="9" customFormat="1" ht="21.95" customHeight="1" x14ac:dyDescent="0.15"/>
    <row r="18029" s="9" customFormat="1" ht="21.95" customHeight="1" x14ac:dyDescent="0.15"/>
    <row r="18030" s="9" customFormat="1" ht="21.95" customHeight="1" x14ac:dyDescent="0.15"/>
    <row r="18031" s="9" customFormat="1" ht="21.95" customHeight="1" x14ac:dyDescent="0.15"/>
    <row r="18032" s="9" customFormat="1" ht="21.95" customHeight="1" x14ac:dyDescent="0.15"/>
    <row r="18033" s="9" customFormat="1" ht="21.95" customHeight="1" x14ac:dyDescent="0.15"/>
    <row r="18034" s="9" customFormat="1" ht="21.95" customHeight="1" x14ac:dyDescent="0.15"/>
    <row r="18035" s="9" customFormat="1" ht="21.95" customHeight="1" x14ac:dyDescent="0.15"/>
    <row r="18036" s="9" customFormat="1" ht="21.95" customHeight="1" x14ac:dyDescent="0.15"/>
    <row r="18037" s="9" customFormat="1" ht="21.95" customHeight="1" x14ac:dyDescent="0.15"/>
    <row r="18038" s="9" customFormat="1" ht="21.95" customHeight="1" x14ac:dyDescent="0.15"/>
    <row r="18039" s="9" customFormat="1" ht="21.95" customHeight="1" x14ac:dyDescent="0.15"/>
    <row r="18040" s="9" customFormat="1" ht="21.95" customHeight="1" x14ac:dyDescent="0.15"/>
    <row r="18041" s="9" customFormat="1" ht="21.95" customHeight="1" x14ac:dyDescent="0.15"/>
    <row r="18042" s="9" customFormat="1" ht="21.95" customHeight="1" x14ac:dyDescent="0.15"/>
    <row r="18043" s="9" customFormat="1" ht="21.95" customHeight="1" x14ac:dyDescent="0.15"/>
    <row r="18044" s="9" customFormat="1" ht="21.95" customHeight="1" x14ac:dyDescent="0.15"/>
    <row r="18045" s="9" customFormat="1" ht="21.95" customHeight="1" x14ac:dyDescent="0.15"/>
    <row r="18046" s="9" customFormat="1" ht="21.95" customHeight="1" x14ac:dyDescent="0.15"/>
    <row r="18047" s="9" customFormat="1" ht="21.95" customHeight="1" x14ac:dyDescent="0.15"/>
    <row r="18048" s="9" customFormat="1" ht="21.95" customHeight="1" x14ac:dyDescent="0.15"/>
    <row r="18049" s="9" customFormat="1" ht="21.95" customHeight="1" x14ac:dyDescent="0.15"/>
    <row r="18050" s="9" customFormat="1" ht="21.95" customHeight="1" x14ac:dyDescent="0.15"/>
    <row r="18051" s="9" customFormat="1" ht="21.95" customHeight="1" x14ac:dyDescent="0.15"/>
    <row r="18052" s="9" customFormat="1" ht="21.95" customHeight="1" x14ac:dyDescent="0.15"/>
    <row r="18053" s="9" customFormat="1" ht="21.95" customHeight="1" x14ac:dyDescent="0.15"/>
    <row r="18054" s="9" customFormat="1" ht="35.1" customHeight="1" x14ac:dyDescent="0.15"/>
    <row r="18055" s="9" customFormat="1" ht="21.95" customHeight="1" x14ac:dyDescent="0.15"/>
    <row r="18056" s="9" customFormat="1" ht="21.95" customHeight="1" x14ac:dyDescent="0.15"/>
    <row r="18057" s="9" customFormat="1" ht="21.95" customHeight="1" x14ac:dyDescent="0.15"/>
    <row r="18058" s="9" customFormat="1" ht="21.95" customHeight="1" x14ac:dyDescent="0.15"/>
    <row r="18059" s="9" customFormat="1" ht="21.95" customHeight="1" x14ac:dyDescent="0.15"/>
    <row r="18060" s="9" customFormat="1" ht="21.95" customHeight="1" x14ac:dyDescent="0.15"/>
    <row r="18061" s="9" customFormat="1" ht="21.95" customHeight="1" x14ac:dyDescent="0.15"/>
    <row r="18062" s="9" customFormat="1" ht="21.95" customHeight="1" x14ac:dyDescent="0.15"/>
    <row r="18063" s="9" customFormat="1" ht="21.95" customHeight="1" x14ac:dyDescent="0.15"/>
    <row r="18064" s="9" customFormat="1" ht="21.95" customHeight="1" x14ac:dyDescent="0.15"/>
    <row r="18065" spans="3:3" s="9" customFormat="1" ht="21.95" customHeight="1" x14ac:dyDescent="0.15"/>
    <row r="18066" spans="3:3" s="9" customFormat="1" ht="21.95" customHeight="1" x14ac:dyDescent="0.15"/>
    <row r="18067" spans="3:3" s="9" customFormat="1" ht="21.95" customHeight="1" x14ac:dyDescent="0.15"/>
    <row r="18068" spans="3:3" s="9" customFormat="1" ht="21.95" customHeight="1" x14ac:dyDescent="0.15"/>
    <row r="18069" spans="3:3" s="9" customFormat="1" ht="21.95" customHeight="1" x14ac:dyDescent="0.15"/>
    <row r="18070" spans="3:3" s="9" customFormat="1" ht="21.95" customHeight="1" x14ac:dyDescent="0.15"/>
    <row r="18071" spans="3:3" s="9" customFormat="1" ht="21.95" customHeight="1" x14ac:dyDescent="0.15"/>
    <row r="18072" spans="3:3" s="9" customFormat="1" ht="21.95" customHeight="1" x14ac:dyDescent="0.15"/>
    <row r="18073" spans="3:3" s="9" customFormat="1" ht="21.95" customHeight="1" x14ac:dyDescent="0.15"/>
    <row r="18074" spans="3:3" s="9" customFormat="1" ht="21.95" customHeight="1" x14ac:dyDescent="0.15"/>
    <row r="18075" spans="3:3" s="9" customFormat="1" ht="21.95" customHeight="1" x14ac:dyDescent="0.15"/>
    <row r="18076" spans="3:3" s="9" customFormat="1" ht="21.95" customHeight="1" x14ac:dyDescent="0.15"/>
    <row r="18077" spans="3:3" s="9" customFormat="1" ht="21.95" customHeight="1" x14ac:dyDescent="0.15"/>
    <row r="18078" spans="3:3" s="8" customFormat="1" ht="21.95" customHeight="1" x14ac:dyDescent="0.15"/>
    <row r="18079" spans="3:3" s="8" customFormat="1" ht="21.95" customHeight="1" x14ac:dyDescent="0.15"/>
    <row r="18080" spans="3:3" s="8" customFormat="1" ht="21.95" customHeight="1" x14ac:dyDescent="0.15">
      <c r="C18080" s="101"/>
    </row>
    <row r="18081" spans="3:3" s="8" customFormat="1" ht="21.95" customHeight="1" x14ac:dyDescent="0.15">
      <c r="C18081" s="101"/>
    </row>
    <row r="18082" spans="3:3" s="8" customFormat="1" ht="21.95" customHeight="1" x14ac:dyDescent="0.15"/>
    <row r="18083" spans="3:3" s="8" customFormat="1" ht="21.95" customHeight="1" x14ac:dyDescent="0.15"/>
    <row r="18084" spans="3:3" s="8" customFormat="1" ht="21.95" customHeight="1" x14ac:dyDescent="0.15"/>
    <row r="18085" spans="3:3" s="8" customFormat="1" ht="21.95" customHeight="1" x14ac:dyDescent="0.15"/>
    <row r="18086" spans="3:3" s="8" customFormat="1" ht="21.95" customHeight="1" x14ac:dyDescent="0.15"/>
    <row r="18087" spans="3:3" s="8" customFormat="1" ht="21.95" customHeight="1" x14ac:dyDescent="0.15"/>
    <row r="18088" spans="3:3" s="8" customFormat="1" ht="21.95" customHeight="1" x14ac:dyDescent="0.15"/>
    <row r="18089" spans="3:3" s="9" customFormat="1" ht="21.95" customHeight="1" x14ac:dyDescent="0.15"/>
    <row r="18090" spans="3:3" s="9" customFormat="1" ht="21.95" customHeight="1" x14ac:dyDescent="0.15"/>
    <row r="18091" spans="3:3" s="9" customFormat="1" ht="21.95" customHeight="1" x14ac:dyDescent="0.15"/>
    <row r="18092" spans="3:3" s="9" customFormat="1" ht="21.95" customHeight="1" x14ac:dyDescent="0.15"/>
    <row r="18093" spans="3:3" s="8" customFormat="1" ht="21.95" customHeight="1" x14ac:dyDescent="0.15"/>
    <row r="18094" spans="3:3" s="8" customFormat="1" ht="21.95" customHeight="1" x14ac:dyDescent="0.15"/>
    <row r="18095" spans="3:3" s="8" customFormat="1" ht="21.95" customHeight="1" x14ac:dyDescent="0.15"/>
    <row r="18096" spans="3:3" s="8" customFormat="1" ht="21.95" customHeight="1" x14ac:dyDescent="0.15"/>
    <row r="18097" s="8" customFormat="1" ht="21.95" customHeight="1" x14ac:dyDescent="0.15"/>
    <row r="18098" s="8" customFormat="1" ht="21.95" customHeight="1" x14ac:dyDescent="0.15"/>
    <row r="18099" s="8" customFormat="1" ht="21.95" customHeight="1" x14ac:dyDescent="0.15"/>
    <row r="18100" s="8" customFormat="1" ht="21.95" customHeight="1" x14ac:dyDescent="0.15"/>
    <row r="18101" s="8" customFormat="1" ht="21.95" customHeight="1" x14ac:dyDescent="0.15"/>
    <row r="18102" s="8" customFormat="1" ht="21.95" customHeight="1" x14ac:dyDescent="0.15"/>
    <row r="18103" s="8" customFormat="1" ht="21.95" customHeight="1" x14ac:dyDescent="0.15"/>
    <row r="18104" s="8" customFormat="1" ht="32.1" customHeight="1" x14ac:dyDescent="0.15"/>
    <row r="18105" s="8" customFormat="1" ht="32.1" customHeight="1" x14ac:dyDescent="0.15"/>
    <row r="18106" s="8" customFormat="1" ht="32.1" customHeight="1" x14ac:dyDescent="0.15"/>
    <row r="18107" s="8" customFormat="1" ht="32.1" customHeight="1" x14ac:dyDescent="0.15"/>
    <row r="18108" s="8" customFormat="1" ht="32.1" customHeight="1" x14ac:dyDescent="0.15"/>
    <row r="18109" s="8" customFormat="1" ht="32.1" customHeight="1" x14ac:dyDescent="0.15"/>
    <row r="18110" s="9" customFormat="1" ht="32.1" customHeight="1" x14ac:dyDescent="0.15"/>
    <row r="18111" s="9" customFormat="1" ht="32.1" customHeight="1" x14ac:dyDescent="0.15"/>
    <row r="18112" s="9" customFormat="1" ht="32.1" customHeight="1" x14ac:dyDescent="0.15"/>
    <row r="18113" s="9" customFormat="1" ht="32.1" customHeight="1" x14ac:dyDescent="0.15"/>
    <row r="18114" s="9" customFormat="1" ht="21.95" customHeight="1" x14ac:dyDescent="0.15"/>
    <row r="18115" s="9" customFormat="1" ht="54" customHeight="1" x14ac:dyDescent="0.15"/>
    <row r="18116" s="9" customFormat="1" ht="21.95" customHeight="1" x14ac:dyDescent="0.15"/>
    <row r="18117" s="9" customFormat="1" ht="21.95" customHeight="1" x14ac:dyDescent="0.15"/>
    <row r="18118" s="9" customFormat="1" ht="21.95" customHeight="1" x14ac:dyDescent="0.15"/>
    <row r="18119" s="9" customFormat="1" ht="21.95" customHeight="1" x14ac:dyDescent="0.15"/>
    <row r="18120" s="9" customFormat="1" ht="21.95" customHeight="1" x14ac:dyDescent="0.15"/>
    <row r="18121" s="9" customFormat="1" ht="21.95" customHeight="1" x14ac:dyDescent="0.15"/>
    <row r="18122" s="9" customFormat="1" ht="21.95" customHeight="1" x14ac:dyDescent="0.15"/>
    <row r="18123" s="9" customFormat="1" ht="21.95" customHeight="1" x14ac:dyDescent="0.15"/>
    <row r="18124" s="9" customFormat="1" ht="21.95" customHeight="1" x14ac:dyDescent="0.15"/>
    <row r="18125" s="9" customFormat="1" ht="21.95" customHeight="1" x14ac:dyDescent="0.15"/>
    <row r="18126" s="9" customFormat="1" ht="21.95" customHeight="1" x14ac:dyDescent="0.15"/>
    <row r="18127" s="9" customFormat="1" ht="21.95" customHeight="1" x14ac:dyDescent="0.15"/>
    <row r="18128" s="9" customFormat="1" ht="21.95" customHeight="1" x14ac:dyDescent="0.15"/>
    <row r="18129" s="9" customFormat="1" ht="21.95" customHeight="1" x14ac:dyDescent="0.15"/>
    <row r="18130" s="9" customFormat="1" ht="21.95" customHeight="1" x14ac:dyDescent="0.15"/>
    <row r="18131" s="9" customFormat="1" ht="21.95" customHeight="1" x14ac:dyDescent="0.15"/>
    <row r="18132" s="9" customFormat="1" ht="21.95" customHeight="1" x14ac:dyDescent="0.15"/>
    <row r="18133" s="9" customFormat="1" ht="21.95" customHeight="1" x14ac:dyDescent="0.15"/>
    <row r="18134" s="9" customFormat="1" ht="21.95" customHeight="1" x14ac:dyDescent="0.15"/>
    <row r="18135" s="9" customFormat="1" ht="21.95" customHeight="1" x14ac:dyDescent="0.15"/>
    <row r="18136" s="9" customFormat="1" ht="21.95" customHeight="1" x14ac:dyDescent="0.15"/>
    <row r="18137" s="9" customFormat="1" ht="21.95" customHeight="1" x14ac:dyDescent="0.15"/>
    <row r="18138" s="9" customFormat="1" ht="21.95" customHeight="1" x14ac:dyDescent="0.15"/>
    <row r="18139" s="9" customFormat="1" ht="21.95" customHeight="1" x14ac:dyDescent="0.15"/>
    <row r="18140" s="9" customFormat="1" ht="21.95" customHeight="1" x14ac:dyDescent="0.15"/>
    <row r="18141" s="9" customFormat="1" ht="21.95" customHeight="1" x14ac:dyDescent="0.15"/>
    <row r="18142" s="9" customFormat="1" ht="21.95" customHeight="1" x14ac:dyDescent="0.15"/>
    <row r="18143" s="9" customFormat="1" ht="21.95" customHeight="1" x14ac:dyDescent="0.15"/>
    <row r="18144" s="9" customFormat="1" ht="21.95" customHeight="1" x14ac:dyDescent="0.15"/>
    <row r="18145" s="9" customFormat="1" ht="21.95" customHeight="1" x14ac:dyDescent="0.15"/>
    <row r="18146" s="9" customFormat="1" ht="21.95" customHeight="1" x14ac:dyDescent="0.15"/>
    <row r="18147" s="9" customFormat="1" ht="21.95" customHeight="1" x14ac:dyDescent="0.15"/>
    <row r="18148" s="9" customFormat="1" ht="21.95" customHeight="1" x14ac:dyDescent="0.15"/>
    <row r="18149" s="9" customFormat="1" ht="21.95" customHeight="1" x14ac:dyDescent="0.15"/>
    <row r="18150" s="9" customFormat="1" ht="21.95" customHeight="1" x14ac:dyDescent="0.15"/>
    <row r="18151" s="9" customFormat="1" ht="21.95" customHeight="1" x14ac:dyDescent="0.15"/>
    <row r="18152" s="9" customFormat="1" ht="21.95" customHeight="1" x14ac:dyDescent="0.15"/>
    <row r="18153" s="9" customFormat="1" ht="21.95" customHeight="1" x14ac:dyDescent="0.15"/>
    <row r="18154" s="9" customFormat="1" ht="21.95" customHeight="1" x14ac:dyDescent="0.15"/>
    <row r="18155" s="9" customFormat="1" ht="21.95" customHeight="1" x14ac:dyDescent="0.15"/>
    <row r="18156" s="9" customFormat="1" ht="21.95" customHeight="1" x14ac:dyDescent="0.15"/>
    <row r="18157" s="9" customFormat="1" ht="21.95" customHeight="1" x14ac:dyDescent="0.15"/>
    <row r="18158" s="9" customFormat="1" ht="21.95" customHeight="1" x14ac:dyDescent="0.15"/>
    <row r="18159" s="9" customFormat="1" ht="21.95" customHeight="1" x14ac:dyDescent="0.15"/>
    <row r="18160" s="9" customFormat="1" ht="21.95" customHeight="1" x14ac:dyDescent="0.15"/>
    <row r="18161" s="9" customFormat="1" ht="21.95" customHeight="1" x14ac:dyDescent="0.15"/>
    <row r="18162" s="9" customFormat="1" ht="21.95" customHeight="1" x14ac:dyDescent="0.15"/>
    <row r="18163" s="9" customFormat="1" ht="21.95" customHeight="1" x14ac:dyDescent="0.15"/>
    <row r="18164" s="9" customFormat="1" ht="21.95" customHeight="1" x14ac:dyDescent="0.15"/>
    <row r="18165" s="9" customFormat="1" ht="21.95" customHeight="1" x14ac:dyDescent="0.15"/>
    <row r="18166" s="9" customFormat="1" ht="35.1" customHeight="1" x14ac:dyDescent="0.15"/>
    <row r="18167" s="9" customFormat="1" ht="21.95" customHeight="1" x14ac:dyDescent="0.15"/>
    <row r="18168" s="9" customFormat="1" ht="21.95" customHeight="1" x14ac:dyDescent="0.15"/>
    <row r="18169" s="9" customFormat="1" ht="21.95" customHeight="1" x14ac:dyDescent="0.15"/>
    <row r="18170" s="9" customFormat="1" ht="21.95" customHeight="1" x14ac:dyDescent="0.15"/>
    <row r="18171" s="9" customFormat="1" ht="21.95" customHeight="1" x14ac:dyDescent="0.15"/>
    <row r="18172" s="9" customFormat="1" ht="21.95" customHeight="1" x14ac:dyDescent="0.15"/>
    <row r="18173" s="9" customFormat="1" ht="21.95" customHeight="1" x14ac:dyDescent="0.15"/>
    <row r="18174" s="9" customFormat="1" ht="21.95" customHeight="1" x14ac:dyDescent="0.15"/>
    <row r="18175" s="9" customFormat="1" ht="21.95" customHeight="1" x14ac:dyDescent="0.15"/>
    <row r="18176" s="9" customFormat="1" ht="21.95" customHeight="1" x14ac:dyDescent="0.15"/>
    <row r="18177" spans="3:3" s="9" customFormat="1" ht="21.95" customHeight="1" x14ac:dyDescent="0.15"/>
    <row r="18178" spans="3:3" s="9" customFormat="1" ht="21.95" customHeight="1" x14ac:dyDescent="0.15"/>
    <row r="18179" spans="3:3" s="9" customFormat="1" ht="21.95" customHeight="1" x14ac:dyDescent="0.15"/>
    <row r="18180" spans="3:3" s="9" customFormat="1" ht="21.95" customHeight="1" x14ac:dyDescent="0.15"/>
    <row r="18181" spans="3:3" s="9" customFormat="1" ht="21.95" customHeight="1" x14ac:dyDescent="0.15"/>
    <row r="18182" spans="3:3" s="9" customFormat="1" ht="21.95" customHeight="1" x14ac:dyDescent="0.15"/>
    <row r="18183" spans="3:3" s="9" customFormat="1" ht="21.95" customHeight="1" x14ac:dyDescent="0.15"/>
    <row r="18184" spans="3:3" s="9" customFormat="1" ht="21.95" customHeight="1" x14ac:dyDescent="0.15"/>
    <row r="18185" spans="3:3" s="9" customFormat="1" ht="21.95" customHeight="1" x14ac:dyDescent="0.15"/>
    <row r="18186" spans="3:3" s="9" customFormat="1" ht="21.95" customHeight="1" x14ac:dyDescent="0.15"/>
    <row r="18187" spans="3:3" s="9" customFormat="1" ht="21.95" customHeight="1" x14ac:dyDescent="0.15"/>
    <row r="18188" spans="3:3" s="9" customFormat="1" ht="21.95" customHeight="1" x14ac:dyDescent="0.15"/>
    <row r="18189" spans="3:3" s="9" customFormat="1" ht="21.95" customHeight="1" x14ac:dyDescent="0.15"/>
    <row r="18190" spans="3:3" s="8" customFormat="1" ht="21.95" customHeight="1" x14ac:dyDescent="0.15"/>
    <row r="18191" spans="3:3" s="8" customFormat="1" ht="21.95" customHeight="1" x14ac:dyDescent="0.15"/>
    <row r="18192" spans="3:3" s="8" customFormat="1" ht="21.95" customHeight="1" x14ac:dyDescent="0.15">
      <c r="C18192" s="101"/>
    </row>
    <row r="18193" spans="3:3" s="8" customFormat="1" ht="21.95" customHeight="1" x14ac:dyDescent="0.15">
      <c r="C18193" s="101"/>
    </row>
    <row r="18194" spans="3:3" s="8" customFormat="1" ht="21.95" customHeight="1" x14ac:dyDescent="0.15"/>
    <row r="18195" spans="3:3" s="8" customFormat="1" ht="21.95" customHeight="1" x14ac:dyDescent="0.15"/>
    <row r="18196" spans="3:3" s="8" customFormat="1" ht="21.95" customHeight="1" x14ac:dyDescent="0.15"/>
    <row r="18197" spans="3:3" s="8" customFormat="1" ht="21.95" customHeight="1" x14ac:dyDescent="0.15"/>
    <row r="18198" spans="3:3" s="8" customFormat="1" ht="21.95" customHeight="1" x14ac:dyDescent="0.15"/>
    <row r="18199" spans="3:3" s="8" customFormat="1" ht="21.95" customHeight="1" x14ac:dyDescent="0.15"/>
    <row r="18200" spans="3:3" s="8" customFormat="1" ht="21.95" customHeight="1" x14ac:dyDescent="0.15"/>
    <row r="18201" spans="3:3" s="9" customFormat="1" ht="21.95" customHeight="1" x14ac:dyDescent="0.15"/>
    <row r="18202" spans="3:3" s="9" customFormat="1" ht="21.95" customHeight="1" x14ac:dyDescent="0.15"/>
    <row r="18203" spans="3:3" s="9" customFormat="1" ht="21.95" customHeight="1" x14ac:dyDescent="0.15"/>
    <row r="18204" spans="3:3" s="9" customFormat="1" ht="21.95" customHeight="1" x14ac:dyDescent="0.15"/>
    <row r="18205" spans="3:3" s="8" customFormat="1" ht="21.95" customHeight="1" x14ac:dyDescent="0.15"/>
    <row r="18206" spans="3:3" s="8" customFormat="1" ht="21.95" customHeight="1" x14ac:dyDescent="0.15"/>
    <row r="18207" spans="3:3" s="8" customFormat="1" ht="21.95" customHeight="1" x14ac:dyDescent="0.15"/>
    <row r="18208" spans="3:3" s="8" customFormat="1" ht="21.95" customHeight="1" x14ac:dyDescent="0.15"/>
    <row r="18209" s="8" customFormat="1" ht="21.95" customHeight="1" x14ac:dyDescent="0.15"/>
    <row r="18210" s="8" customFormat="1" ht="21.95" customHeight="1" x14ac:dyDescent="0.15"/>
    <row r="18211" s="8" customFormat="1" ht="21.95" customHeight="1" x14ac:dyDescent="0.15"/>
    <row r="18212" s="8" customFormat="1" ht="21.95" customHeight="1" x14ac:dyDescent="0.15"/>
    <row r="18213" s="8" customFormat="1" ht="21.95" customHeight="1" x14ac:dyDescent="0.15"/>
    <row r="18214" s="8" customFormat="1" ht="21.95" customHeight="1" x14ac:dyDescent="0.15"/>
    <row r="18215" s="8" customFormat="1" ht="21.95" customHeight="1" x14ac:dyDescent="0.15"/>
    <row r="18216" s="8" customFormat="1" ht="32.1" customHeight="1" x14ac:dyDescent="0.15"/>
    <row r="18217" s="8" customFormat="1" ht="32.1" customHeight="1" x14ac:dyDescent="0.15"/>
    <row r="18218" s="8" customFormat="1" ht="32.1" customHeight="1" x14ac:dyDescent="0.15"/>
    <row r="18219" s="8" customFormat="1" ht="32.1" customHeight="1" x14ac:dyDescent="0.15"/>
    <row r="18220" s="8" customFormat="1" ht="32.1" customHeight="1" x14ac:dyDescent="0.15"/>
    <row r="18221" s="8" customFormat="1" ht="32.1" customHeight="1" x14ac:dyDescent="0.15"/>
    <row r="18222" s="9" customFormat="1" ht="32.1" customHeight="1" x14ac:dyDescent="0.15"/>
    <row r="18223" s="9" customFormat="1" ht="32.1" customHeight="1" x14ac:dyDescent="0.15"/>
    <row r="18224" s="9" customFormat="1" ht="32.1" customHeight="1" x14ac:dyDescent="0.15"/>
    <row r="18225" s="9" customFormat="1" ht="32.1" customHeight="1" x14ac:dyDescent="0.15"/>
    <row r="18226" s="9" customFormat="1" ht="21.95" customHeight="1" x14ac:dyDescent="0.15"/>
    <row r="18227" s="9" customFormat="1" ht="54" customHeight="1" x14ac:dyDescent="0.15"/>
    <row r="18228" s="9" customFormat="1" ht="21.95" customHeight="1" x14ac:dyDescent="0.15"/>
    <row r="18229" s="9" customFormat="1" ht="21.95" customHeight="1" x14ac:dyDescent="0.15"/>
    <row r="18230" s="9" customFormat="1" ht="21.95" customHeight="1" x14ac:dyDescent="0.15"/>
    <row r="18231" s="9" customFormat="1" ht="21.95" customHeight="1" x14ac:dyDescent="0.15"/>
    <row r="18232" s="9" customFormat="1" ht="21.95" customHeight="1" x14ac:dyDescent="0.15"/>
    <row r="18233" s="9" customFormat="1" ht="21.95" customHeight="1" x14ac:dyDescent="0.15"/>
    <row r="18234" s="9" customFormat="1" ht="21.95" customHeight="1" x14ac:dyDescent="0.15"/>
    <row r="18235" s="9" customFormat="1" ht="21.95" customHeight="1" x14ac:dyDescent="0.15"/>
    <row r="18236" s="9" customFormat="1" ht="21.95" customHeight="1" x14ac:dyDescent="0.15"/>
    <row r="18237" s="9" customFormat="1" ht="21.95" customHeight="1" x14ac:dyDescent="0.15"/>
    <row r="18238" s="9" customFormat="1" ht="21.95" customHeight="1" x14ac:dyDescent="0.15"/>
    <row r="18239" s="9" customFormat="1" ht="21.95" customHeight="1" x14ac:dyDescent="0.15"/>
    <row r="18240" s="9" customFormat="1" ht="21.95" customHeight="1" x14ac:dyDescent="0.15"/>
    <row r="18241" s="9" customFormat="1" ht="21.95" customHeight="1" x14ac:dyDescent="0.15"/>
    <row r="18242" s="9" customFormat="1" ht="21.95" customHeight="1" x14ac:dyDescent="0.15"/>
    <row r="18243" s="9" customFormat="1" ht="21.95" customHeight="1" x14ac:dyDescent="0.15"/>
    <row r="18244" s="9" customFormat="1" ht="21.95" customHeight="1" x14ac:dyDescent="0.15"/>
    <row r="18245" s="9" customFormat="1" ht="21.95" customHeight="1" x14ac:dyDescent="0.15"/>
    <row r="18246" s="9" customFormat="1" ht="21.95" customHeight="1" x14ac:dyDescent="0.15"/>
    <row r="18247" s="9" customFormat="1" ht="21.95" customHeight="1" x14ac:dyDescent="0.15"/>
    <row r="18248" s="9" customFormat="1" ht="21.95" customHeight="1" x14ac:dyDescent="0.15"/>
    <row r="18249" s="9" customFormat="1" ht="21.95" customHeight="1" x14ac:dyDescent="0.15"/>
    <row r="18250" s="9" customFormat="1" ht="21.95" customHeight="1" x14ac:dyDescent="0.15"/>
    <row r="18251" s="9" customFormat="1" ht="21.95" customHeight="1" x14ac:dyDescent="0.15"/>
    <row r="18252" s="9" customFormat="1" ht="21.95" customHeight="1" x14ac:dyDescent="0.15"/>
    <row r="18253" s="9" customFormat="1" ht="21.95" customHeight="1" x14ac:dyDescent="0.15"/>
    <row r="18254" s="9" customFormat="1" ht="21.95" customHeight="1" x14ac:dyDescent="0.15"/>
    <row r="18255" s="9" customFormat="1" ht="21.95" customHeight="1" x14ac:dyDescent="0.15"/>
    <row r="18256" s="9" customFormat="1" ht="21.95" customHeight="1" x14ac:dyDescent="0.15"/>
    <row r="18257" s="9" customFormat="1" ht="21.95" customHeight="1" x14ac:dyDescent="0.15"/>
    <row r="18258" s="9" customFormat="1" ht="21.95" customHeight="1" x14ac:dyDescent="0.15"/>
    <row r="18259" s="9" customFormat="1" ht="21.95" customHeight="1" x14ac:dyDescent="0.15"/>
    <row r="18260" s="9" customFormat="1" ht="21.95" customHeight="1" x14ac:dyDescent="0.15"/>
    <row r="18261" s="9" customFormat="1" ht="21.95" customHeight="1" x14ac:dyDescent="0.15"/>
    <row r="18262" s="9" customFormat="1" ht="21.95" customHeight="1" x14ac:dyDescent="0.15"/>
    <row r="18263" s="9" customFormat="1" ht="21.95" customHeight="1" x14ac:dyDescent="0.15"/>
    <row r="18264" s="9" customFormat="1" ht="21.95" customHeight="1" x14ac:dyDescent="0.15"/>
    <row r="18265" s="9" customFormat="1" ht="21.95" customHeight="1" x14ac:dyDescent="0.15"/>
    <row r="18266" s="9" customFormat="1" ht="21.95" customHeight="1" x14ac:dyDescent="0.15"/>
    <row r="18267" s="9" customFormat="1" ht="21.95" customHeight="1" x14ac:dyDescent="0.15"/>
    <row r="18268" s="9" customFormat="1" ht="21.95" customHeight="1" x14ac:dyDescent="0.15"/>
    <row r="18269" s="9" customFormat="1" ht="21.95" customHeight="1" x14ac:dyDescent="0.15"/>
    <row r="18270" s="9" customFormat="1" ht="21.95" customHeight="1" x14ac:dyDescent="0.15"/>
    <row r="18271" s="9" customFormat="1" ht="21.95" customHeight="1" x14ac:dyDescent="0.15"/>
    <row r="18272" s="9" customFormat="1" ht="21.95" customHeight="1" x14ac:dyDescent="0.15"/>
    <row r="18273" s="9" customFormat="1" ht="21.95" customHeight="1" x14ac:dyDescent="0.15"/>
    <row r="18274" s="9" customFormat="1" ht="21.95" customHeight="1" x14ac:dyDescent="0.15"/>
    <row r="18275" s="9" customFormat="1" ht="21.95" customHeight="1" x14ac:dyDescent="0.15"/>
    <row r="18276" s="9" customFormat="1" ht="21.95" customHeight="1" x14ac:dyDescent="0.15"/>
    <row r="18277" s="9" customFormat="1" ht="21.95" customHeight="1" x14ac:dyDescent="0.15"/>
    <row r="18278" s="9" customFormat="1" ht="35.1" customHeight="1" x14ac:dyDescent="0.15"/>
    <row r="18279" s="9" customFormat="1" ht="21.95" customHeight="1" x14ac:dyDescent="0.15"/>
    <row r="18280" s="9" customFormat="1" ht="21.95" customHeight="1" x14ac:dyDescent="0.15"/>
    <row r="18281" s="9" customFormat="1" ht="21.95" customHeight="1" x14ac:dyDescent="0.15"/>
    <row r="18282" s="9" customFormat="1" ht="21.95" customHeight="1" x14ac:dyDescent="0.15"/>
    <row r="18283" s="9" customFormat="1" ht="21.95" customHeight="1" x14ac:dyDescent="0.15"/>
    <row r="18284" s="9" customFormat="1" ht="21.95" customHeight="1" x14ac:dyDescent="0.15"/>
    <row r="18285" s="9" customFormat="1" ht="21.95" customHeight="1" x14ac:dyDescent="0.15"/>
    <row r="18286" s="9" customFormat="1" ht="21.95" customHeight="1" x14ac:dyDescent="0.15"/>
    <row r="18287" s="9" customFormat="1" ht="21.95" customHeight="1" x14ac:dyDescent="0.15"/>
    <row r="18288" s="9" customFormat="1" ht="21.95" customHeight="1" x14ac:dyDescent="0.15"/>
    <row r="18289" spans="3:3" s="9" customFormat="1" ht="21.95" customHeight="1" x14ac:dyDescent="0.15"/>
    <row r="18290" spans="3:3" s="9" customFormat="1" ht="21.95" customHeight="1" x14ac:dyDescent="0.15"/>
    <row r="18291" spans="3:3" s="9" customFormat="1" ht="21.95" customHeight="1" x14ac:dyDescent="0.15"/>
    <row r="18292" spans="3:3" s="9" customFormat="1" ht="21.95" customHeight="1" x14ac:dyDescent="0.15"/>
    <row r="18293" spans="3:3" s="9" customFormat="1" ht="21.95" customHeight="1" x14ac:dyDescent="0.15"/>
    <row r="18294" spans="3:3" s="9" customFormat="1" ht="21.95" customHeight="1" x14ac:dyDescent="0.15"/>
    <row r="18295" spans="3:3" s="9" customFormat="1" ht="21.95" customHeight="1" x14ac:dyDescent="0.15"/>
    <row r="18296" spans="3:3" s="9" customFormat="1" ht="21.95" customHeight="1" x14ac:dyDescent="0.15"/>
    <row r="18297" spans="3:3" s="9" customFormat="1" ht="21.95" customHeight="1" x14ac:dyDescent="0.15"/>
    <row r="18298" spans="3:3" s="9" customFormat="1" ht="21.95" customHeight="1" x14ac:dyDescent="0.15"/>
    <row r="18299" spans="3:3" s="9" customFormat="1" ht="21.95" customHeight="1" x14ac:dyDescent="0.15"/>
    <row r="18300" spans="3:3" s="9" customFormat="1" ht="21.95" customHeight="1" x14ac:dyDescent="0.15"/>
    <row r="18301" spans="3:3" s="9" customFormat="1" ht="21.95" customHeight="1" x14ac:dyDescent="0.15"/>
    <row r="18302" spans="3:3" s="8" customFormat="1" ht="21.95" customHeight="1" x14ac:dyDescent="0.15"/>
    <row r="18303" spans="3:3" s="8" customFormat="1" ht="21.95" customHeight="1" x14ac:dyDescent="0.15"/>
    <row r="18304" spans="3:3" s="8" customFormat="1" ht="21.95" customHeight="1" x14ac:dyDescent="0.15">
      <c r="C18304" s="101"/>
    </row>
    <row r="18305" spans="3:3" s="8" customFormat="1" ht="21.95" customHeight="1" x14ac:dyDescent="0.15">
      <c r="C18305" s="101"/>
    </row>
    <row r="18306" spans="3:3" s="8" customFormat="1" ht="21.95" customHeight="1" x14ac:dyDescent="0.15"/>
    <row r="18307" spans="3:3" s="8" customFormat="1" ht="21.95" customHeight="1" x14ac:dyDescent="0.15"/>
    <row r="18308" spans="3:3" s="8" customFormat="1" ht="21.95" customHeight="1" x14ac:dyDescent="0.15"/>
    <row r="18309" spans="3:3" s="8" customFormat="1" ht="21.95" customHeight="1" x14ac:dyDescent="0.15"/>
    <row r="18310" spans="3:3" s="8" customFormat="1" ht="21.95" customHeight="1" x14ac:dyDescent="0.15"/>
    <row r="18311" spans="3:3" s="8" customFormat="1" ht="21.95" customHeight="1" x14ac:dyDescent="0.15"/>
    <row r="18312" spans="3:3" s="8" customFormat="1" ht="21.95" customHeight="1" x14ac:dyDescent="0.15"/>
    <row r="18313" spans="3:3" s="9" customFormat="1" ht="21.95" customHeight="1" x14ac:dyDescent="0.15"/>
    <row r="18314" spans="3:3" s="9" customFormat="1" ht="21.95" customHeight="1" x14ac:dyDescent="0.15"/>
    <row r="18315" spans="3:3" s="9" customFormat="1" ht="21.95" customHeight="1" x14ac:dyDescent="0.15"/>
    <row r="18316" spans="3:3" s="9" customFormat="1" ht="21.95" customHeight="1" x14ac:dyDescent="0.15"/>
    <row r="18317" spans="3:3" s="8" customFormat="1" ht="21.95" customHeight="1" x14ac:dyDescent="0.15"/>
    <row r="18318" spans="3:3" s="8" customFormat="1" ht="21.95" customHeight="1" x14ac:dyDescent="0.15"/>
    <row r="18319" spans="3:3" s="8" customFormat="1" ht="21.95" customHeight="1" x14ac:dyDescent="0.15"/>
    <row r="18320" spans="3:3" s="8" customFormat="1" ht="21.95" customHeight="1" x14ac:dyDescent="0.15"/>
    <row r="18321" s="8" customFormat="1" ht="21.95" customHeight="1" x14ac:dyDescent="0.15"/>
    <row r="18322" s="8" customFormat="1" ht="21.95" customHeight="1" x14ac:dyDescent="0.15"/>
    <row r="18323" s="8" customFormat="1" ht="21.95" customHeight="1" x14ac:dyDescent="0.15"/>
    <row r="18324" s="8" customFormat="1" ht="21.95" customHeight="1" x14ac:dyDescent="0.15"/>
    <row r="18325" s="8" customFormat="1" ht="21.95" customHeight="1" x14ac:dyDescent="0.15"/>
    <row r="18326" s="8" customFormat="1" ht="21.95" customHeight="1" x14ac:dyDescent="0.15"/>
    <row r="18327" s="8" customFormat="1" ht="21.95" customHeight="1" x14ac:dyDescent="0.15"/>
    <row r="18328" s="8" customFormat="1" ht="32.1" customHeight="1" x14ac:dyDescent="0.15"/>
    <row r="18329" s="8" customFormat="1" ht="32.1" customHeight="1" x14ac:dyDescent="0.15"/>
    <row r="18330" s="8" customFormat="1" ht="32.1" customHeight="1" x14ac:dyDescent="0.15"/>
    <row r="18331" s="8" customFormat="1" ht="32.1" customHeight="1" x14ac:dyDescent="0.15"/>
    <row r="18332" s="8" customFormat="1" ht="32.1" customHeight="1" x14ac:dyDescent="0.15"/>
    <row r="18333" s="8" customFormat="1" ht="32.1" customHeight="1" x14ac:dyDescent="0.15"/>
    <row r="18334" s="9" customFormat="1" ht="32.1" customHeight="1" x14ac:dyDescent="0.15"/>
    <row r="18335" s="9" customFormat="1" ht="32.1" customHeight="1" x14ac:dyDescent="0.15"/>
    <row r="18336" s="9" customFormat="1" ht="32.1" customHeight="1" x14ac:dyDescent="0.15"/>
    <row r="18337" s="9" customFormat="1" ht="32.1" customHeight="1" x14ac:dyDescent="0.15"/>
    <row r="18338" s="9" customFormat="1" ht="21.95" customHeight="1" x14ac:dyDescent="0.15"/>
    <row r="18339" s="9" customFormat="1" ht="54" customHeight="1" x14ac:dyDescent="0.15"/>
    <row r="18340" s="9" customFormat="1" ht="21.95" customHeight="1" x14ac:dyDescent="0.15"/>
    <row r="18341" s="9" customFormat="1" ht="21.95" customHeight="1" x14ac:dyDescent="0.15"/>
    <row r="18342" s="9" customFormat="1" ht="21.95" customHeight="1" x14ac:dyDescent="0.15"/>
    <row r="18343" s="9" customFormat="1" ht="21.95" customHeight="1" x14ac:dyDescent="0.15"/>
    <row r="18344" s="9" customFormat="1" ht="21.95" customHeight="1" x14ac:dyDescent="0.15"/>
    <row r="18345" s="9" customFormat="1" ht="21.95" customHeight="1" x14ac:dyDescent="0.15"/>
    <row r="18346" s="9" customFormat="1" ht="21.95" customHeight="1" x14ac:dyDescent="0.15"/>
    <row r="18347" s="9" customFormat="1" ht="21.95" customHeight="1" x14ac:dyDescent="0.15"/>
    <row r="18348" s="9" customFormat="1" ht="21.95" customHeight="1" x14ac:dyDescent="0.15"/>
    <row r="18349" s="9" customFormat="1" ht="21.95" customHeight="1" x14ac:dyDescent="0.15"/>
    <row r="18350" s="9" customFormat="1" ht="21.95" customHeight="1" x14ac:dyDescent="0.15"/>
    <row r="18351" s="9" customFormat="1" ht="21.95" customHeight="1" x14ac:dyDescent="0.15"/>
    <row r="18352" s="9" customFormat="1" ht="21.95" customHeight="1" x14ac:dyDescent="0.15"/>
    <row r="18353" s="9" customFormat="1" ht="21.95" customHeight="1" x14ac:dyDescent="0.15"/>
    <row r="18354" s="9" customFormat="1" ht="21.95" customHeight="1" x14ac:dyDescent="0.15"/>
    <row r="18355" s="9" customFormat="1" ht="21.95" customHeight="1" x14ac:dyDescent="0.15"/>
    <row r="18356" s="9" customFormat="1" ht="21.95" customHeight="1" x14ac:dyDescent="0.15"/>
    <row r="18357" s="9" customFormat="1" ht="21.95" customHeight="1" x14ac:dyDescent="0.15"/>
    <row r="18358" s="9" customFormat="1" ht="21.95" customHeight="1" x14ac:dyDescent="0.15"/>
    <row r="18359" s="9" customFormat="1" ht="21.95" customHeight="1" x14ac:dyDescent="0.15"/>
    <row r="18360" s="9" customFormat="1" ht="21.95" customHeight="1" x14ac:dyDescent="0.15"/>
    <row r="18361" s="9" customFormat="1" ht="21.95" customHeight="1" x14ac:dyDescent="0.15"/>
    <row r="18362" s="9" customFormat="1" ht="21.95" customHeight="1" x14ac:dyDescent="0.15"/>
    <row r="18363" s="9" customFormat="1" ht="21.95" customHeight="1" x14ac:dyDescent="0.15"/>
    <row r="18364" s="9" customFormat="1" ht="21.95" customHeight="1" x14ac:dyDescent="0.15"/>
    <row r="18365" s="9" customFormat="1" ht="21.95" customHeight="1" x14ac:dyDescent="0.15"/>
    <row r="18366" s="9" customFormat="1" ht="21.95" customHeight="1" x14ac:dyDescent="0.15"/>
    <row r="18367" s="9" customFormat="1" ht="21.95" customHeight="1" x14ac:dyDescent="0.15"/>
    <row r="18368" s="9" customFormat="1" ht="21.95" customHeight="1" x14ac:dyDescent="0.15"/>
    <row r="18369" s="9" customFormat="1" ht="21.95" customHeight="1" x14ac:dyDescent="0.15"/>
    <row r="18370" s="9" customFormat="1" ht="21.95" customHeight="1" x14ac:dyDescent="0.15"/>
    <row r="18371" s="9" customFormat="1" ht="21.95" customHeight="1" x14ac:dyDescent="0.15"/>
    <row r="18372" s="9" customFormat="1" ht="21.95" customHeight="1" x14ac:dyDescent="0.15"/>
    <row r="18373" s="9" customFormat="1" ht="21.95" customHeight="1" x14ac:dyDescent="0.15"/>
    <row r="18374" s="9" customFormat="1" ht="21.95" customHeight="1" x14ac:dyDescent="0.15"/>
    <row r="18375" s="9" customFormat="1" ht="21.95" customHeight="1" x14ac:dyDescent="0.15"/>
    <row r="18376" s="9" customFormat="1" ht="21.95" customHeight="1" x14ac:dyDescent="0.15"/>
    <row r="18377" s="9" customFormat="1" ht="21.95" customHeight="1" x14ac:dyDescent="0.15"/>
    <row r="18378" s="9" customFormat="1" ht="21.95" customHeight="1" x14ac:dyDescent="0.15"/>
    <row r="18379" s="9" customFormat="1" ht="21.95" customHeight="1" x14ac:dyDescent="0.15"/>
    <row r="18380" s="9" customFormat="1" ht="21.95" customHeight="1" x14ac:dyDescent="0.15"/>
    <row r="18381" s="9" customFormat="1" ht="21.95" customHeight="1" x14ac:dyDescent="0.15"/>
    <row r="18382" s="9" customFormat="1" ht="21.95" customHeight="1" x14ac:dyDescent="0.15"/>
    <row r="18383" s="9" customFormat="1" ht="21.95" customHeight="1" x14ac:dyDescent="0.15"/>
    <row r="18384" s="9" customFormat="1" ht="21.95" customHeight="1" x14ac:dyDescent="0.15"/>
    <row r="18385" s="9" customFormat="1" ht="21.95" customHeight="1" x14ac:dyDescent="0.15"/>
    <row r="18386" s="9" customFormat="1" ht="21.95" customHeight="1" x14ac:dyDescent="0.15"/>
    <row r="18387" s="9" customFormat="1" ht="21.95" customHeight="1" x14ac:dyDescent="0.15"/>
    <row r="18388" s="9" customFormat="1" ht="21.95" customHeight="1" x14ac:dyDescent="0.15"/>
    <row r="18389" s="9" customFormat="1" ht="21.95" customHeight="1" x14ac:dyDescent="0.15"/>
    <row r="18390" s="9" customFormat="1" ht="35.1" customHeight="1" x14ac:dyDescent="0.15"/>
    <row r="18391" s="9" customFormat="1" ht="21.95" customHeight="1" x14ac:dyDescent="0.15"/>
    <row r="18392" s="9" customFormat="1" ht="21.95" customHeight="1" x14ac:dyDescent="0.15"/>
    <row r="18393" s="9" customFormat="1" ht="21.95" customHeight="1" x14ac:dyDescent="0.15"/>
    <row r="18394" s="9" customFormat="1" ht="21.95" customHeight="1" x14ac:dyDescent="0.15"/>
    <row r="18395" s="9" customFormat="1" ht="21.95" customHeight="1" x14ac:dyDescent="0.15"/>
    <row r="18396" s="9" customFormat="1" ht="21.95" customHeight="1" x14ac:dyDescent="0.15"/>
    <row r="18397" s="9" customFormat="1" ht="21.95" customHeight="1" x14ac:dyDescent="0.15"/>
    <row r="18398" s="9" customFormat="1" ht="21.95" customHeight="1" x14ac:dyDescent="0.15"/>
    <row r="18399" s="9" customFormat="1" ht="21.95" customHeight="1" x14ac:dyDescent="0.15"/>
    <row r="18400" s="9" customFormat="1" ht="21.95" customHeight="1" x14ac:dyDescent="0.15"/>
    <row r="18401" spans="3:3" s="9" customFormat="1" ht="21.95" customHeight="1" x14ac:dyDescent="0.15"/>
    <row r="18402" spans="3:3" s="9" customFormat="1" ht="21.95" customHeight="1" x14ac:dyDescent="0.15"/>
    <row r="18403" spans="3:3" s="9" customFormat="1" ht="21.95" customHeight="1" x14ac:dyDescent="0.15"/>
    <row r="18404" spans="3:3" s="9" customFormat="1" ht="21.95" customHeight="1" x14ac:dyDescent="0.15"/>
    <row r="18405" spans="3:3" s="9" customFormat="1" ht="21.95" customHeight="1" x14ac:dyDescent="0.15"/>
    <row r="18406" spans="3:3" s="9" customFormat="1" ht="21.95" customHeight="1" x14ac:dyDescent="0.15"/>
    <row r="18407" spans="3:3" s="9" customFormat="1" ht="21.95" customHeight="1" x14ac:dyDescent="0.15"/>
    <row r="18408" spans="3:3" s="9" customFormat="1" ht="21.95" customHeight="1" x14ac:dyDescent="0.15"/>
    <row r="18409" spans="3:3" s="9" customFormat="1" ht="21.95" customHeight="1" x14ac:dyDescent="0.15"/>
    <row r="18410" spans="3:3" s="9" customFormat="1" ht="21.95" customHeight="1" x14ac:dyDescent="0.15"/>
    <row r="18411" spans="3:3" s="9" customFormat="1" ht="21.95" customHeight="1" x14ac:dyDescent="0.15"/>
    <row r="18412" spans="3:3" s="9" customFormat="1" ht="21.95" customHeight="1" x14ac:dyDescent="0.15"/>
    <row r="18413" spans="3:3" s="9" customFormat="1" ht="21.95" customHeight="1" x14ac:dyDescent="0.15"/>
    <row r="18414" spans="3:3" s="8" customFormat="1" ht="21.95" customHeight="1" x14ac:dyDescent="0.15"/>
    <row r="18415" spans="3:3" s="8" customFormat="1" ht="21.95" customHeight="1" x14ac:dyDescent="0.15"/>
    <row r="18416" spans="3:3" s="8" customFormat="1" ht="21.95" customHeight="1" x14ac:dyDescent="0.15">
      <c r="C18416" s="101"/>
    </row>
    <row r="18417" spans="3:3" s="8" customFormat="1" ht="21.95" customHeight="1" x14ac:dyDescent="0.15">
      <c r="C18417" s="101"/>
    </row>
    <row r="18418" spans="3:3" s="8" customFormat="1" ht="21.95" customHeight="1" x14ac:dyDescent="0.15"/>
    <row r="18419" spans="3:3" s="8" customFormat="1" ht="21.95" customHeight="1" x14ac:dyDescent="0.15"/>
    <row r="18420" spans="3:3" s="8" customFormat="1" ht="21.95" customHeight="1" x14ac:dyDescent="0.15"/>
    <row r="18421" spans="3:3" s="8" customFormat="1" ht="21.95" customHeight="1" x14ac:dyDescent="0.15"/>
    <row r="18422" spans="3:3" s="8" customFormat="1" ht="21.95" customHeight="1" x14ac:dyDescent="0.15"/>
    <row r="18423" spans="3:3" s="8" customFormat="1" ht="21.95" customHeight="1" x14ac:dyDescent="0.15"/>
    <row r="18424" spans="3:3" s="8" customFormat="1" ht="21.95" customHeight="1" x14ac:dyDescent="0.15"/>
    <row r="18425" spans="3:3" s="9" customFormat="1" ht="21.95" customHeight="1" x14ac:dyDescent="0.15"/>
    <row r="18426" spans="3:3" s="9" customFormat="1" ht="21.95" customHeight="1" x14ac:dyDescent="0.15"/>
    <row r="18427" spans="3:3" s="9" customFormat="1" ht="21.95" customHeight="1" x14ac:dyDescent="0.15"/>
    <row r="18428" spans="3:3" s="9" customFormat="1" ht="21.95" customHeight="1" x14ac:dyDescent="0.15"/>
    <row r="18429" spans="3:3" s="8" customFormat="1" ht="21.95" customHeight="1" x14ac:dyDescent="0.15"/>
    <row r="18430" spans="3:3" s="8" customFormat="1" ht="21.95" customHeight="1" x14ac:dyDescent="0.15"/>
    <row r="18431" spans="3:3" s="8" customFormat="1" ht="21.95" customHeight="1" x14ac:dyDescent="0.15"/>
    <row r="18432" spans="3:3" s="8" customFormat="1" ht="21.95" customHeight="1" x14ac:dyDescent="0.15"/>
    <row r="18433" s="8" customFormat="1" ht="21.95" customHeight="1" x14ac:dyDescent="0.15"/>
    <row r="18434" s="8" customFormat="1" ht="21.95" customHeight="1" x14ac:dyDescent="0.15"/>
    <row r="18435" s="8" customFormat="1" ht="21.95" customHeight="1" x14ac:dyDescent="0.15"/>
    <row r="18436" s="8" customFormat="1" ht="21.95" customHeight="1" x14ac:dyDescent="0.15"/>
    <row r="18437" s="8" customFormat="1" ht="21.95" customHeight="1" x14ac:dyDescent="0.15"/>
    <row r="18438" s="8" customFormat="1" ht="21.95" customHeight="1" x14ac:dyDescent="0.15"/>
    <row r="18439" s="8" customFormat="1" ht="21.95" customHeight="1" x14ac:dyDescent="0.15"/>
    <row r="18440" s="8" customFormat="1" ht="32.1" customHeight="1" x14ac:dyDescent="0.15"/>
    <row r="18441" s="8" customFormat="1" ht="32.1" customHeight="1" x14ac:dyDescent="0.15"/>
    <row r="18442" s="8" customFormat="1" ht="32.1" customHeight="1" x14ac:dyDescent="0.15"/>
    <row r="18443" s="8" customFormat="1" ht="32.1" customHeight="1" x14ac:dyDescent="0.15"/>
    <row r="18444" s="8" customFormat="1" ht="32.1" customHeight="1" x14ac:dyDescent="0.15"/>
    <row r="18445" s="8" customFormat="1" ht="32.1" customHeight="1" x14ac:dyDescent="0.15"/>
    <row r="18446" s="9" customFormat="1" ht="32.1" customHeight="1" x14ac:dyDescent="0.15"/>
    <row r="18447" s="9" customFormat="1" ht="32.1" customHeight="1" x14ac:dyDescent="0.15"/>
    <row r="18448" s="9" customFormat="1" ht="32.1" customHeight="1" x14ac:dyDescent="0.15"/>
    <row r="18449" s="9" customFormat="1" ht="32.1" customHeight="1" x14ac:dyDescent="0.15"/>
    <row r="18450" s="9" customFormat="1" ht="21.95" customHeight="1" x14ac:dyDescent="0.15"/>
    <row r="18451" s="9" customFormat="1" ht="54" customHeight="1" x14ac:dyDescent="0.15"/>
    <row r="18452" s="9" customFormat="1" ht="21.95" customHeight="1" x14ac:dyDescent="0.15"/>
    <row r="18453" s="9" customFormat="1" ht="21.95" customHeight="1" x14ac:dyDescent="0.15"/>
    <row r="18454" s="9" customFormat="1" ht="21.95" customHeight="1" x14ac:dyDescent="0.15"/>
    <row r="18455" s="9" customFormat="1" ht="21.95" customHeight="1" x14ac:dyDescent="0.15"/>
    <row r="18456" s="9" customFormat="1" ht="21.95" customHeight="1" x14ac:dyDescent="0.15"/>
    <row r="18457" s="9" customFormat="1" ht="21.95" customHeight="1" x14ac:dyDescent="0.15"/>
    <row r="18458" s="9" customFormat="1" ht="21.95" customHeight="1" x14ac:dyDescent="0.15"/>
    <row r="18459" s="9" customFormat="1" ht="21.95" customHeight="1" x14ac:dyDescent="0.15"/>
    <row r="18460" s="9" customFormat="1" ht="21.95" customHeight="1" x14ac:dyDescent="0.15"/>
    <row r="18461" s="9" customFormat="1" ht="21.95" customHeight="1" x14ac:dyDescent="0.15"/>
    <row r="18462" s="9" customFormat="1" ht="21.95" customHeight="1" x14ac:dyDescent="0.15"/>
    <row r="18463" s="9" customFormat="1" ht="21.95" customHeight="1" x14ac:dyDescent="0.15"/>
    <row r="18464" s="9" customFormat="1" ht="21.95" customHeight="1" x14ac:dyDescent="0.15"/>
    <row r="18465" s="9" customFormat="1" ht="21.95" customHeight="1" x14ac:dyDescent="0.15"/>
    <row r="18466" s="9" customFormat="1" ht="21.95" customHeight="1" x14ac:dyDescent="0.15"/>
    <row r="18467" s="9" customFormat="1" ht="21.95" customHeight="1" x14ac:dyDescent="0.15"/>
    <row r="18468" s="9" customFormat="1" ht="21.95" customHeight="1" x14ac:dyDescent="0.15"/>
    <row r="18469" s="9" customFormat="1" ht="21.95" customHeight="1" x14ac:dyDescent="0.15"/>
    <row r="18470" s="9" customFormat="1" ht="21.95" customHeight="1" x14ac:dyDescent="0.15"/>
    <row r="18471" s="9" customFormat="1" ht="21.95" customHeight="1" x14ac:dyDescent="0.15"/>
    <row r="18472" s="9" customFormat="1" ht="21.95" customHeight="1" x14ac:dyDescent="0.15"/>
    <row r="18473" s="9" customFormat="1" ht="21.95" customHeight="1" x14ac:dyDescent="0.15"/>
    <row r="18474" s="9" customFormat="1" ht="21.95" customHeight="1" x14ac:dyDescent="0.15"/>
    <row r="18475" s="9" customFormat="1" ht="21.95" customHeight="1" x14ac:dyDescent="0.15"/>
    <row r="18476" s="9" customFormat="1" ht="21.95" customHeight="1" x14ac:dyDescent="0.15"/>
    <row r="18477" s="9" customFormat="1" ht="21.95" customHeight="1" x14ac:dyDescent="0.15"/>
    <row r="18478" s="9" customFormat="1" ht="21.95" customHeight="1" x14ac:dyDescent="0.15"/>
    <row r="18479" s="9" customFormat="1" ht="21.95" customHeight="1" x14ac:dyDescent="0.15"/>
    <row r="18480" s="9" customFormat="1" ht="21.95" customHeight="1" x14ac:dyDescent="0.15"/>
    <row r="18481" s="9" customFormat="1" ht="21.95" customHeight="1" x14ac:dyDescent="0.15"/>
    <row r="18482" s="9" customFormat="1" ht="21.95" customHeight="1" x14ac:dyDescent="0.15"/>
    <row r="18483" s="9" customFormat="1" ht="21.95" customHeight="1" x14ac:dyDescent="0.15"/>
    <row r="18484" s="9" customFormat="1" ht="21.95" customHeight="1" x14ac:dyDescent="0.15"/>
    <row r="18485" s="9" customFormat="1" ht="21.95" customHeight="1" x14ac:dyDescent="0.15"/>
    <row r="18486" s="9" customFormat="1" ht="21.95" customHeight="1" x14ac:dyDescent="0.15"/>
    <row r="18487" s="9" customFormat="1" ht="21.95" customHeight="1" x14ac:dyDescent="0.15"/>
    <row r="18488" s="9" customFormat="1" ht="21.95" customHeight="1" x14ac:dyDescent="0.15"/>
    <row r="18489" s="9" customFormat="1" ht="21.95" customHeight="1" x14ac:dyDescent="0.15"/>
    <row r="18490" s="9" customFormat="1" ht="21.95" customHeight="1" x14ac:dyDescent="0.15"/>
    <row r="18491" s="9" customFormat="1" ht="21.95" customHeight="1" x14ac:dyDescent="0.15"/>
    <row r="18492" s="9" customFormat="1" ht="21.95" customHeight="1" x14ac:dyDescent="0.15"/>
    <row r="18493" s="9" customFormat="1" ht="21.95" customHeight="1" x14ac:dyDescent="0.15"/>
    <row r="18494" s="9" customFormat="1" ht="21.95" customHeight="1" x14ac:dyDescent="0.15"/>
    <row r="18495" s="9" customFormat="1" ht="21.95" customHeight="1" x14ac:dyDescent="0.15"/>
    <row r="18496" s="9" customFormat="1" ht="21.95" customHeight="1" x14ac:dyDescent="0.15"/>
    <row r="18497" s="9" customFormat="1" ht="21.95" customHeight="1" x14ac:dyDescent="0.15"/>
    <row r="18498" s="9" customFormat="1" ht="21.95" customHeight="1" x14ac:dyDescent="0.15"/>
    <row r="18499" s="9" customFormat="1" ht="21.95" customHeight="1" x14ac:dyDescent="0.15"/>
    <row r="18500" s="9" customFormat="1" ht="21.95" customHeight="1" x14ac:dyDescent="0.15"/>
    <row r="18501" s="9" customFormat="1" ht="21.95" customHeight="1" x14ac:dyDescent="0.15"/>
    <row r="18502" s="9" customFormat="1" ht="35.1" customHeight="1" x14ac:dyDescent="0.15"/>
    <row r="18503" s="9" customFormat="1" ht="21.95" customHeight="1" x14ac:dyDescent="0.15"/>
    <row r="18504" s="9" customFormat="1" ht="21.95" customHeight="1" x14ac:dyDescent="0.15"/>
    <row r="18505" s="9" customFormat="1" ht="21.95" customHeight="1" x14ac:dyDescent="0.15"/>
    <row r="18506" s="9" customFormat="1" ht="21.95" customHeight="1" x14ac:dyDescent="0.15"/>
    <row r="18507" s="9" customFormat="1" ht="21.95" customHeight="1" x14ac:dyDescent="0.15"/>
    <row r="18508" s="9" customFormat="1" ht="21.95" customHeight="1" x14ac:dyDescent="0.15"/>
    <row r="18509" s="9" customFormat="1" ht="21.95" customHeight="1" x14ac:dyDescent="0.15"/>
    <row r="18510" s="9" customFormat="1" ht="21.95" customHeight="1" x14ac:dyDescent="0.15"/>
    <row r="18511" s="9" customFormat="1" ht="21.95" customHeight="1" x14ac:dyDescent="0.15"/>
    <row r="18512" s="9" customFormat="1" ht="21.95" customHeight="1" x14ac:dyDescent="0.15"/>
    <row r="18513" spans="3:3" s="9" customFormat="1" ht="21.95" customHeight="1" x14ac:dyDescent="0.15"/>
    <row r="18514" spans="3:3" s="9" customFormat="1" ht="21.95" customHeight="1" x14ac:dyDescent="0.15"/>
    <row r="18515" spans="3:3" s="9" customFormat="1" ht="21.95" customHeight="1" x14ac:dyDescent="0.15"/>
    <row r="18516" spans="3:3" s="9" customFormat="1" ht="21.95" customHeight="1" x14ac:dyDescent="0.15"/>
    <row r="18517" spans="3:3" s="9" customFormat="1" ht="21.95" customHeight="1" x14ac:dyDescent="0.15"/>
    <row r="18518" spans="3:3" s="9" customFormat="1" ht="21.95" customHeight="1" x14ac:dyDescent="0.15"/>
    <row r="18519" spans="3:3" s="9" customFormat="1" ht="21.95" customHeight="1" x14ac:dyDescent="0.15"/>
    <row r="18520" spans="3:3" s="9" customFormat="1" ht="21.95" customHeight="1" x14ac:dyDescent="0.15"/>
    <row r="18521" spans="3:3" s="9" customFormat="1" ht="21.95" customHeight="1" x14ac:dyDescent="0.15"/>
    <row r="18522" spans="3:3" s="9" customFormat="1" ht="21.95" customHeight="1" x14ac:dyDescent="0.15"/>
    <row r="18523" spans="3:3" s="9" customFormat="1" ht="21.95" customHeight="1" x14ac:dyDescent="0.15"/>
    <row r="18524" spans="3:3" s="9" customFormat="1" ht="21.95" customHeight="1" x14ac:dyDescent="0.15"/>
    <row r="18525" spans="3:3" s="9" customFormat="1" ht="21.95" customHeight="1" x14ac:dyDescent="0.15"/>
    <row r="18526" spans="3:3" s="8" customFormat="1" ht="21.95" customHeight="1" x14ac:dyDescent="0.15"/>
    <row r="18527" spans="3:3" s="8" customFormat="1" ht="21.95" customHeight="1" x14ac:dyDescent="0.15"/>
    <row r="18528" spans="3:3" s="8" customFormat="1" ht="21.95" customHeight="1" x14ac:dyDescent="0.15">
      <c r="C18528" s="101"/>
    </row>
    <row r="18529" spans="3:3" s="8" customFormat="1" ht="21.95" customHeight="1" x14ac:dyDescent="0.15">
      <c r="C18529" s="101"/>
    </row>
    <row r="18530" spans="3:3" s="8" customFormat="1" ht="21.95" customHeight="1" x14ac:dyDescent="0.15"/>
    <row r="18531" spans="3:3" s="8" customFormat="1" ht="21.95" customHeight="1" x14ac:dyDescent="0.15"/>
    <row r="18532" spans="3:3" s="8" customFormat="1" ht="21.95" customHeight="1" x14ac:dyDescent="0.15"/>
    <row r="18533" spans="3:3" s="8" customFormat="1" ht="21.95" customHeight="1" x14ac:dyDescent="0.15"/>
    <row r="18534" spans="3:3" s="8" customFormat="1" ht="21.95" customHeight="1" x14ac:dyDescent="0.15"/>
    <row r="18535" spans="3:3" s="8" customFormat="1" ht="21.95" customHeight="1" x14ac:dyDescent="0.15"/>
    <row r="18536" spans="3:3" s="8" customFormat="1" ht="21.95" customHeight="1" x14ac:dyDescent="0.15"/>
    <row r="18537" spans="3:3" s="9" customFormat="1" ht="21.95" customHeight="1" x14ac:dyDescent="0.15"/>
    <row r="18538" spans="3:3" s="9" customFormat="1" ht="21.95" customHeight="1" x14ac:dyDescent="0.15"/>
    <row r="18539" spans="3:3" s="9" customFormat="1" ht="21.95" customHeight="1" x14ac:dyDescent="0.15"/>
    <row r="18540" spans="3:3" s="9" customFormat="1" ht="21.95" customHeight="1" x14ac:dyDescent="0.15"/>
    <row r="18541" spans="3:3" s="8" customFormat="1" ht="21.95" customHeight="1" x14ac:dyDescent="0.15"/>
    <row r="18542" spans="3:3" s="8" customFormat="1" ht="21.95" customHeight="1" x14ac:dyDescent="0.15"/>
    <row r="18543" spans="3:3" s="8" customFormat="1" ht="21.95" customHeight="1" x14ac:dyDescent="0.15"/>
    <row r="18544" spans="3:3" s="8" customFormat="1" ht="21.95" customHeight="1" x14ac:dyDescent="0.15"/>
    <row r="18545" s="8" customFormat="1" ht="21.95" customHeight="1" x14ac:dyDescent="0.15"/>
    <row r="18546" s="8" customFormat="1" ht="21.95" customHeight="1" x14ac:dyDescent="0.15"/>
    <row r="18547" s="8" customFormat="1" ht="21.95" customHeight="1" x14ac:dyDescent="0.15"/>
    <row r="18548" s="8" customFormat="1" ht="21.95" customHeight="1" x14ac:dyDescent="0.15"/>
    <row r="18549" s="8" customFormat="1" ht="21.95" customHeight="1" x14ac:dyDescent="0.15"/>
    <row r="18550" s="8" customFormat="1" ht="21.95" customHeight="1" x14ac:dyDescent="0.15"/>
    <row r="18551" s="8" customFormat="1" ht="21.95" customHeight="1" x14ac:dyDescent="0.15"/>
    <row r="18552" s="8" customFormat="1" ht="32.1" customHeight="1" x14ac:dyDescent="0.15"/>
    <row r="18553" s="8" customFormat="1" ht="32.1" customHeight="1" x14ac:dyDescent="0.15"/>
    <row r="18554" s="8" customFormat="1" ht="32.1" customHeight="1" x14ac:dyDescent="0.15"/>
    <row r="18555" s="8" customFormat="1" ht="32.1" customHeight="1" x14ac:dyDescent="0.15"/>
    <row r="18556" s="8" customFormat="1" ht="32.1" customHeight="1" x14ac:dyDescent="0.15"/>
    <row r="18557" s="8" customFormat="1" ht="32.1" customHeight="1" x14ac:dyDescent="0.15"/>
    <row r="18558" s="9" customFormat="1" ht="32.1" customHeight="1" x14ac:dyDescent="0.15"/>
    <row r="18559" s="9" customFormat="1" ht="32.1" customHeight="1" x14ac:dyDescent="0.15"/>
    <row r="18560" s="9" customFormat="1" ht="32.1" customHeight="1" x14ac:dyDescent="0.15"/>
    <row r="18561" s="9" customFormat="1" ht="32.1" customHeight="1" x14ac:dyDescent="0.15"/>
    <row r="18562" s="9" customFormat="1" ht="21.95" customHeight="1" x14ac:dyDescent="0.15"/>
    <row r="18563" s="9" customFormat="1" ht="54" customHeight="1" x14ac:dyDescent="0.15"/>
    <row r="18564" s="9" customFormat="1" ht="21.95" customHeight="1" x14ac:dyDescent="0.15"/>
    <row r="18565" s="9" customFormat="1" ht="21.95" customHeight="1" x14ac:dyDescent="0.15"/>
    <row r="18566" s="9" customFormat="1" ht="21.95" customHeight="1" x14ac:dyDescent="0.15"/>
    <row r="18567" s="9" customFormat="1" ht="21.95" customHeight="1" x14ac:dyDescent="0.15"/>
    <row r="18568" s="9" customFormat="1" ht="21.95" customHeight="1" x14ac:dyDescent="0.15"/>
    <row r="18569" s="9" customFormat="1" ht="21.95" customHeight="1" x14ac:dyDescent="0.15"/>
    <row r="18570" s="9" customFormat="1" ht="21.95" customHeight="1" x14ac:dyDescent="0.15"/>
    <row r="18571" s="9" customFormat="1" ht="21.95" customHeight="1" x14ac:dyDescent="0.15"/>
    <row r="18572" s="9" customFormat="1" ht="21.95" customHeight="1" x14ac:dyDescent="0.15"/>
    <row r="18573" s="9" customFormat="1" ht="21.95" customHeight="1" x14ac:dyDescent="0.15"/>
    <row r="18574" s="9" customFormat="1" ht="21.95" customHeight="1" x14ac:dyDescent="0.15"/>
    <row r="18575" s="9" customFormat="1" ht="21.95" customHeight="1" x14ac:dyDescent="0.15"/>
    <row r="18576" s="9" customFormat="1" ht="21.95" customHeight="1" x14ac:dyDescent="0.15"/>
    <row r="18577" s="9" customFormat="1" ht="21.95" customHeight="1" x14ac:dyDescent="0.15"/>
    <row r="18578" s="9" customFormat="1" ht="21.95" customHeight="1" x14ac:dyDescent="0.15"/>
    <row r="18579" s="9" customFormat="1" ht="21.95" customHeight="1" x14ac:dyDescent="0.15"/>
    <row r="18580" s="9" customFormat="1" ht="21.95" customHeight="1" x14ac:dyDescent="0.15"/>
    <row r="18581" s="9" customFormat="1" ht="21.95" customHeight="1" x14ac:dyDescent="0.15"/>
    <row r="18582" s="9" customFormat="1" ht="21.95" customHeight="1" x14ac:dyDescent="0.15"/>
    <row r="18583" s="9" customFormat="1" ht="21.95" customHeight="1" x14ac:dyDescent="0.15"/>
    <row r="18584" s="9" customFormat="1" ht="21.95" customHeight="1" x14ac:dyDescent="0.15"/>
    <row r="18585" s="9" customFormat="1" ht="21.95" customHeight="1" x14ac:dyDescent="0.15"/>
    <row r="18586" s="9" customFormat="1" ht="21.95" customHeight="1" x14ac:dyDescent="0.15"/>
    <row r="18587" s="9" customFormat="1" ht="21.95" customHeight="1" x14ac:dyDescent="0.15"/>
    <row r="18588" s="9" customFormat="1" ht="21.95" customHeight="1" x14ac:dyDescent="0.15"/>
    <row r="18589" s="9" customFormat="1" ht="21.95" customHeight="1" x14ac:dyDescent="0.15"/>
    <row r="18590" s="9" customFormat="1" ht="21.95" customHeight="1" x14ac:dyDescent="0.15"/>
    <row r="18591" s="9" customFormat="1" ht="21.95" customHeight="1" x14ac:dyDescent="0.15"/>
    <row r="18592" s="9" customFormat="1" ht="21.95" customHeight="1" x14ac:dyDescent="0.15"/>
    <row r="18593" s="9" customFormat="1" ht="21.95" customHeight="1" x14ac:dyDescent="0.15"/>
    <row r="18594" s="9" customFormat="1" ht="21.95" customHeight="1" x14ac:dyDescent="0.15"/>
    <row r="18595" s="9" customFormat="1" ht="21.95" customHeight="1" x14ac:dyDescent="0.15"/>
    <row r="18596" s="9" customFormat="1" ht="21.95" customHeight="1" x14ac:dyDescent="0.15"/>
    <row r="18597" s="9" customFormat="1" ht="21.95" customHeight="1" x14ac:dyDescent="0.15"/>
    <row r="18598" s="9" customFormat="1" ht="21.95" customHeight="1" x14ac:dyDescent="0.15"/>
    <row r="18599" s="9" customFormat="1" ht="21.95" customHeight="1" x14ac:dyDescent="0.15"/>
    <row r="18600" s="9" customFormat="1" ht="21.95" customHeight="1" x14ac:dyDescent="0.15"/>
    <row r="18601" s="9" customFormat="1" ht="21.95" customHeight="1" x14ac:dyDescent="0.15"/>
    <row r="18602" s="9" customFormat="1" ht="21.95" customHeight="1" x14ac:dyDescent="0.15"/>
    <row r="18603" s="9" customFormat="1" ht="21.95" customHeight="1" x14ac:dyDescent="0.15"/>
    <row r="18604" s="9" customFormat="1" ht="21.95" customHeight="1" x14ac:dyDescent="0.15"/>
    <row r="18605" s="9" customFormat="1" ht="21.95" customHeight="1" x14ac:dyDescent="0.15"/>
    <row r="18606" s="9" customFormat="1" ht="21.95" customHeight="1" x14ac:dyDescent="0.15"/>
    <row r="18607" s="9" customFormat="1" ht="21.95" customHeight="1" x14ac:dyDescent="0.15"/>
    <row r="18608" s="9" customFormat="1" ht="21.95" customHeight="1" x14ac:dyDescent="0.15"/>
    <row r="18609" s="9" customFormat="1" ht="21.95" customHeight="1" x14ac:dyDescent="0.15"/>
    <row r="18610" s="9" customFormat="1" ht="21.95" customHeight="1" x14ac:dyDescent="0.15"/>
    <row r="18611" s="9" customFormat="1" ht="21.95" customHeight="1" x14ac:dyDescent="0.15"/>
    <row r="18612" s="9" customFormat="1" ht="21.95" customHeight="1" x14ac:dyDescent="0.15"/>
    <row r="18613" s="9" customFormat="1" ht="21.95" customHeight="1" x14ac:dyDescent="0.15"/>
    <row r="18614" s="9" customFormat="1" ht="35.1" customHeight="1" x14ac:dyDescent="0.15"/>
    <row r="18615" s="9" customFormat="1" ht="21.95" customHeight="1" x14ac:dyDescent="0.15"/>
    <row r="18616" s="9" customFormat="1" ht="21.95" customHeight="1" x14ac:dyDescent="0.15"/>
    <row r="18617" s="9" customFormat="1" ht="21.95" customHeight="1" x14ac:dyDescent="0.15"/>
    <row r="18618" s="9" customFormat="1" ht="21.95" customHeight="1" x14ac:dyDescent="0.15"/>
    <row r="18619" s="9" customFormat="1" ht="21.95" customHeight="1" x14ac:dyDescent="0.15"/>
    <row r="18620" s="9" customFormat="1" ht="21.95" customHeight="1" x14ac:dyDescent="0.15"/>
    <row r="18621" s="9" customFormat="1" ht="21.95" customHeight="1" x14ac:dyDescent="0.15"/>
    <row r="18622" s="9" customFormat="1" ht="21.95" customHeight="1" x14ac:dyDescent="0.15"/>
    <row r="18623" s="9" customFormat="1" ht="21.95" customHeight="1" x14ac:dyDescent="0.15"/>
    <row r="18624" s="9" customFormat="1" ht="21.95" customHeight="1" x14ac:dyDescent="0.15"/>
    <row r="18625" spans="3:3" s="9" customFormat="1" ht="21.95" customHeight="1" x14ac:dyDescent="0.15"/>
    <row r="18626" spans="3:3" s="9" customFormat="1" ht="21.95" customHeight="1" x14ac:dyDescent="0.15"/>
    <row r="18627" spans="3:3" s="9" customFormat="1" ht="21.95" customHeight="1" x14ac:dyDescent="0.15"/>
    <row r="18628" spans="3:3" s="9" customFormat="1" ht="21.95" customHeight="1" x14ac:dyDescent="0.15"/>
    <row r="18629" spans="3:3" s="9" customFormat="1" ht="21.95" customHeight="1" x14ac:dyDescent="0.15"/>
    <row r="18630" spans="3:3" s="9" customFormat="1" ht="21.95" customHeight="1" x14ac:dyDescent="0.15"/>
    <row r="18631" spans="3:3" s="9" customFormat="1" ht="21.95" customHeight="1" x14ac:dyDescent="0.15"/>
    <row r="18632" spans="3:3" s="9" customFormat="1" ht="21.95" customHeight="1" x14ac:dyDescent="0.15"/>
    <row r="18633" spans="3:3" s="9" customFormat="1" ht="21.95" customHeight="1" x14ac:dyDescent="0.15"/>
    <row r="18634" spans="3:3" s="9" customFormat="1" ht="21.95" customHeight="1" x14ac:dyDescent="0.15"/>
    <row r="18635" spans="3:3" s="9" customFormat="1" ht="21.95" customHeight="1" x14ac:dyDescent="0.15"/>
    <row r="18636" spans="3:3" s="9" customFormat="1" ht="21.95" customHeight="1" x14ac:dyDescent="0.15"/>
    <row r="18637" spans="3:3" s="9" customFormat="1" ht="21.95" customHeight="1" x14ac:dyDescent="0.15"/>
    <row r="18638" spans="3:3" s="8" customFormat="1" ht="21.95" customHeight="1" x14ac:dyDescent="0.15"/>
    <row r="18639" spans="3:3" s="8" customFormat="1" ht="21.95" customHeight="1" x14ac:dyDescent="0.15"/>
    <row r="18640" spans="3:3" s="8" customFormat="1" ht="21.95" customHeight="1" x14ac:dyDescent="0.15">
      <c r="C18640" s="101"/>
    </row>
    <row r="18641" spans="3:3" s="8" customFormat="1" ht="21.95" customHeight="1" x14ac:dyDescent="0.15">
      <c r="C18641" s="101"/>
    </row>
    <row r="18642" spans="3:3" s="8" customFormat="1" ht="21.95" customHeight="1" x14ac:dyDescent="0.15"/>
    <row r="18643" spans="3:3" s="8" customFormat="1" ht="21.95" customHeight="1" x14ac:dyDescent="0.15"/>
    <row r="18644" spans="3:3" s="8" customFormat="1" ht="21.95" customHeight="1" x14ac:dyDescent="0.15"/>
    <row r="18645" spans="3:3" s="8" customFormat="1" ht="21.95" customHeight="1" x14ac:dyDescent="0.15"/>
    <row r="18646" spans="3:3" s="8" customFormat="1" ht="21.95" customHeight="1" x14ac:dyDescent="0.15"/>
    <row r="18647" spans="3:3" s="8" customFormat="1" ht="21.95" customHeight="1" x14ac:dyDescent="0.15"/>
    <row r="18648" spans="3:3" s="8" customFormat="1" ht="21.95" customHeight="1" x14ac:dyDescent="0.15"/>
    <row r="18649" spans="3:3" s="9" customFormat="1" ht="21.95" customHeight="1" x14ac:dyDescent="0.15"/>
    <row r="18650" spans="3:3" s="9" customFormat="1" ht="21.95" customHeight="1" x14ac:dyDescent="0.15"/>
    <row r="18651" spans="3:3" s="9" customFormat="1" ht="21.95" customHeight="1" x14ac:dyDescent="0.15"/>
    <row r="18652" spans="3:3" s="9" customFormat="1" ht="21.95" customHeight="1" x14ac:dyDescent="0.15"/>
    <row r="18653" spans="3:3" s="8" customFormat="1" ht="21.95" customHeight="1" x14ac:dyDescent="0.15"/>
    <row r="18654" spans="3:3" s="8" customFormat="1" ht="21.95" customHeight="1" x14ac:dyDescent="0.15"/>
    <row r="18655" spans="3:3" s="8" customFormat="1" ht="21.95" customHeight="1" x14ac:dyDescent="0.15"/>
    <row r="18656" spans="3:3" s="8" customFormat="1" ht="21.95" customHeight="1" x14ac:dyDescent="0.15"/>
    <row r="18657" s="8" customFormat="1" ht="21.95" customHeight="1" x14ac:dyDescent="0.15"/>
    <row r="18658" s="8" customFormat="1" ht="21.95" customHeight="1" x14ac:dyDescent="0.15"/>
    <row r="18659" s="8" customFormat="1" ht="21.95" customHeight="1" x14ac:dyDescent="0.15"/>
    <row r="18660" s="8" customFormat="1" ht="21.95" customHeight="1" x14ac:dyDescent="0.15"/>
    <row r="18661" s="8" customFormat="1" ht="21.95" customHeight="1" x14ac:dyDescent="0.15"/>
    <row r="18662" s="8" customFormat="1" ht="21.95" customHeight="1" x14ac:dyDescent="0.15"/>
    <row r="18663" s="8" customFormat="1" ht="21.95" customHeight="1" x14ac:dyDescent="0.15"/>
    <row r="18664" s="8" customFormat="1" ht="32.1" customHeight="1" x14ac:dyDescent="0.15"/>
    <row r="18665" s="8" customFormat="1" ht="32.1" customHeight="1" x14ac:dyDescent="0.15"/>
    <row r="18666" s="8" customFormat="1" ht="32.1" customHeight="1" x14ac:dyDescent="0.15"/>
    <row r="18667" s="8" customFormat="1" ht="32.1" customHeight="1" x14ac:dyDescent="0.15"/>
    <row r="18668" s="8" customFormat="1" ht="32.1" customHeight="1" x14ac:dyDescent="0.15"/>
    <row r="18669" s="8" customFormat="1" ht="32.1" customHeight="1" x14ac:dyDescent="0.15"/>
    <row r="18670" s="9" customFormat="1" ht="32.1" customHeight="1" x14ac:dyDescent="0.15"/>
    <row r="18671" s="9" customFormat="1" ht="32.1" customHeight="1" x14ac:dyDescent="0.15"/>
    <row r="18672" s="9" customFormat="1" ht="32.1" customHeight="1" x14ac:dyDescent="0.15"/>
    <row r="18673" s="9" customFormat="1" ht="32.1" customHeight="1" x14ac:dyDescent="0.15"/>
    <row r="18674" s="9" customFormat="1" ht="21.95" customHeight="1" x14ac:dyDescent="0.15"/>
    <row r="18675" s="9" customFormat="1" ht="54" customHeight="1" x14ac:dyDescent="0.15"/>
    <row r="18676" s="9" customFormat="1" ht="21.95" customHeight="1" x14ac:dyDescent="0.15"/>
    <row r="18677" s="9" customFormat="1" ht="21.95" customHeight="1" x14ac:dyDescent="0.15"/>
    <row r="18678" s="9" customFormat="1" ht="21.95" customHeight="1" x14ac:dyDescent="0.15"/>
    <row r="18679" s="9" customFormat="1" ht="21.95" customHeight="1" x14ac:dyDescent="0.15"/>
    <row r="18680" s="9" customFormat="1" ht="21.95" customHeight="1" x14ac:dyDescent="0.15"/>
    <row r="18681" s="9" customFormat="1" ht="21.95" customHeight="1" x14ac:dyDescent="0.15"/>
    <row r="18682" s="9" customFormat="1" ht="21.95" customHeight="1" x14ac:dyDescent="0.15"/>
    <row r="18683" s="9" customFormat="1" ht="21.95" customHeight="1" x14ac:dyDescent="0.15"/>
    <row r="18684" s="9" customFormat="1" ht="21.95" customHeight="1" x14ac:dyDescent="0.15"/>
    <row r="18685" s="9" customFormat="1" ht="21.95" customHeight="1" x14ac:dyDescent="0.15"/>
    <row r="18686" s="9" customFormat="1" ht="21.95" customHeight="1" x14ac:dyDescent="0.15"/>
    <row r="18687" s="9" customFormat="1" ht="21.95" customHeight="1" x14ac:dyDescent="0.15"/>
    <row r="18688" s="9" customFormat="1" ht="21.95" customHeight="1" x14ac:dyDescent="0.15"/>
    <row r="18689" s="9" customFormat="1" ht="21.95" customHeight="1" x14ac:dyDescent="0.15"/>
    <row r="18690" s="9" customFormat="1" ht="21.95" customHeight="1" x14ac:dyDescent="0.15"/>
    <row r="18691" s="9" customFormat="1" ht="21.95" customHeight="1" x14ac:dyDescent="0.15"/>
    <row r="18692" s="9" customFormat="1" ht="21.95" customHeight="1" x14ac:dyDescent="0.15"/>
    <row r="18693" s="9" customFormat="1" ht="21.95" customHeight="1" x14ac:dyDescent="0.15"/>
    <row r="18694" s="9" customFormat="1" ht="21.95" customHeight="1" x14ac:dyDescent="0.15"/>
    <row r="18695" s="9" customFormat="1" ht="21.95" customHeight="1" x14ac:dyDescent="0.15"/>
    <row r="18696" s="9" customFormat="1" ht="21.95" customHeight="1" x14ac:dyDescent="0.15"/>
    <row r="18697" s="9" customFormat="1" ht="21.95" customHeight="1" x14ac:dyDescent="0.15"/>
    <row r="18698" s="9" customFormat="1" ht="21.95" customHeight="1" x14ac:dyDescent="0.15"/>
    <row r="18699" s="9" customFormat="1" ht="21.95" customHeight="1" x14ac:dyDescent="0.15"/>
    <row r="18700" s="9" customFormat="1" ht="21.95" customHeight="1" x14ac:dyDescent="0.15"/>
    <row r="18701" s="9" customFormat="1" ht="21.95" customHeight="1" x14ac:dyDescent="0.15"/>
    <row r="18702" s="9" customFormat="1" ht="21.95" customHeight="1" x14ac:dyDescent="0.15"/>
    <row r="18703" s="9" customFormat="1" ht="21.95" customHeight="1" x14ac:dyDescent="0.15"/>
    <row r="18704" s="9" customFormat="1" ht="21.95" customHeight="1" x14ac:dyDescent="0.15"/>
    <row r="18705" s="9" customFormat="1" ht="21.95" customHeight="1" x14ac:dyDescent="0.15"/>
    <row r="18706" s="9" customFormat="1" ht="21.95" customHeight="1" x14ac:dyDescent="0.15"/>
    <row r="18707" s="9" customFormat="1" ht="21.95" customHeight="1" x14ac:dyDescent="0.15"/>
    <row r="18708" s="9" customFormat="1" ht="21.95" customHeight="1" x14ac:dyDescent="0.15"/>
    <row r="18709" s="9" customFormat="1" ht="21.95" customHeight="1" x14ac:dyDescent="0.15"/>
    <row r="18710" s="9" customFormat="1" ht="21.95" customHeight="1" x14ac:dyDescent="0.15"/>
    <row r="18711" s="9" customFormat="1" ht="21.95" customHeight="1" x14ac:dyDescent="0.15"/>
    <row r="18712" s="9" customFormat="1" ht="21.95" customHeight="1" x14ac:dyDescent="0.15"/>
    <row r="18713" s="9" customFormat="1" ht="21.95" customHeight="1" x14ac:dyDescent="0.15"/>
    <row r="18714" s="9" customFormat="1" ht="21.95" customHeight="1" x14ac:dyDescent="0.15"/>
    <row r="18715" s="9" customFormat="1" ht="21.95" customHeight="1" x14ac:dyDescent="0.15"/>
    <row r="18716" s="9" customFormat="1" ht="21.95" customHeight="1" x14ac:dyDescent="0.15"/>
    <row r="18717" s="9" customFormat="1" ht="21.95" customHeight="1" x14ac:dyDescent="0.15"/>
    <row r="18718" s="9" customFormat="1" ht="21.95" customHeight="1" x14ac:dyDescent="0.15"/>
    <row r="18719" s="9" customFormat="1" ht="21.95" customHeight="1" x14ac:dyDescent="0.15"/>
    <row r="18720" s="9" customFormat="1" ht="21.95" customHeight="1" x14ac:dyDescent="0.15"/>
    <row r="18721" s="9" customFormat="1" ht="21.95" customHeight="1" x14ac:dyDescent="0.15"/>
    <row r="18722" s="9" customFormat="1" ht="21.95" customHeight="1" x14ac:dyDescent="0.15"/>
    <row r="18723" s="9" customFormat="1" ht="21.95" customHeight="1" x14ac:dyDescent="0.15"/>
    <row r="18724" s="9" customFormat="1" ht="21.95" customHeight="1" x14ac:dyDescent="0.15"/>
    <row r="18725" s="9" customFormat="1" ht="21.95" customHeight="1" x14ac:dyDescent="0.15"/>
    <row r="18726" s="9" customFormat="1" ht="35.1" customHeight="1" x14ac:dyDescent="0.15"/>
    <row r="18727" s="9" customFormat="1" ht="21.95" customHeight="1" x14ac:dyDescent="0.15"/>
    <row r="18728" s="9" customFormat="1" ht="21.95" customHeight="1" x14ac:dyDescent="0.15"/>
    <row r="18729" s="9" customFormat="1" ht="21.95" customHeight="1" x14ac:dyDescent="0.15"/>
    <row r="18730" s="9" customFormat="1" ht="21.95" customHeight="1" x14ac:dyDescent="0.15"/>
    <row r="18731" s="9" customFormat="1" ht="21.95" customHeight="1" x14ac:dyDescent="0.15"/>
    <row r="18732" s="9" customFormat="1" ht="21.95" customHeight="1" x14ac:dyDescent="0.15"/>
    <row r="18733" s="9" customFormat="1" ht="21.95" customHeight="1" x14ac:dyDescent="0.15"/>
    <row r="18734" s="9" customFormat="1" ht="21.95" customHeight="1" x14ac:dyDescent="0.15"/>
    <row r="18735" s="9" customFormat="1" ht="21.95" customHeight="1" x14ac:dyDescent="0.15"/>
    <row r="18736" s="9" customFormat="1" ht="21.95" customHeight="1" x14ac:dyDescent="0.15"/>
    <row r="18737" spans="3:3" s="9" customFormat="1" ht="21.95" customHeight="1" x14ac:dyDescent="0.15"/>
    <row r="18738" spans="3:3" s="9" customFormat="1" ht="21.95" customHeight="1" x14ac:dyDescent="0.15"/>
    <row r="18739" spans="3:3" s="9" customFormat="1" ht="21.95" customHeight="1" x14ac:dyDescent="0.15"/>
    <row r="18740" spans="3:3" s="9" customFormat="1" ht="21.95" customHeight="1" x14ac:dyDescent="0.15"/>
    <row r="18741" spans="3:3" s="9" customFormat="1" ht="21.95" customHeight="1" x14ac:dyDescent="0.15"/>
    <row r="18742" spans="3:3" s="9" customFormat="1" ht="21.95" customHeight="1" x14ac:dyDescent="0.15"/>
    <row r="18743" spans="3:3" s="9" customFormat="1" ht="21.95" customHeight="1" x14ac:dyDescent="0.15"/>
    <row r="18744" spans="3:3" s="9" customFormat="1" ht="21.95" customHeight="1" x14ac:dyDescent="0.15"/>
    <row r="18745" spans="3:3" s="9" customFormat="1" ht="21.95" customHeight="1" x14ac:dyDescent="0.15"/>
    <row r="18746" spans="3:3" s="9" customFormat="1" ht="21.95" customHeight="1" x14ac:dyDescent="0.15"/>
    <row r="18747" spans="3:3" s="9" customFormat="1" ht="21.95" customHeight="1" x14ac:dyDescent="0.15"/>
    <row r="18748" spans="3:3" s="9" customFormat="1" ht="21.95" customHeight="1" x14ac:dyDescent="0.15"/>
    <row r="18749" spans="3:3" s="9" customFormat="1" ht="21.95" customHeight="1" x14ac:dyDescent="0.15"/>
    <row r="18750" spans="3:3" s="8" customFormat="1" ht="21.95" customHeight="1" x14ac:dyDescent="0.15"/>
    <row r="18751" spans="3:3" s="8" customFormat="1" ht="21.95" customHeight="1" x14ac:dyDescent="0.15"/>
    <row r="18752" spans="3:3" s="8" customFormat="1" ht="21.95" customHeight="1" x14ac:dyDescent="0.15">
      <c r="C18752" s="101"/>
    </row>
    <row r="18753" spans="3:3" s="8" customFormat="1" ht="21.95" customHeight="1" x14ac:dyDescent="0.15">
      <c r="C18753" s="101"/>
    </row>
    <row r="18754" spans="3:3" s="8" customFormat="1" ht="21.95" customHeight="1" x14ac:dyDescent="0.15"/>
    <row r="18755" spans="3:3" s="8" customFormat="1" ht="21.95" customHeight="1" x14ac:dyDescent="0.15"/>
    <row r="18756" spans="3:3" s="8" customFormat="1" ht="21.95" customHeight="1" x14ac:dyDescent="0.15"/>
    <row r="18757" spans="3:3" s="8" customFormat="1" ht="21.95" customHeight="1" x14ac:dyDescent="0.15"/>
    <row r="18758" spans="3:3" s="8" customFormat="1" ht="21.95" customHeight="1" x14ac:dyDescent="0.15"/>
    <row r="18759" spans="3:3" s="8" customFormat="1" ht="21.95" customHeight="1" x14ac:dyDescent="0.15"/>
    <row r="18760" spans="3:3" s="8" customFormat="1" ht="21.95" customHeight="1" x14ac:dyDescent="0.15"/>
    <row r="18761" spans="3:3" s="9" customFormat="1" ht="21.95" customHeight="1" x14ac:dyDescent="0.15"/>
    <row r="18762" spans="3:3" s="9" customFormat="1" ht="21.95" customHeight="1" x14ac:dyDescent="0.15"/>
    <row r="18763" spans="3:3" s="9" customFormat="1" ht="21.95" customHeight="1" x14ac:dyDescent="0.15"/>
    <row r="18764" spans="3:3" s="9" customFormat="1" ht="21.95" customHeight="1" x14ac:dyDescent="0.15"/>
    <row r="18765" spans="3:3" s="8" customFormat="1" ht="21.95" customHeight="1" x14ac:dyDescent="0.15"/>
    <row r="18766" spans="3:3" s="8" customFormat="1" ht="21.95" customHeight="1" x14ac:dyDescent="0.15"/>
    <row r="18767" spans="3:3" s="8" customFormat="1" ht="21.95" customHeight="1" x14ac:dyDescent="0.15"/>
    <row r="18768" spans="3:3" s="8" customFormat="1" ht="21.95" customHeight="1" x14ac:dyDescent="0.15"/>
    <row r="18769" s="8" customFormat="1" ht="21.95" customHeight="1" x14ac:dyDescent="0.15"/>
    <row r="18770" s="8" customFormat="1" ht="21.95" customHeight="1" x14ac:dyDescent="0.15"/>
    <row r="18771" s="8" customFormat="1" ht="21.95" customHeight="1" x14ac:dyDescent="0.15"/>
    <row r="18772" s="8" customFormat="1" ht="21.95" customHeight="1" x14ac:dyDescent="0.15"/>
    <row r="18773" s="8" customFormat="1" ht="21.95" customHeight="1" x14ac:dyDescent="0.15"/>
    <row r="18774" s="8" customFormat="1" ht="21.95" customHeight="1" x14ac:dyDescent="0.15"/>
    <row r="18775" s="8" customFormat="1" ht="21.95" customHeight="1" x14ac:dyDescent="0.15"/>
    <row r="18776" s="8" customFormat="1" ht="32.1" customHeight="1" x14ac:dyDescent="0.15"/>
    <row r="18777" s="8" customFormat="1" ht="32.1" customHeight="1" x14ac:dyDescent="0.15"/>
    <row r="18778" s="8" customFormat="1" ht="32.1" customHeight="1" x14ac:dyDescent="0.15"/>
    <row r="18779" s="8" customFormat="1" ht="32.1" customHeight="1" x14ac:dyDescent="0.15"/>
    <row r="18780" s="8" customFormat="1" ht="32.1" customHeight="1" x14ac:dyDescent="0.15"/>
    <row r="18781" s="8" customFormat="1" ht="32.1" customHeight="1" x14ac:dyDescent="0.15"/>
    <row r="18782" s="9" customFormat="1" ht="32.1" customHeight="1" x14ac:dyDescent="0.15"/>
    <row r="18783" s="9" customFormat="1" ht="32.1" customHeight="1" x14ac:dyDescent="0.15"/>
    <row r="18784" s="9" customFormat="1" ht="32.1" customHeight="1" x14ac:dyDescent="0.15"/>
    <row r="18785" s="9" customFormat="1" ht="32.1" customHeight="1" x14ac:dyDescent="0.15"/>
    <row r="18786" s="9" customFormat="1" ht="21.95" customHeight="1" x14ac:dyDescent="0.15"/>
    <row r="18787" s="9" customFormat="1" ht="54" customHeight="1" x14ac:dyDescent="0.15"/>
    <row r="18788" s="9" customFormat="1" ht="21.95" customHeight="1" x14ac:dyDescent="0.15"/>
    <row r="18789" s="9" customFormat="1" ht="21.95" customHeight="1" x14ac:dyDescent="0.15"/>
    <row r="18790" s="9" customFormat="1" ht="21.95" customHeight="1" x14ac:dyDescent="0.15"/>
    <row r="18791" s="9" customFormat="1" ht="21.95" customHeight="1" x14ac:dyDescent="0.15"/>
    <row r="18792" s="9" customFormat="1" ht="21.95" customHeight="1" x14ac:dyDescent="0.15"/>
    <row r="18793" s="9" customFormat="1" ht="21.95" customHeight="1" x14ac:dyDescent="0.15"/>
    <row r="18794" s="9" customFormat="1" ht="21.95" customHeight="1" x14ac:dyDescent="0.15"/>
    <row r="18795" s="9" customFormat="1" ht="21.95" customHeight="1" x14ac:dyDescent="0.15"/>
    <row r="18796" s="9" customFormat="1" ht="21.95" customHeight="1" x14ac:dyDescent="0.15"/>
    <row r="18797" s="9" customFormat="1" ht="21.95" customHeight="1" x14ac:dyDescent="0.15"/>
    <row r="18798" s="9" customFormat="1" ht="21.95" customHeight="1" x14ac:dyDescent="0.15"/>
    <row r="18799" s="9" customFormat="1" ht="21.95" customHeight="1" x14ac:dyDescent="0.15"/>
    <row r="18800" s="9" customFormat="1" ht="21.95" customHeight="1" x14ac:dyDescent="0.15"/>
    <row r="18801" s="9" customFormat="1" ht="21.95" customHeight="1" x14ac:dyDescent="0.15"/>
    <row r="18802" s="9" customFormat="1" ht="21.95" customHeight="1" x14ac:dyDescent="0.15"/>
    <row r="18803" s="9" customFormat="1" ht="21.95" customHeight="1" x14ac:dyDescent="0.15"/>
    <row r="18804" s="9" customFormat="1" ht="21.95" customHeight="1" x14ac:dyDescent="0.15"/>
    <row r="18805" s="9" customFormat="1" ht="21.95" customHeight="1" x14ac:dyDescent="0.15"/>
    <row r="18806" s="9" customFormat="1" ht="21.95" customHeight="1" x14ac:dyDescent="0.15"/>
    <row r="18807" s="9" customFormat="1" ht="21.95" customHeight="1" x14ac:dyDescent="0.15"/>
    <row r="18808" s="9" customFormat="1" ht="21.95" customHeight="1" x14ac:dyDescent="0.15"/>
    <row r="18809" s="9" customFormat="1" ht="21.95" customHeight="1" x14ac:dyDescent="0.15"/>
    <row r="18810" s="9" customFormat="1" ht="21.95" customHeight="1" x14ac:dyDescent="0.15"/>
    <row r="18811" s="9" customFormat="1" ht="21.95" customHeight="1" x14ac:dyDescent="0.15"/>
    <row r="18812" s="9" customFormat="1" ht="21.95" customHeight="1" x14ac:dyDescent="0.15"/>
    <row r="18813" s="9" customFormat="1" ht="21.95" customHeight="1" x14ac:dyDescent="0.15"/>
    <row r="18814" s="9" customFormat="1" ht="21.95" customHeight="1" x14ac:dyDescent="0.15"/>
    <row r="18815" s="9" customFormat="1" ht="21.95" customHeight="1" x14ac:dyDescent="0.15"/>
    <row r="18816" s="9" customFormat="1" ht="21.95" customHeight="1" x14ac:dyDescent="0.15"/>
    <row r="18817" s="9" customFormat="1" ht="21.95" customHeight="1" x14ac:dyDescent="0.15"/>
    <row r="18818" s="9" customFormat="1" ht="21.95" customHeight="1" x14ac:dyDescent="0.15"/>
    <row r="18819" s="9" customFormat="1" ht="21.95" customHeight="1" x14ac:dyDescent="0.15"/>
    <row r="18820" s="9" customFormat="1" ht="21.95" customHeight="1" x14ac:dyDescent="0.15"/>
    <row r="18821" s="9" customFormat="1" ht="21.95" customHeight="1" x14ac:dyDescent="0.15"/>
    <row r="18822" s="9" customFormat="1" ht="21.95" customHeight="1" x14ac:dyDescent="0.15"/>
    <row r="18823" s="9" customFormat="1" ht="21.95" customHeight="1" x14ac:dyDescent="0.15"/>
    <row r="18824" s="9" customFormat="1" ht="21.95" customHeight="1" x14ac:dyDescent="0.15"/>
    <row r="18825" s="9" customFormat="1" ht="21.95" customHeight="1" x14ac:dyDescent="0.15"/>
    <row r="18826" s="9" customFormat="1" ht="21.95" customHeight="1" x14ac:dyDescent="0.15"/>
    <row r="18827" s="9" customFormat="1" ht="21.95" customHeight="1" x14ac:dyDescent="0.15"/>
    <row r="18828" s="9" customFormat="1" ht="21.95" customHeight="1" x14ac:dyDescent="0.15"/>
    <row r="18829" s="9" customFormat="1" ht="21.95" customHeight="1" x14ac:dyDescent="0.15"/>
    <row r="18830" s="9" customFormat="1" ht="21.95" customHeight="1" x14ac:dyDescent="0.15"/>
    <row r="18831" s="9" customFormat="1" ht="21.95" customHeight="1" x14ac:dyDescent="0.15"/>
    <row r="18832" s="9" customFormat="1" ht="21.95" customHeight="1" x14ac:dyDescent="0.15"/>
    <row r="18833" s="9" customFormat="1" ht="21.95" customHeight="1" x14ac:dyDescent="0.15"/>
    <row r="18834" s="9" customFormat="1" ht="21.95" customHeight="1" x14ac:dyDescent="0.15"/>
    <row r="18835" s="9" customFormat="1" ht="21.95" customHeight="1" x14ac:dyDescent="0.15"/>
    <row r="18836" s="9" customFormat="1" ht="21.95" customHeight="1" x14ac:dyDescent="0.15"/>
    <row r="18837" s="9" customFormat="1" ht="21.95" customHeight="1" x14ac:dyDescent="0.15"/>
    <row r="18838" s="9" customFormat="1" ht="35.1" customHeight="1" x14ac:dyDescent="0.15"/>
    <row r="18839" s="9" customFormat="1" ht="21.95" customHeight="1" x14ac:dyDescent="0.15"/>
    <row r="18840" s="9" customFormat="1" ht="21.95" customHeight="1" x14ac:dyDescent="0.15"/>
    <row r="18841" s="9" customFormat="1" ht="21.95" customHeight="1" x14ac:dyDescent="0.15"/>
    <row r="18842" s="9" customFormat="1" ht="21.95" customHeight="1" x14ac:dyDescent="0.15"/>
    <row r="18843" s="9" customFormat="1" ht="21.95" customHeight="1" x14ac:dyDescent="0.15"/>
    <row r="18844" s="9" customFormat="1" ht="21.95" customHeight="1" x14ac:dyDescent="0.15"/>
    <row r="18845" s="9" customFormat="1" ht="21.95" customHeight="1" x14ac:dyDescent="0.15"/>
    <row r="18846" s="9" customFormat="1" ht="21.95" customHeight="1" x14ac:dyDescent="0.15"/>
    <row r="18847" s="9" customFormat="1" ht="21.95" customHeight="1" x14ac:dyDescent="0.15"/>
    <row r="18848" s="9" customFormat="1" ht="21.95" customHeight="1" x14ac:dyDescent="0.15"/>
    <row r="18849" spans="3:3" s="9" customFormat="1" ht="21.95" customHeight="1" x14ac:dyDescent="0.15"/>
    <row r="18850" spans="3:3" s="9" customFormat="1" ht="21.95" customHeight="1" x14ac:dyDescent="0.15"/>
    <row r="18851" spans="3:3" s="9" customFormat="1" ht="21.95" customHeight="1" x14ac:dyDescent="0.15"/>
    <row r="18852" spans="3:3" s="9" customFormat="1" ht="21.95" customHeight="1" x14ac:dyDescent="0.15"/>
    <row r="18853" spans="3:3" s="9" customFormat="1" ht="21.95" customHeight="1" x14ac:dyDescent="0.15"/>
    <row r="18854" spans="3:3" s="9" customFormat="1" ht="21.95" customHeight="1" x14ac:dyDescent="0.15"/>
    <row r="18855" spans="3:3" s="9" customFormat="1" ht="21.95" customHeight="1" x14ac:dyDescent="0.15"/>
    <row r="18856" spans="3:3" s="9" customFormat="1" ht="21.95" customHeight="1" x14ac:dyDescent="0.15"/>
    <row r="18857" spans="3:3" s="9" customFormat="1" ht="21.95" customHeight="1" x14ac:dyDescent="0.15"/>
    <row r="18858" spans="3:3" s="9" customFormat="1" ht="21.95" customHeight="1" x14ac:dyDescent="0.15"/>
    <row r="18859" spans="3:3" s="9" customFormat="1" ht="21.95" customHeight="1" x14ac:dyDescent="0.15"/>
    <row r="18860" spans="3:3" s="9" customFormat="1" ht="21.95" customHeight="1" x14ac:dyDescent="0.15"/>
    <row r="18861" spans="3:3" s="9" customFormat="1" ht="21.95" customHeight="1" x14ac:dyDescent="0.15"/>
    <row r="18862" spans="3:3" s="8" customFormat="1" ht="21.95" customHeight="1" x14ac:dyDescent="0.15"/>
    <row r="18863" spans="3:3" s="8" customFormat="1" ht="21.95" customHeight="1" x14ac:dyDescent="0.15"/>
    <row r="18864" spans="3:3" s="8" customFormat="1" ht="21.95" customHeight="1" x14ac:dyDescent="0.15">
      <c r="C18864" s="101"/>
    </row>
    <row r="18865" spans="3:3" s="8" customFormat="1" ht="21.95" customHeight="1" x14ac:dyDescent="0.15">
      <c r="C18865" s="101"/>
    </row>
    <row r="18866" spans="3:3" s="8" customFormat="1" ht="21.95" customHeight="1" x14ac:dyDescent="0.15"/>
    <row r="18867" spans="3:3" s="8" customFormat="1" ht="21.95" customHeight="1" x14ac:dyDescent="0.15"/>
    <row r="18868" spans="3:3" s="8" customFormat="1" ht="21.95" customHeight="1" x14ac:dyDescent="0.15"/>
    <row r="18869" spans="3:3" s="8" customFormat="1" ht="21.95" customHeight="1" x14ac:dyDescent="0.15"/>
    <row r="18870" spans="3:3" s="8" customFormat="1" ht="21.95" customHeight="1" x14ac:dyDescent="0.15"/>
    <row r="18871" spans="3:3" s="8" customFormat="1" ht="21.95" customHeight="1" x14ac:dyDescent="0.15"/>
    <row r="18872" spans="3:3" s="8" customFormat="1" ht="21.95" customHeight="1" x14ac:dyDescent="0.15"/>
    <row r="18873" spans="3:3" s="9" customFormat="1" ht="21.95" customHeight="1" x14ac:dyDescent="0.15"/>
    <row r="18874" spans="3:3" s="9" customFormat="1" ht="21.95" customHeight="1" x14ac:dyDescent="0.15"/>
    <row r="18875" spans="3:3" s="9" customFormat="1" ht="21.95" customHeight="1" x14ac:dyDescent="0.15"/>
    <row r="18876" spans="3:3" s="9" customFormat="1" ht="21.95" customHeight="1" x14ac:dyDescent="0.15"/>
    <row r="18877" spans="3:3" s="8" customFormat="1" ht="21.95" customHeight="1" x14ac:dyDescent="0.15"/>
    <row r="18878" spans="3:3" s="8" customFormat="1" ht="21.95" customHeight="1" x14ac:dyDescent="0.15"/>
    <row r="18879" spans="3:3" s="8" customFormat="1" ht="21.95" customHeight="1" x14ac:dyDescent="0.15"/>
    <row r="18880" spans="3:3" s="8" customFormat="1" ht="21.95" customHeight="1" x14ac:dyDescent="0.15"/>
    <row r="18881" s="8" customFormat="1" ht="21.95" customHeight="1" x14ac:dyDescent="0.15"/>
    <row r="18882" s="8" customFormat="1" ht="21.95" customHeight="1" x14ac:dyDescent="0.15"/>
    <row r="18883" s="8" customFormat="1" ht="21.95" customHeight="1" x14ac:dyDescent="0.15"/>
    <row r="18884" s="8" customFormat="1" ht="21.95" customHeight="1" x14ac:dyDescent="0.15"/>
    <row r="18885" s="8" customFormat="1" ht="21.95" customHeight="1" x14ac:dyDescent="0.15"/>
    <row r="18886" s="8" customFormat="1" ht="21.95" customHeight="1" x14ac:dyDescent="0.15"/>
    <row r="18887" s="8" customFormat="1" ht="21.95" customHeight="1" x14ac:dyDescent="0.15"/>
    <row r="18888" s="8" customFormat="1" ht="32.1" customHeight="1" x14ac:dyDescent="0.15"/>
    <row r="18889" s="8" customFormat="1" ht="32.1" customHeight="1" x14ac:dyDescent="0.15"/>
    <row r="18890" s="8" customFormat="1" ht="32.1" customHeight="1" x14ac:dyDescent="0.15"/>
    <row r="18891" s="8" customFormat="1" ht="32.1" customHeight="1" x14ac:dyDescent="0.15"/>
    <row r="18892" s="8" customFormat="1" ht="32.1" customHeight="1" x14ac:dyDescent="0.15"/>
    <row r="18893" s="8" customFormat="1" ht="32.1" customHeight="1" x14ac:dyDescent="0.15"/>
    <row r="18894" s="9" customFormat="1" ht="32.1" customHeight="1" x14ac:dyDescent="0.15"/>
    <row r="18895" s="9" customFormat="1" ht="32.1" customHeight="1" x14ac:dyDescent="0.15"/>
    <row r="18896" s="9" customFormat="1" ht="32.1" customHeight="1" x14ac:dyDescent="0.15"/>
    <row r="18897" s="9" customFormat="1" ht="32.1" customHeight="1" x14ac:dyDescent="0.15"/>
    <row r="18898" s="9" customFormat="1" ht="21.95" customHeight="1" x14ac:dyDescent="0.15"/>
    <row r="18899" s="9" customFormat="1" ht="54" customHeight="1" x14ac:dyDescent="0.15"/>
    <row r="18900" s="9" customFormat="1" ht="21.95" customHeight="1" x14ac:dyDescent="0.15"/>
    <row r="18901" s="9" customFormat="1" ht="21.95" customHeight="1" x14ac:dyDescent="0.15"/>
    <row r="18902" s="9" customFormat="1" ht="21.95" customHeight="1" x14ac:dyDescent="0.15"/>
    <row r="18903" s="9" customFormat="1" ht="21.95" customHeight="1" x14ac:dyDescent="0.15"/>
    <row r="18904" s="9" customFormat="1" ht="21.95" customHeight="1" x14ac:dyDescent="0.15"/>
    <row r="18905" s="9" customFormat="1" ht="21.95" customHeight="1" x14ac:dyDescent="0.15"/>
    <row r="18906" s="9" customFormat="1" ht="21.95" customHeight="1" x14ac:dyDescent="0.15"/>
    <row r="18907" s="9" customFormat="1" ht="21.95" customHeight="1" x14ac:dyDescent="0.15"/>
    <row r="18908" s="9" customFormat="1" ht="21.95" customHeight="1" x14ac:dyDescent="0.15"/>
    <row r="18909" s="9" customFormat="1" ht="21.95" customHeight="1" x14ac:dyDescent="0.15"/>
    <row r="18910" s="9" customFormat="1" ht="21.95" customHeight="1" x14ac:dyDescent="0.15"/>
    <row r="18911" s="9" customFormat="1" ht="21.95" customHeight="1" x14ac:dyDescent="0.15"/>
    <row r="18912" s="9" customFormat="1" ht="21.95" customHeight="1" x14ac:dyDescent="0.15"/>
    <row r="18913" s="9" customFormat="1" ht="21.95" customHeight="1" x14ac:dyDescent="0.15"/>
    <row r="18914" s="9" customFormat="1" ht="21.95" customHeight="1" x14ac:dyDescent="0.15"/>
    <row r="18915" s="9" customFormat="1" ht="21.95" customHeight="1" x14ac:dyDescent="0.15"/>
    <row r="18916" s="9" customFormat="1" ht="21.95" customHeight="1" x14ac:dyDescent="0.15"/>
    <row r="18917" s="9" customFormat="1" ht="21.95" customHeight="1" x14ac:dyDescent="0.15"/>
    <row r="18918" s="9" customFormat="1" ht="21.95" customHeight="1" x14ac:dyDescent="0.15"/>
    <row r="18919" s="9" customFormat="1" ht="21.95" customHeight="1" x14ac:dyDescent="0.15"/>
    <row r="18920" s="9" customFormat="1" ht="21.95" customHeight="1" x14ac:dyDescent="0.15"/>
    <row r="18921" s="9" customFormat="1" ht="21.95" customHeight="1" x14ac:dyDescent="0.15"/>
    <row r="18922" s="9" customFormat="1" ht="21.95" customHeight="1" x14ac:dyDescent="0.15"/>
    <row r="18923" s="9" customFormat="1" ht="21.95" customHeight="1" x14ac:dyDescent="0.15"/>
    <row r="18924" s="9" customFormat="1" ht="21.95" customHeight="1" x14ac:dyDescent="0.15"/>
    <row r="18925" s="9" customFormat="1" ht="21.95" customHeight="1" x14ac:dyDescent="0.15"/>
    <row r="18926" s="9" customFormat="1" ht="21.95" customHeight="1" x14ac:dyDescent="0.15"/>
    <row r="18927" s="9" customFormat="1" ht="21.95" customHeight="1" x14ac:dyDescent="0.15"/>
    <row r="18928" s="9" customFormat="1" ht="21.95" customHeight="1" x14ac:dyDescent="0.15"/>
    <row r="18929" s="9" customFormat="1" ht="21.95" customHeight="1" x14ac:dyDescent="0.15"/>
    <row r="18930" s="9" customFormat="1" ht="21.95" customHeight="1" x14ac:dyDescent="0.15"/>
    <row r="18931" s="9" customFormat="1" ht="21.95" customHeight="1" x14ac:dyDescent="0.15"/>
    <row r="18932" s="9" customFormat="1" ht="21.95" customHeight="1" x14ac:dyDescent="0.15"/>
    <row r="18933" s="9" customFormat="1" ht="21.95" customHeight="1" x14ac:dyDescent="0.15"/>
    <row r="18934" s="9" customFormat="1" ht="21.95" customHeight="1" x14ac:dyDescent="0.15"/>
    <row r="18935" s="9" customFormat="1" ht="21.95" customHeight="1" x14ac:dyDescent="0.15"/>
    <row r="18936" s="9" customFormat="1" ht="21.95" customHeight="1" x14ac:dyDescent="0.15"/>
    <row r="18937" s="9" customFormat="1" ht="21.95" customHeight="1" x14ac:dyDescent="0.15"/>
    <row r="18938" s="9" customFormat="1" ht="21.95" customHeight="1" x14ac:dyDescent="0.15"/>
    <row r="18939" s="9" customFormat="1" ht="21.95" customHeight="1" x14ac:dyDescent="0.15"/>
    <row r="18940" s="9" customFormat="1" ht="21.95" customHeight="1" x14ac:dyDescent="0.15"/>
    <row r="18941" s="9" customFormat="1" ht="21.95" customHeight="1" x14ac:dyDescent="0.15"/>
    <row r="18942" s="9" customFormat="1" ht="21.95" customHeight="1" x14ac:dyDescent="0.15"/>
    <row r="18943" s="9" customFormat="1" ht="21.95" customHeight="1" x14ac:dyDescent="0.15"/>
    <row r="18944" s="9" customFormat="1" ht="21.95" customHeight="1" x14ac:dyDescent="0.15"/>
    <row r="18945" s="9" customFormat="1" ht="21.95" customHeight="1" x14ac:dyDescent="0.15"/>
    <row r="18946" s="9" customFormat="1" ht="21.95" customHeight="1" x14ac:dyDescent="0.15"/>
    <row r="18947" s="9" customFormat="1" ht="21.95" customHeight="1" x14ac:dyDescent="0.15"/>
    <row r="18948" s="9" customFormat="1" ht="21.95" customHeight="1" x14ac:dyDescent="0.15"/>
    <row r="18949" s="9" customFormat="1" ht="21.95" customHeight="1" x14ac:dyDescent="0.15"/>
    <row r="18950" s="9" customFormat="1" ht="35.1" customHeight="1" x14ac:dyDescent="0.15"/>
    <row r="18951" s="9" customFormat="1" ht="21.95" customHeight="1" x14ac:dyDescent="0.15"/>
    <row r="18952" s="9" customFormat="1" ht="21.95" customHeight="1" x14ac:dyDescent="0.15"/>
    <row r="18953" s="9" customFormat="1" ht="21.95" customHeight="1" x14ac:dyDescent="0.15"/>
    <row r="18954" s="9" customFormat="1" ht="21.95" customHeight="1" x14ac:dyDescent="0.15"/>
    <row r="18955" s="9" customFormat="1" ht="21.95" customHeight="1" x14ac:dyDescent="0.15"/>
    <row r="18956" s="9" customFormat="1" ht="21.95" customHeight="1" x14ac:dyDescent="0.15"/>
    <row r="18957" s="9" customFormat="1" ht="21.95" customHeight="1" x14ac:dyDescent="0.15"/>
    <row r="18958" s="9" customFormat="1" ht="21.95" customHeight="1" x14ac:dyDescent="0.15"/>
    <row r="18959" s="9" customFormat="1" ht="21.95" customHeight="1" x14ac:dyDescent="0.15"/>
    <row r="18960" s="9" customFormat="1" ht="21.95" customHeight="1" x14ac:dyDescent="0.15"/>
    <row r="18961" spans="3:3" s="9" customFormat="1" ht="21.95" customHeight="1" x14ac:dyDescent="0.15"/>
    <row r="18962" spans="3:3" s="9" customFormat="1" ht="21.95" customHeight="1" x14ac:dyDescent="0.15"/>
    <row r="18963" spans="3:3" s="9" customFormat="1" ht="21.95" customHeight="1" x14ac:dyDescent="0.15"/>
    <row r="18964" spans="3:3" s="9" customFormat="1" ht="21.95" customHeight="1" x14ac:dyDescent="0.15"/>
    <row r="18965" spans="3:3" s="9" customFormat="1" ht="21.95" customHeight="1" x14ac:dyDescent="0.15"/>
    <row r="18966" spans="3:3" s="9" customFormat="1" ht="21.95" customHeight="1" x14ac:dyDescent="0.15"/>
    <row r="18967" spans="3:3" s="9" customFormat="1" ht="21.95" customHeight="1" x14ac:dyDescent="0.15"/>
    <row r="18968" spans="3:3" s="9" customFormat="1" ht="21.95" customHeight="1" x14ac:dyDescent="0.15"/>
    <row r="18969" spans="3:3" s="9" customFormat="1" ht="21.95" customHeight="1" x14ac:dyDescent="0.15"/>
    <row r="18970" spans="3:3" s="9" customFormat="1" ht="21.95" customHeight="1" x14ac:dyDescent="0.15"/>
    <row r="18971" spans="3:3" s="9" customFormat="1" ht="21.95" customHeight="1" x14ac:dyDescent="0.15"/>
    <row r="18972" spans="3:3" s="9" customFormat="1" ht="21.95" customHeight="1" x14ac:dyDescent="0.15"/>
    <row r="18973" spans="3:3" s="9" customFormat="1" ht="21.95" customHeight="1" x14ac:dyDescent="0.15"/>
    <row r="18974" spans="3:3" s="8" customFormat="1" ht="21.95" customHeight="1" x14ac:dyDescent="0.15"/>
    <row r="18975" spans="3:3" s="8" customFormat="1" ht="21.95" customHeight="1" x14ac:dyDescent="0.15"/>
    <row r="18976" spans="3:3" s="8" customFormat="1" ht="21.95" customHeight="1" x14ac:dyDescent="0.15">
      <c r="C18976" s="101"/>
    </row>
    <row r="18977" spans="3:3" s="8" customFormat="1" ht="21.95" customHeight="1" x14ac:dyDescent="0.15">
      <c r="C18977" s="101"/>
    </row>
    <row r="18978" spans="3:3" s="8" customFormat="1" ht="21.95" customHeight="1" x14ac:dyDescent="0.15"/>
    <row r="18979" spans="3:3" s="8" customFormat="1" ht="21.95" customHeight="1" x14ac:dyDescent="0.15"/>
    <row r="18980" spans="3:3" s="8" customFormat="1" ht="21.95" customHeight="1" x14ac:dyDescent="0.15"/>
    <row r="18981" spans="3:3" s="8" customFormat="1" ht="21.95" customHeight="1" x14ac:dyDescent="0.15"/>
    <row r="18982" spans="3:3" s="8" customFormat="1" ht="21.95" customHeight="1" x14ac:dyDescent="0.15"/>
    <row r="18983" spans="3:3" s="8" customFormat="1" ht="21.95" customHeight="1" x14ac:dyDescent="0.15"/>
    <row r="18984" spans="3:3" s="8" customFormat="1" ht="21.95" customHeight="1" x14ac:dyDescent="0.15"/>
    <row r="18985" spans="3:3" s="9" customFormat="1" ht="21.95" customHeight="1" x14ac:dyDescent="0.15"/>
    <row r="18986" spans="3:3" s="9" customFormat="1" ht="21.95" customHeight="1" x14ac:dyDescent="0.15"/>
    <row r="18987" spans="3:3" s="9" customFormat="1" ht="21.95" customHeight="1" x14ac:dyDescent="0.15"/>
    <row r="18988" spans="3:3" s="9" customFormat="1" ht="21.95" customHeight="1" x14ac:dyDescent="0.15"/>
    <row r="18989" spans="3:3" s="8" customFormat="1" ht="21.95" customHeight="1" x14ac:dyDescent="0.15"/>
    <row r="18990" spans="3:3" s="8" customFormat="1" ht="21.95" customHeight="1" x14ac:dyDescent="0.15"/>
    <row r="18991" spans="3:3" s="8" customFormat="1" ht="21.95" customHeight="1" x14ac:dyDescent="0.15"/>
    <row r="18992" spans="3:3" s="8" customFormat="1" ht="21.95" customHeight="1" x14ac:dyDescent="0.15"/>
    <row r="18993" s="8" customFormat="1" ht="21.95" customHeight="1" x14ac:dyDescent="0.15"/>
    <row r="18994" s="8" customFormat="1" ht="21.95" customHeight="1" x14ac:dyDescent="0.15"/>
    <row r="18995" s="8" customFormat="1" ht="21.95" customHeight="1" x14ac:dyDescent="0.15"/>
    <row r="18996" s="8" customFormat="1" ht="21.95" customHeight="1" x14ac:dyDescent="0.15"/>
    <row r="18997" s="8" customFormat="1" ht="21.95" customHeight="1" x14ac:dyDescent="0.15"/>
    <row r="18998" s="8" customFormat="1" ht="21.95" customHeight="1" x14ac:dyDescent="0.15"/>
    <row r="18999" s="8" customFormat="1" ht="21.95" customHeight="1" x14ac:dyDescent="0.15"/>
    <row r="19000" s="8" customFormat="1" ht="32.1" customHeight="1" x14ac:dyDescent="0.15"/>
    <row r="19001" s="8" customFormat="1" ht="32.1" customHeight="1" x14ac:dyDescent="0.15"/>
    <row r="19002" s="8" customFormat="1" ht="32.1" customHeight="1" x14ac:dyDescent="0.15"/>
    <row r="19003" s="8" customFormat="1" ht="32.1" customHeight="1" x14ac:dyDescent="0.15"/>
    <row r="19004" s="8" customFormat="1" ht="32.1" customHeight="1" x14ac:dyDescent="0.15"/>
    <row r="19005" s="8" customFormat="1" ht="32.1" customHeight="1" x14ac:dyDescent="0.15"/>
    <row r="19006" s="9" customFormat="1" ht="32.1" customHeight="1" x14ac:dyDescent="0.15"/>
    <row r="19007" s="9" customFormat="1" ht="32.1" customHeight="1" x14ac:dyDescent="0.15"/>
    <row r="19008" s="9" customFormat="1" ht="32.1" customHeight="1" x14ac:dyDescent="0.15"/>
    <row r="19009" s="9" customFormat="1" ht="32.1" customHeight="1" x14ac:dyDescent="0.15"/>
    <row r="19010" s="9" customFormat="1" ht="21.95" customHeight="1" x14ac:dyDescent="0.15"/>
    <row r="19011" s="9" customFormat="1" ht="54" customHeight="1" x14ac:dyDescent="0.15"/>
    <row r="19012" s="9" customFormat="1" ht="21.95" customHeight="1" x14ac:dyDescent="0.15"/>
    <row r="19013" s="9" customFormat="1" ht="21.95" customHeight="1" x14ac:dyDescent="0.15"/>
    <row r="19014" s="9" customFormat="1" ht="21.95" customHeight="1" x14ac:dyDescent="0.15"/>
    <row r="19015" s="9" customFormat="1" ht="21.95" customHeight="1" x14ac:dyDescent="0.15"/>
    <row r="19016" s="9" customFormat="1" ht="21.95" customHeight="1" x14ac:dyDescent="0.15"/>
    <row r="19017" s="9" customFormat="1" ht="21.95" customHeight="1" x14ac:dyDescent="0.15"/>
    <row r="19018" s="9" customFormat="1" ht="21.95" customHeight="1" x14ac:dyDescent="0.15"/>
    <row r="19019" s="9" customFormat="1" ht="21.95" customHeight="1" x14ac:dyDescent="0.15"/>
    <row r="19020" s="9" customFormat="1" ht="21.95" customHeight="1" x14ac:dyDescent="0.15"/>
    <row r="19021" s="9" customFormat="1" ht="21.95" customHeight="1" x14ac:dyDescent="0.15"/>
    <row r="19022" s="9" customFormat="1" ht="21.95" customHeight="1" x14ac:dyDescent="0.15"/>
    <row r="19023" s="9" customFormat="1" ht="21.95" customHeight="1" x14ac:dyDescent="0.15"/>
    <row r="19024" s="9" customFormat="1" ht="21.95" customHeight="1" x14ac:dyDescent="0.15"/>
    <row r="19025" s="9" customFormat="1" ht="21.95" customHeight="1" x14ac:dyDescent="0.15"/>
    <row r="19026" s="9" customFormat="1" ht="21.95" customHeight="1" x14ac:dyDescent="0.15"/>
    <row r="19027" s="9" customFormat="1" ht="21.95" customHeight="1" x14ac:dyDescent="0.15"/>
    <row r="19028" s="9" customFormat="1" ht="21.95" customHeight="1" x14ac:dyDescent="0.15"/>
    <row r="19029" s="9" customFormat="1" ht="21.95" customHeight="1" x14ac:dyDescent="0.15"/>
    <row r="19030" s="9" customFormat="1" ht="21.95" customHeight="1" x14ac:dyDescent="0.15"/>
    <row r="19031" s="9" customFormat="1" ht="21.95" customHeight="1" x14ac:dyDescent="0.15"/>
    <row r="19032" s="9" customFormat="1" ht="21.95" customHeight="1" x14ac:dyDescent="0.15"/>
    <row r="19033" s="9" customFormat="1" ht="21.95" customHeight="1" x14ac:dyDescent="0.15"/>
    <row r="19034" s="9" customFormat="1" ht="21.95" customHeight="1" x14ac:dyDescent="0.15"/>
    <row r="19035" s="9" customFormat="1" ht="21.95" customHeight="1" x14ac:dyDescent="0.15"/>
    <row r="19036" s="9" customFormat="1" ht="21.95" customHeight="1" x14ac:dyDescent="0.15"/>
    <row r="19037" s="9" customFormat="1" ht="21.95" customHeight="1" x14ac:dyDescent="0.15"/>
    <row r="19038" s="9" customFormat="1" ht="21.95" customHeight="1" x14ac:dyDescent="0.15"/>
    <row r="19039" s="9" customFormat="1" ht="21.95" customHeight="1" x14ac:dyDescent="0.15"/>
    <row r="19040" s="9" customFormat="1" ht="21.95" customHeight="1" x14ac:dyDescent="0.15"/>
    <row r="19041" s="9" customFormat="1" ht="21.95" customHeight="1" x14ac:dyDescent="0.15"/>
    <row r="19042" s="9" customFormat="1" ht="21.95" customHeight="1" x14ac:dyDescent="0.15"/>
    <row r="19043" s="9" customFormat="1" ht="21.95" customHeight="1" x14ac:dyDescent="0.15"/>
    <row r="19044" s="9" customFormat="1" ht="21.95" customHeight="1" x14ac:dyDescent="0.15"/>
    <row r="19045" s="9" customFormat="1" ht="21.95" customHeight="1" x14ac:dyDescent="0.15"/>
    <row r="19046" s="9" customFormat="1" ht="21.95" customHeight="1" x14ac:dyDescent="0.15"/>
    <row r="19047" s="9" customFormat="1" ht="21.95" customHeight="1" x14ac:dyDescent="0.15"/>
    <row r="19048" s="9" customFormat="1" ht="21.95" customHeight="1" x14ac:dyDescent="0.15"/>
    <row r="19049" s="9" customFormat="1" ht="21.95" customHeight="1" x14ac:dyDescent="0.15"/>
    <row r="19050" s="9" customFormat="1" ht="21.95" customHeight="1" x14ac:dyDescent="0.15"/>
    <row r="19051" s="9" customFormat="1" ht="21.95" customHeight="1" x14ac:dyDescent="0.15"/>
    <row r="19052" s="9" customFormat="1" ht="21.95" customHeight="1" x14ac:dyDescent="0.15"/>
    <row r="19053" s="9" customFormat="1" ht="21.95" customHeight="1" x14ac:dyDescent="0.15"/>
    <row r="19054" s="9" customFormat="1" ht="21.95" customHeight="1" x14ac:dyDescent="0.15"/>
    <row r="19055" s="9" customFormat="1" ht="21.95" customHeight="1" x14ac:dyDescent="0.15"/>
    <row r="19056" s="9" customFormat="1" ht="21.95" customHeight="1" x14ac:dyDescent="0.15"/>
    <row r="19057" s="9" customFormat="1" ht="21.95" customHeight="1" x14ac:dyDescent="0.15"/>
    <row r="19058" s="9" customFormat="1" ht="21.95" customHeight="1" x14ac:dyDescent="0.15"/>
    <row r="19059" s="9" customFormat="1" ht="21.95" customHeight="1" x14ac:dyDescent="0.15"/>
    <row r="19060" s="9" customFormat="1" ht="21.95" customHeight="1" x14ac:dyDescent="0.15"/>
    <row r="19061" s="9" customFormat="1" ht="21.95" customHeight="1" x14ac:dyDescent="0.15"/>
    <row r="19062" s="9" customFormat="1" ht="35.1" customHeight="1" x14ac:dyDescent="0.15"/>
    <row r="19063" s="9" customFormat="1" ht="21.95" customHeight="1" x14ac:dyDescent="0.15"/>
    <row r="19064" s="9" customFormat="1" ht="21.95" customHeight="1" x14ac:dyDescent="0.15"/>
    <row r="19065" s="9" customFormat="1" ht="21.95" customHeight="1" x14ac:dyDescent="0.15"/>
    <row r="19066" s="9" customFormat="1" ht="21.95" customHeight="1" x14ac:dyDescent="0.15"/>
    <row r="19067" s="9" customFormat="1" ht="21.95" customHeight="1" x14ac:dyDescent="0.15"/>
    <row r="19068" s="9" customFormat="1" ht="21.95" customHeight="1" x14ac:dyDescent="0.15"/>
    <row r="19069" s="9" customFormat="1" ht="21.95" customHeight="1" x14ac:dyDescent="0.15"/>
    <row r="19070" s="9" customFormat="1" ht="21.95" customHeight="1" x14ac:dyDescent="0.15"/>
    <row r="19071" s="9" customFormat="1" ht="21.95" customHeight="1" x14ac:dyDescent="0.15"/>
    <row r="19072" s="9" customFormat="1" ht="21.95" customHeight="1" x14ac:dyDescent="0.15"/>
    <row r="19073" spans="3:3" s="9" customFormat="1" ht="21.95" customHeight="1" x14ac:dyDescent="0.15"/>
    <row r="19074" spans="3:3" s="9" customFormat="1" ht="21.95" customHeight="1" x14ac:dyDescent="0.15"/>
    <row r="19075" spans="3:3" s="9" customFormat="1" ht="21.95" customHeight="1" x14ac:dyDescent="0.15"/>
    <row r="19076" spans="3:3" s="9" customFormat="1" ht="21.95" customHeight="1" x14ac:dyDescent="0.15"/>
    <row r="19077" spans="3:3" s="9" customFormat="1" ht="21.95" customHeight="1" x14ac:dyDescent="0.15"/>
    <row r="19078" spans="3:3" s="9" customFormat="1" ht="21.95" customHeight="1" x14ac:dyDescent="0.15"/>
    <row r="19079" spans="3:3" s="9" customFormat="1" ht="21.95" customHeight="1" x14ac:dyDescent="0.15"/>
    <row r="19080" spans="3:3" s="9" customFormat="1" ht="21.95" customHeight="1" x14ac:dyDescent="0.15"/>
    <row r="19081" spans="3:3" s="9" customFormat="1" ht="21.95" customHeight="1" x14ac:dyDescent="0.15"/>
    <row r="19082" spans="3:3" s="9" customFormat="1" ht="21.95" customHeight="1" x14ac:dyDescent="0.15"/>
    <row r="19083" spans="3:3" s="9" customFormat="1" ht="21.95" customHeight="1" x14ac:dyDescent="0.15"/>
    <row r="19084" spans="3:3" s="9" customFormat="1" ht="21.95" customHeight="1" x14ac:dyDescent="0.15"/>
    <row r="19085" spans="3:3" s="9" customFormat="1" ht="21.95" customHeight="1" x14ac:dyDescent="0.15"/>
    <row r="19086" spans="3:3" s="8" customFormat="1" ht="21.95" customHeight="1" x14ac:dyDescent="0.15"/>
    <row r="19087" spans="3:3" s="8" customFormat="1" ht="21.95" customHeight="1" x14ac:dyDescent="0.15"/>
    <row r="19088" spans="3:3" s="8" customFormat="1" ht="21.95" customHeight="1" x14ac:dyDescent="0.15">
      <c r="C19088" s="101"/>
    </row>
    <row r="19089" spans="3:3" s="8" customFormat="1" ht="21.95" customHeight="1" x14ac:dyDescent="0.15">
      <c r="C19089" s="101"/>
    </row>
    <row r="19090" spans="3:3" s="8" customFormat="1" ht="21.95" customHeight="1" x14ac:dyDescent="0.15"/>
    <row r="19091" spans="3:3" s="8" customFormat="1" ht="21.95" customHeight="1" x14ac:dyDescent="0.15"/>
    <row r="19092" spans="3:3" s="8" customFormat="1" ht="21.95" customHeight="1" x14ac:dyDescent="0.15"/>
    <row r="19093" spans="3:3" s="8" customFormat="1" ht="21.95" customHeight="1" x14ac:dyDescent="0.15"/>
    <row r="19094" spans="3:3" s="8" customFormat="1" ht="21.95" customHeight="1" x14ac:dyDescent="0.15"/>
    <row r="19095" spans="3:3" s="8" customFormat="1" ht="21.95" customHeight="1" x14ac:dyDescent="0.15"/>
    <row r="19096" spans="3:3" s="8" customFormat="1" ht="21.95" customHeight="1" x14ac:dyDescent="0.15"/>
    <row r="19097" spans="3:3" s="9" customFormat="1" ht="21.95" customHeight="1" x14ac:dyDescent="0.15"/>
    <row r="19098" spans="3:3" s="9" customFormat="1" ht="21.95" customHeight="1" x14ac:dyDescent="0.15"/>
    <row r="19099" spans="3:3" s="9" customFormat="1" ht="21.95" customHeight="1" x14ac:dyDescent="0.15"/>
    <row r="19100" spans="3:3" s="9" customFormat="1" ht="21.95" customHeight="1" x14ac:dyDescent="0.15"/>
    <row r="19101" spans="3:3" s="8" customFormat="1" ht="21.95" customHeight="1" x14ac:dyDescent="0.15"/>
    <row r="19102" spans="3:3" s="8" customFormat="1" ht="21.95" customHeight="1" x14ac:dyDescent="0.15"/>
    <row r="19103" spans="3:3" s="8" customFormat="1" ht="21.95" customHeight="1" x14ac:dyDescent="0.15"/>
    <row r="19104" spans="3:3" s="8" customFormat="1" ht="21.95" customHeight="1" x14ac:dyDescent="0.15"/>
    <row r="19105" s="8" customFormat="1" ht="21.95" customHeight="1" x14ac:dyDescent="0.15"/>
    <row r="19106" s="8" customFormat="1" ht="21.95" customHeight="1" x14ac:dyDescent="0.15"/>
    <row r="19107" s="8" customFormat="1" ht="21.95" customHeight="1" x14ac:dyDescent="0.15"/>
    <row r="19108" s="8" customFormat="1" ht="21.95" customHeight="1" x14ac:dyDescent="0.15"/>
    <row r="19109" s="8" customFormat="1" ht="21.95" customHeight="1" x14ac:dyDescent="0.15"/>
    <row r="19110" s="8" customFormat="1" ht="21.95" customHeight="1" x14ac:dyDescent="0.15"/>
    <row r="19111" s="8" customFormat="1" ht="21.95" customHeight="1" x14ac:dyDescent="0.15"/>
    <row r="19112" s="8" customFormat="1" ht="32.1" customHeight="1" x14ac:dyDescent="0.15"/>
    <row r="19113" s="8" customFormat="1" ht="32.1" customHeight="1" x14ac:dyDescent="0.15"/>
    <row r="19114" s="8" customFormat="1" ht="32.1" customHeight="1" x14ac:dyDescent="0.15"/>
    <row r="19115" s="8" customFormat="1" ht="32.1" customHeight="1" x14ac:dyDescent="0.15"/>
    <row r="19116" s="8" customFormat="1" ht="32.1" customHeight="1" x14ac:dyDescent="0.15"/>
    <row r="19117" s="8" customFormat="1" ht="32.1" customHeight="1" x14ac:dyDescent="0.15"/>
    <row r="19118" s="9" customFormat="1" ht="32.1" customHeight="1" x14ac:dyDescent="0.15"/>
    <row r="19119" s="9" customFormat="1" ht="32.1" customHeight="1" x14ac:dyDescent="0.15"/>
    <row r="19120" s="9" customFormat="1" ht="32.1" customHeight="1" x14ac:dyDescent="0.15"/>
    <row r="19121" s="9" customFormat="1" ht="32.1" customHeight="1" x14ac:dyDescent="0.15"/>
    <row r="19122" s="9" customFormat="1" ht="21.95" customHeight="1" x14ac:dyDescent="0.15"/>
    <row r="19123" s="9" customFormat="1" ht="54" customHeight="1" x14ac:dyDescent="0.15"/>
    <row r="19124" s="9" customFormat="1" ht="21.95" customHeight="1" x14ac:dyDescent="0.15"/>
    <row r="19125" s="9" customFormat="1" ht="21.95" customHeight="1" x14ac:dyDescent="0.15"/>
    <row r="19126" s="9" customFormat="1" ht="21.95" customHeight="1" x14ac:dyDescent="0.15"/>
    <row r="19127" s="9" customFormat="1" ht="21.95" customHeight="1" x14ac:dyDescent="0.15"/>
    <row r="19128" s="9" customFormat="1" ht="21.95" customHeight="1" x14ac:dyDescent="0.15"/>
    <row r="19129" s="9" customFormat="1" ht="21.95" customHeight="1" x14ac:dyDescent="0.15"/>
    <row r="19130" s="9" customFormat="1" ht="21.95" customHeight="1" x14ac:dyDescent="0.15"/>
    <row r="19131" s="9" customFormat="1" ht="21.95" customHeight="1" x14ac:dyDescent="0.15"/>
    <row r="19132" s="9" customFormat="1" ht="21.95" customHeight="1" x14ac:dyDescent="0.15"/>
    <row r="19133" s="9" customFormat="1" ht="21.95" customHeight="1" x14ac:dyDescent="0.15"/>
    <row r="19134" s="9" customFormat="1" ht="21.95" customHeight="1" x14ac:dyDescent="0.15"/>
    <row r="19135" s="9" customFormat="1" ht="21.95" customHeight="1" x14ac:dyDescent="0.15"/>
    <row r="19136" s="9" customFormat="1" ht="21.95" customHeight="1" x14ac:dyDescent="0.15"/>
    <row r="19137" s="9" customFormat="1" ht="21.95" customHeight="1" x14ac:dyDescent="0.15"/>
    <row r="19138" s="9" customFormat="1" ht="21.95" customHeight="1" x14ac:dyDescent="0.15"/>
    <row r="19139" s="9" customFormat="1" ht="21.95" customHeight="1" x14ac:dyDescent="0.15"/>
    <row r="19140" s="9" customFormat="1" ht="21.95" customHeight="1" x14ac:dyDescent="0.15"/>
    <row r="19141" s="9" customFormat="1" ht="21.95" customHeight="1" x14ac:dyDescent="0.15"/>
    <row r="19142" s="9" customFormat="1" ht="21.95" customHeight="1" x14ac:dyDescent="0.15"/>
    <row r="19143" s="9" customFormat="1" ht="21.95" customHeight="1" x14ac:dyDescent="0.15"/>
    <row r="19144" s="9" customFormat="1" ht="21.95" customHeight="1" x14ac:dyDescent="0.15"/>
    <row r="19145" s="9" customFormat="1" ht="21.95" customHeight="1" x14ac:dyDescent="0.15"/>
    <row r="19146" s="9" customFormat="1" ht="21.95" customHeight="1" x14ac:dyDescent="0.15"/>
    <row r="19147" s="9" customFormat="1" ht="21.95" customHeight="1" x14ac:dyDescent="0.15"/>
    <row r="19148" s="9" customFormat="1" ht="21.95" customHeight="1" x14ac:dyDescent="0.15"/>
    <row r="19149" s="9" customFormat="1" ht="21.95" customHeight="1" x14ac:dyDescent="0.15"/>
    <row r="19150" s="9" customFormat="1" ht="21.95" customHeight="1" x14ac:dyDescent="0.15"/>
    <row r="19151" s="9" customFormat="1" ht="21.95" customHeight="1" x14ac:dyDescent="0.15"/>
    <row r="19152" s="9" customFormat="1" ht="21.95" customHeight="1" x14ac:dyDescent="0.15"/>
    <row r="19153" s="9" customFormat="1" ht="21.95" customHeight="1" x14ac:dyDescent="0.15"/>
    <row r="19154" s="9" customFormat="1" ht="21.95" customHeight="1" x14ac:dyDescent="0.15"/>
    <row r="19155" s="9" customFormat="1" ht="21.95" customHeight="1" x14ac:dyDescent="0.15"/>
    <row r="19156" s="9" customFormat="1" ht="21.95" customHeight="1" x14ac:dyDescent="0.15"/>
    <row r="19157" s="9" customFormat="1" ht="21.95" customHeight="1" x14ac:dyDescent="0.15"/>
    <row r="19158" s="9" customFormat="1" ht="21.95" customHeight="1" x14ac:dyDescent="0.15"/>
    <row r="19159" s="9" customFormat="1" ht="21.95" customHeight="1" x14ac:dyDescent="0.15"/>
    <row r="19160" s="9" customFormat="1" ht="21.95" customHeight="1" x14ac:dyDescent="0.15"/>
    <row r="19161" s="9" customFormat="1" ht="21.95" customHeight="1" x14ac:dyDescent="0.15"/>
    <row r="19162" s="9" customFormat="1" ht="21.95" customHeight="1" x14ac:dyDescent="0.15"/>
    <row r="19163" s="9" customFormat="1" ht="21.95" customHeight="1" x14ac:dyDescent="0.15"/>
    <row r="19164" s="9" customFormat="1" ht="21.95" customHeight="1" x14ac:dyDescent="0.15"/>
    <row r="19165" s="9" customFormat="1" ht="21.95" customHeight="1" x14ac:dyDescent="0.15"/>
    <row r="19166" s="9" customFormat="1" ht="21.95" customHeight="1" x14ac:dyDescent="0.15"/>
    <row r="19167" s="9" customFormat="1" ht="21.95" customHeight="1" x14ac:dyDescent="0.15"/>
    <row r="19168" s="9" customFormat="1" ht="21.95" customHeight="1" x14ac:dyDescent="0.15"/>
    <row r="19169" s="9" customFormat="1" ht="21.95" customHeight="1" x14ac:dyDescent="0.15"/>
    <row r="19170" s="9" customFormat="1" ht="21.95" customHeight="1" x14ac:dyDescent="0.15"/>
    <row r="19171" s="9" customFormat="1" ht="21.95" customHeight="1" x14ac:dyDescent="0.15"/>
    <row r="19172" s="9" customFormat="1" ht="21.95" customHeight="1" x14ac:dyDescent="0.15"/>
    <row r="19173" s="9" customFormat="1" ht="21.95" customHeight="1" x14ac:dyDescent="0.15"/>
    <row r="19174" s="9" customFormat="1" ht="35.1" customHeight="1" x14ac:dyDescent="0.15"/>
    <row r="19175" s="9" customFormat="1" ht="21.95" customHeight="1" x14ac:dyDescent="0.15"/>
    <row r="19176" s="9" customFormat="1" ht="21.95" customHeight="1" x14ac:dyDescent="0.15"/>
    <row r="19177" s="9" customFormat="1" ht="21.95" customHeight="1" x14ac:dyDescent="0.15"/>
    <row r="19178" s="9" customFormat="1" ht="21.95" customHeight="1" x14ac:dyDescent="0.15"/>
    <row r="19179" s="9" customFormat="1" ht="21.95" customHeight="1" x14ac:dyDescent="0.15"/>
    <row r="19180" s="9" customFormat="1" ht="21.95" customHeight="1" x14ac:dyDescent="0.15"/>
    <row r="19181" s="9" customFormat="1" ht="21.95" customHeight="1" x14ac:dyDescent="0.15"/>
    <row r="19182" s="9" customFormat="1" ht="21.95" customHeight="1" x14ac:dyDescent="0.15"/>
    <row r="19183" s="9" customFormat="1" ht="21.95" customHeight="1" x14ac:dyDescent="0.15"/>
    <row r="19184" s="9" customFormat="1" ht="21.95" customHeight="1" x14ac:dyDescent="0.15"/>
    <row r="19185" spans="3:3" s="9" customFormat="1" ht="21.95" customHeight="1" x14ac:dyDescent="0.15"/>
    <row r="19186" spans="3:3" s="9" customFormat="1" ht="21.95" customHeight="1" x14ac:dyDescent="0.15"/>
    <row r="19187" spans="3:3" s="9" customFormat="1" ht="21.95" customHeight="1" x14ac:dyDescent="0.15"/>
    <row r="19188" spans="3:3" s="9" customFormat="1" ht="21.95" customHeight="1" x14ac:dyDescent="0.15"/>
    <row r="19189" spans="3:3" s="9" customFormat="1" ht="21.95" customHeight="1" x14ac:dyDescent="0.15"/>
    <row r="19190" spans="3:3" s="9" customFormat="1" ht="21.95" customHeight="1" x14ac:dyDescent="0.15"/>
    <row r="19191" spans="3:3" s="9" customFormat="1" ht="21.95" customHeight="1" x14ac:dyDescent="0.15"/>
    <row r="19192" spans="3:3" s="9" customFormat="1" ht="21.95" customHeight="1" x14ac:dyDescent="0.15"/>
    <row r="19193" spans="3:3" s="9" customFormat="1" ht="21.95" customHeight="1" x14ac:dyDescent="0.15"/>
    <row r="19194" spans="3:3" s="9" customFormat="1" ht="21.95" customHeight="1" x14ac:dyDescent="0.15"/>
    <row r="19195" spans="3:3" s="9" customFormat="1" ht="21.95" customHeight="1" x14ac:dyDescent="0.15"/>
    <row r="19196" spans="3:3" s="9" customFormat="1" ht="21.95" customHeight="1" x14ac:dyDescent="0.15"/>
    <row r="19197" spans="3:3" s="9" customFormat="1" ht="21.95" customHeight="1" x14ac:dyDescent="0.15"/>
    <row r="19198" spans="3:3" s="8" customFormat="1" ht="21.95" customHeight="1" x14ac:dyDescent="0.15"/>
    <row r="19199" spans="3:3" s="8" customFormat="1" ht="21.95" customHeight="1" x14ac:dyDescent="0.15"/>
    <row r="19200" spans="3:3" s="8" customFormat="1" ht="21.95" customHeight="1" x14ac:dyDescent="0.15">
      <c r="C19200" s="101"/>
    </row>
    <row r="19201" spans="3:3" s="8" customFormat="1" ht="21.95" customHeight="1" x14ac:dyDescent="0.15">
      <c r="C19201" s="101"/>
    </row>
    <row r="19202" spans="3:3" s="8" customFormat="1" ht="21.95" customHeight="1" x14ac:dyDescent="0.15"/>
    <row r="19203" spans="3:3" s="8" customFormat="1" ht="21.95" customHeight="1" x14ac:dyDescent="0.15"/>
    <row r="19204" spans="3:3" s="8" customFormat="1" ht="21.95" customHeight="1" x14ac:dyDescent="0.15"/>
    <row r="19205" spans="3:3" s="8" customFormat="1" ht="21.95" customHeight="1" x14ac:dyDescent="0.15"/>
    <row r="19206" spans="3:3" s="8" customFormat="1" ht="21.95" customHeight="1" x14ac:dyDescent="0.15"/>
    <row r="19207" spans="3:3" s="8" customFormat="1" ht="21.95" customHeight="1" x14ac:dyDescent="0.15"/>
    <row r="19208" spans="3:3" s="8" customFormat="1" ht="21.95" customHeight="1" x14ac:dyDescent="0.15"/>
    <row r="19209" spans="3:3" s="9" customFormat="1" ht="21.95" customHeight="1" x14ac:dyDescent="0.15"/>
    <row r="19210" spans="3:3" s="9" customFormat="1" ht="21.95" customHeight="1" x14ac:dyDescent="0.15"/>
    <row r="19211" spans="3:3" s="9" customFormat="1" ht="21.95" customHeight="1" x14ac:dyDescent="0.15"/>
    <row r="19212" spans="3:3" s="9" customFormat="1" ht="21.95" customHeight="1" x14ac:dyDescent="0.15"/>
    <row r="19213" spans="3:3" s="8" customFormat="1" ht="21.95" customHeight="1" x14ac:dyDescent="0.15"/>
    <row r="19214" spans="3:3" s="8" customFormat="1" ht="21.95" customHeight="1" x14ac:dyDescent="0.15"/>
    <row r="19215" spans="3:3" s="8" customFormat="1" ht="21.95" customHeight="1" x14ac:dyDescent="0.15"/>
    <row r="19216" spans="3:3" s="8" customFormat="1" ht="21.95" customHeight="1" x14ac:dyDescent="0.15"/>
    <row r="19217" s="8" customFormat="1" ht="21.95" customHeight="1" x14ac:dyDescent="0.15"/>
    <row r="19218" s="8" customFormat="1" ht="21.95" customHeight="1" x14ac:dyDescent="0.15"/>
    <row r="19219" s="8" customFormat="1" ht="21.95" customHeight="1" x14ac:dyDescent="0.15"/>
    <row r="19220" s="8" customFormat="1" ht="21.95" customHeight="1" x14ac:dyDescent="0.15"/>
    <row r="19221" s="8" customFormat="1" ht="21.95" customHeight="1" x14ac:dyDescent="0.15"/>
    <row r="19222" s="8" customFormat="1" ht="21.95" customHeight="1" x14ac:dyDescent="0.15"/>
    <row r="19223" s="8" customFormat="1" ht="21.95" customHeight="1" x14ac:dyDescent="0.15"/>
    <row r="19224" s="8" customFormat="1" ht="32.1" customHeight="1" x14ac:dyDescent="0.15"/>
    <row r="19225" s="8" customFormat="1" ht="32.1" customHeight="1" x14ac:dyDescent="0.15"/>
    <row r="19226" s="8" customFormat="1" ht="32.1" customHeight="1" x14ac:dyDescent="0.15"/>
    <row r="19227" s="8" customFormat="1" ht="32.1" customHeight="1" x14ac:dyDescent="0.15"/>
    <row r="19228" s="8" customFormat="1" ht="32.1" customHeight="1" x14ac:dyDescent="0.15"/>
    <row r="19229" s="8" customFormat="1" ht="32.1" customHeight="1" x14ac:dyDescent="0.15"/>
    <row r="19230" s="9" customFormat="1" ht="32.1" customHeight="1" x14ac:dyDescent="0.15"/>
    <row r="19231" s="9" customFormat="1" ht="32.1" customHeight="1" x14ac:dyDescent="0.15"/>
    <row r="19232" s="9" customFormat="1" ht="32.1" customHeight="1" x14ac:dyDescent="0.15"/>
    <row r="19233" s="9" customFormat="1" ht="32.1" customHeight="1" x14ac:dyDescent="0.15"/>
    <row r="19234" s="9" customFormat="1" ht="21.95" customHeight="1" x14ac:dyDescent="0.15"/>
    <row r="19235" s="9" customFormat="1" ht="54" customHeight="1" x14ac:dyDescent="0.15"/>
    <row r="19236" s="9" customFormat="1" ht="21.95" customHeight="1" x14ac:dyDescent="0.15"/>
    <row r="19237" s="9" customFormat="1" ht="21.95" customHeight="1" x14ac:dyDescent="0.15"/>
    <row r="19238" s="9" customFormat="1" ht="21.95" customHeight="1" x14ac:dyDescent="0.15"/>
    <row r="19239" s="9" customFormat="1" ht="21.95" customHeight="1" x14ac:dyDescent="0.15"/>
    <row r="19240" s="9" customFormat="1" ht="21.95" customHeight="1" x14ac:dyDescent="0.15"/>
    <row r="19241" s="9" customFormat="1" ht="21.95" customHeight="1" x14ac:dyDescent="0.15"/>
    <row r="19242" s="9" customFormat="1" ht="21.95" customHeight="1" x14ac:dyDescent="0.15"/>
    <row r="19243" s="9" customFormat="1" ht="21.95" customHeight="1" x14ac:dyDescent="0.15"/>
    <row r="19244" s="9" customFormat="1" ht="21.95" customHeight="1" x14ac:dyDescent="0.15"/>
    <row r="19245" s="9" customFormat="1" ht="21.95" customHeight="1" x14ac:dyDescent="0.15"/>
    <row r="19246" s="9" customFormat="1" ht="21.95" customHeight="1" x14ac:dyDescent="0.15"/>
    <row r="19247" s="9" customFormat="1" ht="21.95" customHeight="1" x14ac:dyDescent="0.15"/>
    <row r="19248" s="9" customFormat="1" ht="21.95" customHeight="1" x14ac:dyDescent="0.15"/>
    <row r="19249" s="9" customFormat="1" ht="21.95" customHeight="1" x14ac:dyDescent="0.15"/>
    <row r="19250" s="9" customFormat="1" ht="21.95" customHeight="1" x14ac:dyDescent="0.15"/>
    <row r="19251" s="9" customFormat="1" ht="21.95" customHeight="1" x14ac:dyDescent="0.15"/>
    <row r="19252" s="9" customFormat="1" ht="21.95" customHeight="1" x14ac:dyDescent="0.15"/>
    <row r="19253" s="9" customFormat="1" ht="21.95" customHeight="1" x14ac:dyDescent="0.15"/>
    <row r="19254" s="9" customFormat="1" ht="21.95" customHeight="1" x14ac:dyDescent="0.15"/>
    <row r="19255" s="9" customFormat="1" ht="21.95" customHeight="1" x14ac:dyDescent="0.15"/>
    <row r="19256" s="9" customFormat="1" ht="21.95" customHeight="1" x14ac:dyDescent="0.15"/>
    <row r="19257" s="9" customFormat="1" ht="21.95" customHeight="1" x14ac:dyDescent="0.15"/>
    <row r="19258" s="9" customFormat="1" ht="21.95" customHeight="1" x14ac:dyDescent="0.15"/>
    <row r="19259" s="9" customFormat="1" ht="21.95" customHeight="1" x14ac:dyDescent="0.15"/>
    <row r="19260" s="9" customFormat="1" ht="21.95" customHeight="1" x14ac:dyDescent="0.15"/>
    <row r="19261" s="9" customFormat="1" ht="21.95" customHeight="1" x14ac:dyDescent="0.15"/>
    <row r="19262" s="9" customFormat="1" ht="21.95" customHeight="1" x14ac:dyDescent="0.15"/>
    <row r="19263" s="9" customFormat="1" ht="21.95" customHeight="1" x14ac:dyDescent="0.15"/>
    <row r="19264" s="9" customFormat="1" ht="21.95" customHeight="1" x14ac:dyDescent="0.15"/>
    <row r="19265" s="9" customFormat="1" ht="21.95" customHeight="1" x14ac:dyDescent="0.15"/>
    <row r="19266" s="9" customFormat="1" ht="21.95" customHeight="1" x14ac:dyDescent="0.15"/>
    <row r="19267" s="9" customFormat="1" ht="21.95" customHeight="1" x14ac:dyDescent="0.15"/>
    <row r="19268" s="9" customFormat="1" ht="21.95" customHeight="1" x14ac:dyDescent="0.15"/>
    <row r="19269" s="9" customFormat="1" ht="21.95" customHeight="1" x14ac:dyDescent="0.15"/>
    <row r="19270" s="9" customFormat="1" ht="21.95" customHeight="1" x14ac:dyDescent="0.15"/>
    <row r="19271" s="9" customFormat="1" ht="21.95" customHeight="1" x14ac:dyDescent="0.15"/>
    <row r="19272" s="9" customFormat="1" ht="21.95" customHeight="1" x14ac:dyDescent="0.15"/>
    <row r="19273" s="9" customFormat="1" ht="21.95" customHeight="1" x14ac:dyDescent="0.15"/>
    <row r="19274" s="9" customFormat="1" ht="21.95" customHeight="1" x14ac:dyDescent="0.15"/>
    <row r="19275" s="9" customFormat="1" ht="21.95" customHeight="1" x14ac:dyDescent="0.15"/>
    <row r="19276" s="9" customFormat="1" ht="21.95" customHeight="1" x14ac:dyDescent="0.15"/>
    <row r="19277" s="9" customFormat="1" ht="21.95" customHeight="1" x14ac:dyDescent="0.15"/>
    <row r="19278" s="9" customFormat="1" ht="21.95" customHeight="1" x14ac:dyDescent="0.15"/>
    <row r="19279" s="9" customFormat="1" ht="21.95" customHeight="1" x14ac:dyDescent="0.15"/>
    <row r="19280" s="9" customFormat="1" ht="21.95" customHeight="1" x14ac:dyDescent="0.15"/>
    <row r="19281" s="9" customFormat="1" ht="21.95" customHeight="1" x14ac:dyDescent="0.15"/>
    <row r="19282" s="9" customFormat="1" ht="21.95" customHeight="1" x14ac:dyDescent="0.15"/>
    <row r="19283" s="9" customFormat="1" ht="21.95" customHeight="1" x14ac:dyDescent="0.15"/>
    <row r="19284" s="9" customFormat="1" ht="21.95" customHeight="1" x14ac:dyDescent="0.15"/>
    <row r="19285" s="9" customFormat="1" ht="21.95" customHeight="1" x14ac:dyDescent="0.15"/>
    <row r="19286" s="9" customFormat="1" ht="35.1" customHeight="1" x14ac:dyDescent="0.15"/>
    <row r="19287" s="9" customFormat="1" ht="21.95" customHeight="1" x14ac:dyDescent="0.15"/>
    <row r="19288" s="9" customFormat="1" ht="21.95" customHeight="1" x14ac:dyDescent="0.15"/>
    <row r="19289" s="9" customFormat="1" ht="21.95" customHeight="1" x14ac:dyDescent="0.15"/>
    <row r="19290" s="9" customFormat="1" ht="21.95" customHeight="1" x14ac:dyDescent="0.15"/>
    <row r="19291" s="9" customFormat="1" ht="21.95" customHeight="1" x14ac:dyDescent="0.15"/>
    <row r="19292" s="9" customFormat="1" ht="21.95" customHeight="1" x14ac:dyDescent="0.15"/>
    <row r="19293" s="9" customFormat="1" ht="21.95" customHeight="1" x14ac:dyDescent="0.15"/>
    <row r="19294" s="9" customFormat="1" ht="21.95" customHeight="1" x14ac:dyDescent="0.15"/>
    <row r="19295" s="9" customFormat="1" ht="21.95" customHeight="1" x14ac:dyDescent="0.15"/>
    <row r="19296" s="9" customFormat="1" ht="21.95" customHeight="1" x14ac:dyDescent="0.15"/>
    <row r="19297" spans="3:3" s="9" customFormat="1" ht="21.95" customHeight="1" x14ac:dyDescent="0.15"/>
    <row r="19298" spans="3:3" s="9" customFormat="1" ht="21.95" customHeight="1" x14ac:dyDescent="0.15"/>
    <row r="19299" spans="3:3" s="9" customFormat="1" ht="21.95" customHeight="1" x14ac:dyDescent="0.15"/>
    <row r="19300" spans="3:3" s="9" customFormat="1" ht="21.95" customHeight="1" x14ac:dyDescent="0.15"/>
    <row r="19301" spans="3:3" s="9" customFormat="1" ht="21.95" customHeight="1" x14ac:dyDescent="0.15"/>
    <row r="19302" spans="3:3" s="9" customFormat="1" ht="21.95" customHeight="1" x14ac:dyDescent="0.15"/>
    <row r="19303" spans="3:3" s="9" customFormat="1" ht="21.95" customHeight="1" x14ac:dyDescent="0.15"/>
    <row r="19304" spans="3:3" s="9" customFormat="1" ht="21.95" customHeight="1" x14ac:dyDescent="0.15"/>
    <row r="19305" spans="3:3" s="9" customFormat="1" ht="21.95" customHeight="1" x14ac:dyDescent="0.15"/>
    <row r="19306" spans="3:3" s="9" customFormat="1" ht="21.95" customHeight="1" x14ac:dyDescent="0.15"/>
    <row r="19307" spans="3:3" s="9" customFormat="1" ht="21.95" customHeight="1" x14ac:dyDescent="0.15"/>
    <row r="19308" spans="3:3" s="9" customFormat="1" ht="21.95" customHeight="1" x14ac:dyDescent="0.15"/>
    <row r="19309" spans="3:3" s="9" customFormat="1" ht="21.95" customHeight="1" x14ac:dyDescent="0.15"/>
    <row r="19310" spans="3:3" s="8" customFormat="1" ht="21.95" customHeight="1" x14ac:dyDescent="0.15"/>
    <row r="19311" spans="3:3" s="8" customFormat="1" ht="21.95" customHeight="1" x14ac:dyDescent="0.15"/>
    <row r="19312" spans="3:3" s="8" customFormat="1" ht="21.95" customHeight="1" x14ac:dyDescent="0.15">
      <c r="C19312" s="101"/>
    </row>
    <row r="19313" spans="3:3" s="8" customFormat="1" ht="21.95" customHeight="1" x14ac:dyDescent="0.15">
      <c r="C19313" s="101"/>
    </row>
    <row r="19314" spans="3:3" s="8" customFormat="1" ht="21.95" customHeight="1" x14ac:dyDescent="0.15"/>
    <row r="19315" spans="3:3" s="8" customFormat="1" ht="21.95" customHeight="1" x14ac:dyDescent="0.15"/>
    <row r="19316" spans="3:3" s="8" customFormat="1" ht="21.95" customHeight="1" x14ac:dyDescent="0.15"/>
    <row r="19317" spans="3:3" s="8" customFormat="1" ht="21.95" customHeight="1" x14ac:dyDescent="0.15"/>
    <row r="19318" spans="3:3" s="8" customFormat="1" ht="21.95" customHeight="1" x14ac:dyDescent="0.15"/>
    <row r="19319" spans="3:3" s="8" customFormat="1" ht="21.95" customHeight="1" x14ac:dyDescent="0.15"/>
    <row r="19320" spans="3:3" s="8" customFormat="1" ht="21.95" customHeight="1" x14ac:dyDescent="0.15"/>
    <row r="19321" spans="3:3" s="9" customFormat="1" ht="21.95" customHeight="1" x14ac:dyDescent="0.15"/>
    <row r="19322" spans="3:3" s="9" customFormat="1" ht="21.95" customHeight="1" x14ac:dyDescent="0.15"/>
    <row r="19323" spans="3:3" s="9" customFormat="1" ht="21.95" customHeight="1" x14ac:dyDescent="0.15"/>
    <row r="19324" spans="3:3" s="9" customFormat="1" ht="21.95" customHeight="1" x14ac:dyDescent="0.15"/>
    <row r="19325" spans="3:3" s="8" customFormat="1" ht="21.95" customHeight="1" x14ac:dyDescent="0.15"/>
    <row r="19326" spans="3:3" s="8" customFormat="1" ht="21.95" customHeight="1" x14ac:dyDescent="0.15"/>
    <row r="19327" spans="3:3" s="8" customFormat="1" ht="21.95" customHeight="1" x14ac:dyDescent="0.15"/>
    <row r="19328" spans="3:3" s="8" customFormat="1" ht="21.95" customHeight="1" x14ac:dyDescent="0.15"/>
    <row r="19329" s="8" customFormat="1" ht="21.95" customHeight="1" x14ac:dyDescent="0.15"/>
    <row r="19330" s="8" customFormat="1" ht="21.95" customHeight="1" x14ac:dyDescent="0.15"/>
    <row r="19331" s="8" customFormat="1" ht="21.95" customHeight="1" x14ac:dyDescent="0.15"/>
    <row r="19332" s="8" customFormat="1" ht="21.95" customHeight="1" x14ac:dyDescent="0.15"/>
    <row r="19333" s="8" customFormat="1" ht="21.95" customHeight="1" x14ac:dyDescent="0.15"/>
    <row r="19334" s="8" customFormat="1" ht="21.95" customHeight="1" x14ac:dyDescent="0.15"/>
    <row r="19335" s="8" customFormat="1" ht="21.95" customHeight="1" x14ac:dyDescent="0.15"/>
    <row r="19336" s="8" customFormat="1" ht="32.1" customHeight="1" x14ac:dyDescent="0.15"/>
    <row r="19337" s="8" customFormat="1" ht="32.1" customHeight="1" x14ac:dyDescent="0.15"/>
    <row r="19338" s="8" customFormat="1" ht="32.1" customHeight="1" x14ac:dyDescent="0.15"/>
    <row r="19339" s="8" customFormat="1" ht="32.1" customHeight="1" x14ac:dyDescent="0.15"/>
    <row r="19340" s="8" customFormat="1" ht="32.1" customHeight="1" x14ac:dyDescent="0.15"/>
    <row r="19341" s="8" customFormat="1" ht="32.1" customHeight="1" x14ac:dyDescent="0.15"/>
    <row r="19342" s="9" customFormat="1" ht="32.1" customHeight="1" x14ac:dyDescent="0.15"/>
    <row r="19343" s="9" customFormat="1" ht="32.1" customHeight="1" x14ac:dyDescent="0.15"/>
    <row r="19344" s="9" customFormat="1" ht="32.1" customHeight="1" x14ac:dyDescent="0.15"/>
    <row r="19345" s="9" customFormat="1" ht="32.1" customHeight="1" x14ac:dyDescent="0.15"/>
    <row r="19346" s="9" customFormat="1" ht="21.95" customHeight="1" x14ac:dyDescent="0.15"/>
    <row r="19347" s="9" customFormat="1" ht="54" customHeight="1" x14ac:dyDescent="0.15"/>
    <row r="19348" s="9" customFormat="1" ht="21.95" customHeight="1" x14ac:dyDescent="0.15"/>
    <row r="19349" s="9" customFormat="1" ht="21.95" customHeight="1" x14ac:dyDescent="0.15"/>
    <row r="19350" s="9" customFormat="1" ht="21.95" customHeight="1" x14ac:dyDescent="0.15"/>
    <row r="19351" s="9" customFormat="1" ht="21.95" customHeight="1" x14ac:dyDescent="0.15"/>
    <row r="19352" s="9" customFormat="1" ht="21.95" customHeight="1" x14ac:dyDescent="0.15"/>
    <row r="19353" s="9" customFormat="1" ht="21.95" customHeight="1" x14ac:dyDescent="0.15"/>
    <row r="19354" s="9" customFormat="1" ht="21.95" customHeight="1" x14ac:dyDescent="0.15"/>
    <row r="19355" s="9" customFormat="1" ht="21.95" customHeight="1" x14ac:dyDescent="0.15"/>
    <row r="19356" s="9" customFormat="1" ht="21.95" customHeight="1" x14ac:dyDescent="0.15"/>
    <row r="19357" s="9" customFormat="1" ht="21.95" customHeight="1" x14ac:dyDescent="0.15"/>
    <row r="19358" s="9" customFormat="1" ht="21.95" customHeight="1" x14ac:dyDescent="0.15"/>
    <row r="19359" s="9" customFormat="1" ht="21.95" customHeight="1" x14ac:dyDescent="0.15"/>
    <row r="19360" s="9" customFormat="1" ht="21.95" customHeight="1" x14ac:dyDescent="0.15"/>
    <row r="19361" s="9" customFormat="1" ht="21.95" customHeight="1" x14ac:dyDescent="0.15"/>
    <row r="19362" s="9" customFormat="1" ht="21.95" customHeight="1" x14ac:dyDescent="0.15"/>
    <row r="19363" s="9" customFormat="1" ht="21.95" customHeight="1" x14ac:dyDescent="0.15"/>
    <row r="19364" s="9" customFormat="1" ht="21.95" customHeight="1" x14ac:dyDescent="0.15"/>
    <row r="19365" s="9" customFormat="1" ht="21.95" customHeight="1" x14ac:dyDescent="0.15"/>
    <row r="19366" s="9" customFormat="1" ht="21.95" customHeight="1" x14ac:dyDescent="0.15"/>
    <row r="19367" s="9" customFormat="1" ht="21.95" customHeight="1" x14ac:dyDescent="0.15"/>
    <row r="19368" s="9" customFormat="1" ht="21.95" customHeight="1" x14ac:dyDescent="0.15"/>
    <row r="19369" s="9" customFormat="1" ht="21.95" customHeight="1" x14ac:dyDescent="0.15"/>
    <row r="19370" s="9" customFormat="1" ht="21.95" customHeight="1" x14ac:dyDescent="0.15"/>
    <row r="19371" s="9" customFormat="1" ht="21.95" customHeight="1" x14ac:dyDescent="0.15"/>
    <row r="19372" s="9" customFormat="1" ht="21.95" customHeight="1" x14ac:dyDescent="0.15"/>
    <row r="19373" s="9" customFormat="1" ht="21.95" customHeight="1" x14ac:dyDescent="0.15"/>
    <row r="19374" s="9" customFormat="1" ht="21.95" customHeight="1" x14ac:dyDescent="0.15"/>
    <row r="19375" s="9" customFormat="1" ht="21.95" customHeight="1" x14ac:dyDescent="0.15"/>
    <row r="19376" s="9" customFormat="1" ht="21.95" customHeight="1" x14ac:dyDescent="0.15"/>
    <row r="19377" s="9" customFormat="1" ht="21.95" customHeight="1" x14ac:dyDescent="0.15"/>
    <row r="19378" s="9" customFormat="1" ht="21.95" customHeight="1" x14ac:dyDescent="0.15"/>
    <row r="19379" s="9" customFormat="1" ht="21.95" customHeight="1" x14ac:dyDescent="0.15"/>
    <row r="19380" s="9" customFormat="1" ht="21.95" customHeight="1" x14ac:dyDescent="0.15"/>
    <row r="19381" s="9" customFormat="1" ht="21.95" customHeight="1" x14ac:dyDescent="0.15"/>
    <row r="19382" s="9" customFormat="1" ht="21.95" customHeight="1" x14ac:dyDescent="0.15"/>
    <row r="19383" s="9" customFormat="1" ht="21.95" customHeight="1" x14ac:dyDescent="0.15"/>
    <row r="19384" s="9" customFormat="1" ht="21.95" customHeight="1" x14ac:dyDescent="0.15"/>
    <row r="19385" s="9" customFormat="1" ht="21.95" customHeight="1" x14ac:dyDescent="0.15"/>
    <row r="19386" s="9" customFormat="1" ht="21.95" customHeight="1" x14ac:dyDescent="0.15"/>
    <row r="19387" s="9" customFormat="1" ht="21.95" customHeight="1" x14ac:dyDescent="0.15"/>
    <row r="19388" s="9" customFormat="1" ht="21.95" customHeight="1" x14ac:dyDescent="0.15"/>
    <row r="19389" s="9" customFormat="1" ht="21.95" customHeight="1" x14ac:dyDescent="0.15"/>
    <row r="19390" s="9" customFormat="1" ht="21.95" customHeight="1" x14ac:dyDescent="0.15"/>
    <row r="19391" s="9" customFormat="1" ht="21.95" customHeight="1" x14ac:dyDescent="0.15"/>
    <row r="19392" s="9" customFormat="1" ht="21.95" customHeight="1" x14ac:dyDescent="0.15"/>
    <row r="19393" s="9" customFormat="1" ht="21.95" customHeight="1" x14ac:dyDescent="0.15"/>
    <row r="19394" s="9" customFormat="1" ht="21.95" customHeight="1" x14ac:dyDescent="0.15"/>
    <row r="19395" s="9" customFormat="1" ht="21.95" customHeight="1" x14ac:dyDescent="0.15"/>
    <row r="19396" s="9" customFormat="1" ht="21.95" customHeight="1" x14ac:dyDescent="0.15"/>
    <row r="19397" s="9" customFormat="1" ht="21.95" customHeight="1" x14ac:dyDescent="0.15"/>
    <row r="19398" s="9" customFormat="1" ht="35.1" customHeight="1" x14ac:dyDescent="0.15"/>
    <row r="19399" s="9" customFormat="1" ht="21.95" customHeight="1" x14ac:dyDescent="0.15"/>
    <row r="19400" s="9" customFormat="1" ht="21.95" customHeight="1" x14ac:dyDescent="0.15"/>
    <row r="19401" s="9" customFormat="1" ht="21.95" customHeight="1" x14ac:dyDescent="0.15"/>
    <row r="19402" s="9" customFormat="1" ht="21.95" customHeight="1" x14ac:dyDescent="0.15"/>
    <row r="19403" s="9" customFormat="1" ht="21.95" customHeight="1" x14ac:dyDescent="0.15"/>
    <row r="19404" s="9" customFormat="1" ht="21.95" customHeight="1" x14ac:dyDescent="0.15"/>
    <row r="19405" s="9" customFormat="1" ht="21.95" customHeight="1" x14ac:dyDescent="0.15"/>
    <row r="19406" s="9" customFormat="1" ht="21.95" customHeight="1" x14ac:dyDescent="0.15"/>
    <row r="19407" s="9" customFormat="1" ht="21.95" customHeight="1" x14ac:dyDescent="0.15"/>
    <row r="19408" s="9" customFormat="1" ht="21.95" customHeight="1" x14ac:dyDescent="0.15"/>
    <row r="19409" spans="3:3" s="9" customFormat="1" ht="21.95" customHeight="1" x14ac:dyDescent="0.15"/>
    <row r="19410" spans="3:3" s="9" customFormat="1" ht="21.95" customHeight="1" x14ac:dyDescent="0.15"/>
    <row r="19411" spans="3:3" s="9" customFormat="1" ht="21.95" customHeight="1" x14ac:dyDescent="0.15"/>
    <row r="19412" spans="3:3" s="9" customFormat="1" ht="21.95" customHeight="1" x14ac:dyDescent="0.15"/>
    <row r="19413" spans="3:3" s="9" customFormat="1" ht="21.95" customHeight="1" x14ac:dyDescent="0.15"/>
    <row r="19414" spans="3:3" s="9" customFormat="1" ht="21.95" customHeight="1" x14ac:dyDescent="0.15"/>
    <row r="19415" spans="3:3" s="9" customFormat="1" ht="21.95" customHeight="1" x14ac:dyDescent="0.15"/>
    <row r="19416" spans="3:3" s="9" customFormat="1" ht="21.95" customHeight="1" x14ac:dyDescent="0.15"/>
    <row r="19417" spans="3:3" s="9" customFormat="1" ht="21.95" customHeight="1" x14ac:dyDescent="0.15"/>
    <row r="19418" spans="3:3" s="9" customFormat="1" ht="21.95" customHeight="1" x14ac:dyDescent="0.15"/>
    <row r="19419" spans="3:3" s="9" customFormat="1" ht="21.95" customHeight="1" x14ac:dyDescent="0.15"/>
    <row r="19420" spans="3:3" s="9" customFormat="1" ht="21.95" customHeight="1" x14ac:dyDescent="0.15"/>
    <row r="19421" spans="3:3" s="9" customFormat="1" ht="21.95" customHeight="1" x14ac:dyDescent="0.15"/>
    <row r="19422" spans="3:3" s="8" customFormat="1" ht="21.95" customHeight="1" x14ac:dyDescent="0.15"/>
    <row r="19423" spans="3:3" s="8" customFormat="1" ht="21.95" customHeight="1" x14ac:dyDescent="0.15"/>
    <row r="19424" spans="3:3" s="8" customFormat="1" ht="21.95" customHeight="1" x14ac:dyDescent="0.15">
      <c r="C19424" s="101"/>
    </row>
    <row r="19425" spans="3:3" s="8" customFormat="1" ht="21.95" customHeight="1" x14ac:dyDescent="0.15">
      <c r="C19425" s="101"/>
    </row>
    <row r="19426" spans="3:3" s="8" customFormat="1" ht="21.95" customHeight="1" x14ac:dyDescent="0.15"/>
    <row r="19427" spans="3:3" s="8" customFormat="1" ht="21.95" customHeight="1" x14ac:dyDescent="0.15"/>
    <row r="19428" spans="3:3" s="8" customFormat="1" ht="21.95" customHeight="1" x14ac:dyDescent="0.15"/>
    <row r="19429" spans="3:3" s="8" customFormat="1" ht="21.95" customHeight="1" x14ac:dyDescent="0.15"/>
    <row r="19430" spans="3:3" s="8" customFormat="1" ht="21.95" customHeight="1" x14ac:dyDescent="0.15"/>
    <row r="19431" spans="3:3" s="8" customFormat="1" ht="21.95" customHeight="1" x14ac:dyDescent="0.15"/>
    <row r="19432" spans="3:3" s="8" customFormat="1" ht="21.95" customHeight="1" x14ac:dyDescent="0.15"/>
    <row r="19433" spans="3:3" s="9" customFormat="1" ht="21.95" customHeight="1" x14ac:dyDescent="0.15"/>
    <row r="19434" spans="3:3" s="9" customFormat="1" ht="21.95" customHeight="1" x14ac:dyDescent="0.15"/>
    <row r="19435" spans="3:3" s="9" customFormat="1" ht="21.95" customHeight="1" x14ac:dyDescent="0.15"/>
    <row r="19436" spans="3:3" s="9" customFormat="1" ht="21.95" customHeight="1" x14ac:dyDescent="0.15"/>
    <row r="19437" spans="3:3" s="8" customFormat="1" ht="21.95" customHeight="1" x14ac:dyDescent="0.15"/>
    <row r="19438" spans="3:3" s="8" customFormat="1" ht="21.95" customHeight="1" x14ac:dyDescent="0.15"/>
    <row r="19439" spans="3:3" s="8" customFormat="1" ht="21.95" customHeight="1" x14ac:dyDescent="0.15"/>
    <row r="19440" spans="3:3" s="8" customFormat="1" ht="21.95" customHeight="1" x14ac:dyDescent="0.15"/>
    <row r="19441" s="8" customFormat="1" ht="21.95" customHeight="1" x14ac:dyDescent="0.15"/>
    <row r="19442" s="8" customFormat="1" ht="21.95" customHeight="1" x14ac:dyDescent="0.15"/>
    <row r="19443" s="8" customFormat="1" ht="21.95" customHeight="1" x14ac:dyDescent="0.15"/>
    <row r="19444" s="8" customFormat="1" ht="21.95" customHeight="1" x14ac:dyDescent="0.15"/>
    <row r="19445" s="8" customFormat="1" ht="21.95" customHeight="1" x14ac:dyDescent="0.15"/>
    <row r="19446" s="8" customFormat="1" ht="21.95" customHeight="1" x14ac:dyDescent="0.15"/>
    <row r="19447" s="8" customFormat="1" ht="21.95" customHeight="1" x14ac:dyDescent="0.15"/>
    <row r="19448" s="8" customFormat="1" ht="32.1" customHeight="1" x14ac:dyDescent="0.15"/>
    <row r="19449" s="8" customFormat="1" ht="32.1" customHeight="1" x14ac:dyDescent="0.15"/>
    <row r="19450" s="8" customFormat="1" ht="32.1" customHeight="1" x14ac:dyDescent="0.15"/>
    <row r="19451" s="8" customFormat="1" ht="32.1" customHeight="1" x14ac:dyDescent="0.15"/>
    <row r="19452" s="8" customFormat="1" ht="32.1" customHeight="1" x14ac:dyDescent="0.15"/>
    <row r="19453" s="8" customFormat="1" ht="32.1" customHeight="1" x14ac:dyDescent="0.15"/>
    <row r="19454" s="9" customFormat="1" ht="32.1" customHeight="1" x14ac:dyDescent="0.15"/>
    <row r="19455" s="9" customFormat="1" ht="32.1" customHeight="1" x14ac:dyDescent="0.15"/>
    <row r="19456" s="9" customFormat="1" ht="32.1" customHeight="1" x14ac:dyDescent="0.15"/>
    <row r="19457" s="9" customFormat="1" ht="32.1" customHeight="1" x14ac:dyDescent="0.15"/>
    <row r="19458" s="9" customFormat="1" ht="21.95" customHeight="1" x14ac:dyDescent="0.15"/>
    <row r="19459" s="9" customFormat="1" ht="54" customHeight="1" x14ac:dyDescent="0.15"/>
    <row r="19460" s="9" customFormat="1" ht="21.95" customHeight="1" x14ac:dyDescent="0.15"/>
    <row r="19461" s="9" customFormat="1" ht="21.95" customHeight="1" x14ac:dyDescent="0.15"/>
    <row r="19462" s="9" customFormat="1" ht="21.95" customHeight="1" x14ac:dyDescent="0.15"/>
    <row r="19463" s="9" customFormat="1" ht="21.95" customHeight="1" x14ac:dyDescent="0.15"/>
    <row r="19464" s="9" customFormat="1" ht="21.95" customHeight="1" x14ac:dyDescent="0.15"/>
    <row r="19465" s="9" customFormat="1" ht="21.95" customHeight="1" x14ac:dyDescent="0.15"/>
    <row r="19466" s="9" customFormat="1" ht="21.95" customHeight="1" x14ac:dyDescent="0.15"/>
    <row r="19467" s="9" customFormat="1" ht="21.95" customHeight="1" x14ac:dyDescent="0.15"/>
    <row r="19468" s="9" customFormat="1" ht="21.95" customHeight="1" x14ac:dyDescent="0.15"/>
    <row r="19469" s="9" customFormat="1" ht="21.95" customHeight="1" x14ac:dyDescent="0.15"/>
    <row r="19470" s="9" customFormat="1" ht="21.95" customHeight="1" x14ac:dyDescent="0.15"/>
    <row r="19471" s="9" customFormat="1" ht="21.95" customHeight="1" x14ac:dyDescent="0.15"/>
    <row r="19472" s="9" customFormat="1" ht="21.95" customHeight="1" x14ac:dyDescent="0.15"/>
    <row r="19473" s="9" customFormat="1" ht="21.95" customHeight="1" x14ac:dyDescent="0.15"/>
    <row r="19474" s="9" customFormat="1" ht="21.95" customHeight="1" x14ac:dyDescent="0.15"/>
    <row r="19475" s="9" customFormat="1" ht="21.95" customHeight="1" x14ac:dyDescent="0.15"/>
    <row r="19476" s="9" customFormat="1" ht="21.95" customHeight="1" x14ac:dyDescent="0.15"/>
    <row r="19477" s="9" customFormat="1" ht="21.95" customHeight="1" x14ac:dyDescent="0.15"/>
    <row r="19478" s="9" customFormat="1" ht="21.95" customHeight="1" x14ac:dyDescent="0.15"/>
    <row r="19479" s="9" customFormat="1" ht="21.95" customHeight="1" x14ac:dyDescent="0.15"/>
    <row r="19480" s="9" customFormat="1" ht="21.95" customHeight="1" x14ac:dyDescent="0.15"/>
    <row r="19481" s="9" customFormat="1" ht="21.95" customHeight="1" x14ac:dyDescent="0.15"/>
    <row r="19482" s="9" customFormat="1" ht="21.95" customHeight="1" x14ac:dyDescent="0.15"/>
    <row r="19483" s="9" customFormat="1" ht="21.95" customHeight="1" x14ac:dyDescent="0.15"/>
    <row r="19484" s="9" customFormat="1" ht="21.95" customHeight="1" x14ac:dyDescent="0.15"/>
    <row r="19485" s="9" customFormat="1" ht="21.95" customHeight="1" x14ac:dyDescent="0.15"/>
    <row r="19486" s="9" customFormat="1" ht="21.95" customHeight="1" x14ac:dyDescent="0.15"/>
    <row r="19487" s="9" customFormat="1" ht="21.95" customHeight="1" x14ac:dyDescent="0.15"/>
    <row r="19488" s="9" customFormat="1" ht="21.95" customHeight="1" x14ac:dyDescent="0.15"/>
    <row r="19489" s="9" customFormat="1" ht="21.95" customHeight="1" x14ac:dyDescent="0.15"/>
    <row r="19490" s="9" customFormat="1" ht="21.95" customHeight="1" x14ac:dyDescent="0.15"/>
    <row r="19491" s="9" customFormat="1" ht="21.95" customHeight="1" x14ac:dyDescent="0.15"/>
    <row r="19492" s="9" customFormat="1" ht="21.95" customHeight="1" x14ac:dyDescent="0.15"/>
    <row r="19493" s="9" customFormat="1" ht="21.95" customHeight="1" x14ac:dyDescent="0.15"/>
    <row r="19494" s="9" customFormat="1" ht="21.95" customHeight="1" x14ac:dyDescent="0.15"/>
    <row r="19495" s="9" customFormat="1" ht="21.95" customHeight="1" x14ac:dyDescent="0.15"/>
    <row r="19496" s="9" customFormat="1" ht="21.95" customHeight="1" x14ac:dyDescent="0.15"/>
    <row r="19497" s="9" customFormat="1" ht="21.95" customHeight="1" x14ac:dyDescent="0.15"/>
    <row r="19498" s="9" customFormat="1" ht="21.95" customHeight="1" x14ac:dyDescent="0.15"/>
    <row r="19499" s="9" customFormat="1" ht="21.95" customHeight="1" x14ac:dyDescent="0.15"/>
    <row r="19500" s="9" customFormat="1" ht="21.95" customHeight="1" x14ac:dyDescent="0.15"/>
    <row r="19501" s="9" customFormat="1" ht="21.95" customHeight="1" x14ac:dyDescent="0.15"/>
    <row r="19502" s="9" customFormat="1" ht="21.95" customHeight="1" x14ac:dyDescent="0.15"/>
    <row r="19503" s="9" customFormat="1" ht="21.95" customHeight="1" x14ac:dyDescent="0.15"/>
    <row r="19504" s="9" customFormat="1" ht="21.95" customHeight="1" x14ac:dyDescent="0.15"/>
    <row r="19505" s="9" customFormat="1" ht="21.95" customHeight="1" x14ac:dyDescent="0.15"/>
    <row r="19506" s="9" customFormat="1" ht="21.95" customHeight="1" x14ac:dyDescent="0.15"/>
    <row r="19507" s="9" customFormat="1" ht="21.95" customHeight="1" x14ac:dyDescent="0.15"/>
    <row r="19508" s="9" customFormat="1" ht="21.95" customHeight="1" x14ac:dyDescent="0.15"/>
    <row r="19509" s="9" customFormat="1" ht="21.95" customHeight="1" x14ac:dyDescent="0.15"/>
    <row r="19510" s="9" customFormat="1" ht="35.1" customHeight="1" x14ac:dyDescent="0.15"/>
    <row r="19511" s="9" customFormat="1" ht="21.95" customHeight="1" x14ac:dyDescent="0.15"/>
    <row r="19512" s="9" customFormat="1" ht="21.95" customHeight="1" x14ac:dyDescent="0.15"/>
    <row r="19513" s="9" customFormat="1" ht="21.95" customHeight="1" x14ac:dyDescent="0.15"/>
    <row r="19514" s="9" customFormat="1" ht="21.95" customHeight="1" x14ac:dyDescent="0.15"/>
    <row r="19515" s="9" customFormat="1" ht="21.95" customHeight="1" x14ac:dyDescent="0.15"/>
    <row r="19516" s="9" customFormat="1" ht="21.95" customHeight="1" x14ac:dyDescent="0.15"/>
    <row r="19517" s="9" customFormat="1" ht="21.95" customHeight="1" x14ac:dyDescent="0.15"/>
    <row r="19518" s="9" customFormat="1" ht="21.95" customHeight="1" x14ac:dyDescent="0.15"/>
    <row r="19519" s="9" customFormat="1" ht="21.95" customHeight="1" x14ac:dyDescent="0.15"/>
    <row r="19520" s="9" customFormat="1" ht="21.95" customHeight="1" x14ac:dyDescent="0.15"/>
    <row r="19521" spans="3:3" s="9" customFormat="1" ht="21.95" customHeight="1" x14ac:dyDescent="0.15"/>
    <row r="19522" spans="3:3" s="9" customFormat="1" ht="21.95" customHeight="1" x14ac:dyDescent="0.15"/>
    <row r="19523" spans="3:3" s="9" customFormat="1" ht="21.95" customHeight="1" x14ac:dyDescent="0.15"/>
    <row r="19524" spans="3:3" s="9" customFormat="1" ht="21.95" customHeight="1" x14ac:dyDescent="0.15"/>
    <row r="19525" spans="3:3" s="9" customFormat="1" ht="21.95" customHeight="1" x14ac:dyDescent="0.15"/>
    <row r="19526" spans="3:3" s="9" customFormat="1" ht="21.95" customHeight="1" x14ac:dyDescent="0.15"/>
    <row r="19527" spans="3:3" s="9" customFormat="1" ht="21.95" customHeight="1" x14ac:dyDescent="0.15"/>
    <row r="19528" spans="3:3" s="9" customFormat="1" ht="21.95" customHeight="1" x14ac:dyDescent="0.15"/>
    <row r="19529" spans="3:3" s="9" customFormat="1" ht="21.95" customHeight="1" x14ac:dyDescent="0.15"/>
    <row r="19530" spans="3:3" s="9" customFormat="1" ht="21.95" customHeight="1" x14ac:dyDescent="0.15"/>
    <row r="19531" spans="3:3" s="9" customFormat="1" ht="21.95" customHeight="1" x14ac:dyDescent="0.15"/>
    <row r="19532" spans="3:3" s="9" customFormat="1" ht="21.95" customHeight="1" x14ac:dyDescent="0.15"/>
    <row r="19533" spans="3:3" s="9" customFormat="1" ht="21.95" customHeight="1" x14ac:dyDescent="0.15"/>
    <row r="19534" spans="3:3" s="8" customFormat="1" ht="21.95" customHeight="1" x14ac:dyDescent="0.15"/>
    <row r="19535" spans="3:3" s="8" customFormat="1" ht="21.95" customHeight="1" x14ac:dyDescent="0.15"/>
    <row r="19536" spans="3:3" s="8" customFormat="1" ht="21.95" customHeight="1" x14ac:dyDescent="0.15">
      <c r="C19536" s="101"/>
    </row>
    <row r="19537" spans="3:3" s="8" customFormat="1" ht="21.95" customHeight="1" x14ac:dyDescent="0.15">
      <c r="C19537" s="101"/>
    </row>
    <row r="19538" spans="3:3" s="8" customFormat="1" ht="21.95" customHeight="1" x14ac:dyDescent="0.15"/>
    <row r="19539" spans="3:3" s="8" customFormat="1" ht="21.95" customHeight="1" x14ac:dyDescent="0.15"/>
    <row r="19540" spans="3:3" s="8" customFormat="1" ht="21.95" customHeight="1" x14ac:dyDescent="0.15"/>
    <row r="19541" spans="3:3" s="8" customFormat="1" ht="21.95" customHeight="1" x14ac:dyDescent="0.15"/>
    <row r="19542" spans="3:3" s="8" customFormat="1" ht="21.95" customHeight="1" x14ac:dyDescent="0.15"/>
    <row r="19543" spans="3:3" s="8" customFormat="1" ht="21.95" customHeight="1" x14ac:dyDescent="0.15"/>
    <row r="19544" spans="3:3" s="8" customFormat="1" ht="21.95" customHeight="1" x14ac:dyDescent="0.15"/>
    <row r="19545" spans="3:3" s="9" customFormat="1" ht="21.95" customHeight="1" x14ac:dyDescent="0.15"/>
    <row r="19546" spans="3:3" s="9" customFormat="1" ht="21.95" customHeight="1" x14ac:dyDescent="0.15"/>
    <row r="19547" spans="3:3" s="9" customFormat="1" ht="21.95" customHeight="1" x14ac:dyDescent="0.15"/>
    <row r="19548" spans="3:3" s="9" customFormat="1" ht="21.95" customHeight="1" x14ac:dyDescent="0.15"/>
    <row r="19549" spans="3:3" s="8" customFormat="1" ht="21.95" customHeight="1" x14ac:dyDescent="0.15"/>
    <row r="19550" spans="3:3" s="8" customFormat="1" ht="21.95" customHeight="1" x14ac:dyDescent="0.15"/>
    <row r="19551" spans="3:3" s="8" customFormat="1" ht="21.95" customHeight="1" x14ac:dyDescent="0.15"/>
    <row r="19552" spans="3:3" s="8" customFormat="1" ht="21.95" customHeight="1" x14ac:dyDescent="0.15"/>
    <row r="19553" s="8" customFormat="1" ht="21.95" customHeight="1" x14ac:dyDescent="0.15"/>
    <row r="19554" s="8" customFormat="1" ht="21.95" customHeight="1" x14ac:dyDescent="0.15"/>
    <row r="19555" s="8" customFormat="1" ht="21.95" customHeight="1" x14ac:dyDescent="0.15"/>
    <row r="19556" s="8" customFormat="1" ht="21.95" customHeight="1" x14ac:dyDescent="0.15"/>
    <row r="19557" s="8" customFormat="1" ht="21.95" customHeight="1" x14ac:dyDescent="0.15"/>
    <row r="19558" s="8" customFormat="1" ht="21.95" customHeight="1" x14ac:dyDescent="0.15"/>
    <row r="19559" s="8" customFormat="1" ht="21.95" customHeight="1" x14ac:dyDescent="0.15"/>
    <row r="19560" s="8" customFormat="1" ht="32.1" customHeight="1" x14ac:dyDescent="0.15"/>
    <row r="19561" s="8" customFormat="1" ht="32.1" customHeight="1" x14ac:dyDescent="0.15"/>
    <row r="19562" s="8" customFormat="1" ht="32.1" customHeight="1" x14ac:dyDescent="0.15"/>
    <row r="19563" s="8" customFormat="1" ht="32.1" customHeight="1" x14ac:dyDescent="0.15"/>
    <row r="19564" s="8" customFormat="1" ht="32.1" customHeight="1" x14ac:dyDescent="0.15"/>
    <row r="19565" s="8" customFormat="1" ht="32.1" customHeight="1" x14ac:dyDescent="0.15"/>
    <row r="19566" s="9" customFormat="1" ht="32.1" customHeight="1" x14ac:dyDescent="0.15"/>
    <row r="19567" s="9" customFormat="1" ht="32.1" customHeight="1" x14ac:dyDescent="0.15"/>
    <row r="19568" s="9" customFormat="1" ht="32.1" customHeight="1" x14ac:dyDescent="0.15"/>
    <row r="19569" s="9" customFormat="1" ht="32.1" customHeight="1" x14ac:dyDescent="0.15"/>
    <row r="19570" s="9" customFormat="1" ht="21.95" customHeight="1" x14ac:dyDescent="0.15"/>
    <row r="19571" s="9" customFormat="1" ht="54" customHeight="1" x14ac:dyDescent="0.15"/>
    <row r="19572" s="9" customFormat="1" ht="21.95" customHeight="1" x14ac:dyDescent="0.15"/>
    <row r="19573" s="9" customFormat="1" ht="21.95" customHeight="1" x14ac:dyDescent="0.15"/>
    <row r="19574" s="9" customFormat="1" ht="21.95" customHeight="1" x14ac:dyDescent="0.15"/>
    <row r="19575" s="9" customFormat="1" ht="21.95" customHeight="1" x14ac:dyDescent="0.15"/>
    <row r="19576" s="9" customFormat="1" ht="21.95" customHeight="1" x14ac:dyDescent="0.15"/>
    <row r="19577" s="9" customFormat="1" ht="21.95" customHeight="1" x14ac:dyDescent="0.15"/>
    <row r="19578" s="9" customFormat="1" ht="21.95" customHeight="1" x14ac:dyDescent="0.15"/>
    <row r="19579" s="9" customFormat="1" ht="21.95" customHeight="1" x14ac:dyDescent="0.15"/>
    <row r="19580" s="9" customFormat="1" ht="21.95" customHeight="1" x14ac:dyDescent="0.15"/>
    <row r="19581" s="9" customFormat="1" ht="21.95" customHeight="1" x14ac:dyDescent="0.15"/>
    <row r="19582" s="9" customFormat="1" ht="21.95" customHeight="1" x14ac:dyDescent="0.15"/>
    <row r="19583" s="9" customFormat="1" ht="21.95" customHeight="1" x14ac:dyDescent="0.15"/>
    <row r="19584" s="9" customFormat="1" ht="21.95" customHeight="1" x14ac:dyDescent="0.15"/>
    <row r="19585" s="9" customFormat="1" ht="21.95" customHeight="1" x14ac:dyDescent="0.15"/>
    <row r="19586" s="9" customFormat="1" ht="21.95" customHeight="1" x14ac:dyDescent="0.15"/>
    <row r="19587" s="9" customFormat="1" ht="21.95" customHeight="1" x14ac:dyDescent="0.15"/>
    <row r="19588" s="9" customFormat="1" ht="21.95" customHeight="1" x14ac:dyDescent="0.15"/>
    <row r="19589" s="9" customFormat="1" ht="21.95" customHeight="1" x14ac:dyDescent="0.15"/>
    <row r="19590" s="9" customFormat="1" ht="21.95" customHeight="1" x14ac:dyDescent="0.15"/>
    <row r="19591" s="9" customFormat="1" ht="21.95" customHeight="1" x14ac:dyDescent="0.15"/>
    <row r="19592" s="9" customFormat="1" ht="21.95" customHeight="1" x14ac:dyDescent="0.15"/>
    <row r="19593" s="9" customFormat="1" ht="21.95" customHeight="1" x14ac:dyDescent="0.15"/>
    <row r="19594" s="9" customFormat="1" ht="21.95" customHeight="1" x14ac:dyDescent="0.15"/>
    <row r="19595" s="9" customFormat="1" ht="21.95" customHeight="1" x14ac:dyDescent="0.15"/>
    <row r="19596" s="9" customFormat="1" ht="21.95" customHeight="1" x14ac:dyDescent="0.15"/>
    <row r="19597" s="9" customFormat="1" ht="21.95" customHeight="1" x14ac:dyDescent="0.15"/>
    <row r="19598" s="9" customFormat="1" ht="21.95" customHeight="1" x14ac:dyDescent="0.15"/>
    <row r="19599" s="9" customFormat="1" ht="21.95" customHeight="1" x14ac:dyDescent="0.15"/>
    <row r="19600" s="9" customFormat="1" ht="21.95" customHeight="1" x14ac:dyDescent="0.15"/>
    <row r="19601" s="9" customFormat="1" ht="21.95" customHeight="1" x14ac:dyDescent="0.15"/>
    <row r="19602" s="9" customFormat="1" ht="21.95" customHeight="1" x14ac:dyDescent="0.15"/>
    <row r="19603" s="9" customFormat="1" ht="21.95" customHeight="1" x14ac:dyDescent="0.15"/>
    <row r="19604" s="9" customFormat="1" ht="21.95" customHeight="1" x14ac:dyDescent="0.15"/>
    <row r="19605" s="9" customFormat="1" ht="21.95" customHeight="1" x14ac:dyDescent="0.15"/>
    <row r="19606" s="9" customFormat="1" ht="21.95" customHeight="1" x14ac:dyDescent="0.15"/>
    <row r="19607" s="9" customFormat="1" ht="21.95" customHeight="1" x14ac:dyDescent="0.15"/>
    <row r="19608" s="9" customFormat="1" ht="21.95" customHeight="1" x14ac:dyDescent="0.15"/>
    <row r="19609" s="9" customFormat="1" ht="21.95" customHeight="1" x14ac:dyDescent="0.15"/>
    <row r="19610" s="9" customFormat="1" ht="21.95" customHeight="1" x14ac:dyDescent="0.15"/>
    <row r="19611" s="9" customFormat="1" ht="21.95" customHeight="1" x14ac:dyDescent="0.15"/>
    <row r="19612" s="9" customFormat="1" ht="21.95" customHeight="1" x14ac:dyDescent="0.15"/>
    <row r="19613" s="9" customFormat="1" ht="21.95" customHeight="1" x14ac:dyDescent="0.15"/>
    <row r="19614" s="9" customFormat="1" ht="21.95" customHeight="1" x14ac:dyDescent="0.15"/>
    <row r="19615" s="9" customFormat="1" ht="21.95" customHeight="1" x14ac:dyDescent="0.15"/>
    <row r="19616" s="9" customFormat="1" ht="21.95" customHeight="1" x14ac:dyDescent="0.15"/>
    <row r="19617" s="9" customFormat="1" ht="21.95" customHeight="1" x14ac:dyDescent="0.15"/>
    <row r="19618" s="9" customFormat="1" ht="21.95" customHeight="1" x14ac:dyDescent="0.15"/>
    <row r="19619" s="9" customFormat="1" ht="21.95" customHeight="1" x14ac:dyDescent="0.15"/>
    <row r="19620" s="9" customFormat="1" ht="21.95" customHeight="1" x14ac:dyDescent="0.15"/>
    <row r="19621" s="9" customFormat="1" ht="21.95" customHeight="1" x14ac:dyDescent="0.15"/>
    <row r="19622" s="9" customFormat="1" ht="35.1" customHeight="1" x14ac:dyDescent="0.15"/>
    <row r="19623" s="9" customFormat="1" ht="21.95" customHeight="1" x14ac:dyDescent="0.15"/>
    <row r="19624" s="9" customFormat="1" ht="21.95" customHeight="1" x14ac:dyDescent="0.15"/>
    <row r="19625" s="9" customFormat="1" ht="21.95" customHeight="1" x14ac:dyDescent="0.15"/>
    <row r="19626" s="9" customFormat="1" ht="21.95" customHeight="1" x14ac:dyDescent="0.15"/>
    <row r="19627" s="9" customFormat="1" ht="21.95" customHeight="1" x14ac:dyDescent="0.15"/>
    <row r="19628" s="9" customFormat="1" ht="21.95" customHeight="1" x14ac:dyDescent="0.15"/>
    <row r="19629" s="9" customFormat="1" ht="21.95" customHeight="1" x14ac:dyDescent="0.15"/>
    <row r="19630" s="9" customFormat="1" ht="21.95" customHeight="1" x14ac:dyDescent="0.15"/>
    <row r="19631" s="9" customFormat="1" ht="21.95" customHeight="1" x14ac:dyDescent="0.15"/>
    <row r="19632" s="9" customFormat="1" ht="21.95" customHeight="1" x14ac:dyDescent="0.15"/>
    <row r="19633" spans="3:3" s="9" customFormat="1" ht="21.95" customHeight="1" x14ac:dyDescent="0.15"/>
    <row r="19634" spans="3:3" s="9" customFormat="1" ht="21.95" customHeight="1" x14ac:dyDescent="0.15"/>
    <row r="19635" spans="3:3" s="9" customFormat="1" ht="21.95" customHeight="1" x14ac:dyDescent="0.15"/>
    <row r="19636" spans="3:3" s="9" customFormat="1" ht="21.95" customHeight="1" x14ac:dyDescent="0.15"/>
    <row r="19637" spans="3:3" s="9" customFormat="1" ht="21.95" customHeight="1" x14ac:dyDescent="0.15"/>
    <row r="19638" spans="3:3" s="9" customFormat="1" ht="21.95" customHeight="1" x14ac:dyDescent="0.15"/>
    <row r="19639" spans="3:3" s="9" customFormat="1" ht="21.95" customHeight="1" x14ac:dyDescent="0.15"/>
    <row r="19640" spans="3:3" s="9" customFormat="1" ht="21.95" customHeight="1" x14ac:dyDescent="0.15"/>
    <row r="19641" spans="3:3" s="9" customFormat="1" ht="21.95" customHeight="1" x14ac:dyDescent="0.15"/>
    <row r="19642" spans="3:3" s="9" customFormat="1" ht="21.95" customHeight="1" x14ac:dyDescent="0.15"/>
    <row r="19643" spans="3:3" s="9" customFormat="1" ht="21.95" customHeight="1" x14ac:dyDescent="0.15"/>
    <row r="19644" spans="3:3" s="9" customFormat="1" ht="21.95" customHeight="1" x14ac:dyDescent="0.15"/>
    <row r="19645" spans="3:3" s="9" customFormat="1" ht="21.95" customHeight="1" x14ac:dyDescent="0.15"/>
    <row r="19646" spans="3:3" s="8" customFormat="1" ht="21.95" customHeight="1" x14ac:dyDescent="0.15"/>
    <row r="19647" spans="3:3" s="8" customFormat="1" ht="21.95" customHeight="1" x14ac:dyDescent="0.15"/>
    <row r="19648" spans="3:3" s="8" customFormat="1" ht="21.95" customHeight="1" x14ac:dyDescent="0.15">
      <c r="C19648" s="101"/>
    </row>
    <row r="19649" spans="3:3" s="8" customFormat="1" ht="21.95" customHeight="1" x14ac:dyDescent="0.15">
      <c r="C19649" s="101"/>
    </row>
    <row r="19650" spans="3:3" s="8" customFormat="1" ht="21.95" customHeight="1" x14ac:dyDescent="0.15"/>
    <row r="19651" spans="3:3" s="8" customFormat="1" ht="21.95" customHeight="1" x14ac:dyDescent="0.15"/>
    <row r="19652" spans="3:3" s="8" customFormat="1" ht="21.95" customHeight="1" x14ac:dyDescent="0.15"/>
    <row r="19653" spans="3:3" s="8" customFormat="1" ht="21.95" customHeight="1" x14ac:dyDescent="0.15"/>
    <row r="19654" spans="3:3" s="8" customFormat="1" ht="21.95" customHeight="1" x14ac:dyDescent="0.15"/>
    <row r="19655" spans="3:3" s="8" customFormat="1" ht="21.95" customHeight="1" x14ac:dyDescent="0.15"/>
    <row r="19656" spans="3:3" s="8" customFormat="1" ht="21.95" customHeight="1" x14ac:dyDescent="0.15"/>
    <row r="19657" spans="3:3" s="9" customFormat="1" ht="21.95" customHeight="1" x14ac:dyDescent="0.15"/>
    <row r="19658" spans="3:3" s="9" customFormat="1" ht="21.95" customHeight="1" x14ac:dyDescent="0.15"/>
    <row r="19659" spans="3:3" s="9" customFormat="1" ht="21.95" customHeight="1" x14ac:dyDescent="0.15"/>
    <row r="19660" spans="3:3" s="9" customFormat="1" ht="21.95" customHeight="1" x14ac:dyDescent="0.15"/>
    <row r="19661" spans="3:3" s="8" customFormat="1" ht="21.95" customHeight="1" x14ac:dyDescent="0.15"/>
    <row r="19662" spans="3:3" s="8" customFormat="1" ht="21.95" customHeight="1" x14ac:dyDescent="0.15"/>
    <row r="19663" spans="3:3" s="8" customFormat="1" ht="21.95" customHeight="1" x14ac:dyDescent="0.15"/>
    <row r="19664" spans="3:3" s="8" customFormat="1" ht="21.95" customHeight="1" x14ac:dyDescent="0.15"/>
    <row r="19665" s="8" customFormat="1" ht="21.95" customHeight="1" x14ac:dyDescent="0.15"/>
    <row r="19666" s="8" customFormat="1" ht="21.95" customHeight="1" x14ac:dyDescent="0.15"/>
    <row r="19667" s="8" customFormat="1" ht="21.95" customHeight="1" x14ac:dyDescent="0.15"/>
    <row r="19668" s="8" customFormat="1" ht="21.95" customHeight="1" x14ac:dyDescent="0.15"/>
    <row r="19669" s="8" customFormat="1" ht="21.95" customHeight="1" x14ac:dyDescent="0.15"/>
    <row r="19670" s="8" customFormat="1" ht="21.95" customHeight="1" x14ac:dyDescent="0.15"/>
    <row r="19671" s="8" customFormat="1" ht="21.95" customHeight="1" x14ac:dyDescent="0.15"/>
    <row r="19672" s="8" customFormat="1" ht="32.1" customHeight="1" x14ac:dyDescent="0.15"/>
    <row r="19673" s="8" customFormat="1" ht="32.1" customHeight="1" x14ac:dyDescent="0.15"/>
    <row r="19674" s="8" customFormat="1" ht="32.1" customHeight="1" x14ac:dyDescent="0.15"/>
    <row r="19675" s="8" customFormat="1" ht="32.1" customHeight="1" x14ac:dyDescent="0.15"/>
    <row r="19676" s="8" customFormat="1" ht="32.1" customHeight="1" x14ac:dyDescent="0.15"/>
    <row r="19677" s="8" customFormat="1" ht="32.1" customHeight="1" x14ac:dyDescent="0.15"/>
    <row r="19678" s="9" customFormat="1" ht="32.1" customHeight="1" x14ac:dyDescent="0.15"/>
    <row r="19679" s="9" customFormat="1" ht="32.1" customHeight="1" x14ac:dyDescent="0.15"/>
    <row r="19680" s="9" customFormat="1" ht="32.1" customHeight="1" x14ac:dyDescent="0.15"/>
    <row r="19681" s="9" customFormat="1" ht="32.1" customHeight="1" x14ac:dyDescent="0.15"/>
    <row r="19682" s="9" customFormat="1" ht="21.95" customHeight="1" x14ac:dyDescent="0.15"/>
    <row r="19683" s="9" customFormat="1" ht="54" customHeight="1" x14ac:dyDescent="0.15"/>
    <row r="19684" s="9" customFormat="1" ht="21.95" customHeight="1" x14ac:dyDescent="0.15"/>
    <row r="19685" s="9" customFormat="1" ht="21.95" customHeight="1" x14ac:dyDescent="0.15"/>
    <row r="19686" s="9" customFormat="1" ht="21.95" customHeight="1" x14ac:dyDescent="0.15"/>
    <row r="19687" s="9" customFormat="1" ht="21.95" customHeight="1" x14ac:dyDescent="0.15"/>
    <row r="19688" s="9" customFormat="1" ht="21.95" customHeight="1" x14ac:dyDescent="0.15"/>
    <row r="19689" s="9" customFormat="1" ht="21.95" customHeight="1" x14ac:dyDescent="0.15"/>
    <row r="19690" s="9" customFormat="1" ht="21.95" customHeight="1" x14ac:dyDescent="0.15"/>
    <row r="19691" s="9" customFormat="1" ht="21.95" customHeight="1" x14ac:dyDescent="0.15"/>
    <row r="19692" s="9" customFormat="1" ht="21.95" customHeight="1" x14ac:dyDescent="0.15"/>
    <row r="19693" s="9" customFormat="1" ht="21.95" customHeight="1" x14ac:dyDescent="0.15"/>
    <row r="19694" s="9" customFormat="1" ht="21.95" customHeight="1" x14ac:dyDescent="0.15"/>
    <row r="19695" s="9" customFormat="1" ht="21.95" customHeight="1" x14ac:dyDescent="0.15"/>
    <row r="19696" s="9" customFormat="1" ht="21.95" customHeight="1" x14ac:dyDescent="0.15"/>
    <row r="19697" s="9" customFormat="1" ht="21.95" customHeight="1" x14ac:dyDescent="0.15"/>
    <row r="19698" s="9" customFormat="1" ht="21.95" customHeight="1" x14ac:dyDescent="0.15"/>
    <row r="19699" s="9" customFormat="1" ht="21.95" customHeight="1" x14ac:dyDescent="0.15"/>
    <row r="19700" s="9" customFormat="1" ht="21.95" customHeight="1" x14ac:dyDescent="0.15"/>
    <row r="19701" s="9" customFormat="1" ht="21.95" customHeight="1" x14ac:dyDescent="0.15"/>
    <row r="19702" s="9" customFormat="1" ht="21.95" customHeight="1" x14ac:dyDescent="0.15"/>
    <row r="19703" s="9" customFormat="1" ht="21.95" customHeight="1" x14ac:dyDescent="0.15"/>
    <row r="19704" s="9" customFormat="1" ht="21.95" customHeight="1" x14ac:dyDescent="0.15"/>
    <row r="19705" s="9" customFormat="1" ht="21.95" customHeight="1" x14ac:dyDescent="0.15"/>
    <row r="19706" s="9" customFormat="1" ht="21.95" customHeight="1" x14ac:dyDescent="0.15"/>
    <row r="19707" s="9" customFormat="1" ht="21.95" customHeight="1" x14ac:dyDescent="0.15"/>
    <row r="19708" s="9" customFormat="1" ht="21.95" customHeight="1" x14ac:dyDescent="0.15"/>
    <row r="19709" s="9" customFormat="1" ht="21.95" customHeight="1" x14ac:dyDescent="0.15"/>
    <row r="19710" s="9" customFormat="1" ht="21.95" customHeight="1" x14ac:dyDescent="0.15"/>
    <row r="19711" s="9" customFormat="1" ht="21.95" customHeight="1" x14ac:dyDescent="0.15"/>
    <row r="19712" s="9" customFormat="1" ht="21.95" customHeight="1" x14ac:dyDescent="0.15"/>
    <row r="19713" s="9" customFormat="1" ht="21.95" customHeight="1" x14ac:dyDescent="0.15"/>
    <row r="19714" s="9" customFormat="1" ht="21.95" customHeight="1" x14ac:dyDescent="0.15"/>
    <row r="19715" s="9" customFormat="1" ht="21.95" customHeight="1" x14ac:dyDescent="0.15"/>
    <row r="19716" s="9" customFormat="1" ht="21.95" customHeight="1" x14ac:dyDescent="0.15"/>
    <row r="19717" s="9" customFormat="1" ht="21.95" customHeight="1" x14ac:dyDescent="0.15"/>
    <row r="19718" s="9" customFormat="1" ht="21.95" customHeight="1" x14ac:dyDescent="0.15"/>
    <row r="19719" s="9" customFormat="1" ht="21.95" customHeight="1" x14ac:dyDescent="0.15"/>
    <row r="19720" s="9" customFormat="1" ht="21.95" customHeight="1" x14ac:dyDescent="0.15"/>
    <row r="19721" s="9" customFormat="1" ht="21.95" customHeight="1" x14ac:dyDescent="0.15"/>
    <row r="19722" s="9" customFormat="1" ht="21.95" customHeight="1" x14ac:dyDescent="0.15"/>
    <row r="19723" s="9" customFormat="1" ht="21.95" customHeight="1" x14ac:dyDescent="0.15"/>
    <row r="19724" s="9" customFormat="1" ht="21.95" customHeight="1" x14ac:dyDescent="0.15"/>
    <row r="19725" s="9" customFormat="1" ht="21.95" customHeight="1" x14ac:dyDescent="0.15"/>
    <row r="19726" s="9" customFormat="1" ht="21.95" customHeight="1" x14ac:dyDescent="0.15"/>
    <row r="19727" s="9" customFormat="1" ht="21.95" customHeight="1" x14ac:dyDescent="0.15"/>
    <row r="19728" s="9" customFormat="1" ht="21.95" customHeight="1" x14ac:dyDescent="0.15"/>
    <row r="19729" s="9" customFormat="1" ht="21.95" customHeight="1" x14ac:dyDescent="0.15"/>
    <row r="19730" s="9" customFormat="1" ht="21.95" customHeight="1" x14ac:dyDescent="0.15"/>
    <row r="19731" s="9" customFormat="1" ht="21.95" customHeight="1" x14ac:dyDescent="0.15"/>
    <row r="19732" s="9" customFormat="1" ht="21.95" customHeight="1" x14ac:dyDescent="0.15"/>
    <row r="19733" s="9" customFormat="1" ht="21.95" customHeight="1" x14ac:dyDescent="0.15"/>
    <row r="19734" s="9" customFormat="1" ht="35.1" customHeight="1" x14ac:dyDescent="0.15"/>
    <row r="19735" s="9" customFormat="1" ht="21.95" customHeight="1" x14ac:dyDescent="0.15"/>
    <row r="19736" s="9" customFormat="1" ht="21.95" customHeight="1" x14ac:dyDescent="0.15"/>
    <row r="19737" s="9" customFormat="1" ht="21.95" customHeight="1" x14ac:dyDescent="0.15"/>
    <row r="19738" s="9" customFormat="1" ht="21.95" customHeight="1" x14ac:dyDescent="0.15"/>
    <row r="19739" s="9" customFormat="1" ht="21.95" customHeight="1" x14ac:dyDescent="0.15"/>
    <row r="19740" s="9" customFormat="1" ht="21.95" customHeight="1" x14ac:dyDescent="0.15"/>
    <row r="19741" s="9" customFormat="1" ht="21.95" customHeight="1" x14ac:dyDescent="0.15"/>
    <row r="19742" s="9" customFormat="1" ht="21.95" customHeight="1" x14ac:dyDescent="0.15"/>
    <row r="19743" s="9" customFormat="1" ht="21.95" customHeight="1" x14ac:dyDescent="0.15"/>
    <row r="19744" s="9" customFormat="1" ht="21.95" customHeight="1" x14ac:dyDescent="0.15"/>
    <row r="19745" spans="3:3" s="9" customFormat="1" ht="21.95" customHeight="1" x14ac:dyDescent="0.15"/>
    <row r="19746" spans="3:3" s="9" customFormat="1" ht="21.95" customHeight="1" x14ac:dyDescent="0.15"/>
    <row r="19747" spans="3:3" s="9" customFormat="1" ht="21.95" customHeight="1" x14ac:dyDescent="0.15"/>
    <row r="19748" spans="3:3" s="9" customFormat="1" ht="21.95" customHeight="1" x14ac:dyDescent="0.15"/>
    <row r="19749" spans="3:3" s="9" customFormat="1" ht="21.95" customHeight="1" x14ac:dyDescent="0.15"/>
    <row r="19750" spans="3:3" s="9" customFormat="1" ht="21.95" customHeight="1" x14ac:dyDescent="0.15"/>
    <row r="19751" spans="3:3" s="9" customFormat="1" ht="21.95" customHeight="1" x14ac:dyDescent="0.15"/>
    <row r="19752" spans="3:3" s="9" customFormat="1" ht="21.95" customHeight="1" x14ac:dyDescent="0.15"/>
    <row r="19753" spans="3:3" s="9" customFormat="1" ht="21.95" customHeight="1" x14ac:dyDescent="0.15"/>
    <row r="19754" spans="3:3" s="9" customFormat="1" ht="21.95" customHeight="1" x14ac:dyDescent="0.15"/>
    <row r="19755" spans="3:3" s="9" customFormat="1" ht="21.95" customHeight="1" x14ac:dyDescent="0.15"/>
    <row r="19756" spans="3:3" s="9" customFormat="1" ht="21.95" customHeight="1" x14ac:dyDescent="0.15"/>
    <row r="19757" spans="3:3" s="9" customFormat="1" ht="21.95" customHeight="1" x14ac:dyDescent="0.15"/>
    <row r="19758" spans="3:3" s="8" customFormat="1" ht="21.95" customHeight="1" x14ac:dyDescent="0.15"/>
    <row r="19759" spans="3:3" s="8" customFormat="1" ht="21.95" customHeight="1" x14ac:dyDescent="0.15"/>
    <row r="19760" spans="3:3" s="8" customFormat="1" ht="21.95" customHeight="1" x14ac:dyDescent="0.15">
      <c r="C19760" s="101"/>
    </row>
    <row r="19761" spans="3:3" s="8" customFormat="1" ht="21.95" customHeight="1" x14ac:dyDescent="0.15">
      <c r="C19761" s="101"/>
    </row>
    <row r="19762" spans="3:3" s="8" customFormat="1" ht="21.95" customHeight="1" x14ac:dyDescent="0.15"/>
    <row r="19763" spans="3:3" s="8" customFormat="1" ht="21.95" customHeight="1" x14ac:dyDescent="0.15"/>
    <row r="19764" spans="3:3" s="8" customFormat="1" ht="21.95" customHeight="1" x14ac:dyDescent="0.15"/>
    <row r="19765" spans="3:3" s="8" customFormat="1" ht="21.95" customHeight="1" x14ac:dyDescent="0.15"/>
    <row r="19766" spans="3:3" s="8" customFormat="1" ht="21.95" customHeight="1" x14ac:dyDescent="0.15"/>
    <row r="19767" spans="3:3" s="8" customFormat="1" ht="21.95" customHeight="1" x14ac:dyDescent="0.15"/>
    <row r="19768" spans="3:3" s="8" customFormat="1" ht="21.95" customHeight="1" x14ac:dyDescent="0.15"/>
    <row r="19769" spans="3:3" s="9" customFormat="1" ht="21.95" customHeight="1" x14ac:dyDescent="0.15"/>
    <row r="19770" spans="3:3" s="9" customFormat="1" ht="21.95" customHeight="1" x14ac:dyDescent="0.15"/>
    <row r="19771" spans="3:3" s="9" customFormat="1" ht="21.95" customHeight="1" x14ac:dyDescent="0.15"/>
    <row r="19772" spans="3:3" s="9" customFormat="1" ht="21.95" customHeight="1" x14ac:dyDescent="0.15"/>
    <row r="19773" spans="3:3" s="8" customFormat="1" ht="21.95" customHeight="1" x14ac:dyDescent="0.15"/>
    <row r="19774" spans="3:3" s="8" customFormat="1" ht="21.95" customHeight="1" x14ac:dyDescent="0.15"/>
    <row r="19775" spans="3:3" s="8" customFormat="1" ht="21.95" customHeight="1" x14ac:dyDescent="0.15"/>
    <row r="19776" spans="3:3" s="8" customFormat="1" ht="21.95" customHeight="1" x14ac:dyDescent="0.15"/>
    <row r="19777" s="8" customFormat="1" ht="21.95" customHeight="1" x14ac:dyDescent="0.15"/>
    <row r="19778" s="8" customFormat="1" ht="21.95" customHeight="1" x14ac:dyDescent="0.15"/>
    <row r="19779" s="8" customFormat="1" ht="21.95" customHeight="1" x14ac:dyDescent="0.15"/>
    <row r="19780" s="8" customFormat="1" ht="21.95" customHeight="1" x14ac:dyDescent="0.15"/>
    <row r="19781" s="8" customFormat="1" ht="21.95" customHeight="1" x14ac:dyDescent="0.15"/>
    <row r="19782" s="8" customFormat="1" ht="21.95" customHeight="1" x14ac:dyDescent="0.15"/>
    <row r="19783" s="8" customFormat="1" ht="21.95" customHeight="1" x14ac:dyDescent="0.15"/>
    <row r="19784" s="8" customFormat="1" ht="32.1" customHeight="1" x14ac:dyDescent="0.15"/>
    <row r="19785" s="8" customFormat="1" ht="32.1" customHeight="1" x14ac:dyDescent="0.15"/>
    <row r="19786" s="8" customFormat="1" ht="32.1" customHeight="1" x14ac:dyDescent="0.15"/>
    <row r="19787" s="8" customFormat="1" ht="32.1" customHeight="1" x14ac:dyDescent="0.15"/>
    <row r="19788" s="8" customFormat="1" ht="32.1" customHeight="1" x14ac:dyDescent="0.15"/>
    <row r="19789" s="8" customFormat="1" ht="32.1" customHeight="1" x14ac:dyDescent="0.15"/>
    <row r="19790" s="9" customFormat="1" ht="32.1" customHeight="1" x14ac:dyDescent="0.15"/>
    <row r="19791" s="9" customFormat="1" ht="32.1" customHeight="1" x14ac:dyDescent="0.15"/>
    <row r="19792" s="9" customFormat="1" ht="32.1" customHeight="1" x14ac:dyDescent="0.15"/>
    <row r="19793" s="9" customFormat="1" ht="32.1" customHeight="1" x14ac:dyDescent="0.15"/>
    <row r="19794" s="9" customFormat="1" ht="21.95" customHeight="1" x14ac:dyDescent="0.15"/>
    <row r="19795" s="9" customFormat="1" ht="54" customHeight="1" x14ac:dyDescent="0.15"/>
    <row r="19796" s="9" customFormat="1" ht="21.95" customHeight="1" x14ac:dyDescent="0.15"/>
    <row r="19797" s="9" customFormat="1" ht="21.95" customHeight="1" x14ac:dyDescent="0.15"/>
    <row r="19798" s="9" customFormat="1" ht="21.95" customHeight="1" x14ac:dyDescent="0.15"/>
    <row r="19799" s="9" customFormat="1" ht="21.95" customHeight="1" x14ac:dyDescent="0.15"/>
    <row r="19800" s="9" customFormat="1" ht="21.95" customHeight="1" x14ac:dyDescent="0.15"/>
    <row r="19801" s="9" customFormat="1" ht="21.95" customHeight="1" x14ac:dyDescent="0.15"/>
    <row r="19802" s="9" customFormat="1" ht="21.95" customHeight="1" x14ac:dyDescent="0.15"/>
    <row r="19803" s="9" customFormat="1" ht="21.95" customHeight="1" x14ac:dyDescent="0.15"/>
    <row r="19804" s="9" customFormat="1" ht="21.95" customHeight="1" x14ac:dyDescent="0.15"/>
    <row r="19805" s="9" customFormat="1" ht="21.95" customHeight="1" x14ac:dyDescent="0.15"/>
    <row r="19806" s="9" customFormat="1" ht="21.95" customHeight="1" x14ac:dyDescent="0.15"/>
    <row r="19807" s="9" customFormat="1" ht="21.95" customHeight="1" x14ac:dyDescent="0.15"/>
    <row r="19808" s="9" customFormat="1" ht="21.95" customHeight="1" x14ac:dyDescent="0.15"/>
    <row r="19809" s="9" customFormat="1" ht="21.95" customHeight="1" x14ac:dyDescent="0.15"/>
    <row r="19810" s="9" customFormat="1" ht="21.95" customHeight="1" x14ac:dyDescent="0.15"/>
    <row r="19811" s="9" customFormat="1" ht="21.95" customHeight="1" x14ac:dyDescent="0.15"/>
    <row r="19812" s="9" customFormat="1" ht="21.95" customHeight="1" x14ac:dyDescent="0.15"/>
    <row r="19813" s="9" customFormat="1" ht="21.95" customHeight="1" x14ac:dyDescent="0.15"/>
    <row r="19814" s="9" customFormat="1" ht="21.95" customHeight="1" x14ac:dyDescent="0.15"/>
    <row r="19815" s="9" customFormat="1" ht="21.95" customHeight="1" x14ac:dyDescent="0.15"/>
    <row r="19816" s="9" customFormat="1" ht="21.95" customHeight="1" x14ac:dyDescent="0.15"/>
    <row r="19817" s="9" customFormat="1" ht="21.95" customHeight="1" x14ac:dyDescent="0.15"/>
    <row r="19818" s="9" customFormat="1" ht="21.95" customHeight="1" x14ac:dyDescent="0.15"/>
    <row r="19819" s="9" customFormat="1" ht="21.95" customHeight="1" x14ac:dyDescent="0.15"/>
    <row r="19820" s="9" customFormat="1" ht="21.95" customHeight="1" x14ac:dyDescent="0.15"/>
    <row r="19821" s="9" customFormat="1" ht="21.95" customHeight="1" x14ac:dyDescent="0.15"/>
    <row r="19822" s="9" customFormat="1" ht="21.95" customHeight="1" x14ac:dyDescent="0.15"/>
    <row r="19823" s="9" customFormat="1" ht="21.95" customHeight="1" x14ac:dyDescent="0.15"/>
    <row r="19824" s="9" customFormat="1" ht="21.95" customHeight="1" x14ac:dyDescent="0.15"/>
    <row r="19825" s="9" customFormat="1" ht="21.95" customHeight="1" x14ac:dyDescent="0.15"/>
    <row r="19826" s="9" customFormat="1" ht="21.95" customHeight="1" x14ac:dyDescent="0.15"/>
    <row r="19827" s="9" customFormat="1" ht="21.95" customHeight="1" x14ac:dyDescent="0.15"/>
    <row r="19828" s="9" customFormat="1" ht="21.95" customHeight="1" x14ac:dyDescent="0.15"/>
    <row r="19829" s="9" customFormat="1" ht="21.95" customHeight="1" x14ac:dyDescent="0.15"/>
    <row r="19830" s="9" customFormat="1" ht="21.95" customHeight="1" x14ac:dyDescent="0.15"/>
    <row r="19831" s="9" customFormat="1" ht="21.95" customHeight="1" x14ac:dyDescent="0.15"/>
    <row r="19832" s="9" customFormat="1" ht="21.95" customHeight="1" x14ac:dyDescent="0.15"/>
    <row r="19833" s="9" customFormat="1" ht="21.95" customHeight="1" x14ac:dyDescent="0.15"/>
    <row r="19834" s="9" customFormat="1" ht="21.95" customHeight="1" x14ac:dyDescent="0.15"/>
    <row r="19835" s="9" customFormat="1" ht="21.95" customHeight="1" x14ac:dyDescent="0.15"/>
    <row r="19836" s="9" customFormat="1" ht="21.95" customHeight="1" x14ac:dyDescent="0.15"/>
    <row r="19837" s="9" customFormat="1" ht="21.95" customHeight="1" x14ac:dyDescent="0.15"/>
    <row r="19838" s="9" customFormat="1" ht="21.95" customHeight="1" x14ac:dyDescent="0.15"/>
    <row r="19839" s="9" customFormat="1" ht="21.95" customHeight="1" x14ac:dyDescent="0.15"/>
    <row r="19840" s="9" customFormat="1" ht="21.95" customHeight="1" x14ac:dyDescent="0.15"/>
    <row r="19841" s="9" customFormat="1" ht="21.95" customHeight="1" x14ac:dyDescent="0.15"/>
    <row r="19842" s="9" customFormat="1" ht="21.95" customHeight="1" x14ac:dyDescent="0.15"/>
    <row r="19843" s="9" customFormat="1" ht="21.95" customHeight="1" x14ac:dyDescent="0.15"/>
    <row r="19844" s="9" customFormat="1" ht="21.95" customHeight="1" x14ac:dyDescent="0.15"/>
    <row r="19845" s="9" customFormat="1" ht="21.95" customHeight="1" x14ac:dyDescent="0.15"/>
    <row r="19846" s="9" customFormat="1" ht="35.1" customHeight="1" x14ac:dyDescent="0.15"/>
    <row r="19847" s="9" customFormat="1" ht="21.95" customHeight="1" x14ac:dyDescent="0.15"/>
    <row r="19848" s="9" customFormat="1" ht="21.95" customHeight="1" x14ac:dyDescent="0.15"/>
    <row r="19849" s="9" customFormat="1" ht="21.95" customHeight="1" x14ac:dyDescent="0.15"/>
    <row r="19850" s="9" customFormat="1" ht="21.95" customHeight="1" x14ac:dyDescent="0.15"/>
    <row r="19851" s="9" customFormat="1" ht="21.95" customHeight="1" x14ac:dyDescent="0.15"/>
    <row r="19852" s="9" customFormat="1" ht="21.95" customHeight="1" x14ac:dyDescent="0.15"/>
    <row r="19853" s="9" customFormat="1" ht="21.95" customHeight="1" x14ac:dyDescent="0.15"/>
    <row r="19854" s="9" customFormat="1" ht="21.95" customHeight="1" x14ac:dyDescent="0.15"/>
    <row r="19855" s="9" customFormat="1" ht="21.95" customHeight="1" x14ac:dyDescent="0.15"/>
    <row r="19856" s="9" customFormat="1" ht="21.95" customHeight="1" x14ac:dyDescent="0.15"/>
    <row r="19857" spans="3:3" s="9" customFormat="1" ht="21.95" customHeight="1" x14ac:dyDescent="0.15"/>
    <row r="19858" spans="3:3" s="9" customFormat="1" ht="21.95" customHeight="1" x14ac:dyDescent="0.15"/>
    <row r="19859" spans="3:3" s="9" customFormat="1" ht="21.95" customHeight="1" x14ac:dyDescent="0.15"/>
    <row r="19860" spans="3:3" s="9" customFormat="1" ht="21.95" customHeight="1" x14ac:dyDescent="0.15"/>
    <row r="19861" spans="3:3" s="9" customFormat="1" ht="21.95" customHeight="1" x14ac:dyDescent="0.15"/>
    <row r="19862" spans="3:3" s="9" customFormat="1" ht="21.95" customHeight="1" x14ac:dyDescent="0.15"/>
    <row r="19863" spans="3:3" s="9" customFormat="1" ht="21.95" customHeight="1" x14ac:dyDescent="0.15"/>
    <row r="19864" spans="3:3" s="9" customFormat="1" ht="21.95" customHeight="1" x14ac:dyDescent="0.15"/>
    <row r="19865" spans="3:3" s="9" customFormat="1" ht="21.95" customHeight="1" x14ac:dyDescent="0.15"/>
    <row r="19866" spans="3:3" s="9" customFormat="1" ht="21.95" customHeight="1" x14ac:dyDescent="0.15"/>
    <row r="19867" spans="3:3" s="9" customFormat="1" ht="21.95" customHeight="1" x14ac:dyDescent="0.15"/>
    <row r="19868" spans="3:3" s="9" customFormat="1" ht="21.95" customHeight="1" x14ac:dyDescent="0.15"/>
    <row r="19869" spans="3:3" s="9" customFormat="1" ht="21.95" customHeight="1" x14ac:dyDescent="0.15"/>
    <row r="19870" spans="3:3" s="8" customFormat="1" ht="21.95" customHeight="1" x14ac:dyDescent="0.15"/>
    <row r="19871" spans="3:3" s="8" customFormat="1" ht="21.95" customHeight="1" x14ac:dyDescent="0.15"/>
    <row r="19872" spans="3:3" s="8" customFormat="1" ht="21.95" customHeight="1" x14ac:dyDescent="0.15">
      <c r="C19872" s="101"/>
    </row>
    <row r="19873" spans="3:3" s="8" customFormat="1" ht="21.95" customHeight="1" x14ac:dyDescent="0.15">
      <c r="C19873" s="101"/>
    </row>
    <row r="19874" spans="3:3" s="8" customFormat="1" ht="21.95" customHeight="1" x14ac:dyDescent="0.15"/>
    <row r="19875" spans="3:3" s="8" customFormat="1" ht="21.95" customHeight="1" x14ac:dyDescent="0.15"/>
    <row r="19876" spans="3:3" s="8" customFormat="1" ht="21.95" customHeight="1" x14ac:dyDescent="0.15"/>
    <row r="19877" spans="3:3" s="8" customFormat="1" ht="21.95" customHeight="1" x14ac:dyDescent="0.15"/>
    <row r="19878" spans="3:3" s="8" customFormat="1" ht="21.95" customHeight="1" x14ac:dyDescent="0.15"/>
    <row r="19879" spans="3:3" s="8" customFormat="1" ht="21.95" customHeight="1" x14ac:dyDescent="0.15"/>
    <row r="19880" spans="3:3" s="8" customFormat="1" ht="21.95" customHeight="1" x14ac:dyDescent="0.15"/>
    <row r="19881" spans="3:3" s="9" customFormat="1" ht="21.95" customHeight="1" x14ac:dyDescent="0.15"/>
    <row r="19882" spans="3:3" s="9" customFormat="1" ht="21.95" customHeight="1" x14ac:dyDescent="0.15"/>
    <row r="19883" spans="3:3" s="9" customFormat="1" ht="21.95" customHeight="1" x14ac:dyDescent="0.15"/>
    <row r="19884" spans="3:3" s="9" customFormat="1" ht="21.95" customHeight="1" x14ac:dyDescent="0.15"/>
    <row r="19885" spans="3:3" s="8" customFormat="1" ht="21.95" customHeight="1" x14ac:dyDescent="0.15"/>
    <row r="19886" spans="3:3" s="8" customFormat="1" ht="21.95" customHeight="1" x14ac:dyDescent="0.15"/>
    <row r="19887" spans="3:3" s="8" customFormat="1" ht="21.95" customHeight="1" x14ac:dyDescent="0.15"/>
    <row r="19888" spans="3:3" s="8" customFormat="1" ht="21.95" customHeight="1" x14ac:dyDescent="0.15"/>
    <row r="19889" s="8" customFormat="1" ht="21.95" customHeight="1" x14ac:dyDescent="0.15"/>
    <row r="19890" s="8" customFormat="1" ht="21.95" customHeight="1" x14ac:dyDescent="0.15"/>
    <row r="19891" s="8" customFormat="1" ht="21.95" customHeight="1" x14ac:dyDescent="0.15"/>
    <row r="19892" s="8" customFormat="1" ht="21.95" customHeight="1" x14ac:dyDescent="0.15"/>
    <row r="19893" s="8" customFormat="1" ht="21.95" customHeight="1" x14ac:dyDescent="0.15"/>
    <row r="19894" s="8" customFormat="1" ht="21.95" customHeight="1" x14ac:dyDescent="0.15"/>
    <row r="19895" s="8" customFormat="1" ht="21.95" customHeight="1" x14ac:dyDescent="0.15"/>
    <row r="19896" s="8" customFormat="1" ht="32.1" customHeight="1" x14ac:dyDescent="0.15"/>
    <row r="19897" s="8" customFormat="1" ht="32.1" customHeight="1" x14ac:dyDescent="0.15"/>
    <row r="19898" s="8" customFormat="1" ht="32.1" customHeight="1" x14ac:dyDescent="0.15"/>
    <row r="19899" s="8" customFormat="1" ht="32.1" customHeight="1" x14ac:dyDescent="0.15"/>
    <row r="19900" s="8" customFormat="1" ht="32.1" customHeight="1" x14ac:dyDescent="0.15"/>
    <row r="19901" s="8" customFormat="1" ht="32.1" customHeight="1" x14ac:dyDescent="0.15"/>
    <row r="19902" s="9" customFormat="1" ht="32.1" customHeight="1" x14ac:dyDescent="0.15"/>
    <row r="19903" s="9" customFormat="1" ht="32.1" customHeight="1" x14ac:dyDescent="0.15"/>
    <row r="19904" s="9" customFormat="1" ht="32.1" customHeight="1" x14ac:dyDescent="0.15"/>
    <row r="19905" s="9" customFormat="1" ht="32.1" customHeight="1" x14ac:dyDescent="0.15"/>
    <row r="19906" s="9" customFormat="1" ht="21.95" customHeight="1" x14ac:dyDescent="0.15"/>
    <row r="19907" s="9" customFormat="1" ht="54" customHeight="1" x14ac:dyDescent="0.15"/>
    <row r="19908" s="9" customFormat="1" ht="21.95" customHeight="1" x14ac:dyDescent="0.15"/>
    <row r="19909" s="9" customFormat="1" ht="21.95" customHeight="1" x14ac:dyDescent="0.15"/>
    <row r="19910" s="9" customFormat="1" ht="21.95" customHeight="1" x14ac:dyDescent="0.15"/>
    <row r="19911" s="9" customFormat="1" ht="21.95" customHeight="1" x14ac:dyDescent="0.15"/>
    <row r="19912" s="9" customFormat="1" ht="21.95" customHeight="1" x14ac:dyDescent="0.15"/>
    <row r="19913" s="9" customFormat="1" ht="21.95" customHeight="1" x14ac:dyDescent="0.15"/>
    <row r="19914" s="9" customFormat="1" ht="21.95" customHeight="1" x14ac:dyDescent="0.15"/>
    <row r="19915" s="9" customFormat="1" ht="21.95" customHeight="1" x14ac:dyDescent="0.15"/>
    <row r="19916" s="9" customFormat="1" ht="21.95" customHeight="1" x14ac:dyDescent="0.15"/>
    <row r="19917" s="9" customFormat="1" ht="21.95" customHeight="1" x14ac:dyDescent="0.15"/>
    <row r="19918" s="9" customFormat="1" ht="21.95" customHeight="1" x14ac:dyDescent="0.15"/>
    <row r="19919" s="9" customFormat="1" ht="21.95" customHeight="1" x14ac:dyDescent="0.15"/>
    <row r="19920" s="9" customFormat="1" ht="21.95" customHeight="1" x14ac:dyDescent="0.15"/>
    <row r="19921" s="9" customFormat="1" ht="21.95" customHeight="1" x14ac:dyDescent="0.15"/>
    <row r="19922" s="9" customFormat="1" ht="21.95" customHeight="1" x14ac:dyDescent="0.15"/>
    <row r="19923" s="9" customFormat="1" ht="21.95" customHeight="1" x14ac:dyDescent="0.15"/>
    <row r="19924" s="9" customFormat="1" ht="21.95" customHeight="1" x14ac:dyDescent="0.15"/>
    <row r="19925" s="9" customFormat="1" ht="21.95" customHeight="1" x14ac:dyDescent="0.15"/>
    <row r="19926" s="9" customFormat="1" ht="21.95" customHeight="1" x14ac:dyDescent="0.15"/>
    <row r="19927" s="9" customFormat="1" ht="21.95" customHeight="1" x14ac:dyDescent="0.15"/>
    <row r="19928" s="9" customFormat="1" ht="21.95" customHeight="1" x14ac:dyDescent="0.15"/>
    <row r="19929" s="9" customFormat="1" ht="21.95" customHeight="1" x14ac:dyDescent="0.15"/>
    <row r="19930" s="9" customFormat="1" ht="21.95" customHeight="1" x14ac:dyDescent="0.15"/>
    <row r="19931" s="9" customFormat="1" ht="21.95" customHeight="1" x14ac:dyDescent="0.15"/>
    <row r="19932" s="9" customFormat="1" ht="21.95" customHeight="1" x14ac:dyDescent="0.15"/>
    <row r="19933" s="9" customFormat="1" ht="21.95" customHeight="1" x14ac:dyDescent="0.15"/>
    <row r="19934" s="9" customFormat="1" ht="21.95" customHeight="1" x14ac:dyDescent="0.15"/>
    <row r="19935" s="9" customFormat="1" ht="21.95" customHeight="1" x14ac:dyDescent="0.15"/>
    <row r="19936" s="9" customFormat="1" ht="21.95" customHeight="1" x14ac:dyDescent="0.15"/>
    <row r="19937" s="9" customFormat="1" ht="21.95" customHeight="1" x14ac:dyDescent="0.15"/>
    <row r="19938" s="9" customFormat="1" ht="21.95" customHeight="1" x14ac:dyDescent="0.15"/>
    <row r="19939" s="9" customFormat="1" ht="21.95" customHeight="1" x14ac:dyDescent="0.15"/>
    <row r="19940" s="9" customFormat="1" ht="21.95" customHeight="1" x14ac:dyDescent="0.15"/>
    <row r="19941" s="9" customFormat="1" ht="21.95" customHeight="1" x14ac:dyDescent="0.15"/>
    <row r="19942" s="9" customFormat="1" ht="21.95" customHeight="1" x14ac:dyDescent="0.15"/>
    <row r="19943" s="9" customFormat="1" ht="21.95" customHeight="1" x14ac:dyDescent="0.15"/>
    <row r="19944" s="9" customFormat="1" ht="21.95" customHeight="1" x14ac:dyDescent="0.15"/>
    <row r="19945" s="9" customFormat="1" ht="21.95" customHeight="1" x14ac:dyDescent="0.15"/>
    <row r="19946" s="9" customFormat="1" ht="21.95" customHeight="1" x14ac:dyDescent="0.15"/>
    <row r="19947" s="9" customFormat="1" ht="21.95" customHeight="1" x14ac:dyDescent="0.15"/>
    <row r="19948" s="9" customFormat="1" ht="21.95" customHeight="1" x14ac:dyDescent="0.15"/>
    <row r="19949" s="9" customFormat="1" ht="21.95" customHeight="1" x14ac:dyDescent="0.15"/>
    <row r="19950" s="9" customFormat="1" ht="21.95" customHeight="1" x14ac:dyDescent="0.15"/>
    <row r="19951" s="9" customFormat="1" ht="21.95" customHeight="1" x14ac:dyDescent="0.15"/>
    <row r="19952" s="9" customFormat="1" ht="21.95" customHeight="1" x14ac:dyDescent="0.15"/>
    <row r="19953" s="9" customFormat="1" ht="21.95" customHeight="1" x14ac:dyDescent="0.15"/>
    <row r="19954" s="9" customFormat="1" ht="21.95" customHeight="1" x14ac:dyDescent="0.15"/>
    <row r="19955" s="9" customFormat="1" ht="21.95" customHeight="1" x14ac:dyDescent="0.15"/>
    <row r="19956" s="9" customFormat="1" ht="21.95" customHeight="1" x14ac:dyDescent="0.15"/>
    <row r="19957" s="9" customFormat="1" ht="21.95" customHeight="1" x14ac:dyDescent="0.15"/>
    <row r="19958" s="9" customFormat="1" ht="35.1" customHeight="1" x14ac:dyDescent="0.15"/>
    <row r="19959" s="9" customFormat="1" ht="21.95" customHeight="1" x14ac:dyDescent="0.15"/>
    <row r="19960" s="9" customFormat="1" ht="21.95" customHeight="1" x14ac:dyDescent="0.15"/>
    <row r="19961" s="9" customFormat="1" ht="21.95" customHeight="1" x14ac:dyDescent="0.15"/>
    <row r="19962" s="9" customFormat="1" ht="21.95" customHeight="1" x14ac:dyDescent="0.15"/>
    <row r="19963" s="9" customFormat="1" ht="21.95" customHeight="1" x14ac:dyDescent="0.15"/>
    <row r="19964" s="9" customFormat="1" ht="21.95" customHeight="1" x14ac:dyDescent="0.15"/>
    <row r="19965" s="9" customFormat="1" ht="21.95" customHeight="1" x14ac:dyDescent="0.15"/>
    <row r="19966" s="9" customFormat="1" ht="21.95" customHeight="1" x14ac:dyDescent="0.15"/>
    <row r="19967" s="9" customFormat="1" ht="21.95" customHeight="1" x14ac:dyDescent="0.15"/>
    <row r="19968" s="9" customFormat="1" ht="21.95" customHeight="1" x14ac:dyDescent="0.15"/>
    <row r="19969" spans="3:3" s="9" customFormat="1" ht="21.95" customHeight="1" x14ac:dyDescent="0.15"/>
    <row r="19970" spans="3:3" s="9" customFormat="1" ht="21.95" customHeight="1" x14ac:dyDescent="0.15"/>
    <row r="19971" spans="3:3" s="9" customFormat="1" ht="21.95" customHeight="1" x14ac:dyDescent="0.15"/>
    <row r="19972" spans="3:3" s="9" customFormat="1" ht="21.95" customHeight="1" x14ac:dyDescent="0.15"/>
    <row r="19973" spans="3:3" s="9" customFormat="1" ht="21.95" customHeight="1" x14ac:dyDescent="0.15"/>
    <row r="19974" spans="3:3" s="9" customFormat="1" ht="21.95" customHeight="1" x14ac:dyDescent="0.15"/>
    <row r="19975" spans="3:3" s="9" customFormat="1" ht="21.95" customHeight="1" x14ac:dyDescent="0.15"/>
    <row r="19976" spans="3:3" s="9" customFormat="1" ht="21.95" customHeight="1" x14ac:dyDescent="0.15"/>
    <row r="19977" spans="3:3" s="9" customFormat="1" ht="21.95" customHeight="1" x14ac:dyDescent="0.15"/>
    <row r="19978" spans="3:3" s="9" customFormat="1" ht="21.95" customHeight="1" x14ac:dyDescent="0.15"/>
    <row r="19979" spans="3:3" s="9" customFormat="1" ht="21.95" customHeight="1" x14ac:dyDescent="0.15"/>
    <row r="19980" spans="3:3" s="9" customFormat="1" ht="21.95" customHeight="1" x14ac:dyDescent="0.15"/>
    <row r="19981" spans="3:3" s="9" customFormat="1" ht="21.95" customHeight="1" x14ac:dyDescent="0.15"/>
    <row r="19982" spans="3:3" s="8" customFormat="1" ht="21.95" customHeight="1" x14ac:dyDescent="0.15"/>
    <row r="19983" spans="3:3" s="8" customFormat="1" ht="21.95" customHeight="1" x14ac:dyDescent="0.15"/>
    <row r="19984" spans="3:3" s="8" customFormat="1" ht="21.95" customHeight="1" x14ac:dyDescent="0.15">
      <c r="C19984" s="101"/>
    </row>
    <row r="19985" spans="3:3" s="8" customFormat="1" ht="21.95" customHeight="1" x14ac:dyDescent="0.15">
      <c r="C19985" s="101"/>
    </row>
    <row r="19986" spans="3:3" s="8" customFormat="1" ht="21.95" customHeight="1" x14ac:dyDescent="0.15"/>
    <row r="19987" spans="3:3" s="8" customFormat="1" ht="21.95" customHeight="1" x14ac:dyDescent="0.15"/>
    <row r="19988" spans="3:3" s="8" customFormat="1" ht="21.95" customHeight="1" x14ac:dyDescent="0.15"/>
    <row r="19989" spans="3:3" s="8" customFormat="1" ht="21.95" customHeight="1" x14ac:dyDescent="0.15"/>
    <row r="19990" spans="3:3" s="8" customFormat="1" ht="21.95" customHeight="1" x14ac:dyDescent="0.15"/>
    <row r="19991" spans="3:3" s="8" customFormat="1" ht="21.95" customHeight="1" x14ac:dyDescent="0.15"/>
    <row r="19992" spans="3:3" s="8" customFormat="1" ht="21.95" customHeight="1" x14ac:dyDescent="0.15"/>
    <row r="19993" spans="3:3" s="9" customFormat="1" ht="21.95" customHeight="1" x14ac:dyDescent="0.15"/>
    <row r="19994" spans="3:3" s="9" customFormat="1" ht="21.95" customHeight="1" x14ac:dyDescent="0.15"/>
    <row r="19995" spans="3:3" s="9" customFormat="1" ht="21.95" customHeight="1" x14ac:dyDescent="0.15"/>
    <row r="19996" spans="3:3" s="9" customFormat="1" ht="21.95" customHeight="1" x14ac:dyDescent="0.15"/>
    <row r="19997" spans="3:3" s="8" customFormat="1" ht="21.95" customHeight="1" x14ac:dyDescent="0.15"/>
    <row r="19998" spans="3:3" s="8" customFormat="1" ht="21.95" customHeight="1" x14ac:dyDescent="0.15"/>
    <row r="19999" spans="3:3" s="8" customFormat="1" ht="21.95" customHeight="1" x14ac:dyDescent="0.15"/>
    <row r="20000" spans="3:3" s="8" customFormat="1" ht="21.95" customHeight="1" x14ac:dyDescent="0.15"/>
    <row r="20001" s="8" customFormat="1" ht="21.95" customHeight="1" x14ac:dyDescent="0.15"/>
    <row r="20002" s="8" customFormat="1" ht="21.95" customHeight="1" x14ac:dyDescent="0.15"/>
    <row r="20003" s="8" customFormat="1" ht="21.95" customHeight="1" x14ac:dyDescent="0.15"/>
    <row r="20004" s="8" customFormat="1" ht="21.95" customHeight="1" x14ac:dyDescent="0.15"/>
    <row r="20005" s="8" customFormat="1" ht="21.95" customHeight="1" x14ac:dyDescent="0.15"/>
    <row r="20006" s="8" customFormat="1" ht="21.95" customHeight="1" x14ac:dyDescent="0.15"/>
    <row r="20007" s="8" customFormat="1" ht="21.95" customHeight="1" x14ac:dyDescent="0.15"/>
    <row r="20008" s="8" customFormat="1" ht="32.1" customHeight="1" x14ac:dyDescent="0.15"/>
    <row r="20009" s="8" customFormat="1" ht="32.1" customHeight="1" x14ac:dyDescent="0.15"/>
    <row r="20010" s="8" customFormat="1" ht="32.1" customHeight="1" x14ac:dyDescent="0.15"/>
    <row r="20011" s="8" customFormat="1" ht="32.1" customHeight="1" x14ac:dyDescent="0.15"/>
    <row r="20012" s="8" customFormat="1" ht="32.1" customHeight="1" x14ac:dyDescent="0.15"/>
    <row r="20013" s="8" customFormat="1" ht="32.1" customHeight="1" x14ac:dyDescent="0.15"/>
    <row r="20014" s="9" customFormat="1" ht="32.1" customHeight="1" x14ac:dyDescent="0.15"/>
    <row r="20015" s="9" customFormat="1" ht="32.1" customHeight="1" x14ac:dyDescent="0.15"/>
    <row r="20016" s="9" customFormat="1" ht="32.1" customHeight="1" x14ac:dyDescent="0.15"/>
    <row r="20017" s="9" customFormat="1" ht="32.1" customHeight="1" x14ac:dyDescent="0.15"/>
    <row r="20018" s="9" customFormat="1" ht="21.95" customHeight="1" x14ac:dyDescent="0.15"/>
    <row r="20019" s="9" customFormat="1" ht="54" customHeight="1" x14ac:dyDescent="0.15"/>
    <row r="20020" s="9" customFormat="1" ht="21.95" customHeight="1" x14ac:dyDescent="0.15"/>
    <row r="20021" s="9" customFormat="1" ht="21.95" customHeight="1" x14ac:dyDescent="0.15"/>
    <row r="20022" s="9" customFormat="1" ht="21.95" customHeight="1" x14ac:dyDescent="0.15"/>
    <row r="20023" s="9" customFormat="1" ht="21.95" customHeight="1" x14ac:dyDescent="0.15"/>
    <row r="20024" s="9" customFormat="1" ht="21.95" customHeight="1" x14ac:dyDescent="0.15"/>
    <row r="20025" s="9" customFormat="1" ht="21.95" customHeight="1" x14ac:dyDescent="0.15"/>
    <row r="20026" s="9" customFormat="1" ht="21.95" customHeight="1" x14ac:dyDescent="0.15"/>
    <row r="20027" s="9" customFormat="1" ht="21.95" customHeight="1" x14ac:dyDescent="0.15"/>
    <row r="20028" s="9" customFormat="1" ht="21.95" customHeight="1" x14ac:dyDescent="0.15"/>
    <row r="20029" s="9" customFormat="1" ht="21.95" customHeight="1" x14ac:dyDescent="0.15"/>
    <row r="20030" s="9" customFormat="1" ht="21.95" customHeight="1" x14ac:dyDescent="0.15"/>
    <row r="20031" s="9" customFormat="1" ht="21.95" customHeight="1" x14ac:dyDescent="0.15"/>
    <row r="20032" s="9" customFormat="1" ht="21.95" customHeight="1" x14ac:dyDescent="0.15"/>
    <row r="20033" s="9" customFormat="1" ht="21.95" customHeight="1" x14ac:dyDescent="0.15"/>
    <row r="20034" s="9" customFormat="1" ht="21.95" customHeight="1" x14ac:dyDescent="0.15"/>
    <row r="20035" s="9" customFormat="1" ht="21.95" customHeight="1" x14ac:dyDescent="0.15"/>
    <row r="20036" s="9" customFormat="1" ht="21.95" customHeight="1" x14ac:dyDescent="0.15"/>
    <row r="20037" s="9" customFormat="1" ht="21.95" customHeight="1" x14ac:dyDescent="0.15"/>
    <row r="20038" s="9" customFormat="1" ht="21.95" customHeight="1" x14ac:dyDescent="0.15"/>
    <row r="20039" s="9" customFormat="1" ht="21.95" customHeight="1" x14ac:dyDescent="0.15"/>
    <row r="20040" s="9" customFormat="1" ht="21.95" customHeight="1" x14ac:dyDescent="0.15"/>
    <row r="20041" s="9" customFormat="1" ht="21.95" customHeight="1" x14ac:dyDescent="0.15"/>
    <row r="20042" s="9" customFormat="1" ht="21.95" customHeight="1" x14ac:dyDescent="0.15"/>
    <row r="20043" s="9" customFormat="1" ht="21.95" customHeight="1" x14ac:dyDescent="0.15"/>
    <row r="20044" s="9" customFormat="1" ht="21.95" customHeight="1" x14ac:dyDescent="0.15"/>
    <row r="20045" s="9" customFormat="1" ht="21.95" customHeight="1" x14ac:dyDescent="0.15"/>
    <row r="20046" s="9" customFormat="1" ht="21.95" customHeight="1" x14ac:dyDescent="0.15"/>
    <row r="20047" s="9" customFormat="1" ht="21.95" customHeight="1" x14ac:dyDescent="0.15"/>
    <row r="20048" s="9" customFormat="1" ht="21.95" customHeight="1" x14ac:dyDescent="0.15"/>
    <row r="20049" s="9" customFormat="1" ht="21.95" customHeight="1" x14ac:dyDescent="0.15"/>
    <row r="20050" s="9" customFormat="1" ht="21.95" customHeight="1" x14ac:dyDescent="0.15"/>
    <row r="20051" s="9" customFormat="1" ht="21.95" customHeight="1" x14ac:dyDescent="0.15"/>
    <row r="20052" s="9" customFormat="1" ht="21.95" customHeight="1" x14ac:dyDescent="0.15"/>
    <row r="20053" s="9" customFormat="1" ht="21.95" customHeight="1" x14ac:dyDescent="0.15"/>
    <row r="20054" s="9" customFormat="1" ht="21.95" customHeight="1" x14ac:dyDescent="0.15"/>
    <row r="20055" s="9" customFormat="1" ht="21.95" customHeight="1" x14ac:dyDescent="0.15"/>
    <row r="20056" s="9" customFormat="1" ht="21.95" customHeight="1" x14ac:dyDescent="0.15"/>
    <row r="20057" s="9" customFormat="1" ht="21.95" customHeight="1" x14ac:dyDescent="0.15"/>
    <row r="20058" s="9" customFormat="1" ht="21.95" customHeight="1" x14ac:dyDescent="0.15"/>
    <row r="20059" s="9" customFormat="1" ht="21.95" customHeight="1" x14ac:dyDescent="0.15"/>
    <row r="20060" s="9" customFormat="1" ht="21.95" customHeight="1" x14ac:dyDescent="0.15"/>
    <row r="20061" s="9" customFormat="1" ht="21.95" customHeight="1" x14ac:dyDescent="0.15"/>
    <row r="20062" s="9" customFormat="1" ht="21.95" customHeight="1" x14ac:dyDescent="0.15"/>
    <row r="20063" s="9" customFormat="1" ht="21.95" customHeight="1" x14ac:dyDescent="0.15"/>
    <row r="20064" s="9" customFormat="1" ht="21.95" customHeight="1" x14ac:dyDescent="0.15"/>
    <row r="20065" s="9" customFormat="1" ht="21.95" customHeight="1" x14ac:dyDescent="0.15"/>
    <row r="20066" s="9" customFormat="1" ht="21.95" customHeight="1" x14ac:dyDescent="0.15"/>
    <row r="20067" s="9" customFormat="1" ht="21.95" customHeight="1" x14ac:dyDescent="0.15"/>
    <row r="20068" s="9" customFormat="1" ht="21.95" customHeight="1" x14ac:dyDescent="0.15"/>
    <row r="20069" s="9" customFormat="1" ht="21.95" customHeight="1" x14ac:dyDescent="0.15"/>
    <row r="20070" s="9" customFormat="1" ht="35.1" customHeight="1" x14ac:dyDescent="0.15"/>
    <row r="20071" s="9" customFormat="1" ht="21.95" customHeight="1" x14ac:dyDescent="0.15"/>
    <row r="20072" s="9" customFormat="1" ht="21.95" customHeight="1" x14ac:dyDescent="0.15"/>
    <row r="20073" s="9" customFormat="1" ht="21.95" customHeight="1" x14ac:dyDescent="0.15"/>
    <row r="20074" s="9" customFormat="1" ht="21.95" customHeight="1" x14ac:dyDescent="0.15"/>
    <row r="20075" s="9" customFormat="1" ht="21.95" customHeight="1" x14ac:dyDescent="0.15"/>
    <row r="20076" s="9" customFormat="1" ht="21.95" customHeight="1" x14ac:dyDescent="0.15"/>
    <row r="20077" s="9" customFormat="1" ht="21.95" customHeight="1" x14ac:dyDescent="0.15"/>
    <row r="20078" s="9" customFormat="1" ht="21.95" customHeight="1" x14ac:dyDescent="0.15"/>
    <row r="20079" s="9" customFormat="1" ht="21.95" customHeight="1" x14ac:dyDescent="0.15"/>
    <row r="20080" s="9" customFormat="1" ht="21.95" customHeight="1" x14ac:dyDescent="0.15"/>
    <row r="20081" spans="3:3" s="9" customFormat="1" ht="21.95" customHeight="1" x14ac:dyDescent="0.15"/>
    <row r="20082" spans="3:3" s="9" customFormat="1" ht="21.95" customHeight="1" x14ac:dyDescent="0.15"/>
    <row r="20083" spans="3:3" s="9" customFormat="1" ht="21.95" customHeight="1" x14ac:dyDescent="0.15"/>
    <row r="20084" spans="3:3" s="9" customFormat="1" ht="21.95" customHeight="1" x14ac:dyDescent="0.15"/>
    <row r="20085" spans="3:3" s="9" customFormat="1" ht="21.95" customHeight="1" x14ac:dyDescent="0.15"/>
    <row r="20086" spans="3:3" s="9" customFormat="1" ht="21.95" customHeight="1" x14ac:dyDescent="0.15"/>
    <row r="20087" spans="3:3" s="9" customFormat="1" ht="21.95" customHeight="1" x14ac:dyDescent="0.15"/>
    <row r="20088" spans="3:3" s="9" customFormat="1" ht="21.95" customHeight="1" x14ac:dyDescent="0.15"/>
    <row r="20089" spans="3:3" s="9" customFormat="1" ht="21.95" customHeight="1" x14ac:dyDescent="0.15"/>
    <row r="20090" spans="3:3" s="9" customFormat="1" ht="21.95" customHeight="1" x14ac:dyDescent="0.15"/>
    <row r="20091" spans="3:3" s="9" customFormat="1" ht="21.95" customHeight="1" x14ac:dyDescent="0.15"/>
    <row r="20092" spans="3:3" s="9" customFormat="1" ht="21.95" customHeight="1" x14ac:dyDescent="0.15"/>
    <row r="20093" spans="3:3" s="9" customFormat="1" ht="21.95" customHeight="1" x14ac:dyDescent="0.15"/>
    <row r="20094" spans="3:3" s="8" customFormat="1" ht="21.95" customHeight="1" x14ac:dyDescent="0.15"/>
    <row r="20095" spans="3:3" s="8" customFormat="1" ht="21.95" customHeight="1" x14ac:dyDescent="0.15"/>
    <row r="20096" spans="3:3" s="8" customFormat="1" ht="21.95" customHeight="1" x14ac:dyDescent="0.15">
      <c r="C20096" s="101"/>
    </row>
    <row r="20097" spans="3:3" s="8" customFormat="1" ht="21.95" customHeight="1" x14ac:dyDescent="0.15">
      <c r="C20097" s="101"/>
    </row>
    <row r="20098" spans="3:3" s="8" customFormat="1" ht="21.95" customHeight="1" x14ac:dyDescent="0.15"/>
    <row r="20099" spans="3:3" s="8" customFormat="1" ht="21.95" customHeight="1" x14ac:dyDescent="0.15"/>
    <row r="20100" spans="3:3" s="8" customFormat="1" ht="21.95" customHeight="1" x14ac:dyDescent="0.15"/>
    <row r="20101" spans="3:3" s="8" customFormat="1" ht="21.95" customHeight="1" x14ac:dyDescent="0.15"/>
    <row r="20102" spans="3:3" s="8" customFormat="1" ht="21.95" customHeight="1" x14ac:dyDescent="0.15"/>
    <row r="20103" spans="3:3" s="8" customFormat="1" ht="21.95" customHeight="1" x14ac:dyDescent="0.15"/>
    <row r="20104" spans="3:3" s="8" customFormat="1" ht="21.95" customHeight="1" x14ac:dyDescent="0.15"/>
    <row r="20105" spans="3:3" s="9" customFormat="1" ht="21.95" customHeight="1" x14ac:dyDescent="0.15"/>
    <row r="20106" spans="3:3" s="9" customFormat="1" ht="21.95" customHeight="1" x14ac:dyDescent="0.15"/>
    <row r="20107" spans="3:3" s="9" customFormat="1" ht="21.95" customHeight="1" x14ac:dyDescent="0.15"/>
    <row r="20108" spans="3:3" s="9" customFormat="1" ht="21.95" customHeight="1" x14ac:dyDescent="0.15"/>
    <row r="20109" spans="3:3" s="8" customFormat="1" ht="21.95" customHeight="1" x14ac:dyDescent="0.15"/>
    <row r="20110" spans="3:3" s="8" customFormat="1" ht="21.95" customHeight="1" x14ac:dyDescent="0.15"/>
    <row r="20111" spans="3:3" s="8" customFormat="1" ht="21.95" customHeight="1" x14ac:dyDescent="0.15"/>
    <row r="20112" spans="3:3" s="8" customFormat="1" ht="21.95" customHeight="1" x14ac:dyDescent="0.15"/>
    <row r="20113" s="8" customFormat="1" ht="21.95" customHeight="1" x14ac:dyDescent="0.15"/>
    <row r="20114" s="8" customFormat="1" ht="21.95" customHeight="1" x14ac:dyDescent="0.15"/>
    <row r="20115" s="8" customFormat="1" ht="21.95" customHeight="1" x14ac:dyDescent="0.15"/>
    <row r="20116" s="8" customFormat="1" ht="21.95" customHeight="1" x14ac:dyDescent="0.15"/>
    <row r="20117" s="8" customFormat="1" ht="21.95" customHeight="1" x14ac:dyDescent="0.15"/>
    <row r="20118" s="8" customFormat="1" ht="21.95" customHeight="1" x14ac:dyDescent="0.15"/>
    <row r="20119" s="8" customFormat="1" ht="21.95" customHeight="1" x14ac:dyDescent="0.15"/>
    <row r="20120" s="8" customFormat="1" ht="32.1" customHeight="1" x14ac:dyDescent="0.15"/>
    <row r="20121" s="8" customFormat="1" ht="32.1" customHeight="1" x14ac:dyDescent="0.15"/>
    <row r="20122" s="8" customFormat="1" ht="32.1" customHeight="1" x14ac:dyDescent="0.15"/>
    <row r="20123" s="8" customFormat="1" ht="32.1" customHeight="1" x14ac:dyDescent="0.15"/>
    <row r="20124" s="8" customFormat="1" ht="32.1" customHeight="1" x14ac:dyDescent="0.15"/>
    <row r="20125" s="8" customFormat="1" ht="32.1" customHeight="1" x14ac:dyDescent="0.15"/>
    <row r="20126" s="9" customFormat="1" ht="32.1" customHeight="1" x14ac:dyDescent="0.15"/>
    <row r="20127" s="9" customFormat="1" ht="32.1" customHeight="1" x14ac:dyDescent="0.15"/>
    <row r="20128" s="9" customFormat="1" ht="32.1" customHeight="1" x14ac:dyDescent="0.15"/>
    <row r="20129" s="9" customFormat="1" ht="32.1" customHeight="1" x14ac:dyDescent="0.15"/>
    <row r="20130" s="9" customFormat="1" ht="21.95" customHeight="1" x14ac:dyDescent="0.15"/>
    <row r="20131" s="9" customFormat="1" ht="54" customHeight="1" x14ac:dyDescent="0.15"/>
    <row r="20132" s="9" customFormat="1" ht="21.95" customHeight="1" x14ac:dyDescent="0.15"/>
    <row r="20133" s="9" customFormat="1" ht="21.95" customHeight="1" x14ac:dyDescent="0.15"/>
    <row r="20134" s="9" customFormat="1" ht="21.95" customHeight="1" x14ac:dyDescent="0.15"/>
    <row r="20135" s="9" customFormat="1" ht="21.95" customHeight="1" x14ac:dyDescent="0.15"/>
    <row r="20136" s="9" customFormat="1" ht="21.95" customHeight="1" x14ac:dyDescent="0.15"/>
    <row r="20137" s="9" customFormat="1" ht="21.95" customHeight="1" x14ac:dyDescent="0.15"/>
    <row r="20138" s="9" customFormat="1" ht="21.95" customHeight="1" x14ac:dyDescent="0.15"/>
    <row r="20139" s="9" customFormat="1" ht="21.95" customHeight="1" x14ac:dyDescent="0.15"/>
    <row r="20140" s="9" customFormat="1" ht="21.95" customHeight="1" x14ac:dyDescent="0.15"/>
    <row r="20141" s="9" customFormat="1" ht="21.95" customHeight="1" x14ac:dyDescent="0.15"/>
    <row r="20142" s="9" customFormat="1" ht="21.95" customHeight="1" x14ac:dyDescent="0.15"/>
    <row r="20143" s="9" customFormat="1" ht="21.95" customHeight="1" x14ac:dyDescent="0.15"/>
    <row r="20144" s="9" customFormat="1" ht="21.95" customHeight="1" x14ac:dyDescent="0.15"/>
    <row r="20145" s="9" customFormat="1" ht="21.95" customHeight="1" x14ac:dyDescent="0.15"/>
    <row r="20146" s="9" customFormat="1" ht="21.95" customHeight="1" x14ac:dyDescent="0.15"/>
    <row r="20147" s="9" customFormat="1" ht="21.95" customHeight="1" x14ac:dyDescent="0.15"/>
    <row r="20148" s="9" customFormat="1" ht="21.95" customHeight="1" x14ac:dyDescent="0.15"/>
    <row r="20149" s="9" customFormat="1" ht="21.95" customHeight="1" x14ac:dyDescent="0.15"/>
    <row r="20150" s="9" customFormat="1" ht="21.95" customHeight="1" x14ac:dyDescent="0.15"/>
    <row r="20151" s="9" customFormat="1" ht="21.95" customHeight="1" x14ac:dyDescent="0.15"/>
    <row r="20152" s="9" customFormat="1" ht="21.95" customHeight="1" x14ac:dyDescent="0.15"/>
    <row r="20153" s="9" customFormat="1" ht="21.95" customHeight="1" x14ac:dyDescent="0.15"/>
    <row r="20154" s="9" customFormat="1" ht="21.95" customHeight="1" x14ac:dyDescent="0.15"/>
    <row r="20155" s="9" customFormat="1" ht="21.95" customHeight="1" x14ac:dyDescent="0.15"/>
    <row r="20156" s="9" customFormat="1" ht="21.95" customHeight="1" x14ac:dyDescent="0.15"/>
    <row r="20157" s="9" customFormat="1" ht="21.95" customHeight="1" x14ac:dyDescent="0.15"/>
    <row r="20158" s="9" customFormat="1" ht="21.95" customHeight="1" x14ac:dyDescent="0.15"/>
    <row r="20159" s="9" customFormat="1" ht="21.95" customHeight="1" x14ac:dyDescent="0.15"/>
    <row r="20160" s="9" customFormat="1" ht="21.95" customHeight="1" x14ac:dyDescent="0.15"/>
    <row r="20161" s="9" customFormat="1" ht="21.95" customHeight="1" x14ac:dyDescent="0.15"/>
    <row r="20162" s="9" customFormat="1" ht="21.95" customHeight="1" x14ac:dyDescent="0.15"/>
    <row r="20163" s="9" customFormat="1" ht="21.95" customHeight="1" x14ac:dyDescent="0.15"/>
    <row r="20164" s="9" customFormat="1" ht="21.95" customHeight="1" x14ac:dyDescent="0.15"/>
    <row r="20165" s="9" customFormat="1" ht="21.95" customHeight="1" x14ac:dyDescent="0.15"/>
    <row r="20166" s="9" customFormat="1" ht="21.95" customHeight="1" x14ac:dyDescent="0.15"/>
    <row r="20167" s="9" customFormat="1" ht="21.95" customHeight="1" x14ac:dyDescent="0.15"/>
    <row r="20168" s="9" customFormat="1" ht="21.95" customHeight="1" x14ac:dyDescent="0.15"/>
    <row r="20169" s="9" customFormat="1" ht="21.95" customHeight="1" x14ac:dyDescent="0.15"/>
    <row r="20170" s="9" customFormat="1" ht="21.95" customHeight="1" x14ac:dyDescent="0.15"/>
    <row r="20171" s="9" customFormat="1" ht="21.95" customHeight="1" x14ac:dyDescent="0.15"/>
    <row r="20172" s="9" customFormat="1" ht="21.95" customHeight="1" x14ac:dyDescent="0.15"/>
    <row r="20173" s="9" customFormat="1" ht="21.95" customHeight="1" x14ac:dyDescent="0.15"/>
    <row r="20174" s="9" customFormat="1" ht="21.95" customHeight="1" x14ac:dyDescent="0.15"/>
    <row r="20175" s="9" customFormat="1" ht="21.95" customHeight="1" x14ac:dyDescent="0.15"/>
    <row r="20176" s="9" customFormat="1" ht="21.95" customHeight="1" x14ac:dyDescent="0.15"/>
    <row r="20177" s="9" customFormat="1" ht="21.95" customHeight="1" x14ac:dyDescent="0.15"/>
    <row r="20178" s="9" customFormat="1" ht="21.95" customHeight="1" x14ac:dyDescent="0.15"/>
    <row r="20179" s="9" customFormat="1" ht="21.95" customHeight="1" x14ac:dyDescent="0.15"/>
    <row r="20180" s="9" customFormat="1" ht="21.95" customHeight="1" x14ac:dyDescent="0.15"/>
    <row r="20181" s="9" customFormat="1" ht="21.95" customHeight="1" x14ac:dyDescent="0.15"/>
    <row r="20182" s="9" customFormat="1" ht="35.1" customHeight="1" x14ac:dyDescent="0.15"/>
    <row r="20183" s="9" customFormat="1" ht="21.95" customHeight="1" x14ac:dyDescent="0.15"/>
    <row r="20184" s="9" customFormat="1" ht="21.95" customHeight="1" x14ac:dyDescent="0.15"/>
    <row r="20185" s="9" customFormat="1" ht="21.95" customHeight="1" x14ac:dyDescent="0.15"/>
    <row r="20186" s="9" customFormat="1" ht="21.95" customHeight="1" x14ac:dyDescent="0.15"/>
    <row r="20187" s="9" customFormat="1" ht="21.95" customHeight="1" x14ac:dyDescent="0.15"/>
    <row r="20188" s="9" customFormat="1" ht="21.95" customHeight="1" x14ac:dyDescent="0.15"/>
    <row r="20189" s="9" customFormat="1" ht="21.95" customHeight="1" x14ac:dyDescent="0.15"/>
    <row r="20190" s="9" customFormat="1" ht="21.95" customHeight="1" x14ac:dyDescent="0.15"/>
    <row r="20191" s="9" customFormat="1" ht="21.95" customHeight="1" x14ac:dyDescent="0.15"/>
    <row r="20192" s="9" customFormat="1" ht="21.95" customHeight="1" x14ac:dyDescent="0.15"/>
    <row r="20193" spans="3:3" s="9" customFormat="1" ht="21.95" customHeight="1" x14ac:dyDescent="0.15"/>
    <row r="20194" spans="3:3" s="9" customFormat="1" ht="21.95" customHeight="1" x14ac:dyDescent="0.15"/>
    <row r="20195" spans="3:3" s="9" customFormat="1" ht="21.95" customHeight="1" x14ac:dyDescent="0.15"/>
    <row r="20196" spans="3:3" s="9" customFormat="1" ht="21.95" customHeight="1" x14ac:dyDescent="0.15"/>
    <row r="20197" spans="3:3" s="9" customFormat="1" ht="21.95" customHeight="1" x14ac:dyDescent="0.15"/>
    <row r="20198" spans="3:3" s="9" customFormat="1" ht="21.95" customHeight="1" x14ac:dyDescent="0.15"/>
    <row r="20199" spans="3:3" s="9" customFormat="1" ht="21.95" customHeight="1" x14ac:dyDescent="0.15"/>
    <row r="20200" spans="3:3" s="9" customFormat="1" ht="21.95" customHeight="1" x14ac:dyDescent="0.15"/>
    <row r="20201" spans="3:3" s="9" customFormat="1" ht="21.95" customHeight="1" x14ac:dyDescent="0.15"/>
    <row r="20202" spans="3:3" s="9" customFormat="1" ht="21.95" customHeight="1" x14ac:dyDescent="0.15"/>
    <row r="20203" spans="3:3" s="9" customFormat="1" ht="21.95" customHeight="1" x14ac:dyDescent="0.15"/>
    <row r="20204" spans="3:3" s="9" customFormat="1" ht="21.95" customHeight="1" x14ac:dyDescent="0.15"/>
    <row r="20205" spans="3:3" s="9" customFormat="1" ht="21.95" customHeight="1" x14ac:dyDescent="0.15"/>
    <row r="20206" spans="3:3" s="8" customFormat="1" ht="21.95" customHeight="1" x14ac:dyDescent="0.15"/>
    <row r="20207" spans="3:3" s="8" customFormat="1" ht="21.95" customHeight="1" x14ac:dyDescent="0.15"/>
    <row r="20208" spans="3:3" s="8" customFormat="1" ht="21.95" customHeight="1" x14ac:dyDescent="0.15">
      <c r="C20208" s="101"/>
    </row>
    <row r="20209" spans="3:3" s="8" customFormat="1" ht="21.95" customHeight="1" x14ac:dyDescent="0.15">
      <c r="C20209" s="101"/>
    </row>
    <row r="20210" spans="3:3" s="8" customFormat="1" ht="21.95" customHeight="1" x14ac:dyDescent="0.15"/>
    <row r="20211" spans="3:3" s="8" customFormat="1" ht="21.95" customHeight="1" x14ac:dyDescent="0.15"/>
    <row r="20212" spans="3:3" s="8" customFormat="1" ht="21.95" customHeight="1" x14ac:dyDescent="0.15"/>
    <row r="20213" spans="3:3" s="8" customFormat="1" ht="21.95" customHeight="1" x14ac:dyDescent="0.15"/>
    <row r="20214" spans="3:3" s="8" customFormat="1" ht="21.95" customHeight="1" x14ac:dyDescent="0.15"/>
    <row r="20215" spans="3:3" s="8" customFormat="1" ht="21.95" customHeight="1" x14ac:dyDescent="0.15"/>
    <row r="20216" spans="3:3" s="8" customFormat="1" ht="21.95" customHeight="1" x14ac:dyDescent="0.15"/>
    <row r="20217" spans="3:3" s="9" customFormat="1" ht="21.95" customHeight="1" x14ac:dyDescent="0.15"/>
    <row r="20218" spans="3:3" s="9" customFormat="1" ht="21.95" customHeight="1" x14ac:dyDescent="0.15"/>
    <row r="20219" spans="3:3" s="9" customFormat="1" ht="21.95" customHeight="1" x14ac:dyDescent="0.15"/>
    <row r="20220" spans="3:3" s="9" customFormat="1" ht="21.95" customHeight="1" x14ac:dyDescent="0.15"/>
    <row r="20221" spans="3:3" s="8" customFormat="1" ht="21.95" customHeight="1" x14ac:dyDescent="0.15"/>
    <row r="20222" spans="3:3" s="8" customFormat="1" ht="21.95" customHeight="1" x14ac:dyDescent="0.15"/>
    <row r="20223" spans="3:3" s="8" customFormat="1" ht="21.95" customHeight="1" x14ac:dyDescent="0.15"/>
    <row r="20224" spans="3:3" s="8" customFormat="1" ht="21.95" customHeight="1" x14ac:dyDescent="0.15"/>
    <row r="20225" s="8" customFormat="1" ht="21.95" customHeight="1" x14ac:dyDescent="0.15"/>
    <row r="20226" s="8" customFormat="1" ht="21.95" customHeight="1" x14ac:dyDescent="0.15"/>
    <row r="20227" s="8" customFormat="1" ht="21.95" customHeight="1" x14ac:dyDescent="0.15"/>
    <row r="20228" s="8" customFormat="1" ht="21.95" customHeight="1" x14ac:dyDescent="0.15"/>
    <row r="20229" s="8" customFormat="1" ht="21.95" customHeight="1" x14ac:dyDescent="0.15"/>
    <row r="20230" s="8" customFormat="1" ht="21.95" customHeight="1" x14ac:dyDescent="0.15"/>
    <row r="20231" s="8" customFormat="1" ht="21.95" customHeight="1" x14ac:dyDescent="0.15"/>
    <row r="20232" s="8" customFormat="1" ht="32.1" customHeight="1" x14ac:dyDescent="0.15"/>
    <row r="20233" s="8" customFormat="1" ht="32.1" customHeight="1" x14ac:dyDescent="0.15"/>
    <row r="20234" s="8" customFormat="1" ht="32.1" customHeight="1" x14ac:dyDescent="0.15"/>
    <row r="20235" s="8" customFormat="1" ht="32.1" customHeight="1" x14ac:dyDescent="0.15"/>
    <row r="20236" s="8" customFormat="1" ht="32.1" customHeight="1" x14ac:dyDescent="0.15"/>
    <row r="20237" s="8" customFormat="1" ht="32.1" customHeight="1" x14ac:dyDescent="0.15"/>
    <row r="20238" s="9" customFormat="1" ht="32.1" customHeight="1" x14ac:dyDescent="0.15"/>
    <row r="20239" s="9" customFormat="1" ht="32.1" customHeight="1" x14ac:dyDescent="0.15"/>
    <row r="20240" s="9" customFormat="1" ht="32.1" customHeight="1" x14ac:dyDescent="0.15"/>
    <row r="20241" s="9" customFormat="1" ht="32.1" customHeight="1" x14ac:dyDescent="0.15"/>
    <row r="20242" s="9" customFormat="1" ht="21.95" customHeight="1" x14ac:dyDescent="0.15"/>
    <row r="20243" s="9" customFormat="1" ht="54" customHeight="1" x14ac:dyDescent="0.15"/>
    <row r="20244" s="9" customFormat="1" ht="21.95" customHeight="1" x14ac:dyDescent="0.15"/>
    <row r="20245" s="9" customFormat="1" ht="21.95" customHeight="1" x14ac:dyDescent="0.15"/>
    <row r="20246" s="9" customFormat="1" ht="21.95" customHeight="1" x14ac:dyDescent="0.15"/>
    <row r="20247" s="9" customFormat="1" ht="21.95" customHeight="1" x14ac:dyDescent="0.15"/>
    <row r="20248" s="9" customFormat="1" ht="21.95" customHeight="1" x14ac:dyDescent="0.15"/>
    <row r="20249" s="9" customFormat="1" ht="21.95" customHeight="1" x14ac:dyDescent="0.15"/>
    <row r="20250" s="9" customFormat="1" ht="21.95" customHeight="1" x14ac:dyDescent="0.15"/>
    <row r="20251" s="9" customFormat="1" ht="21.95" customHeight="1" x14ac:dyDescent="0.15"/>
    <row r="20252" s="9" customFormat="1" ht="21.95" customHeight="1" x14ac:dyDescent="0.15"/>
    <row r="20253" s="9" customFormat="1" ht="21.95" customHeight="1" x14ac:dyDescent="0.15"/>
    <row r="20254" s="9" customFormat="1" ht="21.95" customHeight="1" x14ac:dyDescent="0.15"/>
    <row r="20255" s="9" customFormat="1" ht="21.95" customHeight="1" x14ac:dyDescent="0.15"/>
    <row r="20256" s="9" customFormat="1" ht="21.95" customHeight="1" x14ac:dyDescent="0.15"/>
    <row r="20257" s="9" customFormat="1" ht="21.95" customHeight="1" x14ac:dyDescent="0.15"/>
    <row r="20258" s="9" customFormat="1" ht="21.95" customHeight="1" x14ac:dyDescent="0.15"/>
    <row r="20259" s="9" customFormat="1" ht="21.95" customHeight="1" x14ac:dyDescent="0.15"/>
    <row r="20260" s="9" customFormat="1" ht="21.95" customHeight="1" x14ac:dyDescent="0.15"/>
    <row r="20261" s="9" customFormat="1" ht="21.95" customHeight="1" x14ac:dyDescent="0.15"/>
    <row r="20262" s="9" customFormat="1" ht="21.95" customHeight="1" x14ac:dyDescent="0.15"/>
    <row r="20263" s="9" customFormat="1" ht="21.95" customHeight="1" x14ac:dyDescent="0.15"/>
    <row r="20264" s="9" customFormat="1" ht="21.95" customHeight="1" x14ac:dyDescent="0.15"/>
    <row r="20265" s="9" customFormat="1" ht="21.95" customHeight="1" x14ac:dyDescent="0.15"/>
    <row r="20266" s="9" customFormat="1" ht="21.95" customHeight="1" x14ac:dyDescent="0.15"/>
    <row r="20267" s="9" customFormat="1" ht="21.95" customHeight="1" x14ac:dyDescent="0.15"/>
    <row r="20268" s="9" customFormat="1" ht="21.95" customHeight="1" x14ac:dyDescent="0.15"/>
    <row r="20269" s="9" customFormat="1" ht="21.95" customHeight="1" x14ac:dyDescent="0.15"/>
    <row r="20270" s="9" customFormat="1" ht="21.95" customHeight="1" x14ac:dyDescent="0.15"/>
    <row r="20271" s="9" customFormat="1" ht="21.95" customHeight="1" x14ac:dyDescent="0.15"/>
    <row r="20272" s="9" customFormat="1" ht="21.95" customHeight="1" x14ac:dyDescent="0.15"/>
    <row r="20273" s="9" customFormat="1" ht="21.95" customHeight="1" x14ac:dyDescent="0.15"/>
    <row r="20274" s="9" customFormat="1" ht="21.95" customHeight="1" x14ac:dyDescent="0.15"/>
    <row r="20275" s="9" customFormat="1" ht="21.95" customHeight="1" x14ac:dyDescent="0.15"/>
    <row r="20276" s="9" customFormat="1" ht="21.95" customHeight="1" x14ac:dyDescent="0.15"/>
    <row r="20277" s="9" customFormat="1" ht="21.95" customHeight="1" x14ac:dyDescent="0.15"/>
    <row r="20278" s="9" customFormat="1" ht="21.95" customHeight="1" x14ac:dyDescent="0.15"/>
    <row r="20279" s="9" customFormat="1" ht="21.95" customHeight="1" x14ac:dyDescent="0.15"/>
    <row r="20280" s="9" customFormat="1" ht="21.95" customHeight="1" x14ac:dyDescent="0.15"/>
    <row r="20281" s="9" customFormat="1" ht="21.95" customHeight="1" x14ac:dyDescent="0.15"/>
    <row r="20282" s="9" customFormat="1" ht="21.95" customHeight="1" x14ac:dyDescent="0.15"/>
    <row r="20283" s="9" customFormat="1" ht="21.95" customHeight="1" x14ac:dyDescent="0.15"/>
    <row r="20284" s="9" customFormat="1" ht="21.95" customHeight="1" x14ac:dyDescent="0.15"/>
    <row r="20285" s="9" customFormat="1" ht="21.95" customHeight="1" x14ac:dyDescent="0.15"/>
    <row r="20286" s="9" customFormat="1" ht="21.95" customHeight="1" x14ac:dyDescent="0.15"/>
    <row r="20287" s="9" customFormat="1" ht="21.95" customHeight="1" x14ac:dyDescent="0.15"/>
    <row r="20288" s="9" customFormat="1" ht="21.95" customHeight="1" x14ac:dyDescent="0.15"/>
    <row r="20289" s="9" customFormat="1" ht="21.95" customHeight="1" x14ac:dyDescent="0.15"/>
    <row r="20290" s="9" customFormat="1" ht="21.95" customHeight="1" x14ac:dyDescent="0.15"/>
    <row r="20291" s="9" customFormat="1" ht="21.95" customHeight="1" x14ac:dyDescent="0.15"/>
    <row r="20292" s="9" customFormat="1" ht="21.95" customHeight="1" x14ac:dyDescent="0.15"/>
    <row r="20293" s="9" customFormat="1" ht="21.95" customHeight="1" x14ac:dyDescent="0.15"/>
    <row r="20294" s="9" customFormat="1" ht="35.1" customHeight="1" x14ac:dyDescent="0.15"/>
    <row r="20295" s="9" customFormat="1" ht="21.95" customHeight="1" x14ac:dyDescent="0.15"/>
    <row r="20296" s="9" customFormat="1" ht="21.95" customHeight="1" x14ac:dyDescent="0.15"/>
    <row r="20297" s="9" customFormat="1" ht="21.95" customHeight="1" x14ac:dyDescent="0.15"/>
    <row r="20298" s="9" customFormat="1" ht="21.95" customHeight="1" x14ac:dyDescent="0.15"/>
    <row r="20299" s="9" customFormat="1" ht="21.95" customHeight="1" x14ac:dyDescent="0.15"/>
    <row r="20300" s="9" customFormat="1" ht="21.95" customHeight="1" x14ac:dyDescent="0.15"/>
    <row r="20301" s="9" customFormat="1" ht="21.95" customHeight="1" x14ac:dyDescent="0.15"/>
    <row r="20302" s="9" customFormat="1" ht="21.95" customHeight="1" x14ac:dyDescent="0.15"/>
    <row r="20303" s="9" customFormat="1" ht="21.95" customHeight="1" x14ac:dyDescent="0.15"/>
    <row r="20304" s="9" customFormat="1" ht="21.95" customHeight="1" x14ac:dyDescent="0.15"/>
    <row r="20305" spans="3:3" s="9" customFormat="1" ht="21.95" customHeight="1" x14ac:dyDescent="0.15"/>
    <row r="20306" spans="3:3" s="9" customFormat="1" ht="21.95" customHeight="1" x14ac:dyDescent="0.15"/>
    <row r="20307" spans="3:3" s="9" customFormat="1" ht="21.95" customHeight="1" x14ac:dyDescent="0.15"/>
    <row r="20308" spans="3:3" s="9" customFormat="1" ht="21.95" customHeight="1" x14ac:dyDescent="0.15"/>
    <row r="20309" spans="3:3" s="9" customFormat="1" ht="21.95" customHeight="1" x14ac:dyDescent="0.15"/>
    <row r="20310" spans="3:3" s="9" customFormat="1" ht="21.95" customHeight="1" x14ac:dyDescent="0.15"/>
    <row r="20311" spans="3:3" s="9" customFormat="1" ht="21.95" customHeight="1" x14ac:dyDescent="0.15"/>
    <row r="20312" spans="3:3" s="9" customFormat="1" ht="21.95" customHeight="1" x14ac:dyDescent="0.15"/>
    <row r="20313" spans="3:3" s="9" customFormat="1" ht="21.95" customHeight="1" x14ac:dyDescent="0.15"/>
    <row r="20314" spans="3:3" s="9" customFormat="1" ht="21.95" customHeight="1" x14ac:dyDescent="0.15"/>
    <row r="20315" spans="3:3" s="9" customFormat="1" ht="21.95" customHeight="1" x14ac:dyDescent="0.15"/>
    <row r="20316" spans="3:3" s="9" customFormat="1" ht="21.95" customHeight="1" x14ac:dyDescent="0.15"/>
    <row r="20317" spans="3:3" s="9" customFormat="1" ht="21.95" customHeight="1" x14ac:dyDescent="0.15"/>
    <row r="20318" spans="3:3" s="8" customFormat="1" ht="21.95" customHeight="1" x14ac:dyDescent="0.15"/>
    <row r="20319" spans="3:3" s="8" customFormat="1" ht="21.95" customHeight="1" x14ac:dyDescent="0.15"/>
    <row r="20320" spans="3:3" s="8" customFormat="1" ht="21.95" customHeight="1" x14ac:dyDescent="0.15">
      <c r="C20320" s="101"/>
    </row>
    <row r="20321" spans="3:3" s="8" customFormat="1" ht="21.95" customHeight="1" x14ac:dyDescent="0.15">
      <c r="C20321" s="101"/>
    </row>
    <row r="20322" spans="3:3" s="8" customFormat="1" ht="21.95" customHeight="1" x14ac:dyDescent="0.15"/>
    <row r="20323" spans="3:3" s="8" customFormat="1" ht="21.95" customHeight="1" x14ac:dyDescent="0.15"/>
    <row r="20324" spans="3:3" s="8" customFormat="1" ht="21.95" customHeight="1" x14ac:dyDescent="0.15"/>
    <row r="20325" spans="3:3" s="8" customFormat="1" ht="21.95" customHeight="1" x14ac:dyDescent="0.15"/>
    <row r="20326" spans="3:3" s="8" customFormat="1" ht="21.95" customHeight="1" x14ac:dyDescent="0.15"/>
    <row r="20327" spans="3:3" s="8" customFormat="1" ht="21.95" customHeight="1" x14ac:dyDescent="0.15"/>
    <row r="20328" spans="3:3" s="8" customFormat="1" ht="21.95" customHeight="1" x14ac:dyDescent="0.15"/>
    <row r="20329" spans="3:3" s="9" customFormat="1" ht="21.95" customHeight="1" x14ac:dyDescent="0.15"/>
    <row r="20330" spans="3:3" s="9" customFormat="1" ht="21.95" customHeight="1" x14ac:dyDescent="0.15"/>
    <row r="20331" spans="3:3" s="9" customFormat="1" ht="21.95" customHeight="1" x14ac:dyDescent="0.15"/>
    <row r="20332" spans="3:3" s="9" customFormat="1" ht="21.95" customHeight="1" x14ac:dyDescent="0.15"/>
    <row r="20333" spans="3:3" s="8" customFormat="1" ht="21.95" customHeight="1" x14ac:dyDescent="0.15"/>
    <row r="20334" spans="3:3" s="8" customFormat="1" ht="21.95" customHeight="1" x14ac:dyDescent="0.15"/>
    <row r="20335" spans="3:3" s="8" customFormat="1" ht="21.95" customHeight="1" x14ac:dyDescent="0.15"/>
    <row r="20336" spans="3:3" s="8" customFormat="1" ht="21.95" customHeight="1" x14ac:dyDescent="0.15"/>
    <row r="20337" s="8" customFormat="1" ht="21.95" customHeight="1" x14ac:dyDescent="0.15"/>
    <row r="20338" s="8" customFormat="1" ht="21.95" customHeight="1" x14ac:dyDescent="0.15"/>
    <row r="20339" s="8" customFormat="1" ht="21.95" customHeight="1" x14ac:dyDescent="0.15"/>
    <row r="20340" s="8" customFormat="1" ht="21.95" customHeight="1" x14ac:dyDescent="0.15"/>
    <row r="20341" s="8" customFormat="1" ht="21.95" customHeight="1" x14ac:dyDescent="0.15"/>
    <row r="20342" s="8" customFormat="1" ht="21.95" customHeight="1" x14ac:dyDescent="0.15"/>
    <row r="20343" s="8" customFormat="1" ht="21.95" customHeight="1" x14ac:dyDescent="0.15"/>
    <row r="20344" s="8" customFormat="1" ht="32.1" customHeight="1" x14ac:dyDescent="0.15"/>
    <row r="20345" s="8" customFormat="1" ht="32.1" customHeight="1" x14ac:dyDescent="0.15"/>
    <row r="20346" s="8" customFormat="1" ht="32.1" customHeight="1" x14ac:dyDescent="0.15"/>
    <row r="20347" s="8" customFormat="1" ht="32.1" customHeight="1" x14ac:dyDescent="0.15"/>
    <row r="20348" s="8" customFormat="1" ht="32.1" customHeight="1" x14ac:dyDescent="0.15"/>
    <row r="20349" s="8" customFormat="1" ht="32.1" customHeight="1" x14ac:dyDescent="0.15"/>
    <row r="20350" s="9" customFormat="1" ht="32.1" customHeight="1" x14ac:dyDescent="0.15"/>
    <row r="20351" s="9" customFormat="1" ht="32.1" customHeight="1" x14ac:dyDescent="0.15"/>
    <row r="20352" s="9" customFormat="1" ht="32.1" customHeight="1" x14ac:dyDescent="0.15"/>
    <row r="20353" s="9" customFormat="1" ht="32.1" customHeight="1" x14ac:dyDescent="0.15"/>
    <row r="20354" s="9" customFormat="1" ht="21.95" customHeight="1" x14ac:dyDescent="0.15"/>
    <row r="20355" s="9" customFormat="1" ht="54" customHeight="1" x14ac:dyDescent="0.15"/>
    <row r="20356" s="9" customFormat="1" ht="21.95" customHeight="1" x14ac:dyDescent="0.15"/>
    <row r="20357" s="9" customFormat="1" ht="21.95" customHeight="1" x14ac:dyDescent="0.15"/>
    <row r="20358" s="9" customFormat="1" ht="21.95" customHeight="1" x14ac:dyDescent="0.15"/>
    <row r="20359" s="9" customFormat="1" ht="21.95" customHeight="1" x14ac:dyDescent="0.15"/>
    <row r="20360" s="9" customFormat="1" ht="21.95" customHeight="1" x14ac:dyDescent="0.15"/>
    <row r="20361" s="9" customFormat="1" ht="21.95" customHeight="1" x14ac:dyDescent="0.15"/>
    <row r="20362" s="9" customFormat="1" ht="21.95" customHeight="1" x14ac:dyDescent="0.15"/>
    <row r="20363" s="9" customFormat="1" ht="21.95" customHeight="1" x14ac:dyDescent="0.15"/>
    <row r="20364" s="9" customFormat="1" ht="21.95" customHeight="1" x14ac:dyDescent="0.15"/>
    <row r="20365" s="9" customFormat="1" ht="21.95" customHeight="1" x14ac:dyDescent="0.15"/>
    <row r="20366" s="9" customFormat="1" ht="21.95" customHeight="1" x14ac:dyDescent="0.15"/>
    <row r="20367" s="9" customFormat="1" ht="21.95" customHeight="1" x14ac:dyDescent="0.15"/>
    <row r="20368" s="9" customFormat="1" ht="21.95" customHeight="1" x14ac:dyDescent="0.15"/>
    <row r="20369" s="9" customFormat="1" ht="21.95" customHeight="1" x14ac:dyDescent="0.15"/>
    <row r="20370" s="9" customFormat="1" ht="21.95" customHeight="1" x14ac:dyDescent="0.15"/>
    <row r="20371" s="9" customFormat="1" ht="21.95" customHeight="1" x14ac:dyDescent="0.15"/>
    <row r="20372" s="9" customFormat="1" ht="21.95" customHeight="1" x14ac:dyDescent="0.15"/>
    <row r="20373" s="9" customFormat="1" ht="21.95" customHeight="1" x14ac:dyDescent="0.15"/>
    <row r="20374" s="9" customFormat="1" ht="21.95" customHeight="1" x14ac:dyDescent="0.15"/>
    <row r="20375" s="9" customFormat="1" ht="21.95" customHeight="1" x14ac:dyDescent="0.15"/>
    <row r="20376" s="9" customFormat="1" ht="21.95" customHeight="1" x14ac:dyDescent="0.15"/>
    <row r="20377" s="9" customFormat="1" ht="21.95" customHeight="1" x14ac:dyDescent="0.15"/>
    <row r="20378" s="9" customFormat="1" ht="21.95" customHeight="1" x14ac:dyDescent="0.15"/>
    <row r="20379" s="9" customFormat="1" ht="21.95" customHeight="1" x14ac:dyDescent="0.15"/>
    <row r="20380" s="9" customFormat="1" ht="21.95" customHeight="1" x14ac:dyDescent="0.15"/>
    <row r="20381" s="9" customFormat="1" ht="21.95" customHeight="1" x14ac:dyDescent="0.15"/>
    <row r="20382" s="9" customFormat="1" ht="21.95" customHeight="1" x14ac:dyDescent="0.15"/>
    <row r="20383" s="9" customFormat="1" ht="21.95" customHeight="1" x14ac:dyDescent="0.15"/>
    <row r="20384" s="9" customFormat="1" ht="21.95" customHeight="1" x14ac:dyDescent="0.15"/>
    <row r="20385" s="9" customFormat="1" ht="21.95" customHeight="1" x14ac:dyDescent="0.15"/>
    <row r="20386" s="9" customFormat="1" ht="21.95" customHeight="1" x14ac:dyDescent="0.15"/>
    <row r="20387" s="9" customFormat="1" ht="21.95" customHeight="1" x14ac:dyDescent="0.15"/>
    <row r="20388" s="9" customFormat="1" ht="21.95" customHeight="1" x14ac:dyDescent="0.15"/>
    <row r="20389" s="9" customFormat="1" ht="21.95" customHeight="1" x14ac:dyDescent="0.15"/>
    <row r="20390" s="9" customFormat="1" ht="21.95" customHeight="1" x14ac:dyDescent="0.15"/>
    <row r="20391" s="9" customFormat="1" ht="21.95" customHeight="1" x14ac:dyDescent="0.15"/>
    <row r="20392" s="9" customFormat="1" ht="21.95" customHeight="1" x14ac:dyDescent="0.15"/>
    <row r="20393" s="9" customFormat="1" ht="21.95" customHeight="1" x14ac:dyDescent="0.15"/>
    <row r="20394" s="9" customFormat="1" ht="21.95" customHeight="1" x14ac:dyDescent="0.15"/>
    <row r="20395" s="9" customFormat="1" ht="21.95" customHeight="1" x14ac:dyDescent="0.15"/>
    <row r="20396" s="9" customFormat="1" ht="21.95" customHeight="1" x14ac:dyDescent="0.15"/>
    <row r="20397" s="9" customFormat="1" ht="21.95" customHeight="1" x14ac:dyDescent="0.15"/>
    <row r="20398" s="9" customFormat="1" ht="21.95" customHeight="1" x14ac:dyDescent="0.15"/>
    <row r="20399" s="9" customFormat="1" ht="21.95" customHeight="1" x14ac:dyDescent="0.15"/>
    <row r="20400" s="9" customFormat="1" ht="21.95" customHeight="1" x14ac:dyDescent="0.15"/>
    <row r="20401" s="9" customFormat="1" ht="21.95" customHeight="1" x14ac:dyDescent="0.15"/>
    <row r="20402" s="9" customFormat="1" ht="21.95" customHeight="1" x14ac:dyDescent="0.15"/>
    <row r="20403" s="9" customFormat="1" ht="21.95" customHeight="1" x14ac:dyDescent="0.15"/>
    <row r="20404" s="9" customFormat="1" ht="21.95" customHeight="1" x14ac:dyDescent="0.15"/>
    <row r="20405" s="9" customFormat="1" ht="21.95" customHeight="1" x14ac:dyDescent="0.15"/>
    <row r="20406" s="9" customFormat="1" ht="35.1" customHeight="1" x14ac:dyDescent="0.15"/>
    <row r="20407" s="9" customFormat="1" ht="21.95" customHeight="1" x14ac:dyDescent="0.15"/>
    <row r="20408" s="9" customFormat="1" ht="21.95" customHeight="1" x14ac:dyDescent="0.15"/>
    <row r="20409" s="9" customFormat="1" ht="21.95" customHeight="1" x14ac:dyDescent="0.15"/>
    <row r="20410" s="9" customFormat="1" ht="21.95" customHeight="1" x14ac:dyDescent="0.15"/>
    <row r="20411" s="9" customFormat="1" ht="21.95" customHeight="1" x14ac:dyDescent="0.15"/>
    <row r="20412" s="9" customFormat="1" ht="21.95" customHeight="1" x14ac:dyDescent="0.15"/>
    <row r="20413" s="9" customFormat="1" ht="21.95" customHeight="1" x14ac:dyDescent="0.15"/>
    <row r="20414" s="9" customFormat="1" ht="21.95" customHeight="1" x14ac:dyDescent="0.15"/>
    <row r="20415" s="9" customFormat="1" ht="21.95" customHeight="1" x14ac:dyDescent="0.15"/>
    <row r="20416" s="9" customFormat="1" ht="21.95" customHeight="1" x14ac:dyDescent="0.15"/>
    <row r="20417" spans="3:3" s="9" customFormat="1" ht="21.95" customHeight="1" x14ac:dyDescent="0.15"/>
    <row r="20418" spans="3:3" s="9" customFormat="1" ht="21.95" customHeight="1" x14ac:dyDescent="0.15"/>
    <row r="20419" spans="3:3" s="9" customFormat="1" ht="21.95" customHeight="1" x14ac:dyDescent="0.15"/>
    <row r="20420" spans="3:3" s="9" customFormat="1" ht="21.95" customHeight="1" x14ac:dyDescent="0.15"/>
    <row r="20421" spans="3:3" s="9" customFormat="1" ht="21.95" customHeight="1" x14ac:dyDescent="0.15"/>
    <row r="20422" spans="3:3" s="9" customFormat="1" ht="21.95" customHeight="1" x14ac:dyDescent="0.15"/>
    <row r="20423" spans="3:3" s="9" customFormat="1" ht="21.95" customHeight="1" x14ac:dyDescent="0.15"/>
    <row r="20424" spans="3:3" s="9" customFormat="1" ht="21.95" customHeight="1" x14ac:dyDescent="0.15"/>
    <row r="20425" spans="3:3" s="9" customFormat="1" ht="21.95" customHeight="1" x14ac:dyDescent="0.15"/>
    <row r="20426" spans="3:3" s="9" customFormat="1" ht="21.95" customHeight="1" x14ac:dyDescent="0.15"/>
    <row r="20427" spans="3:3" s="9" customFormat="1" ht="21.95" customHeight="1" x14ac:dyDescent="0.15"/>
    <row r="20428" spans="3:3" s="9" customFormat="1" ht="21.95" customHeight="1" x14ac:dyDescent="0.15"/>
    <row r="20429" spans="3:3" s="9" customFormat="1" ht="21.95" customHeight="1" x14ac:dyDescent="0.15"/>
    <row r="20430" spans="3:3" s="8" customFormat="1" ht="21.95" customHeight="1" x14ac:dyDescent="0.15"/>
    <row r="20431" spans="3:3" s="8" customFormat="1" ht="21.95" customHeight="1" x14ac:dyDescent="0.15"/>
    <row r="20432" spans="3:3" s="8" customFormat="1" ht="21.95" customHeight="1" x14ac:dyDescent="0.15">
      <c r="C20432" s="101"/>
    </row>
    <row r="20433" spans="3:3" s="8" customFormat="1" ht="21.95" customHeight="1" x14ac:dyDescent="0.15">
      <c r="C20433" s="101"/>
    </row>
    <row r="20434" spans="3:3" s="8" customFormat="1" ht="21.95" customHeight="1" x14ac:dyDescent="0.15"/>
    <row r="20435" spans="3:3" s="8" customFormat="1" ht="21.95" customHeight="1" x14ac:dyDescent="0.15"/>
    <row r="20436" spans="3:3" s="8" customFormat="1" ht="21.95" customHeight="1" x14ac:dyDescent="0.15"/>
    <row r="20437" spans="3:3" s="8" customFormat="1" ht="21.95" customHeight="1" x14ac:dyDescent="0.15"/>
    <row r="20438" spans="3:3" s="8" customFormat="1" ht="21.95" customHeight="1" x14ac:dyDescent="0.15"/>
    <row r="20439" spans="3:3" s="8" customFormat="1" ht="21.95" customHeight="1" x14ac:dyDescent="0.15"/>
    <row r="20440" spans="3:3" s="8" customFormat="1" ht="21.95" customHeight="1" x14ac:dyDescent="0.15"/>
    <row r="20441" spans="3:3" s="9" customFormat="1" ht="21.95" customHeight="1" x14ac:dyDescent="0.15"/>
    <row r="20442" spans="3:3" s="9" customFormat="1" ht="21.95" customHeight="1" x14ac:dyDescent="0.15"/>
    <row r="20443" spans="3:3" s="9" customFormat="1" ht="21.95" customHeight="1" x14ac:dyDescent="0.15"/>
    <row r="20444" spans="3:3" s="9" customFormat="1" ht="21.95" customHeight="1" x14ac:dyDescent="0.15"/>
    <row r="20445" spans="3:3" s="8" customFormat="1" ht="21.95" customHeight="1" x14ac:dyDescent="0.15"/>
    <row r="20446" spans="3:3" s="8" customFormat="1" ht="21.95" customHeight="1" x14ac:dyDescent="0.15"/>
    <row r="20447" spans="3:3" s="8" customFormat="1" ht="21.95" customHeight="1" x14ac:dyDescent="0.15"/>
    <row r="20448" spans="3:3" s="8" customFormat="1" ht="21.95" customHeight="1" x14ac:dyDescent="0.15"/>
    <row r="20449" s="8" customFormat="1" ht="21.95" customHeight="1" x14ac:dyDescent="0.15"/>
    <row r="20450" s="8" customFormat="1" ht="21.95" customHeight="1" x14ac:dyDescent="0.15"/>
    <row r="20451" s="8" customFormat="1" ht="21.95" customHeight="1" x14ac:dyDescent="0.15"/>
    <row r="20452" s="8" customFormat="1" ht="21.95" customHeight="1" x14ac:dyDescent="0.15"/>
    <row r="20453" s="8" customFormat="1" ht="21.95" customHeight="1" x14ac:dyDescent="0.15"/>
    <row r="20454" s="8" customFormat="1" ht="21.95" customHeight="1" x14ac:dyDescent="0.15"/>
    <row r="20455" s="8" customFormat="1" ht="21.95" customHeight="1" x14ac:dyDescent="0.15"/>
    <row r="20456" s="8" customFormat="1" ht="32.1" customHeight="1" x14ac:dyDescent="0.15"/>
    <row r="20457" s="8" customFormat="1" ht="32.1" customHeight="1" x14ac:dyDescent="0.15"/>
    <row r="20458" s="8" customFormat="1" ht="32.1" customHeight="1" x14ac:dyDescent="0.15"/>
    <row r="20459" s="8" customFormat="1" ht="32.1" customHeight="1" x14ac:dyDescent="0.15"/>
    <row r="20460" s="8" customFormat="1" ht="32.1" customHeight="1" x14ac:dyDescent="0.15"/>
    <row r="20461" s="8" customFormat="1" ht="32.1" customHeight="1" x14ac:dyDescent="0.15"/>
    <row r="20462" s="9" customFormat="1" ht="32.1" customHeight="1" x14ac:dyDescent="0.15"/>
    <row r="20463" s="9" customFormat="1" ht="32.1" customHeight="1" x14ac:dyDescent="0.15"/>
    <row r="20464" s="9" customFormat="1" ht="32.1" customHeight="1" x14ac:dyDescent="0.15"/>
    <row r="20465" s="9" customFormat="1" ht="32.1" customHeight="1" x14ac:dyDescent="0.15"/>
    <row r="20466" s="9" customFormat="1" ht="21.95" customHeight="1" x14ac:dyDescent="0.15"/>
    <row r="20467" s="9" customFormat="1" ht="54" customHeight="1" x14ac:dyDescent="0.15"/>
    <row r="20468" s="9" customFormat="1" ht="21.95" customHeight="1" x14ac:dyDescent="0.15"/>
    <row r="20469" s="9" customFormat="1" ht="21.95" customHeight="1" x14ac:dyDescent="0.15"/>
    <row r="20470" s="9" customFormat="1" ht="21.95" customHeight="1" x14ac:dyDescent="0.15"/>
    <row r="20471" s="9" customFormat="1" ht="21.95" customHeight="1" x14ac:dyDescent="0.15"/>
    <row r="20472" s="9" customFormat="1" ht="21.95" customHeight="1" x14ac:dyDescent="0.15"/>
    <row r="20473" s="9" customFormat="1" ht="21.95" customHeight="1" x14ac:dyDescent="0.15"/>
    <row r="20474" s="9" customFormat="1" ht="21.95" customHeight="1" x14ac:dyDescent="0.15"/>
    <row r="20475" s="9" customFormat="1" ht="21.95" customHeight="1" x14ac:dyDescent="0.15"/>
    <row r="20476" s="9" customFormat="1" ht="21.95" customHeight="1" x14ac:dyDescent="0.15"/>
    <row r="20477" s="9" customFormat="1" ht="21.95" customHeight="1" x14ac:dyDescent="0.15"/>
    <row r="20478" s="9" customFormat="1" ht="21.95" customHeight="1" x14ac:dyDescent="0.15"/>
    <row r="20479" s="9" customFormat="1" ht="21.95" customHeight="1" x14ac:dyDescent="0.15"/>
    <row r="20480" s="9" customFormat="1" ht="21.95" customHeight="1" x14ac:dyDescent="0.15"/>
    <row r="20481" s="9" customFormat="1" ht="21.95" customHeight="1" x14ac:dyDescent="0.15"/>
    <row r="20482" s="9" customFormat="1" ht="21.95" customHeight="1" x14ac:dyDescent="0.15"/>
    <row r="20483" s="9" customFormat="1" ht="21.95" customHeight="1" x14ac:dyDescent="0.15"/>
    <row r="20484" s="9" customFormat="1" ht="21.95" customHeight="1" x14ac:dyDescent="0.15"/>
    <row r="20485" s="9" customFormat="1" ht="21.95" customHeight="1" x14ac:dyDescent="0.15"/>
    <row r="20486" s="9" customFormat="1" ht="21.95" customHeight="1" x14ac:dyDescent="0.15"/>
    <row r="20487" s="9" customFormat="1" ht="21.95" customHeight="1" x14ac:dyDescent="0.15"/>
    <row r="20488" s="9" customFormat="1" ht="21.95" customHeight="1" x14ac:dyDescent="0.15"/>
    <row r="20489" s="9" customFormat="1" ht="21.95" customHeight="1" x14ac:dyDescent="0.15"/>
    <row r="20490" s="9" customFormat="1" ht="21.95" customHeight="1" x14ac:dyDescent="0.15"/>
    <row r="20491" s="9" customFormat="1" ht="21.95" customHeight="1" x14ac:dyDescent="0.15"/>
    <row r="20492" s="9" customFormat="1" ht="21.95" customHeight="1" x14ac:dyDescent="0.15"/>
    <row r="20493" s="9" customFormat="1" ht="21.95" customHeight="1" x14ac:dyDescent="0.15"/>
    <row r="20494" s="9" customFormat="1" ht="21.95" customHeight="1" x14ac:dyDescent="0.15"/>
    <row r="20495" s="9" customFormat="1" ht="21.95" customHeight="1" x14ac:dyDescent="0.15"/>
    <row r="20496" s="9" customFormat="1" ht="21.95" customHeight="1" x14ac:dyDescent="0.15"/>
    <row r="20497" s="9" customFormat="1" ht="21.95" customHeight="1" x14ac:dyDescent="0.15"/>
    <row r="20498" s="9" customFormat="1" ht="21.95" customHeight="1" x14ac:dyDescent="0.15"/>
    <row r="20499" s="9" customFormat="1" ht="21.95" customHeight="1" x14ac:dyDescent="0.15"/>
    <row r="20500" s="9" customFormat="1" ht="21.95" customHeight="1" x14ac:dyDescent="0.15"/>
    <row r="20501" s="9" customFormat="1" ht="21.95" customHeight="1" x14ac:dyDescent="0.15"/>
    <row r="20502" s="9" customFormat="1" ht="21.95" customHeight="1" x14ac:dyDescent="0.15"/>
    <row r="20503" s="9" customFormat="1" ht="21.95" customHeight="1" x14ac:dyDescent="0.15"/>
    <row r="20504" s="9" customFormat="1" ht="21.95" customHeight="1" x14ac:dyDescent="0.15"/>
    <row r="20505" s="9" customFormat="1" ht="21.95" customHeight="1" x14ac:dyDescent="0.15"/>
    <row r="20506" s="9" customFormat="1" ht="21.95" customHeight="1" x14ac:dyDescent="0.15"/>
    <row r="20507" s="9" customFormat="1" ht="21.95" customHeight="1" x14ac:dyDescent="0.15"/>
    <row r="20508" s="9" customFormat="1" ht="21.95" customHeight="1" x14ac:dyDescent="0.15"/>
    <row r="20509" s="9" customFormat="1" ht="21.95" customHeight="1" x14ac:dyDescent="0.15"/>
    <row r="20510" s="9" customFormat="1" ht="21.95" customHeight="1" x14ac:dyDescent="0.15"/>
    <row r="20511" s="9" customFormat="1" ht="21.95" customHeight="1" x14ac:dyDescent="0.15"/>
    <row r="20512" s="9" customFormat="1" ht="21.95" customHeight="1" x14ac:dyDescent="0.15"/>
    <row r="20513" s="9" customFormat="1" ht="21.95" customHeight="1" x14ac:dyDescent="0.15"/>
    <row r="20514" s="9" customFormat="1" ht="21.95" customHeight="1" x14ac:dyDescent="0.15"/>
    <row r="20515" s="9" customFormat="1" ht="21.95" customHeight="1" x14ac:dyDescent="0.15"/>
    <row r="20516" s="9" customFormat="1" ht="21.95" customHeight="1" x14ac:dyDescent="0.15"/>
    <row r="20517" s="9" customFormat="1" ht="21.95" customHeight="1" x14ac:dyDescent="0.15"/>
    <row r="20518" s="9" customFormat="1" ht="35.1" customHeight="1" x14ac:dyDescent="0.15"/>
    <row r="20519" s="9" customFormat="1" ht="21.95" customHeight="1" x14ac:dyDescent="0.15"/>
    <row r="20520" s="9" customFormat="1" ht="21.95" customHeight="1" x14ac:dyDescent="0.15"/>
    <row r="20521" s="9" customFormat="1" ht="21.95" customHeight="1" x14ac:dyDescent="0.15"/>
    <row r="20522" s="9" customFormat="1" ht="21.95" customHeight="1" x14ac:dyDescent="0.15"/>
    <row r="20523" s="9" customFormat="1" ht="21.95" customHeight="1" x14ac:dyDescent="0.15"/>
    <row r="20524" s="9" customFormat="1" ht="21.95" customHeight="1" x14ac:dyDescent="0.15"/>
    <row r="20525" s="9" customFormat="1" ht="21.95" customHeight="1" x14ac:dyDescent="0.15"/>
    <row r="20526" s="9" customFormat="1" ht="21.95" customHeight="1" x14ac:dyDescent="0.15"/>
    <row r="20527" s="9" customFormat="1" ht="21.95" customHeight="1" x14ac:dyDescent="0.15"/>
    <row r="20528" s="9" customFormat="1" ht="21.95" customHeight="1" x14ac:dyDescent="0.15"/>
    <row r="20529" spans="3:3" s="9" customFormat="1" ht="21.95" customHeight="1" x14ac:dyDescent="0.15"/>
    <row r="20530" spans="3:3" s="9" customFormat="1" ht="21.95" customHeight="1" x14ac:dyDescent="0.15"/>
    <row r="20531" spans="3:3" s="9" customFormat="1" ht="21.95" customHeight="1" x14ac:dyDescent="0.15"/>
    <row r="20532" spans="3:3" s="9" customFormat="1" ht="21.95" customHeight="1" x14ac:dyDescent="0.15"/>
    <row r="20533" spans="3:3" s="9" customFormat="1" ht="21.95" customHeight="1" x14ac:dyDescent="0.15"/>
    <row r="20534" spans="3:3" s="9" customFormat="1" ht="21.95" customHeight="1" x14ac:dyDescent="0.15"/>
    <row r="20535" spans="3:3" s="9" customFormat="1" ht="21.95" customHeight="1" x14ac:dyDescent="0.15"/>
    <row r="20536" spans="3:3" s="9" customFormat="1" ht="21.95" customHeight="1" x14ac:dyDescent="0.15"/>
    <row r="20537" spans="3:3" s="9" customFormat="1" ht="21.95" customHeight="1" x14ac:dyDescent="0.15"/>
    <row r="20538" spans="3:3" s="9" customFormat="1" ht="21.95" customHeight="1" x14ac:dyDescent="0.15"/>
    <row r="20539" spans="3:3" s="9" customFormat="1" ht="21.95" customHeight="1" x14ac:dyDescent="0.15"/>
    <row r="20540" spans="3:3" s="9" customFormat="1" ht="21.95" customHeight="1" x14ac:dyDescent="0.15"/>
    <row r="20541" spans="3:3" s="9" customFormat="1" ht="21.95" customHeight="1" x14ac:dyDescent="0.15"/>
    <row r="20542" spans="3:3" s="8" customFormat="1" ht="21.95" customHeight="1" x14ac:dyDescent="0.15"/>
    <row r="20543" spans="3:3" s="8" customFormat="1" ht="21.95" customHeight="1" x14ac:dyDescent="0.15"/>
    <row r="20544" spans="3:3" s="8" customFormat="1" ht="21.95" customHeight="1" x14ac:dyDescent="0.15">
      <c r="C20544" s="101"/>
    </row>
    <row r="20545" spans="3:3" s="8" customFormat="1" ht="21.95" customHeight="1" x14ac:dyDescent="0.15">
      <c r="C20545" s="101"/>
    </row>
    <row r="20546" spans="3:3" s="8" customFormat="1" ht="21.95" customHeight="1" x14ac:dyDescent="0.15"/>
    <row r="20547" spans="3:3" s="8" customFormat="1" ht="21.95" customHeight="1" x14ac:dyDescent="0.15"/>
    <row r="20548" spans="3:3" s="8" customFormat="1" ht="21.95" customHeight="1" x14ac:dyDescent="0.15"/>
    <row r="20549" spans="3:3" s="8" customFormat="1" ht="21.95" customHeight="1" x14ac:dyDescent="0.15"/>
    <row r="20550" spans="3:3" s="8" customFormat="1" ht="21.95" customHeight="1" x14ac:dyDescent="0.15"/>
    <row r="20551" spans="3:3" s="8" customFormat="1" ht="21.95" customHeight="1" x14ac:dyDescent="0.15"/>
    <row r="20552" spans="3:3" s="8" customFormat="1" ht="21.95" customHeight="1" x14ac:dyDescent="0.15"/>
    <row r="20553" spans="3:3" s="9" customFormat="1" ht="21.95" customHeight="1" x14ac:dyDescent="0.15"/>
    <row r="20554" spans="3:3" s="9" customFormat="1" ht="21.95" customHeight="1" x14ac:dyDescent="0.15"/>
    <row r="20555" spans="3:3" s="9" customFormat="1" ht="21.95" customHeight="1" x14ac:dyDescent="0.15"/>
    <row r="20556" spans="3:3" s="9" customFormat="1" ht="21.95" customHeight="1" x14ac:dyDescent="0.15"/>
    <row r="20557" spans="3:3" s="8" customFormat="1" ht="21.95" customHeight="1" x14ac:dyDescent="0.15"/>
    <row r="20558" spans="3:3" s="8" customFormat="1" ht="21.95" customHeight="1" x14ac:dyDescent="0.15"/>
    <row r="20559" spans="3:3" s="8" customFormat="1" ht="21.95" customHeight="1" x14ac:dyDescent="0.15"/>
    <row r="20560" spans="3:3" s="8" customFormat="1" ht="21.95" customHeight="1" x14ac:dyDescent="0.15"/>
    <row r="20561" s="8" customFormat="1" ht="21.95" customHeight="1" x14ac:dyDescent="0.15"/>
    <row r="20562" s="8" customFormat="1" ht="21.95" customHeight="1" x14ac:dyDescent="0.15"/>
    <row r="20563" s="8" customFormat="1" ht="21.95" customHeight="1" x14ac:dyDescent="0.15"/>
    <row r="20564" s="8" customFormat="1" ht="21.95" customHeight="1" x14ac:dyDescent="0.15"/>
    <row r="20565" s="8" customFormat="1" ht="21.95" customHeight="1" x14ac:dyDescent="0.15"/>
    <row r="20566" s="8" customFormat="1" ht="21.95" customHeight="1" x14ac:dyDescent="0.15"/>
    <row r="20567" s="8" customFormat="1" ht="21.95" customHeight="1" x14ac:dyDescent="0.15"/>
    <row r="20568" s="8" customFormat="1" ht="32.1" customHeight="1" x14ac:dyDescent="0.15"/>
    <row r="20569" s="8" customFormat="1" ht="32.1" customHeight="1" x14ac:dyDescent="0.15"/>
    <row r="20570" s="8" customFormat="1" ht="32.1" customHeight="1" x14ac:dyDescent="0.15"/>
    <row r="20571" s="8" customFormat="1" ht="32.1" customHeight="1" x14ac:dyDescent="0.15"/>
    <row r="20572" s="8" customFormat="1" ht="32.1" customHeight="1" x14ac:dyDescent="0.15"/>
    <row r="20573" s="8" customFormat="1" ht="32.1" customHeight="1" x14ac:dyDescent="0.15"/>
    <row r="20574" s="9" customFormat="1" ht="32.1" customHeight="1" x14ac:dyDescent="0.15"/>
    <row r="20575" s="9" customFormat="1" ht="32.1" customHeight="1" x14ac:dyDescent="0.15"/>
    <row r="20576" s="9" customFormat="1" ht="32.1" customHeight="1" x14ac:dyDescent="0.15"/>
    <row r="20577" s="9" customFormat="1" ht="32.1" customHeight="1" x14ac:dyDescent="0.15"/>
    <row r="20578" s="9" customFormat="1" ht="21.95" customHeight="1" x14ac:dyDescent="0.15"/>
    <row r="20579" s="9" customFormat="1" ht="54" customHeight="1" x14ac:dyDescent="0.15"/>
    <row r="20580" s="9" customFormat="1" ht="21.95" customHeight="1" x14ac:dyDescent="0.15"/>
    <row r="20581" s="9" customFormat="1" ht="21.95" customHeight="1" x14ac:dyDescent="0.15"/>
    <row r="20582" s="9" customFormat="1" ht="21.95" customHeight="1" x14ac:dyDescent="0.15"/>
    <row r="20583" s="9" customFormat="1" ht="21.95" customHeight="1" x14ac:dyDescent="0.15"/>
    <row r="20584" s="9" customFormat="1" ht="21.95" customHeight="1" x14ac:dyDescent="0.15"/>
    <row r="20585" s="9" customFormat="1" ht="21.95" customHeight="1" x14ac:dyDescent="0.15"/>
    <row r="20586" s="9" customFormat="1" ht="21.95" customHeight="1" x14ac:dyDescent="0.15"/>
    <row r="20587" s="9" customFormat="1" ht="21.95" customHeight="1" x14ac:dyDescent="0.15"/>
    <row r="20588" s="9" customFormat="1" ht="21.95" customHeight="1" x14ac:dyDescent="0.15"/>
    <row r="20589" s="9" customFormat="1" ht="21.95" customHeight="1" x14ac:dyDescent="0.15"/>
    <row r="20590" s="9" customFormat="1" ht="21.95" customHeight="1" x14ac:dyDescent="0.15"/>
    <row r="20591" s="9" customFormat="1" ht="21.95" customHeight="1" x14ac:dyDescent="0.15"/>
    <row r="20592" s="9" customFormat="1" ht="21.95" customHeight="1" x14ac:dyDescent="0.15"/>
    <row r="20593" s="9" customFormat="1" ht="21.95" customHeight="1" x14ac:dyDescent="0.15"/>
    <row r="20594" s="9" customFormat="1" ht="21.95" customHeight="1" x14ac:dyDescent="0.15"/>
    <row r="20595" s="9" customFormat="1" ht="21.95" customHeight="1" x14ac:dyDescent="0.15"/>
    <row r="20596" s="9" customFormat="1" ht="21.95" customHeight="1" x14ac:dyDescent="0.15"/>
    <row r="20597" s="9" customFormat="1" ht="21.95" customHeight="1" x14ac:dyDescent="0.15"/>
    <row r="20598" s="9" customFormat="1" ht="21.95" customHeight="1" x14ac:dyDescent="0.15"/>
    <row r="20599" s="9" customFormat="1" ht="21.95" customHeight="1" x14ac:dyDescent="0.15"/>
    <row r="20600" s="9" customFormat="1" ht="21.95" customHeight="1" x14ac:dyDescent="0.15"/>
    <row r="20601" s="9" customFormat="1" ht="21.95" customHeight="1" x14ac:dyDescent="0.15"/>
    <row r="20602" s="9" customFormat="1" ht="21.95" customHeight="1" x14ac:dyDescent="0.15"/>
    <row r="20603" s="9" customFormat="1" ht="21.95" customHeight="1" x14ac:dyDescent="0.15"/>
    <row r="20604" s="9" customFormat="1" ht="21.95" customHeight="1" x14ac:dyDescent="0.15"/>
    <row r="20605" s="9" customFormat="1" ht="21.95" customHeight="1" x14ac:dyDescent="0.15"/>
    <row r="20606" s="9" customFormat="1" ht="21.95" customHeight="1" x14ac:dyDescent="0.15"/>
    <row r="20607" s="9" customFormat="1" ht="21.95" customHeight="1" x14ac:dyDescent="0.15"/>
    <row r="20608" s="9" customFormat="1" ht="21.95" customHeight="1" x14ac:dyDescent="0.15"/>
    <row r="20609" s="9" customFormat="1" ht="21.95" customHeight="1" x14ac:dyDescent="0.15"/>
    <row r="20610" s="9" customFormat="1" ht="21.95" customHeight="1" x14ac:dyDescent="0.15"/>
    <row r="20611" s="9" customFormat="1" ht="21.95" customHeight="1" x14ac:dyDescent="0.15"/>
    <row r="20612" s="9" customFormat="1" ht="21.95" customHeight="1" x14ac:dyDescent="0.15"/>
    <row r="20613" s="9" customFormat="1" ht="21.95" customHeight="1" x14ac:dyDescent="0.15"/>
    <row r="20614" s="9" customFormat="1" ht="21.95" customHeight="1" x14ac:dyDescent="0.15"/>
    <row r="20615" s="9" customFormat="1" ht="21.95" customHeight="1" x14ac:dyDescent="0.15"/>
    <row r="20616" s="9" customFormat="1" ht="21.95" customHeight="1" x14ac:dyDescent="0.15"/>
    <row r="20617" s="9" customFormat="1" ht="21.95" customHeight="1" x14ac:dyDescent="0.15"/>
    <row r="20618" s="9" customFormat="1" ht="21.95" customHeight="1" x14ac:dyDescent="0.15"/>
    <row r="20619" s="9" customFormat="1" ht="21.95" customHeight="1" x14ac:dyDescent="0.15"/>
    <row r="20620" s="9" customFormat="1" ht="21.95" customHeight="1" x14ac:dyDescent="0.15"/>
    <row r="20621" s="9" customFormat="1" ht="21.95" customHeight="1" x14ac:dyDescent="0.15"/>
    <row r="20622" s="9" customFormat="1" ht="21.95" customHeight="1" x14ac:dyDescent="0.15"/>
    <row r="20623" s="9" customFormat="1" ht="21.95" customHeight="1" x14ac:dyDescent="0.15"/>
    <row r="20624" s="9" customFormat="1" ht="21.95" customHeight="1" x14ac:dyDescent="0.15"/>
    <row r="20625" s="9" customFormat="1" ht="21.95" customHeight="1" x14ac:dyDescent="0.15"/>
    <row r="20626" s="9" customFormat="1" ht="21.95" customHeight="1" x14ac:dyDescent="0.15"/>
    <row r="20627" s="9" customFormat="1" ht="21.95" customHeight="1" x14ac:dyDescent="0.15"/>
    <row r="20628" s="9" customFormat="1" ht="21.95" customHeight="1" x14ac:dyDescent="0.15"/>
    <row r="20629" s="9" customFormat="1" ht="21.95" customHeight="1" x14ac:dyDescent="0.15"/>
    <row r="20630" s="9" customFormat="1" ht="35.1" customHeight="1" x14ac:dyDescent="0.15"/>
    <row r="20631" s="9" customFormat="1" ht="21.95" customHeight="1" x14ac:dyDescent="0.15"/>
    <row r="20632" s="9" customFormat="1" ht="21.95" customHeight="1" x14ac:dyDescent="0.15"/>
    <row r="20633" s="9" customFormat="1" ht="21.95" customHeight="1" x14ac:dyDescent="0.15"/>
    <row r="20634" s="9" customFormat="1" ht="21.95" customHeight="1" x14ac:dyDescent="0.15"/>
    <row r="20635" s="9" customFormat="1" ht="21.95" customHeight="1" x14ac:dyDescent="0.15"/>
    <row r="20636" s="9" customFormat="1" ht="21.95" customHeight="1" x14ac:dyDescent="0.15"/>
    <row r="20637" s="9" customFormat="1" ht="21.95" customHeight="1" x14ac:dyDescent="0.15"/>
    <row r="20638" s="9" customFormat="1" ht="21.95" customHeight="1" x14ac:dyDescent="0.15"/>
    <row r="20639" s="9" customFormat="1" ht="21.95" customHeight="1" x14ac:dyDescent="0.15"/>
    <row r="20640" s="9" customFormat="1" ht="21.95" customHeight="1" x14ac:dyDescent="0.15"/>
    <row r="20641" spans="3:3" s="9" customFormat="1" ht="21.95" customHeight="1" x14ac:dyDescent="0.15"/>
    <row r="20642" spans="3:3" s="9" customFormat="1" ht="21.95" customHeight="1" x14ac:dyDescent="0.15"/>
    <row r="20643" spans="3:3" s="9" customFormat="1" ht="21.95" customHeight="1" x14ac:dyDescent="0.15"/>
    <row r="20644" spans="3:3" s="9" customFormat="1" ht="21.95" customHeight="1" x14ac:dyDescent="0.15"/>
    <row r="20645" spans="3:3" s="9" customFormat="1" ht="21.95" customHeight="1" x14ac:dyDescent="0.15"/>
    <row r="20646" spans="3:3" s="9" customFormat="1" ht="21.95" customHeight="1" x14ac:dyDescent="0.15"/>
    <row r="20647" spans="3:3" s="9" customFormat="1" ht="21.95" customHeight="1" x14ac:dyDescent="0.15"/>
    <row r="20648" spans="3:3" s="9" customFormat="1" ht="21.95" customHeight="1" x14ac:dyDescent="0.15"/>
    <row r="20649" spans="3:3" s="9" customFormat="1" ht="21.95" customHeight="1" x14ac:dyDescent="0.15"/>
    <row r="20650" spans="3:3" s="9" customFormat="1" ht="21.95" customHeight="1" x14ac:dyDescent="0.15"/>
    <row r="20651" spans="3:3" s="9" customFormat="1" ht="21.95" customHeight="1" x14ac:dyDescent="0.15"/>
    <row r="20652" spans="3:3" s="9" customFormat="1" ht="21.95" customHeight="1" x14ac:dyDescent="0.15"/>
    <row r="20653" spans="3:3" s="9" customFormat="1" ht="21.95" customHeight="1" x14ac:dyDescent="0.15"/>
    <row r="20654" spans="3:3" s="8" customFormat="1" ht="21.95" customHeight="1" x14ac:dyDescent="0.15"/>
    <row r="20655" spans="3:3" s="8" customFormat="1" ht="21.95" customHeight="1" x14ac:dyDescent="0.15"/>
    <row r="20656" spans="3:3" s="8" customFormat="1" ht="21.95" customHeight="1" x14ac:dyDescent="0.15">
      <c r="C20656" s="101"/>
    </row>
    <row r="20657" spans="3:3" s="8" customFormat="1" ht="21.95" customHeight="1" x14ac:dyDescent="0.15">
      <c r="C20657" s="101"/>
    </row>
    <row r="20658" spans="3:3" s="8" customFormat="1" ht="21.95" customHeight="1" x14ac:dyDescent="0.15"/>
    <row r="20659" spans="3:3" s="8" customFormat="1" ht="21.95" customHeight="1" x14ac:dyDescent="0.15"/>
    <row r="20660" spans="3:3" s="8" customFormat="1" ht="21.95" customHeight="1" x14ac:dyDescent="0.15"/>
    <row r="20661" spans="3:3" s="8" customFormat="1" ht="21.95" customHeight="1" x14ac:dyDescent="0.15"/>
    <row r="20662" spans="3:3" s="8" customFormat="1" ht="21.95" customHeight="1" x14ac:dyDescent="0.15"/>
    <row r="20663" spans="3:3" s="8" customFormat="1" ht="21.95" customHeight="1" x14ac:dyDescent="0.15"/>
    <row r="20664" spans="3:3" s="8" customFormat="1" ht="21.95" customHeight="1" x14ac:dyDescent="0.15"/>
    <row r="20665" spans="3:3" s="9" customFormat="1" ht="21.95" customHeight="1" x14ac:dyDescent="0.15"/>
    <row r="20666" spans="3:3" s="9" customFormat="1" ht="21.95" customHeight="1" x14ac:dyDescent="0.15"/>
    <row r="20667" spans="3:3" s="9" customFormat="1" ht="21.95" customHeight="1" x14ac:dyDescent="0.15"/>
    <row r="20668" spans="3:3" s="9" customFormat="1" ht="21.95" customHeight="1" x14ac:dyDescent="0.15"/>
    <row r="20669" spans="3:3" s="8" customFormat="1" ht="21.95" customHeight="1" x14ac:dyDescent="0.15"/>
    <row r="20670" spans="3:3" s="8" customFormat="1" ht="21.95" customHeight="1" x14ac:dyDescent="0.15"/>
    <row r="20671" spans="3:3" s="8" customFormat="1" ht="21.95" customHeight="1" x14ac:dyDescent="0.15"/>
    <row r="20672" spans="3:3" s="8" customFormat="1" ht="21.95" customHeight="1" x14ac:dyDescent="0.15"/>
    <row r="20673" s="8" customFormat="1" ht="21.95" customHeight="1" x14ac:dyDescent="0.15"/>
    <row r="20674" s="8" customFormat="1" ht="21.95" customHeight="1" x14ac:dyDescent="0.15"/>
    <row r="20675" s="8" customFormat="1" ht="21.95" customHeight="1" x14ac:dyDescent="0.15"/>
    <row r="20676" s="8" customFormat="1" ht="21.95" customHeight="1" x14ac:dyDescent="0.15"/>
    <row r="20677" s="8" customFormat="1" ht="21.95" customHeight="1" x14ac:dyDescent="0.15"/>
    <row r="20678" s="8" customFormat="1" ht="21.95" customHeight="1" x14ac:dyDescent="0.15"/>
    <row r="20679" s="8" customFormat="1" ht="21.95" customHeight="1" x14ac:dyDescent="0.15"/>
    <row r="20680" s="8" customFormat="1" ht="32.1" customHeight="1" x14ac:dyDescent="0.15"/>
    <row r="20681" s="8" customFormat="1" ht="32.1" customHeight="1" x14ac:dyDescent="0.15"/>
    <row r="20682" s="8" customFormat="1" ht="32.1" customHeight="1" x14ac:dyDescent="0.15"/>
    <row r="20683" s="8" customFormat="1" ht="32.1" customHeight="1" x14ac:dyDescent="0.15"/>
    <row r="20684" s="8" customFormat="1" ht="32.1" customHeight="1" x14ac:dyDescent="0.15"/>
    <row r="20685" s="8" customFormat="1" ht="32.1" customHeight="1" x14ac:dyDescent="0.15"/>
    <row r="20686" s="9" customFormat="1" ht="32.1" customHeight="1" x14ac:dyDescent="0.15"/>
    <row r="20687" s="9" customFormat="1" ht="32.1" customHeight="1" x14ac:dyDescent="0.15"/>
    <row r="20688" s="9" customFormat="1" ht="32.1" customHeight="1" x14ac:dyDescent="0.15"/>
    <row r="20689" s="9" customFormat="1" ht="32.1" customHeight="1" x14ac:dyDescent="0.15"/>
    <row r="20690" s="9" customFormat="1" ht="21.95" customHeight="1" x14ac:dyDescent="0.15"/>
    <row r="20691" s="9" customFormat="1" ht="54" customHeight="1" x14ac:dyDescent="0.15"/>
    <row r="20692" s="9" customFormat="1" ht="21.95" customHeight="1" x14ac:dyDescent="0.15"/>
    <row r="20693" s="9" customFormat="1" ht="21.95" customHeight="1" x14ac:dyDescent="0.15"/>
    <row r="20694" s="9" customFormat="1" ht="21.95" customHeight="1" x14ac:dyDescent="0.15"/>
    <row r="20695" s="9" customFormat="1" ht="21.95" customHeight="1" x14ac:dyDescent="0.15"/>
    <row r="20696" s="9" customFormat="1" ht="21.95" customHeight="1" x14ac:dyDescent="0.15"/>
    <row r="20697" s="9" customFormat="1" ht="21.95" customHeight="1" x14ac:dyDescent="0.15"/>
    <row r="20698" s="9" customFormat="1" ht="21.95" customHeight="1" x14ac:dyDescent="0.15"/>
    <row r="20699" s="9" customFormat="1" ht="21.95" customHeight="1" x14ac:dyDescent="0.15"/>
    <row r="20700" s="9" customFormat="1" ht="21.95" customHeight="1" x14ac:dyDescent="0.15"/>
    <row r="20701" s="9" customFormat="1" ht="21.95" customHeight="1" x14ac:dyDescent="0.15"/>
    <row r="20702" s="9" customFormat="1" ht="21.95" customHeight="1" x14ac:dyDescent="0.15"/>
    <row r="20703" s="9" customFormat="1" ht="21.95" customHeight="1" x14ac:dyDescent="0.15"/>
    <row r="20704" s="9" customFormat="1" ht="21.95" customHeight="1" x14ac:dyDescent="0.15"/>
    <row r="20705" s="9" customFormat="1" ht="21.95" customHeight="1" x14ac:dyDescent="0.15"/>
    <row r="20706" s="9" customFormat="1" ht="21.95" customHeight="1" x14ac:dyDescent="0.15"/>
    <row r="20707" s="9" customFormat="1" ht="21.95" customHeight="1" x14ac:dyDescent="0.15"/>
    <row r="20708" s="9" customFormat="1" ht="21.95" customHeight="1" x14ac:dyDescent="0.15"/>
    <row r="20709" s="9" customFormat="1" ht="21.95" customHeight="1" x14ac:dyDescent="0.15"/>
    <row r="20710" s="9" customFormat="1" ht="21.95" customHeight="1" x14ac:dyDescent="0.15"/>
    <row r="20711" s="9" customFormat="1" ht="21.95" customHeight="1" x14ac:dyDescent="0.15"/>
    <row r="20712" s="9" customFormat="1" ht="21.95" customHeight="1" x14ac:dyDescent="0.15"/>
    <row r="20713" s="9" customFormat="1" ht="21.95" customHeight="1" x14ac:dyDescent="0.15"/>
    <row r="20714" s="9" customFormat="1" ht="21.95" customHeight="1" x14ac:dyDescent="0.15"/>
    <row r="20715" s="9" customFormat="1" ht="21.95" customHeight="1" x14ac:dyDescent="0.15"/>
    <row r="20716" s="9" customFormat="1" ht="21.95" customHeight="1" x14ac:dyDescent="0.15"/>
    <row r="20717" s="9" customFormat="1" ht="21.95" customHeight="1" x14ac:dyDescent="0.15"/>
    <row r="20718" s="9" customFormat="1" ht="21.95" customHeight="1" x14ac:dyDescent="0.15"/>
    <row r="20719" s="9" customFormat="1" ht="21.95" customHeight="1" x14ac:dyDescent="0.15"/>
    <row r="20720" s="9" customFormat="1" ht="21.95" customHeight="1" x14ac:dyDescent="0.15"/>
    <row r="20721" s="9" customFormat="1" ht="21.95" customHeight="1" x14ac:dyDescent="0.15"/>
    <row r="20722" s="9" customFormat="1" ht="21.95" customHeight="1" x14ac:dyDescent="0.15"/>
    <row r="20723" s="9" customFormat="1" ht="21.95" customHeight="1" x14ac:dyDescent="0.15"/>
    <row r="20724" s="9" customFormat="1" ht="21.95" customHeight="1" x14ac:dyDescent="0.15"/>
    <row r="20725" s="9" customFormat="1" ht="21.95" customHeight="1" x14ac:dyDescent="0.15"/>
    <row r="20726" s="9" customFormat="1" ht="21.95" customHeight="1" x14ac:dyDescent="0.15"/>
    <row r="20727" s="9" customFormat="1" ht="21.95" customHeight="1" x14ac:dyDescent="0.15"/>
    <row r="20728" s="9" customFormat="1" ht="21.95" customHeight="1" x14ac:dyDescent="0.15"/>
    <row r="20729" s="9" customFormat="1" ht="21.95" customHeight="1" x14ac:dyDescent="0.15"/>
    <row r="20730" s="9" customFormat="1" ht="21.95" customHeight="1" x14ac:dyDescent="0.15"/>
    <row r="20731" s="9" customFormat="1" ht="21.95" customHeight="1" x14ac:dyDescent="0.15"/>
    <row r="20732" s="9" customFormat="1" ht="21.95" customHeight="1" x14ac:dyDescent="0.15"/>
    <row r="20733" s="9" customFormat="1" ht="21.95" customHeight="1" x14ac:dyDescent="0.15"/>
    <row r="20734" s="9" customFormat="1" ht="21.95" customHeight="1" x14ac:dyDescent="0.15"/>
    <row r="20735" s="9" customFormat="1" ht="21.95" customHeight="1" x14ac:dyDescent="0.15"/>
    <row r="20736" s="9" customFormat="1" ht="21.95" customHeight="1" x14ac:dyDescent="0.15"/>
    <row r="20737" s="9" customFormat="1" ht="21.95" customHeight="1" x14ac:dyDescent="0.15"/>
    <row r="20738" s="9" customFormat="1" ht="21.95" customHeight="1" x14ac:dyDescent="0.15"/>
    <row r="20739" s="9" customFormat="1" ht="21.95" customHeight="1" x14ac:dyDescent="0.15"/>
    <row r="20740" s="9" customFormat="1" ht="21.95" customHeight="1" x14ac:dyDescent="0.15"/>
    <row r="20741" s="9" customFormat="1" ht="21.95" customHeight="1" x14ac:dyDescent="0.15"/>
    <row r="20742" s="9" customFormat="1" ht="35.1" customHeight="1" x14ac:dyDescent="0.15"/>
    <row r="20743" s="9" customFormat="1" ht="21.95" customHeight="1" x14ac:dyDescent="0.15"/>
    <row r="20744" s="9" customFormat="1" ht="21.95" customHeight="1" x14ac:dyDescent="0.15"/>
    <row r="20745" s="9" customFormat="1" ht="21.95" customHeight="1" x14ac:dyDescent="0.15"/>
    <row r="20746" s="9" customFormat="1" ht="21.95" customHeight="1" x14ac:dyDescent="0.15"/>
    <row r="20747" s="9" customFormat="1" ht="21.95" customHeight="1" x14ac:dyDescent="0.15"/>
    <row r="20748" s="9" customFormat="1" ht="21.95" customHeight="1" x14ac:dyDescent="0.15"/>
    <row r="20749" s="9" customFormat="1" ht="21.95" customHeight="1" x14ac:dyDescent="0.15"/>
    <row r="20750" s="9" customFormat="1" ht="21.95" customHeight="1" x14ac:dyDescent="0.15"/>
    <row r="20751" s="9" customFormat="1" ht="21.95" customHeight="1" x14ac:dyDescent="0.15"/>
    <row r="20752" s="9" customFormat="1" ht="21.95" customHeight="1" x14ac:dyDescent="0.15"/>
    <row r="20753" spans="3:3" s="9" customFormat="1" ht="21.95" customHeight="1" x14ac:dyDescent="0.15"/>
    <row r="20754" spans="3:3" s="9" customFormat="1" ht="21.95" customHeight="1" x14ac:dyDescent="0.15"/>
    <row r="20755" spans="3:3" s="9" customFormat="1" ht="21.95" customHeight="1" x14ac:dyDescent="0.15"/>
    <row r="20756" spans="3:3" s="9" customFormat="1" ht="21.95" customHeight="1" x14ac:dyDescent="0.15"/>
    <row r="20757" spans="3:3" s="9" customFormat="1" ht="21.95" customHeight="1" x14ac:dyDescent="0.15"/>
    <row r="20758" spans="3:3" s="9" customFormat="1" ht="21.95" customHeight="1" x14ac:dyDescent="0.15"/>
    <row r="20759" spans="3:3" s="9" customFormat="1" ht="21.95" customHeight="1" x14ac:dyDescent="0.15"/>
    <row r="20760" spans="3:3" s="9" customFormat="1" ht="21.95" customHeight="1" x14ac:dyDescent="0.15"/>
    <row r="20761" spans="3:3" s="9" customFormat="1" ht="21.95" customHeight="1" x14ac:dyDescent="0.15"/>
    <row r="20762" spans="3:3" s="9" customFormat="1" ht="21.95" customHeight="1" x14ac:dyDescent="0.15"/>
    <row r="20763" spans="3:3" s="9" customFormat="1" ht="21.95" customHeight="1" x14ac:dyDescent="0.15"/>
    <row r="20764" spans="3:3" s="9" customFormat="1" ht="21.95" customHeight="1" x14ac:dyDescent="0.15"/>
    <row r="20765" spans="3:3" s="9" customFormat="1" ht="21.95" customHeight="1" x14ac:dyDescent="0.15"/>
    <row r="20766" spans="3:3" s="8" customFormat="1" ht="21.95" customHeight="1" x14ac:dyDescent="0.15"/>
    <row r="20767" spans="3:3" s="8" customFormat="1" ht="21.95" customHeight="1" x14ac:dyDescent="0.15"/>
    <row r="20768" spans="3:3" s="8" customFormat="1" ht="21.95" customHeight="1" x14ac:dyDescent="0.15">
      <c r="C20768" s="101"/>
    </row>
    <row r="20769" spans="3:3" s="8" customFormat="1" ht="21.95" customHeight="1" x14ac:dyDescent="0.15">
      <c r="C20769" s="101"/>
    </row>
    <row r="20770" spans="3:3" s="8" customFormat="1" ht="21.95" customHeight="1" x14ac:dyDescent="0.15"/>
    <row r="20771" spans="3:3" s="8" customFormat="1" ht="21.95" customHeight="1" x14ac:dyDescent="0.15"/>
    <row r="20772" spans="3:3" s="8" customFormat="1" ht="21.95" customHeight="1" x14ac:dyDescent="0.15"/>
    <row r="20773" spans="3:3" s="8" customFormat="1" ht="21.95" customHeight="1" x14ac:dyDescent="0.15"/>
    <row r="20774" spans="3:3" s="8" customFormat="1" ht="21.95" customHeight="1" x14ac:dyDescent="0.15"/>
    <row r="20775" spans="3:3" s="8" customFormat="1" ht="21.95" customHeight="1" x14ac:dyDescent="0.15"/>
    <row r="20776" spans="3:3" s="8" customFormat="1" ht="21.95" customHeight="1" x14ac:dyDescent="0.15"/>
    <row r="20777" spans="3:3" s="9" customFormat="1" ht="21.95" customHeight="1" x14ac:dyDescent="0.15"/>
    <row r="20778" spans="3:3" s="9" customFormat="1" ht="21.95" customHeight="1" x14ac:dyDescent="0.15"/>
    <row r="20779" spans="3:3" s="9" customFormat="1" ht="21.95" customHeight="1" x14ac:dyDescent="0.15"/>
    <row r="20780" spans="3:3" s="9" customFormat="1" ht="21.95" customHeight="1" x14ac:dyDescent="0.15"/>
    <row r="20781" spans="3:3" s="8" customFormat="1" ht="21.95" customHeight="1" x14ac:dyDescent="0.15"/>
    <row r="20782" spans="3:3" s="8" customFormat="1" ht="21.95" customHeight="1" x14ac:dyDescent="0.15"/>
    <row r="20783" spans="3:3" s="8" customFormat="1" ht="21.95" customHeight="1" x14ac:dyDescent="0.15"/>
    <row r="20784" spans="3:3" s="8" customFormat="1" ht="21.95" customHeight="1" x14ac:dyDescent="0.15"/>
    <row r="20785" s="8" customFormat="1" ht="21.95" customHeight="1" x14ac:dyDescent="0.15"/>
    <row r="20786" s="8" customFormat="1" ht="21.95" customHeight="1" x14ac:dyDescent="0.15"/>
    <row r="20787" s="8" customFormat="1" ht="21.95" customHeight="1" x14ac:dyDescent="0.15"/>
    <row r="20788" s="8" customFormat="1" ht="21.95" customHeight="1" x14ac:dyDescent="0.15"/>
    <row r="20789" s="8" customFormat="1" ht="21.95" customHeight="1" x14ac:dyDescent="0.15"/>
    <row r="20790" s="8" customFormat="1" ht="21.95" customHeight="1" x14ac:dyDescent="0.15"/>
    <row r="20791" s="8" customFormat="1" ht="21.95" customHeight="1" x14ac:dyDescent="0.15"/>
    <row r="20792" s="8" customFormat="1" ht="32.1" customHeight="1" x14ac:dyDescent="0.15"/>
    <row r="20793" s="8" customFormat="1" ht="32.1" customHeight="1" x14ac:dyDescent="0.15"/>
    <row r="20794" s="8" customFormat="1" ht="32.1" customHeight="1" x14ac:dyDescent="0.15"/>
    <row r="20795" s="8" customFormat="1" ht="32.1" customHeight="1" x14ac:dyDescent="0.15"/>
    <row r="20796" s="8" customFormat="1" ht="32.1" customHeight="1" x14ac:dyDescent="0.15"/>
    <row r="20797" s="8" customFormat="1" ht="32.1" customHeight="1" x14ac:dyDescent="0.15"/>
    <row r="20798" s="9" customFormat="1" ht="32.1" customHeight="1" x14ac:dyDescent="0.15"/>
    <row r="20799" s="9" customFormat="1" ht="32.1" customHeight="1" x14ac:dyDescent="0.15"/>
    <row r="20800" s="9" customFormat="1" ht="32.1" customHeight="1" x14ac:dyDescent="0.15"/>
    <row r="20801" s="9" customFormat="1" ht="32.1" customHeight="1" x14ac:dyDescent="0.15"/>
    <row r="20802" s="9" customFormat="1" ht="21.95" customHeight="1" x14ac:dyDescent="0.15"/>
    <row r="20803" s="9" customFormat="1" ht="54" customHeight="1" x14ac:dyDescent="0.15"/>
    <row r="20804" s="9" customFormat="1" ht="21.95" customHeight="1" x14ac:dyDescent="0.15"/>
    <row r="20805" s="9" customFormat="1" ht="21.95" customHeight="1" x14ac:dyDescent="0.15"/>
    <row r="20806" s="9" customFormat="1" ht="21.95" customHeight="1" x14ac:dyDescent="0.15"/>
    <row r="20807" s="9" customFormat="1" ht="21.95" customHeight="1" x14ac:dyDescent="0.15"/>
    <row r="20808" s="9" customFormat="1" ht="21.95" customHeight="1" x14ac:dyDescent="0.15"/>
    <row r="20809" s="9" customFormat="1" ht="21.95" customHeight="1" x14ac:dyDescent="0.15"/>
    <row r="20810" s="9" customFormat="1" ht="21.95" customHeight="1" x14ac:dyDescent="0.15"/>
    <row r="20811" s="9" customFormat="1" ht="21.95" customHeight="1" x14ac:dyDescent="0.15"/>
    <row r="20812" s="9" customFormat="1" ht="21.95" customHeight="1" x14ac:dyDescent="0.15"/>
    <row r="20813" s="9" customFormat="1" ht="21.95" customHeight="1" x14ac:dyDescent="0.15"/>
    <row r="20814" s="9" customFormat="1" ht="21.95" customHeight="1" x14ac:dyDescent="0.15"/>
    <row r="20815" s="9" customFormat="1" ht="21.95" customHeight="1" x14ac:dyDescent="0.15"/>
    <row r="20816" s="9" customFormat="1" ht="21.95" customHeight="1" x14ac:dyDescent="0.15"/>
    <row r="20817" s="9" customFormat="1" ht="21.95" customHeight="1" x14ac:dyDescent="0.15"/>
    <row r="20818" s="9" customFormat="1" ht="21.95" customHeight="1" x14ac:dyDescent="0.15"/>
    <row r="20819" s="9" customFormat="1" ht="21.95" customHeight="1" x14ac:dyDescent="0.15"/>
    <row r="20820" s="9" customFormat="1" ht="21.95" customHeight="1" x14ac:dyDescent="0.15"/>
    <row r="20821" s="9" customFormat="1" ht="21.95" customHeight="1" x14ac:dyDescent="0.15"/>
    <row r="20822" s="9" customFormat="1" ht="21.95" customHeight="1" x14ac:dyDescent="0.15"/>
    <row r="20823" s="9" customFormat="1" ht="21.95" customHeight="1" x14ac:dyDescent="0.15"/>
    <row r="20824" s="9" customFormat="1" ht="21.95" customHeight="1" x14ac:dyDescent="0.15"/>
    <row r="20825" s="9" customFormat="1" ht="21.95" customHeight="1" x14ac:dyDescent="0.15"/>
    <row r="20826" s="9" customFormat="1" ht="21.95" customHeight="1" x14ac:dyDescent="0.15"/>
    <row r="20827" s="9" customFormat="1" ht="21.95" customHeight="1" x14ac:dyDescent="0.15"/>
    <row r="20828" s="9" customFormat="1" ht="21.95" customHeight="1" x14ac:dyDescent="0.15"/>
    <row r="20829" s="9" customFormat="1" ht="21.95" customHeight="1" x14ac:dyDescent="0.15"/>
    <row r="20830" s="9" customFormat="1" ht="21.95" customHeight="1" x14ac:dyDescent="0.15"/>
    <row r="20831" s="9" customFormat="1" ht="21.95" customHeight="1" x14ac:dyDescent="0.15"/>
    <row r="20832" s="9" customFormat="1" ht="21.95" customHeight="1" x14ac:dyDescent="0.15"/>
    <row r="20833" s="9" customFormat="1" ht="21.95" customHeight="1" x14ac:dyDescent="0.15"/>
    <row r="20834" s="9" customFormat="1" ht="21.95" customHeight="1" x14ac:dyDescent="0.15"/>
    <row r="20835" s="9" customFormat="1" ht="21.95" customHeight="1" x14ac:dyDescent="0.15"/>
    <row r="20836" s="9" customFormat="1" ht="21.95" customHeight="1" x14ac:dyDescent="0.15"/>
    <row r="20837" s="9" customFormat="1" ht="21.95" customHeight="1" x14ac:dyDescent="0.15"/>
    <row r="20838" s="9" customFormat="1" ht="21.95" customHeight="1" x14ac:dyDescent="0.15"/>
    <row r="20839" s="9" customFormat="1" ht="21.95" customHeight="1" x14ac:dyDescent="0.15"/>
    <row r="20840" s="9" customFormat="1" ht="21.95" customHeight="1" x14ac:dyDescent="0.15"/>
    <row r="20841" s="9" customFormat="1" ht="21.95" customHeight="1" x14ac:dyDescent="0.15"/>
    <row r="20842" s="9" customFormat="1" ht="21.95" customHeight="1" x14ac:dyDescent="0.15"/>
    <row r="20843" s="9" customFormat="1" ht="21.95" customHeight="1" x14ac:dyDescent="0.15"/>
    <row r="20844" s="9" customFormat="1" ht="21.95" customHeight="1" x14ac:dyDescent="0.15"/>
    <row r="20845" s="9" customFormat="1" ht="21.95" customHeight="1" x14ac:dyDescent="0.15"/>
    <row r="20846" s="9" customFormat="1" ht="21.95" customHeight="1" x14ac:dyDescent="0.15"/>
    <row r="20847" s="9" customFormat="1" ht="21.95" customHeight="1" x14ac:dyDescent="0.15"/>
    <row r="20848" s="9" customFormat="1" ht="21.95" customHeight="1" x14ac:dyDescent="0.15"/>
    <row r="20849" s="9" customFormat="1" ht="21.95" customHeight="1" x14ac:dyDescent="0.15"/>
    <row r="20850" s="9" customFormat="1" ht="21.95" customHeight="1" x14ac:dyDescent="0.15"/>
    <row r="20851" s="9" customFormat="1" ht="21.95" customHeight="1" x14ac:dyDescent="0.15"/>
    <row r="20852" s="9" customFormat="1" ht="21.95" customHeight="1" x14ac:dyDescent="0.15"/>
    <row r="20853" s="9" customFormat="1" ht="21.95" customHeight="1" x14ac:dyDescent="0.15"/>
    <row r="20854" s="9" customFormat="1" ht="35.1" customHeight="1" x14ac:dyDescent="0.15"/>
    <row r="20855" s="9" customFormat="1" ht="21.95" customHeight="1" x14ac:dyDescent="0.15"/>
    <row r="20856" s="9" customFormat="1" ht="21.95" customHeight="1" x14ac:dyDescent="0.15"/>
    <row r="20857" s="9" customFormat="1" ht="21.95" customHeight="1" x14ac:dyDescent="0.15"/>
    <row r="20858" s="9" customFormat="1" ht="21.95" customHeight="1" x14ac:dyDescent="0.15"/>
    <row r="20859" s="9" customFormat="1" ht="21.95" customHeight="1" x14ac:dyDescent="0.15"/>
    <row r="20860" s="9" customFormat="1" ht="21.95" customHeight="1" x14ac:dyDescent="0.15"/>
    <row r="20861" s="9" customFormat="1" ht="21.95" customHeight="1" x14ac:dyDescent="0.15"/>
    <row r="20862" s="9" customFormat="1" ht="21.95" customHeight="1" x14ac:dyDescent="0.15"/>
    <row r="20863" s="9" customFormat="1" ht="21.95" customHeight="1" x14ac:dyDescent="0.15"/>
    <row r="20864" s="9" customFormat="1" ht="21.95" customHeight="1" x14ac:dyDescent="0.15"/>
    <row r="20865" spans="3:3" s="9" customFormat="1" ht="21.95" customHeight="1" x14ac:dyDescent="0.15"/>
    <row r="20866" spans="3:3" s="9" customFormat="1" ht="21.95" customHeight="1" x14ac:dyDescent="0.15"/>
    <row r="20867" spans="3:3" s="9" customFormat="1" ht="21.95" customHeight="1" x14ac:dyDescent="0.15"/>
    <row r="20868" spans="3:3" s="9" customFormat="1" ht="21.95" customHeight="1" x14ac:dyDescent="0.15"/>
    <row r="20869" spans="3:3" s="9" customFormat="1" ht="21.95" customHeight="1" x14ac:dyDescent="0.15"/>
    <row r="20870" spans="3:3" s="9" customFormat="1" ht="21.95" customHeight="1" x14ac:dyDescent="0.15"/>
    <row r="20871" spans="3:3" s="9" customFormat="1" ht="21.95" customHeight="1" x14ac:dyDescent="0.15"/>
    <row r="20872" spans="3:3" s="9" customFormat="1" ht="21.95" customHeight="1" x14ac:dyDescent="0.15"/>
    <row r="20873" spans="3:3" s="9" customFormat="1" ht="21.95" customHeight="1" x14ac:dyDescent="0.15"/>
    <row r="20874" spans="3:3" s="9" customFormat="1" ht="21.95" customHeight="1" x14ac:dyDescent="0.15"/>
    <row r="20875" spans="3:3" s="9" customFormat="1" ht="21.95" customHeight="1" x14ac:dyDescent="0.15"/>
    <row r="20876" spans="3:3" s="9" customFormat="1" ht="21.95" customHeight="1" x14ac:dyDescent="0.15"/>
    <row r="20877" spans="3:3" s="9" customFormat="1" ht="21.95" customHeight="1" x14ac:dyDescent="0.15"/>
    <row r="20878" spans="3:3" s="8" customFormat="1" ht="21.95" customHeight="1" x14ac:dyDescent="0.15"/>
    <row r="20879" spans="3:3" s="8" customFormat="1" ht="21.95" customHeight="1" x14ac:dyDescent="0.15"/>
    <row r="20880" spans="3:3" s="8" customFormat="1" ht="21.95" customHeight="1" x14ac:dyDescent="0.15">
      <c r="C20880" s="101"/>
    </row>
    <row r="20881" spans="3:3" s="8" customFormat="1" ht="21.95" customHeight="1" x14ac:dyDescent="0.15">
      <c r="C20881" s="101"/>
    </row>
    <row r="20882" spans="3:3" s="8" customFormat="1" ht="21.95" customHeight="1" x14ac:dyDescent="0.15"/>
    <row r="20883" spans="3:3" s="8" customFormat="1" ht="21.95" customHeight="1" x14ac:dyDescent="0.15"/>
    <row r="20884" spans="3:3" s="8" customFormat="1" ht="21.95" customHeight="1" x14ac:dyDescent="0.15"/>
    <row r="20885" spans="3:3" s="8" customFormat="1" ht="21.95" customHeight="1" x14ac:dyDescent="0.15"/>
    <row r="20886" spans="3:3" s="8" customFormat="1" ht="21.95" customHeight="1" x14ac:dyDescent="0.15"/>
    <row r="20887" spans="3:3" s="8" customFormat="1" ht="21.95" customHeight="1" x14ac:dyDescent="0.15"/>
    <row r="20888" spans="3:3" s="8" customFormat="1" ht="21.95" customHeight="1" x14ac:dyDescent="0.15"/>
    <row r="20889" spans="3:3" s="9" customFormat="1" ht="21.95" customHeight="1" x14ac:dyDescent="0.15"/>
    <row r="20890" spans="3:3" s="9" customFormat="1" ht="21.95" customHeight="1" x14ac:dyDescent="0.15"/>
    <row r="20891" spans="3:3" s="9" customFormat="1" ht="21.95" customHeight="1" x14ac:dyDescent="0.15"/>
    <row r="20892" spans="3:3" s="9" customFormat="1" ht="21.95" customHeight="1" x14ac:dyDescent="0.15"/>
    <row r="20893" spans="3:3" s="8" customFormat="1" ht="21.95" customHeight="1" x14ac:dyDescent="0.15"/>
    <row r="20894" spans="3:3" s="8" customFormat="1" ht="21.95" customHeight="1" x14ac:dyDescent="0.15"/>
    <row r="20895" spans="3:3" s="8" customFormat="1" ht="21.95" customHeight="1" x14ac:dyDescent="0.15"/>
    <row r="20896" spans="3:3" s="8" customFormat="1" ht="21.95" customHeight="1" x14ac:dyDescent="0.15"/>
    <row r="20897" s="8" customFormat="1" ht="21.95" customHeight="1" x14ac:dyDescent="0.15"/>
    <row r="20898" s="8" customFormat="1" ht="21.95" customHeight="1" x14ac:dyDescent="0.15"/>
    <row r="20899" s="8" customFormat="1" ht="21.95" customHeight="1" x14ac:dyDescent="0.15"/>
    <row r="20900" s="8" customFormat="1" ht="21.95" customHeight="1" x14ac:dyDescent="0.15"/>
    <row r="20901" s="8" customFormat="1" ht="21.95" customHeight="1" x14ac:dyDescent="0.15"/>
    <row r="20902" s="8" customFormat="1" ht="21.95" customHeight="1" x14ac:dyDescent="0.15"/>
    <row r="20903" s="8" customFormat="1" ht="21.95" customHeight="1" x14ac:dyDescent="0.15"/>
    <row r="20904" s="8" customFormat="1" ht="32.1" customHeight="1" x14ac:dyDescent="0.15"/>
    <row r="20905" s="8" customFormat="1" ht="32.1" customHeight="1" x14ac:dyDescent="0.15"/>
    <row r="20906" s="8" customFormat="1" ht="32.1" customHeight="1" x14ac:dyDescent="0.15"/>
    <row r="20907" s="8" customFormat="1" ht="32.1" customHeight="1" x14ac:dyDescent="0.15"/>
    <row r="20908" s="8" customFormat="1" ht="32.1" customHeight="1" x14ac:dyDescent="0.15"/>
    <row r="20909" s="8" customFormat="1" ht="32.1" customHeight="1" x14ac:dyDescent="0.15"/>
    <row r="20910" s="9" customFormat="1" ht="32.1" customHeight="1" x14ac:dyDescent="0.15"/>
    <row r="20911" s="9" customFormat="1" ht="32.1" customHeight="1" x14ac:dyDescent="0.15"/>
    <row r="20912" s="9" customFormat="1" ht="32.1" customHeight="1" x14ac:dyDescent="0.15"/>
    <row r="20913" s="9" customFormat="1" ht="32.1" customHeight="1" x14ac:dyDescent="0.15"/>
    <row r="20914" s="9" customFormat="1" ht="21.95" customHeight="1" x14ac:dyDescent="0.15"/>
    <row r="20915" s="9" customFormat="1" ht="54" customHeight="1" x14ac:dyDescent="0.15"/>
    <row r="20916" s="9" customFormat="1" ht="21.95" customHeight="1" x14ac:dyDescent="0.15"/>
    <row r="20917" s="9" customFormat="1" ht="21.95" customHeight="1" x14ac:dyDescent="0.15"/>
    <row r="20918" s="9" customFormat="1" ht="21.95" customHeight="1" x14ac:dyDescent="0.15"/>
    <row r="20919" s="9" customFormat="1" ht="21.95" customHeight="1" x14ac:dyDescent="0.15"/>
    <row r="20920" s="9" customFormat="1" ht="21.95" customHeight="1" x14ac:dyDescent="0.15"/>
    <row r="20921" s="9" customFormat="1" ht="21.95" customHeight="1" x14ac:dyDescent="0.15"/>
    <row r="20922" s="9" customFormat="1" ht="21.95" customHeight="1" x14ac:dyDescent="0.15"/>
    <row r="20923" s="9" customFormat="1" ht="21.95" customHeight="1" x14ac:dyDescent="0.15"/>
    <row r="20924" s="9" customFormat="1" ht="21.95" customHeight="1" x14ac:dyDescent="0.15"/>
    <row r="20925" s="9" customFormat="1" ht="21.95" customHeight="1" x14ac:dyDescent="0.15"/>
    <row r="20926" s="9" customFormat="1" ht="21.95" customHeight="1" x14ac:dyDescent="0.15"/>
    <row r="20927" s="9" customFormat="1" ht="21.95" customHeight="1" x14ac:dyDescent="0.15"/>
    <row r="20928" s="9" customFormat="1" ht="21.95" customHeight="1" x14ac:dyDescent="0.15"/>
    <row r="20929" s="9" customFormat="1" ht="21.95" customHeight="1" x14ac:dyDescent="0.15"/>
    <row r="20930" s="9" customFormat="1" ht="21.95" customHeight="1" x14ac:dyDescent="0.15"/>
    <row r="20931" s="9" customFormat="1" ht="21.95" customHeight="1" x14ac:dyDescent="0.15"/>
    <row r="20932" s="9" customFormat="1" ht="21.95" customHeight="1" x14ac:dyDescent="0.15"/>
    <row r="20933" s="9" customFormat="1" ht="21.95" customHeight="1" x14ac:dyDescent="0.15"/>
    <row r="20934" s="9" customFormat="1" ht="21.95" customHeight="1" x14ac:dyDescent="0.15"/>
    <row r="20935" s="9" customFormat="1" ht="21.95" customHeight="1" x14ac:dyDescent="0.15"/>
    <row r="20936" s="9" customFormat="1" ht="21.95" customHeight="1" x14ac:dyDescent="0.15"/>
    <row r="20937" s="9" customFormat="1" ht="21.95" customHeight="1" x14ac:dyDescent="0.15"/>
    <row r="20938" s="9" customFormat="1" ht="21.95" customHeight="1" x14ac:dyDescent="0.15"/>
    <row r="20939" s="9" customFormat="1" ht="21.95" customHeight="1" x14ac:dyDescent="0.15"/>
    <row r="20940" s="9" customFormat="1" ht="21.95" customHeight="1" x14ac:dyDescent="0.15"/>
    <row r="20941" s="9" customFormat="1" ht="21.95" customHeight="1" x14ac:dyDescent="0.15"/>
    <row r="20942" s="9" customFormat="1" ht="21.95" customHeight="1" x14ac:dyDescent="0.15"/>
    <row r="20943" s="9" customFormat="1" ht="21.95" customHeight="1" x14ac:dyDescent="0.15"/>
    <row r="20944" s="9" customFormat="1" ht="21.95" customHeight="1" x14ac:dyDescent="0.15"/>
    <row r="20945" s="9" customFormat="1" ht="21.95" customHeight="1" x14ac:dyDescent="0.15"/>
    <row r="20946" s="9" customFormat="1" ht="21.95" customHeight="1" x14ac:dyDescent="0.15"/>
    <row r="20947" s="9" customFormat="1" ht="21.95" customHeight="1" x14ac:dyDescent="0.15"/>
    <row r="20948" s="9" customFormat="1" ht="21.95" customHeight="1" x14ac:dyDescent="0.15"/>
    <row r="20949" s="9" customFormat="1" ht="21.95" customHeight="1" x14ac:dyDescent="0.15"/>
    <row r="20950" s="9" customFormat="1" ht="21.95" customHeight="1" x14ac:dyDescent="0.15"/>
    <row r="20951" s="9" customFormat="1" ht="21.95" customHeight="1" x14ac:dyDescent="0.15"/>
    <row r="20952" s="9" customFormat="1" ht="21.95" customHeight="1" x14ac:dyDescent="0.15"/>
    <row r="20953" s="9" customFormat="1" ht="21.95" customHeight="1" x14ac:dyDescent="0.15"/>
    <row r="20954" s="9" customFormat="1" ht="21.95" customHeight="1" x14ac:dyDescent="0.15"/>
    <row r="20955" s="9" customFormat="1" ht="21.95" customHeight="1" x14ac:dyDescent="0.15"/>
    <row r="20956" s="9" customFormat="1" ht="21.95" customHeight="1" x14ac:dyDescent="0.15"/>
    <row r="20957" s="9" customFormat="1" ht="21.95" customHeight="1" x14ac:dyDescent="0.15"/>
    <row r="20958" s="9" customFormat="1" ht="21.95" customHeight="1" x14ac:dyDescent="0.15"/>
    <row r="20959" s="9" customFormat="1" ht="21.95" customHeight="1" x14ac:dyDescent="0.15"/>
    <row r="20960" s="9" customFormat="1" ht="21.95" customHeight="1" x14ac:dyDescent="0.15"/>
    <row r="20961" s="9" customFormat="1" ht="21.95" customHeight="1" x14ac:dyDescent="0.15"/>
    <row r="20962" s="9" customFormat="1" ht="21.95" customHeight="1" x14ac:dyDescent="0.15"/>
    <row r="20963" s="9" customFormat="1" ht="21.95" customHeight="1" x14ac:dyDescent="0.15"/>
    <row r="20964" s="9" customFormat="1" ht="21.95" customHeight="1" x14ac:dyDescent="0.15"/>
    <row r="20965" s="9" customFormat="1" ht="21.95" customHeight="1" x14ac:dyDescent="0.15"/>
    <row r="20966" s="9" customFormat="1" ht="35.1" customHeight="1" x14ac:dyDescent="0.15"/>
    <row r="20967" s="9" customFormat="1" ht="21.95" customHeight="1" x14ac:dyDescent="0.15"/>
    <row r="20968" s="9" customFormat="1" ht="21.95" customHeight="1" x14ac:dyDescent="0.15"/>
    <row r="20969" s="9" customFormat="1" ht="21.95" customHeight="1" x14ac:dyDescent="0.15"/>
    <row r="20970" s="9" customFormat="1" ht="21.95" customHeight="1" x14ac:dyDescent="0.15"/>
    <row r="20971" s="9" customFormat="1" ht="21.95" customHeight="1" x14ac:dyDescent="0.15"/>
    <row r="20972" s="9" customFormat="1" ht="21.95" customHeight="1" x14ac:dyDescent="0.15"/>
    <row r="20973" s="9" customFormat="1" ht="21.95" customHeight="1" x14ac:dyDescent="0.15"/>
    <row r="20974" s="9" customFormat="1" ht="21.95" customHeight="1" x14ac:dyDescent="0.15"/>
    <row r="20975" s="9" customFormat="1" ht="21.95" customHeight="1" x14ac:dyDescent="0.15"/>
    <row r="20976" s="9" customFormat="1" ht="21.95" customHeight="1" x14ac:dyDescent="0.15"/>
    <row r="20977" spans="3:3" s="9" customFormat="1" ht="21.95" customHeight="1" x14ac:dyDescent="0.15"/>
    <row r="20978" spans="3:3" s="9" customFormat="1" ht="21.95" customHeight="1" x14ac:dyDescent="0.15"/>
    <row r="20979" spans="3:3" s="9" customFormat="1" ht="21.95" customHeight="1" x14ac:dyDescent="0.15"/>
    <row r="20980" spans="3:3" s="9" customFormat="1" ht="21.95" customHeight="1" x14ac:dyDescent="0.15"/>
    <row r="20981" spans="3:3" s="9" customFormat="1" ht="21.95" customHeight="1" x14ac:dyDescent="0.15"/>
    <row r="20982" spans="3:3" s="9" customFormat="1" ht="21.95" customHeight="1" x14ac:dyDescent="0.15"/>
    <row r="20983" spans="3:3" s="9" customFormat="1" ht="21.95" customHeight="1" x14ac:dyDescent="0.15"/>
    <row r="20984" spans="3:3" s="9" customFormat="1" ht="21.95" customHeight="1" x14ac:dyDescent="0.15"/>
    <row r="20985" spans="3:3" s="9" customFormat="1" ht="21.95" customHeight="1" x14ac:dyDescent="0.15"/>
    <row r="20986" spans="3:3" s="9" customFormat="1" ht="21.95" customHeight="1" x14ac:dyDescent="0.15"/>
    <row r="20987" spans="3:3" s="9" customFormat="1" ht="21.95" customHeight="1" x14ac:dyDescent="0.15"/>
    <row r="20988" spans="3:3" s="9" customFormat="1" ht="21.95" customHeight="1" x14ac:dyDescent="0.15"/>
    <row r="20989" spans="3:3" s="9" customFormat="1" ht="21.95" customHeight="1" x14ac:dyDescent="0.15"/>
    <row r="20990" spans="3:3" s="8" customFormat="1" ht="21.95" customHeight="1" x14ac:dyDescent="0.15"/>
    <row r="20991" spans="3:3" s="8" customFormat="1" ht="21.95" customHeight="1" x14ac:dyDescent="0.15"/>
    <row r="20992" spans="3:3" s="8" customFormat="1" ht="21.95" customHeight="1" x14ac:dyDescent="0.15">
      <c r="C20992" s="101"/>
    </row>
    <row r="20993" spans="3:3" s="8" customFormat="1" ht="21.95" customHeight="1" x14ac:dyDescent="0.15">
      <c r="C20993" s="101"/>
    </row>
    <row r="20994" spans="3:3" s="8" customFormat="1" ht="21.95" customHeight="1" x14ac:dyDescent="0.15"/>
    <row r="20995" spans="3:3" s="8" customFormat="1" ht="21.95" customHeight="1" x14ac:dyDescent="0.15"/>
    <row r="20996" spans="3:3" s="8" customFormat="1" ht="21.95" customHeight="1" x14ac:dyDescent="0.15"/>
    <row r="20997" spans="3:3" s="8" customFormat="1" ht="21.95" customHeight="1" x14ac:dyDescent="0.15"/>
    <row r="20998" spans="3:3" s="8" customFormat="1" ht="21.95" customHeight="1" x14ac:dyDescent="0.15"/>
    <row r="20999" spans="3:3" s="8" customFormat="1" ht="21.95" customHeight="1" x14ac:dyDescent="0.15"/>
    <row r="21000" spans="3:3" s="8" customFormat="1" ht="21.95" customHeight="1" x14ac:dyDescent="0.15"/>
    <row r="21001" spans="3:3" s="9" customFormat="1" ht="21.95" customHeight="1" x14ac:dyDescent="0.15"/>
    <row r="21002" spans="3:3" s="9" customFormat="1" ht="21.95" customHeight="1" x14ac:dyDescent="0.15"/>
    <row r="21003" spans="3:3" s="9" customFormat="1" ht="21.95" customHeight="1" x14ac:dyDescent="0.15"/>
    <row r="21004" spans="3:3" s="9" customFormat="1" ht="21.95" customHeight="1" x14ac:dyDescent="0.15"/>
    <row r="21005" spans="3:3" s="8" customFormat="1" ht="21.95" customHeight="1" x14ac:dyDescent="0.15"/>
    <row r="21006" spans="3:3" s="8" customFormat="1" ht="21.95" customHeight="1" x14ac:dyDescent="0.15"/>
    <row r="21007" spans="3:3" s="8" customFormat="1" ht="21.95" customHeight="1" x14ac:dyDescent="0.15"/>
    <row r="21008" spans="3:3" s="8" customFormat="1" ht="21.95" customHeight="1" x14ac:dyDescent="0.15"/>
    <row r="21009" s="8" customFormat="1" ht="21.95" customHeight="1" x14ac:dyDescent="0.15"/>
    <row r="21010" s="8" customFormat="1" ht="21.95" customHeight="1" x14ac:dyDescent="0.15"/>
    <row r="21011" s="8" customFormat="1" ht="21.95" customHeight="1" x14ac:dyDescent="0.15"/>
    <row r="21012" s="8" customFormat="1" ht="21.95" customHeight="1" x14ac:dyDescent="0.15"/>
    <row r="21013" s="8" customFormat="1" ht="21.95" customHeight="1" x14ac:dyDescent="0.15"/>
    <row r="21014" s="8" customFormat="1" ht="21.95" customHeight="1" x14ac:dyDescent="0.15"/>
    <row r="21015" s="8" customFormat="1" ht="21.95" customHeight="1" x14ac:dyDescent="0.15"/>
    <row r="21016" s="8" customFormat="1" ht="32.1" customHeight="1" x14ac:dyDescent="0.15"/>
    <row r="21017" s="8" customFormat="1" ht="32.1" customHeight="1" x14ac:dyDescent="0.15"/>
    <row r="21018" s="8" customFormat="1" ht="32.1" customHeight="1" x14ac:dyDescent="0.15"/>
    <row r="21019" s="8" customFormat="1" ht="32.1" customHeight="1" x14ac:dyDescent="0.15"/>
    <row r="21020" s="8" customFormat="1" ht="32.1" customHeight="1" x14ac:dyDescent="0.15"/>
    <row r="21021" s="8" customFormat="1" ht="32.1" customHeight="1" x14ac:dyDescent="0.15"/>
    <row r="21022" s="9" customFormat="1" ht="32.1" customHeight="1" x14ac:dyDescent="0.15"/>
    <row r="21023" s="9" customFormat="1" ht="32.1" customHeight="1" x14ac:dyDescent="0.15"/>
    <row r="21024" s="9" customFormat="1" ht="32.1" customHeight="1" x14ac:dyDescent="0.15"/>
    <row r="21025" s="9" customFormat="1" ht="32.1" customHeight="1" x14ac:dyDescent="0.15"/>
    <row r="21026" s="9" customFormat="1" ht="21.95" customHeight="1" x14ac:dyDescent="0.15"/>
    <row r="21027" s="9" customFormat="1" ht="54" customHeight="1" x14ac:dyDescent="0.15"/>
    <row r="21028" s="9" customFormat="1" ht="21.95" customHeight="1" x14ac:dyDescent="0.15"/>
    <row r="21029" s="9" customFormat="1" ht="21.95" customHeight="1" x14ac:dyDescent="0.15"/>
    <row r="21030" s="9" customFormat="1" ht="21.95" customHeight="1" x14ac:dyDescent="0.15"/>
    <row r="21031" s="9" customFormat="1" ht="21.95" customHeight="1" x14ac:dyDescent="0.15"/>
    <row r="21032" s="9" customFormat="1" ht="21.95" customHeight="1" x14ac:dyDescent="0.15"/>
    <row r="21033" s="9" customFormat="1" ht="21.95" customHeight="1" x14ac:dyDescent="0.15"/>
    <row r="21034" s="9" customFormat="1" ht="21.95" customHeight="1" x14ac:dyDescent="0.15"/>
    <row r="21035" s="9" customFormat="1" ht="21.95" customHeight="1" x14ac:dyDescent="0.15"/>
    <row r="21036" s="9" customFormat="1" ht="21.95" customHeight="1" x14ac:dyDescent="0.15"/>
    <row r="21037" s="9" customFormat="1" ht="21.95" customHeight="1" x14ac:dyDescent="0.15"/>
    <row r="21038" s="9" customFormat="1" ht="21.95" customHeight="1" x14ac:dyDescent="0.15"/>
    <row r="21039" s="9" customFormat="1" ht="21.95" customHeight="1" x14ac:dyDescent="0.15"/>
    <row r="21040" s="9" customFormat="1" ht="21.95" customHeight="1" x14ac:dyDescent="0.15"/>
    <row r="21041" s="9" customFormat="1" ht="21.95" customHeight="1" x14ac:dyDescent="0.15"/>
    <row r="21042" s="9" customFormat="1" ht="21.95" customHeight="1" x14ac:dyDescent="0.15"/>
    <row r="21043" s="9" customFormat="1" ht="21.95" customHeight="1" x14ac:dyDescent="0.15"/>
    <row r="21044" s="9" customFormat="1" ht="21.95" customHeight="1" x14ac:dyDescent="0.15"/>
    <row r="21045" s="9" customFormat="1" ht="21.95" customHeight="1" x14ac:dyDescent="0.15"/>
    <row r="21046" s="9" customFormat="1" ht="21.95" customHeight="1" x14ac:dyDescent="0.15"/>
    <row r="21047" s="9" customFormat="1" ht="21.95" customHeight="1" x14ac:dyDescent="0.15"/>
    <row r="21048" s="9" customFormat="1" ht="21.95" customHeight="1" x14ac:dyDescent="0.15"/>
    <row r="21049" s="9" customFormat="1" ht="21.95" customHeight="1" x14ac:dyDescent="0.15"/>
    <row r="21050" s="9" customFormat="1" ht="21.95" customHeight="1" x14ac:dyDescent="0.15"/>
    <row r="21051" s="9" customFormat="1" ht="21.95" customHeight="1" x14ac:dyDescent="0.15"/>
    <row r="21052" s="9" customFormat="1" ht="21.95" customHeight="1" x14ac:dyDescent="0.15"/>
    <row r="21053" s="9" customFormat="1" ht="21.95" customHeight="1" x14ac:dyDescent="0.15"/>
    <row r="21054" s="9" customFormat="1" ht="21.95" customHeight="1" x14ac:dyDescent="0.15"/>
    <row r="21055" s="9" customFormat="1" ht="21.95" customHeight="1" x14ac:dyDescent="0.15"/>
    <row r="21056" s="9" customFormat="1" ht="21.95" customHeight="1" x14ac:dyDescent="0.15"/>
    <row r="21057" s="9" customFormat="1" ht="21.95" customHeight="1" x14ac:dyDescent="0.15"/>
    <row r="21058" s="9" customFormat="1" ht="21.95" customHeight="1" x14ac:dyDescent="0.15"/>
    <row r="21059" s="9" customFormat="1" ht="21.95" customHeight="1" x14ac:dyDescent="0.15"/>
    <row r="21060" s="9" customFormat="1" ht="21.95" customHeight="1" x14ac:dyDescent="0.15"/>
    <row r="21061" s="9" customFormat="1" ht="21.95" customHeight="1" x14ac:dyDescent="0.15"/>
    <row r="21062" s="9" customFormat="1" ht="21.95" customHeight="1" x14ac:dyDescent="0.15"/>
    <row r="21063" s="9" customFormat="1" ht="21.95" customHeight="1" x14ac:dyDescent="0.15"/>
    <row r="21064" s="9" customFormat="1" ht="21.95" customHeight="1" x14ac:dyDescent="0.15"/>
    <row r="21065" s="9" customFormat="1" ht="21.95" customHeight="1" x14ac:dyDescent="0.15"/>
    <row r="21066" s="9" customFormat="1" ht="21.95" customHeight="1" x14ac:dyDescent="0.15"/>
    <row r="21067" s="9" customFormat="1" ht="21.95" customHeight="1" x14ac:dyDescent="0.15"/>
    <row r="21068" s="9" customFormat="1" ht="21.95" customHeight="1" x14ac:dyDescent="0.15"/>
    <row r="21069" s="9" customFormat="1" ht="21.95" customHeight="1" x14ac:dyDescent="0.15"/>
    <row r="21070" s="9" customFormat="1" ht="21.95" customHeight="1" x14ac:dyDescent="0.15"/>
    <row r="21071" s="9" customFormat="1" ht="21.95" customHeight="1" x14ac:dyDescent="0.15"/>
    <row r="21072" s="9" customFormat="1" ht="21.95" customHeight="1" x14ac:dyDescent="0.15"/>
    <row r="21073" s="9" customFormat="1" ht="21.95" customHeight="1" x14ac:dyDescent="0.15"/>
    <row r="21074" s="9" customFormat="1" ht="21.95" customHeight="1" x14ac:dyDescent="0.15"/>
    <row r="21075" s="9" customFormat="1" ht="21.95" customHeight="1" x14ac:dyDescent="0.15"/>
    <row r="21076" s="9" customFormat="1" ht="21.95" customHeight="1" x14ac:dyDescent="0.15"/>
    <row r="21077" s="9" customFormat="1" ht="21.95" customHeight="1" x14ac:dyDescent="0.15"/>
    <row r="21078" s="9" customFormat="1" ht="35.1" customHeight="1" x14ac:dyDescent="0.15"/>
    <row r="21079" s="9" customFormat="1" ht="21.95" customHeight="1" x14ac:dyDescent="0.15"/>
    <row r="21080" s="9" customFormat="1" ht="21.95" customHeight="1" x14ac:dyDescent="0.15"/>
    <row r="21081" s="9" customFormat="1" ht="21.95" customHeight="1" x14ac:dyDescent="0.15"/>
    <row r="21082" s="9" customFormat="1" ht="21.95" customHeight="1" x14ac:dyDescent="0.15"/>
    <row r="21083" s="9" customFormat="1" ht="21.95" customHeight="1" x14ac:dyDescent="0.15"/>
    <row r="21084" s="9" customFormat="1" ht="21.95" customHeight="1" x14ac:dyDescent="0.15"/>
    <row r="21085" s="9" customFormat="1" ht="21.95" customHeight="1" x14ac:dyDescent="0.15"/>
    <row r="21086" s="9" customFormat="1" ht="21.95" customHeight="1" x14ac:dyDescent="0.15"/>
    <row r="21087" s="9" customFormat="1" ht="21.95" customHeight="1" x14ac:dyDescent="0.15"/>
    <row r="21088" s="9" customFormat="1" ht="21.95" customHeight="1" x14ac:dyDescent="0.15"/>
    <row r="21089" spans="3:3" s="9" customFormat="1" ht="21.95" customHeight="1" x14ac:dyDescent="0.15"/>
    <row r="21090" spans="3:3" s="9" customFormat="1" ht="21.95" customHeight="1" x14ac:dyDescent="0.15"/>
    <row r="21091" spans="3:3" s="9" customFormat="1" ht="21.95" customHeight="1" x14ac:dyDescent="0.15"/>
    <row r="21092" spans="3:3" s="9" customFormat="1" ht="21.95" customHeight="1" x14ac:dyDescent="0.15"/>
    <row r="21093" spans="3:3" s="9" customFormat="1" ht="21.95" customHeight="1" x14ac:dyDescent="0.15"/>
    <row r="21094" spans="3:3" s="9" customFormat="1" ht="21.95" customHeight="1" x14ac:dyDescent="0.15"/>
    <row r="21095" spans="3:3" s="9" customFormat="1" ht="21.95" customHeight="1" x14ac:dyDescent="0.15"/>
    <row r="21096" spans="3:3" s="9" customFormat="1" ht="21.95" customHeight="1" x14ac:dyDescent="0.15"/>
    <row r="21097" spans="3:3" s="9" customFormat="1" ht="21.95" customHeight="1" x14ac:dyDescent="0.15"/>
    <row r="21098" spans="3:3" s="9" customFormat="1" ht="21.95" customHeight="1" x14ac:dyDescent="0.15"/>
    <row r="21099" spans="3:3" s="9" customFormat="1" ht="21.95" customHeight="1" x14ac:dyDescent="0.15"/>
    <row r="21100" spans="3:3" s="9" customFormat="1" ht="21.95" customHeight="1" x14ac:dyDescent="0.15"/>
    <row r="21101" spans="3:3" s="9" customFormat="1" ht="21.95" customHeight="1" x14ac:dyDescent="0.15"/>
    <row r="21102" spans="3:3" s="8" customFormat="1" ht="21.95" customHeight="1" x14ac:dyDescent="0.15"/>
    <row r="21103" spans="3:3" s="8" customFormat="1" ht="21.95" customHeight="1" x14ac:dyDescent="0.15"/>
    <row r="21104" spans="3:3" s="8" customFormat="1" ht="21.95" customHeight="1" x14ac:dyDescent="0.15">
      <c r="C21104" s="101"/>
    </row>
    <row r="21105" spans="3:3" s="8" customFormat="1" ht="21.95" customHeight="1" x14ac:dyDescent="0.15">
      <c r="C21105" s="101"/>
    </row>
    <row r="21106" spans="3:3" s="8" customFormat="1" ht="21.95" customHeight="1" x14ac:dyDescent="0.15"/>
    <row r="21107" spans="3:3" s="8" customFormat="1" ht="21.95" customHeight="1" x14ac:dyDescent="0.15"/>
    <row r="21108" spans="3:3" s="8" customFormat="1" ht="21.95" customHeight="1" x14ac:dyDescent="0.15"/>
    <row r="21109" spans="3:3" s="8" customFormat="1" ht="21.95" customHeight="1" x14ac:dyDescent="0.15"/>
    <row r="21110" spans="3:3" s="8" customFormat="1" ht="21.95" customHeight="1" x14ac:dyDescent="0.15"/>
    <row r="21111" spans="3:3" s="8" customFormat="1" ht="21.95" customHeight="1" x14ac:dyDescent="0.15"/>
    <row r="21112" spans="3:3" s="8" customFormat="1" ht="21.95" customHeight="1" x14ac:dyDescent="0.15"/>
    <row r="21113" spans="3:3" s="9" customFormat="1" ht="21.95" customHeight="1" x14ac:dyDescent="0.15"/>
    <row r="21114" spans="3:3" s="9" customFormat="1" ht="21.95" customHeight="1" x14ac:dyDescent="0.15"/>
    <row r="21115" spans="3:3" s="9" customFormat="1" ht="21.95" customHeight="1" x14ac:dyDescent="0.15"/>
    <row r="21116" spans="3:3" s="9" customFormat="1" ht="21.95" customHeight="1" x14ac:dyDescent="0.15"/>
    <row r="21117" spans="3:3" s="8" customFormat="1" ht="21.95" customHeight="1" x14ac:dyDescent="0.15"/>
    <row r="21118" spans="3:3" s="8" customFormat="1" ht="21.95" customHeight="1" x14ac:dyDescent="0.15"/>
    <row r="21119" spans="3:3" s="8" customFormat="1" ht="21.95" customHeight="1" x14ac:dyDescent="0.15"/>
    <row r="21120" spans="3:3" s="8" customFormat="1" ht="21.95" customHeight="1" x14ac:dyDescent="0.15"/>
    <row r="21121" s="8" customFormat="1" ht="21.95" customHeight="1" x14ac:dyDescent="0.15"/>
    <row r="21122" s="8" customFormat="1" ht="21.95" customHeight="1" x14ac:dyDescent="0.15"/>
    <row r="21123" s="8" customFormat="1" ht="21.95" customHeight="1" x14ac:dyDescent="0.15"/>
    <row r="21124" s="8" customFormat="1" ht="21.95" customHeight="1" x14ac:dyDescent="0.15"/>
    <row r="21125" s="8" customFormat="1" ht="21.95" customHeight="1" x14ac:dyDescent="0.15"/>
    <row r="21126" s="8" customFormat="1" ht="21.95" customHeight="1" x14ac:dyDescent="0.15"/>
    <row r="21127" s="8" customFormat="1" ht="21.95" customHeight="1" x14ac:dyDescent="0.15"/>
    <row r="21128" s="8" customFormat="1" ht="32.1" customHeight="1" x14ac:dyDescent="0.15"/>
    <row r="21129" s="8" customFormat="1" ht="32.1" customHeight="1" x14ac:dyDescent="0.15"/>
    <row r="21130" s="8" customFormat="1" ht="32.1" customHeight="1" x14ac:dyDescent="0.15"/>
    <row r="21131" s="8" customFormat="1" ht="32.1" customHeight="1" x14ac:dyDescent="0.15"/>
    <row r="21132" s="8" customFormat="1" ht="32.1" customHeight="1" x14ac:dyDescent="0.15"/>
    <row r="21133" s="8" customFormat="1" ht="32.1" customHeight="1" x14ac:dyDescent="0.15"/>
    <row r="21134" s="9" customFormat="1" ht="32.1" customHeight="1" x14ac:dyDescent="0.15"/>
    <row r="21135" s="9" customFormat="1" ht="32.1" customHeight="1" x14ac:dyDescent="0.15"/>
    <row r="21136" s="9" customFormat="1" ht="32.1" customHeight="1" x14ac:dyDescent="0.15"/>
    <row r="21137" s="9" customFormat="1" ht="32.1" customHeight="1" x14ac:dyDescent="0.15"/>
    <row r="21138" s="9" customFormat="1" ht="21.95" customHeight="1" x14ac:dyDescent="0.15"/>
    <row r="21139" s="9" customFormat="1" ht="54" customHeight="1" x14ac:dyDescent="0.15"/>
    <row r="21140" s="9" customFormat="1" ht="21.95" customHeight="1" x14ac:dyDescent="0.15"/>
    <row r="21141" s="9" customFormat="1" ht="21.95" customHeight="1" x14ac:dyDescent="0.15"/>
    <row r="21142" s="9" customFormat="1" ht="21.95" customHeight="1" x14ac:dyDescent="0.15"/>
    <row r="21143" s="9" customFormat="1" ht="21.95" customHeight="1" x14ac:dyDescent="0.15"/>
    <row r="21144" s="9" customFormat="1" ht="21.95" customHeight="1" x14ac:dyDescent="0.15"/>
    <row r="21145" s="9" customFormat="1" ht="21.95" customHeight="1" x14ac:dyDescent="0.15"/>
    <row r="21146" s="9" customFormat="1" ht="21.95" customHeight="1" x14ac:dyDescent="0.15"/>
    <row r="21147" s="9" customFormat="1" ht="21.95" customHeight="1" x14ac:dyDescent="0.15"/>
    <row r="21148" s="9" customFormat="1" ht="21.95" customHeight="1" x14ac:dyDescent="0.15"/>
    <row r="21149" s="9" customFormat="1" ht="21.95" customHeight="1" x14ac:dyDescent="0.15"/>
    <row r="21150" s="9" customFormat="1" ht="21.95" customHeight="1" x14ac:dyDescent="0.15"/>
    <row r="21151" s="9" customFormat="1" ht="21.95" customHeight="1" x14ac:dyDescent="0.15"/>
    <row r="21152" s="9" customFormat="1" ht="21.95" customHeight="1" x14ac:dyDescent="0.15"/>
    <row r="21153" s="9" customFormat="1" ht="21.95" customHeight="1" x14ac:dyDescent="0.15"/>
    <row r="21154" s="9" customFormat="1" ht="21.95" customHeight="1" x14ac:dyDescent="0.15"/>
    <row r="21155" s="9" customFormat="1" ht="21.95" customHeight="1" x14ac:dyDescent="0.15"/>
    <row r="21156" s="9" customFormat="1" ht="21.95" customHeight="1" x14ac:dyDescent="0.15"/>
    <row r="21157" s="9" customFormat="1" ht="21.95" customHeight="1" x14ac:dyDescent="0.15"/>
    <row r="21158" s="9" customFormat="1" ht="21.95" customHeight="1" x14ac:dyDescent="0.15"/>
    <row r="21159" s="9" customFormat="1" ht="21.95" customHeight="1" x14ac:dyDescent="0.15"/>
    <row r="21160" s="9" customFormat="1" ht="21.95" customHeight="1" x14ac:dyDescent="0.15"/>
    <row r="21161" s="9" customFormat="1" ht="21.95" customHeight="1" x14ac:dyDescent="0.15"/>
    <row r="21162" s="9" customFormat="1" ht="21.95" customHeight="1" x14ac:dyDescent="0.15"/>
    <row r="21163" s="9" customFormat="1" ht="21.95" customHeight="1" x14ac:dyDescent="0.15"/>
    <row r="21164" s="9" customFormat="1" ht="21.95" customHeight="1" x14ac:dyDescent="0.15"/>
    <row r="21165" s="9" customFormat="1" ht="21.95" customHeight="1" x14ac:dyDescent="0.15"/>
    <row r="21166" s="9" customFormat="1" ht="21.95" customHeight="1" x14ac:dyDescent="0.15"/>
    <row r="21167" s="9" customFormat="1" ht="21.95" customHeight="1" x14ac:dyDescent="0.15"/>
    <row r="21168" s="9" customFormat="1" ht="21.95" customHeight="1" x14ac:dyDescent="0.15"/>
    <row r="21169" s="9" customFormat="1" ht="21.95" customHeight="1" x14ac:dyDescent="0.15"/>
    <row r="21170" s="9" customFormat="1" ht="21.95" customHeight="1" x14ac:dyDescent="0.15"/>
    <row r="21171" s="9" customFormat="1" ht="21.95" customHeight="1" x14ac:dyDescent="0.15"/>
    <row r="21172" s="9" customFormat="1" ht="21.95" customHeight="1" x14ac:dyDescent="0.15"/>
    <row r="21173" s="9" customFormat="1" ht="21.95" customHeight="1" x14ac:dyDescent="0.15"/>
    <row r="21174" s="9" customFormat="1" ht="21.95" customHeight="1" x14ac:dyDescent="0.15"/>
    <row r="21175" s="9" customFormat="1" ht="21.95" customHeight="1" x14ac:dyDescent="0.15"/>
    <row r="21176" s="9" customFormat="1" ht="21.95" customHeight="1" x14ac:dyDescent="0.15"/>
    <row r="21177" s="9" customFormat="1" ht="21.95" customHeight="1" x14ac:dyDescent="0.15"/>
    <row r="21178" s="9" customFormat="1" ht="21.95" customHeight="1" x14ac:dyDescent="0.15"/>
    <row r="21179" s="9" customFormat="1" ht="21.95" customHeight="1" x14ac:dyDescent="0.15"/>
    <row r="21180" s="9" customFormat="1" ht="21.95" customHeight="1" x14ac:dyDescent="0.15"/>
    <row r="21181" s="9" customFormat="1" ht="21.95" customHeight="1" x14ac:dyDescent="0.15"/>
    <row r="21182" s="9" customFormat="1" ht="21.95" customHeight="1" x14ac:dyDescent="0.15"/>
    <row r="21183" s="9" customFormat="1" ht="21.95" customHeight="1" x14ac:dyDescent="0.15"/>
    <row r="21184" s="9" customFormat="1" ht="21.95" customHeight="1" x14ac:dyDescent="0.15"/>
    <row r="21185" s="9" customFormat="1" ht="21.95" customHeight="1" x14ac:dyDescent="0.15"/>
    <row r="21186" s="9" customFormat="1" ht="21.95" customHeight="1" x14ac:dyDescent="0.15"/>
    <row r="21187" s="9" customFormat="1" ht="21.95" customHeight="1" x14ac:dyDescent="0.15"/>
    <row r="21188" s="9" customFormat="1" ht="21.95" customHeight="1" x14ac:dyDescent="0.15"/>
    <row r="21189" s="9" customFormat="1" ht="21.95" customHeight="1" x14ac:dyDescent="0.15"/>
    <row r="21190" s="9" customFormat="1" ht="35.1" customHeight="1" x14ac:dyDescent="0.15"/>
    <row r="21191" s="9" customFormat="1" ht="21.95" customHeight="1" x14ac:dyDescent="0.15"/>
    <row r="21192" s="9" customFormat="1" ht="21.95" customHeight="1" x14ac:dyDescent="0.15"/>
    <row r="21193" s="9" customFormat="1" ht="21.95" customHeight="1" x14ac:dyDescent="0.15"/>
    <row r="21194" s="9" customFormat="1" ht="21.95" customHeight="1" x14ac:dyDescent="0.15"/>
    <row r="21195" s="9" customFormat="1" ht="21.95" customHeight="1" x14ac:dyDescent="0.15"/>
    <row r="21196" s="9" customFormat="1" ht="21.95" customHeight="1" x14ac:dyDescent="0.15"/>
    <row r="21197" s="9" customFormat="1" ht="21.95" customHeight="1" x14ac:dyDescent="0.15"/>
    <row r="21198" s="9" customFormat="1" ht="21.95" customHeight="1" x14ac:dyDescent="0.15"/>
    <row r="21199" s="9" customFormat="1" ht="21.95" customHeight="1" x14ac:dyDescent="0.15"/>
    <row r="21200" s="9" customFormat="1" ht="21.95" customHeight="1" x14ac:dyDescent="0.15"/>
    <row r="21201" spans="3:3" s="9" customFormat="1" ht="21.95" customHeight="1" x14ac:dyDescent="0.15"/>
    <row r="21202" spans="3:3" s="9" customFormat="1" ht="21.95" customHeight="1" x14ac:dyDescent="0.15"/>
    <row r="21203" spans="3:3" s="9" customFormat="1" ht="21.95" customHeight="1" x14ac:dyDescent="0.15"/>
    <row r="21204" spans="3:3" s="9" customFormat="1" ht="21.95" customHeight="1" x14ac:dyDescent="0.15"/>
    <row r="21205" spans="3:3" s="9" customFormat="1" ht="21.95" customHeight="1" x14ac:dyDescent="0.15"/>
    <row r="21206" spans="3:3" s="9" customFormat="1" ht="21.95" customHeight="1" x14ac:dyDescent="0.15"/>
    <row r="21207" spans="3:3" s="9" customFormat="1" ht="21.95" customHeight="1" x14ac:dyDescent="0.15"/>
    <row r="21208" spans="3:3" s="9" customFormat="1" ht="21.95" customHeight="1" x14ac:dyDescent="0.15"/>
    <row r="21209" spans="3:3" s="9" customFormat="1" ht="21.95" customHeight="1" x14ac:dyDescent="0.15"/>
    <row r="21210" spans="3:3" s="9" customFormat="1" ht="21.95" customHeight="1" x14ac:dyDescent="0.15"/>
    <row r="21211" spans="3:3" s="9" customFormat="1" ht="21.95" customHeight="1" x14ac:dyDescent="0.15"/>
    <row r="21212" spans="3:3" s="9" customFormat="1" ht="21.95" customHeight="1" x14ac:dyDescent="0.15"/>
    <row r="21213" spans="3:3" s="9" customFormat="1" ht="21.95" customHeight="1" x14ac:dyDescent="0.15"/>
    <row r="21214" spans="3:3" s="8" customFormat="1" ht="21.95" customHeight="1" x14ac:dyDescent="0.15"/>
    <row r="21215" spans="3:3" s="8" customFormat="1" ht="21.95" customHeight="1" x14ac:dyDescent="0.15"/>
    <row r="21216" spans="3:3" s="8" customFormat="1" ht="21.95" customHeight="1" x14ac:dyDescent="0.15">
      <c r="C21216" s="101"/>
    </row>
    <row r="21217" spans="3:3" s="8" customFormat="1" ht="21.95" customHeight="1" x14ac:dyDescent="0.15">
      <c r="C21217" s="101"/>
    </row>
    <row r="21218" spans="3:3" s="8" customFormat="1" ht="21.95" customHeight="1" x14ac:dyDescent="0.15"/>
    <row r="21219" spans="3:3" s="8" customFormat="1" ht="21.95" customHeight="1" x14ac:dyDescent="0.15"/>
    <row r="21220" spans="3:3" s="8" customFormat="1" ht="21.95" customHeight="1" x14ac:dyDescent="0.15"/>
    <row r="21221" spans="3:3" s="8" customFormat="1" ht="21.95" customHeight="1" x14ac:dyDescent="0.15"/>
    <row r="21222" spans="3:3" s="8" customFormat="1" ht="21.95" customHeight="1" x14ac:dyDescent="0.15"/>
    <row r="21223" spans="3:3" s="8" customFormat="1" ht="21.95" customHeight="1" x14ac:dyDescent="0.15"/>
    <row r="21224" spans="3:3" s="8" customFormat="1" ht="21.95" customHeight="1" x14ac:dyDescent="0.15"/>
    <row r="21225" spans="3:3" s="9" customFormat="1" ht="21.95" customHeight="1" x14ac:dyDescent="0.15"/>
    <row r="21226" spans="3:3" s="9" customFormat="1" ht="21.95" customHeight="1" x14ac:dyDescent="0.15"/>
    <row r="21227" spans="3:3" s="9" customFormat="1" ht="21.95" customHeight="1" x14ac:dyDescent="0.15"/>
    <row r="21228" spans="3:3" s="9" customFormat="1" ht="21.95" customHeight="1" x14ac:dyDescent="0.15"/>
    <row r="21229" spans="3:3" s="8" customFormat="1" ht="21.95" customHeight="1" x14ac:dyDescent="0.15"/>
    <row r="21230" spans="3:3" s="8" customFormat="1" ht="21.95" customHeight="1" x14ac:dyDescent="0.15"/>
    <row r="21231" spans="3:3" s="8" customFormat="1" ht="21.95" customHeight="1" x14ac:dyDescent="0.15"/>
    <row r="21232" spans="3:3" s="8" customFormat="1" ht="21.95" customHeight="1" x14ac:dyDescent="0.15"/>
    <row r="21233" s="8" customFormat="1" ht="21.95" customHeight="1" x14ac:dyDescent="0.15"/>
    <row r="21234" s="8" customFormat="1" ht="21.95" customHeight="1" x14ac:dyDescent="0.15"/>
    <row r="21235" s="8" customFormat="1" ht="21.95" customHeight="1" x14ac:dyDescent="0.15"/>
    <row r="21236" s="8" customFormat="1" ht="21.95" customHeight="1" x14ac:dyDescent="0.15"/>
    <row r="21237" s="8" customFormat="1" ht="21.95" customHeight="1" x14ac:dyDescent="0.15"/>
    <row r="21238" s="8" customFormat="1" ht="21.95" customHeight="1" x14ac:dyDescent="0.15"/>
    <row r="21239" s="8" customFormat="1" ht="21.95" customHeight="1" x14ac:dyDescent="0.15"/>
    <row r="21240" s="8" customFormat="1" ht="32.1" customHeight="1" x14ac:dyDescent="0.15"/>
    <row r="21241" s="8" customFormat="1" ht="32.1" customHeight="1" x14ac:dyDescent="0.15"/>
    <row r="21242" s="8" customFormat="1" ht="32.1" customHeight="1" x14ac:dyDescent="0.15"/>
    <row r="21243" s="8" customFormat="1" ht="32.1" customHeight="1" x14ac:dyDescent="0.15"/>
    <row r="21244" s="8" customFormat="1" ht="32.1" customHeight="1" x14ac:dyDescent="0.15"/>
    <row r="21245" s="8" customFormat="1" ht="32.1" customHeight="1" x14ac:dyDescent="0.15"/>
    <row r="21246" s="9" customFormat="1" ht="32.1" customHeight="1" x14ac:dyDescent="0.15"/>
    <row r="21247" s="9" customFormat="1" ht="32.1" customHeight="1" x14ac:dyDescent="0.15"/>
    <row r="21248" s="9" customFormat="1" ht="32.1" customHeight="1" x14ac:dyDescent="0.15"/>
    <row r="21249" s="9" customFormat="1" ht="32.1" customHeight="1" x14ac:dyDescent="0.15"/>
    <row r="21250" s="9" customFormat="1" ht="21.95" customHeight="1" x14ac:dyDescent="0.15"/>
    <row r="21251" s="9" customFormat="1" ht="54" customHeight="1" x14ac:dyDescent="0.15"/>
    <row r="21252" s="9" customFormat="1" ht="21.95" customHeight="1" x14ac:dyDescent="0.15"/>
    <row r="21253" s="9" customFormat="1" ht="21.95" customHeight="1" x14ac:dyDescent="0.15"/>
    <row r="21254" s="9" customFormat="1" ht="21.95" customHeight="1" x14ac:dyDescent="0.15"/>
    <row r="21255" s="9" customFormat="1" ht="21.95" customHeight="1" x14ac:dyDescent="0.15"/>
    <row r="21256" s="9" customFormat="1" ht="21.95" customHeight="1" x14ac:dyDescent="0.15"/>
    <row r="21257" s="9" customFormat="1" ht="21.95" customHeight="1" x14ac:dyDescent="0.15"/>
    <row r="21258" s="9" customFormat="1" ht="21.95" customHeight="1" x14ac:dyDescent="0.15"/>
    <row r="21259" s="9" customFormat="1" ht="21.95" customHeight="1" x14ac:dyDescent="0.15"/>
    <row r="21260" s="9" customFormat="1" ht="21.95" customHeight="1" x14ac:dyDescent="0.15"/>
    <row r="21261" s="9" customFormat="1" ht="21.95" customHeight="1" x14ac:dyDescent="0.15"/>
    <row r="21262" s="9" customFormat="1" ht="21.95" customHeight="1" x14ac:dyDescent="0.15"/>
    <row r="21263" s="9" customFormat="1" ht="21.95" customHeight="1" x14ac:dyDescent="0.15"/>
    <row r="21264" s="9" customFormat="1" ht="21.95" customHeight="1" x14ac:dyDescent="0.15"/>
    <row r="21265" s="9" customFormat="1" ht="21.95" customHeight="1" x14ac:dyDescent="0.15"/>
    <row r="21266" s="9" customFormat="1" ht="21.95" customHeight="1" x14ac:dyDescent="0.15"/>
    <row r="21267" s="9" customFormat="1" ht="21.95" customHeight="1" x14ac:dyDescent="0.15"/>
    <row r="21268" s="9" customFormat="1" ht="21.95" customHeight="1" x14ac:dyDescent="0.15"/>
    <row r="21269" s="9" customFormat="1" ht="21.95" customHeight="1" x14ac:dyDescent="0.15"/>
    <row r="21270" s="9" customFormat="1" ht="21.95" customHeight="1" x14ac:dyDescent="0.15"/>
    <row r="21271" s="9" customFormat="1" ht="21.95" customHeight="1" x14ac:dyDescent="0.15"/>
    <row r="21272" s="9" customFormat="1" ht="21.95" customHeight="1" x14ac:dyDescent="0.15"/>
    <row r="21273" s="9" customFormat="1" ht="21.95" customHeight="1" x14ac:dyDescent="0.15"/>
    <row r="21274" s="9" customFormat="1" ht="21.95" customHeight="1" x14ac:dyDescent="0.15"/>
    <row r="21275" s="9" customFormat="1" ht="21.95" customHeight="1" x14ac:dyDescent="0.15"/>
    <row r="21276" s="9" customFormat="1" ht="21.95" customHeight="1" x14ac:dyDescent="0.15"/>
    <row r="21277" s="9" customFormat="1" ht="21.95" customHeight="1" x14ac:dyDescent="0.15"/>
    <row r="21278" s="9" customFormat="1" ht="21.95" customHeight="1" x14ac:dyDescent="0.15"/>
    <row r="21279" s="9" customFormat="1" ht="21.95" customHeight="1" x14ac:dyDescent="0.15"/>
    <row r="21280" s="9" customFormat="1" ht="21.95" customHeight="1" x14ac:dyDescent="0.15"/>
    <row r="21281" s="9" customFormat="1" ht="21.95" customHeight="1" x14ac:dyDescent="0.15"/>
    <row r="21282" s="9" customFormat="1" ht="21.95" customHeight="1" x14ac:dyDescent="0.15"/>
    <row r="21283" s="9" customFormat="1" ht="21.95" customHeight="1" x14ac:dyDescent="0.15"/>
    <row r="21284" s="9" customFormat="1" ht="21.95" customHeight="1" x14ac:dyDescent="0.15"/>
    <row r="21285" s="9" customFormat="1" ht="21.95" customHeight="1" x14ac:dyDescent="0.15"/>
    <row r="21286" s="9" customFormat="1" ht="21.95" customHeight="1" x14ac:dyDescent="0.15"/>
    <row r="21287" s="9" customFormat="1" ht="21.95" customHeight="1" x14ac:dyDescent="0.15"/>
    <row r="21288" s="9" customFormat="1" ht="21.95" customHeight="1" x14ac:dyDescent="0.15"/>
    <row r="21289" s="9" customFormat="1" ht="21.95" customHeight="1" x14ac:dyDescent="0.15"/>
    <row r="21290" s="9" customFormat="1" ht="21.95" customHeight="1" x14ac:dyDescent="0.15"/>
    <row r="21291" s="9" customFormat="1" ht="21.95" customHeight="1" x14ac:dyDescent="0.15"/>
    <row r="21292" s="9" customFormat="1" ht="21.95" customHeight="1" x14ac:dyDescent="0.15"/>
    <row r="21293" s="9" customFormat="1" ht="21.95" customHeight="1" x14ac:dyDescent="0.15"/>
    <row r="21294" s="9" customFormat="1" ht="21.95" customHeight="1" x14ac:dyDescent="0.15"/>
    <row r="21295" s="9" customFormat="1" ht="21.95" customHeight="1" x14ac:dyDescent="0.15"/>
    <row r="21296" s="9" customFormat="1" ht="21.95" customHeight="1" x14ac:dyDescent="0.15"/>
    <row r="21297" s="9" customFormat="1" ht="21.95" customHeight="1" x14ac:dyDescent="0.15"/>
    <row r="21298" s="9" customFormat="1" ht="21.95" customHeight="1" x14ac:dyDescent="0.15"/>
    <row r="21299" s="9" customFormat="1" ht="21.95" customHeight="1" x14ac:dyDescent="0.15"/>
    <row r="21300" s="9" customFormat="1" ht="21.95" customHeight="1" x14ac:dyDescent="0.15"/>
    <row r="21301" s="9" customFormat="1" ht="21.95" customHeight="1" x14ac:dyDescent="0.15"/>
    <row r="21302" s="9" customFormat="1" ht="35.1" customHeight="1" x14ac:dyDescent="0.15"/>
    <row r="21303" s="9" customFormat="1" ht="21.95" customHeight="1" x14ac:dyDescent="0.15"/>
    <row r="21304" s="9" customFormat="1" ht="21.95" customHeight="1" x14ac:dyDescent="0.15"/>
    <row r="21305" s="9" customFormat="1" ht="21.95" customHeight="1" x14ac:dyDescent="0.15"/>
    <row r="21306" s="9" customFormat="1" ht="21.95" customHeight="1" x14ac:dyDescent="0.15"/>
    <row r="21307" s="9" customFormat="1" ht="21.95" customHeight="1" x14ac:dyDescent="0.15"/>
    <row r="21308" s="9" customFormat="1" ht="21.95" customHeight="1" x14ac:dyDescent="0.15"/>
    <row r="21309" s="9" customFormat="1" ht="21.95" customHeight="1" x14ac:dyDescent="0.15"/>
    <row r="21310" s="9" customFormat="1" ht="21.95" customHeight="1" x14ac:dyDescent="0.15"/>
    <row r="21311" s="9" customFormat="1" ht="21.95" customHeight="1" x14ac:dyDescent="0.15"/>
    <row r="21312" s="9" customFormat="1" ht="21.95" customHeight="1" x14ac:dyDescent="0.15"/>
    <row r="21313" spans="3:3" s="9" customFormat="1" ht="21.95" customHeight="1" x14ac:dyDescent="0.15"/>
    <row r="21314" spans="3:3" s="9" customFormat="1" ht="21.95" customHeight="1" x14ac:dyDescent="0.15"/>
    <row r="21315" spans="3:3" s="9" customFormat="1" ht="21.95" customHeight="1" x14ac:dyDescent="0.15"/>
    <row r="21316" spans="3:3" s="9" customFormat="1" ht="21.95" customHeight="1" x14ac:dyDescent="0.15"/>
    <row r="21317" spans="3:3" s="9" customFormat="1" ht="21.95" customHeight="1" x14ac:dyDescent="0.15"/>
    <row r="21318" spans="3:3" s="9" customFormat="1" ht="21.95" customHeight="1" x14ac:dyDescent="0.15"/>
    <row r="21319" spans="3:3" s="9" customFormat="1" ht="21.95" customHeight="1" x14ac:dyDescent="0.15"/>
    <row r="21320" spans="3:3" s="9" customFormat="1" ht="21.95" customHeight="1" x14ac:dyDescent="0.15"/>
    <row r="21321" spans="3:3" s="9" customFormat="1" ht="21.95" customHeight="1" x14ac:dyDescent="0.15"/>
    <row r="21322" spans="3:3" s="9" customFormat="1" ht="21.95" customHeight="1" x14ac:dyDescent="0.15"/>
    <row r="21323" spans="3:3" s="9" customFormat="1" ht="21.95" customHeight="1" x14ac:dyDescent="0.15"/>
    <row r="21324" spans="3:3" s="9" customFormat="1" ht="21.95" customHeight="1" x14ac:dyDescent="0.15"/>
    <row r="21325" spans="3:3" s="9" customFormat="1" ht="21.95" customHeight="1" x14ac:dyDescent="0.15"/>
    <row r="21326" spans="3:3" s="8" customFormat="1" ht="21.95" customHeight="1" x14ac:dyDescent="0.15"/>
    <row r="21327" spans="3:3" s="8" customFormat="1" ht="21.95" customHeight="1" x14ac:dyDescent="0.15"/>
    <row r="21328" spans="3:3" s="8" customFormat="1" ht="21.95" customHeight="1" x14ac:dyDescent="0.15">
      <c r="C21328" s="101"/>
    </row>
    <row r="21329" spans="3:3" s="8" customFormat="1" ht="21.95" customHeight="1" x14ac:dyDescent="0.15">
      <c r="C21329" s="101"/>
    </row>
    <row r="21330" spans="3:3" s="8" customFormat="1" ht="21.95" customHeight="1" x14ac:dyDescent="0.15"/>
    <row r="21331" spans="3:3" s="8" customFormat="1" ht="21.95" customHeight="1" x14ac:dyDescent="0.15"/>
    <row r="21332" spans="3:3" s="8" customFormat="1" ht="21.95" customHeight="1" x14ac:dyDescent="0.15"/>
    <row r="21333" spans="3:3" s="8" customFormat="1" ht="21.95" customHeight="1" x14ac:dyDescent="0.15"/>
    <row r="21334" spans="3:3" s="8" customFormat="1" ht="21.95" customHeight="1" x14ac:dyDescent="0.15"/>
    <row r="21335" spans="3:3" s="8" customFormat="1" ht="21.95" customHeight="1" x14ac:dyDescent="0.15"/>
    <row r="21336" spans="3:3" s="8" customFormat="1" ht="21.95" customHeight="1" x14ac:dyDescent="0.15"/>
    <row r="21337" spans="3:3" s="9" customFormat="1" ht="21.95" customHeight="1" x14ac:dyDescent="0.15"/>
    <row r="21338" spans="3:3" s="9" customFormat="1" ht="21.95" customHeight="1" x14ac:dyDescent="0.15"/>
    <row r="21339" spans="3:3" s="9" customFormat="1" ht="21.95" customHeight="1" x14ac:dyDescent="0.15"/>
    <row r="21340" spans="3:3" s="9" customFormat="1" ht="21.95" customHeight="1" x14ac:dyDescent="0.15"/>
    <row r="21341" spans="3:3" s="8" customFormat="1" ht="21.95" customHeight="1" x14ac:dyDescent="0.15"/>
    <row r="21342" spans="3:3" s="8" customFormat="1" ht="21.95" customHeight="1" x14ac:dyDescent="0.15"/>
    <row r="21343" spans="3:3" s="8" customFormat="1" ht="21.95" customHeight="1" x14ac:dyDescent="0.15"/>
    <row r="21344" spans="3:3" s="8" customFormat="1" ht="21.95" customHeight="1" x14ac:dyDescent="0.15"/>
    <row r="21345" s="8" customFormat="1" ht="21.95" customHeight="1" x14ac:dyDescent="0.15"/>
    <row r="21346" s="8" customFormat="1" ht="21.95" customHeight="1" x14ac:dyDescent="0.15"/>
    <row r="21347" s="8" customFormat="1" ht="21.95" customHeight="1" x14ac:dyDescent="0.15"/>
    <row r="21348" s="8" customFormat="1" ht="21.95" customHeight="1" x14ac:dyDescent="0.15"/>
    <row r="21349" s="8" customFormat="1" ht="21.95" customHeight="1" x14ac:dyDescent="0.15"/>
    <row r="21350" s="8" customFormat="1" ht="21.95" customHeight="1" x14ac:dyDescent="0.15"/>
    <row r="21351" s="8" customFormat="1" ht="21.95" customHeight="1" x14ac:dyDescent="0.15"/>
    <row r="21352" s="8" customFormat="1" ht="32.1" customHeight="1" x14ac:dyDescent="0.15"/>
    <row r="21353" s="8" customFormat="1" ht="32.1" customHeight="1" x14ac:dyDescent="0.15"/>
    <row r="21354" s="8" customFormat="1" ht="32.1" customHeight="1" x14ac:dyDescent="0.15"/>
    <row r="21355" s="8" customFormat="1" ht="32.1" customHeight="1" x14ac:dyDescent="0.15"/>
    <row r="21356" s="8" customFormat="1" ht="32.1" customHeight="1" x14ac:dyDescent="0.15"/>
    <row r="21357" s="8" customFormat="1" ht="32.1" customHeight="1" x14ac:dyDescent="0.15"/>
    <row r="21358" s="9" customFormat="1" ht="32.1" customHeight="1" x14ac:dyDescent="0.15"/>
    <row r="21359" s="9" customFormat="1" ht="32.1" customHeight="1" x14ac:dyDescent="0.15"/>
    <row r="21360" s="9" customFormat="1" ht="32.1" customHeight="1" x14ac:dyDescent="0.15"/>
    <row r="21361" s="9" customFormat="1" ht="32.1" customHeight="1" x14ac:dyDescent="0.15"/>
    <row r="21362" s="9" customFormat="1" ht="21.95" customHeight="1" x14ac:dyDescent="0.15"/>
    <row r="21363" s="9" customFormat="1" ht="54" customHeight="1" x14ac:dyDescent="0.15"/>
    <row r="21364" s="9" customFormat="1" ht="21.95" customHeight="1" x14ac:dyDescent="0.15"/>
    <row r="21365" s="9" customFormat="1" ht="21.95" customHeight="1" x14ac:dyDescent="0.15"/>
    <row r="21366" s="9" customFormat="1" ht="21.95" customHeight="1" x14ac:dyDescent="0.15"/>
    <row r="21367" s="9" customFormat="1" ht="21.95" customHeight="1" x14ac:dyDescent="0.15"/>
    <row r="21368" s="9" customFormat="1" ht="21.95" customHeight="1" x14ac:dyDescent="0.15"/>
    <row r="21369" s="9" customFormat="1" ht="21.95" customHeight="1" x14ac:dyDescent="0.15"/>
    <row r="21370" s="9" customFormat="1" ht="21.95" customHeight="1" x14ac:dyDescent="0.15"/>
    <row r="21371" s="9" customFormat="1" ht="21.95" customHeight="1" x14ac:dyDescent="0.15"/>
    <row r="21372" s="9" customFormat="1" ht="21.95" customHeight="1" x14ac:dyDescent="0.15"/>
    <row r="21373" s="9" customFormat="1" ht="21.95" customHeight="1" x14ac:dyDescent="0.15"/>
    <row r="21374" s="9" customFormat="1" ht="21.95" customHeight="1" x14ac:dyDescent="0.15"/>
    <row r="21375" s="9" customFormat="1" ht="21.95" customHeight="1" x14ac:dyDescent="0.15"/>
    <row r="21376" s="9" customFormat="1" ht="21.95" customHeight="1" x14ac:dyDescent="0.15"/>
    <row r="21377" s="9" customFormat="1" ht="21.95" customHeight="1" x14ac:dyDescent="0.15"/>
    <row r="21378" s="9" customFormat="1" ht="21.95" customHeight="1" x14ac:dyDescent="0.15"/>
    <row r="21379" s="9" customFormat="1" ht="21.95" customHeight="1" x14ac:dyDescent="0.15"/>
    <row r="21380" s="9" customFormat="1" ht="21.95" customHeight="1" x14ac:dyDescent="0.15"/>
    <row r="21381" s="9" customFormat="1" ht="21.95" customHeight="1" x14ac:dyDescent="0.15"/>
    <row r="21382" s="9" customFormat="1" ht="21.95" customHeight="1" x14ac:dyDescent="0.15"/>
    <row r="21383" s="9" customFormat="1" ht="21.95" customHeight="1" x14ac:dyDescent="0.15"/>
    <row r="21384" s="9" customFormat="1" ht="21.95" customHeight="1" x14ac:dyDescent="0.15"/>
    <row r="21385" s="9" customFormat="1" ht="21.95" customHeight="1" x14ac:dyDescent="0.15"/>
    <row r="21386" s="9" customFormat="1" ht="21.95" customHeight="1" x14ac:dyDescent="0.15"/>
    <row r="21387" s="9" customFormat="1" ht="21.95" customHeight="1" x14ac:dyDescent="0.15"/>
    <row r="21388" s="9" customFormat="1" ht="21.95" customHeight="1" x14ac:dyDescent="0.15"/>
    <row r="21389" s="9" customFormat="1" ht="21.95" customHeight="1" x14ac:dyDescent="0.15"/>
    <row r="21390" s="9" customFormat="1" ht="21.95" customHeight="1" x14ac:dyDescent="0.15"/>
    <row r="21391" s="9" customFormat="1" ht="21.95" customHeight="1" x14ac:dyDescent="0.15"/>
    <row r="21392" s="9" customFormat="1" ht="21.95" customHeight="1" x14ac:dyDescent="0.15"/>
    <row r="21393" s="9" customFormat="1" ht="21.95" customHeight="1" x14ac:dyDescent="0.15"/>
    <row r="21394" s="9" customFormat="1" ht="21.95" customHeight="1" x14ac:dyDescent="0.15"/>
    <row r="21395" s="9" customFormat="1" ht="21.95" customHeight="1" x14ac:dyDescent="0.15"/>
    <row r="21396" s="9" customFormat="1" ht="21.95" customHeight="1" x14ac:dyDescent="0.15"/>
    <row r="21397" s="9" customFormat="1" ht="21.95" customHeight="1" x14ac:dyDescent="0.15"/>
    <row r="21398" s="9" customFormat="1" ht="21.95" customHeight="1" x14ac:dyDescent="0.15"/>
    <row r="21399" s="9" customFormat="1" ht="21.95" customHeight="1" x14ac:dyDescent="0.15"/>
    <row r="21400" s="9" customFormat="1" ht="21.95" customHeight="1" x14ac:dyDescent="0.15"/>
    <row r="21401" s="9" customFormat="1" ht="21.95" customHeight="1" x14ac:dyDescent="0.15"/>
    <row r="21402" s="9" customFormat="1" ht="21.95" customHeight="1" x14ac:dyDescent="0.15"/>
    <row r="21403" s="9" customFormat="1" ht="21.95" customHeight="1" x14ac:dyDescent="0.15"/>
    <row r="21404" s="9" customFormat="1" ht="21.95" customHeight="1" x14ac:dyDescent="0.15"/>
    <row r="21405" s="9" customFormat="1" ht="21.95" customHeight="1" x14ac:dyDescent="0.15"/>
    <row r="21406" s="9" customFormat="1" ht="21.95" customHeight="1" x14ac:dyDescent="0.15"/>
    <row r="21407" s="9" customFormat="1" ht="21.95" customHeight="1" x14ac:dyDescent="0.15"/>
    <row r="21408" s="9" customFormat="1" ht="21.95" customHeight="1" x14ac:dyDescent="0.15"/>
    <row r="21409" s="9" customFormat="1" ht="21.95" customHeight="1" x14ac:dyDescent="0.15"/>
    <row r="21410" s="9" customFormat="1" ht="21.95" customHeight="1" x14ac:dyDescent="0.15"/>
    <row r="21411" s="9" customFormat="1" ht="21.95" customHeight="1" x14ac:dyDescent="0.15"/>
    <row r="21412" s="9" customFormat="1" ht="21.95" customHeight="1" x14ac:dyDescent="0.15"/>
    <row r="21413" s="9" customFormat="1" ht="21.95" customHeight="1" x14ac:dyDescent="0.15"/>
    <row r="21414" s="9" customFormat="1" ht="35.1" customHeight="1" x14ac:dyDescent="0.15"/>
    <row r="21415" s="9" customFormat="1" ht="21.95" customHeight="1" x14ac:dyDescent="0.15"/>
    <row r="21416" s="9" customFormat="1" ht="21.95" customHeight="1" x14ac:dyDescent="0.15"/>
    <row r="21417" s="9" customFormat="1" ht="21.95" customHeight="1" x14ac:dyDescent="0.15"/>
    <row r="21418" s="9" customFormat="1" ht="21.95" customHeight="1" x14ac:dyDescent="0.15"/>
    <row r="21419" s="9" customFormat="1" ht="21.95" customHeight="1" x14ac:dyDescent="0.15"/>
    <row r="21420" s="9" customFormat="1" ht="21.95" customHeight="1" x14ac:dyDescent="0.15"/>
    <row r="21421" s="9" customFormat="1" ht="21.95" customHeight="1" x14ac:dyDescent="0.15"/>
    <row r="21422" s="9" customFormat="1" ht="21.95" customHeight="1" x14ac:dyDescent="0.15"/>
    <row r="21423" s="9" customFormat="1" ht="21.95" customHeight="1" x14ac:dyDescent="0.15"/>
    <row r="21424" s="9" customFormat="1" ht="21.95" customHeight="1" x14ac:dyDescent="0.15"/>
    <row r="21425" spans="3:3" s="9" customFormat="1" ht="21.95" customHeight="1" x14ac:dyDescent="0.15"/>
    <row r="21426" spans="3:3" s="9" customFormat="1" ht="21.95" customHeight="1" x14ac:dyDescent="0.15"/>
    <row r="21427" spans="3:3" s="9" customFormat="1" ht="21.95" customHeight="1" x14ac:dyDescent="0.15"/>
    <row r="21428" spans="3:3" s="9" customFormat="1" ht="21.95" customHeight="1" x14ac:dyDescent="0.15"/>
    <row r="21429" spans="3:3" s="9" customFormat="1" ht="21.95" customHeight="1" x14ac:dyDescent="0.15"/>
    <row r="21430" spans="3:3" s="9" customFormat="1" ht="21.95" customHeight="1" x14ac:dyDescent="0.15"/>
    <row r="21431" spans="3:3" s="9" customFormat="1" ht="21.95" customHeight="1" x14ac:dyDescent="0.15"/>
    <row r="21432" spans="3:3" s="9" customFormat="1" ht="21.95" customHeight="1" x14ac:dyDescent="0.15"/>
    <row r="21433" spans="3:3" s="9" customFormat="1" ht="21.95" customHeight="1" x14ac:dyDescent="0.15"/>
    <row r="21434" spans="3:3" s="9" customFormat="1" ht="21.95" customHeight="1" x14ac:dyDescent="0.15"/>
    <row r="21435" spans="3:3" s="9" customFormat="1" ht="21.95" customHeight="1" x14ac:dyDescent="0.15"/>
    <row r="21436" spans="3:3" s="9" customFormat="1" ht="21.95" customHeight="1" x14ac:dyDescent="0.15"/>
    <row r="21437" spans="3:3" s="9" customFormat="1" ht="21.95" customHeight="1" x14ac:dyDescent="0.15"/>
    <row r="21438" spans="3:3" s="8" customFormat="1" ht="21.95" customHeight="1" x14ac:dyDescent="0.15"/>
    <row r="21439" spans="3:3" s="8" customFormat="1" ht="21.95" customHeight="1" x14ac:dyDescent="0.15"/>
    <row r="21440" spans="3:3" s="8" customFormat="1" ht="21.95" customHeight="1" x14ac:dyDescent="0.15">
      <c r="C21440" s="101"/>
    </row>
    <row r="21441" spans="3:3" s="8" customFormat="1" ht="21.95" customHeight="1" x14ac:dyDescent="0.15">
      <c r="C21441" s="101"/>
    </row>
    <row r="21442" spans="3:3" s="8" customFormat="1" ht="21.95" customHeight="1" x14ac:dyDescent="0.15"/>
    <row r="21443" spans="3:3" s="8" customFormat="1" ht="21.95" customHeight="1" x14ac:dyDescent="0.15"/>
    <row r="21444" spans="3:3" s="8" customFormat="1" ht="21.95" customHeight="1" x14ac:dyDescent="0.15"/>
    <row r="21445" spans="3:3" s="8" customFormat="1" ht="21.95" customHeight="1" x14ac:dyDescent="0.15"/>
    <row r="21446" spans="3:3" s="8" customFormat="1" ht="21.95" customHeight="1" x14ac:dyDescent="0.15"/>
    <row r="21447" spans="3:3" s="8" customFormat="1" ht="21.95" customHeight="1" x14ac:dyDescent="0.15"/>
    <row r="21448" spans="3:3" s="8" customFormat="1" ht="21.95" customHeight="1" x14ac:dyDescent="0.15"/>
    <row r="21449" spans="3:3" s="9" customFormat="1" ht="21.95" customHeight="1" x14ac:dyDescent="0.15"/>
    <row r="21450" spans="3:3" s="9" customFormat="1" ht="21.95" customHeight="1" x14ac:dyDescent="0.15"/>
    <row r="21451" spans="3:3" s="9" customFormat="1" ht="21.95" customHeight="1" x14ac:dyDescent="0.15"/>
    <row r="21452" spans="3:3" s="9" customFormat="1" ht="21.95" customHeight="1" x14ac:dyDescent="0.15"/>
    <row r="21453" spans="3:3" s="8" customFormat="1" ht="21.95" customHeight="1" x14ac:dyDescent="0.15"/>
    <row r="21454" spans="3:3" s="8" customFormat="1" ht="21.95" customHeight="1" x14ac:dyDescent="0.15"/>
    <row r="21455" spans="3:3" s="8" customFormat="1" ht="21.95" customHeight="1" x14ac:dyDescent="0.15"/>
    <row r="21456" spans="3:3" s="8" customFormat="1" ht="21.95" customHeight="1" x14ac:dyDescent="0.15"/>
    <row r="21457" s="8" customFormat="1" ht="21.95" customHeight="1" x14ac:dyDescent="0.15"/>
    <row r="21458" s="8" customFormat="1" ht="21.95" customHeight="1" x14ac:dyDescent="0.15"/>
    <row r="21459" s="8" customFormat="1" ht="21.95" customHeight="1" x14ac:dyDescent="0.15"/>
    <row r="21460" s="8" customFormat="1" ht="21.95" customHeight="1" x14ac:dyDescent="0.15"/>
    <row r="21461" s="8" customFormat="1" ht="21.95" customHeight="1" x14ac:dyDescent="0.15"/>
    <row r="21462" s="8" customFormat="1" ht="21.95" customHeight="1" x14ac:dyDescent="0.15"/>
    <row r="21463" s="8" customFormat="1" ht="21.95" customHeight="1" x14ac:dyDescent="0.15"/>
    <row r="21464" s="8" customFormat="1" ht="32.1" customHeight="1" x14ac:dyDescent="0.15"/>
    <row r="21465" s="8" customFormat="1" ht="32.1" customHeight="1" x14ac:dyDescent="0.15"/>
    <row r="21466" s="8" customFormat="1" ht="32.1" customHeight="1" x14ac:dyDescent="0.15"/>
    <row r="21467" s="8" customFormat="1" ht="32.1" customHeight="1" x14ac:dyDescent="0.15"/>
    <row r="21468" s="8" customFormat="1" ht="32.1" customHeight="1" x14ac:dyDescent="0.15"/>
    <row r="21469" s="8" customFormat="1" ht="32.1" customHeight="1" x14ac:dyDescent="0.15"/>
    <row r="21470" s="9" customFormat="1" ht="32.1" customHeight="1" x14ac:dyDescent="0.15"/>
    <row r="21471" s="9" customFormat="1" ht="32.1" customHeight="1" x14ac:dyDescent="0.15"/>
    <row r="21472" s="9" customFormat="1" ht="32.1" customHeight="1" x14ac:dyDescent="0.15"/>
    <row r="21473" s="9" customFormat="1" ht="32.1" customHeight="1" x14ac:dyDescent="0.15"/>
    <row r="21474" s="9" customFormat="1" ht="21.95" customHeight="1" x14ac:dyDescent="0.15"/>
    <row r="21475" s="9" customFormat="1" ht="54" customHeight="1" x14ac:dyDescent="0.15"/>
    <row r="21476" s="9" customFormat="1" ht="21.95" customHeight="1" x14ac:dyDescent="0.15"/>
    <row r="21477" s="9" customFormat="1" ht="21.95" customHeight="1" x14ac:dyDescent="0.15"/>
    <row r="21478" s="9" customFormat="1" ht="21.95" customHeight="1" x14ac:dyDescent="0.15"/>
    <row r="21479" s="9" customFormat="1" ht="21.95" customHeight="1" x14ac:dyDescent="0.15"/>
    <row r="21480" s="9" customFormat="1" ht="21.95" customHeight="1" x14ac:dyDescent="0.15"/>
    <row r="21481" s="9" customFormat="1" ht="21.95" customHeight="1" x14ac:dyDescent="0.15"/>
    <row r="21482" s="9" customFormat="1" ht="21.95" customHeight="1" x14ac:dyDescent="0.15"/>
    <row r="21483" s="9" customFormat="1" ht="21.95" customHeight="1" x14ac:dyDescent="0.15"/>
    <row r="21484" s="9" customFormat="1" ht="21.95" customHeight="1" x14ac:dyDescent="0.15"/>
    <row r="21485" s="9" customFormat="1" ht="21.95" customHeight="1" x14ac:dyDescent="0.15"/>
    <row r="21486" s="9" customFormat="1" ht="21.95" customHeight="1" x14ac:dyDescent="0.15"/>
    <row r="21487" s="9" customFormat="1" ht="21.95" customHeight="1" x14ac:dyDescent="0.15"/>
    <row r="21488" s="9" customFormat="1" ht="21.95" customHeight="1" x14ac:dyDescent="0.15"/>
    <row r="21489" s="9" customFormat="1" ht="21.95" customHeight="1" x14ac:dyDescent="0.15"/>
    <row r="21490" s="9" customFormat="1" ht="21.95" customHeight="1" x14ac:dyDescent="0.15"/>
    <row r="21491" s="9" customFormat="1" ht="21.95" customHeight="1" x14ac:dyDescent="0.15"/>
    <row r="21492" s="9" customFormat="1" ht="21.95" customHeight="1" x14ac:dyDescent="0.15"/>
    <row r="21493" s="9" customFormat="1" ht="21.95" customHeight="1" x14ac:dyDescent="0.15"/>
    <row r="21494" s="9" customFormat="1" ht="21.95" customHeight="1" x14ac:dyDescent="0.15"/>
    <row r="21495" s="9" customFormat="1" ht="21.95" customHeight="1" x14ac:dyDescent="0.15"/>
    <row r="21496" s="9" customFormat="1" ht="21.95" customHeight="1" x14ac:dyDescent="0.15"/>
    <row r="21497" s="9" customFormat="1" ht="21.95" customHeight="1" x14ac:dyDescent="0.15"/>
    <row r="21498" s="9" customFormat="1" ht="21.95" customHeight="1" x14ac:dyDescent="0.15"/>
    <row r="21499" s="9" customFormat="1" ht="21.95" customHeight="1" x14ac:dyDescent="0.15"/>
    <row r="21500" s="9" customFormat="1" ht="21.95" customHeight="1" x14ac:dyDescent="0.15"/>
    <row r="21501" s="9" customFormat="1" ht="21.95" customHeight="1" x14ac:dyDescent="0.15"/>
    <row r="21502" s="9" customFormat="1" ht="21.95" customHeight="1" x14ac:dyDescent="0.15"/>
    <row r="21503" s="9" customFormat="1" ht="21.95" customHeight="1" x14ac:dyDescent="0.15"/>
    <row r="21504" s="9" customFormat="1" ht="21.95" customHeight="1" x14ac:dyDescent="0.15"/>
    <row r="21505" s="9" customFormat="1" ht="21.95" customHeight="1" x14ac:dyDescent="0.15"/>
    <row r="21506" s="9" customFormat="1" ht="21.95" customHeight="1" x14ac:dyDescent="0.15"/>
    <row r="21507" s="9" customFormat="1" ht="21.95" customHeight="1" x14ac:dyDescent="0.15"/>
    <row r="21508" s="9" customFormat="1" ht="21.95" customHeight="1" x14ac:dyDescent="0.15"/>
    <row r="21509" s="9" customFormat="1" ht="21.95" customHeight="1" x14ac:dyDescent="0.15"/>
    <row r="21510" s="9" customFormat="1" ht="21.95" customHeight="1" x14ac:dyDescent="0.15"/>
    <row r="21511" s="9" customFormat="1" ht="21.95" customHeight="1" x14ac:dyDescent="0.15"/>
    <row r="21512" s="9" customFormat="1" ht="21.95" customHeight="1" x14ac:dyDescent="0.15"/>
    <row r="21513" s="9" customFormat="1" ht="21.95" customHeight="1" x14ac:dyDescent="0.15"/>
    <row r="21514" s="9" customFormat="1" ht="21.95" customHeight="1" x14ac:dyDescent="0.15"/>
    <row r="21515" s="9" customFormat="1" ht="21.95" customHeight="1" x14ac:dyDescent="0.15"/>
    <row r="21516" s="9" customFormat="1" ht="21.95" customHeight="1" x14ac:dyDescent="0.15"/>
    <row r="21517" s="9" customFormat="1" ht="21.95" customHeight="1" x14ac:dyDescent="0.15"/>
    <row r="21518" s="9" customFormat="1" ht="21.95" customHeight="1" x14ac:dyDescent="0.15"/>
    <row r="21519" s="9" customFormat="1" ht="21.95" customHeight="1" x14ac:dyDescent="0.15"/>
    <row r="21520" s="9" customFormat="1" ht="21.95" customHeight="1" x14ac:dyDescent="0.15"/>
    <row r="21521" s="9" customFormat="1" ht="21.95" customHeight="1" x14ac:dyDescent="0.15"/>
    <row r="21522" s="9" customFormat="1" ht="21.95" customHeight="1" x14ac:dyDescent="0.15"/>
    <row r="21523" s="9" customFormat="1" ht="21.95" customHeight="1" x14ac:dyDescent="0.15"/>
    <row r="21524" s="9" customFormat="1" ht="21.95" customHeight="1" x14ac:dyDescent="0.15"/>
    <row r="21525" s="9" customFormat="1" ht="21.95" customHeight="1" x14ac:dyDescent="0.15"/>
    <row r="21526" s="9" customFormat="1" ht="35.1" customHeight="1" x14ac:dyDescent="0.15"/>
    <row r="21527" s="9" customFormat="1" ht="21.95" customHeight="1" x14ac:dyDescent="0.15"/>
    <row r="21528" s="9" customFormat="1" ht="21.95" customHeight="1" x14ac:dyDescent="0.15"/>
    <row r="21529" s="9" customFormat="1" ht="21.95" customHeight="1" x14ac:dyDescent="0.15"/>
    <row r="21530" s="9" customFormat="1" ht="21.95" customHeight="1" x14ac:dyDescent="0.15"/>
    <row r="21531" s="9" customFormat="1" ht="21.95" customHeight="1" x14ac:dyDescent="0.15"/>
    <row r="21532" s="9" customFormat="1" ht="21.95" customHeight="1" x14ac:dyDescent="0.15"/>
    <row r="21533" s="9" customFormat="1" ht="21.95" customHeight="1" x14ac:dyDescent="0.15"/>
    <row r="21534" s="9" customFormat="1" ht="21.95" customHeight="1" x14ac:dyDescent="0.15"/>
    <row r="21535" s="9" customFormat="1" ht="21.95" customHeight="1" x14ac:dyDescent="0.15"/>
    <row r="21536" s="9" customFormat="1" ht="21.95" customHeight="1" x14ac:dyDescent="0.15"/>
    <row r="21537" spans="3:3" s="9" customFormat="1" ht="21.95" customHeight="1" x14ac:dyDescent="0.15"/>
    <row r="21538" spans="3:3" s="9" customFormat="1" ht="21.95" customHeight="1" x14ac:dyDescent="0.15"/>
    <row r="21539" spans="3:3" s="9" customFormat="1" ht="21.95" customHeight="1" x14ac:dyDescent="0.15"/>
    <row r="21540" spans="3:3" s="9" customFormat="1" ht="21.95" customHeight="1" x14ac:dyDescent="0.15"/>
    <row r="21541" spans="3:3" s="9" customFormat="1" ht="21.95" customHeight="1" x14ac:dyDescent="0.15"/>
    <row r="21542" spans="3:3" s="9" customFormat="1" ht="21.95" customHeight="1" x14ac:dyDescent="0.15"/>
    <row r="21543" spans="3:3" s="9" customFormat="1" ht="21.95" customHeight="1" x14ac:dyDescent="0.15"/>
    <row r="21544" spans="3:3" s="9" customFormat="1" ht="21.95" customHeight="1" x14ac:dyDescent="0.15"/>
    <row r="21545" spans="3:3" s="9" customFormat="1" ht="21.95" customHeight="1" x14ac:dyDescent="0.15"/>
    <row r="21546" spans="3:3" s="9" customFormat="1" ht="21.95" customHeight="1" x14ac:dyDescent="0.15"/>
    <row r="21547" spans="3:3" s="9" customFormat="1" ht="21.95" customHeight="1" x14ac:dyDescent="0.15"/>
    <row r="21548" spans="3:3" s="9" customFormat="1" ht="21.95" customHeight="1" x14ac:dyDescent="0.15"/>
    <row r="21549" spans="3:3" s="9" customFormat="1" ht="21.95" customHeight="1" x14ac:dyDescent="0.15"/>
    <row r="21550" spans="3:3" s="8" customFormat="1" ht="21.95" customHeight="1" x14ac:dyDescent="0.15"/>
    <row r="21551" spans="3:3" s="8" customFormat="1" ht="21.95" customHeight="1" x14ac:dyDescent="0.15"/>
    <row r="21552" spans="3:3" s="8" customFormat="1" ht="21.95" customHeight="1" x14ac:dyDescent="0.15">
      <c r="C21552" s="101"/>
    </row>
    <row r="21553" spans="3:3" s="8" customFormat="1" ht="21.95" customHeight="1" x14ac:dyDescent="0.15">
      <c r="C21553" s="101"/>
    </row>
    <row r="21554" spans="3:3" s="8" customFormat="1" ht="21.95" customHeight="1" x14ac:dyDescent="0.15"/>
    <row r="21555" spans="3:3" s="8" customFormat="1" ht="21.95" customHeight="1" x14ac:dyDescent="0.15"/>
    <row r="21556" spans="3:3" s="8" customFormat="1" ht="21.95" customHeight="1" x14ac:dyDescent="0.15"/>
    <row r="21557" spans="3:3" s="8" customFormat="1" ht="21.95" customHeight="1" x14ac:dyDescent="0.15"/>
    <row r="21558" spans="3:3" s="8" customFormat="1" ht="21.95" customHeight="1" x14ac:dyDescent="0.15"/>
    <row r="21559" spans="3:3" s="8" customFormat="1" ht="21.95" customHeight="1" x14ac:dyDescent="0.15"/>
    <row r="21560" spans="3:3" s="8" customFormat="1" ht="21.95" customHeight="1" x14ac:dyDescent="0.15"/>
    <row r="21561" spans="3:3" s="9" customFormat="1" ht="21.95" customHeight="1" x14ac:dyDescent="0.15"/>
    <row r="21562" spans="3:3" s="9" customFormat="1" ht="21.95" customHeight="1" x14ac:dyDescent="0.15"/>
    <row r="21563" spans="3:3" s="9" customFormat="1" ht="21.95" customHeight="1" x14ac:dyDescent="0.15"/>
    <row r="21564" spans="3:3" s="9" customFormat="1" ht="21.95" customHeight="1" x14ac:dyDescent="0.15"/>
    <row r="21565" spans="3:3" s="8" customFormat="1" ht="21.95" customHeight="1" x14ac:dyDescent="0.15"/>
    <row r="21566" spans="3:3" s="8" customFormat="1" ht="21.95" customHeight="1" x14ac:dyDescent="0.15"/>
    <row r="21567" spans="3:3" s="8" customFormat="1" ht="21.95" customHeight="1" x14ac:dyDescent="0.15"/>
    <row r="21568" spans="3:3" s="8" customFormat="1" ht="21.95" customHeight="1" x14ac:dyDescent="0.15"/>
    <row r="21569" s="8" customFormat="1" ht="21.95" customHeight="1" x14ac:dyDescent="0.15"/>
    <row r="21570" s="8" customFormat="1" ht="21.95" customHeight="1" x14ac:dyDescent="0.15"/>
    <row r="21571" s="8" customFormat="1" ht="21.95" customHeight="1" x14ac:dyDescent="0.15"/>
    <row r="21572" s="8" customFormat="1" ht="21.95" customHeight="1" x14ac:dyDescent="0.15"/>
    <row r="21573" s="8" customFormat="1" ht="21.95" customHeight="1" x14ac:dyDescent="0.15"/>
    <row r="21574" s="8" customFormat="1" ht="21.95" customHeight="1" x14ac:dyDescent="0.15"/>
    <row r="21575" s="8" customFormat="1" ht="21.95" customHeight="1" x14ac:dyDescent="0.15"/>
    <row r="21576" s="8" customFormat="1" ht="32.1" customHeight="1" x14ac:dyDescent="0.15"/>
    <row r="21577" s="8" customFormat="1" ht="32.1" customHeight="1" x14ac:dyDescent="0.15"/>
    <row r="21578" s="8" customFormat="1" ht="32.1" customHeight="1" x14ac:dyDescent="0.15"/>
    <row r="21579" s="8" customFormat="1" ht="32.1" customHeight="1" x14ac:dyDescent="0.15"/>
    <row r="21580" s="8" customFormat="1" ht="32.1" customHeight="1" x14ac:dyDescent="0.15"/>
    <row r="21581" s="8" customFormat="1" ht="32.1" customHeight="1" x14ac:dyDescent="0.15"/>
    <row r="21582" s="9" customFormat="1" ht="32.1" customHeight="1" x14ac:dyDescent="0.15"/>
    <row r="21583" s="9" customFormat="1" ht="32.1" customHeight="1" x14ac:dyDescent="0.15"/>
    <row r="21584" s="9" customFormat="1" ht="32.1" customHeight="1" x14ac:dyDescent="0.15"/>
    <row r="21585" s="9" customFormat="1" ht="32.1" customHeight="1" x14ac:dyDescent="0.15"/>
    <row r="21586" s="9" customFormat="1" ht="21.95" customHeight="1" x14ac:dyDescent="0.15"/>
    <row r="21587" s="9" customFormat="1" ht="54" customHeight="1" x14ac:dyDescent="0.15"/>
    <row r="21588" s="9" customFormat="1" ht="21.95" customHeight="1" x14ac:dyDescent="0.15"/>
    <row r="21589" s="9" customFormat="1" ht="21.95" customHeight="1" x14ac:dyDescent="0.15"/>
    <row r="21590" s="9" customFormat="1" ht="21.95" customHeight="1" x14ac:dyDescent="0.15"/>
    <row r="21591" s="9" customFormat="1" ht="21.95" customHeight="1" x14ac:dyDescent="0.15"/>
    <row r="21592" s="9" customFormat="1" ht="21.95" customHeight="1" x14ac:dyDescent="0.15"/>
    <row r="21593" s="9" customFormat="1" ht="21.95" customHeight="1" x14ac:dyDescent="0.15"/>
    <row r="21594" s="9" customFormat="1" ht="21.95" customHeight="1" x14ac:dyDescent="0.15"/>
    <row r="21595" s="9" customFormat="1" ht="21.95" customHeight="1" x14ac:dyDescent="0.15"/>
    <row r="21596" s="9" customFormat="1" ht="21.95" customHeight="1" x14ac:dyDescent="0.15"/>
    <row r="21597" s="9" customFormat="1" ht="21.95" customHeight="1" x14ac:dyDescent="0.15"/>
    <row r="21598" s="9" customFormat="1" ht="21.95" customHeight="1" x14ac:dyDescent="0.15"/>
    <row r="21599" s="9" customFormat="1" ht="21.95" customHeight="1" x14ac:dyDescent="0.15"/>
    <row r="21600" s="9" customFormat="1" ht="21.95" customHeight="1" x14ac:dyDescent="0.15"/>
    <row r="21601" s="9" customFormat="1" ht="21.95" customHeight="1" x14ac:dyDescent="0.15"/>
    <row r="21602" s="9" customFormat="1" ht="21.95" customHeight="1" x14ac:dyDescent="0.15"/>
    <row r="21603" s="9" customFormat="1" ht="21.95" customHeight="1" x14ac:dyDescent="0.15"/>
    <row r="21604" s="9" customFormat="1" ht="21.95" customHeight="1" x14ac:dyDescent="0.15"/>
    <row r="21605" s="9" customFormat="1" ht="21.95" customHeight="1" x14ac:dyDescent="0.15"/>
    <row r="21606" s="9" customFormat="1" ht="21.95" customHeight="1" x14ac:dyDescent="0.15"/>
    <row r="21607" s="9" customFormat="1" ht="21.95" customHeight="1" x14ac:dyDescent="0.15"/>
    <row r="21608" s="9" customFormat="1" ht="21.95" customHeight="1" x14ac:dyDescent="0.15"/>
    <row r="21609" s="9" customFormat="1" ht="21.95" customHeight="1" x14ac:dyDescent="0.15"/>
    <row r="21610" s="9" customFormat="1" ht="21.95" customHeight="1" x14ac:dyDescent="0.15"/>
    <row r="21611" s="9" customFormat="1" ht="21.95" customHeight="1" x14ac:dyDescent="0.15"/>
    <row r="21612" s="9" customFormat="1" ht="21.95" customHeight="1" x14ac:dyDescent="0.15"/>
    <row r="21613" s="9" customFormat="1" ht="21.95" customHeight="1" x14ac:dyDescent="0.15"/>
    <row r="21614" s="9" customFormat="1" ht="21.95" customHeight="1" x14ac:dyDescent="0.15"/>
    <row r="21615" s="9" customFormat="1" ht="21.95" customHeight="1" x14ac:dyDescent="0.15"/>
    <row r="21616" s="9" customFormat="1" ht="21.95" customHeight="1" x14ac:dyDescent="0.15"/>
    <row r="21617" s="9" customFormat="1" ht="21.95" customHeight="1" x14ac:dyDescent="0.15"/>
    <row r="21618" s="9" customFormat="1" ht="21.95" customHeight="1" x14ac:dyDescent="0.15"/>
    <row r="21619" s="9" customFormat="1" ht="21.95" customHeight="1" x14ac:dyDescent="0.15"/>
    <row r="21620" s="9" customFormat="1" ht="21.95" customHeight="1" x14ac:dyDescent="0.15"/>
    <row r="21621" s="9" customFormat="1" ht="21.95" customHeight="1" x14ac:dyDescent="0.15"/>
    <row r="21622" s="9" customFormat="1" ht="21.95" customHeight="1" x14ac:dyDescent="0.15"/>
    <row r="21623" s="9" customFormat="1" ht="21.95" customHeight="1" x14ac:dyDescent="0.15"/>
    <row r="21624" s="9" customFormat="1" ht="21.95" customHeight="1" x14ac:dyDescent="0.15"/>
    <row r="21625" s="9" customFormat="1" ht="21.95" customHeight="1" x14ac:dyDescent="0.15"/>
    <row r="21626" s="9" customFormat="1" ht="21.95" customHeight="1" x14ac:dyDescent="0.15"/>
    <row r="21627" s="9" customFormat="1" ht="21.95" customHeight="1" x14ac:dyDescent="0.15"/>
    <row r="21628" s="9" customFormat="1" ht="21.95" customHeight="1" x14ac:dyDescent="0.15"/>
    <row r="21629" s="9" customFormat="1" ht="21.95" customHeight="1" x14ac:dyDescent="0.15"/>
    <row r="21630" s="9" customFormat="1" ht="21.95" customHeight="1" x14ac:dyDescent="0.15"/>
    <row r="21631" s="9" customFormat="1" ht="21.95" customHeight="1" x14ac:dyDescent="0.15"/>
    <row r="21632" s="9" customFormat="1" ht="21.95" customHeight="1" x14ac:dyDescent="0.15"/>
    <row r="21633" s="9" customFormat="1" ht="21.95" customHeight="1" x14ac:dyDescent="0.15"/>
    <row r="21634" s="9" customFormat="1" ht="21.95" customHeight="1" x14ac:dyDescent="0.15"/>
    <row r="21635" s="9" customFormat="1" ht="21.95" customHeight="1" x14ac:dyDescent="0.15"/>
    <row r="21636" s="9" customFormat="1" ht="21.95" customHeight="1" x14ac:dyDescent="0.15"/>
    <row r="21637" s="9" customFormat="1" ht="21.95" customHeight="1" x14ac:dyDescent="0.15"/>
    <row r="21638" s="9" customFormat="1" ht="35.1" customHeight="1" x14ac:dyDescent="0.15"/>
    <row r="21639" s="9" customFormat="1" ht="21.95" customHeight="1" x14ac:dyDescent="0.15"/>
    <row r="21640" s="9" customFormat="1" ht="21.95" customHeight="1" x14ac:dyDescent="0.15"/>
    <row r="21641" s="9" customFormat="1" ht="21.95" customHeight="1" x14ac:dyDescent="0.15"/>
    <row r="21642" s="9" customFormat="1" ht="21.95" customHeight="1" x14ac:dyDescent="0.15"/>
    <row r="21643" s="9" customFormat="1" ht="21.95" customHeight="1" x14ac:dyDescent="0.15"/>
    <row r="21644" s="9" customFormat="1" ht="21.95" customHeight="1" x14ac:dyDescent="0.15"/>
    <row r="21645" s="9" customFormat="1" ht="21.95" customHeight="1" x14ac:dyDescent="0.15"/>
    <row r="21646" s="9" customFormat="1" ht="21.95" customHeight="1" x14ac:dyDescent="0.15"/>
    <row r="21647" s="9" customFormat="1" ht="21.95" customHeight="1" x14ac:dyDescent="0.15"/>
    <row r="21648" s="9" customFormat="1" ht="21.95" customHeight="1" x14ac:dyDescent="0.15"/>
    <row r="21649" spans="3:3" s="9" customFormat="1" ht="21.95" customHeight="1" x14ac:dyDescent="0.15"/>
    <row r="21650" spans="3:3" s="9" customFormat="1" ht="21.95" customHeight="1" x14ac:dyDescent="0.15"/>
    <row r="21651" spans="3:3" s="9" customFormat="1" ht="21.95" customHeight="1" x14ac:dyDescent="0.15"/>
    <row r="21652" spans="3:3" s="9" customFormat="1" ht="21.95" customHeight="1" x14ac:dyDescent="0.15"/>
    <row r="21653" spans="3:3" s="9" customFormat="1" ht="21.95" customHeight="1" x14ac:dyDescent="0.15"/>
    <row r="21654" spans="3:3" s="9" customFormat="1" ht="21.95" customHeight="1" x14ac:dyDescent="0.15"/>
    <row r="21655" spans="3:3" s="9" customFormat="1" ht="21.95" customHeight="1" x14ac:dyDescent="0.15"/>
    <row r="21656" spans="3:3" s="9" customFormat="1" ht="21.95" customHeight="1" x14ac:dyDescent="0.15"/>
    <row r="21657" spans="3:3" s="9" customFormat="1" ht="21.95" customHeight="1" x14ac:dyDescent="0.15"/>
    <row r="21658" spans="3:3" s="9" customFormat="1" ht="21.95" customHeight="1" x14ac:dyDescent="0.15"/>
    <row r="21659" spans="3:3" s="9" customFormat="1" ht="21.95" customHeight="1" x14ac:dyDescent="0.15"/>
    <row r="21660" spans="3:3" s="9" customFormat="1" ht="21.95" customHeight="1" x14ac:dyDescent="0.15"/>
    <row r="21661" spans="3:3" s="9" customFormat="1" ht="21.95" customHeight="1" x14ac:dyDescent="0.15"/>
    <row r="21662" spans="3:3" s="8" customFormat="1" ht="21.95" customHeight="1" x14ac:dyDescent="0.15"/>
    <row r="21663" spans="3:3" s="8" customFormat="1" ht="21.95" customHeight="1" x14ac:dyDescent="0.15"/>
    <row r="21664" spans="3:3" s="8" customFormat="1" ht="21.95" customHeight="1" x14ac:dyDescent="0.15">
      <c r="C21664" s="101"/>
    </row>
    <row r="21665" spans="3:3" s="8" customFormat="1" ht="21.95" customHeight="1" x14ac:dyDescent="0.15">
      <c r="C21665" s="101"/>
    </row>
    <row r="21666" spans="3:3" s="8" customFormat="1" ht="21.95" customHeight="1" x14ac:dyDescent="0.15"/>
    <row r="21667" spans="3:3" s="8" customFormat="1" ht="21.95" customHeight="1" x14ac:dyDescent="0.15"/>
    <row r="21668" spans="3:3" s="8" customFormat="1" ht="21.95" customHeight="1" x14ac:dyDescent="0.15"/>
    <row r="21669" spans="3:3" s="8" customFormat="1" ht="21.95" customHeight="1" x14ac:dyDescent="0.15"/>
    <row r="21670" spans="3:3" s="8" customFormat="1" ht="21.95" customHeight="1" x14ac:dyDescent="0.15"/>
    <row r="21671" spans="3:3" s="8" customFormat="1" ht="21.95" customHeight="1" x14ac:dyDescent="0.15"/>
    <row r="21672" spans="3:3" s="8" customFormat="1" ht="21.95" customHeight="1" x14ac:dyDescent="0.15"/>
    <row r="21673" spans="3:3" s="9" customFormat="1" ht="21.95" customHeight="1" x14ac:dyDescent="0.15"/>
    <row r="21674" spans="3:3" s="9" customFormat="1" ht="21.95" customHeight="1" x14ac:dyDescent="0.15"/>
    <row r="21675" spans="3:3" s="9" customFormat="1" ht="21.95" customHeight="1" x14ac:dyDescent="0.15"/>
    <row r="21676" spans="3:3" s="9" customFormat="1" ht="21.95" customHeight="1" x14ac:dyDescent="0.15"/>
    <row r="21677" spans="3:3" s="8" customFormat="1" ht="21.95" customHeight="1" x14ac:dyDescent="0.15"/>
    <row r="21678" spans="3:3" s="8" customFormat="1" ht="21.95" customHeight="1" x14ac:dyDescent="0.15"/>
    <row r="21679" spans="3:3" s="8" customFormat="1" ht="21.95" customHeight="1" x14ac:dyDescent="0.15"/>
    <row r="21680" spans="3:3" s="8" customFormat="1" ht="21.95" customHeight="1" x14ac:dyDescent="0.15"/>
    <row r="21681" s="8" customFormat="1" ht="21.95" customHeight="1" x14ac:dyDescent="0.15"/>
    <row r="21682" s="8" customFormat="1" ht="21.95" customHeight="1" x14ac:dyDescent="0.15"/>
    <row r="21683" s="8" customFormat="1" ht="21.95" customHeight="1" x14ac:dyDescent="0.15"/>
    <row r="21684" s="8" customFormat="1" ht="21.95" customHeight="1" x14ac:dyDescent="0.15"/>
    <row r="21685" s="8" customFormat="1" ht="21.95" customHeight="1" x14ac:dyDescent="0.15"/>
    <row r="21686" s="8" customFormat="1" ht="21.95" customHeight="1" x14ac:dyDescent="0.15"/>
    <row r="21687" s="8" customFormat="1" ht="21.95" customHeight="1" x14ac:dyDescent="0.15"/>
    <row r="21688" s="8" customFormat="1" ht="32.1" customHeight="1" x14ac:dyDescent="0.15"/>
    <row r="21689" s="8" customFormat="1" ht="32.1" customHeight="1" x14ac:dyDescent="0.15"/>
    <row r="21690" s="8" customFormat="1" ht="32.1" customHeight="1" x14ac:dyDescent="0.15"/>
    <row r="21691" s="8" customFormat="1" ht="32.1" customHeight="1" x14ac:dyDescent="0.15"/>
    <row r="21692" s="8" customFormat="1" ht="32.1" customHeight="1" x14ac:dyDescent="0.15"/>
    <row r="21693" s="8" customFormat="1" ht="32.1" customHeight="1" x14ac:dyDescent="0.15"/>
    <row r="21694" s="9" customFormat="1" ht="32.1" customHeight="1" x14ac:dyDescent="0.15"/>
    <row r="21695" s="9" customFormat="1" ht="32.1" customHeight="1" x14ac:dyDescent="0.15"/>
    <row r="21696" s="9" customFormat="1" ht="32.1" customHeight="1" x14ac:dyDescent="0.15"/>
    <row r="21697" s="9" customFormat="1" ht="32.1" customHeight="1" x14ac:dyDescent="0.15"/>
    <row r="21698" s="9" customFormat="1" ht="21.95" customHeight="1" x14ac:dyDescent="0.15"/>
    <row r="21699" s="9" customFormat="1" ht="54" customHeight="1" x14ac:dyDescent="0.15"/>
    <row r="21700" s="9" customFormat="1" ht="21.95" customHeight="1" x14ac:dyDescent="0.15"/>
    <row r="21701" s="9" customFormat="1" ht="21.95" customHeight="1" x14ac:dyDescent="0.15"/>
    <row r="21702" s="9" customFormat="1" ht="21.95" customHeight="1" x14ac:dyDescent="0.15"/>
    <row r="21703" s="9" customFormat="1" ht="21.95" customHeight="1" x14ac:dyDescent="0.15"/>
    <row r="21704" s="9" customFormat="1" ht="21.95" customHeight="1" x14ac:dyDescent="0.15"/>
    <row r="21705" s="9" customFormat="1" ht="21.95" customHeight="1" x14ac:dyDescent="0.15"/>
    <row r="21706" s="9" customFormat="1" ht="21.95" customHeight="1" x14ac:dyDescent="0.15"/>
    <row r="21707" s="9" customFormat="1" ht="21.95" customHeight="1" x14ac:dyDescent="0.15"/>
    <row r="21708" s="9" customFormat="1" ht="21.95" customHeight="1" x14ac:dyDescent="0.15"/>
    <row r="21709" s="9" customFormat="1" ht="21.95" customHeight="1" x14ac:dyDescent="0.15"/>
    <row r="21710" s="9" customFormat="1" ht="21.95" customHeight="1" x14ac:dyDescent="0.15"/>
    <row r="21711" s="9" customFormat="1" ht="21.95" customHeight="1" x14ac:dyDescent="0.15"/>
    <row r="21712" s="9" customFormat="1" ht="21.95" customHeight="1" x14ac:dyDescent="0.15"/>
    <row r="21713" s="9" customFormat="1" ht="21.95" customHeight="1" x14ac:dyDescent="0.15"/>
    <row r="21714" s="9" customFormat="1" ht="21.95" customHeight="1" x14ac:dyDescent="0.15"/>
    <row r="21715" s="9" customFormat="1" ht="21.95" customHeight="1" x14ac:dyDescent="0.15"/>
    <row r="21716" s="9" customFormat="1" ht="21.95" customHeight="1" x14ac:dyDescent="0.15"/>
    <row r="21717" s="9" customFormat="1" ht="21.95" customHeight="1" x14ac:dyDescent="0.15"/>
    <row r="21718" s="9" customFormat="1" ht="21.95" customHeight="1" x14ac:dyDescent="0.15"/>
    <row r="21719" s="9" customFormat="1" ht="21.95" customHeight="1" x14ac:dyDescent="0.15"/>
    <row r="21720" s="9" customFormat="1" ht="21.95" customHeight="1" x14ac:dyDescent="0.15"/>
    <row r="21721" s="9" customFormat="1" ht="21.95" customHeight="1" x14ac:dyDescent="0.15"/>
    <row r="21722" s="9" customFormat="1" ht="21.95" customHeight="1" x14ac:dyDescent="0.15"/>
    <row r="21723" s="9" customFormat="1" ht="21.95" customHeight="1" x14ac:dyDescent="0.15"/>
    <row r="21724" s="9" customFormat="1" ht="21.95" customHeight="1" x14ac:dyDescent="0.15"/>
    <row r="21725" s="9" customFormat="1" ht="21.95" customHeight="1" x14ac:dyDescent="0.15"/>
    <row r="21726" s="9" customFormat="1" ht="21.95" customHeight="1" x14ac:dyDescent="0.15"/>
    <row r="21727" s="9" customFormat="1" ht="21.95" customHeight="1" x14ac:dyDescent="0.15"/>
    <row r="21728" s="9" customFormat="1" ht="21.95" customHeight="1" x14ac:dyDescent="0.15"/>
    <row r="21729" s="9" customFormat="1" ht="21.95" customHeight="1" x14ac:dyDescent="0.15"/>
    <row r="21730" s="9" customFormat="1" ht="21.95" customHeight="1" x14ac:dyDescent="0.15"/>
    <row r="21731" s="9" customFormat="1" ht="21.95" customHeight="1" x14ac:dyDescent="0.15"/>
    <row r="21732" s="9" customFormat="1" ht="21.95" customHeight="1" x14ac:dyDescent="0.15"/>
    <row r="21733" s="9" customFormat="1" ht="21.95" customHeight="1" x14ac:dyDescent="0.15"/>
    <row r="21734" s="9" customFormat="1" ht="21.95" customHeight="1" x14ac:dyDescent="0.15"/>
    <row r="21735" s="9" customFormat="1" ht="21.95" customHeight="1" x14ac:dyDescent="0.15"/>
    <row r="21736" s="9" customFormat="1" ht="21.95" customHeight="1" x14ac:dyDescent="0.15"/>
    <row r="21737" s="9" customFormat="1" ht="21.95" customHeight="1" x14ac:dyDescent="0.15"/>
    <row r="21738" s="9" customFormat="1" ht="21.95" customHeight="1" x14ac:dyDescent="0.15"/>
    <row r="21739" s="9" customFormat="1" ht="21.95" customHeight="1" x14ac:dyDescent="0.15"/>
    <row r="21740" s="9" customFormat="1" ht="21.95" customHeight="1" x14ac:dyDescent="0.15"/>
    <row r="21741" s="9" customFormat="1" ht="21.95" customHeight="1" x14ac:dyDescent="0.15"/>
    <row r="21742" s="9" customFormat="1" ht="21.95" customHeight="1" x14ac:dyDescent="0.15"/>
    <row r="21743" s="9" customFormat="1" ht="21.95" customHeight="1" x14ac:dyDescent="0.15"/>
    <row r="21744" s="9" customFormat="1" ht="21.95" customHeight="1" x14ac:dyDescent="0.15"/>
    <row r="21745" s="9" customFormat="1" ht="21.95" customHeight="1" x14ac:dyDescent="0.15"/>
    <row r="21746" s="9" customFormat="1" ht="21.95" customHeight="1" x14ac:dyDescent="0.15"/>
    <row r="21747" s="9" customFormat="1" ht="21.95" customHeight="1" x14ac:dyDescent="0.15"/>
    <row r="21748" s="9" customFormat="1" ht="21.95" customHeight="1" x14ac:dyDescent="0.15"/>
    <row r="21749" s="9" customFormat="1" ht="21.95" customHeight="1" x14ac:dyDescent="0.15"/>
    <row r="21750" s="9" customFormat="1" ht="35.1" customHeight="1" x14ac:dyDescent="0.15"/>
    <row r="21751" s="9" customFormat="1" ht="21.95" customHeight="1" x14ac:dyDescent="0.15"/>
    <row r="21752" s="9" customFormat="1" ht="21.95" customHeight="1" x14ac:dyDescent="0.15"/>
    <row r="21753" s="9" customFormat="1" ht="21.95" customHeight="1" x14ac:dyDescent="0.15"/>
    <row r="21754" s="9" customFormat="1" ht="21.95" customHeight="1" x14ac:dyDescent="0.15"/>
    <row r="21755" s="9" customFormat="1" ht="21.95" customHeight="1" x14ac:dyDescent="0.15"/>
    <row r="21756" s="9" customFormat="1" ht="21.95" customHeight="1" x14ac:dyDescent="0.15"/>
    <row r="21757" s="9" customFormat="1" ht="21.95" customHeight="1" x14ac:dyDescent="0.15"/>
    <row r="21758" s="9" customFormat="1" ht="21.95" customHeight="1" x14ac:dyDescent="0.15"/>
    <row r="21759" s="9" customFormat="1" ht="21.95" customHeight="1" x14ac:dyDescent="0.15"/>
    <row r="21760" s="9" customFormat="1" ht="21.95" customHeight="1" x14ac:dyDescent="0.15"/>
    <row r="21761" spans="3:3" s="9" customFormat="1" ht="21.95" customHeight="1" x14ac:dyDescent="0.15"/>
    <row r="21762" spans="3:3" s="9" customFormat="1" ht="21.95" customHeight="1" x14ac:dyDescent="0.15"/>
    <row r="21763" spans="3:3" s="9" customFormat="1" ht="21.95" customHeight="1" x14ac:dyDescent="0.15"/>
    <row r="21764" spans="3:3" s="9" customFormat="1" ht="21.95" customHeight="1" x14ac:dyDescent="0.15"/>
    <row r="21765" spans="3:3" s="9" customFormat="1" ht="21.95" customHeight="1" x14ac:dyDescent="0.15"/>
    <row r="21766" spans="3:3" s="9" customFormat="1" ht="21.95" customHeight="1" x14ac:dyDescent="0.15"/>
    <row r="21767" spans="3:3" s="9" customFormat="1" ht="21.95" customHeight="1" x14ac:dyDescent="0.15"/>
    <row r="21768" spans="3:3" s="9" customFormat="1" ht="21.95" customHeight="1" x14ac:dyDescent="0.15"/>
    <row r="21769" spans="3:3" s="9" customFormat="1" ht="21.95" customHeight="1" x14ac:dyDescent="0.15"/>
    <row r="21770" spans="3:3" s="9" customFormat="1" ht="21.95" customHeight="1" x14ac:dyDescent="0.15"/>
    <row r="21771" spans="3:3" s="9" customFormat="1" ht="21.95" customHeight="1" x14ac:dyDescent="0.15"/>
    <row r="21772" spans="3:3" s="9" customFormat="1" ht="21.95" customHeight="1" x14ac:dyDescent="0.15"/>
    <row r="21773" spans="3:3" s="9" customFormat="1" ht="21.95" customHeight="1" x14ac:dyDescent="0.15"/>
    <row r="21774" spans="3:3" s="8" customFormat="1" ht="21.95" customHeight="1" x14ac:dyDescent="0.15"/>
    <row r="21775" spans="3:3" s="8" customFormat="1" ht="21.95" customHeight="1" x14ac:dyDescent="0.15"/>
    <row r="21776" spans="3:3" s="8" customFormat="1" ht="21.95" customHeight="1" x14ac:dyDescent="0.15">
      <c r="C21776" s="101"/>
    </row>
    <row r="21777" spans="3:3" s="8" customFormat="1" ht="21.95" customHeight="1" x14ac:dyDescent="0.15">
      <c r="C21777" s="101"/>
    </row>
    <row r="21778" spans="3:3" s="8" customFormat="1" ht="21.95" customHeight="1" x14ac:dyDescent="0.15"/>
    <row r="21779" spans="3:3" s="8" customFormat="1" ht="21.95" customHeight="1" x14ac:dyDescent="0.15"/>
    <row r="21780" spans="3:3" s="8" customFormat="1" ht="21.95" customHeight="1" x14ac:dyDescent="0.15"/>
    <row r="21781" spans="3:3" s="8" customFormat="1" ht="21.95" customHeight="1" x14ac:dyDescent="0.15"/>
    <row r="21782" spans="3:3" s="8" customFormat="1" ht="21.95" customHeight="1" x14ac:dyDescent="0.15"/>
    <row r="21783" spans="3:3" s="8" customFormat="1" ht="21.95" customHeight="1" x14ac:dyDescent="0.15"/>
    <row r="21784" spans="3:3" s="8" customFormat="1" ht="21.95" customHeight="1" x14ac:dyDescent="0.15"/>
    <row r="21785" spans="3:3" s="9" customFormat="1" ht="21.95" customHeight="1" x14ac:dyDescent="0.15"/>
    <row r="21786" spans="3:3" s="9" customFormat="1" ht="21.95" customHeight="1" x14ac:dyDescent="0.15"/>
    <row r="21787" spans="3:3" s="9" customFormat="1" ht="21.95" customHeight="1" x14ac:dyDescent="0.15"/>
    <row r="21788" spans="3:3" s="9" customFormat="1" ht="21.95" customHeight="1" x14ac:dyDescent="0.15"/>
    <row r="21789" spans="3:3" s="8" customFormat="1" ht="21.95" customHeight="1" x14ac:dyDescent="0.15"/>
    <row r="21790" spans="3:3" s="8" customFormat="1" ht="21.95" customHeight="1" x14ac:dyDescent="0.15"/>
    <row r="21791" spans="3:3" s="8" customFormat="1" ht="21.95" customHeight="1" x14ac:dyDescent="0.15"/>
    <row r="21792" spans="3:3" s="8" customFormat="1" ht="21.95" customHeight="1" x14ac:dyDescent="0.15"/>
    <row r="21793" s="8" customFormat="1" ht="21.95" customHeight="1" x14ac:dyDescent="0.15"/>
    <row r="21794" s="8" customFormat="1" ht="21.95" customHeight="1" x14ac:dyDescent="0.15"/>
    <row r="21795" s="8" customFormat="1" ht="21.95" customHeight="1" x14ac:dyDescent="0.15"/>
    <row r="21796" s="8" customFormat="1" ht="21.95" customHeight="1" x14ac:dyDescent="0.15"/>
    <row r="21797" s="8" customFormat="1" ht="21.95" customHeight="1" x14ac:dyDescent="0.15"/>
    <row r="21798" s="8" customFormat="1" ht="21.95" customHeight="1" x14ac:dyDescent="0.15"/>
    <row r="21799" s="8" customFormat="1" ht="21.95" customHeight="1" x14ac:dyDescent="0.15"/>
    <row r="21800" s="8" customFormat="1" ht="32.1" customHeight="1" x14ac:dyDescent="0.15"/>
    <row r="21801" s="8" customFormat="1" ht="32.1" customHeight="1" x14ac:dyDescent="0.15"/>
    <row r="21802" s="8" customFormat="1" ht="32.1" customHeight="1" x14ac:dyDescent="0.15"/>
    <row r="21803" s="8" customFormat="1" ht="32.1" customHeight="1" x14ac:dyDescent="0.15"/>
    <row r="21804" s="8" customFormat="1" ht="32.1" customHeight="1" x14ac:dyDescent="0.15"/>
    <row r="21805" s="8" customFormat="1" ht="32.1" customHeight="1" x14ac:dyDescent="0.15"/>
    <row r="21806" s="9" customFormat="1" ht="32.1" customHeight="1" x14ac:dyDescent="0.15"/>
    <row r="21807" s="9" customFormat="1" ht="32.1" customHeight="1" x14ac:dyDescent="0.15"/>
    <row r="21808" s="9" customFormat="1" ht="32.1" customHeight="1" x14ac:dyDescent="0.15"/>
    <row r="21809" s="9" customFormat="1" ht="32.1" customHeight="1" x14ac:dyDescent="0.15"/>
    <row r="21810" s="9" customFormat="1" ht="21.95" customHeight="1" x14ac:dyDescent="0.15"/>
    <row r="21811" s="9" customFormat="1" ht="54" customHeight="1" x14ac:dyDescent="0.15"/>
    <row r="21812" s="9" customFormat="1" ht="21.95" customHeight="1" x14ac:dyDescent="0.15"/>
    <row r="21813" s="9" customFormat="1" ht="21.95" customHeight="1" x14ac:dyDescent="0.15"/>
    <row r="21814" s="9" customFormat="1" ht="21.95" customHeight="1" x14ac:dyDescent="0.15"/>
    <row r="21815" s="9" customFormat="1" ht="21.95" customHeight="1" x14ac:dyDescent="0.15"/>
    <row r="21816" s="9" customFormat="1" ht="21.95" customHeight="1" x14ac:dyDescent="0.15"/>
    <row r="21817" s="9" customFormat="1" ht="21.95" customHeight="1" x14ac:dyDescent="0.15"/>
    <row r="21818" s="9" customFormat="1" ht="21.95" customHeight="1" x14ac:dyDescent="0.15"/>
    <row r="21819" s="9" customFormat="1" ht="21.95" customHeight="1" x14ac:dyDescent="0.15"/>
    <row r="21820" s="9" customFormat="1" ht="21.95" customHeight="1" x14ac:dyDescent="0.15"/>
    <row r="21821" s="9" customFormat="1" ht="21.95" customHeight="1" x14ac:dyDescent="0.15"/>
    <row r="21822" s="9" customFormat="1" ht="21.95" customHeight="1" x14ac:dyDescent="0.15"/>
    <row r="21823" s="9" customFormat="1" ht="21.95" customHeight="1" x14ac:dyDescent="0.15"/>
    <row r="21824" s="9" customFormat="1" ht="21.95" customHeight="1" x14ac:dyDescent="0.15"/>
    <row r="21825" s="9" customFormat="1" ht="21.95" customHeight="1" x14ac:dyDescent="0.15"/>
    <row r="21826" s="9" customFormat="1" ht="21.95" customHeight="1" x14ac:dyDescent="0.15"/>
    <row r="21827" s="9" customFormat="1" ht="21.95" customHeight="1" x14ac:dyDescent="0.15"/>
    <row r="21828" s="9" customFormat="1" ht="21.95" customHeight="1" x14ac:dyDescent="0.15"/>
    <row r="21829" s="9" customFormat="1" ht="21.95" customHeight="1" x14ac:dyDescent="0.15"/>
    <row r="21830" s="9" customFormat="1" ht="21.95" customHeight="1" x14ac:dyDescent="0.15"/>
    <row r="21831" s="9" customFormat="1" ht="21.95" customHeight="1" x14ac:dyDescent="0.15"/>
    <row r="21832" s="9" customFormat="1" ht="21.95" customHeight="1" x14ac:dyDescent="0.15"/>
    <row r="21833" s="9" customFormat="1" ht="21.95" customHeight="1" x14ac:dyDescent="0.15"/>
    <row r="21834" s="9" customFormat="1" ht="21.95" customHeight="1" x14ac:dyDescent="0.15"/>
    <row r="21835" s="9" customFormat="1" ht="21.95" customHeight="1" x14ac:dyDescent="0.15"/>
    <row r="21836" s="9" customFormat="1" ht="21.95" customHeight="1" x14ac:dyDescent="0.15"/>
    <row r="21837" s="9" customFormat="1" ht="21.95" customHeight="1" x14ac:dyDescent="0.15"/>
    <row r="21838" s="9" customFormat="1" ht="21.95" customHeight="1" x14ac:dyDescent="0.15"/>
    <row r="21839" s="9" customFormat="1" ht="21.95" customHeight="1" x14ac:dyDescent="0.15"/>
    <row r="21840" s="9" customFormat="1" ht="21.95" customHeight="1" x14ac:dyDescent="0.15"/>
    <row r="21841" s="9" customFormat="1" ht="21.95" customHeight="1" x14ac:dyDescent="0.15"/>
    <row r="21842" s="9" customFormat="1" ht="21.95" customHeight="1" x14ac:dyDescent="0.15"/>
    <row r="21843" s="9" customFormat="1" ht="21.95" customHeight="1" x14ac:dyDescent="0.15"/>
    <row r="21844" s="9" customFormat="1" ht="21.95" customHeight="1" x14ac:dyDescent="0.15"/>
    <row r="21845" s="9" customFormat="1" ht="21.95" customHeight="1" x14ac:dyDescent="0.15"/>
    <row r="21846" s="9" customFormat="1" ht="21.95" customHeight="1" x14ac:dyDescent="0.15"/>
    <row r="21847" s="9" customFormat="1" ht="21.95" customHeight="1" x14ac:dyDescent="0.15"/>
    <row r="21848" s="9" customFormat="1" ht="21.95" customHeight="1" x14ac:dyDescent="0.15"/>
    <row r="21849" s="9" customFormat="1" ht="21.95" customHeight="1" x14ac:dyDescent="0.15"/>
    <row r="21850" s="9" customFormat="1" ht="21.95" customHeight="1" x14ac:dyDescent="0.15"/>
    <row r="21851" s="9" customFormat="1" ht="21.95" customHeight="1" x14ac:dyDescent="0.15"/>
    <row r="21852" s="9" customFormat="1" ht="21.95" customHeight="1" x14ac:dyDescent="0.15"/>
    <row r="21853" s="9" customFormat="1" ht="21.95" customHeight="1" x14ac:dyDescent="0.15"/>
    <row r="21854" s="9" customFormat="1" ht="21.95" customHeight="1" x14ac:dyDescent="0.15"/>
    <row r="21855" s="9" customFormat="1" ht="21.95" customHeight="1" x14ac:dyDescent="0.15"/>
    <row r="21856" s="9" customFormat="1" ht="21.95" customHeight="1" x14ac:dyDescent="0.15"/>
    <row r="21857" s="9" customFormat="1" ht="21.95" customHeight="1" x14ac:dyDescent="0.15"/>
    <row r="21858" s="9" customFormat="1" ht="21.95" customHeight="1" x14ac:dyDescent="0.15"/>
    <row r="21859" s="9" customFormat="1" ht="21.95" customHeight="1" x14ac:dyDescent="0.15"/>
    <row r="21860" s="9" customFormat="1" ht="21.95" customHeight="1" x14ac:dyDescent="0.15"/>
    <row r="21861" s="9" customFormat="1" ht="21.95" customHeight="1" x14ac:dyDescent="0.15"/>
    <row r="21862" s="9" customFormat="1" ht="35.1" customHeight="1" x14ac:dyDescent="0.15"/>
    <row r="21863" s="9" customFormat="1" ht="21.95" customHeight="1" x14ac:dyDescent="0.15"/>
    <row r="21864" s="9" customFormat="1" ht="21.95" customHeight="1" x14ac:dyDescent="0.15"/>
    <row r="21865" s="9" customFormat="1" ht="21.95" customHeight="1" x14ac:dyDescent="0.15"/>
    <row r="21866" s="9" customFormat="1" ht="21.95" customHeight="1" x14ac:dyDescent="0.15"/>
    <row r="21867" s="9" customFormat="1" ht="21.95" customHeight="1" x14ac:dyDescent="0.15"/>
    <row r="21868" s="9" customFormat="1" ht="21.95" customHeight="1" x14ac:dyDescent="0.15"/>
    <row r="21869" s="9" customFormat="1" ht="21.95" customHeight="1" x14ac:dyDescent="0.15"/>
    <row r="21870" s="9" customFormat="1" ht="21.95" customHeight="1" x14ac:dyDescent="0.15"/>
    <row r="21871" s="9" customFormat="1" ht="21.95" customHeight="1" x14ac:dyDescent="0.15"/>
    <row r="21872" s="9" customFormat="1" ht="21.95" customHeight="1" x14ac:dyDescent="0.15"/>
    <row r="21873" spans="3:3" s="9" customFormat="1" ht="21.95" customHeight="1" x14ac:dyDescent="0.15"/>
    <row r="21874" spans="3:3" s="9" customFormat="1" ht="21.95" customHeight="1" x14ac:dyDescent="0.15"/>
    <row r="21875" spans="3:3" s="9" customFormat="1" ht="21.95" customHeight="1" x14ac:dyDescent="0.15"/>
    <row r="21876" spans="3:3" s="9" customFormat="1" ht="21.95" customHeight="1" x14ac:dyDescent="0.15"/>
    <row r="21877" spans="3:3" s="9" customFormat="1" ht="21.95" customHeight="1" x14ac:dyDescent="0.15"/>
    <row r="21878" spans="3:3" s="9" customFormat="1" ht="21.95" customHeight="1" x14ac:dyDescent="0.15"/>
    <row r="21879" spans="3:3" s="9" customFormat="1" ht="21.95" customHeight="1" x14ac:dyDescent="0.15"/>
    <row r="21880" spans="3:3" s="9" customFormat="1" ht="21.95" customHeight="1" x14ac:dyDescent="0.15"/>
    <row r="21881" spans="3:3" s="9" customFormat="1" ht="21.95" customHeight="1" x14ac:dyDescent="0.15"/>
    <row r="21882" spans="3:3" s="9" customFormat="1" ht="21.95" customHeight="1" x14ac:dyDescent="0.15"/>
    <row r="21883" spans="3:3" s="9" customFormat="1" ht="21.95" customHeight="1" x14ac:dyDescent="0.15"/>
    <row r="21884" spans="3:3" s="9" customFormat="1" ht="21.95" customHeight="1" x14ac:dyDescent="0.15"/>
    <row r="21885" spans="3:3" s="9" customFormat="1" ht="21.95" customHeight="1" x14ac:dyDescent="0.15"/>
    <row r="21886" spans="3:3" s="8" customFormat="1" ht="21.95" customHeight="1" x14ac:dyDescent="0.15"/>
    <row r="21887" spans="3:3" s="8" customFormat="1" ht="21.95" customHeight="1" x14ac:dyDescent="0.15"/>
    <row r="21888" spans="3:3" s="8" customFormat="1" ht="21.95" customHeight="1" x14ac:dyDescent="0.15">
      <c r="C21888" s="101"/>
    </row>
    <row r="21889" spans="3:3" s="8" customFormat="1" ht="21.95" customHeight="1" x14ac:dyDescent="0.15">
      <c r="C21889" s="101"/>
    </row>
    <row r="21890" spans="3:3" s="8" customFormat="1" ht="21.95" customHeight="1" x14ac:dyDescent="0.15"/>
    <row r="21891" spans="3:3" s="8" customFormat="1" ht="21.95" customHeight="1" x14ac:dyDescent="0.15"/>
    <row r="21892" spans="3:3" s="8" customFormat="1" ht="21.95" customHeight="1" x14ac:dyDescent="0.15"/>
    <row r="21893" spans="3:3" s="8" customFormat="1" ht="21.95" customHeight="1" x14ac:dyDescent="0.15"/>
    <row r="21894" spans="3:3" s="8" customFormat="1" ht="21.95" customHeight="1" x14ac:dyDescent="0.15"/>
    <row r="21895" spans="3:3" s="8" customFormat="1" ht="21.95" customHeight="1" x14ac:dyDescent="0.15"/>
    <row r="21896" spans="3:3" s="8" customFormat="1" ht="21.95" customHeight="1" x14ac:dyDescent="0.15"/>
    <row r="21897" spans="3:3" s="9" customFormat="1" ht="21.95" customHeight="1" x14ac:dyDescent="0.15"/>
    <row r="21898" spans="3:3" s="9" customFormat="1" ht="21.95" customHeight="1" x14ac:dyDescent="0.15"/>
    <row r="21899" spans="3:3" s="9" customFormat="1" ht="21.95" customHeight="1" x14ac:dyDescent="0.15"/>
    <row r="21900" spans="3:3" s="9" customFormat="1" ht="21.95" customHeight="1" x14ac:dyDescent="0.15"/>
    <row r="21901" spans="3:3" s="8" customFormat="1" ht="21.95" customHeight="1" x14ac:dyDescent="0.15"/>
    <row r="21902" spans="3:3" s="8" customFormat="1" ht="21.95" customHeight="1" x14ac:dyDescent="0.15"/>
    <row r="21903" spans="3:3" s="8" customFormat="1" ht="21.95" customHeight="1" x14ac:dyDescent="0.15"/>
    <row r="21904" spans="3:3" s="8" customFormat="1" ht="21.95" customHeight="1" x14ac:dyDescent="0.15"/>
    <row r="21905" s="8" customFormat="1" ht="21.95" customHeight="1" x14ac:dyDescent="0.15"/>
    <row r="21906" s="8" customFormat="1" ht="21.95" customHeight="1" x14ac:dyDescent="0.15"/>
    <row r="21907" s="8" customFormat="1" ht="21.95" customHeight="1" x14ac:dyDescent="0.15"/>
    <row r="21908" s="8" customFormat="1" ht="21.95" customHeight="1" x14ac:dyDescent="0.15"/>
    <row r="21909" s="8" customFormat="1" ht="21.95" customHeight="1" x14ac:dyDescent="0.15"/>
    <row r="21910" s="8" customFormat="1" ht="21.95" customHeight="1" x14ac:dyDescent="0.15"/>
    <row r="21911" s="8" customFormat="1" ht="21.95" customHeight="1" x14ac:dyDescent="0.15"/>
    <row r="21912" s="8" customFormat="1" ht="32.1" customHeight="1" x14ac:dyDescent="0.15"/>
    <row r="21913" s="8" customFormat="1" ht="32.1" customHeight="1" x14ac:dyDescent="0.15"/>
    <row r="21914" s="8" customFormat="1" ht="32.1" customHeight="1" x14ac:dyDescent="0.15"/>
    <row r="21915" s="8" customFormat="1" ht="32.1" customHeight="1" x14ac:dyDescent="0.15"/>
    <row r="21916" s="8" customFormat="1" ht="32.1" customHeight="1" x14ac:dyDescent="0.15"/>
    <row r="21917" s="8" customFormat="1" ht="32.1" customHeight="1" x14ac:dyDescent="0.15"/>
    <row r="21918" s="9" customFormat="1" ht="32.1" customHeight="1" x14ac:dyDescent="0.15"/>
    <row r="21919" s="9" customFormat="1" ht="32.1" customHeight="1" x14ac:dyDescent="0.15"/>
    <row r="21920" s="9" customFormat="1" ht="32.1" customHeight="1" x14ac:dyDescent="0.15"/>
    <row r="21921" s="9" customFormat="1" ht="32.1" customHeight="1" x14ac:dyDescent="0.15"/>
    <row r="21922" s="9" customFormat="1" ht="21.95" customHeight="1" x14ac:dyDescent="0.15"/>
    <row r="21923" s="9" customFormat="1" ht="54" customHeight="1" x14ac:dyDescent="0.15"/>
    <row r="21924" s="9" customFormat="1" ht="21.95" customHeight="1" x14ac:dyDescent="0.15"/>
    <row r="21925" s="9" customFormat="1" ht="21.95" customHeight="1" x14ac:dyDescent="0.15"/>
    <row r="21926" s="9" customFormat="1" ht="21.95" customHeight="1" x14ac:dyDescent="0.15"/>
    <row r="21927" s="9" customFormat="1" ht="21.95" customHeight="1" x14ac:dyDescent="0.15"/>
    <row r="21928" s="9" customFormat="1" ht="21.95" customHeight="1" x14ac:dyDescent="0.15"/>
    <row r="21929" s="9" customFormat="1" ht="21.95" customHeight="1" x14ac:dyDescent="0.15"/>
    <row r="21930" s="9" customFormat="1" ht="21.95" customHeight="1" x14ac:dyDescent="0.15"/>
    <row r="21931" s="9" customFormat="1" ht="21.95" customHeight="1" x14ac:dyDescent="0.15"/>
    <row r="21932" s="9" customFormat="1" ht="21.95" customHeight="1" x14ac:dyDescent="0.15"/>
    <row r="21933" s="9" customFormat="1" ht="21.95" customHeight="1" x14ac:dyDescent="0.15"/>
    <row r="21934" s="9" customFormat="1" ht="21.95" customHeight="1" x14ac:dyDescent="0.15"/>
    <row r="21935" s="9" customFormat="1" ht="21.95" customHeight="1" x14ac:dyDescent="0.15"/>
    <row r="21936" s="9" customFormat="1" ht="21.95" customHeight="1" x14ac:dyDescent="0.15"/>
    <row r="21937" s="9" customFormat="1" ht="21.95" customHeight="1" x14ac:dyDescent="0.15"/>
    <row r="21938" s="9" customFormat="1" ht="21.95" customHeight="1" x14ac:dyDescent="0.15"/>
    <row r="21939" s="9" customFormat="1" ht="21.95" customHeight="1" x14ac:dyDescent="0.15"/>
    <row r="21940" s="9" customFormat="1" ht="21.95" customHeight="1" x14ac:dyDescent="0.15"/>
    <row r="21941" s="9" customFormat="1" ht="21.95" customHeight="1" x14ac:dyDescent="0.15"/>
    <row r="21942" s="9" customFormat="1" ht="21.95" customHeight="1" x14ac:dyDescent="0.15"/>
    <row r="21943" s="9" customFormat="1" ht="21.95" customHeight="1" x14ac:dyDescent="0.15"/>
    <row r="21944" s="9" customFormat="1" ht="21.95" customHeight="1" x14ac:dyDescent="0.15"/>
    <row r="21945" s="9" customFormat="1" ht="21.95" customHeight="1" x14ac:dyDescent="0.15"/>
    <row r="21946" s="9" customFormat="1" ht="21.95" customHeight="1" x14ac:dyDescent="0.15"/>
    <row r="21947" s="9" customFormat="1" ht="21.95" customHeight="1" x14ac:dyDescent="0.15"/>
    <row r="21948" s="9" customFormat="1" ht="21.95" customHeight="1" x14ac:dyDescent="0.15"/>
    <row r="21949" s="9" customFormat="1" ht="21.95" customHeight="1" x14ac:dyDescent="0.15"/>
    <row r="21950" s="9" customFormat="1" ht="21.95" customHeight="1" x14ac:dyDescent="0.15"/>
    <row r="21951" s="9" customFormat="1" ht="21.95" customHeight="1" x14ac:dyDescent="0.15"/>
    <row r="21952" s="9" customFormat="1" ht="21.95" customHeight="1" x14ac:dyDescent="0.15"/>
    <row r="21953" s="9" customFormat="1" ht="21.95" customHeight="1" x14ac:dyDescent="0.15"/>
    <row r="21954" s="9" customFormat="1" ht="21.95" customHeight="1" x14ac:dyDescent="0.15"/>
    <row r="21955" s="9" customFormat="1" ht="21.95" customHeight="1" x14ac:dyDescent="0.15"/>
    <row r="21956" s="9" customFormat="1" ht="21.95" customHeight="1" x14ac:dyDescent="0.15"/>
    <row r="21957" s="9" customFormat="1" ht="21.95" customHeight="1" x14ac:dyDescent="0.15"/>
    <row r="21958" s="9" customFormat="1" ht="21.95" customHeight="1" x14ac:dyDescent="0.15"/>
    <row r="21959" s="9" customFormat="1" ht="21.95" customHeight="1" x14ac:dyDescent="0.15"/>
    <row r="21960" s="9" customFormat="1" ht="21.95" customHeight="1" x14ac:dyDescent="0.15"/>
    <row r="21961" s="9" customFormat="1" ht="21.95" customHeight="1" x14ac:dyDescent="0.15"/>
    <row r="21962" s="9" customFormat="1" ht="21.95" customHeight="1" x14ac:dyDescent="0.15"/>
    <row r="21963" s="9" customFormat="1" ht="21.95" customHeight="1" x14ac:dyDescent="0.15"/>
    <row r="21964" s="9" customFormat="1" ht="21.95" customHeight="1" x14ac:dyDescent="0.15"/>
    <row r="21965" s="9" customFormat="1" ht="21.95" customHeight="1" x14ac:dyDescent="0.15"/>
    <row r="21966" s="9" customFormat="1" ht="21.95" customHeight="1" x14ac:dyDescent="0.15"/>
    <row r="21967" s="9" customFormat="1" ht="21.95" customHeight="1" x14ac:dyDescent="0.15"/>
    <row r="21968" s="9" customFormat="1" ht="21.95" customHeight="1" x14ac:dyDescent="0.15"/>
    <row r="21969" s="9" customFormat="1" ht="21.95" customHeight="1" x14ac:dyDescent="0.15"/>
    <row r="21970" s="9" customFormat="1" ht="21.95" customHeight="1" x14ac:dyDescent="0.15"/>
    <row r="21971" s="9" customFormat="1" ht="21.95" customHeight="1" x14ac:dyDescent="0.15"/>
    <row r="21972" s="9" customFormat="1" ht="21.95" customHeight="1" x14ac:dyDescent="0.15"/>
    <row r="21973" s="9" customFormat="1" ht="21.95" customHeight="1" x14ac:dyDescent="0.15"/>
    <row r="21974" s="9" customFormat="1" ht="35.1" customHeight="1" x14ac:dyDescent="0.15"/>
    <row r="21975" s="9" customFormat="1" ht="21.95" customHeight="1" x14ac:dyDescent="0.15"/>
    <row r="21976" s="9" customFormat="1" ht="21.95" customHeight="1" x14ac:dyDescent="0.15"/>
    <row r="21977" s="9" customFormat="1" ht="21.95" customHeight="1" x14ac:dyDescent="0.15"/>
    <row r="21978" s="9" customFormat="1" ht="21.95" customHeight="1" x14ac:dyDescent="0.15"/>
    <row r="21979" s="9" customFormat="1" ht="21.95" customHeight="1" x14ac:dyDescent="0.15"/>
    <row r="21980" s="9" customFormat="1" ht="21.95" customHeight="1" x14ac:dyDescent="0.15"/>
    <row r="21981" s="9" customFormat="1" ht="21.95" customHeight="1" x14ac:dyDescent="0.15"/>
    <row r="21982" s="9" customFormat="1" ht="21.95" customHeight="1" x14ac:dyDescent="0.15"/>
    <row r="21983" s="9" customFormat="1" ht="21.95" customHeight="1" x14ac:dyDescent="0.15"/>
    <row r="21984" s="9" customFormat="1" ht="21.95" customHeight="1" x14ac:dyDescent="0.15"/>
    <row r="21985" spans="3:3" s="9" customFormat="1" ht="21.95" customHeight="1" x14ac:dyDescent="0.15"/>
    <row r="21986" spans="3:3" s="9" customFormat="1" ht="21.95" customHeight="1" x14ac:dyDescent="0.15"/>
    <row r="21987" spans="3:3" s="9" customFormat="1" ht="21.95" customHeight="1" x14ac:dyDescent="0.15"/>
    <row r="21988" spans="3:3" s="9" customFormat="1" ht="21.95" customHeight="1" x14ac:dyDescent="0.15"/>
    <row r="21989" spans="3:3" s="9" customFormat="1" ht="21.95" customHeight="1" x14ac:dyDescent="0.15"/>
    <row r="21990" spans="3:3" s="9" customFormat="1" ht="21.95" customHeight="1" x14ac:dyDescent="0.15"/>
    <row r="21991" spans="3:3" s="9" customFormat="1" ht="21.95" customHeight="1" x14ac:dyDescent="0.15"/>
    <row r="21992" spans="3:3" s="9" customFormat="1" ht="21.95" customHeight="1" x14ac:dyDescent="0.15"/>
    <row r="21993" spans="3:3" s="9" customFormat="1" ht="21.95" customHeight="1" x14ac:dyDescent="0.15"/>
    <row r="21994" spans="3:3" s="9" customFormat="1" ht="21.95" customHeight="1" x14ac:dyDescent="0.15"/>
    <row r="21995" spans="3:3" s="9" customFormat="1" ht="21.95" customHeight="1" x14ac:dyDescent="0.15"/>
    <row r="21996" spans="3:3" s="9" customFormat="1" ht="21.95" customHeight="1" x14ac:dyDescent="0.15"/>
    <row r="21997" spans="3:3" s="9" customFormat="1" ht="21.95" customHeight="1" x14ac:dyDescent="0.15"/>
    <row r="21998" spans="3:3" s="8" customFormat="1" ht="21.95" customHeight="1" x14ac:dyDescent="0.15"/>
    <row r="21999" spans="3:3" s="8" customFormat="1" ht="21.95" customHeight="1" x14ac:dyDescent="0.15"/>
    <row r="22000" spans="3:3" s="8" customFormat="1" ht="21.95" customHeight="1" x14ac:dyDescent="0.15">
      <c r="C22000" s="101"/>
    </row>
    <row r="22001" spans="3:3" s="8" customFormat="1" ht="21.95" customHeight="1" x14ac:dyDescent="0.15">
      <c r="C22001" s="101"/>
    </row>
    <row r="22002" spans="3:3" s="8" customFormat="1" ht="21.95" customHeight="1" x14ac:dyDescent="0.15"/>
    <row r="22003" spans="3:3" s="8" customFormat="1" ht="21.95" customHeight="1" x14ac:dyDescent="0.15"/>
    <row r="22004" spans="3:3" s="8" customFormat="1" ht="21.95" customHeight="1" x14ac:dyDescent="0.15"/>
    <row r="22005" spans="3:3" s="8" customFormat="1" ht="21.95" customHeight="1" x14ac:dyDescent="0.15"/>
    <row r="22006" spans="3:3" s="8" customFormat="1" ht="21.95" customHeight="1" x14ac:dyDescent="0.15"/>
    <row r="22007" spans="3:3" s="8" customFormat="1" ht="21.95" customHeight="1" x14ac:dyDescent="0.15"/>
    <row r="22008" spans="3:3" s="8" customFormat="1" ht="21.95" customHeight="1" x14ac:dyDescent="0.15"/>
    <row r="22009" spans="3:3" s="9" customFormat="1" ht="21.95" customHeight="1" x14ac:dyDescent="0.15"/>
    <row r="22010" spans="3:3" s="9" customFormat="1" ht="21.95" customHeight="1" x14ac:dyDescent="0.15"/>
    <row r="22011" spans="3:3" s="9" customFormat="1" ht="21.95" customHeight="1" x14ac:dyDescent="0.15"/>
    <row r="22012" spans="3:3" s="9" customFormat="1" ht="21.95" customHeight="1" x14ac:dyDescent="0.15"/>
    <row r="22013" spans="3:3" s="8" customFormat="1" ht="21.95" customHeight="1" x14ac:dyDescent="0.15"/>
    <row r="22014" spans="3:3" s="8" customFormat="1" ht="21.95" customHeight="1" x14ac:dyDescent="0.15"/>
    <row r="22015" spans="3:3" s="8" customFormat="1" ht="21.95" customHeight="1" x14ac:dyDescent="0.15"/>
    <row r="22016" spans="3:3" s="8" customFormat="1" ht="21.95" customHeight="1" x14ac:dyDescent="0.15"/>
    <row r="22017" s="8" customFormat="1" ht="21.95" customHeight="1" x14ac:dyDescent="0.15"/>
    <row r="22018" s="8" customFormat="1" ht="21.95" customHeight="1" x14ac:dyDescent="0.15"/>
    <row r="22019" s="8" customFormat="1" ht="21.95" customHeight="1" x14ac:dyDescent="0.15"/>
    <row r="22020" s="8" customFormat="1" ht="21.95" customHeight="1" x14ac:dyDescent="0.15"/>
    <row r="22021" s="8" customFormat="1" ht="21.95" customHeight="1" x14ac:dyDescent="0.15"/>
    <row r="22022" s="8" customFormat="1" ht="21.95" customHeight="1" x14ac:dyDescent="0.15"/>
    <row r="22023" s="8" customFormat="1" ht="21.95" customHeight="1" x14ac:dyDescent="0.15"/>
    <row r="22024" s="8" customFormat="1" ht="32.1" customHeight="1" x14ac:dyDescent="0.15"/>
    <row r="22025" s="8" customFormat="1" ht="32.1" customHeight="1" x14ac:dyDescent="0.15"/>
    <row r="22026" s="8" customFormat="1" ht="32.1" customHeight="1" x14ac:dyDescent="0.15"/>
    <row r="22027" s="8" customFormat="1" ht="32.1" customHeight="1" x14ac:dyDescent="0.15"/>
    <row r="22028" s="8" customFormat="1" ht="32.1" customHeight="1" x14ac:dyDescent="0.15"/>
    <row r="22029" s="8" customFormat="1" ht="32.1" customHeight="1" x14ac:dyDescent="0.15"/>
    <row r="22030" s="9" customFormat="1" ht="32.1" customHeight="1" x14ac:dyDescent="0.15"/>
    <row r="22031" s="9" customFormat="1" ht="32.1" customHeight="1" x14ac:dyDescent="0.15"/>
    <row r="22032" s="9" customFormat="1" ht="32.1" customHeight="1" x14ac:dyDescent="0.15"/>
    <row r="22033" s="9" customFormat="1" ht="32.1" customHeight="1" x14ac:dyDescent="0.15"/>
    <row r="22034" s="9" customFormat="1" ht="21.95" customHeight="1" x14ac:dyDescent="0.15"/>
    <row r="22035" s="9" customFormat="1" ht="54" customHeight="1" x14ac:dyDescent="0.15"/>
    <row r="22036" s="9" customFormat="1" ht="21.95" customHeight="1" x14ac:dyDescent="0.15"/>
    <row r="22037" s="9" customFormat="1" ht="21.95" customHeight="1" x14ac:dyDescent="0.15"/>
    <row r="22038" s="9" customFormat="1" ht="21.95" customHeight="1" x14ac:dyDescent="0.15"/>
    <row r="22039" s="9" customFormat="1" ht="21.95" customHeight="1" x14ac:dyDescent="0.15"/>
    <row r="22040" s="9" customFormat="1" ht="21.95" customHeight="1" x14ac:dyDescent="0.15"/>
    <row r="22041" s="9" customFormat="1" ht="21.95" customHeight="1" x14ac:dyDescent="0.15"/>
    <row r="22042" s="9" customFormat="1" ht="21.95" customHeight="1" x14ac:dyDescent="0.15"/>
    <row r="22043" s="9" customFormat="1" ht="21.95" customHeight="1" x14ac:dyDescent="0.15"/>
    <row r="22044" s="9" customFormat="1" ht="21.95" customHeight="1" x14ac:dyDescent="0.15"/>
    <row r="22045" s="9" customFormat="1" ht="21.95" customHeight="1" x14ac:dyDescent="0.15"/>
    <row r="22046" s="9" customFormat="1" ht="21.95" customHeight="1" x14ac:dyDescent="0.15"/>
    <row r="22047" s="9" customFormat="1" ht="21.95" customHeight="1" x14ac:dyDescent="0.15"/>
    <row r="22048" s="9" customFormat="1" ht="21.95" customHeight="1" x14ac:dyDescent="0.15"/>
    <row r="22049" s="9" customFormat="1" ht="21.95" customHeight="1" x14ac:dyDescent="0.15"/>
    <row r="22050" s="9" customFormat="1" ht="21.95" customHeight="1" x14ac:dyDescent="0.15"/>
    <row r="22051" s="9" customFormat="1" ht="21.95" customHeight="1" x14ac:dyDescent="0.15"/>
    <row r="22052" s="9" customFormat="1" ht="21.95" customHeight="1" x14ac:dyDescent="0.15"/>
    <row r="22053" s="9" customFormat="1" ht="21.95" customHeight="1" x14ac:dyDescent="0.15"/>
    <row r="22054" s="9" customFormat="1" ht="21.95" customHeight="1" x14ac:dyDescent="0.15"/>
    <row r="22055" s="9" customFormat="1" ht="21.95" customHeight="1" x14ac:dyDescent="0.15"/>
    <row r="22056" s="9" customFormat="1" ht="21.95" customHeight="1" x14ac:dyDescent="0.15"/>
    <row r="22057" s="9" customFormat="1" ht="21.95" customHeight="1" x14ac:dyDescent="0.15"/>
    <row r="22058" s="9" customFormat="1" ht="21.95" customHeight="1" x14ac:dyDescent="0.15"/>
    <row r="22059" s="9" customFormat="1" ht="21.95" customHeight="1" x14ac:dyDescent="0.15"/>
    <row r="22060" s="9" customFormat="1" ht="21.95" customHeight="1" x14ac:dyDescent="0.15"/>
    <row r="22061" s="9" customFormat="1" ht="21.95" customHeight="1" x14ac:dyDescent="0.15"/>
    <row r="22062" s="9" customFormat="1" ht="21.95" customHeight="1" x14ac:dyDescent="0.15"/>
    <row r="22063" s="9" customFormat="1" ht="21.95" customHeight="1" x14ac:dyDescent="0.15"/>
    <row r="22064" s="9" customFormat="1" ht="21.95" customHeight="1" x14ac:dyDescent="0.15"/>
    <row r="22065" s="9" customFormat="1" ht="21.95" customHeight="1" x14ac:dyDescent="0.15"/>
    <row r="22066" s="9" customFormat="1" ht="21.95" customHeight="1" x14ac:dyDescent="0.15"/>
    <row r="22067" s="9" customFormat="1" ht="21.95" customHeight="1" x14ac:dyDescent="0.15"/>
    <row r="22068" s="9" customFormat="1" ht="21.95" customHeight="1" x14ac:dyDescent="0.15"/>
    <row r="22069" s="9" customFormat="1" ht="21.95" customHeight="1" x14ac:dyDescent="0.15"/>
    <row r="22070" s="9" customFormat="1" ht="21.95" customHeight="1" x14ac:dyDescent="0.15"/>
    <row r="22071" s="9" customFormat="1" ht="21.95" customHeight="1" x14ac:dyDescent="0.15"/>
    <row r="22072" s="9" customFormat="1" ht="21.95" customHeight="1" x14ac:dyDescent="0.15"/>
    <row r="22073" s="9" customFormat="1" ht="21.95" customHeight="1" x14ac:dyDescent="0.15"/>
    <row r="22074" s="9" customFormat="1" ht="21.95" customHeight="1" x14ac:dyDescent="0.15"/>
    <row r="22075" s="9" customFormat="1" ht="21.95" customHeight="1" x14ac:dyDescent="0.15"/>
    <row r="22076" s="9" customFormat="1" ht="21.95" customHeight="1" x14ac:dyDescent="0.15"/>
    <row r="22077" s="9" customFormat="1" ht="21.95" customHeight="1" x14ac:dyDescent="0.15"/>
    <row r="22078" s="9" customFormat="1" ht="21.95" customHeight="1" x14ac:dyDescent="0.15"/>
    <row r="22079" s="9" customFormat="1" ht="21.95" customHeight="1" x14ac:dyDescent="0.15"/>
    <row r="22080" s="9" customFormat="1" ht="21.95" customHeight="1" x14ac:dyDescent="0.15"/>
    <row r="22081" s="9" customFormat="1" ht="21.95" customHeight="1" x14ac:dyDescent="0.15"/>
    <row r="22082" s="9" customFormat="1" ht="21.95" customHeight="1" x14ac:dyDescent="0.15"/>
    <row r="22083" s="9" customFormat="1" ht="21.95" customHeight="1" x14ac:dyDescent="0.15"/>
    <row r="22084" s="9" customFormat="1" ht="21.95" customHeight="1" x14ac:dyDescent="0.15"/>
    <row r="22085" s="9" customFormat="1" ht="21.95" customHeight="1" x14ac:dyDescent="0.15"/>
    <row r="22086" s="9" customFormat="1" ht="35.1" customHeight="1" x14ac:dyDescent="0.15"/>
    <row r="22087" s="9" customFormat="1" ht="21.95" customHeight="1" x14ac:dyDescent="0.15"/>
    <row r="22088" s="9" customFormat="1" ht="21.95" customHeight="1" x14ac:dyDescent="0.15"/>
    <row r="22089" s="9" customFormat="1" ht="21.95" customHeight="1" x14ac:dyDescent="0.15"/>
    <row r="22090" s="9" customFormat="1" ht="21.95" customHeight="1" x14ac:dyDescent="0.15"/>
    <row r="22091" s="9" customFormat="1" ht="21.95" customHeight="1" x14ac:dyDescent="0.15"/>
    <row r="22092" s="9" customFormat="1" ht="21.95" customHeight="1" x14ac:dyDescent="0.15"/>
    <row r="22093" s="9" customFormat="1" ht="21.95" customHeight="1" x14ac:dyDescent="0.15"/>
    <row r="22094" s="9" customFormat="1" ht="21.95" customHeight="1" x14ac:dyDescent="0.15"/>
    <row r="22095" s="9" customFormat="1" ht="21.95" customHeight="1" x14ac:dyDescent="0.15"/>
    <row r="22096" s="9" customFormat="1" ht="21.95" customHeight="1" x14ac:dyDescent="0.15"/>
    <row r="22097" spans="3:3" s="9" customFormat="1" ht="21.95" customHeight="1" x14ac:dyDescent="0.15"/>
    <row r="22098" spans="3:3" s="9" customFormat="1" ht="21.95" customHeight="1" x14ac:dyDescent="0.15"/>
    <row r="22099" spans="3:3" s="9" customFormat="1" ht="21.95" customHeight="1" x14ac:dyDescent="0.15"/>
    <row r="22100" spans="3:3" s="9" customFormat="1" ht="21.95" customHeight="1" x14ac:dyDescent="0.15"/>
    <row r="22101" spans="3:3" s="9" customFormat="1" ht="21.95" customHeight="1" x14ac:dyDescent="0.15"/>
    <row r="22102" spans="3:3" s="9" customFormat="1" ht="21.95" customHeight="1" x14ac:dyDescent="0.15"/>
    <row r="22103" spans="3:3" s="9" customFormat="1" ht="21.95" customHeight="1" x14ac:dyDescent="0.15"/>
    <row r="22104" spans="3:3" s="9" customFormat="1" ht="21.95" customHeight="1" x14ac:dyDescent="0.15"/>
    <row r="22105" spans="3:3" s="9" customFormat="1" ht="21.95" customHeight="1" x14ac:dyDescent="0.15"/>
    <row r="22106" spans="3:3" s="9" customFormat="1" ht="21.95" customHeight="1" x14ac:dyDescent="0.15"/>
    <row r="22107" spans="3:3" s="9" customFormat="1" ht="21.95" customHeight="1" x14ac:dyDescent="0.15"/>
    <row r="22108" spans="3:3" s="9" customFormat="1" ht="21.95" customHeight="1" x14ac:dyDescent="0.15"/>
    <row r="22109" spans="3:3" s="9" customFormat="1" ht="21.95" customHeight="1" x14ac:dyDescent="0.15"/>
    <row r="22110" spans="3:3" s="8" customFormat="1" ht="21.95" customHeight="1" x14ac:dyDescent="0.15"/>
    <row r="22111" spans="3:3" s="8" customFormat="1" ht="21.95" customHeight="1" x14ac:dyDescent="0.15"/>
    <row r="22112" spans="3:3" s="8" customFormat="1" ht="21.95" customHeight="1" x14ac:dyDescent="0.15">
      <c r="C22112" s="101"/>
    </row>
    <row r="22113" spans="3:3" s="8" customFormat="1" ht="21.95" customHeight="1" x14ac:dyDescent="0.15">
      <c r="C22113" s="101"/>
    </row>
    <row r="22114" spans="3:3" s="8" customFormat="1" ht="21.95" customHeight="1" x14ac:dyDescent="0.15"/>
    <row r="22115" spans="3:3" s="8" customFormat="1" ht="21.95" customHeight="1" x14ac:dyDescent="0.15"/>
    <row r="22116" spans="3:3" s="8" customFormat="1" ht="21.95" customHeight="1" x14ac:dyDescent="0.15"/>
    <row r="22117" spans="3:3" s="8" customFormat="1" ht="21.95" customHeight="1" x14ac:dyDescent="0.15"/>
    <row r="22118" spans="3:3" s="8" customFormat="1" ht="21.95" customHeight="1" x14ac:dyDescent="0.15"/>
    <row r="22119" spans="3:3" s="8" customFormat="1" ht="21.95" customHeight="1" x14ac:dyDescent="0.15"/>
    <row r="22120" spans="3:3" s="8" customFormat="1" ht="21.95" customHeight="1" x14ac:dyDescent="0.15"/>
    <row r="22121" spans="3:3" s="9" customFormat="1" ht="21.95" customHeight="1" x14ac:dyDescent="0.15"/>
    <row r="22122" spans="3:3" s="9" customFormat="1" ht="21.95" customHeight="1" x14ac:dyDescent="0.15"/>
    <row r="22123" spans="3:3" s="9" customFormat="1" ht="21.95" customHeight="1" x14ac:dyDescent="0.15"/>
    <row r="22124" spans="3:3" s="9" customFormat="1" ht="21.95" customHeight="1" x14ac:dyDescent="0.15"/>
    <row r="22125" spans="3:3" s="8" customFormat="1" ht="21.95" customHeight="1" x14ac:dyDescent="0.15"/>
    <row r="22126" spans="3:3" s="8" customFormat="1" ht="21.95" customHeight="1" x14ac:dyDescent="0.15"/>
    <row r="22127" spans="3:3" s="8" customFormat="1" ht="21.95" customHeight="1" x14ac:dyDescent="0.15"/>
    <row r="22128" spans="3:3" s="8" customFormat="1" ht="21.95" customHeight="1" x14ac:dyDescent="0.15"/>
    <row r="22129" s="8" customFormat="1" ht="21.95" customHeight="1" x14ac:dyDescent="0.15"/>
    <row r="22130" s="8" customFormat="1" ht="21.95" customHeight="1" x14ac:dyDescent="0.15"/>
    <row r="22131" s="8" customFormat="1" ht="21.95" customHeight="1" x14ac:dyDescent="0.15"/>
    <row r="22132" s="8" customFormat="1" ht="21.95" customHeight="1" x14ac:dyDescent="0.15"/>
    <row r="22133" s="8" customFormat="1" ht="21.95" customHeight="1" x14ac:dyDescent="0.15"/>
    <row r="22134" s="8" customFormat="1" ht="21.95" customHeight="1" x14ac:dyDescent="0.15"/>
    <row r="22135" s="8" customFormat="1" ht="21.95" customHeight="1" x14ac:dyDescent="0.15"/>
    <row r="22136" s="8" customFormat="1" ht="32.1" customHeight="1" x14ac:dyDescent="0.15"/>
    <row r="22137" s="8" customFormat="1" ht="32.1" customHeight="1" x14ac:dyDescent="0.15"/>
    <row r="22138" s="8" customFormat="1" ht="32.1" customHeight="1" x14ac:dyDescent="0.15"/>
    <row r="22139" s="8" customFormat="1" ht="32.1" customHeight="1" x14ac:dyDescent="0.15"/>
    <row r="22140" s="8" customFormat="1" ht="32.1" customHeight="1" x14ac:dyDescent="0.15"/>
    <row r="22141" s="8" customFormat="1" ht="32.1" customHeight="1" x14ac:dyDescent="0.15"/>
    <row r="22142" s="9" customFormat="1" ht="32.1" customHeight="1" x14ac:dyDescent="0.15"/>
    <row r="22143" s="9" customFormat="1" ht="32.1" customHeight="1" x14ac:dyDescent="0.15"/>
    <row r="22144" s="9" customFormat="1" ht="32.1" customHeight="1" x14ac:dyDescent="0.15"/>
    <row r="22145" s="9" customFormat="1" ht="32.1" customHeight="1" x14ac:dyDescent="0.15"/>
    <row r="22146" s="9" customFormat="1" ht="21.95" customHeight="1" x14ac:dyDescent="0.15"/>
    <row r="22147" s="9" customFormat="1" ht="54" customHeight="1" x14ac:dyDescent="0.15"/>
    <row r="22148" s="9" customFormat="1" ht="21.95" customHeight="1" x14ac:dyDescent="0.15"/>
    <row r="22149" s="9" customFormat="1" ht="21.95" customHeight="1" x14ac:dyDescent="0.15"/>
    <row r="22150" s="9" customFormat="1" ht="21.95" customHeight="1" x14ac:dyDescent="0.15"/>
    <row r="22151" s="9" customFormat="1" ht="21.95" customHeight="1" x14ac:dyDescent="0.15"/>
    <row r="22152" s="9" customFormat="1" ht="21.95" customHeight="1" x14ac:dyDescent="0.15"/>
    <row r="22153" s="9" customFormat="1" ht="21.95" customHeight="1" x14ac:dyDescent="0.15"/>
    <row r="22154" s="9" customFormat="1" ht="21.95" customHeight="1" x14ac:dyDescent="0.15"/>
    <row r="22155" s="9" customFormat="1" ht="21.95" customHeight="1" x14ac:dyDescent="0.15"/>
    <row r="22156" s="9" customFormat="1" ht="21.95" customHeight="1" x14ac:dyDescent="0.15"/>
    <row r="22157" s="9" customFormat="1" ht="21.95" customHeight="1" x14ac:dyDescent="0.15"/>
    <row r="22158" s="9" customFormat="1" ht="21.95" customHeight="1" x14ac:dyDescent="0.15"/>
    <row r="22159" s="9" customFormat="1" ht="21.95" customHeight="1" x14ac:dyDescent="0.15"/>
    <row r="22160" s="9" customFormat="1" ht="21.95" customHeight="1" x14ac:dyDescent="0.15"/>
    <row r="22161" s="9" customFormat="1" ht="21.95" customHeight="1" x14ac:dyDescent="0.15"/>
    <row r="22162" s="9" customFormat="1" ht="21.95" customHeight="1" x14ac:dyDescent="0.15"/>
    <row r="22163" s="9" customFormat="1" ht="21.95" customHeight="1" x14ac:dyDescent="0.15"/>
    <row r="22164" s="9" customFormat="1" ht="21.95" customHeight="1" x14ac:dyDescent="0.15"/>
    <row r="22165" s="9" customFormat="1" ht="21.95" customHeight="1" x14ac:dyDescent="0.15"/>
    <row r="22166" s="9" customFormat="1" ht="21.95" customHeight="1" x14ac:dyDescent="0.15"/>
    <row r="22167" s="9" customFormat="1" ht="21.95" customHeight="1" x14ac:dyDescent="0.15"/>
    <row r="22168" s="9" customFormat="1" ht="21.95" customHeight="1" x14ac:dyDescent="0.15"/>
    <row r="22169" s="9" customFormat="1" ht="21.95" customHeight="1" x14ac:dyDescent="0.15"/>
    <row r="22170" s="9" customFormat="1" ht="21.95" customHeight="1" x14ac:dyDescent="0.15"/>
    <row r="22171" s="9" customFormat="1" ht="21.95" customHeight="1" x14ac:dyDescent="0.15"/>
    <row r="22172" s="9" customFormat="1" ht="21.95" customHeight="1" x14ac:dyDescent="0.15"/>
    <row r="22173" s="9" customFormat="1" ht="21.95" customHeight="1" x14ac:dyDescent="0.15"/>
    <row r="22174" s="9" customFormat="1" ht="21.95" customHeight="1" x14ac:dyDescent="0.15"/>
    <row r="22175" s="9" customFormat="1" ht="21.95" customHeight="1" x14ac:dyDescent="0.15"/>
    <row r="22176" s="9" customFormat="1" ht="21.95" customHeight="1" x14ac:dyDescent="0.15"/>
    <row r="22177" s="9" customFormat="1" ht="21.95" customHeight="1" x14ac:dyDescent="0.15"/>
    <row r="22178" s="9" customFormat="1" ht="21.95" customHeight="1" x14ac:dyDescent="0.15"/>
    <row r="22179" s="9" customFormat="1" ht="21.95" customHeight="1" x14ac:dyDescent="0.15"/>
    <row r="22180" s="9" customFormat="1" ht="21.95" customHeight="1" x14ac:dyDescent="0.15"/>
    <row r="22181" s="9" customFormat="1" ht="21.95" customHeight="1" x14ac:dyDescent="0.15"/>
    <row r="22182" s="9" customFormat="1" ht="21.95" customHeight="1" x14ac:dyDescent="0.15"/>
    <row r="22183" s="9" customFormat="1" ht="21.95" customHeight="1" x14ac:dyDescent="0.15"/>
    <row r="22184" s="9" customFormat="1" ht="21.95" customHeight="1" x14ac:dyDescent="0.15"/>
    <row r="22185" s="9" customFormat="1" ht="21.95" customHeight="1" x14ac:dyDescent="0.15"/>
    <row r="22186" s="9" customFormat="1" ht="21.95" customHeight="1" x14ac:dyDescent="0.15"/>
    <row r="22187" s="9" customFormat="1" ht="21.95" customHeight="1" x14ac:dyDescent="0.15"/>
    <row r="22188" s="9" customFormat="1" ht="21.95" customHeight="1" x14ac:dyDescent="0.15"/>
    <row r="22189" s="9" customFormat="1" ht="21.95" customHeight="1" x14ac:dyDescent="0.15"/>
    <row r="22190" s="9" customFormat="1" ht="21.95" customHeight="1" x14ac:dyDescent="0.15"/>
    <row r="22191" s="9" customFormat="1" ht="21.95" customHeight="1" x14ac:dyDescent="0.15"/>
    <row r="22192" s="9" customFormat="1" ht="21.95" customHeight="1" x14ac:dyDescent="0.15"/>
    <row r="22193" s="9" customFormat="1" ht="21.95" customHeight="1" x14ac:dyDescent="0.15"/>
    <row r="22194" s="9" customFormat="1" ht="21.95" customHeight="1" x14ac:dyDescent="0.15"/>
    <row r="22195" s="9" customFormat="1" ht="21.95" customHeight="1" x14ac:dyDescent="0.15"/>
    <row r="22196" s="9" customFormat="1" ht="21.95" customHeight="1" x14ac:dyDescent="0.15"/>
    <row r="22197" s="9" customFormat="1" ht="21.95" customHeight="1" x14ac:dyDescent="0.15"/>
    <row r="22198" s="9" customFormat="1" ht="35.1" customHeight="1" x14ac:dyDescent="0.15"/>
    <row r="22199" s="9" customFormat="1" ht="21.95" customHeight="1" x14ac:dyDescent="0.15"/>
    <row r="22200" s="9" customFormat="1" ht="21.95" customHeight="1" x14ac:dyDescent="0.15"/>
    <row r="22201" s="9" customFormat="1" ht="21.95" customHeight="1" x14ac:dyDescent="0.15"/>
    <row r="22202" s="9" customFormat="1" ht="21.95" customHeight="1" x14ac:dyDescent="0.15"/>
    <row r="22203" s="9" customFormat="1" ht="21.95" customHeight="1" x14ac:dyDescent="0.15"/>
    <row r="22204" s="9" customFormat="1" ht="21.95" customHeight="1" x14ac:dyDescent="0.15"/>
    <row r="22205" s="9" customFormat="1" ht="21.95" customHeight="1" x14ac:dyDescent="0.15"/>
    <row r="22206" s="9" customFormat="1" ht="21.95" customHeight="1" x14ac:dyDescent="0.15"/>
    <row r="22207" s="9" customFormat="1" ht="21.95" customHeight="1" x14ac:dyDescent="0.15"/>
    <row r="22208" s="9" customFormat="1" ht="21.95" customHeight="1" x14ac:dyDescent="0.15"/>
    <row r="22209" spans="3:3" s="9" customFormat="1" ht="21.95" customHeight="1" x14ac:dyDescent="0.15"/>
    <row r="22210" spans="3:3" s="9" customFormat="1" ht="21.95" customHeight="1" x14ac:dyDescent="0.15"/>
    <row r="22211" spans="3:3" s="9" customFormat="1" ht="21.95" customHeight="1" x14ac:dyDescent="0.15"/>
    <row r="22212" spans="3:3" s="9" customFormat="1" ht="21.95" customHeight="1" x14ac:dyDescent="0.15"/>
    <row r="22213" spans="3:3" s="9" customFormat="1" ht="21.95" customHeight="1" x14ac:dyDescent="0.15"/>
    <row r="22214" spans="3:3" s="9" customFormat="1" ht="21.95" customHeight="1" x14ac:dyDescent="0.15"/>
    <row r="22215" spans="3:3" s="9" customFormat="1" ht="21.95" customHeight="1" x14ac:dyDescent="0.15"/>
    <row r="22216" spans="3:3" s="9" customFormat="1" ht="21.95" customHeight="1" x14ac:dyDescent="0.15"/>
    <row r="22217" spans="3:3" s="9" customFormat="1" ht="21.95" customHeight="1" x14ac:dyDescent="0.15"/>
    <row r="22218" spans="3:3" s="9" customFormat="1" ht="21.95" customHeight="1" x14ac:dyDescent="0.15"/>
    <row r="22219" spans="3:3" s="9" customFormat="1" ht="21.95" customHeight="1" x14ac:dyDescent="0.15"/>
    <row r="22220" spans="3:3" s="9" customFormat="1" ht="21.95" customHeight="1" x14ac:dyDescent="0.15"/>
    <row r="22221" spans="3:3" s="9" customFormat="1" ht="21.95" customHeight="1" x14ac:dyDescent="0.15"/>
    <row r="22222" spans="3:3" s="8" customFormat="1" ht="21.95" customHeight="1" x14ac:dyDescent="0.15"/>
    <row r="22223" spans="3:3" s="8" customFormat="1" ht="21.95" customHeight="1" x14ac:dyDescent="0.15"/>
    <row r="22224" spans="3:3" s="8" customFormat="1" ht="21.95" customHeight="1" x14ac:dyDescent="0.15">
      <c r="C22224" s="101"/>
    </row>
    <row r="22225" spans="3:3" s="8" customFormat="1" ht="21.95" customHeight="1" x14ac:dyDescent="0.15">
      <c r="C22225" s="101"/>
    </row>
    <row r="22226" spans="3:3" s="8" customFormat="1" ht="21.95" customHeight="1" x14ac:dyDescent="0.15"/>
    <row r="22227" spans="3:3" s="8" customFormat="1" ht="21.95" customHeight="1" x14ac:dyDescent="0.15"/>
    <row r="22228" spans="3:3" s="8" customFormat="1" ht="21.95" customHeight="1" x14ac:dyDescent="0.15"/>
    <row r="22229" spans="3:3" s="8" customFormat="1" ht="21.95" customHeight="1" x14ac:dyDescent="0.15"/>
    <row r="22230" spans="3:3" s="8" customFormat="1" ht="21.95" customHeight="1" x14ac:dyDescent="0.15"/>
    <row r="22231" spans="3:3" s="8" customFormat="1" ht="21.95" customHeight="1" x14ac:dyDescent="0.15"/>
    <row r="22232" spans="3:3" s="8" customFormat="1" ht="21.95" customHeight="1" x14ac:dyDescent="0.15"/>
    <row r="22233" spans="3:3" s="9" customFormat="1" ht="21.95" customHeight="1" x14ac:dyDescent="0.15"/>
    <row r="22234" spans="3:3" s="9" customFormat="1" ht="21.95" customHeight="1" x14ac:dyDescent="0.15"/>
    <row r="22235" spans="3:3" s="9" customFormat="1" ht="21.95" customHeight="1" x14ac:dyDescent="0.15"/>
    <row r="22236" spans="3:3" s="9" customFormat="1" ht="21.95" customHeight="1" x14ac:dyDescent="0.15"/>
    <row r="22237" spans="3:3" s="8" customFormat="1" ht="21.95" customHeight="1" x14ac:dyDescent="0.15"/>
    <row r="22238" spans="3:3" s="8" customFormat="1" ht="21.95" customHeight="1" x14ac:dyDescent="0.15"/>
    <row r="22239" spans="3:3" s="8" customFormat="1" ht="21.95" customHeight="1" x14ac:dyDescent="0.15"/>
    <row r="22240" spans="3:3" s="8" customFormat="1" ht="21.95" customHeight="1" x14ac:dyDescent="0.15"/>
    <row r="22241" s="8" customFormat="1" ht="21.95" customHeight="1" x14ac:dyDescent="0.15"/>
    <row r="22242" s="8" customFormat="1" ht="21.95" customHeight="1" x14ac:dyDescent="0.15"/>
    <row r="22243" s="8" customFormat="1" ht="21.95" customHeight="1" x14ac:dyDescent="0.15"/>
    <row r="22244" s="8" customFormat="1" ht="21.95" customHeight="1" x14ac:dyDescent="0.15"/>
    <row r="22245" s="8" customFormat="1" ht="21.95" customHeight="1" x14ac:dyDescent="0.15"/>
    <row r="22246" s="8" customFormat="1" ht="21.95" customHeight="1" x14ac:dyDescent="0.15"/>
    <row r="22247" s="8" customFormat="1" ht="21.95" customHeight="1" x14ac:dyDescent="0.15"/>
    <row r="22248" s="8" customFormat="1" ht="32.1" customHeight="1" x14ac:dyDescent="0.15"/>
    <row r="22249" s="8" customFormat="1" ht="32.1" customHeight="1" x14ac:dyDescent="0.15"/>
    <row r="22250" s="8" customFormat="1" ht="32.1" customHeight="1" x14ac:dyDescent="0.15"/>
    <row r="22251" s="8" customFormat="1" ht="32.1" customHeight="1" x14ac:dyDescent="0.15"/>
    <row r="22252" s="8" customFormat="1" ht="32.1" customHeight="1" x14ac:dyDescent="0.15"/>
    <row r="22253" s="8" customFormat="1" ht="32.1" customHeight="1" x14ac:dyDescent="0.15"/>
    <row r="22254" s="9" customFormat="1" ht="32.1" customHeight="1" x14ac:dyDescent="0.15"/>
    <row r="22255" s="9" customFormat="1" ht="32.1" customHeight="1" x14ac:dyDescent="0.15"/>
    <row r="22256" s="9" customFormat="1" ht="32.1" customHeight="1" x14ac:dyDescent="0.15"/>
    <row r="22257" s="9" customFormat="1" ht="32.1" customHeight="1" x14ac:dyDescent="0.15"/>
    <row r="22258" s="9" customFormat="1" ht="21.95" customHeight="1" x14ac:dyDescent="0.15"/>
    <row r="22259" s="9" customFormat="1" ht="54" customHeight="1" x14ac:dyDescent="0.15"/>
    <row r="22260" s="9" customFormat="1" ht="21.95" customHeight="1" x14ac:dyDescent="0.15"/>
    <row r="22261" s="9" customFormat="1" ht="21.95" customHeight="1" x14ac:dyDescent="0.15"/>
    <row r="22262" s="9" customFormat="1" ht="21.95" customHeight="1" x14ac:dyDescent="0.15"/>
    <row r="22263" s="9" customFormat="1" ht="21.95" customHeight="1" x14ac:dyDescent="0.15"/>
    <row r="22264" s="9" customFormat="1" ht="21.95" customHeight="1" x14ac:dyDescent="0.15"/>
    <row r="22265" s="9" customFormat="1" ht="21.95" customHeight="1" x14ac:dyDescent="0.15"/>
    <row r="22266" s="9" customFormat="1" ht="21.95" customHeight="1" x14ac:dyDescent="0.15"/>
    <row r="22267" s="9" customFormat="1" ht="21.95" customHeight="1" x14ac:dyDescent="0.15"/>
    <row r="22268" s="9" customFormat="1" ht="21.95" customHeight="1" x14ac:dyDescent="0.15"/>
    <row r="22269" s="9" customFormat="1" ht="21.95" customHeight="1" x14ac:dyDescent="0.15"/>
    <row r="22270" s="9" customFormat="1" ht="21.95" customHeight="1" x14ac:dyDescent="0.15"/>
    <row r="22271" s="9" customFormat="1" ht="21.95" customHeight="1" x14ac:dyDescent="0.15"/>
    <row r="22272" s="9" customFormat="1" ht="21.95" customHeight="1" x14ac:dyDescent="0.15"/>
    <row r="22273" s="9" customFormat="1" ht="21.95" customHeight="1" x14ac:dyDescent="0.15"/>
    <row r="22274" s="9" customFormat="1" ht="21.95" customHeight="1" x14ac:dyDescent="0.15"/>
    <row r="22275" s="9" customFormat="1" ht="21.95" customHeight="1" x14ac:dyDescent="0.15"/>
    <row r="22276" s="9" customFormat="1" ht="21.95" customHeight="1" x14ac:dyDescent="0.15"/>
    <row r="22277" s="9" customFormat="1" ht="21.95" customHeight="1" x14ac:dyDescent="0.15"/>
    <row r="22278" s="9" customFormat="1" ht="21.95" customHeight="1" x14ac:dyDescent="0.15"/>
    <row r="22279" s="9" customFormat="1" ht="21.95" customHeight="1" x14ac:dyDescent="0.15"/>
    <row r="22280" s="9" customFormat="1" ht="21.95" customHeight="1" x14ac:dyDescent="0.15"/>
    <row r="22281" s="9" customFormat="1" ht="21.95" customHeight="1" x14ac:dyDescent="0.15"/>
    <row r="22282" s="9" customFormat="1" ht="21.95" customHeight="1" x14ac:dyDescent="0.15"/>
    <row r="22283" s="9" customFormat="1" ht="21.95" customHeight="1" x14ac:dyDescent="0.15"/>
    <row r="22284" s="9" customFormat="1" ht="21.95" customHeight="1" x14ac:dyDescent="0.15"/>
    <row r="22285" s="9" customFormat="1" ht="21.95" customHeight="1" x14ac:dyDescent="0.15"/>
    <row r="22286" s="9" customFormat="1" ht="21.95" customHeight="1" x14ac:dyDescent="0.15"/>
    <row r="22287" s="9" customFormat="1" ht="21.95" customHeight="1" x14ac:dyDescent="0.15"/>
    <row r="22288" s="9" customFormat="1" ht="21.95" customHeight="1" x14ac:dyDescent="0.15"/>
    <row r="22289" s="9" customFormat="1" ht="21.95" customHeight="1" x14ac:dyDescent="0.15"/>
    <row r="22290" s="9" customFormat="1" ht="21.95" customHeight="1" x14ac:dyDescent="0.15"/>
    <row r="22291" s="9" customFormat="1" ht="21.95" customHeight="1" x14ac:dyDescent="0.15"/>
    <row r="22292" s="9" customFormat="1" ht="21.95" customHeight="1" x14ac:dyDescent="0.15"/>
    <row r="22293" s="9" customFormat="1" ht="21.95" customHeight="1" x14ac:dyDescent="0.15"/>
    <row r="22294" s="9" customFormat="1" ht="21.95" customHeight="1" x14ac:dyDescent="0.15"/>
    <row r="22295" s="9" customFormat="1" ht="21.95" customHeight="1" x14ac:dyDescent="0.15"/>
    <row r="22296" s="9" customFormat="1" ht="21.95" customHeight="1" x14ac:dyDescent="0.15"/>
    <row r="22297" s="9" customFormat="1" ht="21.95" customHeight="1" x14ac:dyDescent="0.15"/>
    <row r="22298" s="9" customFormat="1" ht="21.95" customHeight="1" x14ac:dyDescent="0.15"/>
    <row r="22299" s="9" customFormat="1" ht="21.95" customHeight="1" x14ac:dyDescent="0.15"/>
    <row r="22300" s="9" customFormat="1" ht="21.95" customHeight="1" x14ac:dyDescent="0.15"/>
    <row r="22301" s="9" customFormat="1" ht="21.95" customHeight="1" x14ac:dyDescent="0.15"/>
    <row r="22302" s="9" customFormat="1" ht="21.95" customHeight="1" x14ac:dyDescent="0.15"/>
    <row r="22303" s="9" customFormat="1" ht="21.95" customHeight="1" x14ac:dyDescent="0.15"/>
    <row r="22304" s="9" customFormat="1" ht="21.95" customHeight="1" x14ac:dyDescent="0.15"/>
    <row r="22305" s="9" customFormat="1" ht="21.95" customHeight="1" x14ac:dyDescent="0.15"/>
    <row r="22306" s="9" customFormat="1" ht="21.95" customHeight="1" x14ac:dyDescent="0.15"/>
    <row r="22307" s="9" customFormat="1" ht="21.95" customHeight="1" x14ac:dyDescent="0.15"/>
    <row r="22308" s="9" customFormat="1" ht="21.95" customHeight="1" x14ac:dyDescent="0.15"/>
    <row r="22309" s="9" customFormat="1" ht="21.95" customHeight="1" x14ac:dyDescent="0.15"/>
    <row r="22310" s="9" customFormat="1" ht="35.1" customHeight="1" x14ac:dyDescent="0.15"/>
    <row r="22311" s="9" customFormat="1" ht="21.95" customHeight="1" x14ac:dyDescent="0.15"/>
    <row r="22312" s="9" customFormat="1" ht="21.95" customHeight="1" x14ac:dyDescent="0.15"/>
    <row r="22313" s="9" customFormat="1" ht="21.95" customHeight="1" x14ac:dyDescent="0.15"/>
    <row r="22314" s="9" customFormat="1" ht="21.95" customHeight="1" x14ac:dyDescent="0.15"/>
    <row r="22315" s="9" customFormat="1" ht="21.95" customHeight="1" x14ac:dyDescent="0.15"/>
    <row r="22316" s="9" customFormat="1" ht="21.95" customHeight="1" x14ac:dyDescent="0.15"/>
    <row r="22317" s="9" customFormat="1" ht="21.95" customHeight="1" x14ac:dyDescent="0.15"/>
    <row r="22318" s="9" customFormat="1" ht="21.95" customHeight="1" x14ac:dyDescent="0.15"/>
    <row r="22319" s="9" customFormat="1" ht="21.95" customHeight="1" x14ac:dyDescent="0.15"/>
    <row r="22320" s="9" customFormat="1" ht="21.95" customHeight="1" x14ac:dyDescent="0.15"/>
    <row r="22321" spans="3:3" s="9" customFormat="1" ht="21.95" customHeight="1" x14ac:dyDescent="0.15"/>
    <row r="22322" spans="3:3" s="9" customFormat="1" ht="21.95" customHeight="1" x14ac:dyDescent="0.15"/>
    <row r="22323" spans="3:3" s="9" customFormat="1" ht="21.95" customHeight="1" x14ac:dyDescent="0.15"/>
    <row r="22324" spans="3:3" s="9" customFormat="1" ht="21.95" customHeight="1" x14ac:dyDescent="0.15"/>
    <row r="22325" spans="3:3" s="9" customFormat="1" ht="21.95" customHeight="1" x14ac:dyDescent="0.15"/>
    <row r="22326" spans="3:3" s="9" customFormat="1" ht="21.95" customHeight="1" x14ac:dyDescent="0.15"/>
    <row r="22327" spans="3:3" s="9" customFormat="1" ht="21.95" customHeight="1" x14ac:dyDescent="0.15"/>
    <row r="22328" spans="3:3" s="9" customFormat="1" ht="21.95" customHeight="1" x14ac:dyDescent="0.15"/>
    <row r="22329" spans="3:3" s="9" customFormat="1" ht="21.95" customHeight="1" x14ac:dyDescent="0.15"/>
    <row r="22330" spans="3:3" s="9" customFormat="1" ht="21.95" customHeight="1" x14ac:dyDescent="0.15"/>
    <row r="22331" spans="3:3" s="9" customFormat="1" ht="21.95" customHeight="1" x14ac:dyDescent="0.15"/>
    <row r="22332" spans="3:3" s="9" customFormat="1" ht="21.95" customHeight="1" x14ac:dyDescent="0.15"/>
    <row r="22333" spans="3:3" s="9" customFormat="1" ht="21.95" customHeight="1" x14ac:dyDescent="0.15"/>
    <row r="22334" spans="3:3" s="8" customFormat="1" ht="21.95" customHeight="1" x14ac:dyDescent="0.15"/>
    <row r="22335" spans="3:3" s="8" customFormat="1" ht="21.95" customHeight="1" x14ac:dyDescent="0.15"/>
    <row r="22336" spans="3:3" s="8" customFormat="1" ht="21.95" customHeight="1" x14ac:dyDescent="0.15">
      <c r="C22336" s="101"/>
    </row>
    <row r="22337" spans="3:3" s="8" customFormat="1" ht="21.95" customHeight="1" x14ac:dyDescent="0.15">
      <c r="C22337" s="101"/>
    </row>
    <row r="22338" spans="3:3" s="8" customFormat="1" ht="21.95" customHeight="1" x14ac:dyDescent="0.15"/>
    <row r="22339" spans="3:3" s="8" customFormat="1" ht="21.95" customHeight="1" x14ac:dyDescent="0.15"/>
    <row r="22340" spans="3:3" s="8" customFormat="1" ht="21.95" customHeight="1" x14ac:dyDescent="0.15"/>
    <row r="22341" spans="3:3" s="8" customFormat="1" ht="21.95" customHeight="1" x14ac:dyDescent="0.15"/>
    <row r="22342" spans="3:3" s="8" customFormat="1" ht="21.95" customHeight="1" x14ac:dyDescent="0.15"/>
    <row r="22343" spans="3:3" s="8" customFormat="1" ht="21.95" customHeight="1" x14ac:dyDescent="0.15"/>
    <row r="22344" spans="3:3" s="8" customFormat="1" ht="21.95" customHeight="1" x14ac:dyDescent="0.15"/>
    <row r="22345" spans="3:3" s="9" customFormat="1" ht="21.95" customHeight="1" x14ac:dyDescent="0.15"/>
    <row r="22346" spans="3:3" s="9" customFormat="1" ht="21.95" customHeight="1" x14ac:dyDescent="0.15"/>
    <row r="22347" spans="3:3" s="9" customFormat="1" ht="21.95" customHeight="1" x14ac:dyDescent="0.15"/>
    <row r="22348" spans="3:3" s="9" customFormat="1" ht="21.95" customHeight="1" x14ac:dyDescent="0.15"/>
    <row r="22349" spans="3:3" s="8" customFormat="1" ht="21.95" customHeight="1" x14ac:dyDescent="0.15"/>
    <row r="22350" spans="3:3" s="8" customFormat="1" ht="21.95" customHeight="1" x14ac:dyDescent="0.15"/>
    <row r="22351" spans="3:3" s="8" customFormat="1" ht="21.95" customHeight="1" x14ac:dyDescent="0.15"/>
    <row r="22352" spans="3:3" s="8" customFormat="1" ht="21.95" customHeight="1" x14ac:dyDescent="0.15"/>
    <row r="22353" s="8" customFormat="1" ht="21.95" customHeight="1" x14ac:dyDescent="0.15"/>
    <row r="22354" s="8" customFormat="1" ht="21.95" customHeight="1" x14ac:dyDescent="0.15"/>
    <row r="22355" s="8" customFormat="1" ht="21.95" customHeight="1" x14ac:dyDescent="0.15"/>
    <row r="22356" s="8" customFormat="1" ht="21.95" customHeight="1" x14ac:dyDescent="0.15"/>
    <row r="22357" s="8" customFormat="1" ht="21.95" customHeight="1" x14ac:dyDescent="0.15"/>
    <row r="22358" s="8" customFormat="1" ht="21.95" customHeight="1" x14ac:dyDescent="0.15"/>
    <row r="22359" s="8" customFormat="1" ht="21.95" customHeight="1" x14ac:dyDescent="0.15"/>
    <row r="22360" s="8" customFormat="1" ht="32.1" customHeight="1" x14ac:dyDescent="0.15"/>
    <row r="22361" s="8" customFormat="1" ht="32.1" customHeight="1" x14ac:dyDescent="0.15"/>
    <row r="22362" s="8" customFormat="1" ht="32.1" customHeight="1" x14ac:dyDescent="0.15"/>
    <row r="22363" s="8" customFormat="1" ht="32.1" customHeight="1" x14ac:dyDescent="0.15"/>
    <row r="22364" s="8" customFormat="1" ht="32.1" customHeight="1" x14ac:dyDescent="0.15"/>
    <row r="22365" s="8" customFormat="1" ht="32.1" customHeight="1" x14ac:dyDescent="0.15"/>
    <row r="22366" s="9" customFormat="1" ht="32.1" customHeight="1" x14ac:dyDescent="0.15"/>
    <row r="22367" s="9" customFormat="1" ht="32.1" customHeight="1" x14ac:dyDescent="0.15"/>
    <row r="22368" s="9" customFormat="1" ht="32.1" customHeight="1" x14ac:dyDescent="0.15"/>
    <row r="22369" s="9" customFormat="1" ht="32.1" customHeight="1" x14ac:dyDescent="0.15"/>
    <row r="22370" s="9" customFormat="1" ht="21.95" customHeight="1" x14ac:dyDescent="0.15"/>
    <row r="22371" s="9" customFormat="1" ht="54" customHeight="1" x14ac:dyDescent="0.15"/>
    <row r="22372" s="9" customFormat="1" ht="21.95" customHeight="1" x14ac:dyDescent="0.15"/>
    <row r="22373" s="9" customFormat="1" ht="21.95" customHeight="1" x14ac:dyDescent="0.15"/>
    <row r="22374" s="9" customFormat="1" ht="21.95" customHeight="1" x14ac:dyDescent="0.15"/>
    <row r="22375" s="9" customFormat="1" ht="21.95" customHeight="1" x14ac:dyDescent="0.15"/>
    <row r="22376" s="9" customFormat="1" ht="21.95" customHeight="1" x14ac:dyDescent="0.15"/>
    <row r="22377" s="9" customFormat="1" ht="21.95" customHeight="1" x14ac:dyDescent="0.15"/>
    <row r="22378" s="9" customFormat="1" ht="21.95" customHeight="1" x14ac:dyDescent="0.15"/>
    <row r="22379" s="9" customFormat="1" ht="21.95" customHeight="1" x14ac:dyDescent="0.15"/>
    <row r="22380" s="9" customFormat="1" ht="21.95" customHeight="1" x14ac:dyDescent="0.15"/>
    <row r="22381" s="9" customFormat="1" ht="21.95" customHeight="1" x14ac:dyDescent="0.15"/>
    <row r="22382" s="9" customFormat="1" ht="21.95" customHeight="1" x14ac:dyDescent="0.15"/>
    <row r="22383" s="9" customFormat="1" ht="21.95" customHeight="1" x14ac:dyDescent="0.15"/>
    <row r="22384" s="9" customFormat="1" ht="21.95" customHeight="1" x14ac:dyDescent="0.15"/>
    <row r="22385" s="9" customFormat="1" ht="21.95" customHeight="1" x14ac:dyDescent="0.15"/>
    <row r="22386" s="9" customFormat="1" ht="21.95" customHeight="1" x14ac:dyDescent="0.15"/>
    <row r="22387" s="9" customFormat="1" ht="21.95" customHeight="1" x14ac:dyDescent="0.15"/>
    <row r="22388" s="9" customFormat="1" ht="21.95" customHeight="1" x14ac:dyDescent="0.15"/>
    <row r="22389" s="9" customFormat="1" ht="21.95" customHeight="1" x14ac:dyDescent="0.15"/>
    <row r="22390" s="9" customFormat="1" ht="21.95" customHeight="1" x14ac:dyDescent="0.15"/>
    <row r="22391" s="9" customFormat="1" ht="21.95" customHeight="1" x14ac:dyDescent="0.15"/>
    <row r="22392" s="9" customFormat="1" ht="21.95" customHeight="1" x14ac:dyDescent="0.15"/>
    <row r="22393" s="9" customFormat="1" ht="21.95" customHeight="1" x14ac:dyDescent="0.15"/>
    <row r="22394" s="9" customFormat="1" ht="21.95" customHeight="1" x14ac:dyDescent="0.15"/>
    <row r="22395" s="9" customFormat="1" ht="21.95" customHeight="1" x14ac:dyDescent="0.15"/>
    <row r="22396" s="9" customFormat="1" ht="21.95" customHeight="1" x14ac:dyDescent="0.15"/>
    <row r="22397" s="9" customFormat="1" ht="21.95" customHeight="1" x14ac:dyDescent="0.15"/>
    <row r="22398" s="9" customFormat="1" ht="21.95" customHeight="1" x14ac:dyDescent="0.15"/>
    <row r="22399" s="9" customFormat="1" ht="21.95" customHeight="1" x14ac:dyDescent="0.15"/>
    <row r="22400" s="9" customFormat="1" ht="21.95" customHeight="1" x14ac:dyDescent="0.15"/>
    <row r="22401" s="9" customFormat="1" ht="21.95" customHeight="1" x14ac:dyDescent="0.15"/>
    <row r="22402" s="9" customFormat="1" ht="21.95" customHeight="1" x14ac:dyDescent="0.15"/>
    <row r="22403" s="9" customFormat="1" ht="21.95" customHeight="1" x14ac:dyDescent="0.15"/>
    <row r="22404" s="9" customFormat="1" ht="21.95" customHeight="1" x14ac:dyDescent="0.15"/>
    <row r="22405" s="9" customFormat="1" ht="21.95" customHeight="1" x14ac:dyDescent="0.15"/>
    <row r="22406" s="9" customFormat="1" ht="21.95" customHeight="1" x14ac:dyDescent="0.15"/>
    <row r="22407" s="9" customFormat="1" ht="21.95" customHeight="1" x14ac:dyDescent="0.15"/>
    <row r="22408" s="9" customFormat="1" ht="21.95" customHeight="1" x14ac:dyDescent="0.15"/>
    <row r="22409" s="9" customFormat="1" ht="21.95" customHeight="1" x14ac:dyDescent="0.15"/>
    <row r="22410" s="9" customFormat="1" ht="21.95" customHeight="1" x14ac:dyDescent="0.15"/>
    <row r="22411" s="9" customFormat="1" ht="21.95" customHeight="1" x14ac:dyDescent="0.15"/>
    <row r="22412" s="9" customFormat="1" ht="21.95" customHeight="1" x14ac:dyDescent="0.15"/>
    <row r="22413" s="9" customFormat="1" ht="21.95" customHeight="1" x14ac:dyDescent="0.15"/>
    <row r="22414" s="9" customFormat="1" ht="21.95" customHeight="1" x14ac:dyDescent="0.15"/>
    <row r="22415" s="9" customFormat="1" ht="21.95" customHeight="1" x14ac:dyDescent="0.15"/>
    <row r="22416" s="9" customFormat="1" ht="21.95" customHeight="1" x14ac:dyDescent="0.15"/>
    <row r="22417" s="9" customFormat="1" ht="21.95" customHeight="1" x14ac:dyDescent="0.15"/>
    <row r="22418" s="9" customFormat="1" ht="21.95" customHeight="1" x14ac:dyDescent="0.15"/>
    <row r="22419" s="9" customFormat="1" ht="21.95" customHeight="1" x14ac:dyDescent="0.15"/>
    <row r="22420" s="9" customFormat="1" ht="21.95" customHeight="1" x14ac:dyDescent="0.15"/>
    <row r="22421" s="9" customFormat="1" ht="21.95" customHeight="1" x14ac:dyDescent="0.15"/>
    <row r="22422" s="9" customFormat="1" ht="35.1" customHeight="1" x14ac:dyDescent="0.15"/>
    <row r="22423" s="9" customFormat="1" ht="21.95" customHeight="1" x14ac:dyDescent="0.15"/>
    <row r="22424" s="9" customFormat="1" ht="21.95" customHeight="1" x14ac:dyDescent="0.15"/>
    <row r="22425" s="9" customFormat="1" ht="21.95" customHeight="1" x14ac:dyDescent="0.15"/>
    <row r="22426" s="9" customFormat="1" ht="21.95" customHeight="1" x14ac:dyDescent="0.15"/>
    <row r="22427" s="9" customFormat="1" ht="21.95" customHeight="1" x14ac:dyDescent="0.15"/>
    <row r="22428" s="9" customFormat="1" ht="21.95" customHeight="1" x14ac:dyDescent="0.15"/>
    <row r="22429" s="9" customFormat="1" ht="21.95" customHeight="1" x14ac:dyDescent="0.15"/>
    <row r="22430" s="9" customFormat="1" ht="21.95" customHeight="1" x14ac:dyDescent="0.15"/>
    <row r="22431" s="9" customFormat="1" ht="21.95" customHeight="1" x14ac:dyDescent="0.15"/>
    <row r="22432" s="9" customFormat="1" ht="21.95" customHeight="1" x14ac:dyDescent="0.15"/>
    <row r="22433" spans="3:3" s="9" customFormat="1" ht="21.95" customHeight="1" x14ac:dyDescent="0.15"/>
    <row r="22434" spans="3:3" s="9" customFormat="1" ht="21.95" customHeight="1" x14ac:dyDescent="0.15"/>
    <row r="22435" spans="3:3" s="9" customFormat="1" ht="21.95" customHeight="1" x14ac:dyDescent="0.15"/>
    <row r="22436" spans="3:3" s="9" customFormat="1" ht="21.95" customHeight="1" x14ac:dyDescent="0.15"/>
    <row r="22437" spans="3:3" s="9" customFormat="1" ht="21.95" customHeight="1" x14ac:dyDescent="0.15"/>
    <row r="22438" spans="3:3" s="9" customFormat="1" ht="21.95" customHeight="1" x14ac:dyDescent="0.15"/>
    <row r="22439" spans="3:3" s="9" customFormat="1" ht="21.95" customHeight="1" x14ac:dyDescent="0.15"/>
    <row r="22440" spans="3:3" s="9" customFormat="1" ht="21.95" customHeight="1" x14ac:dyDescent="0.15"/>
    <row r="22441" spans="3:3" s="9" customFormat="1" ht="21.95" customHeight="1" x14ac:dyDescent="0.15"/>
    <row r="22442" spans="3:3" s="9" customFormat="1" ht="21.95" customHeight="1" x14ac:dyDescent="0.15"/>
    <row r="22443" spans="3:3" s="9" customFormat="1" ht="21.95" customHeight="1" x14ac:dyDescent="0.15"/>
    <row r="22444" spans="3:3" s="9" customFormat="1" ht="21.95" customHeight="1" x14ac:dyDescent="0.15"/>
    <row r="22445" spans="3:3" s="9" customFormat="1" ht="21.95" customHeight="1" x14ac:dyDescent="0.15"/>
    <row r="22446" spans="3:3" s="8" customFormat="1" ht="21.95" customHeight="1" x14ac:dyDescent="0.15"/>
    <row r="22447" spans="3:3" s="8" customFormat="1" ht="21.95" customHeight="1" x14ac:dyDescent="0.15"/>
    <row r="22448" spans="3:3" s="8" customFormat="1" ht="21.95" customHeight="1" x14ac:dyDescent="0.15">
      <c r="C22448" s="101"/>
    </row>
    <row r="22449" spans="3:3" s="8" customFormat="1" ht="21.95" customHeight="1" x14ac:dyDescent="0.15">
      <c r="C22449" s="101"/>
    </row>
    <row r="22450" spans="3:3" s="8" customFormat="1" ht="21.95" customHeight="1" x14ac:dyDescent="0.15"/>
    <row r="22451" spans="3:3" s="8" customFormat="1" ht="21.95" customHeight="1" x14ac:dyDescent="0.15"/>
    <row r="22452" spans="3:3" s="8" customFormat="1" ht="21.95" customHeight="1" x14ac:dyDescent="0.15"/>
    <row r="22453" spans="3:3" s="8" customFormat="1" ht="21.95" customHeight="1" x14ac:dyDescent="0.15"/>
    <row r="22454" spans="3:3" s="8" customFormat="1" ht="21.95" customHeight="1" x14ac:dyDescent="0.15"/>
    <row r="22455" spans="3:3" s="8" customFormat="1" ht="21.95" customHeight="1" x14ac:dyDescent="0.15"/>
    <row r="22456" spans="3:3" s="8" customFormat="1" ht="21.95" customHeight="1" x14ac:dyDescent="0.15"/>
    <row r="22457" spans="3:3" s="9" customFormat="1" ht="21.95" customHeight="1" x14ac:dyDescent="0.15"/>
    <row r="22458" spans="3:3" s="9" customFormat="1" ht="21.95" customHeight="1" x14ac:dyDescent="0.15"/>
    <row r="22459" spans="3:3" s="9" customFormat="1" ht="21.95" customHeight="1" x14ac:dyDescent="0.15"/>
    <row r="22460" spans="3:3" s="9" customFormat="1" ht="21.95" customHeight="1" x14ac:dyDescent="0.15"/>
    <row r="22461" spans="3:3" s="8" customFormat="1" ht="21.95" customHeight="1" x14ac:dyDescent="0.15"/>
    <row r="22462" spans="3:3" s="8" customFormat="1" ht="21.95" customHeight="1" x14ac:dyDescent="0.15"/>
    <row r="22463" spans="3:3" s="8" customFormat="1" ht="21.95" customHeight="1" x14ac:dyDescent="0.15"/>
    <row r="22464" spans="3:3" s="8" customFormat="1" ht="21.95" customHeight="1" x14ac:dyDescent="0.15"/>
    <row r="22465" s="8" customFormat="1" ht="21.95" customHeight="1" x14ac:dyDescent="0.15"/>
    <row r="22466" s="8" customFormat="1" ht="21.95" customHeight="1" x14ac:dyDescent="0.15"/>
    <row r="22467" s="8" customFormat="1" ht="21.95" customHeight="1" x14ac:dyDescent="0.15"/>
    <row r="22468" s="8" customFormat="1" ht="21.95" customHeight="1" x14ac:dyDescent="0.15"/>
    <row r="22469" s="8" customFormat="1" ht="21.95" customHeight="1" x14ac:dyDescent="0.15"/>
    <row r="22470" s="8" customFormat="1" ht="21.95" customHeight="1" x14ac:dyDescent="0.15"/>
    <row r="22471" s="8" customFormat="1" ht="21.95" customHeight="1" x14ac:dyDescent="0.15"/>
    <row r="22472" s="8" customFormat="1" ht="32.1" customHeight="1" x14ac:dyDescent="0.15"/>
    <row r="22473" s="8" customFormat="1" ht="32.1" customHeight="1" x14ac:dyDescent="0.15"/>
    <row r="22474" s="8" customFormat="1" ht="32.1" customHeight="1" x14ac:dyDescent="0.15"/>
    <row r="22475" s="8" customFormat="1" ht="32.1" customHeight="1" x14ac:dyDescent="0.15"/>
    <row r="22476" s="8" customFormat="1" ht="32.1" customHeight="1" x14ac:dyDescent="0.15"/>
    <row r="22477" s="8" customFormat="1" ht="32.1" customHeight="1" x14ac:dyDescent="0.15"/>
    <row r="22478" s="9" customFormat="1" ht="32.1" customHeight="1" x14ac:dyDescent="0.15"/>
    <row r="22479" s="9" customFormat="1" ht="32.1" customHeight="1" x14ac:dyDescent="0.15"/>
    <row r="22480" s="9" customFormat="1" ht="32.1" customHeight="1" x14ac:dyDescent="0.15"/>
    <row r="22481" s="9" customFormat="1" ht="32.1" customHeight="1" x14ac:dyDescent="0.15"/>
    <row r="22482" s="9" customFormat="1" ht="21.95" customHeight="1" x14ac:dyDescent="0.15"/>
    <row r="22483" s="9" customFormat="1" ht="54" customHeight="1" x14ac:dyDescent="0.15"/>
    <row r="22484" s="9" customFormat="1" ht="21.95" customHeight="1" x14ac:dyDescent="0.15"/>
    <row r="22485" s="9" customFormat="1" ht="21.95" customHeight="1" x14ac:dyDescent="0.15"/>
    <row r="22486" s="9" customFormat="1" ht="21.95" customHeight="1" x14ac:dyDescent="0.15"/>
    <row r="22487" s="9" customFormat="1" ht="21.95" customHeight="1" x14ac:dyDescent="0.15"/>
    <row r="22488" s="9" customFormat="1" ht="21.95" customHeight="1" x14ac:dyDescent="0.15"/>
    <row r="22489" s="9" customFormat="1" ht="21.95" customHeight="1" x14ac:dyDescent="0.15"/>
    <row r="22490" s="9" customFormat="1" ht="21.95" customHeight="1" x14ac:dyDescent="0.15"/>
    <row r="22491" s="9" customFormat="1" ht="21.95" customHeight="1" x14ac:dyDescent="0.15"/>
    <row r="22492" s="9" customFormat="1" ht="21.95" customHeight="1" x14ac:dyDescent="0.15"/>
    <row r="22493" s="9" customFormat="1" ht="21.95" customHeight="1" x14ac:dyDescent="0.15"/>
    <row r="22494" s="9" customFormat="1" ht="21.95" customHeight="1" x14ac:dyDescent="0.15"/>
    <row r="22495" s="9" customFormat="1" ht="21.95" customHeight="1" x14ac:dyDescent="0.15"/>
    <row r="22496" s="9" customFormat="1" ht="21.95" customHeight="1" x14ac:dyDescent="0.15"/>
    <row r="22497" s="9" customFormat="1" ht="21.95" customHeight="1" x14ac:dyDescent="0.15"/>
    <row r="22498" s="9" customFormat="1" ht="21.95" customHeight="1" x14ac:dyDescent="0.15"/>
    <row r="22499" s="9" customFormat="1" ht="21.95" customHeight="1" x14ac:dyDescent="0.15"/>
    <row r="22500" s="9" customFormat="1" ht="21.95" customHeight="1" x14ac:dyDescent="0.15"/>
    <row r="22501" s="9" customFormat="1" ht="21.95" customHeight="1" x14ac:dyDescent="0.15"/>
    <row r="22502" s="9" customFormat="1" ht="21.95" customHeight="1" x14ac:dyDescent="0.15"/>
    <row r="22503" s="9" customFormat="1" ht="21.95" customHeight="1" x14ac:dyDescent="0.15"/>
    <row r="22504" s="9" customFormat="1" ht="21.95" customHeight="1" x14ac:dyDescent="0.15"/>
    <row r="22505" s="9" customFormat="1" ht="21.95" customHeight="1" x14ac:dyDescent="0.15"/>
    <row r="22506" s="9" customFormat="1" ht="21.95" customHeight="1" x14ac:dyDescent="0.15"/>
    <row r="22507" s="9" customFormat="1" ht="21.95" customHeight="1" x14ac:dyDescent="0.15"/>
    <row r="22508" s="9" customFormat="1" ht="21.95" customHeight="1" x14ac:dyDescent="0.15"/>
    <row r="22509" s="9" customFormat="1" ht="21.95" customHeight="1" x14ac:dyDescent="0.15"/>
    <row r="22510" s="9" customFormat="1" ht="21.95" customHeight="1" x14ac:dyDescent="0.15"/>
    <row r="22511" s="9" customFormat="1" ht="21.95" customHeight="1" x14ac:dyDescent="0.15"/>
    <row r="22512" s="9" customFormat="1" ht="21.95" customHeight="1" x14ac:dyDescent="0.15"/>
    <row r="22513" s="9" customFormat="1" ht="21.95" customHeight="1" x14ac:dyDescent="0.15"/>
    <row r="22514" s="9" customFormat="1" ht="21.95" customHeight="1" x14ac:dyDescent="0.15"/>
    <row r="22515" s="9" customFormat="1" ht="21.95" customHeight="1" x14ac:dyDescent="0.15"/>
    <row r="22516" s="9" customFormat="1" ht="21.95" customHeight="1" x14ac:dyDescent="0.15"/>
    <row r="22517" s="9" customFormat="1" ht="21.95" customHeight="1" x14ac:dyDescent="0.15"/>
    <row r="22518" s="9" customFormat="1" ht="21.95" customHeight="1" x14ac:dyDescent="0.15"/>
    <row r="22519" s="9" customFormat="1" ht="21.95" customHeight="1" x14ac:dyDescent="0.15"/>
    <row r="22520" s="9" customFormat="1" ht="21.95" customHeight="1" x14ac:dyDescent="0.15"/>
    <row r="22521" s="9" customFormat="1" ht="21.95" customHeight="1" x14ac:dyDescent="0.15"/>
    <row r="22522" s="9" customFormat="1" ht="21.95" customHeight="1" x14ac:dyDescent="0.15"/>
    <row r="22523" s="9" customFormat="1" ht="21.95" customHeight="1" x14ac:dyDescent="0.15"/>
    <row r="22524" s="9" customFormat="1" ht="21.95" customHeight="1" x14ac:dyDescent="0.15"/>
    <row r="22525" s="9" customFormat="1" ht="21.95" customHeight="1" x14ac:dyDescent="0.15"/>
    <row r="22526" s="9" customFormat="1" ht="21.95" customHeight="1" x14ac:dyDescent="0.15"/>
    <row r="22527" s="9" customFormat="1" ht="21.95" customHeight="1" x14ac:dyDescent="0.15"/>
    <row r="22528" s="9" customFormat="1" ht="21.95" customHeight="1" x14ac:dyDescent="0.15"/>
    <row r="22529" s="9" customFormat="1" ht="21.95" customHeight="1" x14ac:dyDescent="0.15"/>
    <row r="22530" s="9" customFormat="1" ht="21.95" customHeight="1" x14ac:dyDescent="0.15"/>
    <row r="22531" s="9" customFormat="1" ht="21.95" customHeight="1" x14ac:dyDescent="0.15"/>
    <row r="22532" s="9" customFormat="1" ht="21.95" customHeight="1" x14ac:dyDescent="0.15"/>
    <row r="22533" s="9" customFormat="1" ht="21.95" customHeight="1" x14ac:dyDescent="0.15"/>
    <row r="22534" s="9" customFormat="1" ht="35.1" customHeight="1" x14ac:dyDescent="0.15"/>
    <row r="22535" s="9" customFormat="1" ht="21.95" customHeight="1" x14ac:dyDescent="0.15"/>
    <row r="22536" s="9" customFormat="1" ht="21.95" customHeight="1" x14ac:dyDescent="0.15"/>
    <row r="22537" s="9" customFormat="1" ht="21.95" customHeight="1" x14ac:dyDescent="0.15"/>
    <row r="22538" s="9" customFormat="1" ht="21.95" customHeight="1" x14ac:dyDescent="0.15"/>
    <row r="22539" s="9" customFormat="1" ht="21.95" customHeight="1" x14ac:dyDescent="0.15"/>
    <row r="22540" s="9" customFormat="1" ht="21.95" customHeight="1" x14ac:dyDescent="0.15"/>
    <row r="22541" s="9" customFormat="1" ht="21.95" customHeight="1" x14ac:dyDescent="0.15"/>
    <row r="22542" s="9" customFormat="1" ht="21.95" customHeight="1" x14ac:dyDescent="0.15"/>
    <row r="22543" s="9" customFormat="1" ht="21.95" customHeight="1" x14ac:dyDescent="0.15"/>
    <row r="22544" s="9" customFormat="1" ht="21.95" customHeight="1" x14ac:dyDescent="0.15"/>
    <row r="22545" spans="3:3" s="9" customFormat="1" ht="21.95" customHeight="1" x14ac:dyDescent="0.15"/>
    <row r="22546" spans="3:3" s="9" customFormat="1" ht="21.95" customHeight="1" x14ac:dyDescent="0.15"/>
    <row r="22547" spans="3:3" s="9" customFormat="1" ht="21.95" customHeight="1" x14ac:dyDescent="0.15"/>
    <row r="22548" spans="3:3" s="9" customFormat="1" ht="21.95" customHeight="1" x14ac:dyDescent="0.15"/>
    <row r="22549" spans="3:3" s="9" customFormat="1" ht="21.95" customHeight="1" x14ac:dyDescent="0.15"/>
    <row r="22550" spans="3:3" s="9" customFormat="1" ht="21.95" customHeight="1" x14ac:dyDescent="0.15"/>
    <row r="22551" spans="3:3" s="9" customFormat="1" ht="21.95" customHeight="1" x14ac:dyDescent="0.15"/>
    <row r="22552" spans="3:3" s="9" customFormat="1" ht="21.95" customHeight="1" x14ac:dyDescent="0.15"/>
    <row r="22553" spans="3:3" s="9" customFormat="1" ht="21.95" customHeight="1" x14ac:dyDescent="0.15"/>
    <row r="22554" spans="3:3" s="9" customFormat="1" ht="21.95" customHeight="1" x14ac:dyDescent="0.15"/>
    <row r="22555" spans="3:3" s="9" customFormat="1" ht="21.95" customHeight="1" x14ac:dyDescent="0.15"/>
    <row r="22556" spans="3:3" s="9" customFormat="1" ht="21.95" customHeight="1" x14ac:dyDescent="0.15"/>
    <row r="22557" spans="3:3" s="9" customFormat="1" ht="21.95" customHeight="1" x14ac:dyDescent="0.15"/>
    <row r="22558" spans="3:3" s="8" customFormat="1" ht="21.95" customHeight="1" x14ac:dyDescent="0.15"/>
    <row r="22559" spans="3:3" s="8" customFormat="1" ht="21.95" customHeight="1" x14ac:dyDescent="0.15"/>
    <row r="22560" spans="3:3" s="8" customFormat="1" ht="21.95" customHeight="1" x14ac:dyDescent="0.15">
      <c r="C22560" s="101"/>
    </row>
    <row r="22561" spans="3:3" s="8" customFormat="1" ht="21.95" customHeight="1" x14ac:dyDescent="0.15">
      <c r="C22561" s="101"/>
    </row>
    <row r="22562" spans="3:3" s="8" customFormat="1" ht="21.95" customHeight="1" x14ac:dyDescent="0.15"/>
    <row r="22563" spans="3:3" s="8" customFormat="1" ht="21.95" customHeight="1" x14ac:dyDescent="0.15"/>
    <row r="22564" spans="3:3" s="8" customFormat="1" ht="21.95" customHeight="1" x14ac:dyDescent="0.15"/>
    <row r="22565" spans="3:3" s="8" customFormat="1" ht="21.95" customHeight="1" x14ac:dyDescent="0.15"/>
    <row r="22566" spans="3:3" s="8" customFormat="1" ht="21.95" customHeight="1" x14ac:dyDescent="0.15"/>
    <row r="22567" spans="3:3" s="8" customFormat="1" ht="21.95" customHeight="1" x14ac:dyDescent="0.15"/>
    <row r="22568" spans="3:3" s="8" customFormat="1" ht="21.95" customHeight="1" x14ac:dyDescent="0.15"/>
    <row r="22569" spans="3:3" s="9" customFormat="1" ht="21.95" customHeight="1" x14ac:dyDescent="0.15"/>
    <row r="22570" spans="3:3" s="9" customFormat="1" ht="21.95" customHeight="1" x14ac:dyDescent="0.15"/>
    <row r="22571" spans="3:3" s="9" customFormat="1" ht="21.95" customHeight="1" x14ac:dyDescent="0.15"/>
    <row r="22572" spans="3:3" s="9" customFormat="1" ht="21.95" customHeight="1" x14ac:dyDescent="0.15"/>
    <row r="22573" spans="3:3" s="8" customFormat="1" ht="21.95" customHeight="1" x14ac:dyDescent="0.15"/>
    <row r="22574" spans="3:3" s="8" customFormat="1" ht="21.95" customHeight="1" x14ac:dyDescent="0.15"/>
    <row r="22575" spans="3:3" s="8" customFormat="1" ht="21.95" customHeight="1" x14ac:dyDescent="0.15"/>
    <row r="22576" spans="3:3" s="8" customFormat="1" ht="21.95" customHeight="1" x14ac:dyDescent="0.15"/>
    <row r="22577" s="8" customFormat="1" ht="21.95" customHeight="1" x14ac:dyDescent="0.15"/>
    <row r="22578" s="8" customFormat="1" ht="21.95" customHeight="1" x14ac:dyDescent="0.15"/>
    <row r="22579" s="8" customFormat="1" ht="21.95" customHeight="1" x14ac:dyDescent="0.15"/>
    <row r="22580" s="8" customFormat="1" ht="21.95" customHeight="1" x14ac:dyDescent="0.15"/>
    <row r="22581" s="8" customFormat="1" ht="21.95" customHeight="1" x14ac:dyDescent="0.15"/>
    <row r="22582" s="8" customFormat="1" ht="21.95" customHeight="1" x14ac:dyDescent="0.15"/>
    <row r="22583" s="8" customFormat="1" ht="21.95" customHeight="1" x14ac:dyDescent="0.15"/>
    <row r="22584" s="8" customFormat="1" ht="32.1" customHeight="1" x14ac:dyDescent="0.15"/>
    <row r="22585" s="8" customFormat="1" ht="32.1" customHeight="1" x14ac:dyDescent="0.15"/>
    <row r="22586" s="8" customFormat="1" ht="32.1" customHeight="1" x14ac:dyDescent="0.15"/>
    <row r="22587" s="8" customFormat="1" ht="32.1" customHeight="1" x14ac:dyDescent="0.15"/>
    <row r="22588" s="8" customFormat="1" ht="32.1" customHeight="1" x14ac:dyDescent="0.15"/>
    <row r="22589" s="8" customFormat="1" ht="32.1" customHeight="1" x14ac:dyDescent="0.15"/>
    <row r="22590" s="9" customFormat="1" ht="32.1" customHeight="1" x14ac:dyDescent="0.15"/>
    <row r="22591" s="9" customFormat="1" ht="32.1" customHeight="1" x14ac:dyDescent="0.15"/>
    <row r="22592" s="9" customFormat="1" ht="32.1" customHeight="1" x14ac:dyDescent="0.15"/>
    <row r="22593" s="9" customFormat="1" ht="32.1" customHeight="1" x14ac:dyDescent="0.15"/>
    <row r="22594" s="9" customFormat="1" ht="21.95" customHeight="1" x14ac:dyDescent="0.15"/>
    <row r="22595" s="9" customFormat="1" ht="54" customHeight="1" x14ac:dyDescent="0.15"/>
    <row r="22596" s="9" customFormat="1" ht="21.95" customHeight="1" x14ac:dyDescent="0.15"/>
    <row r="22597" s="9" customFormat="1" ht="21.95" customHeight="1" x14ac:dyDescent="0.15"/>
    <row r="22598" s="9" customFormat="1" ht="21.95" customHeight="1" x14ac:dyDescent="0.15"/>
    <row r="22599" s="9" customFormat="1" ht="21.95" customHeight="1" x14ac:dyDescent="0.15"/>
    <row r="22600" s="9" customFormat="1" ht="21.95" customHeight="1" x14ac:dyDescent="0.15"/>
    <row r="22601" s="9" customFormat="1" ht="21.95" customHeight="1" x14ac:dyDescent="0.15"/>
    <row r="22602" s="9" customFormat="1" ht="21.95" customHeight="1" x14ac:dyDescent="0.15"/>
    <row r="22603" s="9" customFormat="1" ht="21.95" customHeight="1" x14ac:dyDescent="0.15"/>
    <row r="22604" s="9" customFormat="1" ht="21.95" customHeight="1" x14ac:dyDescent="0.15"/>
    <row r="22605" s="9" customFormat="1" ht="21.95" customHeight="1" x14ac:dyDescent="0.15"/>
    <row r="22606" s="9" customFormat="1" ht="21.95" customHeight="1" x14ac:dyDescent="0.15"/>
    <row r="22607" s="9" customFormat="1" ht="21.95" customHeight="1" x14ac:dyDescent="0.15"/>
    <row r="22608" s="9" customFormat="1" ht="21.95" customHeight="1" x14ac:dyDescent="0.15"/>
    <row r="22609" s="9" customFormat="1" ht="21.95" customHeight="1" x14ac:dyDescent="0.15"/>
    <row r="22610" s="9" customFormat="1" ht="21.95" customHeight="1" x14ac:dyDescent="0.15"/>
    <row r="22611" s="9" customFormat="1" ht="21.95" customHeight="1" x14ac:dyDescent="0.15"/>
    <row r="22612" s="9" customFormat="1" ht="21.95" customHeight="1" x14ac:dyDescent="0.15"/>
    <row r="22613" s="9" customFormat="1" ht="21.95" customHeight="1" x14ac:dyDescent="0.15"/>
    <row r="22614" s="9" customFormat="1" ht="21.95" customHeight="1" x14ac:dyDescent="0.15"/>
    <row r="22615" s="9" customFormat="1" ht="21.95" customHeight="1" x14ac:dyDescent="0.15"/>
    <row r="22616" s="9" customFormat="1" ht="21.95" customHeight="1" x14ac:dyDescent="0.15"/>
    <row r="22617" s="9" customFormat="1" ht="21.95" customHeight="1" x14ac:dyDescent="0.15"/>
    <row r="22618" s="9" customFormat="1" ht="21.95" customHeight="1" x14ac:dyDescent="0.15"/>
    <row r="22619" s="9" customFormat="1" ht="21.95" customHeight="1" x14ac:dyDescent="0.15"/>
    <row r="22620" s="9" customFormat="1" ht="21.95" customHeight="1" x14ac:dyDescent="0.15"/>
    <row r="22621" s="9" customFormat="1" ht="21.95" customHeight="1" x14ac:dyDescent="0.15"/>
    <row r="22622" s="9" customFormat="1" ht="21.95" customHeight="1" x14ac:dyDescent="0.15"/>
    <row r="22623" s="9" customFormat="1" ht="21.95" customHeight="1" x14ac:dyDescent="0.15"/>
    <row r="22624" s="9" customFormat="1" ht="21.95" customHeight="1" x14ac:dyDescent="0.15"/>
    <row r="22625" s="9" customFormat="1" ht="21.95" customHeight="1" x14ac:dyDescent="0.15"/>
    <row r="22626" s="9" customFormat="1" ht="21.95" customHeight="1" x14ac:dyDescent="0.15"/>
    <row r="22627" s="9" customFormat="1" ht="21.95" customHeight="1" x14ac:dyDescent="0.15"/>
    <row r="22628" s="9" customFormat="1" ht="21.95" customHeight="1" x14ac:dyDescent="0.15"/>
    <row r="22629" s="9" customFormat="1" ht="21.95" customHeight="1" x14ac:dyDescent="0.15"/>
    <row r="22630" s="9" customFormat="1" ht="21.95" customHeight="1" x14ac:dyDescent="0.15"/>
    <row r="22631" s="9" customFormat="1" ht="21.95" customHeight="1" x14ac:dyDescent="0.15"/>
    <row r="22632" s="9" customFormat="1" ht="21.95" customHeight="1" x14ac:dyDescent="0.15"/>
    <row r="22633" s="9" customFormat="1" ht="21.95" customHeight="1" x14ac:dyDescent="0.15"/>
    <row r="22634" s="9" customFormat="1" ht="21.95" customHeight="1" x14ac:dyDescent="0.15"/>
    <row r="22635" s="9" customFormat="1" ht="21.95" customHeight="1" x14ac:dyDescent="0.15"/>
    <row r="22636" s="9" customFormat="1" ht="21.95" customHeight="1" x14ac:dyDescent="0.15"/>
    <row r="22637" s="9" customFormat="1" ht="21.95" customHeight="1" x14ac:dyDescent="0.15"/>
    <row r="22638" s="9" customFormat="1" ht="21.95" customHeight="1" x14ac:dyDescent="0.15"/>
    <row r="22639" s="9" customFormat="1" ht="21.95" customHeight="1" x14ac:dyDescent="0.15"/>
    <row r="22640" s="9" customFormat="1" ht="21.95" customHeight="1" x14ac:dyDescent="0.15"/>
    <row r="22641" s="9" customFormat="1" ht="21.95" customHeight="1" x14ac:dyDescent="0.15"/>
    <row r="22642" s="9" customFormat="1" ht="21.95" customHeight="1" x14ac:dyDescent="0.15"/>
    <row r="22643" s="9" customFormat="1" ht="21.95" customHeight="1" x14ac:dyDescent="0.15"/>
    <row r="22644" s="9" customFormat="1" ht="21.95" customHeight="1" x14ac:dyDescent="0.15"/>
    <row r="22645" s="9" customFormat="1" ht="21.95" customHeight="1" x14ac:dyDescent="0.15"/>
    <row r="22646" s="9" customFormat="1" ht="35.1" customHeight="1" x14ac:dyDescent="0.15"/>
    <row r="22647" s="9" customFormat="1" ht="21.95" customHeight="1" x14ac:dyDescent="0.15"/>
    <row r="22648" s="9" customFormat="1" ht="21.95" customHeight="1" x14ac:dyDescent="0.15"/>
    <row r="22649" s="9" customFormat="1" ht="21.95" customHeight="1" x14ac:dyDescent="0.15"/>
    <row r="22650" s="9" customFormat="1" ht="21.95" customHeight="1" x14ac:dyDescent="0.15"/>
    <row r="22651" s="9" customFormat="1" ht="21.95" customHeight="1" x14ac:dyDescent="0.15"/>
    <row r="22652" s="9" customFormat="1" ht="21.95" customHeight="1" x14ac:dyDescent="0.15"/>
    <row r="22653" s="9" customFormat="1" ht="21.95" customHeight="1" x14ac:dyDescent="0.15"/>
    <row r="22654" s="9" customFormat="1" ht="21.95" customHeight="1" x14ac:dyDescent="0.15"/>
    <row r="22655" s="9" customFormat="1" ht="21.95" customHeight="1" x14ac:dyDescent="0.15"/>
    <row r="22656" s="9" customFormat="1" ht="21.95" customHeight="1" x14ac:dyDescent="0.15"/>
    <row r="22657" spans="3:3" s="9" customFormat="1" ht="21.95" customHeight="1" x14ac:dyDescent="0.15"/>
    <row r="22658" spans="3:3" s="9" customFormat="1" ht="21.95" customHeight="1" x14ac:dyDescent="0.15"/>
    <row r="22659" spans="3:3" s="9" customFormat="1" ht="21.95" customHeight="1" x14ac:dyDescent="0.15"/>
    <row r="22660" spans="3:3" s="9" customFormat="1" ht="21.95" customHeight="1" x14ac:dyDescent="0.15"/>
    <row r="22661" spans="3:3" s="9" customFormat="1" ht="21.95" customHeight="1" x14ac:dyDescent="0.15"/>
    <row r="22662" spans="3:3" s="9" customFormat="1" ht="21.95" customHeight="1" x14ac:dyDescent="0.15"/>
    <row r="22663" spans="3:3" s="9" customFormat="1" ht="21.95" customHeight="1" x14ac:dyDescent="0.15"/>
    <row r="22664" spans="3:3" s="9" customFormat="1" ht="21.95" customHeight="1" x14ac:dyDescent="0.15"/>
    <row r="22665" spans="3:3" s="9" customFormat="1" ht="21.95" customHeight="1" x14ac:dyDescent="0.15"/>
    <row r="22666" spans="3:3" s="9" customFormat="1" ht="21.95" customHeight="1" x14ac:dyDescent="0.15"/>
    <row r="22667" spans="3:3" s="9" customFormat="1" ht="21.95" customHeight="1" x14ac:dyDescent="0.15"/>
    <row r="22668" spans="3:3" s="9" customFormat="1" ht="21.95" customHeight="1" x14ac:dyDescent="0.15"/>
    <row r="22669" spans="3:3" s="9" customFormat="1" ht="21.95" customHeight="1" x14ac:dyDescent="0.15"/>
    <row r="22670" spans="3:3" s="8" customFormat="1" ht="21.95" customHeight="1" x14ac:dyDescent="0.15"/>
    <row r="22671" spans="3:3" s="8" customFormat="1" ht="21.95" customHeight="1" x14ac:dyDescent="0.15"/>
    <row r="22672" spans="3:3" s="8" customFormat="1" ht="21.95" customHeight="1" x14ac:dyDescent="0.15">
      <c r="C22672" s="101"/>
    </row>
    <row r="22673" spans="3:3" s="8" customFormat="1" ht="21.95" customHeight="1" x14ac:dyDescent="0.15">
      <c r="C22673" s="101"/>
    </row>
    <row r="22674" spans="3:3" s="8" customFormat="1" ht="21.95" customHeight="1" x14ac:dyDescent="0.15"/>
    <row r="22675" spans="3:3" s="8" customFormat="1" ht="21.95" customHeight="1" x14ac:dyDescent="0.15"/>
    <row r="22676" spans="3:3" s="8" customFormat="1" ht="21.95" customHeight="1" x14ac:dyDescent="0.15"/>
    <row r="22677" spans="3:3" s="8" customFormat="1" ht="21.95" customHeight="1" x14ac:dyDescent="0.15"/>
    <row r="22678" spans="3:3" s="8" customFormat="1" ht="21.95" customHeight="1" x14ac:dyDescent="0.15"/>
    <row r="22679" spans="3:3" s="8" customFormat="1" ht="21.95" customHeight="1" x14ac:dyDescent="0.15"/>
    <row r="22680" spans="3:3" s="8" customFormat="1" ht="21.95" customHeight="1" x14ac:dyDescent="0.15"/>
    <row r="22681" spans="3:3" s="9" customFormat="1" ht="21.95" customHeight="1" x14ac:dyDescent="0.15"/>
    <row r="22682" spans="3:3" s="9" customFormat="1" ht="21.95" customHeight="1" x14ac:dyDescent="0.15"/>
    <row r="22683" spans="3:3" s="9" customFormat="1" ht="21.95" customHeight="1" x14ac:dyDescent="0.15"/>
    <row r="22684" spans="3:3" s="9" customFormat="1" ht="21.95" customHeight="1" x14ac:dyDescent="0.15"/>
    <row r="22685" spans="3:3" s="8" customFormat="1" ht="21.95" customHeight="1" x14ac:dyDescent="0.15"/>
    <row r="22686" spans="3:3" s="8" customFormat="1" ht="21.95" customHeight="1" x14ac:dyDescent="0.15"/>
    <row r="22687" spans="3:3" s="8" customFormat="1" ht="21.95" customHeight="1" x14ac:dyDescent="0.15"/>
    <row r="22688" spans="3:3" s="8" customFormat="1" ht="21.95" customHeight="1" x14ac:dyDescent="0.15"/>
    <row r="22689" s="8" customFormat="1" ht="21.95" customHeight="1" x14ac:dyDescent="0.15"/>
    <row r="22690" s="8" customFormat="1" ht="21.95" customHeight="1" x14ac:dyDescent="0.15"/>
    <row r="22691" s="8" customFormat="1" ht="21.95" customHeight="1" x14ac:dyDescent="0.15"/>
    <row r="22692" s="8" customFormat="1" ht="21.95" customHeight="1" x14ac:dyDescent="0.15"/>
    <row r="22693" s="8" customFormat="1" ht="21.95" customHeight="1" x14ac:dyDescent="0.15"/>
    <row r="22694" s="8" customFormat="1" ht="21.95" customHeight="1" x14ac:dyDescent="0.15"/>
    <row r="22695" s="8" customFormat="1" ht="21.95" customHeight="1" x14ac:dyDescent="0.15"/>
    <row r="22696" s="8" customFormat="1" ht="32.1" customHeight="1" x14ac:dyDescent="0.15"/>
    <row r="22697" s="8" customFormat="1" ht="32.1" customHeight="1" x14ac:dyDescent="0.15"/>
    <row r="22698" s="8" customFormat="1" ht="32.1" customHeight="1" x14ac:dyDescent="0.15"/>
    <row r="22699" s="8" customFormat="1" ht="32.1" customHeight="1" x14ac:dyDescent="0.15"/>
    <row r="22700" s="8" customFormat="1" ht="32.1" customHeight="1" x14ac:dyDescent="0.15"/>
    <row r="22701" s="8" customFormat="1" ht="32.1" customHeight="1" x14ac:dyDescent="0.15"/>
    <row r="22702" s="9" customFormat="1" ht="32.1" customHeight="1" x14ac:dyDescent="0.15"/>
    <row r="22703" s="9" customFormat="1" ht="32.1" customHeight="1" x14ac:dyDescent="0.15"/>
    <row r="22704" s="9" customFormat="1" ht="32.1" customHeight="1" x14ac:dyDescent="0.15"/>
    <row r="22705" s="9" customFormat="1" ht="32.1" customHeight="1" x14ac:dyDescent="0.15"/>
    <row r="22706" s="9" customFormat="1" ht="21.95" customHeight="1" x14ac:dyDescent="0.15"/>
    <row r="22707" s="9" customFormat="1" ht="54" customHeight="1" x14ac:dyDescent="0.15"/>
    <row r="22708" s="9" customFormat="1" ht="21.95" customHeight="1" x14ac:dyDescent="0.15"/>
    <row r="22709" s="9" customFormat="1" ht="21.95" customHeight="1" x14ac:dyDescent="0.15"/>
    <row r="22710" s="9" customFormat="1" ht="21.95" customHeight="1" x14ac:dyDescent="0.15"/>
    <row r="22711" s="9" customFormat="1" ht="21.95" customHeight="1" x14ac:dyDescent="0.15"/>
    <row r="22712" s="9" customFormat="1" ht="21.95" customHeight="1" x14ac:dyDescent="0.15"/>
    <row r="22713" s="9" customFormat="1" ht="21.95" customHeight="1" x14ac:dyDescent="0.15"/>
    <row r="22714" s="9" customFormat="1" ht="21.95" customHeight="1" x14ac:dyDescent="0.15"/>
    <row r="22715" s="9" customFormat="1" ht="21.95" customHeight="1" x14ac:dyDescent="0.15"/>
    <row r="22716" s="9" customFormat="1" ht="21.95" customHeight="1" x14ac:dyDescent="0.15"/>
    <row r="22717" s="9" customFormat="1" ht="21.95" customHeight="1" x14ac:dyDescent="0.15"/>
    <row r="22718" s="9" customFormat="1" ht="21.95" customHeight="1" x14ac:dyDescent="0.15"/>
    <row r="22719" s="9" customFormat="1" ht="21.95" customHeight="1" x14ac:dyDescent="0.15"/>
    <row r="22720" s="9" customFormat="1" ht="21.95" customHeight="1" x14ac:dyDescent="0.15"/>
    <row r="22721" s="9" customFormat="1" ht="21.95" customHeight="1" x14ac:dyDescent="0.15"/>
    <row r="22722" s="9" customFormat="1" ht="21.95" customHeight="1" x14ac:dyDescent="0.15"/>
    <row r="22723" s="9" customFormat="1" ht="21.95" customHeight="1" x14ac:dyDescent="0.15"/>
    <row r="22724" s="9" customFormat="1" ht="21.95" customHeight="1" x14ac:dyDescent="0.15"/>
    <row r="22725" s="9" customFormat="1" ht="21.95" customHeight="1" x14ac:dyDescent="0.15"/>
    <row r="22726" s="9" customFormat="1" ht="21.95" customHeight="1" x14ac:dyDescent="0.15"/>
    <row r="22727" s="9" customFormat="1" ht="21.95" customHeight="1" x14ac:dyDescent="0.15"/>
    <row r="22728" s="9" customFormat="1" ht="21.95" customHeight="1" x14ac:dyDescent="0.15"/>
    <row r="22729" s="9" customFormat="1" ht="21.95" customHeight="1" x14ac:dyDescent="0.15"/>
    <row r="22730" s="9" customFormat="1" ht="21.95" customHeight="1" x14ac:dyDescent="0.15"/>
    <row r="22731" s="9" customFormat="1" ht="21.95" customHeight="1" x14ac:dyDescent="0.15"/>
    <row r="22732" s="9" customFormat="1" ht="21.95" customHeight="1" x14ac:dyDescent="0.15"/>
    <row r="22733" s="9" customFormat="1" ht="21.95" customHeight="1" x14ac:dyDescent="0.15"/>
    <row r="22734" s="9" customFormat="1" ht="21.95" customHeight="1" x14ac:dyDescent="0.15"/>
    <row r="22735" s="9" customFormat="1" ht="21.95" customHeight="1" x14ac:dyDescent="0.15"/>
    <row r="22736" s="9" customFormat="1" ht="21.95" customHeight="1" x14ac:dyDescent="0.15"/>
    <row r="22737" s="9" customFormat="1" ht="21.95" customHeight="1" x14ac:dyDescent="0.15"/>
    <row r="22738" s="9" customFormat="1" ht="21.95" customHeight="1" x14ac:dyDescent="0.15"/>
    <row r="22739" s="9" customFormat="1" ht="21.95" customHeight="1" x14ac:dyDescent="0.15"/>
    <row r="22740" s="9" customFormat="1" ht="21.95" customHeight="1" x14ac:dyDescent="0.15"/>
    <row r="22741" s="9" customFormat="1" ht="21.95" customHeight="1" x14ac:dyDescent="0.15"/>
    <row r="22742" s="9" customFormat="1" ht="21.95" customHeight="1" x14ac:dyDescent="0.15"/>
    <row r="22743" s="9" customFormat="1" ht="21.95" customHeight="1" x14ac:dyDescent="0.15"/>
    <row r="22744" s="9" customFormat="1" ht="21.95" customHeight="1" x14ac:dyDescent="0.15"/>
    <row r="22745" s="9" customFormat="1" ht="21.95" customHeight="1" x14ac:dyDescent="0.15"/>
    <row r="22746" s="9" customFormat="1" ht="21.95" customHeight="1" x14ac:dyDescent="0.15"/>
    <row r="22747" s="9" customFormat="1" ht="21.95" customHeight="1" x14ac:dyDescent="0.15"/>
    <row r="22748" s="9" customFormat="1" ht="21.95" customHeight="1" x14ac:dyDescent="0.15"/>
    <row r="22749" s="9" customFormat="1" ht="21.95" customHeight="1" x14ac:dyDescent="0.15"/>
    <row r="22750" s="9" customFormat="1" ht="21.95" customHeight="1" x14ac:dyDescent="0.15"/>
    <row r="22751" s="9" customFormat="1" ht="21.95" customHeight="1" x14ac:dyDescent="0.15"/>
    <row r="22752" s="9" customFormat="1" ht="21.95" customHeight="1" x14ac:dyDescent="0.15"/>
    <row r="22753" s="9" customFormat="1" ht="21.95" customHeight="1" x14ac:dyDescent="0.15"/>
    <row r="22754" s="9" customFormat="1" ht="21.95" customHeight="1" x14ac:dyDescent="0.15"/>
    <row r="22755" s="9" customFormat="1" ht="21.95" customHeight="1" x14ac:dyDescent="0.15"/>
    <row r="22756" s="9" customFormat="1" ht="21.95" customHeight="1" x14ac:dyDescent="0.15"/>
    <row r="22757" s="9" customFormat="1" ht="21.95" customHeight="1" x14ac:dyDescent="0.15"/>
    <row r="22758" s="9" customFormat="1" ht="35.1" customHeight="1" x14ac:dyDescent="0.15"/>
    <row r="22759" s="9" customFormat="1" ht="21.95" customHeight="1" x14ac:dyDescent="0.15"/>
    <row r="22760" s="9" customFormat="1" ht="21.95" customHeight="1" x14ac:dyDescent="0.15"/>
    <row r="22761" s="9" customFormat="1" ht="21.95" customHeight="1" x14ac:dyDescent="0.15"/>
    <row r="22762" s="9" customFormat="1" ht="21.95" customHeight="1" x14ac:dyDescent="0.15"/>
    <row r="22763" s="9" customFormat="1" ht="21.95" customHeight="1" x14ac:dyDescent="0.15"/>
    <row r="22764" s="9" customFormat="1" ht="21.95" customHeight="1" x14ac:dyDescent="0.15"/>
    <row r="22765" s="9" customFormat="1" ht="21.95" customHeight="1" x14ac:dyDescent="0.15"/>
    <row r="22766" s="9" customFormat="1" ht="21.95" customHeight="1" x14ac:dyDescent="0.15"/>
    <row r="22767" s="9" customFormat="1" ht="21.95" customHeight="1" x14ac:dyDescent="0.15"/>
    <row r="22768" s="9" customFormat="1" ht="21.95" customHeight="1" x14ac:dyDescent="0.15"/>
    <row r="22769" spans="3:3" s="9" customFormat="1" ht="21.95" customHeight="1" x14ac:dyDescent="0.15"/>
    <row r="22770" spans="3:3" s="9" customFormat="1" ht="21.95" customHeight="1" x14ac:dyDescent="0.15"/>
    <row r="22771" spans="3:3" s="9" customFormat="1" ht="21.95" customHeight="1" x14ac:dyDescent="0.15"/>
    <row r="22772" spans="3:3" s="9" customFormat="1" ht="21.95" customHeight="1" x14ac:dyDescent="0.15"/>
    <row r="22773" spans="3:3" s="9" customFormat="1" ht="21.95" customHeight="1" x14ac:dyDescent="0.15"/>
    <row r="22774" spans="3:3" s="9" customFormat="1" ht="21.95" customHeight="1" x14ac:dyDescent="0.15"/>
    <row r="22775" spans="3:3" s="9" customFormat="1" ht="21.95" customHeight="1" x14ac:dyDescent="0.15"/>
    <row r="22776" spans="3:3" s="9" customFormat="1" ht="21.95" customHeight="1" x14ac:dyDescent="0.15"/>
    <row r="22777" spans="3:3" s="9" customFormat="1" ht="21.95" customHeight="1" x14ac:dyDescent="0.15"/>
    <row r="22778" spans="3:3" s="9" customFormat="1" ht="21.95" customHeight="1" x14ac:dyDescent="0.15"/>
    <row r="22779" spans="3:3" s="9" customFormat="1" ht="21.95" customHeight="1" x14ac:dyDescent="0.15"/>
    <row r="22780" spans="3:3" s="9" customFormat="1" ht="21.95" customHeight="1" x14ac:dyDescent="0.15"/>
    <row r="22781" spans="3:3" s="9" customFormat="1" ht="21.95" customHeight="1" x14ac:dyDescent="0.15"/>
    <row r="22782" spans="3:3" s="8" customFormat="1" ht="21.95" customHeight="1" x14ac:dyDescent="0.15"/>
    <row r="22783" spans="3:3" s="8" customFormat="1" ht="21.95" customHeight="1" x14ac:dyDescent="0.15"/>
    <row r="22784" spans="3:3" s="8" customFormat="1" ht="21.95" customHeight="1" x14ac:dyDescent="0.15">
      <c r="C22784" s="101"/>
    </row>
    <row r="22785" spans="3:3" s="8" customFormat="1" ht="21.95" customHeight="1" x14ac:dyDescent="0.15">
      <c r="C22785" s="101"/>
    </row>
    <row r="22786" spans="3:3" s="8" customFormat="1" ht="21.95" customHeight="1" x14ac:dyDescent="0.15"/>
    <row r="22787" spans="3:3" s="8" customFormat="1" ht="21.95" customHeight="1" x14ac:dyDescent="0.15"/>
    <row r="22788" spans="3:3" s="8" customFormat="1" ht="21.95" customHeight="1" x14ac:dyDescent="0.15"/>
    <row r="22789" spans="3:3" s="8" customFormat="1" ht="21.95" customHeight="1" x14ac:dyDescent="0.15"/>
    <row r="22790" spans="3:3" s="8" customFormat="1" ht="21.95" customHeight="1" x14ac:dyDescent="0.15"/>
    <row r="22791" spans="3:3" s="8" customFormat="1" ht="21.95" customHeight="1" x14ac:dyDescent="0.15"/>
    <row r="22792" spans="3:3" s="8" customFormat="1" ht="21.95" customHeight="1" x14ac:dyDescent="0.15"/>
    <row r="22793" spans="3:3" s="9" customFormat="1" ht="21.95" customHeight="1" x14ac:dyDescent="0.15"/>
    <row r="22794" spans="3:3" s="9" customFormat="1" ht="21.95" customHeight="1" x14ac:dyDescent="0.15"/>
    <row r="22795" spans="3:3" s="9" customFormat="1" ht="21.95" customHeight="1" x14ac:dyDescent="0.15"/>
    <row r="22796" spans="3:3" s="9" customFormat="1" ht="21.95" customHeight="1" x14ac:dyDescent="0.15"/>
    <row r="22797" spans="3:3" s="8" customFormat="1" ht="21.95" customHeight="1" x14ac:dyDescent="0.15"/>
    <row r="22798" spans="3:3" s="8" customFormat="1" ht="21.95" customHeight="1" x14ac:dyDescent="0.15"/>
    <row r="22799" spans="3:3" s="8" customFormat="1" ht="21.95" customHeight="1" x14ac:dyDescent="0.15"/>
    <row r="22800" spans="3:3" s="8" customFormat="1" ht="21.95" customHeight="1" x14ac:dyDescent="0.15"/>
    <row r="22801" s="8" customFormat="1" ht="21.95" customHeight="1" x14ac:dyDescent="0.15"/>
    <row r="22802" s="8" customFormat="1" ht="21.95" customHeight="1" x14ac:dyDescent="0.15"/>
    <row r="22803" s="8" customFormat="1" ht="21.95" customHeight="1" x14ac:dyDescent="0.15"/>
    <row r="22804" s="8" customFormat="1" ht="21.95" customHeight="1" x14ac:dyDescent="0.15"/>
    <row r="22805" s="8" customFormat="1" ht="21.95" customHeight="1" x14ac:dyDescent="0.15"/>
    <row r="22806" s="8" customFormat="1" ht="21.95" customHeight="1" x14ac:dyDescent="0.15"/>
    <row r="22807" s="8" customFormat="1" ht="21.95" customHeight="1" x14ac:dyDescent="0.15"/>
    <row r="22808" s="8" customFormat="1" ht="32.1" customHeight="1" x14ac:dyDescent="0.15"/>
    <row r="22809" s="8" customFormat="1" ht="32.1" customHeight="1" x14ac:dyDescent="0.15"/>
    <row r="22810" s="8" customFormat="1" ht="32.1" customHeight="1" x14ac:dyDescent="0.15"/>
    <row r="22811" s="8" customFormat="1" ht="32.1" customHeight="1" x14ac:dyDescent="0.15"/>
    <row r="22812" s="8" customFormat="1" ht="32.1" customHeight="1" x14ac:dyDescent="0.15"/>
    <row r="22813" s="8" customFormat="1" ht="32.1" customHeight="1" x14ac:dyDescent="0.15"/>
    <row r="22814" s="9" customFormat="1" ht="32.1" customHeight="1" x14ac:dyDescent="0.15"/>
    <row r="22815" s="9" customFormat="1" ht="32.1" customHeight="1" x14ac:dyDescent="0.15"/>
    <row r="22816" s="9" customFormat="1" ht="32.1" customHeight="1" x14ac:dyDescent="0.15"/>
    <row r="22817" s="9" customFormat="1" ht="32.1" customHeight="1" x14ac:dyDescent="0.15"/>
    <row r="22818" s="9" customFormat="1" ht="21.95" customHeight="1" x14ac:dyDescent="0.15"/>
    <row r="22819" s="9" customFormat="1" ht="54" customHeight="1" x14ac:dyDescent="0.15"/>
    <row r="22820" s="9" customFormat="1" ht="21.95" customHeight="1" x14ac:dyDescent="0.15"/>
    <row r="22821" s="9" customFormat="1" ht="21.95" customHeight="1" x14ac:dyDescent="0.15"/>
    <row r="22822" s="9" customFormat="1" ht="21.95" customHeight="1" x14ac:dyDescent="0.15"/>
    <row r="22823" s="9" customFormat="1" ht="21.95" customHeight="1" x14ac:dyDescent="0.15"/>
    <row r="22824" s="9" customFormat="1" ht="21.95" customHeight="1" x14ac:dyDescent="0.15"/>
    <row r="22825" s="9" customFormat="1" ht="21.95" customHeight="1" x14ac:dyDescent="0.15"/>
    <row r="22826" s="9" customFormat="1" ht="21.95" customHeight="1" x14ac:dyDescent="0.15"/>
    <row r="22827" s="9" customFormat="1" ht="21.95" customHeight="1" x14ac:dyDescent="0.15"/>
    <row r="22828" s="9" customFormat="1" ht="21.95" customHeight="1" x14ac:dyDescent="0.15"/>
    <row r="22829" s="9" customFormat="1" ht="21.95" customHeight="1" x14ac:dyDescent="0.15"/>
    <row r="22830" s="9" customFormat="1" ht="21.95" customHeight="1" x14ac:dyDescent="0.15"/>
    <row r="22831" s="9" customFormat="1" ht="21.95" customHeight="1" x14ac:dyDescent="0.15"/>
    <row r="22832" s="9" customFormat="1" ht="21.95" customHeight="1" x14ac:dyDescent="0.15"/>
    <row r="22833" s="9" customFormat="1" ht="21.95" customHeight="1" x14ac:dyDescent="0.15"/>
    <row r="22834" s="9" customFormat="1" ht="21.95" customHeight="1" x14ac:dyDescent="0.15"/>
    <row r="22835" s="9" customFormat="1" ht="21.95" customHeight="1" x14ac:dyDescent="0.15"/>
    <row r="22836" s="9" customFormat="1" ht="21.95" customHeight="1" x14ac:dyDescent="0.15"/>
    <row r="22837" s="9" customFormat="1" ht="21.95" customHeight="1" x14ac:dyDescent="0.15"/>
    <row r="22838" s="9" customFormat="1" ht="21.95" customHeight="1" x14ac:dyDescent="0.15"/>
    <row r="22839" s="9" customFormat="1" ht="21.95" customHeight="1" x14ac:dyDescent="0.15"/>
    <row r="22840" s="9" customFormat="1" ht="21.95" customHeight="1" x14ac:dyDescent="0.15"/>
    <row r="22841" s="9" customFormat="1" ht="21.95" customHeight="1" x14ac:dyDescent="0.15"/>
    <row r="22842" s="9" customFormat="1" ht="21.95" customHeight="1" x14ac:dyDescent="0.15"/>
    <row r="22843" s="9" customFormat="1" ht="21.95" customHeight="1" x14ac:dyDescent="0.15"/>
    <row r="22844" s="9" customFormat="1" ht="21.95" customHeight="1" x14ac:dyDescent="0.15"/>
    <row r="22845" s="9" customFormat="1" ht="21.95" customHeight="1" x14ac:dyDescent="0.15"/>
    <row r="22846" s="9" customFormat="1" ht="21.95" customHeight="1" x14ac:dyDescent="0.15"/>
    <row r="22847" s="9" customFormat="1" ht="21.95" customHeight="1" x14ac:dyDescent="0.15"/>
    <row r="22848" s="9" customFormat="1" ht="21.95" customHeight="1" x14ac:dyDescent="0.15"/>
    <row r="22849" s="9" customFormat="1" ht="21.95" customHeight="1" x14ac:dyDescent="0.15"/>
    <row r="22850" s="9" customFormat="1" ht="21.95" customHeight="1" x14ac:dyDescent="0.15"/>
    <row r="22851" s="9" customFormat="1" ht="21.95" customHeight="1" x14ac:dyDescent="0.15"/>
    <row r="22852" s="9" customFormat="1" ht="21.95" customHeight="1" x14ac:dyDescent="0.15"/>
    <row r="22853" s="9" customFormat="1" ht="21.95" customHeight="1" x14ac:dyDescent="0.15"/>
    <row r="22854" s="9" customFormat="1" ht="21.95" customHeight="1" x14ac:dyDescent="0.15"/>
    <row r="22855" s="9" customFormat="1" ht="21.95" customHeight="1" x14ac:dyDescent="0.15"/>
    <row r="22856" s="9" customFormat="1" ht="21.95" customHeight="1" x14ac:dyDescent="0.15"/>
    <row r="22857" s="9" customFormat="1" ht="21.95" customHeight="1" x14ac:dyDescent="0.15"/>
    <row r="22858" s="9" customFormat="1" ht="21.95" customHeight="1" x14ac:dyDescent="0.15"/>
    <row r="22859" s="9" customFormat="1" ht="21.95" customHeight="1" x14ac:dyDescent="0.15"/>
    <row r="22860" s="9" customFormat="1" ht="21.95" customHeight="1" x14ac:dyDescent="0.15"/>
    <row r="22861" s="9" customFormat="1" ht="21.95" customHeight="1" x14ac:dyDescent="0.15"/>
    <row r="22862" s="9" customFormat="1" ht="21.95" customHeight="1" x14ac:dyDescent="0.15"/>
    <row r="22863" s="9" customFormat="1" ht="21.95" customHeight="1" x14ac:dyDescent="0.15"/>
    <row r="22864" s="9" customFormat="1" ht="21.95" customHeight="1" x14ac:dyDescent="0.15"/>
    <row r="22865" s="9" customFormat="1" ht="21.95" customHeight="1" x14ac:dyDescent="0.15"/>
    <row r="22866" s="9" customFormat="1" ht="21.95" customHeight="1" x14ac:dyDescent="0.15"/>
    <row r="22867" s="9" customFormat="1" ht="21.95" customHeight="1" x14ac:dyDescent="0.15"/>
    <row r="22868" s="9" customFormat="1" ht="21.95" customHeight="1" x14ac:dyDescent="0.15"/>
    <row r="22869" s="9" customFormat="1" ht="21.95" customHeight="1" x14ac:dyDescent="0.15"/>
    <row r="22870" s="9" customFormat="1" ht="35.1" customHeight="1" x14ac:dyDescent="0.15"/>
    <row r="22871" s="9" customFormat="1" ht="21.95" customHeight="1" x14ac:dyDescent="0.15"/>
    <row r="22872" s="9" customFormat="1" ht="21.95" customHeight="1" x14ac:dyDescent="0.15"/>
    <row r="22873" s="9" customFormat="1" ht="21.95" customHeight="1" x14ac:dyDescent="0.15"/>
    <row r="22874" s="9" customFormat="1" ht="21.95" customHeight="1" x14ac:dyDescent="0.15"/>
    <row r="22875" s="9" customFormat="1" ht="21.95" customHeight="1" x14ac:dyDescent="0.15"/>
    <row r="22876" s="9" customFormat="1" ht="21.95" customHeight="1" x14ac:dyDescent="0.15"/>
    <row r="22877" s="9" customFormat="1" ht="21.95" customHeight="1" x14ac:dyDescent="0.15"/>
    <row r="22878" s="9" customFormat="1" ht="21.95" customHeight="1" x14ac:dyDescent="0.15"/>
    <row r="22879" s="9" customFormat="1" ht="21.95" customHeight="1" x14ac:dyDescent="0.15"/>
    <row r="22880" s="9" customFormat="1" ht="21.95" customHeight="1" x14ac:dyDescent="0.15"/>
    <row r="22881" spans="3:3" s="9" customFormat="1" ht="21.95" customHeight="1" x14ac:dyDescent="0.15"/>
    <row r="22882" spans="3:3" s="9" customFormat="1" ht="21.95" customHeight="1" x14ac:dyDescent="0.15"/>
    <row r="22883" spans="3:3" s="9" customFormat="1" ht="21.95" customHeight="1" x14ac:dyDescent="0.15"/>
    <row r="22884" spans="3:3" s="9" customFormat="1" ht="21.95" customHeight="1" x14ac:dyDescent="0.15"/>
    <row r="22885" spans="3:3" s="9" customFormat="1" ht="21.95" customHeight="1" x14ac:dyDescent="0.15"/>
    <row r="22886" spans="3:3" s="9" customFormat="1" ht="21.95" customHeight="1" x14ac:dyDescent="0.15"/>
    <row r="22887" spans="3:3" s="9" customFormat="1" ht="21.95" customHeight="1" x14ac:dyDescent="0.15"/>
    <row r="22888" spans="3:3" s="9" customFormat="1" ht="21.95" customHeight="1" x14ac:dyDescent="0.15"/>
    <row r="22889" spans="3:3" s="9" customFormat="1" ht="21.95" customHeight="1" x14ac:dyDescent="0.15"/>
    <row r="22890" spans="3:3" s="9" customFormat="1" ht="21.95" customHeight="1" x14ac:dyDescent="0.15"/>
    <row r="22891" spans="3:3" s="9" customFormat="1" ht="21.95" customHeight="1" x14ac:dyDescent="0.15"/>
    <row r="22892" spans="3:3" s="9" customFormat="1" ht="21.95" customHeight="1" x14ac:dyDescent="0.15"/>
    <row r="22893" spans="3:3" s="9" customFormat="1" ht="21.95" customHeight="1" x14ac:dyDescent="0.15"/>
    <row r="22894" spans="3:3" s="8" customFormat="1" ht="21.95" customHeight="1" x14ac:dyDescent="0.15"/>
    <row r="22895" spans="3:3" s="8" customFormat="1" ht="21.95" customHeight="1" x14ac:dyDescent="0.15"/>
    <row r="22896" spans="3:3" s="8" customFormat="1" ht="21.95" customHeight="1" x14ac:dyDescent="0.15">
      <c r="C22896" s="101"/>
    </row>
    <row r="22897" spans="3:3" s="8" customFormat="1" ht="21.95" customHeight="1" x14ac:dyDescent="0.15">
      <c r="C22897" s="101"/>
    </row>
    <row r="22898" spans="3:3" s="8" customFormat="1" ht="21.95" customHeight="1" x14ac:dyDescent="0.15"/>
    <row r="22899" spans="3:3" s="8" customFormat="1" ht="21.95" customHeight="1" x14ac:dyDescent="0.15"/>
    <row r="22900" spans="3:3" s="8" customFormat="1" ht="21.95" customHeight="1" x14ac:dyDescent="0.15"/>
    <row r="22901" spans="3:3" s="8" customFormat="1" ht="21.95" customHeight="1" x14ac:dyDescent="0.15"/>
    <row r="22902" spans="3:3" s="8" customFormat="1" ht="21.95" customHeight="1" x14ac:dyDescent="0.15"/>
    <row r="22903" spans="3:3" s="8" customFormat="1" ht="21.95" customHeight="1" x14ac:dyDescent="0.15"/>
    <row r="22904" spans="3:3" s="8" customFormat="1" ht="21.95" customHeight="1" x14ac:dyDescent="0.15"/>
    <row r="22905" spans="3:3" s="9" customFormat="1" ht="21.95" customHeight="1" x14ac:dyDescent="0.15"/>
    <row r="22906" spans="3:3" s="9" customFormat="1" ht="21.95" customHeight="1" x14ac:dyDescent="0.15"/>
    <row r="22907" spans="3:3" s="9" customFormat="1" ht="21.95" customHeight="1" x14ac:dyDescent="0.15"/>
    <row r="22908" spans="3:3" s="9" customFormat="1" ht="21.95" customHeight="1" x14ac:dyDescent="0.15"/>
    <row r="22909" spans="3:3" s="8" customFormat="1" ht="21.95" customHeight="1" x14ac:dyDescent="0.15"/>
    <row r="22910" spans="3:3" s="8" customFormat="1" ht="21.95" customHeight="1" x14ac:dyDescent="0.15"/>
    <row r="22911" spans="3:3" s="8" customFormat="1" ht="21.95" customHeight="1" x14ac:dyDescent="0.15"/>
    <row r="22912" spans="3:3" s="8" customFormat="1" ht="21.95" customHeight="1" x14ac:dyDescent="0.15"/>
    <row r="22913" s="8" customFormat="1" ht="21.95" customHeight="1" x14ac:dyDescent="0.15"/>
    <row r="22914" s="8" customFormat="1" ht="21.95" customHeight="1" x14ac:dyDescent="0.15"/>
    <row r="22915" s="8" customFormat="1" ht="21.95" customHeight="1" x14ac:dyDescent="0.15"/>
    <row r="22916" s="8" customFormat="1" ht="21.95" customHeight="1" x14ac:dyDescent="0.15"/>
    <row r="22917" s="8" customFormat="1" ht="21.95" customHeight="1" x14ac:dyDescent="0.15"/>
    <row r="22918" s="8" customFormat="1" ht="21.95" customHeight="1" x14ac:dyDescent="0.15"/>
    <row r="22919" s="8" customFormat="1" ht="21.95" customHeight="1" x14ac:dyDescent="0.15"/>
    <row r="22920" s="8" customFormat="1" ht="32.1" customHeight="1" x14ac:dyDescent="0.15"/>
    <row r="22921" s="8" customFormat="1" ht="32.1" customHeight="1" x14ac:dyDescent="0.15"/>
    <row r="22922" s="8" customFormat="1" ht="32.1" customHeight="1" x14ac:dyDescent="0.15"/>
    <row r="22923" s="8" customFormat="1" ht="32.1" customHeight="1" x14ac:dyDescent="0.15"/>
    <row r="22924" s="8" customFormat="1" ht="32.1" customHeight="1" x14ac:dyDescent="0.15"/>
    <row r="22925" s="8" customFormat="1" ht="32.1" customHeight="1" x14ac:dyDescent="0.15"/>
    <row r="22926" s="9" customFormat="1" ht="32.1" customHeight="1" x14ac:dyDescent="0.15"/>
    <row r="22927" s="9" customFormat="1" ht="32.1" customHeight="1" x14ac:dyDescent="0.15"/>
    <row r="22928" s="9" customFormat="1" ht="32.1" customHeight="1" x14ac:dyDescent="0.15"/>
    <row r="22929" s="9" customFormat="1" ht="32.1" customHeight="1" x14ac:dyDescent="0.15"/>
    <row r="22930" s="9" customFormat="1" ht="21.95" customHeight="1" x14ac:dyDescent="0.15"/>
    <row r="22931" s="9" customFormat="1" ht="54" customHeight="1" x14ac:dyDescent="0.15"/>
    <row r="22932" s="9" customFormat="1" ht="21.95" customHeight="1" x14ac:dyDescent="0.15"/>
    <row r="22933" s="9" customFormat="1" ht="21.95" customHeight="1" x14ac:dyDescent="0.15"/>
    <row r="22934" s="9" customFormat="1" ht="21.95" customHeight="1" x14ac:dyDescent="0.15"/>
    <row r="22935" s="9" customFormat="1" ht="21.95" customHeight="1" x14ac:dyDescent="0.15"/>
    <row r="22936" s="9" customFormat="1" ht="21.95" customHeight="1" x14ac:dyDescent="0.15"/>
    <row r="22937" s="9" customFormat="1" ht="21.95" customHeight="1" x14ac:dyDescent="0.15"/>
    <row r="22938" s="9" customFormat="1" ht="21.95" customHeight="1" x14ac:dyDescent="0.15"/>
    <row r="22939" s="9" customFormat="1" ht="21.95" customHeight="1" x14ac:dyDescent="0.15"/>
    <row r="22940" s="9" customFormat="1" ht="21.95" customHeight="1" x14ac:dyDescent="0.15"/>
    <row r="22941" s="9" customFormat="1" ht="21.95" customHeight="1" x14ac:dyDescent="0.15"/>
    <row r="22942" s="9" customFormat="1" ht="21.95" customHeight="1" x14ac:dyDescent="0.15"/>
    <row r="22943" s="9" customFormat="1" ht="21.95" customHeight="1" x14ac:dyDescent="0.15"/>
    <row r="22944" s="9" customFormat="1" ht="21.95" customHeight="1" x14ac:dyDescent="0.15"/>
    <row r="22945" s="9" customFormat="1" ht="21.95" customHeight="1" x14ac:dyDescent="0.15"/>
    <row r="22946" s="9" customFormat="1" ht="21.95" customHeight="1" x14ac:dyDescent="0.15"/>
    <row r="22947" s="9" customFormat="1" ht="21.95" customHeight="1" x14ac:dyDescent="0.15"/>
    <row r="22948" s="9" customFormat="1" ht="21.95" customHeight="1" x14ac:dyDescent="0.15"/>
    <row r="22949" s="9" customFormat="1" ht="21.95" customHeight="1" x14ac:dyDescent="0.15"/>
    <row r="22950" s="9" customFormat="1" ht="21.95" customHeight="1" x14ac:dyDescent="0.15"/>
    <row r="22951" s="9" customFormat="1" ht="21.95" customHeight="1" x14ac:dyDescent="0.15"/>
    <row r="22952" s="9" customFormat="1" ht="21.95" customHeight="1" x14ac:dyDescent="0.15"/>
    <row r="22953" s="9" customFormat="1" ht="21.95" customHeight="1" x14ac:dyDescent="0.15"/>
    <row r="22954" s="9" customFormat="1" ht="21.95" customHeight="1" x14ac:dyDescent="0.15"/>
    <row r="22955" s="9" customFormat="1" ht="21.95" customHeight="1" x14ac:dyDescent="0.15"/>
    <row r="22956" s="9" customFormat="1" ht="21.95" customHeight="1" x14ac:dyDescent="0.15"/>
    <row r="22957" s="9" customFormat="1" ht="21.95" customHeight="1" x14ac:dyDescent="0.15"/>
    <row r="22958" s="9" customFormat="1" ht="21.95" customHeight="1" x14ac:dyDescent="0.15"/>
    <row r="22959" s="9" customFormat="1" ht="21.95" customHeight="1" x14ac:dyDescent="0.15"/>
    <row r="22960" s="9" customFormat="1" ht="21.95" customHeight="1" x14ac:dyDescent="0.15"/>
    <row r="22961" s="9" customFormat="1" ht="21.95" customHeight="1" x14ac:dyDescent="0.15"/>
    <row r="22962" s="9" customFormat="1" ht="21.95" customHeight="1" x14ac:dyDescent="0.15"/>
    <row r="22963" s="9" customFormat="1" ht="21.95" customHeight="1" x14ac:dyDescent="0.15"/>
    <row r="22964" s="9" customFormat="1" ht="21.95" customHeight="1" x14ac:dyDescent="0.15"/>
    <row r="22965" s="9" customFormat="1" ht="21.95" customHeight="1" x14ac:dyDescent="0.15"/>
    <row r="22966" s="9" customFormat="1" ht="21.95" customHeight="1" x14ac:dyDescent="0.15"/>
    <row r="22967" s="9" customFormat="1" ht="21.95" customHeight="1" x14ac:dyDescent="0.15"/>
    <row r="22968" s="9" customFormat="1" ht="21.95" customHeight="1" x14ac:dyDescent="0.15"/>
    <row r="22969" s="9" customFormat="1" ht="21.95" customHeight="1" x14ac:dyDescent="0.15"/>
    <row r="22970" s="9" customFormat="1" ht="21.95" customHeight="1" x14ac:dyDescent="0.15"/>
    <row r="22971" s="9" customFormat="1" ht="21.95" customHeight="1" x14ac:dyDescent="0.15"/>
    <row r="22972" s="9" customFormat="1" ht="21.95" customHeight="1" x14ac:dyDescent="0.15"/>
    <row r="22973" s="9" customFormat="1" ht="21.95" customHeight="1" x14ac:dyDescent="0.15"/>
    <row r="22974" s="9" customFormat="1" ht="21.95" customHeight="1" x14ac:dyDescent="0.15"/>
    <row r="22975" s="9" customFormat="1" ht="21.95" customHeight="1" x14ac:dyDescent="0.15"/>
    <row r="22976" s="9" customFormat="1" ht="21.95" customHeight="1" x14ac:dyDescent="0.15"/>
    <row r="22977" s="9" customFormat="1" ht="21.95" customHeight="1" x14ac:dyDescent="0.15"/>
    <row r="22978" s="9" customFormat="1" ht="21.95" customHeight="1" x14ac:dyDescent="0.15"/>
    <row r="22979" s="9" customFormat="1" ht="21.95" customHeight="1" x14ac:dyDescent="0.15"/>
    <row r="22980" s="9" customFormat="1" ht="21.95" customHeight="1" x14ac:dyDescent="0.15"/>
    <row r="22981" s="9" customFormat="1" ht="21.95" customHeight="1" x14ac:dyDescent="0.15"/>
    <row r="22982" s="9" customFormat="1" ht="35.1" customHeight="1" x14ac:dyDescent="0.15"/>
    <row r="22983" s="9" customFormat="1" ht="21.95" customHeight="1" x14ac:dyDescent="0.15"/>
    <row r="22984" s="9" customFormat="1" ht="21.95" customHeight="1" x14ac:dyDescent="0.15"/>
    <row r="22985" s="9" customFormat="1" ht="21.95" customHeight="1" x14ac:dyDescent="0.15"/>
    <row r="22986" s="9" customFormat="1" ht="21.95" customHeight="1" x14ac:dyDescent="0.15"/>
    <row r="22987" s="9" customFormat="1" ht="21.95" customHeight="1" x14ac:dyDescent="0.15"/>
    <row r="22988" s="9" customFormat="1" ht="21.95" customHeight="1" x14ac:dyDescent="0.15"/>
    <row r="22989" s="9" customFormat="1" ht="21.95" customHeight="1" x14ac:dyDescent="0.15"/>
    <row r="22990" s="9" customFormat="1" ht="21.95" customHeight="1" x14ac:dyDescent="0.15"/>
    <row r="22991" s="9" customFormat="1" ht="21.95" customHeight="1" x14ac:dyDescent="0.15"/>
    <row r="22992" s="9" customFormat="1" ht="21.95" customHeight="1" x14ac:dyDescent="0.15"/>
    <row r="22993" spans="3:3" s="9" customFormat="1" ht="21.95" customHeight="1" x14ac:dyDescent="0.15"/>
    <row r="22994" spans="3:3" s="9" customFormat="1" ht="21.95" customHeight="1" x14ac:dyDescent="0.15"/>
    <row r="22995" spans="3:3" s="9" customFormat="1" ht="21.95" customHeight="1" x14ac:dyDescent="0.15"/>
    <row r="22996" spans="3:3" s="9" customFormat="1" ht="21.95" customHeight="1" x14ac:dyDescent="0.15"/>
    <row r="22997" spans="3:3" s="9" customFormat="1" ht="21.95" customHeight="1" x14ac:dyDescent="0.15"/>
    <row r="22998" spans="3:3" s="9" customFormat="1" ht="21.95" customHeight="1" x14ac:dyDescent="0.15"/>
    <row r="22999" spans="3:3" s="9" customFormat="1" ht="21.95" customHeight="1" x14ac:dyDescent="0.15"/>
    <row r="23000" spans="3:3" s="9" customFormat="1" ht="21.95" customHeight="1" x14ac:dyDescent="0.15"/>
    <row r="23001" spans="3:3" s="9" customFormat="1" ht="21.95" customHeight="1" x14ac:dyDescent="0.15"/>
    <row r="23002" spans="3:3" s="9" customFormat="1" ht="21.95" customHeight="1" x14ac:dyDescent="0.15"/>
    <row r="23003" spans="3:3" s="9" customFormat="1" ht="21.95" customHeight="1" x14ac:dyDescent="0.15"/>
    <row r="23004" spans="3:3" s="9" customFormat="1" ht="21.95" customHeight="1" x14ac:dyDescent="0.15"/>
    <row r="23005" spans="3:3" s="9" customFormat="1" ht="21.95" customHeight="1" x14ac:dyDescent="0.15"/>
    <row r="23006" spans="3:3" s="8" customFormat="1" ht="21.95" customHeight="1" x14ac:dyDescent="0.15"/>
    <row r="23007" spans="3:3" s="8" customFormat="1" ht="21.95" customHeight="1" x14ac:dyDescent="0.15"/>
    <row r="23008" spans="3:3" s="8" customFormat="1" ht="21.95" customHeight="1" x14ac:dyDescent="0.15">
      <c r="C23008" s="101"/>
    </row>
    <row r="23009" spans="3:3" s="8" customFormat="1" ht="21.95" customHeight="1" x14ac:dyDescent="0.15">
      <c r="C23009" s="101"/>
    </row>
    <row r="23010" spans="3:3" s="8" customFormat="1" ht="21.95" customHeight="1" x14ac:dyDescent="0.15"/>
    <row r="23011" spans="3:3" s="8" customFormat="1" ht="21.95" customHeight="1" x14ac:dyDescent="0.15"/>
    <row r="23012" spans="3:3" s="8" customFormat="1" ht="21.95" customHeight="1" x14ac:dyDescent="0.15"/>
    <row r="23013" spans="3:3" s="8" customFormat="1" ht="21.95" customHeight="1" x14ac:dyDescent="0.15"/>
    <row r="23014" spans="3:3" s="8" customFormat="1" ht="21.95" customHeight="1" x14ac:dyDescent="0.15"/>
    <row r="23015" spans="3:3" s="8" customFormat="1" ht="21.95" customHeight="1" x14ac:dyDescent="0.15"/>
    <row r="23016" spans="3:3" s="8" customFormat="1" ht="21.95" customHeight="1" x14ac:dyDescent="0.15"/>
    <row r="23017" spans="3:3" s="9" customFormat="1" ht="21.95" customHeight="1" x14ac:dyDescent="0.15"/>
    <row r="23018" spans="3:3" s="9" customFormat="1" ht="21.95" customHeight="1" x14ac:dyDescent="0.15"/>
    <row r="23019" spans="3:3" s="9" customFormat="1" ht="21.95" customHeight="1" x14ac:dyDescent="0.15"/>
    <row r="23020" spans="3:3" s="9" customFormat="1" ht="21.95" customHeight="1" x14ac:dyDescent="0.15"/>
    <row r="23021" spans="3:3" s="8" customFormat="1" ht="21.95" customHeight="1" x14ac:dyDescent="0.15"/>
    <row r="23022" spans="3:3" s="8" customFormat="1" ht="21.95" customHeight="1" x14ac:dyDescent="0.15"/>
    <row r="23023" spans="3:3" s="8" customFormat="1" ht="21.95" customHeight="1" x14ac:dyDescent="0.15"/>
    <row r="23024" spans="3:3" s="8" customFormat="1" ht="21.95" customHeight="1" x14ac:dyDescent="0.15"/>
    <row r="23025" s="8" customFormat="1" ht="21.95" customHeight="1" x14ac:dyDescent="0.15"/>
    <row r="23026" s="8" customFormat="1" ht="21.95" customHeight="1" x14ac:dyDescent="0.15"/>
    <row r="23027" s="8" customFormat="1" ht="21.95" customHeight="1" x14ac:dyDescent="0.15"/>
    <row r="23028" s="8" customFormat="1" ht="21.95" customHeight="1" x14ac:dyDescent="0.15"/>
    <row r="23029" s="8" customFormat="1" ht="21.95" customHeight="1" x14ac:dyDescent="0.15"/>
    <row r="23030" s="8" customFormat="1" ht="21.95" customHeight="1" x14ac:dyDescent="0.15"/>
    <row r="23031" s="8" customFormat="1" ht="21.95" customHeight="1" x14ac:dyDescent="0.15"/>
    <row r="23032" s="8" customFormat="1" ht="32.1" customHeight="1" x14ac:dyDescent="0.15"/>
    <row r="23033" s="8" customFormat="1" ht="32.1" customHeight="1" x14ac:dyDescent="0.15"/>
    <row r="23034" s="8" customFormat="1" ht="32.1" customHeight="1" x14ac:dyDescent="0.15"/>
    <row r="23035" s="8" customFormat="1" ht="32.1" customHeight="1" x14ac:dyDescent="0.15"/>
    <row r="23036" s="8" customFormat="1" ht="32.1" customHeight="1" x14ac:dyDescent="0.15"/>
    <row r="23037" s="8" customFormat="1" ht="32.1" customHeight="1" x14ac:dyDescent="0.15"/>
    <row r="23038" s="9" customFormat="1" ht="32.1" customHeight="1" x14ac:dyDescent="0.15"/>
    <row r="23039" s="9" customFormat="1" ht="32.1" customHeight="1" x14ac:dyDescent="0.15"/>
    <row r="23040" s="9" customFormat="1" ht="32.1" customHeight="1" x14ac:dyDescent="0.15"/>
    <row r="23041" s="9" customFormat="1" ht="32.1" customHeight="1" x14ac:dyDescent="0.15"/>
    <row r="23042" s="9" customFormat="1" ht="21.95" customHeight="1" x14ac:dyDescent="0.15"/>
    <row r="23043" s="9" customFormat="1" ht="54" customHeight="1" x14ac:dyDescent="0.15"/>
    <row r="23044" s="9" customFormat="1" ht="21.95" customHeight="1" x14ac:dyDescent="0.15"/>
    <row r="23045" s="9" customFormat="1" ht="21.95" customHeight="1" x14ac:dyDescent="0.15"/>
    <row r="23046" s="9" customFormat="1" ht="21.95" customHeight="1" x14ac:dyDescent="0.15"/>
    <row r="23047" s="9" customFormat="1" ht="21.95" customHeight="1" x14ac:dyDescent="0.15"/>
    <row r="23048" s="9" customFormat="1" ht="21.95" customHeight="1" x14ac:dyDescent="0.15"/>
    <row r="23049" s="9" customFormat="1" ht="21.95" customHeight="1" x14ac:dyDescent="0.15"/>
    <row r="23050" s="9" customFormat="1" ht="21.95" customHeight="1" x14ac:dyDescent="0.15"/>
    <row r="23051" s="9" customFormat="1" ht="21.95" customHeight="1" x14ac:dyDescent="0.15"/>
    <row r="23052" s="9" customFormat="1" ht="21.95" customHeight="1" x14ac:dyDescent="0.15"/>
    <row r="23053" s="9" customFormat="1" ht="21.95" customHeight="1" x14ac:dyDescent="0.15"/>
    <row r="23054" s="9" customFormat="1" ht="21.95" customHeight="1" x14ac:dyDescent="0.15"/>
    <row r="23055" s="9" customFormat="1" ht="21.95" customHeight="1" x14ac:dyDescent="0.15"/>
    <row r="23056" s="9" customFormat="1" ht="21.95" customHeight="1" x14ac:dyDescent="0.15"/>
    <row r="23057" s="9" customFormat="1" ht="21.95" customHeight="1" x14ac:dyDescent="0.15"/>
    <row r="23058" s="9" customFormat="1" ht="21.95" customHeight="1" x14ac:dyDescent="0.15"/>
    <row r="23059" s="9" customFormat="1" ht="21.95" customHeight="1" x14ac:dyDescent="0.15"/>
    <row r="23060" s="9" customFormat="1" ht="21.95" customHeight="1" x14ac:dyDescent="0.15"/>
    <row r="23061" s="9" customFormat="1" ht="21.95" customHeight="1" x14ac:dyDescent="0.15"/>
    <row r="23062" s="9" customFormat="1" ht="21.95" customHeight="1" x14ac:dyDescent="0.15"/>
    <row r="23063" s="9" customFormat="1" ht="21.95" customHeight="1" x14ac:dyDescent="0.15"/>
    <row r="23064" s="9" customFormat="1" ht="21.95" customHeight="1" x14ac:dyDescent="0.15"/>
    <row r="23065" s="9" customFormat="1" ht="21.95" customHeight="1" x14ac:dyDescent="0.15"/>
    <row r="23066" s="9" customFormat="1" ht="21.95" customHeight="1" x14ac:dyDescent="0.15"/>
    <row r="23067" s="9" customFormat="1" ht="21.95" customHeight="1" x14ac:dyDescent="0.15"/>
    <row r="23068" s="9" customFormat="1" ht="21.95" customHeight="1" x14ac:dyDescent="0.15"/>
    <row r="23069" s="9" customFormat="1" ht="21.95" customHeight="1" x14ac:dyDescent="0.15"/>
    <row r="23070" s="9" customFormat="1" ht="21.95" customHeight="1" x14ac:dyDescent="0.15"/>
    <row r="23071" s="9" customFormat="1" ht="21.95" customHeight="1" x14ac:dyDescent="0.15"/>
    <row r="23072" s="9" customFormat="1" ht="21.95" customHeight="1" x14ac:dyDescent="0.15"/>
    <row r="23073" s="9" customFormat="1" ht="21.95" customHeight="1" x14ac:dyDescent="0.15"/>
    <row r="23074" s="9" customFormat="1" ht="21.95" customHeight="1" x14ac:dyDescent="0.15"/>
    <row r="23075" s="9" customFormat="1" ht="21.95" customHeight="1" x14ac:dyDescent="0.15"/>
    <row r="23076" s="9" customFormat="1" ht="21.95" customHeight="1" x14ac:dyDescent="0.15"/>
    <row r="23077" s="9" customFormat="1" ht="21.95" customHeight="1" x14ac:dyDescent="0.15"/>
    <row r="23078" s="9" customFormat="1" ht="21.95" customHeight="1" x14ac:dyDescent="0.15"/>
    <row r="23079" s="9" customFormat="1" ht="21.95" customHeight="1" x14ac:dyDescent="0.15"/>
    <row r="23080" s="9" customFormat="1" ht="21.95" customHeight="1" x14ac:dyDescent="0.15"/>
    <row r="23081" s="9" customFormat="1" ht="21.95" customHeight="1" x14ac:dyDescent="0.15"/>
    <row r="23082" s="9" customFormat="1" ht="21.95" customHeight="1" x14ac:dyDescent="0.15"/>
    <row r="23083" s="9" customFormat="1" ht="21.95" customHeight="1" x14ac:dyDescent="0.15"/>
    <row r="23084" s="9" customFormat="1" ht="21.95" customHeight="1" x14ac:dyDescent="0.15"/>
    <row r="23085" s="9" customFormat="1" ht="21.95" customHeight="1" x14ac:dyDescent="0.15"/>
    <row r="23086" s="9" customFormat="1" ht="21.95" customHeight="1" x14ac:dyDescent="0.15"/>
    <row r="23087" s="9" customFormat="1" ht="21.95" customHeight="1" x14ac:dyDescent="0.15"/>
    <row r="23088" s="9" customFormat="1" ht="21.95" customHeight="1" x14ac:dyDescent="0.15"/>
    <row r="23089" s="9" customFormat="1" ht="21.95" customHeight="1" x14ac:dyDescent="0.15"/>
    <row r="23090" s="9" customFormat="1" ht="21.95" customHeight="1" x14ac:dyDescent="0.15"/>
    <row r="23091" s="9" customFormat="1" ht="21.95" customHeight="1" x14ac:dyDescent="0.15"/>
    <row r="23092" s="9" customFormat="1" ht="21.95" customHeight="1" x14ac:dyDescent="0.15"/>
    <row r="23093" s="9" customFormat="1" ht="21.95" customHeight="1" x14ac:dyDescent="0.15"/>
    <row r="23094" s="9" customFormat="1" ht="35.1" customHeight="1" x14ac:dyDescent="0.15"/>
    <row r="23095" s="9" customFormat="1" ht="21.95" customHeight="1" x14ac:dyDescent="0.15"/>
    <row r="23096" s="9" customFormat="1" ht="21.95" customHeight="1" x14ac:dyDescent="0.15"/>
    <row r="23097" s="9" customFormat="1" ht="21.95" customHeight="1" x14ac:dyDescent="0.15"/>
    <row r="23098" s="9" customFormat="1" ht="21.95" customHeight="1" x14ac:dyDescent="0.15"/>
    <row r="23099" s="9" customFormat="1" ht="21.95" customHeight="1" x14ac:dyDescent="0.15"/>
    <row r="23100" s="9" customFormat="1" ht="21.95" customHeight="1" x14ac:dyDescent="0.15"/>
    <row r="23101" s="9" customFormat="1" ht="21.95" customHeight="1" x14ac:dyDescent="0.15"/>
    <row r="23102" s="9" customFormat="1" ht="21.95" customHeight="1" x14ac:dyDescent="0.15"/>
    <row r="23103" s="9" customFormat="1" ht="21.95" customHeight="1" x14ac:dyDescent="0.15"/>
    <row r="23104" s="9" customFormat="1" ht="21.95" customHeight="1" x14ac:dyDescent="0.15"/>
    <row r="23105" spans="3:3" s="9" customFormat="1" ht="21.95" customHeight="1" x14ac:dyDescent="0.15"/>
    <row r="23106" spans="3:3" s="9" customFormat="1" ht="21.95" customHeight="1" x14ac:dyDescent="0.15"/>
    <row r="23107" spans="3:3" s="9" customFormat="1" ht="21.95" customHeight="1" x14ac:dyDescent="0.15"/>
    <row r="23108" spans="3:3" s="9" customFormat="1" ht="21.95" customHeight="1" x14ac:dyDescent="0.15"/>
    <row r="23109" spans="3:3" s="9" customFormat="1" ht="21.95" customHeight="1" x14ac:dyDescent="0.15"/>
    <row r="23110" spans="3:3" s="9" customFormat="1" ht="21.95" customHeight="1" x14ac:dyDescent="0.15"/>
    <row r="23111" spans="3:3" s="9" customFormat="1" ht="21.95" customHeight="1" x14ac:dyDescent="0.15"/>
    <row r="23112" spans="3:3" s="9" customFormat="1" ht="21.95" customHeight="1" x14ac:dyDescent="0.15"/>
    <row r="23113" spans="3:3" s="9" customFormat="1" ht="21.95" customHeight="1" x14ac:dyDescent="0.15"/>
    <row r="23114" spans="3:3" s="9" customFormat="1" ht="21.95" customHeight="1" x14ac:dyDescent="0.15"/>
    <row r="23115" spans="3:3" s="9" customFormat="1" ht="21.95" customHeight="1" x14ac:dyDescent="0.15"/>
    <row r="23116" spans="3:3" s="9" customFormat="1" ht="21.95" customHeight="1" x14ac:dyDescent="0.15"/>
    <row r="23117" spans="3:3" s="9" customFormat="1" ht="21.95" customHeight="1" x14ac:dyDescent="0.15"/>
    <row r="23118" spans="3:3" s="8" customFormat="1" ht="21.95" customHeight="1" x14ac:dyDescent="0.15"/>
    <row r="23119" spans="3:3" s="8" customFormat="1" ht="21.95" customHeight="1" x14ac:dyDescent="0.15"/>
    <row r="23120" spans="3:3" s="8" customFormat="1" ht="21.95" customHeight="1" x14ac:dyDescent="0.15">
      <c r="C23120" s="101"/>
    </row>
    <row r="23121" spans="3:3" s="8" customFormat="1" ht="21.95" customHeight="1" x14ac:dyDescent="0.15">
      <c r="C23121" s="101"/>
    </row>
    <row r="23122" spans="3:3" s="8" customFormat="1" ht="21.95" customHeight="1" x14ac:dyDescent="0.15"/>
    <row r="23123" spans="3:3" s="8" customFormat="1" ht="21.95" customHeight="1" x14ac:dyDescent="0.15"/>
    <row r="23124" spans="3:3" s="8" customFormat="1" ht="21.95" customHeight="1" x14ac:dyDescent="0.15"/>
    <row r="23125" spans="3:3" s="8" customFormat="1" ht="21.95" customHeight="1" x14ac:dyDescent="0.15"/>
    <row r="23126" spans="3:3" s="8" customFormat="1" ht="21.95" customHeight="1" x14ac:dyDescent="0.15"/>
    <row r="23127" spans="3:3" s="8" customFormat="1" ht="21.95" customHeight="1" x14ac:dyDescent="0.15"/>
    <row r="23128" spans="3:3" s="8" customFormat="1" ht="21.95" customHeight="1" x14ac:dyDescent="0.15"/>
    <row r="23129" spans="3:3" s="9" customFormat="1" ht="21.95" customHeight="1" x14ac:dyDescent="0.15"/>
    <row r="23130" spans="3:3" s="9" customFormat="1" ht="21.95" customHeight="1" x14ac:dyDescent="0.15"/>
    <row r="23131" spans="3:3" s="9" customFormat="1" ht="21.95" customHeight="1" x14ac:dyDescent="0.15"/>
    <row r="23132" spans="3:3" s="9" customFormat="1" ht="21.95" customHeight="1" x14ac:dyDescent="0.15"/>
    <row r="23133" spans="3:3" s="8" customFormat="1" ht="21.95" customHeight="1" x14ac:dyDescent="0.15"/>
    <row r="23134" spans="3:3" s="8" customFormat="1" ht="21.95" customHeight="1" x14ac:dyDescent="0.15"/>
    <row r="23135" spans="3:3" s="8" customFormat="1" ht="21.95" customHeight="1" x14ac:dyDescent="0.15"/>
    <row r="23136" spans="3:3" s="8" customFormat="1" ht="21.95" customHeight="1" x14ac:dyDescent="0.15"/>
    <row r="23137" s="8" customFormat="1" ht="21.95" customHeight="1" x14ac:dyDescent="0.15"/>
    <row r="23138" s="8" customFormat="1" ht="21.95" customHeight="1" x14ac:dyDescent="0.15"/>
    <row r="23139" s="8" customFormat="1" ht="21.95" customHeight="1" x14ac:dyDescent="0.15"/>
    <row r="23140" s="8" customFormat="1" ht="21.95" customHeight="1" x14ac:dyDescent="0.15"/>
    <row r="23141" s="8" customFormat="1" ht="21.95" customHeight="1" x14ac:dyDescent="0.15"/>
    <row r="23142" s="8" customFormat="1" ht="21.95" customHeight="1" x14ac:dyDescent="0.15"/>
    <row r="23143" s="8" customFormat="1" ht="21.95" customHeight="1" x14ac:dyDescent="0.15"/>
    <row r="23144" s="8" customFormat="1" ht="32.1" customHeight="1" x14ac:dyDescent="0.15"/>
    <row r="23145" s="8" customFormat="1" ht="32.1" customHeight="1" x14ac:dyDescent="0.15"/>
    <row r="23146" s="8" customFormat="1" ht="32.1" customHeight="1" x14ac:dyDescent="0.15"/>
    <row r="23147" s="8" customFormat="1" ht="32.1" customHeight="1" x14ac:dyDescent="0.15"/>
    <row r="23148" s="8" customFormat="1" ht="32.1" customHeight="1" x14ac:dyDescent="0.15"/>
    <row r="23149" s="8" customFormat="1" ht="32.1" customHeight="1" x14ac:dyDescent="0.15"/>
    <row r="23150" s="9" customFormat="1" ht="32.1" customHeight="1" x14ac:dyDescent="0.15"/>
    <row r="23151" s="9" customFormat="1" ht="32.1" customHeight="1" x14ac:dyDescent="0.15"/>
    <row r="23152" s="9" customFormat="1" ht="32.1" customHeight="1" x14ac:dyDescent="0.15"/>
    <row r="23153" s="9" customFormat="1" ht="32.1" customHeight="1" x14ac:dyDescent="0.15"/>
    <row r="23154" s="9" customFormat="1" ht="21.95" customHeight="1" x14ac:dyDescent="0.15"/>
    <row r="23155" s="9" customFormat="1" ht="54" customHeight="1" x14ac:dyDescent="0.15"/>
    <row r="23156" s="9" customFormat="1" ht="21.95" customHeight="1" x14ac:dyDescent="0.15"/>
    <row r="23157" s="9" customFormat="1" ht="21.95" customHeight="1" x14ac:dyDescent="0.15"/>
    <row r="23158" s="9" customFormat="1" ht="21.95" customHeight="1" x14ac:dyDescent="0.15"/>
    <row r="23159" s="9" customFormat="1" ht="21.95" customHeight="1" x14ac:dyDescent="0.15"/>
    <row r="23160" s="9" customFormat="1" ht="21.95" customHeight="1" x14ac:dyDescent="0.15"/>
    <row r="23161" s="9" customFormat="1" ht="21.95" customHeight="1" x14ac:dyDescent="0.15"/>
    <row r="23162" s="9" customFormat="1" ht="21.95" customHeight="1" x14ac:dyDescent="0.15"/>
    <row r="23163" s="9" customFormat="1" ht="21.95" customHeight="1" x14ac:dyDescent="0.15"/>
    <row r="23164" s="9" customFormat="1" ht="21.95" customHeight="1" x14ac:dyDescent="0.15"/>
    <row r="23165" s="9" customFormat="1" ht="21.95" customHeight="1" x14ac:dyDescent="0.15"/>
    <row r="23166" s="9" customFormat="1" ht="21.95" customHeight="1" x14ac:dyDescent="0.15"/>
    <row r="23167" s="9" customFormat="1" ht="21.95" customHeight="1" x14ac:dyDescent="0.15"/>
    <row r="23168" s="9" customFormat="1" ht="21.95" customHeight="1" x14ac:dyDescent="0.15"/>
    <row r="23169" s="9" customFormat="1" ht="21.95" customHeight="1" x14ac:dyDescent="0.15"/>
    <row r="23170" s="9" customFormat="1" ht="21.95" customHeight="1" x14ac:dyDescent="0.15"/>
    <row r="23171" s="9" customFormat="1" ht="21.95" customHeight="1" x14ac:dyDescent="0.15"/>
    <row r="23172" s="9" customFormat="1" ht="21.95" customHeight="1" x14ac:dyDescent="0.15"/>
    <row r="23173" s="9" customFormat="1" ht="21.95" customHeight="1" x14ac:dyDescent="0.15"/>
    <row r="23174" s="9" customFormat="1" ht="21.95" customHeight="1" x14ac:dyDescent="0.15"/>
    <row r="23175" s="9" customFormat="1" ht="21.95" customHeight="1" x14ac:dyDescent="0.15"/>
    <row r="23176" s="9" customFormat="1" ht="21.95" customHeight="1" x14ac:dyDescent="0.15"/>
    <row r="23177" s="9" customFormat="1" ht="21.95" customHeight="1" x14ac:dyDescent="0.15"/>
    <row r="23178" s="9" customFormat="1" ht="21.95" customHeight="1" x14ac:dyDescent="0.15"/>
    <row r="23179" s="9" customFormat="1" ht="21.95" customHeight="1" x14ac:dyDescent="0.15"/>
    <row r="23180" s="9" customFormat="1" ht="21.95" customHeight="1" x14ac:dyDescent="0.15"/>
    <row r="23181" s="9" customFormat="1" ht="21.95" customHeight="1" x14ac:dyDescent="0.15"/>
    <row r="23182" s="9" customFormat="1" ht="21.95" customHeight="1" x14ac:dyDescent="0.15"/>
    <row r="23183" s="9" customFormat="1" ht="21.95" customHeight="1" x14ac:dyDescent="0.15"/>
    <row r="23184" s="9" customFormat="1" ht="21.95" customHeight="1" x14ac:dyDescent="0.15"/>
    <row r="23185" s="9" customFormat="1" ht="21.95" customHeight="1" x14ac:dyDescent="0.15"/>
    <row r="23186" s="9" customFormat="1" ht="21.95" customHeight="1" x14ac:dyDescent="0.15"/>
    <row r="23187" s="9" customFormat="1" ht="21.95" customHeight="1" x14ac:dyDescent="0.15"/>
    <row r="23188" s="9" customFormat="1" ht="21.95" customHeight="1" x14ac:dyDescent="0.15"/>
    <row r="23189" s="9" customFormat="1" ht="21.95" customHeight="1" x14ac:dyDescent="0.15"/>
    <row r="23190" s="9" customFormat="1" ht="21.95" customHeight="1" x14ac:dyDescent="0.15"/>
    <row r="23191" s="9" customFormat="1" ht="21.95" customHeight="1" x14ac:dyDescent="0.15"/>
    <row r="23192" s="9" customFormat="1" ht="21.95" customHeight="1" x14ac:dyDescent="0.15"/>
    <row r="23193" s="9" customFormat="1" ht="21.95" customHeight="1" x14ac:dyDescent="0.15"/>
    <row r="23194" s="9" customFormat="1" ht="21.95" customHeight="1" x14ac:dyDescent="0.15"/>
    <row r="23195" s="9" customFormat="1" ht="21.95" customHeight="1" x14ac:dyDescent="0.15"/>
    <row r="23196" s="9" customFormat="1" ht="21.95" customHeight="1" x14ac:dyDescent="0.15"/>
    <row r="23197" s="9" customFormat="1" ht="21.95" customHeight="1" x14ac:dyDescent="0.15"/>
    <row r="23198" s="9" customFormat="1" ht="21.95" customHeight="1" x14ac:dyDescent="0.15"/>
    <row r="23199" s="9" customFormat="1" ht="21.95" customHeight="1" x14ac:dyDescent="0.15"/>
    <row r="23200" s="9" customFormat="1" ht="21.95" customHeight="1" x14ac:dyDescent="0.15"/>
    <row r="23201" s="9" customFormat="1" ht="21.95" customHeight="1" x14ac:dyDescent="0.15"/>
    <row r="23202" s="9" customFormat="1" ht="21.95" customHeight="1" x14ac:dyDescent="0.15"/>
    <row r="23203" s="9" customFormat="1" ht="21.95" customHeight="1" x14ac:dyDescent="0.15"/>
    <row r="23204" s="9" customFormat="1" ht="21.95" customHeight="1" x14ac:dyDescent="0.15"/>
    <row r="23205" s="9" customFormat="1" ht="21.95" customHeight="1" x14ac:dyDescent="0.15"/>
    <row r="23206" s="9" customFormat="1" ht="35.1" customHeight="1" x14ac:dyDescent="0.15"/>
    <row r="23207" s="9" customFormat="1" ht="21.95" customHeight="1" x14ac:dyDescent="0.15"/>
    <row r="23208" s="9" customFormat="1" ht="21.95" customHeight="1" x14ac:dyDescent="0.15"/>
    <row r="23209" s="9" customFormat="1" ht="21.95" customHeight="1" x14ac:dyDescent="0.15"/>
    <row r="23210" s="9" customFormat="1" ht="21.95" customHeight="1" x14ac:dyDescent="0.15"/>
    <row r="23211" s="9" customFormat="1" ht="21.95" customHeight="1" x14ac:dyDescent="0.15"/>
    <row r="23212" s="9" customFormat="1" ht="21.95" customHeight="1" x14ac:dyDescent="0.15"/>
    <row r="23213" s="9" customFormat="1" ht="21.95" customHeight="1" x14ac:dyDescent="0.15"/>
    <row r="23214" s="9" customFormat="1" ht="21.95" customHeight="1" x14ac:dyDescent="0.15"/>
    <row r="23215" s="9" customFormat="1" ht="21.95" customHeight="1" x14ac:dyDescent="0.15"/>
    <row r="23216" s="9" customFormat="1" ht="21.95" customHeight="1" x14ac:dyDescent="0.15"/>
    <row r="23217" spans="3:3" s="9" customFormat="1" ht="21.95" customHeight="1" x14ac:dyDescent="0.15"/>
    <row r="23218" spans="3:3" s="9" customFormat="1" ht="21.95" customHeight="1" x14ac:dyDescent="0.15"/>
    <row r="23219" spans="3:3" s="9" customFormat="1" ht="21.95" customHeight="1" x14ac:dyDescent="0.15"/>
    <row r="23220" spans="3:3" s="9" customFormat="1" ht="21.95" customHeight="1" x14ac:dyDescent="0.15"/>
    <row r="23221" spans="3:3" s="9" customFormat="1" ht="21.95" customHeight="1" x14ac:dyDescent="0.15"/>
    <row r="23222" spans="3:3" s="9" customFormat="1" ht="21.95" customHeight="1" x14ac:dyDescent="0.15"/>
    <row r="23223" spans="3:3" s="9" customFormat="1" ht="21.95" customHeight="1" x14ac:dyDescent="0.15"/>
    <row r="23224" spans="3:3" s="9" customFormat="1" ht="21.95" customHeight="1" x14ac:dyDescent="0.15"/>
    <row r="23225" spans="3:3" s="9" customFormat="1" ht="21.95" customHeight="1" x14ac:dyDescent="0.15"/>
    <row r="23226" spans="3:3" s="9" customFormat="1" ht="21.95" customHeight="1" x14ac:dyDescent="0.15"/>
    <row r="23227" spans="3:3" s="9" customFormat="1" ht="21.95" customHeight="1" x14ac:dyDescent="0.15"/>
    <row r="23228" spans="3:3" s="9" customFormat="1" ht="21.95" customHeight="1" x14ac:dyDescent="0.15"/>
    <row r="23229" spans="3:3" s="9" customFormat="1" ht="21.95" customHeight="1" x14ac:dyDescent="0.15"/>
    <row r="23230" spans="3:3" s="8" customFormat="1" ht="21.95" customHeight="1" x14ac:dyDescent="0.15"/>
    <row r="23231" spans="3:3" s="8" customFormat="1" ht="21.95" customHeight="1" x14ac:dyDescent="0.15"/>
    <row r="23232" spans="3:3" s="8" customFormat="1" ht="21.95" customHeight="1" x14ac:dyDescent="0.15">
      <c r="C23232" s="101"/>
    </row>
    <row r="23233" spans="3:3" s="8" customFormat="1" ht="21.95" customHeight="1" x14ac:dyDescent="0.15">
      <c r="C23233" s="101"/>
    </row>
    <row r="23234" spans="3:3" s="8" customFormat="1" ht="21.95" customHeight="1" x14ac:dyDescent="0.15"/>
    <row r="23235" spans="3:3" s="8" customFormat="1" ht="21.95" customHeight="1" x14ac:dyDescent="0.15"/>
    <row r="23236" spans="3:3" s="8" customFormat="1" ht="21.95" customHeight="1" x14ac:dyDescent="0.15"/>
    <row r="23237" spans="3:3" s="8" customFormat="1" ht="21.95" customHeight="1" x14ac:dyDescent="0.15"/>
    <row r="23238" spans="3:3" s="8" customFormat="1" ht="21.95" customHeight="1" x14ac:dyDescent="0.15"/>
    <row r="23239" spans="3:3" s="8" customFormat="1" ht="21.95" customHeight="1" x14ac:dyDescent="0.15"/>
    <row r="23240" spans="3:3" s="8" customFormat="1" ht="21.95" customHeight="1" x14ac:dyDescent="0.15"/>
    <row r="23241" spans="3:3" s="9" customFormat="1" ht="21.95" customHeight="1" x14ac:dyDescent="0.15"/>
    <row r="23242" spans="3:3" s="9" customFormat="1" ht="21.95" customHeight="1" x14ac:dyDescent="0.15"/>
    <row r="23243" spans="3:3" s="9" customFormat="1" ht="21.95" customHeight="1" x14ac:dyDescent="0.15"/>
    <row r="23244" spans="3:3" s="9" customFormat="1" ht="21.95" customHeight="1" x14ac:dyDescent="0.15"/>
    <row r="23245" spans="3:3" s="8" customFormat="1" ht="21.95" customHeight="1" x14ac:dyDescent="0.15"/>
    <row r="23246" spans="3:3" s="8" customFormat="1" ht="21.95" customHeight="1" x14ac:dyDescent="0.15"/>
    <row r="23247" spans="3:3" s="8" customFormat="1" ht="21.95" customHeight="1" x14ac:dyDescent="0.15"/>
    <row r="23248" spans="3:3" s="8" customFormat="1" ht="21.95" customHeight="1" x14ac:dyDescent="0.15"/>
    <row r="23249" s="8" customFormat="1" ht="21.95" customHeight="1" x14ac:dyDescent="0.15"/>
    <row r="23250" s="8" customFormat="1" ht="21.95" customHeight="1" x14ac:dyDescent="0.15"/>
    <row r="23251" s="8" customFormat="1" ht="21.95" customHeight="1" x14ac:dyDescent="0.15"/>
    <row r="23252" s="8" customFormat="1" ht="21.95" customHeight="1" x14ac:dyDescent="0.15"/>
    <row r="23253" s="8" customFormat="1" ht="21.95" customHeight="1" x14ac:dyDescent="0.15"/>
    <row r="23254" s="8" customFormat="1" ht="21.95" customHeight="1" x14ac:dyDescent="0.15"/>
    <row r="23255" s="8" customFormat="1" ht="21.95" customHeight="1" x14ac:dyDescent="0.15"/>
    <row r="23256" s="8" customFormat="1" ht="32.1" customHeight="1" x14ac:dyDescent="0.15"/>
    <row r="23257" s="8" customFormat="1" ht="32.1" customHeight="1" x14ac:dyDescent="0.15"/>
    <row r="23258" s="8" customFormat="1" ht="32.1" customHeight="1" x14ac:dyDescent="0.15"/>
    <row r="23259" s="8" customFormat="1" ht="32.1" customHeight="1" x14ac:dyDescent="0.15"/>
    <row r="23260" s="8" customFormat="1" ht="32.1" customHeight="1" x14ac:dyDescent="0.15"/>
    <row r="23261" s="8" customFormat="1" ht="32.1" customHeight="1" x14ac:dyDescent="0.15"/>
    <row r="23262" s="9" customFormat="1" ht="32.1" customHeight="1" x14ac:dyDescent="0.15"/>
    <row r="23263" s="9" customFormat="1" ht="32.1" customHeight="1" x14ac:dyDescent="0.15"/>
    <row r="23264" s="9" customFormat="1" ht="32.1" customHeight="1" x14ac:dyDescent="0.15"/>
    <row r="23265" s="9" customFormat="1" ht="32.1" customHeight="1" x14ac:dyDescent="0.15"/>
    <row r="23266" s="9" customFormat="1" ht="21.95" customHeight="1" x14ac:dyDescent="0.15"/>
    <row r="23267" s="9" customFormat="1" ht="54" customHeight="1" x14ac:dyDescent="0.15"/>
    <row r="23268" s="9" customFormat="1" ht="21.95" customHeight="1" x14ac:dyDescent="0.15"/>
    <row r="23269" s="9" customFormat="1" ht="21.95" customHeight="1" x14ac:dyDescent="0.15"/>
    <row r="23270" s="9" customFormat="1" ht="21.95" customHeight="1" x14ac:dyDescent="0.15"/>
    <row r="23271" s="9" customFormat="1" ht="21.95" customHeight="1" x14ac:dyDescent="0.15"/>
    <row r="23272" s="9" customFormat="1" ht="21.95" customHeight="1" x14ac:dyDescent="0.15"/>
    <row r="23273" s="9" customFormat="1" ht="21.95" customHeight="1" x14ac:dyDescent="0.15"/>
    <row r="23274" s="9" customFormat="1" ht="21.95" customHeight="1" x14ac:dyDescent="0.15"/>
    <row r="23275" s="9" customFormat="1" ht="21.95" customHeight="1" x14ac:dyDescent="0.15"/>
    <row r="23276" s="9" customFormat="1" ht="21.95" customHeight="1" x14ac:dyDescent="0.15"/>
    <row r="23277" s="9" customFormat="1" ht="21.95" customHeight="1" x14ac:dyDescent="0.15"/>
    <row r="23278" s="9" customFormat="1" ht="21.95" customHeight="1" x14ac:dyDescent="0.15"/>
    <row r="23279" s="9" customFormat="1" ht="21.95" customHeight="1" x14ac:dyDescent="0.15"/>
    <row r="23280" s="9" customFormat="1" ht="21.95" customHeight="1" x14ac:dyDescent="0.15"/>
    <row r="23281" s="9" customFormat="1" ht="21.95" customHeight="1" x14ac:dyDescent="0.15"/>
    <row r="23282" s="9" customFormat="1" ht="21.95" customHeight="1" x14ac:dyDescent="0.15"/>
    <row r="23283" s="9" customFormat="1" ht="21.95" customHeight="1" x14ac:dyDescent="0.15"/>
    <row r="23284" s="9" customFormat="1" ht="21.95" customHeight="1" x14ac:dyDescent="0.15"/>
    <row r="23285" s="9" customFormat="1" ht="21.95" customHeight="1" x14ac:dyDescent="0.15"/>
    <row r="23286" s="9" customFormat="1" ht="21.95" customHeight="1" x14ac:dyDescent="0.15"/>
    <row r="23287" s="9" customFormat="1" ht="21.95" customHeight="1" x14ac:dyDescent="0.15"/>
    <row r="23288" s="9" customFormat="1" ht="21.95" customHeight="1" x14ac:dyDescent="0.15"/>
    <row r="23289" s="9" customFormat="1" ht="21.95" customHeight="1" x14ac:dyDescent="0.15"/>
    <row r="23290" s="9" customFormat="1" ht="21.95" customHeight="1" x14ac:dyDescent="0.15"/>
    <row r="23291" s="9" customFormat="1" ht="21.95" customHeight="1" x14ac:dyDescent="0.15"/>
    <row r="23292" s="9" customFormat="1" ht="21.95" customHeight="1" x14ac:dyDescent="0.15"/>
    <row r="23293" s="9" customFormat="1" ht="21.95" customHeight="1" x14ac:dyDescent="0.15"/>
    <row r="23294" s="9" customFormat="1" ht="21.95" customHeight="1" x14ac:dyDescent="0.15"/>
    <row r="23295" s="9" customFormat="1" ht="21.95" customHeight="1" x14ac:dyDescent="0.15"/>
    <row r="23296" s="9" customFormat="1" ht="21.95" customHeight="1" x14ac:dyDescent="0.15"/>
    <row r="23297" s="9" customFormat="1" ht="21.95" customHeight="1" x14ac:dyDescent="0.15"/>
    <row r="23298" s="9" customFormat="1" ht="21.95" customHeight="1" x14ac:dyDescent="0.15"/>
    <row r="23299" s="9" customFormat="1" ht="21.95" customHeight="1" x14ac:dyDescent="0.15"/>
    <row r="23300" s="9" customFormat="1" ht="21.95" customHeight="1" x14ac:dyDescent="0.15"/>
    <row r="23301" s="9" customFormat="1" ht="21.95" customHeight="1" x14ac:dyDescent="0.15"/>
    <row r="23302" s="9" customFormat="1" ht="21.95" customHeight="1" x14ac:dyDescent="0.15"/>
    <row r="23303" s="9" customFormat="1" ht="21.95" customHeight="1" x14ac:dyDescent="0.15"/>
    <row r="23304" s="9" customFormat="1" ht="21.95" customHeight="1" x14ac:dyDescent="0.15"/>
    <row r="23305" s="9" customFormat="1" ht="21.95" customHeight="1" x14ac:dyDescent="0.15"/>
    <row r="23306" s="9" customFormat="1" ht="21.95" customHeight="1" x14ac:dyDescent="0.15"/>
    <row r="23307" s="9" customFormat="1" ht="21.95" customHeight="1" x14ac:dyDescent="0.15"/>
    <row r="23308" s="9" customFormat="1" ht="21.95" customHeight="1" x14ac:dyDescent="0.15"/>
    <row r="23309" s="9" customFormat="1" ht="21.95" customHeight="1" x14ac:dyDescent="0.15"/>
    <row r="23310" s="9" customFormat="1" ht="21.95" customHeight="1" x14ac:dyDescent="0.15"/>
    <row r="23311" s="9" customFormat="1" ht="21.95" customHeight="1" x14ac:dyDescent="0.15"/>
    <row r="23312" s="9" customFormat="1" ht="21.95" customHeight="1" x14ac:dyDescent="0.15"/>
    <row r="23313" s="9" customFormat="1" ht="21.95" customHeight="1" x14ac:dyDescent="0.15"/>
    <row r="23314" s="9" customFormat="1" ht="21.95" customHeight="1" x14ac:dyDescent="0.15"/>
    <row r="23315" s="9" customFormat="1" ht="21.95" customHeight="1" x14ac:dyDescent="0.15"/>
    <row r="23316" s="9" customFormat="1" ht="21.95" customHeight="1" x14ac:dyDescent="0.15"/>
    <row r="23317" s="9" customFormat="1" ht="21.95" customHeight="1" x14ac:dyDescent="0.15"/>
    <row r="23318" s="9" customFormat="1" ht="35.1" customHeight="1" x14ac:dyDescent="0.15"/>
    <row r="23319" s="9" customFormat="1" ht="21.95" customHeight="1" x14ac:dyDescent="0.15"/>
    <row r="23320" s="9" customFormat="1" ht="21.95" customHeight="1" x14ac:dyDescent="0.15"/>
    <row r="23321" s="9" customFormat="1" ht="21.95" customHeight="1" x14ac:dyDescent="0.15"/>
    <row r="23322" s="9" customFormat="1" ht="21.95" customHeight="1" x14ac:dyDescent="0.15"/>
    <row r="23323" s="9" customFormat="1" ht="21.95" customHeight="1" x14ac:dyDescent="0.15"/>
    <row r="23324" s="9" customFormat="1" ht="21.95" customHeight="1" x14ac:dyDescent="0.15"/>
    <row r="23325" s="9" customFormat="1" ht="21.95" customHeight="1" x14ac:dyDescent="0.15"/>
    <row r="23326" s="9" customFormat="1" ht="21.95" customHeight="1" x14ac:dyDescent="0.15"/>
    <row r="23327" s="9" customFormat="1" ht="21.95" customHeight="1" x14ac:dyDescent="0.15"/>
    <row r="23328" s="9" customFormat="1" ht="21.95" customHeight="1" x14ac:dyDescent="0.15"/>
    <row r="23329" spans="3:3" s="9" customFormat="1" ht="21.95" customHeight="1" x14ac:dyDescent="0.15"/>
    <row r="23330" spans="3:3" s="9" customFormat="1" ht="21.95" customHeight="1" x14ac:dyDescent="0.15"/>
    <row r="23331" spans="3:3" s="9" customFormat="1" ht="21.95" customHeight="1" x14ac:dyDescent="0.15"/>
    <row r="23332" spans="3:3" s="9" customFormat="1" ht="21.95" customHeight="1" x14ac:dyDescent="0.15"/>
    <row r="23333" spans="3:3" s="9" customFormat="1" ht="21.95" customHeight="1" x14ac:dyDescent="0.15"/>
    <row r="23334" spans="3:3" s="9" customFormat="1" ht="21.95" customHeight="1" x14ac:dyDescent="0.15"/>
    <row r="23335" spans="3:3" s="9" customFormat="1" ht="21.95" customHeight="1" x14ac:dyDescent="0.15"/>
    <row r="23336" spans="3:3" s="9" customFormat="1" ht="21.95" customHeight="1" x14ac:dyDescent="0.15"/>
    <row r="23337" spans="3:3" s="9" customFormat="1" ht="21.95" customHeight="1" x14ac:dyDescent="0.15"/>
    <row r="23338" spans="3:3" s="9" customFormat="1" ht="21.95" customHeight="1" x14ac:dyDescent="0.15"/>
    <row r="23339" spans="3:3" s="9" customFormat="1" ht="21.95" customHeight="1" x14ac:dyDescent="0.15"/>
    <row r="23340" spans="3:3" s="9" customFormat="1" ht="21.95" customHeight="1" x14ac:dyDescent="0.15"/>
    <row r="23341" spans="3:3" s="9" customFormat="1" ht="21.95" customHeight="1" x14ac:dyDescent="0.15"/>
    <row r="23342" spans="3:3" s="8" customFormat="1" ht="21.95" customHeight="1" x14ac:dyDescent="0.15"/>
    <row r="23343" spans="3:3" s="8" customFormat="1" ht="21.95" customHeight="1" x14ac:dyDescent="0.15"/>
    <row r="23344" spans="3:3" s="8" customFormat="1" ht="21.95" customHeight="1" x14ac:dyDescent="0.15">
      <c r="C23344" s="101"/>
    </row>
    <row r="23345" spans="3:3" s="8" customFormat="1" ht="21.95" customHeight="1" x14ac:dyDescent="0.15">
      <c r="C23345" s="101"/>
    </row>
    <row r="23346" spans="3:3" s="8" customFormat="1" ht="21.95" customHeight="1" x14ac:dyDescent="0.15"/>
    <row r="23347" spans="3:3" s="8" customFormat="1" ht="21.95" customHeight="1" x14ac:dyDescent="0.15"/>
    <row r="23348" spans="3:3" s="8" customFormat="1" ht="21.95" customHeight="1" x14ac:dyDescent="0.15"/>
    <row r="23349" spans="3:3" s="8" customFormat="1" ht="21.95" customHeight="1" x14ac:dyDescent="0.15"/>
    <row r="23350" spans="3:3" s="8" customFormat="1" ht="21.95" customHeight="1" x14ac:dyDescent="0.15"/>
    <row r="23351" spans="3:3" s="8" customFormat="1" ht="21.95" customHeight="1" x14ac:dyDescent="0.15"/>
    <row r="23352" spans="3:3" s="8" customFormat="1" ht="21.95" customHeight="1" x14ac:dyDescent="0.15"/>
    <row r="23353" spans="3:3" s="9" customFormat="1" ht="21.95" customHeight="1" x14ac:dyDescent="0.15"/>
    <row r="23354" spans="3:3" s="9" customFormat="1" ht="21.95" customHeight="1" x14ac:dyDescent="0.15"/>
    <row r="23355" spans="3:3" s="9" customFormat="1" ht="21.95" customHeight="1" x14ac:dyDescent="0.15"/>
    <row r="23356" spans="3:3" s="9" customFormat="1" ht="21.95" customHeight="1" x14ac:dyDescent="0.15"/>
    <row r="23357" spans="3:3" s="8" customFormat="1" ht="21.95" customHeight="1" x14ac:dyDescent="0.15"/>
    <row r="23358" spans="3:3" s="8" customFormat="1" ht="21.95" customHeight="1" x14ac:dyDescent="0.15"/>
    <row r="23359" spans="3:3" s="8" customFormat="1" ht="21.95" customHeight="1" x14ac:dyDescent="0.15"/>
    <row r="23360" spans="3:3" s="8" customFormat="1" ht="21.95" customHeight="1" x14ac:dyDescent="0.15"/>
    <row r="23361" s="8" customFormat="1" ht="21.95" customHeight="1" x14ac:dyDescent="0.15"/>
    <row r="23362" s="8" customFormat="1" ht="21.95" customHeight="1" x14ac:dyDescent="0.15"/>
    <row r="23363" s="8" customFormat="1" ht="21.95" customHeight="1" x14ac:dyDescent="0.15"/>
    <row r="23364" s="8" customFormat="1" ht="21.95" customHeight="1" x14ac:dyDescent="0.15"/>
    <row r="23365" s="8" customFormat="1" ht="21.95" customHeight="1" x14ac:dyDescent="0.15"/>
    <row r="23366" s="8" customFormat="1" ht="21.95" customHeight="1" x14ac:dyDescent="0.15"/>
    <row r="23367" s="8" customFormat="1" ht="21.95" customHeight="1" x14ac:dyDescent="0.15"/>
    <row r="23368" s="8" customFormat="1" ht="32.1" customHeight="1" x14ac:dyDescent="0.15"/>
    <row r="23369" s="8" customFormat="1" ht="32.1" customHeight="1" x14ac:dyDescent="0.15"/>
    <row r="23370" s="8" customFormat="1" ht="32.1" customHeight="1" x14ac:dyDescent="0.15"/>
    <row r="23371" s="8" customFormat="1" ht="32.1" customHeight="1" x14ac:dyDescent="0.15"/>
    <row r="23372" s="8" customFormat="1" ht="32.1" customHeight="1" x14ac:dyDescent="0.15"/>
    <row r="23373" s="8" customFormat="1" ht="32.1" customHeight="1" x14ac:dyDescent="0.15"/>
    <row r="23374" s="9" customFormat="1" ht="32.1" customHeight="1" x14ac:dyDescent="0.15"/>
    <row r="23375" s="9" customFormat="1" ht="32.1" customHeight="1" x14ac:dyDescent="0.15"/>
    <row r="23376" s="9" customFormat="1" ht="32.1" customHeight="1" x14ac:dyDescent="0.15"/>
    <row r="23377" s="9" customFormat="1" ht="32.1" customHeight="1" x14ac:dyDescent="0.15"/>
    <row r="23378" s="9" customFormat="1" ht="21.95" customHeight="1" x14ac:dyDescent="0.15"/>
    <row r="23379" s="9" customFormat="1" ht="54" customHeight="1" x14ac:dyDescent="0.15"/>
    <row r="23380" s="9" customFormat="1" ht="21.95" customHeight="1" x14ac:dyDescent="0.15"/>
    <row r="23381" s="9" customFormat="1" ht="21.95" customHeight="1" x14ac:dyDescent="0.15"/>
    <row r="23382" s="9" customFormat="1" ht="21.95" customHeight="1" x14ac:dyDescent="0.15"/>
    <row r="23383" s="9" customFormat="1" ht="21.95" customHeight="1" x14ac:dyDescent="0.15"/>
    <row r="23384" s="9" customFormat="1" ht="21.95" customHeight="1" x14ac:dyDescent="0.15"/>
    <row r="23385" s="9" customFormat="1" ht="21.95" customHeight="1" x14ac:dyDescent="0.15"/>
    <row r="23386" s="9" customFormat="1" ht="21.95" customHeight="1" x14ac:dyDescent="0.15"/>
    <row r="23387" s="9" customFormat="1" ht="21.95" customHeight="1" x14ac:dyDescent="0.15"/>
    <row r="23388" s="9" customFormat="1" ht="21.95" customHeight="1" x14ac:dyDescent="0.15"/>
    <row r="23389" s="9" customFormat="1" ht="21.95" customHeight="1" x14ac:dyDescent="0.15"/>
    <row r="23390" s="9" customFormat="1" ht="21.95" customHeight="1" x14ac:dyDescent="0.15"/>
    <row r="23391" s="9" customFormat="1" ht="21.95" customHeight="1" x14ac:dyDescent="0.15"/>
    <row r="23392" s="9" customFormat="1" ht="21.95" customHeight="1" x14ac:dyDescent="0.15"/>
    <row r="23393" s="9" customFormat="1" ht="21.95" customHeight="1" x14ac:dyDescent="0.15"/>
    <row r="23394" s="9" customFormat="1" ht="21.95" customHeight="1" x14ac:dyDescent="0.15"/>
    <row r="23395" s="9" customFormat="1" ht="21.95" customHeight="1" x14ac:dyDescent="0.15"/>
    <row r="23396" s="9" customFormat="1" ht="21.95" customHeight="1" x14ac:dyDescent="0.15"/>
    <row r="23397" s="9" customFormat="1" ht="21.95" customHeight="1" x14ac:dyDescent="0.15"/>
    <row r="23398" s="9" customFormat="1" ht="21.95" customHeight="1" x14ac:dyDescent="0.15"/>
    <row r="23399" s="9" customFormat="1" ht="21.95" customHeight="1" x14ac:dyDescent="0.15"/>
    <row r="23400" s="9" customFormat="1" ht="21.95" customHeight="1" x14ac:dyDescent="0.15"/>
    <row r="23401" s="9" customFormat="1" ht="21.95" customHeight="1" x14ac:dyDescent="0.15"/>
    <row r="23402" s="9" customFormat="1" ht="21.95" customHeight="1" x14ac:dyDescent="0.15"/>
    <row r="23403" s="9" customFormat="1" ht="21.95" customHeight="1" x14ac:dyDescent="0.15"/>
    <row r="23404" s="9" customFormat="1" ht="21.95" customHeight="1" x14ac:dyDescent="0.15"/>
    <row r="23405" s="9" customFormat="1" ht="21.95" customHeight="1" x14ac:dyDescent="0.15"/>
    <row r="23406" s="9" customFormat="1" ht="21.95" customHeight="1" x14ac:dyDescent="0.15"/>
    <row r="23407" s="9" customFormat="1" ht="21.95" customHeight="1" x14ac:dyDescent="0.15"/>
    <row r="23408" s="9" customFormat="1" ht="21.95" customHeight="1" x14ac:dyDescent="0.15"/>
    <row r="23409" s="9" customFormat="1" ht="21.95" customHeight="1" x14ac:dyDescent="0.15"/>
    <row r="23410" s="9" customFormat="1" ht="21.95" customHeight="1" x14ac:dyDescent="0.15"/>
    <row r="23411" s="9" customFormat="1" ht="21.95" customHeight="1" x14ac:dyDescent="0.15"/>
    <row r="23412" s="9" customFormat="1" ht="21.95" customHeight="1" x14ac:dyDescent="0.15"/>
    <row r="23413" s="9" customFormat="1" ht="21.95" customHeight="1" x14ac:dyDescent="0.15"/>
    <row r="23414" s="9" customFormat="1" ht="21.95" customHeight="1" x14ac:dyDescent="0.15"/>
    <row r="23415" s="9" customFormat="1" ht="21.95" customHeight="1" x14ac:dyDescent="0.15"/>
    <row r="23416" s="9" customFormat="1" ht="21.95" customHeight="1" x14ac:dyDescent="0.15"/>
    <row r="23417" s="9" customFormat="1" ht="21.95" customHeight="1" x14ac:dyDescent="0.15"/>
    <row r="23418" s="9" customFormat="1" ht="21.95" customHeight="1" x14ac:dyDescent="0.15"/>
    <row r="23419" s="9" customFormat="1" ht="21.95" customHeight="1" x14ac:dyDescent="0.15"/>
    <row r="23420" s="9" customFormat="1" ht="21.95" customHeight="1" x14ac:dyDescent="0.15"/>
    <row r="23421" s="9" customFormat="1" ht="21.95" customHeight="1" x14ac:dyDescent="0.15"/>
    <row r="23422" s="9" customFormat="1" ht="21.95" customHeight="1" x14ac:dyDescent="0.15"/>
    <row r="23423" s="9" customFormat="1" ht="21.95" customHeight="1" x14ac:dyDescent="0.15"/>
    <row r="23424" s="9" customFormat="1" ht="21.95" customHeight="1" x14ac:dyDescent="0.15"/>
    <row r="23425" s="9" customFormat="1" ht="21.95" customHeight="1" x14ac:dyDescent="0.15"/>
    <row r="23426" s="9" customFormat="1" ht="21.95" customHeight="1" x14ac:dyDescent="0.15"/>
    <row r="23427" s="9" customFormat="1" ht="21.95" customHeight="1" x14ac:dyDescent="0.15"/>
    <row r="23428" s="9" customFormat="1" ht="21.95" customHeight="1" x14ac:dyDescent="0.15"/>
    <row r="23429" s="9" customFormat="1" ht="21.95" customHeight="1" x14ac:dyDescent="0.15"/>
    <row r="23430" s="9" customFormat="1" ht="35.1" customHeight="1" x14ac:dyDescent="0.15"/>
    <row r="23431" s="9" customFormat="1" ht="21.95" customHeight="1" x14ac:dyDescent="0.15"/>
    <row r="23432" s="9" customFormat="1" ht="21.95" customHeight="1" x14ac:dyDescent="0.15"/>
    <row r="23433" s="9" customFormat="1" ht="21.95" customHeight="1" x14ac:dyDescent="0.15"/>
    <row r="23434" s="9" customFormat="1" ht="21.95" customHeight="1" x14ac:dyDescent="0.15"/>
    <row r="23435" s="9" customFormat="1" ht="21.95" customHeight="1" x14ac:dyDescent="0.15"/>
    <row r="23436" s="9" customFormat="1" ht="21.95" customHeight="1" x14ac:dyDescent="0.15"/>
    <row r="23437" s="9" customFormat="1" ht="21.95" customHeight="1" x14ac:dyDescent="0.15"/>
    <row r="23438" s="9" customFormat="1" ht="21.95" customHeight="1" x14ac:dyDescent="0.15"/>
    <row r="23439" s="9" customFormat="1" ht="21.95" customHeight="1" x14ac:dyDescent="0.15"/>
    <row r="23440" s="9" customFormat="1" ht="21.95" customHeight="1" x14ac:dyDescent="0.15"/>
    <row r="23441" spans="3:3" s="9" customFormat="1" ht="21.95" customHeight="1" x14ac:dyDescent="0.15"/>
    <row r="23442" spans="3:3" s="9" customFormat="1" ht="21.95" customHeight="1" x14ac:dyDescent="0.15"/>
    <row r="23443" spans="3:3" s="9" customFormat="1" ht="21.95" customHeight="1" x14ac:dyDescent="0.15"/>
    <row r="23444" spans="3:3" s="9" customFormat="1" ht="21.95" customHeight="1" x14ac:dyDescent="0.15"/>
    <row r="23445" spans="3:3" s="9" customFormat="1" ht="21.95" customHeight="1" x14ac:dyDescent="0.15"/>
    <row r="23446" spans="3:3" s="9" customFormat="1" ht="21.95" customHeight="1" x14ac:dyDescent="0.15"/>
    <row r="23447" spans="3:3" s="9" customFormat="1" ht="21.95" customHeight="1" x14ac:dyDescent="0.15"/>
    <row r="23448" spans="3:3" s="9" customFormat="1" ht="21.95" customHeight="1" x14ac:dyDescent="0.15"/>
    <row r="23449" spans="3:3" s="9" customFormat="1" ht="21.95" customHeight="1" x14ac:dyDescent="0.15"/>
    <row r="23450" spans="3:3" s="9" customFormat="1" ht="21.95" customHeight="1" x14ac:dyDescent="0.15"/>
    <row r="23451" spans="3:3" s="9" customFormat="1" ht="21.95" customHeight="1" x14ac:dyDescent="0.15"/>
    <row r="23452" spans="3:3" s="9" customFormat="1" ht="21.95" customHeight="1" x14ac:dyDescent="0.15"/>
    <row r="23453" spans="3:3" s="9" customFormat="1" ht="21.95" customHeight="1" x14ac:dyDescent="0.15"/>
    <row r="23454" spans="3:3" s="8" customFormat="1" ht="21.95" customHeight="1" x14ac:dyDescent="0.15"/>
    <row r="23455" spans="3:3" s="8" customFormat="1" ht="21.95" customHeight="1" x14ac:dyDescent="0.15"/>
    <row r="23456" spans="3:3" s="8" customFormat="1" ht="21.95" customHeight="1" x14ac:dyDescent="0.15">
      <c r="C23456" s="101"/>
    </row>
    <row r="23457" spans="3:3" s="8" customFormat="1" ht="21.95" customHeight="1" x14ac:dyDescent="0.15">
      <c r="C23457" s="101"/>
    </row>
    <row r="23458" spans="3:3" s="8" customFormat="1" ht="21.95" customHeight="1" x14ac:dyDescent="0.15"/>
    <row r="23459" spans="3:3" s="8" customFormat="1" ht="21.95" customHeight="1" x14ac:dyDescent="0.15"/>
    <row r="23460" spans="3:3" s="8" customFormat="1" ht="21.95" customHeight="1" x14ac:dyDescent="0.15"/>
    <row r="23461" spans="3:3" s="8" customFormat="1" ht="21.95" customHeight="1" x14ac:dyDescent="0.15"/>
    <row r="23462" spans="3:3" s="8" customFormat="1" ht="21.95" customHeight="1" x14ac:dyDescent="0.15"/>
    <row r="23463" spans="3:3" s="8" customFormat="1" ht="21.95" customHeight="1" x14ac:dyDescent="0.15"/>
    <row r="23464" spans="3:3" s="8" customFormat="1" ht="21.95" customHeight="1" x14ac:dyDescent="0.15"/>
    <row r="23465" spans="3:3" s="9" customFormat="1" ht="21.95" customHeight="1" x14ac:dyDescent="0.15"/>
    <row r="23466" spans="3:3" s="9" customFormat="1" ht="21.95" customHeight="1" x14ac:dyDescent="0.15"/>
    <row r="23467" spans="3:3" s="9" customFormat="1" ht="21.95" customHeight="1" x14ac:dyDescent="0.15"/>
    <row r="23468" spans="3:3" s="9" customFormat="1" ht="21.95" customHeight="1" x14ac:dyDescent="0.15"/>
    <row r="23469" spans="3:3" s="8" customFormat="1" ht="21.95" customHeight="1" x14ac:dyDescent="0.15"/>
    <row r="23470" spans="3:3" s="8" customFormat="1" ht="21.95" customHeight="1" x14ac:dyDescent="0.15"/>
    <row r="23471" spans="3:3" s="8" customFormat="1" ht="21.95" customHeight="1" x14ac:dyDescent="0.15"/>
    <row r="23472" spans="3:3" s="8" customFormat="1" ht="21.95" customHeight="1" x14ac:dyDescent="0.15"/>
    <row r="23473" s="8" customFormat="1" ht="21.95" customHeight="1" x14ac:dyDescent="0.15"/>
    <row r="23474" s="8" customFormat="1" ht="21.95" customHeight="1" x14ac:dyDescent="0.15"/>
    <row r="23475" s="8" customFormat="1" ht="21.95" customHeight="1" x14ac:dyDescent="0.15"/>
    <row r="23476" s="8" customFormat="1" ht="21.95" customHeight="1" x14ac:dyDescent="0.15"/>
    <row r="23477" s="8" customFormat="1" ht="21.95" customHeight="1" x14ac:dyDescent="0.15"/>
    <row r="23478" s="8" customFormat="1" ht="21.95" customHeight="1" x14ac:dyDescent="0.15"/>
    <row r="23479" s="8" customFormat="1" ht="21.95" customHeight="1" x14ac:dyDescent="0.15"/>
    <row r="23480" s="8" customFormat="1" ht="32.1" customHeight="1" x14ac:dyDescent="0.15"/>
    <row r="23481" s="8" customFormat="1" ht="32.1" customHeight="1" x14ac:dyDescent="0.15"/>
    <row r="23482" s="8" customFormat="1" ht="32.1" customHeight="1" x14ac:dyDescent="0.15"/>
    <row r="23483" s="8" customFormat="1" ht="32.1" customHeight="1" x14ac:dyDescent="0.15"/>
    <row r="23484" s="8" customFormat="1" ht="32.1" customHeight="1" x14ac:dyDescent="0.15"/>
    <row r="23485" s="8" customFormat="1" ht="32.1" customHeight="1" x14ac:dyDescent="0.15"/>
    <row r="23486" s="9" customFormat="1" ht="32.1" customHeight="1" x14ac:dyDescent="0.15"/>
    <row r="23487" s="9" customFormat="1" ht="32.1" customHeight="1" x14ac:dyDescent="0.15"/>
    <row r="23488" s="9" customFormat="1" ht="32.1" customHeight="1" x14ac:dyDescent="0.15"/>
    <row r="23489" s="9" customFormat="1" ht="32.1" customHeight="1" x14ac:dyDescent="0.15"/>
    <row r="23490" s="9" customFormat="1" ht="21.95" customHeight="1" x14ac:dyDescent="0.15"/>
    <row r="23491" s="9" customFormat="1" ht="54" customHeight="1" x14ac:dyDescent="0.15"/>
    <row r="23492" s="9" customFormat="1" ht="21.95" customHeight="1" x14ac:dyDescent="0.15"/>
    <row r="23493" s="9" customFormat="1" ht="21.95" customHeight="1" x14ac:dyDescent="0.15"/>
    <row r="23494" s="9" customFormat="1" ht="21.95" customHeight="1" x14ac:dyDescent="0.15"/>
    <row r="23495" s="9" customFormat="1" ht="21.95" customHeight="1" x14ac:dyDescent="0.15"/>
    <row r="23496" s="9" customFormat="1" ht="21.95" customHeight="1" x14ac:dyDescent="0.15"/>
    <row r="23497" s="9" customFormat="1" ht="21.95" customHeight="1" x14ac:dyDescent="0.15"/>
    <row r="23498" s="9" customFormat="1" ht="21.95" customHeight="1" x14ac:dyDescent="0.15"/>
    <row r="23499" s="9" customFormat="1" ht="21.95" customHeight="1" x14ac:dyDescent="0.15"/>
    <row r="23500" s="9" customFormat="1" ht="21.95" customHeight="1" x14ac:dyDescent="0.15"/>
    <row r="23501" s="9" customFormat="1" ht="21.95" customHeight="1" x14ac:dyDescent="0.15"/>
    <row r="23502" s="9" customFormat="1" ht="21.95" customHeight="1" x14ac:dyDescent="0.15"/>
    <row r="23503" s="9" customFormat="1" ht="21.95" customHeight="1" x14ac:dyDescent="0.15"/>
    <row r="23504" s="9" customFormat="1" ht="21.95" customHeight="1" x14ac:dyDescent="0.15"/>
    <row r="23505" s="9" customFormat="1" ht="21.95" customHeight="1" x14ac:dyDescent="0.15"/>
    <row r="23506" s="9" customFormat="1" ht="21.95" customHeight="1" x14ac:dyDescent="0.15"/>
    <row r="23507" s="9" customFormat="1" ht="21.95" customHeight="1" x14ac:dyDescent="0.15"/>
    <row r="23508" s="9" customFormat="1" ht="21.95" customHeight="1" x14ac:dyDescent="0.15"/>
    <row r="23509" s="9" customFormat="1" ht="21.95" customHeight="1" x14ac:dyDescent="0.15"/>
    <row r="23510" s="9" customFormat="1" ht="21.95" customHeight="1" x14ac:dyDescent="0.15"/>
    <row r="23511" s="9" customFormat="1" ht="21.95" customHeight="1" x14ac:dyDescent="0.15"/>
    <row r="23512" s="9" customFormat="1" ht="21.95" customHeight="1" x14ac:dyDescent="0.15"/>
    <row r="23513" s="9" customFormat="1" ht="21.95" customHeight="1" x14ac:dyDescent="0.15"/>
    <row r="23514" s="9" customFormat="1" ht="21.95" customHeight="1" x14ac:dyDescent="0.15"/>
    <row r="23515" s="9" customFormat="1" ht="21.95" customHeight="1" x14ac:dyDescent="0.15"/>
    <row r="23516" s="9" customFormat="1" ht="21.95" customHeight="1" x14ac:dyDescent="0.15"/>
    <row r="23517" s="9" customFormat="1" ht="21.95" customHeight="1" x14ac:dyDescent="0.15"/>
    <row r="23518" s="9" customFormat="1" ht="21.95" customHeight="1" x14ac:dyDescent="0.15"/>
    <row r="23519" s="9" customFormat="1" ht="21.95" customHeight="1" x14ac:dyDescent="0.15"/>
    <row r="23520" s="9" customFormat="1" ht="21.95" customHeight="1" x14ac:dyDescent="0.15"/>
    <row r="23521" s="9" customFormat="1" ht="21.95" customHeight="1" x14ac:dyDescent="0.15"/>
    <row r="23522" s="9" customFormat="1" ht="21.95" customHeight="1" x14ac:dyDescent="0.15"/>
    <row r="23523" s="9" customFormat="1" ht="21.95" customHeight="1" x14ac:dyDescent="0.15"/>
    <row r="23524" s="9" customFormat="1" ht="21.95" customHeight="1" x14ac:dyDescent="0.15"/>
    <row r="23525" s="9" customFormat="1" ht="21.95" customHeight="1" x14ac:dyDescent="0.15"/>
    <row r="23526" s="9" customFormat="1" ht="21.95" customHeight="1" x14ac:dyDescent="0.15"/>
    <row r="23527" s="9" customFormat="1" ht="21.95" customHeight="1" x14ac:dyDescent="0.15"/>
    <row r="23528" s="9" customFormat="1" ht="21.95" customHeight="1" x14ac:dyDescent="0.15"/>
    <row r="23529" s="9" customFormat="1" ht="21.95" customHeight="1" x14ac:dyDescent="0.15"/>
    <row r="23530" s="9" customFormat="1" ht="21.95" customHeight="1" x14ac:dyDescent="0.15"/>
    <row r="23531" s="9" customFormat="1" ht="21.95" customHeight="1" x14ac:dyDescent="0.15"/>
    <row r="23532" s="9" customFormat="1" ht="21.95" customHeight="1" x14ac:dyDescent="0.15"/>
    <row r="23533" s="9" customFormat="1" ht="21.95" customHeight="1" x14ac:dyDescent="0.15"/>
    <row r="23534" s="9" customFormat="1" ht="21.95" customHeight="1" x14ac:dyDescent="0.15"/>
    <row r="23535" s="9" customFormat="1" ht="21.95" customHeight="1" x14ac:dyDescent="0.15"/>
    <row r="23536" s="9" customFormat="1" ht="21.95" customHeight="1" x14ac:dyDescent="0.15"/>
    <row r="23537" s="9" customFormat="1" ht="21.95" customHeight="1" x14ac:dyDescent="0.15"/>
    <row r="23538" s="9" customFormat="1" ht="21.95" customHeight="1" x14ac:dyDescent="0.15"/>
    <row r="23539" s="9" customFormat="1" ht="21.95" customHeight="1" x14ac:dyDescent="0.15"/>
    <row r="23540" s="9" customFormat="1" ht="21.95" customHeight="1" x14ac:dyDescent="0.15"/>
    <row r="23541" s="9" customFormat="1" ht="21.95" customHeight="1" x14ac:dyDescent="0.15"/>
    <row r="23542" s="9" customFormat="1" ht="35.1" customHeight="1" x14ac:dyDescent="0.15"/>
    <row r="23543" s="9" customFormat="1" ht="21.95" customHeight="1" x14ac:dyDescent="0.15"/>
    <row r="23544" s="9" customFormat="1" ht="21.95" customHeight="1" x14ac:dyDescent="0.15"/>
    <row r="23545" s="9" customFormat="1" ht="21.95" customHeight="1" x14ac:dyDescent="0.15"/>
    <row r="23546" s="9" customFormat="1" ht="21.95" customHeight="1" x14ac:dyDescent="0.15"/>
    <row r="23547" s="9" customFormat="1" ht="21.95" customHeight="1" x14ac:dyDescent="0.15"/>
    <row r="23548" s="9" customFormat="1" ht="21.95" customHeight="1" x14ac:dyDescent="0.15"/>
    <row r="23549" s="9" customFormat="1" ht="21.95" customHeight="1" x14ac:dyDescent="0.15"/>
    <row r="23550" s="9" customFormat="1" ht="21.95" customHeight="1" x14ac:dyDescent="0.15"/>
    <row r="23551" s="9" customFormat="1" ht="21.95" customHeight="1" x14ac:dyDescent="0.15"/>
    <row r="23552" s="9" customFormat="1" ht="21.95" customHeight="1" x14ac:dyDescent="0.15"/>
    <row r="23553" spans="3:3" s="9" customFormat="1" ht="21.95" customHeight="1" x14ac:dyDescent="0.15"/>
    <row r="23554" spans="3:3" s="9" customFormat="1" ht="21.95" customHeight="1" x14ac:dyDescent="0.15"/>
    <row r="23555" spans="3:3" s="9" customFormat="1" ht="21.95" customHeight="1" x14ac:dyDescent="0.15"/>
    <row r="23556" spans="3:3" s="9" customFormat="1" ht="21.95" customHeight="1" x14ac:dyDescent="0.15"/>
    <row r="23557" spans="3:3" s="9" customFormat="1" ht="21.95" customHeight="1" x14ac:dyDescent="0.15"/>
    <row r="23558" spans="3:3" s="9" customFormat="1" ht="21.95" customHeight="1" x14ac:dyDescent="0.15"/>
    <row r="23559" spans="3:3" s="9" customFormat="1" ht="21.95" customHeight="1" x14ac:dyDescent="0.15"/>
    <row r="23560" spans="3:3" s="9" customFormat="1" ht="21.95" customHeight="1" x14ac:dyDescent="0.15"/>
    <row r="23561" spans="3:3" s="9" customFormat="1" ht="21.95" customHeight="1" x14ac:dyDescent="0.15"/>
    <row r="23562" spans="3:3" s="9" customFormat="1" ht="21.95" customHeight="1" x14ac:dyDescent="0.15"/>
    <row r="23563" spans="3:3" s="9" customFormat="1" ht="21.95" customHeight="1" x14ac:dyDescent="0.15"/>
    <row r="23564" spans="3:3" s="9" customFormat="1" ht="21.95" customHeight="1" x14ac:dyDescent="0.15"/>
    <row r="23565" spans="3:3" s="9" customFormat="1" ht="21.95" customHeight="1" x14ac:dyDescent="0.15"/>
    <row r="23566" spans="3:3" s="8" customFormat="1" ht="21.95" customHeight="1" x14ac:dyDescent="0.15"/>
    <row r="23567" spans="3:3" s="8" customFormat="1" ht="21.95" customHeight="1" x14ac:dyDescent="0.15"/>
    <row r="23568" spans="3:3" s="8" customFormat="1" ht="21.95" customHeight="1" x14ac:dyDescent="0.15">
      <c r="C23568" s="101"/>
    </row>
    <row r="23569" spans="3:3" s="8" customFormat="1" ht="21.95" customHeight="1" x14ac:dyDescent="0.15">
      <c r="C23569" s="101"/>
    </row>
    <row r="23570" spans="3:3" s="8" customFormat="1" ht="21.95" customHeight="1" x14ac:dyDescent="0.15"/>
    <row r="23571" spans="3:3" s="8" customFormat="1" ht="21.95" customHeight="1" x14ac:dyDescent="0.15"/>
    <row r="23572" spans="3:3" s="8" customFormat="1" ht="21.95" customHeight="1" x14ac:dyDescent="0.15"/>
    <row r="23573" spans="3:3" s="8" customFormat="1" ht="21.95" customHeight="1" x14ac:dyDescent="0.15"/>
    <row r="23574" spans="3:3" s="8" customFormat="1" ht="21.95" customHeight="1" x14ac:dyDescent="0.15"/>
    <row r="23575" spans="3:3" s="8" customFormat="1" ht="21.95" customHeight="1" x14ac:dyDescent="0.15"/>
    <row r="23576" spans="3:3" s="8" customFormat="1" ht="21.95" customHeight="1" x14ac:dyDescent="0.15"/>
    <row r="23577" spans="3:3" s="9" customFormat="1" ht="21.95" customHeight="1" x14ac:dyDescent="0.15"/>
    <row r="23578" spans="3:3" s="9" customFormat="1" ht="21.95" customHeight="1" x14ac:dyDescent="0.15"/>
    <row r="23579" spans="3:3" s="9" customFormat="1" ht="21.95" customHeight="1" x14ac:dyDescent="0.15"/>
    <row r="23580" spans="3:3" s="9" customFormat="1" ht="21.95" customHeight="1" x14ac:dyDescent="0.15"/>
    <row r="23581" spans="3:3" s="8" customFormat="1" ht="21.95" customHeight="1" x14ac:dyDescent="0.15"/>
    <row r="23582" spans="3:3" s="8" customFormat="1" ht="21.95" customHeight="1" x14ac:dyDescent="0.15"/>
    <row r="23583" spans="3:3" s="8" customFormat="1" ht="21.95" customHeight="1" x14ac:dyDescent="0.15"/>
    <row r="23584" spans="3:3" s="8" customFormat="1" ht="21.95" customHeight="1" x14ac:dyDescent="0.15"/>
    <row r="23585" s="8" customFormat="1" ht="21.95" customHeight="1" x14ac:dyDescent="0.15"/>
    <row r="23586" s="8" customFormat="1" ht="21.95" customHeight="1" x14ac:dyDescent="0.15"/>
    <row r="23587" s="8" customFormat="1" ht="21.95" customHeight="1" x14ac:dyDescent="0.15"/>
    <row r="23588" s="8" customFormat="1" ht="21.95" customHeight="1" x14ac:dyDescent="0.15"/>
    <row r="23589" s="8" customFormat="1" ht="21.95" customHeight="1" x14ac:dyDescent="0.15"/>
    <row r="23590" s="8" customFormat="1" ht="21.95" customHeight="1" x14ac:dyDescent="0.15"/>
    <row r="23591" s="8" customFormat="1" ht="21.95" customHeight="1" x14ac:dyDescent="0.15"/>
    <row r="23592" s="8" customFormat="1" ht="32.1" customHeight="1" x14ac:dyDescent="0.15"/>
    <row r="23593" s="8" customFormat="1" ht="32.1" customHeight="1" x14ac:dyDescent="0.15"/>
    <row r="23594" s="8" customFormat="1" ht="32.1" customHeight="1" x14ac:dyDescent="0.15"/>
    <row r="23595" s="8" customFormat="1" ht="32.1" customHeight="1" x14ac:dyDescent="0.15"/>
    <row r="23596" s="8" customFormat="1" ht="32.1" customHeight="1" x14ac:dyDescent="0.15"/>
    <row r="23597" s="8" customFormat="1" ht="32.1" customHeight="1" x14ac:dyDescent="0.15"/>
    <row r="23598" s="9" customFormat="1" ht="32.1" customHeight="1" x14ac:dyDescent="0.15"/>
    <row r="23599" s="9" customFormat="1" ht="32.1" customHeight="1" x14ac:dyDescent="0.15"/>
    <row r="23600" s="9" customFormat="1" ht="32.1" customHeight="1" x14ac:dyDescent="0.15"/>
    <row r="23601" s="9" customFormat="1" ht="32.1" customHeight="1" x14ac:dyDescent="0.15"/>
    <row r="23602" s="9" customFormat="1" ht="21.95" customHeight="1" x14ac:dyDescent="0.15"/>
    <row r="23603" s="9" customFormat="1" ht="54" customHeight="1" x14ac:dyDescent="0.15"/>
    <row r="23604" s="9" customFormat="1" ht="21.95" customHeight="1" x14ac:dyDescent="0.15"/>
    <row r="23605" s="9" customFormat="1" ht="21.95" customHeight="1" x14ac:dyDescent="0.15"/>
    <row r="23606" s="9" customFormat="1" ht="21.95" customHeight="1" x14ac:dyDescent="0.15"/>
    <row r="23607" s="9" customFormat="1" ht="21.95" customHeight="1" x14ac:dyDescent="0.15"/>
    <row r="23608" s="9" customFormat="1" ht="21.95" customHeight="1" x14ac:dyDescent="0.15"/>
    <row r="23609" s="9" customFormat="1" ht="21.95" customHeight="1" x14ac:dyDescent="0.15"/>
    <row r="23610" s="9" customFormat="1" ht="21.95" customHeight="1" x14ac:dyDescent="0.15"/>
    <row r="23611" s="9" customFormat="1" ht="21.95" customHeight="1" x14ac:dyDescent="0.15"/>
    <row r="23612" s="9" customFormat="1" ht="21.95" customHeight="1" x14ac:dyDescent="0.15"/>
    <row r="23613" s="9" customFormat="1" ht="21.95" customHeight="1" x14ac:dyDescent="0.15"/>
    <row r="23614" s="9" customFormat="1" ht="21.95" customHeight="1" x14ac:dyDescent="0.15"/>
    <row r="23615" s="9" customFormat="1" ht="21.95" customHeight="1" x14ac:dyDescent="0.15"/>
    <row r="23616" s="9" customFormat="1" ht="21.95" customHeight="1" x14ac:dyDescent="0.15"/>
    <row r="23617" s="9" customFormat="1" ht="21.95" customHeight="1" x14ac:dyDescent="0.15"/>
    <row r="23618" s="9" customFormat="1" ht="21.95" customHeight="1" x14ac:dyDescent="0.15"/>
    <row r="23619" s="9" customFormat="1" ht="21.95" customHeight="1" x14ac:dyDescent="0.15"/>
    <row r="23620" s="9" customFormat="1" ht="21.95" customHeight="1" x14ac:dyDescent="0.15"/>
    <row r="23621" s="9" customFormat="1" ht="21.95" customHeight="1" x14ac:dyDescent="0.15"/>
    <row r="23622" s="9" customFormat="1" ht="21.95" customHeight="1" x14ac:dyDescent="0.15"/>
    <row r="23623" s="9" customFormat="1" ht="21.95" customHeight="1" x14ac:dyDescent="0.15"/>
    <row r="23624" s="9" customFormat="1" ht="21.95" customHeight="1" x14ac:dyDescent="0.15"/>
    <row r="23625" s="9" customFormat="1" ht="21.95" customHeight="1" x14ac:dyDescent="0.15"/>
    <row r="23626" s="9" customFormat="1" ht="21.95" customHeight="1" x14ac:dyDescent="0.15"/>
    <row r="23627" s="9" customFormat="1" ht="21.95" customHeight="1" x14ac:dyDescent="0.15"/>
    <row r="23628" s="9" customFormat="1" ht="21.95" customHeight="1" x14ac:dyDescent="0.15"/>
    <row r="23629" s="9" customFormat="1" ht="21.95" customHeight="1" x14ac:dyDescent="0.15"/>
    <row r="23630" s="9" customFormat="1" ht="21.95" customHeight="1" x14ac:dyDescent="0.15"/>
    <row r="23631" s="9" customFormat="1" ht="21.95" customHeight="1" x14ac:dyDescent="0.15"/>
    <row r="23632" s="9" customFormat="1" ht="21.95" customHeight="1" x14ac:dyDescent="0.15"/>
    <row r="23633" s="9" customFormat="1" ht="21.95" customHeight="1" x14ac:dyDescent="0.15"/>
    <row r="23634" s="9" customFormat="1" ht="21.95" customHeight="1" x14ac:dyDescent="0.15"/>
    <row r="23635" s="9" customFormat="1" ht="21.95" customHeight="1" x14ac:dyDescent="0.15"/>
    <row r="23636" s="9" customFormat="1" ht="21.95" customHeight="1" x14ac:dyDescent="0.15"/>
    <row r="23637" s="9" customFormat="1" ht="21.95" customHeight="1" x14ac:dyDescent="0.15"/>
    <row r="23638" s="9" customFormat="1" ht="21.95" customHeight="1" x14ac:dyDescent="0.15"/>
    <row r="23639" s="9" customFormat="1" ht="21.95" customHeight="1" x14ac:dyDescent="0.15"/>
    <row r="23640" s="9" customFormat="1" ht="21.95" customHeight="1" x14ac:dyDescent="0.15"/>
    <row r="23641" s="9" customFormat="1" ht="21.95" customHeight="1" x14ac:dyDescent="0.15"/>
    <row r="23642" s="9" customFormat="1" ht="21.95" customHeight="1" x14ac:dyDescent="0.15"/>
    <row r="23643" s="9" customFormat="1" ht="21.95" customHeight="1" x14ac:dyDescent="0.15"/>
    <row r="23644" s="9" customFormat="1" ht="21.95" customHeight="1" x14ac:dyDescent="0.15"/>
    <row r="23645" s="9" customFormat="1" ht="21.95" customHeight="1" x14ac:dyDescent="0.15"/>
    <row r="23646" s="9" customFormat="1" ht="21.95" customHeight="1" x14ac:dyDescent="0.15"/>
    <row r="23647" s="9" customFormat="1" ht="21.95" customHeight="1" x14ac:dyDescent="0.15"/>
    <row r="23648" s="9" customFormat="1" ht="21.95" customHeight="1" x14ac:dyDescent="0.15"/>
    <row r="23649" s="9" customFormat="1" ht="21.95" customHeight="1" x14ac:dyDescent="0.15"/>
    <row r="23650" s="9" customFormat="1" ht="21.95" customHeight="1" x14ac:dyDescent="0.15"/>
    <row r="23651" s="9" customFormat="1" ht="21.95" customHeight="1" x14ac:dyDescent="0.15"/>
    <row r="23652" s="9" customFormat="1" ht="21.95" customHeight="1" x14ac:dyDescent="0.15"/>
    <row r="23653" s="9" customFormat="1" ht="21.95" customHeight="1" x14ac:dyDescent="0.15"/>
    <row r="23654" s="9" customFormat="1" ht="35.1" customHeight="1" x14ac:dyDescent="0.15"/>
    <row r="23655" s="9" customFormat="1" ht="21.95" customHeight="1" x14ac:dyDescent="0.15"/>
    <row r="23656" s="9" customFormat="1" ht="21.95" customHeight="1" x14ac:dyDescent="0.15"/>
    <row r="23657" s="9" customFormat="1" ht="21.95" customHeight="1" x14ac:dyDescent="0.15"/>
    <row r="23658" s="9" customFormat="1" ht="21.95" customHeight="1" x14ac:dyDescent="0.15"/>
    <row r="23659" s="9" customFormat="1" ht="21.95" customHeight="1" x14ac:dyDescent="0.15"/>
    <row r="23660" s="9" customFormat="1" ht="21.95" customHeight="1" x14ac:dyDescent="0.15"/>
    <row r="23661" s="9" customFormat="1" ht="21.95" customHeight="1" x14ac:dyDescent="0.15"/>
    <row r="23662" s="9" customFormat="1" ht="21.95" customHeight="1" x14ac:dyDescent="0.15"/>
    <row r="23663" s="9" customFormat="1" ht="21.95" customHeight="1" x14ac:dyDescent="0.15"/>
    <row r="23664" s="9" customFormat="1" ht="21.95" customHeight="1" x14ac:dyDescent="0.15"/>
    <row r="23665" spans="3:3" s="9" customFormat="1" ht="21.95" customHeight="1" x14ac:dyDescent="0.15"/>
    <row r="23666" spans="3:3" s="9" customFormat="1" ht="21.95" customHeight="1" x14ac:dyDescent="0.15"/>
    <row r="23667" spans="3:3" s="9" customFormat="1" ht="21.95" customHeight="1" x14ac:dyDescent="0.15"/>
    <row r="23668" spans="3:3" s="9" customFormat="1" ht="21.95" customHeight="1" x14ac:dyDescent="0.15"/>
    <row r="23669" spans="3:3" s="9" customFormat="1" ht="21.95" customHeight="1" x14ac:dyDescent="0.15"/>
    <row r="23670" spans="3:3" s="9" customFormat="1" ht="21.95" customHeight="1" x14ac:dyDescent="0.15"/>
    <row r="23671" spans="3:3" s="9" customFormat="1" ht="21.95" customHeight="1" x14ac:dyDescent="0.15"/>
    <row r="23672" spans="3:3" s="9" customFormat="1" ht="21.95" customHeight="1" x14ac:dyDescent="0.15"/>
    <row r="23673" spans="3:3" s="9" customFormat="1" ht="21.95" customHeight="1" x14ac:dyDescent="0.15"/>
    <row r="23674" spans="3:3" s="9" customFormat="1" ht="21.95" customHeight="1" x14ac:dyDescent="0.15"/>
    <row r="23675" spans="3:3" s="9" customFormat="1" ht="21.95" customHeight="1" x14ac:dyDescent="0.15"/>
    <row r="23676" spans="3:3" s="9" customFormat="1" ht="21.95" customHeight="1" x14ac:dyDescent="0.15"/>
    <row r="23677" spans="3:3" s="9" customFormat="1" ht="21.95" customHeight="1" x14ac:dyDescent="0.15"/>
    <row r="23678" spans="3:3" s="8" customFormat="1" ht="21.95" customHeight="1" x14ac:dyDescent="0.15"/>
    <row r="23679" spans="3:3" s="8" customFormat="1" ht="21.95" customHeight="1" x14ac:dyDescent="0.15"/>
    <row r="23680" spans="3:3" s="8" customFormat="1" ht="21.95" customHeight="1" x14ac:dyDescent="0.15">
      <c r="C23680" s="101"/>
    </row>
    <row r="23681" spans="3:3" s="8" customFormat="1" ht="21.95" customHeight="1" x14ac:dyDescent="0.15">
      <c r="C23681" s="101"/>
    </row>
    <row r="23682" spans="3:3" s="8" customFormat="1" ht="21.95" customHeight="1" x14ac:dyDescent="0.15"/>
    <row r="23683" spans="3:3" s="8" customFormat="1" ht="21.95" customHeight="1" x14ac:dyDescent="0.15"/>
    <row r="23684" spans="3:3" s="8" customFormat="1" ht="21.95" customHeight="1" x14ac:dyDescent="0.15"/>
    <row r="23685" spans="3:3" s="8" customFormat="1" ht="21.95" customHeight="1" x14ac:dyDescent="0.15"/>
    <row r="23686" spans="3:3" s="8" customFormat="1" ht="21.95" customHeight="1" x14ac:dyDescent="0.15"/>
    <row r="23687" spans="3:3" s="8" customFormat="1" ht="21.95" customHeight="1" x14ac:dyDescent="0.15"/>
    <row r="23688" spans="3:3" s="8" customFormat="1" ht="21.95" customHeight="1" x14ac:dyDescent="0.15"/>
    <row r="23689" spans="3:3" s="9" customFormat="1" ht="21.95" customHeight="1" x14ac:dyDescent="0.15"/>
    <row r="23690" spans="3:3" s="9" customFormat="1" ht="21.95" customHeight="1" x14ac:dyDescent="0.15"/>
    <row r="23691" spans="3:3" s="9" customFormat="1" ht="21.95" customHeight="1" x14ac:dyDescent="0.15"/>
    <row r="23692" spans="3:3" s="9" customFormat="1" ht="21.95" customHeight="1" x14ac:dyDescent="0.15"/>
    <row r="23693" spans="3:3" s="8" customFormat="1" ht="21.95" customHeight="1" x14ac:dyDescent="0.15"/>
    <row r="23694" spans="3:3" s="8" customFormat="1" ht="21.95" customHeight="1" x14ac:dyDescent="0.15"/>
    <row r="23695" spans="3:3" s="8" customFormat="1" ht="21.95" customHeight="1" x14ac:dyDescent="0.15"/>
    <row r="23696" spans="3:3" s="8" customFormat="1" ht="21.95" customHeight="1" x14ac:dyDescent="0.15"/>
    <row r="23697" s="8" customFormat="1" ht="21.95" customHeight="1" x14ac:dyDescent="0.15"/>
    <row r="23698" s="8" customFormat="1" ht="21.95" customHeight="1" x14ac:dyDescent="0.15"/>
    <row r="23699" s="8" customFormat="1" ht="21.95" customHeight="1" x14ac:dyDescent="0.15"/>
    <row r="23700" s="8" customFormat="1" ht="21.95" customHeight="1" x14ac:dyDescent="0.15"/>
    <row r="23701" s="8" customFormat="1" ht="21.95" customHeight="1" x14ac:dyDescent="0.15"/>
    <row r="23702" s="8" customFormat="1" ht="21.95" customHeight="1" x14ac:dyDescent="0.15"/>
    <row r="23703" s="8" customFormat="1" ht="21.95" customHeight="1" x14ac:dyDescent="0.15"/>
    <row r="23704" s="8" customFormat="1" ht="32.1" customHeight="1" x14ac:dyDescent="0.15"/>
    <row r="23705" s="8" customFormat="1" ht="32.1" customHeight="1" x14ac:dyDescent="0.15"/>
    <row r="23706" s="8" customFormat="1" ht="32.1" customHeight="1" x14ac:dyDescent="0.15"/>
    <row r="23707" s="8" customFormat="1" ht="32.1" customHeight="1" x14ac:dyDescent="0.15"/>
    <row r="23708" s="8" customFormat="1" ht="32.1" customHeight="1" x14ac:dyDescent="0.15"/>
    <row r="23709" s="8" customFormat="1" ht="32.1" customHeight="1" x14ac:dyDescent="0.15"/>
    <row r="23710" s="9" customFormat="1" ht="32.1" customHeight="1" x14ac:dyDescent="0.15"/>
    <row r="23711" s="9" customFormat="1" ht="32.1" customHeight="1" x14ac:dyDescent="0.15"/>
    <row r="23712" s="9" customFormat="1" ht="32.1" customHeight="1" x14ac:dyDescent="0.15"/>
    <row r="23713" s="9" customFormat="1" ht="32.1" customHeight="1" x14ac:dyDescent="0.15"/>
    <row r="23714" s="9" customFormat="1" ht="21.95" customHeight="1" x14ac:dyDescent="0.15"/>
    <row r="23715" s="9" customFormat="1" ht="54" customHeight="1" x14ac:dyDescent="0.15"/>
    <row r="23716" s="9" customFormat="1" ht="21.95" customHeight="1" x14ac:dyDescent="0.15"/>
    <row r="23717" s="9" customFormat="1" ht="21.95" customHeight="1" x14ac:dyDescent="0.15"/>
    <row r="23718" s="9" customFormat="1" ht="21.95" customHeight="1" x14ac:dyDescent="0.15"/>
    <row r="23719" s="9" customFormat="1" ht="21.95" customHeight="1" x14ac:dyDescent="0.15"/>
    <row r="23720" s="9" customFormat="1" ht="21.95" customHeight="1" x14ac:dyDescent="0.15"/>
    <row r="23721" s="9" customFormat="1" ht="21.95" customHeight="1" x14ac:dyDescent="0.15"/>
    <row r="23722" s="9" customFormat="1" ht="21.95" customHeight="1" x14ac:dyDescent="0.15"/>
    <row r="23723" s="9" customFormat="1" ht="21.95" customHeight="1" x14ac:dyDescent="0.15"/>
    <row r="23724" s="9" customFormat="1" ht="21.95" customHeight="1" x14ac:dyDescent="0.15"/>
    <row r="23725" s="9" customFormat="1" ht="21.95" customHeight="1" x14ac:dyDescent="0.15"/>
    <row r="23726" s="9" customFormat="1" ht="21.95" customHeight="1" x14ac:dyDescent="0.15"/>
    <row r="23727" s="9" customFormat="1" ht="21.95" customHeight="1" x14ac:dyDescent="0.15"/>
    <row r="23728" s="9" customFormat="1" ht="21.95" customHeight="1" x14ac:dyDescent="0.15"/>
    <row r="23729" s="9" customFormat="1" ht="21.95" customHeight="1" x14ac:dyDescent="0.15"/>
    <row r="23730" s="9" customFormat="1" ht="21.95" customHeight="1" x14ac:dyDescent="0.15"/>
    <row r="23731" s="9" customFormat="1" ht="21.95" customHeight="1" x14ac:dyDescent="0.15"/>
    <row r="23732" s="9" customFormat="1" ht="21.95" customHeight="1" x14ac:dyDescent="0.15"/>
    <row r="23733" s="9" customFormat="1" ht="21.95" customHeight="1" x14ac:dyDescent="0.15"/>
    <row r="23734" s="9" customFormat="1" ht="21.95" customHeight="1" x14ac:dyDescent="0.15"/>
    <row r="23735" s="9" customFormat="1" ht="21.95" customHeight="1" x14ac:dyDescent="0.15"/>
    <row r="23736" s="9" customFormat="1" ht="21.95" customHeight="1" x14ac:dyDescent="0.15"/>
    <row r="23737" s="9" customFormat="1" ht="21.95" customHeight="1" x14ac:dyDescent="0.15"/>
    <row r="23738" s="9" customFormat="1" ht="21.95" customHeight="1" x14ac:dyDescent="0.15"/>
    <row r="23739" s="9" customFormat="1" ht="21.95" customHeight="1" x14ac:dyDescent="0.15"/>
    <row r="23740" s="9" customFormat="1" ht="21.95" customHeight="1" x14ac:dyDescent="0.15"/>
    <row r="23741" s="9" customFormat="1" ht="21.95" customHeight="1" x14ac:dyDescent="0.15"/>
    <row r="23742" s="9" customFormat="1" ht="21.95" customHeight="1" x14ac:dyDescent="0.15"/>
    <row r="23743" s="9" customFormat="1" ht="21.95" customHeight="1" x14ac:dyDescent="0.15"/>
    <row r="23744" s="9" customFormat="1" ht="21.95" customHeight="1" x14ac:dyDescent="0.15"/>
    <row r="23745" s="9" customFormat="1" ht="21.95" customHeight="1" x14ac:dyDescent="0.15"/>
    <row r="23746" s="9" customFormat="1" ht="21.95" customHeight="1" x14ac:dyDescent="0.15"/>
    <row r="23747" s="9" customFormat="1" ht="21.95" customHeight="1" x14ac:dyDescent="0.15"/>
    <row r="23748" s="9" customFormat="1" ht="21.95" customHeight="1" x14ac:dyDescent="0.15"/>
    <row r="23749" s="9" customFormat="1" ht="21.95" customHeight="1" x14ac:dyDescent="0.15"/>
    <row r="23750" s="9" customFormat="1" ht="21.95" customHeight="1" x14ac:dyDescent="0.15"/>
    <row r="23751" s="9" customFormat="1" ht="21.95" customHeight="1" x14ac:dyDescent="0.15"/>
    <row r="23752" s="9" customFormat="1" ht="21.95" customHeight="1" x14ac:dyDescent="0.15"/>
    <row r="23753" s="9" customFormat="1" ht="21.95" customHeight="1" x14ac:dyDescent="0.15"/>
    <row r="23754" s="9" customFormat="1" ht="21.95" customHeight="1" x14ac:dyDescent="0.15"/>
    <row r="23755" s="9" customFormat="1" ht="21.95" customHeight="1" x14ac:dyDescent="0.15"/>
    <row r="23756" s="9" customFormat="1" ht="21.95" customHeight="1" x14ac:dyDescent="0.15"/>
    <row r="23757" s="9" customFormat="1" ht="21.95" customHeight="1" x14ac:dyDescent="0.15"/>
    <row r="23758" s="9" customFormat="1" ht="21.95" customHeight="1" x14ac:dyDescent="0.15"/>
    <row r="23759" s="9" customFormat="1" ht="21.95" customHeight="1" x14ac:dyDescent="0.15"/>
    <row r="23760" s="9" customFormat="1" ht="21.95" customHeight="1" x14ac:dyDescent="0.15"/>
    <row r="23761" s="9" customFormat="1" ht="21.95" customHeight="1" x14ac:dyDescent="0.15"/>
    <row r="23762" s="9" customFormat="1" ht="21.95" customHeight="1" x14ac:dyDescent="0.15"/>
    <row r="23763" s="9" customFormat="1" ht="21.95" customHeight="1" x14ac:dyDescent="0.15"/>
    <row r="23764" s="9" customFormat="1" ht="21.95" customHeight="1" x14ac:dyDescent="0.15"/>
    <row r="23765" s="9" customFormat="1" ht="21.95" customHeight="1" x14ac:dyDescent="0.15"/>
    <row r="23766" s="9" customFormat="1" ht="35.1" customHeight="1" x14ac:dyDescent="0.15"/>
    <row r="23767" s="9" customFormat="1" ht="21.95" customHeight="1" x14ac:dyDescent="0.15"/>
    <row r="23768" s="9" customFormat="1" ht="21.95" customHeight="1" x14ac:dyDescent="0.15"/>
    <row r="23769" s="9" customFormat="1" ht="21.95" customHeight="1" x14ac:dyDescent="0.15"/>
    <row r="23770" s="9" customFormat="1" ht="21.95" customHeight="1" x14ac:dyDescent="0.15"/>
    <row r="23771" s="9" customFormat="1" ht="21.95" customHeight="1" x14ac:dyDescent="0.15"/>
    <row r="23772" s="9" customFormat="1" ht="21.95" customHeight="1" x14ac:dyDescent="0.15"/>
    <row r="23773" s="9" customFormat="1" ht="21.95" customHeight="1" x14ac:dyDescent="0.15"/>
    <row r="23774" s="9" customFormat="1" ht="21.95" customHeight="1" x14ac:dyDescent="0.15"/>
    <row r="23775" s="9" customFormat="1" ht="21.95" customHeight="1" x14ac:dyDescent="0.15"/>
    <row r="23776" s="9" customFormat="1" ht="21.95" customHeight="1" x14ac:dyDescent="0.15"/>
    <row r="23777" spans="3:3" s="9" customFormat="1" ht="21.95" customHeight="1" x14ac:dyDescent="0.15"/>
    <row r="23778" spans="3:3" s="9" customFormat="1" ht="21.95" customHeight="1" x14ac:dyDescent="0.15"/>
    <row r="23779" spans="3:3" s="9" customFormat="1" ht="21.95" customHeight="1" x14ac:dyDescent="0.15"/>
    <row r="23780" spans="3:3" s="9" customFormat="1" ht="21.95" customHeight="1" x14ac:dyDescent="0.15"/>
    <row r="23781" spans="3:3" s="9" customFormat="1" ht="21.95" customHeight="1" x14ac:dyDescent="0.15"/>
    <row r="23782" spans="3:3" s="9" customFormat="1" ht="21.95" customHeight="1" x14ac:dyDescent="0.15"/>
    <row r="23783" spans="3:3" s="9" customFormat="1" ht="21.95" customHeight="1" x14ac:dyDescent="0.15"/>
    <row r="23784" spans="3:3" s="9" customFormat="1" ht="21.95" customHeight="1" x14ac:dyDescent="0.15"/>
    <row r="23785" spans="3:3" s="9" customFormat="1" ht="21.95" customHeight="1" x14ac:dyDescent="0.15"/>
    <row r="23786" spans="3:3" s="9" customFormat="1" ht="21.95" customHeight="1" x14ac:dyDescent="0.15"/>
    <row r="23787" spans="3:3" s="9" customFormat="1" ht="21.95" customHeight="1" x14ac:dyDescent="0.15"/>
    <row r="23788" spans="3:3" s="9" customFormat="1" ht="21.95" customHeight="1" x14ac:dyDescent="0.15"/>
    <row r="23789" spans="3:3" s="9" customFormat="1" ht="21.95" customHeight="1" x14ac:dyDescent="0.15"/>
    <row r="23790" spans="3:3" s="8" customFormat="1" ht="21.95" customHeight="1" x14ac:dyDescent="0.15"/>
    <row r="23791" spans="3:3" s="8" customFormat="1" ht="21.95" customHeight="1" x14ac:dyDescent="0.15"/>
    <row r="23792" spans="3:3" s="8" customFormat="1" ht="21.95" customHeight="1" x14ac:dyDescent="0.15">
      <c r="C23792" s="101"/>
    </row>
    <row r="23793" spans="3:3" s="8" customFormat="1" ht="21.95" customHeight="1" x14ac:dyDescent="0.15">
      <c r="C23793" s="101"/>
    </row>
    <row r="23794" spans="3:3" s="8" customFormat="1" ht="21.95" customHeight="1" x14ac:dyDescent="0.15"/>
    <row r="23795" spans="3:3" s="8" customFormat="1" ht="21.95" customHeight="1" x14ac:dyDescent="0.15"/>
    <row r="23796" spans="3:3" s="8" customFormat="1" ht="21.95" customHeight="1" x14ac:dyDescent="0.15"/>
    <row r="23797" spans="3:3" s="8" customFormat="1" ht="21.95" customHeight="1" x14ac:dyDescent="0.15"/>
    <row r="23798" spans="3:3" s="8" customFormat="1" ht="21.95" customHeight="1" x14ac:dyDescent="0.15"/>
    <row r="23799" spans="3:3" s="8" customFormat="1" ht="21.95" customHeight="1" x14ac:dyDescent="0.15"/>
    <row r="23800" spans="3:3" s="8" customFormat="1" ht="21.95" customHeight="1" x14ac:dyDescent="0.15"/>
    <row r="23801" spans="3:3" s="9" customFormat="1" ht="21.95" customHeight="1" x14ac:dyDescent="0.15"/>
    <row r="23802" spans="3:3" s="9" customFormat="1" ht="21.95" customHeight="1" x14ac:dyDescent="0.15"/>
    <row r="23803" spans="3:3" s="9" customFormat="1" ht="21.95" customHeight="1" x14ac:dyDescent="0.15"/>
    <row r="23804" spans="3:3" s="9" customFormat="1" ht="21.95" customHeight="1" x14ac:dyDescent="0.15"/>
    <row r="23805" spans="3:3" s="8" customFormat="1" ht="21.95" customHeight="1" x14ac:dyDescent="0.15"/>
    <row r="23806" spans="3:3" s="8" customFormat="1" ht="21.95" customHeight="1" x14ac:dyDescent="0.15"/>
    <row r="23807" spans="3:3" s="8" customFormat="1" ht="21.95" customHeight="1" x14ac:dyDescent="0.15"/>
    <row r="23808" spans="3:3" s="8" customFormat="1" ht="21.95" customHeight="1" x14ac:dyDescent="0.15"/>
    <row r="23809" s="8" customFormat="1" ht="21.95" customHeight="1" x14ac:dyDescent="0.15"/>
    <row r="23810" s="8" customFormat="1" ht="21.95" customHeight="1" x14ac:dyDescent="0.15"/>
    <row r="23811" s="8" customFormat="1" ht="21.95" customHeight="1" x14ac:dyDescent="0.15"/>
    <row r="23812" s="8" customFormat="1" ht="21.95" customHeight="1" x14ac:dyDescent="0.15"/>
    <row r="23813" s="8" customFormat="1" ht="21.95" customHeight="1" x14ac:dyDescent="0.15"/>
    <row r="23814" s="8" customFormat="1" ht="21.95" customHeight="1" x14ac:dyDescent="0.15"/>
    <row r="23815" s="8" customFormat="1" ht="21.95" customHeight="1" x14ac:dyDescent="0.15"/>
    <row r="23816" s="8" customFormat="1" ht="32.1" customHeight="1" x14ac:dyDescent="0.15"/>
    <row r="23817" s="8" customFormat="1" ht="32.1" customHeight="1" x14ac:dyDescent="0.15"/>
    <row r="23818" s="8" customFormat="1" ht="32.1" customHeight="1" x14ac:dyDescent="0.15"/>
    <row r="23819" s="8" customFormat="1" ht="32.1" customHeight="1" x14ac:dyDescent="0.15"/>
    <row r="23820" s="8" customFormat="1" ht="32.1" customHeight="1" x14ac:dyDescent="0.15"/>
    <row r="23821" s="8" customFormat="1" ht="32.1" customHeight="1" x14ac:dyDescent="0.15"/>
    <row r="23822" s="9" customFormat="1" ht="32.1" customHeight="1" x14ac:dyDescent="0.15"/>
    <row r="23823" s="9" customFormat="1" ht="32.1" customHeight="1" x14ac:dyDescent="0.15"/>
    <row r="23824" s="9" customFormat="1" ht="32.1" customHeight="1" x14ac:dyDescent="0.15"/>
    <row r="23825" s="9" customFormat="1" ht="32.1" customHeight="1" x14ac:dyDescent="0.15"/>
    <row r="23826" s="9" customFormat="1" ht="21.95" customHeight="1" x14ac:dyDescent="0.15"/>
    <row r="23827" s="9" customFormat="1" ht="54" customHeight="1" x14ac:dyDescent="0.15"/>
    <row r="23828" s="9" customFormat="1" ht="21.95" customHeight="1" x14ac:dyDescent="0.15"/>
    <row r="23829" s="9" customFormat="1" ht="21.95" customHeight="1" x14ac:dyDescent="0.15"/>
    <row r="23830" s="9" customFormat="1" ht="21.95" customHeight="1" x14ac:dyDescent="0.15"/>
    <row r="23831" s="9" customFormat="1" ht="21.95" customHeight="1" x14ac:dyDescent="0.15"/>
    <row r="23832" s="9" customFormat="1" ht="21.95" customHeight="1" x14ac:dyDescent="0.15"/>
    <row r="23833" s="9" customFormat="1" ht="21.95" customHeight="1" x14ac:dyDescent="0.15"/>
    <row r="23834" s="9" customFormat="1" ht="21.95" customHeight="1" x14ac:dyDescent="0.15"/>
    <row r="23835" s="9" customFormat="1" ht="21.95" customHeight="1" x14ac:dyDescent="0.15"/>
    <row r="23836" s="9" customFormat="1" ht="21.95" customHeight="1" x14ac:dyDescent="0.15"/>
    <row r="23837" s="9" customFormat="1" ht="21.95" customHeight="1" x14ac:dyDescent="0.15"/>
    <row r="23838" s="9" customFormat="1" ht="21.95" customHeight="1" x14ac:dyDescent="0.15"/>
    <row r="23839" s="9" customFormat="1" ht="21.95" customHeight="1" x14ac:dyDescent="0.15"/>
    <row r="23840" s="9" customFormat="1" ht="21.95" customHeight="1" x14ac:dyDescent="0.15"/>
    <row r="23841" s="9" customFormat="1" ht="21.95" customHeight="1" x14ac:dyDescent="0.15"/>
    <row r="23842" s="9" customFormat="1" ht="21.95" customHeight="1" x14ac:dyDescent="0.15"/>
    <row r="23843" s="9" customFormat="1" ht="21.95" customHeight="1" x14ac:dyDescent="0.15"/>
    <row r="23844" s="9" customFormat="1" ht="21.95" customHeight="1" x14ac:dyDescent="0.15"/>
    <row r="23845" s="9" customFormat="1" ht="21.95" customHeight="1" x14ac:dyDescent="0.15"/>
    <row r="23846" s="9" customFormat="1" ht="21.95" customHeight="1" x14ac:dyDescent="0.15"/>
    <row r="23847" s="9" customFormat="1" ht="21.95" customHeight="1" x14ac:dyDescent="0.15"/>
    <row r="23848" s="9" customFormat="1" ht="21.95" customHeight="1" x14ac:dyDescent="0.15"/>
    <row r="23849" s="9" customFormat="1" ht="21.95" customHeight="1" x14ac:dyDescent="0.15"/>
    <row r="23850" s="9" customFormat="1" ht="21.95" customHeight="1" x14ac:dyDescent="0.15"/>
    <row r="23851" s="9" customFormat="1" ht="21.95" customHeight="1" x14ac:dyDescent="0.15"/>
    <row r="23852" s="9" customFormat="1" ht="21.95" customHeight="1" x14ac:dyDescent="0.15"/>
    <row r="23853" s="9" customFormat="1" ht="21.95" customHeight="1" x14ac:dyDescent="0.15"/>
    <row r="23854" s="9" customFormat="1" ht="21.95" customHeight="1" x14ac:dyDescent="0.15"/>
    <row r="23855" s="9" customFormat="1" ht="21.95" customHeight="1" x14ac:dyDescent="0.15"/>
    <row r="23856" s="9" customFormat="1" ht="21.95" customHeight="1" x14ac:dyDescent="0.15"/>
    <row r="23857" s="9" customFormat="1" ht="21.95" customHeight="1" x14ac:dyDescent="0.15"/>
    <row r="23858" s="9" customFormat="1" ht="21.95" customHeight="1" x14ac:dyDescent="0.15"/>
    <row r="23859" s="9" customFormat="1" ht="21.95" customHeight="1" x14ac:dyDescent="0.15"/>
    <row r="23860" s="9" customFormat="1" ht="21.95" customHeight="1" x14ac:dyDescent="0.15"/>
    <row r="23861" s="9" customFormat="1" ht="21.95" customHeight="1" x14ac:dyDescent="0.15"/>
    <row r="23862" s="9" customFormat="1" ht="21.95" customHeight="1" x14ac:dyDescent="0.15"/>
    <row r="23863" s="9" customFormat="1" ht="21.95" customHeight="1" x14ac:dyDescent="0.15"/>
    <row r="23864" s="9" customFormat="1" ht="21.95" customHeight="1" x14ac:dyDescent="0.15"/>
    <row r="23865" s="9" customFormat="1" ht="21.95" customHeight="1" x14ac:dyDescent="0.15"/>
    <row r="23866" s="9" customFormat="1" ht="21.95" customHeight="1" x14ac:dyDescent="0.15"/>
    <row r="23867" s="9" customFormat="1" ht="21.95" customHeight="1" x14ac:dyDescent="0.15"/>
    <row r="23868" s="9" customFormat="1" ht="21.95" customHeight="1" x14ac:dyDescent="0.15"/>
    <row r="23869" s="9" customFormat="1" ht="21.95" customHeight="1" x14ac:dyDescent="0.15"/>
    <row r="23870" s="9" customFormat="1" ht="21.95" customHeight="1" x14ac:dyDescent="0.15"/>
    <row r="23871" s="9" customFormat="1" ht="21.95" customHeight="1" x14ac:dyDescent="0.15"/>
    <row r="23872" s="9" customFormat="1" ht="21.95" customHeight="1" x14ac:dyDescent="0.15"/>
    <row r="23873" s="9" customFormat="1" ht="21.95" customHeight="1" x14ac:dyDescent="0.15"/>
    <row r="23874" s="9" customFormat="1" ht="21.95" customHeight="1" x14ac:dyDescent="0.15"/>
    <row r="23875" s="9" customFormat="1" ht="21.95" customHeight="1" x14ac:dyDescent="0.15"/>
    <row r="23876" s="9" customFormat="1" ht="21.95" customHeight="1" x14ac:dyDescent="0.15"/>
    <row r="23877" s="9" customFormat="1" ht="21.95" customHeight="1" x14ac:dyDescent="0.15"/>
    <row r="23878" s="9" customFormat="1" ht="35.1" customHeight="1" x14ac:dyDescent="0.15"/>
    <row r="23879" s="9" customFormat="1" ht="21.95" customHeight="1" x14ac:dyDescent="0.15"/>
    <row r="23880" s="9" customFormat="1" ht="21.95" customHeight="1" x14ac:dyDescent="0.15"/>
    <row r="23881" s="9" customFormat="1" ht="21.95" customHeight="1" x14ac:dyDescent="0.15"/>
    <row r="23882" s="9" customFormat="1" ht="21.95" customHeight="1" x14ac:dyDescent="0.15"/>
    <row r="23883" s="9" customFormat="1" ht="21.95" customHeight="1" x14ac:dyDescent="0.15"/>
    <row r="23884" s="9" customFormat="1" ht="21.95" customHeight="1" x14ac:dyDescent="0.15"/>
    <row r="23885" s="9" customFormat="1" ht="21.95" customHeight="1" x14ac:dyDescent="0.15"/>
    <row r="23886" s="9" customFormat="1" ht="21.95" customHeight="1" x14ac:dyDescent="0.15"/>
    <row r="23887" s="9" customFormat="1" ht="21.95" customHeight="1" x14ac:dyDescent="0.15"/>
    <row r="23888" s="9" customFormat="1" ht="21.95" customHeight="1" x14ac:dyDescent="0.15"/>
    <row r="23889" spans="3:3" s="9" customFormat="1" ht="21.95" customHeight="1" x14ac:dyDescent="0.15"/>
    <row r="23890" spans="3:3" s="9" customFormat="1" ht="21.95" customHeight="1" x14ac:dyDescent="0.15"/>
    <row r="23891" spans="3:3" s="9" customFormat="1" ht="21.95" customHeight="1" x14ac:dyDescent="0.15"/>
    <row r="23892" spans="3:3" s="9" customFormat="1" ht="21.95" customHeight="1" x14ac:dyDescent="0.15"/>
    <row r="23893" spans="3:3" s="9" customFormat="1" ht="21.95" customHeight="1" x14ac:dyDescent="0.15"/>
    <row r="23894" spans="3:3" s="9" customFormat="1" ht="21.95" customHeight="1" x14ac:dyDescent="0.15"/>
    <row r="23895" spans="3:3" s="9" customFormat="1" ht="21.95" customHeight="1" x14ac:dyDescent="0.15"/>
    <row r="23896" spans="3:3" s="9" customFormat="1" ht="21.95" customHeight="1" x14ac:dyDescent="0.15"/>
    <row r="23897" spans="3:3" s="9" customFormat="1" ht="21.95" customHeight="1" x14ac:dyDescent="0.15"/>
    <row r="23898" spans="3:3" s="9" customFormat="1" ht="21.95" customHeight="1" x14ac:dyDescent="0.15"/>
    <row r="23899" spans="3:3" s="9" customFormat="1" ht="21.95" customHeight="1" x14ac:dyDescent="0.15"/>
    <row r="23900" spans="3:3" s="9" customFormat="1" ht="21.95" customHeight="1" x14ac:dyDescent="0.15"/>
    <row r="23901" spans="3:3" s="9" customFormat="1" ht="21.95" customHeight="1" x14ac:dyDescent="0.15"/>
    <row r="23902" spans="3:3" s="8" customFormat="1" ht="21.95" customHeight="1" x14ac:dyDescent="0.15"/>
    <row r="23903" spans="3:3" s="8" customFormat="1" ht="21.95" customHeight="1" x14ac:dyDescent="0.15"/>
    <row r="23904" spans="3:3" s="8" customFormat="1" ht="21.95" customHeight="1" x14ac:dyDescent="0.15">
      <c r="C23904" s="101"/>
    </row>
    <row r="23905" spans="3:3" s="8" customFormat="1" ht="21.95" customHeight="1" x14ac:dyDescent="0.15">
      <c r="C23905" s="101"/>
    </row>
    <row r="23906" spans="3:3" s="8" customFormat="1" ht="21.95" customHeight="1" x14ac:dyDescent="0.15"/>
    <row r="23907" spans="3:3" s="8" customFormat="1" ht="21.95" customHeight="1" x14ac:dyDescent="0.15"/>
    <row r="23908" spans="3:3" s="8" customFormat="1" ht="21.95" customHeight="1" x14ac:dyDescent="0.15"/>
    <row r="23909" spans="3:3" s="8" customFormat="1" ht="21.95" customHeight="1" x14ac:dyDescent="0.15"/>
    <row r="23910" spans="3:3" s="8" customFormat="1" ht="21.95" customHeight="1" x14ac:dyDescent="0.15"/>
    <row r="23911" spans="3:3" s="8" customFormat="1" ht="21.95" customHeight="1" x14ac:dyDescent="0.15"/>
    <row r="23912" spans="3:3" s="8" customFormat="1" ht="21.95" customHeight="1" x14ac:dyDescent="0.15"/>
    <row r="23913" spans="3:3" s="9" customFormat="1" ht="21.95" customHeight="1" x14ac:dyDescent="0.15"/>
    <row r="23914" spans="3:3" s="9" customFormat="1" ht="21.95" customHeight="1" x14ac:dyDescent="0.15"/>
    <row r="23915" spans="3:3" s="9" customFormat="1" ht="21.95" customHeight="1" x14ac:dyDescent="0.15"/>
    <row r="23916" spans="3:3" s="9" customFormat="1" ht="21.95" customHeight="1" x14ac:dyDescent="0.15"/>
    <row r="23917" spans="3:3" s="8" customFormat="1" ht="21.95" customHeight="1" x14ac:dyDescent="0.15"/>
    <row r="23918" spans="3:3" s="8" customFormat="1" ht="21.95" customHeight="1" x14ac:dyDescent="0.15"/>
    <row r="23919" spans="3:3" s="8" customFormat="1" ht="21.95" customHeight="1" x14ac:dyDescent="0.15"/>
    <row r="23920" spans="3:3" s="8" customFormat="1" ht="21.95" customHeight="1" x14ac:dyDescent="0.15"/>
    <row r="23921" s="8" customFormat="1" ht="21.95" customHeight="1" x14ac:dyDescent="0.15"/>
    <row r="23922" s="8" customFormat="1" ht="21.95" customHeight="1" x14ac:dyDescent="0.15"/>
    <row r="23923" s="8" customFormat="1" ht="21.95" customHeight="1" x14ac:dyDescent="0.15"/>
    <row r="23924" s="8" customFormat="1" ht="21.95" customHeight="1" x14ac:dyDescent="0.15"/>
    <row r="23925" s="8" customFormat="1" ht="21.95" customHeight="1" x14ac:dyDescent="0.15"/>
    <row r="23926" s="8" customFormat="1" ht="21.95" customHeight="1" x14ac:dyDescent="0.15"/>
    <row r="23927" s="8" customFormat="1" ht="21.95" customHeight="1" x14ac:dyDescent="0.15"/>
    <row r="23928" s="8" customFormat="1" ht="32.1" customHeight="1" x14ac:dyDescent="0.15"/>
    <row r="23929" s="8" customFormat="1" ht="32.1" customHeight="1" x14ac:dyDescent="0.15"/>
    <row r="23930" s="8" customFormat="1" ht="32.1" customHeight="1" x14ac:dyDescent="0.15"/>
    <row r="23931" s="8" customFormat="1" ht="32.1" customHeight="1" x14ac:dyDescent="0.15"/>
    <row r="23932" s="8" customFormat="1" ht="32.1" customHeight="1" x14ac:dyDescent="0.15"/>
    <row r="23933" s="8" customFormat="1" ht="32.1" customHeight="1" x14ac:dyDescent="0.15"/>
    <row r="23934" s="9" customFormat="1" ht="32.1" customHeight="1" x14ac:dyDescent="0.15"/>
    <row r="23935" s="9" customFormat="1" ht="32.1" customHeight="1" x14ac:dyDescent="0.15"/>
    <row r="23936" s="9" customFormat="1" ht="32.1" customHeight="1" x14ac:dyDescent="0.15"/>
    <row r="23937" s="9" customFormat="1" ht="32.1" customHeight="1" x14ac:dyDescent="0.15"/>
    <row r="23938" s="9" customFormat="1" ht="21.95" customHeight="1" x14ac:dyDescent="0.15"/>
    <row r="23939" s="9" customFormat="1" ht="54" customHeight="1" x14ac:dyDescent="0.15"/>
    <row r="23940" s="9" customFormat="1" ht="21.95" customHeight="1" x14ac:dyDescent="0.15"/>
    <row r="23941" s="9" customFormat="1" ht="21.95" customHeight="1" x14ac:dyDescent="0.15"/>
    <row r="23942" s="9" customFormat="1" ht="21.95" customHeight="1" x14ac:dyDescent="0.15"/>
    <row r="23943" s="9" customFormat="1" ht="21.95" customHeight="1" x14ac:dyDescent="0.15"/>
    <row r="23944" s="9" customFormat="1" ht="21.95" customHeight="1" x14ac:dyDescent="0.15"/>
    <row r="23945" s="9" customFormat="1" ht="21.95" customHeight="1" x14ac:dyDescent="0.15"/>
    <row r="23946" s="9" customFormat="1" ht="21.95" customHeight="1" x14ac:dyDescent="0.15"/>
    <row r="23947" s="9" customFormat="1" ht="21.95" customHeight="1" x14ac:dyDescent="0.15"/>
    <row r="23948" s="9" customFormat="1" ht="21.95" customHeight="1" x14ac:dyDescent="0.15"/>
    <row r="23949" s="9" customFormat="1" ht="21.95" customHeight="1" x14ac:dyDescent="0.15"/>
    <row r="23950" s="9" customFormat="1" ht="21.95" customHeight="1" x14ac:dyDescent="0.15"/>
    <row r="23951" s="9" customFormat="1" ht="21.95" customHeight="1" x14ac:dyDescent="0.15"/>
    <row r="23952" s="9" customFormat="1" ht="21.95" customHeight="1" x14ac:dyDescent="0.15"/>
    <row r="23953" s="9" customFormat="1" ht="21.95" customHeight="1" x14ac:dyDescent="0.15"/>
    <row r="23954" s="9" customFormat="1" ht="21.95" customHeight="1" x14ac:dyDescent="0.15"/>
    <row r="23955" s="9" customFormat="1" ht="21.95" customHeight="1" x14ac:dyDescent="0.15"/>
    <row r="23956" s="9" customFormat="1" ht="21.95" customHeight="1" x14ac:dyDescent="0.15"/>
    <row r="23957" s="9" customFormat="1" ht="21.95" customHeight="1" x14ac:dyDescent="0.15"/>
    <row r="23958" s="9" customFormat="1" ht="21.95" customHeight="1" x14ac:dyDescent="0.15"/>
    <row r="23959" s="9" customFormat="1" ht="21.95" customHeight="1" x14ac:dyDescent="0.15"/>
    <row r="23960" s="9" customFormat="1" ht="21.95" customHeight="1" x14ac:dyDescent="0.15"/>
    <row r="23961" s="9" customFormat="1" ht="21.95" customHeight="1" x14ac:dyDescent="0.15"/>
    <row r="23962" s="9" customFormat="1" ht="21.95" customHeight="1" x14ac:dyDescent="0.15"/>
    <row r="23963" s="9" customFormat="1" ht="21.95" customHeight="1" x14ac:dyDescent="0.15"/>
    <row r="23964" s="9" customFormat="1" ht="21.95" customHeight="1" x14ac:dyDescent="0.15"/>
    <row r="23965" s="9" customFormat="1" ht="21.95" customHeight="1" x14ac:dyDescent="0.15"/>
    <row r="23966" s="9" customFormat="1" ht="21.95" customHeight="1" x14ac:dyDescent="0.15"/>
    <row r="23967" s="9" customFormat="1" ht="21.95" customHeight="1" x14ac:dyDescent="0.15"/>
    <row r="23968" s="9" customFormat="1" ht="21.95" customHeight="1" x14ac:dyDescent="0.15"/>
    <row r="23969" s="9" customFormat="1" ht="21.95" customHeight="1" x14ac:dyDescent="0.15"/>
    <row r="23970" s="9" customFormat="1" ht="21.95" customHeight="1" x14ac:dyDescent="0.15"/>
    <row r="23971" s="9" customFormat="1" ht="21.95" customHeight="1" x14ac:dyDescent="0.15"/>
    <row r="23972" s="9" customFormat="1" ht="21.95" customHeight="1" x14ac:dyDescent="0.15"/>
    <row r="23973" s="9" customFormat="1" ht="21.95" customHeight="1" x14ac:dyDescent="0.15"/>
    <row r="23974" s="9" customFormat="1" ht="21.95" customHeight="1" x14ac:dyDescent="0.15"/>
    <row r="23975" s="9" customFormat="1" ht="21.95" customHeight="1" x14ac:dyDescent="0.15"/>
    <row r="23976" s="9" customFormat="1" ht="21.95" customHeight="1" x14ac:dyDescent="0.15"/>
    <row r="23977" s="9" customFormat="1" ht="21.95" customHeight="1" x14ac:dyDescent="0.15"/>
    <row r="23978" s="9" customFormat="1" ht="21.95" customHeight="1" x14ac:dyDescent="0.15"/>
    <row r="23979" s="9" customFormat="1" ht="21.95" customHeight="1" x14ac:dyDescent="0.15"/>
    <row r="23980" s="9" customFormat="1" ht="21.95" customHeight="1" x14ac:dyDescent="0.15"/>
    <row r="23981" s="9" customFormat="1" ht="21.95" customHeight="1" x14ac:dyDescent="0.15"/>
    <row r="23982" s="9" customFormat="1" ht="21.95" customHeight="1" x14ac:dyDescent="0.15"/>
    <row r="23983" s="9" customFormat="1" ht="21.95" customHeight="1" x14ac:dyDescent="0.15"/>
    <row r="23984" s="9" customFormat="1" ht="21.95" customHeight="1" x14ac:dyDescent="0.15"/>
    <row r="23985" s="9" customFormat="1" ht="21.95" customHeight="1" x14ac:dyDescent="0.15"/>
    <row r="23986" s="9" customFormat="1" ht="21.95" customHeight="1" x14ac:dyDescent="0.15"/>
    <row r="23987" s="9" customFormat="1" ht="21.95" customHeight="1" x14ac:dyDescent="0.15"/>
    <row r="23988" s="9" customFormat="1" ht="21.95" customHeight="1" x14ac:dyDescent="0.15"/>
    <row r="23989" s="9" customFormat="1" ht="21.95" customHeight="1" x14ac:dyDescent="0.15"/>
    <row r="23990" s="9" customFormat="1" ht="35.1" customHeight="1" x14ac:dyDescent="0.15"/>
    <row r="23991" s="9" customFormat="1" ht="21.95" customHeight="1" x14ac:dyDescent="0.15"/>
    <row r="23992" s="9" customFormat="1" ht="21.95" customHeight="1" x14ac:dyDescent="0.15"/>
    <row r="23993" s="9" customFormat="1" ht="21.95" customHeight="1" x14ac:dyDescent="0.15"/>
    <row r="23994" s="9" customFormat="1" ht="21.95" customHeight="1" x14ac:dyDescent="0.15"/>
    <row r="23995" s="9" customFormat="1" ht="21.95" customHeight="1" x14ac:dyDescent="0.15"/>
    <row r="23996" s="9" customFormat="1" ht="21.95" customHeight="1" x14ac:dyDescent="0.15"/>
    <row r="23997" s="9" customFormat="1" ht="21.95" customHeight="1" x14ac:dyDescent="0.15"/>
    <row r="23998" s="9" customFormat="1" ht="21.95" customHeight="1" x14ac:dyDescent="0.15"/>
    <row r="23999" s="9" customFormat="1" ht="21.95" customHeight="1" x14ac:dyDescent="0.15"/>
    <row r="24000" s="9" customFormat="1" ht="21.95" customHeight="1" x14ac:dyDescent="0.15"/>
    <row r="24001" spans="3:3" s="9" customFormat="1" ht="21.95" customHeight="1" x14ac:dyDescent="0.15"/>
    <row r="24002" spans="3:3" s="9" customFormat="1" ht="21.95" customHeight="1" x14ac:dyDescent="0.15"/>
    <row r="24003" spans="3:3" s="9" customFormat="1" ht="21.95" customHeight="1" x14ac:dyDescent="0.15"/>
    <row r="24004" spans="3:3" s="9" customFormat="1" ht="21.95" customHeight="1" x14ac:dyDescent="0.15"/>
    <row r="24005" spans="3:3" s="9" customFormat="1" ht="21.95" customHeight="1" x14ac:dyDescent="0.15"/>
    <row r="24006" spans="3:3" s="9" customFormat="1" ht="21.95" customHeight="1" x14ac:dyDescent="0.15"/>
    <row r="24007" spans="3:3" s="9" customFormat="1" ht="21.95" customHeight="1" x14ac:dyDescent="0.15"/>
    <row r="24008" spans="3:3" s="9" customFormat="1" ht="21.95" customHeight="1" x14ac:dyDescent="0.15"/>
    <row r="24009" spans="3:3" s="9" customFormat="1" ht="21.95" customHeight="1" x14ac:dyDescent="0.15"/>
    <row r="24010" spans="3:3" s="9" customFormat="1" ht="21.95" customHeight="1" x14ac:dyDescent="0.15"/>
    <row r="24011" spans="3:3" s="9" customFormat="1" ht="21.95" customHeight="1" x14ac:dyDescent="0.15"/>
    <row r="24012" spans="3:3" s="9" customFormat="1" ht="21.95" customHeight="1" x14ac:dyDescent="0.15"/>
    <row r="24013" spans="3:3" s="9" customFormat="1" ht="21.95" customHeight="1" x14ac:dyDescent="0.15"/>
    <row r="24014" spans="3:3" s="8" customFormat="1" ht="21.95" customHeight="1" x14ac:dyDescent="0.15"/>
    <row r="24015" spans="3:3" s="8" customFormat="1" ht="21.95" customHeight="1" x14ac:dyDescent="0.15"/>
    <row r="24016" spans="3:3" s="8" customFormat="1" ht="21.95" customHeight="1" x14ac:dyDescent="0.15">
      <c r="C24016" s="101"/>
    </row>
    <row r="24017" spans="3:3" s="8" customFormat="1" ht="21.95" customHeight="1" x14ac:dyDescent="0.15">
      <c r="C24017" s="101"/>
    </row>
    <row r="24018" spans="3:3" s="8" customFormat="1" ht="21.95" customHeight="1" x14ac:dyDescent="0.15"/>
    <row r="24019" spans="3:3" s="8" customFormat="1" ht="21.95" customHeight="1" x14ac:dyDescent="0.15"/>
    <row r="24020" spans="3:3" s="8" customFormat="1" ht="21.95" customHeight="1" x14ac:dyDescent="0.15"/>
    <row r="24021" spans="3:3" s="8" customFormat="1" ht="21.95" customHeight="1" x14ac:dyDescent="0.15"/>
    <row r="24022" spans="3:3" s="8" customFormat="1" ht="21.95" customHeight="1" x14ac:dyDescent="0.15"/>
    <row r="24023" spans="3:3" s="8" customFormat="1" ht="21.95" customHeight="1" x14ac:dyDescent="0.15"/>
    <row r="24024" spans="3:3" s="8" customFormat="1" ht="21.95" customHeight="1" x14ac:dyDescent="0.15"/>
    <row r="24025" spans="3:3" s="9" customFormat="1" ht="21.95" customHeight="1" x14ac:dyDescent="0.15"/>
    <row r="24026" spans="3:3" s="9" customFormat="1" ht="21.95" customHeight="1" x14ac:dyDescent="0.15"/>
    <row r="24027" spans="3:3" s="9" customFormat="1" ht="21.95" customHeight="1" x14ac:dyDescent="0.15"/>
    <row r="24028" spans="3:3" s="9" customFormat="1" ht="21.95" customHeight="1" x14ac:dyDescent="0.15"/>
    <row r="24029" spans="3:3" s="8" customFormat="1" ht="21.95" customHeight="1" x14ac:dyDescent="0.15"/>
    <row r="24030" spans="3:3" s="8" customFormat="1" ht="21.95" customHeight="1" x14ac:dyDescent="0.15"/>
    <row r="24031" spans="3:3" s="8" customFormat="1" ht="21.95" customHeight="1" x14ac:dyDescent="0.15"/>
    <row r="24032" spans="3:3" s="8" customFormat="1" ht="21.95" customHeight="1" x14ac:dyDescent="0.15"/>
    <row r="24033" s="8" customFormat="1" ht="21.95" customHeight="1" x14ac:dyDescent="0.15"/>
    <row r="24034" s="8" customFormat="1" ht="21.95" customHeight="1" x14ac:dyDescent="0.15"/>
    <row r="24035" s="8" customFormat="1" ht="21.95" customHeight="1" x14ac:dyDescent="0.15"/>
    <row r="24036" s="8" customFormat="1" ht="21.95" customHeight="1" x14ac:dyDescent="0.15"/>
    <row r="24037" s="8" customFormat="1" ht="21.95" customHeight="1" x14ac:dyDescent="0.15"/>
    <row r="24038" s="8" customFormat="1" ht="21.95" customHeight="1" x14ac:dyDescent="0.15"/>
    <row r="24039" s="8" customFormat="1" ht="21.95" customHeight="1" x14ac:dyDescent="0.15"/>
    <row r="24040" s="8" customFormat="1" ht="32.1" customHeight="1" x14ac:dyDescent="0.15"/>
    <row r="24041" s="8" customFormat="1" ht="32.1" customHeight="1" x14ac:dyDescent="0.15"/>
    <row r="24042" s="8" customFormat="1" ht="32.1" customHeight="1" x14ac:dyDescent="0.15"/>
    <row r="24043" s="8" customFormat="1" ht="32.1" customHeight="1" x14ac:dyDescent="0.15"/>
    <row r="24044" s="8" customFormat="1" ht="32.1" customHeight="1" x14ac:dyDescent="0.15"/>
    <row r="24045" s="8" customFormat="1" ht="32.1" customHeight="1" x14ac:dyDescent="0.15"/>
    <row r="24046" s="9" customFormat="1" ht="32.1" customHeight="1" x14ac:dyDescent="0.15"/>
    <row r="24047" s="9" customFormat="1" ht="32.1" customHeight="1" x14ac:dyDescent="0.15"/>
    <row r="24048" s="9" customFormat="1" ht="32.1" customHeight="1" x14ac:dyDescent="0.15"/>
    <row r="24049" s="9" customFormat="1" ht="32.1" customHeight="1" x14ac:dyDescent="0.15"/>
    <row r="24050" s="9" customFormat="1" ht="21.95" customHeight="1" x14ac:dyDescent="0.15"/>
    <row r="24051" s="9" customFormat="1" ht="54" customHeight="1" x14ac:dyDescent="0.15"/>
    <row r="24052" s="9" customFormat="1" ht="21.95" customHeight="1" x14ac:dyDescent="0.15"/>
    <row r="24053" s="9" customFormat="1" ht="21.95" customHeight="1" x14ac:dyDescent="0.15"/>
    <row r="24054" s="9" customFormat="1" ht="21.95" customHeight="1" x14ac:dyDescent="0.15"/>
    <row r="24055" s="9" customFormat="1" ht="21.95" customHeight="1" x14ac:dyDescent="0.15"/>
    <row r="24056" s="9" customFormat="1" ht="21.95" customHeight="1" x14ac:dyDescent="0.15"/>
    <row r="24057" s="9" customFormat="1" ht="21.95" customHeight="1" x14ac:dyDescent="0.15"/>
    <row r="24058" s="9" customFormat="1" ht="21.95" customHeight="1" x14ac:dyDescent="0.15"/>
    <row r="24059" s="9" customFormat="1" ht="21.95" customHeight="1" x14ac:dyDescent="0.15"/>
    <row r="24060" s="9" customFormat="1" ht="21.95" customHeight="1" x14ac:dyDescent="0.15"/>
    <row r="24061" s="9" customFormat="1" ht="21.95" customHeight="1" x14ac:dyDescent="0.15"/>
    <row r="24062" s="9" customFormat="1" ht="21.95" customHeight="1" x14ac:dyDescent="0.15"/>
    <row r="24063" s="9" customFormat="1" ht="21.95" customHeight="1" x14ac:dyDescent="0.15"/>
    <row r="24064" s="9" customFormat="1" ht="21.95" customHeight="1" x14ac:dyDescent="0.15"/>
    <row r="24065" s="9" customFormat="1" ht="21.95" customHeight="1" x14ac:dyDescent="0.15"/>
    <row r="24066" s="9" customFormat="1" ht="21.95" customHeight="1" x14ac:dyDescent="0.15"/>
    <row r="24067" s="9" customFormat="1" ht="21.95" customHeight="1" x14ac:dyDescent="0.15"/>
    <row r="24068" s="9" customFormat="1" ht="21.95" customHeight="1" x14ac:dyDescent="0.15"/>
    <row r="24069" s="9" customFormat="1" ht="21.95" customHeight="1" x14ac:dyDescent="0.15"/>
    <row r="24070" s="9" customFormat="1" ht="21.95" customHeight="1" x14ac:dyDescent="0.15"/>
    <row r="24071" s="9" customFormat="1" ht="21.95" customHeight="1" x14ac:dyDescent="0.15"/>
    <row r="24072" s="9" customFormat="1" ht="21.95" customHeight="1" x14ac:dyDescent="0.15"/>
    <row r="24073" s="9" customFormat="1" ht="21.95" customHeight="1" x14ac:dyDescent="0.15"/>
    <row r="24074" s="9" customFormat="1" ht="21.95" customHeight="1" x14ac:dyDescent="0.15"/>
    <row r="24075" s="9" customFormat="1" ht="21.95" customHeight="1" x14ac:dyDescent="0.15"/>
    <row r="24076" s="9" customFormat="1" ht="21.95" customHeight="1" x14ac:dyDescent="0.15"/>
    <row r="24077" s="9" customFormat="1" ht="21.95" customHeight="1" x14ac:dyDescent="0.15"/>
    <row r="24078" s="9" customFormat="1" ht="21.95" customHeight="1" x14ac:dyDescent="0.15"/>
    <row r="24079" s="9" customFormat="1" ht="21.95" customHeight="1" x14ac:dyDescent="0.15"/>
    <row r="24080" s="9" customFormat="1" ht="21.95" customHeight="1" x14ac:dyDescent="0.15"/>
    <row r="24081" s="9" customFormat="1" ht="21.95" customHeight="1" x14ac:dyDescent="0.15"/>
    <row r="24082" s="9" customFormat="1" ht="21.95" customHeight="1" x14ac:dyDescent="0.15"/>
    <row r="24083" s="9" customFormat="1" ht="21.95" customHeight="1" x14ac:dyDescent="0.15"/>
    <row r="24084" s="9" customFormat="1" ht="21.95" customHeight="1" x14ac:dyDescent="0.15"/>
    <row r="24085" s="9" customFormat="1" ht="21.95" customHeight="1" x14ac:dyDescent="0.15"/>
    <row r="24086" s="9" customFormat="1" ht="21.95" customHeight="1" x14ac:dyDescent="0.15"/>
    <row r="24087" s="9" customFormat="1" ht="21.95" customHeight="1" x14ac:dyDescent="0.15"/>
    <row r="24088" s="9" customFormat="1" ht="21.95" customHeight="1" x14ac:dyDescent="0.15"/>
    <row r="24089" s="9" customFormat="1" ht="21.95" customHeight="1" x14ac:dyDescent="0.15"/>
    <row r="24090" s="9" customFormat="1" ht="21.95" customHeight="1" x14ac:dyDescent="0.15"/>
    <row r="24091" s="9" customFormat="1" ht="21.95" customHeight="1" x14ac:dyDescent="0.15"/>
    <row r="24092" s="9" customFormat="1" ht="21.95" customHeight="1" x14ac:dyDescent="0.15"/>
    <row r="24093" s="9" customFormat="1" ht="21.95" customHeight="1" x14ac:dyDescent="0.15"/>
    <row r="24094" s="9" customFormat="1" ht="21.95" customHeight="1" x14ac:dyDescent="0.15"/>
    <row r="24095" s="9" customFormat="1" ht="21.95" customHeight="1" x14ac:dyDescent="0.15"/>
    <row r="24096" s="9" customFormat="1" ht="21.95" customHeight="1" x14ac:dyDescent="0.15"/>
    <row r="24097" s="9" customFormat="1" ht="21.95" customHeight="1" x14ac:dyDescent="0.15"/>
    <row r="24098" s="9" customFormat="1" ht="21.95" customHeight="1" x14ac:dyDescent="0.15"/>
    <row r="24099" s="9" customFormat="1" ht="21.95" customHeight="1" x14ac:dyDescent="0.15"/>
    <row r="24100" s="9" customFormat="1" ht="21.95" customHeight="1" x14ac:dyDescent="0.15"/>
    <row r="24101" s="9" customFormat="1" ht="21.95" customHeight="1" x14ac:dyDescent="0.15"/>
    <row r="24102" s="9" customFormat="1" ht="35.1" customHeight="1" x14ac:dyDescent="0.15"/>
    <row r="24103" s="9" customFormat="1" ht="21.95" customHeight="1" x14ac:dyDescent="0.15"/>
    <row r="24104" s="9" customFormat="1" ht="21.95" customHeight="1" x14ac:dyDescent="0.15"/>
    <row r="24105" s="9" customFormat="1" ht="21.95" customHeight="1" x14ac:dyDescent="0.15"/>
    <row r="24106" s="9" customFormat="1" ht="21.95" customHeight="1" x14ac:dyDescent="0.15"/>
    <row r="24107" s="9" customFormat="1" ht="21.95" customHeight="1" x14ac:dyDescent="0.15"/>
    <row r="24108" s="9" customFormat="1" ht="21.95" customHeight="1" x14ac:dyDescent="0.15"/>
    <row r="24109" s="9" customFormat="1" ht="21.95" customHeight="1" x14ac:dyDescent="0.15"/>
    <row r="24110" s="9" customFormat="1" ht="21.95" customHeight="1" x14ac:dyDescent="0.15"/>
    <row r="24111" s="9" customFormat="1" ht="21.95" customHeight="1" x14ac:dyDescent="0.15"/>
    <row r="24112" s="9" customFormat="1" ht="21.95" customHeight="1" x14ac:dyDescent="0.15"/>
    <row r="24113" spans="3:3" s="9" customFormat="1" ht="21.95" customHeight="1" x14ac:dyDescent="0.15"/>
    <row r="24114" spans="3:3" s="9" customFormat="1" ht="21.95" customHeight="1" x14ac:dyDescent="0.15"/>
    <row r="24115" spans="3:3" s="9" customFormat="1" ht="21.95" customHeight="1" x14ac:dyDescent="0.15"/>
    <row r="24116" spans="3:3" s="9" customFormat="1" ht="21.95" customHeight="1" x14ac:dyDescent="0.15"/>
    <row r="24117" spans="3:3" s="9" customFormat="1" ht="21.95" customHeight="1" x14ac:dyDescent="0.15"/>
    <row r="24118" spans="3:3" s="9" customFormat="1" ht="21.95" customHeight="1" x14ac:dyDescent="0.15"/>
    <row r="24119" spans="3:3" s="9" customFormat="1" ht="21.95" customHeight="1" x14ac:dyDescent="0.15"/>
    <row r="24120" spans="3:3" s="9" customFormat="1" ht="21.95" customHeight="1" x14ac:dyDescent="0.15"/>
    <row r="24121" spans="3:3" s="9" customFormat="1" ht="21.95" customHeight="1" x14ac:dyDescent="0.15"/>
    <row r="24122" spans="3:3" s="9" customFormat="1" ht="21.95" customHeight="1" x14ac:dyDescent="0.15"/>
    <row r="24123" spans="3:3" s="9" customFormat="1" ht="21.95" customHeight="1" x14ac:dyDescent="0.15"/>
    <row r="24124" spans="3:3" s="9" customFormat="1" ht="21.95" customHeight="1" x14ac:dyDescent="0.15"/>
    <row r="24125" spans="3:3" s="9" customFormat="1" ht="21.95" customHeight="1" x14ac:dyDescent="0.15"/>
    <row r="24126" spans="3:3" s="8" customFormat="1" ht="21.95" customHeight="1" x14ac:dyDescent="0.15"/>
    <row r="24127" spans="3:3" s="8" customFormat="1" ht="21.95" customHeight="1" x14ac:dyDescent="0.15"/>
    <row r="24128" spans="3:3" s="8" customFormat="1" ht="21.95" customHeight="1" x14ac:dyDescent="0.15">
      <c r="C24128" s="101"/>
    </row>
    <row r="24129" spans="3:3" s="8" customFormat="1" ht="21.95" customHeight="1" x14ac:dyDescent="0.15">
      <c r="C24129" s="101"/>
    </row>
    <row r="24130" spans="3:3" s="8" customFormat="1" ht="21.95" customHeight="1" x14ac:dyDescent="0.15"/>
    <row r="24131" spans="3:3" s="8" customFormat="1" ht="21.95" customHeight="1" x14ac:dyDescent="0.15"/>
    <row r="24132" spans="3:3" s="8" customFormat="1" ht="21.95" customHeight="1" x14ac:dyDescent="0.15"/>
    <row r="24133" spans="3:3" s="8" customFormat="1" ht="21.95" customHeight="1" x14ac:dyDescent="0.15"/>
    <row r="24134" spans="3:3" s="8" customFormat="1" ht="21.95" customHeight="1" x14ac:dyDescent="0.15"/>
    <row r="24135" spans="3:3" s="8" customFormat="1" ht="21.95" customHeight="1" x14ac:dyDescent="0.15"/>
    <row r="24136" spans="3:3" s="8" customFormat="1" ht="21.95" customHeight="1" x14ac:dyDescent="0.15"/>
    <row r="24137" spans="3:3" s="9" customFormat="1" ht="21.95" customHeight="1" x14ac:dyDescent="0.15"/>
    <row r="24138" spans="3:3" s="9" customFormat="1" ht="21.95" customHeight="1" x14ac:dyDescent="0.15"/>
    <row r="24139" spans="3:3" s="9" customFormat="1" ht="21.95" customHeight="1" x14ac:dyDescent="0.15"/>
    <row r="24140" spans="3:3" s="9" customFormat="1" ht="21.95" customHeight="1" x14ac:dyDescent="0.15"/>
    <row r="24141" spans="3:3" s="8" customFormat="1" ht="21.95" customHeight="1" x14ac:dyDescent="0.15"/>
    <row r="24142" spans="3:3" s="8" customFormat="1" ht="21.95" customHeight="1" x14ac:dyDescent="0.15"/>
    <row r="24143" spans="3:3" s="8" customFormat="1" ht="21.95" customHeight="1" x14ac:dyDescent="0.15"/>
    <row r="24144" spans="3:3" s="8" customFormat="1" ht="21.95" customHeight="1" x14ac:dyDescent="0.15"/>
    <row r="24145" s="8" customFormat="1" ht="21.95" customHeight="1" x14ac:dyDescent="0.15"/>
    <row r="24146" s="8" customFormat="1" ht="21.95" customHeight="1" x14ac:dyDescent="0.15"/>
    <row r="24147" s="8" customFormat="1" ht="21.95" customHeight="1" x14ac:dyDescent="0.15"/>
    <row r="24148" s="8" customFormat="1" ht="21.95" customHeight="1" x14ac:dyDescent="0.15"/>
    <row r="24149" s="8" customFormat="1" ht="21.95" customHeight="1" x14ac:dyDescent="0.15"/>
    <row r="24150" s="8" customFormat="1" ht="21.95" customHeight="1" x14ac:dyDescent="0.15"/>
    <row r="24151" s="8" customFormat="1" ht="21.95" customHeight="1" x14ac:dyDescent="0.15"/>
    <row r="24152" s="8" customFormat="1" ht="32.1" customHeight="1" x14ac:dyDescent="0.15"/>
    <row r="24153" s="8" customFormat="1" ht="32.1" customHeight="1" x14ac:dyDescent="0.15"/>
    <row r="24154" s="8" customFormat="1" ht="32.1" customHeight="1" x14ac:dyDescent="0.15"/>
    <row r="24155" s="8" customFormat="1" ht="32.1" customHeight="1" x14ac:dyDescent="0.15"/>
    <row r="24156" s="8" customFormat="1" ht="32.1" customHeight="1" x14ac:dyDescent="0.15"/>
    <row r="24157" s="8" customFormat="1" ht="32.1" customHeight="1" x14ac:dyDescent="0.15"/>
    <row r="24158" s="9" customFormat="1" ht="32.1" customHeight="1" x14ac:dyDescent="0.15"/>
    <row r="24159" s="9" customFormat="1" ht="32.1" customHeight="1" x14ac:dyDescent="0.15"/>
    <row r="24160" s="9" customFormat="1" ht="32.1" customHeight="1" x14ac:dyDescent="0.15"/>
    <row r="24161" s="9" customFormat="1" ht="32.1" customHeight="1" x14ac:dyDescent="0.15"/>
    <row r="24162" s="9" customFormat="1" ht="21.95" customHeight="1" x14ac:dyDescent="0.15"/>
    <row r="24163" s="9" customFormat="1" ht="54" customHeight="1" x14ac:dyDescent="0.15"/>
    <row r="24164" s="9" customFormat="1" ht="21.95" customHeight="1" x14ac:dyDescent="0.15"/>
    <row r="24165" s="9" customFormat="1" ht="21.95" customHeight="1" x14ac:dyDescent="0.15"/>
    <row r="24166" s="9" customFormat="1" ht="21.95" customHeight="1" x14ac:dyDescent="0.15"/>
    <row r="24167" s="9" customFormat="1" ht="21.95" customHeight="1" x14ac:dyDescent="0.15"/>
    <row r="24168" s="9" customFormat="1" ht="21.95" customHeight="1" x14ac:dyDescent="0.15"/>
    <row r="24169" s="9" customFormat="1" ht="21.95" customHeight="1" x14ac:dyDescent="0.15"/>
    <row r="24170" s="9" customFormat="1" ht="21.95" customHeight="1" x14ac:dyDescent="0.15"/>
    <row r="24171" s="9" customFormat="1" ht="21.95" customHeight="1" x14ac:dyDescent="0.15"/>
    <row r="24172" s="9" customFormat="1" ht="21.95" customHeight="1" x14ac:dyDescent="0.15"/>
    <row r="24173" s="9" customFormat="1" ht="21.95" customHeight="1" x14ac:dyDescent="0.15"/>
    <row r="24174" s="9" customFormat="1" ht="21.95" customHeight="1" x14ac:dyDescent="0.15"/>
    <row r="24175" s="9" customFormat="1" ht="21.95" customHeight="1" x14ac:dyDescent="0.15"/>
    <row r="24176" s="9" customFormat="1" ht="21.95" customHeight="1" x14ac:dyDescent="0.15"/>
    <row r="24177" s="9" customFormat="1" ht="21.95" customHeight="1" x14ac:dyDescent="0.15"/>
    <row r="24178" s="9" customFormat="1" ht="21.95" customHeight="1" x14ac:dyDescent="0.15"/>
    <row r="24179" s="9" customFormat="1" ht="21.95" customHeight="1" x14ac:dyDescent="0.15"/>
    <row r="24180" s="9" customFormat="1" ht="21.95" customHeight="1" x14ac:dyDescent="0.15"/>
    <row r="24181" s="9" customFormat="1" ht="21.95" customHeight="1" x14ac:dyDescent="0.15"/>
    <row r="24182" s="9" customFormat="1" ht="21.95" customHeight="1" x14ac:dyDescent="0.15"/>
    <row r="24183" s="9" customFormat="1" ht="21.95" customHeight="1" x14ac:dyDescent="0.15"/>
    <row r="24184" s="9" customFormat="1" ht="21.95" customHeight="1" x14ac:dyDescent="0.15"/>
    <row r="24185" s="9" customFormat="1" ht="21.95" customHeight="1" x14ac:dyDescent="0.15"/>
    <row r="24186" s="9" customFormat="1" ht="21.95" customHeight="1" x14ac:dyDescent="0.15"/>
    <row r="24187" s="9" customFormat="1" ht="21.95" customHeight="1" x14ac:dyDescent="0.15"/>
    <row r="24188" s="9" customFormat="1" ht="21.95" customHeight="1" x14ac:dyDescent="0.15"/>
    <row r="24189" s="9" customFormat="1" ht="21.95" customHeight="1" x14ac:dyDescent="0.15"/>
    <row r="24190" s="9" customFormat="1" ht="21.95" customHeight="1" x14ac:dyDescent="0.15"/>
    <row r="24191" s="9" customFormat="1" ht="21.95" customHeight="1" x14ac:dyDescent="0.15"/>
    <row r="24192" s="9" customFormat="1" ht="21.95" customHeight="1" x14ac:dyDescent="0.15"/>
    <row r="24193" s="9" customFormat="1" ht="21.95" customHeight="1" x14ac:dyDescent="0.15"/>
    <row r="24194" s="9" customFormat="1" ht="21.95" customHeight="1" x14ac:dyDescent="0.15"/>
    <row r="24195" s="9" customFormat="1" ht="21.95" customHeight="1" x14ac:dyDescent="0.15"/>
    <row r="24196" s="9" customFormat="1" ht="21.95" customHeight="1" x14ac:dyDescent="0.15"/>
    <row r="24197" s="9" customFormat="1" ht="21.95" customHeight="1" x14ac:dyDescent="0.15"/>
    <row r="24198" s="9" customFormat="1" ht="21.95" customHeight="1" x14ac:dyDescent="0.15"/>
    <row r="24199" s="9" customFormat="1" ht="21.95" customHeight="1" x14ac:dyDescent="0.15"/>
    <row r="24200" s="9" customFormat="1" ht="21.95" customHeight="1" x14ac:dyDescent="0.15"/>
    <row r="24201" s="9" customFormat="1" ht="21.95" customHeight="1" x14ac:dyDescent="0.15"/>
    <row r="24202" s="9" customFormat="1" ht="21.95" customHeight="1" x14ac:dyDescent="0.15"/>
    <row r="24203" s="9" customFormat="1" ht="21.95" customHeight="1" x14ac:dyDescent="0.15"/>
    <row r="24204" s="9" customFormat="1" ht="21.95" customHeight="1" x14ac:dyDescent="0.15"/>
    <row r="24205" s="9" customFormat="1" ht="21.95" customHeight="1" x14ac:dyDescent="0.15"/>
    <row r="24206" s="9" customFormat="1" ht="21.95" customHeight="1" x14ac:dyDescent="0.15"/>
    <row r="24207" s="9" customFormat="1" ht="21.95" customHeight="1" x14ac:dyDescent="0.15"/>
    <row r="24208" s="9" customFormat="1" ht="21.95" customHeight="1" x14ac:dyDescent="0.15"/>
    <row r="24209" s="9" customFormat="1" ht="21.95" customHeight="1" x14ac:dyDescent="0.15"/>
    <row r="24210" s="9" customFormat="1" ht="21.95" customHeight="1" x14ac:dyDescent="0.15"/>
    <row r="24211" s="9" customFormat="1" ht="21.95" customHeight="1" x14ac:dyDescent="0.15"/>
    <row r="24212" s="9" customFormat="1" ht="21.95" customHeight="1" x14ac:dyDescent="0.15"/>
    <row r="24213" s="9" customFormat="1" ht="21.95" customHeight="1" x14ac:dyDescent="0.15"/>
    <row r="24214" s="9" customFormat="1" ht="35.1" customHeight="1" x14ac:dyDescent="0.15"/>
    <row r="24215" s="9" customFormat="1" ht="21.95" customHeight="1" x14ac:dyDescent="0.15"/>
    <row r="24216" s="9" customFormat="1" ht="21.95" customHeight="1" x14ac:dyDescent="0.15"/>
    <row r="24217" s="9" customFormat="1" ht="21.95" customHeight="1" x14ac:dyDescent="0.15"/>
    <row r="24218" s="9" customFormat="1" ht="21.95" customHeight="1" x14ac:dyDescent="0.15"/>
    <row r="24219" s="9" customFormat="1" ht="21.95" customHeight="1" x14ac:dyDescent="0.15"/>
    <row r="24220" s="9" customFormat="1" ht="21.95" customHeight="1" x14ac:dyDescent="0.15"/>
    <row r="24221" s="9" customFormat="1" ht="21.95" customHeight="1" x14ac:dyDescent="0.15"/>
    <row r="24222" s="9" customFormat="1" ht="21.95" customHeight="1" x14ac:dyDescent="0.15"/>
    <row r="24223" s="9" customFormat="1" ht="21.95" customHeight="1" x14ac:dyDescent="0.15"/>
    <row r="24224" s="9" customFormat="1" ht="21.95" customHeight="1" x14ac:dyDescent="0.15"/>
    <row r="24225" spans="3:3" s="9" customFormat="1" ht="21.95" customHeight="1" x14ac:dyDescent="0.15"/>
    <row r="24226" spans="3:3" s="9" customFormat="1" ht="21.95" customHeight="1" x14ac:dyDescent="0.15"/>
    <row r="24227" spans="3:3" s="9" customFormat="1" ht="21.95" customHeight="1" x14ac:dyDescent="0.15"/>
    <row r="24228" spans="3:3" s="9" customFormat="1" ht="21.95" customHeight="1" x14ac:dyDescent="0.15"/>
    <row r="24229" spans="3:3" s="9" customFormat="1" ht="21.95" customHeight="1" x14ac:dyDescent="0.15"/>
    <row r="24230" spans="3:3" s="9" customFormat="1" ht="21.95" customHeight="1" x14ac:dyDescent="0.15"/>
    <row r="24231" spans="3:3" s="9" customFormat="1" ht="21.95" customHeight="1" x14ac:dyDescent="0.15"/>
    <row r="24232" spans="3:3" s="9" customFormat="1" ht="21.95" customHeight="1" x14ac:dyDescent="0.15"/>
    <row r="24233" spans="3:3" s="9" customFormat="1" ht="21.95" customHeight="1" x14ac:dyDescent="0.15"/>
    <row r="24234" spans="3:3" s="9" customFormat="1" ht="21.95" customHeight="1" x14ac:dyDescent="0.15"/>
    <row r="24235" spans="3:3" s="9" customFormat="1" ht="21.95" customHeight="1" x14ac:dyDescent="0.15"/>
    <row r="24236" spans="3:3" s="9" customFormat="1" ht="21.95" customHeight="1" x14ac:dyDescent="0.15"/>
    <row r="24237" spans="3:3" s="9" customFormat="1" ht="21.95" customHeight="1" x14ac:dyDescent="0.15"/>
    <row r="24238" spans="3:3" s="8" customFormat="1" ht="21.95" customHeight="1" x14ac:dyDescent="0.15"/>
    <row r="24239" spans="3:3" s="8" customFormat="1" ht="21.95" customHeight="1" x14ac:dyDescent="0.15"/>
    <row r="24240" spans="3:3" s="8" customFormat="1" ht="21.95" customHeight="1" x14ac:dyDescent="0.15">
      <c r="C24240" s="101"/>
    </row>
    <row r="24241" spans="3:3" s="8" customFormat="1" ht="21.95" customHeight="1" x14ac:dyDescent="0.15">
      <c r="C24241" s="101"/>
    </row>
    <row r="24242" spans="3:3" s="8" customFormat="1" ht="21.95" customHeight="1" x14ac:dyDescent="0.15"/>
    <row r="24243" spans="3:3" s="8" customFormat="1" ht="21.95" customHeight="1" x14ac:dyDescent="0.15"/>
    <row r="24244" spans="3:3" s="8" customFormat="1" ht="21.95" customHeight="1" x14ac:dyDescent="0.15"/>
    <row r="24245" spans="3:3" s="8" customFormat="1" ht="21.95" customHeight="1" x14ac:dyDescent="0.15"/>
    <row r="24246" spans="3:3" s="8" customFormat="1" ht="21.95" customHeight="1" x14ac:dyDescent="0.15"/>
    <row r="24247" spans="3:3" s="8" customFormat="1" ht="21.95" customHeight="1" x14ac:dyDescent="0.15"/>
    <row r="24248" spans="3:3" s="8" customFormat="1" ht="21.95" customHeight="1" x14ac:dyDescent="0.15"/>
    <row r="24249" spans="3:3" s="9" customFormat="1" ht="21.95" customHeight="1" x14ac:dyDescent="0.15"/>
    <row r="24250" spans="3:3" s="9" customFormat="1" ht="21.95" customHeight="1" x14ac:dyDescent="0.15"/>
    <row r="24251" spans="3:3" s="9" customFormat="1" ht="21.95" customHeight="1" x14ac:dyDescent="0.15"/>
    <row r="24252" spans="3:3" s="9" customFormat="1" ht="21.95" customHeight="1" x14ac:dyDescent="0.15"/>
    <row r="24253" spans="3:3" s="8" customFormat="1" ht="21.95" customHeight="1" x14ac:dyDescent="0.15"/>
    <row r="24254" spans="3:3" s="8" customFormat="1" ht="21.95" customHeight="1" x14ac:dyDescent="0.15"/>
    <row r="24255" spans="3:3" s="8" customFormat="1" ht="21.95" customHeight="1" x14ac:dyDescent="0.15"/>
    <row r="24256" spans="3:3" s="8" customFormat="1" ht="21.95" customHeight="1" x14ac:dyDescent="0.15"/>
    <row r="24257" s="8" customFormat="1" ht="21.95" customHeight="1" x14ac:dyDescent="0.15"/>
    <row r="24258" s="8" customFormat="1" ht="21.95" customHeight="1" x14ac:dyDescent="0.15"/>
    <row r="24259" s="8" customFormat="1" ht="21.95" customHeight="1" x14ac:dyDescent="0.15"/>
    <row r="24260" s="8" customFormat="1" ht="21.95" customHeight="1" x14ac:dyDescent="0.15"/>
    <row r="24261" s="8" customFormat="1" ht="21.95" customHeight="1" x14ac:dyDescent="0.15"/>
    <row r="24262" s="8" customFormat="1" ht="21.95" customHeight="1" x14ac:dyDescent="0.15"/>
    <row r="24263" s="8" customFormat="1" ht="21.95" customHeight="1" x14ac:dyDescent="0.15"/>
    <row r="24264" s="8" customFormat="1" ht="32.1" customHeight="1" x14ac:dyDescent="0.15"/>
    <row r="24265" s="8" customFormat="1" ht="32.1" customHeight="1" x14ac:dyDescent="0.15"/>
    <row r="24266" s="8" customFormat="1" ht="32.1" customHeight="1" x14ac:dyDescent="0.15"/>
    <row r="24267" s="8" customFormat="1" ht="32.1" customHeight="1" x14ac:dyDescent="0.15"/>
    <row r="24268" s="8" customFormat="1" ht="32.1" customHeight="1" x14ac:dyDescent="0.15"/>
    <row r="24269" s="8" customFormat="1" ht="32.1" customHeight="1" x14ac:dyDescent="0.15"/>
    <row r="24270" s="9" customFormat="1" ht="32.1" customHeight="1" x14ac:dyDescent="0.15"/>
    <row r="24271" s="9" customFormat="1" ht="32.1" customHeight="1" x14ac:dyDescent="0.15"/>
    <row r="24272" s="9" customFormat="1" ht="32.1" customHeight="1" x14ac:dyDescent="0.15"/>
    <row r="24273" s="9" customFormat="1" ht="32.1" customHeight="1" x14ac:dyDescent="0.15"/>
    <row r="24274" s="9" customFormat="1" ht="21.95" customHeight="1" x14ac:dyDescent="0.15"/>
    <row r="24275" s="9" customFormat="1" ht="54" customHeight="1" x14ac:dyDescent="0.15"/>
    <row r="24276" s="9" customFormat="1" ht="21.95" customHeight="1" x14ac:dyDescent="0.15"/>
    <row r="24277" s="9" customFormat="1" ht="21.95" customHeight="1" x14ac:dyDescent="0.15"/>
    <row r="24278" s="9" customFormat="1" ht="21.95" customHeight="1" x14ac:dyDescent="0.15"/>
    <row r="24279" s="9" customFormat="1" ht="21.95" customHeight="1" x14ac:dyDescent="0.15"/>
    <row r="24280" s="9" customFormat="1" ht="21.95" customHeight="1" x14ac:dyDescent="0.15"/>
    <row r="24281" s="9" customFormat="1" ht="21.95" customHeight="1" x14ac:dyDescent="0.15"/>
    <row r="24282" s="9" customFormat="1" ht="21.95" customHeight="1" x14ac:dyDescent="0.15"/>
    <row r="24283" s="9" customFormat="1" ht="21.95" customHeight="1" x14ac:dyDescent="0.15"/>
    <row r="24284" s="9" customFormat="1" ht="21.95" customHeight="1" x14ac:dyDescent="0.15"/>
    <row r="24285" s="9" customFormat="1" ht="21.95" customHeight="1" x14ac:dyDescent="0.15"/>
    <row r="24286" s="9" customFormat="1" ht="21.95" customHeight="1" x14ac:dyDescent="0.15"/>
    <row r="24287" s="9" customFormat="1" ht="21.95" customHeight="1" x14ac:dyDescent="0.15"/>
    <row r="24288" s="9" customFormat="1" ht="21.95" customHeight="1" x14ac:dyDescent="0.15"/>
    <row r="24289" s="9" customFormat="1" ht="21.95" customHeight="1" x14ac:dyDescent="0.15"/>
    <row r="24290" s="9" customFormat="1" ht="21.95" customHeight="1" x14ac:dyDescent="0.15"/>
    <row r="24291" s="9" customFormat="1" ht="21.95" customHeight="1" x14ac:dyDescent="0.15"/>
    <row r="24292" s="9" customFormat="1" ht="21.95" customHeight="1" x14ac:dyDescent="0.15"/>
    <row r="24293" s="9" customFormat="1" ht="21.95" customHeight="1" x14ac:dyDescent="0.15"/>
    <row r="24294" s="9" customFormat="1" ht="21.95" customHeight="1" x14ac:dyDescent="0.15"/>
    <row r="24295" s="9" customFormat="1" ht="21.95" customHeight="1" x14ac:dyDescent="0.15"/>
    <row r="24296" s="9" customFormat="1" ht="21.95" customHeight="1" x14ac:dyDescent="0.15"/>
    <row r="24297" s="9" customFormat="1" ht="21.95" customHeight="1" x14ac:dyDescent="0.15"/>
    <row r="24298" s="9" customFormat="1" ht="21.95" customHeight="1" x14ac:dyDescent="0.15"/>
    <row r="24299" s="9" customFormat="1" ht="21.95" customHeight="1" x14ac:dyDescent="0.15"/>
    <row r="24300" s="9" customFormat="1" ht="21.95" customHeight="1" x14ac:dyDescent="0.15"/>
    <row r="24301" s="9" customFormat="1" ht="21.95" customHeight="1" x14ac:dyDescent="0.15"/>
    <row r="24302" s="9" customFormat="1" ht="21.95" customHeight="1" x14ac:dyDescent="0.15"/>
    <row r="24303" s="9" customFormat="1" ht="21.95" customHeight="1" x14ac:dyDescent="0.15"/>
    <row r="24304" s="9" customFormat="1" ht="21.95" customHeight="1" x14ac:dyDescent="0.15"/>
    <row r="24305" s="9" customFormat="1" ht="21.95" customHeight="1" x14ac:dyDescent="0.15"/>
    <row r="24306" s="9" customFormat="1" ht="21.95" customHeight="1" x14ac:dyDescent="0.15"/>
    <row r="24307" s="9" customFormat="1" ht="21.95" customHeight="1" x14ac:dyDescent="0.15"/>
    <row r="24308" s="9" customFormat="1" ht="21.95" customHeight="1" x14ac:dyDescent="0.15"/>
    <row r="24309" s="9" customFormat="1" ht="21.95" customHeight="1" x14ac:dyDescent="0.15"/>
    <row r="24310" s="9" customFormat="1" ht="21.95" customHeight="1" x14ac:dyDescent="0.15"/>
    <row r="24311" s="9" customFormat="1" ht="21.95" customHeight="1" x14ac:dyDescent="0.15"/>
    <row r="24312" s="9" customFormat="1" ht="21.95" customHeight="1" x14ac:dyDescent="0.15"/>
    <row r="24313" s="9" customFormat="1" ht="21.95" customHeight="1" x14ac:dyDescent="0.15"/>
    <row r="24314" s="9" customFormat="1" ht="21.95" customHeight="1" x14ac:dyDescent="0.15"/>
    <row r="24315" s="9" customFormat="1" ht="21.95" customHeight="1" x14ac:dyDescent="0.15"/>
    <row r="24316" s="9" customFormat="1" ht="21.95" customHeight="1" x14ac:dyDescent="0.15"/>
    <row r="24317" s="9" customFormat="1" ht="21.95" customHeight="1" x14ac:dyDescent="0.15"/>
    <row r="24318" s="9" customFormat="1" ht="21.95" customHeight="1" x14ac:dyDescent="0.15"/>
    <row r="24319" s="9" customFormat="1" ht="21.95" customHeight="1" x14ac:dyDescent="0.15"/>
    <row r="24320" s="9" customFormat="1" ht="21.95" customHeight="1" x14ac:dyDescent="0.15"/>
    <row r="24321" s="9" customFormat="1" ht="21.95" customHeight="1" x14ac:dyDescent="0.15"/>
    <row r="24322" s="9" customFormat="1" ht="21.95" customHeight="1" x14ac:dyDescent="0.15"/>
    <row r="24323" s="9" customFormat="1" ht="21.95" customHeight="1" x14ac:dyDescent="0.15"/>
    <row r="24324" s="9" customFormat="1" ht="21.95" customHeight="1" x14ac:dyDescent="0.15"/>
    <row r="24325" s="9" customFormat="1" ht="21.95" customHeight="1" x14ac:dyDescent="0.15"/>
    <row r="24326" s="9" customFormat="1" ht="35.1" customHeight="1" x14ac:dyDescent="0.15"/>
    <row r="24327" s="9" customFormat="1" ht="21.95" customHeight="1" x14ac:dyDescent="0.15"/>
    <row r="24328" s="9" customFormat="1" ht="21.95" customHeight="1" x14ac:dyDescent="0.15"/>
    <row r="24329" s="9" customFormat="1" ht="21.95" customHeight="1" x14ac:dyDescent="0.15"/>
    <row r="24330" s="9" customFormat="1" ht="21.95" customHeight="1" x14ac:dyDescent="0.15"/>
    <row r="24331" s="9" customFormat="1" ht="21.95" customHeight="1" x14ac:dyDescent="0.15"/>
    <row r="24332" s="9" customFormat="1" ht="21.95" customHeight="1" x14ac:dyDescent="0.15"/>
    <row r="24333" s="9" customFormat="1" ht="21.95" customHeight="1" x14ac:dyDescent="0.15"/>
    <row r="24334" s="9" customFormat="1" ht="21.95" customHeight="1" x14ac:dyDescent="0.15"/>
    <row r="24335" s="9" customFormat="1" ht="21.95" customHeight="1" x14ac:dyDescent="0.15"/>
    <row r="24336" s="9" customFormat="1" ht="21.95" customHeight="1" x14ac:dyDescent="0.15"/>
    <row r="24337" spans="3:3" s="9" customFormat="1" ht="21.95" customHeight="1" x14ac:dyDescent="0.15"/>
    <row r="24338" spans="3:3" s="9" customFormat="1" ht="21.95" customHeight="1" x14ac:dyDescent="0.15"/>
    <row r="24339" spans="3:3" s="9" customFormat="1" ht="21.95" customHeight="1" x14ac:dyDescent="0.15"/>
    <row r="24340" spans="3:3" s="9" customFormat="1" ht="21.95" customHeight="1" x14ac:dyDescent="0.15"/>
    <row r="24341" spans="3:3" s="9" customFormat="1" ht="21.95" customHeight="1" x14ac:dyDescent="0.15"/>
    <row r="24342" spans="3:3" s="9" customFormat="1" ht="21.95" customHeight="1" x14ac:dyDescent="0.15"/>
    <row r="24343" spans="3:3" s="9" customFormat="1" ht="21.95" customHeight="1" x14ac:dyDescent="0.15"/>
    <row r="24344" spans="3:3" s="9" customFormat="1" ht="21.95" customHeight="1" x14ac:dyDescent="0.15"/>
    <row r="24345" spans="3:3" s="9" customFormat="1" ht="21.95" customHeight="1" x14ac:dyDescent="0.15"/>
    <row r="24346" spans="3:3" s="9" customFormat="1" ht="21.95" customHeight="1" x14ac:dyDescent="0.15"/>
    <row r="24347" spans="3:3" s="9" customFormat="1" ht="21.95" customHeight="1" x14ac:dyDescent="0.15"/>
    <row r="24348" spans="3:3" s="9" customFormat="1" ht="21.95" customHeight="1" x14ac:dyDescent="0.15"/>
    <row r="24349" spans="3:3" s="9" customFormat="1" ht="21.95" customHeight="1" x14ac:dyDescent="0.15"/>
    <row r="24350" spans="3:3" s="8" customFormat="1" ht="21.95" customHeight="1" x14ac:dyDescent="0.15"/>
    <row r="24351" spans="3:3" s="8" customFormat="1" ht="21.95" customHeight="1" x14ac:dyDescent="0.15"/>
    <row r="24352" spans="3:3" s="8" customFormat="1" ht="21.95" customHeight="1" x14ac:dyDescent="0.15">
      <c r="C24352" s="101"/>
    </row>
    <row r="24353" spans="3:3" s="8" customFormat="1" ht="21.95" customHeight="1" x14ac:dyDescent="0.15">
      <c r="C24353" s="101"/>
    </row>
    <row r="24354" spans="3:3" s="8" customFormat="1" ht="21.95" customHeight="1" x14ac:dyDescent="0.15"/>
    <row r="24355" spans="3:3" s="8" customFormat="1" ht="21.95" customHeight="1" x14ac:dyDescent="0.15"/>
    <row r="24356" spans="3:3" s="8" customFormat="1" ht="21.95" customHeight="1" x14ac:dyDescent="0.15"/>
    <row r="24357" spans="3:3" s="8" customFormat="1" ht="21.95" customHeight="1" x14ac:dyDescent="0.15"/>
    <row r="24358" spans="3:3" s="8" customFormat="1" ht="21.95" customHeight="1" x14ac:dyDescent="0.15"/>
    <row r="24359" spans="3:3" s="8" customFormat="1" ht="21.95" customHeight="1" x14ac:dyDescent="0.15"/>
    <row r="24360" spans="3:3" s="8" customFormat="1" ht="21.95" customHeight="1" x14ac:dyDescent="0.15"/>
    <row r="24361" spans="3:3" s="9" customFormat="1" ht="21.95" customHeight="1" x14ac:dyDescent="0.15"/>
    <row r="24362" spans="3:3" s="9" customFormat="1" ht="21.95" customHeight="1" x14ac:dyDescent="0.15"/>
    <row r="24363" spans="3:3" s="9" customFormat="1" ht="21.95" customHeight="1" x14ac:dyDescent="0.15"/>
    <row r="24364" spans="3:3" s="9" customFormat="1" ht="21.95" customHeight="1" x14ac:dyDescent="0.15"/>
    <row r="24365" spans="3:3" s="8" customFormat="1" ht="21.95" customHeight="1" x14ac:dyDescent="0.15"/>
    <row r="24366" spans="3:3" s="8" customFormat="1" ht="21.95" customHeight="1" x14ac:dyDescent="0.15"/>
    <row r="24367" spans="3:3" s="8" customFormat="1" ht="21.95" customHeight="1" x14ac:dyDescent="0.15"/>
    <row r="24368" spans="3:3" s="8" customFormat="1" ht="21.95" customHeight="1" x14ac:dyDescent="0.15"/>
    <row r="24369" s="8" customFormat="1" ht="21.95" customHeight="1" x14ac:dyDescent="0.15"/>
    <row r="24370" s="8" customFormat="1" ht="21.95" customHeight="1" x14ac:dyDescent="0.15"/>
    <row r="24371" s="8" customFormat="1" ht="21.95" customHeight="1" x14ac:dyDescent="0.15"/>
    <row r="24372" s="8" customFormat="1" ht="21.95" customHeight="1" x14ac:dyDescent="0.15"/>
    <row r="24373" s="8" customFormat="1" ht="21.95" customHeight="1" x14ac:dyDescent="0.15"/>
    <row r="24374" s="8" customFormat="1" ht="21.95" customHeight="1" x14ac:dyDescent="0.15"/>
    <row r="24375" s="8" customFormat="1" ht="21.95" customHeight="1" x14ac:dyDescent="0.15"/>
    <row r="24376" s="8" customFormat="1" ht="32.1" customHeight="1" x14ac:dyDescent="0.15"/>
    <row r="24377" s="8" customFormat="1" ht="32.1" customHeight="1" x14ac:dyDescent="0.15"/>
    <row r="24378" s="8" customFormat="1" ht="32.1" customHeight="1" x14ac:dyDescent="0.15"/>
    <row r="24379" s="8" customFormat="1" ht="32.1" customHeight="1" x14ac:dyDescent="0.15"/>
    <row r="24380" s="8" customFormat="1" ht="32.1" customHeight="1" x14ac:dyDescent="0.15"/>
    <row r="24381" s="8" customFormat="1" ht="32.1" customHeight="1" x14ac:dyDescent="0.15"/>
    <row r="24382" s="9" customFormat="1" ht="32.1" customHeight="1" x14ac:dyDescent="0.15"/>
    <row r="24383" s="9" customFormat="1" ht="32.1" customHeight="1" x14ac:dyDescent="0.15"/>
    <row r="24384" s="9" customFormat="1" ht="32.1" customHeight="1" x14ac:dyDescent="0.15"/>
    <row r="24385" s="9" customFormat="1" ht="32.1" customHeight="1" x14ac:dyDescent="0.15"/>
    <row r="24386" s="9" customFormat="1" ht="21.95" customHeight="1" x14ac:dyDescent="0.15"/>
    <row r="24387" s="9" customFormat="1" ht="54" customHeight="1" x14ac:dyDescent="0.15"/>
    <row r="24388" s="9" customFormat="1" ht="21.95" customHeight="1" x14ac:dyDescent="0.15"/>
    <row r="24389" s="9" customFormat="1" ht="21.95" customHeight="1" x14ac:dyDescent="0.15"/>
    <row r="24390" s="9" customFormat="1" ht="21.95" customHeight="1" x14ac:dyDescent="0.15"/>
    <row r="24391" s="9" customFormat="1" ht="21.95" customHeight="1" x14ac:dyDescent="0.15"/>
    <row r="24392" s="9" customFormat="1" ht="21.95" customHeight="1" x14ac:dyDescent="0.15"/>
    <row r="24393" s="9" customFormat="1" ht="21.95" customHeight="1" x14ac:dyDescent="0.15"/>
    <row r="24394" s="9" customFormat="1" ht="21.95" customHeight="1" x14ac:dyDescent="0.15"/>
    <row r="24395" s="9" customFormat="1" ht="21.95" customHeight="1" x14ac:dyDescent="0.15"/>
    <row r="24396" s="9" customFormat="1" ht="21.95" customHeight="1" x14ac:dyDescent="0.15"/>
    <row r="24397" s="9" customFormat="1" ht="21.95" customHeight="1" x14ac:dyDescent="0.15"/>
    <row r="24398" s="9" customFormat="1" ht="21.95" customHeight="1" x14ac:dyDescent="0.15"/>
    <row r="24399" s="9" customFormat="1" ht="21.95" customHeight="1" x14ac:dyDescent="0.15"/>
    <row r="24400" s="9" customFormat="1" ht="21.95" customHeight="1" x14ac:dyDescent="0.15"/>
    <row r="24401" s="9" customFormat="1" ht="21.95" customHeight="1" x14ac:dyDescent="0.15"/>
    <row r="24402" s="9" customFormat="1" ht="21.95" customHeight="1" x14ac:dyDescent="0.15"/>
    <row r="24403" s="9" customFormat="1" ht="21.95" customHeight="1" x14ac:dyDescent="0.15"/>
    <row r="24404" s="9" customFormat="1" ht="21.95" customHeight="1" x14ac:dyDescent="0.15"/>
    <row r="24405" s="9" customFormat="1" ht="21.95" customHeight="1" x14ac:dyDescent="0.15"/>
    <row r="24406" s="9" customFormat="1" ht="21.95" customHeight="1" x14ac:dyDescent="0.15"/>
    <row r="24407" s="9" customFormat="1" ht="21.95" customHeight="1" x14ac:dyDescent="0.15"/>
    <row r="24408" s="9" customFormat="1" ht="21.95" customHeight="1" x14ac:dyDescent="0.15"/>
    <row r="24409" s="9" customFormat="1" ht="21.95" customHeight="1" x14ac:dyDescent="0.15"/>
    <row r="24410" s="9" customFormat="1" ht="21.95" customHeight="1" x14ac:dyDescent="0.15"/>
    <row r="24411" s="9" customFormat="1" ht="21.95" customHeight="1" x14ac:dyDescent="0.15"/>
    <row r="24412" s="9" customFormat="1" ht="21.95" customHeight="1" x14ac:dyDescent="0.15"/>
    <row r="24413" s="9" customFormat="1" ht="21.95" customHeight="1" x14ac:dyDescent="0.15"/>
    <row r="24414" s="9" customFormat="1" ht="21.95" customHeight="1" x14ac:dyDescent="0.15"/>
    <row r="24415" s="9" customFormat="1" ht="21.95" customHeight="1" x14ac:dyDescent="0.15"/>
    <row r="24416" s="9" customFormat="1" ht="21.95" customHeight="1" x14ac:dyDescent="0.15"/>
    <row r="24417" s="9" customFormat="1" ht="21.95" customHeight="1" x14ac:dyDescent="0.15"/>
    <row r="24418" s="9" customFormat="1" ht="21.95" customHeight="1" x14ac:dyDescent="0.15"/>
    <row r="24419" s="9" customFormat="1" ht="21.95" customHeight="1" x14ac:dyDescent="0.15"/>
    <row r="24420" s="9" customFormat="1" ht="21.95" customHeight="1" x14ac:dyDescent="0.15"/>
    <row r="24421" s="9" customFormat="1" ht="21.95" customHeight="1" x14ac:dyDescent="0.15"/>
    <row r="24422" s="9" customFormat="1" ht="21.95" customHeight="1" x14ac:dyDescent="0.15"/>
    <row r="24423" s="9" customFormat="1" ht="21.95" customHeight="1" x14ac:dyDescent="0.15"/>
    <row r="24424" s="9" customFormat="1" ht="21.95" customHeight="1" x14ac:dyDescent="0.15"/>
    <row r="24425" s="9" customFormat="1" ht="21.95" customHeight="1" x14ac:dyDescent="0.15"/>
    <row r="24426" s="9" customFormat="1" ht="21.95" customHeight="1" x14ac:dyDescent="0.15"/>
    <row r="24427" s="9" customFormat="1" ht="21.95" customHeight="1" x14ac:dyDescent="0.15"/>
    <row r="24428" s="9" customFormat="1" ht="21.95" customHeight="1" x14ac:dyDescent="0.15"/>
    <row r="24429" s="9" customFormat="1" ht="21.95" customHeight="1" x14ac:dyDescent="0.15"/>
    <row r="24430" s="9" customFormat="1" ht="21.95" customHeight="1" x14ac:dyDescent="0.15"/>
    <row r="24431" s="9" customFormat="1" ht="21.95" customHeight="1" x14ac:dyDescent="0.15"/>
    <row r="24432" s="9" customFormat="1" ht="21.95" customHeight="1" x14ac:dyDescent="0.15"/>
    <row r="24433" s="9" customFormat="1" ht="21.95" customHeight="1" x14ac:dyDescent="0.15"/>
    <row r="24434" s="9" customFormat="1" ht="21.95" customHeight="1" x14ac:dyDescent="0.15"/>
    <row r="24435" s="9" customFormat="1" ht="21.95" customHeight="1" x14ac:dyDescent="0.15"/>
    <row r="24436" s="9" customFormat="1" ht="21.95" customHeight="1" x14ac:dyDescent="0.15"/>
    <row r="24437" s="9" customFormat="1" ht="21.95" customHeight="1" x14ac:dyDescent="0.15"/>
    <row r="24438" s="9" customFormat="1" ht="35.1" customHeight="1" x14ac:dyDescent="0.15"/>
    <row r="24439" s="9" customFormat="1" ht="21.95" customHeight="1" x14ac:dyDescent="0.15"/>
    <row r="24440" s="9" customFormat="1" ht="21.95" customHeight="1" x14ac:dyDescent="0.15"/>
    <row r="24441" s="9" customFormat="1" ht="21.95" customHeight="1" x14ac:dyDescent="0.15"/>
    <row r="24442" s="9" customFormat="1" ht="21.95" customHeight="1" x14ac:dyDescent="0.15"/>
    <row r="24443" s="9" customFormat="1" ht="21.95" customHeight="1" x14ac:dyDescent="0.15"/>
    <row r="24444" s="9" customFormat="1" ht="21.95" customHeight="1" x14ac:dyDescent="0.15"/>
    <row r="24445" s="9" customFormat="1" ht="21.95" customHeight="1" x14ac:dyDescent="0.15"/>
    <row r="24446" s="9" customFormat="1" ht="21.95" customHeight="1" x14ac:dyDescent="0.15"/>
    <row r="24447" s="9" customFormat="1" ht="21.95" customHeight="1" x14ac:dyDescent="0.15"/>
    <row r="24448" s="9" customFormat="1" ht="21.95" customHeight="1" x14ac:dyDescent="0.15"/>
    <row r="24449" spans="3:3" s="9" customFormat="1" ht="21.95" customHeight="1" x14ac:dyDescent="0.15"/>
    <row r="24450" spans="3:3" s="9" customFormat="1" ht="21.95" customHeight="1" x14ac:dyDescent="0.15"/>
    <row r="24451" spans="3:3" s="9" customFormat="1" ht="21.95" customHeight="1" x14ac:dyDescent="0.15"/>
    <row r="24452" spans="3:3" s="9" customFormat="1" ht="21.95" customHeight="1" x14ac:dyDescent="0.15"/>
    <row r="24453" spans="3:3" s="9" customFormat="1" ht="21.95" customHeight="1" x14ac:dyDescent="0.15"/>
    <row r="24454" spans="3:3" s="9" customFormat="1" ht="21.95" customHeight="1" x14ac:dyDescent="0.15"/>
    <row r="24455" spans="3:3" s="9" customFormat="1" ht="21.95" customHeight="1" x14ac:dyDescent="0.15"/>
    <row r="24456" spans="3:3" s="9" customFormat="1" ht="21.95" customHeight="1" x14ac:dyDescent="0.15"/>
    <row r="24457" spans="3:3" s="9" customFormat="1" ht="21.95" customHeight="1" x14ac:dyDescent="0.15"/>
    <row r="24458" spans="3:3" s="9" customFormat="1" ht="21.95" customHeight="1" x14ac:dyDescent="0.15"/>
    <row r="24459" spans="3:3" s="9" customFormat="1" ht="21.95" customHeight="1" x14ac:dyDescent="0.15"/>
    <row r="24460" spans="3:3" s="9" customFormat="1" ht="21.95" customHeight="1" x14ac:dyDescent="0.15"/>
    <row r="24461" spans="3:3" s="9" customFormat="1" ht="21.95" customHeight="1" x14ac:dyDescent="0.15"/>
    <row r="24462" spans="3:3" s="8" customFormat="1" ht="21.95" customHeight="1" x14ac:dyDescent="0.15"/>
    <row r="24463" spans="3:3" s="8" customFormat="1" ht="21.95" customHeight="1" x14ac:dyDescent="0.15"/>
    <row r="24464" spans="3:3" s="8" customFormat="1" ht="21.95" customHeight="1" x14ac:dyDescent="0.15">
      <c r="C24464" s="101"/>
    </row>
    <row r="24465" spans="3:3" s="8" customFormat="1" ht="21.95" customHeight="1" x14ac:dyDescent="0.15">
      <c r="C24465" s="101"/>
    </row>
    <row r="24466" spans="3:3" s="8" customFormat="1" ht="21.95" customHeight="1" x14ac:dyDescent="0.15"/>
    <row r="24467" spans="3:3" s="8" customFormat="1" ht="21.95" customHeight="1" x14ac:dyDescent="0.15"/>
    <row r="24468" spans="3:3" s="8" customFormat="1" ht="21.95" customHeight="1" x14ac:dyDescent="0.15"/>
    <row r="24469" spans="3:3" s="8" customFormat="1" ht="21.95" customHeight="1" x14ac:dyDescent="0.15"/>
    <row r="24470" spans="3:3" s="8" customFormat="1" ht="21.95" customHeight="1" x14ac:dyDescent="0.15"/>
    <row r="24471" spans="3:3" s="8" customFormat="1" ht="21.95" customHeight="1" x14ac:dyDescent="0.15"/>
    <row r="24472" spans="3:3" s="8" customFormat="1" ht="21.95" customHeight="1" x14ac:dyDescent="0.15"/>
    <row r="24473" spans="3:3" s="9" customFormat="1" ht="21.95" customHeight="1" x14ac:dyDescent="0.15"/>
    <row r="24474" spans="3:3" s="9" customFormat="1" ht="21.95" customHeight="1" x14ac:dyDescent="0.15"/>
    <row r="24475" spans="3:3" s="9" customFormat="1" ht="21.95" customHeight="1" x14ac:dyDescent="0.15"/>
    <row r="24476" spans="3:3" s="9" customFormat="1" ht="21.95" customHeight="1" x14ac:dyDescent="0.15"/>
    <row r="24477" spans="3:3" s="8" customFormat="1" ht="21.95" customHeight="1" x14ac:dyDescent="0.15"/>
    <row r="24478" spans="3:3" s="8" customFormat="1" ht="21.95" customHeight="1" x14ac:dyDescent="0.15"/>
    <row r="24479" spans="3:3" s="8" customFormat="1" ht="21.95" customHeight="1" x14ac:dyDescent="0.15"/>
    <row r="24480" spans="3:3" s="8" customFormat="1" ht="21.95" customHeight="1" x14ac:dyDescent="0.15"/>
    <row r="24481" s="8" customFormat="1" ht="21.95" customHeight="1" x14ac:dyDescent="0.15"/>
    <row r="24482" s="8" customFormat="1" ht="21.95" customHeight="1" x14ac:dyDescent="0.15"/>
    <row r="24483" s="8" customFormat="1" ht="21.95" customHeight="1" x14ac:dyDescent="0.15"/>
    <row r="24484" s="8" customFormat="1" ht="21.95" customHeight="1" x14ac:dyDescent="0.15"/>
    <row r="24485" s="8" customFormat="1" ht="21.95" customHeight="1" x14ac:dyDescent="0.15"/>
    <row r="24486" s="8" customFormat="1" ht="21.95" customHeight="1" x14ac:dyDescent="0.15"/>
    <row r="24487" s="8" customFormat="1" ht="21.95" customHeight="1" x14ac:dyDescent="0.15"/>
    <row r="24488" s="8" customFormat="1" ht="32.1" customHeight="1" x14ac:dyDescent="0.15"/>
    <row r="24489" s="8" customFormat="1" ht="32.1" customHeight="1" x14ac:dyDescent="0.15"/>
    <row r="24490" s="8" customFormat="1" ht="32.1" customHeight="1" x14ac:dyDescent="0.15"/>
    <row r="24491" s="8" customFormat="1" ht="32.1" customHeight="1" x14ac:dyDescent="0.15"/>
    <row r="24492" s="8" customFormat="1" ht="32.1" customHeight="1" x14ac:dyDescent="0.15"/>
    <row r="24493" s="8" customFormat="1" ht="32.1" customHeight="1" x14ac:dyDescent="0.15"/>
    <row r="24494" s="9" customFormat="1" ht="32.1" customHeight="1" x14ac:dyDescent="0.15"/>
    <row r="24495" s="9" customFormat="1" ht="32.1" customHeight="1" x14ac:dyDescent="0.15"/>
    <row r="24496" s="9" customFormat="1" ht="32.1" customHeight="1" x14ac:dyDescent="0.15"/>
    <row r="24497" s="9" customFormat="1" ht="32.1" customHeight="1" x14ac:dyDescent="0.15"/>
    <row r="24498" s="9" customFormat="1" ht="21.95" customHeight="1" x14ac:dyDescent="0.15"/>
    <row r="24499" s="9" customFormat="1" ht="54" customHeight="1" x14ac:dyDescent="0.15"/>
    <row r="24500" s="9" customFormat="1" ht="21.95" customHeight="1" x14ac:dyDescent="0.15"/>
    <row r="24501" s="9" customFormat="1" ht="21.95" customHeight="1" x14ac:dyDescent="0.15"/>
    <row r="24502" s="9" customFormat="1" ht="21.95" customHeight="1" x14ac:dyDescent="0.15"/>
    <row r="24503" s="9" customFormat="1" ht="21.95" customHeight="1" x14ac:dyDescent="0.15"/>
    <row r="24504" s="9" customFormat="1" ht="21.95" customHeight="1" x14ac:dyDescent="0.15"/>
    <row r="24505" s="9" customFormat="1" ht="21.95" customHeight="1" x14ac:dyDescent="0.15"/>
    <row r="24506" s="9" customFormat="1" ht="21.95" customHeight="1" x14ac:dyDescent="0.15"/>
    <row r="24507" s="9" customFormat="1" ht="21.95" customHeight="1" x14ac:dyDescent="0.15"/>
    <row r="24508" s="9" customFormat="1" ht="21.95" customHeight="1" x14ac:dyDescent="0.15"/>
    <row r="24509" s="9" customFormat="1" ht="21.95" customHeight="1" x14ac:dyDescent="0.15"/>
    <row r="24510" s="9" customFormat="1" ht="21.95" customHeight="1" x14ac:dyDescent="0.15"/>
    <row r="24511" s="9" customFormat="1" ht="21.95" customHeight="1" x14ac:dyDescent="0.15"/>
    <row r="24512" s="9" customFormat="1" ht="21.95" customHeight="1" x14ac:dyDescent="0.15"/>
    <row r="24513" s="9" customFormat="1" ht="21.95" customHeight="1" x14ac:dyDescent="0.15"/>
    <row r="24514" s="9" customFormat="1" ht="21.95" customHeight="1" x14ac:dyDescent="0.15"/>
    <row r="24515" s="9" customFormat="1" ht="21.95" customHeight="1" x14ac:dyDescent="0.15"/>
    <row r="24516" s="9" customFormat="1" ht="21.95" customHeight="1" x14ac:dyDescent="0.15"/>
    <row r="24517" s="9" customFormat="1" ht="21.95" customHeight="1" x14ac:dyDescent="0.15"/>
    <row r="24518" s="9" customFormat="1" ht="21.95" customHeight="1" x14ac:dyDescent="0.15"/>
    <row r="24519" s="9" customFormat="1" ht="21.95" customHeight="1" x14ac:dyDescent="0.15"/>
    <row r="24520" s="9" customFormat="1" ht="21.95" customHeight="1" x14ac:dyDescent="0.15"/>
    <row r="24521" s="9" customFormat="1" ht="21.95" customHeight="1" x14ac:dyDescent="0.15"/>
    <row r="24522" s="9" customFormat="1" ht="21.95" customHeight="1" x14ac:dyDescent="0.15"/>
    <row r="24523" s="9" customFormat="1" ht="21.95" customHeight="1" x14ac:dyDescent="0.15"/>
    <row r="24524" s="9" customFormat="1" ht="21.95" customHeight="1" x14ac:dyDescent="0.15"/>
    <row r="24525" s="9" customFormat="1" ht="21.95" customHeight="1" x14ac:dyDescent="0.15"/>
    <row r="24526" s="9" customFormat="1" ht="21.95" customHeight="1" x14ac:dyDescent="0.15"/>
    <row r="24527" s="9" customFormat="1" ht="21.95" customHeight="1" x14ac:dyDescent="0.15"/>
    <row r="24528" s="9" customFormat="1" ht="21.95" customHeight="1" x14ac:dyDescent="0.15"/>
    <row r="24529" s="9" customFormat="1" ht="21.95" customHeight="1" x14ac:dyDescent="0.15"/>
    <row r="24530" s="9" customFormat="1" ht="21.95" customHeight="1" x14ac:dyDescent="0.15"/>
    <row r="24531" s="9" customFormat="1" ht="21.95" customHeight="1" x14ac:dyDescent="0.15"/>
    <row r="24532" s="9" customFormat="1" ht="21.95" customHeight="1" x14ac:dyDescent="0.15"/>
    <row r="24533" s="9" customFormat="1" ht="21.95" customHeight="1" x14ac:dyDescent="0.15"/>
    <row r="24534" s="9" customFormat="1" ht="21.95" customHeight="1" x14ac:dyDescent="0.15"/>
    <row r="24535" s="9" customFormat="1" ht="21.95" customHeight="1" x14ac:dyDescent="0.15"/>
    <row r="24536" s="9" customFormat="1" ht="21.95" customHeight="1" x14ac:dyDescent="0.15"/>
    <row r="24537" s="9" customFormat="1" ht="21.95" customHeight="1" x14ac:dyDescent="0.15"/>
    <row r="24538" s="9" customFormat="1" ht="21.95" customHeight="1" x14ac:dyDescent="0.15"/>
    <row r="24539" s="9" customFormat="1" ht="21.95" customHeight="1" x14ac:dyDescent="0.15"/>
    <row r="24540" s="9" customFormat="1" ht="21.95" customHeight="1" x14ac:dyDescent="0.15"/>
    <row r="24541" s="9" customFormat="1" ht="21.95" customHeight="1" x14ac:dyDescent="0.15"/>
    <row r="24542" s="9" customFormat="1" ht="21.95" customHeight="1" x14ac:dyDescent="0.15"/>
    <row r="24543" s="9" customFormat="1" ht="21.95" customHeight="1" x14ac:dyDescent="0.15"/>
    <row r="24544" s="9" customFormat="1" ht="21.95" customHeight="1" x14ac:dyDescent="0.15"/>
    <row r="24545" s="9" customFormat="1" ht="21.95" customHeight="1" x14ac:dyDescent="0.15"/>
    <row r="24546" s="9" customFormat="1" ht="21.95" customHeight="1" x14ac:dyDescent="0.15"/>
    <row r="24547" s="9" customFormat="1" ht="21.95" customHeight="1" x14ac:dyDescent="0.15"/>
    <row r="24548" s="9" customFormat="1" ht="21.95" customHeight="1" x14ac:dyDescent="0.15"/>
    <row r="24549" s="9" customFormat="1" ht="21.95" customHeight="1" x14ac:dyDescent="0.15"/>
    <row r="24550" s="9" customFormat="1" ht="35.1" customHeight="1" x14ac:dyDescent="0.15"/>
    <row r="24551" s="9" customFormat="1" ht="21.95" customHeight="1" x14ac:dyDescent="0.15"/>
    <row r="24552" s="9" customFormat="1" ht="21.95" customHeight="1" x14ac:dyDescent="0.15"/>
    <row r="24553" s="9" customFormat="1" ht="21.95" customHeight="1" x14ac:dyDescent="0.15"/>
    <row r="24554" s="9" customFormat="1" ht="21.95" customHeight="1" x14ac:dyDescent="0.15"/>
    <row r="24555" s="9" customFormat="1" ht="21.95" customHeight="1" x14ac:dyDescent="0.15"/>
    <row r="24556" s="9" customFormat="1" ht="21.95" customHeight="1" x14ac:dyDescent="0.15"/>
    <row r="24557" s="9" customFormat="1" ht="21.95" customHeight="1" x14ac:dyDescent="0.15"/>
    <row r="24558" s="9" customFormat="1" ht="21.95" customHeight="1" x14ac:dyDescent="0.15"/>
    <row r="24559" s="9" customFormat="1" ht="21.95" customHeight="1" x14ac:dyDescent="0.15"/>
    <row r="24560" s="9" customFormat="1" ht="21.95" customHeight="1" x14ac:dyDescent="0.15"/>
    <row r="24561" spans="3:3" s="9" customFormat="1" ht="21.95" customHeight="1" x14ac:dyDescent="0.15"/>
    <row r="24562" spans="3:3" s="9" customFormat="1" ht="21.95" customHeight="1" x14ac:dyDescent="0.15"/>
    <row r="24563" spans="3:3" s="9" customFormat="1" ht="21.95" customHeight="1" x14ac:dyDescent="0.15"/>
    <row r="24564" spans="3:3" s="9" customFormat="1" ht="21.95" customHeight="1" x14ac:dyDescent="0.15"/>
    <row r="24565" spans="3:3" s="9" customFormat="1" ht="21.95" customHeight="1" x14ac:dyDescent="0.15"/>
    <row r="24566" spans="3:3" s="9" customFormat="1" ht="21.95" customHeight="1" x14ac:dyDescent="0.15"/>
    <row r="24567" spans="3:3" s="9" customFormat="1" ht="21.95" customHeight="1" x14ac:dyDescent="0.15"/>
    <row r="24568" spans="3:3" s="9" customFormat="1" ht="21.95" customHeight="1" x14ac:dyDescent="0.15"/>
    <row r="24569" spans="3:3" s="9" customFormat="1" ht="21.95" customHeight="1" x14ac:dyDescent="0.15"/>
    <row r="24570" spans="3:3" s="9" customFormat="1" ht="21.95" customHeight="1" x14ac:dyDescent="0.15"/>
    <row r="24571" spans="3:3" s="9" customFormat="1" ht="21.95" customHeight="1" x14ac:dyDescent="0.15"/>
    <row r="24572" spans="3:3" s="9" customFormat="1" ht="21.95" customHeight="1" x14ac:dyDescent="0.15"/>
    <row r="24573" spans="3:3" s="9" customFormat="1" ht="21.95" customHeight="1" x14ac:dyDescent="0.15"/>
    <row r="24574" spans="3:3" s="8" customFormat="1" ht="21.95" customHeight="1" x14ac:dyDescent="0.15"/>
    <row r="24575" spans="3:3" s="8" customFormat="1" ht="21.95" customHeight="1" x14ac:dyDescent="0.15"/>
    <row r="24576" spans="3:3" s="8" customFormat="1" ht="21.95" customHeight="1" x14ac:dyDescent="0.15">
      <c r="C24576" s="101"/>
    </row>
    <row r="24577" spans="3:3" s="8" customFormat="1" ht="21.95" customHeight="1" x14ac:dyDescent="0.15">
      <c r="C24577" s="101"/>
    </row>
    <row r="24578" spans="3:3" s="8" customFormat="1" ht="21.95" customHeight="1" x14ac:dyDescent="0.15"/>
    <row r="24579" spans="3:3" s="8" customFormat="1" ht="21.95" customHeight="1" x14ac:dyDescent="0.15"/>
    <row r="24580" spans="3:3" s="8" customFormat="1" ht="21.95" customHeight="1" x14ac:dyDescent="0.15"/>
    <row r="24581" spans="3:3" s="8" customFormat="1" ht="21.95" customHeight="1" x14ac:dyDescent="0.15"/>
    <row r="24582" spans="3:3" s="8" customFormat="1" ht="21.95" customHeight="1" x14ac:dyDescent="0.15"/>
    <row r="24583" spans="3:3" s="8" customFormat="1" ht="21.95" customHeight="1" x14ac:dyDescent="0.15"/>
    <row r="24584" spans="3:3" s="8" customFormat="1" ht="21.95" customHeight="1" x14ac:dyDescent="0.15"/>
    <row r="24585" spans="3:3" s="9" customFormat="1" ht="21.95" customHeight="1" x14ac:dyDescent="0.15"/>
    <row r="24586" spans="3:3" s="9" customFormat="1" ht="21.95" customHeight="1" x14ac:dyDescent="0.15"/>
    <row r="24587" spans="3:3" s="9" customFormat="1" ht="21.95" customHeight="1" x14ac:dyDescent="0.15"/>
    <row r="24588" spans="3:3" s="9" customFormat="1" ht="21.95" customHeight="1" x14ac:dyDescent="0.15"/>
    <row r="24589" spans="3:3" s="8" customFormat="1" ht="21.95" customHeight="1" x14ac:dyDescent="0.15"/>
    <row r="24590" spans="3:3" s="8" customFormat="1" ht="21.95" customHeight="1" x14ac:dyDescent="0.15"/>
    <row r="24591" spans="3:3" s="8" customFormat="1" ht="21.95" customHeight="1" x14ac:dyDescent="0.15"/>
    <row r="24592" spans="3:3" s="8" customFormat="1" ht="21.95" customHeight="1" x14ac:dyDescent="0.15"/>
    <row r="24593" s="8" customFormat="1" ht="21.95" customHeight="1" x14ac:dyDescent="0.15"/>
    <row r="24594" s="8" customFormat="1" ht="21.95" customHeight="1" x14ac:dyDescent="0.15"/>
    <row r="24595" s="8" customFormat="1" ht="21.95" customHeight="1" x14ac:dyDescent="0.15"/>
    <row r="24596" s="8" customFormat="1" ht="21.95" customHeight="1" x14ac:dyDescent="0.15"/>
    <row r="24597" s="8" customFormat="1" ht="21.95" customHeight="1" x14ac:dyDescent="0.15"/>
    <row r="24598" s="8" customFormat="1" ht="21.95" customHeight="1" x14ac:dyDescent="0.15"/>
    <row r="24599" s="8" customFormat="1" ht="21.95" customHeight="1" x14ac:dyDescent="0.15"/>
    <row r="24600" s="8" customFormat="1" ht="32.1" customHeight="1" x14ac:dyDescent="0.15"/>
    <row r="24601" s="8" customFormat="1" ht="32.1" customHeight="1" x14ac:dyDescent="0.15"/>
    <row r="24602" s="8" customFormat="1" ht="32.1" customHeight="1" x14ac:dyDescent="0.15"/>
    <row r="24603" s="8" customFormat="1" ht="32.1" customHeight="1" x14ac:dyDescent="0.15"/>
    <row r="24604" s="8" customFormat="1" ht="32.1" customHeight="1" x14ac:dyDescent="0.15"/>
    <row r="24605" s="8" customFormat="1" ht="32.1" customHeight="1" x14ac:dyDescent="0.15"/>
    <row r="24606" s="9" customFormat="1" ht="32.1" customHeight="1" x14ac:dyDescent="0.15"/>
    <row r="24607" s="9" customFormat="1" ht="32.1" customHeight="1" x14ac:dyDescent="0.15"/>
    <row r="24608" s="9" customFormat="1" ht="32.1" customHeight="1" x14ac:dyDescent="0.15"/>
    <row r="24609" s="9" customFormat="1" ht="32.1" customHeight="1" x14ac:dyDescent="0.15"/>
    <row r="24610" s="9" customFormat="1" ht="21.95" customHeight="1" x14ac:dyDescent="0.15"/>
    <row r="24611" s="9" customFormat="1" ht="54" customHeight="1" x14ac:dyDescent="0.15"/>
    <row r="24612" s="9" customFormat="1" ht="21.95" customHeight="1" x14ac:dyDescent="0.15"/>
    <row r="24613" s="9" customFormat="1" ht="21.95" customHeight="1" x14ac:dyDescent="0.15"/>
    <row r="24614" s="9" customFormat="1" ht="21.95" customHeight="1" x14ac:dyDescent="0.15"/>
    <row r="24615" s="9" customFormat="1" ht="21.95" customHeight="1" x14ac:dyDescent="0.15"/>
    <row r="24616" s="9" customFormat="1" ht="21.95" customHeight="1" x14ac:dyDescent="0.15"/>
    <row r="24617" s="9" customFormat="1" ht="21.95" customHeight="1" x14ac:dyDescent="0.15"/>
    <row r="24618" s="9" customFormat="1" ht="21.95" customHeight="1" x14ac:dyDescent="0.15"/>
    <row r="24619" s="9" customFormat="1" ht="21.95" customHeight="1" x14ac:dyDescent="0.15"/>
    <row r="24620" s="9" customFormat="1" ht="21.95" customHeight="1" x14ac:dyDescent="0.15"/>
    <row r="24621" s="9" customFormat="1" ht="21.95" customHeight="1" x14ac:dyDescent="0.15"/>
    <row r="24622" s="9" customFormat="1" ht="21.95" customHeight="1" x14ac:dyDescent="0.15"/>
    <row r="24623" s="9" customFormat="1" ht="21.95" customHeight="1" x14ac:dyDescent="0.15"/>
    <row r="24624" s="9" customFormat="1" ht="21.95" customHeight="1" x14ac:dyDescent="0.15"/>
    <row r="24625" s="9" customFormat="1" ht="21.95" customHeight="1" x14ac:dyDescent="0.15"/>
    <row r="24626" s="9" customFormat="1" ht="21.95" customHeight="1" x14ac:dyDescent="0.15"/>
    <row r="24627" s="9" customFormat="1" ht="21.95" customHeight="1" x14ac:dyDescent="0.15"/>
    <row r="24628" s="9" customFormat="1" ht="21.95" customHeight="1" x14ac:dyDescent="0.15"/>
    <row r="24629" s="9" customFormat="1" ht="21.95" customHeight="1" x14ac:dyDescent="0.15"/>
    <row r="24630" s="9" customFormat="1" ht="21.95" customHeight="1" x14ac:dyDescent="0.15"/>
    <row r="24631" s="9" customFormat="1" ht="21.95" customHeight="1" x14ac:dyDescent="0.15"/>
    <row r="24632" s="9" customFormat="1" ht="21.95" customHeight="1" x14ac:dyDescent="0.15"/>
    <row r="24633" s="9" customFormat="1" ht="21.95" customHeight="1" x14ac:dyDescent="0.15"/>
    <row r="24634" s="9" customFormat="1" ht="21.95" customHeight="1" x14ac:dyDescent="0.15"/>
    <row r="24635" s="9" customFormat="1" ht="21.95" customHeight="1" x14ac:dyDescent="0.15"/>
    <row r="24636" s="9" customFormat="1" ht="21.95" customHeight="1" x14ac:dyDescent="0.15"/>
    <row r="24637" s="9" customFormat="1" ht="21.95" customHeight="1" x14ac:dyDescent="0.15"/>
    <row r="24638" s="9" customFormat="1" ht="21.95" customHeight="1" x14ac:dyDescent="0.15"/>
    <row r="24639" s="9" customFormat="1" ht="21.95" customHeight="1" x14ac:dyDescent="0.15"/>
    <row r="24640" s="9" customFormat="1" ht="21.95" customHeight="1" x14ac:dyDescent="0.15"/>
    <row r="24641" s="9" customFormat="1" ht="21.95" customHeight="1" x14ac:dyDescent="0.15"/>
    <row r="24642" s="9" customFormat="1" ht="21.95" customHeight="1" x14ac:dyDescent="0.15"/>
    <row r="24643" s="9" customFormat="1" ht="21.95" customHeight="1" x14ac:dyDescent="0.15"/>
    <row r="24644" s="9" customFormat="1" ht="21.95" customHeight="1" x14ac:dyDescent="0.15"/>
    <row r="24645" s="9" customFormat="1" ht="21.95" customHeight="1" x14ac:dyDescent="0.15"/>
    <row r="24646" s="9" customFormat="1" ht="21.95" customHeight="1" x14ac:dyDescent="0.15"/>
    <row r="24647" s="9" customFormat="1" ht="21.95" customHeight="1" x14ac:dyDescent="0.15"/>
    <row r="24648" s="9" customFormat="1" ht="21.95" customHeight="1" x14ac:dyDescent="0.15"/>
    <row r="24649" s="9" customFormat="1" ht="21.95" customHeight="1" x14ac:dyDescent="0.15"/>
    <row r="24650" s="9" customFormat="1" ht="21.95" customHeight="1" x14ac:dyDescent="0.15"/>
    <row r="24651" s="9" customFormat="1" ht="21.95" customHeight="1" x14ac:dyDescent="0.15"/>
    <row r="24652" s="9" customFormat="1" ht="21.95" customHeight="1" x14ac:dyDescent="0.15"/>
    <row r="24653" s="9" customFormat="1" ht="21.95" customHeight="1" x14ac:dyDescent="0.15"/>
    <row r="24654" s="9" customFormat="1" ht="21.95" customHeight="1" x14ac:dyDescent="0.15"/>
    <row r="24655" s="9" customFormat="1" ht="21.95" customHeight="1" x14ac:dyDescent="0.15"/>
    <row r="24656" s="9" customFormat="1" ht="21.95" customHeight="1" x14ac:dyDescent="0.15"/>
    <row r="24657" s="9" customFormat="1" ht="21.95" customHeight="1" x14ac:dyDescent="0.15"/>
    <row r="24658" s="9" customFormat="1" ht="21.95" customHeight="1" x14ac:dyDescent="0.15"/>
    <row r="24659" s="9" customFormat="1" ht="21.95" customHeight="1" x14ac:dyDescent="0.15"/>
    <row r="24660" s="9" customFormat="1" ht="21.95" customHeight="1" x14ac:dyDescent="0.15"/>
    <row r="24661" s="9" customFormat="1" ht="21.95" customHeight="1" x14ac:dyDescent="0.15"/>
    <row r="24662" s="9" customFormat="1" ht="35.1" customHeight="1" x14ac:dyDescent="0.15"/>
    <row r="24663" s="9" customFormat="1" ht="21.95" customHeight="1" x14ac:dyDescent="0.15"/>
    <row r="24664" s="9" customFormat="1" ht="21.95" customHeight="1" x14ac:dyDescent="0.15"/>
    <row r="24665" s="9" customFormat="1" ht="21.95" customHeight="1" x14ac:dyDescent="0.15"/>
    <row r="24666" s="9" customFormat="1" ht="21.95" customHeight="1" x14ac:dyDescent="0.15"/>
    <row r="24667" s="9" customFormat="1" ht="21.95" customHeight="1" x14ac:dyDescent="0.15"/>
    <row r="24668" s="9" customFormat="1" ht="21.95" customHeight="1" x14ac:dyDescent="0.15"/>
    <row r="24669" s="9" customFormat="1" ht="21.95" customHeight="1" x14ac:dyDescent="0.15"/>
    <row r="24670" s="9" customFormat="1" ht="21.95" customHeight="1" x14ac:dyDescent="0.15"/>
    <row r="24671" s="9" customFormat="1" ht="21.95" customHeight="1" x14ac:dyDescent="0.15"/>
    <row r="24672" s="9" customFormat="1" ht="21.95" customHeight="1" x14ac:dyDescent="0.15"/>
    <row r="24673" spans="3:3" s="9" customFormat="1" ht="21.95" customHeight="1" x14ac:dyDescent="0.15"/>
    <row r="24674" spans="3:3" s="9" customFormat="1" ht="21.95" customHeight="1" x14ac:dyDescent="0.15"/>
    <row r="24675" spans="3:3" s="9" customFormat="1" ht="21.95" customHeight="1" x14ac:dyDescent="0.15"/>
    <row r="24676" spans="3:3" s="9" customFormat="1" ht="21.95" customHeight="1" x14ac:dyDescent="0.15"/>
    <row r="24677" spans="3:3" s="9" customFormat="1" ht="21.95" customHeight="1" x14ac:dyDescent="0.15"/>
    <row r="24678" spans="3:3" s="9" customFormat="1" ht="21.95" customHeight="1" x14ac:dyDescent="0.15"/>
    <row r="24679" spans="3:3" s="9" customFormat="1" ht="21.95" customHeight="1" x14ac:dyDescent="0.15"/>
    <row r="24680" spans="3:3" s="9" customFormat="1" ht="21.95" customHeight="1" x14ac:dyDescent="0.15"/>
    <row r="24681" spans="3:3" s="9" customFormat="1" ht="21.95" customHeight="1" x14ac:dyDescent="0.15"/>
    <row r="24682" spans="3:3" s="9" customFormat="1" ht="21.95" customHeight="1" x14ac:dyDescent="0.15"/>
    <row r="24683" spans="3:3" s="9" customFormat="1" ht="21.95" customHeight="1" x14ac:dyDescent="0.15"/>
    <row r="24684" spans="3:3" s="9" customFormat="1" ht="21.95" customHeight="1" x14ac:dyDescent="0.15"/>
    <row r="24685" spans="3:3" s="9" customFormat="1" ht="21.95" customHeight="1" x14ac:dyDescent="0.15"/>
    <row r="24686" spans="3:3" s="8" customFormat="1" ht="21.95" customHeight="1" x14ac:dyDescent="0.15"/>
    <row r="24687" spans="3:3" s="8" customFormat="1" ht="21.95" customHeight="1" x14ac:dyDescent="0.15"/>
    <row r="24688" spans="3:3" s="8" customFormat="1" ht="21.95" customHeight="1" x14ac:dyDescent="0.15">
      <c r="C24688" s="101"/>
    </row>
    <row r="24689" spans="3:3" s="8" customFormat="1" ht="21.95" customHeight="1" x14ac:dyDescent="0.15">
      <c r="C24689" s="101"/>
    </row>
    <row r="24690" spans="3:3" s="8" customFormat="1" ht="21.95" customHeight="1" x14ac:dyDescent="0.15"/>
    <row r="24691" spans="3:3" s="8" customFormat="1" ht="21.95" customHeight="1" x14ac:dyDescent="0.15"/>
    <row r="24692" spans="3:3" s="8" customFormat="1" ht="21.95" customHeight="1" x14ac:dyDescent="0.15"/>
    <row r="24693" spans="3:3" s="8" customFormat="1" ht="21.95" customHeight="1" x14ac:dyDescent="0.15"/>
    <row r="24694" spans="3:3" s="8" customFormat="1" ht="21.95" customHeight="1" x14ac:dyDescent="0.15"/>
    <row r="24695" spans="3:3" s="8" customFormat="1" ht="21.95" customHeight="1" x14ac:dyDescent="0.15"/>
    <row r="24696" spans="3:3" s="8" customFormat="1" ht="21.95" customHeight="1" x14ac:dyDescent="0.15"/>
    <row r="24697" spans="3:3" s="9" customFormat="1" ht="21.95" customHeight="1" x14ac:dyDescent="0.15"/>
    <row r="24698" spans="3:3" s="9" customFormat="1" ht="21.95" customHeight="1" x14ac:dyDescent="0.15"/>
    <row r="24699" spans="3:3" s="9" customFormat="1" ht="21.95" customHeight="1" x14ac:dyDescent="0.15"/>
    <row r="24700" spans="3:3" s="9" customFormat="1" ht="21.95" customHeight="1" x14ac:dyDescent="0.15"/>
    <row r="24701" spans="3:3" s="8" customFormat="1" ht="21.95" customHeight="1" x14ac:dyDescent="0.15"/>
    <row r="24702" spans="3:3" s="8" customFormat="1" ht="21.95" customHeight="1" x14ac:dyDescent="0.15"/>
    <row r="24703" spans="3:3" s="8" customFormat="1" ht="21.95" customHeight="1" x14ac:dyDescent="0.15"/>
    <row r="24704" spans="3:3" s="8" customFormat="1" ht="21.95" customHeight="1" x14ac:dyDescent="0.15"/>
    <row r="24705" s="8" customFormat="1" ht="21.95" customHeight="1" x14ac:dyDescent="0.15"/>
    <row r="24706" s="8" customFormat="1" ht="21.95" customHeight="1" x14ac:dyDescent="0.15"/>
    <row r="24707" s="8" customFormat="1" ht="21.95" customHeight="1" x14ac:dyDescent="0.15"/>
    <row r="24708" s="8" customFormat="1" ht="21.95" customHeight="1" x14ac:dyDescent="0.15"/>
    <row r="24709" s="8" customFormat="1" ht="21.95" customHeight="1" x14ac:dyDescent="0.15"/>
    <row r="24710" s="8" customFormat="1" ht="21.95" customHeight="1" x14ac:dyDescent="0.15"/>
    <row r="24711" s="8" customFormat="1" ht="21.95" customHeight="1" x14ac:dyDescent="0.15"/>
    <row r="24712" s="8" customFormat="1" ht="32.1" customHeight="1" x14ac:dyDescent="0.15"/>
    <row r="24713" s="8" customFormat="1" ht="32.1" customHeight="1" x14ac:dyDescent="0.15"/>
    <row r="24714" s="8" customFormat="1" ht="32.1" customHeight="1" x14ac:dyDescent="0.15"/>
    <row r="24715" s="8" customFormat="1" ht="32.1" customHeight="1" x14ac:dyDescent="0.15"/>
    <row r="24716" s="8" customFormat="1" ht="32.1" customHeight="1" x14ac:dyDescent="0.15"/>
    <row r="24717" s="8" customFormat="1" ht="32.1" customHeight="1" x14ac:dyDescent="0.15"/>
    <row r="24718" s="9" customFormat="1" ht="32.1" customHeight="1" x14ac:dyDescent="0.15"/>
    <row r="24719" s="9" customFormat="1" ht="32.1" customHeight="1" x14ac:dyDescent="0.15"/>
    <row r="24720" s="9" customFormat="1" ht="32.1" customHeight="1" x14ac:dyDescent="0.15"/>
    <row r="24721" s="9" customFormat="1" ht="32.1" customHeight="1" x14ac:dyDescent="0.15"/>
    <row r="24722" s="9" customFormat="1" ht="21.95" customHeight="1" x14ac:dyDescent="0.15"/>
    <row r="24723" s="9" customFormat="1" ht="54" customHeight="1" x14ac:dyDescent="0.15"/>
    <row r="24724" s="9" customFormat="1" ht="21.95" customHeight="1" x14ac:dyDescent="0.15"/>
    <row r="24725" s="9" customFormat="1" ht="21.95" customHeight="1" x14ac:dyDescent="0.15"/>
    <row r="24726" s="9" customFormat="1" ht="21.95" customHeight="1" x14ac:dyDescent="0.15"/>
    <row r="24727" s="9" customFormat="1" ht="21.95" customHeight="1" x14ac:dyDescent="0.15"/>
    <row r="24728" s="9" customFormat="1" ht="21.95" customHeight="1" x14ac:dyDescent="0.15"/>
    <row r="24729" s="9" customFormat="1" ht="21.95" customHeight="1" x14ac:dyDescent="0.15"/>
    <row r="24730" s="9" customFormat="1" ht="21.95" customHeight="1" x14ac:dyDescent="0.15"/>
    <row r="24731" s="9" customFormat="1" ht="21.95" customHeight="1" x14ac:dyDescent="0.15"/>
    <row r="24732" s="9" customFormat="1" ht="21.95" customHeight="1" x14ac:dyDescent="0.15"/>
    <row r="24733" s="9" customFormat="1" ht="21.95" customHeight="1" x14ac:dyDescent="0.15"/>
    <row r="24734" s="9" customFormat="1" ht="21.95" customHeight="1" x14ac:dyDescent="0.15"/>
    <row r="24735" s="9" customFormat="1" ht="21.95" customHeight="1" x14ac:dyDescent="0.15"/>
    <row r="24736" s="9" customFormat="1" ht="21.95" customHeight="1" x14ac:dyDescent="0.15"/>
    <row r="24737" s="9" customFormat="1" ht="21.95" customHeight="1" x14ac:dyDescent="0.15"/>
    <row r="24738" s="9" customFormat="1" ht="21.95" customHeight="1" x14ac:dyDescent="0.15"/>
    <row r="24739" s="9" customFormat="1" ht="21.95" customHeight="1" x14ac:dyDescent="0.15"/>
    <row r="24740" s="9" customFormat="1" ht="21.95" customHeight="1" x14ac:dyDescent="0.15"/>
    <row r="24741" s="9" customFormat="1" ht="21.95" customHeight="1" x14ac:dyDescent="0.15"/>
    <row r="24742" s="9" customFormat="1" ht="21.95" customHeight="1" x14ac:dyDescent="0.15"/>
    <row r="24743" s="9" customFormat="1" ht="21.95" customHeight="1" x14ac:dyDescent="0.15"/>
    <row r="24744" s="9" customFormat="1" ht="21.95" customHeight="1" x14ac:dyDescent="0.15"/>
    <row r="24745" s="9" customFormat="1" ht="21.95" customHeight="1" x14ac:dyDescent="0.15"/>
    <row r="24746" s="9" customFormat="1" ht="21.95" customHeight="1" x14ac:dyDescent="0.15"/>
    <row r="24747" s="9" customFormat="1" ht="21.95" customHeight="1" x14ac:dyDescent="0.15"/>
    <row r="24748" s="9" customFormat="1" ht="21.95" customHeight="1" x14ac:dyDescent="0.15"/>
    <row r="24749" s="9" customFormat="1" ht="21.95" customHeight="1" x14ac:dyDescent="0.15"/>
    <row r="24750" s="9" customFormat="1" ht="21.95" customHeight="1" x14ac:dyDescent="0.15"/>
    <row r="24751" s="9" customFormat="1" ht="21.95" customHeight="1" x14ac:dyDescent="0.15"/>
    <row r="24752" s="9" customFormat="1" ht="21.95" customHeight="1" x14ac:dyDescent="0.15"/>
    <row r="24753" s="9" customFormat="1" ht="21.95" customHeight="1" x14ac:dyDescent="0.15"/>
    <row r="24754" s="9" customFormat="1" ht="21.95" customHeight="1" x14ac:dyDescent="0.15"/>
    <row r="24755" s="9" customFormat="1" ht="21.95" customHeight="1" x14ac:dyDescent="0.15"/>
    <row r="24756" s="9" customFormat="1" ht="21.95" customHeight="1" x14ac:dyDescent="0.15"/>
    <row r="24757" s="9" customFormat="1" ht="21.95" customHeight="1" x14ac:dyDescent="0.15"/>
    <row r="24758" s="9" customFormat="1" ht="21.95" customHeight="1" x14ac:dyDescent="0.15"/>
    <row r="24759" s="9" customFormat="1" ht="21.95" customHeight="1" x14ac:dyDescent="0.15"/>
    <row r="24760" s="9" customFormat="1" ht="21.95" customHeight="1" x14ac:dyDescent="0.15"/>
    <row r="24761" s="9" customFormat="1" ht="21.95" customHeight="1" x14ac:dyDescent="0.15"/>
    <row r="24762" s="9" customFormat="1" ht="21.95" customHeight="1" x14ac:dyDescent="0.15"/>
    <row r="24763" s="9" customFormat="1" ht="21.95" customHeight="1" x14ac:dyDescent="0.15"/>
    <row r="24764" s="9" customFormat="1" ht="21.95" customHeight="1" x14ac:dyDescent="0.15"/>
    <row r="24765" s="9" customFormat="1" ht="21.95" customHeight="1" x14ac:dyDescent="0.15"/>
    <row r="24766" s="9" customFormat="1" ht="21.95" customHeight="1" x14ac:dyDescent="0.15"/>
    <row r="24767" s="9" customFormat="1" ht="21.95" customHeight="1" x14ac:dyDescent="0.15"/>
    <row r="24768" s="9" customFormat="1" ht="21.95" customHeight="1" x14ac:dyDescent="0.15"/>
    <row r="24769" s="9" customFormat="1" ht="21.95" customHeight="1" x14ac:dyDescent="0.15"/>
    <row r="24770" s="9" customFormat="1" ht="21.95" customHeight="1" x14ac:dyDescent="0.15"/>
    <row r="24771" s="9" customFormat="1" ht="21.95" customHeight="1" x14ac:dyDescent="0.15"/>
    <row r="24772" s="9" customFormat="1" ht="21.95" customHeight="1" x14ac:dyDescent="0.15"/>
    <row r="24773" s="9" customFormat="1" ht="21.95" customHeight="1" x14ac:dyDescent="0.15"/>
    <row r="24774" s="9" customFormat="1" ht="35.1" customHeight="1" x14ac:dyDescent="0.15"/>
    <row r="24775" s="9" customFormat="1" ht="21.95" customHeight="1" x14ac:dyDescent="0.15"/>
    <row r="24776" s="9" customFormat="1" ht="21.95" customHeight="1" x14ac:dyDescent="0.15"/>
    <row r="24777" s="9" customFormat="1" ht="21.95" customHeight="1" x14ac:dyDescent="0.15"/>
    <row r="24778" s="9" customFormat="1" ht="21.95" customHeight="1" x14ac:dyDescent="0.15"/>
    <row r="24779" s="9" customFormat="1" ht="21.95" customHeight="1" x14ac:dyDescent="0.15"/>
    <row r="24780" s="9" customFormat="1" ht="21.95" customHeight="1" x14ac:dyDescent="0.15"/>
    <row r="24781" s="9" customFormat="1" ht="21.95" customHeight="1" x14ac:dyDescent="0.15"/>
    <row r="24782" s="9" customFormat="1" ht="21.95" customHeight="1" x14ac:dyDescent="0.15"/>
    <row r="24783" s="9" customFormat="1" ht="21.95" customHeight="1" x14ac:dyDescent="0.15"/>
    <row r="24784" s="9" customFormat="1" ht="21.95" customHeight="1" x14ac:dyDescent="0.15"/>
    <row r="24785" spans="3:3" s="9" customFormat="1" ht="21.95" customHeight="1" x14ac:dyDescent="0.15"/>
    <row r="24786" spans="3:3" s="9" customFormat="1" ht="21.95" customHeight="1" x14ac:dyDescent="0.15"/>
    <row r="24787" spans="3:3" s="9" customFormat="1" ht="21.95" customHeight="1" x14ac:dyDescent="0.15"/>
    <row r="24788" spans="3:3" s="9" customFormat="1" ht="21.95" customHeight="1" x14ac:dyDescent="0.15"/>
    <row r="24789" spans="3:3" s="9" customFormat="1" ht="21.95" customHeight="1" x14ac:dyDescent="0.15"/>
    <row r="24790" spans="3:3" s="9" customFormat="1" ht="21.95" customHeight="1" x14ac:dyDescent="0.15"/>
    <row r="24791" spans="3:3" s="9" customFormat="1" ht="21.95" customHeight="1" x14ac:dyDescent="0.15"/>
    <row r="24792" spans="3:3" s="9" customFormat="1" ht="21.95" customHeight="1" x14ac:dyDescent="0.15"/>
    <row r="24793" spans="3:3" s="9" customFormat="1" ht="21.95" customHeight="1" x14ac:dyDescent="0.15"/>
    <row r="24794" spans="3:3" s="9" customFormat="1" ht="21.95" customHeight="1" x14ac:dyDescent="0.15"/>
    <row r="24795" spans="3:3" s="9" customFormat="1" ht="21.95" customHeight="1" x14ac:dyDescent="0.15"/>
    <row r="24796" spans="3:3" s="9" customFormat="1" ht="21.95" customHeight="1" x14ac:dyDescent="0.15"/>
    <row r="24797" spans="3:3" s="9" customFormat="1" ht="21.95" customHeight="1" x14ac:dyDescent="0.15"/>
    <row r="24798" spans="3:3" s="8" customFormat="1" ht="21.95" customHeight="1" x14ac:dyDescent="0.15"/>
    <row r="24799" spans="3:3" s="8" customFormat="1" ht="21.95" customHeight="1" x14ac:dyDescent="0.15"/>
    <row r="24800" spans="3:3" s="8" customFormat="1" ht="21.95" customHeight="1" x14ac:dyDescent="0.15">
      <c r="C24800" s="101"/>
    </row>
    <row r="24801" spans="3:3" s="8" customFormat="1" ht="21.95" customHeight="1" x14ac:dyDescent="0.15">
      <c r="C24801" s="101"/>
    </row>
    <row r="24802" spans="3:3" s="8" customFormat="1" ht="21.95" customHeight="1" x14ac:dyDescent="0.15"/>
    <row r="24803" spans="3:3" s="8" customFormat="1" ht="21.95" customHeight="1" x14ac:dyDescent="0.15"/>
    <row r="24804" spans="3:3" s="8" customFormat="1" ht="21.95" customHeight="1" x14ac:dyDescent="0.15"/>
    <row r="24805" spans="3:3" s="8" customFormat="1" ht="21.95" customHeight="1" x14ac:dyDescent="0.15"/>
    <row r="24806" spans="3:3" s="8" customFormat="1" ht="21.95" customHeight="1" x14ac:dyDescent="0.15"/>
    <row r="24807" spans="3:3" s="8" customFormat="1" ht="21.95" customHeight="1" x14ac:dyDescent="0.15"/>
    <row r="24808" spans="3:3" s="8" customFormat="1" ht="21.95" customHeight="1" x14ac:dyDescent="0.15"/>
    <row r="24809" spans="3:3" s="9" customFormat="1" ht="21.95" customHeight="1" x14ac:dyDescent="0.15"/>
    <row r="24810" spans="3:3" s="9" customFormat="1" ht="21.95" customHeight="1" x14ac:dyDescent="0.15"/>
    <row r="24811" spans="3:3" s="9" customFormat="1" ht="21.95" customHeight="1" x14ac:dyDescent="0.15"/>
    <row r="24812" spans="3:3" s="9" customFormat="1" ht="21.95" customHeight="1" x14ac:dyDescent="0.15"/>
    <row r="24813" spans="3:3" s="8" customFormat="1" ht="21.95" customHeight="1" x14ac:dyDescent="0.15"/>
    <row r="24814" spans="3:3" s="8" customFormat="1" ht="21.95" customHeight="1" x14ac:dyDescent="0.15"/>
    <row r="24815" spans="3:3" s="8" customFormat="1" ht="21.95" customHeight="1" x14ac:dyDescent="0.15"/>
    <row r="24816" spans="3:3" s="8" customFormat="1" ht="21.95" customHeight="1" x14ac:dyDescent="0.15"/>
    <row r="24817" s="8" customFormat="1" ht="21.95" customHeight="1" x14ac:dyDescent="0.15"/>
    <row r="24818" s="8" customFormat="1" ht="21.95" customHeight="1" x14ac:dyDescent="0.15"/>
    <row r="24819" s="8" customFormat="1" ht="21.95" customHeight="1" x14ac:dyDescent="0.15"/>
    <row r="24820" s="8" customFormat="1" ht="21.95" customHeight="1" x14ac:dyDescent="0.15"/>
    <row r="24821" s="8" customFormat="1" ht="21.95" customHeight="1" x14ac:dyDescent="0.15"/>
    <row r="24822" s="8" customFormat="1" ht="21.95" customHeight="1" x14ac:dyDescent="0.15"/>
    <row r="24823" s="8" customFormat="1" ht="21.95" customHeight="1" x14ac:dyDescent="0.15"/>
    <row r="24824" s="8" customFormat="1" ht="32.1" customHeight="1" x14ac:dyDescent="0.15"/>
    <row r="24825" s="8" customFormat="1" ht="32.1" customHeight="1" x14ac:dyDescent="0.15"/>
    <row r="24826" s="8" customFormat="1" ht="32.1" customHeight="1" x14ac:dyDescent="0.15"/>
    <row r="24827" s="8" customFormat="1" ht="32.1" customHeight="1" x14ac:dyDescent="0.15"/>
    <row r="24828" s="8" customFormat="1" ht="32.1" customHeight="1" x14ac:dyDescent="0.15"/>
    <row r="24829" s="8" customFormat="1" ht="32.1" customHeight="1" x14ac:dyDescent="0.15"/>
    <row r="24830" s="9" customFormat="1" ht="32.1" customHeight="1" x14ac:dyDescent="0.15"/>
    <row r="24831" s="9" customFormat="1" ht="32.1" customHeight="1" x14ac:dyDescent="0.15"/>
    <row r="24832" s="9" customFormat="1" ht="32.1" customHeight="1" x14ac:dyDescent="0.15"/>
    <row r="24833" s="9" customFormat="1" ht="32.1" customHeight="1" x14ac:dyDescent="0.15"/>
    <row r="24834" s="9" customFormat="1" ht="21.95" customHeight="1" x14ac:dyDescent="0.15"/>
    <row r="24835" s="9" customFormat="1" ht="54" customHeight="1" x14ac:dyDescent="0.15"/>
    <row r="24836" s="9" customFormat="1" ht="21.95" customHeight="1" x14ac:dyDescent="0.15"/>
    <row r="24837" s="9" customFormat="1" ht="21.95" customHeight="1" x14ac:dyDescent="0.15"/>
    <row r="24838" s="9" customFormat="1" ht="21.95" customHeight="1" x14ac:dyDescent="0.15"/>
    <row r="24839" s="9" customFormat="1" ht="21.95" customHeight="1" x14ac:dyDescent="0.15"/>
    <row r="24840" s="9" customFormat="1" ht="21.95" customHeight="1" x14ac:dyDescent="0.15"/>
    <row r="24841" s="9" customFormat="1" ht="21.95" customHeight="1" x14ac:dyDescent="0.15"/>
    <row r="24842" s="9" customFormat="1" ht="21.95" customHeight="1" x14ac:dyDescent="0.15"/>
    <row r="24843" s="9" customFormat="1" ht="21.95" customHeight="1" x14ac:dyDescent="0.15"/>
    <row r="24844" s="9" customFormat="1" ht="21.95" customHeight="1" x14ac:dyDescent="0.15"/>
    <row r="24845" s="9" customFormat="1" ht="21.95" customHeight="1" x14ac:dyDescent="0.15"/>
    <row r="24846" s="9" customFormat="1" ht="21.95" customHeight="1" x14ac:dyDescent="0.15"/>
    <row r="24847" s="9" customFormat="1" ht="21.95" customHeight="1" x14ac:dyDescent="0.15"/>
    <row r="24848" s="9" customFormat="1" ht="21.95" customHeight="1" x14ac:dyDescent="0.15"/>
    <row r="24849" s="9" customFormat="1" ht="21.95" customHeight="1" x14ac:dyDescent="0.15"/>
    <row r="24850" s="9" customFormat="1" ht="21.95" customHeight="1" x14ac:dyDescent="0.15"/>
    <row r="24851" s="9" customFormat="1" ht="21.95" customHeight="1" x14ac:dyDescent="0.15"/>
    <row r="24852" s="9" customFormat="1" ht="21.95" customHeight="1" x14ac:dyDescent="0.15"/>
    <row r="24853" s="9" customFormat="1" ht="21.95" customHeight="1" x14ac:dyDescent="0.15"/>
    <row r="24854" s="9" customFormat="1" ht="21.95" customHeight="1" x14ac:dyDescent="0.15"/>
    <row r="24855" s="9" customFormat="1" ht="21.95" customHeight="1" x14ac:dyDescent="0.15"/>
    <row r="24856" s="9" customFormat="1" ht="21.95" customHeight="1" x14ac:dyDescent="0.15"/>
    <row r="24857" s="9" customFormat="1" ht="21.95" customHeight="1" x14ac:dyDescent="0.15"/>
    <row r="24858" s="9" customFormat="1" ht="21.95" customHeight="1" x14ac:dyDescent="0.15"/>
    <row r="24859" s="9" customFormat="1" ht="21.95" customHeight="1" x14ac:dyDescent="0.15"/>
    <row r="24860" s="9" customFormat="1" ht="21.95" customHeight="1" x14ac:dyDescent="0.15"/>
    <row r="24861" s="9" customFormat="1" ht="21.95" customHeight="1" x14ac:dyDescent="0.15"/>
    <row r="24862" s="9" customFormat="1" ht="21.95" customHeight="1" x14ac:dyDescent="0.15"/>
    <row r="24863" s="9" customFormat="1" ht="21.95" customHeight="1" x14ac:dyDescent="0.15"/>
    <row r="24864" s="9" customFormat="1" ht="21.95" customHeight="1" x14ac:dyDescent="0.15"/>
    <row r="24865" s="9" customFormat="1" ht="21.95" customHeight="1" x14ac:dyDescent="0.15"/>
    <row r="24866" s="9" customFormat="1" ht="21.95" customHeight="1" x14ac:dyDescent="0.15"/>
    <row r="24867" s="9" customFormat="1" ht="21.95" customHeight="1" x14ac:dyDescent="0.15"/>
    <row r="24868" s="9" customFormat="1" ht="21.95" customHeight="1" x14ac:dyDescent="0.15"/>
    <row r="24869" s="9" customFormat="1" ht="21.95" customHeight="1" x14ac:dyDescent="0.15"/>
    <row r="24870" s="9" customFormat="1" ht="21.95" customHeight="1" x14ac:dyDescent="0.15"/>
    <row r="24871" s="9" customFormat="1" ht="21.95" customHeight="1" x14ac:dyDescent="0.15"/>
    <row r="24872" s="9" customFormat="1" ht="21.95" customHeight="1" x14ac:dyDescent="0.15"/>
    <row r="24873" s="9" customFormat="1" ht="21.95" customHeight="1" x14ac:dyDescent="0.15"/>
    <row r="24874" s="9" customFormat="1" ht="21.95" customHeight="1" x14ac:dyDescent="0.15"/>
    <row r="24875" s="9" customFormat="1" ht="21.95" customHeight="1" x14ac:dyDescent="0.15"/>
    <row r="24876" s="9" customFormat="1" ht="21.95" customHeight="1" x14ac:dyDescent="0.15"/>
    <row r="24877" s="9" customFormat="1" ht="21.95" customHeight="1" x14ac:dyDescent="0.15"/>
    <row r="24878" s="9" customFormat="1" ht="21.95" customHeight="1" x14ac:dyDescent="0.15"/>
    <row r="24879" s="9" customFormat="1" ht="21.95" customHeight="1" x14ac:dyDescent="0.15"/>
    <row r="24880" s="9" customFormat="1" ht="21.95" customHeight="1" x14ac:dyDescent="0.15"/>
    <row r="24881" s="9" customFormat="1" ht="21.95" customHeight="1" x14ac:dyDescent="0.15"/>
    <row r="24882" s="9" customFormat="1" ht="21.95" customHeight="1" x14ac:dyDescent="0.15"/>
    <row r="24883" s="9" customFormat="1" ht="21.95" customHeight="1" x14ac:dyDescent="0.15"/>
    <row r="24884" s="9" customFormat="1" ht="21.95" customHeight="1" x14ac:dyDescent="0.15"/>
    <row r="24885" s="9" customFormat="1" ht="21.95" customHeight="1" x14ac:dyDescent="0.15"/>
    <row r="24886" s="9" customFormat="1" ht="35.1" customHeight="1" x14ac:dyDescent="0.15"/>
    <row r="24887" s="9" customFormat="1" ht="21.95" customHeight="1" x14ac:dyDescent="0.15"/>
    <row r="24888" s="9" customFormat="1" ht="21.95" customHeight="1" x14ac:dyDescent="0.15"/>
    <row r="24889" s="9" customFormat="1" ht="21.95" customHeight="1" x14ac:dyDescent="0.15"/>
    <row r="24890" s="9" customFormat="1" ht="21.95" customHeight="1" x14ac:dyDescent="0.15"/>
    <row r="24891" s="9" customFormat="1" ht="21.95" customHeight="1" x14ac:dyDescent="0.15"/>
    <row r="24892" s="9" customFormat="1" ht="21.95" customHeight="1" x14ac:dyDescent="0.15"/>
    <row r="24893" s="9" customFormat="1" ht="21.95" customHeight="1" x14ac:dyDescent="0.15"/>
    <row r="24894" s="9" customFormat="1" ht="21.95" customHeight="1" x14ac:dyDescent="0.15"/>
    <row r="24895" s="9" customFormat="1" ht="21.95" customHeight="1" x14ac:dyDescent="0.15"/>
    <row r="24896" s="9" customFormat="1" ht="21.95" customHeight="1" x14ac:dyDescent="0.15"/>
    <row r="24897" spans="3:3" s="9" customFormat="1" ht="21.95" customHeight="1" x14ac:dyDescent="0.15"/>
    <row r="24898" spans="3:3" s="9" customFormat="1" ht="21.95" customHeight="1" x14ac:dyDescent="0.15"/>
    <row r="24899" spans="3:3" s="9" customFormat="1" ht="21.95" customHeight="1" x14ac:dyDescent="0.15"/>
    <row r="24900" spans="3:3" s="9" customFormat="1" ht="21.95" customHeight="1" x14ac:dyDescent="0.15"/>
    <row r="24901" spans="3:3" s="9" customFormat="1" ht="21.95" customHeight="1" x14ac:dyDescent="0.15"/>
    <row r="24902" spans="3:3" s="9" customFormat="1" ht="21.95" customHeight="1" x14ac:dyDescent="0.15"/>
    <row r="24903" spans="3:3" s="9" customFormat="1" ht="21.95" customHeight="1" x14ac:dyDescent="0.15"/>
    <row r="24904" spans="3:3" s="9" customFormat="1" ht="21.95" customHeight="1" x14ac:dyDescent="0.15"/>
    <row r="24905" spans="3:3" s="9" customFormat="1" ht="21.95" customHeight="1" x14ac:dyDescent="0.15"/>
    <row r="24906" spans="3:3" s="9" customFormat="1" ht="21.95" customHeight="1" x14ac:dyDescent="0.15"/>
    <row r="24907" spans="3:3" s="9" customFormat="1" ht="21.95" customHeight="1" x14ac:dyDescent="0.15"/>
    <row r="24908" spans="3:3" s="9" customFormat="1" ht="21.95" customHeight="1" x14ac:dyDescent="0.15"/>
    <row r="24909" spans="3:3" s="9" customFormat="1" ht="21.95" customHeight="1" x14ac:dyDescent="0.15"/>
    <row r="24910" spans="3:3" s="8" customFormat="1" ht="21.95" customHeight="1" x14ac:dyDescent="0.15"/>
    <row r="24911" spans="3:3" s="8" customFormat="1" ht="21.95" customHeight="1" x14ac:dyDescent="0.15"/>
    <row r="24912" spans="3:3" s="8" customFormat="1" ht="21.95" customHeight="1" x14ac:dyDescent="0.15">
      <c r="C24912" s="101"/>
    </row>
    <row r="24913" spans="3:3" s="8" customFormat="1" ht="21.95" customHeight="1" x14ac:dyDescent="0.15">
      <c r="C24913" s="101"/>
    </row>
    <row r="24914" spans="3:3" s="8" customFormat="1" ht="21.95" customHeight="1" x14ac:dyDescent="0.15"/>
    <row r="24915" spans="3:3" s="8" customFormat="1" ht="21.95" customHeight="1" x14ac:dyDescent="0.15"/>
    <row r="24916" spans="3:3" s="8" customFormat="1" ht="21.95" customHeight="1" x14ac:dyDescent="0.15"/>
    <row r="24917" spans="3:3" s="8" customFormat="1" ht="21.95" customHeight="1" x14ac:dyDescent="0.15"/>
    <row r="24918" spans="3:3" s="8" customFormat="1" ht="21.95" customHeight="1" x14ac:dyDescent="0.15"/>
    <row r="24919" spans="3:3" s="8" customFormat="1" ht="21.95" customHeight="1" x14ac:dyDescent="0.15"/>
    <row r="24920" spans="3:3" s="8" customFormat="1" ht="21.95" customHeight="1" x14ac:dyDescent="0.15"/>
    <row r="24921" spans="3:3" s="9" customFormat="1" ht="21.95" customHeight="1" x14ac:dyDescent="0.15"/>
    <row r="24922" spans="3:3" s="9" customFormat="1" ht="21.95" customHeight="1" x14ac:dyDescent="0.15"/>
    <row r="24923" spans="3:3" s="9" customFormat="1" ht="21.95" customHeight="1" x14ac:dyDescent="0.15"/>
    <row r="24924" spans="3:3" s="9" customFormat="1" ht="21.95" customHeight="1" x14ac:dyDescent="0.15"/>
    <row r="24925" spans="3:3" s="8" customFormat="1" ht="21.95" customHeight="1" x14ac:dyDescent="0.15"/>
    <row r="24926" spans="3:3" s="8" customFormat="1" ht="21.95" customHeight="1" x14ac:dyDescent="0.15"/>
    <row r="24927" spans="3:3" s="8" customFormat="1" ht="21.95" customHeight="1" x14ac:dyDescent="0.15"/>
    <row r="24928" spans="3:3" s="8" customFormat="1" ht="21.95" customHeight="1" x14ac:dyDescent="0.15"/>
    <row r="24929" s="8" customFormat="1" ht="21.95" customHeight="1" x14ac:dyDescent="0.15"/>
    <row r="24930" s="8" customFormat="1" ht="21.95" customHeight="1" x14ac:dyDescent="0.15"/>
    <row r="24931" s="8" customFormat="1" ht="21.95" customHeight="1" x14ac:dyDescent="0.15"/>
    <row r="24932" s="8" customFormat="1" ht="21.95" customHeight="1" x14ac:dyDescent="0.15"/>
    <row r="24933" s="8" customFormat="1" ht="21.95" customHeight="1" x14ac:dyDescent="0.15"/>
    <row r="24934" s="8" customFormat="1" ht="21.95" customHeight="1" x14ac:dyDescent="0.15"/>
    <row r="24935" s="8" customFormat="1" ht="21.95" customHeight="1" x14ac:dyDescent="0.15"/>
    <row r="24936" s="8" customFormat="1" ht="32.1" customHeight="1" x14ac:dyDescent="0.15"/>
    <row r="24937" s="8" customFormat="1" ht="32.1" customHeight="1" x14ac:dyDescent="0.15"/>
    <row r="24938" s="8" customFormat="1" ht="32.1" customHeight="1" x14ac:dyDescent="0.15"/>
    <row r="24939" s="8" customFormat="1" ht="32.1" customHeight="1" x14ac:dyDescent="0.15"/>
    <row r="24940" s="8" customFormat="1" ht="32.1" customHeight="1" x14ac:dyDescent="0.15"/>
    <row r="24941" s="8" customFormat="1" ht="32.1" customHeight="1" x14ac:dyDescent="0.15"/>
    <row r="24942" s="9" customFormat="1" ht="32.1" customHeight="1" x14ac:dyDescent="0.15"/>
    <row r="24943" s="9" customFormat="1" ht="32.1" customHeight="1" x14ac:dyDescent="0.15"/>
    <row r="24944" s="9" customFormat="1" ht="32.1" customHeight="1" x14ac:dyDescent="0.15"/>
    <row r="24945" s="9" customFormat="1" ht="32.1" customHeight="1" x14ac:dyDescent="0.15"/>
    <row r="24946" s="9" customFormat="1" ht="21.95" customHeight="1" x14ac:dyDescent="0.15"/>
    <row r="24947" s="9" customFormat="1" ht="54" customHeight="1" x14ac:dyDescent="0.15"/>
    <row r="24948" s="9" customFormat="1" ht="21.95" customHeight="1" x14ac:dyDescent="0.15"/>
    <row r="24949" s="9" customFormat="1" ht="21.95" customHeight="1" x14ac:dyDescent="0.15"/>
    <row r="24950" s="9" customFormat="1" ht="21.95" customHeight="1" x14ac:dyDescent="0.15"/>
    <row r="24951" s="9" customFormat="1" ht="21.95" customHeight="1" x14ac:dyDescent="0.15"/>
    <row r="24952" s="9" customFormat="1" ht="21.95" customHeight="1" x14ac:dyDescent="0.15"/>
    <row r="24953" s="9" customFormat="1" ht="21.95" customHeight="1" x14ac:dyDescent="0.15"/>
    <row r="24954" s="9" customFormat="1" ht="21.95" customHeight="1" x14ac:dyDescent="0.15"/>
    <row r="24955" s="9" customFormat="1" ht="21.95" customHeight="1" x14ac:dyDescent="0.15"/>
    <row r="24956" s="9" customFormat="1" ht="21.95" customHeight="1" x14ac:dyDescent="0.15"/>
    <row r="24957" s="9" customFormat="1" ht="21.95" customHeight="1" x14ac:dyDescent="0.15"/>
    <row r="24958" s="9" customFormat="1" ht="21.95" customHeight="1" x14ac:dyDescent="0.15"/>
    <row r="24959" s="9" customFormat="1" ht="21.95" customHeight="1" x14ac:dyDescent="0.15"/>
    <row r="24960" s="9" customFormat="1" ht="21.95" customHeight="1" x14ac:dyDescent="0.15"/>
    <row r="24961" s="9" customFormat="1" ht="21.95" customHeight="1" x14ac:dyDescent="0.15"/>
    <row r="24962" s="9" customFormat="1" ht="21.95" customHeight="1" x14ac:dyDescent="0.15"/>
    <row r="24963" s="9" customFormat="1" ht="21.95" customHeight="1" x14ac:dyDescent="0.15"/>
    <row r="24964" s="9" customFormat="1" ht="21.95" customHeight="1" x14ac:dyDescent="0.15"/>
    <row r="24965" s="9" customFormat="1" ht="21.95" customHeight="1" x14ac:dyDescent="0.15"/>
    <row r="24966" s="9" customFormat="1" ht="21.95" customHeight="1" x14ac:dyDescent="0.15"/>
    <row r="24967" s="9" customFormat="1" ht="21.95" customHeight="1" x14ac:dyDescent="0.15"/>
    <row r="24968" s="9" customFormat="1" ht="21.95" customHeight="1" x14ac:dyDescent="0.15"/>
    <row r="24969" s="9" customFormat="1" ht="21.95" customHeight="1" x14ac:dyDescent="0.15"/>
    <row r="24970" s="9" customFormat="1" ht="21.95" customHeight="1" x14ac:dyDescent="0.15"/>
    <row r="24971" s="9" customFormat="1" ht="21.95" customHeight="1" x14ac:dyDescent="0.15"/>
    <row r="24972" s="9" customFormat="1" ht="21.95" customHeight="1" x14ac:dyDescent="0.15"/>
    <row r="24973" s="9" customFormat="1" ht="21.95" customHeight="1" x14ac:dyDescent="0.15"/>
    <row r="24974" s="9" customFormat="1" ht="21.95" customHeight="1" x14ac:dyDescent="0.15"/>
    <row r="24975" s="9" customFormat="1" ht="21.95" customHeight="1" x14ac:dyDescent="0.15"/>
    <row r="24976" s="9" customFormat="1" ht="21.95" customHeight="1" x14ac:dyDescent="0.15"/>
    <row r="24977" s="9" customFormat="1" ht="21.95" customHeight="1" x14ac:dyDescent="0.15"/>
    <row r="24978" s="9" customFormat="1" ht="21.95" customHeight="1" x14ac:dyDescent="0.15"/>
    <row r="24979" s="9" customFormat="1" ht="21.95" customHeight="1" x14ac:dyDescent="0.15"/>
    <row r="24980" s="9" customFormat="1" ht="21.95" customHeight="1" x14ac:dyDescent="0.15"/>
    <row r="24981" s="9" customFormat="1" ht="21.95" customHeight="1" x14ac:dyDescent="0.15"/>
    <row r="24982" s="9" customFormat="1" ht="21.95" customHeight="1" x14ac:dyDescent="0.15"/>
    <row r="24983" s="9" customFormat="1" ht="21.95" customHeight="1" x14ac:dyDescent="0.15"/>
    <row r="24984" s="9" customFormat="1" ht="21.95" customHeight="1" x14ac:dyDescent="0.15"/>
    <row r="24985" s="9" customFormat="1" ht="21.95" customHeight="1" x14ac:dyDescent="0.15"/>
    <row r="24986" s="9" customFormat="1" ht="21.95" customHeight="1" x14ac:dyDescent="0.15"/>
    <row r="24987" s="9" customFormat="1" ht="21.95" customHeight="1" x14ac:dyDescent="0.15"/>
    <row r="24988" s="9" customFormat="1" ht="21.95" customHeight="1" x14ac:dyDescent="0.15"/>
    <row r="24989" s="9" customFormat="1" ht="21.95" customHeight="1" x14ac:dyDescent="0.15"/>
    <row r="24990" s="9" customFormat="1" ht="21.95" customHeight="1" x14ac:dyDescent="0.15"/>
    <row r="24991" s="9" customFormat="1" ht="21.95" customHeight="1" x14ac:dyDescent="0.15"/>
    <row r="24992" s="9" customFormat="1" ht="21.95" customHeight="1" x14ac:dyDescent="0.15"/>
    <row r="24993" s="9" customFormat="1" ht="21.95" customHeight="1" x14ac:dyDescent="0.15"/>
    <row r="24994" s="9" customFormat="1" ht="21.95" customHeight="1" x14ac:dyDescent="0.15"/>
    <row r="24995" s="9" customFormat="1" ht="21.95" customHeight="1" x14ac:dyDescent="0.15"/>
    <row r="24996" s="9" customFormat="1" ht="21.95" customHeight="1" x14ac:dyDescent="0.15"/>
    <row r="24997" s="9" customFormat="1" ht="21.95" customHeight="1" x14ac:dyDescent="0.15"/>
    <row r="24998" s="9" customFormat="1" ht="35.1" customHeight="1" x14ac:dyDescent="0.15"/>
    <row r="24999" s="9" customFormat="1" ht="21.95" customHeight="1" x14ac:dyDescent="0.15"/>
    <row r="25000" s="9" customFormat="1" ht="21.95" customHeight="1" x14ac:dyDescent="0.15"/>
    <row r="25001" s="9" customFormat="1" ht="21.95" customHeight="1" x14ac:dyDescent="0.15"/>
    <row r="25002" s="9" customFormat="1" ht="21.95" customHeight="1" x14ac:dyDescent="0.15"/>
    <row r="25003" s="9" customFormat="1" ht="21.95" customHeight="1" x14ac:dyDescent="0.15"/>
    <row r="25004" s="9" customFormat="1" ht="21.95" customHeight="1" x14ac:dyDescent="0.15"/>
    <row r="25005" s="9" customFormat="1" ht="21.95" customHeight="1" x14ac:dyDescent="0.15"/>
    <row r="25006" s="9" customFormat="1" ht="21.95" customHeight="1" x14ac:dyDescent="0.15"/>
    <row r="25007" s="9" customFormat="1" ht="21.95" customHeight="1" x14ac:dyDescent="0.15"/>
    <row r="25008" s="9" customFormat="1" ht="21.95" customHeight="1" x14ac:dyDescent="0.15"/>
    <row r="25009" spans="3:3" s="9" customFormat="1" ht="21.95" customHeight="1" x14ac:dyDescent="0.15"/>
    <row r="25010" spans="3:3" s="9" customFormat="1" ht="21.95" customHeight="1" x14ac:dyDescent="0.15"/>
    <row r="25011" spans="3:3" s="9" customFormat="1" ht="21.95" customHeight="1" x14ac:dyDescent="0.15"/>
    <row r="25012" spans="3:3" s="9" customFormat="1" ht="21.95" customHeight="1" x14ac:dyDescent="0.15"/>
    <row r="25013" spans="3:3" s="9" customFormat="1" ht="21.95" customHeight="1" x14ac:dyDescent="0.15"/>
    <row r="25014" spans="3:3" s="9" customFormat="1" ht="21.95" customHeight="1" x14ac:dyDescent="0.15"/>
    <row r="25015" spans="3:3" s="9" customFormat="1" ht="21.95" customHeight="1" x14ac:dyDescent="0.15"/>
    <row r="25016" spans="3:3" s="9" customFormat="1" ht="21.95" customHeight="1" x14ac:dyDescent="0.15"/>
    <row r="25017" spans="3:3" s="9" customFormat="1" ht="21.95" customHeight="1" x14ac:dyDescent="0.15"/>
    <row r="25018" spans="3:3" s="9" customFormat="1" ht="21.95" customHeight="1" x14ac:dyDescent="0.15"/>
    <row r="25019" spans="3:3" s="9" customFormat="1" ht="21.95" customHeight="1" x14ac:dyDescent="0.15"/>
    <row r="25020" spans="3:3" s="9" customFormat="1" ht="21.95" customHeight="1" x14ac:dyDescent="0.15"/>
    <row r="25021" spans="3:3" s="9" customFormat="1" ht="21.95" customHeight="1" x14ac:dyDescent="0.15"/>
    <row r="25022" spans="3:3" s="8" customFormat="1" ht="21.95" customHeight="1" x14ac:dyDescent="0.15"/>
    <row r="25023" spans="3:3" s="8" customFormat="1" ht="21.95" customHeight="1" x14ac:dyDescent="0.15"/>
    <row r="25024" spans="3:3" s="8" customFormat="1" ht="21.95" customHeight="1" x14ac:dyDescent="0.15">
      <c r="C25024" s="101"/>
    </row>
    <row r="25025" spans="3:3" s="8" customFormat="1" ht="21.95" customHeight="1" x14ac:dyDescent="0.15">
      <c r="C25025" s="101"/>
    </row>
    <row r="25026" spans="3:3" s="8" customFormat="1" ht="21.95" customHeight="1" x14ac:dyDescent="0.15"/>
    <row r="25027" spans="3:3" s="8" customFormat="1" ht="21.95" customHeight="1" x14ac:dyDescent="0.15"/>
    <row r="25028" spans="3:3" s="8" customFormat="1" ht="21.95" customHeight="1" x14ac:dyDescent="0.15"/>
    <row r="25029" spans="3:3" s="8" customFormat="1" ht="21.95" customHeight="1" x14ac:dyDescent="0.15"/>
    <row r="25030" spans="3:3" s="8" customFormat="1" ht="21.95" customHeight="1" x14ac:dyDescent="0.15"/>
    <row r="25031" spans="3:3" s="8" customFormat="1" ht="21.95" customHeight="1" x14ac:dyDescent="0.15"/>
    <row r="25032" spans="3:3" s="8" customFormat="1" ht="21.95" customHeight="1" x14ac:dyDescent="0.15"/>
    <row r="25033" spans="3:3" s="9" customFormat="1" ht="21.95" customHeight="1" x14ac:dyDescent="0.15"/>
    <row r="25034" spans="3:3" s="9" customFormat="1" ht="21.95" customHeight="1" x14ac:dyDescent="0.15"/>
    <row r="25035" spans="3:3" s="9" customFormat="1" ht="21.95" customHeight="1" x14ac:dyDescent="0.15"/>
    <row r="25036" spans="3:3" s="9" customFormat="1" ht="21.95" customHeight="1" x14ac:dyDescent="0.15"/>
    <row r="25037" spans="3:3" s="8" customFormat="1" ht="21.95" customHeight="1" x14ac:dyDescent="0.15"/>
    <row r="25038" spans="3:3" s="8" customFormat="1" ht="21.95" customHeight="1" x14ac:dyDescent="0.15"/>
    <row r="25039" spans="3:3" s="8" customFormat="1" ht="21.95" customHeight="1" x14ac:dyDescent="0.15"/>
    <row r="25040" spans="3:3" s="8" customFormat="1" ht="21.95" customHeight="1" x14ac:dyDescent="0.15"/>
    <row r="25041" s="8" customFormat="1" ht="21.95" customHeight="1" x14ac:dyDescent="0.15"/>
    <row r="25042" s="8" customFormat="1" ht="21.95" customHeight="1" x14ac:dyDescent="0.15"/>
    <row r="25043" s="8" customFormat="1" ht="21.95" customHeight="1" x14ac:dyDescent="0.15"/>
    <row r="25044" s="8" customFormat="1" ht="21.95" customHeight="1" x14ac:dyDescent="0.15"/>
    <row r="25045" s="8" customFormat="1" ht="21.95" customHeight="1" x14ac:dyDescent="0.15"/>
    <row r="25046" s="8" customFormat="1" ht="21.95" customHeight="1" x14ac:dyDescent="0.15"/>
    <row r="25047" s="8" customFormat="1" ht="21.95" customHeight="1" x14ac:dyDescent="0.15"/>
    <row r="25048" s="8" customFormat="1" ht="32.1" customHeight="1" x14ac:dyDescent="0.15"/>
    <row r="25049" s="8" customFormat="1" ht="32.1" customHeight="1" x14ac:dyDescent="0.15"/>
    <row r="25050" s="8" customFormat="1" ht="32.1" customHeight="1" x14ac:dyDescent="0.15"/>
    <row r="25051" s="8" customFormat="1" ht="32.1" customHeight="1" x14ac:dyDescent="0.15"/>
    <row r="25052" s="8" customFormat="1" ht="32.1" customHeight="1" x14ac:dyDescent="0.15"/>
    <row r="25053" s="8" customFormat="1" ht="32.1" customHeight="1" x14ac:dyDescent="0.15"/>
    <row r="25054" s="9" customFormat="1" ht="32.1" customHeight="1" x14ac:dyDescent="0.15"/>
    <row r="25055" s="9" customFormat="1" ht="32.1" customHeight="1" x14ac:dyDescent="0.15"/>
    <row r="25056" s="9" customFormat="1" ht="32.1" customHeight="1" x14ac:dyDescent="0.15"/>
    <row r="25057" s="9" customFormat="1" ht="32.1" customHeight="1" x14ac:dyDescent="0.15"/>
    <row r="25058" s="9" customFormat="1" ht="21.95" customHeight="1" x14ac:dyDescent="0.15"/>
    <row r="25059" s="9" customFormat="1" ht="54" customHeight="1" x14ac:dyDescent="0.15"/>
    <row r="25060" s="9" customFormat="1" ht="21.95" customHeight="1" x14ac:dyDescent="0.15"/>
    <row r="25061" s="9" customFormat="1" ht="21.95" customHeight="1" x14ac:dyDescent="0.15"/>
    <row r="25062" s="9" customFormat="1" ht="21.95" customHeight="1" x14ac:dyDescent="0.15"/>
    <row r="25063" s="9" customFormat="1" ht="21.95" customHeight="1" x14ac:dyDescent="0.15"/>
    <row r="25064" s="9" customFormat="1" ht="21.95" customHeight="1" x14ac:dyDescent="0.15"/>
    <row r="25065" s="9" customFormat="1" ht="21.95" customHeight="1" x14ac:dyDescent="0.15"/>
    <row r="25066" s="9" customFormat="1" ht="21.95" customHeight="1" x14ac:dyDescent="0.15"/>
    <row r="25067" s="9" customFormat="1" ht="21.95" customHeight="1" x14ac:dyDescent="0.15"/>
    <row r="25068" s="9" customFormat="1" ht="21.95" customHeight="1" x14ac:dyDescent="0.15"/>
    <row r="25069" s="9" customFormat="1" ht="21.95" customHeight="1" x14ac:dyDescent="0.15"/>
    <row r="25070" s="9" customFormat="1" ht="21.95" customHeight="1" x14ac:dyDescent="0.15"/>
    <row r="25071" s="9" customFormat="1" ht="21.95" customHeight="1" x14ac:dyDescent="0.15"/>
    <row r="25072" s="9" customFormat="1" ht="21.95" customHeight="1" x14ac:dyDescent="0.15"/>
    <row r="25073" s="9" customFormat="1" ht="21.95" customHeight="1" x14ac:dyDescent="0.15"/>
    <row r="25074" s="9" customFormat="1" ht="21.95" customHeight="1" x14ac:dyDescent="0.15"/>
    <row r="25075" s="9" customFormat="1" ht="21.95" customHeight="1" x14ac:dyDescent="0.15"/>
    <row r="25076" s="9" customFormat="1" ht="21.95" customHeight="1" x14ac:dyDescent="0.15"/>
    <row r="25077" s="9" customFormat="1" ht="21.95" customHeight="1" x14ac:dyDescent="0.15"/>
    <row r="25078" s="9" customFormat="1" ht="21.95" customHeight="1" x14ac:dyDescent="0.15"/>
    <row r="25079" s="9" customFormat="1" ht="21.95" customHeight="1" x14ac:dyDescent="0.15"/>
    <row r="25080" s="9" customFormat="1" ht="21.95" customHeight="1" x14ac:dyDescent="0.15"/>
    <row r="25081" s="9" customFormat="1" ht="21.95" customHeight="1" x14ac:dyDescent="0.15"/>
    <row r="25082" s="9" customFormat="1" ht="21.95" customHeight="1" x14ac:dyDescent="0.15"/>
    <row r="25083" s="9" customFormat="1" ht="21.95" customHeight="1" x14ac:dyDescent="0.15"/>
    <row r="25084" s="9" customFormat="1" ht="21.95" customHeight="1" x14ac:dyDescent="0.15"/>
    <row r="25085" s="9" customFormat="1" ht="21.95" customHeight="1" x14ac:dyDescent="0.15"/>
    <row r="25086" s="9" customFormat="1" ht="21.95" customHeight="1" x14ac:dyDescent="0.15"/>
    <row r="25087" s="9" customFormat="1" ht="21.95" customHeight="1" x14ac:dyDescent="0.15"/>
    <row r="25088" s="9" customFormat="1" ht="21.95" customHeight="1" x14ac:dyDescent="0.15"/>
    <row r="25089" s="9" customFormat="1" ht="21.95" customHeight="1" x14ac:dyDescent="0.15"/>
    <row r="25090" s="9" customFormat="1" ht="21.95" customHeight="1" x14ac:dyDescent="0.15"/>
    <row r="25091" s="9" customFormat="1" ht="21.95" customHeight="1" x14ac:dyDescent="0.15"/>
    <row r="25092" s="9" customFormat="1" ht="21.95" customHeight="1" x14ac:dyDescent="0.15"/>
    <row r="25093" s="9" customFormat="1" ht="21.95" customHeight="1" x14ac:dyDescent="0.15"/>
    <row r="25094" s="9" customFormat="1" ht="21.95" customHeight="1" x14ac:dyDescent="0.15"/>
    <row r="25095" s="9" customFormat="1" ht="21.95" customHeight="1" x14ac:dyDescent="0.15"/>
    <row r="25096" s="9" customFormat="1" ht="21.95" customHeight="1" x14ac:dyDescent="0.15"/>
    <row r="25097" s="9" customFormat="1" ht="21.95" customHeight="1" x14ac:dyDescent="0.15"/>
    <row r="25098" s="9" customFormat="1" ht="21.95" customHeight="1" x14ac:dyDescent="0.15"/>
    <row r="25099" s="9" customFormat="1" ht="21.95" customHeight="1" x14ac:dyDescent="0.15"/>
    <row r="25100" s="9" customFormat="1" ht="21.95" customHeight="1" x14ac:dyDescent="0.15"/>
    <row r="25101" s="9" customFormat="1" ht="21.95" customHeight="1" x14ac:dyDescent="0.15"/>
    <row r="25102" s="9" customFormat="1" ht="21.95" customHeight="1" x14ac:dyDescent="0.15"/>
    <row r="25103" s="9" customFormat="1" ht="21.95" customHeight="1" x14ac:dyDescent="0.15"/>
    <row r="25104" s="9" customFormat="1" ht="21.95" customHeight="1" x14ac:dyDescent="0.15"/>
    <row r="25105" s="9" customFormat="1" ht="21.95" customHeight="1" x14ac:dyDescent="0.15"/>
    <row r="25106" s="9" customFormat="1" ht="21.95" customHeight="1" x14ac:dyDescent="0.15"/>
    <row r="25107" s="9" customFormat="1" ht="21.95" customHeight="1" x14ac:dyDescent="0.15"/>
    <row r="25108" s="9" customFormat="1" ht="21.95" customHeight="1" x14ac:dyDescent="0.15"/>
    <row r="25109" s="9" customFormat="1" ht="21.95" customHeight="1" x14ac:dyDescent="0.15"/>
    <row r="25110" s="9" customFormat="1" ht="35.1" customHeight="1" x14ac:dyDescent="0.15"/>
    <row r="25111" s="9" customFormat="1" ht="21.95" customHeight="1" x14ac:dyDescent="0.15"/>
    <row r="25112" s="9" customFormat="1" ht="21.95" customHeight="1" x14ac:dyDescent="0.15"/>
    <row r="25113" s="9" customFormat="1" ht="21.95" customHeight="1" x14ac:dyDescent="0.15"/>
    <row r="25114" s="9" customFormat="1" ht="21.95" customHeight="1" x14ac:dyDescent="0.15"/>
    <row r="25115" s="9" customFormat="1" ht="21.95" customHeight="1" x14ac:dyDescent="0.15"/>
    <row r="25116" s="9" customFormat="1" ht="21.95" customHeight="1" x14ac:dyDescent="0.15"/>
    <row r="25117" s="9" customFormat="1" ht="21.95" customHeight="1" x14ac:dyDescent="0.15"/>
    <row r="25118" s="9" customFormat="1" ht="21.95" customHeight="1" x14ac:dyDescent="0.15"/>
    <row r="25119" s="9" customFormat="1" ht="21.95" customHeight="1" x14ac:dyDescent="0.15"/>
    <row r="25120" s="9" customFormat="1" ht="21.95" customHeight="1" x14ac:dyDescent="0.15"/>
    <row r="25121" spans="3:3" s="9" customFormat="1" ht="21.95" customHeight="1" x14ac:dyDescent="0.15"/>
    <row r="25122" spans="3:3" s="9" customFormat="1" ht="21.95" customHeight="1" x14ac:dyDescent="0.15"/>
    <row r="25123" spans="3:3" s="9" customFormat="1" ht="21.95" customHeight="1" x14ac:dyDescent="0.15"/>
    <row r="25124" spans="3:3" s="9" customFormat="1" ht="21.95" customHeight="1" x14ac:dyDescent="0.15"/>
    <row r="25125" spans="3:3" s="9" customFormat="1" ht="21.95" customHeight="1" x14ac:dyDescent="0.15"/>
    <row r="25126" spans="3:3" s="9" customFormat="1" ht="21.95" customHeight="1" x14ac:dyDescent="0.15"/>
    <row r="25127" spans="3:3" s="9" customFormat="1" ht="21.95" customHeight="1" x14ac:dyDescent="0.15"/>
    <row r="25128" spans="3:3" s="9" customFormat="1" ht="21.95" customHeight="1" x14ac:dyDescent="0.15"/>
    <row r="25129" spans="3:3" s="9" customFormat="1" ht="21.95" customHeight="1" x14ac:dyDescent="0.15"/>
    <row r="25130" spans="3:3" s="9" customFormat="1" ht="21.95" customHeight="1" x14ac:dyDescent="0.15"/>
    <row r="25131" spans="3:3" s="9" customFormat="1" ht="21.95" customHeight="1" x14ac:dyDescent="0.15"/>
    <row r="25132" spans="3:3" s="9" customFormat="1" ht="21.95" customHeight="1" x14ac:dyDescent="0.15"/>
    <row r="25133" spans="3:3" s="9" customFormat="1" ht="21.95" customHeight="1" x14ac:dyDescent="0.15"/>
    <row r="25134" spans="3:3" s="8" customFormat="1" ht="21.95" customHeight="1" x14ac:dyDescent="0.15"/>
    <row r="25135" spans="3:3" s="8" customFormat="1" ht="21.95" customHeight="1" x14ac:dyDescent="0.15"/>
    <row r="25136" spans="3:3" s="8" customFormat="1" ht="21.95" customHeight="1" x14ac:dyDescent="0.15">
      <c r="C25136" s="101"/>
    </row>
    <row r="25137" spans="3:3" s="8" customFormat="1" ht="21.95" customHeight="1" x14ac:dyDescent="0.15">
      <c r="C25137" s="101"/>
    </row>
    <row r="25138" spans="3:3" s="8" customFormat="1" ht="21.95" customHeight="1" x14ac:dyDescent="0.15"/>
    <row r="25139" spans="3:3" s="8" customFormat="1" ht="21.95" customHeight="1" x14ac:dyDescent="0.15"/>
    <row r="25140" spans="3:3" s="8" customFormat="1" ht="21.95" customHeight="1" x14ac:dyDescent="0.15"/>
    <row r="25141" spans="3:3" s="8" customFormat="1" ht="21.95" customHeight="1" x14ac:dyDescent="0.15"/>
    <row r="25142" spans="3:3" s="8" customFormat="1" ht="21.95" customHeight="1" x14ac:dyDescent="0.15"/>
    <row r="25143" spans="3:3" s="8" customFormat="1" ht="21.95" customHeight="1" x14ac:dyDescent="0.15"/>
    <row r="25144" spans="3:3" s="8" customFormat="1" ht="21.95" customHeight="1" x14ac:dyDescent="0.15"/>
    <row r="25145" spans="3:3" s="9" customFormat="1" ht="21.95" customHeight="1" x14ac:dyDescent="0.15"/>
    <row r="25146" spans="3:3" s="9" customFormat="1" ht="21.95" customHeight="1" x14ac:dyDescent="0.15"/>
    <row r="25147" spans="3:3" s="9" customFormat="1" ht="21.95" customHeight="1" x14ac:dyDescent="0.15"/>
    <row r="25148" spans="3:3" s="9" customFormat="1" ht="21.95" customHeight="1" x14ac:dyDescent="0.15"/>
    <row r="25149" spans="3:3" s="8" customFormat="1" ht="21.95" customHeight="1" x14ac:dyDescent="0.15"/>
    <row r="25150" spans="3:3" s="8" customFormat="1" ht="21.95" customHeight="1" x14ac:dyDescent="0.15"/>
    <row r="25151" spans="3:3" s="8" customFormat="1" ht="21.95" customHeight="1" x14ac:dyDescent="0.15"/>
    <row r="25152" spans="3:3" s="8" customFormat="1" ht="21.95" customHeight="1" x14ac:dyDescent="0.15"/>
    <row r="25153" s="8" customFormat="1" ht="21.95" customHeight="1" x14ac:dyDescent="0.15"/>
    <row r="25154" s="8" customFormat="1" ht="21.95" customHeight="1" x14ac:dyDescent="0.15"/>
    <row r="25155" s="8" customFormat="1" ht="21.95" customHeight="1" x14ac:dyDescent="0.15"/>
    <row r="25156" s="8" customFormat="1" ht="21.95" customHeight="1" x14ac:dyDescent="0.15"/>
    <row r="25157" s="8" customFormat="1" ht="21.95" customHeight="1" x14ac:dyDescent="0.15"/>
    <row r="25158" s="8" customFormat="1" ht="21.95" customHeight="1" x14ac:dyDescent="0.15"/>
    <row r="25159" s="8" customFormat="1" ht="21.95" customHeight="1" x14ac:dyDescent="0.15"/>
    <row r="25160" s="8" customFormat="1" ht="32.1" customHeight="1" x14ac:dyDescent="0.15"/>
    <row r="25161" s="8" customFormat="1" ht="32.1" customHeight="1" x14ac:dyDescent="0.15"/>
    <row r="25162" s="8" customFormat="1" ht="32.1" customHeight="1" x14ac:dyDescent="0.15"/>
    <row r="25163" s="8" customFormat="1" ht="32.1" customHeight="1" x14ac:dyDescent="0.15"/>
    <row r="25164" s="8" customFormat="1" ht="32.1" customHeight="1" x14ac:dyDescent="0.15"/>
    <row r="25165" s="8" customFormat="1" ht="32.1" customHeight="1" x14ac:dyDescent="0.15"/>
    <row r="25166" s="9" customFormat="1" ht="32.1" customHeight="1" x14ac:dyDescent="0.15"/>
    <row r="25167" s="9" customFormat="1" ht="32.1" customHeight="1" x14ac:dyDescent="0.15"/>
    <row r="25168" s="9" customFormat="1" ht="32.1" customHeight="1" x14ac:dyDescent="0.15"/>
    <row r="25169" s="9" customFormat="1" ht="32.1" customHeight="1" x14ac:dyDescent="0.15"/>
    <row r="25170" s="9" customFormat="1" ht="21.95" customHeight="1" x14ac:dyDescent="0.15"/>
    <row r="25171" s="9" customFormat="1" ht="54" customHeight="1" x14ac:dyDescent="0.15"/>
    <row r="25172" s="9" customFormat="1" ht="21.95" customHeight="1" x14ac:dyDescent="0.15"/>
    <row r="25173" s="9" customFormat="1" ht="21.95" customHeight="1" x14ac:dyDescent="0.15"/>
    <row r="25174" s="9" customFormat="1" ht="21.95" customHeight="1" x14ac:dyDescent="0.15"/>
    <row r="25175" s="9" customFormat="1" ht="21.95" customHeight="1" x14ac:dyDescent="0.15"/>
    <row r="25176" s="9" customFormat="1" ht="21.95" customHeight="1" x14ac:dyDescent="0.15"/>
    <row r="25177" s="9" customFormat="1" ht="21.95" customHeight="1" x14ac:dyDescent="0.15"/>
    <row r="25178" s="9" customFormat="1" ht="21.95" customHeight="1" x14ac:dyDescent="0.15"/>
    <row r="25179" s="9" customFormat="1" ht="21.95" customHeight="1" x14ac:dyDescent="0.15"/>
    <row r="25180" s="9" customFormat="1" ht="21.95" customHeight="1" x14ac:dyDescent="0.15"/>
    <row r="25181" s="9" customFormat="1" ht="21.95" customHeight="1" x14ac:dyDescent="0.15"/>
    <row r="25182" s="9" customFormat="1" ht="21.95" customHeight="1" x14ac:dyDescent="0.15"/>
    <row r="25183" s="9" customFormat="1" ht="21.95" customHeight="1" x14ac:dyDescent="0.15"/>
    <row r="25184" s="9" customFormat="1" ht="21.95" customHeight="1" x14ac:dyDescent="0.15"/>
    <row r="25185" s="9" customFormat="1" ht="21.95" customHeight="1" x14ac:dyDescent="0.15"/>
    <row r="25186" s="9" customFormat="1" ht="21.95" customHeight="1" x14ac:dyDescent="0.15"/>
    <row r="25187" s="9" customFormat="1" ht="21.95" customHeight="1" x14ac:dyDescent="0.15"/>
    <row r="25188" s="9" customFormat="1" ht="21.95" customHeight="1" x14ac:dyDescent="0.15"/>
    <row r="25189" s="9" customFormat="1" ht="21.95" customHeight="1" x14ac:dyDescent="0.15"/>
    <row r="25190" s="9" customFormat="1" ht="21.95" customHeight="1" x14ac:dyDescent="0.15"/>
    <row r="25191" s="9" customFormat="1" ht="21.95" customHeight="1" x14ac:dyDescent="0.15"/>
    <row r="25192" s="9" customFormat="1" ht="21.95" customHeight="1" x14ac:dyDescent="0.15"/>
    <row r="25193" s="9" customFormat="1" ht="21.95" customHeight="1" x14ac:dyDescent="0.15"/>
    <row r="25194" s="9" customFormat="1" ht="21.95" customHeight="1" x14ac:dyDescent="0.15"/>
    <row r="25195" s="9" customFormat="1" ht="21.95" customHeight="1" x14ac:dyDescent="0.15"/>
    <row r="25196" s="9" customFormat="1" ht="21.95" customHeight="1" x14ac:dyDescent="0.15"/>
    <row r="25197" s="9" customFormat="1" ht="21.95" customHeight="1" x14ac:dyDescent="0.15"/>
    <row r="25198" s="9" customFormat="1" ht="21.95" customHeight="1" x14ac:dyDescent="0.15"/>
    <row r="25199" s="9" customFormat="1" ht="21.95" customHeight="1" x14ac:dyDescent="0.15"/>
    <row r="25200" s="9" customFormat="1" ht="21.95" customHeight="1" x14ac:dyDescent="0.15"/>
    <row r="25201" s="9" customFormat="1" ht="21.95" customHeight="1" x14ac:dyDescent="0.15"/>
    <row r="25202" s="9" customFormat="1" ht="21.95" customHeight="1" x14ac:dyDescent="0.15"/>
    <row r="25203" s="9" customFormat="1" ht="21.95" customHeight="1" x14ac:dyDescent="0.15"/>
    <row r="25204" s="9" customFormat="1" ht="21.95" customHeight="1" x14ac:dyDescent="0.15"/>
    <row r="25205" s="9" customFormat="1" ht="21.95" customHeight="1" x14ac:dyDescent="0.15"/>
    <row r="25206" s="9" customFormat="1" ht="21.95" customHeight="1" x14ac:dyDescent="0.15"/>
    <row r="25207" s="9" customFormat="1" ht="21.95" customHeight="1" x14ac:dyDescent="0.15"/>
    <row r="25208" s="9" customFormat="1" ht="21.95" customHeight="1" x14ac:dyDescent="0.15"/>
    <row r="25209" s="9" customFormat="1" ht="21.95" customHeight="1" x14ac:dyDescent="0.15"/>
    <row r="25210" s="9" customFormat="1" ht="21.95" customHeight="1" x14ac:dyDescent="0.15"/>
    <row r="25211" s="9" customFormat="1" ht="21.95" customHeight="1" x14ac:dyDescent="0.15"/>
    <row r="25212" s="9" customFormat="1" ht="21.95" customHeight="1" x14ac:dyDescent="0.15"/>
    <row r="25213" s="9" customFormat="1" ht="21.95" customHeight="1" x14ac:dyDescent="0.15"/>
    <row r="25214" s="9" customFormat="1" ht="21.95" customHeight="1" x14ac:dyDescent="0.15"/>
    <row r="25215" s="9" customFormat="1" ht="21.95" customHeight="1" x14ac:dyDescent="0.15"/>
    <row r="25216" s="9" customFormat="1" ht="21.95" customHeight="1" x14ac:dyDescent="0.15"/>
    <row r="25217" s="9" customFormat="1" ht="21.95" customHeight="1" x14ac:dyDescent="0.15"/>
    <row r="25218" s="9" customFormat="1" ht="21.95" customHeight="1" x14ac:dyDescent="0.15"/>
    <row r="25219" s="9" customFormat="1" ht="21.95" customHeight="1" x14ac:dyDescent="0.15"/>
    <row r="25220" s="9" customFormat="1" ht="21.95" customHeight="1" x14ac:dyDescent="0.15"/>
    <row r="25221" s="9" customFormat="1" ht="21.95" customHeight="1" x14ac:dyDescent="0.15"/>
    <row r="25222" s="9" customFormat="1" ht="35.1" customHeight="1" x14ac:dyDescent="0.15"/>
    <row r="25223" s="9" customFormat="1" ht="21.95" customHeight="1" x14ac:dyDescent="0.15"/>
    <row r="25224" s="9" customFormat="1" ht="21.95" customHeight="1" x14ac:dyDescent="0.15"/>
    <row r="25225" s="9" customFormat="1" ht="21.95" customHeight="1" x14ac:dyDescent="0.15"/>
    <row r="25226" s="9" customFormat="1" ht="21.95" customHeight="1" x14ac:dyDescent="0.15"/>
    <row r="25227" s="9" customFormat="1" ht="21.95" customHeight="1" x14ac:dyDescent="0.15"/>
    <row r="25228" s="9" customFormat="1" ht="21.95" customHeight="1" x14ac:dyDescent="0.15"/>
    <row r="25229" s="9" customFormat="1" ht="21.95" customHeight="1" x14ac:dyDescent="0.15"/>
    <row r="25230" s="9" customFormat="1" ht="21.95" customHeight="1" x14ac:dyDescent="0.15"/>
    <row r="25231" s="9" customFormat="1" ht="21.95" customHeight="1" x14ac:dyDescent="0.15"/>
    <row r="25232" s="9" customFormat="1" ht="21.95" customHeight="1" x14ac:dyDescent="0.15"/>
    <row r="25233" spans="3:3" s="9" customFormat="1" ht="21.95" customHeight="1" x14ac:dyDescent="0.15"/>
    <row r="25234" spans="3:3" s="9" customFormat="1" ht="21.95" customHeight="1" x14ac:dyDescent="0.15"/>
    <row r="25235" spans="3:3" s="9" customFormat="1" ht="21.95" customHeight="1" x14ac:dyDescent="0.15"/>
    <row r="25236" spans="3:3" s="9" customFormat="1" ht="21.95" customHeight="1" x14ac:dyDescent="0.15"/>
    <row r="25237" spans="3:3" s="9" customFormat="1" ht="21.95" customHeight="1" x14ac:dyDescent="0.15"/>
    <row r="25238" spans="3:3" s="9" customFormat="1" ht="21.95" customHeight="1" x14ac:dyDescent="0.15"/>
    <row r="25239" spans="3:3" s="9" customFormat="1" ht="21.95" customHeight="1" x14ac:dyDescent="0.15"/>
    <row r="25240" spans="3:3" s="9" customFormat="1" ht="21.95" customHeight="1" x14ac:dyDescent="0.15"/>
    <row r="25241" spans="3:3" s="9" customFormat="1" ht="21.95" customHeight="1" x14ac:dyDescent="0.15"/>
    <row r="25242" spans="3:3" s="9" customFormat="1" ht="21.95" customHeight="1" x14ac:dyDescent="0.15"/>
    <row r="25243" spans="3:3" s="9" customFormat="1" ht="21.95" customHeight="1" x14ac:dyDescent="0.15"/>
    <row r="25244" spans="3:3" s="9" customFormat="1" ht="21.95" customHeight="1" x14ac:dyDescent="0.15"/>
    <row r="25245" spans="3:3" s="9" customFormat="1" ht="21.95" customHeight="1" x14ac:dyDescent="0.15"/>
    <row r="25246" spans="3:3" s="8" customFormat="1" ht="21.95" customHeight="1" x14ac:dyDescent="0.15"/>
    <row r="25247" spans="3:3" s="8" customFormat="1" ht="21.95" customHeight="1" x14ac:dyDescent="0.15"/>
    <row r="25248" spans="3:3" s="8" customFormat="1" ht="21.95" customHeight="1" x14ac:dyDescent="0.15">
      <c r="C25248" s="101"/>
    </row>
    <row r="25249" spans="3:3" s="8" customFormat="1" ht="21.95" customHeight="1" x14ac:dyDescent="0.15">
      <c r="C25249" s="101"/>
    </row>
    <row r="25250" spans="3:3" s="8" customFormat="1" ht="21.95" customHeight="1" x14ac:dyDescent="0.15"/>
    <row r="25251" spans="3:3" s="8" customFormat="1" ht="21.95" customHeight="1" x14ac:dyDescent="0.15"/>
    <row r="25252" spans="3:3" s="8" customFormat="1" ht="21.95" customHeight="1" x14ac:dyDescent="0.15"/>
    <row r="25253" spans="3:3" s="8" customFormat="1" ht="21.95" customHeight="1" x14ac:dyDescent="0.15"/>
    <row r="25254" spans="3:3" s="8" customFormat="1" ht="21.95" customHeight="1" x14ac:dyDescent="0.15"/>
    <row r="25255" spans="3:3" s="8" customFormat="1" ht="21.95" customHeight="1" x14ac:dyDescent="0.15"/>
    <row r="25256" spans="3:3" s="8" customFormat="1" ht="21.95" customHeight="1" x14ac:dyDescent="0.15"/>
    <row r="25257" spans="3:3" s="9" customFormat="1" ht="21.95" customHeight="1" x14ac:dyDescent="0.15"/>
    <row r="25258" spans="3:3" s="9" customFormat="1" ht="21.95" customHeight="1" x14ac:dyDescent="0.15"/>
    <row r="25259" spans="3:3" s="9" customFormat="1" ht="21.95" customHeight="1" x14ac:dyDescent="0.15"/>
    <row r="25260" spans="3:3" s="9" customFormat="1" ht="21.95" customHeight="1" x14ac:dyDescent="0.15"/>
    <row r="25261" spans="3:3" s="8" customFormat="1" ht="21.95" customHeight="1" x14ac:dyDescent="0.15"/>
    <row r="25262" spans="3:3" s="8" customFormat="1" ht="21.95" customHeight="1" x14ac:dyDescent="0.15"/>
    <row r="25263" spans="3:3" s="8" customFormat="1" ht="21.95" customHeight="1" x14ac:dyDescent="0.15"/>
    <row r="25264" spans="3:3" s="8" customFormat="1" ht="21.95" customHeight="1" x14ac:dyDescent="0.15"/>
    <row r="25265" s="8" customFormat="1" ht="21.95" customHeight="1" x14ac:dyDescent="0.15"/>
    <row r="25266" s="8" customFormat="1" ht="21.95" customHeight="1" x14ac:dyDescent="0.15"/>
    <row r="25267" s="8" customFormat="1" ht="21.95" customHeight="1" x14ac:dyDescent="0.15"/>
    <row r="25268" s="8" customFormat="1" ht="21.95" customHeight="1" x14ac:dyDescent="0.15"/>
    <row r="25269" s="8" customFormat="1" ht="21.95" customHeight="1" x14ac:dyDescent="0.15"/>
    <row r="25270" s="8" customFormat="1" ht="21.95" customHeight="1" x14ac:dyDescent="0.15"/>
    <row r="25271" s="8" customFormat="1" ht="21.95" customHeight="1" x14ac:dyDescent="0.15"/>
    <row r="25272" s="8" customFormat="1" ht="32.1" customHeight="1" x14ac:dyDescent="0.15"/>
    <row r="25273" s="8" customFormat="1" ht="32.1" customHeight="1" x14ac:dyDescent="0.15"/>
    <row r="25274" s="8" customFormat="1" ht="32.1" customHeight="1" x14ac:dyDescent="0.15"/>
    <row r="25275" s="8" customFormat="1" ht="32.1" customHeight="1" x14ac:dyDescent="0.15"/>
    <row r="25276" s="8" customFormat="1" ht="32.1" customHeight="1" x14ac:dyDescent="0.15"/>
    <row r="25277" s="8" customFormat="1" ht="32.1" customHeight="1" x14ac:dyDescent="0.15"/>
    <row r="25278" s="9" customFormat="1" ht="32.1" customHeight="1" x14ac:dyDescent="0.15"/>
    <row r="25279" s="9" customFormat="1" ht="32.1" customHeight="1" x14ac:dyDescent="0.15"/>
    <row r="25280" s="9" customFormat="1" ht="32.1" customHeight="1" x14ac:dyDescent="0.15"/>
    <row r="25281" s="9" customFormat="1" ht="32.1" customHeight="1" x14ac:dyDescent="0.15"/>
    <row r="25282" s="9" customFormat="1" ht="21.95" customHeight="1" x14ac:dyDescent="0.15"/>
    <row r="25283" s="9" customFormat="1" ht="54" customHeight="1" x14ac:dyDescent="0.15"/>
    <row r="25284" s="9" customFormat="1" ht="21.95" customHeight="1" x14ac:dyDescent="0.15"/>
    <row r="25285" s="9" customFormat="1" ht="21.95" customHeight="1" x14ac:dyDescent="0.15"/>
    <row r="25286" s="9" customFormat="1" ht="21.95" customHeight="1" x14ac:dyDescent="0.15"/>
    <row r="25287" s="9" customFormat="1" ht="21.95" customHeight="1" x14ac:dyDescent="0.15"/>
    <row r="25288" s="9" customFormat="1" ht="21.95" customHeight="1" x14ac:dyDescent="0.15"/>
    <row r="25289" s="9" customFormat="1" ht="21.95" customHeight="1" x14ac:dyDescent="0.15"/>
    <row r="25290" s="9" customFormat="1" ht="21.95" customHeight="1" x14ac:dyDescent="0.15"/>
    <row r="25291" s="9" customFormat="1" ht="21.95" customHeight="1" x14ac:dyDescent="0.15"/>
    <row r="25292" s="9" customFormat="1" ht="21.95" customHeight="1" x14ac:dyDescent="0.15"/>
    <row r="25293" s="9" customFormat="1" ht="21.95" customHeight="1" x14ac:dyDescent="0.15"/>
    <row r="25294" s="9" customFormat="1" ht="21.95" customHeight="1" x14ac:dyDescent="0.15"/>
    <row r="25295" s="9" customFormat="1" ht="21.95" customHeight="1" x14ac:dyDescent="0.15"/>
    <row r="25296" s="9" customFormat="1" ht="21.95" customHeight="1" x14ac:dyDescent="0.15"/>
    <row r="25297" s="9" customFormat="1" ht="21.95" customHeight="1" x14ac:dyDescent="0.15"/>
    <row r="25298" s="9" customFormat="1" ht="21.95" customHeight="1" x14ac:dyDescent="0.15"/>
    <row r="25299" s="9" customFormat="1" ht="21.95" customHeight="1" x14ac:dyDescent="0.15"/>
    <row r="25300" s="9" customFormat="1" ht="21.95" customHeight="1" x14ac:dyDescent="0.15"/>
    <row r="25301" s="9" customFormat="1" ht="21.95" customHeight="1" x14ac:dyDescent="0.15"/>
    <row r="25302" s="9" customFormat="1" ht="21.95" customHeight="1" x14ac:dyDescent="0.15"/>
    <row r="25303" s="9" customFormat="1" ht="21.95" customHeight="1" x14ac:dyDescent="0.15"/>
    <row r="25304" s="9" customFormat="1" ht="21.95" customHeight="1" x14ac:dyDescent="0.15"/>
    <row r="25305" s="9" customFormat="1" ht="21.95" customHeight="1" x14ac:dyDescent="0.15"/>
    <row r="25306" s="9" customFormat="1" ht="21.95" customHeight="1" x14ac:dyDescent="0.15"/>
    <row r="25307" s="9" customFormat="1" ht="21.95" customHeight="1" x14ac:dyDescent="0.15"/>
    <row r="25308" s="9" customFormat="1" ht="21.95" customHeight="1" x14ac:dyDescent="0.15"/>
    <row r="25309" s="9" customFormat="1" ht="21.95" customHeight="1" x14ac:dyDescent="0.15"/>
    <row r="25310" s="9" customFormat="1" ht="21.95" customHeight="1" x14ac:dyDescent="0.15"/>
    <row r="25311" s="9" customFormat="1" ht="21.95" customHeight="1" x14ac:dyDescent="0.15"/>
    <row r="25312" s="9" customFormat="1" ht="21.95" customHeight="1" x14ac:dyDescent="0.15"/>
    <row r="25313" s="9" customFormat="1" ht="21.95" customHeight="1" x14ac:dyDescent="0.15"/>
    <row r="25314" s="9" customFormat="1" ht="21.95" customHeight="1" x14ac:dyDescent="0.15"/>
    <row r="25315" s="9" customFormat="1" ht="21.95" customHeight="1" x14ac:dyDescent="0.15"/>
    <row r="25316" s="9" customFormat="1" ht="21.95" customHeight="1" x14ac:dyDescent="0.15"/>
    <row r="25317" s="9" customFormat="1" ht="21.95" customHeight="1" x14ac:dyDescent="0.15"/>
    <row r="25318" s="9" customFormat="1" ht="21.95" customHeight="1" x14ac:dyDescent="0.15"/>
    <row r="25319" s="9" customFormat="1" ht="21.95" customHeight="1" x14ac:dyDescent="0.15"/>
    <row r="25320" s="9" customFormat="1" ht="21.95" customHeight="1" x14ac:dyDescent="0.15"/>
    <row r="25321" s="9" customFormat="1" ht="21.95" customHeight="1" x14ac:dyDescent="0.15"/>
    <row r="25322" s="9" customFormat="1" ht="21.95" customHeight="1" x14ac:dyDescent="0.15"/>
    <row r="25323" s="9" customFormat="1" ht="21.95" customHeight="1" x14ac:dyDescent="0.15"/>
    <row r="25324" s="9" customFormat="1" ht="21.95" customHeight="1" x14ac:dyDescent="0.15"/>
    <row r="25325" s="9" customFormat="1" ht="21.95" customHeight="1" x14ac:dyDescent="0.15"/>
    <row r="25326" s="9" customFormat="1" ht="21.95" customHeight="1" x14ac:dyDescent="0.15"/>
    <row r="25327" s="9" customFormat="1" ht="21.95" customHeight="1" x14ac:dyDescent="0.15"/>
    <row r="25328" s="9" customFormat="1" ht="21.95" customHeight="1" x14ac:dyDescent="0.15"/>
    <row r="25329" s="9" customFormat="1" ht="21.95" customHeight="1" x14ac:dyDescent="0.15"/>
    <row r="25330" s="9" customFormat="1" ht="21.95" customHeight="1" x14ac:dyDescent="0.15"/>
    <row r="25331" s="9" customFormat="1" ht="21.95" customHeight="1" x14ac:dyDescent="0.15"/>
    <row r="25332" s="9" customFormat="1" ht="21.95" customHeight="1" x14ac:dyDescent="0.15"/>
    <row r="25333" s="9" customFormat="1" ht="21.95" customHeight="1" x14ac:dyDescent="0.15"/>
    <row r="25334" s="9" customFormat="1" ht="35.1" customHeight="1" x14ac:dyDescent="0.15"/>
    <row r="25335" s="9" customFormat="1" ht="21.95" customHeight="1" x14ac:dyDescent="0.15"/>
    <row r="25336" s="9" customFormat="1" ht="21.95" customHeight="1" x14ac:dyDescent="0.15"/>
    <row r="25337" s="9" customFormat="1" ht="21.95" customHeight="1" x14ac:dyDescent="0.15"/>
    <row r="25338" s="9" customFormat="1" ht="21.95" customHeight="1" x14ac:dyDescent="0.15"/>
    <row r="25339" s="9" customFormat="1" ht="21.95" customHeight="1" x14ac:dyDescent="0.15"/>
    <row r="25340" s="9" customFormat="1" ht="21.95" customHeight="1" x14ac:dyDescent="0.15"/>
    <row r="25341" s="9" customFormat="1" ht="21.95" customHeight="1" x14ac:dyDescent="0.15"/>
    <row r="25342" s="9" customFormat="1" ht="21.95" customHeight="1" x14ac:dyDescent="0.15"/>
    <row r="25343" s="9" customFormat="1" ht="21.95" customHeight="1" x14ac:dyDescent="0.15"/>
    <row r="25344" s="9" customFormat="1" ht="21.95" customHeight="1" x14ac:dyDescent="0.15"/>
    <row r="25345" spans="3:3" s="9" customFormat="1" ht="21.95" customHeight="1" x14ac:dyDescent="0.15"/>
    <row r="25346" spans="3:3" s="9" customFormat="1" ht="21.95" customHeight="1" x14ac:dyDescent="0.15"/>
    <row r="25347" spans="3:3" s="9" customFormat="1" ht="21.95" customHeight="1" x14ac:dyDescent="0.15"/>
    <row r="25348" spans="3:3" s="9" customFormat="1" ht="21.95" customHeight="1" x14ac:dyDescent="0.15"/>
    <row r="25349" spans="3:3" s="9" customFormat="1" ht="21.95" customHeight="1" x14ac:dyDescent="0.15"/>
    <row r="25350" spans="3:3" s="9" customFormat="1" ht="21.95" customHeight="1" x14ac:dyDescent="0.15"/>
    <row r="25351" spans="3:3" s="9" customFormat="1" ht="21.95" customHeight="1" x14ac:dyDescent="0.15"/>
    <row r="25352" spans="3:3" s="9" customFormat="1" ht="21.95" customHeight="1" x14ac:dyDescent="0.15"/>
    <row r="25353" spans="3:3" s="9" customFormat="1" ht="21.95" customHeight="1" x14ac:dyDescent="0.15"/>
    <row r="25354" spans="3:3" s="9" customFormat="1" ht="21.95" customHeight="1" x14ac:dyDescent="0.15"/>
    <row r="25355" spans="3:3" s="9" customFormat="1" ht="21.95" customHeight="1" x14ac:dyDescent="0.15"/>
    <row r="25356" spans="3:3" s="9" customFormat="1" ht="21.95" customHeight="1" x14ac:dyDescent="0.15"/>
    <row r="25357" spans="3:3" s="9" customFormat="1" ht="21.95" customHeight="1" x14ac:dyDescent="0.15"/>
    <row r="25358" spans="3:3" s="8" customFormat="1" ht="21.95" customHeight="1" x14ac:dyDescent="0.15"/>
    <row r="25359" spans="3:3" s="8" customFormat="1" ht="21.95" customHeight="1" x14ac:dyDescent="0.15"/>
    <row r="25360" spans="3:3" s="8" customFormat="1" ht="21.95" customHeight="1" x14ac:dyDescent="0.15">
      <c r="C25360" s="101"/>
    </row>
    <row r="25361" spans="3:3" s="8" customFormat="1" ht="21.95" customHeight="1" x14ac:dyDescent="0.15">
      <c r="C25361" s="101"/>
    </row>
    <row r="25362" spans="3:3" s="8" customFormat="1" ht="21.95" customHeight="1" x14ac:dyDescent="0.15"/>
    <row r="25363" spans="3:3" s="8" customFormat="1" ht="21.95" customHeight="1" x14ac:dyDescent="0.15"/>
    <row r="25364" spans="3:3" s="8" customFormat="1" ht="21.95" customHeight="1" x14ac:dyDescent="0.15"/>
    <row r="25365" spans="3:3" s="8" customFormat="1" ht="21.95" customHeight="1" x14ac:dyDescent="0.15"/>
    <row r="25366" spans="3:3" s="8" customFormat="1" ht="21.95" customHeight="1" x14ac:dyDescent="0.15"/>
    <row r="25367" spans="3:3" s="8" customFormat="1" ht="21.95" customHeight="1" x14ac:dyDescent="0.15"/>
    <row r="25368" spans="3:3" s="8" customFormat="1" ht="21.95" customHeight="1" x14ac:dyDescent="0.15"/>
    <row r="25369" spans="3:3" s="9" customFormat="1" ht="21.95" customHeight="1" x14ac:dyDescent="0.15"/>
    <row r="25370" spans="3:3" s="9" customFormat="1" ht="21.95" customHeight="1" x14ac:dyDescent="0.15"/>
    <row r="25371" spans="3:3" s="9" customFormat="1" ht="21.95" customHeight="1" x14ac:dyDescent="0.15"/>
    <row r="25372" spans="3:3" s="9" customFormat="1" ht="21.95" customHeight="1" x14ac:dyDescent="0.15"/>
    <row r="25373" spans="3:3" s="8" customFormat="1" ht="21.95" customHeight="1" x14ac:dyDescent="0.15"/>
    <row r="25374" spans="3:3" s="8" customFormat="1" ht="21.95" customHeight="1" x14ac:dyDescent="0.15"/>
    <row r="25375" spans="3:3" s="8" customFormat="1" ht="21.95" customHeight="1" x14ac:dyDescent="0.15"/>
    <row r="25376" spans="3:3" s="8" customFormat="1" ht="21.95" customHeight="1" x14ac:dyDescent="0.15"/>
    <row r="25377" s="8" customFormat="1" ht="21.95" customHeight="1" x14ac:dyDescent="0.15"/>
    <row r="25378" s="8" customFormat="1" ht="21.95" customHeight="1" x14ac:dyDescent="0.15"/>
    <row r="25379" s="8" customFormat="1" ht="21.95" customHeight="1" x14ac:dyDescent="0.15"/>
    <row r="25380" s="8" customFormat="1" ht="21.95" customHeight="1" x14ac:dyDescent="0.15"/>
    <row r="25381" s="8" customFormat="1" ht="21.95" customHeight="1" x14ac:dyDescent="0.15"/>
    <row r="25382" s="8" customFormat="1" ht="21.95" customHeight="1" x14ac:dyDescent="0.15"/>
    <row r="25383" s="8" customFormat="1" ht="21.95" customHeight="1" x14ac:dyDescent="0.15"/>
    <row r="25384" s="8" customFormat="1" ht="32.1" customHeight="1" x14ac:dyDescent="0.15"/>
    <row r="25385" s="8" customFormat="1" ht="32.1" customHeight="1" x14ac:dyDescent="0.15"/>
    <row r="25386" s="8" customFormat="1" ht="32.1" customHeight="1" x14ac:dyDescent="0.15"/>
    <row r="25387" s="8" customFormat="1" ht="32.1" customHeight="1" x14ac:dyDescent="0.15"/>
    <row r="25388" s="8" customFormat="1" ht="32.1" customHeight="1" x14ac:dyDescent="0.15"/>
    <row r="25389" s="8" customFormat="1" ht="32.1" customHeight="1" x14ac:dyDescent="0.15"/>
    <row r="25390" s="9" customFormat="1" ht="32.1" customHeight="1" x14ac:dyDescent="0.15"/>
    <row r="25391" s="9" customFormat="1" ht="32.1" customHeight="1" x14ac:dyDescent="0.15"/>
    <row r="25392" s="9" customFormat="1" ht="32.1" customHeight="1" x14ac:dyDescent="0.15"/>
    <row r="25393" s="9" customFormat="1" ht="32.1" customHeight="1" x14ac:dyDescent="0.15"/>
    <row r="25394" s="9" customFormat="1" ht="21.95" customHeight="1" x14ac:dyDescent="0.15"/>
    <row r="25395" s="9" customFormat="1" ht="54" customHeight="1" x14ac:dyDescent="0.15"/>
    <row r="25396" s="9" customFormat="1" ht="21.95" customHeight="1" x14ac:dyDescent="0.15"/>
    <row r="25397" s="9" customFormat="1" ht="21.95" customHeight="1" x14ac:dyDescent="0.15"/>
    <row r="25398" s="9" customFormat="1" ht="21.95" customHeight="1" x14ac:dyDescent="0.15"/>
    <row r="25399" s="9" customFormat="1" ht="21.95" customHeight="1" x14ac:dyDescent="0.15"/>
    <row r="25400" s="9" customFormat="1" ht="21.95" customHeight="1" x14ac:dyDescent="0.15"/>
    <row r="25401" s="9" customFormat="1" ht="21.95" customHeight="1" x14ac:dyDescent="0.15"/>
    <row r="25402" s="9" customFormat="1" ht="21.95" customHeight="1" x14ac:dyDescent="0.15"/>
    <row r="25403" s="9" customFormat="1" ht="21.95" customHeight="1" x14ac:dyDescent="0.15"/>
    <row r="25404" s="9" customFormat="1" ht="21.95" customHeight="1" x14ac:dyDescent="0.15"/>
    <row r="25405" s="9" customFormat="1" ht="21.95" customHeight="1" x14ac:dyDescent="0.15"/>
    <row r="25406" s="9" customFormat="1" ht="21.95" customHeight="1" x14ac:dyDescent="0.15"/>
    <row r="25407" s="9" customFormat="1" ht="21.95" customHeight="1" x14ac:dyDescent="0.15"/>
    <row r="25408" s="9" customFormat="1" ht="21.95" customHeight="1" x14ac:dyDescent="0.15"/>
    <row r="25409" s="9" customFormat="1" ht="21.95" customHeight="1" x14ac:dyDescent="0.15"/>
    <row r="25410" s="9" customFormat="1" ht="21.95" customHeight="1" x14ac:dyDescent="0.15"/>
    <row r="25411" s="9" customFormat="1" ht="21.95" customHeight="1" x14ac:dyDescent="0.15"/>
    <row r="25412" s="9" customFormat="1" ht="21.95" customHeight="1" x14ac:dyDescent="0.15"/>
    <row r="25413" s="9" customFormat="1" ht="21.95" customHeight="1" x14ac:dyDescent="0.15"/>
    <row r="25414" s="9" customFormat="1" ht="21.95" customHeight="1" x14ac:dyDescent="0.15"/>
    <row r="25415" s="9" customFormat="1" ht="21.95" customHeight="1" x14ac:dyDescent="0.15"/>
    <row r="25416" s="9" customFormat="1" ht="21.95" customHeight="1" x14ac:dyDescent="0.15"/>
    <row r="25417" s="9" customFormat="1" ht="21.95" customHeight="1" x14ac:dyDescent="0.15"/>
    <row r="25418" s="9" customFormat="1" ht="21.95" customHeight="1" x14ac:dyDescent="0.15"/>
    <row r="25419" s="9" customFormat="1" ht="21.95" customHeight="1" x14ac:dyDescent="0.15"/>
    <row r="25420" s="9" customFormat="1" ht="21.95" customHeight="1" x14ac:dyDescent="0.15"/>
    <row r="25421" s="9" customFormat="1" ht="21.95" customHeight="1" x14ac:dyDescent="0.15"/>
    <row r="25422" s="9" customFormat="1" ht="21.95" customHeight="1" x14ac:dyDescent="0.15"/>
    <row r="25423" s="9" customFormat="1" ht="21.95" customHeight="1" x14ac:dyDescent="0.15"/>
    <row r="25424" s="9" customFormat="1" ht="21.95" customHeight="1" x14ac:dyDescent="0.15"/>
    <row r="25425" s="9" customFormat="1" ht="21.95" customHeight="1" x14ac:dyDescent="0.15"/>
    <row r="25426" s="9" customFormat="1" ht="21.95" customHeight="1" x14ac:dyDescent="0.15"/>
    <row r="25427" s="9" customFormat="1" ht="21.95" customHeight="1" x14ac:dyDescent="0.15"/>
    <row r="25428" s="9" customFormat="1" ht="21.95" customHeight="1" x14ac:dyDescent="0.15"/>
    <row r="25429" s="9" customFormat="1" ht="21.95" customHeight="1" x14ac:dyDescent="0.15"/>
    <row r="25430" s="9" customFormat="1" ht="21.95" customHeight="1" x14ac:dyDescent="0.15"/>
    <row r="25431" s="9" customFormat="1" ht="21.95" customHeight="1" x14ac:dyDescent="0.15"/>
    <row r="25432" s="9" customFormat="1" ht="21.95" customHeight="1" x14ac:dyDescent="0.15"/>
    <row r="25433" s="9" customFormat="1" ht="21.95" customHeight="1" x14ac:dyDescent="0.15"/>
    <row r="25434" s="9" customFormat="1" ht="21.95" customHeight="1" x14ac:dyDescent="0.15"/>
    <row r="25435" s="9" customFormat="1" ht="21.95" customHeight="1" x14ac:dyDescent="0.15"/>
    <row r="25436" s="9" customFormat="1" ht="21.95" customHeight="1" x14ac:dyDescent="0.15"/>
    <row r="25437" s="9" customFormat="1" ht="21.95" customHeight="1" x14ac:dyDescent="0.15"/>
    <row r="25438" s="9" customFormat="1" ht="21.95" customHeight="1" x14ac:dyDescent="0.15"/>
    <row r="25439" s="9" customFormat="1" ht="21.95" customHeight="1" x14ac:dyDescent="0.15"/>
    <row r="25440" s="9" customFormat="1" ht="21.95" customHeight="1" x14ac:dyDescent="0.15"/>
    <row r="25441" s="9" customFormat="1" ht="21.95" customHeight="1" x14ac:dyDescent="0.15"/>
    <row r="25442" s="9" customFormat="1" ht="21.95" customHeight="1" x14ac:dyDescent="0.15"/>
    <row r="25443" s="9" customFormat="1" ht="21.95" customHeight="1" x14ac:dyDescent="0.15"/>
    <row r="25444" s="9" customFormat="1" ht="21.95" customHeight="1" x14ac:dyDescent="0.15"/>
    <row r="25445" s="9" customFormat="1" ht="21.95" customHeight="1" x14ac:dyDescent="0.15"/>
    <row r="25446" s="9" customFormat="1" ht="35.1" customHeight="1" x14ac:dyDescent="0.15"/>
    <row r="25447" s="9" customFormat="1" ht="21.95" customHeight="1" x14ac:dyDescent="0.15"/>
    <row r="25448" s="9" customFormat="1" ht="21.95" customHeight="1" x14ac:dyDescent="0.15"/>
    <row r="25449" s="9" customFormat="1" ht="21.95" customHeight="1" x14ac:dyDescent="0.15"/>
    <row r="25450" s="9" customFormat="1" ht="21.95" customHeight="1" x14ac:dyDescent="0.15"/>
    <row r="25451" s="9" customFormat="1" ht="21.95" customHeight="1" x14ac:dyDescent="0.15"/>
    <row r="25452" s="9" customFormat="1" ht="21.95" customHeight="1" x14ac:dyDescent="0.15"/>
    <row r="25453" s="9" customFormat="1" ht="21.95" customHeight="1" x14ac:dyDescent="0.15"/>
    <row r="25454" s="9" customFormat="1" ht="21.95" customHeight="1" x14ac:dyDescent="0.15"/>
    <row r="25455" s="9" customFormat="1" ht="21.95" customHeight="1" x14ac:dyDescent="0.15"/>
    <row r="25456" s="9" customFormat="1" ht="21.95" customHeight="1" x14ac:dyDescent="0.15"/>
    <row r="25457" spans="3:3" s="9" customFormat="1" ht="21.95" customHeight="1" x14ac:dyDescent="0.15"/>
    <row r="25458" spans="3:3" s="9" customFormat="1" ht="21.95" customHeight="1" x14ac:dyDescent="0.15"/>
    <row r="25459" spans="3:3" s="9" customFormat="1" ht="21.95" customHeight="1" x14ac:dyDescent="0.15"/>
    <row r="25460" spans="3:3" s="9" customFormat="1" ht="21.95" customHeight="1" x14ac:dyDescent="0.15"/>
    <row r="25461" spans="3:3" s="9" customFormat="1" ht="21.95" customHeight="1" x14ac:dyDescent="0.15"/>
    <row r="25462" spans="3:3" s="9" customFormat="1" ht="21.95" customHeight="1" x14ac:dyDescent="0.15"/>
    <row r="25463" spans="3:3" s="9" customFormat="1" ht="21.95" customHeight="1" x14ac:dyDescent="0.15"/>
    <row r="25464" spans="3:3" s="9" customFormat="1" ht="21.95" customHeight="1" x14ac:dyDescent="0.15"/>
    <row r="25465" spans="3:3" s="9" customFormat="1" ht="21.95" customHeight="1" x14ac:dyDescent="0.15"/>
    <row r="25466" spans="3:3" s="9" customFormat="1" ht="21.95" customHeight="1" x14ac:dyDescent="0.15"/>
    <row r="25467" spans="3:3" s="9" customFormat="1" ht="21.95" customHeight="1" x14ac:dyDescent="0.15"/>
    <row r="25468" spans="3:3" s="9" customFormat="1" ht="21.95" customHeight="1" x14ac:dyDescent="0.15"/>
    <row r="25469" spans="3:3" s="9" customFormat="1" ht="21.95" customHeight="1" x14ac:dyDescent="0.15"/>
    <row r="25470" spans="3:3" s="8" customFormat="1" ht="21.95" customHeight="1" x14ac:dyDescent="0.15"/>
    <row r="25471" spans="3:3" s="8" customFormat="1" ht="21.95" customHeight="1" x14ac:dyDescent="0.15"/>
    <row r="25472" spans="3:3" s="8" customFormat="1" ht="21.95" customHeight="1" x14ac:dyDescent="0.15">
      <c r="C25472" s="101"/>
    </row>
    <row r="25473" spans="3:3" s="8" customFormat="1" ht="21.95" customHeight="1" x14ac:dyDescent="0.15">
      <c r="C25473" s="101"/>
    </row>
    <row r="25474" spans="3:3" s="8" customFormat="1" ht="21.95" customHeight="1" x14ac:dyDescent="0.15"/>
    <row r="25475" spans="3:3" s="8" customFormat="1" ht="21.95" customHeight="1" x14ac:dyDescent="0.15"/>
    <row r="25476" spans="3:3" s="8" customFormat="1" ht="21.95" customHeight="1" x14ac:dyDescent="0.15"/>
    <row r="25477" spans="3:3" s="8" customFormat="1" ht="21.95" customHeight="1" x14ac:dyDescent="0.15"/>
    <row r="25478" spans="3:3" s="8" customFormat="1" ht="21.95" customHeight="1" x14ac:dyDescent="0.15"/>
    <row r="25479" spans="3:3" s="8" customFormat="1" ht="21.95" customHeight="1" x14ac:dyDescent="0.15"/>
    <row r="25480" spans="3:3" s="8" customFormat="1" ht="21.95" customHeight="1" x14ac:dyDescent="0.15"/>
    <row r="25481" spans="3:3" s="9" customFormat="1" ht="21.95" customHeight="1" x14ac:dyDescent="0.15"/>
    <row r="25482" spans="3:3" s="9" customFormat="1" ht="21.95" customHeight="1" x14ac:dyDescent="0.15"/>
    <row r="25483" spans="3:3" s="9" customFormat="1" ht="21.95" customHeight="1" x14ac:dyDescent="0.15"/>
    <row r="25484" spans="3:3" s="9" customFormat="1" ht="21.95" customHeight="1" x14ac:dyDescent="0.15"/>
    <row r="25485" spans="3:3" s="8" customFormat="1" ht="21.95" customHeight="1" x14ac:dyDescent="0.15"/>
    <row r="25486" spans="3:3" s="8" customFormat="1" ht="21.95" customHeight="1" x14ac:dyDescent="0.15"/>
    <row r="25487" spans="3:3" s="8" customFormat="1" ht="21.95" customHeight="1" x14ac:dyDescent="0.15"/>
    <row r="25488" spans="3:3" s="8" customFormat="1" ht="21.95" customHeight="1" x14ac:dyDescent="0.15"/>
    <row r="25489" s="8" customFormat="1" ht="21.95" customHeight="1" x14ac:dyDescent="0.15"/>
    <row r="25490" s="8" customFormat="1" ht="21.95" customHeight="1" x14ac:dyDescent="0.15"/>
    <row r="25491" s="8" customFormat="1" ht="21.95" customHeight="1" x14ac:dyDescent="0.15"/>
    <row r="25492" s="8" customFormat="1" ht="21.95" customHeight="1" x14ac:dyDescent="0.15"/>
    <row r="25493" s="8" customFormat="1" ht="21.95" customHeight="1" x14ac:dyDescent="0.15"/>
    <row r="25494" s="8" customFormat="1" ht="21.95" customHeight="1" x14ac:dyDescent="0.15"/>
    <row r="25495" s="8" customFormat="1" ht="21.95" customHeight="1" x14ac:dyDescent="0.15"/>
    <row r="25496" s="8" customFormat="1" ht="32.1" customHeight="1" x14ac:dyDescent="0.15"/>
    <row r="25497" s="8" customFormat="1" ht="32.1" customHeight="1" x14ac:dyDescent="0.15"/>
    <row r="25498" s="8" customFormat="1" ht="32.1" customHeight="1" x14ac:dyDescent="0.15"/>
    <row r="25499" s="8" customFormat="1" ht="32.1" customHeight="1" x14ac:dyDescent="0.15"/>
    <row r="25500" s="8" customFormat="1" ht="32.1" customHeight="1" x14ac:dyDescent="0.15"/>
    <row r="25501" s="8" customFormat="1" ht="32.1" customHeight="1" x14ac:dyDescent="0.15"/>
    <row r="25502" s="9" customFormat="1" ht="32.1" customHeight="1" x14ac:dyDescent="0.15"/>
    <row r="25503" s="9" customFormat="1" ht="32.1" customHeight="1" x14ac:dyDescent="0.15"/>
    <row r="25504" s="9" customFormat="1" ht="32.1" customHeight="1" x14ac:dyDescent="0.15"/>
    <row r="25505" s="9" customFormat="1" ht="32.1" customHeight="1" x14ac:dyDescent="0.15"/>
    <row r="25506" s="9" customFormat="1" ht="21.95" customHeight="1" x14ac:dyDescent="0.15"/>
    <row r="25507" s="9" customFormat="1" ht="54" customHeight="1" x14ac:dyDescent="0.15"/>
    <row r="25508" s="9" customFormat="1" ht="21.95" customHeight="1" x14ac:dyDescent="0.15"/>
    <row r="25509" s="9" customFormat="1" ht="21.95" customHeight="1" x14ac:dyDescent="0.15"/>
    <row r="25510" s="9" customFormat="1" ht="21.95" customHeight="1" x14ac:dyDescent="0.15"/>
    <row r="25511" s="9" customFormat="1" ht="21.95" customHeight="1" x14ac:dyDescent="0.15"/>
    <row r="25512" s="9" customFormat="1" ht="21.95" customHeight="1" x14ac:dyDescent="0.15"/>
    <row r="25513" s="9" customFormat="1" ht="21.95" customHeight="1" x14ac:dyDescent="0.15"/>
    <row r="25514" s="9" customFormat="1" ht="21.95" customHeight="1" x14ac:dyDescent="0.15"/>
    <row r="25515" s="9" customFormat="1" ht="21.95" customHeight="1" x14ac:dyDescent="0.15"/>
    <row r="25516" s="9" customFormat="1" ht="21.95" customHeight="1" x14ac:dyDescent="0.15"/>
    <row r="25517" s="9" customFormat="1" ht="21.95" customHeight="1" x14ac:dyDescent="0.15"/>
    <row r="25518" s="9" customFormat="1" ht="21.95" customHeight="1" x14ac:dyDescent="0.15"/>
    <row r="25519" s="9" customFormat="1" ht="21.95" customHeight="1" x14ac:dyDescent="0.15"/>
    <row r="25520" s="9" customFormat="1" ht="21.95" customHeight="1" x14ac:dyDescent="0.15"/>
    <row r="25521" s="9" customFormat="1" ht="21.95" customHeight="1" x14ac:dyDescent="0.15"/>
    <row r="25522" s="9" customFormat="1" ht="21.95" customHeight="1" x14ac:dyDescent="0.15"/>
    <row r="25523" s="9" customFormat="1" ht="21.95" customHeight="1" x14ac:dyDescent="0.15"/>
    <row r="25524" s="9" customFormat="1" ht="21.95" customHeight="1" x14ac:dyDescent="0.15"/>
    <row r="25525" s="9" customFormat="1" ht="21.95" customHeight="1" x14ac:dyDescent="0.15"/>
    <row r="25526" s="9" customFormat="1" ht="21.95" customHeight="1" x14ac:dyDescent="0.15"/>
    <row r="25527" s="9" customFormat="1" ht="21.95" customHeight="1" x14ac:dyDescent="0.15"/>
    <row r="25528" s="9" customFormat="1" ht="21.95" customHeight="1" x14ac:dyDescent="0.15"/>
    <row r="25529" s="9" customFormat="1" ht="21.95" customHeight="1" x14ac:dyDescent="0.15"/>
    <row r="25530" s="9" customFormat="1" ht="21.95" customHeight="1" x14ac:dyDescent="0.15"/>
    <row r="25531" s="9" customFormat="1" ht="21.95" customHeight="1" x14ac:dyDescent="0.15"/>
    <row r="25532" s="9" customFormat="1" ht="21.95" customHeight="1" x14ac:dyDescent="0.15"/>
    <row r="25533" s="9" customFormat="1" ht="21.95" customHeight="1" x14ac:dyDescent="0.15"/>
    <row r="25534" s="9" customFormat="1" ht="21.95" customHeight="1" x14ac:dyDescent="0.15"/>
    <row r="25535" s="9" customFormat="1" ht="21.95" customHeight="1" x14ac:dyDescent="0.15"/>
    <row r="25536" s="9" customFormat="1" ht="21.95" customHeight="1" x14ac:dyDescent="0.15"/>
    <row r="25537" s="9" customFormat="1" ht="21.95" customHeight="1" x14ac:dyDescent="0.15"/>
    <row r="25538" s="9" customFormat="1" ht="21.95" customHeight="1" x14ac:dyDescent="0.15"/>
    <row r="25539" s="9" customFormat="1" ht="21.95" customHeight="1" x14ac:dyDescent="0.15"/>
    <row r="25540" s="9" customFormat="1" ht="21.95" customHeight="1" x14ac:dyDescent="0.15"/>
    <row r="25541" s="9" customFormat="1" ht="21.95" customHeight="1" x14ac:dyDescent="0.15"/>
    <row r="25542" s="9" customFormat="1" ht="21.95" customHeight="1" x14ac:dyDescent="0.15"/>
    <row r="25543" s="9" customFormat="1" ht="21.95" customHeight="1" x14ac:dyDescent="0.15"/>
    <row r="25544" s="9" customFormat="1" ht="21.95" customHeight="1" x14ac:dyDescent="0.15"/>
    <row r="25545" s="9" customFormat="1" ht="21.95" customHeight="1" x14ac:dyDescent="0.15"/>
    <row r="25546" s="9" customFormat="1" ht="21.95" customHeight="1" x14ac:dyDescent="0.15"/>
    <row r="25547" s="9" customFormat="1" ht="21.95" customHeight="1" x14ac:dyDescent="0.15"/>
    <row r="25548" s="9" customFormat="1" ht="21.95" customHeight="1" x14ac:dyDescent="0.15"/>
    <row r="25549" s="9" customFormat="1" ht="21.95" customHeight="1" x14ac:dyDescent="0.15"/>
    <row r="25550" s="9" customFormat="1" ht="21.95" customHeight="1" x14ac:dyDescent="0.15"/>
    <row r="25551" s="9" customFormat="1" ht="21.95" customHeight="1" x14ac:dyDescent="0.15"/>
    <row r="25552" s="9" customFormat="1" ht="21.95" customHeight="1" x14ac:dyDescent="0.15"/>
    <row r="25553" s="9" customFormat="1" ht="21.95" customHeight="1" x14ac:dyDescent="0.15"/>
    <row r="25554" s="9" customFormat="1" ht="21.95" customHeight="1" x14ac:dyDescent="0.15"/>
    <row r="25555" s="9" customFormat="1" ht="21.95" customHeight="1" x14ac:dyDescent="0.15"/>
    <row r="25556" s="9" customFormat="1" ht="21.95" customHeight="1" x14ac:dyDescent="0.15"/>
    <row r="25557" s="9" customFormat="1" ht="21.95" customHeight="1" x14ac:dyDescent="0.15"/>
    <row r="25558" s="9" customFormat="1" ht="35.1" customHeight="1" x14ac:dyDescent="0.15"/>
    <row r="25559" s="9" customFormat="1" ht="21.95" customHeight="1" x14ac:dyDescent="0.15"/>
    <row r="25560" s="9" customFormat="1" ht="21.95" customHeight="1" x14ac:dyDescent="0.15"/>
    <row r="25561" s="9" customFormat="1" ht="21.95" customHeight="1" x14ac:dyDescent="0.15"/>
    <row r="25562" s="9" customFormat="1" ht="21.95" customHeight="1" x14ac:dyDescent="0.15"/>
    <row r="25563" s="9" customFormat="1" ht="21.95" customHeight="1" x14ac:dyDescent="0.15"/>
    <row r="25564" s="9" customFormat="1" ht="21.95" customHeight="1" x14ac:dyDescent="0.15"/>
    <row r="25565" s="9" customFormat="1" ht="21.95" customHeight="1" x14ac:dyDescent="0.15"/>
    <row r="25566" s="9" customFormat="1" ht="21.95" customHeight="1" x14ac:dyDescent="0.15"/>
    <row r="25567" s="9" customFormat="1" ht="21.95" customHeight="1" x14ac:dyDescent="0.15"/>
    <row r="25568" s="9" customFormat="1" ht="21.95" customHeight="1" x14ac:dyDescent="0.15"/>
    <row r="25569" spans="3:3" s="9" customFormat="1" ht="21.95" customHeight="1" x14ac:dyDescent="0.15"/>
    <row r="25570" spans="3:3" s="9" customFormat="1" ht="21.95" customHeight="1" x14ac:dyDescent="0.15"/>
    <row r="25571" spans="3:3" s="9" customFormat="1" ht="21.95" customHeight="1" x14ac:dyDescent="0.15"/>
    <row r="25572" spans="3:3" s="9" customFormat="1" ht="21.95" customHeight="1" x14ac:dyDescent="0.15"/>
    <row r="25573" spans="3:3" s="9" customFormat="1" ht="21.95" customHeight="1" x14ac:dyDescent="0.15"/>
    <row r="25574" spans="3:3" s="9" customFormat="1" ht="21.95" customHeight="1" x14ac:dyDescent="0.15"/>
    <row r="25575" spans="3:3" s="9" customFormat="1" ht="21.95" customHeight="1" x14ac:dyDescent="0.15"/>
    <row r="25576" spans="3:3" s="9" customFormat="1" ht="21.95" customHeight="1" x14ac:dyDescent="0.15"/>
    <row r="25577" spans="3:3" s="9" customFormat="1" ht="21.95" customHeight="1" x14ac:dyDescent="0.15"/>
    <row r="25578" spans="3:3" s="9" customFormat="1" ht="21.95" customHeight="1" x14ac:dyDescent="0.15"/>
    <row r="25579" spans="3:3" s="9" customFormat="1" ht="21.95" customHeight="1" x14ac:dyDescent="0.15"/>
    <row r="25580" spans="3:3" s="9" customFormat="1" ht="21.95" customHeight="1" x14ac:dyDescent="0.15"/>
    <row r="25581" spans="3:3" s="9" customFormat="1" ht="21.95" customHeight="1" x14ac:dyDescent="0.15"/>
    <row r="25582" spans="3:3" s="8" customFormat="1" ht="21.95" customHeight="1" x14ac:dyDescent="0.15"/>
    <row r="25583" spans="3:3" s="8" customFormat="1" ht="21.95" customHeight="1" x14ac:dyDescent="0.15"/>
    <row r="25584" spans="3:3" s="8" customFormat="1" ht="21.95" customHeight="1" x14ac:dyDescent="0.15">
      <c r="C25584" s="101"/>
    </row>
    <row r="25585" spans="3:3" s="8" customFormat="1" ht="21.95" customHeight="1" x14ac:dyDescent="0.15">
      <c r="C25585" s="101"/>
    </row>
    <row r="25586" spans="3:3" s="8" customFormat="1" ht="21.95" customHeight="1" x14ac:dyDescent="0.15"/>
    <row r="25587" spans="3:3" s="8" customFormat="1" ht="21.95" customHeight="1" x14ac:dyDescent="0.15"/>
    <row r="25588" spans="3:3" s="8" customFormat="1" ht="21.95" customHeight="1" x14ac:dyDescent="0.15"/>
    <row r="25589" spans="3:3" s="8" customFormat="1" ht="21.95" customHeight="1" x14ac:dyDescent="0.15"/>
    <row r="25590" spans="3:3" s="8" customFormat="1" ht="21.95" customHeight="1" x14ac:dyDescent="0.15"/>
    <row r="25591" spans="3:3" s="8" customFormat="1" ht="21.95" customHeight="1" x14ac:dyDescent="0.15"/>
    <row r="25592" spans="3:3" s="8" customFormat="1" ht="21.95" customHeight="1" x14ac:dyDescent="0.15"/>
    <row r="25593" spans="3:3" s="9" customFormat="1" ht="21.95" customHeight="1" x14ac:dyDescent="0.15"/>
    <row r="25594" spans="3:3" s="9" customFormat="1" ht="21.95" customHeight="1" x14ac:dyDescent="0.15"/>
    <row r="25595" spans="3:3" s="9" customFormat="1" ht="21.95" customHeight="1" x14ac:dyDescent="0.15"/>
    <row r="25596" spans="3:3" s="9" customFormat="1" ht="21.95" customHeight="1" x14ac:dyDescent="0.15"/>
    <row r="25597" spans="3:3" s="8" customFormat="1" ht="21.95" customHeight="1" x14ac:dyDescent="0.15"/>
    <row r="25598" spans="3:3" s="8" customFormat="1" ht="21.95" customHeight="1" x14ac:dyDescent="0.15"/>
    <row r="25599" spans="3:3" s="8" customFormat="1" ht="21.95" customHeight="1" x14ac:dyDescent="0.15"/>
    <row r="25600" spans="3:3" s="8" customFormat="1" ht="21.95" customHeight="1" x14ac:dyDescent="0.15"/>
    <row r="25601" s="8" customFormat="1" ht="21.95" customHeight="1" x14ac:dyDescent="0.15"/>
    <row r="25602" s="8" customFormat="1" ht="21.95" customHeight="1" x14ac:dyDescent="0.15"/>
    <row r="25603" s="8" customFormat="1" ht="21.95" customHeight="1" x14ac:dyDescent="0.15"/>
    <row r="25604" s="8" customFormat="1" ht="21.95" customHeight="1" x14ac:dyDescent="0.15"/>
    <row r="25605" s="8" customFormat="1" ht="21.95" customHeight="1" x14ac:dyDescent="0.15"/>
    <row r="25606" s="8" customFormat="1" ht="21.95" customHeight="1" x14ac:dyDescent="0.15"/>
    <row r="25607" s="8" customFormat="1" ht="21.95" customHeight="1" x14ac:dyDescent="0.15"/>
    <row r="25608" s="8" customFormat="1" ht="32.1" customHeight="1" x14ac:dyDescent="0.15"/>
    <row r="25609" s="8" customFormat="1" ht="32.1" customHeight="1" x14ac:dyDescent="0.15"/>
    <row r="25610" s="8" customFormat="1" ht="32.1" customHeight="1" x14ac:dyDescent="0.15"/>
    <row r="25611" s="8" customFormat="1" ht="32.1" customHeight="1" x14ac:dyDescent="0.15"/>
    <row r="25612" s="8" customFormat="1" ht="32.1" customHeight="1" x14ac:dyDescent="0.15"/>
    <row r="25613" s="8" customFormat="1" ht="32.1" customHeight="1" x14ac:dyDescent="0.15"/>
    <row r="25614" s="9" customFormat="1" ht="32.1" customHeight="1" x14ac:dyDescent="0.15"/>
    <row r="25615" s="9" customFormat="1" ht="32.1" customHeight="1" x14ac:dyDescent="0.15"/>
    <row r="25616" s="9" customFormat="1" ht="32.1" customHeight="1" x14ac:dyDescent="0.15"/>
    <row r="25617" s="9" customFormat="1" ht="32.1" customHeight="1" x14ac:dyDescent="0.15"/>
    <row r="25618" s="9" customFormat="1" ht="21.95" customHeight="1" x14ac:dyDescent="0.15"/>
    <row r="25619" s="9" customFormat="1" ht="54" customHeight="1" x14ac:dyDescent="0.15"/>
    <row r="25620" s="9" customFormat="1" ht="21.95" customHeight="1" x14ac:dyDescent="0.15"/>
    <row r="25621" s="9" customFormat="1" ht="21.95" customHeight="1" x14ac:dyDescent="0.15"/>
    <row r="25622" s="9" customFormat="1" ht="21.95" customHeight="1" x14ac:dyDescent="0.15"/>
    <row r="25623" s="9" customFormat="1" ht="21.95" customHeight="1" x14ac:dyDescent="0.15"/>
    <row r="25624" s="9" customFormat="1" ht="21.95" customHeight="1" x14ac:dyDescent="0.15"/>
    <row r="25625" s="9" customFormat="1" ht="21.95" customHeight="1" x14ac:dyDescent="0.15"/>
    <row r="25626" s="9" customFormat="1" ht="21.95" customHeight="1" x14ac:dyDescent="0.15"/>
    <row r="25627" s="9" customFormat="1" ht="21.95" customHeight="1" x14ac:dyDescent="0.15"/>
    <row r="25628" s="9" customFormat="1" ht="21.95" customHeight="1" x14ac:dyDescent="0.15"/>
    <row r="25629" s="9" customFormat="1" ht="21.95" customHeight="1" x14ac:dyDescent="0.15"/>
    <row r="25630" s="9" customFormat="1" ht="21.95" customHeight="1" x14ac:dyDescent="0.15"/>
    <row r="25631" s="9" customFormat="1" ht="21.95" customHeight="1" x14ac:dyDescent="0.15"/>
    <row r="25632" s="9" customFormat="1" ht="21.95" customHeight="1" x14ac:dyDescent="0.15"/>
    <row r="25633" s="9" customFormat="1" ht="21.95" customHeight="1" x14ac:dyDescent="0.15"/>
    <row r="25634" s="9" customFormat="1" ht="21.95" customHeight="1" x14ac:dyDescent="0.15"/>
    <row r="25635" s="9" customFormat="1" ht="21.95" customHeight="1" x14ac:dyDescent="0.15"/>
    <row r="25636" s="9" customFormat="1" ht="21.95" customHeight="1" x14ac:dyDescent="0.15"/>
    <row r="25637" s="9" customFormat="1" ht="21.95" customHeight="1" x14ac:dyDescent="0.15"/>
    <row r="25638" s="9" customFormat="1" ht="21.95" customHeight="1" x14ac:dyDescent="0.15"/>
    <row r="25639" s="9" customFormat="1" ht="21.95" customHeight="1" x14ac:dyDescent="0.15"/>
    <row r="25640" s="9" customFormat="1" ht="21.95" customHeight="1" x14ac:dyDescent="0.15"/>
    <row r="25641" s="9" customFormat="1" ht="21.95" customHeight="1" x14ac:dyDescent="0.15"/>
    <row r="25642" s="9" customFormat="1" ht="21.95" customHeight="1" x14ac:dyDescent="0.15"/>
    <row r="25643" s="9" customFormat="1" ht="21.95" customHeight="1" x14ac:dyDescent="0.15"/>
    <row r="25644" s="9" customFormat="1" ht="21.95" customHeight="1" x14ac:dyDescent="0.15"/>
    <row r="25645" s="9" customFormat="1" ht="21.95" customHeight="1" x14ac:dyDescent="0.15"/>
    <row r="25646" s="9" customFormat="1" ht="21.95" customHeight="1" x14ac:dyDescent="0.15"/>
    <row r="25647" s="9" customFormat="1" ht="21.95" customHeight="1" x14ac:dyDescent="0.15"/>
    <row r="25648" s="9" customFormat="1" ht="21.95" customHeight="1" x14ac:dyDescent="0.15"/>
    <row r="25649" s="9" customFormat="1" ht="21.95" customHeight="1" x14ac:dyDescent="0.15"/>
    <row r="25650" s="9" customFormat="1" ht="21.95" customHeight="1" x14ac:dyDescent="0.15"/>
    <row r="25651" s="9" customFormat="1" ht="21.95" customHeight="1" x14ac:dyDescent="0.15"/>
    <row r="25652" s="9" customFormat="1" ht="21.95" customHeight="1" x14ac:dyDescent="0.15"/>
    <row r="25653" s="9" customFormat="1" ht="21.95" customHeight="1" x14ac:dyDescent="0.15"/>
    <row r="25654" s="9" customFormat="1" ht="21.95" customHeight="1" x14ac:dyDescent="0.15"/>
    <row r="25655" s="9" customFormat="1" ht="21.95" customHeight="1" x14ac:dyDescent="0.15"/>
    <row r="25656" s="9" customFormat="1" ht="21.95" customHeight="1" x14ac:dyDescent="0.15"/>
    <row r="25657" s="9" customFormat="1" ht="21.95" customHeight="1" x14ac:dyDescent="0.15"/>
    <row r="25658" s="9" customFormat="1" ht="21.95" customHeight="1" x14ac:dyDescent="0.15"/>
    <row r="25659" s="9" customFormat="1" ht="21.95" customHeight="1" x14ac:dyDescent="0.15"/>
    <row r="25660" s="9" customFormat="1" ht="21.95" customHeight="1" x14ac:dyDescent="0.15"/>
    <row r="25661" s="9" customFormat="1" ht="21.95" customHeight="1" x14ac:dyDescent="0.15"/>
    <row r="25662" s="9" customFormat="1" ht="21.95" customHeight="1" x14ac:dyDescent="0.15"/>
    <row r="25663" s="9" customFormat="1" ht="21.95" customHeight="1" x14ac:dyDescent="0.15"/>
    <row r="25664" s="9" customFormat="1" ht="21.95" customHeight="1" x14ac:dyDescent="0.15"/>
    <row r="25665" s="9" customFormat="1" ht="21.95" customHeight="1" x14ac:dyDescent="0.15"/>
    <row r="25666" s="9" customFormat="1" ht="21.95" customHeight="1" x14ac:dyDescent="0.15"/>
    <row r="25667" s="9" customFormat="1" ht="21.95" customHeight="1" x14ac:dyDescent="0.15"/>
    <row r="25668" s="9" customFormat="1" ht="21.95" customHeight="1" x14ac:dyDescent="0.15"/>
    <row r="25669" s="9" customFormat="1" ht="21.95" customHeight="1" x14ac:dyDescent="0.15"/>
    <row r="25670" s="9" customFormat="1" ht="35.1" customHeight="1" x14ac:dyDescent="0.15"/>
    <row r="25671" s="9" customFormat="1" ht="21.95" customHeight="1" x14ac:dyDescent="0.15"/>
    <row r="25672" s="9" customFormat="1" ht="21.95" customHeight="1" x14ac:dyDescent="0.15"/>
    <row r="25673" s="9" customFormat="1" ht="21.95" customHeight="1" x14ac:dyDescent="0.15"/>
    <row r="25674" s="9" customFormat="1" ht="21.95" customHeight="1" x14ac:dyDescent="0.15"/>
    <row r="25675" s="9" customFormat="1" ht="21.95" customHeight="1" x14ac:dyDescent="0.15"/>
    <row r="25676" s="9" customFormat="1" ht="21.95" customHeight="1" x14ac:dyDescent="0.15"/>
    <row r="25677" s="9" customFormat="1" ht="21.95" customHeight="1" x14ac:dyDescent="0.15"/>
    <row r="25678" s="9" customFormat="1" ht="21.95" customHeight="1" x14ac:dyDescent="0.15"/>
    <row r="25679" s="9" customFormat="1" ht="21.95" customHeight="1" x14ac:dyDescent="0.15"/>
    <row r="25680" s="9" customFormat="1" ht="21.95" customHeight="1" x14ac:dyDescent="0.15"/>
    <row r="25681" spans="3:3" s="9" customFormat="1" ht="21.95" customHeight="1" x14ac:dyDescent="0.15"/>
    <row r="25682" spans="3:3" s="9" customFormat="1" ht="21.95" customHeight="1" x14ac:dyDescent="0.15"/>
    <row r="25683" spans="3:3" s="9" customFormat="1" ht="21.95" customHeight="1" x14ac:dyDescent="0.15"/>
    <row r="25684" spans="3:3" s="9" customFormat="1" ht="21.95" customHeight="1" x14ac:dyDescent="0.15"/>
    <row r="25685" spans="3:3" s="9" customFormat="1" ht="21.95" customHeight="1" x14ac:dyDescent="0.15"/>
    <row r="25686" spans="3:3" s="9" customFormat="1" ht="21.95" customHeight="1" x14ac:dyDescent="0.15"/>
    <row r="25687" spans="3:3" s="9" customFormat="1" ht="21.95" customHeight="1" x14ac:dyDescent="0.15"/>
    <row r="25688" spans="3:3" s="9" customFormat="1" ht="21.95" customHeight="1" x14ac:dyDescent="0.15"/>
    <row r="25689" spans="3:3" s="9" customFormat="1" ht="21.95" customHeight="1" x14ac:dyDescent="0.15"/>
    <row r="25690" spans="3:3" s="9" customFormat="1" ht="21.95" customHeight="1" x14ac:dyDescent="0.15"/>
    <row r="25691" spans="3:3" s="9" customFormat="1" ht="21.95" customHeight="1" x14ac:dyDescent="0.15"/>
    <row r="25692" spans="3:3" s="9" customFormat="1" ht="21.95" customHeight="1" x14ac:dyDescent="0.15"/>
    <row r="25693" spans="3:3" s="9" customFormat="1" ht="21.95" customHeight="1" x14ac:dyDescent="0.15"/>
    <row r="25694" spans="3:3" s="8" customFormat="1" ht="21.95" customHeight="1" x14ac:dyDescent="0.15"/>
    <row r="25695" spans="3:3" s="8" customFormat="1" ht="21.95" customHeight="1" x14ac:dyDescent="0.15"/>
    <row r="25696" spans="3:3" s="8" customFormat="1" ht="21.95" customHeight="1" x14ac:dyDescent="0.15">
      <c r="C25696" s="101"/>
    </row>
    <row r="25697" spans="3:3" s="8" customFormat="1" ht="21.95" customHeight="1" x14ac:dyDescent="0.15">
      <c r="C25697" s="101"/>
    </row>
    <row r="25698" spans="3:3" s="8" customFormat="1" ht="21.95" customHeight="1" x14ac:dyDescent="0.15"/>
    <row r="25699" spans="3:3" s="8" customFormat="1" ht="21.95" customHeight="1" x14ac:dyDescent="0.15"/>
    <row r="25700" spans="3:3" s="8" customFormat="1" ht="21.95" customHeight="1" x14ac:dyDescent="0.15"/>
    <row r="25701" spans="3:3" s="8" customFormat="1" ht="21.95" customHeight="1" x14ac:dyDescent="0.15"/>
    <row r="25702" spans="3:3" s="8" customFormat="1" ht="21.95" customHeight="1" x14ac:dyDescent="0.15"/>
    <row r="25703" spans="3:3" s="8" customFormat="1" ht="21.95" customHeight="1" x14ac:dyDescent="0.15"/>
    <row r="25704" spans="3:3" s="8" customFormat="1" ht="21.95" customHeight="1" x14ac:dyDescent="0.15"/>
    <row r="25705" spans="3:3" s="9" customFormat="1" ht="21.95" customHeight="1" x14ac:dyDescent="0.15"/>
    <row r="25706" spans="3:3" s="9" customFormat="1" ht="21.95" customHeight="1" x14ac:dyDescent="0.15"/>
    <row r="25707" spans="3:3" s="9" customFormat="1" ht="21.95" customHeight="1" x14ac:dyDescent="0.15"/>
    <row r="25708" spans="3:3" s="9" customFormat="1" ht="21.95" customHeight="1" x14ac:dyDescent="0.15"/>
    <row r="25709" spans="3:3" s="8" customFormat="1" ht="21.95" customHeight="1" x14ac:dyDescent="0.15"/>
    <row r="25710" spans="3:3" s="8" customFormat="1" ht="21.95" customHeight="1" x14ac:dyDescent="0.15"/>
    <row r="25711" spans="3:3" s="8" customFormat="1" ht="21.95" customHeight="1" x14ac:dyDescent="0.15"/>
    <row r="25712" spans="3:3" s="8" customFormat="1" ht="21.95" customHeight="1" x14ac:dyDescent="0.15"/>
    <row r="25713" s="8" customFormat="1" ht="21.95" customHeight="1" x14ac:dyDescent="0.15"/>
    <row r="25714" s="8" customFormat="1" ht="21.95" customHeight="1" x14ac:dyDescent="0.15"/>
    <row r="25715" s="8" customFormat="1" ht="21.95" customHeight="1" x14ac:dyDescent="0.15"/>
    <row r="25716" s="8" customFormat="1" ht="21.95" customHeight="1" x14ac:dyDescent="0.15"/>
    <row r="25717" s="8" customFormat="1" ht="21.95" customHeight="1" x14ac:dyDescent="0.15"/>
    <row r="25718" s="8" customFormat="1" ht="21.95" customHeight="1" x14ac:dyDescent="0.15"/>
    <row r="25719" s="8" customFormat="1" ht="21.95" customHeight="1" x14ac:dyDescent="0.15"/>
    <row r="25720" s="8" customFormat="1" ht="32.1" customHeight="1" x14ac:dyDescent="0.15"/>
    <row r="25721" s="8" customFormat="1" ht="32.1" customHeight="1" x14ac:dyDescent="0.15"/>
    <row r="25722" s="8" customFormat="1" ht="32.1" customHeight="1" x14ac:dyDescent="0.15"/>
    <row r="25723" s="8" customFormat="1" ht="32.1" customHeight="1" x14ac:dyDescent="0.15"/>
    <row r="25724" s="8" customFormat="1" ht="32.1" customHeight="1" x14ac:dyDescent="0.15"/>
    <row r="25725" s="8" customFormat="1" ht="32.1" customHeight="1" x14ac:dyDescent="0.15"/>
    <row r="25726" s="9" customFormat="1" ht="32.1" customHeight="1" x14ac:dyDescent="0.15"/>
    <row r="25727" s="9" customFormat="1" ht="32.1" customHeight="1" x14ac:dyDescent="0.15"/>
    <row r="25728" s="9" customFormat="1" ht="32.1" customHeight="1" x14ac:dyDescent="0.15"/>
    <row r="25729" s="9" customFormat="1" ht="32.1" customHeight="1" x14ac:dyDescent="0.15"/>
    <row r="25730" s="9" customFormat="1" ht="21.95" customHeight="1" x14ac:dyDescent="0.15"/>
    <row r="25731" s="9" customFormat="1" ht="54" customHeight="1" x14ac:dyDescent="0.15"/>
    <row r="25732" s="9" customFormat="1" ht="21.95" customHeight="1" x14ac:dyDescent="0.15"/>
    <row r="25733" s="9" customFormat="1" ht="21.95" customHeight="1" x14ac:dyDescent="0.15"/>
    <row r="25734" s="9" customFormat="1" ht="21.95" customHeight="1" x14ac:dyDescent="0.15"/>
    <row r="25735" s="9" customFormat="1" ht="21.95" customHeight="1" x14ac:dyDescent="0.15"/>
    <row r="25736" s="9" customFormat="1" ht="21.95" customHeight="1" x14ac:dyDescent="0.15"/>
    <row r="25737" s="9" customFormat="1" ht="21.95" customHeight="1" x14ac:dyDescent="0.15"/>
    <row r="25738" s="9" customFormat="1" ht="21.95" customHeight="1" x14ac:dyDescent="0.15"/>
    <row r="25739" s="9" customFormat="1" ht="21.95" customHeight="1" x14ac:dyDescent="0.15"/>
    <row r="25740" s="9" customFormat="1" ht="21.95" customHeight="1" x14ac:dyDescent="0.15"/>
    <row r="25741" s="9" customFormat="1" ht="21.95" customHeight="1" x14ac:dyDescent="0.15"/>
    <row r="25742" s="9" customFormat="1" ht="21.95" customHeight="1" x14ac:dyDescent="0.15"/>
    <row r="25743" s="9" customFormat="1" ht="21.95" customHeight="1" x14ac:dyDescent="0.15"/>
    <row r="25744" s="9" customFormat="1" ht="21.95" customHeight="1" x14ac:dyDescent="0.15"/>
    <row r="25745" s="9" customFormat="1" ht="21.95" customHeight="1" x14ac:dyDescent="0.15"/>
    <row r="25746" s="9" customFormat="1" ht="21.95" customHeight="1" x14ac:dyDescent="0.15"/>
    <row r="25747" s="9" customFormat="1" ht="21.95" customHeight="1" x14ac:dyDescent="0.15"/>
    <row r="25748" s="9" customFormat="1" ht="21.95" customHeight="1" x14ac:dyDescent="0.15"/>
    <row r="25749" s="9" customFormat="1" ht="21.95" customHeight="1" x14ac:dyDescent="0.15"/>
    <row r="25750" s="9" customFormat="1" ht="21.95" customHeight="1" x14ac:dyDescent="0.15"/>
    <row r="25751" s="9" customFormat="1" ht="21.95" customHeight="1" x14ac:dyDescent="0.15"/>
    <row r="25752" s="9" customFormat="1" ht="21.95" customHeight="1" x14ac:dyDescent="0.15"/>
    <row r="25753" s="9" customFormat="1" ht="21.95" customHeight="1" x14ac:dyDescent="0.15"/>
    <row r="25754" s="9" customFormat="1" ht="21.95" customHeight="1" x14ac:dyDescent="0.15"/>
    <row r="25755" s="9" customFormat="1" ht="21.95" customHeight="1" x14ac:dyDescent="0.15"/>
    <row r="25756" s="9" customFormat="1" ht="21.95" customHeight="1" x14ac:dyDescent="0.15"/>
    <row r="25757" s="9" customFormat="1" ht="21.95" customHeight="1" x14ac:dyDescent="0.15"/>
    <row r="25758" s="9" customFormat="1" ht="21.95" customHeight="1" x14ac:dyDescent="0.15"/>
    <row r="25759" s="9" customFormat="1" ht="21.95" customHeight="1" x14ac:dyDescent="0.15"/>
    <row r="25760" s="9" customFormat="1" ht="21.95" customHeight="1" x14ac:dyDescent="0.15"/>
    <row r="25761" s="9" customFormat="1" ht="21.95" customHeight="1" x14ac:dyDescent="0.15"/>
    <row r="25762" s="9" customFormat="1" ht="21.95" customHeight="1" x14ac:dyDescent="0.15"/>
    <row r="25763" s="9" customFormat="1" ht="21.95" customHeight="1" x14ac:dyDescent="0.15"/>
    <row r="25764" s="9" customFormat="1" ht="21.95" customHeight="1" x14ac:dyDescent="0.15"/>
    <row r="25765" s="9" customFormat="1" ht="21.95" customHeight="1" x14ac:dyDescent="0.15"/>
    <row r="25766" s="9" customFormat="1" ht="21.95" customHeight="1" x14ac:dyDescent="0.15"/>
    <row r="25767" s="9" customFormat="1" ht="21.95" customHeight="1" x14ac:dyDescent="0.15"/>
    <row r="25768" s="9" customFormat="1" ht="21.95" customHeight="1" x14ac:dyDescent="0.15"/>
    <row r="25769" s="9" customFormat="1" ht="21.95" customHeight="1" x14ac:dyDescent="0.15"/>
    <row r="25770" s="9" customFormat="1" ht="21.95" customHeight="1" x14ac:dyDescent="0.15"/>
    <row r="25771" s="9" customFormat="1" ht="21.95" customHeight="1" x14ac:dyDescent="0.15"/>
    <row r="25772" s="9" customFormat="1" ht="21.95" customHeight="1" x14ac:dyDescent="0.15"/>
    <row r="25773" s="9" customFormat="1" ht="21.95" customHeight="1" x14ac:dyDescent="0.15"/>
    <row r="25774" s="9" customFormat="1" ht="21.95" customHeight="1" x14ac:dyDescent="0.15"/>
    <row r="25775" s="9" customFormat="1" ht="21.95" customHeight="1" x14ac:dyDescent="0.15"/>
    <row r="25776" s="9" customFormat="1" ht="21.95" customHeight="1" x14ac:dyDescent="0.15"/>
    <row r="25777" s="9" customFormat="1" ht="21.95" customHeight="1" x14ac:dyDescent="0.15"/>
    <row r="25778" s="9" customFormat="1" ht="21.95" customHeight="1" x14ac:dyDescent="0.15"/>
    <row r="25779" s="9" customFormat="1" ht="21.95" customHeight="1" x14ac:dyDescent="0.15"/>
    <row r="25780" s="9" customFormat="1" ht="21.95" customHeight="1" x14ac:dyDescent="0.15"/>
    <row r="25781" s="9" customFormat="1" ht="21.95" customHeight="1" x14ac:dyDescent="0.15"/>
    <row r="25782" s="9" customFormat="1" ht="35.1" customHeight="1" x14ac:dyDescent="0.15"/>
    <row r="25783" s="9" customFormat="1" ht="21.95" customHeight="1" x14ac:dyDescent="0.15"/>
    <row r="25784" s="9" customFormat="1" ht="21.95" customHeight="1" x14ac:dyDescent="0.15"/>
    <row r="25785" s="9" customFormat="1" ht="21.95" customHeight="1" x14ac:dyDescent="0.15"/>
    <row r="25786" s="9" customFormat="1" ht="21.95" customHeight="1" x14ac:dyDescent="0.15"/>
    <row r="25787" s="9" customFormat="1" ht="21.95" customHeight="1" x14ac:dyDescent="0.15"/>
    <row r="25788" s="9" customFormat="1" ht="21.95" customHeight="1" x14ac:dyDescent="0.15"/>
    <row r="25789" s="9" customFormat="1" ht="21.95" customHeight="1" x14ac:dyDescent="0.15"/>
    <row r="25790" s="9" customFormat="1" ht="21.95" customHeight="1" x14ac:dyDescent="0.15"/>
    <row r="25791" s="9" customFormat="1" ht="21.95" customHeight="1" x14ac:dyDescent="0.15"/>
    <row r="25792" s="9" customFormat="1" ht="21.95" customHeight="1" x14ac:dyDescent="0.15"/>
    <row r="25793" spans="3:3" s="9" customFormat="1" ht="21.95" customHeight="1" x14ac:dyDescent="0.15"/>
    <row r="25794" spans="3:3" s="9" customFormat="1" ht="21.95" customHeight="1" x14ac:dyDescent="0.15"/>
    <row r="25795" spans="3:3" s="9" customFormat="1" ht="21.95" customHeight="1" x14ac:dyDescent="0.15"/>
    <row r="25796" spans="3:3" s="9" customFormat="1" ht="21.95" customHeight="1" x14ac:dyDescent="0.15"/>
    <row r="25797" spans="3:3" s="9" customFormat="1" ht="21.95" customHeight="1" x14ac:dyDescent="0.15"/>
    <row r="25798" spans="3:3" s="9" customFormat="1" ht="21.95" customHeight="1" x14ac:dyDescent="0.15"/>
    <row r="25799" spans="3:3" s="9" customFormat="1" ht="21.95" customHeight="1" x14ac:dyDescent="0.15"/>
    <row r="25800" spans="3:3" s="9" customFormat="1" ht="21.95" customHeight="1" x14ac:dyDescent="0.15"/>
    <row r="25801" spans="3:3" s="9" customFormat="1" ht="21.95" customHeight="1" x14ac:dyDescent="0.15"/>
    <row r="25802" spans="3:3" s="9" customFormat="1" ht="21.95" customHeight="1" x14ac:dyDescent="0.15"/>
    <row r="25803" spans="3:3" s="9" customFormat="1" ht="21.95" customHeight="1" x14ac:dyDescent="0.15"/>
    <row r="25804" spans="3:3" s="9" customFormat="1" ht="21.95" customHeight="1" x14ac:dyDescent="0.15"/>
    <row r="25805" spans="3:3" s="9" customFormat="1" ht="21.95" customHeight="1" x14ac:dyDescent="0.15"/>
    <row r="25806" spans="3:3" s="8" customFormat="1" ht="21.95" customHeight="1" x14ac:dyDescent="0.15"/>
    <row r="25807" spans="3:3" s="8" customFormat="1" ht="21.95" customHeight="1" x14ac:dyDescent="0.15"/>
    <row r="25808" spans="3:3" s="8" customFormat="1" ht="21.95" customHeight="1" x14ac:dyDescent="0.15">
      <c r="C25808" s="101"/>
    </row>
    <row r="25809" spans="3:3" s="8" customFormat="1" ht="21.95" customHeight="1" x14ac:dyDescent="0.15">
      <c r="C25809" s="101"/>
    </row>
    <row r="25810" spans="3:3" s="8" customFormat="1" ht="21.95" customHeight="1" x14ac:dyDescent="0.15"/>
    <row r="25811" spans="3:3" s="8" customFormat="1" ht="21.95" customHeight="1" x14ac:dyDescent="0.15"/>
    <row r="25812" spans="3:3" s="8" customFormat="1" ht="21.95" customHeight="1" x14ac:dyDescent="0.15"/>
    <row r="25813" spans="3:3" s="8" customFormat="1" ht="21.95" customHeight="1" x14ac:dyDescent="0.15"/>
    <row r="25814" spans="3:3" s="8" customFormat="1" ht="21.95" customHeight="1" x14ac:dyDescent="0.15"/>
    <row r="25815" spans="3:3" s="8" customFormat="1" ht="21.95" customHeight="1" x14ac:dyDescent="0.15"/>
    <row r="25816" spans="3:3" s="8" customFormat="1" ht="21.95" customHeight="1" x14ac:dyDescent="0.15"/>
    <row r="25817" spans="3:3" s="9" customFormat="1" ht="21.95" customHeight="1" x14ac:dyDescent="0.15"/>
    <row r="25818" spans="3:3" s="9" customFormat="1" ht="21.95" customHeight="1" x14ac:dyDescent="0.15"/>
    <row r="25819" spans="3:3" s="9" customFormat="1" ht="21.95" customHeight="1" x14ac:dyDescent="0.15"/>
    <row r="25820" spans="3:3" s="9" customFormat="1" ht="21.95" customHeight="1" x14ac:dyDescent="0.15"/>
    <row r="25821" spans="3:3" s="8" customFormat="1" ht="21.95" customHeight="1" x14ac:dyDescent="0.15"/>
    <row r="25822" spans="3:3" s="8" customFormat="1" ht="21.95" customHeight="1" x14ac:dyDescent="0.15"/>
    <row r="25823" spans="3:3" s="8" customFormat="1" ht="21.95" customHeight="1" x14ac:dyDescent="0.15"/>
    <row r="25824" spans="3:3" s="8" customFormat="1" ht="21.95" customHeight="1" x14ac:dyDescent="0.15"/>
    <row r="25825" s="8" customFormat="1" ht="21.95" customHeight="1" x14ac:dyDescent="0.15"/>
    <row r="25826" s="8" customFormat="1" ht="21.95" customHeight="1" x14ac:dyDescent="0.15"/>
    <row r="25827" s="8" customFormat="1" ht="21.95" customHeight="1" x14ac:dyDescent="0.15"/>
    <row r="25828" s="8" customFormat="1" ht="21.95" customHeight="1" x14ac:dyDescent="0.15"/>
    <row r="25829" s="8" customFormat="1" ht="21.95" customHeight="1" x14ac:dyDescent="0.15"/>
    <row r="25830" s="8" customFormat="1" ht="21.95" customHeight="1" x14ac:dyDescent="0.15"/>
    <row r="25831" s="8" customFormat="1" ht="21.95" customHeight="1" x14ac:dyDescent="0.15"/>
    <row r="25832" s="8" customFormat="1" ht="32.1" customHeight="1" x14ac:dyDescent="0.15"/>
    <row r="25833" s="8" customFormat="1" ht="32.1" customHeight="1" x14ac:dyDescent="0.15"/>
    <row r="25834" s="8" customFormat="1" ht="32.1" customHeight="1" x14ac:dyDescent="0.15"/>
    <row r="25835" s="8" customFormat="1" ht="32.1" customHeight="1" x14ac:dyDescent="0.15"/>
    <row r="25836" s="8" customFormat="1" ht="32.1" customHeight="1" x14ac:dyDescent="0.15"/>
    <row r="25837" s="8" customFormat="1" ht="32.1" customHeight="1" x14ac:dyDescent="0.15"/>
    <row r="25838" s="9" customFormat="1" ht="32.1" customHeight="1" x14ac:dyDescent="0.15"/>
    <row r="25839" s="9" customFormat="1" ht="32.1" customHeight="1" x14ac:dyDescent="0.15"/>
    <row r="25840" s="9" customFormat="1" ht="32.1" customHeight="1" x14ac:dyDescent="0.15"/>
    <row r="25841" s="9" customFormat="1" ht="32.1" customHeight="1" x14ac:dyDescent="0.15"/>
    <row r="25842" s="9" customFormat="1" ht="21.95" customHeight="1" x14ac:dyDescent="0.15"/>
    <row r="25843" s="9" customFormat="1" ht="54" customHeight="1" x14ac:dyDescent="0.15"/>
    <row r="25844" s="9" customFormat="1" ht="21.95" customHeight="1" x14ac:dyDescent="0.15"/>
    <row r="25845" s="9" customFormat="1" ht="21.95" customHeight="1" x14ac:dyDescent="0.15"/>
    <row r="25846" s="9" customFormat="1" ht="21.95" customHeight="1" x14ac:dyDescent="0.15"/>
    <row r="25847" s="9" customFormat="1" ht="21.95" customHeight="1" x14ac:dyDescent="0.15"/>
    <row r="25848" s="9" customFormat="1" ht="21.95" customHeight="1" x14ac:dyDescent="0.15"/>
    <row r="25849" s="9" customFormat="1" ht="21.95" customHeight="1" x14ac:dyDescent="0.15"/>
    <row r="25850" s="9" customFormat="1" ht="21.95" customHeight="1" x14ac:dyDescent="0.15"/>
    <row r="25851" s="9" customFormat="1" ht="21.95" customHeight="1" x14ac:dyDescent="0.15"/>
    <row r="25852" s="9" customFormat="1" ht="21.95" customHeight="1" x14ac:dyDescent="0.15"/>
    <row r="25853" s="9" customFormat="1" ht="21.95" customHeight="1" x14ac:dyDescent="0.15"/>
    <row r="25854" s="9" customFormat="1" ht="21.95" customHeight="1" x14ac:dyDescent="0.15"/>
    <row r="25855" s="9" customFormat="1" ht="21.95" customHeight="1" x14ac:dyDescent="0.15"/>
    <row r="25856" s="9" customFormat="1" ht="21.95" customHeight="1" x14ac:dyDescent="0.15"/>
    <row r="25857" s="9" customFormat="1" ht="21.95" customHeight="1" x14ac:dyDescent="0.15"/>
    <row r="25858" s="9" customFormat="1" ht="21.95" customHeight="1" x14ac:dyDescent="0.15"/>
    <row r="25859" s="9" customFormat="1" ht="21.95" customHeight="1" x14ac:dyDescent="0.15"/>
    <row r="25860" s="9" customFormat="1" ht="21.95" customHeight="1" x14ac:dyDescent="0.15"/>
    <row r="25861" s="9" customFormat="1" ht="21.95" customHeight="1" x14ac:dyDescent="0.15"/>
    <row r="25862" s="9" customFormat="1" ht="21.95" customHeight="1" x14ac:dyDescent="0.15"/>
    <row r="25863" s="9" customFormat="1" ht="21.95" customHeight="1" x14ac:dyDescent="0.15"/>
    <row r="25864" s="9" customFormat="1" ht="21.95" customHeight="1" x14ac:dyDescent="0.15"/>
    <row r="25865" s="9" customFormat="1" ht="21.95" customHeight="1" x14ac:dyDescent="0.15"/>
    <row r="25866" s="9" customFormat="1" ht="21.95" customHeight="1" x14ac:dyDescent="0.15"/>
    <row r="25867" s="9" customFormat="1" ht="21.95" customHeight="1" x14ac:dyDescent="0.15"/>
    <row r="25868" s="9" customFormat="1" ht="21.95" customHeight="1" x14ac:dyDescent="0.15"/>
    <row r="25869" s="9" customFormat="1" ht="21.95" customHeight="1" x14ac:dyDescent="0.15"/>
    <row r="25870" s="9" customFormat="1" ht="21.95" customHeight="1" x14ac:dyDescent="0.15"/>
    <row r="25871" s="9" customFormat="1" ht="21.95" customHeight="1" x14ac:dyDescent="0.15"/>
    <row r="25872" s="9" customFormat="1" ht="21.95" customHeight="1" x14ac:dyDescent="0.15"/>
    <row r="25873" s="9" customFormat="1" ht="21.95" customHeight="1" x14ac:dyDescent="0.15"/>
    <row r="25874" s="9" customFormat="1" ht="21.95" customHeight="1" x14ac:dyDescent="0.15"/>
    <row r="25875" s="9" customFormat="1" ht="21.95" customHeight="1" x14ac:dyDescent="0.15"/>
    <row r="25876" s="9" customFormat="1" ht="21.95" customHeight="1" x14ac:dyDescent="0.15"/>
    <row r="25877" s="9" customFormat="1" ht="21.95" customHeight="1" x14ac:dyDescent="0.15"/>
    <row r="25878" s="9" customFormat="1" ht="21.95" customHeight="1" x14ac:dyDescent="0.15"/>
    <row r="25879" s="9" customFormat="1" ht="21.95" customHeight="1" x14ac:dyDescent="0.15"/>
    <row r="25880" s="9" customFormat="1" ht="21.95" customHeight="1" x14ac:dyDescent="0.15"/>
    <row r="25881" s="9" customFormat="1" ht="21.95" customHeight="1" x14ac:dyDescent="0.15"/>
    <row r="25882" s="9" customFormat="1" ht="21.95" customHeight="1" x14ac:dyDescent="0.15"/>
    <row r="25883" s="9" customFormat="1" ht="21.95" customHeight="1" x14ac:dyDescent="0.15"/>
    <row r="25884" s="9" customFormat="1" ht="21.95" customHeight="1" x14ac:dyDescent="0.15"/>
    <row r="25885" s="9" customFormat="1" ht="21.95" customHeight="1" x14ac:dyDescent="0.15"/>
    <row r="25886" s="9" customFormat="1" ht="21.95" customHeight="1" x14ac:dyDescent="0.15"/>
    <row r="25887" s="9" customFormat="1" ht="21.95" customHeight="1" x14ac:dyDescent="0.15"/>
    <row r="25888" s="9" customFormat="1" ht="21.95" customHeight="1" x14ac:dyDescent="0.15"/>
    <row r="25889" s="9" customFormat="1" ht="21.95" customHeight="1" x14ac:dyDescent="0.15"/>
    <row r="25890" s="9" customFormat="1" ht="21.95" customHeight="1" x14ac:dyDescent="0.15"/>
    <row r="25891" s="9" customFormat="1" ht="21.95" customHeight="1" x14ac:dyDescent="0.15"/>
    <row r="25892" s="9" customFormat="1" ht="21.95" customHeight="1" x14ac:dyDescent="0.15"/>
    <row r="25893" s="9" customFormat="1" ht="21.95" customHeight="1" x14ac:dyDescent="0.15"/>
    <row r="25894" s="9" customFormat="1" ht="35.1" customHeight="1" x14ac:dyDescent="0.15"/>
    <row r="25895" s="9" customFormat="1" ht="21.95" customHeight="1" x14ac:dyDescent="0.15"/>
    <row r="25896" s="9" customFormat="1" ht="21.95" customHeight="1" x14ac:dyDescent="0.15"/>
    <row r="25897" s="9" customFormat="1" ht="21.95" customHeight="1" x14ac:dyDescent="0.15"/>
    <row r="25898" s="9" customFormat="1" ht="21.95" customHeight="1" x14ac:dyDescent="0.15"/>
    <row r="25899" s="9" customFormat="1" ht="21.95" customHeight="1" x14ac:dyDescent="0.15"/>
    <row r="25900" s="9" customFormat="1" ht="21.95" customHeight="1" x14ac:dyDescent="0.15"/>
    <row r="25901" s="9" customFormat="1" ht="21.95" customHeight="1" x14ac:dyDescent="0.15"/>
    <row r="25902" s="9" customFormat="1" ht="21.95" customHeight="1" x14ac:dyDescent="0.15"/>
    <row r="25903" s="9" customFormat="1" ht="21.95" customHeight="1" x14ac:dyDescent="0.15"/>
    <row r="25904" s="9" customFormat="1" ht="21.95" customHeight="1" x14ac:dyDescent="0.15"/>
    <row r="25905" spans="3:3" s="9" customFormat="1" ht="21.95" customHeight="1" x14ac:dyDescent="0.15"/>
    <row r="25906" spans="3:3" s="9" customFormat="1" ht="21.95" customHeight="1" x14ac:dyDescent="0.15"/>
    <row r="25907" spans="3:3" s="9" customFormat="1" ht="21.95" customHeight="1" x14ac:dyDescent="0.15"/>
    <row r="25908" spans="3:3" s="9" customFormat="1" ht="21.95" customHeight="1" x14ac:dyDescent="0.15"/>
    <row r="25909" spans="3:3" s="9" customFormat="1" ht="21.95" customHeight="1" x14ac:dyDescent="0.15"/>
    <row r="25910" spans="3:3" s="9" customFormat="1" ht="21.95" customHeight="1" x14ac:dyDescent="0.15"/>
    <row r="25911" spans="3:3" s="9" customFormat="1" ht="21.95" customHeight="1" x14ac:dyDescent="0.15"/>
    <row r="25912" spans="3:3" s="9" customFormat="1" ht="21.95" customHeight="1" x14ac:dyDescent="0.15"/>
    <row r="25913" spans="3:3" s="9" customFormat="1" ht="21.95" customHeight="1" x14ac:dyDescent="0.15"/>
    <row r="25914" spans="3:3" s="9" customFormat="1" ht="21.95" customHeight="1" x14ac:dyDescent="0.15"/>
    <row r="25915" spans="3:3" s="9" customFormat="1" ht="21.95" customHeight="1" x14ac:dyDescent="0.15"/>
    <row r="25916" spans="3:3" s="9" customFormat="1" ht="21.95" customHeight="1" x14ac:dyDescent="0.15"/>
    <row r="25917" spans="3:3" s="9" customFormat="1" ht="21.95" customHeight="1" x14ac:dyDescent="0.15"/>
    <row r="25918" spans="3:3" s="8" customFormat="1" ht="21.95" customHeight="1" x14ac:dyDescent="0.15"/>
    <row r="25919" spans="3:3" s="8" customFormat="1" ht="21.95" customHeight="1" x14ac:dyDescent="0.15"/>
    <row r="25920" spans="3:3" s="8" customFormat="1" ht="21.95" customHeight="1" x14ac:dyDescent="0.15">
      <c r="C25920" s="101"/>
    </row>
    <row r="25921" spans="3:3" s="8" customFormat="1" ht="21.95" customHeight="1" x14ac:dyDescent="0.15">
      <c r="C25921" s="101"/>
    </row>
    <row r="25922" spans="3:3" s="8" customFormat="1" ht="21.95" customHeight="1" x14ac:dyDescent="0.15"/>
    <row r="25923" spans="3:3" s="8" customFormat="1" ht="21.95" customHeight="1" x14ac:dyDescent="0.15"/>
    <row r="25924" spans="3:3" s="8" customFormat="1" ht="21.95" customHeight="1" x14ac:dyDescent="0.15"/>
    <row r="25925" spans="3:3" s="8" customFormat="1" ht="21.95" customHeight="1" x14ac:dyDescent="0.15"/>
    <row r="25926" spans="3:3" s="8" customFormat="1" ht="21.95" customHeight="1" x14ac:dyDescent="0.15"/>
    <row r="25927" spans="3:3" s="8" customFormat="1" ht="21.95" customHeight="1" x14ac:dyDescent="0.15"/>
    <row r="25928" spans="3:3" s="8" customFormat="1" ht="21.95" customHeight="1" x14ac:dyDescent="0.15"/>
    <row r="25929" spans="3:3" s="9" customFormat="1" ht="21.95" customHeight="1" x14ac:dyDescent="0.15"/>
    <row r="25930" spans="3:3" s="9" customFormat="1" ht="21.95" customHeight="1" x14ac:dyDescent="0.15"/>
    <row r="25931" spans="3:3" s="9" customFormat="1" ht="21.95" customHeight="1" x14ac:dyDescent="0.15"/>
    <row r="25932" spans="3:3" s="9" customFormat="1" ht="21.95" customHeight="1" x14ac:dyDescent="0.15"/>
    <row r="25933" spans="3:3" s="8" customFormat="1" ht="21.95" customHeight="1" x14ac:dyDescent="0.15"/>
    <row r="25934" spans="3:3" s="8" customFormat="1" ht="21.95" customHeight="1" x14ac:dyDescent="0.15"/>
    <row r="25935" spans="3:3" s="8" customFormat="1" ht="21.95" customHeight="1" x14ac:dyDescent="0.15"/>
    <row r="25936" spans="3:3" s="8" customFormat="1" ht="21.95" customHeight="1" x14ac:dyDescent="0.15"/>
    <row r="25937" s="8" customFormat="1" ht="21.95" customHeight="1" x14ac:dyDescent="0.15"/>
    <row r="25938" s="8" customFormat="1" ht="21.95" customHeight="1" x14ac:dyDescent="0.15"/>
    <row r="25939" s="8" customFormat="1" ht="21.95" customHeight="1" x14ac:dyDescent="0.15"/>
    <row r="25940" s="8" customFormat="1" ht="21.95" customHeight="1" x14ac:dyDescent="0.15"/>
    <row r="25941" s="8" customFormat="1" ht="21.95" customHeight="1" x14ac:dyDescent="0.15"/>
    <row r="25942" s="8" customFormat="1" ht="21.95" customHeight="1" x14ac:dyDescent="0.15"/>
    <row r="25943" s="8" customFormat="1" ht="21.95" customHeight="1" x14ac:dyDescent="0.15"/>
    <row r="25944" s="8" customFormat="1" ht="32.1" customHeight="1" x14ac:dyDescent="0.15"/>
    <row r="25945" s="8" customFormat="1" ht="32.1" customHeight="1" x14ac:dyDescent="0.15"/>
    <row r="25946" s="8" customFormat="1" ht="32.1" customHeight="1" x14ac:dyDescent="0.15"/>
    <row r="25947" s="8" customFormat="1" ht="32.1" customHeight="1" x14ac:dyDescent="0.15"/>
    <row r="25948" s="8" customFormat="1" ht="32.1" customHeight="1" x14ac:dyDescent="0.15"/>
    <row r="25949" s="8" customFormat="1" ht="32.1" customHeight="1" x14ac:dyDescent="0.15"/>
    <row r="25950" s="9" customFormat="1" ht="32.1" customHeight="1" x14ac:dyDescent="0.15"/>
    <row r="25951" s="9" customFormat="1" ht="32.1" customHeight="1" x14ac:dyDescent="0.15"/>
    <row r="25952" s="9" customFormat="1" ht="32.1" customHeight="1" x14ac:dyDescent="0.15"/>
    <row r="25953" s="9" customFormat="1" ht="32.1" customHeight="1" x14ac:dyDescent="0.15"/>
    <row r="25954" s="9" customFormat="1" ht="21.95" customHeight="1" x14ac:dyDescent="0.15"/>
    <row r="25955" s="9" customFormat="1" ht="54" customHeight="1" x14ac:dyDescent="0.15"/>
    <row r="25956" s="9" customFormat="1" ht="21.95" customHeight="1" x14ac:dyDescent="0.15"/>
    <row r="25957" s="9" customFormat="1" ht="21.95" customHeight="1" x14ac:dyDescent="0.15"/>
    <row r="25958" s="9" customFormat="1" ht="21.95" customHeight="1" x14ac:dyDescent="0.15"/>
    <row r="25959" s="9" customFormat="1" ht="21.95" customHeight="1" x14ac:dyDescent="0.15"/>
    <row r="25960" s="9" customFormat="1" ht="21.95" customHeight="1" x14ac:dyDescent="0.15"/>
    <row r="25961" s="9" customFormat="1" ht="21.95" customHeight="1" x14ac:dyDescent="0.15"/>
    <row r="25962" s="9" customFormat="1" ht="21.95" customHeight="1" x14ac:dyDescent="0.15"/>
    <row r="25963" s="9" customFormat="1" ht="21.95" customHeight="1" x14ac:dyDescent="0.15"/>
    <row r="25964" s="9" customFormat="1" ht="21.95" customHeight="1" x14ac:dyDescent="0.15"/>
    <row r="25965" s="9" customFormat="1" ht="21.95" customHeight="1" x14ac:dyDescent="0.15"/>
    <row r="25966" s="9" customFormat="1" ht="21.95" customHeight="1" x14ac:dyDescent="0.15"/>
    <row r="25967" s="9" customFormat="1" ht="21.95" customHeight="1" x14ac:dyDescent="0.15"/>
    <row r="25968" s="9" customFormat="1" ht="21.95" customHeight="1" x14ac:dyDescent="0.15"/>
    <row r="25969" s="9" customFormat="1" ht="21.95" customHeight="1" x14ac:dyDescent="0.15"/>
    <row r="25970" s="9" customFormat="1" ht="21.95" customHeight="1" x14ac:dyDescent="0.15"/>
    <row r="25971" s="9" customFormat="1" ht="21.95" customHeight="1" x14ac:dyDescent="0.15"/>
    <row r="25972" s="9" customFormat="1" ht="21.95" customHeight="1" x14ac:dyDescent="0.15"/>
    <row r="25973" s="9" customFormat="1" ht="21.95" customHeight="1" x14ac:dyDescent="0.15"/>
    <row r="25974" s="9" customFormat="1" ht="21.95" customHeight="1" x14ac:dyDescent="0.15"/>
    <row r="25975" s="9" customFormat="1" ht="21.95" customHeight="1" x14ac:dyDescent="0.15"/>
    <row r="25976" s="9" customFormat="1" ht="21.95" customHeight="1" x14ac:dyDescent="0.15"/>
    <row r="25977" s="9" customFormat="1" ht="21.95" customHeight="1" x14ac:dyDescent="0.15"/>
    <row r="25978" s="9" customFormat="1" ht="21.95" customHeight="1" x14ac:dyDescent="0.15"/>
    <row r="25979" s="9" customFormat="1" ht="21.95" customHeight="1" x14ac:dyDescent="0.15"/>
    <row r="25980" s="9" customFormat="1" ht="21.95" customHeight="1" x14ac:dyDescent="0.15"/>
    <row r="25981" s="9" customFormat="1" ht="21.95" customHeight="1" x14ac:dyDescent="0.15"/>
    <row r="25982" s="9" customFormat="1" ht="21.95" customHeight="1" x14ac:dyDescent="0.15"/>
    <row r="25983" s="9" customFormat="1" ht="21.95" customHeight="1" x14ac:dyDescent="0.15"/>
    <row r="25984" s="9" customFormat="1" ht="21.95" customHeight="1" x14ac:dyDescent="0.15"/>
    <row r="25985" s="9" customFormat="1" ht="21.95" customHeight="1" x14ac:dyDescent="0.15"/>
    <row r="25986" s="9" customFormat="1" ht="21.95" customHeight="1" x14ac:dyDescent="0.15"/>
    <row r="25987" s="9" customFormat="1" ht="21.95" customHeight="1" x14ac:dyDescent="0.15"/>
    <row r="25988" s="9" customFormat="1" ht="21.95" customHeight="1" x14ac:dyDescent="0.15"/>
    <row r="25989" s="9" customFormat="1" ht="21.95" customHeight="1" x14ac:dyDescent="0.15"/>
    <row r="25990" s="9" customFormat="1" ht="21.95" customHeight="1" x14ac:dyDescent="0.15"/>
    <row r="25991" s="9" customFormat="1" ht="21.95" customHeight="1" x14ac:dyDescent="0.15"/>
    <row r="25992" s="9" customFormat="1" ht="21.95" customHeight="1" x14ac:dyDescent="0.15"/>
    <row r="25993" s="9" customFormat="1" ht="21.95" customHeight="1" x14ac:dyDescent="0.15"/>
    <row r="25994" s="9" customFormat="1" ht="21.95" customHeight="1" x14ac:dyDescent="0.15"/>
    <row r="25995" s="9" customFormat="1" ht="21.95" customHeight="1" x14ac:dyDescent="0.15"/>
    <row r="25996" s="9" customFormat="1" ht="21.95" customHeight="1" x14ac:dyDescent="0.15"/>
    <row r="25997" s="9" customFormat="1" ht="21.95" customHeight="1" x14ac:dyDescent="0.15"/>
    <row r="25998" s="9" customFormat="1" ht="21.95" customHeight="1" x14ac:dyDescent="0.15"/>
    <row r="25999" s="9" customFormat="1" ht="21.95" customHeight="1" x14ac:dyDescent="0.15"/>
    <row r="26000" s="9" customFormat="1" ht="21.95" customHeight="1" x14ac:dyDescent="0.15"/>
    <row r="26001" s="9" customFormat="1" ht="21.95" customHeight="1" x14ac:dyDescent="0.15"/>
    <row r="26002" s="9" customFormat="1" ht="21.95" customHeight="1" x14ac:dyDescent="0.15"/>
    <row r="26003" s="9" customFormat="1" ht="21.95" customHeight="1" x14ac:dyDescent="0.15"/>
    <row r="26004" s="9" customFormat="1" ht="21.95" customHeight="1" x14ac:dyDescent="0.15"/>
    <row r="26005" s="9" customFormat="1" ht="21.95" customHeight="1" x14ac:dyDescent="0.15"/>
    <row r="26006" s="9" customFormat="1" ht="35.1" customHeight="1" x14ac:dyDescent="0.15"/>
    <row r="26007" s="9" customFormat="1" ht="21.95" customHeight="1" x14ac:dyDescent="0.15"/>
    <row r="26008" s="9" customFormat="1" ht="21.95" customHeight="1" x14ac:dyDescent="0.15"/>
    <row r="26009" s="9" customFormat="1" ht="21.95" customHeight="1" x14ac:dyDescent="0.15"/>
    <row r="26010" s="9" customFormat="1" ht="21.95" customHeight="1" x14ac:dyDescent="0.15"/>
    <row r="26011" s="9" customFormat="1" ht="21.95" customHeight="1" x14ac:dyDescent="0.15"/>
    <row r="26012" s="9" customFormat="1" ht="21.95" customHeight="1" x14ac:dyDescent="0.15"/>
    <row r="26013" s="9" customFormat="1" ht="21.95" customHeight="1" x14ac:dyDescent="0.15"/>
    <row r="26014" s="9" customFormat="1" ht="21.95" customHeight="1" x14ac:dyDescent="0.15"/>
    <row r="26015" s="9" customFormat="1" ht="21.95" customHeight="1" x14ac:dyDescent="0.15"/>
    <row r="26016" s="9" customFormat="1" ht="21.95" customHeight="1" x14ac:dyDescent="0.15"/>
    <row r="26017" spans="3:3" s="9" customFormat="1" ht="21.95" customHeight="1" x14ac:dyDescent="0.15"/>
    <row r="26018" spans="3:3" s="9" customFormat="1" ht="21.95" customHeight="1" x14ac:dyDescent="0.15"/>
    <row r="26019" spans="3:3" s="9" customFormat="1" ht="21.95" customHeight="1" x14ac:dyDescent="0.15"/>
    <row r="26020" spans="3:3" s="9" customFormat="1" ht="21.95" customHeight="1" x14ac:dyDescent="0.15"/>
    <row r="26021" spans="3:3" s="9" customFormat="1" ht="21.95" customHeight="1" x14ac:dyDescent="0.15"/>
    <row r="26022" spans="3:3" s="9" customFormat="1" ht="21.95" customHeight="1" x14ac:dyDescent="0.15"/>
    <row r="26023" spans="3:3" s="9" customFormat="1" ht="21.95" customHeight="1" x14ac:dyDescent="0.15"/>
    <row r="26024" spans="3:3" s="9" customFormat="1" ht="21.95" customHeight="1" x14ac:dyDescent="0.15"/>
    <row r="26025" spans="3:3" s="9" customFormat="1" ht="21.95" customHeight="1" x14ac:dyDescent="0.15"/>
    <row r="26026" spans="3:3" s="9" customFormat="1" ht="21.95" customHeight="1" x14ac:dyDescent="0.15"/>
    <row r="26027" spans="3:3" s="9" customFormat="1" ht="21.95" customHeight="1" x14ac:dyDescent="0.15"/>
    <row r="26028" spans="3:3" s="9" customFormat="1" ht="21.95" customHeight="1" x14ac:dyDescent="0.15"/>
    <row r="26029" spans="3:3" s="9" customFormat="1" ht="21.95" customHeight="1" x14ac:dyDescent="0.15"/>
    <row r="26030" spans="3:3" s="8" customFormat="1" ht="21.95" customHeight="1" x14ac:dyDescent="0.15"/>
    <row r="26031" spans="3:3" s="8" customFormat="1" ht="21.95" customHeight="1" x14ac:dyDescent="0.15"/>
    <row r="26032" spans="3:3" s="8" customFormat="1" ht="21.95" customHeight="1" x14ac:dyDescent="0.15">
      <c r="C26032" s="101"/>
    </row>
    <row r="26033" spans="3:3" s="8" customFormat="1" ht="21.95" customHeight="1" x14ac:dyDescent="0.15">
      <c r="C26033" s="101"/>
    </row>
    <row r="26034" spans="3:3" s="8" customFormat="1" ht="21.95" customHeight="1" x14ac:dyDescent="0.15"/>
    <row r="26035" spans="3:3" s="8" customFormat="1" ht="21.95" customHeight="1" x14ac:dyDescent="0.15"/>
    <row r="26036" spans="3:3" s="8" customFormat="1" ht="21.95" customHeight="1" x14ac:dyDescent="0.15"/>
    <row r="26037" spans="3:3" s="8" customFormat="1" ht="21.95" customHeight="1" x14ac:dyDescent="0.15"/>
    <row r="26038" spans="3:3" s="8" customFormat="1" ht="21.95" customHeight="1" x14ac:dyDescent="0.15"/>
    <row r="26039" spans="3:3" s="8" customFormat="1" ht="21.95" customHeight="1" x14ac:dyDescent="0.15"/>
    <row r="26040" spans="3:3" s="8" customFormat="1" ht="21.95" customHeight="1" x14ac:dyDescent="0.15"/>
    <row r="26041" spans="3:3" s="9" customFormat="1" ht="21.95" customHeight="1" x14ac:dyDescent="0.15"/>
    <row r="26042" spans="3:3" s="9" customFormat="1" ht="21.95" customHeight="1" x14ac:dyDescent="0.15"/>
    <row r="26043" spans="3:3" s="9" customFormat="1" ht="21.95" customHeight="1" x14ac:dyDescent="0.15"/>
    <row r="26044" spans="3:3" s="9" customFormat="1" ht="21.95" customHeight="1" x14ac:dyDescent="0.15"/>
    <row r="26045" spans="3:3" s="8" customFormat="1" ht="21.95" customHeight="1" x14ac:dyDescent="0.15"/>
    <row r="26046" spans="3:3" s="8" customFormat="1" ht="21.95" customHeight="1" x14ac:dyDescent="0.15"/>
    <row r="26047" spans="3:3" s="8" customFormat="1" ht="21.95" customHeight="1" x14ac:dyDescent="0.15"/>
    <row r="26048" spans="3:3" s="8" customFormat="1" ht="21.95" customHeight="1" x14ac:dyDescent="0.15"/>
    <row r="26049" s="8" customFormat="1" ht="21.95" customHeight="1" x14ac:dyDescent="0.15"/>
    <row r="26050" s="8" customFormat="1" ht="21.95" customHeight="1" x14ac:dyDescent="0.15"/>
    <row r="26051" s="8" customFormat="1" ht="21.95" customHeight="1" x14ac:dyDescent="0.15"/>
    <row r="26052" s="8" customFormat="1" ht="21.95" customHeight="1" x14ac:dyDescent="0.15"/>
    <row r="26053" s="8" customFormat="1" ht="21.95" customHeight="1" x14ac:dyDescent="0.15"/>
    <row r="26054" s="8" customFormat="1" ht="21.95" customHeight="1" x14ac:dyDescent="0.15"/>
    <row r="26055" s="8" customFormat="1" ht="21.95" customHeight="1" x14ac:dyDescent="0.15"/>
    <row r="26056" s="8" customFormat="1" ht="32.1" customHeight="1" x14ac:dyDescent="0.15"/>
    <row r="26057" s="8" customFormat="1" ht="32.1" customHeight="1" x14ac:dyDescent="0.15"/>
    <row r="26058" s="8" customFormat="1" ht="32.1" customHeight="1" x14ac:dyDescent="0.15"/>
    <row r="26059" s="8" customFormat="1" ht="32.1" customHeight="1" x14ac:dyDescent="0.15"/>
    <row r="26060" s="8" customFormat="1" ht="32.1" customHeight="1" x14ac:dyDescent="0.15"/>
    <row r="26061" s="8" customFormat="1" ht="32.1" customHeight="1" x14ac:dyDescent="0.15"/>
    <row r="26062" s="9" customFormat="1" ht="32.1" customHeight="1" x14ac:dyDescent="0.15"/>
    <row r="26063" s="9" customFormat="1" ht="32.1" customHeight="1" x14ac:dyDescent="0.15"/>
    <row r="26064" s="9" customFormat="1" ht="32.1" customHeight="1" x14ac:dyDescent="0.15"/>
    <row r="26065" s="9" customFormat="1" ht="32.1" customHeight="1" x14ac:dyDescent="0.15"/>
    <row r="26066" s="9" customFormat="1" ht="21.95" customHeight="1" x14ac:dyDescent="0.15"/>
    <row r="26067" s="9" customFormat="1" ht="54" customHeight="1" x14ac:dyDescent="0.15"/>
    <row r="26068" s="9" customFormat="1" ht="21.95" customHeight="1" x14ac:dyDescent="0.15"/>
    <row r="26069" s="9" customFormat="1" ht="21.95" customHeight="1" x14ac:dyDescent="0.15"/>
    <row r="26070" s="9" customFormat="1" ht="21.95" customHeight="1" x14ac:dyDescent="0.15"/>
    <row r="26071" s="9" customFormat="1" ht="21.95" customHeight="1" x14ac:dyDescent="0.15"/>
    <row r="26072" s="9" customFormat="1" ht="21.95" customHeight="1" x14ac:dyDescent="0.15"/>
    <row r="26073" s="9" customFormat="1" ht="21.95" customHeight="1" x14ac:dyDescent="0.15"/>
    <row r="26074" s="9" customFormat="1" ht="21.95" customHeight="1" x14ac:dyDescent="0.15"/>
    <row r="26075" s="9" customFormat="1" ht="21.95" customHeight="1" x14ac:dyDescent="0.15"/>
    <row r="26076" s="9" customFormat="1" ht="21.95" customHeight="1" x14ac:dyDescent="0.15"/>
    <row r="26077" s="9" customFormat="1" ht="21.95" customHeight="1" x14ac:dyDescent="0.15"/>
    <row r="26078" s="9" customFormat="1" ht="21.95" customHeight="1" x14ac:dyDescent="0.15"/>
    <row r="26079" s="9" customFormat="1" ht="21.95" customHeight="1" x14ac:dyDescent="0.15"/>
    <row r="26080" s="9" customFormat="1" ht="21.95" customHeight="1" x14ac:dyDescent="0.15"/>
    <row r="26081" s="9" customFormat="1" ht="21.95" customHeight="1" x14ac:dyDescent="0.15"/>
    <row r="26082" s="9" customFormat="1" ht="21.95" customHeight="1" x14ac:dyDescent="0.15"/>
    <row r="26083" s="9" customFormat="1" ht="21.95" customHeight="1" x14ac:dyDescent="0.15"/>
    <row r="26084" s="9" customFormat="1" ht="21.95" customHeight="1" x14ac:dyDescent="0.15"/>
    <row r="26085" s="9" customFormat="1" ht="21.95" customHeight="1" x14ac:dyDescent="0.15"/>
    <row r="26086" s="9" customFormat="1" ht="21.95" customHeight="1" x14ac:dyDescent="0.15"/>
    <row r="26087" s="9" customFormat="1" ht="21.95" customHeight="1" x14ac:dyDescent="0.15"/>
    <row r="26088" s="9" customFormat="1" ht="21.95" customHeight="1" x14ac:dyDescent="0.15"/>
    <row r="26089" s="9" customFormat="1" ht="21.95" customHeight="1" x14ac:dyDescent="0.15"/>
    <row r="26090" s="9" customFormat="1" ht="21.95" customHeight="1" x14ac:dyDescent="0.15"/>
    <row r="26091" s="9" customFormat="1" ht="21.95" customHeight="1" x14ac:dyDescent="0.15"/>
    <row r="26092" s="9" customFormat="1" ht="21.95" customHeight="1" x14ac:dyDescent="0.15"/>
    <row r="26093" s="9" customFormat="1" ht="21.95" customHeight="1" x14ac:dyDescent="0.15"/>
    <row r="26094" s="9" customFormat="1" ht="21.95" customHeight="1" x14ac:dyDescent="0.15"/>
    <row r="26095" s="9" customFormat="1" ht="21.95" customHeight="1" x14ac:dyDescent="0.15"/>
    <row r="26096" s="9" customFormat="1" ht="21.95" customHeight="1" x14ac:dyDescent="0.15"/>
    <row r="26097" s="9" customFormat="1" ht="21.95" customHeight="1" x14ac:dyDescent="0.15"/>
    <row r="26098" s="9" customFormat="1" ht="21.95" customHeight="1" x14ac:dyDescent="0.15"/>
    <row r="26099" s="9" customFormat="1" ht="21.95" customHeight="1" x14ac:dyDescent="0.15"/>
    <row r="26100" s="9" customFormat="1" ht="21.95" customHeight="1" x14ac:dyDescent="0.15"/>
    <row r="26101" s="9" customFormat="1" ht="21.95" customHeight="1" x14ac:dyDescent="0.15"/>
    <row r="26102" s="9" customFormat="1" ht="21.95" customHeight="1" x14ac:dyDescent="0.15"/>
    <row r="26103" s="9" customFormat="1" ht="21.95" customHeight="1" x14ac:dyDescent="0.15"/>
    <row r="26104" s="9" customFormat="1" ht="21.95" customHeight="1" x14ac:dyDescent="0.15"/>
    <row r="26105" s="9" customFormat="1" ht="21.95" customHeight="1" x14ac:dyDescent="0.15"/>
    <row r="26106" s="9" customFormat="1" ht="21.95" customHeight="1" x14ac:dyDescent="0.15"/>
    <row r="26107" s="9" customFormat="1" ht="21.95" customHeight="1" x14ac:dyDescent="0.15"/>
    <row r="26108" s="9" customFormat="1" ht="21.95" customHeight="1" x14ac:dyDescent="0.15"/>
    <row r="26109" s="9" customFormat="1" ht="21.95" customHeight="1" x14ac:dyDescent="0.15"/>
    <row r="26110" s="9" customFormat="1" ht="21.95" customHeight="1" x14ac:dyDescent="0.15"/>
    <row r="26111" s="9" customFormat="1" ht="21.95" customHeight="1" x14ac:dyDescent="0.15"/>
    <row r="26112" s="9" customFormat="1" ht="21.95" customHeight="1" x14ac:dyDescent="0.15"/>
    <row r="26113" s="9" customFormat="1" ht="21.95" customHeight="1" x14ac:dyDescent="0.15"/>
    <row r="26114" s="9" customFormat="1" ht="21.95" customHeight="1" x14ac:dyDescent="0.15"/>
    <row r="26115" s="9" customFormat="1" ht="21.95" customHeight="1" x14ac:dyDescent="0.15"/>
    <row r="26116" s="9" customFormat="1" ht="21.95" customHeight="1" x14ac:dyDescent="0.15"/>
    <row r="26117" s="9" customFormat="1" ht="21.95" customHeight="1" x14ac:dyDescent="0.15"/>
    <row r="26118" s="9" customFormat="1" ht="35.1" customHeight="1" x14ac:dyDescent="0.15"/>
    <row r="26119" s="9" customFormat="1" ht="21.95" customHeight="1" x14ac:dyDescent="0.15"/>
    <row r="26120" s="9" customFormat="1" ht="21.95" customHeight="1" x14ac:dyDescent="0.15"/>
    <row r="26121" s="9" customFormat="1" ht="21.95" customHeight="1" x14ac:dyDescent="0.15"/>
    <row r="26122" s="9" customFormat="1" ht="21.95" customHeight="1" x14ac:dyDescent="0.15"/>
    <row r="26123" s="9" customFormat="1" ht="21.95" customHeight="1" x14ac:dyDescent="0.15"/>
    <row r="26124" s="9" customFormat="1" ht="21.95" customHeight="1" x14ac:dyDescent="0.15"/>
    <row r="26125" s="9" customFormat="1" ht="21.95" customHeight="1" x14ac:dyDescent="0.15"/>
    <row r="26126" s="9" customFormat="1" ht="21.95" customHeight="1" x14ac:dyDescent="0.15"/>
    <row r="26127" s="9" customFormat="1" ht="21.95" customHeight="1" x14ac:dyDescent="0.15"/>
    <row r="26128" s="9" customFormat="1" ht="21.95" customHeight="1" x14ac:dyDescent="0.15"/>
    <row r="26129" spans="3:3" s="9" customFormat="1" ht="21.95" customHeight="1" x14ac:dyDescent="0.15"/>
    <row r="26130" spans="3:3" s="9" customFormat="1" ht="21.95" customHeight="1" x14ac:dyDescent="0.15"/>
    <row r="26131" spans="3:3" s="9" customFormat="1" ht="21.95" customHeight="1" x14ac:dyDescent="0.15"/>
    <row r="26132" spans="3:3" s="9" customFormat="1" ht="21.95" customHeight="1" x14ac:dyDescent="0.15"/>
    <row r="26133" spans="3:3" s="9" customFormat="1" ht="21.95" customHeight="1" x14ac:dyDescent="0.15"/>
    <row r="26134" spans="3:3" s="9" customFormat="1" ht="21.95" customHeight="1" x14ac:dyDescent="0.15"/>
    <row r="26135" spans="3:3" s="9" customFormat="1" ht="21.95" customHeight="1" x14ac:dyDescent="0.15"/>
    <row r="26136" spans="3:3" s="9" customFormat="1" ht="21.95" customHeight="1" x14ac:dyDescent="0.15"/>
    <row r="26137" spans="3:3" s="9" customFormat="1" ht="21.95" customHeight="1" x14ac:dyDescent="0.15"/>
    <row r="26138" spans="3:3" s="9" customFormat="1" ht="21.95" customHeight="1" x14ac:dyDescent="0.15"/>
    <row r="26139" spans="3:3" s="9" customFormat="1" ht="21.95" customHeight="1" x14ac:dyDescent="0.15"/>
    <row r="26140" spans="3:3" s="9" customFormat="1" ht="21.95" customHeight="1" x14ac:dyDescent="0.15"/>
    <row r="26141" spans="3:3" s="9" customFormat="1" ht="21.95" customHeight="1" x14ac:dyDescent="0.15"/>
    <row r="26142" spans="3:3" s="8" customFormat="1" ht="21.95" customHeight="1" x14ac:dyDescent="0.15"/>
    <row r="26143" spans="3:3" s="8" customFormat="1" ht="21.95" customHeight="1" x14ac:dyDescent="0.15"/>
    <row r="26144" spans="3:3" s="8" customFormat="1" ht="21.95" customHeight="1" x14ac:dyDescent="0.15">
      <c r="C26144" s="101"/>
    </row>
    <row r="26145" spans="3:3" s="8" customFormat="1" ht="21.95" customHeight="1" x14ac:dyDescent="0.15">
      <c r="C26145" s="101"/>
    </row>
    <row r="26146" spans="3:3" s="8" customFormat="1" ht="21.95" customHeight="1" x14ac:dyDescent="0.15"/>
    <row r="26147" spans="3:3" s="8" customFormat="1" ht="21.95" customHeight="1" x14ac:dyDescent="0.15"/>
    <row r="26148" spans="3:3" s="8" customFormat="1" ht="21.95" customHeight="1" x14ac:dyDescent="0.15"/>
    <row r="26149" spans="3:3" s="8" customFormat="1" ht="21.95" customHeight="1" x14ac:dyDescent="0.15"/>
    <row r="26150" spans="3:3" s="8" customFormat="1" ht="21.95" customHeight="1" x14ac:dyDescent="0.15"/>
    <row r="26151" spans="3:3" s="8" customFormat="1" ht="21.95" customHeight="1" x14ac:dyDescent="0.15"/>
    <row r="26152" spans="3:3" s="8" customFormat="1" ht="21.95" customHeight="1" x14ac:dyDescent="0.15"/>
    <row r="26153" spans="3:3" s="9" customFormat="1" ht="21.95" customHeight="1" x14ac:dyDescent="0.15"/>
    <row r="26154" spans="3:3" s="9" customFormat="1" ht="21.95" customHeight="1" x14ac:dyDescent="0.15"/>
    <row r="26155" spans="3:3" s="9" customFormat="1" ht="21.95" customHeight="1" x14ac:dyDescent="0.15"/>
    <row r="26156" spans="3:3" s="9" customFormat="1" ht="21.95" customHeight="1" x14ac:dyDescent="0.15"/>
    <row r="26157" spans="3:3" s="8" customFormat="1" ht="21.95" customHeight="1" x14ac:dyDescent="0.15"/>
    <row r="26158" spans="3:3" s="8" customFormat="1" ht="21.95" customHeight="1" x14ac:dyDescent="0.15"/>
    <row r="26159" spans="3:3" s="8" customFormat="1" ht="21.95" customHeight="1" x14ac:dyDescent="0.15"/>
    <row r="26160" spans="3:3" s="8" customFormat="1" ht="21.95" customHeight="1" x14ac:dyDescent="0.15"/>
    <row r="26161" s="8" customFormat="1" ht="21.95" customHeight="1" x14ac:dyDescent="0.15"/>
    <row r="26162" s="8" customFormat="1" ht="21.95" customHeight="1" x14ac:dyDescent="0.15"/>
    <row r="26163" s="8" customFormat="1" ht="21.95" customHeight="1" x14ac:dyDescent="0.15"/>
    <row r="26164" s="8" customFormat="1" ht="21.95" customHeight="1" x14ac:dyDescent="0.15"/>
    <row r="26165" s="8" customFormat="1" ht="21.95" customHeight="1" x14ac:dyDescent="0.15"/>
    <row r="26166" s="8" customFormat="1" ht="21.95" customHeight="1" x14ac:dyDescent="0.15"/>
    <row r="26167" s="8" customFormat="1" ht="21.95" customHeight="1" x14ac:dyDescent="0.15"/>
    <row r="26168" s="8" customFormat="1" ht="32.1" customHeight="1" x14ac:dyDescent="0.15"/>
    <row r="26169" s="8" customFormat="1" ht="32.1" customHeight="1" x14ac:dyDescent="0.15"/>
    <row r="26170" s="8" customFormat="1" ht="32.1" customHeight="1" x14ac:dyDescent="0.15"/>
    <row r="26171" s="8" customFormat="1" ht="32.1" customHeight="1" x14ac:dyDescent="0.15"/>
    <row r="26172" s="8" customFormat="1" ht="32.1" customHeight="1" x14ac:dyDescent="0.15"/>
    <row r="26173" s="8" customFormat="1" ht="32.1" customHeight="1" x14ac:dyDescent="0.15"/>
    <row r="26174" s="9" customFormat="1" ht="32.1" customHeight="1" x14ac:dyDescent="0.15"/>
    <row r="26175" s="9" customFormat="1" ht="32.1" customHeight="1" x14ac:dyDescent="0.15"/>
    <row r="26176" s="9" customFormat="1" ht="32.1" customHeight="1" x14ac:dyDescent="0.15"/>
    <row r="26177" s="9" customFormat="1" ht="32.1" customHeight="1" x14ac:dyDescent="0.15"/>
    <row r="26178" s="9" customFormat="1" ht="21.95" customHeight="1" x14ac:dyDescent="0.15"/>
    <row r="26179" s="9" customFormat="1" ht="54" customHeight="1" x14ac:dyDescent="0.15"/>
    <row r="26180" s="9" customFormat="1" ht="21.95" customHeight="1" x14ac:dyDescent="0.15"/>
    <row r="26181" s="9" customFormat="1" ht="21.95" customHeight="1" x14ac:dyDescent="0.15"/>
    <row r="26182" s="9" customFormat="1" ht="21.95" customHeight="1" x14ac:dyDescent="0.15"/>
    <row r="26183" s="9" customFormat="1" ht="21.95" customHeight="1" x14ac:dyDescent="0.15"/>
    <row r="26184" s="9" customFormat="1" ht="21.95" customHeight="1" x14ac:dyDescent="0.15"/>
    <row r="26185" s="9" customFormat="1" ht="21.95" customHeight="1" x14ac:dyDescent="0.15"/>
    <row r="26186" s="9" customFormat="1" ht="21.95" customHeight="1" x14ac:dyDescent="0.15"/>
    <row r="26187" s="9" customFormat="1" ht="21.95" customHeight="1" x14ac:dyDescent="0.15"/>
    <row r="26188" s="9" customFormat="1" ht="21.95" customHeight="1" x14ac:dyDescent="0.15"/>
    <row r="26189" s="9" customFormat="1" ht="21.95" customHeight="1" x14ac:dyDescent="0.15"/>
    <row r="26190" s="9" customFormat="1" ht="21.95" customHeight="1" x14ac:dyDescent="0.15"/>
    <row r="26191" s="9" customFormat="1" ht="21.95" customHeight="1" x14ac:dyDescent="0.15"/>
    <row r="26192" s="9" customFormat="1" ht="21.95" customHeight="1" x14ac:dyDescent="0.15"/>
    <row r="26193" s="9" customFormat="1" ht="21.95" customHeight="1" x14ac:dyDescent="0.15"/>
    <row r="26194" s="9" customFormat="1" ht="21.95" customHeight="1" x14ac:dyDescent="0.15"/>
    <row r="26195" s="9" customFormat="1" ht="21.95" customHeight="1" x14ac:dyDescent="0.15"/>
    <row r="26196" s="9" customFormat="1" ht="21.95" customHeight="1" x14ac:dyDescent="0.15"/>
    <row r="26197" s="9" customFormat="1" ht="21.95" customHeight="1" x14ac:dyDescent="0.15"/>
    <row r="26198" s="9" customFormat="1" ht="21.95" customHeight="1" x14ac:dyDescent="0.15"/>
    <row r="26199" s="9" customFormat="1" ht="21.95" customHeight="1" x14ac:dyDescent="0.15"/>
    <row r="26200" s="9" customFormat="1" ht="21.95" customHeight="1" x14ac:dyDescent="0.15"/>
    <row r="26201" s="9" customFormat="1" ht="21.95" customHeight="1" x14ac:dyDescent="0.15"/>
    <row r="26202" s="9" customFormat="1" ht="21.95" customHeight="1" x14ac:dyDescent="0.15"/>
    <row r="26203" s="9" customFormat="1" ht="21.95" customHeight="1" x14ac:dyDescent="0.15"/>
    <row r="26204" s="9" customFormat="1" ht="21.95" customHeight="1" x14ac:dyDescent="0.15"/>
    <row r="26205" s="9" customFormat="1" ht="21.95" customHeight="1" x14ac:dyDescent="0.15"/>
    <row r="26206" s="9" customFormat="1" ht="21.95" customHeight="1" x14ac:dyDescent="0.15"/>
    <row r="26207" s="9" customFormat="1" ht="21.95" customHeight="1" x14ac:dyDescent="0.15"/>
    <row r="26208" s="9" customFormat="1" ht="21.95" customHeight="1" x14ac:dyDescent="0.15"/>
    <row r="26209" s="9" customFormat="1" ht="21.95" customHeight="1" x14ac:dyDescent="0.15"/>
    <row r="26210" s="9" customFormat="1" ht="21.95" customHeight="1" x14ac:dyDescent="0.15"/>
    <row r="26211" s="9" customFormat="1" ht="21.95" customHeight="1" x14ac:dyDescent="0.15"/>
    <row r="26212" s="9" customFormat="1" ht="21.95" customHeight="1" x14ac:dyDescent="0.15"/>
    <row r="26213" s="9" customFormat="1" ht="21.95" customHeight="1" x14ac:dyDescent="0.15"/>
    <row r="26214" s="9" customFormat="1" ht="21.95" customHeight="1" x14ac:dyDescent="0.15"/>
    <row r="26215" s="9" customFormat="1" ht="21.95" customHeight="1" x14ac:dyDescent="0.15"/>
    <row r="26216" s="9" customFormat="1" ht="21.95" customHeight="1" x14ac:dyDescent="0.15"/>
    <row r="26217" s="9" customFormat="1" ht="21.95" customHeight="1" x14ac:dyDescent="0.15"/>
    <row r="26218" s="9" customFormat="1" ht="21.95" customHeight="1" x14ac:dyDescent="0.15"/>
    <row r="26219" s="9" customFormat="1" ht="21.95" customHeight="1" x14ac:dyDescent="0.15"/>
    <row r="26220" s="9" customFormat="1" ht="21.95" customHeight="1" x14ac:dyDescent="0.15"/>
    <row r="26221" s="9" customFormat="1" ht="21.95" customHeight="1" x14ac:dyDescent="0.15"/>
    <row r="26222" s="9" customFormat="1" ht="21.95" customHeight="1" x14ac:dyDescent="0.15"/>
    <row r="26223" s="9" customFormat="1" ht="21.95" customHeight="1" x14ac:dyDescent="0.15"/>
    <row r="26224" s="9" customFormat="1" ht="21.95" customHeight="1" x14ac:dyDescent="0.15"/>
    <row r="26225" s="9" customFormat="1" ht="21.95" customHeight="1" x14ac:dyDescent="0.15"/>
    <row r="26226" s="9" customFormat="1" ht="21.95" customHeight="1" x14ac:dyDescent="0.15"/>
    <row r="26227" s="9" customFormat="1" ht="21.95" customHeight="1" x14ac:dyDescent="0.15"/>
    <row r="26228" s="9" customFormat="1" ht="21.95" customHeight="1" x14ac:dyDescent="0.15"/>
    <row r="26229" s="9" customFormat="1" ht="21.95" customHeight="1" x14ac:dyDescent="0.15"/>
    <row r="26230" s="9" customFormat="1" ht="35.1" customHeight="1" x14ac:dyDescent="0.15"/>
    <row r="26231" s="9" customFormat="1" ht="21.95" customHeight="1" x14ac:dyDescent="0.15"/>
    <row r="26232" s="9" customFormat="1" ht="21.95" customHeight="1" x14ac:dyDescent="0.15"/>
    <row r="26233" s="9" customFormat="1" ht="21.95" customHeight="1" x14ac:dyDescent="0.15"/>
    <row r="26234" s="9" customFormat="1" ht="21.95" customHeight="1" x14ac:dyDescent="0.15"/>
    <row r="26235" s="9" customFormat="1" ht="21.95" customHeight="1" x14ac:dyDescent="0.15"/>
    <row r="26236" s="9" customFormat="1" ht="21.95" customHeight="1" x14ac:dyDescent="0.15"/>
    <row r="26237" s="9" customFormat="1" ht="21.95" customHeight="1" x14ac:dyDescent="0.15"/>
    <row r="26238" s="9" customFormat="1" ht="21.95" customHeight="1" x14ac:dyDescent="0.15"/>
    <row r="26239" s="9" customFormat="1" ht="21.95" customHeight="1" x14ac:dyDescent="0.15"/>
    <row r="26240" s="9" customFormat="1" ht="21.95" customHeight="1" x14ac:dyDescent="0.15"/>
    <row r="26241" spans="3:3" s="9" customFormat="1" ht="21.95" customHeight="1" x14ac:dyDescent="0.15"/>
    <row r="26242" spans="3:3" s="9" customFormat="1" ht="21.95" customHeight="1" x14ac:dyDescent="0.15"/>
    <row r="26243" spans="3:3" s="9" customFormat="1" ht="21.95" customHeight="1" x14ac:dyDescent="0.15"/>
    <row r="26244" spans="3:3" s="9" customFormat="1" ht="21.95" customHeight="1" x14ac:dyDescent="0.15"/>
    <row r="26245" spans="3:3" s="9" customFormat="1" ht="21.95" customHeight="1" x14ac:dyDescent="0.15"/>
    <row r="26246" spans="3:3" s="9" customFormat="1" ht="21.95" customHeight="1" x14ac:dyDescent="0.15"/>
    <row r="26247" spans="3:3" s="9" customFormat="1" ht="21.95" customHeight="1" x14ac:dyDescent="0.15"/>
    <row r="26248" spans="3:3" s="9" customFormat="1" ht="21.95" customHeight="1" x14ac:dyDescent="0.15"/>
    <row r="26249" spans="3:3" s="9" customFormat="1" ht="21.95" customHeight="1" x14ac:dyDescent="0.15"/>
    <row r="26250" spans="3:3" s="9" customFormat="1" ht="21.95" customHeight="1" x14ac:dyDescent="0.15"/>
    <row r="26251" spans="3:3" s="9" customFormat="1" ht="21.95" customHeight="1" x14ac:dyDescent="0.15"/>
    <row r="26252" spans="3:3" s="9" customFormat="1" ht="21.95" customHeight="1" x14ac:dyDescent="0.15"/>
    <row r="26253" spans="3:3" s="9" customFormat="1" ht="21.95" customHeight="1" x14ac:dyDescent="0.15"/>
    <row r="26254" spans="3:3" s="8" customFormat="1" ht="21.95" customHeight="1" x14ac:dyDescent="0.15"/>
    <row r="26255" spans="3:3" s="8" customFormat="1" ht="21.95" customHeight="1" x14ac:dyDescent="0.15"/>
    <row r="26256" spans="3:3" s="8" customFormat="1" ht="21.95" customHeight="1" x14ac:dyDescent="0.15">
      <c r="C26256" s="101"/>
    </row>
    <row r="26257" spans="3:3" s="8" customFormat="1" ht="21.95" customHeight="1" x14ac:dyDescent="0.15">
      <c r="C26257" s="101"/>
    </row>
    <row r="26258" spans="3:3" s="8" customFormat="1" ht="21.95" customHeight="1" x14ac:dyDescent="0.15"/>
    <row r="26259" spans="3:3" s="8" customFormat="1" ht="21.95" customHeight="1" x14ac:dyDescent="0.15"/>
    <row r="26260" spans="3:3" s="8" customFormat="1" ht="21.95" customHeight="1" x14ac:dyDescent="0.15"/>
    <row r="26261" spans="3:3" s="8" customFormat="1" ht="21.95" customHeight="1" x14ac:dyDescent="0.15"/>
    <row r="26262" spans="3:3" s="8" customFormat="1" ht="21.95" customHeight="1" x14ac:dyDescent="0.15"/>
    <row r="26263" spans="3:3" s="8" customFormat="1" ht="21.95" customHeight="1" x14ac:dyDescent="0.15"/>
    <row r="26264" spans="3:3" s="8" customFormat="1" ht="21.95" customHeight="1" x14ac:dyDescent="0.15"/>
    <row r="26265" spans="3:3" s="9" customFormat="1" ht="21.95" customHeight="1" x14ac:dyDescent="0.15"/>
    <row r="26266" spans="3:3" s="9" customFormat="1" ht="21.95" customHeight="1" x14ac:dyDescent="0.15"/>
    <row r="26267" spans="3:3" s="9" customFormat="1" ht="21.95" customHeight="1" x14ac:dyDescent="0.15"/>
    <row r="26268" spans="3:3" s="9" customFormat="1" ht="21.95" customHeight="1" x14ac:dyDescent="0.15"/>
    <row r="26269" spans="3:3" s="8" customFormat="1" ht="21.95" customHeight="1" x14ac:dyDescent="0.15"/>
    <row r="26270" spans="3:3" s="8" customFormat="1" ht="21.95" customHeight="1" x14ac:dyDescent="0.15"/>
    <row r="26271" spans="3:3" s="8" customFormat="1" ht="21.95" customHeight="1" x14ac:dyDescent="0.15"/>
    <row r="26272" spans="3:3" s="8" customFormat="1" ht="21.95" customHeight="1" x14ac:dyDescent="0.15"/>
    <row r="26273" s="8" customFormat="1" ht="21.95" customHeight="1" x14ac:dyDescent="0.15"/>
    <row r="26274" s="8" customFormat="1" ht="21.95" customHeight="1" x14ac:dyDescent="0.15"/>
    <row r="26275" s="8" customFormat="1" ht="21.95" customHeight="1" x14ac:dyDescent="0.15"/>
    <row r="26276" s="8" customFormat="1" ht="21.95" customHeight="1" x14ac:dyDescent="0.15"/>
    <row r="26277" s="8" customFormat="1" ht="21.95" customHeight="1" x14ac:dyDescent="0.15"/>
    <row r="26278" s="8" customFormat="1" ht="21.95" customHeight="1" x14ac:dyDescent="0.15"/>
    <row r="26279" s="8" customFormat="1" ht="21.95" customHeight="1" x14ac:dyDescent="0.15"/>
    <row r="26280" s="8" customFormat="1" ht="32.1" customHeight="1" x14ac:dyDescent="0.15"/>
    <row r="26281" s="8" customFormat="1" ht="32.1" customHeight="1" x14ac:dyDescent="0.15"/>
    <row r="26282" s="8" customFormat="1" ht="32.1" customHeight="1" x14ac:dyDescent="0.15"/>
    <row r="26283" s="8" customFormat="1" ht="32.1" customHeight="1" x14ac:dyDescent="0.15"/>
    <row r="26284" s="8" customFormat="1" ht="32.1" customHeight="1" x14ac:dyDescent="0.15"/>
    <row r="26285" s="8" customFormat="1" ht="32.1" customHeight="1" x14ac:dyDescent="0.15"/>
    <row r="26286" s="9" customFormat="1" ht="32.1" customHeight="1" x14ac:dyDescent="0.15"/>
    <row r="26287" s="9" customFormat="1" ht="32.1" customHeight="1" x14ac:dyDescent="0.15"/>
    <row r="26288" s="9" customFormat="1" ht="32.1" customHeight="1" x14ac:dyDescent="0.15"/>
    <row r="26289" s="9" customFormat="1" ht="32.1" customHeight="1" x14ac:dyDescent="0.15"/>
    <row r="26290" s="9" customFormat="1" ht="21.95" customHeight="1" x14ac:dyDescent="0.15"/>
    <row r="26291" s="9" customFormat="1" ht="54" customHeight="1" x14ac:dyDescent="0.15"/>
    <row r="26292" s="9" customFormat="1" ht="21.95" customHeight="1" x14ac:dyDescent="0.15"/>
    <row r="26293" s="9" customFormat="1" ht="21.95" customHeight="1" x14ac:dyDescent="0.15"/>
    <row r="26294" s="9" customFormat="1" ht="21.95" customHeight="1" x14ac:dyDescent="0.15"/>
    <row r="26295" s="9" customFormat="1" ht="21.95" customHeight="1" x14ac:dyDescent="0.15"/>
    <row r="26296" s="9" customFormat="1" ht="21.95" customHeight="1" x14ac:dyDescent="0.15"/>
    <row r="26297" s="9" customFormat="1" ht="21.95" customHeight="1" x14ac:dyDescent="0.15"/>
    <row r="26298" s="9" customFormat="1" ht="21.95" customHeight="1" x14ac:dyDescent="0.15"/>
    <row r="26299" s="9" customFormat="1" ht="21.95" customHeight="1" x14ac:dyDescent="0.15"/>
    <row r="26300" s="9" customFormat="1" ht="21.95" customHeight="1" x14ac:dyDescent="0.15"/>
    <row r="26301" s="9" customFormat="1" ht="21.95" customHeight="1" x14ac:dyDescent="0.15"/>
    <row r="26302" s="9" customFormat="1" ht="21.95" customHeight="1" x14ac:dyDescent="0.15"/>
    <row r="26303" s="9" customFormat="1" ht="21.95" customHeight="1" x14ac:dyDescent="0.15"/>
    <row r="26304" s="9" customFormat="1" ht="21.95" customHeight="1" x14ac:dyDescent="0.15"/>
    <row r="26305" s="9" customFormat="1" ht="21.95" customHeight="1" x14ac:dyDescent="0.15"/>
    <row r="26306" s="9" customFormat="1" ht="21.95" customHeight="1" x14ac:dyDescent="0.15"/>
    <row r="26307" s="9" customFormat="1" ht="21.95" customHeight="1" x14ac:dyDescent="0.15"/>
    <row r="26308" s="9" customFormat="1" ht="21.95" customHeight="1" x14ac:dyDescent="0.15"/>
    <row r="26309" s="9" customFormat="1" ht="21.95" customHeight="1" x14ac:dyDescent="0.15"/>
    <row r="26310" s="9" customFormat="1" ht="21.95" customHeight="1" x14ac:dyDescent="0.15"/>
    <row r="26311" s="9" customFormat="1" ht="21.95" customHeight="1" x14ac:dyDescent="0.15"/>
    <row r="26312" s="9" customFormat="1" ht="21.95" customHeight="1" x14ac:dyDescent="0.15"/>
    <row r="26313" s="9" customFormat="1" ht="21.95" customHeight="1" x14ac:dyDescent="0.15"/>
    <row r="26314" s="9" customFormat="1" ht="21.95" customHeight="1" x14ac:dyDescent="0.15"/>
    <row r="26315" s="9" customFormat="1" ht="21.95" customHeight="1" x14ac:dyDescent="0.15"/>
    <row r="26316" s="9" customFormat="1" ht="21.95" customHeight="1" x14ac:dyDescent="0.15"/>
    <row r="26317" s="9" customFormat="1" ht="21.95" customHeight="1" x14ac:dyDescent="0.15"/>
    <row r="26318" s="9" customFormat="1" ht="21.95" customHeight="1" x14ac:dyDescent="0.15"/>
    <row r="26319" s="9" customFormat="1" ht="21.95" customHeight="1" x14ac:dyDescent="0.15"/>
    <row r="26320" s="9" customFormat="1" ht="21.95" customHeight="1" x14ac:dyDescent="0.15"/>
    <row r="26321" s="9" customFormat="1" ht="21.95" customHeight="1" x14ac:dyDescent="0.15"/>
    <row r="26322" s="9" customFormat="1" ht="21.95" customHeight="1" x14ac:dyDescent="0.15"/>
    <row r="26323" s="9" customFormat="1" ht="21.95" customHeight="1" x14ac:dyDescent="0.15"/>
    <row r="26324" s="9" customFormat="1" ht="21.95" customHeight="1" x14ac:dyDescent="0.15"/>
    <row r="26325" s="9" customFormat="1" ht="21.95" customHeight="1" x14ac:dyDescent="0.15"/>
    <row r="26326" s="9" customFormat="1" ht="21.95" customHeight="1" x14ac:dyDescent="0.15"/>
    <row r="26327" s="9" customFormat="1" ht="21.95" customHeight="1" x14ac:dyDescent="0.15"/>
    <row r="26328" s="9" customFormat="1" ht="21.95" customHeight="1" x14ac:dyDescent="0.15"/>
    <row r="26329" s="9" customFormat="1" ht="21.95" customHeight="1" x14ac:dyDescent="0.15"/>
    <row r="26330" s="9" customFormat="1" ht="21.95" customHeight="1" x14ac:dyDescent="0.15"/>
    <row r="26331" s="9" customFormat="1" ht="21.95" customHeight="1" x14ac:dyDescent="0.15"/>
    <row r="26332" s="9" customFormat="1" ht="21.95" customHeight="1" x14ac:dyDescent="0.15"/>
    <row r="26333" s="9" customFormat="1" ht="21.95" customHeight="1" x14ac:dyDescent="0.15"/>
    <row r="26334" s="9" customFormat="1" ht="21.95" customHeight="1" x14ac:dyDescent="0.15"/>
    <row r="26335" s="9" customFormat="1" ht="21.95" customHeight="1" x14ac:dyDescent="0.15"/>
    <row r="26336" s="9" customFormat="1" ht="21.95" customHeight="1" x14ac:dyDescent="0.15"/>
    <row r="26337" s="9" customFormat="1" ht="21.95" customHeight="1" x14ac:dyDescent="0.15"/>
    <row r="26338" s="9" customFormat="1" ht="21.95" customHeight="1" x14ac:dyDescent="0.15"/>
    <row r="26339" s="9" customFormat="1" ht="21.95" customHeight="1" x14ac:dyDescent="0.15"/>
    <row r="26340" s="9" customFormat="1" ht="21.95" customHeight="1" x14ac:dyDescent="0.15"/>
    <row r="26341" s="9" customFormat="1" ht="21.95" customHeight="1" x14ac:dyDescent="0.15"/>
    <row r="26342" s="9" customFormat="1" ht="35.1" customHeight="1" x14ac:dyDescent="0.15"/>
    <row r="26343" s="9" customFormat="1" ht="21.95" customHeight="1" x14ac:dyDescent="0.15"/>
    <row r="26344" s="9" customFormat="1" ht="21.95" customHeight="1" x14ac:dyDescent="0.15"/>
    <row r="26345" s="9" customFormat="1" ht="21.95" customHeight="1" x14ac:dyDescent="0.15"/>
    <row r="26346" s="9" customFormat="1" ht="21.95" customHeight="1" x14ac:dyDescent="0.15"/>
    <row r="26347" s="9" customFormat="1" ht="21.95" customHeight="1" x14ac:dyDescent="0.15"/>
    <row r="26348" s="9" customFormat="1" ht="21.95" customHeight="1" x14ac:dyDescent="0.15"/>
    <row r="26349" s="9" customFormat="1" ht="21.95" customHeight="1" x14ac:dyDescent="0.15"/>
    <row r="26350" s="9" customFormat="1" ht="21.95" customHeight="1" x14ac:dyDescent="0.15"/>
    <row r="26351" s="9" customFormat="1" ht="21.95" customHeight="1" x14ac:dyDescent="0.15"/>
    <row r="26352" s="9" customFormat="1" ht="21.95" customHeight="1" x14ac:dyDescent="0.15"/>
    <row r="26353" spans="3:3" s="9" customFormat="1" ht="21.95" customHeight="1" x14ac:dyDescent="0.15"/>
    <row r="26354" spans="3:3" s="9" customFormat="1" ht="21.95" customHeight="1" x14ac:dyDescent="0.15"/>
    <row r="26355" spans="3:3" s="9" customFormat="1" ht="21.95" customHeight="1" x14ac:dyDescent="0.15"/>
    <row r="26356" spans="3:3" s="9" customFormat="1" ht="21.95" customHeight="1" x14ac:dyDescent="0.15"/>
    <row r="26357" spans="3:3" s="9" customFormat="1" ht="21.95" customHeight="1" x14ac:dyDescent="0.15"/>
    <row r="26358" spans="3:3" s="9" customFormat="1" ht="21.95" customHeight="1" x14ac:dyDescent="0.15"/>
    <row r="26359" spans="3:3" s="9" customFormat="1" ht="21.95" customHeight="1" x14ac:dyDescent="0.15"/>
    <row r="26360" spans="3:3" s="9" customFormat="1" ht="21.95" customHeight="1" x14ac:dyDescent="0.15"/>
    <row r="26361" spans="3:3" s="9" customFormat="1" ht="21.95" customHeight="1" x14ac:dyDescent="0.15"/>
    <row r="26362" spans="3:3" s="9" customFormat="1" ht="21.95" customHeight="1" x14ac:dyDescent="0.15"/>
    <row r="26363" spans="3:3" s="9" customFormat="1" ht="21.95" customHeight="1" x14ac:dyDescent="0.15"/>
    <row r="26364" spans="3:3" s="9" customFormat="1" ht="21.95" customHeight="1" x14ac:dyDescent="0.15"/>
    <row r="26365" spans="3:3" s="9" customFormat="1" ht="21.95" customHeight="1" x14ac:dyDescent="0.15"/>
    <row r="26366" spans="3:3" s="8" customFormat="1" ht="21.95" customHeight="1" x14ac:dyDescent="0.15"/>
    <row r="26367" spans="3:3" s="8" customFormat="1" ht="21.95" customHeight="1" x14ac:dyDescent="0.15"/>
    <row r="26368" spans="3:3" s="8" customFormat="1" ht="21.95" customHeight="1" x14ac:dyDescent="0.15">
      <c r="C26368" s="101"/>
    </row>
    <row r="26369" spans="3:3" s="8" customFormat="1" ht="21.95" customHeight="1" x14ac:dyDescent="0.15">
      <c r="C26369" s="101"/>
    </row>
    <row r="26370" spans="3:3" s="8" customFormat="1" ht="21.95" customHeight="1" x14ac:dyDescent="0.15"/>
    <row r="26371" spans="3:3" s="8" customFormat="1" ht="21.95" customHeight="1" x14ac:dyDescent="0.15"/>
    <row r="26372" spans="3:3" s="8" customFormat="1" ht="21.95" customHeight="1" x14ac:dyDescent="0.15"/>
    <row r="26373" spans="3:3" s="8" customFormat="1" ht="21.95" customHeight="1" x14ac:dyDescent="0.15"/>
    <row r="26374" spans="3:3" s="8" customFormat="1" ht="21.95" customHeight="1" x14ac:dyDescent="0.15"/>
    <row r="26375" spans="3:3" s="8" customFormat="1" ht="21.95" customHeight="1" x14ac:dyDescent="0.15"/>
    <row r="26376" spans="3:3" s="8" customFormat="1" ht="21.95" customHeight="1" x14ac:dyDescent="0.15"/>
    <row r="26377" spans="3:3" s="9" customFormat="1" ht="21.95" customHeight="1" x14ac:dyDescent="0.15"/>
    <row r="26378" spans="3:3" s="9" customFormat="1" ht="21.95" customHeight="1" x14ac:dyDescent="0.15"/>
    <row r="26379" spans="3:3" s="9" customFormat="1" ht="21.95" customHeight="1" x14ac:dyDescent="0.15"/>
    <row r="26380" spans="3:3" s="9" customFormat="1" ht="21.95" customHeight="1" x14ac:dyDescent="0.15"/>
    <row r="26381" spans="3:3" s="8" customFormat="1" ht="21.95" customHeight="1" x14ac:dyDescent="0.15"/>
    <row r="26382" spans="3:3" s="8" customFormat="1" ht="21.95" customHeight="1" x14ac:dyDescent="0.15"/>
    <row r="26383" spans="3:3" s="8" customFormat="1" ht="21.95" customHeight="1" x14ac:dyDescent="0.15"/>
    <row r="26384" spans="3:3" s="8" customFormat="1" ht="21.95" customHeight="1" x14ac:dyDescent="0.15"/>
    <row r="26385" s="8" customFormat="1" ht="21.95" customHeight="1" x14ac:dyDescent="0.15"/>
    <row r="26386" s="8" customFormat="1" ht="21.95" customHeight="1" x14ac:dyDescent="0.15"/>
    <row r="26387" s="8" customFormat="1" ht="21.95" customHeight="1" x14ac:dyDescent="0.15"/>
    <row r="26388" s="8" customFormat="1" ht="21.95" customHeight="1" x14ac:dyDescent="0.15"/>
    <row r="26389" s="8" customFormat="1" ht="21.95" customHeight="1" x14ac:dyDescent="0.15"/>
    <row r="26390" s="8" customFormat="1" ht="21.95" customHeight="1" x14ac:dyDescent="0.15"/>
    <row r="26391" s="8" customFormat="1" ht="21.95" customHeight="1" x14ac:dyDescent="0.15"/>
    <row r="26392" s="8" customFormat="1" ht="32.1" customHeight="1" x14ac:dyDescent="0.15"/>
    <row r="26393" s="8" customFormat="1" ht="32.1" customHeight="1" x14ac:dyDescent="0.15"/>
    <row r="26394" s="8" customFormat="1" ht="32.1" customHeight="1" x14ac:dyDescent="0.15"/>
    <row r="26395" s="8" customFormat="1" ht="32.1" customHeight="1" x14ac:dyDescent="0.15"/>
    <row r="26396" s="8" customFormat="1" ht="32.1" customHeight="1" x14ac:dyDescent="0.15"/>
    <row r="26397" s="8" customFormat="1" ht="32.1" customHeight="1" x14ac:dyDescent="0.15"/>
    <row r="26398" s="9" customFormat="1" ht="32.1" customHeight="1" x14ac:dyDescent="0.15"/>
    <row r="26399" s="9" customFormat="1" ht="32.1" customHeight="1" x14ac:dyDescent="0.15"/>
    <row r="26400" s="9" customFormat="1" ht="32.1" customHeight="1" x14ac:dyDescent="0.15"/>
    <row r="26401" s="9" customFormat="1" ht="32.1" customHeight="1" x14ac:dyDescent="0.15"/>
    <row r="26402" s="9" customFormat="1" ht="21.95" customHeight="1" x14ac:dyDescent="0.15"/>
    <row r="26403" s="9" customFormat="1" ht="54" customHeight="1" x14ac:dyDescent="0.15"/>
    <row r="26404" s="9" customFormat="1" ht="21.95" customHeight="1" x14ac:dyDescent="0.15"/>
    <row r="26405" s="9" customFormat="1" ht="21.95" customHeight="1" x14ac:dyDescent="0.15"/>
    <row r="26406" s="9" customFormat="1" ht="21.95" customHeight="1" x14ac:dyDescent="0.15"/>
    <row r="26407" s="9" customFormat="1" ht="21.95" customHeight="1" x14ac:dyDescent="0.15"/>
    <row r="26408" s="9" customFormat="1" ht="21.95" customHeight="1" x14ac:dyDescent="0.15"/>
    <row r="26409" s="9" customFormat="1" ht="21.95" customHeight="1" x14ac:dyDescent="0.15"/>
    <row r="26410" s="9" customFormat="1" ht="21.95" customHeight="1" x14ac:dyDescent="0.15"/>
    <row r="26411" s="9" customFormat="1" ht="21.95" customHeight="1" x14ac:dyDescent="0.15"/>
    <row r="26412" s="9" customFormat="1" ht="21.95" customHeight="1" x14ac:dyDescent="0.15"/>
    <row r="26413" s="9" customFormat="1" ht="21.95" customHeight="1" x14ac:dyDescent="0.15"/>
    <row r="26414" s="9" customFormat="1" ht="21.95" customHeight="1" x14ac:dyDescent="0.15"/>
    <row r="26415" s="9" customFormat="1" ht="21.95" customHeight="1" x14ac:dyDescent="0.15"/>
    <row r="26416" s="9" customFormat="1" ht="21.95" customHeight="1" x14ac:dyDescent="0.15"/>
    <row r="26417" s="9" customFormat="1" ht="21.95" customHeight="1" x14ac:dyDescent="0.15"/>
    <row r="26418" s="9" customFormat="1" ht="21.95" customHeight="1" x14ac:dyDescent="0.15"/>
    <row r="26419" s="9" customFormat="1" ht="21.95" customHeight="1" x14ac:dyDescent="0.15"/>
    <row r="26420" s="9" customFormat="1" ht="21.95" customHeight="1" x14ac:dyDescent="0.15"/>
    <row r="26421" s="9" customFormat="1" ht="21.95" customHeight="1" x14ac:dyDescent="0.15"/>
    <row r="26422" s="9" customFormat="1" ht="21.95" customHeight="1" x14ac:dyDescent="0.15"/>
    <row r="26423" s="9" customFormat="1" ht="21.95" customHeight="1" x14ac:dyDescent="0.15"/>
    <row r="26424" s="9" customFormat="1" ht="21.95" customHeight="1" x14ac:dyDescent="0.15"/>
    <row r="26425" s="9" customFormat="1" ht="21.95" customHeight="1" x14ac:dyDescent="0.15"/>
    <row r="26426" s="9" customFormat="1" ht="21.95" customHeight="1" x14ac:dyDescent="0.15"/>
    <row r="26427" s="9" customFormat="1" ht="21.95" customHeight="1" x14ac:dyDescent="0.15"/>
    <row r="26428" s="9" customFormat="1" ht="21.95" customHeight="1" x14ac:dyDescent="0.15"/>
    <row r="26429" s="9" customFormat="1" ht="21.95" customHeight="1" x14ac:dyDescent="0.15"/>
    <row r="26430" s="9" customFormat="1" ht="21.95" customHeight="1" x14ac:dyDescent="0.15"/>
    <row r="26431" s="9" customFormat="1" ht="21.95" customHeight="1" x14ac:dyDescent="0.15"/>
    <row r="26432" s="9" customFormat="1" ht="21.95" customHeight="1" x14ac:dyDescent="0.15"/>
    <row r="26433" s="9" customFormat="1" ht="21.95" customHeight="1" x14ac:dyDescent="0.15"/>
    <row r="26434" s="9" customFormat="1" ht="21.95" customHeight="1" x14ac:dyDescent="0.15"/>
    <row r="26435" s="9" customFormat="1" ht="21.95" customHeight="1" x14ac:dyDescent="0.15"/>
    <row r="26436" s="9" customFormat="1" ht="21.95" customHeight="1" x14ac:dyDescent="0.15"/>
    <row r="26437" s="9" customFormat="1" ht="21.95" customHeight="1" x14ac:dyDescent="0.15"/>
    <row r="26438" s="9" customFormat="1" ht="21.95" customHeight="1" x14ac:dyDescent="0.15"/>
    <row r="26439" s="9" customFormat="1" ht="21.95" customHeight="1" x14ac:dyDescent="0.15"/>
    <row r="26440" s="9" customFormat="1" ht="21.95" customHeight="1" x14ac:dyDescent="0.15"/>
    <row r="26441" s="9" customFormat="1" ht="21.95" customHeight="1" x14ac:dyDescent="0.15"/>
    <row r="26442" s="9" customFormat="1" ht="21.95" customHeight="1" x14ac:dyDescent="0.15"/>
    <row r="26443" s="9" customFormat="1" ht="21.95" customHeight="1" x14ac:dyDescent="0.15"/>
    <row r="26444" s="9" customFormat="1" ht="21.95" customHeight="1" x14ac:dyDescent="0.15"/>
    <row r="26445" s="9" customFormat="1" ht="21.95" customHeight="1" x14ac:dyDescent="0.15"/>
    <row r="26446" s="9" customFormat="1" ht="21.95" customHeight="1" x14ac:dyDescent="0.15"/>
    <row r="26447" s="9" customFormat="1" ht="21.95" customHeight="1" x14ac:dyDescent="0.15"/>
    <row r="26448" s="9" customFormat="1" ht="21.95" customHeight="1" x14ac:dyDescent="0.15"/>
    <row r="26449" s="9" customFormat="1" ht="21.95" customHeight="1" x14ac:dyDescent="0.15"/>
    <row r="26450" s="9" customFormat="1" ht="21.95" customHeight="1" x14ac:dyDescent="0.15"/>
    <row r="26451" s="9" customFormat="1" ht="21.95" customHeight="1" x14ac:dyDescent="0.15"/>
    <row r="26452" s="9" customFormat="1" ht="21.95" customHeight="1" x14ac:dyDescent="0.15"/>
    <row r="26453" s="9" customFormat="1" ht="21.95" customHeight="1" x14ac:dyDescent="0.15"/>
    <row r="26454" s="9" customFormat="1" ht="35.1" customHeight="1" x14ac:dyDescent="0.15"/>
    <row r="26455" s="9" customFormat="1" ht="21.95" customHeight="1" x14ac:dyDescent="0.15"/>
    <row r="26456" s="9" customFormat="1" ht="21.95" customHeight="1" x14ac:dyDescent="0.15"/>
    <row r="26457" s="9" customFormat="1" ht="21.95" customHeight="1" x14ac:dyDescent="0.15"/>
    <row r="26458" s="9" customFormat="1" ht="21.95" customHeight="1" x14ac:dyDescent="0.15"/>
    <row r="26459" s="9" customFormat="1" ht="21.95" customHeight="1" x14ac:dyDescent="0.15"/>
    <row r="26460" s="9" customFormat="1" ht="21.95" customHeight="1" x14ac:dyDescent="0.15"/>
    <row r="26461" s="9" customFormat="1" ht="21.95" customHeight="1" x14ac:dyDescent="0.15"/>
    <row r="26462" s="9" customFormat="1" ht="21.95" customHeight="1" x14ac:dyDescent="0.15"/>
    <row r="26463" s="9" customFormat="1" ht="21.95" customHeight="1" x14ac:dyDescent="0.15"/>
    <row r="26464" s="9" customFormat="1" ht="21.95" customHeight="1" x14ac:dyDescent="0.15"/>
    <row r="26465" spans="3:3" s="9" customFormat="1" ht="21.95" customHeight="1" x14ac:dyDescent="0.15"/>
    <row r="26466" spans="3:3" s="9" customFormat="1" ht="21.95" customHeight="1" x14ac:dyDescent="0.15"/>
    <row r="26467" spans="3:3" s="9" customFormat="1" ht="21.95" customHeight="1" x14ac:dyDescent="0.15"/>
    <row r="26468" spans="3:3" s="9" customFormat="1" ht="21.95" customHeight="1" x14ac:dyDescent="0.15"/>
    <row r="26469" spans="3:3" s="9" customFormat="1" ht="21.95" customHeight="1" x14ac:dyDescent="0.15"/>
    <row r="26470" spans="3:3" s="9" customFormat="1" ht="21.95" customHeight="1" x14ac:dyDescent="0.15"/>
    <row r="26471" spans="3:3" s="9" customFormat="1" ht="21.95" customHeight="1" x14ac:dyDescent="0.15"/>
    <row r="26472" spans="3:3" s="9" customFormat="1" ht="21.95" customHeight="1" x14ac:dyDescent="0.15"/>
    <row r="26473" spans="3:3" s="9" customFormat="1" ht="21.95" customHeight="1" x14ac:dyDescent="0.15"/>
    <row r="26474" spans="3:3" s="9" customFormat="1" ht="21.95" customHeight="1" x14ac:dyDescent="0.15"/>
    <row r="26475" spans="3:3" s="9" customFormat="1" ht="21.95" customHeight="1" x14ac:dyDescent="0.15"/>
    <row r="26476" spans="3:3" s="9" customFormat="1" ht="21.95" customHeight="1" x14ac:dyDescent="0.15"/>
    <row r="26477" spans="3:3" s="9" customFormat="1" ht="21.95" customHeight="1" x14ac:dyDescent="0.15"/>
    <row r="26478" spans="3:3" s="8" customFormat="1" ht="21.95" customHeight="1" x14ac:dyDescent="0.15"/>
    <row r="26479" spans="3:3" s="8" customFormat="1" ht="21.95" customHeight="1" x14ac:dyDescent="0.15"/>
    <row r="26480" spans="3:3" s="8" customFormat="1" ht="21.95" customHeight="1" x14ac:dyDescent="0.15">
      <c r="C26480" s="101"/>
    </row>
    <row r="26481" spans="3:3" s="8" customFormat="1" ht="21.95" customHeight="1" x14ac:dyDescent="0.15">
      <c r="C26481" s="101"/>
    </row>
    <row r="26482" spans="3:3" s="8" customFormat="1" ht="21.95" customHeight="1" x14ac:dyDescent="0.15"/>
    <row r="26483" spans="3:3" s="8" customFormat="1" ht="21.95" customHeight="1" x14ac:dyDescent="0.15"/>
    <row r="26484" spans="3:3" s="8" customFormat="1" ht="21.95" customHeight="1" x14ac:dyDescent="0.15"/>
    <row r="26485" spans="3:3" s="8" customFormat="1" ht="21.95" customHeight="1" x14ac:dyDescent="0.15"/>
    <row r="26486" spans="3:3" s="8" customFormat="1" ht="21.95" customHeight="1" x14ac:dyDescent="0.15"/>
    <row r="26487" spans="3:3" s="8" customFormat="1" ht="21.95" customHeight="1" x14ac:dyDescent="0.15"/>
    <row r="26488" spans="3:3" s="8" customFormat="1" ht="21.95" customHeight="1" x14ac:dyDescent="0.15"/>
    <row r="26489" spans="3:3" s="9" customFormat="1" ht="21.95" customHeight="1" x14ac:dyDescent="0.15"/>
    <row r="26490" spans="3:3" s="9" customFormat="1" ht="21.95" customHeight="1" x14ac:dyDescent="0.15"/>
    <row r="26491" spans="3:3" s="9" customFormat="1" ht="21.95" customHeight="1" x14ac:dyDescent="0.15"/>
    <row r="26492" spans="3:3" s="9" customFormat="1" ht="21.95" customHeight="1" x14ac:dyDescent="0.15"/>
    <row r="26493" spans="3:3" s="8" customFormat="1" ht="21.95" customHeight="1" x14ac:dyDescent="0.15"/>
    <row r="26494" spans="3:3" s="8" customFormat="1" ht="21.95" customHeight="1" x14ac:dyDescent="0.15"/>
    <row r="26495" spans="3:3" s="8" customFormat="1" ht="21.95" customHeight="1" x14ac:dyDescent="0.15"/>
    <row r="26496" spans="3:3" s="8" customFormat="1" ht="21.95" customHeight="1" x14ac:dyDescent="0.15"/>
    <row r="26497" s="8" customFormat="1" ht="21.95" customHeight="1" x14ac:dyDescent="0.15"/>
    <row r="26498" s="8" customFormat="1" ht="21.95" customHeight="1" x14ac:dyDescent="0.15"/>
    <row r="26499" s="8" customFormat="1" ht="21.95" customHeight="1" x14ac:dyDescent="0.15"/>
    <row r="26500" s="8" customFormat="1" ht="21.95" customHeight="1" x14ac:dyDescent="0.15"/>
    <row r="26501" s="8" customFormat="1" ht="21.95" customHeight="1" x14ac:dyDescent="0.15"/>
    <row r="26502" s="8" customFormat="1" ht="21.95" customHeight="1" x14ac:dyDescent="0.15"/>
    <row r="26503" s="8" customFormat="1" ht="21.95" customHeight="1" x14ac:dyDescent="0.15"/>
    <row r="26504" s="8" customFormat="1" ht="32.1" customHeight="1" x14ac:dyDescent="0.15"/>
    <row r="26505" s="8" customFormat="1" ht="32.1" customHeight="1" x14ac:dyDescent="0.15"/>
    <row r="26506" s="8" customFormat="1" ht="32.1" customHeight="1" x14ac:dyDescent="0.15"/>
    <row r="26507" s="8" customFormat="1" ht="32.1" customHeight="1" x14ac:dyDescent="0.15"/>
    <row r="26508" s="8" customFormat="1" ht="32.1" customHeight="1" x14ac:dyDescent="0.15"/>
    <row r="26509" s="8" customFormat="1" ht="32.1" customHeight="1" x14ac:dyDescent="0.15"/>
    <row r="26510" s="9" customFormat="1" ht="32.1" customHeight="1" x14ac:dyDescent="0.15"/>
    <row r="26511" s="9" customFormat="1" ht="32.1" customHeight="1" x14ac:dyDescent="0.15"/>
    <row r="26512" s="9" customFormat="1" ht="32.1" customHeight="1" x14ac:dyDescent="0.15"/>
    <row r="26513" s="9" customFormat="1" ht="32.1" customHeight="1" x14ac:dyDescent="0.15"/>
    <row r="26514" s="9" customFormat="1" ht="21.95" customHeight="1" x14ac:dyDescent="0.15"/>
    <row r="26515" s="9" customFormat="1" ht="54" customHeight="1" x14ac:dyDescent="0.15"/>
    <row r="26516" s="9" customFormat="1" ht="21.95" customHeight="1" x14ac:dyDescent="0.15"/>
    <row r="26517" s="9" customFormat="1" ht="21.95" customHeight="1" x14ac:dyDescent="0.15"/>
    <row r="26518" s="9" customFormat="1" ht="21.95" customHeight="1" x14ac:dyDescent="0.15"/>
    <row r="26519" s="9" customFormat="1" ht="21.95" customHeight="1" x14ac:dyDescent="0.15"/>
    <row r="26520" s="9" customFormat="1" ht="21.95" customHeight="1" x14ac:dyDescent="0.15"/>
    <row r="26521" s="9" customFormat="1" ht="21.95" customHeight="1" x14ac:dyDescent="0.15"/>
    <row r="26522" s="9" customFormat="1" ht="21.95" customHeight="1" x14ac:dyDescent="0.15"/>
    <row r="26523" s="9" customFormat="1" ht="21.95" customHeight="1" x14ac:dyDescent="0.15"/>
    <row r="26524" s="9" customFormat="1" ht="21.95" customHeight="1" x14ac:dyDescent="0.15"/>
    <row r="26525" s="9" customFormat="1" ht="21.95" customHeight="1" x14ac:dyDescent="0.15"/>
    <row r="26526" s="9" customFormat="1" ht="21.95" customHeight="1" x14ac:dyDescent="0.15"/>
    <row r="26527" s="9" customFormat="1" ht="21.95" customHeight="1" x14ac:dyDescent="0.15"/>
    <row r="26528" s="9" customFormat="1" ht="21.95" customHeight="1" x14ac:dyDescent="0.15"/>
    <row r="26529" s="9" customFormat="1" ht="21.95" customHeight="1" x14ac:dyDescent="0.15"/>
    <row r="26530" s="9" customFormat="1" ht="21.95" customHeight="1" x14ac:dyDescent="0.15"/>
    <row r="26531" s="9" customFormat="1" ht="21.95" customHeight="1" x14ac:dyDescent="0.15"/>
    <row r="26532" s="9" customFormat="1" ht="21.95" customHeight="1" x14ac:dyDescent="0.15"/>
    <row r="26533" s="9" customFormat="1" ht="21.95" customHeight="1" x14ac:dyDescent="0.15"/>
    <row r="26534" s="9" customFormat="1" ht="21.95" customHeight="1" x14ac:dyDescent="0.15"/>
    <row r="26535" s="9" customFormat="1" ht="21.95" customHeight="1" x14ac:dyDescent="0.15"/>
    <row r="26536" s="9" customFormat="1" ht="21.95" customHeight="1" x14ac:dyDescent="0.15"/>
    <row r="26537" s="9" customFormat="1" ht="21.95" customHeight="1" x14ac:dyDescent="0.15"/>
    <row r="26538" s="9" customFormat="1" ht="21.95" customHeight="1" x14ac:dyDescent="0.15"/>
    <row r="26539" s="9" customFormat="1" ht="21.95" customHeight="1" x14ac:dyDescent="0.15"/>
    <row r="26540" s="9" customFormat="1" ht="21.95" customHeight="1" x14ac:dyDescent="0.15"/>
    <row r="26541" s="9" customFormat="1" ht="21.95" customHeight="1" x14ac:dyDescent="0.15"/>
    <row r="26542" s="9" customFormat="1" ht="21.95" customHeight="1" x14ac:dyDescent="0.15"/>
    <row r="26543" s="9" customFormat="1" ht="21.95" customHeight="1" x14ac:dyDescent="0.15"/>
    <row r="26544" s="9" customFormat="1" ht="21.95" customHeight="1" x14ac:dyDescent="0.15"/>
    <row r="26545" s="9" customFormat="1" ht="21.95" customHeight="1" x14ac:dyDescent="0.15"/>
    <row r="26546" s="9" customFormat="1" ht="21.95" customHeight="1" x14ac:dyDescent="0.15"/>
    <row r="26547" s="9" customFormat="1" ht="21.95" customHeight="1" x14ac:dyDescent="0.15"/>
    <row r="26548" s="9" customFormat="1" ht="21.95" customHeight="1" x14ac:dyDescent="0.15"/>
    <row r="26549" s="9" customFormat="1" ht="21.95" customHeight="1" x14ac:dyDescent="0.15"/>
    <row r="26550" s="9" customFormat="1" ht="21.95" customHeight="1" x14ac:dyDescent="0.15"/>
    <row r="26551" s="9" customFormat="1" ht="21.95" customHeight="1" x14ac:dyDescent="0.15"/>
    <row r="26552" s="9" customFormat="1" ht="21.95" customHeight="1" x14ac:dyDescent="0.15"/>
    <row r="26553" s="9" customFormat="1" ht="21.95" customHeight="1" x14ac:dyDescent="0.15"/>
    <row r="26554" s="9" customFormat="1" ht="21.95" customHeight="1" x14ac:dyDescent="0.15"/>
    <row r="26555" s="9" customFormat="1" ht="21.95" customHeight="1" x14ac:dyDescent="0.15"/>
    <row r="26556" s="9" customFormat="1" ht="21.95" customHeight="1" x14ac:dyDescent="0.15"/>
    <row r="26557" s="9" customFormat="1" ht="21.95" customHeight="1" x14ac:dyDescent="0.15"/>
    <row r="26558" s="9" customFormat="1" ht="21.95" customHeight="1" x14ac:dyDescent="0.15"/>
    <row r="26559" s="9" customFormat="1" ht="21.95" customHeight="1" x14ac:dyDescent="0.15"/>
    <row r="26560" s="9" customFormat="1" ht="21.95" customHeight="1" x14ac:dyDescent="0.15"/>
    <row r="26561" s="9" customFormat="1" ht="21.95" customHeight="1" x14ac:dyDescent="0.15"/>
    <row r="26562" s="9" customFormat="1" ht="21.95" customHeight="1" x14ac:dyDescent="0.15"/>
    <row r="26563" s="9" customFormat="1" ht="21.95" customHeight="1" x14ac:dyDescent="0.15"/>
    <row r="26564" s="9" customFormat="1" ht="21.95" customHeight="1" x14ac:dyDescent="0.15"/>
    <row r="26565" s="9" customFormat="1" ht="21.95" customHeight="1" x14ac:dyDescent="0.15"/>
    <row r="26566" s="9" customFormat="1" ht="35.1" customHeight="1" x14ac:dyDescent="0.15"/>
    <row r="26567" s="9" customFormat="1" ht="21.95" customHeight="1" x14ac:dyDescent="0.15"/>
    <row r="26568" s="9" customFormat="1" ht="21.95" customHeight="1" x14ac:dyDescent="0.15"/>
    <row r="26569" s="9" customFormat="1" ht="21.95" customHeight="1" x14ac:dyDescent="0.15"/>
    <row r="26570" s="9" customFormat="1" ht="21.95" customHeight="1" x14ac:dyDescent="0.15"/>
    <row r="26571" s="9" customFormat="1" ht="21.95" customHeight="1" x14ac:dyDescent="0.15"/>
    <row r="26572" s="9" customFormat="1" ht="21.95" customHeight="1" x14ac:dyDescent="0.15"/>
    <row r="26573" s="9" customFormat="1" ht="21.95" customHeight="1" x14ac:dyDescent="0.15"/>
    <row r="26574" s="9" customFormat="1" ht="21.95" customHeight="1" x14ac:dyDescent="0.15"/>
    <row r="26575" s="9" customFormat="1" ht="21.95" customHeight="1" x14ac:dyDescent="0.15"/>
    <row r="26576" s="9" customFormat="1" ht="21.95" customHeight="1" x14ac:dyDescent="0.15"/>
    <row r="26577" spans="3:3" s="9" customFormat="1" ht="21.95" customHeight="1" x14ac:dyDescent="0.15"/>
    <row r="26578" spans="3:3" s="9" customFormat="1" ht="21.95" customHeight="1" x14ac:dyDescent="0.15"/>
    <row r="26579" spans="3:3" s="9" customFormat="1" ht="21.95" customHeight="1" x14ac:dyDescent="0.15"/>
    <row r="26580" spans="3:3" s="9" customFormat="1" ht="21.95" customHeight="1" x14ac:dyDescent="0.15"/>
    <row r="26581" spans="3:3" s="9" customFormat="1" ht="21.95" customHeight="1" x14ac:dyDescent="0.15"/>
    <row r="26582" spans="3:3" s="9" customFormat="1" ht="21.95" customHeight="1" x14ac:dyDescent="0.15"/>
    <row r="26583" spans="3:3" s="9" customFormat="1" ht="21.95" customHeight="1" x14ac:dyDescent="0.15"/>
    <row r="26584" spans="3:3" s="9" customFormat="1" ht="21.95" customHeight="1" x14ac:dyDescent="0.15"/>
    <row r="26585" spans="3:3" s="9" customFormat="1" ht="21.95" customHeight="1" x14ac:dyDescent="0.15"/>
    <row r="26586" spans="3:3" s="9" customFormat="1" ht="21.95" customHeight="1" x14ac:dyDescent="0.15"/>
    <row r="26587" spans="3:3" s="9" customFormat="1" ht="21.95" customHeight="1" x14ac:dyDescent="0.15"/>
    <row r="26588" spans="3:3" s="9" customFormat="1" ht="21.95" customHeight="1" x14ac:dyDescent="0.15"/>
    <row r="26589" spans="3:3" s="9" customFormat="1" ht="21.95" customHeight="1" x14ac:dyDescent="0.15"/>
    <row r="26590" spans="3:3" s="8" customFormat="1" ht="21.95" customHeight="1" x14ac:dyDescent="0.15"/>
    <row r="26591" spans="3:3" s="8" customFormat="1" ht="21.95" customHeight="1" x14ac:dyDescent="0.15"/>
    <row r="26592" spans="3:3" s="8" customFormat="1" ht="21.95" customHeight="1" x14ac:dyDescent="0.15">
      <c r="C26592" s="101"/>
    </row>
    <row r="26593" spans="3:3" s="8" customFormat="1" ht="21.95" customHeight="1" x14ac:dyDescent="0.15">
      <c r="C26593" s="101"/>
    </row>
    <row r="26594" spans="3:3" s="8" customFormat="1" ht="21.95" customHeight="1" x14ac:dyDescent="0.15"/>
    <row r="26595" spans="3:3" s="8" customFormat="1" ht="21.95" customHeight="1" x14ac:dyDescent="0.15"/>
    <row r="26596" spans="3:3" s="8" customFormat="1" ht="21.95" customHeight="1" x14ac:dyDescent="0.15"/>
    <row r="26597" spans="3:3" s="8" customFormat="1" ht="21.95" customHeight="1" x14ac:dyDescent="0.15"/>
    <row r="26598" spans="3:3" s="8" customFormat="1" ht="21.95" customHeight="1" x14ac:dyDescent="0.15"/>
    <row r="26599" spans="3:3" s="8" customFormat="1" ht="21.95" customHeight="1" x14ac:dyDescent="0.15"/>
    <row r="26600" spans="3:3" s="8" customFormat="1" ht="21.95" customHeight="1" x14ac:dyDescent="0.15"/>
    <row r="26601" spans="3:3" s="9" customFormat="1" ht="21.95" customHeight="1" x14ac:dyDescent="0.15"/>
    <row r="26602" spans="3:3" s="9" customFormat="1" ht="21.95" customHeight="1" x14ac:dyDescent="0.15"/>
    <row r="26603" spans="3:3" s="9" customFormat="1" ht="21.95" customHeight="1" x14ac:dyDescent="0.15"/>
    <row r="26604" spans="3:3" s="9" customFormat="1" ht="21.95" customHeight="1" x14ac:dyDescent="0.15"/>
    <row r="26605" spans="3:3" s="8" customFormat="1" ht="21.95" customHeight="1" x14ac:dyDescent="0.15"/>
    <row r="26606" spans="3:3" s="8" customFormat="1" ht="21.95" customHeight="1" x14ac:dyDescent="0.15"/>
    <row r="26607" spans="3:3" s="8" customFormat="1" ht="21.95" customHeight="1" x14ac:dyDescent="0.15"/>
    <row r="26608" spans="3:3" s="8" customFormat="1" ht="21.95" customHeight="1" x14ac:dyDescent="0.15"/>
    <row r="26609" s="8" customFormat="1" ht="21.95" customHeight="1" x14ac:dyDescent="0.15"/>
    <row r="26610" s="8" customFormat="1" ht="21.95" customHeight="1" x14ac:dyDescent="0.15"/>
    <row r="26611" s="8" customFormat="1" ht="21.95" customHeight="1" x14ac:dyDescent="0.15"/>
    <row r="26612" s="8" customFormat="1" ht="21.95" customHeight="1" x14ac:dyDescent="0.15"/>
    <row r="26613" s="8" customFormat="1" ht="21.95" customHeight="1" x14ac:dyDescent="0.15"/>
    <row r="26614" s="8" customFormat="1" ht="21.95" customHeight="1" x14ac:dyDescent="0.15"/>
    <row r="26615" s="8" customFormat="1" ht="21.95" customHeight="1" x14ac:dyDescent="0.15"/>
    <row r="26616" s="8" customFormat="1" ht="32.1" customHeight="1" x14ac:dyDescent="0.15"/>
    <row r="26617" s="8" customFormat="1" ht="32.1" customHeight="1" x14ac:dyDescent="0.15"/>
    <row r="26618" s="8" customFormat="1" ht="32.1" customHeight="1" x14ac:dyDescent="0.15"/>
    <row r="26619" s="8" customFormat="1" ht="32.1" customHeight="1" x14ac:dyDescent="0.15"/>
    <row r="26620" s="8" customFormat="1" ht="32.1" customHeight="1" x14ac:dyDescent="0.15"/>
    <row r="26621" s="8" customFormat="1" ht="32.1" customHeight="1" x14ac:dyDescent="0.15"/>
    <row r="26622" s="9" customFormat="1" ht="32.1" customHeight="1" x14ac:dyDescent="0.15"/>
    <row r="26623" s="9" customFormat="1" ht="32.1" customHeight="1" x14ac:dyDescent="0.15"/>
    <row r="26624" s="9" customFormat="1" ht="32.1" customHeight="1" x14ac:dyDescent="0.15"/>
    <row r="26625" s="9" customFormat="1" ht="32.1" customHeight="1" x14ac:dyDescent="0.15"/>
    <row r="26626" s="9" customFormat="1" ht="21.95" customHeight="1" x14ac:dyDescent="0.15"/>
    <row r="26627" s="9" customFormat="1" ht="54" customHeight="1" x14ac:dyDescent="0.15"/>
    <row r="26628" s="9" customFormat="1" ht="21.95" customHeight="1" x14ac:dyDescent="0.15"/>
    <row r="26629" s="9" customFormat="1" ht="21.95" customHeight="1" x14ac:dyDescent="0.15"/>
    <row r="26630" s="9" customFormat="1" ht="21.95" customHeight="1" x14ac:dyDescent="0.15"/>
    <row r="26631" s="9" customFormat="1" ht="21.95" customHeight="1" x14ac:dyDescent="0.15"/>
    <row r="26632" s="9" customFormat="1" ht="21.95" customHeight="1" x14ac:dyDescent="0.15"/>
    <row r="26633" s="9" customFormat="1" ht="21.95" customHeight="1" x14ac:dyDescent="0.15"/>
    <row r="26634" s="9" customFormat="1" ht="21.95" customHeight="1" x14ac:dyDescent="0.15"/>
    <row r="26635" s="9" customFormat="1" ht="21.95" customHeight="1" x14ac:dyDescent="0.15"/>
    <row r="26636" s="9" customFormat="1" ht="21.95" customHeight="1" x14ac:dyDescent="0.15"/>
    <row r="26637" s="9" customFormat="1" ht="21.95" customHeight="1" x14ac:dyDescent="0.15"/>
    <row r="26638" s="9" customFormat="1" ht="21.95" customHeight="1" x14ac:dyDescent="0.15"/>
    <row r="26639" s="9" customFormat="1" ht="21.95" customHeight="1" x14ac:dyDescent="0.15"/>
    <row r="26640" s="9" customFormat="1" ht="21.95" customHeight="1" x14ac:dyDescent="0.15"/>
    <row r="26641" s="9" customFormat="1" ht="21.95" customHeight="1" x14ac:dyDescent="0.15"/>
    <row r="26642" s="9" customFormat="1" ht="21.95" customHeight="1" x14ac:dyDescent="0.15"/>
    <row r="26643" s="9" customFormat="1" ht="21.95" customHeight="1" x14ac:dyDescent="0.15"/>
    <row r="26644" s="9" customFormat="1" ht="21.95" customHeight="1" x14ac:dyDescent="0.15"/>
    <row r="26645" s="9" customFormat="1" ht="21.95" customHeight="1" x14ac:dyDescent="0.15"/>
    <row r="26646" s="9" customFormat="1" ht="21.95" customHeight="1" x14ac:dyDescent="0.15"/>
    <row r="26647" s="9" customFormat="1" ht="21.95" customHeight="1" x14ac:dyDescent="0.15"/>
    <row r="26648" s="9" customFormat="1" ht="21.95" customHeight="1" x14ac:dyDescent="0.15"/>
    <row r="26649" s="9" customFormat="1" ht="21.95" customHeight="1" x14ac:dyDescent="0.15"/>
    <row r="26650" s="9" customFormat="1" ht="21.95" customHeight="1" x14ac:dyDescent="0.15"/>
    <row r="26651" s="9" customFormat="1" ht="21.95" customHeight="1" x14ac:dyDescent="0.15"/>
    <row r="26652" s="9" customFormat="1" ht="21.95" customHeight="1" x14ac:dyDescent="0.15"/>
    <row r="26653" s="9" customFormat="1" ht="21.95" customHeight="1" x14ac:dyDescent="0.15"/>
    <row r="26654" s="9" customFormat="1" ht="21.95" customHeight="1" x14ac:dyDescent="0.15"/>
    <row r="26655" s="9" customFormat="1" ht="21.95" customHeight="1" x14ac:dyDescent="0.15"/>
    <row r="26656" s="9" customFormat="1" ht="21.95" customHeight="1" x14ac:dyDescent="0.15"/>
    <row r="26657" s="9" customFormat="1" ht="21.95" customHeight="1" x14ac:dyDescent="0.15"/>
    <row r="26658" s="9" customFormat="1" ht="21.95" customHeight="1" x14ac:dyDescent="0.15"/>
    <row r="26659" s="9" customFormat="1" ht="21.95" customHeight="1" x14ac:dyDescent="0.15"/>
    <row r="26660" s="9" customFormat="1" ht="21.95" customHeight="1" x14ac:dyDescent="0.15"/>
    <row r="26661" s="9" customFormat="1" ht="21.95" customHeight="1" x14ac:dyDescent="0.15"/>
    <row r="26662" s="9" customFormat="1" ht="21.95" customHeight="1" x14ac:dyDescent="0.15"/>
    <row r="26663" s="9" customFormat="1" ht="21.95" customHeight="1" x14ac:dyDescent="0.15"/>
    <row r="26664" s="9" customFormat="1" ht="21.95" customHeight="1" x14ac:dyDescent="0.15"/>
    <row r="26665" s="9" customFormat="1" ht="21.95" customHeight="1" x14ac:dyDescent="0.15"/>
    <row r="26666" s="9" customFormat="1" ht="21.95" customHeight="1" x14ac:dyDescent="0.15"/>
    <row r="26667" s="9" customFormat="1" ht="21.95" customHeight="1" x14ac:dyDescent="0.15"/>
    <row r="26668" s="9" customFormat="1" ht="21.95" customHeight="1" x14ac:dyDescent="0.15"/>
    <row r="26669" s="9" customFormat="1" ht="21.95" customHeight="1" x14ac:dyDescent="0.15"/>
    <row r="26670" s="9" customFormat="1" ht="21.95" customHeight="1" x14ac:dyDescent="0.15"/>
    <row r="26671" s="9" customFormat="1" ht="21.95" customHeight="1" x14ac:dyDescent="0.15"/>
    <row r="26672" s="9" customFormat="1" ht="21.95" customHeight="1" x14ac:dyDescent="0.15"/>
    <row r="26673" s="9" customFormat="1" ht="21.95" customHeight="1" x14ac:dyDescent="0.15"/>
    <row r="26674" s="9" customFormat="1" ht="21.95" customHeight="1" x14ac:dyDescent="0.15"/>
    <row r="26675" s="9" customFormat="1" ht="21.95" customHeight="1" x14ac:dyDescent="0.15"/>
    <row r="26676" s="9" customFormat="1" ht="21.95" customHeight="1" x14ac:dyDescent="0.15"/>
    <row r="26677" s="9" customFormat="1" ht="21.95" customHeight="1" x14ac:dyDescent="0.15"/>
    <row r="26678" s="9" customFormat="1" ht="35.1" customHeight="1" x14ac:dyDescent="0.15"/>
    <row r="26679" s="9" customFormat="1" ht="21.95" customHeight="1" x14ac:dyDescent="0.15"/>
    <row r="26680" s="9" customFormat="1" ht="21.95" customHeight="1" x14ac:dyDescent="0.15"/>
    <row r="26681" s="9" customFormat="1" ht="21.95" customHeight="1" x14ac:dyDescent="0.15"/>
    <row r="26682" s="9" customFormat="1" ht="21.95" customHeight="1" x14ac:dyDescent="0.15"/>
    <row r="26683" s="9" customFormat="1" ht="21.95" customHeight="1" x14ac:dyDescent="0.15"/>
    <row r="26684" s="9" customFormat="1" ht="21.95" customHeight="1" x14ac:dyDescent="0.15"/>
    <row r="26685" s="9" customFormat="1" ht="21.95" customHeight="1" x14ac:dyDescent="0.15"/>
    <row r="26686" s="9" customFormat="1" ht="21.95" customHeight="1" x14ac:dyDescent="0.15"/>
    <row r="26687" s="9" customFormat="1" ht="21.95" customHeight="1" x14ac:dyDescent="0.15"/>
    <row r="26688" s="9" customFormat="1" ht="21.95" customHeight="1" x14ac:dyDescent="0.15"/>
    <row r="26689" spans="3:3" s="9" customFormat="1" ht="21.95" customHeight="1" x14ac:dyDescent="0.15"/>
    <row r="26690" spans="3:3" s="9" customFormat="1" ht="21.95" customHeight="1" x14ac:dyDescent="0.15"/>
    <row r="26691" spans="3:3" s="9" customFormat="1" ht="21.95" customHeight="1" x14ac:dyDescent="0.15"/>
    <row r="26692" spans="3:3" s="9" customFormat="1" ht="21.95" customHeight="1" x14ac:dyDescent="0.15"/>
    <row r="26693" spans="3:3" s="9" customFormat="1" ht="21.95" customHeight="1" x14ac:dyDescent="0.15"/>
    <row r="26694" spans="3:3" s="9" customFormat="1" ht="21.95" customHeight="1" x14ac:dyDescent="0.15"/>
    <row r="26695" spans="3:3" s="9" customFormat="1" ht="21.95" customHeight="1" x14ac:dyDescent="0.15"/>
    <row r="26696" spans="3:3" s="9" customFormat="1" ht="21.95" customHeight="1" x14ac:dyDescent="0.15"/>
    <row r="26697" spans="3:3" s="9" customFormat="1" ht="21.95" customHeight="1" x14ac:dyDescent="0.15"/>
    <row r="26698" spans="3:3" s="9" customFormat="1" ht="21.95" customHeight="1" x14ac:dyDescent="0.15"/>
    <row r="26699" spans="3:3" s="9" customFormat="1" ht="21.95" customHeight="1" x14ac:dyDescent="0.15"/>
    <row r="26700" spans="3:3" s="9" customFormat="1" ht="21.95" customHeight="1" x14ac:dyDescent="0.15"/>
    <row r="26701" spans="3:3" s="9" customFormat="1" ht="21.95" customHeight="1" x14ac:dyDescent="0.15"/>
    <row r="26702" spans="3:3" s="8" customFormat="1" ht="21.95" customHeight="1" x14ac:dyDescent="0.15"/>
    <row r="26703" spans="3:3" s="8" customFormat="1" ht="21.95" customHeight="1" x14ac:dyDescent="0.15"/>
    <row r="26704" spans="3:3" s="8" customFormat="1" ht="21.95" customHeight="1" x14ac:dyDescent="0.15">
      <c r="C26704" s="101"/>
    </row>
    <row r="26705" spans="3:3" s="8" customFormat="1" ht="21.95" customHeight="1" x14ac:dyDescent="0.15">
      <c r="C26705" s="101"/>
    </row>
    <row r="26706" spans="3:3" s="8" customFormat="1" ht="21.95" customHeight="1" x14ac:dyDescent="0.15"/>
    <row r="26707" spans="3:3" s="8" customFormat="1" ht="21.95" customHeight="1" x14ac:dyDescent="0.15"/>
    <row r="26708" spans="3:3" s="8" customFormat="1" ht="21.95" customHeight="1" x14ac:dyDescent="0.15"/>
    <row r="26709" spans="3:3" s="8" customFormat="1" ht="21.95" customHeight="1" x14ac:dyDescent="0.15"/>
    <row r="26710" spans="3:3" s="8" customFormat="1" ht="21.95" customHeight="1" x14ac:dyDescent="0.15"/>
    <row r="26711" spans="3:3" s="8" customFormat="1" ht="21.95" customHeight="1" x14ac:dyDescent="0.15"/>
    <row r="26712" spans="3:3" s="8" customFormat="1" ht="21.95" customHeight="1" x14ac:dyDescent="0.15"/>
    <row r="26713" spans="3:3" s="9" customFormat="1" ht="21.95" customHeight="1" x14ac:dyDescent="0.15"/>
    <row r="26714" spans="3:3" s="9" customFormat="1" ht="21.95" customHeight="1" x14ac:dyDescent="0.15"/>
    <row r="26715" spans="3:3" s="9" customFormat="1" ht="21.95" customHeight="1" x14ac:dyDescent="0.15"/>
    <row r="26716" spans="3:3" s="9" customFormat="1" ht="21.95" customHeight="1" x14ac:dyDescent="0.15"/>
    <row r="26717" spans="3:3" s="8" customFormat="1" ht="21.95" customHeight="1" x14ac:dyDescent="0.15"/>
    <row r="26718" spans="3:3" s="8" customFormat="1" ht="21.95" customHeight="1" x14ac:dyDescent="0.15"/>
    <row r="26719" spans="3:3" s="8" customFormat="1" ht="21.95" customHeight="1" x14ac:dyDescent="0.15"/>
    <row r="26720" spans="3:3" s="8" customFormat="1" ht="21.95" customHeight="1" x14ac:dyDescent="0.15"/>
    <row r="26721" s="8" customFormat="1" ht="21.95" customHeight="1" x14ac:dyDescent="0.15"/>
    <row r="26722" s="8" customFormat="1" ht="21.95" customHeight="1" x14ac:dyDescent="0.15"/>
    <row r="26723" s="8" customFormat="1" ht="21.95" customHeight="1" x14ac:dyDescent="0.15"/>
    <row r="26724" s="8" customFormat="1" ht="21.95" customHeight="1" x14ac:dyDescent="0.15"/>
    <row r="26725" s="8" customFormat="1" ht="21.95" customHeight="1" x14ac:dyDescent="0.15"/>
    <row r="26726" s="8" customFormat="1" ht="21.95" customHeight="1" x14ac:dyDescent="0.15"/>
    <row r="26727" s="8" customFormat="1" ht="21.95" customHeight="1" x14ac:dyDescent="0.15"/>
    <row r="26728" s="8" customFormat="1" ht="32.1" customHeight="1" x14ac:dyDescent="0.15"/>
    <row r="26729" s="8" customFormat="1" ht="32.1" customHeight="1" x14ac:dyDescent="0.15"/>
    <row r="26730" s="8" customFormat="1" ht="32.1" customHeight="1" x14ac:dyDescent="0.15"/>
    <row r="26731" s="8" customFormat="1" ht="32.1" customHeight="1" x14ac:dyDescent="0.15"/>
    <row r="26732" s="8" customFormat="1" ht="32.1" customHeight="1" x14ac:dyDescent="0.15"/>
    <row r="26733" s="8" customFormat="1" ht="32.1" customHeight="1" x14ac:dyDescent="0.15"/>
    <row r="26734" s="9" customFormat="1" ht="32.1" customHeight="1" x14ac:dyDescent="0.15"/>
    <row r="26735" s="9" customFormat="1" ht="32.1" customHeight="1" x14ac:dyDescent="0.15"/>
    <row r="26736" s="9" customFormat="1" ht="32.1" customHeight="1" x14ac:dyDescent="0.15"/>
    <row r="26737" s="9" customFormat="1" ht="32.1" customHeight="1" x14ac:dyDescent="0.15"/>
    <row r="26738" s="9" customFormat="1" ht="21.95" customHeight="1" x14ac:dyDescent="0.15"/>
    <row r="26739" s="9" customFormat="1" ht="54" customHeight="1" x14ac:dyDescent="0.15"/>
    <row r="26740" s="9" customFormat="1" ht="21.95" customHeight="1" x14ac:dyDescent="0.15"/>
    <row r="26741" s="9" customFormat="1" ht="21.95" customHeight="1" x14ac:dyDescent="0.15"/>
    <row r="26742" s="9" customFormat="1" ht="21.95" customHeight="1" x14ac:dyDescent="0.15"/>
    <row r="26743" s="9" customFormat="1" ht="21.95" customHeight="1" x14ac:dyDescent="0.15"/>
    <row r="26744" s="9" customFormat="1" ht="21.95" customHeight="1" x14ac:dyDescent="0.15"/>
    <row r="26745" s="9" customFormat="1" ht="21.95" customHeight="1" x14ac:dyDescent="0.15"/>
    <row r="26746" s="9" customFormat="1" ht="21.95" customHeight="1" x14ac:dyDescent="0.15"/>
    <row r="26747" s="9" customFormat="1" ht="21.95" customHeight="1" x14ac:dyDescent="0.15"/>
    <row r="26748" s="9" customFormat="1" ht="21.95" customHeight="1" x14ac:dyDescent="0.15"/>
    <row r="26749" s="9" customFormat="1" ht="21.95" customHeight="1" x14ac:dyDescent="0.15"/>
    <row r="26750" s="9" customFormat="1" ht="21.95" customHeight="1" x14ac:dyDescent="0.15"/>
    <row r="26751" s="9" customFormat="1" ht="21.95" customHeight="1" x14ac:dyDescent="0.15"/>
    <row r="26752" s="9" customFormat="1" ht="21.95" customHeight="1" x14ac:dyDescent="0.15"/>
    <row r="26753" s="9" customFormat="1" ht="21.95" customHeight="1" x14ac:dyDescent="0.15"/>
    <row r="26754" s="9" customFormat="1" ht="21.95" customHeight="1" x14ac:dyDescent="0.15"/>
    <row r="26755" s="9" customFormat="1" ht="21.95" customHeight="1" x14ac:dyDescent="0.15"/>
    <row r="26756" s="9" customFormat="1" ht="21.95" customHeight="1" x14ac:dyDescent="0.15"/>
    <row r="26757" s="9" customFormat="1" ht="21.95" customHeight="1" x14ac:dyDescent="0.15"/>
    <row r="26758" s="9" customFormat="1" ht="21.95" customHeight="1" x14ac:dyDescent="0.15"/>
    <row r="26759" s="9" customFormat="1" ht="21.95" customHeight="1" x14ac:dyDescent="0.15"/>
    <row r="26760" s="9" customFormat="1" ht="21.95" customHeight="1" x14ac:dyDescent="0.15"/>
    <row r="26761" s="9" customFormat="1" ht="21.95" customHeight="1" x14ac:dyDescent="0.15"/>
    <row r="26762" s="9" customFormat="1" ht="21.95" customHeight="1" x14ac:dyDescent="0.15"/>
    <row r="26763" s="9" customFormat="1" ht="21.95" customHeight="1" x14ac:dyDescent="0.15"/>
    <row r="26764" s="9" customFormat="1" ht="21.95" customHeight="1" x14ac:dyDescent="0.15"/>
    <row r="26765" s="9" customFormat="1" ht="21.95" customHeight="1" x14ac:dyDescent="0.15"/>
    <row r="26766" s="9" customFormat="1" ht="21.95" customHeight="1" x14ac:dyDescent="0.15"/>
    <row r="26767" s="9" customFormat="1" ht="21.95" customHeight="1" x14ac:dyDescent="0.15"/>
    <row r="26768" s="9" customFormat="1" ht="21.95" customHeight="1" x14ac:dyDescent="0.15"/>
    <row r="26769" s="9" customFormat="1" ht="21.95" customHeight="1" x14ac:dyDescent="0.15"/>
    <row r="26770" s="9" customFormat="1" ht="21.95" customHeight="1" x14ac:dyDescent="0.15"/>
    <row r="26771" s="9" customFormat="1" ht="21.95" customHeight="1" x14ac:dyDescent="0.15"/>
    <row r="26772" s="9" customFormat="1" ht="21.95" customHeight="1" x14ac:dyDescent="0.15"/>
    <row r="26773" s="9" customFormat="1" ht="21.95" customHeight="1" x14ac:dyDescent="0.15"/>
    <row r="26774" s="9" customFormat="1" ht="21.95" customHeight="1" x14ac:dyDescent="0.15"/>
    <row r="26775" s="9" customFormat="1" ht="21.95" customHeight="1" x14ac:dyDescent="0.15"/>
    <row r="26776" s="9" customFormat="1" ht="21.95" customHeight="1" x14ac:dyDescent="0.15"/>
    <row r="26777" s="9" customFormat="1" ht="21.95" customHeight="1" x14ac:dyDescent="0.15"/>
    <row r="26778" s="9" customFormat="1" ht="21.95" customHeight="1" x14ac:dyDescent="0.15"/>
    <row r="26779" s="9" customFormat="1" ht="21.95" customHeight="1" x14ac:dyDescent="0.15"/>
    <row r="26780" s="9" customFormat="1" ht="21.95" customHeight="1" x14ac:dyDescent="0.15"/>
    <row r="26781" s="9" customFormat="1" ht="21.95" customHeight="1" x14ac:dyDescent="0.15"/>
    <row r="26782" s="9" customFormat="1" ht="21.95" customHeight="1" x14ac:dyDescent="0.15"/>
    <row r="26783" s="9" customFormat="1" ht="21.95" customHeight="1" x14ac:dyDescent="0.15"/>
    <row r="26784" s="9" customFormat="1" ht="21.95" customHeight="1" x14ac:dyDescent="0.15"/>
    <row r="26785" s="9" customFormat="1" ht="21.95" customHeight="1" x14ac:dyDescent="0.15"/>
    <row r="26786" s="9" customFormat="1" ht="21.95" customHeight="1" x14ac:dyDescent="0.15"/>
    <row r="26787" s="9" customFormat="1" ht="21.95" customHeight="1" x14ac:dyDescent="0.15"/>
    <row r="26788" s="9" customFormat="1" ht="21.95" customHeight="1" x14ac:dyDescent="0.15"/>
    <row r="26789" s="9" customFormat="1" ht="21.95" customHeight="1" x14ac:dyDescent="0.15"/>
    <row r="26790" s="9" customFormat="1" ht="35.1" customHeight="1" x14ac:dyDescent="0.15"/>
    <row r="26791" s="9" customFormat="1" ht="21.95" customHeight="1" x14ac:dyDescent="0.15"/>
    <row r="26792" s="9" customFormat="1" ht="21.95" customHeight="1" x14ac:dyDescent="0.15"/>
    <row r="26793" s="9" customFormat="1" ht="21.95" customHeight="1" x14ac:dyDescent="0.15"/>
    <row r="26794" s="9" customFormat="1" ht="21.95" customHeight="1" x14ac:dyDescent="0.15"/>
    <row r="26795" s="9" customFormat="1" ht="21.95" customHeight="1" x14ac:dyDescent="0.15"/>
    <row r="26796" s="9" customFormat="1" ht="21.95" customHeight="1" x14ac:dyDescent="0.15"/>
    <row r="26797" s="9" customFormat="1" ht="21.95" customHeight="1" x14ac:dyDescent="0.15"/>
    <row r="26798" s="9" customFormat="1" ht="21.95" customHeight="1" x14ac:dyDescent="0.15"/>
    <row r="26799" s="9" customFormat="1" ht="21.95" customHeight="1" x14ac:dyDescent="0.15"/>
    <row r="26800" s="9" customFormat="1" ht="21.95" customHeight="1" x14ac:dyDescent="0.15"/>
    <row r="26801" spans="3:3" s="9" customFormat="1" ht="21.95" customHeight="1" x14ac:dyDescent="0.15"/>
    <row r="26802" spans="3:3" s="9" customFormat="1" ht="21.95" customHeight="1" x14ac:dyDescent="0.15"/>
    <row r="26803" spans="3:3" s="9" customFormat="1" ht="21.95" customHeight="1" x14ac:dyDescent="0.15"/>
    <row r="26804" spans="3:3" s="9" customFormat="1" ht="21.95" customHeight="1" x14ac:dyDescent="0.15"/>
    <row r="26805" spans="3:3" s="9" customFormat="1" ht="21.95" customHeight="1" x14ac:dyDescent="0.15"/>
    <row r="26806" spans="3:3" s="9" customFormat="1" ht="21.95" customHeight="1" x14ac:dyDescent="0.15"/>
    <row r="26807" spans="3:3" s="9" customFormat="1" ht="21.95" customHeight="1" x14ac:dyDescent="0.15"/>
    <row r="26808" spans="3:3" s="9" customFormat="1" ht="21.95" customHeight="1" x14ac:dyDescent="0.15"/>
    <row r="26809" spans="3:3" s="9" customFormat="1" ht="21.95" customHeight="1" x14ac:dyDescent="0.15"/>
    <row r="26810" spans="3:3" s="9" customFormat="1" ht="21.95" customHeight="1" x14ac:dyDescent="0.15"/>
    <row r="26811" spans="3:3" s="9" customFormat="1" ht="21.95" customHeight="1" x14ac:dyDescent="0.15"/>
    <row r="26812" spans="3:3" s="9" customFormat="1" ht="21.95" customHeight="1" x14ac:dyDescent="0.15"/>
    <row r="26813" spans="3:3" s="9" customFormat="1" ht="21.95" customHeight="1" x14ac:dyDescent="0.15"/>
    <row r="26814" spans="3:3" s="8" customFormat="1" ht="21.95" customHeight="1" x14ac:dyDescent="0.15"/>
    <row r="26815" spans="3:3" s="8" customFormat="1" ht="21.95" customHeight="1" x14ac:dyDescent="0.15"/>
    <row r="26816" spans="3:3" s="8" customFormat="1" ht="21.95" customHeight="1" x14ac:dyDescent="0.15">
      <c r="C26816" s="101"/>
    </row>
    <row r="26817" spans="3:3" s="8" customFormat="1" ht="21.95" customHeight="1" x14ac:dyDescent="0.15">
      <c r="C26817" s="101"/>
    </row>
    <row r="26818" spans="3:3" s="8" customFormat="1" ht="21.95" customHeight="1" x14ac:dyDescent="0.15"/>
    <row r="26819" spans="3:3" s="8" customFormat="1" ht="21.95" customHeight="1" x14ac:dyDescent="0.15"/>
    <row r="26820" spans="3:3" s="8" customFormat="1" ht="21.95" customHeight="1" x14ac:dyDescent="0.15"/>
    <row r="26821" spans="3:3" s="8" customFormat="1" ht="21.95" customHeight="1" x14ac:dyDescent="0.15"/>
    <row r="26822" spans="3:3" s="8" customFormat="1" ht="21.95" customHeight="1" x14ac:dyDescent="0.15"/>
    <row r="26823" spans="3:3" s="8" customFormat="1" ht="21.95" customHeight="1" x14ac:dyDescent="0.15"/>
    <row r="26824" spans="3:3" s="8" customFormat="1" ht="21.95" customHeight="1" x14ac:dyDescent="0.15"/>
    <row r="26825" spans="3:3" s="9" customFormat="1" ht="21.95" customHeight="1" x14ac:dyDescent="0.15"/>
    <row r="26826" spans="3:3" s="9" customFormat="1" ht="21.95" customHeight="1" x14ac:dyDescent="0.15"/>
    <row r="26827" spans="3:3" s="9" customFormat="1" ht="21.95" customHeight="1" x14ac:dyDescent="0.15"/>
    <row r="26828" spans="3:3" s="9" customFormat="1" ht="21.95" customHeight="1" x14ac:dyDescent="0.15"/>
    <row r="26829" spans="3:3" s="8" customFormat="1" ht="21.95" customHeight="1" x14ac:dyDescent="0.15"/>
    <row r="26830" spans="3:3" s="8" customFormat="1" ht="21.95" customHeight="1" x14ac:dyDescent="0.15"/>
    <row r="26831" spans="3:3" s="8" customFormat="1" ht="21.95" customHeight="1" x14ac:dyDescent="0.15"/>
    <row r="26832" spans="3:3" s="8" customFormat="1" ht="21.95" customHeight="1" x14ac:dyDescent="0.15"/>
    <row r="26833" s="8" customFormat="1" ht="21.95" customHeight="1" x14ac:dyDescent="0.15"/>
    <row r="26834" s="8" customFormat="1" ht="21.95" customHeight="1" x14ac:dyDescent="0.15"/>
    <row r="26835" s="8" customFormat="1" ht="21.95" customHeight="1" x14ac:dyDescent="0.15"/>
    <row r="26836" s="8" customFormat="1" ht="21.95" customHeight="1" x14ac:dyDescent="0.15"/>
    <row r="26837" s="8" customFormat="1" ht="21.95" customHeight="1" x14ac:dyDescent="0.15"/>
    <row r="26838" s="8" customFormat="1" ht="21.95" customHeight="1" x14ac:dyDescent="0.15"/>
    <row r="26839" s="8" customFormat="1" ht="21.95" customHeight="1" x14ac:dyDescent="0.15"/>
    <row r="26840" s="8" customFormat="1" ht="32.1" customHeight="1" x14ac:dyDescent="0.15"/>
    <row r="26841" s="8" customFormat="1" ht="32.1" customHeight="1" x14ac:dyDescent="0.15"/>
    <row r="26842" s="8" customFormat="1" ht="32.1" customHeight="1" x14ac:dyDescent="0.15"/>
    <row r="26843" s="8" customFormat="1" ht="32.1" customHeight="1" x14ac:dyDescent="0.15"/>
    <row r="26844" s="8" customFormat="1" ht="32.1" customHeight="1" x14ac:dyDescent="0.15"/>
    <row r="26845" s="8" customFormat="1" ht="32.1" customHeight="1" x14ac:dyDescent="0.15"/>
    <row r="26846" s="9" customFormat="1" ht="32.1" customHeight="1" x14ac:dyDescent="0.15"/>
    <row r="26847" s="9" customFormat="1" ht="32.1" customHeight="1" x14ac:dyDescent="0.15"/>
    <row r="26848" s="9" customFormat="1" ht="32.1" customHeight="1" x14ac:dyDescent="0.15"/>
    <row r="26849" s="9" customFormat="1" ht="32.1" customHeight="1" x14ac:dyDescent="0.15"/>
    <row r="26850" s="9" customFormat="1" ht="21.95" customHeight="1" x14ac:dyDescent="0.15"/>
    <row r="26851" s="9" customFormat="1" ht="54" customHeight="1" x14ac:dyDescent="0.15"/>
    <row r="26852" s="9" customFormat="1" ht="21.95" customHeight="1" x14ac:dyDescent="0.15"/>
    <row r="26853" s="9" customFormat="1" ht="21.95" customHeight="1" x14ac:dyDescent="0.15"/>
    <row r="26854" s="9" customFormat="1" ht="21.95" customHeight="1" x14ac:dyDescent="0.15"/>
    <row r="26855" s="9" customFormat="1" ht="21.95" customHeight="1" x14ac:dyDescent="0.15"/>
    <row r="26856" s="9" customFormat="1" ht="21.95" customHeight="1" x14ac:dyDescent="0.15"/>
    <row r="26857" s="9" customFormat="1" ht="21.95" customHeight="1" x14ac:dyDescent="0.15"/>
    <row r="26858" s="9" customFormat="1" ht="21.95" customHeight="1" x14ac:dyDescent="0.15"/>
    <row r="26859" s="9" customFormat="1" ht="21.95" customHeight="1" x14ac:dyDescent="0.15"/>
    <row r="26860" s="9" customFormat="1" ht="21.95" customHeight="1" x14ac:dyDescent="0.15"/>
    <row r="26861" s="9" customFormat="1" ht="21.95" customHeight="1" x14ac:dyDescent="0.15"/>
    <row r="26862" s="9" customFormat="1" ht="21.95" customHeight="1" x14ac:dyDescent="0.15"/>
    <row r="26863" s="9" customFormat="1" ht="21.95" customHeight="1" x14ac:dyDescent="0.15"/>
    <row r="26864" s="9" customFormat="1" ht="21.95" customHeight="1" x14ac:dyDescent="0.15"/>
    <row r="26865" s="9" customFormat="1" ht="21.95" customHeight="1" x14ac:dyDescent="0.15"/>
    <row r="26866" s="9" customFormat="1" ht="21.95" customHeight="1" x14ac:dyDescent="0.15"/>
    <row r="26867" s="9" customFormat="1" ht="21.95" customHeight="1" x14ac:dyDescent="0.15"/>
    <row r="26868" s="9" customFormat="1" ht="21.95" customHeight="1" x14ac:dyDescent="0.15"/>
    <row r="26869" s="9" customFormat="1" ht="21.95" customHeight="1" x14ac:dyDescent="0.15"/>
    <row r="26870" s="9" customFormat="1" ht="21.95" customHeight="1" x14ac:dyDescent="0.15"/>
    <row r="26871" s="9" customFormat="1" ht="21.95" customHeight="1" x14ac:dyDescent="0.15"/>
    <row r="26872" s="9" customFormat="1" ht="21.95" customHeight="1" x14ac:dyDescent="0.15"/>
    <row r="26873" s="9" customFormat="1" ht="21.95" customHeight="1" x14ac:dyDescent="0.15"/>
    <row r="26874" s="9" customFormat="1" ht="21.95" customHeight="1" x14ac:dyDescent="0.15"/>
    <row r="26875" s="9" customFormat="1" ht="21.95" customHeight="1" x14ac:dyDescent="0.15"/>
    <row r="26876" s="9" customFormat="1" ht="21.95" customHeight="1" x14ac:dyDescent="0.15"/>
    <row r="26877" s="9" customFormat="1" ht="21.95" customHeight="1" x14ac:dyDescent="0.15"/>
    <row r="26878" s="9" customFormat="1" ht="21.95" customHeight="1" x14ac:dyDescent="0.15"/>
    <row r="26879" s="9" customFormat="1" ht="21.95" customHeight="1" x14ac:dyDescent="0.15"/>
    <row r="26880" s="9" customFormat="1" ht="21.95" customHeight="1" x14ac:dyDescent="0.15"/>
    <row r="26881" s="9" customFormat="1" ht="21.95" customHeight="1" x14ac:dyDescent="0.15"/>
    <row r="26882" s="9" customFormat="1" ht="21.95" customHeight="1" x14ac:dyDescent="0.15"/>
    <row r="26883" s="9" customFormat="1" ht="21.95" customHeight="1" x14ac:dyDescent="0.15"/>
    <row r="26884" s="9" customFormat="1" ht="21.95" customHeight="1" x14ac:dyDescent="0.15"/>
    <row r="26885" s="9" customFormat="1" ht="21.95" customHeight="1" x14ac:dyDescent="0.15"/>
    <row r="26886" s="9" customFormat="1" ht="21.95" customHeight="1" x14ac:dyDescent="0.15"/>
    <row r="26887" s="9" customFormat="1" ht="21.95" customHeight="1" x14ac:dyDescent="0.15"/>
    <row r="26888" s="9" customFormat="1" ht="21.95" customHeight="1" x14ac:dyDescent="0.15"/>
    <row r="26889" s="9" customFormat="1" ht="21.95" customHeight="1" x14ac:dyDescent="0.15"/>
    <row r="26890" s="9" customFormat="1" ht="21.95" customHeight="1" x14ac:dyDescent="0.15"/>
    <row r="26891" s="9" customFormat="1" ht="21.95" customHeight="1" x14ac:dyDescent="0.15"/>
    <row r="26892" s="9" customFormat="1" ht="21.95" customHeight="1" x14ac:dyDescent="0.15"/>
    <row r="26893" s="9" customFormat="1" ht="21.95" customHeight="1" x14ac:dyDescent="0.15"/>
    <row r="26894" s="9" customFormat="1" ht="21.95" customHeight="1" x14ac:dyDescent="0.15"/>
    <row r="26895" s="9" customFormat="1" ht="21.95" customHeight="1" x14ac:dyDescent="0.15"/>
    <row r="26896" s="9" customFormat="1" ht="21.95" customHeight="1" x14ac:dyDescent="0.15"/>
    <row r="26897" s="9" customFormat="1" ht="21.95" customHeight="1" x14ac:dyDescent="0.15"/>
    <row r="26898" s="9" customFormat="1" ht="21.95" customHeight="1" x14ac:dyDescent="0.15"/>
    <row r="26899" s="9" customFormat="1" ht="21.95" customHeight="1" x14ac:dyDescent="0.15"/>
    <row r="26900" s="9" customFormat="1" ht="21.95" customHeight="1" x14ac:dyDescent="0.15"/>
    <row r="26901" s="9" customFormat="1" ht="21.95" customHeight="1" x14ac:dyDescent="0.15"/>
    <row r="26902" s="9" customFormat="1" ht="35.1" customHeight="1" x14ac:dyDescent="0.15"/>
    <row r="26903" s="9" customFormat="1" ht="21.95" customHeight="1" x14ac:dyDescent="0.15"/>
    <row r="26904" s="9" customFormat="1" ht="21.95" customHeight="1" x14ac:dyDescent="0.15"/>
    <row r="26905" s="9" customFormat="1" ht="21.95" customHeight="1" x14ac:dyDescent="0.15"/>
    <row r="26906" s="9" customFormat="1" ht="21.95" customHeight="1" x14ac:dyDescent="0.15"/>
    <row r="26907" s="9" customFormat="1" ht="21.95" customHeight="1" x14ac:dyDescent="0.15"/>
    <row r="26908" s="9" customFormat="1" ht="21.95" customHeight="1" x14ac:dyDescent="0.15"/>
    <row r="26909" s="9" customFormat="1" ht="21.95" customHeight="1" x14ac:dyDescent="0.15"/>
    <row r="26910" s="9" customFormat="1" ht="21.95" customHeight="1" x14ac:dyDescent="0.15"/>
    <row r="26911" s="9" customFormat="1" ht="21.95" customHeight="1" x14ac:dyDescent="0.15"/>
    <row r="26912" s="9" customFormat="1" ht="21.95" customHeight="1" x14ac:dyDescent="0.15"/>
    <row r="26913" spans="3:3" s="9" customFormat="1" ht="21.95" customHeight="1" x14ac:dyDescent="0.15"/>
    <row r="26914" spans="3:3" s="9" customFormat="1" ht="21.95" customHeight="1" x14ac:dyDescent="0.15"/>
    <row r="26915" spans="3:3" s="9" customFormat="1" ht="21.95" customHeight="1" x14ac:dyDescent="0.15"/>
    <row r="26916" spans="3:3" s="9" customFormat="1" ht="21.95" customHeight="1" x14ac:dyDescent="0.15"/>
    <row r="26917" spans="3:3" s="9" customFormat="1" ht="21.95" customHeight="1" x14ac:dyDescent="0.15"/>
    <row r="26918" spans="3:3" s="9" customFormat="1" ht="21.95" customHeight="1" x14ac:dyDescent="0.15"/>
    <row r="26919" spans="3:3" s="9" customFormat="1" ht="21.95" customHeight="1" x14ac:dyDescent="0.15"/>
    <row r="26920" spans="3:3" s="9" customFormat="1" ht="21.95" customHeight="1" x14ac:dyDescent="0.15"/>
    <row r="26921" spans="3:3" s="9" customFormat="1" ht="21.95" customHeight="1" x14ac:dyDescent="0.15"/>
    <row r="26922" spans="3:3" s="9" customFormat="1" ht="21.95" customHeight="1" x14ac:dyDescent="0.15"/>
    <row r="26923" spans="3:3" s="9" customFormat="1" ht="21.95" customHeight="1" x14ac:dyDescent="0.15"/>
    <row r="26924" spans="3:3" s="9" customFormat="1" ht="21.95" customHeight="1" x14ac:dyDescent="0.15"/>
    <row r="26925" spans="3:3" s="9" customFormat="1" ht="21.95" customHeight="1" x14ac:dyDescent="0.15"/>
    <row r="26926" spans="3:3" s="8" customFormat="1" ht="21.95" customHeight="1" x14ac:dyDescent="0.15"/>
    <row r="26927" spans="3:3" s="8" customFormat="1" ht="21.95" customHeight="1" x14ac:dyDescent="0.15"/>
    <row r="26928" spans="3:3" s="8" customFormat="1" ht="21.95" customHeight="1" x14ac:dyDescent="0.15">
      <c r="C26928" s="101"/>
    </row>
    <row r="26929" spans="3:3" s="8" customFormat="1" ht="21.95" customHeight="1" x14ac:dyDescent="0.15">
      <c r="C26929" s="101"/>
    </row>
    <row r="26930" spans="3:3" s="8" customFormat="1" ht="21.95" customHeight="1" x14ac:dyDescent="0.15"/>
    <row r="26931" spans="3:3" s="8" customFormat="1" ht="21.95" customHeight="1" x14ac:dyDescent="0.15"/>
    <row r="26932" spans="3:3" s="8" customFormat="1" ht="21.95" customHeight="1" x14ac:dyDescent="0.15"/>
    <row r="26933" spans="3:3" s="8" customFormat="1" ht="21.95" customHeight="1" x14ac:dyDescent="0.15"/>
    <row r="26934" spans="3:3" s="8" customFormat="1" ht="21.95" customHeight="1" x14ac:dyDescent="0.15"/>
    <row r="26935" spans="3:3" s="8" customFormat="1" ht="21.95" customHeight="1" x14ac:dyDescent="0.15"/>
    <row r="26936" spans="3:3" s="8" customFormat="1" ht="21.95" customHeight="1" x14ac:dyDescent="0.15"/>
    <row r="26937" spans="3:3" s="9" customFormat="1" ht="21.95" customHeight="1" x14ac:dyDescent="0.15"/>
    <row r="26938" spans="3:3" s="9" customFormat="1" ht="21.95" customHeight="1" x14ac:dyDescent="0.15"/>
    <row r="26939" spans="3:3" s="9" customFormat="1" ht="21.95" customHeight="1" x14ac:dyDescent="0.15"/>
    <row r="26940" spans="3:3" s="9" customFormat="1" ht="21.95" customHeight="1" x14ac:dyDescent="0.15"/>
    <row r="26941" spans="3:3" s="8" customFormat="1" ht="21.95" customHeight="1" x14ac:dyDescent="0.15"/>
    <row r="26942" spans="3:3" s="8" customFormat="1" ht="21.95" customHeight="1" x14ac:dyDescent="0.15"/>
    <row r="26943" spans="3:3" s="8" customFormat="1" ht="21.95" customHeight="1" x14ac:dyDescent="0.15"/>
    <row r="26944" spans="3:3" s="8" customFormat="1" ht="21.95" customHeight="1" x14ac:dyDescent="0.15"/>
    <row r="26945" s="8" customFormat="1" ht="21.95" customHeight="1" x14ac:dyDescent="0.15"/>
    <row r="26946" s="8" customFormat="1" ht="21.95" customHeight="1" x14ac:dyDescent="0.15"/>
    <row r="26947" s="8" customFormat="1" ht="21.95" customHeight="1" x14ac:dyDescent="0.15"/>
    <row r="26948" s="8" customFormat="1" ht="21.95" customHeight="1" x14ac:dyDescent="0.15"/>
    <row r="26949" s="8" customFormat="1" ht="21.95" customHeight="1" x14ac:dyDescent="0.15"/>
    <row r="26950" s="8" customFormat="1" ht="21.95" customHeight="1" x14ac:dyDescent="0.15"/>
    <row r="26951" s="8" customFormat="1" ht="21.95" customHeight="1" x14ac:dyDescent="0.15"/>
    <row r="26952" s="8" customFormat="1" ht="32.1" customHeight="1" x14ac:dyDescent="0.15"/>
    <row r="26953" s="8" customFormat="1" ht="32.1" customHeight="1" x14ac:dyDescent="0.15"/>
    <row r="26954" s="8" customFormat="1" ht="32.1" customHeight="1" x14ac:dyDescent="0.15"/>
    <row r="26955" s="8" customFormat="1" ht="32.1" customHeight="1" x14ac:dyDescent="0.15"/>
    <row r="26956" s="8" customFormat="1" ht="32.1" customHeight="1" x14ac:dyDescent="0.15"/>
    <row r="26957" s="8" customFormat="1" ht="32.1" customHeight="1" x14ac:dyDescent="0.15"/>
    <row r="26958" s="9" customFormat="1" ht="32.1" customHeight="1" x14ac:dyDescent="0.15"/>
    <row r="26959" s="9" customFormat="1" ht="32.1" customHeight="1" x14ac:dyDescent="0.15"/>
    <row r="26960" s="9" customFormat="1" ht="32.1" customHeight="1" x14ac:dyDescent="0.15"/>
    <row r="26961" s="9" customFormat="1" ht="32.1" customHeight="1" x14ac:dyDescent="0.15"/>
    <row r="26962" s="9" customFormat="1" ht="21.95" customHeight="1" x14ac:dyDescent="0.15"/>
    <row r="26963" s="9" customFormat="1" ht="54" customHeight="1" x14ac:dyDescent="0.15"/>
    <row r="26964" s="9" customFormat="1" ht="21.95" customHeight="1" x14ac:dyDescent="0.15"/>
    <row r="26965" s="9" customFormat="1" ht="21.95" customHeight="1" x14ac:dyDescent="0.15"/>
    <row r="26966" s="9" customFormat="1" ht="21.95" customHeight="1" x14ac:dyDescent="0.15"/>
    <row r="26967" s="9" customFormat="1" ht="21.95" customHeight="1" x14ac:dyDescent="0.15"/>
    <row r="26968" s="9" customFormat="1" ht="21.95" customHeight="1" x14ac:dyDescent="0.15"/>
    <row r="26969" s="9" customFormat="1" ht="21.95" customHeight="1" x14ac:dyDescent="0.15"/>
    <row r="26970" s="9" customFormat="1" ht="21.95" customHeight="1" x14ac:dyDescent="0.15"/>
    <row r="26971" s="9" customFormat="1" ht="21.95" customHeight="1" x14ac:dyDescent="0.15"/>
    <row r="26972" s="9" customFormat="1" ht="21.95" customHeight="1" x14ac:dyDescent="0.15"/>
    <row r="26973" s="9" customFormat="1" ht="21.95" customHeight="1" x14ac:dyDescent="0.15"/>
    <row r="26974" s="9" customFormat="1" ht="21.95" customHeight="1" x14ac:dyDescent="0.15"/>
    <row r="26975" s="9" customFormat="1" ht="21.95" customHeight="1" x14ac:dyDescent="0.15"/>
    <row r="26976" s="9" customFormat="1" ht="21.95" customHeight="1" x14ac:dyDescent="0.15"/>
    <row r="26977" s="9" customFormat="1" ht="21.95" customHeight="1" x14ac:dyDescent="0.15"/>
    <row r="26978" s="9" customFormat="1" ht="21.95" customHeight="1" x14ac:dyDescent="0.15"/>
    <row r="26979" s="9" customFormat="1" ht="21.95" customHeight="1" x14ac:dyDescent="0.15"/>
    <row r="26980" s="9" customFormat="1" ht="21.95" customHeight="1" x14ac:dyDescent="0.15"/>
    <row r="26981" s="9" customFormat="1" ht="21.95" customHeight="1" x14ac:dyDescent="0.15"/>
    <row r="26982" s="9" customFormat="1" ht="21.95" customHeight="1" x14ac:dyDescent="0.15"/>
    <row r="26983" s="9" customFormat="1" ht="21.95" customHeight="1" x14ac:dyDescent="0.15"/>
    <row r="26984" s="9" customFormat="1" ht="21.95" customHeight="1" x14ac:dyDescent="0.15"/>
    <row r="26985" s="9" customFormat="1" ht="21.95" customHeight="1" x14ac:dyDescent="0.15"/>
    <row r="26986" s="9" customFormat="1" ht="21.95" customHeight="1" x14ac:dyDescent="0.15"/>
    <row r="26987" s="9" customFormat="1" ht="21.95" customHeight="1" x14ac:dyDescent="0.15"/>
    <row r="26988" s="9" customFormat="1" ht="21.95" customHeight="1" x14ac:dyDescent="0.15"/>
    <row r="26989" s="9" customFormat="1" ht="21.95" customHeight="1" x14ac:dyDescent="0.15"/>
    <row r="26990" s="9" customFormat="1" ht="21.95" customHeight="1" x14ac:dyDescent="0.15"/>
    <row r="26991" s="9" customFormat="1" ht="21.95" customHeight="1" x14ac:dyDescent="0.15"/>
    <row r="26992" s="9" customFormat="1" ht="21.95" customHeight="1" x14ac:dyDescent="0.15"/>
    <row r="26993" s="9" customFormat="1" ht="21.95" customHeight="1" x14ac:dyDescent="0.15"/>
    <row r="26994" s="9" customFormat="1" ht="21.95" customHeight="1" x14ac:dyDescent="0.15"/>
    <row r="26995" s="9" customFormat="1" ht="21.95" customHeight="1" x14ac:dyDescent="0.15"/>
    <row r="26996" s="9" customFormat="1" ht="21.95" customHeight="1" x14ac:dyDescent="0.15"/>
    <row r="26997" s="9" customFormat="1" ht="21.95" customHeight="1" x14ac:dyDescent="0.15"/>
    <row r="26998" s="9" customFormat="1" ht="21.95" customHeight="1" x14ac:dyDescent="0.15"/>
    <row r="26999" s="9" customFormat="1" ht="21.95" customHeight="1" x14ac:dyDescent="0.15"/>
    <row r="27000" s="9" customFormat="1" ht="21.95" customHeight="1" x14ac:dyDescent="0.15"/>
    <row r="27001" s="9" customFormat="1" ht="21.95" customHeight="1" x14ac:dyDescent="0.15"/>
    <row r="27002" s="9" customFormat="1" ht="21.95" customHeight="1" x14ac:dyDescent="0.15"/>
    <row r="27003" s="9" customFormat="1" ht="21.95" customHeight="1" x14ac:dyDescent="0.15"/>
    <row r="27004" s="9" customFormat="1" ht="21.95" customHeight="1" x14ac:dyDescent="0.15"/>
    <row r="27005" s="9" customFormat="1" ht="21.95" customHeight="1" x14ac:dyDescent="0.15"/>
    <row r="27006" s="9" customFormat="1" ht="21.95" customHeight="1" x14ac:dyDescent="0.15"/>
    <row r="27007" s="9" customFormat="1" ht="21.95" customHeight="1" x14ac:dyDescent="0.15"/>
    <row r="27008" s="9" customFormat="1" ht="21.95" customHeight="1" x14ac:dyDescent="0.15"/>
    <row r="27009" s="9" customFormat="1" ht="21.95" customHeight="1" x14ac:dyDescent="0.15"/>
    <row r="27010" s="9" customFormat="1" ht="21.95" customHeight="1" x14ac:dyDescent="0.15"/>
    <row r="27011" s="9" customFormat="1" ht="21.95" customHeight="1" x14ac:dyDescent="0.15"/>
    <row r="27012" s="9" customFormat="1" ht="21.95" customHeight="1" x14ac:dyDescent="0.15"/>
    <row r="27013" s="9" customFormat="1" ht="21.95" customHeight="1" x14ac:dyDescent="0.15"/>
    <row r="27014" s="9" customFormat="1" ht="35.1" customHeight="1" x14ac:dyDescent="0.15"/>
    <row r="27015" s="9" customFormat="1" ht="21.95" customHeight="1" x14ac:dyDescent="0.15"/>
    <row r="27016" s="9" customFormat="1" ht="21.95" customHeight="1" x14ac:dyDescent="0.15"/>
    <row r="27017" s="9" customFormat="1" ht="21.95" customHeight="1" x14ac:dyDescent="0.15"/>
    <row r="27018" s="9" customFormat="1" ht="21.95" customHeight="1" x14ac:dyDescent="0.15"/>
    <row r="27019" s="9" customFormat="1" ht="21.95" customHeight="1" x14ac:dyDescent="0.15"/>
    <row r="27020" s="9" customFormat="1" ht="21.95" customHeight="1" x14ac:dyDescent="0.15"/>
    <row r="27021" s="9" customFormat="1" ht="21.95" customHeight="1" x14ac:dyDescent="0.15"/>
    <row r="27022" s="9" customFormat="1" ht="21.95" customHeight="1" x14ac:dyDescent="0.15"/>
    <row r="27023" s="9" customFormat="1" ht="21.95" customHeight="1" x14ac:dyDescent="0.15"/>
    <row r="27024" s="9" customFormat="1" ht="21.95" customHeight="1" x14ac:dyDescent="0.15"/>
    <row r="27025" spans="3:3" s="9" customFormat="1" ht="21.95" customHeight="1" x14ac:dyDescent="0.15"/>
    <row r="27026" spans="3:3" s="9" customFormat="1" ht="21.95" customHeight="1" x14ac:dyDescent="0.15"/>
    <row r="27027" spans="3:3" s="9" customFormat="1" ht="21.95" customHeight="1" x14ac:dyDescent="0.15"/>
    <row r="27028" spans="3:3" s="9" customFormat="1" ht="21.95" customHeight="1" x14ac:dyDescent="0.15"/>
    <row r="27029" spans="3:3" s="9" customFormat="1" ht="21.95" customHeight="1" x14ac:dyDescent="0.15"/>
    <row r="27030" spans="3:3" s="9" customFormat="1" ht="21.95" customHeight="1" x14ac:dyDescent="0.15"/>
    <row r="27031" spans="3:3" s="9" customFormat="1" ht="21.95" customHeight="1" x14ac:dyDescent="0.15"/>
    <row r="27032" spans="3:3" s="9" customFormat="1" ht="21.95" customHeight="1" x14ac:dyDescent="0.15"/>
    <row r="27033" spans="3:3" s="9" customFormat="1" ht="21.95" customHeight="1" x14ac:dyDescent="0.15"/>
    <row r="27034" spans="3:3" s="9" customFormat="1" ht="21.95" customHeight="1" x14ac:dyDescent="0.15"/>
    <row r="27035" spans="3:3" s="9" customFormat="1" ht="21.95" customHeight="1" x14ac:dyDescent="0.15"/>
    <row r="27036" spans="3:3" s="9" customFormat="1" ht="21.95" customHeight="1" x14ac:dyDescent="0.15"/>
    <row r="27037" spans="3:3" s="9" customFormat="1" ht="21.95" customHeight="1" x14ac:dyDescent="0.15"/>
    <row r="27038" spans="3:3" s="8" customFormat="1" ht="21.95" customHeight="1" x14ac:dyDescent="0.15"/>
    <row r="27039" spans="3:3" s="8" customFormat="1" ht="21.95" customHeight="1" x14ac:dyDescent="0.15"/>
    <row r="27040" spans="3:3" s="8" customFormat="1" ht="21.95" customHeight="1" x14ac:dyDescent="0.15">
      <c r="C27040" s="101"/>
    </row>
    <row r="27041" spans="3:3" s="8" customFormat="1" ht="21.95" customHeight="1" x14ac:dyDescent="0.15">
      <c r="C27041" s="101"/>
    </row>
    <row r="27042" spans="3:3" s="8" customFormat="1" ht="21.95" customHeight="1" x14ac:dyDescent="0.15"/>
    <row r="27043" spans="3:3" s="8" customFormat="1" ht="21.95" customHeight="1" x14ac:dyDescent="0.15"/>
    <row r="27044" spans="3:3" s="8" customFormat="1" ht="21.95" customHeight="1" x14ac:dyDescent="0.15"/>
    <row r="27045" spans="3:3" s="8" customFormat="1" ht="21.95" customHeight="1" x14ac:dyDescent="0.15"/>
    <row r="27046" spans="3:3" s="8" customFormat="1" ht="21.95" customHeight="1" x14ac:dyDescent="0.15"/>
    <row r="27047" spans="3:3" s="8" customFormat="1" ht="21.95" customHeight="1" x14ac:dyDescent="0.15"/>
    <row r="27048" spans="3:3" s="8" customFormat="1" ht="21.95" customHeight="1" x14ac:dyDescent="0.15"/>
    <row r="27049" spans="3:3" s="9" customFormat="1" ht="21.95" customHeight="1" x14ac:dyDescent="0.15"/>
    <row r="27050" spans="3:3" s="9" customFormat="1" ht="21.95" customHeight="1" x14ac:dyDescent="0.15"/>
    <row r="27051" spans="3:3" s="9" customFormat="1" ht="21.95" customHeight="1" x14ac:dyDescent="0.15"/>
    <row r="27052" spans="3:3" s="9" customFormat="1" ht="21.95" customHeight="1" x14ac:dyDescent="0.15"/>
    <row r="27053" spans="3:3" s="8" customFormat="1" ht="21.95" customHeight="1" x14ac:dyDescent="0.15"/>
    <row r="27054" spans="3:3" s="8" customFormat="1" ht="21.95" customHeight="1" x14ac:dyDescent="0.15"/>
    <row r="27055" spans="3:3" s="8" customFormat="1" ht="21.95" customHeight="1" x14ac:dyDescent="0.15"/>
    <row r="27056" spans="3:3" s="8" customFormat="1" ht="21.95" customHeight="1" x14ac:dyDescent="0.15"/>
    <row r="27057" s="8" customFormat="1" ht="21.95" customHeight="1" x14ac:dyDescent="0.15"/>
    <row r="27058" s="8" customFormat="1" ht="21.95" customHeight="1" x14ac:dyDescent="0.15"/>
    <row r="27059" s="8" customFormat="1" ht="21.95" customHeight="1" x14ac:dyDescent="0.15"/>
    <row r="27060" s="8" customFormat="1" ht="21.95" customHeight="1" x14ac:dyDescent="0.15"/>
    <row r="27061" s="8" customFormat="1" ht="21.95" customHeight="1" x14ac:dyDescent="0.15"/>
    <row r="27062" s="8" customFormat="1" ht="21.95" customHeight="1" x14ac:dyDescent="0.15"/>
    <row r="27063" s="8" customFormat="1" ht="21.95" customHeight="1" x14ac:dyDescent="0.15"/>
    <row r="27064" s="8" customFormat="1" ht="32.1" customHeight="1" x14ac:dyDescent="0.15"/>
    <row r="27065" s="8" customFormat="1" ht="32.1" customHeight="1" x14ac:dyDescent="0.15"/>
    <row r="27066" s="8" customFormat="1" ht="32.1" customHeight="1" x14ac:dyDescent="0.15"/>
    <row r="27067" s="8" customFormat="1" ht="32.1" customHeight="1" x14ac:dyDescent="0.15"/>
    <row r="27068" s="8" customFormat="1" ht="32.1" customHeight="1" x14ac:dyDescent="0.15"/>
    <row r="27069" s="8" customFormat="1" ht="32.1" customHeight="1" x14ac:dyDescent="0.15"/>
    <row r="27070" s="9" customFormat="1" ht="32.1" customHeight="1" x14ac:dyDescent="0.15"/>
    <row r="27071" s="9" customFormat="1" ht="32.1" customHeight="1" x14ac:dyDescent="0.15"/>
    <row r="27072" s="9" customFormat="1" ht="32.1" customHeight="1" x14ac:dyDescent="0.15"/>
    <row r="27073" s="9" customFormat="1" ht="32.1" customHeight="1" x14ac:dyDescent="0.15"/>
    <row r="27074" s="9" customFormat="1" ht="21.95" customHeight="1" x14ac:dyDescent="0.15"/>
    <row r="27075" s="9" customFormat="1" ht="54" customHeight="1" x14ac:dyDescent="0.15"/>
    <row r="27076" s="9" customFormat="1" ht="21.95" customHeight="1" x14ac:dyDescent="0.15"/>
    <row r="27077" s="9" customFormat="1" ht="21.95" customHeight="1" x14ac:dyDescent="0.15"/>
    <row r="27078" s="9" customFormat="1" ht="21.95" customHeight="1" x14ac:dyDescent="0.15"/>
    <row r="27079" s="9" customFormat="1" ht="21.95" customHeight="1" x14ac:dyDescent="0.15"/>
    <row r="27080" s="9" customFormat="1" ht="21.95" customHeight="1" x14ac:dyDescent="0.15"/>
    <row r="27081" s="9" customFormat="1" ht="21.95" customHeight="1" x14ac:dyDescent="0.15"/>
    <row r="27082" s="9" customFormat="1" ht="21.95" customHeight="1" x14ac:dyDescent="0.15"/>
    <row r="27083" s="9" customFormat="1" ht="21.95" customHeight="1" x14ac:dyDescent="0.15"/>
    <row r="27084" s="9" customFormat="1" ht="21.95" customHeight="1" x14ac:dyDescent="0.15"/>
    <row r="27085" s="9" customFormat="1" ht="21.95" customHeight="1" x14ac:dyDescent="0.15"/>
    <row r="27086" s="9" customFormat="1" ht="21.95" customHeight="1" x14ac:dyDescent="0.15"/>
    <row r="27087" s="9" customFormat="1" ht="21.95" customHeight="1" x14ac:dyDescent="0.15"/>
    <row r="27088" s="9" customFormat="1" ht="21.95" customHeight="1" x14ac:dyDescent="0.15"/>
    <row r="27089" s="9" customFormat="1" ht="21.95" customHeight="1" x14ac:dyDescent="0.15"/>
    <row r="27090" s="9" customFormat="1" ht="21.95" customHeight="1" x14ac:dyDescent="0.15"/>
    <row r="27091" s="9" customFormat="1" ht="21.95" customHeight="1" x14ac:dyDescent="0.15"/>
    <row r="27092" s="9" customFormat="1" ht="21.95" customHeight="1" x14ac:dyDescent="0.15"/>
    <row r="27093" s="9" customFormat="1" ht="21.95" customHeight="1" x14ac:dyDescent="0.15"/>
    <row r="27094" s="9" customFormat="1" ht="21.95" customHeight="1" x14ac:dyDescent="0.15"/>
    <row r="27095" s="9" customFormat="1" ht="21.95" customHeight="1" x14ac:dyDescent="0.15"/>
    <row r="27096" s="9" customFormat="1" ht="21.95" customHeight="1" x14ac:dyDescent="0.15"/>
    <row r="27097" s="9" customFormat="1" ht="21.95" customHeight="1" x14ac:dyDescent="0.15"/>
    <row r="27098" s="9" customFormat="1" ht="21.95" customHeight="1" x14ac:dyDescent="0.15"/>
    <row r="27099" s="9" customFormat="1" ht="21.95" customHeight="1" x14ac:dyDescent="0.15"/>
    <row r="27100" s="9" customFormat="1" ht="21.95" customHeight="1" x14ac:dyDescent="0.15"/>
    <row r="27101" s="9" customFormat="1" ht="21.95" customHeight="1" x14ac:dyDescent="0.15"/>
    <row r="27102" s="9" customFormat="1" ht="21.95" customHeight="1" x14ac:dyDescent="0.15"/>
    <row r="27103" s="9" customFormat="1" ht="21.95" customHeight="1" x14ac:dyDescent="0.15"/>
    <row r="27104" s="9" customFormat="1" ht="21.95" customHeight="1" x14ac:dyDescent="0.15"/>
    <row r="27105" s="9" customFormat="1" ht="21.95" customHeight="1" x14ac:dyDescent="0.15"/>
    <row r="27106" s="9" customFormat="1" ht="21.95" customHeight="1" x14ac:dyDescent="0.15"/>
    <row r="27107" s="9" customFormat="1" ht="21.95" customHeight="1" x14ac:dyDescent="0.15"/>
    <row r="27108" s="9" customFormat="1" ht="21.95" customHeight="1" x14ac:dyDescent="0.15"/>
    <row r="27109" s="9" customFormat="1" ht="21.95" customHeight="1" x14ac:dyDescent="0.15"/>
    <row r="27110" s="9" customFormat="1" ht="21.95" customHeight="1" x14ac:dyDescent="0.15"/>
    <row r="27111" s="9" customFormat="1" ht="21.95" customHeight="1" x14ac:dyDescent="0.15"/>
    <row r="27112" s="9" customFormat="1" ht="21.95" customHeight="1" x14ac:dyDescent="0.15"/>
    <row r="27113" s="9" customFormat="1" ht="21.95" customHeight="1" x14ac:dyDescent="0.15"/>
    <row r="27114" s="9" customFormat="1" ht="21.95" customHeight="1" x14ac:dyDescent="0.15"/>
    <row r="27115" s="9" customFormat="1" ht="21.95" customHeight="1" x14ac:dyDescent="0.15"/>
    <row r="27116" s="9" customFormat="1" ht="21.95" customHeight="1" x14ac:dyDescent="0.15"/>
    <row r="27117" s="9" customFormat="1" ht="21.95" customHeight="1" x14ac:dyDescent="0.15"/>
    <row r="27118" s="9" customFormat="1" ht="21.95" customHeight="1" x14ac:dyDescent="0.15"/>
    <row r="27119" s="9" customFormat="1" ht="21.95" customHeight="1" x14ac:dyDescent="0.15"/>
    <row r="27120" s="9" customFormat="1" ht="21.95" customHeight="1" x14ac:dyDescent="0.15"/>
    <row r="27121" s="9" customFormat="1" ht="21.95" customHeight="1" x14ac:dyDescent="0.15"/>
    <row r="27122" s="9" customFormat="1" ht="21.95" customHeight="1" x14ac:dyDescent="0.15"/>
    <row r="27123" s="9" customFormat="1" ht="21.95" customHeight="1" x14ac:dyDescent="0.15"/>
    <row r="27124" s="9" customFormat="1" ht="21.95" customHeight="1" x14ac:dyDescent="0.15"/>
    <row r="27125" s="9" customFormat="1" ht="21.95" customHeight="1" x14ac:dyDescent="0.15"/>
    <row r="27126" s="9" customFormat="1" ht="35.1" customHeight="1" x14ac:dyDescent="0.15"/>
    <row r="27127" s="9" customFormat="1" ht="21.95" customHeight="1" x14ac:dyDescent="0.15"/>
    <row r="27128" s="9" customFormat="1" ht="21.95" customHeight="1" x14ac:dyDescent="0.15"/>
    <row r="27129" s="9" customFormat="1" ht="21.95" customHeight="1" x14ac:dyDescent="0.15"/>
    <row r="27130" s="9" customFormat="1" ht="21.95" customHeight="1" x14ac:dyDescent="0.15"/>
    <row r="27131" s="9" customFormat="1" ht="21.95" customHeight="1" x14ac:dyDescent="0.15"/>
    <row r="27132" s="9" customFormat="1" ht="21.95" customHeight="1" x14ac:dyDescent="0.15"/>
    <row r="27133" s="9" customFormat="1" ht="21.95" customHeight="1" x14ac:dyDescent="0.15"/>
    <row r="27134" s="9" customFormat="1" ht="21.95" customHeight="1" x14ac:dyDescent="0.15"/>
    <row r="27135" s="9" customFormat="1" ht="21.95" customHeight="1" x14ac:dyDescent="0.15"/>
    <row r="27136" s="9" customFormat="1" ht="21.95" customHeight="1" x14ac:dyDescent="0.15"/>
    <row r="27137" spans="3:3" s="9" customFormat="1" ht="21.95" customHeight="1" x14ac:dyDescent="0.15"/>
    <row r="27138" spans="3:3" s="9" customFormat="1" ht="21.95" customHeight="1" x14ac:dyDescent="0.15"/>
    <row r="27139" spans="3:3" s="9" customFormat="1" ht="21.95" customHeight="1" x14ac:dyDescent="0.15"/>
    <row r="27140" spans="3:3" s="9" customFormat="1" ht="21.95" customHeight="1" x14ac:dyDescent="0.15"/>
    <row r="27141" spans="3:3" s="9" customFormat="1" ht="21.95" customHeight="1" x14ac:dyDescent="0.15"/>
    <row r="27142" spans="3:3" s="9" customFormat="1" ht="21.95" customHeight="1" x14ac:dyDescent="0.15"/>
    <row r="27143" spans="3:3" s="9" customFormat="1" ht="21.95" customHeight="1" x14ac:dyDescent="0.15"/>
    <row r="27144" spans="3:3" s="9" customFormat="1" ht="21.95" customHeight="1" x14ac:dyDescent="0.15"/>
    <row r="27145" spans="3:3" s="9" customFormat="1" ht="21.95" customHeight="1" x14ac:dyDescent="0.15"/>
    <row r="27146" spans="3:3" s="9" customFormat="1" ht="21.95" customHeight="1" x14ac:dyDescent="0.15"/>
    <row r="27147" spans="3:3" s="9" customFormat="1" ht="21.95" customHeight="1" x14ac:dyDescent="0.15"/>
    <row r="27148" spans="3:3" s="9" customFormat="1" ht="21.95" customHeight="1" x14ac:dyDescent="0.15"/>
    <row r="27149" spans="3:3" s="9" customFormat="1" ht="21.95" customHeight="1" x14ac:dyDescent="0.15"/>
    <row r="27150" spans="3:3" s="8" customFormat="1" ht="21.95" customHeight="1" x14ac:dyDescent="0.15"/>
    <row r="27151" spans="3:3" s="8" customFormat="1" ht="21.95" customHeight="1" x14ac:dyDescent="0.15"/>
    <row r="27152" spans="3:3" s="8" customFormat="1" ht="21.95" customHeight="1" x14ac:dyDescent="0.15">
      <c r="C27152" s="101"/>
    </row>
    <row r="27153" spans="3:3" s="8" customFormat="1" ht="21.95" customHeight="1" x14ac:dyDescent="0.15">
      <c r="C27153" s="101"/>
    </row>
    <row r="27154" spans="3:3" s="8" customFormat="1" ht="21.95" customHeight="1" x14ac:dyDescent="0.15"/>
    <row r="27155" spans="3:3" s="8" customFormat="1" ht="21.95" customHeight="1" x14ac:dyDescent="0.15"/>
    <row r="27156" spans="3:3" s="8" customFormat="1" ht="21.95" customHeight="1" x14ac:dyDescent="0.15"/>
    <row r="27157" spans="3:3" s="8" customFormat="1" ht="21.95" customHeight="1" x14ac:dyDescent="0.15"/>
    <row r="27158" spans="3:3" s="8" customFormat="1" ht="21.95" customHeight="1" x14ac:dyDescent="0.15"/>
    <row r="27159" spans="3:3" s="8" customFormat="1" ht="21.95" customHeight="1" x14ac:dyDescent="0.15"/>
    <row r="27160" spans="3:3" s="8" customFormat="1" ht="21.95" customHeight="1" x14ac:dyDescent="0.15"/>
    <row r="27161" spans="3:3" s="9" customFormat="1" ht="21.95" customHeight="1" x14ac:dyDescent="0.15"/>
    <row r="27162" spans="3:3" s="9" customFormat="1" ht="21.95" customHeight="1" x14ac:dyDescent="0.15"/>
    <row r="27163" spans="3:3" s="9" customFormat="1" ht="21.95" customHeight="1" x14ac:dyDescent="0.15"/>
    <row r="27164" spans="3:3" s="9" customFormat="1" ht="21.95" customHeight="1" x14ac:dyDescent="0.15"/>
    <row r="27165" spans="3:3" s="8" customFormat="1" ht="21.95" customHeight="1" x14ac:dyDescent="0.15"/>
    <row r="27166" spans="3:3" s="8" customFormat="1" ht="21.95" customHeight="1" x14ac:dyDescent="0.15"/>
    <row r="27167" spans="3:3" s="8" customFormat="1" ht="21.95" customHeight="1" x14ac:dyDescent="0.15"/>
    <row r="27168" spans="3:3" s="8" customFormat="1" ht="21.95" customHeight="1" x14ac:dyDescent="0.15"/>
    <row r="27169" s="8" customFormat="1" ht="21.95" customHeight="1" x14ac:dyDescent="0.15"/>
    <row r="27170" s="8" customFormat="1" ht="21.95" customHeight="1" x14ac:dyDescent="0.15"/>
    <row r="27171" s="8" customFormat="1" ht="21.95" customHeight="1" x14ac:dyDescent="0.15"/>
    <row r="27172" s="8" customFormat="1" ht="21.95" customHeight="1" x14ac:dyDescent="0.15"/>
    <row r="27173" s="8" customFormat="1" ht="21.95" customHeight="1" x14ac:dyDescent="0.15"/>
    <row r="27174" s="8" customFormat="1" ht="21.95" customHeight="1" x14ac:dyDescent="0.15"/>
    <row r="27175" s="8" customFormat="1" ht="21.95" customHeight="1" x14ac:dyDescent="0.15"/>
    <row r="27176" s="8" customFormat="1" ht="32.1" customHeight="1" x14ac:dyDescent="0.15"/>
    <row r="27177" s="8" customFormat="1" ht="32.1" customHeight="1" x14ac:dyDescent="0.15"/>
    <row r="27178" s="8" customFormat="1" ht="32.1" customHeight="1" x14ac:dyDescent="0.15"/>
    <row r="27179" s="8" customFormat="1" ht="32.1" customHeight="1" x14ac:dyDescent="0.15"/>
    <row r="27180" s="8" customFormat="1" ht="32.1" customHeight="1" x14ac:dyDescent="0.15"/>
    <row r="27181" s="8" customFormat="1" ht="32.1" customHeight="1" x14ac:dyDescent="0.15"/>
    <row r="27182" s="9" customFormat="1" ht="32.1" customHeight="1" x14ac:dyDescent="0.15"/>
    <row r="27183" s="9" customFormat="1" ht="32.1" customHeight="1" x14ac:dyDescent="0.15"/>
    <row r="27184" s="9" customFormat="1" ht="32.1" customHeight="1" x14ac:dyDescent="0.15"/>
    <row r="27185" s="9" customFormat="1" ht="32.1" customHeight="1" x14ac:dyDescent="0.15"/>
    <row r="27186" s="9" customFormat="1" ht="21.95" customHeight="1" x14ac:dyDescent="0.15"/>
    <row r="27187" s="9" customFormat="1" ht="54" customHeight="1" x14ac:dyDescent="0.15"/>
    <row r="27188" s="9" customFormat="1" ht="21.95" customHeight="1" x14ac:dyDescent="0.15"/>
    <row r="27189" s="9" customFormat="1" ht="21.95" customHeight="1" x14ac:dyDescent="0.15"/>
    <row r="27190" s="9" customFormat="1" ht="21.95" customHeight="1" x14ac:dyDescent="0.15"/>
    <row r="27191" s="9" customFormat="1" ht="21.95" customHeight="1" x14ac:dyDescent="0.15"/>
    <row r="27192" s="9" customFormat="1" ht="21.95" customHeight="1" x14ac:dyDescent="0.15"/>
    <row r="27193" s="9" customFormat="1" ht="21.95" customHeight="1" x14ac:dyDescent="0.15"/>
    <row r="27194" s="9" customFormat="1" ht="21.95" customHeight="1" x14ac:dyDescent="0.15"/>
    <row r="27195" s="9" customFormat="1" ht="21.95" customHeight="1" x14ac:dyDescent="0.15"/>
    <row r="27196" s="9" customFormat="1" ht="21.95" customHeight="1" x14ac:dyDescent="0.15"/>
    <row r="27197" s="9" customFormat="1" ht="21.95" customHeight="1" x14ac:dyDescent="0.15"/>
    <row r="27198" s="9" customFormat="1" ht="21.95" customHeight="1" x14ac:dyDescent="0.15"/>
    <row r="27199" s="9" customFormat="1" ht="21.95" customHeight="1" x14ac:dyDescent="0.15"/>
    <row r="27200" s="9" customFormat="1" ht="21.95" customHeight="1" x14ac:dyDescent="0.15"/>
    <row r="27201" s="9" customFormat="1" ht="21.95" customHeight="1" x14ac:dyDescent="0.15"/>
    <row r="27202" s="9" customFormat="1" ht="21.95" customHeight="1" x14ac:dyDescent="0.15"/>
    <row r="27203" s="9" customFormat="1" ht="21.95" customHeight="1" x14ac:dyDescent="0.15"/>
    <row r="27204" s="9" customFormat="1" ht="21.95" customHeight="1" x14ac:dyDescent="0.15"/>
    <row r="27205" s="9" customFormat="1" ht="21.95" customHeight="1" x14ac:dyDescent="0.15"/>
    <row r="27206" s="9" customFormat="1" ht="21.95" customHeight="1" x14ac:dyDescent="0.15"/>
    <row r="27207" s="9" customFormat="1" ht="21.95" customHeight="1" x14ac:dyDescent="0.15"/>
    <row r="27208" s="9" customFormat="1" ht="21.95" customHeight="1" x14ac:dyDescent="0.15"/>
    <row r="27209" s="9" customFormat="1" ht="21.95" customHeight="1" x14ac:dyDescent="0.15"/>
    <row r="27210" s="9" customFormat="1" ht="21.95" customHeight="1" x14ac:dyDescent="0.15"/>
    <row r="27211" s="9" customFormat="1" ht="21.95" customHeight="1" x14ac:dyDescent="0.15"/>
    <row r="27212" s="9" customFormat="1" ht="21.95" customHeight="1" x14ac:dyDescent="0.15"/>
    <row r="27213" s="9" customFormat="1" ht="21.95" customHeight="1" x14ac:dyDescent="0.15"/>
    <row r="27214" s="9" customFormat="1" ht="21.95" customHeight="1" x14ac:dyDescent="0.15"/>
    <row r="27215" s="9" customFormat="1" ht="21.95" customHeight="1" x14ac:dyDescent="0.15"/>
    <row r="27216" s="9" customFormat="1" ht="21.95" customHeight="1" x14ac:dyDescent="0.15"/>
    <row r="27217" s="9" customFormat="1" ht="21.95" customHeight="1" x14ac:dyDescent="0.15"/>
    <row r="27218" s="9" customFormat="1" ht="21.95" customHeight="1" x14ac:dyDescent="0.15"/>
    <row r="27219" s="9" customFormat="1" ht="21.95" customHeight="1" x14ac:dyDescent="0.15"/>
    <row r="27220" s="9" customFormat="1" ht="21.95" customHeight="1" x14ac:dyDescent="0.15"/>
    <row r="27221" s="9" customFormat="1" ht="21.95" customHeight="1" x14ac:dyDescent="0.15"/>
    <row r="27222" s="9" customFormat="1" ht="21.95" customHeight="1" x14ac:dyDescent="0.15"/>
    <row r="27223" s="9" customFormat="1" ht="21.95" customHeight="1" x14ac:dyDescent="0.15"/>
    <row r="27224" s="9" customFormat="1" ht="21.95" customHeight="1" x14ac:dyDescent="0.15"/>
    <row r="27225" s="9" customFormat="1" ht="21.95" customHeight="1" x14ac:dyDescent="0.15"/>
    <row r="27226" s="9" customFormat="1" ht="21.95" customHeight="1" x14ac:dyDescent="0.15"/>
    <row r="27227" s="9" customFormat="1" ht="21.95" customHeight="1" x14ac:dyDescent="0.15"/>
    <row r="27228" s="9" customFormat="1" ht="21.95" customHeight="1" x14ac:dyDescent="0.15"/>
    <row r="27229" s="9" customFormat="1" ht="21.95" customHeight="1" x14ac:dyDescent="0.15"/>
    <row r="27230" s="9" customFormat="1" ht="21.95" customHeight="1" x14ac:dyDescent="0.15"/>
    <row r="27231" s="9" customFormat="1" ht="21.95" customHeight="1" x14ac:dyDescent="0.15"/>
    <row r="27232" s="9" customFormat="1" ht="21.95" customHeight="1" x14ac:dyDescent="0.15"/>
    <row r="27233" s="9" customFormat="1" ht="21.95" customHeight="1" x14ac:dyDescent="0.15"/>
    <row r="27234" s="9" customFormat="1" ht="21.95" customHeight="1" x14ac:dyDescent="0.15"/>
    <row r="27235" s="9" customFormat="1" ht="21.95" customHeight="1" x14ac:dyDescent="0.15"/>
    <row r="27236" s="9" customFormat="1" ht="21.95" customHeight="1" x14ac:dyDescent="0.15"/>
    <row r="27237" s="9" customFormat="1" ht="21.95" customHeight="1" x14ac:dyDescent="0.15"/>
    <row r="27238" s="9" customFormat="1" ht="35.1" customHeight="1" x14ac:dyDescent="0.15"/>
    <row r="27239" s="9" customFormat="1" ht="21.95" customHeight="1" x14ac:dyDescent="0.15"/>
    <row r="27240" s="9" customFormat="1" ht="21.95" customHeight="1" x14ac:dyDescent="0.15"/>
    <row r="27241" s="9" customFormat="1" ht="21.95" customHeight="1" x14ac:dyDescent="0.15"/>
    <row r="27242" s="9" customFormat="1" ht="21.95" customHeight="1" x14ac:dyDescent="0.15"/>
    <row r="27243" s="9" customFormat="1" ht="21.95" customHeight="1" x14ac:dyDescent="0.15"/>
    <row r="27244" s="9" customFormat="1" ht="21.95" customHeight="1" x14ac:dyDescent="0.15"/>
    <row r="27245" s="9" customFormat="1" ht="21.95" customHeight="1" x14ac:dyDescent="0.15"/>
    <row r="27246" s="9" customFormat="1" ht="21.95" customHeight="1" x14ac:dyDescent="0.15"/>
    <row r="27247" s="9" customFormat="1" ht="21.95" customHeight="1" x14ac:dyDescent="0.15"/>
    <row r="27248" s="9" customFormat="1" ht="21.95" customHeight="1" x14ac:dyDescent="0.15"/>
    <row r="27249" spans="3:3" s="9" customFormat="1" ht="21.95" customHeight="1" x14ac:dyDescent="0.15"/>
    <row r="27250" spans="3:3" s="9" customFormat="1" ht="21.95" customHeight="1" x14ac:dyDescent="0.15"/>
    <row r="27251" spans="3:3" s="9" customFormat="1" ht="21.95" customHeight="1" x14ac:dyDescent="0.15"/>
    <row r="27252" spans="3:3" s="9" customFormat="1" ht="21.95" customHeight="1" x14ac:dyDescent="0.15"/>
    <row r="27253" spans="3:3" s="9" customFormat="1" ht="21.95" customHeight="1" x14ac:dyDescent="0.15"/>
    <row r="27254" spans="3:3" s="9" customFormat="1" ht="21.95" customHeight="1" x14ac:dyDescent="0.15"/>
    <row r="27255" spans="3:3" s="9" customFormat="1" ht="21.95" customHeight="1" x14ac:dyDescent="0.15"/>
    <row r="27256" spans="3:3" s="9" customFormat="1" ht="21.95" customHeight="1" x14ac:dyDescent="0.15"/>
    <row r="27257" spans="3:3" s="9" customFormat="1" ht="21.95" customHeight="1" x14ac:dyDescent="0.15"/>
    <row r="27258" spans="3:3" s="9" customFormat="1" ht="21.95" customHeight="1" x14ac:dyDescent="0.15"/>
    <row r="27259" spans="3:3" s="9" customFormat="1" ht="21.95" customHeight="1" x14ac:dyDescent="0.15"/>
    <row r="27260" spans="3:3" s="9" customFormat="1" ht="21.95" customHeight="1" x14ac:dyDescent="0.15"/>
    <row r="27261" spans="3:3" s="9" customFormat="1" ht="21.95" customHeight="1" x14ac:dyDescent="0.15"/>
    <row r="27262" spans="3:3" s="8" customFormat="1" ht="21.95" customHeight="1" x14ac:dyDescent="0.15"/>
    <row r="27263" spans="3:3" s="8" customFormat="1" ht="21.95" customHeight="1" x14ac:dyDescent="0.15"/>
    <row r="27264" spans="3:3" s="8" customFormat="1" ht="21.95" customHeight="1" x14ac:dyDescent="0.15">
      <c r="C27264" s="101"/>
    </row>
    <row r="27265" spans="3:3" s="8" customFormat="1" ht="21.95" customHeight="1" x14ac:dyDescent="0.15">
      <c r="C27265" s="101"/>
    </row>
    <row r="27266" spans="3:3" s="8" customFormat="1" ht="21.95" customHeight="1" x14ac:dyDescent="0.15"/>
    <row r="27267" spans="3:3" s="8" customFormat="1" ht="21.95" customHeight="1" x14ac:dyDescent="0.15"/>
    <row r="27268" spans="3:3" s="8" customFormat="1" ht="21.95" customHeight="1" x14ac:dyDescent="0.15"/>
    <row r="27269" spans="3:3" s="8" customFormat="1" ht="21.95" customHeight="1" x14ac:dyDescent="0.15"/>
    <row r="27270" spans="3:3" s="8" customFormat="1" ht="21.95" customHeight="1" x14ac:dyDescent="0.15"/>
    <row r="27271" spans="3:3" s="8" customFormat="1" ht="21.95" customHeight="1" x14ac:dyDescent="0.15"/>
    <row r="27272" spans="3:3" s="8" customFormat="1" ht="21.95" customHeight="1" x14ac:dyDescent="0.15"/>
    <row r="27273" spans="3:3" s="9" customFormat="1" ht="21.95" customHeight="1" x14ac:dyDescent="0.15"/>
    <row r="27274" spans="3:3" s="9" customFormat="1" ht="21.95" customHeight="1" x14ac:dyDescent="0.15"/>
    <row r="27275" spans="3:3" s="9" customFormat="1" ht="21.95" customHeight="1" x14ac:dyDescent="0.15"/>
    <row r="27276" spans="3:3" s="9" customFormat="1" ht="21.95" customHeight="1" x14ac:dyDescent="0.15"/>
    <row r="27277" spans="3:3" s="8" customFormat="1" ht="21.95" customHeight="1" x14ac:dyDescent="0.15"/>
    <row r="27278" spans="3:3" s="8" customFormat="1" ht="21.95" customHeight="1" x14ac:dyDescent="0.15"/>
    <row r="27279" spans="3:3" s="8" customFormat="1" ht="21.95" customHeight="1" x14ac:dyDescent="0.15"/>
    <row r="27280" spans="3:3" s="8" customFormat="1" ht="21.95" customHeight="1" x14ac:dyDescent="0.15"/>
    <row r="27281" s="8" customFormat="1" ht="21.95" customHeight="1" x14ac:dyDescent="0.15"/>
    <row r="27282" s="8" customFormat="1" ht="21.95" customHeight="1" x14ac:dyDescent="0.15"/>
    <row r="27283" s="8" customFormat="1" ht="21.95" customHeight="1" x14ac:dyDescent="0.15"/>
    <row r="27284" s="8" customFormat="1" ht="21.95" customHeight="1" x14ac:dyDescent="0.15"/>
    <row r="27285" s="8" customFormat="1" ht="21.95" customHeight="1" x14ac:dyDescent="0.15"/>
    <row r="27286" s="8" customFormat="1" ht="21.95" customHeight="1" x14ac:dyDescent="0.15"/>
    <row r="27287" s="8" customFormat="1" ht="21.95" customHeight="1" x14ac:dyDescent="0.15"/>
    <row r="27288" s="8" customFormat="1" ht="32.1" customHeight="1" x14ac:dyDescent="0.15"/>
    <row r="27289" s="8" customFormat="1" ht="32.1" customHeight="1" x14ac:dyDescent="0.15"/>
    <row r="27290" s="8" customFormat="1" ht="32.1" customHeight="1" x14ac:dyDescent="0.15"/>
    <row r="27291" s="8" customFormat="1" ht="32.1" customHeight="1" x14ac:dyDescent="0.15"/>
    <row r="27292" s="8" customFormat="1" ht="32.1" customHeight="1" x14ac:dyDescent="0.15"/>
    <row r="27293" s="8" customFormat="1" ht="32.1" customHeight="1" x14ac:dyDescent="0.15"/>
    <row r="27294" s="9" customFormat="1" ht="32.1" customHeight="1" x14ac:dyDescent="0.15"/>
    <row r="27295" s="9" customFormat="1" ht="32.1" customHeight="1" x14ac:dyDescent="0.15"/>
    <row r="27296" s="9" customFormat="1" ht="32.1" customHeight="1" x14ac:dyDescent="0.15"/>
    <row r="27297" s="9" customFormat="1" ht="32.1" customHeight="1" x14ac:dyDescent="0.15"/>
    <row r="27298" s="9" customFormat="1" ht="21.95" customHeight="1" x14ac:dyDescent="0.15"/>
    <row r="27299" s="9" customFormat="1" ht="54" customHeight="1" x14ac:dyDescent="0.15"/>
    <row r="27300" s="9" customFormat="1" ht="21.95" customHeight="1" x14ac:dyDescent="0.15"/>
    <row r="27301" s="9" customFormat="1" ht="21.95" customHeight="1" x14ac:dyDescent="0.15"/>
    <row r="27302" s="9" customFormat="1" ht="21.95" customHeight="1" x14ac:dyDescent="0.15"/>
    <row r="27303" s="9" customFormat="1" ht="21.95" customHeight="1" x14ac:dyDescent="0.15"/>
    <row r="27304" s="9" customFormat="1" ht="21.95" customHeight="1" x14ac:dyDescent="0.15"/>
    <row r="27305" s="9" customFormat="1" ht="21.95" customHeight="1" x14ac:dyDescent="0.15"/>
    <row r="27306" s="9" customFormat="1" ht="21.95" customHeight="1" x14ac:dyDescent="0.15"/>
    <row r="27307" s="9" customFormat="1" ht="21.95" customHeight="1" x14ac:dyDescent="0.15"/>
    <row r="27308" s="9" customFormat="1" ht="21.95" customHeight="1" x14ac:dyDescent="0.15"/>
    <row r="27309" s="9" customFormat="1" ht="21.95" customHeight="1" x14ac:dyDescent="0.15"/>
    <row r="27310" s="9" customFormat="1" ht="21.95" customHeight="1" x14ac:dyDescent="0.15"/>
    <row r="27311" s="9" customFormat="1" ht="21.95" customHeight="1" x14ac:dyDescent="0.15"/>
    <row r="27312" s="9" customFormat="1" ht="21.95" customHeight="1" x14ac:dyDescent="0.15"/>
    <row r="27313" s="9" customFormat="1" ht="21.95" customHeight="1" x14ac:dyDescent="0.15"/>
    <row r="27314" s="9" customFormat="1" ht="21.95" customHeight="1" x14ac:dyDescent="0.15"/>
    <row r="27315" s="9" customFormat="1" ht="21.95" customHeight="1" x14ac:dyDescent="0.15"/>
    <row r="27316" s="9" customFormat="1" ht="21.95" customHeight="1" x14ac:dyDescent="0.15"/>
    <row r="27317" s="9" customFormat="1" ht="21.95" customHeight="1" x14ac:dyDescent="0.15"/>
    <row r="27318" s="9" customFormat="1" ht="21.95" customHeight="1" x14ac:dyDescent="0.15"/>
    <row r="27319" s="9" customFormat="1" ht="21.95" customHeight="1" x14ac:dyDescent="0.15"/>
    <row r="27320" s="9" customFormat="1" ht="21.95" customHeight="1" x14ac:dyDescent="0.15"/>
    <row r="27321" s="9" customFormat="1" ht="21.95" customHeight="1" x14ac:dyDescent="0.15"/>
    <row r="27322" s="9" customFormat="1" ht="21.95" customHeight="1" x14ac:dyDescent="0.15"/>
    <row r="27323" s="9" customFormat="1" ht="21.95" customHeight="1" x14ac:dyDescent="0.15"/>
    <row r="27324" s="9" customFormat="1" ht="21.95" customHeight="1" x14ac:dyDescent="0.15"/>
    <row r="27325" s="9" customFormat="1" ht="21.95" customHeight="1" x14ac:dyDescent="0.15"/>
    <row r="27326" s="9" customFormat="1" ht="21.95" customHeight="1" x14ac:dyDescent="0.15"/>
    <row r="27327" s="9" customFormat="1" ht="21.95" customHeight="1" x14ac:dyDescent="0.15"/>
    <row r="27328" s="9" customFormat="1" ht="21.95" customHeight="1" x14ac:dyDescent="0.15"/>
    <row r="27329" s="9" customFormat="1" ht="21.95" customHeight="1" x14ac:dyDescent="0.15"/>
    <row r="27330" s="9" customFormat="1" ht="21.95" customHeight="1" x14ac:dyDescent="0.15"/>
    <row r="27331" s="9" customFormat="1" ht="21.95" customHeight="1" x14ac:dyDescent="0.15"/>
    <row r="27332" s="9" customFormat="1" ht="21.95" customHeight="1" x14ac:dyDescent="0.15"/>
    <row r="27333" s="9" customFormat="1" ht="21.95" customHeight="1" x14ac:dyDescent="0.15"/>
    <row r="27334" s="9" customFormat="1" ht="21.95" customHeight="1" x14ac:dyDescent="0.15"/>
    <row r="27335" s="9" customFormat="1" ht="21.95" customHeight="1" x14ac:dyDescent="0.15"/>
    <row r="27336" s="9" customFormat="1" ht="21.95" customHeight="1" x14ac:dyDescent="0.15"/>
    <row r="27337" s="9" customFormat="1" ht="21.95" customHeight="1" x14ac:dyDescent="0.15"/>
    <row r="27338" s="9" customFormat="1" ht="21.95" customHeight="1" x14ac:dyDescent="0.15"/>
    <row r="27339" s="9" customFormat="1" ht="21.95" customHeight="1" x14ac:dyDescent="0.15"/>
    <row r="27340" s="9" customFormat="1" ht="21.95" customHeight="1" x14ac:dyDescent="0.15"/>
    <row r="27341" s="9" customFormat="1" ht="21.95" customHeight="1" x14ac:dyDescent="0.15"/>
    <row r="27342" s="9" customFormat="1" ht="21.95" customHeight="1" x14ac:dyDescent="0.15"/>
    <row r="27343" s="9" customFormat="1" ht="21.95" customHeight="1" x14ac:dyDescent="0.15"/>
    <row r="27344" s="9" customFormat="1" ht="21.95" customHeight="1" x14ac:dyDescent="0.15"/>
    <row r="27345" s="9" customFormat="1" ht="21.95" customHeight="1" x14ac:dyDescent="0.15"/>
    <row r="27346" s="9" customFormat="1" ht="21.95" customHeight="1" x14ac:dyDescent="0.15"/>
    <row r="27347" s="9" customFormat="1" ht="21.95" customHeight="1" x14ac:dyDescent="0.15"/>
    <row r="27348" s="9" customFormat="1" ht="21.95" customHeight="1" x14ac:dyDescent="0.15"/>
    <row r="27349" s="9" customFormat="1" ht="21.95" customHeight="1" x14ac:dyDescent="0.15"/>
    <row r="27350" s="9" customFormat="1" ht="35.1" customHeight="1" x14ac:dyDescent="0.15"/>
    <row r="27351" s="9" customFormat="1" ht="21.95" customHeight="1" x14ac:dyDescent="0.15"/>
    <row r="27352" s="9" customFormat="1" ht="21.95" customHeight="1" x14ac:dyDescent="0.15"/>
    <row r="27353" s="9" customFormat="1" ht="21.95" customHeight="1" x14ac:dyDescent="0.15"/>
    <row r="27354" s="9" customFormat="1" ht="21.95" customHeight="1" x14ac:dyDescent="0.15"/>
    <row r="27355" s="9" customFormat="1" ht="21.95" customHeight="1" x14ac:dyDescent="0.15"/>
    <row r="27356" s="9" customFormat="1" ht="21.95" customHeight="1" x14ac:dyDescent="0.15"/>
    <row r="27357" s="9" customFormat="1" ht="21.95" customHeight="1" x14ac:dyDescent="0.15"/>
    <row r="27358" s="9" customFormat="1" ht="21.95" customHeight="1" x14ac:dyDescent="0.15"/>
    <row r="27359" s="9" customFormat="1" ht="21.95" customHeight="1" x14ac:dyDescent="0.15"/>
    <row r="27360" s="9" customFormat="1" ht="21.95" customHeight="1" x14ac:dyDescent="0.15"/>
    <row r="27361" spans="3:3" s="9" customFormat="1" ht="21.95" customHeight="1" x14ac:dyDescent="0.15"/>
    <row r="27362" spans="3:3" s="9" customFormat="1" ht="21.95" customHeight="1" x14ac:dyDescent="0.15"/>
    <row r="27363" spans="3:3" s="9" customFormat="1" ht="21.95" customHeight="1" x14ac:dyDescent="0.15"/>
    <row r="27364" spans="3:3" s="9" customFormat="1" ht="21.95" customHeight="1" x14ac:dyDescent="0.15"/>
    <row r="27365" spans="3:3" s="9" customFormat="1" ht="21.95" customHeight="1" x14ac:dyDescent="0.15"/>
    <row r="27366" spans="3:3" s="9" customFormat="1" ht="21.95" customHeight="1" x14ac:dyDescent="0.15"/>
    <row r="27367" spans="3:3" s="9" customFormat="1" ht="21.95" customHeight="1" x14ac:dyDescent="0.15"/>
    <row r="27368" spans="3:3" s="9" customFormat="1" ht="21.95" customHeight="1" x14ac:dyDescent="0.15"/>
    <row r="27369" spans="3:3" s="9" customFormat="1" ht="21.95" customHeight="1" x14ac:dyDescent="0.15"/>
    <row r="27370" spans="3:3" s="9" customFormat="1" ht="21.95" customHeight="1" x14ac:dyDescent="0.15"/>
    <row r="27371" spans="3:3" s="9" customFormat="1" ht="21.95" customHeight="1" x14ac:dyDescent="0.15"/>
    <row r="27372" spans="3:3" s="9" customFormat="1" ht="21.95" customHeight="1" x14ac:dyDescent="0.15"/>
    <row r="27373" spans="3:3" s="9" customFormat="1" ht="21.95" customHeight="1" x14ac:dyDescent="0.15"/>
    <row r="27374" spans="3:3" s="8" customFormat="1" ht="21.95" customHeight="1" x14ac:dyDescent="0.15"/>
    <row r="27375" spans="3:3" s="8" customFormat="1" ht="21.95" customHeight="1" x14ac:dyDescent="0.15"/>
    <row r="27376" spans="3:3" s="8" customFormat="1" ht="21.95" customHeight="1" x14ac:dyDescent="0.15">
      <c r="C27376" s="101"/>
    </row>
    <row r="27377" spans="3:3" s="8" customFormat="1" ht="21.95" customHeight="1" x14ac:dyDescent="0.15">
      <c r="C27377" s="101"/>
    </row>
    <row r="27378" spans="3:3" s="8" customFormat="1" ht="21.95" customHeight="1" x14ac:dyDescent="0.15"/>
    <row r="27379" spans="3:3" s="8" customFormat="1" ht="21.95" customHeight="1" x14ac:dyDescent="0.15"/>
    <row r="27380" spans="3:3" s="8" customFormat="1" ht="21.95" customHeight="1" x14ac:dyDescent="0.15"/>
    <row r="27381" spans="3:3" s="8" customFormat="1" ht="21.95" customHeight="1" x14ac:dyDescent="0.15"/>
    <row r="27382" spans="3:3" s="8" customFormat="1" ht="21.95" customHeight="1" x14ac:dyDescent="0.15"/>
    <row r="27383" spans="3:3" s="8" customFormat="1" ht="21.95" customHeight="1" x14ac:dyDescent="0.15"/>
    <row r="27384" spans="3:3" s="8" customFormat="1" ht="21.95" customHeight="1" x14ac:dyDescent="0.15"/>
    <row r="27385" spans="3:3" s="9" customFormat="1" ht="21.95" customHeight="1" x14ac:dyDescent="0.15"/>
    <row r="27386" spans="3:3" s="9" customFormat="1" ht="21.95" customHeight="1" x14ac:dyDescent="0.15"/>
    <row r="27387" spans="3:3" s="9" customFormat="1" ht="21.95" customHeight="1" x14ac:dyDescent="0.15"/>
    <row r="27388" spans="3:3" s="9" customFormat="1" ht="21.95" customHeight="1" x14ac:dyDescent="0.15"/>
    <row r="27389" spans="3:3" s="8" customFormat="1" ht="21.95" customHeight="1" x14ac:dyDescent="0.15"/>
    <row r="27390" spans="3:3" s="8" customFormat="1" ht="21.95" customHeight="1" x14ac:dyDescent="0.15"/>
    <row r="27391" spans="3:3" s="8" customFormat="1" ht="21.95" customHeight="1" x14ac:dyDescent="0.15"/>
    <row r="27392" spans="3:3" s="8" customFormat="1" ht="21.95" customHeight="1" x14ac:dyDescent="0.15"/>
    <row r="27393" s="8" customFormat="1" ht="21.95" customHeight="1" x14ac:dyDescent="0.15"/>
    <row r="27394" s="8" customFormat="1" ht="21.95" customHeight="1" x14ac:dyDescent="0.15"/>
    <row r="27395" s="8" customFormat="1" ht="21.95" customHeight="1" x14ac:dyDescent="0.15"/>
    <row r="27396" s="8" customFormat="1" ht="21.95" customHeight="1" x14ac:dyDescent="0.15"/>
    <row r="27397" s="8" customFormat="1" ht="21.95" customHeight="1" x14ac:dyDescent="0.15"/>
    <row r="27398" s="8" customFormat="1" ht="21.95" customHeight="1" x14ac:dyDescent="0.15"/>
    <row r="27399" s="8" customFormat="1" ht="21.95" customHeight="1" x14ac:dyDescent="0.15"/>
    <row r="27400" s="8" customFormat="1" ht="32.1" customHeight="1" x14ac:dyDescent="0.15"/>
    <row r="27401" s="8" customFormat="1" ht="32.1" customHeight="1" x14ac:dyDescent="0.15"/>
    <row r="27402" s="8" customFormat="1" ht="32.1" customHeight="1" x14ac:dyDescent="0.15"/>
    <row r="27403" s="8" customFormat="1" ht="32.1" customHeight="1" x14ac:dyDescent="0.15"/>
    <row r="27404" s="8" customFormat="1" ht="32.1" customHeight="1" x14ac:dyDescent="0.15"/>
    <row r="27405" s="8" customFormat="1" ht="32.1" customHeight="1" x14ac:dyDescent="0.15"/>
    <row r="27406" s="9" customFormat="1" ht="32.1" customHeight="1" x14ac:dyDescent="0.15"/>
    <row r="27407" s="9" customFormat="1" ht="32.1" customHeight="1" x14ac:dyDescent="0.15"/>
    <row r="27408" s="9" customFormat="1" ht="32.1" customHeight="1" x14ac:dyDescent="0.15"/>
    <row r="27409" s="9" customFormat="1" ht="32.1" customHeight="1" x14ac:dyDescent="0.15"/>
    <row r="27410" s="9" customFormat="1" ht="21.95" customHeight="1" x14ac:dyDescent="0.15"/>
    <row r="27411" s="9" customFormat="1" ht="54" customHeight="1" x14ac:dyDescent="0.15"/>
    <row r="27412" s="9" customFormat="1" ht="21.95" customHeight="1" x14ac:dyDescent="0.15"/>
    <row r="27413" s="9" customFormat="1" ht="21.95" customHeight="1" x14ac:dyDescent="0.15"/>
    <row r="27414" s="9" customFormat="1" ht="21.95" customHeight="1" x14ac:dyDescent="0.15"/>
    <row r="27415" s="9" customFormat="1" ht="21.95" customHeight="1" x14ac:dyDescent="0.15"/>
    <row r="27416" s="9" customFormat="1" ht="21.95" customHeight="1" x14ac:dyDescent="0.15"/>
    <row r="27417" s="9" customFormat="1" ht="21.95" customHeight="1" x14ac:dyDescent="0.15"/>
    <row r="27418" s="9" customFormat="1" ht="21.95" customHeight="1" x14ac:dyDescent="0.15"/>
    <row r="27419" s="9" customFormat="1" ht="21.95" customHeight="1" x14ac:dyDescent="0.15"/>
    <row r="27420" s="9" customFormat="1" ht="21.95" customHeight="1" x14ac:dyDescent="0.15"/>
    <row r="27421" s="9" customFormat="1" ht="21.95" customHeight="1" x14ac:dyDescent="0.15"/>
    <row r="27422" s="9" customFormat="1" ht="21.95" customHeight="1" x14ac:dyDescent="0.15"/>
    <row r="27423" s="9" customFormat="1" ht="21.95" customHeight="1" x14ac:dyDescent="0.15"/>
    <row r="27424" s="9" customFormat="1" ht="21.95" customHeight="1" x14ac:dyDescent="0.15"/>
    <row r="27425" s="9" customFormat="1" ht="21.95" customHeight="1" x14ac:dyDescent="0.15"/>
    <row r="27426" s="9" customFormat="1" ht="21.95" customHeight="1" x14ac:dyDescent="0.15"/>
    <row r="27427" s="9" customFormat="1" ht="21.95" customHeight="1" x14ac:dyDescent="0.15"/>
    <row r="27428" s="9" customFormat="1" ht="21.95" customHeight="1" x14ac:dyDescent="0.15"/>
    <row r="27429" s="9" customFormat="1" ht="21.95" customHeight="1" x14ac:dyDescent="0.15"/>
    <row r="27430" s="9" customFormat="1" ht="21.95" customHeight="1" x14ac:dyDescent="0.15"/>
    <row r="27431" s="9" customFormat="1" ht="21.95" customHeight="1" x14ac:dyDescent="0.15"/>
    <row r="27432" s="9" customFormat="1" ht="21.95" customHeight="1" x14ac:dyDescent="0.15"/>
    <row r="27433" s="9" customFormat="1" ht="21.95" customHeight="1" x14ac:dyDescent="0.15"/>
    <row r="27434" s="9" customFormat="1" ht="21.95" customHeight="1" x14ac:dyDescent="0.15"/>
    <row r="27435" s="9" customFormat="1" ht="21.95" customHeight="1" x14ac:dyDescent="0.15"/>
    <row r="27436" s="9" customFormat="1" ht="21.95" customHeight="1" x14ac:dyDescent="0.15"/>
    <row r="27437" s="9" customFormat="1" ht="21.95" customHeight="1" x14ac:dyDescent="0.15"/>
    <row r="27438" s="9" customFormat="1" ht="21.95" customHeight="1" x14ac:dyDescent="0.15"/>
    <row r="27439" s="9" customFormat="1" ht="21.95" customHeight="1" x14ac:dyDescent="0.15"/>
    <row r="27440" s="9" customFormat="1" ht="21.95" customHeight="1" x14ac:dyDescent="0.15"/>
    <row r="27441" s="9" customFormat="1" ht="21.95" customHeight="1" x14ac:dyDescent="0.15"/>
    <row r="27442" s="9" customFormat="1" ht="21.95" customHeight="1" x14ac:dyDescent="0.15"/>
    <row r="27443" s="9" customFormat="1" ht="21.95" customHeight="1" x14ac:dyDescent="0.15"/>
    <row r="27444" s="9" customFormat="1" ht="21.95" customHeight="1" x14ac:dyDescent="0.15"/>
    <row r="27445" s="9" customFormat="1" ht="21.95" customHeight="1" x14ac:dyDescent="0.15"/>
    <row r="27446" s="9" customFormat="1" ht="21.95" customHeight="1" x14ac:dyDescent="0.15"/>
    <row r="27447" s="9" customFormat="1" ht="21.95" customHeight="1" x14ac:dyDescent="0.15"/>
    <row r="27448" s="9" customFormat="1" ht="21.95" customHeight="1" x14ac:dyDescent="0.15"/>
    <row r="27449" s="9" customFormat="1" ht="21.95" customHeight="1" x14ac:dyDescent="0.15"/>
    <row r="27450" s="9" customFormat="1" ht="21.95" customHeight="1" x14ac:dyDescent="0.15"/>
    <row r="27451" s="9" customFormat="1" ht="21.95" customHeight="1" x14ac:dyDescent="0.15"/>
    <row r="27452" s="9" customFormat="1" ht="21.95" customHeight="1" x14ac:dyDescent="0.15"/>
    <row r="27453" s="9" customFormat="1" ht="21.95" customHeight="1" x14ac:dyDescent="0.15"/>
    <row r="27454" s="9" customFormat="1" ht="21.95" customHeight="1" x14ac:dyDescent="0.15"/>
    <row r="27455" s="9" customFormat="1" ht="21.95" customHeight="1" x14ac:dyDescent="0.15"/>
    <row r="27456" s="9" customFormat="1" ht="21.95" customHeight="1" x14ac:dyDescent="0.15"/>
    <row r="27457" s="9" customFormat="1" ht="21.95" customHeight="1" x14ac:dyDescent="0.15"/>
    <row r="27458" s="9" customFormat="1" ht="21.95" customHeight="1" x14ac:dyDescent="0.15"/>
    <row r="27459" s="9" customFormat="1" ht="21.95" customHeight="1" x14ac:dyDescent="0.15"/>
    <row r="27460" s="9" customFormat="1" ht="21.95" customHeight="1" x14ac:dyDescent="0.15"/>
    <row r="27461" s="9" customFormat="1" ht="21.95" customHeight="1" x14ac:dyDescent="0.15"/>
    <row r="27462" s="9" customFormat="1" ht="35.1" customHeight="1" x14ac:dyDescent="0.15"/>
    <row r="27463" s="9" customFormat="1" ht="21.95" customHeight="1" x14ac:dyDescent="0.15"/>
    <row r="27464" s="9" customFormat="1" ht="21.95" customHeight="1" x14ac:dyDescent="0.15"/>
    <row r="27465" s="9" customFormat="1" ht="21.95" customHeight="1" x14ac:dyDescent="0.15"/>
    <row r="27466" s="9" customFormat="1" ht="21.95" customHeight="1" x14ac:dyDescent="0.15"/>
    <row r="27467" s="9" customFormat="1" ht="21.95" customHeight="1" x14ac:dyDescent="0.15"/>
    <row r="27468" s="9" customFormat="1" ht="21.95" customHeight="1" x14ac:dyDescent="0.15"/>
    <row r="27469" s="9" customFormat="1" ht="21.95" customHeight="1" x14ac:dyDescent="0.15"/>
    <row r="27470" s="9" customFormat="1" ht="21.95" customHeight="1" x14ac:dyDescent="0.15"/>
    <row r="27471" s="9" customFormat="1" ht="21.95" customHeight="1" x14ac:dyDescent="0.15"/>
    <row r="27472" s="9" customFormat="1" ht="21.95" customHeight="1" x14ac:dyDescent="0.15"/>
    <row r="27473" spans="3:3" s="9" customFormat="1" ht="21.95" customHeight="1" x14ac:dyDescent="0.15"/>
    <row r="27474" spans="3:3" s="9" customFormat="1" ht="21.95" customHeight="1" x14ac:dyDescent="0.15"/>
    <row r="27475" spans="3:3" s="9" customFormat="1" ht="21.95" customHeight="1" x14ac:dyDescent="0.15"/>
    <row r="27476" spans="3:3" s="9" customFormat="1" ht="21.95" customHeight="1" x14ac:dyDescent="0.15"/>
    <row r="27477" spans="3:3" s="9" customFormat="1" ht="21.95" customHeight="1" x14ac:dyDescent="0.15"/>
    <row r="27478" spans="3:3" s="9" customFormat="1" ht="21.95" customHeight="1" x14ac:dyDescent="0.15"/>
    <row r="27479" spans="3:3" s="9" customFormat="1" ht="21.95" customHeight="1" x14ac:dyDescent="0.15"/>
    <row r="27480" spans="3:3" s="9" customFormat="1" ht="21.95" customHeight="1" x14ac:dyDescent="0.15"/>
    <row r="27481" spans="3:3" s="9" customFormat="1" ht="21.95" customHeight="1" x14ac:dyDescent="0.15"/>
    <row r="27482" spans="3:3" s="9" customFormat="1" ht="21.95" customHeight="1" x14ac:dyDescent="0.15"/>
    <row r="27483" spans="3:3" s="9" customFormat="1" ht="21.95" customHeight="1" x14ac:dyDescent="0.15"/>
    <row r="27484" spans="3:3" s="9" customFormat="1" ht="21.95" customHeight="1" x14ac:dyDescent="0.15"/>
    <row r="27485" spans="3:3" s="9" customFormat="1" ht="21.95" customHeight="1" x14ac:dyDescent="0.15"/>
    <row r="27486" spans="3:3" s="8" customFormat="1" ht="21.95" customHeight="1" x14ac:dyDescent="0.15"/>
    <row r="27487" spans="3:3" s="8" customFormat="1" ht="21.95" customHeight="1" x14ac:dyDescent="0.15"/>
    <row r="27488" spans="3:3" s="8" customFormat="1" ht="21.95" customHeight="1" x14ac:dyDescent="0.15">
      <c r="C27488" s="101"/>
    </row>
    <row r="27489" spans="3:3" s="8" customFormat="1" ht="21.95" customHeight="1" x14ac:dyDescent="0.15">
      <c r="C27489" s="101"/>
    </row>
    <row r="27490" spans="3:3" s="8" customFormat="1" ht="21.95" customHeight="1" x14ac:dyDescent="0.15"/>
    <row r="27491" spans="3:3" s="8" customFormat="1" ht="21.95" customHeight="1" x14ac:dyDescent="0.15"/>
    <row r="27492" spans="3:3" s="8" customFormat="1" ht="21.95" customHeight="1" x14ac:dyDescent="0.15"/>
    <row r="27493" spans="3:3" s="8" customFormat="1" ht="21.95" customHeight="1" x14ac:dyDescent="0.15"/>
    <row r="27494" spans="3:3" s="8" customFormat="1" ht="21.95" customHeight="1" x14ac:dyDescent="0.15"/>
    <row r="27495" spans="3:3" s="8" customFormat="1" ht="21.95" customHeight="1" x14ac:dyDescent="0.15"/>
    <row r="27496" spans="3:3" s="8" customFormat="1" ht="21.95" customHeight="1" x14ac:dyDescent="0.15"/>
    <row r="27497" spans="3:3" s="9" customFormat="1" ht="21.95" customHeight="1" x14ac:dyDescent="0.15"/>
    <row r="27498" spans="3:3" s="9" customFormat="1" ht="21.95" customHeight="1" x14ac:dyDescent="0.15"/>
    <row r="27499" spans="3:3" s="9" customFormat="1" ht="21.95" customHeight="1" x14ac:dyDescent="0.15"/>
    <row r="27500" spans="3:3" s="9" customFormat="1" ht="21.95" customHeight="1" x14ac:dyDescent="0.15"/>
    <row r="27501" spans="3:3" s="8" customFormat="1" ht="21.95" customHeight="1" x14ac:dyDescent="0.15"/>
    <row r="27502" spans="3:3" s="8" customFormat="1" ht="21.95" customHeight="1" x14ac:dyDescent="0.15"/>
    <row r="27503" spans="3:3" s="8" customFormat="1" ht="21.95" customHeight="1" x14ac:dyDescent="0.15"/>
    <row r="27504" spans="3:3" s="8" customFormat="1" ht="21.95" customHeight="1" x14ac:dyDescent="0.15"/>
    <row r="27505" s="8" customFormat="1" ht="21.95" customHeight="1" x14ac:dyDescent="0.15"/>
    <row r="27506" s="8" customFormat="1" ht="21.95" customHeight="1" x14ac:dyDescent="0.15"/>
    <row r="27507" s="8" customFormat="1" ht="21.95" customHeight="1" x14ac:dyDescent="0.15"/>
    <row r="27508" s="8" customFormat="1" ht="21.95" customHeight="1" x14ac:dyDescent="0.15"/>
    <row r="27509" s="8" customFormat="1" ht="21.95" customHeight="1" x14ac:dyDescent="0.15"/>
    <row r="27510" s="8" customFormat="1" ht="21.95" customHeight="1" x14ac:dyDescent="0.15"/>
    <row r="27511" s="8" customFormat="1" ht="21.95" customHeight="1" x14ac:dyDescent="0.15"/>
    <row r="27512" s="8" customFormat="1" ht="32.1" customHeight="1" x14ac:dyDescent="0.15"/>
    <row r="27513" s="8" customFormat="1" ht="32.1" customHeight="1" x14ac:dyDescent="0.15"/>
    <row r="27514" s="8" customFormat="1" ht="32.1" customHeight="1" x14ac:dyDescent="0.15"/>
    <row r="27515" s="8" customFormat="1" ht="32.1" customHeight="1" x14ac:dyDescent="0.15"/>
    <row r="27516" s="8" customFormat="1" ht="32.1" customHeight="1" x14ac:dyDescent="0.15"/>
    <row r="27517" s="8" customFormat="1" ht="32.1" customHeight="1" x14ac:dyDescent="0.15"/>
    <row r="27518" s="9" customFormat="1" ht="32.1" customHeight="1" x14ac:dyDescent="0.15"/>
    <row r="27519" s="9" customFormat="1" ht="32.1" customHeight="1" x14ac:dyDescent="0.15"/>
    <row r="27520" s="9" customFormat="1" ht="32.1" customHeight="1" x14ac:dyDescent="0.15"/>
    <row r="27521" s="9" customFormat="1" ht="32.1" customHeight="1" x14ac:dyDescent="0.15"/>
    <row r="27522" s="9" customFormat="1" ht="21.95" customHeight="1" x14ac:dyDescent="0.15"/>
    <row r="27523" s="9" customFormat="1" ht="54" customHeight="1" x14ac:dyDescent="0.15"/>
    <row r="27524" s="9" customFormat="1" ht="21.95" customHeight="1" x14ac:dyDescent="0.15"/>
    <row r="27525" s="9" customFormat="1" ht="21.95" customHeight="1" x14ac:dyDescent="0.15"/>
    <row r="27526" s="9" customFormat="1" ht="21.95" customHeight="1" x14ac:dyDescent="0.15"/>
    <row r="27527" s="9" customFormat="1" ht="21.95" customHeight="1" x14ac:dyDescent="0.15"/>
    <row r="27528" s="9" customFormat="1" ht="21.95" customHeight="1" x14ac:dyDescent="0.15"/>
    <row r="27529" s="9" customFormat="1" ht="21.95" customHeight="1" x14ac:dyDescent="0.15"/>
    <row r="27530" s="9" customFormat="1" ht="21.95" customHeight="1" x14ac:dyDescent="0.15"/>
    <row r="27531" s="9" customFormat="1" ht="21.95" customHeight="1" x14ac:dyDescent="0.15"/>
    <row r="27532" s="9" customFormat="1" ht="21.95" customHeight="1" x14ac:dyDescent="0.15"/>
    <row r="27533" s="9" customFormat="1" ht="21.95" customHeight="1" x14ac:dyDescent="0.15"/>
    <row r="27534" s="9" customFormat="1" ht="21.95" customHeight="1" x14ac:dyDescent="0.15"/>
    <row r="27535" s="9" customFormat="1" ht="21.95" customHeight="1" x14ac:dyDescent="0.15"/>
    <row r="27536" s="9" customFormat="1" ht="21.95" customHeight="1" x14ac:dyDescent="0.15"/>
    <row r="27537" s="9" customFormat="1" ht="21.95" customHeight="1" x14ac:dyDescent="0.15"/>
    <row r="27538" s="9" customFormat="1" ht="21.95" customHeight="1" x14ac:dyDescent="0.15"/>
    <row r="27539" s="9" customFormat="1" ht="21.95" customHeight="1" x14ac:dyDescent="0.15"/>
    <row r="27540" s="9" customFormat="1" ht="21.95" customHeight="1" x14ac:dyDescent="0.15"/>
    <row r="27541" s="9" customFormat="1" ht="21.95" customHeight="1" x14ac:dyDescent="0.15"/>
    <row r="27542" s="9" customFormat="1" ht="21.95" customHeight="1" x14ac:dyDescent="0.15"/>
    <row r="27543" s="9" customFormat="1" ht="21.95" customHeight="1" x14ac:dyDescent="0.15"/>
    <row r="27544" s="9" customFormat="1" ht="21.95" customHeight="1" x14ac:dyDescent="0.15"/>
    <row r="27545" s="9" customFormat="1" ht="21.95" customHeight="1" x14ac:dyDescent="0.15"/>
    <row r="27546" s="9" customFormat="1" ht="21.95" customHeight="1" x14ac:dyDescent="0.15"/>
    <row r="27547" s="9" customFormat="1" ht="21.95" customHeight="1" x14ac:dyDescent="0.15"/>
    <row r="27548" s="9" customFormat="1" ht="21.95" customHeight="1" x14ac:dyDescent="0.15"/>
    <row r="27549" s="9" customFormat="1" ht="21.95" customHeight="1" x14ac:dyDescent="0.15"/>
    <row r="27550" s="9" customFormat="1" ht="21.95" customHeight="1" x14ac:dyDescent="0.15"/>
    <row r="27551" s="9" customFormat="1" ht="21.95" customHeight="1" x14ac:dyDescent="0.15"/>
    <row r="27552" s="9" customFormat="1" ht="21.95" customHeight="1" x14ac:dyDescent="0.15"/>
    <row r="27553" s="9" customFormat="1" ht="21.95" customHeight="1" x14ac:dyDescent="0.15"/>
    <row r="27554" s="9" customFormat="1" ht="21.95" customHeight="1" x14ac:dyDescent="0.15"/>
    <row r="27555" s="9" customFormat="1" ht="21.95" customHeight="1" x14ac:dyDescent="0.15"/>
    <row r="27556" s="9" customFormat="1" ht="21.95" customHeight="1" x14ac:dyDescent="0.15"/>
    <row r="27557" s="9" customFormat="1" ht="21.95" customHeight="1" x14ac:dyDescent="0.15"/>
    <row r="27558" s="9" customFormat="1" ht="21.95" customHeight="1" x14ac:dyDescent="0.15"/>
    <row r="27559" s="9" customFormat="1" ht="21.95" customHeight="1" x14ac:dyDescent="0.15"/>
    <row r="27560" s="9" customFormat="1" ht="21.95" customHeight="1" x14ac:dyDescent="0.15"/>
    <row r="27561" s="9" customFormat="1" ht="21.95" customHeight="1" x14ac:dyDescent="0.15"/>
    <row r="27562" s="9" customFormat="1" ht="21.95" customHeight="1" x14ac:dyDescent="0.15"/>
    <row r="27563" s="9" customFormat="1" ht="21.95" customHeight="1" x14ac:dyDescent="0.15"/>
    <row r="27564" s="9" customFormat="1" ht="21.95" customHeight="1" x14ac:dyDescent="0.15"/>
    <row r="27565" s="9" customFormat="1" ht="21.95" customHeight="1" x14ac:dyDescent="0.15"/>
    <row r="27566" s="9" customFormat="1" ht="21.95" customHeight="1" x14ac:dyDescent="0.15"/>
    <row r="27567" s="9" customFormat="1" ht="21.95" customHeight="1" x14ac:dyDescent="0.15"/>
    <row r="27568" s="9" customFormat="1" ht="21.95" customHeight="1" x14ac:dyDescent="0.15"/>
    <row r="27569" s="9" customFormat="1" ht="21.95" customHeight="1" x14ac:dyDescent="0.15"/>
    <row r="27570" s="9" customFormat="1" ht="21.95" customHeight="1" x14ac:dyDescent="0.15"/>
    <row r="27571" s="9" customFormat="1" ht="21.95" customHeight="1" x14ac:dyDescent="0.15"/>
    <row r="27572" s="9" customFormat="1" ht="21.95" customHeight="1" x14ac:dyDescent="0.15"/>
    <row r="27573" s="9" customFormat="1" ht="21.95" customHeight="1" x14ac:dyDescent="0.15"/>
    <row r="27574" s="9" customFormat="1" ht="35.1" customHeight="1" x14ac:dyDescent="0.15"/>
    <row r="27575" s="9" customFormat="1" ht="21.95" customHeight="1" x14ac:dyDescent="0.15"/>
    <row r="27576" s="9" customFormat="1" ht="21.95" customHeight="1" x14ac:dyDescent="0.15"/>
    <row r="27577" s="9" customFormat="1" ht="21.95" customHeight="1" x14ac:dyDescent="0.15"/>
    <row r="27578" s="9" customFormat="1" ht="21.95" customHeight="1" x14ac:dyDescent="0.15"/>
    <row r="27579" s="9" customFormat="1" ht="21.95" customHeight="1" x14ac:dyDescent="0.15"/>
    <row r="27580" s="9" customFormat="1" ht="21.95" customHeight="1" x14ac:dyDescent="0.15"/>
    <row r="27581" s="9" customFormat="1" ht="21.95" customHeight="1" x14ac:dyDescent="0.15"/>
    <row r="27582" s="9" customFormat="1" ht="21.95" customHeight="1" x14ac:dyDescent="0.15"/>
    <row r="27583" s="9" customFormat="1" ht="21.95" customHeight="1" x14ac:dyDescent="0.15"/>
    <row r="27584" s="9" customFormat="1" ht="21.95" customHeight="1" x14ac:dyDescent="0.15"/>
    <row r="27585" spans="3:3" s="9" customFormat="1" ht="21.95" customHeight="1" x14ac:dyDescent="0.15"/>
    <row r="27586" spans="3:3" s="9" customFormat="1" ht="21.95" customHeight="1" x14ac:dyDescent="0.15"/>
    <row r="27587" spans="3:3" s="9" customFormat="1" ht="21.95" customHeight="1" x14ac:dyDescent="0.15"/>
    <row r="27588" spans="3:3" s="9" customFormat="1" ht="21.95" customHeight="1" x14ac:dyDescent="0.15"/>
    <row r="27589" spans="3:3" s="9" customFormat="1" ht="21.95" customHeight="1" x14ac:dyDescent="0.15"/>
    <row r="27590" spans="3:3" s="9" customFormat="1" ht="21.95" customHeight="1" x14ac:dyDescent="0.15"/>
    <row r="27591" spans="3:3" s="9" customFormat="1" ht="21.95" customHeight="1" x14ac:dyDescent="0.15"/>
    <row r="27592" spans="3:3" s="9" customFormat="1" ht="21.95" customHeight="1" x14ac:dyDescent="0.15"/>
    <row r="27593" spans="3:3" s="9" customFormat="1" ht="21.95" customHeight="1" x14ac:dyDescent="0.15"/>
    <row r="27594" spans="3:3" s="9" customFormat="1" ht="21.95" customHeight="1" x14ac:dyDescent="0.15"/>
    <row r="27595" spans="3:3" s="9" customFormat="1" ht="21.95" customHeight="1" x14ac:dyDescent="0.15"/>
    <row r="27596" spans="3:3" s="9" customFormat="1" ht="21.95" customHeight="1" x14ac:dyDescent="0.15"/>
    <row r="27597" spans="3:3" s="9" customFormat="1" ht="21.95" customHeight="1" x14ac:dyDescent="0.15"/>
    <row r="27598" spans="3:3" s="8" customFormat="1" ht="21.95" customHeight="1" x14ac:dyDescent="0.15"/>
    <row r="27599" spans="3:3" s="8" customFormat="1" ht="21.95" customHeight="1" x14ac:dyDescent="0.15"/>
    <row r="27600" spans="3:3" s="8" customFormat="1" ht="21.95" customHeight="1" x14ac:dyDescent="0.15">
      <c r="C27600" s="101"/>
    </row>
    <row r="27601" spans="3:3" s="8" customFormat="1" ht="21.95" customHeight="1" x14ac:dyDescent="0.15">
      <c r="C27601" s="101"/>
    </row>
    <row r="27602" spans="3:3" s="8" customFormat="1" ht="21.95" customHeight="1" x14ac:dyDescent="0.15"/>
    <row r="27603" spans="3:3" s="8" customFormat="1" ht="21.95" customHeight="1" x14ac:dyDescent="0.15"/>
    <row r="27604" spans="3:3" s="8" customFormat="1" ht="21.95" customHeight="1" x14ac:dyDescent="0.15"/>
    <row r="27605" spans="3:3" s="8" customFormat="1" ht="21.95" customHeight="1" x14ac:dyDescent="0.15"/>
    <row r="27606" spans="3:3" s="8" customFormat="1" ht="21.95" customHeight="1" x14ac:dyDescent="0.15"/>
    <row r="27607" spans="3:3" s="8" customFormat="1" ht="21.95" customHeight="1" x14ac:dyDescent="0.15"/>
    <row r="27608" spans="3:3" s="8" customFormat="1" ht="21.95" customHeight="1" x14ac:dyDescent="0.15"/>
    <row r="27609" spans="3:3" s="9" customFormat="1" ht="21.95" customHeight="1" x14ac:dyDescent="0.15"/>
    <row r="27610" spans="3:3" s="9" customFormat="1" ht="21.95" customHeight="1" x14ac:dyDescent="0.15"/>
    <row r="27611" spans="3:3" s="9" customFormat="1" ht="21.95" customHeight="1" x14ac:dyDescent="0.15"/>
    <row r="27612" spans="3:3" s="9" customFormat="1" ht="21.95" customHeight="1" x14ac:dyDescent="0.15"/>
    <row r="27613" spans="3:3" s="8" customFormat="1" ht="21.95" customHeight="1" x14ac:dyDescent="0.15"/>
    <row r="27614" spans="3:3" s="8" customFormat="1" ht="21.95" customHeight="1" x14ac:dyDescent="0.15"/>
    <row r="27615" spans="3:3" s="8" customFormat="1" ht="21.95" customHeight="1" x14ac:dyDescent="0.15"/>
    <row r="27616" spans="3:3" s="8" customFormat="1" ht="21.95" customHeight="1" x14ac:dyDescent="0.15"/>
    <row r="27617" s="8" customFormat="1" ht="21.95" customHeight="1" x14ac:dyDescent="0.15"/>
    <row r="27618" s="8" customFormat="1" ht="21.95" customHeight="1" x14ac:dyDescent="0.15"/>
    <row r="27619" s="8" customFormat="1" ht="21.95" customHeight="1" x14ac:dyDescent="0.15"/>
    <row r="27620" s="8" customFormat="1" ht="21.95" customHeight="1" x14ac:dyDescent="0.15"/>
    <row r="27621" s="8" customFormat="1" ht="21.95" customHeight="1" x14ac:dyDescent="0.15"/>
    <row r="27622" s="8" customFormat="1" ht="21.95" customHeight="1" x14ac:dyDescent="0.15"/>
    <row r="27623" s="8" customFormat="1" ht="21.95" customHeight="1" x14ac:dyDescent="0.15"/>
    <row r="27624" s="8" customFormat="1" ht="32.1" customHeight="1" x14ac:dyDescent="0.15"/>
    <row r="27625" s="8" customFormat="1" ht="32.1" customHeight="1" x14ac:dyDescent="0.15"/>
    <row r="27626" s="8" customFormat="1" ht="32.1" customHeight="1" x14ac:dyDescent="0.15"/>
    <row r="27627" s="8" customFormat="1" ht="32.1" customHeight="1" x14ac:dyDescent="0.15"/>
    <row r="27628" s="8" customFormat="1" ht="32.1" customHeight="1" x14ac:dyDescent="0.15"/>
    <row r="27629" s="8" customFormat="1" ht="32.1" customHeight="1" x14ac:dyDescent="0.15"/>
    <row r="27630" s="9" customFormat="1" ht="32.1" customHeight="1" x14ac:dyDescent="0.15"/>
    <row r="27631" s="9" customFormat="1" ht="32.1" customHeight="1" x14ac:dyDescent="0.15"/>
    <row r="27632" s="9" customFormat="1" ht="32.1" customHeight="1" x14ac:dyDescent="0.15"/>
    <row r="27633" s="9" customFormat="1" ht="32.1" customHeight="1" x14ac:dyDescent="0.15"/>
    <row r="27634" s="9" customFormat="1" ht="21.95" customHeight="1" x14ac:dyDescent="0.15"/>
    <row r="27635" s="9" customFormat="1" ht="54" customHeight="1" x14ac:dyDescent="0.15"/>
    <row r="27636" s="9" customFormat="1" ht="21.95" customHeight="1" x14ac:dyDescent="0.15"/>
    <row r="27637" s="9" customFormat="1" ht="21.95" customHeight="1" x14ac:dyDescent="0.15"/>
    <row r="27638" s="9" customFormat="1" ht="21.95" customHeight="1" x14ac:dyDescent="0.15"/>
    <row r="27639" s="9" customFormat="1" ht="21.95" customHeight="1" x14ac:dyDescent="0.15"/>
    <row r="27640" s="9" customFormat="1" ht="21.95" customHeight="1" x14ac:dyDescent="0.15"/>
    <row r="27641" s="9" customFormat="1" ht="21.95" customHeight="1" x14ac:dyDescent="0.15"/>
    <row r="27642" s="9" customFormat="1" ht="21.95" customHeight="1" x14ac:dyDescent="0.15"/>
    <row r="27643" s="9" customFormat="1" ht="21.95" customHeight="1" x14ac:dyDescent="0.15"/>
    <row r="27644" s="9" customFormat="1" ht="21.95" customHeight="1" x14ac:dyDescent="0.15"/>
    <row r="27645" s="9" customFormat="1" ht="21.95" customHeight="1" x14ac:dyDescent="0.15"/>
    <row r="27646" s="9" customFormat="1" ht="21.95" customHeight="1" x14ac:dyDescent="0.15"/>
    <row r="27647" s="9" customFormat="1" ht="21.95" customHeight="1" x14ac:dyDescent="0.15"/>
    <row r="27648" s="9" customFormat="1" ht="21.95" customHeight="1" x14ac:dyDescent="0.15"/>
    <row r="27649" s="9" customFormat="1" ht="21.95" customHeight="1" x14ac:dyDescent="0.15"/>
    <row r="27650" s="9" customFormat="1" ht="21.95" customHeight="1" x14ac:dyDescent="0.15"/>
    <row r="27651" s="9" customFormat="1" ht="21.95" customHeight="1" x14ac:dyDescent="0.15"/>
    <row r="27652" s="9" customFormat="1" ht="21.95" customHeight="1" x14ac:dyDescent="0.15"/>
    <row r="27653" s="9" customFormat="1" ht="21.95" customHeight="1" x14ac:dyDescent="0.15"/>
    <row r="27654" s="9" customFormat="1" ht="21.95" customHeight="1" x14ac:dyDescent="0.15"/>
    <row r="27655" s="9" customFormat="1" ht="21.95" customHeight="1" x14ac:dyDescent="0.15"/>
    <row r="27656" s="9" customFormat="1" ht="21.95" customHeight="1" x14ac:dyDescent="0.15"/>
    <row r="27657" s="9" customFormat="1" ht="21.95" customHeight="1" x14ac:dyDescent="0.15"/>
    <row r="27658" s="9" customFormat="1" ht="21.95" customHeight="1" x14ac:dyDescent="0.15"/>
    <row r="27659" s="9" customFormat="1" ht="21.95" customHeight="1" x14ac:dyDescent="0.15"/>
    <row r="27660" s="9" customFormat="1" ht="21.95" customHeight="1" x14ac:dyDescent="0.15"/>
    <row r="27661" s="9" customFormat="1" ht="21.95" customHeight="1" x14ac:dyDescent="0.15"/>
    <row r="27662" s="9" customFormat="1" ht="21.95" customHeight="1" x14ac:dyDescent="0.15"/>
    <row r="27663" s="9" customFormat="1" ht="21.95" customHeight="1" x14ac:dyDescent="0.15"/>
    <row r="27664" s="9" customFormat="1" ht="21.95" customHeight="1" x14ac:dyDescent="0.15"/>
    <row r="27665" s="9" customFormat="1" ht="21.95" customHeight="1" x14ac:dyDescent="0.15"/>
    <row r="27666" s="9" customFormat="1" ht="21.95" customHeight="1" x14ac:dyDescent="0.15"/>
    <row r="27667" s="9" customFormat="1" ht="21.95" customHeight="1" x14ac:dyDescent="0.15"/>
    <row r="27668" s="9" customFormat="1" ht="21.95" customHeight="1" x14ac:dyDescent="0.15"/>
    <row r="27669" s="9" customFormat="1" ht="21.95" customHeight="1" x14ac:dyDescent="0.15"/>
    <row r="27670" s="9" customFormat="1" ht="21.95" customHeight="1" x14ac:dyDescent="0.15"/>
    <row r="27671" s="9" customFormat="1" ht="21.95" customHeight="1" x14ac:dyDescent="0.15"/>
    <row r="27672" s="9" customFormat="1" ht="21.95" customHeight="1" x14ac:dyDescent="0.15"/>
    <row r="27673" s="9" customFormat="1" ht="21.95" customHeight="1" x14ac:dyDescent="0.15"/>
    <row r="27674" s="9" customFormat="1" ht="21.95" customHeight="1" x14ac:dyDescent="0.15"/>
    <row r="27675" s="9" customFormat="1" ht="21.95" customHeight="1" x14ac:dyDescent="0.15"/>
    <row r="27676" s="9" customFormat="1" ht="21.95" customHeight="1" x14ac:dyDescent="0.15"/>
    <row r="27677" s="9" customFormat="1" ht="21.95" customHeight="1" x14ac:dyDescent="0.15"/>
    <row r="27678" s="9" customFormat="1" ht="21.95" customHeight="1" x14ac:dyDescent="0.15"/>
    <row r="27679" s="9" customFormat="1" ht="21.95" customHeight="1" x14ac:dyDescent="0.15"/>
    <row r="27680" s="9" customFormat="1" ht="21.95" customHeight="1" x14ac:dyDescent="0.15"/>
    <row r="27681" s="9" customFormat="1" ht="21.95" customHeight="1" x14ac:dyDescent="0.15"/>
    <row r="27682" s="9" customFormat="1" ht="21.95" customHeight="1" x14ac:dyDescent="0.15"/>
    <row r="27683" s="9" customFormat="1" ht="21.95" customHeight="1" x14ac:dyDescent="0.15"/>
    <row r="27684" s="9" customFormat="1" ht="21.95" customHeight="1" x14ac:dyDescent="0.15"/>
    <row r="27685" s="9" customFormat="1" ht="21.95" customHeight="1" x14ac:dyDescent="0.15"/>
    <row r="27686" s="9" customFormat="1" ht="35.1" customHeight="1" x14ac:dyDescent="0.15"/>
    <row r="27687" s="9" customFormat="1" ht="21.95" customHeight="1" x14ac:dyDescent="0.15"/>
    <row r="27688" s="9" customFormat="1" ht="21.95" customHeight="1" x14ac:dyDescent="0.15"/>
    <row r="27689" s="9" customFormat="1" ht="21.95" customHeight="1" x14ac:dyDescent="0.15"/>
    <row r="27690" s="9" customFormat="1" ht="21.95" customHeight="1" x14ac:dyDescent="0.15"/>
    <row r="27691" s="9" customFormat="1" ht="21.95" customHeight="1" x14ac:dyDescent="0.15"/>
    <row r="27692" s="9" customFormat="1" ht="21.95" customHeight="1" x14ac:dyDescent="0.15"/>
    <row r="27693" s="9" customFormat="1" ht="21.95" customHeight="1" x14ac:dyDescent="0.15"/>
    <row r="27694" s="9" customFormat="1" ht="21.95" customHeight="1" x14ac:dyDescent="0.15"/>
    <row r="27695" s="9" customFormat="1" ht="21.95" customHeight="1" x14ac:dyDescent="0.15"/>
    <row r="27696" s="9" customFormat="1" ht="21.95" customHeight="1" x14ac:dyDescent="0.15"/>
    <row r="27697" spans="3:3" s="9" customFormat="1" ht="21.95" customHeight="1" x14ac:dyDescent="0.15"/>
    <row r="27698" spans="3:3" s="9" customFormat="1" ht="21.95" customHeight="1" x14ac:dyDescent="0.15"/>
    <row r="27699" spans="3:3" s="9" customFormat="1" ht="21.95" customHeight="1" x14ac:dyDescent="0.15"/>
    <row r="27700" spans="3:3" s="9" customFormat="1" ht="21.95" customHeight="1" x14ac:dyDescent="0.15"/>
    <row r="27701" spans="3:3" s="9" customFormat="1" ht="21.95" customHeight="1" x14ac:dyDescent="0.15"/>
    <row r="27702" spans="3:3" s="9" customFormat="1" ht="21.95" customHeight="1" x14ac:dyDescent="0.15"/>
    <row r="27703" spans="3:3" s="9" customFormat="1" ht="21.95" customHeight="1" x14ac:dyDescent="0.15"/>
    <row r="27704" spans="3:3" s="9" customFormat="1" ht="21.95" customHeight="1" x14ac:dyDescent="0.15"/>
    <row r="27705" spans="3:3" s="9" customFormat="1" ht="21.95" customHeight="1" x14ac:dyDescent="0.15"/>
    <row r="27706" spans="3:3" s="9" customFormat="1" ht="21.95" customHeight="1" x14ac:dyDescent="0.15"/>
    <row r="27707" spans="3:3" s="9" customFormat="1" ht="21.95" customHeight="1" x14ac:dyDescent="0.15"/>
    <row r="27708" spans="3:3" s="9" customFormat="1" ht="21.95" customHeight="1" x14ac:dyDescent="0.15"/>
    <row r="27709" spans="3:3" s="9" customFormat="1" ht="21.95" customHeight="1" x14ac:dyDescent="0.15"/>
    <row r="27710" spans="3:3" s="8" customFormat="1" ht="21.95" customHeight="1" x14ac:dyDescent="0.15"/>
    <row r="27711" spans="3:3" s="8" customFormat="1" ht="21.95" customHeight="1" x14ac:dyDescent="0.15"/>
    <row r="27712" spans="3:3" s="8" customFormat="1" ht="21.95" customHeight="1" x14ac:dyDescent="0.15">
      <c r="C27712" s="101"/>
    </row>
    <row r="27713" spans="3:3" s="8" customFormat="1" ht="21.95" customHeight="1" x14ac:dyDescent="0.15">
      <c r="C27713" s="101"/>
    </row>
    <row r="27714" spans="3:3" s="8" customFormat="1" ht="21.95" customHeight="1" x14ac:dyDescent="0.15"/>
    <row r="27715" spans="3:3" s="8" customFormat="1" ht="21.95" customHeight="1" x14ac:dyDescent="0.15"/>
    <row r="27716" spans="3:3" s="8" customFormat="1" ht="21.95" customHeight="1" x14ac:dyDescent="0.15"/>
    <row r="27717" spans="3:3" s="8" customFormat="1" ht="21.95" customHeight="1" x14ac:dyDescent="0.15"/>
    <row r="27718" spans="3:3" s="8" customFormat="1" ht="21.95" customHeight="1" x14ac:dyDescent="0.15"/>
    <row r="27719" spans="3:3" s="8" customFormat="1" ht="21.95" customHeight="1" x14ac:dyDescent="0.15"/>
    <row r="27720" spans="3:3" s="8" customFormat="1" ht="21.95" customHeight="1" x14ac:dyDescent="0.15"/>
    <row r="27721" spans="3:3" s="9" customFormat="1" ht="21.95" customHeight="1" x14ac:dyDescent="0.15"/>
    <row r="27722" spans="3:3" s="9" customFormat="1" ht="21.95" customHeight="1" x14ac:dyDescent="0.15"/>
    <row r="27723" spans="3:3" s="9" customFormat="1" ht="21.95" customHeight="1" x14ac:dyDescent="0.15"/>
    <row r="27724" spans="3:3" s="9" customFormat="1" ht="21.95" customHeight="1" x14ac:dyDescent="0.15"/>
    <row r="27725" spans="3:3" s="8" customFormat="1" ht="21.95" customHeight="1" x14ac:dyDescent="0.15"/>
    <row r="27726" spans="3:3" s="8" customFormat="1" ht="21.95" customHeight="1" x14ac:dyDescent="0.15"/>
    <row r="27727" spans="3:3" s="8" customFormat="1" ht="21.95" customHeight="1" x14ac:dyDescent="0.15"/>
    <row r="27728" spans="3:3" s="8" customFormat="1" ht="21.95" customHeight="1" x14ac:dyDescent="0.15"/>
    <row r="27729" s="8" customFormat="1" ht="21.95" customHeight="1" x14ac:dyDescent="0.15"/>
    <row r="27730" s="8" customFormat="1" ht="21.95" customHeight="1" x14ac:dyDescent="0.15"/>
    <row r="27731" s="8" customFormat="1" ht="21.95" customHeight="1" x14ac:dyDescent="0.15"/>
    <row r="27732" s="8" customFormat="1" ht="21.95" customHeight="1" x14ac:dyDescent="0.15"/>
    <row r="27733" s="8" customFormat="1" ht="21.95" customHeight="1" x14ac:dyDescent="0.15"/>
    <row r="27734" s="8" customFormat="1" ht="21.95" customHeight="1" x14ac:dyDescent="0.15"/>
    <row r="27735" s="8" customFormat="1" ht="21.95" customHeight="1" x14ac:dyDescent="0.15"/>
    <row r="27736" s="8" customFormat="1" ht="32.1" customHeight="1" x14ac:dyDescent="0.15"/>
    <row r="27737" s="8" customFormat="1" ht="32.1" customHeight="1" x14ac:dyDescent="0.15"/>
    <row r="27738" s="8" customFormat="1" ht="32.1" customHeight="1" x14ac:dyDescent="0.15"/>
    <row r="27739" s="8" customFormat="1" ht="32.1" customHeight="1" x14ac:dyDescent="0.15"/>
    <row r="27740" s="8" customFormat="1" ht="32.1" customHeight="1" x14ac:dyDescent="0.15"/>
    <row r="27741" s="8" customFormat="1" ht="32.1" customHeight="1" x14ac:dyDescent="0.15"/>
    <row r="27742" s="9" customFormat="1" ht="32.1" customHeight="1" x14ac:dyDescent="0.15"/>
    <row r="27743" s="9" customFormat="1" ht="32.1" customHeight="1" x14ac:dyDescent="0.15"/>
    <row r="27744" s="9" customFormat="1" ht="32.1" customHeight="1" x14ac:dyDescent="0.15"/>
    <row r="27745" s="9" customFormat="1" ht="32.1" customHeight="1" x14ac:dyDescent="0.15"/>
    <row r="27746" s="9" customFormat="1" ht="21.95" customHeight="1" x14ac:dyDescent="0.15"/>
    <row r="27747" s="9" customFormat="1" ht="54" customHeight="1" x14ac:dyDescent="0.15"/>
    <row r="27748" s="9" customFormat="1" ht="21.95" customHeight="1" x14ac:dyDescent="0.15"/>
    <row r="27749" s="9" customFormat="1" ht="21.95" customHeight="1" x14ac:dyDescent="0.15"/>
    <row r="27750" s="9" customFormat="1" ht="21.95" customHeight="1" x14ac:dyDescent="0.15"/>
    <row r="27751" s="9" customFormat="1" ht="21.95" customHeight="1" x14ac:dyDescent="0.15"/>
    <row r="27752" s="9" customFormat="1" ht="21.95" customHeight="1" x14ac:dyDescent="0.15"/>
    <row r="27753" s="9" customFormat="1" ht="21.95" customHeight="1" x14ac:dyDescent="0.15"/>
    <row r="27754" s="9" customFormat="1" ht="21.95" customHeight="1" x14ac:dyDescent="0.15"/>
    <row r="27755" s="9" customFormat="1" ht="21.95" customHeight="1" x14ac:dyDescent="0.15"/>
    <row r="27756" s="9" customFormat="1" ht="21.95" customHeight="1" x14ac:dyDescent="0.15"/>
    <row r="27757" s="9" customFormat="1" ht="21.95" customHeight="1" x14ac:dyDescent="0.15"/>
    <row r="27758" s="9" customFormat="1" ht="21.95" customHeight="1" x14ac:dyDescent="0.15"/>
    <row r="27759" s="9" customFormat="1" ht="21.95" customHeight="1" x14ac:dyDescent="0.15"/>
    <row r="27760" s="9" customFormat="1" ht="21.95" customHeight="1" x14ac:dyDescent="0.15"/>
    <row r="27761" s="9" customFormat="1" ht="21.95" customHeight="1" x14ac:dyDescent="0.15"/>
    <row r="27762" s="9" customFormat="1" ht="21.95" customHeight="1" x14ac:dyDescent="0.15"/>
    <row r="27763" s="9" customFormat="1" ht="21.95" customHeight="1" x14ac:dyDescent="0.15"/>
    <row r="27764" s="9" customFormat="1" ht="21.95" customHeight="1" x14ac:dyDescent="0.15"/>
    <row r="27765" s="9" customFormat="1" ht="21.95" customHeight="1" x14ac:dyDescent="0.15"/>
    <row r="27766" s="9" customFormat="1" ht="21.95" customHeight="1" x14ac:dyDescent="0.15"/>
    <row r="27767" s="9" customFormat="1" ht="21.95" customHeight="1" x14ac:dyDescent="0.15"/>
    <row r="27768" s="9" customFormat="1" ht="21.95" customHeight="1" x14ac:dyDescent="0.15"/>
    <row r="27769" s="9" customFormat="1" ht="21.95" customHeight="1" x14ac:dyDescent="0.15"/>
    <row r="27770" s="9" customFormat="1" ht="21.95" customHeight="1" x14ac:dyDescent="0.15"/>
    <row r="27771" s="9" customFormat="1" ht="21.95" customHeight="1" x14ac:dyDescent="0.15"/>
    <row r="27772" s="9" customFormat="1" ht="21.95" customHeight="1" x14ac:dyDescent="0.15"/>
    <row r="27773" s="9" customFormat="1" ht="21.95" customHeight="1" x14ac:dyDescent="0.15"/>
    <row r="27774" s="9" customFormat="1" ht="21.95" customHeight="1" x14ac:dyDescent="0.15"/>
    <row r="27775" s="9" customFormat="1" ht="21.95" customHeight="1" x14ac:dyDescent="0.15"/>
    <row r="27776" s="9" customFormat="1" ht="21.95" customHeight="1" x14ac:dyDescent="0.15"/>
    <row r="27777" s="9" customFormat="1" ht="21.95" customHeight="1" x14ac:dyDescent="0.15"/>
    <row r="27778" s="9" customFormat="1" ht="21.95" customHeight="1" x14ac:dyDescent="0.15"/>
    <row r="27779" s="9" customFormat="1" ht="21.95" customHeight="1" x14ac:dyDescent="0.15"/>
    <row r="27780" s="9" customFormat="1" ht="21.95" customHeight="1" x14ac:dyDescent="0.15"/>
    <row r="27781" s="9" customFormat="1" ht="21.95" customHeight="1" x14ac:dyDescent="0.15"/>
    <row r="27782" s="9" customFormat="1" ht="21.95" customHeight="1" x14ac:dyDescent="0.15"/>
    <row r="27783" s="9" customFormat="1" ht="21.95" customHeight="1" x14ac:dyDescent="0.15"/>
    <row r="27784" s="9" customFormat="1" ht="21.95" customHeight="1" x14ac:dyDescent="0.15"/>
    <row r="27785" s="9" customFormat="1" ht="21.95" customHeight="1" x14ac:dyDescent="0.15"/>
    <row r="27786" s="9" customFormat="1" ht="21.95" customHeight="1" x14ac:dyDescent="0.15"/>
    <row r="27787" s="9" customFormat="1" ht="21.95" customHeight="1" x14ac:dyDescent="0.15"/>
    <row r="27788" s="9" customFormat="1" ht="21.95" customHeight="1" x14ac:dyDescent="0.15"/>
    <row r="27789" s="9" customFormat="1" ht="21.95" customHeight="1" x14ac:dyDescent="0.15"/>
    <row r="27790" s="9" customFormat="1" ht="21.95" customHeight="1" x14ac:dyDescent="0.15"/>
    <row r="27791" s="9" customFormat="1" ht="21.95" customHeight="1" x14ac:dyDescent="0.15"/>
    <row r="27792" s="9" customFormat="1" ht="21.95" customHeight="1" x14ac:dyDescent="0.15"/>
    <row r="27793" s="9" customFormat="1" ht="21.95" customHeight="1" x14ac:dyDescent="0.15"/>
    <row r="27794" s="9" customFormat="1" ht="21.95" customHeight="1" x14ac:dyDescent="0.15"/>
    <row r="27795" s="9" customFormat="1" ht="21.95" customHeight="1" x14ac:dyDescent="0.15"/>
    <row r="27796" s="9" customFormat="1" ht="21.95" customHeight="1" x14ac:dyDescent="0.15"/>
    <row r="27797" s="9" customFormat="1" ht="21.95" customHeight="1" x14ac:dyDescent="0.15"/>
    <row r="27798" s="9" customFormat="1" ht="35.1" customHeight="1" x14ac:dyDescent="0.15"/>
    <row r="27799" s="9" customFormat="1" ht="21.95" customHeight="1" x14ac:dyDescent="0.15"/>
    <row r="27800" s="9" customFormat="1" ht="21.95" customHeight="1" x14ac:dyDescent="0.15"/>
    <row r="27801" s="9" customFormat="1" ht="21.95" customHeight="1" x14ac:dyDescent="0.15"/>
    <row r="27802" s="9" customFormat="1" ht="21.95" customHeight="1" x14ac:dyDescent="0.15"/>
    <row r="27803" s="9" customFormat="1" ht="21.95" customHeight="1" x14ac:dyDescent="0.15"/>
    <row r="27804" s="9" customFormat="1" ht="21.95" customHeight="1" x14ac:dyDescent="0.15"/>
    <row r="27805" s="9" customFormat="1" ht="21.95" customHeight="1" x14ac:dyDescent="0.15"/>
    <row r="27806" s="9" customFormat="1" ht="21.95" customHeight="1" x14ac:dyDescent="0.15"/>
    <row r="27807" s="9" customFormat="1" ht="21.95" customHeight="1" x14ac:dyDescent="0.15"/>
    <row r="27808" s="9" customFormat="1" ht="21.95" customHeight="1" x14ac:dyDescent="0.15"/>
    <row r="27809" spans="3:3" s="9" customFormat="1" ht="21.95" customHeight="1" x14ac:dyDescent="0.15"/>
    <row r="27810" spans="3:3" s="9" customFormat="1" ht="21.95" customHeight="1" x14ac:dyDescent="0.15"/>
    <row r="27811" spans="3:3" s="9" customFormat="1" ht="21.95" customHeight="1" x14ac:dyDescent="0.15"/>
    <row r="27812" spans="3:3" s="9" customFormat="1" ht="21.95" customHeight="1" x14ac:dyDescent="0.15"/>
    <row r="27813" spans="3:3" s="9" customFormat="1" ht="21.95" customHeight="1" x14ac:dyDescent="0.15"/>
    <row r="27814" spans="3:3" s="9" customFormat="1" ht="21.95" customHeight="1" x14ac:dyDescent="0.15"/>
    <row r="27815" spans="3:3" s="9" customFormat="1" ht="21.95" customHeight="1" x14ac:dyDescent="0.15"/>
    <row r="27816" spans="3:3" s="9" customFormat="1" ht="21.95" customHeight="1" x14ac:dyDescent="0.15"/>
    <row r="27817" spans="3:3" s="9" customFormat="1" ht="21.95" customHeight="1" x14ac:dyDescent="0.15"/>
    <row r="27818" spans="3:3" s="9" customFormat="1" ht="21.95" customHeight="1" x14ac:dyDescent="0.15"/>
    <row r="27819" spans="3:3" s="9" customFormat="1" ht="21.95" customHeight="1" x14ac:dyDescent="0.15"/>
    <row r="27820" spans="3:3" s="9" customFormat="1" ht="21.95" customHeight="1" x14ac:dyDescent="0.15"/>
    <row r="27821" spans="3:3" s="9" customFormat="1" ht="21.95" customHeight="1" x14ac:dyDescent="0.15"/>
    <row r="27822" spans="3:3" s="8" customFormat="1" ht="21.95" customHeight="1" x14ac:dyDescent="0.15"/>
    <row r="27823" spans="3:3" s="8" customFormat="1" ht="21.95" customHeight="1" x14ac:dyDescent="0.15"/>
    <row r="27824" spans="3:3" s="8" customFormat="1" ht="21.95" customHeight="1" x14ac:dyDescent="0.15">
      <c r="C27824" s="101"/>
    </row>
    <row r="27825" spans="3:3" s="8" customFormat="1" ht="21.95" customHeight="1" x14ac:dyDescent="0.15">
      <c r="C27825" s="101"/>
    </row>
    <row r="27826" spans="3:3" s="8" customFormat="1" ht="21.95" customHeight="1" x14ac:dyDescent="0.15"/>
    <row r="27827" spans="3:3" s="8" customFormat="1" ht="21.95" customHeight="1" x14ac:dyDescent="0.15"/>
    <row r="27828" spans="3:3" s="8" customFormat="1" ht="21.95" customHeight="1" x14ac:dyDescent="0.15"/>
    <row r="27829" spans="3:3" s="8" customFormat="1" ht="21.95" customHeight="1" x14ac:dyDescent="0.15"/>
    <row r="27830" spans="3:3" s="8" customFormat="1" ht="21.95" customHeight="1" x14ac:dyDescent="0.15"/>
    <row r="27831" spans="3:3" s="8" customFormat="1" ht="21.95" customHeight="1" x14ac:dyDescent="0.15"/>
    <row r="27832" spans="3:3" s="8" customFormat="1" ht="21.95" customHeight="1" x14ac:dyDescent="0.15"/>
    <row r="27833" spans="3:3" s="9" customFormat="1" ht="21.95" customHeight="1" x14ac:dyDescent="0.15"/>
    <row r="27834" spans="3:3" s="9" customFormat="1" ht="21.95" customHeight="1" x14ac:dyDescent="0.15"/>
    <row r="27835" spans="3:3" s="9" customFormat="1" ht="21.95" customHeight="1" x14ac:dyDescent="0.15"/>
    <row r="27836" spans="3:3" s="9" customFormat="1" ht="21.95" customHeight="1" x14ac:dyDescent="0.15"/>
    <row r="27837" spans="3:3" s="8" customFormat="1" ht="21.95" customHeight="1" x14ac:dyDescent="0.15"/>
    <row r="27838" spans="3:3" s="8" customFormat="1" ht="21.95" customHeight="1" x14ac:dyDescent="0.15"/>
    <row r="27839" spans="3:3" s="8" customFormat="1" ht="21.95" customHeight="1" x14ac:dyDescent="0.15"/>
    <row r="27840" spans="3:3" s="8" customFormat="1" ht="21.95" customHeight="1" x14ac:dyDescent="0.15"/>
    <row r="27841" s="8" customFormat="1" ht="21.95" customHeight="1" x14ac:dyDescent="0.15"/>
    <row r="27842" s="8" customFormat="1" ht="21.95" customHeight="1" x14ac:dyDescent="0.15"/>
    <row r="27843" s="8" customFormat="1" ht="21.95" customHeight="1" x14ac:dyDescent="0.15"/>
    <row r="27844" s="8" customFormat="1" ht="21.95" customHeight="1" x14ac:dyDescent="0.15"/>
    <row r="27845" s="8" customFormat="1" ht="21.95" customHeight="1" x14ac:dyDescent="0.15"/>
    <row r="27846" s="8" customFormat="1" ht="21.95" customHeight="1" x14ac:dyDescent="0.15"/>
    <row r="27847" s="8" customFormat="1" ht="21.95" customHeight="1" x14ac:dyDescent="0.15"/>
    <row r="27848" s="8" customFormat="1" ht="32.1" customHeight="1" x14ac:dyDescent="0.15"/>
    <row r="27849" s="8" customFormat="1" ht="32.1" customHeight="1" x14ac:dyDescent="0.15"/>
    <row r="27850" s="8" customFormat="1" ht="32.1" customHeight="1" x14ac:dyDescent="0.15"/>
    <row r="27851" s="8" customFormat="1" ht="32.1" customHeight="1" x14ac:dyDescent="0.15"/>
    <row r="27852" s="8" customFormat="1" ht="32.1" customHeight="1" x14ac:dyDescent="0.15"/>
    <row r="27853" s="8" customFormat="1" ht="32.1" customHeight="1" x14ac:dyDescent="0.15"/>
    <row r="27854" s="9" customFormat="1" ht="32.1" customHeight="1" x14ac:dyDescent="0.15"/>
    <row r="27855" s="9" customFormat="1" ht="32.1" customHeight="1" x14ac:dyDescent="0.15"/>
    <row r="27856" s="9" customFormat="1" ht="32.1" customHeight="1" x14ac:dyDescent="0.15"/>
    <row r="27857" s="9" customFormat="1" ht="32.1" customHeight="1" x14ac:dyDescent="0.15"/>
    <row r="27858" s="9" customFormat="1" ht="21.95" customHeight="1" x14ac:dyDescent="0.15"/>
    <row r="27859" s="9" customFormat="1" ht="54" customHeight="1" x14ac:dyDescent="0.15"/>
    <row r="27860" s="9" customFormat="1" ht="21.95" customHeight="1" x14ac:dyDescent="0.15"/>
    <row r="27861" s="9" customFormat="1" ht="21.95" customHeight="1" x14ac:dyDescent="0.15"/>
    <row r="27862" s="9" customFormat="1" ht="21.95" customHeight="1" x14ac:dyDescent="0.15"/>
    <row r="27863" s="9" customFormat="1" ht="21.95" customHeight="1" x14ac:dyDescent="0.15"/>
    <row r="27864" s="9" customFormat="1" ht="21.95" customHeight="1" x14ac:dyDescent="0.15"/>
    <row r="27865" s="9" customFormat="1" ht="21.95" customHeight="1" x14ac:dyDescent="0.15"/>
    <row r="27866" s="9" customFormat="1" ht="21.95" customHeight="1" x14ac:dyDescent="0.15"/>
    <row r="27867" s="9" customFormat="1" ht="21.95" customHeight="1" x14ac:dyDescent="0.15"/>
    <row r="27868" s="9" customFormat="1" ht="21.95" customHeight="1" x14ac:dyDescent="0.15"/>
    <row r="27869" s="9" customFormat="1" ht="21.95" customHeight="1" x14ac:dyDescent="0.15"/>
    <row r="27870" s="9" customFormat="1" ht="21.95" customHeight="1" x14ac:dyDescent="0.15"/>
    <row r="27871" s="9" customFormat="1" ht="21.95" customHeight="1" x14ac:dyDescent="0.15"/>
    <row r="27872" s="9" customFormat="1" ht="21.95" customHeight="1" x14ac:dyDescent="0.15"/>
    <row r="27873" s="9" customFormat="1" ht="21.95" customHeight="1" x14ac:dyDescent="0.15"/>
    <row r="27874" s="9" customFormat="1" ht="21.95" customHeight="1" x14ac:dyDescent="0.15"/>
    <row r="27875" s="9" customFormat="1" ht="21.95" customHeight="1" x14ac:dyDescent="0.15"/>
    <row r="27876" s="9" customFormat="1" ht="21.95" customHeight="1" x14ac:dyDescent="0.15"/>
    <row r="27877" s="9" customFormat="1" ht="21.95" customHeight="1" x14ac:dyDescent="0.15"/>
    <row r="27878" s="9" customFormat="1" ht="21.95" customHeight="1" x14ac:dyDescent="0.15"/>
    <row r="27879" s="9" customFormat="1" ht="21.95" customHeight="1" x14ac:dyDescent="0.15"/>
    <row r="27880" s="9" customFormat="1" ht="21.95" customHeight="1" x14ac:dyDescent="0.15"/>
    <row r="27881" s="9" customFormat="1" ht="21.95" customHeight="1" x14ac:dyDescent="0.15"/>
    <row r="27882" s="9" customFormat="1" ht="21.95" customHeight="1" x14ac:dyDescent="0.15"/>
    <row r="27883" s="9" customFormat="1" ht="21.95" customHeight="1" x14ac:dyDescent="0.15"/>
    <row r="27884" s="9" customFormat="1" ht="21.95" customHeight="1" x14ac:dyDescent="0.15"/>
    <row r="27885" s="9" customFormat="1" ht="21.95" customHeight="1" x14ac:dyDescent="0.15"/>
    <row r="27886" s="9" customFormat="1" ht="21.95" customHeight="1" x14ac:dyDescent="0.15"/>
    <row r="27887" s="9" customFormat="1" ht="21.95" customHeight="1" x14ac:dyDescent="0.15"/>
    <row r="27888" s="9" customFormat="1" ht="21.95" customHeight="1" x14ac:dyDescent="0.15"/>
    <row r="27889" s="9" customFormat="1" ht="21.95" customHeight="1" x14ac:dyDescent="0.15"/>
    <row r="27890" s="9" customFormat="1" ht="21.95" customHeight="1" x14ac:dyDescent="0.15"/>
    <row r="27891" s="9" customFormat="1" ht="21.95" customHeight="1" x14ac:dyDescent="0.15"/>
    <row r="27892" s="9" customFormat="1" ht="21.95" customHeight="1" x14ac:dyDescent="0.15"/>
    <row r="27893" s="9" customFormat="1" ht="21.95" customHeight="1" x14ac:dyDescent="0.15"/>
    <row r="27894" s="9" customFormat="1" ht="21.95" customHeight="1" x14ac:dyDescent="0.15"/>
    <row r="27895" s="9" customFormat="1" ht="21.95" customHeight="1" x14ac:dyDescent="0.15"/>
    <row r="27896" s="9" customFormat="1" ht="21.95" customHeight="1" x14ac:dyDescent="0.15"/>
    <row r="27897" s="9" customFormat="1" ht="21.95" customHeight="1" x14ac:dyDescent="0.15"/>
    <row r="27898" s="9" customFormat="1" ht="21.95" customHeight="1" x14ac:dyDescent="0.15"/>
    <row r="27899" s="9" customFormat="1" ht="21.95" customHeight="1" x14ac:dyDescent="0.15"/>
    <row r="27900" s="9" customFormat="1" ht="21.95" customHeight="1" x14ac:dyDescent="0.15"/>
    <row r="27901" s="9" customFormat="1" ht="21.95" customHeight="1" x14ac:dyDescent="0.15"/>
    <row r="27902" s="9" customFormat="1" ht="21.95" customHeight="1" x14ac:dyDescent="0.15"/>
    <row r="27903" s="9" customFormat="1" ht="21.95" customHeight="1" x14ac:dyDescent="0.15"/>
    <row r="27904" s="9" customFormat="1" ht="21.95" customHeight="1" x14ac:dyDescent="0.15"/>
    <row r="27905" s="9" customFormat="1" ht="21.95" customHeight="1" x14ac:dyDescent="0.15"/>
    <row r="27906" s="9" customFormat="1" ht="21.95" customHeight="1" x14ac:dyDescent="0.15"/>
    <row r="27907" s="9" customFormat="1" ht="21.95" customHeight="1" x14ac:dyDescent="0.15"/>
    <row r="27908" s="9" customFormat="1" ht="21.95" customHeight="1" x14ac:dyDescent="0.15"/>
    <row r="27909" s="9" customFormat="1" ht="21.95" customHeight="1" x14ac:dyDescent="0.15"/>
    <row r="27910" s="9" customFormat="1" ht="35.1" customHeight="1" x14ac:dyDescent="0.15"/>
    <row r="27911" s="9" customFormat="1" ht="21.95" customHeight="1" x14ac:dyDescent="0.15"/>
    <row r="27912" s="9" customFormat="1" ht="21.95" customHeight="1" x14ac:dyDescent="0.15"/>
    <row r="27913" s="9" customFormat="1" ht="21.95" customHeight="1" x14ac:dyDescent="0.15"/>
    <row r="27914" s="9" customFormat="1" ht="21.95" customHeight="1" x14ac:dyDescent="0.15"/>
    <row r="27915" s="9" customFormat="1" ht="21.95" customHeight="1" x14ac:dyDescent="0.15"/>
    <row r="27916" s="9" customFormat="1" ht="21.95" customHeight="1" x14ac:dyDescent="0.15"/>
    <row r="27917" s="9" customFormat="1" ht="21.95" customHeight="1" x14ac:dyDescent="0.15"/>
    <row r="27918" s="9" customFormat="1" ht="21.95" customHeight="1" x14ac:dyDescent="0.15"/>
    <row r="27919" s="9" customFormat="1" ht="21.95" customHeight="1" x14ac:dyDescent="0.15"/>
    <row r="27920" s="9" customFormat="1" ht="21.95" customHeight="1" x14ac:dyDescent="0.15"/>
    <row r="27921" spans="3:3" s="9" customFormat="1" ht="21.95" customHeight="1" x14ac:dyDescent="0.15"/>
    <row r="27922" spans="3:3" s="9" customFormat="1" ht="21.95" customHeight="1" x14ac:dyDescent="0.15"/>
    <row r="27923" spans="3:3" s="9" customFormat="1" ht="21.95" customHeight="1" x14ac:dyDescent="0.15"/>
    <row r="27924" spans="3:3" s="9" customFormat="1" ht="21.95" customHeight="1" x14ac:dyDescent="0.15"/>
    <row r="27925" spans="3:3" s="9" customFormat="1" ht="21.95" customHeight="1" x14ac:dyDescent="0.15"/>
    <row r="27926" spans="3:3" s="9" customFormat="1" ht="21.95" customHeight="1" x14ac:dyDescent="0.15"/>
    <row r="27927" spans="3:3" s="9" customFormat="1" ht="21.95" customHeight="1" x14ac:dyDescent="0.15"/>
    <row r="27928" spans="3:3" s="9" customFormat="1" ht="21.95" customHeight="1" x14ac:dyDescent="0.15"/>
    <row r="27929" spans="3:3" s="9" customFormat="1" ht="21.95" customHeight="1" x14ac:dyDescent="0.15"/>
    <row r="27930" spans="3:3" s="9" customFormat="1" ht="21.95" customHeight="1" x14ac:dyDescent="0.15"/>
    <row r="27931" spans="3:3" s="9" customFormat="1" ht="21.95" customHeight="1" x14ac:dyDescent="0.15"/>
    <row r="27932" spans="3:3" s="9" customFormat="1" ht="21.95" customHeight="1" x14ac:dyDescent="0.15"/>
    <row r="27933" spans="3:3" s="9" customFormat="1" ht="21.95" customHeight="1" x14ac:dyDescent="0.15"/>
    <row r="27934" spans="3:3" s="8" customFormat="1" ht="21.95" customHeight="1" x14ac:dyDescent="0.15"/>
    <row r="27935" spans="3:3" s="8" customFormat="1" ht="21.95" customHeight="1" x14ac:dyDescent="0.15"/>
    <row r="27936" spans="3:3" s="8" customFormat="1" ht="21.95" customHeight="1" x14ac:dyDescent="0.15">
      <c r="C27936" s="101"/>
    </row>
    <row r="27937" spans="3:3" s="8" customFormat="1" ht="21.95" customHeight="1" x14ac:dyDescent="0.15">
      <c r="C27937" s="101"/>
    </row>
    <row r="27938" spans="3:3" s="8" customFormat="1" ht="21.95" customHeight="1" x14ac:dyDescent="0.15"/>
    <row r="27939" spans="3:3" s="8" customFormat="1" ht="21.95" customHeight="1" x14ac:dyDescent="0.15"/>
    <row r="27940" spans="3:3" s="8" customFormat="1" ht="21.95" customHeight="1" x14ac:dyDescent="0.15"/>
    <row r="27941" spans="3:3" s="8" customFormat="1" ht="21.95" customHeight="1" x14ac:dyDescent="0.15"/>
    <row r="27942" spans="3:3" s="8" customFormat="1" ht="21.95" customHeight="1" x14ac:dyDescent="0.15"/>
    <row r="27943" spans="3:3" s="8" customFormat="1" ht="21.95" customHeight="1" x14ac:dyDescent="0.15"/>
    <row r="27944" spans="3:3" s="8" customFormat="1" ht="21.95" customHeight="1" x14ac:dyDescent="0.15"/>
    <row r="27945" spans="3:3" s="9" customFormat="1" ht="21.95" customHeight="1" x14ac:dyDescent="0.15"/>
    <row r="27946" spans="3:3" s="9" customFormat="1" ht="21.95" customHeight="1" x14ac:dyDescent="0.15"/>
    <row r="27947" spans="3:3" s="9" customFormat="1" ht="21.95" customHeight="1" x14ac:dyDescent="0.15"/>
    <row r="27948" spans="3:3" s="9" customFormat="1" ht="21.95" customHeight="1" x14ac:dyDescent="0.15"/>
    <row r="27949" spans="3:3" s="8" customFormat="1" ht="21.95" customHeight="1" x14ac:dyDescent="0.15"/>
    <row r="27950" spans="3:3" s="8" customFormat="1" ht="21.95" customHeight="1" x14ac:dyDescent="0.15"/>
    <row r="27951" spans="3:3" s="8" customFormat="1" ht="21.95" customHeight="1" x14ac:dyDescent="0.15"/>
    <row r="27952" spans="3:3" s="8" customFormat="1" ht="21.95" customHeight="1" x14ac:dyDescent="0.15"/>
    <row r="27953" s="8" customFormat="1" ht="21.95" customHeight="1" x14ac:dyDescent="0.15"/>
    <row r="27954" s="8" customFormat="1" ht="21.95" customHeight="1" x14ac:dyDescent="0.15"/>
    <row r="27955" s="8" customFormat="1" ht="21.95" customHeight="1" x14ac:dyDescent="0.15"/>
    <row r="27956" s="8" customFormat="1" ht="21.95" customHeight="1" x14ac:dyDescent="0.15"/>
    <row r="27957" s="8" customFormat="1" ht="21.95" customHeight="1" x14ac:dyDescent="0.15"/>
    <row r="27958" s="8" customFormat="1" ht="21.95" customHeight="1" x14ac:dyDescent="0.15"/>
    <row r="27959" s="8" customFormat="1" ht="21.95" customHeight="1" x14ac:dyDescent="0.15"/>
    <row r="27960" s="8" customFormat="1" ht="32.1" customHeight="1" x14ac:dyDescent="0.15"/>
    <row r="27961" s="8" customFormat="1" ht="32.1" customHeight="1" x14ac:dyDescent="0.15"/>
    <row r="27962" s="8" customFormat="1" ht="32.1" customHeight="1" x14ac:dyDescent="0.15"/>
    <row r="27963" s="8" customFormat="1" ht="32.1" customHeight="1" x14ac:dyDescent="0.15"/>
    <row r="27964" s="8" customFormat="1" ht="32.1" customHeight="1" x14ac:dyDescent="0.15"/>
    <row r="27965" s="8" customFormat="1" ht="32.1" customHeight="1" x14ac:dyDescent="0.15"/>
    <row r="27966" s="9" customFormat="1" ht="32.1" customHeight="1" x14ac:dyDescent="0.15"/>
    <row r="27967" s="9" customFormat="1" ht="32.1" customHeight="1" x14ac:dyDescent="0.15"/>
    <row r="27968" s="9" customFormat="1" ht="32.1" customHeight="1" x14ac:dyDescent="0.15"/>
    <row r="27969" s="9" customFormat="1" ht="32.1" customHeight="1" x14ac:dyDescent="0.15"/>
    <row r="27970" s="9" customFormat="1" ht="21.95" customHeight="1" x14ac:dyDescent="0.15"/>
    <row r="27971" s="9" customFormat="1" ht="54" customHeight="1" x14ac:dyDescent="0.15"/>
    <row r="27972" s="9" customFormat="1" ht="21.95" customHeight="1" x14ac:dyDescent="0.15"/>
    <row r="27973" s="9" customFormat="1" ht="21.95" customHeight="1" x14ac:dyDescent="0.15"/>
    <row r="27974" s="9" customFormat="1" ht="21.95" customHeight="1" x14ac:dyDescent="0.15"/>
    <row r="27975" s="9" customFormat="1" ht="21.95" customHeight="1" x14ac:dyDescent="0.15"/>
    <row r="27976" s="9" customFormat="1" ht="21.95" customHeight="1" x14ac:dyDescent="0.15"/>
    <row r="27977" s="9" customFormat="1" ht="21.95" customHeight="1" x14ac:dyDescent="0.15"/>
    <row r="27978" s="9" customFormat="1" ht="21.95" customHeight="1" x14ac:dyDescent="0.15"/>
    <row r="27979" s="9" customFormat="1" ht="21.95" customHeight="1" x14ac:dyDescent="0.15"/>
    <row r="27980" s="9" customFormat="1" ht="21.95" customHeight="1" x14ac:dyDescent="0.15"/>
    <row r="27981" s="9" customFormat="1" ht="21.95" customHeight="1" x14ac:dyDescent="0.15"/>
    <row r="27982" s="9" customFormat="1" ht="21.95" customHeight="1" x14ac:dyDescent="0.15"/>
    <row r="27983" s="9" customFormat="1" ht="21.95" customHeight="1" x14ac:dyDescent="0.15"/>
    <row r="27984" s="9" customFormat="1" ht="21.95" customHeight="1" x14ac:dyDescent="0.15"/>
    <row r="27985" s="9" customFormat="1" ht="21.95" customHeight="1" x14ac:dyDescent="0.15"/>
    <row r="27986" s="9" customFormat="1" ht="21.95" customHeight="1" x14ac:dyDescent="0.15"/>
    <row r="27987" s="9" customFormat="1" ht="21.95" customHeight="1" x14ac:dyDescent="0.15"/>
    <row r="27988" s="9" customFormat="1" ht="21.95" customHeight="1" x14ac:dyDescent="0.15"/>
    <row r="27989" s="9" customFormat="1" ht="21.95" customHeight="1" x14ac:dyDescent="0.15"/>
    <row r="27990" s="9" customFormat="1" ht="21.95" customHeight="1" x14ac:dyDescent="0.15"/>
    <row r="27991" s="9" customFormat="1" ht="21.95" customHeight="1" x14ac:dyDescent="0.15"/>
    <row r="27992" s="9" customFormat="1" ht="21.95" customHeight="1" x14ac:dyDescent="0.15"/>
    <row r="27993" s="9" customFormat="1" ht="21.95" customHeight="1" x14ac:dyDescent="0.15"/>
    <row r="27994" s="9" customFormat="1" ht="21.95" customHeight="1" x14ac:dyDescent="0.15"/>
    <row r="27995" s="9" customFormat="1" ht="21.95" customHeight="1" x14ac:dyDescent="0.15"/>
    <row r="27996" s="9" customFormat="1" ht="21.95" customHeight="1" x14ac:dyDescent="0.15"/>
    <row r="27997" s="9" customFormat="1" ht="21.95" customHeight="1" x14ac:dyDescent="0.15"/>
    <row r="27998" s="9" customFormat="1" ht="21.95" customHeight="1" x14ac:dyDescent="0.15"/>
    <row r="27999" s="9" customFormat="1" ht="21.95" customHeight="1" x14ac:dyDescent="0.15"/>
    <row r="28000" s="9" customFormat="1" ht="21.95" customHeight="1" x14ac:dyDescent="0.15"/>
    <row r="28001" s="9" customFormat="1" ht="21.95" customHeight="1" x14ac:dyDescent="0.15"/>
    <row r="28002" s="9" customFormat="1" ht="21.95" customHeight="1" x14ac:dyDescent="0.15"/>
    <row r="28003" s="9" customFormat="1" ht="21.95" customHeight="1" x14ac:dyDescent="0.15"/>
    <row r="28004" s="9" customFormat="1" ht="21.95" customHeight="1" x14ac:dyDescent="0.15"/>
    <row r="28005" s="9" customFormat="1" ht="21.95" customHeight="1" x14ac:dyDescent="0.15"/>
    <row r="28006" s="9" customFormat="1" ht="21.95" customHeight="1" x14ac:dyDescent="0.15"/>
    <row r="28007" s="9" customFormat="1" ht="21.95" customHeight="1" x14ac:dyDescent="0.15"/>
    <row r="28008" s="9" customFormat="1" ht="21.95" customHeight="1" x14ac:dyDescent="0.15"/>
    <row r="28009" s="9" customFormat="1" ht="21.95" customHeight="1" x14ac:dyDescent="0.15"/>
    <row r="28010" s="9" customFormat="1" ht="21.95" customHeight="1" x14ac:dyDescent="0.15"/>
    <row r="28011" s="9" customFormat="1" ht="21.95" customHeight="1" x14ac:dyDescent="0.15"/>
    <row r="28012" s="9" customFormat="1" ht="21.95" customHeight="1" x14ac:dyDescent="0.15"/>
    <row r="28013" s="9" customFormat="1" ht="21.95" customHeight="1" x14ac:dyDescent="0.15"/>
    <row r="28014" s="9" customFormat="1" ht="21.95" customHeight="1" x14ac:dyDescent="0.15"/>
    <row r="28015" s="9" customFormat="1" ht="21.95" customHeight="1" x14ac:dyDescent="0.15"/>
    <row r="28016" s="9" customFormat="1" ht="21.95" customHeight="1" x14ac:dyDescent="0.15"/>
    <row r="28017" s="9" customFormat="1" ht="21.95" customHeight="1" x14ac:dyDescent="0.15"/>
    <row r="28018" s="9" customFormat="1" ht="21.95" customHeight="1" x14ac:dyDescent="0.15"/>
    <row r="28019" s="9" customFormat="1" ht="21.95" customHeight="1" x14ac:dyDescent="0.15"/>
    <row r="28020" s="9" customFormat="1" ht="21.95" customHeight="1" x14ac:dyDescent="0.15"/>
    <row r="28021" s="9" customFormat="1" ht="21.95" customHeight="1" x14ac:dyDescent="0.15"/>
    <row r="28022" s="9" customFormat="1" ht="35.1" customHeight="1" x14ac:dyDescent="0.15"/>
    <row r="28023" s="9" customFormat="1" ht="21.95" customHeight="1" x14ac:dyDescent="0.15"/>
    <row r="28024" s="9" customFormat="1" ht="21.95" customHeight="1" x14ac:dyDescent="0.15"/>
    <row r="28025" s="9" customFormat="1" ht="21.95" customHeight="1" x14ac:dyDescent="0.15"/>
    <row r="28026" s="9" customFormat="1" ht="21.95" customHeight="1" x14ac:dyDescent="0.15"/>
    <row r="28027" s="9" customFormat="1" ht="21.95" customHeight="1" x14ac:dyDescent="0.15"/>
    <row r="28028" s="9" customFormat="1" ht="21.95" customHeight="1" x14ac:dyDescent="0.15"/>
    <row r="28029" s="9" customFormat="1" ht="21.95" customHeight="1" x14ac:dyDescent="0.15"/>
    <row r="28030" s="9" customFormat="1" ht="21.95" customHeight="1" x14ac:dyDescent="0.15"/>
    <row r="28031" s="9" customFormat="1" ht="21.95" customHeight="1" x14ac:dyDescent="0.15"/>
    <row r="28032" s="9" customFormat="1" ht="21.95" customHeight="1" x14ac:dyDescent="0.15"/>
    <row r="28033" spans="3:3" s="9" customFormat="1" ht="21.95" customHeight="1" x14ac:dyDescent="0.15"/>
    <row r="28034" spans="3:3" s="9" customFormat="1" ht="21.95" customHeight="1" x14ac:dyDescent="0.15"/>
    <row r="28035" spans="3:3" s="9" customFormat="1" ht="21.95" customHeight="1" x14ac:dyDescent="0.15"/>
    <row r="28036" spans="3:3" s="9" customFormat="1" ht="21.95" customHeight="1" x14ac:dyDescent="0.15"/>
    <row r="28037" spans="3:3" s="9" customFormat="1" ht="21.95" customHeight="1" x14ac:dyDescent="0.15"/>
    <row r="28038" spans="3:3" s="9" customFormat="1" ht="21.95" customHeight="1" x14ac:dyDescent="0.15"/>
    <row r="28039" spans="3:3" s="9" customFormat="1" ht="21.95" customHeight="1" x14ac:dyDescent="0.15"/>
    <row r="28040" spans="3:3" s="9" customFormat="1" ht="21.95" customHeight="1" x14ac:dyDescent="0.15"/>
    <row r="28041" spans="3:3" s="9" customFormat="1" ht="21.95" customHeight="1" x14ac:dyDescent="0.15"/>
    <row r="28042" spans="3:3" s="9" customFormat="1" ht="21.95" customHeight="1" x14ac:dyDescent="0.15"/>
    <row r="28043" spans="3:3" s="9" customFormat="1" ht="21.95" customHeight="1" x14ac:dyDescent="0.15"/>
    <row r="28044" spans="3:3" s="9" customFormat="1" ht="21.95" customHeight="1" x14ac:dyDescent="0.15"/>
    <row r="28045" spans="3:3" s="9" customFormat="1" ht="21.95" customHeight="1" x14ac:dyDescent="0.15"/>
    <row r="28046" spans="3:3" s="8" customFormat="1" ht="21.95" customHeight="1" x14ac:dyDescent="0.15"/>
    <row r="28047" spans="3:3" s="8" customFormat="1" ht="21.95" customHeight="1" x14ac:dyDescent="0.15"/>
    <row r="28048" spans="3:3" s="8" customFormat="1" ht="21.95" customHeight="1" x14ac:dyDescent="0.15">
      <c r="C28048" s="101"/>
    </row>
    <row r="28049" spans="3:3" s="8" customFormat="1" ht="21.95" customHeight="1" x14ac:dyDescent="0.15">
      <c r="C28049" s="101"/>
    </row>
    <row r="28050" spans="3:3" s="8" customFormat="1" ht="21.95" customHeight="1" x14ac:dyDescent="0.15"/>
    <row r="28051" spans="3:3" s="8" customFormat="1" ht="21.95" customHeight="1" x14ac:dyDescent="0.15"/>
    <row r="28052" spans="3:3" s="8" customFormat="1" ht="21.95" customHeight="1" x14ac:dyDescent="0.15"/>
    <row r="28053" spans="3:3" s="8" customFormat="1" ht="21.95" customHeight="1" x14ac:dyDescent="0.15"/>
    <row r="28054" spans="3:3" s="8" customFormat="1" ht="21.95" customHeight="1" x14ac:dyDescent="0.15"/>
    <row r="28055" spans="3:3" s="8" customFormat="1" ht="21.95" customHeight="1" x14ac:dyDescent="0.15"/>
    <row r="28056" spans="3:3" s="8" customFormat="1" ht="21.95" customHeight="1" x14ac:dyDescent="0.15"/>
    <row r="28057" spans="3:3" s="9" customFormat="1" ht="21.95" customHeight="1" x14ac:dyDescent="0.15"/>
    <row r="28058" spans="3:3" s="9" customFormat="1" ht="21.95" customHeight="1" x14ac:dyDescent="0.15"/>
    <row r="28059" spans="3:3" s="9" customFormat="1" ht="21.95" customHeight="1" x14ac:dyDescent="0.15"/>
    <row r="28060" spans="3:3" s="9" customFormat="1" ht="21.95" customHeight="1" x14ac:dyDescent="0.15"/>
    <row r="28061" spans="3:3" s="8" customFormat="1" ht="21.95" customHeight="1" x14ac:dyDescent="0.15"/>
    <row r="28062" spans="3:3" s="8" customFormat="1" ht="21.95" customHeight="1" x14ac:dyDescent="0.15"/>
    <row r="28063" spans="3:3" s="8" customFormat="1" ht="21.95" customHeight="1" x14ac:dyDescent="0.15"/>
    <row r="28064" spans="3:3" s="8" customFormat="1" ht="21.95" customHeight="1" x14ac:dyDescent="0.15"/>
    <row r="28065" s="8" customFormat="1" ht="21.95" customHeight="1" x14ac:dyDescent="0.15"/>
    <row r="28066" s="8" customFormat="1" ht="21.95" customHeight="1" x14ac:dyDescent="0.15"/>
    <row r="28067" s="8" customFormat="1" ht="21.95" customHeight="1" x14ac:dyDescent="0.15"/>
    <row r="28068" s="8" customFormat="1" ht="21.95" customHeight="1" x14ac:dyDescent="0.15"/>
    <row r="28069" s="8" customFormat="1" ht="21.95" customHeight="1" x14ac:dyDescent="0.15"/>
    <row r="28070" s="8" customFormat="1" ht="21.95" customHeight="1" x14ac:dyDescent="0.15"/>
    <row r="28071" s="8" customFormat="1" ht="21.95" customHeight="1" x14ac:dyDescent="0.15"/>
    <row r="28072" s="8" customFormat="1" ht="32.1" customHeight="1" x14ac:dyDescent="0.15"/>
    <row r="28073" s="8" customFormat="1" ht="32.1" customHeight="1" x14ac:dyDescent="0.15"/>
    <row r="28074" s="8" customFormat="1" ht="32.1" customHeight="1" x14ac:dyDescent="0.15"/>
    <row r="28075" s="8" customFormat="1" ht="32.1" customHeight="1" x14ac:dyDescent="0.15"/>
    <row r="28076" s="8" customFormat="1" ht="32.1" customHeight="1" x14ac:dyDescent="0.15"/>
    <row r="28077" s="8" customFormat="1" ht="32.1" customHeight="1" x14ac:dyDescent="0.15"/>
    <row r="28078" s="9" customFormat="1" ht="32.1" customHeight="1" x14ac:dyDescent="0.15"/>
    <row r="28079" s="9" customFormat="1" ht="32.1" customHeight="1" x14ac:dyDescent="0.15"/>
    <row r="28080" s="9" customFormat="1" ht="32.1" customHeight="1" x14ac:dyDescent="0.15"/>
    <row r="28081" s="9" customFormat="1" ht="32.1" customHeight="1" x14ac:dyDescent="0.15"/>
    <row r="28082" s="9" customFormat="1" ht="21.95" customHeight="1" x14ac:dyDescent="0.15"/>
    <row r="28083" s="9" customFormat="1" ht="54" customHeight="1" x14ac:dyDescent="0.15"/>
    <row r="28084" s="9" customFormat="1" ht="21.95" customHeight="1" x14ac:dyDescent="0.15"/>
    <row r="28085" s="9" customFormat="1" ht="21.95" customHeight="1" x14ac:dyDescent="0.15"/>
    <row r="28086" s="9" customFormat="1" ht="21.95" customHeight="1" x14ac:dyDescent="0.15"/>
    <row r="28087" s="9" customFormat="1" ht="21.95" customHeight="1" x14ac:dyDescent="0.15"/>
    <row r="28088" s="9" customFormat="1" ht="21.95" customHeight="1" x14ac:dyDescent="0.15"/>
    <row r="28089" s="9" customFormat="1" ht="21.95" customHeight="1" x14ac:dyDescent="0.15"/>
    <row r="28090" s="9" customFormat="1" ht="21.95" customHeight="1" x14ac:dyDescent="0.15"/>
    <row r="28091" s="9" customFormat="1" ht="21.95" customHeight="1" x14ac:dyDescent="0.15"/>
    <row r="28092" s="9" customFormat="1" ht="21.95" customHeight="1" x14ac:dyDescent="0.15"/>
    <row r="28093" s="9" customFormat="1" ht="21.95" customHeight="1" x14ac:dyDescent="0.15"/>
    <row r="28094" s="9" customFormat="1" ht="21.95" customHeight="1" x14ac:dyDescent="0.15"/>
    <row r="28095" s="9" customFormat="1" ht="21.95" customHeight="1" x14ac:dyDescent="0.15"/>
    <row r="28096" s="9" customFormat="1" ht="21.95" customHeight="1" x14ac:dyDescent="0.15"/>
    <row r="28097" s="9" customFormat="1" ht="21.95" customHeight="1" x14ac:dyDescent="0.15"/>
    <row r="28098" s="9" customFormat="1" ht="21.95" customHeight="1" x14ac:dyDescent="0.15"/>
    <row r="28099" s="9" customFormat="1" ht="21.95" customHeight="1" x14ac:dyDescent="0.15"/>
    <row r="28100" s="9" customFormat="1" ht="21.95" customHeight="1" x14ac:dyDescent="0.15"/>
    <row r="28101" s="9" customFormat="1" ht="21.95" customHeight="1" x14ac:dyDescent="0.15"/>
    <row r="28102" s="9" customFormat="1" ht="21.95" customHeight="1" x14ac:dyDescent="0.15"/>
    <row r="28103" s="9" customFormat="1" ht="21.95" customHeight="1" x14ac:dyDescent="0.15"/>
    <row r="28104" s="9" customFormat="1" ht="21.95" customHeight="1" x14ac:dyDescent="0.15"/>
    <row r="28105" s="9" customFormat="1" ht="21.95" customHeight="1" x14ac:dyDescent="0.15"/>
    <row r="28106" s="9" customFormat="1" ht="21.95" customHeight="1" x14ac:dyDescent="0.15"/>
    <row r="28107" s="9" customFormat="1" ht="21.95" customHeight="1" x14ac:dyDescent="0.15"/>
    <row r="28108" s="9" customFormat="1" ht="21.95" customHeight="1" x14ac:dyDescent="0.15"/>
    <row r="28109" s="9" customFormat="1" ht="21.95" customHeight="1" x14ac:dyDescent="0.15"/>
    <row r="28110" s="9" customFormat="1" ht="21.95" customHeight="1" x14ac:dyDescent="0.15"/>
    <row r="28111" s="9" customFormat="1" ht="21.95" customHeight="1" x14ac:dyDescent="0.15"/>
    <row r="28112" s="9" customFormat="1" ht="21.95" customHeight="1" x14ac:dyDescent="0.15"/>
    <row r="28113" s="9" customFormat="1" ht="21.95" customHeight="1" x14ac:dyDescent="0.15"/>
    <row r="28114" s="9" customFormat="1" ht="21.95" customHeight="1" x14ac:dyDescent="0.15"/>
    <row r="28115" s="9" customFormat="1" ht="21.95" customHeight="1" x14ac:dyDescent="0.15"/>
    <row r="28116" s="9" customFormat="1" ht="21.95" customHeight="1" x14ac:dyDescent="0.15"/>
    <row r="28117" s="9" customFormat="1" ht="21.95" customHeight="1" x14ac:dyDescent="0.15"/>
    <row r="28118" s="9" customFormat="1" ht="21.95" customHeight="1" x14ac:dyDescent="0.15"/>
    <row r="28119" s="9" customFormat="1" ht="21.95" customHeight="1" x14ac:dyDescent="0.15"/>
    <row r="28120" s="9" customFormat="1" ht="21.95" customHeight="1" x14ac:dyDescent="0.15"/>
    <row r="28121" s="9" customFormat="1" ht="21.95" customHeight="1" x14ac:dyDescent="0.15"/>
    <row r="28122" s="9" customFormat="1" ht="21.95" customHeight="1" x14ac:dyDescent="0.15"/>
    <row r="28123" s="9" customFormat="1" ht="21.95" customHeight="1" x14ac:dyDescent="0.15"/>
    <row r="28124" s="9" customFormat="1" ht="21.95" customHeight="1" x14ac:dyDescent="0.15"/>
    <row r="28125" s="9" customFormat="1" ht="21.95" customHeight="1" x14ac:dyDescent="0.15"/>
    <row r="28126" s="9" customFormat="1" ht="21.95" customHeight="1" x14ac:dyDescent="0.15"/>
    <row r="28127" s="9" customFormat="1" ht="21.95" customHeight="1" x14ac:dyDescent="0.15"/>
    <row r="28128" s="9" customFormat="1" ht="21.95" customHeight="1" x14ac:dyDescent="0.15"/>
    <row r="28129" s="9" customFormat="1" ht="21.95" customHeight="1" x14ac:dyDescent="0.15"/>
    <row r="28130" s="9" customFormat="1" ht="21.95" customHeight="1" x14ac:dyDescent="0.15"/>
    <row r="28131" s="9" customFormat="1" ht="21.95" customHeight="1" x14ac:dyDescent="0.15"/>
    <row r="28132" s="9" customFormat="1" ht="21.95" customHeight="1" x14ac:dyDescent="0.15"/>
    <row r="28133" s="9" customFormat="1" ht="21.95" customHeight="1" x14ac:dyDescent="0.15"/>
    <row r="28134" s="9" customFormat="1" ht="35.1" customHeight="1" x14ac:dyDescent="0.15"/>
    <row r="28135" s="9" customFormat="1" ht="21.95" customHeight="1" x14ac:dyDescent="0.15"/>
    <row r="28136" s="9" customFormat="1" ht="21.95" customHeight="1" x14ac:dyDescent="0.15"/>
    <row r="28137" s="9" customFormat="1" ht="21.95" customHeight="1" x14ac:dyDescent="0.15"/>
    <row r="28138" s="9" customFormat="1" ht="21.95" customHeight="1" x14ac:dyDescent="0.15"/>
    <row r="28139" s="9" customFormat="1" ht="21.95" customHeight="1" x14ac:dyDescent="0.15"/>
    <row r="28140" s="9" customFormat="1" ht="21.95" customHeight="1" x14ac:dyDescent="0.15"/>
    <row r="28141" s="9" customFormat="1" ht="21.95" customHeight="1" x14ac:dyDescent="0.15"/>
    <row r="28142" s="9" customFormat="1" ht="21.95" customHeight="1" x14ac:dyDescent="0.15"/>
    <row r="28143" s="9" customFormat="1" ht="21.95" customHeight="1" x14ac:dyDescent="0.15"/>
    <row r="28144" s="9" customFormat="1" ht="21.95" customHeight="1" x14ac:dyDescent="0.15"/>
    <row r="28145" spans="3:3" s="9" customFormat="1" ht="21.95" customHeight="1" x14ac:dyDescent="0.15"/>
    <row r="28146" spans="3:3" s="9" customFormat="1" ht="21.95" customHeight="1" x14ac:dyDescent="0.15"/>
    <row r="28147" spans="3:3" s="9" customFormat="1" ht="21.95" customHeight="1" x14ac:dyDescent="0.15"/>
    <row r="28148" spans="3:3" s="9" customFormat="1" ht="21.95" customHeight="1" x14ac:dyDescent="0.15"/>
    <row r="28149" spans="3:3" s="9" customFormat="1" ht="21.95" customHeight="1" x14ac:dyDescent="0.15"/>
    <row r="28150" spans="3:3" s="9" customFormat="1" ht="21.95" customHeight="1" x14ac:dyDescent="0.15"/>
    <row r="28151" spans="3:3" s="9" customFormat="1" ht="21.95" customHeight="1" x14ac:dyDescent="0.15"/>
    <row r="28152" spans="3:3" s="9" customFormat="1" ht="21.95" customHeight="1" x14ac:dyDescent="0.15"/>
    <row r="28153" spans="3:3" s="9" customFormat="1" ht="21.95" customHeight="1" x14ac:dyDescent="0.15"/>
    <row r="28154" spans="3:3" s="9" customFormat="1" ht="21.95" customHeight="1" x14ac:dyDescent="0.15"/>
    <row r="28155" spans="3:3" s="9" customFormat="1" ht="21.95" customHeight="1" x14ac:dyDescent="0.15"/>
    <row r="28156" spans="3:3" s="9" customFormat="1" ht="21.95" customHeight="1" x14ac:dyDescent="0.15"/>
    <row r="28157" spans="3:3" s="9" customFormat="1" ht="21.95" customHeight="1" x14ac:dyDescent="0.15"/>
    <row r="28158" spans="3:3" s="8" customFormat="1" ht="21.95" customHeight="1" x14ac:dyDescent="0.15"/>
    <row r="28159" spans="3:3" s="8" customFormat="1" ht="21.95" customHeight="1" x14ac:dyDescent="0.15"/>
    <row r="28160" spans="3:3" s="8" customFormat="1" ht="21.95" customHeight="1" x14ac:dyDescent="0.15">
      <c r="C28160" s="101"/>
    </row>
    <row r="28161" spans="3:3" s="8" customFormat="1" ht="21.95" customHeight="1" x14ac:dyDescent="0.15">
      <c r="C28161" s="101"/>
    </row>
    <row r="28162" spans="3:3" s="8" customFormat="1" ht="21.95" customHeight="1" x14ac:dyDescent="0.15"/>
    <row r="28163" spans="3:3" s="8" customFormat="1" ht="21.95" customHeight="1" x14ac:dyDescent="0.15"/>
    <row r="28164" spans="3:3" s="8" customFormat="1" ht="21.95" customHeight="1" x14ac:dyDescent="0.15"/>
    <row r="28165" spans="3:3" s="8" customFormat="1" ht="21.95" customHeight="1" x14ac:dyDescent="0.15"/>
    <row r="28166" spans="3:3" s="8" customFormat="1" ht="21.95" customHeight="1" x14ac:dyDescent="0.15"/>
    <row r="28167" spans="3:3" s="8" customFormat="1" ht="21.95" customHeight="1" x14ac:dyDescent="0.15"/>
    <row r="28168" spans="3:3" s="8" customFormat="1" ht="21.95" customHeight="1" x14ac:dyDescent="0.15"/>
    <row r="28169" spans="3:3" s="9" customFormat="1" ht="21.95" customHeight="1" x14ac:dyDescent="0.15"/>
    <row r="28170" spans="3:3" s="9" customFormat="1" ht="21.95" customHeight="1" x14ac:dyDescent="0.15"/>
    <row r="28171" spans="3:3" s="9" customFormat="1" ht="21.95" customHeight="1" x14ac:dyDescent="0.15"/>
    <row r="28172" spans="3:3" s="9" customFormat="1" ht="21.95" customHeight="1" x14ac:dyDescent="0.15"/>
    <row r="28173" spans="3:3" s="8" customFormat="1" ht="21.95" customHeight="1" x14ac:dyDescent="0.15"/>
    <row r="28174" spans="3:3" s="8" customFormat="1" ht="21.95" customHeight="1" x14ac:dyDescent="0.15"/>
    <row r="28175" spans="3:3" s="8" customFormat="1" ht="21.95" customHeight="1" x14ac:dyDescent="0.15"/>
    <row r="28176" spans="3:3" s="8" customFormat="1" ht="21.95" customHeight="1" x14ac:dyDescent="0.15"/>
    <row r="28177" s="8" customFormat="1" ht="21.95" customHeight="1" x14ac:dyDescent="0.15"/>
    <row r="28178" s="8" customFormat="1" ht="21.95" customHeight="1" x14ac:dyDescent="0.15"/>
    <row r="28179" s="8" customFormat="1" ht="21.95" customHeight="1" x14ac:dyDescent="0.15"/>
    <row r="28180" s="8" customFormat="1" ht="21.95" customHeight="1" x14ac:dyDescent="0.15"/>
    <row r="28181" s="8" customFormat="1" ht="21.95" customHeight="1" x14ac:dyDescent="0.15"/>
    <row r="28182" s="8" customFormat="1" ht="21.95" customHeight="1" x14ac:dyDescent="0.15"/>
    <row r="28183" s="8" customFormat="1" ht="21.95" customHeight="1" x14ac:dyDescent="0.15"/>
    <row r="28184" s="8" customFormat="1" ht="32.1" customHeight="1" x14ac:dyDescent="0.15"/>
    <row r="28185" s="8" customFormat="1" ht="32.1" customHeight="1" x14ac:dyDescent="0.15"/>
    <row r="28186" s="8" customFormat="1" ht="32.1" customHeight="1" x14ac:dyDescent="0.15"/>
    <row r="28187" s="8" customFormat="1" ht="32.1" customHeight="1" x14ac:dyDescent="0.15"/>
    <row r="28188" s="8" customFormat="1" ht="32.1" customHeight="1" x14ac:dyDescent="0.15"/>
    <row r="28189" s="8" customFormat="1" ht="32.1" customHeight="1" x14ac:dyDescent="0.15"/>
    <row r="28190" s="9" customFormat="1" ht="32.1" customHeight="1" x14ac:dyDescent="0.15"/>
    <row r="28191" s="9" customFormat="1" ht="32.1" customHeight="1" x14ac:dyDescent="0.15"/>
    <row r="28192" s="9" customFormat="1" ht="32.1" customHeight="1" x14ac:dyDescent="0.15"/>
    <row r="28193" s="9" customFormat="1" ht="32.1" customHeight="1" x14ac:dyDescent="0.15"/>
    <row r="28194" s="9" customFormat="1" ht="21.95" customHeight="1" x14ac:dyDescent="0.15"/>
    <row r="28195" s="9" customFormat="1" ht="54" customHeight="1" x14ac:dyDescent="0.15"/>
    <row r="28196" s="9" customFormat="1" ht="21.95" customHeight="1" x14ac:dyDescent="0.15"/>
    <row r="28197" s="9" customFormat="1" ht="21.95" customHeight="1" x14ac:dyDescent="0.15"/>
    <row r="28198" s="9" customFormat="1" ht="21.95" customHeight="1" x14ac:dyDescent="0.15"/>
    <row r="28199" s="9" customFormat="1" ht="21.95" customHeight="1" x14ac:dyDescent="0.15"/>
    <row r="28200" s="9" customFormat="1" ht="21.95" customHeight="1" x14ac:dyDescent="0.15"/>
    <row r="28201" s="9" customFormat="1" ht="21.95" customHeight="1" x14ac:dyDescent="0.15"/>
    <row r="28202" s="9" customFormat="1" ht="21.95" customHeight="1" x14ac:dyDescent="0.15"/>
    <row r="28203" s="9" customFormat="1" ht="21.95" customHeight="1" x14ac:dyDescent="0.15"/>
    <row r="28204" s="9" customFormat="1" ht="21.95" customHeight="1" x14ac:dyDescent="0.15"/>
    <row r="28205" s="9" customFormat="1" ht="21.95" customHeight="1" x14ac:dyDescent="0.15"/>
    <row r="28206" s="9" customFormat="1" ht="21.95" customHeight="1" x14ac:dyDescent="0.15"/>
    <row r="28207" s="9" customFormat="1" ht="21.95" customHeight="1" x14ac:dyDescent="0.15"/>
    <row r="28208" s="9" customFormat="1" ht="21.95" customHeight="1" x14ac:dyDescent="0.15"/>
    <row r="28209" s="9" customFormat="1" ht="21.95" customHeight="1" x14ac:dyDescent="0.15"/>
    <row r="28210" s="9" customFormat="1" ht="21.95" customHeight="1" x14ac:dyDescent="0.15"/>
    <row r="28211" s="9" customFormat="1" ht="21.95" customHeight="1" x14ac:dyDescent="0.15"/>
    <row r="28212" s="9" customFormat="1" ht="21.95" customHeight="1" x14ac:dyDescent="0.15"/>
    <row r="28213" s="9" customFormat="1" ht="21.95" customHeight="1" x14ac:dyDescent="0.15"/>
    <row r="28214" s="9" customFormat="1" ht="21.95" customHeight="1" x14ac:dyDescent="0.15"/>
    <row r="28215" s="9" customFormat="1" ht="21.95" customHeight="1" x14ac:dyDescent="0.15"/>
    <row r="28216" s="9" customFormat="1" ht="21.95" customHeight="1" x14ac:dyDescent="0.15"/>
    <row r="28217" s="9" customFormat="1" ht="21.95" customHeight="1" x14ac:dyDescent="0.15"/>
    <row r="28218" s="9" customFormat="1" ht="21.95" customHeight="1" x14ac:dyDescent="0.15"/>
    <row r="28219" s="9" customFormat="1" ht="21.95" customHeight="1" x14ac:dyDescent="0.15"/>
    <row r="28220" s="9" customFormat="1" ht="21.95" customHeight="1" x14ac:dyDescent="0.15"/>
    <row r="28221" s="9" customFormat="1" ht="21.95" customHeight="1" x14ac:dyDescent="0.15"/>
    <row r="28222" s="9" customFormat="1" ht="21.95" customHeight="1" x14ac:dyDescent="0.15"/>
    <row r="28223" s="9" customFormat="1" ht="21.95" customHeight="1" x14ac:dyDescent="0.15"/>
    <row r="28224" s="9" customFormat="1" ht="21.95" customHeight="1" x14ac:dyDescent="0.15"/>
    <row r="28225" s="9" customFormat="1" ht="21.95" customHeight="1" x14ac:dyDescent="0.15"/>
    <row r="28226" s="9" customFormat="1" ht="21.95" customHeight="1" x14ac:dyDescent="0.15"/>
    <row r="28227" s="9" customFormat="1" ht="21.95" customHeight="1" x14ac:dyDescent="0.15"/>
    <row r="28228" s="9" customFormat="1" ht="21.95" customHeight="1" x14ac:dyDescent="0.15"/>
    <row r="28229" s="9" customFormat="1" ht="21.95" customHeight="1" x14ac:dyDescent="0.15"/>
    <row r="28230" s="9" customFormat="1" ht="21.95" customHeight="1" x14ac:dyDescent="0.15"/>
    <row r="28231" s="9" customFormat="1" ht="21.95" customHeight="1" x14ac:dyDescent="0.15"/>
    <row r="28232" s="9" customFormat="1" ht="21.95" customHeight="1" x14ac:dyDescent="0.15"/>
    <row r="28233" s="9" customFormat="1" ht="21.95" customHeight="1" x14ac:dyDescent="0.15"/>
    <row r="28234" s="9" customFormat="1" ht="21.95" customHeight="1" x14ac:dyDescent="0.15"/>
    <row r="28235" s="9" customFormat="1" ht="21.95" customHeight="1" x14ac:dyDescent="0.15"/>
    <row r="28236" s="9" customFormat="1" ht="21.95" customHeight="1" x14ac:dyDescent="0.15"/>
    <row r="28237" s="9" customFormat="1" ht="21.95" customHeight="1" x14ac:dyDescent="0.15"/>
    <row r="28238" s="9" customFormat="1" ht="21.95" customHeight="1" x14ac:dyDescent="0.15"/>
    <row r="28239" s="9" customFormat="1" ht="21.95" customHeight="1" x14ac:dyDescent="0.15"/>
    <row r="28240" s="9" customFormat="1" ht="21.95" customHeight="1" x14ac:dyDescent="0.15"/>
    <row r="28241" s="9" customFormat="1" ht="21.95" customHeight="1" x14ac:dyDescent="0.15"/>
    <row r="28242" s="9" customFormat="1" ht="21.95" customHeight="1" x14ac:dyDescent="0.15"/>
    <row r="28243" s="9" customFormat="1" ht="21.95" customHeight="1" x14ac:dyDescent="0.15"/>
    <row r="28244" s="9" customFormat="1" ht="21.95" customHeight="1" x14ac:dyDescent="0.15"/>
    <row r="28245" s="9" customFormat="1" ht="21.95" customHeight="1" x14ac:dyDescent="0.15"/>
    <row r="28246" s="9" customFormat="1" ht="35.1" customHeight="1" x14ac:dyDescent="0.15"/>
    <row r="28247" s="9" customFormat="1" ht="21.95" customHeight="1" x14ac:dyDescent="0.15"/>
    <row r="28248" s="9" customFormat="1" ht="21.95" customHeight="1" x14ac:dyDescent="0.15"/>
    <row r="28249" s="9" customFormat="1" ht="21.95" customHeight="1" x14ac:dyDescent="0.15"/>
    <row r="28250" s="9" customFormat="1" ht="21.95" customHeight="1" x14ac:dyDescent="0.15"/>
    <row r="28251" s="9" customFormat="1" ht="21.95" customHeight="1" x14ac:dyDescent="0.15"/>
    <row r="28252" s="9" customFormat="1" ht="21.95" customHeight="1" x14ac:dyDescent="0.15"/>
    <row r="28253" s="9" customFormat="1" ht="21.95" customHeight="1" x14ac:dyDescent="0.15"/>
    <row r="28254" s="9" customFormat="1" ht="21.95" customHeight="1" x14ac:dyDescent="0.15"/>
    <row r="28255" s="9" customFormat="1" ht="21.95" customHeight="1" x14ac:dyDescent="0.15"/>
    <row r="28256" s="9" customFormat="1" ht="21.95" customHeight="1" x14ac:dyDescent="0.15"/>
    <row r="28257" spans="3:3" s="9" customFormat="1" ht="21.95" customHeight="1" x14ac:dyDescent="0.15"/>
    <row r="28258" spans="3:3" s="9" customFormat="1" ht="21.95" customHeight="1" x14ac:dyDescent="0.15"/>
    <row r="28259" spans="3:3" s="9" customFormat="1" ht="21.95" customHeight="1" x14ac:dyDescent="0.15"/>
    <row r="28260" spans="3:3" s="9" customFormat="1" ht="21.95" customHeight="1" x14ac:dyDescent="0.15"/>
    <row r="28261" spans="3:3" s="9" customFormat="1" ht="21.95" customHeight="1" x14ac:dyDescent="0.15"/>
    <row r="28262" spans="3:3" s="9" customFormat="1" ht="21.95" customHeight="1" x14ac:dyDescent="0.15"/>
    <row r="28263" spans="3:3" s="9" customFormat="1" ht="21.95" customHeight="1" x14ac:dyDescent="0.15"/>
    <row r="28264" spans="3:3" s="9" customFormat="1" ht="21.95" customHeight="1" x14ac:dyDescent="0.15"/>
    <row r="28265" spans="3:3" s="9" customFormat="1" ht="21.95" customHeight="1" x14ac:dyDescent="0.15"/>
    <row r="28266" spans="3:3" s="9" customFormat="1" ht="21.95" customHeight="1" x14ac:dyDescent="0.15"/>
    <row r="28267" spans="3:3" s="9" customFormat="1" ht="21.95" customHeight="1" x14ac:dyDescent="0.15"/>
    <row r="28268" spans="3:3" s="9" customFormat="1" ht="21.95" customHeight="1" x14ac:dyDescent="0.15"/>
    <row r="28269" spans="3:3" s="9" customFormat="1" ht="21.95" customHeight="1" x14ac:dyDescent="0.15"/>
    <row r="28270" spans="3:3" s="8" customFormat="1" ht="21.95" customHeight="1" x14ac:dyDescent="0.15"/>
    <row r="28271" spans="3:3" s="8" customFormat="1" ht="21.95" customHeight="1" x14ac:dyDescent="0.15"/>
    <row r="28272" spans="3:3" s="8" customFormat="1" ht="21.95" customHeight="1" x14ac:dyDescent="0.15">
      <c r="C28272" s="101"/>
    </row>
    <row r="28273" spans="3:3" s="8" customFormat="1" ht="21.95" customHeight="1" x14ac:dyDescent="0.15">
      <c r="C28273" s="101"/>
    </row>
    <row r="28274" spans="3:3" s="8" customFormat="1" ht="21.95" customHeight="1" x14ac:dyDescent="0.15"/>
    <row r="28275" spans="3:3" s="8" customFormat="1" ht="21.95" customHeight="1" x14ac:dyDescent="0.15"/>
    <row r="28276" spans="3:3" s="8" customFormat="1" ht="21.95" customHeight="1" x14ac:dyDescent="0.15"/>
    <row r="28277" spans="3:3" s="8" customFormat="1" ht="21.95" customHeight="1" x14ac:dyDescent="0.15"/>
    <row r="28278" spans="3:3" s="8" customFormat="1" ht="21.95" customHeight="1" x14ac:dyDescent="0.15"/>
    <row r="28279" spans="3:3" s="8" customFormat="1" ht="21.95" customHeight="1" x14ac:dyDescent="0.15"/>
    <row r="28280" spans="3:3" s="8" customFormat="1" ht="21.95" customHeight="1" x14ac:dyDescent="0.15"/>
    <row r="28281" spans="3:3" s="9" customFormat="1" ht="21.95" customHeight="1" x14ac:dyDescent="0.15"/>
    <row r="28282" spans="3:3" s="9" customFormat="1" ht="21.95" customHeight="1" x14ac:dyDescent="0.15"/>
    <row r="28283" spans="3:3" s="9" customFormat="1" ht="21.95" customHeight="1" x14ac:dyDescent="0.15"/>
    <row r="28284" spans="3:3" s="9" customFormat="1" ht="21.95" customHeight="1" x14ac:dyDescent="0.15"/>
    <row r="28285" spans="3:3" s="8" customFormat="1" ht="21.95" customHeight="1" x14ac:dyDescent="0.15"/>
    <row r="28286" spans="3:3" s="8" customFormat="1" ht="21.95" customHeight="1" x14ac:dyDescent="0.15"/>
    <row r="28287" spans="3:3" s="8" customFormat="1" ht="21.95" customHeight="1" x14ac:dyDescent="0.15"/>
    <row r="28288" spans="3:3" s="8" customFormat="1" ht="21.95" customHeight="1" x14ac:dyDescent="0.15"/>
    <row r="28289" s="8" customFormat="1" ht="21.95" customHeight="1" x14ac:dyDescent="0.15"/>
    <row r="28290" s="8" customFormat="1" ht="21.95" customHeight="1" x14ac:dyDescent="0.15"/>
    <row r="28291" s="8" customFormat="1" ht="21.95" customHeight="1" x14ac:dyDescent="0.15"/>
    <row r="28292" s="8" customFormat="1" ht="21.95" customHeight="1" x14ac:dyDescent="0.15"/>
    <row r="28293" s="8" customFormat="1" ht="21.95" customHeight="1" x14ac:dyDescent="0.15"/>
    <row r="28294" s="8" customFormat="1" ht="21.95" customHeight="1" x14ac:dyDescent="0.15"/>
    <row r="28295" s="8" customFormat="1" ht="21.95" customHeight="1" x14ac:dyDescent="0.15"/>
    <row r="28296" s="8" customFormat="1" ht="32.1" customHeight="1" x14ac:dyDescent="0.15"/>
    <row r="28297" s="8" customFormat="1" ht="32.1" customHeight="1" x14ac:dyDescent="0.15"/>
    <row r="28298" s="8" customFormat="1" ht="32.1" customHeight="1" x14ac:dyDescent="0.15"/>
    <row r="28299" s="8" customFormat="1" ht="32.1" customHeight="1" x14ac:dyDescent="0.15"/>
    <row r="28300" s="8" customFormat="1" ht="32.1" customHeight="1" x14ac:dyDescent="0.15"/>
    <row r="28301" s="8" customFormat="1" ht="32.1" customHeight="1" x14ac:dyDescent="0.15"/>
    <row r="28302" s="9" customFormat="1" ht="32.1" customHeight="1" x14ac:dyDescent="0.15"/>
    <row r="28303" s="9" customFormat="1" ht="32.1" customHeight="1" x14ac:dyDescent="0.15"/>
    <row r="28304" s="9" customFormat="1" ht="32.1" customHeight="1" x14ac:dyDescent="0.15"/>
    <row r="28305" s="9" customFormat="1" ht="32.1" customHeight="1" x14ac:dyDescent="0.15"/>
    <row r="28306" s="9" customFormat="1" ht="21.95" customHeight="1" x14ac:dyDescent="0.15"/>
    <row r="28307" s="9" customFormat="1" ht="54" customHeight="1" x14ac:dyDescent="0.15"/>
    <row r="28308" s="9" customFormat="1" ht="21.95" customHeight="1" x14ac:dyDescent="0.15"/>
    <row r="28309" s="9" customFormat="1" ht="21.95" customHeight="1" x14ac:dyDescent="0.15"/>
    <row r="28310" s="9" customFormat="1" ht="21.95" customHeight="1" x14ac:dyDescent="0.15"/>
    <row r="28311" s="9" customFormat="1" ht="21.95" customHeight="1" x14ac:dyDescent="0.15"/>
    <row r="28312" s="9" customFormat="1" ht="21.95" customHeight="1" x14ac:dyDescent="0.15"/>
    <row r="28313" s="9" customFormat="1" ht="21.95" customHeight="1" x14ac:dyDescent="0.15"/>
    <row r="28314" s="9" customFormat="1" ht="21.95" customHeight="1" x14ac:dyDescent="0.15"/>
    <row r="28315" s="9" customFormat="1" ht="21.95" customHeight="1" x14ac:dyDescent="0.15"/>
    <row r="28316" s="9" customFormat="1" ht="21.95" customHeight="1" x14ac:dyDescent="0.15"/>
    <row r="28317" s="9" customFormat="1" ht="21.95" customHeight="1" x14ac:dyDescent="0.15"/>
    <row r="28318" s="9" customFormat="1" ht="21.95" customHeight="1" x14ac:dyDescent="0.15"/>
    <row r="28319" s="9" customFormat="1" ht="21.95" customHeight="1" x14ac:dyDescent="0.15"/>
    <row r="28320" s="9" customFormat="1" ht="21.95" customHeight="1" x14ac:dyDescent="0.15"/>
    <row r="28321" s="9" customFormat="1" ht="21.95" customHeight="1" x14ac:dyDescent="0.15"/>
    <row r="28322" s="9" customFormat="1" ht="21.95" customHeight="1" x14ac:dyDescent="0.15"/>
    <row r="28323" s="9" customFormat="1" ht="21.95" customHeight="1" x14ac:dyDescent="0.15"/>
    <row r="28324" s="9" customFormat="1" ht="21.95" customHeight="1" x14ac:dyDescent="0.15"/>
    <row r="28325" s="9" customFormat="1" ht="21.95" customHeight="1" x14ac:dyDescent="0.15"/>
    <row r="28326" s="9" customFormat="1" ht="21.95" customHeight="1" x14ac:dyDescent="0.15"/>
    <row r="28327" s="9" customFormat="1" ht="21.95" customHeight="1" x14ac:dyDescent="0.15"/>
    <row r="28328" s="9" customFormat="1" ht="21.95" customHeight="1" x14ac:dyDescent="0.15"/>
    <row r="28329" s="9" customFormat="1" ht="21.95" customHeight="1" x14ac:dyDescent="0.15"/>
    <row r="28330" s="9" customFormat="1" ht="21.95" customHeight="1" x14ac:dyDescent="0.15"/>
    <row r="28331" s="9" customFormat="1" ht="21.95" customHeight="1" x14ac:dyDescent="0.15"/>
    <row r="28332" s="9" customFormat="1" ht="21.95" customHeight="1" x14ac:dyDescent="0.15"/>
    <row r="28333" s="9" customFormat="1" ht="21.95" customHeight="1" x14ac:dyDescent="0.15"/>
    <row r="28334" s="9" customFormat="1" ht="21.95" customHeight="1" x14ac:dyDescent="0.15"/>
    <row r="28335" s="9" customFormat="1" ht="21.95" customHeight="1" x14ac:dyDescent="0.15"/>
    <row r="28336" s="9" customFormat="1" ht="21.95" customHeight="1" x14ac:dyDescent="0.15"/>
    <row r="28337" s="9" customFormat="1" ht="21.95" customHeight="1" x14ac:dyDescent="0.15"/>
    <row r="28338" s="9" customFormat="1" ht="21.95" customHeight="1" x14ac:dyDescent="0.15"/>
    <row r="28339" s="9" customFormat="1" ht="21.95" customHeight="1" x14ac:dyDescent="0.15"/>
    <row r="28340" s="9" customFormat="1" ht="21.95" customHeight="1" x14ac:dyDescent="0.15"/>
    <row r="28341" s="9" customFormat="1" ht="21.95" customHeight="1" x14ac:dyDescent="0.15"/>
    <row r="28342" s="9" customFormat="1" ht="21.95" customHeight="1" x14ac:dyDescent="0.15"/>
    <row r="28343" s="9" customFormat="1" ht="21.95" customHeight="1" x14ac:dyDescent="0.15"/>
    <row r="28344" s="9" customFormat="1" ht="21.95" customHeight="1" x14ac:dyDescent="0.15"/>
    <row r="28345" s="9" customFormat="1" ht="21.95" customHeight="1" x14ac:dyDescent="0.15"/>
    <row r="28346" s="9" customFormat="1" ht="21.95" customHeight="1" x14ac:dyDescent="0.15"/>
    <row r="28347" s="9" customFormat="1" ht="21.95" customHeight="1" x14ac:dyDescent="0.15"/>
    <row r="28348" s="9" customFormat="1" ht="21.95" customHeight="1" x14ac:dyDescent="0.15"/>
    <row r="28349" s="9" customFormat="1" ht="21.95" customHeight="1" x14ac:dyDescent="0.15"/>
    <row r="28350" s="9" customFormat="1" ht="21.95" customHeight="1" x14ac:dyDescent="0.15"/>
    <row r="28351" s="9" customFormat="1" ht="21.95" customHeight="1" x14ac:dyDescent="0.15"/>
    <row r="28352" s="9" customFormat="1" ht="21.95" customHeight="1" x14ac:dyDescent="0.15"/>
    <row r="28353" s="9" customFormat="1" ht="21.95" customHeight="1" x14ac:dyDescent="0.15"/>
    <row r="28354" s="9" customFormat="1" ht="21.95" customHeight="1" x14ac:dyDescent="0.15"/>
    <row r="28355" s="9" customFormat="1" ht="21.95" customHeight="1" x14ac:dyDescent="0.15"/>
    <row r="28356" s="9" customFormat="1" ht="21.95" customHeight="1" x14ac:dyDescent="0.15"/>
    <row r="28357" s="9" customFormat="1" ht="21.95" customHeight="1" x14ac:dyDescent="0.15"/>
    <row r="28358" s="9" customFormat="1" ht="35.1" customHeight="1" x14ac:dyDescent="0.15"/>
    <row r="28359" s="9" customFormat="1" ht="21.95" customHeight="1" x14ac:dyDescent="0.15"/>
    <row r="28360" s="9" customFormat="1" ht="21.95" customHeight="1" x14ac:dyDescent="0.15"/>
    <row r="28361" s="9" customFormat="1" ht="21.95" customHeight="1" x14ac:dyDescent="0.15"/>
    <row r="28362" s="9" customFormat="1" ht="21.95" customHeight="1" x14ac:dyDescent="0.15"/>
    <row r="28363" s="9" customFormat="1" ht="21.95" customHeight="1" x14ac:dyDescent="0.15"/>
    <row r="28364" s="9" customFormat="1" ht="21.95" customHeight="1" x14ac:dyDescent="0.15"/>
    <row r="28365" s="9" customFormat="1" ht="21.95" customHeight="1" x14ac:dyDescent="0.15"/>
    <row r="28366" s="9" customFormat="1" ht="21.95" customHeight="1" x14ac:dyDescent="0.15"/>
    <row r="28367" s="9" customFormat="1" ht="21.95" customHeight="1" x14ac:dyDescent="0.15"/>
    <row r="28368" s="9" customFormat="1" ht="21.95" customHeight="1" x14ac:dyDescent="0.15"/>
    <row r="28369" spans="3:3" s="9" customFormat="1" ht="21.95" customHeight="1" x14ac:dyDescent="0.15"/>
    <row r="28370" spans="3:3" s="9" customFormat="1" ht="21.95" customHeight="1" x14ac:dyDescent="0.15"/>
    <row r="28371" spans="3:3" s="9" customFormat="1" ht="21.95" customHeight="1" x14ac:dyDescent="0.15"/>
    <row r="28372" spans="3:3" s="9" customFormat="1" ht="21.95" customHeight="1" x14ac:dyDescent="0.15"/>
    <row r="28373" spans="3:3" s="9" customFormat="1" ht="21.95" customHeight="1" x14ac:dyDescent="0.15"/>
    <row r="28374" spans="3:3" s="9" customFormat="1" ht="21.95" customHeight="1" x14ac:dyDescent="0.15"/>
    <row r="28375" spans="3:3" s="9" customFormat="1" ht="21.95" customHeight="1" x14ac:dyDescent="0.15"/>
    <row r="28376" spans="3:3" s="9" customFormat="1" ht="21.95" customHeight="1" x14ac:dyDescent="0.15"/>
    <row r="28377" spans="3:3" s="9" customFormat="1" ht="21.95" customHeight="1" x14ac:dyDescent="0.15"/>
    <row r="28378" spans="3:3" s="9" customFormat="1" ht="21.95" customHeight="1" x14ac:dyDescent="0.15"/>
    <row r="28379" spans="3:3" s="9" customFormat="1" ht="21.95" customHeight="1" x14ac:dyDescent="0.15"/>
    <row r="28380" spans="3:3" s="9" customFormat="1" ht="21.95" customHeight="1" x14ac:dyDescent="0.15"/>
    <row r="28381" spans="3:3" s="9" customFormat="1" ht="21.95" customHeight="1" x14ac:dyDescent="0.15"/>
    <row r="28382" spans="3:3" s="8" customFormat="1" ht="21.95" customHeight="1" x14ac:dyDescent="0.15"/>
    <row r="28383" spans="3:3" s="8" customFormat="1" ht="21.95" customHeight="1" x14ac:dyDescent="0.15"/>
    <row r="28384" spans="3:3" s="8" customFormat="1" ht="21.95" customHeight="1" x14ac:dyDescent="0.15">
      <c r="C28384" s="101"/>
    </row>
    <row r="28385" spans="3:3" s="8" customFormat="1" ht="21.95" customHeight="1" x14ac:dyDescent="0.15">
      <c r="C28385" s="101"/>
    </row>
    <row r="28386" spans="3:3" s="8" customFormat="1" ht="21.95" customHeight="1" x14ac:dyDescent="0.15"/>
    <row r="28387" spans="3:3" s="8" customFormat="1" ht="21.95" customHeight="1" x14ac:dyDescent="0.15"/>
    <row r="28388" spans="3:3" s="8" customFormat="1" ht="21.95" customHeight="1" x14ac:dyDescent="0.15"/>
    <row r="28389" spans="3:3" s="8" customFormat="1" ht="21.95" customHeight="1" x14ac:dyDescent="0.15"/>
    <row r="28390" spans="3:3" s="8" customFormat="1" ht="21.95" customHeight="1" x14ac:dyDescent="0.15"/>
    <row r="28391" spans="3:3" s="8" customFormat="1" ht="21.95" customHeight="1" x14ac:dyDescent="0.15"/>
    <row r="28392" spans="3:3" s="8" customFormat="1" ht="21.95" customHeight="1" x14ac:dyDescent="0.15"/>
    <row r="28393" spans="3:3" s="9" customFormat="1" ht="21.95" customHeight="1" x14ac:dyDescent="0.15"/>
    <row r="28394" spans="3:3" s="9" customFormat="1" ht="21.95" customHeight="1" x14ac:dyDescent="0.15"/>
    <row r="28395" spans="3:3" s="9" customFormat="1" ht="21.95" customHeight="1" x14ac:dyDescent="0.15"/>
    <row r="28396" spans="3:3" s="9" customFormat="1" ht="21.95" customHeight="1" x14ac:dyDescent="0.15"/>
    <row r="28397" spans="3:3" s="8" customFormat="1" ht="21.95" customHeight="1" x14ac:dyDescent="0.15"/>
    <row r="28398" spans="3:3" s="8" customFormat="1" ht="21.95" customHeight="1" x14ac:dyDescent="0.15"/>
    <row r="28399" spans="3:3" s="8" customFormat="1" ht="21.95" customHeight="1" x14ac:dyDescent="0.15"/>
    <row r="28400" spans="3:3" s="8" customFormat="1" ht="21.95" customHeight="1" x14ac:dyDescent="0.15"/>
    <row r="28401" s="8" customFormat="1" ht="21.95" customHeight="1" x14ac:dyDescent="0.15"/>
    <row r="28402" s="8" customFormat="1" ht="21.95" customHeight="1" x14ac:dyDescent="0.15"/>
    <row r="28403" s="8" customFormat="1" ht="21.95" customHeight="1" x14ac:dyDescent="0.15"/>
    <row r="28404" s="8" customFormat="1" ht="21.95" customHeight="1" x14ac:dyDescent="0.15"/>
    <row r="28405" s="8" customFormat="1" ht="21.95" customHeight="1" x14ac:dyDescent="0.15"/>
    <row r="28406" s="8" customFormat="1" ht="21.95" customHeight="1" x14ac:dyDescent="0.15"/>
    <row r="28407" s="8" customFormat="1" ht="21.95" customHeight="1" x14ac:dyDescent="0.15"/>
    <row r="28408" s="8" customFormat="1" ht="32.1" customHeight="1" x14ac:dyDescent="0.15"/>
    <row r="28409" s="8" customFormat="1" ht="32.1" customHeight="1" x14ac:dyDescent="0.15"/>
    <row r="28410" s="8" customFormat="1" ht="32.1" customHeight="1" x14ac:dyDescent="0.15"/>
    <row r="28411" s="8" customFormat="1" ht="32.1" customHeight="1" x14ac:dyDescent="0.15"/>
    <row r="28412" s="8" customFormat="1" ht="32.1" customHeight="1" x14ac:dyDescent="0.15"/>
    <row r="28413" s="8" customFormat="1" ht="32.1" customHeight="1" x14ac:dyDescent="0.15"/>
    <row r="28414" s="9" customFormat="1" ht="32.1" customHeight="1" x14ac:dyDescent="0.15"/>
    <row r="28415" s="9" customFormat="1" ht="32.1" customHeight="1" x14ac:dyDescent="0.15"/>
    <row r="28416" s="9" customFormat="1" ht="32.1" customHeight="1" x14ac:dyDescent="0.15"/>
    <row r="28417" s="9" customFormat="1" ht="32.1" customHeight="1" x14ac:dyDescent="0.15"/>
    <row r="28418" s="9" customFormat="1" ht="21.95" customHeight="1" x14ac:dyDescent="0.15"/>
    <row r="28419" s="9" customFormat="1" ht="54" customHeight="1" x14ac:dyDescent="0.15"/>
    <row r="28420" s="9" customFormat="1" ht="21.95" customHeight="1" x14ac:dyDescent="0.15"/>
    <row r="28421" s="9" customFormat="1" ht="21.95" customHeight="1" x14ac:dyDescent="0.15"/>
    <row r="28422" s="9" customFormat="1" ht="21.95" customHeight="1" x14ac:dyDescent="0.15"/>
    <row r="28423" s="9" customFormat="1" ht="21.95" customHeight="1" x14ac:dyDescent="0.15"/>
    <row r="28424" s="9" customFormat="1" ht="21.95" customHeight="1" x14ac:dyDescent="0.15"/>
    <row r="28425" s="9" customFormat="1" ht="21.95" customHeight="1" x14ac:dyDescent="0.15"/>
    <row r="28426" s="9" customFormat="1" ht="21.95" customHeight="1" x14ac:dyDescent="0.15"/>
    <row r="28427" s="9" customFormat="1" ht="21.95" customHeight="1" x14ac:dyDescent="0.15"/>
    <row r="28428" s="9" customFormat="1" ht="21.95" customHeight="1" x14ac:dyDescent="0.15"/>
    <row r="28429" s="9" customFormat="1" ht="21.95" customHeight="1" x14ac:dyDescent="0.15"/>
    <row r="28430" s="9" customFormat="1" ht="21.95" customHeight="1" x14ac:dyDescent="0.15"/>
    <row r="28431" s="9" customFormat="1" ht="21.95" customHeight="1" x14ac:dyDescent="0.15"/>
    <row r="28432" s="9" customFormat="1" ht="21.95" customHeight="1" x14ac:dyDescent="0.15"/>
    <row r="28433" s="9" customFormat="1" ht="21.95" customHeight="1" x14ac:dyDescent="0.15"/>
    <row r="28434" s="9" customFormat="1" ht="21.95" customHeight="1" x14ac:dyDescent="0.15"/>
    <row r="28435" s="9" customFormat="1" ht="21.95" customHeight="1" x14ac:dyDescent="0.15"/>
    <row r="28436" s="9" customFormat="1" ht="21.95" customHeight="1" x14ac:dyDescent="0.15"/>
    <row r="28437" s="9" customFormat="1" ht="21.95" customHeight="1" x14ac:dyDescent="0.15"/>
    <row r="28438" s="9" customFormat="1" ht="21.95" customHeight="1" x14ac:dyDescent="0.15"/>
    <row r="28439" s="9" customFormat="1" ht="21.95" customHeight="1" x14ac:dyDescent="0.15"/>
    <row r="28440" s="9" customFormat="1" ht="21.95" customHeight="1" x14ac:dyDescent="0.15"/>
    <row r="28441" s="9" customFormat="1" ht="21.95" customHeight="1" x14ac:dyDescent="0.15"/>
    <row r="28442" s="9" customFormat="1" ht="21.95" customHeight="1" x14ac:dyDescent="0.15"/>
    <row r="28443" s="9" customFormat="1" ht="21.95" customHeight="1" x14ac:dyDescent="0.15"/>
    <row r="28444" s="9" customFormat="1" ht="21.95" customHeight="1" x14ac:dyDescent="0.15"/>
    <row r="28445" s="9" customFormat="1" ht="21.95" customHeight="1" x14ac:dyDescent="0.15"/>
    <row r="28446" s="9" customFormat="1" ht="21.95" customHeight="1" x14ac:dyDescent="0.15"/>
    <row r="28447" s="9" customFormat="1" ht="21.95" customHeight="1" x14ac:dyDescent="0.15"/>
    <row r="28448" s="9" customFormat="1" ht="21.95" customHeight="1" x14ac:dyDescent="0.15"/>
    <row r="28449" s="9" customFormat="1" ht="21.95" customHeight="1" x14ac:dyDescent="0.15"/>
    <row r="28450" s="9" customFormat="1" ht="21.95" customHeight="1" x14ac:dyDescent="0.15"/>
    <row r="28451" s="9" customFormat="1" ht="21.95" customHeight="1" x14ac:dyDescent="0.15"/>
    <row r="28452" s="9" customFormat="1" ht="21.95" customHeight="1" x14ac:dyDescent="0.15"/>
    <row r="28453" s="9" customFormat="1" ht="21.95" customHeight="1" x14ac:dyDescent="0.15"/>
    <row r="28454" s="9" customFormat="1" ht="21.95" customHeight="1" x14ac:dyDescent="0.15"/>
    <row r="28455" s="9" customFormat="1" ht="21.95" customHeight="1" x14ac:dyDescent="0.15"/>
    <row r="28456" s="9" customFormat="1" ht="21.95" customHeight="1" x14ac:dyDescent="0.15"/>
    <row r="28457" s="9" customFormat="1" ht="21.95" customHeight="1" x14ac:dyDescent="0.15"/>
    <row r="28458" s="9" customFormat="1" ht="21.95" customHeight="1" x14ac:dyDescent="0.15"/>
    <row r="28459" s="9" customFormat="1" ht="21.95" customHeight="1" x14ac:dyDescent="0.15"/>
    <row r="28460" s="9" customFormat="1" ht="21.95" customHeight="1" x14ac:dyDescent="0.15"/>
    <row r="28461" s="9" customFormat="1" ht="21.95" customHeight="1" x14ac:dyDescent="0.15"/>
    <row r="28462" s="9" customFormat="1" ht="21.95" customHeight="1" x14ac:dyDescent="0.15"/>
    <row r="28463" s="9" customFormat="1" ht="21.95" customHeight="1" x14ac:dyDescent="0.15"/>
    <row r="28464" s="9" customFormat="1" ht="21.95" customHeight="1" x14ac:dyDescent="0.15"/>
    <row r="28465" s="9" customFormat="1" ht="21.95" customHeight="1" x14ac:dyDescent="0.15"/>
    <row r="28466" s="9" customFormat="1" ht="21.95" customHeight="1" x14ac:dyDescent="0.15"/>
    <row r="28467" s="9" customFormat="1" ht="21.95" customHeight="1" x14ac:dyDescent="0.15"/>
    <row r="28468" s="9" customFormat="1" ht="21.95" customHeight="1" x14ac:dyDescent="0.15"/>
    <row r="28469" s="9" customFormat="1" ht="21.95" customHeight="1" x14ac:dyDescent="0.15"/>
    <row r="28470" s="9" customFormat="1" ht="35.1" customHeight="1" x14ac:dyDescent="0.15"/>
    <row r="28471" s="9" customFormat="1" ht="21.95" customHeight="1" x14ac:dyDescent="0.15"/>
    <row r="28472" s="9" customFormat="1" ht="21.95" customHeight="1" x14ac:dyDescent="0.15"/>
    <row r="28473" s="9" customFormat="1" ht="21.95" customHeight="1" x14ac:dyDescent="0.15"/>
    <row r="28474" s="9" customFormat="1" ht="21.95" customHeight="1" x14ac:dyDescent="0.15"/>
    <row r="28475" s="9" customFormat="1" ht="21.95" customHeight="1" x14ac:dyDescent="0.15"/>
    <row r="28476" s="9" customFormat="1" ht="21.95" customHeight="1" x14ac:dyDescent="0.15"/>
    <row r="28477" s="9" customFormat="1" ht="21.95" customHeight="1" x14ac:dyDescent="0.15"/>
    <row r="28478" s="9" customFormat="1" ht="21.95" customHeight="1" x14ac:dyDescent="0.15"/>
    <row r="28479" s="9" customFormat="1" ht="21.95" customHeight="1" x14ac:dyDescent="0.15"/>
    <row r="28480" s="9" customFormat="1" ht="21.95" customHeight="1" x14ac:dyDescent="0.15"/>
    <row r="28481" spans="3:3" s="9" customFormat="1" ht="21.95" customHeight="1" x14ac:dyDescent="0.15"/>
    <row r="28482" spans="3:3" s="9" customFormat="1" ht="21.95" customHeight="1" x14ac:dyDescent="0.15"/>
    <row r="28483" spans="3:3" s="9" customFormat="1" ht="21.95" customHeight="1" x14ac:dyDescent="0.15"/>
    <row r="28484" spans="3:3" s="9" customFormat="1" ht="21.95" customHeight="1" x14ac:dyDescent="0.15"/>
    <row r="28485" spans="3:3" s="9" customFormat="1" ht="21.95" customHeight="1" x14ac:dyDescent="0.15"/>
    <row r="28486" spans="3:3" s="9" customFormat="1" ht="21.95" customHeight="1" x14ac:dyDescent="0.15"/>
    <row r="28487" spans="3:3" s="9" customFormat="1" ht="21.95" customHeight="1" x14ac:dyDescent="0.15"/>
    <row r="28488" spans="3:3" s="9" customFormat="1" ht="21.95" customHeight="1" x14ac:dyDescent="0.15"/>
    <row r="28489" spans="3:3" s="9" customFormat="1" ht="21.95" customHeight="1" x14ac:dyDescent="0.15"/>
    <row r="28490" spans="3:3" s="9" customFormat="1" ht="21.95" customHeight="1" x14ac:dyDescent="0.15"/>
    <row r="28491" spans="3:3" s="9" customFormat="1" ht="21.95" customHeight="1" x14ac:dyDescent="0.15"/>
    <row r="28492" spans="3:3" s="9" customFormat="1" ht="21.95" customHeight="1" x14ac:dyDescent="0.15"/>
    <row r="28493" spans="3:3" s="9" customFormat="1" ht="21.95" customHeight="1" x14ac:dyDescent="0.15"/>
    <row r="28494" spans="3:3" s="8" customFormat="1" ht="21.95" customHeight="1" x14ac:dyDescent="0.15"/>
    <row r="28495" spans="3:3" s="8" customFormat="1" ht="21.95" customHeight="1" x14ac:dyDescent="0.15"/>
    <row r="28496" spans="3:3" s="8" customFormat="1" ht="21.95" customHeight="1" x14ac:dyDescent="0.15">
      <c r="C28496" s="101"/>
    </row>
    <row r="28497" spans="3:3" s="8" customFormat="1" ht="21.95" customHeight="1" x14ac:dyDescent="0.15">
      <c r="C28497" s="101"/>
    </row>
    <row r="28498" spans="3:3" s="8" customFormat="1" ht="21.95" customHeight="1" x14ac:dyDescent="0.15"/>
    <row r="28499" spans="3:3" s="8" customFormat="1" ht="21.95" customHeight="1" x14ac:dyDescent="0.15"/>
    <row r="28500" spans="3:3" s="8" customFormat="1" ht="21.95" customHeight="1" x14ac:dyDescent="0.15"/>
    <row r="28501" spans="3:3" s="8" customFormat="1" ht="21.95" customHeight="1" x14ac:dyDescent="0.15"/>
    <row r="28502" spans="3:3" s="8" customFormat="1" ht="21.95" customHeight="1" x14ac:dyDescent="0.15"/>
    <row r="28503" spans="3:3" s="8" customFormat="1" ht="21.95" customHeight="1" x14ac:dyDescent="0.15"/>
    <row r="28504" spans="3:3" s="8" customFormat="1" ht="21.95" customHeight="1" x14ac:dyDescent="0.15"/>
    <row r="28505" spans="3:3" s="9" customFormat="1" ht="21.95" customHeight="1" x14ac:dyDescent="0.15"/>
    <row r="28506" spans="3:3" s="9" customFormat="1" ht="21.95" customHeight="1" x14ac:dyDescent="0.15"/>
    <row r="28507" spans="3:3" s="9" customFormat="1" ht="21.95" customHeight="1" x14ac:dyDescent="0.15"/>
    <row r="28508" spans="3:3" s="9" customFormat="1" ht="21.95" customHeight="1" x14ac:dyDescent="0.15"/>
    <row r="28509" spans="3:3" s="8" customFormat="1" ht="21.95" customHeight="1" x14ac:dyDescent="0.15"/>
    <row r="28510" spans="3:3" s="8" customFormat="1" ht="21.95" customHeight="1" x14ac:dyDescent="0.15"/>
    <row r="28511" spans="3:3" s="8" customFormat="1" ht="21.95" customHeight="1" x14ac:dyDescent="0.15"/>
    <row r="28512" spans="3:3" s="8" customFormat="1" ht="21.95" customHeight="1" x14ac:dyDescent="0.15"/>
    <row r="28513" s="8" customFormat="1" ht="21.95" customHeight="1" x14ac:dyDescent="0.15"/>
    <row r="28514" s="8" customFormat="1" ht="21.95" customHeight="1" x14ac:dyDescent="0.15"/>
    <row r="28515" s="8" customFormat="1" ht="21.95" customHeight="1" x14ac:dyDescent="0.15"/>
    <row r="28516" s="8" customFormat="1" ht="21.95" customHeight="1" x14ac:dyDescent="0.15"/>
    <row r="28517" s="8" customFormat="1" ht="21.95" customHeight="1" x14ac:dyDescent="0.15"/>
    <row r="28518" s="8" customFormat="1" ht="21.95" customHeight="1" x14ac:dyDescent="0.15"/>
    <row r="28519" s="8" customFormat="1" ht="21.95" customHeight="1" x14ac:dyDescent="0.15"/>
    <row r="28520" s="8" customFormat="1" ht="32.1" customHeight="1" x14ac:dyDescent="0.15"/>
    <row r="28521" s="8" customFormat="1" ht="32.1" customHeight="1" x14ac:dyDescent="0.15"/>
    <row r="28522" s="8" customFormat="1" ht="32.1" customHeight="1" x14ac:dyDescent="0.15"/>
    <row r="28523" s="8" customFormat="1" ht="32.1" customHeight="1" x14ac:dyDescent="0.15"/>
    <row r="28524" s="8" customFormat="1" ht="32.1" customHeight="1" x14ac:dyDescent="0.15"/>
    <row r="28525" s="8" customFormat="1" ht="32.1" customHeight="1" x14ac:dyDescent="0.15"/>
    <row r="28526" s="9" customFormat="1" ht="32.1" customHeight="1" x14ac:dyDescent="0.15"/>
    <row r="28527" s="9" customFormat="1" ht="32.1" customHeight="1" x14ac:dyDescent="0.15"/>
    <row r="28528" s="9" customFormat="1" ht="32.1" customHeight="1" x14ac:dyDescent="0.15"/>
    <row r="28529" s="9" customFormat="1" ht="32.1" customHeight="1" x14ac:dyDescent="0.15"/>
    <row r="28530" s="9" customFormat="1" ht="21.95" customHeight="1" x14ac:dyDescent="0.15"/>
    <row r="28531" s="9" customFormat="1" ht="54" customHeight="1" x14ac:dyDescent="0.15"/>
    <row r="28532" s="9" customFormat="1" ht="21.95" customHeight="1" x14ac:dyDescent="0.15"/>
    <row r="28533" s="9" customFormat="1" ht="21.95" customHeight="1" x14ac:dyDescent="0.15"/>
    <row r="28534" s="9" customFormat="1" ht="21.95" customHeight="1" x14ac:dyDescent="0.15"/>
    <row r="28535" s="9" customFormat="1" ht="21.95" customHeight="1" x14ac:dyDescent="0.15"/>
    <row r="28536" s="9" customFormat="1" ht="21.95" customHeight="1" x14ac:dyDescent="0.15"/>
    <row r="28537" s="9" customFormat="1" ht="21.95" customHeight="1" x14ac:dyDescent="0.15"/>
    <row r="28538" s="9" customFormat="1" ht="21.95" customHeight="1" x14ac:dyDescent="0.15"/>
    <row r="28539" s="9" customFormat="1" ht="21.95" customHeight="1" x14ac:dyDescent="0.15"/>
    <row r="28540" s="9" customFormat="1" ht="21.95" customHeight="1" x14ac:dyDescent="0.15"/>
    <row r="28541" s="9" customFormat="1" ht="21.95" customHeight="1" x14ac:dyDescent="0.15"/>
    <row r="28542" s="9" customFormat="1" ht="21.95" customHeight="1" x14ac:dyDescent="0.15"/>
    <row r="28543" s="9" customFormat="1" ht="21.95" customHeight="1" x14ac:dyDescent="0.15"/>
    <row r="28544" s="9" customFormat="1" ht="21.95" customHeight="1" x14ac:dyDescent="0.15"/>
    <row r="28545" s="9" customFormat="1" ht="21.95" customHeight="1" x14ac:dyDescent="0.15"/>
    <row r="28546" s="9" customFormat="1" ht="21.95" customHeight="1" x14ac:dyDescent="0.15"/>
    <row r="28547" s="9" customFormat="1" ht="21.95" customHeight="1" x14ac:dyDescent="0.15"/>
    <row r="28548" s="9" customFormat="1" ht="21.95" customHeight="1" x14ac:dyDescent="0.15"/>
    <row r="28549" s="9" customFormat="1" ht="21.95" customHeight="1" x14ac:dyDescent="0.15"/>
    <row r="28550" s="9" customFormat="1" ht="21.95" customHeight="1" x14ac:dyDescent="0.15"/>
    <row r="28551" s="9" customFormat="1" ht="21.95" customHeight="1" x14ac:dyDescent="0.15"/>
    <row r="28552" s="9" customFormat="1" ht="21.95" customHeight="1" x14ac:dyDescent="0.15"/>
    <row r="28553" s="9" customFormat="1" ht="21.95" customHeight="1" x14ac:dyDescent="0.15"/>
    <row r="28554" s="9" customFormat="1" ht="21.95" customHeight="1" x14ac:dyDescent="0.15"/>
    <row r="28555" s="9" customFormat="1" ht="21.95" customHeight="1" x14ac:dyDescent="0.15"/>
    <row r="28556" s="9" customFormat="1" ht="21.95" customHeight="1" x14ac:dyDescent="0.15"/>
    <row r="28557" s="9" customFormat="1" ht="21.95" customHeight="1" x14ac:dyDescent="0.15"/>
    <row r="28558" s="9" customFormat="1" ht="21.95" customHeight="1" x14ac:dyDescent="0.15"/>
    <row r="28559" s="9" customFormat="1" ht="21.95" customHeight="1" x14ac:dyDescent="0.15"/>
    <row r="28560" s="9" customFormat="1" ht="21.95" customHeight="1" x14ac:dyDescent="0.15"/>
    <row r="28561" s="9" customFormat="1" ht="21.95" customHeight="1" x14ac:dyDescent="0.15"/>
    <row r="28562" s="9" customFormat="1" ht="21.95" customHeight="1" x14ac:dyDescent="0.15"/>
    <row r="28563" s="9" customFormat="1" ht="21.95" customHeight="1" x14ac:dyDescent="0.15"/>
    <row r="28564" s="9" customFormat="1" ht="21.95" customHeight="1" x14ac:dyDescent="0.15"/>
    <row r="28565" s="9" customFormat="1" ht="21.95" customHeight="1" x14ac:dyDescent="0.15"/>
    <row r="28566" s="9" customFormat="1" ht="21.95" customHeight="1" x14ac:dyDescent="0.15"/>
    <row r="28567" s="9" customFormat="1" ht="21.95" customHeight="1" x14ac:dyDescent="0.15"/>
    <row r="28568" s="9" customFormat="1" ht="21.95" customHeight="1" x14ac:dyDescent="0.15"/>
    <row r="28569" s="9" customFormat="1" ht="21.95" customHeight="1" x14ac:dyDescent="0.15"/>
    <row r="28570" s="9" customFormat="1" ht="21.95" customHeight="1" x14ac:dyDescent="0.15"/>
    <row r="28571" s="9" customFormat="1" ht="21.95" customHeight="1" x14ac:dyDescent="0.15"/>
    <row r="28572" s="9" customFormat="1" ht="21.95" customHeight="1" x14ac:dyDescent="0.15"/>
    <row r="28573" s="9" customFormat="1" ht="21.95" customHeight="1" x14ac:dyDescent="0.15"/>
    <row r="28574" s="9" customFormat="1" ht="21.95" customHeight="1" x14ac:dyDescent="0.15"/>
    <row r="28575" s="9" customFormat="1" ht="21.95" customHeight="1" x14ac:dyDescent="0.15"/>
    <row r="28576" s="9" customFormat="1" ht="21.95" customHeight="1" x14ac:dyDescent="0.15"/>
    <row r="28577" s="9" customFormat="1" ht="21.95" customHeight="1" x14ac:dyDescent="0.15"/>
    <row r="28578" s="9" customFormat="1" ht="21.95" customHeight="1" x14ac:dyDescent="0.15"/>
    <row r="28579" s="9" customFormat="1" ht="21.95" customHeight="1" x14ac:dyDescent="0.15"/>
    <row r="28580" s="9" customFormat="1" ht="21.95" customHeight="1" x14ac:dyDescent="0.15"/>
    <row r="28581" s="9" customFormat="1" ht="21.95" customHeight="1" x14ac:dyDescent="0.15"/>
    <row r="28582" s="9" customFormat="1" ht="35.1" customHeight="1" x14ac:dyDescent="0.15"/>
    <row r="28583" s="9" customFormat="1" ht="21.95" customHeight="1" x14ac:dyDescent="0.15"/>
    <row r="28584" s="9" customFormat="1" ht="21.95" customHeight="1" x14ac:dyDescent="0.15"/>
    <row r="28585" s="9" customFormat="1" ht="21.95" customHeight="1" x14ac:dyDescent="0.15"/>
    <row r="28586" s="9" customFormat="1" ht="21.95" customHeight="1" x14ac:dyDescent="0.15"/>
    <row r="28587" s="9" customFormat="1" ht="21.95" customHeight="1" x14ac:dyDescent="0.15"/>
    <row r="28588" s="9" customFormat="1" ht="21.95" customHeight="1" x14ac:dyDescent="0.15"/>
    <row r="28589" s="9" customFormat="1" ht="21.95" customHeight="1" x14ac:dyDescent="0.15"/>
    <row r="28590" s="9" customFormat="1" ht="21.95" customHeight="1" x14ac:dyDescent="0.15"/>
    <row r="28591" s="9" customFormat="1" ht="21.95" customHeight="1" x14ac:dyDescent="0.15"/>
    <row r="28592" s="9" customFormat="1" ht="21.95" customHeight="1" x14ac:dyDescent="0.15"/>
    <row r="28593" spans="3:3" s="9" customFormat="1" ht="21.95" customHeight="1" x14ac:dyDescent="0.15"/>
    <row r="28594" spans="3:3" s="9" customFormat="1" ht="21.95" customHeight="1" x14ac:dyDescent="0.15"/>
    <row r="28595" spans="3:3" s="9" customFormat="1" ht="21.95" customHeight="1" x14ac:dyDescent="0.15"/>
    <row r="28596" spans="3:3" s="9" customFormat="1" ht="21.95" customHeight="1" x14ac:dyDescent="0.15"/>
    <row r="28597" spans="3:3" s="9" customFormat="1" ht="21.95" customHeight="1" x14ac:dyDescent="0.15"/>
    <row r="28598" spans="3:3" s="9" customFormat="1" ht="21.95" customHeight="1" x14ac:dyDescent="0.15"/>
    <row r="28599" spans="3:3" s="9" customFormat="1" ht="21.95" customHeight="1" x14ac:dyDescent="0.15"/>
    <row r="28600" spans="3:3" s="9" customFormat="1" ht="21.95" customHeight="1" x14ac:dyDescent="0.15"/>
    <row r="28601" spans="3:3" s="9" customFormat="1" ht="21.95" customHeight="1" x14ac:dyDescent="0.15"/>
    <row r="28602" spans="3:3" s="9" customFormat="1" ht="21.95" customHeight="1" x14ac:dyDescent="0.15"/>
    <row r="28603" spans="3:3" s="9" customFormat="1" ht="21.95" customHeight="1" x14ac:dyDescent="0.15"/>
    <row r="28604" spans="3:3" s="9" customFormat="1" ht="21.95" customHeight="1" x14ac:dyDescent="0.15"/>
    <row r="28605" spans="3:3" s="9" customFormat="1" ht="21.95" customHeight="1" x14ac:dyDescent="0.15"/>
    <row r="28606" spans="3:3" s="8" customFormat="1" ht="21.95" customHeight="1" x14ac:dyDescent="0.15"/>
    <row r="28607" spans="3:3" s="8" customFormat="1" ht="21.95" customHeight="1" x14ac:dyDescent="0.15"/>
    <row r="28608" spans="3:3" s="8" customFormat="1" ht="21.95" customHeight="1" x14ac:dyDescent="0.15">
      <c r="C28608" s="101"/>
    </row>
    <row r="28609" spans="3:3" s="8" customFormat="1" ht="21.95" customHeight="1" x14ac:dyDescent="0.15">
      <c r="C28609" s="101"/>
    </row>
    <row r="28610" spans="3:3" s="8" customFormat="1" ht="21.95" customHeight="1" x14ac:dyDescent="0.15"/>
    <row r="28611" spans="3:3" s="8" customFormat="1" ht="21.95" customHeight="1" x14ac:dyDescent="0.15"/>
    <row r="28612" spans="3:3" s="8" customFormat="1" ht="21.95" customHeight="1" x14ac:dyDescent="0.15"/>
    <row r="28613" spans="3:3" s="8" customFormat="1" ht="21.95" customHeight="1" x14ac:dyDescent="0.15"/>
    <row r="28614" spans="3:3" s="8" customFormat="1" ht="21.95" customHeight="1" x14ac:dyDescent="0.15"/>
    <row r="28615" spans="3:3" s="8" customFormat="1" ht="21.95" customHeight="1" x14ac:dyDescent="0.15"/>
    <row r="28616" spans="3:3" s="8" customFormat="1" ht="21.95" customHeight="1" x14ac:dyDescent="0.15"/>
    <row r="28617" spans="3:3" s="9" customFormat="1" ht="21.95" customHeight="1" x14ac:dyDescent="0.15"/>
    <row r="28618" spans="3:3" s="9" customFormat="1" ht="21.95" customHeight="1" x14ac:dyDescent="0.15"/>
    <row r="28619" spans="3:3" s="9" customFormat="1" ht="21.95" customHeight="1" x14ac:dyDescent="0.15"/>
    <row r="28620" spans="3:3" s="9" customFormat="1" ht="21.95" customHeight="1" x14ac:dyDescent="0.15"/>
    <row r="28621" spans="3:3" s="8" customFormat="1" ht="21.95" customHeight="1" x14ac:dyDescent="0.15"/>
    <row r="28622" spans="3:3" s="8" customFormat="1" ht="21.95" customHeight="1" x14ac:dyDescent="0.15"/>
    <row r="28623" spans="3:3" s="8" customFormat="1" ht="21.95" customHeight="1" x14ac:dyDescent="0.15"/>
    <row r="28624" spans="3:3" s="8" customFormat="1" ht="21.95" customHeight="1" x14ac:dyDescent="0.15"/>
    <row r="28625" s="8" customFormat="1" ht="21.95" customHeight="1" x14ac:dyDescent="0.15"/>
    <row r="28626" s="8" customFormat="1" ht="21.95" customHeight="1" x14ac:dyDescent="0.15"/>
    <row r="28627" s="8" customFormat="1" ht="21.95" customHeight="1" x14ac:dyDescent="0.15"/>
    <row r="28628" s="8" customFormat="1" ht="21.95" customHeight="1" x14ac:dyDescent="0.15"/>
    <row r="28629" s="8" customFormat="1" ht="21.95" customHeight="1" x14ac:dyDescent="0.15"/>
    <row r="28630" s="8" customFormat="1" ht="21.95" customHeight="1" x14ac:dyDescent="0.15"/>
    <row r="28631" s="8" customFormat="1" ht="21.95" customHeight="1" x14ac:dyDescent="0.15"/>
    <row r="28632" s="8" customFormat="1" ht="32.1" customHeight="1" x14ac:dyDescent="0.15"/>
    <row r="28633" s="8" customFormat="1" ht="32.1" customHeight="1" x14ac:dyDescent="0.15"/>
    <row r="28634" s="8" customFormat="1" ht="32.1" customHeight="1" x14ac:dyDescent="0.15"/>
    <row r="28635" s="8" customFormat="1" ht="32.1" customHeight="1" x14ac:dyDescent="0.15"/>
    <row r="28636" s="8" customFormat="1" ht="32.1" customHeight="1" x14ac:dyDescent="0.15"/>
    <row r="28637" s="8" customFormat="1" ht="32.1" customHeight="1" x14ac:dyDescent="0.15"/>
    <row r="28638" s="9" customFormat="1" ht="32.1" customHeight="1" x14ac:dyDescent="0.15"/>
    <row r="28639" s="9" customFormat="1" ht="32.1" customHeight="1" x14ac:dyDescent="0.15"/>
    <row r="28640" s="9" customFormat="1" ht="32.1" customHeight="1" x14ac:dyDescent="0.15"/>
    <row r="28641" s="9" customFormat="1" ht="32.1" customHeight="1" x14ac:dyDescent="0.15"/>
    <row r="28642" s="9" customFormat="1" ht="21.95" customHeight="1" x14ac:dyDescent="0.15"/>
    <row r="28643" s="9" customFormat="1" ht="54" customHeight="1" x14ac:dyDescent="0.15"/>
    <row r="28644" s="9" customFormat="1" ht="21.95" customHeight="1" x14ac:dyDescent="0.15"/>
    <row r="28645" s="9" customFormat="1" ht="21.95" customHeight="1" x14ac:dyDescent="0.15"/>
    <row r="28646" s="9" customFormat="1" ht="21.95" customHeight="1" x14ac:dyDescent="0.15"/>
    <row r="28647" s="9" customFormat="1" ht="21.95" customHeight="1" x14ac:dyDescent="0.15"/>
    <row r="28648" s="9" customFormat="1" ht="21.95" customHeight="1" x14ac:dyDescent="0.15"/>
    <row r="28649" s="9" customFormat="1" ht="21.95" customHeight="1" x14ac:dyDescent="0.15"/>
    <row r="28650" s="9" customFormat="1" ht="21.95" customHeight="1" x14ac:dyDescent="0.15"/>
    <row r="28651" s="9" customFormat="1" ht="21.95" customHeight="1" x14ac:dyDescent="0.15"/>
    <row r="28652" s="9" customFormat="1" ht="21.95" customHeight="1" x14ac:dyDescent="0.15"/>
    <row r="28653" s="9" customFormat="1" ht="21.95" customHeight="1" x14ac:dyDescent="0.15"/>
    <row r="28654" s="9" customFormat="1" ht="21.95" customHeight="1" x14ac:dyDescent="0.15"/>
    <row r="28655" s="9" customFormat="1" ht="21.95" customHeight="1" x14ac:dyDescent="0.15"/>
    <row r="28656" s="9" customFormat="1" ht="21.95" customHeight="1" x14ac:dyDescent="0.15"/>
    <row r="28657" s="9" customFormat="1" ht="21.95" customHeight="1" x14ac:dyDescent="0.15"/>
    <row r="28658" s="9" customFormat="1" ht="21.95" customHeight="1" x14ac:dyDescent="0.15"/>
    <row r="28659" s="9" customFormat="1" ht="21.95" customHeight="1" x14ac:dyDescent="0.15"/>
    <row r="28660" s="9" customFormat="1" ht="21.95" customHeight="1" x14ac:dyDescent="0.15"/>
    <row r="28661" s="9" customFormat="1" ht="21.95" customHeight="1" x14ac:dyDescent="0.15"/>
    <row r="28662" s="9" customFormat="1" ht="21.95" customHeight="1" x14ac:dyDescent="0.15"/>
    <row r="28663" s="9" customFormat="1" ht="21.95" customHeight="1" x14ac:dyDescent="0.15"/>
    <row r="28664" s="9" customFormat="1" ht="21.95" customHeight="1" x14ac:dyDescent="0.15"/>
    <row r="28665" s="9" customFormat="1" ht="21.95" customHeight="1" x14ac:dyDescent="0.15"/>
    <row r="28666" s="9" customFormat="1" ht="21.95" customHeight="1" x14ac:dyDescent="0.15"/>
    <row r="28667" s="9" customFormat="1" ht="21.95" customHeight="1" x14ac:dyDescent="0.15"/>
    <row r="28668" s="9" customFormat="1" ht="21.95" customHeight="1" x14ac:dyDescent="0.15"/>
    <row r="28669" s="9" customFormat="1" ht="21.95" customHeight="1" x14ac:dyDescent="0.15"/>
    <row r="28670" s="9" customFormat="1" ht="21.95" customHeight="1" x14ac:dyDescent="0.15"/>
    <row r="28671" s="9" customFormat="1" ht="21.95" customHeight="1" x14ac:dyDescent="0.15"/>
    <row r="28672" s="9" customFormat="1" ht="21.95" customHeight="1" x14ac:dyDescent="0.15"/>
    <row r="28673" s="9" customFormat="1" ht="21.95" customHeight="1" x14ac:dyDescent="0.15"/>
    <row r="28674" s="9" customFormat="1" ht="21.95" customHeight="1" x14ac:dyDescent="0.15"/>
    <row r="28675" s="9" customFormat="1" ht="21.95" customHeight="1" x14ac:dyDescent="0.15"/>
    <row r="28676" s="9" customFormat="1" ht="21.95" customHeight="1" x14ac:dyDescent="0.15"/>
    <row r="28677" s="9" customFormat="1" ht="21.95" customHeight="1" x14ac:dyDescent="0.15"/>
    <row r="28678" s="9" customFormat="1" ht="21.95" customHeight="1" x14ac:dyDescent="0.15"/>
    <row r="28679" s="9" customFormat="1" ht="21.95" customHeight="1" x14ac:dyDescent="0.15"/>
    <row r="28680" s="9" customFormat="1" ht="21.95" customHeight="1" x14ac:dyDescent="0.15"/>
    <row r="28681" s="9" customFormat="1" ht="21.95" customHeight="1" x14ac:dyDescent="0.15"/>
    <row r="28682" s="9" customFormat="1" ht="21.95" customHeight="1" x14ac:dyDescent="0.15"/>
    <row r="28683" s="9" customFormat="1" ht="21.95" customHeight="1" x14ac:dyDescent="0.15"/>
    <row r="28684" s="9" customFormat="1" ht="21.95" customHeight="1" x14ac:dyDescent="0.15"/>
    <row r="28685" s="9" customFormat="1" ht="21.95" customHeight="1" x14ac:dyDescent="0.15"/>
    <row r="28686" s="9" customFormat="1" ht="21.95" customHeight="1" x14ac:dyDescent="0.15"/>
    <row r="28687" s="9" customFormat="1" ht="21.95" customHeight="1" x14ac:dyDescent="0.15"/>
    <row r="28688" s="9" customFormat="1" ht="21.95" customHeight="1" x14ac:dyDescent="0.15"/>
    <row r="28689" s="9" customFormat="1" ht="21.95" customHeight="1" x14ac:dyDescent="0.15"/>
    <row r="28690" s="9" customFormat="1" ht="21.95" customHeight="1" x14ac:dyDescent="0.15"/>
    <row r="28691" s="9" customFormat="1" ht="21.95" customHeight="1" x14ac:dyDescent="0.15"/>
    <row r="28692" s="9" customFormat="1" ht="21.95" customHeight="1" x14ac:dyDescent="0.15"/>
    <row r="28693" s="9" customFormat="1" ht="21.95" customHeight="1" x14ac:dyDescent="0.15"/>
    <row r="28694" s="9" customFormat="1" ht="35.1" customHeight="1" x14ac:dyDescent="0.15"/>
    <row r="28695" s="9" customFormat="1" ht="21.95" customHeight="1" x14ac:dyDescent="0.15"/>
    <row r="28696" s="9" customFormat="1" ht="21.95" customHeight="1" x14ac:dyDescent="0.15"/>
    <row r="28697" s="9" customFormat="1" ht="21.95" customHeight="1" x14ac:dyDescent="0.15"/>
    <row r="28698" s="9" customFormat="1" ht="21.95" customHeight="1" x14ac:dyDescent="0.15"/>
    <row r="28699" s="9" customFormat="1" ht="21.95" customHeight="1" x14ac:dyDescent="0.15"/>
    <row r="28700" s="9" customFormat="1" ht="21.95" customHeight="1" x14ac:dyDescent="0.15"/>
    <row r="28701" s="9" customFormat="1" ht="21.95" customHeight="1" x14ac:dyDescent="0.15"/>
    <row r="28702" s="9" customFormat="1" ht="21.95" customHeight="1" x14ac:dyDescent="0.15"/>
    <row r="28703" s="9" customFormat="1" ht="21.95" customHeight="1" x14ac:dyDescent="0.15"/>
    <row r="28704" s="9" customFormat="1" ht="21.95" customHeight="1" x14ac:dyDescent="0.15"/>
    <row r="28705" spans="3:3" s="9" customFormat="1" ht="21.95" customHeight="1" x14ac:dyDescent="0.15"/>
    <row r="28706" spans="3:3" s="9" customFormat="1" ht="21.95" customHeight="1" x14ac:dyDescent="0.15"/>
    <row r="28707" spans="3:3" s="9" customFormat="1" ht="21.95" customHeight="1" x14ac:dyDescent="0.15"/>
    <row r="28708" spans="3:3" s="9" customFormat="1" ht="21.95" customHeight="1" x14ac:dyDescent="0.15"/>
    <row r="28709" spans="3:3" s="9" customFormat="1" ht="21.95" customHeight="1" x14ac:dyDescent="0.15"/>
    <row r="28710" spans="3:3" s="9" customFormat="1" ht="21.95" customHeight="1" x14ac:dyDescent="0.15"/>
    <row r="28711" spans="3:3" s="9" customFormat="1" ht="21.95" customHeight="1" x14ac:dyDescent="0.15"/>
    <row r="28712" spans="3:3" s="9" customFormat="1" ht="21.95" customHeight="1" x14ac:dyDescent="0.15"/>
    <row r="28713" spans="3:3" s="9" customFormat="1" ht="21.95" customHeight="1" x14ac:dyDescent="0.15"/>
    <row r="28714" spans="3:3" s="9" customFormat="1" ht="21.95" customHeight="1" x14ac:dyDescent="0.15"/>
    <row r="28715" spans="3:3" s="9" customFormat="1" ht="21.95" customHeight="1" x14ac:dyDescent="0.15"/>
    <row r="28716" spans="3:3" s="9" customFormat="1" ht="21.95" customHeight="1" x14ac:dyDescent="0.15"/>
    <row r="28717" spans="3:3" s="9" customFormat="1" ht="21.95" customHeight="1" x14ac:dyDescent="0.15"/>
    <row r="28718" spans="3:3" s="8" customFormat="1" ht="21.95" customHeight="1" x14ac:dyDescent="0.15"/>
    <row r="28719" spans="3:3" s="8" customFormat="1" ht="21.95" customHeight="1" x14ac:dyDescent="0.15"/>
    <row r="28720" spans="3:3" s="8" customFormat="1" ht="21.95" customHeight="1" x14ac:dyDescent="0.15">
      <c r="C28720" s="101"/>
    </row>
    <row r="28721" spans="3:3" s="8" customFormat="1" ht="21.95" customHeight="1" x14ac:dyDescent="0.15">
      <c r="C28721" s="101"/>
    </row>
    <row r="28722" spans="3:3" s="8" customFormat="1" ht="21.95" customHeight="1" x14ac:dyDescent="0.15"/>
    <row r="28723" spans="3:3" s="8" customFormat="1" ht="21.95" customHeight="1" x14ac:dyDescent="0.15"/>
    <row r="28724" spans="3:3" s="8" customFormat="1" ht="21.95" customHeight="1" x14ac:dyDescent="0.15"/>
    <row r="28725" spans="3:3" s="8" customFormat="1" ht="21.95" customHeight="1" x14ac:dyDescent="0.15"/>
    <row r="28726" spans="3:3" s="8" customFormat="1" ht="21.95" customHeight="1" x14ac:dyDescent="0.15"/>
    <row r="28727" spans="3:3" s="8" customFormat="1" ht="21.95" customHeight="1" x14ac:dyDescent="0.15"/>
    <row r="28728" spans="3:3" s="8" customFormat="1" ht="21.95" customHeight="1" x14ac:dyDescent="0.15"/>
    <row r="28729" spans="3:3" s="9" customFormat="1" ht="21.95" customHeight="1" x14ac:dyDescent="0.15"/>
    <row r="28730" spans="3:3" s="9" customFormat="1" ht="21.95" customHeight="1" x14ac:dyDescent="0.15"/>
    <row r="28731" spans="3:3" s="9" customFormat="1" ht="21.95" customHeight="1" x14ac:dyDescent="0.15"/>
    <row r="28732" spans="3:3" s="9" customFormat="1" ht="21.95" customHeight="1" x14ac:dyDescent="0.15"/>
    <row r="28733" spans="3:3" s="8" customFormat="1" ht="21.95" customHeight="1" x14ac:dyDescent="0.15"/>
    <row r="28734" spans="3:3" s="8" customFormat="1" ht="21.95" customHeight="1" x14ac:dyDescent="0.15"/>
    <row r="28735" spans="3:3" s="8" customFormat="1" ht="21.95" customHeight="1" x14ac:dyDescent="0.15"/>
    <row r="28736" spans="3:3" s="8" customFormat="1" ht="21.95" customHeight="1" x14ac:dyDescent="0.15"/>
    <row r="28737" s="8" customFormat="1" ht="21.95" customHeight="1" x14ac:dyDescent="0.15"/>
    <row r="28738" s="8" customFormat="1" ht="21.95" customHeight="1" x14ac:dyDescent="0.15"/>
    <row r="28739" s="8" customFormat="1" ht="21.95" customHeight="1" x14ac:dyDescent="0.15"/>
    <row r="28740" s="8" customFormat="1" ht="21.95" customHeight="1" x14ac:dyDescent="0.15"/>
    <row r="28741" s="8" customFormat="1" ht="21.95" customHeight="1" x14ac:dyDescent="0.15"/>
    <row r="28742" s="8" customFormat="1" ht="21.95" customHeight="1" x14ac:dyDescent="0.15"/>
    <row r="28743" s="8" customFormat="1" ht="21.95" customHeight="1" x14ac:dyDescent="0.15"/>
    <row r="28744" s="8" customFormat="1" ht="32.1" customHeight="1" x14ac:dyDescent="0.15"/>
    <row r="28745" s="8" customFormat="1" ht="32.1" customHeight="1" x14ac:dyDescent="0.15"/>
    <row r="28746" s="8" customFormat="1" ht="32.1" customHeight="1" x14ac:dyDescent="0.15"/>
    <row r="28747" s="8" customFormat="1" ht="32.1" customHeight="1" x14ac:dyDescent="0.15"/>
    <row r="28748" s="8" customFormat="1" ht="32.1" customHeight="1" x14ac:dyDescent="0.15"/>
    <row r="28749" s="8" customFormat="1" ht="32.1" customHeight="1" x14ac:dyDescent="0.15"/>
    <row r="28750" s="9" customFormat="1" ht="32.1" customHeight="1" x14ac:dyDescent="0.15"/>
    <row r="28751" s="9" customFormat="1" ht="32.1" customHeight="1" x14ac:dyDescent="0.15"/>
    <row r="28752" s="9" customFormat="1" ht="32.1" customHeight="1" x14ac:dyDescent="0.15"/>
    <row r="28753" s="9" customFormat="1" ht="32.1" customHeight="1" x14ac:dyDescent="0.15"/>
    <row r="28754" s="9" customFormat="1" ht="21.95" customHeight="1" x14ac:dyDescent="0.15"/>
    <row r="28755" s="9" customFormat="1" ht="54" customHeight="1" x14ac:dyDescent="0.15"/>
    <row r="28756" s="9" customFormat="1" ht="21.95" customHeight="1" x14ac:dyDescent="0.15"/>
    <row r="28757" s="9" customFormat="1" ht="21.95" customHeight="1" x14ac:dyDescent="0.15"/>
    <row r="28758" s="9" customFormat="1" ht="21.95" customHeight="1" x14ac:dyDescent="0.15"/>
    <row r="28759" s="9" customFormat="1" ht="21.95" customHeight="1" x14ac:dyDescent="0.15"/>
    <row r="28760" s="9" customFormat="1" ht="21.95" customHeight="1" x14ac:dyDescent="0.15"/>
    <row r="28761" s="9" customFormat="1" ht="21.95" customHeight="1" x14ac:dyDescent="0.15"/>
    <row r="28762" s="9" customFormat="1" ht="21.95" customHeight="1" x14ac:dyDescent="0.15"/>
    <row r="28763" s="9" customFormat="1" ht="21.95" customHeight="1" x14ac:dyDescent="0.15"/>
    <row r="28764" s="9" customFormat="1" ht="21.95" customHeight="1" x14ac:dyDescent="0.15"/>
    <row r="28765" s="9" customFormat="1" ht="21.95" customHeight="1" x14ac:dyDescent="0.15"/>
    <row r="28766" s="9" customFormat="1" ht="21.95" customHeight="1" x14ac:dyDescent="0.15"/>
    <row r="28767" s="9" customFormat="1" ht="21.95" customHeight="1" x14ac:dyDescent="0.15"/>
    <row r="28768" s="9" customFormat="1" ht="21.95" customHeight="1" x14ac:dyDescent="0.15"/>
    <row r="28769" s="9" customFormat="1" ht="21.95" customHeight="1" x14ac:dyDescent="0.15"/>
    <row r="28770" s="9" customFormat="1" ht="21.95" customHeight="1" x14ac:dyDescent="0.15"/>
    <row r="28771" s="9" customFormat="1" ht="21.95" customHeight="1" x14ac:dyDescent="0.15"/>
    <row r="28772" s="9" customFormat="1" ht="21.95" customHeight="1" x14ac:dyDescent="0.15"/>
    <row r="28773" s="9" customFormat="1" ht="21.95" customHeight="1" x14ac:dyDescent="0.15"/>
    <row r="28774" s="9" customFormat="1" ht="21.95" customHeight="1" x14ac:dyDescent="0.15"/>
    <row r="28775" s="9" customFormat="1" ht="21.95" customHeight="1" x14ac:dyDescent="0.15"/>
    <row r="28776" s="9" customFormat="1" ht="21.95" customHeight="1" x14ac:dyDescent="0.15"/>
    <row r="28777" s="9" customFormat="1" ht="21.95" customHeight="1" x14ac:dyDescent="0.15"/>
    <row r="28778" s="9" customFormat="1" ht="21.95" customHeight="1" x14ac:dyDescent="0.15"/>
    <row r="28779" s="9" customFormat="1" ht="21.95" customHeight="1" x14ac:dyDescent="0.15"/>
    <row r="28780" s="9" customFormat="1" ht="21.95" customHeight="1" x14ac:dyDescent="0.15"/>
    <row r="28781" s="9" customFormat="1" ht="21.95" customHeight="1" x14ac:dyDescent="0.15"/>
    <row r="28782" s="9" customFormat="1" ht="21.95" customHeight="1" x14ac:dyDescent="0.15"/>
    <row r="28783" s="9" customFormat="1" ht="21.95" customHeight="1" x14ac:dyDescent="0.15"/>
    <row r="28784" s="9" customFormat="1" ht="21.95" customHeight="1" x14ac:dyDescent="0.15"/>
    <row r="28785" s="9" customFormat="1" ht="21.95" customHeight="1" x14ac:dyDescent="0.15"/>
    <row r="28786" s="9" customFormat="1" ht="21.95" customHeight="1" x14ac:dyDescent="0.15"/>
    <row r="28787" s="9" customFormat="1" ht="21.95" customHeight="1" x14ac:dyDescent="0.15"/>
    <row r="28788" s="9" customFormat="1" ht="21.95" customHeight="1" x14ac:dyDescent="0.15"/>
    <row r="28789" s="9" customFormat="1" ht="21.95" customHeight="1" x14ac:dyDescent="0.15"/>
    <row r="28790" s="9" customFormat="1" ht="21.95" customHeight="1" x14ac:dyDescent="0.15"/>
    <row r="28791" s="9" customFormat="1" ht="21.95" customHeight="1" x14ac:dyDescent="0.15"/>
    <row r="28792" s="9" customFormat="1" ht="21.95" customHeight="1" x14ac:dyDescent="0.15"/>
    <row r="28793" s="9" customFormat="1" ht="21.95" customHeight="1" x14ac:dyDescent="0.15"/>
    <row r="28794" s="9" customFormat="1" ht="21.95" customHeight="1" x14ac:dyDescent="0.15"/>
    <row r="28795" s="9" customFormat="1" ht="21.95" customHeight="1" x14ac:dyDescent="0.15"/>
    <row r="28796" s="9" customFormat="1" ht="21.95" customHeight="1" x14ac:dyDescent="0.15"/>
    <row r="28797" s="9" customFormat="1" ht="21.95" customHeight="1" x14ac:dyDescent="0.15"/>
    <row r="28798" s="9" customFormat="1" ht="21.95" customHeight="1" x14ac:dyDescent="0.15"/>
    <row r="28799" s="9" customFormat="1" ht="21.95" customHeight="1" x14ac:dyDescent="0.15"/>
    <row r="28800" s="9" customFormat="1" ht="21.95" customHeight="1" x14ac:dyDescent="0.15"/>
    <row r="28801" s="9" customFormat="1" ht="21.95" customHeight="1" x14ac:dyDescent="0.15"/>
    <row r="28802" s="9" customFormat="1" ht="21.95" customHeight="1" x14ac:dyDescent="0.15"/>
    <row r="28803" s="9" customFormat="1" ht="21.95" customHeight="1" x14ac:dyDescent="0.15"/>
    <row r="28804" s="9" customFormat="1" ht="21.95" customHeight="1" x14ac:dyDescent="0.15"/>
    <row r="28805" s="9" customFormat="1" ht="21.95" customHeight="1" x14ac:dyDescent="0.15"/>
    <row r="28806" s="9" customFormat="1" ht="35.1" customHeight="1" x14ac:dyDescent="0.15"/>
    <row r="28807" s="9" customFormat="1" ht="21.95" customHeight="1" x14ac:dyDescent="0.15"/>
    <row r="28808" s="9" customFormat="1" ht="21.95" customHeight="1" x14ac:dyDescent="0.15"/>
    <row r="28809" s="9" customFormat="1" ht="21.95" customHeight="1" x14ac:dyDescent="0.15"/>
    <row r="28810" s="9" customFormat="1" ht="21.95" customHeight="1" x14ac:dyDescent="0.15"/>
    <row r="28811" s="9" customFormat="1" ht="21.95" customHeight="1" x14ac:dyDescent="0.15"/>
    <row r="28812" s="9" customFormat="1" ht="21.95" customHeight="1" x14ac:dyDescent="0.15"/>
    <row r="28813" s="9" customFormat="1" ht="21.95" customHeight="1" x14ac:dyDescent="0.15"/>
    <row r="28814" s="9" customFormat="1" ht="21.95" customHeight="1" x14ac:dyDescent="0.15"/>
    <row r="28815" s="9" customFormat="1" ht="21.95" customHeight="1" x14ac:dyDescent="0.15"/>
    <row r="28816" s="9" customFormat="1" ht="21.95" customHeight="1" x14ac:dyDescent="0.15"/>
    <row r="28817" spans="3:3" s="9" customFormat="1" ht="21.95" customHeight="1" x14ac:dyDescent="0.15"/>
    <row r="28818" spans="3:3" s="9" customFormat="1" ht="21.95" customHeight="1" x14ac:dyDescent="0.15"/>
    <row r="28819" spans="3:3" s="9" customFormat="1" ht="21.95" customHeight="1" x14ac:dyDescent="0.15"/>
    <row r="28820" spans="3:3" s="9" customFormat="1" ht="21.95" customHeight="1" x14ac:dyDescent="0.15"/>
    <row r="28821" spans="3:3" s="9" customFormat="1" ht="21.95" customHeight="1" x14ac:dyDescent="0.15"/>
    <row r="28822" spans="3:3" s="9" customFormat="1" ht="21.95" customHeight="1" x14ac:dyDescent="0.15"/>
    <row r="28823" spans="3:3" s="9" customFormat="1" ht="21.95" customHeight="1" x14ac:dyDescent="0.15"/>
    <row r="28824" spans="3:3" s="9" customFormat="1" ht="21.95" customHeight="1" x14ac:dyDescent="0.15"/>
    <row r="28825" spans="3:3" s="9" customFormat="1" ht="21.95" customHeight="1" x14ac:dyDescent="0.15"/>
    <row r="28826" spans="3:3" s="9" customFormat="1" ht="21.95" customHeight="1" x14ac:dyDescent="0.15"/>
    <row r="28827" spans="3:3" s="9" customFormat="1" ht="21.95" customHeight="1" x14ac:dyDescent="0.15"/>
    <row r="28828" spans="3:3" s="9" customFormat="1" ht="21.95" customHeight="1" x14ac:dyDescent="0.15"/>
    <row r="28829" spans="3:3" s="9" customFormat="1" ht="21.95" customHeight="1" x14ac:dyDescent="0.15"/>
    <row r="28830" spans="3:3" s="8" customFormat="1" ht="21.95" customHeight="1" x14ac:dyDescent="0.15"/>
    <row r="28831" spans="3:3" s="8" customFormat="1" ht="21.95" customHeight="1" x14ac:dyDescent="0.15"/>
    <row r="28832" spans="3:3" s="8" customFormat="1" ht="21.95" customHeight="1" x14ac:dyDescent="0.15">
      <c r="C28832" s="101"/>
    </row>
    <row r="28833" spans="3:3" s="8" customFormat="1" ht="21.95" customHeight="1" x14ac:dyDescent="0.15">
      <c r="C28833" s="101"/>
    </row>
    <row r="28834" spans="3:3" s="8" customFormat="1" ht="21.95" customHeight="1" x14ac:dyDescent="0.15"/>
    <row r="28835" spans="3:3" s="8" customFormat="1" ht="21.95" customHeight="1" x14ac:dyDescent="0.15"/>
    <row r="28836" spans="3:3" s="8" customFormat="1" ht="21.95" customHeight="1" x14ac:dyDescent="0.15"/>
    <row r="28837" spans="3:3" s="8" customFormat="1" ht="21.95" customHeight="1" x14ac:dyDescent="0.15"/>
    <row r="28838" spans="3:3" s="8" customFormat="1" ht="21.95" customHeight="1" x14ac:dyDescent="0.15"/>
    <row r="28839" spans="3:3" s="8" customFormat="1" ht="21.95" customHeight="1" x14ac:dyDescent="0.15"/>
    <row r="28840" spans="3:3" s="8" customFormat="1" ht="21.95" customHeight="1" x14ac:dyDescent="0.15"/>
    <row r="28841" spans="3:3" s="9" customFormat="1" ht="21.95" customHeight="1" x14ac:dyDescent="0.15"/>
    <row r="28842" spans="3:3" s="9" customFormat="1" ht="21.95" customHeight="1" x14ac:dyDescent="0.15"/>
    <row r="28843" spans="3:3" s="9" customFormat="1" ht="21.95" customHeight="1" x14ac:dyDescent="0.15"/>
    <row r="28844" spans="3:3" s="9" customFormat="1" ht="21.95" customHeight="1" x14ac:dyDescent="0.15"/>
    <row r="28845" spans="3:3" s="8" customFormat="1" ht="21.95" customHeight="1" x14ac:dyDescent="0.15"/>
    <row r="28846" spans="3:3" s="8" customFormat="1" ht="21.95" customHeight="1" x14ac:dyDescent="0.15"/>
    <row r="28847" spans="3:3" s="8" customFormat="1" ht="21.95" customHeight="1" x14ac:dyDescent="0.15"/>
    <row r="28848" spans="3:3" s="8" customFormat="1" ht="21.95" customHeight="1" x14ac:dyDescent="0.15"/>
    <row r="28849" s="8" customFormat="1" ht="21.95" customHeight="1" x14ac:dyDescent="0.15"/>
    <row r="28850" s="8" customFormat="1" ht="21.95" customHeight="1" x14ac:dyDescent="0.15"/>
    <row r="28851" s="8" customFormat="1" ht="21.95" customHeight="1" x14ac:dyDescent="0.15"/>
    <row r="28852" s="8" customFormat="1" ht="21.95" customHeight="1" x14ac:dyDescent="0.15"/>
    <row r="28853" s="8" customFormat="1" ht="21.95" customHeight="1" x14ac:dyDescent="0.15"/>
    <row r="28854" s="8" customFormat="1" ht="21.95" customHeight="1" x14ac:dyDescent="0.15"/>
    <row r="28855" s="8" customFormat="1" ht="21.95" customHeight="1" x14ac:dyDescent="0.15"/>
    <row r="28856" s="8" customFormat="1" ht="32.1" customHeight="1" x14ac:dyDescent="0.15"/>
    <row r="28857" s="8" customFormat="1" ht="32.1" customHeight="1" x14ac:dyDescent="0.15"/>
    <row r="28858" s="8" customFormat="1" ht="32.1" customHeight="1" x14ac:dyDescent="0.15"/>
    <row r="28859" s="8" customFormat="1" ht="32.1" customHeight="1" x14ac:dyDescent="0.15"/>
    <row r="28860" s="8" customFormat="1" ht="32.1" customHeight="1" x14ac:dyDescent="0.15"/>
    <row r="28861" s="8" customFormat="1" ht="32.1" customHeight="1" x14ac:dyDescent="0.15"/>
    <row r="28862" s="9" customFormat="1" ht="32.1" customHeight="1" x14ac:dyDescent="0.15"/>
    <row r="28863" s="9" customFormat="1" ht="32.1" customHeight="1" x14ac:dyDescent="0.15"/>
    <row r="28864" s="9" customFormat="1" ht="32.1" customHeight="1" x14ac:dyDescent="0.15"/>
    <row r="28865" s="9" customFormat="1" ht="32.1" customHeight="1" x14ac:dyDescent="0.15"/>
    <row r="28866" s="9" customFormat="1" ht="21.95" customHeight="1" x14ac:dyDescent="0.15"/>
    <row r="28867" s="9" customFormat="1" ht="54" customHeight="1" x14ac:dyDescent="0.15"/>
    <row r="28868" s="9" customFormat="1" ht="21.95" customHeight="1" x14ac:dyDescent="0.15"/>
    <row r="28869" s="9" customFormat="1" ht="21.95" customHeight="1" x14ac:dyDescent="0.15"/>
    <row r="28870" s="9" customFormat="1" ht="21.95" customHeight="1" x14ac:dyDescent="0.15"/>
    <row r="28871" s="9" customFormat="1" ht="21.95" customHeight="1" x14ac:dyDescent="0.15"/>
    <row r="28872" s="9" customFormat="1" ht="21.95" customHeight="1" x14ac:dyDescent="0.15"/>
    <row r="28873" s="9" customFormat="1" ht="21.95" customHeight="1" x14ac:dyDescent="0.15"/>
    <row r="28874" s="9" customFormat="1" ht="21.95" customHeight="1" x14ac:dyDescent="0.15"/>
    <row r="28875" s="9" customFormat="1" ht="21.95" customHeight="1" x14ac:dyDescent="0.15"/>
    <row r="28876" s="9" customFormat="1" ht="21.95" customHeight="1" x14ac:dyDescent="0.15"/>
    <row r="28877" s="9" customFormat="1" ht="21.95" customHeight="1" x14ac:dyDescent="0.15"/>
    <row r="28878" s="9" customFormat="1" ht="21.95" customHeight="1" x14ac:dyDescent="0.15"/>
    <row r="28879" s="9" customFormat="1" ht="21.95" customHeight="1" x14ac:dyDescent="0.15"/>
    <row r="28880" s="9" customFormat="1" ht="21.95" customHeight="1" x14ac:dyDescent="0.15"/>
    <row r="28881" s="9" customFormat="1" ht="21.95" customHeight="1" x14ac:dyDescent="0.15"/>
    <row r="28882" s="9" customFormat="1" ht="21.95" customHeight="1" x14ac:dyDescent="0.15"/>
    <row r="28883" s="9" customFormat="1" ht="21.95" customHeight="1" x14ac:dyDescent="0.15"/>
    <row r="28884" s="9" customFormat="1" ht="21.95" customHeight="1" x14ac:dyDescent="0.15"/>
    <row r="28885" s="9" customFormat="1" ht="21.95" customHeight="1" x14ac:dyDescent="0.15"/>
    <row r="28886" s="9" customFormat="1" ht="21.95" customHeight="1" x14ac:dyDescent="0.15"/>
    <row r="28887" s="9" customFormat="1" ht="21.95" customHeight="1" x14ac:dyDescent="0.15"/>
    <row r="28888" s="9" customFormat="1" ht="21.95" customHeight="1" x14ac:dyDescent="0.15"/>
    <row r="28889" s="9" customFormat="1" ht="21.95" customHeight="1" x14ac:dyDescent="0.15"/>
    <row r="28890" s="9" customFormat="1" ht="21.95" customHeight="1" x14ac:dyDescent="0.15"/>
    <row r="28891" s="9" customFormat="1" ht="21.95" customHeight="1" x14ac:dyDescent="0.15"/>
    <row r="28892" s="9" customFormat="1" ht="21.95" customHeight="1" x14ac:dyDescent="0.15"/>
    <row r="28893" s="9" customFormat="1" ht="21.95" customHeight="1" x14ac:dyDescent="0.15"/>
    <row r="28894" s="9" customFormat="1" ht="21.95" customHeight="1" x14ac:dyDescent="0.15"/>
    <row r="28895" s="9" customFormat="1" ht="21.95" customHeight="1" x14ac:dyDescent="0.15"/>
    <row r="28896" s="9" customFormat="1" ht="21.95" customHeight="1" x14ac:dyDescent="0.15"/>
    <row r="28897" s="9" customFormat="1" ht="21.95" customHeight="1" x14ac:dyDescent="0.15"/>
    <row r="28898" s="9" customFormat="1" ht="21.95" customHeight="1" x14ac:dyDescent="0.15"/>
    <row r="28899" s="9" customFormat="1" ht="21.95" customHeight="1" x14ac:dyDescent="0.15"/>
    <row r="28900" s="9" customFormat="1" ht="21.95" customHeight="1" x14ac:dyDescent="0.15"/>
    <row r="28901" s="9" customFormat="1" ht="21.95" customHeight="1" x14ac:dyDescent="0.15"/>
    <row r="28902" s="9" customFormat="1" ht="21.95" customHeight="1" x14ac:dyDescent="0.15"/>
    <row r="28903" s="9" customFormat="1" ht="21.95" customHeight="1" x14ac:dyDescent="0.15"/>
    <row r="28904" s="9" customFormat="1" ht="21.95" customHeight="1" x14ac:dyDescent="0.15"/>
    <row r="28905" s="9" customFormat="1" ht="21.95" customHeight="1" x14ac:dyDescent="0.15"/>
    <row r="28906" s="9" customFormat="1" ht="21.95" customHeight="1" x14ac:dyDescent="0.15"/>
    <row r="28907" s="9" customFormat="1" ht="21.95" customHeight="1" x14ac:dyDescent="0.15"/>
    <row r="28908" s="9" customFormat="1" ht="21.95" customHeight="1" x14ac:dyDescent="0.15"/>
    <row r="28909" s="9" customFormat="1" ht="21.95" customHeight="1" x14ac:dyDescent="0.15"/>
    <row r="28910" s="9" customFormat="1" ht="21.95" customHeight="1" x14ac:dyDescent="0.15"/>
    <row r="28911" s="9" customFormat="1" ht="21.95" customHeight="1" x14ac:dyDescent="0.15"/>
    <row r="28912" s="9" customFormat="1" ht="21.95" customHeight="1" x14ac:dyDescent="0.15"/>
    <row r="28913" s="9" customFormat="1" ht="21.95" customHeight="1" x14ac:dyDescent="0.15"/>
    <row r="28914" s="9" customFormat="1" ht="21.95" customHeight="1" x14ac:dyDescent="0.15"/>
    <row r="28915" s="9" customFormat="1" ht="21.95" customHeight="1" x14ac:dyDescent="0.15"/>
    <row r="28916" s="9" customFormat="1" ht="21.95" customHeight="1" x14ac:dyDescent="0.15"/>
    <row r="28917" s="9" customFormat="1" ht="21.95" customHeight="1" x14ac:dyDescent="0.15"/>
    <row r="28918" s="9" customFormat="1" ht="35.1" customHeight="1" x14ac:dyDescent="0.15"/>
    <row r="28919" s="9" customFormat="1" ht="21.95" customHeight="1" x14ac:dyDescent="0.15"/>
    <row r="28920" s="9" customFormat="1" ht="21.95" customHeight="1" x14ac:dyDescent="0.15"/>
    <row r="28921" s="9" customFormat="1" ht="21.95" customHeight="1" x14ac:dyDescent="0.15"/>
    <row r="28922" s="9" customFormat="1" ht="21.95" customHeight="1" x14ac:dyDescent="0.15"/>
    <row r="28923" s="9" customFormat="1" ht="21.95" customHeight="1" x14ac:dyDescent="0.15"/>
    <row r="28924" s="9" customFormat="1" ht="21.95" customHeight="1" x14ac:dyDescent="0.15"/>
    <row r="28925" s="9" customFormat="1" ht="21.95" customHeight="1" x14ac:dyDescent="0.15"/>
    <row r="28926" s="9" customFormat="1" ht="21.95" customHeight="1" x14ac:dyDescent="0.15"/>
    <row r="28927" s="9" customFormat="1" ht="21.95" customHeight="1" x14ac:dyDescent="0.15"/>
    <row r="28928" s="9" customFormat="1" ht="21.95" customHeight="1" x14ac:dyDescent="0.15"/>
    <row r="28929" spans="3:3" s="9" customFormat="1" ht="21.95" customHeight="1" x14ac:dyDescent="0.15"/>
    <row r="28930" spans="3:3" s="9" customFormat="1" ht="21.95" customHeight="1" x14ac:dyDescent="0.15"/>
    <row r="28931" spans="3:3" s="9" customFormat="1" ht="21.95" customHeight="1" x14ac:dyDescent="0.15"/>
    <row r="28932" spans="3:3" s="9" customFormat="1" ht="21.95" customHeight="1" x14ac:dyDescent="0.15"/>
    <row r="28933" spans="3:3" s="9" customFormat="1" ht="21.95" customHeight="1" x14ac:dyDescent="0.15"/>
    <row r="28934" spans="3:3" s="9" customFormat="1" ht="21.95" customHeight="1" x14ac:dyDescent="0.15"/>
    <row r="28935" spans="3:3" s="9" customFormat="1" ht="21.95" customHeight="1" x14ac:dyDescent="0.15"/>
    <row r="28936" spans="3:3" s="9" customFormat="1" ht="21.95" customHeight="1" x14ac:dyDescent="0.15"/>
    <row r="28937" spans="3:3" s="9" customFormat="1" ht="21.95" customHeight="1" x14ac:dyDescent="0.15"/>
    <row r="28938" spans="3:3" s="9" customFormat="1" ht="21.95" customHeight="1" x14ac:dyDescent="0.15"/>
    <row r="28939" spans="3:3" s="9" customFormat="1" ht="21.95" customHeight="1" x14ac:dyDescent="0.15"/>
    <row r="28940" spans="3:3" s="9" customFormat="1" ht="21.95" customHeight="1" x14ac:dyDescent="0.15"/>
    <row r="28941" spans="3:3" s="9" customFormat="1" ht="21.95" customHeight="1" x14ac:dyDescent="0.15"/>
    <row r="28942" spans="3:3" s="8" customFormat="1" ht="21.95" customHeight="1" x14ac:dyDescent="0.15"/>
    <row r="28943" spans="3:3" s="8" customFormat="1" ht="21.95" customHeight="1" x14ac:dyDescent="0.15"/>
    <row r="28944" spans="3:3" s="8" customFormat="1" ht="21.95" customHeight="1" x14ac:dyDescent="0.15">
      <c r="C28944" s="101"/>
    </row>
    <row r="28945" spans="3:3" s="8" customFormat="1" ht="21.95" customHeight="1" x14ac:dyDescent="0.15">
      <c r="C28945" s="101"/>
    </row>
    <row r="28946" spans="3:3" s="8" customFormat="1" ht="21.95" customHeight="1" x14ac:dyDescent="0.15"/>
    <row r="28947" spans="3:3" s="8" customFormat="1" ht="21.95" customHeight="1" x14ac:dyDescent="0.15"/>
    <row r="28948" spans="3:3" s="8" customFormat="1" ht="21.95" customHeight="1" x14ac:dyDescent="0.15"/>
    <row r="28949" spans="3:3" s="8" customFormat="1" ht="21.95" customHeight="1" x14ac:dyDescent="0.15"/>
    <row r="28950" spans="3:3" s="8" customFormat="1" ht="21.95" customHeight="1" x14ac:dyDescent="0.15"/>
    <row r="28951" spans="3:3" s="8" customFormat="1" ht="21.95" customHeight="1" x14ac:dyDescent="0.15"/>
    <row r="28952" spans="3:3" s="8" customFormat="1" ht="21.95" customHeight="1" x14ac:dyDescent="0.15"/>
    <row r="28953" spans="3:3" s="9" customFormat="1" ht="21.95" customHeight="1" x14ac:dyDescent="0.15"/>
    <row r="28954" spans="3:3" s="9" customFormat="1" ht="21.95" customHeight="1" x14ac:dyDescent="0.15"/>
    <row r="28955" spans="3:3" s="9" customFormat="1" ht="21.95" customHeight="1" x14ac:dyDescent="0.15"/>
    <row r="28956" spans="3:3" s="9" customFormat="1" ht="21.95" customHeight="1" x14ac:dyDescent="0.15"/>
    <row r="28957" spans="3:3" s="8" customFormat="1" ht="21.95" customHeight="1" x14ac:dyDescent="0.15"/>
    <row r="28958" spans="3:3" s="8" customFormat="1" ht="21.95" customHeight="1" x14ac:dyDescent="0.15"/>
    <row r="28959" spans="3:3" s="8" customFormat="1" ht="21.95" customHeight="1" x14ac:dyDescent="0.15"/>
    <row r="28960" spans="3:3" s="8" customFormat="1" ht="21.95" customHeight="1" x14ac:dyDescent="0.15"/>
    <row r="28961" s="8" customFormat="1" ht="21.95" customHeight="1" x14ac:dyDescent="0.15"/>
    <row r="28962" s="8" customFormat="1" ht="21.95" customHeight="1" x14ac:dyDescent="0.15"/>
    <row r="28963" s="8" customFormat="1" ht="21.95" customHeight="1" x14ac:dyDescent="0.15"/>
    <row r="28964" s="8" customFormat="1" ht="21.95" customHeight="1" x14ac:dyDescent="0.15"/>
    <row r="28965" s="8" customFormat="1" ht="21.95" customHeight="1" x14ac:dyDescent="0.15"/>
    <row r="28966" s="8" customFormat="1" ht="21.95" customHeight="1" x14ac:dyDescent="0.15"/>
    <row r="28967" s="8" customFormat="1" ht="21.95" customHeight="1" x14ac:dyDescent="0.15"/>
    <row r="28968" s="8" customFormat="1" ht="32.1" customHeight="1" x14ac:dyDescent="0.15"/>
    <row r="28969" s="8" customFormat="1" ht="32.1" customHeight="1" x14ac:dyDescent="0.15"/>
    <row r="28970" s="8" customFormat="1" ht="32.1" customHeight="1" x14ac:dyDescent="0.15"/>
    <row r="28971" s="8" customFormat="1" ht="32.1" customHeight="1" x14ac:dyDescent="0.15"/>
    <row r="28972" s="8" customFormat="1" ht="32.1" customHeight="1" x14ac:dyDescent="0.15"/>
    <row r="28973" s="8" customFormat="1" ht="32.1" customHeight="1" x14ac:dyDescent="0.15"/>
    <row r="28974" s="9" customFormat="1" ht="32.1" customHeight="1" x14ac:dyDescent="0.15"/>
    <row r="28975" s="9" customFormat="1" ht="32.1" customHeight="1" x14ac:dyDescent="0.15"/>
    <row r="28976" s="9" customFormat="1" ht="32.1" customHeight="1" x14ac:dyDescent="0.15"/>
    <row r="28977" s="9" customFormat="1" ht="32.1" customHeight="1" x14ac:dyDescent="0.15"/>
    <row r="28978" s="9" customFormat="1" ht="21.95" customHeight="1" x14ac:dyDescent="0.15"/>
    <row r="28979" s="9" customFormat="1" ht="54" customHeight="1" x14ac:dyDescent="0.15"/>
    <row r="28980" s="9" customFormat="1" ht="21.95" customHeight="1" x14ac:dyDescent="0.15"/>
    <row r="28981" s="9" customFormat="1" ht="21.95" customHeight="1" x14ac:dyDescent="0.15"/>
    <row r="28982" s="9" customFormat="1" ht="21.95" customHeight="1" x14ac:dyDescent="0.15"/>
    <row r="28983" s="9" customFormat="1" ht="21.95" customHeight="1" x14ac:dyDescent="0.15"/>
    <row r="28984" s="9" customFormat="1" ht="21.95" customHeight="1" x14ac:dyDescent="0.15"/>
    <row r="28985" s="9" customFormat="1" ht="21.95" customHeight="1" x14ac:dyDescent="0.15"/>
    <row r="28986" s="9" customFormat="1" ht="21.95" customHeight="1" x14ac:dyDescent="0.15"/>
    <row r="28987" s="9" customFormat="1" ht="21.95" customHeight="1" x14ac:dyDescent="0.15"/>
    <row r="28988" s="9" customFormat="1" ht="21.95" customHeight="1" x14ac:dyDescent="0.15"/>
    <row r="28989" s="9" customFormat="1" ht="21.95" customHeight="1" x14ac:dyDescent="0.15"/>
    <row r="28990" s="9" customFormat="1" ht="21.95" customHeight="1" x14ac:dyDescent="0.15"/>
    <row r="28991" s="9" customFormat="1" ht="21.95" customHeight="1" x14ac:dyDescent="0.15"/>
    <row r="28992" s="9" customFormat="1" ht="21.95" customHeight="1" x14ac:dyDescent="0.15"/>
    <row r="28993" s="9" customFormat="1" ht="21.95" customHeight="1" x14ac:dyDescent="0.15"/>
    <row r="28994" s="9" customFormat="1" ht="21.95" customHeight="1" x14ac:dyDescent="0.15"/>
    <row r="28995" s="9" customFormat="1" ht="21.95" customHeight="1" x14ac:dyDescent="0.15"/>
    <row r="28996" s="9" customFormat="1" ht="21.95" customHeight="1" x14ac:dyDescent="0.15"/>
    <row r="28997" s="9" customFormat="1" ht="21.95" customHeight="1" x14ac:dyDescent="0.15"/>
    <row r="28998" s="9" customFormat="1" ht="21.95" customHeight="1" x14ac:dyDescent="0.15"/>
    <row r="28999" s="9" customFormat="1" ht="21.95" customHeight="1" x14ac:dyDescent="0.15"/>
    <row r="29000" s="9" customFormat="1" ht="21.95" customHeight="1" x14ac:dyDescent="0.15"/>
    <row r="29001" s="9" customFormat="1" ht="21.95" customHeight="1" x14ac:dyDescent="0.15"/>
    <row r="29002" s="9" customFormat="1" ht="21.95" customHeight="1" x14ac:dyDescent="0.15"/>
    <row r="29003" s="9" customFormat="1" ht="21.95" customHeight="1" x14ac:dyDescent="0.15"/>
    <row r="29004" s="9" customFormat="1" ht="21.95" customHeight="1" x14ac:dyDescent="0.15"/>
    <row r="29005" s="9" customFormat="1" ht="21.95" customHeight="1" x14ac:dyDescent="0.15"/>
    <row r="29006" s="9" customFormat="1" ht="21.95" customHeight="1" x14ac:dyDescent="0.15"/>
    <row r="29007" s="9" customFormat="1" ht="21.95" customHeight="1" x14ac:dyDescent="0.15"/>
    <row r="29008" s="9" customFormat="1" ht="21.95" customHeight="1" x14ac:dyDescent="0.15"/>
    <row r="29009" s="9" customFormat="1" ht="21.95" customHeight="1" x14ac:dyDescent="0.15"/>
    <row r="29010" s="9" customFormat="1" ht="21.95" customHeight="1" x14ac:dyDescent="0.15"/>
    <row r="29011" s="9" customFormat="1" ht="21.95" customHeight="1" x14ac:dyDescent="0.15"/>
    <row r="29012" s="9" customFormat="1" ht="21.95" customHeight="1" x14ac:dyDescent="0.15"/>
    <row r="29013" s="9" customFormat="1" ht="21.95" customHeight="1" x14ac:dyDescent="0.15"/>
    <row r="29014" s="9" customFormat="1" ht="21.95" customHeight="1" x14ac:dyDescent="0.15"/>
    <row r="29015" s="9" customFormat="1" ht="21.95" customHeight="1" x14ac:dyDescent="0.15"/>
    <row r="29016" s="9" customFormat="1" ht="21.95" customHeight="1" x14ac:dyDescent="0.15"/>
    <row r="29017" s="9" customFormat="1" ht="21.95" customHeight="1" x14ac:dyDescent="0.15"/>
    <row r="29018" s="9" customFormat="1" ht="21.95" customHeight="1" x14ac:dyDescent="0.15"/>
    <row r="29019" s="9" customFormat="1" ht="21.95" customHeight="1" x14ac:dyDescent="0.15"/>
    <row r="29020" s="9" customFormat="1" ht="21.95" customHeight="1" x14ac:dyDescent="0.15"/>
    <row r="29021" s="9" customFormat="1" ht="21.95" customHeight="1" x14ac:dyDescent="0.15"/>
    <row r="29022" s="9" customFormat="1" ht="21.95" customHeight="1" x14ac:dyDescent="0.15"/>
    <row r="29023" s="9" customFormat="1" ht="21.95" customHeight="1" x14ac:dyDescent="0.15"/>
    <row r="29024" s="9" customFormat="1" ht="21.95" customHeight="1" x14ac:dyDescent="0.15"/>
    <row r="29025" s="9" customFormat="1" ht="21.95" customHeight="1" x14ac:dyDescent="0.15"/>
    <row r="29026" s="9" customFormat="1" ht="21.95" customHeight="1" x14ac:dyDescent="0.15"/>
    <row r="29027" s="9" customFormat="1" ht="21.95" customHeight="1" x14ac:dyDescent="0.15"/>
    <row r="29028" s="9" customFormat="1" ht="21.95" customHeight="1" x14ac:dyDescent="0.15"/>
    <row r="29029" s="9" customFormat="1" ht="21.95" customHeight="1" x14ac:dyDescent="0.15"/>
    <row r="29030" s="9" customFormat="1" ht="35.1" customHeight="1" x14ac:dyDescent="0.15"/>
    <row r="29031" s="9" customFormat="1" ht="21.95" customHeight="1" x14ac:dyDescent="0.15"/>
    <row r="29032" s="9" customFormat="1" ht="21.95" customHeight="1" x14ac:dyDescent="0.15"/>
    <row r="29033" s="9" customFormat="1" ht="21.95" customHeight="1" x14ac:dyDescent="0.15"/>
    <row r="29034" s="9" customFormat="1" ht="21.95" customHeight="1" x14ac:dyDescent="0.15"/>
    <row r="29035" s="9" customFormat="1" ht="21.95" customHeight="1" x14ac:dyDescent="0.15"/>
    <row r="29036" s="9" customFormat="1" ht="21.95" customHeight="1" x14ac:dyDescent="0.15"/>
    <row r="29037" s="9" customFormat="1" ht="21.95" customHeight="1" x14ac:dyDescent="0.15"/>
    <row r="29038" s="9" customFormat="1" ht="21.95" customHeight="1" x14ac:dyDescent="0.15"/>
    <row r="29039" s="9" customFormat="1" ht="21.95" customHeight="1" x14ac:dyDescent="0.15"/>
    <row r="29040" s="9" customFormat="1" ht="21.95" customHeight="1" x14ac:dyDescent="0.15"/>
    <row r="29041" spans="3:3" s="9" customFormat="1" ht="21.95" customHeight="1" x14ac:dyDescent="0.15"/>
    <row r="29042" spans="3:3" s="9" customFormat="1" ht="21.95" customHeight="1" x14ac:dyDescent="0.15"/>
    <row r="29043" spans="3:3" s="9" customFormat="1" ht="21.95" customHeight="1" x14ac:dyDescent="0.15"/>
    <row r="29044" spans="3:3" s="9" customFormat="1" ht="21.95" customHeight="1" x14ac:dyDescent="0.15"/>
    <row r="29045" spans="3:3" s="9" customFormat="1" ht="21.95" customHeight="1" x14ac:dyDescent="0.15"/>
    <row r="29046" spans="3:3" s="9" customFormat="1" ht="21.95" customHeight="1" x14ac:dyDescent="0.15"/>
    <row r="29047" spans="3:3" s="9" customFormat="1" ht="21.95" customHeight="1" x14ac:dyDescent="0.15"/>
    <row r="29048" spans="3:3" s="9" customFormat="1" ht="21.95" customHeight="1" x14ac:dyDescent="0.15"/>
    <row r="29049" spans="3:3" s="9" customFormat="1" ht="21.95" customHeight="1" x14ac:dyDescent="0.15"/>
    <row r="29050" spans="3:3" s="9" customFormat="1" ht="21.95" customHeight="1" x14ac:dyDescent="0.15"/>
    <row r="29051" spans="3:3" s="9" customFormat="1" ht="21.95" customHeight="1" x14ac:dyDescent="0.15"/>
    <row r="29052" spans="3:3" s="9" customFormat="1" ht="21.95" customHeight="1" x14ac:dyDescent="0.15"/>
    <row r="29053" spans="3:3" s="9" customFormat="1" ht="21.95" customHeight="1" x14ac:dyDescent="0.15"/>
    <row r="29054" spans="3:3" s="8" customFormat="1" ht="21.95" customHeight="1" x14ac:dyDescent="0.15"/>
    <row r="29055" spans="3:3" s="8" customFormat="1" ht="21.95" customHeight="1" x14ac:dyDescent="0.15"/>
    <row r="29056" spans="3:3" s="8" customFormat="1" ht="21.95" customHeight="1" x14ac:dyDescent="0.15">
      <c r="C29056" s="101"/>
    </row>
    <row r="29057" spans="3:3" s="8" customFormat="1" ht="21.95" customHeight="1" x14ac:dyDescent="0.15">
      <c r="C29057" s="101"/>
    </row>
    <row r="29058" spans="3:3" s="8" customFormat="1" ht="21.95" customHeight="1" x14ac:dyDescent="0.15"/>
    <row r="29059" spans="3:3" s="8" customFormat="1" ht="21.95" customHeight="1" x14ac:dyDescent="0.15"/>
    <row r="29060" spans="3:3" s="8" customFormat="1" ht="21.95" customHeight="1" x14ac:dyDescent="0.15"/>
    <row r="29061" spans="3:3" s="8" customFormat="1" ht="21.95" customHeight="1" x14ac:dyDescent="0.15"/>
    <row r="29062" spans="3:3" s="8" customFormat="1" ht="21.95" customHeight="1" x14ac:dyDescent="0.15"/>
    <row r="29063" spans="3:3" s="8" customFormat="1" ht="21.95" customHeight="1" x14ac:dyDescent="0.15"/>
    <row r="29064" spans="3:3" s="8" customFormat="1" ht="21.95" customHeight="1" x14ac:dyDescent="0.15"/>
    <row r="29065" spans="3:3" s="9" customFormat="1" ht="21.95" customHeight="1" x14ac:dyDescent="0.15"/>
    <row r="29066" spans="3:3" s="9" customFormat="1" ht="21.95" customHeight="1" x14ac:dyDescent="0.15"/>
    <row r="29067" spans="3:3" s="9" customFormat="1" ht="21.95" customHeight="1" x14ac:dyDescent="0.15"/>
    <row r="29068" spans="3:3" s="9" customFormat="1" ht="21.95" customHeight="1" x14ac:dyDescent="0.15"/>
    <row r="29069" spans="3:3" s="8" customFormat="1" ht="21.95" customHeight="1" x14ac:dyDescent="0.15"/>
    <row r="29070" spans="3:3" s="8" customFormat="1" ht="21.95" customHeight="1" x14ac:dyDescent="0.15"/>
    <row r="29071" spans="3:3" s="8" customFormat="1" ht="21.95" customHeight="1" x14ac:dyDescent="0.15"/>
    <row r="29072" spans="3:3" s="8" customFormat="1" ht="21.95" customHeight="1" x14ac:dyDescent="0.15"/>
    <row r="29073" s="8" customFormat="1" ht="21.95" customHeight="1" x14ac:dyDescent="0.15"/>
    <row r="29074" s="8" customFormat="1" ht="21.95" customHeight="1" x14ac:dyDescent="0.15"/>
    <row r="29075" s="8" customFormat="1" ht="21.95" customHeight="1" x14ac:dyDescent="0.15"/>
    <row r="29076" s="8" customFormat="1" ht="21.95" customHeight="1" x14ac:dyDescent="0.15"/>
    <row r="29077" s="8" customFormat="1" ht="21.95" customHeight="1" x14ac:dyDescent="0.15"/>
    <row r="29078" s="8" customFormat="1" ht="21.95" customHeight="1" x14ac:dyDescent="0.15"/>
    <row r="29079" s="8" customFormat="1" ht="21.95" customHeight="1" x14ac:dyDescent="0.15"/>
    <row r="29080" s="8" customFormat="1" ht="32.1" customHeight="1" x14ac:dyDescent="0.15"/>
    <row r="29081" s="8" customFormat="1" ht="32.1" customHeight="1" x14ac:dyDescent="0.15"/>
    <row r="29082" s="8" customFormat="1" ht="32.1" customHeight="1" x14ac:dyDescent="0.15"/>
    <row r="29083" s="8" customFormat="1" ht="32.1" customHeight="1" x14ac:dyDescent="0.15"/>
    <row r="29084" s="8" customFormat="1" ht="32.1" customHeight="1" x14ac:dyDescent="0.15"/>
    <row r="29085" s="8" customFormat="1" ht="32.1" customHeight="1" x14ac:dyDescent="0.15"/>
    <row r="29086" s="9" customFormat="1" ht="32.1" customHeight="1" x14ac:dyDescent="0.15"/>
    <row r="29087" s="9" customFormat="1" ht="32.1" customHeight="1" x14ac:dyDescent="0.15"/>
    <row r="29088" s="9" customFormat="1" ht="32.1" customHeight="1" x14ac:dyDescent="0.15"/>
    <row r="29089" s="9" customFormat="1" ht="32.1" customHeight="1" x14ac:dyDescent="0.15"/>
    <row r="29090" s="9" customFormat="1" ht="21.95" customHeight="1" x14ac:dyDescent="0.15"/>
    <row r="29091" s="9" customFormat="1" ht="54" customHeight="1" x14ac:dyDescent="0.15"/>
    <row r="29092" s="9" customFormat="1" ht="21.95" customHeight="1" x14ac:dyDescent="0.15"/>
    <row r="29093" s="9" customFormat="1" ht="21.95" customHeight="1" x14ac:dyDescent="0.15"/>
    <row r="29094" s="9" customFormat="1" ht="21.95" customHeight="1" x14ac:dyDescent="0.15"/>
    <row r="29095" s="9" customFormat="1" ht="21.95" customHeight="1" x14ac:dyDescent="0.15"/>
    <row r="29096" s="9" customFormat="1" ht="21.95" customHeight="1" x14ac:dyDescent="0.15"/>
    <row r="29097" s="9" customFormat="1" ht="21.95" customHeight="1" x14ac:dyDescent="0.15"/>
    <row r="29098" s="9" customFormat="1" ht="21.95" customHeight="1" x14ac:dyDescent="0.15"/>
    <row r="29099" s="9" customFormat="1" ht="21.95" customHeight="1" x14ac:dyDescent="0.15"/>
    <row r="29100" s="9" customFormat="1" ht="21.95" customHeight="1" x14ac:dyDescent="0.15"/>
    <row r="29101" s="9" customFormat="1" ht="21.95" customHeight="1" x14ac:dyDescent="0.15"/>
    <row r="29102" s="9" customFormat="1" ht="21.95" customHeight="1" x14ac:dyDescent="0.15"/>
    <row r="29103" s="9" customFormat="1" ht="21.95" customHeight="1" x14ac:dyDescent="0.15"/>
    <row r="29104" s="9" customFormat="1" ht="21.95" customHeight="1" x14ac:dyDescent="0.15"/>
    <row r="29105" s="9" customFormat="1" ht="21.95" customHeight="1" x14ac:dyDescent="0.15"/>
    <row r="29106" s="9" customFormat="1" ht="21.95" customHeight="1" x14ac:dyDescent="0.15"/>
    <row r="29107" s="9" customFormat="1" ht="21.95" customHeight="1" x14ac:dyDescent="0.15"/>
    <row r="29108" s="9" customFormat="1" ht="21.95" customHeight="1" x14ac:dyDescent="0.15"/>
    <row r="29109" s="9" customFormat="1" ht="21.95" customHeight="1" x14ac:dyDescent="0.15"/>
    <row r="29110" s="9" customFormat="1" ht="21.95" customHeight="1" x14ac:dyDescent="0.15"/>
    <row r="29111" s="9" customFormat="1" ht="21.95" customHeight="1" x14ac:dyDescent="0.15"/>
    <row r="29112" s="9" customFormat="1" ht="21.95" customHeight="1" x14ac:dyDescent="0.15"/>
    <row r="29113" s="9" customFormat="1" ht="21.95" customHeight="1" x14ac:dyDescent="0.15"/>
    <row r="29114" s="9" customFormat="1" ht="21.95" customHeight="1" x14ac:dyDescent="0.15"/>
    <row r="29115" s="9" customFormat="1" ht="21.95" customHeight="1" x14ac:dyDescent="0.15"/>
    <row r="29116" s="9" customFormat="1" ht="21.95" customHeight="1" x14ac:dyDescent="0.15"/>
    <row r="29117" s="9" customFormat="1" ht="21.95" customHeight="1" x14ac:dyDescent="0.15"/>
    <row r="29118" s="9" customFormat="1" ht="21.95" customHeight="1" x14ac:dyDescent="0.15"/>
    <row r="29119" s="9" customFormat="1" ht="21.95" customHeight="1" x14ac:dyDescent="0.15"/>
    <row r="29120" s="9" customFormat="1" ht="21.95" customHeight="1" x14ac:dyDescent="0.15"/>
    <row r="29121" s="9" customFormat="1" ht="21.95" customHeight="1" x14ac:dyDescent="0.15"/>
    <row r="29122" s="9" customFormat="1" ht="21.95" customHeight="1" x14ac:dyDescent="0.15"/>
    <row r="29123" s="9" customFormat="1" ht="21.95" customHeight="1" x14ac:dyDescent="0.15"/>
    <row r="29124" s="9" customFormat="1" ht="21.95" customHeight="1" x14ac:dyDescent="0.15"/>
    <row r="29125" s="9" customFormat="1" ht="21.95" customHeight="1" x14ac:dyDescent="0.15"/>
    <row r="29126" s="9" customFormat="1" ht="21.95" customHeight="1" x14ac:dyDescent="0.15"/>
    <row r="29127" s="9" customFormat="1" ht="21.95" customHeight="1" x14ac:dyDescent="0.15"/>
    <row r="29128" s="9" customFormat="1" ht="21.95" customHeight="1" x14ac:dyDescent="0.15"/>
    <row r="29129" s="9" customFormat="1" ht="21.95" customHeight="1" x14ac:dyDescent="0.15"/>
    <row r="29130" s="9" customFormat="1" ht="21.95" customHeight="1" x14ac:dyDescent="0.15"/>
    <row r="29131" s="9" customFormat="1" ht="21.95" customHeight="1" x14ac:dyDescent="0.15"/>
    <row r="29132" s="9" customFormat="1" ht="21.95" customHeight="1" x14ac:dyDescent="0.15"/>
    <row r="29133" s="9" customFormat="1" ht="21.95" customHeight="1" x14ac:dyDescent="0.15"/>
    <row r="29134" s="9" customFormat="1" ht="21.95" customHeight="1" x14ac:dyDescent="0.15"/>
    <row r="29135" s="9" customFormat="1" ht="21.95" customHeight="1" x14ac:dyDescent="0.15"/>
    <row r="29136" s="9" customFormat="1" ht="21.95" customHeight="1" x14ac:dyDescent="0.15"/>
    <row r="29137" s="9" customFormat="1" ht="21.95" customHeight="1" x14ac:dyDescent="0.15"/>
    <row r="29138" s="9" customFormat="1" ht="21.95" customHeight="1" x14ac:dyDescent="0.15"/>
    <row r="29139" s="9" customFormat="1" ht="21.95" customHeight="1" x14ac:dyDescent="0.15"/>
    <row r="29140" s="9" customFormat="1" ht="21.95" customHeight="1" x14ac:dyDescent="0.15"/>
    <row r="29141" s="9" customFormat="1" ht="21.95" customHeight="1" x14ac:dyDescent="0.15"/>
    <row r="29142" s="9" customFormat="1" ht="35.1" customHeight="1" x14ac:dyDescent="0.15"/>
    <row r="29143" s="9" customFormat="1" ht="21.95" customHeight="1" x14ac:dyDescent="0.15"/>
    <row r="29144" s="9" customFormat="1" ht="21.95" customHeight="1" x14ac:dyDescent="0.15"/>
    <row r="29145" s="9" customFormat="1" ht="21.95" customHeight="1" x14ac:dyDescent="0.15"/>
    <row r="29146" s="9" customFormat="1" ht="21.95" customHeight="1" x14ac:dyDescent="0.15"/>
    <row r="29147" s="9" customFormat="1" ht="21.95" customHeight="1" x14ac:dyDescent="0.15"/>
    <row r="29148" s="9" customFormat="1" ht="21.95" customHeight="1" x14ac:dyDescent="0.15"/>
    <row r="29149" s="9" customFormat="1" ht="21.95" customHeight="1" x14ac:dyDescent="0.15"/>
    <row r="29150" s="9" customFormat="1" ht="21.95" customHeight="1" x14ac:dyDescent="0.15"/>
    <row r="29151" s="9" customFormat="1" ht="21.95" customHeight="1" x14ac:dyDescent="0.15"/>
    <row r="29152" s="9" customFormat="1" ht="21.95" customHeight="1" x14ac:dyDescent="0.15"/>
    <row r="29153" spans="3:3" s="9" customFormat="1" ht="21.95" customHeight="1" x14ac:dyDescent="0.15"/>
    <row r="29154" spans="3:3" s="9" customFormat="1" ht="21.95" customHeight="1" x14ac:dyDescent="0.15"/>
    <row r="29155" spans="3:3" s="9" customFormat="1" ht="21.95" customHeight="1" x14ac:dyDescent="0.15"/>
    <row r="29156" spans="3:3" s="9" customFormat="1" ht="21.95" customHeight="1" x14ac:dyDescent="0.15"/>
    <row r="29157" spans="3:3" s="9" customFormat="1" ht="21.95" customHeight="1" x14ac:dyDescent="0.15"/>
    <row r="29158" spans="3:3" s="9" customFormat="1" ht="21.95" customHeight="1" x14ac:dyDescent="0.15"/>
    <row r="29159" spans="3:3" s="9" customFormat="1" ht="21.95" customHeight="1" x14ac:dyDescent="0.15"/>
    <row r="29160" spans="3:3" s="9" customFormat="1" ht="21.95" customHeight="1" x14ac:dyDescent="0.15"/>
    <row r="29161" spans="3:3" s="9" customFormat="1" ht="21.95" customHeight="1" x14ac:dyDescent="0.15"/>
    <row r="29162" spans="3:3" s="9" customFormat="1" ht="21.95" customHeight="1" x14ac:dyDescent="0.15"/>
    <row r="29163" spans="3:3" s="9" customFormat="1" ht="21.95" customHeight="1" x14ac:dyDescent="0.15"/>
    <row r="29164" spans="3:3" s="9" customFormat="1" ht="21.95" customHeight="1" x14ac:dyDescent="0.15"/>
    <row r="29165" spans="3:3" s="9" customFormat="1" ht="21.95" customHeight="1" x14ac:dyDescent="0.15"/>
    <row r="29166" spans="3:3" s="8" customFormat="1" ht="21.95" customHeight="1" x14ac:dyDescent="0.15"/>
    <row r="29167" spans="3:3" s="8" customFormat="1" ht="21.95" customHeight="1" x14ac:dyDescent="0.15"/>
    <row r="29168" spans="3:3" s="8" customFormat="1" ht="21.95" customHeight="1" x14ac:dyDescent="0.15">
      <c r="C29168" s="101"/>
    </row>
    <row r="29169" spans="3:3" s="8" customFormat="1" ht="21.95" customHeight="1" x14ac:dyDescent="0.15">
      <c r="C29169" s="101"/>
    </row>
    <row r="29170" spans="3:3" s="8" customFormat="1" ht="21.95" customHeight="1" x14ac:dyDescent="0.15"/>
    <row r="29171" spans="3:3" s="8" customFormat="1" ht="21.95" customHeight="1" x14ac:dyDescent="0.15"/>
    <row r="29172" spans="3:3" s="8" customFormat="1" ht="21.95" customHeight="1" x14ac:dyDescent="0.15"/>
    <row r="29173" spans="3:3" s="8" customFormat="1" ht="21.95" customHeight="1" x14ac:dyDescent="0.15"/>
    <row r="29174" spans="3:3" s="8" customFormat="1" ht="21.95" customHeight="1" x14ac:dyDescent="0.15"/>
    <row r="29175" spans="3:3" s="8" customFormat="1" ht="21.95" customHeight="1" x14ac:dyDescent="0.15"/>
    <row r="29176" spans="3:3" s="8" customFormat="1" ht="21.95" customHeight="1" x14ac:dyDescent="0.15"/>
    <row r="29177" spans="3:3" s="9" customFormat="1" ht="21.95" customHeight="1" x14ac:dyDescent="0.15"/>
    <row r="29178" spans="3:3" s="9" customFormat="1" ht="21.95" customHeight="1" x14ac:dyDescent="0.15"/>
    <row r="29179" spans="3:3" s="9" customFormat="1" ht="21.95" customHeight="1" x14ac:dyDescent="0.15"/>
    <row r="29180" spans="3:3" s="9" customFormat="1" ht="21.95" customHeight="1" x14ac:dyDescent="0.15"/>
    <row r="29181" spans="3:3" s="8" customFormat="1" ht="21.95" customHeight="1" x14ac:dyDescent="0.15"/>
    <row r="29182" spans="3:3" s="8" customFormat="1" ht="21.95" customHeight="1" x14ac:dyDescent="0.15"/>
    <row r="29183" spans="3:3" s="8" customFormat="1" ht="21.95" customHeight="1" x14ac:dyDescent="0.15"/>
    <row r="29184" spans="3:3" s="8" customFormat="1" ht="21.95" customHeight="1" x14ac:dyDescent="0.15"/>
    <row r="29185" s="8" customFormat="1" ht="21.95" customHeight="1" x14ac:dyDescent="0.15"/>
    <row r="29186" s="8" customFormat="1" ht="21.95" customHeight="1" x14ac:dyDescent="0.15"/>
    <row r="29187" s="8" customFormat="1" ht="21.95" customHeight="1" x14ac:dyDescent="0.15"/>
    <row r="29188" s="8" customFormat="1" ht="21.95" customHeight="1" x14ac:dyDescent="0.15"/>
    <row r="29189" s="8" customFormat="1" ht="21.95" customHeight="1" x14ac:dyDescent="0.15"/>
    <row r="29190" s="8" customFormat="1" ht="21.95" customHeight="1" x14ac:dyDescent="0.15"/>
    <row r="29191" s="8" customFormat="1" ht="21.95" customHeight="1" x14ac:dyDescent="0.15"/>
    <row r="29192" s="8" customFormat="1" ht="32.1" customHeight="1" x14ac:dyDescent="0.15"/>
    <row r="29193" s="8" customFormat="1" ht="32.1" customHeight="1" x14ac:dyDescent="0.15"/>
    <row r="29194" s="8" customFormat="1" ht="32.1" customHeight="1" x14ac:dyDescent="0.15"/>
    <row r="29195" s="8" customFormat="1" ht="32.1" customHeight="1" x14ac:dyDescent="0.15"/>
    <row r="29196" s="8" customFormat="1" ht="32.1" customHeight="1" x14ac:dyDescent="0.15"/>
    <row r="29197" s="8" customFormat="1" ht="32.1" customHeight="1" x14ac:dyDescent="0.15"/>
    <row r="29198" s="9" customFormat="1" ht="32.1" customHeight="1" x14ac:dyDescent="0.15"/>
    <row r="29199" s="9" customFormat="1" ht="32.1" customHeight="1" x14ac:dyDescent="0.15"/>
    <row r="29200" s="9" customFormat="1" ht="32.1" customHeight="1" x14ac:dyDescent="0.15"/>
    <row r="29201" s="9" customFormat="1" ht="32.1" customHeight="1" x14ac:dyDescent="0.15"/>
    <row r="29202" s="9" customFormat="1" ht="21.95" customHeight="1" x14ac:dyDescent="0.15"/>
    <row r="29203" s="9" customFormat="1" ht="54" customHeight="1" x14ac:dyDescent="0.15"/>
    <row r="29204" s="9" customFormat="1" ht="21.95" customHeight="1" x14ac:dyDescent="0.15"/>
    <row r="29205" s="9" customFormat="1" ht="21.95" customHeight="1" x14ac:dyDescent="0.15"/>
    <row r="29206" s="9" customFormat="1" ht="21.95" customHeight="1" x14ac:dyDescent="0.15"/>
    <row r="29207" s="9" customFormat="1" ht="21.95" customHeight="1" x14ac:dyDescent="0.15"/>
    <row r="29208" s="9" customFormat="1" ht="21.95" customHeight="1" x14ac:dyDescent="0.15"/>
    <row r="29209" s="9" customFormat="1" ht="21.95" customHeight="1" x14ac:dyDescent="0.15"/>
    <row r="29210" s="9" customFormat="1" ht="21.95" customHeight="1" x14ac:dyDescent="0.15"/>
    <row r="29211" s="9" customFormat="1" ht="21.95" customHeight="1" x14ac:dyDescent="0.15"/>
    <row r="29212" s="9" customFormat="1" ht="21.95" customHeight="1" x14ac:dyDescent="0.15"/>
    <row r="29213" s="9" customFormat="1" ht="21.95" customHeight="1" x14ac:dyDescent="0.15"/>
    <row r="29214" s="9" customFormat="1" ht="21.95" customHeight="1" x14ac:dyDescent="0.15"/>
    <row r="29215" s="9" customFormat="1" ht="21.95" customHeight="1" x14ac:dyDescent="0.15"/>
    <row r="29216" s="9" customFormat="1" ht="21.95" customHeight="1" x14ac:dyDescent="0.15"/>
    <row r="29217" s="9" customFormat="1" ht="21.95" customHeight="1" x14ac:dyDescent="0.15"/>
    <row r="29218" s="9" customFormat="1" ht="21.95" customHeight="1" x14ac:dyDescent="0.15"/>
    <row r="29219" s="9" customFormat="1" ht="21.95" customHeight="1" x14ac:dyDescent="0.15"/>
    <row r="29220" s="9" customFormat="1" ht="21.95" customHeight="1" x14ac:dyDescent="0.15"/>
    <row r="29221" s="9" customFormat="1" ht="21.95" customHeight="1" x14ac:dyDescent="0.15"/>
    <row r="29222" s="9" customFormat="1" ht="21.95" customHeight="1" x14ac:dyDescent="0.15"/>
    <row r="29223" s="9" customFormat="1" ht="21.95" customHeight="1" x14ac:dyDescent="0.15"/>
    <row r="29224" s="9" customFormat="1" ht="21.95" customHeight="1" x14ac:dyDescent="0.15"/>
    <row r="29225" s="9" customFormat="1" ht="21.95" customHeight="1" x14ac:dyDescent="0.15"/>
    <row r="29226" s="9" customFormat="1" ht="21.95" customHeight="1" x14ac:dyDescent="0.15"/>
    <row r="29227" s="9" customFormat="1" ht="21.95" customHeight="1" x14ac:dyDescent="0.15"/>
    <row r="29228" s="9" customFormat="1" ht="21.95" customHeight="1" x14ac:dyDescent="0.15"/>
    <row r="29229" s="9" customFormat="1" ht="21.95" customHeight="1" x14ac:dyDescent="0.15"/>
    <row r="29230" s="9" customFormat="1" ht="21.95" customHeight="1" x14ac:dyDescent="0.15"/>
    <row r="29231" s="9" customFormat="1" ht="21.95" customHeight="1" x14ac:dyDescent="0.15"/>
    <row r="29232" s="9" customFormat="1" ht="21.95" customHeight="1" x14ac:dyDescent="0.15"/>
    <row r="29233" s="9" customFormat="1" ht="21.95" customHeight="1" x14ac:dyDescent="0.15"/>
    <row r="29234" s="9" customFormat="1" ht="21.95" customHeight="1" x14ac:dyDescent="0.15"/>
    <row r="29235" s="9" customFormat="1" ht="21.95" customHeight="1" x14ac:dyDescent="0.15"/>
    <row r="29236" s="9" customFormat="1" ht="21.95" customHeight="1" x14ac:dyDescent="0.15"/>
    <row r="29237" s="9" customFormat="1" ht="21.95" customHeight="1" x14ac:dyDescent="0.15"/>
    <row r="29238" s="9" customFormat="1" ht="21.95" customHeight="1" x14ac:dyDescent="0.15"/>
    <row r="29239" s="9" customFormat="1" ht="21.95" customHeight="1" x14ac:dyDescent="0.15"/>
    <row r="29240" s="9" customFormat="1" ht="21.95" customHeight="1" x14ac:dyDescent="0.15"/>
    <row r="29241" s="9" customFormat="1" ht="21.95" customHeight="1" x14ac:dyDescent="0.15"/>
    <row r="29242" s="9" customFormat="1" ht="21.95" customHeight="1" x14ac:dyDescent="0.15"/>
    <row r="29243" s="9" customFormat="1" ht="21.95" customHeight="1" x14ac:dyDescent="0.15"/>
    <row r="29244" s="9" customFormat="1" ht="21.95" customHeight="1" x14ac:dyDescent="0.15"/>
    <row r="29245" s="9" customFormat="1" ht="21.95" customHeight="1" x14ac:dyDescent="0.15"/>
    <row r="29246" s="9" customFormat="1" ht="21.95" customHeight="1" x14ac:dyDescent="0.15"/>
    <row r="29247" s="9" customFormat="1" ht="21.95" customHeight="1" x14ac:dyDescent="0.15"/>
    <row r="29248" s="9" customFormat="1" ht="21.95" customHeight="1" x14ac:dyDescent="0.15"/>
    <row r="29249" s="9" customFormat="1" ht="21.95" customHeight="1" x14ac:dyDescent="0.15"/>
    <row r="29250" s="9" customFormat="1" ht="21.95" customHeight="1" x14ac:dyDescent="0.15"/>
    <row r="29251" s="9" customFormat="1" ht="21.95" customHeight="1" x14ac:dyDescent="0.15"/>
    <row r="29252" s="9" customFormat="1" ht="21.95" customHeight="1" x14ac:dyDescent="0.15"/>
    <row r="29253" s="9" customFormat="1" ht="21.95" customHeight="1" x14ac:dyDescent="0.15"/>
    <row r="29254" s="9" customFormat="1" ht="35.1" customHeight="1" x14ac:dyDescent="0.15"/>
    <row r="29255" s="9" customFormat="1" ht="21.95" customHeight="1" x14ac:dyDescent="0.15"/>
    <row r="29256" s="9" customFormat="1" ht="21.95" customHeight="1" x14ac:dyDescent="0.15"/>
    <row r="29257" s="9" customFormat="1" ht="21.95" customHeight="1" x14ac:dyDescent="0.15"/>
    <row r="29258" s="9" customFormat="1" ht="21.95" customHeight="1" x14ac:dyDescent="0.15"/>
    <row r="29259" s="9" customFormat="1" ht="21.95" customHeight="1" x14ac:dyDescent="0.15"/>
    <row r="29260" s="9" customFormat="1" ht="21.95" customHeight="1" x14ac:dyDescent="0.15"/>
    <row r="29261" s="9" customFormat="1" ht="21.95" customHeight="1" x14ac:dyDescent="0.15"/>
    <row r="29262" s="9" customFormat="1" ht="21.95" customHeight="1" x14ac:dyDescent="0.15"/>
    <row r="29263" s="9" customFormat="1" ht="21.95" customHeight="1" x14ac:dyDescent="0.15"/>
    <row r="29264" s="9" customFormat="1" ht="21.95" customHeight="1" x14ac:dyDescent="0.15"/>
    <row r="29265" spans="3:3" s="9" customFormat="1" ht="21.95" customHeight="1" x14ac:dyDescent="0.15"/>
    <row r="29266" spans="3:3" s="9" customFormat="1" ht="21.95" customHeight="1" x14ac:dyDescent="0.15"/>
    <row r="29267" spans="3:3" s="9" customFormat="1" ht="21.95" customHeight="1" x14ac:dyDescent="0.15"/>
    <row r="29268" spans="3:3" s="9" customFormat="1" ht="21.95" customHeight="1" x14ac:dyDescent="0.15"/>
    <row r="29269" spans="3:3" s="9" customFormat="1" ht="21.95" customHeight="1" x14ac:dyDescent="0.15"/>
    <row r="29270" spans="3:3" s="9" customFormat="1" ht="21.95" customHeight="1" x14ac:dyDescent="0.15"/>
    <row r="29271" spans="3:3" s="9" customFormat="1" ht="21.95" customHeight="1" x14ac:dyDescent="0.15"/>
    <row r="29272" spans="3:3" s="9" customFormat="1" ht="21.95" customHeight="1" x14ac:dyDescent="0.15"/>
    <row r="29273" spans="3:3" s="9" customFormat="1" ht="21.95" customHeight="1" x14ac:dyDescent="0.15"/>
    <row r="29274" spans="3:3" s="9" customFormat="1" ht="21.95" customHeight="1" x14ac:dyDescent="0.15"/>
    <row r="29275" spans="3:3" s="9" customFormat="1" ht="21.95" customHeight="1" x14ac:dyDescent="0.15"/>
    <row r="29276" spans="3:3" s="9" customFormat="1" ht="21.95" customHeight="1" x14ac:dyDescent="0.15"/>
    <row r="29277" spans="3:3" s="9" customFormat="1" ht="21.95" customHeight="1" x14ac:dyDescent="0.15"/>
    <row r="29278" spans="3:3" s="8" customFormat="1" ht="21.95" customHeight="1" x14ac:dyDescent="0.15"/>
    <row r="29279" spans="3:3" s="8" customFormat="1" ht="21.95" customHeight="1" x14ac:dyDescent="0.15"/>
    <row r="29280" spans="3:3" s="8" customFormat="1" ht="21.95" customHeight="1" x14ac:dyDescent="0.15">
      <c r="C29280" s="101"/>
    </row>
    <row r="29281" spans="3:3" s="8" customFormat="1" ht="21.95" customHeight="1" x14ac:dyDescent="0.15">
      <c r="C29281" s="101"/>
    </row>
    <row r="29282" spans="3:3" s="8" customFormat="1" ht="21.95" customHeight="1" x14ac:dyDescent="0.15"/>
    <row r="29283" spans="3:3" s="8" customFormat="1" ht="21.95" customHeight="1" x14ac:dyDescent="0.15"/>
    <row r="29284" spans="3:3" s="8" customFormat="1" ht="21.95" customHeight="1" x14ac:dyDescent="0.15"/>
    <row r="29285" spans="3:3" s="8" customFormat="1" ht="21.95" customHeight="1" x14ac:dyDescent="0.15"/>
    <row r="29286" spans="3:3" s="8" customFormat="1" ht="21.95" customHeight="1" x14ac:dyDescent="0.15"/>
    <row r="29287" spans="3:3" s="8" customFormat="1" ht="21.95" customHeight="1" x14ac:dyDescent="0.15"/>
    <row r="29288" spans="3:3" s="8" customFormat="1" ht="21.95" customHeight="1" x14ac:dyDescent="0.15"/>
    <row r="29289" spans="3:3" s="9" customFormat="1" ht="21.95" customHeight="1" x14ac:dyDescent="0.15"/>
    <row r="29290" spans="3:3" s="9" customFormat="1" ht="21.95" customHeight="1" x14ac:dyDescent="0.15"/>
    <row r="29291" spans="3:3" s="9" customFormat="1" ht="21.95" customHeight="1" x14ac:dyDescent="0.15"/>
    <row r="29292" spans="3:3" s="9" customFormat="1" ht="21.95" customHeight="1" x14ac:dyDescent="0.15"/>
    <row r="29293" spans="3:3" s="8" customFormat="1" ht="21.95" customHeight="1" x14ac:dyDescent="0.15"/>
    <row r="29294" spans="3:3" s="8" customFormat="1" ht="21.95" customHeight="1" x14ac:dyDescent="0.15"/>
    <row r="29295" spans="3:3" s="8" customFormat="1" ht="21.95" customHeight="1" x14ac:dyDescent="0.15"/>
    <row r="29296" spans="3:3" s="8" customFormat="1" ht="21.95" customHeight="1" x14ac:dyDescent="0.15"/>
    <row r="29297" s="8" customFormat="1" ht="21.95" customHeight="1" x14ac:dyDescent="0.15"/>
    <row r="29298" s="8" customFormat="1" ht="21.95" customHeight="1" x14ac:dyDescent="0.15"/>
    <row r="29299" s="8" customFormat="1" ht="21.95" customHeight="1" x14ac:dyDescent="0.15"/>
    <row r="29300" s="8" customFormat="1" ht="21.95" customHeight="1" x14ac:dyDescent="0.15"/>
    <row r="29301" s="8" customFormat="1" ht="21.95" customHeight="1" x14ac:dyDescent="0.15"/>
    <row r="29302" s="8" customFormat="1" ht="21.95" customHeight="1" x14ac:dyDescent="0.15"/>
    <row r="29303" s="8" customFormat="1" ht="21.95" customHeight="1" x14ac:dyDescent="0.15"/>
    <row r="29304" s="8" customFormat="1" ht="32.1" customHeight="1" x14ac:dyDescent="0.15"/>
    <row r="29305" s="8" customFormat="1" ht="32.1" customHeight="1" x14ac:dyDescent="0.15"/>
    <row r="29306" s="8" customFormat="1" ht="32.1" customHeight="1" x14ac:dyDescent="0.15"/>
    <row r="29307" s="8" customFormat="1" ht="32.1" customHeight="1" x14ac:dyDescent="0.15"/>
    <row r="29308" s="8" customFormat="1" ht="32.1" customHeight="1" x14ac:dyDescent="0.15"/>
    <row r="29309" s="8" customFormat="1" ht="32.1" customHeight="1" x14ac:dyDescent="0.15"/>
    <row r="29310" s="9" customFormat="1" ht="32.1" customHeight="1" x14ac:dyDescent="0.15"/>
    <row r="29311" s="9" customFormat="1" ht="32.1" customHeight="1" x14ac:dyDescent="0.15"/>
    <row r="29312" s="9" customFormat="1" ht="32.1" customHeight="1" x14ac:dyDescent="0.15"/>
    <row r="29313" s="9" customFormat="1" ht="32.1" customHeight="1" x14ac:dyDescent="0.15"/>
    <row r="29314" s="9" customFormat="1" ht="21.95" customHeight="1" x14ac:dyDescent="0.15"/>
    <row r="29315" s="9" customFormat="1" ht="54" customHeight="1" x14ac:dyDescent="0.15"/>
    <row r="29316" s="9" customFormat="1" ht="21.95" customHeight="1" x14ac:dyDescent="0.15"/>
    <row r="29317" s="9" customFormat="1" ht="21.95" customHeight="1" x14ac:dyDescent="0.15"/>
    <row r="29318" s="9" customFormat="1" ht="21.95" customHeight="1" x14ac:dyDescent="0.15"/>
    <row r="29319" s="9" customFormat="1" ht="21.95" customHeight="1" x14ac:dyDescent="0.15"/>
    <row r="29320" s="9" customFormat="1" ht="21.95" customHeight="1" x14ac:dyDescent="0.15"/>
    <row r="29321" s="9" customFormat="1" ht="21.95" customHeight="1" x14ac:dyDescent="0.15"/>
    <row r="29322" s="9" customFormat="1" ht="21.95" customHeight="1" x14ac:dyDescent="0.15"/>
    <row r="29323" s="9" customFormat="1" ht="21.95" customHeight="1" x14ac:dyDescent="0.15"/>
    <row r="29324" s="9" customFormat="1" ht="21.95" customHeight="1" x14ac:dyDescent="0.15"/>
    <row r="29325" s="9" customFormat="1" ht="21.95" customHeight="1" x14ac:dyDescent="0.15"/>
    <row r="29326" s="9" customFormat="1" ht="21.95" customHeight="1" x14ac:dyDescent="0.15"/>
    <row r="29327" s="9" customFormat="1" ht="21.95" customHeight="1" x14ac:dyDescent="0.15"/>
    <row r="29328" s="9" customFormat="1" ht="21.95" customHeight="1" x14ac:dyDescent="0.15"/>
    <row r="29329" s="9" customFormat="1" ht="21.95" customHeight="1" x14ac:dyDescent="0.15"/>
    <row r="29330" s="9" customFormat="1" ht="21.95" customHeight="1" x14ac:dyDescent="0.15"/>
    <row r="29331" s="9" customFormat="1" ht="21.95" customHeight="1" x14ac:dyDescent="0.15"/>
    <row r="29332" s="9" customFormat="1" ht="21.95" customHeight="1" x14ac:dyDescent="0.15"/>
    <row r="29333" s="9" customFormat="1" ht="21.95" customHeight="1" x14ac:dyDescent="0.15"/>
    <row r="29334" s="9" customFormat="1" ht="21.95" customHeight="1" x14ac:dyDescent="0.15"/>
    <row r="29335" s="9" customFormat="1" ht="21.95" customHeight="1" x14ac:dyDescent="0.15"/>
    <row r="29336" s="9" customFormat="1" ht="21.95" customHeight="1" x14ac:dyDescent="0.15"/>
    <row r="29337" s="9" customFormat="1" ht="21.95" customHeight="1" x14ac:dyDescent="0.15"/>
    <row r="29338" s="9" customFormat="1" ht="21.95" customHeight="1" x14ac:dyDescent="0.15"/>
    <row r="29339" s="9" customFormat="1" ht="21.95" customHeight="1" x14ac:dyDescent="0.15"/>
    <row r="29340" s="9" customFormat="1" ht="21.95" customHeight="1" x14ac:dyDescent="0.15"/>
    <row r="29341" s="9" customFormat="1" ht="21.95" customHeight="1" x14ac:dyDescent="0.15"/>
    <row r="29342" s="9" customFormat="1" ht="21.95" customHeight="1" x14ac:dyDescent="0.15"/>
    <row r="29343" s="9" customFormat="1" ht="21.95" customHeight="1" x14ac:dyDescent="0.15"/>
    <row r="29344" s="9" customFormat="1" ht="21.95" customHeight="1" x14ac:dyDescent="0.15"/>
    <row r="29345" s="9" customFormat="1" ht="21.95" customHeight="1" x14ac:dyDescent="0.15"/>
    <row r="29346" s="9" customFormat="1" ht="21.95" customHeight="1" x14ac:dyDescent="0.15"/>
    <row r="29347" s="9" customFormat="1" ht="21.95" customHeight="1" x14ac:dyDescent="0.15"/>
    <row r="29348" s="9" customFormat="1" ht="21.95" customHeight="1" x14ac:dyDescent="0.15"/>
    <row r="29349" s="9" customFormat="1" ht="21.95" customHeight="1" x14ac:dyDescent="0.15"/>
    <row r="29350" s="9" customFormat="1" ht="21.95" customHeight="1" x14ac:dyDescent="0.15"/>
    <row r="29351" s="9" customFormat="1" ht="21.95" customHeight="1" x14ac:dyDescent="0.15"/>
    <row r="29352" s="9" customFormat="1" ht="21.95" customHeight="1" x14ac:dyDescent="0.15"/>
    <row r="29353" s="9" customFormat="1" ht="21.95" customHeight="1" x14ac:dyDescent="0.15"/>
    <row r="29354" s="9" customFormat="1" ht="21.95" customHeight="1" x14ac:dyDescent="0.15"/>
    <row r="29355" s="9" customFormat="1" ht="21.95" customHeight="1" x14ac:dyDescent="0.15"/>
    <row r="29356" s="9" customFormat="1" ht="21.95" customHeight="1" x14ac:dyDescent="0.15"/>
    <row r="29357" s="9" customFormat="1" ht="21.95" customHeight="1" x14ac:dyDescent="0.15"/>
    <row r="29358" s="9" customFormat="1" ht="21.95" customHeight="1" x14ac:dyDescent="0.15"/>
    <row r="29359" s="9" customFormat="1" ht="21.95" customHeight="1" x14ac:dyDescent="0.15"/>
    <row r="29360" s="9" customFormat="1" ht="21.95" customHeight="1" x14ac:dyDescent="0.15"/>
    <row r="29361" s="9" customFormat="1" ht="21.95" customHeight="1" x14ac:dyDescent="0.15"/>
    <row r="29362" s="9" customFormat="1" ht="21.95" customHeight="1" x14ac:dyDescent="0.15"/>
    <row r="29363" s="9" customFormat="1" ht="21.95" customHeight="1" x14ac:dyDescent="0.15"/>
    <row r="29364" s="9" customFormat="1" ht="21.95" customHeight="1" x14ac:dyDescent="0.15"/>
    <row r="29365" s="9" customFormat="1" ht="21.95" customHeight="1" x14ac:dyDescent="0.15"/>
    <row r="29366" s="9" customFormat="1" ht="35.1" customHeight="1" x14ac:dyDescent="0.15"/>
    <row r="29367" s="9" customFormat="1" ht="21.95" customHeight="1" x14ac:dyDescent="0.15"/>
    <row r="29368" s="9" customFormat="1" ht="21.95" customHeight="1" x14ac:dyDescent="0.15"/>
    <row r="29369" s="9" customFormat="1" ht="21.95" customHeight="1" x14ac:dyDescent="0.15"/>
    <row r="29370" s="9" customFormat="1" ht="21.95" customHeight="1" x14ac:dyDescent="0.15"/>
    <row r="29371" s="9" customFormat="1" ht="21.95" customHeight="1" x14ac:dyDescent="0.15"/>
    <row r="29372" s="9" customFormat="1" ht="21.95" customHeight="1" x14ac:dyDescent="0.15"/>
    <row r="29373" s="9" customFormat="1" ht="21.95" customHeight="1" x14ac:dyDescent="0.15"/>
    <row r="29374" s="9" customFormat="1" ht="21.95" customHeight="1" x14ac:dyDescent="0.15"/>
    <row r="29375" s="9" customFormat="1" ht="21.95" customHeight="1" x14ac:dyDescent="0.15"/>
    <row r="29376" s="9" customFormat="1" ht="21.95" customHeight="1" x14ac:dyDescent="0.15"/>
    <row r="29377" spans="3:3" s="9" customFormat="1" ht="21.95" customHeight="1" x14ac:dyDescent="0.15"/>
    <row r="29378" spans="3:3" s="9" customFormat="1" ht="21.95" customHeight="1" x14ac:dyDescent="0.15"/>
    <row r="29379" spans="3:3" s="9" customFormat="1" ht="21.95" customHeight="1" x14ac:dyDescent="0.15"/>
    <row r="29380" spans="3:3" s="9" customFormat="1" ht="21.95" customHeight="1" x14ac:dyDescent="0.15"/>
    <row r="29381" spans="3:3" s="9" customFormat="1" ht="21.95" customHeight="1" x14ac:dyDescent="0.15"/>
    <row r="29382" spans="3:3" s="9" customFormat="1" ht="21.95" customHeight="1" x14ac:dyDescent="0.15"/>
    <row r="29383" spans="3:3" s="9" customFormat="1" ht="21.95" customHeight="1" x14ac:dyDescent="0.15"/>
    <row r="29384" spans="3:3" s="9" customFormat="1" ht="21.95" customHeight="1" x14ac:dyDescent="0.15"/>
    <row r="29385" spans="3:3" s="9" customFormat="1" ht="21.95" customHeight="1" x14ac:dyDescent="0.15"/>
    <row r="29386" spans="3:3" s="9" customFormat="1" ht="21.95" customHeight="1" x14ac:dyDescent="0.15"/>
    <row r="29387" spans="3:3" s="9" customFormat="1" ht="21.95" customHeight="1" x14ac:dyDescent="0.15"/>
    <row r="29388" spans="3:3" s="9" customFormat="1" ht="21.95" customHeight="1" x14ac:dyDescent="0.15"/>
    <row r="29389" spans="3:3" s="9" customFormat="1" ht="21.95" customHeight="1" x14ac:dyDescent="0.15"/>
    <row r="29390" spans="3:3" s="8" customFormat="1" ht="21.95" customHeight="1" x14ac:dyDescent="0.15"/>
    <row r="29391" spans="3:3" s="8" customFormat="1" ht="21.95" customHeight="1" x14ac:dyDescent="0.15"/>
    <row r="29392" spans="3:3" s="8" customFormat="1" ht="21.95" customHeight="1" x14ac:dyDescent="0.15">
      <c r="C29392" s="101"/>
    </row>
    <row r="29393" spans="3:3" s="8" customFormat="1" ht="21.95" customHeight="1" x14ac:dyDescent="0.15">
      <c r="C29393" s="101"/>
    </row>
    <row r="29394" spans="3:3" s="8" customFormat="1" ht="21.95" customHeight="1" x14ac:dyDescent="0.15"/>
    <row r="29395" spans="3:3" s="8" customFormat="1" ht="21.95" customHeight="1" x14ac:dyDescent="0.15"/>
    <row r="29396" spans="3:3" s="8" customFormat="1" ht="21.95" customHeight="1" x14ac:dyDescent="0.15"/>
    <row r="29397" spans="3:3" s="8" customFormat="1" ht="21.95" customHeight="1" x14ac:dyDescent="0.15"/>
    <row r="29398" spans="3:3" s="8" customFormat="1" ht="21.95" customHeight="1" x14ac:dyDescent="0.15"/>
    <row r="29399" spans="3:3" s="8" customFormat="1" ht="21.95" customHeight="1" x14ac:dyDescent="0.15"/>
    <row r="29400" spans="3:3" s="8" customFormat="1" ht="21.95" customHeight="1" x14ac:dyDescent="0.15"/>
    <row r="29401" spans="3:3" s="9" customFormat="1" ht="21.95" customHeight="1" x14ac:dyDescent="0.15"/>
    <row r="29402" spans="3:3" s="9" customFormat="1" ht="21.95" customHeight="1" x14ac:dyDescent="0.15"/>
    <row r="29403" spans="3:3" s="9" customFormat="1" ht="21.95" customHeight="1" x14ac:dyDescent="0.15"/>
    <row r="29404" spans="3:3" s="9" customFormat="1" ht="21.95" customHeight="1" x14ac:dyDescent="0.15"/>
    <row r="29405" spans="3:3" s="8" customFormat="1" ht="21.95" customHeight="1" x14ac:dyDescent="0.15"/>
    <row r="29406" spans="3:3" s="8" customFormat="1" ht="21.95" customHeight="1" x14ac:dyDescent="0.15"/>
    <row r="29407" spans="3:3" s="8" customFormat="1" ht="21.95" customHeight="1" x14ac:dyDescent="0.15"/>
    <row r="29408" spans="3:3" s="8" customFormat="1" ht="21.95" customHeight="1" x14ac:dyDescent="0.15"/>
    <row r="29409" s="8" customFormat="1" ht="21.95" customHeight="1" x14ac:dyDescent="0.15"/>
    <row r="29410" s="8" customFormat="1" ht="21.95" customHeight="1" x14ac:dyDescent="0.15"/>
    <row r="29411" s="8" customFormat="1" ht="21.95" customHeight="1" x14ac:dyDescent="0.15"/>
    <row r="29412" s="8" customFormat="1" ht="21.95" customHeight="1" x14ac:dyDescent="0.15"/>
    <row r="29413" s="8" customFormat="1" ht="21.95" customHeight="1" x14ac:dyDescent="0.15"/>
    <row r="29414" s="8" customFormat="1" ht="21.95" customHeight="1" x14ac:dyDescent="0.15"/>
    <row r="29415" s="8" customFormat="1" ht="21.95" customHeight="1" x14ac:dyDescent="0.15"/>
    <row r="29416" s="8" customFormat="1" ht="32.1" customHeight="1" x14ac:dyDescent="0.15"/>
    <row r="29417" s="8" customFormat="1" ht="32.1" customHeight="1" x14ac:dyDescent="0.15"/>
    <row r="29418" s="8" customFormat="1" ht="32.1" customHeight="1" x14ac:dyDescent="0.15"/>
    <row r="29419" s="8" customFormat="1" ht="32.1" customHeight="1" x14ac:dyDescent="0.15"/>
    <row r="29420" s="8" customFormat="1" ht="32.1" customHeight="1" x14ac:dyDescent="0.15"/>
    <row r="29421" s="8" customFormat="1" ht="32.1" customHeight="1" x14ac:dyDescent="0.15"/>
    <row r="29422" s="9" customFormat="1" ht="32.1" customHeight="1" x14ac:dyDescent="0.15"/>
    <row r="29423" s="9" customFormat="1" ht="32.1" customHeight="1" x14ac:dyDescent="0.15"/>
    <row r="29424" s="9" customFormat="1" ht="32.1" customHeight="1" x14ac:dyDescent="0.15"/>
    <row r="29425" s="9" customFormat="1" ht="32.1" customHeight="1" x14ac:dyDescent="0.15"/>
    <row r="29426" s="9" customFormat="1" ht="21.95" customHeight="1" x14ac:dyDescent="0.15"/>
    <row r="29427" s="9" customFormat="1" ht="54" customHeight="1" x14ac:dyDescent="0.15"/>
    <row r="29428" s="9" customFormat="1" ht="21.95" customHeight="1" x14ac:dyDescent="0.15"/>
    <row r="29429" s="9" customFormat="1" ht="21.95" customHeight="1" x14ac:dyDescent="0.15"/>
    <row r="29430" s="9" customFormat="1" ht="21.95" customHeight="1" x14ac:dyDescent="0.15"/>
    <row r="29431" s="9" customFormat="1" ht="21.95" customHeight="1" x14ac:dyDescent="0.15"/>
    <row r="29432" s="9" customFormat="1" ht="21.95" customHeight="1" x14ac:dyDescent="0.15"/>
    <row r="29433" s="9" customFormat="1" ht="21.95" customHeight="1" x14ac:dyDescent="0.15"/>
    <row r="29434" s="9" customFormat="1" ht="21.95" customHeight="1" x14ac:dyDescent="0.15"/>
    <row r="29435" s="9" customFormat="1" ht="21.95" customHeight="1" x14ac:dyDescent="0.15"/>
    <row r="29436" s="9" customFormat="1" ht="21.95" customHeight="1" x14ac:dyDescent="0.15"/>
    <row r="29437" s="9" customFormat="1" ht="21.95" customHeight="1" x14ac:dyDescent="0.15"/>
    <row r="29438" s="9" customFormat="1" ht="21.95" customHeight="1" x14ac:dyDescent="0.15"/>
    <row r="29439" s="9" customFormat="1" ht="21.95" customHeight="1" x14ac:dyDescent="0.15"/>
    <row r="29440" s="9" customFormat="1" ht="21.95" customHeight="1" x14ac:dyDescent="0.15"/>
    <row r="29441" s="9" customFormat="1" ht="21.95" customHeight="1" x14ac:dyDescent="0.15"/>
    <row r="29442" s="9" customFormat="1" ht="21.95" customHeight="1" x14ac:dyDescent="0.15"/>
    <row r="29443" s="9" customFormat="1" ht="21.95" customHeight="1" x14ac:dyDescent="0.15"/>
    <row r="29444" s="9" customFormat="1" ht="21.95" customHeight="1" x14ac:dyDescent="0.15"/>
    <row r="29445" s="9" customFormat="1" ht="21.95" customHeight="1" x14ac:dyDescent="0.15"/>
    <row r="29446" s="9" customFormat="1" ht="21.95" customHeight="1" x14ac:dyDescent="0.15"/>
    <row r="29447" s="9" customFormat="1" ht="21.95" customHeight="1" x14ac:dyDescent="0.15"/>
    <row r="29448" s="9" customFormat="1" ht="21.95" customHeight="1" x14ac:dyDescent="0.15"/>
    <row r="29449" s="9" customFormat="1" ht="21.95" customHeight="1" x14ac:dyDescent="0.15"/>
    <row r="29450" s="9" customFormat="1" ht="21.95" customHeight="1" x14ac:dyDescent="0.15"/>
    <row r="29451" s="9" customFormat="1" ht="21.95" customHeight="1" x14ac:dyDescent="0.15"/>
    <row r="29452" s="9" customFormat="1" ht="21.95" customHeight="1" x14ac:dyDescent="0.15"/>
    <row r="29453" s="9" customFormat="1" ht="21.95" customHeight="1" x14ac:dyDescent="0.15"/>
    <row r="29454" s="9" customFormat="1" ht="21.95" customHeight="1" x14ac:dyDescent="0.15"/>
    <row r="29455" s="9" customFormat="1" ht="21.95" customHeight="1" x14ac:dyDescent="0.15"/>
    <row r="29456" s="9" customFormat="1" ht="21.95" customHeight="1" x14ac:dyDescent="0.15"/>
    <row r="29457" s="9" customFormat="1" ht="21.95" customHeight="1" x14ac:dyDescent="0.15"/>
    <row r="29458" s="9" customFormat="1" ht="21.95" customHeight="1" x14ac:dyDescent="0.15"/>
    <row r="29459" s="9" customFormat="1" ht="21.95" customHeight="1" x14ac:dyDescent="0.15"/>
    <row r="29460" s="9" customFormat="1" ht="21.95" customHeight="1" x14ac:dyDescent="0.15"/>
    <row r="29461" s="9" customFormat="1" ht="21.95" customHeight="1" x14ac:dyDescent="0.15"/>
    <row r="29462" s="9" customFormat="1" ht="21.95" customHeight="1" x14ac:dyDescent="0.15"/>
    <row r="29463" s="9" customFormat="1" ht="21.95" customHeight="1" x14ac:dyDescent="0.15"/>
    <row r="29464" s="9" customFormat="1" ht="21.95" customHeight="1" x14ac:dyDescent="0.15"/>
    <row r="29465" s="9" customFormat="1" ht="21.95" customHeight="1" x14ac:dyDescent="0.15"/>
    <row r="29466" s="9" customFormat="1" ht="21.95" customHeight="1" x14ac:dyDescent="0.15"/>
    <row r="29467" s="9" customFormat="1" ht="21.95" customHeight="1" x14ac:dyDescent="0.15"/>
    <row r="29468" s="9" customFormat="1" ht="21.95" customHeight="1" x14ac:dyDescent="0.15"/>
    <row r="29469" s="9" customFormat="1" ht="21.95" customHeight="1" x14ac:dyDescent="0.15"/>
    <row r="29470" s="9" customFormat="1" ht="21.95" customHeight="1" x14ac:dyDescent="0.15"/>
    <row r="29471" s="9" customFormat="1" ht="21.95" customHeight="1" x14ac:dyDescent="0.15"/>
    <row r="29472" s="9" customFormat="1" ht="21.95" customHeight="1" x14ac:dyDescent="0.15"/>
    <row r="29473" s="9" customFormat="1" ht="21.95" customHeight="1" x14ac:dyDescent="0.15"/>
    <row r="29474" s="9" customFormat="1" ht="21.95" customHeight="1" x14ac:dyDescent="0.15"/>
    <row r="29475" s="9" customFormat="1" ht="21.95" customHeight="1" x14ac:dyDescent="0.15"/>
    <row r="29476" s="9" customFormat="1" ht="21.95" customHeight="1" x14ac:dyDescent="0.15"/>
    <row r="29477" s="9" customFormat="1" ht="21.95" customHeight="1" x14ac:dyDescent="0.15"/>
    <row r="29478" s="9" customFormat="1" ht="35.1" customHeight="1" x14ac:dyDescent="0.15"/>
    <row r="29479" s="9" customFormat="1" ht="21.95" customHeight="1" x14ac:dyDescent="0.15"/>
    <row r="29480" s="9" customFormat="1" ht="21.95" customHeight="1" x14ac:dyDescent="0.15"/>
    <row r="29481" s="9" customFormat="1" ht="21.95" customHeight="1" x14ac:dyDescent="0.15"/>
    <row r="29482" s="9" customFormat="1" ht="21.95" customHeight="1" x14ac:dyDescent="0.15"/>
    <row r="29483" s="9" customFormat="1" ht="21.95" customHeight="1" x14ac:dyDescent="0.15"/>
    <row r="29484" s="9" customFormat="1" ht="21.95" customHeight="1" x14ac:dyDescent="0.15"/>
    <row r="29485" s="9" customFormat="1" ht="21.95" customHeight="1" x14ac:dyDescent="0.15"/>
    <row r="29486" s="9" customFormat="1" ht="21.95" customHeight="1" x14ac:dyDescent="0.15"/>
    <row r="29487" s="9" customFormat="1" ht="21.95" customHeight="1" x14ac:dyDescent="0.15"/>
    <row r="29488" s="9" customFormat="1" ht="21.95" customHeight="1" x14ac:dyDescent="0.15"/>
    <row r="29489" spans="3:3" s="9" customFormat="1" ht="21.95" customHeight="1" x14ac:dyDescent="0.15"/>
    <row r="29490" spans="3:3" s="9" customFormat="1" ht="21.95" customHeight="1" x14ac:dyDescent="0.15"/>
    <row r="29491" spans="3:3" s="9" customFormat="1" ht="21.95" customHeight="1" x14ac:dyDescent="0.15"/>
    <row r="29492" spans="3:3" s="9" customFormat="1" ht="21.95" customHeight="1" x14ac:dyDescent="0.15"/>
    <row r="29493" spans="3:3" s="9" customFormat="1" ht="21.95" customHeight="1" x14ac:dyDescent="0.15"/>
    <row r="29494" spans="3:3" s="9" customFormat="1" ht="21.95" customHeight="1" x14ac:dyDescent="0.15"/>
    <row r="29495" spans="3:3" s="9" customFormat="1" ht="21.95" customHeight="1" x14ac:dyDescent="0.15"/>
    <row r="29496" spans="3:3" s="9" customFormat="1" ht="21.95" customHeight="1" x14ac:dyDescent="0.15"/>
    <row r="29497" spans="3:3" s="9" customFormat="1" ht="21.95" customHeight="1" x14ac:dyDescent="0.15"/>
    <row r="29498" spans="3:3" s="9" customFormat="1" ht="21.95" customHeight="1" x14ac:dyDescent="0.15"/>
    <row r="29499" spans="3:3" s="9" customFormat="1" ht="21.95" customHeight="1" x14ac:dyDescent="0.15"/>
    <row r="29500" spans="3:3" s="9" customFormat="1" ht="21.95" customHeight="1" x14ac:dyDescent="0.15"/>
    <row r="29501" spans="3:3" s="9" customFormat="1" ht="21.95" customHeight="1" x14ac:dyDescent="0.15"/>
    <row r="29502" spans="3:3" s="8" customFormat="1" ht="21.95" customHeight="1" x14ac:dyDescent="0.15"/>
    <row r="29503" spans="3:3" s="8" customFormat="1" ht="21.95" customHeight="1" x14ac:dyDescent="0.15"/>
    <row r="29504" spans="3:3" s="8" customFormat="1" ht="21.95" customHeight="1" x14ac:dyDescent="0.15">
      <c r="C29504" s="101"/>
    </row>
    <row r="29505" spans="3:3" s="8" customFormat="1" ht="21.95" customHeight="1" x14ac:dyDescent="0.15">
      <c r="C29505" s="101"/>
    </row>
    <row r="29506" spans="3:3" s="8" customFormat="1" ht="21.95" customHeight="1" x14ac:dyDescent="0.15"/>
    <row r="29507" spans="3:3" s="8" customFormat="1" ht="21.95" customHeight="1" x14ac:dyDescent="0.15"/>
    <row r="29508" spans="3:3" s="8" customFormat="1" ht="21.95" customHeight="1" x14ac:dyDescent="0.15"/>
    <row r="29509" spans="3:3" s="8" customFormat="1" ht="21.95" customHeight="1" x14ac:dyDescent="0.15"/>
    <row r="29510" spans="3:3" s="8" customFormat="1" ht="21.95" customHeight="1" x14ac:dyDescent="0.15"/>
    <row r="29511" spans="3:3" s="8" customFormat="1" ht="21.95" customHeight="1" x14ac:dyDescent="0.15"/>
    <row r="29512" spans="3:3" s="8" customFormat="1" ht="21.95" customHeight="1" x14ac:dyDescent="0.15"/>
    <row r="29513" spans="3:3" s="9" customFormat="1" ht="21.95" customHeight="1" x14ac:dyDescent="0.15"/>
    <row r="29514" spans="3:3" s="9" customFormat="1" ht="21.95" customHeight="1" x14ac:dyDescent="0.15"/>
    <row r="29515" spans="3:3" s="9" customFormat="1" ht="21.95" customHeight="1" x14ac:dyDescent="0.15"/>
    <row r="29516" spans="3:3" s="9" customFormat="1" ht="21.95" customHeight="1" x14ac:dyDescent="0.15"/>
    <row r="29517" spans="3:3" s="8" customFormat="1" ht="21.95" customHeight="1" x14ac:dyDescent="0.15"/>
    <row r="29518" spans="3:3" s="8" customFormat="1" ht="21.95" customHeight="1" x14ac:dyDescent="0.15"/>
    <row r="29519" spans="3:3" s="8" customFormat="1" ht="21.95" customHeight="1" x14ac:dyDescent="0.15"/>
    <row r="29520" spans="3:3" s="8" customFormat="1" ht="21.95" customHeight="1" x14ac:dyDescent="0.15"/>
    <row r="29521" s="8" customFormat="1" ht="21.95" customHeight="1" x14ac:dyDescent="0.15"/>
    <row r="29522" s="8" customFormat="1" ht="21.95" customHeight="1" x14ac:dyDescent="0.15"/>
    <row r="29523" s="8" customFormat="1" ht="21.95" customHeight="1" x14ac:dyDescent="0.15"/>
    <row r="29524" s="8" customFormat="1" ht="21.95" customHeight="1" x14ac:dyDescent="0.15"/>
    <row r="29525" s="8" customFormat="1" ht="21.95" customHeight="1" x14ac:dyDescent="0.15"/>
    <row r="29526" s="8" customFormat="1" ht="21.95" customHeight="1" x14ac:dyDescent="0.15"/>
    <row r="29527" s="8" customFormat="1" ht="21.95" customHeight="1" x14ac:dyDescent="0.15"/>
    <row r="29528" s="8" customFormat="1" ht="32.1" customHeight="1" x14ac:dyDescent="0.15"/>
    <row r="29529" s="8" customFormat="1" ht="32.1" customHeight="1" x14ac:dyDescent="0.15"/>
    <row r="29530" s="8" customFormat="1" ht="32.1" customHeight="1" x14ac:dyDescent="0.15"/>
    <row r="29531" s="8" customFormat="1" ht="32.1" customHeight="1" x14ac:dyDescent="0.15"/>
    <row r="29532" s="8" customFormat="1" ht="32.1" customHeight="1" x14ac:dyDescent="0.15"/>
    <row r="29533" s="8" customFormat="1" ht="32.1" customHeight="1" x14ac:dyDescent="0.15"/>
    <row r="29534" s="9" customFormat="1" ht="32.1" customHeight="1" x14ac:dyDescent="0.15"/>
    <row r="29535" s="9" customFormat="1" ht="32.1" customHeight="1" x14ac:dyDescent="0.15"/>
    <row r="29536" s="9" customFormat="1" ht="32.1" customHeight="1" x14ac:dyDescent="0.15"/>
    <row r="29537" s="9" customFormat="1" ht="32.1" customHeight="1" x14ac:dyDescent="0.15"/>
    <row r="29538" s="9" customFormat="1" ht="21.95" customHeight="1" x14ac:dyDescent="0.15"/>
    <row r="29539" s="9" customFormat="1" ht="54" customHeight="1" x14ac:dyDescent="0.15"/>
    <row r="29540" s="9" customFormat="1" ht="21.95" customHeight="1" x14ac:dyDescent="0.15"/>
    <row r="29541" s="9" customFormat="1" ht="21.95" customHeight="1" x14ac:dyDescent="0.15"/>
    <row r="29542" s="9" customFormat="1" ht="21.95" customHeight="1" x14ac:dyDescent="0.15"/>
    <row r="29543" s="9" customFormat="1" ht="21.95" customHeight="1" x14ac:dyDescent="0.15"/>
    <row r="29544" s="9" customFormat="1" ht="21.95" customHeight="1" x14ac:dyDescent="0.15"/>
    <row r="29545" s="9" customFormat="1" ht="21.95" customHeight="1" x14ac:dyDescent="0.15"/>
    <row r="29546" s="9" customFormat="1" ht="21.95" customHeight="1" x14ac:dyDescent="0.15"/>
    <row r="29547" s="9" customFormat="1" ht="21.95" customHeight="1" x14ac:dyDescent="0.15"/>
    <row r="29548" s="9" customFormat="1" ht="21.95" customHeight="1" x14ac:dyDescent="0.15"/>
    <row r="29549" s="9" customFormat="1" ht="21.95" customHeight="1" x14ac:dyDescent="0.15"/>
    <row r="29550" s="9" customFormat="1" ht="21.95" customHeight="1" x14ac:dyDescent="0.15"/>
    <row r="29551" s="9" customFormat="1" ht="21.95" customHeight="1" x14ac:dyDescent="0.15"/>
    <row r="29552" s="9" customFormat="1" ht="21.95" customHeight="1" x14ac:dyDescent="0.15"/>
    <row r="29553" s="9" customFormat="1" ht="21.95" customHeight="1" x14ac:dyDescent="0.15"/>
    <row r="29554" s="9" customFormat="1" ht="21.95" customHeight="1" x14ac:dyDescent="0.15"/>
    <row r="29555" s="9" customFormat="1" ht="21.95" customHeight="1" x14ac:dyDescent="0.15"/>
    <row r="29556" s="9" customFormat="1" ht="21.95" customHeight="1" x14ac:dyDescent="0.15"/>
    <row r="29557" s="9" customFormat="1" ht="21.95" customHeight="1" x14ac:dyDescent="0.15"/>
    <row r="29558" s="9" customFormat="1" ht="21.95" customHeight="1" x14ac:dyDescent="0.15"/>
    <row r="29559" s="9" customFormat="1" ht="21.95" customHeight="1" x14ac:dyDescent="0.15"/>
    <row r="29560" s="9" customFormat="1" ht="21.95" customHeight="1" x14ac:dyDescent="0.15"/>
    <row r="29561" s="9" customFormat="1" ht="21.95" customHeight="1" x14ac:dyDescent="0.15"/>
    <row r="29562" s="9" customFormat="1" ht="21.95" customHeight="1" x14ac:dyDescent="0.15"/>
    <row r="29563" s="9" customFormat="1" ht="21.95" customHeight="1" x14ac:dyDescent="0.15"/>
    <row r="29564" s="9" customFormat="1" ht="21.95" customHeight="1" x14ac:dyDescent="0.15"/>
    <row r="29565" s="9" customFormat="1" ht="21.95" customHeight="1" x14ac:dyDescent="0.15"/>
    <row r="29566" s="9" customFormat="1" ht="21.95" customHeight="1" x14ac:dyDescent="0.15"/>
    <row r="29567" s="9" customFormat="1" ht="21.95" customHeight="1" x14ac:dyDescent="0.15"/>
    <row r="29568" s="9" customFormat="1" ht="21.95" customHeight="1" x14ac:dyDescent="0.15"/>
    <row r="29569" s="9" customFormat="1" ht="21.95" customHeight="1" x14ac:dyDescent="0.15"/>
    <row r="29570" s="9" customFormat="1" ht="21.95" customHeight="1" x14ac:dyDescent="0.15"/>
    <row r="29571" s="9" customFormat="1" ht="21.95" customHeight="1" x14ac:dyDescent="0.15"/>
    <row r="29572" s="9" customFormat="1" ht="21.95" customHeight="1" x14ac:dyDescent="0.15"/>
    <row r="29573" s="9" customFormat="1" ht="21.95" customHeight="1" x14ac:dyDescent="0.15"/>
    <row r="29574" s="9" customFormat="1" ht="21.95" customHeight="1" x14ac:dyDescent="0.15"/>
    <row r="29575" s="9" customFormat="1" ht="21.95" customHeight="1" x14ac:dyDescent="0.15"/>
    <row r="29576" s="9" customFormat="1" ht="21.95" customHeight="1" x14ac:dyDescent="0.15"/>
    <row r="29577" s="9" customFormat="1" ht="21.95" customHeight="1" x14ac:dyDescent="0.15"/>
    <row r="29578" s="9" customFormat="1" ht="21.95" customHeight="1" x14ac:dyDescent="0.15"/>
    <row r="29579" s="9" customFormat="1" ht="21.95" customHeight="1" x14ac:dyDescent="0.15"/>
    <row r="29580" s="9" customFormat="1" ht="21.95" customHeight="1" x14ac:dyDescent="0.15"/>
    <row r="29581" s="9" customFormat="1" ht="21.95" customHeight="1" x14ac:dyDescent="0.15"/>
    <row r="29582" s="9" customFormat="1" ht="21.95" customHeight="1" x14ac:dyDescent="0.15"/>
    <row r="29583" s="9" customFormat="1" ht="21.95" customHeight="1" x14ac:dyDescent="0.15"/>
    <row r="29584" s="9" customFormat="1" ht="21.95" customHeight="1" x14ac:dyDescent="0.15"/>
    <row r="29585" s="9" customFormat="1" ht="21.95" customHeight="1" x14ac:dyDescent="0.15"/>
    <row r="29586" s="9" customFormat="1" ht="21.95" customHeight="1" x14ac:dyDescent="0.15"/>
    <row r="29587" s="9" customFormat="1" ht="21.95" customHeight="1" x14ac:dyDescent="0.15"/>
    <row r="29588" s="9" customFormat="1" ht="21.95" customHeight="1" x14ac:dyDescent="0.15"/>
    <row r="29589" s="9" customFormat="1" ht="21.95" customHeight="1" x14ac:dyDescent="0.15"/>
    <row r="29590" s="9" customFormat="1" ht="35.1" customHeight="1" x14ac:dyDescent="0.15"/>
    <row r="29591" s="9" customFormat="1" ht="21.95" customHeight="1" x14ac:dyDescent="0.15"/>
    <row r="29592" s="9" customFormat="1" ht="21.95" customHeight="1" x14ac:dyDescent="0.15"/>
    <row r="29593" s="9" customFormat="1" ht="21.95" customHeight="1" x14ac:dyDescent="0.15"/>
    <row r="29594" s="9" customFormat="1" ht="21.95" customHeight="1" x14ac:dyDescent="0.15"/>
    <row r="29595" s="9" customFormat="1" ht="21.95" customHeight="1" x14ac:dyDescent="0.15"/>
    <row r="29596" s="9" customFormat="1" ht="21.95" customHeight="1" x14ac:dyDescent="0.15"/>
    <row r="29597" s="9" customFormat="1" ht="21.95" customHeight="1" x14ac:dyDescent="0.15"/>
    <row r="29598" s="9" customFormat="1" ht="21.95" customHeight="1" x14ac:dyDescent="0.15"/>
    <row r="29599" s="9" customFormat="1" ht="21.95" customHeight="1" x14ac:dyDescent="0.15"/>
    <row r="29600" s="9" customFormat="1" ht="21.95" customHeight="1" x14ac:dyDescent="0.15"/>
    <row r="29601" spans="3:3" s="9" customFormat="1" ht="21.95" customHeight="1" x14ac:dyDescent="0.15"/>
    <row r="29602" spans="3:3" s="9" customFormat="1" ht="21.95" customHeight="1" x14ac:dyDescent="0.15"/>
    <row r="29603" spans="3:3" s="9" customFormat="1" ht="21.95" customHeight="1" x14ac:dyDescent="0.15"/>
    <row r="29604" spans="3:3" s="9" customFormat="1" ht="21.95" customHeight="1" x14ac:dyDescent="0.15"/>
    <row r="29605" spans="3:3" s="9" customFormat="1" ht="21.95" customHeight="1" x14ac:dyDescent="0.15"/>
    <row r="29606" spans="3:3" s="9" customFormat="1" ht="21.95" customHeight="1" x14ac:dyDescent="0.15"/>
    <row r="29607" spans="3:3" s="9" customFormat="1" ht="21.95" customHeight="1" x14ac:dyDescent="0.15"/>
    <row r="29608" spans="3:3" s="9" customFormat="1" ht="21.95" customHeight="1" x14ac:dyDescent="0.15"/>
    <row r="29609" spans="3:3" s="9" customFormat="1" ht="21.95" customHeight="1" x14ac:dyDescent="0.15"/>
    <row r="29610" spans="3:3" s="9" customFormat="1" ht="21.95" customHeight="1" x14ac:dyDescent="0.15"/>
    <row r="29611" spans="3:3" s="9" customFormat="1" ht="21.95" customHeight="1" x14ac:dyDescent="0.15"/>
    <row r="29612" spans="3:3" s="9" customFormat="1" ht="21.95" customHeight="1" x14ac:dyDescent="0.15"/>
    <row r="29613" spans="3:3" s="9" customFormat="1" ht="21.95" customHeight="1" x14ac:dyDescent="0.15"/>
    <row r="29614" spans="3:3" s="8" customFormat="1" ht="21.95" customHeight="1" x14ac:dyDescent="0.15"/>
    <row r="29615" spans="3:3" s="8" customFormat="1" ht="21.95" customHeight="1" x14ac:dyDescent="0.15"/>
    <row r="29616" spans="3:3" s="8" customFormat="1" ht="21.95" customHeight="1" x14ac:dyDescent="0.15">
      <c r="C29616" s="101"/>
    </row>
    <row r="29617" spans="3:3" s="8" customFormat="1" ht="21.95" customHeight="1" x14ac:dyDescent="0.15">
      <c r="C29617" s="101"/>
    </row>
    <row r="29618" spans="3:3" s="8" customFormat="1" ht="21.95" customHeight="1" x14ac:dyDescent="0.15"/>
    <row r="29619" spans="3:3" s="8" customFormat="1" ht="21.95" customHeight="1" x14ac:dyDescent="0.15"/>
    <row r="29620" spans="3:3" s="8" customFormat="1" ht="21.95" customHeight="1" x14ac:dyDescent="0.15"/>
    <row r="29621" spans="3:3" s="8" customFormat="1" ht="21.95" customHeight="1" x14ac:dyDescent="0.15"/>
    <row r="29622" spans="3:3" s="8" customFormat="1" ht="21.95" customHeight="1" x14ac:dyDescent="0.15"/>
    <row r="29623" spans="3:3" s="8" customFormat="1" ht="21.95" customHeight="1" x14ac:dyDescent="0.15"/>
    <row r="29624" spans="3:3" s="8" customFormat="1" ht="21.95" customHeight="1" x14ac:dyDescent="0.15"/>
    <row r="29625" spans="3:3" s="9" customFormat="1" ht="21.95" customHeight="1" x14ac:dyDescent="0.15"/>
    <row r="29626" spans="3:3" s="9" customFormat="1" ht="21.95" customHeight="1" x14ac:dyDescent="0.15"/>
    <row r="29627" spans="3:3" s="9" customFormat="1" ht="21.95" customHeight="1" x14ac:dyDescent="0.15"/>
    <row r="29628" spans="3:3" s="9" customFormat="1" ht="21.95" customHeight="1" x14ac:dyDescent="0.15"/>
    <row r="29629" spans="3:3" s="8" customFormat="1" ht="21.95" customHeight="1" x14ac:dyDescent="0.15"/>
    <row r="29630" spans="3:3" s="8" customFormat="1" ht="21.95" customHeight="1" x14ac:dyDescent="0.15"/>
    <row r="29631" spans="3:3" s="8" customFormat="1" ht="21.95" customHeight="1" x14ac:dyDescent="0.15"/>
    <row r="29632" spans="3:3" s="8" customFormat="1" ht="21.95" customHeight="1" x14ac:dyDescent="0.15"/>
    <row r="29633" s="8" customFormat="1" ht="21.95" customHeight="1" x14ac:dyDescent="0.15"/>
    <row r="29634" s="8" customFormat="1" ht="21.95" customHeight="1" x14ac:dyDescent="0.15"/>
    <row r="29635" s="8" customFormat="1" ht="21.95" customHeight="1" x14ac:dyDescent="0.15"/>
    <row r="29636" s="8" customFormat="1" ht="21.95" customHeight="1" x14ac:dyDescent="0.15"/>
    <row r="29637" s="8" customFormat="1" ht="21.95" customHeight="1" x14ac:dyDescent="0.15"/>
    <row r="29638" s="8" customFormat="1" ht="21.95" customHeight="1" x14ac:dyDescent="0.15"/>
    <row r="29639" s="8" customFormat="1" ht="21.95" customHeight="1" x14ac:dyDescent="0.15"/>
    <row r="29640" s="8" customFormat="1" ht="32.1" customHeight="1" x14ac:dyDescent="0.15"/>
    <row r="29641" s="8" customFormat="1" ht="32.1" customHeight="1" x14ac:dyDescent="0.15"/>
    <row r="29642" s="8" customFormat="1" ht="32.1" customHeight="1" x14ac:dyDescent="0.15"/>
    <row r="29643" s="8" customFormat="1" ht="32.1" customHeight="1" x14ac:dyDescent="0.15"/>
    <row r="29644" s="8" customFormat="1" ht="32.1" customHeight="1" x14ac:dyDescent="0.15"/>
    <row r="29645" s="8" customFormat="1" ht="32.1" customHeight="1" x14ac:dyDescent="0.15"/>
    <row r="29646" s="9" customFormat="1" ht="32.1" customHeight="1" x14ac:dyDescent="0.15"/>
    <row r="29647" s="9" customFormat="1" ht="32.1" customHeight="1" x14ac:dyDescent="0.15"/>
    <row r="29648" s="9" customFormat="1" ht="32.1" customHeight="1" x14ac:dyDescent="0.15"/>
    <row r="29649" s="9" customFormat="1" ht="32.1" customHeight="1" x14ac:dyDescent="0.15"/>
    <row r="29650" s="9" customFormat="1" ht="21.95" customHeight="1" x14ac:dyDescent="0.15"/>
    <row r="29651" s="9" customFormat="1" ht="54" customHeight="1" x14ac:dyDescent="0.15"/>
    <row r="29652" s="9" customFormat="1" ht="21.95" customHeight="1" x14ac:dyDescent="0.15"/>
    <row r="29653" s="9" customFormat="1" ht="21.95" customHeight="1" x14ac:dyDescent="0.15"/>
    <row r="29654" s="9" customFormat="1" ht="21.95" customHeight="1" x14ac:dyDescent="0.15"/>
    <row r="29655" s="9" customFormat="1" ht="21.95" customHeight="1" x14ac:dyDescent="0.15"/>
    <row r="29656" s="9" customFormat="1" ht="21.95" customHeight="1" x14ac:dyDescent="0.15"/>
    <row r="29657" s="9" customFormat="1" ht="21.95" customHeight="1" x14ac:dyDescent="0.15"/>
    <row r="29658" s="9" customFormat="1" ht="21.95" customHeight="1" x14ac:dyDescent="0.15"/>
    <row r="29659" s="9" customFormat="1" ht="21.95" customHeight="1" x14ac:dyDescent="0.15"/>
    <row r="29660" s="9" customFormat="1" ht="21.95" customHeight="1" x14ac:dyDescent="0.15"/>
    <row r="29661" s="9" customFormat="1" ht="21.95" customHeight="1" x14ac:dyDescent="0.15"/>
    <row r="29662" s="9" customFormat="1" ht="21.95" customHeight="1" x14ac:dyDescent="0.15"/>
    <row r="29663" s="9" customFormat="1" ht="21.95" customHeight="1" x14ac:dyDescent="0.15"/>
    <row r="29664" s="9" customFormat="1" ht="21.95" customHeight="1" x14ac:dyDescent="0.15"/>
    <row r="29665" s="9" customFormat="1" ht="21.95" customHeight="1" x14ac:dyDescent="0.15"/>
    <row r="29666" s="9" customFormat="1" ht="21.95" customHeight="1" x14ac:dyDescent="0.15"/>
    <row r="29667" s="9" customFormat="1" ht="21.95" customHeight="1" x14ac:dyDescent="0.15"/>
    <row r="29668" s="9" customFormat="1" ht="21.95" customHeight="1" x14ac:dyDescent="0.15"/>
    <row r="29669" s="9" customFormat="1" ht="21.95" customHeight="1" x14ac:dyDescent="0.15"/>
    <row r="29670" s="9" customFormat="1" ht="21.95" customHeight="1" x14ac:dyDescent="0.15"/>
    <row r="29671" s="9" customFormat="1" ht="21.95" customHeight="1" x14ac:dyDescent="0.15"/>
    <row r="29672" s="9" customFormat="1" ht="21.95" customHeight="1" x14ac:dyDescent="0.15"/>
    <row r="29673" s="9" customFormat="1" ht="21.95" customHeight="1" x14ac:dyDescent="0.15"/>
    <row r="29674" s="9" customFormat="1" ht="21.95" customHeight="1" x14ac:dyDescent="0.15"/>
    <row r="29675" s="9" customFormat="1" ht="21.95" customHeight="1" x14ac:dyDescent="0.15"/>
    <row r="29676" s="9" customFormat="1" ht="21.95" customHeight="1" x14ac:dyDescent="0.15"/>
    <row r="29677" s="9" customFormat="1" ht="21.95" customHeight="1" x14ac:dyDescent="0.15"/>
    <row r="29678" s="9" customFormat="1" ht="21.95" customHeight="1" x14ac:dyDescent="0.15"/>
    <row r="29679" s="9" customFormat="1" ht="21.95" customHeight="1" x14ac:dyDescent="0.15"/>
    <row r="29680" s="9" customFormat="1" ht="21.95" customHeight="1" x14ac:dyDescent="0.15"/>
    <row r="29681" s="9" customFormat="1" ht="21.95" customHeight="1" x14ac:dyDescent="0.15"/>
    <row r="29682" s="9" customFormat="1" ht="21.95" customHeight="1" x14ac:dyDescent="0.15"/>
    <row r="29683" s="9" customFormat="1" ht="21.95" customHeight="1" x14ac:dyDescent="0.15"/>
    <row r="29684" s="9" customFormat="1" ht="21.95" customHeight="1" x14ac:dyDescent="0.15"/>
    <row r="29685" s="9" customFormat="1" ht="21.95" customHeight="1" x14ac:dyDescent="0.15"/>
    <row r="29686" s="9" customFormat="1" ht="21.95" customHeight="1" x14ac:dyDescent="0.15"/>
    <row r="29687" s="9" customFormat="1" ht="21.95" customHeight="1" x14ac:dyDescent="0.15"/>
    <row r="29688" s="9" customFormat="1" ht="21.95" customHeight="1" x14ac:dyDescent="0.15"/>
    <row r="29689" s="9" customFormat="1" ht="21.95" customHeight="1" x14ac:dyDescent="0.15"/>
    <row r="29690" s="9" customFormat="1" ht="21.95" customHeight="1" x14ac:dyDescent="0.15"/>
    <row r="29691" s="9" customFormat="1" ht="21.95" customHeight="1" x14ac:dyDescent="0.15"/>
    <row r="29692" s="9" customFormat="1" ht="21.95" customHeight="1" x14ac:dyDescent="0.15"/>
    <row r="29693" s="9" customFormat="1" ht="21.95" customHeight="1" x14ac:dyDescent="0.15"/>
    <row r="29694" s="9" customFormat="1" ht="21.95" customHeight="1" x14ac:dyDescent="0.15"/>
    <row r="29695" s="9" customFormat="1" ht="21.95" customHeight="1" x14ac:dyDescent="0.15"/>
    <row r="29696" s="9" customFormat="1" ht="21.95" customHeight="1" x14ac:dyDescent="0.15"/>
    <row r="29697" s="9" customFormat="1" ht="21.95" customHeight="1" x14ac:dyDescent="0.15"/>
    <row r="29698" s="9" customFormat="1" ht="21.95" customHeight="1" x14ac:dyDescent="0.15"/>
    <row r="29699" s="9" customFormat="1" ht="21.95" customHeight="1" x14ac:dyDescent="0.15"/>
    <row r="29700" s="9" customFormat="1" ht="21.95" customHeight="1" x14ac:dyDescent="0.15"/>
    <row r="29701" s="9" customFormat="1" ht="21.95" customHeight="1" x14ac:dyDescent="0.15"/>
    <row r="29702" s="9" customFormat="1" ht="35.1" customHeight="1" x14ac:dyDescent="0.15"/>
    <row r="29703" s="9" customFormat="1" ht="21.95" customHeight="1" x14ac:dyDescent="0.15"/>
    <row r="29704" s="9" customFormat="1" ht="21.95" customHeight="1" x14ac:dyDescent="0.15"/>
    <row r="29705" s="9" customFormat="1" ht="21.95" customHeight="1" x14ac:dyDescent="0.15"/>
    <row r="29706" s="9" customFormat="1" ht="21.95" customHeight="1" x14ac:dyDescent="0.15"/>
    <row r="29707" s="9" customFormat="1" ht="21.95" customHeight="1" x14ac:dyDescent="0.15"/>
    <row r="29708" s="9" customFormat="1" ht="21.95" customHeight="1" x14ac:dyDescent="0.15"/>
    <row r="29709" s="9" customFormat="1" ht="21.95" customHeight="1" x14ac:dyDescent="0.15"/>
    <row r="29710" s="9" customFormat="1" ht="21.95" customHeight="1" x14ac:dyDescent="0.15"/>
    <row r="29711" s="9" customFormat="1" ht="21.95" customHeight="1" x14ac:dyDescent="0.15"/>
    <row r="29712" s="9" customFormat="1" ht="21.95" customHeight="1" x14ac:dyDescent="0.15"/>
    <row r="29713" spans="3:3" s="9" customFormat="1" ht="21.95" customHeight="1" x14ac:dyDescent="0.15"/>
    <row r="29714" spans="3:3" s="9" customFormat="1" ht="21.95" customHeight="1" x14ac:dyDescent="0.15"/>
    <row r="29715" spans="3:3" s="9" customFormat="1" ht="21.95" customHeight="1" x14ac:dyDescent="0.15"/>
    <row r="29716" spans="3:3" s="9" customFormat="1" ht="21.95" customHeight="1" x14ac:dyDescent="0.15"/>
    <row r="29717" spans="3:3" s="9" customFormat="1" ht="21.95" customHeight="1" x14ac:dyDescent="0.15"/>
    <row r="29718" spans="3:3" s="9" customFormat="1" ht="21.95" customHeight="1" x14ac:dyDescent="0.15"/>
    <row r="29719" spans="3:3" s="9" customFormat="1" ht="21.95" customHeight="1" x14ac:dyDescent="0.15"/>
    <row r="29720" spans="3:3" s="9" customFormat="1" ht="21.95" customHeight="1" x14ac:dyDescent="0.15"/>
    <row r="29721" spans="3:3" s="9" customFormat="1" ht="21.95" customHeight="1" x14ac:dyDescent="0.15"/>
    <row r="29722" spans="3:3" s="9" customFormat="1" ht="21.95" customHeight="1" x14ac:dyDescent="0.15"/>
    <row r="29723" spans="3:3" s="9" customFormat="1" ht="21.95" customHeight="1" x14ac:dyDescent="0.15"/>
    <row r="29724" spans="3:3" s="9" customFormat="1" ht="21.95" customHeight="1" x14ac:dyDescent="0.15"/>
    <row r="29725" spans="3:3" s="9" customFormat="1" ht="21.95" customHeight="1" x14ac:dyDescent="0.15"/>
    <row r="29726" spans="3:3" s="8" customFormat="1" ht="21.95" customHeight="1" x14ac:dyDescent="0.15"/>
    <row r="29727" spans="3:3" s="8" customFormat="1" ht="21.95" customHeight="1" x14ac:dyDescent="0.15"/>
    <row r="29728" spans="3:3" s="8" customFormat="1" ht="21.95" customHeight="1" x14ac:dyDescent="0.15">
      <c r="C29728" s="101"/>
    </row>
    <row r="29729" spans="3:3" s="8" customFormat="1" ht="21.95" customHeight="1" x14ac:dyDescent="0.15">
      <c r="C29729" s="101"/>
    </row>
    <row r="29730" spans="3:3" s="8" customFormat="1" ht="21.95" customHeight="1" x14ac:dyDescent="0.15"/>
    <row r="29731" spans="3:3" s="8" customFormat="1" ht="21.95" customHeight="1" x14ac:dyDescent="0.15"/>
    <row r="29732" spans="3:3" s="8" customFormat="1" ht="21.95" customHeight="1" x14ac:dyDescent="0.15"/>
    <row r="29733" spans="3:3" s="8" customFormat="1" ht="21.95" customHeight="1" x14ac:dyDescent="0.15"/>
    <row r="29734" spans="3:3" s="8" customFormat="1" ht="21.95" customHeight="1" x14ac:dyDescent="0.15"/>
    <row r="29735" spans="3:3" s="8" customFormat="1" ht="21.95" customHeight="1" x14ac:dyDescent="0.15"/>
    <row r="29736" spans="3:3" s="8" customFormat="1" ht="21.95" customHeight="1" x14ac:dyDescent="0.15"/>
    <row r="29737" spans="3:3" s="9" customFormat="1" ht="21.95" customHeight="1" x14ac:dyDescent="0.15"/>
    <row r="29738" spans="3:3" s="9" customFormat="1" ht="21.95" customHeight="1" x14ac:dyDescent="0.15"/>
    <row r="29739" spans="3:3" s="9" customFormat="1" ht="21.95" customHeight="1" x14ac:dyDescent="0.15"/>
    <row r="29740" spans="3:3" s="9" customFormat="1" ht="21.95" customHeight="1" x14ac:dyDescent="0.15"/>
    <row r="29741" spans="3:3" s="8" customFormat="1" ht="21.95" customHeight="1" x14ac:dyDescent="0.15"/>
    <row r="29742" spans="3:3" s="8" customFormat="1" ht="21.95" customHeight="1" x14ac:dyDescent="0.15"/>
    <row r="29743" spans="3:3" s="8" customFormat="1" ht="21.95" customHeight="1" x14ac:dyDescent="0.15"/>
    <row r="29744" spans="3:3" s="8" customFormat="1" ht="21.95" customHeight="1" x14ac:dyDescent="0.15"/>
    <row r="29745" s="8" customFormat="1" ht="21.95" customHeight="1" x14ac:dyDescent="0.15"/>
    <row r="29746" s="8" customFormat="1" ht="21.95" customHeight="1" x14ac:dyDescent="0.15"/>
    <row r="29747" s="8" customFormat="1" ht="21.95" customHeight="1" x14ac:dyDescent="0.15"/>
    <row r="29748" s="8" customFormat="1" ht="21.95" customHeight="1" x14ac:dyDescent="0.15"/>
    <row r="29749" s="8" customFormat="1" ht="21.95" customHeight="1" x14ac:dyDescent="0.15"/>
    <row r="29750" s="8" customFormat="1" ht="21.95" customHeight="1" x14ac:dyDescent="0.15"/>
    <row r="29751" s="8" customFormat="1" ht="21.95" customHeight="1" x14ac:dyDescent="0.15"/>
    <row r="29752" s="8" customFormat="1" ht="32.1" customHeight="1" x14ac:dyDescent="0.15"/>
    <row r="29753" s="8" customFormat="1" ht="32.1" customHeight="1" x14ac:dyDescent="0.15"/>
    <row r="29754" s="8" customFormat="1" ht="32.1" customHeight="1" x14ac:dyDescent="0.15"/>
    <row r="29755" s="8" customFormat="1" ht="32.1" customHeight="1" x14ac:dyDescent="0.15"/>
    <row r="29756" s="8" customFormat="1" ht="32.1" customHeight="1" x14ac:dyDescent="0.15"/>
    <row r="29757" s="8" customFormat="1" ht="32.1" customHeight="1" x14ac:dyDescent="0.15"/>
    <row r="29758" s="9" customFormat="1" ht="32.1" customHeight="1" x14ac:dyDescent="0.15"/>
    <row r="29759" s="9" customFormat="1" ht="32.1" customHeight="1" x14ac:dyDescent="0.15"/>
    <row r="29760" s="9" customFormat="1" ht="32.1" customHeight="1" x14ac:dyDescent="0.15"/>
    <row r="29761" s="9" customFormat="1" ht="32.1" customHeight="1" x14ac:dyDescent="0.15"/>
    <row r="29762" s="9" customFormat="1" ht="21.95" customHeight="1" x14ac:dyDescent="0.15"/>
    <row r="29763" s="9" customFormat="1" ht="54" customHeight="1" x14ac:dyDescent="0.15"/>
    <row r="29764" s="9" customFormat="1" ht="21.95" customHeight="1" x14ac:dyDescent="0.15"/>
    <row r="29765" s="9" customFormat="1" ht="21.95" customHeight="1" x14ac:dyDescent="0.15"/>
    <row r="29766" s="9" customFormat="1" ht="21.95" customHeight="1" x14ac:dyDescent="0.15"/>
    <row r="29767" s="9" customFormat="1" ht="21.95" customHeight="1" x14ac:dyDescent="0.15"/>
    <row r="29768" s="9" customFormat="1" ht="21.95" customHeight="1" x14ac:dyDescent="0.15"/>
    <row r="29769" s="9" customFormat="1" ht="21.95" customHeight="1" x14ac:dyDescent="0.15"/>
    <row r="29770" s="9" customFormat="1" ht="21.95" customHeight="1" x14ac:dyDescent="0.15"/>
    <row r="29771" s="9" customFormat="1" ht="21.95" customHeight="1" x14ac:dyDescent="0.15"/>
    <row r="29772" s="9" customFormat="1" ht="21.95" customHeight="1" x14ac:dyDescent="0.15"/>
    <row r="29773" s="9" customFormat="1" ht="21.95" customHeight="1" x14ac:dyDescent="0.15"/>
    <row r="29774" s="9" customFormat="1" ht="21.95" customHeight="1" x14ac:dyDescent="0.15"/>
    <row r="29775" s="9" customFormat="1" ht="21.95" customHeight="1" x14ac:dyDescent="0.15"/>
    <row r="29776" s="9" customFormat="1" ht="21.95" customHeight="1" x14ac:dyDescent="0.15"/>
    <row r="29777" s="9" customFormat="1" ht="21.95" customHeight="1" x14ac:dyDescent="0.15"/>
    <row r="29778" s="9" customFormat="1" ht="21.95" customHeight="1" x14ac:dyDescent="0.15"/>
    <row r="29779" s="9" customFormat="1" ht="21.95" customHeight="1" x14ac:dyDescent="0.15"/>
    <row r="29780" s="9" customFormat="1" ht="21.95" customHeight="1" x14ac:dyDescent="0.15"/>
    <row r="29781" s="9" customFormat="1" ht="21.95" customHeight="1" x14ac:dyDescent="0.15"/>
    <row r="29782" s="9" customFormat="1" ht="21.95" customHeight="1" x14ac:dyDescent="0.15"/>
    <row r="29783" s="9" customFormat="1" ht="21.95" customHeight="1" x14ac:dyDescent="0.15"/>
    <row r="29784" s="9" customFormat="1" ht="21.95" customHeight="1" x14ac:dyDescent="0.15"/>
    <row r="29785" s="9" customFormat="1" ht="21.95" customHeight="1" x14ac:dyDescent="0.15"/>
    <row r="29786" s="9" customFormat="1" ht="21.95" customHeight="1" x14ac:dyDescent="0.15"/>
    <row r="29787" s="9" customFormat="1" ht="21.95" customHeight="1" x14ac:dyDescent="0.15"/>
    <row r="29788" s="9" customFormat="1" ht="21.95" customHeight="1" x14ac:dyDescent="0.15"/>
    <row r="29789" s="9" customFormat="1" ht="21.95" customHeight="1" x14ac:dyDescent="0.15"/>
    <row r="29790" s="9" customFormat="1" ht="21.95" customHeight="1" x14ac:dyDescent="0.15"/>
    <row r="29791" s="9" customFormat="1" ht="21.95" customHeight="1" x14ac:dyDescent="0.15"/>
    <row r="29792" s="9" customFormat="1" ht="21.95" customHeight="1" x14ac:dyDescent="0.15"/>
    <row r="29793" s="9" customFormat="1" ht="21.95" customHeight="1" x14ac:dyDescent="0.15"/>
    <row r="29794" s="9" customFormat="1" ht="21.95" customHeight="1" x14ac:dyDescent="0.15"/>
    <row r="29795" s="9" customFormat="1" ht="21.95" customHeight="1" x14ac:dyDescent="0.15"/>
    <row r="29796" s="9" customFormat="1" ht="21.95" customHeight="1" x14ac:dyDescent="0.15"/>
    <row r="29797" s="9" customFormat="1" ht="21.95" customHeight="1" x14ac:dyDescent="0.15"/>
    <row r="29798" s="9" customFormat="1" ht="21.95" customHeight="1" x14ac:dyDescent="0.15"/>
    <row r="29799" s="9" customFormat="1" ht="21.95" customHeight="1" x14ac:dyDescent="0.15"/>
    <row r="29800" s="9" customFormat="1" ht="21.95" customHeight="1" x14ac:dyDescent="0.15"/>
    <row r="29801" s="9" customFormat="1" ht="21.95" customHeight="1" x14ac:dyDescent="0.15"/>
    <row r="29802" s="9" customFormat="1" ht="21.95" customHeight="1" x14ac:dyDescent="0.15"/>
    <row r="29803" s="9" customFormat="1" ht="21.95" customHeight="1" x14ac:dyDescent="0.15"/>
    <row r="29804" s="9" customFormat="1" ht="21.95" customHeight="1" x14ac:dyDescent="0.15"/>
    <row r="29805" s="9" customFormat="1" ht="21.95" customHeight="1" x14ac:dyDescent="0.15"/>
    <row r="29806" s="9" customFormat="1" ht="21.95" customHeight="1" x14ac:dyDescent="0.15"/>
    <row r="29807" s="9" customFormat="1" ht="21.95" customHeight="1" x14ac:dyDescent="0.15"/>
    <row r="29808" s="9" customFormat="1" ht="21.95" customHeight="1" x14ac:dyDescent="0.15"/>
    <row r="29809" s="9" customFormat="1" ht="21.95" customHeight="1" x14ac:dyDescent="0.15"/>
    <row r="29810" s="9" customFormat="1" ht="21.95" customHeight="1" x14ac:dyDescent="0.15"/>
    <row r="29811" s="9" customFormat="1" ht="21.95" customHeight="1" x14ac:dyDescent="0.15"/>
    <row r="29812" s="9" customFormat="1" ht="21.95" customHeight="1" x14ac:dyDescent="0.15"/>
    <row r="29813" s="9" customFormat="1" ht="21.95" customHeight="1" x14ac:dyDescent="0.15"/>
    <row r="29814" s="9" customFormat="1" ht="35.1" customHeight="1" x14ac:dyDescent="0.15"/>
    <row r="29815" s="9" customFormat="1" ht="21.95" customHeight="1" x14ac:dyDescent="0.15"/>
    <row r="29816" s="9" customFormat="1" ht="21.95" customHeight="1" x14ac:dyDescent="0.15"/>
    <row r="29817" s="9" customFormat="1" ht="21.95" customHeight="1" x14ac:dyDescent="0.15"/>
    <row r="29818" s="9" customFormat="1" ht="21.95" customHeight="1" x14ac:dyDescent="0.15"/>
    <row r="29819" s="9" customFormat="1" ht="21.95" customHeight="1" x14ac:dyDescent="0.15"/>
    <row r="29820" s="9" customFormat="1" ht="21.95" customHeight="1" x14ac:dyDescent="0.15"/>
    <row r="29821" s="9" customFormat="1" ht="21.95" customHeight="1" x14ac:dyDescent="0.15"/>
    <row r="29822" s="9" customFormat="1" ht="21.95" customHeight="1" x14ac:dyDescent="0.15"/>
    <row r="29823" s="9" customFormat="1" ht="21.95" customHeight="1" x14ac:dyDescent="0.15"/>
    <row r="29824" s="9" customFormat="1" ht="21.95" customHeight="1" x14ac:dyDescent="0.15"/>
    <row r="29825" spans="3:3" s="9" customFormat="1" ht="21.95" customHeight="1" x14ac:dyDescent="0.15"/>
    <row r="29826" spans="3:3" s="9" customFormat="1" ht="21.95" customHeight="1" x14ac:dyDescent="0.15"/>
    <row r="29827" spans="3:3" s="9" customFormat="1" ht="21.95" customHeight="1" x14ac:dyDescent="0.15"/>
    <row r="29828" spans="3:3" s="9" customFormat="1" ht="21.95" customHeight="1" x14ac:dyDescent="0.15"/>
    <row r="29829" spans="3:3" s="9" customFormat="1" ht="21.95" customHeight="1" x14ac:dyDescent="0.15"/>
    <row r="29830" spans="3:3" s="9" customFormat="1" ht="21.95" customHeight="1" x14ac:dyDescent="0.15"/>
    <row r="29831" spans="3:3" s="9" customFormat="1" ht="21.95" customHeight="1" x14ac:dyDescent="0.15"/>
    <row r="29832" spans="3:3" s="9" customFormat="1" ht="21.95" customHeight="1" x14ac:dyDescent="0.15"/>
    <row r="29833" spans="3:3" s="9" customFormat="1" ht="21.95" customHeight="1" x14ac:dyDescent="0.15"/>
    <row r="29834" spans="3:3" s="9" customFormat="1" ht="21.95" customHeight="1" x14ac:dyDescent="0.15"/>
    <row r="29835" spans="3:3" s="9" customFormat="1" ht="21.95" customHeight="1" x14ac:dyDescent="0.15"/>
    <row r="29836" spans="3:3" s="9" customFormat="1" ht="21.95" customHeight="1" x14ac:dyDescent="0.15"/>
    <row r="29837" spans="3:3" s="9" customFormat="1" ht="21.95" customHeight="1" x14ac:dyDescent="0.15"/>
    <row r="29838" spans="3:3" s="8" customFormat="1" ht="21.95" customHeight="1" x14ac:dyDescent="0.15"/>
    <row r="29839" spans="3:3" s="8" customFormat="1" ht="21.95" customHeight="1" x14ac:dyDescent="0.15"/>
    <row r="29840" spans="3:3" s="8" customFormat="1" ht="21.95" customHeight="1" x14ac:dyDescent="0.15">
      <c r="C29840" s="101"/>
    </row>
    <row r="29841" spans="3:3" s="8" customFormat="1" ht="21.95" customHeight="1" x14ac:dyDescent="0.15">
      <c r="C29841" s="101"/>
    </row>
    <row r="29842" spans="3:3" s="8" customFormat="1" ht="21.95" customHeight="1" x14ac:dyDescent="0.15"/>
    <row r="29843" spans="3:3" s="8" customFormat="1" ht="21.95" customHeight="1" x14ac:dyDescent="0.15"/>
    <row r="29844" spans="3:3" s="8" customFormat="1" ht="21.95" customHeight="1" x14ac:dyDescent="0.15"/>
    <row r="29845" spans="3:3" s="8" customFormat="1" ht="21.95" customHeight="1" x14ac:dyDescent="0.15"/>
    <row r="29846" spans="3:3" s="8" customFormat="1" ht="21.95" customHeight="1" x14ac:dyDescent="0.15"/>
    <row r="29847" spans="3:3" s="8" customFormat="1" ht="21.95" customHeight="1" x14ac:dyDescent="0.15"/>
    <row r="29848" spans="3:3" s="8" customFormat="1" ht="21.95" customHeight="1" x14ac:dyDescent="0.15"/>
    <row r="29849" spans="3:3" s="9" customFormat="1" ht="21.95" customHeight="1" x14ac:dyDescent="0.15"/>
    <row r="29850" spans="3:3" s="9" customFormat="1" ht="21.95" customHeight="1" x14ac:dyDescent="0.15"/>
    <row r="29851" spans="3:3" s="9" customFormat="1" ht="21.95" customHeight="1" x14ac:dyDescent="0.15"/>
    <row r="29852" spans="3:3" s="9" customFormat="1" ht="21.95" customHeight="1" x14ac:dyDescent="0.15"/>
    <row r="29853" spans="3:3" s="8" customFormat="1" ht="21.95" customHeight="1" x14ac:dyDescent="0.15"/>
    <row r="29854" spans="3:3" s="8" customFormat="1" ht="21.95" customHeight="1" x14ac:dyDescent="0.15"/>
    <row r="29855" spans="3:3" s="8" customFormat="1" ht="21.95" customHeight="1" x14ac:dyDescent="0.15"/>
    <row r="29856" spans="3:3" s="8" customFormat="1" ht="21.95" customHeight="1" x14ac:dyDescent="0.15"/>
    <row r="29857" s="8" customFormat="1" ht="21.95" customHeight="1" x14ac:dyDescent="0.15"/>
    <row r="29858" s="8" customFormat="1" ht="21.95" customHeight="1" x14ac:dyDescent="0.15"/>
    <row r="29859" s="8" customFormat="1" ht="21.95" customHeight="1" x14ac:dyDescent="0.15"/>
    <row r="29860" s="8" customFormat="1" ht="21.95" customHeight="1" x14ac:dyDescent="0.15"/>
    <row r="29861" s="8" customFormat="1" ht="21.95" customHeight="1" x14ac:dyDescent="0.15"/>
    <row r="29862" s="8" customFormat="1" ht="21.95" customHeight="1" x14ac:dyDescent="0.15"/>
    <row r="29863" s="8" customFormat="1" ht="21.95" customHeight="1" x14ac:dyDescent="0.15"/>
    <row r="29864" s="8" customFormat="1" ht="32.1" customHeight="1" x14ac:dyDescent="0.15"/>
    <row r="29865" s="8" customFormat="1" ht="32.1" customHeight="1" x14ac:dyDescent="0.15"/>
    <row r="29866" s="8" customFormat="1" ht="32.1" customHeight="1" x14ac:dyDescent="0.15"/>
    <row r="29867" s="8" customFormat="1" ht="32.1" customHeight="1" x14ac:dyDescent="0.15"/>
    <row r="29868" s="8" customFormat="1" ht="32.1" customHeight="1" x14ac:dyDescent="0.15"/>
    <row r="29869" s="8" customFormat="1" ht="32.1" customHeight="1" x14ac:dyDescent="0.15"/>
    <row r="29870" s="9" customFormat="1" ht="32.1" customHeight="1" x14ac:dyDescent="0.15"/>
    <row r="29871" s="9" customFormat="1" ht="32.1" customHeight="1" x14ac:dyDescent="0.15"/>
    <row r="29872" s="9" customFormat="1" ht="32.1" customHeight="1" x14ac:dyDescent="0.15"/>
    <row r="29873" s="9" customFormat="1" ht="32.1" customHeight="1" x14ac:dyDescent="0.15"/>
    <row r="29874" s="9" customFormat="1" ht="21.95" customHeight="1" x14ac:dyDescent="0.15"/>
    <row r="29875" s="9" customFormat="1" ht="54" customHeight="1" x14ac:dyDescent="0.15"/>
    <row r="29876" s="9" customFormat="1" ht="21.95" customHeight="1" x14ac:dyDescent="0.15"/>
    <row r="29877" s="9" customFormat="1" ht="21.95" customHeight="1" x14ac:dyDescent="0.15"/>
    <row r="29878" s="9" customFormat="1" ht="21.95" customHeight="1" x14ac:dyDescent="0.15"/>
    <row r="29879" s="9" customFormat="1" ht="21.95" customHeight="1" x14ac:dyDescent="0.15"/>
    <row r="29880" s="9" customFormat="1" ht="21.95" customHeight="1" x14ac:dyDescent="0.15"/>
    <row r="29881" s="9" customFormat="1" ht="21.95" customHeight="1" x14ac:dyDescent="0.15"/>
    <row r="29882" s="9" customFormat="1" ht="21.95" customHeight="1" x14ac:dyDescent="0.15"/>
    <row r="29883" s="9" customFormat="1" ht="21.95" customHeight="1" x14ac:dyDescent="0.15"/>
    <row r="29884" s="9" customFormat="1" ht="21.95" customHeight="1" x14ac:dyDescent="0.15"/>
    <row r="29885" s="9" customFormat="1" ht="21.95" customHeight="1" x14ac:dyDescent="0.15"/>
    <row r="29886" s="9" customFormat="1" ht="21.95" customHeight="1" x14ac:dyDescent="0.15"/>
    <row r="29887" s="9" customFormat="1" ht="21.95" customHeight="1" x14ac:dyDescent="0.15"/>
    <row r="29888" s="9" customFormat="1" ht="21.95" customHeight="1" x14ac:dyDescent="0.15"/>
    <row r="29889" s="9" customFormat="1" ht="21.95" customHeight="1" x14ac:dyDescent="0.15"/>
    <row r="29890" s="9" customFormat="1" ht="21.95" customHeight="1" x14ac:dyDescent="0.15"/>
    <row r="29891" s="9" customFormat="1" ht="21.95" customHeight="1" x14ac:dyDescent="0.15"/>
    <row r="29892" s="9" customFormat="1" ht="21.95" customHeight="1" x14ac:dyDescent="0.15"/>
    <row r="29893" s="9" customFormat="1" ht="21.95" customHeight="1" x14ac:dyDescent="0.15"/>
    <row r="29894" s="9" customFormat="1" ht="21.95" customHeight="1" x14ac:dyDescent="0.15"/>
    <row r="29895" s="9" customFormat="1" ht="21.95" customHeight="1" x14ac:dyDescent="0.15"/>
    <row r="29896" s="9" customFormat="1" ht="21.95" customHeight="1" x14ac:dyDescent="0.15"/>
    <row r="29897" s="9" customFormat="1" ht="21.95" customHeight="1" x14ac:dyDescent="0.15"/>
    <row r="29898" s="9" customFormat="1" ht="21.95" customHeight="1" x14ac:dyDescent="0.15"/>
    <row r="29899" s="9" customFormat="1" ht="21.95" customHeight="1" x14ac:dyDescent="0.15"/>
    <row r="29900" s="9" customFormat="1" ht="21.95" customHeight="1" x14ac:dyDescent="0.15"/>
    <row r="29901" s="9" customFormat="1" ht="21.95" customHeight="1" x14ac:dyDescent="0.15"/>
    <row r="29902" s="9" customFormat="1" ht="21.95" customHeight="1" x14ac:dyDescent="0.15"/>
    <row r="29903" s="9" customFormat="1" ht="21.95" customHeight="1" x14ac:dyDescent="0.15"/>
    <row r="29904" s="9" customFormat="1" ht="21.95" customHeight="1" x14ac:dyDescent="0.15"/>
    <row r="29905" s="9" customFormat="1" ht="21.95" customHeight="1" x14ac:dyDescent="0.15"/>
    <row r="29906" s="9" customFormat="1" ht="21.95" customHeight="1" x14ac:dyDescent="0.15"/>
    <row r="29907" s="9" customFormat="1" ht="21.95" customHeight="1" x14ac:dyDescent="0.15"/>
    <row r="29908" s="9" customFormat="1" ht="21.95" customHeight="1" x14ac:dyDescent="0.15"/>
    <row r="29909" s="9" customFormat="1" ht="21.95" customHeight="1" x14ac:dyDescent="0.15"/>
    <row r="29910" s="9" customFormat="1" ht="21.95" customHeight="1" x14ac:dyDescent="0.15"/>
    <row r="29911" s="9" customFormat="1" ht="21.95" customHeight="1" x14ac:dyDescent="0.15"/>
    <row r="29912" s="9" customFormat="1" ht="21.95" customHeight="1" x14ac:dyDescent="0.15"/>
    <row r="29913" s="9" customFormat="1" ht="21.95" customHeight="1" x14ac:dyDescent="0.15"/>
    <row r="29914" s="9" customFormat="1" ht="21.95" customHeight="1" x14ac:dyDescent="0.15"/>
    <row r="29915" s="9" customFormat="1" ht="21.95" customHeight="1" x14ac:dyDescent="0.15"/>
    <row r="29916" s="9" customFormat="1" ht="21.95" customHeight="1" x14ac:dyDescent="0.15"/>
    <row r="29917" s="9" customFormat="1" ht="21.95" customHeight="1" x14ac:dyDescent="0.15"/>
    <row r="29918" s="9" customFormat="1" ht="21.95" customHeight="1" x14ac:dyDescent="0.15"/>
    <row r="29919" s="9" customFormat="1" ht="21.95" customHeight="1" x14ac:dyDescent="0.15"/>
    <row r="29920" s="9" customFormat="1" ht="21.95" customHeight="1" x14ac:dyDescent="0.15"/>
    <row r="29921" s="9" customFormat="1" ht="21.95" customHeight="1" x14ac:dyDescent="0.15"/>
    <row r="29922" s="9" customFormat="1" ht="21.95" customHeight="1" x14ac:dyDescent="0.15"/>
    <row r="29923" s="9" customFormat="1" ht="21.95" customHeight="1" x14ac:dyDescent="0.15"/>
    <row r="29924" s="9" customFormat="1" ht="21.95" customHeight="1" x14ac:dyDescent="0.15"/>
    <row r="29925" s="9" customFormat="1" ht="21.95" customHeight="1" x14ac:dyDescent="0.15"/>
    <row r="29926" s="9" customFormat="1" ht="35.1" customHeight="1" x14ac:dyDescent="0.15"/>
    <row r="29927" s="9" customFormat="1" ht="21.95" customHeight="1" x14ac:dyDescent="0.15"/>
    <row r="29928" s="9" customFormat="1" ht="21.95" customHeight="1" x14ac:dyDescent="0.15"/>
    <row r="29929" s="9" customFormat="1" ht="21.95" customHeight="1" x14ac:dyDescent="0.15"/>
    <row r="29930" s="9" customFormat="1" ht="21.95" customHeight="1" x14ac:dyDescent="0.15"/>
    <row r="29931" s="9" customFormat="1" ht="21.95" customHeight="1" x14ac:dyDescent="0.15"/>
    <row r="29932" s="9" customFormat="1" ht="21.95" customHeight="1" x14ac:dyDescent="0.15"/>
    <row r="29933" s="9" customFormat="1" ht="21.95" customHeight="1" x14ac:dyDescent="0.15"/>
    <row r="29934" s="9" customFormat="1" ht="21.95" customHeight="1" x14ac:dyDescent="0.15"/>
    <row r="29935" s="9" customFormat="1" ht="21.95" customHeight="1" x14ac:dyDescent="0.15"/>
    <row r="29936" s="9" customFormat="1" ht="21.95" customHeight="1" x14ac:dyDescent="0.15"/>
    <row r="29937" spans="3:3" s="9" customFormat="1" ht="21.95" customHeight="1" x14ac:dyDescent="0.15"/>
    <row r="29938" spans="3:3" s="9" customFormat="1" ht="21.95" customHeight="1" x14ac:dyDescent="0.15"/>
    <row r="29939" spans="3:3" s="9" customFormat="1" ht="21.95" customHeight="1" x14ac:dyDescent="0.15"/>
    <row r="29940" spans="3:3" s="9" customFormat="1" ht="21.95" customHeight="1" x14ac:dyDescent="0.15"/>
    <row r="29941" spans="3:3" s="9" customFormat="1" ht="21.95" customHeight="1" x14ac:dyDescent="0.15"/>
    <row r="29942" spans="3:3" s="9" customFormat="1" ht="21.95" customHeight="1" x14ac:dyDescent="0.15"/>
    <row r="29943" spans="3:3" s="9" customFormat="1" ht="21.95" customHeight="1" x14ac:dyDescent="0.15"/>
    <row r="29944" spans="3:3" s="9" customFormat="1" ht="21.95" customHeight="1" x14ac:dyDescent="0.15"/>
    <row r="29945" spans="3:3" s="9" customFormat="1" ht="21.95" customHeight="1" x14ac:dyDescent="0.15"/>
    <row r="29946" spans="3:3" s="9" customFormat="1" ht="21.95" customHeight="1" x14ac:dyDescent="0.15"/>
    <row r="29947" spans="3:3" s="9" customFormat="1" ht="21.95" customHeight="1" x14ac:dyDescent="0.15"/>
    <row r="29948" spans="3:3" s="9" customFormat="1" ht="21.95" customHeight="1" x14ac:dyDescent="0.15"/>
    <row r="29949" spans="3:3" s="9" customFormat="1" ht="21.95" customHeight="1" x14ac:dyDescent="0.15"/>
    <row r="29950" spans="3:3" s="8" customFormat="1" ht="21.95" customHeight="1" x14ac:dyDescent="0.15"/>
    <row r="29951" spans="3:3" s="8" customFormat="1" ht="21.95" customHeight="1" x14ac:dyDescent="0.15"/>
    <row r="29952" spans="3:3" s="8" customFormat="1" ht="21.95" customHeight="1" x14ac:dyDescent="0.15">
      <c r="C29952" s="101"/>
    </row>
    <row r="29953" spans="3:3" s="8" customFormat="1" ht="21.95" customHeight="1" x14ac:dyDescent="0.15">
      <c r="C29953" s="101"/>
    </row>
    <row r="29954" spans="3:3" s="8" customFormat="1" ht="21.95" customHeight="1" x14ac:dyDescent="0.15"/>
    <row r="29955" spans="3:3" s="8" customFormat="1" ht="21.95" customHeight="1" x14ac:dyDescent="0.15"/>
    <row r="29956" spans="3:3" s="8" customFormat="1" ht="21.95" customHeight="1" x14ac:dyDescent="0.15"/>
    <row r="29957" spans="3:3" s="8" customFormat="1" ht="21.95" customHeight="1" x14ac:dyDescent="0.15"/>
    <row r="29958" spans="3:3" s="8" customFormat="1" ht="21.95" customHeight="1" x14ac:dyDescent="0.15"/>
    <row r="29959" spans="3:3" s="8" customFormat="1" ht="21.95" customHeight="1" x14ac:dyDescent="0.15"/>
    <row r="29960" spans="3:3" s="8" customFormat="1" ht="21.95" customHeight="1" x14ac:dyDescent="0.15"/>
    <row r="29961" spans="3:3" s="9" customFormat="1" ht="21.95" customHeight="1" x14ac:dyDescent="0.15"/>
    <row r="29962" spans="3:3" s="9" customFormat="1" ht="21.95" customHeight="1" x14ac:dyDescent="0.15"/>
    <row r="29963" spans="3:3" s="9" customFormat="1" ht="21.95" customHeight="1" x14ac:dyDescent="0.15"/>
    <row r="29964" spans="3:3" s="9" customFormat="1" ht="21.95" customHeight="1" x14ac:dyDescent="0.15"/>
    <row r="29965" spans="3:3" s="8" customFormat="1" ht="21.95" customHeight="1" x14ac:dyDescent="0.15"/>
    <row r="29966" spans="3:3" s="8" customFormat="1" ht="21.95" customHeight="1" x14ac:dyDescent="0.15"/>
    <row r="29967" spans="3:3" s="8" customFormat="1" ht="21.95" customHeight="1" x14ac:dyDescent="0.15"/>
    <row r="29968" spans="3:3" s="8" customFormat="1" ht="21.95" customHeight="1" x14ac:dyDescent="0.15"/>
    <row r="29969" s="8" customFormat="1" ht="21.95" customHeight="1" x14ac:dyDescent="0.15"/>
    <row r="29970" s="8" customFormat="1" ht="21.95" customHeight="1" x14ac:dyDescent="0.15"/>
    <row r="29971" s="8" customFormat="1" ht="21.95" customHeight="1" x14ac:dyDescent="0.15"/>
    <row r="29972" s="8" customFormat="1" ht="21.95" customHeight="1" x14ac:dyDescent="0.15"/>
    <row r="29973" s="8" customFormat="1" ht="21.95" customHeight="1" x14ac:dyDescent="0.15"/>
    <row r="29974" s="8" customFormat="1" ht="21.95" customHeight="1" x14ac:dyDescent="0.15"/>
    <row r="29975" s="8" customFormat="1" ht="21.95" customHeight="1" x14ac:dyDescent="0.15"/>
    <row r="29976" s="8" customFormat="1" ht="32.1" customHeight="1" x14ac:dyDescent="0.15"/>
    <row r="29977" s="8" customFormat="1" ht="32.1" customHeight="1" x14ac:dyDescent="0.15"/>
    <row r="29978" s="8" customFormat="1" ht="32.1" customHeight="1" x14ac:dyDescent="0.15"/>
    <row r="29979" s="8" customFormat="1" ht="32.1" customHeight="1" x14ac:dyDescent="0.15"/>
    <row r="29980" s="8" customFormat="1" ht="32.1" customHeight="1" x14ac:dyDescent="0.15"/>
    <row r="29981" s="8" customFormat="1" ht="32.1" customHeight="1" x14ac:dyDescent="0.15"/>
    <row r="29982" s="9" customFormat="1" ht="32.1" customHeight="1" x14ac:dyDescent="0.15"/>
    <row r="29983" s="9" customFormat="1" ht="32.1" customHeight="1" x14ac:dyDescent="0.15"/>
    <row r="29984" s="9" customFormat="1" ht="32.1" customHeight="1" x14ac:dyDescent="0.15"/>
    <row r="29985" s="9" customFormat="1" ht="32.1" customHeight="1" x14ac:dyDescent="0.15"/>
    <row r="29986" s="9" customFormat="1" ht="21.95" customHeight="1" x14ac:dyDescent="0.15"/>
    <row r="29987" s="9" customFormat="1" ht="54" customHeight="1" x14ac:dyDescent="0.15"/>
    <row r="29988" s="9" customFormat="1" ht="21.95" customHeight="1" x14ac:dyDescent="0.15"/>
    <row r="29989" s="9" customFormat="1" ht="21.95" customHeight="1" x14ac:dyDescent="0.15"/>
    <row r="29990" s="9" customFormat="1" ht="21.95" customHeight="1" x14ac:dyDescent="0.15"/>
    <row r="29991" s="9" customFormat="1" ht="21.95" customHeight="1" x14ac:dyDescent="0.15"/>
    <row r="29992" s="9" customFormat="1" ht="21.95" customHeight="1" x14ac:dyDescent="0.15"/>
    <row r="29993" s="9" customFormat="1" ht="21.95" customHeight="1" x14ac:dyDescent="0.15"/>
    <row r="29994" s="9" customFormat="1" ht="21.95" customHeight="1" x14ac:dyDescent="0.15"/>
    <row r="29995" s="9" customFormat="1" ht="21.95" customHeight="1" x14ac:dyDescent="0.15"/>
    <row r="29996" s="9" customFormat="1" ht="21.95" customHeight="1" x14ac:dyDescent="0.15"/>
    <row r="29997" s="9" customFormat="1" ht="21.95" customHeight="1" x14ac:dyDescent="0.15"/>
    <row r="29998" s="9" customFormat="1" ht="21.95" customHeight="1" x14ac:dyDescent="0.15"/>
    <row r="29999" s="9" customFormat="1" ht="21.95" customHeight="1" x14ac:dyDescent="0.15"/>
    <row r="30000" s="9" customFormat="1" ht="21.95" customHeight="1" x14ac:dyDescent="0.15"/>
    <row r="30001" s="9" customFormat="1" ht="21.95" customHeight="1" x14ac:dyDescent="0.15"/>
    <row r="30002" s="9" customFormat="1" ht="21.95" customHeight="1" x14ac:dyDescent="0.15"/>
    <row r="30003" s="9" customFormat="1" ht="21.95" customHeight="1" x14ac:dyDescent="0.15"/>
    <row r="30004" s="9" customFormat="1" ht="21.95" customHeight="1" x14ac:dyDescent="0.15"/>
    <row r="30005" s="9" customFormat="1" ht="21.95" customHeight="1" x14ac:dyDescent="0.15"/>
    <row r="30006" s="9" customFormat="1" ht="21.95" customHeight="1" x14ac:dyDescent="0.15"/>
    <row r="30007" s="9" customFormat="1" ht="21.95" customHeight="1" x14ac:dyDescent="0.15"/>
    <row r="30008" s="9" customFormat="1" ht="21.95" customHeight="1" x14ac:dyDescent="0.15"/>
    <row r="30009" s="9" customFormat="1" ht="21.95" customHeight="1" x14ac:dyDescent="0.15"/>
    <row r="30010" s="9" customFormat="1" ht="21.95" customHeight="1" x14ac:dyDescent="0.15"/>
    <row r="30011" s="9" customFormat="1" ht="21.95" customHeight="1" x14ac:dyDescent="0.15"/>
    <row r="30012" s="9" customFormat="1" ht="21.95" customHeight="1" x14ac:dyDescent="0.15"/>
    <row r="30013" s="9" customFormat="1" ht="21.95" customHeight="1" x14ac:dyDescent="0.15"/>
    <row r="30014" s="9" customFormat="1" ht="21.95" customHeight="1" x14ac:dyDescent="0.15"/>
    <row r="30015" s="9" customFormat="1" ht="21.95" customHeight="1" x14ac:dyDescent="0.15"/>
    <row r="30016" s="9" customFormat="1" ht="21.95" customHeight="1" x14ac:dyDescent="0.15"/>
    <row r="30017" s="9" customFormat="1" ht="21.95" customHeight="1" x14ac:dyDescent="0.15"/>
    <row r="30018" s="9" customFormat="1" ht="21.95" customHeight="1" x14ac:dyDescent="0.15"/>
    <row r="30019" s="9" customFormat="1" ht="21.95" customHeight="1" x14ac:dyDescent="0.15"/>
    <row r="30020" s="9" customFormat="1" ht="21.95" customHeight="1" x14ac:dyDescent="0.15"/>
    <row r="30021" s="9" customFormat="1" ht="21.95" customHeight="1" x14ac:dyDescent="0.15"/>
    <row r="30022" s="9" customFormat="1" ht="21.95" customHeight="1" x14ac:dyDescent="0.15"/>
    <row r="30023" s="9" customFormat="1" ht="21.95" customHeight="1" x14ac:dyDescent="0.15"/>
    <row r="30024" s="9" customFormat="1" ht="21.95" customHeight="1" x14ac:dyDescent="0.15"/>
    <row r="30025" s="9" customFormat="1" ht="21.95" customHeight="1" x14ac:dyDescent="0.15"/>
    <row r="30026" s="9" customFormat="1" ht="21.95" customHeight="1" x14ac:dyDescent="0.15"/>
    <row r="30027" s="9" customFormat="1" ht="21.95" customHeight="1" x14ac:dyDescent="0.15"/>
    <row r="30028" s="9" customFormat="1" ht="21.95" customHeight="1" x14ac:dyDescent="0.15"/>
    <row r="30029" s="9" customFormat="1" ht="21.95" customHeight="1" x14ac:dyDescent="0.15"/>
    <row r="30030" s="9" customFormat="1" ht="21.95" customHeight="1" x14ac:dyDescent="0.15"/>
    <row r="30031" s="9" customFormat="1" ht="21.95" customHeight="1" x14ac:dyDescent="0.15"/>
    <row r="30032" s="9" customFormat="1" ht="21.95" customHeight="1" x14ac:dyDescent="0.15"/>
    <row r="30033" s="9" customFormat="1" ht="21.95" customHeight="1" x14ac:dyDescent="0.15"/>
    <row r="30034" s="9" customFormat="1" ht="21.95" customHeight="1" x14ac:dyDescent="0.15"/>
    <row r="30035" s="9" customFormat="1" ht="21.95" customHeight="1" x14ac:dyDescent="0.15"/>
    <row r="30036" s="9" customFormat="1" ht="21.95" customHeight="1" x14ac:dyDescent="0.15"/>
    <row r="30037" s="9" customFormat="1" ht="21.95" customHeight="1" x14ac:dyDescent="0.15"/>
    <row r="30038" s="9" customFormat="1" ht="35.1" customHeight="1" x14ac:dyDescent="0.15"/>
    <row r="30039" s="9" customFormat="1" ht="21.95" customHeight="1" x14ac:dyDescent="0.15"/>
    <row r="30040" s="9" customFormat="1" ht="21.95" customHeight="1" x14ac:dyDescent="0.15"/>
    <row r="30041" s="9" customFormat="1" ht="21.95" customHeight="1" x14ac:dyDescent="0.15"/>
    <row r="30042" s="9" customFormat="1" ht="21.95" customHeight="1" x14ac:dyDescent="0.15"/>
    <row r="30043" s="9" customFormat="1" ht="21.95" customHeight="1" x14ac:dyDescent="0.15"/>
    <row r="30044" s="9" customFormat="1" ht="21.95" customHeight="1" x14ac:dyDescent="0.15"/>
    <row r="30045" s="9" customFormat="1" ht="21.95" customHeight="1" x14ac:dyDescent="0.15"/>
    <row r="30046" s="9" customFormat="1" ht="21.95" customHeight="1" x14ac:dyDescent="0.15"/>
    <row r="30047" s="9" customFormat="1" ht="21.95" customHeight="1" x14ac:dyDescent="0.15"/>
    <row r="30048" s="9" customFormat="1" ht="21.95" customHeight="1" x14ac:dyDescent="0.15"/>
    <row r="30049" spans="3:3" s="9" customFormat="1" ht="21.95" customHeight="1" x14ac:dyDescent="0.15"/>
    <row r="30050" spans="3:3" s="9" customFormat="1" ht="21.95" customHeight="1" x14ac:dyDescent="0.15"/>
    <row r="30051" spans="3:3" s="9" customFormat="1" ht="21.95" customHeight="1" x14ac:dyDescent="0.15"/>
    <row r="30052" spans="3:3" s="9" customFormat="1" ht="21.95" customHeight="1" x14ac:dyDescent="0.15"/>
    <row r="30053" spans="3:3" s="9" customFormat="1" ht="21.95" customHeight="1" x14ac:dyDescent="0.15"/>
    <row r="30054" spans="3:3" s="9" customFormat="1" ht="21.95" customHeight="1" x14ac:dyDescent="0.15"/>
    <row r="30055" spans="3:3" s="9" customFormat="1" ht="21.95" customHeight="1" x14ac:dyDescent="0.15"/>
    <row r="30056" spans="3:3" s="9" customFormat="1" ht="21.95" customHeight="1" x14ac:dyDescent="0.15"/>
    <row r="30057" spans="3:3" s="9" customFormat="1" ht="21.95" customHeight="1" x14ac:dyDescent="0.15"/>
    <row r="30058" spans="3:3" s="9" customFormat="1" ht="21.95" customHeight="1" x14ac:dyDescent="0.15"/>
    <row r="30059" spans="3:3" s="9" customFormat="1" ht="21.95" customHeight="1" x14ac:dyDescent="0.15"/>
    <row r="30060" spans="3:3" s="9" customFormat="1" ht="21.95" customHeight="1" x14ac:dyDescent="0.15"/>
    <row r="30061" spans="3:3" s="9" customFormat="1" ht="21.95" customHeight="1" x14ac:dyDescent="0.15"/>
    <row r="30062" spans="3:3" s="8" customFormat="1" ht="21.95" customHeight="1" x14ac:dyDescent="0.15"/>
    <row r="30063" spans="3:3" s="8" customFormat="1" ht="21.95" customHeight="1" x14ac:dyDescent="0.15"/>
    <row r="30064" spans="3:3" s="8" customFormat="1" ht="21.95" customHeight="1" x14ac:dyDescent="0.15">
      <c r="C30064" s="101"/>
    </row>
    <row r="30065" spans="3:3" s="8" customFormat="1" ht="21.95" customHeight="1" x14ac:dyDescent="0.15">
      <c r="C30065" s="101"/>
    </row>
    <row r="30066" spans="3:3" s="8" customFormat="1" ht="21.95" customHeight="1" x14ac:dyDescent="0.15"/>
    <row r="30067" spans="3:3" s="8" customFormat="1" ht="21.95" customHeight="1" x14ac:dyDescent="0.15"/>
    <row r="30068" spans="3:3" s="8" customFormat="1" ht="21.95" customHeight="1" x14ac:dyDescent="0.15"/>
    <row r="30069" spans="3:3" s="8" customFormat="1" ht="21.95" customHeight="1" x14ac:dyDescent="0.15"/>
    <row r="30070" spans="3:3" s="8" customFormat="1" ht="21.95" customHeight="1" x14ac:dyDescent="0.15"/>
    <row r="30071" spans="3:3" s="8" customFormat="1" ht="21.95" customHeight="1" x14ac:dyDescent="0.15"/>
    <row r="30072" spans="3:3" s="8" customFormat="1" ht="21.95" customHeight="1" x14ac:dyDescent="0.15"/>
    <row r="30073" spans="3:3" s="9" customFormat="1" ht="21.95" customHeight="1" x14ac:dyDescent="0.15"/>
    <row r="30074" spans="3:3" s="9" customFormat="1" ht="21.95" customHeight="1" x14ac:dyDescent="0.15"/>
    <row r="30075" spans="3:3" s="9" customFormat="1" ht="21.95" customHeight="1" x14ac:dyDescent="0.15"/>
    <row r="30076" spans="3:3" s="9" customFormat="1" ht="21.95" customHeight="1" x14ac:dyDescent="0.15"/>
    <row r="30077" spans="3:3" s="8" customFormat="1" ht="21.95" customHeight="1" x14ac:dyDescent="0.15"/>
    <row r="30078" spans="3:3" s="8" customFormat="1" ht="21.95" customHeight="1" x14ac:dyDescent="0.15"/>
    <row r="30079" spans="3:3" s="8" customFormat="1" ht="21.95" customHeight="1" x14ac:dyDescent="0.15"/>
    <row r="30080" spans="3:3" s="8" customFormat="1" ht="21.95" customHeight="1" x14ac:dyDescent="0.15"/>
    <row r="30081" s="8" customFormat="1" ht="21.95" customHeight="1" x14ac:dyDescent="0.15"/>
    <row r="30082" s="8" customFormat="1" ht="21.95" customHeight="1" x14ac:dyDescent="0.15"/>
    <row r="30083" s="8" customFormat="1" ht="21.95" customHeight="1" x14ac:dyDescent="0.15"/>
    <row r="30084" s="8" customFormat="1" ht="21.95" customHeight="1" x14ac:dyDescent="0.15"/>
    <row r="30085" s="8" customFormat="1" ht="21.95" customHeight="1" x14ac:dyDescent="0.15"/>
    <row r="30086" s="8" customFormat="1" ht="21.95" customHeight="1" x14ac:dyDescent="0.15"/>
    <row r="30087" s="8" customFormat="1" ht="21.95" customHeight="1" x14ac:dyDescent="0.15"/>
    <row r="30088" s="8" customFormat="1" ht="32.1" customHeight="1" x14ac:dyDescent="0.15"/>
    <row r="30089" s="8" customFormat="1" ht="32.1" customHeight="1" x14ac:dyDescent="0.15"/>
    <row r="30090" s="8" customFormat="1" ht="32.1" customHeight="1" x14ac:dyDescent="0.15"/>
    <row r="30091" s="8" customFormat="1" ht="32.1" customHeight="1" x14ac:dyDescent="0.15"/>
    <row r="30092" s="8" customFormat="1" ht="32.1" customHeight="1" x14ac:dyDescent="0.15"/>
    <row r="30093" s="8" customFormat="1" ht="32.1" customHeight="1" x14ac:dyDescent="0.15"/>
    <row r="30094" s="9" customFormat="1" ht="32.1" customHeight="1" x14ac:dyDescent="0.15"/>
    <row r="30095" s="9" customFormat="1" ht="32.1" customHeight="1" x14ac:dyDescent="0.15"/>
    <row r="30096" s="9" customFormat="1" ht="32.1" customHeight="1" x14ac:dyDescent="0.15"/>
    <row r="30097" s="9" customFormat="1" ht="32.1" customHeight="1" x14ac:dyDescent="0.15"/>
    <row r="30098" s="9" customFormat="1" ht="21.95" customHeight="1" x14ac:dyDescent="0.15"/>
    <row r="30099" s="9" customFormat="1" ht="54" customHeight="1" x14ac:dyDescent="0.15"/>
    <row r="30100" s="9" customFormat="1" ht="21.95" customHeight="1" x14ac:dyDescent="0.15"/>
    <row r="30101" s="9" customFormat="1" ht="21.95" customHeight="1" x14ac:dyDescent="0.15"/>
    <row r="30102" s="9" customFormat="1" ht="21.95" customHeight="1" x14ac:dyDescent="0.15"/>
    <row r="30103" s="9" customFormat="1" ht="21.95" customHeight="1" x14ac:dyDescent="0.15"/>
    <row r="30104" s="9" customFormat="1" ht="21.95" customHeight="1" x14ac:dyDescent="0.15"/>
    <row r="30105" s="9" customFormat="1" ht="21.95" customHeight="1" x14ac:dyDescent="0.15"/>
    <row r="30106" s="9" customFormat="1" ht="21.95" customHeight="1" x14ac:dyDescent="0.15"/>
    <row r="30107" s="9" customFormat="1" ht="21.95" customHeight="1" x14ac:dyDescent="0.15"/>
    <row r="30108" s="9" customFormat="1" ht="21.95" customHeight="1" x14ac:dyDescent="0.15"/>
    <row r="30109" s="9" customFormat="1" ht="21.95" customHeight="1" x14ac:dyDescent="0.15"/>
    <row r="30110" s="9" customFormat="1" ht="21.95" customHeight="1" x14ac:dyDescent="0.15"/>
    <row r="30111" s="9" customFormat="1" ht="21.95" customHeight="1" x14ac:dyDescent="0.15"/>
    <row r="30112" s="9" customFormat="1" ht="21.95" customHeight="1" x14ac:dyDescent="0.15"/>
    <row r="30113" s="9" customFormat="1" ht="21.95" customHeight="1" x14ac:dyDescent="0.15"/>
    <row r="30114" s="9" customFormat="1" ht="21.95" customHeight="1" x14ac:dyDescent="0.15"/>
    <row r="30115" s="9" customFormat="1" ht="21.95" customHeight="1" x14ac:dyDescent="0.15"/>
    <row r="30116" s="9" customFormat="1" ht="21.95" customHeight="1" x14ac:dyDescent="0.15"/>
    <row r="30117" s="9" customFormat="1" ht="21.95" customHeight="1" x14ac:dyDescent="0.15"/>
    <row r="30118" s="9" customFormat="1" ht="21.95" customHeight="1" x14ac:dyDescent="0.15"/>
    <row r="30119" s="9" customFormat="1" ht="21.95" customHeight="1" x14ac:dyDescent="0.15"/>
    <row r="30120" s="9" customFormat="1" ht="21.95" customHeight="1" x14ac:dyDescent="0.15"/>
    <row r="30121" s="9" customFormat="1" ht="21.95" customHeight="1" x14ac:dyDescent="0.15"/>
    <row r="30122" s="9" customFormat="1" ht="21.95" customHeight="1" x14ac:dyDescent="0.15"/>
    <row r="30123" s="9" customFormat="1" ht="21.95" customHeight="1" x14ac:dyDescent="0.15"/>
    <row r="30124" s="9" customFormat="1" ht="21.95" customHeight="1" x14ac:dyDescent="0.15"/>
    <row r="30125" s="9" customFormat="1" ht="21.95" customHeight="1" x14ac:dyDescent="0.15"/>
    <row r="30126" s="9" customFormat="1" ht="21.95" customHeight="1" x14ac:dyDescent="0.15"/>
    <row r="30127" s="9" customFormat="1" ht="21.95" customHeight="1" x14ac:dyDescent="0.15"/>
    <row r="30128" s="9" customFormat="1" ht="21.95" customHeight="1" x14ac:dyDescent="0.15"/>
    <row r="30129" s="9" customFormat="1" ht="21.95" customHeight="1" x14ac:dyDescent="0.15"/>
    <row r="30130" s="9" customFormat="1" ht="21.95" customHeight="1" x14ac:dyDescent="0.15"/>
    <row r="30131" s="9" customFormat="1" ht="21.95" customHeight="1" x14ac:dyDescent="0.15"/>
    <row r="30132" s="9" customFormat="1" ht="21.95" customHeight="1" x14ac:dyDescent="0.15"/>
    <row r="30133" s="9" customFormat="1" ht="21.95" customHeight="1" x14ac:dyDescent="0.15"/>
    <row r="30134" s="9" customFormat="1" ht="21.95" customHeight="1" x14ac:dyDescent="0.15"/>
    <row r="30135" s="9" customFormat="1" ht="21.95" customHeight="1" x14ac:dyDescent="0.15"/>
    <row r="30136" s="9" customFormat="1" ht="21.95" customHeight="1" x14ac:dyDescent="0.15"/>
    <row r="30137" s="9" customFormat="1" ht="21.95" customHeight="1" x14ac:dyDescent="0.15"/>
    <row r="30138" s="9" customFormat="1" ht="21.95" customHeight="1" x14ac:dyDescent="0.15"/>
    <row r="30139" s="9" customFormat="1" ht="21.95" customHeight="1" x14ac:dyDescent="0.15"/>
    <row r="30140" s="9" customFormat="1" ht="21.95" customHeight="1" x14ac:dyDescent="0.15"/>
    <row r="30141" s="9" customFormat="1" ht="21.95" customHeight="1" x14ac:dyDescent="0.15"/>
    <row r="30142" s="9" customFormat="1" ht="21.95" customHeight="1" x14ac:dyDescent="0.15"/>
    <row r="30143" s="9" customFormat="1" ht="21.95" customHeight="1" x14ac:dyDescent="0.15"/>
    <row r="30144" s="9" customFormat="1" ht="21.95" customHeight="1" x14ac:dyDescent="0.15"/>
    <row r="30145" s="9" customFormat="1" ht="21.95" customHeight="1" x14ac:dyDescent="0.15"/>
    <row r="30146" s="9" customFormat="1" ht="21.95" customHeight="1" x14ac:dyDescent="0.15"/>
    <row r="30147" s="9" customFormat="1" ht="21.95" customHeight="1" x14ac:dyDescent="0.15"/>
    <row r="30148" s="9" customFormat="1" ht="21.95" customHeight="1" x14ac:dyDescent="0.15"/>
    <row r="30149" s="9" customFormat="1" ht="21.95" customHeight="1" x14ac:dyDescent="0.15"/>
    <row r="30150" s="9" customFormat="1" ht="35.1" customHeight="1" x14ac:dyDescent="0.15"/>
    <row r="30151" s="9" customFormat="1" ht="21.95" customHeight="1" x14ac:dyDescent="0.15"/>
    <row r="30152" s="9" customFormat="1" ht="21.95" customHeight="1" x14ac:dyDescent="0.15"/>
    <row r="30153" s="9" customFormat="1" ht="21.95" customHeight="1" x14ac:dyDescent="0.15"/>
    <row r="30154" s="9" customFormat="1" ht="21.95" customHeight="1" x14ac:dyDescent="0.15"/>
    <row r="30155" s="9" customFormat="1" ht="21.95" customHeight="1" x14ac:dyDescent="0.15"/>
    <row r="30156" s="9" customFormat="1" ht="21.95" customHeight="1" x14ac:dyDescent="0.15"/>
    <row r="30157" s="9" customFormat="1" ht="21.95" customHeight="1" x14ac:dyDescent="0.15"/>
    <row r="30158" s="9" customFormat="1" ht="21.95" customHeight="1" x14ac:dyDescent="0.15"/>
    <row r="30159" s="9" customFormat="1" ht="21.95" customHeight="1" x14ac:dyDescent="0.15"/>
    <row r="30160" s="9" customFormat="1" ht="21.95" customHeight="1" x14ac:dyDescent="0.15"/>
    <row r="30161" spans="3:3" s="9" customFormat="1" ht="21.95" customHeight="1" x14ac:dyDescent="0.15"/>
    <row r="30162" spans="3:3" s="9" customFormat="1" ht="21.95" customHeight="1" x14ac:dyDescent="0.15"/>
    <row r="30163" spans="3:3" s="9" customFormat="1" ht="21.95" customHeight="1" x14ac:dyDescent="0.15"/>
    <row r="30164" spans="3:3" s="9" customFormat="1" ht="21.95" customHeight="1" x14ac:dyDescent="0.15"/>
    <row r="30165" spans="3:3" s="9" customFormat="1" ht="21.95" customHeight="1" x14ac:dyDescent="0.15"/>
    <row r="30166" spans="3:3" s="9" customFormat="1" ht="21.95" customHeight="1" x14ac:dyDescent="0.15"/>
    <row r="30167" spans="3:3" s="9" customFormat="1" ht="21.95" customHeight="1" x14ac:dyDescent="0.15"/>
    <row r="30168" spans="3:3" s="9" customFormat="1" ht="21.95" customHeight="1" x14ac:dyDescent="0.15"/>
    <row r="30169" spans="3:3" s="9" customFormat="1" ht="21.95" customHeight="1" x14ac:dyDescent="0.15"/>
    <row r="30170" spans="3:3" s="9" customFormat="1" ht="21.95" customHeight="1" x14ac:dyDescent="0.15"/>
    <row r="30171" spans="3:3" s="9" customFormat="1" ht="21.95" customHeight="1" x14ac:dyDescent="0.15"/>
    <row r="30172" spans="3:3" s="9" customFormat="1" ht="21.95" customHeight="1" x14ac:dyDescent="0.15"/>
    <row r="30173" spans="3:3" s="9" customFormat="1" ht="21.95" customHeight="1" x14ac:dyDescent="0.15"/>
    <row r="30174" spans="3:3" s="8" customFormat="1" ht="21.95" customHeight="1" x14ac:dyDescent="0.15"/>
    <row r="30175" spans="3:3" s="8" customFormat="1" ht="21.95" customHeight="1" x14ac:dyDescent="0.15"/>
    <row r="30176" spans="3:3" s="8" customFormat="1" ht="21.95" customHeight="1" x14ac:dyDescent="0.15">
      <c r="C30176" s="101"/>
    </row>
    <row r="30177" spans="3:3" s="8" customFormat="1" ht="21.95" customHeight="1" x14ac:dyDescent="0.15">
      <c r="C30177" s="101"/>
    </row>
    <row r="30178" spans="3:3" s="8" customFormat="1" ht="21.95" customHeight="1" x14ac:dyDescent="0.15"/>
    <row r="30179" spans="3:3" s="8" customFormat="1" ht="21.95" customHeight="1" x14ac:dyDescent="0.15"/>
    <row r="30180" spans="3:3" s="8" customFormat="1" ht="21.95" customHeight="1" x14ac:dyDescent="0.15"/>
    <row r="30181" spans="3:3" s="8" customFormat="1" ht="21.95" customHeight="1" x14ac:dyDescent="0.15"/>
    <row r="30182" spans="3:3" s="8" customFormat="1" ht="21.95" customHeight="1" x14ac:dyDescent="0.15"/>
    <row r="30183" spans="3:3" s="8" customFormat="1" ht="21.95" customHeight="1" x14ac:dyDescent="0.15"/>
    <row r="30184" spans="3:3" s="8" customFormat="1" ht="21.95" customHeight="1" x14ac:dyDescent="0.15"/>
    <row r="30185" spans="3:3" s="9" customFormat="1" ht="21.95" customHeight="1" x14ac:dyDescent="0.15"/>
    <row r="30186" spans="3:3" s="9" customFormat="1" ht="21.95" customHeight="1" x14ac:dyDescent="0.15"/>
    <row r="30187" spans="3:3" s="9" customFormat="1" ht="21.95" customHeight="1" x14ac:dyDescent="0.15"/>
    <row r="30188" spans="3:3" s="9" customFormat="1" ht="21.95" customHeight="1" x14ac:dyDescent="0.15"/>
    <row r="30189" spans="3:3" s="8" customFormat="1" ht="21.95" customHeight="1" x14ac:dyDescent="0.15"/>
    <row r="30190" spans="3:3" s="8" customFormat="1" ht="21.95" customHeight="1" x14ac:dyDescent="0.15"/>
    <row r="30191" spans="3:3" s="8" customFormat="1" ht="21.95" customHeight="1" x14ac:dyDescent="0.15"/>
    <row r="30192" spans="3:3" s="8" customFormat="1" ht="21.95" customHeight="1" x14ac:dyDescent="0.15"/>
    <row r="30193" s="8" customFormat="1" ht="21.95" customHeight="1" x14ac:dyDescent="0.15"/>
    <row r="30194" s="8" customFormat="1" ht="21.95" customHeight="1" x14ac:dyDescent="0.15"/>
    <row r="30195" s="8" customFormat="1" ht="21.95" customHeight="1" x14ac:dyDescent="0.15"/>
    <row r="30196" s="8" customFormat="1" ht="21.95" customHeight="1" x14ac:dyDescent="0.15"/>
    <row r="30197" s="8" customFormat="1" ht="21.95" customHeight="1" x14ac:dyDescent="0.15"/>
    <row r="30198" s="8" customFormat="1" ht="21.95" customHeight="1" x14ac:dyDescent="0.15"/>
    <row r="30199" s="8" customFormat="1" ht="21.95" customHeight="1" x14ac:dyDescent="0.15"/>
    <row r="30200" s="8" customFormat="1" ht="32.1" customHeight="1" x14ac:dyDescent="0.15"/>
    <row r="30201" s="8" customFormat="1" ht="32.1" customHeight="1" x14ac:dyDescent="0.15"/>
    <row r="30202" s="8" customFormat="1" ht="32.1" customHeight="1" x14ac:dyDescent="0.15"/>
    <row r="30203" s="8" customFormat="1" ht="32.1" customHeight="1" x14ac:dyDescent="0.15"/>
    <row r="30204" s="8" customFormat="1" ht="32.1" customHeight="1" x14ac:dyDescent="0.15"/>
    <row r="30205" s="8" customFormat="1" ht="32.1" customHeight="1" x14ac:dyDescent="0.15"/>
    <row r="30206" s="9" customFormat="1" ht="32.1" customHeight="1" x14ac:dyDescent="0.15"/>
    <row r="30207" s="9" customFormat="1" ht="32.1" customHeight="1" x14ac:dyDescent="0.15"/>
    <row r="30208" s="9" customFormat="1" ht="32.1" customHeight="1" x14ac:dyDescent="0.15"/>
    <row r="30209" s="9" customFormat="1" ht="32.1" customHeight="1" x14ac:dyDescent="0.15"/>
    <row r="30210" s="9" customFormat="1" ht="21.95" customHeight="1" x14ac:dyDescent="0.15"/>
    <row r="30211" s="9" customFormat="1" ht="54" customHeight="1" x14ac:dyDescent="0.15"/>
    <row r="30212" s="9" customFormat="1" ht="21.95" customHeight="1" x14ac:dyDescent="0.15"/>
    <row r="30213" s="9" customFormat="1" ht="21.95" customHeight="1" x14ac:dyDescent="0.15"/>
    <row r="30214" s="9" customFormat="1" ht="21.95" customHeight="1" x14ac:dyDescent="0.15"/>
    <row r="30215" s="9" customFormat="1" ht="21.95" customHeight="1" x14ac:dyDescent="0.15"/>
    <row r="30216" s="9" customFormat="1" ht="21.95" customHeight="1" x14ac:dyDescent="0.15"/>
    <row r="30217" s="9" customFormat="1" ht="21.95" customHeight="1" x14ac:dyDescent="0.15"/>
    <row r="30218" s="9" customFormat="1" ht="21.95" customHeight="1" x14ac:dyDescent="0.15"/>
    <row r="30219" s="9" customFormat="1" ht="21.95" customHeight="1" x14ac:dyDescent="0.15"/>
    <row r="30220" s="9" customFormat="1" ht="21.95" customHeight="1" x14ac:dyDescent="0.15"/>
    <row r="30221" s="9" customFormat="1" ht="21.95" customHeight="1" x14ac:dyDescent="0.15"/>
    <row r="30222" s="9" customFormat="1" ht="21.95" customHeight="1" x14ac:dyDescent="0.15"/>
    <row r="30223" s="9" customFormat="1" ht="21.95" customHeight="1" x14ac:dyDescent="0.15"/>
    <row r="30224" s="9" customFormat="1" ht="21.95" customHeight="1" x14ac:dyDescent="0.15"/>
    <row r="30225" s="9" customFormat="1" ht="21.95" customHeight="1" x14ac:dyDescent="0.15"/>
    <row r="30226" s="9" customFormat="1" ht="21.95" customHeight="1" x14ac:dyDescent="0.15"/>
    <row r="30227" s="9" customFormat="1" ht="21.95" customHeight="1" x14ac:dyDescent="0.15"/>
    <row r="30228" s="9" customFormat="1" ht="21.95" customHeight="1" x14ac:dyDescent="0.15"/>
    <row r="30229" s="9" customFormat="1" ht="21.95" customHeight="1" x14ac:dyDescent="0.15"/>
    <row r="30230" s="9" customFormat="1" ht="21.95" customHeight="1" x14ac:dyDescent="0.15"/>
    <row r="30231" s="9" customFormat="1" ht="21.95" customHeight="1" x14ac:dyDescent="0.15"/>
    <row r="30232" s="9" customFormat="1" ht="21.95" customHeight="1" x14ac:dyDescent="0.15"/>
    <row r="30233" s="9" customFormat="1" ht="21.95" customHeight="1" x14ac:dyDescent="0.15"/>
    <row r="30234" s="9" customFormat="1" ht="21.95" customHeight="1" x14ac:dyDescent="0.15"/>
    <row r="30235" s="9" customFormat="1" ht="21.95" customHeight="1" x14ac:dyDescent="0.15"/>
    <row r="30236" s="9" customFormat="1" ht="21.95" customHeight="1" x14ac:dyDescent="0.15"/>
    <row r="30237" s="9" customFormat="1" ht="21.95" customHeight="1" x14ac:dyDescent="0.15"/>
    <row r="30238" s="9" customFormat="1" ht="21.95" customHeight="1" x14ac:dyDescent="0.15"/>
    <row r="30239" s="9" customFormat="1" ht="21.95" customHeight="1" x14ac:dyDescent="0.15"/>
    <row r="30240" s="9" customFormat="1" ht="21.95" customHeight="1" x14ac:dyDescent="0.15"/>
    <row r="30241" s="9" customFormat="1" ht="21.95" customHeight="1" x14ac:dyDescent="0.15"/>
    <row r="30242" s="9" customFormat="1" ht="21.95" customHeight="1" x14ac:dyDescent="0.15"/>
    <row r="30243" s="9" customFormat="1" ht="21.95" customHeight="1" x14ac:dyDescent="0.15"/>
    <row r="30244" s="9" customFormat="1" ht="21.95" customHeight="1" x14ac:dyDescent="0.15"/>
    <row r="30245" s="9" customFormat="1" ht="21.95" customHeight="1" x14ac:dyDescent="0.15"/>
    <row r="30246" s="9" customFormat="1" ht="21.95" customHeight="1" x14ac:dyDescent="0.15"/>
    <row r="30247" s="9" customFormat="1" ht="21.95" customHeight="1" x14ac:dyDescent="0.15"/>
    <row r="30248" s="9" customFormat="1" ht="21.95" customHeight="1" x14ac:dyDescent="0.15"/>
    <row r="30249" s="9" customFormat="1" ht="21.95" customHeight="1" x14ac:dyDescent="0.15"/>
    <row r="30250" s="9" customFormat="1" ht="21.95" customHeight="1" x14ac:dyDescent="0.15"/>
    <row r="30251" s="9" customFormat="1" ht="21.95" customHeight="1" x14ac:dyDescent="0.15"/>
    <row r="30252" s="9" customFormat="1" ht="21.95" customHeight="1" x14ac:dyDescent="0.15"/>
    <row r="30253" s="9" customFormat="1" ht="21.95" customHeight="1" x14ac:dyDescent="0.15"/>
    <row r="30254" s="9" customFormat="1" ht="21.95" customHeight="1" x14ac:dyDescent="0.15"/>
    <row r="30255" s="9" customFormat="1" ht="21.95" customHeight="1" x14ac:dyDescent="0.15"/>
    <row r="30256" s="9" customFormat="1" ht="21.95" customHeight="1" x14ac:dyDescent="0.15"/>
    <row r="30257" s="9" customFormat="1" ht="21.95" customHeight="1" x14ac:dyDescent="0.15"/>
    <row r="30258" s="9" customFormat="1" ht="21.95" customHeight="1" x14ac:dyDescent="0.15"/>
    <row r="30259" s="9" customFormat="1" ht="21.95" customHeight="1" x14ac:dyDescent="0.15"/>
    <row r="30260" s="9" customFormat="1" ht="21.95" customHeight="1" x14ac:dyDescent="0.15"/>
    <row r="30261" s="9" customFormat="1" ht="21.95" customHeight="1" x14ac:dyDescent="0.15"/>
    <row r="30262" s="9" customFormat="1" ht="35.1" customHeight="1" x14ac:dyDescent="0.15"/>
    <row r="30263" s="9" customFormat="1" ht="21.95" customHeight="1" x14ac:dyDescent="0.15"/>
    <row r="30264" s="9" customFormat="1" ht="21.95" customHeight="1" x14ac:dyDescent="0.15"/>
    <row r="30265" s="9" customFormat="1" ht="21.95" customHeight="1" x14ac:dyDescent="0.15"/>
    <row r="30266" s="9" customFormat="1" ht="21.95" customHeight="1" x14ac:dyDescent="0.15"/>
    <row r="30267" s="9" customFormat="1" ht="21.95" customHeight="1" x14ac:dyDescent="0.15"/>
    <row r="30268" s="9" customFormat="1" ht="21.95" customHeight="1" x14ac:dyDescent="0.15"/>
    <row r="30269" s="9" customFormat="1" ht="21.95" customHeight="1" x14ac:dyDescent="0.15"/>
    <row r="30270" s="9" customFormat="1" ht="21.95" customHeight="1" x14ac:dyDescent="0.15"/>
    <row r="30271" s="9" customFormat="1" ht="21.95" customHeight="1" x14ac:dyDescent="0.15"/>
    <row r="30272" s="9" customFormat="1" ht="21.95" customHeight="1" x14ac:dyDescent="0.15"/>
    <row r="30273" spans="3:3" s="9" customFormat="1" ht="21.95" customHeight="1" x14ac:dyDescent="0.15"/>
    <row r="30274" spans="3:3" s="9" customFormat="1" ht="21.95" customHeight="1" x14ac:dyDescent="0.15"/>
    <row r="30275" spans="3:3" s="9" customFormat="1" ht="21.95" customHeight="1" x14ac:dyDescent="0.15"/>
    <row r="30276" spans="3:3" s="9" customFormat="1" ht="21.95" customHeight="1" x14ac:dyDescent="0.15"/>
    <row r="30277" spans="3:3" s="9" customFormat="1" ht="21.95" customHeight="1" x14ac:dyDescent="0.15"/>
    <row r="30278" spans="3:3" s="9" customFormat="1" ht="21.95" customHeight="1" x14ac:dyDescent="0.15"/>
    <row r="30279" spans="3:3" s="9" customFormat="1" ht="21.95" customHeight="1" x14ac:dyDescent="0.15"/>
    <row r="30280" spans="3:3" s="9" customFormat="1" ht="21.95" customHeight="1" x14ac:dyDescent="0.15"/>
    <row r="30281" spans="3:3" s="9" customFormat="1" ht="21.95" customHeight="1" x14ac:dyDescent="0.15"/>
    <row r="30282" spans="3:3" s="9" customFormat="1" ht="21.95" customHeight="1" x14ac:dyDescent="0.15"/>
    <row r="30283" spans="3:3" s="9" customFormat="1" ht="21.95" customHeight="1" x14ac:dyDescent="0.15"/>
    <row r="30284" spans="3:3" s="9" customFormat="1" ht="21.95" customHeight="1" x14ac:dyDescent="0.15"/>
    <row r="30285" spans="3:3" s="9" customFormat="1" ht="21.95" customHeight="1" x14ac:dyDescent="0.15"/>
    <row r="30286" spans="3:3" s="8" customFormat="1" ht="21.95" customHeight="1" x14ac:dyDescent="0.15"/>
    <row r="30287" spans="3:3" s="8" customFormat="1" ht="21.95" customHeight="1" x14ac:dyDescent="0.15"/>
    <row r="30288" spans="3:3" s="8" customFormat="1" ht="21.95" customHeight="1" x14ac:dyDescent="0.15">
      <c r="C30288" s="101"/>
    </row>
    <row r="30289" spans="3:3" s="8" customFormat="1" ht="21.95" customHeight="1" x14ac:dyDescent="0.15">
      <c r="C30289" s="101"/>
    </row>
    <row r="30290" spans="3:3" s="8" customFormat="1" ht="21.95" customHeight="1" x14ac:dyDescent="0.15"/>
    <row r="30291" spans="3:3" s="8" customFormat="1" ht="21.95" customHeight="1" x14ac:dyDescent="0.15"/>
    <row r="30292" spans="3:3" s="8" customFormat="1" ht="21.95" customHeight="1" x14ac:dyDescent="0.15"/>
    <row r="30293" spans="3:3" s="8" customFormat="1" ht="21.95" customHeight="1" x14ac:dyDescent="0.15"/>
    <row r="30294" spans="3:3" s="8" customFormat="1" ht="21.95" customHeight="1" x14ac:dyDescent="0.15"/>
    <row r="30295" spans="3:3" s="8" customFormat="1" ht="21.95" customHeight="1" x14ac:dyDescent="0.15"/>
    <row r="30296" spans="3:3" s="8" customFormat="1" ht="21.95" customHeight="1" x14ac:dyDescent="0.15"/>
    <row r="30297" spans="3:3" s="9" customFormat="1" ht="21.95" customHeight="1" x14ac:dyDescent="0.15"/>
    <row r="30298" spans="3:3" s="9" customFormat="1" ht="21.95" customHeight="1" x14ac:dyDescent="0.15"/>
    <row r="30299" spans="3:3" s="9" customFormat="1" ht="21.95" customHeight="1" x14ac:dyDescent="0.15"/>
    <row r="30300" spans="3:3" s="9" customFormat="1" ht="21.95" customHeight="1" x14ac:dyDescent="0.15"/>
    <row r="30301" spans="3:3" s="8" customFormat="1" ht="21.95" customHeight="1" x14ac:dyDescent="0.15"/>
    <row r="30302" spans="3:3" s="8" customFormat="1" ht="21.95" customHeight="1" x14ac:dyDescent="0.15"/>
    <row r="30303" spans="3:3" s="8" customFormat="1" ht="21.95" customHeight="1" x14ac:dyDescent="0.15"/>
    <row r="30304" spans="3:3" s="8" customFormat="1" ht="21.95" customHeight="1" x14ac:dyDescent="0.15"/>
    <row r="30305" s="8" customFormat="1" ht="21.95" customHeight="1" x14ac:dyDescent="0.15"/>
    <row r="30306" s="8" customFormat="1" ht="21.95" customHeight="1" x14ac:dyDescent="0.15"/>
    <row r="30307" s="8" customFormat="1" ht="21.95" customHeight="1" x14ac:dyDescent="0.15"/>
    <row r="30308" s="8" customFormat="1" ht="21.95" customHeight="1" x14ac:dyDescent="0.15"/>
    <row r="30309" s="8" customFormat="1" ht="21.95" customHeight="1" x14ac:dyDescent="0.15"/>
    <row r="30310" s="8" customFormat="1" ht="21.95" customHeight="1" x14ac:dyDescent="0.15"/>
    <row r="30311" s="8" customFormat="1" ht="21.95" customHeight="1" x14ac:dyDescent="0.15"/>
    <row r="30312" s="8" customFormat="1" ht="32.1" customHeight="1" x14ac:dyDescent="0.15"/>
    <row r="30313" s="8" customFormat="1" ht="32.1" customHeight="1" x14ac:dyDescent="0.15"/>
    <row r="30314" s="8" customFormat="1" ht="32.1" customHeight="1" x14ac:dyDescent="0.15"/>
    <row r="30315" s="8" customFormat="1" ht="32.1" customHeight="1" x14ac:dyDescent="0.15"/>
    <row r="30316" s="8" customFormat="1" ht="32.1" customHeight="1" x14ac:dyDescent="0.15"/>
    <row r="30317" s="8" customFormat="1" ht="32.1" customHeight="1" x14ac:dyDescent="0.15"/>
    <row r="30318" s="9" customFormat="1" ht="32.1" customHeight="1" x14ac:dyDescent="0.15"/>
    <row r="30319" s="9" customFormat="1" ht="32.1" customHeight="1" x14ac:dyDescent="0.15"/>
    <row r="30320" s="9" customFormat="1" ht="32.1" customHeight="1" x14ac:dyDescent="0.15"/>
    <row r="30321" s="9" customFormat="1" ht="32.1" customHeight="1" x14ac:dyDescent="0.15"/>
    <row r="30322" s="9" customFormat="1" ht="21.95" customHeight="1" x14ac:dyDescent="0.15"/>
    <row r="30323" s="9" customFormat="1" ht="54" customHeight="1" x14ac:dyDescent="0.15"/>
    <row r="30324" s="9" customFormat="1" ht="21.95" customHeight="1" x14ac:dyDescent="0.15"/>
    <row r="30325" s="9" customFormat="1" ht="21.95" customHeight="1" x14ac:dyDescent="0.15"/>
    <row r="30326" s="9" customFormat="1" ht="21.95" customHeight="1" x14ac:dyDescent="0.15"/>
    <row r="30327" s="9" customFormat="1" ht="21.95" customHeight="1" x14ac:dyDescent="0.15"/>
    <row r="30328" s="9" customFormat="1" ht="21.95" customHeight="1" x14ac:dyDescent="0.15"/>
    <row r="30329" s="9" customFormat="1" ht="21.95" customHeight="1" x14ac:dyDescent="0.15"/>
    <row r="30330" s="9" customFormat="1" ht="21.95" customHeight="1" x14ac:dyDescent="0.15"/>
    <row r="30331" s="9" customFormat="1" ht="21.95" customHeight="1" x14ac:dyDescent="0.15"/>
    <row r="30332" s="9" customFormat="1" ht="21.95" customHeight="1" x14ac:dyDescent="0.15"/>
    <row r="30333" s="9" customFormat="1" ht="21.95" customHeight="1" x14ac:dyDescent="0.15"/>
    <row r="30334" s="9" customFormat="1" ht="21.95" customHeight="1" x14ac:dyDescent="0.15"/>
    <row r="30335" s="9" customFormat="1" ht="21.95" customHeight="1" x14ac:dyDescent="0.15"/>
    <row r="30336" s="9" customFormat="1" ht="21.95" customHeight="1" x14ac:dyDescent="0.15"/>
    <row r="30337" s="9" customFormat="1" ht="21.95" customHeight="1" x14ac:dyDescent="0.15"/>
    <row r="30338" s="9" customFormat="1" ht="21.95" customHeight="1" x14ac:dyDescent="0.15"/>
    <row r="30339" s="9" customFormat="1" ht="21.95" customHeight="1" x14ac:dyDescent="0.15"/>
    <row r="30340" s="9" customFormat="1" ht="21.95" customHeight="1" x14ac:dyDescent="0.15"/>
    <row r="30341" s="9" customFormat="1" ht="21.95" customHeight="1" x14ac:dyDescent="0.15"/>
    <row r="30342" s="9" customFormat="1" ht="21.95" customHeight="1" x14ac:dyDescent="0.15"/>
    <row r="30343" s="9" customFormat="1" ht="21.95" customHeight="1" x14ac:dyDescent="0.15"/>
    <row r="30344" s="9" customFormat="1" ht="21.95" customHeight="1" x14ac:dyDescent="0.15"/>
    <row r="30345" s="9" customFormat="1" ht="21.95" customHeight="1" x14ac:dyDescent="0.15"/>
    <row r="30346" s="9" customFormat="1" ht="21.95" customHeight="1" x14ac:dyDescent="0.15"/>
    <row r="30347" s="9" customFormat="1" ht="21.95" customHeight="1" x14ac:dyDescent="0.15"/>
    <row r="30348" s="9" customFormat="1" ht="21.95" customHeight="1" x14ac:dyDescent="0.15"/>
    <row r="30349" s="9" customFormat="1" ht="21.95" customHeight="1" x14ac:dyDescent="0.15"/>
    <row r="30350" s="9" customFormat="1" ht="21.95" customHeight="1" x14ac:dyDescent="0.15"/>
    <row r="30351" s="9" customFormat="1" ht="21.95" customHeight="1" x14ac:dyDescent="0.15"/>
    <row r="30352" s="9" customFormat="1" ht="21.95" customHeight="1" x14ac:dyDescent="0.15"/>
    <row r="30353" s="9" customFormat="1" ht="21.95" customHeight="1" x14ac:dyDescent="0.15"/>
    <row r="30354" s="9" customFormat="1" ht="21.95" customHeight="1" x14ac:dyDescent="0.15"/>
    <row r="30355" s="9" customFormat="1" ht="21.95" customHeight="1" x14ac:dyDescent="0.15"/>
    <row r="30356" s="9" customFormat="1" ht="21.95" customHeight="1" x14ac:dyDescent="0.15"/>
    <row r="30357" s="9" customFormat="1" ht="21.95" customHeight="1" x14ac:dyDescent="0.15"/>
    <row r="30358" s="9" customFormat="1" ht="21.95" customHeight="1" x14ac:dyDescent="0.15"/>
    <row r="30359" s="9" customFormat="1" ht="21.95" customHeight="1" x14ac:dyDescent="0.15"/>
    <row r="30360" s="9" customFormat="1" ht="21.95" customHeight="1" x14ac:dyDescent="0.15"/>
    <row r="30361" s="9" customFormat="1" ht="21.95" customHeight="1" x14ac:dyDescent="0.15"/>
    <row r="30362" s="9" customFormat="1" ht="21.95" customHeight="1" x14ac:dyDescent="0.15"/>
    <row r="30363" s="9" customFormat="1" ht="21.95" customHeight="1" x14ac:dyDescent="0.15"/>
    <row r="30364" s="9" customFormat="1" ht="21.95" customHeight="1" x14ac:dyDescent="0.15"/>
    <row r="30365" s="9" customFormat="1" ht="21.95" customHeight="1" x14ac:dyDescent="0.15"/>
    <row r="30366" s="9" customFormat="1" ht="21.95" customHeight="1" x14ac:dyDescent="0.15"/>
    <row r="30367" s="9" customFormat="1" ht="21.95" customHeight="1" x14ac:dyDescent="0.15"/>
    <row r="30368" s="9" customFormat="1" ht="21.95" customHeight="1" x14ac:dyDescent="0.15"/>
    <row r="30369" s="9" customFormat="1" ht="21.95" customHeight="1" x14ac:dyDescent="0.15"/>
    <row r="30370" s="9" customFormat="1" ht="21.95" customHeight="1" x14ac:dyDescent="0.15"/>
    <row r="30371" s="9" customFormat="1" ht="21.95" customHeight="1" x14ac:dyDescent="0.15"/>
    <row r="30372" s="9" customFormat="1" ht="21.95" customHeight="1" x14ac:dyDescent="0.15"/>
    <row r="30373" s="9" customFormat="1" ht="21.95" customHeight="1" x14ac:dyDescent="0.15"/>
    <row r="30374" s="9" customFormat="1" ht="35.1" customHeight="1" x14ac:dyDescent="0.15"/>
    <row r="30375" s="9" customFormat="1" ht="21.95" customHeight="1" x14ac:dyDescent="0.15"/>
    <row r="30376" s="9" customFormat="1" ht="21.95" customHeight="1" x14ac:dyDescent="0.15"/>
    <row r="30377" s="9" customFormat="1" ht="21.95" customHeight="1" x14ac:dyDescent="0.15"/>
    <row r="30378" s="9" customFormat="1" ht="21.95" customHeight="1" x14ac:dyDescent="0.15"/>
    <row r="30379" s="9" customFormat="1" ht="21.95" customHeight="1" x14ac:dyDescent="0.15"/>
    <row r="30380" s="9" customFormat="1" ht="21.95" customHeight="1" x14ac:dyDescent="0.15"/>
    <row r="30381" s="9" customFormat="1" ht="21.95" customHeight="1" x14ac:dyDescent="0.15"/>
    <row r="30382" s="9" customFormat="1" ht="21.95" customHeight="1" x14ac:dyDescent="0.15"/>
    <row r="30383" s="9" customFormat="1" ht="21.95" customHeight="1" x14ac:dyDescent="0.15"/>
    <row r="30384" s="9" customFormat="1" ht="21.95" customHeight="1" x14ac:dyDescent="0.15"/>
    <row r="30385" spans="3:3" s="9" customFormat="1" ht="21.95" customHeight="1" x14ac:dyDescent="0.15"/>
    <row r="30386" spans="3:3" s="9" customFormat="1" ht="21.95" customHeight="1" x14ac:dyDescent="0.15"/>
    <row r="30387" spans="3:3" s="9" customFormat="1" ht="21.95" customHeight="1" x14ac:dyDescent="0.15"/>
    <row r="30388" spans="3:3" s="9" customFormat="1" ht="21.95" customHeight="1" x14ac:dyDescent="0.15"/>
    <row r="30389" spans="3:3" s="9" customFormat="1" ht="21.95" customHeight="1" x14ac:dyDescent="0.15"/>
    <row r="30390" spans="3:3" s="9" customFormat="1" ht="21.95" customHeight="1" x14ac:dyDescent="0.15"/>
    <row r="30391" spans="3:3" s="9" customFormat="1" ht="21.95" customHeight="1" x14ac:dyDescent="0.15"/>
    <row r="30392" spans="3:3" s="9" customFormat="1" ht="21.95" customHeight="1" x14ac:dyDescent="0.15"/>
    <row r="30393" spans="3:3" s="9" customFormat="1" ht="21.95" customHeight="1" x14ac:dyDescent="0.15"/>
    <row r="30394" spans="3:3" s="9" customFormat="1" ht="21.95" customHeight="1" x14ac:dyDescent="0.15"/>
    <row r="30395" spans="3:3" s="9" customFormat="1" ht="21.95" customHeight="1" x14ac:dyDescent="0.15"/>
    <row r="30396" spans="3:3" s="9" customFormat="1" ht="21.95" customHeight="1" x14ac:dyDescent="0.15"/>
    <row r="30397" spans="3:3" s="9" customFormat="1" ht="21.95" customHeight="1" x14ac:dyDescent="0.15"/>
    <row r="30398" spans="3:3" s="8" customFormat="1" ht="21.95" customHeight="1" x14ac:dyDescent="0.15"/>
    <row r="30399" spans="3:3" s="8" customFormat="1" ht="21.95" customHeight="1" x14ac:dyDescent="0.15"/>
    <row r="30400" spans="3:3" s="8" customFormat="1" ht="21.95" customHeight="1" x14ac:dyDescent="0.15">
      <c r="C30400" s="101"/>
    </row>
    <row r="30401" spans="3:3" s="8" customFormat="1" ht="21.95" customHeight="1" x14ac:dyDescent="0.15">
      <c r="C30401" s="101"/>
    </row>
    <row r="30402" spans="3:3" s="8" customFormat="1" ht="21.95" customHeight="1" x14ac:dyDescent="0.15"/>
    <row r="30403" spans="3:3" s="8" customFormat="1" ht="21.95" customHeight="1" x14ac:dyDescent="0.15"/>
    <row r="30404" spans="3:3" s="8" customFormat="1" ht="21.95" customHeight="1" x14ac:dyDescent="0.15"/>
    <row r="30405" spans="3:3" s="8" customFormat="1" ht="21.95" customHeight="1" x14ac:dyDescent="0.15"/>
    <row r="30406" spans="3:3" s="8" customFormat="1" ht="21.95" customHeight="1" x14ac:dyDescent="0.15"/>
    <row r="30407" spans="3:3" s="8" customFormat="1" ht="21.95" customHeight="1" x14ac:dyDescent="0.15"/>
    <row r="30408" spans="3:3" s="8" customFormat="1" ht="21.95" customHeight="1" x14ac:dyDescent="0.15"/>
    <row r="30409" spans="3:3" s="9" customFormat="1" ht="21.95" customHeight="1" x14ac:dyDescent="0.15"/>
    <row r="30410" spans="3:3" s="9" customFormat="1" ht="21.95" customHeight="1" x14ac:dyDescent="0.15"/>
    <row r="30411" spans="3:3" s="9" customFormat="1" ht="21.95" customHeight="1" x14ac:dyDescent="0.15"/>
    <row r="30412" spans="3:3" s="9" customFormat="1" ht="21.95" customHeight="1" x14ac:dyDescent="0.15"/>
    <row r="30413" spans="3:3" s="8" customFormat="1" ht="21.95" customHeight="1" x14ac:dyDescent="0.15"/>
    <row r="30414" spans="3:3" s="8" customFormat="1" ht="21.95" customHeight="1" x14ac:dyDescent="0.15"/>
    <row r="30415" spans="3:3" s="8" customFormat="1" ht="21.95" customHeight="1" x14ac:dyDescent="0.15"/>
    <row r="30416" spans="3:3" s="8" customFormat="1" ht="21.95" customHeight="1" x14ac:dyDescent="0.15"/>
    <row r="30417" s="8" customFormat="1" ht="21.95" customHeight="1" x14ac:dyDescent="0.15"/>
    <row r="30418" s="8" customFormat="1" ht="21.95" customHeight="1" x14ac:dyDescent="0.15"/>
    <row r="30419" s="8" customFormat="1" ht="21.95" customHeight="1" x14ac:dyDescent="0.15"/>
    <row r="30420" s="8" customFormat="1" ht="21.95" customHeight="1" x14ac:dyDescent="0.15"/>
    <row r="30421" s="8" customFormat="1" ht="21.95" customHeight="1" x14ac:dyDescent="0.15"/>
    <row r="30422" s="8" customFormat="1" ht="21.95" customHeight="1" x14ac:dyDescent="0.15"/>
    <row r="30423" s="8" customFormat="1" ht="21.95" customHeight="1" x14ac:dyDescent="0.15"/>
    <row r="30424" s="8" customFormat="1" ht="32.1" customHeight="1" x14ac:dyDescent="0.15"/>
    <row r="30425" s="8" customFormat="1" ht="32.1" customHeight="1" x14ac:dyDescent="0.15"/>
    <row r="30426" s="8" customFormat="1" ht="32.1" customHeight="1" x14ac:dyDescent="0.15"/>
    <row r="30427" s="8" customFormat="1" ht="32.1" customHeight="1" x14ac:dyDescent="0.15"/>
    <row r="30428" s="8" customFormat="1" ht="32.1" customHeight="1" x14ac:dyDescent="0.15"/>
    <row r="30429" s="8" customFormat="1" ht="32.1" customHeight="1" x14ac:dyDescent="0.15"/>
    <row r="30430" s="9" customFormat="1" ht="32.1" customHeight="1" x14ac:dyDescent="0.15"/>
    <row r="30431" s="9" customFormat="1" ht="32.1" customHeight="1" x14ac:dyDescent="0.15"/>
    <row r="30432" s="9" customFormat="1" ht="32.1" customHeight="1" x14ac:dyDescent="0.15"/>
    <row r="30433" s="9" customFormat="1" ht="32.1" customHeight="1" x14ac:dyDescent="0.15"/>
    <row r="30434" s="9" customFormat="1" ht="21.95" customHeight="1" x14ac:dyDescent="0.15"/>
    <row r="30435" s="9" customFormat="1" ht="54" customHeight="1" x14ac:dyDescent="0.15"/>
    <row r="30436" s="9" customFormat="1" ht="21.95" customHeight="1" x14ac:dyDescent="0.15"/>
    <row r="30437" s="9" customFormat="1" ht="21.95" customHeight="1" x14ac:dyDescent="0.15"/>
    <row r="30438" s="9" customFormat="1" ht="21.95" customHeight="1" x14ac:dyDescent="0.15"/>
    <row r="30439" s="9" customFormat="1" ht="21.95" customHeight="1" x14ac:dyDescent="0.15"/>
    <row r="30440" s="9" customFormat="1" ht="21.95" customHeight="1" x14ac:dyDescent="0.15"/>
    <row r="30441" s="9" customFormat="1" ht="21.95" customHeight="1" x14ac:dyDescent="0.15"/>
    <row r="30442" s="9" customFormat="1" ht="21.95" customHeight="1" x14ac:dyDescent="0.15"/>
    <row r="30443" s="9" customFormat="1" ht="21.95" customHeight="1" x14ac:dyDescent="0.15"/>
    <row r="30444" s="9" customFormat="1" ht="21.95" customHeight="1" x14ac:dyDescent="0.15"/>
    <row r="30445" s="9" customFormat="1" ht="21.95" customHeight="1" x14ac:dyDescent="0.15"/>
    <row r="30446" s="9" customFormat="1" ht="21.95" customHeight="1" x14ac:dyDescent="0.15"/>
    <row r="30447" s="9" customFormat="1" ht="21.95" customHeight="1" x14ac:dyDescent="0.15"/>
    <row r="30448" s="9" customFormat="1" ht="21.95" customHeight="1" x14ac:dyDescent="0.15"/>
    <row r="30449" s="9" customFormat="1" ht="21.95" customHeight="1" x14ac:dyDescent="0.15"/>
    <row r="30450" s="9" customFormat="1" ht="21.95" customHeight="1" x14ac:dyDescent="0.15"/>
    <row r="30451" s="9" customFormat="1" ht="21.95" customHeight="1" x14ac:dyDescent="0.15"/>
    <row r="30452" s="9" customFormat="1" ht="21.95" customHeight="1" x14ac:dyDescent="0.15"/>
    <row r="30453" s="9" customFormat="1" ht="21.95" customHeight="1" x14ac:dyDescent="0.15"/>
    <row r="30454" s="9" customFormat="1" ht="21.95" customHeight="1" x14ac:dyDescent="0.15"/>
    <row r="30455" s="9" customFormat="1" ht="21.95" customHeight="1" x14ac:dyDescent="0.15"/>
    <row r="30456" s="9" customFormat="1" ht="21.95" customHeight="1" x14ac:dyDescent="0.15"/>
    <row r="30457" s="9" customFormat="1" ht="21.95" customHeight="1" x14ac:dyDescent="0.15"/>
    <row r="30458" s="9" customFormat="1" ht="21.95" customHeight="1" x14ac:dyDescent="0.15"/>
    <row r="30459" s="9" customFormat="1" ht="21.95" customHeight="1" x14ac:dyDescent="0.15"/>
    <row r="30460" s="9" customFormat="1" ht="21.95" customHeight="1" x14ac:dyDescent="0.15"/>
    <row r="30461" s="9" customFormat="1" ht="21.95" customHeight="1" x14ac:dyDescent="0.15"/>
    <row r="30462" s="9" customFormat="1" ht="21.95" customHeight="1" x14ac:dyDescent="0.15"/>
    <row r="30463" s="9" customFormat="1" ht="21.95" customHeight="1" x14ac:dyDescent="0.15"/>
    <row r="30464" s="9" customFormat="1" ht="21.95" customHeight="1" x14ac:dyDescent="0.15"/>
    <row r="30465" s="9" customFormat="1" ht="21.95" customHeight="1" x14ac:dyDescent="0.15"/>
    <row r="30466" s="9" customFormat="1" ht="21.95" customHeight="1" x14ac:dyDescent="0.15"/>
    <row r="30467" s="9" customFormat="1" ht="21.95" customHeight="1" x14ac:dyDescent="0.15"/>
    <row r="30468" s="9" customFormat="1" ht="21.95" customHeight="1" x14ac:dyDescent="0.15"/>
    <row r="30469" s="9" customFormat="1" ht="21.95" customHeight="1" x14ac:dyDescent="0.15"/>
    <row r="30470" s="9" customFormat="1" ht="21.95" customHeight="1" x14ac:dyDescent="0.15"/>
    <row r="30471" s="9" customFormat="1" ht="21.95" customHeight="1" x14ac:dyDescent="0.15"/>
    <row r="30472" s="9" customFormat="1" ht="21.95" customHeight="1" x14ac:dyDescent="0.15"/>
    <row r="30473" s="9" customFormat="1" ht="21.95" customHeight="1" x14ac:dyDescent="0.15"/>
    <row r="30474" s="9" customFormat="1" ht="21.95" customHeight="1" x14ac:dyDescent="0.15"/>
    <row r="30475" s="9" customFormat="1" ht="21.95" customHeight="1" x14ac:dyDescent="0.15"/>
    <row r="30476" s="9" customFormat="1" ht="21.95" customHeight="1" x14ac:dyDescent="0.15"/>
    <row r="30477" s="9" customFormat="1" ht="21.95" customHeight="1" x14ac:dyDescent="0.15"/>
    <row r="30478" s="9" customFormat="1" ht="21.95" customHeight="1" x14ac:dyDescent="0.15"/>
    <row r="30479" s="9" customFormat="1" ht="21.95" customHeight="1" x14ac:dyDescent="0.15"/>
    <row r="30480" s="9" customFormat="1" ht="21.95" customHeight="1" x14ac:dyDescent="0.15"/>
    <row r="30481" s="9" customFormat="1" ht="21.95" customHeight="1" x14ac:dyDescent="0.15"/>
    <row r="30482" s="9" customFormat="1" ht="21.95" customHeight="1" x14ac:dyDescent="0.15"/>
    <row r="30483" s="9" customFormat="1" ht="21.95" customHeight="1" x14ac:dyDescent="0.15"/>
    <row r="30484" s="9" customFormat="1" ht="21.95" customHeight="1" x14ac:dyDescent="0.15"/>
    <row r="30485" s="9" customFormat="1" ht="21.95" customHeight="1" x14ac:dyDescent="0.15"/>
    <row r="30486" s="9" customFormat="1" ht="35.1" customHeight="1" x14ac:dyDescent="0.15"/>
    <row r="30487" s="9" customFormat="1" ht="21.95" customHeight="1" x14ac:dyDescent="0.15"/>
    <row r="30488" s="9" customFormat="1" ht="21.95" customHeight="1" x14ac:dyDescent="0.15"/>
    <row r="30489" s="9" customFormat="1" ht="21.95" customHeight="1" x14ac:dyDescent="0.15"/>
    <row r="30490" s="9" customFormat="1" ht="21.95" customHeight="1" x14ac:dyDescent="0.15"/>
    <row r="30491" s="9" customFormat="1" ht="21.95" customHeight="1" x14ac:dyDescent="0.15"/>
    <row r="30492" s="9" customFormat="1" ht="21.95" customHeight="1" x14ac:dyDescent="0.15"/>
    <row r="30493" s="9" customFormat="1" ht="21.95" customHeight="1" x14ac:dyDescent="0.15"/>
    <row r="30494" s="9" customFormat="1" ht="21.95" customHeight="1" x14ac:dyDescent="0.15"/>
    <row r="30495" s="9" customFormat="1" ht="21.95" customHeight="1" x14ac:dyDescent="0.15"/>
    <row r="30496" s="9" customFormat="1" ht="21.95" customHeight="1" x14ac:dyDescent="0.15"/>
    <row r="30497" spans="3:3" s="9" customFormat="1" ht="21.95" customHeight="1" x14ac:dyDescent="0.15"/>
    <row r="30498" spans="3:3" s="9" customFormat="1" ht="21.95" customHeight="1" x14ac:dyDescent="0.15"/>
    <row r="30499" spans="3:3" s="9" customFormat="1" ht="21.95" customHeight="1" x14ac:dyDescent="0.15"/>
    <row r="30500" spans="3:3" s="9" customFormat="1" ht="21.95" customHeight="1" x14ac:dyDescent="0.15"/>
    <row r="30501" spans="3:3" s="9" customFormat="1" ht="21.95" customHeight="1" x14ac:dyDescent="0.15"/>
    <row r="30502" spans="3:3" s="9" customFormat="1" ht="21.95" customHeight="1" x14ac:dyDescent="0.15"/>
    <row r="30503" spans="3:3" s="9" customFormat="1" ht="21.95" customHeight="1" x14ac:dyDescent="0.15"/>
    <row r="30504" spans="3:3" s="9" customFormat="1" ht="21.95" customHeight="1" x14ac:dyDescent="0.15"/>
    <row r="30505" spans="3:3" s="9" customFormat="1" ht="21.95" customHeight="1" x14ac:dyDescent="0.15"/>
    <row r="30506" spans="3:3" s="9" customFormat="1" ht="21.95" customHeight="1" x14ac:dyDescent="0.15"/>
    <row r="30507" spans="3:3" s="9" customFormat="1" ht="21.95" customHeight="1" x14ac:dyDescent="0.15"/>
    <row r="30508" spans="3:3" s="9" customFormat="1" ht="21.95" customHeight="1" x14ac:dyDescent="0.15"/>
    <row r="30509" spans="3:3" s="9" customFormat="1" ht="21.95" customHeight="1" x14ac:dyDescent="0.15"/>
    <row r="30510" spans="3:3" s="8" customFormat="1" ht="21.95" customHeight="1" x14ac:dyDescent="0.15"/>
    <row r="30511" spans="3:3" s="8" customFormat="1" ht="21.95" customHeight="1" x14ac:dyDescent="0.15"/>
    <row r="30512" spans="3:3" s="8" customFormat="1" ht="21.95" customHeight="1" x14ac:dyDescent="0.15">
      <c r="C30512" s="101"/>
    </row>
    <row r="30513" spans="3:3" s="8" customFormat="1" ht="21.95" customHeight="1" x14ac:dyDescent="0.15">
      <c r="C30513" s="101"/>
    </row>
    <row r="30514" spans="3:3" s="8" customFormat="1" ht="21.95" customHeight="1" x14ac:dyDescent="0.15"/>
    <row r="30515" spans="3:3" s="8" customFormat="1" ht="21.95" customHeight="1" x14ac:dyDescent="0.15"/>
    <row r="30516" spans="3:3" s="8" customFormat="1" ht="21.95" customHeight="1" x14ac:dyDescent="0.15"/>
    <row r="30517" spans="3:3" s="8" customFormat="1" ht="21.95" customHeight="1" x14ac:dyDescent="0.15"/>
    <row r="30518" spans="3:3" s="8" customFormat="1" ht="21.95" customHeight="1" x14ac:dyDescent="0.15"/>
    <row r="30519" spans="3:3" s="8" customFormat="1" ht="21.95" customHeight="1" x14ac:dyDescent="0.15"/>
    <row r="30520" spans="3:3" s="8" customFormat="1" ht="21.95" customHeight="1" x14ac:dyDescent="0.15"/>
    <row r="30521" spans="3:3" s="9" customFormat="1" ht="21.95" customHeight="1" x14ac:dyDescent="0.15"/>
    <row r="30522" spans="3:3" s="9" customFormat="1" ht="21.95" customHeight="1" x14ac:dyDescent="0.15"/>
    <row r="30523" spans="3:3" s="9" customFormat="1" ht="21.95" customHeight="1" x14ac:dyDescent="0.15"/>
    <row r="30524" spans="3:3" s="9" customFormat="1" ht="21.95" customHeight="1" x14ac:dyDescent="0.15"/>
    <row r="30525" spans="3:3" s="8" customFormat="1" ht="21.95" customHeight="1" x14ac:dyDescent="0.15"/>
    <row r="30526" spans="3:3" s="8" customFormat="1" ht="21.95" customHeight="1" x14ac:dyDescent="0.15"/>
    <row r="30527" spans="3:3" s="8" customFormat="1" ht="21.95" customHeight="1" x14ac:dyDescent="0.15"/>
    <row r="30528" spans="3:3" s="8" customFormat="1" ht="21.95" customHeight="1" x14ac:dyDescent="0.15"/>
    <row r="30529" s="8" customFormat="1" ht="21.95" customHeight="1" x14ac:dyDescent="0.15"/>
    <row r="30530" s="8" customFormat="1" ht="21.95" customHeight="1" x14ac:dyDescent="0.15"/>
    <row r="30531" s="8" customFormat="1" ht="21.95" customHeight="1" x14ac:dyDescent="0.15"/>
    <row r="30532" s="8" customFormat="1" ht="21.95" customHeight="1" x14ac:dyDescent="0.15"/>
    <row r="30533" s="8" customFormat="1" ht="21.95" customHeight="1" x14ac:dyDescent="0.15"/>
    <row r="30534" s="8" customFormat="1" ht="21.95" customHeight="1" x14ac:dyDescent="0.15"/>
    <row r="30535" s="8" customFormat="1" ht="21.95" customHeight="1" x14ac:dyDescent="0.15"/>
    <row r="30536" s="8" customFormat="1" ht="32.1" customHeight="1" x14ac:dyDescent="0.15"/>
    <row r="30537" s="8" customFormat="1" ht="32.1" customHeight="1" x14ac:dyDescent="0.15"/>
    <row r="30538" s="8" customFormat="1" ht="32.1" customHeight="1" x14ac:dyDescent="0.15"/>
    <row r="30539" s="8" customFormat="1" ht="32.1" customHeight="1" x14ac:dyDescent="0.15"/>
    <row r="30540" s="8" customFormat="1" ht="32.1" customHeight="1" x14ac:dyDescent="0.15"/>
    <row r="30541" s="8" customFormat="1" ht="32.1" customHeight="1" x14ac:dyDescent="0.15"/>
    <row r="30542" s="9" customFormat="1" ht="32.1" customHeight="1" x14ac:dyDescent="0.15"/>
    <row r="30543" s="9" customFormat="1" ht="32.1" customHeight="1" x14ac:dyDescent="0.15"/>
    <row r="30544" s="9" customFormat="1" ht="32.1" customHeight="1" x14ac:dyDescent="0.15"/>
    <row r="30545" s="9" customFormat="1" ht="32.1" customHeight="1" x14ac:dyDescent="0.15"/>
    <row r="30546" s="9" customFormat="1" ht="21.95" customHeight="1" x14ac:dyDescent="0.15"/>
    <row r="30547" s="9" customFormat="1" ht="54" customHeight="1" x14ac:dyDescent="0.15"/>
    <row r="30548" s="9" customFormat="1" ht="21.95" customHeight="1" x14ac:dyDescent="0.15"/>
    <row r="30549" s="9" customFormat="1" ht="21.95" customHeight="1" x14ac:dyDescent="0.15"/>
    <row r="30550" s="9" customFormat="1" ht="21.95" customHeight="1" x14ac:dyDescent="0.15"/>
    <row r="30551" s="9" customFormat="1" ht="21.95" customHeight="1" x14ac:dyDescent="0.15"/>
    <row r="30552" s="9" customFormat="1" ht="21.95" customHeight="1" x14ac:dyDescent="0.15"/>
    <row r="30553" s="9" customFormat="1" ht="21.95" customHeight="1" x14ac:dyDescent="0.15"/>
    <row r="30554" s="9" customFormat="1" ht="21.95" customHeight="1" x14ac:dyDescent="0.15"/>
    <row r="30555" s="9" customFormat="1" ht="21.95" customHeight="1" x14ac:dyDescent="0.15"/>
    <row r="30556" s="9" customFormat="1" ht="21.95" customHeight="1" x14ac:dyDescent="0.15"/>
    <row r="30557" s="9" customFormat="1" ht="21.95" customHeight="1" x14ac:dyDescent="0.15"/>
    <row r="30558" s="9" customFormat="1" ht="21.95" customHeight="1" x14ac:dyDescent="0.15"/>
    <row r="30559" s="9" customFormat="1" ht="21.95" customHeight="1" x14ac:dyDescent="0.15"/>
    <row r="30560" s="9" customFormat="1" ht="21.95" customHeight="1" x14ac:dyDescent="0.15"/>
    <row r="30561" s="9" customFormat="1" ht="21.95" customHeight="1" x14ac:dyDescent="0.15"/>
    <row r="30562" s="9" customFormat="1" ht="21.95" customHeight="1" x14ac:dyDescent="0.15"/>
    <row r="30563" s="9" customFormat="1" ht="21.95" customHeight="1" x14ac:dyDescent="0.15"/>
    <row r="30564" s="9" customFormat="1" ht="21.95" customHeight="1" x14ac:dyDescent="0.15"/>
    <row r="30565" s="9" customFormat="1" ht="21.95" customHeight="1" x14ac:dyDescent="0.15"/>
    <row r="30566" s="9" customFormat="1" ht="21.95" customHeight="1" x14ac:dyDescent="0.15"/>
    <row r="30567" s="9" customFormat="1" ht="21.95" customHeight="1" x14ac:dyDescent="0.15"/>
    <row r="30568" s="9" customFormat="1" ht="21.95" customHeight="1" x14ac:dyDescent="0.15"/>
    <row r="30569" s="9" customFormat="1" ht="21.95" customHeight="1" x14ac:dyDescent="0.15"/>
    <row r="30570" s="9" customFormat="1" ht="21.95" customHeight="1" x14ac:dyDescent="0.15"/>
    <row r="30571" s="9" customFormat="1" ht="21.95" customHeight="1" x14ac:dyDescent="0.15"/>
    <row r="30572" s="9" customFormat="1" ht="21.95" customHeight="1" x14ac:dyDescent="0.15"/>
    <row r="30573" s="9" customFormat="1" ht="21.95" customHeight="1" x14ac:dyDescent="0.15"/>
    <row r="30574" s="9" customFormat="1" ht="21.95" customHeight="1" x14ac:dyDescent="0.15"/>
    <row r="30575" s="9" customFormat="1" ht="21.95" customHeight="1" x14ac:dyDescent="0.15"/>
    <row r="30576" s="9" customFormat="1" ht="21.95" customHeight="1" x14ac:dyDescent="0.15"/>
    <row r="30577" s="9" customFormat="1" ht="21.95" customHeight="1" x14ac:dyDescent="0.15"/>
    <row r="30578" s="9" customFormat="1" ht="21.95" customHeight="1" x14ac:dyDescent="0.15"/>
    <row r="30579" s="9" customFormat="1" ht="21.95" customHeight="1" x14ac:dyDescent="0.15"/>
    <row r="30580" s="9" customFormat="1" ht="21.95" customHeight="1" x14ac:dyDescent="0.15"/>
    <row r="30581" s="9" customFormat="1" ht="21.95" customHeight="1" x14ac:dyDescent="0.15"/>
    <row r="30582" s="9" customFormat="1" ht="21.95" customHeight="1" x14ac:dyDescent="0.15"/>
    <row r="30583" s="9" customFormat="1" ht="21.95" customHeight="1" x14ac:dyDescent="0.15"/>
    <row r="30584" s="9" customFormat="1" ht="21.95" customHeight="1" x14ac:dyDescent="0.15"/>
    <row r="30585" s="9" customFormat="1" ht="21.95" customHeight="1" x14ac:dyDescent="0.15"/>
    <row r="30586" s="9" customFormat="1" ht="21.95" customHeight="1" x14ac:dyDescent="0.15"/>
    <row r="30587" s="9" customFormat="1" ht="21.95" customHeight="1" x14ac:dyDescent="0.15"/>
    <row r="30588" s="9" customFormat="1" ht="21.95" customHeight="1" x14ac:dyDescent="0.15"/>
    <row r="30589" s="9" customFormat="1" ht="21.95" customHeight="1" x14ac:dyDescent="0.15"/>
    <row r="30590" s="9" customFormat="1" ht="21.95" customHeight="1" x14ac:dyDescent="0.15"/>
    <row r="30591" s="9" customFormat="1" ht="21.95" customHeight="1" x14ac:dyDescent="0.15"/>
    <row r="30592" s="9" customFormat="1" ht="21.95" customHeight="1" x14ac:dyDescent="0.15"/>
    <row r="30593" s="9" customFormat="1" ht="21.95" customHeight="1" x14ac:dyDescent="0.15"/>
    <row r="30594" s="9" customFormat="1" ht="21.95" customHeight="1" x14ac:dyDescent="0.15"/>
    <row r="30595" s="9" customFormat="1" ht="21.95" customHeight="1" x14ac:dyDescent="0.15"/>
    <row r="30596" s="9" customFormat="1" ht="21.95" customHeight="1" x14ac:dyDescent="0.15"/>
    <row r="30597" s="9" customFormat="1" ht="21.95" customHeight="1" x14ac:dyDescent="0.15"/>
    <row r="30598" s="9" customFormat="1" ht="35.1" customHeight="1" x14ac:dyDescent="0.15"/>
    <row r="30599" s="9" customFormat="1" ht="21.95" customHeight="1" x14ac:dyDescent="0.15"/>
    <row r="30600" s="9" customFormat="1" ht="21.95" customHeight="1" x14ac:dyDescent="0.15"/>
    <row r="30601" s="9" customFormat="1" ht="21.95" customHeight="1" x14ac:dyDescent="0.15"/>
    <row r="30602" s="9" customFormat="1" ht="21.95" customHeight="1" x14ac:dyDescent="0.15"/>
    <row r="30603" s="9" customFormat="1" ht="21.95" customHeight="1" x14ac:dyDescent="0.15"/>
    <row r="30604" s="9" customFormat="1" ht="21.95" customHeight="1" x14ac:dyDescent="0.15"/>
    <row r="30605" s="9" customFormat="1" ht="21.95" customHeight="1" x14ac:dyDescent="0.15"/>
    <row r="30606" s="9" customFormat="1" ht="21.95" customHeight="1" x14ac:dyDescent="0.15"/>
    <row r="30607" s="9" customFormat="1" ht="21.95" customHeight="1" x14ac:dyDescent="0.15"/>
    <row r="30608" s="9" customFormat="1" ht="21.95" customHeight="1" x14ac:dyDescent="0.15"/>
    <row r="30609" spans="3:3" s="9" customFormat="1" ht="21.95" customHeight="1" x14ac:dyDescent="0.15"/>
    <row r="30610" spans="3:3" s="9" customFormat="1" ht="21.95" customHeight="1" x14ac:dyDescent="0.15"/>
    <row r="30611" spans="3:3" s="9" customFormat="1" ht="21.95" customHeight="1" x14ac:dyDescent="0.15"/>
    <row r="30612" spans="3:3" s="9" customFormat="1" ht="21.95" customHeight="1" x14ac:dyDescent="0.15"/>
    <row r="30613" spans="3:3" s="9" customFormat="1" ht="21.95" customHeight="1" x14ac:dyDescent="0.15"/>
    <row r="30614" spans="3:3" s="9" customFormat="1" ht="21.95" customHeight="1" x14ac:dyDescent="0.15"/>
    <row r="30615" spans="3:3" s="9" customFormat="1" ht="21.95" customHeight="1" x14ac:dyDescent="0.15"/>
    <row r="30616" spans="3:3" s="9" customFormat="1" ht="21.95" customHeight="1" x14ac:dyDescent="0.15"/>
    <row r="30617" spans="3:3" s="9" customFormat="1" ht="21.95" customHeight="1" x14ac:dyDescent="0.15"/>
    <row r="30618" spans="3:3" s="9" customFormat="1" ht="21.95" customHeight="1" x14ac:dyDescent="0.15"/>
    <row r="30619" spans="3:3" s="9" customFormat="1" ht="21.95" customHeight="1" x14ac:dyDescent="0.15"/>
    <row r="30620" spans="3:3" s="9" customFormat="1" ht="21.95" customHeight="1" x14ac:dyDescent="0.15"/>
    <row r="30621" spans="3:3" s="9" customFormat="1" ht="21.95" customHeight="1" x14ac:dyDescent="0.15"/>
    <row r="30622" spans="3:3" s="8" customFormat="1" ht="21.95" customHeight="1" x14ac:dyDescent="0.15"/>
    <row r="30623" spans="3:3" s="8" customFormat="1" ht="21.95" customHeight="1" x14ac:dyDescent="0.15"/>
    <row r="30624" spans="3:3" s="8" customFormat="1" ht="21.95" customHeight="1" x14ac:dyDescent="0.15">
      <c r="C30624" s="101"/>
    </row>
    <row r="30625" spans="3:3" s="8" customFormat="1" ht="21.95" customHeight="1" x14ac:dyDescent="0.15">
      <c r="C30625" s="101"/>
    </row>
    <row r="30626" spans="3:3" s="8" customFormat="1" ht="21.95" customHeight="1" x14ac:dyDescent="0.15"/>
    <row r="30627" spans="3:3" s="8" customFormat="1" ht="21.95" customHeight="1" x14ac:dyDescent="0.15"/>
    <row r="30628" spans="3:3" s="8" customFormat="1" ht="21.95" customHeight="1" x14ac:dyDescent="0.15"/>
    <row r="30629" spans="3:3" s="8" customFormat="1" ht="21.95" customHeight="1" x14ac:dyDescent="0.15"/>
    <row r="30630" spans="3:3" s="8" customFormat="1" ht="21.95" customHeight="1" x14ac:dyDescent="0.15"/>
    <row r="30631" spans="3:3" s="8" customFormat="1" ht="21.95" customHeight="1" x14ac:dyDescent="0.15"/>
    <row r="30632" spans="3:3" s="8" customFormat="1" ht="21.95" customHeight="1" x14ac:dyDescent="0.15"/>
    <row r="30633" spans="3:3" s="9" customFormat="1" ht="21.95" customHeight="1" x14ac:dyDescent="0.15"/>
    <row r="30634" spans="3:3" s="9" customFormat="1" ht="21.95" customHeight="1" x14ac:dyDescent="0.15"/>
    <row r="30635" spans="3:3" s="9" customFormat="1" ht="21.95" customHeight="1" x14ac:dyDescent="0.15"/>
    <row r="30636" spans="3:3" s="9" customFormat="1" ht="21.95" customHeight="1" x14ac:dyDescent="0.15"/>
    <row r="30637" spans="3:3" s="8" customFormat="1" ht="21.95" customHeight="1" x14ac:dyDescent="0.15"/>
    <row r="30638" spans="3:3" s="8" customFormat="1" ht="21.95" customHeight="1" x14ac:dyDescent="0.15"/>
    <row r="30639" spans="3:3" s="8" customFormat="1" ht="21.95" customHeight="1" x14ac:dyDescent="0.15"/>
    <row r="30640" spans="3:3" s="8" customFormat="1" ht="21.95" customHeight="1" x14ac:dyDescent="0.15"/>
    <row r="30641" s="8" customFormat="1" ht="21.95" customHeight="1" x14ac:dyDescent="0.15"/>
    <row r="30642" s="8" customFormat="1" ht="21.95" customHeight="1" x14ac:dyDescent="0.15"/>
    <row r="30643" s="8" customFormat="1" ht="21.95" customHeight="1" x14ac:dyDescent="0.15"/>
    <row r="30644" s="8" customFormat="1" ht="21.95" customHeight="1" x14ac:dyDescent="0.15"/>
    <row r="30645" s="8" customFormat="1" ht="21.95" customHeight="1" x14ac:dyDescent="0.15"/>
    <row r="30646" s="8" customFormat="1" ht="21.95" customHeight="1" x14ac:dyDescent="0.15"/>
    <row r="30647" s="8" customFormat="1" ht="21.95" customHeight="1" x14ac:dyDescent="0.15"/>
    <row r="30648" s="8" customFormat="1" ht="32.1" customHeight="1" x14ac:dyDescent="0.15"/>
    <row r="30649" s="8" customFormat="1" ht="32.1" customHeight="1" x14ac:dyDescent="0.15"/>
    <row r="30650" s="8" customFormat="1" ht="32.1" customHeight="1" x14ac:dyDescent="0.15"/>
    <row r="30651" s="8" customFormat="1" ht="32.1" customHeight="1" x14ac:dyDescent="0.15"/>
    <row r="30652" s="8" customFormat="1" ht="32.1" customHeight="1" x14ac:dyDescent="0.15"/>
    <row r="30653" s="8" customFormat="1" ht="32.1" customHeight="1" x14ac:dyDescent="0.15"/>
    <row r="30654" s="9" customFormat="1" ht="32.1" customHeight="1" x14ac:dyDescent="0.15"/>
    <row r="30655" s="9" customFormat="1" ht="32.1" customHeight="1" x14ac:dyDescent="0.15"/>
    <row r="30656" s="9" customFormat="1" ht="32.1" customHeight="1" x14ac:dyDescent="0.15"/>
    <row r="30657" s="9" customFormat="1" ht="32.1" customHeight="1" x14ac:dyDescent="0.15"/>
    <row r="30658" s="9" customFormat="1" ht="21.95" customHeight="1" x14ac:dyDescent="0.15"/>
    <row r="30659" s="9" customFormat="1" ht="54" customHeight="1" x14ac:dyDescent="0.15"/>
    <row r="30660" s="9" customFormat="1" ht="21.95" customHeight="1" x14ac:dyDescent="0.15"/>
    <row r="30661" s="9" customFormat="1" ht="21.95" customHeight="1" x14ac:dyDescent="0.15"/>
    <row r="30662" s="9" customFormat="1" ht="21.95" customHeight="1" x14ac:dyDescent="0.15"/>
    <row r="30663" s="9" customFormat="1" ht="21.95" customHeight="1" x14ac:dyDescent="0.15"/>
    <row r="30664" s="9" customFormat="1" ht="21.95" customHeight="1" x14ac:dyDescent="0.15"/>
    <row r="30665" s="9" customFormat="1" ht="21.95" customHeight="1" x14ac:dyDescent="0.15"/>
    <row r="30666" s="9" customFormat="1" ht="21.95" customHeight="1" x14ac:dyDescent="0.15"/>
    <row r="30667" s="9" customFormat="1" ht="21.95" customHeight="1" x14ac:dyDescent="0.15"/>
    <row r="30668" s="9" customFormat="1" ht="21.95" customHeight="1" x14ac:dyDescent="0.15"/>
    <row r="30669" s="9" customFormat="1" ht="21.95" customHeight="1" x14ac:dyDescent="0.15"/>
    <row r="30670" s="9" customFormat="1" ht="21.95" customHeight="1" x14ac:dyDescent="0.15"/>
    <row r="30671" s="9" customFormat="1" ht="21.95" customHeight="1" x14ac:dyDescent="0.15"/>
    <row r="30672" s="9" customFormat="1" ht="21.95" customHeight="1" x14ac:dyDescent="0.15"/>
    <row r="30673" s="9" customFormat="1" ht="21.95" customHeight="1" x14ac:dyDescent="0.15"/>
    <row r="30674" s="9" customFormat="1" ht="21.95" customHeight="1" x14ac:dyDescent="0.15"/>
    <row r="30675" s="9" customFormat="1" ht="21.95" customHeight="1" x14ac:dyDescent="0.15"/>
    <row r="30676" s="9" customFormat="1" ht="21.95" customHeight="1" x14ac:dyDescent="0.15"/>
    <row r="30677" s="9" customFormat="1" ht="21.95" customHeight="1" x14ac:dyDescent="0.15"/>
    <row r="30678" s="9" customFormat="1" ht="21.95" customHeight="1" x14ac:dyDescent="0.15"/>
    <row r="30679" s="9" customFormat="1" ht="21.95" customHeight="1" x14ac:dyDescent="0.15"/>
    <row r="30680" s="9" customFormat="1" ht="21.95" customHeight="1" x14ac:dyDescent="0.15"/>
    <row r="30681" s="9" customFormat="1" ht="21.95" customHeight="1" x14ac:dyDescent="0.15"/>
    <row r="30682" s="9" customFormat="1" ht="21.95" customHeight="1" x14ac:dyDescent="0.15"/>
    <row r="30683" s="9" customFormat="1" ht="21.95" customHeight="1" x14ac:dyDescent="0.15"/>
    <row r="30684" s="9" customFormat="1" ht="21.95" customHeight="1" x14ac:dyDescent="0.15"/>
    <row r="30685" s="9" customFormat="1" ht="21.95" customHeight="1" x14ac:dyDescent="0.15"/>
    <row r="30686" s="9" customFormat="1" ht="21.95" customHeight="1" x14ac:dyDescent="0.15"/>
    <row r="30687" s="9" customFormat="1" ht="21.95" customHeight="1" x14ac:dyDescent="0.15"/>
    <row r="30688" s="9" customFormat="1" ht="21.95" customHeight="1" x14ac:dyDescent="0.15"/>
    <row r="30689" s="9" customFormat="1" ht="21.95" customHeight="1" x14ac:dyDescent="0.15"/>
    <row r="30690" s="9" customFormat="1" ht="21.95" customHeight="1" x14ac:dyDescent="0.15"/>
    <row r="30691" s="9" customFormat="1" ht="21.95" customHeight="1" x14ac:dyDescent="0.15"/>
    <row r="30692" s="9" customFormat="1" ht="21.95" customHeight="1" x14ac:dyDescent="0.15"/>
    <row r="30693" s="9" customFormat="1" ht="21.95" customHeight="1" x14ac:dyDescent="0.15"/>
    <row r="30694" s="9" customFormat="1" ht="21.95" customHeight="1" x14ac:dyDescent="0.15"/>
    <row r="30695" s="9" customFormat="1" ht="21.95" customHeight="1" x14ac:dyDescent="0.15"/>
    <row r="30696" s="9" customFormat="1" ht="21.95" customHeight="1" x14ac:dyDescent="0.15"/>
    <row r="30697" s="9" customFormat="1" ht="21.95" customHeight="1" x14ac:dyDescent="0.15"/>
    <row r="30698" s="9" customFormat="1" ht="21.95" customHeight="1" x14ac:dyDescent="0.15"/>
    <row r="30699" s="9" customFormat="1" ht="21.95" customHeight="1" x14ac:dyDescent="0.15"/>
    <row r="30700" s="9" customFormat="1" ht="21.95" customHeight="1" x14ac:dyDescent="0.15"/>
    <row r="30701" s="9" customFormat="1" ht="21.95" customHeight="1" x14ac:dyDescent="0.15"/>
    <row r="30702" s="9" customFormat="1" ht="21.95" customHeight="1" x14ac:dyDescent="0.15"/>
    <row r="30703" s="9" customFormat="1" ht="21.95" customHeight="1" x14ac:dyDescent="0.15"/>
    <row r="30704" s="9" customFormat="1" ht="21.95" customHeight="1" x14ac:dyDescent="0.15"/>
    <row r="30705" s="9" customFormat="1" ht="21.95" customHeight="1" x14ac:dyDescent="0.15"/>
    <row r="30706" s="9" customFormat="1" ht="21.95" customHeight="1" x14ac:dyDescent="0.15"/>
    <row r="30707" s="9" customFormat="1" ht="21.95" customHeight="1" x14ac:dyDescent="0.15"/>
    <row r="30708" s="9" customFormat="1" ht="21.95" customHeight="1" x14ac:dyDescent="0.15"/>
    <row r="30709" s="9" customFormat="1" ht="21.95" customHeight="1" x14ac:dyDescent="0.15"/>
    <row r="30710" s="9" customFormat="1" ht="35.1" customHeight="1" x14ac:dyDescent="0.15"/>
    <row r="30711" s="9" customFormat="1" ht="21.95" customHeight="1" x14ac:dyDescent="0.15"/>
    <row r="30712" s="9" customFormat="1" ht="21.95" customHeight="1" x14ac:dyDescent="0.15"/>
    <row r="30713" s="9" customFormat="1" ht="21.95" customHeight="1" x14ac:dyDescent="0.15"/>
    <row r="30714" s="9" customFormat="1" ht="21.95" customHeight="1" x14ac:dyDescent="0.15"/>
    <row r="30715" s="9" customFormat="1" ht="21.95" customHeight="1" x14ac:dyDescent="0.15"/>
    <row r="30716" s="9" customFormat="1" ht="21.95" customHeight="1" x14ac:dyDescent="0.15"/>
    <row r="30717" s="9" customFormat="1" ht="21.95" customHeight="1" x14ac:dyDescent="0.15"/>
    <row r="30718" s="9" customFormat="1" ht="21.95" customHeight="1" x14ac:dyDescent="0.15"/>
    <row r="30719" s="9" customFormat="1" ht="21.95" customHeight="1" x14ac:dyDescent="0.15"/>
    <row r="30720" s="9" customFormat="1" ht="21.95" customHeight="1" x14ac:dyDescent="0.15"/>
    <row r="30721" spans="3:3" s="9" customFormat="1" ht="21.95" customHeight="1" x14ac:dyDescent="0.15"/>
    <row r="30722" spans="3:3" s="9" customFormat="1" ht="21.95" customHeight="1" x14ac:dyDescent="0.15"/>
    <row r="30723" spans="3:3" s="9" customFormat="1" ht="21.95" customHeight="1" x14ac:dyDescent="0.15"/>
    <row r="30724" spans="3:3" s="9" customFormat="1" ht="21.95" customHeight="1" x14ac:dyDescent="0.15"/>
    <row r="30725" spans="3:3" s="9" customFormat="1" ht="21.95" customHeight="1" x14ac:dyDescent="0.15"/>
    <row r="30726" spans="3:3" s="9" customFormat="1" ht="21.95" customHeight="1" x14ac:dyDescent="0.15"/>
    <row r="30727" spans="3:3" s="9" customFormat="1" ht="21.95" customHeight="1" x14ac:dyDescent="0.15"/>
    <row r="30728" spans="3:3" s="9" customFormat="1" ht="21.95" customHeight="1" x14ac:dyDescent="0.15"/>
    <row r="30729" spans="3:3" s="9" customFormat="1" ht="21.95" customHeight="1" x14ac:dyDescent="0.15"/>
    <row r="30730" spans="3:3" s="9" customFormat="1" ht="21.95" customHeight="1" x14ac:dyDescent="0.15"/>
    <row r="30731" spans="3:3" s="9" customFormat="1" ht="21.95" customHeight="1" x14ac:dyDescent="0.15"/>
    <row r="30732" spans="3:3" s="9" customFormat="1" ht="21.95" customHeight="1" x14ac:dyDescent="0.15"/>
    <row r="30733" spans="3:3" s="9" customFormat="1" ht="21.95" customHeight="1" x14ac:dyDescent="0.15"/>
    <row r="30734" spans="3:3" s="8" customFormat="1" ht="21.95" customHeight="1" x14ac:dyDescent="0.15"/>
    <row r="30735" spans="3:3" s="8" customFormat="1" ht="21.95" customHeight="1" x14ac:dyDescent="0.15"/>
    <row r="30736" spans="3:3" s="8" customFormat="1" ht="21.95" customHeight="1" x14ac:dyDescent="0.15">
      <c r="C30736" s="101"/>
    </row>
    <row r="30737" spans="3:3" s="8" customFormat="1" ht="21.95" customHeight="1" x14ac:dyDescent="0.15">
      <c r="C30737" s="101"/>
    </row>
    <row r="30738" spans="3:3" s="8" customFormat="1" ht="21.95" customHeight="1" x14ac:dyDescent="0.15"/>
    <row r="30739" spans="3:3" s="8" customFormat="1" ht="21.95" customHeight="1" x14ac:dyDescent="0.15"/>
    <row r="30740" spans="3:3" s="8" customFormat="1" ht="21.95" customHeight="1" x14ac:dyDescent="0.15"/>
    <row r="30741" spans="3:3" s="8" customFormat="1" ht="21.95" customHeight="1" x14ac:dyDescent="0.15"/>
    <row r="30742" spans="3:3" s="8" customFormat="1" ht="21.95" customHeight="1" x14ac:dyDescent="0.15"/>
    <row r="30743" spans="3:3" s="8" customFormat="1" ht="21.95" customHeight="1" x14ac:dyDescent="0.15"/>
    <row r="30744" spans="3:3" s="8" customFormat="1" ht="21.95" customHeight="1" x14ac:dyDescent="0.15"/>
    <row r="30745" spans="3:3" s="9" customFormat="1" ht="21.95" customHeight="1" x14ac:dyDescent="0.15"/>
    <row r="30746" spans="3:3" s="9" customFormat="1" ht="21.95" customHeight="1" x14ac:dyDescent="0.15"/>
    <row r="30747" spans="3:3" s="9" customFormat="1" ht="21.95" customHeight="1" x14ac:dyDescent="0.15"/>
    <row r="30748" spans="3:3" s="9" customFormat="1" ht="21.95" customHeight="1" x14ac:dyDescent="0.15"/>
    <row r="30749" spans="3:3" s="8" customFormat="1" ht="21.95" customHeight="1" x14ac:dyDescent="0.15"/>
    <row r="30750" spans="3:3" s="8" customFormat="1" ht="21.95" customHeight="1" x14ac:dyDescent="0.15"/>
    <row r="30751" spans="3:3" s="8" customFormat="1" ht="21.95" customHeight="1" x14ac:dyDescent="0.15"/>
    <row r="30752" spans="3:3" s="8" customFormat="1" ht="21.95" customHeight="1" x14ac:dyDescent="0.15"/>
    <row r="30753" s="8" customFormat="1" ht="21.95" customHeight="1" x14ac:dyDescent="0.15"/>
    <row r="30754" s="8" customFormat="1" ht="21.95" customHeight="1" x14ac:dyDescent="0.15"/>
    <row r="30755" s="8" customFormat="1" ht="21.95" customHeight="1" x14ac:dyDescent="0.15"/>
    <row r="30756" s="8" customFormat="1" ht="21.95" customHeight="1" x14ac:dyDescent="0.15"/>
    <row r="30757" s="8" customFormat="1" ht="21.95" customHeight="1" x14ac:dyDescent="0.15"/>
    <row r="30758" s="8" customFormat="1" ht="21.95" customHeight="1" x14ac:dyDescent="0.15"/>
    <row r="30759" s="8" customFormat="1" ht="21.95" customHeight="1" x14ac:dyDescent="0.15"/>
    <row r="30760" s="8" customFormat="1" ht="32.1" customHeight="1" x14ac:dyDescent="0.15"/>
    <row r="30761" s="8" customFormat="1" ht="32.1" customHeight="1" x14ac:dyDescent="0.15"/>
    <row r="30762" s="8" customFormat="1" ht="32.1" customHeight="1" x14ac:dyDescent="0.15"/>
    <row r="30763" s="8" customFormat="1" ht="32.1" customHeight="1" x14ac:dyDescent="0.15"/>
    <row r="30764" s="8" customFormat="1" ht="32.1" customHeight="1" x14ac:dyDescent="0.15"/>
    <row r="30765" s="8" customFormat="1" ht="32.1" customHeight="1" x14ac:dyDescent="0.15"/>
    <row r="30766" s="9" customFormat="1" ht="32.1" customHeight="1" x14ac:dyDescent="0.15"/>
    <row r="30767" s="9" customFormat="1" ht="32.1" customHeight="1" x14ac:dyDescent="0.15"/>
    <row r="30768" s="9" customFormat="1" ht="32.1" customHeight="1" x14ac:dyDescent="0.15"/>
    <row r="30769" s="9" customFormat="1" ht="32.1" customHeight="1" x14ac:dyDescent="0.15"/>
    <row r="30770" s="9" customFormat="1" ht="21.95" customHeight="1" x14ac:dyDescent="0.15"/>
    <row r="30771" s="9" customFormat="1" ht="54" customHeight="1" x14ac:dyDescent="0.15"/>
    <row r="30772" s="9" customFormat="1" ht="21.95" customHeight="1" x14ac:dyDescent="0.15"/>
    <row r="30773" s="9" customFormat="1" ht="21.95" customHeight="1" x14ac:dyDescent="0.15"/>
    <row r="30774" s="9" customFormat="1" ht="21.95" customHeight="1" x14ac:dyDescent="0.15"/>
    <row r="30775" s="9" customFormat="1" ht="21.95" customHeight="1" x14ac:dyDescent="0.15"/>
    <row r="30776" s="9" customFormat="1" ht="21.95" customHeight="1" x14ac:dyDescent="0.15"/>
    <row r="30777" s="9" customFormat="1" ht="21.95" customHeight="1" x14ac:dyDescent="0.15"/>
    <row r="30778" s="9" customFormat="1" ht="21.95" customHeight="1" x14ac:dyDescent="0.15"/>
    <row r="30779" s="9" customFormat="1" ht="21.95" customHeight="1" x14ac:dyDescent="0.15"/>
    <row r="30780" s="9" customFormat="1" ht="21.95" customHeight="1" x14ac:dyDescent="0.15"/>
    <row r="30781" s="9" customFormat="1" ht="21.95" customHeight="1" x14ac:dyDescent="0.15"/>
    <row r="30782" s="9" customFormat="1" ht="21.95" customHeight="1" x14ac:dyDescent="0.15"/>
    <row r="30783" s="9" customFormat="1" ht="21.95" customHeight="1" x14ac:dyDescent="0.15"/>
    <row r="30784" s="9" customFormat="1" ht="21.95" customHeight="1" x14ac:dyDescent="0.15"/>
    <row r="30785" s="9" customFormat="1" ht="21.95" customHeight="1" x14ac:dyDescent="0.15"/>
    <row r="30786" s="9" customFormat="1" ht="21.95" customHeight="1" x14ac:dyDescent="0.15"/>
    <row r="30787" s="9" customFormat="1" ht="21.95" customHeight="1" x14ac:dyDescent="0.15"/>
    <row r="30788" s="9" customFormat="1" ht="21.95" customHeight="1" x14ac:dyDescent="0.15"/>
    <row r="30789" s="9" customFormat="1" ht="21.95" customHeight="1" x14ac:dyDescent="0.15"/>
    <row r="30790" s="9" customFormat="1" ht="21.95" customHeight="1" x14ac:dyDescent="0.15"/>
    <row r="30791" s="9" customFormat="1" ht="21.95" customHeight="1" x14ac:dyDescent="0.15"/>
    <row r="30792" s="9" customFormat="1" ht="21.95" customHeight="1" x14ac:dyDescent="0.15"/>
    <row r="30793" s="9" customFormat="1" ht="21.95" customHeight="1" x14ac:dyDescent="0.15"/>
    <row r="30794" s="9" customFormat="1" ht="21.95" customHeight="1" x14ac:dyDescent="0.15"/>
    <row r="30795" s="9" customFormat="1" ht="21.95" customHeight="1" x14ac:dyDescent="0.15"/>
    <row r="30796" s="9" customFormat="1" ht="21.95" customHeight="1" x14ac:dyDescent="0.15"/>
    <row r="30797" s="9" customFormat="1" ht="21.95" customHeight="1" x14ac:dyDescent="0.15"/>
    <row r="30798" s="9" customFormat="1" ht="21.95" customHeight="1" x14ac:dyDescent="0.15"/>
    <row r="30799" s="9" customFormat="1" ht="21.95" customHeight="1" x14ac:dyDescent="0.15"/>
    <row r="30800" s="9" customFormat="1" ht="21.95" customHeight="1" x14ac:dyDescent="0.15"/>
    <row r="30801" s="9" customFormat="1" ht="21.95" customHeight="1" x14ac:dyDescent="0.15"/>
    <row r="30802" s="9" customFormat="1" ht="21.95" customHeight="1" x14ac:dyDescent="0.15"/>
    <row r="30803" s="9" customFormat="1" ht="21.95" customHeight="1" x14ac:dyDescent="0.15"/>
    <row r="30804" s="9" customFormat="1" ht="21.95" customHeight="1" x14ac:dyDescent="0.15"/>
    <row r="30805" s="9" customFormat="1" ht="21.95" customHeight="1" x14ac:dyDescent="0.15"/>
    <row r="30806" s="9" customFormat="1" ht="21.95" customHeight="1" x14ac:dyDescent="0.15"/>
    <row r="30807" s="9" customFormat="1" ht="21.95" customHeight="1" x14ac:dyDescent="0.15"/>
    <row r="30808" s="9" customFormat="1" ht="21.95" customHeight="1" x14ac:dyDescent="0.15"/>
    <row r="30809" s="9" customFormat="1" ht="21.95" customHeight="1" x14ac:dyDescent="0.15"/>
    <row r="30810" s="9" customFormat="1" ht="21.95" customHeight="1" x14ac:dyDescent="0.15"/>
    <row r="30811" s="9" customFormat="1" ht="21.95" customHeight="1" x14ac:dyDescent="0.15"/>
    <row r="30812" s="9" customFormat="1" ht="21.95" customHeight="1" x14ac:dyDescent="0.15"/>
    <row r="30813" s="9" customFormat="1" ht="21.95" customHeight="1" x14ac:dyDescent="0.15"/>
    <row r="30814" s="9" customFormat="1" ht="21.95" customHeight="1" x14ac:dyDescent="0.15"/>
    <row r="30815" s="9" customFormat="1" ht="21.95" customHeight="1" x14ac:dyDescent="0.15"/>
    <row r="30816" s="9" customFormat="1" ht="21.95" customHeight="1" x14ac:dyDescent="0.15"/>
    <row r="30817" s="9" customFormat="1" ht="21.95" customHeight="1" x14ac:dyDescent="0.15"/>
    <row r="30818" s="9" customFormat="1" ht="21.95" customHeight="1" x14ac:dyDescent="0.15"/>
    <row r="30819" s="9" customFormat="1" ht="21.95" customHeight="1" x14ac:dyDescent="0.15"/>
    <row r="30820" s="9" customFormat="1" ht="21.95" customHeight="1" x14ac:dyDescent="0.15"/>
    <row r="30821" s="9" customFormat="1" ht="21.95" customHeight="1" x14ac:dyDescent="0.15"/>
    <row r="30822" s="9" customFormat="1" ht="35.1" customHeight="1" x14ac:dyDescent="0.15"/>
    <row r="30823" s="9" customFormat="1" ht="21.95" customHeight="1" x14ac:dyDescent="0.15"/>
    <row r="30824" s="9" customFormat="1" ht="21.95" customHeight="1" x14ac:dyDescent="0.15"/>
    <row r="30825" s="9" customFormat="1" ht="21.95" customHeight="1" x14ac:dyDescent="0.15"/>
    <row r="30826" s="9" customFormat="1" ht="21.95" customHeight="1" x14ac:dyDescent="0.15"/>
    <row r="30827" s="9" customFormat="1" ht="21.95" customHeight="1" x14ac:dyDescent="0.15"/>
    <row r="30828" s="9" customFormat="1" ht="21.95" customHeight="1" x14ac:dyDescent="0.15"/>
    <row r="30829" s="9" customFormat="1" ht="21.95" customHeight="1" x14ac:dyDescent="0.15"/>
    <row r="30830" s="9" customFormat="1" ht="21.95" customHeight="1" x14ac:dyDescent="0.15"/>
    <row r="30831" s="9" customFormat="1" ht="21.95" customHeight="1" x14ac:dyDescent="0.15"/>
    <row r="30832" s="9" customFormat="1" ht="21.95" customHeight="1" x14ac:dyDescent="0.15"/>
    <row r="30833" spans="3:3" s="9" customFormat="1" ht="21.95" customHeight="1" x14ac:dyDescent="0.15"/>
    <row r="30834" spans="3:3" s="9" customFormat="1" ht="21.95" customHeight="1" x14ac:dyDescent="0.15"/>
    <row r="30835" spans="3:3" s="9" customFormat="1" ht="21.95" customHeight="1" x14ac:dyDescent="0.15"/>
    <row r="30836" spans="3:3" s="9" customFormat="1" ht="21.95" customHeight="1" x14ac:dyDescent="0.15"/>
    <row r="30837" spans="3:3" s="9" customFormat="1" ht="21.95" customHeight="1" x14ac:dyDescent="0.15"/>
    <row r="30838" spans="3:3" s="9" customFormat="1" ht="21.95" customHeight="1" x14ac:dyDescent="0.15"/>
    <row r="30839" spans="3:3" s="9" customFormat="1" ht="21.95" customHeight="1" x14ac:dyDescent="0.15"/>
    <row r="30840" spans="3:3" s="9" customFormat="1" ht="21.95" customHeight="1" x14ac:dyDescent="0.15"/>
    <row r="30841" spans="3:3" s="9" customFormat="1" ht="21.95" customHeight="1" x14ac:dyDescent="0.15"/>
    <row r="30842" spans="3:3" s="9" customFormat="1" ht="21.95" customHeight="1" x14ac:dyDescent="0.15"/>
    <row r="30843" spans="3:3" s="9" customFormat="1" ht="21.95" customHeight="1" x14ac:dyDescent="0.15"/>
    <row r="30844" spans="3:3" s="9" customFormat="1" ht="21.95" customHeight="1" x14ac:dyDescent="0.15"/>
    <row r="30845" spans="3:3" s="9" customFormat="1" ht="21.95" customHeight="1" x14ac:dyDescent="0.15"/>
    <row r="30846" spans="3:3" s="8" customFormat="1" ht="21.95" customHeight="1" x14ac:dyDescent="0.15"/>
    <row r="30847" spans="3:3" s="8" customFormat="1" ht="21.95" customHeight="1" x14ac:dyDescent="0.15"/>
    <row r="30848" spans="3:3" s="8" customFormat="1" ht="21.95" customHeight="1" x14ac:dyDescent="0.15">
      <c r="C30848" s="101"/>
    </row>
    <row r="30849" spans="3:3" s="8" customFormat="1" ht="21.95" customHeight="1" x14ac:dyDescent="0.15">
      <c r="C30849" s="101"/>
    </row>
    <row r="30850" spans="3:3" s="8" customFormat="1" ht="21.95" customHeight="1" x14ac:dyDescent="0.15"/>
    <row r="30851" spans="3:3" s="8" customFormat="1" ht="21.95" customHeight="1" x14ac:dyDescent="0.15"/>
    <row r="30852" spans="3:3" s="8" customFormat="1" ht="21.95" customHeight="1" x14ac:dyDescent="0.15"/>
    <row r="30853" spans="3:3" s="8" customFormat="1" ht="21.95" customHeight="1" x14ac:dyDescent="0.15"/>
    <row r="30854" spans="3:3" s="8" customFormat="1" ht="21.95" customHeight="1" x14ac:dyDescent="0.15"/>
    <row r="30855" spans="3:3" s="8" customFormat="1" ht="21.95" customHeight="1" x14ac:dyDescent="0.15"/>
    <row r="30856" spans="3:3" s="8" customFormat="1" ht="21.95" customHeight="1" x14ac:dyDescent="0.15"/>
    <row r="30857" spans="3:3" s="9" customFormat="1" ht="21.95" customHeight="1" x14ac:dyDescent="0.15"/>
    <row r="30858" spans="3:3" s="9" customFormat="1" ht="21.95" customHeight="1" x14ac:dyDescent="0.15"/>
    <row r="30859" spans="3:3" s="9" customFormat="1" ht="21.95" customHeight="1" x14ac:dyDescent="0.15"/>
    <row r="30860" spans="3:3" s="9" customFormat="1" ht="21.95" customHeight="1" x14ac:dyDescent="0.15"/>
    <row r="30861" spans="3:3" s="8" customFormat="1" ht="21.95" customHeight="1" x14ac:dyDescent="0.15"/>
    <row r="30862" spans="3:3" s="8" customFormat="1" ht="21.95" customHeight="1" x14ac:dyDescent="0.15"/>
    <row r="30863" spans="3:3" s="8" customFormat="1" ht="21.95" customHeight="1" x14ac:dyDescent="0.15"/>
    <row r="30864" spans="3:3" s="8" customFormat="1" ht="21.95" customHeight="1" x14ac:dyDescent="0.15"/>
    <row r="30865" s="8" customFormat="1" ht="21.95" customHeight="1" x14ac:dyDescent="0.15"/>
    <row r="30866" s="8" customFormat="1" ht="21.95" customHeight="1" x14ac:dyDescent="0.15"/>
    <row r="30867" s="8" customFormat="1" ht="21.95" customHeight="1" x14ac:dyDescent="0.15"/>
    <row r="30868" s="8" customFormat="1" ht="21.95" customHeight="1" x14ac:dyDescent="0.15"/>
    <row r="30869" s="8" customFormat="1" ht="21.95" customHeight="1" x14ac:dyDescent="0.15"/>
    <row r="30870" s="8" customFormat="1" ht="21.95" customHeight="1" x14ac:dyDescent="0.15"/>
    <row r="30871" s="8" customFormat="1" ht="21.95" customHeight="1" x14ac:dyDescent="0.15"/>
    <row r="30872" s="8" customFormat="1" ht="32.1" customHeight="1" x14ac:dyDescent="0.15"/>
    <row r="30873" s="8" customFormat="1" ht="32.1" customHeight="1" x14ac:dyDescent="0.15"/>
    <row r="30874" s="8" customFormat="1" ht="32.1" customHeight="1" x14ac:dyDescent="0.15"/>
    <row r="30875" s="8" customFormat="1" ht="32.1" customHeight="1" x14ac:dyDescent="0.15"/>
    <row r="30876" s="8" customFormat="1" ht="32.1" customHeight="1" x14ac:dyDescent="0.15"/>
    <row r="30877" s="8" customFormat="1" ht="32.1" customHeight="1" x14ac:dyDescent="0.15"/>
    <row r="30878" s="9" customFormat="1" ht="32.1" customHeight="1" x14ac:dyDescent="0.15"/>
    <row r="30879" s="9" customFormat="1" ht="32.1" customHeight="1" x14ac:dyDescent="0.15"/>
    <row r="30880" s="9" customFormat="1" ht="32.1" customHeight="1" x14ac:dyDescent="0.15"/>
    <row r="30881" s="9" customFormat="1" ht="32.1" customHeight="1" x14ac:dyDescent="0.15"/>
    <row r="30882" s="9" customFormat="1" ht="21.95" customHeight="1" x14ac:dyDescent="0.15"/>
    <row r="30883" s="9" customFormat="1" ht="54" customHeight="1" x14ac:dyDescent="0.15"/>
    <row r="30884" s="9" customFormat="1" ht="21.95" customHeight="1" x14ac:dyDescent="0.15"/>
    <row r="30885" s="9" customFormat="1" ht="21.95" customHeight="1" x14ac:dyDescent="0.15"/>
    <row r="30886" s="9" customFormat="1" ht="21.95" customHeight="1" x14ac:dyDescent="0.15"/>
    <row r="30887" s="9" customFormat="1" ht="21.95" customHeight="1" x14ac:dyDescent="0.15"/>
    <row r="30888" s="9" customFormat="1" ht="21.95" customHeight="1" x14ac:dyDescent="0.15"/>
    <row r="30889" s="9" customFormat="1" ht="21.95" customHeight="1" x14ac:dyDescent="0.15"/>
    <row r="30890" s="9" customFormat="1" ht="21.95" customHeight="1" x14ac:dyDescent="0.15"/>
    <row r="30891" s="9" customFormat="1" ht="21.95" customHeight="1" x14ac:dyDescent="0.15"/>
    <row r="30892" s="9" customFormat="1" ht="21.95" customHeight="1" x14ac:dyDescent="0.15"/>
    <row r="30893" s="9" customFormat="1" ht="21.95" customHeight="1" x14ac:dyDescent="0.15"/>
    <row r="30894" s="9" customFormat="1" ht="21.95" customHeight="1" x14ac:dyDescent="0.15"/>
    <row r="30895" s="9" customFormat="1" ht="21.95" customHeight="1" x14ac:dyDescent="0.15"/>
    <row r="30896" s="9" customFormat="1" ht="21.95" customHeight="1" x14ac:dyDescent="0.15"/>
    <row r="30897" s="9" customFormat="1" ht="21.95" customHeight="1" x14ac:dyDescent="0.15"/>
    <row r="30898" s="9" customFormat="1" ht="21.95" customHeight="1" x14ac:dyDescent="0.15"/>
    <row r="30899" s="9" customFormat="1" ht="21.95" customHeight="1" x14ac:dyDescent="0.15"/>
    <row r="30900" s="9" customFormat="1" ht="21.95" customHeight="1" x14ac:dyDescent="0.15"/>
    <row r="30901" s="9" customFormat="1" ht="21.95" customHeight="1" x14ac:dyDescent="0.15"/>
    <row r="30902" s="9" customFormat="1" ht="21.95" customHeight="1" x14ac:dyDescent="0.15"/>
    <row r="30903" s="9" customFormat="1" ht="21.95" customHeight="1" x14ac:dyDescent="0.15"/>
    <row r="30904" s="9" customFormat="1" ht="21.95" customHeight="1" x14ac:dyDescent="0.15"/>
    <row r="30905" s="9" customFormat="1" ht="21.95" customHeight="1" x14ac:dyDescent="0.15"/>
    <row r="30906" s="9" customFormat="1" ht="21.95" customHeight="1" x14ac:dyDescent="0.15"/>
    <row r="30907" s="9" customFormat="1" ht="21.95" customHeight="1" x14ac:dyDescent="0.15"/>
    <row r="30908" s="9" customFormat="1" ht="21.95" customHeight="1" x14ac:dyDescent="0.15"/>
    <row r="30909" s="9" customFormat="1" ht="21.95" customHeight="1" x14ac:dyDescent="0.15"/>
    <row r="30910" s="9" customFormat="1" ht="21.95" customHeight="1" x14ac:dyDescent="0.15"/>
    <row r="30911" s="9" customFormat="1" ht="21.95" customHeight="1" x14ac:dyDescent="0.15"/>
    <row r="30912" s="9" customFormat="1" ht="21.95" customHeight="1" x14ac:dyDescent="0.15"/>
    <row r="30913" s="9" customFormat="1" ht="21.95" customHeight="1" x14ac:dyDescent="0.15"/>
    <row r="30914" s="9" customFormat="1" ht="21.95" customHeight="1" x14ac:dyDescent="0.15"/>
    <row r="30915" s="9" customFormat="1" ht="21.95" customHeight="1" x14ac:dyDescent="0.15"/>
    <row r="30916" s="9" customFormat="1" ht="21.95" customHeight="1" x14ac:dyDescent="0.15"/>
    <row r="30917" s="9" customFormat="1" ht="21.95" customHeight="1" x14ac:dyDescent="0.15"/>
    <row r="30918" s="9" customFormat="1" ht="21.95" customHeight="1" x14ac:dyDescent="0.15"/>
    <row r="30919" s="9" customFormat="1" ht="21.95" customHeight="1" x14ac:dyDescent="0.15"/>
    <row r="30920" s="9" customFormat="1" ht="21.95" customHeight="1" x14ac:dyDescent="0.15"/>
    <row r="30921" s="9" customFormat="1" ht="21.95" customHeight="1" x14ac:dyDescent="0.15"/>
    <row r="30922" s="9" customFormat="1" ht="21.95" customHeight="1" x14ac:dyDescent="0.15"/>
    <row r="30923" s="9" customFormat="1" ht="21.95" customHeight="1" x14ac:dyDescent="0.15"/>
    <row r="30924" s="9" customFormat="1" ht="21.95" customHeight="1" x14ac:dyDescent="0.15"/>
    <row r="30925" s="9" customFormat="1" ht="21.95" customHeight="1" x14ac:dyDescent="0.15"/>
    <row r="30926" s="9" customFormat="1" ht="21.95" customHeight="1" x14ac:dyDescent="0.15"/>
    <row r="30927" s="9" customFormat="1" ht="21.95" customHeight="1" x14ac:dyDescent="0.15"/>
    <row r="30928" s="9" customFormat="1" ht="21.95" customHeight="1" x14ac:dyDescent="0.15"/>
    <row r="30929" s="9" customFormat="1" ht="21.95" customHeight="1" x14ac:dyDescent="0.15"/>
    <row r="30930" s="9" customFormat="1" ht="21.95" customHeight="1" x14ac:dyDescent="0.15"/>
    <row r="30931" s="9" customFormat="1" ht="21.95" customHeight="1" x14ac:dyDescent="0.15"/>
    <row r="30932" s="9" customFormat="1" ht="21.95" customHeight="1" x14ac:dyDescent="0.15"/>
    <row r="30933" s="9" customFormat="1" ht="21.95" customHeight="1" x14ac:dyDescent="0.15"/>
    <row r="30934" s="9" customFormat="1" ht="35.1" customHeight="1" x14ac:dyDescent="0.15"/>
    <row r="30935" s="9" customFormat="1" ht="21.95" customHeight="1" x14ac:dyDescent="0.15"/>
    <row r="30936" s="9" customFormat="1" ht="21.95" customHeight="1" x14ac:dyDescent="0.15"/>
    <row r="30937" s="9" customFormat="1" ht="21.95" customHeight="1" x14ac:dyDescent="0.15"/>
    <row r="30938" s="9" customFormat="1" ht="21.95" customHeight="1" x14ac:dyDescent="0.15"/>
    <row r="30939" s="9" customFormat="1" ht="21.95" customHeight="1" x14ac:dyDescent="0.15"/>
    <row r="30940" s="9" customFormat="1" ht="21.95" customHeight="1" x14ac:dyDescent="0.15"/>
    <row r="30941" s="9" customFormat="1" ht="21.95" customHeight="1" x14ac:dyDescent="0.15"/>
    <row r="30942" s="9" customFormat="1" ht="21.95" customHeight="1" x14ac:dyDescent="0.15"/>
    <row r="30943" s="9" customFormat="1" ht="21.95" customHeight="1" x14ac:dyDescent="0.15"/>
    <row r="30944" s="9" customFormat="1" ht="21.95" customHeight="1" x14ac:dyDescent="0.15"/>
    <row r="30945" spans="3:3" s="9" customFormat="1" ht="21.95" customHeight="1" x14ac:dyDescent="0.15"/>
    <row r="30946" spans="3:3" s="9" customFormat="1" ht="21.95" customHeight="1" x14ac:dyDescent="0.15"/>
    <row r="30947" spans="3:3" s="9" customFormat="1" ht="21.95" customHeight="1" x14ac:dyDescent="0.15"/>
    <row r="30948" spans="3:3" s="9" customFormat="1" ht="21.95" customHeight="1" x14ac:dyDescent="0.15"/>
    <row r="30949" spans="3:3" s="9" customFormat="1" ht="21.95" customHeight="1" x14ac:dyDescent="0.15"/>
    <row r="30950" spans="3:3" s="9" customFormat="1" ht="21.95" customHeight="1" x14ac:dyDescent="0.15"/>
    <row r="30951" spans="3:3" s="9" customFormat="1" ht="21.95" customHeight="1" x14ac:dyDescent="0.15"/>
    <row r="30952" spans="3:3" s="9" customFormat="1" ht="21.95" customHeight="1" x14ac:dyDescent="0.15"/>
    <row r="30953" spans="3:3" s="9" customFormat="1" ht="21.95" customHeight="1" x14ac:dyDescent="0.15"/>
    <row r="30954" spans="3:3" s="9" customFormat="1" ht="21.95" customHeight="1" x14ac:dyDescent="0.15"/>
    <row r="30955" spans="3:3" s="9" customFormat="1" ht="21.95" customHeight="1" x14ac:dyDescent="0.15"/>
    <row r="30956" spans="3:3" s="9" customFormat="1" ht="21.95" customHeight="1" x14ac:dyDescent="0.15"/>
    <row r="30957" spans="3:3" s="9" customFormat="1" ht="21.95" customHeight="1" x14ac:dyDescent="0.15"/>
    <row r="30958" spans="3:3" s="8" customFormat="1" ht="21.95" customHeight="1" x14ac:dyDescent="0.15"/>
    <row r="30959" spans="3:3" s="8" customFormat="1" ht="21.95" customHeight="1" x14ac:dyDescent="0.15"/>
    <row r="30960" spans="3:3" s="8" customFormat="1" ht="21.95" customHeight="1" x14ac:dyDescent="0.15">
      <c r="C30960" s="101"/>
    </row>
    <row r="30961" spans="3:3" s="8" customFormat="1" ht="21.95" customHeight="1" x14ac:dyDescent="0.15">
      <c r="C30961" s="101"/>
    </row>
    <row r="30962" spans="3:3" s="8" customFormat="1" ht="21.95" customHeight="1" x14ac:dyDescent="0.15"/>
    <row r="30963" spans="3:3" s="8" customFormat="1" ht="21.95" customHeight="1" x14ac:dyDescent="0.15"/>
    <row r="30964" spans="3:3" s="8" customFormat="1" ht="21.95" customHeight="1" x14ac:dyDescent="0.15"/>
    <row r="30965" spans="3:3" s="8" customFormat="1" ht="21.95" customHeight="1" x14ac:dyDescent="0.15"/>
    <row r="30966" spans="3:3" s="8" customFormat="1" ht="21.95" customHeight="1" x14ac:dyDescent="0.15"/>
    <row r="30967" spans="3:3" s="8" customFormat="1" ht="21.95" customHeight="1" x14ac:dyDescent="0.15"/>
    <row r="30968" spans="3:3" s="8" customFormat="1" ht="21.95" customHeight="1" x14ac:dyDescent="0.15"/>
    <row r="30969" spans="3:3" s="9" customFormat="1" ht="21.95" customHeight="1" x14ac:dyDescent="0.15"/>
    <row r="30970" spans="3:3" s="9" customFormat="1" ht="21.95" customHeight="1" x14ac:dyDescent="0.15"/>
    <row r="30971" spans="3:3" s="9" customFormat="1" ht="21.95" customHeight="1" x14ac:dyDescent="0.15"/>
    <row r="30972" spans="3:3" s="9" customFormat="1" ht="21.95" customHeight="1" x14ac:dyDescent="0.15"/>
    <row r="30973" spans="3:3" s="8" customFormat="1" ht="21.95" customHeight="1" x14ac:dyDescent="0.15"/>
    <row r="30974" spans="3:3" s="8" customFormat="1" ht="21.95" customHeight="1" x14ac:dyDescent="0.15"/>
    <row r="30975" spans="3:3" s="8" customFormat="1" ht="21.95" customHeight="1" x14ac:dyDescent="0.15"/>
    <row r="30976" spans="3:3" s="8" customFormat="1" ht="21.95" customHeight="1" x14ac:dyDescent="0.15"/>
    <row r="30977" s="8" customFormat="1" ht="21.95" customHeight="1" x14ac:dyDescent="0.15"/>
    <row r="30978" s="8" customFormat="1" ht="21.95" customHeight="1" x14ac:dyDescent="0.15"/>
    <row r="30979" s="8" customFormat="1" ht="21.95" customHeight="1" x14ac:dyDescent="0.15"/>
    <row r="30980" s="8" customFormat="1" ht="21.95" customHeight="1" x14ac:dyDescent="0.15"/>
    <row r="30981" s="8" customFormat="1" ht="21.95" customHeight="1" x14ac:dyDescent="0.15"/>
    <row r="30982" s="8" customFormat="1" ht="21.95" customHeight="1" x14ac:dyDescent="0.15"/>
    <row r="30983" s="8" customFormat="1" ht="21.95" customHeight="1" x14ac:dyDescent="0.15"/>
    <row r="30984" s="8" customFormat="1" ht="32.1" customHeight="1" x14ac:dyDescent="0.15"/>
    <row r="30985" s="8" customFormat="1" ht="32.1" customHeight="1" x14ac:dyDescent="0.15"/>
    <row r="30986" s="8" customFormat="1" ht="32.1" customHeight="1" x14ac:dyDescent="0.15"/>
    <row r="30987" s="8" customFormat="1" ht="32.1" customHeight="1" x14ac:dyDescent="0.15"/>
    <row r="30988" s="8" customFormat="1" ht="32.1" customHeight="1" x14ac:dyDescent="0.15"/>
    <row r="30989" s="8" customFormat="1" ht="32.1" customHeight="1" x14ac:dyDescent="0.15"/>
    <row r="30990" s="9" customFormat="1" ht="32.1" customHeight="1" x14ac:dyDescent="0.15"/>
    <row r="30991" s="9" customFormat="1" ht="32.1" customHeight="1" x14ac:dyDescent="0.15"/>
    <row r="30992" s="9" customFormat="1" ht="32.1" customHeight="1" x14ac:dyDescent="0.15"/>
    <row r="30993" s="9" customFormat="1" ht="32.1" customHeight="1" x14ac:dyDescent="0.15"/>
    <row r="30994" s="9" customFormat="1" ht="21.95" customHeight="1" x14ac:dyDescent="0.15"/>
    <row r="30995" s="9" customFormat="1" ht="54" customHeight="1" x14ac:dyDescent="0.15"/>
    <row r="30996" s="9" customFormat="1" ht="21.95" customHeight="1" x14ac:dyDescent="0.15"/>
    <row r="30997" s="9" customFormat="1" ht="21.95" customHeight="1" x14ac:dyDescent="0.15"/>
    <row r="30998" s="9" customFormat="1" ht="21.95" customHeight="1" x14ac:dyDescent="0.15"/>
    <row r="30999" s="9" customFormat="1" ht="21.95" customHeight="1" x14ac:dyDescent="0.15"/>
    <row r="31000" s="9" customFormat="1" ht="21.95" customHeight="1" x14ac:dyDescent="0.15"/>
    <row r="31001" s="9" customFormat="1" ht="21.95" customHeight="1" x14ac:dyDescent="0.15"/>
    <row r="31002" s="9" customFormat="1" ht="21.95" customHeight="1" x14ac:dyDescent="0.15"/>
    <row r="31003" s="9" customFormat="1" ht="21.95" customHeight="1" x14ac:dyDescent="0.15"/>
    <row r="31004" s="9" customFormat="1" ht="21.95" customHeight="1" x14ac:dyDescent="0.15"/>
    <row r="31005" s="9" customFormat="1" ht="21.95" customHeight="1" x14ac:dyDescent="0.15"/>
    <row r="31006" s="9" customFormat="1" ht="21.95" customHeight="1" x14ac:dyDescent="0.15"/>
    <row r="31007" s="9" customFormat="1" ht="21.95" customHeight="1" x14ac:dyDescent="0.15"/>
    <row r="31008" s="9" customFormat="1" ht="21.95" customHeight="1" x14ac:dyDescent="0.15"/>
    <row r="31009" s="9" customFormat="1" ht="21.95" customHeight="1" x14ac:dyDescent="0.15"/>
    <row r="31010" s="9" customFormat="1" ht="21.95" customHeight="1" x14ac:dyDescent="0.15"/>
    <row r="31011" s="9" customFormat="1" ht="21.95" customHeight="1" x14ac:dyDescent="0.15"/>
    <row r="31012" s="9" customFormat="1" ht="21.95" customHeight="1" x14ac:dyDescent="0.15"/>
    <row r="31013" s="9" customFormat="1" ht="21.95" customHeight="1" x14ac:dyDescent="0.15"/>
    <row r="31014" s="9" customFormat="1" ht="21.95" customHeight="1" x14ac:dyDescent="0.15"/>
    <row r="31015" s="9" customFormat="1" ht="21.95" customHeight="1" x14ac:dyDescent="0.15"/>
    <row r="31016" s="9" customFormat="1" ht="21.95" customHeight="1" x14ac:dyDescent="0.15"/>
    <row r="31017" s="9" customFormat="1" ht="21.95" customHeight="1" x14ac:dyDescent="0.15"/>
    <row r="31018" s="9" customFormat="1" ht="21.95" customHeight="1" x14ac:dyDescent="0.15"/>
    <row r="31019" s="9" customFormat="1" ht="21.95" customHeight="1" x14ac:dyDescent="0.15"/>
    <row r="31020" s="9" customFormat="1" ht="21.95" customHeight="1" x14ac:dyDescent="0.15"/>
    <row r="31021" s="9" customFormat="1" ht="21.95" customHeight="1" x14ac:dyDescent="0.15"/>
    <row r="31022" s="9" customFormat="1" ht="21.95" customHeight="1" x14ac:dyDescent="0.15"/>
    <row r="31023" s="9" customFormat="1" ht="21.95" customHeight="1" x14ac:dyDescent="0.15"/>
    <row r="31024" s="9" customFormat="1" ht="21.95" customHeight="1" x14ac:dyDescent="0.15"/>
    <row r="31025" s="9" customFormat="1" ht="21.95" customHeight="1" x14ac:dyDescent="0.15"/>
    <row r="31026" s="9" customFormat="1" ht="21.95" customHeight="1" x14ac:dyDescent="0.15"/>
    <row r="31027" s="9" customFormat="1" ht="21.95" customHeight="1" x14ac:dyDescent="0.15"/>
    <row r="31028" s="9" customFormat="1" ht="21.95" customHeight="1" x14ac:dyDescent="0.15"/>
    <row r="31029" s="9" customFormat="1" ht="21.95" customHeight="1" x14ac:dyDescent="0.15"/>
    <row r="31030" s="9" customFormat="1" ht="21.95" customHeight="1" x14ac:dyDescent="0.15"/>
    <row r="31031" s="9" customFormat="1" ht="21.95" customHeight="1" x14ac:dyDescent="0.15"/>
    <row r="31032" s="9" customFormat="1" ht="21.95" customHeight="1" x14ac:dyDescent="0.15"/>
    <row r="31033" s="9" customFormat="1" ht="21.95" customHeight="1" x14ac:dyDescent="0.15"/>
    <row r="31034" s="9" customFormat="1" ht="21.95" customHeight="1" x14ac:dyDescent="0.15"/>
    <row r="31035" s="9" customFormat="1" ht="21.95" customHeight="1" x14ac:dyDescent="0.15"/>
    <row r="31036" s="9" customFormat="1" ht="21.95" customHeight="1" x14ac:dyDescent="0.15"/>
    <row r="31037" s="9" customFormat="1" ht="21.95" customHeight="1" x14ac:dyDescent="0.15"/>
    <row r="31038" s="9" customFormat="1" ht="21.95" customHeight="1" x14ac:dyDescent="0.15"/>
    <row r="31039" s="9" customFormat="1" ht="21.95" customHeight="1" x14ac:dyDescent="0.15"/>
    <row r="31040" s="9" customFormat="1" ht="21.95" customHeight="1" x14ac:dyDescent="0.15"/>
    <row r="31041" s="9" customFormat="1" ht="21.95" customHeight="1" x14ac:dyDescent="0.15"/>
    <row r="31042" s="9" customFormat="1" ht="21.95" customHeight="1" x14ac:dyDescent="0.15"/>
    <row r="31043" s="9" customFormat="1" ht="21.95" customHeight="1" x14ac:dyDescent="0.15"/>
    <row r="31044" s="9" customFormat="1" ht="21.95" customHeight="1" x14ac:dyDescent="0.15"/>
    <row r="31045" s="9" customFormat="1" ht="21.95" customHeight="1" x14ac:dyDescent="0.15"/>
    <row r="31046" s="9" customFormat="1" ht="35.1" customHeight="1" x14ac:dyDescent="0.15"/>
    <row r="31047" s="9" customFormat="1" ht="21.95" customHeight="1" x14ac:dyDescent="0.15"/>
    <row r="31048" s="9" customFormat="1" ht="21.95" customHeight="1" x14ac:dyDescent="0.15"/>
    <row r="31049" s="9" customFormat="1" ht="21.95" customHeight="1" x14ac:dyDescent="0.15"/>
    <row r="31050" s="9" customFormat="1" ht="21.95" customHeight="1" x14ac:dyDescent="0.15"/>
    <row r="31051" s="9" customFormat="1" ht="21.95" customHeight="1" x14ac:dyDescent="0.15"/>
    <row r="31052" s="9" customFormat="1" ht="21.95" customHeight="1" x14ac:dyDescent="0.15"/>
    <row r="31053" s="9" customFormat="1" ht="21.95" customHeight="1" x14ac:dyDescent="0.15"/>
    <row r="31054" s="9" customFormat="1" ht="21.95" customHeight="1" x14ac:dyDescent="0.15"/>
    <row r="31055" s="9" customFormat="1" ht="21.95" customHeight="1" x14ac:dyDescent="0.15"/>
    <row r="31056" s="9" customFormat="1" ht="21.95" customHeight="1" x14ac:dyDescent="0.15"/>
    <row r="31057" spans="3:3" s="9" customFormat="1" ht="21.95" customHeight="1" x14ac:dyDescent="0.15"/>
    <row r="31058" spans="3:3" s="9" customFormat="1" ht="21.95" customHeight="1" x14ac:dyDescent="0.15"/>
    <row r="31059" spans="3:3" s="9" customFormat="1" ht="21.95" customHeight="1" x14ac:dyDescent="0.15"/>
    <row r="31060" spans="3:3" s="9" customFormat="1" ht="21.95" customHeight="1" x14ac:dyDescent="0.15"/>
    <row r="31061" spans="3:3" s="9" customFormat="1" ht="21.95" customHeight="1" x14ac:dyDescent="0.15"/>
    <row r="31062" spans="3:3" s="9" customFormat="1" ht="21.95" customHeight="1" x14ac:dyDescent="0.15"/>
    <row r="31063" spans="3:3" s="9" customFormat="1" ht="21.95" customHeight="1" x14ac:dyDescent="0.15"/>
    <row r="31064" spans="3:3" s="9" customFormat="1" ht="21.95" customHeight="1" x14ac:dyDescent="0.15"/>
    <row r="31065" spans="3:3" s="9" customFormat="1" ht="21.95" customHeight="1" x14ac:dyDescent="0.15"/>
    <row r="31066" spans="3:3" s="9" customFormat="1" ht="21.95" customHeight="1" x14ac:dyDescent="0.15"/>
    <row r="31067" spans="3:3" s="9" customFormat="1" ht="21.95" customHeight="1" x14ac:dyDescent="0.15"/>
    <row r="31068" spans="3:3" s="9" customFormat="1" ht="21.95" customHeight="1" x14ac:dyDescent="0.15"/>
    <row r="31069" spans="3:3" s="9" customFormat="1" ht="21.95" customHeight="1" x14ac:dyDescent="0.15"/>
    <row r="31070" spans="3:3" s="8" customFormat="1" ht="21.95" customHeight="1" x14ac:dyDescent="0.15"/>
    <row r="31071" spans="3:3" s="8" customFormat="1" ht="21.95" customHeight="1" x14ac:dyDescent="0.15"/>
    <row r="31072" spans="3:3" s="8" customFormat="1" ht="21.95" customHeight="1" x14ac:dyDescent="0.15">
      <c r="C31072" s="101"/>
    </row>
    <row r="31073" spans="3:3" s="8" customFormat="1" ht="21.95" customHeight="1" x14ac:dyDescent="0.15">
      <c r="C31073" s="101"/>
    </row>
    <row r="31074" spans="3:3" s="8" customFormat="1" ht="21.95" customHeight="1" x14ac:dyDescent="0.15"/>
    <row r="31075" spans="3:3" s="8" customFormat="1" ht="21.95" customHeight="1" x14ac:dyDescent="0.15"/>
    <row r="31076" spans="3:3" s="8" customFormat="1" ht="21.95" customHeight="1" x14ac:dyDescent="0.15"/>
    <row r="31077" spans="3:3" s="8" customFormat="1" ht="21.95" customHeight="1" x14ac:dyDescent="0.15"/>
    <row r="31078" spans="3:3" s="8" customFormat="1" ht="21.95" customHeight="1" x14ac:dyDescent="0.15"/>
    <row r="31079" spans="3:3" s="8" customFormat="1" ht="21.95" customHeight="1" x14ac:dyDescent="0.15"/>
    <row r="31080" spans="3:3" s="8" customFormat="1" ht="21.95" customHeight="1" x14ac:dyDescent="0.15"/>
    <row r="31081" spans="3:3" s="9" customFormat="1" ht="21.95" customHeight="1" x14ac:dyDescent="0.15"/>
    <row r="31082" spans="3:3" s="9" customFormat="1" ht="21.95" customHeight="1" x14ac:dyDescent="0.15"/>
    <row r="31083" spans="3:3" s="9" customFormat="1" ht="21.95" customHeight="1" x14ac:dyDescent="0.15"/>
    <row r="31084" spans="3:3" s="9" customFormat="1" ht="21.95" customHeight="1" x14ac:dyDescent="0.15"/>
    <row r="31085" spans="3:3" s="8" customFormat="1" ht="21.95" customHeight="1" x14ac:dyDescent="0.15"/>
    <row r="31086" spans="3:3" s="8" customFormat="1" ht="21.95" customHeight="1" x14ac:dyDescent="0.15"/>
    <row r="31087" spans="3:3" s="8" customFormat="1" ht="21.95" customHeight="1" x14ac:dyDescent="0.15"/>
    <row r="31088" spans="3:3" s="8" customFormat="1" ht="21.95" customHeight="1" x14ac:dyDescent="0.15"/>
    <row r="31089" s="8" customFormat="1" ht="21.95" customHeight="1" x14ac:dyDescent="0.15"/>
    <row r="31090" s="8" customFormat="1" ht="21.95" customHeight="1" x14ac:dyDescent="0.15"/>
    <row r="31091" s="8" customFormat="1" ht="21.95" customHeight="1" x14ac:dyDescent="0.15"/>
    <row r="31092" s="8" customFormat="1" ht="21.95" customHeight="1" x14ac:dyDescent="0.15"/>
    <row r="31093" s="8" customFormat="1" ht="21.95" customHeight="1" x14ac:dyDescent="0.15"/>
    <row r="31094" s="8" customFormat="1" ht="21.95" customHeight="1" x14ac:dyDescent="0.15"/>
    <row r="31095" s="8" customFormat="1" ht="21.95" customHeight="1" x14ac:dyDescent="0.15"/>
    <row r="31096" s="8" customFormat="1" ht="32.1" customHeight="1" x14ac:dyDescent="0.15"/>
    <row r="31097" s="8" customFormat="1" ht="32.1" customHeight="1" x14ac:dyDescent="0.15"/>
    <row r="31098" s="8" customFormat="1" ht="32.1" customHeight="1" x14ac:dyDescent="0.15"/>
    <row r="31099" s="8" customFormat="1" ht="32.1" customHeight="1" x14ac:dyDescent="0.15"/>
    <row r="31100" s="8" customFormat="1" ht="32.1" customHeight="1" x14ac:dyDescent="0.15"/>
    <row r="31101" s="8" customFormat="1" ht="32.1" customHeight="1" x14ac:dyDescent="0.15"/>
    <row r="31102" s="9" customFormat="1" ht="32.1" customHeight="1" x14ac:dyDescent="0.15"/>
    <row r="31103" s="9" customFormat="1" ht="32.1" customHeight="1" x14ac:dyDescent="0.15"/>
    <row r="31104" s="9" customFormat="1" ht="32.1" customHeight="1" x14ac:dyDescent="0.15"/>
    <row r="31105" s="9" customFormat="1" ht="32.1" customHeight="1" x14ac:dyDescent="0.15"/>
    <row r="31106" s="9" customFormat="1" ht="21.95" customHeight="1" x14ac:dyDescent="0.15"/>
    <row r="31107" s="9" customFormat="1" ht="54" customHeight="1" x14ac:dyDescent="0.15"/>
    <row r="31108" s="9" customFormat="1" ht="21.95" customHeight="1" x14ac:dyDescent="0.15"/>
    <row r="31109" s="9" customFormat="1" ht="21.95" customHeight="1" x14ac:dyDescent="0.15"/>
    <row r="31110" s="9" customFormat="1" ht="21.95" customHeight="1" x14ac:dyDescent="0.15"/>
    <row r="31111" s="9" customFormat="1" ht="21.95" customHeight="1" x14ac:dyDescent="0.15"/>
    <row r="31112" s="9" customFormat="1" ht="21.95" customHeight="1" x14ac:dyDescent="0.15"/>
    <row r="31113" s="9" customFormat="1" ht="21.95" customHeight="1" x14ac:dyDescent="0.15"/>
    <row r="31114" s="9" customFormat="1" ht="21.95" customHeight="1" x14ac:dyDescent="0.15"/>
    <row r="31115" s="9" customFormat="1" ht="21.95" customHeight="1" x14ac:dyDescent="0.15"/>
    <row r="31116" s="9" customFormat="1" ht="21.95" customHeight="1" x14ac:dyDescent="0.15"/>
    <row r="31117" s="9" customFormat="1" ht="21.95" customHeight="1" x14ac:dyDescent="0.15"/>
    <row r="31118" s="9" customFormat="1" ht="21.95" customHeight="1" x14ac:dyDescent="0.15"/>
    <row r="31119" s="9" customFormat="1" ht="21.95" customHeight="1" x14ac:dyDescent="0.15"/>
    <row r="31120" s="9" customFormat="1" ht="21.95" customHeight="1" x14ac:dyDescent="0.15"/>
    <row r="31121" s="9" customFormat="1" ht="21.95" customHeight="1" x14ac:dyDescent="0.15"/>
    <row r="31122" s="9" customFormat="1" ht="21.95" customHeight="1" x14ac:dyDescent="0.15"/>
    <row r="31123" s="9" customFormat="1" ht="21.95" customHeight="1" x14ac:dyDescent="0.15"/>
    <row r="31124" s="9" customFormat="1" ht="21.95" customHeight="1" x14ac:dyDescent="0.15"/>
    <row r="31125" s="9" customFormat="1" ht="21.95" customHeight="1" x14ac:dyDescent="0.15"/>
    <row r="31126" s="9" customFormat="1" ht="21.95" customHeight="1" x14ac:dyDescent="0.15"/>
    <row r="31127" s="9" customFormat="1" ht="21.95" customHeight="1" x14ac:dyDescent="0.15"/>
    <row r="31128" s="9" customFormat="1" ht="21.95" customHeight="1" x14ac:dyDescent="0.15"/>
    <row r="31129" s="9" customFormat="1" ht="21.95" customHeight="1" x14ac:dyDescent="0.15"/>
    <row r="31130" s="9" customFormat="1" ht="21.95" customHeight="1" x14ac:dyDescent="0.15"/>
    <row r="31131" s="9" customFormat="1" ht="21.95" customHeight="1" x14ac:dyDescent="0.15"/>
    <row r="31132" s="9" customFormat="1" ht="21.95" customHeight="1" x14ac:dyDescent="0.15"/>
    <row r="31133" s="9" customFormat="1" ht="21.95" customHeight="1" x14ac:dyDescent="0.15"/>
    <row r="31134" s="9" customFormat="1" ht="21.95" customHeight="1" x14ac:dyDescent="0.15"/>
    <row r="31135" s="9" customFormat="1" ht="21.95" customHeight="1" x14ac:dyDescent="0.15"/>
    <row r="31136" s="9" customFormat="1" ht="21.95" customHeight="1" x14ac:dyDescent="0.15"/>
    <row r="31137" s="9" customFormat="1" ht="21.95" customHeight="1" x14ac:dyDescent="0.15"/>
    <row r="31138" s="9" customFormat="1" ht="21.95" customHeight="1" x14ac:dyDescent="0.15"/>
    <row r="31139" s="9" customFormat="1" ht="21.95" customHeight="1" x14ac:dyDescent="0.15"/>
    <row r="31140" s="9" customFormat="1" ht="21.95" customHeight="1" x14ac:dyDescent="0.15"/>
    <row r="31141" s="9" customFormat="1" ht="21.95" customHeight="1" x14ac:dyDescent="0.15"/>
    <row r="31142" s="9" customFormat="1" ht="21.95" customHeight="1" x14ac:dyDescent="0.15"/>
    <row r="31143" s="9" customFormat="1" ht="21.95" customHeight="1" x14ac:dyDescent="0.15"/>
    <row r="31144" s="9" customFormat="1" ht="21.95" customHeight="1" x14ac:dyDescent="0.15"/>
    <row r="31145" s="9" customFormat="1" ht="21.95" customHeight="1" x14ac:dyDescent="0.15"/>
    <row r="31146" s="9" customFormat="1" ht="21.95" customHeight="1" x14ac:dyDescent="0.15"/>
    <row r="31147" s="9" customFormat="1" ht="21.95" customHeight="1" x14ac:dyDescent="0.15"/>
    <row r="31148" s="9" customFormat="1" ht="21.95" customHeight="1" x14ac:dyDescent="0.15"/>
    <row r="31149" s="9" customFormat="1" ht="21.95" customHeight="1" x14ac:dyDescent="0.15"/>
    <row r="31150" s="9" customFormat="1" ht="21.95" customHeight="1" x14ac:dyDescent="0.15"/>
    <row r="31151" s="9" customFormat="1" ht="21.95" customHeight="1" x14ac:dyDescent="0.15"/>
    <row r="31152" s="9" customFormat="1" ht="21.95" customHeight="1" x14ac:dyDescent="0.15"/>
    <row r="31153" s="9" customFormat="1" ht="21.95" customHeight="1" x14ac:dyDescent="0.15"/>
    <row r="31154" s="9" customFormat="1" ht="21.95" customHeight="1" x14ac:dyDescent="0.15"/>
    <row r="31155" s="9" customFormat="1" ht="21.95" customHeight="1" x14ac:dyDescent="0.15"/>
    <row r="31156" s="9" customFormat="1" ht="21.95" customHeight="1" x14ac:dyDescent="0.15"/>
    <row r="31157" s="9" customFormat="1" ht="21.95" customHeight="1" x14ac:dyDescent="0.15"/>
    <row r="31158" s="9" customFormat="1" ht="35.1" customHeight="1" x14ac:dyDescent="0.15"/>
    <row r="31159" s="9" customFormat="1" ht="21.95" customHeight="1" x14ac:dyDescent="0.15"/>
    <row r="31160" s="9" customFormat="1" ht="21.95" customHeight="1" x14ac:dyDescent="0.15"/>
    <row r="31161" s="9" customFormat="1" ht="21.95" customHeight="1" x14ac:dyDescent="0.15"/>
    <row r="31162" s="9" customFormat="1" ht="21.95" customHeight="1" x14ac:dyDescent="0.15"/>
    <row r="31163" s="9" customFormat="1" ht="21.95" customHeight="1" x14ac:dyDescent="0.15"/>
    <row r="31164" s="9" customFormat="1" ht="21.95" customHeight="1" x14ac:dyDescent="0.15"/>
    <row r="31165" s="9" customFormat="1" ht="21.95" customHeight="1" x14ac:dyDescent="0.15"/>
    <row r="31166" s="9" customFormat="1" ht="21.95" customHeight="1" x14ac:dyDescent="0.15"/>
    <row r="31167" s="9" customFormat="1" ht="21.95" customHeight="1" x14ac:dyDescent="0.15"/>
    <row r="31168" s="9" customFormat="1" ht="21.95" customHeight="1" x14ac:dyDescent="0.15"/>
    <row r="31169" spans="3:3" s="9" customFormat="1" ht="21.95" customHeight="1" x14ac:dyDescent="0.15"/>
    <row r="31170" spans="3:3" s="9" customFormat="1" ht="21.95" customHeight="1" x14ac:dyDescent="0.15"/>
    <row r="31171" spans="3:3" s="9" customFormat="1" ht="21.95" customHeight="1" x14ac:dyDescent="0.15"/>
    <row r="31172" spans="3:3" s="9" customFormat="1" ht="21.95" customHeight="1" x14ac:dyDescent="0.15"/>
    <row r="31173" spans="3:3" s="9" customFormat="1" ht="21.95" customHeight="1" x14ac:dyDescent="0.15"/>
    <row r="31174" spans="3:3" s="9" customFormat="1" ht="21.95" customHeight="1" x14ac:dyDescent="0.15"/>
    <row r="31175" spans="3:3" s="9" customFormat="1" ht="21.95" customHeight="1" x14ac:dyDescent="0.15"/>
    <row r="31176" spans="3:3" s="9" customFormat="1" ht="21.95" customHeight="1" x14ac:dyDescent="0.15"/>
    <row r="31177" spans="3:3" s="9" customFormat="1" ht="21.95" customHeight="1" x14ac:dyDescent="0.15"/>
    <row r="31178" spans="3:3" s="9" customFormat="1" ht="21.95" customHeight="1" x14ac:dyDescent="0.15"/>
    <row r="31179" spans="3:3" s="9" customFormat="1" ht="21.95" customHeight="1" x14ac:dyDescent="0.15"/>
    <row r="31180" spans="3:3" s="9" customFormat="1" ht="21.95" customHeight="1" x14ac:dyDescent="0.15"/>
    <row r="31181" spans="3:3" s="9" customFormat="1" ht="21.95" customHeight="1" x14ac:dyDescent="0.15"/>
    <row r="31182" spans="3:3" s="8" customFormat="1" ht="21.95" customHeight="1" x14ac:dyDescent="0.15"/>
    <row r="31183" spans="3:3" s="8" customFormat="1" ht="21.95" customHeight="1" x14ac:dyDescent="0.15"/>
    <row r="31184" spans="3:3" s="8" customFormat="1" ht="21.95" customHeight="1" x14ac:dyDescent="0.15">
      <c r="C31184" s="101"/>
    </row>
    <row r="31185" spans="3:3" s="8" customFormat="1" ht="21.95" customHeight="1" x14ac:dyDescent="0.15">
      <c r="C31185" s="101"/>
    </row>
    <row r="31186" spans="3:3" s="8" customFormat="1" ht="21.95" customHeight="1" x14ac:dyDescent="0.15"/>
    <row r="31187" spans="3:3" s="8" customFormat="1" ht="21.95" customHeight="1" x14ac:dyDescent="0.15"/>
    <row r="31188" spans="3:3" s="8" customFormat="1" ht="21.95" customHeight="1" x14ac:dyDescent="0.15"/>
    <row r="31189" spans="3:3" s="8" customFormat="1" ht="21.95" customHeight="1" x14ac:dyDescent="0.15"/>
    <row r="31190" spans="3:3" s="8" customFormat="1" ht="21.95" customHeight="1" x14ac:dyDescent="0.15"/>
    <row r="31191" spans="3:3" s="8" customFormat="1" ht="21.95" customHeight="1" x14ac:dyDescent="0.15"/>
    <row r="31192" spans="3:3" s="8" customFormat="1" ht="21.95" customHeight="1" x14ac:dyDescent="0.15"/>
    <row r="31193" spans="3:3" s="9" customFormat="1" ht="21.95" customHeight="1" x14ac:dyDescent="0.15"/>
    <row r="31194" spans="3:3" s="9" customFormat="1" ht="21.95" customHeight="1" x14ac:dyDescent="0.15"/>
    <row r="31195" spans="3:3" s="9" customFormat="1" ht="21.95" customHeight="1" x14ac:dyDescent="0.15"/>
    <row r="31196" spans="3:3" s="9" customFormat="1" ht="21.95" customHeight="1" x14ac:dyDescent="0.15"/>
    <row r="31197" spans="3:3" s="8" customFormat="1" ht="21.95" customHeight="1" x14ac:dyDescent="0.15"/>
    <row r="31198" spans="3:3" s="8" customFormat="1" ht="21.95" customHeight="1" x14ac:dyDescent="0.15"/>
    <row r="31199" spans="3:3" s="8" customFormat="1" ht="21.95" customHeight="1" x14ac:dyDescent="0.15"/>
    <row r="31200" spans="3:3" s="8" customFormat="1" ht="21.95" customHeight="1" x14ac:dyDescent="0.15"/>
    <row r="31201" s="8" customFormat="1" ht="21.95" customHeight="1" x14ac:dyDescent="0.15"/>
    <row r="31202" s="8" customFormat="1" ht="21.95" customHeight="1" x14ac:dyDescent="0.15"/>
    <row r="31203" s="8" customFormat="1" ht="21.95" customHeight="1" x14ac:dyDescent="0.15"/>
    <row r="31204" s="8" customFormat="1" ht="21.95" customHeight="1" x14ac:dyDescent="0.15"/>
    <row r="31205" s="8" customFormat="1" ht="21.95" customHeight="1" x14ac:dyDescent="0.15"/>
    <row r="31206" s="8" customFormat="1" ht="21.95" customHeight="1" x14ac:dyDescent="0.15"/>
    <row r="31207" s="8" customFormat="1" ht="21.95" customHeight="1" x14ac:dyDescent="0.15"/>
    <row r="31208" s="8" customFormat="1" ht="32.1" customHeight="1" x14ac:dyDescent="0.15"/>
    <row r="31209" s="8" customFormat="1" ht="32.1" customHeight="1" x14ac:dyDescent="0.15"/>
    <row r="31210" s="8" customFormat="1" ht="32.1" customHeight="1" x14ac:dyDescent="0.15"/>
    <row r="31211" s="8" customFormat="1" ht="32.1" customHeight="1" x14ac:dyDescent="0.15"/>
    <row r="31212" s="8" customFormat="1" ht="32.1" customHeight="1" x14ac:dyDescent="0.15"/>
    <row r="31213" s="8" customFormat="1" ht="32.1" customHeight="1" x14ac:dyDescent="0.15"/>
    <row r="31214" s="9" customFormat="1" ht="32.1" customHeight="1" x14ac:dyDescent="0.15"/>
    <row r="31215" s="9" customFormat="1" ht="32.1" customHeight="1" x14ac:dyDescent="0.15"/>
    <row r="31216" s="9" customFormat="1" ht="32.1" customHeight="1" x14ac:dyDescent="0.15"/>
    <row r="31217" s="9" customFormat="1" ht="32.1" customHeight="1" x14ac:dyDescent="0.15"/>
    <row r="31218" s="9" customFormat="1" ht="21.95" customHeight="1" x14ac:dyDescent="0.15"/>
    <row r="31219" s="9" customFormat="1" ht="54" customHeight="1" x14ac:dyDescent="0.15"/>
    <row r="31220" s="9" customFormat="1" ht="21.95" customHeight="1" x14ac:dyDescent="0.15"/>
    <row r="31221" s="9" customFormat="1" ht="21.95" customHeight="1" x14ac:dyDescent="0.15"/>
    <row r="31222" s="9" customFormat="1" ht="21.95" customHeight="1" x14ac:dyDescent="0.15"/>
    <row r="31223" s="9" customFormat="1" ht="21.95" customHeight="1" x14ac:dyDescent="0.15"/>
    <row r="31224" s="9" customFormat="1" ht="21.95" customHeight="1" x14ac:dyDescent="0.15"/>
    <row r="31225" s="9" customFormat="1" ht="21.95" customHeight="1" x14ac:dyDescent="0.15"/>
    <row r="31226" s="9" customFormat="1" ht="21.95" customHeight="1" x14ac:dyDescent="0.15"/>
    <row r="31227" s="9" customFormat="1" ht="21.95" customHeight="1" x14ac:dyDescent="0.15"/>
    <row r="31228" s="9" customFormat="1" ht="21.95" customHeight="1" x14ac:dyDescent="0.15"/>
    <row r="31229" s="9" customFormat="1" ht="21.95" customHeight="1" x14ac:dyDescent="0.15"/>
    <row r="31230" s="9" customFormat="1" ht="21.95" customHeight="1" x14ac:dyDescent="0.15"/>
    <row r="31231" s="9" customFormat="1" ht="21.95" customHeight="1" x14ac:dyDescent="0.15"/>
    <row r="31232" s="9" customFormat="1" ht="21.95" customHeight="1" x14ac:dyDescent="0.15"/>
    <row r="31233" s="9" customFormat="1" ht="21.95" customHeight="1" x14ac:dyDescent="0.15"/>
    <row r="31234" s="9" customFormat="1" ht="21.95" customHeight="1" x14ac:dyDescent="0.15"/>
    <row r="31235" s="9" customFormat="1" ht="21.95" customHeight="1" x14ac:dyDescent="0.15"/>
    <row r="31236" s="9" customFormat="1" ht="21.95" customHeight="1" x14ac:dyDescent="0.15"/>
    <row r="31237" s="9" customFormat="1" ht="21.95" customHeight="1" x14ac:dyDescent="0.15"/>
    <row r="31238" s="9" customFormat="1" ht="21.95" customHeight="1" x14ac:dyDescent="0.15"/>
    <row r="31239" s="9" customFormat="1" ht="21.95" customHeight="1" x14ac:dyDescent="0.15"/>
    <row r="31240" s="9" customFormat="1" ht="21.95" customHeight="1" x14ac:dyDescent="0.15"/>
    <row r="31241" s="9" customFormat="1" ht="21.95" customHeight="1" x14ac:dyDescent="0.15"/>
    <row r="31242" s="9" customFormat="1" ht="21.95" customHeight="1" x14ac:dyDescent="0.15"/>
    <row r="31243" s="9" customFormat="1" ht="21.95" customHeight="1" x14ac:dyDescent="0.15"/>
    <row r="31244" s="9" customFormat="1" ht="21.95" customHeight="1" x14ac:dyDescent="0.15"/>
    <row r="31245" s="9" customFormat="1" ht="21.95" customHeight="1" x14ac:dyDescent="0.15"/>
    <row r="31246" s="9" customFormat="1" ht="21.95" customHeight="1" x14ac:dyDescent="0.15"/>
    <row r="31247" s="9" customFormat="1" ht="21.95" customHeight="1" x14ac:dyDescent="0.15"/>
    <row r="31248" s="9" customFormat="1" ht="21.95" customHeight="1" x14ac:dyDescent="0.15"/>
    <row r="31249" s="9" customFormat="1" ht="21.95" customHeight="1" x14ac:dyDescent="0.15"/>
    <row r="31250" s="9" customFormat="1" ht="21.95" customHeight="1" x14ac:dyDescent="0.15"/>
    <row r="31251" s="9" customFormat="1" ht="21.95" customHeight="1" x14ac:dyDescent="0.15"/>
    <row r="31252" s="9" customFormat="1" ht="21.95" customHeight="1" x14ac:dyDescent="0.15"/>
    <row r="31253" s="9" customFormat="1" ht="21.95" customHeight="1" x14ac:dyDescent="0.15"/>
    <row r="31254" s="9" customFormat="1" ht="21.95" customHeight="1" x14ac:dyDescent="0.15"/>
    <row r="31255" s="9" customFormat="1" ht="21.95" customHeight="1" x14ac:dyDescent="0.15"/>
    <row r="31256" s="9" customFormat="1" ht="21.95" customHeight="1" x14ac:dyDescent="0.15"/>
    <row r="31257" s="9" customFormat="1" ht="21.95" customHeight="1" x14ac:dyDescent="0.15"/>
    <row r="31258" s="9" customFormat="1" ht="21.95" customHeight="1" x14ac:dyDescent="0.15"/>
    <row r="31259" s="9" customFormat="1" ht="21.95" customHeight="1" x14ac:dyDescent="0.15"/>
    <row r="31260" s="9" customFormat="1" ht="21.95" customHeight="1" x14ac:dyDescent="0.15"/>
    <row r="31261" s="9" customFormat="1" ht="21.95" customHeight="1" x14ac:dyDescent="0.15"/>
    <row r="31262" s="9" customFormat="1" ht="21.95" customHeight="1" x14ac:dyDescent="0.15"/>
    <row r="31263" s="9" customFormat="1" ht="21.95" customHeight="1" x14ac:dyDescent="0.15"/>
    <row r="31264" s="9" customFormat="1" ht="21.95" customHeight="1" x14ac:dyDescent="0.15"/>
    <row r="31265" s="9" customFormat="1" ht="21.95" customHeight="1" x14ac:dyDescent="0.15"/>
    <row r="31266" s="9" customFormat="1" ht="21.95" customHeight="1" x14ac:dyDescent="0.15"/>
    <row r="31267" s="9" customFormat="1" ht="21.95" customHeight="1" x14ac:dyDescent="0.15"/>
    <row r="31268" s="9" customFormat="1" ht="21.95" customHeight="1" x14ac:dyDescent="0.15"/>
    <row r="31269" s="9" customFormat="1" ht="21.95" customHeight="1" x14ac:dyDescent="0.15"/>
    <row r="31270" s="9" customFormat="1" ht="35.1" customHeight="1" x14ac:dyDescent="0.15"/>
    <row r="31271" s="9" customFormat="1" ht="21.95" customHeight="1" x14ac:dyDescent="0.15"/>
    <row r="31272" s="9" customFormat="1" ht="21.95" customHeight="1" x14ac:dyDescent="0.15"/>
    <row r="31273" s="9" customFormat="1" ht="21.95" customHeight="1" x14ac:dyDescent="0.15"/>
    <row r="31274" s="9" customFormat="1" ht="21.95" customHeight="1" x14ac:dyDescent="0.15"/>
    <row r="31275" s="9" customFormat="1" ht="21.95" customHeight="1" x14ac:dyDescent="0.15"/>
    <row r="31276" s="9" customFormat="1" ht="21.95" customHeight="1" x14ac:dyDescent="0.15"/>
    <row r="31277" s="9" customFormat="1" ht="21.95" customHeight="1" x14ac:dyDescent="0.15"/>
    <row r="31278" s="9" customFormat="1" ht="21.95" customHeight="1" x14ac:dyDescent="0.15"/>
    <row r="31279" s="9" customFormat="1" ht="21.95" customHeight="1" x14ac:dyDescent="0.15"/>
    <row r="31280" s="9" customFormat="1" ht="21.95" customHeight="1" x14ac:dyDescent="0.15"/>
    <row r="31281" spans="3:3" s="9" customFormat="1" ht="21.95" customHeight="1" x14ac:dyDescent="0.15"/>
    <row r="31282" spans="3:3" s="9" customFormat="1" ht="21.95" customHeight="1" x14ac:dyDescent="0.15"/>
    <row r="31283" spans="3:3" s="9" customFormat="1" ht="21.95" customHeight="1" x14ac:dyDescent="0.15"/>
    <row r="31284" spans="3:3" s="9" customFormat="1" ht="21.95" customHeight="1" x14ac:dyDescent="0.15"/>
    <row r="31285" spans="3:3" s="9" customFormat="1" ht="21.95" customHeight="1" x14ac:dyDescent="0.15"/>
    <row r="31286" spans="3:3" s="9" customFormat="1" ht="21.95" customHeight="1" x14ac:dyDescent="0.15"/>
    <row r="31287" spans="3:3" s="9" customFormat="1" ht="21.95" customHeight="1" x14ac:dyDescent="0.15"/>
    <row r="31288" spans="3:3" s="9" customFormat="1" ht="21.95" customHeight="1" x14ac:dyDescent="0.15"/>
    <row r="31289" spans="3:3" s="9" customFormat="1" ht="21.95" customHeight="1" x14ac:dyDescent="0.15"/>
    <row r="31290" spans="3:3" s="9" customFormat="1" ht="21.95" customHeight="1" x14ac:dyDescent="0.15"/>
    <row r="31291" spans="3:3" s="9" customFormat="1" ht="21.95" customHeight="1" x14ac:dyDescent="0.15"/>
    <row r="31292" spans="3:3" s="9" customFormat="1" ht="21.95" customHeight="1" x14ac:dyDescent="0.15"/>
    <row r="31293" spans="3:3" s="9" customFormat="1" ht="21.95" customHeight="1" x14ac:dyDescent="0.15"/>
    <row r="31294" spans="3:3" s="8" customFormat="1" ht="21.95" customHeight="1" x14ac:dyDescent="0.15"/>
    <row r="31295" spans="3:3" s="8" customFormat="1" ht="21.95" customHeight="1" x14ac:dyDescent="0.15"/>
    <row r="31296" spans="3:3" s="8" customFormat="1" ht="21.95" customHeight="1" x14ac:dyDescent="0.15">
      <c r="C31296" s="101"/>
    </row>
    <row r="31297" spans="3:3" s="8" customFormat="1" ht="21.95" customHeight="1" x14ac:dyDescent="0.15">
      <c r="C31297" s="101"/>
    </row>
    <row r="31298" spans="3:3" s="8" customFormat="1" ht="21.95" customHeight="1" x14ac:dyDescent="0.15"/>
    <row r="31299" spans="3:3" s="8" customFormat="1" ht="21.95" customHeight="1" x14ac:dyDescent="0.15"/>
    <row r="31300" spans="3:3" s="8" customFormat="1" ht="21.95" customHeight="1" x14ac:dyDescent="0.15"/>
    <row r="31301" spans="3:3" s="8" customFormat="1" ht="21.95" customHeight="1" x14ac:dyDescent="0.15"/>
    <row r="31302" spans="3:3" s="8" customFormat="1" ht="21.95" customHeight="1" x14ac:dyDescent="0.15"/>
    <row r="31303" spans="3:3" s="8" customFormat="1" ht="21.95" customHeight="1" x14ac:dyDescent="0.15"/>
    <row r="31304" spans="3:3" s="8" customFormat="1" ht="21.95" customHeight="1" x14ac:dyDescent="0.15"/>
    <row r="31305" spans="3:3" s="9" customFormat="1" ht="21.95" customHeight="1" x14ac:dyDescent="0.15"/>
    <row r="31306" spans="3:3" s="9" customFormat="1" ht="21.95" customHeight="1" x14ac:dyDescent="0.15"/>
    <row r="31307" spans="3:3" s="9" customFormat="1" ht="21.95" customHeight="1" x14ac:dyDescent="0.15"/>
    <row r="31308" spans="3:3" s="9" customFormat="1" ht="21.95" customHeight="1" x14ac:dyDescent="0.15"/>
    <row r="31309" spans="3:3" s="8" customFormat="1" ht="21.95" customHeight="1" x14ac:dyDescent="0.15"/>
    <row r="31310" spans="3:3" s="8" customFormat="1" ht="21.95" customHeight="1" x14ac:dyDescent="0.15"/>
    <row r="31311" spans="3:3" s="8" customFormat="1" ht="21.95" customHeight="1" x14ac:dyDescent="0.15"/>
    <row r="31312" spans="3:3" s="8" customFormat="1" ht="21.95" customHeight="1" x14ac:dyDescent="0.15"/>
    <row r="31313" s="8" customFormat="1" ht="21.95" customHeight="1" x14ac:dyDescent="0.15"/>
    <row r="31314" s="8" customFormat="1" ht="21.95" customHeight="1" x14ac:dyDescent="0.15"/>
    <row r="31315" s="8" customFormat="1" ht="21.95" customHeight="1" x14ac:dyDescent="0.15"/>
    <row r="31316" s="8" customFormat="1" ht="21.95" customHeight="1" x14ac:dyDescent="0.15"/>
    <row r="31317" s="8" customFormat="1" ht="21.95" customHeight="1" x14ac:dyDescent="0.15"/>
    <row r="31318" s="8" customFormat="1" ht="21.95" customHeight="1" x14ac:dyDescent="0.15"/>
    <row r="31319" s="8" customFormat="1" ht="21.95" customHeight="1" x14ac:dyDescent="0.15"/>
    <row r="31320" s="8" customFormat="1" ht="32.1" customHeight="1" x14ac:dyDescent="0.15"/>
    <row r="31321" s="8" customFormat="1" ht="32.1" customHeight="1" x14ac:dyDescent="0.15"/>
    <row r="31322" s="8" customFormat="1" ht="32.1" customHeight="1" x14ac:dyDescent="0.15"/>
    <row r="31323" s="8" customFormat="1" ht="32.1" customHeight="1" x14ac:dyDescent="0.15"/>
    <row r="31324" s="8" customFormat="1" ht="32.1" customHeight="1" x14ac:dyDescent="0.15"/>
    <row r="31325" s="8" customFormat="1" ht="32.1" customHeight="1" x14ac:dyDescent="0.15"/>
    <row r="31326" s="9" customFormat="1" ht="32.1" customHeight="1" x14ac:dyDescent="0.15"/>
    <row r="31327" s="9" customFormat="1" ht="32.1" customHeight="1" x14ac:dyDescent="0.15"/>
    <row r="31328" s="9" customFormat="1" ht="32.1" customHeight="1" x14ac:dyDescent="0.15"/>
    <row r="31329" s="9" customFormat="1" ht="32.1" customHeight="1" x14ac:dyDescent="0.15"/>
    <row r="31330" s="9" customFormat="1" ht="21.95" customHeight="1" x14ac:dyDescent="0.15"/>
    <row r="31331" s="9" customFormat="1" ht="54" customHeight="1" x14ac:dyDescent="0.15"/>
    <row r="31332" s="9" customFormat="1" ht="21.95" customHeight="1" x14ac:dyDescent="0.15"/>
    <row r="31333" s="9" customFormat="1" ht="21.95" customHeight="1" x14ac:dyDescent="0.15"/>
    <row r="31334" s="9" customFormat="1" ht="21.95" customHeight="1" x14ac:dyDescent="0.15"/>
    <row r="31335" s="9" customFormat="1" ht="21.95" customHeight="1" x14ac:dyDescent="0.15"/>
    <row r="31336" s="9" customFormat="1" ht="21.95" customHeight="1" x14ac:dyDescent="0.15"/>
    <row r="31337" s="9" customFormat="1" ht="21.95" customHeight="1" x14ac:dyDescent="0.15"/>
    <row r="31338" s="9" customFormat="1" ht="21.95" customHeight="1" x14ac:dyDescent="0.15"/>
    <row r="31339" s="9" customFormat="1" ht="21.95" customHeight="1" x14ac:dyDescent="0.15"/>
    <row r="31340" s="9" customFormat="1" ht="21.95" customHeight="1" x14ac:dyDescent="0.15"/>
    <row r="31341" s="9" customFormat="1" ht="21.95" customHeight="1" x14ac:dyDescent="0.15"/>
    <row r="31342" s="9" customFormat="1" ht="21.95" customHeight="1" x14ac:dyDescent="0.15"/>
    <row r="31343" s="9" customFormat="1" ht="21.95" customHeight="1" x14ac:dyDescent="0.15"/>
    <row r="31344" s="9" customFormat="1" ht="21.95" customHeight="1" x14ac:dyDescent="0.15"/>
    <row r="31345" s="9" customFormat="1" ht="21.95" customHeight="1" x14ac:dyDescent="0.15"/>
    <row r="31346" s="9" customFormat="1" ht="21.95" customHeight="1" x14ac:dyDescent="0.15"/>
    <row r="31347" s="9" customFormat="1" ht="21.95" customHeight="1" x14ac:dyDescent="0.15"/>
    <row r="31348" s="9" customFormat="1" ht="21.95" customHeight="1" x14ac:dyDescent="0.15"/>
    <row r="31349" s="9" customFormat="1" ht="21.95" customHeight="1" x14ac:dyDescent="0.15"/>
    <row r="31350" s="9" customFormat="1" ht="21.95" customHeight="1" x14ac:dyDescent="0.15"/>
    <row r="31351" s="9" customFormat="1" ht="21.95" customHeight="1" x14ac:dyDescent="0.15"/>
    <row r="31352" s="9" customFormat="1" ht="21.95" customHeight="1" x14ac:dyDescent="0.15"/>
    <row r="31353" s="9" customFormat="1" ht="21.95" customHeight="1" x14ac:dyDescent="0.15"/>
    <row r="31354" s="9" customFormat="1" ht="21.95" customHeight="1" x14ac:dyDescent="0.15"/>
    <row r="31355" s="9" customFormat="1" ht="21.95" customHeight="1" x14ac:dyDescent="0.15"/>
    <row r="31356" s="9" customFormat="1" ht="21.95" customHeight="1" x14ac:dyDescent="0.15"/>
    <row r="31357" s="9" customFormat="1" ht="21.95" customHeight="1" x14ac:dyDescent="0.15"/>
    <row r="31358" s="9" customFormat="1" ht="21.95" customHeight="1" x14ac:dyDescent="0.15"/>
    <row r="31359" s="9" customFormat="1" ht="21.95" customHeight="1" x14ac:dyDescent="0.15"/>
    <row r="31360" s="9" customFormat="1" ht="21.95" customHeight="1" x14ac:dyDescent="0.15"/>
    <row r="31361" s="9" customFormat="1" ht="21.95" customHeight="1" x14ac:dyDescent="0.15"/>
    <row r="31362" s="9" customFormat="1" ht="21.95" customHeight="1" x14ac:dyDescent="0.15"/>
    <row r="31363" s="9" customFormat="1" ht="21.95" customHeight="1" x14ac:dyDescent="0.15"/>
    <row r="31364" s="9" customFormat="1" ht="21.95" customHeight="1" x14ac:dyDescent="0.15"/>
    <row r="31365" s="9" customFormat="1" ht="21.95" customHeight="1" x14ac:dyDescent="0.15"/>
    <row r="31366" s="9" customFormat="1" ht="21.95" customHeight="1" x14ac:dyDescent="0.15"/>
    <row r="31367" s="9" customFormat="1" ht="21.95" customHeight="1" x14ac:dyDescent="0.15"/>
    <row r="31368" s="9" customFormat="1" ht="21.95" customHeight="1" x14ac:dyDescent="0.15"/>
    <row r="31369" s="9" customFormat="1" ht="21.95" customHeight="1" x14ac:dyDescent="0.15"/>
    <row r="31370" s="9" customFormat="1" ht="21.95" customHeight="1" x14ac:dyDescent="0.15"/>
    <row r="31371" s="9" customFormat="1" ht="21.95" customHeight="1" x14ac:dyDescent="0.15"/>
    <row r="31372" s="9" customFormat="1" ht="21.95" customHeight="1" x14ac:dyDescent="0.15"/>
    <row r="31373" s="9" customFormat="1" ht="21.95" customHeight="1" x14ac:dyDescent="0.15"/>
    <row r="31374" s="9" customFormat="1" ht="21.95" customHeight="1" x14ac:dyDescent="0.15"/>
    <row r="31375" s="9" customFormat="1" ht="21.95" customHeight="1" x14ac:dyDescent="0.15"/>
    <row r="31376" s="9" customFormat="1" ht="21.95" customHeight="1" x14ac:dyDescent="0.15"/>
    <row r="31377" s="9" customFormat="1" ht="21.95" customHeight="1" x14ac:dyDescent="0.15"/>
    <row r="31378" s="9" customFormat="1" ht="21.95" customHeight="1" x14ac:dyDescent="0.15"/>
    <row r="31379" s="9" customFormat="1" ht="21.95" customHeight="1" x14ac:dyDescent="0.15"/>
    <row r="31380" s="9" customFormat="1" ht="21.95" customHeight="1" x14ac:dyDescent="0.15"/>
    <row r="31381" s="9" customFormat="1" ht="21.95" customHeight="1" x14ac:dyDescent="0.15"/>
    <row r="31382" s="9" customFormat="1" ht="35.1" customHeight="1" x14ac:dyDescent="0.15"/>
    <row r="31383" s="9" customFormat="1" ht="21.95" customHeight="1" x14ac:dyDescent="0.15"/>
    <row r="31384" s="9" customFormat="1" ht="21.95" customHeight="1" x14ac:dyDescent="0.15"/>
    <row r="31385" s="9" customFormat="1" ht="21.95" customHeight="1" x14ac:dyDescent="0.15"/>
    <row r="31386" s="9" customFormat="1" ht="21.95" customHeight="1" x14ac:dyDescent="0.15"/>
    <row r="31387" s="9" customFormat="1" ht="21.95" customHeight="1" x14ac:dyDescent="0.15"/>
    <row r="31388" s="9" customFormat="1" ht="21.95" customHeight="1" x14ac:dyDescent="0.15"/>
    <row r="31389" s="9" customFormat="1" ht="21.95" customHeight="1" x14ac:dyDescent="0.15"/>
    <row r="31390" s="9" customFormat="1" ht="21.95" customHeight="1" x14ac:dyDescent="0.15"/>
    <row r="31391" s="9" customFormat="1" ht="21.95" customHeight="1" x14ac:dyDescent="0.15"/>
    <row r="31392" s="9" customFormat="1" ht="21.95" customHeight="1" x14ac:dyDescent="0.15"/>
    <row r="31393" spans="3:3" s="9" customFormat="1" ht="21.95" customHeight="1" x14ac:dyDescent="0.15"/>
    <row r="31394" spans="3:3" s="9" customFormat="1" ht="21.95" customHeight="1" x14ac:dyDescent="0.15"/>
    <row r="31395" spans="3:3" s="9" customFormat="1" ht="21.95" customHeight="1" x14ac:dyDescent="0.15"/>
    <row r="31396" spans="3:3" s="9" customFormat="1" ht="21.95" customHeight="1" x14ac:dyDescent="0.15"/>
    <row r="31397" spans="3:3" s="9" customFormat="1" ht="21.95" customHeight="1" x14ac:dyDescent="0.15"/>
    <row r="31398" spans="3:3" s="9" customFormat="1" ht="21.95" customHeight="1" x14ac:dyDescent="0.15"/>
    <row r="31399" spans="3:3" s="9" customFormat="1" ht="21.95" customHeight="1" x14ac:dyDescent="0.15"/>
    <row r="31400" spans="3:3" s="9" customFormat="1" ht="21.95" customHeight="1" x14ac:dyDescent="0.15"/>
    <row r="31401" spans="3:3" s="9" customFormat="1" ht="21.95" customHeight="1" x14ac:dyDescent="0.15"/>
    <row r="31402" spans="3:3" s="9" customFormat="1" ht="21.95" customHeight="1" x14ac:dyDescent="0.15"/>
    <row r="31403" spans="3:3" s="9" customFormat="1" ht="21.95" customHeight="1" x14ac:dyDescent="0.15"/>
    <row r="31404" spans="3:3" s="9" customFormat="1" ht="21.95" customHeight="1" x14ac:dyDescent="0.15"/>
    <row r="31405" spans="3:3" s="9" customFormat="1" ht="21.95" customHeight="1" x14ac:dyDescent="0.15"/>
    <row r="31406" spans="3:3" s="8" customFormat="1" ht="21.95" customHeight="1" x14ac:dyDescent="0.15"/>
    <row r="31407" spans="3:3" s="8" customFormat="1" ht="21.95" customHeight="1" x14ac:dyDescent="0.15"/>
    <row r="31408" spans="3:3" s="8" customFormat="1" ht="21.95" customHeight="1" x14ac:dyDescent="0.15">
      <c r="C31408" s="101"/>
    </row>
    <row r="31409" spans="3:3" s="8" customFormat="1" ht="21.95" customHeight="1" x14ac:dyDescent="0.15">
      <c r="C31409" s="101"/>
    </row>
    <row r="31410" spans="3:3" s="8" customFormat="1" ht="21.95" customHeight="1" x14ac:dyDescent="0.15"/>
    <row r="31411" spans="3:3" s="8" customFormat="1" ht="21.95" customHeight="1" x14ac:dyDescent="0.15"/>
    <row r="31412" spans="3:3" s="8" customFormat="1" ht="21.95" customHeight="1" x14ac:dyDescent="0.15"/>
    <row r="31413" spans="3:3" s="8" customFormat="1" ht="21.95" customHeight="1" x14ac:dyDescent="0.15"/>
    <row r="31414" spans="3:3" s="8" customFormat="1" ht="21.95" customHeight="1" x14ac:dyDescent="0.15"/>
    <row r="31415" spans="3:3" s="8" customFormat="1" ht="21.95" customHeight="1" x14ac:dyDescent="0.15"/>
    <row r="31416" spans="3:3" s="8" customFormat="1" ht="21.95" customHeight="1" x14ac:dyDescent="0.15"/>
    <row r="31417" spans="3:3" s="9" customFormat="1" ht="21.95" customHeight="1" x14ac:dyDescent="0.15"/>
    <row r="31418" spans="3:3" s="9" customFormat="1" ht="21.95" customHeight="1" x14ac:dyDescent="0.15"/>
    <row r="31419" spans="3:3" s="9" customFormat="1" ht="21.95" customHeight="1" x14ac:dyDescent="0.15"/>
    <row r="31420" spans="3:3" s="9" customFormat="1" ht="21.95" customHeight="1" x14ac:dyDescent="0.15"/>
    <row r="31421" spans="3:3" s="8" customFormat="1" ht="21.95" customHeight="1" x14ac:dyDescent="0.15"/>
    <row r="31422" spans="3:3" s="8" customFormat="1" ht="21.95" customHeight="1" x14ac:dyDescent="0.15"/>
    <row r="31423" spans="3:3" s="8" customFormat="1" ht="21.95" customHeight="1" x14ac:dyDescent="0.15"/>
    <row r="31424" spans="3:3" s="8" customFormat="1" ht="21.95" customHeight="1" x14ac:dyDescent="0.15"/>
    <row r="31425" s="8" customFormat="1" ht="21.95" customHeight="1" x14ac:dyDescent="0.15"/>
    <row r="31426" s="8" customFormat="1" ht="21.95" customHeight="1" x14ac:dyDescent="0.15"/>
    <row r="31427" s="8" customFormat="1" ht="21.95" customHeight="1" x14ac:dyDescent="0.15"/>
    <row r="31428" s="8" customFormat="1" ht="21.95" customHeight="1" x14ac:dyDescent="0.15"/>
    <row r="31429" s="8" customFormat="1" ht="21.95" customHeight="1" x14ac:dyDescent="0.15"/>
    <row r="31430" s="8" customFormat="1" ht="21.95" customHeight="1" x14ac:dyDescent="0.15"/>
    <row r="31431" s="8" customFormat="1" ht="21.95" customHeight="1" x14ac:dyDescent="0.15"/>
    <row r="31432" s="8" customFormat="1" ht="32.1" customHeight="1" x14ac:dyDescent="0.15"/>
    <row r="31433" s="8" customFormat="1" ht="32.1" customHeight="1" x14ac:dyDescent="0.15"/>
    <row r="31434" s="8" customFormat="1" ht="32.1" customHeight="1" x14ac:dyDescent="0.15"/>
    <row r="31435" s="8" customFormat="1" ht="32.1" customHeight="1" x14ac:dyDescent="0.15"/>
    <row r="31436" s="8" customFormat="1" ht="32.1" customHeight="1" x14ac:dyDescent="0.15"/>
    <row r="31437" s="8" customFormat="1" ht="32.1" customHeight="1" x14ac:dyDescent="0.15"/>
    <row r="31438" s="9" customFormat="1" ht="32.1" customHeight="1" x14ac:dyDescent="0.15"/>
    <row r="31439" s="9" customFormat="1" ht="32.1" customHeight="1" x14ac:dyDescent="0.15"/>
    <row r="31440" s="9" customFormat="1" ht="32.1" customHeight="1" x14ac:dyDescent="0.15"/>
    <row r="31441" s="9" customFormat="1" ht="32.1" customHeight="1" x14ac:dyDescent="0.15"/>
    <row r="31442" s="9" customFormat="1" ht="21.95" customHeight="1" x14ac:dyDescent="0.15"/>
    <row r="31443" s="9" customFormat="1" ht="54" customHeight="1" x14ac:dyDescent="0.15"/>
    <row r="31444" s="9" customFormat="1" ht="21.95" customHeight="1" x14ac:dyDescent="0.15"/>
    <row r="31445" s="9" customFormat="1" ht="21.95" customHeight="1" x14ac:dyDescent="0.15"/>
    <row r="31446" s="9" customFormat="1" ht="21.95" customHeight="1" x14ac:dyDescent="0.15"/>
    <row r="31447" s="9" customFormat="1" ht="21.95" customHeight="1" x14ac:dyDescent="0.15"/>
    <row r="31448" s="9" customFormat="1" ht="21.95" customHeight="1" x14ac:dyDescent="0.15"/>
    <row r="31449" s="9" customFormat="1" ht="21.95" customHeight="1" x14ac:dyDescent="0.15"/>
    <row r="31450" s="9" customFormat="1" ht="21.95" customHeight="1" x14ac:dyDescent="0.15"/>
    <row r="31451" s="9" customFormat="1" ht="21.95" customHeight="1" x14ac:dyDescent="0.15"/>
    <row r="31452" s="9" customFormat="1" ht="21.95" customHeight="1" x14ac:dyDescent="0.15"/>
    <row r="31453" s="9" customFormat="1" ht="21.95" customHeight="1" x14ac:dyDescent="0.15"/>
    <row r="31454" s="9" customFormat="1" ht="21.95" customHeight="1" x14ac:dyDescent="0.15"/>
    <row r="31455" s="9" customFormat="1" ht="21.95" customHeight="1" x14ac:dyDescent="0.15"/>
    <row r="31456" s="9" customFormat="1" ht="21.95" customHeight="1" x14ac:dyDescent="0.15"/>
    <row r="31457" s="9" customFormat="1" ht="21.95" customHeight="1" x14ac:dyDescent="0.15"/>
    <row r="31458" s="9" customFormat="1" ht="21.95" customHeight="1" x14ac:dyDescent="0.15"/>
    <row r="31459" s="9" customFormat="1" ht="21.95" customHeight="1" x14ac:dyDescent="0.15"/>
    <row r="31460" s="9" customFormat="1" ht="21.95" customHeight="1" x14ac:dyDescent="0.15"/>
    <row r="31461" s="9" customFormat="1" ht="21.95" customHeight="1" x14ac:dyDescent="0.15"/>
    <row r="31462" s="9" customFormat="1" ht="21.95" customHeight="1" x14ac:dyDescent="0.15"/>
    <row r="31463" s="9" customFormat="1" ht="21.95" customHeight="1" x14ac:dyDescent="0.15"/>
    <row r="31464" s="9" customFormat="1" ht="21.95" customHeight="1" x14ac:dyDescent="0.15"/>
    <row r="31465" s="9" customFormat="1" ht="21.95" customHeight="1" x14ac:dyDescent="0.15"/>
    <row r="31466" s="9" customFormat="1" ht="21.95" customHeight="1" x14ac:dyDescent="0.15"/>
    <row r="31467" s="9" customFormat="1" ht="21.95" customHeight="1" x14ac:dyDescent="0.15"/>
    <row r="31468" s="9" customFormat="1" ht="21.95" customHeight="1" x14ac:dyDescent="0.15"/>
    <row r="31469" s="9" customFormat="1" ht="21.95" customHeight="1" x14ac:dyDescent="0.15"/>
    <row r="31470" s="9" customFormat="1" ht="21.95" customHeight="1" x14ac:dyDescent="0.15"/>
    <row r="31471" s="9" customFormat="1" ht="21.95" customHeight="1" x14ac:dyDescent="0.15"/>
    <row r="31472" s="9" customFormat="1" ht="21.95" customHeight="1" x14ac:dyDescent="0.15"/>
    <row r="31473" s="9" customFormat="1" ht="21.95" customHeight="1" x14ac:dyDescent="0.15"/>
    <row r="31474" s="9" customFormat="1" ht="21.95" customHeight="1" x14ac:dyDescent="0.15"/>
    <row r="31475" s="9" customFormat="1" ht="21.95" customHeight="1" x14ac:dyDescent="0.15"/>
    <row r="31476" s="9" customFormat="1" ht="21.95" customHeight="1" x14ac:dyDescent="0.15"/>
    <row r="31477" s="9" customFormat="1" ht="21.95" customHeight="1" x14ac:dyDescent="0.15"/>
    <row r="31478" s="9" customFormat="1" ht="21.95" customHeight="1" x14ac:dyDescent="0.15"/>
    <row r="31479" s="9" customFormat="1" ht="21.95" customHeight="1" x14ac:dyDescent="0.15"/>
    <row r="31480" s="9" customFormat="1" ht="21.95" customHeight="1" x14ac:dyDescent="0.15"/>
    <row r="31481" s="9" customFormat="1" ht="21.95" customHeight="1" x14ac:dyDescent="0.15"/>
    <row r="31482" s="9" customFormat="1" ht="21.95" customHeight="1" x14ac:dyDescent="0.15"/>
    <row r="31483" s="9" customFormat="1" ht="21.95" customHeight="1" x14ac:dyDescent="0.15"/>
    <row r="31484" s="9" customFormat="1" ht="21.95" customHeight="1" x14ac:dyDescent="0.15"/>
    <row r="31485" s="9" customFormat="1" ht="21.95" customHeight="1" x14ac:dyDescent="0.15"/>
    <row r="31486" s="9" customFormat="1" ht="21.95" customHeight="1" x14ac:dyDescent="0.15"/>
    <row r="31487" s="9" customFormat="1" ht="21.95" customHeight="1" x14ac:dyDescent="0.15"/>
    <row r="31488" s="9" customFormat="1" ht="21.95" customHeight="1" x14ac:dyDescent="0.15"/>
    <row r="31489" s="9" customFormat="1" ht="21.95" customHeight="1" x14ac:dyDescent="0.15"/>
    <row r="31490" s="9" customFormat="1" ht="21.95" customHeight="1" x14ac:dyDescent="0.15"/>
    <row r="31491" s="9" customFormat="1" ht="21.95" customHeight="1" x14ac:dyDescent="0.15"/>
    <row r="31492" s="9" customFormat="1" ht="21.95" customHeight="1" x14ac:dyDescent="0.15"/>
    <row r="31493" s="9" customFormat="1" ht="21.95" customHeight="1" x14ac:dyDescent="0.15"/>
    <row r="31494" s="9" customFormat="1" ht="35.1" customHeight="1" x14ac:dyDescent="0.15"/>
    <row r="31495" s="9" customFormat="1" ht="21.95" customHeight="1" x14ac:dyDescent="0.15"/>
    <row r="31496" s="9" customFormat="1" ht="21.95" customHeight="1" x14ac:dyDescent="0.15"/>
    <row r="31497" s="9" customFormat="1" ht="21.95" customHeight="1" x14ac:dyDescent="0.15"/>
    <row r="31498" s="9" customFormat="1" ht="21.95" customHeight="1" x14ac:dyDescent="0.15"/>
    <row r="31499" s="9" customFormat="1" ht="21.95" customHeight="1" x14ac:dyDescent="0.15"/>
    <row r="31500" s="9" customFormat="1" ht="21.95" customHeight="1" x14ac:dyDescent="0.15"/>
    <row r="31501" s="9" customFormat="1" ht="21.95" customHeight="1" x14ac:dyDescent="0.15"/>
    <row r="31502" s="9" customFormat="1" ht="21.95" customHeight="1" x14ac:dyDescent="0.15"/>
    <row r="31503" s="9" customFormat="1" ht="21.95" customHeight="1" x14ac:dyDescent="0.15"/>
    <row r="31504" s="9" customFormat="1" ht="21.95" customHeight="1" x14ac:dyDescent="0.15"/>
    <row r="31505" spans="3:3" s="9" customFormat="1" ht="21.95" customHeight="1" x14ac:dyDescent="0.15"/>
    <row r="31506" spans="3:3" s="9" customFormat="1" ht="21.95" customHeight="1" x14ac:dyDescent="0.15"/>
    <row r="31507" spans="3:3" s="9" customFormat="1" ht="21.95" customHeight="1" x14ac:dyDescent="0.15"/>
    <row r="31508" spans="3:3" s="9" customFormat="1" ht="21.95" customHeight="1" x14ac:dyDescent="0.15"/>
    <row r="31509" spans="3:3" s="9" customFormat="1" ht="21.95" customHeight="1" x14ac:dyDescent="0.15"/>
    <row r="31510" spans="3:3" s="9" customFormat="1" ht="21.95" customHeight="1" x14ac:dyDescent="0.15"/>
    <row r="31511" spans="3:3" s="9" customFormat="1" ht="21.95" customHeight="1" x14ac:dyDescent="0.15"/>
    <row r="31512" spans="3:3" s="9" customFormat="1" ht="21.95" customHeight="1" x14ac:dyDescent="0.15"/>
    <row r="31513" spans="3:3" s="9" customFormat="1" ht="21.95" customHeight="1" x14ac:dyDescent="0.15"/>
    <row r="31514" spans="3:3" s="9" customFormat="1" ht="21.95" customHeight="1" x14ac:dyDescent="0.15"/>
    <row r="31515" spans="3:3" s="9" customFormat="1" ht="21.95" customHeight="1" x14ac:dyDescent="0.15"/>
    <row r="31516" spans="3:3" s="9" customFormat="1" ht="21.95" customHeight="1" x14ac:dyDescent="0.15"/>
    <row r="31517" spans="3:3" s="9" customFormat="1" ht="21.95" customHeight="1" x14ac:dyDescent="0.15"/>
    <row r="31518" spans="3:3" s="8" customFormat="1" ht="21.95" customHeight="1" x14ac:dyDescent="0.15"/>
    <row r="31519" spans="3:3" s="8" customFormat="1" ht="21.95" customHeight="1" x14ac:dyDescent="0.15"/>
    <row r="31520" spans="3:3" s="8" customFormat="1" ht="21.95" customHeight="1" x14ac:dyDescent="0.15">
      <c r="C31520" s="101"/>
    </row>
    <row r="31521" spans="3:3" s="8" customFormat="1" ht="21.95" customHeight="1" x14ac:dyDescent="0.15">
      <c r="C31521" s="101"/>
    </row>
    <row r="31522" spans="3:3" s="8" customFormat="1" ht="21.95" customHeight="1" x14ac:dyDescent="0.15"/>
    <row r="31523" spans="3:3" s="8" customFormat="1" ht="21.95" customHeight="1" x14ac:dyDescent="0.15"/>
    <row r="31524" spans="3:3" s="8" customFormat="1" ht="21.95" customHeight="1" x14ac:dyDescent="0.15"/>
    <row r="31525" spans="3:3" s="8" customFormat="1" ht="21.95" customHeight="1" x14ac:dyDescent="0.15"/>
    <row r="31526" spans="3:3" s="8" customFormat="1" ht="21.95" customHeight="1" x14ac:dyDescent="0.15"/>
    <row r="31527" spans="3:3" s="8" customFormat="1" ht="21.95" customHeight="1" x14ac:dyDescent="0.15"/>
    <row r="31528" spans="3:3" s="8" customFormat="1" ht="21.95" customHeight="1" x14ac:dyDescent="0.15"/>
    <row r="31529" spans="3:3" s="9" customFormat="1" ht="21.95" customHeight="1" x14ac:dyDescent="0.15"/>
    <row r="31530" spans="3:3" s="9" customFormat="1" ht="21.95" customHeight="1" x14ac:dyDescent="0.15"/>
    <row r="31531" spans="3:3" s="9" customFormat="1" ht="21.95" customHeight="1" x14ac:dyDescent="0.15"/>
    <row r="31532" spans="3:3" s="9" customFormat="1" ht="21.95" customHeight="1" x14ac:dyDescent="0.15"/>
    <row r="31533" spans="3:3" s="8" customFormat="1" ht="21.95" customHeight="1" x14ac:dyDescent="0.15"/>
    <row r="31534" spans="3:3" s="8" customFormat="1" ht="21.95" customHeight="1" x14ac:dyDescent="0.15"/>
    <row r="31535" spans="3:3" s="8" customFormat="1" ht="21.95" customHeight="1" x14ac:dyDescent="0.15"/>
    <row r="31536" spans="3:3" s="8" customFormat="1" ht="21.95" customHeight="1" x14ac:dyDescent="0.15"/>
    <row r="31537" s="8" customFormat="1" ht="21.95" customHeight="1" x14ac:dyDescent="0.15"/>
    <row r="31538" s="8" customFormat="1" ht="21.95" customHeight="1" x14ac:dyDescent="0.15"/>
    <row r="31539" s="8" customFormat="1" ht="21.95" customHeight="1" x14ac:dyDescent="0.15"/>
    <row r="31540" s="8" customFormat="1" ht="21.95" customHeight="1" x14ac:dyDescent="0.15"/>
    <row r="31541" s="8" customFormat="1" ht="21.95" customHeight="1" x14ac:dyDescent="0.15"/>
    <row r="31542" s="8" customFormat="1" ht="21.95" customHeight="1" x14ac:dyDescent="0.15"/>
    <row r="31543" s="8" customFormat="1" ht="21.95" customHeight="1" x14ac:dyDescent="0.15"/>
    <row r="31544" s="8" customFormat="1" ht="32.1" customHeight="1" x14ac:dyDescent="0.15"/>
    <row r="31545" s="8" customFormat="1" ht="32.1" customHeight="1" x14ac:dyDescent="0.15"/>
    <row r="31546" s="8" customFormat="1" ht="32.1" customHeight="1" x14ac:dyDescent="0.15"/>
    <row r="31547" s="8" customFormat="1" ht="32.1" customHeight="1" x14ac:dyDescent="0.15"/>
    <row r="31548" s="8" customFormat="1" ht="32.1" customHeight="1" x14ac:dyDescent="0.15"/>
    <row r="31549" s="8" customFormat="1" ht="32.1" customHeight="1" x14ac:dyDescent="0.15"/>
    <row r="31550" s="9" customFormat="1" ht="32.1" customHeight="1" x14ac:dyDescent="0.15"/>
    <row r="31551" s="9" customFormat="1" ht="32.1" customHeight="1" x14ac:dyDescent="0.15"/>
    <row r="31552" s="9" customFormat="1" ht="32.1" customHeight="1" x14ac:dyDescent="0.15"/>
    <row r="31553" s="9" customFormat="1" ht="32.1" customHeight="1" x14ac:dyDescent="0.15"/>
    <row r="31554" s="9" customFormat="1" ht="21.95" customHeight="1" x14ac:dyDescent="0.15"/>
    <row r="31555" s="9" customFormat="1" ht="54" customHeight="1" x14ac:dyDescent="0.15"/>
    <row r="31556" s="9" customFormat="1" ht="21.95" customHeight="1" x14ac:dyDescent="0.15"/>
    <row r="31557" s="9" customFormat="1" ht="21.95" customHeight="1" x14ac:dyDescent="0.15"/>
    <row r="31558" s="9" customFormat="1" ht="21.95" customHeight="1" x14ac:dyDescent="0.15"/>
    <row r="31559" s="9" customFormat="1" ht="21.95" customHeight="1" x14ac:dyDescent="0.15"/>
    <row r="31560" s="9" customFormat="1" ht="21.95" customHeight="1" x14ac:dyDescent="0.15"/>
    <row r="31561" s="9" customFormat="1" ht="21.95" customHeight="1" x14ac:dyDescent="0.15"/>
    <row r="31562" s="9" customFormat="1" ht="21.95" customHeight="1" x14ac:dyDescent="0.15"/>
    <row r="31563" s="9" customFormat="1" ht="21.95" customHeight="1" x14ac:dyDescent="0.15"/>
    <row r="31564" s="9" customFormat="1" ht="21.95" customHeight="1" x14ac:dyDescent="0.15"/>
    <row r="31565" s="9" customFormat="1" ht="21.95" customHeight="1" x14ac:dyDescent="0.15"/>
    <row r="31566" s="9" customFormat="1" ht="21.95" customHeight="1" x14ac:dyDescent="0.15"/>
    <row r="31567" s="9" customFormat="1" ht="21.95" customHeight="1" x14ac:dyDescent="0.15"/>
    <row r="31568" s="9" customFormat="1" ht="21.95" customHeight="1" x14ac:dyDescent="0.15"/>
    <row r="31569" s="9" customFormat="1" ht="21.95" customHeight="1" x14ac:dyDescent="0.15"/>
    <row r="31570" s="9" customFormat="1" ht="21.95" customHeight="1" x14ac:dyDescent="0.15"/>
    <row r="31571" s="9" customFormat="1" ht="21.95" customHeight="1" x14ac:dyDescent="0.15"/>
    <row r="31572" s="9" customFormat="1" ht="21.95" customHeight="1" x14ac:dyDescent="0.15"/>
    <row r="31573" s="9" customFormat="1" ht="21.95" customHeight="1" x14ac:dyDescent="0.15"/>
    <row r="31574" s="9" customFormat="1" ht="21.95" customHeight="1" x14ac:dyDescent="0.15"/>
    <row r="31575" s="9" customFormat="1" ht="21.95" customHeight="1" x14ac:dyDescent="0.15"/>
    <row r="31576" s="9" customFormat="1" ht="21.95" customHeight="1" x14ac:dyDescent="0.15"/>
    <row r="31577" s="9" customFormat="1" ht="21.95" customHeight="1" x14ac:dyDescent="0.15"/>
    <row r="31578" s="9" customFormat="1" ht="21.95" customHeight="1" x14ac:dyDescent="0.15"/>
    <row r="31579" s="9" customFormat="1" ht="21.95" customHeight="1" x14ac:dyDescent="0.15"/>
    <row r="31580" s="9" customFormat="1" ht="21.95" customHeight="1" x14ac:dyDescent="0.15"/>
    <row r="31581" s="9" customFormat="1" ht="21.95" customHeight="1" x14ac:dyDescent="0.15"/>
    <row r="31582" s="9" customFormat="1" ht="21.95" customHeight="1" x14ac:dyDescent="0.15"/>
    <row r="31583" s="9" customFormat="1" ht="21.95" customHeight="1" x14ac:dyDescent="0.15"/>
    <row r="31584" s="9" customFormat="1" ht="21.95" customHeight="1" x14ac:dyDescent="0.15"/>
    <row r="31585" s="9" customFormat="1" ht="21.95" customHeight="1" x14ac:dyDescent="0.15"/>
    <row r="31586" s="9" customFormat="1" ht="21.95" customHeight="1" x14ac:dyDescent="0.15"/>
    <row r="31587" s="9" customFormat="1" ht="21.95" customHeight="1" x14ac:dyDescent="0.15"/>
    <row r="31588" s="9" customFormat="1" ht="21.95" customHeight="1" x14ac:dyDescent="0.15"/>
    <row r="31589" s="9" customFormat="1" ht="21.95" customHeight="1" x14ac:dyDescent="0.15"/>
    <row r="31590" s="9" customFormat="1" ht="21.95" customHeight="1" x14ac:dyDescent="0.15"/>
    <row r="31591" s="9" customFormat="1" ht="21.95" customHeight="1" x14ac:dyDescent="0.15"/>
    <row r="31592" s="9" customFormat="1" ht="21.95" customHeight="1" x14ac:dyDescent="0.15"/>
    <row r="31593" s="9" customFormat="1" ht="21.95" customHeight="1" x14ac:dyDescent="0.15"/>
    <row r="31594" s="9" customFormat="1" ht="21.95" customHeight="1" x14ac:dyDescent="0.15"/>
    <row r="31595" s="9" customFormat="1" ht="21.95" customHeight="1" x14ac:dyDescent="0.15"/>
    <row r="31596" s="9" customFormat="1" ht="21.95" customHeight="1" x14ac:dyDescent="0.15"/>
    <row r="31597" s="9" customFormat="1" ht="21.95" customHeight="1" x14ac:dyDescent="0.15"/>
    <row r="31598" s="9" customFormat="1" ht="21.95" customHeight="1" x14ac:dyDescent="0.15"/>
    <row r="31599" s="9" customFormat="1" ht="21.95" customHeight="1" x14ac:dyDescent="0.15"/>
    <row r="31600" s="9" customFormat="1" ht="21.95" customHeight="1" x14ac:dyDescent="0.15"/>
    <row r="31601" s="9" customFormat="1" ht="21.95" customHeight="1" x14ac:dyDescent="0.15"/>
    <row r="31602" s="9" customFormat="1" ht="21.95" customHeight="1" x14ac:dyDescent="0.15"/>
    <row r="31603" s="9" customFormat="1" ht="21.95" customHeight="1" x14ac:dyDescent="0.15"/>
    <row r="31604" s="9" customFormat="1" ht="21.95" customHeight="1" x14ac:dyDescent="0.15"/>
    <row r="31605" s="9" customFormat="1" ht="21.95" customHeight="1" x14ac:dyDescent="0.15"/>
    <row r="31606" s="9" customFormat="1" ht="35.1" customHeight="1" x14ac:dyDescent="0.15"/>
    <row r="31607" s="9" customFormat="1" ht="21.95" customHeight="1" x14ac:dyDescent="0.15"/>
    <row r="31608" s="9" customFormat="1" ht="21.95" customHeight="1" x14ac:dyDescent="0.15"/>
    <row r="31609" s="9" customFormat="1" ht="21.95" customHeight="1" x14ac:dyDescent="0.15"/>
    <row r="31610" s="9" customFormat="1" ht="21.95" customHeight="1" x14ac:dyDescent="0.15"/>
    <row r="31611" s="9" customFormat="1" ht="21.95" customHeight="1" x14ac:dyDescent="0.15"/>
    <row r="31612" s="9" customFormat="1" ht="21.95" customHeight="1" x14ac:dyDescent="0.15"/>
    <row r="31613" s="9" customFormat="1" ht="21.95" customHeight="1" x14ac:dyDescent="0.15"/>
    <row r="31614" s="9" customFormat="1" ht="21.95" customHeight="1" x14ac:dyDescent="0.15"/>
    <row r="31615" s="9" customFormat="1" ht="21.95" customHeight="1" x14ac:dyDescent="0.15"/>
    <row r="31616" s="9" customFormat="1" ht="21.95" customHeight="1" x14ac:dyDescent="0.15"/>
    <row r="31617" spans="3:3" s="9" customFormat="1" ht="21.95" customHeight="1" x14ac:dyDescent="0.15"/>
    <row r="31618" spans="3:3" s="9" customFormat="1" ht="21.95" customHeight="1" x14ac:dyDescent="0.15"/>
    <row r="31619" spans="3:3" s="9" customFormat="1" ht="21.95" customHeight="1" x14ac:dyDescent="0.15"/>
    <row r="31620" spans="3:3" s="9" customFormat="1" ht="21.95" customHeight="1" x14ac:dyDescent="0.15"/>
    <row r="31621" spans="3:3" s="9" customFormat="1" ht="21.95" customHeight="1" x14ac:dyDescent="0.15"/>
    <row r="31622" spans="3:3" s="9" customFormat="1" ht="21.95" customHeight="1" x14ac:dyDescent="0.15"/>
    <row r="31623" spans="3:3" s="9" customFormat="1" ht="21.95" customHeight="1" x14ac:dyDescent="0.15"/>
    <row r="31624" spans="3:3" s="9" customFormat="1" ht="21.95" customHeight="1" x14ac:dyDescent="0.15"/>
    <row r="31625" spans="3:3" s="9" customFormat="1" ht="21.95" customHeight="1" x14ac:dyDescent="0.15"/>
    <row r="31626" spans="3:3" s="9" customFormat="1" ht="21.95" customHeight="1" x14ac:dyDescent="0.15"/>
    <row r="31627" spans="3:3" s="9" customFormat="1" ht="21.95" customHeight="1" x14ac:dyDescent="0.15"/>
    <row r="31628" spans="3:3" s="9" customFormat="1" ht="21.95" customHeight="1" x14ac:dyDescent="0.15"/>
    <row r="31629" spans="3:3" s="9" customFormat="1" ht="21.95" customHeight="1" x14ac:dyDescent="0.15"/>
    <row r="31630" spans="3:3" s="8" customFormat="1" ht="21.95" customHeight="1" x14ac:dyDescent="0.15"/>
    <row r="31631" spans="3:3" s="8" customFormat="1" ht="21.95" customHeight="1" x14ac:dyDescent="0.15"/>
    <row r="31632" spans="3:3" s="8" customFormat="1" ht="21.95" customHeight="1" x14ac:dyDescent="0.15">
      <c r="C31632" s="101"/>
    </row>
    <row r="31633" spans="3:3" s="8" customFormat="1" ht="21.95" customHeight="1" x14ac:dyDescent="0.15">
      <c r="C31633" s="101"/>
    </row>
    <row r="31634" spans="3:3" s="8" customFormat="1" ht="21.95" customHeight="1" x14ac:dyDescent="0.15"/>
    <row r="31635" spans="3:3" s="8" customFormat="1" ht="21.95" customHeight="1" x14ac:dyDescent="0.15"/>
    <row r="31636" spans="3:3" s="8" customFormat="1" ht="21.95" customHeight="1" x14ac:dyDescent="0.15"/>
    <row r="31637" spans="3:3" s="8" customFormat="1" ht="21.95" customHeight="1" x14ac:dyDescent="0.15"/>
    <row r="31638" spans="3:3" s="8" customFormat="1" ht="21.95" customHeight="1" x14ac:dyDescent="0.15"/>
    <row r="31639" spans="3:3" s="8" customFormat="1" ht="21.95" customHeight="1" x14ac:dyDescent="0.15"/>
    <row r="31640" spans="3:3" s="8" customFormat="1" ht="21.95" customHeight="1" x14ac:dyDescent="0.15"/>
    <row r="31641" spans="3:3" s="9" customFormat="1" ht="21.95" customHeight="1" x14ac:dyDescent="0.15"/>
    <row r="31642" spans="3:3" s="9" customFormat="1" ht="21.95" customHeight="1" x14ac:dyDescent="0.15"/>
    <row r="31643" spans="3:3" s="9" customFormat="1" ht="21.95" customHeight="1" x14ac:dyDescent="0.15"/>
    <row r="31644" spans="3:3" s="9" customFormat="1" ht="21.95" customHeight="1" x14ac:dyDescent="0.15"/>
    <row r="31645" spans="3:3" s="8" customFormat="1" ht="21.95" customHeight="1" x14ac:dyDescent="0.15"/>
    <row r="31646" spans="3:3" s="8" customFormat="1" ht="21.95" customHeight="1" x14ac:dyDescent="0.15"/>
    <row r="31647" spans="3:3" s="8" customFormat="1" ht="21.95" customHeight="1" x14ac:dyDescent="0.15"/>
    <row r="31648" spans="3:3" s="8" customFormat="1" ht="21.95" customHeight="1" x14ac:dyDescent="0.15"/>
    <row r="31649" s="8" customFormat="1" ht="21.95" customHeight="1" x14ac:dyDescent="0.15"/>
    <row r="31650" s="8" customFormat="1" ht="21.95" customHeight="1" x14ac:dyDescent="0.15"/>
    <row r="31651" s="8" customFormat="1" ht="21.95" customHeight="1" x14ac:dyDescent="0.15"/>
    <row r="31652" s="8" customFormat="1" ht="21.95" customHeight="1" x14ac:dyDescent="0.15"/>
    <row r="31653" s="8" customFormat="1" ht="21.95" customHeight="1" x14ac:dyDescent="0.15"/>
    <row r="31654" s="8" customFormat="1" ht="21.95" customHeight="1" x14ac:dyDescent="0.15"/>
    <row r="31655" s="8" customFormat="1" ht="21.95" customHeight="1" x14ac:dyDescent="0.15"/>
    <row r="31656" s="8" customFormat="1" ht="32.1" customHeight="1" x14ac:dyDescent="0.15"/>
    <row r="31657" s="8" customFormat="1" ht="32.1" customHeight="1" x14ac:dyDescent="0.15"/>
    <row r="31658" s="8" customFormat="1" ht="32.1" customHeight="1" x14ac:dyDescent="0.15"/>
    <row r="31659" s="8" customFormat="1" ht="32.1" customHeight="1" x14ac:dyDescent="0.15"/>
    <row r="31660" s="8" customFormat="1" ht="32.1" customHeight="1" x14ac:dyDescent="0.15"/>
    <row r="31661" s="8" customFormat="1" ht="32.1" customHeight="1" x14ac:dyDescent="0.15"/>
    <row r="31662" s="9" customFormat="1" ht="32.1" customHeight="1" x14ac:dyDescent="0.15"/>
    <row r="31663" s="9" customFormat="1" ht="32.1" customHeight="1" x14ac:dyDescent="0.15"/>
    <row r="31664" s="9" customFormat="1" ht="32.1" customHeight="1" x14ac:dyDescent="0.15"/>
    <row r="31665" s="9" customFormat="1" ht="32.1" customHeight="1" x14ac:dyDescent="0.15"/>
    <row r="31666" s="9" customFormat="1" ht="21.95" customHeight="1" x14ac:dyDescent="0.15"/>
    <row r="31667" s="9" customFormat="1" ht="54" customHeight="1" x14ac:dyDescent="0.15"/>
    <row r="31668" s="9" customFormat="1" ht="21.95" customHeight="1" x14ac:dyDescent="0.15"/>
    <row r="31669" s="9" customFormat="1" ht="21.95" customHeight="1" x14ac:dyDescent="0.15"/>
    <row r="31670" s="9" customFormat="1" ht="21.95" customHeight="1" x14ac:dyDescent="0.15"/>
    <row r="31671" s="9" customFormat="1" ht="21.95" customHeight="1" x14ac:dyDescent="0.15"/>
    <row r="31672" s="9" customFormat="1" ht="21.95" customHeight="1" x14ac:dyDescent="0.15"/>
    <row r="31673" s="9" customFormat="1" ht="21.95" customHeight="1" x14ac:dyDescent="0.15"/>
    <row r="31674" s="9" customFormat="1" ht="21.95" customHeight="1" x14ac:dyDescent="0.15"/>
    <row r="31675" s="9" customFormat="1" ht="21.95" customHeight="1" x14ac:dyDescent="0.15"/>
    <row r="31676" s="9" customFormat="1" ht="21.95" customHeight="1" x14ac:dyDescent="0.15"/>
    <row r="31677" s="9" customFormat="1" ht="21.95" customHeight="1" x14ac:dyDescent="0.15"/>
    <row r="31678" s="9" customFormat="1" ht="21.95" customHeight="1" x14ac:dyDescent="0.15"/>
    <row r="31679" s="9" customFormat="1" ht="21.95" customHeight="1" x14ac:dyDescent="0.15"/>
    <row r="31680" s="9" customFormat="1" ht="21.95" customHeight="1" x14ac:dyDescent="0.15"/>
    <row r="31681" s="9" customFormat="1" ht="21.95" customHeight="1" x14ac:dyDescent="0.15"/>
    <row r="31682" s="9" customFormat="1" ht="21.95" customHeight="1" x14ac:dyDescent="0.15"/>
    <row r="31683" s="9" customFormat="1" ht="21.95" customHeight="1" x14ac:dyDescent="0.15"/>
    <row r="31684" s="9" customFormat="1" ht="21.95" customHeight="1" x14ac:dyDescent="0.15"/>
    <row r="31685" s="9" customFormat="1" ht="21.95" customHeight="1" x14ac:dyDescent="0.15"/>
    <row r="31686" s="9" customFormat="1" ht="21.95" customHeight="1" x14ac:dyDescent="0.15"/>
    <row r="31687" s="9" customFormat="1" ht="21.95" customHeight="1" x14ac:dyDescent="0.15"/>
    <row r="31688" s="9" customFormat="1" ht="21.95" customHeight="1" x14ac:dyDescent="0.15"/>
    <row r="31689" s="9" customFormat="1" ht="21.95" customHeight="1" x14ac:dyDescent="0.15"/>
    <row r="31690" s="9" customFormat="1" ht="21.95" customHeight="1" x14ac:dyDescent="0.15"/>
    <row r="31691" s="9" customFormat="1" ht="21.95" customHeight="1" x14ac:dyDescent="0.15"/>
    <row r="31692" s="9" customFormat="1" ht="21.95" customHeight="1" x14ac:dyDescent="0.15"/>
    <row r="31693" s="9" customFormat="1" ht="21.95" customHeight="1" x14ac:dyDescent="0.15"/>
    <row r="31694" s="9" customFormat="1" ht="21.95" customHeight="1" x14ac:dyDescent="0.15"/>
    <row r="31695" s="9" customFormat="1" ht="21.95" customHeight="1" x14ac:dyDescent="0.15"/>
    <row r="31696" s="9" customFormat="1" ht="21.95" customHeight="1" x14ac:dyDescent="0.15"/>
    <row r="31697" s="9" customFormat="1" ht="21.95" customHeight="1" x14ac:dyDescent="0.15"/>
    <row r="31698" s="9" customFormat="1" ht="21.95" customHeight="1" x14ac:dyDescent="0.15"/>
    <row r="31699" s="9" customFormat="1" ht="21.95" customHeight="1" x14ac:dyDescent="0.15"/>
    <row r="31700" s="9" customFormat="1" ht="21.95" customHeight="1" x14ac:dyDescent="0.15"/>
    <row r="31701" s="9" customFormat="1" ht="21.95" customHeight="1" x14ac:dyDescent="0.15"/>
    <row r="31702" s="9" customFormat="1" ht="21.95" customHeight="1" x14ac:dyDescent="0.15"/>
    <row r="31703" s="9" customFormat="1" ht="21.95" customHeight="1" x14ac:dyDescent="0.15"/>
    <row r="31704" s="9" customFormat="1" ht="21.95" customHeight="1" x14ac:dyDescent="0.15"/>
    <row r="31705" s="9" customFormat="1" ht="21.95" customHeight="1" x14ac:dyDescent="0.15"/>
    <row r="31706" s="9" customFormat="1" ht="21.95" customHeight="1" x14ac:dyDescent="0.15"/>
    <row r="31707" s="9" customFormat="1" ht="21.95" customHeight="1" x14ac:dyDescent="0.15"/>
    <row r="31708" s="9" customFormat="1" ht="21.95" customHeight="1" x14ac:dyDescent="0.15"/>
    <row r="31709" s="9" customFormat="1" ht="21.95" customHeight="1" x14ac:dyDescent="0.15"/>
    <row r="31710" s="9" customFormat="1" ht="21.95" customHeight="1" x14ac:dyDescent="0.15"/>
    <row r="31711" s="9" customFormat="1" ht="21.95" customHeight="1" x14ac:dyDescent="0.15"/>
    <row r="31712" s="9" customFormat="1" ht="21.95" customHeight="1" x14ac:dyDescent="0.15"/>
    <row r="31713" s="9" customFormat="1" ht="21.95" customHeight="1" x14ac:dyDescent="0.15"/>
    <row r="31714" s="9" customFormat="1" ht="21.95" customHeight="1" x14ac:dyDescent="0.15"/>
    <row r="31715" s="9" customFormat="1" ht="21.95" customHeight="1" x14ac:dyDescent="0.15"/>
    <row r="31716" s="9" customFormat="1" ht="21.95" customHeight="1" x14ac:dyDescent="0.15"/>
    <row r="31717" s="9" customFormat="1" ht="21.95" customHeight="1" x14ac:dyDescent="0.15"/>
    <row r="31718" s="9" customFormat="1" ht="35.1" customHeight="1" x14ac:dyDescent="0.15"/>
    <row r="31719" s="9" customFormat="1" ht="21.95" customHeight="1" x14ac:dyDescent="0.15"/>
    <row r="31720" s="9" customFormat="1" ht="21.95" customHeight="1" x14ac:dyDescent="0.15"/>
    <row r="31721" s="9" customFormat="1" ht="21.95" customHeight="1" x14ac:dyDescent="0.15"/>
    <row r="31722" s="9" customFormat="1" ht="21.95" customHeight="1" x14ac:dyDescent="0.15"/>
    <row r="31723" s="9" customFormat="1" ht="21.95" customHeight="1" x14ac:dyDescent="0.15"/>
    <row r="31724" s="9" customFormat="1" ht="21.95" customHeight="1" x14ac:dyDescent="0.15"/>
    <row r="31725" s="9" customFormat="1" ht="21.95" customHeight="1" x14ac:dyDescent="0.15"/>
    <row r="31726" s="9" customFormat="1" ht="21.95" customHeight="1" x14ac:dyDescent="0.15"/>
    <row r="31727" s="9" customFormat="1" ht="21.95" customHeight="1" x14ac:dyDescent="0.15"/>
    <row r="31728" s="9" customFormat="1" ht="21.95" customHeight="1" x14ac:dyDescent="0.15"/>
    <row r="31729" spans="3:3" s="9" customFormat="1" ht="21.95" customHeight="1" x14ac:dyDescent="0.15"/>
    <row r="31730" spans="3:3" s="9" customFormat="1" ht="21.95" customHeight="1" x14ac:dyDescent="0.15"/>
    <row r="31731" spans="3:3" s="9" customFormat="1" ht="21.95" customHeight="1" x14ac:dyDescent="0.15"/>
    <row r="31732" spans="3:3" s="9" customFormat="1" ht="21.95" customHeight="1" x14ac:dyDescent="0.15"/>
    <row r="31733" spans="3:3" s="9" customFormat="1" ht="21.95" customHeight="1" x14ac:dyDescent="0.15"/>
    <row r="31734" spans="3:3" s="9" customFormat="1" ht="21.95" customHeight="1" x14ac:dyDescent="0.15"/>
    <row r="31735" spans="3:3" s="9" customFormat="1" ht="21.95" customHeight="1" x14ac:dyDescent="0.15"/>
    <row r="31736" spans="3:3" s="9" customFormat="1" ht="21.95" customHeight="1" x14ac:dyDescent="0.15"/>
    <row r="31737" spans="3:3" s="9" customFormat="1" ht="21.95" customHeight="1" x14ac:dyDescent="0.15"/>
    <row r="31738" spans="3:3" s="9" customFormat="1" ht="21.95" customHeight="1" x14ac:dyDescent="0.15"/>
    <row r="31739" spans="3:3" s="9" customFormat="1" ht="21.95" customHeight="1" x14ac:dyDescent="0.15"/>
    <row r="31740" spans="3:3" s="9" customFormat="1" ht="21.95" customHeight="1" x14ac:dyDescent="0.15"/>
    <row r="31741" spans="3:3" s="9" customFormat="1" ht="21.95" customHeight="1" x14ac:dyDescent="0.15"/>
    <row r="31742" spans="3:3" s="8" customFormat="1" ht="21.95" customHeight="1" x14ac:dyDescent="0.15"/>
    <row r="31743" spans="3:3" s="8" customFormat="1" ht="21.95" customHeight="1" x14ac:dyDescent="0.15"/>
    <row r="31744" spans="3:3" s="8" customFormat="1" ht="21.95" customHeight="1" x14ac:dyDescent="0.15">
      <c r="C31744" s="101"/>
    </row>
    <row r="31745" spans="3:3" s="8" customFormat="1" ht="21.95" customHeight="1" x14ac:dyDescent="0.15">
      <c r="C31745" s="101"/>
    </row>
    <row r="31746" spans="3:3" s="8" customFormat="1" ht="21.95" customHeight="1" x14ac:dyDescent="0.15"/>
    <row r="31747" spans="3:3" s="8" customFormat="1" ht="21.95" customHeight="1" x14ac:dyDescent="0.15"/>
    <row r="31748" spans="3:3" s="8" customFormat="1" ht="21.95" customHeight="1" x14ac:dyDescent="0.15"/>
    <row r="31749" spans="3:3" s="8" customFormat="1" ht="21.95" customHeight="1" x14ac:dyDescent="0.15"/>
    <row r="31750" spans="3:3" s="8" customFormat="1" ht="21.95" customHeight="1" x14ac:dyDescent="0.15"/>
    <row r="31751" spans="3:3" s="8" customFormat="1" ht="21.95" customHeight="1" x14ac:dyDescent="0.15"/>
    <row r="31752" spans="3:3" s="8" customFormat="1" ht="21.95" customHeight="1" x14ac:dyDescent="0.15"/>
    <row r="31753" spans="3:3" s="9" customFormat="1" ht="21.95" customHeight="1" x14ac:dyDescent="0.15"/>
    <row r="31754" spans="3:3" s="9" customFormat="1" ht="21.95" customHeight="1" x14ac:dyDescent="0.15"/>
    <row r="31755" spans="3:3" s="9" customFormat="1" ht="21.95" customHeight="1" x14ac:dyDescent="0.15"/>
    <row r="31756" spans="3:3" s="9" customFormat="1" ht="21.95" customHeight="1" x14ac:dyDescent="0.15"/>
    <row r="31757" spans="3:3" s="8" customFormat="1" ht="21.95" customHeight="1" x14ac:dyDescent="0.15"/>
    <row r="31758" spans="3:3" s="8" customFormat="1" ht="21.95" customHeight="1" x14ac:dyDescent="0.15"/>
    <row r="31759" spans="3:3" s="8" customFormat="1" ht="21.95" customHeight="1" x14ac:dyDescent="0.15"/>
    <row r="31760" spans="3:3" s="8" customFormat="1" ht="21.95" customHeight="1" x14ac:dyDescent="0.15"/>
    <row r="31761" s="8" customFormat="1" ht="21.95" customHeight="1" x14ac:dyDescent="0.15"/>
    <row r="31762" s="8" customFormat="1" ht="21.95" customHeight="1" x14ac:dyDescent="0.15"/>
    <row r="31763" s="8" customFormat="1" ht="21.95" customHeight="1" x14ac:dyDescent="0.15"/>
    <row r="31764" s="8" customFormat="1" ht="21.95" customHeight="1" x14ac:dyDescent="0.15"/>
    <row r="31765" s="8" customFormat="1" ht="21.95" customHeight="1" x14ac:dyDescent="0.15"/>
    <row r="31766" s="8" customFormat="1" ht="21.95" customHeight="1" x14ac:dyDescent="0.15"/>
    <row r="31767" s="8" customFormat="1" ht="21.95" customHeight="1" x14ac:dyDescent="0.15"/>
    <row r="31768" s="8" customFormat="1" ht="32.1" customHeight="1" x14ac:dyDescent="0.15"/>
    <row r="31769" s="8" customFormat="1" ht="32.1" customHeight="1" x14ac:dyDescent="0.15"/>
    <row r="31770" s="8" customFormat="1" ht="32.1" customHeight="1" x14ac:dyDescent="0.15"/>
    <row r="31771" s="8" customFormat="1" ht="32.1" customHeight="1" x14ac:dyDescent="0.15"/>
    <row r="31772" s="8" customFormat="1" ht="32.1" customHeight="1" x14ac:dyDescent="0.15"/>
    <row r="31773" s="8" customFormat="1" ht="32.1" customHeight="1" x14ac:dyDescent="0.15"/>
    <row r="31774" s="9" customFormat="1" ht="32.1" customHeight="1" x14ac:dyDescent="0.15"/>
    <row r="31775" s="9" customFormat="1" ht="32.1" customHeight="1" x14ac:dyDescent="0.15"/>
    <row r="31776" s="9" customFormat="1" ht="32.1" customHeight="1" x14ac:dyDescent="0.15"/>
    <row r="31777" s="9" customFormat="1" ht="32.1" customHeight="1" x14ac:dyDescent="0.15"/>
    <row r="31778" s="9" customFormat="1" ht="21.95" customHeight="1" x14ac:dyDescent="0.15"/>
    <row r="31779" s="9" customFormat="1" ht="54" customHeight="1" x14ac:dyDescent="0.15"/>
    <row r="31780" s="9" customFormat="1" ht="21.95" customHeight="1" x14ac:dyDescent="0.15"/>
    <row r="31781" s="9" customFormat="1" ht="21.95" customHeight="1" x14ac:dyDescent="0.15"/>
    <row r="31782" s="9" customFormat="1" ht="21.95" customHeight="1" x14ac:dyDescent="0.15"/>
    <row r="31783" s="9" customFormat="1" ht="21.95" customHeight="1" x14ac:dyDescent="0.15"/>
    <row r="31784" s="9" customFormat="1" ht="21.95" customHeight="1" x14ac:dyDescent="0.15"/>
    <row r="31785" s="9" customFormat="1" ht="21.95" customHeight="1" x14ac:dyDescent="0.15"/>
    <row r="31786" s="9" customFormat="1" ht="21.95" customHeight="1" x14ac:dyDescent="0.15"/>
    <row r="31787" s="9" customFormat="1" ht="21.95" customHeight="1" x14ac:dyDescent="0.15"/>
    <row r="31788" s="9" customFormat="1" ht="21.95" customHeight="1" x14ac:dyDescent="0.15"/>
    <row r="31789" s="9" customFormat="1" ht="21.95" customHeight="1" x14ac:dyDescent="0.15"/>
    <row r="31790" s="9" customFormat="1" ht="21.95" customHeight="1" x14ac:dyDescent="0.15"/>
    <row r="31791" s="9" customFormat="1" ht="21.95" customHeight="1" x14ac:dyDescent="0.15"/>
    <row r="31792" s="9" customFormat="1" ht="21.95" customHeight="1" x14ac:dyDescent="0.15"/>
    <row r="31793" s="9" customFormat="1" ht="21.95" customHeight="1" x14ac:dyDescent="0.15"/>
    <row r="31794" s="9" customFormat="1" ht="21.95" customHeight="1" x14ac:dyDescent="0.15"/>
    <row r="31795" s="9" customFormat="1" ht="21.95" customHeight="1" x14ac:dyDescent="0.15"/>
    <row r="31796" s="9" customFormat="1" ht="21.95" customHeight="1" x14ac:dyDescent="0.15"/>
    <row r="31797" s="9" customFormat="1" ht="21.95" customHeight="1" x14ac:dyDescent="0.15"/>
    <row r="31798" s="9" customFormat="1" ht="21.95" customHeight="1" x14ac:dyDescent="0.15"/>
    <row r="31799" s="9" customFormat="1" ht="21.95" customHeight="1" x14ac:dyDescent="0.15"/>
    <row r="31800" s="9" customFormat="1" ht="21.95" customHeight="1" x14ac:dyDescent="0.15"/>
    <row r="31801" s="9" customFormat="1" ht="21.95" customHeight="1" x14ac:dyDescent="0.15"/>
    <row r="31802" s="9" customFormat="1" ht="21.95" customHeight="1" x14ac:dyDescent="0.15"/>
    <row r="31803" s="9" customFormat="1" ht="21.95" customHeight="1" x14ac:dyDescent="0.15"/>
    <row r="31804" s="9" customFormat="1" ht="21.95" customHeight="1" x14ac:dyDescent="0.15"/>
    <row r="31805" s="9" customFormat="1" ht="21.95" customHeight="1" x14ac:dyDescent="0.15"/>
    <row r="31806" s="9" customFormat="1" ht="21.95" customHeight="1" x14ac:dyDescent="0.15"/>
    <row r="31807" s="9" customFormat="1" ht="21.95" customHeight="1" x14ac:dyDescent="0.15"/>
    <row r="31808" s="9" customFormat="1" ht="21.95" customHeight="1" x14ac:dyDescent="0.15"/>
    <row r="31809" s="9" customFormat="1" ht="21.95" customHeight="1" x14ac:dyDescent="0.15"/>
    <row r="31810" s="9" customFormat="1" ht="21.95" customHeight="1" x14ac:dyDescent="0.15"/>
    <row r="31811" s="9" customFormat="1" ht="21.95" customHeight="1" x14ac:dyDescent="0.15"/>
    <row r="31812" s="9" customFormat="1" ht="21.95" customHeight="1" x14ac:dyDescent="0.15"/>
    <row r="31813" s="9" customFormat="1" ht="21.95" customHeight="1" x14ac:dyDescent="0.15"/>
    <row r="31814" s="9" customFormat="1" ht="21.95" customHeight="1" x14ac:dyDescent="0.15"/>
    <row r="31815" s="9" customFormat="1" ht="21.95" customHeight="1" x14ac:dyDescent="0.15"/>
    <row r="31816" s="9" customFormat="1" ht="21.95" customHeight="1" x14ac:dyDescent="0.15"/>
    <row r="31817" s="9" customFormat="1" ht="21.95" customHeight="1" x14ac:dyDescent="0.15"/>
    <row r="31818" s="9" customFormat="1" ht="21.95" customHeight="1" x14ac:dyDescent="0.15"/>
    <row r="31819" s="9" customFormat="1" ht="21.95" customHeight="1" x14ac:dyDescent="0.15"/>
    <row r="31820" s="9" customFormat="1" ht="21.95" customHeight="1" x14ac:dyDescent="0.15"/>
    <row r="31821" s="9" customFormat="1" ht="21.95" customHeight="1" x14ac:dyDescent="0.15"/>
    <row r="31822" s="9" customFormat="1" ht="21.95" customHeight="1" x14ac:dyDescent="0.15"/>
    <row r="31823" s="9" customFormat="1" ht="21.95" customHeight="1" x14ac:dyDescent="0.15"/>
    <row r="31824" s="9" customFormat="1" ht="21.95" customHeight="1" x14ac:dyDescent="0.15"/>
    <row r="31825" s="9" customFormat="1" ht="21.95" customHeight="1" x14ac:dyDescent="0.15"/>
    <row r="31826" s="9" customFormat="1" ht="21.95" customHeight="1" x14ac:dyDescent="0.15"/>
    <row r="31827" s="9" customFormat="1" ht="21.95" customHeight="1" x14ac:dyDescent="0.15"/>
    <row r="31828" s="9" customFormat="1" ht="21.95" customHeight="1" x14ac:dyDescent="0.15"/>
    <row r="31829" s="9" customFormat="1" ht="21.95" customHeight="1" x14ac:dyDescent="0.15"/>
    <row r="31830" s="9" customFormat="1" ht="35.1" customHeight="1" x14ac:dyDescent="0.15"/>
    <row r="31831" s="9" customFormat="1" ht="21.95" customHeight="1" x14ac:dyDescent="0.15"/>
    <row r="31832" s="9" customFormat="1" ht="21.95" customHeight="1" x14ac:dyDescent="0.15"/>
    <row r="31833" s="9" customFormat="1" ht="21.95" customHeight="1" x14ac:dyDescent="0.15"/>
    <row r="31834" s="9" customFormat="1" ht="21.95" customHeight="1" x14ac:dyDescent="0.15"/>
    <row r="31835" s="9" customFormat="1" ht="21.95" customHeight="1" x14ac:dyDescent="0.15"/>
    <row r="31836" s="9" customFormat="1" ht="21.95" customHeight="1" x14ac:dyDescent="0.15"/>
    <row r="31837" s="9" customFormat="1" ht="21.95" customHeight="1" x14ac:dyDescent="0.15"/>
    <row r="31838" s="9" customFormat="1" ht="21.95" customHeight="1" x14ac:dyDescent="0.15"/>
    <row r="31839" s="9" customFormat="1" ht="21.95" customHeight="1" x14ac:dyDescent="0.15"/>
    <row r="31840" s="9" customFormat="1" ht="21.95" customHeight="1" x14ac:dyDescent="0.15"/>
    <row r="31841" spans="3:3" s="9" customFormat="1" ht="21.95" customHeight="1" x14ac:dyDescent="0.15"/>
    <row r="31842" spans="3:3" s="9" customFormat="1" ht="21.95" customHeight="1" x14ac:dyDescent="0.15"/>
    <row r="31843" spans="3:3" s="9" customFormat="1" ht="21.95" customHeight="1" x14ac:dyDescent="0.15"/>
    <row r="31844" spans="3:3" s="9" customFormat="1" ht="21.95" customHeight="1" x14ac:dyDescent="0.15"/>
    <row r="31845" spans="3:3" s="9" customFormat="1" ht="21.95" customHeight="1" x14ac:dyDescent="0.15"/>
    <row r="31846" spans="3:3" s="9" customFormat="1" ht="21.95" customHeight="1" x14ac:dyDescent="0.15"/>
    <row r="31847" spans="3:3" s="9" customFormat="1" ht="21.95" customHeight="1" x14ac:dyDescent="0.15"/>
    <row r="31848" spans="3:3" s="9" customFormat="1" ht="21.95" customHeight="1" x14ac:dyDescent="0.15"/>
    <row r="31849" spans="3:3" s="9" customFormat="1" ht="21.95" customHeight="1" x14ac:dyDescent="0.15"/>
    <row r="31850" spans="3:3" s="9" customFormat="1" ht="21.95" customHeight="1" x14ac:dyDescent="0.15"/>
    <row r="31851" spans="3:3" s="9" customFormat="1" ht="21.95" customHeight="1" x14ac:dyDescent="0.15"/>
    <row r="31852" spans="3:3" s="9" customFormat="1" ht="21.95" customHeight="1" x14ac:dyDescent="0.15"/>
    <row r="31853" spans="3:3" s="9" customFormat="1" ht="21.95" customHeight="1" x14ac:dyDescent="0.15"/>
    <row r="31854" spans="3:3" s="8" customFormat="1" ht="21.95" customHeight="1" x14ac:dyDescent="0.15"/>
    <row r="31855" spans="3:3" s="8" customFormat="1" ht="21.95" customHeight="1" x14ac:dyDescent="0.15"/>
    <row r="31856" spans="3:3" s="8" customFormat="1" ht="21.95" customHeight="1" x14ac:dyDescent="0.15">
      <c r="C31856" s="101"/>
    </row>
    <row r="31857" spans="3:3" s="8" customFormat="1" ht="21.95" customHeight="1" x14ac:dyDescent="0.15">
      <c r="C31857" s="101"/>
    </row>
    <row r="31858" spans="3:3" s="8" customFormat="1" ht="21.95" customHeight="1" x14ac:dyDescent="0.15"/>
    <row r="31859" spans="3:3" s="8" customFormat="1" ht="21.95" customHeight="1" x14ac:dyDescent="0.15"/>
    <row r="31860" spans="3:3" s="8" customFormat="1" ht="21.95" customHeight="1" x14ac:dyDescent="0.15"/>
    <row r="31861" spans="3:3" s="8" customFormat="1" ht="21.95" customHeight="1" x14ac:dyDescent="0.15"/>
    <row r="31862" spans="3:3" s="8" customFormat="1" ht="21.95" customHeight="1" x14ac:dyDescent="0.15"/>
    <row r="31863" spans="3:3" s="8" customFormat="1" ht="21.95" customHeight="1" x14ac:dyDescent="0.15"/>
    <row r="31864" spans="3:3" s="8" customFormat="1" ht="21.95" customHeight="1" x14ac:dyDescent="0.15"/>
    <row r="31865" spans="3:3" s="9" customFormat="1" ht="21.95" customHeight="1" x14ac:dyDescent="0.15"/>
    <row r="31866" spans="3:3" s="9" customFormat="1" ht="21.95" customHeight="1" x14ac:dyDescent="0.15"/>
    <row r="31867" spans="3:3" s="9" customFormat="1" ht="21.95" customHeight="1" x14ac:dyDescent="0.15"/>
    <row r="31868" spans="3:3" s="9" customFormat="1" ht="21.95" customHeight="1" x14ac:dyDescent="0.15"/>
    <row r="31869" spans="3:3" s="8" customFormat="1" ht="21.95" customHeight="1" x14ac:dyDescent="0.15"/>
    <row r="31870" spans="3:3" s="8" customFormat="1" ht="21.95" customHeight="1" x14ac:dyDescent="0.15"/>
    <row r="31871" spans="3:3" s="8" customFormat="1" ht="21.95" customHeight="1" x14ac:dyDescent="0.15"/>
    <row r="31872" spans="3:3" s="8" customFormat="1" ht="21.95" customHeight="1" x14ac:dyDescent="0.15"/>
    <row r="31873" s="8" customFormat="1" ht="21.95" customHeight="1" x14ac:dyDescent="0.15"/>
    <row r="31874" s="8" customFormat="1" ht="21.95" customHeight="1" x14ac:dyDescent="0.15"/>
    <row r="31875" s="8" customFormat="1" ht="21.95" customHeight="1" x14ac:dyDescent="0.15"/>
    <row r="31876" s="8" customFormat="1" ht="21.95" customHeight="1" x14ac:dyDescent="0.15"/>
    <row r="31877" s="8" customFormat="1" ht="21.95" customHeight="1" x14ac:dyDescent="0.15"/>
    <row r="31878" s="8" customFormat="1" ht="21.95" customHeight="1" x14ac:dyDescent="0.15"/>
    <row r="31879" s="8" customFormat="1" ht="21.95" customHeight="1" x14ac:dyDescent="0.15"/>
    <row r="31880" s="8" customFormat="1" ht="32.1" customHeight="1" x14ac:dyDescent="0.15"/>
    <row r="31881" s="8" customFormat="1" ht="32.1" customHeight="1" x14ac:dyDescent="0.15"/>
    <row r="31882" s="8" customFormat="1" ht="32.1" customHeight="1" x14ac:dyDescent="0.15"/>
    <row r="31883" s="8" customFormat="1" ht="32.1" customHeight="1" x14ac:dyDescent="0.15"/>
    <row r="31884" s="8" customFormat="1" ht="32.1" customHeight="1" x14ac:dyDescent="0.15"/>
    <row r="31885" s="8" customFormat="1" ht="32.1" customHeight="1" x14ac:dyDescent="0.15"/>
    <row r="31886" s="9" customFormat="1" ht="32.1" customHeight="1" x14ac:dyDescent="0.15"/>
    <row r="31887" s="9" customFormat="1" ht="32.1" customHeight="1" x14ac:dyDescent="0.15"/>
    <row r="31888" s="9" customFormat="1" ht="32.1" customHeight="1" x14ac:dyDescent="0.15"/>
    <row r="31889" s="9" customFormat="1" ht="32.1" customHeight="1" x14ac:dyDescent="0.15"/>
    <row r="31890" s="9" customFormat="1" ht="21.95" customHeight="1" x14ac:dyDescent="0.15"/>
    <row r="31891" s="9" customFormat="1" ht="54" customHeight="1" x14ac:dyDescent="0.15"/>
    <row r="31892" s="9" customFormat="1" ht="21.95" customHeight="1" x14ac:dyDescent="0.15"/>
    <row r="31893" s="9" customFormat="1" ht="21.95" customHeight="1" x14ac:dyDescent="0.15"/>
    <row r="31894" s="9" customFormat="1" ht="21.95" customHeight="1" x14ac:dyDescent="0.15"/>
    <row r="31895" s="9" customFormat="1" ht="21.95" customHeight="1" x14ac:dyDescent="0.15"/>
    <row r="31896" s="9" customFormat="1" ht="21.95" customHeight="1" x14ac:dyDescent="0.15"/>
    <row r="31897" s="9" customFormat="1" ht="21.95" customHeight="1" x14ac:dyDescent="0.15"/>
    <row r="31898" s="9" customFormat="1" ht="21.95" customHeight="1" x14ac:dyDescent="0.15"/>
    <row r="31899" s="9" customFormat="1" ht="21.95" customHeight="1" x14ac:dyDescent="0.15"/>
    <row r="31900" s="9" customFormat="1" ht="21.95" customHeight="1" x14ac:dyDescent="0.15"/>
    <row r="31901" s="9" customFormat="1" ht="21.95" customHeight="1" x14ac:dyDescent="0.15"/>
    <row r="31902" s="9" customFormat="1" ht="21.95" customHeight="1" x14ac:dyDescent="0.15"/>
    <row r="31903" s="9" customFormat="1" ht="21.95" customHeight="1" x14ac:dyDescent="0.15"/>
    <row r="31904" s="9" customFormat="1" ht="21.95" customHeight="1" x14ac:dyDescent="0.15"/>
    <row r="31905" s="9" customFormat="1" ht="21.95" customHeight="1" x14ac:dyDescent="0.15"/>
    <row r="31906" s="9" customFormat="1" ht="21.95" customHeight="1" x14ac:dyDescent="0.15"/>
    <row r="31907" s="9" customFormat="1" ht="21.95" customHeight="1" x14ac:dyDescent="0.15"/>
    <row r="31908" s="9" customFormat="1" ht="21.95" customHeight="1" x14ac:dyDescent="0.15"/>
    <row r="31909" s="9" customFormat="1" ht="21.95" customHeight="1" x14ac:dyDescent="0.15"/>
    <row r="31910" s="9" customFormat="1" ht="21.95" customHeight="1" x14ac:dyDescent="0.15"/>
    <row r="31911" s="9" customFormat="1" ht="21.95" customHeight="1" x14ac:dyDescent="0.15"/>
    <row r="31912" s="9" customFormat="1" ht="21.95" customHeight="1" x14ac:dyDescent="0.15"/>
    <row r="31913" s="9" customFormat="1" ht="21.95" customHeight="1" x14ac:dyDescent="0.15"/>
    <row r="31914" s="9" customFormat="1" ht="21.95" customHeight="1" x14ac:dyDescent="0.15"/>
    <row r="31915" s="9" customFormat="1" ht="21.95" customHeight="1" x14ac:dyDescent="0.15"/>
    <row r="31916" s="9" customFormat="1" ht="21.95" customHeight="1" x14ac:dyDescent="0.15"/>
    <row r="31917" s="9" customFormat="1" ht="21.95" customHeight="1" x14ac:dyDescent="0.15"/>
    <row r="31918" s="9" customFormat="1" ht="21.95" customHeight="1" x14ac:dyDescent="0.15"/>
    <row r="31919" s="9" customFormat="1" ht="21.95" customHeight="1" x14ac:dyDescent="0.15"/>
    <row r="31920" s="9" customFormat="1" ht="21.95" customHeight="1" x14ac:dyDescent="0.15"/>
    <row r="31921" s="9" customFormat="1" ht="21.95" customHeight="1" x14ac:dyDescent="0.15"/>
    <row r="31922" s="9" customFormat="1" ht="21.95" customHeight="1" x14ac:dyDescent="0.15"/>
    <row r="31923" s="9" customFormat="1" ht="21.95" customHeight="1" x14ac:dyDescent="0.15"/>
    <row r="31924" s="9" customFormat="1" ht="21.95" customHeight="1" x14ac:dyDescent="0.15"/>
    <row r="31925" s="9" customFormat="1" ht="21.95" customHeight="1" x14ac:dyDescent="0.15"/>
    <row r="31926" s="9" customFormat="1" ht="21.95" customHeight="1" x14ac:dyDescent="0.15"/>
    <row r="31927" s="9" customFormat="1" ht="21.95" customHeight="1" x14ac:dyDescent="0.15"/>
    <row r="31928" s="9" customFormat="1" ht="21.95" customHeight="1" x14ac:dyDescent="0.15"/>
    <row r="31929" s="9" customFormat="1" ht="21.95" customHeight="1" x14ac:dyDescent="0.15"/>
    <row r="31930" s="9" customFormat="1" ht="21.95" customHeight="1" x14ac:dyDescent="0.15"/>
    <row r="31931" s="9" customFormat="1" ht="21.95" customHeight="1" x14ac:dyDescent="0.15"/>
    <row r="31932" s="9" customFormat="1" ht="21.95" customHeight="1" x14ac:dyDescent="0.15"/>
    <row r="31933" s="9" customFormat="1" ht="21.95" customHeight="1" x14ac:dyDescent="0.15"/>
    <row r="31934" s="9" customFormat="1" ht="21.95" customHeight="1" x14ac:dyDescent="0.15"/>
    <row r="31935" s="9" customFormat="1" ht="21.95" customHeight="1" x14ac:dyDescent="0.15"/>
    <row r="31936" s="9" customFormat="1" ht="21.95" customHeight="1" x14ac:dyDescent="0.15"/>
    <row r="31937" s="9" customFormat="1" ht="21.95" customHeight="1" x14ac:dyDescent="0.15"/>
    <row r="31938" s="9" customFormat="1" ht="21.95" customHeight="1" x14ac:dyDescent="0.15"/>
    <row r="31939" s="9" customFormat="1" ht="21.95" customHeight="1" x14ac:dyDescent="0.15"/>
    <row r="31940" s="9" customFormat="1" ht="21.95" customHeight="1" x14ac:dyDescent="0.15"/>
    <row r="31941" s="9" customFormat="1" ht="21.95" customHeight="1" x14ac:dyDescent="0.15"/>
    <row r="31942" s="9" customFormat="1" ht="35.1" customHeight="1" x14ac:dyDescent="0.15"/>
    <row r="31943" s="9" customFormat="1" ht="21.95" customHeight="1" x14ac:dyDescent="0.15"/>
    <row r="31944" s="9" customFormat="1" ht="21.95" customHeight="1" x14ac:dyDescent="0.15"/>
    <row r="31945" s="9" customFormat="1" ht="21.95" customHeight="1" x14ac:dyDescent="0.15"/>
    <row r="31946" s="9" customFormat="1" ht="21.95" customHeight="1" x14ac:dyDescent="0.15"/>
    <row r="31947" s="9" customFormat="1" ht="21.95" customHeight="1" x14ac:dyDescent="0.15"/>
    <row r="31948" s="9" customFormat="1" ht="21.95" customHeight="1" x14ac:dyDescent="0.15"/>
    <row r="31949" s="9" customFormat="1" ht="21.95" customHeight="1" x14ac:dyDescent="0.15"/>
    <row r="31950" s="9" customFormat="1" ht="21.95" customHeight="1" x14ac:dyDescent="0.15"/>
    <row r="31951" s="9" customFormat="1" ht="21.95" customHeight="1" x14ac:dyDescent="0.15"/>
    <row r="31952" s="9" customFormat="1" ht="21.95" customHeight="1" x14ac:dyDescent="0.15"/>
    <row r="31953" spans="3:3" s="9" customFormat="1" ht="21.95" customHeight="1" x14ac:dyDescent="0.15"/>
    <row r="31954" spans="3:3" s="9" customFormat="1" ht="21.95" customHeight="1" x14ac:dyDescent="0.15"/>
    <row r="31955" spans="3:3" s="9" customFormat="1" ht="21.95" customHeight="1" x14ac:dyDescent="0.15"/>
    <row r="31956" spans="3:3" s="9" customFormat="1" ht="21.95" customHeight="1" x14ac:dyDescent="0.15"/>
    <row r="31957" spans="3:3" s="9" customFormat="1" ht="21.95" customHeight="1" x14ac:dyDescent="0.15"/>
    <row r="31958" spans="3:3" s="9" customFormat="1" ht="21.95" customHeight="1" x14ac:dyDescent="0.15"/>
    <row r="31959" spans="3:3" s="9" customFormat="1" ht="21.95" customHeight="1" x14ac:dyDescent="0.15"/>
    <row r="31960" spans="3:3" s="9" customFormat="1" ht="21.95" customHeight="1" x14ac:dyDescent="0.15"/>
    <row r="31961" spans="3:3" s="9" customFormat="1" ht="21.95" customHeight="1" x14ac:dyDescent="0.15"/>
    <row r="31962" spans="3:3" s="9" customFormat="1" ht="21.95" customHeight="1" x14ac:dyDescent="0.15"/>
    <row r="31963" spans="3:3" s="9" customFormat="1" ht="21.95" customHeight="1" x14ac:dyDescent="0.15"/>
    <row r="31964" spans="3:3" s="9" customFormat="1" ht="21.95" customHeight="1" x14ac:dyDescent="0.15"/>
    <row r="31965" spans="3:3" s="9" customFormat="1" ht="21.95" customHeight="1" x14ac:dyDescent="0.15"/>
    <row r="31966" spans="3:3" s="8" customFormat="1" ht="21.95" customHeight="1" x14ac:dyDescent="0.15"/>
    <row r="31967" spans="3:3" s="8" customFormat="1" ht="21.95" customHeight="1" x14ac:dyDescent="0.15"/>
    <row r="31968" spans="3:3" s="8" customFormat="1" ht="21.95" customHeight="1" x14ac:dyDescent="0.15">
      <c r="C31968" s="101"/>
    </row>
    <row r="31969" spans="3:3" s="8" customFormat="1" ht="21.95" customHeight="1" x14ac:dyDescent="0.15">
      <c r="C31969" s="101"/>
    </row>
    <row r="31970" spans="3:3" s="8" customFormat="1" ht="21.95" customHeight="1" x14ac:dyDescent="0.15"/>
    <row r="31971" spans="3:3" s="8" customFormat="1" ht="21.95" customHeight="1" x14ac:dyDescent="0.15"/>
    <row r="31972" spans="3:3" s="8" customFormat="1" ht="21.95" customHeight="1" x14ac:dyDescent="0.15"/>
    <row r="31973" spans="3:3" s="8" customFormat="1" ht="21.95" customHeight="1" x14ac:dyDescent="0.15"/>
    <row r="31974" spans="3:3" s="8" customFormat="1" ht="21.95" customHeight="1" x14ac:dyDescent="0.15"/>
    <row r="31975" spans="3:3" s="8" customFormat="1" ht="21.95" customHeight="1" x14ac:dyDescent="0.15"/>
    <row r="31976" spans="3:3" s="8" customFormat="1" ht="21.95" customHeight="1" x14ac:dyDescent="0.15"/>
    <row r="31977" spans="3:3" s="9" customFormat="1" ht="21.95" customHeight="1" x14ac:dyDescent="0.15"/>
    <row r="31978" spans="3:3" s="9" customFormat="1" ht="21.95" customHeight="1" x14ac:dyDescent="0.15"/>
    <row r="31979" spans="3:3" s="9" customFormat="1" ht="21.95" customHeight="1" x14ac:dyDescent="0.15"/>
    <row r="31980" spans="3:3" s="9" customFormat="1" ht="21.95" customHeight="1" x14ac:dyDescent="0.15"/>
    <row r="31981" spans="3:3" s="8" customFormat="1" ht="21.95" customHeight="1" x14ac:dyDescent="0.15"/>
    <row r="31982" spans="3:3" s="8" customFormat="1" ht="21.95" customHeight="1" x14ac:dyDescent="0.15"/>
    <row r="31983" spans="3:3" s="8" customFormat="1" ht="21.95" customHeight="1" x14ac:dyDescent="0.15"/>
    <row r="31984" spans="3:3" s="8" customFormat="1" ht="21.95" customHeight="1" x14ac:dyDescent="0.15"/>
    <row r="31985" s="8" customFormat="1" ht="21.95" customHeight="1" x14ac:dyDescent="0.15"/>
    <row r="31986" s="8" customFormat="1" ht="21.95" customHeight="1" x14ac:dyDescent="0.15"/>
    <row r="31987" s="8" customFormat="1" ht="21.95" customHeight="1" x14ac:dyDescent="0.15"/>
    <row r="31988" s="8" customFormat="1" ht="21.95" customHeight="1" x14ac:dyDescent="0.15"/>
    <row r="31989" s="8" customFormat="1" ht="21.95" customHeight="1" x14ac:dyDescent="0.15"/>
    <row r="31990" s="8" customFormat="1" ht="21.95" customHeight="1" x14ac:dyDescent="0.15"/>
    <row r="31991" s="8" customFormat="1" ht="21.95" customHeight="1" x14ac:dyDescent="0.15"/>
    <row r="31992" s="8" customFormat="1" ht="32.1" customHeight="1" x14ac:dyDescent="0.15"/>
    <row r="31993" s="8" customFormat="1" ht="32.1" customHeight="1" x14ac:dyDescent="0.15"/>
    <row r="31994" s="8" customFormat="1" ht="32.1" customHeight="1" x14ac:dyDescent="0.15"/>
    <row r="31995" s="8" customFormat="1" ht="32.1" customHeight="1" x14ac:dyDescent="0.15"/>
    <row r="31996" s="8" customFormat="1" ht="32.1" customHeight="1" x14ac:dyDescent="0.15"/>
    <row r="31997" s="8" customFormat="1" ht="32.1" customHeight="1" x14ac:dyDescent="0.15"/>
    <row r="31998" s="9" customFormat="1" ht="32.1" customHeight="1" x14ac:dyDescent="0.15"/>
    <row r="31999" s="9" customFormat="1" ht="32.1" customHeight="1" x14ac:dyDescent="0.15"/>
    <row r="32000" s="9" customFormat="1" ht="32.1" customHeight="1" x14ac:dyDescent="0.15"/>
    <row r="32001" s="9" customFormat="1" ht="32.1" customHeight="1" x14ac:dyDescent="0.15"/>
    <row r="32002" s="9" customFormat="1" ht="21.95" customHeight="1" x14ac:dyDescent="0.15"/>
    <row r="32003" s="9" customFormat="1" ht="54" customHeight="1" x14ac:dyDescent="0.15"/>
    <row r="32004" s="9" customFormat="1" ht="21.95" customHeight="1" x14ac:dyDescent="0.15"/>
    <row r="32005" s="9" customFormat="1" ht="21.95" customHeight="1" x14ac:dyDescent="0.15"/>
    <row r="32006" s="9" customFormat="1" ht="21.95" customHeight="1" x14ac:dyDescent="0.15"/>
    <row r="32007" s="9" customFormat="1" ht="21.95" customHeight="1" x14ac:dyDescent="0.15"/>
    <row r="32008" s="9" customFormat="1" ht="21.95" customHeight="1" x14ac:dyDescent="0.15"/>
    <row r="32009" s="9" customFormat="1" ht="21.95" customHeight="1" x14ac:dyDescent="0.15"/>
    <row r="32010" s="9" customFormat="1" ht="21.95" customHeight="1" x14ac:dyDescent="0.15"/>
    <row r="32011" s="9" customFormat="1" ht="21.95" customHeight="1" x14ac:dyDescent="0.15"/>
    <row r="32012" s="9" customFormat="1" ht="21.95" customHeight="1" x14ac:dyDescent="0.15"/>
    <row r="32013" s="9" customFormat="1" ht="21.95" customHeight="1" x14ac:dyDescent="0.15"/>
    <row r="32014" s="9" customFormat="1" ht="21.95" customHeight="1" x14ac:dyDescent="0.15"/>
    <row r="32015" s="9" customFormat="1" ht="21.95" customHeight="1" x14ac:dyDescent="0.15"/>
    <row r="32016" s="9" customFormat="1" ht="21.95" customHeight="1" x14ac:dyDescent="0.15"/>
    <row r="32017" s="9" customFormat="1" ht="21.95" customHeight="1" x14ac:dyDescent="0.15"/>
    <row r="32018" s="9" customFormat="1" ht="21.95" customHeight="1" x14ac:dyDescent="0.15"/>
    <row r="32019" s="9" customFormat="1" ht="21.95" customHeight="1" x14ac:dyDescent="0.15"/>
    <row r="32020" s="9" customFormat="1" ht="21.95" customHeight="1" x14ac:dyDescent="0.15"/>
    <row r="32021" s="9" customFormat="1" ht="21.95" customHeight="1" x14ac:dyDescent="0.15"/>
    <row r="32022" s="9" customFormat="1" ht="21.95" customHeight="1" x14ac:dyDescent="0.15"/>
    <row r="32023" s="9" customFormat="1" ht="21.95" customHeight="1" x14ac:dyDescent="0.15"/>
    <row r="32024" s="9" customFormat="1" ht="21.95" customHeight="1" x14ac:dyDescent="0.15"/>
    <row r="32025" s="9" customFormat="1" ht="21.95" customHeight="1" x14ac:dyDescent="0.15"/>
    <row r="32026" s="9" customFormat="1" ht="21.95" customHeight="1" x14ac:dyDescent="0.15"/>
    <row r="32027" s="9" customFormat="1" ht="21.95" customHeight="1" x14ac:dyDescent="0.15"/>
    <row r="32028" s="9" customFormat="1" ht="21.95" customHeight="1" x14ac:dyDescent="0.15"/>
    <row r="32029" s="9" customFormat="1" ht="21.95" customHeight="1" x14ac:dyDescent="0.15"/>
    <row r="32030" s="9" customFormat="1" ht="21.95" customHeight="1" x14ac:dyDescent="0.15"/>
    <row r="32031" s="9" customFormat="1" ht="21.95" customHeight="1" x14ac:dyDescent="0.15"/>
    <row r="32032" s="9" customFormat="1" ht="21.95" customHeight="1" x14ac:dyDescent="0.15"/>
    <row r="32033" s="9" customFormat="1" ht="21.95" customHeight="1" x14ac:dyDescent="0.15"/>
    <row r="32034" s="9" customFormat="1" ht="21.95" customHeight="1" x14ac:dyDescent="0.15"/>
    <row r="32035" s="9" customFormat="1" ht="21.95" customHeight="1" x14ac:dyDescent="0.15"/>
    <row r="32036" s="9" customFormat="1" ht="21.95" customHeight="1" x14ac:dyDescent="0.15"/>
    <row r="32037" s="9" customFormat="1" ht="21.95" customHeight="1" x14ac:dyDescent="0.15"/>
    <row r="32038" s="9" customFormat="1" ht="21.95" customHeight="1" x14ac:dyDescent="0.15"/>
    <row r="32039" s="9" customFormat="1" ht="21.95" customHeight="1" x14ac:dyDescent="0.15"/>
    <row r="32040" s="9" customFormat="1" ht="21.95" customHeight="1" x14ac:dyDescent="0.15"/>
    <row r="32041" s="9" customFormat="1" ht="21.95" customHeight="1" x14ac:dyDescent="0.15"/>
    <row r="32042" s="9" customFormat="1" ht="21.95" customHeight="1" x14ac:dyDescent="0.15"/>
    <row r="32043" s="9" customFormat="1" ht="21.95" customHeight="1" x14ac:dyDescent="0.15"/>
    <row r="32044" s="9" customFormat="1" ht="21.95" customHeight="1" x14ac:dyDescent="0.15"/>
    <row r="32045" s="9" customFormat="1" ht="21.95" customHeight="1" x14ac:dyDescent="0.15"/>
    <row r="32046" s="9" customFormat="1" ht="21.95" customHeight="1" x14ac:dyDescent="0.15"/>
    <row r="32047" s="9" customFormat="1" ht="21.95" customHeight="1" x14ac:dyDescent="0.15"/>
    <row r="32048" s="9" customFormat="1" ht="21.95" customHeight="1" x14ac:dyDescent="0.15"/>
    <row r="32049" s="9" customFormat="1" ht="21.95" customHeight="1" x14ac:dyDescent="0.15"/>
    <row r="32050" s="9" customFormat="1" ht="21.95" customHeight="1" x14ac:dyDescent="0.15"/>
    <row r="32051" s="9" customFormat="1" ht="21.95" customHeight="1" x14ac:dyDescent="0.15"/>
    <row r="32052" s="9" customFormat="1" ht="21.95" customHeight="1" x14ac:dyDescent="0.15"/>
    <row r="32053" s="9" customFormat="1" ht="21.95" customHeight="1" x14ac:dyDescent="0.15"/>
    <row r="32054" s="9" customFormat="1" ht="35.1" customHeight="1" x14ac:dyDescent="0.15"/>
    <row r="32055" s="9" customFormat="1" ht="21.95" customHeight="1" x14ac:dyDescent="0.15"/>
    <row r="32056" s="9" customFormat="1" ht="21.95" customHeight="1" x14ac:dyDescent="0.15"/>
    <row r="32057" s="9" customFormat="1" ht="21.95" customHeight="1" x14ac:dyDescent="0.15"/>
    <row r="32058" s="9" customFormat="1" ht="21.95" customHeight="1" x14ac:dyDescent="0.15"/>
    <row r="32059" s="9" customFormat="1" ht="21.95" customHeight="1" x14ac:dyDescent="0.15"/>
    <row r="32060" s="9" customFormat="1" ht="21.95" customHeight="1" x14ac:dyDescent="0.15"/>
    <row r="32061" s="9" customFormat="1" ht="21.95" customHeight="1" x14ac:dyDescent="0.15"/>
    <row r="32062" s="9" customFormat="1" ht="21.95" customHeight="1" x14ac:dyDescent="0.15"/>
    <row r="32063" s="9" customFormat="1" ht="21.95" customHeight="1" x14ac:dyDescent="0.15"/>
    <row r="32064" s="9" customFormat="1" ht="21.95" customHeight="1" x14ac:dyDescent="0.15"/>
    <row r="32065" spans="3:3" s="9" customFormat="1" ht="21.95" customHeight="1" x14ac:dyDescent="0.15"/>
    <row r="32066" spans="3:3" s="9" customFormat="1" ht="21.95" customHeight="1" x14ac:dyDescent="0.15"/>
    <row r="32067" spans="3:3" s="9" customFormat="1" ht="21.95" customHeight="1" x14ac:dyDescent="0.15"/>
    <row r="32068" spans="3:3" s="9" customFormat="1" ht="21.95" customHeight="1" x14ac:dyDescent="0.15"/>
    <row r="32069" spans="3:3" s="9" customFormat="1" ht="21.95" customHeight="1" x14ac:dyDescent="0.15"/>
    <row r="32070" spans="3:3" s="9" customFormat="1" ht="21.95" customHeight="1" x14ac:dyDescent="0.15"/>
    <row r="32071" spans="3:3" s="9" customFormat="1" ht="21.95" customHeight="1" x14ac:dyDescent="0.15"/>
    <row r="32072" spans="3:3" s="9" customFormat="1" ht="21.95" customHeight="1" x14ac:dyDescent="0.15"/>
    <row r="32073" spans="3:3" s="9" customFormat="1" ht="21.95" customHeight="1" x14ac:dyDescent="0.15"/>
    <row r="32074" spans="3:3" s="9" customFormat="1" ht="21.95" customHeight="1" x14ac:dyDescent="0.15"/>
    <row r="32075" spans="3:3" s="9" customFormat="1" ht="21.95" customHeight="1" x14ac:dyDescent="0.15"/>
    <row r="32076" spans="3:3" s="9" customFormat="1" ht="21.95" customHeight="1" x14ac:dyDescent="0.15"/>
    <row r="32077" spans="3:3" s="9" customFormat="1" ht="21.95" customHeight="1" x14ac:dyDescent="0.15"/>
    <row r="32078" spans="3:3" s="8" customFormat="1" ht="21.95" customHeight="1" x14ac:dyDescent="0.15"/>
    <row r="32079" spans="3:3" s="8" customFormat="1" ht="21.95" customHeight="1" x14ac:dyDescent="0.15"/>
    <row r="32080" spans="3:3" s="8" customFormat="1" ht="21.95" customHeight="1" x14ac:dyDescent="0.15">
      <c r="C32080" s="101"/>
    </row>
    <row r="32081" spans="3:3" s="8" customFormat="1" ht="21.95" customHeight="1" x14ac:dyDescent="0.15">
      <c r="C32081" s="101"/>
    </row>
    <row r="32082" spans="3:3" s="8" customFormat="1" ht="21.95" customHeight="1" x14ac:dyDescent="0.15"/>
    <row r="32083" spans="3:3" s="8" customFormat="1" ht="21.95" customHeight="1" x14ac:dyDescent="0.15"/>
    <row r="32084" spans="3:3" s="8" customFormat="1" ht="21.95" customHeight="1" x14ac:dyDescent="0.15"/>
    <row r="32085" spans="3:3" s="8" customFormat="1" ht="21.95" customHeight="1" x14ac:dyDescent="0.15"/>
    <row r="32086" spans="3:3" s="8" customFormat="1" ht="21.95" customHeight="1" x14ac:dyDescent="0.15"/>
    <row r="32087" spans="3:3" s="8" customFormat="1" ht="21.95" customHeight="1" x14ac:dyDescent="0.15"/>
    <row r="32088" spans="3:3" s="8" customFormat="1" ht="21.95" customHeight="1" x14ac:dyDescent="0.15"/>
    <row r="32089" spans="3:3" s="9" customFormat="1" ht="21.95" customHeight="1" x14ac:dyDescent="0.15"/>
    <row r="32090" spans="3:3" s="9" customFormat="1" ht="21.95" customHeight="1" x14ac:dyDescent="0.15"/>
    <row r="32091" spans="3:3" s="9" customFormat="1" ht="21.95" customHeight="1" x14ac:dyDescent="0.15"/>
    <row r="32092" spans="3:3" s="9" customFormat="1" ht="21.95" customHeight="1" x14ac:dyDescent="0.15"/>
    <row r="32093" spans="3:3" s="8" customFormat="1" ht="21.95" customHeight="1" x14ac:dyDescent="0.15"/>
    <row r="32094" spans="3:3" s="8" customFormat="1" ht="21.95" customHeight="1" x14ac:dyDescent="0.15"/>
    <row r="32095" spans="3:3" s="8" customFormat="1" ht="21.95" customHeight="1" x14ac:dyDescent="0.15"/>
    <row r="32096" spans="3:3" s="8" customFormat="1" ht="21.95" customHeight="1" x14ac:dyDescent="0.15"/>
    <row r="32097" s="8" customFormat="1" ht="21.95" customHeight="1" x14ac:dyDescent="0.15"/>
    <row r="32098" s="8" customFormat="1" ht="21.95" customHeight="1" x14ac:dyDescent="0.15"/>
    <row r="32099" s="8" customFormat="1" ht="21.95" customHeight="1" x14ac:dyDescent="0.15"/>
    <row r="32100" s="8" customFormat="1" ht="21.95" customHeight="1" x14ac:dyDescent="0.15"/>
    <row r="32101" s="8" customFormat="1" ht="21.95" customHeight="1" x14ac:dyDescent="0.15"/>
    <row r="32102" s="8" customFormat="1" ht="21.95" customHeight="1" x14ac:dyDescent="0.15"/>
    <row r="32103" s="8" customFormat="1" ht="21.95" customHeight="1" x14ac:dyDescent="0.15"/>
    <row r="32104" s="8" customFormat="1" ht="32.1" customHeight="1" x14ac:dyDescent="0.15"/>
    <row r="32105" s="8" customFormat="1" ht="32.1" customHeight="1" x14ac:dyDescent="0.15"/>
    <row r="32106" s="8" customFormat="1" ht="32.1" customHeight="1" x14ac:dyDescent="0.15"/>
    <row r="32107" s="8" customFormat="1" ht="32.1" customHeight="1" x14ac:dyDescent="0.15"/>
    <row r="32108" s="8" customFormat="1" ht="32.1" customHeight="1" x14ac:dyDescent="0.15"/>
    <row r="32109" s="8" customFormat="1" ht="32.1" customHeight="1" x14ac:dyDescent="0.15"/>
    <row r="32110" s="9" customFormat="1" ht="32.1" customHeight="1" x14ac:dyDescent="0.15"/>
    <row r="32111" s="9" customFormat="1" ht="32.1" customHeight="1" x14ac:dyDescent="0.15"/>
    <row r="32112" s="9" customFormat="1" ht="32.1" customHeight="1" x14ac:dyDescent="0.15"/>
    <row r="32113" s="9" customFormat="1" ht="32.1" customHeight="1" x14ac:dyDescent="0.15"/>
    <row r="32114" s="9" customFormat="1" ht="21.95" customHeight="1" x14ac:dyDescent="0.15"/>
    <row r="32115" s="9" customFormat="1" ht="54" customHeight="1" x14ac:dyDescent="0.15"/>
    <row r="32116" s="9" customFormat="1" ht="21.95" customHeight="1" x14ac:dyDescent="0.15"/>
    <row r="32117" s="9" customFormat="1" ht="21.95" customHeight="1" x14ac:dyDescent="0.15"/>
    <row r="32118" s="9" customFormat="1" ht="21.95" customHeight="1" x14ac:dyDescent="0.15"/>
    <row r="32119" s="9" customFormat="1" ht="21.95" customHeight="1" x14ac:dyDescent="0.15"/>
    <row r="32120" s="9" customFormat="1" ht="21.95" customHeight="1" x14ac:dyDescent="0.15"/>
    <row r="32121" s="9" customFormat="1" ht="21.95" customHeight="1" x14ac:dyDescent="0.15"/>
    <row r="32122" s="9" customFormat="1" ht="21.95" customHeight="1" x14ac:dyDescent="0.15"/>
    <row r="32123" s="9" customFormat="1" ht="21.95" customHeight="1" x14ac:dyDescent="0.15"/>
    <row r="32124" s="9" customFormat="1" ht="21.95" customHeight="1" x14ac:dyDescent="0.15"/>
    <row r="32125" s="9" customFormat="1" ht="21.95" customHeight="1" x14ac:dyDescent="0.15"/>
    <row r="32126" s="9" customFormat="1" ht="21.95" customHeight="1" x14ac:dyDescent="0.15"/>
    <row r="32127" s="9" customFormat="1" ht="21.95" customHeight="1" x14ac:dyDescent="0.15"/>
    <row r="32128" s="9" customFormat="1" ht="21.95" customHeight="1" x14ac:dyDescent="0.15"/>
    <row r="32129" s="9" customFormat="1" ht="21.95" customHeight="1" x14ac:dyDescent="0.15"/>
    <row r="32130" s="9" customFormat="1" ht="21.95" customHeight="1" x14ac:dyDescent="0.15"/>
    <row r="32131" s="9" customFormat="1" ht="21.95" customHeight="1" x14ac:dyDescent="0.15"/>
    <row r="32132" s="9" customFormat="1" ht="21.95" customHeight="1" x14ac:dyDescent="0.15"/>
    <row r="32133" s="9" customFormat="1" ht="21.95" customHeight="1" x14ac:dyDescent="0.15"/>
    <row r="32134" s="9" customFormat="1" ht="21.95" customHeight="1" x14ac:dyDescent="0.15"/>
    <row r="32135" s="9" customFormat="1" ht="21.95" customHeight="1" x14ac:dyDescent="0.15"/>
    <row r="32136" s="9" customFormat="1" ht="21.95" customHeight="1" x14ac:dyDescent="0.15"/>
    <row r="32137" s="9" customFormat="1" ht="21.95" customHeight="1" x14ac:dyDescent="0.15"/>
    <row r="32138" s="9" customFormat="1" ht="21.95" customHeight="1" x14ac:dyDescent="0.15"/>
    <row r="32139" s="9" customFormat="1" ht="21.95" customHeight="1" x14ac:dyDescent="0.15"/>
    <row r="32140" s="9" customFormat="1" ht="21.95" customHeight="1" x14ac:dyDescent="0.15"/>
    <row r="32141" s="9" customFormat="1" ht="21.95" customHeight="1" x14ac:dyDescent="0.15"/>
    <row r="32142" s="9" customFormat="1" ht="21.95" customHeight="1" x14ac:dyDescent="0.15"/>
    <row r="32143" s="9" customFormat="1" ht="21.95" customHeight="1" x14ac:dyDescent="0.15"/>
    <row r="32144" s="9" customFormat="1" ht="21.95" customHeight="1" x14ac:dyDescent="0.15"/>
    <row r="32145" s="9" customFormat="1" ht="21.95" customHeight="1" x14ac:dyDescent="0.15"/>
    <row r="32146" s="9" customFormat="1" ht="21.95" customHeight="1" x14ac:dyDescent="0.15"/>
    <row r="32147" s="9" customFormat="1" ht="21.95" customHeight="1" x14ac:dyDescent="0.15"/>
    <row r="32148" s="9" customFormat="1" ht="21.95" customHeight="1" x14ac:dyDescent="0.15"/>
    <row r="32149" s="9" customFormat="1" ht="21.95" customHeight="1" x14ac:dyDescent="0.15"/>
    <row r="32150" s="9" customFormat="1" ht="21.95" customHeight="1" x14ac:dyDescent="0.15"/>
    <row r="32151" s="9" customFormat="1" ht="21.95" customHeight="1" x14ac:dyDescent="0.15"/>
    <row r="32152" s="9" customFormat="1" ht="21.95" customHeight="1" x14ac:dyDescent="0.15"/>
    <row r="32153" s="9" customFormat="1" ht="21.95" customHeight="1" x14ac:dyDescent="0.15"/>
    <row r="32154" s="9" customFormat="1" ht="21.95" customHeight="1" x14ac:dyDescent="0.15"/>
    <row r="32155" s="9" customFormat="1" ht="21.95" customHeight="1" x14ac:dyDescent="0.15"/>
    <row r="32156" s="9" customFormat="1" ht="21.95" customHeight="1" x14ac:dyDescent="0.15"/>
    <row r="32157" s="9" customFormat="1" ht="21.95" customHeight="1" x14ac:dyDescent="0.15"/>
    <row r="32158" s="9" customFormat="1" ht="21.95" customHeight="1" x14ac:dyDescent="0.15"/>
    <row r="32159" s="9" customFormat="1" ht="21.95" customHeight="1" x14ac:dyDescent="0.15"/>
    <row r="32160" s="9" customFormat="1" ht="21.95" customHeight="1" x14ac:dyDescent="0.15"/>
    <row r="32161" s="9" customFormat="1" ht="21.95" customHeight="1" x14ac:dyDescent="0.15"/>
    <row r="32162" s="9" customFormat="1" ht="21.95" customHeight="1" x14ac:dyDescent="0.15"/>
    <row r="32163" s="9" customFormat="1" ht="21.95" customHeight="1" x14ac:dyDescent="0.15"/>
    <row r="32164" s="9" customFormat="1" ht="21.95" customHeight="1" x14ac:dyDescent="0.15"/>
    <row r="32165" s="9" customFormat="1" ht="21.95" customHeight="1" x14ac:dyDescent="0.15"/>
    <row r="32166" s="9" customFormat="1" ht="35.1" customHeight="1" x14ac:dyDescent="0.15"/>
    <row r="32167" s="9" customFormat="1" ht="21.95" customHeight="1" x14ac:dyDescent="0.15"/>
    <row r="32168" s="9" customFormat="1" ht="21.95" customHeight="1" x14ac:dyDescent="0.15"/>
    <row r="32169" s="9" customFormat="1" ht="21.95" customHeight="1" x14ac:dyDescent="0.15"/>
    <row r="32170" s="9" customFormat="1" ht="21.95" customHeight="1" x14ac:dyDescent="0.15"/>
    <row r="32171" s="9" customFormat="1" ht="21.95" customHeight="1" x14ac:dyDescent="0.15"/>
    <row r="32172" s="9" customFormat="1" ht="21.95" customHeight="1" x14ac:dyDescent="0.15"/>
    <row r="32173" s="9" customFormat="1" ht="21.95" customHeight="1" x14ac:dyDescent="0.15"/>
    <row r="32174" s="9" customFormat="1" ht="21.95" customHeight="1" x14ac:dyDescent="0.15"/>
    <row r="32175" s="9" customFormat="1" ht="21.95" customHeight="1" x14ac:dyDescent="0.15"/>
    <row r="32176" s="9" customFormat="1" ht="21.95" customHeight="1" x14ac:dyDescent="0.15"/>
    <row r="32177" spans="3:3" s="9" customFormat="1" ht="21.95" customHeight="1" x14ac:dyDescent="0.15"/>
    <row r="32178" spans="3:3" s="9" customFormat="1" ht="21.95" customHeight="1" x14ac:dyDescent="0.15"/>
    <row r="32179" spans="3:3" s="9" customFormat="1" ht="21.95" customHeight="1" x14ac:dyDescent="0.15"/>
    <row r="32180" spans="3:3" s="9" customFormat="1" ht="21.95" customHeight="1" x14ac:dyDescent="0.15"/>
    <row r="32181" spans="3:3" s="9" customFormat="1" ht="21.95" customHeight="1" x14ac:dyDescent="0.15"/>
    <row r="32182" spans="3:3" s="9" customFormat="1" ht="21.95" customHeight="1" x14ac:dyDescent="0.15"/>
    <row r="32183" spans="3:3" s="9" customFormat="1" ht="21.95" customHeight="1" x14ac:dyDescent="0.15"/>
    <row r="32184" spans="3:3" s="9" customFormat="1" ht="21.95" customHeight="1" x14ac:dyDescent="0.15"/>
    <row r="32185" spans="3:3" s="9" customFormat="1" ht="21.95" customHeight="1" x14ac:dyDescent="0.15"/>
    <row r="32186" spans="3:3" s="9" customFormat="1" ht="21.95" customHeight="1" x14ac:dyDescent="0.15"/>
    <row r="32187" spans="3:3" s="9" customFormat="1" ht="21.95" customHeight="1" x14ac:dyDescent="0.15"/>
    <row r="32188" spans="3:3" s="9" customFormat="1" ht="21.95" customHeight="1" x14ac:dyDescent="0.15"/>
    <row r="32189" spans="3:3" s="9" customFormat="1" ht="21.95" customHeight="1" x14ac:dyDescent="0.15"/>
    <row r="32190" spans="3:3" s="8" customFormat="1" ht="21.95" customHeight="1" x14ac:dyDescent="0.15"/>
    <row r="32191" spans="3:3" s="8" customFormat="1" ht="21.95" customHeight="1" x14ac:dyDescent="0.15"/>
    <row r="32192" spans="3:3" s="8" customFormat="1" ht="21.95" customHeight="1" x14ac:dyDescent="0.15">
      <c r="C32192" s="101"/>
    </row>
    <row r="32193" spans="3:3" s="8" customFormat="1" ht="21.95" customHeight="1" x14ac:dyDescent="0.15">
      <c r="C32193" s="101"/>
    </row>
    <row r="32194" spans="3:3" s="8" customFormat="1" ht="21.95" customHeight="1" x14ac:dyDescent="0.15"/>
    <row r="32195" spans="3:3" s="8" customFormat="1" ht="21.95" customHeight="1" x14ac:dyDescent="0.15"/>
    <row r="32196" spans="3:3" s="8" customFormat="1" ht="21.95" customHeight="1" x14ac:dyDescent="0.15"/>
    <row r="32197" spans="3:3" s="8" customFormat="1" ht="21.95" customHeight="1" x14ac:dyDescent="0.15"/>
    <row r="32198" spans="3:3" s="8" customFormat="1" ht="21.95" customHeight="1" x14ac:dyDescent="0.15"/>
    <row r="32199" spans="3:3" s="8" customFormat="1" ht="21.95" customHeight="1" x14ac:dyDescent="0.15"/>
    <row r="32200" spans="3:3" s="8" customFormat="1" ht="21.95" customHeight="1" x14ac:dyDescent="0.15"/>
    <row r="32201" spans="3:3" s="9" customFormat="1" ht="21.95" customHeight="1" x14ac:dyDescent="0.15"/>
    <row r="32202" spans="3:3" s="9" customFormat="1" ht="21.95" customHeight="1" x14ac:dyDescent="0.15"/>
    <row r="32203" spans="3:3" s="9" customFormat="1" ht="21.95" customHeight="1" x14ac:dyDescent="0.15"/>
    <row r="32204" spans="3:3" s="9" customFormat="1" ht="21.95" customHeight="1" x14ac:dyDescent="0.15"/>
    <row r="32205" spans="3:3" s="8" customFormat="1" ht="21.95" customHeight="1" x14ac:dyDescent="0.15"/>
    <row r="32206" spans="3:3" s="8" customFormat="1" ht="21.95" customHeight="1" x14ac:dyDescent="0.15"/>
    <row r="32207" spans="3:3" s="8" customFormat="1" ht="21.95" customHeight="1" x14ac:dyDescent="0.15"/>
    <row r="32208" spans="3:3" s="8" customFormat="1" ht="21.95" customHeight="1" x14ac:dyDescent="0.15"/>
    <row r="32209" s="8" customFormat="1" ht="21.95" customHeight="1" x14ac:dyDescent="0.15"/>
    <row r="32210" s="8" customFormat="1" ht="21.95" customHeight="1" x14ac:dyDescent="0.15"/>
    <row r="32211" s="8" customFormat="1" ht="21.95" customHeight="1" x14ac:dyDescent="0.15"/>
    <row r="32212" s="8" customFormat="1" ht="21.95" customHeight="1" x14ac:dyDescent="0.15"/>
    <row r="32213" s="8" customFormat="1" ht="21.95" customHeight="1" x14ac:dyDescent="0.15"/>
    <row r="32214" s="8" customFormat="1" ht="21.95" customHeight="1" x14ac:dyDescent="0.15"/>
    <row r="32215" s="8" customFormat="1" ht="21.95" customHeight="1" x14ac:dyDescent="0.15"/>
    <row r="32216" s="8" customFormat="1" ht="32.1" customHeight="1" x14ac:dyDescent="0.15"/>
    <row r="32217" s="8" customFormat="1" ht="32.1" customHeight="1" x14ac:dyDescent="0.15"/>
    <row r="32218" s="8" customFormat="1" ht="32.1" customHeight="1" x14ac:dyDescent="0.15"/>
    <row r="32219" s="8" customFormat="1" ht="32.1" customHeight="1" x14ac:dyDescent="0.15"/>
    <row r="32220" s="8" customFormat="1" ht="32.1" customHeight="1" x14ac:dyDescent="0.15"/>
    <row r="32221" s="8" customFormat="1" ht="32.1" customHeight="1" x14ac:dyDescent="0.15"/>
    <row r="32222" s="9" customFormat="1" ht="32.1" customHeight="1" x14ac:dyDescent="0.15"/>
    <row r="32223" s="9" customFormat="1" ht="32.1" customHeight="1" x14ac:dyDescent="0.15"/>
    <row r="32224" s="9" customFormat="1" ht="32.1" customHeight="1" x14ac:dyDescent="0.15"/>
    <row r="32225" s="9" customFormat="1" ht="32.1" customHeight="1" x14ac:dyDescent="0.15"/>
    <row r="32226" s="9" customFormat="1" ht="21.95" customHeight="1" x14ac:dyDescent="0.15"/>
    <row r="32227" s="9" customFormat="1" ht="54" customHeight="1" x14ac:dyDescent="0.15"/>
    <row r="32228" s="9" customFormat="1" ht="21.95" customHeight="1" x14ac:dyDescent="0.15"/>
    <row r="32229" s="9" customFormat="1" ht="21.95" customHeight="1" x14ac:dyDescent="0.15"/>
    <row r="32230" s="9" customFormat="1" ht="21.95" customHeight="1" x14ac:dyDescent="0.15"/>
    <row r="32231" s="9" customFormat="1" ht="21.95" customHeight="1" x14ac:dyDescent="0.15"/>
    <row r="32232" s="9" customFormat="1" ht="21.95" customHeight="1" x14ac:dyDescent="0.15"/>
    <row r="32233" s="9" customFormat="1" ht="21.95" customHeight="1" x14ac:dyDescent="0.15"/>
    <row r="32234" s="9" customFormat="1" ht="21.95" customHeight="1" x14ac:dyDescent="0.15"/>
    <row r="32235" s="9" customFormat="1" ht="21.95" customHeight="1" x14ac:dyDescent="0.15"/>
    <row r="32236" s="9" customFormat="1" ht="21.95" customHeight="1" x14ac:dyDescent="0.15"/>
    <row r="32237" s="9" customFormat="1" ht="21.95" customHeight="1" x14ac:dyDescent="0.15"/>
    <row r="32238" s="9" customFormat="1" ht="21.95" customHeight="1" x14ac:dyDescent="0.15"/>
    <row r="32239" s="9" customFormat="1" ht="21.95" customHeight="1" x14ac:dyDescent="0.15"/>
    <row r="32240" s="9" customFormat="1" ht="21.95" customHeight="1" x14ac:dyDescent="0.15"/>
    <row r="32241" s="9" customFormat="1" ht="21.95" customHeight="1" x14ac:dyDescent="0.15"/>
    <row r="32242" s="9" customFormat="1" ht="21.95" customHeight="1" x14ac:dyDescent="0.15"/>
    <row r="32243" s="9" customFormat="1" ht="21.95" customHeight="1" x14ac:dyDescent="0.15"/>
    <row r="32244" s="9" customFormat="1" ht="21.95" customHeight="1" x14ac:dyDescent="0.15"/>
    <row r="32245" s="9" customFormat="1" ht="21.95" customHeight="1" x14ac:dyDescent="0.15"/>
    <row r="32246" s="9" customFormat="1" ht="21.95" customHeight="1" x14ac:dyDescent="0.15"/>
    <row r="32247" s="9" customFormat="1" ht="21.95" customHeight="1" x14ac:dyDescent="0.15"/>
    <row r="32248" s="9" customFormat="1" ht="21.95" customHeight="1" x14ac:dyDescent="0.15"/>
    <row r="32249" s="9" customFormat="1" ht="21.95" customHeight="1" x14ac:dyDescent="0.15"/>
    <row r="32250" s="9" customFormat="1" ht="21.95" customHeight="1" x14ac:dyDescent="0.15"/>
    <row r="32251" s="9" customFormat="1" ht="21.95" customHeight="1" x14ac:dyDescent="0.15"/>
    <row r="32252" s="9" customFormat="1" ht="21.95" customHeight="1" x14ac:dyDescent="0.15"/>
    <row r="32253" s="9" customFormat="1" ht="21.95" customHeight="1" x14ac:dyDescent="0.15"/>
    <row r="32254" s="9" customFormat="1" ht="21.95" customHeight="1" x14ac:dyDescent="0.15"/>
    <row r="32255" s="9" customFormat="1" ht="21.95" customHeight="1" x14ac:dyDescent="0.15"/>
    <row r="32256" s="9" customFormat="1" ht="21.95" customHeight="1" x14ac:dyDescent="0.15"/>
    <row r="32257" s="9" customFormat="1" ht="21.95" customHeight="1" x14ac:dyDescent="0.15"/>
    <row r="32258" s="9" customFormat="1" ht="21.95" customHeight="1" x14ac:dyDescent="0.15"/>
    <row r="32259" s="9" customFormat="1" ht="21.95" customHeight="1" x14ac:dyDescent="0.15"/>
    <row r="32260" s="9" customFormat="1" ht="21.95" customHeight="1" x14ac:dyDescent="0.15"/>
    <row r="32261" s="9" customFormat="1" ht="21.95" customHeight="1" x14ac:dyDescent="0.15"/>
    <row r="32262" s="9" customFormat="1" ht="21.95" customHeight="1" x14ac:dyDescent="0.15"/>
    <row r="32263" s="9" customFormat="1" ht="21.95" customHeight="1" x14ac:dyDescent="0.15"/>
    <row r="32264" s="9" customFormat="1" ht="21.95" customHeight="1" x14ac:dyDescent="0.15"/>
    <row r="32265" s="9" customFormat="1" ht="21.95" customHeight="1" x14ac:dyDescent="0.15"/>
    <row r="32266" s="9" customFormat="1" ht="21.95" customHeight="1" x14ac:dyDescent="0.15"/>
    <row r="32267" s="9" customFormat="1" ht="21.95" customHeight="1" x14ac:dyDescent="0.15"/>
    <row r="32268" s="9" customFormat="1" ht="21.95" customHeight="1" x14ac:dyDescent="0.15"/>
    <row r="32269" s="9" customFormat="1" ht="21.95" customHeight="1" x14ac:dyDescent="0.15"/>
    <row r="32270" s="9" customFormat="1" ht="21.95" customHeight="1" x14ac:dyDescent="0.15"/>
    <row r="32271" s="9" customFormat="1" ht="21.95" customHeight="1" x14ac:dyDescent="0.15"/>
    <row r="32272" s="9" customFormat="1" ht="21.95" customHeight="1" x14ac:dyDescent="0.15"/>
    <row r="32273" s="9" customFormat="1" ht="21.95" customHeight="1" x14ac:dyDescent="0.15"/>
    <row r="32274" s="9" customFormat="1" ht="21.95" customHeight="1" x14ac:dyDescent="0.15"/>
    <row r="32275" s="9" customFormat="1" ht="21.95" customHeight="1" x14ac:dyDescent="0.15"/>
    <row r="32276" s="9" customFormat="1" ht="21.95" customHeight="1" x14ac:dyDescent="0.15"/>
    <row r="32277" s="9" customFormat="1" ht="21.95" customHeight="1" x14ac:dyDescent="0.15"/>
    <row r="32278" s="9" customFormat="1" ht="35.1" customHeight="1" x14ac:dyDescent="0.15"/>
    <row r="32279" s="9" customFormat="1" ht="21.95" customHeight="1" x14ac:dyDescent="0.15"/>
    <row r="32280" s="9" customFormat="1" ht="21.95" customHeight="1" x14ac:dyDescent="0.15"/>
    <row r="32281" s="9" customFormat="1" ht="21.95" customHeight="1" x14ac:dyDescent="0.15"/>
    <row r="32282" s="9" customFormat="1" ht="21.95" customHeight="1" x14ac:dyDescent="0.15"/>
    <row r="32283" s="9" customFormat="1" ht="21.95" customHeight="1" x14ac:dyDescent="0.15"/>
    <row r="32284" s="9" customFormat="1" ht="21.95" customHeight="1" x14ac:dyDescent="0.15"/>
    <row r="32285" s="9" customFormat="1" ht="21.95" customHeight="1" x14ac:dyDescent="0.15"/>
    <row r="32286" s="9" customFormat="1" ht="21.95" customHeight="1" x14ac:dyDescent="0.15"/>
    <row r="32287" s="9" customFormat="1" ht="21.95" customHeight="1" x14ac:dyDescent="0.15"/>
    <row r="32288" s="9" customFormat="1" ht="21.95" customHeight="1" x14ac:dyDescent="0.15"/>
    <row r="32289" spans="3:3" s="9" customFormat="1" ht="21.95" customHeight="1" x14ac:dyDescent="0.15"/>
    <row r="32290" spans="3:3" s="9" customFormat="1" ht="21.95" customHeight="1" x14ac:dyDescent="0.15"/>
    <row r="32291" spans="3:3" s="9" customFormat="1" ht="21.95" customHeight="1" x14ac:dyDescent="0.15"/>
    <row r="32292" spans="3:3" s="9" customFormat="1" ht="21.95" customHeight="1" x14ac:dyDescent="0.15"/>
    <row r="32293" spans="3:3" s="9" customFormat="1" ht="21.95" customHeight="1" x14ac:dyDescent="0.15"/>
    <row r="32294" spans="3:3" s="9" customFormat="1" ht="21.95" customHeight="1" x14ac:dyDescent="0.15"/>
    <row r="32295" spans="3:3" s="9" customFormat="1" ht="21.95" customHeight="1" x14ac:dyDescent="0.15"/>
    <row r="32296" spans="3:3" s="9" customFormat="1" ht="21.95" customHeight="1" x14ac:dyDescent="0.15"/>
    <row r="32297" spans="3:3" s="9" customFormat="1" ht="21.95" customHeight="1" x14ac:dyDescent="0.15"/>
    <row r="32298" spans="3:3" s="9" customFormat="1" ht="21.95" customHeight="1" x14ac:dyDescent="0.15"/>
    <row r="32299" spans="3:3" s="9" customFormat="1" ht="21.95" customHeight="1" x14ac:dyDescent="0.15"/>
    <row r="32300" spans="3:3" s="9" customFormat="1" ht="21.95" customHeight="1" x14ac:dyDescent="0.15"/>
    <row r="32301" spans="3:3" s="9" customFormat="1" ht="21.95" customHeight="1" x14ac:dyDescent="0.15"/>
    <row r="32302" spans="3:3" s="8" customFormat="1" ht="21.95" customHeight="1" x14ac:dyDescent="0.15"/>
    <row r="32303" spans="3:3" s="8" customFormat="1" ht="21.95" customHeight="1" x14ac:dyDescent="0.15"/>
    <row r="32304" spans="3:3" s="8" customFormat="1" ht="21.95" customHeight="1" x14ac:dyDescent="0.15">
      <c r="C32304" s="101"/>
    </row>
    <row r="32305" spans="3:3" s="8" customFormat="1" ht="21.95" customHeight="1" x14ac:dyDescent="0.15">
      <c r="C32305" s="101"/>
    </row>
    <row r="32306" spans="3:3" s="8" customFormat="1" ht="21.95" customHeight="1" x14ac:dyDescent="0.15"/>
    <row r="32307" spans="3:3" s="8" customFormat="1" ht="21.95" customHeight="1" x14ac:dyDescent="0.15"/>
    <row r="32308" spans="3:3" s="8" customFormat="1" ht="21.95" customHeight="1" x14ac:dyDescent="0.15"/>
    <row r="32309" spans="3:3" s="8" customFormat="1" ht="21.95" customHeight="1" x14ac:dyDescent="0.15"/>
    <row r="32310" spans="3:3" s="8" customFormat="1" ht="21.95" customHeight="1" x14ac:dyDescent="0.15"/>
    <row r="32311" spans="3:3" s="8" customFormat="1" ht="21.95" customHeight="1" x14ac:dyDescent="0.15"/>
    <row r="32312" spans="3:3" s="8" customFormat="1" ht="21.95" customHeight="1" x14ac:dyDescent="0.15"/>
    <row r="32313" spans="3:3" s="9" customFormat="1" ht="21.95" customHeight="1" x14ac:dyDescent="0.15"/>
    <row r="32314" spans="3:3" s="9" customFormat="1" ht="21.95" customHeight="1" x14ac:dyDescent="0.15"/>
    <row r="32315" spans="3:3" s="9" customFormat="1" ht="21.95" customHeight="1" x14ac:dyDescent="0.15"/>
    <row r="32316" spans="3:3" s="9" customFormat="1" ht="21.95" customHeight="1" x14ac:dyDescent="0.15"/>
    <row r="32317" spans="3:3" s="8" customFormat="1" ht="21.95" customHeight="1" x14ac:dyDescent="0.15"/>
    <row r="32318" spans="3:3" s="8" customFormat="1" ht="21.95" customHeight="1" x14ac:dyDescent="0.15"/>
    <row r="32319" spans="3:3" s="8" customFormat="1" ht="21.95" customHeight="1" x14ac:dyDescent="0.15"/>
    <row r="32320" spans="3:3" s="8" customFormat="1" ht="21.95" customHeight="1" x14ac:dyDescent="0.15"/>
    <row r="32321" s="8" customFormat="1" ht="21.95" customHeight="1" x14ac:dyDescent="0.15"/>
    <row r="32322" s="8" customFormat="1" ht="21.95" customHeight="1" x14ac:dyDescent="0.15"/>
    <row r="32323" s="8" customFormat="1" ht="21.95" customHeight="1" x14ac:dyDescent="0.15"/>
    <row r="32324" s="8" customFormat="1" ht="21.95" customHeight="1" x14ac:dyDescent="0.15"/>
    <row r="32325" s="8" customFormat="1" ht="21.95" customHeight="1" x14ac:dyDescent="0.15"/>
    <row r="32326" s="8" customFormat="1" ht="21.95" customHeight="1" x14ac:dyDescent="0.15"/>
    <row r="32327" s="8" customFormat="1" ht="21.95" customHeight="1" x14ac:dyDescent="0.15"/>
    <row r="32328" s="8" customFormat="1" ht="32.1" customHeight="1" x14ac:dyDescent="0.15"/>
    <row r="32329" s="8" customFormat="1" ht="32.1" customHeight="1" x14ac:dyDescent="0.15"/>
    <row r="32330" s="8" customFormat="1" ht="32.1" customHeight="1" x14ac:dyDescent="0.15"/>
    <row r="32331" s="8" customFormat="1" ht="32.1" customHeight="1" x14ac:dyDescent="0.15"/>
    <row r="32332" s="8" customFormat="1" ht="32.1" customHeight="1" x14ac:dyDescent="0.15"/>
    <row r="32333" s="8" customFormat="1" ht="32.1" customHeight="1" x14ac:dyDescent="0.15"/>
    <row r="32334" s="9" customFormat="1" ht="32.1" customHeight="1" x14ac:dyDescent="0.15"/>
    <row r="32335" s="9" customFormat="1" ht="32.1" customHeight="1" x14ac:dyDescent="0.15"/>
    <row r="32336" s="9" customFormat="1" ht="32.1" customHeight="1" x14ac:dyDescent="0.15"/>
    <row r="32337" s="9" customFormat="1" ht="32.1" customHeight="1" x14ac:dyDescent="0.15"/>
    <row r="32338" s="9" customFormat="1" ht="21.95" customHeight="1" x14ac:dyDescent="0.15"/>
    <row r="32339" s="9" customFormat="1" ht="54" customHeight="1" x14ac:dyDescent="0.15"/>
    <row r="32340" s="9" customFormat="1" ht="21.95" customHeight="1" x14ac:dyDescent="0.15"/>
    <row r="32341" s="9" customFormat="1" ht="21.95" customHeight="1" x14ac:dyDescent="0.15"/>
    <row r="32342" s="9" customFormat="1" ht="21.95" customHeight="1" x14ac:dyDescent="0.15"/>
    <row r="32343" s="9" customFormat="1" ht="21.95" customHeight="1" x14ac:dyDescent="0.15"/>
    <row r="32344" s="9" customFormat="1" ht="21.95" customHeight="1" x14ac:dyDescent="0.15"/>
    <row r="32345" s="9" customFormat="1" ht="21.95" customHeight="1" x14ac:dyDescent="0.15"/>
    <row r="32346" s="9" customFormat="1" ht="21.95" customHeight="1" x14ac:dyDescent="0.15"/>
    <row r="32347" s="9" customFormat="1" ht="21.95" customHeight="1" x14ac:dyDescent="0.15"/>
    <row r="32348" s="9" customFormat="1" ht="21.95" customHeight="1" x14ac:dyDescent="0.15"/>
    <row r="32349" s="9" customFormat="1" ht="21.95" customHeight="1" x14ac:dyDescent="0.15"/>
    <row r="32350" s="9" customFormat="1" ht="21.95" customHeight="1" x14ac:dyDescent="0.15"/>
    <row r="32351" s="9" customFormat="1" ht="21.95" customHeight="1" x14ac:dyDescent="0.15"/>
    <row r="32352" s="9" customFormat="1" ht="21.95" customHeight="1" x14ac:dyDescent="0.15"/>
    <row r="32353" s="9" customFormat="1" ht="21.95" customHeight="1" x14ac:dyDescent="0.15"/>
    <row r="32354" s="9" customFormat="1" ht="21.95" customHeight="1" x14ac:dyDescent="0.15"/>
    <row r="32355" s="9" customFormat="1" ht="21.95" customHeight="1" x14ac:dyDescent="0.15"/>
    <row r="32356" s="9" customFormat="1" ht="21.95" customHeight="1" x14ac:dyDescent="0.15"/>
    <row r="32357" s="9" customFormat="1" ht="21.95" customHeight="1" x14ac:dyDescent="0.15"/>
    <row r="32358" s="9" customFormat="1" ht="21.95" customHeight="1" x14ac:dyDescent="0.15"/>
    <row r="32359" s="9" customFormat="1" ht="21.95" customHeight="1" x14ac:dyDescent="0.15"/>
    <row r="32360" s="9" customFormat="1" ht="21.95" customHeight="1" x14ac:dyDescent="0.15"/>
    <row r="32361" s="9" customFormat="1" ht="21.95" customHeight="1" x14ac:dyDescent="0.15"/>
    <row r="32362" s="9" customFormat="1" ht="21.95" customHeight="1" x14ac:dyDescent="0.15"/>
    <row r="32363" s="9" customFormat="1" ht="21.95" customHeight="1" x14ac:dyDescent="0.15"/>
    <row r="32364" s="9" customFormat="1" ht="21.95" customHeight="1" x14ac:dyDescent="0.15"/>
    <row r="32365" s="9" customFormat="1" ht="21.95" customHeight="1" x14ac:dyDescent="0.15"/>
    <row r="32366" s="9" customFormat="1" ht="21.95" customHeight="1" x14ac:dyDescent="0.15"/>
    <row r="32367" s="9" customFormat="1" ht="21.95" customHeight="1" x14ac:dyDescent="0.15"/>
    <row r="32368" s="9" customFormat="1" ht="21.95" customHeight="1" x14ac:dyDescent="0.15"/>
    <row r="32369" s="9" customFormat="1" ht="21.95" customHeight="1" x14ac:dyDescent="0.15"/>
    <row r="32370" s="9" customFormat="1" ht="21.95" customHeight="1" x14ac:dyDescent="0.15"/>
    <row r="32371" s="9" customFormat="1" ht="21.95" customHeight="1" x14ac:dyDescent="0.15"/>
    <row r="32372" s="9" customFormat="1" ht="21.95" customHeight="1" x14ac:dyDescent="0.15"/>
    <row r="32373" s="9" customFormat="1" ht="21.95" customHeight="1" x14ac:dyDescent="0.15"/>
    <row r="32374" s="9" customFormat="1" ht="21.95" customHeight="1" x14ac:dyDescent="0.15"/>
    <row r="32375" s="9" customFormat="1" ht="21.95" customHeight="1" x14ac:dyDescent="0.15"/>
    <row r="32376" s="9" customFormat="1" ht="21.95" customHeight="1" x14ac:dyDescent="0.15"/>
    <row r="32377" s="9" customFormat="1" ht="21.95" customHeight="1" x14ac:dyDescent="0.15"/>
    <row r="32378" s="9" customFormat="1" ht="21.95" customHeight="1" x14ac:dyDescent="0.15"/>
    <row r="32379" s="9" customFormat="1" ht="21.95" customHeight="1" x14ac:dyDescent="0.15"/>
    <row r="32380" s="9" customFormat="1" ht="21.95" customHeight="1" x14ac:dyDescent="0.15"/>
    <row r="32381" s="9" customFormat="1" ht="21.95" customHeight="1" x14ac:dyDescent="0.15"/>
    <row r="32382" s="9" customFormat="1" ht="21.95" customHeight="1" x14ac:dyDescent="0.15"/>
    <row r="32383" s="9" customFormat="1" ht="21.95" customHeight="1" x14ac:dyDescent="0.15"/>
    <row r="32384" s="9" customFormat="1" ht="21.95" customHeight="1" x14ac:dyDescent="0.15"/>
    <row r="32385" s="9" customFormat="1" ht="21.95" customHeight="1" x14ac:dyDescent="0.15"/>
    <row r="32386" s="9" customFormat="1" ht="21.95" customHeight="1" x14ac:dyDescent="0.15"/>
    <row r="32387" s="9" customFormat="1" ht="21.95" customHeight="1" x14ac:dyDescent="0.15"/>
    <row r="32388" s="9" customFormat="1" ht="21.95" customHeight="1" x14ac:dyDescent="0.15"/>
    <row r="32389" s="9" customFormat="1" ht="21.95" customHeight="1" x14ac:dyDescent="0.15"/>
    <row r="32390" s="9" customFormat="1" ht="35.1" customHeight="1" x14ac:dyDescent="0.15"/>
    <row r="32391" s="9" customFormat="1" ht="21.95" customHeight="1" x14ac:dyDescent="0.15"/>
    <row r="32392" s="9" customFormat="1" ht="21.95" customHeight="1" x14ac:dyDescent="0.15"/>
    <row r="32393" s="9" customFormat="1" ht="21.95" customHeight="1" x14ac:dyDescent="0.15"/>
    <row r="32394" s="9" customFormat="1" ht="21.95" customHeight="1" x14ac:dyDescent="0.15"/>
    <row r="32395" s="9" customFormat="1" ht="21.95" customHeight="1" x14ac:dyDescent="0.15"/>
    <row r="32396" s="9" customFormat="1" ht="21.95" customHeight="1" x14ac:dyDescent="0.15"/>
    <row r="32397" s="9" customFormat="1" ht="21.95" customHeight="1" x14ac:dyDescent="0.15"/>
    <row r="32398" s="9" customFormat="1" ht="21.95" customHeight="1" x14ac:dyDescent="0.15"/>
    <row r="32399" s="9" customFormat="1" ht="21.95" customHeight="1" x14ac:dyDescent="0.15"/>
    <row r="32400" s="9" customFormat="1" ht="21.95" customHeight="1" x14ac:dyDescent="0.15"/>
    <row r="32401" spans="3:3" s="9" customFormat="1" ht="21.95" customHeight="1" x14ac:dyDescent="0.15"/>
    <row r="32402" spans="3:3" s="9" customFormat="1" ht="21.95" customHeight="1" x14ac:dyDescent="0.15"/>
    <row r="32403" spans="3:3" s="9" customFormat="1" ht="21.95" customHeight="1" x14ac:dyDescent="0.15"/>
    <row r="32404" spans="3:3" s="9" customFormat="1" ht="21.95" customHeight="1" x14ac:dyDescent="0.15"/>
    <row r="32405" spans="3:3" s="9" customFormat="1" ht="21.95" customHeight="1" x14ac:dyDescent="0.15"/>
    <row r="32406" spans="3:3" s="9" customFormat="1" ht="21.95" customHeight="1" x14ac:dyDescent="0.15"/>
    <row r="32407" spans="3:3" s="9" customFormat="1" ht="21.95" customHeight="1" x14ac:dyDescent="0.15"/>
    <row r="32408" spans="3:3" s="9" customFormat="1" ht="21.95" customHeight="1" x14ac:dyDescent="0.15"/>
    <row r="32409" spans="3:3" s="9" customFormat="1" ht="21.95" customHeight="1" x14ac:dyDescent="0.15"/>
    <row r="32410" spans="3:3" s="9" customFormat="1" ht="21.95" customHeight="1" x14ac:dyDescent="0.15"/>
    <row r="32411" spans="3:3" s="9" customFormat="1" ht="21.95" customHeight="1" x14ac:dyDescent="0.15"/>
    <row r="32412" spans="3:3" s="9" customFormat="1" ht="21.95" customHeight="1" x14ac:dyDescent="0.15"/>
    <row r="32413" spans="3:3" s="9" customFormat="1" ht="21.95" customHeight="1" x14ac:dyDescent="0.15"/>
    <row r="32414" spans="3:3" s="8" customFormat="1" ht="21.95" customHeight="1" x14ac:dyDescent="0.15"/>
    <row r="32415" spans="3:3" s="8" customFormat="1" ht="21.95" customHeight="1" x14ac:dyDescent="0.15"/>
    <row r="32416" spans="3:3" s="8" customFormat="1" ht="21.95" customHeight="1" x14ac:dyDescent="0.15">
      <c r="C32416" s="101"/>
    </row>
    <row r="32417" spans="3:3" s="8" customFormat="1" ht="21.95" customHeight="1" x14ac:dyDescent="0.15">
      <c r="C32417" s="101"/>
    </row>
    <row r="32418" spans="3:3" s="8" customFormat="1" ht="21.95" customHeight="1" x14ac:dyDescent="0.15"/>
    <row r="32419" spans="3:3" s="8" customFormat="1" ht="21.95" customHeight="1" x14ac:dyDescent="0.15"/>
    <row r="32420" spans="3:3" s="8" customFormat="1" ht="21.95" customHeight="1" x14ac:dyDescent="0.15"/>
    <row r="32421" spans="3:3" s="8" customFormat="1" ht="21.95" customHeight="1" x14ac:dyDescent="0.15"/>
    <row r="32422" spans="3:3" s="8" customFormat="1" ht="21.95" customHeight="1" x14ac:dyDescent="0.15"/>
    <row r="32423" spans="3:3" s="8" customFormat="1" ht="21.95" customHeight="1" x14ac:dyDescent="0.15"/>
    <row r="32424" spans="3:3" s="8" customFormat="1" ht="21.95" customHeight="1" x14ac:dyDescent="0.15"/>
    <row r="32425" spans="3:3" s="9" customFormat="1" ht="21.95" customHeight="1" x14ac:dyDescent="0.15"/>
    <row r="32426" spans="3:3" s="9" customFormat="1" ht="21.95" customHeight="1" x14ac:dyDescent="0.15"/>
    <row r="32427" spans="3:3" s="9" customFormat="1" ht="21.95" customHeight="1" x14ac:dyDescent="0.15"/>
    <row r="32428" spans="3:3" s="9" customFormat="1" ht="21.95" customHeight="1" x14ac:dyDescent="0.15"/>
    <row r="32429" spans="3:3" s="8" customFormat="1" ht="21.95" customHeight="1" x14ac:dyDescent="0.15"/>
    <row r="32430" spans="3:3" s="8" customFormat="1" ht="21.95" customHeight="1" x14ac:dyDescent="0.15"/>
    <row r="32431" spans="3:3" s="8" customFormat="1" ht="21.95" customHeight="1" x14ac:dyDescent="0.15"/>
    <row r="32432" spans="3:3" s="8" customFormat="1" ht="21.95" customHeight="1" x14ac:dyDescent="0.15"/>
    <row r="32433" s="8" customFormat="1" ht="21.95" customHeight="1" x14ac:dyDescent="0.15"/>
    <row r="32434" s="8" customFormat="1" ht="21.95" customHeight="1" x14ac:dyDescent="0.15"/>
    <row r="32435" s="8" customFormat="1" ht="21.95" customHeight="1" x14ac:dyDescent="0.15"/>
    <row r="32436" s="8" customFormat="1" ht="21.95" customHeight="1" x14ac:dyDescent="0.15"/>
    <row r="32437" s="8" customFormat="1" ht="21.95" customHeight="1" x14ac:dyDescent="0.15"/>
    <row r="32438" s="8" customFormat="1" ht="21.95" customHeight="1" x14ac:dyDescent="0.15"/>
    <row r="32439" s="8" customFormat="1" ht="21.95" customHeight="1" x14ac:dyDescent="0.15"/>
    <row r="32440" s="8" customFormat="1" ht="32.1" customHeight="1" x14ac:dyDescent="0.15"/>
    <row r="32441" s="8" customFormat="1" ht="32.1" customHeight="1" x14ac:dyDescent="0.15"/>
    <row r="32442" s="8" customFormat="1" ht="32.1" customHeight="1" x14ac:dyDescent="0.15"/>
    <row r="32443" s="8" customFormat="1" ht="32.1" customHeight="1" x14ac:dyDescent="0.15"/>
    <row r="32444" s="8" customFormat="1" ht="32.1" customHeight="1" x14ac:dyDescent="0.15"/>
    <row r="32445" s="8" customFormat="1" ht="32.1" customHeight="1" x14ac:dyDescent="0.15"/>
    <row r="32446" s="9" customFormat="1" ht="32.1" customHeight="1" x14ac:dyDescent="0.15"/>
    <row r="32447" s="9" customFormat="1" ht="32.1" customHeight="1" x14ac:dyDescent="0.15"/>
    <row r="32448" s="9" customFormat="1" ht="32.1" customHeight="1" x14ac:dyDescent="0.15"/>
    <row r="32449" s="9" customFormat="1" ht="32.1" customHeight="1" x14ac:dyDescent="0.15"/>
    <row r="32450" s="9" customFormat="1" ht="21.95" customHeight="1" x14ac:dyDescent="0.15"/>
    <row r="32451" s="9" customFormat="1" ht="54" customHeight="1" x14ac:dyDescent="0.15"/>
    <row r="32452" s="9" customFormat="1" ht="21.95" customHeight="1" x14ac:dyDescent="0.15"/>
    <row r="32453" s="9" customFormat="1" ht="21.95" customHeight="1" x14ac:dyDescent="0.15"/>
    <row r="32454" s="9" customFormat="1" ht="21.95" customHeight="1" x14ac:dyDescent="0.15"/>
    <row r="32455" s="9" customFormat="1" ht="21.95" customHeight="1" x14ac:dyDescent="0.15"/>
    <row r="32456" s="9" customFormat="1" ht="21.95" customHeight="1" x14ac:dyDescent="0.15"/>
    <row r="32457" s="9" customFormat="1" ht="21.95" customHeight="1" x14ac:dyDescent="0.15"/>
    <row r="32458" s="9" customFormat="1" ht="21.95" customHeight="1" x14ac:dyDescent="0.15"/>
    <row r="32459" s="9" customFormat="1" ht="21.95" customHeight="1" x14ac:dyDescent="0.15"/>
    <row r="32460" s="9" customFormat="1" ht="21.95" customHeight="1" x14ac:dyDescent="0.15"/>
    <row r="32461" s="9" customFormat="1" ht="21.95" customHeight="1" x14ac:dyDescent="0.15"/>
    <row r="32462" s="9" customFormat="1" ht="21.95" customHeight="1" x14ac:dyDescent="0.15"/>
    <row r="32463" s="9" customFormat="1" ht="21.95" customHeight="1" x14ac:dyDescent="0.15"/>
    <row r="32464" s="9" customFormat="1" ht="21.95" customHeight="1" x14ac:dyDescent="0.15"/>
    <row r="32465" s="9" customFormat="1" ht="21.95" customHeight="1" x14ac:dyDescent="0.15"/>
    <row r="32466" s="9" customFormat="1" ht="21.95" customHeight="1" x14ac:dyDescent="0.15"/>
    <row r="32467" s="9" customFormat="1" ht="21.95" customHeight="1" x14ac:dyDescent="0.15"/>
    <row r="32468" s="9" customFormat="1" ht="21.95" customHeight="1" x14ac:dyDescent="0.15"/>
    <row r="32469" s="9" customFormat="1" ht="21.95" customHeight="1" x14ac:dyDescent="0.15"/>
    <row r="32470" s="9" customFormat="1" ht="21.95" customHeight="1" x14ac:dyDescent="0.15"/>
    <row r="32471" s="9" customFormat="1" ht="21.95" customHeight="1" x14ac:dyDescent="0.15"/>
    <row r="32472" s="9" customFormat="1" ht="21.95" customHeight="1" x14ac:dyDescent="0.15"/>
    <row r="32473" s="9" customFormat="1" ht="21.95" customHeight="1" x14ac:dyDescent="0.15"/>
    <row r="32474" s="9" customFormat="1" ht="21.95" customHeight="1" x14ac:dyDescent="0.15"/>
    <row r="32475" s="9" customFormat="1" ht="21.95" customHeight="1" x14ac:dyDescent="0.15"/>
    <row r="32476" s="9" customFormat="1" ht="21.95" customHeight="1" x14ac:dyDescent="0.15"/>
    <row r="32477" s="9" customFormat="1" ht="21.95" customHeight="1" x14ac:dyDescent="0.15"/>
    <row r="32478" s="9" customFormat="1" ht="21.95" customHeight="1" x14ac:dyDescent="0.15"/>
    <row r="32479" s="9" customFormat="1" ht="21.95" customHeight="1" x14ac:dyDescent="0.15"/>
    <row r="32480" s="9" customFormat="1" ht="21.95" customHeight="1" x14ac:dyDescent="0.15"/>
    <row r="32481" s="9" customFormat="1" ht="21.95" customHeight="1" x14ac:dyDescent="0.15"/>
    <row r="32482" s="9" customFormat="1" ht="21.95" customHeight="1" x14ac:dyDescent="0.15"/>
    <row r="32483" s="9" customFormat="1" ht="21.95" customHeight="1" x14ac:dyDescent="0.15"/>
    <row r="32484" s="9" customFormat="1" ht="21.95" customHeight="1" x14ac:dyDescent="0.15"/>
    <row r="32485" s="9" customFormat="1" ht="21.95" customHeight="1" x14ac:dyDescent="0.15"/>
    <row r="32486" s="9" customFormat="1" ht="21.95" customHeight="1" x14ac:dyDescent="0.15"/>
    <row r="32487" s="9" customFormat="1" ht="21.95" customHeight="1" x14ac:dyDescent="0.15"/>
    <row r="32488" s="9" customFormat="1" ht="21.95" customHeight="1" x14ac:dyDescent="0.15"/>
    <row r="32489" s="9" customFormat="1" ht="21.95" customHeight="1" x14ac:dyDescent="0.15"/>
    <row r="32490" s="9" customFormat="1" ht="21.95" customHeight="1" x14ac:dyDescent="0.15"/>
    <row r="32491" s="9" customFormat="1" ht="21.95" customHeight="1" x14ac:dyDescent="0.15"/>
    <row r="32492" s="9" customFormat="1" ht="21.95" customHeight="1" x14ac:dyDescent="0.15"/>
    <row r="32493" s="9" customFormat="1" ht="21.95" customHeight="1" x14ac:dyDescent="0.15"/>
    <row r="32494" s="9" customFormat="1" ht="21.95" customHeight="1" x14ac:dyDescent="0.15"/>
    <row r="32495" s="9" customFormat="1" ht="21.95" customHeight="1" x14ac:dyDescent="0.15"/>
    <row r="32496" s="9" customFormat="1" ht="21.95" customHeight="1" x14ac:dyDescent="0.15"/>
    <row r="32497" s="9" customFormat="1" ht="21.95" customHeight="1" x14ac:dyDescent="0.15"/>
    <row r="32498" s="9" customFormat="1" ht="21.95" customHeight="1" x14ac:dyDescent="0.15"/>
    <row r="32499" s="9" customFormat="1" ht="21.95" customHeight="1" x14ac:dyDescent="0.15"/>
    <row r="32500" s="9" customFormat="1" ht="21.95" customHeight="1" x14ac:dyDescent="0.15"/>
    <row r="32501" s="9" customFormat="1" ht="21.95" customHeight="1" x14ac:dyDescent="0.15"/>
    <row r="32502" s="9" customFormat="1" ht="35.1" customHeight="1" x14ac:dyDescent="0.15"/>
    <row r="32503" s="9" customFormat="1" ht="21.95" customHeight="1" x14ac:dyDescent="0.15"/>
    <row r="32504" s="9" customFormat="1" ht="21.95" customHeight="1" x14ac:dyDescent="0.15"/>
    <row r="32505" s="9" customFormat="1" ht="21.95" customHeight="1" x14ac:dyDescent="0.15"/>
    <row r="32506" s="9" customFormat="1" ht="21.95" customHeight="1" x14ac:dyDescent="0.15"/>
    <row r="32507" s="9" customFormat="1" ht="21.95" customHeight="1" x14ac:dyDescent="0.15"/>
    <row r="32508" s="9" customFormat="1" ht="21.95" customHeight="1" x14ac:dyDescent="0.15"/>
    <row r="32509" s="9" customFormat="1" ht="21.95" customHeight="1" x14ac:dyDescent="0.15"/>
    <row r="32510" s="9" customFormat="1" ht="21.95" customHeight="1" x14ac:dyDescent="0.15"/>
    <row r="32511" s="9" customFormat="1" ht="21.95" customHeight="1" x14ac:dyDescent="0.15"/>
    <row r="32512" s="9" customFormat="1" ht="21.95" customHeight="1" x14ac:dyDescent="0.15"/>
    <row r="32513" spans="3:3" s="9" customFormat="1" ht="21.95" customHeight="1" x14ac:dyDescent="0.15"/>
    <row r="32514" spans="3:3" s="9" customFormat="1" ht="21.95" customHeight="1" x14ac:dyDescent="0.15"/>
    <row r="32515" spans="3:3" s="9" customFormat="1" ht="21.95" customHeight="1" x14ac:dyDescent="0.15"/>
    <row r="32516" spans="3:3" s="9" customFormat="1" ht="21.95" customHeight="1" x14ac:dyDescent="0.15"/>
    <row r="32517" spans="3:3" s="9" customFormat="1" ht="21.95" customHeight="1" x14ac:dyDescent="0.15"/>
    <row r="32518" spans="3:3" s="9" customFormat="1" ht="21.95" customHeight="1" x14ac:dyDescent="0.15"/>
    <row r="32519" spans="3:3" s="9" customFormat="1" ht="21.95" customHeight="1" x14ac:dyDescent="0.15"/>
    <row r="32520" spans="3:3" s="9" customFormat="1" ht="21.95" customHeight="1" x14ac:dyDescent="0.15"/>
    <row r="32521" spans="3:3" s="9" customFormat="1" ht="21.95" customHeight="1" x14ac:dyDescent="0.15"/>
    <row r="32522" spans="3:3" s="9" customFormat="1" ht="21.95" customHeight="1" x14ac:dyDescent="0.15"/>
    <row r="32523" spans="3:3" s="9" customFormat="1" ht="21.95" customHeight="1" x14ac:dyDescent="0.15"/>
    <row r="32524" spans="3:3" s="9" customFormat="1" ht="21.95" customHeight="1" x14ac:dyDescent="0.15"/>
    <row r="32525" spans="3:3" s="9" customFormat="1" ht="21.95" customHeight="1" x14ac:dyDescent="0.15"/>
    <row r="32526" spans="3:3" s="8" customFormat="1" ht="21.95" customHeight="1" x14ac:dyDescent="0.15"/>
    <row r="32527" spans="3:3" s="8" customFormat="1" ht="21.95" customHeight="1" x14ac:dyDescent="0.15"/>
    <row r="32528" spans="3:3" s="8" customFormat="1" ht="21.95" customHeight="1" x14ac:dyDescent="0.15">
      <c r="C32528" s="101"/>
    </row>
    <row r="32529" spans="3:3" s="8" customFormat="1" ht="21.95" customHeight="1" x14ac:dyDescent="0.15">
      <c r="C32529" s="101"/>
    </row>
    <row r="32530" spans="3:3" s="8" customFormat="1" ht="21.95" customHeight="1" x14ac:dyDescent="0.15"/>
    <row r="32531" spans="3:3" s="8" customFormat="1" ht="21.95" customHeight="1" x14ac:dyDescent="0.15"/>
    <row r="32532" spans="3:3" s="8" customFormat="1" ht="21.95" customHeight="1" x14ac:dyDescent="0.15"/>
    <row r="32533" spans="3:3" s="8" customFormat="1" ht="21.95" customHeight="1" x14ac:dyDescent="0.15"/>
    <row r="32534" spans="3:3" s="8" customFormat="1" ht="21.95" customHeight="1" x14ac:dyDescent="0.15"/>
    <row r="32535" spans="3:3" s="8" customFormat="1" ht="21.95" customHeight="1" x14ac:dyDescent="0.15"/>
    <row r="32536" spans="3:3" s="8" customFormat="1" ht="21.95" customHeight="1" x14ac:dyDescent="0.15"/>
    <row r="32537" spans="3:3" s="9" customFormat="1" ht="21.95" customHeight="1" x14ac:dyDescent="0.15"/>
    <row r="32538" spans="3:3" s="9" customFormat="1" ht="21.95" customHeight="1" x14ac:dyDescent="0.15"/>
    <row r="32539" spans="3:3" s="9" customFormat="1" ht="21.95" customHeight="1" x14ac:dyDescent="0.15"/>
    <row r="32540" spans="3:3" s="9" customFormat="1" ht="21.95" customHeight="1" x14ac:dyDescent="0.15"/>
    <row r="32541" spans="3:3" s="8" customFormat="1" ht="21.95" customHeight="1" x14ac:dyDescent="0.15"/>
    <row r="32542" spans="3:3" s="8" customFormat="1" ht="21.95" customHeight="1" x14ac:dyDescent="0.15"/>
    <row r="32543" spans="3:3" s="8" customFormat="1" ht="21.95" customHeight="1" x14ac:dyDescent="0.15"/>
    <row r="32544" spans="3:3" s="8" customFormat="1" ht="21.95" customHeight="1" x14ac:dyDescent="0.15"/>
    <row r="32545" s="8" customFormat="1" ht="21.95" customHeight="1" x14ac:dyDescent="0.15"/>
    <row r="32546" s="8" customFormat="1" ht="21.95" customHeight="1" x14ac:dyDescent="0.15"/>
    <row r="32547" s="8" customFormat="1" ht="21.95" customHeight="1" x14ac:dyDescent="0.15"/>
    <row r="32548" s="8" customFormat="1" ht="21.95" customHeight="1" x14ac:dyDescent="0.15"/>
    <row r="32549" s="8" customFormat="1" ht="21.95" customHeight="1" x14ac:dyDescent="0.15"/>
    <row r="32550" s="8" customFormat="1" ht="21.95" customHeight="1" x14ac:dyDescent="0.15"/>
    <row r="32551" s="8" customFormat="1" ht="21.95" customHeight="1" x14ac:dyDescent="0.15"/>
    <row r="32552" s="8" customFormat="1" ht="32.1" customHeight="1" x14ac:dyDescent="0.15"/>
    <row r="32553" s="8" customFormat="1" ht="32.1" customHeight="1" x14ac:dyDescent="0.15"/>
    <row r="32554" s="8" customFormat="1" ht="32.1" customHeight="1" x14ac:dyDescent="0.15"/>
    <row r="32555" s="8" customFormat="1" ht="32.1" customHeight="1" x14ac:dyDescent="0.15"/>
    <row r="32556" s="8" customFormat="1" ht="32.1" customHeight="1" x14ac:dyDescent="0.15"/>
    <row r="32557" s="8" customFormat="1" ht="32.1" customHeight="1" x14ac:dyDescent="0.15"/>
    <row r="32558" s="9" customFormat="1" ht="32.1" customHeight="1" x14ac:dyDescent="0.15"/>
    <row r="32559" s="9" customFormat="1" ht="32.1" customHeight="1" x14ac:dyDescent="0.15"/>
    <row r="32560" s="9" customFormat="1" ht="32.1" customHeight="1" x14ac:dyDescent="0.15"/>
    <row r="32561" s="9" customFormat="1" ht="32.1" customHeight="1" x14ac:dyDescent="0.15"/>
    <row r="32562" s="9" customFormat="1" ht="21.95" customHeight="1" x14ac:dyDescent="0.15"/>
    <row r="32563" s="9" customFormat="1" ht="54" customHeight="1" x14ac:dyDescent="0.15"/>
    <row r="32564" s="9" customFormat="1" ht="21.95" customHeight="1" x14ac:dyDescent="0.15"/>
    <row r="32565" s="9" customFormat="1" ht="21.95" customHeight="1" x14ac:dyDescent="0.15"/>
    <row r="32566" s="9" customFormat="1" ht="21.95" customHeight="1" x14ac:dyDescent="0.15"/>
    <row r="32567" s="9" customFormat="1" ht="21.95" customHeight="1" x14ac:dyDescent="0.15"/>
    <row r="32568" s="9" customFormat="1" ht="21.95" customHeight="1" x14ac:dyDescent="0.15"/>
    <row r="32569" s="9" customFormat="1" ht="21.95" customHeight="1" x14ac:dyDescent="0.15"/>
    <row r="32570" s="9" customFormat="1" ht="21.95" customHeight="1" x14ac:dyDescent="0.15"/>
    <row r="32571" s="9" customFormat="1" ht="21.95" customHeight="1" x14ac:dyDescent="0.15"/>
    <row r="32572" s="9" customFormat="1" ht="21.95" customHeight="1" x14ac:dyDescent="0.15"/>
    <row r="32573" s="9" customFormat="1" ht="21.95" customHeight="1" x14ac:dyDescent="0.15"/>
    <row r="32574" s="9" customFormat="1" ht="21.95" customHeight="1" x14ac:dyDescent="0.15"/>
    <row r="32575" s="9" customFormat="1" ht="21.95" customHeight="1" x14ac:dyDescent="0.15"/>
    <row r="32576" s="9" customFormat="1" ht="21.95" customHeight="1" x14ac:dyDescent="0.15"/>
    <row r="32577" s="9" customFormat="1" ht="21.95" customHeight="1" x14ac:dyDescent="0.15"/>
    <row r="32578" s="9" customFormat="1" ht="21.95" customHeight="1" x14ac:dyDescent="0.15"/>
    <row r="32579" s="9" customFormat="1" ht="21.95" customHeight="1" x14ac:dyDescent="0.15"/>
    <row r="32580" s="9" customFormat="1" ht="21.95" customHeight="1" x14ac:dyDescent="0.15"/>
    <row r="32581" s="9" customFormat="1" ht="21.95" customHeight="1" x14ac:dyDescent="0.15"/>
    <row r="32582" s="9" customFormat="1" ht="21.95" customHeight="1" x14ac:dyDescent="0.15"/>
    <row r="32583" s="9" customFormat="1" ht="21.95" customHeight="1" x14ac:dyDescent="0.15"/>
    <row r="32584" s="9" customFormat="1" ht="21.95" customHeight="1" x14ac:dyDescent="0.15"/>
    <row r="32585" s="9" customFormat="1" ht="21.95" customHeight="1" x14ac:dyDescent="0.15"/>
    <row r="32586" s="9" customFormat="1" ht="21.95" customHeight="1" x14ac:dyDescent="0.15"/>
    <row r="32587" s="9" customFormat="1" ht="21.95" customHeight="1" x14ac:dyDescent="0.15"/>
    <row r="32588" s="9" customFormat="1" ht="21.95" customHeight="1" x14ac:dyDescent="0.15"/>
    <row r="32589" s="9" customFormat="1" ht="21.95" customHeight="1" x14ac:dyDescent="0.15"/>
    <row r="32590" s="9" customFormat="1" ht="21.95" customHeight="1" x14ac:dyDescent="0.15"/>
    <row r="32591" s="9" customFormat="1" ht="21.95" customHeight="1" x14ac:dyDescent="0.15"/>
    <row r="32592" s="9" customFormat="1" ht="21.95" customHeight="1" x14ac:dyDescent="0.15"/>
    <row r="32593" s="9" customFormat="1" ht="21.95" customHeight="1" x14ac:dyDescent="0.15"/>
    <row r="32594" s="9" customFormat="1" ht="21.95" customHeight="1" x14ac:dyDescent="0.15"/>
    <row r="32595" s="9" customFormat="1" ht="21.95" customHeight="1" x14ac:dyDescent="0.15"/>
    <row r="32596" s="9" customFormat="1" ht="21.95" customHeight="1" x14ac:dyDescent="0.15"/>
    <row r="32597" s="9" customFormat="1" ht="21.95" customHeight="1" x14ac:dyDescent="0.15"/>
    <row r="32598" s="9" customFormat="1" ht="21.95" customHeight="1" x14ac:dyDescent="0.15"/>
    <row r="32599" s="9" customFormat="1" ht="21.95" customHeight="1" x14ac:dyDescent="0.15"/>
    <row r="32600" s="9" customFormat="1" ht="21.95" customHeight="1" x14ac:dyDescent="0.15"/>
    <row r="32601" s="9" customFormat="1" ht="21.95" customHeight="1" x14ac:dyDescent="0.15"/>
    <row r="32602" s="9" customFormat="1" ht="21.95" customHeight="1" x14ac:dyDescent="0.15"/>
    <row r="32603" s="9" customFormat="1" ht="21.95" customHeight="1" x14ac:dyDescent="0.15"/>
    <row r="32604" s="9" customFormat="1" ht="21.95" customHeight="1" x14ac:dyDescent="0.15"/>
    <row r="32605" s="9" customFormat="1" ht="21.95" customHeight="1" x14ac:dyDescent="0.15"/>
    <row r="32606" s="9" customFormat="1" ht="21.95" customHeight="1" x14ac:dyDescent="0.15"/>
    <row r="32607" s="9" customFormat="1" ht="21.95" customHeight="1" x14ac:dyDescent="0.15"/>
    <row r="32608" s="9" customFormat="1" ht="21.95" customHeight="1" x14ac:dyDescent="0.15"/>
    <row r="32609" s="9" customFormat="1" ht="21.95" customHeight="1" x14ac:dyDescent="0.15"/>
    <row r="32610" s="9" customFormat="1" ht="21.95" customHeight="1" x14ac:dyDescent="0.15"/>
    <row r="32611" s="9" customFormat="1" ht="21.95" customHeight="1" x14ac:dyDescent="0.15"/>
    <row r="32612" s="9" customFormat="1" ht="21.95" customHeight="1" x14ac:dyDescent="0.15"/>
    <row r="32613" s="9" customFormat="1" ht="21.95" customHeight="1" x14ac:dyDescent="0.15"/>
    <row r="32614" s="9" customFormat="1" ht="35.1" customHeight="1" x14ac:dyDescent="0.15"/>
    <row r="32615" s="9" customFormat="1" ht="21.95" customHeight="1" x14ac:dyDescent="0.15"/>
    <row r="32616" s="9" customFormat="1" ht="21.95" customHeight="1" x14ac:dyDescent="0.15"/>
    <row r="32617" s="9" customFormat="1" ht="21.95" customHeight="1" x14ac:dyDescent="0.15"/>
    <row r="32618" s="9" customFormat="1" ht="21.95" customHeight="1" x14ac:dyDescent="0.15"/>
    <row r="32619" s="9" customFormat="1" ht="21.95" customHeight="1" x14ac:dyDescent="0.15"/>
    <row r="32620" s="9" customFormat="1" ht="21.95" customHeight="1" x14ac:dyDescent="0.15"/>
    <row r="32621" s="9" customFormat="1" ht="21.95" customHeight="1" x14ac:dyDescent="0.15"/>
    <row r="32622" s="9" customFormat="1" ht="21.95" customHeight="1" x14ac:dyDescent="0.15"/>
    <row r="32623" s="9" customFormat="1" ht="21.95" customHeight="1" x14ac:dyDescent="0.15"/>
    <row r="32624" s="9" customFormat="1" ht="21.95" customHeight="1" x14ac:dyDescent="0.15"/>
    <row r="32625" spans="3:3" s="9" customFormat="1" ht="21.95" customHeight="1" x14ac:dyDescent="0.15"/>
    <row r="32626" spans="3:3" s="9" customFormat="1" ht="21.95" customHeight="1" x14ac:dyDescent="0.15"/>
    <row r="32627" spans="3:3" s="9" customFormat="1" ht="21.95" customHeight="1" x14ac:dyDescent="0.15"/>
    <row r="32628" spans="3:3" s="9" customFormat="1" ht="21.95" customHeight="1" x14ac:dyDescent="0.15"/>
    <row r="32629" spans="3:3" s="9" customFormat="1" ht="21.95" customHeight="1" x14ac:dyDescent="0.15"/>
    <row r="32630" spans="3:3" s="9" customFormat="1" ht="21.95" customHeight="1" x14ac:dyDescent="0.15"/>
    <row r="32631" spans="3:3" s="9" customFormat="1" ht="21.95" customHeight="1" x14ac:dyDescent="0.15"/>
    <row r="32632" spans="3:3" s="9" customFormat="1" ht="21.95" customHeight="1" x14ac:dyDescent="0.15"/>
    <row r="32633" spans="3:3" s="9" customFormat="1" ht="21.95" customHeight="1" x14ac:dyDescent="0.15"/>
    <row r="32634" spans="3:3" s="9" customFormat="1" ht="21.95" customHeight="1" x14ac:dyDescent="0.15"/>
    <row r="32635" spans="3:3" s="9" customFormat="1" ht="21.95" customHeight="1" x14ac:dyDescent="0.15"/>
    <row r="32636" spans="3:3" s="9" customFormat="1" ht="21.95" customHeight="1" x14ac:dyDescent="0.15"/>
    <row r="32637" spans="3:3" s="9" customFormat="1" ht="21.95" customHeight="1" x14ac:dyDescent="0.15"/>
    <row r="32638" spans="3:3" s="8" customFormat="1" ht="21.95" customHeight="1" x14ac:dyDescent="0.15"/>
    <row r="32639" spans="3:3" s="8" customFormat="1" ht="21.95" customHeight="1" x14ac:dyDescent="0.15"/>
    <row r="32640" spans="3:3" s="8" customFormat="1" ht="21.95" customHeight="1" x14ac:dyDescent="0.15">
      <c r="C32640" s="101"/>
    </row>
    <row r="32641" spans="3:3" s="8" customFormat="1" ht="21.95" customHeight="1" x14ac:dyDescent="0.15">
      <c r="C32641" s="101"/>
    </row>
    <row r="32642" spans="3:3" s="8" customFormat="1" ht="21.95" customHeight="1" x14ac:dyDescent="0.15"/>
    <row r="32643" spans="3:3" s="8" customFormat="1" ht="21.95" customHeight="1" x14ac:dyDescent="0.15"/>
    <row r="32644" spans="3:3" s="8" customFormat="1" ht="21.95" customHeight="1" x14ac:dyDescent="0.15"/>
    <row r="32645" spans="3:3" s="8" customFormat="1" ht="21.95" customHeight="1" x14ac:dyDescent="0.15"/>
    <row r="32646" spans="3:3" s="8" customFormat="1" ht="21.95" customHeight="1" x14ac:dyDescent="0.15"/>
    <row r="32647" spans="3:3" s="8" customFormat="1" ht="21.95" customHeight="1" x14ac:dyDescent="0.15"/>
    <row r="32648" spans="3:3" s="8" customFormat="1" ht="21.95" customHeight="1" x14ac:dyDescent="0.15"/>
    <row r="32649" spans="3:3" s="9" customFormat="1" ht="21.95" customHeight="1" x14ac:dyDescent="0.15"/>
    <row r="32650" spans="3:3" s="9" customFormat="1" ht="21.95" customHeight="1" x14ac:dyDescent="0.15"/>
    <row r="32651" spans="3:3" s="9" customFormat="1" ht="21.95" customHeight="1" x14ac:dyDescent="0.15"/>
    <row r="32652" spans="3:3" s="9" customFormat="1" ht="21.95" customHeight="1" x14ac:dyDescent="0.15"/>
    <row r="32653" spans="3:3" s="8" customFormat="1" ht="21.95" customHeight="1" x14ac:dyDescent="0.15"/>
    <row r="32654" spans="3:3" s="8" customFormat="1" ht="21.95" customHeight="1" x14ac:dyDescent="0.15"/>
    <row r="32655" spans="3:3" s="8" customFormat="1" ht="21.95" customHeight="1" x14ac:dyDescent="0.15"/>
    <row r="32656" spans="3:3" s="8" customFormat="1" ht="21.95" customHeight="1" x14ac:dyDescent="0.15"/>
    <row r="32657" s="8" customFormat="1" ht="21.95" customHeight="1" x14ac:dyDescent="0.15"/>
    <row r="32658" s="8" customFormat="1" ht="21.95" customHeight="1" x14ac:dyDescent="0.15"/>
    <row r="32659" s="8" customFormat="1" ht="21.95" customHeight="1" x14ac:dyDescent="0.15"/>
    <row r="32660" s="8" customFormat="1" ht="21.95" customHeight="1" x14ac:dyDescent="0.15"/>
    <row r="32661" s="8" customFormat="1" ht="21.95" customHeight="1" x14ac:dyDescent="0.15"/>
    <row r="32662" s="8" customFormat="1" ht="21.95" customHeight="1" x14ac:dyDescent="0.15"/>
    <row r="32663" s="8" customFormat="1" ht="21.95" customHeight="1" x14ac:dyDescent="0.15"/>
    <row r="32664" s="8" customFormat="1" ht="32.1" customHeight="1" x14ac:dyDescent="0.15"/>
    <row r="32665" s="8" customFormat="1" ht="32.1" customHeight="1" x14ac:dyDescent="0.15"/>
    <row r="32666" s="8" customFormat="1" ht="32.1" customHeight="1" x14ac:dyDescent="0.15"/>
    <row r="32667" s="8" customFormat="1" ht="32.1" customHeight="1" x14ac:dyDescent="0.15"/>
    <row r="32668" s="8" customFormat="1" ht="32.1" customHeight="1" x14ac:dyDescent="0.15"/>
    <row r="32669" s="8" customFormat="1" ht="32.1" customHeight="1" x14ac:dyDescent="0.15"/>
    <row r="32670" s="9" customFormat="1" ht="32.1" customHeight="1" x14ac:dyDescent="0.15"/>
    <row r="32671" s="9" customFormat="1" ht="32.1" customHeight="1" x14ac:dyDescent="0.15"/>
    <row r="32672" s="9" customFormat="1" ht="32.1" customHeight="1" x14ac:dyDescent="0.15"/>
    <row r="32673" s="9" customFormat="1" ht="32.1" customHeight="1" x14ac:dyDescent="0.15"/>
    <row r="32674" s="9" customFormat="1" ht="21.95" customHeight="1" x14ac:dyDescent="0.15"/>
    <row r="32675" s="9" customFormat="1" ht="54" customHeight="1" x14ac:dyDescent="0.15"/>
    <row r="32676" s="9" customFormat="1" ht="21.95" customHeight="1" x14ac:dyDescent="0.15"/>
    <row r="32677" s="9" customFormat="1" ht="21.95" customHeight="1" x14ac:dyDescent="0.15"/>
    <row r="32678" s="9" customFormat="1" ht="21.95" customHeight="1" x14ac:dyDescent="0.15"/>
    <row r="32679" s="9" customFormat="1" ht="21.95" customHeight="1" x14ac:dyDescent="0.15"/>
    <row r="32680" s="9" customFormat="1" ht="21.95" customHeight="1" x14ac:dyDescent="0.15"/>
    <row r="32681" s="9" customFormat="1" ht="21.95" customHeight="1" x14ac:dyDescent="0.15"/>
    <row r="32682" s="9" customFormat="1" ht="21.95" customHeight="1" x14ac:dyDescent="0.15"/>
    <row r="32683" s="9" customFormat="1" ht="21.95" customHeight="1" x14ac:dyDescent="0.15"/>
    <row r="32684" s="9" customFormat="1" ht="21.95" customHeight="1" x14ac:dyDescent="0.15"/>
    <row r="32685" s="9" customFormat="1" ht="21.95" customHeight="1" x14ac:dyDescent="0.15"/>
    <row r="32686" s="9" customFormat="1" ht="21.95" customHeight="1" x14ac:dyDescent="0.15"/>
    <row r="32687" s="9" customFormat="1" ht="21.95" customHeight="1" x14ac:dyDescent="0.15"/>
    <row r="32688" s="9" customFormat="1" ht="21.95" customHeight="1" x14ac:dyDescent="0.15"/>
    <row r="32689" s="9" customFormat="1" ht="21.95" customHeight="1" x14ac:dyDescent="0.15"/>
    <row r="32690" s="9" customFormat="1" ht="21.95" customHeight="1" x14ac:dyDescent="0.15"/>
    <row r="32691" s="9" customFormat="1" ht="21.95" customHeight="1" x14ac:dyDescent="0.15"/>
    <row r="32692" s="9" customFormat="1" ht="21.95" customHeight="1" x14ac:dyDescent="0.15"/>
    <row r="32693" s="9" customFormat="1" ht="21.95" customHeight="1" x14ac:dyDescent="0.15"/>
    <row r="32694" s="9" customFormat="1" ht="21.95" customHeight="1" x14ac:dyDescent="0.15"/>
    <row r="32695" s="9" customFormat="1" ht="21.95" customHeight="1" x14ac:dyDescent="0.15"/>
    <row r="32696" s="9" customFormat="1" ht="21.95" customHeight="1" x14ac:dyDescent="0.15"/>
    <row r="32697" s="9" customFormat="1" ht="21.95" customHeight="1" x14ac:dyDescent="0.15"/>
    <row r="32698" s="9" customFormat="1" ht="21.95" customHeight="1" x14ac:dyDescent="0.15"/>
    <row r="32699" s="9" customFormat="1" ht="21.95" customHeight="1" x14ac:dyDescent="0.15"/>
    <row r="32700" s="9" customFormat="1" ht="21.95" customHeight="1" x14ac:dyDescent="0.15"/>
    <row r="32701" s="9" customFormat="1" ht="21.95" customHeight="1" x14ac:dyDescent="0.15"/>
    <row r="32702" s="9" customFormat="1" ht="21.95" customHeight="1" x14ac:dyDescent="0.15"/>
    <row r="32703" s="9" customFormat="1" ht="21.95" customHeight="1" x14ac:dyDescent="0.15"/>
    <row r="32704" s="9" customFormat="1" ht="21.95" customHeight="1" x14ac:dyDescent="0.15"/>
    <row r="32705" s="9" customFormat="1" ht="21.95" customHeight="1" x14ac:dyDescent="0.15"/>
    <row r="32706" s="9" customFormat="1" ht="21.95" customHeight="1" x14ac:dyDescent="0.15"/>
    <row r="32707" s="9" customFormat="1" ht="21.95" customHeight="1" x14ac:dyDescent="0.15"/>
    <row r="32708" s="9" customFormat="1" ht="21.95" customHeight="1" x14ac:dyDescent="0.15"/>
    <row r="32709" s="9" customFormat="1" ht="21.95" customHeight="1" x14ac:dyDescent="0.15"/>
    <row r="32710" s="9" customFormat="1" ht="21.95" customHeight="1" x14ac:dyDescent="0.15"/>
    <row r="32711" s="9" customFormat="1" ht="21.95" customHeight="1" x14ac:dyDescent="0.15"/>
    <row r="32712" s="9" customFormat="1" ht="21.95" customHeight="1" x14ac:dyDescent="0.15"/>
    <row r="32713" s="9" customFormat="1" ht="21.95" customHeight="1" x14ac:dyDescent="0.15"/>
    <row r="32714" s="9" customFormat="1" ht="21.95" customHeight="1" x14ac:dyDescent="0.15"/>
    <row r="32715" s="9" customFormat="1" ht="21.95" customHeight="1" x14ac:dyDescent="0.15"/>
    <row r="32716" s="9" customFormat="1" ht="21.95" customHeight="1" x14ac:dyDescent="0.15"/>
    <row r="32717" s="9" customFormat="1" ht="21.95" customHeight="1" x14ac:dyDescent="0.15"/>
    <row r="32718" s="9" customFormat="1" ht="21.95" customHeight="1" x14ac:dyDescent="0.15"/>
    <row r="32719" s="9" customFormat="1" ht="21.95" customHeight="1" x14ac:dyDescent="0.15"/>
    <row r="32720" s="9" customFormat="1" ht="21.95" customHeight="1" x14ac:dyDescent="0.15"/>
    <row r="32721" s="9" customFormat="1" ht="21.95" customHeight="1" x14ac:dyDescent="0.15"/>
    <row r="32722" s="9" customFormat="1" ht="21.95" customHeight="1" x14ac:dyDescent="0.15"/>
    <row r="32723" s="9" customFormat="1" ht="21.95" customHeight="1" x14ac:dyDescent="0.15"/>
    <row r="32724" s="9" customFormat="1" ht="21.95" customHeight="1" x14ac:dyDescent="0.15"/>
    <row r="32725" s="9" customFormat="1" ht="21.95" customHeight="1" x14ac:dyDescent="0.15"/>
    <row r="32726" s="9" customFormat="1" ht="35.1" customHeight="1" x14ac:dyDescent="0.15"/>
    <row r="32727" s="9" customFormat="1" ht="21.95" customHeight="1" x14ac:dyDescent="0.15"/>
    <row r="32728" s="9" customFormat="1" ht="21.95" customHeight="1" x14ac:dyDescent="0.15"/>
    <row r="32729" s="9" customFormat="1" ht="21.95" customHeight="1" x14ac:dyDescent="0.15"/>
    <row r="32730" s="9" customFormat="1" ht="21.95" customHeight="1" x14ac:dyDescent="0.15"/>
    <row r="32731" s="9" customFormat="1" ht="21.95" customHeight="1" x14ac:dyDescent="0.15"/>
    <row r="32732" s="9" customFormat="1" ht="21.95" customHeight="1" x14ac:dyDescent="0.15"/>
    <row r="32733" s="9" customFormat="1" ht="21.95" customHeight="1" x14ac:dyDescent="0.15"/>
    <row r="32734" s="9" customFormat="1" ht="21.95" customHeight="1" x14ac:dyDescent="0.15"/>
    <row r="32735" s="9" customFormat="1" ht="21.95" customHeight="1" x14ac:dyDescent="0.15"/>
    <row r="32736" s="9" customFormat="1" ht="21.95" customHeight="1" x14ac:dyDescent="0.15"/>
    <row r="32737" spans="3:3" s="9" customFormat="1" ht="21.95" customHeight="1" x14ac:dyDescent="0.15"/>
    <row r="32738" spans="3:3" s="9" customFormat="1" ht="21.95" customHeight="1" x14ac:dyDescent="0.15"/>
    <row r="32739" spans="3:3" s="9" customFormat="1" ht="21.95" customHeight="1" x14ac:dyDescent="0.15"/>
    <row r="32740" spans="3:3" s="9" customFormat="1" ht="21.95" customHeight="1" x14ac:dyDescent="0.15"/>
    <row r="32741" spans="3:3" s="9" customFormat="1" ht="21.95" customHeight="1" x14ac:dyDescent="0.15"/>
    <row r="32742" spans="3:3" s="9" customFormat="1" ht="21.95" customHeight="1" x14ac:dyDescent="0.15"/>
    <row r="32743" spans="3:3" s="9" customFormat="1" ht="21.95" customHeight="1" x14ac:dyDescent="0.15"/>
    <row r="32744" spans="3:3" s="9" customFormat="1" ht="21.95" customHeight="1" x14ac:dyDescent="0.15"/>
    <row r="32745" spans="3:3" s="9" customFormat="1" ht="21.95" customHeight="1" x14ac:dyDescent="0.15"/>
    <row r="32746" spans="3:3" s="9" customFormat="1" ht="21.95" customHeight="1" x14ac:dyDescent="0.15"/>
    <row r="32747" spans="3:3" s="9" customFormat="1" ht="21.95" customHeight="1" x14ac:dyDescent="0.15"/>
    <row r="32748" spans="3:3" s="9" customFormat="1" ht="21.95" customHeight="1" x14ac:dyDescent="0.15"/>
    <row r="32749" spans="3:3" s="9" customFormat="1" ht="21.95" customHeight="1" x14ac:dyDescent="0.15"/>
    <row r="32750" spans="3:3" s="8" customFormat="1" ht="21.95" customHeight="1" x14ac:dyDescent="0.15"/>
    <row r="32751" spans="3:3" s="8" customFormat="1" ht="21.95" customHeight="1" x14ac:dyDescent="0.15"/>
    <row r="32752" spans="3:3" s="8" customFormat="1" ht="21.95" customHeight="1" x14ac:dyDescent="0.15">
      <c r="C32752" s="101"/>
    </row>
    <row r="32753" spans="3:3" s="8" customFormat="1" ht="21.95" customHeight="1" x14ac:dyDescent="0.15">
      <c r="C32753" s="101"/>
    </row>
    <row r="32754" spans="3:3" s="8" customFormat="1" ht="21.95" customHeight="1" x14ac:dyDescent="0.15"/>
    <row r="32755" spans="3:3" s="8" customFormat="1" ht="21.95" customHeight="1" x14ac:dyDescent="0.15"/>
    <row r="32756" spans="3:3" s="8" customFormat="1" ht="21.95" customHeight="1" x14ac:dyDescent="0.15"/>
    <row r="32757" spans="3:3" s="8" customFormat="1" ht="21.95" customHeight="1" x14ac:dyDescent="0.15"/>
    <row r="32758" spans="3:3" s="8" customFormat="1" ht="21.95" customHeight="1" x14ac:dyDescent="0.15"/>
    <row r="32759" spans="3:3" s="8" customFormat="1" ht="21.95" customHeight="1" x14ac:dyDescent="0.15"/>
    <row r="32760" spans="3:3" s="8" customFormat="1" ht="21.95" customHeight="1" x14ac:dyDescent="0.15"/>
    <row r="32761" spans="3:3" s="9" customFormat="1" ht="21.95" customHeight="1" x14ac:dyDescent="0.15"/>
    <row r="32762" spans="3:3" s="9" customFormat="1" ht="21.95" customHeight="1" x14ac:dyDescent="0.15"/>
    <row r="32763" spans="3:3" s="9" customFormat="1" ht="21.95" customHeight="1" x14ac:dyDescent="0.15"/>
    <row r="32764" spans="3:3" s="9" customFormat="1" ht="21.95" customHeight="1" x14ac:dyDescent="0.15"/>
    <row r="32765" spans="3:3" s="8" customFormat="1" ht="21.95" customHeight="1" x14ac:dyDescent="0.15"/>
    <row r="32766" spans="3:3" s="8" customFormat="1" ht="21.95" customHeight="1" x14ac:dyDescent="0.15"/>
    <row r="32767" spans="3:3" s="8" customFormat="1" ht="21.95" customHeight="1" x14ac:dyDescent="0.15"/>
    <row r="32768" spans="3:3" s="8" customFormat="1" ht="21.95" customHeight="1" x14ac:dyDescent="0.15"/>
    <row r="32769" s="8" customFormat="1" ht="21.95" customHeight="1" x14ac:dyDescent="0.15"/>
    <row r="32770" s="8" customFormat="1" ht="21.95" customHeight="1" x14ac:dyDescent="0.15"/>
    <row r="32771" s="8" customFormat="1" ht="21.95" customHeight="1" x14ac:dyDescent="0.15"/>
    <row r="32772" s="8" customFormat="1" ht="21.95" customHeight="1" x14ac:dyDescent="0.15"/>
    <row r="32773" s="8" customFormat="1" ht="21.95" customHeight="1" x14ac:dyDescent="0.15"/>
    <row r="32774" s="8" customFormat="1" ht="21.95" customHeight="1" x14ac:dyDescent="0.15"/>
    <row r="32775" s="8" customFormat="1" ht="21.95" customHeight="1" x14ac:dyDescent="0.15"/>
    <row r="32776" s="8" customFormat="1" ht="32.1" customHeight="1" x14ac:dyDescent="0.15"/>
    <row r="32777" s="8" customFormat="1" ht="32.1" customHeight="1" x14ac:dyDescent="0.15"/>
    <row r="32778" s="8" customFormat="1" ht="32.1" customHeight="1" x14ac:dyDescent="0.15"/>
    <row r="32779" s="8" customFormat="1" ht="32.1" customHeight="1" x14ac:dyDescent="0.15"/>
    <row r="32780" s="8" customFormat="1" ht="32.1" customHeight="1" x14ac:dyDescent="0.15"/>
    <row r="32781" s="8" customFormat="1" ht="32.1" customHeight="1" x14ac:dyDescent="0.15"/>
    <row r="32782" s="9" customFormat="1" ht="32.1" customHeight="1" x14ac:dyDescent="0.15"/>
    <row r="32783" s="9" customFormat="1" ht="32.1" customHeight="1" x14ac:dyDescent="0.15"/>
    <row r="32784" s="9" customFormat="1" ht="32.1" customHeight="1" x14ac:dyDescent="0.15"/>
    <row r="32785" s="9" customFormat="1" ht="32.1" customHeight="1" x14ac:dyDescent="0.15"/>
    <row r="32786" s="9" customFormat="1" ht="21.95" customHeight="1" x14ac:dyDescent="0.15"/>
    <row r="32787" s="9" customFormat="1" ht="54" customHeight="1" x14ac:dyDescent="0.15"/>
    <row r="32788" s="9" customFormat="1" ht="21.95" customHeight="1" x14ac:dyDescent="0.15"/>
    <row r="32789" s="9" customFormat="1" ht="21.95" customHeight="1" x14ac:dyDescent="0.15"/>
    <row r="32790" s="9" customFormat="1" ht="21.95" customHeight="1" x14ac:dyDescent="0.15"/>
    <row r="32791" s="9" customFormat="1" ht="21.95" customHeight="1" x14ac:dyDescent="0.15"/>
    <row r="32792" s="9" customFormat="1" ht="21.95" customHeight="1" x14ac:dyDescent="0.15"/>
    <row r="32793" s="9" customFormat="1" ht="21.95" customHeight="1" x14ac:dyDescent="0.15"/>
    <row r="32794" s="9" customFormat="1" ht="21.95" customHeight="1" x14ac:dyDescent="0.15"/>
    <row r="32795" s="9" customFormat="1" ht="21.95" customHeight="1" x14ac:dyDescent="0.15"/>
    <row r="32796" s="9" customFormat="1" ht="21.95" customHeight="1" x14ac:dyDescent="0.15"/>
    <row r="32797" s="9" customFormat="1" ht="21.95" customHeight="1" x14ac:dyDescent="0.15"/>
    <row r="32798" s="9" customFormat="1" ht="21.95" customHeight="1" x14ac:dyDescent="0.15"/>
    <row r="32799" s="9" customFormat="1" ht="21.95" customHeight="1" x14ac:dyDescent="0.15"/>
    <row r="32800" s="9" customFormat="1" ht="21.95" customHeight="1" x14ac:dyDescent="0.15"/>
    <row r="32801" s="9" customFormat="1" ht="21.95" customHeight="1" x14ac:dyDescent="0.15"/>
    <row r="32802" s="9" customFormat="1" ht="21.95" customHeight="1" x14ac:dyDescent="0.15"/>
    <row r="32803" s="9" customFormat="1" ht="21.95" customHeight="1" x14ac:dyDescent="0.15"/>
    <row r="32804" s="9" customFormat="1" ht="21.95" customHeight="1" x14ac:dyDescent="0.15"/>
    <row r="32805" s="9" customFormat="1" ht="21.95" customHeight="1" x14ac:dyDescent="0.15"/>
    <row r="32806" s="9" customFormat="1" ht="21.95" customHeight="1" x14ac:dyDescent="0.15"/>
    <row r="32807" s="9" customFormat="1" ht="21.95" customHeight="1" x14ac:dyDescent="0.15"/>
    <row r="32808" s="9" customFormat="1" ht="21.95" customHeight="1" x14ac:dyDescent="0.15"/>
    <row r="32809" s="9" customFormat="1" ht="21.95" customHeight="1" x14ac:dyDescent="0.15"/>
    <row r="32810" s="9" customFormat="1" ht="21.95" customHeight="1" x14ac:dyDescent="0.15"/>
    <row r="32811" s="9" customFormat="1" ht="21.95" customHeight="1" x14ac:dyDescent="0.15"/>
    <row r="32812" s="9" customFormat="1" ht="21.95" customHeight="1" x14ac:dyDescent="0.15"/>
    <row r="32813" s="9" customFormat="1" ht="21.95" customHeight="1" x14ac:dyDescent="0.15"/>
    <row r="32814" s="9" customFormat="1" ht="21.95" customHeight="1" x14ac:dyDescent="0.15"/>
    <row r="32815" s="9" customFormat="1" ht="21.95" customHeight="1" x14ac:dyDescent="0.15"/>
    <row r="32816" s="9" customFormat="1" ht="21.95" customHeight="1" x14ac:dyDescent="0.15"/>
    <row r="32817" s="9" customFormat="1" ht="21.95" customHeight="1" x14ac:dyDescent="0.15"/>
    <row r="32818" s="9" customFormat="1" ht="21.95" customHeight="1" x14ac:dyDescent="0.15"/>
    <row r="32819" s="9" customFormat="1" ht="21.95" customHeight="1" x14ac:dyDescent="0.15"/>
    <row r="32820" s="9" customFormat="1" ht="21.95" customHeight="1" x14ac:dyDescent="0.15"/>
    <row r="32821" s="9" customFormat="1" ht="21.95" customHeight="1" x14ac:dyDescent="0.15"/>
    <row r="32822" s="9" customFormat="1" ht="21.95" customHeight="1" x14ac:dyDescent="0.15"/>
    <row r="32823" s="9" customFormat="1" ht="21.95" customHeight="1" x14ac:dyDescent="0.15"/>
    <row r="32824" s="9" customFormat="1" ht="21.95" customHeight="1" x14ac:dyDescent="0.15"/>
    <row r="32825" s="9" customFormat="1" ht="21.95" customHeight="1" x14ac:dyDescent="0.15"/>
    <row r="32826" s="9" customFormat="1" ht="21.95" customHeight="1" x14ac:dyDescent="0.15"/>
    <row r="32827" s="9" customFormat="1" ht="21.95" customHeight="1" x14ac:dyDescent="0.15"/>
    <row r="32828" s="9" customFormat="1" ht="21.95" customHeight="1" x14ac:dyDescent="0.15"/>
    <row r="32829" s="9" customFormat="1" ht="21.95" customHeight="1" x14ac:dyDescent="0.15"/>
    <row r="32830" s="9" customFormat="1" ht="21.95" customHeight="1" x14ac:dyDescent="0.15"/>
    <row r="32831" s="9" customFormat="1" ht="21.95" customHeight="1" x14ac:dyDescent="0.15"/>
    <row r="32832" s="9" customFormat="1" ht="21.95" customHeight="1" x14ac:dyDescent="0.15"/>
    <row r="32833" s="9" customFormat="1" ht="21.95" customHeight="1" x14ac:dyDescent="0.15"/>
    <row r="32834" s="9" customFormat="1" ht="21.95" customHeight="1" x14ac:dyDescent="0.15"/>
    <row r="32835" s="9" customFormat="1" ht="21.95" customHeight="1" x14ac:dyDescent="0.15"/>
    <row r="32836" s="9" customFormat="1" ht="21.95" customHeight="1" x14ac:dyDescent="0.15"/>
    <row r="32837" s="9" customFormat="1" ht="21.95" customHeight="1" x14ac:dyDescent="0.15"/>
    <row r="32838" s="9" customFormat="1" ht="35.1" customHeight="1" x14ac:dyDescent="0.15"/>
    <row r="32839" s="9" customFormat="1" ht="21.95" customHeight="1" x14ac:dyDescent="0.15"/>
    <row r="32840" s="9" customFormat="1" ht="21.95" customHeight="1" x14ac:dyDescent="0.15"/>
    <row r="32841" s="9" customFormat="1" ht="21.95" customHeight="1" x14ac:dyDescent="0.15"/>
    <row r="32842" s="9" customFormat="1" ht="21.95" customHeight="1" x14ac:dyDescent="0.15"/>
    <row r="32843" s="9" customFormat="1" ht="21.95" customHeight="1" x14ac:dyDescent="0.15"/>
    <row r="32844" s="9" customFormat="1" ht="21.95" customHeight="1" x14ac:dyDescent="0.15"/>
    <row r="32845" s="9" customFormat="1" ht="21.95" customHeight="1" x14ac:dyDescent="0.15"/>
    <row r="32846" s="9" customFormat="1" ht="21.95" customHeight="1" x14ac:dyDescent="0.15"/>
    <row r="32847" s="9" customFormat="1" ht="21.95" customHeight="1" x14ac:dyDescent="0.15"/>
    <row r="32848" s="9" customFormat="1" ht="21.95" customHeight="1" x14ac:dyDescent="0.15"/>
    <row r="32849" spans="3:3" s="9" customFormat="1" ht="21.95" customHeight="1" x14ac:dyDescent="0.15"/>
    <row r="32850" spans="3:3" s="9" customFormat="1" ht="21.95" customHeight="1" x14ac:dyDescent="0.15"/>
    <row r="32851" spans="3:3" s="9" customFormat="1" ht="21.95" customHeight="1" x14ac:dyDescent="0.15"/>
    <row r="32852" spans="3:3" s="9" customFormat="1" ht="21.95" customHeight="1" x14ac:dyDescent="0.15"/>
    <row r="32853" spans="3:3" s="9" customFormat="1" ht="21.95" customHeight="1" x14ac:dyDescent="0.15"/>
    <row r="32854" spans="3:3" s="9" customFormat="1" ht="21.95" customHeight="1" x14ac:dyDescent="0.15"/>
    <row r="32855" spans="3:3" s="9" customFormat="1" ht="21.95" customHeight="1" x14ac:dyDescent="0.15"/>
    <row r="32856" spans="3:3" s="9" customFormat="1" ht="21.95" customHeight="1" x14ac:dyDescent="0.15"/>
    <row r="32857" spans="3:3" s="9" customFormat="1" ht="21.95" customHeight="1" x14ac:dyDescent="0.15"/>
    <row r="32858" spans="3:3" s="9" customFormat="1" ht="21.95" customHeight="1" x14ac:dyDescent="0.15"/>
    <row r="32859" spans="3:3" s="9" customFormat="1" ht="21.95" customHeight="1" x14ac:dyDescent="0.15"/>
    <row r="32860" spans="3:3" s="9" customFormat="1" ht="21.95" customHeight="1" x14ac:dyDescent="0.15"/>
    <row r="32861" spans="3:3" s="9" customFormat="1" ht="21.95" customHeight="1" x14ac:dyDescent="0.15"/>
    <row r="32862" spans="3:3" s="8" customFormat="1" ht="21.95" customHeight="1" x14ac:dyDescent="0.15"/>
    <row r="32863" spans="3:3" s="8" customFormat="1" ht="21.95" customHeight="1" x14ac:dyDescent="0.15"/>
    <row r="32864" spans="3:3" s="8" customFormat="1" ht="21.95" customHeight="1" x14ac:dyDescent="0.15">
      <c r="C32864" s="101"/>
    </row>
    <row r="32865" spans="3:3" s="8" customFormat="1" ht="21.95" customHeight="1" x14ac:dyDescent="0.15">
      <c r="C32865" s="101"/>
    </row>
    <row r="32866" spans="3:3" s="8" customFormat="1" ht="21.95" customHeight="1" x14ac:dyDescent="0.15"/>
    <row r="32867" spans="3:3" s="8" customFormat="1" ht="21.95" customHeight="1" x14ac:dyDescent="0.15"/>
    <row r="32868" spans="3:3" s="8" customFormat="1" ht="21.95" customHeight="1" x14ac:dyDescent="0.15"/>
    <row r="32869" spans="3:3" s="8" customFormat="1" ht="21.95" customHeight="1" x14ac:dyDescent="0.15"/>
    <row r="32870" spans="3:3" s="8" customFormat="1" ht="21.95" customHeight="1" x14ac:dyDescent="0.15"/>
    <row r="32871" spans="3:3" s="8" customFormat="1" ht="21.95" customHeight="1" x14ac:dyDescent="0.15"/>
    <row r="32872" spans="3:3" s="8" customFormat="1" ht="21.95" customHeight="1" x14ac:dyDescent="0.15"/>
    <row r="32873" spans="3:3" s="9" customFormat="1" ht="21.95" customHeight="1" x14ac:dyDescent="0.15"/>
    <row r="32874" spans="3:3" s="9" customFormat="1" ht="21.95" customHeight="1" x14ac:dyDescent="0.15"/>
    <row r="32875" spans="3:3" s="9" customFormat="1" ht="21.95" customHeight="1" x14ac:dyDescent="0.15"/>
    <row r="32876" spans="3:3" s="9" customFormat="1" ht="21.95" customHeight="1" x14ac:dyDescent="0.15"/>
    <row r="32877" spans="3:3" s="8" customFormat="1" ht="21.95" customHeight="1" x14ac:dyDescent="0.15"/>
    <row r="32878" spans="3:3" s="8" customFormat="1" ht="21.95" customHeight="1" x14ac:dyDescent="0.15"/>
    <row r="32879" spans="3:3" s="8" customFormat="1" ht="21.95" customHeight="1" x14ac:dyDescent="0.15"/>
    <row r="32880" spans="3:3" s="8" customFormat="1" ht="21.95" customHeight="1" x14ac:dyDescent="0.15"/>
    <row r="32881" s="8" customFormat="1" ht="21.95" customHeight="1" x14ac:dyDescent="0.15"/>
    <row r="32882" s="8" customFormat="1" ht="21.95" customHeight="1" x14ac:dyDescent="0.15"/>
    <row r="32883" s="8" customFormat="1" ht="21.95" customHeight="1" x14ac:dyDescent="0.15"/>
    <row r="32884" s="8" customFormat="1" ht="21.95" customHeight="1" x14ac:dyDescent="0.15"/>
    <row r="32885" s="8" customFormat="1" ht="21.95" customHeight="1" x14ac:dyDescent="0.15"/>
    <row r="32886" s="8" customFormat="1" ht="21.95" customHeight="1" x14ac:dyDescent="0.15"/>
    <row r="32887" s="8" customFormat="1" ht="21.95" customHeight="1" x14ac:dyDescent="0.15"/>
    <row r="32888" s="8" customFormat="1" ht="32.1" customHeight="1" x14ac:dyDescent="0.15"/>
    <row r="32889" s="8" customFormat="1" ht="32.1" customHeight="1" x14ac:dyDescent="0.15"/>
    <row r="32890" s="8" customFormat="1" ht="32.1" customHeight="1" x14ac:dyDescent="0.15"/>
    <row r="32891" s="8" customFormat="1" ht="32.1" customHeight="1" x14ac:dyDescent="0.15"/>
    <row r="32892" s="8" customFormat="1" ht="32.1" customHeight="1" x14ac:dyDescent="0.15"/>
    <row r="32893" s="8" customFormat="1" ht="32.1" customHeight="1" x14ac:dyDescent="0.15"/>
    <row r="32894" s="9" customFormat="1" ht="32.1" customHeight="1" x14ac:dyDescent="0.15"/>
    <row r="32895" s="9" customFormat="1" ht="32.1" customHeight="1" x14ac:dyDescent="0.15"/>
    <row r="32896" s="9" customFormat="1" ht="32.1" customHeight="1" x14ac:dyDescent="0.15"/>
    <row r="32897" s="9" customFormat="1" ht="32.1" customHeight="1" x14ac:dyDescent="0.15"/>
    <row r="32898" s="9" customFormat="1" ht="21.95" customHeight="1" x14ac:dyDescent="0.15"/>
    <row r="32899" s="9" customFormat="1" ht="54" customHeight="1" x14ac:dyDescent="0.15"/>
    <row r="32900" s="9" customFormat="1" ht="21.95" customHeight="1" x14ac:dyDescent="0.15"/>
    <row r="32901" s="9" customFormat="1" ht="21.95" customHeight="1" x14ac:dyDescent="0.15"/>
    <row r="32902" s="9" customFormat="1" ht="21.95" customHeight="1" x14ac:dyDescent="0.15"/>
    <row r="32903" s="9" customFormat="1" ht="21.95" customHeight="1" x14ac:dyDescent="0.15"/>
    <row r="32904" s="9" customFormat="1" ht="21.95" customHeight="1" x14ac:dyDescent="0.15"/>
    <row r="32905" s="9" customFormat="1" ht="21.95" customHeight="1" x14ac:dyDescent="0.15"/>
    <row r="32906" s="9" customFormat="1" ht="21.95" customHeight="1" x14ac:dyDescent="0.15"/>
    <row r="32907" s="9" customFormat="1" ht="21.95" customHeight="1" x14ac:dyDescent="0.15"/>
    <row r="32908" s="9" customFormat="1" ht="21.95" customHeight="1" x14ac:dyDescent="0.15"/>
    <row r="32909" s="9" customFormat="1" ht="21.95" customHeight="1" x14ac:dyDescent="0.15"/>
    <row r="32910" s="9" customFormat="1" ht="21.95" customHeight="1" x14ac:dyDescent="0.15"/>
    <row r="32911" s="9" customFormat="1" ht="21.95" customHeight="1" x14ac:dyDescent="0.15"/>
    <row r="32912" s="9" customFormat="1" ht="21.95" customHeight="1" x14ac:dyDescent="0.15"/>
    <row r="32913" s="9" customFormat="1" ht="21.95" customHeight="1" x14ac:dyDescent="0.15"/>
    <row r="32914" s="9" customFormat="1" ht="21.95" customHeight="1" x14ac:dyDescent="0.15"/>
    <row r="32915" s="9" customFormat="1" ht="21.95" customHeight="1" x14ac:dyDescent="0.15"/>
    <row r="32916" s="9" customFormat="1" ht="21.95" customHeight="1" x14ac:dyDescent="0.15"/>
    <row r="32917" s="9" customFormat="1" ht="21.95" customHeight="1" x14ac:dyDescent="0.15"/>
    <row r="32918" s="9" customFormat="1" ht="21.95" customHeight="1" x14ac:dyDescent="0.15"/>
    <row r="32919" s="9" customFormat="1" ht="21.95" customHeight="1" x14ac:dyDescent="0.15"/>
    <row r="32920" s="9" customFormat="1" ht="21.95" customHeight="1" x14ac:dyDescent="0.15"/>
    <row r="32921" s="9" customFormat="1" ht="21.95" customHeight="1" x14ac:dyDescent="0.15"/>
    <row r="32922" s="9" customFormat="1" ht="21.95" customHeight="1" x14ac:dyDescent="0.15"/>
    <row r="32923" s="9" customFormat="1" ht="21.95" customHeight="1" x14ac:dyDescent="0.15"/>
    <row r="32924" s="9" customFormat="1" ht="21.95" customHeight="1" x14ac:dyDescent="0.15"/>
    <row r="32925" s="9" customFormat="1" ht="21.95" customHeight="1" x14ac:dyDescent="0.15"/>
    <row r="32926" s="9" customFormat="1" ht="21.95" customHeight="1" x14ac:dyDescent="0.15"/>
    <row r="32927" s="9" customFormat="1" ht="21.95" customHeight="1" x14ac:dyDescent="0.15"/>
    <row r="32928" s="9" customFormat="1" ht="21.95" customHeight="1" x14ac:dyDescent="0.15"/>
    <row r="32929" s="9" customFormat="1" ht="21.95" customHeight="1" x14ac:dyDescent="0.15"/>
    <row r="32930" s="9" customFormat="1" ht="21.95" customHeight="1" x14ac:dyDescent="0.15"/>
    <row r="32931" s="9" customFormat="1" ht="21.95" customHeight="1" x14ac:dyDescent="0.15"/>
    <row r="32932" s="9" customFormat="1" ht="21.95" customHeight="1" x14ac:dyDescent="0.15"/>
    <row r="32933" s="9" customFormat="1" ht="21.95" customHeight="1" x14ac:dyDescent="0.15"/>
    <row r="32934" s="9" customFormat="1" ht="21.95" customHeight="1" x14ac:dyDescent="0.15"/>
    <row r="32935" s="9" customFormat="1" ht="21.95" customHeight="1" x14ac:dyDescent="0.15"/>
    <row r="32936" s="9" customFormat="1" ht="21.95" customHeight="1" x14ac:dyDescent="0.15"/>
    <row r="32937" s="9" customFormat="1" ht="21.95" customHeight="1" x14ac:dyDescent="0.15"/>
    <row r="32938" s="9" customFormat="1" ht="21.95" customHeight="1" x14ac:dyDescent="0.15"/>
    <row r="32939" s="9" customFormat="1" ht="21.95" customHeight="1" x14ac:dyDescent="0.15"/>
    <row r="32940" s="9" customFormat="1" ht="21.95" customHeight="1" x14ac:dyDescent="0.15"/>
    <row r="32941" s="9" customFormat="1" ht="21.95" customHeight="1" x14ac:dyDescent="0.15"/>
    <row r="32942" s="9" customFormat="1" ht="21.95" customHeight="1" x14ac:dyDescent="0.15"/>
    <row r="32943" s="9" customFormat="1" ht="21.95" customHeight="1" x14ac:dyDescent="0.15"/>
    <row r="32944" s="9" customFormat="1" ht="21.95" customHeight="1" x14ac:dyDescent="0.15"/>
    <row r="32945" s="9" customFormat="1" ht="21.95" customHeight="1" x14ac:dyDescent="0.15"/>
    <row r="32946" s="9" customFormat="1" ht="21.95" customHeight="1" x14ac:dyDescent="0.15"/>
    <row r="32947" s="9" customFormat="1" ht="21.95" customHeight="1" x14ac:dyDescent="0.15"/>
    <row r="32948" s="9" customFormat="1" ht="21.95" customHeight="1" x14ac:dyDescent="0.15"/>
    <row r="32949" s="9" customFormat="1" ht="21.95" customHeight="1" x14ac:dyDescent="0.15"/>
    <row r="32950" s="9" customFormat="1" ht="35.1" customHeight="1" x14ac:dyDescent="0.15"/>
    <row r="32951" s="9" customFormat="1" ht="21.95" customHeight="1" x14ac:dyDescent="0.15"/>
    <row r="32952" s="9" customFormat="1" ht="21.95" customHeight="1" x14ac:dyDescent="0.15"/>
    <row r="32953" s="9" customFormat="1" ht="21.95" customHeight="1" x14ac:dyDescent="0.15"/>
    <row r="32954" s="9" customFormat="1" ht="21.95" customHeight="1" x14ac:dyDescent="0.15"/>
    <row r="32955" s="9" customFormat="1" ht="21.95" customHeight="1" x14ac:dyDescent="0.15"/>
    <row r="32956" s="9" customFormat="1" ht="21.95" customHeight="1" x14ac:dyDescent="0.15"/>
    <row r="32957" s="9" customFormat="1" ht="21.95" customHeight="1" x14ac:dyDescent="0.15"/>
    <row r="32958" s="9" customFormat="1" ht="21.95" customHeight="1" x14ac:dyDescent="0.15"/>
    <row r="32959" s="9" customFormat="1" ht="21.95" customHeight="1" x14ac:dyDescent="0.15"/>
    <row r="32960" s="9" customFormat="1" ht="21.95" customHeight="1" x14ac:dyDescent="0.15"/>
    <row r="32961" spans="3:3" s="9" customFormat="1" ht="21.95" customHeight="1" x14ac:dyDescent="0.15"/>
    <row r="32962" spans="3:3" s="9" customFormat="1" ht="21.95" customHeight="1" x14ac:dyDescent="0.15"/>
    <row r="32963" spans="3:3" s="9" customFormat="1" ht="21.95" customHeight="1" x14ac:dyDescent="0.15"/>
    <row r="32964" spans="3:3" s="9" customFormat="1" ht="21.95" customHeight="1" x14ac:dyDescent="0.15"/>
    <row r="32965" spans="3:3" s="9" customFormat="1" ht="21.95" customHeight="1" x14ac:dyDescent="0.15"/>
    <row r="32966" spans="3:3" s="9" customFormat="1" ht="21.95" customHeight="1" x14ac:dyDescent="0.15"/>
    <row r="32967" spans="3:3" s="9" customFormat="1" ht="21.95" customHeight="1" x14ac:dyDescent="0.15"/>
    <row r="32968" spans="3:3" s="9" customFormat="1" ht="21.95" customHeight="1" x14ac:dyDescent="0.15"/>
    <row r="32969" spans="3:3" s="9" customFormat="1" ht="21.95" customHeight="1" x14ac:dyDescent="0.15"/>
    <row r="32970" spans="3:3" s="9" customFormat="1" ht="21.95" customHeight="1" x14ac:dyDescent="0.15"/>
    <row r="32971" spans="3:3" s="9" customFormat="1" ht="21.95" customHeight="1" x14ac:dyDescent="0.15"/>
    <row r="32972" spans="3:3" s="9" customFormat="1" ht="21.95" customHeight="1" x14ac:dyDescent="0.15"/>
    <row r="32973" spans="3:3" s="9" customFormat="1" ht="21.95" customHeight="1" x14ac:dyDescent="0.15"/>
    <row r="32974" spans="3:3" s="8" customFormat="1" ht="21.95" customHeight="1" x14ac:dyDescent="0.15"/>
    <row r="32975" spans="3:3" s="8" customFormat="1" ht="21.95" customHeight="1" x14ac:dyDescent="0.15"/>
    <row r="32976" spans="3:3" s="8" customFormat="1" ht="21.95" customHeight="1" x14ac:dyDescent="0.15">
      <c r="C32976" s="101"/>
    </row>
    <row r="32977" spans="3:3" s="8" customFormat="1" ht="21.95" customHeight="1" x14ac:dyDescent="0.15">
      <c r="C32977" s="101"/>
    </row>
    <row r="32978" spans="3:3" s="8" customFormat="1" ht="21.95" customHeight="1" x14ac:dyDescent="0.15"/>
    <row r="32979" spans="3:3" s="8" customFormat="1" ht="21.95" customHeight="1" x14ac:dyDescent="0.15"/>
    <row r="32980" spans="3:3" s="8" customFormat="1" ht="21.95" customHeight="1" x14ac:dyDescent="0.15"/>
    <row r="32981" spans="3:3" s="8" customFormat="1" ht="21.95" customHeight="1" x14ac:dyDescent="0.15"/>
    <row r="32982" spans="3:3" s="8" customFormat="1" ht="21.95" customHeight="1" x14ac:dyDescent="0.15"/>
    <row r="32983" spans="3:3" s="8" customFormat="1" ht="21.95" customHeight="1" x14ac:dyDescent="0.15"/>
    <row r="32984" spans="3:3" s="8" customFormat="1" ht="21.95" customHeight="1" x14ac:dyDescent="0.15"/>
    <row r="32985" spans="3:3" s="9" customFormat="1" ht="21.95" customHeight="1" x14ac:dyDescent="0.15"/>
    <row r="32986" spans="3:3" s="9" customFormat="1" ht="21.95" customHeight="1" x14ac:dyDescent="0.15"/>
    <row r="32987" spans="3:3" s="9" customFormat="1" ht="21.95" customHeight="1" x14ac:dyDescent="0.15"/>
    <row r="32988" spans="3:3" s="9" customFormat="1" ht="21.95" customHeight="1" x14ac:dyDescent="0.15"/>
    <row r="32989" spans="3:3" s="8" customFormat="1" ht="21.95" customHeight="1" x14ac:dyDescent="0.15"/>
    <row r="32990" spans="3:3" s="8" customFormat="1" ht="21.95" customHeight="1" x14ac:dyDescent="0.15"/>
    <row r="32991" spans="3:3" s="8" customFormat="1" ht="21.95" customHeight="1" x14ac:dyDescent="0.15"/>
    <row r="32992" spans="3:3" s="8" customFormat="1" ht="21.95" customHeight="1" x14ac:dyDescent="0.15"/>
    <row r="32993" s="8" customFormat="1" ht="21.95" customHeight="1" x14ac:dyDescent="0.15"/>
    <row r="32994" s="8" customFormat="1" ht="21.95" customHeight="1" x14ac:dyDescent="0.15"/>
    <row r="32995" s="8" customFormat="1" ht="21.95" customHeight="1" x14ac:dyDescent="0.15"/>
    <row r="32996" s="8" customFormat="1" ht="21.95" customHeight="1" x14ac:dyDescent="0.15"/>
    <row r="32997" s="8" customFormat="1" ht="21.95" customHeight="1" x14ac:dyDescent="0.15"/>
    <row r="32998" s="8" customFormat="1" ht="21.95" customHeight="1" x14ac:dyDescent="0.15"/>
    <row r="32999" s="8" customFormat="1" ht="21.95" customHeight="1" x14ac:dyDescent="0.15"/>
    <row r="33000" s="8" customFormat="1" ht="32.1" customHeight="1" x14ac:dyDescent="0.15"/>
    <row r="33001" s="8" customFormat="1" ht="32.1" customHeight="1" x14ac:dyDescent="0.15"/>
    <row r="33002" s="8" customFormat="1" ht="32.1" customHeight="1" x14ac:dyDescent="0.15"/>
    <row r="33003" s="8" customFormat="1" ht="32.1" customHeight="1" x14ac:dyDescent="0.15"/>
    <row r="33004" s="8" customFormat="1" ht="32.1" customHeight="1" x14ac:dyDescent="0.15"/>
    <row r="33005" s="8" customFormat="1" ht="32.1" customHeight="1" x14ac:dyDescent="0.15"/>
    <row r="33006" s="9" customFormat="1" ht="32.1" customHeight="1" x14ac:dyDescent="0.15"/>
    <row r="33007" s="9" customFormat="1" ht="32.1" customHeight="1" x14ac:dyDescent="0.15"/>
    <row r="33008" s="9" customFormat="1" ht="32.1" customHeight="1" x14ac:dyDescent="0.15"/>
    <row r="33009" s="9" customFormat="1" ht="32.1" customHeight="1" x14ac:dyDescent="0.15"/>
    <row r="33010" s="9" customFormat="1" ht="21.95" customHeight="1" x14ac:dyDescent="0.15"/>
    <row r="33011" s="9" customFormat="1" ht="54" customHeight="1" x14ac:dyDescent="0.15"/>
    <row r="33012" s="9" customFormat="1" ht="21.95" customHeight="1" x14ac:dyDescent="0.15"/>
    <row r="33013" s="9" customFormat="1" ht="21.95" customHeight="1" x14ac:dyDescent="0.15"/>
    <row r="33014" s="9" customFormat="1" ht="21.95" customHeight="1" x14ac:dyDescent="0.15"/>
    <row r="33015" s="9" customFormat="1" ht="21.95" customHeight="1" x14ac:dyDescent="0.15"/>
    <row r="33016" s="9" customFormat="1" ht="21.95" customHeight="1" x14ac:dyDescent="0.15"/>
    <row r="33017" s="9" customFormat="1" ht="21.95" customHeight="1" x14ac:dyDescent="0.15"/>
    <row r="33018" s="9" customFormat="1" ht="21.95" customHeight="1" x14ac:dyDescent="0.15"/>
    <row r="33019" s="9" customFormat="1" ht="21.95" customHeight="1" x14ac:dyDescent="0.15"/>
    <row r="33020" s="9" customFormat="1" ht="21.95" customHeight="1" x14ac:dyDescent="0.15"/>
    <row r="33021" s="9" customFormat="1" ht="21.95" customHeight="1" x14ac:dyDescent="0.15"/>
    <row r="33022" s="9" customFormat="1" ht="21.95" customHeight="1" x14ac:dyDescent="0.15"/>
    <row r="33023" s="9" customFormat="1" ht="21.95" customHeight="1" x14ac:dyDescent="0.15"/>
    <row r="33024" s="9" customFormat="1" ht="21.95" customHeight="1" x14ac:dyDescent="0.15"/>
    <row r="33025" s="9" customFormat="1" ht="21.95" customHeight="1" x14ac:dyDescent="0.15"/>
    <row r="33026" s="9" customFormat="1" ht="21.95" customHeight="1" x14ac:dyDescent="0.15"/>
    <row r="33027" s="9" customFormat="1" ht="21.95" customHeight="1" x14ac:dyDescent="0.15"/>
    <row r="33028" s="9" customFormat="1" ht="21.95" customHeight="1" x14ac:dyDescent="0.15"/>
    <row r="33029" s="9" customFormat="1" ht="21.95" customHeight="1" x14ac:dyDescent="0.15"/>
    <row r="33030" s="9" customFormat="1" ht="21.95" customHeight="1" x14ac:dyDescent="0.15"/>
    <row r="33031" s="9" customFormat="1" ht="21.95" customHeight="1" x14ac:dyDescent="0.15"/>
    <row r="33032" s="9" customFormat="1" ht="21.95" customHeight="1" x14ac:dyDescent="0.15"/>
    <row r="33033" s="9" customFormat="1" ht="21.95" customHeight="1" x14ac:dyDescent="0.15"/>
    <row r="33034" s="9" customFormat="1" ht="21.95" customHeight="1" x14ac:dyDescent="0.15"/>
    <row r="33035" s="9" customFormat="1" ht="21.95" customHeight="1" x14ac:dyDescent="0.15"/>
    <row r="33036" s="9" customFormat="1" ht="21.95" customHeight="1" x14ac:dyDescent="0.15"/>
    <row r="33037" s="9" customFormat="1" ht="21.95" customHeight="1" x14ac:dyDescent="0.15"/>
    <row r="33038" s="9" customFormat="1" ht="21.95" customHeight="1" x14ac:dyDescent="0.15"/>
    <row r="33039" s="9" customFormat="1" ht="21.95" customHeight="1" x14ac:dyDescent="0.15"/>
    <row r="33040" s="9" customFormat="1" ht="21.95" customHeight="1" x14ac:dyDescent="0.15"/>
    <row r="33041" s="9" customFormat="1" ht="21.95" customHeight="1" x14ac:dyDescent="0.15"/>
    <row r="33042" s="9" customFormat="1" ht="21.95" customHeight="1" x14ac:dyDescent="0.15"/>
    <row r="33043" s="9" customFormat="1" ht="21.95" customHeight="1" x14ac:dyDescent="0.15"/>
    <row r="33044" s="9" customFormat="1" ht="21.95" customHeight="1" x14ac:dyDescent="0.15"/>
    <row r="33045" s="9" customFormat="1" ht="21.95" customHeight="1" x14ac:dyDescent="0.15"/>
    <row r="33046" s="9" customFormat="1" ht="21.95" customHeight="1" x14ac:dyDescent="0.15"/>
    <row r="33047" s="9" customFormat="1" ht="21.95" customHeight="1" x14ac:dyDescent="0.15"/>
    <row r="33048" s="9" customFormat="1" ht="21.95" customHeight="1" x14ac:dyDescent="0.15"/>
    <row r="33049" s="9" customFormat="1" ht="21.95" customHeight="1" x14ac:dyDescent="0.15"/>
    <row r="33050" s="9" customFormat="1" ht="21.95" customHeight="1" x14ac:dyDescent="0.15"/>
    <row r="33051" s="9" customFormat="1" ht="21.95" customHeight="1" x14ac:dyDescent="0.15"/>
    <row r="33052" s="9" customFormat="1" ht="21.95" customHeight="1" x14ac:dyDescent="0.15"/>
    <row r="33053" s="9" customFormat="1" ht="21.95" customHeight="1" x14ac:dyDescent="0.15"/>
    <row r="33054" s="9" customFormat="1" ht="21.95" customHeight="1" x14ac:dyDescent="0.15"/>
    <row r="33055" s="9" customFormat="1" ht="21.95" customHeight="1" x14ac:dyDescent="0.15"/>
    <row r="33056" s="9" customFormat="1" ht="21.95" customHeight="1" x14ac:dyDescent="0.15"/>
    <row r="33057" s="9" customFormat="1" ht="21.95" customHeight="1" x14ac:dyDescent="0.15"/>
    <row r="33058" s="9" customFormat="1" ht="21.95" customHeight="1" x14ac:dyDescent="0.15"/>
    <row r="33059" s="9" customFormat="1" ht="21.95" customHeight="1" x14ac:dyDescent="0.15"/>
    <row r="33060" s="9" customFormat="1" ht="21.95" customHeight="1" x14ac:dyDescent="0.15"/>
    <row r="33061" s="9" customFormat="1" ht="21.95" customHeight="1" x14ac:dyDescent="0.15"/>
    <row r="33062" s="9" customFormat="1" ht="35.1" customHeight="1" x14ac:dyDescent="0.15"/>
    <row r="33063" s="9" customFormat="1" ht="21.95" customHeight="1" x14ac:dyDescent="0.15"/>
    <row r="33064" s="9" customFormat="1" ht="21.95" customHeight="1" x14ac:dyDescent="0.15"/>
    <row r="33065" s="9" customFormat="1" ht="21.95" customHeight="1" x14ac:dyDescent="0.15"/>
    <row r="33066" s="9" customFormat="1" ht="21.95" customHeight="1" x14ac:dyDescent="0.15"/>
    <row r="33067" s="9" customFormat="1" ht="21.95" customHeight="1" x14ac:dyDescent="0.15"/>
    <row r="33068" s="9" customFormat="1" ht="21.95" customHeight="1" x14ac:dyDescent="0.15"/>
    <row r="33069" s="9" customFormat="1" ht="21.95" customHeight="1" x14ac:dyDescent="0.15"/>
    <row r="33070" s="9" customFormat="1" ht="21.95" customHeight="1" x14ac:dyDescent="0.15"/>
    <row r="33071" s="9" customFormat="1" ht="21.95" customHeight="1" x14ac:dyDescent="0.15"/>
    <row r="33072" s="9" customFormat="1" ht="21.95" customHeight="1" x14ac:dyDescent="0.15"/>
    <row r="33073" spans="3:3" s="9" customFormat="1" ht="21.95" customHeight="1" x14ac:dyDescent="0.15"/>
    <row r="33074" spans="3:3" s="9" customFormat="1" ht="21.95" customHeight="1" x14ac:dyDescent="0.15"/>
    <row r="33075" spans="3:3" s="9" customFormat="1" ht="21.95" customHeight="1" x14ac:dyDescent="0.15"/>
    <row r="33076" spans="3:3" s="9" customFormat="1" ht="21.95" customHeight="1" x14ac:dyDescent="0.15"/>
    <row r="33077" spans="3:3" s="9" customFormat="1" ht="21.95" customHeight="1" x14ac:dyDescent="0.15"/>
    <row r="33078" spans="3:3" s="9" customFormat="1" ht="21.95" customHeight="1" x14ac:dyDescent="0.15"/>
    <row r="33079" spans="3:3" s="9" customFormat="1" ht="21.95" customHeight="1" x14ac:dyDescent="0.15"/>
    <row r="33080" spans="3:3" s="9" customFormat="1" ht="21.95" customHeight="1" x14ac:dyDescent="0.15"/>
    <row r="33081" spans="3:3" s="9" customFormat="1" ht="21.95" customHeight="1" x14ac:dyDescent="0.15"/>
    <row r="33082" spans="3:3" s="9" customFormat="1" ht="21.95" customHeight="1" x14ac:dyDescent="0.15"/>
    <row r="33083" spans="3:3" s="9" customFormat="1" ht="21.95" customHeight="1" x14ac:dyDescent="0.15"/>
    <row r="33084" spans="3:3" s="9" customFormat="1" ht="21.95" customHeight="1" x14ac:dyDescent="0.15"/>
    <row r="33085" spans="3:3" s="9" customFormat="1" ht="21.95" customHeight="1" x14ac:dyDescent="0.15"/>
    <row r="33086" spans="3:3" s="8" customFormat="1" ht="21.95" customHeight="1" x14ac:dyDescent="0.15"/>
    <row r="33087" spans="3:3" s="8" customFormat="1" ht="21.95" customHeight="1" x14ac:dyDescent="0.15"/>
    <row r="33088" spans="3:3" s="8" customFormat="1" ht="21.95" customHeight="1" x14ac:dyDescent="0.15">
      <c r="C33088" s="101"/>
    </row>
    <row r="33089" spans="3:3" s="8" customFormat="1" ht="21.95" customHeight="1" x14ac:dyDescent="0.15">
      <c r="C33089" s="101"/>
    </row>
    <row r="33090" spans="3:3" s="8" customFormat="1" ht="21.95" customHeight="1" x14ac:dyDescent="0.15"/>
    <row r="33091" spans="3:3" s="8" customFormat="1" ht="21.95" customHeight="1" x14ac:dyDescent="0.15"/>
    <row r="33092" spans="3:3" s="8" customFormat="1" ht="21.95" customHeight="1" x14ac:dyDescent="0.15"/>
    <row r="33093" spans="3:3" s="8" customFormat="1" ht="21.95" customHeight="1" x14ac:dyDescent="0.15"/>
    <row r="33094" spans="3:3" s="8" customFormat="1" ht="21.95" customHeight="1" x14ac:dyDescent="0.15"/>
    <row r="33095" spans="3:3" s="8" customFormat="1" ht="21.95" customHeight="1" x14ac:dyDescent="0.15"/>
    <row r="33096" spans="3:3" s="8" customFormat="1" ht="21.95" customHeight="1" x14ac:dyDescent="0.15"/>
    <row r="33097" spans="3:3" s="9" customFormat="1" ht="21.95" customHeight="1" x14ac:dyDescent="0.15"/>
    <row r="33098" spans="3:3" s="9" customFormat="1" ht="21.95" customHeight="1" x14ac:dyDescent="0.15"/>
    <row r="33099" spans="3:3" s="9" customFormat="1" ht="21.95" customHeight="1" x14ac:dyDescent="0.15"/>
    <row r="33100" spans="3:3" s="9" customFormat="1" ht="21.95" customHeight="1" x14ac:dyDescent="0.15"/>
    <row r="33101" spans="3:3" s="8" customFormat="1" ht="21.95" customHeight="1" x14ac:dyDescent="0.15"/>
    <row r="33102" spans="3:3" s="8" customFormat="1" ht="21.95" customHeight="1" x14ac:dyDescent="0.15"/>
    <row r="33103" spans="3:3" s="8" customFormat="1" ht="21.95" customHeight="1" x14ac:dyDescent="0.15"/>
    <row r="33104" spans="3:3" s="8" customFormat="1" ht="21.95" customHeight="1" x14ac:dyDescent="0.15"/>
    <row r="33105" s="8" customFormat="1" ht="21.95" customHeight="1" x14ac:dyDescent="0.15"/>
    <row r="33106" s="8" customFormat="1" ht="21.95" customHeight="1" x14ac:dyDescent="0.15"/>
    <row r="33107" s="8" customFormat="1" ht="21.95" customHeight="1" x14ac:dyDescent="0.15"/>
    <row r="33108" s="8" customFormat="1" ht="21.95" customHeight="1" x14ac:dyDescent="0.15"/>
    <row r="33109" s="8" customFormat="1" ht="21.95" customHeight="1" x14ac:dyDescent="0.15"/>
    <row r="33110" s="8" customFormat="1" ht="21.95" customHeight="1" x14ac:dyDescent="0.15"/>
    <row r="33111" s="8" customFormat="1" ht="21.95" customHeight="1" x14ac:dyDescent="0.15"/>
    <row r="33112" s="8" customFormat="1" ht="32.1" customHeight="1" x14ac:dyDescent="0.15"/>
    <row r="33113" s="8" customFormat="1" ht="32.1" customHeight="1" x14ac:dyDescent="0.15"/>
    <row r="33114" s="8" customFormat="1" ht="32.1" customHeight="1" x14ac:dyDescent="0.15"/>
    <row r="33115" s="8" customFormat="1" ht="32.1" customHeight="1" x14ac:dyDescent="0.15"/>
    <row r="33116" s="8" customFormat="1" ht="32.1" customHeight="1" x14ac:dyDescent="0.15"/>
    <row r="33117" s="8" customFormat="1" ht="32.1" customHeight="1" x14ac:dyDescent="0.15"/>
    <row r="33118" s="9" customFormat="1" ht="32.1" customHeight="1" x14ac:dyDescent="0.15"/>
    <row r="33119" s="9" customFormat="1" ht="32.1" customHeight="1" x14ac:dyDescent="0.15"/>
    <row r="33120" s="9" customFormat="1" ht="32.1" customHeight="1" x14ac:dyDescent="0.15"/>
    <row r="33121" s="9" customFormat="1" ht="32.1" customHeight="1" x14ac:dyDescent="0.15"/>
    <row r="33122" s="9" customFormat="1" ht="21.95" customHeight="1" x14ac:dyDescent="0.15"/>
    <row r="33123" s="9" customFormat="1" ht="54" customHeight="1" x14ac:dyDescent="0.15"/>
    <row r="33124" s="9" customFormat="1" ht="21.95" customHeight="1" x14ac:dyDescent="0.15"/>
    <row r="33125" s="9" customFormat="1" ht="21.95" customHeight="1" x14ac:dyDescent="0.15"/>
    <row r="33126" s="9" customFormat="1" ht="21.95" customHeight="1" x14ac:dyDescent="0.15"/>
    <row r="33127" s="9" customFormat="1" ht="21.95" customHeight="1" x14ac:dyDescent="0.15"/>
    <row r="33128" s="9" customFormat="1" ht="21.95" customHeight="1" x14ac:dyDescent="0.15"/>
    <row r="33129" s="9" customFormat="1" ht="21.95" customHeight="1" x14ac:dyDescent="0.15"/>
    <row r="33130" s="9" customFormat="1" ht="21.95" customHeight="1" x14ac:dyDescent="0.15"/>
    <row r="33131" s="9" customFormat="1" ht="21.95" customHeight="1" x14ac:dyDescent="0.15"/>
    <row r="33132" s="9" customFormat="1" ht="21.95" customHeight="1" x14ac:dyDescent="0.15"/>
    <row r="33133" s="9" customFormat="1" ht="21.95" customHeight="1" x14ac:dyDescent="0.15"/>
    <row r="33134" s="9" customFormat="1" ht="21.95" customHeight="1" x14ac:dyDescent="0.15"/>
    <row r="33135" s="9" customFormat="1" ht="21.95" customHeight="1" x14ac:dyDescent="0.15"/>
    <row r="33136" s="9" customFormat="1" ht="21.95" customHeight="1" x14ac:dyDescent="0.15"/>
    <row r="33137" s="9" customFormat="1" ht="21.95" customHeight="1" x14ac:dyDescent="0.15"/>
    <row r="33138" s="9" customFormat="1" ht="21.95" customHeight="1" x14ac:dyDescent="0.15"/>
    <row r="33139" s="9" customFormat="1" ht="21.95" customHeight="1" x14ac:dyDescent="0.15"/>
    <row r="33140" s="9" customFormat="1" ht="21.95" customHeight="1" x14ac:dyDescent="0.15"/>
    <row r="33141" s="9" customFormat="1" ht="21.95" customHeight="1" x14ac:dyDescent="0.15"/>
    <row r="33142" s="9" customFormat="1" ht="21.95" customHeight="1" x14ac:dyDescent="0.15"/>
    <row r="33143" s="9" customFormat="1" ht="21.95" customHeight="1" x14ac:dyDescent="0.15"/>
    <row r="33144" s="9" customFormat="1" ht="21.95" customHeight="1" x14ac:dyDescent="0.15"/>
    <row r="33145" s="9" customFormat="1" ht="21.95" customHeight="1" x14ac:dyDescent="0.15"/>
    <row r="33146" s="9" customFormat="1" ht="21.95" customHeight="1" x14ac:dyDescent="0.15"/>
    <row r="33147" s="9" customFormat="1" ht="21.95" customHeight="1" x14ac:dyDescent="0.15"/>
    <row r="33148" s="9" customFormat="1" ht="21.95" customHeight="1" x14ac:dyDescent="0.15"/>
    <row r="33149" s="9" customFormat="1" ht="21.95" customHeight="1" x14ac:dyDescent="0.15"/>
    <row r="33150" s="9" customFormat="1" ht="21.95" customHeight="1" x14ac:dyDescent="0.15"/>
    <row r="33151" s="9" customFormat="1" ht="21.95" customHeight="1" x14ac:dyDescent="0.15"/>
    <row r="33152" s="9" customFormat="1" ht="21.95" customHeight="1" x14ac:dyDescent="0.15"/>
    <row r="33153" s="9" customFormat="1" ht="21.95" customHeight="1" x14ac:dyDescent="0.15"/>
    <row r="33154" s="9" customFormat="1" ht="21.95" customHeight="1" x14ac:dyDescent="0.15"/>
    <row r="33155" s="9" customFormat="1" ht="21.95" customHeight="1" x14ac:dyDescent="0.15"/>
    <row r="33156" s="9" customFormat="1" ht="21.95" customHeight="1" x14ac:dyDescent="0.15"/>
    <row r="33157" s="9" customFormat="1" ht="21.95" customHeight="1" x14ac:dyDescent="0.15"/>
    <row r="33158" s="9" customFormat="1" ht="21.95" customHeight="1" x14ac:dyDescent="0.15"/>
    <row r="33159" s="9" customFormat="1" ht="21.95" customHeight="1" x14ac:dyDescent="0.15"/>
    <row r="33160" s="9" customFormat="1" ht="21.95" customHeight="1" x14ac:dyDescent="0.15"/>
    <row r="33161" s="9" customFormat="1" ht="21.95" customHeight="1" x14ac:dyDescent="0.15"/>
    <row r="33162" s="9" customFormat="1" ht="21.95" customHeight="1" x14ac:dyDescent="0.15"/>
    <row r="33163" s="9" customFormat="1" ht="21.95" customHeight="1" x14ac:dyDescent="0.15"/>
    <row r="33164" s="9" customFormat="1" ht="21.95" customHeight="1" x14ac:dyDescent="0.15"/>
    <row r="33165" s="9" customFormat="1" ht="21.95" customHeight="1" x14ac:dyDescent="0.15"/>
    <row r="33166" s="9" customFormat="1" ht="21.95" customHeight="1" x14ac:dyDescent="0.15"/>
    <row r="33167" s="9" customFormat="1" ht="21.95" customHeight="1" x14ac:dyDescent="0.15"/>
    <row r="33168" s="9" customFormat="1" ht="21.95" customHeight="1" x14ac:dyDescent="0.15"/>
    <row r="33169" s="9" customFormat="1" ht="21.95" customHeight="1" x14ac:dyDescent="0.15"/>
    <row r="33170" s="9" customFormat="1" ht="21.95" customHeight="1" x14ac:dyDescent="0.15"/>
    <row r="33171" s="9" customFormat="1" ht="21.95" customHeight="1" x14ac:dyDescent="0.15"/>
    <row r="33172" s="9" customFormat="1" ht="21.95" customHeight="1" x14ac:dyDescent="0.15"/>
    <row r="33173" s="9" customFormat="1" ht="21.95" customHeight="1" x14ac:dyDescent="0.15"/>
    <row r="33174" s="9" customFormat="1" ht="35.1" customHeight="1" x14ac:dyDescent="0.15"/>
    <row r="33175" s="9" customFormat="1" ht="21.95" customHeight="1" x14ac:dyDescent="0.15"/>
    <row r="33176" s="9" customFormat="1" ht="21.95" customHeight="1" x14ac:dyDescent="0.15"/>
    <row r="33177" s="9" customFormat="1" ht="21.95" customHeight="1" x14ac:dyDescent="0.15"/>
    <row r="33178" s="9" customFormat="1" ht="21.95" customHeight="1" x14ac:dyDescent="0.15"/>
    <row r="33179" s="9" customFormat="1" ht="21.95" customHeight="1" x14ac:dyDescent="0.15"/>
    <row r="33180" s="9" customFormat="1" ht="21.95" customHeight="1" x14ac:dyDescent="0.15"/>
    <row r="33181" s="9" customFormat="1" ht="21.95" customHeight="1" x14ac:dyDescent="0.15"/>
    <row r="33182" s="9" customFormat="1" ht="21.95" customHeight="1" x14ac:dyDescent="0.15"/>
    <row r="33183" s="9" customFormat="1" ht="21.95" customHeight="1" x14ac:dyDescent="0.15"/>
    <row r="33184" s="9" customFormat="1" ht="21.95" customHeight="1" x14ac:dyDescent="0.15"/>
    <row r="33185" spans="3:3" s="9" customFormat="1" ht="21.95" customHeight="1" x14ac:dyDescent="0.15"/>
    <row r="33186" spans="3:3" s="9" customFormat="1" ht="21.95" customHeight="1" x14ac:dyDescent="0.15"/>
    <row r="33187" spans="3:3" s="9" customFormat="1" ht="21.95" customHeight="1" x14ac:dyDescent="0.15"/>
    <row r="33188" spans="3:3" s="9" customFormat="1" ht="21.95" customHeight="1" x14ac:dyDescent="0.15"/>
    <row r="33189" spans="3:3" s="9" customFormat="1" ht="21.95" customHeight="1" x14ac:dyDescent="0.15"/>
    <row r="33190" spans="3:3" s="9" customFormat="1" ht="21.95" customHeight="1" x14ac:dyDescent="0.15"/>
    <row r="33191" spans="3:3" s="9" customFormat="1" ht="21.95" customHeight="1" x14ac:dyDescent="0.15"/>
    <row r="33192" spans="3:3" s="9" customFormat="1" ht="21.95" customHeight="1" x14ac:dyDescent="0.15"/>
    <row r="33193" spans="3:3" s="9" customFormat="1" ht="21.95" customHeight="1" x14ac:dyDescent="0.15"/>
    <row r="33194" spans="3:3" s="9" customFormat="1" ht="21.95" customHeight="1" x14ac:dyDescent="0.15"/>
    <row r="33195" spans="3:3" s="9" customFormat="1" ht="21.95" customHeight="1" x14ac:dyDescent="0.15"/>
    <row r="33196" spans="3:3" s="9" customFormat="1" ht="21.95" customHeight="1" x14ac:dyDescent="0.15"/>
    <row r="33197" spans="3:3" s="9" customFormat="1" ht="21.95" customHeight="1" x14ac:dyDescent="0.15"/>
    <row r="33198" spans="3:3" s="8" customFormat="1" ht="21.95" customHeight="1" x14ac:dyDescent="0.15"/>
    <row r="33199" spans="3:3" s="8" customFormat="1" ht="21.95" customHeight="1" x14ac:dyDescent="0.15"/>
    <row r="33200" spans="3:3" s="8" customFormat="1" ht="21.95" customHeight="1" x14ac:dyDescent="0.15">
      <c r="C33200" s="101"/>
    </row>
    <row r="33201" spans="3:3" s="8" customFormat="1" ht="21.95" customHeight="1" x14ac:dyDescent="0.15">
      <c r="C33201" s="101"/>
    </row>
    <row r="33202" spans="3:3" s="8" customFormat="1" ht="21.95" customHeight="1" x14ac:dyDescent="0.15"/>
    <row r="33203" spans="3:3" s="8" customFormat="1" ht="21.95" customHeight="1" x14ac:dyDescent="0.15"/>
    <row r="33204" spans="3:3" s="8" customFormat="1" ht="21.95" customHeight="1" x14ac:dyDescent="0.15"/>
    <row r="33205" spans="3:3" s="8" customFormat="1" ht="21.95" customHeight="1" x14ac:dyDescent="0.15"/>
    <row r="33206" spans="3:3" s="8" customFormat="1" ht="21.95" customHeight="1" x14ac:dyDescent="0.15"/>
    <row r="33207" spans="3:3" s="8" customFormat="1" ht="21.95" customHeight="1" x14ac:dyDescent="0.15"/>
    <row r="33208" spans="3:3" s="8" customFormat="1" ht="21.95" customHeight="1" x14ac:dyDescent="0.15"/>
    <row r="33209" spans="3:3" s="9" customFormat="1" ht="21.95" customHeight="1" x14ac:dyDescent="0.15"/>
    <row r="33210" spans="3:3" s="9" customFormat="1" ht="21.95" customHeight="1" x14ac:dyDescent="0.15"/>
    <row r="33211" spans="3:3" s="9" customFormat="1" ht="21.95" customHeight="1" x14ac:dyDescent="0.15"/>
    <row r="33212" spans="3:3" s="9" customFormat="1" ht="21.95" customHeight="1" x14ac:dyDescent="0.15"/>
    <row r="33213" spans="3:3" s="8" customFormat="1" ht="21.95" customHeight="1" x14ac:dyDescent="0.15"/>
    <row r="33214" spans="3:3" s="8" customFormat="1" ht="21.95" customHeight="1" x14ac:dyDescent="0.15"/>
    <row r="33215" spans="3:3" s="8" customFormat="1" ht="21.95" customHeight="1" x14ac:dyDescent="0.15"/>
    <row r="33216" spans="3:3" s="8" customFormat="1" ht="21.95" customHeight="1" x14ac:dyDescent="0.15"/>
    <row r="33217" s="8" customFormat="1" ht="21.95" customHeight="1" x14ac:dyDescent="0.15"/>
    <row r="33218" s="8" customFormat="1" ht="21.95" customHeight="1" x14ac:dyDescent="0.15"/>
    <row r="33219" s="8" customFormat="1" ht="21.95" customHeight="1" x14ac:dyDescent="0.15"/>
    <row r="33220" s="8" customFormat="1" ht="21.95" customHeight="1" x14ac:dyDescent="0.15"/>
    <row r="33221" s="8" customFormat="1" ht="21.95" customHeight="1" x14ac:dyDescent="0.15"/>
    <row r="33222" s="8" customFormat="1" ht="21.95" customHeight="1" x14ac:dyDescent="0.15"/>
    <row r="33223" s="8" customFormat="1" ht="21.95" customHeight="1" x14ac:dyDescent="0.15"/>
    <row r="33224" s="8" customFormat="1" ht="32.1" customHeight="1" x14ac:dyDescent="0.15"/>
    <row r="33225" s="8" customFormat="1" ht="32.1" customHeight="1" x14ac:dyDescent="0.15"/>
    <row r="33226" s="8" customFormat="1" ht="32.1" customHeight="1" x14ac:dyDescent="0.15"/>
    <row r="33227" s="8" customFormat="1" ht="32.1" customHeight="1" x14ac:dyDescent="0.15"/>
    <row r="33228" s="8" customFormat="1" ht="32.1" customHeight="1" x14ac:dyDescent="0.15"/>
    <row r="33229" s="8" customFormat="1" ht="32.1" customHeight="1" x14ac:dyDescent="0.15"/>
    <row r="33230" s="9" customFormat="1" ht="32.1" customHeight="1" x14ac:dyDescent="0.15"/>
    <row r="33231" s="9" customFormat="1" ht="32.1" customHeight="1" x14ac:dyDescent="0.15"/>
    <row r="33232" s="9" customFormat="1" ht="32.1" customHeight="1" x14ac:dyDescent="0.15"/>
    <row r="33233" s="9" customFormat="1" ht="32.1" customHeight="1" x14ac:dyDescent="0.15"/>
    <row r="33234" s="9" customFormat="1" ht="21.95" customHeight="1" x14ac:dyDescent="0.15"/>
    <row r="33235" s="9" customFormat="1" ht="54" customHeight="1" x14ac:dyDescent="0.15"/>
    <row r="33236" s="9" customFormat="1" ht="21.95" customHeight="1" x14ac:dyDescent="0.15"/>
    <row r="33237" s="9" customFormat="1" ht="21.95" customHeight="1" x14ac:dyDescent="0.15"/>
    <row r="33238" s="9" customFormat="1" ht="21.95" customHeight="1" x14ac:dyDescent="0.15"/>
    <row r="33239" s="9" customFormat="1" ht="21.95" customHeight="1" x14ac:dyDescent="0.15"/>
    <row r="33240" s="9" customFormat="1" ht="21.95" customHeight="1" x14ac:dyDescent="0.15"/>
    <row r="33241" s="9" customFormat="1" ht="21.95" customHeight="1" x14ac:dyDescent="0.15"/>
    <row r="33242" s="9" customFormat="1" ht="21.95" customHeight="1" x14ac:dyDescent="0.15"/>
    <row r="33243" s="9" customFormat="1" ht="21.95" customHeight="1" x14ac:dyDescent="0.15"/>
    <row r="33244" s="9" customFormat="1" ht="21.95" customHeight="1" x14ac:dyDescent="0.15"/>
    <row r="33245" s="9" customFormat="1" ht="21.95" customHeight="1" x14ac:dyDescent="0.15"/>
    <row r="33246" s="9" customFormat="1" ht="21.95" customHeight="1" x14ac:dyDescent="0.15"/>
    <row r="33247" s="9" customFormat="1" ht="21.95" customHeight="1" x14ac:dyDescent="0.15"/>
    <row r="33248" s="9" customFormat="1" ht="21.95" customHeight="1" x14ac:dyDescent="0.15"/>
    <row r="33249" s="9" customFormat="1" ht="21.95" customHeight="1" x14ac:dyDescent="0.15"/>
    <row r="33250" s="9" customFormat="1" ht="21.95" customHeight="1" x14ac:dyDescent="0.15"/>
    <row r="33251" s="9" customFormat="1" ht="21.95" customHeight="1" x14ac:dyDescent="0.15"/>
    <row r="33252" s="9" customFormat="1" ht="21.95" customHeight="1" x14ac:dyDescent="0.15"/>
    <row r="33253" s="9" customFormat="1" ht="21.95" customHeight="1" x14ac:dyDescent="0.15"/>
    <row r="33254" s="9" customFormat="1" ht="21.95" customHeight="1" x14ac:dyDescent="0.15"/>
    <row r="33255" s="9" customFormat="1" ht="21.95" customHeight="1" x14ac:dyDescent="0.15"/>
    <row r="33256" s="9" customFormat="1" ht="21.95" customHeight="1" x14ac:dyDescent="0.15"/>
    <row r="33257" s="9" customFormat="1" ht="21.95" customHeight="1" x14ac:dyDescent="0.15"/>
    <row r="33258" s="9" customFormat="1" ht="21.95" customHeight="1" x14ac:dyDescent="0.15"/>
    <row r="33259" s="9" customFormat="1" ht="21.95" customHeight="1" x14ac:dyDescent="0.15"/>
    <row r="33260" s="9" customFormat="1" ht="21.95" customHeight="1" x14ac:dyDescent="0.15"/>
    <row r="33261" s="9" customFormat="1" ht="21.95" customHeight="1" x14ac:dyDescent="0.15"/>
    <row r="33262" s="9" customFormat="1" ht="21.95" customHeight="1" x14ac:dyDescent="0.15"/>
    <row r="33263" s="9" customFormat="1" ht="21.95" customHeight="1" x14ac:dyDescent="0.15"/>
    <row r="33264" s="9" customFormat="1" ht="21.95" customHeight="1" x14ac:dyDescent="0.15"/>
    <row r="33265" s="9" customFormat="1" ht="21.95" customHeight="1" x14ac:dyDescent="0.15"/>
    <row r="33266" s="9" customFormat="1" ht="21.95" customHeight="1" x14ac:dyDescent="0.15"/>
    <row r="33267" s="9" customFormat="1" ht="21.95" customHeight="1" x14ac:dyDescent="0.15"/>
    <row r="33268" s="9" customFormat="1" ht="21.95" customHeight="1" x14ac:dyDescent="0.15"/>
    <row r="33269" s="9" customFormat="1" ht="21.95" customHeight="1" x14ac:dyDescent="0.15"/>
    <row r="33270" s="9" customFormat="1" ht="21.95" customHeight="1" x14ac:dyDescent="0.15"/>
    <row r="33271" s="9" customFormat="1" ht="21.95" customHeight="1" x14ac:dyDescent="0.15"/>
    <row r="33272" s="9" customFormat="1" ht="21.95" customHeight="1" x14ac:dyDescent="0.15"/>
    <row r="33273" s="9" customFormat="1" ht="21.95" customHeight="1" x14ac:dyDescent="0.15"/>
    <row r="33274" s="9" customFormat="1" ht="21.95" customHeight="1" x14ac:dyDescent="0.15"/>
    <row r="33275" s="9" customFormat="1" ht="21.95" customHeight="1" x14ac:dyDescent="0.15"/>
    <row r="33276" s="9" customFormat="1" ht="21.95" customHeight="1" x14ac:dyDescent="0.15"/>
    <row r="33277" s="9" customFormat="1" ht="21.95" customHeight="1" x14ac:dyDescent="0.15"/>
    <row r="33278" s="9" customFormat="1" ht="21.95" customHeight="1" x14ac:dyDescent="0.15"/>
    <row r="33279" s="9" customFormat="1" ht="21.95" customHeight="1" x14ac:dyDescent="0.15"/>
    <row r="33280" s="9" customFormat="1" ht="21.95" customHeight="1" x14ac:dyDescent="0.15"/>
    <row r="33281" s="9" customFormat="1" ht="21.95" customHeight="1" x14ac:dyDescent="0.15"/>
    <row r="33282" s="9" customFormat="1" ht="21.95" customHeight="1" x14ac:dyDescent="0.15"/>
    <row r="33283" s="9" customFormat="1" ht="21.95" customHeight="1" x14ac:dyDescent="0.15"/>
    <row r="33284" s="9" customFormat="1" ht="21.95" customHeight="1" x14ac:dyDescent="0.15"/>
    <row r="33285" s="9" customFormat="1" ht="21.95" customHeight="1" x14ac:dyDescent="0.15"/>
    <row r="33286" s="9" customFormat="1" ht="35.1" customHeight="1" x14ac:dyDescent="0.15"/>
    <row r="33287" s="9" customFormat="1" ht="21.95" customHeight="1" x14ac:dyDescent="0.15"/>
    <row r="33288" s="9" customFormat="1" ht="21.95" customHeight="1" x14ac:dyDescent="0.15"/>
    <row r="33289" s="9" customFormat="1" ht="21.95" customHeight="1" x14ac:dyDescent="0.15"/>
    <row r="33290" s="9" customFormat="1" ht="21.95" customHeight="1" x14ac:dyDescent="0.15"/>
    <row r="33291" s="9" customFormat="1" ht="21.95" customHeight="1" x14ac:dyDescent="0.15"/>
    <row r="33292" s="9" customFormat="1" ht="21.95" customHeight="1" x14ac:dyDescent="0.15"/>
    <row r="33293" s="9" customFormat="1" ht="21.95" customHeight="1" x14ac:dyDescent="0.15"/>
    <row r="33294" s="9" customFormat="1" ht="21.95" customHeight="1" x14ac:dyDescent="0.15"/>
    <row r="33295" s="9" customFormat="1" ht="21.95" customHeight="1" x14ac:dyDescent="0.15"/>
    <row r="33296" s="9" customFormat="1" ht="21.95" customHeight="1" x14ac:dyDescent="0.15"/>
    <row r="33297" spans="3:3" s="9" customFormat="1" ht="21.95" customHeight="1" x14ac:dyDescent="0.15"/>
    <row r="33298" spans="3:3" s="9" customFormat="1" ht="21.95" customHeight="1" x14ac:dyDescent="0.15"/>
    <row r="33299" spans="3:3" s="9" customFormat="1" ht="21.95" customHeight="1" x14ac:dyDescent="0.15"/>
    <row r="33300" spans="3:3" s="9" customFormat="1" ht="21.95" customHeight="1" x14ac:dyDescent="0.15"/>
    <row r="33301" spans="3:3" s="9" customFormat="1" ht="21.95" customHeight="1" x14ac:dyDescent="0.15"/>
    <row r="33302" spans="3:3" s="9" customFormat="1" ht="21.95" customHeight="1" x14ac:dyDescent="0.15"/>
    <row r="33303" spans="3:3" s="9" customFormat="1" ht="21.95" customHeight="1" x14ac:dyDescent="0.15"/>
    <row r="33304" spans="3:3" s="9" customFormat="1" ht="21.95" customHeight="1" x14ac:dyDescent="0.15"/>
    <row r="33305" spans="3:3" s="9" customFormat="1" ht="21.95" customHeight="1" x14ac:dyDescent="0.15"/>
    <row r="33306" spans="3:3" s="9" customFormat="1" ht="21.95" customHeight="1" x14ac:dyDescent="0.15"/>
    <row r="33307" spans="3:3" s="9" customFormat="1" ht="21.95" customHeight="1" x14ac:dyDescent="0.15"/>
    <row r="33308" spans="3:3" s="9" customFormat="1" ht="21.95" customHeight="1" x14ac:dyDescent="0.15"/>
    <row r="33309" spans="3:3" s="9" customFormat="1" ht="21.95" customHeight="1" x14ac:dyDescent="0.15"/>
    <row r="33310" spans="3:3" s="8" customFormat="1" ht="21.95" customHeight="1" x14ac:dyDescent="0.15"/>
    <row r="33311" spans="3:3" s="8" customFormat="1" ht="21.95" customHeight="1" x14ac:dyDescent="0.15"/>
    <row r="33312" spans="3:3" s="8" customFormat="1" ht="21.95" customHeight="1" x14ac:dyDescent="0.15">
      <c r="C33312" s="101"/>
    </row>
    <row r="33313" spans="3:3" s="8" customFormat="1" ht="21.95" customHeight="1" x14ac:dyDescent="0.15">
      <c r="C33313" s="101"/>
    </row>
    <row r="33314" spans="3:3" s="8" customFormat="1" ht="21.95" customHeight="1" x14ac:dyDescent="0.15"/>
    <row r="33315" spans="3:3" s="8" customFormat="1" ht="21.95" customHeight="1" x14ac:dyDescent="0.15"/>
    <row r="33316" spans="3:3" s="8" customFormat="1" ht="21.95" customHeight="1" x14ac:dyDescent="0.15"/>
    <row r="33317" spans="3:3" s="8" customFormat="1" ht="21.95" customHeight="1" x14ac:dyDescent="0.15"/>
    <row r="33318" spans="3:3" s="8" customFormat="1" ht="21.95" customHeight="1" x14ac:dyDescent="0.15"/>
    <row r="33319" spans="3:3" s="8" customFormat="1" ht="21.95" customHeight="1" x14ac:dyDescent="0.15"/>
    <row r="33320" spans="3:3" s="8" customFormat="1" ht="21.95" customHeight="1" x14ac:dyDescent="0.15"/>
    <row r="33321" spans="3:3" s="9" customFormat="1" ht="21.95" customHeight="1" x14ac:dyDescent="0.15"/>
    <row r="33322" spans="3:3" s="9" customFormat="1" ht="21.95" customHeight="1" x14ac:dyDescent="0.15"/>
    <row r="33323" spans="3:3" s="9" customFormat="1" ht="21.95" customHeight="1" x14ac:dyDescent="0.15"/>
    <row r="33324" spans="3:3" s="9" customFormat="1" ht="21.95" customHeight="1" x14ac:dyDescent="0.15"/>
    <row r="33325" spans="3:3" s="8" customFormat="1" ht="21.95" customHeight="1" x14ac:dyDescent="0.15"/>
    <row r="33326" spans="3:3" s="8" customFormat="1" ht="21.95" customHeight="1" x14ac:dyDescent="0.15"/>
    <row r="33327" spans="3:3" s="8" customFormat="1" ht="21.95" customHeight="1" x14ac:dyDescent="0.15"/>
    <row r="33328" spans="3:3" s="8" customFormat="1" ht="21.95" customHeight="1" x14ac:dyDescent="0.15"/>
    <row r="33329" s="8" customFormat="1" ht="21.95" customHeight="1" x14ac:dyDescent="0.15"/>
    <row r="33330" s="8" customFormat="1" ht="21.95" customHeight="1" x14ac:dyDescent="0.15"/>
    <row r="33331" s="8" customFormat="1" ht="21.95" customHeight="1" x14ac:dyDescent="0.15"/>
    <row r="33332" s="8" customFormat="1" ht="21.95" customHeight="1" x14ac:dyDescent="0.15"/>
    <row r="33333" s="8" customFormat="1" ht="21.95" customHeight="1" x14ac:dyDescent="0.15"/>
    <row r="33334" s="8" customFormat="1" ht="21.95" customHeight="1" x14ac:dyDescent="0.15"/>
    <row r="33335" s="8" customFormat="1" ht="21.95" customHeight="1" x14ac:dyDescent="0.15"/>
    <row r="33336" s="8" customFormat="1" ht="32.1" customHeight="1" x14ac:dyDescent="0.15"/>
    <row r="33337" s="8" customFormat="1" ht="32.1" customHeight="1" x14ac:dyDescent="0.15"/>
    <row r="33338" s="8" customFormat="1" ht="32.1" customHeight="1" x14ac:dyDescent="0.15"/>
    <row r="33339" s="8" customFormat="1" ht="32.1" customHeight="1" x14ac:dyDescent="0.15"/>
    <row r="33340" s="8" customFormat="1" ht="32.1" customHeight="1" x14ac:dyDescent="0.15"/>
    <row r="33341" s="8" customFormat="1" ht="32.1" customHeight="1" x14ac:dyDescent="0.15"/>
    <row r="33342" s="9" customFormat="1" ht="32.1" customHeight="1" x14ac:dyDescent="0.15"/>
    <row r="33343" s="9" customFormat="1" ht="32.1" customHeight="1" x14ac:dyDescent="0.15"/>
    <row r="33344" s="9" customFormat="1" ht="32.1" customHeight="1" x14ac:dyDescent="0.15"/>
    <row r="33345" s="9" customFormat="1" ht="32.1" customHeight="1" x14ac:dyDescent="0.15"/>
    <row r="33346" s="9" customFormat="1" ht="21.95" customHeight="1" x14ac:dyDescent="0.15"/>
    <row r="33347" s="9" customFormat="1" ht="54" customHeight="1" x14ac:dyDescent="0.15"/>
    <row r="33348" s="9" customFormat="1" ht="21.95" customHeight="1" x14ac:dyDescent="0.15"/>
    <row r="33349" s="9" customFormat="1" ht="21.95" customHeight="1" x14ac:dyDescent="0.15"/>
    <row r="33350" s="9" customFormat="1" ht="21.95" customHeight="1" x14ac:dyDescent="0.15"/>
    <row r="33351" s="9" customFormat="1" ht="21.95" customHeight="1" x14ac:dyDescent="0.15"/>
    <row r="33352" s="9" customFormat="1" ht="21.95" customHeight="1" x14ac:dyDescent="0.15"/>
    <row r="33353" s="9" customFormat="1" ht="21.95" customHeight="1" x14ac:dyDescent="0.15"/>
    <row r="33354" s="9" customFormat="1" ht="21.95" customHeight="1" x14ac:dyDescent="0.15"/>
    <row r="33355" s="9" customFormat="1" ht="21.95" customHeight="1" x14ac:dyDescent="0.15"/>
    <row r="33356" s="9" customFormat="1" ht="21.95" customHeight="1" x14ac:dyDescent="0.15"/>
    <row r="33357" s="9" customFormat="1" ht="21.95" customHeight="1" x14ac:dyDescent="0.15"/>
    <row r="33358" s="9" customFormat="1" ht="21.95" customHeight="1" x14ac:dyDescent="0.15"/>
    <row r="33359" s="9" customFormat="1" ht="21.95" customHeight="1" x14ac:dyDescent="0.15"/>
    <row r="33360" s="9" customFormat="1" ht="21.95" customHeight="1" x14ac:dyDescent="0.15"/>
    <row r="33361" s="9" customFormat="1" ht="21.95" customHeight="1" x14ac:dyDescent="0.15"/>
    <row r="33362" s="9" customFormat="1" ht="21.95" customHeight="1" x14ac:dyDescent="0.15"/>
    <row r="33363" s="9" customFormat="1" ht="21.95" customHeight="1" x14ac:dyDescent="0.15"/>
    <row r="33364" s="9" customFormat="1" ht="21.95" customHeight="1" x14ac:dyDescent="0.15"/>
    <row r="33365" s="9" customFormat="1" ht="21.95" customHeight="1" x14ac:dyDescent="0.15"/>
    <row r="33366" s="9" customFormat="1" ht="21.95" customHeight="1" x14ac:dyDescent="0.15"/>
    <row r="33367" s="9" customFormat="1" ht="21.95" customHeight="1" x14ac:dyDescent="0.15"/>
    <row r="33368" s="9" customFormat="1" ht="21.95" customHeight="1" x14ac:dyDescent="0.15"/>
    <row r="33369" s="9" customFormat="1" ht="21.95" customHeight="1" x14ac:dyDescent="0.15"/>
    <row r="33370" s="9" customFormat="1" ht="21.95" customHeight="1" x14ac:dyDescent="0.15"/>
    <row r="33371" s="9" customFormat="1" ht="21.95" customHeight="1" x14ac:dyDescent="0.15"/>
    <row r="33372" s="9" customFormat="1" ht="21.95" customHeight="1" x14ac:dyDescent="0.15"/>
    <row r="33373" s="9" customFormat="1" ht="21.95" customHeight="1" x14ac:dyDescent="0.15"/>
    <row r="33374" s="9" customFormat="1" ht="21.95" customHeight="1" x14ac:dyDescent="0.15"/>
    <row r="33375" s="9" customFormat="1" ht="21.95" customHeight="1" x14ac:dyDescent="0.15"/>
    <row r="33376" s="9" customFormat="1" ht="21.95" customHeight="1" x14ac:dyDescent="0.15"/>
    <row r="33377" s="9" customFormat="1" ht="21.95" customHeight="1" x14ac:dyDescent="0.15"/>
    <row r="33378" s="9" customFormat="1" ht="21.95" customHeight="1" x14ac:dyDescent="0.15"/>
    <row r="33379" s="9" customFormat="1" ht="21.95" customHeight="1" x14ac:dyDescent="0.15"/>
    <row r="33380" s="9" customFormat="1" ht="21.95" customHeight="1" x14ac:dyDescent="0.15"/>
    <row r="33381" s="9" customFormat="1" ht="21.95" customHeight="1" x14ac:dyDescent="0.15"/>
    <row r="33382" s="9" customFormat="1" ht="21.95" customHeight="1" x14ac:dyDescent="0.15"/>
    <row r="33383" s="9" customFormat="1" ht="21.95" customHeight="1" x14ac:dyDescent="0.15"/>
    <row r="33384" s="9" customFormat="1" ht="21.95" customHeight="1" x14ac:dyDescent="0.15"/>
    <row r="33385" s="9" customFormat="1" ht="21.95" customHeight="1" x14ac:dyDescent="0.15"/>
    <row r="33386" s="9" customFormat="1" ht="21.95" customHeight="1" x14ac:dyDescent="0.15"/>
    <row r="33387" s="9" customFormat="1" ht="21.95" customHeight="1" x14ac:dyDescent="0.15"/>
    <row r="33388" s="9" customFormat="1" ht="21.95" customHeight="1" x14ac:dyDescent="0.15"/>
    <row r="33389" s="9" customFormat="1" ht="21.95" customHeight="1" x14ac:dyDescent="0.15"/>
    <row r="33390" s="9" customFormat="1" ht="21.95" customHeight="1" x14ac:dyDescent="0.15"/>
    <row r="33391" s="9" customFormat="1" ht="21.95" customHeight="1" x14ac:dyDescent="0.15"/>
    <row r="33392" s="9" customFormat="1" ht="21.95" customHeight="1" x14ac:dyDescent="0.15"/>
    <row r="33393" s="9" customFormat="1" ht="21.95" customHeight="1" x14ac:dyDescent="0.15"/>
    <row r="33394" s="9" customFormat="1" ht="21.95" customHeight="1" x14ac:dyDescent="0.15"/>
    <row r="33395" s="9" customFormat="1" ht="21.95" customHeight="1" x14ac:dyDescent="0.15"/>
    <row r="33396" s="9" customFormat="1" ht="21.95" customHeight="1" x14ac:dyDescent="0.15"/>
    <row r="33397" s="9" customFormat="1" ht="21.95" customHeight="1" x14ac:dyDescent="0.15"/>
    <row r="33398" s="9" customFormat="1" ht="35.1" customHeight="1" x14ac:dyDescent="0.15"/>
    <row r="33399" s="9" customFormat="1" ht="21.95" customHeight="1" x14ac:dyDescent="0.15"/>
    <row r="33400" s="9" customFormat="1" ht="21.95" customHeight="1" x14ac:dyDescent="0.15"/>
    <row r="33401" s="9" customFormat="1" ht="21.95" customHeight="1" x14ac:dyDescent="0.15"/>
    <row r="33402" s="9" customFormat="1" ht="21.95" customHeight="1" x14ac:dyDescent="0.15"/>
    <row r="33403" s="9" customFormat="1" ht="21.95" customHeight="1" x14ac:dyDescent="0.15"/>
    <row r="33404" s="9" customFormat="1" ht="21.95" customHeight="1" x14ac:dyDescent="0.15"/>
    <row r="33405" s="9" customFormat="1" ht="21.95" customHeight="1" x14ac:dyDescent="0.15"/>
    <row r="33406" s="9" customFormat="1" ht="21.95" customHeight="1" x14ac:dyDescent="0.15"/>
    <row r="33407" s="9" customFormat="1" ht="21.95" customHeight="1" x14ac:dyDescent="0.15"/>
    <row r="33408" s="9" customFormat="1" ht="21.95" customHeight="1" x14ac:dyDescent="0.15"/>
    <row r="33409" spans="3:3" s="9" customFormat="1" ht="21.95" customHeight="1" x14ac:dyDescent="0.15"/>
    <row r="33410" spans="3:3" s="9" customFormat="1" ht="21.95" customHeight="1" x14ac:dyDescent="0.15"/>
    <row r="33411" spans="3:3" s="9" customFormat="1" ht="21.95" customHeight="1" x14ac:dyDescent="0.15"/>
    <row r="33412" spans="3:3" s="9" customFormat="1" ht="21.95" customHeight="1" x14ac:dyDescent="0.15"/>
    <row r="33413" spans="3:3" s="9" customFormat="1" ht="21.95" customHeight="1" x14ac:dyDescent="0.15"/>
    <row r="33414" spans="3:3" s="9" customFormat="1" ht="21.95" customHeight="1" x14ac:dyDescent="0.15"/>
    <row r="33415" spans="3:3" s="9" customFormat="1" ht="21.95" customHeight="1" x14ac:dyDescent="0.15"/>
    <row r="33416" spans="3:3" s="9" customFormat="1" ht="21.95" customHeight="1" x14ac:dyDescent="0.15"/>
    <row r="33417" spans="3:3" s="9" customFormat="1" ht="21.95" customHeight="1" x14ac:dyDescent="0.15"/>
    <row r="33418" spans="3:3" s="9" customFormat="1" ht="21.95" customHeight="1" x14ac:dyDescent="0.15"/>
    <row r="33419" spans="3:3" s="9" customFormat="1" ht="21.95" customHeight="1" x14ac:dyDescent="0.15"/>
    <row r="33420" spans="3:3" s="9" customFormat="1" ht="21.95" customHeight="1" x14ac:dyDescent="0.15"/>
    <row r="33421" spans="3:3" s="9" customFormat="1" ht="21.95" customHeight="1" x14ac:dyDescent="0.15"/>
    <row r="33422" spans="3:3" s="8" customFormat="1" ht="21.95" customHeight="1" x14ac:dyDescent="0.15"/>
    <row r="33423" spans="3:3" s="8" customFormat="1" ht="21.95" customHeight="1" x14ac:dyDescent="0.15"/>
    <row r="33424" spans="3:3" s="8" customFormat="1" ht="21.95" customHeight="1" x14ac:dyDescent="0.15">
      <c r="C33424" s="101"/>
    </row>
    <row r="33425" spans="3:3" s="8" customFormat="1" ht="21.95" customHeight="1" x14ac:dyDescent="0.15">
      <c r="C33425" s="101"/>
    </row>
    <row r="33426" spans="3:3" s="8" customFormat="1" ht="21.95" customHeight="1" x14ac:dyDescent="0.15"/>
    <row r="33427" spans="3:3" s="8" customFormat="1" ht="21.95" customHeight="1" x14ac:dyDescent="0.15"/>
    <row r="33428" spans="3:3" s="8" customFormat="1" ht="21.95" customHeight="1" x14ac:dyDescent="0.15"/>
    <row r="33429" spans="3:3" s="8" customFormat="1" ht="21.95" customHeight="1" x14ac:dyDescent="0.15"/>
    <row r="33430" spans="3:3" s="8" customFormat="1" ht="21.95" customHeight="1" x14ac:dyDescent="0.15"/>
    <row r="33431" spans="3:3" s="8" customFormat="1" ht="21.95" customHeight="1" x14ac:dyDescent="0.15"/>
    <row r="33432" spans="3:3" s="8" customFormat="1" ht="21.95" customHeight="1" x14ac:dyDescent="0.15"/>
    <row r="33433" spans="3:3" s="9" customFormat="1" ht="21.95" customHeight="1" x14ac:dyDescent="0.15"/>
    <row r="33434" spans="3:3" s="9" customFormat="1" ht="21.95" customHeight="1" x14ac:dyDescent="0.15"/>
    <row r="33435" spans="3:3" s="9" customFormat="1" ht="21.95" customHeight="1" x14ac:dyDescent="0.15"/>
    <row r="33436" spans="3:3" s="9" customFormat="1" ht="21.95" customHeight="1" x14ac:dyDescent="0.15"/>
    <row r="33437" spans="3:3" s="8" customFormat="1" ht="21.95" customHeight="1" x14ac:dyDescent="0.15"/>
    <row r="33438" spans="3:3" s="8" customFormat="1" ht="21.95" customHeight="1" x14ac:dyDescent="0.15"/>
    <row r="33439" spans="3:3" s="8" customFormat="1" ht="21.95" customHeight="1" x14ac:dyDescent="0.15"/>
    <row r="33440" spans="3:3" s="8" customFormat="1" ht="21.95" customHeight="1" x14ac:dyDescent="0.15"/>
    <row r="33441" s="8" customFormat="1" ht="21.95" customHeight="1" x14ac:dyDescent="0.15"/>
    <row r="33442" s="8" customFormat="1" ht="21.95" customHeight="1" x14ac:dyDescent="0.15"/>
    <row r="33443" s="8" customFormat="1" ht="21.95" customHeight="1" x14ac:dyDescent="0.15"/>
    <row r="33444" s="8" customFormat="1" ht="21.95" customHeight="1" x14ac:dyDescent="0.15"/>
    <row r="33445" s="8" customFormat="1" ht="21.95" customHeight="1" x14ac:dyDescent="0.15"/>
    <row r="33446" s="8" customFormat="1" ht="21.95" customHeight="1" x14ac:dyDescent="0.15"/>
    <row r="33447" s="8" customFormat="1" ht="21.95" customHeight="1" x14ac:dyDescent="0.15"/>
    <row r="33448" s="8" customFormat="1" ht="32.1" customHeight="1" x14ac:dyDescent="0.15"/>
    <row r="33449" s="8" customFormat="1" ht="32.1" customHeight="1" x14ac:dyDescent="0.15"/>
    <row r="33450" s="8" customFormat="1" ht="32.1" customHeight="1" x14ac:dyDescent="0.15"/>
    <row r="33451" s="8" customFormat="1" ht="32.1" customHeight="1" x14ac:dyDescent="0.15"/>
    <row r="33452" s="8" customFormat="1" ht="32.1" customHeight="1" x14ac:dyDescent="0.15"/>
    <row r="33453" s="8" customFormat="1" ht="32.1" customHeight="1" x14ac:dyDescent="0.15"/>
    <row r="33454" s="9" customFormat="1" ht="32.1" customHeight="1" x14ac:dyDescent="0.15"/>
    <row r="33455" s="9" customFormat="1" ht="32.1" customHeight="1" x14ac:dyDescent="0.15"/>
    <row r="33456" s="9" customFormat="1" ht="32.1" customHeight="1" x14ac:dyDescent="0.15"/>
    <row r="33457" s="9" customFormat="1" ht="32.1" customHeight="1" x14ac:dyDescent="0.15"/>
    <row r="33458" s="9" customFormat="1" ht="21.95" customHeight="1" x14ac:dyDescent="0.15"/>
    <row r="33459" s="9" customFormat="1" ht="54" customHeight="1" x14ac:dyDescent="0.15"/>
    <row r="33460" s="9" customFormat="1" ht="21.95" customHeight="1" x14ac:dyDescent="0.15"/>
    <row r="33461" s="9" customFormat="1" ht="21.95" customHeight="1" x14ac:dyDescent="0.15"/>
    <row r="33462" s="9" customFormat="1" ht="21.95" customHeight="1" x14ac:dyDescent="0.15"/>
    <row r="33463" s="9" customFormat="1" ht="21.95" customHeight="1" x14ac:dyDescent="0.15"/>
    <row r="33464" s="9" customFormat="1" ht="21.95" customHeight="1" x14ac:dyDescent="0.15"/>
    <row r="33465" s="9" customFormat="1" ht="21.95" customHeight="1" x14ac:dyDescent="0.15"/>
    <row r="33466" s="9" customFormat="1" ht="21.95" customHeight="1" x14ac:dyDescent="0.15"/>
    <row r="33467" s="9" customFormat="1" ht="21.95" customHeight="1" x14ac:dyDescent="0.15"/>
    <row r="33468" s="9" customFormat="1" ht="21.95" customHeight="1" x14ac:dyDescent="0.15"/>
    <row r="33469" s="9" customFormat="1" ht="21.95" customHeight="1" x14ac:dyDescent="0.15"/>
    <row r="33470" s="9" customFormat="1" ht="21.95" customHeight="1" x14ac:dyDescent="0.15"/>
    <row r="33471" s="9" customFormat="1" ht="21.95" customHeight="1" x14ac:dyDescent="0.15"/>
    <row r="33472" s="9" customFormat="1" ht="21.95" customHeight="1" x14ac:dyDescent="0.15"/>
    <row r="33473" s="9" customFormat="1" ht="21.95" customHeight="1" x14ac:dyDescent="0.15"/>
    <row r="33474" s="9" customFormat="1" ht="21.95" customHeight="1" x14ac:dyDescent="0.15"/>
    <row r="33475" s="9" customFormat="1" ht="21.95" customHeight="1" x14ac:dyDescent="0.15"/>
    <row r="33476" s="9" customFormat="1" ht="21.95" customHeight="1" x14ac:dyDescent="0.15"/>
    <row r="33477" s="9" customFormat="1" ht="21.95" customHeight="1" x14ac:dyDescent="0.15"/>
    <row r="33478" s="9" customFormat="1" ht="21.95" customHeight="1" x14ac:dyDescent="0.15"/>
    <row r="33479" s="9" customFormat="1" ht="21.95" customHeight="1" x14ac:dyDescent="0.15"/>
    <row r="33480" s="9" customFormat="1" ht="21.95" customHeight="1" x14ac:dyDescent="0.15"/>
    <row r="33481" s="9" customFormat="1" ht="21.95" customHeight="1" x14ac:dyDescent="0.15"/>
    <row r="33482" s="9" customFormat="1" ht="21.95" customHeight="1" x14ac:dyDescent="0.15"/>
    <row r="33483" s="9" customFormat="1" ht="21.95" customHeight="1" x14ac:dyDescent="0.15"/>
    <row r="33484" s="9" customFormat="1" ht="21.95" customHeight="1" x14ac:dyDescent="0.15"/>
    <row r="33485" s="9" customFormat="1" ht="21.95" customHeight="1" x14ac:dyDescent="0.15"/>
    <row r="33486" s="9" customFormat="1" ht="21.95" customHeight="1" x14ac:dyDescent="0.15"/>
    <row r="33487" s="9" customFormat="1" ht="21.95" customHeight="1" x14ac:dyDescent="0.15"/>
    <row r="33488" s="9" customFormat="1" ht="21.95" customHeight="1" x14ac:dyDescent="0.15"/>
    <row r="33489" s="9" customFormat="1" ht="21.95" customHeight="1" x14ac:dyDescent="0.15"/>
    <row r="33490" s="9" customFormat="1" ht="21.95" customHeight="1" x14ac:dyDescent="0.15"/>
    <row r="33491" s="9" customFormat="1" ht="21.95" customHeight="1" x14ac:dyDescent="0.15"/>
    <row r="33492" s="9" customFormat="1" ht="21.95" customHeight="1" x14ac:dyDescent="0.15"/>
    <row r="33493" s="9" customFormat="1" ht="21.95" customHeight="1" x14ac:dyDescent="0.15"/>
    <row r="33494" s="9" customFormat="1" ht="21.95" customHeight="1" x14ac:dyDescent="0.15"/>
    <row r="33495" s="9" customFormat="1" ht="21.95" customHeight="1" x14ac:dyDescent="0.15"/>
    <row r="33496" s="9" customFormat="1" ht="21.95" customHeight="1" x14ac:dyDescent="0.15"/>
    <row r="33497" s="9" customFormat="1" ht="21.95" customHeight="1" x14ac:dyDescent="0.15"/>
    <row r="33498" s="9" customFormat="1" ht="21.95" customHeight="1" x14ac:dyDescent="0.15"/>
    <row r="33499" s="9" customFormat="1" ht="21.95" customHeight="1" x14ac:dyDescent="0.15"/>
    <row r="33500" s="9" customFormat="1" ht="21.95" customHeight="1" x14ac:dyDescent="0.15"/>
    <row r="33501" s="9" customFormat="1" ht="21.95" customHeight="1" x14ac:dyDescent="0.15"/>
    <row r="33502" s="9" customFormat="1" ht="21.95" customHeight="1" x14ac:dyDescent="0.15"/>
    <row r="33503" s="9" customFormat="1" ht="21.95" customHeight="1" x14ac:dyDescent="0.15"/>
    <row r="33504" s="9" customFormat="1" ht="21.95" customHeight="1" x14ac:dyDescent="0.15"/>
    <row r="33505" s="9" customFormat="1" ht="21.95" customHeight="1" x14ac:dyDescent="0.15"/>
    <row r="33506" s="9" customFormat="1" ht="21.95" customHeight="1" x14ac:dyDescent="0.15"/>
    <row r="33507" s="9" customFormat="1" ht="21.95" customHeight="1" x14ac:dyDescent="0.15"/>
    <row r="33508" s="9" customFormat="1" ht="21.95" customHeight="1" x14ac:dyDescent="0.15"/>
    <row r="33509" s="9" customFormat="1" ht="21.95" customHeight="1" x14ac:dyDescent="0.15"/>
    <row r="33510" s="9" customFormat="1" ht="35.1" customHeight="1" x14ac:dyDescent="0.15"/>
    <row r="33511" s="9" customFormat="1" ht="21.95" customHeight="1" x14ac:dyDescent="0.15"/>
    <row r="33512" s="9" customFormat="1" ht="21.95" customHeight="1" x14ac:dyDescent="0.15"/>
    <row r="33513" s="9" customFormat="1" ht="21.95" customHeight="1" x14ac:dyDescent="0.15"/>
    <row r="33514" s="9" customFormat="1" ht="21.95" customHeight="1" x14ac:dyDescent="0.15"/>
    <row r="33515" s="9" customFormat="1" ht="21.95" customHeight="1" x14ac:dyDescent="0.15"/>
    <row r="33516" s="9" customFormat="1" ht="21.95" customHeight="1" x14ac:dyDescent="0.15"/>
    <row r="33517" s="9" customFormat="1" ht="21.95" customHeight="1" x14ac:dyDescent="0.15"/>
    <row r="33518" s="9" customFormat="1" ht="21.95" customHeight="1" x14ac:dyDescent="0.15"/>
    <row r="33519" s="9" customFormat="1" ht="21.95" customHeight="1" x14ac:dyDescent="0.15"/>
    <row r="33520" s="9" customFormat="1" ht="21.95" customHeight="1" x14ac:dyDescent="0.15"/>
    <row r="33521" spans="3:3" s="9" customFormat="1" ht="21.95" customHeight="1" x14ac:dyDescent="0.15"/>
    <row r="33522" spans="3:3" s="9" customFormat="1" ht="21.95" customHeight="1" x14ac:dyDescent="0.15"/>
    <row r="33523" spans="3:3" s="9" customFormat="1" ht="21.95" customHeight="1" x14ac:dyDescent="0.15"/>
    <row r="33524" spans="3:3" s="9" customFormat="1" ht="21.95" customHeight="1" x14ac:dyDescent="0.15"/>
    <row r="33525" spans="3:3" s="9" customFormat="1" ht="21.95" customHeight="1" x14ac:dyDescent="0.15"/>
    <row r="33526" spans="3:3" s="9" customFormat="1" ht="21.95" customHeight="1" x14ac:dyDescent="0.15"/>
    <row r="33527" spans="3:3" s="9" customFormat="1" ht="21.95" customHeight="1" x14ac:dyDescent="0.15"/>
    <row r="33528" spans="3:3" s="9" customFormat="1" ht="21.95" customHeight="1" x14ac:dyDescent="0.15"/>
    <row r="33529" spans="3:3" s="9" customFormat="1" ht="21.95" customHeight="1" x14ac:dyDescent="0.15"/>
    <row r="33530" spans="3:3" s="9" customFormat="1" ht="21.95" customHeight="1" x14ac:dyDescent="0.15"/>
    <row r="33531" spans="3:3" s="9" customFormat="1" ht="21.95" customHeight="1" x14ac:dyDescent="0.15"/>
    <row r="33532" spans="3:3" s="9" customFormat="1" ht="21.95" customHeight="1" x14ac:dyDescent="0.15"/>
    <row r="33533" spans="3:3" s="9" customFormat="1" ht="21.95" customHeight="1" x14ac:dyDescent="0.15"/>
    <row r="33534" spans="3:3" s="8" customFormat="1" ht="21.95" customHeight="1" x14ac:dyDescent="0.15"/>
    <row r="33535" spans="3:3" s="8" customFormat="1" ht="21.95" customHeight="1" x14ac:dyDescent="0.15"/>
    <row r="33536" spans="3:3" s="8" customFormat="1" ht="21.95" customHeight="1" x14ac:dyDescent="0.15">
      <c r="C33536" s="101"/>
    </row>
    <row r="33537" spans="3:3" s="8" customFormat="1" ht="21.95" customHeight="1" x14ac:dyDescent="0.15">
      <c r="C33537" s="101"/>
    </row>
    <row r="33538" spans="3:3" s="8" customFormat="1" ht="21.95" customHeight="1" x14ac:dyDescent="0.15"/>
    <row r="33539" spans="3:3" s="8" customFormat="1" ht="21.95" customHeight="1" x14ac:dyDescent="0.15"/>
    <row r="33540" spans="3:3" s="8" customFormat="1" ht="21.95" customHeight="1" x14ac:dyDescent="0.15"/>
    <row r="33541" spans="3:3" s="8" customFormat="1" ht="21.95" customHeight="1" x14ac:dyDescent="0.15"/>
    <row r="33542" spans="3:3" s="8" customFormat="1" ht="21.95" customHeight="1" x14ac:dyDescent="0.15"/>
    <row r="33543" spans="3:3" s="8" customFormat="1" ht="21.95" customHeight="1" x14ac:dyDescent="0.15"/>
    <row r="33544" spans="3:3" s="8" customFormat="1" ht="21.95" customHeight="1" x14ac:dyDescent="0.15"/>
    <row r="33545" spans="3:3" s="9" customFormat="1" ht="21.95" customHeight="1" x14ac:dyDescent="0.15"/>
    <row r="33546" spans="3:3" s="9" customFormat="1" ht="21.95" customHeight="1" x14ac:dyDescent="0.15"/>
    <row r="33547" spans="3:3" s="9" customFormat="1" ht="21.95" customHeight="1" x14ac:dyDescent="0.15"/>
    <row r="33548" spans="3:3" s="9" customFormat="1" ht="21.95" customHeight="1" x14ac:dyDescent="0.15"/>
    <row r="33549" spans="3:3" s="8" customFormat="1" ht="21.95" customHeight="1" x14ac:dyDescent="0.15"/>
    <row r="33550" spans="3:3" s="8" customFormat="1" ht="21.95" customHeight="1" x14ac:dyDescent="0.15"/>
    <row r="33551" spans="3:3" s="8" customFormat="1" ht="21.95" customHeight="1" x14ac:dyDescent="0.15"/>
    <row r="33552" spans="3:3" s="8" customFormat="1" ht="21.95" customHeight="1" x14ac:dyDescent="0.15"/>
    <row r="33553" s="8" customFormat="1" ht="21.95" customHeight="1" x14ac:dyDescent="0.15"/>
    <row r="33554" s="8" customFormat="1" ht="21.95" customHeight="1" x14ac:dyDescent="0.15"/>
    <row r="33555" s="8" customFormat="1" ht="21.95" customHeight="1" x14ac:dyDescent="0.15"/>
    <row r="33556" s="8" customFormat="1" ht="21.95" customHeight="1" x14ac:dyDescent="0.15"/>
    <row r="33557" s="8" customFormat="1" ht="21.95" customHeight="1" x14ac:dyDescent="0.15"/>
    <row r="33558" s="8" customFormat="1" ht="21.95" customHeight="1" x14ac:dyDescent="0.15"/>
    <row r="33559" s="8" customFormat="1" ht="21.95" customHeight="1" x14ac:dyDescent="0.15"/>
    <row r="33560" s="8" customFormat="1" ht="32.1" customHeight="1" x14ac:dyDescent="0.15"/>
    <row r="33561" s="8" customFormat="1" ht="32.1" customHeight="1" x14ac:dyDescent="0.15"/>
    <row r="33562" s="8" customFormat="1" ht="32.1" customHeight="1" x14ac:dyDescent="0.15"/>
    <row r="33563" s="8" customFormat="1" ht="32.1" customHeight="1" x14ac:dyDescent="0.15"/>
    <row r="33564" s="8" customFormat="1" ht="32.1" customHeight="1" x14ac:dyDescent="0.15"/>
    <row r="33565" s="8" customFormat="1" ht="32.1" customHeight="1" x14ac:dyDescent="0.15"/>
    <row r="33566" s="9" customFormat="1" ht="32.1" customHeight="1" x14ac:dyDescent="0.15"/>
    <row r="33567" s="9" customFormat="1" ht="32.1" customHeight="1" x14ac:dyDescent="0.15"/>
    <row r="33568" s="9" customFormat="1" ht="32.1" customHeight="1" x14ac:dyDescent="0.15"/>
    <row r="33569" s="9" customFormat="1" ht="32.1" customHeight="1" x14ac:dyDescent="0.15"/>
    <row r="33570" s="9" customFormat="1" ht="21.95" customHeight="1" x14ac:dyDescent="0.15"/>
    <row r="33571" s="9" customFormat="1" ht="54" customHeight="1" x14ac:dyDescent="0.15"/>
    <row r="33572" s="9" customFormat="1" ht="21.95" customHeight="1" x14ac:dyDescent="0.15"/>
    <row r="33573" s="9" customFormat="1" ht="21.95" customHeight="1" x14ac:dyDescent="0.15"/>
    <row r="33574" s="9" customFormat="1" ht="21.95" customHeight="1" x14ac:dyDescent="0.15"/>
    <row r="33575" s="9" customFormat="1" ht="21.95" customHeight="1" x14ac:dyDescent="0.15"/>
    <row r="33576" s="9" customFormat="1" ht="21.95" customHeight="1" x14ac:dyDescent="0.15"/>
    <row r="33577" s="9" customFormat="1" ht="21.95" customHeight="1" x14ac:dyDescent="0.15"/>
    <row r="33578" s="9" customFormat="1" ht="21.95" customHeight="1" x14ac:dyDescent="0.15"/>
    <row r="33579" s="9" customFormat="1" ht="21.95" customHeight="1" x14ac:dyDescent="0.15"/>
    <row r="33580" s="9" customFormat="1" ht="21.95" customHeight="1" x14ac:dyDescent="0.15"/>
    <row r="33581" s="9" customFormat="1" ht="21.95" customHeight="1" x14ac:dyDescent="0.15"/>
    <row r="33582" s="9" customFormat="1" ht="21.95" customHeight="1" x14ac:dyDescent="0.15"/>
    <row r="33583" s="9" customFormat="1" ht="21.95" customHeight="1" x14ac:dyDescent="0.15"/>
    <row r="33584" s="9" customFormat="1" ht="21.95" customHeight="1" x14ac:dyDescent="0.15"/>
    <row r="33585" s="9" customFormat="1" ht="21.95" customHeight="1" x14ac:dyDescent="0.15"/>
    <row r="33586" s="9" customFormat="1" ht="21.95" customHeight="1" x14ac:dyDescent="0.15"/>
    <row r="33587" s="9" customFormat="1" ht="21.95" customHeight="1" x14ac:dyDescent="0.15"/>
    <row r="33588" s="9" customFormat="1" ht="21.95" customHeight="1" x14ac:dyDescent="0.15"/>
    <row r="33589" s="9" customFormat="1" ht="21.95" customHeight="1" x14ac:dyDescent="0.15"/>
    <row r="33590" s="9" customFormat="1" ht="21.95" customHeight="1" x14ac:dyDescent="0.15"/>
    <row r="33591" s="9" customFormat="1" ht="21.95" customHeight="1" x14ac:dyDescent="0.15"/>
    <row r="33592" s="9" customFormat="1" ht="21.95" customHeight="1" x14ac:dyDescent="0.15"/>
    <row r="33593" s="9" customFormat="1" ht="21.95" customHeight="1" x14ac:dyDescent="0.15"/>
    <row r="33594" s="9" customFormat="1" ht="21.95" customHeight="1" x14ac:dyDescent="0.15"/>
    <row r="33595" s="9" customFormat="1" ht="21.95" customHeight="1" x14ac:dyDescent="0.15"/>
    <row r="33596" s="9" customFormat="1" ht="21.95" customHeight="1" x14ac:dyDescent="0.15"/>
    <row r="33597" s="9" customFormat="1" ht="21.95" customHeight="1" x14ac:dyDescent="0.15"/>
    <row r="33598" s="9" customFormat="1" ht="21.95" customHeight="1" x14ac:dyDescent="0.15"/>
    <row r="33599" s="9" customFormat="1" ht="21.95" customHeight="1" x14ac:dyDescent="0.15"/>
    <row r="33600" s="9" customFormat="1" ht="21.95" customHeight="1" x14ac:dyDescent="0.15"/>
    <row r="33601" s="9" customFormat="1" ht="21.95" customHeight="1" x14ac:dyDescent="0.15"/>
    <row r="33602" s="9" customFormat="1" ht="21.95" customHeight="1" x14ac:dyDescent="0.15"/>
    <row r="33603" s="9" customFormat="1" ht="21.95" customHeight="1" x14ac:dyDescent="0.15"/>
    <row r="33604" s="9" customFormat="1" ht="21.95" customHeight="1" x14ac:dyDescent="0.15"/>
    <row r="33605" s="9" customFormat="1" ht="21.95" customHeight="1" x14ac:dyDescent="0.15"/>
    <row r="33606" s="9" customFormat="1" ht="21.95" customHeight="1" x14ac:dyDescent="0.15"/>
    <row r="33607" s="9" customFormat="1" ht="21.95" customHeight="1" x14ac:dyDescent="0.15"/>
    <row r="33608" s="9" customFormat="1" ht="21.95" customHeight="1" x14ac:dyDescent="0.15"/>
    <row r="33609" s="9" customFormat="1" ht="21.95" customHeight="1" x14ac:dyDescent="0.15"/>
    <row r="33610" s="9" customFormat="1" ht="21.95" customHeight="1" x14ac:dyDescent="0.15"/>
    <row r="33611" s="9" customFormat="1" ht="21.95" customHeight="1" x14ac:dyDescent="0.15"/>
    <row r="33612" s="9" customFormat="1" ht="21.95" customHeight="1" x14ac:dyDescent="0.15"/>
    <row r="33613" s="9" customFormat="1" ht="21.95" customHeight="1" x14ac:dyDescent="0.15"/>
    <row r="33614" s="9" customFormat="1" ht="21.95" customHeight="1" x14ac:dyDescent="0.15"/>
    <row r="33615" s="9" customFormat="1" ht="21.95" customHeight="1" x14ac:dyDescent="0.15"/>
    <row r="33616" s="9" customFormat="1" ht="21.95" customHeight="1" x14ac:dyDescent="0.15"/>
    <row r="33617" s="9" customFormat="1" ht="21.95" customHeight="1" x14ac:dyDescent="0.15"/>
    <row r="33618" s="9" customFormat="1" ht="21.95" customHeight="1" x14ac:dyDescent="0.15"/>
    <row r="33619" s="9" customFormat="1" ht="21.95" customHeight="1" x14ac:dyDescent="0.15"/>
    <row r="33620" s="9" customFormat="1" ht="21.95" customHeight="1" x14ac:dyDescent="0.15"/>
    <row r="33621" s="9" customFormat="1" ht="21.95" customHeight="1" x14ac:dyDescent="0.15"/>
    <row r="33622" s="9" customFormat="1" ht="35.1" customHeight="1" x14ac:dyDescent="0.15"/>
    <row r="33623" s="9" customFormat="1" ht="21.95" customHeight="1" x14ac:dyDescent="0.15"/>
    <row r="33624" s="9" customFormat="1" ht="21.95" customHeight="1" x14ac:dyDescent="0.15"/>
    <row r="33625" s="9" customFormat="1" ht="21.95" customHeight="1" x14ac:dyDescent="0.15"/>
    <row r="33626" s="9" customFormat="1" ht="21.95" customHeight="1" x14ac:dyDescent="0.15"/>
    <row r="33627" s="9" customFormat="1" ht="21.95" customHeight="1" x14ac:dyDescent="0.15"/>
    <row r="33628" s="9" customFormat="1" ht="21.95" customHeight="1" x14ac:dyDescent="0.15"/>
    <row r="33629" s="9" customFormat="1" ht="21.95" customHeight="1" x14ac:dyDescent="0.15"/>
    <row r="33630" s="9" customFormat="1" ht="21.95" customHeight="1" x14ac:dyDescent="0.15"/>
    <row r="33631" s="9" customFormat="1" ht="21.95" customHeight="1" x14ac:dyDescent="0.15"/>
    <row r="33632" s="9" customFormat="1" ht="21.95" customHeight="1" x14ac:dyDescent="0.15"/>
    <row r="33633" spans="3:3" s="9" customFormat="1" ht="21.95" customHeight="1" x14ac:dyDescent="0.15"/>
    <row r="33634" spans="3:3" s="9" customFormat="1" ht="21.95" customHeight="1" x14ac:dyDescent="0.15"/>
    <row r="33635" spans="3:3" s="9" customFormat="1" ht="21.95" customHeight="1" x14ac:dyDescent="0.15"/>
    <row r="33636" spans="3:3" s="9" customFormat="1" ht="21.95" customHeight="1" x14ac:dyDescent="0.15"/>
    <row r="33637" spans="3:3" s="9" customFormat="1" ht="21.95" customHeight="1" x14ac:dyDescent="0.15"/>
    <row r="33638" spans="3:3" s="9" customFormat="1" ht="21.95" customHeight="1" x14ac:dyDescent="0.15"/>
    <row r="33639" spans="3:3" s="9" customFormat="1" ht="21.95" customHeight="1" x14ac:dyDescent="0.15"/>
    <row r="33640" spans="3:3" s="9" customFormat="1" ht="21.95" customHeight="1" x14ac:dyDescent="0.15"/>
    <row r="33641" spans="3:3" s="9" customFormat="1" ht="21.95" customHeight="1" x14ac:dyDescent="0.15"/>
    <row r="33642" spans="3:3" s="9" customFormat="1" ht="21.95" customHeight="1" x14ac:dyDescent="0.15"/>
    <row r="33643" spans="3:3" s="9" customFormat="1" ht="21.95" customHeight="1" x14ac:dyDescent="0.15"/>
    <row r="33644" spans="3:3" s="9" customFormat="1" ht="21.95" customHeight="1" x14ac:dyDescent="0.15"/>
    <row r="33645" spans="3:3" s="9" customFormat="1" ht="21.95" customHeight="1" x14ac:dyDescent="0.15"/>
    <row r="33646" spans="3:3" s="8" customFormat="1" ht="21.95" customHeight="1" x14ac:dyDescent="0.15"/>
    <row r="33647" spans="3:3" s="8" customFormat="1" ht="21.95" customHeight="1" x14ac:dyDescent="0.15"/>
    <row r="33648" spans="3:3" s="8" customFormat="1" ht="21.95" customHeight="1" x14ac:dyDescent="0.15">
      <c r="C33648" s="101"/>
    </row>
    <row r="33649" spans="3:3" s="8" customFormat="1" ht="21.95" customHeight="1" x14ac:dyDescent="0.15">
      <c r="C33649" s="101"/>
    </row>
    <row r="33650" spans="3:3" s="8" customFormat="1" ht="21.95" customHeight="1" x14ac:dyDescent="0.15"/>
    <row r="33651" spans="3:3" s="8" customFormat="1" ht="21.95" customHeight="1" x14ac:dyDescent="0.15"/>
    <row r="33652" spans="3:3" s="8" customFormat="1" ht="21.95" customHeight="1" x14ac:dyDescent="0.15"/>
    <row r="33653" spans="3:3" s="8" customFormat="1" ht="21.95" customHeight="1" x14ac:dyDescent="0.15"/>
    <row r="33654" spans="3:3" s="8" customFormat="1" ht="21.95" customHeight="1" x14ac:dyDescent="0.15"/>
    <row r="33655" spans="3:3" s="8" customFormat="1" ht="21.95" customHeight="1" x14ac:dyDescent="0.15"/>
    <row r="33656" spans="3:3" s="8" customFormat="1" ht="21.95" customHeight="1" x14ac:dyDescent="0.15"/>
    <row r="33657" spans="3:3" s="9" customFormat="1" ht="21.95" customHeight="1" x14ac:dyDescent="0.15"/>
    <row r="33658" spans="3:3" s="9" customFormat="1" ht="21.95" customHeight="1" x14ac:dyDescent="0.15"/>
    <row r="33659" spans="3:3" s="9" customFormat="1" ht="21.95" customHeight="1" x14ac:dyDescent="0.15"/>
    <row r="33660" spans="3:3" s="9" customFormat="1" ht="21.95" customHeight="1" x14ac:dyDescent="0.15"/>
    <row r="33661" spans="3:3" s="8" customFormat="1" ht="21.95" customHeight="1" x14ac:dyDescent="0.15"/>
    <row r="33662" spans="3:3" s="8" customFormat="1" ht="21.95" customHeight="1" x14ac:dyDescent="0.15"/>
    <row r="33663" spans="3:3" s="8" customFormat="1" ht="21.95" customHeight="1" x14ac:dyDescent="0.15"/>
    <row r="33664" spans="3:3" s="8" customFormat="1" ht="21.95" customHeight="1" x14ac:dyDescent="0.15"/>
    <row r="33665" s="8" customFormat="1" ht="21.95" customHeight="1" x14ac:dyDescent="0.15"/>
    <row r="33666" s="8" customFormat="1" ht="21.95" customHeight="1" x14ac:dyDescent="0.15"/>
    <row r="33667" s="8" customFormat="1" ht="21.95" customHeight="1" x14ac:dyDescent="0.15"/>
    <row r="33668" s="8" customFormat="1" ht="21.95" customHeight="1" x14ac:dyDescent="0.15"/>
    <row r="33669" s="8" customFormat="1" ht="21.95" customHeight="1" x14ac:dyDescent="0.15"/>
    <row r="33670" s="8" customFormat="1" ht="21.95" customHeight="1" x14ac:dyDescent="0.15"/>
    <row r="33671" s="8" customFormat="1" ht="21.95" customHeight="1" x14ac:dyDescent="0.15"/>
    <row r="33672" s="8" customFormat="1" ht="32.1" customHeight="1" x14ac:dyDescent="0.15"/>
    <row r="33673" s="8" customFormat="1" ht="32.1" customHeight="1" x14ac:dyDescent="0.15"/>
    <row r="33674" s="8" customFormat="1" ht="32.1" customHeight="1" x14ac:dyDescent="0.15"/>
    <row r="33675" s="8" customFormat="1" ht="32.1" customHeight="1" x14ac:dyDescent="0.15"/>
    <row r="33676" s="8" customFormat="1" ht="32.1" customHeight="1" x14ac:dyDescent="0.15"/>
    <row r="33677" s="8" customFormat="1" ht="32.1" customHeight="1" x14ac:dyDescent="0.15"/>
    <row r="33678" s="9" customFormat="1" ht="32.1" customHeight="1" x14ac:dyDescent="0.15"/>
    <row r="33679" s="9" customFormat="1" ht="32.1" customHeight="1" x14ac:dyDescent="0.15"/>
    <row r="33680" s="9" customFormat="1" ht="32.1" customHeight="1" x14ac:dyDescent="0.15"/>
    <row r="33681" s="9" customFormat="1" ht="32.1" customHeight="1" x14ac:dyDescent="0.15"/>
    <row r="33682" s="9" customFormat="1" ht="21.95" customHeight="1" x14ac:dyDescent="0.15"/>
    <row r="33683" s="9" customFormat="1" ht="54" customHeight="1" x14ac:dyDescent="0.15"/>
    <row r="33684" s="9" customFormat="1" ht="21.95" customHeight="1" x14ac:dyDescent="0.15"/>
    <row r="33685" s="9" customFormat="1" ht="21.95" customHeight="1" x14ac:dyDescent="0.15"/>
    <row r="33686" s="9" customFormat="1" ht="21.95" customHeight="1" x14ac:dyDescent="0.15"/>
    <row r="33687" s="9" customFormat="1" ht="21.95" customHeight="1" x14ac:dyDescent="0.15"/>
    <row r="33688" s="9" customFormat="1" ht="21.95" customHeight="1" x14ac:dyDescent="0.15"/>
    <row r="33689" s="9" customFormat="1" ht="21.95" customHeight="1" x14ac:dyDescent="0.15"/>
    <row r="33690" s="9" customFormat="1" ht="21.95" customHeight="1" x14ac:dyDescent="0.15"/>
    <row r="33691" s="9" customFormat="1" ht="21.95" customHeight="1" x14ac:dyDescent="0.15"/>
    <row r="33692" s="9" customFormat="1" ht="21.95" customHeight="1" x14ac:dyDescent="0.15"/>
    <row r="33693" s="9" customFormat="1" ht="21.95" customHeight="1" x14ac:dyDescent="0.15"/>
    <row r="33694" s="9" customFormat="1" ht="21.95" customHeight="1" x14ac:dyDescent="0.15"/>
    <row r="33695" s="9" customFormat="1" ht="21.95" customHeight="1" x14ac:dyDescent="0.15"/>
    <row r="33696" s="9" customFormat="1" ht="21.95" customHeight="1" x14ac:dyDescent="0.15"/>
    <row r="33697" s="9" customFormat="1" ht="21.95" customHeight="1" x14ac:dyDescent="0.15"/>
    <row r="33698" s="9" customFormat="1" ht="21.95" customHeight="1" x14ac:dyDescent="0.15"/>
    <row r="33699" s="9" customFormat="1" ht="21.95" customHeight="1" x14ac:dyDescent="0.15"/>
    <row r="33700" s="9" customFormat="1" ht="21.95" customHeight="1" x14ac:dyDescent="0.15"/>
    <row r="33701" s="9" customFormat="1" ht="21.95" customHeight="1" x14ac:dyDescent="0.15"/>
    <row r="33702" s="9" customFormat="1" ht="21.95" customHeight="1" x14ac:dyDescent="0.15"/>
    <row r="33703" s="9" customFormat="1" ht="21.95" customHeight="1" x14ac:dyDescent="0.15"/>
    <row r="33704" s="9" customFormat="1" ht="21.95" customHeight="1" x14ac:dyDescent="0.15"/>
    <row r="33705" s="9" customFormat="1" ht="21.95" customHeight="1" x14ac:dyDescent="0.15"/>
    <row r="33706" s="9" customFormat="1" ht="21.95" customHeight="1" x14ac:dyDescent="0.15"/>
    <row r="33707" s="9" customFormat="1" ht="21.95" customHeight="1" x14ac:dyDescent="0.15"/>
    <row r="33708" s="9" customFormat="1" ht="21.95" customHeight="1" x14ac:dyDescent="0.15"/>
    <row r="33709" s="9" customFormat="1" ht="21.95" customHeight="1" x14ac:dyDescent="0.15"/>
    <row r="33710" s="9" customFormat="1" ht="21.95" customHeight="1" x14ac:dyDescent="0.15"/>
    <row r="33711" s="9" customFormat="1" ht="21.95" customHeight="1" x14ac:dyDescent="0.15"/>
    <row r="33712" s="9" customFormat="1" ht="21.95" customHeight="1" x14ac:dyDescent="0.15"/>
    <row r="33713" s="9" customFormat="1" ht="21.95" customHeight="1" x14ac:dyDescent="0.15"/>
    <row r="33714" s="9" customFormat="1" ht="21.95" customHeight="1" x14ac:dyDescent="0.15"/>
    <row r="33715" s="9" customFormat="1" ht="21.95" customHeight="1" x14ac:dyDescent="0.15"/>
    <row r="33716" s="9" customFormat="1" ht="21.95" customHeight="1" x14ac:dyDescent="0.15"/>
    <row r="33717" s="9" customFormat="1" ht="21.95" customHeight="1" x14ac:dyDescent="0.15"/>
    <row r="33718" s="9" customFormat="1" ht="21.95" customHeight="1" x14ac:dyDescent="0.15"/>
    <row r="33719" s="9" customFormat="1" ht="21.95" customHeight="1" x14ac:dyDescent="0.15"/>
    <row r="33720" s="9" customFormat="1" ht="21.95" customHeight="1" x14ac:dyDescent="0.15"/>
    <row r="33721" s="9" customFormat="1" ht="21.95" customHeight="1" x14ac:dyDescent="0.15"/>
    <row r="33722" s="9" customFormat="1" ht="21.95" customHeight="1" x14ac:dyDescent="0.15"/>
    <row r="33723" s="9" customFormat="1" ht="21.95" customHeight="1" x14ac:dyDescent="0.15"/>
    <row r="33724" s="9" customFormat="1" ht="21.95" customHeight="1" x14ac:dyDescent="0.15"/>
    <row r="33725" s="9" customFormat="1" ht="21.95" customHeight="1" x14ac:dyDescent="0.15"/>
    <row r="33726" s="9" customFormat="1" ht="21.95" customHeight="1" x14ac:dyDescent="0.15"/>
    <row r="33727" s="9" customFormat="1" ht="21.95" customHeight="1" x14ac:dyDescent="0.15"/>
    <row r="33728" s="9" customFormat="1" ht="21.95" customHeight="1" x14ac:dyDescent="0.15"/>
    <row r="33729" s="9" customFormat="1" ht="21.95" customHeight="1" x14ac:dyDescent="0.15"/>
    <row r="33730" s="9" customFormat="1" ht="21.95" customHeight="1" x14ac:dyDescent="0.15"/>
    <row r="33731" s="9" customFormat="1" ht="21.95" customHeight="1" x14ac:dyDescent="0.15"/>
    <row r="33732" s="9" customFormat="1" ht="21.95" customHeight="1" x14ac:dyDescent="0.15"/>
    <row r="33733" s="9" customFormat="1" ht="21.95" customHeight="1" x14ac:dyDescent="0.15"/>
    <row r="33734" s="9" customFormat="1" ht="35.1" customHeight="1" x14ac:dyDescent="0.15"/>
    <row r="33735" s="9" customFormat="1" ht="21.95" customHeight="1" x14ac:dyDescent="0.15"/>
    <row r="33736" s="9" customFormat="1" ht="21.95" customHeight="1" x14ac:dyDescent="0.15"/>
    <row r="33737" s="9" customFormat="1" ht="21.95" customHeight="1" x14ac:dyDescent="0.15"/>
    <row r="33738" s="9" customFormat="1" ht="21.95" customHeight="1" x14ac:dyDescent="0.15"/>
    <row r="33739" s="9" customFormat="1" ht="21.95" customHeight="1" x14ac:dyDescent="0.15"/>
    <row r="33740" s="9" customFormat="1" ht="21.95" customHeight="1" x14ac:dyDescent="0.15"/>
    <row r="33741" s="9" customFormat="1" ht="21.95" customHeight="1" x14ac:dyDescent="0.15"/>
    <row r="33742" s="9" customFormat="1" ht="21.95" customHeight="1" x14ac:dyDescent="0.15"/>
    <row r="33743" s="9" customFormat="1" ht="21.95" customHeight="1" x14ac:dyDescent="0.15"/>
    <row r="33744" s="9" customFormat="1" ht="21.95" customHeight="1" x14ac:dyDescent="0.15"/>
    <row r="33745" spans="3:3" s="9" customFormat="1" ht="21.95" customHeight="1" x14ac:dyDescent="0.15"/>
    <row r="33746" spans="3:3" s="9" customFormat="1" ht="21.95" customHeight="1" x14ac:dyDescent="0.15"/>
    <row r="33747" spans="3:3" s="9" customFormat="1" ht="21.95" customHeight="1" x14ac:dyDescent="0.15"/>
    <row r="33748" spans="3:3" s="9" customFormat="1" ht="21.95" customHeight="1" x14ac:dyDescent="0.15"/>
    <row r="33749" spans="3:3" s="9" customFormat="1" ht="21.95" customHeight="1" x14ac:dyDescent="0.15"/>
    <row r="33750" spans="3:3" s="9" customFormat="1" ht="21.95" customHeight="1" x14ac:dyDescent="0.15"/>
    <row r="33751" spans="3:3" s="9" customFormat="1" ht="21.95" customHeight="1" x14ac:dyDescent="0.15"/>
    <row r="33752" spans="3:3" s="9" customFormat="1" ht="21.95" customHeight="1" x14ac:dyDescent="0.15"/>
    <row r="33753" spans="3:3" s="9" customFormat="1" ht="21.95" customHeight="1" x14ac:dyDescent="0.15"/>
    <row r="33754" spans="3:3" s="9" customFormat="1" ht="21.95" customHeight="1" x14ac:dyDescent="0.15"/>
    <row r="33755" spans="3:3" s="9" customFormat="1" ht="21.95" customHeight="1" x14ac:dyDescent="0.15"/>
    <row r="33756" spans="3:3" s="9" customFormat="1" ht="21.95" customHeight="1" x14ac:dyDescent="0.15"/>
    <row r="33757" spans="3:3" s="9" customFormat="1" ht="21.95" customHeight="1" x14ac:dyDescent="0.15"/>
    <row r="33758" spans="3:3" s="8" customFormat="1" ht="21.95" customHeight="1" x14ac:dyDescent="0.15"/>
    <row r="33759" spans="3:3" s="8" customFormat="1" ht="21.95" customHeight="1" x14ac:dyDescent="0.15"/>
    <row r="33760" spans="3:3" s="8" customFormat="1" ht="21.95" customHeight="1" x14ac:dyDescent="0.15">
      <c r="C33760" s="101"/>
    </row>
    <row r="33761" spans="3:3" s="8" customFormat="1" ht="21.95" customHeight="1" x14ac:dyDescent="0.15">
      <c r="C33761" s="101"/>
    </row>
    <row r="33762" spans="3:3" s="8" customFormat="1" ht="21.95" customHeight="1" x14ac:dyDescent="0.15"/>
    <row r="33763" spans="3:3" s="8" customFormat="1" ht="21.95" customHeight="1" x14ac:dyDescent="0.15"/>
    <row r="33764" spans="3:3" s="8" customFormat="1" ht="21.95" customHeight="1" x14ac:dyDescent="0.15"/>
    <row r="33765" spans="3:3" s="8" customFormat="1" ht="21.95" customHeight="1" x14ac:dyDescent="0.15"/>
    <row r="33766" spans="3:3" s="8" customFormat="1" ht="21.95" customHeight="1" x14ac:dyDescent="0.15"/>
    <row r="33767" spans="3:3" s="8" customFormat="1" ht="21.95" customHeight="1" x14ac:dyDescent="0.15"/>
    <row r="33768" spans="3:3" s="8" customFormat="1" ht="21.95" customHeight="1" x14ac:dyDescent="0.15"/>
    <row r="33769" spans="3:3" s="9" customFormat="1" ht="21.95" customHeight="1" x14ac:dyDescent="0.15"/>
    <row r="33770" spans="3:3" s="9" customFormat="1" ht="21.95" customHeight="1" x14ac:dyDescent="0.15"/>
    <row r="33771" spans="3:3" s="9" customFormat="1" ht="21.95" customHeight="1" x14ac:dyDescent="0.15"/>
    <row r="33772" spans="3:3" s="9" customFormat="1" ht="21.95" customHeight="1" x14ac:dyDescent="0.15"/>
    <row r="33773" spans="3:3" s="8" customFormat="1" ht="21.95" customHeight="1" x14ac:dyDescent="0.15"/>
    <row r="33774" spans="3:3" s="8" customFormat="1" ht="21.95" customHeight="1" x14ac:dyDescent="0.15"/>
    <row r="33775" spans="3:3" s="8" customFormat="1" ht="21.95" customHeight="1" x14ac:dyDescent="0.15"/>
    <row r="33776" spans="3:3" s="8" customFormat="1" ht="21.95" customHeight="1" x14ac:dyDescent="0.15"/>
    <row r="33777" s="8" customFormat="1" ht="21.95" customHeight="1" x14ac:dyDescent="0.15"/>
    <row r="33778" s="8" customFormat="1" ht="21.95" customHeight="1" x14ac:dyDescent="0.15"/>
    <row r="33779" s="8" customFormat="1" ht="21.95" customHeight="1" x14ac:dyDescent="0.15"/>
    <row r="33780" s="8" customFormat="1" ht="21.95" customHeight="1" x14ac:dyDescent="0.15"/>
    <row r="33781" s="8" customFormat="1" ht="21.95" customHeight="1" x14ac:dyDescent="0.15"/>
    <row r="33782" s="8" customFormat="1" ht="21.95" customHeight="1" x14ac:dyDescent="0.15"/>
    <row r="33783" s="8" customFormat="1" ht="21.95" customHeight="1" x14ac:dyDescent="0.15"/>
    <row r="33784" s="8" customFormat="1" ht="32.1" customHeight="1" x14ac:dyDescent="0.15"/>
    <row r="33785" s="8" customFormat="1" ht="32.1" customHeight="1" x14ac:dyDescent="0.15"/>
    <row r="33786" s="8" customFormat="1" ht="32.1" customHeight="1" x14ac:dyDescent="0.15"/>
    <row r="33787" s="8" customFormat="1" ht="32.1" customHeight="1" x14ac:dyDescent="0.15"/>
    <row r="33788" s="8" customFormat="1" ht="32.1" customHeight="1" x14ac:dyDescent="0.15"/>
    <row r="33789" s="8" customFormat="1" ht="32.1" customHeight="1" x14ac:dyDescent="0.15"/>
    <row r="33790" s="9" customFormat="1" ht="32.1" customHeight="1" x14ac:dyDescent="0.15"/>
    <row r="33791" s="9" customFormat="1" ht="32.1" customHeight="1" x14ac:dyDescent="0.15"/>
    <row r="33792" s="9" customFormat="1" ht="32.1" customHeight="1" x14ac:dyDescent="0.15"/>
    <row r="33793" s="9" customFormat="1" ht="32.1" customHeight="1" x14ac:dyDescent="0.15"/>
    <row r="33794" s="9" customFormat="1" ht="21.95" customHeight="1" x14ac:dyDescent="0.15"/>
    <row r="33795" s="9" customFormat="1" ht="54" customHeight="1" x14ac:dyDescent="0.15"/>
    <row r="33796" s="9" customFormat="1" ht="21.95" customHeight="1" x14ac:dyDescent="0.15"/>
    <row r="33797" s="9" customFormat="1" ht="21.95" customHeight="1" x14ac:dyDescent="0.15"/>
    <row r="33798" s="9" customFormat="1" ht="21.95" customHeight="1" x14ac:dyDescent="0.15"/>
    <row r="33799" s="9" customFormat="1" ht="21.95" customHeight="1" x14ac:dyDescent="0.15"/>
    <row r="33800" s="9" customFormat="1" ht="21.95" customHeight="1" x14ac:dyDescent="0.15"/>
    <row r="33801" s="9" customFormat="1" ht="21.95" customHeight="1" x14ac:dyDescent="0.15"/>
    <row r="33802" s="9" customFormat="1" ht="21.95" customHeight="1" x14ac:dyDescent="0.15"/>
    <row r="33803" s="9" customFormat="1" ht="21.95" customHeight="1" x14ac:dyDescent="0.15"/>
    <row r="33804" s="9" customFormat="1" ht="21.95" customHeight="1" x14ac:dyDescent="0.15"/>
    <row r="33805" s="9" customFormat="1" ht="21.95" customHeight="1" x14ac:dyDescent="0.15"/>
    <row r="33806" s="9" customFormat="1" ht="21.95" customHeight="1" x14ac:dyDescent="0.15"/>
    <row r="33807" s="9" customFormat="1" ht="21.95" customHeight="1" x14ac:dyDescent="0.15"/>
    <row r="33808" s="9" customFormat="1" ht="21.95" customHeight="1" x14ac:dyDescent="0.15"/>
    <row r="33809" s="9" customFormat="1" ht="21.95" customHeight="1" x14ac:dyDescent="0.15"/>
    <row r="33810" s="9" customFormat="1" ht="21.95" customHeight="1" x14ac:dyDescent="0.15"/>
    <row r="33811" s="9" customFormat="1" ht="21.95" customHeight="1" x14ac:dyDescent="0.15"/>
    <row r="33812" s="9" customFormat="1" ht="21.95" customHeight="1" x14ac:dyDescent="0.15"/>
    <row r="33813" s="9" customFormat="1" ht="21.95" customHeight="1" x14ac:dyDescent="0.15"/>
    <row r="33814" s="9" customFormat="1" ht="21.95" customHeight="1" x14ac:dyDescent="0.15"/>
    <row r="33815" s="9" customFormat="1" ht="21.95" customHeight="1" x14ac:dyDescent="0.15"/>
    <row r="33816" s="9" customFormat="1" ht="21.95" customHeight="1" x14ac:dyDescent="0.15"/>
    <row r="33817" s="9" customFormat="1" ht="21.95" customHeight="1" x14ac:dyDescent="0.15"/>
    <row r="33818" s="9" customFormat="1" ht="21.95" customHeight="1" x14ac:dyDescent="0.15"/>
    <row r="33819" s="9" customFormat="1" ht="21.95" customHeight="1" x14ac:dyDescent="0.15"/>
    <row r="33820" s="9" customFormat="1" ht="21.95" customHeight="1" x14ac:dyDescent="0.15"/>
    <row r="33821" s="9" customFormat="1" ht="21.95" customHeight="1" x14ac:dyDescent="0.15"/>
    <row r="33822" s="9" customFormat="1" ht="21.95" customHeight="1" x14ac:dyDescent="0.15"/>
    <row r="33823" s="9" customFormat="1" ht="21.95" customHeight="1" x14ac:dyDescent="0.15"/>
    <row r="33824" s="9" customFormat="1" ht="21.95" customHeight="1" x14ac:dyDescent="0.15"/>
    <row r="33825" s="9" customFormat="1" ht="21.95" customHeight="1" x14ac:dyDescent="0.15"/>
    <row r="33826" s="9" customFormat="1" ht="21.95" customHeight="1" x14ac:dyDescent="0.15"/>
    <row r="33827" s="9" customFormat="1" ht="21.95" customHeight="1" x14ac:dyDescent="0.15"/>
    <row r="33828" s="9" customFormat="1" ht="21.95" customHeight="1" x14ac:dyDescent="0.15"/>
    <row r="33829" s="9" customFormat="1" ht="21.95" customHeight="1" x14ac:dyDescent="0.15"/>
    <row r="33830" s="9" customFormat="1" ht="21.95" customHeight="1" x14ac:dyDescent="0.15"/>
    <row r="33831" s="9" customFormat="1" ht="21.95" customHeight="1" x14ac:dyDescent="0.15"/>
    <row r="33832" s="9" customFormat="1" ht="21.95" customHeight="1" x14ac:dyDescent="0.15"/>
    <row r="33833" s="9" customFormat="1" ht="21.95" customHeight="1" x14ac:dyDescent="0.15"/>
    <row r="33834" s="9" customFormat="1" ht="21.95" customHeight="1" x14ac:dyDescent="0.15"/>
    <row r="33835" s="9" customFormat="1" ht="21.95" customHeight="1" x14ac:dyDescent="0.15"/>
    <row r="33836" s="9" customFormat="1" ht="21.95" customHeight="1" x14ac:dyDescent="0.15"/>
    <row r="33837" s="9" customFormat="1" ht="21.95" customHeight="1" x14ac:dyDescent="0.15"/>
    <row r="33838" s="9" customFormat="1" ht="21.95" customHeight="1" x14ac:dyDescent="0.15"/>
    <row r="33839" s="9" customFormat="1" ht="21.95" customHeight="1" x14ac:dyDescent="0.15"/>
    <row r="33840" s="9" customFormat="1" ht="21.95" customHeight="1" x14ac:dyDescent="0.15"/>
    <row r="33841" s="9" customFormat="1" ht="21.95" customHeight="1" x14ac:dyDescent="0.15"/>
    <row r="33842" s="9" customFormat="1" ht="21.95" customHeight="1" x14ac:dyDescent="0.15"/>
    <row r="33843" s="9" customFormat="1" ht="21.95" customHeight="1" x14ac:dyDescent="0.15"/>
    <row r="33844" s="9" customFormat="1" ht="21.95" customHeight="1" x14ac:dyDescent="0.15"/>
    <row r="33845" s="9" customFormat="1" ht="21.95" customHeight="1" x14ac:dyDescent="0.15"/>
    <row r="33846" s="9" customFormat="1" ht="35.1" customHeight="1" x14ac:dyDescent="0.15"/>
    <row r="33847" s="9" customFormat="1" ht="21.95" customHeight="1" x14ac:dyDescent="0.15"/>
    <row r="33848" s="9" customFormat="1" ht="21.95" customHeight="1" x14ac:dyDescent="0.15"/>
    <row r="33849" s="9" customFormat="1" ht="21.95" customHeight="1" x14ac:dyDescent="0.15"/>
    <row r="33850" s="9" customFormat="1" ht="21.95" customHeight="1" x14ac:dyDescent="0.15"/>
    <row r="33851" s="9" customFormat="1" ht="21.95" customHeight="1" x14ac:dyDescent="0.15"/>
    <row r="33852" s="9" customFormat="1" ht="21.95" customHeight="1" x14ac:dyDescent="0.15"/>
    <row r="33853" s="9" customFormat="1" ht="21.95" customHeight="1" x14ac:dyDescent="0.15"/>
    <row r="33854" s="9" customFormat="1" ht="21.95" customHeight="1" x14ac:dyDescent="0.15"/>
    <row r="33855" s="9" customFormat="1" ht="21.95" customHeight="1" x14ac:dyDescent="0.15"/>
    <row r="33856" s="9" customFormat="1" ht="21.95" customHeight="1" x14ac:dyDescent="0.15"/>
    <row r="33857" spans="3:3" s="9" customFormat="1" ht="21.95" customHeight="1" x14ac:dyDescent="0.15"/>
    <row r="33858" spans="3:3" s="9" customFormat="1" ht="21.95" customHeight="1" x14ac:dyDescent="0.15"/>
    <row r="33859" spans="3:3" s="9" customFormat="1" ht="21.95" customHeight="1" x14ac:dyDescent="0.15"/>
    <row r="33860" spans="3:3" s="9" customFormat="1" ht="21.95" customHeight="1" x14ac:dyDescent="0.15"/>
    <row r="33861" spans="3:3" s="9" customFormat="1" ht="21.95" customHeight="1" x14ac:dyDescent="0.15"/>
    <row r="33862" spans="3:3" s="9" customFormat="1" ht="21.95" customHeight="1" x14ac:dyDescent="0.15"/>
    <row r="33863" spans="3:3" s="9" customFormat="1" ht="21.95" customHeight="1" x14ac:dyDescent="0.15"/>
    <row r="33864" spans="3:3" s="9" customFormat="1" ht="21.95" customHeight="1" x14ac:dyDescent="0.15"/>
    <row r="33865" spans="3:3" s="9" customFormat="1" ht="21.95" customHeight="1" x14ac:dyDescent="0.15"/>
    <row r="33866" spans="3:3" s="9" customFormat="1" ht="21.95" customHeight="1" x14ac:dyDescent="0.15"/>
    <row r="33867" spans="3:3" s="9" customFormat="1" ht="21.95" customHeight="1" x14ac:dyDescent="0.15"/>
    <row r="33868" spans="3:3" s="9" customFormat="1" ht="21.95" customHeight="1" x14ac:dyDescent="0.15"/>
    <row r="33869" spans="3:3" s="9" customFormat="1" ht="21.95" customHeight="1" x14ac:dyDescent="0.15"/>
    <row r="33870" spans="3:3" s="8" customFormat="1" ht="21.95" customHeight="1" x14ac:dyDescent="0.15"/>
    <row r="33871" spans="3:3" s="8" customFormat="1" ht="21.95" customHeight="1" x14ac:dyDescent="0.15"/>
    <row r="33872" spans="3:3" s="8" customFormat="1" ht="21.95" customHeight="1" x14ac:dyDescent="0.15">
      <c r="C33872" s="101"/>
    </row>
    <row r="33873" spans="3:3" s="8" customFormat="1" ht="21.95" customHeight="1" x14ac:dyDescent="0.15">
      <c r="C33873" s="101"/>
    </row>
    <row r="33874" spans="3:3" s="8" customFormat="1" ht="21.95" customHeight="1" x14ac:dyDescent="0.15"/>
    <row r="33875" spans="3:3" s="8" customFormat="1" ht="21.95" customHeight="1" x14ac:dyDescent="0.15"/>
    <row r="33876" spans="3:3" s="8" customFormat="1" ht="21.95" customHeight="1" x14ac:dyDescent="0.15"/>
    <row r="33877" spans="3:3" s="8" customFormat="1" ht="21.95" customHeight="1" x14ac:dyDescent="0.15"/>
    <row r="33878" spans="3:3" s="8" customFormat="1" ht="21.95" customHeight="1" x14ac:dyDescent="0.15"/>
    <row r="33879" spans="3:3" s="8" customFormat="1" ht="21.95" customHeight="1" x14ac:dyDescent="0.15"/>
    <row r="33880" spans="3:3" s="8" customFormat="1" ht="21.95" customHeight="1" x14ac:dyDescent="0.15"/>
    <row r="33881" spans="3:3" s="9" customFormat="1" ht="21.95" customHeight="1" x14ac:dyDescent="0.15"/>
    <row r="33882" spans="3:3" s="9" customFormat="1" ht="21.95" customHeight="1" x14ac:dyDescent="0.15"/>
    <row r="33883" spans="3:3" s="9" customFormat="1" ht="21.95" customHeight="1" x14ac:dyDescent="0.15"/>
    <row r="33884" spans="3:3" s="9" customFormat="1" ht="21.95" customHeight="1" x14ac:dyDescent="0.15"/>
    <row r="33885" spans="3:3" s="8" customFormat="1" ht="21.95" customHeight="1" x14ac:dyDescent="0.15"/>
    <row r="33886" spans="3:3" s="8" customFormat="1" ht="21.95" customHeight="1" x14ac:dyDescent="0.15"/>
    <row r="33887" spans="3:3" s="8" customFormat="1" ht="21.95" customHeight="1" x14ac:dyDescent="0.15"/>
    <row r="33888" spans="3:3" s="8" customFormat="1" ht="21.95" customHeight="1" x14ac:dyDescent="0.15"/>
    <row r="33889" s="8" customFormat="1" ht="21.95" customHeight="1" x14ac:dyDescent="0.15"/>
    <row r="33890" s="8" customFormat="1" ht="21.95" customHeight="1" x14ac:dyDescent="0.15"/>
    <row r="33891" s="8" customFormat="1" ht="21.95" customHeight="1" x14ac:dyDescent="0.15"/>
    <row r="33892" s="8" customFormat="1" ht="21.95" customHeight="1" x14ac:dyDescent="0.15"/>
    <row r="33893" s="8" customFormat="1" ht="21.95" customHeight="1" x14ac:dyDescent="0.15"/>
    <row r="33894" s="8" customFormat="1" ht="21.95" customHeight="1" x14ac:dyDescent="0.15"/>
    <row r="33895" s="8" customFormat="1" ht="21.95" customHeight="1" x14ac:dyDescent="0.15"/>
    <row r="33896" s="8" customFormat="1" ht="32.1" customHeight="1" x14ac:dyDescent="0.15"/>
    <row r="33897" s="8" customFormat="1" ht="32.1" customHeight="1" x14ac:dyDescent="0.15"/>
    <row r="33898" s="8" customFormat="1" ht="32.1" customHeight="1" x14ac:dyDescent="0.15"/>
    <row r="33899" s="8" customFormat="1" ht="32.1" customHeight="1" x14ac:dyDescent="0.15"/>
    <row r="33900" s="8" customFormat="1" ht="32.1" customHeight="1" x14ac:dyDescent="0.15"/>
    <row r="33901" s="8" customFormat="1" ht="32.1" customHeight="1" x14ac:dyDescent="0.15"/>
    <row r="33902" s="9" customFormat="1" ht="32.1" customHeight="1" x14ac:dyDescent="0.15"/>
    <row r="33903" s="9" customFormat="1" ht="32.1" customHeight="1" x14ac:dyDescent="0.15"/>
    <row r="33904" s="9" customFormat="1" ht="32.1" customHeight="1" x14ac:dyDescent="0.15"/>
    <row r="33905" s="9" customFormat="1" ht="32.1" customHeight="1" x14ac:dyDescent="0.15"/>
    <row r="33906" s="9" customFormat="1" ht="21.95" customHeight="1" x14ac:dyDescent="0.15"/>
    <row r="33907" s="9" customFormat="1" ht="54" customHeight="1" x14ac:dyDescent="0.15"/>
    <row r="33908" s="9" customFormat="1" ht="21.95" customHeight="1" x14ac:dyDescent="0.15"/>
    <row r="33909" s="9" customFormat="1" ht="21.95" customHeight="1" x14ac:dyDescent="0.15"/>
    <row r="33910" s="9" customFormat="1" ht="21.95" customHeight="1" x14ac:dyDescent="0.15"/>
    <row r="33911" s="9" customFormat="1" ht="21.95" customHeight="1" x14ac:dyDescent="0.15"/>
    <row r="33912" s="9" customFormat="1" ht="21.95" customHeight="1" x14ac:dyDescent="0.15"/>
    <row r="33913" s="9" customFormat="1" ht="21.95" customHeight="1" x14ac:dyDescent="0.15"/>
    <row r="33914" s="9" customFormat="1" ht="21.95" customHeight="1" x14ac:dyDescent="0.15"/>
    <row r="33915" s="9" customFormat="1" ht="21.95" customHeight="1" x14ac:dyDescent="0.15"/>
    <row r="33916" s="9" customFormat="1" ht="21.95" customHeight="1" x14ac:dyDescent="0.15"/>
    <row r="33917" s="9" customFormat="1" ht="21.95" customHeight="1" x14ac:dyDescent="0.15"/>
    <row r="33918" s="9" customFormat="1" ht="21.95" customHeight="1" x14ac:dyDescent="0.15"/>
    <row r="33919" s="9" customFormat="1" ht="21.95" customHeight="1" x14ac:dyDescent="0.15"/>
    <row r="33920" s="9" customFormat="1" ht="21.95" customHeight="1" x14ac:dyDescent="0.15"/>
    <row r="33921" s="9" customFormat="1" ht="21.95" customHeight="1" x14ac:dyDescent="0.15"/>
    <row r="33922" s="9" customFormat="1" ht="21.95" customHeight="1" x14ac:dyDescent="0.15"/>
    <row r="33923" s="9" customFormat="1" ht="21.95" customHeight="1" x14ac:dyDescent="0.15"/>
    <row r="33924" s="9" customFormat="1" ht="21.95" customHeight="1" x14ac:dyDescent="0.15"/>
    <row r="33925" s="9" customFormat="1" ht="21.95" customHeight="1" x14ac:dyDescent="0.15"/>
    <row r="33926" s="9" customFormat="1" ht="21.95" customHeight="1" x14ac:dyDescent="0.15"/>
    <row r="33927" s="9" customFormat="1" ht="21.95" customHeight="1" x14ac:dyDescent="0.15"/>
    <row r="33928" s="9" customFormat="1" ht="21.95" customHeight="1" x14ac:dyDescent="0.15"/>
    <row r="33929" s="9" customFormat="1" ht="21.95" customHeight="1" x14ac:dyDescent="0.15"/>
    <row r="33930" s="9" customFormat="1" ht="21.95" customHeight="1" x14ac:dyDescent="0.15"/>
    <row r="33931" s="9" customFormat="1" ht="21.95" customHeight="1" x14ac:dyDescent="0.15"/>
    <row r="33932" s="9" customFormat="1" ht="21.95" customHeight="1" x14ac:dyDescent="0.15"/>
    <row r="33933" s="9" customFormat="1" ht="21.95" customHeight="1" x14ac:dyDescent="0.15"/>
    <row r="33934" s="9" customFormat="1" ht="21.95" customHeight="1" x14ac:dyDescent="0.15"/>
    <row r="33935" s="9" customFormat="1" ht="21.95" customHeight="1" x14ac:dyDescent="0.15"/>
    <row r="33936" s="9" customFormat="1" ht="21.95" customHeight="1" x14ac:dyDescent="0.15"/>
    <row r="33937" s="9" customFormat="1" ht="21.95" customHeight="1" x14ac:dyDescent="0.15"/>
    <row r="33938" s="9" customFormat="1" ht="21.95" customHeight="1" x14ac:dyDescent="0.15"/>
    <row r="33939" s="9" customFormat="1" ht="21.95" customHeight="1" x14ac:dyDescent="0.15"/>
    <row r="33940" s="9" customFormat="1" ht="21.95" customHeight="1" x14ac:dyDescent="0.15"/>
    <row r="33941" s="9" customFormat="1" ht="21.95" customHeight="1" x14ac:dyDescent="0.15"/>
    <row r="33942" s="9" customFormat="1" ht="21.95" customHeight="1" x14ac:dyDescent="0.15"/>
    <row r="33943" s="9" customFormat="1" ht="21.95" customHeight="1" x14ac:dyDescent="0.15"/>
    <row r="33944" s="9" customFormat="1" ht="21.95" customHeight="1" x14ac:dyDescent="0.15"/>
    <row r="33945" s="9" customFormat="1" ht="21.95" customHeight="1" x14ac:dyDescent="0.15"/>
    <row r="33946" s="9" customFormat="1" ht="21.95" customHeight="1" x14ac:dyDescent="0.15"/>
    <row r="33947" s="9" customFormat="1" ht="21.95" customHeight="1" x14ac:dyDescent="0.15"/>
    <row r="33948" s="9" customFormat="1" ht="21.95" customHeight="1" x14ac:dyDescent="0.15"/>
    <row r="33949" s="9" customFormat="1" ht="21.95" customHeight="1" x14ac:dyDescent="0.15"/>
    <row r="33950" s="9" customFormat="1" ht="21.95" customHeight="1" x14ac:dyDescent="0.15"/>
    <row r="33951" s="9" customFormat="1" ht="21.95" customHeight="1" x14ac:dyDescent="0.15"/>
    <row r="33952" s="9" customFormat="1" ht="21.95" customHeight="1" x14ac:dyDescent="0.15"/>
    <row r="33953" s="9" customFormat="1" ht="21.95" customHeight="1" x14ac:dyDescent="0.15"/>
    <row r="33954" s="9" customFormat="1" ht="21.95" customHeight="1" x14ac:dyDescent="0.15"/>
    <row r="33955" s="9" customFormat="1" ht="21.95" customHeight="1" x14ac:dyDescent="0.15"/>
    <row r="33956" s="9" customFormat="1" ht="21.95" customHeight="1" x14ac:dyDescent="0.15"/>
    <row r="33957" s="9" customFormat="1" ht="21.95" customHeight="1" x14ac:dyDescent="0.15"/>
    <row r="33958" s="9" customFormat="1" ht="35.1" customHeight="1" x14ac:dyDescent="0.15"/>
    <row r="33959" s="9" customFormat="1" ht="21.95" customHeight="1" x14ac:dyDescent="0.15"/>
    <row r="33960" s="9" customFormat="1" ht="21.95" customHeight="1" x14ac:dyDescent="0.15"/>
    <row r="33961" s="9" customFormat="1" ht="21.95" customHeight="1" x14ac:dyDescent="0.15"/>
    <row r="33962" s="9" customFormat="1" ht="21.95" customHeight="1" x14ac:dyDescent="0.15"/>
    <row r="33963" s="9" customFormat="1" ht="21.95" customHeight="1" x14ac:dyDescent="0.15"/>
    <row r="33964" s="9" customFormat="1" ht="21.95" customHeight="1" x14ac:dyDescent="0.15"/>
    <row r="33965" s="9" customFormat="1" ht="21.95" customHeight="1" x14ac:dyDescent="0.15"/>
    <row r="33966" s="9" customFormat="1" ht="21.95" customHeight="1" x14ac:dyDescent="0.15"/>
    <row r="33967" s="9" customFormat="1" ht="21.95" customHeight="1" x14ac:dyDescent="0.15"/>
    <row r="33968" s="9" customFormat="1" ht="21.95" customHeight="1" x14ac:dyDescent="0.15"/>
    <row r="33969" spans="3:3" s="9" customFormat="1" ht="21.95" customHeight="1" x14ac:dyDescent="0.15"/>
    <row r="33970" spans="3:3" s="9" customFormat="1" ht="21.95" customHeight="1" x14ac:dyDescent="0.15"/>
    <row r="33971" spans="3:3" s="9" customFormat="1" ht="21.95" customHeight="1" x14ac:dyDescent="0.15"/>
    <row r="33972" spans="3:3" s="9" customFormat="1" ht="21.95" customHeight="1" x14ac:dyDescent="0.15"/>
    <row r="33973" spans="3:3" s="9" customFormat="1" ht="21.95" customHeight="1" x14ac:dyDescent="0.15"/>
    <row r="33974" spans="3:3" s="9" customFormat="1" ht="21.95" customHeight="1" x14ac:dyDescent="0.15"/>
    <row r="33975" spans="3:3" s="9" customFormat="1" ht="21.95" customHeight="1" x14ac:dyDescent="0.15"/>
    <row r="33976" spans="3:3" s="9" customFormat="1" ht="21.95" customHeight="1" x14ac:dyDescent="0.15"/>
    <row r="33977" spans="3:3" s="9" customFormat="1" ht="21.95" customHeight="1" x14ac:dyDescent="0.15"/>
    <row r="33978" spans="3:3" s="9" customFormat="1" ht="21.95" customHeight="1" x14ac:dyDescent="0.15"/>
    <row r="33979" spans="3:3" s="9" customFormat="1" ht="21.95" customHeight="1" x14ac:dyDescent="0.15"/>
    <row r="33980" spans="3:3" s="9" customFormat="1" ht="21.95" customHeight="1" x14ac:dyDescent="0.15"/>
    <row r="33981" spans="3:3" s="9" customFormat="1" ht="21.95" customHeight="1" x14ac:dyDescent="0.15"/>
    <row r="33982" spans="3:3" s="8" customFormat="1" ht="21.95" customHeight="1" x14ac:dyDescent="0.15"/>
    <row r="33983" spans="3:3" s="8" customFormat="1" ht="21.95" customHeight="1" x14ac:dyDescent="0.15"/>
    <row r="33984" spans="3:3" s="8" customFormat="1" ht="21.95" customHeight="1" x14ac:dyDescent="0.15">
      <c r="C33984" s="101"/>
    </row>
    <row r="33985" spans="3:3" s="8" customFormat="1" ht="21.95" customHeight="1" x14ac:dyDescent="0.15">
      <c r="C33985" s="101"/>
    </row>
    <row r="33986" spans="3:3" s="8" customFormat="1" ht="21.95" customHeight="1" x14ac:dyDescent="0.15"/>
    <row r="33987" spans="3:3" s="8" customFormat="1" ht="21.95" customHeight="1" x14ac:dyDescent="0.15"/>
    <row r="33988" spans="3:3" s="8" customFormat="1" ht="21.95" customHeight="1" x14ac:dyDescent="0.15"/>
    <row r="33989" spans="3:3" s="8" customFormat="1" ht="21.95" customHeight="1" x14ac:dyDescent="0.15"/>
    <row r="33990" spans="3:3" s="8" customFormat="1" ht="21.95" customHeight="1" x14ac:dyDescent="0.15"/>
    <row r="33991" spans="3:3" s="8" customFormat="1" ht="21.95" customHeight="1" x14ac:dyDescent="0.15"/>
    <row r="33992" spans="3:3" s="8" customFormat="1" ht="21.95" customHeight="1" x14ac:dyDescent="0.15"/>
    <row r="33993" spans="3:3" s="9" customFormat="1" ht="21.95" customHeight="1" x14ac:dyDescent="0.15"/>
    <row r="33994" spans="3:3" s="9" customFormat="1" ht="21.95" customHeight="1" x14ac:dyDescent="0.15"/>
    <row r="33995" spans="3:3" s="9" customFormat="1" ht="21.95" customHeight="1" x14ac:dyDescent="0.15"/>
    <row r="33996" spans="3:3" s="9" customFormat="1" ht="21.95" customHeight="1" x14ac:dyDescent="0.15"/>
    <row r="33997" spans="3:3" s="8" customFormat="1" ht="21.95" customHeight="1" x14ac:dyDescent="0.15"/>
    <row r="33998" spans="3:3" s="8" customFormat="1" ht="21.95" customHeight="1" x14ac:dyDescent="0.15"/>
    <row r="33999" spans="3:3" s="8" customFormat="1" ht="21.95" customHeight="1" x14ac:dyDescent="0.15"/>
    <row r="34000" spans="3:3" s="8" customFormat="1" ht="21.95" customHeight="1" x14ac:dyDescent="0.15"/>
    <row r="34001" s="8" customFormat="1" ht="21.95" customHeight="1" x14ac:dyDescent="0.15"/>
    <row r="34002" s="8" customFormat="1" ht="21.95" customHeight="1" x14ac:dyDescent="0.15"/>
    <row r="34003" s="8" customFormat="1" ht="21.95" customHeight="1" x14ac:dyDescent="0.15"/>
    <row r="34004" s="8" customFormat="1" ht="21.95" customHeight="1" x14ac:dyDescent="0.15"/>
    <row r="34005" s="8" customFormat="1" ht="21.95" customHeight="1" x14ac:dyDescent="0.15"/>
    <row r="34006" s="8" customFormat="1" ht="21.95" customHeight="1" x14ac:dyDescent="0.15"/>
    <row r="34007" s="8" customFormat="1" ht="21.95" customHeight="1" x14ac:dyDescent="0.15"/>
    <row r="34008" s="8" customFormat="1" ht="32.1" customHeight="1" x14ac:dyDescent="0.15"/>
    <row r="34009" s="8" customFormat="1" ht="32.1" customHeight="1" x14ac:dyDescent="0.15"/>
    <row r="34010" s="8" customFormat="1" ht="32.1" customHeight="1" x14ac:dyDescent="0.15"/>
    <row r="34011" s="8" customFormat="1" ht="32.1" customHeight="1" x14ac:dyDescent="0.15"/>
    <row r="34012" s="8" customFormat="1" ht="32.1" customHeight="1" x14ac:dyDescent="0.15"/>
    <row r="34013" s="8" customFormat="1" ht="32.1" customHeight="1" x14ac:dyDescent="0.15"/>
    <row r="34014" s="9" customFormat="1" ht="32.1" customHeight="1" x14ac:dyDescent="0.15"/>
    <row r="34015" s="9" customFormat="1" ht="32.1" customHeight="1" x14ac:dyDescent="0.15"/>
    <row r="34016" s="9" customFormat="1" ht="32.1" customHeight="1" x14ac:dyDescent="0.15"/>
    <row r="34017" s="9" customFormat="1" ht="32.1" customHeight="1" x14ac:dyDescent="0.15"/>
    <row r="34018" s="9" customFormat="1" ht="21.95" customHeight="1" x14ac:dyDescent="0.15"/>
    <row r="34019" s="9" customFormat="1" ht="54" customHeight="1" x14ac:dyDescent="0.15"/>
    <row r="34020" s="9" customFormat="1" ht="21.95" customHeight="1" x14ac:dyDescent="0.15"/>
    <row r="34021" s="9" customFormat="1" ht="21.95" customHeight="1" x14ac:dyDescent="0.15"/>
    <row r="34022" s="9" customFormat="1" ht="21.95" customHeight="1" x14ac:dyDescent="0.15"/>
    <row r="34023" s="9" customFormat="1" ht="21.95" customHeight="1" x14ac:dyDescent="0.15"/>
    <row r="34024" s="9" customFormat="1" ht="21.95" customHeight="1" x14ac:dyDescent="0.15"/>
    <row r="34025" s="9" customFormat="1" ht="21.95" customHeight="1" x14ac:dyDescent="0.15"/>
    <row r="34026" s="9" customFormat="1" ht="21.95" customHeight="1" x14ac:dyDescent="0.15"/>
    <row r="34027" s="9" customFormat="1" ht="21.95" customHeight="1" x14ac:dyDescent="0.15"/>
    <row r="34028" s="9" customFormat="1" ht="21.95" customHeight="1" x14ac:dyDescent="0.15"/>
    <row r="34029" s="9" customFormat="1" ht="21.95" customHeight="1" x14ac:dyDescent="0.15"/>
    <row r="34030" s="9" customFormat="1" ht="21.95" customHeight="1" x14ac:dyDescent="0.15"/>
    <row r="34031" s="9" customFormat="1" ht="21.95" customHeight="1" x14ac:dyDescent="0.15"/>
    <row r="34032" s="9" customFormat="1" ht="21.95" customHeight="1" x14ac:dyDescent="0.15"/>
    <row r="34033" s="9" customFormat="1" ht="21.95" customHeight="1" x14ac:dyDescent="0.15"/>
    <row r="34034" s="9" customFormat="1" ht="21.95" customHeight="1" x14ac:dyDescent="0.15"/>
    <row r="34035" s="9" customFormat="1" ht="21.95" customHeight="1" x14ac:dyDescent="0.15"/>
    <row r="34036" s="9" customFormat="1" ht="21.95" customHeight="1" x14ac:dyDescent="0.15"/>
    <row r="34037" s="9" customFormat="1" ht="21.95" customHeight="1" x14ac:dyDescent="0.15"/>
    <row r="34038" s="9" customFormat="1" ht="21.95" customHeight="1" x14ac:dyDescent="0.15"/>
    <row r="34039" s="9" customFormat="1" ht="21.95" customHeight="1" x14ac:dyDescent="0.15"/>
    <row r="34040" s="9" customFormat="1" ht="21.95" customHeight="1" x14ac:dyDescent="0.15"/>
    <row r="34041" s="9" customFormat="1" ht="21.95" customHeight="1" x14ac:dyDescent="0.15"/>
    <row r="34042" s="9" customFormat="1" ht="21.95" customHeight="1" x14ac:dyDescent="0.15"/>
    <row r="34043" s="9" customFormat="1" ht="21.95" customHeight="1" x14ac:dyDescent="0.15"/>
    <row r="34044" s="9" customFormat="1" ht="21.95" customHeight="1" x14ac:dyDescent="0.15"/>
    <row r="34045" s="9" customFormat="1" ht="21.95" customHeight="1" x14ac:dyDescent="0.15"/>
    <row r="34046" s="9" customFormat="1" ht="21.95" customHeight="1" x14ac:dyDescent="0.15"/>
    <row r="34047" s="9" customFormat="1" ht="21.95" customHeight="1" x14ac:dyDescent="0.15"/>
    <row r="34048" s="9" customFormat="1" ht="21.95" customHeight="1" x14ac:dyDescent="0.15"/>
    <row r="34049" s="9" customFormat="1" ht="21.95" customHeight="1" x14ac:dyDescent="0.15"/>
    <row r="34050" s="9" customFormat="1" ht="21.95" customHeight="1" x14ac:dyDescent="0.15"/>
    <row r="34051" s="9" customFormat="1" ht="21.95" customHeight="1" x14ac:dyDescent="0.15"/>
    <row r="34052" s="9" customFormat="1" ht="21.95" customHeight="1" x14ac:dyDescent="0.15"/>
    <row r="34053" s="9" customFormat="1" ht="21.95" customHeight="1" x14ac:dyDescent="0.15"/>
    <row r="34054" s="9" customFormat="1" ht="21.95" customHeight="1" x14ac:dyDescent="0.15"/>
    <row r="34055" s="9" customFormat="1" ht="21.95" customHeight="1" x14ac:dyDescent="0.15"/>
    <row r="34056" s="9" customFormat="1" ht="21.95" customHeight="1" x14ac:dyDescent="0.15"/>
    <row r="34057" s="9" customFormat="1" ht="21.95" customHeight="1" x14ac:dyDescent="0.15"/>
    <row r="34058" s="9" customFormat="1" ht="21.95" customHeight="1" x14ac:dyDescent="0.15"/>
    <row r="34059" s="9" customFormat="1" ht="21.95" customHeight="1" x14ac:dyDescent="0.15"/>
    <row r="34060" s="9" customFormat="1" ht="21.95" customHeight="1" x14ac:dyDescent="0.15"/>
    <row r="34061" s="9" customFormat="1" ht="21.95" customHeight="1" x14ac:dyDescent="0.15"/>
    <row r="34062" s="9" customFormat="1" ht="21.95" customHeight="1" x14ac:dyDescent="0.15"/>
    <row r="34063" s="9" customFormat="1" ht="21.95" customHeight="1" x14ac:dyDescent="0.15"/>
    <row r="34064" s="9" customFormat="1" ht="21.95" customHeight="1" x14ac:dyDescent="0.15"/>
    <row r="34065" s="9" customFormat="1" ht="21.95" customHeight="1" x14ac:dyDescent="0.15"/>
    <row r="34066" s="9" customFormat="1" ht="21.95" customHeight="1" x14ac:dyDescent="0.15"/>
    <row r="34067" s="9" customFormat="1" ht="21.95" customHeight="1" x14ac:dyDescent="0.15"/>
    <row r="34068" s="9" customFormat="1" ht="21.95" customHeight="1" x14ac:dyDescent="0.15"/>
    <row r="34069" s="9" customFormat="1" ht="21.95" customHeight="1" x14ac:dyDescent="0.15"/>
    <row r="34070" s="9" customFormat="1" ht="35.1" customHeight="1" x14ac:dyDescent="0.15"/>
    <row r="34071" s="9" customFormat="1" ht="21.95" customHeight="1" x14ac:dyDescent="0.15"/>
    <row r="34072" s="9" customFormat="1" ht="21.95" customHeight="1" x14ac:dyDescent="0.15"/>
    <row r="34073" s="9" customFormat="1" ht="21.95" customHeight="1" x14ac:dyDescent="0.15"/>
    <row r="34074" s="9" customFormat="1" ht="21.95" customHeight="1" x14ac:dyDescent="0.15"/>
    <row r="34075" s="9" customFormat="1" ht="21.95" customHeight="1" x14ac:dyDescent="0.15"/>
    <row r="34076" s="9" customFormat="1" ht="21.95" customHeight="1" x14ac:dyDescent="0.15"/>
    <row r="34077" s="9" customFormat="1" ht="21.95" customHeight="1" x14ac:dyDescent="0.15"/>
    <row r="34078" s="9" customFormat="1" ht="21.95" customHeight="1" x14ac:dyDescent="0.15"/>
    <row r="34079" s="9" customFormat="1" ht="21.95" customHeight="1" x14ac:dyDescent="0.15"/>
    <row r="34080" s="9" customFormat="1" ht="21.95" customHeight="1" x14ac:dyDescent="0.15"/>
    <row r="34081" spans="3:3" s="9" customFormat="1" ht="21.95" customHeight="1" x14ac:dyDescent="0.15"/>
    <row r="34082" spans="3:3" s="9" customFormat="1" ht="21.95" customHeight="1" x14ac:dyDescent="0.15"/>
    <row r="34083" spans="3:3" s="9" customFormat="1" ht="21.95" customHeight="1" x14ac:dyDescent="0.15"/>
    <row r="34084" spans="3:3" s="9" customFormat="1" ht="21.95" customHeight="1" x14ac:dyDescent="0.15"/>
    <row r="34085" spans="3:3" s="9" customFormat="1" ht="21.95" customHeight="1" x14ac:dyDescent="0.15"/>
    <row r="34086" spans="3:3" s="9" customFormat="1" ht="21.95" customHeight="1" x14ac:dyDescent="0.15"/>
    <row r="34087" spans="3:3" s="9" customFormat="1" ht="21.95" customHeight="1" x14ac:dyDescent="0.15"/>
    <row r="34088" spans="3:3" s="9" customFormat="1" ht="21.95" customHeight="1" x14ac:dyDescent="0.15"/>
    <row r="34089" spans="3:3" s="9" customFormat="1" ht="21.95" customHeight="1" x14ac:dyDescent="0.15"/>
    <row r="34090" spans="3:3" s="9" customFormat="1" ht="21.95" customHeight="1" x14ac:dyDescent="0.15"/>
    <row r="34091" spans="3:3" s="9" customFormat="1" ht="21.95" customHeight="1" x14ac:dyDescent="0.15"/>
    <row r="34092" spans="3:3" s="9" customFormat="1" ht="21.95" customHeight="1" x14ac:dyDescent="0.15"/>
    <row r="34093" spans="3:3" s="9" customFormat="1" ht="21.95" customHeight="1" x14ac:dyDescent="0.15"/>
    <row r="34094" spans="3:3" s="8" customFormat="1" ht="21.95" customHeight="1" x14ac:dyDescent="0.15"/>
    <row r="34095" spans="3:3" s="8" customFormat="1" ht="21.95" customHeight="1" x14ac:dyDescent="0.15"/>
    <row r="34096" spans="3:3" s="8" customFormat="1" ht="21.95" customHeight="1" x14ac:dyDescent="0.15">
      <c r="C34096" s="101"/>
    </row>
    <row r="34097" spans="3:3" s="8" customFormat="1" ht="21.95" customHeight="1" x14ac:dyDescent="0.15">
      <c r="C34097" s="101"/>
    </row>
    <row r="34098" spans="3:3" s="8" customFormat="1" ht="21.95" customHeight="1" x14ac:dyDescent="0.15"/>
    <row r="34099" spans="3:3" s="8" customFormat="1" ht="21.95" customHeight="1" x14ac:dyDescent="0.15"/>
    <row r="34100" spans="3:3" s="8" customFormat="1" ht="21.95" customHeight="1" x14ac:dyDescent="0.15"/>
    <row r="34101" spans="3:3" s="8" customFormat="1" ht="21.95" customHeight="1" x14ac:dyDescent="0.15"/>
    <row r="34102" spans="3:3" s="8" customFormat="1" ht="21.95" customHeight="1" x14ac:dyDescent="0.15"/>
    <row r="34103" spans="3:3" s="8" customFormat="1" ht="21.95" customHeight="1" x14ac:dyDescent="0.15"/>
    <row r="34104" spans="3:3" s="8" customFormat="1" ht="21.95" customHeight="1" x14ac:dyDescent="0.15"/>
    <row r="34105" spans="3:3" s="9" customFormat="1" ht="21.95" customHeight="1" x14ac:dyDescent="0.15"/>
    <row r="34106" spans="3:3" s="9" customFormat="1" ht="21.95" customHeight="1" x14ac:dyDescent="0.15"/>
    <row r="34107" spans="3:3" s="9" customFormat="1" ht="21.95" customHeight="1" x14ac:dyDescent="0.15"/>
    <row r="34108" spans="3:3" s="9" customFormat="1" ht="21.95" customHeight="1" x14ac:dyDescent="0.15"/>
    <row r="34109" spans="3:3" s="8" customFormat="1" ht="21.95" customHeight="1" x14ac:dyDescent="0.15"/>
    <row r="34110" spans="3:3" s="8" customFormat="1" ht="21.95" customHeight="1" x14ac:dyDescent="0.15"/>
    <row r="34111" spans="3:3" s="8" customFormat="1" ht="21.95" customHeight="1" x14ac:dyDescent="0.15"/>
    <row r="34112" spans="3:3" s="8" customFormat="1" ht="21.95" customHeight="1" x14ac:dyDescent="0.15"/>
    <row r="34113" s="8" customFormat="1" ht="21.95" customHeight="1" x14ac:dyDescent="0.15"/>
    <row r="34114" s="8" customFormat="1" ht="21.95" customHeight="1" x14ac:dyDescent="0.15"/>
    <row r="34115" s="8" customFormat="1" ht="21.95" customHeight="1" x14ac:dyDescent="0.15"/>
    <row r="34116" s="8" customFormat="1" ht="21.95" customHeight="1" x14ac:dyDescent="0.15"/>
    <row r="34117" s="8" customFormat="1" ht="21.95" customHeight="1" x14ac:dyDescent="0.15"/>
    <row r="34118" s="8" customFormat="1" ht="21.95" customHeight="1" x14ac:dyDescent="0.15"/>
    <row r="34119" s="8" customFormat="1" ht="21.95" customHeight="1" x14ac:dyDescent="0.15"/>
    <row r="34120" s="8" customFormat="1" ht="32.1" customHeight="1" x14ac:dyDescent="0.15"/>
    <row r="34121" s="8" customFormat="1" ht="32.1" customHeight="1" x14ac:dyDescent="0.15"/>
    <row r="34122" s="8" customFormat="1" ht="32.1" customHeight="1" x14ac:dyDescent="0.15"/>
    <row r="34123" s="8" customFormat="1" ht="32.1" customHeight="1" x14ac:dyDescent="0.15"/>
    <row r="34124" s="8" customFormat="1" ht="32.1" customHeight="1" x14ac:dyDescent="0.15"/>
    <row r="34125" s="8" customFormat="1" ht="32.1" customHeight="1" x14ac:dyDescent="0.15"/>
    <row r="34126" s="9" customFormat="1" ht="32.1" customHeight="1" x14ac:dyDescent="0.15"/>
    <row r="34127" s="9" customFormat="1" ht="32.1" customHeight="1" x14ac:dyDescent="0.15"/>
    <row r="34128" s="9" customFormat="1" ht="32.1" customHeight="1" x14ac:dyDescent="0.15"/>
    <row r="34129" s="9" customFormat="1" ht="32.1" customHeight="1" x14ac:dyDescent="0.15"/>
    <row r="34130" s="9" customFormat="1" ht="21.95" customHeight="1" x14ac:dyDescent="0.15"/>
    <row r="34131" s="9" customFormat="1" ht="54" customHeight="1" x14ac:dyDescent="0.15"/>
    <row r="34132" s="9" customFormat="1" ht="21.95" customHeight="1" x14ac:dyDescent="0.15"/>
    <row r="34133" s="9" customFormat="1" ht="21.95" customHeight="1" x14ac:dyDescent="0.15"/>
    <row r="34134" s="9" customFormat="1" ht="21.95" customHeight="1" x14ac:dyDescent="0.15"/>
    <row r="34135" s="9" customFormat="1" ht="21.95" customHeight="1" x14ac:dyDescent="0.15"/>
    <row r="34136" s="9" customFormat="1" ht="21.95" customHeight="1" x14ac:dyDescent="0.15"/>
    <row r="34137" s="9" customFormat="1" ht="21.95" customHeight="1" x14ac:dyDescent="0.15"/>
    <row r="34138" s="9" customFormat="1" ht="21.95" customHeight="1" x14ac:dyDescent="0.15"/>
    <row r="34139" s="9" customFormat="1" ht="21.95" customHeight="1" x14ac:dyDescent="0.15"/>
    <row r="34140" s="9" customFormat="1" ht="21.95" customHeight="1" x14ac:dyDescent="0.15"/>
    <row r="34141" s="9" customFormat="1" ht="21.95" customHeight="1" x14ac:dyDescent="0.15"/>
    <row r="34142" s="9" customFormat="1" ht="21.95" customHeight="1" x14ac:dyDescent="0.15"/>
    <row r="34143" s="9" customFormat="1" ht="21.95" customHeight="1" x14ac:dyDescent="0.15"/>
    <row r="34144" s="9" customFormat="1" ht="21.95" customHeight="1" x14ac:dyDescent="0.15"/>
    <row r="34145" s="9" customFormat="1" ht="21.95" customHeight="1" x14ac:dyDescent="0.15"/>
    <row r="34146" s="9" customFormat="1" ht="21.95" customHeight="1" x14ac:dyDescent="0.15"/>
    <row r="34147" s="9" customFormat="1" ht="21.95" customHeight="1" x14ac:dyDescent="0.15"/>
    <row r="34148" s="9" customFormat="1" ht="21.95" customHeight="1" x14ac:dyDescent="0.15"/>
    <row r="34149" s="9" customFormat="1" ht="21.95" customHeight="1" x14ac:dyDescent="0.15"/>
    <row r="34150" s="9" customFormat="1" ht="21.95" customHeight="1" x14ac:dyDescent="0.15"/>
    <row r="34151" s="9" customFormat="1" ht="21.95" customHeight="1" x14ac:dyDescent="0.15"/>
    <row r="34152" s="9" customFormat="1" ht="21.95" customHeight="1" x14ac:dyDescent="0.15"/>
    <row r="34153" s="9" customFormat="1" ht="21.95" customHeight="1" x14ac:dyDescent="0.15"/>
    <row r="34154" s="9" customFormat="1" ht="21.95" customHeight="1" x14ac:dyDescent="0.15"/>
    <row r="34155" s="9" customFormat="1" ht="21.95" customHeight="1" x14ac:dyDescent="0.15"/>
    <row r="34156" s="9" customFormat="1" ht="21.95" customHeight="1" x14ac:dyDescent="0.15"/>
    <row r="34157" s="9" customFormat="1" ht="21.95" customHeight="1" x14ac:dyDescent="0.15"/>
    <row r="34158" s="9" customFormat="1" ht="21.95" customHeight="1" x14ac:dyDescent="0.15"/>
    <row r="34159" s="9" customFormat="1" ht="21.95" customHeight="1" x14ac:dyDescent="0.15"/>
    <row r="34160" s="9" customFormat="1" ht="21.95" customHeight="1" x14ac:dyDescent="0.15"/>
    <row r="34161" s="9" customFormat="1" ht="21.95" customHeight="1" x14ac:dyDescent="0.15"/>
    <row r="34162" s="9" customFormat="1" ht="21.95" customHeight="1" x14ac:dyDescent="0.15"/>
    <row r="34163" s="9" customFormat="1" ht="21.95" customHeight="1" x14ac:dyDescent="0.15"/>
    <row r="34164" s="9" customFormat="1" ht="21.95" customHeight="1" x14ac:dyDescent="0.15"/>
    <row r="34165" s="9" customFormat="1" ht="21.95" customHeight="1" x14ac:dyDescent="0.15"/>
    <row r="34166" s="9" customFormat="1" ht="21.95" customHeight="1" x14ac:dyDescent="0.15"/>
    <row r="34167" s="9" customFormat="1" ht="21.95" customHeight="1" x14ac:dyDescent="0.15"/>
    <row r="34168" s="9" customFormat="1" ht="21.95" customHeight="1" x14ac:dyDescent="0.15"/>
    <row r="34169" s="9" customFormat="1" ht="21.95" customHeight="1" x14ac:dyDescent="0.15"/>
    <row r="34170" s="9" customFormat="1" ht="21.95" customHeight="1" x14ac:dyDescent="0.15"/>
    <row r="34171" s="9" customFormat="1" ht="21.95" customHeight="1" x14ac:dyDescent="0.15"/>
    <row r="34172" s="9" customFormat="1" ht="21.95" customHeight="1" x14ac:dyDescent="0.15"/>
    <row r="34173" s="9" customFormat="1" ht="21.95" customHeight="1" x14ac:dyDescent="0.15"/>
    <row r="34174" s="9" customFormat="1" ht="21.95" customHeight="1" x14ac:dyDescent="0.15"/>
    <row r="34175" s="9" customFormat="1" ht="21.95" customHeight="1" x14ac:dyDescent="0.15"/>
    <row r="34176" s="9" customFormat="1" ht="21.95" customHeight="1" x14ac:dyDescent="0.15"/>
    <row r="34177" s="9" customFormat="1" ht="21.95" customHeight="1" x14ac:dyDescent="0.15"/>
    <row r="34178" s="9" customFormat="1" ht="21.95" customHeight="1" x14ac:dyDescent="0.15"/>
    <row r="34179" s="9" customFormat="1" ht="21.95" customHeight="1" x14ac:dyDescent="0.15"/>
    <row r="34180" s="9" customFormat="1" ht="21.95" customHeight="1" x14ac:dyDescent="0.15"/>
    <row r="34181" s="9" customFormat="1" ht="21.95" customHeight="1" x14ac:dyDescent="0.15"/>
    <row r="34182" s="9" customFormat="1" ht="35.1" customHeight="1" x14ac:dyDescent="0.15"/>
    <row r="34183" s="9" customFormat="1" ht="21.95" customHeight="1" x14ac:dyDescent="0.15"/>
    <row r="34184" s="9" customFormat="1" ht="21.95" customHeight="1" x14ac:dyDescent="0.15"/>
    <row r="34185" s="9" customFormat="1" ht="21.95" customHeight="1" x14ac:dyDescent="0.15"/>
    <row r="34186" s="9" customFormat="1" ht="21.95" customHeight="1" x14ac:dyDescent="0.15"/>
    <row r="34187" s="9" customFormat="1" ht="21.95" customHeight="1" x14ac:dyDescent="0.15"/>
    <row r="34188" s="9" customFormat="1" ht="21.95" customHeight="1" x14ac:dyDescent="0.15"/>
    <row r="34189" s="9" customFormat="1" ht="21.95" customHeight="1" x14ac:dyDescent="0.15"/>
    <row r="34190" s="9" customFormat="1" ht="21.95" customHeight="1" x14ac:dyDescent="0.15"/>
    <row r="34191" s="9" customFormat="1" ht="21.95" customHeight="1" x14ac:dyDescent="0.15"/>
    <row r="34192" s="9" customFormat="1" ht="21.95" customHeight="1" x14ac:dyDescent="0.15"/>
    <row r="34193" spans="3:3" s="9" customFormat="1" ht="21.95" customHeight="1" x14ac:dyDescent="0.15"/>
    <row r="34194" spans="3:3" s="9" customFormat="1" ht="21.95" customHeight="1" x14ac:dyDescent="0.15"/>
    <row r="34195" spans="3:3" s="9" customFormat="1" ht="21.95" customHeight="1" x14ac:dyDescent="0.15"/>
    <row r="34196" spans="3:3" s="9" customFormat="1" ht="21.95" customHeight="1" x14ac:dyDescent="0.15"/>
    <row r="34197" spans="3:3" s="9" customFormat="1" ht="21.95" customHeight="1" x14ac:dyDescent="0.15"/>
    <row r="34198" spans="3:3" s="9" customFormat="1" ht="21.95" customHeight="1" x14ac:dyDescent="0.15"/>
    <row r="34199" spans="3:3" s="9" customFormat="1" ht="21.95" customHeight="1" x14ac:dyDescent="0.15"/>
    <row r="34200" spans="3:3" s="9" customFormat="1" ht="21.95" customHeight="1" x14ac:dyDescent="0.15"/>
    <row r="34201" spans="3:3" s="9" customFormat="1" ht="21.95" customHeight="1" x14ac:dyDescent="0.15"/>
    <row r="34202" spans="3:3" s="9" customFormat="1" ht="21.95" customHeight="1" x14ac:dyDescent="0.15"/>
    <row r="34203" spans="3:3" s="9" customFormat="1" ht="21.95" customHeight="1" x14ac:dyDescent="0.15"/>
    <row r="34204" spans="3:3" s="9" customFormat="1" ht="21.95" customHeight="1" x14ac:dyDescent="0.15"/>
    <row r="34205" spans="3:3" s="9" customFormat="1" ht="21.95" customHeight="1" x14ac:dyDescent="0.15"/>
    <row r="34206" spans="3:3" s="8" customFormat="1" ht="21.95" customHeight="1" x14ac:dyDescent="0.15"/>
    <row r="34207" spans="3:3" s="8" customFormat="1" ht="21.95" customHeight="1" x14ac:dyDescent="0.15"/>
    <row r="34208" spans="3:3" s="8" customFormat="1" ht="21.95" customHeight="1" x14ac:dyDescent="0.15">
      <c r="C34208" s="101"/>
    </row>
    <row r="34209" spans="3:3" s="8" customFormat="1" ht="21.95" customHeight="1" x14ac:dyDescent="0.15">
      <c r="C34209" s="101"/>
    </row>
    <row r="34210" spans="3:3" s="8" customFormat="1" ht="21.95" customHeight="1" x14ac:dyDescent="0.15"/>
    <row r="34211" spans="3:3" s="8" customFormat="1" ht="21.95" customHeight="1" x14ac:dyDescent="0.15"/>
    <row r="34212" spans="3:3" s="8" customFormat="1" ht="21.95" customHeight="1" x14ac:dyDescent="0.15"/>
    <row r="34213" spans="3:3" s="8" customFormat="1" ht="21.95" customHeight="1" x14ac:dyDescent="0.15"/>
    <row r="34214" spans="3:3" s="8" customFormat="1" ht="21.95" customHeight="1" x14ac:dyDescent="0.15"/>
    <row r="34215" spans="3:3" s="8" customFormat="1" ht="21.95" customHeight="1" x14ac:dyDescent="0.15"/>
    <row r="34216" spans="3:3" s="8" customFormat="1" ht="21.95" customHeight="1" x14ac:dyDescent="0.15"/>
    <row r="34217" spans="3:3" s="9" customFormat="1" ht="21.95" customHeight="1" x14ac:dyDescent="0.15"/>
    <row r="34218" spans="3:3" s="9" customFormat="1" ht="21.95" customHeight="1" x14ac:dyDescent="0.15"/>
    <row r="34219" spans="3:3" s="9" customFormat="1" ht="21.95" customHeight="1" x14ac:dyDescent="0.15"/>
    <row r="34220" spans="3:3" s="9" customFormat="1" ht="21.95" customHeight="1" x14ac:dyDescent="0.15"/>
    <row r="34221" spans="3:3" s="8" customFormat="1" ht="21.95" customHeight="1" x14ac:dyDescent="0.15"/>
    <row r="34222" spans="3:3" s="8" customFormat="1" ht="21.95" customHeight="1" x14ac:dyDescent="0.15"/>
    <row r="34223" spans="3:3" s="8" customFormat="1" ht="21.95" customHeight="1" x14ac:dyDescent="0.15"/>
    <row r="34224" spans="3:3" s="8" customFormat="1" ht="21.95" customHeight="1" x14ac:dyDescent="0.15"/>
    <row r="34225" s="8" customFormat="1" ht="21.95" customHeight="1" x14ac:dyDescent="0.15"/>
    <row r="34226" s="8" customFormat="1" ht="21.95" customHeight="1" x14ac:dyDescent="0.15"/>
    <row r="34227" s="8" customFormat="1" ht="21.95" customHeight="1" x14ac:dyDescent="0.15"/>
    <row r="34228" s="8" customFormat="1" ht="21.95" customHeight="1" x14ac:dyDescent="0.15"/>
    <row r="34229" s="8" customFormat="1" ht="21.95" customHeight="1" x14ac:dyDescent="0.15"/>
    <row r="34230" s="8" customFormat="1" ht="21.95" customHeight="1" x14ac:dyDescent="0.15"/>
    <row r="34231" s="8" customFormat="1" ht="21.95" customHeight="1" x14ac:dyDescent="0.15"/>
    <row r="34232" s="8" customFormat="1" ht="32.1" customHeight="1" x14ac:dyDescent="0.15"/>
    <row r="34233" s="8" customFormat="1" ht="32.1" customHeight="1" x14ac:dyDescent="0.15"/>
    <row r="34234" s="8" customFormat="1" ht="32.1" customHeight="1" x14ac:dyDescent="0.15"/>
    <row r="34235" s="8" customFormat="1" ht="32.1" customHeight="1" x14ac:dyDescent="0.15"/>
    <row r="34236" s="8" customFormat="1" ht="32.1" customHeight="1" x14ac:dyDescent="0.15"/>
    <row r="34237" s="8" customFormat="1" ht="32.1" customHeight="1" x14ac:dyDescent="0.15"/>
    <row r="34238" s="9" customFormat="1" ht="32.1" customHeight="1" x14ac:dyDescent="0.15"/>
    <row r="34239" s="9" customFormat="1" ht="32.1" customHeight="1" x14ac:dyDescent="0.15"/>
    <row r="34240" s="9" customFormat="1" ht="32.1" customHeight="1" x14ac:dyDescent="0.15"/>
    <row r="34241" s="9" customFormat="1" ht="32.1" customHeight="1" x14ac:dyDescent="0.15"/>
    <row r="34242" s="9" customFormat="1" ht="21.95" customHeight="1" x14ac:dyDescent="0.15"/>
    <row r="34243" s="9" customFormat="1" ht="54" customHeight="1" x14ac:dyDescent="0.15"/>
    <row r="34244" s="9" customFormat="1" ht="21.95" customHeight="1" x14ac:dyDescent="0.15"/>
    <row r="34245" s="9" customFormat="1" ht="21.95" customHeight="1" x14ac:dyDescent="0.15"/>
    <row r="34246" s="9" customFormat="1" ht="21.95" customHeight="1" x14ac:dyDescent="0.15"/>
    <row r="34247" s="9" customFormat="1" ht="21.95" customHeight="1" x14ac:dyDescent="0.15"/>
    <row r="34248" s="9" customFormat="1" ht="21.95" customHeight="1" x14ac:dyDescent="0.15"/>
    <row r="34249" s="9" customFormat="1" ht="21.95" customHeight="1" x14ac:dyDescent="0.15"/>
    <row r="34250" s="9" customFormat="1" ht="21.95" customHeight="1" x14ac:dyDescent="0.15"/>
    <row r="34251" s="9" customFormat="1" ht="21.95" customHeight="1" x14ac:dyDescent="0.15"/>
    <row r="34252" s="9" customFormat="1" ht="21.95" customHeight="1" x14ac:dyDescent="0.15"/>
    <row r="34253" s="9" customFormat="1" ht="21.95" customHeight="1" x14ac:dyDescent="0.15"/>
    <row r="34254" s="9" customFormat="1" ht="21.95" customHeight="1" x14ac:dyDescent="0.15"/>
    <row r="34255" s="9" customFormat="1" ht="21.95" customHeight="1" x14ac:dyDescent="0.15"/>
    <row r="34256" s="9" customFormat="1" ht="21.95" customHeight="1" x14ac:dyDescent="0.15"/>
    <row r="34257" s="9" customFormat="1" ht="21.95" customHeight="1" x14ac:dyDescent="0.15"/>
    <row r="34258" s="9" customFormat="1" ht="21.95" customHeight="1" x14ac:dyDescent="0.15"/>
    <row r="34259" s="9" customFormat="1" ht="21.95" customHeight="1" x14ac:dyDescent="0.15"/>
    <row r="34260" s="9" customFormat="1" ht="21.95" customHeight="1" x14ac:dyDescent="0.15"/>
    <row r="34261" s="9" customFormat="1" ht="21.95" customHeight="1" x14ac:dyDescent="0.15"/>
    <row r="34262" s="9" customFormat="1" ht="21.95" customHeight="1" x14ac:dyDescent="0.15"/>
    <row r="34263" s="9" customFormat="1" ht="21.95" customHeight="1" x14ac:dyDescent="0.15"/>
    <row r="34264" s="9" customFormat="1" ht="21.95" customHeight="1" x14ac:dyDescent="0.15"/>
    <row r="34265" s="9" customFormat="1" ht="21.95" customHeight="1" x14ac:dyDescent="0.15"/>
    <row r="34266" s="9" customFormat="1" ht="21.95" customHeight="1" x14ac:dyDescent="0.15"/>
    <row r="34267" s="9" customFormat="1" ht="21.95" customHeight="1" x14ac:dyDescent="0.15"/>
    <row r="34268" s="9" customFormat="1" ht="21.95" customHeight="1" x14ac:dyDescent="0.15"/>
    <row r="34269" s="9" customFormat="1" ht="21.95" customHeight="1" x14ac:dyDescent="0.15"/>
    <row r="34270" s="9" customFormat="1" ht="21.95" customHeight="1" x14ac:dyDescent="0.15"/>
    <row r="34271" s="9" customFormat="1" ht="21.95" customHeight="1" x14ac:dyDescent="0.15"/>
    <row r="34272" s="9" customFormat="1" ht="21.95" customHeight="1" x14ac:dyDescent="0.15"/>
    <row r="34273" s="9" customFormat="1" ht="21.95" customHeight="1" x14ac:dyDescent="0.15"/>
    <row r="34274" s="9" customFormat="1" ht="21.95" customHeight="1" x14ac:dyDescent="0.15"/>
    <row r="34275" s="9" customFormat="1" ht="21.95" customHeight="1" x14ac:dyDescent="0.15"/>
    <row r="34276" s="9" customFormat="1" ht="21.95" customHeight="1" x14ac:dyDescent="0.15"/>
    <row r="34277" s="9" customFormat="1" ht="21.95" customHeight="1" x14ac:dyDescent="0.15"/>
    <row r="34278" s="9" customFormat="1" ht="21.95" customHeight="1" x14ac:dyDescent="0.15"/>
    <row r="34279" s="9" customFormat="1" ht="21.95" customHeight="1" x14ac:dyDescent="0.15"/>
    <row r="34280" s="9" customFormat="1" ht="21.95" customHeight="1" x14ac:dyDescent="0.15"/>
    <row r="34281" s="9" customFormat="1" ht="21.95" customHeight="1" x14ac:dyDescent="0.15"/>
    <row r="34282" s="9" customFormat="1" ht="21.95" customHeight="1" x14ac:dyDescent="0.15"/>
    <row r="34283" s="9" customFormat="1" ht="21.95" customHeight="1" x14ac:dyDescent="0.15"/>
    <row r="34284" s="9" customFormat="1" ht="21.95" customHeight="1" x14ac:dyDescent="0.15"/>
    <row r="34285" s="9" customFormat="1" ht="21.95" customHeight="1" x14ac:dyDescent="0.15"/>
    <row r="34286" s="9" customFormat="1" ht="21.95" customHeight="1" x14ac:dyDescent="0.15"/>
    <row r="34287" s="9" customFormat="1" ht="21.95" customHeight="1" x14ac:dyDescent="0.15"/>
    <row r="34288" s="9" customFormat="1" ht="21.95" customHeight="1" x14ac:dyDescent="0.15"/>
    <row r="34289" s="9" customFormat="1" ht="21.95" customHeight="1" x14ac:dyDescent="0.15"/>
    <row r="34290" s="9" customFormat="1" ht="21.95" customHeight="1" x14ac:dyDescent="0.15"/>
    <row r="34291" s="9" customFormat="1" ht="21.95" customHeight="1" x14ac:dyDescent="0.15"/>
    <row r="34292" s="9" customFormat="1" ht="21.95" customHeight="1" x14ac:dyDescent="0.15"/>
    <row r="34293" s="9" customFormat="1" ht="21.95" customHeight="1" x14ac:dyDescent="0.15"/>
    <row r="34294" s="9" customFormat="1" ht="35.1" customHeight="1" x14ac:dyDescent="0.15"/>
    <row r="34295" s="9" customFormat="1" ht="21.95" customHeight="1" x14ac:dyDescent="0.15"/>
    <row r="34296" s="9" customFormat="1" ht="21.95" customHeight="1" x14ac:dyDescent="0.15"/>
    <row r="34297" s="9" customFormat="1" ht="21.95" customHeight="1" x14ac:dyDescent="0.15"/>
    <row r="34298" s="9" customFormat="1" ht="21.95" customHeight="1" x14ac:dyDescent="0.15"/>
    <row r="34299" s="9" customFormat="1" ht="21.95" customHeight="1" x14ac:dyDescent="0.15"/>
    <row r="34300" s="9" customFormat="1" ht="21.95" customHeight="1" x14ac:dyDescent="0.15"/>
    <row r="34301" s="9" customFormat="1" ht="21.95" customHeight="1" x14ac:dyDescent="0.15"/>
    <row r="34302" s="9" customFormat="1" ht="21.95" customHeight="1" x14ac:dyDescent="0.15"/>
    <row r="34303" s="9" customFormat="1" ht="21.95" customHeight="1" x14ac:dyDescent="0.15"/>
    <row r="34304" s="9" customFormat="1" ht="21.95" customHeight="1" x14ac:dyDescent="0.15"/>
    <row r="34305" spans="3:3" s="9" customFormat="1" ht="21.95" customHeight="1" x14ac:dyDescent="0.15"/>
    <row r="34306" spans="3:3" s="9" customFormat="1" ht="21.95" customHeight="1" x14ac:dyDescent="0.15"/>
    <row r="34307" spans="3:3" s="9" customFormat="1" ht="21.95" customHeight="1" x14ac:dyDescent="0.15"/>
    <row r="34308" spans="3:3" s="9" customFormat="1" ht="21.95" customHeight="1" x14ac:dyDescent="0.15"/>
    <row r="34309" spans="3:3" s="9" customFormat="1" ht="21.95" customHeight="1" x14ac:dyDescent="0.15"/>
    <row r="34310" spans="3:3" s="9" customFormat="1" ht="21.95" customHeight="1" x14ac:dyDescent="0.15"/>
    <row r="34311" spans="3:3" s="9" customFormat="1" ht="21.95" customHeight="1" x14ac:dyDescent="0.15"/>
    <row r="34312" spans="3:3" s="9" customFormat="1" ht="21.95" customHeight="1" x14ac:dyDescent="0.15"/>
    <row r="34313" spans="3:3" s="9" customFormat="1" ht="21.95" customHeight="1" x14ac:dyDescent="0.15"/>
    <row r="34314" spans="3:3" s="9" customFormat="1" ht="21.95" customHeight="1" x14ac:dyDescent="0.15"/>
    <row r="34315" spans="3:3" s="9" customFormat="1" ht="21.95" customHeight="1" x14ac:dyDescent="0.15"/>
    <row r="34316" spans="3:3" s="9" customFormat="1" ht="21.95" customHeight="1" x14ac:dyDescent="0.15"/>
    <row r="34317" spans="3:3" s="9" customFormat="1" ht="21.95" customHeight="1" x14ac:dyDescent="0.15"/>
    <row r="34318" spans="3:3" s="8" customFormat="1" ht="21.95" customHeight="1" x14ac:dyDescent="0.15"/>
    <row r="34319" spans="3:3" s="8" customFormat="1" ht="21.95" customHeight="1" x14ac:dyDescent="0.15"/>
    <row r="34320" spans="3:3" s="8" customFormat="1" ht="21.95" customHeight="1" x14ac:dyDescent="0.15">
      <c r="C34320" s="101"/>
    </row>
    <row r="34321" spans="3:3" s="8" customFormat="1" ht="21.95" customHeight="1" x14ac:dyDescent="0.15">
      <c r="C34321" s="101"/>
    </row>
    <row r="34322" spans="3:3" s="8" customFormat="1" ht="21.95" customHeight="1" x14ac:dyDescent="0.15"/>
    <row r="34323" spans="3:3" s="8" customFormat="1" ht="21.95" customHeight="1" x14ac:dyDescent="0.15"/>
    <row r="34324" spans="3:3" s="8" customFormat="1" ht="21.95" customHeight="1" x14ac:dyDescent="0.15"/>
    <row r="34325" spans="3:3" s="8" customFormat="1" ht="21.95" customHeight="1" x14ac:dyDescent="0.15"/>
    <row r="34326" spans="3:3" s="8" customFormat="1" ht="21.95" customHeight="1" x14ac:dyDescent="0.15"/>
    <row r="34327" spans="3:3" s="8" customFormat="1" ht="21.95" customHeight="1" x14ac:dyDescent="0.15"/>
    <row r="34328" spans="3:3" s="8" customFormat="1" ht="21.95" customHeight="1" x14ac:dyDescent="0.15"/>
    <row r="34329" spans="3:3" s="9" customFormat="1" ht="21.95" customHeight="1" x14ac:dyDescent="0.15"/>
    <row r="34330" spans="3:3" s="9" customFormat="1" ht="21.95" customHeight="1" x14ac:dyDescent="0.15"/>
    <row r="34331" spans="3:3" s="9" customFormat="1" ht="21.95" customHeight="1" x14ac:dyDescent="0.15"/>
    <row r="34332" spans="3:3" s="9" customFormat="1" ht="21.95" customHeight="1" x14ac:dyDescent="0.15"/>
    <row r="34333" spans="3:3" s="8" customFormat="1" ht="21.95" customHeight="1" x14ac:dyDescent="0.15"/>
    <row r="34334" spans="3:3" s="8" customFormat="1" ht="21.95" customHeight="1" x14ac:dyDescent="0.15"/>
    <row r="34335" spans="3:3" s="8" customFormat="1" ht="21.95" customHeight="1" x14ac:dyDescent="0.15"/>
    <row r="34336" spans="3:3" s="8" customFormat="1" ht="21.95" customHeight="1" x14ac:dyDescent="0.15"/>
    <row r="34337" s="8" customFormat="1" ht="21.95" customHeight="1" x14ac:dyDescent="0.15"/>
    <row r="34338" s="8" customFormat="1" ht="21.95" customHeight="1" x14ac:dyDescent="0.15"/>
    <row r="34339" s="8" customFormat="1" ht="21.95" customHeight="1" x14ac:dyDescent="0.15"/>
    <row r="34340" s="8" customFormat="1" ht="21.95" customHeight="1" x14ac:dyDescent="0.15"/>
    <row r="34341" s="8" customFormat="1" ht="21.95" customHeight="1" x14ac:dyDescent="0.15"/>
    <row r="34342" s="8" customFormat="1" ht="21.95" customHeight="1" x14ac:dyDescent="0.15"/>
    <row r="34343" s="8" customFormat="1" ht="21.95" customHeight="1" x14ac:dyDescent="0.15"/>
    <row r="34344" s="8" customFormat="1" ht="32.1" customHeight="1" x14ac:dyDescent="0.15"/>
    <row r="34345" s="8" customFormat="1" ht="32.1" customHeight="1" x14ac:dyDescent="0.15"/>
    <row r="34346" s="8" customFormat="1" ht="32.1" customHeight="1" x14ac:dyDescent="0.15"/>
    <row r="34347" s="8" customFormat="1" ht="32.1" customHeight="1" x14ac:dyDescent="0.15"/>
    <row r="34348" s="8" customFormat="1" ht="32.1" customHeight="1" x14ac:dyDescent="0.15"/>
    <row r="34349" s="8" customFormat="1" ht="32.1" customHeight="1" x14ac:dyDescent="0.15"/>
    <row r="34350" s="9" customFormat="1" ht="32.1" customHeight="1" x14ac:dyDescent="0.15"/>
    <row r="34351" s="9" customFormat="1" ht="32.1" customHeight="1" x14ac:dyDescent="0.15"/>
    <row r="34352" s="9" customFormat="1" ht="32.1" customHeight="1" x14ac:dyDescent="0.15"/>
    <row r="34353" s="9" customFormat="1" ht="32.1" customHeight="1" x14ac:dyDescent="0.15"/>
    <row r="34354" s="9" customFormat="1" ht="21.95" customHeight="1" x14ac:dyDescent="0.15"/>
    <row r="34355" s="9" customFormat="1" ht="54" customHeight="1" x14ac:dyDescent="0.15"/>
    <row r="34356" s="9" customFormat="1" ht="21.95" customHeight="1" x14ac:dyDescent="0.15"/>
    <row r="34357" s="9" customFormat="1" ht="21.95" customHeight="1" x14ac:dyDescent="0.15"/>
    <row r="34358" s="9" customFormat="1" ht="21.95" customHeight="1" x14ac:dyDescent="0.15"/>
    <row r="34359" s="9" customFormat="1" ht="21.95" customHeight="1" x14ac:dyDescent="0.15"/>
    <row r="34360" s="9" customFormat="1" ht="21.95" customHeight="1" x14ac:dyDescent="0.15"/>
    <row r="34361" s="9" customFormat="1" ht="21.95" customHeight="1" x14ac:dyDescent="0.15"/>
    <row r="34362" s="9" customFormat="1" ht="21.95" customHeight="1" x14ac:dyDescent="0.15"/>
    <row r="34363" s="9" customFormat="1" ht="21.95" customHeight="1" x14ac:dyDescent="0.15"/>
    <row r="34364" s="9" customFormat="1" ht="21.95" customHeight="1" x14ac:dyDescent="0.15"/>
    <row r="34365" s="9" customFormat="1" ht="21.95" customHeight="1" x14ac:dyDescent="0.15"/>
    <row r="34366" s="9" customFormat="1" ht="21.95" customHeight="1" x14ac:dyDescent="0.15"/>
    <row r="34367" s="9" customFormat="1" ht="21.95" customHeight="1" x14ac:dyDescent="0.15"/>
    <row r="34368" s="9" customFormat="1" ht="21.95" customHeight="1" x14ac:dyDescent="0.15"/>
    <row r="34369" s="9" customFormat="1" ht="21.95" customHeight="1" x14ac:dyDescent="0.15"/>
    <row r="34370" s="9" customFormat="1" ht="21.95" customHeight="1" x14ac:dyDescent="0.15"/>
    <row r="34371" s="9" customFormat="1" ht="21.95" customHeight="1" x14ac:dyDescent="0.15"/>
    <row r="34372" s="9" customFormat="1" ht="21.95" customHeight="1" x14ac:dyDescent="0.15"/>
    <row r="34373" s="9" customFormat="1" ht="21.95" customHeight="1" x14ac:dyDescent="0.15"/>
    <row r="34374" s="9" customFormat="1" ht="21.95" customHeight="1" x14ac:dyDescent="0.15"/>
    <row r="34375" s="9" customFormat="1" ht="21.95" customHeight="1" x14ac:dyDescent="0.15"/>
    <row r="34376" s="9" customFormat="1" ht="21.95" customHeight="1" x14ac:dyDescent="0.15"/>
    <row r="34377" s="9" customFormat="1" ht="21.95" customHeight="1" x14ac:dyDescent="0.15"/>
    <row r="34378" s="9" customFormat="1" ht="21.95" customHeight="1" x14ac:dyDescent="0.15"/>
    <row r="34379" s="9" customFormat="1" ht="21.95" customHeight="1" x14ac:dyDescent="0.15"/>
    <row r="34380" s="9" customFormat="1" ht="21.95" customHeight="1" x14ac:dyDescent="0.15"/>
    <row r="34381" s="9" customFormat="1" ht="21.95" customHeight="1" x14ac:dyDescent="0.15"/>
    <row r="34382" s="9" customFormat="1" ht="21.95" customHeight="1" x14ac:dyDescent="0.15"/>
    <row r="34383" s="9" customFormat="1" ht="21.95" customHeight="1" x14ac:dyDescent="0.15"/>
    <row r="34384" s="9" customFormat="1" ht="21.95" customHeight="1" x14ac:dyDescent="0.15"/>
    <row r="34385" s="9" customFormat="1" ht="21.95" customHeight="1" x14ac:dyDescent="0.15"/>
    <row r="34386" s="9" customFormat="1" ht="21.95" customHeight="1" x14ac:dyDescent="0.15"/>
    <row r="34387" s="9" customFormat="1" ht="21.95" customHeight="1" x14ac:dyDescent="0.15"/>
    <row r="34388" s="9" customFormat="1" ht="21.95" customHeight="1" x14ac:dyDescent="0.15"/>
    <row r="34389" s="9" customFormat="1" ht="21.95" customHeight="1" x14ac:dyDescent="0.15"/>
    <row r="34390" s="9" customFormat="1" ht="21.95" customHeight="1" x14ac:dyDescent="0.15"/>
    <row r="34391" s="9" customFormat="1" ht="21.95" customHeight="1" x14ac:dyDescent="0.15"/>
    <row r="34392" s="9" customFormat="1" ht="21.95" customHeight="1" x14ac:dyDescent="0.15"/>
    <row r="34393" s="9" customFormat="1" ht="21.95" customHeight="1" x14ac:dyDescent="0.15"/>
    <row r="34394" s="9" customFormat="1" ht="21.95" customHeight="1" x14ac:dyDescent="0.15"/>
    <row r="34395" s="9" customFormat="1" ht="21.95" customHeight="1" x14ac:dyDescent="0.15"/>
    <row r="34396" s="9" customFormat="1" ht="21.95" customHeight="1" x14ac:dyDescent="0.15"/>
    <row r="34397" s="9" customFormat="1" ht="21.95" customHeight="1" x14ac:dyDescent="0.15"/>
    <row r="34398" s="9" customFormat="1" ht="21.95" customHeight="1" x14ac:dyDescent="0.15"/>
    <row r="34399" s="9" customFormat="1" ht="21.95" customHeight="1" x14ac:dyDescent="0.15"/>
    <row r="34400" s="9" customFormat="1" ht="21.95" customHeight="1" x14ac:dyDescent="0.15"/>
    <row r="34401" s="9" customFormat="1" ht="21.95" customHeight="1" x14ac:dyDescent="0.15"/>
    <row r="34402" s="9" customFormat="1" ht="21.95" customHeight="1" x14ac:dyDescent="0.15"/>
    <row r="34403" s="9" customFormat="1" ht="21.95" customHeight="1" x14ac:dyDescent="0.15"/>
    <row r="34404" s="9" customFormat="1" ht="21.95" customHeight="1" x14ac:dyDescent="0.15"/>
    <row r="34405" s="9" customFormat="1" ht="21.95" customHeight="1" x14ac:dyDescent="0.15"/>
    <row r="34406" s="9" customFormat="1" ht="35.1" customHeight="1" x14ac:dyDescent="0.15"/>
    <row r="34407" s="9" customFormat="1" ht="21.95" customHeight="1" x14ac:dyDescent="0.15"/>
    <row r="34408" s="9" customFormat="1" ht="21.95" customHeight="1" x14ac:dyDescent="0.15"/>
    <row r="34409" s="9" customFormat="1" ht="21.95" customHeight="1" x14ac:dyDescent="0.15"/>
    <row r="34410" s="9" customFormat="1" ht="21.95" customHeight="1" x14ac:dyDescent="0.15"/>
    <row r="34411" s="9" customFormat="1" ht="21.95" customHeight="1" x14ac:dyDescent="0.15"/>
    <row r="34412" s="9" customFormat="1" ht="21.95" customHeight="1" x14ac:dyDescent="0.15"/>
    <row r="34413" s="9" customFormat="1" ht="21.95" customHeight="1" x14ac:dyDescent="0.15"/>
    <row r="34414" s="9" customFormat="1" ht="21.95" customHeight="1" x14ac:dyDescent="0.15"/>
    <row r="34415" s="9" customFormat="1" ht="21.95" customHeight="1" x14ac:dyDescent="0.15"/>
    <row r="34416" s="9" customFormat="1" ht="21.95" customHeight="1" x14ac:dyDescent="0.15"/>
    <row r="34417" spans="3:3" s="9" customFormat="1" ht="21.95" customHeight="1" x14ac:dyDescent="0.15"/>
    <row r="34418" spans="3:3" s="9" customFormat="1" ht="21.95" customHeight="1" x14ac:dyDescent="0.15"/>
    <row r="34419" spans="3:3" s="9" customFormat="1" ht="21.95" customHeight="1" x14ac:dyDescent="0.15"/>
    <row r="34420" spans="3:3" s="9" customFormat="1" ht="21.95" customHeight="1" x14ac:dyDescent="0.15"/>
    <row r="34421" spans="3:3" s="9" customFormat="1" ht="21.95" customHeight="1" x14ac:dyDescent="0.15"/>
    <row r="34422" spans="3:3" s="9" customFormat="1" ht="21.95" customHeight="1" x14ac:dyDescent="0.15"/>
    <row r="34423" spans="3:3" s="9" customFormat="1" ht="21.95" customHeight="1" x14ac:dyDescent="0.15"/>
    <row r="34424" spans="3:3" s="9" customFormat="1" ht="21.95" customHeight="1" x14ac:dyDescent="0.15"/>
    <row r="34425" spans="3:3" s="9" customFormat="1" ht="21.95" customHeight="1" x14ac:dyDescent="0.15"/>
    <row r="34426" spans="3:3" s="9" customFormat="1" ht="21.95" customHeight="1" x14ac:dyDescent="0.15"/>
    <row r="34427" spans="3:3" s="9" customFormat="1" ht="21.95" customHeight="1" x14ac:dyDescent="0.15"/>
    <row r="34428" spans="3:3" s="9" customFormat="1" ht="21.95" customHeight="1" x14ac:dyDescent="0.15"/>
    <row r="34429" spans="3:3" s="9" customFormat="1" ht="21.95" customHeight="1" x14ac:dyDescent="0.15"/>
    <row r="34430" spans="3:3" s="8" customFormat="1" ht="21.95" customHeight="1" x14ac:dyDescent="0.15"/>
    <row r="34431" spans="3:3" s="8" customFormat="1" ht="21.95" customHeight="1" x14ac:dyDescent="0.15"/>
    <row r="34432" spans="3:3" s="8" customFormat="1" ht="21.95" customHeight="1" x14ac:dyDescent="0.15">
      <c r="C34432" s="101"/>
    </row>
    <row r="34433" spans="3:3" s="8" customFormat="1" ht="21.95" customHeight="1" x14ac:dyDescent="0.15">
      <c r="C34433" s="101"/>
    </row>
    <row r="34434" spans="3:3" s="8" customFormat="1" ht="21.95" customHeight="1" x14ac:dyDescent="0.15"/>
    <row r="34435" spans="3:3" s="8" customFormat="1" ht="21.95" customHeight="1" x14ac:dyDescent="0.15"/>
    <row r="34436" spans="3:3" s="8" customFormat="1" ht="21.95" customHeight="1" x14ac:dyDescent="0.15"/>
    <row r="34437" spans="3:3" s="8" customFormat="1" ht="21.95" customHeight="1" x14ac:dyDescent="0.15"/>
    <row r="34438" spans="3:3" s="8" customFormat="1" ht="21.95" customHeight="1" x14ac:dyDescent="0.15"/>
    <row r="34439" spans="3:3" s="8" customFormat="1" ht="21.95" customHeight="1" x14ac:dyDescent="0.15"/>
    <row r="34440" spans="3:3" s="8" customFormat="1" ht="21.95" customHeight="1" x14ac:dyDescent="0.15"/>
    <row r="34441" spans="3:3" s="9" customFormat="1" ht="21.95" customHeight="1" x14ac:dyDescent="0.15"/>
    <row r="34442" spans="3:3" s="9" customFormat="1" ht="21.95" customHeight="1" x14ac:dyDescent="0.15"/>
    <row r="34443" spans="3:3" s="9" customFormat="1" ht="21.95" customHeight="1" x14ac:dyDescent="0.15"/>
    <row r="34444" spans="3:3" s="9" customFormat="1" ht="21.95" customHeight="1" x14ac:dyDescent="0.15"/>
    <row r="34445" spans="3:3" s="8" customFormat="1" ht="21.95" customHeight="1" x14ac:dyDescent="0.15"/>
    <row r="34446" spans="3:3" s="8" customFormat="1" ht="21.95" customHeight="1" x14ac:dyDescent="0.15"/>
    <row r="34447" spans="3:3" s="8" customFormat="1" ht="21.95" customHeight="1" x14ac:dyDescent="0.15"/>
    <row r="34448" spans="3:3" s="8" customFormat="1" ht="21.95" customHeight="1" x14ac:dyDescent="0.15"/>
    <row r="34449" s="8" customFormat="1" ht="21.95" customHeight="1" x14ac:dyDescent="0.15"/>
    <row r="34450" s="8" customFormat="1" ht="21.95" customHeight="1" x14ac:dyDescent="0.15"/>
    <row r="34451" s="8" customFormat="1" ht="21.95" customHeight="1" x14ac:dyDescent="0.15"/>
    <row r="34452" s="8" customFormat="1" ht="21.95" customHeight="1" x14ac:dyDescent="0.15"/>
    <row r="34453" s="8" customFormat="1" ht="21.95" customHeight="1" x14ac:dyDescent="0.15"/>
    <row r="34454" s="8" customFormat="1" ht="21.95" customHeight="1" x14ac:dyDescent="0.15"/>
    <row r="34455" s="8" customFormat="1" ht="21.95" customHeight="1" x14ac:dyDescent="0.15"/>
    <row r="34456" s="8" customFormat="1" ht="32.1" customHeight="1" x14ac:dyDescent="0.15"/>
    <row r="34457" s="8" customFormat="1" ht="32.1" customHeight="1" x14ac:dyDescent="0.15"/>
    <row r="34458" s="8" customFormat="1" ht="32.1" customHeight="1" x14ac:dyDescent="0.15"/>
    <row r="34459" s="8" customFormat="1" ht="32.1" customHeight="1" x14ac:dyDescent="0.15"/>
    <row r="34460" s="8" customFormat="1" ht="32.1" customHeight="1" x14ac:dyDescent="0.15"/>
    <row r="34461" s="8" customFormat="1" ht="32.1" customHeight="1" x14ac:dyDescent="0.15"/>
    <row r="34462" s="9" customFormat="1" ht="32.1" customHeight="1" x14ac:dyDescent="0.15"/>
    <row r="34463" s="9" customFormat="1" ht="32.1" customHeight="1" x14ac:dyDescent="0.15"/>
    <row r="34464" s="9" customFormat="1" ht="32.1" customHeight="1" x14ac:dyDescent="0.15"/>
    <row r="34465" s="9" customFormat="1" ht="32.1" customHeight="1" x14ac:dyDescent="0.15"/>
    <row r="34466" s="9" customFormat="1" ht="21.95" customHeight="1" x14ac:dyDescent="0.15"/>
    <row r="34467" s="9" customFormat="1" ht="54" customHeight="1" x14ac:dyDescent="0.15"/>
    <row r="34468" s="9" customFormat="1" ht="21.95" customHeight="1" x14ac:dyDescent="0.15"/>
    <row r="34469" s="9" customFormat="1" ht="21.95" customHeight="1" x14ac:dyDescent="0.15"/>
    <row r="34470" s="9" customFormat="1" ht="21.95" customHeight="1" x14ac:dyDescent="0.15"/>
    <row r="34471" s="9" customFormat="1" ht="21.95" customHeight="1" x14ac:dyDescent="0.15"/>
    <row r="34472" s="9" customFormat="1" ht="21.95" customHeight="1" x14ac:dyDescent="0.15"/>
    <row r="34473" s="9" customFormat="1" ht="21.95" customHeight="1" x14ac:dyDescent="0.15"/>
    <row r="34474" s="9" customFormat="1" ht="21.95" customHeight="1" x14ac:dyDescent="0.15"/>
    <row r="34475" s="9" customFormat="1" ht="21.95" customHeight="1" x14ac:dyDescent="0.15"/>
    <row r="34476" s="9" customFormat="1" ht="21.95" customHeight="1" x14ac:dyDescent="0.15"/>
    <row r="34477" s="9" customFormat="1" ht="21.95" customHeight="1" x14ac:dyDescent="0.15"/>
    <row r="34478" s="9" customFormat="1" ht="21.95" customHeight="1" x14ac:dyDescent="0.15"/>
    <row r="34479" s="9" customFormat="1" ht="21.95" customHeight="1" x14ac:dyDescent="0.15"/>
    <row r="34480" s="9" customFormat="1" ht="21.95" customHeight="1" x14ac:dyDescent="0.15"/>
    <row r="34481" s="9" customFormat="1" ht="21.95" customHeight="1" x14ac:dyDescent="0.15"/>
    <row r="34482" s="9" customFormat="1" ht="21.95" customHeight="1" x14ac:dyDescent="0.15"/>
    <row r="34483" s="9" customFormat="1" ht="21.95" customHeight="1" x14ac:dyDescent="0.15"/>
    <row r="34484" s="9" customFormat="1" ht="21.95" customHeight="1" x14ac:dyDescent="0.15"/>
    <row r="34485" s="9" customFormat="1" ht="21.95" customHeight="1" x14ac:dyDescent="0.15"/>
    <row r="34486" s="9" customFormat="1" ht="21.95" customHeight="1" x14ac:dyDescent="0.15"/>
    <row r="34487" s="9" customFormat="1" ht="21.95" customHeight="1" x14ac:dyDescent="0.15"/>
    <row r="34488" s="9" customFormat="1" ht="21.95" customHeight="1" x14ac:dyDescent="0.15"/>
    <row r="34489" s="9" customFormat="1" ht="21.95" customHeight="1" x14ac:dyDescent="0.15"/>
    <row r="34490" s="9" customFormat="1" ht="21.95" customHeight="1" x14ac:dyDescent="0.15"/>
    <row r="34491" s="9" customFormat="1" ht="21.95" customHeight="1" x14ac:dyDescent="0.15"/>
    <row r="34492" s="9" customFormat="1" ht="21.95" customHeight="1" x14ac:dyDescent="0.15"/>
    <row r="34493" s="9" customFormat="1" ht="21.95" customHeight="1" x14ac:dyDescent="0.15"/>
    <row r="34494" s="9" customFormat="1" ht="21.95" customHeight="1" x14ac:dyDescent="0.15"/>
    <row r="34495" s="9" customFormat="1" ht="21.95" customHeight="1" x14ac:dyDescent="0.15"/>
    <row r="34496" s="9" customFormat="1" ht="21.95" customHeight="1" x14ac:dyDescent="0.15"/>
    <row r="34497" s="9" customFormat="1" ht="21.95" customHeight="1" x14ac:dyDescent="0.15"/>
    <row r="34498" s="9" customFormat="1" ht="21.95" customHeight="1" x14ac:dyDescent="0.15"/>
    <row r="34499" s="9" customFormat="1" ht="21.95" customHeight="1" x14ac:dyDescent="0.15"/>
    <row r="34500" s="9" customFormat="1" ht="21.95" customHeight="1" x14ac:dyDescent="0.15"/>
    <row r="34501" s="9" customFormat="1" ht="21.95" customHeight="1" x14ac:dyDescent="0.15"/>
    <row r="34502" s="9" customFormat="1" ht="21.95" customHeight="1" x14ac:dyDescent="0.15"/>
    <row r="34503" s="9" customFormat="1" ht="21.95" customHeight="1" x14ac:dyDescent="0.15"/>
    <row r="34504" s="9" customFormat="1" ht="21.95" customHeight="1" x14ac:dyDescent="0.15"/>
    <row r="34505" s="9" customFormat="1" ht="21.95" customHeight="1" x14ac:dyDescent="0.15"/>
    <row r="34506" s="9" customFormat="1" ht="21.95" customHeight="1" x14ac:dyDescent="0.15"/>
    <row r="34507" s="9" customFormat="1" ht="21.95" customHeight="1" x14ac:dyDescent="0.15"/>
    <row r="34508" s="9" customFormat="1" ht="21.95" customHeight="1" x14ac:dyDescent="0.15"/>
    <row r="34509" s="9" customFormat="1" ht="21.95" customHeight="1" x14ac:dyDescent="0.15"/>
    <row r="34510" s="9" customFormat="1" ht="21.95" customHeight="1" x14ac:dyDescent="0.15"/>
    <row r="34511" s="9" customFormat="1" ht="21.95" customHeight="1" x14ac:dyDescent="0.15"/>
    <row r="34512" s="9" customFormat="1" ht="21.95" customHeight="1" x14ac:dyDescent="0.15"/>
    <row r="34513" s="9" customFormat="1" ht="21.95" customHeight="1" x14ac:dyDescent="0.15"/>
    <row r="34514" s="9" customFormat="1" ht="21.95" customHeight="1" x14ac:dyDescent="0.15"/>
    <row r="34515" s="9" customFormat="1" ht="21.95" customHeight="1" x14ac:dyDescent="0.15"/>
    <row r="34516" s="9" customFormat="1" ht="21.95" customHeight="1" x14ac:dyDescent="0.15"/>
    <row r="34517" s="9" customFormat="1" ht="21.95" customHeight="1" x14ac:dyDescent="0.15"/>
    <row r="34518" s="9" customFormat="1" ht="35.1" customHeight="1" x14ac:dyDescent="0.15"/>
    <row r="34519" s="9" customFormat="1" ht="21.95" customHeight="1" x14ac:dyDescent="0.15"/>
    <row r="34520" s="9" customFormat="1" ht="21.95" customHeight="1" x14ac:dyDescent="0.15"/>
    <row r="34521" s="9" customFormat="1" ht="21.95" customHeight="1" x14ac:dyDescent="0.15"/>
    <row r="34522" s="9" customFormat="1" ht="21.95" customHeight="1" x14ac:dyDescent="0.15"/>
    <row r="34523" s="9" customFormat="1" ht="21.95" customHeight="1" x14ac:dyDescent="0.15"/>
    <row r="34524" s="9" customFormat="1" ht="21.95" customHeight="1" x14ac:dyDescent="0.15"/>
    <row r="34525" s="9" customFormat="1" ht="21.95" customHeight="1" x14ac:dyDescent="0.15"/>
    <row r="34526" s="9" customFormat="1" ht="21.95" customHeight="1" x14ac:dyDescent="0.15"/>
    <row r="34527" s="9" customFormat="1" ht="21.95" customHeight="1" x14ac:dyDescent="0.15"/>
    <row r="34528" s="9" customFormat="1" ht="21.95" customHeight="1" x14ac:dyDescent="0.15"/>
    <row r="34529" spans="3:3" s="9" customFormat="1" ht="21.95" customHeight="1" x14ac:dyDescent="0.15"/>
    <row r="34530" spans="3:3" s="9" customFormat="1" ht="21.95" customHeight="1" x14ac:dyDescent="0.15"/>
    <row r="34531" spans="3:3" s="9" customFormat="1" ht="21.95" customHeight="1" x14ac:dyDescent="0.15"/>
    <row r="34532" spans="3:3" s="9" customFormat="1" ht="21.95" customHeight="1" x14ac:dyDescent="0.15"/>
    <row r="34533" spans="3:3" s="9" customFormat="1" ht="21.95" customHeight="1" x14ac:dyDescent="0.15"/>
    <row r="34534" spans="3:3" s="9" customFormat="1" ht="21.95" customHeight="1" x14ac:dyDescent="0.15"/>
    <row r="34535" spans="3:3" s="9" customFormat="1" ht="21.95" customHeight="1" x14ac:dyDescent="0.15"/>
    <row r="34536" spans="3:3" s="9" customFormat="1" ht="21.95" customHeight="1" x14ac:dyDescent="0.15"/>
    <row r="34537" spans="3:3" s="9" customFormat="1" ht="21.95" customHeight="1" x14ac:dyDescent="0.15"/>
    <row r="34538" spans="3:3" s="9" customFormat="1" ht="21.95" customHeight="1" x14ac:dyDescent="0.15"/>
    <row r="34539" spans="3:3" s="9" customFormat="1" ht="21.95" customHeight="1" x14ac:dyDescent="0.15"/>
    <row r="34540" spans="3:3" s="9" customFormat="1" ht="21.95" customHeight="1" x14ac:dyDescent="0.15"/>
    <row r="34541" spans="3:3" s="9" customFormat="1" ht="21.95" customHeight="1" x14ac:dyDescent="0.15"/>
    <row r="34542" spans="3:3" s="8" customFormat="1" ht="21.95" customHeight="1" x14ac:dyDescent="0.15"/>
    <row r="34543" spans="3:3" s="8" customFormat="1" ht="21.95" customHeight="1" x14ac:dyDescent="0.15"/>
    <row r="34544" spans="3:3" s="8" customFormat="1" ht="21.95" customHeight="1" x14ac:dyDescent="0.15">
      <c r="C34544" s="101"/>
    </row>
    <row r="34545" spans="3:3" s="8" customFormat="1" ht="21.95" customHeight="1" x14ac:dyDescent="0.15">
      <c r="C34545" s="101"/>
    </row>
    <row r="34546" spans="3:3" s="8" customFormat="1" ht="21.95" customHeight="1" x14ac:dyDescent="0.15"/>
    <row r="34547" spans="3:3" s="8" customFormat="1" ht="21.95" customHeight="1" x14ac:dyDescent="0.15"/>
    <row r="34548" spans="3:3" s="8" customFormat="1" ht="21.95" customHeight="1" x14ac:dyDescent="0.15"/>
    <row r="34549" spans="3:3" s="8" customFormat="1" ht="21.95" customHeight="1" x14ac:dyDescent="0.15"/>
    <row r="34550" spans="3:3" s="8" customFormat="1" ht="21.95" customHeight="1" x14ac:dyDescent="0.15"/>
    <row r="34551" spans="3:3" s="8" customFormat="1" ht="21.95" customHeight="1" x14ac:dyDescent="0.15"/>
    <row r="34552" spans="3:3" s="8" customFormat="1" ht="21.95" customHeight="1" x14ac:dyDescent="0.15"/>
    <row r="34553" spans="3:3" s="9" customFormat="1" ht="21.95" customHeight="1" x14ac:dyDescent="0.15"/>
    <row r="34554" spans="3:3" s="9" customFormat="1" ht="21.95" customHeight="1" x14ac:dyDescent="0.15"/>
    <row r="34555" spans="3:3" s="9" customFormat="1" ht="21.95" customHeight="1" x14ac:dyDescent="0.15"/>
    <row r="34556" spans="3:3" s="9" customFormat="1" ht="21.95" customHeight="1" x14ac:dyDescent="0.15"/>
    <row r="34557" spans="3:3" s="8" customFormat="1" ht="21.95" customHeight="1" x14ac:dyDescent="0.15"/>
    <row r="34558" spans="3:3" s="8" customFormat="1" ht="21.95" customHeight="1" x14ac:dyDescent="0.15"/>
    <row r="34559" spans="3:3" s="8" customFormat="1" ht="21.95" customHeight="1" x14ac:dyDescent="0.15"/>
    <row r="34560" spans="3:3" s="8" customFormat="1" ht="21.95" customHeight="1" x14ac:dyDescent="0.15"/>
    <row r="34561" s="8" customFormat="1" ht="21.95" customHeight="1" x14ac:dyDescent="0.15"/>
    <row r="34562" s="8" customFormat="1" ht="21.95" customHeight="1" x14ac:dyDescent="0.15"/>
    <row r="34563" s="8" customFormat="1" ht="21.95" customHeight="1" x14ac:dyDescent="0.15"/>
    <row r="34564" s="8" customFormat="1" ht="21.95" customHeight="1" x14ac:dyDescent="0.15"/>
    <row r="34565" s="8" customFormat="1" ht="21.95" customHeight="1" x14ac:dyDescent="0.15"/>
    <row r="34566" s="8" customFormat="1" ht="21.95" customHeight="1" x14ac:dyDescent="0.15"/>
    <row r="34567" s="8" customFormat="1" ht="21.95" customHeight="1" x14ac:dyDescent="0.15"/>
    <row r="34568" s="8" customFormat="1" ht="32.1" customHeight="1" x14ac:dyDescent="0.15"/>
    <row r="34569" s="8" customFormat="1" ht="32.1" customHeight="1" x14ac:dyDescent="0.15"/>
    <row r="34570" s="8" customFormat="1" ht="32.1" customHeight="1" x14ac:dyDescent="0.15"/>
    <row r="34571" s="8" customFormat="1" ht="32.1" customHeight="1" x14ac:dyDescent="0.15"/>
    <row r="34572" s="8" customFormat="1" ht="32.1" customHeight="1" x14ac:dyDescent="0.15"/>
    <row r="34573" s="8" customFormat="1" ht="32.1" customHeight="1" x14ac:dyDescent="0.15"/>
    <row r="34574" s="9" customFormat="1" ht="32.1" customHeight="1" x14ac:dyDescent="0.15"/>
    <row r="34575" s="9" customFormat="1" ht="32.1" customHeight="1" x14ac:dyDescent="0.15"/>
    <row r="34576" s="9" customFormat="1" ht="32.1" customHeight="1" x14ac:dyDescent="0.15"/>
    <row r="34577" s="9" customFormat="1" ht="32.1" customHeight="1" x14ac:dyDescent="0.15"/>
    <row r="34578" s="9" customFormat="1" ht="21.95" customHeight="1" x14ac:dyDescent="0.15"/>
    <row r="34579" s="9" customFormat="1" ht="54" customHeight="1" x14ac:dyDescent="0.15"/>
    <row r="34580" s="9" customFormat="1" ht="21.95" customHeight="1" x14ac:dyDescent="0.15"/>
    <row r="34581" s="9" customFormat="1" ht="21.95" customHeight="1" x14ac:dyDescent="0.15"/>
    <row r="34582" s="9" customFormat="1" ht="21.95" customHeight="1" x14ac:dyDescent="0.15"/>
    <row r="34583" s="9" customFormat="1" ht="21.95" customHeight="1" x14ac:dyDescent="0.15"/>
    <row r="34584" s="9" customFormat="1" ht="21.95" customHeight="1" x14ac:dyDescent="0.15"/>
    <row r="34585" s="9" customFormat="1" ht="21.95" customHeight="1" x14ac:dyDescent="0.15"/>
    <row r="34586" s="9" customFormat="1" ht="21.95" customHeight="1" x14ac:dyDescent="0.15"/>
    <row r="34587" s="9" customFormat="1" ht="21.95" customHeight="1" x14ac:dyDescent="0.15"/>
    <row r="34588" s="9" customFormat="1" ht="21.95" customHeight="1" x14ac:dyDescent="0.15"/>
    <row r="34589" s="9" customFormat="1" ht="21.95" customHeight="1" x14ac:dyDescent="0.15"/>
    <row r="34590" s="9" customFormat="1" ht="21.95" customHeight="1" x14ac:dyDescent="0.15"/>
    <row r="34591" s="9" customFormat="1" ht="21.95" customHeight="1" x14ac:dyDescent="0.15"/>
    <row r="34592" s="9" customFormat="1" ht="21.95" customHeight="1" x14ac:dyDescent="0.15"/>
    <row r="34593" s="9" customFormat="1" ht="21.95" customHeight="1" x14ac:dyDescent="0.15"/>
    <row r="34594" s="9" customFormat="1" ht="21.95" customHeight="1" x14ac:dyDescent="0.15"/>
    <row r="34595" s="9" customFormat="1" ht="21.95" customHeight="1" x14ac:dyDescent="0.15"/>
    <row r="34596" s="9" customFormat="1" ht="21.95" customHeight="1" x14ac:dyDescent="0.15"/>
    <row r="34597" s="9" customFormat="1" ht="21.95" customHeight="1" x14ac:dyDescent="0.15"/>
    <row r="34598" s="9" customFormat="1" ht="21.95" customHeight="1" x14ac:dyDescent="0.15"/>
    <row r="34599" s="9" customFormat="1" ht="21.95" customHeight="1" x14ac:dyDescent="0.15"/>
    <row r="34600" s="9" customFormat="1" ht="21.95" customHeight="1" x14ac:dyDescent="0.15"/>
    <row r="34601" s="9" customFormat="1" ht="21.95" customHeight="1" x14ac:dyDescent="0.15"/>
    <row r="34602" s="9" customFormat="1" ht="21.95" customHeight="1" x14ac:dyDescent="0.15"/>
    <row r="34603" s="9" customFormat="1" ht="21.95" customHeight="1" x14ac:dyDescent="0.15"/>
    <row r="34604" s="9" customFormat="1" ht="21.95" customHeight="1" x14ac:dyDescent="0.15"/>
    <row r="34605" s="9" customFormat="1" ht="21.95" customHeight="1" x14ac:dyDescent="0.15"/>
    <row r="34606" s="9" customFormat="1" ht="21.95" customHeight="1" x14ac:dyDescent="0.15"/>
    <row r="34607" s="9" customFormat="1" ht="21.95" customHeight="1" x14ac:dyDescent="0.15"/>
    <row r="34608" s="9" customFormat="1" ht="21.95" customHeight="1" x14ac:dyDescent="0.15"/>
    <row r="34609" s="9" customFormat="1" ht="21.95" customHeight="1" x14ac:dyDescent="0.15"/>
    <row r="34610" s="9" customFormat="1" ht="21.95" customHeight="1" x14ac:dyDescent="0.15"/>
    <row r="34611" s="9" customFormat="1" ht="21.95" customHeight="1" x14ac:dyDescent="0.15"/>
    <row r="34612" s="9" customFormat="1" ht="21.95" customHeight="1" x14ac:dyDescent="0.15"/>
    <row r="34613" s="9" customFormat="1" ht="21.95" customHeight="1" x14ac:dyDescent="0.15"/>
    <row r="34614" s="9" customFormat="1" ht="21.95" customHeight="1" x14ac:dyDescent="0.15"/>
    <row r="34615" s="9" customFormat="1" ht="21.95" customHeight="1" x14ac:dyDescent="0.15"/>
    <row r="34616" s="9" customFormat="1" ht="21.95" customHeight="1" x14ac:dyDescent="0.15"/>
    <row r="34617" s="9" customFormat="1" ht="21.95" customHeight="1" x14ac:dyDescent="0.15"/>
    <row r="34618" s="9" customFormat="1" ht="21.95" customHeight="1" x14ac:dyDescent="0.15"/>
    <row r="34619" s="9" customFormat="1" ht="21.95" customHeight="1" x14ac:dyDescent="0.15"/>
    <row r="34620" s="9" customFormat="1" ht="21.95" customHeight="1" x14ac:dyDescent="0.15"/>
    <row r="34621" s="9" customFormat="1" ht="21.95" customHeight="1" x14ac:dyDescent="0.15"/>
    <row r="34622" s="9" customFormat="1" ht="21.95" customHeight="1" x14ac:dyDescent="0.15"/>
    <row r="34623" s="9" customFormat="1" ht="21.95" customHeight="1" x14ac:dyDescent="0.15"/>
    <row r="34624" s="9" customFormat="1" ht="21.95" customHeight="1" x14ac:dyDescent="0.15"/>
    <row r="34625" s="9" customFormat="1" ht="21.95" customHeight="1" x14ac:dyDescent="0.15"/>
    <row r="34626" s="9" customFormat="1" ht="21.95" customHeight="1" x14ac:dyDescent="0.15"/>
    <row r="34627" s="9" customFormat="1" ht="21.95" customHeight="1" x14ac:dyDescent="0.15"/>
    <row r="34628" s="9" customFormat="1" ht="21.95" customHeight="1" x14ac:dyDescent="0.15"/>
    <row r="34629" s="9" customFormat="1" ht="21.95" customHeight="1" x14ac:dyDescent="0.15"/>
    <row r="34630" s="9" customFormat="1" ht="35.1" customHeight="1" x14ac:dyDescent="0.15"/>
    <row r="34631" s="9" customFormat="1" ht="21.95" customHeight="1" x14ac:dyDescent="0.15"/>
    <row r="34632" s="9" customFormat="1" ht="21.95" customHeight="1" x14ac:dyDescent="0.15"/>
    <row r="34633" s="9" customFormat="1" ht="21.95" customHeight="1" x14ac:dyDescent="0.15"/>
    <row r="34634" s="9" customFormat="1" ht="21.95" customHeight="1" x14ac:dyDescent="0.15"/>
    <row r="34635" s="9" customFormat="1" ht="21.95" customHeight="1" x14ac:dyDescent="0.15"/>
    <row r="34636" s="9" customFormat="1" ht="21.95" customHeight="1" x14ac:dyDescent="0.15"/>
    <row r="34637" s="9" customFormat="1" ht="21.95" customHeight="1" x14ac:dyDescent="0.15"/>
    <row r="34638" s="9" customFormat="1" ht="21.95" customHeight="1" x14ac:dyDescent="0.15"/>
    <row r="34639" s="9" customFormat="1" ht="21.95" customHeight="1" x14ac:dyDescent="0.15"/>
    <row r="34640" s="9" customFormat="1" ht="21.95" customHeight="1" x14ac:dyDescent="0.15"/>
    <row r="34641" spans="3:3" s="9" customFormat="1" ht="21.95" customHeight="1" x14ac:dyDescent="0.15"/>
    <row r="34642" spans="3:3" s="9" customFormat="1" ht="21.95" customHeight="1" x14ac:dyDescent="0.15"/>
    <row r="34643" spans="3:3" s="9" customFormat="1" ht="21.95" customHeight="1" x14ac:dyDescent="0.15"/>
    <row r="34644" spans="3:3" s="9" customFormat="1" ht="21.95" customHeight="1" x14ac:dyDescent="0.15"/>
    <row r="34645" spans="3:3" s="9" customFormat="1" ht="21.95" customHeight="1" x14ac:dyDescent="0.15"/>
    <row r="34646" spans="3:3" s="9" customFormat="1" ht="21.95" customHeight="1" x14ac:dyDescent="0.15"/>
    <row r="34647" spans="3:3" s="9" customFormat="1" ht="21.95" customHeight="1" x14ac:dyDescent="0.15"/>
    <row r="34648" spans="3:3" s="9" customFormat="1" ht="21.95" customHeight="1" x14ac:dyDescent="0.15"/>
    <row r="34649" spans="3:3" s="9" customFormat="1" ht="21.95" customHeight="1" x14ac:dyDescent="0.15"/>
    <row r="34650" spans="3:3" s="9" customFormat="1" ht="21.95" customHeight="1" x14ac:dyDescent="0.15"/>
    <row r="34651" spans="3:3" s="9" customFormat="1" ht="21.95" customHeight="1" x14ac:dyDescent="0.15"/>
    <row r="34652" spans="3:3" s="9" customFormat="1" ht="21.95" customHeight="1" x14ac:dyDescent="0.15"/>
    <row r="34653" spans="3:3" s="9" customFormat="1" ht="21.95" customHeight="1" x14ac:dyDescent="0.15"/>
    <row r="34654" spans="3:3" s="8" customFormat="1" ht="21.95" customHeight="1" x14ac:dyDescent="0.15"/>
    <row r="34655" spans="3:3" s="8" customFormat="1" ht="21.95" customHeight="1" x14ac:dyDescent="0.15"/>
    <row r="34656" spans="3:3" s="8" customFormat="1" ht="21.95" customHeight="1" x14ac:dyDescent="0.15">
      <c r="C34656" s="101"/>
    </row>
    <row r="34657" spans="3:3" s="8" customFormat="1" ht="21.95" customHeight="1" x14ac:dyDescent="0.15">
      <c r="C34657" s="101"/>
    </row>
    <row r="34658" spans="3:3" s="8" customFormat="1" ht="21.95" customHeight="1" x14ac:dyDescent="0.15"/>
    <row r="34659" spans="3:3" s="8" customFormat="1" ht="21.95" customHeight="1" x14ac:dyDescent="0.15"/>
    <row r="34660" spans="3:3" s="8" customFormat="1" ht="21.95" customHeight="1" x14ac:dyDescent="0.15"/>
    <row r="34661" spans="3:3" s="8" customFormat="1" ht="21.95" customHeight="1" x14ac:dyDescent="0.15"/>
    <row r="34662" spans="3:3" s="8" customFormat="1" ht="21.95" customHeight="1" x14ac:dyDescent="0.15"/>
    <row r="34663" spans="3:3" s="8" customFormat="1" ht="21.95" customHeight="1" x14ac:dyDescent="0.15"/>
    <row r="34664" spans="3:3" s="8" customFormat="1" ht="21.95" customHeight="1" x14ac:dyDescent="0.15"/>
    <row r="34665" spans="3:3" s="9" customFormat="1" ht="21.95" customHeight="1" x14ac:dyDescent="0.15"/>
    <row r="34666" spans="3:3" s="9" customFormat="1" ht="21.95" customHeight="1" x14ac:dyDescent="0.15"/>
    <row r="34667" spans="3:3" s="9" customFormat="1" ht="21.95" customHeight="1" x14ac:dyDescent="0.15"/>
    <row r="34668" spans="3:3" s="9" customFormat="1" ht="21.95" customHeight="1" x14ac:dyDescent="0.15"/>
    <row r="34669" spans="3:3" s="8" customFormat="1" ht="21.95" customHeight="1" x14ac:dyDescent="0.15"/>
    <row r="34670" spans="3:3" s="8" customFormat="1" ht="21.95" customHeight="1" x14ac:dyDescent="0.15"/>
    <row r="34671" spans="3:3" s="8" customFormat="1" ht="21.95" customHeight="1" x14ac:dyDescent="0.15"/>
    <row r="34672" spans="3:3" s="8" customFormat="1" ht="21.95" customHeight="1" x14ac:dyDescent="0.15"/>
    <row r="34673" s="8" customFormat="1" ht="21.95" customHeight="1" x14ac:dyDescent="0.15"/>
    <row r="34674" s="8" customFormat="1" ht="21.95" customHeight="1" x14ac:dyDescent="0.15"/>
    <row r="34675" s="8" customFormat="1" ht="21.95" customHeight="1" x14ac:dyDescent="0.15"/>
    <row r="34676" s="8" customFormat="1" ht="21.95" customHeight="1" x14ac:dyDescent="0.15"/>
    <row r="34677" s="8" customFormat="1" ht="21.95" customHeight="1" x14ac:dyDescent="0.15"/>
    <row r="34678" s="8" customFormat="1" ht="21.95" customHeight="1" x14ac:dyDescent="0.15"/>
    <row r="34679" s="8" customFormat="1" ht="21.95" customHeight="1" x14ac:dyDescent="0.15"/>
    <row r="34680" s="8" customFormat="1" ht="32.1" customHeight="1" x14ac:dyDescent="0.15"/>
    <row r="34681" s="8" customFormat="1" ht="32.1" customHeight="1" x14ac:dyDescent="0.15"/>
    <row r="34682" s="8" customFormat="1" ht="32.1" customHeight="1" x14ac:dyDescent="0.15"/>
    <row r="34683" s="8" customFormat="1" ht="32.1" customHeight="1" x14ac:dyDescent="0.15"/>
    <row r="34684" s="8" customFormat="1" ht="32.1" customHeight="1" x14ac:dyDescent="0.15"/>
    <row r="34685" s="8" customFormat="1" ht="32.1" customHeight="1" x14ac:dyDescent="0.15"/>
    <row r="34686" s="9" customFormat="1" ht="32.1" customHeight="1" x14ac:dyDescent="0.15"/>
    <row r="34687" s="9" customFormat="1" ht="32.1" customHeight="1" x14ac:dyDescent="0.15"/>
    <row r="34688" s="9" customFormat="1" ht="32.1" customHeight="1" x14ac:dyDescent="0.15"/>
    <row r="34689" s="9" customFormat="1" ht="32.1" customHeight="1" x14ac:dyDescent="0.15"/>
    <row r="34690" s="9" customFormat="1" ht="21.95" customHeight="1" x14ac:dyDescent="0.15"/>
    <row r="34691" s="9" customFormat="1" ht="54" customHeight="1" x14ac:dyDescent="0.15"/>
    <row r="34692" s="9" customFormat="1" ht="21.95" customHeight="1" x14ac:dyDescent="0.15"/>
    <row r="34693" s="9" customFormat="1" ht="21.95" customHeight="1" x14ac:dyDescent="0.15"/>
    <row r="34694" s="9" customFormat="1" ht="21.95" customHeight="1" x14ac:dyDescent="0.15"/>
    <row r="34695" s="9" customFormat="1" ht="21.95" customHeight="1" x14ac:dyDescent="0.15"/>
    <row r="34696" s="9" customFormat="1" ht="21.95" customHeight="1" x14ac:dyDescent="0.15"/>
    <row r="34697" s="9" customFormat="1" ht="21.95" customHeight="1" x14ac:dyDescent="0.15"/>
    <row r="34698" s="9" customFormat="1" ht="21.95" customHeight="1" x14ac:dyDescent="0.15"/>
    <row r="34699" s="9" customFormat="1" ht="21.95" customHeight="1" x14ac:dyDescent="0.15"/>
    <row r="34700" s="9" customFormat="1" ht="21.95" customHeight="1" x14ac:dyDescent="0.15"/>
    <row r="34701" s="9" customFormat="1" ht="21.95" customHeight="1" x14ac:dyDescent="0.15"/>
    <row r="34702" s="9" customFormat="1" ht="21.95" customHeight="1" x14ac:dyDescent="0.15"/>
    <row r="34703" s="9" customFormat="1" ht="21.95" customHeight="1" x14ac:dyDescent="0.15"/>
    <row r="34704" s="9" customFormat="1" ht="21.95" customHeight="1" x14ac:dyDescent="0.15"/>
    <row r="34705" s="9" customFormat="1" ht="21.95" customHeight="1" x14ac:dyDescent="0.15"/>
    <row r="34706" s="9" customFormat="1" ht="21.95" customHeight="1" x14ac:dyDescent="0.15"/>
    <row r="34707" s="9" customFormat="1" ht="21.95" customHeight="1" x14ac:dyDescent="0.15"/>
    <row r="34708" s="9" customFormat="1" ht="21.95" customHeight="1" x14ac:dyDescent="0.15"/>
    <row r="34709" s="9" customFormat="1" ht="21.95" customHeight="1" x14ac:dyDescent="0.15"/>
    <row r="34710" s="9" customFormat="1" ht="21.95" customHeight="1" x14ac:dyDescent="0.15"/>
    <row r="34711" s="9" customFormat="1" ht="21.95" customHeight="1" x14ac:dyDescent="0.15"/>
    <row r="34712" s="9" customFormat="1" ht="21.95" customHeight="1" x14ac:dyDescent="0.15"/>
    <row r="34713" s="9" customFormat="1" ht="21.95" customHeight="1" x14ac:dyDescent="0.15"/>
    <row r="34714" s="9" customFormat="1" ht="21.95" customHeight="1" x14ac:dyDescent="0.15"/>
    <row r="34715" s="9" customFormat="1" ht="21.95" customHeight="1" x14ac:dyDescent="0.15"/>
    <row r="34716" s="9" customFormat="1" ht="21.95" customHeight="1" x14ac:dyDescent="0.15"/>
    <row r="34717" s="9" customFormat="1" ht="21.95" customHeight="1" x14ac:dyDescent="0.15"/>
    <row r="34718" s="9" customFormat="1" ht="21.95" customHeight="1" x14ac:dyDescent="0.15"/>
    <row r="34719" s="9" customFormat="1" ht="21.95" customHeight="1" x14ac:dyDescent="0.15"/>
    <row r="34720" s="9" customFormat="1" ht="21.95" customHeight="1" x14ac:dyDescent="0.15"/>
    <row r="34721" s="9" customFormat="1" ht="21.95" customHeight="1" x14ac:dyDescent="0.15"/>
    <row r="34722" s="9" customFormat="1" ht="21.95" customHeight="1" x14ac:dyDescent="0.15"/>
    <row r="34723" s="9" customFormat="1" ht="21.95" customHeight="1" x14ac:dyDescent="0.15"/>
    <row r="34724" s="9" customFormat="1" ht="21.95" customHeight="1" x14ac:dyDescent="0.15"/>
    <row r="34725" s="9" customFormat="1" ht="21.95" customHeight="1" x14ac:dyDescent="0.15"/>
    <row r="34726" s="9" customFormat="1" ht="21.95" customHeight="1" x14ac:dyDescent="0.15"/>
    <row r="34727" s="9" customFormat="1" ht="21.95" customHeight="1" x14ac:dyDescent="0.15"/>
    <row r="34728" s="9" customFormat="1" ht="21.95" customHeight="1" x14ac:dyDescent="0.15"/>
    <row r="34729" s="9" customFormat="1" ht="21.95" customHeight="1" x14ac:dyDescent="0.15"/>
    <row r="34730" s="9" customFormat="1" ht="21.95" customHeight="1" x14ac:dyDescent="0.15"/>
    <row r="34731" s="9" customFormat="1" ht="21.95" customHeight="1" x14ac:dyDescent="0.15"/>
    <row r="34732" s="9" customFormat="1" ht="21.95" customHeight="1" x14ac:dyDescent="0.15"/>
    <row r="34733" s="9" customFormat="1" ht="21.95" customHeight="1" x14ac:dyDescent="0.15"/>
    <row r="34734" s="9" customFormat="1" ht="21.95" customHeight="1" x14ac:dyDescent="0.15"/>
    <row r="34735" s="9" customFormat="1" ht="21.95" customHeight="1" x14ac:dyDescent="0.15"/>
    <row r="34736" s="9" customFormat="1" ht="21.95" customHeight="1" x14ac:dyDescent="0.15"/>
    <row r="34737" s="9" customFormat="1" ht="21.95" customHeight="1" x14ac:dyDescent="0.15"/>
    <row r="34738" s="9" customFormat="1" ht="21.95" customHeight="1" x14ac:dyDescent="0.15"/>
    <row r="34739" s="9" customFormat="1" ht="21.95" customHeight="1" x14ac:dyDescent="0.15"/>
    <row r="34740" s="9" customFormat="1" ht="21.95" customHeight="1" x14ac:dyDescent="0.15"/>
    <row r="34741" s="9" customFormat="1" ht="21.95" customHeight="1" x14ac:dyDescent="0.15"/>
    <row r="34742" s="9" customFormat="1" ht="35.1" customHeight="1" x14ac:dyDescent="0.15"/>
    <row r="34743" s="9" customFormat="1" ht="21.95" customHeight="1" x14ac:dyDescent="0.15"/>
    <row r="34744" s="9" customFormat="1" ht="21.95" customHeight="1" x14ac:dyDescent="0.15"/>
    <row r="34745" s="9" customFormat="1" ht="21.95" customHeight="1" x14ac:dyDescent="0.15"/>
    <row r="34746" s="9" customFormat="1" ht="21.95" customHeight="1" x14ac:dyDescent="0.15"/>
    <row r="34747" s="9" customFormat="1" ht="21.95" customHeight="1" x14ac:dyDescent="0.15"/>
    <row r="34748" s="9" customFormat="1" ht="21.95" customHeight="1" x14ac:dyDescent="0.15"/>
    <row r="34749" s="9" customFormat="1" ht="21.95" customHeight="1" x14ac:dyDescent="0.15"/>
    <row r="34750" s="9" customFormat="1" ht="21.95" customHeight="1" x14ac:dyDescent="0.15"/>
    <row r="34751" s="9" customFormat="1" ht="21.95" customHeight="1" x14ac:dyDescent="0.15"/>
    <row r="34752" s="9" customFormat="1" ht="21.95" customHeight="1" x14ac:dyDescent="0.15"/>
    <row r="34753" spans="3:3" s="9" customFormat="1" ht="21.95" customHeight="1" x14ac:dyDescent="0.15"/>
    <row r="34754" spans="3:3" s="9" customFormat="1" ht="21.95" customHeight="1" x14ac:dyDescent="0.15"/>
    <row r="34755" spans="3:3" s="9" customFormat="1" ht="21.95" customHeight="1" x14ac:dyDescent="0.15"/>
    <row r="34756" spans="3:3" s="9" customFormat="1" ht="21.95" customHeight="1" x14ac:dyDescent="0.15"/>
    <row r="34757" spans="3:3" s="9" customFormat="1" ht="21.95" customHeight="1" x14ac:dyDescent="0.15"/>
    <row r="34758" spans="3:3" s="9" customFormat="1" ht="21.95" customHeight="1" x14ac:dyDescent="0.15"/>
    <row r="34759" spans="3:3" s="9" customFormat="1" ht="21.95" customHeight="1" x14ac:dyDescent="0.15"/>
    <row r="34760" spans="3:3" s="9" customFormat="1" ht="21.95" customHeight="1" x14ac:dyDescent="0.15"/>
    <row r="34761" spans="3:3" s="9" customFormat="1" ht="21.95" customHeight="1" x14ac:dyDescent="0.15"/>
    <row r="34762" spans="3:3" s="9" customFormat="1" ht="21.95" customHeight="1" x14ac:dyDescent="0.15"/>
    <row r="34763" spans="3:3" s="9" customFormat="1" ht="21.95" customHeight="1" x14ac:dyDescent="0.15"/>
    <row r="34764" spans="3:3" s="9" customFormat="1" ht="21.95" customHeight="1" x14ac:dyDescent="0.15"/>
    <row r="34765" spans="3:3" s="9" customFormat="1" ht="21.95" customHeight="1" x14ac:dyDescent="0.15"/>
    <row r="34766" spans="3:3" s="8" customFormat="1" ht="21.95" customHeight="1" x14ac:dyDescent="0.15"/>
    <row r="34767" spans="3:3" s="8" customFormat="1" ht="21.95" customHeight="1" x14ac:dyDescent="0.15"/>
    <row r="34768" spans="3:3" s="8" customFormat="1" ht="21.95" customHeight="1" x14ac:dyDescent="0.15">
      <c r="C34768" s="101"/>
    </row>
    <row r="34769" spans="3:3" s="8" customFormat="1" ht="21.95" customHeight="1" x14ac:dyDescent="0.15">
      <c r="C34769" s="101"/>
    </row>
    <row r="34770" spans="3:3" s="8" customFormat="1" ht="21.95" customHeight="1" x14ac:dyDescent="0.15"/>
    <row r="34771" spans="3:3" s="8" customFormat="1" ht="21.95" customHeight="1" x14ac:dyDescent="0.15"/>
    <row r="34772" spans="3:3" s="8" customFormat="1" ht="21.95" customHeight="1" x14ac:dyDescent="0.15"/>
    <row r="34773" spans="3:3" s="8" customFormat="1" ht="21.95" customHeight="1" x14ac:dyDescent="0.15"/>
    <row r="34774" spans="3:3" s="8" customFormat="1" ht="21.95" customHeight="1" x14ac:dyDescent="0.15"/>
    <row r="34775" spans="3:3" s="8" customFormat="1" ht="21.95" customHeight="1" x14ac:dyDescent="0.15"/>
    <row r="34776" spans="3:3" s="8" customFormat="1" ht="21.95" customHeight="1" x14ac:dyDescent="0.15"/>
    <row r="34777" spans="3:3" s="9" customFormat="1" ht="21.95" customHeight="1" x14ac:dyDescent="0.15"/>
    <row r="34778" spans="3:3" s="9" customFormat="1" ht="21.95" customHeight="1" x14ac:dyDescent="0.15"/>
    <row r="34779" spans="3:3" s="9" customFormat="1" ht="21.95" customHeight="1" x14ac:dyDescent="0.15"/>
    <row r="34780" spans="3:3" s="9" customFormat="1" ht="21.95" customHeight="1" x14ac:dyDescent="0.15"/>
    <row r="34781" spans="3:3" s="8" customFormat="1" ht="21.95" customHeight="1" x14ac:dyDescent="0.15"/>
    <row r="34782" spans="3:3" s="8" customFormat="1" ht="21.95" customHeight="1" x14ac:dyDescent="0.15"/>
    <row r="34783" spans="3:3" s="8" customFormat="1" ht="21.95" customHeight="1" x14ac:dyDescent="0.15"/>
    <row r="34784" spans="3:3" s="8" customFormat="1" ht="21.95" customHeight="1" x14ac:dyDescent="0.15"/>
    <row r="34785" s="8" customFormat="1" ht="21.95" customHeight="1" x14ac:dyDescent="0.15"/>
    <row r="34786" s="8" customFormat="1" ht="21.95" customHeight="1" x14ac:dyDescent="0.15"/>
    <row r="34787" s="8" customFormat="1" ht="21.95" customHeight="1" x14ac:dyDescent="0.15"/>
    <row r="34788" s="8" customFormat="1" ht="21.95" customHeight="1" x14ac:dyDescent="0.15"/>
    <row r="34789" s="8" customFormat="1" ht="21.95" customHeight="1" x14ac:dyDescent="0.15"/>
    <row r="34790" s="8" customFormat="1" ht="21.95" customHeight="1" x14ac:dyDescent="0.15"/>
    <row r="34791" s="8" customFormat="1" ht="21.95" customHeight="1" x14ac:dyDescent="0.15"/>
    <row r="34792" s="8" customFormat="1" ht="32.1" customHeight="1" x14ac:dyDescent="0.15"/>
    <row r="34793" s="8" customFormat="1" ht="32.1" customHeight="1" x14ac:dyDescent="0.15"/>
    <row r="34794" s="8" customFormat="1" ht="32.1" customHeight="1" x14ac:dyDescent="0.15"/>
    <row r="34795" s="8" customFormat="1" ht="32.1" customHeight="1" x14ac:dyDescent="0.15"/>
    <row r="34796" s="8" customFormat="1" ht="32.1" customHeight="1" x14ac:dyDescent="0.15"/>
    <row r="34797" s="8" customFormat="1" ht="32.1" customHeight="1" x14ac:dyDescent="0.15"/>
    <row r="34798" s="9" customFormat="1" ht="32.1" customHeight="1" x14ac:dyDescent="0.15"/>
    <row r="34799" s="9" customFormat="1" ht="32.1" customHeight="1" x14ac:dyDescent="0.15"/>
    <row r="34800" s="9" customFormat="1" ht="32.1" customHeight="1" x14ac:dyDescent="0.15"/>
    <row r="34801" s="9" customFormat="1" ht="32.1" customHeight="1" x14ac:dyDescent="0.15"/>
    <row r="34802" s="9" customFormat="1" ht="21.95" customHeight="1" x14ac:dyDescent="0.15"/>
    <row r="34803" s="9" customFormat="1" ht="54" customHeight="1" x14ac:dyDescent="0.15"/>
    <row r="34804" s="9" customFormat="1" ht="21.95" customHeight="1" x14ac:dyDescent="0.15"/>
    <row r="34805" s="9" customFormat="1" ht="21.95" customHeight="1" x14ac:dyDescent="0.15"/>
    <row r="34806" s="9" customFormat="1" ht="21.95" customHeight="1" x14ac:dyDescent="0.15"/>
    <row r="34807" s="9" customFormat="1" ht="21.95" customHeight="1" x14ac:dyDescent="0.15"/>
    <row r="34808" s="9" customFormat="1" ht="21.95" customHeight="1" x14ac:dyDescent="0.15"/>
    <row r="34809" s="9" customFormat="1" ht="21.95" customHeight="1" x14ac:dyDescent="0.15"/>
    <row r="34810" s="9" customFormat="1" ht="21.95" customHeight="1" x14ac:dyDescent="0.15"/>
    <row r="34811" s="9" customFormat="1" ht="21.95" customHeight="1" x14ac:dyDescent="0.15"/>
    <row r="34812" s="9" customFormat="1" ht="21.95" customHeight="1" x14ac:dyDescent="0.15"/>
    <row r="34813" s="9" customFormat="1" ht="21.95" customHeight="1" x14ac:dyDescent="0.15"/>
    <row r="34814" s="9" customFormat="1" ht="21.95" customHeight="1" x14ac:dyDescent="0.15"/>
    <row r="34815" s="9" customFormat="1" ht="21.95" customHeight="1" x14ac:dyDescent="0.15"/>
    <row r="34816" s="9" customFormat="1" ht="21.95" customHeight="1" x14ac:dyDescent="0.15"/>
    <row r="34817" s="9" customFormat="1" ht="21.95" customHeight="1" x14ac:dyDescent="0.15"/>
    <row r="34818" s="9" customFormat="1" ht="21.95" customHeight="1" x14ac:dyDescent="0.15"/>
    <row r="34819" s="9" customFormat="1" ht="21.95" customHeight="1" x14ac:dyDescent="0.15"/>
    <row r="34820" s="9" customFormat="1" ht="21.95" customHeight="1" x14ac:dyDescent="0.15"/>
    <row r="34821" s="9" customFormat="1" ht="21.95" customHeight="1" x14ac:dyDescent="0.15"/>
    <row r="34822" s="9" customFormat="1" ht="21.95" customHeight="1" x14ac:dyDescent="0.15"/>
    <row r="34823" s="9" customFormat="1" ht="21.95" customHeight="1" x14ac:dyDescent="0.15"/>
    <row r="34824" s="9" customFormat="1" ht="21.95" customHeight="1" x14ac:dyDescent="0.15"/>
    <row r="34825" s="9" customFormat="1" ht="21.95" customHeight="1" x14ac:dyDescent="0.15"/>
    <row r="34826" s="9" customFormat="1" ht="21.95" customHeight="1" x14ac:dyDescent="0.15"/>
    <row r="34827" s="9" customFormat="1" ht="21.95" customHeight="1" x14ac:dyDescent="0.15"/>
    <row r="34828" s="9" customFormat="1" ht="21.95" customHeight="1" x14ac:dyDescent="0.15"/>
    <row r="34829" s="9" customFormat="1" ht="21.95" customHeight="1" x14ac:dyDescent="0.15"/>
    <row r="34830" s="9" customFormat="1" ht="21.95" customHeight="1" x14ac:dyDescent="0.15"/>
    <row r="34831" s="9" customFormat="1" ht="21.95" customHeight="1" x14ac:dyDescent="0.15"/>
    <row r="34832" s="9" customFormat="1" ht="21.95" customHeight="1" x14ac:dyDescent="0.15"/>
    <row r="34833" s="9" customFormat="1" ht="21.95" customHeight="1" x14ac:dyDescent="0.15"/>
    <row r="34834" s="9" customFormat="1" ht="21.95" customHeight="1" x14ac:dyDescent="0.15"/>
    <row r="34835" s="9" customFormat="1" ht="21.95" customHeight="1" x14ac:dyDescent="0.15"/>
    <row r="34836" s="9" customFormat="1" ht="21.95" customHeight="1" x14ac:dyDescent="0.15"/>
    <row r="34837" s="9" customFormat="1" ht="21.95" customHeight="1" x14ac:dyDescent="0.15"/>
    <row r="34838" s="9" customFormat="1" ht="21.95" customHeight="1" x14ac:dyDescent="0.15"/>
    <row r="34839" s="9" customFormat="1" ht="21.95" customHeight="1" x14ac:dyDescent="0.15"/>
    <row r="34840" s="9" customFormat="1" ht="21.95" customHeight="1" x14ac:dyDescent="0.15"/>
    <row r="34841" s="9" customFormat="1" ht="21.95" customHeight="1" x14ac:dyDescent="0.15"/>
    <row r="34842" s="9" customFormat="1" ht="21.95" customHeight="1" x14ac:dyDescent="0.15"/>
    <row r="34843" s="9" customFormat="1" ht="21.95" customHeight="1" x14ac:dyDescent="0.15"/>
    <row r="34844" s="9" customFormat="1" ht="21.95" customHeight="1" x14ac:dyDescent="0.15"/>
    <row r="34845" s="9" customFormat="1" ht="21.95" customHeight="1" x14ac:dyDescent="0.15"/>
    <row r="34846" s="9" customFormat="1" ht="21.95" customHeight="1" x14ac:dyDescent="0.15"/>
    <row r="34847" s="9" customFormat="1" ht="21.95" customHeight="1" x14ac:dyDescent="0.15"/>
    <row r="34848" s="9" customFormat="1" ht="21.95" customHeight="1" x14ac:dyDescent="0.15"/>
    <row r="34849" s="9" customFormat="1" ht="21.95" customHeight="1" x14ac:dyDescent="0.15"/>
    <row r="34850" s="9" customFormat="1" ht="21.95" customHeight="1" x14ac:dyDescent="0.15"/>
    <row r="34851" s="9" customFormat="1" ht="21.95" customHeight="1" x14ac:dyDescent="0.15"/>
    <row r="34852" s="9" customFormat="1" ht="21.95" customHeight="1" x14ac:dyDescent="0.15"/>
    <row r="34853" s="9" customFormat="1" ht="21.95" customHeight="1" x14ac:dyDescent="0.15"/>
    <row r="34854" s="9" customFormat="1" ht="35.1" customHeight="1" x14ac:dyDescent="0.15"/>
    <row r="34855" s="9" customFormat="1" ht="21.95" customHeight="1" x14ac:dyDescent="0.15"/>
    <row r="34856" s="9" customFormat="1" ht="21.95" customHeight="1" x14ac:dyDescent="0.15"/>
    <row r="34857" s="9" customFormat="1" ht="21.95" customHeight="1" x14ac:dyDescent="0.15"/>
    <row r="34858" s="9" customFormat="1" ht="21.95" customHeight="1" x14ac:dyDescent="0.15"/>
    <row r="34859" s="9" customFormat="1" ht="21.95" customHeight="1" x14ac:dyDescent="0.15"/>
    <row r="34860" s="9" customFormat="1" ht="21.95" customHeight="1" x14ac:dyDescent="0.15"/>
    <row r="34861" s="9" customFormat="1" ht="21.95" customHeight="1" x14ac:dyDescent="0.15"/>
    <row r="34862" s="9" customFormat="1" ht="21.95" customHeight="1" x14ac:dyDescent="0.15"/>
    <row r="34863" s="9" customFormat="1" ht="21.95" customHeight="1" x14ac:dyDescent="0.15"/>
    <row r="34864" s="9" customFormat="1" ht="21.95" customHeight="1" x14ac:dyDescent="0.15"/>
    <row r="34865" spans="3:3" s="9" customFormat="1" ht="21.95" customHeight="1" x14ac:dyDescent="0.15"/>
    <row r="34866" spans="3:3" s="9" customFormat="1" ht="21.95" customHeight="1" x14ac:dyDescent="0.15"/>
    <row r="34867" spans="3:3" s="9" customFormat="1" ht="21.95" customHeight="1" x14ac:dyDescent="0.15"/>
    <row r="34868" spans="3:3" s="9" customFormat="1" ht="21.95" customHeight="1" x14ac:dyDescent="0.15"/>
    <row r="34869" spans="3:3" s="9" customFormat="1" ht="21.95" customHeight="1" x14ac:dyDescent="0.15"/>
    <row r="34870" spans="3:3" s="9" customFormat="1" ht="21.95" customHeight="1" x14ac:dyDescent="0.15"/>
    <row r="34871" spans="3:3" s="9" customFormat="1" ht="21.95" customHeight="1" x14ac:dyDescent="0.15"/>
    <row r="34872" spans="3:3" s="9" customFormat="1" ht="21.95" customHeight="1" x14ac:dyDescent="0.15"/>
    <row r="34873" spans="3:3" s="9" customFormat="1" ht="21.95" customHeight="1" x14ac:dyDescent="0.15"/>
    <row r="34874" spans="3:3" s="9" customFormat="1" ht="21.95" customHeight="1" x14ac:dyDescent="0.15"/>
    <row r="34875" spans="3:3" s="9" customFormat="1" ht="21.95" customHeight="1" x14ac:dyDescent="0.15"/>
    <row r="34876" spans="3:3" s="9" customFormat="1" ht="21.95" customHeight="1" x14ac:dyDescent="0.15"/>
    <row r="34877" spans="3:3" s="9" customFormat="1" ht="21.95" customHeight="1" x14ac:dyDescent="0.15"/>
    <row r="34878" spans="3:3" s="8" customFormat="1" ht="21.95" customHeight="1" x14ac:dyDescent="0.15"/>
    <row r="34879" spans="3:3" s="8" customFormat="1" ht="21.95" customHeight="1" x14ac:dyDescent="0.15"/>
    <row r="34880" spans="3:3" s="8" customFormat="1" ht="21.95" customHeight="1" x14ac:dyDescent="0.15">
      <c r="C34880" s="101"/>
    </row>
    <row r="34881" spans="3:3" s="8" customFormat="1" ht="21.95" customHeight="1" x14ac:dyDescent="0.15">
      <c r="C34881" s="101"/>
    </row>
    <row r="34882" spans="3:3" s="8" customFormat="1" ht="21.95" customHeight="1" x14ac:dyDescent="0.15"/>
    <row r="34883" spans="3:3" s="8" customFormat="1" ht="21.95" customHeight="1" x14ac:dyDescent="0.15"/>
    <row r="34884" spans="3:3" s="8" customFormat="1" ht="21.95" customHeight="1" x14ac:dyDescent="0.15"/>
    <row r="34885" spans="3:3" s="8" customFormat="1" ht="21.95" customHeight="1" x14ac:dyDescent="0.15"/>
    <row r="34886" spans="3:3" s="8" customFormat="1" ht="21.95" customHeight="1" x14ac:dyDescent="0.15"/>
    <row r="34887" spans="3:3" s="8" customFormat="1" ht="21.95" customHeight="1" x14ac:dyDescent="0.15"/>
    <row r="34888" spans="3:3" s="8" customFormat="1" ht="21.95" customHeight="1" x14ac:dyDescent="0.15"/>
    <row r="34889" spans="3:3" s="9" customFormat="1" ht="21.95" customHeight="1" x14ac:dyDescent="0.15"/>
    <row r="34890" spans="3:3" s="9" customFormat="1" ht="21.95" customHeight="1" x14ac:dyDescent="0.15"/>
    <row r="34891" spans="3:3" s="9" customFormat="1" ht="21.95" customHeight="1" x14ac:dyDescent="0.15"/>
    <row r="34892" spans="3:3" s="9" customFormat="1" ht="21.95" customHeight="1" x14ac:dyDescent="0.15"/>
    <row r="34893" spans="3:3" s="8" customFormat="1" ht="21.95" customHeight="1" x14ac:dyDescent="0.15"/>
    <row r="34894" spans="3:3" s="8" customFormat="1" ht="21.95" customHeight="1" x14ac:dyDescent="0.15"/>
    <row r="34895" spans="3:3" s="8" customFormat="1" ht="21.95" customHeight="1" x14ac:dyDescent="0.15"/>
    <row r="34896" spans="3:3" s="8" customFormat="1" ht="21.95" customHeight="1" x14ac:dyDescent="0.15"/>
    <row r="34897" s="8" customFormat="1" ht="21.95" customHeight="1" x14ac:dyDescent="0.15"/>
    <row r="34898" s="8" customFormat="1" ht="21.95" customHeight="1" x14ac:dyDescent="0.15"/>
    <row r="34899" s="8" customFormat="1" ht="21.95" customHeight="1" x14ac:dyDescent="0.15"/>
    <row r="34900" s="8" customFormat="1" ht="21.95" customHeight="1" x14ac:dyDescent="0.15"/>
    <row r="34901" s="8" customFormat="1" ht="21.95" customHeight="1" x14ac:dyDescent="0.15"/>
    <row r="34902" s="8" customFormat="1" ht="21.95" customHeight="1" x14ac:dyDescent="0.15"/>
    <row r="34903" s="8" customFormat="1" ht="21.95" customHeight="1" x14ac:dyDescent="0.15"/>
    <row r="34904" s="8" customFormat="1" ht="32.1" customHeight="1" x14ac:dyDescent="0.15"/>
    <row r="34905" s="8" customFormat="1" ht="32.1" customHeight="1" x14ac:dyDescent="0.15"/>
    <row r="34906" s="8" customFormat="1" ht="32.1" customHeight="1" x14ac:dyDescent="0.15"/>
    <row r="34907" s="8" customFormat="1" ht="32.1" customHeight="1" x14ac:dyDescent="0.15"/>
    <row r="34908" s="8" customFormat="1" ht="32.1" customHeight="1" x14ac:dyDescent="0.15"/>
    <row r="34909" s="8" customFormat="1" ht="32.1" customHeight="1" x14ac:dyDescent="0.15"/>
    <row r="34910" s="9" customFormat="1" ht="32.1" customHeight="1" x14ac:dyDescent="0.15"/>
    <row r="34911" s="9" customFormat="1" ht="32.1" customHeight="1" x14ac:dyDescent="0.15"/>
    <row r="34912" s="9" customFormat="1" ht="32.1" customHeight="1" x14ac:dyDescent="0.15"/>
    <row r="34913" s="9" customFormat="1" ht="32.1" customHeight="1" x14ac:dyDescent="0.15"/>
    <row r="34914" s="9" customFormat="1" ht="21.95" customHeight="1" x14ac:dyDescent="0.15"/>
    <row r="34915" s="9" customFormat="1" ht="54" customHeight="1" x14ac:dyDescent="0.15"/>
    <row r="34916" s="9" customFormat="1" ht="21.95" customHeight="1" x14ac:dyDescent="0.15"/>
    <row r="34917" s="9" customFormat="1" ht="21.95" customHeight="1" x14ac:dyDescent="0.15"/>
    <row r="34918" s="9" customFormat="1" ht="21.95" customHeight="1" x14ac:dyDescent="0.15"/>
    <row r="34919" s="9" customFormat="1" ht="21.95" customHeight="1" x14ac:dyDescent="0.15"/>
    <row r="34920" s="9" customFormat="1" ht="21.95" customHeight="1" x14ac:dyDescent="0.15"/>
    <row r="34921" s="9" customFormat="1" ht="21.95" customHeight="1" x14ac:dyDescent="0.15"/>
    <row r="34922" s="9" customFormat="1" ht="21.95" customHeight="1" x14ac:dyDescent="0.15"/>
    <row r="34923" s="9" customFormat="1" ht="21.95" customHeight="1" x14ac:dyDescent="0.15"/>
    <row r="34924" s="9" customFormat="1" ht="21.95" customHeight="1" x14ac:dyDescent="0.15"/>
    <row r="34925" s="9" customFormat="1" ht="21.95" customHeight="1" x14ac:dyDescent="0.15"/>
    <row r="34926" s="9" customFormat="1" ht="21.95" customHeight="1" x14ac:dyDescent="0.15"/>
    <row r="34927" s="9" customFormat="1" ht="21.95" customHeight="1" x14ac:dyDescent="0.15"/>
    <row r="34928" s="9" customFormat="1" ht="21.95" customHeight="1" x14ac:dyDescent="0.15"/>
    <row r="34929" s="9" customFormat="1" ht="21.95" customHeight="1" x14ac:dyDescent="0.15"/>
    <row r="34930" s="9" customFormat="1" ht="21.95" customHeight="1" x14ac:dyDescent="0.15"/>
    <row r="34931" s="9" customFormat="1" ht="21.95" customHeight="1" x14ac:dyDescent="0.15"/>
    <row r="34932" s="9" customFormat="1" ht="21.95" customHeight="1" x14ac:dyDescent="0.15"/>
    <row r="34933" s="9" customFormat="1" ht="21.95" customHeight="1" x14ac:dyDescent="0.15"/>
    <row r="34934" s="9" customFormat="1" ht="21.95" customHeight="1" x14ac:dyDescent="0.15"/>
    <row r="34935" s="9" customFormat="1" ht="21.95" customHeight="1" x14ac:dyDescent="0.15"/>
    <row r="34936" s="9" customFormat="1" ht="21.95" customHeight="1" x14ac:dyDescent="0.15"/>
    <row r="34937" s="9" customFormat="1" ht="21.95" customHeight="1" x14ac:dyDescent="0.15"/>
    <row r="34938" s="9" customFormat="1" ht="21.95" customHeight="1" x14ac:dyDescent="0.15"/>
    <row r="34939" s="9" customFormat="1" ht="21.95" customHeight="1" x14ac:dyDescent="0.15"/>
    <row r="34940" s="9" customFormat="1" ht="21.95" customHeight="1" x14ac:dyDescent="0.15"/>
    <row r="34941" s="9" customFormat="1" ht="21.95" customHeight="1" x14ac:dyDescent="0.15"/>
    <row r="34942" s="9" customFormat="1" ht="21.95" customHeight="1" x14ac:dyDescent="0.15"/>
    <row r="34943" s="9" customFormat="1" ht="21.95" customHeight="1" x14ac:dyDescent="0.15"/>
    <row r="34944" s="9" customFormat="1" ht="21.95" customHeight="1" x14ac:dyDescent="0.15"/>
    <row r="34945" s="9" customFormat="1" ht="21.95" customHeight="1" x14ac:dyDescent="0.15"/>
    <row r="34946" s="9" customFormat="1" ht="21.95" customHeight="1" x14ac:dyDescent="0.15"/>
    <row r="34947" s="9" customFormat="1" ht="21.95" customHeight="1" x14ac:dyDescent="0.15"/>
    <row r="34948" s="9" customFormat="1" ht="21.95" customHeight="1" x14ac:dyDescent="0.15"/>
    <row r="34949" s="9" customFormat="1" ht="21.95" customHeight="1" x14ac:dyDescent="0.15"/>
    <row r="34950" s="9" customFormat="1" ht="21.95" customHeight="1" x14ac:dyDescent="0.15"/>
    <row r="34951" s="9" customFormat="1" ht="21.95" customHeight="1" x14ac:dyDescent="0.15"/>
    <row r="34952" s="9" customFormat="1" ht="21.95" customHeight="1" x14ac:dyDescent="0.15"/>
    <row r="34953" s="9" customFormat="1" ht="21.95" customHeight="1" x14ac:dyDescent="0.15"/>
    <row r="34954" s="9" customFormat="1" ht="21.95" customHeight="1" x14ac:dyDescent="0.15"/>
    <row r="34955" s="9" customFormat="1" ht="21.95" customHeight="1" x14ac:dyDescent="0.15"/>
    <row r="34956" s="9" customFormat="1" ht="21.95" customHeight="1" x14ac:dyDescent="0.15"/>
    <row r="34957" s="9" customFormat="1" ht="21.95" customHeight="1" x14ac:dyDescent="0.15"/>
    <row r="34958" s="9" customFormat="1" ht="21.95" customHeight="1" x14ac:dyDescent="0.15"/>
    <row r="34959" s="9" customFormat="1" ht="21.95" customHeight="1" x14ac:dyDescent="0.15"/>
    <row r="34960" s="9" customFormat="1" ht="21.95" customHeight="1" x14ac:dyDescent="0.15"/>
    <row r="34961" s="9" customFormat="1" ht="21.95" customHeight="1" x14ac:dyDescent="0.15"/>
    <row r="34962" s="9" customFormat="1" ht="21.95" customHeight="1" x14ac:dyDescent="0.15"/>
    <row r="34963" s="9" customFormat="1" ht="21.95" customHeight="1" x14ac:dyDescent="0.15"/>
    <row r="34964" s="9" customFormat="1" ht="21.95" customHeight="1" x14ac:dyDescent="0.15"/>
    <row r="34965" s="9" customFormat="1" ht="21.95" customHeight="1" x14ac:dyDescent="0.15"/>
    <row r="34966" s="9" customFormat="1" ht="35.1" customHeight="1" x14ac:dyDescent="0.15"/>
    <row r="34967" s="9" customFormat="1" ht="21.95" customHeight="1" x14ac:dyDescent="0.15"/>
    <row r="34968" s="9" customFormat="1" ht="21.95" customHeight="1" x14ac:dyDescent="0.15"/>
    <row r="34969" s="9" customFormat="1" ht="21.95" customHeight="1" x14ac:dyDescent="0.15"/>
    <row r="34970" s="9" customFormat="1" ht="21.95" customHeight="1" x14ac:dyDescent="0.15"/>
    <row r="34971" s="9" customFormat="1" ht="21.95" customHeight="1" x14ac:dyDescent="0.15"/>
    <row r="34972" s="9" customFormat="1" ht="21.95" customHeight="1" x14ac:dyDescent="0.15"/>
    <row r="34973" s="9" customFormat="1" ht="21.95" customHeight="1" x14ac:dyDescent="0.15"/>
    <row r="34974" s="9" customFormat="1" ht="21.95" customHeight="1" x14ac:dyDescent="0.15"/>
    <row r="34975" s="9" customFormat="1" ht="21.95" customHeight="1" x14ac:dyDescent="0.15"/>
    <row r="34976" s="9" customFormat="1" ht="21.95" customHeight="1" x14ac:dyDescent="0.15"/>
    <row r="34977" spans="3:3" s="9" customFormat="1" ht="21.95" customHeight="1" x14ac:dyDescent="0.15"/>
    <row r="34978" spans="3:3" s="9" customFormat="1" ht="21.95" customHeight="1" x14ac:dyDescent="0.15"/>
    <row r="34979" spans="3:3" s="9" customFormat="1" ht="21.95" customHeight="1" x14ac:dyDescent="0.15"/>
    <row r="34980" spans="3:3" s="9" customFormat="1" ht="21.95" customHeight="1" x14ac:dyDescent="0.15"/>
    <row r="34981" spans="3:3" s="9" customFormat="1" ht="21.95" customHeight="1" x14ac:dyDescent="0.15"/>
    <row r="34982" spans="3:3" s="9" customFormat="1" ht="21.95" customHeight="1" x14ac:dyDescent="0.15"/>
    <row r="34983" spans="3:3" s="9" customFormat="1" ht="21.95" customHeight="1" x14ac:dyDescent="0.15"/>
    <row r="34984" spans="3:3" s="9" customFormat="1" ht="21.95" customHeight="1" x14ac:dyDescent="0.15"/>
    <row r="34985" spans="3:3" s="9" customFormat="1" ht="21.95" customHeight="1" x14ac:dyDescent="0.15"/>
    <row r="34986" spans="3:3" s="9" customFormat="1" ht="21.95" customHeight="1" x14ac:dyDescent="0.15"/>
    <row r="34987" spans="3:3" s="9" customFormat="1" ht="21.95" customHeight="1" x14ac:dyDescent="0.15"/>
    <row r="34988" spans="3:3" s="9" customFormat="1" ht="21.95" customHeight="1" x14ac:dyDescent="0.15"/>
    <row r="34989" spans="3:3" s="9" customFormat="1" ht="21.95" customHeight="1" x14ac:dyDescent="0.15"/>
    <row r="34990" spans="3:3" s="8" customFormat="1" ht="21.95" customHeight="1" x14ac:dyDescent="0.15"/>
    <row r="34991" spans="3:3" s="8" customFormat="1" ht="21.95" customHeight="1" x14ac:dyDescent="0.15"/>
    <row r="34992" spans="3:3" s="8" customFormat="1" ht="21.95" customHeight="1" x14ac:dyDescent="0.15">
      <c r="C34992" s="101"/>
    </row>
    <row r="34993" spans="3:3" s="8" customFormat="1" ht="21.95" customHeight="1" x14ac:dyDescent="0.15">
      <c r="C34993" s="101"/>
    </row>
    <row r="34994" spans="3:3" s="8" customFormat="1" ht="21.95" customHeight="1" x14ac:dyDescent="0.15"/>
    <row r="34995" spans="3:3" s="8" customFormat="1" ht="21.95" customHeight="1" x14ac:dyDescent="0.15"/>
    <row r="34996" spans="3:3" s="8" customFormat="1" ht="21.95" customHeight="1" x14ac:dyDescent="0.15"/>
    <row r="34997" spans="3:3" s="8" customFormat="1" ht="21.95" customHeight="1" x14ac:dyDescent="0.15"/>
    <row r="34998" spans="3:3" s="8" customFormat="1" ht="21.95" customHeight="1" x14ac:dyDescent="0.15"/>
    <row r="34999" spans="3:3" s="8" customFormat="1" ht="21.95" customHeight="1" x14ac:dyDescent="0.15"/>
    <row r="35000" spans="3:3" s="8" customFormat="1" ht="21.95" customHeight="1" x14ac:dyDescent="0.15"/>
    <row r="35001" spans="3:3" s="9" customFormat="1" ht="21.95" customHeight="1" x14ac:dyDescent="0.15"/>
    <row r="35002" spans="3:3" s="9" customFormat="1" ht="21.95" customHeight="1" x14ac:dyDescent="0.15"/>
    <row r="35003" spans="3:3" s="9" customFormat="1" ht="21.95" customHeight="1" x14ac:dyDescent="0.15"/>
    <row r="35004" spans="3:3" s="9" customFormat="1" ht="21.95" customHeight="1" x14ac:dyDescent="0.15"/>
    <row r="35005" spans="3:3" s="8" customFormat="1" ht="21.95" customHeight="1" x14ac:dyDescent="0.15"/>
    <row r="35006" spans="3:3" s="8" customFormat="1" ht="21.95" customHeight="1" x14ac:dyDescent="0.15"/>
    <row r="35007" spans="3:3" s="8" customFormat="1" ht="21.95" customHeight="1" x14ac:dyDescent="0.15"/>
    <row r="35008" spans="3:3" s="8" customFormat="1" ht="21.95" customHeight="1" x14ac:dyDescent="0.15"/>
    <row r="35009" s="8" customFormat="1" ht="21.95" customHeight="1" x14ac:dyDescent="0.15"/>
    <row r="35010" s="8" customFormat="1" ht="21.95" customHeight="1" x14ac:dyDescent="0.15"/>
    <row r="35011" s="8" customFormat="1" ht="21.95" customHeight="1" x14ac:dyDescent="0.15"/>
    <row r="35012" s="8" customFormat="1" ht="21.95" customHeight="1" x14ac:dyDescent="0.15"/>
    <row r="35013" s="8" customFormat="1" ht="21.95" customHeight="1" x14ac:dyDescent="0.15"/>
    <row r="35014" s="8" customFormat="1" ht="21.95" customHeight="1" x14ac:dyDescent="0.15"/>
    <row r="35015" s="8" customFormat="1" ht="21.95" customHeight="1" x14ac:dyDescent="0.15"/>
    <row r="35016" s="8" customFormat="1" ht="32.1" customHeight="1" x14ac:dyDescent="0.15"/>
    <row r="35017" s="8" customFormat="1" ht="32.1" customHeight="1" x14ac:dyDescent="0.15"/>
    <row r="35018" s="8" customFormat="1" ht="32.1" customHeight="1" x14ac:dyDescent="0.15"/>
    <row r="35019" s="8" customFormat="1" ht="32.1" customHeight="1" x14ac:dyDescent="0.15"/>
    <row r="35020" s="8" customFormat="1" ht="32.1" customHeight="1" x14ac:dyDescent="0.15"/>
    <row r="35021" s="8" customFormat="1" ht="32.1" customHeight="1" x14ac:dyDescent="0.15"/>
    <row r="35022" s="9" customFormat="1" ht="32.1" customHeight="1" x14ac:dyDescent="0.15"/>
    <row r="35023" s="9" customFormat="1" ht="32.1" customHeight="1" x14ac:dyDescent="0.15"/>
    <row r="35024" s="9" customFormat="1" ht="32.1" customHeight="1" x14ac:dyDescent="0.15"/>
    <row r="35025" s="9" customFormat="1" ht="32.1" customHeight="1" x14ac:dyDescent="0.15"/>
    <row r="35026" s="9" customFormat="1" ht="21.95" customHeight="1" x14ac:dyDescent="0.15"/>
    <row r="35027" s="9" customFormat="1" ht="54" customHeight="1" x14ac:dyDescent="0.15"/>
    <row r="35028" s="9" customFormat="1" ht="21.95" customHeight="1" x14ac:dyDescent="0.15"/>
    <row r="35029" s="9" customFormat="1" ht="21.95" customHeight="1" x14ac:dyDescent="0.15"/>
    <row r="35030" s="9" customFormat="1" ht="21.95" customHeight="1" x14ac:dyDescent="0.15"/>
    <row r="35031" s="9" customFormat="1" ht="21.95" customHeight="1" x14ac:dyDescent="0.15"/>
    <row r="35032" s="9" customFormat="1" ht="21.95" customHeight="1" x14ac:dyDescent="0.15"/>
    <row r="35033" s="9" customFormat="1" ht="21.95" customHeight="1" x14ac:dyDescent="0.15"/>
    <row r="35034" s="9" customFormat="1" ht="21.95" customHeight="1" x14ac:dyDescent="0.15"/>
    <row r="35035" s="9" customFormat="1" ht="21.95" customHeight="1" x14ac:dyDescent="0.15"/>
    <row r="35036" s="9" customFormat="1" ht="21.95" customHeight="1" x14ac:dyDescent="0.15"/>
    <row r="35037" s="9" customFormat="1" ht="21.95" customHeight="1" x14ac:dyDescent="0.15"/>
    <row r="35038" s="9" customFormat="1" ht="21.95" customHeight="1" x14ac:dyDescent="0.15"/>
    <row r="35039" s="9" customFormat="1" ht="21.95" customHeight="1" x14ac:dyDescent="0.15"/>
    <row r="35040" s="9" customFormat="1" ht="21.95" customHeight="1" x14ac:dyDescent="0.15"/>
    <row r="35041" s="9" customFormat="1" ht="21.95" customHeight="1" x14ac:dyDescent="0.15"/>
    <row r="35042" s="9" customFormat="1" ht="21.95" customHeight="1" x14ac:dyDescent="0.15"/>
    <row r="35043" s="9" customFormat="1" ht="21.95" customHeight="1" x14ac:dyDescent="0.15"/>
    <row r="35044" s="9" customFormat="1" ht="21.95" customHeight="1" x14ac:dyDescent="0.15"/>
    <row r="35045" s="9" customFormat="1" ht="21.95" customHeight="1" x14ac:dyDescent="0.15"/>
    <row r="35046" s="9" customFormat="1" ht="21.95" customHeight="1" x14ac:dyDescent="0.15"/>
    <row r="35047" s="9" customFormat="1" ht="21.95" customHeight="1" x14ac:dyDescent="0.15"/>
    <row r="35048" s="9" customFormat="1" ht="21.95" customHeight="1" x14ac:dyDescent="0.15"/>
    <row r="35049" s="9" customFormat="1" ht="21.95" customHeight="1" x14ac:dyDescent="0.15"/>
    <row r="35050" s="9" customFormat="1" ht="21.95" customHeight="1" x14ac:dyDescent="0.15"/>
    <row r="35051" s="9" customFormat="1" ht="21.95" customHeight="1" x14ac:dyDescent="0.15"/>
    <row r="35052" s="9" customFormat="1" ht="21.95" customHeight="1" x14ac:dyDescent="0.15"/>
    <row r="35053" s="9" customFormat="1" ht="21.95" customHeight="1" x14ac:dyDescent="0.15"/>
    <row r="35054" s="9" customFormat="1" ht="21.95" customHeight="1" x14ac:dyDescent="0.15"/>
    <row r="35055" s="9" customFormat="1" ht="21.95" customHeight="1" x14ac:dyDescent="0.15"/>
    <row r="35056" s="9" customFormat="1" ht="21.95" customHeight="1" x14ac:dyDescent="0.15"/>
    <row r="35057" s="9" customFormat="1" ht="21.95" customHeight="1" x14ac:dyDescent="0.15"/>
    <row r="35058" s="9" customFormat="1" ht="21.95" customHeight="1" x14ac:dyDescent="0.15"/>
    <row r="35059" s="9" customFormat="1" ht="21.95" customHeight="1" x14ac:dyDescent="0.15"/>
    <row r="35060" s="9" customFormat="1" ht="21.95" customHeight="1" x14ac:dyDescent="0.15"/>
    <row r="35061" s="9" customFormat="1" ht="21.95" customHeight="1" x14ac:dyDescent="0.15"/>
    <row r="35062" s="9" customFormat="1" ht="21.95" customHeight="1" x14ac:dyDescent="0.15"/>
    <row r="35063" s="9" customFormat="1" ht="21.95" customHeight="1" x14ac:dyDescent="0.15"/>
    <row r="35064" s="9" customFormat="1" ht="21.95" customHeight="1" x14ac:dyDescent="0.15"/>
    <row r="35065" s="9" customFormat="1" ht="21.95" customHeight="1" x14ac:dyDescent="0.15"/>
    <row r="35066" s="9" customFormat="1" ht="21.95" customHeight="1" x14ac:dyDescent="0.15"/>
    <row r="35067" s="9" customFormat="1" ht="21.95" customHeight="1" x14ac:dyDescent="0.15"/>
    <row r="35068" s="9" customFormat="1" ht="21.95" customHeight="1" x14ac:dyDescent="0.15"/>
    <row r="35069" s="9" customFormat="1" ht="21.95" customHeight="1" x14ac:dyDescent="0.15"/>
    <row r="35070" s="9" customFormat="1" ht="21.95" customHeight="1" x14ac:dyDescent="0.15"/>
    <row r="35071" s="9" customFormat="1" ht="21.95" customHeight="1" x14ac:dyDescent="0.15"/>
    <row r="35072" s="9" customFormat="1" ht="21.95" customHeight="1" x14ac:dyDescent="0.15"/>
    <row r="35073" s="9" customFormat="1" ht="21.95" customHeight="1" x14ac:dyDescent="0.15"/>
    <row r="35074" s="9" customFormat="1" ht="21.95" customHeight="1" x14ac:dyDescent="0.15"/>
    <row r="35075" s="9" customFormat="1" ht="21.95" customHeight="1" x14ac:dyDescent="0.15"/>
    <row r="35076" s="9" customFormat="1" ht="21.95" customHeight="1" x14ac:dyDescent="0.15"/>
    <row r="35077" s="9" customFormat="1" ht="21.95" customHeight="1" x14ac:dyDescent="0.15"/>
    <row r="35078" s="9" customFormat="1" ht="35.1" customHeight="1" x14ac:dyDescent="0.15"/>
    <row r="35079" s="9" customFormat="1" ht="21.95" customHeight="1" x14ac:dyDescent="0.15"/>
    <row r="35080" s="9" customFormat="1" ht="21.95" customHeight="1" x14ac:dyDescent="0.15"/>
    <row r="35081" s="9" customFormat="1" ht="21.95" customHeight="1" x14ac:dyDescent="0.15"/>
    <row r="35082" s="9" customFormat="1" ht="21.95" customHeight="1" x14ac:dyDescent="0.15"/>
    <row r="35083" s="9" customFormat="1" ht="21.95" customHeight="1" x14ac:dyDescent="0.15"/>
    <row r="35084" s="9" customFormat="1" ht="21.95" customHeight="1" x14ac:dyDescent="0.15"/>
    <row r="35085" s="9" customFormat="1" ht="21.95" customHeight="1" x14ac:dyDescent="0.15"/>
    <row r="35086" s="9" customFormat="1" ht="21.95" customHeight="1" x14ac:dyDescent="0.15"/>
    <row r="35087" s="9" customFormat="1" ht="21.95" customHeight="1" x14ac:dyDescent="0.15"/>
    <row r="35088" s="9" customFormat="1" ht="21.95" customHeight="1" x14ac:dyDescent="0.15"/>
    <row r="35089" spans="3:3" s="9" customFormat="1" ht="21.95" customHeight="1" x14ac:dyDescent="0.15"/>
    <row r="35090" spans="3:3" s="9" customFormat="1" ht="21.95" customHeight="1" x14ac:dyDescent="0.15"/>
    <row r="35091" spans="3:3" s="9" customFormat="1" ht="21.95" customHeight="1" x14ac:dyDescent="0.15"/>
    <row r="35092" spans="3:3" s="9" customFormat="1" ht="21.95" customHeight="1" x14ac:dyDescent="0.15"/>
    <row r="35093" spans="3:3" s="9" customFormat="1" ht="21.95" customHeight="1" x14ac:dyDescent="0.15"/>
    <row r="35094" spans="3:3" s="9" customFormat="1" ht="21.95" customHeight="1" x14ac:dyDescent="0.15"/>
    <row r="35095" spans="3:3" s="9" customFormat="1" ht="21.95" customHeight="1" x14ac:dyDescent="0.15"/>
    <row r="35096" spans="3:3" s="9" customFormat="1" ht="21.95" customHeight="1" x14ac:dyDescent="0.15"/>
    <row r="35097" spans="3:3" s="9" customFormat="1" ht="21.95" customHeight="1" x14ac:dyDescent="0.15"/>
    <row r="35098" spans="3:3" s="9" customFormat="1" ht="21.95" customHeight="1" x14ac:dyDescent="0.15"/>
    <row r="35099" spans="3:3" s="9" customFormat="1" ht="21.95" customHeight="1" x14ac:dyDescent="0.15"/>
    <row r="35100" spans="3:3" s="9" customFormat="1" ht="21.95" customHeight="1" x14ac:dyDescent="0.15"/>
    <row r="35101" spans="3:3" s="9" customFormat="1" ht="21.95" customHeight="1" x14ac:dyDescent="0.15"/>
    <row r="35102" spans="3:3" s="8" customFormat="1" ht="21.95" customHeight="1" x14ac:dyDescent="0.15"/>
    <row r="35103" spans="3:3" s="8" customFormat="1" ht="21.95" customHeight="1" x14ac:dyDescent="0.15"/>
    <row r="35104" spans="3:3" s="8" customFormat="1" ht="21.95" customHeight="1" x14ac:dyDescent="0.15">
      <c r="C35104" s="101"/>
    </row>
    <row r="35105" spans="3:3" s="8" customFormat="1" ht="21.95" customHeight="1" x14ac:dyDescent="0.15">
      <c r="C35105" s="101"/>
    </row>
    <row r="35106" spans="3:3" s="8" customFormat="1" ht="21.95" customHeight="1" x14ac:dyDescent="0.15"/>
    <row r="35107" spans="3:3" s="8" customFormat="1" ht="21.95" customHeight="1" x14ac:dyDescent="0.15"/>
    <row r="35108" spans="3:3" s="8" customFormat="1" ht="21.95" customHeight="1" x14ac:dyDescent="0.15"/>
    <row r="35109" spans="3:3" s="8" customFormat="1" ht="21.95" customHeight="1" x14ac:dyDescent="0.15"/>
    <row r="35110" spans="3:3" s="8" customFormat="1" ht="21.95" customHeight="1" x14ac:dyDescent="0.15"/>
    <row r="35111" spans="3:3" s="8" customFormat="1" ht="21.95" customHeight="1" x14ac:dyDescent="0.15"/>
    <row r="35112" spans="3:3" s="8" customFormat="1" ht="21.95" customHeight="1" x14ac:dyDescent="0.15"/>
    <row r="35113" spans="3:3" s="9" customFormat="1" ht="21.95" customHeight="1" x14ac:dyDescent="0.15"/>
    <row r="35114" spans="3:3" s="9" customFormat="1" ht="21.95" customHeight="1" x14ac:dyDescent="0.15"/>
    <row r="35115" spans="3:3" s="9" customFormat="1" ht="21.95" customHeight="1" x14ac:dyDescent="0.15"/>
    <row r="35116" spans="3:3" s="9" customFormat="1" ht="21.95" customHeight="1" x14ac:dyDescent="0.15"/>
    <row r="35117" spans="3:3" s="8" customFormat="1" ht="21.95" customHeight="1" x14ac:dyDescent="0.15"/>
    <row r="35118" spans="3:3" s="8" customFormat="1" ht="21.95" customHeight="1" x14ac:dyDescent="0.15"/>
    <row r="35119" spans="3:3" s="8" customFormat="1" ht="21.95" customHeight="1" x14ac:dyDescent="0.15"/>
    <row r="35120" spans="3:3" s="8" customFormat="1" ht="21.95" customHeight="1" x14ac:dyDescent="0.15"/>
    <row r="35121" s="8" customFormat="1" ht="21.95" customHeight="1" x14ac:dyDescent="0.15"/>
    <row r="35122" s="8" customFormat="1" ht="21.95" customHeight="1" x14ac:dyDescent="0.15"/>
    <row r="35123" s="8" customFormat="1" ht="21.95" customHeight="1" x14ac:dyDescent="0.15"/>
    <row r="35124" s="8" customFormat="1" ht="21.95" customHeight="1" x14ac:dyDescent="0.15"/>
    <row r="35125" s="8" customFormat="1" ht="21.95" customHeight="1" x14ac:dyDescent="0.15"/>
    <row r="35126" s="8" customFormat="1" ht="21.95" customHeight="1" x14ac:dyDescent="0.15"/>
    <row r="35127" s="8" customFormat="1" ht="21.95" customHeight="1" x14ac:dyDescent="0.15"/>
    <row r="35128" s="8" customFormat="1" ht="32.1" customHeight="1" x14ac:dyDescent="0.15"/>
    <row r="35129" s="8" customFormat="1" ht="32.1" customHeight="1" x14ac:dyDescent="0.15"/>
    <row r="35130" s="8" customFormat="1" ht="32.1" customHeight="1" x14ac:dyDescent="0.15"/>
    <row r="35131" s="8" customFormat="1" ht="32.1" customHeight="1" x14ac:dyDescent="0.15"/>
    <row r="35132" s="8" customFormat="1" ht="32.1" customHeight="1" x14ac:dyDescent="0.15"/>
    <row r="35133" s="8" customFormat="1" ht="32.1" customHeight="1" x14ac:dyDescent="0.15"/>
    <row r="35134" s="9" customFormat="1" ht="32.1" customHeight="1" x14ac:dyDescent="0.15"/>
    <row r="35135" s="9" customFormat="1" ht="32.1" customHeight="1" x14ac:dyDescent="0.15"/>
    <row r="35136" s="9" customFormat="1" ht="32.1" customHeight="1" x14ac:dyDescent="0.15"/>
    <row r="35137" s="9" customFormat="1" ht="32.1" customHeight="1" x14ac:dyDescent="0.15"/>
    <row r="35138" s="9" customFormat="1" ht="21.95" customHeight="1" x14ac:dyDescent="0.15"/>
    <row r="35139" s="9" customFormat="1" ht="54" customHeight="1" x14ac:dyDescent="0.15"/>
    <row r="35140" s="9" customFormat="1" ht="21.95" customHeight="1" x14ac:dyDescent="0.15"/>
    <row r="35141" s="9" customFormat="1" ht="21.95" customHeight="1" x14ac:dyDescent="0.15"/>
    <row r="35142" s="9" customFormat="1" ht="21.95" customHeight="1" x14ac:dyDescent="0.15"/>
    <row r="35143" s="9" customFormat="1" ht="21.95" customHeight="1" x14ac:dyDescent="0.15"/>
    <row r="35144" s="9" customFormat="1" ht="21.95" customHeight="1" x14ac:dyDescent="0.15"/>
    <row r="35145" s="9" customFormat="1" ht="21.95" customHeight="1" x14ac:dyDescent="0.15"/>
    <row r="35146" s="9" customFormat="1" ht="21.95" customHeight="1" x14ac:dyDescent="0.15"/>
    <row r="35147" s="9" customFormat="1" ht="21.95" customHeight="1" x14ac:dyDescent="0.15"/>
    <row r="35148" s="9" customFormat="1" ht="21.95" customHeight="1" x14ac:dyDescent="0.15"/>
    <row r="35149" s="9" customFormat="1" ht="21.95" customHeight="1" x14ac:dyDescent="0.15"/>
    <row r="35150" s="9" customFormat="1" ht="21.95" customHeight="1" x14ac:dyDescent="0.15"/>
    <row r="35151" s="9" customFormat="1" ht="21.95" customHeight="1" x14ac:dyDescent="0.15"/>
    <row r="35152" s="9" customFormat="1" ht="21.95" customHeight="1" x14ac:dyDescent="0.15"/>
    <row r="35153" s="9" customFormat="1" ht="21.95" customHeight="1" x14ac:dyDescent="0.15"/>
    <row r="35154" s="9" customFormat="1" ht="21.95" customHeight="1" x14ac:dyDescent="0.15"/>
    <row r="35155" s="9" customFormat="1" ht="21.95" customHeight="1" x14ac:dyDescent="0.15"/>
    <row r="35156" s="9" customFormat="1" ht="21.95" customHeight="1" x14ac:dyDescent="0.15"/>
    <row r="35157" s="9" customFormat="1" ht="21.95" customHeight="1" x14ac:dyDescent="0.15"/>
    <row r="35158" s="9" customFormat="1" ht="21.95" customHeight="1" x14ac:dyDescent="0.15"/>
    <row r="35159" s="9" customFormat="1" ht="21.95" customHeight="1" x14ac:dyDescent="0.15"/>
    <row r="35160" s="9" customFormat="1" ht="21.95" customHeight="1" x14ac:dyDescent="0.15"/>
    <row r="35161" s="9" customFormat="1" ht="21.95" customHeight="1" x14ac:dyDescent="0.15"/>
    <row r="35162" s="9" customFormat="1" ht="21.95" customHeight="1" x14ac:dyDescent="0.15"/>
    <row r="35163" s="9" customFormat="1" ht="21.95" customHeight="1" x14ac:dyDescent="0.15"/>
    <row r="35164" s="9" customFormat="1" ht="21.95" customHeight="1" x14ac:dyDescent="0.15"/>
    <row r="35165" s="9" customFormat="1" ht="21.95" customHeight="1" x14ac:dyDescent="0.15"/>
    <row r="35166" s="9" customFormat="1" ht="21.95" customHeight="1" x14ac:dyDescent="0.15"/>
    <row r="35167" s="9" customFormat="1" ht="21.95" customHeight="1" x14ac:dyDescent="0.15"/>
    <row r="35168" s="9" customFormat="1" ht="21.95" customHeight="1" x14ac:dyDescent="0.15"/>
    <row r="35169" s="9" customFormat="1" ht="21.95" customHeight="1" x14ac:dyDescent="0.15"/>
    <row r="35170" s="9" customFormat="1" ht="21.95" customHeight="1" x14ac:dyDescent="0.15"/>
    <row r="35171" s="9" customFormat="1" ht="21.95" customHeight="1" x14ac:dyDescent="0.15"/>
    <row r="35172" s="9" customFormat="1" ht="21.95" customHeight="1" x14ac:dyDescent="0.15"/>
    <row r="35173" s="9" customFormat="1" ht="21.95" customHeight="1" x14ac:dyDescent="0.15"/>
    <row r="35174" s="9" customFormat="1" ht="21.95" customHeight="1" x14ac:dyDescent="0.15"/>
    <row r="35175" s="9" customFormat="1" ht="21.95" customHeight="1" x14ac:dyDescent="0.15"/>
    <row r="35176" s="9" customFormat="1" ht="21.95" customHeight="1" x14ac:dyDescent="0.15"/>
    <row r="35177" s="9" customFormat="1" ht="21.95" customHeight="1" x14ac:dyDescent="0.15"/>
    <row r="35178" s="9" customFormat="1" ht="21.95" customHeight="1" x14ac:dyDescent="0.15"/>
    <row r="35179" s="9" customFormat="1" ht="21.95" customHeight="1" x14ac:dyDescent="0.15"/>
    <row r="35180" s="9" customFormat="1" ht="21.95" customHeight="1" x14ac:dyDescent="0.15"/>
    <row r="35181" s="9" customFormat="1" ht="21.95" customHeight="1" x14ac:dyDescent="0.15"/>
    <row r="35182" s="9" customFormat="1" ht="21.95" customHeight="1" x14ac:dyDescent="0.15"/>
    <row r="35183" s="9" customFormat="1" ht="21.95" customHeight="1" x14ac:dyDescent="0.15"/>
    <row r="35184" s="9" customFormat="1" ht="21.95" customHeight="1" x14ac:dyDescent="0.15"/>
    <row r="35185" s="9" customFormat="1" ht="21.95" customHeight="1" x14ac:dyDescent="0.15"/>
    <row r="35186" s="9" customFormat="1" ht="21.95" customHeight="1" x14ac:dyDescent="0.15"/>
    <row r="35187" s="9" customFormat="1" ht="21.95" customHeight="1" x14ac:dyDescent="0.15"/>
    <row r="35188" s="9" customFormat="1" ht="21.95" customHeight="1" x14ac:dyDescent="0.15"/>
    <row r="35189" s="9" customFormat="1" ht="21.95" customHeight="1" x14ac:dyDescent="0.15"/>
    <row r="35190" s="9" customFormat="1" ht="35.1" customHeight="1" x14ac:dyDescent="0.15"/>
    <row r="35191" s="9" customFormat="1" ht="21.95" customHeight="1" x14ac:dyDescent="0.15"/>
    <row r="35192" s="9" customFormat="1" ht="21.95" customHeight="1" x14ac:dyDescent="0.15"/>
    <row r="35193" s="9" customFormat="1" ht="21.95" customHeight="1" x14ac:dyDescent="0.15"/>
    <row r="35194" s="9" customFormat="1" ht="21.95" customHeight="1" x14ac:dyDescent="0.15"/>
    <row r="35195" s="9" customFormat="1" ht="21.95" customHeight="1" x14ac:dyDescent="0.15"/>
    <row r="35196" s="9" customFormat="1" ht="21.95" customHeight="1" x14ac:dyDescent="0.15"/>
    <row r="35197" s="9" customFormat="1" ht="21.95" customHeight="1" x14ac:dyDescent="0.15"/>
    <row r="35198" s="9" customFormat="1" ht="21.95" customHeight="1" x14ac:dyDescent="0.15"/>
    <row r="35199" s="9" customFormat="1" ht="21.95" customHeight="1" x14ac:dyDescent="0.15"/>
    <row r="35200" s="9" customFormat="1" ht="21.95" customHeight="1" x14ac:dyDescent="0.15"/>
    <row r="35201" spans="3:3" s="9" customFormat="1" ht="21.95" customHeight="1" x14ac:dyDescent="0.15"/>
    <row r="35202" spans="3:3" s="9" customFormat="1" ht="21.95" customHeight="1" x14ac:dyDescent="0.15"/>
    <row r="35203" spans="3:3" s="9" customFormat="1" ht="21.95" customHeight="1" x14ac:dyDescent="0.15"/>
    <row r="35204" spans="3:3" s="9" customFormat="1" ht="21.95" customHeight="1" x14ac:dyDescent="0.15"/>
    <row r="35205" spans="3:3" s="9" customFormat="1" ht="21.95" customHeight="1" x14ac:dyDescent="0.15"/>
    <row r="35206" spans="3:3" s="9" customFormat="1" ht="21.95" customHeight="1" x14ac:dyDescent="0.15"/>
    <row r="35207" spans="3:3" s="9" customFormat="1" ht="21.95" customHeight="1" x14ac:dyDescent="0.15"/>
    <row r="35208" spans="3:3" s="9" customFormat="1" ht="21.95" customHeight="1" x14ac:dyDescent="0.15"/>
    <row r="35209" spans="3:3" s="9" customFormat="1" ht="21.95" customHeight="1" x14ac:dyDescent="0.15"/>
    <row r="35210" spans="3:3" s="9" customFormat="1" ht="21.95" customHeight="1" x14ac:dyDescent="0.15"/>
    <row r="35211" spans="3:3" s="9" customFormat="1" ht="21.95" customHeight="1" x14ac:dyDescent="0.15"/>
    <row r="35212" spans="3:3" s="9" customFormat="1" ht="21.95" customHeight="1" x14ac:dyDescent="0.15"/>
    <row r="35213" spans="3:3" s="9" customFormat="1" ht="21.95" customHeight="1" x14ac:dyDescent="0.15"/>
    <row r="35214" spans="3:3" s="8" customFormat="1" ht="21.95" customHeight="1" x14ac:dyDescent="0.15"/>
    <row r="35215" spans="3:3" s="8" customFormat="1" ht="21.95" customHeight="1" x14ac:dyDescent="0.15"/>
    <row r="35216" spans="3:3" s="8" customFormat="1" ht="21.95" customHeight="1" x14ac:dyDescent="0.15">
      <c r="C35216" s="101"/>
    </row>
    <row r="35217" spans="3:3" s="8" customFormat="1" ht="21.95" customHeight="1" x14ac:dyDescent="0.15">
      <c r="C35217" s="101"/>
    </row>
    <row r="35218" spans="3:3" s="8" customFormat="1" ht="21.95" customHeight="1" x14ac:dyDescent="0.15"/>
    <row r="35219" spans="3:3" s="8" customFormat="1" ht="21.95" customHeight="1" x14ac:dyDescent="0.15"/>
    <row r="35220" spans="3:3" s="8" customFormat="1" ht="21.95" customHeight="1" x14ac:dyDescent="0.15"/>
    <row r="35221" spans="3:3" s="8" customFormat="1" ht="21.95" customHeight="1" x14ac:dyDescent="0.15"/>
    <row r="35222" spans="3:3" s="8" customFormat="1" ht="21.95" customHeight="1" x14ac:dyDescent="0.15"/>
    <row r="35223" spans="3:3" s="8" customFormat="1" ht="21.95" customHeight="1" x14ac:dyDescent="0.15"/>
    <row r="35224" spans="3:3" s="8" customFormat="1" ht="21.95" customHeight="1" x14ac:dyDescent="0.15"/>
    <row r="35225" spans="3:3" s="9" customFormat="1" ht="21.95" customHeight="1" x14ac:dyDescent="0.15"/>
    <row r="35226" spans="3:3" s="9" customFormat="1" ht="21.95" customHeight="1" x14ac:dyDescent="0.15"/>
    <row r="35227" spans="3:3" s="9" customFormat="1" ht="21.95" customHeight="1" x14ac:dyDescent="0.15"/>
    <row r="35228" spans="3:3" s="9" customFormat="1" ht="21.95" customHeight="1" x14ac:dyDescent="0.15"/>
    <row r="35229" spans="3:3" s="8" customFormat="1" ht="21.95" customHeight="1" x14ac:dyDescent="0.15"/>
    <row r="35230" spans="3:3" s="8" customFormat="1" ht="21.95" customHeight="1" x14ac:dyDescent="0.15"/>
    <row r="35231" spans="3:3" s="8" customFormat="1" ht="21.95" customHeight="1" x14ac:dyDescent="0.15"/>
    <row r="35232" spans="3:3" s="8" customFormat="1" ht="21.95" customHeight="1" x14ac:dyDescent="0.15"/>
    <row r="35233" s="8" customFormat="1" ht="21.95" customHeight="1" x14ac:dyDescent="0.15"/>
    <row r="35234" s="8" customFormat="1" ht="21.95" customHeight="1" x14ac:dyDescent="0.15"/>
    <row r="35235" s="8" customFormat="1" ht="21.95" customHeight="1" x14ac:dyDescent="0.15"/>
    <row r="35236" s="8" customFormat="1" ht="21.95" customHeight="1" x14ac:dyDescent="0.15"/>
    <row r="35237" s="8" customFormat="1" ht="21.95" customHeight="1" x14ac:dyDescent="0.15"/>
    <row r="35238" s="8" customFormat="1" ht="21.95" customHeight="1" x14ac:dyDescent="0.15"/>
    <row r="35239" s="8" customFormat="1" ht="21.95" customHeight="1" x14ac:dyDescent="0.15"/>
    <row r="35240" s="8" customFormat="1" ht="32.1" customHeight="1" x14ac:dyDescent="0.15"/>
    <row r="35241" s="8" customFormat="1" ht="32.1" customHeight="1" x14ac:dyDescent="0.15"/>
    <row r="35242" s="8" customFormat="1" ht="32.1" customHeight="1" x14ac:dyDescent="0.15"/>
    <row r="35243" s="8" customFormat="1" ht="32.1" customHeight="1" x14ac:dyDescent="0.15"/>
    <row r="35244" s="8" customFormat="1" ht="32.1" customHeight="1" x14ac:dyDescent="0.15"/>
    <row r="35245" s="8" customFormat="1" ht="32.1" customHeight="1" x14ac:dyDescent="0.15"/>
    <row r="35246" s="9" customFormat="1" ht="32.1" customHeight="1" x14ac:dyDescent="0.15"/>
    <row r="35247" s="9" customFormat="1" ht="32.1" customHeight="1" x14ac:dyDescent="0.15"/>
    <row r="35248" s="9" customFormat="1" ht="32.1" customHeight="1" x14ac:dyDescent="0.15"/>
    <row r="35249" s="9" customFormat="1" ht="32.1" customHeight="1" x14ac:dyDescent="0.15"/>
    <row r="35250" s="9" customFormat="1" ht="21.95" customHeight="1" x14ac:dyDescent="0.15"/>
    <row r="35251" s="9" customFormat="1" ht="54" customHeight="1" x14ac:dyDescent="0.15"/>
    <row r="35252" s="9" customFormat="1" ht="21.95" customHeight="1" x14ac:dyDescent="0.15"/>
    <row r="35253" s="9" customFormat="1" ht="21.95" customHeight="1" x14ac:dyDescent="0.15"/>
    <row r="35254" s="9" customFormat="1" ht="21.95" customHeight="1" x14ac:dyDescent="0.15"/>
    <row r="35255" s="9" customFormat="1" ht="21.95" customHeight="1" x14ac:dyDescent="0.15"/>
    <row r="35256" s="9" customFormat="1" ht="21.95" customHeight="1" x14ac:dyDescent="0.15"/>
    <row r="35257" s="9" customFormat="1" ht="21.95" customHeight="1" x14ac:dyDescent="0.15"/>
    <row r="35258" s="9" customFormat="1" ht="21.95" customHeight="1" x14ac:dyDescent="0.15"/>
    <row r="35259" s="9" customFormat="1" ht="21.95" customHeight="1" x14ac:dyDescent="0.15"/>
    <row r="35260" s="9" customFormat="1" ht="21.95" customHeight="1" x14ac:dyDescent="0.15"/>
    <row r="35261" s="9" customFormat="1" ht="21.95" customHeight="1" x14ac:dyDescent="0.15"/>
    <row r="35262" s="9" customFormat="1" ht="21.95" customHeight="1" x14ac:dyDescent="0.15"/>
    <row r="35263" s="9" customFormat="1" ht="21.95" customHeight="1" x14ac:dyDescent="0.15"/>
    <row r="35264" s="9" customFormat="1" ht="21.95" customHeight="1" x14ac:dyDescent="0.15"/>
    <row r="35265" s="9" customFormat="1" ht="21.95" customHeight="1" x14ac:dyDescent="0.15"/>
    <row r="35266" s="9" customFormat="1" ht="21.95" customHeight="1" x14ac:dyDescent="0.15"/>
    <row r="35267" s="9" customFormat="1" ht="21.95" customHeight="1" x14ac:dyDescent="0.15"/>
    <row r="35268" s="9" customFormat="1" ht="21.95" customHeight="1" x14ac:dyDescent="0.15"/>
    <row r="35269" s="9" customFormat="1" ht="21.95" customHeight="1" x14ac:dyDescent="0.15"/>
    <row r="35270" s="9" customFormat="1" ht="21.95" customHeight="1" x14ac:dyDescent="0.15"/>
    <row r="35271" s="9" customFormat="1" ht="21.95" customHeight="1" x14ac:dyDescent="0.15"/>
    <row r="35272" s="9" customFormat="1" ht="21.95" customHeight="1" x14ac:dyDescent="0.15"/>
    <row r="35273" s="9" customFormat="1" ht="21.95" customHeight="1" x14ac:dyDescent="0.15"/>
    <row r="35274" s="9" customFormat="1" ht="21.95" customHeight="1" x14ac:dyDescent="0.15"/>
    <row r="35275" s="9" customFormat="1" ht="21.95" customHeight="1" x14ac:dyDescent="0.15"/>
    <row r="35276" s="9" customFormat="1" ht="21.95" customHeight="1" x14ac:dyDescent="0.15"/>
    <row r="35277" s="9" customFormat="1" ht="21.95" customHeight="1" x14ac:dyDescent="0.15"/>
    <row r="35278" s="9" customFormat="1" ht="21.95" customHeight="1" x14ac:dyDescent="0.15"/>
    <row r="35279" s="9" customFormat="1" ht="21.95" customHeight="1" x14ac:dyDescent="0.15"/>
    <row r="35280" s="9" customFormat="1" ht="21.95" customHeight="1" x14ac:dyDescent="0.15"/>
    <row r="35281" s="9" customFormat="1" ht="21.95" customHeight="1" x14ac:dyDescent="0.15"/>
    <row r="35282" s="9" customFormat="1" ht="21.95" customHeight="1" x14ac:dyDescent="0.15"/>
    <row r="35283" s="9" customFormat="1" ht="21.95" customHeight="1" x14ac:dyDescent="0.15"/>
    <row r="35284" s="9" customFormat="1" ht="21.95" customHeight="1" x14ac:dyDescent="0.15"/>
    <row r="35285" s="9" customFormat="1" ht="21.95" customHeight="1" x14ac:dyDescent="0.15"/>
    <row r="35286" s="9" customFormat="1" ht="21.95" customHeight="1" x14ac:dyDescent="0.15"/>
    <row r="35287" s="9" customFormat="1" ht="21.95" customHeight="1" x14ac:dyDescent="0.15"/>
    <row r="35288" s="9" customFormat="1" ht="21.95" customHeight="1" x14ac:dyDescent="0.15"/>
    <row r="35289" s="9" customFormat="1" ht="21.95" customHeight="1" x14ac:dyDescent="0.15"/>
    <row r="35290" s="9" customFormat="1" ht="21.95" customHeight="1" x14ac:dyDescent="0.15"/>
    <row r="35291" s="9" customFormat="1" ht="21.95" customHeight="1" x14ac:dyDescent="0.15"/>
    <row r="35292" s="9" customFormat="1" ht="21.95" customHeight="1" x14ac:dyDescent="0.15"/>
    <row r="35293" s="9" customFormat="1" ht="21.95" customHeight="1" x14ac:dyDescent="0.15"/>
    <row r="35294" s="9" customFormat="1" ht="21.95" customHeight="1" x14ac:dyDescent="0.15"/>
    <row r="35295" s="9" customFormat="1" ht="21.95" customHeight="1" x14ac:dyDescent="0.15"/>
    <row r="35296" s="9" customFormat="1" ht="21.95" customHeight="1" x14ac:dyDescent="0.15"/>
    <row r="35297" s="9" customFormat="1" ht="21.95" customHeight="1" x14ac:dyDescent="0.15"/>
    <row r="35298" s="9" customFormat="1" ht="21.95" customHeight="1" x14ac:dyDescent="0.15"/>
    <row r="35299" s="9" customFormat="1" ht="21.95" customHeight="1" x14ac:dyDescent="0.15"/>
    <row r="35300" s="9" customFormat="1" ht="21.95" customHeight="1" x14ac:dyDescent="0.15"/>
    <row r="35301" s="9" customFormat="1" ht="21.95" customHeight="1" x14ac:dyDescent="0.15"/>
    <row r="35302" s="9" customFormat="1" ht="35.1" customHeight="1" x14ac:dyDescent="0.15"/>
    <row r="35303" s="9" customFormat="1" ht="21.95" customHeight="1" x14ac:dyDescent="0.15"/>
    <row r="35304" s="9" customFormat="1" ht="21.95" customHeight="1" x14ac:dyDescent="0.15"/>
    <row r="35305" s="9" customFormat="1" ht="21.95" customHeight="1" x14ac:dyDescent="0.15"/>
    <row r="35306" s="9" customFormat="1" ht="21.95" customHeight="1" x14ac:dyDescent="0.15"/>
    <row r="35307" s="9" customFormat="1" ht="21.95" customHeight="1" x14ac:dyDescent="0.15"/>
    <row r="35308" s="9" customFormat="1" ht="21.95" customHeight="1" x14ac:dyDescent="0.15"/>
    <row r="35309" s="9" customFormat="1" ht="21.95" customHeight="1" x14ac:dyDescent="0.15"/>
    <row r="35310" s="9" customFormat="1" ht="21.95" customHeight="1" x14ac:dyDescent="0.15"/>
    <row r="35311" s="9" customFormat="1" ht="21.95" customHeight="1" x14ac:dyDescent="0.15"/>
    <row r="35312" s="9" customFormat="1" ht="21.95" customHeight="1" x14ac:dyDescent="0.15"/>
    <row r="35313" spans="3:3" s="9" customFormat="1" ht="21.95" customHeight="1" x14ac:dyDescent="0.15"/>
    <row r="35314" spans="3:3" s="9" customFormat="1" ht="21.95" customHeight="1" x14ac:dyDescent="0.15"/>
    <row r="35315" spans="3:3" s="9" customFormat="1" ht="21.95" customHeight="1" x14ac:dyDescent="0.15"/>
    <row r="35316" spans="3:3" s="9" customFormat="1" ht="21.95" customHeight="1" x14ac:dyDescent="0.15"/>
    <row r="35317" spans="3:3" s="9" customFormat="1" ht="21.95" customHeight="1" x14ac:dyDescent="0.15"/>
    <row r="35318" spans="3:3" s="9" customFormat="1" ht="21.95" customHeight="1" x14ac:dyDescent="0.15"/>
    <row r="35319" spans="3:3" s="9" customFormat="1" ht="21.95" customHeight="1" x14ac:dyDescent="0.15"/>
    <row r="35320" spans="3:3" s="9" customFormat="1" ht="21.95" customHeight="1" x14ac:dyDescent="0.15"/>
    <row r="35321" spans="3:3" s="9" customFormat="1" ht="21.95" customHeight="1" x14ac:dyDescent="0.15"/>
    <row r="35322" spans="3:3" s="9" customFormat="1" ht="21.95" customHeight="1" x14ac:dyDescent="0.15"/>
    <row r="35323" spans="3:3" s="9" customFormat="1" ht="21.95" customHeight="1" x14ac:dyDescent="0.15"/>
    <row r="35324" spans="3:3" s="9" customFormat="1" ht="21.95" customHeight="1" x14ac:dyDescent="0.15"/>
    <row r="35325" spans="3:3" s="9" customFormat="1" ht="21.95" customHeight="1" x14ac:dyDescent="0.15"/>
    <row r="35326" spans="3:3" s="8" customFormat="1" ht="21.95" customHeight="1" x14ac:dyDescent="0.15"/>
    <row r="35327" spans="3:3" s="8" customFormat="1" ht="21.95" customHeight="1" x14ac:dyDescent="0.15"/>
    <row r="35328" spans="3:3" s="8" customFormat="1" ht="21.95" customHeight="1" x14ac:dyDescent="0.15">
      <c r="C35328" s="101"/>
    </row>
    <row r="35329" spans="3:3" s="8" customFormat="1" ht="21.95" customHeight="1" x14ac:dyDescent="0.15">
      <c r="C35329" s="101"/>
    </row>
    <row r="35330" spans="3:3" s="8" customFormat="1" ht="21.95" customHeight="1" x14ac:dyDescent="0.15"/>
    <row r="35331" spans="3:3" s="8" customFormat="1" ht="21.95" customHeight="1" x14ac:dyDescent="0.15"/>
    <row r="35332" spans="3:3" s="8" customFormat="1" ht="21.95" customHeight="1" x14ac:dyDescent="0.15"/>
    <row r="35333" spans="3:3" s="8" customFormat="1" ht="21.95" customHeight="1" x14ac:dyDescent="0.15"/>
    <row r="35334" spans="3:3" s="8" customFormat="1" ht="21.95" customHeight="1" x14ac:dyDescent="0.15"/>
    <row r="35335" spans="3:3" s="8" customFormat="1" ht="21.95" customHeight="1" x14ac:dyDescent="0.15"/>
    <row r="35336" spans="3:3" s="8" customFormat="1" ht="21.95" customHeight="1" x14ac:dyDescent="0.15"/>
    <row r="35337" spans="3:3" s="9" customFormat="1" ht="21.95" customHeight="1" x14ac:dyDescent="0.15"/>
    <row r="35338" spans="3:3" s="9" customFormat="1" ht="21.95" customHeight="1" x14ac:dyDescent="0.15"/>
    <row r="35339" spans="3:3" s="9" customFormat="1" ht="21.95" customHeight="1" x14ac:dyDescent="0.15"/>
    <row r="35340" spans="3:3" s="9" customFormat="1" ht="21.95" customHeight="1" x14ac:dyDescent="0.15"/>
    <row r="35341" spans="3:3" s="8" customFormat="1" ht="21.95" customHeight="1" x14ac:dyDescent="0.15"/>
    <row r="35342" spans="3:3" s="8" customFormat="1" ht="21.95" customHeight="1" x14ac:dyDescent="0.15"/>
    <row r="35343" spans="3:3" s="8" customFormat="1" ht="21.95" customHeight="1" x14ac:dyDescent="0.15"/>
    <row r="35344" spans="3:3" s="8" customFormat="1" ht="21.95" customHeight="1" x14ac:dyDescent="0.15"/>
    <row r="35345" s="8" customFormat="1" ht="21.95" customHeight="1" x14ac:dyDescent="0.15"/>
    <row r="35346" s="8" customFormat="1" ht="21.95" customHeight="1" x14ac:dyDescent="0.15"/>
    <row r="35347" s="8" customFormat="1" ht="21.95" customHeight="1" x14ac:dyDescent="0.15"/>
    <row r="35348" s="8" customFormat="1" ht="21.95" customHeight="1" x14ac:dyDescent="0.15"/>
    <row r="35349" s="8" customFormat="1" ht="21.95" customHeight="1" x14ac:dyDescent="0.15"/>
    <row r="35350" s="8" customFormat="1" ht="21.95" customHeight="1" x14ac:dyDescent="0.15"/>
    <row r="35351" s="8" customFormat="1" ht="21.95" customHeight="1" x14ac:dyDescent="0.15"/>
    <row r="35352" s="8" customFormat="1" ht="32.1" customHeight="1" x14ac:dyDescent="0.15"/>
    <row r="35353" s="8" customFormat="1" ht="32.1" customHeight="1" x14ac:dyDescent="0.15"/>
    <row r="35354" s="8" customFormat="1" ht="32.1" customHeight="1" x14ac:dyDescent="0.15"/>
    <row r="35355" s="8" customFormat="1" ht="32.1" customHeight="1" x14ac:dyDescent="0.15"/>
    <row r="35356" s="8" customFormat="1" ht="32.1" customHeight="1" x14ac:dyDescent="0.15"/>
    <row r="35357" s="8" customFormat="1" ht="32.1" customHeight="1" x14ac:dyDescent="0.15"/>
    <row r="35358" s="9" customFormat="1" ht="32.1" customHeight="1" x14ac:dyDescent="0.15"/>
    <row r="35359" s="9" customFormat="1" ht="32.1" customHeight="1" x14ac:dyDescent="0.15"/>
    <row r="35360" s="9" customFormat="1" ht="32.1" customHeight="1" x14ac:dyDescent="0.15"/>
    <row r="35361" s="9" customFormat="1" ht="32.1" customHeight="1" x14ac:dyDescent="0.15"/>
    <row r="35362" s="9" customFormat="1" ht="21.95" customHeight="1" x14ac:dyDescent="0.15"/>
    <row r="35363" s="9" customFormat="1" ht="54" customHeight="1" x14ac:dyDescent="0.15"/>
    <row r="35364" s="9" customFormat="1" ht="21.95" customHeight="1" x14ac:dyDescent="0.15"/>
    <row r="35365" s="9" customFormat="1" ht="21.95" customHeight="1" x14ac:dyDescent="0.15"/>
    <row r="35366" s="9" customFormat="1" ht="21.95" customHeight="1" x14ac:dyDescent="0.15"/>
    <row r="35367" s="9" customFormat="1" ht="21.95" customHeight="1" x14ac:dyDescent="0.15"/>
    <row r="35368" s="9" customFormat="1" ht="21.95" customHeight="1" x14ac:dyDescent="0.15"/>
    <row r="35369" s="9" customFormat="1" ht="21.95" customHeight="1" x14ac:dyDescent="0.15"/>
    <row r="35370" s="9" customFormat="1" ht="21.95" customHeight="1" x14ac:dyDescent="0.15"/>
    <row r="35371" s="9" customFormat="1" ht="21.95" customHeight="1" x14ac:dyDescent="0.15"/>
    <row r="35372" s="9" customFormat="1" ht="21.95" customHeight="1" x14ac:dyDescent="0.15"/>
    <row r="35373" s="9" customFormat="1" ht="21.95" customHeight="1" x14ac:dyDescent="0.15"/>
    <row r="35374" s="9" customFormat="1" ht="21.95" customHeight="1" x14ac:dyDescent="0.15"/>
    <row r="35375" s="9" customFormat="1" ht="21.95" customHeight="1" x14ac:dyDescent="0.15"/>
    <row r="35376" s="9" customFormat="1" ht="21.95" customHeight="1" x14ac:dyDescent="0.15"/>
    <row r="35377" s="9" customFormat="1" ht="21.95" customHeight="1" x14ac:dyDescent="0.15"/>
    <row r="35378" s="9" customFormat="1" ht="21.95" customHeight="1" x14ac:dyDescent="0.15"/>
    <row r="35379" s="9" customFormat="1" ht="21.95" customHeight="1" x14ac:dyDescent="0.15"/>
    <row r="35380" s="9" customFormat="1" ht="21.95" customHeight="1" x14ac:dyDescent="0.15"/>
    <row r="35381" s="9" customFormat="1" ht="21.95" customHeight="1" x14ac:dyDescent="0.15"/>
    <row r="35382" s="9" customFormat="1" ht="21.95" customHeight="1" x14ac:dyDescent="0.15"/>
    <row r="35383" s="9" customFormat="1" ht="21.95" customHeight="1" x14ac:dyDescent="0.15"/>
    <row r="35384" s="9" customFormat="1" ht="21.95" customHeight="1" x14ac:dyDescent="0.15"/>
    <row r="35385" s="9" customFormat="1" ht="21.95" customHeight="1" x14ac:dyDescent="0.15"/>
    <row r="35386" s="9" customFormat="1" ht="21.95" customHeight="1" x14ac:dyDescent="0.15"/>
    <row r="35387" s="9" customFormat="1" ht="21.95" customHeight="1" x14ac:dyDescent="0.15"/>
    <row r="35388" s="9" customFormat="1" ht="21.95" customHeight="1" x14ac:dyDescent="0.15"/>
    <row r="35389" s="9" customFormat="1" ht="21.95" customHeight="1" x14ac:dyDescent="0.15"/>
    <row r="35390" s="9" customFormat="1" ht="21.95" customHeight="1" x14ac:dyDescent="0.15"/>
    <row r="35391" s="9" customFormat="1" ht="21.95" customHeight="1" x14ac:dyDescent="0.15"/>
    <row r="35392" s="9" customFormat="1" ht="21.95" customHeight="1" x14ac:dyDescent="0.15"/>
    <row r="35393" s="9" customFormat="1" ht="21.95" customHeight="1" x14ac:dyDescent="0.15"/>
    <row r="35394" s="9" customFormat="1" ht="21.95" customHeight="1" x14ac:dyDescent="0.15"/>
    <row r="35395" s="9" customFormat="1" ht="21.95" customHeight="1" x14ac:dyDescent="0.15"/>
    <row r="35396" s="9" customFormat="1" ht="21.95" customHeight="1" x14ac:dyDescent="0.15"/>
    <row r="35397" s="9" customFormat="1" ht="21.95" customHeight="1" x14ac:dyDescent="0.15"/>
    <row r="35398" s="9" customFormat="1" ht="21.95" customHeight="1" x14ac:dyDescent="0.15"/>
    <row r="35399" s="9" customFormat="1" ht="21.95" customHeight="1" x14ac:dyDescent="0.15"/>
    <row r="35400" s="9" customFormat="1" ht="21.95" customHeight="1" x14ac:dyDescent="0.15"/>
    <row r="35401" s="9" customFormat="1" ht="21.95" customHeight="1" x14ac:dyDescent="0.15"/>
    <row r="35402" s="9" customFormat="1" ht="21.95" customHeight="1" x14ac:dyDescent="0.15"/>
    <row r="35403" s="9" customFormat="1" ht="21.95" customHeight="1" x14ac:dyDescent="0.15"/>
    <row r="35404" s="9" customFormat="1" ht="21.95" customHeight="1" x14ac:dyDescent="0.15"/>
    <row r="35405" s="9" customFormat="1" ht="21.95" customHeight="1" x14ac:dyDescent="0.15"/>
    <row r="35406" s="9" customFormat="1" ht="21.95" customHeight="1" x14ac:dyDescent="0.15"/>
    <row r="35407" s="9" customFormat="1" ht="21.95" customHeight="1" x14ac:dyDescent="0.15"/>
    <row r="35408" s="9" customFormat="1" ht="21.95" customHeight="1" x14ac:dyDescent="0.15"/>
    <row r="35409" s="9" customFormat="1" ht="21.95" customHeight="1" x14ac:dyDescent="0.15"/>
    <row r="35410" s="9" customFormat="1" ht="21.95" customHeight="1" x14ac:dyDescent="0.15"/>
    <row r="35411" s="9" customFormat="1" ht="21.95" customHeight="1" x14ac:dyDescent="0.15"/>
    <row r="35412" s="9" customFormat="1" ht="21.95" customHeight="1" x14ac:dyDescent="0.15"/>
    <row r="35413" s="9" customFormat="1" ht="21.95" customHeight="1" x14ac:dyDescent="0.15"/>
    <row r="35414" s="9" customFormat="1" ht="35.1" customHeight="1" x14ac:dyDescent="0.15"/>
    <row r="35415" s="9" customFormat="1" ht="21.95" customHeight="1" x14ac:dyDescent="0.15"/>
    <row r="35416" s="9" customFormat="1" ht="21.95" customHeight="1" x14ac:dyDescent="0.15"/>
    <row r="35417" s="9" customFormat="1" ht="21.95" customHeight="1" x14ac:dyDescent="0.15"/>
    <row r="35418" s="9" customFormat="1" ht="21.95" customHeight="1" x14ac:dyDescent="0.15"/>
    <row r="35419" s="9" customFormat="1" ht="21.95" customHeight="1" x14ac:dyDescent="0.15"/>
    <row r="35420" s="9" customFormat="1" ht="21.95" customHeight="1" x14ac:dyDescent="0.15"/>
    <row r="35421" s="9" customFormat="1" ht="21.95" customHeight="1" x14ac:dyDescent="0.15"/>
    <row r="35422" s="9" customFormat="1" ht="21.95" customHeight="1" x14ac:dyDescent="0.15"/>
    <row r="35423" s="9" customFormat="1" ht="21.95" customHeight="1" x14ac:dyDescent="0.15"/>
    <row r="35424" s="9" customFormat="1" ht="21.95" customHeight="1" x14ac:dyDescent="0.15"/>
    <row r="35425" spans="3:3" s="9" customFormat="1" ht="21.95" customHeight="1" x14ac:dyDescent="0.15"/>
    <row r="35426" spans="3:3" s="9" customFormat="1" ht="21.95" customHeight="1" x14ac:dyDescent="0.15"/>
    <row r="35427" spans="3:3" s="9" customFormat="1" ht="21.95" customHeight="1" x14ac:dyDescent="0.15"/>
    <row r="35428" spans="3:3" s="9" customFormat="1" ht="21.95" customHeight="1" x14ac:dyDescent="0.15"/>
    <row r="35429" spans="3:3" s="9" customFormat="1" ht="21.95" customHeight="1" x14ac:dyDescent="0.15"/>
    <row r="35430" spans="3:3" s="9" customFormat="1" ht="21.95" customHeight="1" x14ac:dyDescent="0.15"/>
    <row r="35431" spans="3:3" s="9" customFormat="1" ht="21.95" customHeight="1" x14ac:dyDescent="0.15"/>
    <row r="35432" spans="3:3" s="9" customFormat="1" ht="21.95" customHeight="1" x14ac:dyDescent="0.15"/>
    <row r="35433" spans="3:3" s="9" customFormat="1" ht="21.95" customHeight="1" x14ac:dyDescent="0.15"/>
    <row r="35434" spans="3:3" s="9" customFormat="1" ht="21.95" customHeight="1" x14ac:dyDescent="0.15"/>
    <row r="35435" spans="3:3" s="9" customFormat="1" ht="21.95" customHeight="1" x14ac:dyDescent="0.15"/>
    <row r="35436" spans="3:3" s="9" customFormat="1" ht="21.95" customHeight="1" x14ac:dyDescent="0.15"/>
    <row r="35437" spans="3:3" s="9" customFormat="1" ht="21.95" customHeight="1" x14ac:dyDescent="0.15"/>
    <row r="35438" spans="3:3" s="8" customFormat="1" ht="21.95" customHeight="1" x14ac:dyDescent="0.15"/>
    <row r="35439" spans="3:3" s="8" customFormat="1" ht="21.95" customHeight="1" x14ac:dyDescent="0.15"/>
    <row r="35440" spans="3:3" s="8" customFormat="1" ht="21.95" customHeight="1" x14ac:dyDescent="0.15">
      <c r="C35440" s="101"/>
    </row>
    <row r="35441" spans="3:3" s="8" customFormat="1" ht="21.95" customHeight="1" x14ac:dyDescent="0.15">
      <c r="C35441" s="101"/>
    </row>
    <row r="35442" spans="3:3" s="8" customFormat="1" ht="21.95" customHeight="1" x14ac:dyDescent="0.15"/>
    <row r="35443" spans="3:3" s="8" customFormat="1" ht="21.95" customHeight="1" x14ac:dyDescent="0.15"/>
    <row r="35444" spans="3:3" s="8" customFormat="1" ht="21.95" customHeight="1" x14ac:dyDescent="0.15"/>
    <row r="35445" spans="3:3" s="8" customFormat="1" ht="21.95" customHeight="1" x14ac:dyDescent="0.15"/>
    <row r="35446" spans="3:3" s="8" customFormat="1" ht="21.95" customHeight="1" x14ac:dyDescent="0.15"/>
    <row r="35447" spans="3:3" s="8" customFormat="1" ht="21.95" customHeight="1" x14ac:dyDescent="0.15"/>
    <row r="35448" spans="3:3" s="8" customFormat="1" ht="21.95" customHeight="1" x14ac:dyDescent="0.15"/>
    <row r="35449" spans="3:3" s="9" customFormat="1" ht="21.95" customHeight="1" x14ac:dyDescent="0.15"/>
    <row r="35450" spans="3:3" s="9" customFormat="1" ht="21.95" customHeight="1" x14ac:dyDescent="0.15"/>
    <row r="35451" spans="3:3" s="9" customFormat="1" ht="21.95" customHeight="1" x14ac:dyDescent="0.15"/>
    <row r="35452" spans="3:3" s="9" customFormat="1" ht="21.95" customHeight="1" x14ac:dyDescent="0.15"/>
    <row r="35453" spans="3:3" s="8" customFormat="1" ht="21.95" customHeight="1" x14ac:dyDescent="0.15"/>
    <row r="35454" spans="3:3" s="8" customFormat="1" ht="21.95" customHeight="1" x14ac:dyDescent="0.15"/>
    <row r="35455" spans="3:3" s="8" customFormat="1" ht="21.95" customHeight="1" x14ac:dyDescent="0.15"/>
    <row r="35456" spans="3:3" s="8" customFormat="1" ht="21.95" customHeight="1" x14ac:dyDescent="0.15"/>
    <row r="35457" s="8" customFormat="1" ht="21.95" customHeight="1" x14ac:dyDescent="0.15"/>
    <row r="35458" s="8" customFormat="1" ht="21.95" customHeight="1" x14ac:dyDescent="0.15"/>
    <row r="35459" s="8" customFormat="1" ht="21.95" customHeight="1" x14ac:dyDescent="0.15"/>
    <row r="35460" s="8" customFormat="1" ht="21.95" customHeight="1" x14ac:dyDescent="0.15"/>
    <row r="35461" s="8" customFormat="1" ht="21.95" customHeight="1" x14ac:dyDescent="0.15"/>
    <row r="35462" s="8" customFormat="1" ht="21.95" customHeight="1" x14ac:dyDescent="0.15"/>
    <row r="35463" s="8" customFormat="1" ht="21.95" customHeight="1" x14ac:dyDescent="0.15"/>
    <row r="35464" s="8" customFormat="1" ht="32.1" customHeight="1" x14ac:dyDescent="0.15"/>
    <row r="35465" s="8" customFormat="1" ht="32.1" customHeight="1" x14ac:dyDescent="0.15"/>
    <row r="35466" s="8" customFormat="1" ht="32.1" customHeight="1" x14ac:dyDescent="0.15"/>
    <row r="35467" s="8" customFormat="1" ht="32.1" customHeight="1" x14ac:dyDescent="0.15"/>
    <row r="35468" s="8" customFormat="1" ht="32.1" customHeight="1" x14ac:dyDescent="0.15"/>
    <row r="35469" s="8" customFormat="1" ht="32.1" customHeight="1" x14ac:dyDescent="0.15"/>
    <row r="35470" s="9" customFormat="1" ht="32.1" customHeight="1" x14ac:dyDescent="0.15"/>
    <row r="35471" s="9" customFormat="1" ht="32.1" customHeight="1" x14ac:dyDescent="0.15"/>
    <row r="35472" s="9" customFormat="1" ht="32.1" customHeight="1" x14ac:dyDescent="0.15"/>
    <row r="35473" s="9" customFormat="1" ht="32.1" customHeight="1" x14ac:dyDescent="0.15"/>
    <row r="35474" s="9" customFormat="1" ht="21.95" customHeight="1" x14ac:dyDescent="0.15"/>
    <row r="35475" s="9" customFormat="1" ht="54" customHeight="1" x14ac:dyDescent="0.15"/>
    <row r="35476" s="9" customFormat="1" ht="21.95" customHeight="1" x14ac:dyDescent="0.15"/>
    <row r="35477" s="9" customFormat="1" ht="21.95" customHeight="1" x14ac:dyDescent="0.15"/>
    <row r="35478" s="9" customFormat="1" ht="21.95" customHeight="1" x14ac:dyDescent="0.15"/>
    <row r="35479" s="9" customFormat="1" ht="21.95" customHeight="1" x14ac:dyDescent="0.15"/>
    <row r="35480" s="9" customFormat="1" ht="21.95" customHeight="1" x14ac:dyDescent="0.15"/>
    <row r="35481" s="9" customFormat="1" ht="21.95" customHeight="1" x14ac:dyDescent="0.15"/>
    <row r="35482" s="9" customFormat="1" ht="21.95" customHeight="1" x14ac:dyDescent="0.15"/>
    <row r="35483" s="9" customFormat="1" ht="21.95" customHeight="1" x14ac:dyDescent="0.15"/>
    <row r="35484" s="9" customFormat="1" ht="21.95" customHeight="1" x14ac:dyDescent="0.15"/>
    <row r="35485" s="9" customFormat="1" ht="21.95" customHeight="1" x14ac:dyDescent="0.15"/>
    <row r="35486" s="9" customFormat="1" ht="21.95" customHeight="1" x14ac:dyDescent="0.15"/>
    <row r="35487" s="9" customFormat="1" ht="21.95" customHeight="1" x14ac:dyDescent="0.15"/>
    <row r="35488" s="9" customFormat="1" ht="21.95" customHeight="1" x14ac:dyDescent="0.15"/>
    <row r="35489" s="9" customFormat="1" ht="21.95" customHeight="1" x14ac:dyDescent="0.15"/>
    <row r="35490" s="9" customFormat="1" ht="21.95" customHeight="1" x14ac:dyDescent="0.15"/>
    <row r="35491" s="9" customFormat="1" ht="21.95" customHeight="1" x14ac:dyDescent="0.15"/>
    <row r="35492" s="9" customFormat="1" ht="21.95" customHeight="1" x14ac:dyDescent="0.15"/>
    <row r="35493" s="9" customFormat="1" ht="21.95" customHeight="1" x14ac:dyDescent="0.15"/>
    <row r="35494" s="9" customFormat="1" ht="21.95" customHeight="1" x14ac:dyDescent="0.15"/>
    <row r="35495" s="9" customFormat="1" ht="21.95" customHeight="1" x14ac:dyDescent="0.15"/>
    <row r="35496" s="9" customFormat="1" ht="21.95" customHeight="1" x14ac:dyDescent="0.15"/>
    <row r="35497" s="9" customFormat="1" ht="21.95" customHeight="1" x14ac:dyDescent="0.15"/>
    <row r="35498" s="9" customFormat="1" ht="21.95" customHeight="1" x14ac:dyDescent="0.15"/>
    <row r="35499" s="9" customFormat="1" ht="21.95" customHeight="1" x14ac:dyDescent="0.15"/>
    <row r="35500" s="9" customFormat="1" ht="21.95" customHeight="1" x14ac:dyDescent="0.15"/>
    <row r="35501" s="9" customFormat="1" ht="21.95" customHeight="1" x14ac:dyDescent="0.15"/>
    <row r="35502" s="9" customFormat="1" ht="21.95" customHeight="1" x14ac:dyDescent="0.15"/>
    <row r="35503" s="9" customFormat="1" ht="21.95" customHeight="1" x14ac:dyDescent="0.15"/>
    <row r="35504" s="9" customFormat="1" ht="21.95" customHeight="1" x14ac:dyDescent="0.15"/>
    <row r="35505" s="9" customFormat="1" ht="21.95" customHeight="1" x14ac:dyDescent="0.15"/>
    <row r="35506" s="9" customFormat="1" ht="21.95" customHeight="1" x14ac:dyDescent="0.15"/>
    <row r="35507" s="9" customFormat="1" ht="21.95" customHeight="1" x14ac:dyDescent="0.15"/>
    <row r="35508" s="9" customFormat="1" ht="21.95" customHeight="1" x14ac:dyDescent="0.15"/>
    <row r="35509" s="9" customFormat="1" ht="21.95" customHeight="1" x14ac:dyDescent="0.15"/>
    <row r="35510" s="9" customFormat="1" ht="21.95" customHeight="1" x14ac:dyDescent="0.15"/>
    <row r="35511" s="9" customFormat="1" ht="21.95" customHeight="1" x14ac:dyDescent="0.15"/>
    <row r="35512" s="9" customFormat="1" ht="21.95" customHeight="1" x14ac:dyDescent="0.15"/>
    <row r="35513" s="9" customFormat="1" ht="21.95" customHeight="1" x14ac:dyDescent="0.15"/>
    <row r="35514" s="9" customFormat="1" ht="21.95" customHeight="1" x14ac:dyDescent="0.15"/>
    <row r="35515" s="9" customFormat="1" ht="21.95" customHeight="1" x14ac:dyDescent="0.15"/>
    <row r="35516" s="9" customFormat="1" ht="21.95" customHeight="1" x14ac:dyDescent="0.15"/>
    <row r="35517" s="9" customFormat="1" ht="21.95" customHeight="1" x14ac:dyDescent="0.15"/>
    <row r="35518" s="9" customFormat="1" ht="21.95" customHeight="1" x14ac:dyDescent="0.15"/>
    <row r="35519" s="9" customFormat="1" ht="21.95" customHeight="1" x14ac:dyDescent="0.15"/>
    <row r="35520" s="9" customFormat="1" ht="21.95" customHeight="1" x14ac:dyDescent="0.15"/>
    <row r="35521" s="9" customFormat="1" ht="21.95" customHeight="1" x14ac:dyDescent="0.15"/>
    <row r="35522" s="9" customFormat="1" ht="21.95" customHeight="1" x14ac:dyDescent="0.15"/>
    <row r="35523" s="9" customFormat="1" ht="21.95" customHeight="1" x14ac:dyDescent="0.15"/>
    <row r="35524" s="9" customFormat="1" ht="21.95" customHeight="1" x14ac:dyDescent="0.15"/>
    <row r="35525" s="9" customFormat="1" ht="21.95" customHeight="1" x14ac:dyDescent="0.15"/>
    <row r="35526" s="9" customFormat="1" ht="35.1" customHeight="1" x14ac:dyDescent="0.15"/>
    <row r="35527" s="9" customFormat="1" ht="21.95" customHeight="1" x14ac:dyDescent="0.15"/>
    <row r="35528" s="9" customFormat="1" ht="21.95" customHeight="1" x14ac:dyDescent="0.15"/>
    <row r="35529" s="9" customFormat="1" ht="21.95" customHeight="1" x14ac:dyDescent="0.15"/>
    <row r="35530" s="9" customFormat="1" ht="21.95" customHeight="1" x14ac:dyDescent="0.15"/>
    <row r="35531" s="9" customFormat="1" ht="21.95" customHeight="1" x14ac:dyDescent="0.15"/>
    <row r="35532" s="9" customFormat="1" ht="21.95" customHeight="1" x14ac:dyDescent="0.15"/>
    <row r="35533" s="9" customFormat="1" ht="21.95" customHeight="1" x14ac:dyDescent="0.15"/>
    <row r="35534" s="9" customFormat="1" ht="21.95" customHeight="1" x14ac:dyDescent="0.15"/>
    <row r="35535" s="9" customFormat="1" ht="21.95" customHeight="1" x14ac:dyDescent="0.15"/>
    <row r="35536" s="9" customFormat="1" ht="21.95" customHeight="1" x14ac:dyDescent="0.15"/>
    <row r="35537" spans="3:3" s="9" customFormat="1" ht="21.95" customHeight="1" x14ac:dyDescent="0.15"/>
    <row r="35538" spans="3:3" s="9" customFormat="1" ht="21.95" customHeight="1" x14ac:dyDescent="0.15"/>
    <row r="35539" spans="3:3" s="9" customFormat="1" ht="21.95" customHeight="1" x14ac:dyDescent="0.15"/>
    <row r="35540" spans="3:3" s="9" customFormat="1" ht="21.95" customHeight="1" x14ac:dyDescent="0.15"/>
    <row r="35541" spans="3:3" s="9" customFormat="1" ht="21.95" customHeight="1" x14ac:dyDescent="0.15"/>
    <row r="35542" spans="3:3" s="9" customFormat="1" ht="21.95" customHeight="1" x14ac:dyDescent="0.15"/>
    <row r="35543" spans="3:3" s="9" customFormat="1" ht="21.95" customHeight="1" x14ac:dyDescent="0.15"/>
    <row r="35544" spans="3:3" s="9" customFormat="1" ht="21.95" customHeight="1" x14ac:dyDescent="0.15"/>
    <row r="35545" spans="3:3" s="9" customFormat="1" ht="21.95" customHeight="1" x14ac:dyDescent="0.15"/>
    <row r="35546" spans="3:3" s="9" customFormat="1" ht="21.95" customHeight="1" x14ac:dyDescent="0.15"/>
    <row r="35547" spans="3:3" s="9" customFormat="1" ht="21.95" customHeight="1" x14ac:dyDescent="0.15"/>
    <row r="35548" spans="3:3" s="9" customFormat="1" ht="21.95" customHeight="1" x14ac:dyDescent="0.15"/>
    <row r="35549" spans="3:3" s="9" customFormat="1" ht="21.95" customHeight="1" x14ac:dyDescent="0.15"/>
    <row r="35550" spans="3:3" s="8" customFormat="1" ht="21.95" customHeight="1" x14ac:dyDescent="0.15"/>
    <row r="35551" spans="3:3" s="8" customFormat="1" ht="21.95" customHeight="1" x14ac:dyDescent="0.15"/>
    <row r="35552" spans="3:3" s="8" customFormat="1" ht="21.95" customHeight="1" x14ac:dyDescent="0.15">
      <c r="C35552" s="101"/>
    </row>
    <row r="35553" spans="3:3" s="8" customFormat="1" ht="21.95" customHeight="1" x14ac:dyDescent="0.15">
      <c r="C35553" s="101"/>
    </row>
    <row r="35554" spans="3:3" s="8" customFormat="1" ht="21.95" customHeight="1" x14ac:dyDescent="0.15"/>
    <row r="35555" spans="3:3" s="8" customFormat="1" ht="21.95" customHeight="1" x14ac:dyDescent="0.15"/>
    <row r="35556" spans="3:3" s="8" customFormat="1" ht="21.95" customHeight="1" x14ac:dyDescent="0.15"/>
    <row r="35557" spans="3:3" s="8" customFormat="1" ht="21.95" customHeight="1" x14ac:dyDescent="0.15"/>
    <row r="35558" spans="3:3" s="8" customFormat="1" ht="21.95" customHeight="1" x14ac:dyDescent="0.15"/>
    <row r="35559" spans="3:3" s="8" customFormat="1" ht="21.95" customHeight="1" x14ac:dyDescent="0.15"/>
    <row r="35560" spans="3:3" s="8" customFormat="1" ht="21.95" customHeight="1" x14ac:dyDescent="0.15"/>
    <row r="35561" spans="3:3" s="9" customFormat="1" ht="21.95" customHeight="1" x14ac:dyDescent="0.15"/>
    <row r="35562" spans="3:3" s="9" customFormat="1" ht="21.95" customHeight="1" x14ac:dyDescent="0.15"/>
    <row r="35563" spans="3:3" s="9" customFormat="1" ht="21.95" customHeight="1" x14ac:dyDescent="0.15"/>
    <row r="35564" spans="3:3" s="9" customFormat="1" ht="21.95" customHeight="1" x14ac:dyDescent="0.15"/>
    <row r="35565" spans="3:3" s="8" customFormat="1" ht="21.95" customHeight="1" x14ac:dyDescent="0.15"/>
    <row r="35566" spans="3:3" s="8" customFormat="1" ht="21.95" customHeight="1" x14ac:dyDescent="0.15"/>
    <row r="35567" spans="3:3" s="8" customFormat="1" ht="21.95" customHeight="1" x14ac:dyDescent="0.15"/>
    <row r="35568" spans="3:3" s="8" customFormat="1" ht="21.95" customHeight="1" x14ac:dyDescent="0.15"/>
    <row r="35569" s="8" customFormat="1" ht="21.95" customHeight="1" x14ac:dyDescent="0.15"/>
    <row r="35570" s="8" customFormat="1" ht="21.95" customHeight="1" x14ac:dyDescent="0.15"/>
    <row r="35571" s="8" customFormat="1" ht="21.95" customHeight="1" x14ac:dyDescent="0.15"/>
    <row r="35572" s="8" customFormat="1" ht="21.95" customHeight="1" x14ac:dyDescent="0.15"/>
    <row r="35573" s="8" customFormat="1" ht="21.95" customHeight="1" x14ac:dyDescent="0.15"/>
    <row r="35574" s="8" customFormat="1" ht="21.95" customHeight="1" x14ac:dyDescent="0.15"/>
    <row r="35575" s="8" customFormat="1" ht="21.95" customHeight="1" x14ac:dyDescent="0.15"/>
    <row r="35576" s="8" customFormat="1" ht="32.1" customHeight="1" x14ac:dyDescent="0.15"/>
    <row r="35577" s="8" customFormat="1" ht="32.1" customHeight="1" x14ac:dyDescent="0.15"/>
    <row r="35578" s="8" customFormat="1" ht="32.1" customHeight="1" x14ac:dyDescent="0.15"/>
    <row r="35579" s="8" customFormat="1" ht="32.1" customHeight="1" x14ac:dyDescent="0.15"/>
    <row r="35580" s="8" customFormat="1" ht="32.1" customHeight="1" x14ac:dyDescent="0.15"/>
    <row r="35581" s="8" customFormat="1" ht="32.1" customHeight="1" x14ac:dyDescent="0.15"/>
    <row r="35582" s="9" customFormat="1" ht="32.1" customHeight="1" x14ac:dyDescent="0.15"/>
    <row r="35583" s="9" customFormat="1" ht="32.1" customHeight="1" x14ac:dyDescent="0.15"/>
    <row r="35584" s="9" customFormat="1" ht="32.1" customHeight="1" x14ac:dyDescent="0.15"/>
    <row r="35585" s="9" customFormat="1" ht="32.1" customHeight="1" x14ac:dyDescent="0.15"/>
    <row r="35586" s="9" customFormat="1" ht="21.95" customHeight="1" x14ac:dyDescent="0.15"/>
    <row r="35587" s="9" customFormat="1" ht="54" customHeight="1" x14ac:dyDescent="0.15"/>
    <row r="35588" s="9" customFormat="1" ht="21.95" customHeight="1" x14ac:dyDescent="0.15"/>
    <row r="35589" s="9" customFormat="1" ht="21.95" customHeight="1" x14ac:dyDescent="0.15"/>
    <row r="35590" s="9" customFormat="1" ht="21.95" customHeight="1" x14ac:dyDescent="0.15"/>
    <row r="35591" s="9" customFormat="1" ht="21.95" customHeight="1" x14ac:dyDescent="0.15"/>
    <row r="35592" s="9" customFormat="1" ht="21.95" customHeight="1" x14ac:dyDescent="0.15"/>
    <row r="35593" s="9" customFormat="1" ht="21.95" customHeight="1" x14ac:dyDescent="0.15"/>
    <row r="35594" s="9" customFormat="1" ht="21.95" customHeight="1" x14ac:dyDescent="0.15"/>
    <row r="35595" s="9" customFormat="1" ht="21.95" customHeight="1" x14ac:dyDescent="0.15"/>
    <row r="35596" s="9" customFormat="1" ht="21.95" customHeight="1" x14ac:dyDescent="0.15"/>
    <row r="35597" s="9" customFormat="1" ht="21.95" customHeight="1" x14ac:dyDescent="0.15"/>
    <row r="35598" s="9" customFormat="1" ht="21.95" customHeight="1" x14ac:dyDescent="0.15"/>
    <row r="35599" s="9" customFormat="1" ht="21.95" customHeight="1" x14ac:dyDescent="0.15"/>
    <row r="35600" s="9" customFormat="1" ht="21.95" customHeight="1" x14ac:dyDescent="0.15"/>
    <row r="35601" s="9" customFormat="1" ht="21.95" customHeight="1" x14ac:dyDescent="0.15"/>
    <row r="35602" s="9" customFormat="1" ht="21.95" customHeight="1" x14ac:dyDescent="0.15"/>
    <row r="35603" s="9" customFormat="1" ht="21.95" customHeight="1" x14ac:dyDescent="0.15"/>
    <row r="35604" s="9" customFormat="1" ht="21.95" customHeight="1" x14ac:dyDescent="0.15"/>
    <row r="35605" s="9" customFormat="1" ht="21.95" customHeight="1" x14ac:dyDescent="0.15"/>
    <row r="35606" s="9" customFormat="1" ht="21.95" customHeight="1" x14ac:dyDescent="0.15"/>
    <row r="35607" s="9" customFormat="1" ht="21.95" customHeight="1" x14ac:dyDescent="0.15"/>
    <row r="35608" s="9" customFormat="1" ht="21.95" customHeight="1" x14ac:dyDescent="0.15"/>
    <row r="35609" s="9" customFormat="1" ht="21.95" customHeight="1" x14ac:dyDescent="0.15"/>
    <row r="35610" s="9" customFormat="1" ht="21.95" customHeight="1" x14ac:dyDescent="0.15"/>
    <row r="35611" s="9" customFormat="1" ht="21.95" customHeight="1" x14ac:dyDescent="0.15"/>
    <row r="35612" s="9" customFormat="1" ht="21.95" customHeight="1" x14ac:dyDescent="0.15"/>
    <row r="35613" s="9" customFormat="1" ht="21.95" customHeight="1" x14ac:dyDescent="0.15"/>
    <row r="35614" s="9" customFormat="1" ht="21.95" customHeight="1" x14ac:dyDescent="0.15"/>
    <row r="35615" s="9" customFormat="1" ht="21.95" customHeight="1" x14ac:dyDescent="0.15"/>
    <row r="35616" s="9" customFormat="1" ht="21.95" customHeight="1" x14ac:dyDescent="0.15"/>
    <row r="35617" s="9" customFormat="1" ht="21.95" customHeight="1" x14ac:dyDescent="0.15"/>
    <row r="35618" s="9" customFormat="1" ht="21.95" customHeight="1" x14ac:dyDescent="0.15"/>
    <row r="35619" s="9" customFormat="1" ht="21.95" customHeight="1" x14ac:dyDescent="0.15"/>
    <row r="35620" s="9" customFormat="1" ht="21.95" customHeight="1" x14ac:dyDescent="0.15"/>
    <row r="35621" s="9" customFormat="1" ht="21.95" customHeight="1" x14ac:dyDescent="0.15"/>
    <row r="35622" s="9" customFormat="1" ht="21.95" customHeight="1" x14ac:dyDescent="0.15"/>
    <row r="35623" s="9" customFormat="1" ht="21.95" customHeight="1" x14ac:dyDescent="0.15"/>
    <row r="35624" s="9" customFormat="1" ht="21.95" customHeight="1" x14ac:dyDescent="0.15"/>
    <row r="35625" s="9" customFormat="1" ht="21.95" customHeight="1" x14ac:dyDescent="0.15"/>
    <row r="35626" s="9" customFormat="1" ht="21.95" customHeight="1" x14ac:dyDescent="0.15"/>
    <row r="35627" s="9" customFormat="1" ht="21.95" customHeight="1" x14ac:dyDescent="0.15"/>
    <row r="35628" s="9" customFormat="1" ht="21.95" customHeight="1" x14ac:dyDescent="0.15"/>
    <row r="35629" s="9" customFormat="1" ht="21.95" customHeight="1" x14ac:dyDescent="0.15"/>
    <row r="35630" s="9" customFormat="1" ht="21.95" customHeight="1" x14ac:dyDescent="0.15"/>
    <row r="35631" s="9" customFormat="1" ht="21.95" customHeight="1" x14ac:dyDescent="0.15"/>
    <row r="35632" s="9" customFormat="1" ht="21.95" customHeight="1" x14ac:dyDescent="0.15"/>
    <row r="35633" s="9" customFormat="1" ht="21.95" customHeight="1" x14ac:dyDescent="0.15"/>
    <row r="35634" s="9" customFormat="1" ht="21.95" customHeight="1" x14ac:dyDescent="0.15"/>
    <row r="35635" s="9" customFormat="1" ht="21.95" customHeight="1" x14ac:dyDescent="0.15"/>
    <row r="35636" s="9" customFormat="1" ht="21.95" customHeight="1" x14ac:dyDescent="0.15"/>
    <row r="35637" s="9" customFormat="1" ht="21.95" customHeight="1" x14ac:dyDescent="0.15"/>
    <row r="35638" s="9" customFormat="1" ht="35.1" customHeight="1" x14ac:dyDescent="0.15"/>
    <row r="35639" s="9" customFormat="1" ht="21.95" customHeight="1" x14ac:dyDescent="0.15"/>
    <row r="35640" s="9" customFormat="1" ht="21.95" customHeight="1" x14ac:dyDescent="0.15"/>
    <row r="35641" s="9" customFormat="1" ht="21.95" customHeight="1" x14ac:dyDescent="0.15"/>
    <row r="35642" s="9" customFormat="1" ht="21.95" customHeight="1" x14ac:dyDescent="0.15"/>
    <row r="35643" s="9" customFormat="1" ht="21.95" customHeight="1" x14ac:dyDescent="0.15"/>
    <row r="35644" s="9" customFormat="1" ht="21.95" customHeight="1" x14ac:dyDescent="0.15"/>
    <row r="35645" s="9" customFormat="1" ht="21.95" customHeight="1" x14ac:dyDescent="0.15"/>
    <row r="35646" s="9" customFormat="1" ht="21.95" customHeight="1" x14ac:dyDescent="0.15"/>
    <row r="35647" s="9" customFormat="1" ht="21.95" customHeight="1" x14ac:dyDescent="0.15"/>
    <row r="35648" s="9" customFormat="1" ht="21.95" customHeight="1" x14ac:dyDescent="0.15"/>
    <row r="35649" spans="3:3" s="9" customFormat="1" ht="21.95" customHeight="1" x14ac:dyDescent="0.15"/>
    <row r="35650" spans="3:3" s="9" customFormat="1" ht="21.95" customHeight="1" x14ac:dyDescent="0.15"/>
    <row r="35651" spans="3:3" s="9" customFormat="1" ht="21.95" customHeight="1" x14ac:dyDescent="0.15"/>
    <row r="35652" spans="3:3" s="9" customFormat="1" ht="21.95" customHeight="1" x14ac:dyDescent="0.15"/>
    <row r="35653" spans="3:3" s="9" customFormat="1" ht="21.95" customHeight="1" x14ac:dyDescent="0.15"/>
    <row r="35654" spans="3:3" s="9" customFormat="1" ht="21.95" customHeight="1" x14ac:dyDescent="0.15"/>
    <row r="35655" spans="3:3" s="9" customFormat="1" ht="21.95" customHeight="1" x14ac:dyDescent="0.15"/>
    <row r="35656" spans="3:3" s="9" customFormat="1" ht="21.95" customHeight="1" x14ac:dyDescent="0.15"/>
    <row r="35657" spans="3:3" s="9" customFormat="1" ht="21.95" customHeight="1" x14ac:dyDescent="0.15"/>
    <row r="35658" spans="3:3" s="9" customFormat="1" ht="21.95" customHeight="1" x14ac:dyDescent="0.15"/>
    <row r="35659" spans="3:3" s="9" customFormat="1" ht="21.95" customHeight="1" x14ac:dyDescent="0.15"/>
    <row r="35660" spans="3:3" s="9" customFormat="1" ht="21.95" customHeight="1" x14ac:dyDescent="0.15"/>
    <row r="35661" spans="3:3" s="9" customFormat="1" ht="21.95" customHeight="1" x14ac:dyDescent="0.15"/>
    <row r="35662" spans="3:3" s="8" customFormat="1" ht="21.95" customHeight="1" x14ac:dyDescent="0.15"/>
    <row r="35663" spans="3:3" s="8" customFormat="1" ht="21.95" customHeight="1" x14ac:dyDescent="0.15"/>
    <row r="35664" spans="3:3" s="8" customFormat="1" ht="21.95" customHeight="1" x14ac:dyDescent="0.15">
      <c r="C35664" s="101"/>
    </row>
    <row r="35665" spans="3:3" s="8" customFormat="1" ht="21.95" customHeight="1" x14ac:dyDescent="0.15">
      <c r="C35665" s="101"/>
    </row>
    <row r="35666" spans="3:3" s="8" customFormat="1" ht="21.95" customHeight="1" x14ac:dyDescent="0.15"/>
    <row r="35667" spans="3:3" s="8" customFormat="1" ht="21.95" customHeight="1" x14ac:dyDescent="0.15"/>
    <row r="35668" spans="3:3" s="8" customFormat="1" ht="21.95" customHeight="1" x14ac:dyDescent="0.15"/>
    <row r="35669" spans="3:3" s="8" customFormat="1" ht="21.95" customHeight="1" x14ac:dyDescent="0.15"/>
    <row r="35670" spans="3:3" s="8" customFormat="1" ht="21.95" customHeight="1" x14ac:dyDescent="0.15"/>
    <row r="35671" spans="3:3" s="8" customFormat="1" ht="21.95" customHeight="1" x14ac:dyDescent="0.15"/>
    <row r="35672" spans="3:3" s="8" customFormat="1" ht="21.95" customHeight="1" x14ac:dyDescent="0.15"/>
    <row r="35673" spans="3:3" s="9" customFormat="1" ht="21.95" customHeight="1" x14ac:dyDescent="0.15"/>
    <row r="35674" spans="3:3" s="9" customFormat="1" ht="21.95" customHeight="1" x14ac:dyDescent="0.15"/>
    <row r="35675" spans="3:3" s="9" customFormat="1" ht="21.95" customHeight="1" x14ac:dyDescent="0.15"/>
    <row r="35676" spans="3:3" s="9" customFormat="1" ht="21.95" customHeight="1" x14ac:dyDescent="0.15"/>
    <row r="35677" spans="3:3" s="8" customFormat="1" ht="21.95" customHeight="1" x14ac:dyDescent="0.15"/>
    <row r="35678" spans="3:3" s="8" customFormat="1" ht="21.95" customHeight="1" x14ac:dyDescent="0.15"/>
    <row r="35679" spans="3:3" s="8" customFormat="1" ht="21.95" customHeight="1" x14ac:dyDescent="0.15"/>
    <row r="35680" spans="3:3" s="8" customFormat="1" ht="21.95" customHeight="1" x14ac:dyDescent="0.15"/>
    <row r="35681" s="8" customFormat="1" ht="21.95" customHeight="1" x14ac:dyDescent="0.15"/>
    <row r="35682" s="8" customFormat="1" ht="21.95" customHeight="1" x14ac:dyDescent="0.15"/>
    <row r="35683" s="8" customFormat="1" ht="21.95" customHeight="1" x14ac:dyDescent="0.15"/>
    <row r="35684" s="8" customFormat="1" ht="21.95" customHeight="1" x14ac:dyDescent="0.15"/>
    <row r="35685" s="8" customFormat="1" ht="21.95" customHeight="1" x14ac:dyDescent="0.15"/>
    <row r="35686" s="8" customFormat="1" ht="21.95" customHeight="1" x14ac:dyDescent="0.15"/>
    <row r="35687" s="8" customFormat="1" ht="21.95" customHeight="1" x14ac:dyDescent="0.15"/>
    <row r="35688" s="8" customFormat="1" ht="32.1" customHeight="1" x14ac:dyDescent="0.15"/>
    <row r="35689" s="8" customFormat="1" ht="32.1" customHeight="1" x14ac:dyDescent="0.15"/>
    <row r="35690" s="8" customFormat="1" ht="32.1" customHeight="1" x14ac:dyDescent="0.15"/>
    <row r="35691" s="8" customFormat="1" ht="32.1" customHeight="1" x14ac:dyDescent="0.15"/>
    <row r="35692" s="8" customFormat="1" ht="32.1" customHeight="1" x14ac:dyDescent="0.15"/>
    <row r="35693" s="8" customFormat="1" ht="32.1" customHeight="1" x14ac:dyDescent="0.15"/>
    <row r="35694" s="9" customFormat="1" ht="32.1" customHeight="1" x14ac:dyDescent="0.15"/>
    <row r="35695" s="9" customFormat="1" ht="32.1" customHeight="1" x14ac:dyDescent="0.15"/>
    <row r="35696" s="9" customFormat="1" ht="32.1" customHeight="1" x14ac:dyDescent="0.15"/>
    <row r="35697" s="9" customFormat="1" ht="32.1" customHeight="1" x14ac:dyDescent="0.15"/>
    <row r="35698" s="9" customFormat="1" ht="21.95" customHeight="1" x14ac:dyDescent="0.15"/>
    <row r="35699" s="9" customFormat="1" ht="54" customHeight="1" x14ac:dyDescent="0.15"/>
    <row r="35700" s="9" customFormat="1" ht="21.95" customHeight="1" x14ac:dyDescent="0.15"/>
    <row r="35701" s="9" customFormat="1" ht="21.95" customHeight="1" x14ac:dyDescent="0.15"/>
    <row r="35702" s="9" customFormat="1" ht="21.95" customHeight="1" x14ac:dyDescent="0.15"/>
    <row r="35703" s="9" customFormat="1" ht="21.95" customHeight="1" x14ac:dyDescent="0.15"/>
    <row r="35704" s="9" customFormat="1" ht="21.95" customHeight="1" x14ac:dyDescent="0.15"/>
    <row r="35705" s="9" customFormat="1" ht="21.95" customHeight="1" x14ac:dyDescent="0.15"/>
    <row r="35706" s="9" customFormat="1" ht="21.95" customHeight="1" x14ac:dyDescent="0.15"/>
    <row r="35707" s="9" customFormat="1" ht="21.95" customHeight="1" x14ac:dyDescent="0.15"/>
    <row r="35708" s="9" customFormat="1" ht="21.95" customHeight="1" x14ac:dyDescent="0.15"/>
    <row r="35709" s="9" customFormat="1" ht="21.95" customHeight="1" x14ac:dyDescent="0.15"/>
    <row r="35710" s="9" customFormat="1" ht="21.95" customHeight="1" x14ac:dyDescent="0.15"/>
    <row r="35711" s="9" customFormat="1" ht="21.95" customHeight="1" x14ac:dyDescent="0.15"/>
    <row r="35712" s="9" customFormat="1" ht="21.95" customHeight="1" x14ac:dyDescent="0.15"/>
    <row r="35713" s="9" customFormat="1" ht="21.95" customHeight="1" x14ac:dyDescent="0.15"/>
    <row r="35714" s="9" customFormat="1" ht="21.95" customHeight="1" x14ac:dyDescent="0.15"/>
    <row r="35715" s="9" customFormat="1" ht="21.95" customHeight="1" x14ac:dyDescent="0.15"/>
    <row r="35716" s="9" customFormat="1" ht="21.95" customHeight="1" x14ac:dyDescent="0.15"/>
    <row r="35717" s="9" customFormat="1" ht="21.95" customHeight="1" x14ac:dyDescent="0.15"/>
    <row r="35718" s="9" customFormat="1" ht="21.95" customHeight="1" x14ac:dyDescent="0.15"/>
    <row r="35719" s="9" customFormat="1" ht="21.95" customHeight="1" x14ac:dyDescent="0.15"/>
    <row r="35720" s="9" customFormat="1" ht="21.95" customHeight="1" x14ac:dyDescent="0.15"/>
    <row r="35721" s="9" customFormat="1" ht="21.95" customHeight="1" x14ac:dyDescent="0.15"/>
    <row r="35722" s="9" customFormat="1" ht="21.95" customHeight="1" x14ac:dyDescent="0.15"/>
    <row r="35723" s="9" customFormat="1" ht="21.95" customHeight="1" x14ac:dyDescent="0.15"/>
    <row r="35724" s="9" customFormat="1" ht="21.95" customHeight="1" x14ac:dyDescent="0.15"/>
    <row r="35725" s="9" customFormat="1" ht="21.95" customHeight="1" x14ac:dyDescent="0.15"/>
    <row r="35726" s="9" customFormat="1" ht="21.95" customHeight="1" x14ac:dyDescent="0.15"/>
    <row r="35727" s="9" customFormat="1" ht="21.95" customHeight="1" x14ac:dyDescent="0.15"/>
    <row r="35728" s="9" customFormat="1" ht="21.95" customHeight="1" x14ac:dyDescent="0.15"/>
    <row r="35729" s="9" customFormat="1" ht="21.95" customHeight="1" x14ac:dyDescent="0.15"/>
    <row r="35730" s="9" customFormat="1" ht="21.95" customHeight="1" x14ac:dyDescent="0.15"/>
    <row r="35731" s="9" customFormat="1" ht="21.95" customHeight="1" x14ac:dyDescent="0.15"/>
    <row r="35732" s="9" customFormat="1" ht="21.95" customHeight="1" x14ac:dyDescent="0.15"/>
    <row r="35733" s="9" customFormat="1" ht="21.95" customHeight="1" x14ac:dyDescent="0.15"/>
    <row r="35734" s="9" customFormat="1" ht="21.95" customHeight="1" x14ac:dyDescent="0.15"/>
    <row r="35735" s="9" customFormat="1" ht="21.95" customHeight="1" x14ac:dyDescent="0.15"/>
    <row r="35736" s="9" customFormat="1" ht="21.95" customHeight="1" x14ac:dyDescent="0.15"/>
    <row r="35737" s="9" customFormat="1" ht="21.95" customHeight="1" x14ac:dyDescent="0.15"/>
    <row r="35738" s="9" customFormat="1" ht="21.95" customHeight="1" x14ac:dyDescent="0.15"/>
    <row r="35739" s="9" customFormat="1" ht="21.95" customHeight="1" x14ac:dyDescent="0.15"/>
    <row r="35740" s="9" customFormat="1" ht="21.95" customHeight="1" x14ac:dyDescent="0.15"/>
    <row r="35741" s="9" customFormat="1" ht="21.95" customHeight="1" x14ac:dyDescent="0.15"/>
    <row r="35742" s="9" customFormat="1" ht="21.95" customHeight="1" x14ac:dyDescent="0.15"/>
    <row r="35743" s="9" customFormat="1" ht="21.95" customHeight="1" x14ac:dyDescent="0.15"/>
    <row r="35744" s="9" customFormat="1" ht="21.95" customHeight="1" x14ac:dyDescent="0.15"/>
    <row r="35745" s="9" customFormat="1" ht="21.95" customHeight="1" x14ac:dyDescent="0.15"/>
    <row r="35746" s="9" customFormat="1" ht="21.95" customHeight="1" x14ac:dyDescent="0.15"/>
    <row r="35747" s="9" customFormat="1" ht="21.95" customHeight="1" x14ac:dyDescent="0.15"/>
    <row r="35748" s="9" customFormat="1" ht="21.95" customHeight="1" x14ac:dyDescent="0.15"/>
    <row r="35749" s="9" customFormat="1" ht="21.95" customHeight="1" x14ac:dyDescent="0.15"/>
    <row r="35750" s="9" customFormat="1" ht="35.1" customHeight="1" x14ac:dyDescent="0.15"/>
    <row r="35751" s="9" customFormat="1" ht="21.95" customHeight="1" x14ac:dyDescent="0.15"/>
    <row r="35752" s="9" customFormat="1" ht="21.95" customHeight="1" x14ac:dyDescent="0.15"/>
    <row r="35753" s="9" customFormat="1" ht="21.95" customHeight="1" x14ac:dyDescent="0.15"/>
    <row r="35754" s="9" customFormat="1" ht="21.95" customHeight="1" x14ac:dyDescent="0.15"/>
    <row r="35755" s="9" customFormat="1" ht="21.95" customHeight="1" x14ac:dyDescent="0.15"/>
    <row r="35756" s="9" customFormat="1" ht="21.95" customHeight="1" x14ac:dyDescent="0.15"/>
    <row r="35757" s="9" customFormat="1" ht="21.95" customHeight="1" x14ac:dyDescent="0.15"/>
    <row r="35758" s="9" customFormat="1" ht="21.95" customHeight="1" x14ac:dyDescent="0.15"/>
    <row r="35759" s="9" customFormat="1" ht="21.95" customHeight="1" x14ac:dyDescent="0.15"/>
    <row r="35760" s="9" customFormat="1" ht="21.95" customHeight="1" x14ac:dyDescent="0.15"/>
    <row r="35761" spans="3:3" s="9" customFormat="1" ht="21.95" customHeight="1" x14ac:dyDescent="0.15"/>
    <row r="35762" spans="3:3" s="9" customFormat="1" ht="21.95" customHeight="1" x14ac:dyDescent="0.15"/>
    <row r="35763" spans="3:3" s="9" customFormat="1" ht="21.95" customHeight="1" x14ac:dyDescent="0.15"/>
    <row r="35764" spans="3:3" s="9" customFormat="1" ht="21.95" customHeight="1" x14ac:dyDescent="0.15"/>
    <row r="35765" spans="3:3" s="9" customFormat="1" ht="21.95" customHeight="1" x14ac:dyDescent="0.15"/>
    <row r="35766" spans="3:3" s="9" customFormat="1" ht="21.95" customHeight="1" x14ac:dyDescent="0.15"/>
    <row r="35767" spans="3:3" s="9" customFormat="1" ht="21.95" customHeight="1" x14ac:dyDescent="0.15"/>
    <row r="35768" spans="3:3" s="9" customFormat="1" ht="21.95" customHeight="1" x14ac:dyDescent="0.15"/>
    <row r="35769" spans="3:3" s="9" customFormat="1" ht="21.95" customHeight="1" x14ac:dyDescent="0.15"/>
    <row r="35770" spans="3:3" s="9" customFormat="1" ht="21.95" customHeight="1" x14ac:dyDescent="0.15"/>
    <row r="35771" spans="3:3" s="9" customFormat="1" ht="21.95" customHeight="1" x14ac:dyDescent="0.15"/>
    <row r="35772" spans="3:3" s="9" customFormat="1" ht="21.95" customHeight="1" x14ac:dyDescent="0.15"/>
    <row r="35773" spans="3:3" s="9" customFormat="1" ht="21.95" customHeight="1" x14ac:dyDescent="0.15"/>
    <row r="35774" spans="3:3" s="8" customFormat="1" ht="21.95" customHeight="1" x14ac:dyDescent="0.15"/>
    <row r="35775" spans="3:3" s="8" customFormat="1" ht="21.95" customHeight="1" x14ac:dyDescent="0.15"/>
    <row r="35776" spans="3:3" s="8" customFormat="1" ht="21.95" customHeight="1" x14ac:dyDescent="0.15">
      <c r="C35776" s="101"/>
    </row>
    <row r="35777" spans="3:3" s="8" customFormat="1" ht="21.95" customHeight="1" x14ac:dyDescent="0.15">
      <c r="C35777" s="101"/>
    </row>
    <row r="35778" spans="3:3" s="8" customFormat="1" ht="21.95" customHeight="1" x14ac:dyDescent="0.15"/>
    <row r="35779" spans="3:3" s="8" customFormat="1" ht="21.95" customHeight="1" x14ac:dyDescent="0.15"/>
    <row r="35780" spans="3:3" s="8" customFormat="1" ht="21.95" customHeight="1" x14ac:dyDescent="0.15"/>
    <row r="35781" spans="3:3" s="8" customFormat="1" ht="21.95" customHeight="1" x14ac:dyDescent="0.15"/>
    <row r="35782" spans="3:3" s="8" customFormat="1" ht="21.95" customHeight="1" x14ac:dyDescent="0.15"/>
    <row r="35783" spans="3:3" s="8" customFormat="1" ht="21.95" customHeight="1" x14ac:dyDescent="0.15"/>
    <row r="35784" spans="3:3" s="8" customFormat="1" ht="21.95" customHeight="1" x14ac:dyDescent="0.15"/>
    <row r="35785" spans="3:3" s="9" customFormat="1" ht="21.95" customHeight="1" x14ac:dyDescent="0.15"/>
    <row r="35786" spans="3:3" s="9" customFormat="1" ht="21.95" customHeight="1" x14ac:dyDescent="0.15"/>
    <row r="35787" spans="3:3" s="9" customFormat="1" ht="21.95" customHeight="1" x14ac:dyDescent="0.15"/>
    <row r="35788" spans="3:3" s="9" customFormat="1" ht="21.95" customHeight="1" x14ac:dyDescent="0.15"/>
    <row r="35789" spans="3:3" s="8" customFormat="1" ht="21.95" customHeight="1" x14ac:dyDescent="0.15"/>
    <row r="35790" spans="3:3" s="8" customFormat="1" ht="21.95" customHeight="1" x14ac:dyDescent="0.15"/>
    <row r="35791" spans="3:3" s="8" customFormat="1" ht="21.95" customHeight="1" x14ac:dyDescent="0.15"/>
    <row r="35792" spans="3:3" s="8" customFormat="1" ht="21.95" customHeight="1" x14ac:dyDescent="0.15"/>
    <row r="35793" s="8" customFormat="1" ht="21.95" customHeight="1" x14ac:dyDescent="0.15"/>
    <row r="35794" s="8" customFormat="1" ht="21.95" customHeight="1" x14ac:dyDescent="0.15"/>
    <row r="35795" s="8" customFormat="1" ht="21.95" customHeight="1" x14ac:dyDescent="0.15"/>
    <row r="35796" s="8" customFormat="1" ht="21.95" customHeight="1" x14ac:dyDescent="0.15"/>
    <row r="35797" s="8" customFormat="1" ht="21.95" customHeight="1" x14ac:dyDescent="0.15"/>
    <row r="35798" s="8" customFormat="1" ht="21.95" customHeight="1" x14ac:dyDescent="0.15"/>
    <row r="35799" s="8" customFormat="1" ht="21.95" customHeight="1" x14ac:dyDescent="0.15"/>
    <row r="35800" s="8" customFormat="1" ht="32.1" customHeight="1" x14ac:dyDescent="0.15"/>
    <row r="35801" s="8" customFormat="1" ht="32.1" customHeight="1" x14ac:dyDescent="0.15"/>
    <row r="35802" s="8" customFormat="1" ht="32.1" customHeight="1" x14ac:dyDescent="0.15"/>
    <row r="35803" s="8" customFormat="1" ht="32.1" customHeight="1" x14ac:dyDescent="0.15"/>
    <row r="35804" s="8" customFormat="1" ht="32.1" customHeight="1" x14ac:dyDescent="0.15"/>
    <row r="35805" s="8" customFormat="1" ht="32.1" customHeight="1" x14ac:dyDescent="0.15"/>
    <row r="35806" s="9" customFormat="1" ht="32.1" customHeight="1" x14ac:dyDescent="0.15"/>
    <row r="35807" s="9" customFormat="1" ht="32.1" customHeight="1" x14ac:dyDescent="0.15"/>
    <row r="35808" s="9" customFormat="1" ht="32.1" customHeight="1" x14ac:dyDescent="0.15"/>
    <row r="35809" s="9" customFormat="1" ht="32.1" customHeight="1" x14ac:dyDescent="0.15"/>
    <row r="35810" s="9" customFormat="1" ht="21.95" customHeight="1" x14ac:dyDescent="0.15"/>
    <row r="35811" s="9" customFormat="1" ht="54" customHeight="1" x14ac:dyDescent="0.15"/>
    <row r="35812" s="9" customFormat="1" ht="21.95" customHeight="1" x14ac:dyDescent="0.15"/>
    <row r="35813" s="9" customFormat="1" ht="21.95" customHeight="1" x14ac:dyDescent="0.15"/>
    <row r="35814" s="9" customFormat="1" ht="21.95" customHeight="1" x14ac:dyDescent="0.15"/>
    <row r="35815" s="9" customFormat="1" ht="21.95" customHeight="1" x14ac:dyDescent="0.15"/>
    <row r="35816" s="9" customFormat="1" ht="21.95" customHeight="1" x14ac:dyDescent="0.15"/>
    <row r="35817" s="9" customFormat="1" ht="21.95" customHeight="1" x14ac:dyDescent="0.15"/>
    <row r="35818" s="9" customFormat="1" ht="21.95" customHeight="1" x14ac:dyDescent="0.15"/>
    <row r="35819" s="9" customFormat="1" ht="21.95" customHeight="1" x14ac:dyDescent="0.15"/>
    <row r="35820" s="9" customFormat="1" ht="21.95" customHeight="1" x14ac:dyDescent="0.15"/>
    <row r="35821" s="9" customFormat="1" ht="21.95" customHeight="1" x14ac:dyDescent="0.15"/>
    <row r="35822" s="9" customFormat="1" ht="21.95" customHeight="1" x14ac:dyDescent="0.15"/>
    <row r="35823" s="9" customFormat="1" ht="21.95" customHeight="1" x14ac:dyDescent="0.15"/>
    <row r="35824" s="9" customFormat="1" ht="21.95" customHeight="1" x14ac:dyDescent="0.15"/>
    <row r="35825" s="9" customFormat="1" ht="21.95" customHeight="1" x14ac:dyDescent="0.15"/>
    <row r="35826" s="9" customFormat="1" ht="21.95" customHeight="1" x14ac:dyDescent="0.15"/>
    <row r="35827" s="9" customFormat="1" ht="21.95" customHeight="1" x14ac:dyDescent="0.15"/>
    <row r="35828" s="9" customFormat="1" ht="21.95" customHeight="1" x14ac:dyDescent="0.15"/>
    <row r="35829" s="9" customFormat="1" ht="21.95" customHeight="1" x14ac:dyDescent="0.15"/>
    <row r="35830" s="9" customFormat="1" ht="21.95" customHeight="1" x14ac:dyDescent="0.15"/>
    <row r="35831" s="9" customFormat="1" ht="21.95" customHeight="1" x14ac:dyDescent="0.15"/>
    <row r="35832" s="9" customFormat="1" ht="21.95" customHeight="1" x14ac:dyDescent="0.15"/>
    <row r="35833" s="9" customFormat="1" ht="21.95" customHeight="1" x14ac:dyDescent="0.15"/>
    <row r="35834" s="9" customFormat="1" ht="21.95" customHeight="1" x14ac:dyDescent="0.15"/>
    <row r="35835" s="9" customFormat="1" ht="21.95" customHeight="1" x14ac:dyDescent="0.15"/>
    <row r="35836" s="9" customFormat="1" ht="21.95" customHeight="1" x14ac:dyDescent="0.15"/>
    <row r="35837" s="9" customFormat="1" ht="21.95" customHeight="1" x14ac:dyDescent="0.15"/>
    <row r="35838" s="9" customFormat="1" ht="21.95" customHeight="1" x14ac:dyDescent="0.15"/>
    <row r="35839" s="9" customFormat="1" ht="21.95" customHeight="1" x14ac:dyDescent="0.15"/>
    <row r="35840" s="9" customFormat="1" ht="21.95" customHeight="1" x14ac:dyDescent="0.15"/>
    <row r="35841" s="9" customFormat="1" ht="21.95" customHeight="1" x14ac:dyDescent="0.15"/>
    <row r="35842" s="9" customFormat="1" ht="21.95" customHeight="1" x14ac:dyDescent="0.15"/>
    <row r="35843" s="9" customFormat="1" ht="21.95" customHeight="1" x14ac:dyDescent="0.15"/>
    <row r="35844" s="9" customFormat="1" ht="21.95" customHeight="1" x14ac:dyDescent="0.15"/>
    <row r="35845" s="9" customFormat="1" ht="21.95" customHeight="1" x14ac:dyDescent="0.15"/>
    <row r="35846" s="9" customFormat="1" ht="21.95" customHeight="1" x14ac:dyDescent="0.15"/>
    <row r="35847" s="9" customFormat="1" ht="21.95" customHeight="1" x14ac:dyDescent="0.15"/>
    <row r="35848" s="9" customFormat="1" ht="21.95" customHeight="1" x14ac:dyDescent="0.15"/>
    <row r="35849" s="9" customFormat="1" ht="21.95" customHeight="1" x14ac:dyDescent="0.15"/>
    <row r="35850" s="9" customFormat="1" ht="21.95" customHeight="1" x14ac:dyDescent="0.15"/>
    <row r="35851" s="9" customFormat="1" ht="21.95" customHeight="1" x14ac:dyDescent="0.15"/>
    <row r="35852" s="9" customFormat="1" ht="21.95" customHeight="1" x14ac:dyDescent="0.15"/>
    <row r="35853" s="9" customFormat="1" ht="21.95" customHeight="1" x14ac:dyDescent="0.15"/>
    <row r="35854" s="9" customFormat="1" ht="21.95" customHeight="1" x14ac:dyDescent="0.15"/>
    <row r="35855" s="9" customFormat="1" ht="21.95" customHeight="1" x14ac:dyDescent="0.15"/>
    <row r="35856" s="9" customFormat="1" ht="21.95" customHeight="1" x14ac:dyDescent="0.15"/>
    <row r="35857" s="9" customFormat="1" ht="21.95" customHeight="1" x14ac:dyDescent="0.15"/>
    <row r="35858" s="9" customFormat="1" ht="21.95" customHeight="1" x14ac:dyDescent="0.15"/>
    <row r="35859" s="9" customFormat="1" ht="21.95" customHeight="1" x14ac:dyDescent="0.15"/>
    <row r="35860" s="9" customFormat="1" ht="21.95" customHeight="1" x14ac:dyDescent="0.15"/>
    <row r="35861" s="9" customFormat="1" ht="21.95" customHeight="1" x14ac:dyDescent="0.15"/>
    <row r="35862" s="9" customFormat="1" ht="35.1" customHeight="1" x14ac:dyDescent="0.15"/>
    <row r="35863" s="9" customFormat="1" ht="21.95" customHeight="1" x14ac:dyDescent="0.15"/>
    <row r="35864" s="9" customFormat="1" ht="21.95" customHeight="1" x14ac:dyDescent="0.15"/>
    <row r="35865" s="9" customFormat="1" ht="21.95" customHeight="1" x14ac:dyDescent="0.15"/>
    <row r="35866" s="9" customFormat="1" ht="21.95" customHeight="1" x14ac:dyDescent="0.15"/>
    <row r="35867" s="9" customFormat="1" ht="21.95" customHeight="1" x14ac:dyDescent="0.15"/>
    <row r="35868" s="9" customFormat="1" ht="21.95" customHeight="1" x14ac:dyDescent="0.15"/>
    <row r="35869" s="9" customFormat="1" ht="21.95" customHeight="1" x14ac:dyDescent="0.15"/>
    <row r="35870" s="9" customFormat="1" ht="21.95" customHeight="1" x14ac:dyDescent="0.15"/>
    <row r="35871" s="9" customFormat="1" ht="21.95" customHeight="1" x14ac:dyDescent="0.15"/>
    <row r="35872" s="9" customFormat="1" ht="21.95" customHeight="1" x14ac:dyDescent="0.15"/>
    <row r="35873" spans="3:3" s="9" customFormat="1" ht="21.95" customHeight="1" x14ac:dyDescent="0.15"/>
    <row r="35874" spans="3:3" s="9" customFormat="1" ht="21.95" customHeight="1" x14ac:dyDescent="0.15"/>
    <row r="35875" spans="3:3" s="9" customFormat="1" ht="21.95" customHeight="1" x14ac:dyDescent="0.15"/>
    <row r="35876" spans="3:3" s="9" customFormat="1" ht="21.95" customHeight="1" x14ac:dyDescent="0.15"/>
    <row r="35877" spans="3:3" s="9" customFormat="1" ht="21.95" customHeight="1" x14ac:dyDescent="0.15"/>
    <row r="35878" spans="3:3" s="9" customFormat="1" ht="21.95" customHeight="1" x14ac:dyDescent="0.15"/>
    <row r="35879" spans="3:3" s="9" customFormat="1" ht="21.95" customHeight="1" x14ac:dyDescent="0.15"/>
    <row r="35880" spans="3:3" s="9" customFormat="1" ht="21.95" customHeight="1" x14ac:dyDescent="0.15"/>
    <row r="35881" spans="3:3" s="9" customFormat="1" ht="21.95" customHeight="1" x14ac:dyDescent="0.15"/>
    <row r="35882" spans="3:3" s="9" customFormat="1" ht="21.95" customHeight="1" x14ac:dyDescent="0.15"/>
    <row r="35883" spans="3:3" s="9" customFormat="1" ht="21.95" customHeight="1" x14ac:dyDescent="0.15"/>
    <row r="35884" spans="3:3" s="9" customFormat="1" ht="21.95" customHeight="1" x14ac:dyDescent="0.15"/>
    <row r="35885" spans="3:3" s="9" customFormat="1" ht="21.95" customHeight="1" x14ac:dyDescent="0.15"/>
    <row r="35886" spans="3:3" s="8" customFormat="1" ht="21.95" customHeight="1" x14ac:dyDescent="0.15"/>
    <row r="35887" spans="3:3" s="8" customFormat="1" ht="21.95" customHeight="1" x14ac:dyDescent="0.15"/>
    <row r="35888" spans="3:3" s="8" customFormat="1" ht="21.95" customHeight="1" x14ac:dyDescent="0.15">
      <c r="C35888" s="101"/>
    </row>
    <row r="35889" spans="3:3" s="8" customFormat="1" ht="21.95" customHeight="1" x14ac:dyDescent="0.15">
      <c r="C35889" s="101"/>
    </row>
    <row r="35890" spans="3:3" s="8" customFormat="1" ht="21.95" customHeight="1" x14ac:dyDescent="0.15"/>
    <row r="35891" spans="3:3" s="8" customFormat="1" ht="21.95" customHeight="1" x14ac:dyDescent="0.15"/>
    <row r="35892" spans="3:3" s="8" customFormat="1" ht="21.95" customHeight="1" x14ac:dyDescent="0.15"/>
    <row r="35893" spans="3:3" s="8" customFormat="1" ht="21.95" customHeight="1" x14ac:dyDescent="0.15"/>
    <row r="35894" spans="3:3" s="8" customFormat="1" ht="21.95" customHeight="1" x14ac:dyDescent="0.15"/>
    <row r="35895" spans="3:3" s="8" customFormat="1" ht="21.95" customHeight="1" x14ac:dyDescent="0.15"/>
    <row r="35896" spans="3:3" s="8" customFormat="1" ht="21.95" customHeight="1" x14ac:dyDescent="0.15"/>
    <row r="35897" spans="3:3" s="9" customFormat="1" ht="21.95" customHeight="1" x14ac:dyDescent="0.15"/>
    <row r="35898" spans="3:3" s="9" customFormat="1" ht="21.95" customHeight="1" x14ac:dyDescent="0.15"/>
    <row r="35899" spans="3:3" s="9" customFormat="1" ht="21.95" customHeight="1" x14ac:dyDescent="0.15"/>
    <row r="35900" spans="3:3" s="9" customFormat="1" ht="21.95" customHeight="1" x14ac:dyDescent="0.15"/>
    <row r="35901" spans="3:3" s="8" customFormat="1" ht="21.95" customHeight="1" x14ac:dyDescent="0.15"/>
    <row r="35902" spans="3:3" s="8" customFormat="1" ht="21.95" customHeight="1" x14ac:dyDescent="0.15"/>
    <row r="35903" spans="3:3" s="8" customFormat="1" ht="21.95" customHeight="1" x14ac:dyDescent="0.15"/>
    <row r="35904" spans="3:3" s="8" customFormat="1" ht="21.95" customHeight="1" x14ac:dyDescent="0.15"/>
    <row r="35905" s="8" customFormat="1" ht="21.95" customHeight="1" x14ac:dyDescent="0.15"/>
    <row r="35906" s="8" customFormat="1" ht="21.95" customHeight="1" x14ac:dyDescent="0.15"/>
    <row r="35907" s="8" customFormat="1" ht="21.95" customHeight="1" x14ac:dyDescent="0.15"/>
    <row r="35908" s="8" customFormat="1" ht="21.95" customHeight="1" x14ac:dyDescent="0.15"/>
    <row r="35909" s="8" customFormat="1" ht="21.95" customHeight="1" x14ac:dyDescent="0.15"/>
    <row r="35910" s="8" customFormat="1" ht="21.95" customHeight="1" x14ac:dyDescent="0.15"/>
    <row r="35911" s="8" customFormat="1" ht="21.95" customHeight="1" x14ac:dyDescent="0.15"/>
    <row r="35912" s="8" customFormat="1" ht="32.1" customHeight="1" x14ac:dyDescent="0.15"/>
    <row r="35913" s="8" customFormat="1" ht="32.1" customHeight="1" x14ac:dyDescent="0.15"/>
    <row r="35914" s="8" customFormat="1" ht="32.1" customHeight="1" x14ac:dyDescent="0.15"/>
    <row r="35915" s="8" customFormat="1" ht="32.1" customHeight="1" x14ac:dyDescent="0.15"/>
    <row r="35916" s="8" customFormat="1" ht="32.1" customHeight="1" x14ac:dyDescent="0.15"/>
    <row r="35917" s="8" customFormat="1" ht="32.1" customHeight="1" x14ac:dyDescent="0.15"/>
    <row r="35918" s="9" customFormat="1" ht="32.1" customHeight="1" x14ac:dyDescent="0.15"/>
    <row r="35919" s="9" customFormat="1" ht="32.1" customHeight="1" x14ac:dyDescent="0.15"/>
    <row r="35920" s="9" customFormat="1" ht="32.1" customHeight="1" x14ac:dyDescent="0.15"/>
    <row r="35921" s="9" customFormat="1" ht="32.1" customHeight="1" x14ac:dyDescent="0.15"/>
    <row r="35922" s="9" customFormat="1" ht="21.95" customHeight="1" x14ac:dyDescent="0.15"/>
    <row r="35923" s="9" customFormat="1" ht="54" customHeight="1" x14ac:dyDescent="0.15"/>
    <row r="35924" s="9" customFormat="1" ht="21.95" customHeight="1" x14ac:dyDescent="0.15"/>
    <row r="35925" s="9" customFormat="1" ht="21.95" customHeight="1" x14ac:dyDescent="0.15"/>
    <row r="35926" s="9" customFormat="1" ht="21.95" customHeight="1" x14ac:dyDescent="0.15"/>
    <row r="35927" s="9" customFormat="1" ht="21.95" customHeight="1" x14ac:dyDescent="0.15"/>
    <row r="35928" s="9" customFormat="1" ht="21.95" customHeight="1" x14ac:dyDescent="0.15"/>
    <row r="35929" s="9" customFormat="1" ht="21.95" customHeight="1" x14ac:dyDescent="0.15"/>
    <row r="35930" s="9" customFormat="1" ht="21.95" customHeight="1" x14ac:dyDescent="0.15"/>
    <row r="35931" s="9" customFormat="1" ht="21.95" customHeight="1" x14ac:dyDescent="0.15"/>
    <row r="35932" s="9" customFormat="1" ht="21.95" customHeight="1" x14ac:dyDescent="0.15"/>
    <row r="35933" s="9" customFormat="1" ht="21.95" customHeight="1" x14ac:dyDescent="0.15"/>
    <row r="35934" s="9" customFormat="1" ht="21.95" customHeight="1" x14ac:dyDescent="0.15"/>
    <row r="35935" s="9" customFormat="1" ht="21.95" customHeight="1" x14ac:dyDescent="0.15"/>
    <row r="35936" s="9" customFormat="1" ht="21.95" customHeight="1" x14ac:dyDescent="0.15"/>
    <row r="35937" s="9" customFormat="1" ht="21.95" customHeight="1" x14ac:dyDescent="0.15"/>
    <row r="35938" s="9" customFormat="1" ht="21.95" customHeight="1" x14ac:dyDescent="0.15"/>
    <row r="35939" s="9" customFormat="1" ht="21.95" customHeight="1" x14ac:dyDescent="0.15"/>
    <row r="35940" s="9" customFormat="1" ht="21.95" customHeight="1" x14ac:dyDescent="0.15"/>
    <row r="35941" s="9" customFormat="1" ht="21.95" customHeight="1" x14ac:dyDescent="0.15"/>
    <row r="35942" s="9" customFormat="1" ht="21.95" customHeight="1" x14ac:dyDescent="0.15"/>
    <row r="35943" s="9" customFormat="1" ht="21.95" customHeight="1" x14ac:dyDescent="0.15"/>
    <row r="35944" s="9" customFormat="1" ht="21.95" customHeight="1" x14ac:dyDescent="0.15"/>
    <row r="35945" s="9" customFormat="1" ht="21.95" customHeight="1" x14ac:dyDescent="0.15"/>
    <row r="35946" s="9" customFormat="1" ht="21.95" customHeight="1" x14ac:dyDescent="0.15"/>
    <row r="35947" s="9" customFormat="1" ht="21.95" customHeight="1" x14ac:dyDescent="0.15"/>
    <row r="35948" s="9" customFormat="1" ht="21.95" customHeight="1" x14ac:dyDescent="0.15"/>
    <row r="35949" s="9" customFormat="1" ht="21.95" customHeight="1" x14ac:dyDescent="0.15"/>
    <row r="35950" s="9" customFormat="1" ht="21.95" customHeight="1" x14ac:dyDescent="0.15"/>
    <row r="35951" s="9" customFormat="1" ht="21.95" customHeight="1" x14ac:dyDescent="0.15"/>
    <row r="35952" s="9" customFormat="1" ht="21.95" customHeight="1" x14ac:dyDescent="0.15"/>
    <row r="35953" s="9" customFormat="1" ht="21.95" customHeight="1" x14ac:dyDescent="0.15"/>
    <row r="35954" s="9" customFormat="1" ht="21.95" customHeight="1" x14ac:dyDescent="0.15"/>
    <row r="35955" s="9" customFormat="1" ht="21.95" customHeight="1" x14ac:dyDescent="0.15"/>
    <row r="35956" s="9" customFormat="1" ht="21.95" customHeight="1" x14ac:dyDescent="0.15"/>
    <row r="35957" s="9" customFormat="1" ht="21.95" customHeight="1" x14ac:dyDescent="0.15"/>
    <row r="35958" s="9" customFormat="1" ht="21.95" customHeight="1" x14ac:dyDescent="0.15"/>
    <row r="35959" s="9" customFormat="1" ht="21.95" customHeight="1" x14ac:dyDescent="0.15"/>
    <row r="35960" s="9" customFormat="1" ht="21.95" customHeight="1" x14ac:dyDescent="0.15"/>
    <row r="35961" s="9" customFormat="1" ht="21.95" customHeight="1" x14ac:dyDescent="0.15"/>
    <row r="35962" s="9" customFormat="1" ht="21.95" customHeight="1" x14ac:dyDescent="0.15"/>
    <row r="35963" s="9" customFormat="1" ht="21.95" customHeight="1" x14ac:dyDescent="0.15"/>
    <row r="35964" s="9" customFormat="1" ht="21.95" customHeight="1" x14ac:dyDescent="0.15"/>
    <row r="35965" s="9" customFormat="1" ht="21.95" customHeight="1" x14ac:dyDescent="0.15"/>
    <row r="35966" s="9" customFormat="1" ht="21.95" customHeight="1" x14ac:dyDescent="0.15"/>
    <row r="35967" s="9" customFormat="1" ht="21.95" customHeight="1" x14ac:dyDescent="0.15"/>
    <row r="35968" s="9" customFormat="1" ht="21.95" customHeight="1" x14ac:dyDescent="0.15"/>
    <row r="35969" s="9" customFormat="1" ht="21.95" customHeight="1" x14ac:dyDescent="0.15"/>
    <row r="35970" s="9" customFormat="1" ht="21.95" customHeight="1" x14ac:dyDescent="0.15"/>
    <row r="35971" s="9" customFormat="1" ht="21.95" customHeight="1" x14ac:dyDescent="0.15"/>
    <row r="35972" s="9" customFormat="1" ht="21.95" customHeight="1" x14ac:dyDescent="0.15"/>
    <row r="35973" s="9" customFormat="1" ht="21.95" customHeight="1" x14ac:dyDescent="0.15"/>
    <row r="35974" s="9" customFormat="1" ht="35.1" customHeight="1" x14ac:dyDescent="0.15"/>
    <row r="35975" s="9" customFormat="1" ht="21.95" customHeight="1" x14ac:dyDescent="0.15"/>
    <row r="35976" s="9" customFormat="1" ht="21.95" customHeight="1" x14ac:dyDescent="0.15"/>
    <row r="35977" s="9" customFormat="1" ht="21.95" customHeight="1" x14ac:dyDescent="0.15"/>
    <row r="35978" s="9" customFormat="1" ht="21.95" customHeight="1" x14ac:dyDescent="0.15"/>
    <row r="35979" s="9" customFormat="1" ht="21.95" customHeight="1" x14ac:dyDescent="0.15"/>
    <row r="35980" s="9" customFormat="1" ht="21.95" customHeight="1" x14ac:dyDescent="0.15"/>
    <row r="35981" s="9" customFormat="1" ht="21.95" customHeight="1" x14ac:dyDescent="0.15"/>
    <row r="35982" s="9" customFormat="1" ht="21.95" customHeight="1" x14ac:dyDescent="0.15"/>
    <row r="35983" s="9" customFormat="1" ht="21.95" customHeight="1" x14ac:dyDescent="0.15"/>
    <row r="35984" s="9" customFormat="1" ht="21.95" customHeight="1" x14ac:dyDescent="0.15"/>
    <row r="35985" spans="3:3" s="9" customFormat="1" ht="21.95" customHeight="1" x14ac:dyDescent="0.15"/>
    <row r="35986" spans="3:3" s="9" customFormat="1" ht="21.95" customHeight="1" x14ac:dyDescent="0.15"/>
    <row r="35987" spans="3:3" s="9" customFormat="1" ht="21.95" customHeight="1" x14ac:dyDescent="0.15"/>
    <row r="35988" spans="3:3" s="9" customFormat="1" ht="21.95" customHeight="1" x14ac:dyDescent="0.15"/>
    <row r="35989" spans="3:3" s="9" customFormat="1" ht="21.95" customHeight="1" x14ac:dyDescent="0.15"/>
    <row r="35990" spans="3:3" s="9" customFormat="1" ht="21.95" customHeight="1" x14ac:dyDescent="0.15"/>
    <row r="35991" spans="3:3" s="9" customFormat="1" ht="21.95" customHeight="1" x14ac:dyDescent="0.15"/>
    <row r="35992" spans="3:3" s="9" customFormat="1" ht="21.95" customHeight="1" x14ac:dyDescent="0.15"/>
    <row r="35993" spans="3:3" s="9" customFormat="1" ht="21.95" customHeight="1" x14ac:dyDescent="0.15"/>
    <row r="35994" spans="3:3" s="9" customFormat="1" ht="21.95" customHeight="1" x14ac:dyDescent="0.15"/>
    <row r="35995" spans="3:3" s="9" customFormat="1" ht="21.95" customHeight="1" x14ac:dyDescent="0.15"/>
    <row r="35996" spans="3:3" s="9" customFormat="1" ht="21.95" customHeight="1" x14ac:dyDescent="0.15"/>
    <row r="35997" spans="3:3" s="9" customFormat="1" ht="21.95" customHeight="1" x14ac:dyDescent="0.15"/>
    <row r="35998" spans="3:3" s="8" customFormat="1" ht="21.95" customHeight="1" x14ac:dyDescent="0.15"/>
    <row r="35999" spans="3:3" s="8" customFormat="1" ht="21.95" customHeight="1" x14ac:dyDescent="0.15"/>
    <row r="36000" spans="3:3" s="8" customFormat="1" ht="21.95" customHeight="1" x14ac:dyDescent="0.15">
      <c r="C36000" s="101"/>
    </row>
    <row r="36001" spans="3:3" s="8" customFormat="1" ht="21.95" customHeight="1" x14ac:dyDescent="0.15">
      <c r="C36001" s="101"/>
    </row>
    <row r="36002" spans="3:3" s="8" customFormat="1" ht="21.95" customHeight="1" x14ac:dyDescent="0.15"/>
    <row r="36003" spans="3:3" s="8" customFormat="1" ht="21.95" customHeight="1" x14ac:dyDescent="0.15"/>
    <row r="36004" spans="3:3" s="8" customFormat="1" ht="21.95" customHeight="1" x14ac:dyDescent="0.15"/>
    <row r="36005" spans="3:3" s="8" customFormat="1" ht="21.95" customHeight="1" x14ac:dyDescent="0.15"/>
    <row r="36006" spans="3:3" s="8" customFormat="1" ht="21.95" customHeight="1" x14ac:dyDescent="0.15"/>
    <row r="36007" spans="3:3" s="8" customFormat="1" ht="21.95" customHeight="1" x14ac:dyDescent="0.15"/>
    <row r="36008" spans="3:3" s="8" customFormat="1" ht="21.95" customHeight="1" x14ac:dyDescent="0.15"/>
    <row r="36009" spans="3:3" s="9" customFormat="1" ht="21.95" customHeight="1" x14ac:dyDescent="0.15"/>
    <row r="36010" spans="3:3" s="9" customFormat="1" ht="21.95" customHeight="1" x14ac:dyDescent="0.15"/>
    <row r="36011" spans="3:3" s="9" customFormat="1" ht="21.95" customHeight="1" x14ac:dyDescent="0.15"/>
    <row r="36012" spans="3:3" s="9" customFormat="1" ht="21.95" customHeight="1" x14ac:dyDescent="0.15"/>
    <row r="36013" spans="3:3" s="8" customFormat="1" ht="21.95" customHeight="1" x14ac:dyDescent="0.15"/>
    <row r="36014" spans="3:3" s="8" customFormat="1" ht="21.95" customHeight="1" x14ac:dyDescent="0.15"/>
    <row r="36015" spans="3:3" s="8" customFormat="1" ht="21.95" customHeight="1" x14ac:dyDescent="0.15"/>
    <row r="36016" spans="3:3" s="8" customFormat="1" ht="21.95" customHeight="1" x14ac:dyDescent="0.15"/>
    <row r="36017" s="8" customFormat="1" ht="21.95" customHeight="1" x14ac:dyDescent="0.15"/>
    <row r="36018" s="8" customFormat="1" ht="21.95" customHeight="1" x14ac:dyDescent="0.15"/>
    <row r="36019" s="8" customFormat="1" ht="21.95" customHeight="1" x14ac:dyDescent="0.15"/>
    <row r="36020" s="8" customFormat="1" ht="21.95" customHeight="1" x14ac:dyDescent="0.15"/>
    <row r="36021" s="8" customFormat="1" ht="21.95" customHeight="1" x14ac:dyDescent="0.15"/>
    <row r="36022" s="8" customFormat="1" ht="21.95" customHeight="1" x14ac:dyDescent="0.15"/>
    <row r="36023" s="8" customFormat="1" ht="21.95" customHeight="1" x14ac:dyDescent="0.15"/>
    <row r="36024" s="8" customFormat="1" ht="32.1" customHeight="1" x14ac:dyDescent="0.15"/>
    <row r="36025" s="8" customFormat="1" ht="32.1" customHeight="1" x14ac:dyDescent="0.15"/>
    <row r="36026" s="8" customFormat="1" ht="32.1" customHeight="1" x14ac:dyDescent="0.15"/>
    <row r="36027" s="8" customFormat="1" ht="32.1" customHeight="1" x14ac:dyDescent="0.15"/>
    <row r="36028" s="8" customFormat="1" ht="32.1" customHeight="1" x14ac:dyDescent="0.15"/>
    <row r="36029" s="8" customFormat="1" ht="32.1" customHeight="1" x14ac:dyDescent="0.15"/>
    <row r="36030" s="9" customFormat="1" ht="32.1" customHeight="1" x14ac:dyDescent="0.15"/>
    <row r="36031" s="9" customFormat="1" ht="32.1" customHeight="1" x14ac:dyDescent="0.15"/>
    <row r="36032" s="9" customFormat="1" ht="32.1" customHeight="1" x14ac:dyDescent="0.15"/>
    <row r="36033" s="9" customFormat="1" ht="32.1" customHeight="1" x14ac:dyDescent="0.15"/>
    <row r="36034" s="9" customFormat="1" ht="21.95" customHeight="1" x14ac:dyDescent="0.15"/>
    <row r="36035" s="9" customFormat="1" ht="54" customHeight="1" x14ac:dyDescent="0.15"/>
    <row r="36036" s="9" customFormat="1" ht="21.95" customHeight="1" x14ac:dyDescent="0.15"/>
    <row r="36037" s="9" customFormat="1" ht="21.95" customHeight="1" x14ac:dyDescent="0.15"/>
    <row r="36038" s="9" customFormat="1" ht="21.95" customHeight="1" x14ac:dyDescent="0.15"/>
    <row r="36039" s="9" customFormat="1" ht="21.95" customHeight="1" x14ac:dyDescent="0.15"/>
    <row r="36040" s="9" customFormat="1" ht="21.95" customHeight="1" x14ac:dyDescent="0.15"/>
    <row r="36041" s="9" customFormat="1" ht="21.95" customHeight="1" x14ac:dyDescent="0.15"/>
    <row r="36042" s="9" customFormat="1" ht="21.95" customHeight="1" x14ac:dyDescent="0.15"/>
    <row r="36043" s="9" customFormat="1" ht="21.95" customHeight="1" x14ac:dyDescent="0.15"/>
    <row r="36044" s="9" customFormat="1" ht="21.95" customHeight="1" x14ac:dyDescent="0.15"/>
    <row r="36045" s="9" customFormat="1" ht="21.95" customHeight="1" x14ac:dyDescent="0.15"/>
    <row r="36046" s="9" customFormat="1" ht="21.95" customHeight="1" x14ac:dyDescent="0.15"/>
    <row r="36047" s="9" customFormat="1" ht="21.95" customHeight="1" x14ac:dyDescent="0.15"/>
    <row r="36048" s="9" customFormat="1" ht="21.95" customHeight="1" x14ac:dyDescent="0.15"/>
    <row r="36049" s="9" customFormat="1" ht="21.95" customHeight="1" x14ac:dyDescent="0.15"/>
    <row r="36050" s="9" customFormat="1" ht="21.95" customHeight="1" x14ac:dyDescent="0.15"/>
    <row r="36051" s="9" customFormat="1" ht="21.95" customHeight="1" x14ac:dyDescent="0.15"/>
    <row r="36052" s="9" customFormat="1" ht="21.95" customHeight="1" x14ac:dyDescent="0.15"/>
    <row r="36053" s="9" customFormat="1" ht="21.95" customHeight="1" x14ac:dyDescent="0.15"/>
    <row r="36054" s="9" customFormat="1" ht="21.95" customHeight="1" x14ac:dyDescent="0.15"/>
    <row r="36055" s="9" customFormat="1" ht="21.95" customHeight="1" x14ac:dyDescent="0.15"/>
    <row r="36056" s="9" customFormat="1" ht="21.95" customHeight="1" x14ac:dyDescent="0.15"/>
    <row r="36057" s="9" customFormat="1" ht="21.95" customHeight="1" x14ac:dyDescent="0.15"/>
    <row r="36058" s="9" customFormat="1" ht="21.95" customHeight="1" x14ac:dyDescent="0.15"/>
    <row r="36059" s="9" customFormat="1" ht="21.95" customHeight="1" x14ac:dyDescent="0.15"/>
    <row r="36060" s="9" customFormat="1" ht="21.95" customHeight="1" x14ac:dyDescent="0.15"/>
    <row r="36061" s="9" customFormat="1" ht="21.95" customHeight="1" x14ac:dyDescent="0.15"/>
    <row r="36062" s="9" customFormat="1" ht="21.95" customHeight="1" x14ac:dyDescent="0.15"/>
    <row r="36063" s="9" customFormat="1" ht="21.95" customHeight="1" x14ac:dyDescent="0.15"/>
    <row r="36064" s="9" customFormat="1" ht="21.95" customHeight="1" x14ac:dyDescent="0.15"/>
    <row r="36065" s="9" customFormat="1" ht="21.95" customHeight="1" x14ac:dyDescent="0.15"/>
    <row r="36066" s="9" customFormat="1" ht="21.95" customHeight="1" x14ac:dyDescent="0.15"/>
    <row r="36067" s="9" customFormat="1" ht="21.95" customHeight="1" x14ac:dyDescent="0.15"/>
    <row r="36068" s="9" customFormat="1" ht="21.95" customHeight="1" x14ac:dyDescent="0.15"/>
    <row r="36069" s="9" customFormat="1" ht="21.95" customHeight="1" x14ac:dyDescent="0.15"/>
    <row r="36070" s="9" customFormat="1" ht="21.95" customHeight="1" x14ac:dyDescent="0.15"/>
    <row r="36071" s="9" customFormat="1" ht="21.95" customHeight="1" x14ac:dyDescent="0.15"/>
    <row r="36072" s="9" customFormat="1" ht="21.95" customHeight="1" x14ac:dyDescent="0.15"/>
    <row r="36073" s="9" customFormat="1" ht="21.95" customHeight="1" x14ac:dyDescent="0.15"/>
    <row r="36074" s="9" customFormat="1" ht="21.95" customHeight="1" x14ac:dyDescent="0.15"/>
    <row r="36075" s="9" customFormat="1" ht="21.95" customHeight="1" x14ac:dyDescent="0.15"/>
    <row r="36076" s="9" customFormat="1" ht="21.95" customHeight="1" x14ac:dyDescent="0.15"/>
    <row r="36077" s="9" customFormat="1" ht="21.95" customHeight="1" x14ac:dyDescent="0.15"/>
    <row r="36078" s="9" customFormat="1" ht="21.95" customHeight="1" x14ac:dyDescent="0.15"/>
    <row r="36079" s="9" customFormat="1" ht="21.95" customHeight="1" x14ac:dyDescent="0.15"/>
    <row r="36080" s="9" customFormat="1" ht="21.95" customHeight="1" x14ac:dyDescent="0.15"/>
    <row r="36081" s="9" customFormat="1" ht="21.95" customHeight="1" x14ac:dyDescent="0.15"/>
    <row r="36082" s="9" customFormat="1" ht="21.95" customHeight="1" x14ac:dyDescent="0.15"/>
    <row r="36083" s="9" customFormat="1" ht="21.95" customHeight="1" x14ac:dyDescent="0.15"/>
    <row r="36084" s="9" customFormat="1" ht="21.95" customHeight="1" x14ac:dyDescent="0.15"/>
    <row r="36085" s="9" customFormat="1" ht="21.95" customHeight="1" x14ac:dyDescent="0.15"/>
    <row r="36086" s="9" customFormat="1" ht="35.1" customHeight="1" x14ac:dyDescent="0.15"/>
    <row r="36087" s="9" customFormat="1" ht="21.95" customHeight="1" x14ac:dyDescent="0.15"/>
    <row r="36088" s="9" customFormat="1" ht="21.95" customHeight="1" x14ac:dyDescent="0.15"/>
    <row r="36089" s="9" customFormat="1" ht="21.95" customHeight="1" x14ac:dyDescent="0.15"/>
    <row r="36090" s="9" customFormat="1" ht="21.95" customHeight="1" x14ac:dyDescent="0.15"/>
    <row r="36091" s="9" customFormat="1" ht="21.95" customHeight="1" x14ac:dyDescent="0.15"/>
    <row r="36092" s="9" customFormat="1" ht="21.95" customHeight="1" x14ac:dyDescent="0.15"/>
    <row r="36093" s="9" customFormat="1" ht="21.95" customHeight="1" x14ac:dyDescent="0.15"/>
    <row r="36094" s="9" customFormat="1" ht="21.95" customHeight="1" x14ac:dyDescent="0.15"/>
    <row r="36095" s="9" customFormat="1" ht="21.95" customHeight="1" x14ac:dyDescent="0.15"/>
    <row r="36096" s="9" customFormat="1" ht="21.95" customHeight="1" x14ac:dyDescent="0.15"/>
    <row r="36097" spans="3:3" s="9" customFormat="1" ht="21.95" customHeight="1" x14ac:dyDescent="0.15"/>
    <row r="36098" spans="3:3" s="9" customFormat="1" ht="21.95" customHeight="1" x14ac:dyDescent="0.15"/>
    <row r="36099" spans="3:3" s="9" customFormat="1" ht="21.95" customHeight="1" x14ac:dyDescent="0.15"/>
    <row r="36100" spans="3:3" s="9" customFormat="1" ht="21.95" customHeight="1" x14ac:dyDescent="0.15"/>
    <row r="36101" spans="3:3" s="9" customFormat="1" ht="21.95" customHeight="1" x14ac:dyDescent="0.15"/>
    <row r="36102" spans="3:3" s="9" customFormat="1" ht="21.95" customHeight="1" x14ac:dyDescent="0.15"/>
    <row r="36103" spans="3:3" s="9" customFormat="1" ht="21.95" customHeight="1" x14ac:dyDescent="0.15"/>
    <row r="36104" spans="3:3" s="9" customFormat="1" ht="21.95" customHeight="1" x14ac:dyDescent="0.15"/>
    <row r="36105" spans="3:3" s="9" customFormat="1" ht="21.95" customHeight="1" x14ac:dyDescent="0.15"/>
    <row r="36106" spans="3:3" s="9" customFormat="1" ht="21.95" customHeight="1" x14ac:dyDescent="0.15"/>
    <row r="36107" spans="3:3" s="9" customFormat="1" ht="21.95" customHeight="1" x14ac:dyDescent="0.15"/>
    <row r="36108" spans="3:3" s="9" customFormat="1" ht="21.95" customHeight="1" x14ac:dyDescent="0.15"/>
    <row r="36109" spans="3:3" s="9" customFormat="1" ht="21.95" customHeight="1" x14ac:dyDescent="0.15"/>
    <row r="36110" spans="3:3" s="8" customFormat="1" ht="21.95" customHeight="1" x14ac:dyDescent="0.15"/>
    <row r="36111" spans="3:3" s="8" customFormat="1" ht="21.95" customHeight="1" x14ac:dyDescent="0.15"/>
    <row r="36112" spans="3:3" s="8" customFormat="1" ht="21.95" customHeight="1" x14ac:dyDescent="0.15">
      <c r="C36112" s="101"/>
    </row>
    <row r="36113" spans="3:3" s="8" customFormat="1" ht="21.95" customHeight="1" x14ac:dyDescent="0.15">
      <c r="C36113" s="101"/>
    </row>
    <row r="36114" spans="3:3" s="8" customFormat="1" ht="21.95" customHeight="1" x14ac:dyDescent="0.15"/>
    <row r="36115" spans="3:3" s="8" customFormat="1" ht="21.95" customHeight="1" x14ac:dyDescent="0.15"/>
    <row r="36116" spans="3:3" s="8" customFormat="1" ht="21.95" customHeight="1" x14ac:dyDescent="0.15"/>
    <row r="36117" spans="3:3" s="8" customFormat="1" ht="21.95" customHeight="1" x14ac:dyDescent="0.15"/>
    <row r="36118" spans="3:3" s="8" customFormat="1" ht="21.95" customHeight="1" x14ac:dyDescent="0.15"/>
    <row r="36119" spans="3:3" s="8" customFormat="1" ht="21.95" customHeight="1" x14ac:dyDescent="0.15"/>
    <row r="36120" spans="3:3" s="8" customFormat="1" ht="21.95" customHeight="1" x14ac:dyDescent="0.15"/>
    <row r="36121" spans="3:3" s="9" customFormat="1" ht="21.95" customHeight="1" x14ac:dyDescent="0.15"/>
    <row r="36122" spans="3:3" s="9" customFormat="1" ht="21.95" customHeight="1" x14ac:dyDescent="0.15"/>
    <row r="36123" spans="3:3" s="9" customFormat="1" ht="21.95" customHeight="1" x14ac:dyDescent="0.15"/>
    <row r="36124" spans="3:3" s="9" customFormat="1" ht="21.95" customHeight="1" x14ac:dyDescent="0.15"/>
    <row r="36125" spans="3:3" s="8" customFormat="1" ht="21.95" customHeight="1" x14ac:dyDescent="0.15"/>
    <row r="36126" spans="3:3" s="8" customFormat="1" ht="21.95" customHeight="1" x14ac:dyDescent="0.15"/>
    <row r="36127" spans="3:3" s="8" customFormat="1" ht="21.95" customHeight="1" x14ac:dyDescent="0.15"/>
    <row r="36128" spans="3:3" s="8" customFormat="1" ht="21.95" customHeight="1" x14ac:dyDescent="0.15"/>
    <row r="36129" s="8" customFormat="1" ht="21.95" customHeight="1" x14ac:dyDescent="0.15"/>
    <row r="36130" s="8" customFormat="1" ht="21.95" customHeight="1" x14ac:dyDescent="0.15"/>
    <row r="36131" s="8" customFormat="1" ht="21.95" customHeight="1" x14ac:dyDescent="0.15"/>
    <row r="36132" s="8" customFormat="1" ht="21.95" customHeight="1" x14ac:dyDescent="0.15"/>
    <row r="36133" s="8" customFormat="1" ht="21.95" customHeight="1" x14ac:dyDescent="0.15"/>
    <row r="36134" s="8" customFormat="1" ht="21.95" customHeight="1" x14ac:dyDescent="0.15"/>
    <row r="36135" s="8" customFormat="1" ht="21.95" customHeight="1" x14ac:dyDescent="0.15"/>
    <row r="36136" s="8" customFormat="1" ht="32.1" customHeight="1" x14ac:dyDescent="0.15"/>
    <row r="36137" s="8" customFormat="1" ht="32.1" customHeight="1" x14ac:dyDescent="0.15"/>
    <row r="36138" s="8" customFormat="1" ht="32.1" customHeight="1" x14ac:dyDescent="0.15"/>
    <row r="36139" s="8" customFormat="1" ht="32.1" customHeight="1" x14ac:dyDescent="0.15"/>
    <row r="36140" s="8" customFormat="1" ht="32.1" customHeight="1" x14ac:dyDescent="0.15"/>
    <row r="36141" s="8" customFormat="1" ht="32.1" customHeight="1" x14ac:dyDescent="0.15"/>
    <row r="36142" s="9" customFormat="1" ht="32.1" customHeight="1" x14ac:dyDescent="0.15"/>
    <row r="36143" s="9" customFormat="1" ht="32.1" customHeight="1" x14ac:dyDescent="0.15"/>
    <row r="36144" s="9" customFormat="1" ht="32.1" customHeight="1" x14ac:dyDescent="0.15"/>
    <row r="36145" s="9" customFormat="1" ht="32.1" customHeight="1" x14ac:dyDescent="0.15"/>
    <row r="36146" s="9" customFormat="1" ht="21.95" customHeight="1" x14ac:dyDescent="0.15"/>
    <row r="36147" s="9" customFormat="1" ht="54" customHeight="1" x14ac:dyDescent="0.15"/>
    <row r="36148" s="9" customFormat="1" ht="21.95" customHeight="1" x14ac:dyDescent="0.15"/>
    <row r="36149" s="9" customFormat="1" ht="21.95" customHeight="1" x14ac:dyDescent="0.15"/>
    <row r="36150" s="9" customFormat="1" ht="21.95" customHeight="1" x14ac:dyDescent="0.15"/>
    <row r="36151" s="9" customFormat="1" ht="21.95" customHeight="1" x14ac:dyDescent="0.15"/>
    <row r="36152" s="9" customFormat="1" ht="21.95" customHeight="1" x14ac:dyDescent="0.15"/>
    <row r="36153" s="9" customFormat="1" ht="21.95" customHeight="1" x14ac:dyDescent="0.15"/>
    <row r="36154" s="9" customFormat="1" ht="21.95" customHeight="1" x14ac:dyDescent="0.15"/>
    <row r="36155" s="9" customFormat="1" ht="21.95" customHeight="1" x14ac:dyDescent="0.15"/>
    <row r="36156" s="9" customFormat="1" ht="21.95" customHeight="1" x14ac:dyDescent="0.15"/>
    <row r="36157" s="9" customFormat="1" ht="21.95" customHeight="1" x14ac:dyDescent="0.15"/>
    <row r="36158" s="9" customFormat="1" ht="21.95" customHeight="1" x14ac:dyDescent="0.15"/>
    <row r="36159" s="9" customFormat="1" ht="21.95" customHeight="1" x14ac:dyDescent="0.15"/>
    <row r="36160" s="9" customFormat="1" ht="21.95" customHeight="1" x14ac:dyDescent="0.15"/>
    <row r="36161" s="9" customFormat="1" ht="21.95" customHeight="1" x14ac:dyDescent="0.15"/>
    <row r="36162" s="9" customFormat="1" ht="21.95" customHeight="1" x14ac:dyDescent="0.15"/>
    <row r="36163" s="9" customFormat="1" ht="21.95" customHeight="1" x14ac:dyDescent="0.15"/>
    <row r="36164" s="9" customFormat="1" ht="21.95" customHeight="1" x14ac:dyDescent="0.15"/>
    <row r="36165" s="9" customFormat="1" ht="21.95" customHeight="1" x14ac:dyDescent="0.15"/>
    <row r="36166" s="9" customFormat="1" ht="21.95" customHeight="1" x14ac:dyDescent="0.15"/>
    <row r="36167" s="9" customFormat="1" ht="21.95" customHeight="1" x14ac:dyDescent="0.15"/>
    <row r="36168" s="9" customFormat="1" ht="21.95" customHeight="1" x14ac:dyDescent="0.15"/>
    <row r="36169" s="9" customFormat="1" ht="21.95" customHeight="1" x14ac:dyDescent="0.15"/>
    <row r="36170" s="9" customFormat="1" ht="21.95" customHeight="1" x14ac:dyDescent="0.15"/>
    <row r="36171" s="9" customFormat="1" ht="21.95" customHeight="1" x14ac:dyDescent="0.15"/>
    <row r="36172" s="9" customFormat="1" ht="21.95" customHeight="1" x14ac:dyDescent="0.15"/>
    <row r="36173" s="9" customFormat="1" ht="21.95" customHeight="1" x14ac:dyDescent="0.15"/>
    <row r="36174" s="9" customFormat="1" ht="21.95" customHeight="1" x14ac:dyDescent="0.15"/>
    <row r="36175" s="9" customFormat="1" ht="21.95" customHeight="1" x14ac:dyDescent="0.15"/>
    <row r="36176" s="9" customFormat="1" ht="21.95" customHeight="1" x14ac:dyDescent="0.15"/>
    <row r="36177" s="9" customFormat="1" ht="21.95" customHeight="1" x14ac:dyDescent="0.15"/>
    <row r="36178" s="9" customFormat="1" ht="21.95" customHeight="1" x14ac:dyDescent="0.15"/>
    <row r="36179" s="9" customFormat="1" ht="21.95" customHeight="1" x14ac:dyDescent="0.15"/>
    <row r="36180" s="9" customFormat="1" ht="21.95" customHeight="1" x14ac:dyDescent="0.15"/>
    <row r="36181" s="9" customFormat="1" ht="21.95" customHeight="1" x14ac:dyDescent="0.15"/>
    <row r="36182" s="9" customFormat="1" ht="21.95" customHeight="1" x14ac:dyDescent="0.15"/>
    <row r="36183" s="9" customFormat="1" ht="21.95" customHeight="1" x14ac:dyDescent="0.15"/>
    <row r="36184" s="9" customFormat="1" ht="21.95" customHeight="1" x14ac:dyDescent="0.15"/>
    <row r="36185" s="9" customFormat="1" ht="21.95" customHeight="1" x14ac:dyDescent="0.15"/>
    <row r="36186" s="9" customFormat="1" ht="21.95" customHeight="1" x14ac:dyDescent="0.15"/>
    <row r="36187" s="9" customFormat="1" ht="21.95" customHeight="1" x14ac:dyDescent="0.15"/>
    <row r="36188" s="9" customFormat="1" ht="21.95" customHeight="1" x14ac:dyDescent="0.15"/>
    <row r="36189" s="9" customFormat="1" ht="21.95" customHeight="1" x14ac:dyDescent="0.15"/>
    <row r="36190" s="9" customFormat="1" ht="21.95" customHeight="1" x14ac:dyDescent="0.15"/>
    <row r="36191" s="9" customFormat="1" ht="21.95" customHeight="1" x14ac:dyDescent="0.15"/>
    <row r="36192" s="9" customFormat="1" ht="21.95" customHeight="1" x14ac:dyDescent="0.15"/>
    <row r="36193" s="9" customFormat="1" ht="21.95" customHeight="1" x14ac:dyDescent="0.15"/>
    <row r="36194" s="9" customFormat="1" ht="21.95" customHeight="1" x14ac:dyDescent="0.15"/>
    <row r="36195" s="9" customFormat="1" ht="21.95" customHeight="1" x14ac:dyDescent="0.15"/>
    <row r="36196" s="9" customFormat="1" ht="21.95" customHeight="1" x14ac:dyDescent="0.15"/>
    <row r="36197" s="9" customFormat="1" ht="21.95" customHeight="1" x14ac:dyDescent="0.15"/>
    <row r="36198" s="9" customFormat="1" ht="35.1" customHeight="1" x14ac:dyDescent="0.15"/>
    <row r="36199" s="9" customFormat="1" ht="21.95" customHeight="1" x14ac:dyDescent="0.15"/>
    <row r="36200" s="9" customFormat="1" ht="21.95" customHeight="1" x14ac:dyDescent="0.15"/>
    <row r="36201" s="9" customFormat="1" ht="21.95" customHeight="1" x14ac:dyDescent="0.15"/>
    <row r="36202" s="9" customFormat="1" ht="21.95" customHeight="1" x14ac:dyDescent="0.15"/>
    <row r="36203" s="9" customFormat="1" ht="21.95" customHeight="1" x14ac:dyDescent="0.15"/>
    <row r="36204" s="9" customFormat="1" ht="21.95" customHeight="1" x14ac:dyDescent="0.15"/>
    <row r="36205" s="9" customFormat="1" ht="21.95" customHeight="1" x14ac:dyDescent="0.15"/>
    <row r="36206" s="9" customFormat="1" ht="21.95" customHeight="1" x14ac:dyDescent="0.15"/>
    <row r="36207" s="9" customFormat="1" ht="21.95" customHeight="1" x14ac:dyDescent="0.15"/>
    <row r="36208" s="9" customFormat="1" ht="21.95" customHeight="1" x14ac:dyDescent="0.15"/>
    <row r="36209" spans="3:3" s="9" customFormat="1" ht="21.95" customHeight="1" x14ac:dyDescent="0.15"/>
    <row r="36210" spans="3:3" s="9" customFormat="1" ht="21.95" customHeight="1" x14ac:dyDescent="0.15"/>
    <row r="36211" spans="3:3" s="9" customFormat="1" ht="21.95" customHeight="1" x14ac:dyDescent="0.15"/>
    <row r="36212" spans="3:3" s="9" customFormat="1" ht="21.95" customHeight="1" x14ac:dyDescent="0.15"/>
    <row r="36213" spans="3:3" s="9" customFormat="1" ht="21.95" customHeight="1" x14ac:dyDescent="0.15"/>
    <row r="36214" spans="3:3" s="9" customFormat="1" ht="21.95" customHeight="1" x14ac:dyDescent="0.15"/>
    <row r="36215" spans="3:3" s="9" customFormat="1" ht="21.95" customHeight="1" x14ac:dyDescent="0.15"/>
    <row r="36216" spans="3:3" s="9" customFormat="1" ht="21.95" customHeight="1" x14ac:dyDescent="0.15"/>
    <row r="36217" spans="3:3" s="9" customFormat="1" ht="21.95" customHeight="1" x14ac:dyDescent="0.15"/>
    <row r="36218" spans="3:3" s="9" customFormat="1" ht="21.95" customHeight="1" x14ac:dyDescent="0.15"/>
    <row r="36219" spans="3:3" s="9" customFormat="1" ht="21.95" customHeight="1" x14ac:dyDescent="0.15"/>
    <row r="36220" spans="3:3" s="9" customFormat="1" ht="21.95" customHeight="1" x14ac:dyDescent="0.15"/>
    <row r="36221" spans="3:3" s="9" customFormat="1" ht="21.95" customHeight="1" x14ac:dyDescent="0.15"/>
    <row r="36222" spans="3:3" s="8" customFormat="1" ht="21.95" customHeight="1" x14ac:dyDescent="0.15"/>
    <row r="36223" spans="3:3" s="8" customFormat="1" ht="21.95" customHeight="1" x14ac:dyDescent="0.15"/>
    <row r="36224" spans="3:3" s="8" customFormat="1" ht="21.95" customHeight="1" x14ac:dyDescent="0.15">
      <c r="C36224" s="101"/>
    </row>
    <row r="36225" spans="3:3" s="8" customFormat="1" ht="21.95" customHeight="1" x14ac:dyDescent="0.15">
      <c r="C36225" s="101"/>
    </row>
    <row r="36226" spans="3:3" s="8" customFormat="1" ht="21.95" customHeight="1" x14ac:dyDescent="0.15"/>
    <row r="36227" spans="3:3" s="8" customFormat="1" ht="21.95" customHeight="1" x14ac:dyDescent="0.15"/>
    <row r="36228" spans="3:3" s="8" customFormat="1" ht="21.95" customHeight="1" x14ac:dyDescent="0.15"/>
    <row r="36229" spans="3:3" s="8" customFormat="1" ht="21.95" customHeight="1" x14ac:dyDescent="0.15"/>
    <row r="36230" spans="3:3" s="8" customFormat="1" ht="21.95" customHeight="1" x14ac:dyDescent="0.15"/>
    <row r="36231" spans="3:3" s="8" customFormat="1" ht="21.95" customHeight="1" x14ac:dyDescent="0.15"/>
    <row r="36232" spans="3:3" s="8" customFormat="1" ht="21.95" customHeight="1" x14ac:dyDescent="0.15"/>
    <row r="36233" spans="3:3" s="9" customFormat="1" ht="21.95" customHeight="1" x14ac:dyDescent="0.15"/>
    <row r="36234" spans="3:3" s="9" customFormat="1" ht="21.95" customHeight="1" x14ac:dyDescent="0.15"/>
    <row r="36235" spans="3:3" s="9" customFormat="1" ht="21.95" customHeight="1" x14ac:dyDescent="0.15"/>
    <row r="36236" spans="3:3" s="9" customFormat="1" ht="21.95" customHeight="1" x14ac:dyDescent="0.15"/>
    <row r="36237" spans="3:3" s="8" customFormat="1" ht="21.95" customHeight="1" x14ac:dyDescent="0.15"/>
    <row r="36238" spans="3:3" s="8" customFormat="1" ht="21.95" customHeight="1" x14ac:dyDescent="0.15"/>
    <row r="36239" spans="3:3" s="8" customFormat="1" ht="21.95" customHeight="1" x14ac:dyDescent="0.15"/>
    <row r="36240" spans="3:3" s="8" customFormat="1" ht="21.95" customHeight="1" x14ac:dyDescent="0.15"/>
    <row r="36241" s="8" customFormat="1" ht="21.95" customHeight="1" x14ac:dyDescent="0.15"/>
    <row r="36242" s="8" customFormat="1" ht="21.95" customHeight="1" x14ac:dyDescent="0.15"/>
    <row r="36243" s="8" customFormat="1" ht="21.95" customHeight="1" x14ac:dyDescent="0.15"/>
    <row r="36244" s="8" customFormat="1" ht="21.95" customHeight="1" x14ac:dyDescent="0.15"/>
    <row r="36245" s="8" customFormat="1" ht="21.95" customHeight="1" x14ac:dyDescent="0.15"/>
    <row r="36246" s="8" customFormat="1" ht="21.95" customHeight="1" x14ac:dyDescent="0.15"/>
    <row r="36247" s="8" customFormat="1" ht="21.95" customHeight="1" x14ac:dyDescent="0.15"/>
    <row r="36248" s="8" customFormat="1" ht="32.1" customHeight="1" x14ac:dyDescent="0.15"/>
    <row r="36249" s="8" customFormat="1" ht="32.1" customHeight="1" x14ac:dyDescent="0.15"/>
    <row r="36250" s="8" customFormat="1" ht="32.1" customHeight="1" x14ac:dyDescent="0.15"/>
    <row r="36251" s="8" customFormat="1" ht="32.1" customHeight="1" x14ac:dyDescent="0.15"/>
    <row r="36252" s="8" customFormat="1" ht="32.1" customHeight="1" x14ac:dyDescent="0.15"/>
    <row r="36253" s="8" customFormat="1" ht="32.1" customHeight="1" x14ac:dyDescent="0.15"/>
    <row r="36254" s="9" customFormat="1" ht="32.1" customHeight="1" x14ac:dyDescent="0.15"/>
    <row r="36255" s="9" customFormat="1" ht="32.1" customHeight="1" x14ac:dyDescent="0.15"/>
    <row r="36256" s="9" customFormat="1" ht="32.1" customHeight="1" x14ac:dyDescent="0.15"/>
    <row r="36257" s="9" customFormat="1" ht="32.1" customHeight="1" x14ac:dyDescent="0.15"/>
    <row r="36258" s="9" customFormat="1" ht="21.95" customHeight="1" x14ac:dyDescent="0.15"/>
    <row r="36259" s="9" customFormat="1" ht="54" customHeight="1" x14ac:dyDescent="0.15"/>
    <row r="36260" s="9" customFormat="1" ht="21.95" customHeight="1" x14ac:dyDescent="0.15"/>
    <row r="36261" s="9" customFormat="1" ht="21.95" customHeight="1" x14ac:dyDescent="0.15"/>
    <row r="36262" s="9" customFormat="1" ht="21.95" customHeight="1" x14ac:dyDescent="0.15"/>
    <row r="36263" s="9" customFormat="1" ht="21.95" customHeight="1" x14ac:dyDescent="0.15"/>
    <row r="36264" s="9" customFormat="1" ht="21.95" customHeight="1" x14ac:dyDescent="0.15"/>
    <row r="36265" s="9" customFormat="1" ht="21.95" customHeight="1" x14ac:dyDescent="0.15"/>
    <row r="36266" s="9" customFormat="1" ht="21.95" customHeight="1" x14ac:dyDescent="0.15"/>
    <row r="36267" s="9" customFormat="1" ht="21.95" customHeight="1" x14ac:dyDescent="0.15"/>
    <row r="36268" s="9" customFormat="1" ht="21.95" customHeight="1" x14ac:dyDescent="0.15"/>
    <row r="36269" s="9" customFormat="1" ht="21.95" customHeight="1" x14ac:dyDescent="0.15"/>
    <row r="36270" s="9" customFormat="1" ht="21.95" customHeight="1" x14ac:dyDescent="0.15"/>
    <row r="36271" s="9" customFormat="1" ht="21.95" customHeight="1" x14ac:dyDescent="0.15"/>
    <row r="36272" s="9" customFormat="1" ht="21.95" customHeight="1" x14ac:dyDescent="0.15"/>
    <row r="36273" s="9" customFormat="1" ht="21.95" customHeight="1" x14ac:dyDescent="0.15"/>
    <row r="36274" s="9" customFormat="1" ht="21.95" customHeight="1" x14ac:dyDescent="0.15"/>
    <row r="36275" s="9" customFormat="1" ht="21.95" customHeight="1" x14ac:dyDescent="0.15"/>
    <row r="36276" s="9" customFormat="1" ht="21.95" customHeight="1" x14ac:dyDescent="0.15"/>
    <row r="36277" s="9" customFormat="1" ht="21.95" customHeight="1" x14ac:dyDescent="0.15"/>
    <row r="36278" s="9" customFormat="1" ht="21.95" customHeight="1" x14ac:dyDescent="0.15"/>
    <row r="36279" s="9" customFormat="1" ht="21.95" customHeight="1" x14ac:dyDescent="0.15"/>
    <row r="36280" s="9" customFormat="1" ht="21.95" customHeight="1" x14ac:dyDescent="0.15"/>
    <row r="36281" s="9" customFormat="1" ht="21.95" customHeight="1" x14ac:dyDescent="0.15"/>
    <row r="36282" s="9" customFormat="1" ht="21.95" customHeight="1" x14ac:dyDescent="0.15"/>
    <row r="36283" s="9" customFormat="1" ht="21.95" customHeight="1" x14ac:dyDescent="0.15"/>
    <row r="36284" s="9" customFormat="1" ht="21.95" customHeight="1" x14ac:dyDescent="0.15"/>
    <row r="36285" s="9" customFormat="1" ht="21.95" customHeight="1" x14ac:dyDescent="0.15"/>
    <row r="36286" s="9" customFormat="1" ht="21.95" customHeight="1" x14ac:dyDescent="0.15"/>
    <row r="36287" s="9" customFormat="1" ht="21.95" customHeight="1" x14ac:dyDescent="0.15"/>
    <row r="36288" s="9" customFormat="1" ht="21.95" customHeight="1" x14ac:dyDescent="0.15"/>
    <row r="36289" s="9" customFormat="1" ht="21.95" customHeight="1" x14ac:dyDescent="0.15"/>
    <row r="36290" s="9" customFormat="1" ht="21.95" customHeight="1" x14ac:dyDescent="0.15"/>
    <row r="36291" s="9" customFormat="1" ht="21.95" customHeight="1" x14ac:dyDescent="0.15"/>
    <row r="36292" s="9" customFormat="1" ht="21.95" customHeight="1" x14ac:dyDescent="0.15"/>
    <row r="36293" s="9" customFormat="1" ht="21.95" customHeight="1" x14ac:dyDescent="0.15"/>
    <row r="36294" s="9" customFormat="1" ht="21.95" customHeight="1" x14ac:dyDescent="0.15"/>
    <row r="36295" s="9" customFormat="1" ht="21.95" customHeight="1" x14ac:dyDescent="0.15"/>
    <row r="36296" s="9" customFormat="1" ht="21.95" customHeight="1" x14ac:dyDescent="0.15"/>
    <row r="36297" s="9" customFormat="1" ht="21.95" customHeight="1" x14ac:dyDescent="0.15"/>
    <row r="36298" s="9" customFormat="1" ht="21.95" customHeight="1" x14ac:dyDescent="0.15"/>
    <row r="36299" s="9" customFormat="1" ht="21.95" customHeight="1" x14ac:dyDescent="0.15"/>
    <row r="36300" s="9" customFormat="1" ht="21.95" customHeight="1" x14ac:dyDescent="0.15"/>
    <row r="36301" s="9" customFormat="1" ht="21.95" customHeight="1" x14ac:dyDescent="0.15"/>
    <row r="36302" s="9" customFormat="1" ht="21.95" customHeight="1" x14ac:dyDescent="0.15"/>
    <row r="36303" s="9" customFormat="1" ht="21.95" customHeight="1" x14ac:dyDescent="0.15"/>
    <row r="36304" s="9" customFormat="1" ht="21.95" customHeight="1" x14ac:dyDescent="0.15"/>
    <row r="36305" s="9" customFormat="1" ht="21.95" customHeight="1" x14ac:dyDescent="0.15"/>
    <row r="36306" s="9" customFormat="1" ht="21.95" customHeight="1" x14ac:dyDescent="0.15"/>
    <row r="36307" s="9" customFormat="1" ht="21.95" customHeight="1" x14ac:dyDescent="0.15"/>
    <row r="36308" s="9" customFormat="1" ht="21.95" customHeight="1" x14ac:dyDescent="0.15"/>
    <row r="36309" s="9" customFormat="1" ht="21.95" customHeight="1" x14ac:dyDescent="0.15"/>
    <row r="36310" s="9" customFormat="1" ht="35.1" customHeight="1" x14ac:dyDescent="0.15"/>
    <row r="36311" s="9" customFormat="1" ht="21.95" customHeight="1" x14ac:dyDescent="0.15"/>
    <row r="36312" s="9" customFormat="1" ht="21.95" customHeight="1" x14ac:dyDescent="0.15"/>
    <row r="36313" s="9" customFormat="1" ht="21.95" customHeight="1" x14ac:dyDescent="0.15"/>
    <row r="36314" s="9" customFormat="1" ht="21.95" customHeight="1" x14ac:dyDescent="0.15"/>
    <row r="36315" s="9" customFormat="1" ht="21.95" customHeight="1" x14ac:dyDescent="0.15"/>
    <row r="36316" s="9" customFormat="1" ht="21.95" customHeight="1" x14ac:dyDescent="0.15"/>
    <row r="36317" s="9" customFormat="1" ht="21.95" customHeight="1" x14ac:dyDescent="0.15"/>
    <row r="36318" s="9" customFormat="1" ht="21.95" customHeight="1" x14ac:dyDescent="0.15"/>
    <row r="36319" s="9" customFormat="1" ht="21.95" customHeight="1" x14ac:dyDescent="0.15"/>
    <row r="36320" s="9" customFormat="1" ht="21.95" customHeight="1" x14ac:dyDescent="0.15"/>
    <row r="36321" spans="3:3" s="9" customFormat="1" ht="21.95" customHeight="1" x14ac:dyDescent="0.15"/>
    <row r="36322" spans="3:3" s="9" customFormat="1" ht="21.95" customHeight="1" x14ac:dyDescent="0.15"/>
    <row r="36323" spans="3:3" s="9" customFormat="1" ht="21.95" customHeight="1" x14ac:dyDescent="0.15"/>
    <row r="36324" spans="3:3" s="9" customFormat="1" ht="21.95" customHeight="1" x14ac:dyDescent="0.15"/>
    <row r="36325" spans="3:3" s="9" customFormat="1" ht="21.95" customHeight="1" x14ac:dyDescent="0.15"/>
    <row r="36326" spans="3:3" s="9" customFormat="1" ht="21.95" customHeight="1" x14ac:dyDescent="0.15"/>
    <row r="36327" spans="3:3" s="9" customFormat="1" ht="21.95" customHeight="1" x14ac:dyDescent="0.15"/>
    <row r="36328" spans="3:3" s="9" customFormat="1" ht="21.95" customHeight="1" x14ac:dyDescent="0.15"/>
    <row r="36329" spans="3:3" s="9" customFormat="1" ht="21.95" customHeight="1" x14ac:dyDescent="0.15"/>
    <row r="36330" spans="3:3" s="9" customFormat="1" ht="21.95" customHeight="1" x14ac:dyDescent="0.15"/>
    <row r="36331" spans="3:3" s="9" customFormat="1" ht="21.95" customHeight="1" x14ac:dyDescent="0.15"/>
    <row r="36332" spans="3:3" s="9" customFormat="1" ht="21.95" customHeight="1" x14ac:dyDescent="0.15"/>
    <row r="36333" spans="3:3" s="9" customFormat="1" ht="21.95" customHeight="1" x14ac:dyDescent="0.15"/>
    <row r="36334" spans="3:3" s="8" customFormat="1" ht="21.95" customHeight="1" x14ac:dyDescent="0.15"/>
    <row r="36335" spans="3:3" s="8" customFormat="1" ht="21.95" customHeight="1" x14ac:dyDescent="0.15"/>
    <row r="36336" spans="3:3" s="8" customFormat="1" ht="21.95" customHeight="1" x14ac:dyDescent="0.15">
      <c r="C36336" s="101"/>
    </row>
    <row r="36337" spans="3:3" s="8" customFormat="1" ht="21.95" customHeight="1" x14ac:dyDescent="0.15">
      <c r="C36337" s="101"/>
    </row>
    <row r="36338" spans="3:3" s="8" customFormat="1" ht="21.95" customHeight="1" x14ac:dyDescent="0.15"/>
    <row r="36339" spans="3:3" s="8" customFormat="1" ht="21.95" customHeight="1" x14ac:dyDescent="0.15"/>
    <row r="36340" spans="3:3" s="8" customFormat="1" ht="21.95" customHeight="1" x14ac:dyDescent="0.15"/>
    <row r="36341" spans="3:3" s="8" customFormat="1" ht="21.95" customHeight="1" x14ac:dyDescent="0.15"/>
    <row r="36342" spans="3:3" s="8" customFormat="1" ht="21.95" customHeight="1" x14ac:dyDescent="0.15"/>
    <row r="36343" spans="3:3" s="8" customFormat="1" ht="21.95" customHeight="1" x14ac:dyDescent="0.15"/>
    <row r="36344" spans="3:3" s="8" customFormat="1" ht="21.95" customHeight="1" x14ac:dyDescent="0.15"/>
    <row r="36345" spans="3:3" s="9" customFormat="1" ht="21.95" customHeight="1" x14ac:dyDescent="0.15"/>
    <row r="36346" spans="3:3" s="9" customFormat="1" ht="21.95" customHeight="1" x14ac:dyDescent="0.15"/>
    <row r="36347" spans="3:3" s="9" customFormat="1" ht="21.95" customHeight="1" x14ac:dyDescent="0.15"/>
    <row r="36348" spans="3:3" s="9" customFormat="1" ht="21.95" customHeight="1" x14ac:dyDescent="0.15"/>
    <row r="36349" spans="3:3" s="8" customFormat="1" ht="21.95" customHeight="1" x14ac:dyDescent="0.15"/>
    <row r="36350" spans="3:3" s="8" customFormat="1" ht="21.95" customHeight="1" x14ac:dyDescent="0.15"/>
    <row r="36351" spans="3:3" s="8" customFormat="1" ht="21.95" customHeight="1" x14ac:dyDescent="0.15"/>
    <row r="36352" spans="3:3" s="8" customFormat="1" ht="21.95" customHeight="1" x14ac:dyDescent="0.15"/>
    <row r="36353" s="8" customFormat="1" ht="21.95" customHeight="1" x14ac:dyDescent="0.15"/>
    <row r="36354" s="8" customFormat="1" ht="21.95" customHeight="1" x14ac:dyDescent="0.15"/>
    <row r="36355" s="8" customFormat="1" ht="21.95" customHeight="1" x14ac:dyDescent="0.15"/>
    <row r="36356" s="8" customFormat="1" ht="21.95" customHeight="1" x14ac:dyDescent="0.15"/>
    <row r="36357" s="8" customFormat="1" ht="21.95" customHeight="1" x14ac:dyDescent="0.15"/>
    <row r="36358" s="8" customFormat="1" ht="21.95" customHeight="1" x14ac:dyDescent="0.15"/>
    <row r="36359" s="8" customFormat="1" ht="21.95" customHeight="1" x14ac:dyDescent="0.15"/>
    <row r="36360" s="8" customFormat="1" ht="32.1" customHeight="1" x14ac:dyDescent="0.15"/>
    <row r="36361" s="8" customFormat="1" ht="32.1" customHeight="1" x14ac:dyDescent="0.15"/>
    <row r="36362" s="8" customFormat="1" ht="32.1" customHeight="1" x14ac:dyDescent="0.15"/>
    <row r="36363" s="8" customFormat="1" ht="32.1" customHeight="1" x14ac:dyDescent="0.15"/>
    <row r="36364" s="8" customFormat="1" ht="32.1" customHeight="1" x14ac:dyDescent="0.15"/>
    <row r="36365" s="8" customFormat="1" ht="32.1" customHeight="1" x14ac:dyDescent="0.15"/>
    <row r="36366" s="9" customFormat="1" ht="32.1" customHeight="1" x14ac:dyDescent="0.15"/>
    <row r="36367" s="9" customFormat="1" ht="32.1" customHeight="1" x14ac:dyDescent="0.15"/>
    <row r="36368" s="9" customFormat="1" ht="32.1" customHeight="1" x14ac:dyDescent="0.15"/>
    <row r="36369" s="9" customFormat="1" ht="32.1" customHeight="1" x14ac:dyDescent="0.15"/>
    <row r="36370" s="9" customFormat="1" ht="21.95" customHeight="1" x14ac:dyDescent="0.15"/>
    <row r="36371" s="9" customFormat="1" ht="54" customHeight="1" x14ac:dyDescent="0.15"/>
    <row r="36372" s="9" customFormat="1" ht="21.95" customHeight="1" x14ac:dyDescent="0.15"/>
    <row r="36373" s="9" customFormat="1" ht="21.95" customHeight="1" x14ac:dyDescent="0.15"/>
    <row r="36374" s="9" customFormat="1" ht="21.95" customHeight="1" x14ac:dyDescent="0.15"/>
    <row r="36375" s="9" customFormat="1" ht="21.95" customHeight="1" x14ac:dyDescent="0.15"/>
    <row r="36376" s="9" customFormat="1" ht="21.95" customHeight="1" x14ac:dyDescent="0.15"/>
    <row r="36377" s="9" customFormat="1" ht="21.95" customHeight="1" x14ac:dyDescent="0.15"/>
    <row r="36378" s="9" customFormat="1" ht="21.95" customHeight="1" x14ac:dyDescent="0.15"/>
    <row r="36379" s="9" customFormat="1" ht="21.95" customHeight="1" x14ac:dyDescent="0.15"/>
    <row r="36380" s="9" customFormat="1" ht="21.95" customHeight="1" x14ac:dyDescent="0.15"/>
    <row r="36381" s="9" customFormat="1" ht="21.95" customHeight="1" x14ac:dyDescent="0.15"/>
    <row r="36382" s="9" customFormat="1" ht="21.95" customHeight="1" x14ac:dyDescent="0.15"/>
    <row r="36383" s="9" customFormat="1" ht="21.95" customHeight="1" x14ac:dyDescent="0.15"/>
    <row r="36384" s="9" customFormat="1" ht="21.95" customHeight="1" x14ac:dyDescent="0.15"/>
    <row r="36385" s="9" customFormat="1" ht="21.95" customHeight="1" x14ac:dyDescent="0.15"/>
    <row r="36386" s="9" customFormat="1" ht="21.95" customHeight="1" x14ac:dyDescent="0.15"/>
    <row r="36387" s="9" customFormat="1" ht="21.95" customHeight="1" x14ac:dyDescent="0.15"/>
    <row r="36388" s="9" customFormat="1" ht="21.95" customHeight="1" x14ac:dyDescent="0.15"/>
    <row r="36389" s="9" customFormat="1" ht="21.95" customHeight="1" x14ac:dyDescent="0.15"/>
    <row r="36390" s="9" customFormat="1" ht="21.95" customHeight="1" x14ac:dyDescent="0.15"/>
    <row r="36391" s="9" customFormat="1" ht="21.95" customHeight="1" x14ac:dyDescent="0.15"/>
    <row r="36392" s="9" customFormat="1" ht="21.95" customHeight="1" x14ac:dyDescent="0.15"/>
    <row r="36393" s="9" customFormat="1" ht="21.95" customHeight="1" x14ac:dyDescent="0.15"/>
    <row r="36394" s="9" customFormat="1" ht="21.95" customHeight="1" x14ac:dyDescent="0.15"/>
    <row r="36395" s="9" customFormat="1" ht="21.95" customHeight="1" x14ac:dyDescent="0.15"/>
    <row r="36396" s="9" customFormat="1" ht="21.95" customHeight="1" x14ac:dyDescent="0.15"/>
    <row r="36397" s="9" customFormat="1" ht="21.95" customHeight="1" x14ac:dyDescent="0.15"/>
    <row r="36398" s="9" customFormat="1" ht="21.95" customHeight="1" x14ac:dyDescent="0.15"/>
    <row r="36399" s="9" customFormat="1" ht="21.95" customHeight="1" x14ac:dyDescent="0.15"/>
    <row r="36400" s="9" customFormat="1" ht="21.95" customHeight="1" x14ac:dyDescent="0.15"/>
    <row r="36401" s="9" customFormat="1" ht="21.95" customHeight="1" x14ac:dyDescent="0.15"/>
    <row r="36402" s="9" customFormat="1" ht="21.95" customHeight="1" x14ac:dyDescent="0.15"/>
    <row r="36403" s="9" customFormat="1" ht="21.95" customHeight="1" x14ac:dyDescent="0.15"/>
    <row r="36404" s="9" customFormat="1" ht="21.95" customHeight="1" x14ac:dyDescent="0.15"/>
    <row r="36405" s="9" customFormat="1" ht="21.95" customHeight="1" x14ac:dyDescent="0.15"/>
    <row r="36406" s="9" customFormat="1" ht="21.95" customHeight="1" x14ac:dyDescent="0.15"/>
    <row r="36407" s="9" customFormat="1" ht="21.95" customHeight="1" x14ac:dyDescent="0.15"/>
    <row r="36408" s="9" customFormat="1" ht="21.95" customHeight="1" x14ac:dyDescent="0.15"/>
    <row r="36409" s="9" customFormat="1" ht="21.95" customHeight="1" x14ac:dyDescent="0.15"/>
    <row r="36410" s="9" customFormat="1" ht="21.95" customHeight="1" x14ac:dyDescent="0.15"/>
    <row r="36411" s="9" customFormat="1" ht="21.95" customHeight="1" x14ac:dyDescent="0.15"/>
    <row r="36412" s="9" customFormat="1" ht="21.95" customHeight="1" x14ac:dyDescent="0.15"/>
    <row r="36413" s="9" customFormat="1" ht="21.95" customHeight="1" x14ac:dyDescent="0.15"/>
    <row r="36414" s="9" customFormat="1" ht="21.95" customHeight="1" x14ac:dyDescent="0.15"/>
    <row r="36415" s="9" customFormat="1" ht="21.95" customHeight="1" x14ac:dyDescent="0.15"/>
    <row r="36416" s="9" customFormat="1" ht="21.95" customHeight="1" x14ac:dyDescent="0.15"/>
    <row r="36417" s="9" customFormat="1" ht="21.95" customHeight="1" x14ac:dyDescent="0.15"/>
    <row r="36418" s="9" customFormat="1" ht="21.95" customHeight="1" x14ac:dyDescent="0.15"/>
    <row r="36419" s="9" customFormat="1" ht="21.95" customHeight="1" x14ac:dyDescent="0.15"/>
    <row r="36420" s="9" customFormat="1" ht="21.95" customHeight="1" x14ac:dyDescent="0.15"/>
    <row r="36421" s="9" customFormat="1" ht="21.95" customHeight="1" x14ac:dyDescent="0.15"/>
    <row r="36422" s="9" customFormat="1" ht="35.1" customHeight="1" x14ac:dyDescent="0.15"/>
    <row r="36423" s="9" customFormat="1" ht="21.95" customHeight="1" x14ac:dyDescent="0.15"/>
    <row r="36424" s="9" customFormat="1" ht="21.95" customHeight="1" x14ac:dyDescent="0.15"/>
    <row r="36425" s="9" customFormat="1" ht="21.95" customHeight="1" x14ac:dyDescent="0.15"/>
    <row r="36426" s="9" customFormat="1" ht="21.95" customHeight="1" x14ac:dyDescent="0.15"/>
    <row r="36427" s="9" customFormat="1" ht="21.95" customHeight="1" x14ac:dyDescent="0.15"/>
    <row r="36428" s="9" customFormat="1" ht="21.95" customHeight="1" x14ac:dyDescent="0.15"/>
    <row r="36429" s="9" customFormat="1" ht="21.95" customHeight="1" x14ac:dyDescent="0.15"/>
    <row r="36430" s="9" customFormat="1" ht="21.95" customHeight="1" x14ac:dyDescent="0.15"/>
    <row r="36431" s="9" customFormat="1" ht="21.95" customHeight="1" x14ac:dyDescent="0.15"/>
    <row r="36432" s="9" customFormat="1" ht="21.95" customHeight="1" x14ac:dyDescent="0.15"/>
    <row r="36433" spans="3:3" s="9" customFormat="1" ht="21.95" customHeight="1" x14ac:dyDescent="0.15"/>
    <row r="36434" spans="3:3" s="9" customFormat="1" ht="21.95" customHeight="1" x14ac:dyDescent="0.15"/>
    <row r="36435" spans="3:3" s="9" customFormat="1" ht="21.95" customHeight="1" x14ac:dyDescent="0.15"/>
    <row r="36436" spans="3:3" s="9" customFormat="1" ht="21.95" customHeight="1" x14ac:dyDescent="0.15"/>
    <row r="36437" spans="3:3" s="9" customFormat="1" ht="21.95" customHeight="1" x14ac:dyDescent="0.15"/>
    <row r="36438" spans="3:3" s="9" customFormat="1" ht="21.95" customHeight="1" x14ac:dyDescent="0.15"/>
    <row r="36439" spans="3:3" s="9" customFormat="1" ht="21.95" customHeight="1" x14ac:dyDescent="0.15"/>
    <row r="36440" spans="3:3" s="9" customFormat="1" ht="21.95" customHeight="1" x14ac:dyDescent="0.15"/>
    <row r="36441" spans="3:3" s="9" customFormat="1" ht="21.95" customHeight="1" x14ac:dyDescent="0.15"/>
    <row r="36442" spans="3:3" s="9" customFormat="1" ht="21.95" customHeight="1" x14ac:dyDescent="0.15"/>
    <row r="36443" spans="3:3" s="9" customFormat="1" ht="21.95" customHeight="1" x14ac:dyDescent="0.15"/>
    <row r="36444" spans="3:3" s="9" customFormat="1" ht="21.95" customHeight="1" x14ac:dyDescent="0.15"/>
    <row r="36445" spans="3:3" s="9" customFormat="1" ht="21.95" customHeight="1" x14ac:dyDescent="0.15"/>
    <row r="36446" spans="3:3" s="8" customFormat="1" ht="21.95" customHeight="1" x14ac:dyDescent="0.15"/>
    <row r="36447" spans="3:3" s="8" customFormat="1" ht="21.95" customHeight="1" x14ac:dyDescent="0.15"/>
    <row r="36448" spans="3:3" s="8" customFormat="1" ht="21.95" customHeight="1" x14ac:dyDescent="0.15">
      <c r="C36448" s="101"/>
    </row>
    <row r="36449" spans="3:3" s="8" customFormat="1" ht="21.95" customHeight="1" x14ac:dyDescent="0.15">
      <c r="C36449" s="101"/>
    </row>
    <row r="36450" spans="3:3" s="8" customFormat="1" ht="21.95" customHeight="1" x14ac:dyDescent="0.15"/>
    <row r="36451" spans="3:3" s="8" customFormat="1" ht="21.95" customHeight="1" x14ac:dyDescent="0.15"/>
    <row r="36452" spans="3:3" s="8" customFormat="1" ht="21.95" customHeight="1" x14ac:dyDescent="0.15"/>
    <row r="36453" spans="3:3" s="8" customFormat="1" ht="21.95" customHeight="1" x14ac:dyDescent="0.15"/>
    <row r="36454" spans="3:3" s="8" customFormat="1" ht="21.95" customHeight="1" x14ac:dyDescent="0.15"/>
    <row r="36455" spans="3:3" s="8" customFormat="1" ht="21.95" customHeight="1" x14ac:dyDescent="0.15"/>
    <row r="36456" spans="3:3" s="8" customFormat="1" ht="21.95" customHeight="1" x14ac:dyDescent="0.15"/>
    <row r="36457" spans="3:3" s="9" customFormat="1" ht="21.95" customHeight="1" x14ac:dyDescent="0.15"/>
    <row r="36458" spans="3:3" s="9" customFormat="1" ht="21.95" customHeight="1" x14ac:dyDescent="0.15"/>
    <row r="36459" spans="3:3" s="9" customFormat="1" ht="21.95" customHeight="1" x14ac:dyDescent="0.15"/>
    <row r="36460" spans="3:3" s="9" customFormat="1" ht="21.95" customHeight="1" x14ac:dyDescent="0.15"/>
    <row r="36461" spans="3:3" s="8" customFormat="1" ht="21.95" customHeight="1" x14ac:dyDescent="0.15"/>
    <row r="36462" spans="3:3" s="8" customFormat="1" ht="21.95" customHeight="1" x14ac:dyDescent="0.15"/>
    <row r="36463" spans="3:3" s="8" customFormat="1" ht="21.95" customHeight="1" x14ac:dyDescent="0.15"/>
    <row r="36464" spans="3:3" s="8" customFormat="1" ht="21.95" customHeight="1" x14ac:dyDescent="0.15"/>
    <row r="36465" s="8" customFormat="1" ht="21.95" customHeight="1" x14ac:dyDescent="0.15"/>
    <row r="36466" s="8" customFormat="1" ht="21.95" customHeight="1" x14ac:dyDescent="0.15"/>
    <row r="36467" s="8" customFormat="1" ht="21.95" customHeight="1" x14ac:dyDescent="0.15"/>
    <row r="36468" s="8" customFormat="1" ht="21.95" customHeight="1" x14ac:dyDescent="0.15"/>
    <row r="36469" s="8" customFormat="1" ht="21.95" customHeight="1" x14ac:dyDescent="0.15"/>
    <row r="36470" s="8" customFormat="1" ht="21.95" customHeight="1" x14ac:dyDescent="0.15"/>
    <row r="36471" s="8" customFormat="1" ht="21.95" customHeight="1" x14ac:dyDescent="0.15"/>
    <row r="36472" s="8" customFormat="1" ht="32.1" customHeight="1" x14ac:dyDescent="0.15"/>
    <row r="36473" s="8" customFormat="1" ht="32.1" customHeight="1" x14ac:dyDescent="0.15"/>
    <row r="36474" s="8" customFormat="1" ht="32.1" customHeight="1" x14ac:dyDescent="0.15"/>
    <row r="36475" s="8" customFormat="1" ht="32.1" customHeight="1" x14ac:dyDescent="0.15"/>
    <row r="36476" s="8" customFormat="1" ht="32.1" customHeight="1" x14ac:dyDescent="0.15"/>
    <row r="36477" s="8" customFormat="1" ht="32.1" customHeight="1" x14ac:dyDescent="0.15"/>
    <row r="36478" s="9" customFormat="1" ht="32.1" customHeight="1" x14ac:dyDescent="0.15"/>
    <row r="36479" s="9" customFormat="1" ht="32.1" customHeight="1" x14ac:dyDescent="0.15"/>
    <row r="36480" s="9" customFormat="1" ht="32.1" customHeight="1" x14ac:dyDescent="0.15"/>
    <row r="36481" s="9" customFormat="1" ht="32.1" customHeight="1" x14ac:dyDescent="0.15"/>
    <row r="36482" s="9" customFormat="1" ht="21.95" customHeight="1" x14ac:dyDescent="0.15"/>
    <row r="36483" s="9" customFormat="1" ht="54" customHeight="1" x14ac:dyDescent="0.15"/>
    <row r="36484" s="9" customFormat="1" ht="21.95" customHeight="1" x14ac:dyDescent="0.15"/>
    <row r="36485" s="9" customFormat="1" ht="21.95" customHeight="1" x14ac:dyDescent="0.15"/>
    <row r="36486" s="9" customFormat="1" ht="21.95" customHeight="1" x14ac:dyDescent="0.15"/>
    <row r="36487" s="9" customFormat="1" ht="21.95" customHeight="1" x14ac:dyDescent="0.15"/>
    <row r="36488" s="9" customFormat="1" ht="21.95" customHeight="1" x14ac:dyDescent="0.15"/>
    <row r="36489" s="9" customFormat="1" ht="21.95" customHeight="1" x14ac:dyDescent="0.15"/>
    <row r="36490" s="9" customFormat="1" ht="21.95" customHeight="1" x14ac:dyDescent="0.15"/>
    <row r="36491" s="9" customFormat="1" ht="21.95" customHeight="1" x14ac:dyDescent="0.15"/>
    <row r="36492" s="9" customFormat="1" ht="21.95" customHeight="1" x14ac:dyDescent="0.15"/>
    <row r="36493" s="9" customFormat="1" ht="21.95" customHeight="1" x14ac:dyDescent="0.15"/>
    <row r="36494" s="9" customFormat="1" ht="21.95" customHeight="1" x14ac:dyDescent="0.15"/>
    <row r="36495" s="9" customFormat="1" ht="21.95" customHeight="1" x14ac:dyDescent="0.15"/>
    <row r="36496" s="9" customFormat="1" ht="21.95" customHeight="1" x14ac:dyDescent="0.15"/>
    <row r="36497" s="9" customFormat="1" ht="21.95" customHeight="1" x14ac:dyDescent="0.15"/>
    <row r="36498" s="9" customFormat="1" ht="21.95" customHeight="1" x14ac:dyDescent="0.15"/>
    <row r="36499" s="9" customFormat="1" ht="21.95" customHeight="1" x14ac:dyDescent="0.15"/>
    <row r="36500" s="9" customFormat="1" ht="21.95" customHeight="1" x14ac:dyDescent="0.15"/>
    <row r="36501" s="9" customFormat="1" ht="21.95" customHeight="1" x14ac:dyDescent="0.15"/>
    <row r="36502" s="9" customFormat="1" ht="21.95" customHeight="1" x14ac:dyDescent="0.15"/>
    <row r="36503" s="9" customFormat="1" ht="21.95" customHeight="1" x14ac:dyDescent="0.15"/>
    <row r="36504" s="9" customFormat="1" ht="21.95" customHeight="1" x14ac:dyDescent="0.15"/>
    <row r="36505" s="9" customFormat="1" ht="21.95" customHeight="1" x14ac:dyDescent="0.15"/>
    <row r="36506" s="9" customFormat="1" ht="21.95" customHeight="1" x14ac:dyDescent="0.15"/>
    <row r="36507" s="9" customFormat="1" ht="21.95" customHeight="1" x14ac:dyDescent="0.15"/>
    <row r="36508" s="9" customFormat="1" ht="21.95" customHeight="1" x14ac:dyDescent="0.15"/>
    <row r="36509" s="9" customFormat="1" ht="21.95" customHeight="1" x14ac:dyDescent="0.15"/>
    <row r="36510" s="9" customFormat="1" ht="21.95" customHeight="1" x14ac:dyDescent="0.15"/>
    <row r="36511" s="9" customFormat="1" ht="21.95" customHeight="1" x14ac:dyDescent="0.15"/>
    <row r="36512" s="9" customFormat="1" ht="21.95" customHeight="1" x14ac:dyDescent="0.15"/>
    <row r="36513" s="9" customFormat="1" ht="21.95" customHeight="1" x14ac:dyDescent="0.15"/>
    <row r="36514" s="9" customFormat="1" ht="21.95" customHeight="1" x14ac:dyDescent="0.15"/>
    <row r="36515" s="9" customFormat="1" ht="21.95" customHeight="1" x14ac:dyDescent="0.15"/>
    <row r="36516" s="9" customFormat="1" ht="21.95" customHeight="1" x14ac:dyDescent="0.15"/>
    <row r="36517" s="9" customFormat="1" ht="21.95" customHeight="1" x14ac:dyDescent="0.15"/>
    <row r="36518" s="9" customFormat="1" ht="21.95" customHeight="1" x14ac:dyDescent="0.15"/>
    <row r="36519" s="9" customFormat="1" ht="21.95" customHeight="1" x14ac:dyDescent="0.15"/>
    <row r="36520" s="9" customFormat="1" ht="21.95" customHeight="1" x14ac:dyDescent="0.15"/>
    <row r="36521" s="9" customFormat="1" ht="21.95" customHeight="1" x14ac:dyDescent="0.15"/>
    <row r="36522" s="9" customFormat="1" ht="21.95" customHeight="1" x14ac:dyDescent="0.15"/>
    <row r="36523" s="9" customFormat="1" ht="21.95" customHeight="1" x14ac:dyDescent="0.15"/>
    <row r="36524" s="9" customFormat="1" ht="21.95" customHeight="1" x14ac:dyDescent="0.15"/>
    <row r="36525" s="9" customFormat="1" ht="21.95" customHeight="1" x14ac:dyDescent="0.15"/>
    <row r="36526" s="9" customFormat="1" ht="21.95" customHeight="1" x14ac:dyDescent="0.15"/>
    <row r="36527" s="9" customFormat="1" ht="21.95" customHeight="1" x14ac:dyDescent="0.15"/>
    <row r="36528" s="9" customFormat="1" ht="21.95" customHeight="1" x14ac:dyDescent="0.15"/>
    <row r="36529" s="9" customFormat="1" ht="21.95" customHeight="1" x14ac:dyDescent="0.15"/>
    <row r="36530" s="9" customFormat="1" ht="21.95" customHeight="1" x14ac:dyDescent="0.15"/>
    <row r="36531" s="9" customFormat="1" ht="21.95" customHeight="1" x14ac:dyDescent="0.15"/>
    <row r="36532" s="9" customFormat="1" ht="21.95" customHeight="1" x14ac:dyDescent="0.15"/>
    <row r="36533" s="9" customFormat="1" ht="21.95" customHeight="1" x14ac:dyDescent="0.15"/>
    <row r="36534" s="9" customFormat="1" ht="35.1" customHeight="1" x14ac:dyDescent="0.15"/>
    <row r="36535" s="9" customFormat="1" ht="21.95" customHeight="1" x14ac:dyDescent="0.15"/>
    <row r="36536" s="9" customFormat="1" ht="21.95" customHeight="1" x14ac:dyDescent="0.15"/>
    <row r="36537" s="9" customFormat="1" ht="21.95" customHeight="1" x14ac:dyDescent="0.15"/>
    <row r="36538" s="9" customFormat="1" ht="21.95" customHeight="1" x14ac:dyDescent="0.15"/>
    <row r="36539" s="9" customFormat="1" ht="21.95" customHeight="1" x14ac:dyDescent="0.15"/>
    <row r="36540" s="9" customFormat="1" ht="21.95" customHeight="1" x14ac:dyDescent="0.15"/>
    <row r="36541" s="9" customFormat="1" ht="21.95" customHeight="1" x14ac:dyDescent="0.15"/>
    <row r="36542" s="9" customFormat="1" ht="21.95" customHeight="1" x14ac:dyDescent="0.15"/>
    <row r="36543" s="9" customFormat="1" ht="21.95" customHeight="1" x14ac:dyDescent="0.15"/>
    <row r="36544" s="9" customFormat="1" ht="21.95" customHeight="1" x14ac:dyDescent="0.15"/>
    <row r="36545" spans="3:3" s="9" customFormat="1" ht="21.95" customHeight="1" x14ac:dyDescent="0.15"/>
    <row r="36546" spans="3:3" s="9" customFormat="1" ht="21.95" customHeight="1" x14ac:dyDescent="0.15"/>
    <row r="36547" spans="3:3" s="9" customFormat="1" ht="21.95" customHeight="1" x14ac:dyDescent="0.15"/>
    <row r="36548" spans="3:3" s="9" customFormat="1" ht="21.95" customHeight="1" x14ac:dyDescent="0.15"/>
    <row r="36549" spans="3:3" s="9" customFormat="1" ht="21.95" customHeight="1" x14ac:dyDescent="0.15"/>
    <row r="36550" spans="3:3" s="9" customFormat="1" ht="21.95" customHeight="1" x14ac:dyDescent="0.15"/>
    <row r="36551" spans="3:3" s="9" customFormat="1" ht="21.95" customHeight="1" x14ac:dyDescent="0.15"/>
    <row r="36552" spans="3:3" s="9" customFormat="1" ht="21.95" customHeight="1" x14ac:dyDescent="0.15"/>
    <row r="36553" spans="3:3" s="9" customFormat="1" ht="21.95" customHeight="1" x14ac:dyDescent="0.15"/>
    <row r="36554" spans="3:3" s="9" customFormat="1" ht="21.95" customHeight="1" x14ac:dyDescent="0.15"/>
    <row r="36555" spans="3:3" s="9" customFormat="1" ht="21.95" customHeight="1" x14ac:dyDescent="0.15"/>
    <row r="36556" spans="3:3" s="9" customFormat="1" ht="21.95" customHeight="1" x14ac:dyDescent="0.15"/>
    <row r="36557" spans="3:3" s="9" customFormat="1" ht="21.95" customHeight="1" x14ac:dyDescent="0.15"/>
    <row r="36558" spans="3:3" s="8" customFormat="1" ht="21.95" customHeight="1" x14ac:dyDescent="0.15"/>
    <row r="36559" spans="3:3" s="8" customFormat="1" ht="21.95" customHeight="1" x14ac:dyDescent="0.15"/>
    <row r="36560" spans="3:3" s="8" customFormat="1" ht="21.95" customHeight="1" x14ac:dyDescent="0.15">
      <c r="C36560" s="101"/>
    </row>
    <row r="36561" spans="3:3" s="8" customFormat="1" ht="21.95" customHeight="1" x14ac:dyDescent="0.15">
      <c r="C36561" s="101"/>
    </row>
    <row r="36562" spans="3:3" s="8" customFormat="1" ht="21.95" customHeight="1" x14ac:dyDescent="0.15"/>
    <row r="36563" spans="3:3" s="8" customFormat="1" ht="21.95" customHeight="1" x14ac:dyDescent="0.15"/>
    <row r="36564" spans="3:3" s="8" customFormat="1" ht="21.95" customHeight="1" x14ac:dyDescent="0.15"/>
    <row r="36565" spans="3:3" s="8" customFormat="1" ht="21.95" customHeight="1" x14ac:dyDescent="0.15"/>
    <row r="36566" spans="3:3" s="8" customFormat="1" ht="21.95" customHeight="1" x14ac:dyDescent="0.15"/>
    <row r="36567" spans="3:3" s="8" customFormat="1" ht="21.95" customHeight="1" x14ac:dyDescent="0.15"/>
    <row r="36568" spans="3:3" s="8" customFormat="1" ht="21.95" customHeight="1" x14ac:dyDescent="0.15"/>
    <row r="36569" spans="3:3" s="9" customFormat="1" ht="21.95" customHeight="1" x14ac:dyDescent="0.15"/>
    <row r="36570" spans="3:3" s="9" customFormat="1" ht="21.95" customHeight="1" x14ac:dyDescent="0.15"/>
    <row r="36571" spans="3:3" s="9" customFormat="1" ht="21.95" customHeight="1" x14ac:dyDescent="0.15"/>
    <row r="36572" spans="3:3" s="9" customFormat="1" ht="21.95" customHeight="1" x14ac:dyDescent="0.15"/>
    <row r="36573" spans="3:3" s="8" customFormat="1" ht="21.95" customHeight="1" x14ac:dyDescent="0.15"/>
    <row r="36574" spans="3:3" s="8" customFormat="1" ht="21.95" customHeight="1" x14ac:dyDescent="0.15"/>
    <row r="36575" spans="3:3" s="8" customFormat="1" ht="21.95" customHeight="1" x14ac:dyDescent="0.15"/>
    <row r="36576" spans="3:3" s="8" customFormat="1" ht="21.95" customHeight="1" x14ac:dyDescent="0.15"/>
    <row r="36577" s="8" customFormat="1" ht="21.95" customHeight="1" x14ac:dyDescent="0.15"/>
    <row r="36578" s="8" customFormat="1" ht="21.95" customHeight="1" x14ac:dyDescent="0.15"/>
    <row r="36579" s="8" customFormat="1" ht="21.95" customHeight="1" x14ac:dyDescent="0.15"/>
    <row r="36580" s="8" customFormat="1" ht="21.95" customHeight="1" x14ac:dyDescent="0.15"/>
    <row r="36581" s="8" customFormat="1" ht="21.95" customHeight="1" x14ac:dyDescent="0.15"/>
    <row r="36582" s="8" customFormat="1" ht="21.95" customHeight="1" x14ac:dyDescent="0.15"/>
    <row r="36583" s="8" customFormat="1" ht="21.95" customHeight="1" x14ac:dyDescent="0.15"/>
    <row r="36584" s="8" customFormat="1" ht="32.1" customHeight="1" x14ac:dyDescent="0.15"/>
    <row r="36585" s="8" customFormat="1" ht="32.1" customHeight="1" x14ac:dyDescent="0.15"/>
    <row r="36586" s="8" customFormat="1" ht="32.1" customHeight="1" x14ac:dyDescent="0.15"/>
    <row r="36587" s="8" customFormat="1" ht="32.1" customHeight="1" x14ac:dyDescent="0.15"/>
    <row r="36588" s="8" customFormat="1" ht="32.1" customHeight="1" x14ac:dyDescent="0.15"/>
    <row r="36589" s="8" customFormat="1" ht="32.1" customHeight="1" x14ac:dyDescent="0.15"/>
    <row r="36590" s="9" customFormat="1" ht="32.1" customHeight="1" x14ac:dyDescent="0.15"/>
    <row r="36591" s="9" customFormat="1" ht="32.1" customHeight="1" x14ac:dyDescent="0.15"/>
    <row r="36592" s="9" customFormat="1" ht="32.1" customHeight="1" x14ac:dyDescent="0.15"/>
    <row r="36593" s="9" customFormat="1" ht="32.1" customHeight="1" x14ac:dyDescent="0.15"/>
    <row r="36594" s="9" customFormat="1" ht="21.95" customHeight="1" x14ac:dyDescent="0.15"/>
    <row r="36595" s="9" customFormat="1" ht="54" customHeight="1" x14ac:dyDescent="0.15"/>
    <row r="36596" s="9" customFormat="1" ht="21.95" customHeight="1" x14ac:dyDescent="0.15"/>
    <row r="36597" s="9" customFormat="1" ht="21.95" customHeight="1" x14ac:dyDescent="0.15"/>
    <row r="36598" s="9" customFormat="1" ht="21.95" customHeight="1" x14ac:dyDescent="0.15"/>
    <row r="36599" s="9" customFormat="1" ht="21.95" customHeight="1" x14ac:dyDescent="0.15"/>
    <row r="36600" s="9" customFormat="1" ht="21.95" customHeight="1" x14ac:dyDescent="0.15"/>
    <row r="36601" s="9" customFormat="1" ht="21.95" customHeight="1" x14ac:dyDescent="0.15"/>
    <row r="36602" s="9" customFormat="1" ht="21.95" customHeight="1" x14ac:dyDescent="0.15"/>
    <row r="36603" s="9" customFormat="1" ht="21.95" customHeight="1" x14ac:dyDescent="0.15"/>
    <row r="36604" s="9" customFormat="1" ht="21.95" customHeight="1" x14ac:dyDescent="0.15"/>
    <row r="36605" s="9" customFormat="1" ht="21.95" customHeight="1" x14ac:dyDescent="0.15"/>
    <row r="36606" s="9" customFormat="1" ht="21.95" customHeight="1" x14ac:dyDescent="0.15"/>
    <row r="36607" s="9" customFormat="1" ht="21.95" customHeight="1" x14ac:dyDescent="0.15"/>
    <row r="36608" s="9" customFormat="1" ht="21.95" customHeight="1" x14ac:dyDescent="0.15"/>
    <row r="36609" s="9" customFormat="1" ht="21.95" customHeight="1" x14ac:dyDescent="0.15"/>
    <row r="36610" s="9" customFormat="1" ht="21.95" customHeight="1" x14ac:dyDescent="0.15"/>
    <row r="36611" s="9" customFormat="1" ht="21.95" customHeight="1" x14ac:dyDescent="0.15"/>
    <row r="36612" s="9" customFormat="1" ht="21.95" customHeight="1" x14ac:dyDescent="0.15"/>
    <row r="36613" s="9" customFormat="1" ht="21.95" customHeight="1" x14ac:dyDescent="0.15"/>
    <row r="36614" s="9" customFormat="1" ht="21.95" customHeight="1" x14ac:dyDescent="0.15"/>
    <row r="36615" s="9" customFormat="1" ht="21.95" customHeight="1" x14ac:dyDescent="0.15"/>
    <row r="36616" s="9" customFormat="1" ht="21.95" customHeight="1" x14ac:dyDescent="0.15"/>
    <row r="36617" s="9" customFormat="1" ht="21.95" customHeight="1" x14ac:dyDescent="0.15"/>
    <row r="36618" s="9" customFormat="1" ht="21.95" customHeight="1" x14ac:dyDescent="0.15"/>
    <row r="36619" s="9" customFormat="1" ht="21.95" customHeight="1" x14ac:dyDescent="0.15"/>
    <row r="36620" s="9" customFormat="1" ht="21.95" customHeight="1" x14ac:dyDescent="0.15"/>
    <row r="36621" s="9" customFormat="1" ht="21.95" customHeight="1" x14ac:dyDescent="0.15"/>
    <row r="36622" s="9" customFormat="1" ht="21.95" customHeight="1" x14ac:dyDescent="0.15"/>
    <row r="36623" s="9" customFormat="1" ht="21.95" customHeight="1" x14ac:dyDescent="0.15"/>
    <row r="36624" s="9" customFormat="1" ht="21.95" customHeight="1" x14ac:dyDescent="0.15"/>
    <row r="36625" s="9" customFormat="1" ht="21.95" customHeight="1" x14ac:dyDescent="0.15"/>
    <row r="36626" s="9" customFormat="1" ht="21.95" customHeight="1" x14ac:dyDescent="0.15"/>
    <row r="36627" s="9" customFormat="1" ht="21.95" customHeight="1" x14ac:dyDescent="0.15"/>
    <row r="36628" s="9" customFormat="1" ht="21.95" customHeight="1" x14ac:dyDescent="0.15"/>
    <row r="36629" s="9" customFormat="1" ht="21.95" customHeight="1" x14ac:dyDescent="0.15"/>
    <row r="36630" s="9" customFormat="1" ht="21.95" customHeight="1" x14ac:dyDescent="0.15"/>
    <row r="36631" s="9" customFormat="1" ht="21.95" customHeight="1" x14ac:dyDescent="0.15"/>
    <row r="36632" s="9" customFormat="1" ht="21.95" customHeight="1" x14ac:dyDescent="0.15"/>
    <row r="36633" s="9" customFormat="1" ht="21.95" customHeight="1" x14ac:dyDescent="0.15"/>
    <row r="36634" s="9" customFormat="1" ht="21.95" customHeight="1" x14ac:dyDescent="0.15"/>
    <row r="36635" s="9" customFormat="1" ht="21.95" customHeight="1" x14ac:dyDescent="0.15"/>
    <row r="36636" s="9" customFormat="1" ht="21.95" customHeight="1" x14ac:dyDescent="0.15"/>
    <row r="36637" s="9" customFormat="1" ht="21.95" customHeight="1" x14ac:dyDescent="0.15"/>
    <row r="36638" s="9" customFormat="1" ht="21.95" customHeight="1" x14ac:dyDescent="0.15"/>
    <row r="36639" s="9" customFormat="1" ht="21.95" customHeight="1" x14ac:dyDescent="0.15"/>
    <row r="36640" s="9" customFormat="1" ht="21.95" customHeight="1" x14ac:dyDescent="0.15"/>
    <row r="36641" s="9" customFormat="1" ht="21.95" customHeight="1" x14ac:dyDescent="0.15"/>
    <row r="36642" s="9" customFormat="1" ht="21.95" customHeight="1" x14ac:dyDescent="0.15"/>
    <row r="36643" s="9" customFormat="1" ht="21.95" customHeight="1" x14ac:dyDescent="0.15"/>
    <row r="36644" s="9" customFormat="1" ht="21.95" customHeight="1" x14ac:dyDescent="0.15"/>
    <row r="36645" s="9" customFormat="1" ht="21.95" customHeight="1" x14ac:dyDescent="0.15"/>
    <row r="36646" s="9" customFormat="1" ht="35.1" customHeight="1" x14ac:dyDescent="0.15"/>
    <row r="36647" s="9" customFormat="1" ht="21.95" customHeight="1" x14ac:dyDescent="0.15"/>
    <row r="36648" s="9" customFormat="1" ht="21.95" customHeight="1" x14ac:dyDescent="0.15"/>
    <row r="36649" s="9" customFormat="1" ht="21.95" customHeight="1" x14ac:dyDescent="0.15"/>
    <row r="36650" s="9" customFormat="1" ht="21.95" customHeight="1" x14ac:dyDescent="0.15"/>
    <row r="36651" s="9" customFormat="1" ht="21.95" customHeight="1" x14ac:dyDescent="0.15"/>
    <row r="36652" s="9" customFormat="1" ht="21.95" customHeight="1" x14ac:dyDescent="0.15"/>
    <row r="36653" s="9" customFormat="1" ht="21.95" customHeight="1" x14ac:dyDescent="0.15"/>
    <row r="36654" s="9" customFormat="1" ht="21.95" customHeight="1" x14ac:dyDescent="0.15"/>
    <row r="36655" s="9" customFormat="1" ht="21.95" customHeight="1" x14ac:dyDescent="0.15"/>
    <row r="36656" s="9" customFormat="1" ht="21.95" customHeight="1" x14ac:dyDescent="0.15"/>
    <row r="36657" spans="3:3" s="9" customFormat="1" ht="21.95" customHeight="1" x14ac:dyDescent="0.15"/>
    <row r="36658" spans="3:3" s="9" customFormat="1" ht="21.95" customHeight="1" x14ac:dyDescent="0.15"/>
    <row r="36659" spans="3:3" s="9" customFormat="1" ht="21.95" customHeight="1" x14ac:dyDescent="0.15"/>
    <row r="36660" spans="3:3" s="9" customFormat="1" ht="21.95" customHeight="1" x14ac:dyDescent="0.15"/>
    <row r="36661" spans="3:3" s="9" customFormat="1" ht="21.95" customHeight="1" x14ac:dyDescent="0.15"/>
    <row r="36662" spans="3:3" s="9" customFormat="1" ht="21.95" customHeight="1" x14ac:dyDescent="0.15"/>
    <row r="36663" spans="3:3" s="9" customFormat="1" ht="21.95" customHeight="1" x14ac:dyDescent="0.15"/>
    <row r="36664" spans="3:3" s="9" customFormat="1" ht="21.95" customHeight="1" x14ac:dyDescent="0.15"/>
    <row r="36665" spans="3:3" s="9" customFormat="1" ht="21.95" customHeight="1" x14ac:dyDescent="0.15"/>
    <row r="36666" spans="3:3" s="9" customFormat="1" ht="21.95" customHeight="1" x14ac:dyDescent="0.15"/>
    <row r="36667" spans="3:3" s="9" customFormat="1" ht="21.95" customHeight="1" x14ac:dyDescent="0.15"/>
    <row r="36668" spans="3:3" s="9" customFormat="1" ht="21.95" customHeight="1" x14ac:dyDescent="0.15"/>
    <row r="36669" spans="3:3" s="9" customFormat="1" ht="21.95" customHeight="1" x14ac:dyDescent="0.15"/>
    <row r="36670" spans="3:3" s="8" customFormat="1" ht="21.95" customHeight="1" x14ac:dyDescent="0.15"/>
    <row r="36671" spans="3:3" s="8" customFormat="1" ht="21.95" customHeight="1" x14ac:dyDescent="0.15"/>
    <row r="36672" spans="3:3" s="8" customFormat="1" ht="21.95" customHeight="1" x14ac:dyDescent="0.15">
      <c r="C36672" s="101"/>
    </row>
    <row r="36673" spans="3:3" s="8" customFormat="1" ht="21.95" customHeight="1" x14ac:dyDescent="0.15">
      <c r="C36673" s="101"/>
    </row>
    <row r="36674" spans="3:3" s="8" customFormat="1" ht="21.95" customHeight="1" x14ac:dyDescent="0.15"/>
    <row r="36675" spans="3:3" s="8" customFormat="1" ht="21.95" customHeight="1" x14ac:dyDescent="0.15"/>
    <row r="36676" spans="3:3" s="8" customFormat="1" ht="21.95" customHeight="1" x14ac:dyDescent="0.15"/>
    <row r="36677" spans="3:3" s="8" customFormat="1" ht="21.95" customHeight="1" x14ac:dyDescent="0.15"/>
    <row r="36678" spans="3:3" s="8" customFormat="1" ht="21.95" customHeight="1" x14ac:dyDescent="0.15"/>
    <row r="36679" spans="3:3" s="8" customFormat="1" ht="21.95" customHeight="1" x14ac:dyDescent="0.15"/>
    <row r="36680" spans="3:3" s="8" customFormat="1" ht="21.95" customHeight="1" x14ac:dyDescent="0.15"/>
    <row r="36681" spans="3:3" s="9" customFormat="1" ht="21.95" customHeight="1" x14ac:dyDescent="0.15"/>
    <row r="36682" spans="3:3" s="9" customFormat="1" ht="21.95" customHeight="1" x14ac:dyDescent="0.15"/>
    <row r="36683" spans="3:3" s="9" customFormat="1" ht="21.95" customHeight="1" x14ac:dyDescent="0.15"/>
    <row r="36684" spans="3:3" s="9" customFormat="1" ht="21.95" customHeight="1" x14ac:dyDescent="0.15"/>
    <row r="36685" spans="3:3" s="8" customFormat="1" ht="21.95" customHeight="1" x14ac:dyDescent="0.15"/>
    <row r="36686" spans="3:3" s="8" customFormat="1" ht="21.95" customHeight="1" x14ac:dyDescent="0.15"/>
    <row r="36687" spans="3:3" s="8" customFormat="1" ht="21.95" customHeight="1" x14ac:dyDescent="0.15"/>
    <row r="36688" spans="3:3" s="8" customFormat="1" ht="21.95" customHeight="1" x14ac:dyDescent="0.15"/>
    <row r="36689" s="8" customFormat="1" ht="21.95" customHeight="1" x14ac:dyDescent="0.15"/>
    <row r="36690" s="8" customFormat="1" ht="21.95" customHeight="1" x14ac:dyDescent="0.15"/>
    <row r="36691" s="8" customFormat="1" ht="21.95" customHeight="1" x14ac:dyDescent="0.15"/>
    <row r="36692" s="8" customFormat="1" ht="21.95" customHeight="1" x14ac:dyDescent="0.15"/>
    <row r="36693" s="8" customFormat="1" ht="21.95" customHeight="1" x14ac:dyDescent="0.15"/>
    <row r="36694" s="8" customFormat="1" ht="21.95" customHeight="1" x14ac:dyDescent="0.15"/>
    <row r="36695" s="8" customFormat="1" ht="21.95" customHeight="1" x14ac:dyDescent="0.15"/>
    <row r="36696" s="8" customFormat="1" ht="32.1" customHeight="1" x14ac:dyDescent="0.15"/>
    <row r="36697" s="8" customFormat="1" ht="32.1" customHeight="1" x14ac:dyDescent="0.15"/>
    <row r="36698" s="8" customFormat="1" ht="32.1" customHeight="1" x14ac:dyDescent="0.15"/>
    <row r="36699" s="8" customFormat="1" ht="32.1" customHeight="1" x14ac:dyDescent="0.15"/>
    <row r="36700" s="8" customFormat="1" ht="32.1" customHeight="1" x14ac:dyDescent="0.15"/>
    <row r="36701" s="8" customFormat="1" ht="32.1" customHeight="1" x14ac:dyDescent="0.15"/>
    <row r="36702" s="9" customFormat="1" ht="32.1" customHeight="1" x14ac:dyDescent="0.15"/>
    <row r="36703" s="9" customFormat="1" ht="32.1" customHeight="1" x14ac:dyDescent="0.15"/>
    <row r="36704" s="9" customFormat="1" ht="32.1" customHeight="1" x14ac:dyDescent="0.15"/>
    <row r="36705" s="9" customFormat="1" ht="32.1" customHeight="1" x14ac:dyDescent="0.15"/>
    <row r="36706" s="9" customFormat="1" ht="21.95" customHeight="1" x14ac:dyDescent="0.15"/>
    <row r="36707" s="9" customFormat="1" ht="54" customHeight="1" x14ac:dyDescent="0.15"/>
    <row r="36708" s="9" customFormat="1" ht="21.95" customHeight="1" x14ac:dyDescent="0.15"/>
    <row r="36709" s="9" customFormat="1" ht="21.95" customHeight="1" x14ac:dyDescent="0.15"/>
    <row r="36710" s="9" customFormat="1" ht="21.95" customHeight="1" x14ac:dyDescent="0.15"/>
    <row r="36711" s="9" customFormat="1" ht="21.95" customHeight="1" x14ac:dyDescent="0.15"/>
    <row r="36712" s="9" customFormat="1" ht="21.95" customHeight="1" x14ac:dyDescent="0.15"/>
    <row r="36713" s="9" customFormat="1" ht="21.95" customHeight="1" x14ac:dyDescent="0.15"/>
    <row r="36714" s="9" customFormat="1" ht="21.95" customHeight="1" x14ac:dyDescent="0.15"/>
    <row r="36715" s="9" customFormat="1" ht="21.95" customHeight="1" x14ac:dyDescent="0.15"/>
    <row r="36716" s="9" customFormat="1" ht="21.95" customHeight="1" x14ac:dyDescent="0.15"/>
    <row r="36717" s="9" customFormat="1" ht="21.95" customHeight="1" x14ac:dyDescent="0.15"/>
    <row r="36718" s="9" customFormat="1" ht="21.95" customHeight="1" x14ac:dyDescent="0.15"/>
    <row r="36719" s="9" customFormat="1" ht="21.95" customHeight="1" x14ac:dyDescent="0.15"/>
    <row r="36720" s="9" customFormat="1" ht="21.95" customHeight="1" x14ac:dyDescent="0.15"/>
    <row r="36721" s="9" customFormat="1" ht="21.95" customHeight="1" x14ac:dyDescent="0.15"/>
    <row r="36722" s="9" customFormat="1" ht="21.95" customHeight="1" x14ac:dyDescent="0.15"/>
    <row r="36723" s="9" customFormat="1" ht="21.95" customHeight="1" x14ac:dyDescent="0.15"/>
    <row r="36724" s="9" customFormat="1" ht="21.95" customHeight="1" x14ac:dyDescent="0.15"/>
    <row r="36725" s="9" customFormat="1" ht="21.95" customHeight="1" x14ac:dyDescent="0.15"/>
    <row r="36726" s="9" customFormat="1" ht="21.95" customHeight="1" x14ac:dyDescent="0.15"/>
    <row r="36727" s="9" customFormat="1" ht="21.95" customHeight="1" x14ac:dyDescent="0.15"/>
    <row r="36728" s="9" customFormat="1" ht="21.95" customHeight="1" x14ac:dyDescent="0.15"/>
    <row r="36729" s="9" customFormat="1" ht="21.95" customHeight="1" x14ac:dyDescent="0.15"/>
    <row r="36730" s="9" customFormat="1" ht="21.95" customHeight="1" x14ac:dyDescent="0.15"/>
    <row r="36731" s="9" customFormat="1" ht="21.95" customHeight="1" x14ac:dyDescent="0.15"/>
    <row r="36732" s="9" customFormat="1" ht="21.95" customHeight="1" x14ac:dyDescent="0.15"/>
    <row r="36733" s="9" customFormat="1" ht="21.95" customHeight="1" x14ac:dyDescent="0.15"/>
    <row r="36734" s="9" customFormat="1" ht="21.95" customHeight="1" x14ac:dyDescent="0.15"/>
    <row r="36735" s="9" customFormat="1" ht="21.95" customHeight="1" x14ac:dyDescent="0.15"/>
    <row r="36736" s="9" customFormat="1" ht="21.95" customHeight="1" x14ac:dyDescent="0.15"/>
    <row r="36737" s="9" customFormat="1" ht="21.95" customHeight="1" x14ac:dyDescent="0.15"/>
    <row r="36738" s="9" customFormat="1" ht="21.95" customHeight="1" x14ac:dyDescent="0.15"/>
    <row r="36739" s="9" customFormat="1" ht="21.95" customHeight="1" x14ac:dyDescent="0.15"/>
    <row r="36740" s="9" customFormat="1" ht="21.95" customHeight="1" x14ac:dyDescent="0.15"/>
    <row r="36741" s="9" customFormat="1" ht="21.95" customHeight="1" x14ac:dyDescent="0.15"/>
    <row r="36742" s="9" customFormat="1" ht="21.95" customHeight="1" x14ac:dyDescent="0.15"/>
    <row r="36743" s="9" customFormat="1" ht="21.95" customHeight="1" x14ac:dyDescent="0.15"/>
    <row r="36744" s="9" customFormat="1" ht="21.95" customHeight="1" x14ac:dyDescent="0.15"/>
    <row r="36745" s="9" customFormat="1" ht="21.95" customHeight="1" x14ac:dyDescent="0.15"/>
    <row r="36746" s="9" customFormat="1" ht="21.95" customHeight="1" x14ac:dyDescent="0.15"/>
    <row r="36747" s="9" customFormat="1" ht="21.95" customHeight="1" x14ac:dyDescent="0.15"/>
    <row r="36748" s="9" customFormat="1" ht="21.95" customHeight="1" x14ac:dyDescent="0.15"/>
    <row r="36749" s="9" customFormat="1" ht="21.95" customHeight="1" x14ac:dyDescent="0.15"/>
    <row r="36750" s="9" customFormat="1" ht="21.95" customHeight="1" x14ac:dyDescent="0.15"/>
    <row r="36751" s="9" customFormat="1" ht="21.95" customHeight="1" x14ac:dyDescent="0.15"/>
    <row r="36752" s="9" customFormat="1" ht="21.95" customHeight="1" x14ac:dyDescent="0.15"/>
    <row r="36753" s="9" customFormat="1" ht="21.95" customHeight="1" x14ac:dyDescent="0.15"/>
    <row r="36754" s="9" customFormat="1" ht="21.95" customHeight="1" x14ac:dyDescent="0.15"/>
    <row r="36755" s="9" customFormat="1" ht="21.95" customHeight="1" x14ac:dyDescent="0.15"/>
    <row r="36756" s="9" customFormat="1" ht="21.95" customHeight="1" x14ac:dyDescent="0.15"/>
    <row r="36757" s="9" customFormat="1" ht="21.95" customHeight="1" x14ac:dyDescent="0.15"/>
    <row r="36758" s="9" customFormat="1" ht="35.1" customHeight="1" x14ac:dyDescent="0.15"/>
    <row r="36759" s="9" customFormat="1" ht="21.95" customHeight="1" x14ac:dyDescent="0.15"/>
    <row r="36760" s="9" customFormat="1" ht="21.95" customHeight="1" x14ac:dyDescent="0.15"/>
    <row r="36761" s="9" customFormat="1" ht="21.95" customHeight="1" x14ac:dyDescent="0.15"/>
    <row r="36762" s="9" customFormat="1" ht="21.95" customHeight="1" x14ac:dyDescent="0.15"/>
    <row r="36763" s="9" customFormat="1" ht="21.95" customHeight="1" x14ac:dyDescent="0.15"/>
    <row r="36764" s="9" customFormat="1" ht="21.95" customHeight="1" x14ac:dyDescent="0.15"/>
    <row r="36765" s="9" customFormat="1" ht="21.95" customHeight="1" x14ac:dyDescent="0.15"/>
    <row r="36766" s="9" customFormat="1" ht="21.95" customHeight="1" x14ac:dyDescent="0.15"/>
    <row r="36767" s="9" customFormat="1" ht="21.95" customHeight="1" x14ac:dyDescent="0.15"/>
    <row r="36768" s="9" customFormat="1" ht="21.95" customHeight="1" x14ac:dyDescent="0.15"/>
    <row r="36769" spans="3:3" s="9" customFormat="1" ht="21.95" customHeight="1" x14ac:dyDescent="0.15"/>
    <row r="36770" spans="3:3" s="9" customFormat="1" ht="21.95" customHeight="1" x14ac:dyDescent="0.15"/>
    <row r="36771" spans="3:3" s="9" customFormat="1" ht="21.95" customHeight="1" x14ac:dyDescent="0.15"/>
    <row r="36772" spans="3:3" s="9" customFormat="1" ht="21.95" customHeight="1" x14ac:dyDescent="0.15"/>
    <row r="36773" spans="3:3" s="9" customFormat="1" ht="21.95" customHeight="1" x14ac:dyDescent="0.15"/>
    <row r="36774" spans="3:3" s="9" customFormat="1" ht="21.95" customHeight="1" x14ac:dyDescent="0.15"/>
    <row r="36775" spans="3:3" s="9" customFormat="1" ht="21.95" customHeight="1" x14ac:dyDescent="0.15"/>
    <row r="36776" spans="3:3" s="9" customFormat="1" ht="21.95" customHeight="1" x14ac:dyDescent="0.15"/>
    <row r="36777" spans="3:3" s="9" customFormat="1" ht="21.95" customHeight="1" x14ac:dyDescent="0.15"/>
    <row r="36778" spans="3:3" s="9" customFormat="1" ht="21.95" customHeight="1" x14ac:dyDescent="0.15"/>
    <row r="36779" spans="3:3" s="9" customFormat="1" ht="21.95" customHeight="1" x14ac:dyDescent="0.15"/>
    <row r="36780" spans="3:3" s="9" customFormat="1" ht="21.95" customHeight="1" x14ac:dyDescent="0.15"/>
    <row r="36781" spans="3:3" s="9" customFormat="1" ht="21.95" customHeight="1" x14ac:dyDescent="0.15"/>
    <row r="36782" spans="3:3" s="8" customFormat="1" ht="21.95" customHeight="1" x14ac:dyDescent="0.15"/>
    <row r="36783" spans="3:3" s="8" customFormat="1" ht="21.95" customHeight="1" x14ac:dyDescent="0.15"/>
    <row r="36784" spans="3:3" s="8" customFormat="1" ht="21.95" customHeight="1" x14ac:dyDescent="0.15">
      <c r="C36784" s="101"/>
    </row>
    <row r="36785" spans="3:3" s="8" customFormat="1" ht="21.95" customHeight="1" x14ac:dyDescent="0.15">
      <c r="C36785" s="101"/>
    </row>
    <row r="36786" spans="3:3" s="8" customFormat="1" ht="21.95" customHeight="1" x14ac:dyDescent="0.15"/>
    <row r="36787" spans="3:3" s="8" customFormat="1" ht="21.95" customHeight="1" x14ac:dyDescent="0.15"/>
    <row r="36788" spans="3:3" s="8" customFormat="1" ht="21.95" customHeight="1" x14ac:dyDescent="0.15"/>
    <row r="36789" spans="3:3" s="8" customFormat="1" ht="21.95" customHeight="1" x14ac:dyDescent="0.15"/>
    <row r="36790" spans="3:3" s="8" customFormat="1" ht="21.95" customHeight="1" x14ac:dyDescent="0.15"/>
    <row r="36791" spans="3:3" s="8" customFormat="1" ht="21.95" customHeight="1" x14ac:dyDescent="0.15"/>
    <row r="36792" spans="3:3" s="8" customFormat="1" ht="21.95" customHeight="1" x14ac:dyDescent="0.15"/>
    <row r="36793" spans="3:3" s="9" customFormat="1" ht="21.95" customHeight="1" x14ac:dyDescent="0.15"/>
    <row r="36794" spans="3:3" s="9" customFormat="1" ht="21.95" customHeight="1" x14ac:dyDescent="0.15"/>
    <row r="36795" spans="3:3" s="9" customFormat="1" ht="21.95" customHeight="1" x14ac:dyDescent="0.15"/>
    <row r="36796" spans="3:3" s="9" customFormat="1" ht="21.95" customHeight="1" x14ac:dyDescent="0.15"/>
    <row r="36797" spans="3:3" s="8" customFormat="1" ht="21.95" customHeight="1" x14ac:dyDescent="0.15"/>
    <row r="36798" spans="3:3" s="8" customFormat="1" ht="21.95" customHeight="1" x14ac:dyDescent="0.15"/>
    <row r="36799" spans="3:3" s="8" customFormat="1" ht="21.95" customHeight="1" x14ac:dyDescent="0.15"/>
    <row r="36800" spans="3:3" s="8" customFormat="1" ht="21.95" customHeight="1" x14ac:dyDescent="0.15"/>
    <row r="36801" s="8" customFormat="1" ht="21.95" customHeight="1" x14ac:dyDescent="0.15"/>
    <row r="36802" s="8" customFormat="1" ht="21.95" customHeight="1" x14ac:dyDescent="0.15"/>
    <row r="36803" s="8" customFormat="1" ht="21.95" customHeight="1" x14ac:dyDescent="0.15"/>
    <row r="36804" s="8" customFormat="1" ht="21.95" customHeight="1" x14ac:dyDescent="0.15"/>
    <row r="36805" s="8" customFormat="1" ht="21.95" customHeight="1" x14ac:dyDescent="0.15"/>
    <row r="36806" s="8" customFormat="1" ht="21.95" customHeight="1" x14ac:dyDescent="0.15"/>
    <row r="36807" s="8" customFormat="1" ht="21.95" customHeight="1" x14ac:dyDescent="0.15"/>
    <row r="36808" s="8" customFormat="1" ht="32.1" customHeight="1" x14ac:dyDescent="0.15"/>
    <row r="36809" s="8" customFormat="1" ht="32.1" customHeight="1" x14ac:dyDescent="0.15"/>
    <row r="36810" s="8" customFormat="1" ht="32.1" customHeight="1" x14ac:dyDescent="0.15"/>
    <row r="36811" s="8" customFormat="1" ht="32.1" customHeight="1" x14ac:dyDescent="0.15"/>
    <row r="36812" s="8" customFormat="1" ht="32.1" customHeight="1" x14ac:dyDescent="0.15"/>
    <row r="36813" s="8" customFormat="1" ht="32.1" customHeight="1" x14ac:dyDescent="0.15"/>
    <row r="36814" s="9" customFormat="1" ht="32.1" customHeight="1" x14ac:dyDescent="0.15"/>
    <row r="36815" s="9" customFormat="1" ht="32.1" customHeight="1" x14ac:dyDescent="0.15"/>
    <row r="36816" s="9" customFormat="1" ht="32.1" customHeight="1" x14ac:dyDescent="0.15"/>
    <row r="36817" s="9" customFormat="1" ht="32.1" customHeight="1" x14ac:dyDescent="0.15"/>
    <row r="36818" s="9" customFormat="1" ht="21.95" customHeight="1" x14ac:dyDescent="0.15"/>
    <row r="36819" s="9" customFormat="1" ht="54" customHeight="1" x14ac:dyDescent="0.15"/>
    <row r="36820" s="9" customFormat="1" ht="21.95" customHeight="1" x14ac:dyDescent="0.15"/>
    <row r="36821" s="9" customFormat="1" ht="21.95" customHeight="1" x14ac:dyDescent="0.15"/>
    <row r="36822" s="9" customFormat="1" ht="21.95" customHeight="1" x14ac:dyDescent="0.15"/>
    <row r="36823" s="9" customFormat="1" ht="21.95" customHeight="1" x14ac:dyDescent="0.15"/>
    <row r="36824" s="9" customFormat="1" ht="21.95" customHeight="1" x14ac:dyDescent="0.15"/>
    <row r="36825" s="9" customFormat="1" ht="21.95" customHeight="1" x14ac:dyDescent="0.15"/>
    <row r="36826" s="9" customFormat="1" ht="21.95" customHeight="1" x14ac:dyDescent="0.15"/>
    <row r="36827" s="9" customFormat="1" ht="21.95" customHeight="1" x14ac:dyDescent="0.15"/>
    <row r="36828" s="9" customFormat="1" ht="21.95" customHeight="1" x14ac:dyDescent="0.15"/>
    <row r="36829" s="9" customFormat="1" ht="21.95" customHeight="1" x14ac:dyDescent="0.15"/>
    <row r="36830" s="9" customFormat="1" ht="21.95" customHeight="1" x14ac:dyDescent="0.15"/>
    <row r="36831" s="9" customFormat="1" ht="21.95" customHeight="1" x14ac:dyDescent="0.15"/>
    <row r="36832" s="9" customFormat="1" ht="21.95" customHeight="1" x14ac:dyDescent="0.15"/>
    <row r="36833" s="9" customFormat="1" ht="21.95" customHeight="1" x14ac:dyDescent="0.15"/>
    <row r="36834" s="9" customFormat="1" ht="21.95" customHeight="1" x14ac:dyDescent="0.15"/>
    <row r="36835" s="9" customFormat="1" ht="21.95" customHeight="1" x14ac:dyDescent="0.15"/>
    <row r="36836" s="9" customFormat="1" ht="21.95" customHeight="1" x14ac:dyDescent="0.15"/>
    <row r="36837" s="9" customFormat="1" ht="21.95" customHeight="1" x14ac:dyDescent="0.15"/>
    <row r="36838" s="9" customFormat="1" ht="21.95" customHeight="1" x14ac:dyDescent="0.15"/>
    <row r="36839" s="9" customFormat="1" ht="21.95" customHeight="1" x14ac:dyDescent="0.15"/>
    <row r="36840" s="9" customFormat="1" ht="21.95" customHeight="1" x14ac:dyDescent="0.15"/>
    <row r="36841" s="9" customFormat="1" ht="21.95" customHeight="1" x14ac:dyDescent="0.15"/>
    <row r="36842" s="9" customFormat="1" ht="21.95" customHeight="1" x14ac:dyDescent="0.15"/>
    <row r="36843" s="9" customFormat="1" ht="21.95" customHeight="1" x14ac:dyDescent="0.15"/>
    <row r="36844" s="9" customFormat="1" ht="21.95" customHeight="1" x14ac:dyDescent="0.15"/>
    <row r="36845" s="9" customFormat="1" ht="21.95" customHeight="1" x14ac:dyDescent="0.15"/>
    <row r="36846" s="9" customFormat="1" ht="21.95" customHeight="1" x14ac:dyDescent="0.15"/>
    <row r="36847" s="9" customFormat="1" ht="21.95" customHeight="1" x14ac:dyDescent="0.15"/>
    <row r="36848" s="9" customFormat="1" ht="21.95" customHeight="1" x14ac:dyDescent="0.15"/>
    <row r="36849" s="9" customFormat="1" ht="21.95" customHeight="1" x14ac:dyDescent="0.15"/>
    <row r="36850" s="9" customFormat="1" ht="21.95" customHeight="1" x14ac:dyDescent="0.15"/>
    <row r="36851" s="9" customFormat="1" ht="21.95" customHeight="1" x14ac:dyDescent="0.15"/>
    <row r="36852" s="9" customFormat="1" ht="21.95" customHeight="1" x14ac:dyDescent="0.15"/>
    <row r="36853" s="9" customFormat="1" ht="21.95" customHeight="1" x14ac:dyDescent="0.15"/>
    <row r="36854" s="9" customFormat="1" ht="21.95" customHeight="1" x14ac:dyDescent="0.15"/>
    <row r="36855" s="9" customFormat="1" ht="21.95" customHeight="1" x14ac:dyDescent="0.15"/>
    <row r="36856" s="9" customFormat="1" ht="21.95" customHeight="1" x14ac:dyDescent="0.15"/>
    <row r="36857" s="9" customFormat="1" ht="21.95" customHeight="1" x14ac:dyDescent="0.15"/>
    <row r="36858" s="9" customFormat="1" ht="21.95" customHeight="1" x14ac:dyDescent="0.15"/>
    <row r="36859" s="9" customFormat="1" ht="21.95" customHeight="1" x14ac:dyDescent="0.15"/>
    <row r="36860" s="9" customFormat="1" ht="21.95" customHeight="1" x14ac:dyDescent="0.15"/>
    <row r="36861" s="9" customFormat="1" ht="21.95" customHeight="1" x14ac:dyDescent="0.15"/>
    <row r="36862" s="9" customFormat="1" ht="21.95" customHeight="1" x14ac:dyDescent="0.15"/>
    <row r="36863" s="9" customFormat="1" ht="21.95" customHeight="1" x14ac:dyDescent="0.15"/>
    <row r="36864" s="9" customFormat="1" ht="21.95" customHeight="1" x14ac:dyDescent="0.15"/>
    <row r="36865" s="9" customFormat="1" ht="21.95" customHeight="1" x14ac:dyDescent="0.15"/>
    <row r="36866" s="9" customFormat="1" ht="21.95" customHeight="1" x14ac:dyDescent="0.15"/>
    <row r="36867" s="9" customFormat="1" ht="21.95" customHeight="1" x14ac:dyDescent="0.15"/>
    <row r="36868" s="9" customFormat="1" ht="21.95" customHeight="1" x14ac:dyDescent="0.15"/>
    <row r="36869" s="9" customFormat="1" ht="21.95" customHeight="1" x14ac:dyDescent="0.15"/>
    <row r="36870" s="9" customFormat="1" ht="35.1" customHeight="1" x14ac:dyDescent="0.15"/>
    <row r="36871" s="9" customFormat="1" ht="21.95" customHeight="1" x14ac:dyDescent="0.15"/>
    <row r="36872" s="9" customFormat="1" ht="21.95" customHeight="1" x14ac:dyDescent="0.15"/>
    <row r="36873" s="9" customFormat="1" ht="21.95" customHeight="1" x14ac:dyDescent="0.15"/>
    <row r="36874" s="9" customFormat="1" ht="21.95" customHeight="1" x14ac:dyDescent="0.15"/>
    <row r="36875" s="9" customFormat="1" ht="21.95" customHeight="1" x14ac:dyDescent="0.15"/>
    <row r="36876" s="9" customFormat="1" ht="21.95" customHeight="1" x14ac:dyDescent="0.15"/>
    <row r="36877" s="9" customFormat="1" ht="21.95" customHeight="1" x14ac:dyDescent="0.15"/>
    <row r="36878" s="9" customFormat="1" ht="21.95" customHeight="1" x14ac:dyDescent="0.15"/>
    <row r="36879" s="9" customFormat="1" ht="21.95" customHeight="1" x14ac:dyDescent="0.15"/>
    <row r="36880" s="9" customFormat="1" ht="21.95" customHeight="1" x14ac:dyDescent="0.15"/>
    <row r="36881" spans="3:3" s="9" customFormat="1" ht="21.95" customHeight="1" x14ac:dyDescent="0.15"/>
    <row r="36882" spans="3:3" s="9" customFormat="1" ht="21.95" customHeight="1" x14ac:dyDescent="0.15"/>
    <row r="36883" spans="3:3" s="9" customFormat="1" ht="21.95" customHeight="1" x14ac:dyDescent="0.15"/>
    <row r="36884" spans="3:3" s="9" customFormat="1" ht="21.95" customHeight="1" x14ac:dyDescent="0.15"/>
    <row r="36885" spans="3:3" s="9" customFormat="1" ht="21.95" customHeight="1" x14ac:dyDescent="0.15"/>
    <row r="36886" spans="3:3" s="9" customFormat="1" ht="21.95" customHeight="1" x14ac:dyDescent="0.15"/>
    <row r="36887" spans="3:3" s="9" customFormat="1" ht="21.95" customHeight="1" x14ac:dyDescent="0.15"/>
    <row r="36888" spans="3:3" s="9" customFormat="1" ht="21.95" customHeight="1" x14ac:dyDescent="0.15"/>
    <row r="36889" spans="3:3" s="9" customFormat="1" ht="21.95" customHeight="1" x14ac:dyDescent="0.15"/>
    <row r="36890" spans="3:3" s="9" customFormat="1" ht="21.95" customHeight="1" x14ac:dyDescent="0.15"/>
    <row r="36891" spans="3:3" s="9" customFormat="1" ht="21.95" customHeight="1" x14ac:dyDescent="0.15"/>
    <row r="36892" spans="3:3" s="9" customFormat="1" ht="21.95" customHeight="1" x14ac:dyDescent="0.15"/>
    <row r="36893" spans="3:3" s="9" customFormat="1" ht="21.95" customHeight="1" x14ac:dyDescent="0.15"/>
    <row r="36894" spans="3:3" s="8" customFormat="1" ht="21.95" customHeight="1" x14ac:dyDescent="0.15"/>
    <row r="36895" spans="3:3" s="8" customFormat="1" ht="21.95" customHeight="1" x14ac:dyDescent="0.15"/>
    <row r="36896" spans="3:3" s="8" customFormat="1" ht="21.95" customHeight="1" x14ac:dyDescent="0.15">
      <c r="C36896" s="101"/>
    </row>
    <row r="36897" spans="3:3" s="8" customFormat="1" ht="21.95" customHeight="1" x14ac:dyDescent="0.15">
      <c r="C36897" s="101"/>
    </row>
    <row r="36898" spans="3:3" s="8" customFormat="1" ht="21.95" customHeight="1" x14ac:dyDescent="0.15"/>
    <row r="36899" spans="3:3" s="8" customFormat="1" ht="21.95" customHeight="1" x14ac:dyDescent="0.15"/>
    <row r="36900" spans="3:3" s="8" customFormat="1" ht="21.95" customHeight="1" x14ac:dyDescent="0.15"/>
    <row r="36901" spans="3:3" s="8" customFormat="1" ht="21.95" customHeight="1" x14ac:dyDescent="0.15"/>
    <row r="36902" spans="3:3" s="8" customFormat="1" ht="21.95" customHeight="1" x14ac:dyDescent="0.15"/>
    <row r="36903" spans="3:3" s="8" customFormat="1" ht="21.95" customHeight="1" x14ac:dyDescent="0.15"/>
    <row r="36904" spans="3:3" s="8" customFormat="1" ht="21.95" customHeight="1" x14ac:dyDescent="0.15"/>
    <row r="36905" spans="3:3" s="9" customFormat="1" ht="21.95" customHeight="1" x14ac:dyDescent="0.15"/>
    <row r="36906" spans="3:3" s="9" customFormat="1" ht="21.95" customHeight="1" x14ac:dyDescent="0.15"/>
    <row r="36907" spans="3:3" s="9" customFormat="1" ht="21.95" customHeight="1" x14ac:dyDescent="0.15"/>
    <row r="36908" spans="3:3" s="9" customFormat="1" ht="21.95" customHeight="1" x14ac:dyDescent="0.15"/>
    <row r="36909" spans="3:3" s="8" customFormat="1" ht="21.95" customHeight="1" x14ac:dyDescent="0.15"/>
    <row r="36910" spans="3:3" s="8" customFormat="1" ht="21.95" customHeight="1" x14ac:dyDescent="0.15"/>
    <row r="36911" spans="3:3" s="8" customFormat="1" ht="21.95" customHeight="1" x14ac:dyDescent="0.15"/>
    <row r="36912" spans="3:3" s="8" customFormat="1" ht="21.95" customHeight="1" x14ac:dyDescent="0.15"/>
    <row r="36913" s="8" customFormat="1" ht="21.95" customHeight="1" x14ac:dyDescent="0.15"/>
    <row r="36914" s="8" customFormat="1" ht="21.95" customHeight="1" x14ac:dyDescent="0.15"/>
    <row r="36915" s="8" customFormat="1" ht="21.95" customHeight="1" x14ac:dyDescent="0.15"/>
    <row r="36916" s="8" customFormat="1" ht="21.95" customHeight="1" x14ac:dyDescent="0.15"/>
    <row r="36917" s="8" customFormat="1" ht="21.95" customHeight="1" x14ac:dyDescent="0.15"/>
    <row r="36918" s="8" customFormat="1" ht="21.95" customHeight="1" x14ac:dyDescent="0.15"/>
    <row r="36919" s="8" customFormat="1" ht="21.95" customHeight="1" x14ac:dyDescent="0.15"/>
    <row r="36920" s="8" customFormat="1" ht="32.1" customHeight="1" x14ac:dyDescent="0.15"/>
    <row r="36921" s="8" customFormat="1" ht="32.1" customHeight="1" x14ac:dyDescent="0.15"/>
    <row r="36922" s="8" customFormat="1" ht="32.1" customHeight="1" x14ac:dyDescent="0.15"/>
    <row r="36923" s="8" customFormat="1" ht="32.1" customHeight="1" x14ac:dyDescent="0.15"/>
    <row r="36924" s="8" customFormat="1" ht="32.1" customHeight="1" x14ac:dyDescent="0.15"/>
    <row r="36925" s="8" customFormat="1" ht="32.1" customHeight="1" x14ac:dyDescent="0.15"/>
    <row r="36926" s="9" customFormat="1" ht="32.1" customHeight="1" x14ac:dyDescent="0.15"/>
    <row r="36927" s="9" customFormat="1" ht="32.1" customHeight="1" x14ac:dyDescent="0.15"/>
    <row r="36928" s="9" customFormat="1" ht="32.1" customHeight="1" x14ac:dyDescent="0.15"/>
    <row r="36929" s="9" customFormat="1" ht="32.1" customHeight="1" x14ac:dyDescent="0.15"/>
    <row r="36930" s="9" customFormat="1" ht="21.95" customHeight="1" x14ac:dyDescent="0.15"/>
    <row r="36931" s="9" customFormat="1" ht="54" customHeight="1" x14ac:dyDescent="0.15"/>
    <row r="36932" s="9" customFormat="1" ht="21.95" customHeight="1" x14ac:dyDescent="0.15"/>
    <row r="36933" s="9" customFormat="1" ht="21.95" customHeight="1" x14ac:dyDescent="0.15"/>
    <row r="36934" s="9" customFormat="1" ht="21.95" customHeight="1" x14ac:dyDescent="0.15"/>
    <row r="36935" s="9" customFormat="1" ht="21.95" customHeight="1" x14ac:dyDescent="0.15"/>
    <row r="36936" s="9" customFormat="1" ht="21.95" customHeight="1" x14ac:dyDescent="0.15"/>
    <row r="36937" s="9" customFormat="1" ht="21.95" customHeight="1" x14ac:dyDescent="0.15"/>
    <row r="36938" s="9" customFormat="1" ht="21.95" customHeight="1" x14ac:dyDescent="0.15"/>
    <row r="36939" s="9" customFormat="1" ht="21.95" customHeight="1" x14ac:dyDescent="0.15"/>
    <row r="36940" s="9" customFormat="1" ht="21.95" customHeight="1" x14ac:dyDescent="0.15"/>
    <row r="36941" s="9" customFormat="1" ht="21.95" customHeight="1" x14ac:dyDescent="0.15"/>
    <row r="36942" s="9" customFormat="1" ht="21.95" customHeight="1" x14ac:dyDescent="0.15"/>
    <row r="36943" s="9" customFormat="1" ht="21.95" customHeight="1" x14ac:dyDescent="0.15"/>
    <row r="36944" s="9" customFormat="1" ht="21.95" customHeight="1" x14ac:dyDescent="0.15"/>
    <row r="36945" s="9" customFormat="1" ht="21.95" customHeight="1" x14ac:dyDescent="0.15"/>
    <row r="36946" s="9" customFormat="1" ht="21.95" customHeight="1" x14ac:dyDescent="0.15"/>
    <row r="36947" s="9" customFormat="1" ht="21.95" customHeight="1" x14ac:dyDescent="0.15"/>
    <row r="36948" s="9" customFormat="1" ht="21.95" customHeight="1" x14ac:dyDescent="0.15"/>
    <row r="36949" s="9" customFormat="1" ht="21.95" customHeight="1" x14ac:dyDescent="0.15"/>
    <row r="36950" s="9" customFormat="1" ht="21.95" customHeight="1" x14ac:dyDescent="0.15"/>
    <row r="36951" s="9" customFormat="1" ht="21.95" customHeight="1" x14ac:dyDescent="0.15"/>
    <row r="36952" s="9" customFormat="1" ht="21.95" customHeight="1" x14ac:dyDescent="0.15"/>
    <row r="36953" s="9" customFormat="1" ht="21.95" customHeight="1" x14ac:dyDescent="0.15"/>
    <row r="36954" s="9" customFormat="1" ht="21.95" customHeight="1" x14ac:dyDescent="0.15"/>
    <row r="36955" s="9" customFormat="1" ht="21.95" customHeight="1" x14ac:dyDescent="0.15"/>
    <row r="36956" s="9" customFormat="1" ht="21.95" customHeight="1" x14ac:dyDescent="0.15"/>
    <row r="36957" s="9" customFormat="1" ht="21.95" customHeight="1" x14ac:dyDescent="0.15"/>
    <row r="36958" s="9" customFormat="1" ht="21.95" customHeight="1" x14ac:dyDescent="0.15"/>
    <row r="36959" s="9" customFormat="1" ht="21.95" customHeight="1" x14ac:dyDescent="0.15"/>
    <row r="36960" s="9" customFormat="1" ht="21.95" customHeight="1" x14ac:dyDescent="0.15"/>
    <row r="36961" s="9" customFormat="1" ht="21.95" customHeight="1" x14ac:dyDescent="0.15"/>
    <row r="36962" s="9" customFormat="1" ht="21.95" customHeight="1" x14ac:dyDescent="0.15"/>
    <row r="36963" s="9" customFormat="1" ht="21.95" customHeight="1" x14ac:dyDescent="0.15"/>
    <row r="36964" s="9" customFormat="1" ht="21.95" customHeight="1" x14ac:dyDescent="0.15"/>
    <row r="36965" s="9" customFormat="1" ht="21.95" customHeight="1" x14ac:dyDescent="0.15"/>
    <row r="36966" s="9" customFormat="1" ht="21.95" customHeight="1" x14ac:dyDescent="0.15"/>
    <row r="36967" s="9" customFormat="1" ht="21.95" customHeight="1" x14ac:dyDescent="0.15"/>
    <row r="36968" s="9" customFormat="1" ht="21.95" customHeight="1" x14ac:dyDescent="0.15"/>
    <row r="36969" s="9" customFormat="1" ht="21.95" customHeight="1" x14ac:dyDescent="0.15"/>
    <row r="36970" s="9" customFormat="1" ht="21.95" customHeight="1" x14ac:dyDescent="0.15"/>
    <row r="36971" s="9" customFormat="1" ht="21.95" customHeight="1" x14ac:dyDescent="0.15"/>
    <row r="36972" s="9" customFormat="1" ht="21.95" customHeight="1" x14ac:dyDescent="0.15"/>
    <row r="36973" s="9" customFormat="1" ht="21.95" customHeight="1" x14ac:dyDescent="0.15"/>
    <row r="36974" s="9" customFormat="1" ht="21.95" customHeight="1" x14ac:dyDescent="0.15"/>
    <row r="36975" s="9" customFormat="1" ht="21.95" customHeight="1" x14ac:dyDescent="0.15"/>
    <row r="36976" s="9" customFormat="1" ht="21.95" customHeight="1" x14ac:dyDescent="0.15"/>
    <row r="36977" s="9" customFormat="1" ht="21.95" customHeight="1" x14ac:dyDescent="0.15"/>
    <row r="36978" s="9" customFormat="1" ht="21.95" customHeight="1" x14ac:dyDescent="0.15"/>
    <row r="36979" s="9" customFormat="1" ht="21.95" customHeight="1" x14ac:dyDescent="0.15"/>
    <row r="36980" s="9" customFormat="1" ht="21.95" customHeight="1" x14ac:dyDescent="0.15"/>
    <row r="36981" s="9" customFormat="1" ht="21.95" customHeight="1" x14ac:dyDescent="0.15"/>
    <row r="36982" s="9" customFormat="1" ht="35.1" customHeight="1" x14ac:dyDescent="0.15"/>
    <row r="36983" s="9" customFormat="1" ht="21.95" customHeight="1" x14ac:dyDescent="0.15"/>
    <row r="36984" s="9" customFormat="1" ht="21.95" customHeight="1" x14ac:dyDescent="0.15"/>
    <row r="36985" s="9" customFormat="1" ht="21.95" customHeight="1" x14ac:dyDescent="0.15"/>
    <row r="36986" s="9" customFormat="1" ht="21.95" customHeight="1" x14ac:dyDescent="0.15"/>
    <row r="36987" s="9" customFormat="1" ht="21.95" customHeight="1" x14ac:dyDescent="0.15"/>
    <row r="36988" s="9" customFormat="1" ht="21.95" customHeight="1" x14ac:dyDescent="0.15"/>
    <row r="36989" s="9" customFormat="1" ht="21.95" customHeight="1" x14ac:dyDescent="0.15"/>
    <row r="36990" s="9" customFormat="1" ht="21.95" customHeight="1" x14ac:dyDescent="0.15"/>
    <row r="36991" s="9" customFormat="1" ht="21.95" customHeight="1" x14ac:dyDescent="0.15"/>
    <row r="36992" s="9" customFormat="1" ht="21.95" customHeight="1" x14ac:dyDescent="0.15"/>
    <row r="36993" spans="3:3" s="9" customFormat="1" ht="21.95" customHeight="1" x14ac:dyDescent="0.15"/>
    <row r="36994" spans="3:3" s="9" customFormat="1" ht="21.95" customHeight="1" x14ac:dyDescent="0.15"/>
    <row r="36995" spans="3:3" s="9" customFormat="1" ht="21.95" customHeight="1" x14ac:dyDescent="0.15"/>
    <row r="36996" spans="3:3" s="9" customFormat="1" ht="21.95" customHeight="1" x14ac:dyDescent="0.15"/>
    <row r="36997" spans="3:3" s="9" customFormat="1" ht="21.95" customHeight="1" x14ac:dyDescent="0.15"/>
    <row r="36998" spans="3:3" s="9" customFormat="1" ht="21.95" customHeight="1" x14ac:dyDescent="0.15"/>
    <row r="36999" spans="3:3" s="9" customFormat="1" ht="21.95" customHeight="1" x14ac:dyDescent="0.15"/>
    <row r="37000" spans="3:3" s="9" customFormat="1" ht="21.95" customHeight="1" x14ac:dyDescent="0.15"/>
    <row r="37001" spans="3:3" s="9" customFormat="1" ht="21.95" customHeight="1" x14ac:dyDescent="0.15"/>
    <row r="37002" spans="3:3" s="9" customFormat="1" ht="21.95" customHeight="1" x14ac:dyDescent="0.15"/>
    <row r="37003" spans="3:3" s="9" customFormat="1" ht="21.95" customHeight="1" x14ac:dyDescent="0.15"/>
    <row r="37004" spans="3:3" s="9" customFormat="1" ht="21.95" customHeight="1" x14ac:dyDescent="0.15"/>
    <row r="37005" spans="3:3" s="9" customFormat="1" ht="21.95" customHeight="1" x14ac:dyDescent="0.15"/>
    <row r="37006" spans="3:3" s="8" customFormat="1" ht="21.95" customHeight="1" x14ac:dyDescent="0.15"/>
    <row r="37007" spans="3:3" s="8" customFormat="1" ht="21.95" customHeight="1" x14ac:dyDescent="0.15"/>
    <row r="37008" spans="3:3" s="8" customFormat="1" ht="21.95" customHeight="1" x14ac:dyDescent="0.15">
      <c r="C37008" s="101"/>
    </row>
    <row r="37009" spans="3:3" s="8" customFormat="1" ht="21.95" customHeight="1" x14ac:dyDescent="0.15">
      <c r="C37009" s="101"/>
    </row>
    <row r="37010" spans="3:3" s="8" customFormat="1" ht="21.95" customHeight="1" x14ac:dyDescent="0.15"/>
    <row r="37011" spans="3:3" s="8" customFormat="1" ht="21.95" customHeight="1" x14ac:dyDescent="0.15"/>
    <row r="37012" spans="3:3" s="8" customFormat="1" ht="21.95" customHeight="1" x14ac:dyDescent="0.15"/>
    <row r="37013" spans="3:3" s="8" customFormat="1" ht="21.95" customHeight="1" x14ac:dyDescent="0.15"/>
    <row r="37014" spans="3:3" s="8" customFormat="1" ht="21.95" customHeight="1" x14ac:dyDescent="0.15"/>
    <row r="37015" spans="3:3" s="8" customFormat="1" ht="21.95" customHeight="1" x14ac:dyDescent="0.15"/>
    <row r="37016" spans="3:3" s="8" customFormat="1" ht="21.95" customHeight="1" x14ac:dyDescent="0.15"/>
    <row r="37017" spans="3:3" s="9" customFormat="1" ht="21.95" customHeight="1" x14ac:dyDescent="0.15"/>
    <row r="37018" spans="3:3" s="9" customFormat="1" ht="21.95" customHeight="1" x14ac:dyDescent="0.15"/>
    <row r="37019" spans="3:3" s="9" customFormat="1" ht="21.95" customHeight="1" x14ac:dyDescent="0.15"/>
    <row r="37020" spans="3:3" s="9" customFormat="1" ht="21.95" customHeight="1" x14ac:dyDescent="0.15"/>
    <row r="37021" spans="3:3" s="8" customFormat="1" ht="21.95" customHeight="1" x14ac:dyDescent="0.15"/>
    <row r="37022" spans="3:3" s="8" customFormat="1" ht="21.95" customHeight="1" x14ac:dyDescent="0.15"/>
    <row r="37023" spans="3:3" s="8" customFormat="1" ht="21.95" customHeight="1" x14ac:dyDescent="0.15"/>
    <row r="37024" spans="3:3" s="8" customFormat="1" ht="21.95" customHeight="1" x14ac:dyDescent="0.15"/>
    <row r="37025" s="8" customFormat="1" ht="21.95" customHeight="1" x14ac:dyDescent="0.15"/>
    <row r="37026" s="8" customFormat="1" ht="21.95" customHeight="1" x14ac:dyDescent="0.15"/>
    <row r="37027" s="8" customFormat="1" ht="21.95" customHeight="1" x14ac:dyDescent="0.15"/>
    <row r="37028" s="8" customFormat="1" ht="21.95" customHeight="1" x14ac:dyDescent="0.15"/>
    <row r="37029" s="8" customFormat="1" ht="21.95" customHeight="1" x14ac:dyDescent="0.15"/>
    <row r="37030" s="8" customFormat="1" ht="21.95" customHeight="1" x14ac:dyDescent="0.15"/>
    <row r="37031" s="8" customFormat="1" ht="21.95" customHeight="1" x14ac:dyDescent="0.15"/>
    <row r="37032" s="8" customFormat="1" ht="32.1" customHeight="1" x14ac:dyDescent="0.15"/>
    <row r="37033" s="8" customFormat="1" ht="32.1" customHeight="1" x14ac:dyDescent="0.15"/>
    <row r="37034" s="8" customFormat="1" ht="32.1" customHeight="1" x14ac:dyDescent="0.15"/>
    <row r="37035" s="8" customFormat="1" ht="32.1" customHeight="1" x14ac:dyDescent="0.15"/>
    <row r="37036" s="8" customFormat="1" ht="32.1" customHeight="1" x14ac:dyDescent="0.15"/>
    <row r="37037" s="8" customFormat="1" ht="32.1" customHeight="1" x14ac:dyDescent="0.15"/>
    <row r="37038" s="9" customFormat="1" ht="32.1" customHeight="1" x14ac:dyDescent="0.15"/>
    <row r="37039" s="9" customFormat="1" ht="32.1" customHeight="1" x14ac:dyDescent="0.15"/>
    <row r="37040" s="9" customFormat="1" ht="32.1" customHeight="1" x14ac:dyDescent="0.15"/>
    <row r="37041" s="9" customFormat="1" ht="32.1" customHeight="1" x14ac:dyDescent="0.15"/>
    <row r="37042" s="9" customFormat="1" ht="21.95" customHeight="1" x14ac:dyDescent="0.15"/>
    <row r="37043" s="9" customFormat="1" ht="54" customHeight="1" x14ac:dyDescent="0.15"/>
    <row r="37044" s="9" customFormat="1" ht="21.95" customHeight="1" x14ac:dyDescent="0.15"/>
    <row r="37045" s="9" customFormat="1" ht="21.95" customHeight="1" x14ac:dyDescent="0.15"/>
    <row r="37046" s="9" customFormat="1" ht="21.95" customHeight="1" x14ac:dyDescent="0.15"/>
    <row r="37047" s="9" customFormat="1" ht="21.95" customHeight="1" x14ac:dyDescent="0.15"/>
    <row r="37048" s="9" customFormat="1" ht="21.95" customHeight="1" x14ac:dyDescent="0.15"/>
    <row r="37049" s="9" customFormat="1" ht="21.95" customHeight="1" x14ac:dyDescent="0.15"/>
    <row r="37050" s="9" customFormat="1" ht="21.95" customHeight="1" x14ac:dyDescent="0.15"/>
    <row r="37051" s="9" customFormat="1" ht="21.95" customHeight="1" x14ac:dyDescent="0.15"/>
    <row r="37052" s="9" customFormat="1" ht="21.95" customHeight="1" x14ac:dyDescent="0.15"/>
    <row r="37053" s="9" customFormat="1" ht="21.95" customHeight="1" x14ac:dyDescent="0.15"/>
    <row r="37054" s="9" customFormat="1" ht="21.95" customHeight="1" x14ac:dyDescent="0.15"/>
    <row r="37055" s="9" customFormat="1" ht="21.95" customHeight="1" x14ac:dyDescent="0.15"/>
    <row r="37056" s="9" customFormat="1" ht="21.95" customHeight="1" x14ac:dyDescent="0.15"/>
    <row r="37057" s="9" customFormat="1" ht="21.95" customHeight="1" x14ac:dyDescent="0.15"/>
    <row r="37058" s="9" customFormat="1" ht="21.95" customHeight="1" x14ac:dyDescent="0.15"/>
    <row r="37059" s="9" customFormat="1" ht="21.95" customHeight="1" x14ac:dyDescent="0.15"/>
    <row r="37060" s="9" customFormat="1" ht="21.95" customHeight="1" x14ac:dyDescent="0.15"/>
    <row r="37061" s="9" customFormat="1" ht="21.95" customHeight="1" x14ac:dyDescent="0.15"/>
    <row r="37062" s="9" customFormat="1" ht="21.95" customHeight="1" x14ac:dyDescent="0.15"/>
    <row r="37063" s="9" customFormat="1" ht="21.95" customHeight="1" x14ac:dyDescent="0.15"/>
    <row r="37064" s="9" customFormat="1" ht="21.95" customHeight="1" x14ac:dyDescent="0.15"/>
    <row r="37065" s="9" customFormat="1" ht="21.95" customHeight="1" x14ac:dyDescent="0.15"/>
    <row r="37066" s="9" customFormat="1" ht="21.95" customHeight="1" x14ac:dyDescent="0.15"/>
    <row r="37067" s="9" customFormat="1" ht="21.95" customHeight="1" x14ac:dyDescent="0.15"/>
    <row r="37068" s="9" customFormat="1" ht="21.95" customHeight="1" x14ac:dyDescent="0.15"/>
    <row r="37069" s="9" customFormat="1" ht="21.95" customHeight="1" x14ac:dyDescent="0.15"/>
    <row r="37070" s="9" customFormat="1" ht="21.95" customHeight="1" x14ac:dyDescent="0.15"/>
    <row r="37071" s="9" customFormat="1" ht="21.95" customHeight="1" x14ac:dyDescent="0.15"/>
    <row r="37072" s="9" customFormat="1" ht="21.95" customHeight="1" x14ac:dyDescent="0.15"/>
    <row r="37073" s="9" customFormat="1" ht="21.95" customHeight="1" x14ac:dyDescent="0.15"/>
    <row r="37074" s="9" customFormat="1" ht="21.95" customHeight="1" x14ac:dyDescent="0.15"/>
    <row r="37075" s="9" customFormat="1" ht="21.95" customHeight="1" x14ac:dyDescent="0.15"/>
    <row r="37076" s="9" customFormat="1" ht="21.95" customHeight="1" x14ac:dyDescent="0.15"/>
    <row r="37077" s="9" customFormat="1" ht="21.95" customHeight="1" x14ac:dyDescent="0.15"/>
    <row r="37078" s="9" customFormat="1" ht="21.95" customHeight="1" x14ac:dyDescent="0.15"/>
    <row r="37079" s="9" customFormat="1" ht="21.95" customHeight="1" x14ac:dyDescent="0.15"/>
    <row r="37080" s="9" customFormat="1" ht="21.95" customHeight="1" x14ac:dyDescent="0.15"/>
    <row r="37081" s="9" customFormat="1" ht="21.95" customHeight="1" x14ac:dyDescent="0.15"/>
    <row r="37082" s="9" customFormat="1" ht="21.95" customHeight="1" x14ac:dyDescent="0.15"/>
    <row r="37083" s="9" customFormat="1" ht="21.95" customHeight="1" x14ac:dyDescent="0.15"/>
    <row r="37084" s="9" customFormat="1" ht="21.95" customHeight="1" x14ac:dyDescent="0.15"/>
    <row r="37085" s="9" customFormat="1" ht="21.95" customHeight="1" x14ac:dyDescent="0.15"/>
    <row r="37086" s="9" customFormat="1" ht="21.95" customHeight="1" x14ac:dyDescent="0.15"/>
    <row r="37087" s="9" customFormat="1" ht="21.95" customHeight="1" x14ac:dyDescent="0.15"/>
    <row r="37088" s="9" customFormat="1" ht="21.95" customHeight="1" x14ac:dyDescent="0.15"/>
    <row r="37089" s="9" customFormat="1" ht="21.95" customHeight="1" x14ac:dyDescent="0.15"/>
    <row r="37090" s="9" customFormat="1" ht="21.95" customHeight="1" x14ac:dyDescent="0.15"/>
    <row r="37091" s="9" customFormat="1" ht="21.95" customHeight="1" x14ac:dyDescent="0.15"/>
    <row r="37092" s="9" customFormat="1" ht="21.95" customHeight="1" x14ac:dyDescent="0.15"/>
    <row r="37093" s="9" customFormat="1" ht="21.95" customHeight="1" x14ac:dyDescent="0.15"/>
    <row r="37094" s="9" customFormat="1" ht="35.1" customHeight="1" x14ac:dyDescent="0.15"/>
    <row r="37095" s="9" customFormat="1" ht="21.95" customHeight="1" x14ac:dyDescent="0.15"/>
    <row r="37096" s="9" customFormat="1" ht="21.95" customHeight="1" x14ac:dyDescent="0.15"/>
    <row r="37097" s="9" customFormat="1" ht="21.95" customHeight="1" x14ac:dyDescent="0.15"/>
    <row r="37098" s="9" customFormat="1" ht="21.95" customHeight="1" x14ac:dyDescent="0.15"/>
    <row r="37099" s="9" customFormat="1" ht="21.95" customHeight="1" x14ac:dyDescent="0.15"/>
    <row r="37100" s="9" customFormat="1" ht="21.95" customHeight="1" x14ac:dyDescent="0.15"/>
    <row r="37101" s="9" customFormat="1" ht="21.95" customHeight="1" x14ac:dyDescent="0.15"/>
    <row r="37102" s="9" customFormat="1" ht="21.95" customHeight="1" x14ac:dyDescent="0.15"/>
    <row r="37103" s="9" customFormat="1" ht="21.95" customHeight="1" x14ac:dyDescent="0.15"/>
    <row r="37104" s="9" customFormat="1" ht="21.95" customHeight="1" x14ac:dyDescent="0.15"/>
    <row r="37105" spans="3:3" s="9" customFormat="1" ht="21.95" customHeight="1" x14ac:dyDescent="0.15"/>
    <row r="37106" spans="3:3" s="9" customFormat="1" ht="21.95" customHeight="1" x14ac:dyDescent="0.15"/>
    <row r="37107" spans="3:3" s="9" customFormat="1" ht="21.95" customHeight="1" x14ac:dyDescent="0.15"/>
    <row r="37108" spans="3:3" s="9" customFormat="1" ht="21.95" customHeight="1" x14ac:dyDescent="0.15"/>
    <row r="37109" spans="3:3" s="9" customFormat="1" ht="21.95" customHeight="1" x14ac:dyDescent="0.15"/>
    <row r="37110" spans="3:3" s="9" customFormat="1" ht="21.95" customHeight="1" x14ac:dyDescent="0.15"/>
    <row r="37111" spans="3:3" s="9" customFormat="1" ht="21.95" customHeight="1" x14ac:dyDescent="0.15"/>
    <row r="37112" spans="3:3" s="9" customFormat="1" ht="21.95" customHeight="1" x14ac:dyDescent="0.15"/>
    <row r="37113" spans="3:3" s="9" customFormat="1" ht="21.95" customHeight="1" x14ac:dyDescent="0.15"/>
    <row r="37114" spans="3:3" s="9" customFormat="1" ht="21.95" customHeight="1" x14ac:dyDescent="0.15"/>
    <row r="37115" spans="3:3" s="9" customFormat="1" ht="21.95" customHeight="1" x14ac:dyDescent="0.15"/>
    <row r="37116" spans="3:3" s="9" customFormat="1" ht="21.95" customHeight="1" x14ac:dyDescent="0.15"/>
    <row r="37117" spans="3:3" s="9" customFormat="1" ht="21.95" customHeight="1" x14ac:dyDescent="0.15"/>
    <row r="37118" spans="3:3" s="8" customFormat="1" ht="21.95" customHeight="1" x14ac:dyDescent="0.15"/>
    <row r="37119" spans="3:3" s="8" customFormat="1" ht="21.95" customHeight="1" x14ac:dyDescent="0.15"/>
    <row r="37120" spans="3:3" s="8" customFormat="1" ht="21.95" customHeight="1" x14ac:dyDescent="0.15">
      <c r="C37120" s="101"/>
    </row>
    <row r="37121" spans="3:3" s="8" customFormat="1" ht="21.95" customHeight="1" x14ac:dyDescent="0.15">
      <c r="C37121" s="101"/>
    </row>
    <row r="37122" spans="3:3" s="8" customFormat="1" ht="21.95" customHeight="1" x14ac:dyDescent="0.15"/>
    <row r="37123" spans="3:3" s="8" customFormat="1" ht="21.95" customHeight="1" x14ac:dyDescent="0.15"/>
    <row r="37124" spans="3:3" s="8" customFormat="1" ht="21.95" customHeight="1" x14ac:dyDescent="0.15"/>
    <row r="37125" spans="3:3" s="8" customFormat="1" ht="21.95" customHeight="1" x14ac:dyDescent="0.15"/>
    <row r="37126" spans="3:3" s="8" customFormat="1" ht="21.95" customHeight="1" x14ac:dyDescent="0.15"/>
    <row r="37127" spans="3:3" s="8" customFormat="1" ht="21.95" customHeight="1" x14ac:dyDescent="0.15"/>
    <row r="37128" spans="3:3" s="8" customFormat="1" ht="21.95" customHeight="1" x14ac:dyDescent="0.15"/>
    <row r="37129" spans="3:3" s="9" customFormat="1" ht="21.95" customHeight="1" x14ac:dyDescent="0.15"/>
    <row r="37130" spans="3:3" s="9" customFormat="1" ht="21.95" customHeight="1" x14ac:dyDescent="0.15"/>
    <row r="37131" spans="3:3" s="9" customFormat="1" ht="21.95" customHeight="1" x14ac:dyDescent="0.15"/>
    <row r="37132" spans="3:3" s="9" customFormat="1" ht="21.95" customHeight="1" x14ac:dyDescent="0.15"/>
    <row r="37133" spans="3:3" s="8" customFormat="1" ht="21.95" customHeight="1" x14ac:dyDescent="0.15"/>
    <row r="37134" spans="3:3" s="8" customFormat="1" ht="21.95" customHeight="1" x14ac:dyDescent="0.15"/>
    <row r="37135" spans="3:3" s="8" customFormat="1" ht="21.95" customHeight="1" x14ac:dyDescent="0.15"/>
    <row r="37136" spans="3:3" s="8" customFormat="1" ht="21.95" customHeight="1" x14ac:dyDescent="0.15"/>
    <row r="37137" s="8" customFormat="1" ht="21.95" customHeight="1" x14ac:dyDescent="0.15"/>
    <row r="37138" s="8" customFormat="1" ht="21.95" customHeight="1" x14ac:dyDescent="0.15"/>
    <row r="37139" s="8" customFormat="1" ht="21.95" customHeight="1" x14ac:dyDescent="0.15"/>
    <row r="37140" s="8" customFormat="1" ht="21.95" customHeight="1" x14ac:dyDescent="0.15"/>
    <row r="37141" s="8" customFormat="1" ht="21.95" customHeight="1" x14ac:dyDescent="0.15"/>
    <row r="37142" s="8" customFormat="1" ht="21.95" customHeight="1" x14ac:dyDescent="0.15"/>
    <row r="37143" s="8" customFormat="1" ht="21.95" customHeight="1" x14ac:dyDescent="0.15"/>
    <row r="37144" s="8" customFormat="1" ht="32.1" customHeight="1" x14ac:dyDescent="0.15"/>
    <row r="37145" s="8" customFormat="1" ht="32.1" customHeight="1" x14ac:dyDescent="0.15"/>
    <row r="37146" s="8" customFormat="1" ht="32.1" customHeight="1" x14ac:dyDescent="0.15"/>
    <row r="37147" s="8" customFormat="1" ht="32.1" customHeight="1" x14ac:dyDescent="0.15"/>
    <row r="37148" s="8" customFormat="1" ht="32.1" customHeight="1" x14ac:dyDescent="0.15"/>
    <row r="37149" s="8" customFormat="1" ht="32.1" customHeight="1" x14ac:dyDescent="0.15"/>
    <row r="37150" s="9" customFormat="1" ht="32.1" customHeight="1" x14ac:dyDescent="0.15"/>
    <row r="37151" s="9" customFormat="1" ht="32.1" customHeight="1" x14ac:dyDescent="0.15"/>
    <row r="37152" s="9" customFormat="1" ht="32.1" customHeight="1" x14ac:dyDescent="0.15"/>
    <row r="37153" s="9" customFormat="1" ht="32.1" customHeight="1" x14ac:dyDescent="0.15"/>
    <row r="37154" s="9" customFormat="1" ht="21.95" customHeight="1" x14ac:dyDescent="0.15"/>
    <row r="37155" s="9" customFormat="1" ht="54" customHeight="1" x14ac:dyDescent="0.15"/>
    <row r="37156" s="9" customFormat="1" ht="21.95" customHeight="1" x14ac:dyDescent="0.15"/>
    <row r="37157" s="9" customFormat="1" ht="21.95" customHeight="1" x14ac:dyDescent="0.15"/>
    <row r="37158" s="9" customFormat="1" ht="21.95" customHeight="1" x14ac:dyDescent="0.15"/>
    <row r="37159" s="9" customFormat="1" ht="21.95" customHeight="1" x14ac:dyDescent="0.15"/>
    <row r="37160" s="9" customFormat="1" ht="21.95" customHeight="1" x14ac:dyDescent="0.15"/>
    <row r="37161" s="9" customFormat="1" ht="21.95" customHeight="1" x14ac:dyDescent="0.15"/>
    <row r="37162" s="9" customFormat="1" ht="21.95" customHeight="1" x14ac:dyDescent="0.15"/>
    <row r="37163" s="9" customFormat="1" ht="21.95" customHeight="1" x14ac:dyDescent="0.15"/>
    <row r="37164" s="9" customFormat="1" ht="21.95" customHeight="1" x14ac:dyDescent="0.15"/>
    <row r="37165" s="9" customFormat="1" ht="21.95" customHeight="1" x14ac:dyDescent="0.15"/>
    <row r="37166" s="9" customFormat="1" ht="21.95" customHeight="1" x14ac:dyDescent="0.15"/>
    <row r="37167" s="9" customFormat="1" ht="21.95" customHeight="1" x14ac:dyDescent="0.15"/>
    <row r="37168" s="9" customFormat="1" ht="21.95" customHeight="1" x14ac:dyDescent="0.15"/>
    <row r="37169" s="9" customFormat="1" ht="21.95" customHeight="1" x14ac:dyDescent="0.15"/>
    <row r="37170" s="9" customFormat="1" ht="21.95" customHeight="1" x14ac:dyDescent="0.15"/>
    <row r="37171" s="9" customFormat="1" ht="21.95" customHeight="1" x14ac:dyDescent="0.15"/>
    <row r="37172" s="9" customFormat="1" ht="21.95" customHeight="1" x14ac:dyDescent="0.15"/>
    <row r="37173" s="9" customFormat="1" ht="21.95" customHeight="1" x14ac:dyDescent="0.15"/>
    <row r="37174" s="9" customFormat="1" ht="21.95" customHeight="1" x14ac:dyDescent="0.15"/>
    <row r="37175" s="9" customFormat="1" ht="21.95" customHeight="1" x14ac:dyDescent="0.15"/>
    <row r="37176" s="9" customFormat="1" ht="21.95" customHeight="1" x14ac:dyDescent="0.15"/>
    <row r="37177" s="9" customFormat="1" ht="21.95" customHeight="1" x14ac:dyDescent="0.15"/>
    <row r="37178" s="9" customFormat="1" ht="21.95" customHeight="1" x14ac:dyDescent="0.15"/>
    <row r="37179" s="9" customFormat="1" ht="21.95" customHeight="1" x14ac:dyDescent="0.15"/>
    <row r="37180" s="9" customFormat="1" ht="21.95" customHeight="1" x14ac:dyDescent="0.15"/>
    <row r="37181" s="9" customFormat="1" ht="21.95" customHeight="1" x14ac:dyDescent="0.15"/>
    <row r="37182" s="9" customFormat="1" ht="21.95" customHeight="1" x14ac:dyDescent="0.15"/>
    <row r="37183" s="9" customFormat="1" ht="21.95" customHeight="1" x14ac:dyDescent="0.15"/>
    <row r="37184" s="9" customFormat="1" ht="21.95" customHeight="1" x14ac:dyDescent="0.15"/>
    <row r="37185" s="9" customFormat="1" ht="21.95" customHeight="1" x14ac:dyDescent="0.15"/>
    <row r="37186" s="9" customFormat="1" ht="21.95" customHeight="1" x14ac:dyDescent="0.15"/>
    <row r="37187" s="9" customFormat="1" ht="21.95" customHeight="1" x14ac:dyDescent="0.15"/>
    <row r="37188" s="9" customFormat="1" ht="21.95" customHeight="1" x14ac:dyDescent="0.15"/>
    <row r="37189" s="9" customFormat="1" ht="21.95" customHeight="1" x14ac:dyDescent="0.15"/>
    <row r="37190" s="9" customFormat="1" ht="21.95" customHeight="1" x14ac:dyDescent="0.15"/>
    <row r="37191" s="9" customFormat="1" ht="21.95" customHeight="1" x14ac:dyDescent="0.15"/>
    <row r="37192" s="9" customFormat="1" ht="21.95" customHeight="1" x14ac:dyDescent="0.15"/>
    <row r="37193" s="9" customFormat="1" ht="21.95" customHeight="1" x14ac:dyDescent="0.15"/>
    <row r="37194" s="9" customFormat="1" ht="21.95" customHeight="1" x14ac:dyDescent="0.15"/>
    <row r="37195" s="9" customFormat="1" ht="21.95" customHeight="1" x14ac:dyDescent="0.15"/>
    <row r="37196" s="9" customFormat="1" ht="21.95" customHeight="1" x14ac:dyDescent="0.15"/>
    <row r="37197" s="9" customFormat="1" ht="21.95" customHeight="1" x14ac:dyDescent="0.15"/>
    <row r="37198" s="9" customFormat="1" ht="21.95" customHeight="1" x14ac:dyDescent="0.15"/>
    <row r="37199" s="9" customFormat="1" ht="21.95" customHeight="1" x14ac:dyDescent="0.15"/>
    <row r="37200" s="9" customFormat="1" ht="21.95" customHeight="1" x14ac:dyDescent="0.15"/>
    <row r="37201" s="9" customFormat="1" ht="21.95" customHeight="1" x14ac:dyDescent="0.15"/>
    <row r="37202" s="9" customFormat="1" ht="21.95" customHeight="1" x14ac:dyDescent="0.15"/>
    <row r="37203" s="9" customFormat="1" ht="21.95" customHeight="1" x14ac:dyDescent="0.15"/>
    <row r="37204" s="9" customFormat="1" ht="21.95" customHeight="1" x14ac:dyDescent="0.15"/>
    <row r="37205" s="9" customFormat="1" ht="21.95" customHeight="1" x14ac:dyDescent="0.15"/>
    <row r="37206" s="9" customFormat="1" ht="35.1" customHeight="1" x14ac:dyDescent="0.15"/>
    <row r="37207" s="9" customFormat="1" ht="21.95" customHeight="1" x14ac:dyDescent="0.15"/>
    <row r="37208" s="9" customFormat="1" ht="21.95" customHeight="1" x14ac:dyDescent="0.15"/>
    <row r="37209" s="9" customFormat="1" ht="21.95" customHeight="1" x14ac:dyDescent="0.15"/>
    <row r="37210" s="9" customFormat="1" ht="21.95" customHeight="1" x14ac:dyDescent="0.15"/>
    <row r="37211" s="9" customFormat="1" ht="21.95" customHeight="1" x14ac:dyDescent="0.15"/>
    <row r="37212" s="9" customFormat="1" ht="21.95" customHeight="1" x14ac:dyDescent="0.15"/>
    <row r="37213" s="9" customFormat="1" ht="21.95" customHeight="1" x14ac:dyDescent="0.15"/>
    <row r="37214" s="9" customFormat="1" ht="21.95" customHeight="1" x14ac:dyDescent="0.15"/>
    <row r="37215" s="9" customFormat="1" ht="21.95" customHeight="1" x14ac:dyDescent="0.15"/>
    <row r="37216" s="9" customFormat="1" ht="21.95" customHeight="1" x14ac:dyDescent="0.15"/>
    <row r="37217" spans="3:3" s="9" customFormat="1" ht="21.95" customHeight="1" x14ac:dyDescent="0.15"/>
    <row r="37218" spans="3:3" s="9" customFormat="1" ht="21.95" customHeight="1" x14ac:dyDescent="0.15"/>
    <row r="37219" spans="3:3" s="9" customFormat="1" ht="21.95" customHeight="1" x14ac:dyDescent="0.15"/>
    <row r="37220" spans="3:3" s="9" customFormat="1" ht="21.95" customHeight="1" x14ac:dyDescent="0.15"/>
    <row r="37221" spans="3:3" s="9" customFormat="1" ht="21.95" customHeight="1" x14ac:dyDescent="0.15"/>
    <row r="37222" spans="3:3" s="9" customFormat="1" ht="21.95" customHeight="1" x14ac:dyDescent="0.15"/>
    <row r="37223" spans="3:3" s="9" customFormat="1" ht="21.95" customHeight="1" x14ac:dyDescent="0.15"/>
    <row r="37224" spans="3:3" s="9" customFormat="1" ht="21.95" customHeight="1" x14ac:dyDescent="0.15"/>
    <row r="37225" spans="3:3" s="9" customFormat="1" ht="21.95" customHeight="1" x14ac:dyDescent="0.15"/>
    <row r="37226" spans="3:3" s="9" customFormat="1" ht="21.95" customHeight="1" x14ac:dyDescent="0.15"/>
    <row r="37227" spans="3:3" s="9" customFormat="1" ht="21.95" customHeight="1" x14ac:dyDescent="0.15"/>
    <row r="37228" spans="3:3" s="9" customFormat="1" ht="21.95" customHeight="1" x14ac:dyDescent="0.15"/>
    <row r="37229" spans="3:3" s="9" customFormat="1" ht="21.95" customHeight="1" x14ac:dyDescent="0.15"/>
    <row r="37230" spans="3:3" s="8" customFormat="1" ht="21.95" customHeight="1" x14ac:dyDescent="0.15"/>
    <row r="37231" spans="3:3" s="8" customFormat="1" ht="21.95" customHeight="1" x14ac:dyDescent="0.15"/>
    <row r="37232" spans="3:3" s="8" customFormat="1" ht="21.95" customHeight="1" x14ac:dyDescent="0.15">
      <c r="C37232" s="101"/>
    </row>
    <row r="37233" spans="3:3" s="8" customFormat="1" ht="21.95" customHeight="1" x14ac:dyDescent="0.15">
      <c r="C37233" s="101"/>
    </row>
    <row r="37234" spans="3:3" s="8" customFormat="1" ht="21.95" customHeight="1" x14ac:dyDescent="0.15"/>
    <row r="37235" spans="3:3" s="8" customFormat="1" ht="21.95" customHeight="1" x14ac:dyDescent="0.15"/>
    <row r="37236" spans="3:3" s="8" customFormat="1" ht="21.95" customHeight="1" x14ac:dyDescent="0.15"/>
    <row r="37237" spans="3:3" s="8" customFormat="1" ht="21.95" customHeight="1" x14ac:dyDescent="0.15"/>
    <row r="37238" spans="3:3" s="8" customFormat="1" ht="21.95" customHeight="1" x14ac:dyDescent="0.15"/>
    <row r="37239" spans="3:3" s="8" customFormat="1" ht="21.95" customHeight="1" x14ac:dyDescent="0.15"/>
    <row r="37240" spans="3:3" s="8" customFormat="1" ht="21.95" customHeight="1" x14ac:dyDescent="0.15"/>
    <row r="37241" spans="3:3" s="9" customFormat="1" ht="21.95" customHeight="1" x14ac:dyDescent="0.15"/>
    <row r="37242" spans="3:3" s="9" customFormat="1" ht="21.95" customHeight="1" x14ac:dyDescent="0.15"/>
    <row r="37243" spans="3:3" s="9" customFormat="1" ht="21.95" customHeight="1" x14ac:dyDescent="0.15"/>
    <row r="37244" spans="3:3" s="9" customFormat="1" ht="21.95" customHeight="1" x14ac:dyDescent="0.15"/>
    <row r="37245" spans="3:3" s="8" customFormat="1" ht="21.95" customHeight="1" x14ac:dyDescent="0.15"/>
    <row r="37246" spans="3:3" s="8" customFormat="1" ht="21.95" customHeight="1" x14ac:dyDescent="0.15"/>
    <row r="37247" spans="3:3" s="8" customFormat="1" ht="21.95" customHeight="1" x14ac:dyDescent="0.15"/>
    <row r="37248" spans="3:3" s="8" customFormat="1" ht="21.95" customHeight="1" x14ac:dyDescent="0.15"/>
    <row r="37249" s="8" customFormat="1" ht="21.95" customHeight="1" x14ac:dyDescent="0.15"/>
    <row r="37250" s="8" customFormat="1" ht="21.95" customHeight="1" x14ac:dyDescent="0.15"/>
    <row r="37251" s="8" customFormat="1" ht="21.95" customHeight="1" x14ac:dyDescent="0.15"/>
    <row r="37252" s="8" customFormat="1" ht="21.95" customHeight="1" x14ac:dyDescent="0.15"/>
    <row r="37253" s="8" customFormat="1" ht="21.95" customHeight="1" x14ac:dyDescent="0.15"/>
    <row r="37254" s="8" customFormat="1" ht="21.95" customHeight="1" x14ac:dyDescent="0.15"/>
    <row r="37255" s="8" customFormat="1" ht="21.95" customHeight="1" x14ac:dyDescent="0.15"/>
    <row r="37256" s="8" customFormat="1" ht="32.1" customHeight="1" x14ac:dyDescent="0.15"/>
    <row r="37257" s="8" customFormat="1" ht="32.1" customHeight="1" x14ac:dyDescent="0.15"/>
    <row r="37258" s="8" customFormat="1" ht="32.1" customHeight="1" x14ac:dyDescent="0.15"/>
    <row r="37259" s="8" customFormat="1" ht="32.1" customHeight="1" x14ac:dyDescent="0.15"/>
    <row r="37260" s="8" customFormat="1" ht="32.1" customHeight="1" x14ac:dyDescent="0.15"/>
    <row r="37261" s="8" customFormat="1" ht="32.1" customHeight="1" x14ac:dyDescent="0.15"/>
    <row r="37262" s="9" customFormat="1" ht="32.1" customHeight="1" x14ac:dyDescent="0.15"/>
    <row r="37263" s="9" customFormat="1" ht="32.1" customHeight="1" x14ac:dyDescent="0.15"/>
    <row r="37264" s="9" customFormat="1" ht="32.1" customHeight="1" x14ac:dyDescent="0.15"/>
    <row r="37265" s="9" customFormat="1" ht="32.1" customHeight="1" x14ac:dyDescent="0.15"/>
    <row r="37266" s="9" customFormat="1" ht="21.95" customHeight="1" x14ac:dyDescent="0.15"/>
    <row r="37267" s="9" customFormat="1" ht="54" customHeight="1" x14ac:dyDescent="0.15"/>
    <row r="37268" s="9" customFormat="1" ht="21.95" customHeight="1" x14ac:dyDescent="0.15"/>
    <row r="37269" s="9" customFormat="1" ht="21.95" customHeight="1" x14ac:dyDescent="0.15"/>
    <row r="37270" s="9" customFormat="1" ht="21.95" customHeight="1" x14ac:dyDescent="0.15"/>
    <row r="37271" s="9" customFormat="1" ht="21.95" customHeight="1" x14ac:dyDescent="0.15"/>
    <row r="37272" s="9" customFormat="1" ht="21.95" customHeight="1" x14ac:dyDescent="0.15"/>
    <row r="37273" s="9" customFormat="1" ht="21.95" customHeight="1" x14ac:dyDescent="0.15"/>
    <row r="37274" s="9" customFormat="1" ht="21.95" customHeight="1" x14ac:dyDescent="0.15"/>
    <row r="37275" s="9" customFormat="1" ht="21.95" customHeight="1" x14ac:dyDescent="0.15"/>
    <row r="37276" s="9" customFormat="1" ht="21.95" customHeight="1" x14ac:dyDescent="0.15"/>
    <row r="37277" s="9" customFormat="1" ht="21.95" customHeight="1" x14ac:dyDescent="0.15"/>
    <row r="37278" s="9" customFormat="1" ht="21.95" customHeight="1" x14ac:dyDescent="0.15"/>
    <row r="37279" s="9" customFormat="1" ht="21.95" customHeight="1" x14ac:dyDescent="0.15"/>
    <row r="37280" s="9" customFormat="1" ht="21.95" customHeight="1" x14ac:dyDescent="0.15"/>
    <row r="37281" s="9" customFormat="1" ht="21.95" customHeight="1" x14ac:dyDescent="0.15"/>
    <row r="37282" s="9" customFormat="1" ht="21.95" customHeight="1" x14ac:dyDescent="0.15"/>
    <row r="37283" s="9" customFormat="1" ht="21.95" customHeight="1" x14ac:dyDescent="0.15"/>
    <row r="37284" s="9" customFormat="1" ht="21.95" customHeight="1" x14ac:dyDescent="0.15"/>
    <row r="37285" s="9" customFormat="1" ht="21.95" customHeight="1" x14ac:dyDescent="0.15"/>
    <row r="37286" s="9" customFormat="1" ht="21.95" customHeight="1" x14ac:dyDescent="0.15"/>
    <row r="37287" s="9" customFormat="1" ht="21.95" customHeight="1" x14ac:dyDescent="0.15"/>
    <row r="37288" s="9" customFormat="1" ht="21.95" customHeight="1" x14ac:dyDescent="0.15"/>
    <row r="37289" s="9" customFormat="1" ht="21.95" customHeight="1" x14ac:dyDescent="0.15"/>
    <row r="37290" s="9" customFormat="1" ht="21.95" customHeight="1" x14ac:dyDescent="0.15"/>
    <row r="37291" s="9" customFormat="1" ht="21.95" customHeight="1" x14ac:dyDescent="0.15"/>
    <row r="37292" s="9" customFormat="1" ht="21.95" customHeight="1" x14ac:dyDescent="0.15"/>
    <row r="37293" s="9" customFormat="1" ht="21.95" customHeight="1" x14ac:dyDescent="0.15"/>
    <row r="37294" s="9" customFormat="1" ht="21.95" customHeight="1" x14ac:dyDescent="0.15"/>
    <row r="37295" s="9" customFormat="1" ht="21.95" customHeight="1" x14ac:dyDescent="0.15"/>
    <row r="37296" s="9" customFormat="1" ht="21.95" customHeight="1" x14ac:dyDescent="0.15"/>
    <row r="37297" s="9" customFormat="1" ht="21.95" customHeight="1" x14ac:dyDescent="0.15"/>
    <row r="37298" s="9" customFormat="1" ht="21.95" customHeight="1" x14ac:dyDescent="0.15"/>
    <row r="37299" s="9" customFormat="1" ht="21.95" customHeight="1" x14ac:dyDescent="0.15"/>
    <row r="37300" s="9" customFormat="1" ht="21.95" customHeight="1" x14ac:dyDescent="0.15"/>
    <row r="37301" s="9" customFormat="1" ht="21.95" customHeight="1" x14ac:dyDescent="0.15"/>
    <row r="37302" s="9" customFormat="1" ht="21.95" customHeight="1" x14ac:dyDescent="0.15"/>
    <row r="37303" s="9" customFormat="1" ht="21.95" customHeight="1" x14ac:dyDescent="0.15"/>
    <row r="37304" s="9" customFormat="1" ht="21.95" customHeight="1" x14ac:dyDescent="0.15"/>
    <row r="37305" s="9" customFormat="1" ht="21.95" customHeight="1" x14ac:dyDescent="0.15"/>
    <row r="37306" s="9" customFormat="1" ht="21.95" customHeight="1" x14ac:dyDescent="0.15"/>
    <row r="37307" s="9" customFormat="1" ht="21.95" customHeight="1" x14ac:dyDescent="0.15"/>
    <row r="37308" s="9" customFormat="1" ht="21.95" customHeight="1" x14ac:dyDescent="0.15"/>
    <row r="37309" s="9" customFormat="1" ht="21.95" customHeight="1" x14ac:dyDescent="0.15"/>
    <row r="37310" s="9" customFormat="1" ht="21.95" customHeight="1" x14ac:dyDescent="0.15"/>
    <row r="37311" s="9" customFormat="1" ht="21.95" customHeight="1" x14ac:dyDescent="0.15"/>
    <row r="37312" s="9" customFormat="1" ht="21.95" customHeight="1" x14ac:dyDescent="0.15"/>
    <row r="37313" s="9" customFormat="1" ht="21.95" customHeight="1" x14ac:dyDescent="0.15"/>
    <row r="37314" s="9" customFormat="1" ht="21.95" customHeight="1" x14ac:dyDescent="0.15"/>
    <row r="37315" s="9" customFormat="1" ht="21.95" customHeight="1" x14ac:dyDescent="0.15"/>
    <row r="37316" s="9" customFormat="1" ht="21.95" customHeight="1" x14ac:dyDescent="0.15"/>
    <row r="37317" s="9" customFormat="1" ht="21.95" customHeight="1" x14ac:dyDescent="0.15"/>
    <row r="37318" s="9" customFormat="1" ht="35.1" customHeight="1" x14ac:dyDescent="0.15"/>
    <row r="37319" s="9" customFormat="1" ht="21.95" customHeight="1" x14ac:dyDescent="0.15"/>
    <row r="37320" s="9" customFormat="1" ht="21.95" customHeight="1" x14ac:dyDescent="0.15"/>
    <row r="37321" s="9" customFormat="1" ht="21.95" customHeight="1" x14ac:dyDescent="0.15"/>
    <row r="37322" s="9" customFormat="1" ht="21.95" customHeight="1" x14ac:dyDescent="0.15"/>
    <row r="37323" s="9" customFormat="1" ht="21.95" customHeight="1" x14ac:dyDescent="0.15"/>
    <row r="37324" s="9" customFormat="1" ht="21.95" customHeight="1" x14ac:dyDescent="0.15"/>
    <row r="37325" s="9" customFormat="1" ht="21.95" customHeight="1" x14ac:dyDescent="0.15"/>
    <row r="37326" s="9" customFormat="1" ht="21.95" customHeight="1" x14ac:dyDescent="0.15"/>
    <row r="37327" s="9" customFormat="1" ht="21.95" customHeight="1" x14ac:dyDescent="0.15"/>
    <row r="37328" s="9" customFormat="1" ht="21.95" customHeight="1" x14ac:dyDescent="0.15"/>
    <row r="37329" spans="3:3" s="9" customFormat="1" ht="21.95" customHeight="1" x14ac:dyDescent="0.15"/>
    <row r="37330" spans="3:3" s="9" customFormat="1" ht="21.95" customHeight="1" x14ac:dyDescent="0.15"/>
    <row r="37331" spans="3:3" s="9" customFormat="1" ht="21.95" customHeight="1" x14ac:dyDescent="0.15"/>
    <row r="37332" spans="3:3" s="9" customFormat="1" ht="21.95" customHeight="1" x14ac:dyDescent="0.15"/>
    <row r="37333" spans="3:3" s="9" customFormat="1" ht="21.95" customHeight="1" x14ac:dyDescent="0.15"/>
    <row r="37334" spans="3:3" s="9" customFormat="1" ht="21.95" customHeight="1" x14ac:dyDescent="0.15"/>
    <row r="37335" spans="3:3" s="9" customFormat="1" ht="21.95" customHeight="1" x14ac:dyDescent="0.15"/>
    <row r="37336" spans="3:3" s="9" customFormat="1" ht="21.95" customHeight="1" x14ac:dyDescent="0.15"/>
    <row r="37337" spans="3:3" s="9" customFormat="1" ht="21.95" customHeight="1" x14ac:dyDescent="0.15"/>
    <row r="37338" spans="3:3" s="9" customFormat="1" ht="21.95" customHeight="1" x14ac:dyDescent="0.15"/>
    <row r="37339" spans="3:3" s="9" customFormat="1" ht="21.95" customHeight="1" x14ac:dyDescent="0.15"/>
    <row r="37340" spans="3:3" s="9" customFormat="1" ht="21.95" customHeight="1" x14ac:dyDescent="0.15"/>
    <row r="37341" spans="3:3" s="9" customFormat="1" ht="21.95" customHeight="1" x14ac:dyDescent="0.15"/>
    <row r="37342" spans="3:3" s="8" customFormat="1" ht="21.95" customHeight="1" x14ac:dyDescent="0.15"/>
    <row r="37343" spans="3:3" s="8" customFormat="1" ht="21.95" customHeight="1" x14ac:dyDescent="0.15"/>
    <row r="37344" spans="3:3" s="8" customFormat="1" ht="21.95" customHeight="1" x14ac:dyDescent="0.15">
      <c r="C37344" s="101"/>
    </row>
    <row r="37345" spans="3:3" s="8" customFormat="1" ht="21.95" customHeight="1" x14ac:dyDescent="0.15">
      <c r="C37345" s="101"/>
    </row>
    <row r="37346" spans="3:3" s="8" customFormat="1" ht="21.95" customHeight="1" x14ac:dyDescent="0.15"/>
    <row r="37347" spans="3:3" s="8" customFormat="1" ht="21.95" customHeight="1" x14ac:dyDescent="0.15"/>
    <row r="37348" spans="3:3" s="8" customFormat="1" ht="21.95" customHeight="1" x14ac:dyDescent="0.15"/>
    <row r="37349" spans="3:3" s="8" customFormat="1" ht="21.95" customHeight="1" x14ac:dyDescent="0.15"/>
    <row r="37350" spans="3:3" s="8" customFormat="1" ht="21.95" customHeight="1" x14ac:dyDescent="0.15"/>
    <row r="37351" spans="3:3" s="8" customFormat="1" ht="21.95" customHeight="1" x14ac:dyDescent="0.15"/>
    <row r="37352" spans="3:3" s="8" customFormat="1" ht="21.95" customHeight="1" x14ac:dyDescent="0.15"/>
    <row r="37353" spans="3:3" s="9" customFormat="1" ht="21.95" customHeight="1" x14ac:dyDescent="0.15"/>
    <row r="37354" spans="3:3" s="9" customFormat="1" ht="21.95" customHeight="1" x14ac:dyDescent="0.15"/>
    <row r="37355" spans="3:3" s="9" customFormat="1" ht="21.95" customHeight="1" x14ac:dyDescent="0.15"/>
    <row r="37356" spans="3:3" s="9" customFormat="1" ht="21.95" customHeight="1" x14ac:dyDescent="0.15"/>
    <row r="37357" spans="3:3" s="8" customFormat="1" ht="21.95" customHeight="1" x14ac:dyDescent="0.15"/>
    <row r="37358" spans="3:3" s="8" customFormat="1" ht="21.95" customHeight="1" x14ac:dyDescent="0.15"/>
    <row r="37359" spans="3:3" s="8" customFormat="1" ht="21.95" customHeight="1" x14ac:dyDescent="0.15"/>
    <row r="37360" spans="3:3" s="8" customFormat="1" ht="21.95" customHeight="1" x14ac:dyDescent="0.15"/>
    <row r="37361" s="8" customFormat="1" ht="21.95" customHeight="1" x14ac:dyDescent="0.15"/>
    <row r="37362" s="8" customFormat="1" ht="21.95" customHeight="1" x14ac:dyDescent="0.15"/>
    <row r="37363" s="8" customFormat="1" ht="21.95" customHeight="1" x14ac:dyDescent="0.15"/>
    <row r="37364" s="8" customFormat="1" ht="21.95" customHeight="1" x14ac:dyDescent="0.15"/>
    <row r="37365" s="8" customFormat="1" ht="21.95" customHeight="1" x14ac:dyDescent="0.15"/>
    <row r="37366" s="8" customFormat="1" ht="21.95" customHeight="1" x14ac:dyDescent="0.15"/>
    <row r="37367" s="8" customFormat="1" ht="21.95" customHeight="1" x14ac:dyDescent="0.15"/>
    <row r="37368" s="8" customFormat="1" ht="32.1" customHeight="1" x14ac:dyDescent="0.15"/>
    <row r="37369" s="8" customFormat="1" ht="32.1" customHeight="1" x14ac:dyDescent="0.15"/>
    <row r="37370" s="8" customFormat="1" ht="32.1" customHeight="1" x14ac:dyDescent="0.15"/>
    <row r="37371" s="8" customFormat="1" ht="32.1" customHeight="1" x14ac:dyDescent="0.15"/>
    <row r="37372" s="8" customFormat="1" ht="32.1" customHeight="1" x14ac:dyDescent="0.15"/>
    <row r="37373" s="8" customFormat="1" ht="32.1" customHeight="1" x14ac:dyDescent="0.15"/>
    <row r="37374" s="9" customFormat="1" ht="32.1" customHeight="1" x14ac:dyDescent="0.15"/>
    <row r="37375" s="9" customFormat="1" ht="32.1" customHeight="1" x14ac:dyDescent="0.15"/>
    <row r="37376" s="9" customFormat="1" ht="32.1" customHeight="1" x14ac:dyDescent="0.15"/>
    <row r="37377" s="9" customFormat="1" ht="32.1" customHeight="1" x14ac:dyDescent="0.15"/>
    <row r="37378" s="9" customFormat="1" ht="21.95" customHeight="1" x14ac:dyDescent="0.15"/>
    <row r="37379" s="9" customFormat="1" ht="54" customHeight="1" x14ac:dyDescent="0.15"/>
    <row r="37380" s="9" customFormat="1" ht="21.95" customHeight="1" x14ac:dyDescent="0.15"/>
    <row r="37381" s="9" customFormat="1" ht="21.95" customHeight="1" x14ac:dyDescent="0.15"/>
    <row r="37382" s="9" customFormat="1" ht="21.95" customHeight="1" x14ac:dyDescent="0.15"/>
    <row r="37383" s="9" customFormat="1" ht="21.95" customHeight="1" x14ac:dyDescent="0.15"/>
    <row r="37384" s="9" customFormat="1" ht="21.95" customHeight="1" x14ac:dyDescent="0.15"/>
    <row r="37385" s="9" customFormat="1" ht="21.95" customHeight="1" x14ac:dyDescent="0.15"/>
    <row r="37386" s="9" customFormat="1" ht="21.95" customHeight="1" x14ac:dyDescent="0.15"/>
    <row r="37387" s="9" customFormat="1" ht="21.95" customHeight="1" x14ac:dyDescent="0.15"/>
    <row r="37388" s="9" customFormat="1" ht="21.95" customHeight="1" x14ac:dyDescent="0.15"/>
    <row r="37389" s="9" customFormat="1" ht="21.95" customHeight="1" x14ac:dyDescent="0.15"/>
    <row r="37390" s="9" customFormat="1" ht="21.95" customHeight="1" x14ac:dyDescent="0.15"/>
    <row r="37391" s="9" customFormat="1" ht="21.95" customHeight="1" x14ac:dyDescent="0.15"/>
    <row r="37392" s="9" customFormat="1" ht="21.95" customHeight="1" x14ac:dyDescent="0.15"/>
    <row r="37393" s="9" customFormat="1" ht="21.95" customHeight="1" x14ac:dyDescent="0.15"/>
    <row r="37394" s="9" customFormat="1" ht="21.95" customHeight="1" x14ac:dyDescent="0.15"/>
    <row r="37395" s="9" customFormat="1" ht="21.95" customHeight="1" x14ac:dyDescent="0.15"/>
    <row r="37396" s="9" customFormat="1" ht="21.95" customHeight="1" x14ac:dyDescent="0.15"/>
    <row r="37397" s="9" customFormat="1" ht="21.95" customHeight="1" x14ac:dyDescent="0.15"/>
    <row r="37398" s="9" customFormat="1" ht="21.95" customHeight="1" x14ac:dyDescent="0.15"/>
    <row r="37399" s="9" customFormat="1" ht="21.95" customHeight="1" x14ac:dyDescent="0.15"/>
    <row r="37400" s="9" customFormat="1" ht="21.95" customHeight="1" x14ac:dyDescent="0.15"/>
    <row r="37401" s="9" customFormat="1" ht="21.95" customHeight="1" x14ac:dyDescent="0.15"/>
    <row r="37402" s="9" customFormat="1" ht="21.95" customHeight="1" x14ac:dyDescent="0.15"/>
    <row r="37403" s="9" customFormat="1" ht="21.95" customHeight="1" x14ac:dyDescent="0.15"/>
    <row r="37404" s="9" customFormat="1" ht="21.95" customHeight="1" x14ac:dyDescent="0.15"/>
    <row r="37405" s="9" customFormat="1" ht="21.95" customHeight="1" x14ac:dyDescent="0.15"/>
    <row r="37406" s="9" customFormat="1" ht="21.95" customHeight="1" x14ac:dyDescent="0.15"/>
    <row r="37407" s="9" customFormat="1" ht="21.95" customHeight="1" x14ac:dyDescent="0.15"/>
    <row r="37408" s="9" customFormat="1" ht="21.95" customHeight="1" x14ac:dyDescent="0.15"/>
    <row r="37409" s="9" customFormat="1" ht="21.95" customHeight="1" x14ac:dyDescent="0.15"/>
    <row r="37410" s="9" customFormat="1" ht="21.95" customHeight="1" x14ac:dyDescent="0.15"/>
    <row r="37411" s="9" customFormat="1" ht="21.95" customHeight="1" x14ac:dyDescent="0.15"/>
    <row r="37412" s="9" customFormat="1" ht="21.95" customHeight="1" x14ac:dyDescent="0.15"/>
    <row r="37413" s="9" customFormat="1" ht="21.95" customHeight="1" x14ac:dyDescent="0.15"/>
    <row r="37414" s="9" customFormat="1" ht="21.95" customHeight="1" x14ac:dyDescent="0.15"/>
    <row r="37415" s="9" customFormat="1" ht="21.95" customHeight="1" x14ac:dyDescent="0.15"/>
    <row r="37416" s="9" customFormat="1" ht="21.95" customHeight="1" x14ac:dyDescent="0.15"/>
    <row r="37417" s="9" customFormat="1" ht="21.95" customHeight="1" x14ac:dyDescent="0.15"/>
    <row r="37418" s="9" customFormat="1" ht="21.95" customHeight="1" x14ac:dyDescent="0.15"/>
    <row r="37419" s="9" customFormat="1" ht="21.95" customHeight="1" x14ac:dyDescent="0.15"/>
    <row r="37420" s="9" customFormat="1" ht="21.95" customHeight="1" x14ac:dyDescent="0.15"/>
    <row r="37421" s="9" customFormat="1" ht="21.95" customHeight="1" x14ac:dyDescent="0.15"/>
    <row r="37422" s="9" customFormat="1" ht="21.95" customHeight="1" x14ac:dyDescent="0.15"/>
    <row r="37423" s="9" customFormat="1" ht="21.95" customHeight="1" x14ac:dyDescent="0.15"/>
    <row r="37424" s="9" customFormat="1" ht="21.95" customHeight="1" x14ac:dyDescent="0.15"/>
    <row r="37425" s="9" customFormat="1" ht="21.95" customHeight="1" x14ac:dyDescent="0.15"/>
    <row r="37426" s="9" customFormat="1" ht="21.95" customHeight="1" x14ac:dyDescent="0.15"/>
    <row r="37427" s="9" customFormat="1" ht="21.95" customHeight="1" x14ac:dyDescent="0.15"/>
    <row r="37428" s="9" customFormat="1" ht="21.95" customHeight="1" x14ac:dyDescent="0.15"/>
    <row r="37429" s="9" customFormat="1" ht="21.95" customHeight="1" x14ac:dyDescent="0.15"/>
    <row r="37430" s="9" customFormat="1" ht="35.1" customHeight="1" x14ac:dyDescent="0.15"/>
    <row r="37431" s="9" customFormat="1" ht="21.95" customHeight="1" x14ac:dyDescent="0.15"/>
    <row r="37432" s="9" customFormat="1" ht="21.95" customHeight="1" x14ac:dyDescent="0.15"/>
    <row r="37433" s="9" customFormat="1" ht="21.95" customHeight="1" x14ac:dyDescent="0.15"/>
    <row r="37434" s="9" customFormat="1" ht="21.95" customHeight="1" x14ac:dyDescent="0.15"/>
    <row r="37435" s="9" customFormat="1" ht="21.95" customHeight="1" x14ac:dyDescent="0.15"/>
    <row r="37436" s="9" customFormat="1" ht="21.95" customHeight="1" x14ac:dyDescent="0.15"/>
    <row r="37437" s="9" customFormat="1" ht="21.95" customHeight="1" x14ac:dyDescent="0.15"/>
    <row r="37438" s="9" customFormat="1" ht="21.95" customHeight="1" x14ac:dyDescent="0.15"/>
    <row r="37439" s="9" customFormat="1" ht="21.95" customHeight="1" x14ac:dyDescent="0.15"/>
    <row r="37440" s="9" customFormat="1" ht="21.95" customHeight="1" x14ac:dyDescent="0.15"/>
    <row r="37441" spans="3:3" s="9" customFormat="1" ht="21.95" customHeight="1" x14ac:dyDescent="0.15"/>
    <row r="37442" spans="3:3" s="9" customFormat="1" ht="21.95" customHeight="1" x14ac:dyDescent="0.15"/>
    <row r="37443" spans="3:3" s="9" customFormat="1" ht="21.95" customHeight="1" x14ac:dyDescent="0.15"/>
    <row r="37444" spans="3:3" s="9" customFormat="1" ht="21.95" customHeight="1" x14ac:dyDescent="0.15"/>
    <row r="37445" spans="3:3" s="9" customFormat="1" ht="21.95" customHeight="1" x14ac:dyDescent="0.15"/>
    <row r="37446" spans="3:3" s="9" customFormat="1" ht="21.95" customHeight="1" x14ac:dyDescent="0.15"/>
    <row r="37447" spans="3:3" s="9" customFormat="1" ht="21.95" customHeight="1" x14ac:dyDescent="0.15"/>
    <row r="37448" spans="3:3" s="9" customFormat="1" ht="21.95" customHeight="1" x14ac:dyDescent="0.15"/>
    <row r="37449" spans="3:3" s="9" customFormat="1" ht="21.95" customHeight="1" x14ac:dyDescent="0.15"/>
    <row r="37450" spans="3:3" s="9" customFormat="1" ht="21.95" customHeight="1" x14ac:dyDescent="0.15"/>
    <row r="37451" spans="3:3" s="9" customFormat="1" ht="21.95" customHeight="1" x14ac:dyDescent="0.15"/>
    <row r="37452" spans="3:3" s="9" customFormat="1" ht="21.95" customHeight="1" x14ac:dyDescent="0.15"/>
    <row r="37453" spans="3:3" s="9" customFormat="1" ht="21.95" customHeight="1" x14ac:dyDescent="0.15"/>
    <row r="37454" spans="3:3" s="8" customFormat="1" ht="21.95" customHeight="1" x14ac:dyDescent="0.15"/>
    <row r="37455" spans="3:3" s="8" customFormat="1" ht="21.95" customHeight="1" x14ac:dyDescent="0.15"/>
    <row r="37456" spans="3:3" s="8" customFormat="1" ht="21.95" customHeight="1" x14ac:dyDescent="0.15">
      <c r="C37456" s="101"/>
    </row>
    <row r="37457" spans="3:3" s="8" customFormat="1" ht="21.95" customHeight="1" x14ac:dyDescent="0.15">
      <c r="C37457" s="101"/>
    </row>
    <row r="37458" spans="3:3" s="8" customFormat="1" ht="21.95" customHeight="1" x14ac:dyDescent="0.15"/>
    <row r="37459" spans="3:3" s="8" customFormat="1" ht="21.95" customHeight="1" x14ac:dyDescent="0.15"/>
    <row r="37460" spans="3:3" s="8" customFormat="1" ht="21.95" customHeight="1" x14ac:dyDescent="0.15"/>
    <row r="37461" spans="3:3" s="8" customFormat="1" ht="21.95" customHeight="1" x14ac:dyDescent="0.15"/>
    <row r="37462" spans="3:3" s="8" customFormat="1" ht="21.95" customHeight="1" x14ac:dyDescent="0.15"/>
    <row r="37463" spans="3:3" s="8" customFormat="1" ht="21.95" customHeight="1" x14ac:dyDescent="0.15"/>
    <row r="37464" spans="3:3" s="8" customFormat="1" ht="21.95" customHeight="1" x14ac:dyDescent="0.15"/>
    <row r="37465" spans="3:3" s="9" customFormat="1" ht="21.95" customHeight="1" x14ac:dyDescent="0.15"/>
    <row r="37466" spans="3:3" s="9" customFormat="1" ht="21.95" customHeight="1" x14ac:dyDescent="0.15"/>
    <row r="37467" spans="3:3" s="9" customFormat="1" ht="21.95" customHeight="1" x14ac:dyDescent="0.15"/>
    <row r="37468" spans="3:3" s="9" customFormat="1" ht="21.95" customHeight="1" x14ac:dyDescent="0.15"/>
    <row r="37469" spans="3:3" s="8" customFormat="1" ht="21.95" customHeight="1" x14ac:dyDescent="0.15"/>
    <row r="37470" spans="3:3" s="8" customFormat="1" ht="21.95" customHeight="1" x14ac:dyDescent="0.15"/>
    <row r="37471" spans="3:3" s="8" customFormat="1" ht="21.95" customHeight="1" x14ac:dyDescent="0.15"/>
    <row r="37472" spans="3:3" s="8" customFormat="1" ht="21.95" customHeight="1" x14ac:dyDescent="0.15"/>
    <row r="37473" s="8" customFormat="1" ht="21.95" customHeight="1" x14ac:dyDescent="0.15"/>
    <row r="37474" s="8" customFormat="1" ht="21.95" customHeight="1" x14ac:dyDescent="0.15"/>
    <row r="37475" s="8" customFormat="1" ht="21.95" customHeight="1" x14ac:dyDescent="0.15"/>
    <row r="37476" s="8" customFormat="1" ht="21.95" customHeight="1" x14ac:dyDescent="0.15"/>
    <row r="37477" s="8" customFormat="1" ht="21.95" customHeight="1" x14ac:dyDescent="0.15"/>
    <row r="37478" s="8" customFormat="1" ht="21.95" customHeight="1" x14ac:dyDescent="0.15"/>
    <row r="37479" s="8" customFormat="1" ht="21.95" customHeight="1" x14ac:dyDescent="0.15"/>
    <row r="37480" s="8" customFormat="1" ht="32.1" customHeight="1" x14ac:dyDescent="0.15"/>
    <row r="37481" s="8" customFormat="1" ht="32.1" customHeight="1" x14ac:dyDescent="0.15"/>
    <row r="37482" s="8" customFormat="1" ht="32.1" customHeight="1" x14ac:dyDescent="0.15"/>
    <row r="37483" s="8" customFormat="1" ht="32.1" customHeight="1" x14ac:dyDescent="0.15"/>
    <row r="37484" s="8" customFormat="1" ht="32.1" customHeight="1" x14ac:dyDescent="0.15"/>
    <row r="37485" s="8" customFormat="1" ht="32.1" customHeight="1" x14ac:dyDescent="0.15"/>
    <row r="37486" s="9" customFormat="1" ht="32.1" customHeight="1" x14ac:dyDescent="0.15"/>
    <row r="37487" s="9" customFormat="1" ht="32.1" customHeight="1" x14ac:dyDescent="0.15"/>
    <row r="37488" s="9" customFormat="1" ht="32.1" customHeight="1" x14ac:dyDescent="0.15"/>
    <row r="37489" s="9" customFormat="1" ht="32.1" customHeight="1" x14ac:dyDescent="0.15"/>
    <row r="37490" s="9" customFormat="1" ht="21.95" customHeight="1" x14ac:dyDescent="0.15"/>
    <row r="37491" s="9" customFormat="1" ht="54" customHeight="1" x14ac:dyDescent="0.15"/>
    <row r="37492" s="9" customFormat="1" ht="21.95" customHeight="1" x14ac:dyDescent="0.15"/>
    <row r="37493" s="9" customFormat="1" ht="21.95" customHeight="1" x14ac:dyDescent="0.15"/>
    <row r="37494" s="9" customFormat="1" ht="21.95" customHeight="1" x14ac:dyDescent="0.15"/>
    <row r="37495" s="9" customFormat="1" ht="21.95" customHeight="1" x14ac:dyDescent="0.15"/>
    <row r="37496" s="9" customFormat="1" ht="21.95" customHeight="1" x14ac:dyDescent="0.15"/>
    <row r="37497" s="9" customFormat="1" ht="21.95" customHeight="1" x14ac:dyDescent="0.15"/>
    <row r="37498" s="9" customFormat="1" ht="21.95" customHeight="1" x14ac:dyDescent="0.15"/>
    <row r="37499" s="9" customFormat="1" ht="21.95" customHeight="1" x14ac:dyDescent="0.15"/>
    <row r="37500" s="9" customFormat="1" ht="21.95" customHeight="1" x14ac:dyDescent="0.15"/>
    <row r="37501" s="9" customFormat="1" ht="21.95" customHeight="1" x14ac:dyDescent="0.15"/>
    <row r="37502" s="9" customFormat="1" ht="21.95" customHeight="1" x14ac:dyDescent="0.15"/>
    <row r="37503" s="9" customFormat="1" ht="21.95" customHeight="1" x14ac:dyDescent="0.15"/>
    <row r="37504" s="9" customFormat="1" ht="21.95" customHeight="1" x14ac:dyDescent="0.15"/>
    <row r="37505" s="9" customFormat="1" ht="21.95" customHeight="1" x14ac:dyDescent="0.15"/>
    <row r="37506" s="9" customFormat="1" ht="21.95" customHeight="1" x14ac:dyDescent="0.15"/>
    <row r="37507" s="9" customFormat="1" ht="21.95" customHeight="1" x14ac:dyDescent="0.15"/>
    <row r="37508" s="9" customFormat="1" ht="21.95" customHeight="1" x14ac:dyDescent="0.15"/>
    <row r="37509" s="9" customFormat="1" ht="21.95" customHeight="1" x14ac:dyDescent="0.15"/>
    <row r="37510" s="9" customFormat="1" ht="21.95" customHeight="1" x14ac:dyDescent="0.15"/>
    <row r="37511" s="9" customFormat="1" ht="21.95" customHeight="1" x14ac:dyDescent="0.15"/>
    <row r="37512" s="9" customFormat="1" ht="21.95" customHeight="1" x14ac:dyDescent="0.15"/>
    <row r="37513" s="9" customFormat="1" ht="21.95" customHeight="1" x14ac:dyDescent="0.15"/>
    <row r="37514" s="9" customFormat="1" ht="21.95" customHeight="1" x14ac:dyDescent="0.15"/>
    <row r="37515" s="9" customFormat="1" ht="21.95" customHeight="1" x14ac:dyDescent="0.15"/>
    <row r="37516" s="9" customFormat="1" ht="21.95" customHeight="1" x14ac:dyDescent="0.15"/>
    <row r="37517" s="9" customFormat="1" ht="21.95" customHeight="1" x14ac:dyDescent="0.15"/>
    <row r="37518" s="9" customFormat="1" ht="21.95" customHeight="1" x14ac:dyDescent="0.15"/>
    <row r="37519" s="9" customFormat="1" ht="21.95" customHeight="1" x14ac:dyDescent="0.15"/>
    <row r="37520" s="9" customFormat="1" ht="21.95" customHeight="1" x14ac:dyDescent="0.15"/>
    <row r="37521" s="9" customFormat="1" ht="21.95" customHeight="1" x14ac:dyDescent="0.15"/>
    <row r="37522" s="9" customFormat="1" ht="21.95" customHeight="1" x14ac:dyDescent="0.15"/>
    <row r="37523" s="9" customFormat="1" ht="21.95" customHeight="1" x14ac:dyDescent="0.15"/>
    <row r="37524" s="9" customFormat="1" ht="21.95" customHeight="1" x14ac:dyDescent="0.15"/>
    <row r="37525" s="9" customFormat="1" ht="21.95" customHeight="1" x14ac:dyDescent="0.15"/>
    <row r="37526" s="9" customFormat="1" ht="21.95" customHeight="1" x14ac:dyDescent="0.15"/>
    <row r="37527" s="9" customFormat="1" ht="21.95" customHeight="1" x14ac:dyDescent="0.15"/>
    <row r="37528" s="9" customFormat="1" ht="21.95" customHeight="1" x14ac:dyDescent="0.15"/>
    <row r="37529" s="9" customFormat="1" ht="21.95" customHeight="1" x14ac:dyDescent="0.15"/>
    <row r="37530" s="9" customFormat="1" ht="21.95" customHeight="1" x14ac:dyDescent="0.15"/>
    <row r="37531" s="9" customFormat="1" ht="21.95" customHeight="1" x14ac:dyDescent="0.15"/>
    <row r="37532" s="9" customFormat="1" ht="21.95" customHeight="1" x14ac:dyDescent="0.15"/>
    <row r="37533" s="9" customFormat="1" ht="21.95" customHeight="1" x14ac:dyDescent="0.15"/>
    <row r="37534" s="9" customFormat="1" ht="21.95" customHeight="1" x14ac:dyDescent="0.15"/>
    <row r="37535" s="9" customFormat="1" ht="21.95" customHeight="1" x14ac:dyDescent="0.15"/>
    <row r="37536" s="9" customFormat="1" ht="21.95" customHeight="1" x14ac:dyDescent="0.15"/>
    <row r="37537" s="9" customFormat="1" ht="21.95" customHeight="1" x14ac:dyDescent="0.15"/>
    <row r="37538" s="9" customFormat="1" ht="21.95" customHeight="1" x14ac:dyDescent="0.15"/>
    <row r="37539" s="9" customFormat="1" ht="21.95" customHeight="1" x14ac:dyDescent="0.15"/>
    <row r="37540" s="9" customFormat="1" ht="21.95" customHeight="1" x14ac:dyDescent="0.15"/>
    <row r="37541" s="9" customFormat="1" ht="21.95" customHeight="1" x14ac:dyDescent="0.15"/>
    <row r="37542" s="9" customFormat="1" ht="35.1" customHeight="1" x14ac:dyDescent="0.15"/>
    <row r="37543" s="9" customFormat="1" ht="21.95" customHeight="1" x14ac:dyDescent="0.15"/>
    <row r="37544" s="9" customFormat="1" ht="21.95" customHeight="1" x14ac:dyDescent="0.15"/>
    <row r="37545" s="9" customFormat="1" ht="21.95" customHeight="1" x14ac:dyDescent="0.15"/>
    <row r="37546" s="9" customFormat="1" ht="21.95" customHeight="1" x14ac:dyDescent="0.15"/>
    <row r="37547" s="9" customFormat="1" ht="21.95" customHeight="1" x14ac:dyDescent="0.15"/>
    <row r="37548" s="9" customFormat="1" ht="21.95" customHeight="1" x14ac:dyDescent="0.15"/>
    <row r="37549" s="9" customFormat="1" ht="21.95" customHeight="1" x14ac:dyDescent="0.15"/>
    <row r="37550" s="9" customFormat="1" ht="21.95" customHeight="1" x14ac:dyDescent="0.15"/>
    <row r="37551" s="9" customFormat="1" ht="21.95" customHeight="1" x14ac:dyDescent="0.15"/>
    <row r="37552" s="9" customFormat="1" ht="21.95" customHeight="1" x14ac:dyDescent="0.15"/>
    <row r="37553" spans="3:3" s="9" customFormat="1" ht="21.95" customHeight="1" x14ac:dyDescent="0.15"/>
    <row r="37554" spans="3:3" s="9" customFormat="1" ht="21.95" customHeight="1" x14ac:dyDescent="0.15"/>
    <row r="37555" spans="3:3" s="9" customFormat="1" ht="21.95" customHeight="1" x14ac:dyDescent="0.15"/>
    <row r="37556" spans="3:3" s="9" customFormat="1" ht="21.95" customHeight="1" x14ac:dyDescent="0.15"/>
    <row r="37557" spans="3:3" s="9" customFormat="1" ht="21.95" customHeight="1" x14ac:dyDescent="0.15"/>
    <row r="37558" spans="3:3" s="9" customFormat="1" ht="21.95" customHeight="1" x14ac:dyDescent="0.15"/>
    <row r="37559" spans="3:3" s="9" customFormat="1" ht="21.95" customHeight="1" x14ac:dyDescent="0.15"/>
    <row r="37560" spans="3:3" s="9" customFormat="1" ht="21.95" customHeight="1" x14ac:dyDescent="0.15"/>
    <row r="37561" spans="3:3" s="9" customFormat="1" ht="21.95" customHeight="1" x14ac:dyDescent="0.15"/>
    <row r="37562" spans="3:3" s="9" customFormat="1" ht="21.95" customHeight="1" x14ac:dyDescent="0.15"/>
    <row r="37563" spans="3:3" s="9" customFormat="1" ht="21.95" customHeight="1" x14ac:dyDescent="0.15"/>
    <row r="37564" spans="3:3" s="9" customFormat="1" ht="21.95" customHeight="1" x14ac:dyDescent="0.15"/>
    <row r="37565" spans="3:3" s="9" customFormat="1" ht="21.95" customHeight="1" x14ac:dyDescent="0.15"/>
    <row r="37566" spans="3:3" s="8" customFormat="1" ht="21.95" customHeight="1" x14ac:dyDescent="0.15"/>
    <row r="37567" spans="3:3" s="8" customFormat="1" ht="21.95" customHeight="1" x14ac:dyDescent="0.15"/>
    <row r="37568" spans="3:3" s="8" customFormat="1" ht="21.95" customHeight="1" x14ac:dyDescent="0.15">
      <c r="C37568" s="101"/>
    </row>
    <row r="37569" spans="3:3" s="8" customFormat="1" ht="21.95" customHeight="1" x14ac:dyDescent="0.15">
      <c r="C37569" s="101"/>
    </row>
    <row r="37570" spans="3:3" s="8" customFormat="1" ht="21.95" customHeight="1" x14ac:dyDescent="0.15"/>
    <row r="37571" spans="3:3" s="8" customFormat="1" ht="21.95" customHeight="1" x14ac:dyDescent="0.15"/>
    <row r="37572" spans="3:3" s="8" customFormat="1" ht="21.95" customHeight="1" x14ac:dyDescent="0.15"/>
    <row r="37573" spans="3:3" s="8" customFormat="1" ht="21.95" customHeight="1" x14ac:dyDescent="0.15"/>
    <row r="37574" spans="3:3" s="8" customFormat="1" ht="21.95" customHeight="1" x14ac:dyDescent="0.15"/>
    <row r="37575" spans="3:3" s="8" customFormat="1" ht="21.95" customHeight="1" x14ac:dyDescent="0.15"/>
    <row r="37576" spans="3:3" s="8" customFormat="1" ht="21.95" customHeight="1" x14ac:dyDescent="0.15"/>
    <row r="37577" spans="3:3" s="9" customFormat="1" ht="21.95" customHeight="1" x14ac:dyDescent="0.15"/>
    <row r="37578" spans="3:3" s="9" customFormat="1" ht="21.95" customHeight="1" x14ac:dyDescent="0.15"/>
    <row r="37579" spans="3:3" s="9" customFormat="1" ht="21.95" customHeight="1" x14ac:dyDescent="0.15"/>
    <row r="37580" spans="3:3" s="9" customFormat="1" ht="21.95" customHeight="1" x14ac:dyDescent="0.15"/>
    <row r="37581" spans="3:3" s="8" customFormat="1" ht="21.95" customHeight="1" x14ac:dyDescent="0.15"/>
    <row r="37582" spans="3:3" s="8" customFormat="1" ht="21.95" customHeight="1" x14ac:dyDescent="0.15"/>
    <row r="37583" spans="3:3" s="8" customFormat="1" ht="21.95" customHeight="1" x14ac:dyDescent="0.15"/>
    <row r="37584" spans="3:3" s="8" customFormat="1" ht="21.95" customHeight="1" x14ac:dyDescent="0.15"/>
    <row r="37585" s="8" customFormat="1" ht="21.95" customHeight="1" x14ac:dyDescent="0.15"/>
    <row r="37586" s="8" customFormat="1" ht="21.95" customHeight="1" x14ac:dyDescent="0.15"/>
    <row r="37587" s="8" customFormat="1" ht="21.95" customHeight="1" x14ac:dyDescent="0.15"/>
    <row r="37588" s="8" customFormat="1" ht="21.95" customHeight="1" x14ac:dyDescent="0.15"/>
    <row r="37589" s="8" customFormat="1" ht="21.95" customHeight="1" x14ac:dyDescent="0.15"/>
    <row r="37590" s="8" customFormat="1" ht="21.95" customHeight="1" x14ac:dyDescent="0.15"/>
    <row r="37591" s="8" customFormat="1" ht="21.95" customHeight="1" x14ac:dyDescent="0.15"/>
    <row r="37592" s="8" customFormat="1" ht="32.1" customHeight="1" x14ac:dyDescent="0.15"/>
    <row r="37593" s="8" customFormat="1" ht="32.1" customHeight="1" x14ac:dyDescent="0.15"/>
    <row r="37594" s="8" customFormat="1" ht="32.1" customHeight="1" x14ac:dyDescent="0.15"/>
    <row r="37595" s="8" customFormat="1" ht="32.1" customHeight="1" x14ac:dyDescent="0.15"/>
    <row r="37596" s="8" customFormat="1" ht="32.1" customHeight="1" x14ac:dyDescent="0.15"/>
    <row r="37597" s="8" customFormat="1" ht="32.1" customHeight="1" x14ac:dyDescent="0.15"/>
    <row r="37598" s="9" customFormat="1" ht="32.1" customHeight="1" x14ac:dyDescent="0.15"/>
    <row r="37599" s="9" customFormat="1" ht="32.1" customHeight="1" x14ac:dyDescent="0.15"/>
    <row r="37600" s="9" customFormat="1" ht="32.1" customHeight="1" x14ac:dyDescent="0.15"/>
    <row r="37601" s="9" customFormat="1" ht="32.1" customHeight="1" x14ac:dyDescent="0.15"/>
    <row r="37602" s="9" customFormat="1" ht="21.95" customHeight="1" x14ac:dyDescent="0.15"/>
    <row r="37603" s="9" customFormat="1" ht="54" customHeight="1" x14ac:dyDescent="0.15"/>
    <row r="37604" s="9" customFormat="1" ht="21.95" customHeight="1" x14ac:dyDescent="0.15"/>
    <row r="37605" s="9" customFormat="1" ht="21.95" customHeight="1" x14ac:dyDescent="0.15"/>
    <row r="37606" s="9" customFormat="1" ht="21.95" customHeight="1" x14ac:dyDescent="0.15"/>
    <row r="37607" s="9" customFormat="1" ht="21.95" customHeight="1" x14ac:dyDescent="0.15"/>
    <row r="37608" s="9" customFormat="1" ht="21.95" customHeight="1" x14ac:dyDescent="0.15"/>
    <row r="37609" s="9" customFormat="1" ht="21.95" customHeight="1" x14ac:dyDescent="0.15"/>
    <row r="37610" s="9" customFormat="1" ht="21.95" customHeight="1" x14ac:dyDescent="0.15"/>
    <row r="37611" s="9" customFormat="1" ht="21.95" customHeight="1" x14ac:dyDescent="0.15"/>
    <row r="37612" s="9" customFormat="1" ht="21.95" customHeight="1" x14ac:dyDescent="0.15"/>
    <row r="37613" s="9" customFormat="1" ht="21.95" customHeight="1" x14ac:dyDescent="0.15"/>
    <row r="37614" s="9" customFormat="1" ht="21.95" customHeight="1" x14ac:dyDescent="0.15"/>
    <row r="37615" s="9" customFormat="1" ht="21.95" customHeight="1" x14ac:dyDescent="0.15"/>
    <row r="37616" s="9" customFormat="1" ht="21.95" customHeight="1" x14ac:dyDescent="0.15"/>
    <row r="37617" s="9" customFormat="1" ht="21.95" customHeight="1" x14ac:dyDescent="0.15"/>
    <row r="37618" s="9" customFormat="1" ht="21.95" customHeight="1" x14ac:dyDescent="0.15"/>
    <row r="37619" s="9" customFormat="1" ht="21.95" customHeight="1" x14ac:dyDescent="0.15"/>
    <row r="37620" s="9" customFormat="1" ht="21.95" customHeight="1" x14ac:dyDescent="0.15"/>
    <row r="37621" s="9" customFormat="1" ht="21.95" customHeight="1" x14ac:dyDescent="0.15"/>
    <row r="37622" s="9" customFormat="1" ht="21.95" customHeight="1" x14ac:dyDescent="0.15"/>
    <row r="37623" s="9" customFormat="1" ht="21.95" customHeight="1" x14ac:dyDescent="0.15"/>
    <row r="37624" s="9" customFormat="1" ht="21.95" customHeight="1" x14ac:dyDescent="0.15"/>
    <row r="37625" s="9" customFormat="1" ht="21.95" customHeight="1" x14ac:dyDescent="0.15"/>
    <row r="37626" s="9" customFormat="1" ht="21.95" customHeight="1" x14ac:dyDescent="0.15"/>
    <row r="37627" s="9" customFormat="1" ht="21.95" customHeight="1" x14ac:dyDescent="0.15"/>
    <row r="37628" s="9" customFormat="1" ht="21.95" customHeight="1" x14ac:dyDescent="0.15"/>
    <row r="37629" s="9" customFormat="1" ht="21.95" customHeight="1" x14ac:dyDescent="0.15"/>
    <row r="37630" s="9" customFormat="1" ht="21.95" customHeight="1" x14ac:dyDescent="0.15"/>
    <row r="37631" s="9" customFormat="1" ht="21.95" customHeight="1" x14ac:dyDescent="0.15"/>
    <row r="37632" s="9" customFormat="1" ht="21.95" customHeight="1" x14ac:dyDescent="0.15"/>
    <row r="37633" s="9" customFormat="1" ht="21.95" customHeight="1" x14ac:dyDescent="0.15"/>
    <row r="37634" s="9" customFormat="1" ht="21.95" customHeight="1" x14ac:dyDescent="0.15"/>
    <row r="37635" s="9" customFormat="1" ht="21.95" customHeight="1" x14ac:dyDescent="0.15"/>
    <row r="37636" s="9" customFormat="1" ht="21.95" customHeight="1" x14ac:dyDescent="0.15"/>
    <row r="37637" s="9" customFormat="1" ht="21.95" customHeight="1" x14ac:dyDescent="0.15"/>
    <row r="37638" s="9" customFormat="1" ht="21.95" customHeight="1" x14ac:dyDescent="0.15"/>
    <row r="37639" s="9" customFormat="1" ht="21.95" customHeight="1" x14ac:dyDescent="0.15"/>
    <row r="37640" s="9" customFormat="1" ht="21.95" customHeight="1" x14ac:dyDescent="0.15"/>
    <row r="37641" s="9" customFormat="1" ht="21.95" customHeight="1" x14ac:dyDescent="0.15"/>
    <row r="37642" s="9" customFormat="1" ht="21.95" customHeight="1" x14ac:dyDescent="0.15"/>
    <row r="37643" s="9" customFormat="1" ht="21.95" customHeight="1" x14ac:dyDescent="0.15"/>
    <row r="37644" s="9" customFormat="1" ht="21.95" customHeight="1" x14ac:dyDescent="0.15"/>
    <row r="37645" s="9" customFormat="1" ht="21.95" customHeight="1" x14ac:dyDescent="0.15"/>
    <row r="37646" s="9" customFormat="1" ht="21.95" customHeight="1" x14ac:dyDescent="0.15"/>
    <row r="37647" s="9" customFormat="1" ht="21.95" customHeight="1" x14ac:dyDescent="0.15"/>
    <row r="37648" s="9" customFormat="1" ht="21.95" customHeight="1" x14ac:dyDescent="0.15"/>
    <row r="37649" s="9" customFormat="1" ht="21.95" customHeight="1" x14ac:dyDescent="0.15"/>
    <row r="37650" s="9" customFormat="1" ht="21.95" customHeight="1" x14ac:dyDescent="0.15"/>
    <row r="37651" s="9" customFormat="1" ht="21.95" customHeight="1" x14ac:dyDescent="0.15"/>
    <row r="37652" s="9" customFormat="1" ht="21.95" customHeight="1" x14ac:dyDescent="0.15"/>
    <row r="37653" s="9" customFormat="1" ht="21.95" customHeight="1" x14ac:dyDescent="0.15"/>
    <row r="37654" s="9" customFormat="1" ht="35.1" customHeight="1" x14ac:dyDescent="0.15"/>
    <row r="37655" s="9" customFormat="1" ht="21.95" customHeight="1" x14ac:dyDescent="0.15"/>
    <row r="37656" s="9" customFormat="1" ht="21.95" customHeight="1" x14ac:dyDescent="0.15"/>
    <row r="37657" s="9" customFormat="1" ht="21.95" customHeight="1" x14ac:dyDescent="0.15"/>
    <row r="37658" s="9" customFormat="1" ht="21.95" customHeight="1" x14ac:dyDescent="0.15"/>
    <row r="37659" s="9" customFormat="1" ht="21.95" customHeight="1" x14ac:dyDescent="0.15"/>
    <row r="37660" s="9" customFormat="1" ht="21.95" customHeight="1" x14ac:dyDescent="0.15"/>
    <row r="37661" s="9" customFormat="1" ht="21.95" customHeight="1" x14ac:dyDescent="0.15"/>
    <row r="37662" s="9" customFormat="1" ht="21.95" customHeight="1" x14ac:dyDescent="0.15"/>
    <row r="37663" s="9" customFormat="1" ht="21.95" customHeight="1" x14ac:dyDescent="0.15"/>
    <row r="37664" s="9" customFormat="1" ht="21.95" customHeight="1" x14ac:dyDescent="0.15"/>
    <row r="37665" spans="3:3" s="9" customFormat="1" ht="21.95" customHeight="1" x14ac:dyDescent="0.15"/>
    <row r="37666" spans="3:3" s="9" customFormat="1" ht="21.95" customHeight="1" x14ac:dyDescent="0.15"/>
    <row r="37667" spans="3:3" s="9" customFormat="1" ht="21.95" customHeight="1" x14ac:dyDescent="0.15"/>
    <row r="37668" spans="3:3" s="9" customFormat="1" ht="21.95" customHeight="1" x14ac:dyDescent="0.15"/>
    <row r="37669" spans="3:3" s="9" customFormat="1" ht="21.95" customHeight="1" x14ac:dyDescent="0.15"/>
    <row r="37670" spans="3:3" s="9" customFormat="1" ht="21.95" customHeight="1" x14ac:dyDescent="0.15"/>
    <row r="37671" spans="3:3" s="9" customFormat="1" ht="21.95" customHeight="1" x14ac:dyDescent="0.15"/>
    <row r="37672" spans="3:3" s="9" customFormat="1" ht="21.95" customHeight="1" x14ac:dyDescent="0.15"/>
    <row r="37673" spans="3:3" s="9" customFormat="1" ht="21.95" customHeight="1" x14ac:dyDescent="0.15"/>
    <row r="37674" spans="3:3" s="9" customFormat="1" ht="21.95" customHeight="1" x14ac:dyDescent="0.15"/>
    <row r="37675" spans="3:3" s="9" customFormat="1" ht="21.95" customHeight="1" x14ac:dyDescent="0.15"/>
    <row r="37676" spans="3:3" s="9" customFormat="1" ht="21.95" customHeight="1" x14ac:dyDescent="0.15"/>
    <row r="37677" spans="3:3" s="9" customFormat="1" ht="21.95" customHeight="1" x14ac:dyDescent="0.15"/>
    <row r="37678" spans="3:3" s="8" customFormat="1" ht="21.95" customHeight="1" x14ac:dyDescent="0.15"/>
    <row r="37679" spans="3:3" s="8" customFormat="1" ht="21.95" customHeight="1" x14ac:dyDescent="0.15"/>
    <row r="37680" spans="3:3" s="8" customFormat="1" ht="21.95" customHeight="1" x14ac:dyDescent="0.15">
      <c r="C37680" s="101"/>
    </row>
    <row r="37681" spans="3:3" s="8" customFormat="1" ht="21.95" customHeight="1" x14ac:dyDescent="0.15">
      <c r="C37681" s="101"/>
    </row>
    <row r="37682" spans="3:3" s="8" customFormat="1" ht="21.95" customHeight="1" x14ac:dyDescent="0.15"/>
    <row r="37683" spans="3:3" s="8" customFormat="1" ht="21.95" customHeight="1" x14ac:dyDescent="0.15"/>
    <row r="37684" spans="3:3" s="8" customFormat="1" ht="21.95" customHeight="1" x14ac:dyDescent="0.15"/>
    <row r="37685" spans="3:3" s="8" customFormat="1" ht="21.95" customHeight="1" x14ac:dyDescent="0.15"/>
    <row r="37686" spans="3:3" s="8" customFormat="1" ht="21.95" customHeight="1" x14ac:dyDescent="0.15"/>
    <row r="37687" spans="3:3" s="8" customFormat="1" ht="21.95" customHeight="1" x14ac:dyDescent="0.15"/>
    <row r="37688" spans="3:3" s="8" customFormat="1" ht="21.95" customHeight="1" x14ac:dyDescent="0.15"/>
    <row r="37689" spans="3:3" s="9" customFormat="1" ht="21.95" customHeight="1" x14ac:dyDescent="0.15"/>
    <row r="37690" spans="3:3" s="9" customFormat="1" ht="21.95" customHeight="1" x14ac:dyDescent="0.15"/>
    <row r="37691" spans="3:3" s="9" customFormat="1" ht="21.95" customHeight="1" x14ac:dyDescent="0.15"/>
    <row r="37692" spans="3:3" s="9" customFormat="1" ht="21.95" customHeight="1" x14ac:dyDescent="0.15"/>
    <row r="37693" spans="3:3" s="8" customFormat="1" ht="21.95" customHeight="1" x14ac:dyDescent="0.15"/>
    <row r="37694" spans="3:3" s="8" customFormat="1" ht="21.95" customHeight="1" x14ac:dyDescent="0.15"/>
    <row r="37695" spans="3:3" s="8" customFormat="1" ht="21.95" customHeight="1" x14ac:dyDescent="0.15"/>
    <row r="37696" spans="3:3" s="8" customFormat="1" ht="21.95" customHeight="1" x14ac:dyDescent="0.15"/>
    <row r="37697" s="8" customFormat="1" ht="21.95" customHeight="1" x14ac:dyDescent="0.15"/>
    <row r="37698" s="8" customFormat="1" ht="21.95" customHeight="1" x14ac:dyDescent="0.15"/>
    <row r="37699" s="8" customFormat="1" ht="21.95" customHeight="1" x14ac:dyDescent="0.15"/>
    <row r="37700" s="8" customFormat="1" ht="21.95" customHeight="1" x14ac:dyDescent="0.15"/>
    <row r="37701" s="8" customFormat="1" ht="21.95" customHeight="1" x14ac:dyDescent="0.15"/>
    <row r="37702" s="8" customFormat="1" ht="21.95" customHeight="1" x14ac:dyDescent="0.15"/>
    <row r="37703" s="8" customFormat="1" ht="21.95" customHeight="1" x14ac:dyDescent="0.15"/>
    <row r="37704" s="8" customFormat="1" ht="32.1" customHeight="1" x14ac:dyDescent="0.15"/>
    <row r="37705" s="8" customFormat="1" ht="32.1" customHeight="1" x14ac:dyDescent="0.15"/>
    <row r="37706" s="8" customFormat="1" ht="32.1" customHeight="1" x14ac:dyDescent="0.15"/>
    <row r="37707" s="8" customFormat="1" ht="32.1" customHeight="1" x14ac:dyDescent="0.15"/>
    <row r="37708" s="8" customFormat="1" ht="32.1" customHeight="1" x14ac:dyDescent="0.15"/>
    <row r="37709" s="8" customFormat="1" ht="32.1" customHeight="1" x14ac:dyDescent="0.15"/>
    <row r="37710" s="9" customFormat="1" ht="32.1" customHeight="1" x14ac:dyDescent="0.15"/>
    <row r="37711" s="9" customFormat="1" ht="32.1" customHeight="1" x14ac:dyDescent="0.15"/>
    <row r="37712" s="9" customFormat="1" ht="32.1" customHeight="1" x14ac:dyDescent="0.15"/>
    <row r="37713" s="9" customFormat="1" ht="32.1" customHeight="1" x14ac:dyDescent="0.15"/>
    <row r="37714" s="9" customFormat="1" ht="21.95" customHeight="1" x14ac:dyDescent="0.15"/>
    <row r="37715" s="9" customFormat="1" ht="54" customHeight="1" x14ac:dyDescent="0.15"/>
    <row r="37716" s="9" customFormat="1" ht="21.95" customHeight="1" x14ac:dyDescent="0.15"/>
    <row r="37717" s="9" customFormat="1" ht="21.95" customHeight="1" x14ac:dyDescent="0.15"/>
    <row r="37718" s="9" customFormat="1" ht="21.95" customHeight="1" x14ac:dyDescent="0.15"/>
    <row r="37719" s="9" customFormat="1" ht="21.95" customHeight="1" x14ac:dyDescent="0.15"/>
    <row r="37720" s="9" customFormat="1" ht="21.95" customHeight="1" x14ac:dyDescent="0.15"/>
    <row r="37721" s="9" customFormat="1" ht="21.95" customHeight="1" x14ac:dyDescent="0.15"/>
    <row r="37722" s="9" customFormat="1" ht="21.95" customHeight="1" x14ac:dyDescent="0.15"/>
    <row r="37723" s="9" customFormat="1" ht="21.95" customHeight="1" x14ac:dyDescent="0.15"/>
    <row r="37724" s="9" customFormat="1" ht="21.95" customHeight="1" x14ac:dyDescent="0.15"/>
    <row r="37725" s="9" customFormat="1" ht="21.95" customHeight="1" x14ac:dyDescent="0.15"/>
    <row r="37726" s="9" customFormat="1" ht="21.95" customHeight="1" x14ac:dyDescent="0.15"/>
    <row r="37727" s="9" customFormat="1" ht="21.95" customHeight="1" x14ac:dyDescent="0.15"/>
    <row r="37728" s="9" customFormat="1" ht="21.95" customHeight="1" x14ac:dyDescent="0.15"/>
    <row r="37729" s="9" customFormat="1" ht="21.95" customHeight="1" x14ac:dyDescent="0.15"/>
    <row r="37730" s="9" customFormat="1" ht="21.95" customHeight="1" x14ac:dyDescent="0.15"/>
    <row r="37731" s="9" customFormat="1" ht="21.95" customHeight="1" x14ac:dyDescent="0.15"/>
    <row r="37732" s="9" customFormat="1" ht="21.95" customHeight="1" x14ac:dyDescent="0.15"/>
    <row r="37733" s="9" customFormat="1" ht="21.95" customHeight="1" x14ac:dyDescent="0.15"/>
    <row r="37734" s="9" customFormat="1" ht="21.95" customHeight="1" x14ac:dyDescent="0.15"/>
    <row r="37735" s="9" customFormat="1" ht="21.95" customHeight="1" x14ac:dyDescent="0.15"/>
    <row r="37736" s="9" customFormat="1" ht="21.95" customHeight="1" x14ac:dyDescent="0.15"/>
    <row r="37737" s="9" customFormat="1" ht="21.95" customHeight="1" x14ac:dyDescent="0.15"/>
    <row r="37738" s="9" customFormat="1" ht="21.95" customHeight="1" x14ac:dyDescent="0.15"/>
    <row r="37739" s="9" customFormat="1" ht="21.95" customHeight="1" x14ac:dyDescent="0.15"/>
    <row r="37740" s="9" customFormat="1" ht="21.95" customHeight="1" x14ac:dyDescent="0.15"/>
    <row r="37741" s="9" customFormat="1" ht="21.95" customHeight="1" x14ac:dyDescent="0.15"/>
    <row r="37742" s="9" customFormat="1" ht="21.95" customHeight="1" x14ac:dyDescent="0.15"/>
    <row r="37743" s="9" customFormat="1" ht="21.95" customHeight="1" x14ac:dyDescent="0.15"/>
    <row r="37744" s="9" customFormat="1" ht="21.95" customHeight="1" x14ac:dyDescent="0.15"/>
    <row r="37745" s="9" customFormat="1" ht="21.95" customHeight="1" x14ac:dyDescent="0.15"/>
    <row r="37746" s="9" customFormat="1" ht="21.95" customHeight="1" x14ac:dyDescent="0.15"/>
    <row r="37747" s="9" customFormat="1" ht="21.95" customHeight="1" x14ac:dyDescent="0.15"/>
    <row r="37748" s="9" customFormat="1" ht="21.95" customHeight="1" x14ac:dyDescent="0.15"/>
    <row r="37749" s="9" customFormat="1" ht="21.95" customHeight="1" x14ac:dyDescent="0.15"/>
    <row r="37750" s="9" customFormat="1" ht="21.95" customHeight="1" x14ac:dyDescent="0.15"/>
    <row r="37751" s="9" customFormat="1" ht="21.95" customHeight="1" x14ac:dyDescent="0.15"/>
    <row r="37752" s="9" customFormat="1" ht="21.95" customHeight="1" x14ac:dyDescent="0.15"/>
    <row r="37753" s="9" customFormat="1" ht="21.95" customHeight="1" x14ac:dyDescent="0.15"/>
    <row r="37754" s="9" customFormat="1" ht="21.95" customHeight="1" x14ac:dyDescent="0.15"/>
    <row r="37755" s="9" customFormat="1" ht="21.95" customHeight="1" x14ac:dyDescent="0.15"/>
    <row r="37756" s="9" customFormat="1" ht="21.95" customHeight="1" x14ac:dyDescent="0.15"/>
    <row r="37757" s="9" customFormat="1" ht="21.95" customHeight="1" x14ac:dyDescent="0.15"/>
    <row r="37758" s="9" customFormat="1" ht="21.95" customHeight="1" x14ac:dyDescent="0.15"/>
    <row r="37759" s="9" customFormat="1" ht="21.95" customHeight="1" x14ac:dyDescent="0.15"/>
    <row r="37760" s="9" customFormat="1" ht="21.95" customHeight="1" x14ac:dyDescent="0.15"/>
    <row r="37761" s="9" customFormat="1" ht="21.95" customHeight="1" x14ac:dyDescent="0.15"/>
    <row r="37762" s="9" customFormat="1" ht="21.95" customHeight="1" x14ac:dyDescent="0.15"/>
    <row r="37763" s="9" customFormat="1" ht="21.95" customHeight="1" x14ac:dyDescent="0.15"/>
    <row r="37764" s="9" customFormat="1" ht="21.95" customHeight="1" x14ac:dyDescent="0.15"/>
    <row r="37765" s="9" customFormat="1" ht="21.95" customHeight="1" x14ac:dyDescent="0.15"/>
    <row r="37766" s="9" customFormat="1" ht="35.1" customHeight="1" x14ac:dyDescent="0.15"/>
    <row r="37767" s="9" customFormat="1" ht="21.95" customHeight="1" x14ac:dyDescent="0.15"/>
    <row r="37768" s="9" customFormat="1" ht="21.95" customHeight="1" x14ac:dyDescent="0.15"/>
    <row r="37769" s="9" customFormat="1" ht="21.95" customHeight="1" x14ac:dyDescent="0.15"/>
    <row r="37770" s="9" customFormat="1" ht="21.95" customHeight="1" x14ac:dyDescent="0.15"/>
    <row r="37771" s="9" customFormat="1" ht="21.95" customHeight="1" x14ac:dyDescent="0.15"/>
    <row r="37772" s="9" customFormat="1" ht="21.95" customHeight="1" x14ac:dyDescent="0.15"/>
    <row r="37773" s="9" customFormat="1" ht="21.95" customHeight="1" x14ac:dyDescent="0.15"/>
    <row r="37774" s="9" customFormat="1" ht="21.95" customHeight="1" x14ac:dyDescent="0.15"/>
    <row r="37775" s="9" customFormat="1" ht="21.95" customHeight="1" x14ac:dyDescent="0.15"/>
    <row r="37776" s="9" customFormat="1" ht="21.95" customHeight="1" x14ac:dyDescent="0.15"/>
    <row r="37777" spans="3:3" s="9" customFormat="1" ht="21.95" customHeight="1" x14ac:dyDescent="0.15"/>
    <row r="37778" spans="3:3" s="9" customFormat="1" ht="21.95" customHeight="1" x14ac:dyDescent="0.15"/>
    <row r="37779" spans="3:3" s="9" customFormat="1" ht="21.95" customHeight="1" x14ac:dyDescent="0.15"/>
    <row r="37780" spans="3:3" s="9" customFormat="1" ht="21.95" customHeight="1" x14ac:dyDescent="0.15"/>
    <row r="37781" spans="3:3" s="9" customFormat="1" ht="21.95" customHeight="1" x14ac:dyDescent="0.15"/>
    <row r="37782" spans="3:3" s="9" customFormat="1" ht="21.95" customHeight="1" x14ac:dyDescent="0.15"/>
    <row r="37783" spans="3:3" s="9" customFormat="1" ht="21.95" customHeight="1" x14ac:dyDescent="0.15"/>
    <row r="37784" spans="3:3" s="9" customFormat="1" ht="21.95" customHeight="1" x14ac:dyDescent="0.15"/>
    <row r="37785" spans="3:3" s="9" customFormat="1" ht="21.95" customHeight="1" x14ac:dyDescent="0.15"/>
    <row r="37786" spans="3:3" s="9" customFormat="1" ht="21.95" customHeight="1" x14ac:dyDescent="0.15"/>
    <row r="37787" spans="3:3" s="9" customFormat="1" ht="21.95" customHeight="1" x14ac:dyDescent="0.15"/>
    <row r="37788" spans="3:3" s="9" customFormat="1" ht="21.95" customHeight="1" x14ac:dyDescent="0.15"/>
    <row r="37789" spans="3:3" s="9" customFormat="1" ht="21.95" customHeight="1" x14ac:dyDescent="0.15"/>
    <row r="37790" spans="3:3" s="8" customFormat="1" ht="21.95" customHeight="1" x14ac:dyDescent="0.15"/>
    <row r="37791" spans="3:3" s="8" customFormat="1" ht="21.95" customHeight="1" x14ac:dyDescent="0.15"/>
    <row r="37792" spans="3:3" s="8" customFormat="1" ht="21.95" customHeight="1" x14ac:dyDescent="0.15">
      <c r="C37792" s="101"/>
    </row>
    <row r="37793" spans="3:3" s="8" customFormat="1" ht="21.95" customHeight="1" x14ac:dyDescent="0.15">
      <c r="C37793" s="101"/>
    </row>
    <row r="37794" spans="3:3" s="8" customFormat="1" ht="21.95" customHeight="1" x14ac:dyDescent="0.15"/>
    <row r="37795" spans="3:3" s="8" customFormat="1" ht="21.95" customHeight="1" x14ac:dyDescent="0.15"/>
    <row r="37796" spans="3:3" s="8" customFormat="1" ht="21.95" customHeight="1" x14ac:dyDescent="0.15"/>
    <row r="37797" spans="3:3" s="8" customFormat="1" ht="21.95" customHeight="1" x14ac:dyDescent="0.15"/>
    <row r="37798" spans="3:3" s="8" customFormat="1" ht="21.95" customHeight="1" x14ac:dyDescent="0.15"/>
    <row r="37799" spans="3:3" s="8" customFormat="1" ht="21.95" customHeight="1" x14ac:dyDescent="0.15"/>
    <row r="37800" spans="3:3" s="8" customFormat="1" ht="21.95" customHeight="1" x14ac:dyDescent="0.15"/>
    <row r="37801" spans="3:3" s="9" customFormat="1" ht="21.95" customHeight="1" x14ac:dyDescent="0.15"/>
    <row r="37802" spans="3:3" s="9" customFormat="1" ht="21.95" customHeight="1" x14ac:dyDescent="0.15"/>
    <row r="37803" spans="3:3" s="9" customFormat="1" ht="21.95" customHeight="1" x14ac:dyDescent="0.15"/>
    <row r="37804" spans="3:3" s="9" customFormat="1" ht="21.95" customHeight="1" x14ac:dyDescent="0.15"/>
    <row r="37805" spans="3:3" s="8" customFormat="1" ht="21.95" customHeight="1" x14ac:dyDescent="0.15"/>
    <row r="37806" spans="3:3" s="8" customFormat="1" ht="21.95" customHeight="1" x14ac:dyDescent="0.15"/>
    <row r="37807" spans="3:3" s="8" customFormat="1" ht="21.95" customHeight="1" x14ac:dyDescent="0.15"/>
    <row r="37808" spans="3:3" s="8" customFormat="1" ht="21.95" customHeight="1" x14ac:dyDescent="0.15"/>
    <row r="37809" s="8" customFormat="1" ht="21.95" customHeight="1" x14ac:dyDescent="0.15"/>
    <row r="37810" s="8" customFormat="1" ht="21.95" customHeight="1" x14ac:dyDescent="0.15"/>
    <row r="37811" s="8" customFormat="1" ht="21.95" customHeight="1" x14ac:dyDescent="0.15"/>
    <row r="37812" s="8" customFormat="1" ht="21.95" customHeight="1" x14ac:dyDescent="0.15"/>
    <row r="37813" s="8" customFormat="1" ht="21.95" customHeight="1" x14ac:dyDescent="0.15"/>
    <row r="37814" s="8" customFormat="1" ht="21.95" customHeight="1" x14ac:dyDescent="0.15"/>
    <row r="37815" s="8" customFormat="1" ht="21.95" customHeight="1" x14ac:dyDescent="0.15"/>
    <row r="37816" s="8" customFormat="1" ht="32.1" customHeight="1" x14ac:dyDescent="0.15"/>
    <row r="37817" s="8" customFormat="1" ht="32.1" customHeight="1" x14ac:dyDescent="0.15"/>
    <row r="37818" s="8" customFormat="1" ht="32.1" customHeight="1" x14ac:dyDescent="0.15"/>
    <row r="37819" s="8" customFormat="1" ht="32.1" customHeight="1" x14ac:dyDescent="0.15"/>
    <row r="37820" s="8" customFormat="1" ht="32.1" customHeight="1" x14ac:dyDescent="0.15"/>
    <row r="37821" s="8" customFormat="1" ht="32.1" customHeight="1" x14ac:dyDescent="0.15"/>
    <row r="37822" s="9" customFormat="1" ht="32.1" customHeight="1" x14ac:dyDescent="0.15"/>
    <row r="37823" s="9" customFormat="1" ht="32.1" customHeight="1" x14ac:dyDescent="0.15"/>
    <row r="37824" s="9" customFormat="1" ht="32.1" customHeight="1" x14ac:dyDescent="0.15"/>
    <row r="37825" s="9" customFormat="1" ht="32.1" customHeight="1" x14ac:dyDescent="0.15"/>
    <row r="37826" s="9" customFormat="1" ht="21.95" customHeight="1" x14ac:dyDescent="0.15"/>
    <row r="37827" s="9" customFormat="1" ht="54" customHeight="1" x14ac:dyDescent="0.15"/>
    <row r="37828" s="9" customFormat="1" ht="21.95" customHeight="1" x14ac:dyDescent="0.15"/>
    <row r="37829" s="9" customFormat="1" ht="21.95" customHeight="1" x14ac:dyDescent="0.15"/>
    <row r="37830" s="9" customFormat="1" ht="21.95" customHeight="1" x14ac:dyDescent="0.15"/>
    <row r="37831" s="9" customFormat="1" ht="21.95" customHeight="1" x14ac:dyDescent="0.15"/>
    <row r="37832" s="9" customFormat="1" ht="21.95" customHeight="1" x14ac:dyDescent="0.15"/>
    <row r="37833" s="9" customFormat="1" ht="21.95" customHeight="1" x14ac:dyDescent="0.15"/>
    <row r="37834" s="9" customFormat="1" ht="21.95" customHeight="1" x14ac:dyDescent="0.15"/>
    <row r="37835" s="9" customFormat="1" ht="21.95" customHeight="1" x14ac:dyDescent="0.15"/>
    <row r="37836" s="9" customFormat="1" ht="21.95" customHeight="1" x14ac:dyDescent="0.15"/>
    <row r="37837" s="9" customFormat="1" ht="21.95" customHeight="1" x14ac:dyDescent="0.15"/>
    <row r="37838" s="9" customFormat="1" ht="21.95" customHeight="1" x14ac:dyDescent="0.15"/>
    <row r="37839" s="9" customFormat="1" ht="21.95" customHeight="1" x14ac:dyDescent="0.15"/>
    <row r="37840" s="9" customFormat="1" ht="21.95" customHeight="1" x14ac:dyDescent="0.15"/>
    <row r="37841" s="9" customFormat="1" ht="21.95" customHeight="1" x14ac:dyDescent="0.15"/>
    <row r="37842" s="9" customFormat="1" ht="21.95" customHeight="1" x14ac:dyDescent="0.15"/>
    <row r="37843" s="9" customFormat="1" ht="21.95" customHeight="1" x14ac:dyDescent="0.15"/>
    <row r="37844" s="9" customFormat="1" ht="21.95" customHeight="1" x14ac:dyDescent="0.15"/>
    <row r="37845" s="9" customFormat="1" ht="21.95" customHeight="1" x14ac:dyDescent="0.15"/>
    <row r="37846" s="9" customFormat="1" ht="21.95" customHeight="1" x14ac:dyDescent="0.15"/>
    <row r="37847" s="9" customFormat="1" ht="21.95" customHeight="1" x14ac:dyDescent="0.15"/>
    <row r="37848" s="9" customFormat="1" ht="21.95" customHeight="1" x14ac:dyDescent="0.15"/>
    <row r="37849" s="9" customFormat="1" ht="21.95" customHeight="1" x14ac:dyDescent="0.15"/>
    <row r="37850" s="9" customFormat="1" ht="21.95" customHeight="1" x14ac:dyDescent="0.15"/>
    <row r="37851" s="9" customFormat="1" ht="21.95" customHeight="1" x14ac:dyDescent="0.15"/>
    <row r="37852" s="9" customFormat="1" ht="21.95" customHeight="1" x14ac:dyDescent="0.15"/>
    <row r="37853" s="9" customFormat="1" ht="21.95" customHeight="1" x14ac:dyDescent="0.15"/>
    <row r="37854" s="9" customFormat="1" ht="21.95" customHeight="1" x14ac:dyDescent="0.15"/>
    <row r="37855" s="9" customFormat="1" ht="21.95" customHeight="1" x14ac:dyDescent="0.15"/>
    <row r="37856" s="9" customFormat="1" ht="21.95" customHeight="1" x14ac:dyDescent="0.15"/>
    <row r="37857" s="9" customFormat="1" ht="21.95" customHeight="1" x14ac:dyDescent="0.15"/>
    <row r="37858" s="9" customFormat="1" ht="21.95" customHeight="1" x14ac:dyDescent="0.15"/>
    <row r="37859" s="9" customFormat="1" ht="21.95" customHeight="1" x14ac:dyDescent="0.15"/>
    <row r="37860" s="9" customFormat="1" ht="21.95" customHeight="1" x14ac:dyDescent="0.15"/>
    <row r="37861" s="9" customFormat="1" ht="21.95" customHeight="1" x14ac:dyDescent="0.15"/>
    <row r="37862" s="9" customFormat="1" ht="21.95" customHeight="1" x14ac:dyDescent="0.15"/>
    <row r="37863" s="9" customFormat="1" ht="21.95" customHeight="1" x14ac:dyDescent="0.15"/>
    <row r="37864" s="9" customFormat="1" ht="21.95" customHeight="1" x14ac:dyDescent="0.15"/>
    <row r="37865" s="9" customFormat="1" ht="21.95" customHeight="1" x14ac:dyDescent="0.15"/>
    <row r="37866" s="9" customFormat="1" ht="21.95" customHeight="1" x14ac:dyDescent="0.15"/>
    <row r="37867" s="9" customFormat="1" ht="21.95" customHeight="1" x14ac:dyDescent="0.15"/>
    <row r="37868" s="9" customFormat="1" ht="21.95" customHeight="1" x14ac:dyDescent="0.15"/>
    <row r="37869" s="9" customFormat="1" ht="21.95" customHeight="1" x14ac:dyDescent="0.15"/>
    <row r="37870" s="9" customFormat="1" ht="21.95" customHeight="1" x14ac:dyDescent="0.15"/>
    <row r="37871" s="9" customFormat="1" ht="21.95" customHeight="1" x14ac:dyDescent="0.15"/>
    <row r="37872" s="9" customFormat="1" ht="21.95" customHeight="1" x14ac:dyDescent="0.15"/>
    <row r="37873" s="9" customFormat="1" ht="21.95" customHeight="1" x14ac:dyDescent="0.15"/>
    <row r="37874" s="9" customFormat="1" ht="21.95" customHeight="1" x14ac:dyDescent="0.15"/>
    <row r="37875" s="9" customFormat="1" ht="21.95" customHeight="1" x14ac:dyDescent="0.15"/>
    <row r="37876" s="9" customFormat="1" ht="21.95" customHeight="1" x14ac:dyDescent="0.15"/>
    <row r="37877" s="9" customFormat="1" ht="21.95" customHeight="1" x14ac:dyDescent="0.15"/>
    <row r="37878" s="9" customFormat="1" ht="35.1" customHeight="1" x14ac:dyDescent="0.15"/>
    <row r="37879" s="9" customFormat="1" ht="21.95" customHeight="1" x14ac:dyDescent="0.15"/>
    <row r="37880" s="9" customFormat="1" ht="21.95" customHeight="1" x14ac:dyDescent="0.15"/>
    <row r="37881" s="9" customFormat="1" ht="21.95" customHeight="1" x14ac:dyDescent="0.15"/>
    <row r="37882" s="9" customFormat="1" ht="21.95" customHeight="1" x14ac:dyDescent="0.15"/>
    <row r="37883" s="9" customFormat="1" ht="21.95" customHeight="1" x14ac:dyDescent="0.15"/>
    <row r="37884" s="9" customFormat="1" ht="21.95" customHeight="1" x14ac:dyDescent="0.15"/>
    <row r="37885" s="9" customFormat="1" ht="21.95" customHeight="1" x14ac:dyDescent="0.15"/>
    <row r="37886" s="9" customFormat="1" ht="21.95" customHeight="1" x14ac:dyDescent="0.15"/>
    <row r="37887" s="9" customFormat="1" ht="21.95" customHeight="1" x14ac:dyDescent="0.15"/>
    <row r="37888" s="9" customFormat="1" ht="21.95" customHeight="1" x14ac:dyDescent="0.15"/>
    <row r="37889" spans="3:3" s="9" customFormat="1" ht="21.95" customHeight="1" x14ac:dyDescent="0.15"/>
    <row r="37890" spans="3:3" s="9" customFormat="1" ht="21.95" customHeight="1" x14ac:dyDescent="0.15"/>
    <row r="37891" spans="3:3" s="9" customFormat="1" ht="21.95" customHeight="1" x14ac:dyDescent="0.15"/>
    <row r="37892" spans="3:3" s="9" customFormat="1" ht="21.95" customHeight="1" x14ac:dyDescent="0.15"/>
    <row r="37893" spans="3:3" s="9" customFormat="1" ht="21.95" customHeight="1" x14ac:dyDescent="0.15"/>
    <row r="37894" spans="3:3" s="9" customFormat="1" ht="21.95" customHeight="1" x14ac:dyDescent="0.15"/>
    <row r="37895" spans="3:3" s="9" customFormat="1" ht="21.95" customHeight="1" x14ac:dyDescent="0.15"/>
    <row r="37896" spans="3:3" s="9" customFormat="1" ht="21.95" customHeight="1" x14ac:dyDescent="0.15"/>
    <row r="37897" spans="3:3" s="9" customFormat="1" ht="21.95" customHeight="1" x14ac:dyDescent="0.15"/>
    <row r="37898" spans="3:3" s="9" customFormat="1" ht="21.95" customHeight="1" x14ac:dyDescent="0.15"/>
    <row r="37899" spans="3:3" s="9" customFormat="1" ht="21.95" customHeight="1" x14ac:dyDescent="0.15"/>
    <row r="37900" spans="3:3" s="9" customFormat="1" ht="21.95" customHeight="1" x14ac:dyDescent="0.15"/>
    <row r="37901" spans="3:3" s="9" customFormat="1" ht="21.95" customHeight="1" x14ac:dyDescent="0.15"/>
    <row r="37902" spans="3:3" s="8" customFormat="1" ht="21.95" customHeight="1" x14ac:dyDescent="0.15"/>
    <row r="37903" spans="3:3" s="8" customFormat="1" ht="21.95" customHeight="1" x14ac:dyDescent="0.15"/>
    <row r="37904" spans="3:3" s="8" customFormat="1" ht="21.95" customHeight="1" x14ac:dyDescent="0.15">
      <c r="C37904" s="101"/>
    </row>
    <row r="37905" spans="3:3" s="8" customFormat="1" ht="21.95" customHeight="1" x14ac:dyDescent="0.15">
      <c r="C37905" s="101"/>
    </row>
    <row r="37906" spans="3:3" s="8" customFormat="1" ht="21.95" customHeight="1" x14ac:dyDescent="0.15"/>
    <row r="37907" spans="3:3" s="8" customFormat="1" ht="21.95" customHeight="1" x14ac:dyDescent="0.15"/>
    <row r="37908" spans="3:3" s="8" customFormat="1" ht="21.95" customHeight="1" x14ac:dyDescent="0.15"/>
    <row r="37909" spans="3:3" s="8" customFormat="1" ht="21.95" customHeight="1" x14ac:dyDescent="0.15"/>
    <row r="37910" spans="3:3" s="8" customFormat="1" ht="21.95" customHeight="1" x14ac:dyDescent="0.15"/>
    <row r="37911" spans="3:3" s="8" customFormat="1" ht="21.95" customHeight="1" x14ac:dyDescent="0.15"/>
    <row r="37912" spans="3:3" s="8" customFormat="1" ht="21.95" customHeight="1" x14ac:dyDescent="0.15"/>
    <row r="37913" spans="3:3" s="9" customFormat="1" ht="21.95" customHeight="1" x14ac:dyDescent="0.15"/>
    <row r="37914" spans="3:3" s="9" customFormat="1" ht="21.95" customHeight="1" x14ac:dyDescent="0.15"/>
    <row r="37915" spans="3:3" s="9" customFormat="1" ht="21.95" customHeight="1" x14ac:dyDescent="0.15"/>
    <row r="37916" spans="3:3" s="9" customFormat="1" ht="21.95" customHeight="1" x14ac:dyDescent="0.15"/>
    <row r="37917" spans="3:3" s="8" customFormat="1" ht="21.95" customHeight="1" x14ac:dyDescent="0.15"/>
    <row r="37918" spans="3:3" s="8" customFormat="1" ht="21.95" customHeight="1" x14ac:dyDescent="0.15"/>
    <row r="37919" spans="3:3" s="8" customFormat="1" ht="21.95" customHeight="1" x14ac:dyDescent="0.15"/>
    <row r="37920" spans="3:3" s="8" customFormat="1" ht="21.95" customHeight="1" x14ac:dyDescent="0.15"/>
    <row r="37921" s="8" customFormat="1" ht="21.95" customHeight="1" x14ac:dyDescent="0.15"/>
    <row r="37922" s="8" customFormat="1" ht="21.95" customHeight="1" x14ac:dyDescent="0.15"/>
    <row r="37923" s="8" customFormat="1" ht="21.95" customHeight="1" x14ac:dyDescent="0.15"/>
    <row r="37924" s="8" customFormat="1" ht="21.95" customHeight="1" x14ac:dyDescent="0.15"/>
    <row r="37925" s="8" customFormat="1" ht="21.95" customHeight="1" x14ac:dyDescent="0.15"/>
    <row r="37926" s="8" customFormat="1" ht="21.95" customHeight="1" x14ac:dyDescent="0.15"/>
    <row r="37927" s="8" customFormat="1" ht="21.95" customHeight="1" x14ac:dyDescent="0.15"/>
    <row r="37928" s="8" customFormat="1" ht="32.1" customHeight="1" x14ac:dyDescent="0.15"/>
    <row r="37929" s="8" customFormat="1" ht="32.1" customHeight="1" x14ac:dyDescent="0.15"/>
    <row r="37930" s="8" customFormat="1" ht="32.1" customHeight="1" x14ac:dyDescent="0.15"/>
    <row r="37931" s="8" customFormat="1" ht="32.1" customHeight="1" x14ac:dyDescent="0.15"/>
    <row r="37932" s="8" customFormat="1" ht="32.1" customHeight="1" x14ac:dyDescent="0.15"/>
    <row r="37933" s="8" customFormat="1" ht="32.1" customHeight="1" x14ac:dyDescent="0.15"/>
    <row r="37934" s="9" customFormat="1" ht="32.1" customHeight="1" x14ac:dyDescent="0.15"/>
    <row r="37935" s="9" customFormat="1" ht="32.1" customHeight="1" x14ac:dyDescent="0.15"/>
    <row r="37936" s="9" customFormat="1" ht="32.1" customHeight="1" x14ac:dyDescent="0.15"/>
    <row r="37937" s="9" customFormat="1" ht="32.1" customHeight="1" x14ac:dyDescent="0.15"/>
    <row r="37938" s="9" customFormat="1" ht="21.95" customHeight="1" x14ac:dyDescent="0.15"/>
    <row r="37939" s="9" customFormat="1" ht="54" customHeight="1" x14ac:dyDescent="0.15"/>
    <row r="37940" s="9" customFormat="1" ht="21.95" customHeight="1" x14ac:dyDescent="0.15"/>
    <row r="37941" s="9" customFormat="1" ht="21.95" customHeight="1" x14ac:dyDescent="0.15"/>
    <row r="37942" s="9" customFormat="1" ht="21.95" customHeight="1" x14ac:dyDescent="0.15"/>
    <row r="37943" s="9" customFormat="1" ht="21.95" customHeight="1" x14ac:dyDescent="0.15"/>
    <row r="37944" s="9" customFormat="1" ht="21.95" customHeight="1" x14ac:dyDescent="0.15"/>
    <row r="37945" s="9" customFormat="1" ht="21.95" customHeight="1" x14ac:dyDescent="0.15"/>
    <row r="37946" s="9" customFormat="1" ht="21.95" customHeight="1" x14ac:dyDescent="0.15"/>
    <row r="37947" s="9" customFormat="1" ht="21.95" customHeight="1" x14ac:dyDescent="0.15"/>
    <row r="37948" s="9" customFormat="1" ht="21.95" customHeight="1" x14ac:dyDescent="0.15"/>
    <row r="37949" s="9" customFormat="1" ht="21.95" customHeight="1" x14ac:dyDescent="0.15"/>
    <row r="37950" s="9" customFormat="1" ht="21.95" customHeight="1" x14ac:dyDescent="0.15"/>
    <row r="37951" s="9" customFormat="1" ht="21.95" customHeight="1" x14ac:dyDescent="0.15"/>
    <row r="37952" s="9" customFormat="1" ht="21.95" customHeight="1" x14ac:dyDescent="0.15"/>
    <row r="37953" s="9" customFormat="1" ht="21.95" customHeight="1" x14ac:dyDescent="0.15"/>
    <row r="37954" s="9" customFormat="1" ht="21.95" customHeight="1" x14ac:dyDescent="0.15"/>
    <row r="37955" s="9" customFormat="1" ht="21.95" customHeight="1" x14ac:dyDescent="0.15"/>
    <row r="37956" s="9" customFormat="1" ht="21.95" customHeight="1" x14ac:dyDescent="0.15"/>
    <row r="37957" s="9" customFormat="1" ht="21.95" customHeight="1" x14ac:dyDescent="0.15"/>
    <row r="37958" s="9" customFormat="1" ht="21.95" customHeight="1" x14ac:dyDescent="0.15"/>
    <row r="37959" s="9" customFormat="1" ht="21.95" customHeight="1" x14ac:dyDescent="0.15"/>
    <row r="37960" s="9" customFormat="1" ht="21.95" customHeight="1" x14ac:dyDescent="0.15"/>
    <row r="37961" s="9" customFormat="1" ht="21.95" customHeight="1" x14ac:dyDescent="0.15"/>
    <row r="37962" s="9" customFormat="1" ht="21.95" customHeight="1" x14ac:dyDescent="0.15"/>
    <row r="37963" s="9" customFormat="1" ht="21.95" customHeight="1" x14ac:dyDescent="0.15"/>
    <row r="37964" s="9" customFormat="1" ht="21.95" customHeight="1" x14ac:dyDescent="0.15"/>
    <row r="37965" s="9" customFormat="1" ht="21.95" customHeight="1" x14ac:dyDescent="0.15"/>
    <row r="37966" s="9" customFormat="1" ht="21.95" customHeight="1" x14ac:dyDescent="0.15"/>
    <row r="37967" s="9" customFormat="1" ht="21.95" customHeight="1" x14ac:dyDescent="0.15"/>
    <row r="37968" s="9" customFormat="1" ht="21.95" customHeight="1" x14ac:dyDescent="0.15"/>
    <row r="37969" s="9" customFormat="1" ht="21.95" customHeight="1" x14ac:dyDescent="0.15"/>
    <row r="37970" s="9" customFormat="1" ht="21.95" customHeight="1" x14ac:dyDescent="0.15"/>
    <row r="37971" s="9" customFormat="1" ht="21.95" customHeight="1" x14ac:dyDescent="0.15"/>
    <row r="37972" s="9" customFormat="1" ht="21.95" customHeight="1" x14ac:dyDescent="0.15"/>
    <row r="37973" s="9" customFormat="1" ht="21.95" customHeight="1" x14ac:dyDescent="0.15"/>
    <row r="37974" s="9" customFormat="1" ht="21.95" customHeight="1" x14ac:dyDescent="0.15"/>
    <row r="37975" s="9" customFormat="1" ht="21.95" customHeight="1" x14ac:dyDescent="0.15"/>
    <row r="37976" s="9" customFormat="1" ht="21.95" customHeight="1" x14ac:dyDescent="0.15"/>
    <row r="37977" s="9" customFormat="1" ht="21.95" customHeight="1" x14ac:dyDescent="0.15"/>
    <row r="37978" s="9" customFormat="1" ht="21.95" customHeight="1" x14ac:dyDescent="0.15"/>
    <row r="37979" s="9" customFormat="1" ht="21.95" customHeight="1" x14ac:dyDescent="0.15"/>
    <row r="37980" s="9" customFormat="1" ht="21.95" customHeight="1" x14ac:dyDescent="0.15"/>
    <row r="37981" s="9" customFormat="1" ht="21.95" customHeight="1" x14ac:dyDescent="0.15"/>
    <row r="37982" s="9" customFormat="1" ht="21.95" customHeight="1" x14ac:dyDescent="0.15"/>
    <row r="37983" s="9" customFormat="1" ht="21.95" customHeight="1" x14ac:dyDescent="0.15"/>
    <row r="37984" s="9" customFormat="1" ht="21.95" customHeight="1" x14ac:dyDescent="0.15"/>
    <row r="37985" s="9" customFormat="1" ht="21.95" customHeight="1" x14ac:dyDescent="0.15"/>
    <row r="37986" s="9" customFormat="1" ht="21.95" customHeight="1" x14ac:dyDescent="0.15"/>
    <row r="37987" s="9" customFormat="1" ht="21.95" customHeight="1" x14ac:dyDescent="0.15"/>
    <row r="37988" s="9" customFormat="1" ht="21.95" customHeight="1" x14ac:dyDescent="0.15"/>
    <row r="37989" s="9" customFormat="1" ht="21.95" customHeight="1" x14ac:dyDescent="0.15"/>
    <row r="37990" s="9" customFormat="1" ht="35.1" customHeight="1" x14ac:dyDescent="0.15"/>
    <row r="37991" s="9" customFormat="1" ht="21.95" customHeight="1" x14ac:dyDescent="0.15"/>
    <row r="37992" s="9" customFormat="1" ht="21.95" customHeight="1" x14ac:dyDescent="0.15"/>
    <row r="37993" s="9" customFormat="1" ht="21.95" customHeight="1" x14ac:dyDescent="0.15"/>
    <row r="37994" s="9" customFormat="1" ht="21.95" customHeight="1" x14ac:dyDescent="0.15"/>
    <row r="37995" s="9" customFormat="1" ht="21.95" customHeight="1" x14ac:dyDescent="0.15"/>
    <row r="37996" s="9" customFormat="1" ht="21.95" customHeight="1" x14ac:dyDescent="0.15"/>
    <row r="37997" s="9" customFormat="1" ht="21.95" customHeight="1" x14ac:dyDescent="0.15"/>
    <row r="37998" s="9" customFormat="1" ht="21.95" customHeight="1" x14ac:dyDescent="0.15"/>
    <row r="37999" s="9" customFormat="1" ht="21.95" customHeight="1" x14ac:dyDescent="0.15"/>
    <row r="38000" s="9" customFormat="1" ht="21.95" customHeight="1" x14ac:dyDescent="0.15"/>
    <row r="38001" spans="3:3" s="9" customFormat="1" ht="21.95" customHeight="1" x14ac:dyDescent="0.15"/>
    <row r="38002" spans="3:3" s="9" customFormat="1" ht="21.95" customHeight="1" x14ac:dyDescent="0.15"/>
    <row r="38003" spans="3:3" s="9" customFormat="1" ht="21.95" customHeight="1" x14ac:dyDescent="0.15"/>
    <row r="38004" spans="3:3" s="9" customFormat="1" ht="21.95" customHeight="1" x14ac:dyDescent="0.15"/>
    <row r="38005" spans="3:3" s="9" customFormat="1" ht="21.95" customHeight="1" x14ac:dyDescent="0.15"/>
    <row r="38006" spans="3:3" s="9" customFormat="1" ht="21.95" customHeight="1" x14ac:dyDescent="0.15"/>
    <row r="38007" spans="3:3" s="9" customFormat="1" ht="21.95" customHeight="1" x14ac:dyDescent="0.15"/>
    <row r="38008" spans="3:3" s="9" customFormat="1" ht="21.95" customHeight="1" x14ac:dyDescent="0.15"/>
    <row r="38009" spans="3:3" s="9" customFormat="1" ht="21.95" customHeight="1" x14ac:dyDescent="0.15"/>
    <row r="38010" spans="3:3" s="9" customFormat="1" ht="21.95" customHeight="1" x14ac:dyDescent="0.15"/>
    <row r="38011" spans="3:3" s="9" customFormat="1" ht="21.95" customHeight="1" x14ac:dyDescent="0.15"/>
    <row r="38012" spans="3:3" s="9" customFormat="1" ht="21.95" customHeight="1" x14ac:dyDescent="0.15"/>
    <row r="38013" spans="3:3" s="9" customFormat="1" ht="21.95" customHeight="1" x14ac:dyDescent="0.15"/>
    <row r="38014" spans="3:3" s="8" customFormat="1" ht="21.95" customHeight="1" x14ac:dyDescent="0.15"/>
    <row r="38015" spans="3:3" s="8" customFormat="1" ht="21.95" customHeight="1" x14ac:dyDescent="0.15"/>
    <row r="38016" spans="3:3" s="8" customFormat="1" ht="21.95" customHeight="1" x14ac:dyDescent="0.15">
      <c r="C38016" s="101"/>
    </row>
    <row r="38017" spans="3:3" s="8" customFormat="1" ht="21.95" customHeight="1" x14ac:dyDescent="0.15">
      <c r="C38017" s="101"/>
    </row>
    <row r="38018" spans="3:3" s="8" customFormat="1" ht="21.95" customHeight="1" x14ac:dyDescent="0.15"/>
    <row r="38019" spans="3:3" s="8" customFormat="1" ht="21.95" customHeight="1" x14ac:dyDescent="0.15"/>
    <row r="38020" spans="3:3" s="8" customFormat="1" ht="21.95" customHeight="1" x14ac:dyDescent="0.15"/>
    <row r="38021" spans="3:3" s="8" customFormat="1" ht="21.95" customHeight="1" x14ac:dyDescent="0.15"/>
    <row r="38022" spans="3:3" s="8" customFormat="1" ht="21.95" customHeight="1" x14ac:dyDescent="0.15"/>
    <row r="38023" spans="3:3" s="8" customFormat="1" ht="21.95" customHeight="1" x14ac:dyDescent="0.15"/>
    <row r="38024" spans="3:3" s="8" customFormat="1" ht="21.95" customHeight="1" x14ac:dyDescent="0.15"/>
    <row r="38025" spans="3:3" s="9" customFormat="1" ht="21.95" customHeight="1" x14ac:dyDescent="0.15"/>
    <row r="38026" spans="3:3" s="9" customFormat="1" ht="21.95" customHeight="1" x14ac:dyDescent="0.15"/>
    <row r="38027" spans="3:3" s="9" customFormat="1" ht="21.95" customHeight="1" x14ac:dyDescent="0.15"/>
    <row r="38028" spans="3:3" s="9" customFormat="1" ht="21.95" customHeight="1" x14ac:dyDescent="0.15"/>
    <row r="38029" spans="3:3" s="8" customFormat="1" ht="21.95" customHeight="1" x14ac:dyDescent="0.15"/>
    <row r="38030" spans="3:3" s="8" customFormat="1" ht="21.95" customHeight="1" x14ac:dyDescent="0.15"/>
    <row r="38031" spans="3:3" s="8" customFormat="1" ht="21.95" customHeight="1" x14ac:dyDescent="0.15"/>
    <row r="38032" spans="3:3" s="8" customFormat="1" ht="21.95" customHeight="1" x14ac:dyDescent="0.15"/>
    <row r="38033" s="8" customFormat="1" ht="21.95" customHeight="1" x14ac:dyDescent="0.15"/>
    <row r="38034" s="8" customFormat="1" ht="21.95" customHeight="1" x14ac:dyDescent="0.15"/>
    <row r="38035" s="8" customFormat="1" ht="21.95" customHeight="1" x14ac:dyDescent="0.15"/>
    <row r="38036" s="8" customFormat="1" ht="21.95" customHeight="1" x14ac:dyDescent="0.15"/>
    <row r="38037" s="8" customFormat="1" ht="21.95" customHeight="1" x14ac:dyDescent="0.15"/>
    <row r="38038" s="8" customFormat="1" ht="21.95" customHeight="1" x14ac:dyDescent="0.15"/>
    <row r="38039" s="8" customFormat="1" ht="21.95" customHeight="1" x14ac:dyDescent="0.15"/>
    <row r="38040" s="8" customFormat="1" ht="32.1" customHeight="1" x14ac:dyDescent="0.15"/>
    <row r="38041" s="8" customFormat="1" ht="32.1" customHeight="1" x14ac:dyDescent="0.15"/>
    <row r="38042" s="8" customFormat="1" ht="32.1" customHeight="1" x14ac:dyDescent="0.15"/>
    <row r="38043" s="8" customFormat="1" ht="32.1" customHeight="1" x14ac:dyDescent="0.15"/>
    <row r="38044" s="8" customFormat="1" ht="32.1" customHeight="1" x14ac:dyDescent="0.15"/>
    <row r="38045" s="8" customFormat="1" ht="32.1" customHeight="1" x14ac:dyDescent="0.15"/>
    <row r="38046" s="9" customFormat="1" ht="32.1" customHeight="1" x14ac:dyDescent="0.15"/>
    <row r="38047" s="9" customFormat="1" ht="32.1" customHeight="1" x14ac:dyDescent="0.15"/>
    <row r="38048" s="9" customFormat="1" ht="32.1" customHeight="1" x14ac:dyDescent="0.15"/>
    <row r="38049" s="9" customFormat="1" ht="32.1" customHeight="1" x14ac:dyDescent="0.15"/>
    <row r="38050" s="9" customFormat="1" ht="21.95" customHeight="1" x14ac:dyDescent="0.15"/>
    <row r="38051" s="9" customFormat="1" ht="54" customHeight="1" x14ac:dyDescent="0.15"/>
    <row r="38052" s="9" customFormat="1" ht="21.95" customHeight="1" x14ac:dyDescent="0.15"/>
    <row r="38053" s="9" customFormat="1" ht="21.95" customHeight="1" x14ac:dyDescent="0.15"/>
    <row r="38054" s="9" customFormat="1" ht="21.95" customHeight="1" x14ac:dyDescent="0.15"/>
    <row r="38055" s="9" customFormat="1" ht="21.95" customHeight="1" x14ac:dyDescent="0.15"/>
    <row r="38056" s="9" customFormat="1" ht="21.95" customHeight="1" x14ac:dyDescent="0.15"/>
    <row r="38057" s="9" customFormat="1" ht="21.95" customHeight="1" x14ac:dyDescent="0.15"/>
    <row r="38058" s="9" customFormat="1" ht="21.95" customHeight="1" x14ac:dyDescent="0.15"/>
    <row r="38059" s="9" customFormat="1" ht="21.95" customHeight="1" x14ac:dyDescent="0.15"/>
    <row r="38060" s="9" customFormat="1" ht="21.95" customHeight="1" x14ac:dyDescent="0.15"/>
    <row r="38061" s="9" customFormat="1" ht="21.95" customHeight="1" x14ac:dyDescent="0.15"/>
    <row r="38062" s="9" customFormat="1" ht="21.95" customHeight="1" x14ac:dyDescent="0.15"/>
    <row r="38063" s="9" customFormat="1" ht="21.95" customHeight="1" x14ac:dyDescent="0.15"/>
    <row r="38064" s="9" customFormat="1" ht="21.95" customHeight="1" x14ac:dyDescent="0.15"/>
    <row r="38065" s="9" customFormat="1" ht="21.95" customHeight="1" x14ac:dyDescent="0.15"/>
    <row r="38066" s="9" customFormat="1" ht="21.95" customHeight="1" x14ac:dyDescent="0.15"/>
    <row r="38067" s="9" customFormat="1" ht="21.95" customHeight="1" x14ac:dyDescent="0.15"/>
    <row r="38068" s="9" customFormat="1" ht="21.95" customHeight="1" x14ac:dyDescent="0.15"/>
    <row r="38069" s="9" customFormat="1" ht="21.95" customHeight="1" x14ac:dyDescent="0.15"/>
    <row r="38070" s="9" customFormat="1" ht="21.95" customHeight="1" x14ac:dyDescent="0.15"/>
    <row r="38071" s="9" customFormat="1" ht="21.95" customHeight="1" x14ac:dyDescent="0.15"/>
    <row r="38072" s="9" customFormat="1" ht="21.95" customHeight="1" x14ac:dyDescent="0.15"/>
    <row r="38073" s="9" customFormat="1" ht="21.95" customHeight="1" x14ac:dyDescent="0.15"/>
    <row r="38074" s="9" customFormat="1" ht="21.95" customHeight="1" x14ac:dyDescent="0.15"/>
    <row r="38075" s="9" customFormat="1" ht="21.95" customHeight="1" x14ac:dyDescent="0.15"/>
    <row r="38076" s="9" customFormat="1" ht="21.95" customHeight="1" x14ac:dyDescent="0.15"/>
    <row r="38077" s="9" customFormat="1" ht="21.95" customHeight="1" x14ac:dyDescent="0.15"/>
    <row r="38078" s="9" customFormat="1" ht="21.95" customHeight="1" x14ac:dyDescent="0.15"/>
    <row r="38079" s="9" customFormat="1" ht="21.95" customHeight="1" x14ac:dyDescent="0.15"/>
    <row r="38080" s="9" customFormat="1" ht="21.95" customHeight="1" x14ac:dyDescent="0.15"/>
    <row r="38081" s="9" customFormat="1" ht="21.95" customHeight="1" x14ac:dyDescent="0.15"/>
    <row r="38082" s="9" customFormat="1" ht="21.95" customHeight="1" x14ac:dyDescent="0.15"/>
    <row r="38083" s="9" customFormat="1" ht="21.95" customHeight="1" x14ac:dyDescent="0.15"/>
    <row r="38084" s="9" customFormat="1" ht="21.95" customHeight="1" x14ac:dyDescent="0.15"/>
    <row r="38085" s="9" customFormat="1" ht="21.95" customHeight="1" x14ac:dyDescent="0.15"/>
    <row r="38086" s="9" customFormat="1" ht="21.95" customHeight="1" x14ac:dyDescent="0.15"/>
    <row r="38087" s="9" customFormat="1" ht="21.95" customHeight="1" x14ac:dyDescent="0.15"/>
    <row r="38088" s="9" customFormat="1" ht="21.95" customHeight="1" x14ac:dyDescent="0.15"/>
    <row r="38089" s="9" customFormat="1" ht="21.95" customHeight="1" x14ac:dyDescent="0.15"/>
    <row r="38090" s="9" customFormat="1" ht="21.95" customHeight="1" x14ac:dyDescent="0.15"/>
    <row r="38091" s="9" customFormat="1" ht="21.95" customHeight="1" x14ac:dyDescent="0.15"/>
    <row r="38092" s="9" customFormat="1" ht="21.95" customHeight="1" x14ac:dyDescent="0.15"/>
    <row r="38093" s="9" customFormat="1" ht="21.95" customHeight="1" x14ac:dyDescent="0.15"/>
    <row r="38094" s="9" customFormat="1" ht="21.95" customHeight="1" x14ac:dyDescent="0.15"/>
    <row r="38095" s="9" customFormat="1" ht="21.95" customHeight="1" x14ac:dyDescent="0.15"/>
    <row r="38096" s="9" customFormat="1" ht="21.95" customHeight="1" x14ac:dyDescent="0.15"/>
    <row r="38097" s="9" customFormat="1" ht="21.95" customHeight="1" x14ac:dyDescent="0.15"/>
    <row r="38098" s="9" customFormat="1" ht="21.95" customHeight="1" x14ac:dyDescent="0.15"/>
    <row r="38099" s="9" customFormat="1" ht="21.95" customHeight="1" x14ac:dyDescent="0.15"/>
    <row r="38100" s="9" customFormat="1" ht="21.95" customHeight="1" x14ac:dyDescent="0.15"/>
    <row r="38101" s="9" customFormat="1" ht="21.95" customHeight="1" x14ac:dyDescent="0.15"/>
    <row r="38102" s="9" customFormat="1" ht="35.1" customHeight="1" x14ac:dyDescent="0.15"/>
    <row r="38103" s="9" customFormat="1" ht="21.95" customHeight="1" x14ac:dyDescent="0.15"/>
    <row r="38104" s="9" customFormat="1" ht="21.95" customHeight="1" x14ac:dyDescent="0.15"/>
    <row r="38105" s="9" customFormat="1" ht="21.95" customHeight="1" x14ac:dyDescent="0.15"/>
    <row r="38106" s="9" customFormat="1" ht="21.95" customHeight="1" x14ac:dyDescent="0.15"/>
    <row r="38107" s="9" customFormat="1" ht="21.95" customHeight="1" x14ac:dyDescent="0.15"/>
    <row r="38108" s="9" customFormat="1" ht="21.95" customHeight="1" x14ac:dyDescent="0.15"/>
    <row r="38109" s="9" customFormat="1" ht="21.95" customHeight="1" x14ac:dyDescent="0.15"/>
    <row r="38110" s="9" customFormat="1" ht="21.95" customHeight="1" x14ac:dyDescent="0.15"/>
    <row r="38111" s="9" customFormat="1" ht="21.95" customHeight="1" x14ac:dyDescent="0.15"/>
    <row r="38112" s="9" customFormat="1" ht="21.95" customHeight="1" x14ac:dyDescent="0.15"/>
    <row r="38113" spans="3:3" s="9" customFormat="1" ht="21.95" customHeight="1" x14ac:dyDescent="0.15"/>
    <row r="38114" spans="3:3" s="9" customFormat="1" ht="21.95" customHeight="1" x14ac:dyDescent="0.15"/>
    <row r="38115" spans="3:3" s="9" customFormat="1" ht="21.95" customHeight="1" x14ac:dyDescent="0.15"/>
    <row r="38116" spans="3:3" s="9" customFormat="1" ht="21.95" customHeight="1" x14ac:dyDescent="0.15"/>
    <row r="38117" spans="3:3" s="9" customFormat="1" ht="21.95" customHeight="1" x14ac:dyDescent="0.15"/>
    <row r="38118" spans="3:3" s="9" customFormat="1" ht="21.95" customHeight="1" x14ac:dyDescent="0.15"/>
    <row r="38119" spans="3:3" s="9" customFormat="1" ht="21.95" customHeight="1" x14ac:dyDescent="0.15"/>
    <row r="38120" spans="3:3" s="9" customFormat="1" ht="21.95" customHeight="1" x14ac:dyDescent="0.15"/>
    <row r="38121" spans="3:3" s="9" customFormat="1" ht="21.95" customHeight="1" x14ac:dyDescent="0.15"/>
    <row r="38122" spans="3:3" s="9" customFormat="1" ht="21.95" customHeight="1" x14ac:dyDescent="0.15"/>
    <row r="38123" spans="3:3" s="9" customFormat="1" ht="21.95" customHeight="1" x14ac:dyDescent="0.15"/>
    <row r="38124" spans="3:3" s="9" customFormat="1" ht="21.95" customHeight="1" x14ac:dyDescent="0.15"/>
    <row r="38125" spans="3:3" s="9" customFormat="1" ht="21.95" customHeight="1" x14ac:dyDescent="0.15"/>
    <row r="38126" spans="3:3" s="8" customFormat="1" ht="21.95" customHeight="1" x14ac:dyDescent="0.15"/>
    <row r="38127" spans="3:3" s="8" customFormat="1" ht="21.95" customHeight="1" x14ac:dyDescent="0.15"/>
    <row r="38128" spans="3:3" s="8" customFormat="1" ht="21.95" customHeight="1" x14ac:dyDescent="0.15">
      <c r="C38128" s="101"/>
    </row>
    <row r="38129" spans="3:3" s="8" customFormat="1" ht="21.95" customHeight="1" x14ac:dyDescent="0.15">
      <c r="C38129" s="101"/>
    </row>
    <row r="38130" spans="3:3" s="8" customFormat="1" ht="21.95" customHeight="1" x14ac:dyDescent="0.15"/>
    <row r="38131" spans="3:3" s="8" customFormat="1" ht="21.95" customHeight="1" x14ac:dyDescent="0.15"/>
    <row r="38132" spans="3:3" s="8" customFormat="1" ht="21.95" customHeight="1" x14ac:dyDescent="0.15"/>
    <row r="38133" spans="3:3" s="8" customFormat="1" ht="21.95" customHeight="1" x14ac:dyDescent="0.15"/>
    <row r="38134" spans="3:3" s="8" customFormat="1" ht="21.95" customHeight="1" x14ac:dyDescent="0.15"/>
    <row r="38135" spans="3:3" s="8" customFormat="1" ht="21.95" customHeight="1" x14ac:dyDescent="0.15"/>
    <row r="38136" spans="3:3" s="8" customFormat="1" ht="21.95" customHeight="1" x14ac:dyDescent="0.15"/>
    <row r="38137" spans="3:3" s="9" customFormat="1" ht="21.95" customHeight="1" x14ac:dyDescent="0.15"/>
    <row r="38138" spans="3:3" s="9" customFormat="1" ht="21.95" customHeight="1" x14ac:dyDescent="0.15"/>
    <row r="38139" spans="3:3" s="9" customFormat="1" ht="21.95" customHeight="1" x14ac:dyDescent="0.15"/>
    <row r="38140" spans="3:3" s="9" customFormat="1" ht="21.95" customHeight="1" x14ac:dyDescent="0.15"/>
    <row r="38141" spans="3:3" s="8" customFormat="1" ht="21.95" customHeight="1" x14ac:dyDescent="0.15"/>
    <row r="38142" spans="3:3" s="8" customFormat="1" ht="21.95" customHeight="1" x14ac:dyDescent="0.15"/>
    <row r="38143" spans="3:3" s="8" customFormat="1" ht="21.95" customHeight="1" x14ac:dyDescent="0.15"/>
    <row r="38144" spans="3:3" s="8" customFormat="1" ht="21.95" customHeight="1" x14ac:dyDescent="0.15"/>
    <row r="38145" s="8" customFormat="1" ht="21.95" customHeight="1" x14ac:dyDescent="0.15"/>
    <row r="38146" s="8" customFormat="1" ht="21.95" customHeight="1" x14ac:dyDescent="0.15"/>
    <row r="38147" s="8" customFormat="1" ht="21.95" customHeight="1" x14ac:dyDescent="0.15"/>
    <row r="38148" s="8" customFormat="1" ht="21.95" customHeight="1" x14ac:dyDescent="0.15"/>
    <row r="38149" s="8" customFormat="1" ht="21.95" customHeight="1" x14ac:dyDescent="0.15"/>
    <row r="38150" s="8" customFormat="1" ht="21.95" customHeight="1" x14ac:dyDescent="0.15"/>
    <row r="38151" s="8" customFormat="1" ht="21.95" customHeight="1" x14ac:dyDescent="0.15"/>
    <row r="38152" s="8" customFormat="1" ht="32.1" customHeight="1" x14ac:dyDescent="0.15"/>
    <row r="38153" s="8" customFormat="1" ht="32.1" customHeight="1" x14ac:dyDescent="0.15"/>
    <row r="38154" s="8" customFormat="1" ht="32.1" customHeight="1" x14ac:dyDescent="0.15"/>
    <row r="38155" s="8" customFormat="1" ht="32.1" customHeight="1" x14ac:dyDescent="0.15"/>
    <row r="38156" s="8" customFormat="1" ht="32.1" customHeight="1" x14ac:dyDescent="0.15"/>
    <row r="38157" s="8" customFormat="1" ht="32.1" customHeight="1" x14ac:dyDescent="0.15"/>
    <row r="38158" s="9" customFormat="1" ht="32.1" customHeight="1" x14ac:dyDescent="0.15"/>
    <row r="38159" s="9" customFormat="1" ht="32.1" customHeight="1" x14ac:dyDescent="0.15"/>
    <row r="38160" s="9" customFormat="1" ht="32.1" customHeight="1" x14ac:dyDescent="0.15"/>
    <row r="38161" s="9" customFormat="1" ht="32.1" customHeight="1" x14ac:dyDescent="0.15"/>
    <row r="38162" s="9" customFormat="1" ht="21.95" customHeight="1" x14ac:dyDescent="0.15"/>
    <row r="38163" s="9" customFormat="1" ht="54" customHeight="1" x14ac:dyDescent="0.15"/>
    <row r="38164" s="9" customFormat="1" ht="21.95" customHeight="1" x14ac:dyDescent="0.15"/>
    <row r="38165" s="9" customFormat="1" ht="21.95" customHeight="1" x14ac:dyDescent="0.15"/>
    <row r="38166" s="9" customFormat="1" ht="21.95" customHeight="1" x14ac:dyDescent="0.15"/>
    <row r="38167" s="9" customFormat="1" ht="21.95" customHeight="1" x14ac:dyDescent="0.15"/>
    <row r="38168" s="9" customFormat="1" ht="21.95" customHeight="1" x14ac:dyDescent="0.15"/>
    <row r="38169" s="9" customFormat="1" ht="21.95" customHeight="1" x14ac:dyDescent="0.15"/>
    <row r="38170" s="9" customFormat="1" ht="21.95" customHeight="1" x14ac:dyDescent="0.15"/>
    <row r="38171" s="9" customFormat="1" ht="21.95" customHeight="1" x14ac:dyDescent="0.15"/>
    <row r="38172" s="9" customFormat="1" ht="21.95" customHeight="1" x14ac:dyDescent="0.15"/>
    <row r="38173" s="9" customFormat="1" ht="21.95" customHeight="1" x14ac:dyDescent="0.15"/>
    <row r="38174" s="9" customFormat="1" ht="21.95" customHeight="1" x14ac:dyDescent="0.15"/>
    <row r="38175" s="9" customFormat="1" ht="21.95" customHeight="1" x14ac:dyDescent="0.15"/>
    <row r="38176" s="9" customFormat="1" ht="21.95" customHeight="1" x14ac:dyDescent="0.15"/>
    <row r="38177" s="9" customFormat="1" ht="21.95" customHeight="1" x14ac:dyDescent="0.15"/>
    <row r="38178" s="9" customFormat="1" ht="21.95" customHeight="1" x14ac:dyDescent="0.15"/>
    <row r="38179" s="9" customFormat="1" ht="21.95" customHeight="1" x14ac:dyDescent="0.15"/>
    <row r="38180" s="9" customFormat="1" ht="21.95" customHeight="1" x14ac:dyDescent="0.15"/>
    <row r="38181" s="9" customFormat="1" ht="21.95" customHeight="1" x14ac:dyDescent="0.15"/>
    <row r="38182" s="9" customFormat="1" ht="21.95" customHeight="1" x14ac:dyDescent="0.15"/>
    <row r="38183" s="9" customFormat="1" ht="21.95" customHeight="1" x14ac:dyDescent="0.15"/>
    <row r="38184" s="9" customFormat="1" ht="21.95" customHeight="1" x14ac:dyDescent="0.15"/>
    <row r="38185" s="9" customFormat="1" ht="21.95" customHeight="1" x14ac:dyDescent="0.15"/>
    <row r="38186" s="9" customFormat="1" ht="21.95" customHeight="1" x14ac:dyDescent="0.15"/>
    <row r="38187" s="9" customFormat="1" ht="21.95" customHeight="1" x14ac:dyDescent="0.15"/>
    <row r="38188" s="9" customFormat="1" ht="21.95" customHeight="1" x14ac:dyDescent="0.15"/>
    <row r="38189" s="9" customFormat="1" ht="21.95" customHeight="1" x14ac:dyDescent="0.15"/>
    <row r="38190" s="9" customFormat="1" ht="21.95" customHeight="1" x14ac:dyDescent="0.15"/>
    <row r="38191" s="9" customFormat="1" ht="21.95" customHeight="1" x14ac:dyDescent="0.15"/>
    <row r="38192" s="9" customFormat="1" ht="21.95" customHeight="1" x14ac:dyDescent="0.15"/>
    <row r="38193" s="9" customFormat="1" ht="21.95" customHeight="1" x14ac:dyDescent="0.15"/>
    <row r="38194" s="9" customFormat="1" ht="21.95" customHeight="1" x14ac:dyDescent="0.15"/>
    <row r="38195" s="9" customFormat="1" ht="21.95" customHeight="1" x14ac:dyDescent="0.15"/>
    <row r="38196" s="9" customFormat="1" ht="21.95" customHeight="1" x14ac:dyDescent="0.15"/>
    <row r="38197" s="9" customFormat="1" ht="21.95" customHeight="1" x14ac:dyDescent="0.15"/>
    <row r="38198" s="9" customFormat="1" ht="21.95" customHeight="1" x14ac:dyDescent="0.15"/>
    <row r="38199" s="9" customFormat="1" ht="21.95" customHeight="1" x14ac:dyDescent="0.15"/>
    <row r="38200" s="9" customFormat="1" ht="21.95" customHeight="1" x14ac:dyDescent="0.15"/>
    <row r="38201" s="9" customFormat="1" ht="21.95" customHeight="1" x14ac:dyDescent="0.15"/>
    <row r="38202" s="9" customFormat="1" ht="21.95" customHeight="1" x14ac:dyDescent="0.15"/>
    <row r="38203" s="9" customFormat="1" ht="21.95" customHeight="1" x14ac:dyDescent="0.15"/>
    <row r="38204" s="9" customFormat="1" ht="21.95" customHeight="1" x14ac:dyDescent="0.15"/>
    <row r="38205" s="9" customFormat="1" ht="21.95" customHeight="1" x14ac:dyDescent="0.15"/>
    <row r="38206" s="9" customFormat="1" ht="21.95" customHeight="1" x14ac:dyDescent="0.15"/>
    <row r="38207" s="9" customFormat="1" ht="21.95" customHeight="1" x14ac:dyDescent="0.15"/>
    <row r="38208" s="9" customFormat="1" ht="21.95" customHeight="1" x14ac:dyDescent="0.15"/>
    <row r="38209" s="9" customFormat="1" ht="21.95" customHeight="1" x14ac:dyDescent="0.15"/>
    <row r="38210" s="9" customFormat="1" ht="21.95" customHeight="1" x14ac:dyDescent="0.15"/>
    <row r="38211" s="9" customFormat="1" ht="21.95" customHeight="1" x14ac:dyDescent="0.15"/>
    <row r="38212" s="9" customFormat="1" ht="21.95" customHeight="1" x14ac:dyDescent="0.15"/>
    <row r="38213" s="9" customFormat="1" ht="21.95" customHeight="1" x14ac:dyDescent="0.15"/>
    <row r="38214" s="9" customFormat="1" ht="35.1" customHeight="1" x14ac:dyDescent="0.15"/>
    <row r="38215" s="9" customFormat="1" ht="21.95" customHeight="1" x14ac:dyDescent="0.15"/>
    <row r="38216" s="9" customFormat="1" ht="21.95" customHeight="1" x14ac:dyDescent="0.15"/>
    <row r="38217" s="9" customFormat="1" ht="21.95" customHeight="1" x14ac:dyDescent="0.15"/>
    <row r="38218" s="9" customFormat="1" ht="21.95" customHeight="1" x14ac:dyDescent="0.15"/>
    <row r="38219" s="9" customFormat="1" ht="21.95" customHeight="1" x14ac:dyDescent="0.15"/>
    <row r="38220" s="9" customFormat="1" ht="21.95" customHeight="1" x14ac:dyDescent="0.15"/>
    <row r="38221" s="9" customFormat="1" ht="21.95" customHeight="1" x14ac:dyDescent="0.15"/>
    <row r="38222" s="9" customFormat="1" ht="21.95" customHeight="1" x14ac:dyDescent="0.15"/>
    <row r="38223" s="9" customFormat="1" ht="21.95" customHeight="1" x14ac:dyDescent="0.15"/>
    <row r="38224" s="9" customFormat="1" ht="21.95" customHeight="1" x14ac:dyDescent="0.15"/>
    <row r="38225" spans="3:3" s="9" customFormat="1" ht="21.95" customHeight="1" x14ac:dyDescent="0.15"/>
    <row r="38226" spans="3:3" s="9" customFormat="1" ht="21.95" customHeight="1" x14ac:dyDescent="0.15"/>
    <row r="38227" spans="3:3" s="9" customFormat="1" ht="21.95" customHeight="1" x14ac:dyDescent="0.15"/>
    <row r="38228" spans="3:3" s="9" customFormat="1" ht="21.95" customHeight="1" x14ac:dyDescent="0.15"/>
    <row r="38229" spans="3:3" s="9" customFormat="1" ht="21.95" customHeight="1" x14ac:dyDescent="0.15"/>
    <row r="38230" spans="3:3" s="9" customFormat="1" ht="21.95" customHeight="1" x14ac:dyDescent="0.15"/>
    <row r="38231" spans="3:3" s="9" customFormat="1" ht="21.95" customHeight="1" x14ac:dyDescent="0.15"/>
    <row r="38232" spans="3:3" s="9" customFormat="1" ht="21.95" customHeight="1" x14ac:dyDescent="0.15"/>
    <row r="38233" spans="3:3" s="9" customFormat="1" ht="21.95" customHeight="1" x14ac:dyDescent="0.15"/>
    <row r="38234" spans="3:3" s="9" customFormat="1" ht="21.95" customHeight="1" x14ac:dyDescent="0.15"/>
    <row r="38235" spans="3:3" s="9" customFormat="1" ht="21.95" customHeight="1" x14ac:dyDescent="0.15"/>
    <row r="38236" spans="3:3" s="9" customFormat="1" ht="21.95" customHeight="1" x14ac:dyDescent="0.15"/>
    <row r="38237" spans="3:3" s="9" customFormat="1" ht="21.95" customHeight="1" x14ac:dyDescent="0.15"/>
    <row r="38238" spans="3:3" s="8" customFormat="1" ht="21.95" customHeight="1" x14ac:dyDescent="0.15"/>
    <row r="38239" spans="3:3" s="8" customFormat="1" ht="21.95" customHeight="1" x14ac:dyDescent="0.15"/>
    <row r="38240" spans="3:3" s="8" customFormat="1" ht="21.95" customHeight="1" x14ac:dyDescent="0.15">
      <c r="C38240" s="101"/>
    </row>
    <row r="38241" spans="3:3" s="8" customFormat="1" ht="21.95" customHeight="1" x14ac:dyDescent="0.15">
      <c r="C38241" s="101"/>
    </row>
    <row r="38242" spans="3:3" s="8" customFormat="1" ht="21.95" customHeight="1" x14ac:dyDescent="0.15"/>
    <row r="38243" spans="3:3" s="8" customFormat="1" ht="21.95" customHeight="1" x14ac:dyDescent="0.15"/>
    <row r="38244" spans="3:3" s="8" customFormat="1" ht="21.95" customHeight="1" x14ac:dyDescent="0.15"/>
    <row r="38245" spans="3:3" s="8" customFormat="1" ht="21.95" customHeight="1" x14ac:dyDescent="0.15"/>
    <row r="38246" spans="3:3" s="8" customFormat="1" ht="21.95" customHeight="1" x14ac:dyDescent="0.15"/>
    <row r="38247" spans="3:3" s="8" customFormat="1" ht="21.95" customHeight="1" x14ac:dyDescent="0.15"/>
    <row r="38248" spans="3:3" s="8" customFormat="1" ht="21.95" customHeight="1" x14ac:dyDescent="0.15"/>
    <row r="38249" spans="3:3" s="9" customFormat="1" ht="21.95" customHeight="1" x14ac:dyDescent="0.15"/>
    <row r="38250" spans="3:3" s="9" customFormat="1" ht="21.95" customHeight="1" x14ac:dyDescent="0.15"/>
    <row r="38251" spans="3:3" s="9" customFormat="1" ht="21.95" customHeight="1" x14ac:dyDescent="0.15"/>
    <row r="38252" spans="3:3" s="9" customFormat="1" ht="21.95" customHeight="1" x14ac:dyDescent="0.15"/>
    <row r="38253" spans="3:3" s="8" customFormat="1" ht="21.95" customHeight="1" x14ac:dyDescent="0.15"/>
    <row r="38254" spans="3:3" s="8" customFormat="1" ht="21.95" customHeight="1" x14ac:dyDescent="0.15"/>
    <row r="38255" spans="3:3" s="8" customFormat="1" ht="21.95" customHeight="1" x14ac:dyDescent="0.15"/>
    <row r="38256" spans="3:3" s="8" customFormat="1" ht="21.95" customHeight="1" x14ac:dyDescent="0.15"/>
    <row r="38257" s="8" customFormat="1" ht="21.95" customHeight="1" x14ac:dyDescent="0.15"/>
    <row r="38258" s="8" customFormat="1" ht="21.95" customHeight="1" x14ac:dyDescent="0.15"/>
    <row r="38259" s="8" customFormat="1" ht="21.95" customHeight="1" x14ac:dyDescent="0.15"/>
    <row r="38260" s="8" customFormat="1" ht="21.95" customHeight="1" x14ac:dyDescent="0.15"/>
    <row r="38261" s="8" customFormat="1" ht="21.95" customHeight="1" x14ac:dyDescent="0.15"/>
    <row r="38262" s="8" customFormat="1" ht="21.95" customHeight="1" x14ac:dyDescent="0.15"/>
    <row r="38263" s="8" customFormat="1" ht="21.95" customHeight="1" x14ac:dyDescent="0.15"/>
    <row r="38264" s="8" customFormat="1" ht="32.1" customHeight="1" x14ac:dyDescent="0.15"/>
    <row r="38265" s="8" customFormat="1" ht="32.1" customHeight="1" x14ac:dyDescent="0.15"/>
    <row r="38266" s="8" customFormat="1" ht="32.1" customHeight="1" x14ac:dyDescent="0.15"/>
    <row r="38267" s="8" customFormat="1" ht="32.1" customHeight="1" x14ac:dyDescent="0.15"/>
    <row r="38268" s="8" customFormat="1" ht="32.1" customHeight="1" x14ac:dyDescent="0.15"/>
    <row r="38269" s="8" customFormat="1" ht="32.1" customHeight="1" x14ac:dyDescent="0.15"/>
    <row r="38270" s="9" customFormat="1" ht="32.1" customHeight="1" x14ac:dyDescent="0.15"/>
    <row r="38271" s="9" customFormat="1" ht="32.1" customHeight="1" x14ac:dyDescent="0.15"/>
    <row r="38272" s="9" customFormat="1" ht="32.1" customHeight="1" x14ac:dyDescent="0.15"/>
    <row r="38273" s="9" customFormat="1" ht="32.1" customHeight="1" x14ac:dyDescent="0.15"/>
    <row r="38274" s="9" customFormat="1" ht="21.95" customHeight="1" x14ac:dyDescent="0.15"/>
    <row r="38275" s="9" customFormat="1" ht="54" customHeight="1" x14ac:dyDescent="0.15"/>
    <row r="38276" s="9" customFormat="1" ht="21.95" customHeight="1" x14ac:dyDescent="0.15"/>
    <row r="38277" s="9" customFormat="1" ht="21.95" customHeight="1" x14ac:dyDescent="0.15"/>
    <row r="38278" s="9" customFormat="1" ht="21.95" customHeight="1" x14ac:dyDescent="0.15"/>
    <row r="38279" s="9" customFormat="1" ht="21.95" customHeight="1" x14ac:dyDescent="0.15"/>
    <row r="38280" s="9" customFormat="1" ht="21.95" customHeight="1" x14ac:dyDescent="0.15"/>
    <row r="38281" s="9" customFormat="1" ht="21.95" customHeight="1" x14ac:dyDescent="0.15"/>
    <row r="38282" s="9" customFormat="1" ht="21.95" customHeight="1" x14ac:dyDescent="0.15"/>
    <row r="38283" s="9" customFormat="1" ht="21.95" customHeight="1" x14ac:dyDescent="0.15"/>
    <row r="38284" s="9" customFormat="1" ht="21.95" customHeight="1" x14ac:dyDescent="0.15"/>
    <row r="38285" s="9" customFormat="1" ht="21.95" customHeight="1" x14ac:dyDescent="0.15"/>
    <row r="38286" s="9" customFormat="1" ht="21.95" customHeight="1" x14ac:dyDescent="0.15"/>
    <row r="38287" s="9" customFormat="1" ht="21.95" customHeight="1" x14ac:dyDescent="0.15"/>
    <row r="38288" s="9" customFormat="1" ht="21.95" customHeight="1" x14ac:dyDescent="0.15"/>
    <row r="38289" s="9" customFormat="1" ht="21.95" customHeight="1" x14ac:dyDescent="0.15"/>
    <row r="38290" s="9" customFormat="1" ht="21.95" customHeight="1" x14ac:dyDescent="0.15"/>
    <row r="38291" s="9" customFormat="1" ht="21.95" customHeight="1" x14ac:dyDescent="0.15"/>
    <row r="38292" s="9" customFormat="1" ht="21.95" customHeight="1" x14ac:dyDescent="0.15"/>
    <row r="38293" s="9" customFormat="1" ht="21.95" customHeight="1" x14ac:dyDescent="0.15"/>
    <row r="38294" s="9" customFormat="1" ht="21.95" customHeight="1" x14ac:dyDescent="0.15"/>
    <row r="38295" s="9" customFormat="1" ht="21.95" customHeight="1" x14ac:dyDescent="0.15"/>
    <row r="38296" s="9" customFormat="1" ht="21.95" customHeight="1" x14ac:dyDescent="0.15"/>
    <row r="38297" s="9" customFormat="1" ht="21.95" customHeight="1" x14ac:dyDescent="0.15"/>
    <row r="38298" s="9" customFormat="1" ht="21.95" customHeight="1" x14ac:dyDescent="0.15"/>
    <row r="38299" s="9" customFormat="1" ht="21.95" customHeight="1" x14ac:dyDescent="0.15"/>
    <row r="38300" s="9" customFormat="1" ht="21.95" customHeight="1" x14ac:dyDescent="0.15"/>
    <row r="38301" s="9" customFormat="1" ht="21.95" customHeight="1" x14ac:dyDescent="0.15"/>
    <row r="38302" s="9" customFormat="1" ht="21.95" customHeight="1" x14ac:dyDescent="0.15"/>
    <row r="38303" s="9" customFormat="1" ht="21.95" customHeight="1" x14ac:dyDescent="0.15"/>
    <row r="38304" s="9" customFormat="1" ht="21.95" customHeight="1" x14ac:dyDescent="0.15"/>
    <row r="38305" s="9" customFormat="1" ht="21.95" customHeight="1" x14ac:dyDescent="0.15"/>
    <row r="38306" s="9" customFormat="1" ht="21.95" customHeight="1" x14ac:dyDescent="0.15"/>
    <row r="38307" s="9" customFormat="1" ht="21.95" customHeight="1" x14ac:dyDescent="0.15"/>
    <row r="38308" s="9" customFormat="1" ht="21.95" customHeight="1" x14ac:dyDescent="0.15"/>
    <row r="38309" s="9" customFormat="1" ht="21.95" customHeight="1" x14ac:dyDescent="0.15"/>
    <row r="38310" s="9" customFormat="1" ht="21.95" customHeight="1" x14ac:dyDescent="0.15"/>
    <row r="38311" s="9" customFormat="1" ht="21.95" customHeight="1" x14ac:dyDescent="0.15"/>
    <row r="38312" s="9" customFormat="1" ht="21.95" customHeight="1" x14ac:dyDescent="0.15"/>
    <row r="38313" s="9" customFormat="1" ht="21.95" customHeight="1" x14ac:dyDescent="0.15"/>
    <row r="38314" s="9" customFormat="1" ht="21.95" customHeight="1" x14ac:dyDescent="0.15"/>
    <row r="38315" s="9" customFormat="1" ht="21.95" customHeight="1" x14ac:dyDescent="0.15"/>
    <row r="38316" s="9" customFormat="1" ht="21.95" customHeight="1" x14ac:dyDescent="0.15"/>
    <row r="38317" s="9" customFormat="1" ht="21.95" customHeight="1" x14ac:dyDescent="0.15"/>
    <row r="38318" s="9" customFormat="1" ht="21.95" customHeight="1" x14ac:dyDescent="0.15"/>
    <row r="38319" s="9" customFormat="1" ht="21.95" customHeight="1" x14ac:dyDescent="0.15"/>
    <row r="38320" s="9" customFormat="1" ht="21.95" customHeight="1" x14ac:dyDescent="0.15"/>
    <row r="38321" s="9" customFormat="1" ht="21.95" customHeight="1" x14ac:dyDescent="0.15"/>
    <row r="38322" s="9" customFormat="1" ht="21.95" customHeight="1" x14ac:dyDescent="0.15"/>
    <row r="38323" s="9" customFormat="1" ht="21.95" customHeight="1" x14ac:dyDescent="0.15"/>
    <row r="38324" s="9" customFormat="1" ht="21.95" customHeight="1" x14ac:dyDescent="0.15"/>
    <row r="38325" s="9" customFormat="1" ht="21.95" customHeight="1" x14ac:dyDescent="0.15"/>
    <row r="38326" s="9" customFormat="1" ht="35.1" customHeight="1" x14ac:dyDescent="0.15"/>
    <row r="38327" s="9" customFormat="1" ht="21.95" customHeight="1" x14ac:dyDescent="0.15"/>
    <row r="38328" s="9" customFormat="1" ht="21.95" customHeight="1" x14ac:dyDescent="0.15"/>
    <row r="38329" s="9" customFormat="1" ht="21.95" customHeight="1" x14ac:dyDescent="0.15"/>
    <row r="38330" s="9" customFormat="1" ht="21.95" customHeight="1" x14ac:dyDescent="0.15"/>
    <row r="38331" s="9" customFormat="1" ht="21.95" customHeight="1" x14ac:dyDescent="0.15"/>
    <row r="38332" s="9" customFormat="1" ht="21.95" customHeight="1" x14ac:dyDescent="0.15"/>
    <row r="38333" s="9" customFormat="1" ht="21.95" customHeight="1" x14ac:dyDescent="0.15"/>
    <row r="38334" s="9" customFormat="1" ht="21.95" customHeight="1" x14ac:dyDescent="0.15"/>
    <row r="38335" s="9" customFormat="1" ht="21.95" customHeight="1" x14ac:dyDescent="0.15"/>
    <row r="38336" s="9" customFormat="1" ht="21.95" customHeight="1" x14ac:dyDescent="0.15"/>
    <row r="38337" spans="3:3" s="9" customFormat="1" ht="21.95" customHeight="1" x14ac:dyDescent="0.15"/>
    <row r="38338" spans="3:3" s="9" customFormat="1" ht="21.95" customHeight="1" x14ac:dyDescent="0.15"/>
    <row r="38339" spans="3:3" s="9" customFormat="1" ht="21.95" customHeight="1" x14ac:dyDescent="0.15"/>
    <row r="38340" spans="3:3" s="9" customFormat="1" ht="21.95" customHeight="1" x14ac:dyDescent="0.15"/>
    <row r="38341" spans="3:3" s="9" customFormat="1" ht="21.95" customHeight="1" x14ac:dyDescent="0.15"/>
    <row r="38342" spans="3:3" s="9" customFormat="1" ht="21.95" customHeight="1" x14ac:dyDescent="0.15"/>
    <row r="38343" spans="3:3" s="9" customFormat="1" ht="21.95" customHeight="1" x14ac:dyDescent="0.15"/>
    <row r="38344" spans="3:3" s="9" customFormat="1" ht="21.95" customHeight="1" x14ac:dyDescent="0.15"/>
    <row r="38345" spans="3:3" s="9" customFormat="1" ht="21.95" customHeight="1" x14ac:dyDescent="0.15"/>
    <row r="38346" spans="3:3" s="9" customFormat="1" ht="21.95" customHeight="1" x14ac:dyDescent="0.15"/>
    <row r="38347" spans="3:3" s="9" customFormat="1" ht="21.95" customHeight="1" x14ac:dyDescent="0.15"/>
    <row r="38348" spans="3:3" s="9" customFormat="1" ht="21.95" customHeight="1" x14ac:dyDescent="0.15"/>
    <row r="38349" spans="3:3" s="9" customFormat="1" ht="21.95" customHeight="1" x14ac:dyDescent="0.15"/>
    <row r="38350" spans="3:3" s="8" customFormat="1" ht="21.95" customHeight="1" x14ac:dyDescent="0.15"/>
    <row r="38351" spans="3:3" s="8" customFormat="1" ht="21.95" customHeight="1" x14ac:dyDescent="0.15"/>
    <row r="38352" spans="3:3" s="8" customFormat="1" ht="21.95" customHeight="1" x14ac:dyDescent="0.15">
      <c r="C38352" s="101"/>
    </row>
    <row r="38353" spans="3:3" s="8" customFormat="1" ht="21.95" customHeight="1" x14ac:dyDescent="0.15">
      <c r="C38353" s="101"/>
    </row>
    <row r="38354" spans="3:3" s="8" customFormat="1" ht="21.95" customHeight="1" x14ac:dyDescent="0.15"/>
    <row r="38355" spans="3:3" s="8" customFormat="1" ht="21.95" customHeight="1" x14ac:dyDescent="0.15"/>
    <row r="38356" spans="3:3" s="8" customFormat="1" ht="21.95" customHeight="1" x14ac:dyDescent="0.15"/>
    <row r="38357" spans="3:3" s="8" customFormat="1" ht="21.95" customHeight="1" x14ac:dyDescent="0.15"/>
    <row r="38358" spans="3:3" s="8" customFormat="1" ht="21.95" customHeight="1" x14ac:dyDescent="0.15"/>
    <row r="38359" spans="3:3" s="8" customFormat="1" ht="21.95" customHeight="1" x14ac:dyDescent="0.15"/>
    <row r="38360" spans="3:3" s="8" customFormat="1" ht="21.95" customHeight="1" x14ac:dyDescent="0.15"/>
    <row r="38361" spans="3:3" s="9" customFormat="1" ht="21.95" customHeight="1" x14ac:dyDescent="0.15"/>
    <row r="38362" spans="3:3" s="9" customFormat="1" ht="21.95" customHeight="1" x14ac:dyDescent="0.15"/>
    <row r="38363" spans="3:3" s="9" customFormat="1" ht="21.95" customHeight="1" x14ac:dyDescent="0.15"/>
    <row r="38364" spans="3:3" s="9" customFormat="1" ht="21.95" customHeight="1" x14ac:dyDescent="0.15"/>
    <row r="38365" spans="3:3" s="8" customFormat="1" ht="21.95" customHeight="1" x14ac:dyDescent="0.15"/>
    <row r="38366" spans="3:3" s="8" customFormat="1" ht="21.95" customHeight="1" x14ac:dyDescent="0.15"/>
    <row r="38367" spans="3:3" s="8" customFormat="1" ht="21.95" customHeight="1" x14ac:dyDescent="0.15"/>
    <row r="38368" spans="3:3" s="8" customFormat="1" ht="21.95" customHeight="1" x14ac:dyDescent="0.15"/>
    <row r="38369" s="8" customFormat="1" ht="21.95" customHeight="1" x14ac:dyDescent="0.15"/>
    <row r="38370" s="8" customFormat="1" ht="21.95" customHeight="1" x14ac:dyDescent="0.15"/>
    <row r="38371" s="8" customFormat="1" ht="21.95" customHeight="1" x14ac:dyDescent="0.15"/>
    <row r="38372" s="8" customFormat="1" ht="21.95" customHeight="1" x14ac:dyDescent="0.15"/>
    <row r="38373" s="8" customFormat="1" ht="21.95" customHeight="1" x14ac:dyDescent="0.15"/>
    <row r="38374" s="8" customFormat="1" ht="21.95" customHeight="1" x14ac:dyDescent="0.15"/>
    <row r="38375" s="8" customFormat="1" ht="21.95" customHeight="1" x14ac:dyDescent="0.15"/>
    <row r="38376" s="8" customFormat="1" ht="32.1" customHeight="1" x14ac:dyDescent="0.15"/>
    <row r="38377" s="8" customFormat="1" ht="32.1" customHeight="1" x14ac:dyDescent="0.15"/>
    <row r="38378" s="8" customFormat="1" ht="32.1" customHeight="1" x14ac:dyDescent="0.15"/>
    <row r="38379" s="8" customFormat="1" ht="32.1" customHeight="1" x14ac:dyDescent="0.15"/>
    <row r="38380" s="8" customFormat="1" ht="32.1" customHeight="1" x14ac:dyDescent="0.15"/>
    <row r="38381" s="8" customFormat="1" ht="32.1" customHeight="1" x14ac:dyDescent="0.15"/>
    <row r="38382" s="9" customFormat="1" ht="32.1" customHeight="1" x14ac:dyDescent="0.15"/>
    <row r="38383" s="9" customFormat="1" ht="32.1" customHeight="1" x14ac:dyDescent="0.15"/>
    <row r="38384" s="9" customFormat="1" ht="32.1" customHeight="1" x14ac:dyDescent="0.15"/>
    <row r="38385" s="9" customFormat="1" ht="32.1" customHeight="1" x14ac:dyDescent="0.15"/>
    <row r="38386" s="9" customFormat="1" ht="21.95" customHeight="1" x14ac:dyDescent="0.15"/>
    <row r="38387" s="9" customFormat="1" ht="54" customHeight="1" x14ac:dyDescent="0.15"/>
    <row r="38388" s="9" customFormat="1" ht="21.95" customHeight="1" x14ac:dyDescent="0.15"/>
    <row r="38389" s="9" customFormat="1" ht="21.95" customHeight="1" x14ac:dyDescent="0.15"/>
    <row r="38390" s="9" customFormat="1" ht="21.95" customHeight="1" x14ac:dyDescent="0.15"/>
    <row r="38391" s="9" customFormat="1" ht="21.95" customHeight="1" x14ac:dyDescent="0.15"/>
    <row r="38392" s="9" customFormat="1" ht="21.95" customHeight="1" x14ac:dyDescent="0.15"/>
    <row r="38393" s="9" customFormat="1" ht="21.95" customHeight="1" x14ac:dyDescent="0.15"/>
    <row r="38394" s="9" customFormat="1" ht="21.95" customHeight="1" x14ac:dyDescent="0.15"/>
    <row r="38395" s="9" customFormat="1" ht="21.95" customHeight="1" x14ac:dyDescent="0.15"/>
    <row r="38396" s="9" customFormat="1" ht="21.95" customHeight="1" x14ac:dyDescent="0.15"/>
    <row r="38397" s="9" customFormat="1" ht="21.95" customHeight="1" x14ac:dyDescent="0.15"/>
    <row r="38398" s="9" customFormat="1" ht="21.95" customHeight="1" x14ac:dyDescent="0.15"/>
    <row r="38399" s="9" customFormat="1" ht="21.95" customHeight="1" x14ac:dyDescent="0.15"/>
    <row r="38400" s="9" customFormat="1" ht="21.95" customHeight="1" x14ac:dyDescent="0.15"/>
    <row r="38401" s="9" customFormat="1" ht="21.95" customHeight="1" x14ac:dyDescent="0.15"/>
    <row r="38402" s="9" customFormat="1" ht="21.95" customHeight="1" x14ac:dyDescent="0.15"/>
    <row r="38403" s="9" customFormat="1" ht="21.95" customHeight="1" x14ac:dyDescent="0.15"/>
    <row r="38404" s="9" customFormat="1" ht="21.95" customHeight="1" x14ac:dyDescent="0.15"/>
    <row r="38405" s="9" customFormat="1" ht="21.95" customHeight="1" x14ac:dyDescent="0.15"/>
    <row r="38406" s="9" customFormat="1" ht="21.95" customHeight="1" x14ac:dyDescent="0.15"/>
    <row r="38407" s="9" customFormat="1" ht="21.95" customHeight="1" x14ac:dyDescent="0.15"/>
    <row r="38408" s="9" customFormat="1" ht="21.95" customHeight="1" x14ac:dyDescent="0.15"/>
    <row r="38409" s="9" customFormat="1" ht="21.95" customHeight="1" x14ac:dyDescent="0.15"/>
    <row r="38410" s="9" customFormat="1" ht="21.95" customHeight="1" x14ac:dyDescent="0.15"/>
    <row r="38411" s="9" customFormat="1" ht="21.95" customHeight="1" x14ac:dyDescent="0.15"/>
    <row r="38412" s="9" customFormat="1" ht="21.95" customHeight="1" x14ac:dyDescent="0.15"/>
    <row r="38413" s="9" customFormat="1" ht="21.95" customHeight="1" x14ac:dyDescent="0.15"/>
    <row r="38414" s="9" customFormat="1" ht="21.95" customHeight="1" x14ac:dyDescent="0.15"/>
    <row r="38415" s="9" customFormat="1" ht="21.95" customHeight="1" x14ac:dyDescent="0.15"/>
    <row r="38416" s="9" customFormat="1" ht="21.95" customHeight="1" x14ac:dyDescent="0.15"/>
    <row r="38417" s="9" customFormat="1" ht="21.95" customHeight="1" x14ac:dyDescent="0.15"/>
    <row r="38418" s="9" customFormat="1" ht="21.95" customHeight="1" x14ac:dyDescent="0.15"/>
    <row r="38419" s="9" customFormat="1" ht="21.95" customHeight="1" x14ac:dyDescent="0.15"/>
    <row r="38420" s="9" customFormat="1" ht="21.95" customHeight="1" x14ac:dyDescent="0.15"/>
    <row r="38421" s="9" customFormat="1" ht="21.95" customHeight="1" x14ac:dyDescent="0.15"/>
    <row r="38422" s="9" customFormat="1" ht="21.95" customHeight="1" x14ac:dyDescent="0.15"/>
    <row r="38423" s="9" customFormat="1" ht="21.95" customHeight="1" x14ac:dyDescent="0.15"/>
    <row r="38424" s="9" customFormat="1" ht="21.95" customHeight="1" x14ac:dyDescent="0.15"/>
    <row r="38425" s="9" customFormat="1" ht="21.95" customHeight="1" x14ac:dyDescent="0.15"/>
    <row r="38426" s="9" customFormat="1" ht="21.95" customHeight="1" x14ac:dyDescent="0.15"/>
    <row r="38427" s="9" customFormat="1" ht="21.95" customHeight="1" x14ac:dyDescent="0.15"/>
    <row r="38428" s="9" customFormat="1" ht="21.95" customHeight="1" x14ac:dyDescent="0.15"/>
    <row r="38429" s="9" customFormat="1" ht="21.95" customHeight="1" x14ac:dyDescent="0.15"/>
    <row r="38430" s="9" customFormat="1" ht="21.95" customHeight="1" x14ac:dyDescent="0.15"/>
    <row r="38431" s="9" customFormat="1" ht="21.95" customHeight="1" x14ac:dyDescent="0.15"/>
    <row r="38432" s="9" customFormat="1" ht="21.95" customHeight="1" x14ac:dyDescent="0.15"/>
    <row r="38433" s="9" customFormat="1" ht="21.95" customHeight="1" x14ac:dyDescent="0.15"/>
    <row r="38434" s="9" customFormat="1" ht="21.95" customHeight="1" x14ac:dyDescent="0.15"/>
    <row r="38435" s="9" customFormat="1" ht="21.95" customHeight="1" x14ac:dyDescent="0.15"/>
    <row r="38436" s="9" customFormat="1" ht="21.95" customHeight="1" x14ac:dyDescent="0.15"/>
    <row r="38437" s="9" customFormat="1" ht="21.95" customHeight="1" x14ac:dyDescent="0.15"/>
    <row r="38438" s="9" customFormat="1" ht="35.1" customHeight="1" x14ac:dyDescent="0.15"/>
    <row r="38439" s="9" customFormat="1" ht="21.95" customHeight="1" x14ac:dyDescent="0.15"/>
    <row r="38440" s="9" customFormat="1" ht="21.95" customHeight="1" x14ac:dyDescent="0.15"/>
    <row r="38441" s="9" customFormat="1" ht="21.95" customHeight="1" x14ac:dyDescent="0.15"/>
    <row r="38442" s="9" customFormat="1" ht="21.95" customHeight="1" x14ac:dyDescent="0.15"/>
    <row r="38443" s="9" customFormat="1" ht="21.95" customHeight="1" x14ac:dyDescent="0.15"/>
    <row r="38444" s="9" customFormat="1" ht="21.95" customHeight="1" x14ac:dyDescent="0.15"/>
    <row r="38445" s="9" customFormat="1" ht="21.95" customHeight="1" x14ac:dyDescent="0.15"/>
    <row r="38446" s="9" customFormat="1" ht="21.95" customHeight="1" x14ac:dyDescent="0.15"/>
    <row r="38447" s="9" customFormat="1" ht="21.95" customHeight="1" x14ac:dyDescent="0.15"/>
    <row r="38448" s="9" customFormat="1" ht="21.95" customHeight="1" x14ac:dyDescent="0.15"/>
    <row r="38449" spans="3:3" s="9" customFormat="1" ht="21.95" customHeight="1" x14ac:dyDescent="0.15"/>
    <row r="38450" spans="3:3" s="9" customFormat="1" ht="21.95" customHeight="1" x14ac:dyDescent="0.15"/>
    <row r="38451" spans="3:3" s="9" customFormat="1" ht="21.95" customHeight="1" x14ac:dyDescent="0.15"/>
    <row r="38452" spans="3:3" s="9" customFormat="1" ht="21.95" customHeight="1" x14ac:dyDescent="0.15"/>
    <row r="38453" spans="3:3" s="9" customFormat="1" ht="21.95" customHeight="1" x14ac:dyDescent="0.15"/>
    <row r="38454" spans="3:3" s="9" customFormat="1" ht="21.95" customHeight="1" x14ac:dyDescent="0.15"/>
    <row r="38455" spans="3:3" s="9" customFormat="1" ht="21.95" customHeight="1" x14ac:dyDescent="0.15"/>
    <row r="38456" spans="3:3" s="9" customFormat="1" ht="21.95" customHeight="1" x14ac:dyDescent="0.15"/>
    <row r="38457" spans="3:3" s="9" customFormat="1" ht="21.95" customHeight="1" x14ac:dyDescent="0.15"/>
    <row r="38458" spans="3:3" s="9" customFormat="1" ht="21.95" customHeight="1" x14ac:dyDescent="0.15"/>
    <row r="38459" spans="3:3" s="9" customFormat="1" ht="21.95" customHeight="1" x14ac:dyDescent="0.15"/>
    <row r="38460" spans="3:3" s="9" customFormat="1" ht="21.95" customHeight="1" x14ac:dyDescent="0.15"/>
    <row r="38461" spans="3:3" s="9" customFormat="1" ht="21.95" customHeight="1" x14ac:dyDescent="0.15"/>
    <row r="38462" spans="3:3" s="8" customFormat="1" ht="21.95" customHeight="1" x14ac:dyDescent="0.15"/>
    <row r="38463" spans="3:3" s="8" customFormat="1" ht="21.95" customHeight="1" x14ac:dyDescent="0.15"/>
    <row r="38464" spans="3:3" s="8" customFormat="1" ht="21.95" customHeight="1" x14ac:dyDescent="0.15">
      <c r="C38464" s="101"/>
    </row>
    <row r="38465" spans="3:3" s="8" customFormat="1" ht="21.95" customHeight="1" x14ac:dyDescent="0.15">
      <c r="C38465" s="101"/>
    </row>
    <row r="38466" spans="3:3" s="8" customFormat="1" ht="21.95" customHeight="1" x14ac:dyDescent="0.15"/>
    <row r="38467" spans="3:3" s="8" customFormat="1" ht="21.95" customHeight="1" x14ac:dyDescent="0.15"/>
    <row r="38468" spans="3:3" s="8" customFormat="1" ht="21.95" customHeight="1" x14ac:dyDescent="0.15"/>
    <row r="38469" spans="3:3" s="8" customFormat="1" ht="21.95" customHeight="1" x14ac:dyDescent="0.15"/>
    <row r="38470" spans="3:3" s="8" customFormat="1" ht="21.95" customHeight="1" x14ac:dyDescent="0.15"/>
    <row r="38471" spans="3:3" s="8" customFormat="1" ht="21.95" customHeight="1" x14ac:dyDescent="0.15"/>
    <row r="38472" spans="3:3" s="8" customFormat="1" ht="21.95" customHeight="1" x14ac:dyDescent="0.15"/>
    <row r="38473" spans="3:3" s="9" customFormat="1" ht="21.95" customHeight="1" x14ac:dyDescent="0.15"/>
    <row r="38474" spans="3:3" s="9" customFormat="1" ht="21.95" customHeight="1" x14ac:dyDescent="0.15"/>
    <row r="38475" spans="3:3" s="9" customFormat="1" ht="21.95" customHeight="1" x14ac:dyDescent="0.15"/>
    <row r="38476" spans="3:3" s="9" customFormat="1" ht="21.95" customHeight="1" x14ac:dyDescent="0.15"/>
    <row r="38477" spans="3:3" s="8" customFormat="1" ht="21.95" customHeight="1" x14ac:dyDescent="0.15"/>
    <row r="38478" spans="3:3" s="8" customFormat="1" ht="21.95" customHeight="1" x14ac:dyDescent="0.15"/>
    <row r="38479" spans="3:3" s="8" customFormat="1" ht="21.95" customHeight="1" x14ac:dyDescent="0.15"/>
    <row r="38480" spans="3:3" s="8" customFormat="1" ht="21.95" customHeight="1" x14ac:dyDescent="0.15"/>
    <row r="38481" s="8" customFormat="1" ht="21.95" customHeight="1" x14ac:dyDescent="0.15"/>
    <row r="38482" s="8" customFormat="1" ht="21.95" customHeight="1" x14ac:dyDescent="0.15"/>
    <row r="38483" s="8" customFormat="1" ht="21.95" customHeight="1" x14ac:dyDescent="0.15"/>
    <row r="38484" s="8" customFormat="1" ht="21.95" customHeight="1" x14ac:dyDescent="0.15"/>
    <row r="38485" s="8" customFormat="1" ht="21.95" customHeight="1" x14ac:dyDescent="0.15"/>
    <row r="38486" s="8" customFormat="1" ht="21.95" customHeight="1" x14ac:dyDescent="0.15"/>
    <row r="38487" s="8" customFormat="1" ht="21.95" customHeight="1" x14ac:dyDescent="0.15"/>
    <row r="38488" s="8" customFormat="1" ht="32.1" customHeight="1" x14ac:dyDescent="0.15"/>
    <row r="38489" s="8" customFormat="1" ht="32.1" customHeight="1" x14ac:dyDescent="0.15"/>
    <row r="38490" s="8" customFormat="1" ht="32.1" customHeight="1" x14ac:dyDescent="0.15"/>
    <row r="38491" s="8" customFormat="1" ht="32.1" customHeight="1" x14ac:dyDescent="0.15"/>
    <row r="38492" s="8" customFormat="1" ht="32.1" customHeight="1" x14ac:dyDescent="0.15"/>
    <row r="38493" s="8" customFormat="1" ht="32.1" customHeight="1" x14ac:dyDescent="0.15"/>
    <row r="38494" s="9" customFormat="1" ht="32.1" customHeight="1" x14ac:dyDescent="0.15"/>
    <row r="38495" s="9" customFormat="1" ht="32.1" customHeight="1" x14ac:dyDescent="0.15"/>
    <row r="38496" s="9" customFormat="1" ht="32.1" customHeight="1" x14ac:dyDescent="0.15"/>
    <row r="38497" s="9" customFormat="1" ht="32.1" customHeight="1" x14ac:dyDescent="0.15"/>
    <row r="38498" s="9" customFormat="1" ht="21.95" customHeight="1" x14ac:dyDescent="0.15"/>
    <row r="38499" s="9" customFormat="1" ht="54" customHeight="1" x14ac:dyDescent="0.15"/>
    <row r="38500" s="9" customFormat="1" ht="21.95" customHeight="1" x14ac:dyDescent="0.15"/>
    <row r="38501" s="9" customFormat="1" ht="21.95" customHeight="1" x14ac:dyDescent="0.15"/>
    <row r="38502" s="9" customFormat="1" ht="21.95" customHeight="1" x14ac:dyDescent="0.15"/>
    <row r="38503" s="9" customFormat="1" ht="21.95" customHeight="1" x14ac:dyDescent="0.15"/>
    <row r="38504" s="9" customFormat="1" ht="21.95" customHeight="1" x14ac:dyDescent="0.15"/>
    <row r="38505" s="9" customFormat="1" ht="21.95" customHeight="1" x14ac:dyDescent="0.15"/>
    <row r="38506" s="9" customFormat="1" ht="21.95" customHeight="1" x14ac:dyDescent="0.15"/>
    <row r="38507" s="9" customFormat="1" ht="21.95" customHeight="1" x14ac:dyDescent="0.15"/>
    <row r="38508" s="9" customFormat="1" ht="21.95" customHeight="1" x14ac:dyDescent="0.15"/>
    <row r="38509" s="9" customFormat="1" ht="21.95" customHeight="1" x14ac:dyDescent="0.15"/>
    <row r="38510" s="9" customFormat="1" ht="21.95" customHeight="1" x14ac:dyDescent="0.15"/>
    <row r="38511" s="9" customFormat="1" ht="21.95" customHeight="1" x14ac:dyDescent="0.15"/>
    <row r="38512" s="9" customFormat="1" ht="21.95" customHeight="1" x14ac:dyDescent="0.15"/>
    <row r="38513" s="9" customFormat="1" ht="21.95" customHeight="1" x14ac:dyDescent="0.15"/>
    <row r="38514" s="9" customFormat="1" ht="21.95" customHeight="1" x14ac:dyDescent="0.15"/>
    <row r="38515" s="9" customFormat="1" ht="21.95" customHeight="1" x14ac:dyDescent="0.15"/>
    <row r="38516" s="9" customFormat="1" ht="21.95" customHeight="1" x14ac:dyDescent="0.15"/>
    <row r="38517" s="9" customFormat="1" ht="21.95" customHeight="1" x14ac:dyDescent="0.15"/>
    <row r="38518" s="9" customFormat="1" ht="21.95" customHeight="1" x14ac:dyDescent="0.15"/>
    <row r="38519" s="9" customFormat="1" ht="21.95" customHeight="1" x14ac:dyDescent="0.15"/>
    <row r="38520" s="9" customFormat="1" ht="21.95" customHeight="1" x14ac:dyDescent="0.15"/>
    <row r="38521" s="9" customFormat="1" ht="21.95" customHeight="1" x14ac:dyDescent="0.15"/>
    <row r="38522" s="9" customFormat="1" ht="21.95" customHeight="1" x14ac:dyDescent="0.15"/>
    <row r="38523" s="9" customFormat="1" ht="21.95" customHeight="1" x14ac:dyDescent="0.15"/>
    <row r="38524" s="9" customFormat="1" ht="21.95" customHeight="1" x14ac:dyDescent="0.15"/>
    <row r="38525" s="9" customFormat="1" ht="21.95" customHeight="1" x14ac:dyDescent="0.15"/>
    <row r="38526" s="9" customFormat="1" ht="21.95" customHeight="1" x14ac:dyDescent="0.15"/>
    <row r="38527" s="9" customFormat="1" ht="21.95" customHeight="1" x14ac:dyDescent="0.15"/>
    <row r="38528" s="9" customFormat="1" ht="21.95" customHeight="1" x14ac:dyDescent="0.15"/>
    <row r="38529" s="9" customFormat="1" ht="21.95" customHeight="1" x14ac:dyDescent="0.15"/>
    <row r="38530" s="9" customFormat="1" ht="21.95" customHeight="1" x14ac:dyDescent="0.15"/>
    <row r="38531" s="9" customFormat="1" ht="21.95" customHeight="1" x14ac:dyDescent="0.15"/>
    <row r="38532" s="9" customFormat="1" ht="21.95" customHeight="1" x14ac:dyDescent="0.15"/>
    <row r="38533" s="9" customFormat="1" ht="21.95" customHeight="1" x14ac:dyDescent="0.15"/>
    <row r="38534" s="9" customFormat="1" ht="21.95" customHeight="1" x14ac:dyDescent="0.15"/>
    <row r="38535" s="9" customFormat="1" ht="21.95" customHeight="1" x14ac:dyDescent="0.15"/>
    <row r="38536" s="9" customFormat="1" ht="21.95" customHeight="1" x14ac:dyDescent="0.15"/>
    <row r="38537" s="9" customFormat="1" ht="21.95" customHeight="1" x14ac:dyDescent="0.15"/>
    <row r="38538" s="9" customFormat="1" ht="21.95" customHeight="1" x14ac:dyDescent="0.15"/>
    <row r="38539" s="9" customFormat="1" ht="21.95" customHeight="1" x14ac:dyDescent="0.15"/>
    <row r="38540" s="9" customFormat="1" ht="21.95" customHeight="1" x14ac:dyDescent="0.15"/>
    <row r="38541" s="9" customFormat="1" ht="21.95" customHeight="1" x14ac:dyDescent="0.15"/>
    <row r="38542" s="9" customFormat="1" ht="21.95" customHeight="1" x14ac:dyDescent="0.15"/>
    <row r="38543" s="9" customFormat="1" ht="21.95" customHeight="1" x14ac:dyDescent="0.15"/>
    <row r="38544" s="9" customFormat="1" ht="21.95" customHeight="1" x14ac:dyDescent="0.15"/>
    <row r="38545" s="9" customFormat="1" ht="21.95" customHeight="1" x14ac:dyDescent="0.15"/>
    <row r="38546" s="9" customFormat="1" ht="21.95" customHeight="1" x14ac:dyDescent="0.15"/>
    <row r="38547" s="9" customFormat="1" ht="21.95" customHeight="1" x14ac:dyDescent="0.15"/>
    <row r="38548" s="9" customFormat="1" ht="21.95" customHeight="1" x14ac:dyDescent="0.15"/>
    <row r="38549" s="9" customFormat="1" ht="21.95" customHeight="1" x14ac:dyDescent="0.15"/>
    <row r="38550" s="9" customFormat="1" ht="35.1" customHeight="1" x14ac:dyDescent="0.15"/>
    <row r="38551" s="9" customFormat="1" ht="21.95" customHeight="1" x14ac:dyDescent="0.15"/>
    <row r="38552" s="9" customFormat="1" ht="21.95" customHeight="1" x14ac:dyDescent="0.15"/>
    <row r="38553" s="9" customFormat="1" ht="21.95" customHeight="1" x14ac:dyDescent="0.15"/>
    <row r="38554" s="9" customFormat="1" ht="21.95" customHeight="1" x14ac:dyDescent="0.15"/>
    <row r="38555" s="9" customFormat="1" ht="21.95" customHeight="1" x14ac:dyDescent="0.15"/>
    <row r="38556" s="9" customFormat="1" ht="21.95" customHeight="1" x14ac:dyDescent="0.15"/>
    <row r="38557" s="9" customFormat="1" ht="21.95" customHeight="1" x14ac:dyDescent="0.15"/>
    <row r="38558" s="9" customFormat="1" ht="21.95" customHeight="1" x14ac:dyDescent="0.15"/>
    <row r="38559" s="9" customFormat="1" ht="21.95" customHeight="1" x14ac:dyDescent="0.15"/>
    <row r="38560" s="9" customFormat="1" ht="21.95" customHeight="1" x14ac:dyDescent="0.15"/>
    <row r="38561" spans="3:3" s="9" customFormat="1" ht="21.95" customHeight="1" x14ac:dyDescent="0.15"/>
    <row r="38562" spans="3:3" s="9" customFormat="1" ht="21.95" customHeight="1" x14ac:dyDescent="0.15"/>
    <row r="38563" spans="3:3" s="9" customFormat="1" ht="21.95" customHeight="1" x14ac:dyDescent="0.15"/>
    <row r="38564" spans="3:3" s="9" customFormat="1" ht="21.95" customHeight="1" x14ac:dyDescent="0.15"/>
    <row r="38565" spans="3:3" s="9" customFormat="1" ht="21.95" customHeight="1" x14ac:dyDescent="0.15"/>
    <row r="38566" spans="3:3" s="9" customFormat="1" ht="21.95" customHeight="1" x14ac:dyDescent="0.15"/>
    <row r="38567" spans="3:3" s="9" customFormat="1" ht="21.95" customHeight="1" x14ac:dyDescent="0.15"/>
    <row r="38568" spans="3:3" s="9" customFormat="1" ht="21.95" customHeight="1" x14ac:dyDescent="0.15"/>
    <row r="38569" spans="3:3" s="9" customFormat="1" ht="21.95" customHeight="1" x14ac:dyDescent="0.15"/>
    <row r="38570" spans="3:3" s="9" customFormat="1" ht="21.95" customHeight="1" x14ac:dyDescent="0.15"/>
    <row r="38571" spans="3:3" s="9" customFormat="1" ht="21.95" customHeight="1" x14ac:dyDescent="0.15"/>
    <row r="38572" spans="3:3" s="9" customFormat="1" ht="21.95" customHeight="1" x14ac:dyDescent="0.15"/>
    <row r="38573" spans="3:3" s="9" customFormat="1" ht="21.95" customHeight="1" x14ac:dyDescent="0.15"/>
    <row r="38574" spans="3:3" s="8" customFormat="1" ht="21.95" customHeight="1" x14ac:dyDescent="0.15"/>
    <row r="38575" spans="3:3" s="8" customFormat="1" ht="21.95" customHeight="1" x14ac:dyDescent="0.15"/>
    <row r="38576" spans="3:3" s="8" customFormat="1" ht="21.95" customHeight="1" x14ac:dyDescent="0.15">
      <c r="C38576" s="101"/>
    </row>
    <row r="38577" spans="3:3" s="8" customFormat="1" ht="21.95" customHeight="1" x14ac:dyDescent="0.15">
      <c r="C38577" s="101"/>
    </row>
    <row r="38578" spans="3:3" s="8" customFormat="1" ht="21.95" customHeight="1" x14ac:dyDescent="0.15"/>
    <row r="38579" spans="3:3" s="8" customFormat="1" ht="21.95" customHeight="1" x14ac:dyDescent="0.15"/>
    <row r="38580" spans="3:3" s="8" customFormat="1" ht="21.95" customHeight="1" x14ac:dyDescent="0.15"/>
    <row r="38581" spans="3:3" s="8" customFormat="1" ht="21.95" customHeight="1" x14ac:dyDescent="0.15"/>
    <row r="38582" spans="3:3" s="8" customFormat="1" ht="21.95" customHeight="1" x14ac:dyDescent="0.15"/>
    <row r="38583" spans="3:3" s="8" customFormat="1" ht="21.95" customHeight="1" x14ac:dyDescent="0.15"/>
    <row r="38584" spans="3:3" s="8" customFormat="1" ht="21.95" customHeight="1" x14ac:dyDescent="0.15"/>
    <row r="38585" spans="3:3" s="9" customFormat="1" ht="21.95" customHeight="1" x14ac:dyDescent="0.15"/>
    <row r="38586" spans="3:3" s="9" customFormat="1" ht="21.95" customHeight="1" x14ac:dyDescent="0.15"/>
    <row r="38587" spans="3:3" s="9" customFormat="1" ht="21.95" customHeight="1" x14ac:dyDescent="0.15"/>
    <row r="38588" spans="3:3" s="9" customFormat="1" ht="21.95" customHeight="1" x14ac:dyDescent="0.15"/>
    <row r="38589" spans="3:3" s="8" customFormat="1" ht="21.95" customHeight="1" x14ac:dyDescent="0.15"/>
    <row r="38590" spans="3:3" s="8" customFormat="1" ht="21.95" customHeight="1" x14ac:dyDescent="0.15"/>
    <row r="38591" spans="3:3" s="8" customFormat="1" ht="21.95" customHeight="1" x14ac:dyDescent="0.15"/>
    <row r="38592" spans="3:3" s="8" customFormat="1" ht="21.95" customHeight="1" x14ac:dyDescent="0.15"/>
    <row r="38593" s="8" customFormat="1" ht="21.95" customHeight="1" x14ac:dyDescent="0.15"/>
    <row r="38594" s="8" customFormat="1" ht="21.95" customHeight="1" x14ac:dyDescent="0.15"/>
    <row r="38595" s="8" customFormat="1" ht="21.95" customHeight="1" x14ac:dyDescent="0.15"/>
    <row r="38596" s="8" customFormat="1" ht="21.95" customHeight="1" x14ac:dyDescent="0.15"/>
    <row r="38597" s="8" customFormat="1" ht="21.95" customHeight="1" x14ac:dyDescent="0.15"/>
    <row r="38598" s="8" customFormat="1" ht="21.95" customHeight="1" x14ac:dyDescent="0.15"/>
    <row r="38599" s="8" customFormat="1" ht="21.95" customHeight="1" x14ac:dyDescent="0.15"/>
    <row r="38600" s="8" customFormat="1" ht="32.1" customHeight="1" x14ac:dyDescent="0.15"/>
    <row r="38601" s="8" customFormat="1" ht="32.1" customHeight="1" x14ac:dyDescent="0.15"/>
    <row r="38602" s="8" customFormat="1" ht="32.1" customHeight="1" x14ac:dyDescent="0.15"/>
    <row r="38603" s="8" customFormat="1" ht="32.1" customHeight="1" x14ac:dyDescent="0.15"/>
    <row r="38604" s="8" customFormat="1" ht="32.1" customHeight="1" x14ac:dyDescent="0.15"/>
    <row r="38605" s="8" customFormat="1" ht="32.1" customHeight="1" x14ac:dyDescent="0.15"/>
    <row r="38606" s="9" customFormat="1" ht="32.1" customHeight="1" x14ac:dyDescent="0.15"/>
    <row r="38607" s="9" customFormat="1" ht="32.1" customHeight="1" x14ac:dyDescent="0.15"/>
    <row r="38608" s="9" customFormat="1" ht="32.1" customHeight="1" x14ac:dyDescent="0.15"/>
    <row r="38609" s="9" customFormat="1" ht="32.1" customHeight="1" x14ac:dyDescent="0.15"/>
    <row r="38610" s="9" customFormat="1" ht="21.95" customHeight="1" x14ac:dyDescent="0.15"/>
    <row r="38611" s="9" customFormat="1" ht="54" customHeight="1" x14ac:dyDescent="0.15"/>
    <row r="38612" s="9" customFormat="1" ht="21.95" customHeight="1" x14ac:dyDescent="0.15"/>
    <row r="38613" s="9" customFormat="1" ht="21.95" customHeight="1" x14ac:dyDescent="0.15"/>
    <row r="38614" s="9" customFormat="1" ht="21.95" customHeight="1" x14ac:dyDescent="0.15"/>
    <row r="38615" s="9" customFormat="1" ht="21.95" customHeight="1" x14ac:dyDescent="0.15"/>
    <row r="38616" s="9" customFormat="1" ht="21.95" customHeight="1" x14ac:dyDescent="0.15"/>
    <row r="38617" s="9" customFormat="1" ht="21.95" customHeight="1" x14ac:dyDescent="0.15"/>
    <row r="38618" s="9" customFormat="1" ht="21.95" customHeight="1" x14ac:dyDescent="0.15"/>
    <row r="38619" s="9" customFormat="1" ht="21.95" customHeight="1" x14ac:dyDescent="0.15"/>
    <row r="38620" s="9" customFormat="1" ht="21.95" customHeight="1" x14ac:dyDescent="0.15"/>
    <row r="38621" s="9" customFormat="1" ht="21.95" customHeight="1" x14ac:dyDescent="0.15"/>
    <row r="38622" s="9" customFormat="1" ht="21.95" customHeight="1" x14ac:dyDescent="0.15"/>
    <row r="38623" s="9" customFormat="1" ht="21.95" customHeight="1" x14ac:dyDescent="0.15"/>
    <row r="38624" s="9" customFormat="1" ht="21.95" customHeight="1" x14ac:dyDescent="0.15"/>
    <row r="38625" s="9" customFormat="1" ht="21.95" customHeight="1" x14ac:dyDescent="0.15"/>
    <row r="38626" s="9" customFormat="1" ht="21.95" customHeight="1" x14ac:dyDescent="0.15"/>
    <row r="38627" s="9" customFormat="1" ht="21.95" customHeight="1" x14ac:dyDescent="0.15"/>
    <row r="38628" s="9" customFormat="1" ht="21.95" customHeight="1" x14ac:dyDescent="0.15"/>
    <row r="38629" s="9" customFormat="1" ht="21.95" customHeight="1" x14ac:dyDescent="0.15"/>
    <row r="38630" s="9" customFormat="1" ht="21.95" customHeight="1" x14ac:dyDescent="0.15"/>
    <row r="38631" s="9" customFormat="1" ht="21.95" customHeight="1" x14ac:dyDescent="0.15"/>
    <row r="38632" s="9" customFormat="1" ht="21.95" customHeight="1" x14ac:dyDescent="0.15"/>
    <row r="38633" s="9" customFormat="1" ht="21.95" customHeight="1" x14ac:dyDescent="0.15"/>
    <row r="38634" s="9" customFormat="1" ht="21.95" customHeight="1" x14ac:dyDescent="0.15"/>
    <row r="38635" s="9" customFormat="1" ht="21.95" customHeight="1" x14ac:dyDescent="0.15"/>
    <row r="38636" s="9" customFormat="1" ht="21.95" customHeight="1" x14ac:dyDescent="0.15"/>
    <row r="38637" s="9" customFormat="1" ht="21.95" customHeight="1" x14ac:dyDescent="0.15"/>
    <row r="38638" s="9" customFormat="1" ht="21.95" customHeight="1" x14ac:dyDescent="0.15"/>
    <row r="38639" s="9" customFormat="1" ht="21.95" customHeight="1" x14ac:dyDescent="0.15"/>
    <row r="38640" s="9" customFormat="1" ht="21.95" customHeight="1" x14ac:dyDescent="0.15"/>
    <row r="38641" s="9" customFormat="1" ht="21.95" customHeight="1" x14ac:dyDescent="0.15"/>
    <row r="38642" s="9" customFormat="1" ht="21.95" customHeight="1" x14ac:dyDescent="0.15"/>
    <row r="38643" s="9" customFormat="1" ht="21.95" customHeight="1" x14ac:dyDescent="0.15"/>
    <row r="38644" s="9" customFormat="1" ht="21.95" customHeight="1" x14ac:dyDescent="0.15"/>
    <row r="38645" s="9" customFormat="1" ht="21.95" customHeight="1" x14ac:dyDescent="0.15"/>
    <row r="38646" s="9" customFormat="1" ht="21.95" customHeight="1" x14ac:dyDescent="0.15"/>
    <row r="38647" s="9" customFormat="1" ht="21.95" customHeight="1" x14ac:dyDescent="0.15"/>
    <row r="38648" s="9" customFormat="1" ht="21.95" customHeight="1" x14ac:dyDescent="0.15"/>
    <row r="38649" s="9" customFormat="1" ht="21.95" customHeight="1" x14ac:dyDescent="0.15"/>
    <row r="38650" s="9" customFormat="1" ht="21.95" customHeight="1" x14ac:dyDescent="0.15"/>
    <row r="38651" s="9" customFormat="1" ht="21.95" customHeight="1" x14ac:dyDescent="0.15"/>
    <row r="38652" s="9" customFormat="1" ht="21.95" customHeight="1" x14ac:dyDescent="0.15"/>
    <row r="38653" s="9" customFormat="1" ht="21.95" customHeight="1" x14ac:dyDescent="0.15"/>
    <row r="38654" s="9" customFormat="1" ht="21.95" customHeight="1" x14ac:dyDescent="0.15"/>
    <row r="38655" s="9" customFormat="1" ht="21.95" customHeight="1" x14ac:dyDescent="0.15"/>
    <row r="38656" s="9" customFormat="1" ht="21.95" customHeight="1" x14ac:dyDescent="0.15"/>
    <row r="38657" s="9" customFormat="1" ht="21.95" customHeight="1" x14ac:dyDescent="0.15"/>
    <row r="38658" s="9" customFormat="1" ht="21.95" customHeight="1" x14ac:dyDescent="0.15"/>
    <row r="38659" s="9" customFormat="1" ht="21.95" customHeight="1" x14ac:dyDescent="0.15"/>
    <row r="38660" s="9" customFormat="1" ht="21.95" customHeight="1" x14ac:dyDescent="0.15"/>
    <row r="38661" s="9" customFormat="1" ht="21.95" customHeight="1" x14ac:dyDescent="0.15"/>
    <row r="38662" s="9" customFormat="1" ht="35.1" customHeight="1" x14ac:dyDescent="0.15"/>
    <row r="38663" s="9" customFormat="1" ht="21.95" customHeight="1" x14ac:dyDescent="0.15"/>
    <row r="38664" s="9" customFormat="1" ht="21.95" customHeight="1" x14ac:dyDescent="0.15"/>
    <row r="38665" s="9" customFormat="1" ht="21.95" customHeight="1" x14ac:dyDescent="0.15"/>
    <row r="38666" s="9" customFormat="1" ht="21.95" customHeight="1" x14ac:dyDescent="0.15"/>
    <row r="38667" s="9" customFormat="1" ht="21.95" customHeight="1" x14ac:dyDescent="0.15"/>
    <row r="38668" s="9" customFormat="1" ht="21.95" customHeight="1" x14ac:dyDescent="0.15"/>
    <row r="38669" s="9" customFormat="1" ht="21.95" customHeight="1" x14ac:dyDescent="0.15"/>
    <row r="38670" s="9" customFormat="1" ht="21.95" customHeight="1" x14ac:dyDescent="0.15"/>
    <row r="38671" s="9" customFormat="1" ht="21.95" customHeight="1" x14ac:dyDescent="0.15"/>
    <row r="38672" s="9" customFormat="1" ht="21.95" customHeight="1" x14ac:dyDescent="0.15"/>
    <row r="38673" spans="3:3" s="9" customFormat="1" ht="21.95" customHeight="1" x14ac:dyDescent="0.15"/>
    <row r="38674" spans="3:3" s="9" customFormat="1" ht="21.95" customHeight="1" x14ac:dyDescent="0.15"/>
    <row r="38675" spans="3:3" s="9" customFormat="1" ht="21.95" customHeight="1" x14ac:dyDescent="0.15"/>
    <row r="38676" spans="3:3" s="9" customFormat="1" ht="21.95" customHeight="1" x14ac:dyDescent="0.15"/>
    <row r="38677" spans="3:3" s="9" customFormat="1" ht="21.95" customHeight="1" x14ac:dyDescent="0.15"/>
    <row r="38678" spans="3:3" s="9" customFormat="1" ht="21.95" customHeight="1" x14ac:dyDescent="0.15"/>
    <row r="38679" spans="3:3" s="9" customFormat="1" ht="21.95" customHeight="1" x14ac:dyDescent="0.15"/>
    <row r="38680" spans="3:3" s="9" customFormat="1" ht="21.95" customHeight="1" x14ac:dyDescent="0.15"/>
    <row r="38681" spans="3:3" s="9" customFormat="1" ht="21.95" customHeight="1" x14ac:dyDescent="0.15"/>
    <row r="38682" spans="3:3" s="9" customFormat="1" ht="21.95" customHeight="1" x14ac:dyDescent="0.15"/>
    <row r="38683" spans="3:3" s="9" customFormat="1" ht="21.95" customHeight="1" x14ac:dyDescent="0.15"/>
    <row r="38684" spans="3:3" s="9" customFormat="1" ht="21.95" customHeight="1" x14ac:dyDescent="0.15"/>
    <row r="38685" spans="3:3" s="9" customFormat="1" ht="21.95" customHeight="1" x14ac:dyDescent="0.15"/>
    <row r="38686" spans="3:3" s="8" customFormat="1" ht="21.95" customHeight="1" x14ac:dyDescent="0.15"/>
    <row r="38687" spans="3:3" s="8" customFormat="1" ht="21.95" customHeight="1" x14ac:dyDescent="0.15"/>
    <row r="38688" spans="3:3" s="8" customFormat="1" ht="21.95" customHeight="1" x14ac:dyDescent="0.15">
      <c r="C38688" s="101"/>
    </row>
    <row r="38689" spans="3:3" s="8" customFormat="1" ht="21.95" customHeight="1" x14ac:dyDescent="0.15">
      <c r="C38689" s="101"/>
    </row>
    <row r="38690" spans="3:3" s="8" customFormat="1" ht="21.95" customHeight="1" x14ac:dyDescent="0.15"/>
    <row r="38691" spans="3:3" s="8" customFormat="1" ht="21.95" customHeight="1" x14ac:dyDescent="0.15"/>
    <row r="38692" spans="3:3" s="8" customFormat="1" ht="21.95" customHeight="1" x14ac:dyDescent="0.15"/>
    <row r="38693" spans="3:3" s="8" customFormat="1" ht="21.95" customHeight="1" x14ac:dyDescent="0.15"/>
    <row r="38694" spans="3:3" s="8" customFormat="1" ht="21.95" customHeight="1" x14ac:dyDescent="0.15"/>
    <row r="38695" spans="3:3" s="8" customFormat="1" ht="21.95" customHeight="1" x14ac:dyDescent="0.15"/>
    <row r="38696" spans="3:3" s="8" customFormat="1" ht="21.95" customHeight="1" x14ac:dyDescent="0.15"/>
    <row r="38697" spans="3:3" s="9" customFormat="1" ht="21.95" customHeight="1" x14ac:dyDescent="0.15"/>
    <row r="38698" spans="3:3" s="9" customFormat="1" ht="21.95" customHeight="1" x14ac:dyDescent="0.15"/>
    <row r="38699" spans="3:3" s="9" customFormat="1" ht="21.95" customHeight="1" x14ac:dyDescent="0.15"/>
    <row r="38700" spans="3:3" s="9" customFormat="1" ht="21.95" customHeight="1" x14ac:dyDescent="0.15"/>
    <row r="38701" spans="3:3" s="8" customFormat="1" ht="21.95" customHeight="1" x14ac:dyDescent="0.15"/>
    <row r="38702" spans="3:3" s="8" customFormat="1" ht="21.95" customHeight="1" x14ac:dyDescent="0.15"/>
    <row r="38703" spans="3:3" s="8" customFormat="1" ht="21.95" customHeight="1" x14ac:dyDescent="0.15"/>
    <row r="38704" spans="3:3" s="8" customFormat="1" ht="21.95" customHeight="1" x14ac:dyDescent="0.15"/>
    <row r="38705" s="8" customFormat="1" ht="21.95" customHeight="1" x14ac:dyDescent="0.15"/>
    <row r="38706" s="8" customFormat="1" ht="21.95" customHeight="1" x14ac:dyDescent="0.15"/>
    <row r="38707" s="8" customFormat="1" ht="21.95" customHeight="1" x14ac:dyDescent="0.15"/>
    <row r="38708" s="8" customFormat="1" ht="21.95" customHeight="1" x14ac:dyDescent="0.15"/>
    <row r="38709" s="8" customFormat="1" ht="21.95" customHeight="1" x14ac:dyDescent="0.15"/>
    <row r="38710" s="8" customFormat="1" ht="21.95" customHeight="1" x14ac:dyDescent="0.15"/>
    <row r="38711" s="8" customFormat="1" ht="21.95" customHeight="1" x14ac:dyDescent="0.15"/>
    <row r="38712" s="8" customFormat="1" ht="32.1" customHeight="1" x14ac:dyDescent="0.15"/>
    <row r="38713" s="8" customFormat="1" ht="32.1" customHeight="1" x14ac:dyDescent="0.15"/>
    <row r="38714" s="8" customFormat="1" ht="32.1" customHeight="1" x14ac:dyDescent="0.15"/>
    <row r="38715" s="8" customFormat="1" ht="32.1" customHeight="1" x14ac:dyDescent="0.15"/>
    <row r="38716" s="8" customFormat="1" ht="32.1" customHeight="1" x14ac:dyDescent="0.15"/>
    <row r="38717" s="8" customFormat="1" ht="32.1" customHeight="1" x14ac:dyDescent="0.15"/>
    <row r="38718" s="9" customFormat="1" ht="32.1" customHeight="1" x14ac:dyDescent="0.15"/>
    <row r="38719" s="9" customFormat="1" ht="32.1" customHeight="1" x14ac:dyDescent="0.15"/>
    <row r="38720" s="9" customFormat="1" ht="32.1" customHeight="1" x14ac:dyDescent="0.15"/>
    <row r="38721" s="9" customFormat="1" ht="32.1" customHeight="1" x14ac:dyDescent="0.15"/>
    <row r="38722" s="9" customFormat="1" ht="21.95" customHeight="1" x14ac:dyDescent="0.15"/>
    <row r="38723" s="9" customFormat="1" ht="54" customHeight="1" x14ac:dyDescent="0.15"/>
    <row r="38724" s="9" customFormat="1" ht="21.95" customHeight="1" x14ac:dyDescent="0.15"/>
    <row r="38725" s="9" customFormat="1" ht="21.95" customHeight="1" x14ac:dyDescent="0.15"/>
    <row r="38726" s="9" customFormat="1" ht="21.95" customHeight="1" x14ac:dyDescent="0.15"/>
    <row r="38727" s="9" customFormat="1" ht="21.95" customHeight="1" x14ac:dyDescent="0.15"/>
    <row r="38728" s="9" customFormat="1" ht="21.95" customHeight="1" x14ac:dyDescent="0.15"/>
    <row r="38729" s="9" customFormat="1" ht="21.95" customHeight="1" x14ac:dyDescent="0.15"/>
    <row r="38730" s="9" customFormat="1" ht="21.95" customHeight="1" x14ac:dyDescent="0.15"/>
    <row r="38731" s="9" customFormat="1" ht="21.95" customHeight="1" x14ac:dyDescent="0.15"/>
    <row r="38732" s="9" customFormat="1" ht="21.95" customHeight="1" x14ac:dyDescent="0.15"/>
    <row r="38733" s="9" customFormat="1" ht="21.95" customHeight="1" x14ac:dyDescent="0.15"/>
    <row r="38734" s="9" customFormat="1" ht="21.95" customHeight="1" x14ac:dyDescent="0.15"/>
    <row r="38735" s="9" customFormat="1" ht="21.95" customHeight="1" x14ac:dyDescent="0.15"/>
    <row r="38736" s="9" customFormat="1" ht="21.95" customHeight="1" x14ac:dyDescent="0.15"/>
    <row r="38737" s="9" customFormat="1" ht="21.95" customHeight="1" x14ac:dyDescent="0.15"/>
    <row r="38738" s="9" customFormat="1" ht="21.95" customHeight="1" x14ac:dyDescent="0.15"/>
    <row r="38739" s="9" customFormat="1" ht="21.95" customHeight="1" x14ac:dyDescent="0.15"/>
    <row r="38740" s="9" customFormat="1" ht="21.95" customHeight="1" x14ac:dyDescent="0.15"/>
    <row r="38741" s="9" customFormat="1" ht="21.95" customHeight="1" x14ac:dyDescent="0.15"/>
    <row r="38742" s="9" customFormat="1" ht="21.95" customHeight="1" x14ac:dyDescent="0.15"/>
    <row r="38743" s="9" customFormat="1" ht="21.95" customHeight="1" x14ac:dyDescent="0.15"/>
    <row r="38744" s="9" customFormat="1" ht="21.95" customHeight="1" x14ac:dyDescent="0.15"/>
    <row r="38745" s="9" customFormat="1" ht="21.95" customHeight="1" x14ac:dyDescent="0.15"/>
    <row r="38746" s="9" customFormat="1" ht="21.95" customHeight="1" x14ac:dyDescent="0.15"/>
    <row r="38747" s="9" customFormat="1" ht="21.95" customHeight="1" x14ac:dyDescent="0.15"/>
    <row r="38748" s="9" customFormat="1" ht="21.95" customHeight="1" x14ac:dyDescent="0.15"/>
    <row r="38749" s="9" customFormat="1" ht="21.95" customHeight="1" x14ac:dyDescent="0.15"/>
    <row r="38750" s="9" customFormat="1" ht="21.95" customHeight="1" x14ac:dyDescent="0.15"/>
    <row r="38751" s="9" customFormat="1" ht="21.95" customHeight="1" x14ac:dyDescent="0.15"/>
    <row r="38752" s="9" customFormat="1" ht="21.95" customHeight="1" x14ac:dyDescent="0.15"/>
    <row r="38753" s="9" customFormat="1" ht="21.95" customHeight="1" x14ac:dyDescent="0.15"/>
    <row r="38754" s="9" customFormat="1" ht="21.95" customHeight="1" x14ac:dyDescent="0.15"/>
    <row r="38755" s="9" customFormat="1" ht="21.95" customHeight="1" x14ac:dyDescent="0.15"/>
    <row r="38756" s="9" customFormat="1" ht="21.95" customHeight="1" x14ac:dyDescent="0.15"/>
    <row r="38757" s="9" customFormat="1" ht="21.95" customHeight="1" x14ac:dyDescent="0.15"/>
    <row r="38758" s="9" customFormat="1" ht="21.95" customHeight="1" x14ac:dyDescent="0.15"/>
    <row r="38759" s="9" customFormat="1" ht="21.95" customHeight="1" x14ac:dyDescent="0.15"/>
    <row r="38760" s="9" customFormat="1" ht="21.95" customHeight="1" x14ac:dyDescent="0.15"/>
    <row r="38761" s="9" customFormat="1" ht="21.95" customHeight="1" x14ac:dyDescent="0.15"/>
    <row r="38762" s="9" customFormat="1" ht="21.95" customHeight="1" x14ac:dyDescent="0.15"/>
    <row r="38763" s="9" customFormat="1" ht="21.95" customHeight="1" x14ac:dyDescent="0.15"/>
    <row r="38764" s="9" customFormat="1" ht="21.95" customHeight="1" x14ac:dyDescent="0.15"/>
    <row r="38765" s="9" customFormat="1" ht="21.95" customHeight="1" x14ac:dyDescent="0.15"/>
    <row r="38766" s="9" customFormat="1" ht="21.95" customHeight="1" x14ac:dyDescent="0.15"/>
    <row r="38767" s="9" customFormat="1" ht="21.95" customHeight="1" x14ac:dyDescent="0.15"/>
    <row r="38768" s="9" customFormat="1" ht="21.95" customHeight="1" x14ac:dyDescent="0.15"/>
    <row r="38769" s="9" customFormat="1" ht="21.95" customHeight="1" x14ac:dyDescent="0.15"/>
    <row r="38770" s="9" customFormat="1" ht="21.95" customHeight="1" x14ac:dyDescent="0.15"/>
    <row r="38771" s="9" customFormat="1" ht="21.95" customHeight="1" x14ac:dyDescent="0.15"/>
    <row r="38772" s="9" customFormat="1" ht="21.95" customHeight="1" x14ac:dyDescent="0.15"/>
    <row r="38773" s="9" customFormat="1" ht="21.95" customHeight="1" x14ac:dyDescent="0.15"/>
    <row r="38774" s="9" customFormat="1" ht="35.1" customHeight="1" x14ac:dyDescent="0.15"/>
    <row r="38775" s="9" customFormat="1" ht="21.95" customHeight="1" x14ac:dyDescent="0.15"/>
    <row r="38776" s="9" customFormat="1" ht="21.95" customHeight="1" x14ac:dyDescent="0.15"/>
    <row r="38777" s="9" customFormat="1" ht="21.95" customHeight="1" x14ac:dyDescent="0.15"/>
    <row r="38778" s="9" customFormat="1" ht="21.95" customHeight="1" x14ac:dyDescent="0.15"/>
    <row r="38779" s="9" customFormat="1" ht="21.95" customHeight="1" x14ac:dyDescent="0.15"/>
    <row r="38780" s="9" customFormat="1" ht="21.95" customHeight="1" x14ac:dyDescent="0.15"/>
    <row r="38781" s="9" customFormat="1" ht="21.95" customHeight="1" x14ac:dyDescent="0.15"/>
    <row r="38782" s="9" customFormat="1" ht="21.95" customHeight="1" x14ac:dyDescent="0.15"/>
    <row r="38783" s="9" customFormat="1" ht="21.95" customHeight="1" x14ac:dyDescent="0.15"/>
    <row r="38784" s="9" customFormat="1" ht="21.95" customHeight="1" x14ac:dyDescent="0.15"/>
    <row r="38785" spans="3:3" s="9" customFormat="1" ht="21.95" customHeight="1" x14ac:dyDescent="0.15"/>
    <row r="38786" spans="3:3" s="9" customFormat="1" ht="21.95" customHeight="1" x14ac:dyDescent="0.15"/>
    <row r="38787" spans="3:3" s="9" customFormat="1" ht="21.95" customHeight="1" x14ac:dyDescent="0.15"/>
    <row r="38788" spans="3:3" s="9" customFormat="1" ht="21.95" customHeight="1" x14ac:dyDescent="0.15"/>
    <row r="38789" spans="3:3" s="9" customFormat="1" ht="21.95" customHeight="1" x14ac:dyDescent="0.15"/>
    <row r="38790" spans="3:3" s="9" customFormat="1" ht="21.95" customHeight="1" x14ac:dyDescent="0.15"/>
    <row r="38791" spans="3:3" s="9" customFormat="1" ht="21.95" customHeight="1" x14ac:dyDescent="0.15"/>
    <row r="38792" spans="3:3" s="9" customFormat="1" ht="21.95" customHeight="1" x14ac:dyDescent="0.15"/>
    <row r="38793" spans="3:3" s="9" customFormat="1" ht="21.95" customHeight="1" x14ac:dyDescent="0.15"/>
    <row r="38794" spans="3:3" s="9" customFormat="1" ht="21.95" customHeight="1" x14ac:dyDescent="0.15"/>
    <row r="38795" spans="3:3" s="9" customFormat="1" ht="21.95" customHeight="1" x14ac:dyDescent="0.15"/>
    <row r="38796" spans="3:3" s="9" customFormat="1" ht="21.95" customHeight="1" x14ac:dyDescent="0.15"/>
    <row r="38797" spans="3:3" s="9" customFormat="1" ht="21.95" customHeight="1" x14ac:dyDescent="0.15"/>
    <row r="38798" spans="3:3" s="8" customFormat="1" ht="21.95" customHeight="1" x14ac:dyDescent="0.15"/>
    <row r="38799" spans="3:3" s="8" customFormat="1" ht="21.95" customHeight="1" x14ac:dyDescent="0.15"/>
    <row r="38800" spans="3:3" s="8" customFormat="1" ht="21.95" customHeight="1" x14ac:dyDescent="0.15">
      <c r="C38800" s="101"/>
    </row>
    <row r="38801" spans="3:3" s="8" customFormat="1" ht="21.95" customHeight="1" x14ac:dyDescent="0.15">
      <c r="C38801" s="101"/>
    </row>
    <row r="38802" spans="3:3" s="8" customFormat="1" ht="21.95" customHeight="1" x14ac:dyDescent="0.15"/>
    <row r="38803" spans="3:3" s="8" customFormat="1" ht="21.95" customHeight="1" x14ac:dyDescent="0.15"/>
    <row r="38804" spans="3:3" s="8" customFormat="1" ht="21.95" customHeight="1" x14ac:dyDescent="0.15"/>
    <row r="38805" spans="3:3" s="8" customFormat="1" ht="21.95" customHeight="1" x14ac:dyDescent="0.15"/>
    <row r="38806" spans="3:3" s="8" customFormat="1" ht="21.95" customHeight="1" x14ac:dyDescent="0.15"/>
    <row r="38807" spans="3:3" s="8" customFormat="1" ht="21.95" customHeight="1" x14ac:dyDescent="0.15"/>
    <row r="38808" spans="3:3" s="8" customFormat="1" ht="21.95" customHeight="1" x14ac:dyDescent="0.15"/>
    <row r="38809" spans="3:3" s="9" customFormat="1" ht="21.95" customHeight="1" x14ac:dyDescent="0.15"/>
    <row r="38810" spans="3:3" s="9" customFormat="1" ht="21.95" customHeight="1" x14ac:dyDescent="0.15"/>
    <row r="38811" spans="3:3" s="9" customFormat="1" ht="21.95" customHeight="1" x14ac:dyDescent="0.15"/>
    <row r="38812" spans="3:3" s="9" customFormat="1" ht="21.95" customHeight="1" x14ac:dyDescent="0.15"/>
    <row r="38813" spans="3:3" s="8" customFormat="1" ht="21.95" customHeight="1" x14ac:dyDescent="0.15"/>
    <row r="38814" spans="3:3" s="8" customFormat="1" ht="21.95" customHeight="1" x14ac:dyDescent="0.15"/>
    <row r="38815" spans="3:3" s="8" customFormat="1" ht="21.95" customHeight="1" x14ac:dyDescent="0.15"/>
    <row r="38816" spans="3:3" s="8" customFormat="1" ht="21.95" customHeight="1" x14ac:dyDescent="0.15"/>
    <row r="38817" s="8" customFormat="1" ht="21.95" customHeight="1" x14ac:dyDescent="0.15"/>
    <row r="38818" s="8" customFormat="1" ht="21.95" customHeight="1" x14ac:dyDescent="0.15"/>
    <row r="38819" s="8" customFormat="1" ht="21.95" customHeight="1" x14ac:dyDescent="0.15"/>
    <row r="38820" s="8" customFormat="1" ht="21.95" customHeight="1" x14ac:dyDescent="0.15"/>
    <row r="38821" s="8" customFormat="1" ht="21.95" customHeight="1" x14ac:dyDescent="0.15"/>
    <row r="38822" s="8" customFormat="1" ht="21.95" customHeight="1" x14ac:dyDescent="0.15"/>
    <row r="38823" s="8" customFormat="1" ht="21.95" customHeight="1" x14ac:dyDescent="0.15"/>
    <row r="38824" s="8" customFormat="1" ht="32.1" customHeight="1" x14ac:dyDescent="0.15"/>
    <row r="38825" s="8" customFormat="1" ht="32.1" customHeight="1" x14ac:dyDescent="0.15"/>
    <row r="38826" s="8" customFormat="1" ht="32.1" customHeight="1" x14ac:dyDescent="0.15"/>
    <row r="38827" s="8" customFormat="1" ht="32.1" customHeight="1" x14ac:dyDescent="0.15"/>
    <row r="38828" s="8" customFormat="1" ht="32.1" customHeight="1" x14ac:dyDescent="0.15"/>
    <row r="38829" s="8" customFormat="1" ht="32.1" customHeight="1" x14ac:dyDescent="0.15"/>
    <row r="38830" s="9" customFormat="1" ht="32.1" customHeight="1" x14ac:dyDescent="0.15"/>
    <row r="38831" s="9" customFormat="1" ht="32.1" customHeight="1" x14ac:dyDescent="0.15"/>
    <row r="38832" s="9" customFormat="1" ht="32.1" customHeight="1" x14ac:dyDescent="0.15"/>
    <row r="38833" s="9" customFormat="1" ht="32.1" customHeight="1" x14ac:dyDescent="0.15"/>
    <row r="38834" s="9" customFormat="1" ht="21.95" customHeight="1" x14ac:dyDescent="0.15"/>
    <row r="38835" s="9" customFormat="1" ht="54" customHeight="1" x14ac:dyDescent="0.15"/>
    <row r="38836" s="9" customFormat="1" ht="21.95" customHeight="1" x14ac:dyDescent="0.15"/>
    <row r="38837" s="9" customFormat="1" ht="21.95" customHeight="1" x14ac:dyDescent="0.15"/>
    <row r="38838" s="9" customFormat="1" ht="21.95" customHeight="1" x14ac:dyDescent="0.15"/>
    <row r="38839" s="9" customFormat="1" ht="21.95" customHeight="1" x14ac:dyDescent="0.15"/>
    <row r="38840" s="9" customFormat="1" ht="21.95" customHeight="1" x14ac:dyDescent="0.15"/>
    <row r="38841" s="9" customFormat="1" ht="21.95" customHeight="1" x14ac:dyDescent="0.15"/>
    <row r="38842" s="9" customFormat="1" ht="21.95" customHeight="1" x14ac:dyDescent="0.15"/>
    <row r="38843" s="9" customFormat="1" ht="21.95" customHeight="1" x14ac:dyDescent="0.15"/>
    <row r="38844" s="9" customFormat="1" ht="21.95" customHeight="1" x14ac:dyDescent="0.15"/>
    <row r="38845" s="9" customFormat="1" ht="21.95" customHeight="1" x14ac:dyDescent="0.15"/>
    <row r="38846" s="9" customFormat="1" ht="21.95" customHeight="1" x14ac:dyDescent="0.15"/>
    <row r="38847" s="9" customFormat="1" ht="21.95" customHeight="1" x14ac:dyDescent="0.15"/>
    <row r="38848" s="9" customFormat="1" ht="21.95" customHeight="1" x14ac:dyDescent="0.15"/>
    <row r="38849" s="9" customFormat="1" ht="21.95" customHeight="1" x14ac:dyDescent="0.15"/>
    <row r="38850" s="9" customFormat="1" ht="21.95" customHeight="1" x14ac:dyDescent="0.15"/>
    <row r="38851" s="9" customFormat="1" ht="21.95" customHeight="1" x14ac:dyDescent="0.15"/>
    <row r="38852" s="9" customFormat="1" ht="21.95" customHeight="1" x14ac:dyDescent="0.15"/>
    <row r="38853" s="9" customFormat="1" ht="21.95" customHeight="1" x14ac:dyDescent="0.15"/>
    <row r="38854" s="9" customFormat="1" ht="21.95" customHeight="1" x14ac:dyDescent="0.15"/>
    <row r="38855" s="9" customFormat="1" ht="21.95" customHeight="1" x14ac:dyDescent="0.15"/>
    <row r="38856" s="9" customFormat="1" ht="21.95" customHeight="1" x14ac:dyDescent="0.15"/>
    <row r="38857" s="9" customFormat="1" ht="21.95" customHeight="1" x14ac:dyDescent="0.15"/>
    <row r="38858" s="9" customFormat="1" ht="21.95" customHeight="1" x14ac:dyDescent="0.15"/>
    <row r="38859" s="9" customFormat="1" ht="21.95" customHeight="1" x14ac:dyDescent="0.15"/>
    <row r="38860" s="9" customFormat="1" ht="21.95" customHeight="1" x14ac:dyDescent="0.15"/>
    <row r="38861" s="9" customFormat="1" ht="21.95" customHeight="1" x14ac:dyDescent="0.15"/>
    <row r="38862" s="9" customFormat="1" ht="21.95" customHeight="1" x14ac:dyDescent="0.15"/>
    <row r="38863" s="9" customFormat="1" ht="21.95" customHeight="1" x14ac:dyDescent="0.15"/>
    <row r="38864" s="9" customFormat="1" ht="21.95" customHeight="1" x14ac:dyDescent="0.15"/>
    <row r="38865" s="9" customFormat="1" ht="21.95" customHeight="1" x14ac:dyDescent="0.15"/>
    <row r="38866" s="9" customFormat="1" ht="21.95" customHeight="1" x14ac:dyDescent="0.15"/>
    <row r="38867" s="9" customFormat="1" ht="21.95" customHeight="1" x14ac:dyDescent="0.15"/>
    <row r="38868" s="9" customFormat="1" ht="21.95" customHeight="1" x14ac:dyDescent="0.15"/>
    <row r="38869" s="9" customFormat="1" ht="21.95" customHeight="1" x14ac:dyDescent="0.15"/>
    <row r="38870" s="9" customFormat="1" ht="21.95" customHeight="1" x14ac:dyDescent="0.15"/>
    <row r="38871" s="9" customFormat="1" ht="21.95" customHeight="1" x14ac:dyDescent="0.15"/>
    <row r="38872" s="9" customFormat="1" ht="21.95" customHeight="1" x14ac:dyDescent="0.15"/>
    <row r="38873" s="9" customFormat="1" ht="21.95" customHeight="1" x14ac:dyDescent="0.15"/>
    <row r="38874" s="9" customFormat="1" ht="21.95" customHeight="1" x14ac:dyDescent="0.15"/>
    <row r="38875" s="9" customFormat="1" ht="21.95" customHeight="1" x14ac:dyDescent="0.15"/>
    <row r="38876" s="9" customFormat="1" ht="21.95" customHeight="1" x14ac:dyDescent="0.15"/>
    <row r="38877" s="9" customFormat="1" ht="21.95" customHeight="1" x14ac:dyDescent="0.15"/>
    <row r="38878" s="9" customFormat="1" ht="21.95" customHeight="1" x14ac:dyDescent="0.15"/>
    <row r="38879" s="9" customFormat="1" ht="21.95" customHeight="1" x14ac:dyDescent="0.15"/>
    <row r="38880" s="9" customFormat="1" ht="21.95" customHeight="1" x14ac:dyDescent="0.15"/>
    <row r="38881" s="9" customFormat="1" ht="21.95" customHeight="1" x14ac:dyDescent="0.15"/>
    <row r="38882" s="9" customFormat="1" ht="21.95" customHeight="1" x14ac:dyDescent="0.15"/>
    <row r="38883" s="9" customFormat="1" ht="21.95" customHeight="1" x14ac:dyDescent="0.15"/>
    <row r="38884" s="9" customFormat="1" ht="21.95" customHeight="1" x14ac:dyDescent="0.15"/>
    <row r="38885" s="9" customFormat="1" ht="21.95" customHeight="1" x14ac:dyDescent="0.15"/>
    <row r="38886" s="9" customFormat="1" ht="35.1" customHeight="1" x14ac:dyDescent="0.15"/>
    <row r="38887" s="9" customFormat="1" ht="21.95" customHeight="1" x14ac:dyDescent="0.15"/>
    <row r="38888" s="9" customFormat="1" ht="21.95" customHeight="1" x14ac:dyDescent="0.15"/>
    <row r="38889" s="9" customFormat="1" ht="21.95" customHeight="1" x14ac:dyDescent="0.15"/>
    <row r="38890" s="9" customFormat="1" ht="21.95" customHeight="1" x14ac:dyDescent="0.15"/>
    <row r="38891" s="9" customFormat="1" ht="21.95" customHeight="1" x14ac:dyDescent="0.15"/>
    <row r="38892" s="9" customFormat="1" ht="21.95" customHeight="1" x14ac:dyDescent="0.15"/>
    <row r="38893" s="9" customFormat="1" ht="21.95" customHeight="1" x14ac:dyDescent="0.15"/>
    <row r="38894" s="9" customFormat="1" ht="21.95" customHeight="1" x14ac:dyDescent="0.15"/>
    <row r="38895" s="9" customFormat="1" ht="21.95" customHeight="1" x14ac:dyDescent="0.15"/>
    <row r="38896" s="9" customFormat="1" ht="21.95" customHeight="1" x14ac:dyDescent="0.15"/>
    <row r="38897" spans="3:3" s="9" customFormat="1" ht="21.95" customHeight="1" x14ac:dyDescent="0.15"/>
    <row r="38898" spans="3:3" s="9" customFormat="1" ht="21.95" customHeight="1" x14ac:dyDescent="0.15"/>
    <row r="38899" spans="3:3" s="9" customFormat="1" ht="21.95" customHeight="1" x14ac:dyDescent="0.15"/>
    <row r="38900" spans="3:3" s="9" customFormat="1" ht="21.95" customHeight="1" x14ac:dyDescent="0.15"/>
    <row r="38901" spans="3:3" s="9" customFormat="1" ht="21.95" customHeight="1" x14ac:dyDescent="0.15"/>
    <row r="38902" spans="3:3" s="9" customFormat="1" ht="21.95" customHeight="1" x14ac:dyDescent="0.15"/>
    <row r="38903" spans="3:3" s="9" customFormat="1" ht="21.95" customHeight="1" x14ac:dyDescent="0.15"/>
    <row r="38904" spans="3:3" s="9" customFormat="1" ht="21.95" customHeight="1" x14ac:dyDescent="0.15"/>
    <row r="38905" spans="3:3" s="9" customFormat="1" ht="21.95" customHeight="1" x14ac:dyDescent="0.15"/>
    <row r="38906" spans="3:3" s="9" customFormat="1" ht="21.95" customHeight="1" x14ac:dyDescent="0.15"/>
    <row r="38907" spans="3:3" s="9" customFormat="1" ht="21.95" customHeight="1" x14ac:dyDescent="0.15"/>
    <row r="38908" spans="3:3" s="9" customFormat="1" ht="21.95" customHeight="1" x14ac:dyDescent="0.15"/>
    <row r="38909" spans="3:3" s="9" customFormat="1" ht="21.95" customHeight="1" x14ac:dyDescent="0.15"/>
    <row r="38910" spans="3:3" s="8" customFormat="1" ht="21.95" customHeight="1" x14ac:dyDescent="0.15"/>
    <row r="38911" spans="3:3" s="8" customFormat="1" ht="21.95" customHeight="1" x14ac:dyDescent="0.15"/>
    <row r="38912" spans="3:3" s="8" customFormat="1" ht="21.95" customHeight="1" x14ac:dyDescent="0.15">
      <c r="C38912" s="101"/>
    </row>
    <row r="38913" spans="3:3" s="8" customFormat="1" ht="21.95" customHeight="1" x14ac:dyDescent="0.15">
      <c r="C38913" s="101"/>
    </row>
    <row r="38914" spans="3:3" s="8" customFormat="1" ht="21.95" customHeight="1" x14ac:dyDescent="0.15"/>
    <row r="38915" spans="3:3" s="8" customFormat="1" ht="21.95" customHeight="1" x14ac:dyDescent="0.15"/>
    <row r="38916" spans="3:3" s="8" customFormat="1" ht="21.95" customHeight="1" x14ac:dyDescent="0.15"/>
    <row r="38917" spans="3:3" s="8" customFormat="1" ht="21.95" customHeight="1" x14ac:dyDescent="0.15"/>
    <row r="38918" spans="3:3" s="8" customFormat="1" ht="21.95" customHeight="1" x14ac:dyDescent="0.15"/>
    <row r="38919" spans="3:3" s="8" customFormat="1" ht="21.95" customHeight="1" x14ac:dyDescent="0.15"/>
    <row r="38920" spans="3:3" s="8" customFormat="1" ht="21.95" customHeight="1" x14ac:dyDescent="0.15"/>
    <row r="38921" spans="3:3" s="9" customFormat="1" ht="21.95" customHeight="1" x14ac:dyDescent="0.15"/>
    <row r="38922" spans="3:3" s="9" customFormat="1" ht="21.95" customHeight="1" x14ac:dyDescent="0.15"/>
    <row r="38923" spans="3:3" s="9" customFormat="1" ht="21.95" customHeight="1" x14ac:dyDescent="0.15"/>
    <row r="38924" spans="3:3" s="9" customFormat="1" ht="21.95" customHeight="1" x14ac:dyDescent="0.15"/>
    <row r="38925" spans="3:3" s="8" customFormat="1" ht="21.95" customHeight="1" x14ac:dyDescent="0.15"/>
    <row r="38926" spans="3:3" s="8" customFormat="1" ht="21.95" customHeight="1" x14ac:dyDescent="0.15"/>
    <row r="38927" spans="3:3" s="8" customFormat="1" ht="21.95" customHeight="1" x14ac:dyDescent="0.15"/>
    <row r="38928" spans="3:3" s="8" customFormat="1" ht="21.95" customHeight="1" x14ac:dyDescent="0.15"/>
    <row r="38929" s="8" customFormat="1" ht="21.95" customHeight="1" x14ac:dyDescent="0.15"/>
    <row r="38930" s="8" customFormat="1" ht="21.95" customHeight="1" x14ac:dyDescent="0.15"/>
    <row r="38931" s="8" customFormat="1" ht="21.95" customHeight="1" x14ac:dyDescent="0.15"/>
    <row r="38932" s="8" customFormat="1" ht="21.95" customHeight="1" x14ac:dyDescent="0.15"/>
    <row r="38933" s="8" customFormat="1" ht="21.95" customHeight="1" x14ac:dyDescent="0.15"/>
    <row r="38934" s="8" customFormat="1" ht="21.95" customHeight="1" x14ac:dyDescent="0.15"/>
    <row r="38935" s="8" customFormat="1" ht="21.95" customHeight="1" x14ac:dyDescent="0.15"/>
    <row r="38936" s="8" customFormat="1" ht="32.1" customHeight="1" x14ac:dyDescent="0.15"/>
    <row r="38937" s="8" customFormat="1" ht="32.1" customHeight="1" x14ac:dyDescent="0.15"/>
    <row r="38938" s="8" customFormat="1" ht="32.1" customHeight="1" x14ac:dyDescent="0.15"/>
    <row r="38939" s="8" customFormat="1" ht="32.1" customHeight="1" x14ac:dyDescent="0.15"/>
    <row r="38940" s="8" customFormat="1" ht="32.1" customHeight="1" x14ac:dyDescent="0.15"/>
    <row r="38941" s="8" customFormat="1" ht="32.1" customHeight="1" x14ac:dyDescent="0.15"/>
    <row r="38942" s="9" customFormat="1" ht="32.1" customHeight="1" x14ac:dyDescent="0.15"/>
    <row r="38943" s="9" customFormat="1" ht="32.1" customHeight="1" x14ac:dyDescent="0.15"/>
    <row r="38944" s="9" customFormat="1" ht="32.1" customHeight="1" x14ac:dyDescent="0.15"/>
    <row r="38945" s="9" customFormat="1" ht="32.1" customHeight="1" x14ac:dyDescent="0.15"/>
    <row r="38946" s="9" customFormat="1" ht="21.95" customHeight="1" x14ac:dyDescent="0.15"/>
    <row r="38947" s="9" customFormat="1" ht="54" customHeight="1" x14ac:dyDescent="0.15"/>
    <row r="38948" s="9" customFormat="1" ht="21.95" customHeight="1" x14ac:dyDescent="0.15"/>
    <row r="38949" s="9" customFormat="1" ht="21.95" customHeight="1" x14ac:dyDescent="0.15"/>
    <row r="38950" s="9" customFormat="1" ht="21.95" customHeight="1" x14ac:dyDescent="0.15"/>
    <row r="38951" s="9" customFormat="1" ht="21.95" customHeight="1" x14ac:dyDescent="0.15"/>
    <row r="38952" s="9" customFormat="1" ht="21.95" customHeight="1" x14ac:dyDescent="0.15"/>
    <row r="38953" s="9" customFormat="1" ht="21.95" customHeight="1" x14ac:dyDescent="0.15"/>
    <row r="38954" s="9" customFormat="1" ht="21.95" customHeight="1" x14ac:dyDescent="0.15"/>
    <row r="38955" s="9" customFormat="1" ht="21.95" customHeight="1" x14ac:dyDescent="0.15"/>
    <row r="38956" s="9" customFormat="1" ht="21.95" customHeight="1" x14ac:dyDescent="0.15"/>
    <row r="38957" s="9" customFormat="1" ht="21.95" customHeight="1" x14ac:dyDescent="0.15"/>
    <row r="38958" s="9" customFormat="1" ht="21.95" customHeight="1" x14ac:dyDescent="0.15"/>
    <row r="38959" s="9" customFormat="1" ht="21.95" customHeight="1" x14ac:dyDescent="0.15"/>
    <row r="38960" s="9" customFormat="1" ht="21.95" customHeight="1" x14ac:dyDescent="0.15"/>
    <row r="38961" s="9" customFormat="1" ht="21.95" customHeight="1" x14ac:dyDescent="0.15"/>
    <row r="38962" s="9" customFormat="1" ht="21.95" customHeight="1" x14ac:dyDescent="0.15"/>
    <row r="38963" s="9" customFormat="1" ht="21.95" customHeight="1" x14ac:dyDescent="0.15"/>
    <row r="38964" s="9" customFormat="1" ht="21.95" customHeight="1" x14ac:dyDescent="0.15"/>
    <row r="38965" s="9" customFormat="1" ht="21.95" customHeight="1" x14ac:dyDescent="0.15"/>
    <row r="38966" s="9" customFormat="1" ht="21.95" customHeight="1" x14ac:dyDescent="0.15"/>
    <row r="38967" s="9" customFormat="1" ht="21.95" customHeight="1" x14ac:dyDescent="0.15"/>
    <row r="38968" s="9" customFormat="1" ht="21.95" customHeight="1" x14ac:dyDescent="0.15"/>
    <row r="38969" s="9" customFormat="1" ht="21.95" customHeight="1" x14ac:dyDescent="0.15"/>
    <row r="38970" s="9" customFormat="1" ht="21.95" customHeight="1" x14ac:dyDescent="0.15"/>
    <row r="38971" s="9" customFormat="1" ht="21.95" customHeight="1" x14ac:dyDescent="0.15"/>
    <row r="38972" s="9" customFormat="1" ht="21.95" customHeight="1" x14ac:dyDescent="0.15"/>
    <row r="38973" s="9" customFormat="1" ht="21.95" customHeight="1" x14ac:dyDescent="0.15"/>
    <row r="38974" s="9" customFormat="1" ht="21.95" customHeight="1" x14ac:dyDescent="0.15"/>
    <row r="38975" s="9" customFormat="1" ht="21.95" customHeight="1" x14ac:dyDescent="0.15"/>
    <row r="38976" s="9" customFormat="1" ht="21.95" customHeight="1" x14ac:dyDescent="0.15"/>
    <row r="38977" s="9" customFormat="1" ht="21.95" customHeight="1" x14ac:dyDescent="0.15"/>
    <row r="38978" s="9" customFormat="1" ht="21.95" customHeight="1" x14ac:dyDescent="0.15"/>
    <row r="38979" s="9" customFormat="1" ht="21.95" customHeight="1" x14ac:dyDescent="0.15"/>
    <row r="38980" s="9" customFormat="1" ht="21.95" customHeight="1" x14ac:dyDescent="0.15"/>
    <row r="38981" s="9" customFormat="1" ht="21.95" customHeight="1" x14ac:dyDescent="0.15"/>
    <row r="38982" s="9" customFormat="1" ht="21.95" customHeight="1" x14ac:dyDescent="0.15"/>
    <row r="38983" s="9" customFormat="1" ht="21.95" customHeight="1" x14ac:dyDescent="0.15"/>
    <row r="38984" s="9" customFormat="1" ht="21.95" customHeight="1" x14ac:dyDescent="0.15"/>
    <row r="38985" s="9" customFormat="1" ht="21.95" customHeight="1" x14ac:dyDescent="0.15"/>
    <row r="38986" s="9" customFormat="1" ht="21.95" customHeight="1" x14ac:dyDescent="0.15"/>
    <row r="38987" s="9" customFormat="1" ht="21.95" customHeight="1" x14ac:dyDescent="0.15"/>
    <row r="38988" s="9" customFormat="1" ht="21.95" customHeight="1" x14ac:dyDescent="0.15"/>
    <row r="38989" s="9" customFormat="1" ht="21.95" customHeight="1" x14ac:dyDescent="0.15"/>
    <row r="38990" s="9" customFormat="1" ht="21.95" customHeight="1" x14ac:dyDescent="0.15"/>
    <row r="38991" s="9" customFormat="1" ht="21.95" customHeight="1" x14ac:dyDescent="0.15"/>
    <row r="38992" s="9" customFormat="1" ht="21.95" customHeight="1" x14ac:dyDescent="0.15"/>
    <row r="38993" s="9" customFormat="1" ht="21.95" customHeight="1" x14ac:dyDescent="0.15"/>
    <row r="38994" s="9" customFormat="1" ht="21.95" customHeight="1" x14ac:dyDescent="0.15"/>
    <row r="38995" s="9" customFormat="1" ht="21.95" customHeight="1" x14ac:dyDescent="0.15"/>
    <row r="38996" s="9" customFormat="1" ht="21.95" customHeight="1" x14ac:dyDescent="0.15"/>
    <row r="38997" s="9" customFormat="1" ht="21.95" customHeight="1" x14ac:dyDescent="0.15"/>
    <row r="38998" s="9" customFormat="1" ht="35.1" customHeight="1" x14ac:dyDescent="0.15"/>
    <row r="38999" s="9" customFormat="1" ht="21.95" customHeight="1" x14ac:dyDescent="0.15"/>
    <row r="39000" s="9" customFormat="1" ht="21.95" customHeight="1" x14ac:dyDescent="0.15"/>
    <row r="39001" s="9" customFormat="1" ht="21.95" customHeight="1" x14ac:dyDescent="0.15"/>
    <row r="39002" s="9" customFormat="1" ht="21.95" customHeight="1" x14ac:dyDescent="0.15"/>
    <row r="39003" s="9" customFormat="1" ht="21.95" customHeight="1" x14ac:dyDescent="0.15"/>
    <row r="39004" s="9" customFormat="1" ht="21.95" customHeight="1" x14ac:dyDescent="0.15"/>
    <row r="39005" s="9" customFormat="1" ht="21.95" customHeight="1" x14ac:dyDescent="0.15"/>
    <row r="39006" s="9" customFormat="1" ht="21.95" customHeight="1" x14ac:dyDescent="0.15"/>
    <row r="39007" s="9" customFormat="1" ht="21.95" customHeight="1" x14ac:dyDescent="0.15"/>
    <row r="39008" s="9" customFormat="1" ht="21.95" customHeight="1" x14ac:dyDescent="0.15"/>
    <row r="39009" spans="3:3" s="9" customFormat="1" ht="21.95" customHeight="1" x14ac:dyDescent="0.15"/>
    <row r="39010" spans="3:3" s="9" customFormat="1" ht="21.95" customHeight="1" x14ac:dyDescent="0.15"/>
    <row r="39011" spans="3:3" s="9" customFormat="1" ht="21.95" customHeight="1" x14ac:dyDescent="0.15"/>
    <row r="39012" spans="3:3" s="9" customFormat="1" ht="21.95" customHeight="1" x14ac:dyDescent="0.15"/>
    <row r="39013" spans="3:3" s="9" customFormat="1" ht="21.95" customHeight="1" x14ac:dyDescent="0.15"/>
    <row r="39014" spans="3:3" s="9" customFormat="1" ht="21.95" customHeight="1" x14ac:dyDescent="0.15"/>
    <row r="39015" spans="3:3" s="9" customFormat="1" ht="21.95" customHeight="1" x14ac:dyDescent="0.15"/>
    <row r="39016" spans="3:3" s="9" customFormat="1" ht="21.95" customHeight="1" x14ac:dyDescent="0.15"/>
    <row r="39017" spans="3:3" s="9" customFormat="1" ht="21.95" customHeight="1" x14ac:dyDescent="0.15"/>
    <row r="39018" spans="3:3" s="9" customFormat="1" ht="21.95" customHeight="1" x14ac:dyDescent="0.15"/>
    <row r="39019" spans="3:3" s="9" customFormat="1" ht="21.95" customHeight="1" x14ac:dyDescent="0.15"/>
    <row r="39020" spans="3:3" s="9" customFormat="1" ht="21.95" customHeight="1" x14ac:dyDescent="0.15"/>
    <row r="39021" spans="3:3" s="9" customFormat="1" ht="21.95" customHeight="1" x14ac:dyDescent="0.15"/>
    <row r="39022" spans="3:3" s="8" customFormat="1" ht="21.95" customHeight="1" x14ac:dyDescent="0.15"/>
    <row r="39023" spans="3:3" s="8" customFormat="1" ht="21.95" customHeight="1" x14ac:dyDescent="0.15"/>
    <row r="39024" spans="3:3" s="8" customFormat="1" ht="21.95" customHeight="1" x14ac:dyDescent="0.15">
      <c r="C39024" s="101"/>
    </row>
    <row r="39025" spans="3:3" s="8" customFormat="1" ht="21.95" customHeight="1" x14ac:dyDescent="0.15">
      <c r="C39025" s="101"/>
    </row>
    <row r="39026" spans="3:3" s="8" customFormat="1" ht="21.95" customHeight="1" x14ac:dyDescent="0.15"/>
    <row r="39027" spans="3:3" s="8" customFormat="1" ht="21.95" customHeight="1" x14ac:dyDescent="0.15"/>
    <row r="39028" spans="3:3" s="8" customFormat="1" ht="21.95" customHeight="1" x14ac:dyDescent="0.15"/>
    <row r="39029" spans="3:3" s="8" customFormat="1" ht="21.95" customHeight="1" x14ac:dyDescent="0.15"/>
    <row r="39030" spans="3:3" s="8" customFormat="1" ht="21.95" customHeight="1" x14ac:dyDescent="0.15"/>
    <row r="39031" spans="3:3" s="8" customFormat="1" ht="21.95" customHeight="1" x14ac:dyDescent="0.15"/>
    <row r="39032" spans="3:3" s="8" customFormat="1" ht="21.95" customHeight="1" x14ac:dyDescent="0.15"/>
    <row r="39033" spans="3:3" s="9" customFormat="1" ht="21.95" customHeight="1" x14ac:dyDescent="0.15"/>
    <row r="39034" spans="3:3" s="9" customFormat="1" ht="21.95" customHeight="1" x14ac:dyDescent="0.15"/>
    <row r="39035" spans="3:3" s="9" customFormat="1" ht="21.95" customHeight="1" x14ac:dyDescent="0.15"/>
    <row r="39036" spans="3:3" s="9" customFormat="1" ht="21.95" customHeight="1" x14ac:dyDescent="0.15"/>
    <row r="39037" spans="3:3" s="8" customFormat="1" ht="21.95" customHeight="1" x14ac:dyDescent="0.15"/>
    <row r="39038" spans="3:3" s="8" customFormat="1" ht="21.95" customHeight="1" x14ac:dyDescent="0.15"/>
    <row r="39039" spans="3:3" s="8" customFormat="1" ht="21.95" customHeight="1" x14ac:dyDescent="0.15"/>
    <row r="39040" spans="3:3" s="8" customFormat="1" ht="21.95" customHeight="1" x14ac:dyDescent="0.15"/>
    <row r="39041" s="8" customFormat="1" ht="21.95" customHeight="1" x14ac:dyDescent="0.15"/>
    <row r="39042" s="8" customFormat="1" ht="21.95" customHeight="1" x14ac:dyDescent="0.15"/>
    <row r="39043" s="8" customFormat="1" ht="21.95" customHeight="1" x14ac:dyDescent="0.15"/>
    <row r="39044" s="8" customFormat="1" ht="21.95" customHeight="1" x14ac:dyDescent="0.15"/>
    <row r="39045" s="8" customFormat="1" ht="21.95" customHeight="1" x14ac:dyDescent="0.15"/>
    <row r="39046" s="8" customFormat="1" ht="21.95" customHeight="1" x14ac:dyDescent="0.15"/>
    <row r="39047" s="8" customFormat="1" ht="21.95" customHeight="1" x14ac:dyDescent="0.15"/>
    <row r="39048" s="8" customFormat="1" ht="32.1" customHeight="1" x14ac:dyDescent="0.15"/>
    <row r="39049" s="8" customFormat="1" ht="32.1" customHeight="1" x14ac:dyDescent="0.15"/>
    <row r="39050" s="8" customFormat="1" ht="32.1" customHeight="1" x14ac:dyDescent="0.15"/>
    <row r="39051" s="8" customFormat="1" ht="32.1" customHeight="1" x14ac:dyDescent="0.15"/>
    <row r="39052" s="8" customFormat="1" ht="32.1" customHeight="1" x14ac:dyDescent="0.15"/>
    <row r="39053" s="8" customFormat="1" ht="32.1" customHeight="1" x14ac:dyDescent="0.15"/>
    <row r="39054" s="9" customFormat="1" ht="32.1" customHeight="1" x14ac:dyDescent="0.15"/>
    <row r="39055" s="9" customFormat="1" ht="32.1" customHeight="1" x14ac:dyDescent="0.15"/>
    <row r="39056" s="9" customFormat="1" ht="32.1" customHeight="1" x14ac:dyDescent="0.15"/>
    <row r="39057" s="9" customFormat="1" ht="32.1" customHeight="1" x14ac:dyDescent="0.15"/>
    <row r="39058" s="9" customFormat="1" ht="21.95" customHeight="1" x14ac:dyDescent="0.15"/>
    <row r="39059" s="9" customFormat="1" ht="54" customHeight="1" x14ac:dyDescent="0.15"/>
    <row r="39060" s="9" customFormat="1" ht="21.95" customHeight="1" x14ac:dyDescent="0.15"/>
    <row r="39061" s="9" customFormat="1" ht="21.95" customHeight="1" x14ac:dyDescent="0.15"/>
    <row r="39062" s="9" customFormat="1" ht="21.95" customHeight="1" x14ac:dyDescent="0.15"/>
    <row r="39063" s="9" customFormat="1" ht="21.95" customHeight="1" x14ac:dyDescent="0.15"/>
    <row r="39064" s="9" customFormat="1" ht="21.95" customHeight="1" x14ac:dyDescent="0.15"/>
    <row r="39065" s="9" customFormat="1" ht="21.95" customHeight="1" x14ac:dyDescent="0.15"/>
    <row r="39066" s="9" customFormat="1" ht="21.95" customHeight="1" x14ac:dyDescent="0.15"/>
    <row r="39067" s="9" customFormat="1" ht="21.95" customHeight="1" x14ac:dyDescent="0.15"/>
    <row r="39068" s="9" customFormat="1" ht="21.95" customHeight="1" x14ac:dyDescent="0.15"/>
    <row r="39069" s="9" customFormat="1" ht="21.95" customHeight="1" x14ac:dyDescent="0.15"/>
    <row r="39070" s="9" customFormat="1" ht="21.95" customHeight="1" x14ac:dyDescent="0.15"/>
    <row r="39071" s="9" customFormat="1" ht="21.95" customHeight="1" x14ac:dyDescent="0.15"/>
    <row r="39072" s="9" customFormat="1" ht="21.95" customHeight="1" x14ac:dyDescent="0.15"/>
    <row r="39073" s="9" customFormat="1" ht="21.95" customHeight="1" x14ac:dyDescent="0.15"/>
    <row r="39074" s="9" customFormat="1" ht="21.95" customHeight="1" x14ac:dyDescent="0.15"/>
    <row r="39075" s="9" customFormat="1" ht="21.95" customHeight="1" x14ac:dyDescent="0.15"/>
    <row r="39076" s="9" customFormat="1" ht="21.95" customHeight="1" x14ac:dyDescent="0.15"/>
    <row r="39077" s="9" customFormat="1" ht="21.95" customHeight="1" x14ac:dyDescent="0.15"/>
    <row r="39078" s="9" customFormat="1" ht="21.95" customHeight="1" x14ac:dyDescent="0.15"/>
    <row r="39079" s="9" customFormat="1" ht="21.95" customHeight="1" x14ac:dyDescent="0.15"/>
    <row r="39080" s="9" customFormat="1" ht="21.95" customHeight="1" x14ac:dyDescent="0.15"/>
    <row r="39081" s="9" customFormat="1" ht="21.95" customHeight="1" x14ac:dyDescent="0.15"/>
    <row r="39082" s="9" customFormat="1" ht="21.95" customHeight="1" x14ac:dyDescent="0.15"/>
    <row r="39083" s="9" customFormat="1" ht="21.95" customHeight="1" x14ac:dyDescent="0.15"/>
    <row r="39084" s="9" customFormat="1" ht="21.95" customHeight="1" x14ac:dyDescent="0.15"/>
    <row r="39085" s="9" customFormat="1" ht="21.95" customHeight="1" x14ac:dyDescent="0.15"/>
    <row r="39086" s="9" customFormat="1" ht="21.95" customHeight="1" x14ac:dyDescent="0.15"/>
    <row r="39087" s="9" customFormat="1" ht="21.95" customHeight="1" x14ac:dyDescent="0.15"/>
    <row r="39088" s="9" customFormat="1" ht="21.95" customHeight="1" x14ac:dyDescent="0.15"/>
    <row r="39089" s="9" customFormat="1" ht="21.95" customHeight="1" x14ac:dyDescent="0.15"/>
    <row r="39090" s="9" customFormat="1" ht="21.95" customHeight="1" x14ac:dyDescent="0.15"/>
    <row r="39091" s="9" customFormat="1" ht="21.95" customHeight="1" x14ac:dyDescent="0.15"/>
    <row r="39092" s="9" customFormat="1" ht="21.95" customHeight="1" x14ac:dyDescent="0.15"/>
    <row r="39093" s="9" customFormat="1" ht="21.95" customHeight="1" x14ac:dyDescent="0.15"/>
    <row r="39094" s="9" customFormat="1" ht="21.95" customHeight="1" x14ac:dyDescent="0.15"/>
    <row r="39095" s="9" customFormat="1" ht="21.95" customHeight="1" x14ac:dyDescent="0.15"/>
    <row r="39096" s="9" customFormat="1" ht="21.95" customHeight="1" x14ac:dyDescent="0.15"/>
    <row r="39097" s="9" customFormat="1" ht="21.95" customHeight="1" x14ac:dyDescent="0.15"/>
    <row r="39098" s="9" customFormat="1" ht="21.95" customHeight="1" x14ac:dyDescent="0.15"/>
    <row r="39099" s="9" customFormat="1" ht="21.95" customHeight="1" x14ac:dyDescent="0.15"/>
    <row r="39100" s="9" customFormat="1" ht="21.95" customHeight="1" x14ac:dyDescent="0.15"/>
    <row r="39101" s="9" customFormat="1" ht="21.95" customHeight="1" x14ac:dyDescent="0.15"/>
    <row r="39102" s="9" customFormat="1" ht="21.95" customHeight="1" x14ac:dyDescent="0.15"/>
    <row r="39103" s="9" customFormat="1" ht="21.95" customHeight="1" x14ac:dyDescent="0.15"/>
    <row r="39104" s="9" customFormat="1" ht="21.95" customHeight="1" x14ac:dyDescent="0.15"/>
    <row r="39105" s="9" customFormat="1" ht="21.95" customHeight="1" x14ac:dyDescent="0.15"/>
    <row r="39106" s="9" customFormat="1" ht="21.95" customHeight="1" x14ac:dyDescent="0.15"/>
    <row r="39107" s="9" customFormat="1" ht="21.95" customHeight="1" x14ac:dyDescent="0.15"/>
    <row r="39108" s="9" customFormat="1" ht="21.95" customHeight="1" x14ac:dyDescent="0.15"/>
    <row r="39109" s="9" customFormat="1" ht="21.95" customHeight="1" x14ac:dyDescent="0.15"/>
    <row r="39110" s="9" customFormat="1" ht="35.1" customHeight="1" x14ac:dyDescent="0.15"/>
    <row r="39111" s="9" customFormat="1" ht="21.95" customHeight="1" x14ac:dyDescent="0.15"/>
    <row r="39112" s="9" customFormat="1" ht="21.95" customHeight="1" x14ac:dyDescent="0.15"/>
    <row r="39113" s="9" customFormat="1" ht="21.95" customHeight="1" x14ac:dyDescent="0.15"/>
    <row r="39114" s="9" customFormat="1" ht="21.95" customHeight="1" x14ac:dyDescent="0.15"/>
    <row r="39115" s="9" customFormat="1" ht="21.95" customHeight="1" x14ac:dyDescent="0.15"/>
    <row r="39116" s="9" customFormat="1" ht="21.95" customHeight="1" x14ac:dyDescent="0.15"/>
    <row r="39117" s="9" customFormat="1" ht="21.95" customHeight="1" x14ac:dyDescent="0.15"/>
    <row r="39118" s="9" customFormat="1" ht="21.95" customHeight="1" x14ac:dyDescent="0.15"/>
    <row r="39119" s="9" customFormat="1" ht="21.95" customHeight="1" x14ac:dyDescent="0.15"/>
    <row r="39120" s="9" customFormat="1" ht="21.95" customHeight="1" x14ac:dyDescent="0.15"/>
    <row r="39121" spans="3:3" s="9" customFormat="1" ht="21.95" customHeight="1" x14ac:dyDescent="0.15"/>
    <row r="39122" spans="3:3" s="9" customFormat="1" ht="21.95" customHeight="1" x14ac:dyDescent="0.15"/>
    <row r="39123" spans="3:3" s="9" customFormat="1" ht="21.95" customHeight="1" x14ac:dyDescent="0.15"/>
    <row r="39124" spans="3:3" s="9" customFormat="1" ht="21.95" customHeight="1" x14ac:dyDescent="0.15"/>
    <row r="39125" spans="3:3" s="9" customFormat="1" ht="21.95" customHeight="1" x14ac:dyDescent="0.15"/>
    <row r="39126" spans="3:3" s="9" customFormat="1" ht="21.95" customHeight="1" x14ac:dyDescent="0.15"/>
    <row r="39127" spans="3:3" s="9" customFormat="1" ht="21.95" customHeight="1" x14ac:dyDescent="0.15"/>
    <row r="39128" spans="3:3" s="9" customFormat="1" ht="21.95" customHeight="1" x14ac:dyDescent="0.15"/>
    <row r="39129" spans="3:3" s="9" customFormat="1" ht="21.95" customHeight="1" x14ac:dyDescent="0.15"/>
    <row r="39130" spans="3:3" s="9" customFormat="1" ht="21.95" customHeight="1" x14ac:dyDescent="0.15"/>
    <row r="39131" spans="3:3" s="9" customFormat="1" ht="21.95" customHeight="1" x14ac:dyDescent="0.15"/>
    <row r="39132" spans="3:3" s="9" customFormat="1" ht="21.95" customHeight="1" x14ac:dyDescent="0.15"/>
    <row r="39133" spans="3:3" s="9" customFormat="1" ht="21.95" customHeight="1" x14ac:dyDescent="0.15"/>
    <row r="39134" spans="3:3" s="8" customFormat="1" ht="21.95" customHeight="1" x14ac:dyDescent="0.15"/>
    <row r="39135" spans="3:3" s="8" customFormat="1" ht="21.95" customHeight="1" x14ac:dyDescent="0.15"/>
    <row r="39136" spans="3:3" s="8" customFormat="1" ht="21.95" customHeight="1" x14ac:dyDescent="0.15">
      <c r="C39136" s="101"/>
    </row>
    <row r="39137" spans="3:3" s="8" customFormat="1" ht="21.95" customHeight="1" x14ac:dyDescent="0.15">
      <c r="C39137" s="101"/>
    </row>
    <row r="39138" spans="3:3" s="8" customFormat="1" ht="21.95" customHeight="1" x14ac:dyDescent="0.15"/>
    <row r="39139" spans="3:3" s="8" customFormat="1" ht="21.95" customHeight="1" x14ac:dyDescent="0.15"/>
    <row r="39140" spans="3:3" s="8" customFormat="1" ht="21.95" customHeight="1" x14ac:dyDescent="0.15"/>
    <row r="39141" spans="3:3" s="8" customFormat="1" ht="21.95" customHeight="1" x14ac:dyDescent="0.15"/>
    <row r="39142" spans="3:3" s="8" customFormat="1" ht="21.95" customHeight="1" x14ac:dyDescent="0.15"/>
    <row r="39143" spans="3:3" s="8" customFormat="1" ht="21.95" customHeight="1" x14ac:dyDescent="0.15"/>
    <row r="39144" spans="3:3" s="8" customFormat="1" ht="21.95" customHeight="1" x14ac:dyDescent="0.15"/>
    <row r="39145" spans="3:3" s="9" customFormat="1" ht="21.95" customHeight="1" x14ac:dyDescent="0.15"/>
    <row r="39146" spans="3:3" s="9" customFormat="1" ht="21.95" customHeight="1" x14ac:dyDescent="0.15"/>
    <row r="39147" spans="3:3" s="9" customFormat="1" ht="21.95" customHeight="1" x14ac:dyDescent="0.15"/>
    <row r="39148" spans="3:3" s="9" customFormat="1" ht="21.95" customHeight="1" x14ac:dyDescent="0.15"/>
    <row r="39149" spans="3:3" s="8" customFormat="1" ht="21.95" customHeight="1" x14ac:dyDescent="0.15"/>
    <row r="39150" spans="3:3" s="8" customFormat="1" ht="21.95" customHeight="1" x14ac:dyDescent="0.15"/>
    <row r="39151" spans="3:3" s="8" customFormat="1" ht="21.95" customHeight="1" x14ac:dyDescent="0.15"/>
    <row r="39152" spans="3:3" s="8" customFormat="1" ht="21.95" customHeight="1" x14ac:dyDescent="0.15"/>
    <row r="39153" s="8" customFormat="1" ht="21.95" customHeight="1" x14ac:dyDescent="0.15"/>
    <row r="39154" s="8" customFormat="1" ht="21.95" customHeight="1" x14ac:dyDescent="0.15"/>
    <row r="39155" s="8" customFormat="1" ht="21.95" customHeight="1" x14ac:dyDescent="0.15"/>
    <row r="39156" s="8" customFormat="1" ht="21.95" customHeight="1" x14ac:dyDescent="0.15"/>
    <row r="39157" s="8" customFormat="1" ht="21.95" customHeight="1" x14ac:dyDescent="0.15"/>
    <row r="39158" s="8" customFormat="1" ht="21.95" customHeight="1" x14ac:dyDescent="0.15"/>
    <row r="39159" s="8" customFormat="1" ht="21.95" customHeight="1" x14ac:dyDescent="0.15"/>
    <row r="39160" s="8" customFormat="1" ht="32.1" customHeight="1" x14ac:dyDescent="0.15"/>
    <row r="39161" s="8" customFormat="1" ht="32.1" customHeight="1" x14ac:dyDescent="0.15"/>
    <row r="39162" s="8" customFormat="1" ht="32.1" customHeight="1" x14ac:dyDescent="0.15"/>
    <row r="39163" s="8" customFormat="1" ht="32.1" customHeight="1" x14ac:dyDescent="0.15"/>
    <row r="39164" s="8" customFormat="1" ht="32.1" customHeight="1" x14ac:dyDescent="0.15"/>
    <row r="39165" s="8" customFormat="1" ht="32.1" customHeight="1" x14ac:dyDescent="0.15"/>
    <row r="39166" s="9" customFormat="1" ht="32.1" customHeight="1" x14ac:dyDescent="0.15"/>
    <row r="39167" s="9" customFormat="1" ht="32.1" customHeight="1" x14ac:dyDescent="0.15"/>
    <row r="39168" s="9" customFormat="1" ht="32.1" customHeight="1" x14ac:dyDescent="0.15"/>
    <row r="39169" s="9" customFormat="1" ht="32.1" customHeight="1" x14ac:dyDescent="0.15"/>
    <row r="39170" s="9" customFormat="1" ht="21.95" customHeight="1" x14ac:dyDescent="0.15"/>
    <row r="39171" s="9" customFormat="1" ht="54" customHeight="1" x14ac:dyDescent="0.15"/>
    <row r="39172" s="9" customFormat="1" ht="21.95" customHeight="1" x14ac:dyDescent="0.15"/>
    <row r="39173" s="9" customFormat="1" ht="21.95" customHeight="1" x14ac:dyDescent="0.15"/>
    <row r="39174" s="9" customFormat="1" ht="21.95" customHeight="1" x14ac:dyDescent="0.15"/>
    <row r="39175" s="9" customFormat="1" ht="21.95" customHeight="1" x14ac:dyDescent="0.15"/>
    <row r="39176" s="9" customFormat="1" ht="21.95" customHeight="1" x14ac:dyDescent="0.15"/>
    <row r="39177" s="9" customFormat="1" ht="21.95" customHeight="1" x14ac:dyDescent="0.15"/>
    <row r="39178" s="9" customFormat="1" ht="21.95" customHeight="1" x14ac:dyDescent="0.15"/>
    <row r="39179" s="9" customFormat="1" ht="21.95" customHeight="1" x14ac:dyDescent="0.15"/>
    <row r="39180" s="9" customFormat="1" ht="21.95" customHeight="1" x14ac:dyDescent="0.15"/>
    <row r="39181" s="9" customFormat="1" ht="21.95" customHeight="1" x14ac:dyDescent="0.15"/>
    <row r="39182" s="9" customFormat="1" ht="21.95" customHeight="1" x14ac:dyDescent="0.15"/>
    <row r="39183" s="9" customFormat="1" ht="21.95" customHeight="1" x14ac:dyDescent="0.15"/>
    <row r="39184" s="9" customFormat="1" ht="21.95" customHeight="1" x14ac:dyDescent="0.15"/>
    <row r="39185" s="9" customFormat="1" ht="21.95" customHeight="1" x14ac:dyDescent="0.15"/>
    <row r="39186" s="9" customFormat="1" ht="21.95" customHeight="1" x14ac:dyDescent="0.15"/>
    <row r="39187" s="9" customFormat="1" ht="21.95" customHeight="1" x14ac:dyDescent="0.15"/>
    <row r="39188" s="9" customFormat="1" ht="21.95" customHeight="1" x14ac:dyDescent="0.15"/>
    <row r="39189" s="9" customFormat="1" ht="21.95" customHeight="1" x14ac:dyDescent="0.15"/>
    <row r="39190" s="9" customFormat="1" ht="21.95" customHeight="1" x14ac:dyDescent="0.15"/>
    <row r="39191" s="9" customFormat="1" ht="21.95" customHeight="1" x14ac:dyDescent="0.15"/>
    <row r="39192" s="9" customFormat="1" ht="21.95" customHeight="1" x14ac:dyDescent="0.15"/>
    <row r="39193" s="9" customFormat="1" ht="21.95" customHeight="1" x14ac:dyDescent="0.15"/>
    <row r="39194" s="9" customFormat="1" ht="21.95" customHeight="1" x14ac:dyDescent="0.15"/>
    <row r="39195" s="9" customFormat="1" ht="21.95" customHeight="1" x14ac:dyDescent="0.15"/>
    <row r="39196" s="9" customFormat="1" ht="21.95" customHeight="1" x14ac:dyDescent="0.15"/>
    <row r="39197" s="9" customFormat="1" ht="21.95" customHeight="1" x14ac:dyDescent="0.15"/>
    <row r="39198" s="9" customFormat="1" ht="21.95" customHeight="1" x14ac:dyDescent="0.15"/>
    <row r="39199" s="9" customFormat="1" ht="21.95" customHeight="1" x14ac:dyDescent="0.15"/>
    <row r="39200" s="9" customFormat="1" ht="21.95" customHeight="1" x14ac:dyDescent="0.15"/>
    <row r="39201" s="9" customFormat="1" ht="21.95" customHeight="1" x14ac:dyDescent="0.15"/>
    <row r="39202" s="9" customFormat="1" ht="21.95" customHeight="1" x14ac:dyDescent="0.15"/>
    <row r="39203" s="9" customFormat="1" ht="21.95" customHeight="1" x14ac:dyDescent="0.15"/>
    <row r="39204" s="9" customFormat="1" ht="21.95" customHeight="1" x14ac:dyDescent="0.15"/>
    <row r="39205" s="9" customFormat="1" ht="21.95" customHeight="1" x14ac:dyDescent="0.15"/>
    <row r="39206" s="9" customFormat="1" ht="21.95" customHeight="1" x14ac:dyDescent="0.15"/>
    <row r="39207" s="9" customFormat="1" ht="21.95" customHeight="1" x14ac:dyDescent="0.15"/>
    <row r="39208" s="9" customFormat="1" ht="21.95" customHeight="1" x14ac:dyDescent="0.15"/>
    <row r="39209" s="9" customFormat="1" ht="21.95" customHeight="1" x14ac:dyDescent="0.15"/>
    <row r="39210" s="9" customFormat="1" ht="21.95" customHeight="1" x14ac:dyDescent="0.15"/>
    <row r="39211" s="9" customFormat="1" ht="21.95" customHeight="1" x14ac:dyDescent="0.15"/>
    <row r="39212" s="9" customFormat="1" ht="21.95" customHeight="1" x14ac:dyDescent="0.15"/>
    <row r="39213" s="9" customFormat="1" ht="21.95" customHeight="1" x14ac:dyDescent="0.15"/>
    <row r="39214" s="9" customFormat="1" ht="21.95" customHeight="1" x14ac:dyDescent="0.15"/>
    <row r="39215" s="9" customFormat="1" ht="21.95" customHeight="1" x14ac:dyDescent="0.15"/>
    <row r="39216" s="9" customFormat="1" ht="21.95" customHeight="1" x14ac:dyDescent="0.15"/>
    <row r="39217" s="9" customFormat="1" ht="21.95" customHeight="1" x14ac:dyDescent="0.15"/>
    <row r="39218" s="9" customFormat="1" ht="21.95" customHeight="1" x14ac:dyDescent="0.15"/>
    <row r="39219" s="9" customFormat="1" ht="21.95" customHeight="1" x14ac:dyDescent="0.15"/>
    <row r="39220" s="9" customFormat="1" ht="21.95" customHeight="1" x14ac:dyDescent="0.15"/>
    <row r="39221" s="9" customFormat="1" ht="21.95" customHeight="1" x14ac:dyDescent="0.15"/>
    <row r="39222" s="9" customFormat="1" ht="35.1" customHeight="1" x14ac:dyDescent="0.15"/>
    <row r="39223" s="9" customFormat="1" ht="21.95" customHeight="1" x14ac:dyDescent="0.15"/>
    <row r="39224" s="9" customFormat="1" ht="21.95" customHeight="1" x14ac:dyDescent="0.15"/>
    <row r="39225" s="9" customFormat="1" ht="21.95" customHeight="1" x14ac:dyDescent="0.15"/>
    <row r="39226" s="9" customFormat="1" ht="21.95" customHeight="1" x14ac:dyDescent="0.15"/>
    <row r="39227" s="9" customFormat="1" ht="21.95" customHeight="1" x14ac:dyDescent="0.15"/>
    <row r="39228" s="9" customFormat="1" ht="21.95" customHeight="1" x14ac:dyDescent="0.15"/>
    <row r="39229" s="9" customFormat="1" ht="21.95" customHeight="1" x14ac:dyDescent="0.15"/>
    <row r="39230" s="9" customFormat="1" ht="21.95" customHeight="1" x14ac:dyDescent="0.15"/>
    <row r="39231" s="9" customFormat="1" ht="21.95" customHeight="1" x14ac:dyDescent="0.15"/>
    <row r="39232" s="9" customFormat="1" ht="21.95" customHeight="1" x14ac:dyDescent="0.15"/>
    <row r="39233" spans="3:3" s="9" customFormat="1" ht="21.95" customHeight="1" x14ac:dyDescent="0.15"/>
    <row r="39234" spans="3:3" s="9" customFormat="1" ht="21.95" customHeight="1" x14ac:dyDescent="0.15"/>
    <row r="39235" spans="3:3" s="9" customFormat="1" ht="21.95" customHeight="1" x14ac:dyDescent="0.15"/>
    <row r="39236" spans="3:3" s="9" customFormat="1" ht="21.95" customHeight="1" x14ac:dyDescent="0.15"/>
    <row r="39237" spans="3:3" s="9" customFormat="1" ht="21.95" customHeight="1" x14ac:dyDescent="0.15"/>
    <row r="39238" spans="3:3" s="9" customFormat="1" ht="21.95" customHeight="1" x14ac:dyDescent="0.15"/>
    <row r="39239" spans="3:3" s="9" customFormat="1" ht="21.95" customHeight="1" x14ac:dyDescent="0.15"/>
    <row r="39240" spans="3:3" s="9" customFormat="1" ht="21.95" customHeight="1" x14ac:dyDescent="0.15"/>
    <row r="39241" spans="3:3" s="9" customFormat="1" ht="21.95" customHeight="1" x14ac:dyDescent="0.15"/>
    <row r="39242" spans="3:3" s="9" customFormat="1" ht="21.95" customHeight="1" x14ac:dyDescent="0.15"/>
    <row r="39243" spans="3:3" s="9" customFormat="1" ht="21.95" customHeight="1" x14ac:dyDescent="0.15"/>
    <row r="39244" spans="3:3" s="9" customFormat="1" ht="21.95" customHeight="1" x14ac:dyDescent="0.15"/>
    <row r="39245" spans="3:3" s="9" customFormat="1" ht="21.95" customHeight="1" x14ac:dyDescent="0.15"/>
    <row r="39246" spans="3:3" s="8" customFormat="1" ht="21.95" customHeight="1" x14ac:dyDescent="0.15"/>
    <row r="39247" spans="3:3" s="8" customFormat="1" ht="21.95" customHeight="1" x14ac:dyDescent="0.15"/>
    <row r="39248" spans="3:3" s="8" customFormat="1" ht="21.95" customHeight="1" x14ac:dyDescent="0.15">
      <c r="C39248" s="101"/>
    </row>
    <row r="39249" spans="3:3" s="8" customFormat="1" ht="21.95" customHeight="1" x14ac:dyDescent="0.15">
      <c r="C39249" s="101"/>
    </row>
    <row r="39250" spans="3:3" s="8" customFormat="1" ht="21.95" customHeight="1" x14ac:dyDescent="0.15"/>
    <row r="39251" spans="3:3" s="8" customFormat="1" ht="21.95" customHeight="1" x14ac:dyDescent="0.15"/>
    <row r="39252" spans="3:3" s="8" customFormat="1" ht="21.95" customHeight="1" x14ac:dyDescent="0.15"/>
    <row r="39253" spans="3:3" s="8" customFormat="1" ht="21.95" customHeight="1" x14ac:dyDescent="0.15"/>
    <row r="39254" spans="3:3" s="8" customFormat="1" ht="21.95" customHeight="1" x14ac:dyDescent="0.15"/>
    <row r="39255" spans="3:3" s="8" customFormat="1" ht="21.95" customHeight="1" x14ac:dyDescent="0.15"/>
    <row r="39256" spans="3:3" s="8" customFormat="1" ht="21.95" customHeight="1" x14ac:dyDescent="0.15"/>
    <row r="39257" spans="3:3" s="9" customFormat="1" ht="21.95" customHeight="1" x14ac:dyDescent="0.15"/>
    <row r="39258" spans="3:3" s="9" customFormat="1" ht="21.95" customHeight="1" x14ac:dyDescent="0.15"/>
    <row r="39259" spans="3:3" s="9" customFormat="1" ht="21.95" customHeight="1" x14ac:dyDescent="0.15"/>
    <row r="39260" spans="3:3" s="9" customFormat="1" ht="21.95" customHeight="1" x14ac:dyDescent="0.15"/>
    <row r="39261" spans="3:3" s="8" customFormat="1" ht="21.95" customHeight="1" x14ac:dyDescent="0.15"/>
    <row r="39262" spans="3:3" s="8" customFormat="1" ht="21.95" customHeight="1" x14ac:dyDescent="0.15"/>
    <row r="39263" spans="3:3" s="8" customFormat="1" ht="21.95" customHeight="1" x14ac:dyDescent="0.15"/>
    <row r="39264" spans="3:3" s="8" customFormat="1" ht="21.95" customHeight="1" x14ac:dyDescent="0.15"/>
    <row r="39265" s="8" customFormat="1" ht="21.95" customHeight="1" x14ac:dyDescent="0.15"/>
    <row r="39266" s="8" customFormat="1" ht="21.95" customHeight="1" x14ac:dyDescent="0.15"/>
    <row r="39267" s="8" customFormat="1" ht="21.95" customHeight="1" x14ac:dyDescent="0.15"/>
    <row r="39268" s="8" customFormat="1" ht="21.95" customHeight="1" x14ac:dyDescent="0.15"/>
    <row r="39269" s="8" customFormat="1" ht="21.95" customHeight="1" x14ac:dyDescent="0.15"/>
    <row r="39270" s="8" customFormat="1" ht="21.95" customHeight="1" x14ac:dyDescent="0.15"/>
    <row r="39271" s="8" customFormat="1" ht="21.95" customHeight="1" x14ac:dyDescent="0.15"/>
    <row r="39272" s="8" customFormat="1" ht="32.1" customHeight="1" x14ac:dyDescent="0.15"/>
    <row r="39273" s="8" customFormat="1" ht="32.1" customHeight="1" x14ac:dyDescent="0.15"/>
    <row r="39274" s="8" customFormat="1" ht="32.1" customHeight="1" x14ac:dyDescent="0.15"/>
    <row r="39275" s="8" customFormat="1" ht="32.1" customHeight="1" x14ac:dyDescent="0.15"/>
    <row r="39276" s="8" customFormat="1" ht="32.1" customHeight="1" x14ac:dyDescent="0.15"/>
    <row r="39277" s="8" customFormat="1" ht="32.1" customHeight="1" x14ac:dyDescent="0.15"/>
    <row r="39278" s="9" customFormat="1" ht="32.1" customHeight="1" x14ac:dyDescent="0.15"/>
    <row r="39279" s="9" customFormat="1" ht="32.1" customHeight="1" x14ac:dyDescent="0.15"/>
    <row r="39280" s="9" customFormat="1" ht="32.1" customHeight="1" x14ac:dyDescent="0.15"/>
    <row r="39281" s="9" customFormat="1" ht="32.1" customHeight="1" x14ac:dyDescent="0.15"/>
    <row r="39282" s="9" customFormat="1" ht="21.95" customHeight="1" x14ac:dyDescent="0.15"/>
    <row r="39283" s="9" customFormat="1" ht="54" customHeight="1" x14ac:dyDescent="0.15"/>
    <row r="39284" s="9" customFormat="1" ht="21.95" customHeight="1" x14ac:dyDescent="0.15"/>
    <row r="39285" s="9" customFormat="1" ht="21.95" customHeight="1" x14ac:dyDescent="0.15"/>
    <row r="39286" s="9" customFormat="1" ht="21.95" customHeight="1" x14ac:dyDescent="0.15"/>
    <row r="39287" s="9" customFormat="1" ht="21.95" customHeight="1" x14ac:dyDescent="0.15"/>
    <row r="39288" s="9" customFormat="1" ht="21.95" customHeight="1" x14ac:dyDescent="0.15"/>
    <row r="39289" s="9" customFormat="1" ht="21.95" customHeight="1" x14ac:dyDescent="0.15"/>
    <row r="39290" s="9" customFormat="1" ht="21.95" customHeight="1" x14ac:dyDescent="0.15"/>
    <row r="39291" s="9" customFormat="1" ht="21.95" customHeight="1" x14ac:dyDescent="0.15"/>
    <row r="39292" s="9" customFormat="1" ht="21.95" customHeight="1" x14ac:dyDescent="0.15"/>
    <row r="39293" s="9" customFormat="1" ht="21.95" customHeight="1" x14ac:dyDescent="0.15"/>
    <row r="39294" s="9" customFormat="1" ht="21.95" customHeight="1" x14ac:dyDescent="0.15"/>
    <row r="39295" s="9" customFormat="1" ht="21.95" customHeight="1" x14ac:dyDescent="0.15"/>
    <row r="39296" s="9" customFormat="1" ht="21.95" customHeight="1" x14ac:dyDescent="0.15"/>
    <row r="39297" s="9" customFormat="1" ht="21.95" customHeight="1" x14ac:dyDescent="0.15"/>
    <row r="39298" s="9" customFormat="1" ht="21.95" customHeight="1" x14ac:dyDescent="0.15"/>
    <row r="39299" s="9" customFormat="1" ht="21.95" customHeight="1" x14ac:dyDescent="0.15"/>
    <row r="39300" s="9" customFormat="1" ht="21.95" customHeight="1" x14ac:dyDescent="0.15"/>
    <row r="39301" s="9" customFormat="1" ht="21.95" customHeight="1" x14ac:dyDescent="0.15"/>
    <row r="39302" s="9" customFormat="1" ht="21.95" customHeight="1" x14ac:dyDescent="0.15"/>
    <row r="39303" s="9" customFormat="1" ht="21.95" customHeight="1" x14ac:dyDescent="0.15"/>
    <row r="39304" s="9" customFormat="1" ht="21.95" customHeight="1" x14ac:dyDescent="0.15"/>
    <row r="39305" s="9" customFormat="1" ht="21.95" customHeight="1" x14ac:dyDescent="0.15"/>
    <row r="39306" s="9" customFormat="1" ht="21.95" customHeight="1" x14ac:dyDescent="0.15"/>
    <row r="39307" s="9" customFormat="1" ht="21.95" customHeight="1" x14ac:dyDescent="0.15"/>
    <row r="39308" s="9" customFormat="1" ht="21.95" customHeight="1" x14ac:dyDescent="0.15"/>
    <row r="39309" s="9" customFormat="1" ht="21.95" customHeight="1" x14ac:dyDescent="0.15"/>
    <row r="39310" s="9" customFormat="1" ht="21.95" customHeight="1" x14ac:dyDescent="0.15"/>
    <row r="39311" s="9" customFormat="1" ht="21.95" customHeight="1" x14ac:dyDescent="0.15"/>
    <row r="39312" s="9" customFormat="1" ht="21.95" customHeight="1" x14ac:dyDescent="0.15"/>
    <row r="39313" s="9" customFormat="1" ht="21.95" customHeight="1" x14ac:dyDescent="0.15"/>
    <row r="39314" s="9" customFormat="1" ht="21.95" customHeight="1" x14ac:dyDescent="0.15"/>
    <row r="39315" s="9" customFormat="1" ht="21.95" customHeight="1" x14ac:dyDescent="0.15"/>
    <row r="39316" s="9" customFormat="1" ht="21.95" customHeight="1" x14ac:dyDescent="0.15"/>
    <row r="39317" s="9" customFormat="1" ht="21.95" customHeight="1" x14ac:dyDescent="0.15"/>
    <row r="39318" s="9" customFormat="1" ht="21.95" customHeight="1" x14ac:dyDescent="0.15"/>
    <row r="39319" s="9" customFormat="1" ht="21.95" customHeight="1" x14ac:dyDescent="0.15"/>
    <row r="39320" s="9" customFormat="1" ht="21.95" customHeight="1" x14ac:dyDescent="0.15"/>
    <row r="39321" s="9" customFormat="1" ht="21.95" customHeight="1" x14ac:dyDescent="0.15"/>
    <row r="39322" s="9" customFormat="1" ht="21.95" customHeight="1" x14ac:dyDescent="0.15"/>
    <row r="39323" s="9" customFormat="1" ht="21.95" customHeight="1" x14ac:dyDescent="0.15"/>
    <row r="39324" s="9" customFormat="1" ht="21.95" customHeight="1" x14ac:dyDescent="0.15"/>
    <row r="39325" s="9" customFormat="1" ht="21.95" customHeight="1" x14ac:dyDescent="0.15"/>
    <row r="39326" s="9" customFormat="1" ht="21.95" customHeight="1" x14ac:dyDescent="0.15"/>
    <row r="39327" s="9" customFormat="1" ht="21.95" customHeight="1" x14ac:dyDescent="0.15"/>
    <row r="39328" s="9" customFormat="1" ht="21.95" customHeight="1" x14ac:dyDescent="0.15"/>
    <row r="39329" s="9" customFormat="1" ht="21.95" customHeight="1" x14ac:dyDescent="0.15"/>
    <row r="39330" s="9" customFormat="1" ht="21.95" customHeight="1" x14ac:dyDescent="0.15"/>
    <row r="39331" s="9" customFormat="1" ht="21.95" customHeight="1" x14ac:dyDescent="0.15"/>
    <row r="39332" s="9" customFormat="1" ht="21.95" customHeight="1" x14ac:dyDescent="0.15"/>
    <row r="39333" s="9" customFormat="1" ht="21.95" customHeight="1" x14ac:dyDescent="0.15"/>
    <row r="39334" s="9" customFormat="1" ht="35.1" customHeight="1" x14ac:dyDescent="0.15"/>
    <row r="39335" s="9" customFormat="1" ht="21.95" customHeight="1" x14ac:dyDescent="0.15"/>
    <row r="39336" s="9" customFormat="1" ht="21.95" customHeight="1" x14ac:dyDescent="0.15"/>
    <row r="39337" s="9" customFormat="1" ht="21.95" customHeight="1" x14ac:dyDescent="0.15"/>
    <row r="39338" s="9" customFormat="1" ht="21.95" customHeight="1" x14ac:dyDescent="0.15"/>
    <row r="39339" s="9" customFormat="1" ht="21.95" customHeight="1" x14ac:dyDescent="0.15"/>
    <row r="39340" s="9" customFormat="1" ht="21.95" customHeight="1" x14ac:dyDescent="0.15"/>
    <row r="39341" s="9" customFormat="1" ht="21.95" customHeight="1" x14ac:dyDescent="0.15"/>
    <row r="39342" s="9" customFormat="1" ht="21.95" customHeight="1" x14ac:dyDescent="0.15"/>
    <row r="39343" s="9" customFormat="1" ht="21.95" customHeight="1" x14ac:dyDescent="0.15"/>
    <row r="39344" s="9" customFormat="1" ht="21.95" customHeight="1" x14ac:dyDescent="0.15"/>
    <row r="39345" spans="3:3" s="9" customFormat="1" ht="21.95" customHeight="1" x14ac:dyDescent="0.15"/>
    <row r="39346" spans="3:3" s="9" customFormat="1" ht="21.95" customHeight="1" x14ac:dyDescent="0.15"/>
    <row r="39347" spans="3:3" s="9" customFormat="1" ht="21.95" customHeight="1" x14ac:dyDescent="0.15"/>
    <row r="39348" spans="3:3" s="9" customFormat="1" ht="21.95" customHeight="1" x14ac:dyDescent="0.15"/>
    <row r="39349" spans="3:3" s="9" customFormat="1" ht="21.95" customHeight="1" x14ac:dyDescent="0.15"/>
    <row r="39350" spans="3:3" s="9" customFormat="1" ht="21.95" customHeight="1" x14ac:dyDescent="0.15"/>
    <row r="39351" spans="3:3" s="9" customFormat="1" ht="21.95" customHeight="1" x14ac:dyDescent="0.15"/>
    <row r="39352" spans="3:3" s="9" customFormat="1" ht="21.95" customHeight="1" x14ac:dyDescent="0.15"/>
    <row r="39353" spans="3:3" s="9" customFormat="1" ht="21.95" customHeight="1" x14ac:dyDescent="0.15"/>
    <row r="39354" spans="3:3" s="9" customFormat="1" ht="21.95" customHeight="1" x14ac:dyDescent="0.15"/>
    <row r="39355" spans="3:3" s="9" customFormat="1" ht="21.95" customHeight="1" x14ac:dyDescent="0.15"/>
    <row r="39356" spans="3:3" s="9" customFormat="1" ht="21.95" customHeight="1" x14ac:dyDescent="0.15"/>
    <row r="39357" spans="3:3" s="9" customFormat="1" ht="21.95" customHeight="1" x14ac:dyDescent="0.15"/>
    <row r="39358" spans="3:3" s="8" customFormat="1" ht="21.95" customHeight="1" x14ac:dyDescent="0.15"/>
    <row r="39359" spans="3:3" s="8" customFormat="1" ht="21.95" customHeight="1" x14ac:dyDescent="0.15"/>
    <row r="39360" spans="3:3" s="8" customFormat="1" ht="21.95" customHeight="1" x14ac:dyDescent="0.15">
      <c r="C39360" s="101"/>
    </row>
    <row r="39361" spans="3:3" s="8" customFormat="1" ht="21.95" customHeight="1" x14ac:dyDescent="0.15">
      <c r="C39361" s="101"/>
    </row>
    <row r="39362" spans="3:3" s="8" customFormat="1" ht="21.95" customHeight="1" x14ac:dyDescent="0.15"/>
    <row r="39363" spans="3:3" s="8" customFormat="1" ht="21.95" customHeight="1" x14ac:dyDescent="0.15"/>
    <row r="39364" spans="3:3" s="8" customFormat="1" ht="21.95" customHeight="1" x14ac:dyDescent="0.15"/>
    <row r="39365" spans="3:3" s="8" customFormat="1" ht="21.95" customHeight="1" x14ac:dyDescent="0.15"/>
    <row r="39366" spans="3:3" s="8" customFormat="1" ht="21.95" customHeight="1" x14ac:dyDescent="0.15"/>
    <row r="39367" spans="3:3" s="8" customFormat="1" ht="21.95" customHeight="1" x14ac:dyDescent="0.15"/>
    <row r="39368" spans="3:3" s="8" customFormat="1" ht="21.95" customHeight="1" x14ac:dyDescent="0.15"/>
    <row r="39369" spans="3:3" s="9" customFormat="1" ht="21.95" customHeight="1" x14ac:dyDescent="0.15"/>
    <row r="39370" spans="3:3" s="9" customFormat="1" ht="21.95" customHeight="1" x14ac:dyDescent="0.15"/>
    <row r="39371" spans="3:3" s="9" customFormat="1" ht="21.95" customHeight="1" x14ac:dyDescent="0.15"/>
    <row r="39372" spans="3:3" s="9" customFormat="1" ht="21.95" customHeight="1" x14ac:dyDescent="0.15"/>
    <row r="39373" spans="3:3" s="8" customFormat="1" ht="21.95" customHeight="1" x14ac:dyDescent="0.15"/>
    <row r="39374" spans="3:3" s="8" customFormat="1" ht="21.95" customHeight="1" x14ac:dyDescent="0.15"/>
    <row r="39375" spans="3:3" s="8" customFormat="1" ht="21.95" customHeight="1" x14ac:dyDescent="0.15"/>
    <row r="39376" spans="3:3" s="8" customFormat="1" ht="21.95" customHeight="1" x14ac:dyDescent="0.15"/>
    <row r="39377" s="8" customFormat="1" ht="21.95" customHeight="1" x14ac:dyDescent="0.15"/>
    <row r="39378" s="8" customFormat="1" ht="21.95" customHeight="1" x14ac:dyDescent="0.15"/>
    <row r="39379" s="8" customFormat="1" ht="21.95" customHeight="1" x14ac:dyDescent="0.15"/>
    <row r="39380" s="8" customFormat="1" ht="21.95" customHeight="1" x14ac:dyDescent="0.15"/>
    <row r="39381" s="8" customFormat="1" ht="21.95" customHeight="1" x14ac:dyDescent="0.15"/>
    <row r="39382" s="8" customFormat="1" ht="21.95" customHeight="1" x14ac:dyDescent="0.15"/>
    <row r="39383" s="8" customFormat="1" ht="21.95" customHeight="1" x14ac:dyDescent="0.15"/>
    <row r="39384" s="8" customFormat="1" ht="32.1" customHeight="1" x14ac:dyDescent="0.15"/>
    <row r="39385" s="8" customFormat="1" ht="32.1" customHeight="1" x14ac:dyDescent="0.15"/>
    <row r="39386" s="8" customFormat="1" ht="32.1" customHeight="1" x14ac:dyDescent="0.15"/>
    <row r="39387" s="8" customFormat="1" ht="32.1" customHeight="1" x14ac:dyDescent="0.15"/>
    <row r="39388" s="8" customFormat="1" ht="32.1" customHeight="1" x14ac:dyDescent="0.15"/>
    <row r="39389" s="8" customFormat="1" ht="32.1" customHeight="1" x14ac:dyDescent="0.15"/>
    <row r="39390" s="9" customFormat="1" ht="32.1" customHeight="1" x14ac:dyDescent="0.15"/>
    <row r="39391" s="9" customFormat="1" ht="32.1" customHeight="1" x14ac:dyDescent="0.15"/>
    <row r="39392" s="9" customFormat="1" ht="32.1" customHeight="1" x14ac:dyDescent="0.15"/>
    <row r="39393" s="9" customFormat="1" ht="32.1" customHeight="1" x14ac:dyDescent="0.15"/>
    <row r="39394" s="9" customFormat="1" ht="21.95" customHeight="1" x14ac:dyDescent="0.15"/>
    <row r="39395" s="9" customFormat="1" ht="54" customHeight="1" x14ac:dyDescent="0.15"/>
    <row r="39396" s="9" customFormat="1" ht="21.95" customHeight="1" x14ac:dyDescent="0.15"/>
    <row r="39397" s="9" customFormat="1" ht="21.95" customHeight="1" x14ac:dyDescent="0.15"/>
    <row r="39398" s="9" customFormat="1" ht="21.95" customHeight="1" x14ac:dyDescent="0.15"/>
    <row r="39399" s="9" customFormat="1" ht="21.95" customHeight="1" x14ac:dyDescent="0.15"/>
    <row r="39400" s="9" customFormat="1" ht="21.95" customHeight="1" x14ac:dyDescent="0.15"/>
    <row r="39401" s="9" customFormat="1" ht="21.95" customHeight="1" x14ac:dyDescent="0.15"/>
    <row r="39402" s="9" customFormat="1" ht="21.95" customHeight="1" x14ac:dyDescent="0.15"/>
    <row r="39403" s="9" customFormat="1" ht="21.95" customHeight="1" x14ac:dyDescent="0.15"/>
    <row r="39404" s="9" customFormat="1" ht="21.95" customHeight="1" x14ac:dyDescent="0.15"/>
    <row r="39405" s="9" customFormat="1" ht="21.95" customHeight="1" x14ac:dyDescent="0.15"/>
    <row r="39406" s="9" customFormat="1" ht="21.95" customHeight="1" x14ac:dyDescent="0.15"/>
    <row r="39407" s="9" customFormat="1" ht="21.95" customHeight="1" x14ac:dyDescent="0.15"/>
    <row r="39408" s="9" customFormat="1" ht="21.95" customHeight="1" x14ac:dyDescent="0.15"/>
    <row r="39409" s="9" customFormat="1" ht="21.95" customHeight="1" x14ac:dyDescent="0.15"/>
    <row r="39410" s="9" customFormat="1" ht="21.95" customHeight="1" x14ac:dyDescent="0.15"/>
    <row r="39411" s="9" customFormat="1" ht="21.95" customHeight="1" x14ac:dyDescent="0.15"/>
    <row r="39412" s="9" customFormat="1" ht="21.95" customHeight="1" x14ac:dyDescent="0.15"/>
    <row r="39413" s="9" customFormat="1" ht="21.95" customHeight="1" x14ac:dyDescent="0.15"/>
    <row r="39414" s="9" customFormat="1" ht="21.95" customHeight="1" x14ac:dyDescent="0.15"/>
    <row r="39415" s="9" customFormat="1" ht="21.95" customHeight="1" x14ac:dyDescent="0.15"/>
    <row r="39416" s="9" customFormat="1" ht="21.95" customHeight="1" x14ac:dyDescent="0.15"/>
    <row r="39417" s="9" customFormat="1" ht="21.95" customHeight="1" x14ac:dyDescent="0.15"/>
    <row r="39418" s="9" customFormat="1" ht="21.95" customHeight="1" x14ac:dyDescent="0.15"/>
    <row r="39419" s="9" customFormat="1" ht="21.95" customHeight="1" x14ac:dyDescent="0.15"/>
    <row r="39420" s="9" customFormat="1" ht="21.95" customHeight="1" x14ac:dyDescent="0.15"/>
    <row r="39421" s="9" customFormat="1" ht="21.95" customHeight="1" x14ac:dyDescent="0.15"/>
    <row r="39422" s="9" customFormat="1" ht="21.95" customHeight="1" x14ac:dyDescent="0.15"/>
    <row r="39423" s="9" customFormat="1" ht="21.95" customHeight="1" x14ac:dyDescent="0.15"/>
    <row r="39424" s="9" customFormat="1" ht="21.95" customHeight="1" x14ac:dyDescent="0.15"/>
    <row r="39425" s="9" customFormat="1" ht="21.95" customHeight="1" x14ac:dyDescent="0.15"/>
    <row r="39426" s="9" customFormat="1" ht="21.95" customHeight="1" x14ac:dyDescent="0.15"/>
    <row r="39427" s="9" customFormat="1" ht="21.95" customHeight="1" x14ac:dyDescent="0.15"/>
    <row r="39428" s="9" customFormat="1" ht="21.95" customHeight="1" x14ac:dyDescent="0.15"/>
    <row r="39429" s="9" customFormat="1" ht="21.95" customHeight="1" x14ac:dyDescent="0.15"/>
    <row r="39430" s="9" customFormat="1" ht="21.95" customHeight="1" x14ac:dyDescent="0.15"/>
    <row r="39431" s="9" customFormat="1" ht="21.95" customHeight="1" x14ac:dyDescent="0.15"/>
    <row r="39432" s="9" customFormat="1" ht="21.95" customHeight="1" x14ac:dyDescent="0.15"/>
    <row r="39433" s="9" customFormat="1" ht="21.95" customHeight="1" x14ac:dyDescent="0.15"/>
    <row r="39434" s="9" customFormat="1" ht="21.95" customHeight="1" x14ac:dyDescent="0.15"/>
    <row r="39435" s="9" customFormat="1" ht="21.95" customHeight="1" x14ac:dyDescent="0.15"/>
    <row r="39436" s="9" customFormat="1" ht="21.95" customHeight="1" x14ac:dyDescent="0.15"/>
    <row r="39437" s="9" customFormat="1" ht="21.95" customHeight="1" x14ac:dyDescent="0.15"/>
    <row r="39438" s="9" customFormat="1" ht="21.95" customHeight="1" x14ac:dyDescent="0.15"/>
    <row r="39439" s="9" customFormat="1" ht="21.95" customHeight="1" x14ac:dyDescent="0.15"/>
    <row r="39440" s="9" customFormat="1" ht="21.95" customHeight="1" x14ac:dyDescent="0.15"/>
    <row r="39441" s="9" customFormat="1" ht="21.95" customHeight="1" x14ac:dyDescent="0.15"/>
    <row r="39442" s="9" customFormat="1" ht="21.95" customHeight="1" x14ac:dyDescent="0.15"/>
    <row r="39443" s="9" customFormat="1" ht="21.95" customHeight="1" x14ac:dyDescent="0.15"/>
    <row r="39444" s="9" customFormat="1" ht="21.95" customHeight="1" x14ac:dyDescent="0.15"/>
    <row r="39445" s="9" customFormat="1" ht="21.95" customHeight="1" x14ac:dyDescent="0.15"/>
    <row r="39446" s="9" customFormat="1" ht="35.1" customHeight="1" x14ac:dyDescent="0.15"/>
    <row r="39447" s="9" customFormat="1" ht="21.95" customHeight="1" x14ac:dyDescent="0.15"/>
    <row r="39448" s="9" customFormat="1" ht="21.95" customHeight="1" x14ac:dyDescent="0.15"/>
    <row r="39449" s="9" customFormat="1" ht="21.95" customHeight="1" x14ac:dyDescent="0.15"/>
    <row r="39450" s="9" customFormat="1" ht="21.95" customHeight="1" x14ac:dyDescent="0.15"/>
    <row r="39451" s="9" customFormat="1" ht="21.95" customHeight="1" x14ac:dyDescent="0.15"/>
    <row r="39452" s="9" customFormat="1" ht="21.95" customHeight="1" x14ac:dyDescent="0.15"/>
    <row r="39453" s="9" customFormat="1" ht="21.95" customHeight="1" x14ac:dyDescent="0.15"/>
    <row r="39454" s="9" customFormat="1" ht="21.95" customHeight="1" x14ac:dyDescent="0.15"/>
    <row r="39455" s="9" customFormat="1" ht="21.95" customHeight="1" x14ac:dyDescent="0.15"/>
    <row r="39456" s="9" customFormat="1" ht="21.95" customHeight="1" x14ac:dyDescent="0.15"/>
    <row r="39457" spans="3:3" s="9" customFormat="1" ht="21.95" customHeight="1" x14ac:dyDescent="0.15"/>
    <row r="39458" spans="3:3" s="9" customFormat="1" ht="21.95" customHeight="1" x14ac:dyDescent="0.15"/>
    <row r="39459" spans="3:3" s="9" customFormat="1" ht="21.95" customHeight="1" x14ac:dyDescent="0.15"/>
    <row r="39460" spans="3:3" s="9" customFormat="1" ht="21.95" customHeight="1" x14ac:dyDescent="0.15"/>
    <row r="39461" spans="3:3" s="9" customFormat="1" ht="21.95" customHeight="1" x14ac:dyDescent="0.15"/>
    <row r="39462" spans="3:3" s="9" customFormat="1" ht="21.95" customHeight="1" x14ac:dyDescent="0.15"/>
    <row r="39463" spans="3:3" s="9" customFormat="1" ht="21.95" customHeight="1" x14ac:dyDescent="0.15"/>
    <row r="39464" spans="3:3" s="9" customFormat="1" ht="21.95" customHeight="1" x14ac:dyDescent="0.15"/>
    <row r="39465" spans="3:3" s="9" customFormat="1" ht="21.95" customHeight="1" x14ac:dyDescent="0.15"/>
    <row r="39466" spans="3:3" s="9" customFormat="1" ht="21.95" customHeight="1" x14ac:dyDescent="0.15"/>
    <row r="39467" spans="3:3" s="9" customFormat="1" ht="21.95" customHeight="1" x14ac:dyDescent="0.15"/>
    <row r="39468" spans="3:3" s="9" customFormat="1" ht="21.95" customHeight="1" x14ac:dyDescent="0.15"/>
    <row r="39469" spans="3:3" s="9" customFormat="1" ht="21.95" customHeight="1" x14ac:dyDescent="0.15"/>
    <row r="39470" spans="3:3" s="8" customFormat="1" ht="21.95" customHeight="1" x14ac:dyDescent="0.15"/>
    <row r="39471" spans="3:3" s="8" customFormat="1" ht="21.95" customHeight="1" x14ac:dyDescent="0.15"/>
    <row r="39472" spans="3:3" s="8" customFormat="1" ht="21.95" customHeight="1" x14ac:dyDescent="0.15">
      <c r="C39472" s="101"/>
    </row>
    <row r="39473" spans="3:3" s="8" customFormat="1" ht="21.95" customHeight="1" x14ac:dyDescent="0.15">
      <c r="C39473" s="101"/>
    </row>
    <row r="39474" spans="3:3" s="8" customFormat="1" ht="21.95" customHeight="1" x14ac:dyDescent="0.15"/>
    <row r="39475" spans="3:3" s="8" customFormat="1" ht="21.95" customHeight="1" x14ac:dyDescent="0.15"/>
    <row r="39476" spans="3:3" s="8" customFormat="1" ht="21.95" customHeight="1" x14ac:dyDescent="0.15"/>
    <row r="39477" spans="3:3" s="8" customFormat="1" ht="21.95" customHeight="1" x14ac:dyDescent="0.15"/>
    <row r="39478" spans="3:3" s="8" customFormat="1" ht="21.95" customHeight="1" x14ac:dyDescent="0.15"/>
    <row r="39479" spans="3:3" s="8" customFormat="1" ht="21.95" customHeight="1" x14ac:dyDescent="0.15"/>
    <row r="39480" spans="3:3" s="8" customFormat="1" ht="21.95" customHeight="1" x14ac:dyDescent="0.15"/>
    <row r="39481" spans="3:3" s="9" customFormat="1" ht="21.95" customHeight="1" x14ac:dyDescent="0.15"/>
    <row r="39482" spans="3:3" s="9" customFormat="1" ht="21.95" customHeight="1" x14ac:dyDescent="0.15"/>
    <row r="39483" spans="3:3" s="9" customFormat="1" ht="21.95" customHeight="1" x14ac:dyDescent="0.15"/>
    <row r="39484" spans="3:3" s="9" customFormat="1" ht="21.95" customHeight="1" x14ac:dyDescent="0.15"/>
    <row r="39485" spans="3:3" s="8" customFormat="1" ht="21.95" customHeight="1" x14ac:dyDescent="0.15"/>
    <row r="39486" spans="3:3" s="8" customFormat="1" ht="21.95" customHeight="1" x14ac:dyDescent="0.15"/>
    <row r="39487" spans="3:3" s="8" customFormat="1" ht="21.95" customHeight="1" x14ac:dyDescent="0.15"/>
    <row r="39488" spans="3:3" s="8" customFormat="1" ht="21.95" customHeight="1" x14ac:dyDescent="0.15"/>
    <row r="39489" s="8" customFormat="1" ht="21.95" customHeight="1" x14ac:dyDescent="0.15"/>
    <row r="39490" s="8" customFormat="1" ht="21.95" customHeight="1" x14ac:dyDescent="0.15"/>
    <row r="39491" s="8" customFormat="1" ht="21.95" customHeight="1" x14ac:dyDescent="0.15"/>
    <row r="39492" s="8" customFormat="1" ht="21.95" customHeight="1" x14ac:dyDescent="0.15"/>
    <row r="39493" s="8" customFormat="1" ht="21.95" customHeight="1" x14ac:dyDescent="0.15"/>
    <row r="39494" s="8" customFormat="1" ht="21.95" customHeight="1" x14ac:dyDescent="0.15"/>
    <row r="39495" s="8" customFormat="1" ht="21.95" customHeight="1" x14ac:dyDescent="0.15"/>
    <row r="39496" s="8" customFormat="1" ht="32.1" customHeight="1" x14ac:dyDescent="0.15"/>
    <row r="39497" s="8" customFormat="1" ht="32.1" customHeight="1" x14ac:dyDescent="0.15"/>
    <row r="39498" s="8" customFormat="1" ht="32.1" customHeight="1" x14ac:dyDescent="0.15"/>
    <row r="39499" s="8" customFormat="1" ht="32.1" customHeight="1" x14ac:dyDescent="0.15"/>
    <row r="39500" s="8" customFormat="1" ht="32.1" customHeight="1" x14ac:dyDescent="0.15"/>
    <row r="39501" s="8" customFormat="1" ht="32.1" customHeight="1" x14ac:dyDescent="0.15"/>
    <row r="39502" s="9" customFormat="1" ht="32.1" customHeight="1" x14ac:dyDescent="0.15"/>
    <row r="39503" s="9" customFormat="1" ht="32.1" customHeight="1" x14ac:dyDescent="0.15"/>
    <row r="39504" s="9" customFormat="1" ht="32.1" customHeight="1" x14ac:dyDescent="0.15"/>
    <row r="39505" s="9" customFormat="1" ht="32.1" customHeight="1" x14ac:dyDescent="0.15"/>
    <row r="39506" s="9" customFormat="1" ht="21.95" customHeight="1" x14ac:dyDescent="0.15"/>
    <row r="39507" s="9" customFormat="1" ht="54" customHeight="1" x14ac:dyDescent="0.15"/>
    <row r="39508" s="9" customFormat="1" ht="21.95" customHeight="1" x14ac:dyDescent="0.15"/>
    <row r="39509" s="9" customFormat="1" ht="21.95" customHeight="1" x14ac:dyDescent="0.15"/>
    <row r="39510" s="9" customFormat="1" ht="21.95" customHeight="1" x14ac:dyDescent="0.15"/>
    <row r="39511" s="9" customFormat="1" ht="21.95" customHeight="1" x14ac:dyDescent="0.15"/>
    <row r="39512" s="9" customFormat="1" ht="21.95" customHeight="1" x14ac:dyDescent="0.15"/>
    <row r="39513" s="9" customFormat="1" ht="21.95" customHeight="1" x14ac:dyDescent="0.15"/>
    <row r="39514" s="9" customFormat="1" ht="21.95" customHeight="1" x14ac:dyDescent="0.15"/>
    <row r="39515" s="9" customFormat="1" ht="21.95" customHeight="1" x14ac:dyDescent="0.15"/>
    <row r="39516" s="9" customFormat="1" ht="21.95" customHeight="1" x14ac:dyDescent="0.15"/>
    <row r="39517" s="9" customFormat="1" ht="21.95" customHeight="1" x14ac:dyDescent="0.15"/>
    <row r="39518" s="9" customFormat="1" ht="21.95" customHeight="1" x14ac:dyDescent="0.15"/>
    <row r="39519" s="9" customFormat="1" ht="21.95" customHeight="1" x14ac:dyDescent="0.15"/>
    <row r="39520" s="9" customFormat="1" ht="21.95" customHeight="1" x14ac:dyDescent="0.15"/>
    <row r="39521" s="9" customFormat="1" ht="21.95" customHeight="1" x14ac:dyDescent="0.15"/>
    <row r="39522" s="9" customFormat="1" ht="21.95" customHeight="1" x14ac:dyDescent="0.15"/>
    <row r="39523" s="9" customFormat="1" ht="21.95" customHeight="1" x14ac:dyDescent="0.15"/>
    <row r="39524" s="9" customFormat="1" ht="21.95" customHeight="1" x14ac:dyDescent="0.15"/>
    <row r="39525" s="9" customFormat="1" ht="21.95" customHeight="1" x14ac:dyDescent="0.15"/>
    <row r="39526" s="9" customFormat="1" ht="21.95" customHeight="1" x14ac:dyDescent="0.15"/>
    <row r="39527" s="9" customFormat="1" ht="21.95" customHeight="1" x14ac:dyDescent="0.15"/>
    <row r="39528" s="9" customFormat="1" ht="21.95" customHeight="1" x14ac:dyDescent="0.15"/>
    <row r="39529" s="9" customFormat="1" ht="21.95" customHeight="1" x14ac:dyDescent="0.15"/>
    <row r="39530" s="9" customFormat="1" ht="21.95" customHeight="1" x14ac:dyDescent="0.15"/>
    <row r="39531" s="9" customFormat="1" ht="21.95" customHeight="1" x14ac:dyDescent="0.15"/>
    <row r="39532" s="9" customFormat="1" ht="21.95" customHeight="1" x14ac:dyDescent="0.15"/>
    <row r="39533" s="9" customFormat="1" ht="21.95" customHeight="1" x14ac:dyDescent="0.15"/>
    <row r="39534" s="9" customFormat="1" ht="21.95" customHeight="1" x14ac:dyDescent="0.15"/>
    <row r="39535" s="9" customFormat="1" ht="21.95" customHeight="1" x14ac:dyDescent="0.15"/>
    <row r="39536" s="9" customFormat="1" ht="21.95" customHeight="1" x14ac:dyDescent="0.15"/>
    <row r="39537" s="9" customFormat="1" ht="21.95" customHeight="1" x14ac:dyDescent="0.15"/>
    <row r="39538" s="9" customFormat="1" ht="21.95" customHeight="1" x14ac:dyDescent="0.15"/>
    <row r="39539" s="9" customFormat="1" ht="21.95" customHeight="1" x14ac:dyDescent="0.15"/>
    <row r="39540" s="9" customFormat="1" ht="21.95" customHeight="1" x14ac:dyDescent="0.15"/>
    <row r="39541" s="9" customFormat="1" ht="21.95" customHeight="1" x14ac:dyDescent="0.15"/>
    <row r="39542" s="9" customFormat="1" ht="21.95" customHeight="1" x14ac:dyDescent="0.15"/>
    <row r="39543" s="9" customFormat="1" ht="21.95" customHeight="1" x14ac:dyDescent="0.15"/>
    <row r="39544" s="9" customFormat="1" ht="21.95" customHeight="1" x14ac:dyDescent="0.15"/>
    <row r="39545" s="9" customFormat="1" ht="21.95" customHeight="1" x14ac:dyDescent="0.15"/>
    <row r="39546" s="9" customFormat="1" ht="21.95" customHeight="1" x14ac:dyDescent="0.15"/>
    <row r="39547" s="9" customFormat="1" ht="21.95" customHeight="1" x14ac:dyDescent="0.15"/>
    <row r="39548" s="9" customFormat="1" ht="21.95" customHeight="1" x14ac:dyDescent="0.15"/>
    <row r="39549" s="9" customFormat="1" ht="21.95" customHeight="1" x14ac:dyDescent="0.15"/>
    <row r="39550" s="9" customFormat="1" ht="21.95" customHeight="1" x14ac:dyDescent="0.15"/>
    <row r="39551" s="9" customFormat="1" ht="21.95" customHeight="1" x14ac:dyDescent="0.15"/>
    <row r="39552" s="9" customFormat="1" ht="21.95" customHeight="1" x14ac:dyDescent="0.15"/>
    <row r="39553" s="9" customFormat="1" ht="21.95" customHeight="1" x14ac:dyDescent="0.15"/>
    <row r="39554" s="9" customFormat="1" ht="21.95" customHeight="1" x14ac:dyDescent="0.15"/>
    <row r="39555" s="9" customFormat="1" ht="21.95" customHeight="1" x14ac:dyDescent="0.15"/>
    <row r="39556" s="9" customFormat="1" ht="21.95" customHeight="1" x14ac:dyDescent="0.15"/>
    <row r="39557" s="9" customFormat="1" ht="21.95" customHeight="1" x14ac:dyDescent="0.15"/>
    <row r="39558" s="9" customFormat="1" ht="35.1" customHeight="1" x14ac:dyDescent="0.15"/>
    <row r="39559" s="9" customFormat="1" ht="21.95" customHeight="1" x14ac:dyDescent="0.15"/>
    <row r="39560" s="9" customFormat="1" ht="21.95" customHeight="1" x14ac:dyDescent="0.15"/>
    <row r="39561" s="9" customFormat="1" ht="21.95" customHeight="1" x14ac:dyDescent="0.15"/>
    <row r="39562" s="9" customFormat="1" ht="21.95" customHeight="1" x14ac:dyDescent="0.15"/>
    <row r="39563" s="9" customFormat="1" ht="21.95" customHeight="1" x14ac:dyDescent="0.15"/>
    <row r="39564" s="9" customFormat="1" ht="21.95" customHeight="1" x14ac:dyDescent="0.15"/>
    <row r="39565" s="9" customFormat="1" ht="21.95" customHeight="1" x14ac:dyDescent="0.15"/>
    <row r="39566" s="9" customFormat="1" ht="21.95" customHeight="1" x14ac:dyDescent="0.15"/>
    <row r="39567" s="9" customFormat="1" ht="21.95" customHeight="1" x14ac:dyDescent="0.15"/>
    <row r="39568" s="9" customFormat="1" ht="21.95" customHeight="1" x14ac:dyDescent="0.15"/>
    <row r="39569" spans="3:3" s="9" customFormat="1" ht="21.95" customHeight="1" x14ac:dyDescent="0.15"/>
    <row r="39570" spans="3:3" s="9" customFormat="1" ht="21.95" customHeight="1" x14ac:dyDescent="0.15"/>
    <row r="39571" spans="3:3" s="9" customFormat="1" ht="21.95" customHeight="1" x14ac:dyDescent="0.15"/>
    <row r="39572" spans="3:3" s="9" customFormat="1" ht="21.95" customHeight="1" x14ac:dyDescent="0.15"/>
    <row r="39573" spans="3:3" s="9" customFormat="1" ht="21.95" customHeight="1" x14ac:dyDescent="0.15"/>
    <row r="39574" spans="3:3" s="9" customFormat="1" ht="21.95" customHeight="1" x14ac:dyDescent="0.15"/>
    <row r="39575" spans="3:3" s="9" customFormat="1" ht="21.95" customHeight="1" x14ac:dyDescent="0.15"/>
    <row r="39576" spans="3:3" s="9" customFormat="1" ht="21.95" customHeight="1" x14ac:dyDescent="0.15"/>
    <row r="39577" spans="3:3" s="9" customFormat="1" ht="21.95" customHeight="1" x14ac:dyDescent="0.15"/>
    <row r="39578" spans="3:3" s="9" customFormat="1" ht="21.95" customHeight="1" x14ac:dyDescent="0.15"/>
    <row r="39579" spans="3:3" s="9" customFormat="1" ht="21.95" customHeight="1" x14ac:dyDescent="0.15"/>
    <row r="39580" spans="3:3" s="9" customFormat="1" ht="21.95" customHeight="1" x14ac:dyDescent="0.15"/>
    <row r="39581" spans="3:3" s="9" customFormat="1" ht="21.95" customHeight="1" x14ac:dyDescent="0.15"/>
    <row r="39582" spans="3:3" s="8" customFormat="1" ht="21.95" customHeight="1" x14ac:dyDescent="0.15"/>
    <row r="39583" spans="3:3" s="8" customFormat="1" ht="21.95" customHeight="1" x14ac:dyDescent="0.15"/>
    <row r="39584" spans="3:3" s="8" customFormat="1" ht="21.95" customHeight="1" x14ac:dyDescent="0.15">
      <c r="C39584" s="101"/>
    </row>
    <row r="39585" spans="3:3" s="8" customFormat="1" ht="21.95" customHeight="1" x14ac:dyDescent="0.15">
      <c r="C39585" s="101"/>
    </row>
    <row r="39586" spans="3:3" s="8" customFormat="1" ht="21.95" customHeight="1" x14ac:dyDescent="0.15"/>
    <row r="39587" spans="3:3" s="8" customFormat="1" ht="21.95" customHeight="1" x14ac:dyDescent="0.15"/>
    <row r="39588" spans="3:3" s="8" customFormat="1" ht="21.95" customHeight="1" x14ac:dyDescent="0.15"/>
    <row r="39589" spans="3:3" s="8" customFormat="1" ht="21.95" customHeight="1" x14ac:dyDescent="0.15"/>
    <row r="39590" spans="3:3" s="8" customFormat="1" ht="21.95" customHeight="1" x14ac:dyDescent="0.15"/>
    <row r="39591" spans="3:3" s="8" customFormat="1" ht="21.95" customHeight="1" x14ac:dyDescent="0.15"/>
    <row r="39592" spans="3:3" s="8" customFormat="1" ht="21.95" customHeight="1" x14ac:dyDescent="0.15"/>
    <row r="39593" spans="3:3" s="9" customFormat="1" ht="21.95" customHeight="1" x14ac:dyDescent="0.15"/>
    <row r="39594" spans="3:3" s="9" customFormat="1" ht="21.95" customHeight="1" x14ac:dyDescent="0.15"/>
    <row r="39595" spans="3:3" s="9" customFormat="1" ht="21.95" customHeight="1" x14ac:dyDescent="0.15"/>
    <row r="39596" spans="3:3" s="9" customFormat="1" ht="21.95" customHeight="1" x14ac:dyDescent="0.15"/>
    <row r="39597" spans="3:3" s="8" customFormat="1" ht="21.95" customHeight="1" x14ac:dyDescent="0.15"/>
    <row r="39598" spans="3:3" s="8" customFormat="1" ht="21.95" customHeight="1" x14ac:dyDescent="0.15"/>
    <row r="39599" spans="3:3" s="8" customFormat="1" ht="21.95" customHeight="1" x14ac:dyDescent="0.15"/>
    <row r="39600" spans="3:3" s="8" customFormat="1" ht="21.95" customHeight="1" x14ac:dyDescent="0.15"/>
    <row r="39601" s="8" customFormat="1" ht="21.95" customHeight="1" x14ac:dyDescent="0.15"/>
    <row r="39602" s="8" customFormat="1" ht="21.95" customHeight="1" x14ac:dyDescent="0.15"/>
    <row r="39603" s="8" customFormat="1" ht="21.95" customHeight="1" x14ac:dyDescent="0.15"/>
    <row r="39604" s="8" customFormat="1" ht="21.95" customHeight="1" x14ac:dyDescent="0.15"/>
    <row r="39605" s="8" customFormat="1" ht="21.95" customHeight="1" x14ac:dyDescent="0.15"/>
    <row r="39606" s="8" customFormat="1" ht="21.95" customHeight="1" x14ac:dyDescent="0.15"/>
    <row r="39607" s="8" customFormat="1" ht="21.95" customHeight="1" x14ac:dyDescent="0.15"/>
    <row r="39608" s="8" customFormat="1" ht="32.1" customHeight="1" x14ac:dyDescent="0.15"/>
    <row r="39609" s="8" customFormat="1" ht="32.1" customHeight="1" x14ac:dyDescent="0.15"/>
    <row r="39610" s="8" customFormat="1" ht="32.1" customHeight="1" x14ac:dyDescent="0.15"/>
    <row r="39611" s="8" customFormat="1" ht="32.1" customHeight="1" x14ac:dyDescent="0.15"/>
    <row r="39612" s="8" customFormat="1" ht="32.1" customHeight="1" x14ac:dyDescent="0.15"/>
    <row r="39613" s="8" customFormat="1" ht="32.1" customHeight="1" x14ac:dyDescent="0.15"/>
    <row r="39614" s="9" customFormat="1" ht="32.1" customHeight="1" x14ac:dyDescent="0.15"/>
    <row r="39615" s="9" customFormat="1" ht="32.1" customHeight="1" x14ac:dyDescent="0.15"/>
    <row r="39616" s="9" customFormat="1" ht="32.1" customHeight="1" x14ac:dyDescent="0.15"/>
    <row r="39617" s="9" customFormat="1" ht="32.1" customHeight="1" x14ac:dyDescent="0.15"/>
    <row r="39618" s="9" customFormat="1" ht="21.95" customHeight="1" x14ac:dyDescent="0.15"/>
    <row r="39619" s="9" customFormat="1" ht="54" customHeight="1" x14ac:dyDescent="0.15"/>
    <row r="39620" s="9" customFormat="1" ht="21.95" customHeight="1" x14ac:dyDescent="0.15"/>
    <row r="39621" s="9" customFormat="1" ht="21.95" customHeight="1" x14ac:dyDescent="0.15"/>
    <row r="39622" s="9" customFormat="1" ht="21.95" customHeight="1" x14ac:dyDescent="0.15"/>
    <row r="39623" s="9" customFormat="1" ht="21.95" customHeight="1" x14ac:dyDescent="0.15"/>
    <row r="39624" s="9" customFormat="1" ht="21.95" customHeight="1" x14ac:dyDescent="0.15"/>
    <row r="39625" s="9" customFormat="1" ht="21.95" customHeight="1" x14ac:dyDescent="0.15"/>
    <row r="39626" s="9" customFormat="1" ht="21.95" customHeight="1" x14ac:dyDescent="0.15"/>
    <row r="39627" s="9" customFormat="1" ht="21.95" customHeight="1" x14ac:dyDescent="0.15"/>
    <row r="39628" s="9" customFormat="1" ht="21.95" customHeight="1" x14ac:dyDescent="0.15"/>
    <row r="39629" s="9" customFormat="1" ht="21.95" customHeight="1" x14ac:dyDescent="0.15"/>
    <row r="39630" s="9" customFormat="1" ht="21.95" customHeight="1" x14ac:dyDescent="0.15"/>
    <row r="39631" s="9" customFormat="1" ht="21.95" customHeight="1" x14ac:dyDescent="0.15"/>
    <row r="39632" s="9" customFormat="1" ht="21.95" customHeight="1" x14ac:dyDescent="0.15"/>
    <row r="39633" s="9" customFormat="1" ht="21.95" customHeight="1" x14ac:dyDescent="0.15"/>
    <row r="39634" s="9" customFormat="1" ht="21.95" customHeight="1" x14ac:dyDescent="0.15"/>
    <row r="39635" s="9" customFormat="1" ht="21.95" customHeight="1" x14ac:dyDescent="0.15"/>
    <row r="39636" s="9" customFormat="1" ht="21.95" customHeight="1" x14ac:dyDescent="0.15"/>
    <row r="39637" s="9" customFormat="1" ht="21.95" customHeight="1" x14ac:dyDescent="0.15"/>
    <row r="39638" s="9" customFormat="1" ht="21.95" customHeight="1" x14ac:dyDescent="0.15"/>
    <row r="39639" s="9" customFormat="1" ht="21.95" customHeight="1" x14ac:dyDescent="0.15"/>
    <row r="39640" s="9" customFormat="1" ht="21.95" customHeight="1" x14ac:dyDescent="0.15"/>
    <row r="39641" s="9" customFormat="1" ht="21.95" customHeight="1" x14ac:dyDescent="0.15"/>
    <row r="39642" s="9" customFormat="1" ht="21.95" customHeight="1" x14ac:dyDescent="0.15"/>
    <row r="39643" s="9" customFormat="1" ht="21.95" customHeight="1" x14ac:dyDescent="0.15"/>
    <row r="39644" s="9" customFormat="1" ht="21.95" customHeight="1" x14ac:dyDescent="0.15"/>
    <row r="39645" s="9" customFormat="1" ht="21.95" customHeight="1" x14ac:dyDescent="0.15"/>
    <row r="39646" s="9" customFormat="1" ht="21.95" customHeight="1" x14ac:dyDescent="0.15"/>
    <row r="39647" s="9" customFormat="1" ht="21.95" customHeight="1" x14ac:dyDescent="0.15"/>
    <row r="39648" s="9" customFormat="1" ht="21.95" customHeight="1" x14ac:dyDescent="0.15"/>
    <row r="39649" s="9" customFormat="1" ht="21.95" customHeight="1" x14ac:dyDescent="0.15"/>
    <row r="39650" s="9" customFormat="1" ht="21.95" customHeight="1" x14ac:dyDescent="0.15"/>
    <row r="39651" s="9" customFormat="1" ht="21.95" customHeight="1" x14ac:dyDescent="0.15"/>
    <row r="39652" s="9" customFormat="1" ht="21.95" customHeight="1" x14ac:dyDescent="0.15"/>
    <row r="39653" s="9" customFormat="1" ht="21.95" customHeight="1" x14ac:dyDescent="0.15"/>
    <row r="39654" s="9" customFormat="1" ht="21.95" customHeight="1" x14ac:dyDescent="0.15"/>
    <row r="39655" s="9" customFormat="1" ht="21.95" customHeight="1" x14ac:dyDescent="0.15"/>
    <row r="39656" s="9" customFormat="1" ht="21.95" customHeight="1" x14ac:dyDescent="0.15"/>
    <row r="39657" s="9" customFormat="1" ht="21.95" customHeight="1" x14ac:dyDescent="0.15"/>
    <row r="39658" s="9" customFormat="1" ht="21.95" customHeight="1" x14ac:dyDescent="0.15"/>
    <row r="39659" s="9" customFormat="1" ht="21.95" customHeight="1" x14ac:dyDescent="0.15"/>
    <row r="39660" s="9" customFormat="1" ht="21.95" customHeight="1" x14ac:dyDescent="0.15"/>
    <row r="39661" s="9" customFormat="1" ht="21.95" customHeight="1" x14ac:dyDescent="0.15"/>
    <row r="39662" s="9" customFormat="1" ht="21.95" customHeight="1" x14ac:dyDescent="0.15"/>
    <row r="39663" s="9" customFormat="1" ht="21.95" customHeight="1" x14ac:dyDescent="0.15"/>
    <row r="39664" s="9" customFormat="1" ht="21.95" customHeight="1" x14ac:dyDescent="0.15"/>
    <row r="39665" s="9" customFormat="1" ht="21.95" customHeight="1" x14ac:dyDescent="0.15"/>
    <row r="39666" s="9" customFormat="1" ht="21.95" customHeight="1" x14ac:dyDescent="0.15"/>
    <row r="39667" s="9" customFormat="1" ht="21.95" customHeight="1" x14ac:dyDescent="0.15"/>
    <row r="39668" s="9" customFormat="1" ht="21.95" customHeight="1" x14ac:dyDescent="0.15"/>
    <row r="39669" s="9" customFormat="1" ht="21.95" customHeight="1" x14ac:dyDescent="0.15"/>
    <row r="39670" s="9" customFormat="1" ht="35.1" customHeight="1" x14ac:dyDescent="0.15"/>
    <row r="39671" s="9" customFormat="1" ht="21.95" customHeight="1" x14ac:dyDescent="0.15"/>
    <row r="39672" s="9" customFormat="1" ht="21.95" customHeight="1" x14ac:dyDescent="0.15"/>
    <row r="39673" s="9" customFormat="1" ht="21.95" customHeight="1" x14ac:dyDescent="0.15"/>
    <row r="39674" s="9" customFormat="1" ht="21.95" customHeight="1" x14ac:dyDescent="0.15"/>
    <row r="39675" s="9" customFormat="1" ht="21.95" customHeight="1" x14ac:dyDescent="0.15"/>
    <row r="39676" s="9" customFormat="1" ht="21.95" customHeight="1" x14ac:dyDescent="0.15"/>
    <row r="39677" s="9" customFormat="1" ht="21.95" customHeight="1" x14ac:dyDescent="0.15"/>
    <row r="39678" s="9" customFormat="1" ht="21.95" customHeight="1" x14ac:dyDescent="0.15"/>
    <row r="39679" s="9" customFormat="1" ht="21.95" customHeight="1" x14ac:dyDescent="0.15"/>
    <row r="39680" s="9" customFormat="1" ht="21.95" customHeight="1" x14ac:dyDescent="0.15"/>
    <row r="39681" spans="3:3" s="9" customFormat="1" ht="21.95" customHeight="1" x14ac:dyDescent="0.15"/>
    <row r="39682" spans="3:3" s="9" customFormat="1" ht="21.95" customHeight="1" x14ac:dyDescent="0.15"/>
    <row r="39683" spans="3:3" s="9" customFormat="1" ht="21.95" customHeight="1" x14ac:dyDescent="0.15"/>
    <row r="39684" spans="3:3" s="9" customFormat="1" ht="21.95" customHeight="1" x14ac:dyDescent="0.15"/>
    <row r="39685" spans="3:3" s="9" customFormat="1" ht="21.95" customHeight="1" x14ac:dyDescent="0.15"/>
    <row r="39686" spans="3:3" s="9" customFormat="1" ht="21.95" customHeight="1" x14ac:dyDescent="0.15"/>
    <row r="39687" spans="3:3" s="9" customFormat="1" ht="21.95" customHeight="1" x14ac:dyDescent="0.15"/>
    <row r="39688" spans="3:3" s="9" customFormat="1" ht="21.95" customHeight="1" x14ac:dyDescent="0.15"/>
    <row r="39689" spans="3:3" s="9" customFormat="1" ht="21.95" customHeight="1" x14ac:dyDescent="0.15"/>
    <row r="39690" spans="3:3" s="9" customFormat="1" ht="21.95" customHeight="1" x14ac:dyDescent="0.15"/>
    <row r="39691" spans="3:3" s="9" customFormat="1" ht="21.95" customHeight="1" x14ac:dyDescent="0.15"/>
    <row r="39692" spans="3:3" s="9" customFormat="1" ht="21.95" customHeight="1" x14ac:dyDescent="0.15"/>
    <row r="39693" spans="3:3" s="9" customFormat="1" ht="21.95" customHeight="1" x14ac:dyDescent="0.15"/>
    <row r="39694" spans="3:3" s="8" customFormat="1" ht="21.95" customHeight="1" x14ac:dyDescent="0.15"/>
    <row r="39695" spans="3:3" s="8" customFormat="1" ht="21.95" customHeight="1" x14ac:dyDescent="0.15"/>
    <row r="39696" spans="3:3" s="8" customFormat="1" ht="21.95" customHeight="1" x14ac:dyDescent="0.15">
      <c r="C39696" s="101"/>
    </row>
    <row r="39697" spans="3:3" s="8" customFormat="1" ht="21.95" customHeight="1" x14ac:dyDescent="0.15">
      <c r="C39697" s="101"/>
    </row>
    <row r="39698" spans="3:3" s="8" customFormat="1" ht="21.95" customHeight="1" x14ac:dyDescent="0.15"/>
    <row r="39699" spans="3:3" s="8" customFormat="1" ht="21.95" customHeight="1" x14ac:dyDescent="0.15"/>
    <row r="39700" spans="3:3" s="8" customFormat="1" ht="21.95" customHeight="1" x14ac:dyDescent="0.15"/>
    <row r="39701" spans="3:3" s="8" customFormat="1" ht="21.95" customHeight="1" x14ac:dyDescent="0.15"/>
    <row r="39702" spans="3:3" s="8" customFormat="1" ht="21.95" customHeight="1" x14ac:dyDescent="0.15"/>
    <row r="39703" spans="3:3" s="8" customFormat="1" ht="21.95" customHeight="1" x14ac:dyDescent="0.15"/>
    <row r="39704" spans="3:3" s="8" customFormat="1" ht="21.95" customHeight="1" x14ac:dyDescent="0.15"/>
    <row r="39705" spans="3:3" s="9" customFormat="1" ht="21.95" customHeight="1" x14ac:dyDescent="0.15"/>
    <row r="39706" spans="3:3" s="9" customFormat="1" ht="21.95" customHeight="1" x14ac:dyDescent="0.15"/>
    <row r="39707" spans="3:3" s="9" customFormat="1" ht="21.95" customHeight="1" x14ac:dyDescent="0.15"/>
    <row r="39708" spans="3:3" s="9" customFormat="1" ht="21.95" customHeight="1" x14ac:dyDescent="0.15"/>
    <row r="39709" spans="3:3" s="8" customFormat="1" ht="21.95" customHeight="1" x14ac:dyDescent="0.15"/>
    <row r="39710" spans="3:3" s="8" customFormat="1" ht="21.95" customHeight="1" x14ac:dyDescent="0.15"/>
    <row r="39711" spans="3:3" s="8" customFormat="1" ht="21.95" customHeight="1" x14ac:dyDescent="0.15"/>
    <row r="39712" spans="3:3" s="8" customFormat="1" ht="21.95" customHeight="1" x14ac:dyDescent="0.15"/>
    <row r="39713" s="8" customFormat="1" ht="21.95" customHeight="1" x14ac:dyDescent="0.15"/>
    <row r="39714" s="8" customFormat="1" ht="21.95" customHeight="1" x14ac:dyDescent="0.15"/>
    <row r="39715" s="8" customFormat="1" ht="21.95" customHeight="1" x14ac:dyDescent="0.15"/>
    <row r="39716" s="8" customFormat="1" ht="21.95" customHeight="1" x14ac:dyDescent="0.15"/>
    <row r="39717" s="8" customFormat="1" ht="21.95" customHeight="1" x14ac:dyDescent="0.15"/>
    <row r="39718" s="8" customFormat="1" ht="21.95" customHeight="1" x14ac:dyDescent="0.15"/>
    <row r="39719" s="8" customFormat="1" ht="21.95" customHeight="1" x14ac:dyDescent="0.15"/>
    <row r="39720" s="8" customFormat="1" ht="32.1" customHeight="1" x14ac:dyDescent="0.15"/>
    <row r="39721" s="8" customFormat="1" ht="32.1" customHeight="1" x14ac:dyDescent="0.15"/>
    <row r="39722" s="8" customFormat="1" ht="32.1" customHeight="1" x14ac:dyDescent="0.15"/>
    <row r="39723" s="8" customFormat="1" ht="32.1" customHeight="1" x14ac:dyDescent="0.15"/>
    <row r="39724" s="8" customFormat="1" ht="32.1" customHeight="1" x14ac:dyDescent="0.15"/>
    <row r="39725" s="8" customFormat="1" ht="32.1" customHeight="1" x14ac:dyDescent="0.15"/>
    <row r="39726" s="9" customFormat="1" ht="32.1" customHeight="1" x14ac:dyDescent="0.15"/>
    <row r="39727" s="9" customFormat="1" ht="32.1" customHeight="1" x14ac:dyDescent="0.15"/>
    <row r="39728" s="9" customFormat="1" ht="32.1" customHeight="1" x14ac:dyDescent="0.15"/>
    <row r="39729" s="9" customFormat="1" ht="32.1" customHeight="1" x14ac:dyDescent="0.15"/>
    <row r="39730" s="9" customFormat="1" ht="21.95" customHeight="1" x14ac:dyDescent="0.15"/>
    <row r="39731" s="9" customFormat="1" ht="54" customHeight="1" x14ac:dyDescent="0.15"/>
    <row r="39732" s="9" customFormat="1" ht="21.95" customHeight="1" x14ac:dyDescent="0.15"/>
    <row r="39733" s="9" customFormat="1" ht="21.95" customHeight="1" x14ac:dyDescent="0.15"/>
    <row r="39734" s="9" customFormat="1" ht="21.95" customHeight="1" x14ac:dyDescent="0.15"/>
    <row r="39735" s="9" customFormat="1" ht="21.95" customHeight="1" x14ac:dyDescent="0.15"/>
    <row r="39736" s="9" customFormat="1" ht="21.95" customHeight="1" x14ac:dyDescent="0.15"/>
    <row r="39737" s="9" customFormat="1" ht="21.95" customHeight="1" x14ac:dyDescent="0.15"/>
    <row r="39738" s="9" customFormat="1" ht="21.95" customHeight="1" x14ac:dyDescent="0.15"/>
    <row r="39739" s="9" customFormat="1" ht="21.95" customHeight="1" x14ac:dyDescent="0.15"/>
    <row r="39740" s="9" customFormat="1" ht="21.95" customHeight="1" x14ac:dyDescent="0.15"/>
    <row r="39741" s="9" customFormat="1" ht="21.95" customHeight="1" x14ac:dyDescent="0.15"/>
    <row r="39742" s="9" customFormat="1" ht="21.95" customHeight="1" x14ac:dyDescent="0.15"/>
    <row r="39743" s="9" customFormat="1" ht="21.95" customHeight="1" x14ac:dyDescent="0.15"/>
    <row r="39744" s="9" customFormat="1" ht="21.95" customHeight="1" x14ac:dyDescent="0.15"/>
    <row r="39745" s="9" customFormat="1" ht="21.95" customHeight="1" x14ac:dyDescent="0.15"/>
    <row r="39746" s="9" customFormat="1" ht="21.95" customHeight="1" x14ac:dyDescent="0.15"/>
    <row r="39747" s="9" customFormat="1" ht="21.95" customHeight="1" x14ac:dyDescent="0.15"/>
    <row r="39748" s="9" customFormat="1" ht="21.95" customHeight="1" x14ac:dyDescent="0.15"/>
    <row r="39749" s="9" customFormat="1" ht="21.95" customHeight="1" x14ac:dyDescent="0.15"/>
    <row r="39750" s="9" customFormat="1" ht="21.95" customHeight="1" x14ac:dyDescent="0.15"/>
    <row r="39751" s="9" customFormat="1" ht="21.95" customHeight="1" x14ac:dyDescent="0.15"/>
    <row r="39752" s="9" customFormat="1" ht="21.95" customHeight="1" x14ac:dyDescent="0.15"/>
    <row r="39753" s="9" customFormat="1" ht="21.95" customHeight="1" x14ac:dyDescent="0.15"/>
    <row r="39754" s="9" customFormat="1" ht="21.95" customHeight="1" x14ac:dyDescent="0.15"/>
    <row r="39755" s="9" customFormat="1" ht="21.95" customHeight="1" x14ac:dyDescent="0.15"/>
    <row r="39756" s="9" customFormat="1" ht="21.95" customHeight="1" x14ac:dyDescent="0.15"/>
    <row r="39757" s="9" customFormat="1" ht="21.95" customHeight="1" x14ac:dyDescent="0.15"/>
    <row r="39758" s="9" customFormat="1" ht="21.95" customHeight="1" x14ac:dyDescent="0.15"/>
    <row r="39759" s="9" customFormat="1" ht="21.95" customHeight="1" x14ac:dyDescent="0.15"/>
    <row r="39760" s="9" customFormat="1" ht="21.95" customHeight="1" x14ac:dyDescent="0.15"/>
    <row r="39761" s="9" customFormat="1" ht="21.95" customHeight="1" x14ac:dyDescent="0.15"/>
    <row r="39762" s="9" customFormat="1" ht="21.95" customHeight="1" x14ac:dyDescent="0.15"/>
    <row r="39763" s="9" customFormat="1" ht="21.95" customHeight="1" x14ac:dyDescent="0.15"/>
    <row r="39764" s="9" customFormat="1" ht="21.95" customHeight="1" x14ac:dyDescent="0.15"/>
    <row r="39765" s="9" customFormat="1" ht="21.95" customHeight="1" x14ac:dyDescent="0.15"/>
    <row r="39766" s="9" customFormat="1" ht="21.95" customHeight="1" x14ac:dyDescent="0.15"/>
    <row r="39767" s="9" customFormat="1" ht="21.95" customHeight="1" x14ac:dyDescent="0.15"/>
    <row r="39768" s="9" customFormat="1" ht="21.95" customHeight="1" x14ac:dyDescent="0.15"/>
    <row r="39769" s="9" customFormat="1" ht="21.95" customHeight="1" x14ac:dyDescent="0.15"/>
    <row r="39770" s="9" customFormat="1" ht="21.95" customHeight="1" x14ac:dyDescent="0.15"/>
    <row r="39771" s="9" customFormat="1" ht="21.95" customHeight="1" x14ac:dyDescent="0.15"/>
    <row r="39772" s="9" customFormat="1" ht="21.95" customHeight="1" x14ac:dyDescent="0.15"/>
    <row r="39773" s="9" customFormat="1" ht="21.95" customHeight="1" x14ac:dyDescent="0.15"/>
    <row r="39774" s="9" customFormat="1" ht="21.95" customHeight="1" x14ac:dyDescent="0.15"/>
    <row r="39775" s="9" customFormat="1" ht="21.95" customHeight="1" x14ac:dyDescent="0.15"/>
    <row r="39776" s="9" customFormat="1" ht="21.95" customHeight="1" x14ac:dyDescent="0.15"/>
    <row r="39777" s="9" customFormat="1" ht="21.95" customHeight="1" x14ac:dyDescent="0.15"/>
    <row r="39778" s="9" customFormat="1" ht="21.95" customHeight="1" x14ac:dyDescent="0.15"/>
    <row r="39779" s="9" customFormat="1" ht="21.95" customHeight="1" x14ac:dyDescent="0.15"/>
    <row r="39780" s="9" customFormat="1" ht="21.95" customHeight="1" x14ac:dyDescent="0.15"/>
    <row r="39781" s="9" customFormat="1" ht="21.95" customHeight="1" x14ac:dyDescent="0.15"/>
    <row r="39782" s="9" customFormat="1" ht="35.1" customHeight="1" x14ac:dyDescent="0.15"/>
    <row r="39783" s="9" customFormat="1" ht="21.95" customHeight="1" x14ac:dyDescent="0.15"/>
    <row r="39784" s="9" customFormat="1" ht="21.95" customHeight="1" x14ac:dyDescent="0.15"/>
    <row r="39785" s="9" customFormat="1" ht="21.95" customHeight="1" x14ac:dyDescent="0.15"/>
    <row r="39786" s="9" customFormat="1" ht="21.95" customHeight="1" x14ac:dyDescent="0.15"/>
    <row r="39787" s="9" customFormat="1" ht="21.95" customHeight="1" x14ac:dyDescent="0.15"/>
    <row r="39788" s="9" customFormat="1" ht="21.95" customHeight="1" x14ac:dyDescent="0.15"/>
    <row r="39789" s="9" customFormat="1" ht="21.95" customHeight="1" x14ac:dyDescent="0.15"/>
    <row r="39790" s="9" customFormat="1" ht="21.95" customHeight="1" x14ac:dyDescent="0.15"/>
    <row r="39791" s="9" customFormat="1" ht="21.95" customHeight="1" x14ac:dyDescent="0.15"/>
    <row r="39792" s="9" customFormat="1" ht="21.95" customHeight="1" x14ac:dyDescent="0.15"/>
    <row r="39793" spans="3:3" s="9" customFormat="1" ht="21.95" customHeight="1" x14ac:dyDescent="0.15"/>
    <row r="39794" spans="3:3" s="9" customFormat="1" ht="21.95" customHeight="1" x14ac:dyDescent="0.15"/>
    <row r="39795" spans="3:3" s="9" customFormat="1" ht="21.95" customHeight="1" x14ac:dyDescent="0.15"/>
    <row r="39796" spans="3:3" s="9" customFormat="1" ht="21.95" customHeight="1" x14ac:dyDescent="0.15"/>
    <row r="39797" spans="3:3" s="9" customFormat="1" ht="21.95" customHeight="1" x14ac:dyDescent="0.15"/>
    <row r="39798" spans="3:3" s="9" customFormat="1" ht="21.95" customHeight="1" x14ac:dyDescent="0.15"/>
    <row r="39799" spans="3:3" s="9" customFormat="1" ht="21.95" customHeight="1" x14ac:dyDescent="0.15"/>
    <row r="39800" spans="3:3" s="9" customFormat="1" ht="21.95" customHeight="1" x14ac:dyDescent="0.15"/>
    <row r="39801" spans="3:3" s="9" customFormat="1" ht="21.95" customHeight="1" x14ac:dyDescent="0.15"/>
    <row r="39802" spans="3:3" s="9" customFormat="1" ht="21.95" customHeight="1" x14ac:dyDescent="0.15"/>
    <row r="39803" spans="3:3" s="9" customFormat="1" ht="21.95" customHeight="1" x14ac:dyDescent="0.15"/>
    <row r="39804" spans="3:3" s="9" customFormat="1" ht="21.95" customHeight="1" x14ac:dyDescent="0.15"/>
    <row r="39805" spans="3:3" s="9" customFormat="1" ht="21.95" customHeight="1" x14ac:dyDescent="0.15"/>
    <row r="39806" spans="3:3" s="8" customFormat="1" ht="21.95" customHeight="1" x14ac:dyDescent="0.15"/>
    <row r="39807" spans="3:3" s="8" customFormat="1" ht="21.95" customHeight="1" x14ac:dyDescent="0.15"/>
    <row r="39808" spans="3:3" s="8" customFormat="1" ht="21.95" customHeight="1" x14ac:dyDescent="0.15">
      <c r="C39808" s="101"/>
    </row>
    <row r="39809" spans="3:3" s="8" customFormat="1" ht="21.95" customHeight="1" x14ac:dyDescent="0.15">
      <c r="C39809" s="101"/>
    </row>
    <row r="39810" spans="3:3" s="8" customFormat="1" ht="21.95" customHeight="1" x14ac:dyDescent="0.15"/>
    <row r="39811" spans="3:3" s="8" customFormat="1" ht="21.95" customHeight="1" x14ac:dyDescent="0.15"/>
    <row r="39812" spans="3:3" s="8" customFormat="1" ht="21.95" customHeight="1" x14ac:dyDescent="0.15"/>
    <row r="39813" spans="3:3" s="8" customFormat="1" ht="21.95" customHeight="1" x14ac:dyDescent="0.15"/>
    <row r="39814" spans="3:3" s="8" customFormat="1" ht="21.95" customHeight="1" x14ac:dyDescent="0.15"/>
    <row r="39815" spans="3:3" s="8" customFormat="1" ht="21.95" customHeight="1" x14ac:dyDescent="0.15"/>
    <row r="39816" spans="3:3" s="8" customFormat="1" ht="21.95" customHeight="1" x14ac:dyDescent="0.15"/>
    <row r="39817" spans="3:3" s="9" customFormat="1" ht="21.95" customHeight="1" x14ac:dyDescent="0.15"/>
    <row r="39818" spans="3:3" s="9" customFormat="1" ht="21.95" customHeight="1" x14ac:dyDescent="0.15"/>
    <row r="39819" spans="3:3" s="9" customFormat="1" ht="21.95" customHeight="1" x14ac:dyDescent="0.15"/>
    <row r="39820" spans="3:3" s="9" customFormat="1" ht="21.95" customHeight="1" x14ac:dyDescent="0.15"/>
    <row r="39821" spans="3:3" s="8" customFormat="1" ht="21.95" customHeight="1" x14ac:dyDescent="0.15"/>
    <row r="39822" spans="3:3" s="8" customFormat="1" ht="21.95" customHeight="1" x14ac:dyDescent="0.15"/>
    <row r="39823" spans="3:3" s="8" customFormat="1" ht="21.95" customHeight="1" x14ac:dyDescent="0.15"/>
    <row r="39824" spans="3:3" s="8" customFormat="1" ht="21.95" customHeight="1" x14ac:dyDescent="0.15"/>
    <row r="39825" s="8" customFormat="1" ht="21.95" customHeight="1" x14ac:dyDescent="0.15"/>
    <row r="39826" s="8" customFormat="1" ht="21.95" customHeight="1" x14ac:dyDescent="0.15"/>
    <row r="39827" s="8" customFormat="1" ht="21.95" customHeight="1" x14ac:dyDescent="0.15"/>
    <row r="39828" s="8" customFormat="1" ht="21.95" customHeight="1" x14ac:dyDescent="0.15"/>
    <row r="39829" s="8" customFormat="1" ht="21.95" customHeight="1" x14ac:dyDescent="0.15"/>
    <row r="39830" s="8" customFormat="1" ht="21.95" customHeight="1" x14ac:dyDescent="0.15"/>
    <row r="39831" s="8" customFormat="1" ht="21.95" customHeight="1" x14ac:dyDescent="0.15"/>
    <row r="39832" s="8" customFormat="1" ht="32.1" customHeight="1" x14ac:dyDescent="0.15"/>
    <row r="39833" s="8" customFormat="1" ht="32.1" customHeight="1" x14ac:dyDescent="0.15"/>
    <row r="39834" s="8" customFormat="1" ht="32.1" customHeight="1" x14ac:dyDescent="0.15"/>
    <row r="39835" s="8" customFormat="1" ht="32.1" customHeight="1" x14ac:dyDescent="0.15"/>
    <row r="39836" s="8" customFormat="1" ht="32.1" customHeight="1" x14ac:dyDescent="0.15"/>
    <row r="39837" s="8" customFormat="1" ht="32.1" customHeight="1" x14ac:dyDescent="0.15"/>
    <row r="39838" s="9" customFormat="1" ht="32.1" customHeight="1" x14ac:dyDescent="0.15"/>
    <row r="39839" s="9" customFormat="1" ht="32.1" customHeight="1" x14ac:dyDescent="0.15"/>
    <row r="39840" s="9" customFormat="1" ht="32.1" customHeight="1" x14ac:dyDescent="0.15"/>
    <row r="39841" s="9" customFormat="1" ht="32.1" customHeight="1" x14ac:dyDescent="0.15"/>
    <row r="39842" s="9" customFormat="1" ht="21.95" customHeight="1" x14ac:dyDescent="0.15"/>
    <row r="39843" s="9" customFormat="1" ht="54" customHeight="1" x14ac:dyDescent="0.15"/>
    <row r="39844" s="9" customFormat="1" ht="21.95" customHeight="1" x14ac:dyDescent="0.15"/>
    <row r="39845" s="9" customFormat="1" ht="21.95" customHeight="1" x14ac:dyDescent="0.15"/>
    <row r="39846" s="9" customFormat="1" ht="21.95" customHeight="1" x14ac:dyDescent="0.15"/>
    <row r="39847" s="9" customFormat="1" ht="21.95" customHeight="1" x14ac:dyDescent="0.15"/>
    <row r="39848" s="9" customFormat="1" ht="21.95" customHeight="1" x14ac:dyDescent="0.15"/>
    <row r="39849" s="9" customFormat="1" ht="21.95" customHeight="1" x14ac:dyDescent="0.15"/>
    <row r="39850" s="9" customFormat="1" ht="21.95" customHeight="1" x14ac:dyDescent="0.15"/>
    <row r="39851" s="9" customFormat="1" ht="21.95" customHeight="1" x14ac:dyDescent="0.15"/>
    <row r="39852" s="9" customFormat="1" ht="21.95" customHeight="1" x14ac:dyDescent="0.15"/>
    <row r="39853" s="9" customFormat="1" ht="21.95" customHeight="1" x14ac:dyDescent="0.15"/>
    <row r="39854" s="9" customFormat="1" ht="21.95" customHeight="1" x14ac:dyDescent="0.15"/>
    <row r="39855" s="9" customFormat="1" ht="21.95" customHeight="1" x14ac:dyDescent="0.15"/>
    <row r="39856" s="9" customFormat="1" ht="21.95" customHeight="1" x14ac:dyDescent="0.15"/>
    <row r="39857" s="9" customFormat="1" ht="21.95" customHeight="1" x14ac:dyDescent="0.15"/>
    <row r="39858" s="9" customFormat="1" ht="21.95" customHeight="1" x14ac:dyDescent="0.15"/>
    <row r="39859" s="9" customFormat="1" ht="21.95" customHeight="1" x14ac:dyDescent="0.15"/>
    <row r="39860" s="9" customFormat="1" ht="21.95" customHeight="1" x14ac:dyDescent="0.15"/>
    <row r="39861" s="9" customFormat="1" ht="21.95" customHeight="1" x14ac:dyDescent="0.15"/>
    <row r="39862" s="9" customFormat="1" ht="21.95" customHeight="1" x14ac:dyDescent="0.15"/>
    <row r="39863" s="9" customFormat="1" ht="21.95" customHeight="1" x14ac:dyDescent="0.15"/>
    <row r="39864" s="9" customFormat="1" ht="21.95" customHeight="1" x14ac:dyDescent="0.15"/>
    <row r="39865" s="9" customFormat="1" ht="21.95" customHeight="1" x14ac:dyDescent="0.15"/>
    <row r="39866" s="9" customFormat="1" ht="21.95" customHeight="1" x14ac:dyDescent="0.15"/>
    <row r="39867" s="9" customFormat="1" ht="21.95" customHeight="1" x14ac:dyDescent="0.15"/>
    <row r="39868" s="9" customFormat="1" ht="21.95" customHeight="1" x14ac:dyDescent="0.15"/>
    <row r="39869" s="9" customFormat="1" ht="21.95" customHeight="1" x14ac:dyDescent="0.15"/>
    <row r="39870" s="9" customFormat="1" ht="21.95" customHeight="1" x14ac:dyDescent="0.15"/>
    <row r="39871" s="9" customFormat="1" ht="21.95" customHeight="1" x14ac:dyDescent="0.15"/>
    <row r="39872" s="9" customFormat="1" ht="21.95" customHeight="1" x14ac:dyDescent="0.15"/>
    <row r="39873" s="9" customFormat="1" ht="21.95" customHeight="1" x14ac:dyDescent="0.15"/>
    <row r="39874" s="9" customFormat="1" ht="21.95" customHeight="1" x14ac:dyDescent="0.15"/>
    <row r="39875" s="9" customFormat="1" ht="21.95" customHeight="1" x14ac:dyDescent="0.15"/>
    <row r="39876" s="9" customFormat="1" ht="21.95" customHeight="1" x14ac:dyDescent="0.15"/>
    <row r="39877" s="9" customFormat="1" ht="21.95" customHeight="1" x14ac:dyDescent="0.15"/>
    <row r="39878" s="9" customFormat="1" ht="21.95" customHeight="1" x14ac:dyDescent="0.15"/>
    <row r="39879" s="9" customFormat="1" ht="21.95" customHeight="1" x14ac:dyDescent="0.15"/>
    <row r="39880" s="9" customFormat="1" ht="21.95" customHeight="1" x14ac:dyDescent="0.15"/>
    <row r="39881" s="9" customFormat="1" ht="21.95" customHeight="1" x14ac:dyDescent="0.15"/>
    <row r="39882" s="9" customFormat="1" ht="21.95" customHeight="1" x14ac:dyDescent="0.15"/>
    <row r="39883" s="9" customFormat="1" ht="21.95" customHeight="1" x14ac:dyDescent="0.15"/>
    <row r="39884" s="9" customFormat="1" ht="21.95" customHeight="1" x14ac:dyDescent="0.15"/>
    <row r="39885" s="9" customFormat="1" ht="21.95" customHeight="1" x14ac:dyDescent="0.15"/>
    <row r="39886" s="9" customFormat="1" ht="21.95" customHeight="1" x14ac:dyDescent="0.15"/>
    <row r="39887" s="9" customFormat="1" ht="21.95" customHeight="1" x14ac:dyDescent="0.15"/>
    <row r="39888" s="9" customFormat="1" ht="21.95" customHeight="1" x14ac:dyDescent="0.15"/>
    <row r="39889" s="9" customFormat="1" ht="21.95" customHeight="1" x14ac:dyDescent="0.15"/>
    <row r="39890" s="9" customFormat="1" ht="21.95" customHeight="1" x14ac:dyDescent="0.15"/>
    <row r="39891" s="9" customFormat="1" ht="21.95" customHeight="1" x14ac:dyDescent="0.15"/>
    <row r="39892" s="9" customFormat="1" ht="21.95" customHeight="1" x14ac:dyDescent="0.15"/>
    <row r="39893" s="9" customFormat="1" ht="21.95" customHeight="1" x14ac:dyDescent="0.15"/>
    <row r="39894" s="9" customFormat="1" ht="35.1" customHeight="1" x14ac:dyDescent="0.15"/>
    <row r="39895" s="9" customFormat="1" ht="21.95" customHeight="1" x14ac:dyDescent="0.15"/>
    <row r="39896" s="9" customFormat="1" ht="21.95" customHeight="1" x14ac:dyDescent="0.15"/>
    <row r="39897" s="9" customFormat="1" ht="21.95" customHeight="1" x14ac:dyDescent="0.15"/>
    <row r="39898" s="9" customFormat="1" ht="21.95" customHeight="1" x14ac:dyDescent="0.15"/>
    <row r="39899" s="9" customFormat="1" ht="21.95" customHeight="1" x14ac:dyDescent="0.15"/>
    <row r="39900" s="9" customFormat="1" ht="21.95" customHeight="1" x14ac:dyDescent="0.15"/>
    <row r="39901" s="9" customFormat="1" ht="21.95" customHeight="1" x14ac:dyDescent="0.15"/>
    <row r="39902" s="9" customFormat="1" ht="21.95" customHeight="1" x14ac:dyDescent="0.15"/>
    <row r="39903" s="9" customFormat="1" ht="21.95" customHeight="1" x14ac:dyDescent="0.15"/>
    <row r="39904" s="9" customFormat="1" ht="21.95" customHeight="1" x14ac:dyDescent="0.15"/>
    <row r="39905" spans="3:3" s="9" customFormat="1" ht="21.95" customHeight="1" x14ac:dyDescent="0.15"/>
    <row r="39906" spans="3:3" s="9" customFormat="1" ht="21.95" customHeight="1" x14ac:dyDescent="0.15"/>
    <row r="39907" spans="3:3" s="9" customFormat="1" ht="21.95" customHeight="1" x14ac:dyDescent="0.15"/>
    <row r="39908" spans="3:3" s="9" customFormat="1" ht="21.95" customHeight="1" x14ac:dyDescent="0.15"/>
    <row r="39909" spans="3:3" s="9" customFormat="1" ht="21.95" customHeight="1" x14ac:dyDescent="0.15"/>
    <row r="39910" spans="3:3" s="9" customFormat="1" ht="21.95" customHeight="1" x14ac:dyDescent="0.15"/>
    <row r="39911" spans="3:3" s="9" customFormat="1" ht="21.95" customHeight="1" x14ac:dyDescent="0.15"/>
    <row r="39912" spans="3:3" s="9" customFormat="1" ht="21.95" customHeight="1" x14ac:dyDescent="0.15"/>
    <row r="39913" spans="3:3" s="9" customFormat="1" ht="21.95" customHeight="1" x14ac:dyDescent="0.15"/>
    <row r="39914" spans="3:3" s="9" customFormat="1" ht="21.95" customHeight="1" x14ac:dyDescent="0.15"/>
    <row r="39915" spans="3:3" s="9" customFormat="1" ht="21.95" customHeight="1" x14ac:dyDescent="0.15"/>
    <row r="39916" spans="3:3" s="9" customFormat="1" ht="21.95" customHeight="1" x14ac:dyDescent="0.15"/>
    <row r="39917" spans="3:3" s="9" customFormat="1" ht="21.95" customHeight="1" x14ac:dyDescent="0.15"/>
    <row r="39918" spans="3:3" s="8" customFormat="1" ht="21.95" customHeight="1" x14ac:dyDescent="0.15"/>
    <row r="39919" spans="3:3" s="8" customFormat="1" ht="21.95" customHeight="1" x14ac:dyDescent="0.15"/>
    <row r="39920" spans="3:3" s="8" customFormat="1" ht="21.95" customHeight="1" x14ac:dyDescent="0.15">
      <c r="C39920" s="101"/>
    </row>
    <row r="39921" spans="3:3" s="8" customFormat="1" ht="21.95" customHeight="1" x14ac:dyDescent="0.15">
      <c r="C39921" s="101"/>
    </row>
    <row r="39922" spans="3:3" s="8" customFormat="1" ht="21.95" customHeight="1" x14ac:dyDescent="0.15"/>
    <row r="39923" spans="3:3" s="8" customFormat="1" ht="21.95" customHeight="1" x14ac:dyDescent="0.15"/>
    <row r="39924" spans="3:3" s="8" customFormat="1" ht="21.95" customHeight="1" x14ac:dyDescent="0.15"/>
    <row r="39925" spans="3:3" s="8" customFormat="1" ht="21.95" customHeight="1" x14ac:dyDescent="0.15"/>
    <row r="39926" spans="3:3" s="8" customFormat="1" ht="21.95" customHeight="1" x14ac:dyDescent="0.15"/>
    <row r="39927" spans="3:3" s="8" customFormat="1" ht="21.95" customHeight="1" x14ac:dyDescent="0.15"/>
    <row r="39928" spans="3:3" s="8" customFormat="1" ht="21.95" customHeight="1" x14ac:dyDescent="0.15"/>
    <row r="39929" spans="3:3" s="9" customFormat="1" ht="21.95" customHeight="1" x14ac:dyDescent="0.15"/>
    <row r="39930" spans="3:3" s="9" customFormat="1" ht="21.95" customHeight="1" x14ac:dyDescent="0.15"/>
    <row r="39931" spans="3:3" s="9" customFormat="1" ht="21.95" customHeight="1" x14ac:dyDescent="0.15"/>
    <row r="39932" spans="3:3" s="9" customFormat="1" ht="21.95" customHeight="1" x14ac:dyDescent="0.15"/>
    <row r="39933" spans="3:3" s="8" customFormat="1" ht="21.95" customHeight="1" x14ac:dyDescent="0.15"/>
    <row r="39934" spans="3:3" s="8" customFormat="1" ht="21.95" customHeight="1" x14ac:dyDescent="0.15"/>
    <row r="39935" spans="3:3" s="8" customFormat="1" ht="21.95" customHeight="1" x14ac:dyDescent="0.15"/>
    <row r="39936" spans="3:3" s="8" customFormat="1" ht="21.95" customHeight="1" x14ac:dyDescent="0.15"/>
    <row r="39937" s="8" customFormat="1" ht="21.95" customHeight="1" x14ac:dyDescent="0.15"/>
    <row r="39938" s="8" customFormat="1" ht="21.95" customHeight="1" x14ac:dyDescent="0.15"/>
    <row r="39939" s="8" customFormat="1" ht="21.95" customHeight="1" x14ac:dyDescent="0.15"/>
    <row r="39940" s="8" customFormat="1" ht="21.95" customHeight="1" x14ac:dyDescent="0.15"/>
    <row r="39941" s="8" customFormat="1" ht="21.95" customHeight="1" x14ac:dyDescent="0.15"/>
    <row r="39942" s="8" customFormat="1" ht="21.95" customHeight="1" x14ac:dyDescent="0.15"/>
    <row r="39943" s="8" customFormat="1" ht="21.95" customHeight="1" x14ac:dyDescent="0.15"/>
    <row r="39944" s="8" customFormat="1" ht="32.1" customHeight="1" x14ac:dyDescent="0.15"/>
    <row r="39945" s="8" customFormat="1" ht="32.1" customHeight="1" x14ac:dyDescent="0.15"/>
    <row r="39946" s="8" customFormat="1" ht="32.1" customHeight="1" x14ac:dyDescent="0.15"/>
    <row r="39947" s="8" customFormat="1" ht="32.1" customHeight="1" x14ac:dyDescent="0.15"/>
    <row r="39948" s="8" customFormat="1" ht="32.1" customHeight="1" x14ac:dyDescent="0.15"/>
    <row r="39949" s="8" customFormat="1" ht="32.1" customHeight="1" x14ac:dyDescent="0.15"/>
    <row r="39950" s="9" customFormat="1" ht="32.1" customHeight="1" x14ac:dyDescent="0.15"/>
    <row r="39951" s="9" customFormat="1" ht="32.1" customHeight="1" x14ac:dyDescent="0.15"/>
    <row r="39952" s="9" customFormat="1" ht="32.1" customHeight="1" x14ac:dyDescent="0.15"/>
    <row r="39953" s="9" customFormat="1" ht="32.1" customHeight="1" x14ac:dyDescent="0.15"/>
    <row r="39954" s="9" customFormat="1" ht="21.95" customHeight="1" x14ac:dyDescent="0.15"/>
    <row r="39955" s="9" customFormat="1" ht="54" customHeight="1" x14ac:dyDescent="0.15"/>
    <row r="39956" s="9" customFormat="1" ht="21.95" customHeight="1" x14ac:dyDescent="0.15"/>
    <row r="39957" s="9" customFormat="1" ht="21.95" customHeight="1" x14ac:dyDescent="0.15"/>
    <row r="39958" s="9" customFormat="1" ht="21.95" customHeight="1" x14ac:dyDescent="0.15"/>
    <row r="39959" s="9" customFormat="1" ht="21.95" customHeight="1" x14ac:dyDescent="0.15"/>
    <row r="39960" s="9" customFormat="1" ht="21.95" customHeight="1" x14ac:dyDescent="0.15"/>
    <row r="39961" s="9" customFormat="1" ht="21.95" customHeight="1" x14ac:dyDescent="0.15"/>
    <row r="39962" s="9" customFormat="1" ht="21.95" customHeight="1" x14ac:dyDescent="0.15"/>
    <row r="39963" s="9" customFormat="1" ht="21.95" customHeight="1" x14ac:dyDescent="0.15"/>
    <row r="39964" s="9" customFormat="1" ht="21.95" customHeight="1" x14ac:dyDescent="0.15"/>
    <row r="39965" s="9" customFormat="1" ht="21.95" customHeight="1" x14ac:dyDescent="0.15"/>
    <row r="39966" s="9" customFormat="1" ht="21.95" customHeight="1" x14ac:dyDescent="0.15"/>
    <row r="39967" s="9" customFormat="1" ht="21.95" customHeight="1" x14ac:dyDescent="0.15"/>
    <row r="39968" s="9" customFormat="1" ht="21.95" customHeight="1" x14ac:dyDescent="0.15"/>
    <row r="39969" s="9" customFormat="1" ht="21.95" customHeight="1" x14ac:dyDescent="0.15"/>
    <row r="39970" s="9" customFormat="1" ht="21.95" customHeight="1" x14ac:dyDescent="0.15"/>
    <row r="39971" s="9" customFormat="1" ht="21.95" customHeight="1" x14ac:dyDescent="0.15"/>
    <row r="39972" s="9" customFormat="1" ht="21.95" customHeight="1" x14ac:dyDescent="0.15"/>
    <row r="39973" s="9" customFormat="1" ht="21.95" customHeight="1" x14ac:dyDescent="0.15"/>
    <row r="39974" s="9" customFormat="1" ht="21.95" customHeight="1" x14ac:dyDescent="0.15"/>
    <row r="39975" s="9" customFormat="1" ht="21.95" customHeight="1" x14ac:dyDescent="0.15"/>
    <row r="39976" s="9" customFormat="1" ht="21.95" customHeight="1" x14ac:dyDescent="0.15"/>
    <row r="39977" s="9" customFormat="1" ht="21.95" customHeight="1" x14ac:dyDescent="0.15"/>
    <row r="39978" s="9" customFormat="1" ht="21.95" customHeight="1" x14ac:dyDescent="0.15"/>
    <row r="39979" s="9" customFormat="1" ht="21.95" customHeight="1" x14ac:dyDescent="0.15"/>
    <row r="39980" s="9" customFormat="1" ht="21.95" customHeight="1" x14ac:dyDescent="0.15"/>
    <row r="39981" s="9" customFormat="1" ht="21.95" customHeight="1" x14ac:dyDescent="0.15"/>
    <row r="39982" s="9" customFormat="1" ht="21.95" customHeight="1" x14ac:dyDescent="0.15"/>
    <row r="39983" s="9" customFormat="1" ht="21.95" customHeight="1" x14ac:dyDescent="0.15"/>
    <row r="39984" s="9" customFormat="1" ht="21.95" customHeight="1" x14ac:dyDescent="0.15"/>
    <row r="39985" s="9" customFormat="1" ht="21.95" customHeight="1" x14ac:dyDescent="0.15"/>
    <row r="39986" s="9" customFormat="1" ht="21.95" customHeight="1" x14ac:dyDescent="0.15"/>
    <row r="39987" s="9" customFormat="1" ht="21.95" customHeight="1" x14ac:dyDescent="0.15"/>
    <row r="39988" s="9" customFormat="1" ht="21.95" customHeight="1" x14ac:dyDescent="0.15"/>
    <row r="39989" s="9" customFormat="1" ht="21.95" customHeight="1" x14ac:dyDescent="0.15"/>
    <row r="39990" s="9" customFormat="1" ht="21.95" customHeight="1" x14ac:dyDescent="0.15"/>
    <row r="39991" s="9" customFormat="1" ht="21.95" customHeight="1" x14ac:dyDescent="0.15"/>
    <row r="39992" s="9" customFormat="1" ht="21.95" customHeight="1" x14ac:dyDescent="0.15"/>
    <row r="39993" s="9" customFormat="1" ht="21.95" customHeight="1" x14ac:dyDescent="0.15"/>
    <row r="39994" s="9" customFormat="1" ht="21.95" customHeight="1" x14ac:dyDescent="0.15"/>
    <row r="39995" s="9" customFormat="1" ht="21.95" customHeight="1" x14ac:dyDescent="0.15"/>
    <row r="39996" s="9" customFormat="1" ht="21.95" customHeight="1" x14ac:dyDescent="0.15"/>
    <row r="39997" s="9" customFormat="1" ht="21.95" customHeight="1" x14ac:dyDescent="0.15"/>
    <row r="39998" s="9" customFormat="1" ht="21.95" customHeight="1" x14ac:dyDescent="0.15"/>
    <row r="39999" s="9" customFormat="1" ht="21.95" customHeight="1" x14ac:dyDescent="0.15"/>
    <row r="40000" s="9" customFormat="1" ht="21.95" customHeight="1" x14ac:dyDescent="0.15"/>
    <row r="40001" s="9" customFormat="1" ht="21.95" customHeight="1" x14ac:dyDescent="0.15"/>
    <row r="40002" s="9" customFormat="1" ht="21.95" customHeight="1" x14ac:dyDescent="0.15"/>
    <row r="40003" s="9" customFormat="1" ht="21.95" customHeight="1" x14ac:dyDescent="0.15"/>
    <row r="40004" s="9" customFormat="1" ht="21.95" customHeight="1" x14ac:dyDescent="0.15"/>
    <row r="40005" s="9" customFormat="1" ht="21.95" customHeight="1" x14ac:dyDescent="0.15"/>
    <row r="40006" s="9" customFormat="1" ht="35.1" customHeight="1" x14ac:dyDescent="0.15"/>
    <row r="40007" s="9" customFormat="1" ht="21.95" customHeight="1" x14ac:dyDescent="0.15"/>
    <row r="40008" s="9" customFormat="1" ht="21.95" customHeight="1" x14ac:dyDescent="0.15"/>
    <row r="40009" s="9" customFormat="1" ht="21.95" customHeight="1" x14ac:dyDescent="0.15"/>
    <row r="40010" s="9" customFormat="1" ht="21.95" customHeight="1" x14ac:dyDescent="0.15"/>
    <row r="40011" s="9" customFormat="1" ht="21.95" customHeight="1" x14ac:dyDescent="0.15"/>
    <row r="40012" s="9" customFormat="1" ht="21.95" customHeight="1" x14ac:dyDescent="0.15"/>
    <row r="40013" s="9" customFormat="1" ht="21.95" customHeight="1" x14ac:dyDescent="0.15"/>
    <row r="40014" s="9" customFormat="1" ht="21.95" customHeight="1" x14ac:dyDescent="0.15"/>
    <row r="40015" s="9" customFormat="1" ht="21.95" customHeight="1" x14ac:dyDescent="0.15"/>
    <row r="40016" s="9" customFormat="1" ht="21.95" customHeight="1" x14ac:dyDescent="0.15"/>
    <row r="40017" spans="3:3" s="9" customFormat="1" ht="21.95" customHeight="1" x14ac:dyDescent="0.15"/>
    <row r="40018" spans="3:3" s="9" customFormat="1" ht="21.95" customHeight="1" x14ac:dyDescent="0.15"/>
    <row r="40019" spans="3:3" s="9" customFormat="1" ht="21.95" customHeight="1" x14ac:dyDescent="0.15"/>
    <row r="40020" spans="3:3" s="9" customFormat="1" ht="21.95" customHeight="1" x14ac:dyDescent="0.15"/>
    <row r="40021" spans="3:3" s="9" customFormat="1" ht="21.95" customHeight="1" x14ac:dyDescent="0.15"/>
    <row r="40022" spans="3:3" s="9" customFormat="1" ht="21.95" customHeight="1" x14ac:dyDescent="0.15"/>
    <row r="40023" spans="3:3" s="9" customFormat="1" ht="21.95" customHeight="1" x14ac:dyDescent="0.15"/>
    <row r="40024" spans="3:3" s="9" customFormat="1" ht="21.95" customHeight="1" x14ac:dyDescent="0.15"/>
    <row r="40025" spans="3:3" s="9" customFormat="1" ht="21.95" customHeight="1" x14ac:dyDescent="0.15"/>
    <row r="40026" spans="3:3" s="9" customFormat="1" ht="21.95" customHeight="1" x14ac:dyDescent="0.15"/>
    <row r="40027" spans="3:3" s="9" customFormat="1" ht="21.95" customHeight="1" x14ac:dyDescent="0.15"/>
    <row r="40028" spans="3:3" s="9" customFormat="1" ht="21.95" customHeight="1" x14ac:dyDescent="0.15"/>
    <row r="40029" spans="3:3" s="9" customFormat="1" ht="21.95" customHeight="1" x14ac:dyDescent="0.15"/>
    <row r="40030" spans="3:3" s="8" customFormat="1" ht="21.95" customHeight="1" x14ac:dyDescent="0.15"/>
    <row r="40031" spans="3:3" s="8" customFormat="1" ht="21.95" customHeight="1" x14ac:dyDescent="0.15"/>
    <row r="40032" spans="3:3" s="8" customFormat="1" ht="21.95" customHeight="1" x14ac:dyDescent="0.15">
      <c r="C40032" s="101"/>
    </row>
    <row r="40033" spans="3:3" s="8" customFormat="1" ht="21.95" customHeight="1" x14ac:dyDescent="0.15">
      <c r="C40033" s="101"/>
    </row>
    <row r="40034" spans="3:3" s="8" customFormat="1" ht="21.95" customHeight="1" x14ac:dyDescent="0.15"/>
    <row r="40035" spans="3:3" s="8" customFormat="1" ht="21.95" customHeight="1" x14ac:dyDescent="0.15"/>
    <row r="40036" spans="3:3" s="8" customFormat="1" ht="21.95" customHeight="1" x14ac:dyDescent="0.15"/>
    <row r="40037" spans="3:3" s="8" customFormat="1" ht="21.95" customHeight="1" x14ac:dyDescent="0.15"/>
    <row r="40038" spans="3:3" s="8" customFormat="1" ht="21.95" customHeight="1" x14ac:dyDescent="0.15"/>
    <row r="40039" spans="3:3" s="8" customFormat="1" ht="21.95" customHeight="1" x14ac:dyDescent="0.15"/>
    <row r="40040" spans="3:3" s="8" customFormat="1" ht="21.95" customHeight="1" x14ac:dyDescent="0.15"/>
    <row r="40041" spans="3:3" s="9" customFormat="1" ht="21.95" customHeight="1" x14ac:dyDescent="0.15"/>
    <row r="40042" spans="3:3" s="9" customFormat="1" ht="21.95" customHeight="1" x14ac:dyDescent="0.15"/>
    <row r="40043" spans="3:3" s="9" customFormat="1" ht="21.95" customHeight="1" x14ac:dyDescent="0.15"/>
    <row r="40044" spans="3:3" s="9" customFormat="1" ht="21.95" customHeight="1" x14ac:dyDescent="0.15"/>
    <row r="40045" spans="3:3" s="8" customFormat="1" ht="21.95" customHeight="1" x14ac:dyDescent="0.15"/>
    <row r="40046" spans="3:3" s="8" customFormat="1" ht="21.95" customHeight="1" x14ac:dyDescent="0.15"/>
    <row r="40047" spans="3:3" s="8" customFormat="1" ht="21.95" customHeight="1" x14ac:dyDescent="0.15"/>
    <row r="40048" spans="3:3" s="8" customFormat="1" ht="21.95" customHeight="1" x14ac:dyDescent="0.15"/>
    <row r="40049" s="8" customFormat="1" ht="21.95" customHeight="1" x14ac:dyDescent="0.15"/>
    <row r="40050" s="8" customFormat="1" ht="21.95" customHeight="1" x14ac:dyDescent="0.15"/>
    <row r="40051" s="8" customFormat="1" ht="21.95" customHeight="1" x14ac:dyDescent="0.15"/>
    <row r="40052" s="8" customFormat="1" ht="21.95" customHeight="1" x14ac:dyDescent="0.15"/>
    <row r="40053" s="8" customFormat="1" ht="21.95" customHeight="1" x14ac:dyDescent="0.15"/>
    <row r="40054" s="8" customFormat="1" ht="21.95" customHeight="1" x14ac:dyDescent="0.15"/>
    <row r="40055" s="8" customFormat="1" ht="21.95" customHeight="1" x14ac:dyDescent="0.15"/>
    <row r="40056" s="8" customFormat="1" ht="32.1" customHeight="1" x14ac:dyDescent="0.15"/>
    <row r="40057" s="8" customFormat="1" ht="32.1" customHeight="1" x14ac:dyDescent="0.15"/>
    <row r="40058" s="8" customFormat="1" ht="32.1" customHeight="1" x14ac:dyDescent="0.15"/>
    <row r="40059" s="8" customFormat="1" ht="32.1" customHeight="1" x14ac:dyDescent="0.15"/>
    <row r="40060" s="8" customFormat="1" ht="32.1" customHeight="1" x14ac:dyDescent="0.15"/>
    <row r="40061" s="8" customFormat="1" ht="32.1" customHeight="1" x14ac:dyDescent="0.15"/>
    <row r="40062" s="9" customFormat="1" ht="32.1" customHeight="1" x14ac:dyDescent="0.15"/>
    <row r="40063" s="9" customFormat="1" ht="32.1" customHeight="1" x14ac:dyDescent="0.15"/>
    <row r="40064" s="9" customFormat="1" ht="32.1" customHeight="1" x14ac:dyDescent="0.15"/>
    <row r="40065" s="9" customFormat="1" ht="32.1" customHeight="1" x14ac:dyDescent="0.15"/>
    <row r="40066" s="9" customFormat="1" ht="21.95" customHeight="1" x14ac:dyDescent="0.15"/>
    <row r="40067" s="9" customFormat="1" ht="54" customHeight="1" x14ac:dyDescent="0.15"/>
    <row r="40068" s="9" customFormat="1" ht="21.95" customHeight="1" x14ac:dyDescent="0.15"/>
    <row r="40069" s="9" customFormat="1" ht="21.95" customHeight="1" x14ac:dyDescent="0.15"/>
    <row r="40070" s="9" customFormat="1" ht="21.95" customHeight="1" x14ac:dyDescent="0.15"/>
    <row r="40071" s="9" customFormat="1" ht="21.95" customHeight="1" x14ac:dyDescent="0.15"/>
    <row r="40072" s="9" customFormat="1" ht="21.95" customHeight="1" x14ac:dyDescent="0.15"/>
    <row r="40073" s="9" customFormat="1" ht="21.95" customHeight="1" x14ac:dyDescent="0.15"/>
    <row r="40074" s="9" customFormat="1" ht="21.95" customHeight="1" x14ac:dyDescent="0.15"/>
    <row r="40075" s="9" customFormat="1" ht="21.95" customHeight="1" x14ac:dyDescent="0.15"/>
    <row r="40076" s="9" customFormat="1" ht="21.95" customHeight="1" x14ac:dyDescent="0.15"/>
    <row r="40077" s="9" customFormat="1" ht="21.95" customHeight="1" x14ac:dyDescent="0.15"/>
    <row r="40078" s="9" customFormat="1" ht="21.95" customHeight="1" x14ac:dyDescent="0.15"/>
    <row r="40079" s="9" customFormat="1" ht="21.95" customHeight="1" x14ac:dyDescent="0.15"/>
    <row r="40080" s="9" customFormat="1" ht="21.95" customHeight="1" x14ac:dyDescent="0.15"/>
    <row r="40081" s="9" customFormat="1" ht="21.95" customHeight="1" x14ac:dyDescent="0.15"/>
    <row r="40082" s="9" customFormat="1" ht="21.95" customHeight="1" x14ac:dyDescent="0.15"/>
    <row r="40083" s="9" customFormat="1" ht="21.95" customHeight="1" x14ac:dyDescent="0.15"/>
    <row r="40084" s="9" customFormat="1" ht="21.95" customHeight="1" x14ac:dyDescent="0.15"/>
    <row r="40085" s="9" customFormat="1" ht="21.95" customHeight="1" x14ac:dyDescent="0.15"/>
    <row r="40086" s="9" customFormat="1" ht="21.95" customHeight="1" x14ac:dyDescent="0.15"/>
    <row r="40087" s="9" customFormat="1" ht="21.95" customHeight="1" x14ac:dyDescent="0.15"/>
    <row r="40088" s="9" customFormat="1" ht="21.95" customHeight="1" x14ac:dyDescent="0.15"/>
    <row r="40089" s="9" customFormat="1" ht="21.95" customHeight="1" x14ac:dyDescent="0.15"/>
    <row r="40090" s="9" customFormat="1" ht="21.95" customHeight="1" x14ac:dyDescent="0.15"/>
    <row r="40091" s="9" customFormat="1" ht="21.95" customHeight="1" x14ac:dyDescent="0.15"/>
    <row r="40092" s="9" customFormat="1" ht="21.95" customHeight="1" x14ac:dyDescent="0.15"/>
    <row r="40093" s="9" customFormat="1" ht="21.95" customHeight="1" x14ac:dyDescent="0.15"/>
    <row r="40094" s="9" customFormat="1" ht="21.95" customHeight="1" x14ac:dyDescent="0.15"/>
    <row r="40095" s="9" customFormat="1" ht="21.95" customHeight="1" x14ac:dyDescent="0.15"/>
    <row r="40096" s="9" customFormat="1" ht="21.95" customHeight="1" x14ac:dyDescent="0.15"/>
    <row r="40097" s="9" customFormat="1" ht="21.95" customHeight="1" x14ac:dyDescent="0.15"/>
    <row r="40098" s="9" customFormat="1" ht="21.95" customHeight="1" x14ac:dyDescent="0.15"/>
    <row r="40099" s="9" customFormat="1" ht="21.95" customHeight="1" x14ac:dyDescent="0.15"/>
    <row r="40100" s="9" customFormat="1" ht="21.95" customHeight="1" x14ac:dyDescent="0.15"/>
    <row r="40101" s="9" customFormat="1" ht="21.95" customHeight="1" x14ac:dyDescent="0.15"/>
    <row r="40102" s="9" customFormat="1" ht="21.95" customHeight="1" x14ac:dyDescent="0.15"/>
    <row r="40103" s="9" customFormat="1" ht="21.95" customHeight="1" x14ac:dyDescent="0.15"/>
    <row r="40104" s="9" customFormat="1" ht="21.95" customHeight="1" x14ac:dyDescent="0.15"/>
    <row r="40105" s="9" customFormat="1" ht="21.95" customHeight="1" x14ac:dyDescent="0.15"/>
    <row r="40106" s="9" customFormat="1" ht="21.95" customHeight="1" x14ac:dyDescent="0.15"/>
    <row r="40107" s="9" customFormat="1" ht="21.95" customHeight="1" x14ac:dyDescent="0.15"/>
    <row r="40108" s="9" customFormat="1" ht="21.95" customHeight="1" x14ac:dyDescent="0.15"/>
    <row r="40109" s="9" customFormat="1" ht="21.95" customHeight="1" x14ac:dyDescent="0.15"/>
    <row r="40110" s="9" customFormat="1" ht="21.95" customHeight="1" x14ac:dyDescent="0.15"/>
    <row r="40111" s="9" customFormat="1" ht="21.95" customHeight="1" x14ac:dyDescent="0.15"/>
    <row r="40112" s="9" customFormat="1" ht="21.95" customHeight="1" x14ac:dyDescent="0.15"/>
    <row r="40113" s="9" customFormat="1" ht="21.95" customHeight="1" x14ac:dyDescent="0.15"/>
    <row r="40114" s="9" customFormat="1" ht="21.95" customHeight="1" x14ac:dyDescent="0.15"/>
    <row r="40115" s="9" customFormat="1" ht="21.95" customHeight="1" x14ac:dyDescent="0.15"/>
    <row r="40116" s="9" customFormat="1" ht="21.95" customHeight="1" x14ac:dyDescent="0.15"/>
    <row r="40117" s="9" customFormat="1" ht="21.95" customHeight="1" x14ac:dyDescent="0.15"/>
    <row r="40118" s="9" customFormat="1" ht="35.1" customHeight="1" x14ac:dyDescent="0.15"/>
    <row r="40119" s="9" customFormat="1" ht="21.95" customHeight="1" x14ac:dyDescent="0.15"/>
    <row r="40120" s="9" customFormat="1" ht="21.95" customHeight="1" x14ac:dyDescent="0.15"/>
    <row r="40121" s="9" customFormat="1" ht="21.95" customHeight="1" x14ac:dyDescent="0.15"/>
    <row r="40122" s="9" customFormat="1" ht="21.95" customHeight="1" x14ac:dyDescent="0.15"/>
    <row r="40123" s="9" customFormat="1" ht="21.95" customHeight="1" x14ac:dyDescent="0.15"/>
    <row r="40124" s="9" customFormat="1" ht="21.95" customHeight="1" x14ac:dyDescent="0.15"/>
    <row r="40125" s="9" customFormat="1" ht="21.95" customHeight="1" x14ac:dyDescent="0.15"/>
    <row r="40126" s="9" customFormat="1" ht="21.95" customHeight="1" x14ac:dyDescent="0.15"/>
    <row r="40127" s="9" customFormat="1" ht="21.95" customHeight="1" x14ac:dyDescent="0.15"/>
    <row r="40128" s="9" customFormat="1" ht="21.95" customHeight="1" x14ac:dyDescent="0.15"/>
    <row r="40129" spans="3:3" s="9" customFormat="1" ht="21.95" customHeight="1" x14ac:dyDescent="0.15"/>
    <row r="40130" spans="3:3" s="9" customFormat="1" ht="21.95" customHeight="1" x14ac:dyDescent="0.15"/>
    <row r="40131" spans="3:3" s="9" customFormat="1" ht="21.95" customHeight="1" x14ac:dyDescent="0.15"/>
    <row r="40132" spans="3:3" s="9" customFormat="1" ht="21.95" customHeight="1" x14ac:dyDescent="0.15"/>
    <row r="40133" spans="3:3" s="9" customFormat="1" ht="21.95" customHeight="1" x14ac:dyDescent="0.15"/>
    <row r="40134" spans="3:3" s="9" customFormat="1" ht="21.95" customHeight="1" x14ac:dyDescent="0.15"/>
    <row r="40135" spans="3:3" s="9" customFormat="1" ht="21.95" customHeight="1" x14ac:dyDescent="0.15"/>
    <row r="40136" spans="3:3" s="9" customFormat="1" ht="21.95" customHeight="1" x14ac:dyDescent="0.15"/>
    <row r="40137" spans="3:3" s="9" customFormat="1" ht="21.95" customHeight="1" x14ac:dyDescent="0.15"/>
    <row r="40138" spans="3:3" s="9" customFormat="1" ht="21.95" customHeight="1" x14ac:dyDescent="0.15"/>
    <row r="40139" spans="3:3" s="9" customFormat="1" ht="21.95" customHeight="1" x14ac:dyDescent="0.15"/>
    <row r="40140" spans="3:3" s="9" customFormat="1" ht="21.95" customHeight="1" x14ac:dyDescent="0.15"/>
    <row r="40141" spans="3:3" s="9" customFormat="1" ht="21.95" customHeight="1" x14ac:dyDescent="0.15"/>
    <row r="40142" spans="3:3" s="8" customFormat="1" ht="21.95" customHeight="1" x14ac:dyDescent="0.15"/>
    <row r="40143" spans="3:3" s="8" customFormat="1" ht="21.95" customHeight="1" x14ac:dyDescent="0.15"/>
    <row r="40144" spans="3:3" s="8" customFormat="1" ht="21.95" customHeight="1" x14ac:dyDescent="0.15">
      <c r="C40144" s="101"/>
    </row>
    <row r="40145" spans="3:3" s="8" customFormat="1" ht="21.95" customHeight="1" x14ac:dyDescent="0.15">
      <c r="C40145" s="101"/>
    </row>
    <row r="40146" spans="3:3" s="8" customFormat="1" ht="21.95" customHeight="1" x14ac:dyDescent="0.15"/>
    <row r="40147" spans="3:3" s="8" customFormat="1" ht="21.95" customHeight="1" x14ac:dyDescent="0.15"/>
    <row r="40148" spans="3:3" s="8" customFormat="1" ht="21.95" customHeight="1" x14ac:dyDescent="0.15"/>
    <row r="40149" spans="3:3" s="8" customFormat="1" ht="21.95" customHeight="1" x14ac:dyDescent="0.15"/>
    <row r="40150" spans="3:3" s="8" customFormat="1" ht="21.95" customHeight="1" x14ac:dyDescent="0.15"/>
    <row r="40151" spans="3:3" s="8" customFormat="1" ht="21.95" customHeight="1" x14ac:dyDescent="0.15"/>
    <row r="40152" spans="3:3" s="8" customFormat="1" ht="21.95" customHeight="1" x14ac:dyDescent="0.15"/>
    <row r="40153" spans="3:3" s="9" customFormat="1" ht="21.95" customHeight="1" x14ac:dyDescent="0.15"/>
    <row r="40154" spans="3:3" s="9" customFormat="1" ht="21.95" customHeight="1" x14ac:dyDescent="0.15"/>
    <row r="40155" spans="3:3" s="9" customFormat="1" ht="21.95" customHeight="1" x14ac:dyDescent="0.15"/>
    <row r="40156" spans="3:3" s="9" customFormat="1" ht="21.95" customHeight="1" x14ac:dyDescent="0.15"/>
    <row r="40157" spans="3:3" s="8" customFormat="1" ht="21.95" customHeight="1" x14ac:dyDescent="0.15"/>
    <row r="40158" spans="3:3" s="8" customFormat="1" ht="21.95" customHeight="1" x14ac:dyDescent="0.15"/>
    <row r="40159" spans="3:3" s="8" customFormat="1" ht="21.95" customHeight="1" x14ac:dyDescent="0.15"/>
    <row r="40160" spans="3:3" s="8" customFormat="1" ht="21.95" customHeight="1" x14ac:dyDescent="0.15"/>
    <row r="40161" s="8" customFormat="1" ht="21.95" customHeight="1" x14ac:dyDescent="0.15"/>
    <row r="40162" s="8" customFormat="1" ht="21.95" customHeight="1" x14ac:dyDescent="0.15"/>
    <row r="40163" s="8" customFormat="1" ht="21.95" customHeight="1" x14ac:dyDescent="0.15"/>
    <row r="40164" s="8" customFormat="1" ht="21.95" customHeight="1" x14ac:dyDescent="0.15"/>
    <row r="40165" s="8" customFormat="1" ht="21.95" customHeight="1" x14ac:dyDescent="0.15"/>
    <row r="40166" s="8" customFormat="1" ht="21.95" customHeight="1" x14ac:dyDescent="0.15"/>
    <row r="40167" s="8" customFormat="1" ht="21.95" customHeight="1" x14ac:dyDescent="0.15"/>
    <row r="40168" s="8" customFormat="1" ht="32.1" customHeight="1" x14ac:dyDescent="0.15"/>
    <row r="40169" s="8" customFormat="1" ht="32.1" customHeight="1" x14ac:dyDescent="0.15"/>
    <row r="40170" s="8" customFormat="1" ht="32.1" customHeight="1" x14ac:dyDescent="0.15"/>
    <row r="40171" s="8" customFormat="1" ht="32.1" customHeight="1" x14ac:dyDescent="0.15"/>
    <row r="40172" s="8" customFormat="1" ht="32.1" customHeight="1" x14ac:dyDescent="0.15"/>
    <row r="40173" s="8" customFormat="1" ht="32.1" customHeight="1" x14ac:dyDescent="0.15"/>
    <row r="40174" s="9" customFormat="1" ht="32.1" customHeight="1" x14ac:dyDescent="0.15"/>
    <row r="40175" s="9" customFormat="1" ht="32.1" customHeight="1" x14ac:dyDescent="0.15"/>
    <row r="40176" s="9" customFormat="1" ht="32.1" customHeight="1" x14ac:dyDescent="0.15"/>
    <row r="40177" s="9" customFormat="1" ht="32.1" customHeight="1" x14ac:dyDescent="0.15"/>
    <row r="40178" s="9" customFormat="1" ht="21.95" customHeight="1" x14ac:dyDescent="0.15"/>
    <row r="40179" s="9" customFormat="1" ht="54" customHeight="1" x14ac:dyDescent="0.15"/>
    <row r="40180" s="9" customFormat="1" ht="21.95" customHeight="1" x14ac:dyDescent="0.15"/>
    <row r="40181" s="9" customFormat="1" ht="21.95" customHeight="1" x14ac:dyDescent="0.15"/>
    <row r="40182" s="9" customFormat="1" ht="21.95" customHeight="1" x14ac:dyDescent="0.15"/>
    <row r="40183" s="9" customFormat="1" ht="21.95" customHeight="1" x14ac:dyDescent="0.15"/>
    <row r="40184" s="9" customFormat="1" ht="21.95" customHeight="1" x14ac:dyDescent="0.15"/>
    <row r="40185" s="9" customFormat="1" ht="21.95" customHeight="1" x14ac:dyDescent="0.15"/>
    <row r="40186" s="9" customFormat="1" ht="21.95" customHeight="1" x14ac:dyDescent="0.15"/>
    <row r="40187" s="9" customFormat="1" ht="21.95" customHeight="1" x14ac:dyDescent="0.15"/>
    <row r="40188" s="9" customFormat="1" ht="21.95" customHeight="1" x14ac:dyDescent="0.15"/>
    <row r="40189" s="9" customFormat="1" ht="21.95" customHeight="1" x14ac:dyDescent="0.15"/>
    <row r="40190" s="9" customFormat="1" ht="21.95" customHeight="1" x14ac:dyDescent="0.15"/>
    <row r="40191" s="9" customFormat="1" ht="21.95" customHeight="1" x14ac:dyDescent="0.15"/>
    <row r="40192" s="9" customFormat="1" ht="21.95" customHeight="1" x14ac:dyDescent="0.15"/>
    <row r="40193" s="9" customFormat="1" ht="21.95" customHeight="1" x14ac:dyDescent="0.15"/>
    <row r="40194" s="9" customFormat="1" ht="21.95" customHeight="1" x14ac:dyDescent="0.15"/>
    <row r="40195" s="9" customFormat="1" ht="21.95" customHeight="1" x14ac:dyDescent="0.15"/>
    <row r="40196" s="9" customFormat="1" ht="21.95" customHeight="1" x14ac:dyDescent="0.15"/>
    <row r="40197" s="9" customFormat="1" ht="21.95" customHeight="1" x14ac:dyDescent="0.15"/>
    <row r="40198" s="9" customFormat="1" ht="21.95" customHeight="1" x14ac:dyDescent="0.15"/>
    <row r="40199" s="9" customFormat="1" ht="21.95" customHeight="1" x14ac:dyDescent="0.15"/>
    <row r="40200" s="9" customFormat="1" ht="21.95" customHeight="1" x14ac:dyDescent="0.15"/>
    <row r="40201" s="9" customFormat="1" ht="21.95" customHeight="1" x14ac:dyDescent="0.15"/>
    <row r="40202" s="9" customFormat="1" ht="21.95" customHeight="1" x14ac:dyDescent="0.15"/>
    <row r="40203" s="9" customFormat="1" ht="21.95" customHeight="1" x14ac:dyDescent="0.15"/>
    <row r="40204" s="9" customFormat="1" ht="21.95" customHeight="1" x14ac:dyDescent="0.15"/>
    <row r="40205" s="9" customFormat="1" ht="21.95" customHeight="1" x14ac:dyDescent="0.15"/>
    <row r="40206" s="9" customFormat="1" ht="21.95" customHeight="1" x14ac:dyDescent="0.15"/>
    <row r="40207" s="9" customFormat="1" ht="21.95" customHeight="1" x14ac:dyDescent="0.15"/>
    <row r="40208" s="9" customFormat="1" ht="21.95" customHeight="1" x14ac:dyDescent="0.15"/>
    <row r="40209" s="9" customFormat="1" ht="21.95" customHeight="1" x14ac:dyDescent="0.15"/>
    <row r="40210" s="9" customFormat="1" ht="21.95" customHeight="1" x14ac:dyDescent="0.15"/>
    <row r="40211" s="9" customFormat="1" ht="21.95" customHeight="1" x14ac:dyDescent="0.15"/>
    <row r="40212" s="9" customFormat="1" ht="21.95" customHeight="1" x14ac:dyDescent="0.15"/>
    <row r="40213" s="9" customFormat="1" ht="21.95" customHeight="1" x14ac:dyDescent="0.15"/>
    <row r="40214" s="9" customFormat="1" ht="21.95" customHeight="1" x14ac:dyDescent="0.15"/>
    <row r="40215" s="9" customFormat="1" ht="21.95" customHeight="1" x14ac:dyDescent="0.15"/>
    <row r="40216" s="9" customFormat="1" ht="21.95" customHeight="1" x14ac:dyDescent="0.15"/>
    <row r="40217" s="9" customFormat="1" ht="21.95" customHeight="1" x14ac:dyDescent="0.15"/>
    <row r="40218" s="9" customFormat="1" ht="21.95" customHeight="1" x14ac:dyDescent="0.15"/>
    <row r="40219" s="9" customFormat="1" ht="21.95" customHeight="1" x14ac:dyDescent="0.15"/>
    <row r="40220" s="9" customFormat="1" ht="21.95" customHeight="1" x14ac:dyDescent="0.15"/>
    <row r="40221" s="9" customFormat="1" ht="21.95" customHeight="1" x14ac:dyDescent="0.15"/>
    <row r="40222" s="9" customFormat="1" ht="21.95" customHeight="1" x14ac:dyDescent="0.15"/>
    <row r="40223" s="9" customFormat="1" ht="21.95" customHeight="1" x14ac:dyDescent="0.15"/>
    <row r="40224" s="9" customFormat="1" ht="21.95" customHeight="1" x14ac:dyDescent="0.15"/>
    <row r="40225" s="9" customFormat="1" ht="21.95" customHeight="1" x14ac:dyDescent="0.15"/>
    <row r="40226" s="9" customFormat="1" ht="21.95" customHeight="1" x14ac:dyDescent="0.15"/>
    <row r="40227" s="9" customFormat="1" ht="21.95" customHeight="1" x14ac:dyDescent="0.15"/>
    <row r="40228" s="9" customFormat="1" ht="21.95" customHeight="1" x14ac:dyDescent="0.15"/>
    <row r="40229" s="9" customFormat="1" ht="21.95" customHeight="1" x14ac:dyDescent="0.15"/>
    <row r="40230" s="9" customFormat="1" ht="35.1" customHeight="1" x14ac:dyDescent="0.15"/>
    <row r="40231" s="9" customFormat="1" ht="21.95" customHeight="1" x14ac:dyDescent="0.15"/>
    <row r="40232" s="9" customFormat="1" ht="21.95" customHeight="1" x14ac:dyDescent="0.15"/>
    <row r="40233" s="9" customFormat="1" ht="21.95" customHeight="1" x14ac:dyDescent="0.15"/>
    <row r="40234" s="9" customFormat="1" ht="21.95" customHeight="1" x14ac:dyDescent="0.15"/>
    <row r="40235" s="9" customFormat="1" ht="21.95" customHeight="1" x14ac:dyDescent="0.15"/>
    <row r="40236" s="9" customFormat="1" ht="21.95" customHeight="1" x14ac:dyDescent="0.15"/>
    <row r="40237" s="9" customFormat="1" ht="21.95" customHeight="1" x14ac:dyDescent="0.15"/>
    <row r="40238" s="9" customFormat="1" ht="21.95" customHeight="1" x14ac:dyDescent="0.15"/>
    <row r="40239" s="9" customFormat="1" ht="21.95" customHeight="1" x14ac:dyDescent="0.15"/>
    <row r="40240" s="9" customFormat="1" ht="21.95" customHeight="1" x14ac:dyDescent="0.15"/>
    <row r="40241" spans="3:3" s="9" customFormat="1" ht="21.95" customHeight="1" x14ac:dyDescent="0.15"/>
    <row r="40242" spans="3:3" s="9" customFormat="1" ht="21.95" customHeight="1" x14ac:dyDescent="0.15"/>
    <row r="40243" spans="3:3" s="9" customFormat="1" ht="21.95" customHeight="1" x14ac:dyDescent="0.15"/>
    <row r="40244" spans="3:3" s="9" customFormat="1" ht="21.95" customHeight="1" x14ac:dyDescent="0.15"/>
    <row r="40245" spans="3:3" s="9" customFormat="1" ht="21.95" customHeight="1" x14ac:dyDescent="0.15"/>
    <row r="40246" spans="3:3" s="9" customFormat="1" ht="21.95" customHeight="1" x14ac:dyDescent="0.15"/>
    <row r="40247" spans="3:3" s="9" customFormat="1" ht="21.95" customHeight="1" x14ac:dyDescent="0.15"/>
    <row r="40248" spans="3:3" s="9" customFormat="1" ht="21.95" customHeight="1" x14ac:dyDescent="0.15"/>
    <row r="40249" spans="3:3" s="9" customFormat="1" ht="21.95" customHeight="1" x14ac:dyDescent="0.15"/>
    <row r="40250" spans="3:3" s="9" customFormat="1" ht="21.95" customHeight="1" x14ac:dyDescent="0.15"/>
    <row r="40251" spans="3:3" s="9" customFormat="1" ht="21.95" customHeight="1" x14ac:dyDescent="0.15"/>
    <row r="40252" spans="3:3" s="9" customFormat="1" ht="21.95" customHeight="1" x14ac:dyDescent="0.15"/>
    <row r="40253" spans="3:3" s="9" customFormat="1" ht="21.95" customHeight="1" x14ac:dyDescent="0.15"/>
    <row r="40254" spans="3:3" s="8" customFormat="1" ht="21.95" customHeight="1" x14ac:dyDescent="0.15"/>
    <row r="40255" spans="3:3" s="8" customFormat="1" ht="21.95" customHeight="1" x14ac:dyDescent="0.15"/>
    <row r="40256" spans="3:3" s="8" customFormat="1" ht="21.95" customHeight="1" x14ac:dyDescent="0.15">
      <c r="C40256" s="101"/>
    </row>
    <row r="40257" spans="3:3" s="8" customFormat="1" ht="21.95" customHeight="1" x14ac:dyDescent="0.15">
      <c r="C40257" s="101"/>
    </row>
    <row r="40258" spans="3:3" s="8" customFormat="1" ht="21.95" customHeight="1" x14ac:dyDescent="0.15"/>
    <row r="40259" spans="3:3" s="8" customFormat="1" ht="21.95" customHeight="1" x14ac:dyDescent="0.15"/>
    <row r="40260" spans="3:3" s="8" customFormat="1" ht="21.95" customHeight="1" x14ac:dyDescent="0.15"/>
    <row r="40261" spans="3:3" s="8" customFormat="1" ht="21.95" customHeight="1" x14ac:dyDescent="0.15"/>
    <row r="40262" spans="3:3" s="8" customFormat="1" ht="21.95" customHeight="1" x14ac:dyDescent="0.15"/>
    <row r="40263" spans="3:3" s="8" customFormat="1" ht="21.95" customHeight="1" x14ac:dyDescent="0.15"/>
    <row r="40264" spans="3:3" s="8" customFormat="1" ht="21.95" customHeight="1" x14ac:dyDescent="0.15"/>
    <row r="40265" spans="3:3" s="9" customFormat="1" ht="21.95" customHeight="1" x14ac:dyDescent="0.15"/>
    <row r="40266" spans="3:3" s="9" customFormat="1" ht="21.95" customHeight="1" x14ac:dyDescent="0.15"/>
    <row r="40267" spans="3:3" s="9" customFormat="1" ht="21.95" customHeight="1" x14ac:dyDescent="0.15"/>
    <row r="40268" spans="3:3" s="9" customFormat="1" ht="21.95" customHeight="1" x14ac:dyDescent="0.15"/>
    <row r="40269" spans="3:3" s="8" customFormat="1" ht="21.95" customHeight="1" x14ac:dyDescent="0.15"/>
    <row r="40270" spans="3:3" s="8" customFormat="1" ht="21.95" customHeight="1" x14ac:dyDescent="0.15"/>
    <row r="40271" spans="3:3" s="8" customFormat="1" ht="21.95" customHeight="1" x14ac:dyDescent="0.15"/>
    <row r="40272" spans="3:3" s="8" customFormat="1" ht="21.95" customHeight="1" x14ac:dyDescent="0.15"/>
    <row r="40273" s="8" customFormat="1" ht="21.95" customHeight="1" x14ac:dyDescent="0.15"/>
    <row r="40274" s="8" customFormat="1" ht="21.95" customHeight="1" x14ac:dyDescent="0.15"/>
    <row r="40275" s="8" customFormat="1" ht="21.95" customHeight="1" x14ac:dyDescent="0.15"/>
    <row r="40276" s="8" customFormat="1" ht="21.95" customHeight="1" x14ac:dyDescent="0.15"/>
    <row r="40277" s="8" customFormat="1" ht="21.95" customHeight="1" x14ac:dyDescent="0.15"/>
    <row r="40278" s="8" customFormat="1" ht="21.95" customHeight="1" x14ac:dyDescent="0.15"/>
    <row r="40279" s="8" customFormat="1" ht="21.95" customHeight="1" x14ac:dyDescent="0.15"/>
    <row r="40280" s="8" customFormat="1" ht="32.1" customHeight="1" x14ac:dyDescent="0.15"/>
    <row r="40281" s="8" customFormat="1" ht="32.1" customHeight="1" x14ac:dyDescent="0.15"/>
    <row r="40282" s="8" customFormat="1" ht="32.1" customHeight="1" x14ac:dyDescent="0.15"/>
    <row r="40283" s="8" customFormat="1" ht="32.1" customHeight="1" x14ac:dyDescent="0.15"/>
    <row r="40284" s="8" customFormat="1" ht="32.1" customHeight="1" x14ac:dyDescent="0.15"/>
    <row r="40285" s="8" customFormat="1" ht="32.1" customHeight="1" x14ac:dyDescent="0.15"/>
    <row r="40286" s="9" customFormat="1" ht="32.1" customHeight="1" x14ac:dyDescent="0.15"/>
    <row r="40287" s="9" customFormat="1" ht="32.1" customHeight="1" x14ac:dyDescent="0.15"/>
    <row r="40288" s="9" customFormat="1" ht="32.1" customHeight="1" x14ac:dyDescent="0.15"/>
    <row r="40289" s="9" customFormat="1" ht="32.1" customHeight="1" x14ac:dyDescent="0.15"/>
    <row r="40290" s="9" customFormat="1" ht="21.95" customHeight="1" x14ac:dyDescent="0.15"/>
    <row r="40291" s="9" customFormat="1" ht="54" customHeight="1" x14ac:dyDescent="0.15"/>
    <row r="40292" s="9" customFormat="1" ht="21.95" customHeight="1" x14ac:dyDescent="0.15"/>
    <row r="40293" s="9" customFormat="1" ht="21.95" customHeight="1" x14ac:dyDescent="0.15"/>
    <row r="40294" s="9" customFormat="1" ht="21.95" customHeight="1" x14ac:dyDescent="0.15"/>
    <row r="40295" s="9" customFormat="1" ht="21.95" customHeight="1" x14ac:dyDescent="0.15"/>
    <row r="40296" s="9" customFormat="1" ht="21.95" customHeight="1" x14ac:dyDescent="0.15"/>
    <row r="40297" s="9" customFormat="1" ht="21.95" customHeight="1" x14ac:dyDescent="0.15"/>
    <row r="40298" s="9" customFormat="1" ht="21.95" customHeight="1" x14ac:dyDescent="0.15"/>
    <row r="40299" s="9" customFormat="1" ht="21.95" customHeight="1" x14ac:dyDescent="0.15"/>
    <row r="40300" s="9" customFormat="1" ht="21.95" customHeight="1" x14ac:dyDescent="0.15"/>
    <row r="40301" s="9" customFormat="1" ht="21.95" customHeight="1" x14ac:dyDescent="0.15"/>
    <row r="40302" s="9" customFormat="1" ht="21.95" customHeight="1" x14ac:dyDescent="0.15"/>
    <row r="40303" s="9" customFormat="1" ht="21.95" customHeight="1" x14ac:dyDescent="0.15"/>
    <row r="40304" s="9" customFormat="1" ht="21.95" customHeight="1" x14ac:dyDescent="0.15"/>
    <row r="40305" s="9" customFormat="1" ht="21.95" customHeight="1" x14ac:dyDescent="0.15"/>
    <row r="40306" s="9" customFormat="1" ht="21.95" customHeight="1" x14ac:dyDescent="0.15"/>
    <row r="40307" s="9" customFormat="1" ht="21.95" customHeight="1" x14ac:dyDescent="0.15"/>
    <row r="40308" s="9" customFormat="1" ht="21.95" customHeight="1" x14ac:dyDescent="0.15"/>
    <row r="40309" s="9" customFormat="1" ht="21.95" customHeight="1" x14ac:dyDescent="0.15"/>
    <row r="40310" s="9" customFormat="1" ht="21.95" customHeight="1" x14ac:dyDescent="0.15"/>
    <row r="40311" s="9" customFormat="1" ht="21.95" customHeight="1" x14ac:dyDescent="0.15"/>
    <row r="40312" s="9" customFormat="1" ht="21.95" customHeight="1" x14ac:dyDescent="0.15"/>
    <row r="40313" s="9" customFormat="1" ht="21.95" customHeight="1" x14ac:dyDescent="0.15"/>
    <row r="40314" s="9" customFormat="1" ht="21.95" customHeight="1" x14ac:dyDescent="0.15"/>
    <row r="40315" s="9" customFormat="1" ht="21.95" customHeight="1" x14ac:dyDescent="0.15"/>
    <row r="40316" s="9" customFormat="1" ht="21.95" customHeight="1" x14ac:dyDescent="0.15"/>
    <row r="40317" s="9" customFormat="1" ht="21.95" customHeight="1" x14ac:dyDescent="0.15"/>
    <row r="40318" s="9" customFormat="1" ht="21.95" customHeight="1" x14ac:dyDescent="0.15"/>
    <row r="40319" s="9" customFormat="1" ht="21.95" customHeight="1" x14ac:dyDescent="0.15"/>
    <row r="40320" s="9" customFormat="1" ht="21.95" customHeight="1" x14ac:dyDescent="0.15"/>
    <row r="40321" s="9" customFormat="1" ht="21.95" customHeight="1" x14ac:dyDescent="0.15"/>
    <row r="40322" s="9" customFormat="1" ht="21.95" customHeight="1" x14ac:dyDescent="0.15"/>
    <row r="40323" s="9" customFormat="1" ht="21.95" customHeight="1" x14ac:dyDescent="0.15"/>
    <row r="40324" s="9" customFormat="1" ht="21.95" customHeight="1" x14ac:dyDescent="0.15"/>
    <row r="40325" s="9" customFormat="1" ht="21.95" customHeight="1" x14ac:dyDescent="0.15"/>
    <row r="40326" s="9" customFormat="1" ht="21.95" customHeight="1" x14ac:dyDescent="0.15"/>
    <row r="40327" s="9" customFormat="1" ht="21.95" customHeight="1" x14ac:dyDescent="0.15"/>
    <row r="40328" s="9" customFormat="1" ht="21.95" customHeight="1" x14ac:dyDescent="0.15"/>
    <row r="40329" s="9" customFormat="1" ht="21.95" customHeight="1" x14ac:dyDescent="0.15"/>
    <row r="40330" s="9" customFormat="1" ht="21.95" customHeight="1" x14ac:dyDescent="0.15"/>
    <row r="40331" s="9" customFormat="1" ht="21.95" customHeight="1" x14ac:dyDescent="0.15"/>
    <row r="40332" s="9" customFormat="1" ht="21.95" customHeight="1" x14ac:dyDescent="0.15"/>
    <row r="40333" s="9" customFormat="1" ht="21.95" customHeight="1" x14ac:dyDescent="0.15"/>
    <row r="40334" s="9" customFormat="1" ht="21.95" customHeight="1" x14ac:dyDescent="0.15"/>
    <row r="40335" s="9" customFormat="1" ht="21.95" customHeight="1" x14ac:dyDescent="0.15"/>
    <row r="40336" s="9" customFormat="1" ht="21.95" customHeight="1" x14ac:dyDescent="0.15"/>
    <row r="40337" s="9" customFormat="1" ht="21.95" customHeight="1" x14ac:dyDescent="0.15"/>
    <row r="40338" s="9" customFormat="1" ht="21.95" customHeight="1" x14ac:dyDescent="0.15"/>
    <row r="40339" s="9" customFormat="1" ht="21.95" customHeight="1" x14ac:dyDescent="0.15"/>
    <row r="40340" s="9" customFormat="1" ht="21.95" customHeight="1" x14ac:dyDescent="0.15"/>
    <row r="40341" s="9" customFormat="1" ht="21.95" customHeight="1" x14ac:dyDescent="0.15"/>
    <row r="40342" s="9" customFormat="1" ht="35.1" customHeight="1" x14ac:dyDescent="0.15"/>
    <row r="40343" s="9" customFormat="1" ht="21.95" customHeight="1" x14ac:dyDescent="0.15"/>
    <row r="40344" s="9" customFormat="1" ht="21.95" customHeight="1" x14ac:dyDescent="0.15"/>
    <row r="40345" s="9" customFormat="1" ht="21.95" customHeight="1" x14ac:dyDescent="0.15"/>
    <row r="40346" s="9" customFormat="1" ht="21.95" customHeight="1" x14ac:dyDescent="0.15"/>
    <row r="40347" s="9" customFormat="1" ht="21.95" customHeight="1" x14ac:dyDescent="0.15"/>
    <row r="40348" s="9" customFormat="1" ht="21.95" customHeight="1" x14ac:dyDescent="0.15"/>
    <row r="40349" s="9" customFormat="1" ht="21.95" customHeight="1" x14ac:dyDescent="0.15"/>
    <row r="40350" s="9" customFormat="1" ht="21.95" customHeight="1" x14ac:dyDescent="0.15"/>
    <row r="40351" s="9" customFormat="1" ht="21.95" customHeight="1" x14ac:dyDescent="0.15"/>
    <row r="40352" s="9" customFormat="1" ht="21.95" customHeight="1" x14ac:dyDescent="0.15"/>
    <row r="40353" spans="3:3" s="9" customFormat="1" ht="21.95" customHeight="1" x14ac:dyDescent="0.15"/>
    <row r="40354" spans="3:3" s="9" customFormat="1" ht="21.95" customHeight="1" x14ac:dyDescent="0.15"/>
    <row r="40355" spans="3:3" s="9" customFormat="1" ht="21.95" customHeight="1" x14ac:dyDescent="0.15"/>
    <row r="40356" spans="3:3" s="9" customFormat="1" ht="21.95" customHeight="1" x14ac:dyDescent="0.15"/>
    <row r="40357" spans="3:3" s="9" customFormat="1" ht="21.95" customHeight="1" x14ac:dyDescent="0.15"/>
    <row r="40358" spans="3:3" s="9" customFormat="1" ht="21.95" customHeight="1" x14ac:dyDescent="0.15"/>
    <row r="40359" spans="3:3" s="9" customFormat="1" ht="21.95" customHeight="1" x14ac:dyDescent="0.15"/>
    <row r="40360" spans="3:3" s="9" customFormat="1" ht="21.95" customHeight="1" x14ac:dyDescent="0.15"/>
    <row r="40361" spans="3:3" s="9" customFormat="1" ht="21.95" customHeight="1" x14ac:dyDescent="0.15"/>
    <row r="40362" spans="3:3" s="9" customFormat="1" ht="21.95" customHeight="1" x14ac:dyDescent="0.15"/>
    <row r="40363" spans="3:3" s="9" customFormat="1" ht="21.95" customHeight="1" x14ac:dyDescent="0.15"/>
    <row r="40364" spans="3:3" s="9" customFormat="1" ht="21.95" customHeight="1" x14ac:dyDescent="0.15"/>
    <row r="40365" spans="3:3" s="9" customFormat="1" ht="21.95" customHeight="1" x14ac:dyDescent="0.15"/>
    <row r="40366" spans="3:3" s="8" customFormat="1" ht="21.95" customHeight="1" x14ac:dyDescent="0.15"/>
    <row r="40367" spans="3:3" s="8" customFormat="1" ht="21.95" customHeight="1" x14ac:dyDescent="0.15"/>
    <row r="40368" spans="3:3" s="8" customFormat="1" ht="21.95" customHeight="1" x14ac:dyDescent="0.15">
      <c r="C40368" s="101"/>
    </row>
    <row r="40369" spans="3:3" s="8" customFormat="1" ht="21.95" customHeight="1" x14ac:dyDescent="0.15">
      <c r="C40369" s="101"/>
    </row>
    <row r="40370" spans="3:3" s="8" customFormat="1" ht="21.95" customHeight="1" x14ac:dyDescent="0.15"/>
    <row r="40371" spans="3:3" s="8" customFormat="1" ht="21.95" customHeight="1" x14ac:dyDescent="0.15"/>
    <row r="40372" spans="3:3" s="8" customFormat="1" ht="21.95" customHeight="1" x14ac:dyDescent="0.15"/>
    <row r="40373" spans="3:3" s="8" customFormat="1" ht="21.95" customHeight="1" x14ac:dyDescent="0.15"/>
    <row r="40374" spans="3:3" s="8" customFormat="1" ht="21.95" customHeight="1" x14ac:dyDescent="0.15"/>
    <row r="40375" spans="3:3" s="8" customFormat="1" ht="21.95" customHeight="1" x14ac:dyDescent="0.15"/>
    <row r="40376" spans="3:3" s="8" customFormat="1" ht="21.95" customHeight="1" x14ac:dyDescent="0.15"/>
    <row r="40377" spans="3:3" s="9" customFormat="1" ht="21.95" customHeight="1" x14ac:dyDescent="0.15"/>
    <row r="40378" spans="3:3" s="9" customFormat="1" ht="21.95" customHeight="1" x14ac:dyDescent="0.15"/>
    <row r="40379" spans="3:3" s="9" customFormat="1" ht="21.95" customHeight="1" x14ac:dyDescent="0.15"/>
    <row r="40380" spans="3:3" s="9" customFormat="1" ht="21.95" customHeight="1" x14ac:dyDescent="0.15"/>
    <row r="40381" spans="3:3" s="8" customFormat="1" ht="21.95" customHeight="1" x14ac:dyDescent="0.15"/>
    <row r="40382" spans="3:3" s="8" customFormat="1" ht="21.95" customHeight="1" x14ac:dyDescent="0.15"/>
    <row r="40383" spans="3:3" s="8" customFormat="1" ht="21.95" customHeight="1" x14ac:dyDescent="0.15"/>
    <row r="40384" spans="3:3" s="8" customFormat="1" ht="21.95" customHeight="1" x14ac:dyDescent="0.15"/>
    <row r="40385" s="8" customFormat="1" ht="21.95" customHeight="1" x14ac:dyDescent="0.15"/>
    <row r="40386" s="8" customFormat="1" ht="21.95" customHeight="1" x14ac:dyDescent="0.15"/>
    <row r="40387" s="8" customFormat="1" ht="21.95" customHeight="1" x14ac:dyDescent="0.15"/>
    <row r="40388" s="8" customFormat="1" ht="21.95" customHeight="1" x14ac:dyDescent="0.15"/>
    <row r="40389" s="8" customFormat="1" ht="21.95" customHeight="1" x14ac:dyDescent="0.15"/>
    <row r="40390" s="8" customFormat="1" ht="21.95" customHeight="1" x14ac:dyDescent="0.15"/>
    <row r="40391" s="8" customFormat="1" ht="21.95" customHeight="1" x14ac:dyDescent="0.15"/>
    <row r="40392" s="8" customFormat="1" ht="32.1" customHeight="1" x14ac:dyDescent="0.15"/>
    <row r="40393" s="8" customFormat="1" ht="32.1" customHeight="1" x14ac:dyDescent="0.15"/>
    <row r="40394" s="8" customFormat="1" ht="32.1" customHeight="1" x14ac:dyDescent="0.15"/>
    <row r="40395" s="8" customFormat="1" ht="32.1" customHeight="1" x14ac:dyDescent="0.15"/>
    <row r="40396" s="8" customFormat="1" ht="32.1" customHeight="1" x14ac:dyDescent="0.15"/>
    <row r="40397" s="8" customFormat="1" ht="32.1" customHeight="1" x14ac:dyDescent="0.15"/>
    <row r="40398" s="9" customFormat="1" ht="32.1" customHeight="1" x14ac:dyDescent="0.15"/>
    <row r="40399" s="9" customFormat="1" ht="32.1" customHeight="1" x14ac:dyDescent="0.15"/>
    <row r="40400" s="9" customFormat="1" ht="32.1" customHeight="1" x14ac:dyDescent="0.15"/>
    <row r="40401" s="9" customFormat="1" ht="32.1" customHeight="1" x14ac:dyDescent="0.15"/>
    <row r="40402" s="9" customFormat="1" ht="21.95" customHeight="1" x14ac:dyDescent="0.15"/>
    <row r="40403" s="9" customFormat="1" ht="54" customHeight="1" x14ac:dyDescent="0.15"/>
    <row r="40404" s="9" customFormat="1" ht="21.95" customHeight="1" x14ac:dyDescent="0.15"/>
    <row r="40405" s="9" customFormat="1" ht="21.95" customHeight="1" x14ac:dyDescent="0.15"/>
    <row r="40406" s="9" customFormat="1" ht="21.95" customHeight="1" x14ac:dyDescent="0.15"/>
    <row r="40407" s="9" customFormat="1" ht="21.95" customHeight="1" x14ac:dyDescent="0.15"/>
    <row r="40408" s="9" customFormat="1" ht="21.95" customHeight="1" x14ac:dyDescent="0.15"/>
    <row r="40409" s="9" customFormat="1" ht="21.95" customHeight="1" x14ac:dyDescent="0.15"/>
    <row r="40410" s="9" customFormat="1" ht="21.95" customHeight="1" x14ac:dyDescent="0.15"/>
    <row r="40411" s="9" customFormat="1" ht="21.95" customHeight="1" x14ac:dyDescent="0.15"/>
    <row r="40412" s="9" customFormat="1" ht="21.95" customHeight="1" x14ac:dyDescent="0.15"/>
    <row r="40413" s="9" customFormat="1" ht="21.95" customHeight="1" x14ac:dyDescent="0.15"/>
    <row r="40414" s="9" customFormat="1" ht="21.95" customHeight="1" x14ac:dyDescent="0.15"/>
    <row r="40415" s="9" customFormat="1" ht="21.95" customHeight="1" x14ac:dyDescent="0.15"/>
    <row r="40416" s="9" customFormat="1" ht="21.95" customHeight="1" x14ac:dyDescent="0.15"/>
    <row r="40417" s="9" customFormat="1" ht="21.95" customHeight="1" x14ac:dyDescent="0.15"/>
    <row r="40418" s="9" customFormat="1" ht="21.95" customHeight="1" x14ac:dyDescent="0.15"/>
    <row r="40419" s="9" customFormat="1" ht="21.95" customHeight="1" x14ac:dyDescent="0.15"/>
    <row r="40420" s="9" customFormat="1" ht="21.95" customHeight="1" x14ac:dyDescent="0.15"/>
    <row r="40421" s="9" customFormat="1" ht="21.95" customHeight="1" x14ac:dyDescent="0.15"/>
    <row r="40422" s="9" customFormat="1" ht="21.95" customHeight="1" x14ac:dyDescent="0.15"/>
    <row r="40423" s="9" customFormat="1" ht="21.95" customHeight="1" x14ac:dyDescent="0.15"/>
    <row r="40424" s="9" customFormat="1" ht="21.95" customHeight="1" x14ac:dyDescent="0.15"/>
    <row r="40425" s="9" customFormat="1" ht="21.95" customHeight="1" x14ac:dyDescent="0.15"/>
    <row r="40426" s="9" customFormat="1" ht="21.95" customHeight="1" x14ac:dyDescent="0.15"/>
    <row r="40427" s="9" customFormat="1" ht="21.95" customHeight="1" x14ac:dyDescent="0.15"/>
    <row r="40428" s="9" customFormat="1" ht="21.95" customHeight="1" x14ac:dyDescent="0.15"/>
    <row r="40429" s="9" customFormat="1" ht="21.95" customHeight="1" x14ac:dyDescent="0.15"/>
    <row r="40430" s="9" customFormat="1" ht="21.95" customHeight="1" x14ac:dyDescent="0.15"/>
    <row r="40431" s="9" customFormat="1" ht="21.95" customHeight="1" x14ac:dyDescent="0.15"/>
    <row r="40432" s="9" customFormat="1" ht="21.95" customHeight="1" x14ac:dyDescent="0.15"/>
    <row r="40433" s="9" customFormat="1" ht="21.95" customHeight="1" x14ac:dyDescent="0.15"/>
    <row r="40434" s="9" customFormat="1" ht="21.95" customHeight="1" x14ac:dyDescent="0.15"/>
    <row r="40435" s="9" customFormat="1" ht="21.95" customHeight="1" x14ac:dyDescent="0.15"/>
    <row r="40436" s="9" customFormat="1" ht="21.95" customHeight="1" x14ac:dyDescent="0.15"/>
    <row r="40437" s="9" customFormat="1" ht="21.95" customHeight="1" x14ac:dyDescent="0.15"/>
    <row r="40438" s="9" customFormat="1" ht="21.95" customHeight="1" x14ac:dyDescent="0.15"/>
    <row r="40439" s="9" customFormat="1" ht="21.95" customHeight="1" x14ac:dyDescent="0.15"/>
    <row r="40440" s="9" customFormat="1" ht="21.95" customHeight="1" x14ac:dyDescent="0.15"/>
    <row r="40441" s="9" customFormat="1" ht="21.95" customHeight="1" x14ac:dyDescent="0.15"/>
    <row r="40442" s="9" customFormat="1" ht="21.95" customHeight="1" x14ac:dyDescent="0.15"/>
    <row r="40443" s="9" customFormat="1" ht="21.95" customHeight="1" x14ac:dyDescent="0.15"/>
    <row r="40444" s="9" customFormat="1" ht="21.95" customHeight="1" x14ac:dyDescent="0.15"/>
    <row r="40445" s="9" customFormat="1" ht="21.95" customHeight="1" x14ac:dyDescent="0.15"/>
    <row r="40446" s="9" customFormat="1" ht="21.95" customHeight="1" x14ac:dyDescent="0.15"/>
    <row r="40447" s="9" customFormat="1" ht="21.95" customHeight="1" x14ac:dyDescent="0.15"/>
    <row r="40448" s="9" customFormat="1" ht="21.95" customHeight="1" x14ac:dyDescent="0.15"/>
    <row r="40449" s="9" customFormat="1" ht="21.95" customHeight="1" x14ac:dyDescent="0.15"/>
    <row r="40450" s="9" customFormat="1" ht="21.95" customHeight="1" x14ac:dyDescent="0.15"/>
    <row r="40451" s="9" customFormat="1" ht="21.95" customHeight="1" x14ac:dyDescent="0.15"/>
    <row r="40452" s="9" customFormat="1" ht="21.95" customHeight="1" x14ac:dyDescent="0.15"/>
    <row r="40453" s="9" customFormat="1" ht="21.95" customHeight="1" x14ac:dyDescent="0.15"/>
    <row r="40454" s="9" customFormat="1" ht="35.1" customHeight="1" x14ac:dyDescent="0.15"/>
    <row r="40455" s="9" customFormat="1" ht="21.95" customHeight="1" x14ac:dyDescent="0.15"/>
    <row r="40456" s="9" customFormat="1" ht="21.95" customHeight="1" x14ac:dyDescent="0.15"/>
    <row r="40457" s="9" customFormat="1" ht="21.95" customHeight="1" x14ac:dyDescent="0.15"/>
    <row r="40458" s="9" customFormat="1" ht="21.95" customHeight="1" x14ac:dyDescent="0.15"/>
    <row r="40459" s="9" customFormat="1" ht="21.95" customHeight="1" x14ac:dyDescent="0.15"/>
    <row r="40460" s="9" customFormat="1" ht="21.95" customHeight="1" x14ac:dyDescent="0.15"/>
    <row r="40461" s="9" customFormat="1" ht="21.95" customHeight="1" x14ac:dyDescent="0.15"/>
    <row r="40462" s="9" customFormat="1" ht="21.95" customHeight="1" x14ac:dyDescent="0.15"/>
    <row r="40463" s="9" customFormat="1" ht="21.95" customHeight="1" x14ac:dyDescent="0.15"/>
    <row r="40464" s="9" customFormat="1" ht="21.95" customHeight="1" x14ac:dyDescent="0.15"/>
    <row r="40465" spans="3:3" s="9" customFormat="1" ht="21.95" customHeight="1" x14ac:dyDescent="0.15"/>
    <row r="40466" spans="3:3" s="9" customFormat="1" ht="21.95" customHeight="1" x14ac:dyDescent="0.15"/>
    <row r="40467" spans="3:3" s="9" customFormat="1" ht="21.95" customHeight="1" x14ac:dyDescent="0.15"/>
    <row r="40468" spans="3:3" s="9" customFormat="1" ht="21.95" customHeight="1" x14ac:dyDescent="0.15"/>
    <row r="40469" spans="3:3" s="9" customFormat="1" ht="21.95" customHeight="1" x14ac:dyDescent="0.15"/>
    <row r="40470" spans="3:3" s="9" customFormat="1" ht="21.95" customHeight="1" x14ac:dyDescent="0.15"/>
    <row r="40471" spans="3:3" s="9" customFormat="1" ht="21.95" customHeight="1" x14ac:dyDescent="0.15"/>
    <row r="40472" spans="3:3" s="9" customFormat="1" ht="21.95" customHeight="1" x14ac:dyDescent="0.15"/>
    <row r="40473" spans="3:3" s="9" customFormat="1" ht="21.95" customHeight="1" x14ac:dyDescent="0.15"/>
    <row r="40474" spans="3:3" s="9" customFormat="1" ht="21.95" customHeight="1" x14ac:dyDescent="0.15"/>
    <row r="40475" spans="3:3" s="9" customFormat="1" ht="21.95" customHeight="1" x14ac:dyDescent="0.15"/>
    <row r="40476" spans="3:3" s="9" customFormat="1" ht="21.95" customHeight="1" x14ac:dyDescent="0.15"/>
    <row r="40477" spans="3:3" s="9" customFormat="1" ht="21.95" customHeight="1" x14ac:dyDescent="0.15"/>
    <row r="40478" spans="3:3" s="8" customFormat="1" ht="21.95" customHeight="1" x14ac:dyDescent="0.15"/>
    <row r="40479" spans="3:3" s="8" customFormat="1" ht="21.95" customHeight="1" x14ac:dyDescent="0.15"/>
    <row r="40480" spans="3:3" s="8" customFormat="1" ht="21.95" customHeight="1" x14ac:dyDescent="0.15">
      <c r="C40480" s="101"/>
    </row>
    <row r="40481" spans="3:3" s="8" customFormat="1" ht="21.95" customHeight="1" x14ac:dyDescent="0.15">
      <c r="C40481" s="101"/>
    </row>
    <row r="40482" spans="3:3" s="8" customFormat="1" ht="21.95" customHeight="1" x14ac:dyDescent="0.15"/>
    <row r="40483" spans="3:3" s="8" customFormat="1" ht="21.95" customHeight="1" x14ac:dyDescent="0.15"/>
    <row r="40484" spans="3:3" s="8" customFormat="1" ht="21.95" customHeight="1" x14ac:dyDescent="0.15"/>
    <row r="40485" spans="3:3" s="8" customFormat="1" ht="21.95" customHeight="1" x14ac:dyDescent="0.15"/>
    <row r="40486" spans="3:3" s="8" customFormat="1" ht="21.95" customHeight="1" x14ac:dyDescent="0.15"/>
    <row r="40487" spans="3:3" s="8" customFormat="1" ht="21.95" customHeight="1" x14ac:dyDescent="0.15"/>
    <row r="40488" spans="3:3" s="8" customFormat="1" ht="21.95" customHeight="1" x14ac:dyDescent="0.15"/>
    <row r="40489" spans="3:3" s="9" customFormat="1" ht="21.95" customHeight="1" x14ac:dyDescent="0.15"/>
    <row r="40490" spans="3:3" s="9" customFormat="1" ht="21.95" customHeight="1" x14ac:dyDescent="0.15"/>
    <row r="40491" spans="3:3" s="9" customFormat="1" ht="21.95" customHeight="1" x14ac:dyDescent="0.15"/>
    <row r="40492" spans="3:3" s="9" customFormat="1" ht="21.95" customHeight="1" x14ac:dyDescent="0.15"/>
    <row r="40493" spans="3:3" s="8" customFormat="1" ht="21.95" customHeight="1" x14ac:dyDescent="0.15"/>
    <row r="40494" spans="3:3" s="8" customFormat="1" ht="21.95" customHeight="1" x14ac:dyDescent="0.15"/>
    <row r="40495" spans="3:3" s="8" customFormat="1" ht="21.95" customHeight="1" x14ac:dyDescent="0.15"/>
    <row r="40496" spans="3:3" s="8" customFormat="1" ht="21.95" customHeight="1" x14ac:dyDescent="0.15"/>
    <row r="40497" s="8" customFormat="1" ht="21.95" customHeight="1" x14ac:dyDescent="0.15"/>
    <row r="40498" s="8" customFormat="1" ht="21.95" customHeight="1" x14ac:dyDescent="0.15"/>
    <row r="40499" s="8" customFormat="1" ht="21.95" customHeight="1" x14ac:dyDescent="0.15"/>
    <row r="40500" s="8" customFormat="1" ht="21.95" customHeight="1" x14ac:dyDescent="0.15"/>
    <row r="40501" s="8" customFormat="1" ht="21.95" customHeight="1" x14ac:dyDescent="0.15"/>
    <row r="40502" s="8" customFormat="1" ht="21.95" customHeight="1" x14ac:dyDescent="0.15"/>
    <row r="40503" s="8" customFormat="1" ht="21.95" customHeight="1" x14ac:dyDescent="0.15"/>
    <row r="40504" s="8" customFormat="1" ht="32.1" customHeight="1" x14ac:dyDescent="0.15"/>
    <row r="40505" s="8" customFormat="1" ht="32.1" customHeight="1" x14ac:dyDescent="0.15"/>
    <row r="40506" s="8" customFormat="1" ht="32.1" customHeight="1" x14ac:dyDescent="0.15"/>
    <row r="40507" s="8" customFormat="1" ht="32.1" customHeight="1" x14ac:dyDescent="0.15"/>
    <row r="40508" s="8" customFormat="1" ht="32.1" customHeight="1" x14ac:dyDescent="0.15"/>
    <row r="40509" s="8" customFormat="1" ht="32.1" customHeight="1" x14ac:dyDescent="0.15"/>
    <row r="40510" s="9" customFormat="1" ht="32.1" customHeight="1" x14ac:dyDescent="0.15"/>
    <row r="40511" s="9" customFormat="1" ht="32.1" customHeight="1" x14ac:dyDescent="0.15"/>
    <row r="40512" s="9" customFormat="1" ht="32.1" customHeight="1" x14ac:dyDescent="0.15"/>
    <row r="40513" s="9" customFormat="1" ht="32.1" customHeight="1" x14ac:dyDescent="0.15"/>
    <row r="40514" s="9" customFormat="1" ht="21.95" customHeight="1" x14ac:dyDescent="0.15"/>
    <row r="40515" s="9" customFormat="1" ht="54" customHeight="1" x14ac:dyDescent="0.15"/>
    <row r="40516" s="9" customFormat="1" ht="21.95" customHeight="1" x14ac:dyDescent="0.15"/>
    <row r="40517" s="9" customFormat="1" ht="21.95" customHeight="1" x14ac:dyDescent="0.15"/>
    <row r="40518" s="9" customFormat="1" ht="21.95" customHeight="1" x14ac:dyDescent="0.15"/>
    <row r="40519" s="9" customFormat="1" ht="21.95" customHeight="1" x14ac:dyDescent="0.15"/>
    <row r="40520" s="9" customFormat="1" ht="21.95" customHeight="1" x14ac:dyDescent="0.15"/>
    <row r="40521" s="9" customFormat="1" ht="21.95" customHeight="1" x14ac:dyDescent="0.15"/>
    <row r="40522" s="9" customFormat="1" ht="21.95" customHeight="1" x14ac:dyDescent="0.15"/>
    <row r="40523" s="9" customFormat="1" ht="21.95" customHeight="1" x14ac:dyDescent="0.15"/>
    <row r="40524" s="9" customFormat="1" ht="21.95" customHeight="1" x14ac:dyDescent="0.15"/>
    <row r="40525" s="9" customFormat="1" ht="21.95" customHeight="1" x14ac:dyDescent="0.15"/>
    <row r="40526" s="9" customFormat="1" ht="21.95" customHeight="1" x14ac:dyDescent="0.15"/>
    <row r="40527" s="9" customFormat="1" ht="21.95" customHeight="1" x14ac:dyDescent="0.15"/>
    <row r="40528" s="9" customFormat="1" ht="21.95" customHeight="1" x14ac:dyDescent="0.15"/>
    <row r="40529" s="9" customFormat="1" ht="21.95" customHeight="1" x14ac:dyDescent="0.15"/>
    <row r="40530" s="9" customFormat="1" ht="21.95" customHeight="1" x14ac:dyDescent="0.15"/>
    <row r="40531" s="9" customFormat="1" ht="21.95" customHeight="1" x14ac:dyDescent="0.15"/>
    <row r="40532" s="9" customFormat="1" ht="21.95" customHeight="1" x14ac:dyDescent="0.15"/>
    <row r="40533" s="9" customFormat="1" ht="21.95" customHeight="1" x14ac:dyDescent="0.15"/>
    <row r="40534" s="9" customFormat="1" ht="21.95" customHeight="1" x14ac:dyDescent="0.15"/>
    <row r="40535" s="9" customFormat="1" ht="21.95" customHeight="1" x14ac:dyDescent="0.15"/>
    <row r="40536" s="9" customFormat="1" ht="21.95" customHeight="1" x14ac:dyDescent="0.15"/>
    <row r="40537" s="9" customFormat="1" ht="21.95" customHeight="1" x14ac:dyDescent="0.15"/>
    <row r="40538" s="9" customFormat="1" ht="21.95" customHeight="1" x14ac:dyDescent="0.15"/>
    <row r="40539" s="9" customFormat="1" ht="21.95" customHeight="1" x14ac:dyDescent="0.15"/>
    <row r="40540" s="9" customFormat="1" ht="21.95" customHeight="1" x14ac:dyDescent="0.15"/>
    <row r="40541" s="9" customFormat="1" ht="21.95" customHeight="1" x14ac:dyDescent="0.15"/>
    <row r="40542" s="9" customFormat="1" ht="21.95" customHeight="1" x14ac:dyDescent="0.15"/>
    <row r="40543" s="9" customFormat="1" ht="21.95" customHeight="1" x14ac:dyDescent="0.15"/>
    <row r="40544" s="9" customFormat="1" ht="21.95" customHeight="1" x14ac:dyDescent="0.15"/>
    <row r="40545" s="9" customFormat="1" ht="21.95" customHeight="1" x14ac:dyDescent="0.15"/>
    <row r="40546" s="9" customFormat="1" ht="21.95" customHeight="1" x14ac:dyDescent="0.15"/>
    <row r="40547" s="9" customFormat="1" ht="21.95" customHeight="1" x14ac:dyDescent="0.15"/>
    <row r="40548" s="9" customFormat="1" ht="21.95" customHeight="1" x14ac:dyDescent="0.15"/>
    <row r="40549" s="9" customFormat="1" ht="21.95" customHeight="1" x14ac:dyDescent="0.15"/>
    <row r="40550" s="9" customFormat="1" ht="21.95" customHeight="1" x14ac:dyDescent="0.15"/>
    <row r="40551" s="9" customFormat="1" ht="21.95" customHeight="1" x14ac:dyDescent="0.15"/>
    <row r="40552" s="9" customFormat="1" ht="21.95" customHeight="1" x14ac:dyDescent="0.15"/>
    <row r="40553" s="9" customFormat="1" ht="21.95" customHeight="1" x14ac:dyDescent="0.15"/>
    <row r="40554" s="9" customFormat="1" ht="21.95" customHeight="1" x14ac:dyDescent="0.15"/>
    <row r="40555" s="9" customFormat="1" ht="21.95" customHeight="1" x14ac:dyDescent="0.15"/>
    <row r="40556" s="9" customFormat="1" ht="21.95" customHeight="1" x14ac:dyDescent="0.15"/>
    <row r="40557" s="9" customFormat="1" ht="21.95" customHeight="1" x14ac:dyDescent="0.15"/>
    <row r="40558" s="9" customFormat="1" ht="21.95" customHeight="1" x14ac:dyDescent="0.15"/>
    <row r="40559" s="9" customFormat="1" ht="21.95" customHeight="1" x14ac:dyDescent="0.15"/>
    <row r="40560" s="9" customFormat="1" ht="21.95" customHeight="1" x14ac:dyDescent="0.15"/>
    <row r="40561" s="9" customFormat="1" ht="21.95" customHeight="1" x14ac:dyDescent="0.15"/>
    <row r="40562" s="9" customFormat="1" ht="21.95" customHeight="1" x14ac:dyDescent="0.15"/>
    <row r="40563" s="9" customFormat="1" ht="21.95" customHeight="1" x14ac:dyDescent="0.15"/>
    <row r="40564" s="9" customFormat="1" ht="21.95" customHeight="1" x14ac:dyDescent="0.15"/>
    <row r="40565" s="9" customFormat="1" ht="21.95" customHeight="1" x14ac:dyDescent="0.15"/>
    <row r="40566" s="9" customFormat="1" ht="35.1" customHeight="1" x14ac:dyDescent="0.15"/>
    <row r="40567" s="9" customFormat="1" ht="21.95" customHeight="1" x14ac:dyDescent="0.15"/>
    <row r="40568" s="9" customFormat="1" ht="21.95" customHeight="1" x14ac:dyDescent="0.15"/>
    <row r="40569" s="9" customFormat="1" ht="21.95" customHeight="1" x14ac:dyDescent="0.15"/>
    <row r="40570" s="9" customFormat="1" ht="21.95" customHeight="1" x14ac:dyDescent="0.15"/>
    <row r="40571" s="9" customFormat="1" ht="21.95" customHeight="1" x14ac:dyDescent="0.15"/>
    <row r="40572" s="9" customFormat="1" ht="21.95" customHeight="1" x14ac:dyDescent="0.15"/>
    <row r="40573" s="9" customFormat="1" ht="21.95" customHeight="1" x14ac:dyDescent="0.15"/>
    <row r="40574" s="9" customFormat="1" ht="21.95" customHeight="1" x14ac:dyDescent="0.15"/>
    <row r="40575" s="9" customFormat="1" ht="21.95" customHeight="1" x14ac:dyDescent="0.15"/>
    <row r="40576" s="9" customFormat="1" ht="21.95" customHeight="1" x14ac:dyDescent="0.15"/>
    <row r="40577" spans="3:3" s="9" customFormat="1" ht="21.95" customHeight="1" x14ac:dyDescent="0.15"/>
    <row r="40578" spans="3:3" s="9" customFormat="1" ht="21.95" customHeight="1" x14ac:dyDescent="0.15"/>
    <row r="40579" spans="3:3" s="9" customFormat="1" ht="21.95" customHeight="1" x14ac:dyDescent="0.15"/>
    <row r="40580" spans="3:3" s="9" customFormat="1" ht="21.95" customHeight="1" x14ac:dyDescent="0.15"/>
    <row r="40581" spans="3:3" s="9" customFormat="1" ht="21.95" customHeight="1" x14ac:dyDescent="0.15"/>
    <row r="40582" spans="3:3" s="9" customFormat="1" ht="21.95" customHeight="1" x14ac:dyDescent="0.15"/>
    <row r="40583" spans="3:3" s="9" customFormat="1" ht="21.95" customHeight="1" x14ac:dyDescent="0.15"/>
    <row r="40584" spans="3:3" s="9" customFormat="1" ht="21.95" customHeight="1" x14ac:dyDescent="0.15"/>
    <row r="40585" spans="3:3" s="9" customFormat="1" ht="21.95" customHeight="1" x14ac:dyDescent="0.15"/>
    <row r="40586" spans="3:3" s="9" customFormat="1" ht="21.95" customHeight="1" x14ac:dyDescent="0.15"/>
    <row r="40587" spans="3:3" s="9" customFormat="1" ht="21.95" customHeight="1" x14ac:dyDescent="0.15"/>
    <row r="40588" spans="3:3" s="9" customFormat="1" ht="21.95" customHeight="1" x14ac:dyDescent="0.15"/>
    <row r="40589" spans="3:3" s="9" customFormat="1" ht="21.95" customHeight="1" x14ac:dyDescent="0.15"/>
    <row r="40590" spans="3:3" s="8" customFormat="1" ht="21.95" customHeight="1" x14ac:dyDescent="0.15"/>
    <row r="40591" spans="3:3" s="8" customFormat="1" ht="21.95" customHeight="1" x14ac:dyDescent="0.15"/>
    <row r="40592" spans="3:3" s="8" customFormat="1" ht="21.95" customHeight="1" x14ac:dyDescent="0.15">
      <c r="C40592" s="101"/>
    </row>
    <row r="40593" spans="3:3" s="8" customFormat="1" ht="21.95" customHeight="1" x14ac:dyDescent="0.15">
      <c r="C40593" s="101"/>
    </row>
    <row r="40594" spans="3:3" s="8" customFormat="1" ht="21.95" customHeight="1" x14ac:dyDescent="0.15"/>
    <row r="40595" spans="3:3" s="8" customFormat="1" ht="21.95" customHeight="1" x14ac:dyDescent="0.15"/>
    <row r="40596" spans="3:3" s="8" customFormat="1" ht="21.95" customHeight="1" x14ac:dyDescent="0.15"/>
    <row r="40597" spans="3:3" s="8" customFormat="1" ht="21.95" customHeight="1" x14ac:dyDescent="0.15"/>
    <row r="40598" spans="3:3" s="8" customFormat="1" ht="21.95" customHeight="1" x14ac:dyDescent="0.15"/>
    <row r="40599" spans="3:3" s="8" customFormat="1" ht="21.95" customHeight="1" x14ac:dyDescent="0.15"/>
    <row r="40600" spans="3:3" s="8" customFormat="1" ht="21.95" customHeight="1" x14ac:dyDescent="0.15"/>
    <row r="40601" spans="3:3" s="9" customFormat="1" ht="21.95" customHeight="1" x14ac:dyDescent="0.15"/>
    <row r="40602" spans="3:3" s="9" customFormat="1" ht="21.95" customHeight="1" x14ac:dyDescent="0.15"/>
    <row r="40603" spans="3:3" s="9" customFormat="1" ht="21.95" customHeight="1" x14ac:dyDescent="0.15"/>
    <row r="40604" spans="3:3" s="9" customFormat="1" ht="21.95" customHeight="1" x14ac:dyDescent="0.15"/>
    <row r="40605" spans="3:3" s="8" customFormat="1" ht="21.95" customHeight="1" x14ac:dyDescent="0.15"/>
    <row r="40606" spans="3:3" s="8" customFormat="1" ht="21.95" customHeight="1" x14ac:dyDescent="0.15"/>
    <row r="40607" spans="3:3" s="8" customFormat="1" ht="21.95" customHeight="1" x14ac:dyDescent="0.15"/>
    <row r="40608" spans="3:3" s="8" customFormat="1" ht="21.95" customHeight="1" x14ac:dyDescent="0.15"/>
    <row r="40609" s="8" customFormat="1" ht="21.95" customHeight="1" x14ac:dyDescent="0.15"/>
    <row r="40610" s="8" customFormat="1" ht="21.95" customHeight="1" x14ac:dyDescent="0.15"/>
    <row r="40611" s="8" customFormat="1" ht="21.95" customHeight="1" x14ac:dyDescent="0.15"/>
    <row r="40612" s="8" customFormat="1" ht="21.95" customHeight="1" x14ac:dyDescent="0.15"/>
    <row r="40613" s="8" customFormat="1" ht="21.95" customHeight="1" x14ac:dyDescent="0.15"/>
    <row r="40614" s="8" customFormat="1" ht="21.95" customHeight="1" x14ac:dyDescent="0.15"/>
    <row r="40615" s="8" customFormat="1" ht="21.95" customHeight="1" x14ac:dyDescent="0.15"/>
    <row r="40616" s="8" customFormat="1" ht="32.1" customHeight="1" x14ac:dyDescent="0.15"/>
    <row r="40617" s="8" customFormat="1" ht="32.1" customHeight="1" x14ac:dyDescent="0.15"/>
    <row r="40618" s="8" customFormat="1" ht="32.1" customHeight="1" x14ac:dyDescent="0.15"/>
    <row r="40619" s="8" customFormat="1" ht="32.1" customHeight="1" x14ac:dyDescent="0.15"/>
    <row r="40620" s="8" customFormat="1" ht="32.1" customHeight="1" x14ac:dyDescent="0.15"/>
    <row r="40621" s="8" customFormat="1" ht="32.1" customHeight="1" x14ac:dyDescent="0.15"/>
    <row r="40622" s="9" customFormat="1" ht="32.1" customHeight="1" x14ac:dyDescent="0.15"/>
    <row r="40623" s="9" customFormat="1" ht="32.1" customHeight="1" x14ac:dyDescent="0.15"/>
    <row r="40624" s="9" customFormat="1" ht="32.1" customHeight="1" x14ac:dyDescent="0.15"/>
    <row r="40625" s="9" customFormat="1" ht="32.1" customHeight="1" x14ac:dyDescent="0.15"/>
    <row r="40626" s="9" customFormat="1" ht="21.95" customHeight="1" x14ac:dyDescent="0.15"/>
    <row r="40627" s="9" customFormat="1" ht="54" customHeight="1" x14ac:dyDescent="0.15"/>
    <row r="40628" s="9" customFormat="1" ht="21.95" customHeight="1" x14ac:dyDescent="0.15"/>
    <row r="40629" s="9" customFormat="1" ht="21.95" customHeight="1" x14ac:dyDescent="0.15"/>
    <row r="40630" s="9" customFormat="1" ht="21.95" customHeight="1" x14ac:dyDescent="0.15"/>
    <row r="40631" s="9" customFormat="1" ht="21.95" customHeight="1" x14ac:dyDescent="0.15"/>
    <row r="40632" s="9" customFormat="1" ht="21.95" customHeight="1" x14ac:dyDescent="0.15"/>
    <row r="40633" s="9" customFormat="1" ht="21.95" customHeight="1" x14ac:dyDescent="0.15"/>
    <row r="40634" s="9" customFormat="1" ht="21.95" customHeight="1" x14ac:dyDescent="0.15"/>
    <row r="40635" s="9" customFormat="1" ht="21.95" customHeight="1" x14ac:dyDescent="0.15"/>
    <row r="40636" s="9" customFormat="1" ht="21.95" customHeight="1" x14ac:dyDescent="0.15"/>
    <row r="40637" s="9" customFormat="1" ht="21.95" customHeight="1" x14ac:dyDescent="0.15"/>
    <row r="40638" s="9" customFormat="1" ht="21.95" customHeight="1" x14ac:dyDescent="0.15"/>
    <row r="40639" s="9" customFormat="1" ht="21.95" customHeight="1" x14ac:dyDescent="0.15"/>
    <row r="40640" s="9" customFormat="1" ht="21.95" customHeight="1" x14ac:dyDescent="0.15"/>
    <row r="40641" s="9" customFormat="1" ht="21.95" customHeight="1" x14ac:dyDescent="0.15"/>
    <row r="40642" s="9" customFormat="1" ht="21.95" customHeight="1" x14ac:dyDescent="0.15"/>
    <row r="40643" s="9" customFormat="1" ht="21.95" customHeight="1" x14ac:dyDescent="0.15"/>
    <row r="40644" s="9" customFormat="1" ht="21.95" customHeight="1" x14ac:dyDescent="0.15"/>
    <row r="40645" s="9" customFormat="1" ht="21.95" customHeight="1" x14ac:dyDescent="0.15"/>
    <row r="40646" s="9" customFormat="1" ht="21.95" customHeight="1" x14ac:dyDescent="0.15"/>
    <row r="40647" s="9" customFormat="1" ht="21.95" customHeight="1" x14ac:dyDescent="0.15"/>
    <row r="40648" s="9" customFormat="1" ht="21.95" customHeight="1" x14ac:dyDescent="0.15"/>
    <row r="40649" s="9" customFormat="1" ht="21.95" customHeight="1" x14ac:dyDescent="0.15"/>
    <row r="40650" s="9" customFormat="1" ht="21.95" customHeight="1" x14ac:dyDescent="0.15"/>
    <row r="40651" s="9" customFormat="1" ht="21.95" customHeight="1" x14ac:dyDescent="0.15"/>
    <row r="40652" s="9" customFormat="1" ht="21.95" customHeight="1" x14ac:dyDescent="0.15"/>
    <row r="40653" s="9" customFormat="1" ht="21.95" customHeight="1" x14ac:dyDescent="0.15"/>
    <row r="40654" s="9" customFormat="1" ht="21.95" customHeight="1" x14ac:dyDescent="0.15"/>
    <row r="40655" s="9" customFormat="1" ht="21.95" customHeight="1" x14ac:dyDescent="0.15"/>
    <row r="40656" s="9" customFormat="1" ht="21.95" customHeight="1" x14ac:dyDescent="0.15"/>
    <row r="40657" s="9" customFormat="1" ht="21.95" customHeight="1" x14ac:dyDescent="0.15"/>
    <row r="40658" s="9" customFormat="1" ht="21.95" customHeight="1" x14ac:dyDescent="0.15"/>
    <row r="40659" s="9" customFormat="1" ht="21.95" customHeight="1" x14ac:dyDescent="0.15"/>
    <row r="40660" s="9" customFormat="1" ht="21.95" customHeight="1" x14ac:dyDescent="0.15"/>
    <row r="40661" s="9" customFormat="1" ht="21.95" customHeight="1" x14ac:dyDescent="0.15"/>
    <row r="40662" s="9" customFormat="1" ht="21.95" customHeight="1" x14ac:dyDescent="0.15"/>
    <row r="40663" s="9" customFormat="1" ht="21.95" customHeight="1" x14ac:dyDescent="0.15"/>
    <row r="40664" s="9" customFormat="1" ht="21.95" customHeight="1" x14ac:dyDescent="0.15"/>
    <row r="40665" s="9" customFormat="1" ht="21.95" customHeight="1" x14ac:dyDescent="0.15"/>
    <row r="40666" s="9" customFormat="1" ht="21.95" customHeight="1" x14ac:dyDescent="0.15"/>
    <row r="40667" s="9" customFormat="1" ht="21.95" customHeight="1" x14ac:dyDescent="0.15"/>
    <row r="40668" s="9" customFormat="1" ht="21.95" customHeight="1" x14ac:dyDescent="0.15"/>
    <row r="40669" s="9" customFormat="1" ht="21.95" customHeight="1" x14ac:dyDescent="0.15"/>
    <row r="40670" s="9" customFormat="1" ht="21.95" customHeight="1" x14ac:dyDescent="0.15"/>
    <row r="40671" s="9" customFormat="1" ht="21.95" customHeight="1" x14ac:dyDescent="0.15"/>
    <row r="40672" s="9" customFormat="1" ht="21.95" customHeight="1" x14ac:dyDescent="0.15"/>
    <row r="40673" s="9" customFormat="1" ht="21.95" customHeight="1" x14ac:dyDescent="0.15"/>
    <row r="40674" s="9" customFormat="1" ht="21.95" customHeight="1" x14ac:dyDescent="0.15"/>
    <row r="40675" s="9" customFormat="1" ht="21.95" customHeight="1" x14ac:dyDescent="0.15"/>
    <row r="40676" s="9" customFormat="1" ht="21.95" customHeight="1" x14ac:dyDescent="0.15"/>
    <row r="40677" s="9" customFormat="1" ht="21.95" customHeight="1" x14ac:dyDescent="0.15"/>
    <row r="40678" s="9" customFormat="1" ht="35.1" customHeight="1" x14ac:dyDescent="0.15"/>
    <row r="40679" s="9" customFormat="1" ht="21.95" customHeight="1" x14ac:dyDescent="0.15"/>
    <row r="40680" s="9" customFormat="1" ht="21.95" customHeight="1" x14ac:dyDescent="0.15"/>
    <row r="40681" s="9" customFormat="1" ht="21.95" customHeight="1" x14ac:dyDescent="0.15"/>
    <row r="40682" s="9" customFormat="1" ht="21.95" customHeight="1" x14ac:dyDescent="0.15"/>
    <row r="40683" s="9" customFormat="1" ht="21.95" customHeight="1" x14ac:dyDescent="0.15"/>
    <row r="40684" s="9" customFormat="1" ht="21.95" customHeight="1" x14ac:dyDescent="0.15"/>
    <row r="40685" s="9" customFormat="1" ht="21.95" customHeight="1" x14ac:dyDescent="0.15"/>
    <row r="40686" s="9" customFormat="1" ht="21.95" customHeight="1" x14ac:dyDescent="0.15"/>
    <row r="40687" s="9" customFormat="1" ht="21.95" customHeight="1" x14ac:dyDescent="0.15"/>
    <row r="40688" s="9" customFormat="1" ht="21.95" customHeight="1" x14ac:dyDescent="0.15"/>
    <row r="40689" spans="3:3" s="9" customFormat="1" ht="21.95" customHeight="1" x14ac:dyDescent="0.15"/>
    <row r="40690" spans="3:3" s="9" customFormat="1" ht="21.95" customHeight="1" x14ac:dyDescent="0.15"/>
    <row r="40691" spans="3:3" s="9" customFormat="1" ht="21.95" customHeight="1" x14ac:dyDescent="0.15"/>
    <row r="40692" spans="3:3" s="9" customFormat="1" ht="21.95" customHeight="1" x14ac:dyDescent="0.15"/>
    <row r="40693" spans="3:3" s="9" customFormat="1" ht="21.95" customHeight="1" x14ac:dyDescent="0.15"/>
    <row r="40694" spans="3:3" s="9" customFormat="1" ht="21.95" customHeight="1" x14ac:dyDescent="0.15"/>
    <row r="40695" spans="3:3" s="9" customFormat="1" ht="21.95" customHeight="1" x14ac:dyDescent="0.15"/>
    <row r="40696" spans="3:3" s="9" customFormat="1" ht="21.95" customHeight="1" x14ac:dyDescent="0.15"/>
    <row r="40697" spans="3:3" s="9" customFormat="1" ht="21.95" customHeight="1" x14ac:dyDescent="0.15"/>
    <row r="40698" spans="3:3" s="9" customFormat="1" ht="21.95" customHeight="1" x14ac:dyDescent="0.15"/>
    <row r="40699" spans="3:3" s="9" customFormat="1" ht="21.95" customHeight="1" x14ac:dyDescent="0.15"/>
    <row r="40700" spans="3:3" s="9" customFormat="1" ht="21.95" customHeight="1" x14ac:dyDescent="0.15"/>
    <row r="40701" spans="3:3" s="9" customFormat="1" ht="21.95" customHeight="1" x14ac:dyDescent="0.15"/>
    <row r="40702" spans="3:3" s="8" customFormat="1" ht="21.95" customHeight="1" x14ac:dyDescent="0.15"/>
    <row r="40703" spans="3:3" s="8" customFormat="1" ht="21.95" customHeight="1" x14ac:dyDescent="0.15"/>
    <row r="40704" spans="3:3" s="8" customFormat="1" ht="21.95" customHeight="1" x14ac:dyDescent="0.15">
      <c r="C40704" s="101"/>
    </row>
    <row r="40705" spans="3:3" s="8" customFormat="1" ht="21.95" customHeight="1" x14ac:dyDescent="0.15">
      <c r="C40705" s="101"/>
    </row>
    <row r="40706" spans="3:3" s="8" customFormat="1" ht="21.95" customHeight="1" x14ac:dyDescent="0.15"/>
    <row r="40707" spans="3:3" s="8" customFormat="1" ht="21.95" customHeight="1" x14ac:dyDescent="0.15"/>
    <row r="40708" spans="3:3" s="8" customFormat="1" ht="21.95" customHeight="1" x14ac:dyDescent="0.15"/>
    <row r="40709" spans="3:3" s="8" customFormat="1" ht="21.95" customHeight="1" x14ac:dyDescent="0.15"/>
    <row r="40710" spans="3:3" s="8" customFormat="1" ht="21.95" customHeight="1" x14ac:dyDescent="0.15"/>
    <row r="40711" spans="3:3" s="8" customFormat="1" ht="21.95" customHeight="1" x14ac:dyDescent="0.15"/>
    <row r="40712" spans="3:3" s="8" customFormat="1" ht="21.95" customHeight="1" x14ac:dyDescent="0.15"/>
    <row r="40713" spans="3:3" s="9" customFormat="1" ht="21.95" customHeight="1" x14ac:dyDescent="0.15"/>
    <row r="40714" spans="3:3" s="9" customFormat="1" ht="21.95" customHeight="1" x14ac:dyDescent="0.15"/>
    <row r="40715" spans="3:3" s="9" customFormat="1" ht="21.95" customHeight="1" x14ac:dyDescent="0.15"/>
    <row r="40716" spans="3:3" s="9" customFormat="1" ht="21.95" customHeight="1" x14ac:dyDescent="0.15"/>
    <row r="40717" spans="3:3" s="8" customFormat="1" ht="21.95" customHeight="1" x14ac:dyDescent="0.15"/>
    <row r="40718" spans="3:3" s="8" customFormat="1" ht="21.95" customHeight="1" x14ac:dyDescent="0.15"/>
    <row r="40719" spans="3:3" s="8" customFormat="1" ht="21.95" customHeight="1" x14ac:dyDescent="0.15"/>
    <row r="40720" spans="3:3" s="8" customFormat="1" ht="21.95" customHeight="1" x14ac:dyDescent="0.15"/>
    <row r="40721" s="8" customFormat="1" ht="21.95" customHeight="1" x14ac:dyDescent="0.15"/>
    <row r="40722" s="8" customFormat="1" ht="21.95" customHeight="1" x14ac:dyDescent="0.15"/>
    <row r="40723" s="8" customFormat="1" ht="21.95" customHeight="1" x14ac:dyDescent="0.15"/>
    <row r="40724" s="8" customFormat="1" ht="21.95" customHeight="1" x14ac:dyDescent="0.15"/>
    <row r="40725" s="8" customFormat="1" ht="21.95" customHeight="1" x14ac:dyDescent="0.15"/>
    <row r="40726" s="8" customFormat="1" ht="21.95" customHeight="1" x14ac:dyDescent="0.15"/>
    <row r="40727" s="8" customFormat="1" ht="21.95" customHeight="1" x14ac:dyDescent="0.15"/>
    <row r="40728" s="8" customFormat="1" ht="32.1" customHeight="1" x14ac:dyDescent="0.15"/>
    <row r="40729" s="8" customFormat="1" ht="32.1" customHeight="1" x14ac:dyDescent="0.15"/>
    <row r="40730" s="8" customFormat="1" ht="32.1" customHeight="1" x14ac:dyDescent="0.15"/>
    <row r="40731" s="8" customFormat="1" ht="32.1" customHeight="1" x14ac:dyDescent="0.15"/>
    <row r="40732" s="8" customFormat="1" ht="32.1" customHeight="1" x14ac:dyDescent="0.15"/>
    <row r="40733" s="8" customFormat="1" ht="32.1" customHeight="1" x14ac:dyDescent="0.15"/>
    <row r="40734" s="9" customFormat="1" ht="32.1" customHeight="1" x14ac:dyDescent="0.15"/>
    <row r="40735" s="9" customFormat="1" ht="32.1" customHeight="1" x14ac:dyDescent="0.15"/>
    <row r="40736" s="9" customFormat="1" ht="32.1" customHeight="1" x14ac:dyDescent="0.15"/>
    <row r="40737" s="9" customFormat="1" ht="32.1" customHeight="1" x14ac:dyDescent="0.15"/>
    <row r="40738" s="9" customFormat="1" ht="21.95" customHeight="1" x14ac:dyDescent="0.15"/>
    <row r="40739" s="9" customFormat="1" ht="54" customHeight="1" x14ac:dyDescent="0.15"/>
    <row r="40740" s="9" customFormat="1" ht="21.95" customHeight="1" x14ac:dyDescent="0.15"/>
    <row r="40741" s="9" customFormat="1" ht="21.95" customHeight="1" x14ac:dyDescent="0.15"/>
    <row r="40742" s="9" customFormat="1" ht="21.95" customHeight="1" x14ac:dyDescent="0.15"/>
    <row r="40743" s="9" customFormat="1" ht="21.95" customHeight="1" x14ac:dyDescent="0.15"/>
    <row r="40744" s="9" customFormat="1" ht="21.95" customHeight="1" x14ac:dyDescent="0.15"/>
    <row r="40745" s="9" customFormat="1" ht="21.95" customHeight="1" x14ac:dyDescent="0.15"/>
    <row r="40746" s="9" customFormat="1" ht="21.95" customHeight="1" x14ac:dyDescent="0.15"/>
    <row r="40747" s="9" customFormat="1" ht="21.95" customHeight="1" x14ac:dyDescent="0.15"/>
    <row r="40748" s="9" customFormat="1" ht="21.95" customHeight="1" x14ac:dyDescent="0.15"/>
    <row r="40749" s="9" customFormat="1" ht="21.95" customHeight="1" x14ac:dyDescent="0.15"/>
    <row r="40750" s="9" customFormat="1" ht="21.95" customHeight="1" x14ac:dyDescent="0.15"/>
    <row r="40751" s="9" customFormat="1" ht="21.95" customHeight="1" x14ac:dyDescent="0.15"/>
    <row r="40752" s="9" customFormat="1" ht="21.95" customHeight="1" x14ac:dyDescent="0.15"/>
    <row r="40753" s="9" customFormat="1" ht="21.95" customHeight="1" x14ac:dyDescent="0.15"/>
    <row r="40754" s="9" customFormat="1" ht="21.95" customHeight="1" x14ac:dyDescent="0.15"/>
    <row r="40755" s="9" customFormat="1" ht="21.95" customHeight="1" x14ac:dyDescent="0.15"/>
    <row r="40756" s="9" customFormat="1" ht="21.95" customHeight="1" x14ac:dyDescent="0.15"/>
    <row r="40757" s="9" customFormat="1" ht="21.95" customHeight="1" x14ac:dyDescent="0.15"/>
    <row r="40758" s="9" customFormat="1" ht="21.95" customHeight="1" x14ac:dyDescent="0.15"/>
    <row r="40759" s="9" customFormat="1" ht="21.95" customHeight="1" x14ac:dyDescent="0.15"/>
    <row r="40760" s="9" customFormat="1" ht="21.95" customHeight="1" x14ac:dyDescent="0.15"/>
    <row r="40761" s="9" customFormat="1" ht="21.95" customHeight="1" x14ac:dyDescent="0.15"/>
    <row r="40762" s="9" customFormat="1" ht="21.95" customHeight="1" x14ac:dyDescent="0.15"/>
    <row r="40763" s="9" customFormat="1" ht="21.95" customHeight="1" x14ac:dyDescent="0.15"/>
    <row r="40764" s="9" customFormat="1" ht="21.95" customHeight="1" x14ac:dyDescent="0.15"/>
    <row r="40765" s="9" customFormat="1" ht="21.95" customHeight="1" x14ac:dyDescent="0.15"/>
    <row r="40766" s="9" customFormat="1" ht="21.95" customHeight="1" x14ac:dyDescent="0.15"/>
    <row r="40767" s="9" customFormat="1" ht="21.95" customHeight="1" x14ac:dyDescent="0.15"/>
    <row r="40768" s="9" customFormat="1" ht="21.95" customHeight="1" x14ac:dyDescent="0.15"/>
    <row r="40769" s="9" customFormat="1" ht="21.95" customHeight="1" x14ac:dyDescent="0.15"/>
    <row r="40770" s="9" customFormat="1" ht="21.95" customHeight="1" x14ac:dyDescent="0.15"/>
    <row r="40771" s="9" customFormat="1" ht="21.95" customHeight="1" x14ac:dyDescent="0.15"/>
    <row r="40772" s="9" customFormat="1" ht="21.95" customHeight="1" x14ac:dyDescent="0.15"/>
    <row r="40773" s="9" customFormat="1" ht="21.95" customHeight="1" x14ac:dyDescent="0.15"/>
    <row r="40774" s="9" customFormat="1" ht="21.95" customHeight="1" x14ac:dyDescent="0.15"/>
    <row r="40775" s="9" customFormat="1" ht="21.95" customHeight="1" x14ac:dyDescent="0.15"/>
    <row r="40776" s="9" customFormat="1" ht="21.95" customHeight="1" x14ac:dyDescent="0.15"/>
    <row r="40777" s="9" customFormat="1" ht="21.95" customHeight="1" x14ac:dyDescent="0.15"/>
    <row r="40778" s="9" customFormat="1" ht="21.95" customHeight="1" x14ac:dyDescent="0.15"/>
    <row r="40779" s="9" customFormat="1" ht="21.95" customHeight="1" x14ac:dyDescent="0.15"/>
    <row r="40780" s="9" customFormat="1" ht="21.95" customHeight="1" x14ac:dyDescent="0.15"/>
    <row r="40781" s="9" customFormat="1" ht="21.95" customHeight="1" x14ac:dyDescent="0.15"/>
    <row r="40782" s="9" customFormat="1" ht="21.95" customHeight="1" x14ac:dyDescent="0.15"/>
    <row r="40783" s="9" customFormat="1" ht="21.95" customHeight="1" x14ac:dyDescent="0.15"/>
    <row r="40784" s="9" customFormat="1" ht="21.95" customHeight="1" x14ac:dyDescent="0.15"/>
    <row r="40785" s="9" customFormat="1" ht="21.95" customHeight="1" x14ac:dyDescent="0.15"/>
    <row r="40786" s="9" customFormat="1" ht="21.95" customHeight="1" x14ac:dyDescent="0.15"/>
    <row r="40787" s="9" customFormat="1" ht="21.95" customHeight="1" x14ac:dyDescent="0.15"/>
    <row r="40788" s="9" customFormat="1" ht="21.95" customHeight="1" x14ac:dyDescent="0.15"/>
    <row r="40789" s="9" customFormat="1" ht="21.95" customHeight="1" x14ac:dyDescent="0.15"/>
    <row r="40790" s="9" customFormat="1" ht="35.1" customHeight="1" x14ac:dyDescent="0.15"/>
    <row r="40791" s="9" customFormat="1" ht="21.95" customHeight="1" x14ac:dyDescent="0.15"/>
    <row r="40792" s="9" customFormat="1" ht="21.95" customHeight="1" x14ac:dyDescent="0.15"/>
    <row r="40793" s="9" customFormat="1" ht="21.95" customHeight="1" x14ac:dyDescent="0.15"/>
    <row r="40794" s="9" customFormat="1" ht="21.95" customHeight="1" x14ac:dyDescent="0.15"/>
    <row r="40795" s="9" customFormat="1" ht="21.95" customHeight="1" x14ac:dyDescent="0.15"/>
    <row r="40796" s="9" customFormat="1" ht="21.95" customHeight="1" x14ac:dyDescent="0.15"/>
    <row r="40797" s="9" customFormat="1" ht="21.95" customHeight="1" x14ac:dyDescent="0.15"/>
    <row r="40798" s="9" customFormat="1" ht="21.95" customHeight="1" x14ac:dyDescent="0.15"/>
    <row r="40799" s="9" customFormat="1" ht="21.95" customHeight="1" x14ac:dyDescent="0.15"/>
    <row r="40800" s="9" customFormat="1" ht="21.95" customHeight="1" x14ac:dyDescent="0.15"/>
    <row r="40801" spans="3:3" s="9" customFormat="1" ht="21.95" customHeight="1" x14ac:dyDescent="0.15"/>
    <row r="40802" spans="3:3" s="9" customFormat="1" ht="21.95" customHeight="1" x14ac:dyDescent="0.15"/>
    <row r="40803" spans="3:3" s="9" customFormat="1" ht="21.95" customHeight="1" x14ac:dyDescent="0.15"/>
    <row r="40804" spans="3:3" s="9" customFormat="1" ht="21.95" customHeight="1" x14ac:dyDescent="0.15"/>
    <row r="40805" spans="3:3" s="9" customFormat="1" ht="21.95" customHeight="1" x14ac:dyDescent="0.15"/>
    <row r="40806" spans="3:3" s="9" customFormat="1" ht="21.95" customHeight="1" x14ac:dyDescent="0.15"/>
    <row r="40807" spans="3:3" s="9" customFormat="1" ht="21.95" customHeight="1" x14ac:dyDescent="0.15"/>
    <row r="40808" spans="3:3" s="9" customFormat="1" ht="21.95" customHeight="1" x14ac:dyDescent="0.15"/>
    <row r="40809" spans="3:3" s="9" customFormat="1" ht="21.95" customHeight="1" x14ac:dyDescent="0.15"/>
    <row r="40810" spans="3:3" s="9" customFormat="1" ht="21.95" customHeight="1" x14ac:dyDescent="0.15"/>
    <row r="40811" spans="3:3" s="9" customFormat="1" ht="21.95" customHeight="1" x14ac:dyDescent="0.15"/>
    <row r="40812" spans="3:3" s="9" customFormat="1" ht="21.95" customHeight="1" x14ac:dyDescent="0.15"/>
    <row r="40813" spans="3:3" s="9" customFormat="1" ht="21.95" customHeight="1" x14ac:dyDescent="0.15"/>
    <row r="40814" spans="3:3" s="8" customFormat="1" ht="21.95" customHeight="1" x14ac:dyDescent="0.15"/>
    <row r="40815" spans="3:3" s="8" customFormat="1" ht="21.95" customHeight="1" x14ac:dyDescent="0.15"/>
    <row r="40816" spans="3:3" s="8" customFormat="1" ht="21.95" customHeight="1" x14ac:dyDescent="0.15">
      <c r="C40816" s="101"/>
    </row>
    <row r="40817" spans="3:3" s="8" customFormat="1" ht="21.95" customHeight="1" x14ac:dyDescent="0.15">
      <c r="C40817" s="101"/>
    </row>
    <row r="40818" spans="3:3" s="8" customFormat="1" ht="21.95" customHeight="1" x14ac:dyDescent="0.15"/>
    <row r="40819" spans="3:3" s="8" customFormat="1" ht="21.95" customHeight="1" x14ac:dyDescent="0.15"/>
    <row r="40820" spans="3:3" s="8" customFormat="1" ht="21.95" customHeight="1" x14ac:dyDescent="0.15"/>
    <row r="40821" spans="3:3" s="8" customFormat="1" ht="21.95" customHeight="1" x14ac:dyDescent="0.15"/>
    <row r="40822" spans="3:3" s="8" customFormat="1" ht="21.95" customHeight="1" x14ac:dyDescent="0.15"/>
    <row r="40823" spans="3:3" s="8" customFormat="1" ht="21.95" customHeight="1" x14ac:dyDescent="0.15"/>
    <row r="40824" spans="3:3" s="8" customFormat="1" ht="21.95" customHeight="1" x14ac:dyDescent="0.15"/>
    <row r="40825" spans="3:3" s="9" customFormat="1" ht="21.95" customHeight="1" x14ac:dyDescent="0.15"/>
    <row r="40826" spans="3:3" s="9" customFormat="1" ht="21.95" customHeight="1" x14ac:dyDescent="0.15"/>
    <row r="40827" spans="3:3" s="9" customFormat="1" ht="21.95" customHeight="1" x14ac:dyDescent="0.15"/>
    <row r="40828" spans="3:3" s="9" customFormat="1" ht="21.95" customHeight="1" x14ac:dyDescent="0.15"/>
    <row r="40829" spans="3:3" s="8" customFormat="1" ht="21.95" customHeight="1" x14ac:dyDescent="0.15"/>
    <row r="40830" spans="3:3" s="8" customFormat="1" ht="21.95" customHeight="1" x14ac:dyDescent="0.15"/>
    <row r="40831" spans="3:3" s="8" customFormat="1" ht="21.95" customHeight="1" x14ac:dyDescent="0.15"/>
    <row r="40832" spans="3:3" s="8" customFormat="1" ht="21.95" customHeight="1" x14ac:dyDescent="0.15"/>
    <row r="40833" s="8" customFormat="1" ht="21.95" customHeight="1" x14ac:dyDescent="0.15"/>
    <row r="40834" s="8" customFormat="1" ht="21.95" customHeight="1" x14ac:dyDescent="0.15"/>
    <row r="40835" s="8" customFormat="1" ht="21.95" customHeight="1" x14ac:dyDescent="0.15"/>
    <row r="40836" s="8" customFormat="1" ht="21.95" customHeight="1" x14ac:dyDescent="0.15"/>
    <row r="40837" s="8" customFormat="1" ht="21.95" customHeight="1" x14ac:dyDescent="0.15"/>
    <row r="40838" s="8" customFormat="1" ht="21.95" customHeight="1" x14ac:dyDescent="0.15"/>
    <row r="40839" s="8" customFormat="1" ht="21.95" customHeight="1" x14ac:dyDescent="0.15"/>
    <row r="40840" s="8" customFormat="1" ht="32.1" customHeight="1" x14ac:dyDescent="0.15"/>
    <row r="40841" s="8" customFormat="1" ht="32.1" customHeight="1" x14ac:dyDescent="0.15"/>
    <row r="40842" s="8" customFormat="1" ht="32.1" customHeight="1" x14ac:dyDescent="0.15"/>
    <row r="40843" s="8" customFormat="1" ht="32.1" customHeight="1" x14ac:dyDescent="0.15"/>
    <row r="40844" s="8" customFormat="1" ht="32.1" customHeight="1" x14ac:dyDescent="0.15"/>
    <row r="40845" s="8" customFormat="1" ht="32.1" customHeight="1" x14ac:dyDescent="0.15"/>
    <row r="40846" s="9" customFormat="1" ht="32.1" customHeight="1" x14ac:dyDescent="0.15"/>
    <row r="40847" s="9" customFormat="1" ht="32.1" customHeight="1" x14ac:dyDescent="0.15"/>
    <row r="40848" s="9" customFormat="1" ht="32.1" customHeight="1" x14ac:dyDescent="0.15"/>
    <row r="40849" s="9" customFormat="1" ht="32.1" customHeight="1" x14ac:dyDescent="0.15"/>
    <row r="40850" s="9" customFormat="1" ht="21.95" customHeight="1" x14ac:dyDescent="0.15"/>
    <row r="40851" s="9" customFormat="1" ht="54" customHeight="1" x14ac:dyDescent="0.15"/>
    <row r="40852" s="9" customFormat="1" ht="21.95" customHeight="1" x14ac:dyDescent="0.15"/>
    <row r="40853" s="9" customFormat="1" ht="21.95" customHeight="1" x14ac:dyDescent="0.15"/>
    <row r="40854" s="9" customFormat="1" ht="21.95" customHeight="1" x14ac:dyDescent="0.15"/>
    <row r="40855" s="9" customFormat="1" ht="21.95" customHeight="1" x14ac:dyDescent="0.15"/>
    <row r="40856" s="9" customFormat="1" ht="21.95" customHeight="1" x14ac:dyDescent="0.15"/>
    <row r="40857" s="9" customFormat="1" ht="21.95" customHeight="1" x14ac:dyDescent="0.15"/>
    <row r="40858" s="9" customFormat="1" ht="21.95" customHeight="1" x14ac:dyDescent="0.15"/>
    <row r="40859" s="9" customFormat="1" ht="21.95" customHeight="1" x14ac:dyDescent="0.15"/>
    <row r="40860" s="9" customFormat="1" ht="21.95" customHeight="1" x14ac:dyDescent="0.15"/>
    <row r="40861" s="9" customFormat="1" ht="21.95" customHeight="1" x14ac:dyDescent="0.15"/>
    <row r="40862" s="9" customFormat="1" ht="21.95" customHeight="1" x14ac:dyDescent="0.15"/>
    <row r="40863" s="9" customFormat="1" ht="21.95" customHeight="1" x14ac:dyDescent="0.15"/>
    <row r="40864" s="9" customFormat="1" ht="21.95" customHeight="1" x14ac:dyDescent="0.15"/>
    <row r="40865" s="9" customFormat="1" ht="21.95" customHeight="1" x14ac:dyDescent="0.15"/>
    <row r="40866" s="9" customFormat="1" ht="21.95" customHeight="1" x14ac:dyDescent="0.15"/>
    <row r="40867" s="9" customFormat="1" ht="21.95" customHeight="1" x14ac:dyDescent="0.15"/>
    <row r="40868" s="9" customFormat="1" ht="21.95" customHeight="1" x14ac:dyDescent="0.15"/>
    <row r="40869" s="9" customFormat="1" ht="21.95" customHeight="1" x14ac:dyDescent="0.15"/>
    <row r="40870" s="9" customFormat="1" ht="21.95" customHeight="1" x14ac:dyDescent="0.15"/>
    <row r="40871" s="9" customFormat="1" ht="21.95" customHeight="1" x14ac:dyDescent="0.15"/>
    <row r="40872" s="9" customFormat="1" ht="21.95" customHeight="1" x14ac:dyDescent="0.15"/>
    <row r="40873" s="9" customFormat="1" ht="21.95" customHeight="1" x14ac:dyDescent="0.15"/>
    <row r="40874" s="9" customFormat="1" ht="21.95" customHeight="1" x14ac:dyDescent="0.15"/>
    <row r="40875" s="9" customFormat="1" ht="21.95" customHeight="1" x14ac:dyDescent="0.15"/>
    <row r="40876" s="9" customFormat="1" ht="21.95" customHeight="1" x14ac:dyDescent="0.15"/>
    <row r="40877" s="9" customFormat="1" ht="21.95" customHeight="1" x14ac:dyDescent="0.15"/>
    <row r="40878" s="9" customFormat="1" ht="21.95" customHeight="1" x14ac:dyDescent="0.15"/>
    <row r="40879" s="9" customFormat="1" ht="21.95" customHeight="1" x14ac:dyDescent="0.15"/>
    <row r="40880" s="9" customFormat="1" ht="21.95" customHeight="1" x14ac:dyDescent="0.15"/>
    <row r="40881" s="9" customFormat="1" ht="21.95" customHeight="1" x14ac:dyDescent="0.15"/>
    <row r="40882" s="9" customFormat="1" ht="21.95" customHeight="1" x14ac:dyDescent="0.15"/>
    <row r="40883" s="9" customFormat="1" ht="21.95" customHeight="1" x14ac:dyDescent="0.15"/>
    <row r="40884" s="9" customFormat="1" ht="21.95" customHeight="1" x14ac:dyDescent="0.15"/>
    <row r="40885" s="9" customFormat="1" ht="21.95" customHeight="1" x14ac:dyDescent="0.15"/>
    <row r="40886" s="9" customFormat="1" ht="21.95" customHeight="1" x14ac:dyDescent="0.15"/>
    <row r="40887" s="9" customFormat="1" ht="21.95" customHeight="1" x14ac:dyDescent="0.15"/>
    <row r="40888" s="9" customFormat="1" ht="21.95" customHeight="1" x14ac:dyDescent="0.15"/>
    <row r="40889" s="9" customFormat="1" ht="21.95" customHeight="1" x14ac:dyDescent="0.15"/>
    <row r="40890" s="9" customFormat="1" ht="21.95" customHeight="1" x14ac:dyDescent="0.15"/>
    <row r="40891" s="9" customFormat="1" ht="21.95" customHeight="1" x14ac:dyDescent="0.15"/>
    <row r="40892" s="9" customFormat="1" ht="21.95" customHeight="1" x14ac:dyDescent="0.15"/>
    <row r="40893" s="9" customFormat="1" ht="21.95" customHeight="1" x14ac:dyDescent="0.15"/>
    <row r="40894" s="9" customFormat="1" ht="21.95" customHeight="1" x14ac:dyDescent="0.15"/>
    <row r="40895" s="9" customFormat="1" ht="21.95" customHeight="1" x14ac:dyDescent="0.15"/>
    <row r="40896" s="9" customFormat="1" ht="21.95" customHeight="1" x14ac:dyDescent="0.15"/>
    <row r="40897" s="9" customFormat="1" ht="21.95" customHeight="1" x14ac:dyDescent="0.15"/>
    <row r="40898" s="9" customFormat="1" ht="21.95" customHeight="1" x14ac:dyDescent="0.15"/>
    <row r="40899" s="9" customFormat="1" ht="21.95" customHeight="1" x14ac:dyDescent="0.15"/>
    <row r="40900" s="9" customFormat="1" ht="21.95" customHeight="1" x14ac:dyDescent="0.15"/>
    <row r="40901" s="9" customFormat="1" ht="21.95" customHeight="1" x14ac:dyDescent="0.15"/>
    <row r="40902" s="9" customFormat="1" ht="35.1" customHeight="1" x14ac:dyDescent="0.15"/>
    <row r="40903" s="9" customFormat="1" ht="21.95" customHeight="1" x14ac:dyDescent="0.15"/>
    <row r="40904" s="9" customFormat="1" ht="21.95" customHeight="1" x14ac:dyDescent="0.15"/>
    <row r="40905" s="9" customFormat="1" ht="21.95" customHeight="1" x14ac:dyDescent="0.15"/>
    <row r="40906" s="9" customFormat="1" ht="21.95" customHeight="1" x14ac:dyDescent="0.15"/>
    <row r="40907" s="9" customFormat="1" ht="21.95" customHeight="1" x14ac:dyDescent="0.15"/>
    <row r="40908" s="9" customFormat="1" ht="21.95" customHeight="1" x14ac:dyDescent="0.15"/>
    <row r="40909" s="9" customFormat="1" ht="21.95" customHeight="1" x14ac:dyDescent="0.15"/>
    <row r="40910" s="9" customFormat="1" ht="21.95" customHeight="1" x14ac:dyDescent="0.15"/>
    <row r="40911" s="9" customFormat="1" ht="21.95" customHeight="1" x14ac:dyDescent="0.15"/>
    <row r="40912" s="9" customFormat="1" ht="21.95" customHeight="1" x14ac:dyDescent="0.15"/>
    <row r="40913" spans="3:3" s="9" customFormat="1" ht="21.95" customHeight="1" x14ac:dyDescent="0.15"/>
    <row r="40914" spans="3:3" s="9" customFormat="1" ht="21.95" customHeight="1" x14ac:dyDescent="0.15"/>
    <row r="40915" spans="3:3" s="9" customFormat="1" ht="21.95" customHeight="1" x14ac:dyDescent="0.15"/>
    <row r="40916" spans="3:3" s="9" customFormat="1" ht="21.95" customHeight="1" x14ac:dyDescent="0.15"/>
    <row r="40917" spans="3:3" s="9" customFormat="1" ht="21.95" customHeight="1" x14ac:dyDescent="0.15"/>
    <row r="40918" spans="3:3" s="9" customFormat="1" ht="21.95" customHeight="1" x14ac:dyDescent="0.15"/>
    <row r="40919" spans="3:3" s="9" customFormat="1" ht="21.95" customHeight="1" x14ac:dyDescent="0.15"/>
    <row r="40920" spans="3:3" s="9" customFormat="1" ht="21.95" customHeight="1" x14ac:dyDescent="0.15"/>
    <row r="40921" spans="3:3" s="9" customFormat="1" ht="21.95" customHeight="1" x14ac:dyDescent="0.15"/>
    <row r="40922" spans="3:3" s="9" customFormat="1" ht="21.95" customHeight="1" x14ac:dyDescent="0.15"/>
    <row r="40923" spans="3:3" s="9" customFormat="1" ht="21.95" customHeight="1" x14ac:dyDescent="0.15"/>
    <row r="40924" spans="3:3" s="9" customFormat="1" ht="21.95" customHeight="1" x14ac:dyDescent="0.15"/>
    <row r="40925" spans="3:3" s="9" customFormat="1" ht="21.95" customHeight="1" x14ac:dyDescent="0.15"/>
    <row r="40926" spans="3:3" s="8" customFormat="1" ht="21.95" customHeight="1" x14ac:dyDescent="0.15"/>
    <row r="40927" spans="3:3" s="8" customFormat="1" ht="21.95" customHeight="1" x14ac:dyDescent="0.15"/>
    <row r="40928" spans="3:3" s="8" customFormat="1" ht="21.95" customHeight="1" x14ac:dyDescent="0.15">
      <c r="C40928" s="101"/>
    </row>
    <row r="40929" spans="3:3" s="8" customFormat="1" ht="21.95" customHeight="1" x14ac:dyDescent="0.15">
      <c r="C40929" s="101"/>
    </row>
    <row r="40930" spans="3:3" s="8" customFormat="1" ht="21.95" customHeight="1" x14ac:dyDescent="0.15"/>
    <row r="40931" spans="3:3" s="8" customFormat="1" ht="21.95" customHeight="1" x14ac:dyDescent="0.15"/>
    <row r="40932" spans="3:3" s="8" customFormat="1" ht="21.95" customHeight="1" x14ac:dyDescent="0.15"/>
    <row r="40933" spans="3:3" s="8" customFormat="1" ht="21.95" customHeight="1" x14ac:dyDescent="0.15"/>
    <row r="40934" spans="3:3" s="8" customFormat="1" ht="21.95" customHeight="1" x14ac:dyDescent="0.15"/>
    <row r="40935" spans="3:3" s="8" customFormat="1" ht="21.95" customHeight="1" x14ac:dyDescent="0.15"/>
    <row r="40936" spans="3:3" s="8" customFormat="1" ht="21.95" customHeight="1" x14ac:dyDescent="0.15"/>
    <row r="40937" spans="3:3" s="9" customFormat="1" ht="21.95" customHeight="1" x14ac:dyDescent="0.15"/>
    <row r="40938" spans="3:3" s="9" customFormat="1" ht="21.95" customHeight="1" x14ac:dyDescent="0.15"/>
    <row r="40939" spans="3:3" s="9" customFormat="1" ht="21.95" customHeight="1" x14ac:dyDescent="0.15"/>
    <row r="40940" spans="3:3" s="9" customFormat="1" ht="21.95" customHeight="1" x14ac:dyDescent="0.15"/>
    <row r="40941" spans="3:3" s="8" customFormat="1" ht="21.95" customHeight="1" x14ac:dyDescent="0.15"/>
    <row r="40942" spans="3:3" s="8" customFormat="1" ht="21.95" customHeight="1" x14ac:dyDescent="0.15"/>
    <row r="40943" spans="3:3" s="8" customFormat="1" ht="21.95" customHeight="1" x14ac:dyDescent="0.15"/>
    <row r="40944" spans="3:3" s="8" customFormat="1" ht="21.95" customHeight="1" x14ac:dyDescent="0.15"/>
    <row r="40945" s="8" customFormat="1" ht="21.95" customHeight="1" x14ac:dyDescent="0.15"/>
    <row r="40946" s="8" customFormat="1" ht="21.95" customHeight="1" x14ac:dyDescent="0.15"/>
    <row r="40947" s="8" customFormat="1" ht="21.95" customHeight="1" x14ac:dyDescent="0.15"/>
    <row r="40948" s="8" customFormat="1" ht="21.95" customHeight="1" x14ac:dyDescent="0.15"/>
    <row r="40949" s="8" customFormat="1" ht="21.95" customHeight="1" x14ac:dyDescent="0.15"/>
    <row r="40950" s="8" customFormat="1" ht="21.95" customHeight="1" x14ac:dyDescent="0.15"/>
    <row r="40951" s="8" customFormat="1" ht="21.95" customHeight="1" x14ac:dyDescent="0.15"/>
    <row r="40952" s="8" customFormat="1" ht="32.1" customHeight="1" x14ac:dyDescent="0.15"/>
    <row r="40953" s="8" customFormat="1" ht="32.1" customHeight="1" x14ac:dyDescent="0.15"/>
    <row r="40954" s="8" customFormat="1" ht="32.1" customHeight="1" x14ac:dyDescent="0.15"/>
    <row r="40955" s="8" customFormat="1" ht="32.1" customHeight="1" x14ac:dyDescent="0.15"/>
    <row r="40956" s="8" customFormat="1" ht="32.1" customHeight="1" x14ac:dyDescent="0.15"/>
    <row r="40957" s="8" customFormat="1" ht="32.1" customHeight="1" x14ac:dyDescent="0.15"/>
    <row r="40958" s="9" customFormat="1" ht="32.1" customHeight="1" x14ac:dyDescent="0.15"/>
    <row r="40959" s="9" customFormat="1" ht="32.1" customHeight="1" x14ac:dyDescent="0.15"/>
    <row r="40960" s="9" customFormat="1" ht="32.1" customHeight="1" x14ac:dyDescent="0.15"/>
    <row r="40961" s="9" customFormat="1" ht="32.1" customHeight="1" x14ac:dyDescent="0.15"/>
    <row r="40962" s="9" customFormat="1" ht="21.95" customHeight="1" x14ac:dyDescent="0.15"/>
    <row r="40963" s="9" customFormat="1" ht="54" customHeight="1" x14ac:dyDescent="0.15"/>
    <row r="40964" s="9" customFormat="1" ht="21.95" customHeight="1" x14ac:dyDescent="0.15"/>
    <row r="40965" s="9" customFormat="1" ht="21.95" customHeight="1" x14ac:dyDescent="0.15"/>
    <row r="40966" s="9" customFormat="1" ht="21.95" customHeight="1" x14ac:dyDescent="0.15"/>
    <row r="40967" s="9" customFormat="1" ht="21.95" customHeight="1" x14ac:dyDescent="0.15"/>
    <row r="40968" s="9" customFormat="1" ht="21.95" customHeight="1" x14ac:dyDescent="0.15"/>
    <row r="40969" s="9" customFormat="1" ht="21.95" customHeight="1" x14ac:dyDescent="0.15"/>
    <row r="40970" s="9" customFormat="1" ht="21.95" customHeight="1" x14ac:dyDescent="0.15"/>
    <row r="40971" s="9" customFormat="1" ht="21.95" customHeight="1" x14ac:dyDescent="0.15"/>
    <row r="40972" s="9" customFormat="1" ht="21.95" customHeight="1" x14ac:dyDescent="0.15"/>
    <row r="40973" s="9" customFormat="1" ht="21.95" customHeight="1" x14ac:dyDescent="0.15"/>
    <row r="40974" s="9" customFormat="1" ht="21.95" customHeight="1" x14ac:dyDescent="0.15"/>
    <row r="40975" s="9" customFormat="1" ht="21.95" customHeight="1" x14ac:dyDescent="0.15"/>
    <row r="40976" s="9" customFormat="1" ht="21.95" customHeight="1" x14ac:dyDescent="0.15"/>
    <row r="40977" s="9" customFormat="1" ht="21.95" customHeight="1" x14ac:dyDescent="0.15"/>
    <row r="40978" s="9" customFormat="1" ht="21.95" customHeight="1" x14ac:dyDescent="0.15"/>
    <row r="40979" s="9" customFormat="1" ht="21.95" customHeight="1" x14ac:dyDescent="0.15"/>
    <row r="40980" s="9" customFormat="1" ht="21.95" customHeight="1" x14ac:dyDescent="0.15"/>
    <row r="40981" s="9" customFormat="1" ht="21.95" customHeight="1" x14ac:dyDescent="0.15"/>
    <row r="40982" s="9" customFormat="1" ht="21.95" customHeight="1" x14ac:dyDescent="0.15"/>
    <row r="40983" s="9" customFormat="1" ht="21.95" customHeight="1" x14ac:dyDescent="0.15"/>
    <row r="40984" s="9" customFormat="1" ht="21.95" customHeight="1" x14ac:dyDescent="0.15"/>
    <row r="40985" s="9" customFormat="1" ht="21.95" customHeight="1" x14ac:dyDescent="0.15"/>
    <row r="40986" s="9" customFormat="1" ht="21.95" customHeight="1" x14ac:dyDescent="0.15"/>
    <row r="40987" s="9" customFormat="1" ht="21.95" customHeight="1" x14ac:dyDescent="0.15"/>
    <row r="40988" s="9" customFormat="1" ht="21.95" customHeight="1" x14ac:dyDescent="0.15"/>
    <row r="40989" s="9" customFormat="1" ht="21.95" customHeight="1" x14ac:dyDescent="0.15"/>
    <row r="40990" s="9" customFormat="1" ht="21.95" customHeight="1" x14ac:dyDescent="0.15"/>
    <row r="40991" s="9" customFormat="1" ht="21.95" customHeight="1" x14ac:dyDescent="0.15"/>
    <row r="40992" s="9" customFormat="1" ht="21.95" customHeight="1" x14ac:dyDescent="0.15"/>
    <row r="40993" s="9" customFormat="1" ht="21.95" customHeight="1" x14ac:dyDescent="0.15"/>
    <row r="40994" s="9" customFormat="1" ht="21.95" customHeight="1" x14ac:dyDescent="0.15"/>
    <row r="40995" s="9" customFormat="1" ht="21.95" customHeight="1" x14ac:dyDescent="0.15"/>
    <row r="40996" s="9" customFormat="1" ht="21.95" customHeight="1" x14ac:dyDescent="0.15"/>
    <row r="40997" s="9" customFormat="1" ht="21.95" customHeight="1" x14ac:dyDescent="0.15"/>
    <row r="40998" s="9" customFormat="1" ht="21.95" customHeight="1" x14ac:dyDescent="0.15"/>
    <row r="40999" s="9" customFormat="1" ht="21.95" customHeight="1" x14ac:dyDescent="0.15"/>
    <row r="41000" s="9" customFormat="1" ht="21.95" customHeight="1" x14ac:dyDescent="0.15"/>
    <row r="41001" s="9" customFormat="1" ht="21.95" customHeight="1" x14ac:dyDescent="0.15"/>
    <row r="41002" s="9" customFormat="1" ht="21.95" customHeight="1" x14ac:dyDescent="0.15"/>
    <row r="41003" s="9" customFormat="1" ht="21.95" customHeight="1" x14ac:dyDescent="0.15"/>
    <row r="41004" s="9" customFormat="1" ht="21.95" customHeight="1" x14ac:dyDescent="0.15"/>
    <row r="41005" s="9" customFormat="1" ht="21.95" customHeight="1" x14ac:dyDescent="0.15"/>
    <row r="41006" s="9" customFormat="1" ht="21.95" customHeight="1" x14ac:dyDescent="0.15"/>
    <row r="41007" s="9" customFormat="1" ht="21.95" customHeight="1" x14ac:dyDescent="0.15"/>
    <row r="41008" s="9" customFormat="1" ht="21.95" customHeight="1" x14ac:dyDescent="0.15"/>
    <row r="41009" s="9" customFormat="1" ht="21.95" customHeight="1" x14ac:dyDescent="0.15"/>
    <row r="41010" s="9" customFormat="1" ht="21.95" customHeight="1" x14ac:dyDescent="0.15"/>
    <row r="41011" s="9" customFormat="1" ht="21.95" customHeight="1" x14ac:dyDescent="0.15"/>
    <row r="41012" s="9" customFormat="1" ht="21.95" customHeight="1" x14ac:dyDescent="0.15"/>
    <row r="41013" s="9" customFormat="1" ht="21.95" customHeight="1" x14ac:dyDescent="0.15"/>
    <row r="41014" s="9" customFormat="1" ht="35.1" customHeight="1" x14ac:dyDescent="0.15"/>
    <row r="41015" s="9" customFormat="1" ht="21.95" customHeight="1" x14ac:dyDescent="0.15"/>
    <row r="41016" s="9" customFormat="1" ht="21.95" customHeight="1" x14ac:dyDescent="0.15"/>
    <row r="41017" s="9" customFormat="1" ht="21.95" customHeight="1" x14ac:dyDescent="0.15"/>
    <row r="41018" s="9" customFormat="1" ht="21.95" customHeight="1" x14ac:dyDescent="0.15"/>
    <row r="41019" s="9" customFormat="1" ht="21.95" customHeight="1" x14ac:dyDescent="0.15"/>
    <row r="41020" s="9" customFormat="1" ht="21.95" customHeight="1" x14ac:dyDescent="0.15"/>
    <row r="41021" s="9" customFormat="1" ht="21.95" customHeight="1" x14ac:dyDescent="0.15"/>
    <row r="41022" s="9" customFormat="1" ht="21.95" customHeight="1" x14ac:dyDescent="0.15"/>
    <row r="41023" s="9" customFormat="1" ht="21.95" customHeight="1" x14ac:dyDescent="0.15"/>
    <row r="41024" s="9" customFormat="1" ht="21.95" customHeight="1" x14ac:dyDescent="0.15"/>
    <row r="41025" spans="3:3" s="9" customFormat="1" ht="21.95" customHeight="1" x14ac:dyDescent="0.15"/>
    <row r="41026" spans="3:3" s="9" customFormat="1" ht="21.95" customHeight="1" x14ac:dyDescent="0.15"/>
    <row r="41027" spans="3:3" s="9" customFormat="1" ht="21.95" customHeight="1" x14ac:dyDescent="0.15"/>
    <row r="41028" spans="3:3" s="9" customFormat="1" ht="21.95" customHeight="1" x14ac:dyDescent="0.15"/>
    <row r="41029" spans="3:3" s="9" customFormat="1" ht="21.95" customHeight="1" x14ac:dyDescent="0.15"/>
    <row r="41030" spans="3:3" s="9" customFormat="1" ht="21.95" customHeight="1" x14ac:dyDescent="0.15"/>
    <row r="41031" spans="3:3" s="9" customFormat="1" ht="21.95" customHeight="1" x14ac:dyDescent="0.15"/>
    <row r="41032" spans="3:3" s="9" customFormat="1" ht="21.95" customHeight="1" x14ac:dyDescent="0.15"/>
    <row r="41033" spans="3:3" s="9" customFormat="1" ht="21.95" customHeight="1" x14ac:dyDescent="0.15"/>
    <row r="41034" spans="3:3" s="9" customFormat="1" ht="21.95" customHeight="1" x14ac:dyDescent="0.15"/>
    <row r="41035" spans="3:3" s="9" customFormat="1" ht="21.95" customHeight="1" x14ac:dyDescent="0.15"/>
    <row r="41036" spans="3:3" s="9" customFormat="1" ht="21.95" customHeight="1" x14ac:dyDescent="0.15"/>
    <row r="41037" spans="3:3" s="9" customFormat="1" ht="21.95" customHeight="1" x14ac:dyDescent="0.15"/>
    <row r="41038" spans="3:3" s="8" customFormat="1" ht="21.95" customHeight="1" x14ac:dyDescent="0.15"/>
    <row r="41039" spans="3:3" s="8" customFormat="1" ht="21.95" customHeight="1" x14ac:dyDescent="0.15"/>
    <row r="41040" spans="3:3" s="8" customFormat="1" ht="21.95" customHeight="1" x14ac:dyDescent="0.15">
      <c r="C41040" s="101"/>
    </row>
    <row r="41041" spans="3:3" s="8" customFormat="1" ht="21.95" customHeight="1" x14ac:dyDescent="0.15">
      <c r="C41041" s="101"/>
    </row>
    <row r="41042" spans="3:3" s="8" customFormat="1" ht="21.95" customHeight="1" x14ac:dyDescent="0.15"/>
    <row r="41043" spans="3:3" s="8" customFormat="1" ht="21.95" customHeight="1" x14ac:dyDescent="0.15"/>
    <row r="41044" spans="3:3" s="8" customFormat="1" ht="21.95" customHeight="1" x14ac:dyDescent="0.15"/>
    <row r="41045" spans="3:3" s="8" customFormat="1" ht="21.95" customHeight="1" x14ac:dyDescent="0.15"/>
    <row r="41046" spans="3:3" s="8" customFormat="1" ht="21.95" customHeight="1" x14ac:dyDescent="0.15"/>
    <row r="41047" spans="3:3" s="8" customFormat="1" ht="21.95" customHeight="1" x14ac:dyDescent="0.15"/>
    <row r="41048" spans="3:3" s="8" customFormat="1" ht="21.95" customHeight="1" x14ac:dyDescent="0.15"/>
    <row r="41049" spans="3:3" s="9" customFormat="1" ht="21.95" customHeight="1" x14ac:dyDescent="0.15"/>
    <row r="41050" spans="3:3" s="9" customFormat="1" ht="21.95" customHeight="1" x14ac:dyDescent="0.15"/>
    <row r="41051" spans="3:3" s="9" customFormat="1" ht="21.95" customHeight="1" x14ac:dyDescent="0.15"/>
    <row r="41052" spans="3:3" s="9" customFormat="1" ht="21.95" customHeight="1" x14ac:dyDescent="0.15"/>
    <row r="41053" spans="3:3" s="8" customFormat="1" ht="21.95" customHeight="1" x14ac:dyDescent="0.15"/>
    <row r="41054" spans="3:3" s="8" customFormat="1" ht="21.95" customHeight="1" x14ac:dyDescent="0.15"/>
    <row r="41055" spans="3:3" s="8" customFormat="1" ht="21.95" customHeight="1" x14ac:dyDescent="0.15"/>
    <row r="41056" spans="3:3" s="8" customFormat="1" ht="21.95" customHeight="1" x14ac:dyDescent="0.15"/>
    <row r="41057" s="8" customFormat="1" ht="21.95" customHeight="1" x14ac:dyDescent="0.15"/>
    <row r="41058" s="8" customFormat="1" ht="21.95" customHeight="1" x14ac:dyDescent="0.15"/>
    <row r="41059" s="8" customFormat="1" ht="21.95" customHeight="1" x14ac:dyDescent="0.15"/>
    <row r="41060" s="8" customFormat="1" ht="21.95" customHeight="1" x14ac:dyDescent="0.15"/>
    <row r="41061" s="8" customFormat="1" ht="21.95" customHeight="1" x14ac:dyDescent="0.15"/>
    <row r="41062" s="8" customFormat="1" ht="21.95" customHeight="1" x14ac:dyDescent="0.15"/>
    <row r="41063" s="8" customFormat="1" ht="21.95" customHeight="1" x14ac:dyDescent="0.15"/>
    <row r="41064" s="8" customFormat="1" ht="32.1" customHeight="1" x14ac:dyDescent="0.15"/>
    <row r="41065" s="8" customFormat="1" ht="32.1" customHeight="1" x14ac:dyDescent="0.15"/>
    <row r="41066" s="8" customFormat="1" ht="32.1" customHeight="1" x14ac:dyDescent="0.15"/>
    <row r="41067" s="8" customFormat="1" ht="32.1" customHeight="1" x14ac:dyDescent="0.15"/>
    <row r="41068" s="8" customFormat="1" ht="32.1" customHeight="1" x14ac:dyDescent="0.15"/>
    <row r="41069" s="8" customFormat="1" ht="32.1" customHeight="1" x14ac:dyDescent="0.15"/>
    <row r="41070" s="9" customFormat="1" ht="32.1" customHeight="1" x14ac:dyDescent="0.15"/>
    <row r="41071" s="9" customFormat="1" ht="32.1" customHeight="1" x14ac:dyDescent="0.15"/>
    <row r="41072" s="9" customFormat="1" ht="32.1" customHeight="1" x14ac:dyDescent="0.15"/>
    <row r="41073" s="9" customFormat="1" ht="32.1" customHeight="1" x14ac:dyDescent="0.15"/>
    <row r="41074" s="9" customFormat="1" ht="21.95" customHeight="1" x14ac:dyDescent="0.15"/>
    <row r="41075" s="9" customFormat="1" ht="54" customHeight="1" x14ac:dyDescent="0.15"/>
    <row r="41076" s="9" customFormat="1" ht="21.95" customHeight="1" x14ac:dyDescent="0.15"/>
    <row r="41077" s="9" customFormat="1" ht="21.95" customHeight="1" x14ac:dyDescent="0.15"/>
    <row r="41078" s="9" customFormat="1" ht="21.95" customHeight="1" x14ac:dyDescent="0.15"/>
    <row r="41079" s="9" customFormat="1" ht="21.95" customHeight="1" x14ac:dyDescent="0.15"/>
    <row r="41080" s="9" customFormat="1" ht="21.95" customHeight="1" x14ac:dyDescent="0.15"/>
    <row r="41081" s="9" customFormat="1" ht="21.95" customHeight="1" x14ac:dyDescent="0.15"/>
    <row r="41082" s="9" customFormat="1" ht="21.95" customHeight="1" x14ac:dyDescent="0.15"/>
    <row r="41083" s="9" customFormat="1" ht="21.95" customHeight="1" x14ac:dyDescent="0.15"/>
    <row r="41084" s="9" customFormat="1" ht="21.95" customHeight="1" x14ac:dyDescent="0.15"/>
    <row r="41085" s="9" customFormat="1" ht="21.95" customHeight="1" x14ac:dyDescent="0.15"/>
    <row r="41086" s="9" customFormat="1" ht="21.95" customHeight="1" x14ac:dyDescent="0.15"/>
    <row r="41087" s="9" customFormat="1" ht="21.95" customHeight="1" x14ac:dyDescent="0.15"/>
    <row r="41088" s="9" customFormat="1" ht="21.95" customHeight="1" x14ac:dyDescent="0.15"/>
    <row r="41089" s="9" customFormat="1" ht="21.95" customHeight="1" x14ac:dyDescent="0.15"/>
    <row r="41090" s="9" customFormat="1" ht="21.95" customHeight="1" x14ac:dyDescent="0.15"/>
    <row r="41091" s="9" customFormat="1" ht="21.95" customHeight="1" x14ac:dyDescent="0.15"/>
    <row r="41092" s="9" customFormat="1" ht="21.95" customHeight="1" x14ac:dyDescent="0.15"/>
    <row r="41093" s="9" customFormat="1" ht="21.95" customHeight="1" x14ac:dyDescent="0.15"/>
    <row r="41094" s="9" customFormat="1" ht="21.95" customHeight="1" x14ac:dyDescent="0.15"/>
    <row r="41095" s="9" customFormat="1" ht="21.95" customHeight="1" x14ac:dyDescent="0.15"/>
    <row r="41096" s="9" customFormat="1" ht="21.95" customHeight="1" x14ac:dyDescent="0.15"/>
    <row r="41097" s="9" customFormat="1" ht="21.95" customHeight="1" x14ac:dyDescent="0.15"/>
    <row r="41098" s="9" customFormat="1" ht="21.95" customHeight="1" x14ac:dyDescent="0.15"/>
    <row r="41099" s="9" customFormat="1" ht="21.95" customHeight="1" x14ac:dyDescent="0.15"/>
    <row r="41100" s="9" customFormat="1" ht="21.95" customHeight="1" x14ac:dyDescent="0.15"/>
    <row r="41101" s="9" customFormat="1" ht="21.95" customHeight="1" x14ac:dyDescent="0.15"/>
    <row r="41102" s="9" customFormat="1" ht="21.95" customHeight="1" x14ac:dyDescent="0.15"/>
    <row r="41103" s="9" customFormat="1" ht="21.95" customHeight="1" x14ac:dyDescent="0.15"/>
    <row r="41104" s="9" customFormat="1" ht="21.95" customHeight="1" x14ac:dyDescent="0.15"/>
    <row r="41105" s="9" customFormat="1" ht="21.95" customHeight="1" x14ac:dyDescent="0.15"/>
    <row r="41106" s="9" customFormat="1" ht="21.95" customHeight="1" x14ac:dyDescent="0.15"/>
    <row r="41107" s="9" customFormat="1" ht="21.95" customHeight="1" x14ac:dyDescent="0.15"/>
    <row r="41108" s="9" customFormat="1" ht="21.95" customHeight="1" x14ac:dyDescent="0.15"/>
    <row r="41109" s="9" customFormat="1" ht="21.95" customHeight="1" x14ac:dyDescent="0.15"/>
    <row r="41110" s="9" customFormat="1" ht="21.95" customHeight="1" x14ac:dyDescent="0.15"/>
    <row r="41111" s="9" customFormat="1" ht="21.95" customHeight="1" x14ac:dyDescent="0.15"/>
    <row r="41112" s="9" customFormat="1" ht="21.95" customHeight="1" x14ac:dyDescent="0.15"/>
    <row r="41113" s="9" customFormat="1" ht="21.95" customHeight="1" x14ac:dyDescent="0.15"/>
    <row r="41114" s="9" customFormat="1" ht="21.95" customHeight="1" x14ac:dyDescent="0.15"/>
    <row r="41115" s="9" customFormat="1" ht="21.95" customHeight="1" x14ac:dyDescent="0.15"/>
    <row r="41116" s="9" customFormat="1" ht="21.95" customHeight="1" x14ac:dyDescent="0.15"/>
    <row r="41117" s="9" customFormat="1" ht="21.95" customHeight="1" x14ac:dyDescent="0.15"/>
    <row r="41118" s="9" customFormat="1" ht="21.95" customHeight="1" x14ac:dyDescent="0.15"/>
    <row r="41119" s="9" customFormat="1" ht="21.95" customHeight="1" x14ac:dyDescent="0.15"/>
    <row r="41120" s="9" customFormat="1" ht="21.95" customHeight="1" x14ac:dyDescent="0.15"/>
    <row r="41121" s="9" customFormat="1" ht="21.95" customHeight="1" x14ac:dyDescent="0.15"/>
    <row r="41122" s="9" customFormat="1" ht="21.95" customHeight="1" x14ac:dyDescent="0.15"/>
    <row r="41123" s="9" customFormat="1" ht="21.95" customHeight="1" x14ac:dyDescent="0.15"/>
    <row r="41124" s="9" customFormat="1" ht="21.95" customHeight="1" x14ac:dyDescent="0.15"/>
    <row r="41125" s="9" customFormat="1" ht="21.95" customHeight="1" x14ac:dyDescent="0.15"/>
    <row r="41126" s="9" customFormat="1" ht="35.1" customHeight="1" x14ac:dyDescent="0.15"/>
    <row r="41127" s="9" customFormat="1" ht="21.95" customHeight="1" x14ac:dyDescent="0.15"/>
    <row r="41128" s="9" customFormat="1" ht="21.95" customHeight="1" x14ac:dyDescent="0.15"/>
    <row r="41129" s="9" customFormat="1" ht="21.95" customHeight="1" x14ac:dyDescent="0.15"/>
    <row r="41130" s="9" customFormat="1" ht="21.95" customHeight="1" x14ac:dyDescent="0.15"/>
    <row r="41131" s="9" customFormat="1" ht="21.95" customHeight="1" x14ac:dyDescent="0.15"/>
    <row r="41132" s="9" customFormat="1" ht="21.95" customHeight="1" x14ac:dyDescent="0.15"/>
    <row r="41133" s="9" customFormat="1" ht="21.95" customHeight="1" x14ac:dyDescent="0.15"/>
    <row r="41134" s="9" customFormat="1" ht="21.95" customHeight="1" x14ac:dyDescent="0.15"/>
    <row r="41135" s="9" customFormat="1" ht="21.95" customHeight="1" x14ac:dyDescent="0.15"/>
    <row r="41136" s="9" customFormat="1" ht="21.95" customHeight="1" x14ac:dyDescent="0.15"/>
    <row r="41137" spans="3:3" s="9" customFormat="1" ht="21.95" customHeight="1" x14ac:dyDescent="0.15"/>
    <row r="41138" spans="3:3" s="9" customFormat="1" ht="21.95" customHeight="1" x14ac:dyDescent="0.15"/>
    <row r="41139" spans="3:3" s="9" customFormat="1" ht="21.95" customHeight="1" x14ac:dyDescent="0.15"/>
    <row r="41140" spans="3:3" s="9" customFormat="1" ht="21.95" customHeight="1" x14ac:dyDescent="0.15"/>
    <row r="41141" spans="3:3" s="9" customFormat="1" ht="21.95" customHeight="1" x14ac:dyDescent="0.15"/>
    <row r="41142" spans="3:3" s="9" customFormat="1" ht="21.95" customHeight="1" x14ac:dyDescent="0.15"/>
    <row r="41143" spans="3:3" s="9" customFormat="1" ht="21.95" customHeight="1" x14ac:dyDescent="0.15"/>
    <row r="41144" spans="3:3" s="9" customFormat="1" ht="21.95" customHeight="1" x14ac:dyDescent="0.15"/>
    <row r="41145" spans="3:3" s="9" customFormat="1" ht="21.95" customHeight="1" x14ac:dyDescent="0.15"/>
    <row r="41146" spans="3:3" s="9" customFormat="1" ht="21.95" customHeight="1" x14ac:dyDescent="0.15"/>
    <row r="41147" spans="3:3" s="9" customFormat="1" ht="21.95" customHeight="1" x14ac:dyDescent="0.15"/>
    <row r="41148" spans="3:3" s="9" customFormat="1" ht="21.95" customHeight="1" x14ac:dyDescent="0.15"/>
    <row r="41149" spans="3:3" s="9" customFormat="1" ht="21.95" customHeight="1" x14ac:dyDescent="0.15"/>
    <row r="41150" spans="3:3" s="8" customFormat="1" ht="21.95" customHeight="1" x14ac:dyDescent="0.15"/>
    <row r="41151" spans="3:3" s="8" customFormat="1" ht="21.95" customHeight="1" x14ac:dyDescent="0.15"/>
    <row r="41152" spans="3:3" s="8" customFormat="1" ht="21.95" customHeight="1" x14ac:dyDescent="0.15">
      <c r="C41152" s="101"/>
    </row>
    <row r="41153" spans="3:3" s="8" customFormat="1" ht="21.95" customHeight="1" x14ac:dyDescent="0.15">
      <c r="C41153" s="101"/>
    </row>
    <row r="41154" spans="3:3" s="8" customFormat="1" ht="21.95" customHeight="1" x14ac:dyDescent="0.15"/>
    <row r="41155" spans="3:3" s="8" customFormat="1" ht="21.95" customHeight="1" x14ac:dyDescent="0.15"/>
    <row r="41156" spans="3:3" s="8" customFormat="1" ht="21.95" customHeight="1" x14ac:dyDescent="0.15"/>
    <row r="41157" spans="3:3" s="8" customFormat="1" ht="21.95" customHeight="1" x14ac:dyDescent="0.15"/>
    <row r="41158" spans="3:3" s="8" customFormat="1" ht="21.95" customHeight="1" x14ac:dyDescent="0.15"/>
    <row r="41159" spans="3:3" s="8" customFormat="1" ht="21.95" customHeight="1" x14ac:dyDescent="0.15"/>
    <row r="41160" spans="3:3" s="8" customFormat="1" ht="21.95" customHeight="1" x14ac:dyDescent="0.15"/>
    <row r="41161" spans="3:3" s="9" customFormat="1" ht="21.95" customHeight="1" x14ac:dyDescent="0.15"/>
    <row r="41162" spans="3:3" s="9" customFormat="1" ht="21.95" customHeight="1" x14ac:dyDescent="0.15"/>
    <row r="41163" spans="3:3" s="9" customFormat="1" ht="21.95" customHeight="1" x14ac:dyDescent="0.15"/>
    <row r="41164" spans="3:3" s="9" customFormat="1" ht="21.95" customHeight="1" x14ac:dyDescent="0.15"/>
    <row r="41165" spans="3:3" s="8" customFormat="1" ht="21.95" customHeight="1" x14ac:dyDescent="0.15"/>
    <row r="41166" spans="3:3" s="8" customFormat="1" ht="21.95" customHeight="1" x14ac:dyDescent="0.15"/>
    <row r="41167" spans="3:3" s="8" customFormat="1" ht="21.95" customHeight="1" x14ac:dyDescent="0.15"/>
    <row r="41168" spans="3:3" s="8" customFormat="1" ht="21.95" customHeight="1" x14ac:dyDescent="0.15"/>
    <row r="41169" s="8" customFormat="1" ht="21.95" customHeight="1" x14ac:dyDescent="0.15"/>
    <row r="41170" s="8" customFormat="1" ht="21.95" customHeight="1" x14ac:dyDescent="0.15"/>
    <row r="41171" s="8" customFormat="1" ht="21.95" customHeight="1" x14ac:dyDescent="0.15"/>
    <row r="41172" s="8" customFormat="1" ht="21.95" customHeight="1" x14ac:dyDescent="0.15"/>
    <row r="41173" s="8" customFormat="1" ht="21.95" customHeight="1" x14ac:dyDescent="0.15"/>
    <row r="41174" s="8" customFormat="1" ht="21.95" customHeight="1" x14ac:dyDescent="0.15"/>
    <row r="41175" s="8" customFormat="1" ht="21.95" customHeight="1" x14ac:dyDescent="0.15"/>
    <row r="41176" s="8" customFormat="1" ht="32.1" customHeight="1" x14ac:dyDescent="0.15"/>
    <row r="41177" s="8" customFormat="1" ht="32.1" customHeight="1" x14ac:dyDescent="0.15"/>
    <row r="41178" s="8" customFormat="1" ht="32.1" customHeight="1" x14ac:dyDescent="0.15"/>
    <row r="41179" s="8" customFormat="1" ht="32.1" customHeight="1" x14ac:dyDescent="0.15"/>
    <row r="41180" s="8" customFormat="1" ht="32.1" customHeight="1" x14ac:dyDescent="0.15"/>
    <row r="41181" s="8" customFormat="1" ht="32.1" customHeight="1" x14ac:dyDescent="0.15"/>
    <row r="41182" s="9" customFormat="1" ht="32.1" customHeight="1" x14ac:dyDescent="0.15"/>
    <row r="41183" s="9" customFormat="1" ht="32.1" customHeight="1" x14ac:dyDescent="0.15"/>
    <row r="41184" s="9" customFormat="1" ht="32.1" customHeight="1" x14ac:dyDescent="0.15"/>
    <row r="41185" s="9" customFormat="1" ht="32.1" customHeight="1" x14ac:dyDescent="0.15"/>
    <row r="41186" s="9" customFormat="1" ht="21.95" customHeight="1" x14ac:dyDescent="0.15"/>
    <row r="41187" s="9" customFormat="1" ht="54" customHeight="1" x14ac:dyDescent="0.15"/>
    <row r="41188" s="9" customFormat="1" ht="21.95" customHeight="1" x14ac:dyDescent="0.15"/>
    <row r="41189" s="9" customFormat="1" ht="21.95" customHeight="1" x14ac:dyDescent="0.15"/>
    <row r="41190" s="9" customFormat="1" ht="21.95" customHeight="1" x14ac:dyDescent="0.15"/>
    <row r="41191" s="9" customFormat="1" ht="21.95" customHeight="1" x14ac:dyDescent="0.15"/>
    <row r="41192" s="9" customFormat="1" ht="21.95" customHeight="1" x14ac:dyDescent="0.15"/>
    <row r="41193" s="9" customFormat="1" ht="21.95" customHeight="1" x14ac:dyDescent="0.15"/>
    <row r="41194" s="9" customFormat="1" ht="21.95" customHeight="1" x14ac:dyDescent="0.15"/>
    <row r="41195" s="9" customFormat="1" ht="21.95" customHeight="1" x14ac:dyDescent="0.15"/>
    <row r="41196" s="9" customFormat="1" ht="21.95" customHeight="1" x14ac:dyDescent="0.15"/>
    <row r="41197" s="9" customFormat="1" ht="21.95" customHeight="1" x14ac:dyDescent="0.15"/>
    <row r="41198" s="9" customFormat="1" ht="21.95" customHeight="1" x14ac:dyDescent="0.15"/>
    <row r="41199" s="9" customFormat="1" ht="21.95" customHeight="1" x14ac:dyDescent="0.15"/>
    <row r="41200" s="9" customFormat="1" ht="21.95" customHeight="1" x14ac:dyDescent="0.15"/>
    <row r="41201" s="9" customFormat="1" ht="21.95" customHeight="1" x14ac:dyDescent="0.15"/>
    <row r="41202" s="9" customFormat="1" ht="21.95" customHeight="1" x14ac:dyDescent="0.15"/>
    <row r="41203" s="9" customFormat="1" ht="21.95" customHeight="1" x14ac:dyDescent="0.15"/>
    <row r="41204" s="9" customFormat="1" ht="21.95" customHeight="1" x14ac:dyDescent="0.15"/>
    <row r="41205" s="9" customFormat="1" ht="21.95" customHeight="1" x14ac:dyDescent="0.15"/>
    <row r="41206" s="9" customFormat="1" ht="21.95" customHeight="1" x14ac:dyDescent="0.15"/>
    <row r="41207" s="9" customFormat="1" ht="21.95" customHeight="1" x14ac:dyDescent="0.15"/>
    <row r="41208" s="9" customFormat="1" ht="21.95" customHeight="1" x14ac:dyDescent="0.15"/>
    <row r="41209" s="9" customFormat="1" ht="21.95" customHeight="1" x14ac:dyDescent="0.15"/>
    <row r="41210" s="9" customFormat="1" ht="21.95" customHeight="1" x14ac:dyDescent="0.15"/>
    <row r="41211" s="9" customFormat="1" ht="21.95" customHeight="1" x14ac:dyDescent="0.15"/>
    <row r="41212" s="9" customFormat="1" ht="21.95" customHeight="1" x14ac:dyDescent="0.15"/>
    <row r="41213" s="9" customFormat="1" ht="21.95" customHeight="1" x14ac:dyDescent="0.15"/>
    <row r="41214" s="9" customFormat="1" ht="21.95" customHeight="1" x14ac:dyDescent="0.15"/>
    <row r="41215" s="9" customFormat="1" ht="21.95" customHeight="1" x14ac:dyDescent="0.15"/>
    <row r="41216" s="9" customFormat="1" ht="21.95" customHeight="1" x14ac:dyDescent="0.15"/>
    <row r="41217" s="9" customFormat="1" ht="21.95" customHeight="1" x14ac:dyDescent="0.15"/>
    <row r="41218" s="9" customFormat="1" ht="21.95" customHeight="1" x14ac:dyDescent="0.15"/>
    <row r="41219" s="9" customFormat="1" ht="21.95" customHeight="1" x14ac:dyDescent="0.15"/>
    <row r="41220" s="9" customFormat="1" ht="21.95" customHeight="1" x14ac:dyDescent="0.15"/>
    <row r="41221" s="9" customFormat="1" ht="21.95" customHeight="1" x14ac:dyDescent="0.15"/>
    <row r="41222" s="9" customFormat="1" ht="21.95" customHeight="1" x14ac:dyDescent="0.15"/>
    <row r="41223" s="9" customFormat="1" ht="21.95" customHeight="1" x14ac:dyDescent="0.15"/>
    <row r="41224" s="9" customFormat="1" ht="21.95" customHeight="1" x14ac:dyDescent="0.15"/>
    <row r="41225" s="9" customFormat="1" ht="21.95" customHeight="1" x14ac:dyDescent="0.15"/>
    <row r="41226" s="9" customFormat="1" ht="21.95" customHeight="1" x14ac:dyDescent="0.15"/>
    <row r="41227" s="9" customFormat="1" ht="21.95" customHeight="1" x14ac:dyDescent="0.15"/>
    <row r="41228" s="9" customFormat="1" ht="21.95" customHeight="1" x14ac:dyDescent="0.15"/>
    <row r="41229" s="9" customFormat="1" ht="21.95" customHeight="1" x14ac:dyDescent="0.15"/>
    <row r="41230" s="9" customFormat="1" ht="21.95" customHeight="1" x14ac:dyDescent="0.15"/>
    <row r="41231" s="9" customFormat="1" ht="21.95" customHeight="1" x14ac:dyDescent="0.15"/>
    <row r="41232" s="9" customFormat="1" ht="21.95" customHeight="1" x14ac:dyDescent="0.15"/>
    <row r="41233" s="9" customFormat="1" ht="21.95" customHeight="1" x14ac:dyDescent="0.15"/>
    <row r="41234" s="9" customFormat="1" ht="21.95" customHeight="1" x14ac:dyDescent="0.15"/>
    <row r="41235" s="9" customFormat="1" ht="21.95" customHeight="1" x14ac:dyDescent="0.15"/>
    <row r="41236" s="9" customFormat="1" ht="21.95" customHeight="1" x14ac:dyDescent="0.15"/>
    <row r="41237" s="9" customFormat="1" ht="21.95" customHeight="1" x14ac:dyDescent="0.15"/>
    <row r="41238" s="9" customFormat="1" ht="35.1" customHeight="1" x14ac:dyDescent="0.15"/>
    <row r="41239" s="9" customFormat="1" ht="21.95" customHeight="1" x14ac:dyDescent="0.15"/>
    <row r="41240" s="9" customFormat="1" ht="21.95" customHeight="1" x14ac:dyDescent="0.15"/>
    <row r="41241" s="9" customFormat="1" ht="21.95" customHeight="1" x14ac:dyDescent="0.15"/>
    <row r="41242" s="9" customFormat="1" ht="21.95" customHeight="1" x14ac:dyDescent="0.15"/>
    <row r="41243" s="9" customFormat="1" ht="21.95" customHeight="1" x14ac:dyDescent="0.15"/>
    <row r="41244" s="9" customFormat="1" ht="21.95" customHeight="1" x14ac:dyDescent="0.15"/>
    <row r="41245" s="9" customFormat="1" ht="21.95" customHeight="1" x14ac:dyDescent="0.15"/>
    <row r="41246" s="9" customFormat="1" ht="21.95" customHeight="1" x14ac:dyDescent="0.15"/>
    <row r="41247" s="9" customFormat="1" ht="21.95" customHeight="1" x14ac:dyDescent="0.15"/>
    <row r="41248" s="9" customFormat="1" ht="21.95" customHeight="1" x14ac:dyDescent="0.15"/>
    <row r="41249" spans="3:3" s="9" customFormat="1" ht="21.95" customHeight="1" x14ac:dyDescent="0.15"/>
    <row r="41250" spans="3:3" s="9" customFormat="1" ht="21.95" customHeight="1" x14ac:dyDescent="0.15"/>
    <row r="41251" spans="3:3" s="9" customFormat="1" ht="21.95" customHeight="1" x14ac:dyDescent="0.15"/>
    <row r="41252" spans="3:3" s="9" customFormat="1" ht="21.95" customHeight="1" x14ac:dyDescent="0.15"/>
    <row r="41253" spans="3:3" s="9" customFormat="1" ht="21.95" customHeight="1" x14ac:dyDescent="0.15"/>
    <row r="41254" spans="3:3" s="9" customFormat="1" ht="21.95" customHeight="1" x14ac:dyDescent="0.15"/>
    <row r="41255" spans="3:3" s="9" customFormat="1" ht="21.95" customHeight="1" x14ac:dyDescent="0.15"/>
    <row r="41256" spans="3:3" s="9" customFormat="1" ht="21.95" customHeight="1" x14ac:dyDescent="0.15"/>
    <row r="41257" spans="3:3" s="9" customFormat="1" ht="21.95" customHeight="1" x14ac:dyDescent="0.15"/>
    <row r="41258" spans="3:3" s="9" customFormat="1" ht="21.95" customHeight="1" x14ac:dyDescent="0.15"/>
    <row r="41259" spans="3:3" s="9" customFormat="1" ht="21.95" customHeight="1" x14ac:dyDescent="0.15"/>
    <row r="41260" spans="3:3" s="9" customFormat="1" ht="21.95" customHeight="1" x14ac:dyDescent="0.15"/>
    <row r="41261" spans="3:3" s="9" customFormat="1" ht="21.95" customHeight="1" x14ac:dyDescent="0.15"/>
    <row r="41262" spans="3:3" s="8" customFormat="1" ht="21.95" customHeight="1" x14ac:dyDescent="0.15"/>
    <row r="41263" spans="3:3" s="8" customFormat="1" ht="21.95" customHeight="1" x14ac:dyDescent="0.15"/>
    <row r="41264" spans="3:3" s="8" customFormat="1" ht="21.95" customHeight="1" x14ac:dyDescent="0.15">
      <c r="C41264" s="101"/>
    </row>
    <row r="41265" spans="3:3" s="8" customFormat="1" ht="21.95" customHeight="1" x14ac:dyDescent="0.15">
      <c r="C41265" s="101"/>
    </row>
    <row r="41266" spans="3:3" s="8" customFormat="1" ht="21.95" customHeight="1" x14ac:dyDescent="0.15"/>
    <row r="41267" spans="3:3" s="8" customFormat="1" ht="21.95" customHeight="1" x14ac:dyDescent="0.15"/>
    <row r="41268" spans="3:3" s="8" customFormat="1" ht="21.95" customHeight="1" x14ac:dyDescent="0.15"/>
    <row r="41269" spans="3:3" s="8" customFormat="1" ht="21.95" customHeight="1" x14ac:dyDescent="0.15"/>
    <row r="41270" spans="3:3" s="8" customFormat="1" ht="21.95" customHeight="1" x14ac:dyDescent="0.15"/>
    <row r="41271" spans="3:3" s="8" customFormat="1" ht="21.95" customHeight="1" x14ac:dyDescent="0.15"/>
    <row r="41272" spans="3:3" s="8" customFormat="1" ht="21.95" customHeight="1" x14ac:dyDescent="0.15"/>
    <row r="41273" spans="3:3" s="9" customFormat="1" ht="21.95" customHeight="1" x14ac:dyDescent="0.15"/>
    <row r="41274" spans="3:3" s="9" customFormat="1" ht="21.95" customHeight="1" x14ac:dyDescent="0.15"/>
    <row r="41275" spans="3:3" s="9" customFormat="1" ht="21.95" customHeight="1" x14ac:dyDescent="0.15"/>
    <row r="41276" spans="3:3" s="9" customFormat="1" ht="21.95" customHeight="1" x14ac:dyDescent="0.15"/>
    <row r="41277" spans="3:3" s="8" customFormat="1" ht="21.95" customHeight="1" x14ac:dyDescent="0.15"/>
    <row r="41278" spans="3:3" s="8" customFormat="1" ht="21.95" customHeight="1" x14ac:dyDescent="0.15"/>
    <row r="41279" spans="3:3" s="8" customFormat="1" ht="21.95" customHeight="1" x14ac:dyDescent="0.15"/>
    <row r="41280" spans="3:3" s="8" customFormat="1" ht="21.95" customHeight="1" x14ac:dyDescent="0.15"/>
    <row r="41281" s="8" customFormat="1" ht="21.95" customHeight="1" x14ac:dyDescent="0.15"/>
    <row r="41282" s="8" customFormat="1" ht="21.95" customHeight="1" x14ac:dyDescent="0.15"/>
    <row r="41283" s="8" customFormat="1" ht="21.95" customHeight="1" x14ac:dyDescent="0.15"/>
    <row r="41284" s="8" customFormat="1" ht="21.95" customHeight="1" x14ac:dyDescent="0.15"/>
    <row r="41285" s="8" customFormat="1" ht="21.95" customHeight="1" x14ac:dyDescent="0.15"/>
    <row r="41286" s="8" customFormat="1" ht="21.95" customHeight="1" x14ac:dyDescent="0.15"/>
    <row r="41287" s="8" customFormat="1" ht="21.95" customHeight="1" x14ac:dyDescent="0.15"/>
    <row r="41288" s="8" customFormat="1" ht="32.1" customHeight="1" x14ac:dyDescent="0.15"/>
    <row r="41289" s="8" customFormat="1" ht="32.1" customHeight="1" x14ac:dyDescent="0.15"/>
    <row r="41290" s="8" customFormat="1" ht="32.1" customHeight="1" x14ac:dyDescent="0.15"/>
    <row r="41291" s="8" customFormat="1" ht="32.1" customHeight="1" x14ac:dyDescent="0.15"/>
    <row r="41292" s="8" customFormat="1" ht="32.1" customHeight="1" x14ac:dyDescent="0.15"/>
    <row r="41293" s="8" customFormat="1" ht="32.1" customHeight="1" x14ac:dyDescent="0.15"/>
    <row r="41294" s="9" customFormat="1" ht="32.1" customHeight="1" x14ac:dyDescent="0.15"/>
    <row r="41295" s="9" customFormat="1" ht="32.1" customHeight="1" x14ac:dyDescent="0.15"/>
    <row r="41296" s="9" customFormat="1" ht="32.1" customHeight="1" x14ac:dyDescent="0.15"/>
    <row r="41297" s="9" customFormat="1" ht="32.1" customHeight="1" x14ac:dyDescent="0.15"/>
    <row r="41298" s="9" customFormat="1" ht="21.95" customHeight="1" x14ac:dyDescent="0.15"/>
    <row r="41299" s="9" customFormat="1" ht="54" customHeight="1" x14ac:dyDescent="0.15"/>
    <row r="41300" s="9" customFormat="1" ht="21.95" customHeight="1" x14ac:dyDescent="0.15"/>
    <row r="41301" s="9" customFormat="1" ht="21.95" customHeight="1" x14ac:dyDescent="0.15"/>
    <row r="41302" s="9" customFormat="1" ht="21.95" customHeight="1" x14ac:dyDescent="0.15"/>
    <row r="41303" s="9" customFormat="1" ht="21.95" customHeight="1" x14ac:dyDescent="0.15"/>
    <row r="41304" s="9" customFormat="1" ht="21.95" customHeight="1" x14ac:dyDescent="0.15"/>
    <row r="41305" s="9" customFormat="1" ht="21.95" customHeight="1" x14ac:dyDescent="0.15"/>
    <row r="41306" s="9" customFormat="1" ht="21.95" customHeight="1" x14ac:dyDescent="0.15"/>
    <row r="41307" s="9" customFormat="1" ht="21.95" customHeight="1" x14ac:dyDescent="0.15"/>
    <row r="41308" s="9" customFormat="1" ht="21.95" customHeight="1" x14ac:dyDescent="0.15"/>
    <row r="41309" s="9" customFormat="1" ht="21.95" customHeight="1" x14ac:dyDescent="0.15"/>
    <row r="41310" s="9" customFormat="1" ht="21.95" customHeight="1" x14ac:dyDescent="0.15"/>
    <row r="41311" s="9" customFormat="1" ht="21.95" customHeight="1" x14ac:dyDescent="0.15"/>
    <row r="41312" s="9" customFormat="1" ht="21.95" customHeight="1" x14ac:dyDescent="0.15"/>
    <row r="41313" s="9" customFormat="1" ht="21.95" customHeight="1" x14ac:dyDescent="0.15"/>
    <row r="41314" s="9" customFormat="1" ht="21.95" customHeight="1" x14ac:dyDescent="0.15"/>
    <row r="41315" s="9" customFormat="1" ht="21.95" customHeight="1" x14ac:dyDescent="0.15"/>
    <row r="41316" s="9" customFormat="1" ht="21.95" customHeight="1" x14ac:dyDescent="0.15"/>
    <row r="41317" s="9" customFormat="1" ht="21.95" customHeight="1" x14ac:dyDescent="0.15"/>
    <row r="41318" s="9" customFormat="1" ht="21.95" customHeight="1" x14ac:dyDescent="0.15"/>
    <row r="41319" s="9" customFormat="1" ht="21.95" customHeight="1" x14ac:dyDescent="0.15"/>
    <row r="41320" s="9" customFormat="1" ht="21.95" customHeight="1" x14ac:dyDescent="0.15"/>
    <row r="41321" s="9" customFormat="1" ht="21.95" customHeight="1" x14ac:dyDescent="0.15"/>
    <row r="41322" s="9" customFormat="1" ht="21.95" customHeight="1" x14ac:dyDescent="0.15"/>
    <row r="41323" s="9" customFormat="1" ht="21.95" customHeight="1" x14ac:dyDescent="0.15"/>
    <row r="41324" s="9" customFormat="1" ht="21.95" customHeight="1" x14ac:dyDescent="0.15"/>
    <row r="41325" s="9" customFormat="1" ht="21.95" customHeight="1" x14ac:dyDescent="0.15"/>
    <row r="41326" s="9" customFormat="1" ht="21.95" customHeight="1" x14ac:dyDescent="0.15"/>
    <row r="41327" s="9" customFormat="1" ht="21.95" customHeight="1" x14ac:dyDescent="0.15"/>
    <row r="41328" s="9" customFormat="1" ht="21.95" customHeight="1" x14ac:dyDescent="0.15"/>
    <row r="41329" s="9" customFormat="1" ht="21.95" customHeight="1" x14ac:dyDescent="0.15"/>
    <row r="41330" s="9" customFormat="1" ht="21.95" customHeight="1" x14ac:dyDescent="0.15"/>
    <row r="41331" s="9" customFormat="1" ht="21.95" customHeight="1" x14ac:dyDescent="0.15"/>
    <row r="41332" s="9" customFormat="1" ht="21.95" customHeight="1" x14ac:dyDescent="0.15"/>
    <row r="41333" s="9" customFormat="1" ht="21.95" customHeight="1" x14ac:dyDescent="0.15"/>
    <row r="41334" s="9" customFormat="1" ht="21.95" customHeight="1" x14ac:dyDescent="0.15"/>
    <row r="41335" s="9" customFormat="1" ht="21.95" customHeight="1" x14ac:dyDescent="0.15"/>
    <row r="41336" s="9" customFormat="1" ht="21.95" customHeight="1" x14ac:dyDescent="0.15"/>
    <row r="41337" s="9" customFormat="1" ht="21.95" customHeight="1" x14ac:dyDescent="0.15"/>
    <row r="41338" s="9" customFormat="1" ht="21.95" customHeight="1" x14ac:dyDescent="0.15"/>
    <row r="41339" s="9" customFormat="1" ht="21.95" customHeight="1" x14ac:dyDescent="0.15"/>
    <row r="41340" s="9" customFormat="1" ht="21.95" customHeight="1" x14ac:dyDescent="0.15"/>
    <row r="41341" s="9" customFormat="1" ht="21.95" customHeight="1" x14ac:dyDescent="0.15"/>
    <row r="41342" s="9" customFormat="1" ht="21.95" customHeight="1" x14ac:dyDescent="0.15"/>
    <row r="41343" s="9" customFormat="1" ht="21.95" customHeight="1" x14ac:dyDescent="0.15"/>
    <row r="41344" s="9" customFormat="1" ht="21.95" customHeight="1" x14ac:dyDescent="0.15"/>
    <row r="41345" s="9" customFormat="1" ht="21.95" customHeight="1" x14ac:dyDescent="0.15"/>
    <row r="41346" s="9" customFormat="1" ht="21.95" customHeight="1" x14ac:dyDescent="0.15"/>
    <row r="41347" s="9" customFormat="1" ht="21.95" customHeight="1" x14ac:dyDescent="0.15"/>
    <row r="41348" s="9" customFormat="1" ht="21.95" customHeight="1" x14ac:dyDescent="0.15"/>
    <row r="41349" s="9" customFormat="1" ht="21.95" customHeight="1" x14ac:dyDescent="0.15"/>
    <row r="41350" s="9" customFormat="1" ht="35.1" customHeight="1" x14ac:dyDescent="0.15"/>
    <row r="41351" s="9" customFormat="1" ht="21.95" customHeight="1" x14ac:dyDescent="0.15"/>
    <row r="41352" s="9" customFormat="1" ht="21.95" customHeight="1" x14ac:dyDescent="0.15"/>
    <row r="41353" s="9" customFormat="1" ht="21.95" customHeight="1" x14ac:dyDescent="0.15"/>
    <row r="41354" s="9" customFormat="1" ht="21.95" customHeight="1" x14ac:dyDescent="0.15"/>
    <row r="41355" s="9" customFormat="1" ht="21.95" customHeight="1" x14ac:dyDescent="0.15"/>
    <row r="41356" s="9" customFormat="1" ht="21.95" customHeight="1" x14ac:dyDescent="0.15"/>
    <row r="41357" s="9" customFormat="1" ht="21.95" customHeight="1" x14ac:dyDescent="0.15"/>
    <row r="41358" s="9" customFormat="1" ht="21.95" customHeight="1" x14ac:dyDescent="0.15"/>
    <row r="41359" s="9" customFormat="1" ht="21.95" customHeight="1" x14ac:dyDescent="0.15"/>
    <row r="41360" s="9" customFormat="1" ht="21.95" customHeight="1" x14ac:dyDescent="0.15"/>
    <row r="41361" spans="3:3" s="9" customFormat="1" ht="21.95" customHeight="1" x14ac:dyDescent="0.15"/>
    <row r="41362" spans="3:3" s="9" customFormat="1" ht="21.95" customHeight="1" x14ac:dyDescent="0.15"/>
    <row r="41363" spans="3:3" s="9" customFormat="1" ht="21.95" customHeight="1" x14ac:dyDescent="0.15"/>
    <row r="41364" spans="3:3" s="9" customFormat="1" ht="21.95" customHeight="1" x14ac:dyDescent="0.15"/>
    <row r="41365" spans="3:3" s="9" customFormat="1" ht="21.95" customHeight="1" x14ac:dyDescent="0.15"/>
    <row r="41366" spans="3:3" s="9" customFormat="1" ht="21.95" customHeight="1" x14ac:dyDescent="0.15"/>
    <row r="41367" spans="3:3" s="9" customFormat="1" ht="21.95" customHeight="1" x14ac:dyDescent="0.15"/>
    <row r="41368" spans="3:3" s="9" customFormat="1" ht="21.95" customHeight="1" x14ac:dyDescent="0.15"/>
    <row r="41369" spans="3:3" s="9" customFormat="1" ht="21.95" customHeight="1" x14ac:dyDescent="0.15"/>
    <row r="41370" spans="3:3" s="9" customFormat="1" ht="21.95" customHeight="1" x14ac:dyDescent="0.15"/>
    <row r="41371" spans="3:3" s="9" customFormat="1" ht="21.95" customHeight="1" x14ac:dyDescent="0.15"/>
    <row r="41372" spans="3:3" s="9" customFormat="1" ht="21.95" customHeight="1" x14ac:dyDescent="0.15"/>
    <row r="41373" spans="3:3" s="9" customFormat="1" ht="21.95" customHeight="1" x14ac:dyDescent="0.15"/>
    <row r="41374" spans="3:3" s="8" customFormat="1" ht="21.95" customHeight="1" x14ac:dyDescent="0.15"/>
    <row r="41375" spans="3:3" s="8" customFormat="1" ht="21.95" customHeight="1" x14ac:dyDescent="0.15"/>
    <row r="41376" spans="3:3" s="8" customFormat="1" ht="21.95" customHeight="1" x14ac:dyDescent="0.15">
      <c r="C41376" s="101"/>
    </row>
    <row r="41377" spans="3:3" s="8" customFormat="1" ht="21.95" customHeight="1" x14ac:dyDescent="0.15">
      <c r="C41377" s="101"/>
    </row>
    <row r="41378" spans="3:3" s="8" customFormat="1" ht="21.95" customHeight="1" x14ac:dyDescent="0.15"/>
    <row r="41379" spans="3:3" s="8" customFormat="1" ht="21.95" customHeight="1" x14ac:dyDescent="0.15"/>
    <row r="41380" spans="3:3" s="8" customFormat="1" ht="21.95" customHeight="1" x14ac:dyDescent="0.15"/>
    <row r="41381" spans="3:3" s="8" customFormat="1" ht="21.95" customHeight="1" x14ac:dyDescent="0.15"/>
    <row r="41382" spans="3:3" s="8" customFormat="1" ht="21.95" customHeight="1" x14ac:dyDescent="0.15"/>
    <row r="41383" spans="3:3" s="8" customFormat="1" ht="21.95" customHeight="1" x14ac:dyDescent="0.15"/>
    <row r="41384" spans="3:3" s="8" customFormat="1" ht="21.95" customHeight="1" x14ac:dyDescent="0.15"/>
    <row r="41385" spans="3:3" s="9" customFormat="1" ht="21.95" customHeight="1" x14ac:dyDescent="0.15"/>
    <row r="41386" spans="3:3" s="9" customFormat="1" ht="21.95" customHeight="1" x14ac:dyDescent="0.15"/>
    <row r="41387" spans="3:3" s="9" customFormat="1" ht="21.95" customHeight="1" x14ac:dyDescent="0.15"/>
    <row r="41388" spans="3:3" s="9" customFormat="1" ht="21.95" customHeight="1" x14ac:dyDescent="0.15"/>
    <row r="41389" spans="3:3" s="8" customFormat="1" ht="21.95" customHeight="1" x14ac:dyDescent="0.15"/>
    <row r="41390" spans="3:3" s="8" customFormat="1" ht="21.95" customHeight="1" x14ac:dyDescent="0.15"/>
    <row r="41391" spans="3:3" s="8" customFormat="1" ht="21.95" customHeight="1" x14ac:dyDescent="0.15"/>
    <row r="41392" spans="3:3" s="8" customFormat="1" ht="21.95" customHeight="1" x14ac:dyDescent="0.15"/>
    <row r="41393" s="8" customFormat="1" ht="21.95" customHeight="1" x14ac:dyDescent="0.15"/>
    <row r="41394" s="8" customFormat="1" ht="21.95" customHeight="1" x14ac:dyDescent="0.15"/>
    <row r="41395" s="8" customFormat="1" ht="21.95" customHeight="1" x14ac:dyDescent="0.15"/>
    <row r="41396" s="8" customFormat="1" ht="21.95" customHeight="1" x14ac:dyDescent="0.15"/>
    <row r="41397" s="8" customFormat="1" ht="21.95" customHeight="1" x14ac:dyDescent="0.15"/>
    <row r="41398" s="8" customFormat="1" ht="21.95" customHeight="1" x14ac:dyDescent="0.15"/>
    <row r="41399" s="8" customFormat="1" ht="21.95" customHeight="1" x14ac:dyDescent="0.15"/>
    <row r="41400" s="8" customFormat="1" ht="32.1" customHeight="1" x14ac:dyDescent="0.15"/>
    <row r="41401" s="8" customFormat="1" ht="32.1" customHeight="1" x14ac:dyDescent="0.15"/>
    <row r="41402" s="8" customFormat="1" ht="32.1" customHeight="1" x14ac:dyDescent="0.15"/>
    <row r="41403" s="8" customFormat="1" ht="32.1" customHeight="1" x14ac:dyDescent="0.15"/>
    <row r="41404" s="8" customFormat="1" ht="32.1" customHeight="1" x14ac:dyDescent="0.15"/>
    <row r="41405" s="8" customFormat="1" ht="32.1" customHeight="1" x14ac:dyDescent="0.15"/>
    <row r="41406" s="9" customFormat="1" ht="32.1" customHeight="1" x14ac:dyDescent="0.15"/>
    <row r="41407" s="9" customFormat="1" ht="32.1" customHeight="1" x14ac:dyDescent="0.15"/>
    <row r="41408" s="9" customFormat="1" ht="32.1" customHeight="1" x14ac:dyDescent="0.15"/>
    <row r="41409" s="9" customFormat="1" ht="32.1" customHeight="1" x14ac:dyDescent="0.15"/>
    <row r="41410" s="9" customFormat="1" ht="21.95" customHeight="1" x14ac:dyDescent="0.15"/>
    <row r="41411" s="9" customFormat="1" ht="54" customHeight="1" x14ac:dyDescent="0.15"/>
    <row r="41412" s="9" customFormat="1" ht="21.95" customHeight="1" x14ac:dyDescent="0.15"/>
    <row r="41413" s="9" customFormat="1" ht="21.95" customHeight="1" x14ac:dyDescent="0.15"/>
    <row r="41414" s="9" customFormat="1" ht="21.95" customHeight="1" x14ac:dyDescent="0.15"/>
    <row r="41415" s="9" customFormat="1" ht="21.95" customHeight="1" x14ac:dyDescent="0.15"/>
    <row r="41416" s="9" customFormat="1" ht="21.95" customHeight="1" x14ac:dyDescent="0.15"/>
    <row r="41417" s="9" customFormat="1" ht="21.95" customHeight="1" x14ac:dyDescent="0.15"/>
    <row r="41418" s="9" customFormat="1" ht="21.95" customHeight="1" x14ac:dyDescent="0.15"/>
    <row r="41419" s="9" customFormat="1" ht="21.95" customHeight="1" x14ac:dyDescent="0.15"/>
    <row r="41420" s="9" customFormat="1" ht="21.95" customHeight="1" x14ac:dyDescent="0.15"/>
    <row r="41421" s="9" customFormat="1" ht="21.95" customHeight="1" x14ac:dyDescent="0.15"/>
    <row r="41422" s="9" customFormat="1" ht="21.95" customHeight="1" x14ac:dyDescent="0.15"/>
    <row r="41423" s="9" customFormat="1" ht="21.95" customHeight="1" x14ac:dyDescent="0.15"/>
    <row r="41424" s="9" customFormat="1" ht="21.95" customHeight="1" x14ac:dyDescent="0.15"/>
    <row r="41425" s="9" customFormat="1" ht="21.95" customHeight="1" x14ac:dyDescent="0.15"/>
    <row r="41426" s="9" customFormat="1" ht="21.95" customHeight="1" x14ac:dyDescent="0.15"/>
    <row r="41427" s="9" customFormat="1" ht="21.95" customHeight="1" x14ac:dyDescent="0.15"/>
    <row r="41428" s="9" customFormat="1" ht="21.95" customHeight="1" x14ac:dyDescent="0.15"/>
    <row r="41429" s="9" customFormat="1" ht="21.95" customHeight="1" x14ac:dyDescent="0.15"/>
    <row r="41430" s="9" customFormat="1" ht="21.95" customHeight="1" x14ac:dyDescent="0.15"/>
    <row r="41431" s="9" customFormat="1" ht="21.95" customHeight="1" x14ac:dyDescent="0.15"/>
    <row r="41432" s="9" customFormat="1" ht="21.95" customHeight="1" x14ac:dyDescent="0.15"/>
    <row r="41433" s="9" customFormat="1" ht="21.95" customHeight="1" x14ac:dyDescent="0.15"/>
    <row r="41434" s="9" customFormat="1" ht="21.95" customHeight="1" x14ac:dyDescent="0.15"/>
    <row r="41435" s="9" customFormat="1" ht="21.95" customHeight="1" x14ac:dyDescent="0.15"/>
    <row r="41436" s="9" customFormat="1" ht="21.95" customHeight="1" x14ac:dyDescent="0.15"/>
    <row r="41437" s="9" customFormat="1" ht="21.95" customHeight="1" x14ac:dyDescent="0.15"/>
    <row r="41438" s="9" customFormat="1" ht="21.95" customHeight="1" x14ac:dyDescent="0.15"/>
    <row r="41439" s="9" customFormat="1" ht="21.95" customHeight="1" x14ac:dyDescent="0.15"/>
    <row r="41440" s="9" customFormat="1" ht="21.95" customHeight="1" x14ac:dyDescent="0.15"/>
    <row r="41441" s="9" customFormat="1" ht="21.95" customHeight="1" x14ac:dyDescent="0.15"/>
    <row r="41442" s="9" customFormat="1" ht="21.95" customHeight="1" x14ac:dyDescent="0.15"/>
    <row r="41443" s="9" customFormat="1" ht="21.95" customHeight="1" x14ac:dyDescent="0.15"/>
    <row r="41444" s="9" customFormat="1" ht="21.95" customHeight="1" x14ac:dyDescent="0.15"/>
    <row r="41445" s="9" customFormat="1" ht="21.95" customHeight="1" x14ac:dyDescent="0.15"/>
    <row r="41446" s="9" customFormat="1" ht="21.95" customHeight="1" x14ac:dyDescent="0.15"/>
    <row r="41447" s="9" customFormat="1" ht="21.95" customHeight="1" x14ac:dyDescent="0.15"/>
    <row r="41448" s="9" customFormat="1" ht="21.95" customHeight="1" x14ac:dyDescent="0.15"/>
    <row r="41449" s="9" customFormat="1" ht="21.95" customHeight="1" x14ac:dyDescent="0.15"/>
    <row r="41450" s="9" customFormat="1" ht="21.95" customHeight="1" x14ac:dyDescent="0.15"/>
    <row r="41451" s="9" customFormat="1" ht="21.95" customHeight="1" x14ac:dyDescent="0.15"/>
    <row r="41452" s="9" customFormat="1" ht="21.95" customHeight="1" x14ac:dyDescent="0.15"/>
    <row r="41453" s="9" customFormat="1" ht="21.95" customHeight="1" x14ac:dyDescent="0.15"/>
    <row r="41454" s="9" customFormat="1" ht="21.95" customHeight="1" x14ac:dyDescent="0.15"/>
    <row r="41455" s="9" customFormat="1" ht="21.95" customHeight="1" x14ac:dyDescent="0.15"/>
    <row r="41456" s="9" customFormat="1" ht="21.95" customHeight="1" x14ac:dyDescent="0.15"/>
    <row r="41457" s="9" customFormat="1" ht="21.95" customHeight="1" x14ac:dyDescent="0.15"/>
    <row r="41458" s="9" customFormat="1" ht="21.95" customHeight="1" x14ac:dyDescent="0.15"/>
    <row r="41459" s="9" customFormat="1" ht="21.95" customHeight="1" x14ac:dyDescent="0.15"/>
    <row r="41460" s="9" customFormat="1" ht="21.95" customHeight="1" x14ac:dyDescent="0.15"/>
    <row r="41461" s="9" customFormat="1" ht="21.95" customHeight="1" x14ac:dyDescent="0.15"/>
    <row r="41462" s="9" customFormat="1" ht="35.1" customHeight="1" x14ac:dyDescent="0.15"/>
    <row r="41463" s="9" customFormat="1" ht="21.95" customHeight="1" x14ac:dyDescent="0.15"/>
    <row r="41464" s="9" customFormat="1" ht="21.95" customHeight="1" x14ac:dyDescent="0.15"/>
    <row r="41465" s="9" customFormat="1" ht="21.95" customHeight="1" x14ac:dyDescent="0.15"/>
    <row r="41466" s="9" customFormat="1" ht="21.95" customHeight="1" x14ac:dyDescent="0.15"/>
    <row r="41467" s="9" customFormat="1" ht="21.95" customHeight="1" x14ac:dyDescent="0.15"/>
    <row r="41468" s="9" customFormat="1" ht="21.95" customHeight="1" x14ac:dyDescent="0.15"/>
    <row r="41469" s="9" customFormat="1" ht="21.95" customHeight="1" x14ac:dyDescent="0.15"/>
    <row r="41470" s="9" customFormat="1" ht="21.95" customHeight="1" x14ac:dyDescent="0.15"/>
    <row r="41471" s="9" customFormat="1" ht="21.95" customHeight="1" x14ac:dyDescent="0.15"/>
    <row r="41472" s="9" customFormat="1" ht="21.95" customHeight="1" x14ac:dyDescent="0.15"/>
    <row r="41473" spans="3:3" s="9" customFormat="1" ht="21.95" customHeight="1" x14ac:dyDescent="0.15"/>
    <row r="41474" spans="3:3" s="9" customFormat="1" ht="21.95" customHeight="1" x14ac:dyDescent="0.15"/>
    <row r="41475" spans="3:3" s="9" customFormat="1" ht="21.95" customHeight="1" x14ac:dyDescent="0.15"/>
    <row r="41476" spans="3:3" s="9" customFormat="1" ht="21.95" customHeight="1" x14ac:dyDescent="0.15"/>
    <row r="41477" spans="3:3" s="9" customFormat="1" ht="21.95" customHeight="1" x14ac:dyDescent="0.15"/>
    <row r="41478" spans="3:3" s="9" customFormat="1" ht="21.95" customHeight="1" x14ac:dyDescent="0.15"/>
    <row r="41479" spans="3:3" s="9" customFormat="1" ht="21.95" customHeight="1" x14ac:dyDescent="0.15"/>
    <row r="41480" spans="3:3" s="9" customFormat="1" ht="21.95" customHeight="1" x14ac:dyDescent="0.15"/>
    <row r="41481" spans="3:3" s="9" customFormat="1" ht="21.95" customHeight="1" x14ac:dyDescent="0.15"/>
    <row r="41482" spans="3:3" s="9" customFormat="1" ht="21.95" customHeight="1" x14ac:dyDescent="0.15"/>
    <row r="41483" spans="3:3" s="9" customFormat="1" ht="21.95" customHeight="1" x14ac:dyDescent="0.15"/>
    <row r="41484" spans="3:3" s="9" customFormat="1" ht="21.95" customHeight="1" x14ac:dyDescent="0.15"/>
    <row r="41485" spans="3:3" s="9" customFormat="1" ht="21.95" customHeight="1" x14ac:dyDescent="0.15"/>
    <row r="41486" spans="3:3" s="8" customFormat="1" ht="21.95" customHeight="1" x14ac:dyDescent="0.15"/>
    <row r="41487" spans="3:3" s="8" customFormat="1" ht="21.95" customHeight="1" x14ac:dyDescent="0.15"/>
    <row r="41488" spans="3:3" s="8" customFormat="1" ht="21.95" customHeight="1" x14ac:dyDescent="0.15">
      <c r="C41488" s="101"/>
    </row>
    <row r="41489" spans="3:3" s="8" customFormat="1" ht="21.95" customHeight="1" x14ac:dyDescent="0.15">
      <c r="C41489" s="101"/>
    </row>
    <row r="41490" spans="3:3" s="8" customFormat="1" ht="21.95" customHeight="1" x14ac:dyDescent="0.15"/>
    <row r="41491" spans="3:3" s="8" customFormat="1" ht="21.95" customHeight="1" x14ac:dyDescent="0.15"/>
    <row r="41492" spans="3:3" s="8" customFormat="1" ht="21.95" customHeight="1" x14ac:dyDescent="0.15"/>
    <row r="41493" spans="3:3" s="8" customFormat="1" ht="21.95" customHeight="1" x14ac:dyDescent="0.15"/>
    <row r="41494" spans="3:3" s="8" customFormat="1" ht="21.95" customHeight="1" x14ac:dyDescent="0.15"/>
    <row r="41495" spans="3:3" s="8" customFormat="1" ht="21.95" customHeight="1" x14ac:dyDescent="0.15"/>
    <row r="41496" spans="3:3" s="8" customFormat="1" ht="21.95" customHeight="1" x14ac:dyDescent="0.15"/>
    <row r="41497" spans="3:3" s="9" customFormat="1" ht="21.95" customHeight="1" x14ac:dyDescent="0.15"/>
    <row r="41498" spans="3:3" s="9" customFormat="1" ht="21.95" customHeight="1" x14ac:dyDescent="0.15"/>
    <row r="41499" spans="3:3" s="9" customFormat="1" ht="21.95" customHeight="1" x14ac:dyDescent="0.15"/>
    <row r="41500" spans="3:3" s="9" customFormat="1" ht="21.95" customHeight="1" x14ac:dyDescent="0.15"/>
    <row r="41501" spans="3:3" s="8" customFormat="1" ht="21.95" customHeight="1" x14ac:dyDescent="0.15"/>
    <row r="41502" spans="3:3" s="8" customFormat="1" ht="21.95" customHeight="1" x14ac:dyDescent="0.15"/>
    <row r="41503" spans="3:3" s="8" customFormat="1" ht="21.95" customHeight="1" x14ac:dyDescent="0.15"/>
    <row r="41504" spans="3:3" s="8" customFormat="1" ht="21.95" customHeight="1" x14ac:dyDescent="0.15"/>
    <row r="41505" s="8" customFormat="1" ht="21.95" customHeight="1" x14ac:dyDescent="0.15"/>
    <row r="41506" s="8" customFormat="1" ht="21.95" customHeight="1" x14ac:dyDescent="0.15"/>
    <row r="41507" s="8" customFormat="1" ht="21.95" customHeight="1" x14ac:dyDescent="0.15"/>
    <row r="41508" s="8" customFormat="1" ht="21.95" customHeight="1" x14ac:dyDescent="0.15"/>
    <row r="41509" s="8" customFormat="1" ht="21.95" customHeight="1" x14ac:dyDescent="0.15"/>
    <row r="41510" s="8" customFormat="1" ht="21.95" customHeight="1" x14ac:dyDescent="0.15"/>
    <row r="41511" s="8" customFormat="1" ht="21.95" customHeight="1" x14ac:dyDescent="0.15"/>
    <row r="41512" s="8" customFormat="1" ht="32.1" customHeight="1" x14ac:dyDescent="0.15"/>
    <row r="41513" s="8" customFormat="1" ht="32.1" customHeight="1" x14ac:dyDescent="0.15"/>
    <row r="41514" s="8" customFormat="1" ht="32.1" customHeight="1" x14ac:dyDescent="0.15"/>
    <row r="41515" s="8" customFormat="1" ht="32.1" customHeight="1" x14ac:dyDescent="0.15"/>
    <row r="41516" s="8" customFormat="1" ht="32.1" customHeight="1" x14ac:dyDescent="0.15"/>
    <row r="41517" s="8" customFormat="1" ht="32.1" customHeight="1" x14ac:dyDescent="0.15"/>
    <row r="41518" s="9" customFormat="1" ht="32.1" customHeight="1" x14ac:dyDescent="0.15"/>
    <row r="41519" s="9" customFormat="1" ht="32.1" customHeight="1" x14ac:dyDescent="0.15"/>
    <row r="41520" s="9" customFormat="1" ht="32.1" customHeight="1" x14ac:dyDescent="0.15"/>
    <row r="41521" s="9" customFormat="1" ht="32.1" customHeight="1" x14ac:dyDescent="0.15"/>
    <row r="41522" s="9" customFormat="1" ht="21.95" customHeight="1" x14ac:dyDescent="0.15"/>
    <row r="41523" s="9" customFormat="1" ht="54" customHeight="1" x14ac:dyDescent="0.15"/>
    <row r="41524" s="9" customFormat="1" ht="21.95" customHeight="1" x14ac:dyDescent="0.15"/>
    <row r="41525" s="9" customFormat="1" ht="21.95" customHeight="1" x14ac:dyDescent="0.15"/>
    <row r="41526" s="9" customFormat="1" ht="21.95" customHeight="1" x14ac:dyDescent="0.15"/>
    <row r="41527" s="9" customFormat="1" ht="21.95" customHeight="1" x14ac:dyDescent="0.15"/>
    <row r="41528" s="9" customFormat="1" ht="21.95" customHeight="1" x14ac:dyDescent="0.15"/>
    <row r="41529" s="9" customFormat="1" ht="21.95" customHeight="1" x14ac:dyDescent="0.15"/>
    <row r="41530" s="9" customFormat="1" ht="21.95" customHeight="1" x14ac:dyDescent="0.15"/>
    <row r="41531" s="9" customFormat="1" ht="21.95" customHeight="1" x14ac:dyDescent="0.15"/>
    <row r="41532" s="9" customFormat="1" ht="21.95" customHeight="1" x14ac:dyDescent="0.15"/>
    <row r="41533" s="9" customFormat="1" ht="21.95" customHeight="1" x14ac:dyDescent="0.15"/>
    <row r="41534" s="9" customFormat="1" ht="21.95" customHeight="1" x14ac:dyDescent="0.15"/>
    <row r="41535" s="9" customFormat="1" ht="21.95" customHeight="1" x14ac:dyDescent="0.15"/>
    <row r="41536" s="9" customFormat="1" ht="21.95" customHeight="1" x14ac:dyDescent="0.15"/>
    <row r="41537" s="9" customFormat="1" ht="21.95" customHeight="1" x14ac:dyDescent="0.15"/>
    <row r="41538" s="9" customFormat="1" ht="21.95" customHeight="1" x14ac:dyDescent="0.15"/>
    <row r="41539" s="9" customFormat="1" ht="21.95" customHeight="1" x14ac:dyDescent="0.15"/>
    <row r="41540" s="9" customFormat="1" ht="21.95" customHeight="1" x14ac:dyDescent="0.15"/>
    <row r="41541" s="9" customFormat="1" ht="21.95" customHeight="1" x14ac:dyDescent="0.15"/>
    <row r="41542" s="9" customFormat="1" ht="21.95" customHeight="1" x14ac:dyDescent="0.15"/>
    <row r="41543" s="9" customFormat="1" ht="21.95" customHeight="1" x14ac:dyDescent="0.15"/>
    <row r="41544" s="9" customFormat="1" ht="21.95" customHeight="1" x14ac:dyDescent="0.15"/>
    <row r="41545" s="9" customFormat="1" ht="21.95" customHeight="1" x14ac:dyDescent="0.15"/>
    <row r="41546" s="9" customFormat="1" ht="21.95" customHeight="1" x14ac:dyDescent="0.15"/>
    <row r="41547" s="9" customFormat="1" ht="21.95" customHeight="1" x14ac:dyDescent="0.15"/>
    <row r="41548" s="9" customFormat="1" ht="21.95" customHeight="1" x14ac:dyDescent="0.15"/>
    <row r="41549" s="9" customFormat="1" ht="21.95" customHeight="1" x14ac:dyDescent="0.15"/>
    <row r="41550" s="9" customFormat="1" ht="21.95" customHeight="1" x14ac:dyDescent="0.15"/>
    <row r="41551" s="9" customFormat="1" ht="21.95" customHeight="1" x14ac:dyDescent="0.15"/>
    <row r="41552" s="9" customFormat="1" ht="21.95" customHeight="1" x14ac:dyDescent="0.15"/>
    <row r="41553" s="9" customFormat="1" ht="21.95" customHeight="1" x14ac:dyDescent="0.15"/>
    <row r="41554" s="9" customFormat="1" ht="21.95" customHeight="1" x14ac:dyDescent="0.15"/>
    <row r="41555" s="9" customFormat="1" ht="21.95" customHeight="1" x14ac:dyDescent="0.15"/>
    <row r="41556" s="9" customFormat="1" ht="21.95" customHeight="1" x14ac:dyDescent="0.15"/>
    <row r="41557" s="9" customFormat="1" ht="21.95" customHeight="1" x14ac:dyDescent="0.15"/>
    <row r="41558" s="9" customFormat="1" ht="21.95" customHeight="1" x14ac:dyDescent="0.15"/>
    <row r="41559" s="9" customFormat="1" ht="21.95" customHeight="1" x14ac:dyDescent="0.15"/>
    <row r="41560" s="9" customFormat="1" ht="21.95" customHeight="1" x14ac:dyDescent="0.15"/>
    <row r="41561" s="9" customFormat="1" ht="21.95" customHeight="1" x14ac:dyDescent="0.15"/>
    <row r="41562" s="9" customFormat="1" ht="21.95" customHeight="1" x14ac:dyDescent="0.15"/>
    <row r="41563" s="9" customFormat="1" ht="21.95" customHeight="1" x14ac:dyDescent="0.15"/>
    <row r="41564" s="9" customFormat="1" ht="21.95" customHeight="1" x14ac:dyDescent="0.15"/>
    <row r="41565" s="9" customFormat="1" ht="21.95" customHeight="1" x14ac:dyDescent="0.15"/>
    <row r="41566" s="9" customFormat="1" ht="21.95" customHeight="1" x14ac:dyDescent="0.15"/>
    <row r="41567" s="9" customFormat="1" ht="21.95" customHeight="1" x14ac:dyDescent="0.15"/>
    <row r="41568" s="9" customFormat="1" ht="21.95" customHeight="1" x14ac:dyDescent="0.15"/>
    <row r="41569" s="9" customFormat="1" ht="21.95" customHeight="1" x14ac:dyDescent="0.15"/>
    <row r="41570" s="9" customFormat="1" ht="21.95" customHeight="1" x14ac:dyDescent="0.15"/>
    <row r="41571" s="9" customFormat="1" ht="21.95" customHeight="1" x14ac:dyDescent="0.15"/>
    <row r="41572" s="9" customFormat="1" ht="21.95" customHeight="1" x14ac:dyDescent="0.15"/>
    <row r="41573" s="9" customFormat="1" ht="21.95" customHeight="1" x14ac:dyDescent="0.15"/>
    <row r="41574" s="9" customFormat="1" ht="35.1" customHeight="1" x14ac:dyDescent="0.15"/>
    <row r="41575" s="9" customFormat="1" ht="21.95" customHeight="1" x14ac:dyDescent="0.15"/>
    <row r="41576" s="9" customFormat="1" ht="21.95" customHeight="1" x14ac:dyDescent="0.15"/>
    <row r="41577" s="9" customFormat="1" ht="21.95" customHeight="1" x14ac:dyDescent="0.15"/>
    <row r="41578" s="9" customFormat="1" ht="21.95" customHeight="1" x14ac:dyDescent="0.15"/>
    <row r="41579" s="9" customFormat="1" ht="21.95" customHeight="1" x14ac:dyDescent="0.15"/>
    <row r="41580" s="9" customFormat="1" ht="21.95" customHeight="1" x14ac:dyDescent="0.15"/>
    <row r="41581" s="9" customFormat="1" ht="21.95" customHeight="1" x14ac:dyDescent="0.15"/>
    <row r="41582" s="9" customFormat="1" ht="21.95" customHeight="1" x14ac:dyDescent="0.15"/>
    <row r="41583" s="9" customFormat="1" ht="21.95" customHeight="1" x14ac:dyDescent="0.15"/>
    <row r="41584" s="9" customFormat="1" ht="21.95" customHeight="1" x14ac:dyDescent="0.15"/>
    <row r="41585" spans="3:3" s="9" customFormat="1" ht="21.95" customHeight="1" x14ac:dyDescent="0.15"/>
    <row r="41586" spans="3:3" s="9" customFormat="1" ht="21.95" customHeight="1" x14ac:dyDescent="0.15"/>
    <row r="41587" spans="3:3" s="9" customFormat="1" ht="21.95" customHeight="1" x14ac:dyDescent="0.15"/>
    <row r="41588" spans="3:3" s="9" customFormat="1" ht="21.95" customHeight="1" x14ac:dyDescent="0.15"/>
    <row r="41589" spans="3:3" s="9" customFormat="1" ht="21.95" customHeight="1" x14ac:dyDescent="0.15"/>
    <row r="41590" spans="3:3" s="9" customFormat="1" ht="21.95" customHeight="1" x14ac:dyDescent="0.15"/>
    <row r="41591" spans="3:3" s="9" customFormat="1" ht="21.95" customHeight="1" x14ac:dyDescent="0.15"/>
    <row r="41592" spans="3:3" s="9" customFormat="1" ht="21.95" customHeight="1" x14ac:dyDescent="0.15"/>
    <row r="41593" spans="3:3" s="9" customFormat="1" ht="21.95" customHeight="1" x14ac:dyDescent="0.15"/>
    <row r="41594" spans="3:3" s="9" customFormat="1" ht="21.95" customHeight="1" x14ac:dyDescent="0.15"/>
    <row r="41595" spans="3:3" s="9" customFormat="1" ht="21.95" customHeight="1" x14ac:dyDescent="0.15"/>
    <row r="41596" spans="3:3" s="9" customFormat="1" ht="21.95" customHeight="1" x14ac:dyDescent="0.15"/>
    <row r="41597" spans="3:3" s="9" customFormat="1" ht="21.95" customHeight="1" x14ac:dyDescent="0.15"/>
    <row r="41598" spans="3:3" s="8" customFormat="1" ht="21.95" customHeight="1" x14ac:dyDescent="0.15"/>
    <row r="41599" spans="3:3" s="8" customFormat="1" ht="21.95" customHeight="1" x14ac:dyDescent="0.15"/>
    <row r="41600" spans="3:3" s="8" customFormat="1" ht="21.95" customHeight="1" x14ac:dyDescent="0.15">
      <c r="C41600" s="101"/>
    </row>
    <row r="41601" spans="3:3" s="8" customFormat="1" ht="21.95" customHeight="1" x14ac:dyDescent="0.15">
      <c r="C41601" s="101"/>
    </row>
    <row r="41602" spans="3:3" s="8" customFormat="1" ht="21.95" customHeight="1" x14ac:dyDescent="0.15"/>
    <row r="41603" spans="3:3" s="8" customFormat="1" ht="21.95" customHeight="1" x14ac:dyDescent="0.15"/>
    <row r="41604" spans="3:3" s="8" customFormat="1" ht="21.95" customHeight="1" x14ac:dyDescent="0.15"/>
    <row r="41605" spans="3:3" s="8" customFormat="1" ht="21.95" customHeight="1" x14ac:dyDescent="0.15"/>
    <row r="41606" spans="3:3" s="8" customFormat="1" ht="21.95" customHeight="1" x14ac:dyDescent="0.15"/>
    <row r="41607" spans="3:3" s="8" customFormat="1" ht="21.95" customHeight="1" x14ac:dyDescent="0.15"/>
    <row r="41608" spans="3:3" s="8" customFormat="1" ht="21.95" customHeight="1" x14ac:dyDescent="0.15"/>
    <row r="41609" spans="3:3" s="9" customFormat="1" ht="21.95" customHeight="1" x14ac:dyDescent="0.15"/>
    <row r="41610" spans="3:3" s="9" customFormat="1" ht="21.95" customHeight="1" x14ac:dyDescent="0.15"/>
    <row r="41611" spans="3:3" s="9" customFormat="1" ht="21.95" customHeight="1" x14ac:dyDescent="0.15"/>
    <row r="41612" spans="3:3" s="9" customFormat="1" ht="21.95" customHeight="1" x14ac:dyDescent="0.15"/>
    <row r="41613" spans="3:3" s="8" customFormat="1" ht="21.95" customHeight="1" x14ac:dyDescent="0.15"/>
    <row r="41614" spans="3:3" s="8" customFormat="1" ht="21.95" customHeight="1" x14ac:dyDescent="0.15"/>
    <row r="41615" spans="3:3" s="8" customFormat="1" ht="21.95" customHeight="1" x14ac:dyDescent="0.15"/>
    <row r="41616" spans="3:3" s="8" customFormat="1" ht="21.95" customHeight="1" x14ac:dyDescent="0.15"/>
    <row r="41617" s="8" customFormat="1" ht="21.95" customHeight="1" x14ac:dyDescent="0.15"/>
    <row r="41618" s="8" customFormat="1" ht="21.95" customHeight="1" x14ac:dyDescent="0.15"/>
    <row r="41619" s="8" customFormat="1" ht="21.95" customHeight="1" x14ac:dyDescent="0.15"/>
    <row r="41620" s="8" customFormat="1" ht="21.95" customHeight="1" x14ac:dyDescent="0.15"/>
    <row r="41621" s="8" customFormat="1" ht="21.95" customHeight="1" x14ac:dyDescent="0.15"/>
    <row r="41622" s="8" customFormat="1" ht="21.95" customHeight="1" x14ac:dyDescent="0.15"/>
    <row r="41623" s="8" customFormat="1" ht="21.95" customHeight="1" x14ac:dyDescent="0.15"/>
    <row r="41624" s="8" customFormat="1" ht="32.1" customHeight="1" x14ac:dyDescent="0.15"/>
    <row r="41625" s="8" customFormat="1" ht="32.1" customHeight="1" x14ac:dyDescent="0.15"/>
    <row r="41626" s="8" customFormat="1" ht="32.1" customHeight="1" x14ac:dyDescent="0.15"/>
    <row r="41627" s="8" customFormat="1" ht="32.1" customHeight="1" x14ac:dyDescent="0.15"/>
    <row r="41628" s="8" customFormat="1" ht="32.1" customHeight="1" x14ac:dyDescent="0.15"/>
    <row r="41629" s="8" customFormat="1" ht="32.1" customHeight="1" x14ac:dyDescent="0.15"/>
    <row r="41630" s="9" customFormat="1" ht="32.1" customHeight="1" x14ac:dyDescent="0.15"/>
    <row r="41631" s="9" customFormat="1" ht="32.1" customHeight="1" x14ac:dyDescent="0.15"/>
    <row r="41632" s="9" customFormat="1" ht="32.1" customHeight="1" x14ac:dyDescent="0.15"/>
    <row r="41633" s="9" customFormat="1" ht="32.1" customHeight="1" x14ac:dyDescent="0.15"/>
    <row r="41634" s="9" customFormat="1" ht="21.95" customHeight="1" x14ac:dyDescent="0.15"/>
    <row r="41635" s="9" customFormat="1" ht="54" customHeight="1" x14ac:dyDescent="0.15"/>
    <row r="41636" s="9" customFormat="1" ht="21.95" customHeight="1" x14ac:dyDescent="0.15"/>
    <row r="41637" s="9" customFormat="1" ht="21.95" customHeight="1" x14ac:dyDescent="0.15"/>
    <row r="41638" s="9" customFormat="1" ht="21.95" customHeight="1" x14ac:dyDescent="0.15"/>
    <row r="41639" s="9" customFormat="1" ht="21.95" customHeight="1" x14ac:dyDescent="0.15"/>
    <row r="41640" s="9" customFormat="1" ht="21.95" customHeight="1" x14ac:dyDescent="0.15"/>
    <row r="41641" s="9" customFormat="1" ht="21.95" customHeight="1" x14ac:dyDescent="0.15"/>
    <row r="41642" s="9" customFormat="1" ht="21.95" customHeight="1" x14ac:dyDescent="0.15"/>
    <row r="41643" s="9" customFormat="1" ht="21.95" customHeight="1" x14ac:dyDescent="0.15"/>
    <row r="41644" s="9" customFormat="1" ht="21.95" customHeight="1" x14ac:dyDescent="0.15"/>
    <row r="41645" s="9" customFormat="1" ht="21.95" customHeight="1" x14ac:dyDescent="0.15"/>
    <row r="41646" s="9" customFormat="1" ht="21.95" customHeight="1" x14ac:dyDescent="0.15"/>
    <row r="41647" s="9" customFormat="1" ht="21.95" customHeight="1" x14ac:dyDescent="0.15"/>
    <row r="41648" s="9" customFormat="1" ht="21.95" customHeight="1" x14ac:dyDescent="0.15"/>
    <row r="41649" s="9" customFormat="1" ht="21.95" customHeight="1" x14ac:dyDescent="0.15"/>
    <row r="41650" s="9" customFormat="1" ht="21.95" customHeight="1" x14ac:dyDescent="0.15"/>
    <row r="41651" s="9" customFormat="1" ht="21.95" customHeight="1" x14ac:dyDescent="0.15"/>
    <row r="41652" s="9" customFormat="1" ht="21.95" customHeight="1" x14ac:dyDescent="0.15"/>
    <row r="41653" s="9" customFormat="1" ht="21.95" customHeight="1" x14ac:dyDescent="0.15"/>
    <row r="41654" s="9" customFormat="1" ht="21.95" customHeight="1" x14ac:dyDescent="0.15"/>
    <row r="41655" s="9" customFormat="1" ht="21.95" customHeight="1" x14ac:dyDescent="0.15"/>
    <row r="41656" s="9" customFormat="1" ht="21.95" customHeight="1" x14ac:dyDescent="0.15"/>
    <row r="41657" s="9" customFormat="1" ht="21.95" customHeight="1" x14ac:dyDescent="0.15"/>
    <row r="41658" s="9" customFormat="1" ht="21.95" customHeight="1" x14ac:dyDescent="0.15"/>
    <row r="41659" s="9" customFormat="1" ht="21.95" customHeight="1" x14ac:dyDescent="0.15"/>
    <row r="41660" s="9" customFormat="1" ht="21.95" customHeight="1" x14ac:dyDescent="0.15"/>
    <row r="41661" s="9" customFormat="1" ht="21.95" customHeight="1" x14ac:dyDescent="0.15"/>
    <row r="41662" s="9" customFormat="1" ht="21.95" customHeight="1" x14ac:dyDescent="0.15"/>
    <row r="41663" s="9" customFormat="1" ht="21.95" customHeight="1" x14ac:dyDescent="0.15"/>
    <row r="41664" s="9" customFormat="1" ht="21.95" customHeight="1" x14ac:dyDescent="0.15"/>
    <row r="41665" s="9" customFormat="1" ht="21.95" customHeight="1" x14ac:dyDescent="0.15"/>
    <row r="41666" s="9" customFormat="1" ht="21.95" customHeight="1" x14ac:dyDescent="0.15"/>
    <row r="41667" s="9" customFormat="1" ht="21.95" customHeight="1" x14ac:dyDescent="0.15"/>
    <row r="41668" s="9" customFormat="1" ht="21.95" customHeight="1" x14ac:dyDescent="0.15"/>
    <row r="41669" s="9" customFormat="1" ht="21.95" customHeight="1" x14ac:dyDescent="0.15"/>
    <row r="41670" s="9" customFormat="1" ht="21.95" customHeight="1" x14ac:dyDescent="0.15"/>
    <row r="41671" s="9" customFormat="1" ht="21.95" customHeight="1" x14ac:dyDescent="0.15"/>
    <row r="41672" s="9" customFormat="1" ht="21.95" customHeight="1" x14ac:dyDescent="0.15"/>
    <row r="41673" s="9" customFormat="1" ht="21.95" customHeight="1" x14ac:dyDescent="0.15"/>
    <row r="41674" s="9" customFormat="1" ht="21.95" customHeight="1" x14ac:dyDescent="0.15"/>
    <row r="41675" s="9" customFormat="1" ht="21.95" customHeight="1" x14ac:dyDescent="0.15"/>
    <row r="41676" s="9" customFormat="1" ht="21.95" customHeight="1" x14ac:dyDescent="0.15"/>
    <row r="41677" s="9" customFormat="1" ht="21.95" customHeight="1" x14ac:dyDescent="0.15"/>
    <row r="41678" s="9" customFormat="1" ht="21.95" customHeight="1" x14ac:dyDescent="0.15"/>
    <row r="41679" s="9" customFormat="1" ht="21.95" customHeight="1" x14ac:dyDescent="0.15"/>
    <row r="41680" s="9" customFormat="1" ht="21.95" customHeight="1" x14ac:dyDescent="0.15"/>
    <row r="41681" s="9" customFormat="1" ht="21.95" customHeight="1" x14ac:dyDescent="0.15"/>
    <row r="41682" s="9" customFormat="1" ht="21.95" customHeight="1" x14ac:dyDescent="0.15"/>
    <row r="41683" s="9" customFormat="1" ht="21.95" customHeight="1" x14ac:dyDescent="0.15"/>
    <row r="41684" s="9" customFormat="1" ht="21.95" customHeight="1" x14ac:dyDescent="0.15"/>
    <row r="41685" s="9" customFormat="1" ht="21.95" customHeight="1" x14ac:dyDescent="0.15"/>
    <row r="41686" s="9" customFormat="1" ht="35.1" customHeight="1" x14ac:dyDescent="0.15"/>
    <row r="41687" s="9" customFormat="1" ht="21.95" customHeight="1" x14ac:dyDescent="0.15"/>
    <row r="41688" s="9" customFormat="1" ht="21.95" customHeight="1" x14ac:dyDescent="0.15"/>
    <row r="41689" s="9" customFormat="1" ht="21.95" customHeight="1" x14ac:dyDescent="0.15"/>
    <row r="41690" s="9" customFormat="1" ht="21.95" customHeight="1" x14ac:dyDescent="0.15"/>
    <row r="41691" s="9" customFormat="1" ht="21.95" customHeight="1" x14ac:dyDescent="0.15"/>
    <row r="41692" s="9" customFormat="1" ht="21.95" customHeight="1" x14ac:dyDescent="0.15"/>
    <row r="41693" s="9" customFormat="1" ht="21.95" customHeight="1" x14ac:dyDescent="0.15"/>
    <row r="41694" s="9" customFormat="1" ht="21.95" customHeight="1" x14ac:dyDescent="0.15"/>
    <row r="41695" s="9" customFormat="1" ht="21.95" customHeight="1" x14ac:dyDescent="0.15"/>
    <row r="41696" s="9" customFormat="1" ht="21.95" customHeight="1" x14ac:dyDescent="0.15"/>
    <row r="41697" spans="3:3" s="9" customFormat="1" ht="21.95" customHeight="1" x14ac:dyDescent="0.15"/>
    <row r="41698" spans="3:3" s="9" customFormat="1" ht="21.95" customHeight="1" x14ac:dyDescent="0.15"/>
    <row r="41699" spans="3:3" s="9" customFormat="1" ht="21.95" customHeight="1" x14ac:dyDescent="0.15"/>
    <row r="41700" spans="3:3" s="9" customFormat="1" ht="21.95" customHeight="1" x14ac:dyDescent="0.15"/>
    <row r="41701" spans="3:3" s="9" customFormat="1" ht="21.95" customHeight="1" x14ac:dyDescent="0.15"/>
    <row r="41702" spans="3:3" s="9" customFormat="1" ht="21.95" customHeight="1" x14ac:dyDescent="0.15"/>
    <row r="41703" spans="3:3" s="9" customFormat="1" ht="21.95" customHeight="1" x14ac:dyDescent="0.15"/>
    <row r="41704" spans="3:3" s="9" customFormat="1" ht="21.95" customHeight="1" x14ac:dyDescent="0.15"/>
    <row r="41705" spans="3:3" s="9" customFormat="1" ht="21.95" customHeight="1" x14ac:dyDescent="0.15"/>
    <row r="41706" spans="3:3" s="9" customFormat="1" ht="21.95" customHeight="1" x14ac:dyDescent="0.15"/>
    <row r="41707" spans="3:3" s="9" customFormat="1" ht="21.95" customHeight="1" x14ac:dyDescent="0.15"/>
    <row r="41708" spans="3:3" s="9" customFormat="1" ht="21.95" customHeight="1" x14ac:dyDescent="0.15"/>
    <row r="41709" spans="3:3" s="9" customFormat="1" ht="21.95" customHeight="1" x14ac:dyDescent="0.15"/>
    <row r="41710" spans="3:3" s="8" customFormat="1" ht="21.95" customHeight="1" x14ac:dyDescent="0.15"/>
    <row r="41711" spans="3:3" s="8" customFormat="1" ht="21.95" customHeight="1" x14ac:dyDescent="0.15"/>
    <row r="41712" spans="3:3" s="8" customFormat="1" ht="21.95" customHeight="1" x14ac:dyDescent="0.15">
      <c r="C41712" s="101"/>
    </row>
    <row r="41713" spans="3:3" s="8" customFormat="1" ht="21.95" customHeight="1" x14ac:dyDescent="0.15">
      <c r="C41713" s="101"/>
    </row>
    <row r="41714" spans="3:3" s="8" customFormat="1" ht="21.95" customHeight="1" x14ac:dyDescent="0.15"/>
    <row r="41715" spans="3:3" s="8" customFormat="1" ht="21.95" customHeight="1" x14ac:dyDescent="0.15"/>
    <row r="41716" spans="3:3" s="8" customFormat="1" ht="21.95" customHeight="1" x14ac:dyDescent="0.15"/>
    <row r="41717" spans="3:3" s="8" customFormat="1" ht="21.95" customHeight="1" x14ac:dyDescent="0.15"/>
    <row r="41718" spans="3:3" s="8" customFormat="1" ht="21.95" customHeight="1" x14ac:dyDescent="0.15"/>
    <row r="41719" spans="3:3" s="8" customFormat="1" ht="21.95" customHeight="1" x14ac:dyDescent="0.15"/>
    <row r="41720" spans="3:3" s="8" customFormat="1" ht="21.95" customHeight="1" x14ac:dyDescent="0.15"/>
    <row r="41721" spans="3:3" s="9" customFormat="1" ht="21.95" customHeight="1" x14ac:dyDescent="0.15"/>
    <row r="41722" spans="3:3" s="9" customFormat="1" ht="21.95" customHeight="1" x14ac:dyDescent="0.15"/>
    <row r="41723" spans="3:3" s="9" customFormat="1" ht="21.95" customHeight="1" x14ac:dyDescent="0.15"/>
    <row r="41724" spans="3:3" s="9" customFormat="1" ht="21.95" customHeight="1" x14ac:dyDescent="0.15"/>
    <row r="41725" spans="3:3" s="8" customFormat="1" ht="21.95" customHeight="1" x14ac:dyDescent="0.15"/>
    <row r="41726" spans="3:3" s="8" customFormat="1" ht="21.95" customHeight="1" x14ac:dyDescent="0.15"/>
    <row r="41727" spans="3:3" s="8" customFormat="1" ht="21.95" customHeight="1" x14ac:dyDescent="0.15"/>
    <row r="41728" spans="3:3" s="8" customFormat="1" ht="21.95" customHeight="1" x14ac:dyDescent="0.15"/>
    <row r="41729" s="8" customFormat="1" ht="21.95" customHeight="1" x14ac:dyDescent="0.15"/>
    <row r="41730" s="8" customFormat="1" ht="21.95" customHeight="1" x14ac:dyDescent="0.15"/>
    <row r="41731" s="8" customFormat="1" ht="21.95" customHeight="1" x14ac:dyDescent="0.15"/>
    <row r="41732" s="8" customFormat="1" ht="21.95" customHeight="1" x14ac:dyDescent="0.15"/>
    <row r="41733" s="8" customFormat="1" ht="21.95" customHeight="1" x14ac:dyDescent="0.15"/>
    <row r="41734" s="8" customFormat="1" ht="21.95" customHeight="1" x14ac:dyDescent="0.15"/>
    <row r="41735" s="8" customFormat="1" ht="21.95" customHeight="1" x14ac:dyDescent="0.15"/>
    <row r="41736" s="8" customFormat="1" ht="32.1" customHeight="1" x14ac:dyDescent="0.15"/>
    <row r="41737" s="8" customFormat="1" ht="32.1" customHeight="1" x14ac:dyDescent="0.15"/>
    <row r="41738" s="8" customFormat="1" ht="32.1" customHeight="1" x14ac:dyDescent="0.15"/>
    <row r="41739" s="8" customFormat="1" ht="32.1" customHeight="1" x14ac:dyDescent="0.15"/>
    <row r="41740" s="8" customFormat="1" ht="32.1" customHeight="1" x14ac:dyDescent="0.15"/>
    <row r="41741" s="8" customFormat="1" ht="32.1" customHeight="1" x14ac:dyDescent="0.15"/>
    <row r="41742" s="9" customFormat="1" ht="32.1" customHeight="1" x14ac:dyDescent="0.15"/>
    <row r="41743" s="9" customFormat="1" ht="32.1" customHeight="1" x14ac:dyDescent="0.15"/>
    <row r="41744" s="9" customFormat="1" ht="32.1" customHeight="1" x14ac:dyDescent="0.15"/>
    <row r="41745" s="9" customFormat="1" ht="32.1" customHeight="1" x14ac:dyDescent="0.15"/>
    <row r="41746" s="9" customFormat="1" ht="21.95" customHeight="1" x14ac:dyDescent="0.15"/>
    <row r="41747" s="9" customFormat="1" ht="54" customHeight="1" x14ac:dyDescent="0.15"/>
    <row r="41748" s="9" customFormat="1" ht="21.95" customHeight="1" x14ac:dyDescent="0.15"/>
    <row r="41749" s="9" customFormat="1" ht="21.95" customHeight="1" x14ac:dyDescent="0.15"/>
    <row r="41750" s="9" customFormat="1" ht="21.95" customHeight="1" x14ac:dyDescent="0.15"/>
    <row r="41751" s="9" customFormat="1" ht="21.95" customHeight="1" x14ac:dyDescent="0.15"/>
    <row r="41752" s="9" customFormat="1" ht="21.95" customHeight="1" x14ac:dyDescent="0.15"/>
    <row r="41753" s="9" customFormat="1" ht="21.95" customHeight="1" x14ac:dyDescent="0.15"/>
    <row r="41754" s="9" customFormat="1" ht="21.95" customHeight="1" x14ac:dyDescent="0.15"/>
    <row r="41755" s="9" customFormat="1" ht="21.95" customHeight="1" x14ac:dyDescent="0.15"/>
    <row r="41756" s="9" customFormat="1" ht="21.95" customHeight="1" x14ac:dyDescent="0.15"/>
    <row r="41757" s="9" customFormat="1" ht="21.95" customHeight="1" x14ac:dyDescent="0.15"/>
    <row r="41758" s="9" customFormat="1" ht="21.95" customHeight="1" x14ac:dyDescent="0.15"/>
    <row r="41759" s="9" customFormat="1" ht="21.95" customHeight="1" x14ac:dyDescent="0.15"/>
    <row r="41760" s="9" customFormat="1" ht="21.95" customHeight="1" x14ac:dyDescent="0.15"/>
    <row r="41761" s="9" customFormat="1" ht="21.95" customHeight="1" x14ac:dyDescent="0.15"/>
    <row r="41762" s="9" customFormat="1" ht="21.95" customHeight="1" x14ac:dyDescent="0.15"/>
    <row r="41763" s="9" customFormat="1" ht="21.95" customHeight="1" x14ac:dyDescent="0.15"/>
    <row r="41764" s="9" customFormat="1" ht="21.95" customHeight="1" x14ac:dyDescent="0.15"/>
    <row r="41765" s="9" customFormat="1" ht="21.95" customHeight="1" x14ac:dyDescent="0.15"/>
    <row r="41766" s="9" customFormat="1" ht="21.95" customHeight="1" x14ac:dyDescent="0.15"/>
    <row r="41767" s="9" customFormat="1" ht="21.95" customHeight="1" x14ac:dyDescent="0.15"/>
    <row r="41768" s="9" customFormat="1" ht="21.95" customHeight="1" x14ac:dyDescent="0.15"/>
    <row r="41769" s="9" customFormat="1" ht="21.95" customHeight="1" x14ac:dyDescent="0.15"/>
    <row r="41770" s="9" customFormat="1" ht="21.95" customHeight="1" x14ac:dyDescent="0.15"/>
    <row r="41771" s="9" customFormat="1" ht="21.95" customHeight="1" x14ac:dyDescent="0.15"/>
    <row r="41772" s="9" customFormat="1" ht="21.95" customHeight="1" x14ac:dyDescent="0.15"/>
    <row r="41773" s="9" customFormat="1" ht="21.95" customHeight="1" x14ac:dyDescent="0.15"/>
    <row r="41774" s="9" customFormat="1" ht="21.95" customHeight="1" x14ac:dyDescent="0.15"/>
    <row r="41775" s="9" customFormat="1" ht="21.95" customHeight="1" x14ac:dyDescent="0.15"/>
    <row r="41776" s="9" customFormat="1" ht="21.95" customHeight="1" x14ac:dyDescent="0.15"/>
    <row r="41777" s="9" customFormat="1" ht="21.95" customHeight="1" x14ac:dyDescent="0.15"/>
    <row r="41778" s="9" customFormat="1" ht="21.95" customHeight="1" x14ac:dyDescent="0.15"/>
    <row r="41779" s="9" customFormat="1" ht="21.95" customHeight="1" x14ac:dyDescent="0.15"/>
    <row r="41780" s="9" customFormat="1" ht="21.95" customHeight="1" x14ac:dyDescent="0.15"/>
    <row r="41781" s="9" customFormat="1" ht="21.95" customHeight="1" x14ac:dyDescent="0.15"/>
    <row r="41782" s="9" customFormat="1" ht="21.95" customHeight="1" x14ac:dyDescent="0.15"/>
    <row r="41783" s="9" customFormat="1" ht="21.95" customHeight="1" x14ac:dyDescent="0.15"/>
    <row r="41784" s="9" customFormat="1" ht="21.95" customHeight="1" x14ac:dyDescent="0.15"/>
    <row r="41785" s="9" customFormat="1" ht="21.95" customHeight="1" x14ac:dyDescent="0.15"/>
    <row r="41786" s="9" customFormat="1" ht="21.95" customHeight="1" x14ac:dyDescent="0.15"/>
    <row r="41787" s="9" customFormat="1" ht="21.95" customHeight="1" x14ac:dyDescent="0.15"/>
    <row r="41788" s="9" customFormat="1" ht="21.95" customHeight="1" x14ac:dyDescent="0.15"/>
    <row r="41789" s="9" customFormat="1" ht="21.95" customHeight="1" x14ac:dyDescent="0.15"/>
    <row r="41790" s="9" customFormat="1" ht="21.95" customHeight="1" x14ac:dyDescent="0.15"/>
    <row r="41791" s="9" customFormat="1" ht="21.95" customHeight="1" x14ac:dyDescent="0.15"/>
    <row r="41792" s="9" customFormat="1" ht="21.95" customHeight="1" x14ac:dyDescent="0.15"/>
    <row r="41793" s="9" customFormat="1" ht="21.95" customHeight="1" x14ac:dyDescent="0.15"/>
    <row r="41794" s="9" customFormat="1" ht="21.95" customHeight="1" x14ac:dyDescent="0.15"/>
    <row r="41795" s="9" customFormat="1" ht="21.95" customHeight="1" x14ac:dyDescent="0.15"/>
    <row r="41796" s="9" customFormat="1" ht="21.95" customHeight="1" x14ac:dyDescent="0.15"/>
    <row r="41797" s="9" customFormat="1" ht="21.95" customHeight="1" x14ac:dyDescent="0.15"/>
    <row r="41798" s="9" customFormat="1" ht="35.1" customHeight="1" x14ac:dyDescent="0.15"/>
    <row r="41799" s="9" customFormat="1" ht="21.95" customHeight="1" x14ac:dyDescent="0.15"/>
    <row r="41800" s="9" customFormat="1" ht="21.95" customHeight="1" x14ac:dyDescent="0.15"/>
    <row r="41801" s="9" customFormat="1" ht="21.95" customHeight="1" x14ac:dyDescent="0.15"/>
    <row r="41802" s="9" customFormat="1" ht="21.95" customHeight="1" x14ac:dyDescent="0.15"/>
    <row r="41803" s="9" customFormat="1" ht="21.95" customHeight="1" x14ac:dyDescent="0.15"/>
    <row r="41804" s="9" customFormat="1" ht="21.95" customHeight="1" x14ac:dyDescent="0.15"/>
    <row r="41805" s="9" customFormat="1" ht="21.95" customHeight="1" x14ac:dyDescent="0.15"/>
    <row r="41806" s="9" customFormat="1" ht="21.95" customHeight="1" x14ac:dyDescent="0.15"/>
    <row r="41807" s="9" customFormat="1" ht="21.95" customHeight="1" x14ac:dyDescent="0.15"/>
    <row r="41808" s="9" customFormat="1" ht="21.95" customHeight="1" x14ac:dyDescent="0.15"/>
    <row r="41809" spans="3:3" s="9" customFormat="1" ht="21.95" customHeight="1" x14ac:dyDescent="0.15"/>
    <row r="41810" spans="3:3" s="9" customFormat="1" ht="21.95" customHeight="1" x14ac:dyDescent="0.15"/>
    <row r="41811" spans="3:3" s="9" customFormat="1" ht="21.95" customHeight="1" x14ac:dyDescent="0.15"/>
    <row r="41812" spans="3:3" s="9" customFormat="1" ht="21.95" customHeight="1" x14ac:dyDescent="0.15"/>
    <row r="41813" spans="3:3" s="9" customFormat="1" ht="21.95" customHeight="1" x14ac:dyDescent="0.15"/>
    <row r="41814" spans="3:3" s="9" customFormat="1" ht="21.95" customHeight="1" x14ac:dyDescent="0.15"/>
    <row r="41815" spans="3:3" s="9" customFormat="1" ht="21.95" customHeight="1" x14ac:dyDescent="0.15"/>
    <row r="41816" spans="3:3" s="9" customFormat="1" ht="21.95" customHeight="1" x14ac:dyDescent="0.15"/>
    <row r="41817" spans="3:3" s="9" customFormat="1" ht="21.95" customHeight="1" x14ac:dyDescent="0.15"/>
    <row r="41818" spans="3:3" s="9" customFormat="1" ht="21.95" customHeight="1" x14ac:dyDescent="0.15"/>
    <row r="41819" spans="3:3" s="9" customFormat="1" ht="21.95" customHeight="1" x14ac:dyDescent="0.15"/>
    <row r="41820" spans="3:3" s="9" customFormat="1" ht="21.95" customHeight="1" x14ac:dyDescent="0.15"/>
    <row r="41821" spans="3:3" s="9" customFormat="1" ht="21.95" customHeight="1" x14ac:dyDescent="0.15"/>
    <row r="41822" spans="3:3" s="8" customFormat="1" ht="21.95" customHeight="1" x14ac:dyDescent="0.15"/>
    <row r="41823" spans="3:3" s="8" customFormat="1" ht="21.95" customHeight="1" x14ac:dyDescent="0.15"/>
    <row r="41824" spans="3:3" s="8" customFormat="1" ht="21.95" customHeight="1" x14ac:dyDescent="0.15">
      <c r="C41824" s="101"/>
    </row>
    <row r="41825" spans="3:3" s="8" customFormat="1" ht="21.95" customHeight="1" x14ac:dyDescent="0.15">
      <c r="C41825" s="101"/>
    </row>
    <row r="41826" spans="3:3" s="8" customFormat="1" ht="21.95" customHeight="1" x14ac:dyDescent="0.15"/>
    <row r="41827" spans="3:3" s="8" customFormat="1" ht="21.95" customHeight="1" x14ac:dyDescent="0.15"/>
    <row r="41828" spans="3:3" s="8" customFormat="1" ht="21.95" customHeight="1" x14ac:dyDescent="0.15"/>
    <row r="41829" spans="3:3" s="8" customFormat="1" ht="21.95" customHeight="1" x14ac:dyDescent="0.15"/>
    <row r="41830" spans="3:3" s="8" customFormat="1" ht="21.95" customHeight="1" x14ac:dyDescent="0.15"/>
    <row r="41831" spans="3:3" s="8" customFormat="1" ht="21.95" customHeight="1" x14ac:dyDescent="0.15"/>
    <row r="41832" spans="3:3" s="8" customFormat="1" ht="21.95" customHeight="1" x14ac:dyDescent="0.15"/>
    <row r="41833" spans="3:3" s="9" customFormat="1" ht="21.95" customHeight="1" x14ac:dyDescent="0.15"/>
    <row r="41834" spans="3:3" s="9" customFormat="1" ht="21.95" customHeight="1" x14ac:dyDescent="0.15"/>
    <row r="41835" spans="3:3" s="9" customFormat="1" ht="21.95" customHeight="1" x14ac:dyDescent="0.15"/>
    <row r="41836" spans="3:3" s="9" customFormat="1" ht="21.95" customHeight="1" x14ac:dyDescent="0.15"/>
    <row r="41837" spans="3:3" s="8" customFormat="1" ht="21.95" customHeight="1" x14ac:dyDescent="0.15"/>
    <row r="41838" spans="3:3" s="8" customFormat="1" ht="21.95" customHeight="1" x14ac:dyDescent="0.15"/>
    <row r="41839" spans="3:3" s="8" customFormat="1" ht="21.95" customHeight="1" x14ac:dyDescent="0.15"/>
    <row r="41840" spans="3:3" s="8" customFormat="1" ht="21.95" customHeight="1" x14ac:dyDescent="0.15"/>
    <row r="41841" s="8" customFormat="1" ht="21.95" customHeight="1" x14ac:dyDescent="0.15"/>
    <row r="41842" s="8" customFormat="1" ht="21.95" customHeight="1" x14ac:dyDescent="0.15"/>
    <row r="41843" s="8" customFormat="1" ht="21.95" customHeight="1" x14ac:dyDescent="0.15"/>
    <row r="41844" s="8" customFormat="1" ht="21.95" customHeight="1" x14ac:dyDescent="0.15"/>
    <row r="41845" s="8" customFormat="1" ht="21.95" customHeight="1" x14ac:dyDescent="0.15"/>
    <row r="41846" s="8" customFormat="1" ht="21.95" customHeight="1" x14ac:dyDescent="0.15"/>
    <row r="41847" s="8" customFormat="1" ht="21.95" customHeight="1" x14ac:dyDescent="0.15"/>
    <row r="41848" s="8" customFormat="1" ht="32.1" customHeight="1" x14ac:dyDescent="0.15"/>
    <row r="41849" s="8" customFormat="1" ht="32.1" customHeight="1" x14ac:dyDescent="0.15"/>
    <row r="41850" s="8" customFormat="1" ht="32.1" customHeight="1" x14ac:dyDescent="0.15"/>
    <row r="41851" s="8" customFormat="1" ht="32.1" customHeight="1" x14ac:dyDescent="0.15"/>
    <row r="41852" s="8" customFormat="1" ht="32.1" customHeight="1" x14ac:dyDescent="0.15"/>
    <row r="41853" s="8" customFormat="1" ht="32.1" customHeight="1" x14ac:dyDescent="0.15"/>
    <row r="41854" s="9" customFormat="1" ht="32.1" customHeight="1" x14ac:dyDescent="0.15"/>
    <row r="41855" s="9" customFormat="1" ht="32.1" customHeight="1" x14ac:dyDescent="0.15"/>
    <row r="41856" s="9" customFormat="1" ht="32.1" customHeight="1" x14ac:dyDescent="0.15"/>
    <row r="41857" s="9" customFormat="1" ht="32.1" customHeight="1" x14ac:dyDescent="0.15"/>
    <row r="41858" s="9" customFormat="1" ht="21.95" customHeight="1" x14ac:dyDescent="0.15"/>
    <row r="41859" s="9" customFormat="1" ht="54" customHeight="1" x14ac:dyDescent="0.15"/>
    <row r="41860" s="9" customFormat="1" ht="21.95" customHeight="1" x14ac:dyDescent="0.15"/>
    <row r="41861" s="9" customFormat="1" ht="21.95" customHeight="1" x14ac:dyDescent="0.15"/>
    <row r="41862" s="9" customFormat="1" ht="21.95" customHeight="1" x14ac:dyDescent="0.15"/>
    <row r="41863" s="9" customFormat="1" ht="21.95" customHeight="1" x14ac:dyDescent="0.15"/>
    <row r="41864" s="9" customFormat="1" ht="21.95" customHeight="1" x14ac:dyDescent="0.15"/>
    <row r="41865" s="9" customFormat="1" ht="21.95" customHeight="1" x14ac:dyDescent="0.15"/>
    <row r="41866" s="9" customFormat="1" ht="21.95" customHeight="1" x14ac:dyDescent="0.15"/>
    <row r="41867" s="9" customFormat="1" ht="21.95" customHeight="1" x14ac:dyDescent="0.15"/>
    <row r="41868" s="9" customFormat="1" ht="21.95" customHeight="1" x14ac:dyDescent="0.15"/>
    <row r="41869" s="9" customFormat="1" ht="21.95" customHeight="1" x14ac:dyDescent="0.15"/>
    <row r="41870" s="9" customFormat="1" ht="21.95" customHeight="1" x14ac:dyDescent="0.15"/>
    <row r="41871" s="9" customFormat="1" ht="21.95" customHeight="1" x14ac:dyDescent="0.15"/>
    <row r="41872" s="9" customFormat="1" ht="21.95" customHeight="1" x14ac:dyDescent="0.15"/>
    <row r="41873" s="9" customFormat="1" ht="21.95" customHeight="1" x14ac:dyDescent="0.15"/>
    <row r="41874" s="9" customFormat="1" ht="21.95" customHeight="1" x14ac:dyDescent="0.15"/>
    <row r="41875" s="9" customFormat="1" ht="21.95" customHeight="1" x14ac:dyDescent="0.15"/>
    <row r="41876" s="9" customFormat="1" ht="21.95" customHeight="1" x14ac:dyDescent="0.15"/>
    <row r="41877" s="9" customFormat="1" ht="21.95" customHeight="1" x14ac:dyDescent="0.15"/>
    <row r="41878" s="9" customFormat="1" ht="21.95" customHeight="1" x14ac:dyDescent="0.15"/>
    <row r="41879" s="9" customFormat="1" ht="21.95" customHeight="1" x14ac:dyDescent="0.15"/>
    <row r="41880" s="9" customFormat="1" ht="21.95" customHeight="1" x14ac:dyDescent="0.15"/>
    <row r="41881" s="9" customFormat="1" ht="21.95" customHeight="1" x14ac:dyDescent="0.15"/>
    <row r="41882" s="9" customFormat="1" ht="21.95" customHeight="1" x14ac:dyDescent="0.15"/>
    <row r="41883" s="9" customFormat="1" ht="21.95" customHeight="1" x14ac:dyDescent="0.15"/>
    <row r="41884" s="9" customFormat="1" ht="21.95" customHeight="1" x14ac:dyDescent="0.15"/>
    <row r="41885" s="9" customFormat="1" ht="21.95" customHeight="1" x14ac:dyDescent="0.15"/>
    <row r="41886" s="9" customFormat="1" ht="21.95" customHeight="1" x14ac:dyDescent="0.15"/>
    <row r="41887" s="9" customFormat="1" ht="21.95" customHeight="1" x14ac:dyDescent="0.15"/>
    <row r="41888" s="9" customFormat="1" ht="21.95" customHeight="1" x14ac:dyDescent="0.15"/>
    <row r="41889" s="9" customFormat="1" ht="21.95" customHeight="1" x14ac:dyDescent="0.15"/>
    <row r="41890" s="9" customFormat="1" ht="21.95" customHeight="1" x14ac:dyDescent="0.15"/>
    <row r="41891" s="9" customFormat="1" ht="21.95" customHeight="1" x14ac:dyDescent="0.15"/>
    <row r="41892" s="9" customFormat="1" ht="21.95" customHeight="1" x14ac:dyDescent="0.15"/>
    <row r="41893" s="9" customFormat="1" ht="21.95" customHeight="1" x14ac:dyDescent="0.15"/>
    <row r="41894" s="9" customFormat="1" ht="21.95" customHeight="1" x14ac:dyDescent="0.15"/>
    <row r="41895" s="9" customFormat="1" ht="21.95" customHeight="1" x14ac:dyDescent="0.15"/>
    <row r="41896" s="9" customFormat="1" ht="21.95" customHeight="1" x14ac:dyDescent="0.15"/>
    <row r="41897" s="9" customFormat="1" ht="21.95" customHeight="1" x14ac:dyDescent="0.15"/>
    <row r="41898" s="9" customFormat="1" ht="21.95" customHeight="1" x14ac:dyDescent="0.15"/>
    <row r="41899" s="9" customFormat="1" ht="21.95" customHeight="1" x14ac:dyDescent="0.15"/>
    <row r="41900" s="9" customFormat="1" ht="21.95" customHeight="1" x14ac:dyDescent="0.15"/>
    <row r="41901" s="9" customFormat="1" ht="21.95" customHeight="1" x14ac:dyDescent="0.15"/>
    <row r="41902" s="9" customFormat="1" ht="21.95" customHeight="1" x14ac:dyDescent="0.15"/>
    <row r="41903" s="9" customFormat="1" ht="21.95" customHeight="1" x14ac:dyDescent="0.15"/>
    <row r="41904" s="9" customFormat="1" ht="21.95" customHeight="1" x14ac:dyDescent="0.15"/>
    <row r="41905" s="9" customFormat="1" ht="21.95" customHeight="1" x14ac:dyDescent="0.15"/>
    <row r="41906" s="9" customFormat="1" ht="21.95" customHeight="1" x14ac:dyDescent="0.15"/>
    <row r="41907" s="9" customFormat="1" ht="21.95" customHeight="1" x14ac:dyDescent="0.15"/>
    <row r="41908" s="9" customFormat="1" ht="21.95" customHeight="1" x14ac:dyDescent="0.15"/>
    <row r="41909" s="9" customFormat="1" ht="21.95" customHeight="1" x14ac:dyDescent="0.15"/>
    <row r="41910" s="9" customFormat="1" ht="35.1" customHeight="1" x14ac:dyDescent="0.15"/>
    <row r="41911" s="9" customFormat="1" ht="21.95" customHeight="1" x14ac:dyDescent="0.15"/>
    <row r="41912" s="9" customFormat="1" ht="21.95" customHeight="1" x14ac:dyDescent="0.15"/>
    <row r="41913" s="9" customFormat="1" ht="21.95" customHeight="1" x14ac:dyDescent="0.15"/>
    <row r="41914" s="9" customFormat="1" ht="21.95" customHeight="1" x14ac:dyDescent="0.15"/>
    <row r="41915" s="9" customFormat="1" ht="21.95" customHeight="1" x14ac:dyDescent="0.15"/>
    <row r="41916" s="9" customFormat="1" ht="21.95" customHeight="1" x14ac:dyDescent="0.15"/>
    <row r="41917" s="9" customFormat="1" ht="21.95" customHeight="1" x14ac:dyDescent="0.15"/>
    <row r="41918" s="9" customFormat="1" ht="21.95" customHeight="1" x14ac:dyDescent="0.15"/>
    <row r="41919" s="9" customFormat="1" ht="21.95" customHeight="1" x14ac:dyDescent="0.15"/>
    <row r="41920" s="9" customFormat="1" ht="21.95" customHeight="1" x14ac:dyDescent="0.15"/>
    <row r="41921" spans="3:3" s="9" customFormat="1" ht="21.95" customHeight="1" x14ac:dyDescent="0.15"/>
    <row r="41922" spans="3:3" s="9" customFormat="1" ht="21.95" customHeight="1" x14ac:dyDescent="0.15"/>
    <row r="41923" spans="3:3" s="9" customFormat="1" ht="21.95" customHeight="1" x14ac:dyDescent="0.15"/>
    <row r="41924" spans="3:3" s="9" customFormat="1" ht="21.95" customHeight="1" x14ac:dyDescent="0.15"/>
    <row r="41925" spans="3:3" s="9" customFormat="1" ht="21.95" customHeight="1" x14ac:dyDescent="0.15"/>
    <row r="41926" spans="3:3" s="9" customFormat="1" ht="21.95" customHeight="1" x14ac:dyDescent="0.15"/>
    <row r="41927" spans="3:3" s="9" customFormat="1" ht="21.95" customHeight="1" x14ac:dyDescent="0.15"/>
    <row r="41928" spans="3:3" s="9" customFormat="1" ht="21.95" customHeight="1" x14ac:dyDescent="0.15"/>
    <row r="41929" spans="3:3" s="9" customFormat="1" ht="21.95" customHeight="1" x14ac:dyDescent="0.15"/>
    <row r="41930" spans="3:3" s="9" customFormat="1" ht="21.95" customHeight="1" x14ac:dyDescent="0.15"/>
    <row r="41931" spans="3:3" s="9" customFormat="1" ht="21.95" customHeight="1" x14ac:dyDescent="0.15"/>
    <row r="41932" spans="3:3" s="9" customFormat="1" ht="21.95" customHeight="1" x14ac:dyDescent="0.15"/>
    <row r="41933" spans="3:3" s="9" customFormat="1" ht="21.95" customHeight="1" x14ac:dyDescent="0.15"/>
    <row r="41934" spans="3:3" s="8" customFormat="1" ht="21.95" customHeight="1" x14ac:dyDescent="0.15"/>
    <row r="41935" spans="3:3" s="8" customFormat="1" ht="21.95" customHeight="1" x14ac:dyDescent="0.15"/>
    <row r="41936" spans="3:3" s="8" customFormat="1" ht="21.95" customHeight="1" x14ac:dyDescent="0.15">
      <c r="C41936" s="101"/>
    </row>
    <row r="41937" spans="3:3" s="8" customFormat="1" ht="21.95" customHeight="1" x14ac:dyDescent="0.15">
      <c r="C41937" s="101"/>
    </row>
    <row r="41938" spans="3:3" s="8" customFormat="1" ht="21.95" customHeight="1" x14ac:dyDescent="0.15"/>
    <row r="41939" spans="3:3" s="8" customFormat="1" ht="21.95" customHeight="1" x14ac:dyDescent="0.15"/>
    <row r="41940" spans="3:3" s="8" customFormat="1" ht="21.95" customHeight="1" x14ac:dyDescent="0.15"/>
    <row r="41941" spans="3:3" s="8" customFormat="1" ht="21.95" customHeight="1" x14ac:dyDescent="0.15"/>
    <row r="41942" spans="3:3" s="8" customFormat="1" ht="21.95" customHeight="1" x14ac:dyDescent="0.15"/>
    <row r="41943" spans="3:3" s="8" customFormat="1" ht="21.95" customHeight="1" x14ac:dyDescent="0.15"/>
    <row r="41944" spans="3:3" s="8" customFormat="1" ht="21.95" customHeight="1" x14ac:dyDescent="0.15"/>
    <row r="41945" spans="3:3" s="9" customFormat="1" ht="21.95" customHeight="1" x14ac:dyDescent="0.15"/>
    <row r="41946" spans="3:3" s="9" customFormat="1" ht="21.95" customHeight="1" x14ac:dyDescent="0.15"/>
    <row r="41947" spans="3:3" s="9" customFormat="1" ht="21.95" customHeight="1" x14ac:dyDescent="0.15"/>
    <row r="41948" spans="3:3" s="9" customFormat="1" ht="21.95" customHeight="1" x14ac:dyDescent="0.15"/>
    <row r="41949" spans="3:3" s="8" customFormat="1" ht="21.95" customHeight="1" x14ac:dyDescent="0.15"/>
    <row r="41950" spans="3:3" s="8" customFormat="1" ht="21.95" customHeight="1" x14ac:dyDescent="0.15"/>
    <row r="41951" spans="3:3" s="8" customFormat="1" ht="21.95" customHeight="1" x14ac:dyDescent="0.15"/>
    <row r="41952" spans="3:3" s="8" customFormat="1" ht="21.95" customHeight="1" x14ac:dyDescent="0.15"/>
    <row r="41953" s="8" customFormat="1" ht="21.95" customHeight="1" x14ac:dyDescent="0.15"/>
    <row r="41954" s="8" customFormat="1" ht="21.95" customHeight="1" x14ac:dyDescent="0.15"/>
    <row r="41955" s="8" customFormat="1" ht="21.95" customHeight="1" x14ac:dyDescent="0.15"/>
    <row r="41956" s="8" customFormat="1" ht="21.95" customHeight="1" x14ac:dyDescent="0.15"/>
    <row r="41957" s="8" customFormat="1" ht="21.95" customHeight="1" x14ac:dyDescent="0.15"/>
    <row r="41958" s="8" customFormat="1" ht="21.95" customHeight="1" x14ac:dyDescent="0.15"/>
    <row r="41959" s="8" customFormat="1" ht="21.95" customHeight="1" x14ac:dyDescent="0.15"/>
    <row r="41960" s="8" customFormat="1" ht="32.1" customHeight="1" x14ac:dyDescent="0.15"/>
    <row r="41961" s="8" customFormat="1" ht="32.1" customHeight="1" x14ac:dyDescent="0.15"/>
    <row r="41962" s="8" customFormat="1" ht="32.1" customHeight="1" x14ac:dyDescent="0.15"/>
    <row r="41963" s="8" customFormat="1" ht="32.1" customHeight="1" x14ac:dyDescent="0.15"/>
    <row r="41964" s="8" customFormat="1" ht="32.1" customHeight="1" x14ac:dyDescent="0.15"/>
    <row r="41965" s="8" customFormat="1" ht="32.1" customHeight="1" x14ac:dyDescent="0.15"/>
    <row r="41966" s="9" customFormat="1" ht="32.1" customHeight="1" x14ac:dyDescent="0.15"/>
    <row r="41967" s="9" customFormat="1" ht="32.1" customHeight="1" x14ac:dyDescent="0.15"/>
    <row r="41968" s="9" customFormat="1" ht="32.1" customHeight="1" x14ac:dyDescent="0.15"/>
    <row r="41969" s="9" customFormat="1" ht="32.1" customHeight="1" x14ac:dyDescent="0.15"/>
    <row r="41970" s="9" customFormat="1" ht="21.95" customHeight="1" x14ac:dyDescent="0.15"/>
    <row r="41971" s="9" customFormat="1" ht="54" customHeight="1" x14ac:dyDescent="0.15"/>
    <row r="41972" s="9" customFormat="1" ht="21.95" customHeight="1" x14ac:dyDescent="0.15"/>
    <row r="41973" s="9" customFormat="1" ht="21.95" customHeight="1" x14ac:dyDescent="0.15"/>
    <row r="41974" s="9" customFormat="1" ht="21.95" customHeight="1" x14ac:dyDescent="0.15"/>
    <row r="41975" s="9" customFormat="1" ht="21.95" customHeight="1" x14ac:dyDescent="0.15"/>
    <row r="41976" s="9" customFormat="1" ht="21.95" customHeight="1" x14ac:dyDescent="0.15"/>
    <row r="41977" s="9" customFormat="1" ht="21.95" customHeight="1" x14ac:dyDescent="0.15"/>
    <row r="41978" s="9" customFormat="1" ht="21.95" customHeight="1" x14ac:dyDescent="0.15"/>
    <row r="41979" s="9" customFormat="1" ht="21.95" customHeight="1" x14ac:dyDescent="0.15"/>
    <row r="41980" s="9" customFormat="1" ht="21.95" customHeight="1" x14ac:dyDescent="0.15"/>
    <row r="41981" s="9" customFormat="1" ht="21.95" customHeight="1" x14ac:dyDescent="0.15"/>
    <row r="41982" s="9" customFormat="1" ht="21.95" customHeight="1" x14ac:dyDescent="0.15"/>
    <row r="41983" s="9" customFormat="1" ht="21.95" customHeight="1" x14ac:dyDescent="0.15"/>
    <row r="41984" s="9" customFormat="1" ht="21.95" customHeight="1" x14ac:dyDescent="0.15"/>
    <row r="41985" s="9" customFormat="1" ht="21.95" customHeight="1" x14ac:dyDescent="0.15"/>
    <row r="41986" s="9" customFormat="1" ht="21.95" customHeight="1" x14ac:dyDescent="0.15"/>
    <row r="41987" s="9" customFormat="1" ht="21.95" customHeight="1" x14ac:dyDescent="0.15"/>
    <row r="41988" s="9" customFormat="1" ht="21.95" customHeight="1" x14ac:dyDescent="0.15"/>
    <row r="41989" s="9" customFormat="1" ht="21.95" customHeight="1" x14ac:dyDescent="0.15"/>
    <row r="41990" s="9" customFormat="1" ht="21.95" customHeight="1" x14ac:dyDescent="0.15"/>
    <row r="41991" s="9" customFormat="1" ht="21.95" customHeight="1" x14ac:dyDescent="0.15"/>
    <row r="41992" s="9" customFormat="1" ht="21.95" customHeight="1" x14ac:dyDescent="0.15"/>
    <row r="41993" s="9" customFormat="1" ht="21.95" customHeight="1" x14ac:dyDescent="0.15"/>
    <row r="41994" s="9" customFormat="1" ht="21.95" customHeight="1" x14ac:dyDescent="0.15"/>
    <row r="41995" s="9" customFormat="1" ht="21.95" customHeight="1" x14ac:dyDescent="0.15"/>
    <row r="41996" s="9" customFormat="1" ht="21.95" customHeight="1" x14ac:dyDescent="0.15"/>
    <row r="41997" s="9" customFormat="1" ht="21.95" customHeight="1" x14ac:dyDescent="0.15"/>
    <row r="41998" s="9" customFormat="1" ht="21.95" customHeight="1" x14ac:dyDescent="0.15"/>
    <row r="41999" s="9" customFormat="1" ht="21.95" customHeight="1" x14ac:dyDescent="0.15"/>
    <row r="42000" s="9" customFormat="1" ht="21.95" customHeight="1" x14ac:dyDescent="0.15"/>
    <row r="42001" s="9" customFormat="1" ht="21.95" customHeight="1" x14ac:dyDescent="0.15"/>
    <row r="42002" s="9" customFormat="1" ht="21.95" customHeight="1" x14ac:dyDescent="0.15"/>
    <row r="42003" s="9" customFormat="1" ht="21.95" customHeight="1" x14ac:dyDescent="0.15"/>
    <row r="42004" s="9" customFormat="1" ht="21.95" customHeight="1" x14ac:dyDescent="0.15"/>
    <row r="42005" s="9" customFormat="1" ht="21.95" customHeight="1" x14ac:dyDescent="0.15"/>
    <row r="42006" s="9" customFormat="1" ht="21.95" customHeight="1" x14ac:dyDescent="0.15"/>
    <row r="42007" s="9" customFormat="1" ht="21.95" customHeight="1" x14ac:dyDescent="0.15"/>
    <row r="42008" s="9" customFormat="1" ht="21.95" customHeight="1" x14ac:dyDescent="0.15"/>
    <row r="42009" s="9" customFormat="1" ht="21.95" customHeight="1" x14ac:dyDescent="0.15"/>
    <row r="42010" s="9" customFormat="1" ht="21.95" customHeight="1" x14ac:dyDescent="0.15"/>
    <row r="42011" s="9" customFormat="1" ht="21.95" customHeight="1" x14ac:dyDescent="0.15"/>
    <row r="42012" s="9" customFormat="1" ht="21.95" customHeight="1" x14ac:dyDescent="0.15"/>
    <row r="42013" s="9" customFormat="1" ht="21.95" customHeight="1" x14ac:dyDescent="0.15"/>
    <row r="42014" s="9" customFormat="1" ht="21.95" customHeight="1" x14ac:dyDescent="0.15"/>
    <row r="42015" s="9" customFormat="1" ht="21.95" customHeight="1" x14ac:dyDescent="0.15"/>
    <row r="42016" s="9" customFormat="1" ht="21.95" customHeight="1" x14ac:dyDescent="0.15"/>
    <row r="42017" s="9" customFormat="1" ht="21.95" customHeight="1" x14ac:dyDescent="0.15"/>
    <row r="42018" s="9" customFormat="1" ht="21.95" customHeight="1" x14ac:dyDescent="0.15"/>
    <row r="42019" s="9" customFormat="1" ht="21.95" customHeight="1" x14ac:dyDescent="0.15"/>
    <row r="42020" s="9" customFormat="1" ht="21.95" customHeight="1" x14ac:dyDescent="0.15"/>
    <row r="42021" s="9" customFormat="1" ht="21.95" customHeight="1" x14ac:dyDescent="0.15"/>
    <row r="42022" s="9" customFormat="1" ht="35.1" customHeight="1" x14ac:dyDescent="0.15"/>
    <row r="42023" s="9" customFormat="1" ht="21.95" customHeight="1" x14ac:dyDescent="0.15"/>
    <row r="42024" s="9" customFormat="1" ht="21.95" customHeight="1" x14ac:dyDescent="0.15"/>
    <row r="42025" s="9" customFormat="1" ht="21.95" customHeight="1" x14ac:dyDescent="0.15"/>
    <row r="42026" s="9" customFormat="1" ht="21.95" customHeight="1" x14ac:dyDescent="0.15"/>
    <row r="42027" s="9" customFormat="1" ht="21.95" customHeight="1" x14ac:dyDescent="0.15"/>
    <row r="42028" s="9" customFormat="1" ht="21.95" customHeight="1" x14ac:dyDescent="0.15"/>
    <row r="42029" s="9" customFormat="1" ht="21.95" customHeight="1" x14ac:dyDescent="0.15"/>
    <row r="42030" s="9" customFormat="1" ht="21.95" customHeight="1" x14ac:dyDescent="0.15"/>
    <row r="42031" s="9" customFormat="1" ht="21.95" customHeight="1" x14ac:dyDescent="0.15"/>
    <row r="42032" s="9" customFormat="1" ht="21.95" customHeight="1" x14ac:dyDescent="0.15"/>
    <row r="42033" spans="3:3" s="9" customFormat="1" ht="21.95" customHeight="1" x14ac:dyDescent="0.15"/>
    <row r="42034" spans="3:3" s="9" customFormat="1" ht="21.95" customHeight="1" x14ac:dyDescent="0.15"/>
    <row r="42035" spans="3:3" s="9" customFormat="1" ht="21.95" customHeight="1" x14ac:dyDescent="0.15"/>
    <row r="42036" spans="3:3" s="9" customFormat="1" ht="21.95" customHeight="1" x14ac:dyDescent="0.15"/>
    <row r="42037" spans="3:3" s="9" customFormat="1" ht="21.95" customHeight="1" x14ac:dyDescent="0.15"/>
    <row r="42038" spans="3:3" s="9" customFormat="1" ht="21.95" customHeight="1" x14ac:dyDescent="0.15"/>
    <row r="42039" spans="3:3" s="9" customFormat="1" ht="21.95" customHeight="1" x14ac:dyDescent="0.15"/>
    <row r="42040" spans="3:3" s="9" customFormat="1" ht="21.95" customHeight="1" x14ac:dyDescent="0.15"/>
    <row r="42041" spans="3:3" s="9" customFormat="1" ht="21.95" customHeight="1" x14ac:dyDescent="0.15"/>
    <row r="42042" spans="3:3" s="9" customFormat="1" ht="21.95" customHeight="1" x14ac:dyDescent="0.15"/>
    <row r="42043" spans="3:3" s="9" customFormat="1" ht="21.95" customHeight="1" x14ac:dyDescent="0.15"/>
    <row r="42044" spans="3:3" s="9" customFormat="1" ht="21.95" customHeight="1" x14ac:dyDescent="0.15"/>
    <row r="42045" spans="3:3" s="9" customFormat="1" ht="21.95" customHeight="1" x14ac:dyDescent="0.15"/>
    <row r="42046" spans="3:3" s="8" customFormat="1" ht="21.95" customHeight="1" x14ac:dyDescent="0.15"/>
    <row r="42047" spans="3:3" s="8" customFormat="1" ht="21.95" customHeight="1" x14ac:dyDescent="0.15"/>
    <row r="42048" spans="3:3" s="8" customFormat="1" ht="21.95" customHeight="1" x14ac:dyDescent="0.15">
      <c r="C42048" s="101"/>
    </row>
    <row r="42049" spans="3:3" s="8" customFormat="1" ht="21.95" customHeight="1" x14ac:dyDescent="0.15">
      <c r="C42049" s="101"/>
    </row>
    <row r="42050" spans="3:3" s="8" customFormat="1" ht="21.95" customHeight="1" x14ac:dyDescent="0.15"/>
    <row r="42051" spans="3:3" s="8" customFormat="1" ht="21.95" customHeight="1" x14ac:dyDescent="0.15"/>
    <row r="42052" spans="3:3" s="8" customFormat="1" ht="21.95" customHeight="1" x14ac:dyDescent="0.15"/>
    <row r="42053" spans="3:3" s="8" customFormat="1" ht="21.95" customHeight="1" x14ac:dyDescent="0.15"/>
    <row r="42054" spans="3:3" s="8" customFormat="1" ht="21.95" customHeight="1" x14ac:dyDescent="0.15"/>
    <row r="42055" spans="3:3" s="8" customFormat="1" ht="21.95" customHeight="1" x14ac:dyDescent="0.15"/>
    <row r="42056" spans="3:3" s="8" customFormat="1" ht="21.95" customHeight="1" x14ac:dyDescent="0.15"/>
    <row r="42057" spans="3:3" s="9" customFormat="1" ht="21.95" customHeight="1" x14ac:dyDescent="0.15"/>
    <row r="42058" spans="3:3" s="9" customFormat="1" ht="21.95" customHeight="1" x14ac:dyDescent="0.15"/>
    <row r="42059" spans="3:3" s="9" customFormat="1" ht="21.95" customHeight="1" x14ac:dyDescent="0.15"/>
    <row r="42060" spans="3:3" s="9" customFormat="1" ht="21.95" customHeight="1" x14ac:dyDescent="0.15"/>
    <row r="42061" spans="3:3" s="8" customFormat="1" ht="21.95" customHeight="1" x14ac:dyDescent="0.15"/>
    <row r="42062" spans="3:3" s="8" customFormat="1" ht="21.95" customHeight="1" x14ac:dyDescent="0.15"/>
    <row r="42063" spans="3:3" s="8" customFormat="1" ht="21.95" customHeight="1" x14ac:dyDescent="0.15"/>
    <row r="42064" spans="3:3" s="8" customFormat="1" ht="21.95" customHeight="1" x14ac:dyDescent="0.15"/>
    <row r="42065" s="8" customFormat="1" ht="21.95" customHeight="1" x14ac:dyDescent="0.15"/>
    <row r="42066" s="8" customFormat="1" ht="21.95" customHeight="1" x14ac:dyDescent="0.15"/>
    <row r="42067" s="8" customFormat="1" ht="21.95" customHeight="1" x14ac:dyDescent="0.15"/>
    <row r="42068" s="8" customFormat="1" ht="21.95" customHeight="1" x14ac:dyDescent="0.15"/>
    <row r="42069" s="8" customFormat="1" ht="21.95" customHeight="1" x14ac:dyDescent="0.15"/>
    <row r="42070" s="8" customFormat="1" ht="21.95" customHeight="1" x14ac:dyDescent="0.15"/>
    <row r="42071" s="8" customFormat="1" ht="21.95" customHeight="1" x14ac:dyDescent="0.15"/>
    <row r="42072" s="8" customFormat="1" ht="32.1" customHeight="1" x14ac:dyDescent="0.15"/>
    <row r="42073" s="8" customFormat="1" ht="32.1" customHeight="1" x14ac:dyDescent="0.15"/>
    <row r="42074" s="8" customFormat="1" ht="32.1" customHeight="1" x14ac:dyDescent="0.15"/>
    <row r="42075" s="8" customFormat="1" ht="32.1" customHeight="1" x14ac:dyDescent="0.15"/>
    <row r="42076" s="8" customFormat="1" ht="32.1" customHeight="1" x14ac:dyDescent="0.15"/>
    <row r="42077" s="8" customFormat="1" ht="32.1" customHeight="1" x14ac:dyDescent="0.15"/>
    <row r="42078" s="9" customFormat="1" ht="32.1" customHeight="1" x14ac:dyDescent="0.15"/>
    <row r="42079" s="9" customFormat="1" ht="32.1" customHeight="1" x14ac:dyDescent="0.15"/>
    <row r="42080" s="9" customFormat="1" ht="32.1" customHeight="1" x14ac:dyDescent="0.15"/>
    <row r="42081" s="9" customFormat="1" ht="32.1" customHeight="1" x14ac:dyDescent="0.15"/>
    <row r="42082" s="9" customFormat="1" ht="21.95" customHeight="1" x14ac:dyDescent="0.15"/>
    <row r="42083" s="9" customFormat="1" ht="54" customHeight="1" x14ac:dyDescent="0.15"/>
    <row r="42084" s="9" customFormat="1" ht="21.95" customHeight="1" x14ac:dyDescent="0.15"/>
    <row r="42085" s="9" customFormat="1" ht="21.95" customHeight="1" x14ac:dyDescent="0.15"/>
    <row r="42086" s="9" customFormat="1" ht="21.95" customHeight="1" x14ac:dyDescent="0.15"/>
    <row r="42087" s="9" customFormat="1" ht="21.95" customHeight="1" x14ac:dyDescent="0.15"/>
    <row r="42088" s="9" customFormat="1" ht="21.95" customHeight="1" x14ac:dyDescent="0.15"/>
    <row r="42089" s="9" customFormat="1" ht="21.95" customHeight="1" x14ac:dyDescent="0.15"/>
    <row r="42090" s="9" customFormat="1" ht="21.95" customHeight="1" x14ac:dyDescent="0.15"/>
    <row r="42091" s="9" customFormat="1" ht="21.95" customHeight="1" x14ac:dyDescent="0.15"/>
    <row r="42092" s="9" customFormat="1" ht="21.95" customHeight="1" x14ac:dyDescent="0.15"/>
    <row r="42093" s="9" customFormat="1" ht="21.95" customHeight="1" x14ac:dyDescent="0.15"/>
    <row r="42094" s="9" customFormat="1" ht="21.95" customHeight="1" x14ac:dyDescent="0.15"/>
    <row r="42095" s="9" customFormat="1" ht="21.95" customHeight="1" x14ac:dyDescent="0.15"/>
    <row r="42096" s="9" customFormat="1" ht="21.95" customHeight="1" x14ac:dyDescent="0.15"/>
    <row r="42097" s="9" customFormat="1" ht="21.95" customHeight="1" x14ac:dyDescent="0.15"/>
    <row r="42098" s="9" customFormat="1" ht="21.95" customHeight="1" x14ac:dyDescent="0.15"/>
    <row r="42099" s="9" customFormat="1" ht="21.95" customHeight="1" x14ac:dyDescent="0.15"/>
    <row r="42100" s="9" customFormat="1" ht="21.95" customHeight="1" x14ac:dyDescent="0.15"/>
    <row r="42101" s="9" customFormat="1" ht="21.95" customHeight="1" x14ac:dyDescent="0.15"/>
    <row r="42102" s="9" customFormat="1" ht="21.95" customHeight="1" x14ac:dyDescent="0.15"/>
    <row r="42103" s="9" customFormat="1" ht="21.95" customHeight="1" x14ac:dyDescent="0.15"/>
    <row r="42104" s="9" customFormat="1" ht="21.95" customHeight="1" x14ac:dyDescent="0.15"/>
    <row r="42105" s="9" customFormat="1" ht="21.95" customHeight="1" x14ac:dyDescent="0.15"/>
    <row r="42106" s="9" customFormat="1" ht="21.95" customHeight="1" x14ac:dyDescent="0.15"/>
    <row r="42107" s="9" customFormat="1" ht="21.95" customHeight="1" x14ac:dyDescent="0.15"/>
    <row r="42108" s="9" customFormat="1" ht="21.95" customHeight="1" x14ac:dyDescent="0.15"/>
    <row r="42109" s="9" customFormat="1" ht="21.95" customHeight="1" x14ac:dyDescent="0.15"/>
    <row r="42110" s="9" customFormat="1" ht="21.95" customHeight="1" x14ac:dyDescent="0.15"/>
    <row r="42111" s="9" customFormat="1" ht="21.95" customHeight="1" x14ac:dyDescent="0.15"/>
    <row r="42112" s="9" customFormat="1" ht="21.95" customHeight="1" x14ac:dyDescent="0.15"/>
    <row r="42113" s="9" customFormat="1" ht="21.95" customHeight="1" x14ac:dyDescent="0.15"/>
    <row r="42114" s="9" customFormat="1" ht="21.95" customHeight="1" x14ac:dyDescent="0.15"/>
    <row r="42115" s="9" customFormat="1" ht="21.95" customHeight="1" x14ac:dyDescent="0.15"/>
    <row r="42116" s="9" customFormat="1" ht="21.95" customHeight="1" x14ac:dyDescent="0.15"/>
    <row r="42117" s="9" customFormat="1" ht="21.95" customHeight="1" x14ac:dyDescent="0.15"/>
    <row r="42118" s="9" customFormat="1" ht="21.95" customHeight="1" x14ac:dyDescent="0.15"/>
    <row r="42119" s="9" customFormat="1" ht="21.95" customHeight="1" x14ac:dyDescent="0.15"/>
    <row r="42120" s="9" customFormat="1" ht="21.95" customHeight="1" x14ac:dyDescent="0.15"/>
    <row r="42121" s="9" customFormat="1" ht="21.95" customHeight="1" x14ac:dyDescent="0.15"/>
    <row r="42122" s="9" customFormat="1" ht="21.95" customHeight="1" x14ac:dyDescent="0.15"/>
    <row r="42123" s="9" customFormat="1" ht="21.95" customHeight="1" x14ac:dyDescent="0.15"/>
    <row r="42124" s="9" customFormat="1" ht="21.95" customHeight="1" x14ac:dyDescent="0.15"/>
    <row r="42125" s="9" customFormat="1" ht="21.95" customHeight="1" x14ac:dyDescent="0.15"/>
    <row r="42126" s="9" customFormat="1" ht="21.95" customHeight="1" x14ac:dyDescent="0.15"/>
    <row r="42127" s="9" customFormat="1" ht="21.95" customHeight="1" x14ac:dyDescent="0.15"/>
    <row r="42128" s="9" customFormat="1" ht="21.95" customHeight="1" x14ac:dyDescent="0.15"/>
    <row r="42129" s="9" customFormat="1" ht="21.95" customHeight="1" x14ac:dyDescent="0.15"/>
    <row r="42130" s="9" customFormat="1" ht="21.95" customHeight="1" x14ac:dyDescent="0.15"/>
    <row r="42131" s="9" customFormat="1" ht="21.95" customHeight="1" x14ac:dyDescent="0.15"/>
    <row r="42132" s="9" customFormat="1" ht="21.95" customHeight="1" x14ac:dyDescent="0.15"/>
    <row r="42133" s="9" customFormat="1" ht="21.95" customHeight="1" x14ac:dyDescent="0.15"/>
    <row r="42134" s="9" customFormat="1" ht="35.1" customHeight="1" x14ac:dyDescent="0.15"/>
    <row r="42135" s="9" customFormat="1" ht="21.95" customHeight="1" x14ac:dyDescent="0.15"/>
    <row r="42136" s="9" customFormat="1" ht="21.95" customHeight="1" x14ac:dyDescent="0.15"/>
    <row r="42137" s="9" customFormat="1" ht="21.95" customHeight="1" x14ac:dyDescent="0.15"/>
    <row r="42138" s="9" customFormat="1" ht="21.95" customHeight="1" x14ac:dyDescent="0.15"/>
    <row r="42139" s="9" customFormat="1" ht="21.95" customHeight="1" x14ac:dyDescent="0.15"/>
    <row r="42140" s="9" customFormat="1" ht="21.95" customHeight="1" x14ac:dyDescent="0.15"/>
    <row r="42141" s="9" customFormat="1" ht="21.95" customHeight="1" x14ac:dyDescent="0.15"/>
    <row r="42142" s="9" customFormat="1" ht="21.95" customHeight="1" x14ac:dyDescent="0.15"/>
    <row r="42143" s="9" customFormat="1" ht="21.95" customHeight="1" x14ac:dyDescent="0.15"/>
    <row r="42144" s="9" customFormat="1" ht="21.95" customHeight="1" x14ac:dyDescent="0.15"/>
    <row r="42145" spans="3:3" s="9" customFormat="1" ht="21.95" customHeight="1" x14ac:dyDescent="0.15"/>
    <row r="42146" spans="3:3" s="9" customFormat="1" ht="21.95" customHeight="1" x14ac:dyDescent="0.15"/>
    <row r="42147" spans="3:3" s="9" customFormat="1" ht="21.95" customHeight="1" x14ac:dyDescent="0.15"/>
    <row r="42148" spans="3:3" s="9" customFormat="1" ht="21.95" customHeight="1" x14ac:dyDescent="0.15"/>
    <row r="42149" spans="3:3" s="9" customFormat="1" ht="21.95" customHeight="1" x14ac:dyDescent="0.15"/>
    <row r="42150" spans="3:3" s="9" customFormat="1" ht="21.95" customHeight="1" x14ac:dyDescent="0.15"/>
    <row r="42151" spans="3:3" s="9" customFormat="1" ht="21.95" customHeight="1" x14ac:dyDescent="0.15"/>
    <row r="42152" spans="3:3" s="9" customFormat="1" ht="21.95" customHeight="1" x14ac:dyDescent="0.15"/>
    <row r="42153" spans="3:3" s="9" customFormat="1" ht="21.95" customHeight="1" x14ac:dyDescent="0.15"/>
    <row r="42154" spans="3:3" s="9" customFormat="1" ht="21.95" customHeight="1" x14ac:dyDescent="0.15"/>
    <row r="42155" spans="3:3" s="9" customFormat="1" ht="21.95" customHeight="1" x14ac:dyDescent="0.15"/>
    <row r="42156" spans="3:3" s="9" customFormat="1" ht="21.95" customHeight="1" x14ac:dyDescent="0.15"/>
    <row r="42157" spans="3:3" s="9" customFormat="1" ht="21.95" customHeight="1" x14ac:dyDescent="0.15"/>
    <row r="42158" spans="3:3" s="8" customFormat="1" ht="21.95" customHeight="1" x14ac:dyDescent="0.15"/>
    <row r="42159" spans="3:3" s="8" customFormat="1" ht="21.95" customHeight="1" x14ac:dyDescent="0.15"/>
    <row r="42160" spans="3:3" s="8" customFormat="1" ht="21.95" customHeight="1" x14ac:dyDescent="0.15">
      <c r="C42160" s="101"/>
    </row>
    <row r="42161" spans="3:3" s="8" customFormat="1" ht="21.95" customHeight="1" x14ac:dyDescent="0.15">
      <c r="C42161" s="101"/>
    </row>
    <row r="42162" spans="3:3" s="8" customFormat="1" ht="21.95" customHeight="1" x14ac:dyDescent="0.15"/>
    <row r="42163" spans="3:3" s="8" customFormat="1" ht="21.95" customHeight="1" x14ac:dyDescent="0.15"/>
    <row r="42164" spans="3:3" s="8" customFormat="1" ht="21.95" customHeight="1" x14ac:dyDescent="0.15"/>
    <row r="42165" spans="3:3" s="8" customFormat="1" ht="21.95" customHeight="1" x14ac:dyDescent="0.15"/>
    <row r="42166" spans="3:3" s="8" customFormat="1" ht="21.95" customHeight="1" x14ac:dyDescent="0.15"/>
    <row r="42167" spans="3:3" s="8" customFormat="1" ht="21.95" customHeight="1" x14ac:dyDescent="0.15"/>
    <row r="42168" spans="3:3" s="8" customFormat="1" ht="21.95" customHeight="1" x14ac:dyDescent="0.15"/>
    <row r="42169" spans="3:3" s="9" customFormat="1" ht="21.95" customHeight="1" x14ac:dyDescent="0.15"/>
    <row r="42170" spans="3:3" s="9" customFormat="1" ht="21.95" customHeight="1" x14ac:dyDescent="0.15"/>
    <row r="42171" spans="3:3" s="9" customFormat="1" ht="21.95" customHeight="1" x14ac:dyDescent="0.15"/>
    <row r="42172" spans="3:3" s="9" customFormat="1" ht="21.95" customHeight="1" x14ac:dyDescent="0.15"/>
    <row r="42173" spans="3:3" s="8" customFormat="1" ht="21.95" customHeight="1" x14ac:dyDescent="0.15"/>
    <row r="42174" spans="3:3" s="8" customFormat="1" ht="21.95" customHeight="1" x14ac:dyDescent="0.15"/>
    <row r="42175" spans="3:3" s="8" customFormat="1" ht="21.95" customHeight="1" x14ac:dyDescent="0.15"/>
    <row r="42176" spans="3:3" s="8" customFormat="1" ht="21.95" customHeight="1" x14ac:dyDescent="0.15"/>
    <row r="42177" s="8" customFormat="1" ht="21.95" customHeight="1" x14ac:dyDescent="0.15"/>
    <row r="42178" s="8" customFormat="1" ht="21.95" customHeight="1" x14ac:dyDescent="0.15"/>
    <row r="42179" s="8" customFormat="1" ht="21.95" customHeight="1" x14ac:dyDescent="0.15"/>
    <row r="42180" s="8" customFormat="1" ht="21.95" customHeight="1" x14ac:dyDescent="0.15"/>
    <row r="42181" s="8" customFormat="1" ht="21.95" customHeight="1" x14ac:dyDescent="0.15"/>
    <row r="42182" s="8" customFormat="1" ht="21.95" customHeight="1" x14ac:dyDescent="0.15"/>
    <row r="42183" s="8" customFormat="1" ht="21.95" customHeight="1" x14ac:dyDescent="0.15"/>
    <row r="42184" s="8" customFormat="1" ht="32.1" customHeight="1" x14ac:dyDescent="0.15"/>
    <row r="42185" s="8" customFormat="1" ht="32.1" customHeight="1" x14ac:dyDescent="0.15"/>
    <row r="42186" s="8" customFormat="1" ht="32.1" customHeight="1" x14ac:dyDescent="0.15"/>
    <row r="42187" s="8" customFormat="1" ht="32.1" customHeight="1" x14ac:dyDescent="0.15"/>
    <row r="42188" s="8" customFormat="1" ht="32.1" customHeight="1" x14ac:dyDescent="0.15"/>
    <row r="42189" s="8" customFormat="1" ht="32.1" customHeight="1" x14ac:dyDescent="0.15"/>
    <row r="42190" s="9" customFormat="1" ht="32.1" customHeight="1" x14ac:dyDescent="0.15"/>
    <row r="42191" s="9" customFormat="1" ht="32.1" customHeight="1" x14ac:dyDescent="0.15"/>
    <row r="42192" s="9" customFormat="1" ht="32.1" customHeight="1" x14ac:dyDescent="0.15"/>
    <row r="42193" s="9" customFormat="1" ht="32.1" customHeight="1" x14ac:dyDescent="0.15"/>
    <row r="42194" s="9" customFormat="1" ht="21.95" customHeight="1" x14ac:dyDescent="0.15"/>
    <row r="42195" s="9" customFormat="1" ht="54" customHeight="1" x14ac:dyDescent="0.15"/>
    <row r="42196" s="9" customFormat="1" ht="21.95" customHeight="1" x14ac:dyDescent="0.15"/>
    <row r="42197" s="9" customFormat="1" ht="21.95" customHeight="1" x14ac:dyDescent="0.15"/>
    <row r="42198" s="9" customFormat="1" ht="21.95" customHeight="1" x14ac:dyDescent="0.15"/>
    <row r="42199" s="9" customFormat="1" ht="21.95" customHeight="1" x14ac:dyDescent="0.15"/>
    <row r="42200" s="9" customFormat="1" ht="21.95" customHeight="1" x14ac:dyDescent="0.15"/>
    <row r="42201" s="9" customFormat="1" ht="21.95" customHeight="1" x14ac:dyDescent="0.15"/>
    <row r="42202" s="9" customFormat="1" ht="21.95" customHeight="1" x14ac:dyDescent="0.15"/>
    <row r="42203" s="9" customFormat="1" ht="21.95" customHeight="1" x14ac:dyDescent="0.15"/>
    <row r="42204" s="9" customFormat="1" ht="21.95" customHeight="1" x14ac:dyDescent="0.15"/>
    <row r="42205" s="9" customFormat="1" ht="21.95" customHeight="1" x14ac:dyDescent="0.15"/>
    <row r="42206" s="9" customFormat="1" ht="21.95" customHeight="1" x14ac:dyDescent="0.15"/>
    <row r="42207" s="9" customFormat="1" ht="21.95" customHeight="1" x14ac:dyDescent="0.15"/>
    <row r="42208" s="9" customFormat="1" ht="21.95" customHeight="1" x14ac:dyDescent="0.15"/>
    <row r="42209" s="9" customFormat="1" ht="21.95" customHeight="1" x14ac:dyDescent="0.15"/>
    <row r="42210" s="9" customFormat="1" ht="21.95" customHeight="1" x14ac:dyDescent="0.15"/>
    <row r="42211" s="9" customFormat="1" ht="21.95" customHeight="1" x14ac:dyDescent="0.15"/>
    <row r="42212" s="9" customFormat="1" ht="21.95" customHeight="1" x14ac:dyDescent="0.15"/>
    <row r="42213" s="9" customFormat="1" ht="21.95" customHeight="1" x14ac:dyDescent="0.15"/>
    <row r="42214" s="9" customFormat="1" ht="21.95" customHeight="1" x14ac:dyDescent="0.15"/>
    <row r="42215" s="9" customFormat="1" ht="21.95" customHeight="1" x14ac:dyDescent="0.15"/>
    <row r="42216" s="9" customFormat="1" ht="21.95" customHeight="1" x14ac:dyDescent="0.15"/>
    <row r="42217" s="9" customFormat="1" ht="21.95" customHeight="1" x14ac:dyDescent="0.15"/>
    <row r="42218" s="9" customFormat="1" ht="21.95" customHeight="1" x14ac:dyDescent="0.15"/>
    <row r="42219" s="9" customFormat="1" ht="21.95" customHeight="1" x14ac:dyDescent="0.15"/>
    <row r="42220" s="9" customFormat="1" ht="21.95" customHeight="1" x14ac:dyDescent="0.15"/>
    <row r="42221" s="9" customFormat="1" ht="21.95" customHeight="1" x14ac:dyDescent="0.15"/>
    <row r="42222" s="9" customFormat="1" ht="21.95" customHeight="1" x14ac:dyDescent="0.15"/>
    <row r="42223" s="9" customFormat="1" ht="21.95" customHeight="1" x14ac:dyDescent="0.15"/>
    <row r="42224" s="9" customFormat="1" ht="21.95" customHeight="1" x14ac:dyDescent="0.15"/>
    <row r="42225" s="9" customFormat="1" ht="21.95" customHeight="1" x14ac:dyDescent="0.15"/>
    <row r="42226" s="9" customFormat="1" ht="21.95" customHeight="1" x14ac:dyDescent="0.15"/>
    <row r="42227" s="9" customFormat="1" ht="21.95" customHeight="1" x14ac:dyDescent="0.15"/>
    <row r="42228" s="9" customFormat="1" ht="21.95" customHeight="1" x14ac:dyDescent="0.15"/>
    <row r="42229" s="9" customFormat="1" ht="21.95" customHeight="1" x14ac:dyDescent="0.15"/>
    <row r="42230" s="9" customFormat="1" ht="21.95" customHeight="1" x14ac:dyDescent="0.15"/>
    <row r="42231" s="9" customFormat="1" ht="21.95" customHeight="1" x14ac:dyDescent="0.15"/>
    <row r="42232" s="9" customFormat="1" ht="21.95" customHeight="1" x14ac:dyDescent="0.15"/>
    <row r="42233" s="9" customFormat="1" ht="21.95" customHeight="1" x14ac:dyDescent="0.15"/>
    <row r="42234" s="9" customFormat="1" ht="21.95" customHeight="1" x14ac:dyDescent="0.15"/>
    <row r="42235" s="9" customFormat="1" ht="21.95" customHeight="1" x14ac:dyDescent="0.15"/>
    <row r="42236" s="9" customFormat="1" ht="21.95" customHeight="1" x14ac:dyDescent="0.15"/>
    <row r="42237" s="9" customFormat="1" ht="21.95" customHeight="1" x14ac:dyDescent="0.15"/>
    <row r="42238" s="9" customFormat="1" ht="21.95" customHeight="1" x14ac:dyDescent="0.15"/>
    <row r="42239" s="9" customFormat="1" ht="21.95" customHeight="1" x14ac:dyDescent="0.15"/>
    <row r="42240" s="9" customFormat="1" ht="21.95" customHeight="1" x14ac:dyDescent="0.15"/>
    <row r="42241" s="9" customFormat="1" ht="21.95" customHeight="1" x14ac:dyDescent="0.15"/>
    <row r="42242" s="9" customFormat="1" ht="21.95" customHeight="1" x14ac:dyDescent="0.15"/>
    <row r="42243" s="9" customFormat="1" ht="21.95" customHeight="1" x14ac:dyDescent="0.15"/>
    <row r="42244" s="9" customFormat="1" ht="21.95" customHeight="1" x14ac:dyDescent="0.15"/>
    <row r="42245" s="9" customFormat="1" ht="21.95" customHeight="1" x14ac:dyDescent="0.15"/>
    <row r="42246" s="9" customFormat="1" ht="35.1" customHeight="1" x14ac:dyDescent="0.15"/>
    <row r="42247" s="9" customFormat="1" ht="21.95" customHeight="1" x14ac:dyDescent="0.15"/>
    <row r="42248" s="9" customFormat="1" ht="21.95" customHeight="1" x14ac:dyDescent="0.15"/>
    <row r="42249" s="9" customFormat="1" ht="21.95" customHeight="1" x14ac:dyDescent="0.15"/>
    <row r="42250" s="9" customFormat="1" ht="21.95" customHeight="1" x14ac:dyDescent="0.15"/>
    <row r="42251" s="9" customFormat="1" ht="21.95" customHeight="1" x14ac:dyDescent="0.15"/>
    <row r="42252" s="9" customFormat="1" ht="21.95" customHeight="1" x14ac:dyDescent="0.15"/>
    <row r="42253" s="9" customFormat="1" ht="21.95" customHeight="1" x14ac:dyDescent="0.15"/>
    <row r="42254" s="9" customFormat="1" ht="21.95" customHeight="1" x14ac:dyDescent="0.15"/>
    <row r="42255" s="9" customFormat="1" ht="21.95" customHeight="1" x14ac:dyDescent="0.15"/>
    <row r="42256" s="9" customFormat="1" ht="21.95" customHeight="1" x14ac:dyDescent="0.15"/>
    <row r="42257" spans="3:3" s="9" customFormat="1" ht="21.95" customHeight="1" x14ac:dyDescent="0.15"/>
    <row r="42258" spans="3:3" s="9" customFormat="1" ht="21.95" customHeight="1" x14ac:dyDescent="0.15"/>
    <row r="42259" spans="3:3" s="9" customFormat="1" ht="21.95" customHeight="1" x14ac:dyDescent="0.15"/>
    <row r="42260" spans="3:3" s="9" customFormat="1" ht="21.95" customHeight="1" x14ac:dyDescent="0.15"/>
    <row r="42261" spans="3:3" s="9" customFormat="1" ht="21.95" customHeight="1" x14ac:dyDescent="0.15"/>
    <row r="42262" spans="3:3" s="9" customFormat="1" ht="21.95" customHeight="1" x14ac:dyDescent="0.15"/>
    <row r="42263" spans="3:3" s="9" customFormat="1" ht="21.95" customHeight="1" x14ac:dyDescent="0.15"/>
    <row r="42264" spans="3:3" s="9" customFormat="1" ht="21.95" customHeight="1" x14ac:dyDescent="0.15"/>
    <row r="42265" spans="3:3" s="9" customFormat="1" ht="21.95" customHeight="1" x14ac:dyDescent="0.15"/>
    <row r="42266" spans="3:3" s="9" customFormat="1" ht="21.95" customHeight="1" x14ac:dyDescent="0.15"/>
    <row r="42267" spans="3:3" s="9" customFormat="1" ht="21.95" customHeight="1" x14ac:dyDescent="0.15"/>
    <row r="42268" spans="3:3" s="9" customFormat="1" ht="21.95" customHeight="1" x14ac:dyDescent="0.15"/>
    <row r="42269" spans="3:3" s="9" customFormat="1" ht="21.95" customHeight="1" x14ac:dyDescent="0.15"/>
    <row r="42270" spans="3:3" s="8" customFormat="1" ht="21.95" customHeight="1" x14ac:dyDescent="0.15"/>
    <row r="42271" spans="3:3" s="8" customFormat="1" ht="21.95" customHeight="1" x14ac:dyDescent="0.15"/>
    <row r="42272" spans="3:3" s="8" customFormat="1" ht="21.95" customHeight="1" x14ac:dyDescent="0.15">
      <c r="C42272" s="101"/>
    </row>
    <row r="42273" spans="3:3" s="8" customFormat="1" ht="21.95" customHeight="1" x14ac:dyDescent="0.15">
      <c r="C42273" s="101"/>
    </row>
    <row r="42274" spans="3:3" s="8" customFormat="1" ht="21.95" customHeight="1" x14ac:dyDescent="0.15"/>
    <row r="42275" spans="3:3" s="8" customFormat="1" ht="21.95" customHeight="1" x14ac:dyDescent="0.15"/>
    <row r="42276" spans="3:3" s="8" customFormat="1" ht="21.95" customHeight="1" x14ac:dyDescent="0.15"/>
    <row r="42277" spans="3:3" s="8" customFormat="1" ht="21.95" customHeight="1" x14ac:dyDescent="0.15"/>
    <row r="42278" spans="3:3" s="8" customFormat="1" ht="21.95" customHeight="1" x14ac:dyDescent="0.15"/>
    <row r="42279" spans="3:3" s="8" customFormat="1" ht="21.95" customHeight="1" x14ac:dyDescent="0.15"/>
    <row r="42280" spans="3:3" s="8" customFormat="1" ht="21.95" customHeight="1" x14ac:dyDescent="0.15"/>
    <row r="42281" spans="3:3" s="9" customFormat="1" ht="21.95" customHeight="1" x14ac:dyDescent="0.15"/>
    <row r="42282" spans="3:3" s="9" customFormat="1" ht="21.95" customHeight="1" x14ac:dyDescent="0.15"/>
    <row r="42283" spans="3:3" s="9" customFormat="1" ht="21.95" customHeight="1" x14ac:dyDescent="0.15"/>
    <row r="42284" spans="3:3" s="9" customFormat="1" ht="21.95" customHeight="1" x14ac:dyDescent="0.15"/>
    <row r="42285" spans="3:3" s="8" customFormat="1" ht="21.95" customHeight="1" x14ac:dyDescent="0.15"/>
    <row r="42286" spans="3:3" s="8" customFormat="1" ht="21.95" customHeight="1" x14ac:dyDescent="0.15"/>
    <row r="42287" spans="3:3" s="8" customFormat="1" ht="21.95" customHeight="1" x14ac:dyDescent="0.15"/>
    <row r="42288" spans="3:3" s="8" customFormat="1" ht="21.95" customHeight="1" x14ac:dyDescent="0.15"/>
    <row r="42289" s="8" customFormat="1" ht="21.95" customHeight="1" x14ac:dyDescent="0.15"/>
    <row r="42290" s="8" customFormat="1" ht="21.95" customHeight="1" x14ac:dyDescent="0.15"/>
    <row r="42291" s="8" customFormat="1" ht="21.95" customHeight="1" x14ac:dyDescent="0.15"/>
    <row r="42292" s="8" customFormat="1" ht="21.95" customHeight="1" x14ac:dyDescent="0.15"/>
    <row r="42293" s="8" customFormat="1" ht="21.95" customHeight="1" x14ac:dyDescent="0.15"/>
    <row r="42294" s="8" customFormat="1" ht="21.95" customHeight="1" x14ac:dyDescent="0.15"/>
    <row r="42295" s="8" customFormat="1" ht="21.95" customHeight="1" x14ac:dyDescent="0.15"/>
    <row r="42296" s="8" customFormat="1" ht="32.1" customHeight="1" x14ac:dyDescent="0.15"/>
    <row r="42297" s="8" customFormat="1" ht="32.1" customHeight="1" x14ac:dyDescent="0.15"/>
    <row r="42298" s="8" customFormat="1" ht="32.1" customHeight="1" x14ac:dyDescent="0.15"/>
    <row r="42299" s="8" customFormat="1" ht="32.1" customHeight="1" x14ac:dyDescent="0.15"/>
    <row r="42300" s="8" customFormat="1" ht="32.1" customHeight="1" x14ac:dyDescent="0.15"/>
    <row r="42301" s="8" customFormat="1" ht="32.1" customHeight="1" x14ac:dyDescent="0.15"/>
    <row r="42302" s="9" customFormat="1" ht="32.1" customHeight="1" x14ac:dyDescent="0.15"/>
    <row r="42303" s="9" customFormat="1" ht="32.1" customHeight="1" x14ac:dyDescent="0.15"/>
    <row r="42304" s="9" customFormat="1" ht="32.1" customHeight="1" x14ac:dyDescent="0.15"/>
    <row r="42305" s="9" customFormat="1" ht="32.1" customHeight="1" x14ac:dyDescent="0.15"/>
    <row r="42306" s="9" customFormat="1" ht="21.95" customHeight="1" x14ac:dyDescent="0.15"/>
    <row r="42307" s="9" customFormat="1" ht="54" customHeight="1" x14ac:dyDescent="0.15"/>
    <row r="42308" s="9" customFormat="1" ht="21.95" customHeight="1" x14ac:dyDescent="0.15"/>
    <row r="42309" s="9" customFormat="1" ht="21.95" customHeight="1" x14ac:dyDescent="0.15"/>
    <row r="42310" s="9" customFormat="1" ht="21.95" customHeight="1" x14ac:dyDescent="0.15"/>
    <row r="42311" s="9" customFormat="1" ht="21.95" customHeight="1" x14ac:dyDescent="0.15"/>
    <row r="42312" s="9" customFormat="1" ht="21.95" customHeight="1" x14ac:dyDescent="0.15"/>
    <row r="42313" s="9" customFormat="1" ht="21.95" customHeight="1" x14ac:dyDescent="0.15"/>
    <row r="42314" s="9" customFormat="1" ht="21.95" customHeight="1" x14ac:dyDescent="0.15"/>
    <row r="42315" s="9" customFormat="1" ht="21.95" customHeight="1" x14ac:dyDescent="0.15"/>
    <row r="42316" s="9" customFormat="1" ht="21.95" customHeight="1" x14ac:dyDescent="0.15"/>
    <row r="42317" s="9" customFormat="1" ht="21.95" customHeight="1" x14ac:dyDescent="0.15"/>
    <row r="42318" s="9" customFormat="1" ht="21.95" customHeight="1" x14ac:dyDescent="0.15"/>
    <row r="42319" s="9" customFormat="1" ht="21.95" customHeight="1" x14ac:dyDescent="0.15"/>
    <row r="42320" s="9" customFormat="1" ht="21.95" customHeight="1" x14ac:dyDescent="0.15"/>
    <row r="42321" s="9" customFormat="1" ht="21.95" customHeight="1" x14ac:dyDescent="0.15"/>
    <row r="42322" s="9" customFormat="1" ht="21.95" customHeight="1" x14ac:dyDescent="0.15"/>
    <row r="42323" s="9" customFormat="1" ht="21.95" customHeight="1" x14ac:dyDescent="0.15"/>
    <row r="42324" s="9" customFormat="1" ht="21.95" customHeight="1" x14ac:dyDescent="0.15"/>
    <row r="42325" s="9" customFormat="1" ht="21.95" customHeight="1" x14ac:dyDescent="0.15"/>
    <row r="42326" s="9" customFormat="1" ht="21.95" customHeight="1" x14ac:dyDescent="0.15"/>
    <row r="42327" s="9" customFormat="1" ht="21.95" customHeight="1" x14ac:dyDescent="0.15"/>
    <row r="42328" s="9" customFormat="1" ht="21.95" customHeight="1" x14ac:dyDescent="0.15"/>
    <row r="42329" s="9" customFormat="1" ht="21.95" customHeight="1" x14ac:dyDescent="0.15"/>
    <row r="42330" s="9" customFormat="1" ht="21.95" customHeight="1" x14ac:dyDescent="0.15"/>
    <row r="42331" s="9" customFormat="1" ht="21.95" customHeight="1" x14ac:dyDescent="0.15"/>
    <row r="42332" s="9" customFormat="1" ht="21.95" customHeight="1" x14ac:dyDescent="0.15"/>
    <row r="42333" s="9" customFormat="1" ht="21.95" customHeight="1" x14ac:dyDescent="0.15"/>
    <row r="42334" s="9" customFormat="1" ht="21.95" customHeight="1" x14ac:dyDescent="0.15"/>
    <row r="42335" s="9" customFormat="1" ht="21.95" customHeight="1" x14ac:dyDescent="0.15"/>
    <row r="42336" s="9" customFormat="1" ht="21.95" customHeight="1" x14ac:dyDescent="0.15"/>
    <row r="42337" s="9" customFormat="1" ht="21.95" customHeight="1" x14ac:dyDescent="0.15"/>
    <row r="42338" s="9" customFormat="1" ht="21.95" customHeight="1" x14ac:dyDescent="0.15"/>
    <row r="42339" s="9" customFormat="1" ht="21.95" customHeight="1" x14ac:dyDescent="0.15"/>
    <row r="42340" s="9" customFormat="1" ht="21.95" customHeight="1" x14ac:dyDescent="0.15"/>
    <row r="42341" s="9" customFormat="1" ht="21.95" customHeight="1" x14ac:dyDescent="0.15"/>
    <row r="42342" s="9" customFormat="1" ht="21.95" customHeight="1" x14ac:dyDescent="0.15"/>
    <row r="42343" s="9" customFormat="1" ht="21.95" customHeight="1" x14ac:dyDescent="0.15"/>
    <row r="42344" s="9" customFormat="1" ht="21.95" customHeight="1" x14ac:dyDescent="0.15"/>
    <row r="42345" s="9" customFormat="1" ht="21.95" customHeight="1" x14ac:dyDescent="0.15"/>
    <row r="42346" s="9" customFormat="1" ht="21.95" customHeight="1" x14ac:dyDescent="0.15"/>
    <row r="42347" s="9" customFormat="1" ht="21.95" customHeight="1" x14ac:dyDescent="0.15"/>
    <row r="42348" s="9" customFormat="1" ht="21.95" customHeight="1" x14ac:dyDescent="0.15"/>
    <row r="42349" s="9" customFormat="1" ht="21.95" customHeight="1" x14ac:dyDescent="0.15"/>
    <row r="42350" s="9" customFormat="1" ht="21.95" customHeight="1" x14ac:dyDescent="0.15"/>
    <row r="42351" s="9" customFormat="1" ht="21.95" customHeight="1" x14ac:dyDescent="0.15"/>
    <row r="42352" s="9" customFormat="1" ht="21.95" customHeight="1" x14ac:dyDescent="0.15"/>
    <row r="42353" s="9" customFormat="1" ht="21.95" customHeight="1" x14ac:dyDescent="0.15"/>
    <row r="42354" s="9" customFormat="1" ht="21.95" customHeight="1" x14ac:dyDescent="0.15"/>
    <row r="42355" s="9" customFormat="1" ht="21.95" customHeight="1" x14ac:dyDescent="0.15"/>
    <row r="42356" s="9" customFormat="1" ht="21.95" customHeight="1" x14ac:dyDescent="0.15"/>
    <row r="42357" s="9" customFormat="1" ht="21.95" customHeight="1" x14ac:dyDescent="0.15"/>
    <row r="42358" s="9" customFormat="1" ht="35.1" customHeight="1" x14ac:dyDescent="0.15"/>
    <row r="42359" s="9" customFormat="1" ht="21.95" customHeight="1" x14ac:dyDescent="0.15"/>
    <row r="42360" s="9" customFormat="1" ht="21.95" customHeight="1" x14ac:dyDescent="0.15"/>
    <row r="42361" s="9" customFormat="1" ht="21.95" customHeight="1" x14ac:dyDescent="0.15"/>
    <row r="42362" s="9" customFormat="1" ht="21.95" customHeight="1" x14ac:dyDescent="0.15"/>
    <row r="42363" s="9" customFormat="1" ht="21.95" customHeight="1" x14ac:dyDescent="0.15"/>
    <row r="42364" s="9" customFormat="1" ht="21.95" customHeight="1" x14ac:dyDescent="0.15"/>
    <row r="42365" s="9" customFormat="1" ht="21.95" customHeight="1" x14ac:dyDescent="0.15"/>
    <row r="42366" s="9" customFormat="1" ht="21.95" customHeight="1" x14ac:dyDescent="0.15"/>
    <row r="42367" s="9" customFormat="1" ht="21.95" customHeight="1" x14ac:dyDescent="0.15"/>
    <row r="42368" s="9" customFormat="1" ht="21.95" customHeight="1" x14ac:dyDescent="0.15"/>
    <row r="42369" spans="3:3" s="9" customFormat="1" ht="21.95" customHeight="1" x14ac:dyDescent="0.15"/>
    <row r="42370" spans="3:3" s="9" customFormat="1" ht="21.95" customHeight="1" x14ac:dyDescent="0.15"/>
    <row r="42371" spans="3:3" s="9" customFormat="1" ht="21.95" customHeight="1" x14ac:dyDescent="0.15"/>
    <row r="42372" spans="3:3" s="9" customFormat="1" ht="21.95" customHeight="1" x14ac:dyDescent="0.15"/>
    <row r="42373" spans="3:3" s="9" customFormat="1" ht="21.95" customHeight="1" x14ac:dyDescent="0.15"/>
    <row r="42374" spans="3:3" s="9" customFormat="1" ht="21.95" customHeight="1" x14ac:dyDescent="0.15"/>
    <row r="42375" spans="3:3" s="9" customFormat="1" ht="21.95" customHeight="1" x14ac:dyDescent="0.15"/>
    <row r="42376" spans="3:3" s="9" customFormat="1" ht="21.95" customHeight="1" x14ac:dyDescent="0.15"/>
    <row r="42377" spans="3:3" s="9" customFormat="1" ht="21.95" customHeight="1" x14ac:dyDescent="0.15"/>
    <row r="42378" spans="3:3" s="9" customFormat="1" ht="21.95" customHeight="1" x14ac:dyDescent="0.15"/>
    <row r="42379" spans="3:3" s="9" customFormat="1" ht="21.95" customHeight="1" x14ac:dyDescent="0.15"/>
    <row r="42380" spans="3:3" s="9" customFormat="1" ht="21.95" customHeight="1" x14ac:dyDescent="0.15"/>
    <row r="42381" spans="3:3" s="9" customFormat="1" ht="21.95" customHeight="1" x14ac:dyDescent="0.15"/>
    <row r="42382" spans="3:3" s="8" customFormat="1" ht="21.95" customHeight="1" x14ac:dyDescent="0.15"/>
    <row r="42383" spans="3:3" s="8" customFormat="1" ht="21.95" customHeight="1" x14ac:dyDescent="0.15"/>
    <row r="42384" spans="3:3" s="8" customFormat="1" ht="21.95" customHeight="1" x14ac:dyDescent="0.15">
      <c r="C42384" s="101"/>
    </row>
    <row r="42385" spans="3:3" s="8" customFormat="1" ht="21.95" customHeight="1" x14ac:dyDescent="0.15">
      <c r="C42385" s="101"/>
    </row>
    <row r="42386" spans="3:3" s="8" customFormat="1" ht="21.95" customHeight="1" x14ac:dyDescent="0.15"/>
    <row r="42387" spans="3:3" s="8" customFormat="1" ht="21.95" customHeight="1" x14ac:dyDescent="0.15"/>
    <row r="42388" spans="3:3" s="8" customFormat="1" ht="21.95" customHeight="1" x14ac:dyDescent="0.15"/>
    <row r="42389" spans="3:3" s="8" customFormat="1" ht="21.95" customHeight="1" x14ac:dyDescent="0.15"/>
    <row r="42390" spans="3:3" s="8" customFormat="1" ht="21.95" customHeight="1" x14ac:dyDescent="0.15"/>
    <row r="42391" spans="3:3" s="8" customFormat="1" ht="21.95" customHeight="1" x14ac:dyDescent="0.15"/>
    <row r="42392" spans="3:3" s="8" customFormat="1" ht="21.95" customHeight="1" x14ac:dyDescent="0.15"/>
    <row r="42393" spans="3:3" s="9" customFormat="1" ht="21.95" customHeight="1" x14ac:dyDescent="0.15"/>
    <row r="42394" spans="3:3" s="9" customFormat="1" ht="21.95" customHeight="1" x14ac:dyDescent="0.15"/>
    <row r="42395" spans="3:3" s="9" customFormat="1" ht="21.95" customHeight="1" x14ac:dyDescent="0.15"/>
    <row r="42396" spans="3:3" s="9" customFormat="1" ht="21.95" customHeight="1" x14ac:dyDescent="0.15"/>
    <row r="42397" spans="3:3" s="8" customFormat="1" ht="21.95" customHeight="1" x14ac:dyDescent="0.15"/>
    <row r="42398" spans="3:3" s="8" customFormat="1" ht="21.95" customHeight="1" x14ac:dyDescent="0.15"/>
    <row r="42399" spans="3:3" s="8" customFormat="1" ht="21.95" customHeight="1" x14ac:dyDescent="0.15"/>
    <row r="42400" spans="3:3" s="8" customFormat="1" ht="21.95" customHeight="1" x14ac:dyDescent="0.15"/>
    <row r="42401" s="8" customFormat="1" ht="21.95" customHeight="1" x14ac:dyDescent="0.15"/>
    <row r="42402" s="8" customFormat="1" ht="21.95" customHeight="1" x14ac:dyDescent="0.15"/>
    <row r="42403" s="8" customFormat="1" ht="21.95" customHeight="1" x14ac:dyDescent="0.15"/>
    <row r="42404" s="8" customFormat="1" ht="21.95" customHeight="1" x14ac:dyDescent="0.15"/>
    <row r="42405" s="8" customFormat="1" ht="21.95" customHeight="1" x14ac:dyDescent="0.15"/>
    <row r="42406" s="8" customFormat="1" ht="21.95" customHeight="1" x14ac:dyDescent="0.15"/>
    <row r="42407" s="8" customFormat="1" ht="21.95" customHeight="1" x14ac:dyDescent="0.15"/>
    <row r="42408" s="8" customFormat="1" ht="32.1" customHeight="1" x14ac:dyDescent="0.15"/>
    <row r="42409" s="8" customFormat="1" ht="32.1" customHeight="1" x14ac:dyDescent="0.15"/>
    <row r="42410" s="8" customFormat="1" ht="32.1" customHeight="1" x14ac:dyDescent="0.15"/>
    <row r="42411" s="8" customFormat="1" ht="32.1" customHeight="1" x14ac:dyDescent="0.15"/>
    <row r="42412" s="8" customFormat="1" ht="32.1" customHeight="1" x14ac:dyDescent="0.15"/>
    <row r="42413" s="8" customFormat="1" ht="32.1" customHeight="1" x14ac:dyDescent="0.15"/>
    <row r="42414" s="9" customFormat="1" ht="32.1" customHeight="1" x14ac:dyDescent="0.15"/>
    <row r="42415" s="9" customFormat="1" ht="32.1" customHeight="1" x14ac:dyDescent="0.15"/>
    <row r="42416" s="9" customFormat="1" ht="32.1" customHeight="1" x14ac:dyDescent="0.15"/>
    <row r="42417" s="9" customFormat="1" ht="32.1" customHeight="1" x14ac:dyDescent="0.15"/>
    <row r="42418" s="9" customFormat="1" ht="21.95" customHeight="1" x14ac:dyDescent="0.15"/>
    <row r="42419" s="9" customFormat="1" ht="54" customHeight="1" x14ac:dyDescent="0.15"/>
    <row r="42420" s="9" customFormat="1" ht="21.95" customHeight="1" x14ac:dyDescent="0.15"/>
    <row r="42421" s="9" customFormat="1" ht="21.95" customHeight="1" x14ac:dyDescent="0.15"/>
    <row r="42422" s="9" customFormat="1" ht="21.95" customHeight="1" x14ac:dyDescent="0.15"/>
    <row r="42423" s="9" customFormat="1" ht="21.95" customHeight="1" x14ac:dyDescent="0.15"/>
    <row r="42424" s="9" customFormat="1" ht="21.95" customHeight="1" x14ac:dyDescent="0.15"/>
    <row r="42425" s="9" customFormat="1" ht="21.95" customHeight="1" x14ac:dyDescent="0.15"/>
    <row r="42426" s="9" customFormat="1" ht="21.95" customHeight="1" x14ac:dyDescent="0.15"/>
    <row r="42427" s="9" customFormat="1" ht="21.95" customHeight="1" x14ac:dyDescent="0.15"/>
    <row r="42428" s="9" customFormat="1" ht="21.95" customHeight="1" x14ac:dyDescent="0.15"/>
    <row r="42429" s="9" customFormat="1" ht="21.95" customHeight="1" x14ac:dyDescent="0.15"/>
    <row r="42430" s="9" customFormat="1" ht="21.95" customHeight="1" x14ac:dyDescent="0.15"/>
    <row r="42431" s="9" customFormat="1" ht="21.95" customHeight="1" x14ac:dyDescent="0.15"/>
    <row r="42432" s="9" customFormat="1" ht="21.95" customHeight="1" x14ac:dyDescent="0.15"/>
    <row r="42433" s="9" customFormat="1" ht="21.95" customHeight="1" x14ac:dyDescent="0.15"/>
    <row r="42434" s="9" customFormat="1" ht="21.95" customHeight="1" x14ac:dyDescent="0.15"/>
    <row r="42435" s="9" customFormat="1" ht="21.95" customHeight="1" x14ac:dyDescent="0.15"/>
    <row r="42436" s="9" customFormat="1" ht="21.95" customHeight="1" x14ac:dyDescent="0.15"/>
    <row r="42437" s="9" customFormat="1" ht="21.95" customHeight="1" x14ac:dyDescent="0.15"/>
    <row r="42438" s="9" customFormat="1" ht="21.95" customHeight="1" x14ac:dyDescent="0.15"/>
    <row r="42439" s="9" customFormat="1" ht="21.95" customHeight="1" x14ac:dyDescent="0.15"/>
    <row r="42440" s="9" customFormat="1" ht="21.95" customHeight="1" x14ac:dyDescent="0.15"/>
    <row r="42441" s="9" customFormat="1" ht="21.95" customHeight="1" x14ac:dyDescent="0.15"/>
    <row r="42442" s="9" customFormat="1" ht="21.95" customHeight="1" x14ac:dyDescent="0.15"/>
    <row r="42443" s="9" customFormat="1" ht="21.95" customHeight="1" x14ac:dyDescent="0.15"/>
    <row r="42444" s="9" customFormat="1" ht="21.95" customHeight="1" x14ac:dyDescent="0.15"/>
    <row r="42445" s="9" customFormat="1" ht="21.95" customHeight="1" x14ac:dyDescent="0.15"/>
    <row r="42446" s="9" customFormat="1" ht="21.95" customHeight="1" x14ac:dyDescent="0.15"/>
    <row r="42447" s="9" customFormat="1" ht="21.95" customHeight="1" x14ac:dyDescent="0.15"/>
    <row r="42448" s="9" customFormat="1" ht="21.95" customHeight="1" x14ac:dyDescent="0.15"/>
    <row r="42449" s="9" customFormat="1" ht="21.95" customHeight="1" x14ac:dyDescent="0.15"/>
    <row r="42450" s="9" customFormat="1" ht="21.95" customHeight="1" x14ac:dyDescent="0.15"/>
    <row r="42451" s="9" customFormat="1" ht="21.95" customHeight="1" x14ac:dyDescent="0.15"/>
    <row r="42452" s="9" customFormat="1" ht="21.95" customHeight="1" x14ac:dyDescent="0.15"/>
    <row r="42453" s="9" customFormat="1" ht="21.95" customHeight="1" x14ac:dyDescent="0.15"/>
    <row r="42454" s="9" customFormat="1" ht="21.95" customHeight="1" x14ac:dyDescent="0.15"/>
    <row r="42455" s="9" customFormat="1" ht="21.95" customHeight="1" x14ac:dyDescent="0.15"/>
    <row r="42456" s="9" customFormat="1" ht="21.95" customHeight="1" x14ac:dyDescent="0.15"/>
    <row r="42457" s="9" customFormat="1" ht="21.95" customHeight="1" x14ac:dyDescent="0.15"/>
    <row r="42458" s="9" customFormat="1" ht="21.95" customHeight="1" x14ac:dyDescent="0.15"/>
    <row r="42459" s="9" customFormat="1" ht="21.95" customHeight="1" x14ac:dyDescent="0.15"/>
    <row r="42460" s="9" customFormat="1" ht="21.95" customHeight="1" x14ac:dyDescent="0.15"/>
    <row r="42461" s="9" customFormat="1" ht="21.95" customHeight="1" x14ac:dyDescent="0.15"/>
    <row r="42462" s="9" customFormat="1" ht="21.95" customHeight="1" x14ac:dyDescent="0.15"/>
    <row r="42463" s="9" customFormat="1" ht="21.95" customHeight="1" x14ac:dyDescent="0.15"/>
    <row r="42464" s="9" customFormat="1" ht="21.95" customHeight="1" x14ac:dyDescent="0.15"/>
    <row r="42465" s="9" customFormat="1" ht="21.95" customHeight="1" x14ac:dyDescent="0.15"/>
    <row r="42466" s="9" customFormat="1" ht="21.95" customHeight="1" x14ac:dyDescent="0.15"/>
    <row r="42467" s="9" customFormat="1" ht="21.95" customHeight="1" x14ac:dyDescent="0.15"/>
    <row r="42468" s="9" customFormat="1" ht="21.95" customHeight="1" x14ac:dyDescent="0.15"/>
    <row r="42469" s="9" customFormat="1" ht="21.95" customHeight="1" x14ac:dyDescent="0.15"/>
    <row r="42470" s="9" customFormat="1" ht="35.1" customHeight="1" x14ac:dyDescent="0.15"/>
    <row r="42471" s="9" customFormat="1" ht="21.95" customHeight="1" x14ac:dyDescent="0.15"/>
    <row r="42472" s="9" customFormat="1" ht="21.95" customHeight="1" x14ac:dyDescent="0.15"/>
    <row r="42473" s="9" customFormat="1" ht="21.95" customHeight="1" x14ac:dyDescent="0.15"/>
    <row r="42474" s="9" customFormat="1" ht="21.95" customHeight="1" x14ac:dyDescent="0.15"/>
    <row r="42475" s="9" customFormat="1" ht="21.95" customHeight="1" x14ac:dyDescent="0.15"/>
    <row r="42476" s="9" customFormat="1" ht="21.95" customHeight="1" x14ac:dyDescent="0.15"/>
    <row r="42477" s="9" customFormat="1" ht="21.95" customHeight="1" x14ac:dyDescent="0.15"/>
    <row r="42478" s="9" customFormat="1" ht="21.95" customHeight="1" x14ac:dyDescent="0.15"/>
    <row r="42479" s="9" customFormat="1" ht="21.95" customHeight="1" x14ac:dyDescent="0.15"/>
    <row r="42480" s="9" customFormat="1" ht="21.95" customHeight="1" x14ac:dyDescent="0.15"/>
    <row r="42481" spans="3:3" s="9" customFormat="1" ht="21.95" customHeight="1" x14ac:dyDescent="0.15"/>
    <row r="42482" spans="3:3" s="9" customFormat="1" ht="21.95" customHeight="1" x14ac:dyDescent="0.15"/>
    <row r="42483" spans="3:3" s="9" customFormat="1" ht="21.95" customHeight="1" x14ac:dyDescent="0.15"/>
    <row r="42484" spans="3:3" s="9" customFormat="1" ht="21.95" customHeight="1" x14ac:dyDescent="0.15"/>
    <row r="42485" spans="3:3" s="9" customFormat="1" ht="21.95" customHeight="1" x14ac:dyDescent="0.15"/>
    <row r="42486" spans="3:3" s="9" customFormat="1" ht="21.95" customHeight="1" x14ac:dyDescent="0.15"/>
    <row r="42487" spans="3:3" s="9" customFormat="1" ht="21.95" customHeight="1" x14ac:dyDescent="0.15"/>
    <row r="42488" spans="3:3" s="9" customFormat="1" ht="21.95" customHeight="1" x14ac:dyDescent="0.15"/>
    <row r="42489" spans="3:3" s="9" customFormat="1" ht="21.95" customHeight="1" x14ac:dyDescent="0.15"/>
    <row r="42490" spans="3:3" s="9" customFormat="1" ht="21.95" customHeight="1" x14ac:dyDescent="0.15"/>
    <row r="42491" spans="3:3" s="9" customFormat="1" ht="21.95" customHeight="1" x14ac:dyDescent="0.15"/>
    <row r="42492" spans="3:3" s="9" customFormat="1" ht="21.95" customHeight="1" x14ac:dyDescent="0.15"/>
    <row r="42493" spans="3:3" s="9" customFormat="1" ht="21.95" customHeight="1" x14ac:dyDescent="0.15"/>
    <row r="42494" spans="3:3" s="8" customFormat="1" ht="21.95" customHeight="1" x14ac:dyDescent="0.15"/>
    <row r="42495" spans="3:3" s="8" customFormat="1" ht="21.95" customHeight="1" x14ac:dyDescent="0.15"/>
    <row r="42496" spans="3:3" s="8" customFormat="1" ht="21.95" customHeight="1" x14ac:dyDescent="0.15">
      <c r="C42496" s="101"/>
    </row>
    <row r="42497" spans="3:3" s="8" customFormat="1" ht="21.95" customHeight="1" x14ac:dyDescent="0.15">
      <c r="C42497" s="101"/>
    </row>
    <row r="42498" spans="3:3" s="8" customFormat="1" ht="21.95" customHeight="1" x14ac:dyDescent="0.15"/>
    <row r="42499" spans="3:3" s="8" customFormat="1" ht="21.95" customHeight="1" x14ac:dyDescent="0.15"/>
    <row r="42500" spans="3:3" s="8" customFormat="1" ht="21.95" customHeight="1" x14ac:dyDescent="0.15"/>
    <row r="42501" spans="3:3" s="8" customFormat="1" ht="21.95" customHeight="1" x14ac:dyDescent="0.15"/>
    <row r="42502" spans="3:3" s="8" customFormat="1" ht="21.95" customHeight="1" x14ac:dyDescent="0.15"/>
    <row r="42503" spans="3:3" s="8" customFormat="1" ht="21.95" customHeight="1" x14ac:dyDescent="0.15"/>
    <row r="42504" spans="3:3" s="8" customFormat="1" ht="21.95" customHeight="1" x14ac:dyDescent="0.15"/>
    <row r="42505" spans="3:3" s="9" customFormat="1" ht="21.95" customHeight="1" x14ac:dyDescent="0.15"/>
    <row r="42506" spans="3:3" s="9" customFormat="1" ht="21.95" customHeight="1" x14ac:dyDescent="0.15"/>
    <row r="42507" spans="3:3" s="9" customFormat="1" ht="21.95" customHeight="1" x14ac:dyDescent="0.15"/>
    <row r="42508" spans="3:3" s="9" customFormat="1" ht="21.95" customHeight="1" x14ac:dyDescent="0.15"/>
    <row r="42509" spans="3:3" s="8" customFormat="1" ht="21.95" customHeight="1" x14ac:dyDescent="0.15"/>
    <row r="42510" spans="3:3" s="8" customFormat="1" ht="21.95" customHeight="1" x14ac:dyDescent="0.15"/>
    <row r="42511" spans="3:3" s="8" customFormat="1" ht="21.95" customHeight="1" x14ac:dyDescent="0.15"/>
    <row r="42512" spans="3:3" s="8" customFormat="1" ht="21.95" customHeight="1" x14ac:dyDescent="0.15"/>
    <row r="42513" s="8" customFormat="1" ht="21.95" customHeight="1" x14ac:dyDescent="0.15"/>
    <row r="42514" s="8" customFormat="1" ht="21.95" customHeight="1" x14ac:dyDescent="0.15"/>
    <row r="42515" s="8" customFormat="1" ht="21.95" customHeight="1" x14ac:dyDescent="0.15"/>
    <row r="42516" s="8" customFormat="1" ht="21.95" customHeight="1" x14ac:dyDescent="0.15"/>
    <row r="42517" s="8" customFormat="1" ht="21.95" customHeight="1" x14ac:dyDescent="0.15"/>
    <row r="42518" s="8" customFormat="1" ht="21.95" customHeight="1" x14ac:dyDescent="0.15"/>
    <row r="42519" s="8" customFormat="1" ht="21.95" customHeight="1" x14ac:dyDescent="0.15"/>
    <row r="42520" s="8" customFormat="1" ht="32.1" customHeight="1" x14ac:dyDescent="0.15"/>
    <row r="42521" s="8" customFormat="1" ht="32.1" customHeight="1" x14ac:dyDescent="0.15"/>
    <row r="42522" s="8" customFormat="1" ht="32.1" customHeight="1" x14ac:dyDescent="0.15"/>
    <row r="42523" s="8" customFormat="1" ht="32.1" customHeight="1" x14ac:dyDescent="0.15"/>
    <row r="42524" s="8" customFormat="1" ht="32.1" customHeight="1" x14ac:dyDescent="0.15"/>
    <row r="42525" s="8" customFormat="1" ht="32.1" customHeight="1" x14ac:dyDescent="0.15"/>
    <row r="42526" s="9" customFormat="1" ht="32.1" customHeight="1" x14ac:dyDescent="0.15"/>
    <row r="42527" s="9" customFormat="1" ht="32.1" customHeight="1" x14ac:dyDescent="0.15"/>
    <row r="42528" s="9" customFormat="1" ht="32.1" customHeight="1" x14ac:dyDescent="0.15"/>
    <row r="42529" s="9" customFormat="1" ht="32.1" customHeight="1" x14ac:dyDescent="0.15"/>
    <row r="42530" s="9" customFormat="1" ht="21.95" customHeight="1" x14ac:dyDescent="0.15"/>
    <row r="42531" s="9" customFormat="1" ht="54" customHeight="1" x14ac:dyDescent="0.15"/>
    <row r="42532" s="9" customFormat="1" ht="21.95" customHeight="1" x14ac:dyDescent="0.15"/>
    <row r="42533" s="9" customFormat="1" ht="21.95" customHeight="1" x14ac:dyDescent="0.15"/>
    <row r="42534" s="9" customFormat="1" ht="21.95" customHeight="1" x14ac:dyDescent="0.15"/>
    <row r="42535" s="9" customFormat="1" ht="21.95" customHeight="1" x14ac:dyDescent="0.15"/>
    <row r="42536" s="9" customFormat="1" ht="21.95" customHeight="1" x14ac:dyDescent="0.15"/>
    <row r="42537" s="9" customFormat="1" ht="21.95" customHeight="1" x14ac:dyDescent="0.15"/>
    <row r="42538" s="9" customFormat="1" ht="21.95" customHeight="1" x14ac:dyDescent="0.15"/>
    <row r="42539" s="9" customFormat="1" ht="21.95" customHeight="1" x14ac:dyDescent="0.15"/>
    <row r="42540" s="9" customFormat="1" ht="21.95" customHeight="1" x14ac:dyDescent="0.15"/>
    <row r="42541" s="9" customFormat="1" ht="21.95" customHeight="1" x14ac:dyDescent="0.15"/>
    <row r="42542" s="9" customFormat="1" ht="21.95" customHeight="1" x14ac:dyDescent="0.15"/>
    <row r="42543" s="9" customFormat="1" ht="21.95" customHeight="1" x14ac:dyDescent="0.15"/>
    <row r="42544" s="9" customFormat="1" ht="21.95" customHeight="1" x14ac:dyDescent="0.15"/>
    <row r="42545" s="9" customFormat="1" ht="21.95" customHeight="1" x14ac:dyDescent="0.15"/>
    <row r="42546" s="9" customFormat="1" ht="21.95" customHeight="1" x14ac:dyDescent="0.15"/>
    <row r="42547" s="9" customFormat="1" ht="21.95" customHeight="1" x14ac:dyDescent="0.15"/>
    <row r="42548" s="9" customFormat="1" ht="21.95" customHeight="1" x14ac:dyDescent="0.15"/>
    <row r="42549" s="9" customFormat="1" ht="21.95" customHeight="1" x14ac:dyDescent="0.15"/>
    <row r="42550" s="9" customFormat="1" ht="21.95" customHeight="1" x14ac:dyDescent="0.15"/>
    <row r="42551" s="9" customFormat="1" ht="21.95" customHeight="1" x14ac:dyDescent="0.15"/>
    <row r="42552" s="9" customFormat="1" ht="21.95" customHeight="1" x14ac:dyDescent="0.15"/>
    <row r="42553" s="9" customFormat="1" ht="21.95" customHeight="1" x14ac:dyDescent="0.15"/>
    <row r="42554" s="9" customFormat="1" ht="21.95" customHeight="1" x14ac:dyDescent="0.15"/>
    <row r="42555" s="9" customFormat="1" ht="21.95" customHeight="1" x14ac:dyDescent="0.15"/>
    <row r="42556" s="9" customFormat="1" ht="21.95" customHeight="1" x14ac:dyDescent="0.15"/>
    <row r="42557" s="9" customFormat="1" ht="21.95" customHeight="1" x14ac:dyDescent="0.15"/>
    <row r="42558" s="9" customFormat="1" ht="21.95" customHeight="1" x14ac:dyDescent="0.15"/>
    <row r="42559" s="9" customFormat="1" ht="21.95" customHeight="1" x14ac:dyDescent="0.15"/>
    <row r="42560" s="9" customFormat="1" ht="21.95" customHeight="1" x14ac:dyDescent="0.15"/>
    <row r="42561" s="9" customFormat="1" ht="21.95" customHeight="1" x14ac:dyDescent="0.15"/>
    <row r="42562" s="9" customFormat="1" ht="21.95" customHeight="1" x14ac:dyDescent="0.15"/>
    <row r="42563" s="9" customFormat="1" ht="21.95" customHeight="1" x14ac:dyDescent="0.15"/>
    <row r="42564" s="9" customFormat="1" ht="21.95" customHeight="1" x14ac:dyDescent="0.15"/>
    <row r="42565" s="9" customFormat="1" ht="21.95" customHeight="1" x14ac:dyDescent="0.15"/>
    <row r="42566" s="9" customFormat="1" ht="21.95" customHeight="1" x14ac:dyDescent="0.15"/>
    <row r="42567" s="9" customFormat="1" ht="21.95" customHeight="1" x14ac:dyDescent="0.15"/>
    <row r="42568" s="9" customFormat="1" ht="21.95" customHeight="1" x14ac:dyDescent="0.15"/>
    <row r="42569" s="9" customFormat="1" ht="21.95" customHeight="1" x14ac:dyDescent="0.15"/>
    <row r="42570" s="9" customFormat="1" ht="21.95" customHeight="1" x14ac:dyDescent="0.15"/>
    <row r="42571" s="9" customFormat="1" ht="21.95" customHeight="1" x14ac:dyDescent="0.15"/>
    <row r="42572" s="9" customFormat="1" ht="21.95" customHeight="1" x14ac:dyDescent="0.15"/>
    <row r="42573" s="9" customFormat="1" ht="21.95" customHeight="1" x14ac:dyDescent="0.15"/>
    <row r="42574" s="9" customFormat="1" ht="21.95" customHeight="1" x14ac:dyDescent="0.15"/>
    <row r="42575" s="9" customFormat="1" ht="21.95" customHeight="1" x14ac:dyDescent="0.15"/>
    <row r="42576" s="9" customFormat="1" ht="21.95" customHeight="1" x14ac:dyDescent="0.15"/>
    <row r="42577" s="9" customFormat="1" ht="21.95" customHeight="1" x14ac:dyDescent="0.15"/>
    <row r="42578" s="9" customFormat="1" ht="21.95" customHeight="1" x14ac:dyDescent="0.15"/>
    <row r="42579" s="9" customFormat="1" ht="21.95" customHeight="1" x14ac:dyDescent="0.15"/>
    <row r="42580" s="9" customFormat="1" ht="21.95" customHeight="1" x14ac:dyDescent="0.15"/>
    <row r="42581" s="9" customFormat="1" ht="21.95" customHeight="1" x14ac:dyDescent="0.15"/>
    <row r="42582" s="9" customFormat="1" ht="35.1" customHeight="1" x14ac:dyDescent="0.15"/>
    <row r="42583" s="9" customFormat="1" ht="21.95" customHeight="1" x14ac:dyDescent="0.15"/>
    <row r="42584" s="9" customFormat="1" ht="21.95" customHeight="1" x14ac:dyDescent="0.15"/>
    <row r="42585" s="9" customFormat="1" ht="21.95" customHeight="1" x14ac:dyDescent="0.15"/>
    <row r="42586" s="9" customFormat="1" ht="21.95" customHeight="1" x14ac:dyDescent="0.15"/>
    <row r="42587" s="9" customFormat="1" ht="21.95" customHeight="1" x14ac:dyDescent="0.15"/>
    <row r="42588" s="9" customFormat="1" ht="21.95" customHeight="1" x14ac:dyDescent="0.15"/>
    <row r="42589" s="9" customFormat="1" ht="21.95" customHeight="1" x14ac:dyDescent="0.15"/>
    <row r="42590" s="9" customFormat="1" ht="21.95" customHeight="1" x14ac:dyDescent="0.15"/>
    <row r="42591" s="9" customFormat="1" ht="21.95" customHeight="1" x14ac:dyDescent="0.15"/>
    <row r="42592" s="9" customFormat="1" ht="21.95" customHeight="1" x14ac:dyDescent="0.15"/>
    <row r="42593" spans="3:3" s="9" customFormat="1" ht="21.95" customHeight="1" x14ac:dyDescent="0.15"/>
    <row r="42594" spans="3:3" s="9" customFormat="1" ht="21.95" customHeight="1" x14ac:dyDescent="0.15"/>
    <row r="42595" spans="3:3" s="9" customFormat="1" ht="21.95" customHeight="1" x14ac:dyDescent="0.15"/>
    <row r="42596" spans="3:3" s="9" customFormat="1" ht="21.95" customHeight="1" x14ac:dyDescent="0.15"/>
    <row r="42597" spans="3:3" s="9" customFormat="1" ht="21.95" customHeight="1" x14ac:dyDescent="0.15"/>
    <row r="42598" spans="3:3" s="9" customFormat="1" ht="21.95" customHeight="1" x14ac:dyDescent="0.15"/>
    <row r="42599" spans="3:3" s="9" customFormat="1" ht="21.95" customHeight="1" x14ac:dyDescent="0.15"/>
    <row r="42600" spans="3:3" s="9" customFormat="1" ht="21.95" customHeight="1" x14ac:dyDescent="0.15"/>
    <row r="42601" spans="3:3" s="9" customFormat="1" ht="21.95" customHeight="1" x14ac:dyDescent="0.15"/>
    <row r="42602" spans="3:3" s="9" customFormat="1" ht="21.95" customHeight="1" x14ac:dyDescent="0.15"/>
    <row r="42603" spans="3:3" s="9" customFormat="1" ht="21.95" customHeight="1" x14ac:dyDescent="0.15"/>
    <row r="42604" spans="3:3" s="9" customFormat="1" ht="21.95" customHeight="1" x14ac:dyDescent="0.15"/>
    <row r="42605" spans="3:3" s="9" customFormat="1" ht="21.95" customHeight="1" x14ac:dyDescent="0.15"/>
    <row r="42606" spans="3:3" s="8" customFormat="1" ht="21.95" customHeight="1" x14ac:dyDescent="0.15"/>
    <row r="42607" spans="3:3" s="8" customFormat="1" ht="21.95" customHeight="1" x14ac:dyDescent="0.15"/>
    <row r="42608" spans="3:3" s="8" customFormat="1" ht="21.95" customHeight="1" x14ac:dyDescent="0.15">
      <c r="C42608" s="101"/>
    </row>
    <row r="42609" spans="3:3" s="8" customFormat="1" ht="21.95" customHeight="1" x14ac:dyDescent="0.15">
      <c r="C42609" s="101"/>
    </row>
    <row r="42610" spans="3:3" s="8" customFormat="1" ht="21.95" customHeight="1" x14ac:dyDescent="0.15"/>
    <row r="42611" spans="3:3" s="8" customFormat="1" ht="21.95" customHeight="1" x14ac:dyDescent="0.15"/>
    <row r="42612" spans="3:3" s="8" customFormat="1" ht="21.95" customHeight="1" x14ac:dyDescent="0.15"/>
    <row r="42613" spans="3:3" s="8" customFormat="1" ht="21.95" customHeight="1" x14ac:dyDescent="0.15"/>
    <row r="42614" spans="3:3" s="8" customFormat="1" ht="21.95" customHeight="1" x14ac:dyDescent="0.15"/>
    <row r="42615" spans="3:3" s="8" customFormat="1" ht="21.95" customHeight="1" x14ac:dyDescent="0.15"/>
    <row r="42616" spans="3:3" s="8" customFormat="1" ht="21.95" customHeight="1" x14ac:dyDescent="0.15"/>
    <row r="42617" spans="3:3" s="9" customFormat="1" ht="21.95" customHeight="1" x14ac:dyDescent="0.15"/>
    <row r="42618" spans="3:3" s="9" customFormat="1" ht="21.95" customHeight="1" x14ac:dyDescent="0.15"/>
    <row r="42619" spans="3:3" s="9" customFormat="1" ht="21.95" customHeight="1" x14ac:dyDescent="0.15"/>
    <row r="42620" spans="3:3" s="9" customFormat="1" ht="21.95" customHeight="1" x14ac:dyDescent="0.15"/>
    <row r="42621" spans="3:3" s="8" customFormat="1" ht="21.95" customHeight="1" x14ac:dyDescent="0.15"/>
    <row r="42622" spans="3:3" s="8" customFormat="1" ht="21.95" customHeight="1" x14ac:dyDescent="0.15"/>
    <row r="42623" spans="3:3" s="8" customFormat="1" ht="21.95" customHeight="1" x14ac:dyDescent="0.15"/>
    <row r="42624" spans="3:3" s="8" customFormat="1" ht="21.95" customHeight="1" x14ac:dyDescent="0.15"/>
    <row r="42625" s="8" customFormat="1" ht="21.95" customHeight="1" x14ac:dyDescent="0.15"/>
    <row r="42626" s="8" customFormat="1" ht="21.95" customHeight="1" x14ac:dyDescent="0.15"/>
    <row r="42627" s="8" customFormat="1" ht="21.95" customHeight="1" x14ac:dyDescent="0.15"/>
    <row r="42628" s="8" customFormat="1" ht="21.95" customHeight="1" x14ac:dyDescent="0.15"/>
    <row r="42629" s="8" customFormat="1" ht="21.95" customHeight="1" x14ac:dyDescent="0.15"/>
    <row r="42630" s="8" customFormat="1" ht="21.95" customHeight="1" x14ac:dyDescent="0.15"/>
    <row r="42631" s="8" customFormat="1" ht="21.95" customHeight="1" x14ac:dyDescent="0.15"/>
    <row r="42632" s="8" customFormat="1" ht="32.1" customHeight="1" x14ac:dyDescent="0.15"/>
    <row r="42633" s="8" customFormat="1" ht="32.1" customHeight="1" x14ac:dyDescent="0.15"/>
    <row r="42634" s="8" customFormat="1" ht="32.1" customHeight="1" x14ac:dyDescent="0.15"/>
    <row r="42635" s="8" customFormat="1" ht="32.1" customHeight="1" x14ac:dyDescent="0.15"/>
    <row r="42636" s="8" customFormat="1" ht="32.1" customHeight="1" x14ac:dyDescent="0.15"/>
    <row r="42637" s="8" customFormat="1" ht="32.1" customHeight="1" x14ac:dyDescent="0.15"/>
    <row r="42638" s="9" customFormat="1" ht="32.1" customHeight="1" x14ac:dyDescent="0.15"/>
    <row r="42639" s="9" customFormat="1" ht="32.1" customHeight="1" x14ac:dyDescent="0.15"/>
    <row r="42640" s="9" customFormat="1" ht="32.1" customHeight="1" x14ac:dyDescent="0.15"/>
    <row r="42641" s="9" customFormat="1" ht="32.1" customHeight="1" x14ac:dyDescent="0.15"/>
    <row r="42642" s="9" customFormat="1" ht="21.95" customHeight="1" x14ac:dyDescent="0.15"/>
    <row r="42643" s="9" customFormat="1" ht="54" customHeight="1" x14ac:dyDescent="0.15"/>
    <row r="42644" s="9" customFormat="1" ht="21.95" customHeight="1" x14ac:dyDescent="0.15"/>
    <row r="42645" s="9" customFormat="1" ht="21.95" customHeight="1" x14ac:dyDescent="0.15"/>
    <row r="42646" s="9" customFormat="1" ht="21.95" customHeight="1" x14ac:dyDescent="0.15"/>
    <row r="42647" s="9" customFormat="1" ht="21.95" customHeight="1" x14ac:dyDescent="0.15"/>
    <row r="42648" s="9" customFormat="1" ht="21.95" customHeight="1" x14ac:dyDescent="0.15"/>
    <row r="42649" s="9" customFormat="1" ht="21.95" customHeight="1" x14ac:dyDescent="0.15"/>
    <row r="42650" s="9" customFormat="1" ht="21.95" customHeight="1" x14ac:dyDescent="0.15"/>
    <row r="42651" s="9" customFormat="1" ht="21.95" customHeight="1" x14ac:dyDescent="0.15"/>
    <row r="42652" s="9" customFormat="1" ht="21.95" customHeight="1" x14ac:dyDescent="0.15"/>
    <row r="42653" s="9" customFormat="1" ht="21.95" customHeight="1" x14ac:dyDescent="0.15"/>
    <row r="42654" s="9" customFormat="1" ht="21.95" customHeight="1" x14ac:dyDescent="0.15"/>
    <row r="42655" s="9" customFormat="1" ht="21.95" customHeight="1" x14ac:dyDescent="0.15"/>
    <row r="42656" s="9" customFormat="1" ht="21.95" customHeight="1" x14ac:dyDescent="0.15"/>
    <row r="42657" s="9" customFormat="1" ht="21.95" customHeight="1" x14ac:dyDescent="0.15"/>
    <row r="42658" s="9" customFormat="1" ht="21.95" customHeight="1" x14ac:dyDescent="0.15"/>
    <row r="42659" s="9" customFormat="1" ht="21.95" customHeight="1" x14ac:dyDescent="0.15"/>
    <row r="42660" s="9" customFormat="1" ht="21.95" customHeight="1" x14ac:dyDescent="0.15"/>
    <row r="42661" s="9" customFormat="1" ht="21.95" customHeight="1" x14ac:dyDescent="0.15"/>
    <row r="42662" s="9" customFormat="1" ht="21.95" customHeight="1" x14ac:dyDescent="0.15"/>
    <row r="42663" s="9" customFormat="1" ht="21.95" customHeight="1" x14ac:dyDescent="0.15"/>
    <row r="42664" s="9" customFormat="1" ht="21.95" customHeight="1" x14ac:dyDescent="0.15"/>
    <row r="42665" s="9" customFormat="1" ht="21.95" customHeight="1" x14ac:dyDescent="0.15"/>
    <row r="42666" s="9" customFormat="1" ht="21.95" customHeight="1" x14ac:dyDescent="0.15"/>
    <row r="42667" s="9" customFormat="1" ht="21.95" customHeight="1" x14ac:dyDescent="0.15"/>
    <row r="42668" s="9" customFormat="1" ht="21.95" customHeight="1" x14ac:dyDescent="0.15"/>
    <row r="42669" s="9" customFormat="1" ht="21.95" customHeight="1" x14ac:dyDescent="0.15"/>
    <row r="42670" s="9" customFormat="1" ht="21.95" customHeight="1" x14ac:dyDescent="0.15"/>
    <row r="42671" s="9" customFormat="1" ht="21.95" customHeight="1" x14ac:dyDescent="0.15"/>
    <row r="42672" s="9" customFormat="1" ht="21.95" customHeight="1" x14ac:dyDescent="0.15"/>
    <row r="42673" s="9" customFormat="1" ht="21.95" customHeight="1" x14ac:dyDescent="0.15"/>
    <row r="42674" s="9" customFormat="1" ht="21.95" customHeight="1" x14ac:dyDescent="0.15"/>
    <row r="42675" s="9" customFormat="1" ht="21.95" customHeight="1" x14ac:dyDescent="0.15"/>
    <row r="42676" s="9" customFormat="1" ht="21.95" customHeight="1" x14ac:dyDescent="0.15"/>
    <row r="42677" s="9" customFormat="1" ht="21.95" customHeight="1" x14ac:dyDescent="0.15"/>
    <row r="42678" s="9" customFormat="1" ht="21.95" customHeight="1" x14ac:dyDescent="0.15"/>
    <row r="42679" s="9" customFormat="1" ht="21.95" customHeight="1" x14ac:dyDescent="0.15"/>
    <row r="42680" s="9" customFormat="1" ht="21.95" customHeight="1" x14ac:dyDescent="0.15"/>
    <row r="42681" s="9" customFormat="1" ht="21.95" customHeight="1" x14ac:dyDescent="0.15"/>
    <row r="42682" s="9" customFormat="1" ht="21.95" customHeight="1" x14ac:dyDescent="0.15"/>
    <row r="42683" s="9" customFormat="1" ht="21.95" customHeight="1" x14ac:dyDescent="0.15"/>
    <row r="42684" s="9" customFormat="1" ht="21.95" customHeight="1" x14ac:dyDescent="0.15"/>
    <row r="42685" s="9" customFormat="1" ht="21.95" customHeight="1" x14ac:dyDescent="0.15"/>
    <row r="42686" s="9" customFormat="1" ht="21.95" customHeight="1" x14ac:dyDescent="0.15"/>
    <row r="42687" s="9" customFormat="1" ht="21.95" customHeight="1" x14ac:dyDescent="0.15"/>
    <row r="42688" s="9" customFormat="1" ht="21.95" customHeight="1" x14ac:dyDescent="0.15"/>
    <row r="42689" s="9" customFormat="1" ht="21.95" customHeight="1" x14ac:dyDescent="0.15"/>
    <row r="42690" s="9" customFormat="1" ht="21.95" customHeight="1" x14ac:dyDescent="0.15"/>
    <row r="42691" s="9" customFormat="1" ht="21.95" customHeight="1" x14ac:dyDescent="0.15"/>
    <row r="42692" s="9" customFormat="1" ht="21.95" customHeight="1" x14ac:dyDescent="0.15"/>
    <row r="42693" s="9" customFormat="1" ht="21.95" customHeight="1" x14ac:dyDescent="0.15"/>
    <row r="42694" s="9" customFormat="1" ht="35.1" customHeight="1" x14ac:dyDescent="0.15"/>
    <row r="42695" s="9" customFormat="1" ht="21.95" customHeight="1" x14ac:dyDescent="0.15"/>
    <row r="42696" s="9" customFormat="1" ht="21.95" customHeight="1" x14ac:dyDescent="0.15"/>
    <row r="42697" s="9" customFormat="1" ht="21.95" customHeight="1" x14ac:dyDescent="0.15"/>
    <row r="42698" s="9" customFormat="1" ht="21.95" customHeight="1" x14ac:dyDescent="0.15"/>
    <row r="42699" s="9" customFormat="1" ht="21.95" customHeight="1" x14ac:dyDescent="0.15"/>
    <row r="42700" s="9" customFormat="1" ht="21.95" customHeight="1" x14ac:dyDescent="0.15"/>
    <row r="42701" s="9" customFormat="1" ht="21.95" customHeight="1" x14ac:dyDescent="0.15"/>
    <row r="42702" s="9" customFormat="1" ht="21.95" customHeight="1" x14ac:dyDescent="0.15"/>
    <row r="42703" s="9" customFormat="1" ht="21.95" customHeight="1" x14ac:dyDescent="0.15"/>
    <row r="42704" s="9" customFormat="1" ht="21.95" customHeight="1" x14ac:dyDescent="0.15"/>
    <row r="42705" spans="3:3" s="9" customFormat="1" ht="21.95" customHeight="1" x14ac:dyDescent="0.15"/>
    <row r="42706" spans="3:3" s="9" customFormat="1" ht="21.95" customHeight="1" x14ac:dyDescent="0.15"/>
    <row r="42707" spans="3:3" s="9" customFormat="1" ht="21.95" customHeight="1" x14ac:dyDescent="0.15"/>
    <row r="42708" spans="3:3" s="9" customFormat="1" ht="21.95" customHeight="1" x14ac:dyDescent="0.15"/>
    <row r="42709" spans="3:3" s="9" customFormat="1" ht="21.95" customHeight="1" x14ac:dyDescent="0.15"/>
    <row r="42710" spans="3:3" s="9" customFormat="1" ht="21.95" customHeight="1" x14ac:dyDescent="0.15"/>
    <row r="42711" spans="3:3" s="9" customFormat="1" ht="21.95" customHeight="1" x14ac:dyDescent="0.15"/>
    <row r="42712" spans="3:3" s="9" customFormat="1" ht="21.95" customHeight="1" x14ac:dyDescent="0.15"/>
    <row r="42713" spans="3:3" s="9" customFormat="1" ht="21.95" customHeight="1" x14ac:dyDescent="0.15"/>
    <row r="42714" spans="3:3" s="9" customFormat="1" ht="21.95" customHeight="1" x14ac:dyDescent="0.15"/>
    <row r="42715" spans="3:3" s="9" customFormat="1" ht="21.95" customHeight="1" x14ac:dyDescent="0.15"/>
    <row r="42716" spans="3:3" s="9" customFormat="1" ht="21.95" customHeight="1" x14ac:dyDescent="0.15"/>
    <row r="42717" spans="3:3" s="9" customFormat="1" ht="21.95" customHeight="1" x14ac:dyDescent="0.15"/>
    <row r="42718" spans="3:3" s="8" customFormat="1" ht="21.95" customHeight="1" x14ac:dyDescent="0.15"/>
    <row r="42719" spans="3:3" s="8" customFormat="1" ht="21.95" customHeight="1" x14ac:dyDescent="0.15"/>
    <row r="42720" spans="3:3" s="8" customFormat="1" ht="21.95" customHeight="1" x14ac:dyDescent="0.15">
      <c r="C42720" s="101"/>
    </row>
    <row r="42721" spans="3:3" s="8" customFormat="1" ht="21.95" customHeight="1" x14ac:dyDescent="0.15">
      <c r="C42721" s="101"/>
    </row>
    <row r="42722" spans="3:3" s="8" customFormat="1" ht="21.95" customHeight="1" x14ac:dyDescent="0.15"/>
    <row r="42723" spans="3:3" s="8" customFormat="1" ht="21.95" customHeight="1" x14ac:dyDescent="0.15"/>
    <row r="42724" spans="3:3" s="8" customFormat="1" ht="21.95" customHeight="1" x14ac:dyDescent="0.15"/>
    <row r="42725" spans="3:3" s="8" customFormat="1" ht="21.95" customHeight="1" x14ac:dyDescent="0.15"/>
    <row r="42726" spans="3:3" s="8" customFormat="1" ht="21.95" customHeight="1" x14ac:dyDescent="0.15"/>
    <row r="42727" spans="3:3" s="8" customFormat="1" ht="21.95" customHeight="1" x14ac:dyDescent="0.15"/>
    <row r="42728" spans="3:3" s="8" customFormat="1" ht="21.95" customHeight="1" x14ac:dyDescent="0.15"/>
    <row r="42729" spans="3:3" s="9" customFormat="1" ht="21.95" customHeight="1" x14ac:dyDescent="0.15"/>
    <row r="42730" spans="3:3" s="9" customFormat="1" ht="21.95" customHeight="1" x14ac:dyDescent="0.15"/>
    <row r="42731" spans="3:3" s="9" customFormat="1" ht="21.95" customHeight="1" x14ac:dyDescent="0.15"/>
    <row r="42732" spans="3:3" s="9" customFormat="1" ht="21.95" customHeight="1" x14ac:dyDescent="0.15"/>
    <row r="42733" spans="3:3" s="8" customFormat="1" ht="21.95" customHeight="1" x14ac:dyDescent="0.15"/>
    <row r="42734" spans="3:3" s="8" customFormat="1" ht="21.95" customHeight="1" x14ac:dyDescent="0.15"/>
    <row r="42735" spans="3:3" s="8" customFormat="1" ht="21.95" customHeight="1" x14ac:dyDescent="0.15"/>
    <row r="42736" spans="3:3" s="8" customFormat="1" ht="21.95" customHeight="1" x14ac:dyDescent="0.15"/>
    <row r="42737" s="8" customFormat="1" ht="21.95" customHeight="1" x14ac:dyDescent="0.15"/>
    <row r="42738" s="8" customFormat="1" ht="21.95" customHeight="1" x14ac:dyDescent="0.15"/>
    <row r="42739" s="8" customFormat="1" ht="21.95" customHeight="1" x14ac:dyDescent="0.15"/>
    <row r="42740" s="8" customFormat="1" ht="21.95" customHeight="1" x14ac:dyDescent="0.15"/>
    <row r="42741" s="8" customFormat="1" ht="21.95" customHeight="1" x14ac:dyDescent="0.15"/>
    <row r="42742" s="8" customFormat="1" ht="21.95" customHeight="1" x14ac:dyDescent="0.15"/>
    <row r="42743" s="8" customFormat="1" ht="21.95" customHeight="1" x14ac:dyDescent="0.15"/>
    <row r="42744" s="8" customFormat="1" ht="32.1" customHeight="1" x14ac:dyDescent="0.15"/>
    <row r="42745" s="8" customFormat="1" ht="32.1" customHeight="1" x14ac:dyDescent="0.15"/>
    <row r="42746" s="8" customFormat="1" ht="32.1" customHeight="1" x14ac:dyDescent="0.15"/>
    <row r="42747" s="8" customFormat="1" ht="32.1" customHeight="1" x14ac:dyDescent="0.15"/>
    <row r="42748" s="8" customFormat="1" ht="32.1" customHeight="1" x14ac:dyDescent="0.15"/>
    <row r="42749" s="8" customFormat="1" ht="32.1" customHeight="1" x14ac:dyDescent="0.15"/>
    <row r="42750" s="9" customFormat="1" ht="32.1" customHeight="1" x14ac:dyDescent="0.15"/>
    <row r="42751" s="9" customFormat="1" ht="32.1" customHeight="1" x14ac:dyDescent="0.15"/>
    <row r="42752" s="9" customFormat="1" ht="32.1" customHeight="1" x14ac:dyDescent="0.15"/>
    <row r="42753" s="9" customFormat="1" ht="32.1" customHeight="1" x14ac:dyDescent="0.15"/>
    <row r="42754" s="9" customFormat="1" ht="21.95" customHeight="1" x14ac:dyDescent="0.15"/>
    <row r="42755" s="9" customFormat="1" ht="54" customHeight="1" x14ac:dyDescent="0.15"/>
    <row r="42756" s="9" customFormat="1" ht="21.95" customHeight="1" x14ac:dyDescent="0.15"/>
    <row r="42757" s="9" customFormat="1" ht="21.95" customHeight="1" x14ac:dyDescent="0.15"/>
    <row r="42758" s="9" customFormat="1" ht="21.95" customHeight="1" x14ac:dyDescent="0.15"/>
    <row r="42759" s="9" customFormat="1" ht="21.95" customHeight="1" x14ac:dyDescent="0.15"/>
    <row r="42760" s="9" customFormat="1" ht="21.95" customHeight="1" x14ac:dyDescent="0.15"/>
    <row r="42761" s="9" customFormat="1" ht="21.95" customHeight="1" x14ac:dyDescent="0.15"/>
    <row r="42762" s="9" customFormat="1" ht="21.95" customHeight="1" x14ac:dyDescent="0.15"/>
    <row r="42763" s="9" customFormat="1" ht="21.95" customHeight="1" x14ac:dyDescent="0.15"/>
    <row r="42764" s="9" customFormat="1" ht="21.95" customHeight="1" x14ac:dyDescent="0.15"/>
    <row r="42765" s="9" customFormat="1" ht="21.95" customHeight="1" x14ac:dyDescent="0.15"/>
    <row r="42766" s="9" customFormat="1" ht="21.95" customHeight="1" x14ac:dyDescent="0.15"/>
    <row r="42767" s="9" customFormat="1" ht="21.95" customHeight="1" x14ac:dyDescent="0.15"/>
    <row r="42768" s="9" customFormat="1" ht="21.95" customHeight="1" x14ac:dyDescent="0.15"/>
    <row r="42769" s="9" customFormat="1" ht="21.95" customHeight="1" x14ac:dyDescent="0.15"/>
    <row r="42770" s="9" customFormat="1" ht="21.95" customHeight="1" x14ac:dyDescent="0.15"/>
    <row r="42771" s="9" customFormat="1" ht="21.95" customHeight="1" x14ac:dyDescent="0.15"/>
    <row r="42772" s="9" customFormat="1" ht="21.95" customHeight="1" x14ac:dyDescent="0.15"/>
    <row r="42773" s="9" customFormat="1" ht="21.95" customHeight="1" x14ac:dyDescent="0.15"/>
    <row r="42774" s="9" customFormat="1" ht="21.95" customHeight="1" x14ac:dyDescent="0.15"/>
    <row r="42775" s="9" customFormat="1" ht="21.95" customHeight="1" x14ac:dyDescent="0.15"/>
    <row r="42776" s="9" customFormat="1" ht="21.95" customHeight="1" x14ac:dyDescent="0.15"/>
    <row r="42777" s="9" customFormat="1" ht="21.95" customHeight="1" x14ac:dyDescent="0.15"/>
    <row r="42778" s="9" customFormat="1" ht="21.95" customHeight="1" x14ac:dyDescent="0.15"/>
    <row r="42779" s="9" customFormat="1" ht="21.95" customHeight="1" x14ac:dyDescent="0.15"/>
    <row r="42780" s="9" customFormat="1" ht="21.95" customHeight="1" x14ac:dyDescent="0.15"/>
    <row r="42781" s="9" customFormat="1" ht="21.95" customHeight="1" x14ac:dyDescent="0.15"/>
    <row r="42782" s="9" customFormat="1" ht="21.95" customHeight="1" x14ac:dyDescent="0.15"/>
    <row r="42783" s="9" customFormat="1" ht="21.95" customHeight="1" x14ac:dyDescent="0.15"/>
    <row r="42784" s="9" customFormat="1" ht="21.95" customHeight="1" x14ac:dyDescent="0.15"/>
    <row r="42785" s="9" customFormat="1" ht="21.95" customHeight="1" x14ac:dyDescent="0.15"/>
    <row r="42786" s="9" customFormat="1" ht="21.95" customHeight="1" x14ac:dyDescent="0.15"/>
    <row r="42787" s="9" customFormat="1" ht="21.95" customHeight="1" x14ac:dyDescent="0.15"/>
    <row r="42788" s="9" customFormat="1" ht="21.95" customHeight="1" x14ac:dyDescent="0.15"/>
    <row r="42789" s="9" customFormat="1" ht="21.95" customHeight="1" x14ac:dyDescent="0.15"/>
    <row r="42790" s="9" customFormat="1" ht="21.95" customHeight="1" x14ac:dyDescent="0.15"/>
    <row r="42791" s="9" customFormat="1" ht="21.95" customHeight="1" x14ac:dyDescent="0.15"/>
    <row r="42792" s="9" customFormat="1" ht="21.95" customHeight="1" x14ac:dyDescent="0.15"/>
    <row r="42793" s="9" customFormat="1" ht="21.95" customHeight="1" x14ac:dyDescent="0.15"/>
    <row r="42794" s="9" customFormat="1" ht="21.95" customHeight="1" x14ac:dyDescent="0.15"/>
    <row r="42795" s="9" customFormat="1" ht="21.95" customHeight="1" x14ac:dyDescent="0.15"/>
    <row r="42796" s="9" customFormat="1" ht="21.95" customHeight="1" x14ac:dyDescent="0.15"/>
    <row r="42797" s="9" customFormat="1" ht="21.95" customHeight="1" x14ac:dyDescent="0.15"/>
    <row r="42798" s="9" customFormat="1" ht="21.95" customHeight="1" x14ac:dyDescent="0.15"/>
    <row r="42799" s="9" customFormat="1" ht="21.95" customHeight="1" x14ac:dyDescent="0.15"/>
    <row r="42800" s="9" customFormat="1" ht="21.95" customHeight="1" x14ac:dyDescent="0.15"/>
    <row r="42801" s="9" customFormat="1" ht="21.95" customHeight="1" x14ac:dyDescent="0.15"/>
    <row r="42802" s="9" customFormat="1" ht="21.95" customHeight="1" x14ac:dyDescent="0.15"/>
    <row r="42803" s="9" customFormat="1" ht="21.95" customHeight="1" x14ac:dyDescent="0.15"/>
    <row r="42804" s="9" customFormat="1" ht="21.95" customHeight="1" x14ac:dyDescent="0.15"/>
    <row r="42805" s="9" customFormat="1" ht="21.95" customHeight="1" x14ac:dyDescent="0.15"/>
    <row r="42806" s="9" customFormat="1" ht="35.1" customHeight="1" x14ac:dyDescent="0.15"/>
    <row r="42807" s="9" customFormat="1" ht="21.95" customHeight="1" x14ac:dyDescent="0.15"/>
    <row r="42808" s="9" customFormat="1" ht="21.95" customHeight="1" x14ac:dyDescent="0.15"/>
    <row r="42809" s="9" customFormat="1" ht="21.95" customHeight="1" x14ac:dyDescent="0.15"/>
    <row r="42810" s="9" customFormat="1" ht="21.95" customHeight="1" x14ac:dyDescent="0.15"/>
    <row r="42811" s="9" customFormat="1" ht="21.95" customHeight="1" x14ac:dyDescent="0.15"/>
    <row r="42812" s="9" customFormat="1" ht="21.95" customHeight="1" x14ac:dyDescent="0.15"/>
    <row r="42813" s="9" customFormat="1" ht="21.95" customHeight="1" x14ac:dyDescent="0.15"/>
    <row r="42814" s="9" customFormat="1" ht="21.95" customHeight="1" x14ac:dyDescent="0.15"/>
    <row r="42815" s="9" customFormat="1" ht="21.95" customHeight="1" x14ac:dyDescent="0.15"/>
    <row r="42816" s="9" customFormat="1" ht="21.95" customHeight="1" x14ac:dyDescent="0.15"/>
    <row r="42817" spans="3:3" s="9" customFormat="1" ht="21.95" customHeight="1" x14ac:dyDescent="0.15"/>
    <row r="42818" spans="3:3" s="9" customFormat="1" ht="21.95" customHeight="1" x14ac:dyDescent="0.15"/>
    <row r="42819" spans="3:3" s="9" customFormat="1" ht="21.95" customHeight="1" x14ac:dyDescent="0.15"/>
    <row r="42820" spans="3:3" s="9" customFormat="1" ht="21.95" customHeight="1" x14ac:dyDescent="0.15"/>
    <row r="42821" spans="3:3" s="9" customFormat="1" ht="21.95" customHeight="1" x14ac:dyDescent="0.15"/>
    <row r="42822" spans="3:3" s="9" customFormat="1" ht="21.95" customHeight="1" x14ac:dyDescent="0.15"/>
    <row r="42823" spans="3:3" s="9" customFormat="1" ht="21.95" customHeight="1" x14ac:dyDescent="0.15"/>
    <row r="42824" spans="3:3" s="9" customFormat="1" ht="21.95" customHeight="1" x14ac:dyDescent="0.15"/>
    <row r="42825" spans="3:3" s="9" customFormat="1" ht="21.95" customHeight="1" x14ac:dyDescent="0.15"/>
    <row r="42826" spans="3:3" s="9" customFormat="1" ht="21.95" customHeight="1" x14ac:dyDescent="0.15"/>
    <row r="42827" spans="3:3" s="9" customFormat="1" ht="21.95" customHeight="1" x14ac:dyDescent="0.15"/>
    <row r="42828" spans="3:3" s="9" customFormat="1" ht="21.95" customHeight="1" x14ac:dyDescent="0.15"/>
    <row r="42829" spans="3:3" s="9" customFormat="1" ht="21.95" customHeight="1" x14ac:dyDescent="0.15"/>
    <row r="42830" spans="3:3" s="8" customFormat="1" ht="21.95" customHeight="1" x14ac:dyDescent="0.15"/>
    <row r="42831" spans="3:3" s="8" customFormat="1" ht="21.95" customHeight="1" x14ac:dyDescent="0.15"/>
    <row r="42832" spans="3:3" s="8" customFormat="1" ht="21.95" customHeight="1" x14ac:dyDescent="0.15">
      <c r="C42832" s="101"/>
    </row>
    <row r="42833" spans="3:3" s="8" customFormat="1" ht="21.95" customHeight="1" x14ac:dyDescent="0.15">
      <c r="C42833" s="101"/>
    </row>
    <row r="42834" spans="3:3" s="8" customFormat="1" ht="21.95" customHeight="1" x14ac:dyDescent="0.15"/>
    <row r="42835" spans="3:3" s="8" customFormat="1" ht="21.95" customHeight="1" x14ac:dyDescent="0.15"/>
    <row r="42836" spans="3:3" s="8" customFormat="1" ht="21.95" customHeight="1" x14ac:dyDescent="0.15"/>
    <row r="42837" spans="3:3" s="8" customFormat="1" ht="21.95" customHeight="1" x14ac:dyDescent="0.15"/>
    <row r="42838" spans="3:3" s="8" customFormat="1" ht="21.95" customHeight="1" x14ac:dyDescent="0.15"/>
    <row r="42839" spans="3:3" s="8" customFormat="1" ht="21.95" customHeight="1" x14ac:dyDescent="0.15"/>
    <row r="42840" spans="3:3" s="8" customFormat="1" ht="21.95" customHeight="1" x14ac:dyDescent="0.15"/>
    <row r="42841" spans="3:3" s="9" customFormat="1" ht="21.95" customHeight="1" x14ac:dyDescent="0.15"/>
    <row r="42842" spans="3:3" s="9" customFormat="1" ht="21.95" customHeight="1" x14ac:dyDescent="0.15"/>
    <row r="42843" spans="3:3" s="9" customFormat="1" ht="21.95" customHeight="1" x14ac:dyDescent="0.15"/>
    <row r="42844" spans="3:3" s="9" customFormat="1" ht="21.95" customHeight="1" x14ac:dyDescent="0.15"/>
    <row r="42845" spans="3:3" s="8" customFormat="1" ht="21.95" customHeight="1" x14ac:dyDescent="0.15"/>
    <row r="42846" spans="3:3" s="8" customFormat="1" ht="21.95" customHeight="1" x14ac:dyDescent="0.15"/>
    <row r="42847" spans="3:3" s="8" customFormat="1" ht="21.95" customHeight="1" x14ac:dyDescent="0.15"/>
    <row r="42848" spans="3:3" s="8" customFormat="1" ht="21.95" customHeight="1" x14ac:dyDescent="0.15"/>
    <row r="42849" s="8" customFormat="1" ht="21.95" customHeight="1" x14ac:dyDescent="0.15"/>
    <row r="42850" s="8" customFormat="1" ht="21.95" customHeight="1" x14ac:dyDescent="0.15"/>
    <row r="42851" s="8" customFormat="1" ht="21.95" customHeight="1" x14ac:dyDescent="0.15"/>
    <row r="42852" s="8" customFormat="1" ht="21.95" customHeight="1" x14ac:dyDescent="0.15"/>
    <row r="42853" s="8" customFormat="1" ht="21.95" customHeight="1" x14ac:dyDescent="0.15"/>
    <row r="42854" s="8" customFormat="1" ht="21.95" customHeight="1" x14ac:dyDescent="0.15"/>
    <row r="42855" s="8" customFormat="1" ht="21.95" customHeight="1" x14ac:dyDescent="0.15"/>
    <row r="42856" s="8" customFormat="1" ht="32.1" customHeight="1" x14ac:dyDescent="0.15"/>
    <row r="42857" s="8" customFormat="1" ht="32.1" customHeight="1" x14ac:dyDescent="0.15"/>
    <row r="42858" s="8" customFormat="1" ht="32.1" customHeight="1" x14ac:dyDescent="0.15"/>
    <row r="42859" s="8" customFormat="1" ht="32.1" customHeight="1" x14ac:dyDescent="0.15"/>
    <row r="42860" s="8" customFormat="1" ht="32.1" customHeight="1" x14ac:dyDescent="0.15"/>
    <row r="42861" s="8" customFormat="1" ht="32.1" customHeight="1" x14ac:dyDescent="0.15"/>
    <row r="42862" s="9" customFormat="1" ht="32.1" customHeight="1" x14ac:dyDescent="0.15"/>
    <row r="42863" s="9" customFormat="1" ht="32.1" customHeight="1" x14ac:dyDescent="0.15"/>
    <row r="42864" s="9" customFormat="1" ht="32.1" customHeight="1" x14ac:dyDescent="0.15"/>
    <row r="42865" s="9" customFormat="1" ht="32.1" customHeight="1" x14ac:dyDescent="0.15"/>
    <row r="42866" s="9" customFormat="1" ht="21.95" customHeight="1" x14ac:dyDescent="0.15"/>
    <row r="42867" s="9" customFormat="1" ht="54" customHeight="1" x14ac:dyDescent="0.15"/>
    <row r="42868" s="9" customFormat="1" ht="21.95" customHeight="1" x14ac:dyDescent="0.15"/>
    <row r="42869" s="9" customFormat="1" ht="21.95" customHeight="1" x14ac:dyDescent="0.15"/>
    <row r="42870" s="9" customFormat="1" ht="21.95" customHeight="1" x14ac:dyDescent="0.15"/>
    <row r="42871" s="9" customFormat="1" ht="21.95" customHeight="1" x14ac:dyDescent="0.15"/>
    <row r="42872" s="9" customFormat="1" ht="21.95" customHeight="1" x14ac:dyDescent="0.15"/>
    <row r="42873" s="9" customFormat="1" ht="21.95" customHeight="1" x14ac:dyDescent="0.15"/>
    <row r="42874" s="9" customFormat="1" ht="21.95" customHeight="1" x14ac:dyDescent="0.15"/>
    <row r="42875" s="9" customFormat="1" ht="21.95" customHeight="1" x14ac:dyDescent="0.15"/>
    <row r="42876" s="9" customFormat="1" ht="21.95" customHeight="1" x14ac:dyDescent="0.15"/>
    <row r="42877" s="9" customFormat="1" ht="21.95" customHeight="1" x14ac:dyDescent="0.15"/>
    <row r="42878" s="9" customFormat="1" ht="21.95" customHeight="1" x14ac:dyDescent="0.15"/>
    <row r="42879" s="9" customFormat="1" ht="21.95" customHeight="1" x14ac:dyDescent="0.15"/>
    <row r="42880" s="9" customFormat="1" ht="21.95" customHeight="1" x14ac:dyDescent="0.15"/>
    <row r="42881" s="9" customFormat="1" ht="21.95" customHeight="1" x14ac:dyDescent="0.15"/>
    <row r="42882" s="9" customFormat="1" ht="21.95" customHeight="1" x14ac:dyDescent="0.15"/>
    <row r="42883" s="9" customFormat="1" ht="21.95" customHeight="1" x14ac:dyDescent="0.15"/>
    <row r="42884" s="9" customFormat="1" ht="21.95" customHeight="1" x14ac:dyDescent="0.15"/>
    <row r="42885" s="9" customFormat="1" ht="21.95" customHeight="1" x14ac:dyDescent="0.15"/>
    <row r="42886" s="9" customFormat="1" ht="21.95" customHeight="1" x14ac:dyDescent="0.15"/>
    <row r="42887" s="9" customFormat="1" ht="21.95" customHeight="1" x14ac:dyDescent="0.15"/>
    <row r="42888" s="9" customFormat="1" ht="21.95" customHeight="1" x14ac:dyDescent="0.15"/>
    <row r="42889" s="9" customFormat="1" ht="21.95" customHeight="1" x14ac:dyDescent="0.15"/>
    <row r="42890" s="9" customFormat="1" ht="21.95" customHeight="1" x14ac:dyDescent="0.15"/>
    <row r="42891" s="9" customFormat="1" ht="21.95" customHeight="1" x14ac:dyDescent="0.15"/>
    <row r="42892" s="9" customFormat="1" ht="21.95" customHeight="1" x14ac:dyDescent="0.15"/>
    <row r="42893" s="9" customFormat="1" ht="21.95" customHeight="1" x14ac:dyDescent="0.15"/>
    <row r="42894" s="9" customFormat="1" ht="21.95" customHeight="1" x14ac:dyDescent="0.15"/>
    <row r="42895" s="9" customFormat="1" ht="21.95" customHeight="1" x14ac:dyDescent="0.15"/>
    <row r="42896" s="9" customFormat="1" ht="21.95" customHeight="1" x14ac:dyDescent="0.15"/>
    <row r="42897" s="9" customFormat="1" ht="21.95" customHeight="1" x14ac:dyDescent="0.15"/>
    <row r="42898" s="9" customFormat="1" ht="21.95" customHeight="1" x14ac:dyDescent="0.15"/>
    <row r="42899" s="9" customFormat="1" ht="21.95" customHeight="1" x14ac:dyDescent="0.15"/>
    <row r="42900" s="9" customFormat="1" ht="21.95" customHeight="1" x14ac:dyDescent="0.15"/>
    <row r="42901" s="9" customFormat="1" ht="21.95" customHeight="1" x14ac:dyDescent="0.15"/>
    <row r="42902" s="9" customFormat="1" ht="21.95" customHeight="1" x14ac:dyDescent="0.15"/>
    <row r="42903" s="9" customFormat="1" ht="21.95" customHeight="1" x14ac:dyDescent="0.15"/>
    <row r="42904" s="9" customFormat="1" ht="21.95" customHeight="1" x14ac:dyDescent="0.15"/>
    <row r="42905" s="9" customFormat="1" ht="21.95" customHeight="1" x14ac:dyDescent="0.15"/>
    <row r="42906" s="9" customFormat="1" ht="21.95" customHeight="1" x14ac:dyDescent="0.15"/>
    <row r="42907" s="9" customFormat="1" ht="21.95" customHeight="1" x14ac:dyDescent="0.15"/>
    <row r="42908" s="9" customFormat="1" ht="21.95" customHeight="1" x14ac:dyDescent="0.15"/>
    <row r="42909" s="9" customFormat="1" ht="21.95" customHeight="1" x14ac:dyDescent="0.15"/>
    <row r="42910" s="9" customFormat="1" ht="21.95" customHeight="1" x14ac:dyDescent="0.15"/>
    <row r="42911" s="9" customFormat="1" ht="21.95" customHeight="1" x14ac:dyDescent="0.15"/>
    <row r="42912" s="9" customFormat="1" ht="21.95" customHeight="1" x14ac:dyDescent="0.15"/>
    <row r="42913" s="9" customFormat="1" ht="21.95" customHeight="1" x14ac:dyDescent="0.15"/>
    <row r="42914" s="9" customFormat="1" ht="21.95" customHeight="1" x14ac:dyDescent="0.15"/>
    <row r="42915" s="9" customFormat="1" ht="21.95" customHeight="1" x14ac:dyDescent="0.15"/>
    <row r="42916" s="9" customFormat="1" ht="21.95" customHeight="1" x14ac:dyDescent="0.15"/>
    <row r="42917" s="9" customFormat="1" ht="21.95" customHeight="1" x14ac:dyDescent="0.15"/>
    <row r="42918" s="9" customFormat="1" ht="35.1" customHeight="1" x14ac:dyDescent="0.15"/>
    <row r="42919" s="9" customFormat="1" ht="21.95" customHeight="1" x14ac:dyDescent="0.15"/>
    <row r="42920" s="9" customFormat="1" ht="21.95" customHeight="1" x14ac:dyDescent="0.15"/>
    <row r="42921" s="9" customFormat="1" ht="21.95" customHeight="1" x14ac:dyDescent="0.15"/>
    <row r="42922" s="9" customFormat="1" ht="21.95" customHeight="1" x14ac:dyDescent="0.15"/>
    <row r="42923" s="9" customFormat="1" ht="21.95" customHeight="1" x14ac:dyDescent="0.15"/>
    <row r="42924" s="9" customFormat="1" ht="21.95" customHeight="1" x14ac:dyDescent="0.15"/>
    <row r="42925" s="9" customFormat="1" ht="21.95" customHeight="1" x14ac:dyDescent="0.15"/>
    <row r="42926" s="9" customFormat="1" ht="21.95" customHeight="1" x14ac:dyDescent="0.15"/>
    <row r="42927" s="9" customFormat="1" ht="21.95" customHeight="1" x14ac:dyDescent="0.15"/>
    <row r="42928" s="9" customFormat="1" ht="21.95" customHeight="1" x14ac:dyDescent="0.15"/>
    <row r="42929" spans="3:3" s="9" customFormat="1" ht="21.95" customHeight="1" x14ac:dyDescent="0.15"/>
    <row r="42930" spans="3:3" s="9" customFormat="1" ht="21.95" customHeight="1" x14ac:dyDescent="0.15"/>
    <row r="42931" spans="3:3" s="9" customFormat="1" ht="21.95" customHeight="1" x14ac:dyDescent="0.15"/>
    <row r="42932" spans="3:3" s="9" customFormat="1" ht="21.95" customHeight="1" x14ac:dyDescent="0.15"/>
    <row r="42933" spans="3:3" s="9" customFormat="1" ht="21.95" customHeight="1" x14ac:dyDescent="0.15"/>
    <row r="42934" spans="3:3" s="9" customFormat="1" ht="21.95" customHeight="1" x14ac:dyDescent="0.15"/>
    <row r="42935" spans="3:3" s="9" customFormat="1" ht="21.95" customHeight="1" x14ac:dyDescent="0.15"/>
    <row r="42936" spans="3:3" s="9" customFormat="1" ht="21.95" customHeight="1" x14ac:dyDescent="0.15"/>
    <row r="42937" spans="3:3" s="9" customFormat="1" ht="21.95" customHeight="1" x14ac:dyDescent="0.15"/>
    <row r="42938" spans="3:3" s="9" customFormat="1" ht="21.95" customHeight="1" x14ac:dyDescent="0.15"/>
    <row r="42939" spans="3:3" s="9" customFormat="1" ht="21.95" customHeight="1" x14ac:dyDescent="0.15"/>
    <row r="42940" spans="3:3" s="9" customFormat="1" ht="21.95" customHeight="1" x14ac:dyDescent="0.15"/>
    <row r="42941" spans="3:3" s="9" customFormat="1" ht="21.95" customHeight="1" x14ac:dyDescent="0.15"/>
    <row r="42942" spans="3:3" s="8" customFormat="1" ht="21.95" customHeight="1" x14ac:dyDescent="0.15"/>
    <row r="42943" spans="3:3" s="8" customFormat="1" ht="21.95" customHeight="1" x14ac:dyDescent="0.15"/>
    <row r="42944" spans="3:3" s="8" customFormat="1" ht="21.95" customHeight="1" x14ac:dyDescent="0.15">
      <c r="C42944" s="101"/>
    </row>
    <row r="42945" spans="3:3" s="8" customFormat="1" ht="21.95" customHeight="1" x14ac:dyDescent="0.15">
      <c r="C42945" s="101"/>
    </row>
    <row r="42946" spans="3:3" s="8" customFormat="1" ht="21.95" customHeight="1" x14ac:dyDescent="0.15"/>
    <row r="42947" spans="3:3" s="8" customFormat="1" ht="21.95" customHeight="1" x14ac:dyDescent="0.15"/>
    <row r="42948" spans="3:3" s="8" customFormat="1" ht="21.95" customHeight="1" x14ac:dyDescent="0.15"/>
    <row r="42949" spans="3:3" s="8" customFormat="1" ht="21.95" customHeight="1" x14ac:dyDescent="0.15"/>
    <row r="42950" spans="3:3" s="8" customFormat="1" ht="21.95" customHeight="1" x14ac:dyDescent="0.15"/>
    <row r="42951" spans="3:3" s="8" customFormat="1" ht="21.95" customHeight="1" x14ac:dyDescent="0.15"/>
    <row r="42952" spans="3:3" s="8" customFormat="1" ht="21.95" customHeight="1" x14ac:dyDescent="0.15"/>
    <row r="42953" spans="3:3" s="9" customFormat="1" ht="21.95" customHeight="1" x14ac:dyDescent="0.15"/>
    <row r="42954" spans="3:3" s="9" customFormat="1" ht="21.95" customHeight="1" x14ac:dyDescent="0.15"/>
    <row r="42955" spans="3:3" s="9" customFormat="1" ht="21.95" customHeight="1" x14ac:dyDescent="0.15"/>
    <row r="42956" spans="3:3" s="9" customFormat="1" ht="21.95" customHeight="1" x14ac:dyDescent="0.15"/>
    <row r="42957" spans="3:3" s="8" customFormat="1" ht="21.95" customHeight="1" x14ac:dyDescent="0.15"/>
    <row r="42958" spans="3:3" s="8" customFormat="1" ht="21.95" customHeight="1" x14ac:dyDescent="0.15"/>
    <row r="42959" spans="3:3" s="8" customFormat="1" ht="21.95" customHeight="1" x14ac:dyDescent="0.15"/>
    <row r="42960" spans="3:3" s="8" customFormat="1" ht="21.95" customHeight="1" x14ac:dyDescent="0.15"/>
    <row r="42961" s="8" customFormat="1" ht="21.95" customHeight="1" x14ac:dyDescent="0.15"/>
    <row r="42962" s="8" customFormat="1" ht="21.95" customHeight="1" x14ac:dyDescent="0.15"/>
    <row r="42963" s="8" customFormat="1" ht="21.95" customHeight="1" x14ac:dyDescent="0.15"/>
    <row r="42964" s="8" customFormat="1" ht="21.95" customHeight="1" x14ac:dyDescent="0.15"/>
    <row r="42965" s="8" customFormat="1" ht="21.95" customHeight="1" x14ac:dyDescent="0.15"/>
    <row r="42966" s="8" customFormat="1" ht="21.95" customHeight="1" x14ac:dyDescent="0.15"/>
    <row r="42967" s="8" customFormat="1" ht="21.95" customHeight="1" x14ac:dyDescent="0.15"/>
    <row r="42968" s="8" customFormat="1" ht="32.1" customHeight="1" x14ac:dyDescent="0.15"/>
    <row r="42969" s="8" customFormat="1" ht="32.1" customHeight="1" x14ac:dyDescent="0.15"/>
    <row r="42970" s="8" customFormat="1" ht="32.1" customHeight="1" x14ac:dyDescent="0.15"/>
    <row r="42971" s="8" customFormat="1" ht="32.1" customHeight="1" x14ac:dyDescent="0.15"/>
    <row r="42972" s="8" customFormat="1" ht="32.1" customHeight="1" x14ac:dyDescent="0.15"/>
    <row r="42973" s="8" customFormat="1" ht="32.1" customHeight="1" x14ac:dyDescent="0.15"/>
    <row r="42974" s="9" customFormat="1" ht="32.1" customHeight="1" x14ac:dyDescent="0.15"/>
    <row r="42975" s="9" customFormat="1" ht="32.1" customHeight="1" x14ac:dyDescent="0.15"/>
    <row r="42976" s="9" customFormat="1" ht="32.1" customHeight="1" x14ac:dyDescent="0.15"/>
    <row r="42977" s="9" customFormat="1" ht="32.1" customHeight="1" x14ac:dyDescent="0.15"/>
    <row r="42978" s="9" customFormat="1" ht="21.95" customHeight="1" x14ac:dyDescent="0.15"/>
    <row r="42979" s="9" customFormat="1" ht="54" customHeight="1" x14ac:dyDescent="0.15"/>
    <row r="42980" s="9" customFormat="1" ht="21.95" customHeight="1" x14ac:dyDescent="0.15"/>
    <row r="42981" s="9" customFormat="1" ht="21.95" customHeight="1" x14ac:dyDescent="0.15"/>
    <row r="42982" s="9" customFormat="1" ht="21.95" customHeight="1" x14ac:dyDescent="0.15"/>
    <row r="42983" s="9" customFormat="1" ht="21.95" customHeight="1" x14ac:dyDescent="0.15"/>
    <row r="42984" s="9" customFormat="1" ht="21.95" customHeight="1" x14ac:dyDescent="0.15"/>
    <row r="42985" s="9" customFormat="1" ht="21.95" customHeight="1" x14ac:dyDescent="0.15"/>
    <row r="42986" s="9" customFormat="1" ht="21.95" customHeight="1" x14ac:dyDescent="0.15"/>
    <row r="42987" s="9" customFormat="1" ht="21.95" customHeight="1" x14ac:dyDescent="0.15"/>
    <row r="42988" s="9" customFormat="1" ht="21.95" customHeight="1" x14ac:dyDescent="0.15"/>
    <row r="42989" s="9" customFormat="1" ht="21.95" customHeight="1" x14ac:dyDescent="0.15"/>
    <row r="42990" s="9" customFormat="1" ht="21.95" customHeight="1" x14ac:dyDescent="0.15"/>
    <row r="42991" s="9" customFormat="1" ht="21.95" customHeight="1" x14ac:dyDescent="0.15"/>
    <row r="42992" s="9" customFormat="1" ht="21.95" customHeight="1" x14ac:dyDescent="0.15"/>
    <row r="42993" s="9" customFormat="1" ht="21.95" customHeight="1" x14ac:dyDescent="0.15"/>
    <row r="42994" s="9" customFormat="1" ht="21.95" customHeight="1" x14ac:dyDescent="0.15"/>
    <row r="42995" s="9" customFormat="1" ht="21.95" customHeight="1" x14ac:dyDescent="0.15"/>
    <row r="42996" s="9" customFormat="1" ht="21.95" customHeight="1" x14ac:dyDescent="0.15"/>
    <row r="42997" s="9" customFormat="1" ht="21.95" customHeight="1" x14ac:dyDescent="0.15"/>
    <row r="42998" s="9" customFormat="1" ht="21.95" customHeight="1" x14ac:dyDescent="0.15"/>
    <row r="42999" s="9" customFormat="1" ht="21.95" customHeight="1" x14ac:dyDescent="0.15"/>
    <row r="43000" s="9" customFormat="1" ht="21.95" customHeight="1" x14ac:dyDescent="0.15"/>
    <row r="43001" s="9" customFormat="1" ht="21.95" customHeight="1" x14ac:dyDescent="0.15"/>
    <row r="43002" s="9" customFormat="1" ht="21.95" customHeight="1" x14ac:dyDescent="0.15"/>
    <row r="43003" s="9" customFormat="1" ht="21.95" customHeight="1" x14ac:dyDescent="0.15"/>
    <row r="43004" s="9" customFormat="1" ht="21.95" customHeight="1" x14ac:dyDescent="0.15"/>
    <row r="43005" s="9" customFormat="1" ht="21.95" customHeight="1" x14ac:dyDescent="0.15"/>
    <row r="43006" s="9" customFormat="1" ht="21.95" customHeight="1" x14ac:dyDescent="0.15"/>
    <row r="43007" s="9" customFormat="1" ht="21.95" customHeight="1" x14ac:dyDescent="0.15"/>
    <row r="43008" s="9" customFormat="1" ht="21.95" customHeight="1" x14ac:dyDescent="0.15"/>
    <row r="43009" s="9" customFormat="1" ht="21.95" customHeight="1" x14ac:dyDescent="0.15"/>
    <row r="43010" s="9" customFormat="1" ht="21.95" customHeight="1" x14ac:dyDescent="0.15"/>
    <row r="43011" s="9" customFormat="1" ht="21.95" customHeight="1" x14ac:dyDescent="0.15"/>
    <row r="43012" s="9" customFormat="1" ht="21.95" customHeight="1" x14ac:dyDescent="0.15"/>
    <row r="43013" s="9" customFormat="1" ht="21.95" customHeight="1" x14ac:dyDescent="0.15"/>
    <row r="43014" s="9" customFormat="1" ht="21.95" customHeight="1" x14ac:dyDescent="0.15"/>
    <row r="43015" s="9" customFormat="1" ht="21.95" customHeight="1" x14ac:dyDescent="0.15"/>
    <row r="43016" s="9" customFormat="1" ht="21.95" customHeight="1" x14ac:dyDescent="0.15"/>
    <row r="43017" s="9" customFormat="1" ht="21.95" customHeight="1" x14ac:dyDescent="0.15"/>
    <row r="43018" s="9" customFormat="1" ht="21.95" customHeight="1" x14ac:dyDescent="0.15"/>
    <row r="43019" s="9" customFormat="1" ht="21.95" customHeight="1" x14ac:dyDescent="0.15"/>
    <row r="43020" s="9" customFormat="1" ht="21.95" customHeight="1" x14ac:dyDescent="0.15"/>
    <row r="43021" s="9" customFormat="1" ht="21.95" customHeight="1" x14ac:dyDescent="0.15"/>
    <row r="43022" s="9" customFormat="1" ht="21.95" customHeight="1" x14ac:dyDescent="0.15"/>
    <row r="43023" s="9" customFormat="1" ht="21.95" customHeight="1" x14ac:dyDescent="0.15"/>
    <row r="43024" s="9" customFormat="1" ht="21.95" customHeight="1" x14ac:dyDescent="0.15"/>
    <row r="43025" s="9" customFormat="1" ht="21.95" customHeight="1" x14ac:dyDescent="0.15"/>
    <row r="43026" s="9" customFormat="1" ht="21.95" customHeight="1" x14ac:dyDescent="0.15"/>
    <row r="43027" s="9" customFormat="1" ht="21.95" customHeight="1" x14ac:dyDescent="0.15"/>
    <row r="43028" s="9" customFormat="1" ht="21.95" customHeight="1" x14ac:dyDescent="0.15"/>
    <row r="43029" s="9" customFormat="1" ht="21.95" customHeight="1" x14ac:dyDescent="0.15"/>
    <row r="43030" s="9" customFormat="1" ht="35.1" customHeight="1" x14ac:dyDescent="0.15"/>
    <row r="43031" s="9" customFormat="1" ht="21.95" customHeight="1" x14ac:dyDescent="0.15"/>
    <row r="43032" s="9" customFormat="1" ht="21.95" customHeight="1" x14ac:dyDescent="0.15"/>
    <row r="43033" s="9" customFormat="1" ht="21.95" customHeight="1" x14ac:dyDescent="0.15"/>
    <row r="43034" s="9" customFormat="1" ht="21.95" customHeight="1" x14ac:dyDescent="0.15"/>
    <row r="43035" s="9" customFormat="1" ht="21.95" customHeight="1" x14ac:dyDescent="0.15"/>
    <row r="43036" s="9" customFormat="1" ht="21.95" customHeight="1" x14ac:dyDescent="0.15"/>
    <row r="43037" s="9" customFormat="1" ht="21.95" customHeight="1" x14ac:dyDescent="0.15"/>
    <row r="43038" s="9" customFormat="1" ht="21.95" customHeight="1" x14ac:dyDescent="0.15"/>
    <row r="43039" s="9" customFormat="1" ht="21.95" customHeight="1" x14ac:dyDescent="0.15"/>
    <row r="43040" s="9" customFormat="1" ht="21.95" customHeight="1" x14ac:dyDescent="0.15"/>
    <row r="43041" spans="3:3" s="9" customFormat="1" ht="21.95" customHeight="1" x14ac:dyDescent="0.15"/>
    <row r="43042" spans="3:3" s="9" customFormat="1" ht="21.95" customHeight="1" x14ac:dyDescent="0.15"/>
    <row r="43043" spans="3:3" s="9" customFormat="1" ht="21.95" customHeight="1" x14ac:dyDescent="0.15"/>
    <row r="43044" spans="3:3" s="9" customFormat="1" ht="21.95" customHeight="1" x14ac:dyDescent="0.15"/>
    <row r="43045" spans="3:3" s="9" customFormat="1" ht="21.95" customHeight="1" x14ac:dyDescent="0.15"/>
    <row r="43046" spans="3:3" s="9" customFormat="1" ht="21.95" customHeight="1" x14ac:dyDescent="0.15"/>
    <row r="43047" spans="3:3" s="9" customFormat="1" ht="21.95" customHeight="1" x14ac:dyDescent="0.15"/>
    <row r="43048" spans="3:3" s="9" customFormat="1" ht="21.95" customHeight="1" x14ac:dyDescent="0.15"/>
    <row r="43049" spans="3:3" s="9" customFormat="1" ht="21.95" customHeight="1" x14ac:dyDescent="0.15"/>
    <row r="43050" spans="3:3" s="9" customFormat="1" ht="21.95" customHeight="1" x14ac:dyDescent="0.15"/>
    <row r="43051" spans="3:3" s="9" customFormat="1" ht="21.95" customHeight="1" x14ac:dyDescent="0.15"/>
    <row r="43052" spans="3:3" s="9" customFormat="1" ht="21.95" customHeight="1" x14ac:dyDescent="0.15"/>
    <row r="43053" spans="3:3" s="9" customFormat="1" ht="21.95" customHeight="1" x14ac:dyDescent="0.15"/>
    <row r="43054" spans="3:3" s="8" customFormat="1" ht="21.95" customHeight="1" x14ac:dyDescent="0.15"/>
    <row r="43055" spans="3:3" s="8" customFormat="1" ht="21.95" customHeight="1" x14ac:dyDescent="0.15"/>
    <row r="43056" spans="3:3" s="8" customFormat="1" ht="21.95" customHeight="1" x14ac:dyDescent="0.15">
      <c r="C43056" s="101"/>
    </row>
    <row r="43057" spans="3:3" s="8" customFormat="1" ht="21.95" customHeight="1" x14ac:dyDescent="0.15">
      <c r="C43057" s="101"/>
    </row>
    <row r="43058" spans="3:3" s="8" customFormat="1" ht="21.95" customHeight="1" x14ac:dyDescent="0.15"/>
    <row r="43059" spans="3:3" s="8" customFormat="1" ht="21.95" customHeight="1" x14ac:dyDescent="0.15"/>
    <row r="43060" spans="3:3" s="8" customFormat="1" ht="21.95" customHeight="1" x14ac:dyDescent="0.15"/>
    <row r="43061" spans="3:3" s="8" customFormat="1" ht="21.95" customHeight="1" x14ac:dyDescent="0.15"/>
    <row r="43062" spans="3:3" s="8" customFormat="1" ht="21.95" customHeight="1" x14ac:dyDescent="0.15"/>
    <row r="43063" spans="3:3" s="8" customFormat="1" ht="21.95" customHeight="1" x14ac:dyDescent="0.15"/>
    <row r="43064" spans="3:3" s="8" customFormat="1" ht="21.95" customHeight="1" x14ac:dyDescent="0.15"/>
    <row r="43065" spans="3:3" s="9" customFormat="1" ht="21.95" customHeight="1" x14ac:dyDescent="0.15"/>
    <row r="43066" spans="3:3" s="9" customFormat="1" ht="21.95" customHeight="1" x14ac:dyDescent="0.15"/>
    <row r="43067" spans="3:3" s="9" customFormat="1" ht="21.95" customHeight="1" x14ac:dyDescent="0.15"/>
    <row r="43068" spans="3:3" s="9" customFormat="1" ht="21.95" customHeight="1" x14ac:dyDescent="0.15"/>
    <row r="43069" spans="3:3" s="8" customFormat="1" ht="21.95" customHeight="1" x14ac:dyDescent="0.15"/>
    <row r="43070" spans="3:3" s="8" customFormat="1" ht="21.95" customHeight="1" x14ac:dyDescent="0.15"/>
    <row r="43071" spans="3:3" s="8" customFormat="1" ht="21.95" customHeight="1" x14ac:dyDescent="0.15"/>
    <row r="43072" spans="3:3" s="8" customFormat="1" ht="21.95" customHeight="1" x14ac:dyDescent="0.15"/>
    <row r="43073" s="8" customFormat="1" ht="21.95" customHeight="1" x14ac:dyDescent="0.15"/>
    <row r="43074" s="8" customFormat="1" ht="21.95" customHeight="1" x14ac:dyDescent="0.15"/>
    <row r="43075" s="8" customFormat="1" ht="21.95" customHeight="1" x14ac:dyDescent="0.15"/>
    <row r="43076" s="8" customFormat="1" ht="21.95" customHeight="1" x14ac:dyDescent="0.15"/>
    <row r="43077" s="8" customFormat="1" ht="21.95" customHeight="1" x14ac:dyDescent="0.15"/>
    <row r="43078" s="8" customFormat="1" ht="21.95" customHeight="1" x14ac:dyDescent="0.15"/>
    <row r="43079" s="8" customFormat="1" ht="21.95" customHeight="1" x14ac:dyDescent="0.15"/>
    <row r="43080" s="8" customFormat="1" ht="32.1" customHeight="1" x14ac:dyDescent="0.15"/>
    <row r="43081" s="8" customFormat="1" ht="32.1" customHeight="1" x14ac:dyDescent="0.15"/>
    <row r="43082" s="8" customFormat="1" ht="32.1" customHeight="1" x14ac:dyDescent="0.15"/>
    <row r="43083" s="8" customFormat="1" ht="32.1" customHeight="1" x14ac:dyDescent="0.15"/>
    <row r="43084" s="8" customFormat="1" ht="32.1" customHeight="1" x14ac:dyDescent="0.15"/>
    <row r="43085" s="8" customFormat="1" ht="32.1" customHeight="1" x14ac:dyDescent="0.15"/>
    <row r="43086" s="9" customFormat="1" ht="32.1" customHeight="1" x14ac:dyDescent="0.15"/>
    <row r="43087" s="9" customFormat="1" ht="32.1" customHeight="1" x14ac:dyDescent="0.15"/>
    <row r="43088" s="9" customFormat="1" ht="32.1" customHeight="1" x14ac:dyDescent="0.15"/>
    <row r="43089" s="9" customFormat="1" ht="32.1" customHeight="1" x14ac:dyDescent="0.15"/>
    <row r="43090" s="9" customFormat="1" ht="21.95" customHeight="1" x14ac:dyDescent="0.15"/>
    <row r="43091" s="9" customFormat="1" ht="54" customHeight="1" x14ac:dyDescent="0.15"/>
    <row r="43092" s="9" customFormat="1" ht="21.95" customHeight="1" x14ac:dyDescent="0.15"/>
    <row r="43093" s="9" customFormat="1" ht="21.95" customHeight="1" x14ac:dyDescent="0.15"/>
    <row r="43094" s="9" customFormat="1" ht="21.95" customHeight="1" x14ac:dyDescent="0.15"/>
    <row r="43095" s="9" customFormat="1" ht="21.95" customHeight="1" x14ac:dyDescent="0.15"/>
    <row r="43096" s="9" customFormat="1" ht="21.95" customHeight="1" x14ac:dyDescent="0.15"/>
    <row r="43097" s="9" customFormat="1" ht="21.95" customHeight="1" x14ac:dyDescent="0.15"/>
    <row r="43098" s="9" customFormat="1" ht="21.95" customHeight="1" x14ac:dyDescent="0.15"/>
    <row r="43099" s="9" customFormat="1" ht="21.95" customHeight="1" x14ac:dyDescent="0.15"/>
    <row r="43100" s="9" customFormat="1" ht="21.95" customHeight="1" x14ac:dyDescent="0.15"/>
    <row r="43101" s="9" customFormat="1" ht="21.95" customHeight="1" x14ac:dyDescent="0.15"/>
    <row r="43102" s="9" customFormat="1" ht="21.95" customHeight="1" x14ac:dyDescent="0.15"/>
    <row r="43103" s="9" customFormat="1" ht="21.95" customHeight="1" x14ac:dyDescent="0.15"/>
    <row r="43104" s="9" customFormat="1" ht="21.95" customHeight="1" x14ac:dyDescent="0.15"/>
    <row r="43105" s="9" customFormat="1" ht="21.95" customHeight="1" x14ac:dyDescent="0.15"/>
    <row r="43106" s="9" customFormat="1" ht="21.95" customHeight="1" x14ac:dyDescent="0.15"/>
    <row r="43107" s="9" customFormat="1" ht="21.95" customHeight="1" x14ac:dyDescent="0.15"/>
    <row r="43108" s="9" customFormat="1" ht="21.95" customHeight="1" x14ac:dyDescent="0.15"/>
    <row r="43109" s="9" customFormat="1" ht="21.95" customHeight="1" x14ac:dyDescent="0.15"/>
    <row r="43110" s="9" customFormat="1" ht="21.95" customHeight="1" x14ac:dyDescent="0.15"/>
    <row r="43111" s="9" customFormat="1" ht="21.95" customHeight="1" x14ac:dyDescent="0.15"/>
    <row r="43112" s="9" customFormat="1" ht="21.95" customHeight="1" x14ac:dyDescent="0.15"/>
    <row r="43113" s="9" customFormat="1" ht="21.95" customHeight="1" x14ac:dyDescent="0.15"/>
    <row r="43114" s="9" customFormat="1" ht="21.95" customHeight="1" x14ac:dyDescent="0.15"/>
    <row r="43115" s="9" customFormat="1" ht="21.95" customHeight="1" x14ac:dyDescent="0.15"/>
    <row r="43116" s="9" customFormat="1" ht="21.95" customHeight="1" x14ac:dyDescent="0.15"/>
    <row r="43117" s="9" customFormat="1" ht="21.95" customHeight="1" x14ac:dyDescent="0.15"/>
    <row r="43118" s="9" customFormat="1" ht="21.95" customHeight="1" x14ac:dyDescent="0.15"/>
    <row r="43119" s="9" customFormat="1" ht="21.95" customHeight="1" x14ac:dyDescent="0.15"/>
    <row r="43120" s="9" customFormat="1" ht="21.95" customHeight="1" x14ac:dyDescent="0.15"/>
    <row r="43121" s="9" customFormat="1" ht="21.95" customHeight="1" x14ac:dyDescent="0.15"/>
    <row r="43122" s="9" customFormat="1" ht="21.95" customHeight="1" x14ac:dyDescent="0.15"/>
    <row r="43123" s="9" customFormat="1" ht="21.95" customHeight="1" x14ac:dyDescent="0.15"/>
    <row r="43124" s="9" customFormat="1" ht="21.95" customHeight="1" x14ac:dyDescent="0.15"/>
    <row r="43125" s="9" customFormat="1" ht="21.95" customHeight="1" x14ac:dyDescent="0.15"/>
    <row r="43126" s="9" customFormat="1" ht="21.95" customHeight="1" x14ac:dyDescent="0.15"/>
    <row r="43127" s="9" customFormat="1" ht="21.95" customHeight="1" x14ac:dyDescent="0.15"/>
    <row r="43128" s="9" customFormat="1" ht="21.95" customHeight="1" x14ac:dyDescent="0.15"/>
    <row r="43129" s="9" customFormat="1" ht="21.95" customHeight="1" x14ac:dyDescent="0.15"/>
    <row r="43130" s="9" customFormat="1" ht="21.95" customHeight="1" x14ac:dyDescent="0.15"/>
    <row r="43131" s="9" customFormat="1" ht="21.95" customHeight="1" x14ac:dyDescent="0.15"/>
    <row r="43132" s="9" customFormat="1" ht="21.95" customHeight="1" x14ac:dyDescent="0.15"/>
    <row r="43133" s="9" customFormat="1" ht="21.95" customHeight="1" x14ac:dyDescent="0.15"/>
    <row r="43134" s="9" customFormat="1" ht="21.95" customHeight="1" x14ac:dyDescent="0.15"/>
    <row r="43135" s="9" customFormat="1" ht="21.95" customHeight="1" x14ac:dyDescent="0.15"/>
    <row r="43136" s="9" customFormat="1" ht="21.95" customHeight="1" x14ac:dyDescent="0.15"/>
    <row r="43137" s="9" customFormat="1" ht="21.95" customHeight="1" x14ac:dyDescent="0.15"/>
    <row r="43138" s="9" customFormat="1" ht="21.95" customHeight="1" x14ac:dyDescent="0.15"/>
    <row r="43139" s="9" customFormat="1" ht="21.95" customHeight="1" x14ac:dyDescent="0.15"/>
    <row r="43140" s="9" customFormat="1" ht="21.95" customHeight="1" x14ac:dyDescent="0.15"/>
    <row r="43141" s="9" customFormat="1" ht="21.95" customHeight="1" x14ac:dyDescent="0.15"/>
    <row r="43142" s="9" customFormat="1" ht="35.1" customHeight="1" x14ac:dyDescent="0.15"/>
    <row r="43143" s="9" customFormat="1" ht="21.95" customHeight="1" x14ac:dyDescent="0.15"/>
    <row r="43144" s="9" customFormat="1" ht="21.95" customHeight="1" x14ac:dyDescent="0.15"/>
    <row r="43145" s="9" customFormat="1" ht="21.95" customHeight="1" x14ac:dyDescent="0.15"/>
    <row r="43146" s="9" customFormat="1" ht="21.95" customHeight="1" x14ac:dyDescent="0.15"/>
    <row r="43147" s="9" customFormat="1" ht="21.95" customHeight="1" x14ac:dyDescent="0.15"/>
    <row r="43148" s="9" customFormat="1" ht="21.95" customHeight="1" x14ac:dyDescent="0.15"/>
    <row r="43149" s="9" customFormat="1" ht="21.95" customHeight="1" x14ac:dyDescent="0.15"/>
    <row r="43150" s="9" customFormat="1" ht="21.95" customHeight="1" x14ac:dyDescent="0.15"/>
    <row r="43151" s="9" customFormat="1" ht="21.95" customHeight="1" x14ac:dyDescent="0.15"/>
    <row r="43152" s="9" customFormat="1" ht="21.95" customHeight="1" x14ac:dyDescent="0.15"/>
    <row r="43153" spans="3:3" s="9" customFormat="1" ht="21.95" customHeight="1" x14ac:dyDescent="0.15"/>
    <row r="43154" spans="3:3" s="9" customFormat="1" ht="21.95" customHeight="1" x14ac:dyDescent="0.15"/>
    <row r="43155" spans="3:3" s="9" customFormat="1" ht="21.95" customHeight="1" x14ac:dyDescent="0.15"/>
    <row r="43156" spans="3:3" s="9" customFormat="1" ht="21.95" customHeight="1" x14ac:dyDescent="0.15"/>
    <row r="43157" spans="3:3" s="9" customFormat="1" ht="21.95" customHeight="1" x14ac:dyDescent="0.15"/>
    <row r="43158" spans="3:3" s="9" customFormat="1" ht="21.95" customHeight="1" x14ac:dyDescent="0.15"/>
    <row r="43159" spans="3:3" s="9" customFormat="1" ht="21.95" customHeight="1" x14ac:dyDescent="0.15"/>
    <row r="43160" spans="3:3" s="9" customFormat="1" ht="21.95" customHeight="1" x14ac:dyDescent="0.15"/>
    <row r="43161" spans="3:3" s="9" customFormat="1" ht="21.95" customHeight="1" x14ac:dyDescent="0.15"/>
    <row r="43162" spans="3:3" s="9" customFormat="1" ht="21.95" customHeight="1" x14ac:dyDescent="0.15"/>
    <row r="43163" spans="3:3" s="9" customFormat="1" ht="21.95" customHeight="1" x14ac:dyDescent="0.15"/>
    <row r="43164" spans="3:3" s="9" customFormat="1" ht="21.95" customHeight="1" x14ac:dyDescent="0.15"/>
    <row r="43165" spans="3:3" s="9" customFormat="1" ht="21.95" customHeight="1" x14ac:dyDescent="0.15"/>
    <row r="43166" spans="3:3" s="8" customFormat="1" ht="21.95" customHeight="1" x14ac:dyDescent="0.15"/>
    <row r="43167" spans="3:3" s="8" customFormat="1" ht="21.95" customHeight="1" x14ac:dyDescent="0.15"/>
    <row r="43168" spans="3:3" s="8" customFormat="1" ht="21.95" customHeight="1" x14ac:dyDescent="0.15">
      <c r="C43168" s="101"/>
    </row>
    <row r="43169" spans="3:3" s="8" customFormat="1" ht="21.95" customHeight="1" x14ac:dyDescent="0.15">
      <c r="C43169" s="101"/>
    </row>
    <row r="43170" spans="3:3" s="8" customFormat="1" ht="21.95" customHeight="1" x14ac:dyDescent="0.15"/>
    <row r="43171" spans="3:3" s="8" customFormat="1" ht="21.95" customHeight="1" x14ac:dyDescent="0.15"/>
    <row r="43172" spans="3:3" s="8" customFormat="1" ht="21.95" customHeight="1" x14ac:dyDescent="0.15"/>
    <row r="43173" spans="3:3" s="8" customFormat="1" ht="21.95" customHeight="1" x14ac:dyDescent="0.15"/>
    <row r="43174" spans="3:3" s="8" customFormat="1" ht="21.95" customHeight="1" x14ac:dyDescent="0.15"/>
    <row r="43175" spans="3:3" s="8" customFormat="1" ht="21.95" customHeight="1" x14ac:dyDescent="0.15"/>
    <row r="43176" spans="3:3" s="8" customFormat="1" ht="21.95" customHeight="1" x14ac:dyDescent="0.15"/>
    <row r="43177" spans="3:3" s="9" customFormat="1" ht="21.95" customHeight="1" x14ac:dyDescent="0.15"/>
    <row r="43178" spans="3:3" s="9" customFormat="1" ht="21.95" customHeight="1" x14ac:dyDescent="0.15"/>
    <row r="43179" spans="3:3" s="9" customFormat="1" ht="21.95" customHeight="1" x14ac:dyDescent="0.15"/>
    <row r="43180" spans="3:3" s="9" customFormat="1" ht="21.95" customHeight="1" x14ac:dyDescent="0.15"/>
    <row r="43181" spans="3:3" s="8" customFormat="1" ht="21.95" customHeight="1" x14ac:dyDescent="0.15"/>
    <row r="43182" spans="3:3" s="8" customFormat="1" ht="21.95" customHeight="1" x14ac:dyDescent="0.15"/>
    <row r="43183" spans="3:3" s="8" customFormat="1" ht="21.95" customHeight="1" x14ac:dyDescent="0.15"/>
    <row r="43184" spans="3:3" s="8" customFormat="1" ht="21.95" customHeight="1" x14ac:dyDescent="0.15"/>
    <row r="43185" s="8" customFormat="1" ht="21.95" customHeight="1" x14ac:dyDescent="0.15"/>
    <row r="43186" s="8" customFormat="1" ht="21.95" customHeight="1" x14ac:dyDescent="0.15"/>
    <row r="43187" s="8" customFormat="1" ht="21.95" customHeight="1" x14ac:dyDescent="0.15"/>
    <row r="43188" s="8" customFormat="1" ht="21.95" customHeight="1" x14ac:dyDescent="0.15"/>
    <row r="43189" s="8" customFormat="1" ht="21.95" customHeight="1" x14ac:dyDescent="0.15"/>
    <row r="43190" s="8" customFormat="1" ht="21.95" customHeight="1" x14ac:dyDescent="0.15"/>
    <row r="43191" s="8" customFormat="1" ht="21.95" customHeight="1" x14ac:dyDescent="0.15"/>
    <row r="43192" s="8" customFormat="1" ht="32.1" customHeight="1" x14ac:dyDescent="0.15"/>
    <row r="43193" s="8" customFormat="1" ht="32.1" customHeight="1" x14ac:dyDescent="0.15"/>
    <row r="43194" s="8" customFormat="1" ht="32.1" customHeight="1" x14ac:dyDescent="0.15"/>
    <row r="43195" s="8" customFormat="1" ht="32.1" customHeight="1" x14ac:dyDescent="0.15"/>
    <row r="43196" s="8" customFormat="1" ht="32.1" customHeight="1" x14ac:dyDescent="0.15"/>
    <row r="43197" s="8" customFormat="1" ht="32.1" customHeight="1" x14ac:dyDescent="0.15"/>
    <row r="43198" s="9" customFormat="1" ht="32.1" customHeight="1" x14ac:dyDescent="0.15"/>
    <row r="43199" s="9" customFormat="1" ht="32.1" customHeight="1" x14ac:dyDescent="0.15"/>
    <row r="43200" s="9" customFormat="1" ht="32.1" customHeight="1" x14ac:dyDescent="0.15"/>
    <row r="43201" s="9" customFormat="1" ht="32.1" customHeight="1" x14ac:dyDescent="0.15"/>
    <row r="43202" s="9" customFormat="1" ht="21.95" customHeight="1" x14ac:dyDescent="0.15"/>
    <row r="43203" s="9" customFormat="1" ht="54" customHeight="1" x14ac:dyDescent="0.15"/>
    <row r="43204" s="9" customFormat="1" ht="21.95" customHeight="1" x14ac:dyDescent="0.15"/>
    <row r="43205" s="9" customFormat="1" ht="21.95" customHeight="1" x14ac:dyDescent="0.15"/>
    <row r="43206" s="9" customFormat="1" ht="21.95" customHeight="1" x14ac:dyDescent="0.15"/>
    <row r="43207" s="9" customFormat="1" ht="21.95" customHeight="1" x14ac:dyDescent="0.15"/>
    <row r="43208" s="9" customFormat="1" ht="21.95" customHeight="1" x14ac:dyDescent="0.15"/>
    <row r="43209" s="9" customFormat="1" ht="21.95" customHeight="1" x14ac:dyDescent="0.15"/>
    <row r="43210" s="9" customFormat="1" ht="21.95" customHeight="1" x14ac:dyDescent="0.15"/>
    <row r="43211" s="9" customFormat="1" ht="21.95" customHeight="1" x14ac:dyDescent="0.15"/>
    <row r="43212" s="9" customFormat="1" ht="21.95" customHeight="1" x14ac:dyDescent="0.15"/>
    <row r="43213" s="9" customFormat="1" ht="21.95" customHeight="1" x14ac:dyDescent="0.15"/>
    <row r="43214" s="9" customFormat="1" ht="21.95" customHeight="1" x14ac:dyDescent="0.15"/>
    <row r="43215" s="9" customFormat="1" ht="21.95" customHeight="1" x14ac:dyDescent="0.15"/>
    <row r="43216" s="9" customFormat="1" ht="21.95" customHeight="1" x14ac:dyDescent="0.15"/>
    <row r="43217" s="9" customFormat="1" ht="21.95" customHeight="1" x14ac:dyDescent="0.15"/>
    <row r="43218" s="9" customFormat="1" ht="21.95" customHeight="1" x14ac:dyDescent="0.15"/>
    <row r="43219" s="9" customFormat="1" ht="21.95" customHeight="1" x14ac:dyDescent="0.15"/>
    <row r="43220" s="9" customFormat="1" ht="21.95" customHeight="1" x14ac:dyDescent="0.15"/>
    <row r="43221" s="9" customFormat="1" ht="21.95" customHeight="1" x14ac:dyDescent="0.15"/>
    <row r="43222" s="9" customFormat="1" ht="21.95" customHeight="1" x14ac:dyDescent="0.15"/>
    <row r="43223" s="9" customFormat="1" ht="21.95" customHeight="1" x14ac:dyDescent="0.15"/>
    <row r="43224" s="9" customFormat="1" ht="21.95" customHeight="1" x14ac:dyDescent="0.15"/>
    <row r="43225" s="9" customFormat="1" ht="21.95" customHeight="1" x14ac:dyDescent="0.15"/>
    <row r="43226" s="9" customFormat="1" ht="21.95" customHeight="1" x14ac:dyDescent="0.15"/>
    <row r="43227" s="9" customFormat="1" ht="21.95" customHeight="1" x14ac:dyDescent="0.15"/>
    <row r="43228" s="9" customFormat="1" ht="21.95" customHeight="1" x14ac:dyDescent="0.15"/>
    <row r="43229" s="9" customFormat="1" ht="21.95" customHeight="1" x14ac:dyDescent="0.15"/>
    <row r="43230" s="9" customFormat="1" ht="21.95" customHeight="1" x14ac:dyDescent="0.15"/>
    <row r="43231" s="9" customFormat="1" ht="21.95" customHeight="1" x14ac:dyDescent="0.15"/>
    <row r="43232" s="9" customFormat="1" ht="21.95" customHeight="1" x14ac:dyDescent="0.15"/>
    <row r="43233" s="9" customFormat="1" ht="21.95" customHeight="1" x14ac:dyDescent="0.15"/>
    <row r="43234" s="9" customFormat="1" ht="21.95" customHeight="1" x14ac:dyDescent="0.15"/>
    <row r="43235" s="9" customFormat="1" ht="21.95" customHeight="1" x14ac:dyDescent="0.15"/>
    <row r="43236" s="9" customFormat="1" ht="21.95" customHeight="1" x14ac:dyDescent="0.15"/>
    <row r="43237" s="9" customFormat="1" ht="21.95" customHeight="1" x14ac:dyDescent="0.15"/>
    <row r="43238" s="9" customFormat="1" ht="21.95" customHeight="1" x14ac:dyDescent="0.15"/>
    <row r="43239" s="9" customFormat="1" ht="21.95" customHeight="1" x14ac:dyDescent="0.15"/>
    <row r="43240" s="9" customFormat="1" ht="21.95" customHeight="1" x14ac:dyDescent="0.15"/>
    <row r="43241" s="9" customFormat="1" ht="21.95" customHeight="1" x14ac:dyDescent="0.15"/>
    <row r="43242" s="9" customFormat="1" ht="21.95" customHeight="1" x14ac:dyDescent="0.15"/>
    <row r="43243" s="9" customFormat="1" ht="21.95" customHeight="1" x14ac:dyDescent="0.15"/>
    <row r="43244" s="9" customFormat="1" ht="21.95" customHeight="1" x14ac:dyDescent="0.15"/>
    <row r="43245" s="9" customFormat="1" ht="21.95" customHeight="1" x14ac:dyDescent="0.15"/>
    <row r="43246" s="9" customFormat="1" ht="21.95" customHeight="1" x14ac:dyDescent="0.15"/>
    <row r="43247" s="9" customFormat="1" ht="21.95" customHeight="1" x14ac:dyDescent="0.15"/>
    <row r="43248" s="9" customFormat="1" ht="21.95" customHeight="1" x14ac:dyDescent="0.15"/>
    <row r="43249" s="9" customFormat="1" ht="21.95" customHeight="1" x14ac:dyDescent="0.15"/>
    <row r="43250" s="9" customFormat="1" ht="21.95" customHeight="1" x14ac:dyDescent="0.15"/>
    <row r="43251" s="9" customFormat="1" ht="21.95" customHeight="1" x14ac:dyDescent="0.15"/>
    <row r="43252" s="9" customFormat="1" ht="21.95" customHeight="1" x14ac:dyDescent="0.15"/>
    <row r="43253" s="9" customFormat="1" ht="21.95" customHeight="1" x14ac:dyDescent="0.15"/>
    <row r="43254" s="9" customFormat="1" ht="35.1" customHeight="1" x14ac:dyDescent="0.15"/>
    <row r="43255" s="9" customFormat="1" ht="21.95" customHeight="1" x14ac:dyDescent="0.15"/>
    <row r="43256" s="9" customFormat="1" ht="21.95" customHeight="1" x14ac:dyDescent="0.15"/>
    <row r="43257" s="9" customFormat="1" ht="21.95" customHeight="1" x14ac:dyDescent="0.15"/>
    <row r="43258" s="9" customFormat="1" ht="21.95" customHeight="1" x14ac:dyDescent="0.15"/>
    <row r="43259" s="9" customFormat="1" ht="21.95" customHeight="1" x14ac:dyDescent="0.15"/>
    <row r="43260" s="9" customFormat="1" ht="21.95" customHeight="1" x14ac:dyDescent="0.15"/>
    <row r="43261" s="9" customFormat="1" ht="21.95" customHeight="1" x14ac:dyDescent="0.15"/>
    <row r="43262" s="9" customFormat="1" ht="21.95" customHeight="1" x14ac:dyDescent="0.15"/>
    <row r="43263" s="9" customFormat="1" ht="21.95" customHeight="1" x14ac:dyDescent="0.15"/>
    <row r="43264" s="9" customFormat="1" ht="21.95" customHeight="1" x14ac:dyDescent="0.15"/>
    <row r="43265" spans="3:3" s="9" customFormat="1" ht="21.95" customHeight="1" x14ac:dyDescent="0.15"/>
    <row r="43266" spans="3:3" s="9" customFormat="1" ht="21.95" customHeight="1" x14ac:dyDescent="0.15"/>
    <row r="43267" spans="3:3" s="9" customFormat="1" ht="21.95" customHeight="1" x14ac:dyDescent="0.15"/>
    <row r="43268" spans="3:3" s="9" customFormat="1" ht="21.95" customHeight="1" x14ac:dyDescent="0.15"/>
    <row r="43269" spans="3:3" s="9" customFormat="1" ht="21.95" customHeight="1" x14ac:dyDescent="0.15"/>
    <row r="43270" spans="3:3" s="9" customFormat="1" ht="21.95" customHeight="1" x14ac:dyDescent="0.15"/>
    <row r="43271" spans="3:3" s="9" customFormat="1" ht="21.95" customHeight="1" x14ac:dyDescent="0.15"/>
    <row r="43272" spans="3:3" s="9" customFormat="1" ht="21.95" customHeight="1" x14ac:dyDescent="0.15"/>
    <row r="43273" spans="3:3" s="9" customFormat="1" ht="21.95" customHeight="1" x14ac:dyDescent="0.15"/>
    <row r="43274" spans="3:3" s="9" customFormat="1" ht="21.95" customHeight="1" x14ac:dyDescent="0.15"/>
    <row r="43275" spans="3:3" s="9" customFormat="1" ht="21.95" customHeight="1" x14ac:dyDescent="0.15"/>
    <row r="43276" spans="3:3" s="9" customFormat="1" ht="21.95" customHeight="1" x14ac:dyDescent="0.15"/>
    <row r="43277" spans="3:3" s="9" customFormat="1" ht="21.95" customHeight="1" x14ac:dyDescent="0.15"/>
    <row r="43278" spans="3:3" s="8" customFormat="1" ht="21.95" customHeight="1" x14ac:dyDescent="0.15"/>
    <row r="43279" spans="3:3" s="8" customFormat="1" ht="21.95" customHeight="1" x14ac:dyDescent="0.15"/>
    <row r="43280" spans="3:3" s="8" customFormat="1" ht="21.95" customHeight="1" x14ac:dyDescent="0.15">
      <c r="C43280" s="101"/>
    </row>
    <row r="43281" spans="3:3" s="8" customFormat="1" ht="21.95" customHeight="1" x14ac:dyDescent="0.15">
      <c r="C43281" s="101"/>
    </row>
    <row r="43282" spans="3:3" s="8" customFormat="1" ht="21.95" customHeight="1" x14ac:dyDescent="0.15"/>
    <row r="43283" spans="3:3" s="8" customFormat="1" ht="21.95" customHeight="1" x14ac:dyDescent="0.15"/>
    <row r="43284" spans="3:3" s="8" customFormat="1" ht="21.95" customHeight="1" x14ac:dyDescent="0.15"/>
    <row r="43285" spans="3:3" s="8" customFormat="1" ht="21.95" customHeight="1" x14ac:dyDescent="0.15"/>
    <row r="43286" spans="3:3" s="8" customFormat="1" ht="21.95" customHeight="1" x14ac:dyDescent="0.15"/>
    <row r="43287" spans="3:3" s="8" customFormat="1" ht="21.95" customHeight="1" x14ac:dyDescent="0.15"/>
    <row r="43288" spans="3:3" s="8" customFormat="1" ht="21.95" customHeight="1" x14ac:dyDescent="0.15"/>
    <row r="43289" spans="3:3" s="9" customFormat="1" ht="21.95" customHeight="1" x14ac:dyDescent="0.15"/>
    <row r="43290" spans="3:3" s="9" customFormat="1" ht="21.95" customHeight="1" x14ac:dyDescent="0.15"/>
    <row r="43291" spans="3:3" s="9" customFormat="1" ht="21.95" customHeight="1" x14ac:dyDescent="0.15"/>
    <row r="43292" spans="3:3" s="9" customFormat="1" ht="21.95" customHeight="1" x14ac:dyDescent="0.15"/>
    <row r="43293" spans="3:3" s="8" customFormat="1" ht="21.95" customHeight="1" x14ac:dyDescent="0.15"/>
    <row r="43294" spans="3:3" s="8" customFormat="1" ht="21.95" customHeight="1" x14ac:dyDescent="0.15"/>
    <row r="43295" spans="3:3" s="8" customFormat="1" ht="21.95" customHeight="1" x14ac:dyDescent="0.15"/>
    <row r="43296" spans="3:3" s="8" customFormat="1" ht="21.95" customHeight="1" x14ac:dyDescent="0.15"/>
    <row r="43297" s="8" customFormat="1" ht="21.95" customHeight="1" x14ac:dyDescent="0.15"/>
    <row r="43298" s="8" customFormat="1" ht="21.95" customHeight="1" x14ac:dyDescent="0.15"/>
    <row r="43299" s="8" customFormat="1" ht="21.95" customHeight="1" x14ac:dyDescent="0.15"/>
    <row r="43300" s="8" customFormat="1" ht="21.95" customHeight="1" x14ac:dyDescent="0.15"/>
    <row r="43301" s="8" customFormat="1" ht="21.95" customHeight="1" x14ac:dyDescent="0.15"/>
    <row r="43302" s="8" customFormat="1" ht="21.95" customHeight="1" x14ac:dyDescent="0.15"/>
    <row r="43303" s="8" customFormat="1" ht="21.95" customHeight="1" x14ac:dyDescent="0.15"/>
    <row r="43304" s="8" customFormat="1" ht="32.1" customHeight="1" x14ac:dyDescent="0.15"/>
    <row r="43305" s="8" customFormat="1" ht="32.1" customHeight="1" x14ac:dyDescent="0.15"/>
    <row r="43306" s="8" customFormat="1" ht="32.1" customHeight="1" x14ac:dyDescent="0.15"/>
    <row r="43307" s="8" customFormat="1" ht="32.1" customHeight="1" x14ac:dyDescent="0.15"/>
    <row r="43308" s="8" customFormat="1" ht="32.1" customHeight="1" x14ac:dyDescent="0.15"/>
    <row r="43309" s="8" customFormat="1" ht="32.1" customHeight="1" x14ac:dyDescent="0.15"/>
    <row r="43310" s="9" customFormat="1" ht="32.1" customHeight="1" x14ac:dyDescent="0.15"/>
    <row r="43311" s="9" customFormat="1" ht="32.1" customHeight="1" x14ac:dyDescent="0.15"/>
    <row r="43312" s="9" customFormat="1" ht="32.1" customHeight="1" x14ac:dyDescent="0.15"/>
    <row r="43313" s="9" customFormat="1" ht="32.1" customHeight="1" x14ac:dyDescent="0.15"/>
    <row r="43314" s="9" customFormat="1" ht="21.95" customHeight="1" x14ac:dyDescent="0.15"/>
    <row r="43315" s="9" customFormat="1" ht="54" customHeight="1" x14ac:dyDescent="0.15"/>
    <row r="43316" s="9" customFormat="1" ht="21.95" customHeight="1" x14ac:dyDescent="0.15"/>
    <row r="43317" s="9" customFormat="1" ht="21.95" customHeight="1" x14ac:dyDescent="0.15"/>
    <row r="43318" s="9" customFormat="1" ht="21.95" customHeight="1" x14ac:dyDescent="0.15"/>
    <row r="43319" s="9" customFormat="1" ht="21.95" customHeight="1" x14ac:dyDescent="0.15"/>
    <row r="43320" s="9" customFormat="1" ht="21.95" customHeight="1" x14ac:dyDescent="0.15"/>
    <row r="43321" s="9" customFormat="1" ht="21.95" customHeight="1" x14ac:dyDescent="0.15"/>
    <row r="43322" s="9" customFormat="1" ht="21.95" customHeight="1" x14ac:dyDescent="0.15"/>
    <row r="43323" s="9" customFormat="1" ht="21.95" customHeight="1" x14ac:dyDescent="0.15"/>
    <row r="43324" s="9" customFormat="1" ht="21.95" customHeight="1" x14ac:dyDescent="0.15"/>
    <row r="43325" s="9" customFormat="1" ht="21.95" customHeight="1" x14ac:dyDescent="0.15"/>
    <row r="43326" s="9" customFormat="1" ht="21.95" customHeight="1" x14ac:dyDescent="0.15"/>
    <row r="43327" s="9" customFormat="1" ht="21.95" customHeight="1" x14ac:dyDescent="0.15"/>
    <row r="43328" s="9" customFormat="1" ht="21.95" customHeight="1" x14ac:dyDescent="0.15"/>
    <row r="43329" s="9" customFormat="1" ht="21.95" customHeight="1" x14ac:dyDescent="0.15"/>
    <row r="43330" s="9" customFormat="1" ht="21.95" customHeight="1" x14ac:dyDescent="0.15"/>
    <row r="43331" s="9" customFormat="1" ht="21.95" customHeight="1" x14ac:dyDescent="0.15"/>
    <row r="43332" s="9" customFormat="1" ht="21.95" customHeight="1" x14ac:dyDescent="0.15"/>
    <row r="43333" s="9" customFormat="1" ht="21.95" customHeight="1" x14ac:dyDescent="0.15"/>
    <row r="43334" s="9" customFormat="1" ht="21.95" customHeight="1" x14ac:dyDescent="0.15"/>
    <row r="43335" s="9" customFormat="1" ht="21.95" customHeight="1" x14ac:dyDescent="0.15"/>
    <row r="43336" s="9" customFormat="1" ht="21.95" customHeight="1" x14ac:dyDescent="0.15"/>
    <row r="43337" s="9" customFormat="1" ht="21.95" customHeight="1" x14ac:dyDescent="0.15"/>
    <row r="43338" s="9" customFormat="1" ht="21.95" customHeight="1" x14ac:dyDescent="0.15"/>
    <row r="43339" s="9" customFormat="1" ht="21.95" customHeight="1" x14ac:dyDescent="0.15"/>
    <row r="43340" s="9" customFormat="1" ht="21.95" customHeight="1" x14ac:dyDescent="0.15"/>
    <row r="43341" s="9" customFormat="1" ht="21.95" customHeight="1" x14ac:dyDescent="0.15"/>
    <row r="43342" s="9" customFormat="1" ht="21.95" customHeight="1" x14ac:dyDescent="0.15"/>
    <row r="43343" s="9" customFormat="1" ht="21.95" customHeight="1" x14ac:dyDescent="0.15"/>
    <row r="43344" s="9" customFormat="1" ht="21.95" customHeight="1" x14ac:dyDescent="0.15"/>
    <row r="43345" s="9" customFormat="1" ht="21.95" customHeight="1" x14ac:dyDescent="0.15"/>
    <row r="43346" s="9" customFormat="1" ht="21.95" customHeight="1" x14ac:dyDescent="0.15"/>
    <row r="43347" s="9" customFormat="1" ht="21.95" customHeight="1" x14ac:dyDescent="0.15"/>
    <row r="43348" s="9" customFormat="1" ht="21.95" customHeight="1" x14ac:dyDescent="0.15"/>
    <row r="43349" s="9" customFormat="1" ht="21.95" customHeight="1" x14ac:dyDescent="0.15"/>
    <row r="43350" s="9" customFormat="1" ht="21.95" customHeight="1" x14ac:dyDescent="0.15"/>
    <row r="43351" s="9" customFormat="1" ht="21.95" customHeight="1" x14ac:dyDescent="0.15"/>
    <row r="43352" s="9" customFormat="1" ht="21.95" customHeight="1" x14ac:dyDescent="0.15"/>
    <row r="43353" s="9" customFormat="1" ht="21.95" customHeight="1" x14ac:dyDescent="0.15"/>
    <row r="43354" s="9" customFormat="1" ht="21.95" customHeight="1" x14ac:dyDescent="0.15"/>
    <row r="43355" s="9" customFormat="1" ht="21.95" customHeight="1" x14ac:dyDescent="0.15"/>
    <row r="43356" s="9" customFormat="1" ht="21.95" customHeight="1" x14ac:dyDescent="0.15"/>
    <row r="43357" s="9" customFormat="1" ht="21.95" customHeight="1" x14ac:dyDescent="0.15"/>
    <row r="43358" s="9" customFormat="1" ht="21.95" customHeight="1" x14ac:dyDescent="0.15"/>
    <row r="43359" s="9" customFormat="1" ht="21.95" customHeight="1" x14ac:dyDescent="0.15"/>
    <row r="43360" s="9" customFormat="1" ht="21.95" customHeight="1" x14ac:dyDescent="0.15"/>
    <row r="43361" s="9" customFormat="1" ht="21.95" customHeight="1" x14ac:dyDescent="0.15"/>
    <row r="43362" s="9" customFormat="1" ht="21.95" customHeight="1" x14ac:dyDescent="0.15"/>
    <row r="43363" s="9" customFormat="1" ht="21.95" customHeight="1" x14ac:dyDescent="0.15"/>
    <row r="43364" s="9" customFormat="1" ht="21.95" customHeight="1" x14ac:dyDescent="0.15"/>
    <row r="43365" s="9" customFormat="1" ht="21.95" customHeight="1" x14ac:dyDescent="0.15"/>
    <row r="43366" s="9" customFormat="1" ht="35.1" customHeight="1" x14ac:dyDescent="0.15"/>
    <row r="43367" s="9" customFormat="1" ht="21.95" customHeight="1" x14ac:dyDescent="0.15"/>
    <row r="43368" s="9" customFormat="1" ht="21.95" customHeight="1" x14ac:dyDescent="0.15"/>
    <row r="43369" s="9" customFormat="1" ht="21.95" customHeight="1" x14ac:dyDescent="0.15"/>
    <row r="43370" s="9" customFormat="1" ht="21.95" customHeight="1" x14ac:dyDescent="0.15"/>
    <row r="43371" s="9" customFormat="1" ht="21.95" customHeight="1" x14ac:dyDescent="0.15"/>
    <row r="43372" s="9" customFormat="1" ht="21.95" customHeight="1" x14ac:dyDescent="0.15"/>
    <row r="43373" s="9" customFormat="1" ht="21.95" customHeight="1" x14ac:dyDescent="0.15"/>
    <row r="43374" s="9" customFormat="1" ht="21.95" customHeight="1" x14ac:dyDescent="0.15"/>
    <row r="43375" s="9" customFormat="1" ht="21.95" customHeight="1" x14ac:dyDescent="0.15"/>
    <row r="43376" s="9" customFormat="1" ht="21.95" customHeight="1" x14ac:dyDescent="0.15"/>
    <row r="43377" spans="3:3" s="9" customFormat="1" ht="21.95" customHeight="1" x14ac:dyDescent="0.15"/>
    <row r="43378" spans="3:3" s="9" customFormat="1" ht="21.95" customHeight="1" x14ac:dyDescent="0.15"/>
    <row r="43379" spans="3:3" s="9" customFormat="1" ht="21.95" customHeight="1" x14ac:dyDescent="0.15"/>
    <row r="43380" spans="3:3" s="9" customFormat="1" ht="21.95" customHeight="1" x14ac:dyDescent="0.15"/>
    <row r="43381" spans="3:3" s="9" customFormat="1" ht="21.95" customHeight="1" x14ac:dyDescent="0.15"/>
    <row r="43382" spans="3:3" s="9" customFormat="1" ht="21.95" customHeight="1" x14ac:dyDescent="0.15"/>
    <row r="43383" spans="3:3" s="9" customFormat="1" ht="21.95" customHeight="1" x14ac:dyDescent="0.15"/>
    <row r="43384" spans="3:3" s="9" customFormat="1" ht="21.95" customHeight="1" x14ac:dyDescent="0.15"/>
    <row r="43385" spans="3:3" s="9" customFormat="1" ht="21.95" customHeight="1" x14ac:dyDescent="0.15"/>
    <row r="43386" spans="3:3" s="9" customFormat="1" ht="21.95" customHeight="1" x14ac:dyDescent="0.15"/>
    <row r="43387" spans="3:3" s="9" customFormat="1" ht="21.95" customHeight="1" x14ac:dyDescent="0.15"/>
    <row r="43388" spans="3:3" s="9" customFormat="1" ht="21.95" customHeight="1" x14ac:dyDescent="0.15"/>
    <row r="43389" spans="3:3" s="9" customFormat="1" ht="21.95" customHeight="1" x14ac:dyDescent="0.15"/>
    <row r="43390" spans="3:3" s="8" customFormat="1" ht="21.95" customHeight="1" x14ac:dyDescent="0.15"/>
    <row r="43391" spans="3:3" s="8" customFormat="1" ht="21.95" customHeight="1" x14ac:dyDescent="0.15"/>
    <row r="43392" spans="3:3" s="8" customFormat="1" ht="21.95" customHeight="1" x14ac:dyDescent="0.15">
      <c r="C43392" s="101"/>
    </row>
    <row r="43393" spans="3:3" s="8" customFormat="1" ht="21.95" customHeight="1" x14ac:dyDescent="0.15">
      <c r="C43393" s="101"/>
    </row>
    <row r="43394" spans="3:3" s="8" customFormat="1" ht="21.95" customHeight="1" x14ac:dyDescent="0.15"/>
    <row r="43395" spans="3:3" s="8" customFormat="1" ht="21.95" customHeight="1" x14ac:dyDescent="0.15"/>
    <row r="43396" spans="3:3" s="8" customFormat="1" ht="21.95" customHeight="1" x14ac:dyDescent="0.15"/>
    <row r="43397" spans="3:3" s="8" customFormat="1" ht="21.95" customHeight="1" x14ac:dyDescent="0.15"/>
    <row r="43398" spans="3:3" s="8" customFormat="1" ht="21.95" customHeight="1" x14ac:dyDescent="0.15"/>
    <row r="43399" spans="3:3" s="8" customFormat="1" ht="21.95" customHeight="1" x14ac:dyDescent="0.15"/>
    <row r="43400" spans="3:3" s="8" customFormat="1" ht="21.95" customHeight="1" x14ac:dyDescent="0.15"/>
    <row r="43401" spans="3:3" s="9" customFormat="1" ht="21.95" customHeight="1" x14ac:dyDescent="0.15"/>
    <row r="43402" spans="3:3" s="9" customFormat="1" ht="21.95" customHeight="1" x14ac:dyDescent="0.15"/>
    <row r="43403" spans="3:3" s="9" customFormat="1" ht="21.95" customHeight="1" x14ac:dyDescent="0.15"/>
    <row r="43404" spans="3:3" s="9" customFormat="1" ht="21.95" customHeight="1" x14ac:dyDescent="0.15"/>
    <row r="43405" spans="3:3" s="8" customFormat="1" ht="21.95" customHeight="1" x14ac:dyDescent="0.15"/>
    <row r="43406" spans="3:3" s="8" customFormat="1" ht="21.95" customHeight="1" x14ac:dyDescent="0.15"/>
    <row r="43407" spans="3:3" s="8" customFormat="1" ht="21.95" customHeight="1" x14ac:dyDescent="0.15"/>
    <row r="43408" spans="3:3" s="8" customFormat="1" ht="21.95" customHeight="1" x14ac:dyDescent="0.15"/>
    <row r="43409" s="8" customFormat="1" ht="21.95" customHeight="1" x14ac:dyDescent="0.15"/>
    <row r="43410" s="8" customFormat="1" ht="21.95" customHeight="1" x14ac:dyDescent="0.15"/>
    <row r="43411" s="8" customFormat="1" ht="21.95" customHeight="1" x14ac:dyDescent="0.15"/>
    <row r="43412" s="8" customFormat="1" ht="21.95" customHeight="1" x14ac:dyDescent="0.15"/>
    <row r="43413" s="8" customFormat="1" ht="21.95" customHeight="1" x14ac:dyDescent="0.15"/>
    <row r="43414" s="8" customFormat="1" ht="21.95" customHeight="1" x14ac:dyDescent="0.15"/>
    <row r="43415" s="8" customFormat="1" ht="21.95" customHeight="1" x14ac:dyDescent="0.15"/>
    <row r="43416" s="8" customFormat="1" ht="32.1" customHeight="1" x14ac:dyDescent="0.15"/>
    <row r="43417" s="8" customFormat="1" ht="32.1" customHeight="1" x14ac:dyDescent="0.15"/>
    <row r="43418" s="8" customFormat="1" ht="32.1" customHeight="1" x14ac:dyDescent="0.15"/>
    <row r="43419" s="8" customFormat="1" ht="32.1" customHeight="1" x14ac:dyDescent="0.15"/>
    <row r="43420" s="8" customFormat="1" ht="32.1" customHeight="1" x14ac:dyDescent="0.15"/>
    <row r="43421" s="8" customFormat="1" ht="32.1" customHeight="1" x14ac:dyDescent="0.15"/>
    <row r="43422" s="9" customFormat="1" ht="32.1" customHeight="1" x14ac:dyDescent="0.15"/>
    <row r="43423" s="9" customFormat="1" ht="32.1" customHeight="1" x14ac:dyDescent="0.15"/>
    <row r="43424" s="9" customFormat="1" ht="32.1" customHeight="1" x14ac:dyDescent="0.15"/>
    <row r="43425" s="9" customFormat="1" ht="32.1" customHeight="1" x14ac:dyDescent="0.15"/>
    <row r="43426" s="9" customFormat="1" ht="21.95" customHeight="1" x14ac:dyDescent="0.15"/>
    <row r="43427" s="9" customFormat="1" ht="54" customHeight="1" x14ac:dyDescent="0.15"/>
    <row r="43428" s="9" customFormat="1" ht="21.95" customHeight="1" x14ac:dyDescent="0.15"/>
    <row r="43429" s="9" customFormat="1" ht="21.95" customHeight="1" x14ac:dyDescent="0.15"/>
    <row r="43430" s="9" customFormat="1" ht="21.95" customHeight="1" x14ac:dyDescent="0.15"/>
    <row r="43431" s="9" customFormat="1" ht="21.95" customHeight="1" x14ac:dyDescent="0.15"/>
    <row r="43432" s="9" customFormat="1" ht="21.95" customHeight="1" x14ac:dyDescent="0.15"/>
    <row r="43433" s="9" customFormat="1" ht="21.95" customHeight="1" x14ac:dyDescent="0.15"/>
    <row r="43434" s="9" customFormat="1" ht="21.95" customHeight="1" x14ac:dyDescent="0.15"/>
    <row r="43435" s="9" customFormat="1" ht="21.95" customHeight="1" x14ac:dyDescent="0.15"/>
    <row r="43436" s="9" customFormat="1" ht="21.95" customHeight="1" x14ac:dyDescent="0.15"/>
    <row r="43437" s="9" customFormat="1" ht="21.95" customHeight="1" x14ac:dyDescent="0.15"/>
    <row r="43438" s="9" customFormat="1" ht="21.95" customHeight="1" x14ac:dyDescent="0.15"/>
    <row r="43439" s="9" customFormat="1" ht="21.95" customHeight="1" x14ac:dyDescent="0.15"/>
    <row r="43440" s="9" customFormat="1" ht="21.95" customHeight="1" x14ac:dyDescent="0.15"/>
    <row r="43441" s="9" customFormat="1" ht="21.95" customHeight="1" x14ac:dyDescent="0.15"/>
    <row r="43442" s="9" customFormat="1" ht="21.95" customHeight="1" x14ac:dyDescent="0.15"/>
    <row r="43443" s="9" customFormat="1" ht="21.95" customHeight="1" x14ac:dyDescent="0.15"/>
    <row r="43444" s="9" customFormat="1" ht="21.95" customHeight="1" x14ac:dyDescent="0.15"/>
    <row r="43445" s="9" customFormat="1" ht="21.95" customHeight="1" x14ac:dyDescent="0.15"/>
    <row r="43446" s="9" customFormat="1" ht="21.95" customHeight="1" x14ac:dyDescent="0.15"/>
    <row r="43447" s="9" customFormat="1" ht="21.95" customHeight="1" x14ac:dyDescent="0.15"/>
    <row r="43448" s="9" customFormat="1" ht="21.95" customHeight="1" x14ac:dyDescent="0.15"/>
    <row r="43449" s="9" customFormat="1" ht="21.95" customHeight="1" x14ac:dyDescent="0.15"/>
    <row r="43450" s="9" customFormat="1" ht="21.95" customHeight="1" x14ac:dyDescent="0.15"/>
    <row r="43451" s="9" customFormat="1" ht="21.95" customHeight="1" x14ac:dyDescent="0.15"/>
    <row r="43452" s="9" customFormat="1" ht="21.95" customHeight="1" x14ac:dyDescent="0.15"/>
    <row r="43453" s="9" customFormat="1" ht="21.95" customHeight="1" x14ac:dyDescent="0.15"/>
    <row r="43454" s="9" customFormat="1" ht="21.95" customHeight="1" x14ac:dyDescent="0.15"/>
    <row r="43455" s="9" customFormat="1" ht="21.95" customHeight="1" x14ac:dyDescent="0.15"/>
    <row r="43456" s="9" customFormat="1" ht="21.95" customHeight="1" x14ac:dyDescent="0.15"/>
    <row r="43457" s="9" customFormat="1" ht="21.95" customHeight="1" x14ac:dyDescent="0.15"/>
    <row r="43458" s="9" customFormat="1" ht="21.95" customHeight="1" x14ac:dyDescent="0.15"/>
    <row r="43459" s="9" customFormat="1" ht="21.95" customHeight="1" x14ac:dyDescent="0.15"/>
    <row r="43460" s="9" customFormat="1" ht="21.95" customHeight="1" x14ac:dyDescent="0.15"/>
    <row r="43461" s="9" customFormat="1" ht="21.95" customHeight="1" x14ac:dyDescent="0.15"/>
    <row r="43462" s="9" customFormat="1" ht="21.95" customHeight="1" x14ac:dyDescent="0.15"/>
    <row r="43463" s="9" customFormat="1" ht="21.95" customHeight="1" x14ac:dyDescent="0.15"/>
    <row r="43464" s="9" customFormat="1" ht="21.95" customHeight="1" x14ac:dyDescent="0.15"/>
    <row r="43465" s="9" customFormat="1" ht="21.95" customHeight="1" x14ac:dyDescent="0.15"/>
    <row r="43466" s="9" customFormat="1" ht="21.95" customHeight="1" x14ac:dyDescent="0.15"/>
    <row r="43467" s="9" customFormat="1" ht="21.95" customHeight="1" x14ac:dyDescent="0.15"/>
    <row r="43468" s="9" customFormat="1" ht="21.95" customHeight="1" x14ac:dyDescent="0.15"/>
    <row r="43469" s="9" customFormat="1" ht="21.95" customHeight="1" x14ac:dyDescent="0.15"/>
    <row r="43470" s="9" customFormat="1" ht="21.95" customHeight="1" x14ac:dyDescent="0.15"/>
    <row r="43471" s="9" customFormat="1" ht="21.95" customHeight="1" x14ac:dyDescent="0.15"/>
    <row r="43472" s="9" customFormat="1" ht="21.95" customHeight="1" x14ac:dyDescent="0.15"/>
    <row r="43473" s="9" customFormat="1" ht="21.95" customHeight="1" x14ac:dyDescent="0.15"/>
    <row r="43474" s="9" customFormat="1" ht="21.95" customHeight="1" x14ac:dyDescent="0.15"/>
    <row r="43475" s="9" customFormat="1" ht="21.95" customHeight="1" x14ac:dyDescent="0.15"/>
    <row r="43476" s="9" customFormat="1" ht="21.95" customHeight="1" x14ac:dyDescent="0.15"/>
    <row r="43477" s="9" customFormat="1" ht="21.95" customHeight="1" x14ac:dyDescent="0.15"/>
    <row r="43478" s="9" customFormat="1" ht="35.1" customHeight="1" x14ac:dyDescent="0.15"/>
    <row r="43479" s="9" customFormat="1" ht="21.95" customHeight="1" x14ac:dyDescent="0.15"/>
    <row r="43480" s="9" customFormat="1" ht="21.95" customHeight="1" x14ac:dyDescent="0.15"/>
    <row r="43481" s="9" customFormat="1" ht="21.95" customHeight="1" x14ac:dyDescent="0.15"/>
    <row r="43482" s="9" customFormat="1" ht="21.95" customHeight="1" x14ac:dyDescent="0.15"/>
    <row r="43483" s="9" customFormat="1" ht="21.95" customHeight="1" x14ac:dyDescent="0.15"/>
    <row r="43484" s="9" customFormat="1" ht="21.95" customHeight="1" x14ac:dyDescent="0.15"/>
    <row r="43485" s="9" customFormat="1" ht="21.95" customHeight="1" x14ac:dyDescent="0.15"/>
    <row r="43486" s="9" customFormat="1" ht="21.95" customHeight="1" x14ac:dyDescent="0.15"/>
    <row r="43487" s="9" customFormat="1" ht="21.95" customHeight="1" x14ac:dyDescent="0.15"/>
    <row r="43488" s="9" customFormat="1" ht="21.95" customHeight="1" x14ac:dyDescent="0.15"/>
    <row r="43489" spans="3:3" s="9" customFormat="1" ht="21.95" customHeight="1" x14ac:dyDescent="0.15"/>
    <row r="43490" spans="3:3" s="9" customFormat="1" ht="21.95" customHeight="1" x14ac:dyDescent="0.15"/>
    <row r="43491" spans="3:3" s="9" customFormat="1" ht="21.95" customHeight="1" x14ac:dyDescent="0.15"/>
    <row r="43492" spans="3:3" s="9" customFormat="1" ht="21.95" customHeight="1" x14ac:dyDescent="0.15"/>
    <row r="43493" spans="3:3" s="9" customFormat="1" ht="21.95" customHeight="1" x14ac:dyDescent="0.15"/>
    <row r="43494" spans="3:3" s="9" customFormat="1" ht="21.95" customHeight="1" x14ac:dyDescent="0.15"/>
    <row r="43495" spans="3:3" s="9" customFormat="1" ht="21.95" customHeight="1" x14ac:dyDescent="0.15"/>
    <row r="43496" spans="3:3" s="9" customFormat="1" ht="21.95" customHeight="1" x14ac:dyDescent="0.15"/>
    <row r="43497" spans="3:3" s="9" customFormat="1" ht="21.95" customHeight="1" x14ac:dyDescent="0.15"/>
    <row r="43498" spans="3:3" s="9" customFormat="1" ht="21.95" customHeight="1" x14ac:dyDescent="0.15"/>
    <row r="43499" spans="3:3" s="9" customFormat="1" ht="21.95" customHeight="1" x14ac:dyDescent="0.15"/>
    <row r="43500" spans="3:3" s="9" customFormat="1" ht="21.95" customHeight="1" x14ac:dyDescent="0.15"/>
    <row r="43501" spans="3:3" s="9" customFormat="1" ht="21.95" customHeight="1" x14ac:dyDescent="0.15"/>
    <row r="43502" spans="3:3" s="8" customFormat="1" ht="21.95" customHeight="1" x14ac:dyDescent="0.15"/>
    <row r="43503" spans="3:3" s="8" customFormat="1" ht="21.95" customHeight="1" x14ac:dyDescent="0.15"/>
    <row r="43504" spans="3:3" s="8" customFormat="1" ht="21.95" customHeight="1" x14ac:dyDescent="0.15">
      <c r="C43504" s="101"/>
    </row>
    <row r="43505" spans="3:3" s="8" customFormat="1" ht="21.95" customHeight="1" x14ac:dyDescent="0.15">
      <c r="C43505" s="101"/>
    </row>
    <row r="43506" spans="3:3" s="8" customFormat="1" ht="21.95" customHeight="1" x14ac:dyDescent="0.15"/>
    <row r="43507" spans="3:3" s="8" customFormat="1" ht="21.95" customHeight="1" x14ac:dyDescent="0.15"/>
    <row r="43508" spans="3:3" s="8" customFormat="1" ht="21.95" customHeight="1" x14ac:dyDescent="0.15"/>
    <row r="43509" spans="3:3" s="8" customFormat="1" ht="21.95" customHeight="1" x14ac:dyDescent="0.15"/>
    <row r="43510" spans="3:3" s="8" customFormat="1" ht="21.95" customHeight="1" x14ac:dyDescent="0.15"/>
    <row r="43511" spans="3:3" s="8" customFormat="1" ht="21.95" customHeight="1" x14ac:dyDescent="0.15"/>
    <row r="43512" spans="3:3" s="8" customFormat="1" ht="21.95" customHeight="1" x14ac:dyDescent="0.15"/>
    <row r="43513" spans="3:3" s="9" customFormat="1" ht="21.95" customHeight="1" x14ac:dyDescent="0.15"/>
    <row r="43514" spans="3:3" s="9" customFormat="1" ht="21.95" customHeight="1" x14ac:dyDescent="0.15"/>
    <row r="43515" spans="3:3" s="9" customFormat="1" ht="21.95" customHeight="1" x14ac:dyDescent="0.15"/>
    <row r="43516" spans="3:3" s="9" customFormat="1" ht="21.95" customHeight="1" x14ac:dyDescent="0.15"/>
    <row r="43517" spans="3:3" s="8" customFormat="1" ht="21.95" customHeight="1" x14ac:dyDescent="0.15"/>
    <row r="43518" spans="3:3" s="8" customFormat="1" ht="21.95" customHeight="1" x14ac:dyDescent="0.15"/>
    <row r="43519" spans="3:3" s="8" customFormat="1" ht="21.95" customHeight="1" x14ac:dyDescent="0.15"/>
    <row r="43520" spans="3:3" s="8" customFormat="1" ht="21.95" customHeight="1" x14ac:dyDescent="0.15"/>
    <row r="43521" s="8" customFormat="1" ht="21.95" customHeight="1" x14ac:dyDescent="0.15"/>
    <row r="43522" s="8" customFormat="1" ht="21.95" customHeight="1" x14ac:dyDescent="0.15"/>
    <row r="43523" s="8" customFormat="1" ht="21.95" customHeight="1" x14ac:dyDescent="0.15"/>
    <row r="43524" s="8" customFormat="1" ht="21.95" customHeight="1" x14ac:dyDescent="0.15"/>
    <row r="43525" s="8" customFormat="1" ht="21.95" customHeight="1" x14ac:dyDescent="0.15"/>
    <row r="43526" s="8" customFormat="1" ht="21.95" customHeight="1" x14ac:dyDescent="0.15"/>
    <row r="43527" s="8" customFormat="1" ht="21.95" customHeight="1" x14ac:dyDescent="0.15"/>
    <row r="43528" s="8" customFormat="1" ht="32.1" customHeight="1" x14ac:dyDescent="0.15"/>
    <row r="43529" s="8" customFormat="1" ht="32.1" customHeight="1" x14ac:dyDescent="0.15"/>
    <row r="43530" s="8" customFormat="1" ht="32.1" customHeight="1" x14ac:dyDescent="0.15"/>
    <row r="43531" s="8" customFormat="1" ht="32.1" customHeight="1" x14ac:dyDescent="0.15"/>
    <row r="43532" s="8" customFormat="1" ht="32.1" customHeight="1" x14ac:dyDescent="0.15"/>
    <row r="43533" s="8" customFormat="1" ht="32.1" customHeight="1" x14ac:dyDescent="0.15"/>
    <row r="43534" s="9" customFormat="1" ht="32.1" customHeight="1" x14ac:dyDescent="0.15"/>
    <row r="43535" s="9" customFormat="1" ht="32.1" customHeight="1" x14ac:dyDescent="0.15"/>
    <row r="43536" s="9" customFormat="1" ht="32.1" customHeight="1" x14ac:dyDescent="0.15"/>
    <row r="43537" s="9" customFormat="1" ht="32.1" customHeight="1" x14ac:dyDescent="0.15"/>
    <row r="43538" s="9" customFormat="1" ht="21.95" customHeight="1" x14ac:dyDescent="0.15"/>
    <row r="43539" s="9" customFormat="1" ht="54" customHeight="1" x14ac:dyDescent="0.15"/>
    <row r="43540" s="9" customFormat="1" ht="21.95" customHeight="1" x14ac:dyDescent="0.15"/>
    <row r="43541" s="9" customFormat="1" ht="21.95" customHeight="1" x14ac:dyDescent="0.15"/>
    <row r="43542" s="9" customFormat="1" ht="21.95" customHeight="1" x14ac:dyDescent="0.15"/>
    <row r="43543" s="9" customFormat="1" ht="21.95" customHeight="1" x14ac:dyDescent="0.15"/>
    <row r="43544" s="9" customFormat="1" ht="21.95" customHeight="1" x14ac:dyDescent="0.15"/>
    <row r="43545" s="9" customFormat="1" ht="21.95" customHeight="1" x14ac:dyDescent="0.15"/>
    <row r="43546" s="9" customFormat="1" ht="21.95" customHeight="1" x14ac:dyDescent="0.15"/>
    <row r="43547" s="9" customFormat="1" ht="21.95" customHeight="1" x14ac:dyDescent="0.15"/>
    <row r="43548" s="9" customFormat="1" ht="21.95" customHeight="1" x14ac:dyDescent="0.15"/>
    <row r="43549" s="9" customFormat="1" ht="21.95" customHeight="1" x14ac:dyDescent="0.15"/>
    <row r="43550" s="9" customFormat="1" ht="21.95" customHeight="1" x14ac:dyDescent="0.15"/>
    <row r="43551" s="9" customFormat="1" ht="21.95" customHeight="1" x14ac:dyDescent="0.15"/>
    <row r="43552" s="9" customFormat="1" ht="21.95" customHeight="1" x14ac:dyDescent="0.15"/>
    <row r="43553" s="9" customFormat="1" ht="21.95" customHeight="1" x14ac:dyDescent="0.15"/>
    <row r="43554" s="9" customFormat="1" ht="21.95" customHeight="1" x14ac:dyDescent="0.15"/>
    <row r="43555" s="9" customFormat="1" ht="21.95" customHeight="1" x14ac:dyDescent="0.15"/>
    <row r="43556" s="9" customFormat="1" ht="21.95" customHeight="1" x14ac:dyDescent="0.15"/>
    <row r="43557" s="9" customFormat="1" ht="21.95" customHeight="1" x14ac:dyDescent="0.15"/>
    <row r="43558" s="9" customFormat="1" ht="21.95" customHeight="1" x14ac:dyDescent="0.15"/>
    <row r="43559" s="9" customFormat="1" ht="21.95" customHeight="1" x14ac:dyDescent="0.15"/>
    <row r="43560" s="9" customFormat="1" ht="21.95" customHeight="1" x14ac:dyDescent="0.15"/>
    <row r="43561" s="9" customFormat="1" ht="21.95" customHeight="1" x14ac:dyDescent="0.15"/>
    <row r="43562" s="9" customFormat="1" ht="21.95" customHeight="1" x14ac:dyDescent="0.15"/>
    <row r="43563" s="9" customFormat="1" ht="21.95" customHeight="1" x14ac:dyDescent="0.15"/>
    <row r="43564" s="9" customFormat="1" ht="21.95" customHeight="1" x14ac:dyDescent="0.15"/>
    <row r="43565" s="9" customFormat="1" ht="21.95" customHeight="1" x14ac:dyDescent="0.15"/>
    <row r="43566" s="9" customFormat="1" ht="21.95" customHeight="1" x14ac:dyDescent="0.15"/>
    <row r="43567" s="9" customFormat="1" ht="21.95" customHeight="1" x14ac:dyDescent="0.15"/>
    <row r="43568" s="9" customFormat="1" ht="21.95" customHeight="1" x14ac:dyDescent="0.15"/>
    <row r="43569" s="9" customFormat="1" ht="21.95" customHeight="1" x14ac:dyDescent="0.15"/>
    <row r="43570" s="9" customFormat="1" ht="21.95" customHeight="1" x14ac:dyDescent="0.15"/>
    <row r="43571" s="9" customFormat="1" ht="21.95" customHeight="1" x14ac:dyDescent="0.15"/>
    <row r="43572" s="9" customFormat="1" ht="21.95" customHeight="1" x14ac:dyDescent="0.15"/>
    <row r="43573" s="9" customFormat="1" ht="21.95" customHeight="1" x14ac:dyDescent="0.15"/>
    <row r="43574" s="9" customFormat="1" ht="21.95" customHeight="1" x14ac:dyDescent="0.15"/>
    <row r="43575" s="9" customFormat="1" ht="21.95" customHeight="1" x14ac:dyDescent="0.15"/>
    <row r="43576" s="9" customFormat="1" ht="21.95" customHeight="1" x14ac:dyDescent="0.15"/>
    <row r="43577" s="9" customFormat="1" ht="21.95" customHeight="1" x14ac:dyDescent="0.15"/>
    <row r="43578" s="9" customFormat="1" ht="21.95" customHeight="1" x14ac:dyDescent="0.15"/>
    <row r="43579" s="9" customFormat="1" ht="21.95" customHeight="1" x14ac:dyDescent="0.15"/>
    <row r="43580" s="9" customFormat="1" ht="21.95" customHeight="1" x14ac:dyDescent="0.15"/>
    <row r="43581" s="9" customFormat="1" ht="21.95" customHeight="1" x14ac:dyDescent="0.15"/>
    <row r="43582" s="9" customFormat="1" ht="21.95" customHeight="1" x14ac:dyDescent="0.15"/>
    <row r="43583" s="9" customFormat="1" ht="21.95" customHeight="1" x14ac:dyDescent="0.15"/>
    <row r="43584" s="9" customFormat="1" ht="21.95" customHeight="1" x14ac:dyDescent="0.15"/>
    <row r="43585" s="9" customFormat="1" ht="21.95" customHeight="1" x14ac:dyDescent="0.15"/>
    <row r="43586" s="9" customFormat="1" ht="21.95" customHeight="1" x14ac:dyDescent="0.15"/>
    <row r="43587" s="9" customFormat="1" ht="21.95" customHeight="1" x14ac:dyDescent="0.15"/>
    <row r="43588" s="9" customFormat="1" ht="21.95" customHeight="1" x14ac:dyDescent="0.15"/>
    <row r="43589" s="9" customFormat="1" ht="21.95" customHeight="1" x14ac:dyDescent="0.15"/>
    <row r="43590" s="9" customFormat="1" ht="35.1" customHeight="1" x14ac:dyDescent="0.15"/>
    <row r="43591" s="9" customFormat="1" ht="21.95" customHeight="1" x14ac:dyDescent="0.15"/>
    <row r="43592" s="9" customFormat="1" ht="21.95" customHeight="1" x14ac:dyDescent="0.15"/>
    <row r="43593" s="9" customFormat="1" ht="21.95" customHeight="1" x14ac:dyDescent="0.15"/>
    <row r="43594" s="9" customFormat="1" ht="21.95" customHeight="1" x14ac:dyDescent="0.15"/>
    <row r="43595" s="9" customFormat="1" ht="21.95" customHeight="1" x14ac:dyDescent="0.15"/>
    <row r="43596" s="9" customFormat="1" ht="21.95" customHeight="1" x14ac:dyDescent="0.15"/>
    <row r="43597" s="9" customFormat="1" ht="21.95" customHeight="1" x14ac:dyDescent="0.15"/>
    <row r="43598" s="9" customFormat="1" ht="21.95" customHeight="1" x14ac:dyDescent="0.15"/>
    <row r="43599" s="9" customFormat="1" ht="21.95" customHeight="1" x14ac:dyDescent="0.15"/>
    <row r="43600" s="9" customFormat="1" ht="21.95" customHeight="1" x14ac:dyDescent="0.15"/>
    <row r="43601" spans="3:3" s="9" customFormat="1" ht="21.95" customHeight="1" x14ac:dyDescent="0.15"/>
    <row r="43602" spans="3:3" s="9" customFormat="1" ht="21.95" customHeight="1" x14ac:dyDescent="0.15"/>
    <row r="43603" spans="3:3" s="9" customFormat="1" ht="21.95" customHeight="1" x14ac:dyDescent="0.15"/>
    <row r="43604" spans="3:3" s="9" customFormat="1" ht="21.95" customHeight="1" x14ac:dyDescent="0.15"/>
    <row r="43605" spans="3:3" s="9" customFormat="1" ht="21.95" customHeight="1" x14ac:dyDescent="0.15"/>
    <row r="43606" spans="3:3" s="9" customFormat="1" ht="21.95" customHeight="1" x14ac:dyDescent="0.15"/>
    <row r="43607" spans="3:3" s="9" customFormat="1" ht="21.95" customHeight="1" x14ac:dyDescent="0.15"/>
    <row r="43608" spans="3:3" s="9" customFormat="1" ht="21.95" customHeight="1" x14ac:dyDescent="0.15"/>
    <row r="43609" spans="3:3" s="9" customFormat="1" ht="21.95" customHeight="1" x14ac:dyDescent="0.15"/>
    <row r="43610" spans="3:3" s="9" customFormat="1" ht="21.95" customHeight="1" x14ac:dyDescent="0.15"/>
    <row r="43611" spans="3:3" s="9" customFormat="1" ht="21.95" customHeight="1" x14ac:dyDescent="0.15"/>
    <row r="43612" spans="3:3" s="9" customFormat="1" ht="21.95" customHeight="1" x14ac:dyDescent="0.15"/>
    <row r="43613" spans="3:3" s="9" customFormat="1" ht="21.95" customHeight="1" x14ac:dyDescent="0.15"/>
    <row r="43614" spans="3:3" s="8" customFormat="1" ht="21.95" customHeight="1" x14ac:dyDescent="0.15"/>
    <row r="43615" spans="3:3" s="8" customFormat="1" ht="21.95" customHeight="1" x14ac:dyDescent="0.15"/>
    <row r="43616" spans="3:3" s="8" customFormat="1" ht="21.95" customHeight="1" x14ac:dyDescent="0.15">
      <c r="C43616" s="101"/>
    </row>
    <row r="43617" spans="3:3" s="8" customFormat="1" ht="21.95" customHeight="1" x14ac:dyDescent="0.15">
      <c r="C43617" s="101"/>
    </row>
    <row r="43618" spans="3:3" s="8" customFormat="1" ht="21.95" customHeight="1" x14ac:dyDescent="0.15"/>
    <row r="43619" spans="3:3" s="8" customFormat="1" ht="21.95" customHeight="1" x14ac:dyDescent="0.15"/>
    <row r="43620" spans="3:3" s="8" customFormat="1" ht="21.95" customHeight="1" x14ac:dyDescent="0.15"/>
    <row r="43621" spans="3:3" s="8" customFormat="1" ht="21.95" customHeight="1" x14ac:dyDescent="0.15"/>
    <row r="43622" spans="3:3" s="8" customFormat="1" ht="21.95" customHeight="1" x14ac:dyDescent="0.15"/>
    <row r="43623" spans="3:3" s="8" customFormat="1" ht="21.95" customHeight="1" x14ac:dyDescent="0.15"/>
    <row r="43624" spans="3:3" s="8" customFormat="1" ht="21.95" customHeight="1" x14ac:dyDescent="0.15"/>
    <row r="43625" spans="3:3" s="9" customFormat="1" ht="21.95" customHeight="1" x14ac:dyDescent="0.15"/>
    <row r="43626" spans="3:3" s="9" customFormat="1" ht="21.95" customHeight="1" x14ac:dyDescent="0.15"/>
    <row r="43627" spans="3:3" s="9" customFormat="1" ht="21.95" customHeight="1" x14ac:dyDescent="0.15"/>
    <row r="43628" spans="3:3" s="9" customFormat="1" ht="21.95" customHeight="1" x14ac:dyDescent="0.15"/>
    <row r="43629" spans="3:3" s="8" customFormat="1" ht="21.95" customHeight="1" x14ac:dyDescent="0.15"/>
    <row r="43630" spans="3:3" s="8" customFormat="1" ht="21.95" customHeight="1" x14ac:dyDescent="0.15"/>
    <row r="43631" spans="3:3" s="8" customFormat="1" ht="21.95" customHeight="1" x14ac:dyDescent="0.15"/>
    <row r="43632" spans="3:3" s="8" customFormat="1" ht="21.95" customHeight="1" x14ac:dyDescent="0.15"/>
    <row r="43633" s="8" customFormat="1" ht="21.95" customHeight="1" x14ac:dyDescent="0.15"/>
    <row r="43634" s="8" customFormat="1" ht="21.95" customHeight="1" x14ac:dyDescent="0.15"/>
    <row r="43635" s="8" customFormat="1" ht="21.95" customHeight="1" x14ac:dyDescent="0.15"/>
    <row r="43636" s="8" customFormat="1" ht="21.95" customHeight="1" x14ac:dyDescent="0.15"/>
    <row r="43637" s="8" customFormat="1" ht="21.95" customHeight="1" x14ac:dyDescent="0.15"/>
    <row r="43638" s="8" customFormat="1" ht="21.95" customHeight="1" x14ac:dyDescent="0.15"/>
    <row r="43639" s="8" customFormat="1" ht="21.95" customHeight="1" x14ac:dyDescent="0.15"/>
    <row r="43640" s="8" customFormat="1" ht="32.1" customHeight="1" x14ac:dyDescent="0.15"/>
    <row r="43641" s="8" customFormat="1" ht="32.1" customHeight="1" x14ac:dyDescent="0.15"/>
    <row r="43642" s="8" customFormat="1" ht="32.1" customHeight="1" x14ac:dyDescent="0.15"/>
    <row r="43643" s="8" customFormat="1" ht="32.1" customHeight="1" x14ac:dyDescent="0.15"/>
    <row r="43644" s="8" customFormat="1" ht="32.1" customHeight="1" x14ac:dyDescent="0.15"/>
    <row r="43645" s="8" customFormat="1" ht="32.1" customHeight="1" x14ac:dyDescent="0.15"/>
    <row r="43646" s="9" customFormat="1" ht="32.1" customHeight="1" x14ac:dyDescent="0.15"/>
    <row r="43647" s="9" customFormat="1" ht="32.1" customHeight="1" x14ac:dyDescent="0.15"/>
    <row r="43648" s="9" customFormat="1" ht="32.1" customHeight="1" x14ac:dyDescent="0.15"/>
    <row r="43649" s="9" customFormat="1" ht="32.1" customHeight="1" x14ac:dyDescent="0.15"/>
    <row r="43650" s="9" customFormat="1" ht="21.95" customHeight="1" x14ac:dyDescent="0.15"/>
    <row r="43651" s="9" customFormat="1" ht="54" customHeight="1" x14ac:dyDescent="0.15"/>
    <row r="43652" s="9" customFormat="1" ht="21.95" customHeight="1" x14ac:dyDescent="0.15"/>
    <row r="43653" s="9" customFormat="1" ht="21.95" customHeight="1" x14ac:dyDescent="0.15"/>
    <row r="43654" s="9" customFormat="1" ht="21.95" customHeight="1" x14ac:dyDescent="0.15"/>
    <row r="43655" s="9" customFormat="1" ht="21.95" customHeight="1" x14ac:dyDescent="0.15"/>
    <row r="43656" s="9" customFormat="1" ht="21.95" customHeight="1" x14ac:dyDescent="0.15"/>
    <row r="43657" s="9" customFormat="1" ht="21.95" customHeight="1" x14ac:dyDescent="0.15"/>
    <row r="43658" s="9" customFormat="1" ht="21.95" customHeight="1" x14ac:dyDescent="0.15"/>
    <row r="43659" s="9" customFormat="1" ht="21.95" customHeight="1" x14ac:dyDescent="0.15"/>
    <row r="43660" s="9" customFormat="1" ht="21.95" customHeight="1" x14ac:dyDescent="0.15"/>
    <row r="43661" s="9" customFormat="1" ht="21.95" customHeight="1" x14ac:dyDescent="0.15"/>
    <row r="43662" s="9" customFormat="1" ht="21.95" customHeight="1" x14ac:dyDescent="0.15"/>
    <row r="43663" s="9" customFormat="1" ht="21.95" customHeight="1" x14ac:dyDescent="0.15"/>
    <row r="43664" s="9" customFormat="1" ht="21.95" customHeight="1" x14ac:dyDescent="0.15"/>
    <row r="43665" s="9" customFormat="1" ht="21.95" customHeight="1" x14ac:dyDescent="0.15"/>
    <row r="43666" s="9" customFormat="1" ht="21.95" customHeight="1" x14ac:dyDescent="0.15"/>
    <row r="43667" s="9" customFormat="1" ht="21.95" customHeight="1" x14ac:dyDescent="0.15"/>
    <row r="43668" s="9" customFormat="1" ht="21.95" customHeight="1" x14ac:dyDescent="0.15"/>
    <row r="43669" s="9" customFormat="1" ht="21.95" customHeight="1" x14ac:dyDescent="0.15"/>
    <row r="43670" s="9" customFormat="1" ht="21.95" customHeight="1" x14ac:dyDescent="0.15"/>
    <row r="43671" s="9" customFormat="1" ht="21.95" customHeight="1" x14ac:dyDescent="0.15"/>
    <row r="43672" s="9" customFormat="1" ht="21.95" customHeight="1" x14ac:dyDescent="0.15"/>
    <row r="43673" s="9" customFormat="1" ht="21.95" customHeight="1" x14ac:dyDescent="0.15"/>
    <row r="43674" s="9" customFormat="1" ht="21.95" customHeight="1" x14ac:dyDescent="0.15"/>
    <row r="43675" s="9" customFormat="1" ht="21.95" customHeight="1" x14ac:dyDescent="0.15"/>
    <row r="43676" s="9" customFormat="1" ht="21.95" customHeight="1" x14ac:dyDescent="0.15"/>
    <row r="43677" s="9" customFormat="1" ht="21.95" customHeight="1" x14ac:dyDescent="0.15"/>
    <row r="43678" s="9" customFormat="1" ht="21.95" customHeight="1" x14ac:dyDescent="0.15"/>
    <row r="43679" s="9" customFormat="1" ht="21.95" customHeight="1" x14ac:dyDescent="0.15"/>
    <row r="43680" s="9" customFormat="1" ht="21.95" customHeight="1" x14ac:dyDescent="0.15"/>
    <row r="43681" s="9" customFormat="1" ht="21.95" customHeight="1" x14ac:dyDescent="0.15"/>
    <row r="43682" s="9" customFormat="1" ht="21.95" customHeight="1" x14ac:dyDescent="0.15"/>
    <row r="43683" s="9" customFormat="1" ht="21.95" customHeight="1" x14ac:dyDescent="0.15"/>
    <row r="43684" s="9" customFormat="1" ht="21.95" customHeight="1" x14ac:dyDescent="0.15"/>
    <row r="43685" s="9" customFormat="1" ht="21.95" customHeight="1" x14ac:dyDescent="0.15"/>
    <row r="43686" s="9" customFormat="1" ht="21.95" customHeight="1" x14ac:dyDescent="0.15"/>
    <row r="43687" s="9" customFormat="1" ht="21.95" customHeight="1" x14ac:dyDescent="0.15"/>
    <row r="43688" s="9" customFormat="1" ht="21.95" customHeight="1" x14ac:dyDescent="0.15"/>
    <row r="43689" s="9" customFormat="1" ht="21.95" customHeight="1" x14ac:dyDescent="0.15"/>
    <row r="43690" s="9" customFormat="1" ht="21.95" customHeight="1" x14ac:dyDescent="0.15"/>
    <row r="43691" s="9" customFormat="1" ht="21.95" customHeight="1" x14ac:dyDescent="0.15"/>
    <row r="43692" s="9" customFormat="1" ht="21.95" customHeight="1" x14ac:dyDescent="0.15"/>
    <row r="43693" s="9" customFormat="1" ht="21.95" customHeight="1" x14ac:dyDescent="0.15"/>
    <row r="43694" s="9" customFormat="1" ht="21.95" customHeight="1" x14ac:dyDescent="0.15"/>
    <row r="43695" s="9" customFormat="1" ht="21.95" customHeight="1" x14ac:dyDescent="0.15"/>
    <row r="43696" s="9" customFormat="1" ht="21.95" customHeight="1" x14ac:dyDescent="0.15"/>
    <row r="43697" s="9" customFormat="1" ht="21.95" customHeight="1" x14ac:dyDescent="0.15"/>
    <row r="43698" s="9" customFormat="1" ht="21.95" customHeight="1" x14ac:dyDescent="0.15"/>
    <row r="43699" s="9" customFormat="1" ht="21.95" customHeight="1" x14ac:dyDescent="0.15"/>
    <row r="43700" s="9" customFormat="1" ht="21.95" customHeight="1" x14ac:dyDescent="0.15"/>
    <row r="43701" s="9" customFormat="1" ht="21.95" customHeight="1" x14ac:dyDescent="0.15"/>
    <row r="43702" s="9" customFormat="1" ht="35.1" customHeight="1" x14ac:dyDescent="0.15"/>
    <row r="43703" s="9" customFormat="1" ht="21.95" customHeight="1" x14ac:dyDescent="0.15"/>
    <row r="43704" s="9" customFormat="1" ht="21.95" customHeight="1" x14ac:dyDescent="0.15"/>
    <row r="43705" s="9" customFormat="1" ht="21.95" customHeight="1" x14ac:dyDescent="0.15"/>
    <row r="43706" s="9" customFormat="1" ht="21.95" customHeight="1" x14ac:dyDescent="0.15"/>
    <row r="43707" s="9" customFormat="1" ht="21.95" customHeight="1" x14ac:dyDescent="0.15"/>
    <row r="43708" s="9" customFormat="1" ht="21.95" customHeight="1" x14ac:dyDescent="0.15"/>
    <row r="43709" s="9" customFormat="1" ht="21.95" customHeight="1" x14ac:dyDescent="0.15"/>
    <row r="43710" s="9" customFormat="1" ht="21.95" customHeight="1" x14ac:dyDescent="0.15"/>
    <row r="43711" s="9" customFormat="1" ht="21.95" customHeight="1" x14ac:dyDescent="0.15"/>
    <row r="43712" s="9" customFormat="1" ht="21.95" customHeight="1" x14ac:dyDescent="0.15"/>
    <row r="43713" spans="3:3" s="9" customFormat="1" ht="21.95" customHeight="1" x14ac:dyDescent="0.15"/>
    <row r="43714" spans="3:3" s="9" customFormat="1" ht="21.95" customHeight="1" x14ac:dyDescent="0.15"/>
    <row r="43715" spans="3:3" s="9" customFormat="1" ht="21.95" customHeight="1" x14ac:dyDescent="0.15"/>
    <row r="43716" spans="3:3" s="9" customFormat="1" ht="21.95" customHeight="1" x14ac:dyDescent="0.15"/>
    <row r="43717" spans="3:3" s="9" customFormat="1" ht="21.95" customHeight="1" x14ac:dyDescent="0.15"/>
    <row r="43718" spans="3:3" s="9" customFormat="1" ht="21.95" customHeight="1" x14ac:dyDescent="0.15"/>
    <row r="43719" spans="3:3" s="9" customFormat="1" ht="21.95" customHeight="1" x14ac:dyDescent="0.15"/>
    <row r="43720" spans="3:3" s="9" customFormat="1" ht="21.95" customHeight="1" x14ac:dyDescent="0.15"/>
    <row r="43721" spans="3:3" s="9" customFormat="1" ht="21.95" customHeight="1" x14ac:dyDescent="0.15"/>
    <row r="43722" spans="3:3" s="9" customFormat="1" ht="21.95" customHeight="1" x14ac:dyDescent="0.15"/>
    <row r="43723" spans="3:3" s="9" customFormat="1" ht="21.95" customHeight="1" x14ac:dyDescent="0.15"/>
    <row r="43724" spans="3:3" s="9" customFormat="1" ht="21.95" customHeight="1" x14ac:dyDescent="0.15"/>
    <row r="43725" spans="3:3" s="9" customFormat="1" ht="21.95" customHeight="1" x14ac:dyDescent="0.15"/>
    <row r="43726" spans="3:3" s="8" customFormat="1" ht="21.95" customHeight="1" x14ac:dyDescent="0.15"/>
    <row r="43727" spans="3:3" s="8" customFormat="1" ht="21.95" customHeight="1" x14ac:dyDescent="0.15"/>
    <row r="43728" spans="3:3" s="8" customFormat="1" ht="21.95" customHeight="1" x14ac:dyDescent="0.15">
      <c r="C43728" s="101"/>
    </row>
    <row r="43729" spans="3:3" s="8" customFormat="1" ht="21.95" customHeight="1" x14ac:dyDescent="0.15">
      <c r="C43729" s="101"/>
    </row>
    <row r="43730" spans="3:3" s="8" customFormat="1" ht="21.95" customHeight="1" x14ac:dyDescent="0.15"/>
    <row r="43731" spans="3:3" s="8" customFormat="1" ht="21.95" customHeight="1" x14ac:dyDescent="0.15"/>
    <row r="43732" spans="3:3" s="8" customFormat="1" ht="21.95" customHeight="1" x14ac:dyDescent="0.15"/>
    <row r="43733" spans="3:3" s="8" customFormat="1" ht="21.95" customHeight="1" x14ac:dyDescent="0.15"/>
    <row r="43734" spans="3:3" s="8" customFormat="1" ht="21.95" customHeight="1" x14ac:dyDescent="0.15"/>
    <row r="43735" spans="3:3" s="8" customFormat="1" ht="21.95" customHeight="1" x14ac:dyDescent="0.15"/>
    <row r="43736" spans="3:3" s="8" customFormat="1" ht="21.95" customHeight="1" x14ac:dyDescent="0.15"/>
    <row r="43737" spans="3:3" s="9" customFormat="1" ht="21.95" customHeight="1" x14ac:dyDescent="0.15"/>
    <row r="43738" spans="3:3" s="9" customFormat="1" ht="21.95" customHeight="1" x14ac:dyDescent="0.15"/>
    <row r="43739" spans="3:3" s="9" customFormat="1" ht="21.95" customHeight="1" x14ac:dyDescent="0.15"/>
    <row r="43740" spans="3:3" s="9" customFormat="1" ht="21.95" customHeight="1" x14ac:dyDescent="0.15"/>
    <row r="43741" spans="3:3" s="8" customFormat="1" ht="21.95" customHeight="1" x14ac:dyDescent="0.15"/>
    <row r="43742" spans="3:3" s="8" customFormat="1" ht="21.95" customHeight="1" x14ac:dyDescent="0.15"/>
    <row r="43743" spans="3:3" s="8" customFormat="1" ht="21.95" customHeight="1" x14ac:dyDescent="0.15"/>
    <row r="43744" spans="3:3" s="8" customFormat="1" ht="21.95" customHeight="1" x14ac:dyDescent="0.15"/>
    <row r="43745" s="8" customFormat="1" ht="21.95" customHeight="1" x14ac:dyDescent="0.15"/>
    <row r="43746" s="8" customFormat="1" ht="21.95" customHeight="1" x14ac:dyDescent="0.15"/>
    <row r="43747" s="8" customFormat="1" ht="21.95" customHeight="1" x14ac:dyDescent="0.15"/>
    <row r="43748" s="8" customFormat="1" ht="21.95" customHeight="1" x14ac:dyDescent="0.15"/>
    <row r="43749" s="8" customFormat="1" ht="21.95" customHeight="1" x14ac:dyDescent="0.15"/>
    <row r="43750" s="8" customFormat="1" ht="21.95" customHeight="1" x14ac:dyDescent="0.15"/>
    <row r="43751" s="8" customFormat="1" ht="21.95" customHeight="1" x14ac:dyDescent="0.15"/>
    <row r="43752" s="8" customFormat="1" ht="32.1" customHeight="1" x14ac:dyDescent="0.15"/>
    <row r="43753" s="8" customFormat="1" ht="32.1" customHeight="1" x14ac:dyDescent="0.15"/>
    <row r="43754" s="8" customFormat="1" ht="32.1" customHeight="1" x14ac:dyDescent="0.15"/>
    <row r="43755" s="8" customFormat="1" ht="32.1" customHeight="1" x14ac:dyDescent="0.15"/>
    <row r="43756" s="8" customFormat="1" ht="32.1" customHeight="1" x14ac:dyDescent="0.15"/>
    <row r="43757" s="8" customFormat="1" ht="32.1" customHeight="1" x14ac:dyDescent="0.15"/>
    <row r="43758" s="9" customFormat="1" ht="32.1" customHeight="1" x14ac:dyDescent="0.15"/>
    <row r="43759" s="9" customFormat="1" ht="32.1" customHeight="1" x14ac:dyDescent="0.15"/>
    <row r="43760" s="9" customFormat="1" ht="32.1" customHeight="1" x14ac:dyDescent="0.15"/>
    <row r="43761" s="9" customFormat="1" ht="32.1" customHeight="1" x14ac:dyDescent="0.15"/>
    <row r="43762" s="9" customFormat="1" ht="21.95" customHeight="1" x14ac:dyDescent="0.15"/>
    <row r="43763" s="9" customFormat="1" ht="54" customHeight="1" x14ac:dyDescent="0.15"/>
    <row r="43764" s="9" customFormat="1" ht="21.95" customHeight="1" x14ac:dyDescent="0.15"/>
    <row r="43765" s="9" customFormat="1" ht="21.95" customHeight="1" x14ac:dyDescent="0.15"/>
    <row r="43766" s="9" customFormat="1" ht="21.95" customHeight="1" x14ac:dyDescent="0.15"/>
    <row r="43767" s="9" customFormat="1" ht="21.95" customHeight="1" x14ac:dyDescent="0.15"/>
    <row r="43768" s="9" customFormat="1" ht="21.95" customHeight="1" x14ac:dyDescent="0.15"/>
    <row r="43769" s="9" customFormat="1" ht="21.95" customHeight="1" x14ac:dyDescent="0.15"/>
    <row r="43770" s="9" customFormat="1" ht="21.95" customHeight="1" x14ac:dyDescent="0.15"/>
    <row r="43771" s="9" customFormat="1" ht="21.95" customHeight="1" x14ac:dyDescent="0.15"/>
    <row r="43772" s="9" customFormat="1" ht="21.95" customHeight="1" x14ac:dyDescent="0.15"/>
    <row r="43773" s="9" customFormat="1" ht="21.95" customHeight="1" x14ac:dyDescent="0.15"/>
    <row r="43774" s="9" customFormat="1" ht="21.95" customHeight="1" x14ac:dyDescent="0.15"/>
    <row r="43775" s="9" customFormat="1" ht="21.95" customHeight="1" x14ac:dyDescent="0.15"/>
    <row r="43776" s="9" customFormat="1" ht="21.95" customHeight="1" x14ac:dyDescent="0.15"/>
    <row r="43777" s="9" customFormat="1" ht="21.95" customHeight="1" x14ac:dyDescent="0.15"/>
    <row r="43778" s="9" customFormat="1" ht="21.95" customHeight="1" x14ac:dyDescent="0.15"/>
    <row r="43779" s="9" customFormat="1" ht="21.95" customHeight="1" x14ac:dyDescent="0.15"/>
    <row r="43780" s="9" customFormat="1" ht="21.95" customHeight="1" x14ac:dyDescent="0.15"/>
    <row r="43781" s="9" customFormat="1" ht="21.95" customHeight="1" x14ac:dyDescent="0.15"/>
    <row r="43782" s="9" customFormat="1" ht="21.95" customHeight="1" x14ac:dyDescent="0.15"/>
    <row r="43783" s="9" customFormat="1" ht="21.95" customHeight="1" x14ac:dyDescent="0.15"/>
    <row r="43784" s="9" customFormat="1" ht="21.95" customHeight="1" x14ac:dyDescent="0.15"/>
    <row r="43785" s="9" customFormat="1" ht="21.95" customHeight="1" x14ac:dyDescent="0.15"/>
    <row r="43786" s="9" customFormat="1" ht="21.95" customHeight="1" x14ac:dyDescent="0.15"/>
    <row r="43787" s="9" customFormat="1" ht="21.95" customHeight="1" x14ac:dyDescent="0.15"/>
    <row r="43788" s="9" customFormat="1" ht="21.95" customHeight="1" x14ac:dyDescent="0.15"/>
    <row r="43789" s="9" customFormat="1" ht="21.95" customHeight="1" x14ac:dyDescent="0.15"/>
    <row r="43790" s="9" customFormat="1" ht="21.95" customHeight="1" x14ac:dyDescent="0.15"/>
    <row r="43791" s="9" customFormat="1" ht="21.95" customHeight="1" x14ac:dyDescent="0.15"/>
    <row r="43792" s="9" customFormat="1" ht="21.95" customHeight="1" x14ac:dyDescent="0.15"/>
    <row r="43793" s="9" customFormat="1" ht="21.95" customHeight="1" x14ac:dyDescent="0.15"/>
    <row r="43794" s="9" customFormat="1" ht="21.95" customHeight="1" x14ac:dyDescent="0.15"/>
    <row r="43795" s="9" customFormat="1" ht="21.95" customHeight="1" x14ac:dyDescent="0.15"/>
    <row r="43796" s="9" customFormat="1" ht="21.95" customHeight="1" x14ac:dyDescent="0.15"/>
    <row r="43797" s="9" customFormat="1" ht="21.95" customHeight="1" x14ac:dyDescent="0.15"/>
    <row r="43798" s="9" customFormat="1" ht="21.95" customHeight="1" x14ac:dyDescent="0.15"/>
    <row r="43799" s="9" customFormat="1" ht="21.95" customHeight="1" x14ac:dyDescent="0.15"/>
    <row r="43800" s="9" customFormat="1" ht="21.95" customHeight="1" x14ac:dyDescent="0.15"/>
    <row r="43801" s="9" customFormat="1" ht="21.95" customHeight="1" x14ac:dyDescent="0.15"/>
    <row r="43802" s="9" customFormat="1" ht="21.95" customHeight="1" x14ac:dyDescent="0.15"/>
    <row r="43803" s="9" customFormat="1" ht="21.95" customHeight="1" x14ac:dyDescent="0.15"/>
    <row r="43804" s="9" customFormat="1" ht="21.95" customHeight="1" x14ac:dyDescent="0.15"/>
    <row r="43805" s="9" customFormat="1" ht="21.95" customHeight="1" x14ac:dyDescent="0.15"/>
    <row r="43806" s="9" customFormat="1" ht="21.95" customHeight="1" x14ac:dyDescent="0.15"/>
    <row r="43807" s="9" customFormat="1" ht="21.95" customHeight="1" x14ac:dyDescent="0.15"/>
    <row r="43808" s="9" customFormat="1" ht="21.95" customHeight="1" x14ac:dyDescent="0.15"/>
    <row r="43809" s="9" customFormat="1" ht="21.95" customHeight="1" x14ac:dyDescent="0.15"/>
    <row r="43810" s="9" customFormat="1" ht="21.95" customHeight="1" x14ac:dyDescent="0.15"/>
    <row r="43811" s="9" customFormat="1" ht="21.95" customHeight="1" x14ac:dyDescent="0.15"/>
    <row r="43812" s="9" customFormat="1" ht="21.95" customHeight="1" x14ac:dyDescent="0.15"/>
    <row r="43813" s="9" customFormat="1" ht="21.95" customHeight="1" x14ac:dyDescent="0.15"/>
    <row r="43814" s="9" customFormat="1" ht="35.1" customHeight="1" x14ac:dyDescent="0.15"/>
    <row r="43815" s="9" customFormat="1" ht="21.95" customHeight="1" x14ac:dyDescent="0.15"/>
    <row r="43816" s="9" customFormat="1" ht="21.95" customHeight="1" x14ac:dyDescent="0.15"/>
    <row r="43817" s="9" customFormat="1" ht="21.95" customHeight="1" x14ac:dyDescent="0.15"/>
    <row r="43818" s="9" customFormat="1" ht="21.95" customHeight="1" x14ac:dyDescent="0.15"/>
    <row r="43819" s="9" customFormat="1" ht="21.95" customHeight="1" x14ac:dyDescent="0.15"/>
    <row r="43820" s="9" customFormat="1" ht="21.95" customHeight="1" x14ac:dyDescent="0.15"/>
    <row r="43821" s="9" customFormat="1" ht="21.95" customHeight="1" x14ac:dyDescent="0.15"/>
    <row r="43822" s="9" customFormat="1" ht="21.95" customHeight="1" x14ac:dyDescent="0.15"/>
    <row r="43823" s="9" customFormat="1" ht="21.95" customHeight="1" x14ac:dyDescent="0.15"/>
    <row r="43824" s="9" customFormat="1" ht="21.95" customHeight="1" x14ac:dyDescent="0.15"/>
    <row r="43825" spans="3:3" s="9" customFormat="1" ht="21.95" customHeight="1" x14ac:dyDescent="0.15"/>
    <row r="43826" spans="3:3" s="9" customFormat="1" ht="21.95" customHeight="1" x14ac:dyDescent="0.15"/>
    <row r="43827" spans="3:3" s="9" customFormat="1" ht="21.95" customHeight="1" x14ac:dyDescent="0.15"/>
    <row r="43828" spans="3:3" s="9" customFormat="1" ht="21.95" customHeight="1" x14ac:dyDescent="0.15"/>
    <row r="43829" spans="3:3" s="9" customFormat="1" ht="21.95" customHeight="1" x14ac:dyDescent="0.15"/>
    <row r="43830" spans="3:3" s="9" customFormat="1" ht="21.95" customHeight="1" x14ac:dyDescent="0.15"/>
    <row r="43831" spans="3:3" s="9" customFormat="1" ht="21.95" customHeight="1" x14ac:dyDescent="0.15"/>
    <row r="43832" spans="3:3" s="9" customFormat="1" ht="21.95" customHeight="1" x14ac:dyDescent="0.15"/>
    <row r="43833" spans="3:3" s="9" customFormat="1" ht="21.95" customHeight="1" x14ac:dyDescent="0.15"/>
    <row r="43834" spans="3:3" s="9" customFormat="1" ht="21.95" customHeight="1" x14ac:dyDescent="0.15"/>
    <row r="43835" spans="3:3" s="9" customFormat="1" ht="21.95" customHeight="1" x14ac:dyDescent="0.15"/>
    <row r="43836" spans="3:3" s="9" customFormat="1" ht="21.95" customHeight="1" x14ac:dyDescent="0.15"/>
    <row r="43837" spans="3:3" s="9" customFormat="1" ht="21.95" customHeight="1" x14ac:dyDescent="0.15"/>
    <row r="43838" spans="3:3" s="8" customFormat="1" ht="21.95" customHeight="1" x14ac:dyDescent="0.15"/>
    <row r="43839" spans="3:3" s="8" customFormat="1" ht="21.95" customHeight="1" x14ac:dyDescent="0.15"/>
    <row r="43840" spans="3:3" s="8" customFormat="1" ht="21.95" customHeight="1" x14ac:dyDescent="0.15">
      <c r="C43840" s="101"/>
    </row>
    <row r="43841" spans="3:3" s="8" customFormat="1" ht="21.95" customHeight="1" x14ac:dyDescent="0.15">
      <c r="C43841" s="101"/>
    </row>
    <row r="43842" spans="3:3" s="8" customFormat="1" ht="21.95" customHeight="1" x14ac:dyDescent="0.15"/>
    <row r="43843" spans="3:3" s="8" customFormat="1" ht="21.95" customHeight="1" x14ac:dyDescent="0.15"/>
    <row r="43844" spans="3:3" s="8" customFormat="1" ht="21.95" customHeight="1" x14ac:dyDescent="0.15"/>
    <row r="43845" spans="3:3" s="8" customFormat="1" ht="21.95" customHeight="1" x14ac:dyDescent="0.15"/>
    <row r="43846" spans="3:3" s="8" customFormat="1" ht="21.95" customHeight="1" x14ac:dyDescent="0.15"/>
    <row r="43847" spans="3:3" s="8" customFormat="1" ht="21.95" customHeight="1" x14ac:dyDescent="0.15"/>
    <row r="43848" spans="3:3" s="8" customFormat="1" ht="21.95" customHeight="1" x14ac:dyDescent="0.15"/>
    <row r="43849" spans="3:3" s="9" customFormat="1" ht="21.95" customHeight="1" x14ac:dyDescent="0.15"/>
    <row r="43850" spans="3:3" s="9" customFormat="1" ht="21.95" customHeight="1" x14ac:dyDescent="0.15"/>
    <row r="43851" spans="3:3" s="9" customFormat="1" ht="21.95" customHeight="1" x14ac:dyDescent="0.15"/>
    <row r="43852" spans="3:3" s="9" customFormat="1" ht="21.95" customHeight="1" x14ac:dyDescent="0.15"/>
    <row r="43853" spans="3:3" s="8" customFormat="1" ht="21.95" customHeight="1" x14ac:dyDescent="0.15"/>
    <row r="43854" spans="3:3" s="8" customFormat="1" ht="21.95" customHeight="1" x14ac:dyDescent="0.15"/>
    <row r="43855" spans="3:3" s="8" customFormat="1" ht="21.95" customHeight="1" x14ac:dyDescent="0.15"/>
    <row r="43856" spans="3:3" s="8" customFormat="1" ht="21.95" customHeight="1" x14ac:dyDescent="0.15"/>
    <row r="43857" s="8" customFormat="1" ht="21.95" customHeight="1" x14ac:dyDescent="0.15"/>
    <row r="43858" s="8" customFormat="1" ht="21.95" customHeight="1" x14ac:dyDescent="0.15"/>
    <row r="43859" s="8" customFormat="1" ht="21.95" customHeight="1" x14ac:dyDescent="0.15"/>
    <row r="43860" s="8" customFormat="1" ht="21.95" customHeight="1" x14ac:dyDescent="0.15"/>
    <row r="43861" s="8" customFormat="1" ht="21.95" customHeight="1" x14ac:dyDescent="0.15"/>
    <row r="43862" s="8" customFormat="1" ht="21.95" customHeight="1" x14ac:dyDescent="0.15"/>
    <row r="43863" s="8" customFormat="1" ht="21.95" customHeight="1" x14ac:dyDescent="0.15"/>
    <row r="43864" s="8" customFormat="1" ht="32.1" customHeight="1" x14ac:dyDescent="0.15"/>
    <row r="43865" s="8" customFormat="1" ht="32.1" customHeight="1" x14ac:dyDescent="0.15"/>
    <row r="43866" s="8" customFormat="1" ht="32.1" customHeight="1" x14ac:dyDescent="0.15"/>
    <row r="43867" s="8" customFormat="1" ht="32.1" customHeight="1" x14ac:dyDescent="0.15"/>
    <row r="43868" s="8" customFormat="1" ht="32.1" customHeight="1" x14ac:dyDescent="0.15"/>
    <row r="43869" s="8" customFormat="1" ht="32.1" customHeight="1" x14ac:dyDescent="0.15"/>
    <row r="43870" s="9" customFormat="1" ht="32.1" customHeight="1" x14ac:dyDescent="0.15"/>
    <row r="43871" s="9" customFormat="1" ht="32.1" customHeight="1" x14ac:dyDescent="0.15"/>
    <row r="43872" s="9" customFormat="1" ht="32.1" customHeight="1" x14ac:dyDescent="0.15"/>
    <row r="43873" s="9" customFormat="1" ht="32.1" customHeight="1" x14ac:dyDescent="0.15"/>
    <row r="43874" s="9" customFormat="1" ht="21.95" customHeight="1" x14ac:dyDescent="0.15"/>
    <row r="43875" s="9" customFormat="1" ht="54" customHeight="1" x14ac:dyDescent="0.15"/>
    <row r="43876" s="9" customFormat="1" ht="21.95" customHeight="1" x14ac:dyDescent="0.15"/>
    <row r="43877" s="9" customFormat="1" ht="21.95" customHeight="1" x14ac:dyDescent="0.15"/>
    <row r="43878" s="9" customFormat="1" ht="21.95" customHeight="1" x14ac:dyDescent="0.15"/>
    <row r="43879" s="9" customFormat="1" ht="21.95" customHeight="1" x14ac:dyDescent="0.15"/>
    <row r="43880" s="9" customFormat="1" ht="21.95" customHeight="1" x14ac:dyDescent="0.15"/>
    <row r="43881" s="9" customFormat="1" ht="21.95" customHeight="1" x14ac:dyDescent="0.15"/>
    <row r="43882" s="9" customFormat="1" ht="21.95" customHeight="1" x14ac:dyDescent="0.15"/>
    <row r="43883" s="9" customFormat="1" ht="21.95" customHeight="1" x14ac:dyDescent="0.15"/>
    <row r="43884" s="9" customFormat="1" ht="21.95" customHeight="1" x14ac:dyDescent="0.15"/>
    <row r="43885" s="9" customFormat="1" ht="21.95" customHeight="1" x14ac:dyDescent="0.15"/>
    <row r="43886" s="9" customFormat="1" ht="21.95" customHeight="1" x14ac:dyDescent="0.15"/>
    <row r="43887" s="9" customFormat="1" ht="21.95" customHeight="1" x14ac:dyDescent="0.15"/>
    <row r="43888" s="9" customFormat="1" ht="21.95" customHeight="1" x14ac:dyDescent="0.15"/>
    <row r="43889" s="9" customFormat="1" ht="21.95" customHeight="1" x14ac:dyDescent="0.15"/>
    <row r="43890" s="9" customFormat="1" ht="21.95" customHeight="1" x14ac:dyDescent="0.15"/>
    <row r="43891" s="9" customFormat="1" ht="21.95" customHeight="1" x14ac:dyDescent="0.15"/>
    <row r="43892" s="9" customFormat="1" ht="21.95" customHeight="1" x14ac:dyDescent="0.15"/>
    <row r="43893" s="9" customFormat="1" ht="21.95" customHeight="1" x14ac:dyDescent="0.15"/>
    <row r="43894" s="9" customFormat="1" ht="21.95" customHeight="1" x14ac:dyDescent="0.15"/>
    <row r="43895" s="9" customFormat="1" ht="21.95" customHeight="1" x14ac:dyDescent="0.15"/>
    <row r="43896" s="9" customFormat="1" ht="21.95" customHeight="1" x14ac:dyDescent="0.15"/>
    <row r="43897" s="9" customFormat="1" ht="21.95" customHeight="1" x14ac:dyDescent="0.15"/>
    <row r="43898" s="9" customFormat="1" ht="21.95" customHeight="1" x14ac:dyDescent="0.15"/>
    <row r="43899" s="9" customFormat="1" ht="21.95" customHeight="1" x14ac:dyDescent="0.15"/>
    <row r="43900" s="9" customFormat="1" ht="21.95" customHeight="1" x14ac:dyDescent="0.15"/>
    <row r="43901" s="9" customFormat="1" ht="21.95" customHeight="1" x14ac:dyDescent="0.15"/>
    <row r="43902" s="9" customFormat="1" ht="21.95" customHeight="1" x14ac:dyDescent="0.15"/>
    <row r="43903" s="9" customFormat="1" ht="21.95" customHeight="1" x14ac:dyDescent="0.15"/>
    <row r="43904" s="9" customFormat="1" ht="21.95" customHeight="1" x14ac:dyDescent="0.15"/>
    <row r="43905" s="9" customFormat="1" ht="21.95" customHeight="1" x14ac:dyDescent="0.15"/>
    <row r="43906" s="9" customFormat="1" ht="21.95" customHeight="1" x14ac:dyDescent="0.15"/>
    <row r="43907" s="9" customFormat="1" ht="21.95" customHeight="1" x14ac:dyDescent="0.15"/>
    <row r="43908" s="9" customFormat="1" ht="21.95" customHeight="1" x14ac:dyDescent="0.15"/>
    <row r="43909" s="9" customFormat="1" ht="21.95" customHeight="1" x14ac:dyDescent="0.15"/>
    <row r="43910" s="9" customFormat="1" ht="21.95" customHeight="1" x14ac:dyDescent="0.15"/>
    <row r="43911" s="9" customFormat="1" ht="21.95" customHeight="1" x14ac:dyDescent="0.15"/>
    <row r="43912" s="9" customFormat="1" ht="21.95" customHeight="1" x14ac:dyDescent="0.15"/>
    <row r="43913" s="9" customFormat="1" ht="21.95" customHeight="1" x14ac:dyDescent="0.15"/>
    <row r="43914" s="9" customFormat="1" ht="21.95" customHeight="1" x14ac:dyDescent="0.15"/>
    <row r="43915" s="9" customFormat="1" ht="21.95" customHeight="1" x14ac:dyDescent="0.15"/>
    <row r="43916" s="9" customFormat="1" ht="21.95" customHeight="1" x14ac:dyDescent="0.15"/>
    <row r="43917" s="9" customFormat="1" ht="21.95" customHeight="1" x14ac:dyDescent="0.15"/>
    <row r="43918" s="9" customFormat="1" ht="21.95" customHeight="1" x14ac:dyDescent="0.15"/>
    <row r="43919" s="9" customFormat="1" ht="21.95" customHeight="1" x14ac:dyDescent="0.15"/>
    <row r="43920" s="9" customFormat="1" ht="21.95" customHeight="1" x14ac:dyDescent="0.15"/>
    <row r="43921" s="9" customFormat="1" ht="21.95" customHeight="1" x14ac:dyDescent="0.15"/>
    <row r="43922" s="9" customFormat="1" ht="21.95" customHeight="1" x14ac:dyDescent="0.15"/>
    <row r="43923" s="9" customFormat="1" ht="21.95" customHeight="1" x14ac:dyDescent="0.15"/>
    <row r="43924" s="9" customFormat="1" ht="21.95" customHeight="1" x14ac:dyDescent="0.15"/>
    <row r="43925" s="9" customFormat="1" ht="21.95" customHeight="1" x14ac:dyDescent="0.15"/>
    <row r="43926" s="9" customFormat="1" ht="35.1" customHeight="1" x14ac:dyDescent="0.15"/>
    <row r="43927" s="9" customFormat="1" ht="21.95" customHeight="1" x14ac:dyDescent="0.15"/>
    <row r="43928" s="9" customFormat="1" ht="21.95" customHeight="1" x14ac:dyDescent="0.15"/>
    <row r="43929" s="9" customFormat="1" ht="21.95" customHeight="1" x14ac:dyDescent="0.15"/>
    <row r="43930" s="9" customFormat="1" ht="21.95" customHeight="1" x14ac:dyDescent="0.15"/>
    <row r="43931" s="9" customFormat="1" ht="21.95" customHeight="1" x14ac:dyDescent="0.15"/>
    <row r="43932" s="9" customFormat="1" ht="21.95" customHeight="1" x14ac:dyDescent="0.15"/>
    <row r="43933" s="9" customFormat="1" ht="21.95" customHeight="1" x14ac:dyDescent="0.15"/>
    <row r="43934" s="9" customFormat="1" ht="21.95" customHeight="1" x14ac:dyDescent="0.15"/>
    <row r="43935" s="9" customFormat="1" ht="21.95" customHeight="1" x14ac:dyDescent="0.15"/>
    <row r="43936" s="9" customFormat="1" ht="21.95" customHeight="1" x14ac:dyDescent="0.15"/>
    <row r="43937" spans="3:3" s="9" customFormat="1" ht="21.95" customHeight="1" x14ac:dyDescent="0.15"/>
    <row r="43938" spans="3:3" s="9" customFormat="1" ht="21.95" customHeight="1" x14ac:dyDescent="0.15"/>
    <row r="43939" spans="3:3" s="9" customFormat="1" ht="21.95" customHeight="1" x14ac:dyDescent="0.15"/>
    <row r="43940" spans="3:3" s="9" customFormat="1" ht="21.95" customHeight="1" x14ac:dyDescent="0.15"/>
    <row r="43941" spans="3:3" s="9" customFormat="1" ht="21.95" customHeight="1" x14ac:dyDescent="0.15"/>
    <row r="43942" spans="3:3" s="9" customFormat="1" ht="21.95" customHeight="1" x14ac:dyDescent="0.15"/>
    <row r="43943" spans="3:3" s="9" customFormat="1" ht="21.95" customHeight="1" x14ac:dyDescent="0.15"/>
    <row r="43944" spans="3:3" s="9" customFormat="1" ht="21.95" customHeight="1" x14ac:dyDescent="0.15"/>
    <row r="43945" spans="3:3" s="9" customFormat="1" ht="21.95" customHeight="1" x14ac:dyDescent="0.15"/>
    <row r="43946" spans="3:3" s="9" customFormat="1" ht="21.95" customHeight="1" x14ac:dyDescent="0.15"/>
    <row r="43947" spans="3:3" s="9" customFormat="1" ht="21.95" customHeight="1" x14ac:dyDescent="0.15"/>
    <row r="43948" spans="3:3" s="9" customFormat="1" ht="21.95" customHeight="1" x14ac:dyDescent="0.15"/>
    <row r="43949" spans="3:3" s="9" customFormat="1" ht="21.95" customHeight="1" x14ac:dyDescent="0.15"/>
    <row r="43950" spans="3:3" s="8" customFormat="1" ht="21.95" customHeight="1" x14ac:dyDescent="0.15"/>
    <row r="43951" spans="3:3" s="8" customFormat="1" ht="21.95" customHeight="1" x14ac:dyDescent="0.15"/>
    <row r="43952" spans="3:3" s="8" customFormat="1" ht="21.95" customHeight="1" x14ac:dyDescent="0.15">
      <c r="C43952" s="101"/>
    </row>
    <row r="43953" spans="3:3" s="8" customFormat="1" ht="21.95" customHeight="1" x14ac:dyDescent="0.15">
      <c r="C43953" s="101"/>
    </row>
    <row r="43954" spans="3:3" s="8" customFormat="1" ht="21.95" customHeight="1" x14ac:dyDescent="0.15"/>
    <row r="43955" spans="3:3" s="8" customFormat="1" ht="21.95" customHeight="1" x14ac:dyDescent="0.15"/>
    <row r="43956" spans="3:3" s="8" customFormat="1" ht="21.95" customHeight="1" x14ac:dyDescent="0.15"/>
    <row r="43957" spans="3:3" s="8" customFormat="1" ht="21.95" customHeight="1" x14ac:dyDescent="0.15"/>
    <row r="43958" spans="3:3" s="8" customFormat="1" ht="21.95" customHeight="1" x14ac:dyDescent="0.15"/>
    <row r="43959" spans="3:3" s="8" customFormat="1" ht="21.95" customHeight="1" x14ac:dyDescent="0.15"/>
    <row r="43960" spans="3:3" s="8" customFormat="1" ht="21.95" customHeight="1" x14ac:dyDescent="0.15"/>
    <row r="43961" spans="3:3" s="9" customFormat="1" ht="21.95" customHeight="1" x14ac:dyDescent="0.15"/>
    <row r="43962" spans="3:3" s="9" customFormat="1" ht="21.95" customHeight="1" x14ac:dyDescent="0.15"/>
    <row r="43963" spans="3:3" s="9" customFormat="1" ht="21.95" customHeight="1" x14ac:dyDescent="0.15"/>
    <row r="43964" spans="3:3" s="9" customFormat="1" ht="21.95" customHeight="1" x14ac:dyDescent="0.15"/>
    <row r="43965" spans="3:3" s="8" customFormat="1" ht="21.95" customHeight="1" x14ac:dyDescent="0.15"/>
    <row r="43966" spans="3:3" s="8" customFormat="1" ht="21.95" customHeight="1" x14ac:dyDescent="0.15"/>
    <row r="43967" spans="3:3" s="8" customFormat="1" ht="21.95" customHeight="1" x14ac:dyDescent="0.15"/>
    <row r="43968" spans="3:3" s="8" customFormat="1" ht="21.95" customHeight="1" x14ac:dyDescent="0.15"/>
    <row r="43969" s="8" customFormat="1" ht="21.95" customHeight="1" x14ac:dyDescent="0.15"/>
    <row r="43970" s="8" customFormat="1" ht="21.95" customHeight="1" x14ac:dyDescent="0.15"/>
    <row r="43971" s="8" customFormat="1" ht="21.95" customHeight="1" x14ac:dyDescent="0.15"/>
    <row r="43972" s="8" customFormat="1" ht="21.95" customHeight="1" x14ac:dyDescent="0.15"/>
    <row r="43973" s="8" customFormat="1" ht="21.95" customHeight="1" x14ac:dyDescent="0.15"/>
    <row r="43974" s="8" customFormat="1" ht="21.95" customHeight="1" x14ac:dyDescent="0.15"/>
    <row r="43975" s="8" customFormat="1" ht="21.95" customHeight="1" x14ac:dyDescent="0.15"/>
    <row r="43976" s="8" customFormat="1" ht="32.1" customHeight="1" x14ac:dyDescent="0.15"/>
    <row r="43977" s="8" customFormat="1" ht="32.1" customHeight="1" x14ac:dyDescent="0.15"/>
    <row r="43978" s="8" customFormat="1" ht="32.1" customHeight="1" x14ac:dyDescent="0.15"/>
    <row r="43979" s="8" customFormat="1" ht="32.1" customHeight="1" x14ac:dyDescent="0.15"/>
    <row r="43980" s="8" customFormat="1" ht="32.1" customHeight="1" x14ac:dyDescent="0.15"/>
    <row r="43981" s="8" customFormat="1" ht="32.1" customHeight="1" x14ac:dyDescent="0.15"/>
    <row r="43982" s="9" customFormat="1" ht="32.1" customHeight="1" x14ac:dyDescent="0.15"/>
    <row r="43983" s="9" customFormat="1" ht="32.1" customHeight="1" x14ac:dyDescent="0.15"/>
    <row r="43984" s="9" customFormat="1" ht="32.1" customHeight="1" x14ac:dyDescent="0.15"/>
    <row r="43985" s="9" customFormat="1" ht="32.1" customHeight="1" x14ac:dyDescent="0.15"/>
    <row r="43986" s="9" customFormat="1" ht="21.95" customHeight="1" x14ac:dyDescent="0.15"/>
    <row r="43987" s="9" customFormat="1" ht="54" customHeight="1" x14ac:dyDescent="0.15"/>
    <row r="43988" s="9" customFormat="1" ht="21.95" customHeight="1" x14ac:dyDescent="0.15"/>
    <row r="43989" s="9" customFormat="1" ht="21.95" customHeight="1" x14ac:dyDescent="0.15"/>
    <row r="43990" s="9" customFormat="1" ht="21.95" customHeight="1" x14ac:dyDescent="0.15"/>
    <row r="43991" s="9" customFormat="1" ht="21.95" customHeight="1" x14ac:dyDescent="0.15"/>
    <row r="43992" s="9" customFormat="1" ht="21.95" customHeight="1" x14ac:dyDescent="0.15"/>
    <row r="43993" s="9" customFormat="1" ht="21.95" customHeight="1" x14ac:dyDescent="0.15"/>
    <row r="43994" s="9" customFormat="1" ht="21.95" customHeight="1" x14ac:dyDescent="0.15"/>
    <row r="43995" s="9" customFormat="1" ht="21.95" customHeight="1" x14ac:dyDescent="0.15"/>
    <row r="43996" s="9" customFormat="1" ht="21.95" customHeight="1" x14ac:dyDescent="0.15"/>
    <row r="43997" s="9" customFormat="1" ht="21.95" customHeight="1" x14ac:dyDescent="0.15"/>
    <row r="43998" s="9" customFormat="1" ht="21.95" customHeight="1" x14ac:dyDescent="0.15"/>
    <row r="43999" s="9" customFormat="1" ht="21.95" customHeight="1" x14ac:dyDescent="0.15"/>
    <row r="44000" s="9" customFormat="1" ht="21.95" customHeight="1" x14ac:dyDescent="0.15"/>
    <row r="44001" s="9" customFormat="1" ht="21.95" customHeight="1" x14ac:dyDescent="0.15"/>
    <row r="44002" s="9" customFormat="1" ht="21.95" customHeight="1" x14ac:dyDescent="0.15"/>
    <row r="44003" s="9" customFormat="1" ht="21.95" customHeight="1" x14ac:dyDescent="0.15"/>
    <row r="44004" s="9" customFormat="1" ht="21.95" customHeight="1" x14ac:dyDescent="0.15"/>
    <row r="44005" s="9" customFormat="1" ht="21.95" customHeight="1" x14ac:dyDescent="0.15"/>
    <row r="44006" s="9" customFormat="1" ht="21.95" customHeight="1" x14ac:dyDescent="0.15"/>
    <row r="44007" s="9" customFormat="1" ht="21.95" customHeight="1" x14ac:dyDescent="0.15"/>
    <row r="44008" s="9" customFormat="1" ht="21.95" customHeight="1" x14ac:dyDescent="0.15"/>
    <row r="44009" s="9" customFormat="1" ht="21.95" customHeight="1" x14ac:dyDescent="0.15"/>
    <row r="44010" s="9" customFormat="1" ht="21.95" customHeight="1" x14ac:dyDescent="0.15"/>
    <row r="44011" s="9" customFormat="1" ht="21.95" customHeight="1" x14ac:dyDescent="0.15"/>
    <row r="44012" s="9" customFormat="1" ht="21.95" customHeight="1" x14ac:dyDescent="0.15"/>
    <row r="44013" s="9" customFormat="1" ht="21.95" customHeight="1" x14ac:dyDescent="0.15"/>
    <row r="44014" s="9" customFormat="1" ht="21.95" customHeight="1" x14ac:dyDescent="0.15"/>
    <row r="44015" s="9" customFormat="1" ht="21.95" customHeight="1" x14ac:dyDescent="0.15"/>
    <row r="44016" s="9" customFormat="1" ht="21.95" customHeight="1" x14ac:dyDescent="0.15"/>
    <row r="44017" s="9" customFormat="1" ht="21.95" customHeight="1" x14ac:dyDescent="0.15"/>
    <row r="44018" s="9" customFormat="1" ht="21.95" customHeight="1" x14ac:dyDescent="0.15"/>
    <row r="44019" s="9" customFormat="1" ht="21.95" customHeight="1" x14ac:dyDescent="0.15"/>
    <row r="44020" s="9" customFormat="1" ht="21.95" customHeight="1" x14ac:dyDescent="0.15"/>
    <row r="44021" s="9" customFormat="1" ht="21.95" customHeight="1" x14ac:dyDescent="0.15"/>
    <row r="44022" s="9" customFormat="1" ht="21.95" customHeight="1" x14ac:dyDescent="0.15"/>
    <row r="44023" s="9" customFormat="1" ht="21.95" customHeight="1" x14ac:dyDescent="0.15"/>
    <row r="44024" s="9" customFormat="1" ht="21.95" customHeight="1" x14ac:dyDescent="0.15"/>
    <row r="44025" s="9" customFormat="1" ht="21.95" customHeight="1" x14ac:dyDescent="0.15"/>
    <row r="44026" s="9" customFormat="1" ht="21.95" customHeight="1" x14ac:dyDescent="0.15"/>
    <row r="44027" s="9" customFormat="1" ht="21.95" customHeight="1" x14ac:dyDescent="0.15"/>
    <row r="44028" s="9" customFormat="1" ht="21.95" customHeight="1" x14ac:dyDescent="0.15"/>
    <row r="44029" s="9" customFormat="1" ht="21.95" customHeight="1" x14ac:dyDescent="0.15"/>
    <row r="44030" s="9" customFormat="1" ht="21.95" customHeight="1" x14ac:dyDescent="0.15"/>
    <row r="44031" s="9" customFormat="1" ht="21.95" customHeight="1" x14ac:dyDescent="0.15"/>
    <row r="44032" s="9" customFormat="1" ht="21.95" customHeight="1" x14ac:dyDescent="0.15"/>
    <row r="44033" s="9" customFormat="1" ht="21.95" customHeight="1" x14ac:dyDescent="0.15"/>
    <row r="44034" s="9" customFormat="1" ht="21.95" customHeight="1" x14ac:dyDescent="0.15"/>
    <row r="44035" s="9" customFormat="1" ht="21.95" customHeight="1" x14ac:dyDescent="0.15"/>
    <row r="44036" s="9" customFormat="1" ht="21.95" customHeight="1" x14ac:dyDescent="0.15"/>
    <row r="44037" s="9" customFormat="1" ht="21.95" customHeight="1" x14ac:dyDescent="0.15"/>
    <row r="44038" s="9" customFormat="1" ht="35.1" customHeight="1" x14ac:dyDescent="0.15"/>
    <row r="44039" s="9" customFormat="1" ht="21.95" customHeight="1" x14ac:dyDescent="0.15"/>
    <row r="44040" s="9" customFormat="1" ht="21.95" customHeight="1" x14ac:dyDescent="0.15"/>
    <row r="44041" s="9" customFormat="1" ht="21.95" customHeight="1" x14ac:dyDescent="0.15"/>
    <row r="44042" s="9" customFormat="1" ht="21.95" customHeight="1" x14ac:dyDescent="0.15"/>
    <row r="44043" s="9" customFormat="1" ht="21.95" customHeight="1" x14ac:dyDescent="0.15"/>
    <row r="44044" s="9" customFormat="1" ht="21.95" customHeight="1" x14ac:dyDescent="0.15"/>
    <row r="44045" s="9" customFormat="1" ht="21.95" customHeight="1" x14ac:dyDescent="0.15"/>
    <row r="44046" s="9" customFormat="1" ht="21.95" customHeight="1" x14ac:dyDescent="0.15"/>
    <row r="44047" s="9" customFormat="1" ht="21.95" customHeight="1" x14ac:dyDescent="0.15"/>
    <row r="44048" s="9" customFormat="1" ht="21.95" customHeight="1" x14ac:dyDescent="0.15"/>
    <row r="44049" spans="3:3" s="9" customFormat="1" ht="21.95" customHeight="1" x14ac:dyDescent="0.15"/>
    <row r="44050" spans="3:3" s="9" customFormat="1" ht="21.95" customHeight="1" x14ac:dyDescent="0.15"/>
    <row r="44051" spans="3:3" s="9" customFormat="1" ht="21.95" customHeight="1" x14ac:dyDescent="0.15"/>
    <row r="44052" spans="3:3" s="9" customFormat="1" ht="21.95" customHeight="1" x14ac:dyDescent="0.15"/>
    <row r="44053" spans="3:3" s="9" customFormat="1" ht="21.95" customHeight="1" x14ac:dyDescent="0.15"/>
    <row r="44054" spans="3:3" s="9" customFormat="1" ht="21.95" customHeight="1" x14ac:dyDescent="0.15"/>
    <row r="44055" spans="3:3" s="9" customFormat="1" ht="21.95" customHeight="1" x14ac:dyDescent="0.15"/>
    <row r="44056" spans="3:3" s="9" customFormat="1" ht="21.95" customHeight="1" x14ac:dyDescent="0.15"/>
    <row r="44057" spans="3:3" s="9" customFormat="1" ht="21.95" customHeight="1" x14ac:dyDescent="0.15"/>
    <row r="44058" spans="3:3" s="9" customFormat="1" ht="21.95" customHeight="1" x14ac:dyDescent="0.15"/>
    <row r="44059" spans="3:3" s="9" customFormat="1" ht="21.95" customHeight="1" x14ac:dyDescent="0.15"/>
    <row r="44060" spans="3:3" s="9" customFormat="1" ht="21.95" customHeight="1" x14ac:dyDescent="0.15"/>
    <row r="44061" spans="3:3" s="9" customFormat="1" ht="21.95" customHeight="1" x14ac:dyDescent="0.15"/>
    <row r="44062" spans="3:3" s="8" customFormat="1" ht="21.95" customHeight="1" x14ac:dyDescent="0.15"/>
    <row r="44063" spans="3:3" s="8" customFormat="1" ht="21.95" customHeight="1" x14ac:dyDescent="0.15"/>
    <row r="44064" spans="3:3" s="8" customFormat="1" ht="21.95" customHeight="1" x14ac:dyDescent="0.15">
      <c r="C44064" s="101"/>
    </row>
    <row r="44065" spans="3:3" s="8" customFormat="1" ht="21.95" customHeight="1" x14ac:dyDescent="0.15">
      <c r="C44065" s="101"/>
    </row>
    <row r="44066" spans="3:3" s="8" customFormat="1" ht="21.95" customHeight="1" x14ac:dyDescent="0.15"/>
    <row r="44067" spans="3:3" s="8" customFormat="1" ht="21.95" customHeight="1" x14ac:dyDescent="0.15"/>
    <row r="44068" spans="3:3" s="8" customFormat="1" ht="21.95" customHeight="1" x14ac:dyDescent="0.15"/>
    <row r="44069" spans="3:3" s="8" customFormat="1" ht="21.95" customHeight="1" x14ac:dyDescent="0.15"/>
    <row r="44070" spans="3:3" s="8" customFormat="1" ht="21.95" customHeight="1" x14ac:dyDescent="0.15"/>
    <row r="44071" spans="3:3" s="8" customFormat="1" ht="21.95" customHeight="1" x14ac:dyDescent="0.15"/>
    <row r="44072" spans="3:3" s="8" customFormat="1" ht="21.95" customHeight="1" x14ac:dyDescent="0.15"/>
    <row r="44073" spans="3:3" s="9" customFormat="1" ht="21.95" customHeight="1" x14ac:dyDescent="0.15"/>
    <row r="44074" spans="3:3" s="9" customFormat="1" ht="21.95" customHeight="1" x14ac:dyDescent="0.15"/>
    <row r="44075" spans="3:3" s="9" customFormat="1" ht="21.95" customHeight="1" x14ac:dyDescent="0.15"/>
    <row r="44076" spans="3:3" s="9" customFormat="1" ht="21.95" customHeight="1" x14ac:dyDescent="0.15"/>
    <row r="44077" spans="3:3" s="8" customFormat="1" ht="21.95" customHeight="1" x14ac:dyDescent="0.15"/>
    <row r="44078" spans="3:3" s="8" customFormat="1" ht="21.95" customHeight="1" x14ac:dyDescent="0.15"/>
    <row r="44079" spans="3:3" s="8" customFormat="1" ht="21.95" customHeight="1" x14ac:dyDescent="0.15"/>
    <row r="44080" spans="3:3" s="8" customFormat="1" ht="21.95" customHeight="1" x14ac:dyDescent="0.15"/>
    <row r="44081" s="8" customFormat="1" ht="21.95" customHeight="1" x14ac:dyDescent="0.15"/>
    <row r="44082" s="8" customFormat="1" ht="21.95" customHeight="1" x14ac:dyDescent="0.15"/>
    <row r="44083" s="8" customFormat="1" ht="21.95" customHeight="1" x14ac:dyDescent="0.15"/>
    <row r="44084" s="8" customFormat="1" ht="21.95" customHeight="1" x14ac:dyDescent="0.15"/>
    <row r="44085" s="8" customFormat="1" ht="21.95" customHeight="1" x14ac:dyDescent="0.15"/>
    <row r="44086" s="8" customFormat="1" ht="21.95" customHeight="1" x14ac:dyDescent="0.15"/>
    <row r="44087" s="8" customFormat="1" ht="21.95" customHeight="1" x14ac:dyDescent="0.15"/>
    <row r="44088" s="8" customFormat="1" ht="32.1" customHeight="1" x14ac:dyDescent="0.15"/>
    <row r="44089" s="8" customFormat="1" ht="32.1" customHeight="1" x14ac:dyDescent="0.15"/>
    <row r="44090" s="8" customFormat="1" ht="32.1" customHeight="1" x14ac:dyDescent="0.15"/>
    <row r="44091" s="8" customFormat="1" ht="32.1" customHeight="1" x14ac:dyDescent="0.15"/>
    <row r="44092" s="8" customFormat="1" ht="32.1" customHeight="1" x14ac:dyDescent="0.15"/>
    <row r="44093" s="8" customFormat="1" ht="32.1" customHeight="1" x14ac:dyDescent="0.15"/>
    <row r="44094" s="9" customFormat="1" ht="32.1" customHeight="1" x14ac:dyDescent="0.15"/>
    <row r="44095" s="9" customFormat="1" ht="32.1" customHeight="1" x14ac:dyDescent="0.15"/>
    <row r="44096" s="9" customFormat="1" ht="32.1" customHeight="1" x14ac:dyDescent="0.15"/>
    <row r="44097" s="9" customFormat="1" ht="32.1" customHeight="1" x14ac:dyDescent="0.15"/>
    <row r="44098" s="9" customFormat="1" ht="21.95" customHeight="1" x14ac:dyDescent="0.15"/>
    <row r="44099" s="9" customFormat="1" ht="54" customHeight="1" x14ac:dyDescent="0.15"/>
    <row r="44100" s="9" customFormat="1" ht="21.95" customHeight="1" x14ac:dyDescent="0.15"/>
    <row r="44101" s="9" customFormat="1" ht="21.95" customHeight="1" x14ac:dyDescent="0.15"/>
    <row r="44102" s="9" customFormat="1" ht="21.95" customHeight="1" x14ac:dyDescent="0.15"/>
    <row r="44103" s="9" customFormat="1" ht="21.95" customHeight="1" x14ac:dyDescent="0.15"/>
    <row r="44104" s="9" customFormat="1" ht="21.95" customHeight="1" x14ac:dyDescent="0.15"/>
    <row r="44105" s="9" customFormat="1" ht="21.95" customHeight="1" x14ac:dyDescent="0.15"/>
    <row r="44106" s="9" customFormat="1" ht="21.95" customHeight="1" x14ac:dyDescent="0.15"/>
    <row r="44107" s="9" customFormat="1" ht="21.95" customHeight="1" x14ac:dyDescent="0.15"/>
    <row r="44108" s="9" customFormat="1" ht="21.95" customHeight="1" x14ac:dyDescent="0.15"/>
    <row r="44109" s="9" customFormat="1" ht="21.95" customHeight="1" x14ac:dyDescent="0.15"/>
    <row r="44110" s="9" customFormat="1" ht="21.95" customHeight="1" x14ac:dyDescent="0.15"/>
    <row r="44111" s="9" customFormat="1" ht="21.95" customHeight="1" x14ac:dyDescent="0.15"/>
    <row r="44112" s="9" customFormat="1" ht="21.95" customHeight="1" x14ac:dyDescent="0.15"/>
    <row r="44113" s="9" customFormat="1" ht="21.95" customHeight="1" x14ac:dyDescent="0.15"/>
    <row r="44114" s="9" customFormat="1" ht="21.95" customHeight="1" x14ac:dyDescent="0.15"/>
    <row r="44115" s="9" customFormat="1" ht="21.95" customHeight="1" x14ac:dyDescent="0.15"/>
    <row r="44116" s="9" customFormat="1" ht="21.95" customHeight="1" x14ac:dyDescent="0.15"/>
    <row r="44117" s="9" customFormat="1" ht="21.95" customHeight="1" x14ac:dyDescent="0.15"/>
    <row r="44118" s="9" customFormat="1" ht="21.95" customHeight="1" x14ac:dyDescent="0.15"/>
    <row r="44119" s="9" customFormat="1" ht="21.95" customHeight="1" x14ac:dyDescent="0.15"/>
    <row r="44120" s="9" customFormat="1" ht="21.95" customHeight="1" x14ac:dyDescent="0.15"/>
    <row r="44121" s="9" customFormat="1" ht="21.95" customHeight="1" x14ac:dyDescent="0.15"/>
    <row r="44122" s="9" customFormat="1" ht="21.95" customHeight="1" x14ac:dyDescent="0.15"/>
    <row r="44123" s="9" customFormat="1" ht="21.95" customHeight="1" x14ac:dyDescent="0.15"/>
    <row r="44124" s="9" customFormat="1" ht="21.95" customHeight="1" x14ac:dyDescent="0.15"/>
    <row r="44125" s="9" customFormat="1" ht="21.95" customHeight="1" x14ac:dyDescent="0.15"/>
    <row r="44126" s="9" customFormat="1" ht="21.95" customHeight="1" x14ac:dyDescent="0.15"/>
    <row r="44127" s="9" customFormat="1" ht="21.95" customHeight="1" x14ac:dyDescent="0.15"/>
    <row r="44128" s="9" customFormat="1" ht="21.95" customHeight="1" x14ac:dyDescent="0.15"/>
    <row r="44129" s="9" customFormat="1" ht="21.95" customHeight="1" x14ac:dyDescent="0.15"/>
    <row r="44130" s="9" customFormat="1" ht="21.95" customHeight="1" x14ac:dyDescent="0.15"/>
    <row r="44131" s="9" customFormat="1" ht="21.95" customHeight="1" x14ac:dyDescent="0.15"/>
    <row r="44132" s="9" customFormat="1" ht="21.95" customHeight="1" x14ac:dyDescent="0.15"/>
    <row r="44133" s="9" customFormat="1" ht="21.95" customHeight="1" x14ac:dyDescent="0.15"/>
    <row r="44134" s="9" customFormat="1" ht="21.95" customHeight="1" x14ac:dyDescent="0.15"/>
    <row r="44135" s="9" customFormat="1" ht="21.95" customHeight="1" x14ac:dyDescent="0.15"/>
    <row r="44136" s="9" customFormat="1" ht="21.95" customHeight="1" x14ac:dyDescent="0.15"/>
    <row r="44137" s="9" customFormat="1" ht="21.95" customHeight="1" x14ac:dyDescent="0.15"/>
    <row r="44138" s="9" customFormat="1" ht="21.95" customHeight="1" x14ac:dyDescent="0.15"/>
    <row r="44139" s="9" customFormat="1" ht="21.95" customHeight="1" x14ac:dyDescent="0.15"/>
    <row r="44140" s="9" customFormat="1" ht="21.95" customHeight="1" x14ac:dyDescent="0.15"/>
    <row r="44141" s="9" customFormat="1" ht="21.95" customHeight="1" x14ac:dyDescent="0.15"/>
    <row r="44142" s="9" customFormat="1" ht="21.95" customHeight="1" x14ac:dyDescent="0.15"/>
    <row r="44143" s="9" customFormat="1" ht="21.95" customHeight="1" x14ac:dyDescent="0.15"/>
    <row r="44144" s="9" customFormat="1" ht="21.95" customHeight="1" x14ac:dyDescent="0.15"/>
    <row r="44145" s="9" customFormat="1" ht="21.95" customHeight="1" x14ac:dyDescent="0.15"/>
    <row r="44146" s="9" customFormat="1" ht="21.95" customHeight="1" x14ac:dyDescent="0.15"/>
    <row r="44147" s="9" customFormat="1" ht="21.95" customHeight="1" x14ac:dyDescent="0.15"/>
    <row r="44148" s="9" customFormat="1" ht="21.95" customHeight="1" x14ac:dyDescent="0.15"/>
    <row r="44149" s="9" customFormat="1" ht="21.95" customHeight="1" x14ac:dyDescent="0.15"/>
    <row r="44150" s="9" customFormat="1" ht="35.1" customHeight="1" x14ac:dyDescent="0.15"/>
    <row r="44151" s="9" customFormat="1" ht="21.95" customHeight="1" x14ac:dyDescent="0.15"/>
    <row r="44152" s="9" customFormat="1" ht="21.95" customHeight="1" x14ac:dyDescent="0.15"/>
    <row r="44153" s="9" customFormat="1" ht="21.95" customHeight="1" x14ac:dyDescent="0.15"/>
    <row r="44154" s="9" customFormat="1" ht="21.95" customHeight="1" x14ac:dyDescent="0.15"/>
    <row r="44155" s="9" customFormat="1" ht="21.95" customHeight="1" x14ac:dyDescent="0.15"/>
    <row r="44156" s="9" customFormat="1" ht="21.95" customHeight="1" x14ac:dyDescent="0.15"/>
    <row r="44157" s="9" customFormat="1" ht="21.95" customHeight="1" x14ac:dyDescent="0.15"/>
    <row r="44158" s="9" customFormat="1" ht="21.95" customHeight="1" x14ac:dyDescent="0.15"/>
    <row r="44159" s="9" customFormat="1" ht="21.95" customHeight="1" x14ac:dyDescent="0.15"/>
    <row r="44160" s="9" customFormat="1" ht="21.95" customHeight="1" x14ac:dyDescent="0.15"/>
    <row r="44161" spans="3:3" s="9" customFormat="1" ht="21.95" customHeight="1" x14ac:dyDescent="0.15"/>
    <row r="44162" spans="3:3" s="9" customFormat="1" ht="21.95" customHeight="1" x14ac:dyDescent="0.15"/>
    <row r="44163" spans="3:3" s="9" customFormat="1" ht="21.95" customHeight="1" x14ac:dyDescent="0.15"/>
    <row r="44164" spans="3:3" s="9" customFormat="1" ht="21.95" customHeight="1" x14ac:dyDescent="0.15"/>
    <row r="44165" spans="3:3" s="9" customFormat="1" ht="21.95" customHeight="1" x14ac:dyDescent="0.15"/>
    <row r="44166" spans="3:3" s="9" customFormat="1" ht="21.95" customHeight="1" x14ac:dyDescent="0.15"/>
    <row r="44167" spans="3:3" s="9" customFormat="1" ht="21.95" customHeight="1" x14ac:dyDescent="0.15"/>
    <row r="44168" spans="3:3" s="9" customFormat="1" ht="21.95" customHeight="1" x14ac:dyDescent="0.15"/>
    <row r="44169" spans="3:3" s="9" customFormat="1" ht="21.95" customHeight="1" x14ac:dyDescent="0.15"/>
    <row r="44170" spans="3:3" s="9" customFormat="1" ht="21.95" customHeight="1" x14ac:dyDescent="0.15"/>
    <row r="44171" spans="3:3" s="9" customFormat="1" ht="21.95" customHeight="1" x14ac:dyDescent="0.15"/>
    <row r="44172" spans="3:3" s="9" customFormat="1" ht="21.95" customHeight="1" x14ac:dyDescent="0.15"/>
    <row r="44173" spans="3:3" s="9" customFormat="1" ht="21.95" customHeight="1" x14ac:dyDescent="0.15"/>
    <row r="44174" spans="3:3" s="8" customFormat="1" ht="21.95" customHeight="1" x14ac:dyDescent="0.15"/>
    <row r="44175" spans="3:3" s="8" customFormat="1" ht="21.95" customHeight="1" x14ac:dyDescent="0.15"/>
    <row r="44176" spans="3:3" s="8" customFormat="1" ht="21.95" customHeight="1" x14ac:dyDescent="0.15">
      <c r="C44176" s="101"/>
    </row>
    <row r="44177" spans="3:3" s="8" customFormat="1" ht="21.95" customHeight="1" x14ac:dyDescent="0.15">
      <c r="C44177" s="101"/>
    </row>
    <row r="44178" spans="3:3" s="8" customFormat="1" ht="21.95" customHeight="1" x14ac:dyDescent="0.15"/>
    <row r="44179" spans="3:3" s="8" customFormat="1" ht="21.95" customHeight="1" x14ac:dyDescent="0.15"/>
    <row r="44180" spans="3:3" s="8" customFormat="1" ht="21.95" customHeight="1" x14ac:dyDescent="0.15"/>
    <row r="44181" spans="3:3" s="8" customFormat="1" ht="21.95" customHeight="1" x14ac:dyDescent="0.15"/>
    <row r="44182" spans="3:3" s="8" customFormat="1" ht="21.95" customHeight="1" x14ac:dyDescent="0.15"/>
    <row r="44183" spans="3:3" s="8" customFormat="1" ht="21.95" customHeight="1" x14ac:dyDescent="0.15"/>
    <row r="44184" spans="3:3" s="8" customFormat="1" ht="21.95" customHeight="1" x14ac:dyDescent="0.15"/>
    <row r="44185" spans="3:3" s="9" customFormat="1" ht="21.95" customHeight="1" x14ac:dyDescent="0.15"/>
    <row r="44186" spans="3:3" s="9" customFormat="1" ht="21.95" customHeight="1" x14ac:dyDescent="0.15"/>
    <row r="44187" spans="3:3" s="9" customFormat="1" ht="21.95" customHeight="1" x14ac:dyDescent="0.15"/>
    <row r="44188" spans="3:3" s="9" customFormat="1" ht="21.95" customHeight="1" x14ac:dyDescent="0.15"/>
    <row r="44189" spans="3:3" s="8" customFormat="1" ht="21.95" customHeight="1" x14ac:dyDescent="0.15"/>
    <row r="44190" spans="3:3" s="8" customFormat="1" ht="21.95" customHeight="1" x14ac:dyDescent="0.15"/>
    <row r="44191" spans="3:3" s="8" customFormat="1" ht="21.95" customHeight="1" x14ac:dyDescent="0.15"/>
    <row r="44192" spans="3:3" s="8" customFormat="1" ht="21.95" customHeight="1" x14ac:dyDescent="0.15"/>
    <row r="44193" s="8" customFormat="1" ht="21.95" customHeight="1" x14ac:dyDescent="0.15"/>
    <row r="44194" s="8" customFormat="1" ht="21.95" customHeight="1" x14ac:dyDescent="0.15"/>
    <row r="44195" s="8" customFormat="1" ht="21.95" customHeight="1" x14ac:dyDescent="0.15"/>
    <row r="44196" s="8" customFormat="1" ht="21.95" customHeight="1" x14ac:dyDescent="0.15"/>
    <row r="44197" s="8" customFormat="1" ht="21.95" customHeight="1" x14ac:dyDescent="0.15"/>
    <row r="44198" s="8" customFormat="1" ht="21.95" customHeight="1" x14ac:dyDescent="0.15"/>
    <row r="44199" s="8" customFormat="1" ht="21.95" customHeight="1" x14ac:dyDescent="0.15"/>
    <row r="44200" s="8" customFormat="1" ht="32.1" customHeight="1" x14ac:dyDescent="0.15"/>
    <row r="44201" s="8" customFormat="1" ht="32.1" customHeight="1" x14ac:dyDescent="0.15"/>
    <row r="44202" s="8" customFormat="1" ht="32.1" customHeight="1" x14ac:dyDescent="0.15"/>
    <row r="44203" s="8" customFormat="1" ht="32.1" customHeight="1" x14ac:dyDescent="0.15"/>
    <row r="44204" s="8" customFormat="1" ht="32.1" customHeight="1" x14ac:dyDescent="0.15"/>
    <row r="44205" s="8" customFormat="1" ht="32.1" customHeight="1" x14ac:dyDescent="0.15"/>
    <row r="44206" s="9" customFormat="1" ht="32.1" customHeight="1" x14ac:dyDescent="0.15"/>
    <row r="44207" s="9" customFormat="1" ht="32.1" customHeight="1" x14ac:dyDescent="0.15"/>
    <row r="44208" s="9" customFormat="1" ht="32.1" customHeight="1" x14ac:dyDescent="0.15"/>
    <row r="44209" s="9" customFormat="1" ht="32.1" customHeight="1" x14ac:dyDescent="0.15"/>
    <row r="44210" s="9" customFormat="1" ht="21.95" customHeight="1" x14ac:dyDescent="0.15"/>
    <row r="44211" s="9" customFormat="1" ht="54" customHeight="1" x14ac:dyDescent="0.15"/>
    <row r="44212" s="9" customFormat="1" ht="21.95" customHeight="1" x14ac:dyDescent="0.15"/>
    <row r="44213" s="9" customFormat="1" ht="21.95" customHeight="1" x14ac:dyDescent="0.15"/>
    <row r="44214" s="9" customFormat="1" ht="21.95" customHeight="1" x14ac:dyDescent="0.15"/>
    <row r="44215" s="9" customFormat="1" ht="21.95" customHeight="1" x14ac:dyDescent="0.15"/>
    <row r="44216" s="9" customFormat="1" ht="21.95" customHeight="1" x14ac:dyDescent="0.15"/>
    <row r="44217" s="9" customFormat="1" ht="21.95" customHeight="1" x14ac:dyDescent="0.15"/>
    <row r="44218" s="9" customFormat="1" ht="21.95" customHeight="1" x14ac:dyDescent="0.15"/>
    <row r="44219" s="9" customFormat="1" ht="21.95" customHeight="1" x14ac:dyDescent="0.15"/>
    <row r="44220" s="9" customFormat="1" ht="21.95" customHeight="1" x14ac:dyDescent="0.15"/>
    <row r="44221" s="9" customFormat="1" ht="21.95" customHeight="1" x14ac:dyDescent="0.15"/>
    <row r="44222" s="9" customFormat="1" ht="21.95" customHeight="1" x14ac:dyDescent="0.15"/>
    <row r="44223" s="9" customFormat="1" ht="21.95" customHeight="1" x14ac:dyDescent="0.15"/>
    <row r="44224" s="9" customFormat="1" ht="21.95" customHeight="1" x14ac:dyDescent="0.15"/>
    <row r="44225" s="9" customFormat="1" ht="21.95" customHeight="1" x14ac:dyDescent="0.15"/>
    <row r="44226" s="9" customFormat="1" ht="21.95" customHeight="1" x14ac:dyDescent="0.15"/>
    <row r="44227" s="9" customFormat="1" ht="21.95" customHeight="1" x14ac:dyDescent="0.15"/>
    <row r="44228" s="9" customFormat="1" ht="21.95" customHeight="1" x14ac:dyDescent="0.15"/>
    <row r="44229" s="9" customFormat="1" ht="21.95" customHeight="1" x14ac:dyDescent="0.15"/>
    <row r="44230" s="9" customFormat="1" ht="21.95" customHeight="1" x14ac:dyDescent="0.15"/>
    <row r="44231" s="9" customFormat="1" ht="21.95" customHeight="1" x14ac:dyDescent="0.15"/>
    <row r="44232" s="9" customFormat="1" ht="21.95" customHeight="1" x14ac:dyDescent="0.15"/>
    <row r="44233" s="9" customFormat="1" ht="21.95" customHeight="1" x14ac:dyDescent="0.15"/>
    <row r="44234" s="9" customFormat="1" ht="21.95" customHeight="1" x14ac:dyDescent="0.15"/>
    <row r="44235" s="9" customFormat="1" ht="21.95" customHeight="1" x14ac:dyDescent="0.15"/>
    <row r="44236" s="9" customFormat="1" ht="21.95" customHeight="1" x14ac:dyDescent="0.15"/>
    <row r="44237" s="9" customFormat="1" ht="21.95" customHeight="1" x14ac:dyDescent="0.15"/>
    <row r="44238" s="9" customFormat="1" ht="21.95" customHeight="1" x14ac:dyDescent="0.15"/>
    <row r="44239" s="9" customFormat="1" ht="21.95" customHeight="1" x14ac:dyDescent="0.15"/>
    <row r="44240" s="9" customFormat="1" ht="21.95" customHeight="1" x14ac:dyDescent="0.15"/>
    <row r="44241" s="9" customFormat="1" ht="21.95" customHeight="1" x14ac:dyDescent="0.15"/>
    <row r="44242" s="9" customFormat="1" ht="21.95" customHeight="1" x14ac:dyDescent="0.15"/>
    <row r="44243" s="9" customFormat="1" ht="21.95" customHeight="1" x14ac:dyDescent="0.15"/>
    <row r="44244" s="9" customFormat="1" ht="21.95" customHeight="1" x14ac:dyDescent="0.15"/>
    <row r="44245" s="9" customFormat="1" ht="21.95" customHeight="1" x14ac:dyDescent="0.15"/>
    <row r="44246" s="9" customFormat="1" ht="21.95" customHeight="1" x14ac:dyDescent="0.15"/>
    <row r="44247" s="9" customFormat="1" ht="21.95" customHeight="1" x14ac:dyDescent="0.15"/>
    <row r="44248" s="9" customFormat="1" ht="21.95" customHeight="1" x14ac:dyDescent="0.15"/>
    <row r="44249" s="9" customFormat="1" ht="21.95" customHeight="1" x14ac:dyDescent="0.15"/>
    <row r="44250" s="9" customFormat="1" ht="21.95" customHeight="1" x14ac:dyDescent="0.15"/>
    <row r="44251" s="9" customFormat="1" ht="21.95" customHeight="1" x14ac:dyDescent="0.15"/>
    <row r="44252" s="9" customFormat="1" ht="21.95" customHeight="1" x14ac:dyDescent="0.15"/>
    <row r="44253" s="9" customFormat="1" ht="21.95" customHeight="1" x14ac:dyDescent="0.15"/>
    <row r="44254" s="9" customFormat="1" ht="21.95" customHeight="1" x14ac:dyDescent="0.15"/>
    <row r="44255" s="9" customFormat="1" ht="21.95" customHeight="1" x14ac:dyDescent="0.15"/>
    <row r="44256" s="9" customFormat="1" ht="21.95" customHeight="1" x14ac:dyDescent="0.15"/>
    <row r="44257" s="9" customFormat="1" ht="21.95" customHeight="1" x14ac:dyDescent="0.15"/>
    <row r="44258" s="9" customFormat="1" ht="21.95" customHeight="1" x14ac:dyDescent="0.15"/>
    <row r="44259" s="9" customFormat="1" ht="21.95" customHeight="1" x14ac:dyDescent="0.15"/>
    <row r="44260" s="9" customFormat="1" ht="21.95" customHeight="1" x14ac:dyDescent="0.15"/>
    <row r="44261" s="9" customFormat="1" ht="21.95" customHeight="1" x14ac:dyDescent="0.15"/>
    <row r="44262" s="9" customFormat="1" ht="35.1" customHeight="1" x14ac:dyDescent="0.15"/>
    <row r="44263" s="9" customFormat="1" ht="21.95" customHeight="1" x14ac:dyDescent="0.15"/>
    <row r="44264" s="9" customFormat="1" ht="21.95" customHeight="1" x14ac:dyDescent="0.15"/>
    <row r="44265" s="9" customFormat="1" ht="21.95" customHeight="1" x14ac:dyDescent="0.15"/>
    <row r="44266" s="9" customFormat="1" ht="21.95" customHeight="1" x14ac:dyDescent="0.15"/>
    <row r="44267" s="9" customFormat="1" ht="21.95" customHeight="1" x14ac:dyDescent="0.15"/>
    <row r="44268" s="9" customFormat="1" ht="21.95" customHeight="1" x14ac:dyDescent="0.15"/>
    <row r="44269" s="9" customFormat="1" ht="21.95" customHeight="1" x14ac:dyDescent="0.15"/>
    <row r="44270" s="9" customFormat="1" ht="21.95" customHeight="1" x14ac:dyDescent="0.15"/>
    <row r="44271" s="9" customFormat="1" ht="21.95" customHeight="1" x14ac:dyDescent="0.15"/>
    <row r="44272" s="9" customFormat="1" ht="21.95" customHeight="1" x14ac:dyDescent="0.15"/>
    <row r="44273" spans="3:3" s="9" customFormat="1" ht="21.95" customHeight="1" x14ac:dyDescent="0.15"/>
    <row r="44274" spans="3:3" s="9" customFormat="1" ht="21.95" customHeight="1" x14ac:dyDescent="0.15"/>
    <row r="44275" spans="3:3" s="9" customFormat="1" ht="21.95" customHeight="1" x14ac:dyDescent="0.15"/>
    <row r="44276" spans="3:3" s="9" customFormat="1" ht="21.95" customHeight="1" x14ac:dyDescent="0.15"/>
    <row r="44277" spans="3:3" s="9" customFormat="1" ht="21.95" customHeight="1" x14ac:dyDescent="0.15"/>
    <row r="44278" spans="3:3" s="9" customFormat="1" ht="21.95" customHeight="1" x14ac:dyDescent="0.15"/>
    <row r="44279" spans="3:3" s="9" customFormat="1" ht="21.95" customHeight="1" x14ac:dyDescent="0.15"/>
    <row r="44280" spans="3:3" s="9" customFormat="1" ht="21.95" customHeight="1" x14ac:dyDescent="0.15"/>
    <row r="44281" spans="3:3" s="9" customFormat="1" ht="21.95" customHeight="1" x14ac:dyDescent="0.15"/>
    <row r="44282" spans="3:3" s="9" customFormat="1" ht="21.95" customHeight="1" x14ac:dyDescent="0.15"/>
    <row r="44283" spans="3:3" s="9" customFormat="1" ht="21.95" customHeight="1" x14ac:dyDescent="0.15"/>
    <row r="44284" spans="3:3" s="9" customFormat="1" ht="21.95" customHeight="1" x14ac:dyDescent="0.15"/>
    <row r="44285" spans="3:3" s="9" customFormat="1" ht="21.95" customHeight="1" x14ac:dyDescent="0.15"/>
    <row r="44286" spans="3:3" s="8" customFormat="1" ht="21.95" customHeight="1" x14ac:dyDescent="0.15"/>
    <row r="44287" spans="3:3" s="8" customFormat="1" ht="21.95" customHeight="1" x14ac:dyDescent="0.15"/>
    <row r="44288" spans="3:3" s="8" customFormat="1" ht="21.95" customHeight="1" x14ac:dyDescent="0.15">
      <c r="C44288" s="101"/>
    </row>
    <row r="44289" spans="3:3" s="8" customFormat="1" ht="21.95" customHeight="1" x14ac:dyDescent="0.15">
      <c r="C44289" s="101"/>
    </row>
    <row r="44290" spans="3:3" s="8" customFormat="1" ht="21.95" customHeight="1" x14ac:dyDescent="0.15"/>
    <row r="44291" spans="3:3" s="8" customFormat="1" ht="21.95" customHeight="1" x14ac:dyDescent="0.15"/>
    <row r="44292" spans="3:3" s="8" customFormat="1" ht="21.95" customHeight="1" x14ac:dyDescent="0.15"/>
    <row r="44293" spans="3:3" s="8" customFormat="1" ht="21.95" customHeight="1" x14ac:dyDescent="0.15"/>
    <row r="44294" spans="3:3" s="8" customFormat="1" ht="21.95" customHeight="1" x14ac:dyDescent="0.15"/>
    <row r="44295" spans="3:3" s="8" customFormat="1" ht="21.95" customHeight="1" x14ac:dyDescent="0.15"/>
    <row r="44296" spans="3:3" s="8" customFormat="1" ht="21.95" customHeight="1" x14ac:dyDescent="0.15"/>
    <row r="44297" spans="3:3" s="9" customFormat="1" ht="21.95" customHeight="1" x14ac:dyDescent="0.15"/>
    <row r="44298" spans="3:3" s="9" customFormat="1" ht="21.95" customHeight="1" x14ac:dyDescent="0.15"/>
    <row r="44299" spans="3:3" s="9" customFormat="1" ht="21.95" customHeight="1" x14ac:dyDescent="0.15"/>
    <row r="44300" spans="3:3" s="9" customFormat="1" ht="21.95" customHeight="1" x14ac:dyDescent="0.15"/>
    <row r="44301" spans="3:3" s="8" customFormat="1" ht="21.95" customHeight="1" x14ac:dyDescent="0.15"/>
    <row r="44302" spans="3:3" s="8" customFormat="1" ht="21.95" customHeight="1" x14ac:dyDescent="0.15"/>
    <row r="44303" spans="3:3" s="8" customFormat="1" ht="21.95" customHeight="1" x14ac:dyDescent="0.15"/>
    <row r="44304" spans="3:3" s="8" customFormat="1" ht="21.95" customHeight="1" x14ac:dyDescent="0.15"/>
    <row r="44305" s="8" customFormat="1" ht="21.95" customHeight="1" x14ac:dyDescent="0.15"/>
    <row r="44306" s="8" customFormat="1" ht="21.95" customHeight="1" x14ac:dyDescent="0.15"/>
    <row r="44307" s="8" customFormat="1" ht="21.95" customHeight="1" x14ac:dyDescent="0.15"/>
    <row r="44308" s="8" customFormat="1" ht="21.95" customHeight="1" x14ac:dyDescent="0.15"/>
    <row r="44309" s="8" customFormat="1" ht="21.95" customHeight="1" x14ac:dyDescent="0.15"/>
    <row r="44310" s="8" customFormat="1" ht="21.95" customHeight="1" x14ac:dyDescent="0.15"/>
    <row r="44311" s="8" customFormat="1" ht="21.95" customHeight="1" x14ac:dyDescent="0.15"/>
    <row r="44312" s="8" customFormat="1" ht="32.1" customHeight="1" x14ac:dyDescent="0.15"/>
    <row r="44313" s="8" customFormat="1" ht="32.1" customHeight="1" x14ac:dyDescent="0.15"/>
    <row r="44314" s="8" customFormat="1" ht="32.1" customHeight="1" x14ac:dyDescent="0.15"/>
    <row r="44315" s="8" customFormat="1" ht="32.1" customHeight="1" x14ac:dyDescent="0.15"/>
    <row r="44316" s="8" customFormat="1" ht="32.1" customHeight="1" x14ac:dyDescent="0.15"/>
    <row r="44317" s="8" customFormat="1" ht="32.1" customHeight="1" x14ac:dyDescent="0.15"/>
    <row r="44318" s="9" customFormat="1" ht="32.1" customHeight="1" x14ac:dyDescent="0.15"/>
    <row r="44319" s="9" customFormat="1" ht="32.1" customHeight="1" x14ac:dyDescent="0.15"/>
    <row r="44320" s="9" customFormat="1" ht="32.1" customHeight="1" x14ac:dyDescent="0.15"/>
    <row r="44321" s="9" customFormat="1" ht="32.1" customHeight="1" x14ac:dyDescent="0.15"/>
    <row r="44322" s="9" customFormat="1" ht="21.95" customHeight="1" x14ac:dyDescent="0.15"/>
    <row r="44323" s="9" customFormat="1" ht="54" customHeight="1" x14ac:dyDescent="0.15"/>
    <row r="44324" s="9" customFormat="1" ht="21.95" customHeight="1" x14ac:dyDescent="0.15"/>
    <row r="44325" s="9" customFormat="1" ht="21.95" customHeight="1" x14ac:dyDescent="0.15"/>
    <row r="44326" s="9" customFormat="1" ht="21.95" customHeight="1" x14ac:dyDescent="0.15"/>
    <row r="44327" s="9" customFormat="1" ht="21.95" customHeight="1" x14ac:dyDescent="0.15"/>
    <row r="44328" s="9" customFormat="1" ht="21.95" customHeight="1" x14ac:dyDescent="0.15"/>
    <row r="44329" s="9" customFormat="1" ht="21.95" customHeight="1" x14ac:dyDescent="0.15"/>
    <row r="44330" s="9" customFormat="1" ht="21.95" customHeight="1" x14ac:dyDescent="0.15"/>
    <row r="44331" s="9" customFormat="1" ht="21.95" customHeight="1" x14ac:dyDescent="0.15"/>
    <row r="44332" s="9" customFormat="1" ht="21.95" customHeight="1" x14ac:dyDescent="0.15"/>
    <row r="44333" s="9" customFormat="1" ht="21.95" customHeight="1" x14ac:dyDescent="0.15"/>
    <row r="44334" s="9" customFormat="1" ht="21.95" customHeight="1" x14ac:dyDescent="0.15"/>
    <row r="44335" s="9" customFormat="1" ht="21.95" customHeight="1" x14ac:dyDescent="0.15"/>
    <row r="44336" s="9" customFormat="1" ht="21.95" customHeight="1" x14ac:dyDescent="0.15"/>
    <row r="44337" s="9" customFormat="1" ht="21.95" customHeight="1" x14ac:dyDescent="0.15"/>
    <row r="44338" s="9" customFormat="1" ht="21.95" customHeight="1" x14ac:dyDescent="0.15"/>
    <row r="44339" s="9" customFormat="1" ht="21.95" customHeight="1" x14ac:dyDescent="0.15"/>
    <row r="44340" s="9" customFormat="1" ht="21.95" customHeight="1" x14ac:dyDescent="0.15"/>
    <row r="44341" s="9" customFormat="1" ht="21.95" customHeight="1" x14ac:dyDescent="0.15"/>
    <row r="44342" s="9" customFormat="1" ht="21.95" customHeight="1" x14ac:dyDescent="0.15"/>
    <row r="44343" s="9" customFormat="1" ht="21.95" customHeight="1" x14ac:dyDescent="0.15"/>
    <row r="44344" s="9" customFormat="1" ht="21.95" customHeight="1" x14ac:dyDescent="0.15"/>
    <row r="44345" s="9" customFormat="1" ht="21.95" customHeight="1" x14ac:dyDescent="0.15"/>
    <row r="44346" s="9" customFormat="1" ht="21.95" customHeight="1" x14ac:dyDescent="0.15"/>
    <row r="44347" s="9" customFormat="1" ht="21.95" customHeight="1" x14ac:dyDescent="0.15"/>
    <row r="44348" s="9" customFormat="1" ht="21.95" customHeight="1" x14ac:dyDescent="0.15"/>
    <row r="44349" s="9" customFormat="1" ht="21.95" customHeight="1" x14ac:dyDescent="0.15"/>
    <row r="44350" s="9" customFormat="1" ht="21.95" customHeight="1" x14ac:dyDescent="0.15"/>
    <row r="44351" s="9" customFormat="1" ht="21.95" customHeight="1" x14ac:dyDescent="0.15"/>
    <row r="44352" s="9" customFormat="1" ht="21.95" customHeight="1" x14ac:dyDescent="0.15"/>
    <row r="44353" s="9" customFormat="1" ht="21.95" customHeight="1" x14ac:dyDescent="0.15"/>
    <row r="44354" s="9" customFormat="1" ht="21.95" customHeight="1" x14ac:dyDescent="0.15"/>
    <row r="44355" s="9" customFormat="1" ht="21.95" customHeight="1" x14ac:dyDescent="0.15"/>
    <row r="44356" s="9" customFormat="1" ht="21.95" customHeight="1" x14ac:dyDescent="0.15"/>
    <row r="44357" s="9" customFormat="1" ht="21.95" customHeight="1" x14ac:dyDescent="0.15"/>
    <row r="44358" s="9" customFormat="1" ht="21.95" customHeight="1" x14ac:dyDescent="0.15"/>
    <row r="44359" s="9" customFormat="1" ht="21.95" customHeight="1" x14ac:dyDescent="0.15"/>
    <row r="44360" s="9" customFormat="1" ht="21.95" customHeight="1" x14ac:dyDescent="0.15"/>
    <row r="44361" s="9" customFormat="1" ht="21.95" customHeight="1" x14ac:dyDescent="0.15"/>
    <row r="44362" s="9" customFormat="1" ht="21.95" customHeight="1" x14ac:dyDescent="0.15"/>
    <row r="44363" s="9" customFormat="1" ht="21.95" customHeight="1" x14ac:dyDescent="0.15"/>
    <row r="44364" s="9" customFormat="1" ht="21.95" customHeight="1" x14ac:dyDescent="0.15"/>
    <row r="44365" s="9" customFormat="1" ht="21.95" customHeight="1" x14ac:dyDescent="0.15"/>
    <row r="44366" s="9" customFormat="1" ht="21.95" customHeight="1" x14ac:dyDescent="0.15"/>
    <row r="44367" s="9" customFormat="1" ht="21.95" customHeight="1" x14ac:dyDescent="0.15"/>
    <row r="44368" s="9" customFormat="1" ht="21.95" customHeight="1" x14ac:dyDescent="0.15"/>
    <row r="44369" s="9" customFormat="1" ht="21.95" customHeight="1" x14ac:dyDescent="0.15"/>
    <row r="44370" s="9" customFormat="1" ht="21.95" customHeight="1" x14ac:dyDescent="0.15"/>
    <row r="44371" s="9" customFormat="1" ht="21.95" customHeight="1" x14ac:dyDescent="0.15"/>
    <row r="44372" s="9" customFormat="1" ht="21.95" customHeight="1" x14ac:dyDescent="0.15"/>
    <row r="44373" s="9" customFormat="1" ht="21.95" customHeight="1" x14ac:dyDescent="0.15"/>
    <row r="44374" s="9" customFormat="1" ht="35.1" customHeight="1" x14ac:dyDescent="0.15"/>
    <row r="44375" s="9" customFormat="1" ht="21.95" customHeight="1" x14ac:dyDescent="0.15"/>
    <row r="44376" s="9" customFormat="1" ht="21.95" customHeight="1" x14ac:dyDescent="0.15"/>
    <row r="44377" s="9" customFormat="1" ht="21.95" customHeight="1" x14ac:dyDescent="0.15"/>
    <row r="44378" s="9" customFormat="1" ht="21.95" customHeight="1" x14ac:dyDescent="0.15"/>
    <row r="44379" s="9" customFormat="1" ht="21.95" customHeight="1" x14ac:dyDescent="0.15"/>
    <row r="44380" s="9" customFormat="1" ht="21.95" customHeight="1" x14ac:dyDescent="0.15"/>
    <row r="44381" s="9" customFormat="1" ht="21.95" customHeight="1" x14ac:dyDescent="0.15"/>
    <row r="44382" s="9" customFormat="1" ht="21.95" customHeight="1" x14ac:dyDescent="0.15"/>
    <row r="44383" s="9" customFormat="1" ht="21.95" customHeight="1" x14ac:dyDescent="0.15"/>
    <row r="44384" s="9" customFormat="1" ht="21.95" customHeight="1" x14ac:dyDescent="0.15"/>
    <row r="44385" spans="3:3" s="9" customFormat="1" ht="21.95" customHeight="1" x14ac:dyDescent="0.15"/>
    <row r="44386" spans="3:3" s="9" customFormat="1" ht="21.95" customHeight="1" x14ac:dyDescent="0.15"/>
    <row r="44387" spans="3:3" s="9" customFormat="1" ht="21.95" customHeight="1" x14ac:dyDescent="0.15"/>
    <row r="44388" spans="3:3" s="9" customFormat="1" ht="21.95" customHeight="1" x14ac:dyDescent="0.15"/>
    <row r="44389" spans="3:3" s="9" customFormat="1" ht="21.95" customHeight="1" x14ac:dyDescent="0.15"/>
    <row r="44390" spans="3:3" s="9" customFormat="1" ht="21.95" customHeight="1" x14ac:dyDescent="0.15"/>
    <row r="44391" spans="3:3" s="9" customFormat="1" ht="21.95" customHeight="1" x14ac:dyDescent="0.15"/>
    <row r="44392" spans="3:3" s="9" customFormat="1" ht="21.95" customHeight="1" x14ac:dyDescent="0.15"/>
    <row r="44393" spans="3:3" s="9" customFormat="1" ht="21.95" customHeight="1" x14ac:dyDescent="0.15"/>
    <row r="44394" spans="3:3" s="9" customFormat="1" ht="21.95" customHeight="1" x14ac:dyDescent="0.15"/>
    <row r="44395" spans="3:3" s="9" customFormat="1" ht="21.95" customHeight="1" x14ac:dyDescent="0.15"/>
    <row r="44396" spans="3:3" s="9" customFormat="1" ht="21.95" customHeight="1" x14ac:dyDescent="0.15"/>
    <row r="44397" spans="3:3" s="9" customFormat="1" ht="21.95" customHeight="1" x14ac:dyDescent="0.15"/>
    <row r="44398" spans="3:3" s="8" customFormat="1" ht="21.95" customHeight="1" x14ac:dyDescent="0.15"/>
    <row r="44399" spans="3:3" s="8" customFormat="1" ht="21.95" customHeight="1" x14ac:dyDescent="0.15"/>
    <row r="44400" spans="3:3" s="8" customFormat="1" ht="21.95" customHeight="1" x14ac:dyDescent="0.15">
      <c r="C44400" s="101"/>
    </row>
    <row r="44401" spans="3:3" s="8" customFormat="1" ht="21.95" customHeight="1" x14ac:dyDescent="0.15">
      <c r="C44401" s="101"/>
    </row>
    <row r="44402" spans="3:3" s="8" customFormat="1" ht="21.95" customHeight="1" x14ac:dyDescent="0.15"/>
    <row r="44403" spans="3:3" s="8" customFormat="1" ht="21.95" customHeight="1" x14ac:dyDescent="0.15"/>
    <row r="44404" spans="3:3" s="8" customFormat="1" ht="21.95" customHeight="1" x14ac:dyDescent="0.15"/>
    <row r="44405" spans="3:3" s="8" customFormat="1" ht="21.95" customHeight="1" x14ac:dyDescent="0.15"/>
    <row r="44406" spans="3:3" s="8" customFormat="1" ht="21.95" customHeight="1" x14ac:dyDescent="0.15"/>
    <row r="44407" spans="3:3" s="8" customFormat="1" ht="21.95" customHeight="1" x14ac:dyDescent="0.15"/>
    <row r="44408" spans="3:3" s="8" customFormat="1" ht="21.95" customHeight="1" x14ac:dyDescent="0.15"/>
    <row r="44409" spans="3:3" s="9" customFormat="1" ht="21.95" customHeight="1" x14ac:dyDescent="0.15"/>
    <row r="44410" spans="3:3" s="9" customFormat="1" ht="21.95" customHeight="1" x14ac:dyDescent="0.15"/>
    <row r="44411" spans="3:3" s="9" customFormat="1" ht="21.95" customHeight="1" x14ac:dyDescent="0.15"/>
    <row r="44412" spans="3:3" s="9" customFormat="1" ht="21.95" customHeight="1" x14ac:dyDescent="0.15"/>
    <row r="44413" spans="3:3" s="8" customFormat="1" ht="21.95" customHeight="1" x14ac:dyDescent="0.15"/>
    <row r="44414" spans="3:3" s="8" customFormat="1" ht="21.95" customHeight="1" x14ac:dyDescent="0.15"/>
    <row r="44415" spans="3:3" s="8" customFormat="1" ht="21.95" customHeight="1" x14ac:dyDescent="0.15"/>
    <row r="44416" spans="3:3" s="8" customFormat="1" ht="21.95" customHeight="1" x14ac:dyDescent="0.15"/>
    <row r="44417" s="8" customFormat="1" ht="21.95" customHeight="1" x14ac:dyDescent="0.15"/>
    <row r="44418" s="8" customFormat="1" ht="21.95" customHeight="1" x14ac:dyDescent="0.15"/>
    <row r="44419" s="8" customFormat="1" ht="21.95" customHeight="1" x14ac:dyDescent="0.15"/>
    <row r="44420" s="8" customFormat="1" ht="21.95" customHeight="1" x14ac:dyDescent="0.15"/>
    <row r="44421" s="8" customFormat="1" ht="21.95" customHeight="1" x14ac:dyDescent="0.15"/>
    <row r="44422" s="8" customFormat="1" ht="21.95" customHeight="1" x14ac:dyDescent="0.15"/>
    <row r="44423" s="8" customFormat="1" ht="21.95" customHeight="1" x14ac:dyDescent="0.15"/>
    <row r="44424" s="8" customFormat="1" ht="32.1" customHeight="1" x14ac:dyDescent="0.15"/>
    <row r="44425" s="8" customFormat="1" ht="32.1" customHeight="1" x14ac:dyDescent="0.15"/>
    <row r="44426" s="8" customFormat="1" ht="32.1" customHeight="1" x14ac:dyDescent="0.15"/>
    <row r="44427" s="8" customFormat="1" ht="32.1" customHeight="1" x14ac:dyDescent="0.15"/>
    <row r="44428" s="8" customFormat="1" ht="32.1" customHeight="1" x14ac:dyDescent="0.15"/>
    <row r="44429" s="8" customFormat="1" ht="32.1" customHeight="1" x14ac:dyDescent="0.15"/>
    <row r="44430" s="9" customFormat="1" ht="32.1" customHeight="1" x14ac:dyDescent="0.15"/>
    <row r="44431" s="9" customFormat="1" ht="32.1" customHeight="1" x14ac:dyDescent="0.15"/>
    <row r="44432" s="9" customFormat="1" ht="32.1" customHeight="1" x14ac:dyDescent="0.15"/>
    <row r="44433" s="9" customFormat="1" ht="32.1" customHeight="1" x14ac:dyDescent="0.15"/>
    <row r="44434" s="9" customFormat="1" ht="21.95" customHeight="1" x14ac:dyDescent="0.15"/>
    <row r="44435" s="9" customFormat="1" ht="54" customHeight="1" x14ac:dyDescent="0.15"/>
    <row r="44436" s="9" customFormat="1" ht="21.95" customHeight="1" x14ac:dyDescent="0.15"/>
    <row r="44437" s="9" customFormat="1" ht="21.95" customHeight="1" x14ac:dyDescent="0.15"/>
    <row r="44438" s="9" customFormat="1" ht="21.95" customHeight="1" x14ac:dyDescent="0.15"/>
    <row r="44439" s="9" customFormat="1" ht="21.95" customHeight="1" x14ac:dyDescent="0.15"/>
    <row r="44440" s="9" customFormat="1" ht="21.95" customHeight="1" x14ac:dyDescent="0.15"/>
    <row r="44441" s="9" customFormat="1" ht="21.95" customHeight="1" x14ac:dyDescent="0.15"/>
    <row r="44442" s="9" customFormat="1" ht="21.95" customHeight="1" x14ac:dyDescent="0.15"/>
    <row r="44443" s="9" customFormat="1" ht="21.95" customHeight="1" x14ac:dyDescent="0.15"/>
    <row r="44444" s="9" customFormat="1" ht="21.95" customHeight="1" x14ac:dyDescent="0.15"/>
    <row r="44445" s="9" customFormat="1" ht="21.95" customHeight="1" x14ac:dyDescent="0.15"/>
    <row r="44446" s="9" customFormat="1" ht="21.95" customHeight="1" x14ac:dyDescent="0.15"/>
    <row r="44447" s="9" customFormat="1" ht="21.95" customHeight="1" x14ac:dyDescent="0.15"/>
    <row r="44448" s="9" customFormat="1" ht="21.95" customHeight="1" x14ac:dyDescent="0.15"/>
    <row r="44449" s="9" customFormat="1" ht="21.95" customHeight="1" x14ac:dyDescent="0.15"/>
    <row r="44450" s="9" customFormat="1" ht="21.95" customHeight="1" x14ac:dyDescent="0.15"/>
    <row r="44451" s="9" customFormat="1" ht="21.95" customHeight="1" x14ac:dyDescent="0.15"/>
    <row r="44452" s="9" customFormat="1" ht="21.95" customHeight="1" x14ac:dyDescent="0.15"/>
    <row r="44453" s="9" customFormat="1" ht="21.95" customHeight="1" x14ac:dyDescent="0.15"/>
    <row r="44454" s="9" customFormat="1" ht="21.95" customHeight="1" x14ac:dyDescent="0.15"/>
    <row r="44455" s="9" customFormat="1" ht="21.95" customHeight="1" x14ac:dyDescent="0.15"/>
    <row r="44456" s="9" customFormat="1" ht="21.95" customHeight="1" x14ac:dyDescent="0.15"/>
    <row r="44457" s="9" customFormat="1" ht="21.95" customHeight="1" x14ac:dyDescent="0.15"/>
    <row r="44458" s="9" customFormat="1" ht="21.95" customHeight="1" x14ac:dyDescent="0.15"/>
    <row r="44459" s="9" customFormat="1" ht="21.95" customHeight="1" x14ac:dyDescent="0.15"/>
    <row r="44460" s="9" customFormat="1" ht="21.95" customHeight="1" x14ac:dyDescent="0.15"/>
    <row r="44461" s="9" customFormat="1" ht="21.95" customHeight="1" x14ac:dyDescent="0.15"/>
    <row r="44462" s="9" customFormat="1" ht="21.95" customHeight="1" x14ac:dyDescent="0.15"/>
    <row r="44463" s="9" customFormat="1" ht="21.95" customHeight="1" x14ac:dyDescent="0.15"/>
    <row r="44464" s="9" customFormat="1" ht="21.95" customHeight="1" x14ac:dyDescent="0.15"/>
    <row r="44465" s="9" customFormat="1" ht="21.95" customHeight="1" x14ac:dyDescent="0.15"/>
    <row r="44466" s="9" customFormat="1" ht="21.95" customHeight="1" x14ac:dyDescent="0.15"/>
    <row r="44467" s="9" customFormat="1" ht="21.95" customHeight="1" x14ac:dyDescent="0.15"/>
    <row r="44468" s="9" customFormat="1" ht="21.95" customHeight="1" x14ac:dyDescent="0.15"/>
    <row r="44469" s="9" customFormat="1" ht="21.95" customHeight="1" x14ac:dyDescent="0.15"/>
    <row r="44470" s="9" customFormat="1" ht="21.95" customHeight="1" x14ac:dyDescent="0.15"/>
    <row r="44471" s="9" customFormat="1" ht="21.95" customHeight="1" x14ac:dyDescent="0.15"/>
    <row r="44472" s="9" customFormat="1" ht="21.95" customHeight="1" x14ac:dyDescent="0.15"/>
    <row r="44473" s="9" customFormat="1" ht="21.95" customHeight="1" x14ac:dyDescent="0.15"/>
    <row r="44474" s="9" customFormat="1" ht="21.95" customHeight="1" x14ac:dyDescent="0.15"/>
    <row r="44475" s="9" customFormat="1" ht="21.95" customHeight="1" x14ac:dyDescent="0.15"/>
    <row r="44476" s="9" customFormat="1" ht="21.95" customHeight="1" x14ac:dyDescent="0.15"/>
    <row r="44477" s="9" customFormat="1" ht="21.95" customHeight="1" x14ac:dyDescent="0.15"/>
    <row r="44478" s="9" customFormat="1" ht="21.95" customHeight="1" x14ac:dyDescent="0.15"/>
    <row r="44479" s="9" customFormat="1" ht="21.95" customHeight="1" x14ac:dyDescent="0.15"/>
    <row r="44480" s="9" customFormat="1" ht="21.95" customHeight="1" x14ac:dyDescent="0.15"/>
    <row r="44481" s="9" customFormat="1" ht="21.95" customHeight="1" x14ac:dyDescent="0.15"/>
    <row r="44482" s="9" customFormat="1" ht="21.95" customHeight="1" x14ac:dyDescent="0.15"/>
    <row r="44483" s="9" customFormat="1" ht="21.95" customHeight="1" x14ac:dyDescent="0.15"/>
    <row r="44484" s="9" customFormat="1" ht="21.95" customHeight="1" x14ac:dyDescent="0.15"/>
    <row r="44485" s="9" customFormat="1" ht="21.95" customHeight="1" x14ac:dyDescent="0.15"/>
    <row r="44486" s="9" customFormat="1" ht="35.1" customHeight="1" x14ac:dyDescent="0.15"/>
    <row r="44487" s="9" customFormat="1" ht="21.95" customHeight="1" x14ac:dyDescent="0.15"/>
    <row r="44488" s="9" customFormat="1" ht="21.95" customHeight="1" x14ac:dyDescent="0.15"/>
    <row r="44489" s="9" customFormat="1" ht="21.95" customHeight="1" x14ac:dyDescent="0.15"/>
    <row r="44490" s="9" customFormat="1" ht="21.95" customHeight="1" x14ac:dyDescent="0.15"/>
    <row r="44491" s="9" customFormat="1" ht="21.95" customHeight="1" x14ac:dyDescent="0.15"/>
    <row r="44492" s="9" customFormat="1" ht="21.95" customHeight="1" x14ac:dyDescent="0.15"/>
    <row r="44493" s="9" customFormat="1" ht="21.95" customHeight="1" x14ac:dyDescent="0.15"/>
    <row r="44494" s="9" customFormat="1" ht="21.95" customHeight="1" x14ac:dyDescent="0.15"/>
    <row r="44495" s="9" customFormat="1" ht="21.95" customHeight="1" x14ac:dyDescent="0.15"/>
    <row r="44496" s="9" customFormat="1" ht="21.95" customHeight="1" x14ac:dyDescent="0.15"/>
    <row r="44497" spans="3:3" s="9" customFormat="1" ht="21.95" customHeight="1" x14ac:dyDescent="0.15"/>
    <row r="44498" spans="3:3" s="9" customFormat="1" ht="21.95" customHeight="1" x14ac:dyDescent="0.15"/>
    <row r="44499" spans="3:3" s="9" customFormat="1" ht="21.95" customHeight="1" x14ac:dyDescent="0.15"/>
    <row r="44500" spans="3:3" s="9" customFormat="1" ht="21.95" customHeight="1" x14ac:dyDescent="0.15"/>
    <row r="44501" spans="3:3" s="9" customFormat="1" ht="21.95" customHeight="1" x14ac:dyDescent="0.15"/>
    <row r="44502" spans="3:3" s="9" customFormat="1" ht="21.95" customHeight="1" x14ac:dyDescent="0.15"/>
    <row r="44503" spans="3:3" s="9" customFormat="1" ht="21.95" customHeight="1" x14ac:dyDescent="0.15"/>
    <row r="44504" spans="3:3" s="9" customFormat="1" ht="21.95" customHeight="1" x14ac:dyDescent="0.15"/>
    <row r="44505" spans="3:3" s="9" customFormat="1" ht="21.95" customHeight="1" x14ac:dyDescent="0.15"/>
    <row r="44506" spans="3:3" s="9" customFormat="1" ht="21.95" customHeight="1" x14ac:dyDescent="0.15"/>
    <row r="44507" spans="3:3" s="9" customFormat="1" ht="21.95" customHeight="1" x14ac:dyDescent="0.15"/>
    <row r="44508" spans="3:3" s="9" customFormat="1" ht="21.95" customHeight="1" x14ac:dyDescent="0.15"/>
    <row r="44509" spans="3:3" s="9" customFormat="1" ht="21.95" customHeight="1" x14ac:dyDescent="0.15"/>
    <row r="44510" spans="3:3" s="8" customFormat="1" ht="21.95" customHeight="1" x14ac:dyDescent="0.15"/>
    <row r="44511" spans="3:3" s="8" customFormat="1" ht="21.95" customHeight="1" x14ac:dyDescent="0.15"/>
    <row r="44512" spans="3:3" s="8" customFormat="1" ht="21.95" customHeight="1" x14ac:dyDescent="0.15">
      <c r="C44512" s="101"/>
    </row>
    <row r="44513" spans="3:3" s="8" customFormat="1" ht="21.95" customHeight="1" x14ac:dyDescent="0.15">
      <c r="C44513" s="101"/>
    </row>
    <row r="44514" spans="3:3" s="8" customFormat="1" ht="21.95" customHeight="1" x14ac:dyDescent="0.15"/>
    <row r="44515" spans="3:3" s="8" customFormat="1" ht="21.95" customHeight="1" x14ac:dyDescent="0.15"/>
    <row r="44516" spans="3:3" s="8" customFormat="1" ht="21.95" customHeight="1" x14ac:dyDescent="0.15"/>
    <row r="44517" spans="3:3" s="8" customFormat="1" ht="21.95" customHeight="1" x14ac:dyDescent="0.15"/>
    <row r="44518" spans="3:3" s="8" customFormat="1" ht="21.95" customHeight="1" x14ac:dyDescent="0.15"/>
    <row r="44519" spans="3:3" s="8" customFormat="1" ht="21.95" customHeight="1" x14ac:dyDescent="0.15"/>
    <row r="44520" spans="3:3" s="8" customFormat="1" ht="21.95" customHeight="1" x14ac:dyDescent="0.15"/>
    <row r="44521" spans="3:3" s="9" customFormat="1" ht="21.95" customHeight="1" x14ac:dyDescent="0.15"/>
    <row r="44522" spans="3:3" s="9" customFormat="1" ht="21.95" customHeight="1" x14ac:dyDescent="0.15"/>
    <row r="44523" spans="3:3" s="9" customFormat="1" ht="21.95" customHeight="1" x14ac:dyDescent="0.15"/>
    <row r="44524" spans="3:3" s="9" customFormat="1" ht="21.95" customHeight="1" x14ac:dyDescent="0.15"/>
    <row r="44525" spans="3:3" s="8" customFormat="1" ht="21.95" customHeight="1" x14ac:dyDescent="0.15"/>
    <row r="44526" spans="3:3" s="8" customFormat="1" ht="21.95" customHeight="1" x14ac:dyDescent="0.15"/>
    <row r="44527" spans="3:3" s="8" customFormat="1" ht="21.95" customHeight="1" x14ac:dyDescent="0.15"/>
    <row r="44528" spans="3:3" s="8" customFormat="1" ht="21.95" customHeight="1" x14ac:dyDescent="0.15"/>
    <row r="44529" s="8" customFormat="1" ht="21.95" customHeight="1" x14ac:dyDescent="0.15"/>
    <row r="44530" s="8" customFormat="1" ht="21.95" customHeight="1" x14ac:dyDescent="0.15"/>
    <row r="44531" s="8" customFormat="1" ht="21.95" customHeight="1" x14ac:dyDescent="0.15"/>
    <row r="44532" s="8" customFormat="1" ht="21.95" customHeight="1" x14ac:dyDescent="0.15"/>
    <row r="44533" s="8" customFormat="1" ht="21.95" customHeight="1" x14ac:dyDescent="0.15"/>
    <row r="44534" s="8" customFormat="1" ht="21.95" customHeight="1" x14ac:dyDescent="0.15"/>
    <row r="44535" s="8" customFormat="1" ht="21.95" customHeight="1" x14ac:dyDescent="0.15"/>
    <row r="44536" s="8" customFormat="1" ht="32.1" customHeight="1" x14ac:dyDescent="0.15"/>
    <row r="44537" s="8" customFormat="1" ht="32.1" customHeight="1" x14ac:dyDescent="0.15"/>
    <row r="44538" s="8" customFormat="1" ht="32.1" customHeight="1" x14ac:dyDescent="0.15"/>
    <row r="44539" s="8" customFormat="1" ht="32.1" customHeight="1" x14ac:dyDescent="0.15"/>
    <row r="44540" s="8" customFormat="1" ht="32.1" customHeight="1" x14ac:dyDescent="0.15"/>
    <row r="44541" s="8" customFormat="1" ht="32.1" customHeight="1" x14ac:dyDescent="0.15"/>
    <row r="44542" s="9" customFormat="1" ht="32.1" customHeight="1" x14ac:dyDescent="0.15"/>
    <row r="44543" s="9" customFormat="1" ht="32.1" customHeight="1" x14ac:dyDescent="0.15"/>
    <row r="44544" s="9" customFormat="1" ht="32.1" customHeight="1" x14ac:dyDescent="0.15"/>
    <row r="44545" s="9" customFormat="1" ht="32.1" customHeight="1" x14ac:dyDescent="0.15"/>
    <row r="44546" s="9" customFormat="1" ht="21.95" customHeight="1" x14ac:dyDescent="0.15"/>
    <row r="44547" s="9" customFormat="1" ht="54" customHeight="1" x14ac:dyDescent="0.15"/>
    <row r="44548" s="9" customFormat="1" ht="21.95" customHeight="1" x14ac:dyDescent="0.15"/>
    <row r="44549" s="9" customFormat="1" ht="21.95" customHeight="1" x14ac:dyDescent="0.15"/>
    <row r="44550" s="9" customFormat="1" ht="21.95" customHeight="1" x14ac:dyDescent="0.15"/>
    <row r="44551" s="9" customFormat="1" ht="21.95" customHeight="1" x14ac:dyDescent="0.15"/>
    <row r="44552" s="9" customFormat="1" ht="21.95" customHeight="1" x14ac:dyDescent="0.15"/>
    <row r="44553" s="9" customFormat="1" ht="21.95" customHeight="1" x14ac:dyDescent="0.15"/>
    <row r="44554" s="9" customFormat="1" ht="21.95" customHeight="1" x14ac:dyDescent="0.15"/>
    <row r="44555" s="9" customFormat="1" ht="21.95" customHeight="1" x14ac:dyDescent="0.15"/>
    <row r="44556" s="9" customFormat="1" ht="21.95" customHeight="1" x14ac:dyDescent="0.15"/>
    <row r="44557" s="9" customFormat="1" ht="21.95" customHeight="1" x14ac:dyDescent="0.15"/>
    <row r="44558" s="9" customFormat="1" ht="21.95" customHeight="1" x14ac:dyDescent="0.15"/>
    <row r="44559" s="9" customFormat="1" ht="21.95" customHeight="1" x14ac:dyDescent="0.15"/>
    <row r="44560" s="9" customFormat="1" ht="21.95" customHeight="1" x14ac:dyDescent="0.15"/>
    <row r="44561" s="9" customFormat="1" ht="21.95" customHeight="1" x14ac:dyDescent="0.15"/>
    <row r="44562" s="9" customFormat="1" ht="21.95" customHeight="1" x14ac:dyDescent="0.15"/>
    <row r="44563" s="9" customFormat="1" ht="21.95" customHeight="1" x14ac:dyDescent="0.15"/>
    <row r="44564" s="9" customFormat="1" ht="21.95" customHeight="1" x14ac:dyDescent="0.15"/>
    <row r="44565" s="9" customFormat="1" ht="21.95" customHeight="1" x14ac:dyDescent="0.15"/>
    <row r="44566" s="9" customFormat="1" ht="21.95" customHeight="1" x14ac:dyDescent="0.15"/>
    <row r="44567" s="9" customFormat="1" ht="21.95" customHeight="1" x14ac:dyDescent="0.15"/>
    <row r="44568" s="9" customFormat="1" ht="21.95" customHeight="1" x14ac:dyDescent="0.15"/>
    <row r="44569" s="9" customFormat="1" ht="21.95" customHeight="1" x14ac:dyDescent="0.15"/>
    <row r="44570" s="9" customFormat="1" ht="21.95" customHeight="1" x14ac:dyDescent="0.15"/>
    <row r="44571" s="9" customFormat="1" ht="21.95" customHeight="1" x14ac:dyDescent="0.15"/>
    <row r="44572" s="9" customFormat="1" ht="21.95" customHeight="1" x14ac:dyDescent="0.15"/>
    <row r="44573" s="9" customFormat="1" ht="21.95" customHeight="1" x14ac:dyDescent="0.15"/>
    <row r="44574" s="9" customFormat="1" ht="21.95" customHeight="1" x14ac:dyDescent="0.15"/>
    <row r="44575" s="9" customFormat="1" ht="21.95" customHeight="1" x14ac:dyDescent="0.15"/>
    <row r="44576" s="9" customFormat="1" ht="21.95" customHeight="1" x14ac:dyDescent="0.15"/>
    <row r="44577" s="9" customFormat="1" ht="21.95" customHeight="1" x14ac:dyDescent="0.15"/>
    <row r="44578" s="9" customFormat="1" ht="21.95" customHeight="1" x14ac:dyDescent="0.15"/>
    <row r="44579" s="9" customFormat="1" ht="21.95" customHeight="1" x14ac:dyDescent="0.15"/>
    <row r="44580" s="9" customFormat="1" ht="21.95" customHeight="1" x14ac:dyDescent="0.15"/>
    <row r="44581" s="9" customFormat="1" ht="21.95" customHeight="1" x14ac:dyDescent="0.15"/>
    <row r="44582" s="9" customFormat="1" ht="21.95" customHeight="1" x14ac:dyDescent="0.15"/>
    <row r="44583" s="9" customFormat="1" ht="21.95" customHeight="1" x14ac:dyDescent="0.15"/>
    <row r="44584" s="9" customFormat="1" ht="21.95" customHeight="1" x14ac:dyDescent="0.15"/>
    <row r="44585" s="9" customFormat="1" ht="21.95" customHeight="1" x14ac:dyDescent="0.15"/>
    <row r="44586" s="9" customFormat="1" ht="21.95" customHeight="1" x14ac:dyDescent="0.15"/>
    <row r="44587" s="9" customFormat="1" ht="21.95" customHeight="1" x14ac:dyDescent="0.15"/>
    <row r="44588" s="9" customFormat="1" ht="21.95" customHeight="1" x14ac:dyDescent="0.15"/>
    <row r="44589" s="9" customFormat="1" ht="21.95" customHeight="1" x14ac:dyDescent="0.15"/>
    <row r="44590" s="9" customFormat="1" ht="21.95" customHeight="1" x14ac:dyDescent="0.15"/>
    <row r="44591" s="9" customFormat="1" ht="21.95" customHeight="1" x14ac:dyDescent="0.15"/>
    <row r="44592" s="9" customFormat="1" ht="21.95" customHeight="1" x14ac:dyDescent="0.15"/>
    <row r="44593" s="9" customFormat="1" ht="21.95" customHeight="1" x14ac:dyDescent="0.15"/>
    <row r="44594" s="9" customFormat="1" ht="21.95" customHeight="1" x14ac:dyDescent="0.15"/>
    <row r="44595" s="9" customFormat="1" ht="21.95" customHeight="1" x14ac:dyDescent="0.15"/>
    <row r="44596" s="9" customFormat="1" ht="21.95" customHeight="1" x14ac:dyDescent="0.15"/>
    <row r="44597" s="9" customFormat="1" ht="21.95" customHeight="1" x14ac:dyDescent="0.15"/>
    <row r="44598" s="9" customFormat="1" ht="35.1" customHeight="1" x14ac:dyDescent="0.15"/>
    <row r="44599" s="9" customFormat="1" ht="21.95" customHeight="1" x14ac:dyDescent="0.15"/>
    <row r="44600" s="9" customFormat="1" ht="21.95" customHeight="1" x14ac:dyDescent="0.15"/>
    <row r="44601" s="9" customFormat="1" ht="21.95" customHeight="1" x14ac:dyDescent="0.15"/>
    <row r="44602" s="9" customFormat="1" ht="21.95" customHeight="1" x14ac:dyDescent="0.15"/>
    <row r="44603" s="9" customFormat="1" ht="21.95" customHeight="1" x14ac:dyDescent="0.15"/>
    <row r="44604" s="9" customFormat="1" ht="21.95" customHeight="1" x14ac:dyDescent="0.15"/>
    <row r="44605" s="9" customFormat="1" ht="21.95" customHeight="1" x14ac:dyDescent="0.15"/>
    <row r="44606" s="9" customFormat="1" ht="21.95" customHeight="1" x14ac:dyDescent="0.15"/>
    <row r="44607" s="9" customFormat="1" ht="21.95" customHeight="1" x14ac:dyDescent="0.15"/>
    <row r="44608" s="9" customFormat="1" ht="21.95" customHeight="1" x14ac:dyDescent="0.15"/>
    <row r="44609" spans="3:3" s="9" customFormat="1" ht="21.95" customHeight="1" x14ac:dyDescent="0.15"/>
    <row r="44610" spans="3:3" s="9" customFormat="1" ht="21.95" customHeight="1" x14ac:dyDescent="0.15"/>
    <row r="44611" spans="3:3" s="9" customFormat="1" ht="21.95" customHeight="1" x14ac:dyDescent="0.15"/>
    <row r="44612" spans="3:3" s="9" customFormat="1" ht="21.95" customHeight="1" x14ac:dyDescent="0.15"/>
    <row r="44613" spans="3:3" s="9" customFormat="1" ht="21.95" customHeight="1" x14ac:dyDescent="0.15"/>
    <row r="44614" spans="3:3" s="9" customFormat="1" ht="21.95" customHeight="1" x14ac:dyDescent="0.15"/>
    <row r="44615" spans="3:3" s="9" customFormat="1" ht="21.95" customHeight="1" x14ac:dyDescent="0.15"/>
    <row r="44616" spans="3:3" s="9" customFormat="1" ht="21.95" customHeight="1" x14ac:dyDescent="0.15"/>
    <row r="44617" spans="3:3" s="9" customFormat="1" ht="21.95" customHeight="1" x14ac:dyDescent="0.15"/>
    <row r="44618" spans="3:3" s="9" customFormat="1" ht="21.95" customHeight="1" x14ac:dyDescent="0.15"/>
    <row r="44619" spans="3:3" s="9" customFormat="1" ht="21.95" customHeight="1" x14ac:dyDescent="0.15"/>
    <row r="44620" spans="3:3" s="9" customFormat="1" ht="21.95" customHeight="1" x14ac:dyDescent="0.15"/>
    <row r="44621" spans="3:3" s="9" customFormat="1" ht="21.95" customHeight="1" x14ac:dyDescent="0.15"/>
    <row r="44622" spans="3:3" s="8" customFormat="1" ht="21.95" customHeight="1" x14ac:dyDescent="0.15"/>
    <row r="44623" spans="3:3" s="8" customFormat="1" ht="21.95" customHeight="1" x14ac:dyDescent="0.15"/>
    <row r="44624" spans="3:3" s="8" customFormat="1" ht="21.95" customHeight="1" x14ac:dyDescent="0.15">
      <c r="C44624" s="101"/>
    </row>
    <row r="44625" spans="3:3" s="8" customFormat="1" ht="21.95" customHeight="1" x14ac:dyDescent="0.15">
      <c r="C44625" s="101"/>
    </row>
    <row r="44626" spans="3:3" s="8" customFormat="1" ht="21.95" customHeight="1" x14ac:dyDescent="0.15"/>
    <row r="44627" spans="3:3" s="8" customFormat="1" ht="21.95" customHeight="1" x14ac:dyDescent="0.15"/>
    <row r="44628" spans="3:3" s="8" customFormat="1" ht="21.95" customHeight="1" x14ac:dyDescent="0.15"/>
    <row r="44629" spans="3:3" s="8" customFormat="1" ht="21.95" customHeight="1" x14ac:dyDescent="0.15"/>
    <row r="44630" spans="3:3" s="8" customFormat="1" ht="21.95" customHeight="1" x14ac:dyDescent="0.15"/>
    <row r="44631" spans="3:3" s="8" customFormat="1" ht="21.95" customHeight="1" x14ac:dyDescent="0.15"/>
    <row r="44632" spans="3:3" s="8" customFormat="1" ht="21.95" customHeight="1" x14ac:dyDescent="0.15"/>
    <row r="44633" spans="3:3" s="9" customFormat="1" ht="21.95" customHeight="1" x14ac:dyDescent="0.15"/>
    <row r="44634" spans="3:3" s="9" customFormat="1" ht="21.95" customHeight="1" x14ac:dyDescent="0.15"/>
    <row r="44635" spans="3:3" s="9" customFormat="1" ht="21.95" customHeight="1" x14ac:dyDescent="0.15"/>
    <row r="44636" spans="3:3" s="9" customFormat="1" ht="21.95" customHeight="1" x14ac:dyDescent="0.15"/>
    <row r="44637" spans="3:3" s="8" customFormat="1" ht="21.95" customHeight="1" x14ac:dyDescent="0.15"/>
    <row r="44638" spans="3:3" s="8" customFormat="1" ht="21.95" customHeight="1" x14ac:dyDescent="0.15"/>
    <row r="44639" spans="3:3" s="8" customFormat="1" ht="21.95" customHeight="1" x14ac:dyDescent="0.15"/>
    <row r="44640" spans="3:3" s="8" customFormat="1" ht="21.95" customHeight="1" x14ac:dyDescent="0.15"/>
    <row r="44641" s="8" customFormat="1" ht="21.95" customHeight="1" x14ac:dyDescent="0.15"/>
    <row r="44642" s="8" customFormat="1" ht="21.95" customHeight="1" x14ac:dyDescent="0.15"/>
    <row r="44643" s="8" customFormat="1" ht="21.95" customHeight="1" x14ac:dyDescent="0.15"/>
    <row r="44644" s="8" customFormat="1" ht="21.95" customHeight="1" x14ac:dyDescent="0.15"/>
    <row r="44645" s="8" customFormat="1" ht="21.95" customHeight="1" x14ac:dyDescent="0.15"/>
    <row r="44646" s="8" customFormat="1" ht="21.95" customHeight="1" x14ac:dyDescent="0.15"/>
    <row r="44647" s="8" customFormat="1" ht="21.95" customHeight="1" x14ac:dyDescent="0.15"/>
    <row r="44648" s="8" customFormat="1" ht="32.1" customHeight="1" x14ac:dyDescent="0.15"/>
    <row r="44649" s="8" customFormat="1" ht="32.1" customHeight="1" x14ac:dyDescent="0.15"/>
    <row r="44650" s="8" customFormat="1" ht="32.1" customHeight="1" x14ac:dyDescent="0.15"/>
    <row r="44651" s="8" customFormat="1" ht="32.1" customHeight="1" x14ac:dyDescent="0.15"/>
    <row r="44652" s="8" customFormat="1" ht="32.1" customHeight="1" x14ac:dyDescent="0.15"/>
    <row r="44653" s="8" customFormat="1" ht="32.1" customHeight="1" x14ac:dyDescent="0.15"/>
    <row r="44654" s="9" customFormat="1" ht="32.1" customHeight="1" x14ac:dyDescent="0.15"/>
    <row r="44655" s="9" customFormat="1" ht="32.1" customHeight="1" x14ac:dyDescent="0.15"/>
    <row r="44656" s="9" customFormat="1" ht="32.1" customHeight="1" x14ac:dyDescent="0.15"/>
    <row r="44657" s="9" customFormat="1" ht="32.1" customHeight="1" x14ac:dyDescent="0.15"/>
    <row r="44658" s="9" customFormat="1" ht="21.95" customHeight="1" x14ac:dyDescent="0.15"/>
    <row r="44659" s="9" customFormat="1" ht="54" customHeight="1" x14ac:dyDescent="0.15"/>
    <row r="44660" s="9" customFormat="1" ht="21.95" customHeight="1" x14ac:dyDescent="0.15"/>
    <row r="44661" s="9" customFormat="1" ht="21.95" customHeight="1" x14ac:dyDescent="0.15"/>
    <row r="44662" s="9" customFormat="1" ht="21.95" customHeight="1" x14ac:dyDescent="0.15"/>
    <row r="44663" s="9" customFormat="1" ht="21.95" customHeight="1" x14ac:dyDescent="0.15"/>
    <row r="44664" s="9" customFormat="1" ht="21.95" customHeight="1" x14ac:dyDescent="0.15"/>
    <row r="44665" s="9" customFormat="1" ht="21.95" customHeight="1" x14ac:dyDescent="0.15"/>
    <row r="44666" s="9" customFormat="1" ht="21.95" customHeight="1" x14ac:dyDescent="0.15"/>
    <row r="44667" s="9" customFormat="1" ht="21.95" customHeight="1" x14ac:dyDescent="0.15"/>
    <row r="44668" s="9" customFormat="1" ht="21.95" customHeight="1" x14ac:dyDescent="0.15"/>
    <row r="44669" s="9" customFormat="1" ht="21.95" customHeight="1" x14ac:dyDescent="0.15"/>
    <row r="44670" s="9" customFormat="1" ht="21.95" customHeight="1" x14ac:dyDescent="0.15"/>
    <row r="44671" s="9" customFormat="1" ht="21.95" customHeight="1" x14ac:dyDescent="0.15"/>
    <row r="44672" s="9" customFormat="1" ht="21.95" customHeight="1" x14ac:dyDescent="0.15"/>
    <row r="44673" s="9" customFormat="1" ht="21.95" customHeight="1" x14ac:dyDescent="0.15"/>
    <row r="44674" s="9" customFormat="1" ht="21.95" customHeight="1" x14ac:dyDescent="0.15"/>
    <row r="44675" s="9" customFormat="1" ht="21.95" customHeight="1" x14ac:dyDescent="0.15"/>
    <row r="44676" s="9" customFormat="1" ht="21.95" customHeight="1" x14ac:dyDescent="0.15"/>
    <row r="44677" s="9" customFormat="1" ht="21.95" customHeight="1" x14ac:dyDescent="0.15"/>
    <row r="44678" s="9" customFormat="1" ht="21.95" customHeight="1" x14ac:dyDescent="0.15"/>
    <row r="44679" s="9" customFormat="1" ht="21.95" customHeight="1" x14ac:dyDescent="0.15"/>
    <row r="44680" s="9" customFormat="1" ht="21.95" customHeight="1" x14ac:dyDescent="0.15"/>
    <row r="44681" s="9" customFormat="1" ht="21.95" customHeight="1" x14ac:dyDescent="0.15"/>
    <row r="44682" s="9" customFormat="1" ht="21.95" customHeight="1" x14ac:dyDescent="0.15"/>
    <row r="44683" s="9" customFormat="1" ht="21.95" customHeight="1" x14ac:dyDescent="0.15"/>
    <row r="44684" s="9" customFormat="1" ht="21.95" customHeight="1" x14ac:dyDescent="0.15"/>
    <row r="44685" s="9" customFormat="1" ht="21.95" customHeight="1" x14ac:dyDescent="0.15"/>
    <row r="44686" s="9" customFormat="1" ht="21.95" customHeight="1" x14ac:dyDescent="0.15"/>
    <row r="44687" s="9" customFormat="1" ht="21.95" customHeight="1" x14ac:dyDescent="0.15"/>
    <row r="44688" s="9" customFormat="1" ht="21.95" customHeight="1" x14ac:dyDescent="0.15"/>
    <row r="44689" s="9" customFormat="1" ht="21.95" customHeight="1" x14ac:dyDescent="0.15"/>
    <row r="44690" s="9" customFormat="1" ht="21.95" customHeight="1" x14ac:dyDescent="0.15"/>
    <row r="44691" s="9" customFormat="1" ht="21.95" customHeight="1" x14ac:dyDescent="0.15"/>
    <row r="44692" s="9" customFormat="1" ht="21.95" customHeight="1" x14ac:dyDescent="0.15"/>
    <row r="44693" s="9" customFormat="1" ht="21.95" customHeight="1" x14ac:dyDescent="0.15"/>
    <row r="44694" s="9" customFormat="1" ht="21.95" customHeight="1" x14ac:dyDescent="0.15"/>
    <row r="44695" s="9" customFormat="1" ht="21.95" customHeight="1" x14ac:dyDescent="0.15"/>
    <row r="44696" s="9" customFormat="1" ht="21.95" customHeight="1" x14ac:dyDescent="0.15"/>
    <row r="44697" s="9" customFormat="1" ht="21.95" customHeight="1" x14ac:dyDescent="0.15"/>
    <row r="44698" s="9" customFormat="1" ht="21.95" customHeight="1" x14ac:dyDescent="0.15"/>
    <row r="44699" s="9" customFormat="1" ht="21.95" customHeight="1" x14ac:dyDescent="0.15"/>
    <row r="44700" s="9" customFormat="1" ht="21.95" customHeight="1" x14ac:dyDescent="0.15"/>
    <row r="44701" s="9" customFormat="1" ht="21.95" customHeight="1" x14ac:dyDescent="0.15"/>
    <row r="44702" s="9" customFormat="1" ht="21.95" customHeight="1" x14ac:dyDescent="0.15"/>
    <row r="44703" s="9" customFormat="1" ht="21.95" customHeight="1" x14ac:dyDescent="0.15"/>
    <row r="44704" s="9" customFormat="1" ht="21.95" customHeight="1" x14ac:dyDescent="0.15"/>
    <row r="44705" s="9" customFormat="1" ht="21.95" customHeight="1" x14ac:dyDescent="0.15"/>
    <row r="44706" s="9" customFormat="1" ht="21.95" customHeight="1" x14ac:dyDescent="0.15"/>
    <row r="44707" s="9" customFormat="1" ht="21.95" customHeight="1" x14ac:dyDescent="0.15"/>
    <row r="44708" s="9" customFormat="1" ht="21.95" customHeight="1" x14ac:dyDescent="0.15"/>
    <row r="44709" s="9" customFormat="1" ht="21.95" customHeight="1" x14ac:dyDescent="0.15"/>
    <row r="44710" s="9" customFormat="1" ht="35.1" customHeight="1" x14ac:dyDescent="0.15"/>
    <row r="44711" s="9" customFormat="1" ht="21.95" customHeight="1" x14ac:dyDescent="0.15"/>
    <row r="44712" s="9" customFormat="1" ht="21.95" customHeight="1" x14ac:dyDescent="0.15"/>
    <row r="44713" s="9" customFormat="1" ht="21.95" customHeight="1" x14ac:dyDescent="0.15"/>
    <row r="44714" s="9" customFormat="1" ht="21.95" customHeight="1" x14ac:dyDescent="0.15"/>
    <row r="44715" s="9" customFormat="1" ht="21.95" customHeight="1" x14ac:dyDescent="0.15"/>
    <row r="44716" s="9" customFormat="1" ht="21.95" customHeight="1" x14ac:dyDescent="0.15"/>
    <row r="44717" s="9" customFormat="1" ht="21.95" customHeight="1" x14ac:dyDescent="0.15"/>
    <row r="44718" s="9" customFormat="1" ht="21.95" customHeight="1" x14ac:dyDescent="0.15"/>
    <row r="44719" s="9" customFormat="1" ht="21.95" customHeight="1" x14ac:dyDescent="0.15"/>
    <row r="44720" s="9" customFormat="1" ht="21.95" customHeight="1" x14ac:dyDescent="0.15"/>
    <row r="44721" spans="3:3" s="9" customFormat="1" ht="21.95" customHeight="1" x14ac:dyDescent="0.15"/>
    <row r="44722" spans="3:3" s="9" customFormat="1" ht="21.95" customHeight="1" x14ac:dyDescent="0.15"/>
    <row r="44723" spans="3:3" s="9" customFormat="1" ht="21.95" customHeight="1" x14ac:dyDescent="0.15"/>
    <row r="44724" spans="3:3" s="9" customFormat="1" ht="21.95" customHeight="1" x14ac:dyDescent="0.15"/>
    <row r="44725" spans="3:3" s="9" customFormat="1" ht="21.95" customHeight="1" x14ac:dyDescent="0.15"/>
    <row r="44726" spans="3:3" s="9" customFormat="1" ht="21.95" customHeight="1" x14ac:dyDescent="0.15"/>
    <row r="44727" spans="3:3" s="9" customFormat="1" ht="21.95" customHeight="1" x14ac:dyDescent="0.15"/>
    <row r="44728" spans="3:3" s="9" customFormat="1" ht="21.95" customHeight="1" x14ac:dyDescent="0.15"/>
    <row r="44729" spans="3:3" s="9" customFormat="1" ht="21.95" customHeight="1" x14ac:dyDescent="0.15"/>
    <row r="44730" spans="3:3" s="9" customFormat="1" ht="21.95" customHeight="1" x14ac:dyDescent="0.15"/>
    <row r="44731" spans="3:3" s="9" customFormat="1" ht="21.95" customHeight="1" x14ac:dyDescent="0.15"/>
    <row r="44732" spans="3:3" s="9" customFormat="1" ht="21.95" customHeight="1" x14ac:dyDescent="0.15"/>
    <row r="44733" spans="3:3" s="9" customFormat="1" ht="21.95" customHeight="1" x14ac:dyDescent="0.15"/>
    <row r="44734" spans="3:3" s="8" customFormat="1" ht="21.95" customHeight="1" x14ac:dyDescent="0.15"/>
    <row r="44735" spans="3:3" s="8" customFormat="1" ht="21.95" customHeight="1" x14ac:dyDescent="0.15"/>
    <row r="44736" spans="3:3" s="8" customFormat="1" ht="21.95" customHeight="1" x14ac:dyDescent="0.15">
      <c r="C44736" s="101"/>
    </row>
    <row r="44737" spans="3:3" s="8" customFormat="1" ht="21.95" customHeight="1" x14ac:dyDescent="0.15">
      <c r="C44737" s="101"/>
    </row>
    <row r="44738" spans="3:3" s="8" customFormat="1" ht="21.95" customHeight="1" x14ac:dyDescent="0.15"/>
    <row r="44739" spans="3:3" s="8" customFormat="1" ht="21.95" customHeight="1" x14ac:dyDescent="0.15"/>
    <row r="44740" spans="3:3" s="8" customFormat="1" ht="21.95" customHeight="1" x14ac:dyDescent="0.15"/>
    <row r="44741" spans="3:3" s="8" customFormat="1" ht="21.95" customHeight="1" x14ac:dyDescent="0.15"/>
    <row r="44742" spans="3:3" s="8" customFormat="1" ht="21.95" customHeight="1" x14ac:dyDescent="0.15"/>
    <row r="44743" spans="3:3" s="8" customFormat="1" ht="21.95" customHeight="1" x14ac:dyDescent="0.15"/>
    <row r="44744" spans="3:3" s="8" customFormat="1" ht="21.95" customHeight="1" x14ac:dyDescent="0.15"/>
    <row r="44745" spans="3:3" s="9" customFormat="1" ht="21.95" customHeight="1" x14ac:dyDescent="0.15"/>
    <row r="44746" spans="3:3" s="9" customFormat="1" ht="21.95" customHeight="1" x14ac:dyDescent="0.15"/>
    <row r="44747" spans="3:3" s="9" customFormat="1" ht="21.95" customHeight="1" x14ac:dyDescent="0.15"/>
    <row r="44748" spans="3:3" s="9" customFormat="1" ht="21.95" customHeight="1" x14ac:dyDescent="0.15"/>
    <row r="44749" spans="3:3" s="8" customFormat="1" ht="21.95" customHeight="1" x14ac:dyDescent="0.15"/>
    <row r="44750" spans="3:3" s="8" customFormat="1" ht="21.95" customHeight="1" x14ac:dyDescent="0.15"/>
    <row r="44751" spans="3:3" s="8" customFormat="1" ht="21.95" customHeight="1" x14ac:dyDescent="0.15"/>
    <row r="44752" spans="3:3" s="8" customFormat="1" ht="21.95" customHeight="1" x14ac:dyDescent="0.15"/>
    <row r="44753" s="8" customFormat="1" ht="21.95" customHeight="1" x14ac:dyDescent="0.15"/>
    <row r="44754" s="8" customFormat="1" ht="21.95" customHeight="1" x14ac:dyDescent="0.15"/>
    <row r="44755" s="8" customFormat="1" ht="21.95" customHeight="1" x14ac:dyDescent="0.15"/>
    <row r="44756" s="8" customFormat="1" ht="21.95" customHeight="1" x14ac:dyDescent="0.15"/>
    <row r="44757" s="8" customFormat="1" ht="21.95" customHeight="1" x14ac:dyDescent="0.15"/>
    <row r="44758" s="8" customFormat="1" ht="21.95" customHeight="1" x14ac:dyDescent="0.15"/>
    <row r="44759" s="8" customFormat="1" ht="21.95" customHeight="1" x14ac:dyDescent="0.15"/>
    <row r="44760" s="8" customFormat="1" ht="32.1" customHeight="1" x14ac:dyDescent="0.15"/>
    <row r="44761" s="8" customFormat="1" ht="32.1" customHeight="1" x14ac:dyDescent="0.15"/>
    <row r="44762" s="8" customFormat="1" ht="32.1" customHeight="1" x14ac:dyDescent="0.15"/>
    <row r="44763" s="8" customFormat="1" ht="32.1" customHeight="1" x14ac:dyDescent="0.15"/>
    <row r="44764" s="8" customFormat="1" ht="32.1" customHeight="1" x14ac:dyDescent="0.15"/>
    <row r="44765" s="8" customFormat="1" ht="32.1" customHeight="1" x14ac:dyDescent="0.15"/>
    <row r="44766" s="9" customFormat="1" ht="32.1" customHeight="1" x14ac:dyDescent="0.15"/>
    <row r="44767" s="9" customFormat="1" ht="32.1" customHeight="1" x14ac:dyDescent="0.15"/>
    <row r="44768" s="9" customFormat="1" ht="32.1" customHeight="1" x14ac:dyDescent="0.15"/>
    <row r="44769" s="9" customFormat="1" ht="32.1" customHeight="1" x14ac:dyDescent="0.15"/>
    <row r="44770" s="9" customFormat="1" ht="21.95" customHeight="1" x14ac:dyDescent="0.15"/>
    <row r="44771" s="9" customFormat="1" ht="54" customHeight="1" x14ac:dyDescent="0.15"/>
    <row r="44772" s="9" customFormat="1" ht="21.95" customHeight="1" x14ac:dyDescent="0.15"/>
    <row r="44773" s="9" customFormat="1" ht="21.95" customHeight="1" x14ac:dyDescent="0.15"/>
    <row r="44774" s="9" customFormat="1" ht="21.95" customHeight="1" x14ac:dyDescent="0.15"/>
    <row r="44775" s="9" customFormat="1" ht="21.95" customHeight="1" x14ac:dyDescent="0.15"/>
    <row r="44776" s="9" customFormat="1" ht="21.95" customHeight="1" x14ac:dyDescent="0.15"/>
    <row r="44777" s="9" customFormat="1" ht="21.95" customHeight="1" x14ac:dyDescent="0.15"/>
    <row r="44778" s="9" customFormat="1" ht="21.95" customHeight="1" x14ac:dyDescent="0.15"/>
    <row r="44779" s="9" customFormat="1" ht="21.95" customHeight="1" x14ac:dyDescent="0.15"/>
    <row r="44780" s="9" customFormat="1" ht="21.95" customHeight="1" x14ac:dyDescent="0.15"/>
    <row r="44781" s="9" customFormat="1" ht="21.95" customHeight="1" x14ac:dyDescent="0.15"/>
    <row r="44782" s="9" customFormat="1" ht="21.95" customHeight="1" x14ac:dyDescent="0.15"/>
    <row r="44783" s="9" customFormat="1" ht="21.95" customHeight="1" x14ac:dyDescent="0.15"/>
    <row r="44784" s="9" customFormat="1" ht="21.95" customHeight="1" x14ac:dyDescent="0.15"/>
    <row r="44785" s="9" customFormat="1" ht="21.95" customHeight="1" x14ac:dyDescent="0.15"/>
    <row r="44786" s="9" customFormat="1" ht="21.95" customHeight="1" x14ac:dyDescent="0.15"/>
    <row r="44787" s="9" customFormat="1" ht="21.95" customHeight="1" x14ac:dyDescent="0.15"/>
    <row r="44788" s="9" customFormat="1" ht="21.95" customHeight="1" x14ac:dyDescent="0.15"/>
    <row r="44789" s="9" customFormat="1" ht="21.95" customHeight="1" x14ac:dyDescent="0.15"/>
    <row r="44790" s="9" customFormat="1" ht="21.95" customHeight="1" x14ac:dyDescent="0.15"/>
    <row r="44791" s="9" customFormat="1" ht="21.95" customHeight="1" x14ac:dyDescent="0.15"/>
    <row r="44792" s="9" customFormat="1" ht="21.95" customHeight="1" x14ac:dyDescent="0.15"/>
    <row r="44793" s="9" customFormat="1" ht="21.95" customHeight="1" x14ac:dyDescent="0.15"/>
    <row r="44794" s="9" customFormat="1" ht="21.95" customHeight="1" x14ac:dyDescent="0.15"/>
    <row r="44795" s="9" customFormat="1" ht="21.95" customHeight="1" x14ac:dyDescent="0.15"/>
    <row r="44796" s="9" customFormat="1" ht="21.95" customHeight="1" x14ac:dyDescent="0.15"/>
    <row r="44797" s="9" customFormat="1" ht="21.95" customHeight="1" x14ac:dyDescent="0.15"/>
    <row r="44798" s="9" customFormat="1" ht="21.95" customHeight="1" x14ac:dyDescent="0.15"/>
    <row r="44799" s="9" customFormat="1" ht="21.95" customHeight="1" x14ac:dyDescent="0.15"/>
    <row r="44800" s="9" customFormat="1" ht="21.95" customHeight="1" x14ac:dyDescent="0.15"/>
    <row r="44801" s="9" customFormat="1" ht="21.95" customHeight="1" x14ac:dyDescent="0.15"/>
    <row r="44802" s="9" customFormat="1" ht="21.95" customHeight="1" x14ac:dyDescent="0.15"/>
    <row r="44803" s="9" customFormat="1" ht="21.95" customHeight="1" x14ac:dyDescent="0.15"/>
    <row r="44804" s="9" customFormat="1" ht="21.95" customHeight="1" x14ac:dyDescent="0.15"/>
    <row r="44805" s="9" customFormat="1" ht="21.95" customHeight="1" x14ac:dyDescent="0.15"/>
    <row r="44806" s="9" customFormat="1" ht="21.95" customHeight="1" x14ac:dyDescent="0.15"/>
    <row r="44807" s="9" customFormat="1" ht="21.95" customHeight="1" x14ac:dyDescent="0.15"/>
    <row r="44808" s="9" customFormat="1" ht="21.95" customHeight="1" x14ac:dyDescent="0.15"/>
    <row r="44809" s="9" customFormat="1" ht="21.95" customHeight="1" x14ac:dyDescent="0.15"/>
    <row r="44810" s="9" customFormat="1" ht="21.95" customHeight="1" x14ac:dyDescent="0.15"/>
    <row r="44811" s="9" customFormat="1" ht="21.95" customHeight="1" x14ac:dyDescent="0.15"/>
    <row r="44812" s="9" customFormat="1" ht="21.95" customHeight="1" x14ac:dyDescent="0.15"/>
    <row r="44813" s="9" customFormat="1" ht="21.95" customHeight="1" x14ac:dyDescent="0.15"/>
    <row r="44814" s="9" customFormat="1" ht="21.95" customHeight="1" x14ac:dyDescent="0.15"/>
    <row r="44815" s="9" customFormat="1" ht="21.95" customHeight="1" x14ac:dyDescent="0.15"/>
    <row r="44816" s="9" customFormat="1" ht="21.95" customHeight="1" x14ac:dyDescent="0.15"/>
    <row r="44817" s="9" customFormat="1" ht="21.95" customHeight="1" x14ac:dyDescent="0.15"/>
    <row r="44818" s="9" customFormat="1" ht="21.95" customHeight="1" x14ac:dyDescent="0.15"/>
    <row r="44819" s="9" customFormat="1" ht="21.95" customHeight="1" x14ac:dyDescent="0.15"/>
    <row r="44820" s="9" customFormat="1" ht="21.95" customHeight="1" x14ac:dyDescent="0.15"/>
    <row r="44821" s="9" customFormat="1" ht="21.95" customHeight="1" x14ac:dyDescent="0.15"/>
    <row r="44822" s="9" customFormat="1" ht="35.1" customHeight="1" x14ac:dyDescent="0.15"/>
    <row r="44823" s="9" customFormat="1" ht="21.95" customHeight="1" x14ac:dyDescent="0.15"/>
    <row r="44824" s="9" customFormat="1" ht="21.95" customHeight="1" x14ac:dyDescent="0.15"/>
    <row r="44825" s="9" customFormat="1" ht="21.95" customHeight="1" x14ac:dyDescent="0.15"/>
    <row r="44826" s="9" customFormat="1" ht="21.95" customHeight="1" x14ac:dyDescent="0.15"/>
    <row r="44827" s="9" customFormat="1" ht="21.95" customHeight="1" x14ac:dyDescent="0.15"/>
    <row r="44828" s="9" customFormat="1" ht="21.95" customHeight="1" x14ac:dyDescent="0.15"/>
    <row r="44829" s="9" customFormat="1" ht="21.95" customHeight="1" x14ac:dyDescent="0.15"/>
    <row r="44830" s="9" customFormat="1" ht="21.95" customHeight="1" x14ac:dyDescent="0.15"/>
    <row r="44831" s="9" customFormat="1" ht="21.95" customHeight="1" x14ac:dyDescent="0.15"/>
    <row r="44832" s="9" customFormat="1" ht="21.95" customHeight="1" x14ac:dyDescent="0.15"/>
    <row r="44833" spans="3:3" s="9" customFormat="1" ht="21.95" customHeight="1" x14ac:dyDescent="0.15"/>
    <row r="44834" spans="3:3" s="9" customFormat="1" ht="21.95" customHeight="1" x14ac:dyDescent="0.15"/>
    <row r="44835" spans="3:3" s="9" customFormat="1" ht="21.95" customHeight="1" x14ac:dyDescent="0.15"/>
    <row r="44836" spans="3:3" s="9" customFormat="1" ht="21.95" customHeight="1" x14ac:dyDescent="0.15"/>
    <row r="44837" spans="3:3" s="9" customFormat="1" ht="21.95" customHeight="1" x14ac:dyDescent="0.15"/>
    <row r="44838" spans="3:3" s="9" customFormat="1" ht="21.95" customHeight="1" x14ac:dyDescent="0.15"/>
    <row r="44839" spans="3:3" s="9" customFormat="1" ht="21.95" customHeight="1" x14ac:dyDescent="0.15"/>
    <row r="44840" spans="3:3" s="9" customFormat="1" ht="21.95" customHeight="1" x14ac:dyDescent="0.15"/>
    <row r="44841" spans="3:3" s="9" customFormat="1" ht="21.95" customHeight="1" x14ac:dyDescent="0.15"/>
    <row r="44842" spans="3:3" s="9" customFormat="1" ht="21.95" customHeight="1" x14ac:dyDescent="0.15"/>
    <row r="44843" spans="3:3" s="9" customFormat="1" ht="21.95" customHeight="1" x14ac:dyDescent="0.15"/>
    <row r="44844" spans="3:3" s="9" customFormat="1" ht="21.95" customHeight="1" x14ac:dyDescent="0.15"/>
    <row r="44845" spans="3:3" s="9" customFormat="1" ht="21.95" customHeight="1" x14ac:dyDescent="0.15"/>
    <row r="44846" spans="3:3" s="8" customFormat="1" ht="21.95" customHeight="1" x14ac:dyDescent="0.15"/>
    <row r="44847" spans="3:3" s="8" customFormat="1" ht="21.95" customHeight="1" x14ac:dyDescent="0.15"/>
    <row r="44848" spans="3:3" s="8" customFormat="1" ht="21.95" customHeight="1" x14ac:dyDescent="0.15">
      <c r="C44848" s="101"/>
    </row>
    <row r="44849" spans="3:3" s="8" customFormat="1" ht="21.95" customHeight="1" x14ac:dyDescent="0.15">
      <c r="C44849" s="101"/>
    </row>
    <row r="44850" spans="3:3" s="8" customFormat="1" ht="21.95" customHeight="1" x14ac:dyDescent="0.15"/>
    <row r="44851" spans="3:3" s="8" customFormat="1" ht="21.95" customHeight="1" x14ac:dyDescent="0.15"/>
    <row r="44852" spans="3:3" s="8" customFormat="1" ht="21.95" customHeight="1" x14ac:dyDescent="0.15"/>
    <row r="44853" spans="3:3" s="8" customFormat="1" ht="21.95" customHeight="1" x14ac:dyDescent="0.15"/>
    <row r="44854" spans="3:3" s="8" customFormat="1" ht="21.95" customHeight="1" x14ac:dyDescent="0.15"/>
    <row r="44855" spans="3:3" s="8" customFormat="1" ht="21.95" customHeight="1" x14ac:dyDescent="0.15"/>
    <row r="44856" spans="3:3" s="8" customFormat="1" ht="21.95" customHeight="1" x14ac:dyDescent="0.15"/>
    <row r="44857" spans="3:3" s="9" customFormat="1" ht="21.95" customHeight="1" x14ac:dyDescent="0.15"/>
    <row r="44858" spans="3:3" s="9" customFormat="1" ht="21.95" customHeight="1" x14ac:dyDescent="0.15"/>
    <row r="44859" spans="3:3" s="9" customFormat="1" ht="21.95" customHeight="1" x14ac:dyDescent="0.15"/>
    <row r="44860" spans="3:3" s="9" customFormat="1" ht="21.95" customHeight="1" x14ac:dyDescent="0.15"/>
    <row r="44861" spans="3:3" s="8" customFormat="1" ht="21.95" customHeight="1" x14ac:dyDescent="0.15"/>
    <row r="44862" spans="3:3" s="8" customFormat="1" ht="21.95" customHeight="1" x14ac:dyDescent="0.15"/>
    <row r="44863" spans="3:3" s="8" customFormat="1" ht="21.95" customHeight="1" x14ac:dyDescent="0.15"/>
    <row r="44864" spans="3:3" s="8" customFormat="1" ht="21.95" customHeight="1" x14ac:dyDescent="0.15"/>
    <row r="44865" s="8" customFormat="1" ht="21.95" customHeight="1" x14ac:dyDescent="0.15"/>
    <row r="44866" s="8" customFormat="1" ht="21.95" customHeight="1" x14ac:dyDescent="0.15"/>
    <row r="44867" s="8" customFormat="1" ht="21.95" customHeight="1" x14ac:dyDescent="0.15"/>
    <row r="44868" s="8" customFormat="1" ht="21.95" customHeight="1" x14ac:dyDescent="0.15"/>
    <row r="44869" s="8" customFormat="1" ht="21.95" customHeight="1" x14ac:dyDescent="0.15"/>
    <row r="44870" s="8" customFormat="1" ht="21.95" customHeight="1" x14ac:dyDescent="0.15"/>
    <row r="44871" s="8" customFormat="1" ht="21.95" customHeight="1" x14ac:dyDescent="0.15"/>
    <row r="44872" s="8" customFormat="1" ht="32.1" customHeight="1" x14ac:dyDescent="0.15"/>
    <row r="44873" s="8" customFormat="1" ht="32.1" customHeight="1" x14ac:dyDescent="0.15"/>
    <row r="44874" s="8" customFormat="1" ht="32.1" customHeight="1" x14ac:dyDescent="0.15"/>
    <row r="44875" s="8" customFormat="1" ht="32.1" customHeight="1" x14ac:dyDescent="0.15"/>
    <row r="44876" s="8" customFormat="1" ht="32.1" customHeight="1" x14ac:dyDescent="0.15"/>
    <row r="44877" s="8" customFormat="1" ht="32.1" customHeight="1" x14ac:dyDescent="0.15"/>
    <row r="44878" s="9" customFormat="1" ht="32.1" customHeight="1" x14ac:dyDescent="0.15"/>
    <row r="44879" s="9" customFormat="1" ht="32.1" customHeight="1" x14ac:dyDescent="0.15"/>
    <row r="44880" s="9" customFormat="1" ht="32.1" customHeight="1" x14ac:dyDescent="0.15"/>
    <row r="44881" s="9" customFormat="1" ht="32.1" customHeight="1" x14ac:dyDescent="0.15"/>
    <row r="44882" s="9" customFormat="1" ht="21.95" customHeight="1" x14ac:dyDescent="0.15"/>
    <row r="44883" s="9" customFormat="1" ht="54" customHeight="1" x14ac:dyDescent="0.15"/>
    <row r="44884" s="9" customFormat="1" ht="21.95" customHeight="1" x14ac:dyDescent="0.15"/>
    <row r="44885" s="9" customFormat="1" ht="21.95" customHeight="1" x14ac:dyDescent="0.15"/>
    <row r="44886" s="9" customFormat="1" ht="21.95" customHeight="1" x14ac:dyDescent="0.15"/>
    <row r="44887" s="9" customFormat="1" ht="21.95" customHeight="1" x14ac:dyDescent="0.15"/>
    <row r="44888" s="9" customFormat="1" ht="21.95" customHeight="1" x14ac:dyDescent="0.15"/>
    <row r="44889" s="9" customFormat="1" ht="21.95" customHeight="1" x14ac:dyDescent="0.15"/>
    <row r="44890" s="9" customFormat="1" ht="21.95" customHeight="1" x14ac:dyDescent="0.15"/>
    <row r="44891" s="9" customFormat="1" ht="21.95" customHeight="1" x14ac:dyDescent="0.15"/>
    <row r="44892" s="9" customFormat="1" ht="21.95" customHeight="1" x14ac:dyDescent="0.15"/>
    <row r="44893" s="9" customFormat="1" ht="21.95" customHeight="1" x14ac:dyDescent="0.15"/>
    <row r="44894" s="9" customFormat="1" ht="21.95" customHeight="1" x14ac:dyDescent="0.15"/>
    <row r="44895" s="9" customFormat="1" ht="21.95" customHeight="1" x14ac:dyDescent="0.15"/>
    <row r="44896" s="9" customFormat="1" ht="21.95" customHeight="1" x14ac:dyDescent="0.15"/>
    <row r="44897" s="9" customFormat="1" ht="21.95" customHeight="1" x14ac:dyDescent="0.15"/>
    <row r="44898" s="9" customFormat="1" ht="21.95" customHeight="1" x14ac:dyDescent="0.15"/>
    <row r="44899" s="9" customFormat="1" ht="21.95" customHeight="1" x14ac:dyDescent="0.15"/>
    <row r="44900" s="9" customFormat="1" ht="21.95" customHeight="1" x14ac:dyDescent="0.15"/>
    <row r="44901" s="9" customFormat="1" ht="21.95" customHeight="1" x14ac:dyDescent="0.15"/>
    <row r="44902" s="9" customFormat="1" ht="21.95" customHeight="1" x14ac:dyDescent="0.15"/>
    <row r="44903" s="9" customFormat="1" ht="21.95" customHeight="1" x14ac:dyDescent="0.15"/>
    <row r="44904" s="9" customFormat="1" ht="21.95" customHeight="1" x14ac:dyDescent="0.15"/>
    <row r="44905" s="9" customFormat="1" ht="21.95" customHeight="1" x14ac:dyDescent="0.15"/>
    <row r="44906" s="9" customFormat="1" ht="21.95" customHeight="1" x14ac:dyDescent="0.15"/>
    <row r="44907" s="9" customFormat="1" ht="21.95" customHeight="1" x14ac:dyDescent="0.15"/>
    <row r="44908" s="9" customFormat="1" ht="21.95" customHeight="1" x14ac:dyDescent="0.15"/>
    <row r="44909" s="9" customFormat="1" ht="21.95" customHeight="1" x14ac:dyDescent="0.15"/>
    <row r="44910" s="9" customFormat="1" ht="21.95" customHeight="1" x14ac:dyDescent="0.15"/>
    <row r="44911" s="9" customFormat="1" ht="21.95" customHeight="1" x14ac:dyDescent="0.15"/>
    <row r="44912" s="9" customFormat="1" ht="21.95" customHeight="1" x14ac:dyDescent="0.15"/>
    <row r="44913" s="9" customFormat="1" ht="21.95" customHeight="1" x14ac:dyDescent="0.15"/>
    <row r="44914" s="9" customFormat="1" ht="21.95" customHeight="1" x14ac:dyDescent="0.15"/>
    <row r="44915" s="9" customFormat="1" ht="21.95" customHeight="1" x14ac:dyDescent="0.15"/>
    <row r="44916" s="9" customFormat="1" ht="21.95" customHeight="1" x14ac:dyDescent="0.15"/>
    <row r="44917" s="9" customFormat="1" ht="21.95" customHeight="1" x14ac:dyDescent="0.15"/>
    <row r="44918" s="9" customFormat="1" ht="21.95" customHeight="1" x14ac:dyDescent="0.15"/>
    <row r="44919" s="9" customFormat="1" ht="21.95" customHeight="1" x14ac:dyDescent="0.15"/>
    <row r="44920" s="9" customFormat="1" ht="21.95" customHeight="1" x14ac:dyDescent="0.15"/>
    <row r="44921" s="9" customFormat="1" ht="21.95" customHeight="1" x14ac:dyDescent="0.15"/>
    <row r="44922" s="9" customFormat="1" ht="21.95" customHeight="1" x14ac:dyDescent="0.15"/>
    <row r="44923" s="9" customFormat="1" ht="21.95" customHeight="1" x14ac:dyDescent="0.15"/>
    <row r="44924" s="9" customFormat="1" ht="21.95" customHeight="1" x14ac:dyDescent="0.15"/>
    <row r="44925" s="9" customFormat="1" ht="21.95" customHeight="1" x14ac:dyDescent="0.15"/>
    <row r="44926" s="9" customFormat="1" ht="21.95" customHeight="1" x14ac:dyDescent="0.15"/>
    <row r="44927" s="9" customFormat="1" ht="21.95" customHeight="1" x14ac:dyDescent="0.15"/>
    <row r="44928" s="9" customFormat="1" ht="21.95" customHeight="1" x14ac:dyDescent="0.15"/>
    <row r="44929" s="9" customFormat="1" ht="21.95" customHeight="1" x14ac:dyDescent="0.15"/>
    <row r="44930" s="9" customFormat="1" ht="21.95" customHeight="1" x14ac:dyDescent="0.15"/>
    <row r="44931" s="9" customFormat="1" ht="21.95" customHeight="1" x14ac:dyDescent="0.15"/>
    <row r="44932" s="9" customFormat="1" ht="21.95" customHeight="1" x14ac:dyDescent="0.15"/>
    <row r="44933" s="9" customFormat="1" ht="21.95" customHeight="1" x14ac:dyDescent="0.15"/>
    <row r="44934" s="9" customFormat="1" ht="35.1" customHeight="1" x14ac:dyDescent="0.15"/>
    <row r="44935" s="9" customFormat="1" ht="21.95" customHeight="1" x14ac:dyDescent="0.15"/>
    <row r="44936" s="9" customFormat="1" ht="21.95" customHeight="1" x14ac:dyDescent="0.15"/>
    <row r="44937" s="9" customFormat="1" ht="21.95" customHeight="1" x14ac:dyDescent="0.15"/>
    <row r="44938" s="9" customFormat="1" ht="21.95" customHeight="1" x14ac:dyDescent="0.15"/>
    <row r="44939" s="9" customFormat="1" ht="21.95" customHeight="1" x14ac:dyDescent="0.15"/>
    <row r="44940" s="9" customFormat="1" ht="21.95" customHeight="1" x14ac:dyDescent="0.15"/>
    <row r="44941" s="9" customFormat="1" ht="21.95" customHeight="1" x14ac:dyDescent="0.15"/>
    <row r="44942" s="9" customFormat="1" ht="21.95" customHeight="1" x14ac:dyDescent="0.15"/>
    <row r="44943" s="9" customFormat="1" ht="21.95" customHeight="1" x14ac:dyDescent="0.15"/>
    <row r="44944" s="9" customFormat="1" ht="21.95" customHeight="1" x14ac:dyDescent="0.15"/>
    <row r="44945" spans="3:3" s="9" customFormat="1" ht="21.95" customHeight="1" x14ac:dyDescent="0.15"/>
    <row r="44946" spans="3:3" s="9" customFormat="1" ht="21.95" customHeight="1" x14ac:dyDescent="0.15"/>
    <row r="44947" spans="3:3" s="9" customFormat="1" ht="21.95" customHeight="1" x14ac:dyDescent="0.15"/>
    <row r="44948" spans="3:3" s="9" customFormat="1" ht="21.95" customHeight="1" x14ac:dyDescent="0.15"/>
    <row r="44949" spans="3:3" s="9" customFormat="1" ht="21.95" customHeight="1" x14ac:dyDescent="0.15"/>
    <row r="44950" spans="3:3" s="9" customFormat="1" ht="21.95" customHeight="1" x14ac:dyDescent="0.15"/>
    <row r="44951" spans="3:3" s="9" customFormat="1" ht="21.95" customHeight="1" x14ac:dyDescent="0.15"/>
    <row r="44952" spans="3:3" s="9" customFormat="1" ht="21.95" customHeight="1" x14ac:dyDescent="0.15"/>
    <row r="44953" spans="3:3" s="9" customFormat="1" ht="21.95" customHeight="1" x14ac:dyDescent="0.15"/>
    <row r="44954" spans="3:3" s="9" customFormat="1" ht="21.95" customHeight="1" x14ac:dyDescent="0.15"/>
    <row r="44955" spans="3:3" s="9" customFormat="1" ht="21.95" customHeight="1" x14ac:dyDescent="0.15"/>
    <row r="44956" spans="3:3" s="9" customFormat="1" ht="21.95" customHeight="1" x14ac:dyDescent="0.15"/>
    <row r="44957" spans="3:3" s="9" customFormat="1" ht="21.95" customHeight="1" x14ac:dyDescent="0.15"/>
    <row r="44958" spans="3:3" s="8" customFormat="1" ht="21.95" customHeight="1" x14ac:dyDescent="0.15"/>
    <row r="44959" spans="3:3" s="8" customFormat="1" ht="21.95" customHeight="1" x14ac:dyDescent="0.15"/>
    <row r="44960" spans="3:3" s="8" customFormat="1" ht="21.95" customHeight="1" x14ac:dyDescent="0.15">
      <c r="C44960" s="101"/>
    </row>
    <row r="44961" spans="3:3" s="8" customFormat="1" ht="21.95" customHeight="1" x14ac:dyDescent="0.15">
      <c r="C44961" s="101"/>
    </row>
    <row r="44962" spans="3:3" s="8" customFormat="1" ht="21.95" customHeight="1" x14ac:dyDescent="0.15"/>
    <row r="44963" spans="3:3" s="8" customFormat="1" ht="21.95" customHeight="1" x14ac:dyDescent="0.15"/>
    <row r="44964" spans="3:3" s="8" customFormat="1" ht="21.95" customHeight="1" x14ac:dyDescent="0.15"/>
    <row r="44965" spans="3:3" s="8" customFormat="1" ht="21.95" customHeight="1" x14ac:dyDescent="0.15"/>
    <row r="44966" spans="3:3" s="8" customFormat="1" ht="21.95" customHeight="1" x14ac:dyDescent="0.15"/>
    <row r="44967" spans="3:3" s="8" customFormat="1" ht="21.95" customHeight="1" x14ac:dyDescent="0.15"/>
    <row r="44968" spans="3:3" s="8" customFormat="1" ht="21.95" customHeight="1" x14ac:dyDescent="0.15"/>
    <row r="44969" spans="3:3" s="9" customFormat="1" ht="21.95" customHeight="1" x14ac:dyDescent="0.15"/>
    <row r="44970" spans="3:3" s="9" customFormat="1" ht="21.95" customHeight="1" x14ac:dyDescent="0.15"/>
    <row r="44971" spans="3:3" s="9" customFormat="1" ht="21.95" customHeight="1" x14ac:dyDescent="0.15"/>
    <row r="44972" spans="3:3" s="9" customFormat="1" ht="21.95" customHeight="1" x14ac:dyDescent="0.15"/>
    <row r="44973" spans="3:3" s="8" customFormat="1" ht="21.95" customHeight="1" x14ac:dyDescent="0.15"/>
    <row r="44974" spans="3:3" s="8" customFormat="1" ht="21.95" customHeight="1" x14ac:dyDescent="0.15"/>
    <row r="44975" spans="3:3" s="8" customFormat="1" ht="21.95" customHeight="1" x14ac:dyDescent="0.15"/>
    <row r="44976" spans="3:3" s="8" customFormat="1" ht="21.95" customHeight="1" x14ac:dyDescent="0.15"/>
    <row r="44977" s="8" customFormat="1" ht="21.95" customHeight="1" x14ac:dyDescent="0.15"/>
    <row r="44978" s="8" customFormat="1" ht="21.95" customHeight="1" x14ac:dyDescent="0.15"/>
    <row r="44979" s="8" customFormat="1" ht="21.95" customHeight="1" x14ac:dyDescent="0.15"/>
    <row r="44980" s="8" customFormat="1" ht="21.95" customHeight="1" x14ac:dyDescent="0.15"/>
    <row r="44981" s="8" customFormat="1" ht="21.95" customHeight="1" x14ac:dyDescent="0.15"/>
    <row r="44982" s="8" customFormat="1" ht="21.95" customHeight="1" x14ac:dyDescent="0.15"/>
    <row r="44983" s="8" customFormat="1" ht="21.95" customHeight="1" x14ac:dyDescent="0.15"/>
    <row r="44984" s="8" customFormat="1" ht="32.1" customHeight="1" x14ac:dyDescent="0.15"/>
    <row r="44985" s="8" customFormat="1" ht="32.1" customHeight="1" x14ac:dyDescent="0.15"/>
    <row r="44986" s="8" customFormat="1" ht="32.1" customHeight="1" x14ac:dyDescent="0.15"/>
    <row r="44987" s="8" customFormat="1" ht="32.1" customHeight="1" x14ac:dyDescent="0.15"/>
    <row r="44988" s="8" customFormat="1" ht="32.1" customHeight="1" x14ac:dyDescent="0.15"/>
    <row r="44989" s="8" customFormat="1" ht="32.1" customHeight="1" x14ac:dyDescent="0.15"/>
    <row r="44990" s="9" customFormat="1" ht="32.1" customHeight="1" x14ac:dyDescent="0.15"/>
    <row r="44991" s="9" customFormat="1" ht="32.1" customHeight="1" x14ac:dyDescent="0.15"/>
    <row r="44992" s="9" customFormat="1" ht="32.1" customHeight="1" x14ac:dyDescent="0.15"/>
    <row r="44993" s="9" customFormat="1" ht="32.1" customHeight="1" x14ac:dyDescent="0.15"/>
    <row r="44994" s="9" customFormat="1" ht="21.95" customHeight="1" x14ac:dyDescent="0.15"/>
    <row r="44995" s="9" customFormat="1" ht="54" customHeight="1" x14ac:dyDescent="0.15"/>
    <row r="44996" s="9" customFormat="1" ht="21.95" customHeight="1" x14ac:dyDescent="0.15"/>
    <row r="44997" s="9" customFormat="1" ht="21.95" customHeight="1" x14ac:dyDescent="0.15"/>
    <row r="44998" s="9" customFormat="1" ht="21.95" customHeight="1" x14ac:dyDescent="0.15"/>
    <row r="44999" s="9" customFormat="1" ht="21.95" customHeight="1" x14ac:dyDescent="0.15"/>
    <row r="45000" s="9" customFormat="1" ht="21.95" customHeight="1" x14ac:dyDescent="0.15"/>
    <row r="45001" s="9" customFormat="1" ht="21.95" customHeight="1" x14ac:dyDescent="0.15"/>
    <row r="45002" s="9" customFormat="1" ht="21.95" customHeight="1" x14ac:dyDescent="0.15"/>
    <row r="45003" s="9" customFormat="1" ht="21.95" customHeight="1" x14ac:dyDescent="0.15"/>
    <row r="45004" s="9" customFormat="1" ht="21.95" customHeight="1" x14ac:dyDescent="0.15"/>
    <row r="45005" s="9" customFormat="1" ht="21.95" customHeight="1" x14ac:dyDescent="0.15"/>
    <row r="45006" s="9" customFormat="1" ht="21.95" customHeight="1" x14ac:dyDescent="0.15"/>
    <row r="45007" s="9" customFormat="1" ht="21.95" customHeight="1" x14ac:dyDescent="0.15"/>
    <row r="45008" s="9" customFormat="1" ht="21.95" customHeight="1" x14ac:dyDescent="0.15"/>
    <row r="45009" s="9" customFormat="1" ht="21.95" customHeight="1" x14ac:dyDescent="0.15"/>
    <row r="45010" s="9" customFormat="1" ht="21.95" customHeight="1" x14ac:dyDescent="0.15"/>
    <row r="45011" s="9" customFormat="1" ht="21.95" customHeight="1" x14ac:dyDescent="0.15"/>
    <row r="45012" s="9" customFormat="1" ht="21.95" customHeight="1" x14ac:dyDescent="0.15"/>
    <row r="45013" s="9" customFormat="1" ht="21.95" customHeight="1" x14ac:dyDescent="0.15"/>
    <row r="45014" s="9" customFormat="1" ht="21.95" customHeight="1" x14ac:dyDescent="0.15"/>
    <row r="45015" s="9" customFormat="1" ht="21.95" customHeight="1" x14ac:dyDescent="0.15"/>
    <row r="45016" s="9" customFormat="1" ht="21.95" customHeight="1" x14ac:dyDescent="0.15"/>
    <row r="45017" s="9" customFormat="1" ht="21.95" customHeight="1" x14ac:dyDescent="0.15"/>
    <row r="45018" s="9" customFormat="1" ht="21.95" customHeight="1" x14ac:dyDescent="0.15"/>
    <row r="45019" s="9" customFormat="1" ht="21.95" customHeight="1" x14ac:dyDescent="0.15"/>
    <row r="45020" s="9" customFormat="1" ht="21.95" customHeight="1" x14ac:dyDescent="0.15"/>
    <row r="45021" s="9" customFormat="1" ht="21.95" customHeight="1" x14ac:dyDescent="0.15"/>
    <row r="45022" s="9" customFormat="1" ht="21.95" customHeight="1" x14ac:dyDescent="0.15"/>
    <row r="45023" s="9" customFormat="1" ht="21.95" customHeight="1" x14ac:dyDescent="0.15"/>
    <row r="45024" s="9" customFormat="1" ht="21.95" customHeight="1" x14ac:dyDescent="0.15"/>
    <row r="45025" s="9" customFormat="1" ht="21.95" customHeight="1" x14ac:dyDescent="0.15"/>
    <row r="45026" s="9" customFormat="1" ht="21.95" customHeight="1" x14ac:dyDescent="0.15"/>
    <row r="45027" s="9" customFormat="1" ht="21.95" customHeight="1" x14ac:dyDescent="0.15"/>
    <row r="45028" s="9" customFormat="1" ht="21.95" customHeight="1" x14ac:dyDescent="0.15"/>
    <row r="45029" s="9" customFormat="1" ht="21.95" customHeight="1" x14ac:dyDescent="0.15"/>
    <row r="45030" s="9" customFormat="1" ht="21.95" customHeight="1" x14ac:dyDescent="0.15"/>
    <row r="45031" s="9" customFormat="1" ht="21.95" customHeight="1" x14ac:dyDescent="0.15"/>
    <row r="45032" s="9" customFormat="1" ht="21.95" customHeight="1" x14ac:dyDescent="0.15"/>
    <row r="45033" s="9" customFormat="1" ht="21.95" customHeight="1" x14ac:dyDescent="0.15"/>
    <row r="45034" s="9" customFormat="1" ht="21.95" customHeight="1" x14ac:dyDescent="0.15"/>
    <row r="45035" s="9" customFormat="1" ht="21.95" customHeight="1" x14ac:dyDescent="0.15"/>
    <row r="45036" s="9" customFormat="1" ht="21.95" customHeight="1" x14ac:dyDescent="0.15"/>
    <row r="45037" s="9" customFormat="1" ht="21.95" customHeight="1" x14ac:dyDescent="0.15"/>
    <row r="45038" s="9" customFormat="1" ht="21.95" customHeight="1" x14ac:dyDescent="0.15"/>
    <row r="45039" s="9" customFormat="1" ht="21.95" customHeight="1" x14ac:dyDescent="0.15"/>
    <row r="45040" s="9" customFormat="1" ht="21.95" customHeight="1" x14ac:dyDescent="0.15"/>
    <row r="45041" s="9" customFormat="1" ht="21.95" customHeight="1" x14ac:dyDescent="0.15"/>
    <row r="45042" s="9" customFormat="1" ht="21.95" customHeight="1" x14ac:dyDescent="0.15"/>
    <row r="45043" s="9" customFormat="1" ht="21.95" customHeight="1" x14ac:dyDescent="0.15"/>
    <row r="45044" s="9" customFormat="1" ht="21.95" customHeight="1" x14ac:dyDescent="0.15"/>
    <row r="45045" s="9" customFormat="1" ht="21.95" customHeight="1" x14ac:dyDescent="0.15"/>
    <row r="45046" s="9" customFormat="1" ht="35.1" customHeight="1" x14ac:dyDescent="0.15"/>
    <row r="45047" s="9" customFormat="1" ht="21.95" customHeight="1" x14ac:dyDescent="0.15"/>
    <row r="45048" s="9" customFormat="1" ht="21.95" customHeight="1" x14ac:dyDescent="0.15"/>
    <row r="45049" s="9" customFormat="1" ht="21.95" customHeight="1" x14ac:dyDescent="0.15"/>
    <row r="45050" s="9" customFormat="1" ht="21.95" customHeight="1" x14ac:dyDescent="0.15"/>
    <row r="45051" s="9" customFormat="1" ht="21.95" customHeight="1" x14ac:dyDescent="0.15"/>
    <row r="45052" s="9" customFormat="1" ht="21.95" customHeight="1" x14ac:dyDescent="0.15"/>
    <row r="45053" s="9" customFormat="1" ht="21.95" customHeight="1" x14ac:dyDescent="0.15"/>
    <row r="45054" s="9" customFormat="1" ht="21.95" customHeight="1" x14ac:dyDescent="0.15"/>
    <row r="45055" s="9" customFormat="1" ht="21.95" customHeight="1" x14ac:dyDescent="0.15"/>
    <row r="45056" s="9" customFormat="1" ht="21.95" customHeight="1" x14ac:dyDescent="0.15"/>
    <row r="45057" spans="3:3" s="9" customFormat="1" ht="21.95" customHeight="1" x14ac:dyDescent="0.15"/>
    <row r="45058" spans="3:3" s="9" customFormat="1" ht="21.95" customHeight="1" x14ac:dyDescent="0.15"/>
    <row r="45059" spans="3:3" s="9" customFormat="1" ht="21.95" customHeight="1" x14ac:dyDescent="0.15"/>
    <row r="45060" spans="3:3" s="9" customFormat="1" ht="21.95" customHeight="1" x14ac:dyDescent="0.15"/>
    <row r="45061" spans="3:3" s="9" customFormat="1" ht="21.95" customHeight="1" x14ac:dyDescent="0.15"/>
    <row r="45062" spans="3:3" s="9" customFormat="1" ht="21.95" customHeight="1" x14ac:dyDescent="0.15"/>
    <row r="45063" spans="3:3" s="9" customFormat="1" ht="21.95" customHeight="1" x14ac:dyDescent="0.15"/>
    <row r="45064" spans="3:3" s="9" customFormat="1" ht="21.95" customHeight="1" x14ac:dyDescent="0.15"/>
    <row r="45065" spans="3:3" s="9" customFormat="1" ht="21.95" customHeight="1" x14ac:dyDescent="0.15"/>
    <row r="45066" spans="3:3" s="9" customFormat="1" ht="21.95" customHeight="1" x14ac:dyDescent="0.15"/>
    <row r="45067" spans="3:3" s="9" customFormat="1" ht="21.95" customHeight="1" x14ac:dyDescent="0.15"/>
    <row r="45068" spans="3:3" s="9" customFormat="1" ht="21.95" customHeight="1" x14ac:dyDescent="0.15"/>
    <row r="45069" spans="3:3" s="9" customFormat="1" ht="21.95" customHeight="1" x14ac:dyDescent="0.15"/>
    <row r="45070" spans="3:3" s="8" customFormat="1" ht="21.95" customHeight="1" x14ac:dyDescent="0.15"/>
    <row r="45071" spans="3:3" s="8" customFormat="1" ht="21.95" customHeight="1" x14ac:dyDescent="0.15"/>
    <row r="45072" spans="3:3" s="8" customFormat="1" ht="21.95" customHeight="1" x14ac:dyDescent="0.15">
      <c r="C45072" s="101"/>
    </row>
    <row r="45073" spans="3:3" s="8" customFormat="1" ht="21.95" customHeight="1" x14ac:dyDescent="0.15">
      <c r="C45073" s="101"/>
    </row>
    <row r="45074" spans="3:3" s="8" customFormat="1" ht="21.95" customHeight="1" x14ac:dyDescent="0.15"/>
    <row r="45075" spans="3:3" s="8" customFormat="1" ht="21.95" customHeight="1" x14ac:dyDescent="0.15"/>
    <row r="45076" spans="3:3" s="8" customFormat="1" ht="21.95" customHeight="1" x14ac:dyDescent="0.15"/>
    <row r="45077" spans="3:3" s="8" customFormat="1" ht="21.95" customHeight="1" x14ac:dyDescent="0.15"/>
    <row r="45078" spans="3:3" s="8" customFormat="1" ht="21.95" customHeight="1" x14ac:dyDescent="0.15"/>
    <row r="45079" spans="3:3" s="8" customFormat="1" ht="21.95" customHeight="1" x14ac:dyDescent="0.15"/>
    <row r="45080" spans="3:3" s="8" customFormat="1" ht="21.95" customHeight="1" x14ac:dyDescent="0.15"/>
    <row r="45081" spans="3:3" s="9" customFormat="1" ht="21.95" customHeight="1" x14ac:dyDescent="0.15"/>
    <row r="45082" spans="3:3" s="9" customFormat="1" ht="21.95" customHeight="1" x14ac:dyDescent="0.15"/>
    <row r="45083" spans="3:3" s="9" customFormat="1" ht="21.95" customHeight="1" x14ac:dyDescent="0.15"/>
    <row r="45084" spans="3:3" s="9" customFormat="1" ht="21.95" customHeight="1" x14ac:dyDescent="0.15"/>
    <row r="45085" spans="3:3" s="8" customFormat="1" ht="21.95" customHeight="1" x14ac:dyDescent="0.15"/>
    <row r="45086" spans="3:3" s="8" customFormat="1" ht="21.95" customHeight="1" x14ac:dyDescent="0.15"/>
    <row r="45087" spans="3:3" s="8" customFormat="1" ht="21.95" customHeight="1" x14ac:dyDescent="0.15"/>
    <row r="45088" spans="3:3" s="8" customFormat="1" ht="21.95" customHeight="1" x14ac:dyDescent="0.15"/>
    <row r="45089" s="8" customFormat="1" ht="21.95" customHeight="1" x14ac:dyDescent="0.15"/>
    <row r="45090" s="8" customFormat="1" ht="21.95" customHeight="1" x14ac:dyDescent="0.15"/>
    <row r="45091" s="8" customFormat="1" ht="21.95" customHeight="1" x14ac:dyDescent="0.15"/>
    <row r="45092" s="8" customFormat="1" ht="21.95" customHeight="1" x14ac:dyDescent="0.15"/>
    <row r="45093" s="8" customFormat="1" ht="21.95" customHeight="1" x14ac:dyDescent="0.15"/>
    <row r="45094" s="8" customFormat="1" ht="21.95" customHeight="1" x14ac:dyDescent="0.15"/>
    <row r="45095" s="8" customFormat="1" ht="21.95" customHeight="1" x14ac:dyDescent="0.15"/>
    <row r="45096" s="8" customFormat="1" ht="32.1" customHeight="1" x14ac:dyDescent="0.15"/>
    <row r="45097" s="8" customFormat="1" ht="32.1" customHeight="1" x14ac:dyDescent="0.15"/>
    <row r="45098" s="8" customFormat="1" ht="32.1" customHeight="1" x14ac:dyDescent="0.15"/>
    <row r="45099" s="8" customFormat="1" ht="32.1" customHeight="1" x14ac:dyDescent="0.15"/>
    <row r="45100" s="8" customFormat="1" ht="32.1" customHeight="1" x14ac:dyDescent="0.15"/>
    <row r="45101" s="8" customFormat="1" ht="32.1" customHeight="1" x14ac:dyDescent="0.15"/>
    <row r="45102" s="9" customFormat="1" ht="32.1" customHeight="1" x14ac:dyDescent="0.15"/>
    <row r="45103" s="9" customFormat="1" ht="32.1" customHeight="1" x14ac:dyDescent="0.15"/>
    <row r="45104" s="9" customFormat="1" ht="32.1" customHeight="1" x14ac:dyDescent="0.15"/>
    <row r="45105" s="9" customFormat="1" ht="32.1" customHeight="1" x14ac:dyDescent="0.15"/>
    <row r="45106" s="9" customFormat="1" ht="21.95" customHeight="1" x14ac:dyDescent="0.15"/>
    <row r="45107" s="9" customFormat="1" ht="54" customHeight="1" x14ac:dyDescent="0.15"/>
    <row r="45108" s="9" customFormat="1" ht="21.95" customHeight="1" x14ac:dyDescent="0.15"/>
    <row r="45109" s="9" customFormat="1" ht="21.95" customHeight="1" x14ac:dyDescent="0.15"/>
    <row r="45110" s="9" customFormat="1" ht="21.95" customHeight="1" x14ac:dyDescent="0.15"/>
    <row r="45111" s="9" customFormat="1" ht="21.95" customHeight="1" x14ac:dyDescent="0.15"/>
    <row r="45112" s="9" customFormat="1" ht="21.95" customHeight="1" x14ac:dyDescent="0.15"/>
    <row r="45113" s="9" customFormat="1" ht="21.95" customHeight="1" x14ac:dyDescent="0.15"/>
    <row r="45114" s="9" customFormat="1" ht="21.95" customHeight="1" x14ac:dyDescent="0.15"/>
    <row r="45115" s="9" customFormat="1" ht="21.95" customHeight="1" x14ac:dyDescent="0.15"/>
    <row r="45116" s="9" customFormat="1" ht="21.95" customHeight="1" x14ac:dyDescent="0.15"/>
    <row r="45117" s="9" customFormat="1" ht="21.95" customHeight="1" x14ac:dyDescent="0.15"/>
    <row r="45118" s="9" customFormat="1" ht="21.95" customHeight="1" x14ac:dyDescent="0.15"/>
    <row r="45119" s="9" customFormat="1" ht="21.95" customHeight="1" x14ac:dyDescent="0.15"/>
    <row r="45120" s="9" customFormat="1" ht="21.95" customHeight="1" x14ac:dyDescent="0.15"/>
    <row r="45121" s="9" customFormat="1" ht="21.95" customHeight="1" x14ac:dyDescent="0.15"/>
    <row r="45122" s="9" customFormat="1" ht="21.95" customHeight="1" x14ac:dyDescent="0.15"/>
    <row r="45123" s="9" customFormat="1" ht="21.95" customHeight="1" x14ac:dyDescent="0.15"/>
    <row r="45124" s="9" customFormat="1" ht="21.95" customHeight="1" x14ac:dyDescent="0.15"/>
    <row r="45125" s="9" customFormat="1" ht="21.95" customHeight="1" x14ac:dyDescent="0.15"/>
    <row r="45126" s="9" customFormat="1" ht="21.95" customHeight="1" x14ac:dyDescent="0.15"/>
    <row r="45127" s="9" customFormat="1" ht="21.95" customHeight="1" x14ac:dyDescent="0.15"/>
    <row r="45128" s="9" customFormat="1" ht="21.95" customHeight="1" x14ac:dyDescent="0.15"/>
    <row r="45129" s="9" customFormat="1" ht="21.95" customHeight="1" x14ac:dyDescent="0.15"/>
    <row r="45130" s="9" customFormat="1" ht="21.95" customHeight="1" x14ac:dyDescent="0.15"/>
    <row r="45131" s="9" customFormat="1" ht="21.95" customHeight="1" x14ac:dyDescent="0.15"/>
    <row r="45132" s="9" customFormat="1" ht="21.95" customHeight="1" x14ac:dyDescent="0.15"/>
    <row r="45133" s="9" customFormat="1" ht="21.95" customHeight="1" x14ac:dyDescent="0.15"/>
    <row r="45134" s="9" customFormat="1" ht="21.95" customHeight="1" x14ac:dyDescent="0.15"/>
    <row r="45135" s="9" customFormat="1" ht="21.95" customHeight="1" x14ac:dyDescent="0.15"/>
    <row r="45136" s="9" customFormat="1" ht="21.95" customHeight="1" x14ac:dyDescent="0.15"/>
    <row r="45137" s="9" customFormat="1" ht="21.95" customHeight="1" x14ac:dyDescent="0.15"/>
    <row r="45138" s="9" customFormat="1" ht="21.95" customHeight="1" x14ac:dyDescent="0.15"/>
    <row r="45139" s="9" customFormat="1" ht="21.95" customHeight="1" x14ac:dyDescent="0.15"/>
    <row r="45140" s="9" customFormat="1" ht="21.95" customHeight="1" x14ac:dyDescent="0.15"/>
    <row r="45141" s="9" customFormat="1" ht="21.95" customHeight="1" x14ac:dyDescent="0.15"/>
    <row r="45142" s="9" customFormat="1" ht="21.95" customHeight="1" x14ac:dyDescent="0.15"/>
    <row r="45143" s="9" customFormat="1" ht="21.95" customHeight="1" x14ac:dyDescent="0.15"/>
    <row r="45144" s="9" customFormat="1" ht="21.95" customHeight="1" x14ac:dyDescent="0.15"/>
    <row r="45145" s="9" customFormat="1" ht="21.95" customHeight="1" x14ac:dyDescent="0.15"/>
    <row r="45146" s="9" customFormat="1" ht="21.95" customHeight="1" x14ac:dyDescent="0.15"/>
    <row r="45147" s="9" customFormat="1" ht="21.95" customHeight="1" x14ac:dyDescent="0.15"/>
    <row r="45148" s="9" customFormat="1" ht="21.95" customHeight="1" x14ac:dyDescent="0.15"/>
    <row r="45149" s="9" customFormat="1" ht="21.95" customHeight="1" x14ac:dyDescent="0.15"/>
    <row r="45150" s="9" customFormat="1" ht="21.95" customHeight="1" x14ac:dyDescent="0.15"/>
    <row r="45151" s="9" customFormat="1" ht="21.95" customHeight="1" x14ac:dyDescent="0.15"/>
    <row r="45152" s="9" customFormat="1" ht="21.95" customHeight="1" x14ac:dyDescent="0.15"/>
    <row r="45153" s="9" customFormat="1" ht="21.95" customHeight="1" x14ac:dyDescent="0.15"/>
    <row r="45154" s="9" customFormat="1" ht="21.95" customHeight="1" x14ac:dyDescent="0.15"/>
    <row r="45155" s="9" customFormat="1" ht="21.95" customHeight="1" x14ac:dyDescent="0.15"/>
    <row r="45156" s="9" customFormat="1" ht="21.95" customHeight="1" x14ac:dyDescent="0.15"/>
    <row r="45157" s="9" customFormat="1" ht="21.95" customHeight="1" x14ac:dyDescent="0.15"/>
    <row r="45158" s="9" customFormat="1" ht="35.1" customHeight="1" x14ac:dyDescent="0.15"/>
    <row r="45159" s="9" customFormat="1" ht="21.95" customHeight="1" x14ac:dyDescent="0.15"/>
    <row r="45160" s="9" customFormat="1" ht="21.95" customHeight="1" x14ac:dyDescent="0.15"/>
    <row r="45161" s="9" customFormat="1" ht="21.95" customHeight="1" x14ac:dyDescent="0.15"/>
    <row r="45162" s="9" customFormat="1" ht="21.95" customHeight="1" x14ac:dyDescent="0.15"/>
    <row r="45163" s="9" customFormat="1" ht="21.95" customHeight="1" x14ac:dyDescent="0.15"/>
    <row r="45164" s="9" customFormat="1" ht="21.95" customHeight="1" x14ac:dyDescent="0.15"/>
    <row r="45165" s="9" customFormat="1" ht="21.95" customHeight="1" x14ac:dyDescent="0.15"/>
    <row r="45166" s="9" customFormat="1" ht="21.95" customHeight="1" x14ac:dyDescent="0.15"/>
    <row r="45167" s="9" customFormat="1" ht="21.95" customHeight="1" x14ac:dyDescent="0.15"/>
    <row r="45168" s="9" customFormat="1" ht="21.95" customHeight="1" x14ac:dyDescent="0.15"/>
    <row r="45169" spans="3:3" s="9" customFormat="1" ht="21.95" customHeight="1" x14ac:dyDescent="0.15"/>
    <row r="45170" spans="3:3" s="9" customFormat="1" ht="21.95" customHeight="1" x14ac:dyDescent="0.15"/>
    <row r="45171" spans="3:3" s="9" customFormat="1" ht="21.95" customHeight="1" x14ac:dyDescent="0.15"/>
    <row r="45172" spans="3:3" s="9" customFormat="1" ht="21.95" customHeight="1" x14ac:dyDescent="0.15"/>
    <row r="45173" spans="3:3" s="9" customFormat="1" ht="21.95" customHeight="1" x14ac:dyDescent="0.15"/>
    <row r="45174" spans="3:3" s="9" customFormat="1" ht="21.95" customHeight="1" x14ac:dyDescent="0.15"/>
    <row r="45175" spans="3:3" s="9" customFormat="1" ht="21.95" customHeight="1" x14ac:dyDescent="0.15"/>
    <row r="45176" spans="3:3" s="9" customFormat="1" ht="21.95" customHeight="1" x14ac:dyDescent="0.15"/>
    <row r="45177" spans="3:3" s="9" customFormat="1" ht="21.95" customHeight="1" x14ac:dyDescent="0.15"/>
    <row r="45178" spans="3:3" s="9" customFormat="1" ht="21.95" customHeight="1" x14ac:dyDescent="0.15"/>
    <row r="45179" spans="3:3" s="9" customFormat="1" ht="21.95" customHeight="1" x14ac:dyDescent="0.15"/>
    <row r="45180" spans="3:3" s="9" customFormat="1" ht="21.95" customHeight="1" x14ac:dyDescent="0.15"/>
    <row r="45181" spans="3:3" s="9" customFormat="1" ht="21.95" customHeight="1" x14ac:dyDescent="0.15"/>
    <row r="45182" spans="3:3" s="8" customFormat="1" ht="21.95" customHeight="1" x14ac:dyDescent="0.15"/>
    <row r="45183" spans="3:3" s="8" customFormat="1" ht="21.95" customHeight="1" x14ac:dyDescent="0.15"/>
    <row r="45184" spans="3:3" s="8" customFormat="1" ht="21.95" customHeight="1" x14ac:dyDescent="0.15">
      <c r="C45184" s="101"/>
    </row>
    <row r="45185" spans="3:3" s="8" customFormat="1" ht="21.95" customHeight="1" x14ac:dyDescent="0.15">
      <c r="C45185" s="101"/>
    </row>
    <row r="45186" spans="3:3" s="8" customFormat="1" ht="21.95" customHeight="1" x14ac:dyDescent="0.15"/>
    <row r="45187" spans="3:3" s="8" customFormat="1" ht="21.95" customHeight="1" x14ac:dyDescent="0.15"/>
    <row r="45188" spans="3:3" s="8" customFormat="1" ht="21.95" customHeight="1" x14ac:dyDescent="0.15"/>
    <row r="45189" spans="3:3" s="8" customFormat="1" ht="21.95" customHeight="1" x14ac:dyDescent="0.15"/>
    <row r="45190" spans="3:3" s="8" customFormat="1" ht="21.95" customHeight="1" x14ac:dyDescent="0.15"/>
    <row r="45191" spans="3:3" s="8" customFormat="1" ht="21.95" customHeight="1" x14ac:dyDescent="0.15"/>
    <row r="45192" spans="3:3" s="8" customFormat="1" ht="21.95" customHeight="1" x14ac:dyDescent="0.15"/>
    <row r="45193" spans="3:3" s="9" customFormat="1" ht="21.95" customHeight="1" x14ac:dyDescent="0.15"/>
    <row r="45194" spans="3:3" s="9" customFormat="1" ht="21.95" customHeight="1" x14ac:dyDescent="0.15"/>
    <row r="45195" spans="3:3" s="9" customFormat="1" ht="21.95" customHeight="1" x14ac:dyDescent="0.15"/>
    <row r="45196" spans="3:3" s="9" customFormat="1" ht="21.95" customHeight="1" x14ac:dyDescent="0.15"/>
    <row r="45197" spans="3:3" s="8" customFormat="1" ht="21.95" customHeight="1" x14ac:dyDescent="0.15"/>
    <row r="45198" spans="3:3" s="8" customFormat="1" ht="21.95" customHeight="1" x14ac:dyDescent="0.15"/>
    <row r="45199" spans="3:3" s="8" customFormat="1" ht="21.95" customHeight="1" x14ac:dyDescent="0.15"/>
    <row r="45200" spans="3:3" s="8" customFormat="1" ht="21.95" customHeight="1" x14ac:dyDescent="0.15"/>
    <row r="45201" s="8" customFormat="1" ht="21.95" customHeight="1" x14ac:dyDescent="0.15"/>
    <row r="45202" s="8" customFormat="1" ht="21.95" customHeight="1" x14ac:dyDescent="0.15"/>
    <row r="45203" s="8" customFormat="1" ht="21.95" customHeight="1" x14ac:dyDescent="0.15"/>
    <row r="45204" s="8" customFormat="1" ht="21.95" customHeight="1" x14ac:dyDescent="0.15"/>
    <row r="45205" s="8" customFormat="1" ht="21.95" customHeight="1" x14ac:dyDescent="0.15"/>
    <row r="45206" s="8" customFormat="1" ht="21.95" customHeight="1" x14ac:dyDescent="0.15"/>
    <row r="45207" s="8" customFormat="1" ht="21.95" customHeight="1" x14ac:dyDescent="0.15"/>
    <row r="45208" s="8" customFormat="1" ht="32.1" customHeight="1" x14ac:dyDescent="0.15"/>
    <row r="45209" s="8" customFormat="1" ht="32.1" customHeight="1" x14ac:dyDescent="0.15"/>
    <row r="45210" s="8" customFormat="1" ht="32.1" customHeight="1" x14ac:dyDescent="0.15"/>
    <row r="45211" s="8" customFormat="1" ht="32.1" customHeight="1" x14ac:dyDescent="0.15"/>
    <row r="45212" s="8" customFormat="1" ht="32.1" customHeight="1" x14ac:dyDescent="0.15"/>
    <row r="45213" s="8" customFormat="1" ht="32.1" customHeight="1" x14ac:dyDescent="0.15"/>
    <row r="45214" s="9" customFormat="1" ht="32.1" customHeight="1" x14ac:dyDescent="0.15"/>
    <row r="45215" s="9" customFormat="1" ht="32.1" customHeight="1" x14ac:dyDescent="0.15"/>
    <row r="45216" s="9" customFormat="1" ht="32.1" customHeight="1" x14ac:dyDescent="0.15"/>
    <row r="45217" s="9" customFormat="1" ht="32.1" customHeight="1" x14ac:dyDescent="0.15"/>
    <row r="45218" s="9" customFormat="1" ht="21.95" customHeight="1" x14ac:dyDescent="0.15"/>
    <row r="45219" s="9" customFormat="1" ht="54" customHeight="1" x14ac:dyDescent="0.15"/>
    <row r="45220" s="9" customFormat="1" ht="21.95" customHeight="1" x14ac:dyDescent="0.15"/>
    <row r="45221" s="9" customFormat="1" ht="21.95" customHeight="1" x14ac:dyDescent="0.15"/>
    <row r="45222" s="9" customFormat="1" ht="21.95" customHeight="1" x14ac:dyDescent="0.15"/>
    <row r="45223" s="9" customFormat="1" ht="21.95" customHeight="1" x14ac:dyDescent="0.15"/>
    <row r="45224" s="9" customFormat="1" ht="21.95" customHeight="1" x14ac:dyDescent="0.15"/>
    <row r="45225" s="9" customFormat="1" ht="21.95" customHeight="1" x14ac:dyDescent="0.15"/>
    <row r="45226" s="9" customFormat="1" ht="21.95" customHeight="1" x14ac:dyDescent="0.15"/>
    <row r="45227" s="9" customFormat="1" ht="21.95" customHeight="1" x14ac:dyDescent="0.15"/>
    <row r="45228" s="9" customFormat="1" ht="21.95" customHeight="1" x14ac:dyDescent="0.15"/>
    <row r="45229" s="9" customFormat="1" ht="21.95" customHeight="1" x14ac:dyDescent="0.15"/>
    <row r="45230" s="9" customFormat="1" ht="21.95" customHeight="1" x14ac:dyDescent="0.15"/>
    <row r="45231" s="9" customFormat="1" ht="21.95" customHeight="1" x14ac:dyDescent="0.15"/>
    <row r="45232" s="9" customFormat="1" ht="21.95" customHeight="1" x14ac:dyDescent="0.15"/>
    <row r="45233" s="9" customFormat="1" ht="21.95" customHeight="1" x14ac:dyDescent="0.15"/>
    <row r="45234" s="9" customFormat="1" ht="21.95" customHeight="1" x14ac:dyDescent="0.15"/>
    <row r="45235" s="9" customFormat="1" ht="21.95" customHeight="1" x14ac:dyDescent="0.15"/>
    <row r="45236" s="9" customFormat="1" ht="21.95" customHeight="1" x14ac:dyDescent="0.15"/>
    <row r="45237" s="9" customFormat="1" ht="21.95" customHeight="1" x14ac:dyDescent="0.15"/>
    <row r="45238" s="9" customFormat="1" ht="21.95" customHeight="1" x14ac:dyDescent="0.15"/>
    <row r="45239" s="9" customFormat="1" ht="21.95" customHeight="1" x14ac:dyDescent="0.15"/>
    <row r="45240" s="9" customFormat="1" ht="21.95" customHeight="1" x14ac:dyDescent="0.15"/>
    <row r="45241" s="9" customFormat="1" ht="21.95" customHeight="1" x14ac:dyDescent="0.15"/>
    <row r="45242" s="9" customFormat="1" ht="21.95" customHeight="1" x14ac:dyDescent="0.15"/>
    <row r="45243" s="9" customFormat="1" ht="21.95" customHeight="1" x14ac:dyDescent="0.15"/>
    <row r="45244" s="9" customFormat="1" ht="21.95" customHeight="1" x14ac:dyDescent="0.15"/>
    <row r="45245" s="9" customFormat="1" ht="21.95" customHeight="1" x14ac:dyDescent="0.15"/>
    <row r="45246" s="9" customFormat="1" ht="21.95" customHeight="1" x14ac:dyDescent="0.15"/>
    <row r="45247" s="9" customFormat="1" ht="21.95" customHeight="1" x14ac:dyDescent="0.15"/>
    <row r="45248" s="9" customFormat="1" ht="21.95" customHeight="1" x14ac:dyDescent="0.15"/>
    <row r="45249" s="9" customFormat="1" ht="21.95" customHeight="1" x14ac:dyDescent="0.15"/>
    <row r="45250" s="9" customFormat="1" ht="21.95" customHeight="1" x14ac:dyDescent="0.15"/>
    <row r="45251" s="9" customFormat="1" ht="21.95" customHeight="1" x14ac:dyDescent="0.15"/>
    <row r="45252" s="9" customFormat="1" ht="21.95" customHeight="1" x14ac:dyDescent="0.15"/>
    <row r="45253" s="9" customFormat="1" ht="21.95" customHeight="1" x14ac:dyDescent="0.15"/>
    <row r="45254" s="9" customFormat="1" ht="21.95" customHeight="1" x14ac:dyDescent="0.15"/>
    <row r="45255" s="9" customFormat="1" ht="21.95" customHeight="1" x14ac:dyDescent="0.15"/>
    <row r="45256" s="9" customFormat="1" ht="21.95" customHeight="1" x14ac:dyDescent="0.15"/>
    <row r="45257" s="9" customFormat="1" ht="21.95" customHeight="1" x14ac:dyDescent="0.15"/>
    <row r="45258" s="9" customFormat="1" ht="21.95" customHeight="1" x14ac:dyDescent="0.15"/>
    <row r="45259" s="9" customFormat="1" ht="21.95" customHeight="1" x14ac:dyDescent="0.15"/>
    <row r="45260" s="9" customFormat="1" ht="21.95" customHeight="1" x14ac:dyDescent="0.15"/>
    <row r="45261" s="9" customFormat="1" ht="21.95" customHeight="1" x14ac:dyDescent="0.15"/>
    <row r="45262" s="9" customFormat="1" ht="21.95" customHeight="1" x14ac:dyDescent="0.15"/>
    <row r="45263" s="9" customFormat="1" ht="21.95" customHeight="1" x14ac:dyDescent="0.15"/>
    <row r="45264" s="9" customFormat="1" ht="21.95" customHeight="1" x14ac:dyDescent="0.15"/>
    <row r="45265" s="9" customFormat="1" ht="21.95" customHeight="1" x14ac:dyDescent="0.15"/>
    <row r="45266" s="9" customFormat="1" ht="21.95" customHeight="1" x14ac:dyDescent="0.15"/>
    <row r="45267" s="9" customFormat="1" ht="21.95" customHeight="1" x14ac:dyDescent="0.15"/>
    <row r="45268" s="9" customFormat="1" ht="21.95" customHeight="1" x14ac:dyDescent="0.15"/>
    <row r="45269" s="9" customFormat="1" ht="21.95" customHeight="1" x14ac:dyDescent="0.15"/>
    <row r="45270" s="9" customFormat="1" ht="35.1" customHeight="1" x14ac:dyDescent="0.15"/>
    <row r="45271" s="9" customFormat="1" ht="21.95" customHeight="1" x14ac:dyDescent="0.15"/>
    <row r="45272" s="9" customFormat="1" ht="21.95" customHeight="1" x14ac:dyDescent="0.15"/>
    <row r="45273" s="9" customFormat="1" ht="21.95" customHeight="1" x14ac:dyDescent="0.15"/>
    <row r="45274" s="9" customFormat="1" ht="21.95" customHeight="1" x14ac:dyDescent="0.15"/>
    <row r="45275" s="9" customFormat="1" ht="21.95" customHeight="1" x14ac:dyDescent="0.15"/>
    <row r="45276" s="9" customFormat="1" ht="21.95" customHeight="1" x14ac:dyDescent="0.15"/>
    <row r="45277" s="9" customFormat="1" ht="21.95" customHeight="1" x14ac:dyDescent="0.15"/>
    <row r="45278" s="9" customFormat="1" ht="21.95" customHeight="1" x14ac:dyDescent="0.15"/>
    <row r="45279" s="9" customFormat="1" ht="21.95" customHeight="1" x14ac:dyDescent="0.15"/>
    <row r="45280" s="9" customFormat="1" ht="21.95" customHeight="1" x14ac:dyDescent="0.15"/>
    <row r="45281" spans="3:3" s="9" customFormat="1" ht="21.95" customHeight="1" x14ac:dyDescent="0.15"/>
    <row r="45282" spans="3:3" s="9" customFormat="1" ht="21.95" customHeight="1" x14ac:dyDescent="0.15"/>
    <row r="45283" spans="3:3" s="9" customFormat="1" ht="21.95" customHeight="1" x14ac:dyDescent="0.15"/>
    <row r="45284" spans="3:3" s="9" customFormat="1" ht="21.95" customHeight="1" x14ac:dyDescent="0.15"/>
    <row r="45285" spans="3:3" s="9" customFormat="1" ht="21.95" customHeight="1" x14ac:dyDescent="0.15"/>
    <row r="45286" spans="3:3" s="9" customFormat="1" ht="21.95" customHeight="1" x14ac:dyDescent="0.15"/>
    <row r="45287" spans="3:3" s="9" customFormat="1" ht="21.95" customHeight="1" x14ac:dyDescent="0.15"/>
    <row r="45288" spans="3:3" s="9" customFormat="1" ht="21.95" customHeight="1" x14ac:dyDescent="0.15"/>
    <row r="45289" spans="3:3" s="9" customFormat="1" ht="21.95" customHeight="1" x14ac:dyDescent="0.15"/>
    <row r="45290" spans="3:3" s="9" customFormat="1" ht="21.95" customHeight="1" x14ac:dyDescent="0.15"/>
    <row r="45291" spans="3:3" s="9" customFormat="1" ht="21.95" customHeight="1" x14ac:dyDescent="0.15"/>
    <row r="45292" spans="3:3" s="9" customFormat="1" ht="21.95" customHeight="1" x14ac:dyDescent="0.15"/>
    <row r="45293" spans="3:3" s="9" customFormat="1" ht="21.95" customHeight="1" x14ac:dyDescent="0.15"/>
    <row r="45294" spans="3:3" s="8" customFormat="1" ht="21.95" customHeight="1" x14ac:dyDescent="0.15"/>
    <row r="45295" spans="3:3" s="8" customFormat="1" ht="21.95" customHeight="1" x14ac:dyDescent="0.15"/>
    <row r="45296" spans="3:3" s="8" customFormat="1" ht="21.95" customHeight="1" x14ac:dyDescent="0.15">
      <c r="C45296" s="101"/>
    </row>
    <row r="45297" spans="3:3" s="8" customFormat="1" ht="21.95" customHeight="1" x14ac:dyDescent="0.15">
      <c r="C45297" s="101"/>
    </row>
    <row r="45298" spans="3:3" s="8" customFormat="1" ht="21.95" customHeight="1" x14ac:dyDescent="0.15"/>
    <row r="45299" spans="3:3" s="8" customFormat="1" ht="21.95" customHeight="1" x14ac:dyDescent="0.15"/>
    <row r="45300" spans="3:3" s="8" customFormat="1" ht="21.95" customHeight="1" x14ac:dyDescent="0.15"/>
    <row r="45301" spans="3:3" s="8" customFormat="1" ht="21.95" customHeight="1" x14ac:dyDescent="0.15"/>
    <row r="45302" spans="3:3" s="8" customFormat="1" ht="21.95" customHeight="1" x14ac:dyDescent="0.15"/>
    <row r="45303" spans="3:3" s="8" customFormat="1" ht="21.95" customHeight="1" x14ac:dyDescent="0.15"/>
    <row r="45304" spans="3:3" s="8" customFormat="1" ht="21.95" customHeight="1" x14ac:dyDescent="0.15"/>
    <row r="45305" spans="3:3" s="9" customFormat="1" ht="21.95" customHeight="1" x14ac:dyDescent="0.15"/>
    <row r="45306" spans="3:3" s="9" customFormat="1" ht="21.95" customHeight="1" x14ac:dyDescent="0.15"/>
    <row r="45307" spans="3:3" s="9" customFormat="1" ht="21.95" customHeight="1" x14ac:dyDescent="0.15"/>
    <row r="45308" spans="3:3" s="9" customFormat="1" ht="21.95" customHeight="1" x14ac:dyDescent="0.15"/>
    <row r="45309" spans="3:3" s="8" customFormat="1" ht="21.95" customHeight="1" x14ac:dyDescent="0.15"/>
    <row r="45310" spans="3:3" s="8" customFormat="1" ht="21.95" customHeight="1" x14ac:dyDescent="0.15"/>
    <row r="45311" spans="3:3" s="8" customFormat="1" ht="21.95" customHeight="1" x14ac:dyDescent="0.15"/>
    <row r="45312" spans="3:3" s="8" customFormat="1" ht="21.95" customHeight="1" x14ac:dyDescent="0.15"/>
    <row r="45313" s="8" customFormat="1" ht="21.95" customHeight="1" x14ac:dyDescent="0.15"/>
    <row r="45314" s="8" customFormat="1" ht="21.95" customHeight="1" x14ac:dyDescent="0.15"/>
    <row r="45315" s="8" customFormat="1" ht="21.95" customHeight="1" x14ac:dyDescent="0.15"/>
    <row r="45316" s="8" customFormat="1" ht="21.95" customHeight="1" x14ac:dyDescent="0.15"/>
    <row r="45317" s="8" customFormat="1" ht="21.95" customHeight="1" x14ac:dyDescent="0.15"/>
    <row r="45318" s="8" customFormat="1" ht="21.95" customHeight="1" x14ac:dyDescent="0.15"/>
    <row r="45319" s="8" customFormat="1" ht="21.95" customHeight="1" x14ac:dyDescent="0.15"/>
    <row r="45320" s="8" customFormat="1" ht="32.1" customHeight="1" x14ac:dyDescent="0.15"/>
    <row r="45321" s="8" customFormat="1" ht="32.1" customHeight="1" x14ac:dyDescent="0.15"/>
    <row r="45322" s="8" customFormat="1" ht="32.1" customHeight="1" x14ac:dyDescent="0.15"/>
    <row r="45323" s="8" customFormat="1" ht="32.1" customHeight="1" x14ac:dyDescent="0.15"/>
    <row r="45324" s="8" customFormat="1" ht="32.1" customHeight="1" x14ac:dyDescent="0.15"/>
    <row r="45325" s="8" customFormat="1" ht="32.1" customHeight="1" x14ac:dyDescent="0.15"/>
    <row r="45326" s="9" customFormat="1" ht="32.1" customHeight="1" x14ac:dyDescent="0.15"/>
    <row r="45327" s="9" customFormat="1" ht="32.1" customHeight="1" x14ac:dyDescent="0.15"/>
    <row r="45328" s="9" customFormat="1" ht="32.1" customHeight="1" x14ac:dyDescent="0.15"/>
    <row r="45329" s="9" customFormat="1" ht="32.1" customHeight="1" x14ac:dyDescent="0.15"/>
    <row r="45330" s="9" customFormat="1" ht="21.95" customHeight="1" x14ac:dyDescent="0.15"/>
    <row r="45331" s="9" customFormat="1" ht="54" customHeight="1" x14ac:dyDescent="0.15"/>
    <row r="45332" s="9" customFormat="1" ht="21.95" customHeight="1" x14ac:dyDescent="0.15"/>
    <row r="45333" s="9" customFormat="1" ht="21.95" customHeight="1" x14ac:dyDescent="0.15"/>
    <row r="45334" s="9" customFormat="1" ht="21.95" customHeight="1" x14ac:dyDescent="0.15"/>
    <row r="45335" s="9" customFormat="1" ht="21.95" customHeight="1" x14ac:dyDescent="0.15"/>
    <row r="45336" s="9" customFormat="1" ht="21.95" customHeight="1" x14ac:dyDescent="0.15"/>
    <row r="45337" s="9" customFormat="1" ht="21.95" customHeight="1" x14ac:dyDescent="0.15"/>
    <row r="45338" s="9" customFormat="1" ht="21.95" customHeight="1" x14ac:dyDescent="0.15"/>
    <row r="45339" s="9" customFormat="1" ht="21.95" customHeight="1" x14ac:dyDescent="0.15"/>
    <row r="45340" s="9" customFormat="1" ht="21.95" customHeight="1" x14ac:dyDescent="0.15"/>
    <row r="45341" s="9" customFormat="1" ht="21.95" customHeight="1" x14ac:dyDescent="0.15"/>
    <row r="45342" s="9" customFormat="1" ht="21.95" customHeight="1" x14ac:dyDescent="0.15"/>
    <row r="45343" s="9" customFormat="1" ht="21.95" customHeight="1" x14ac:dyDescent="0.15"/>
    <row r="45344" s="9" customFormat="1" ht="21.95" customHeight="1" x14ac:dyDescent="0.15"/>
    <row r="45345" s="9" customFormat="1" ht="21.95" customHeight="1" x14ac:dyDescent="0.15"/>
    <row r="45346" s="9" customFormat="1" ht="21.95" customHeight="1" x14ac:dyDescent="0.15"/>
    <row r="45347" s="9" customFormat="1" ht="21.95" customHeight="1" x14ac:dyDescent="0.15"/>
    <row r="45348" s="9" customFormat="1" ht="21.95" customHeight="1" x14ac:dyDescent="0.15"/>
    <row r="45349" s="9" customFormat="1" ht="21.95" customHeight="1" x14ac:dyDescent="0.15"/>
    <row r="45350" s="9" customFormat="1" ht="21.95" customHeight="1" x14ac:dyDescent="0.15"/>
    <row r="45351" s="9" customFormat="1" ht="21.95" customHeight="1" x14ac:dyDescent="0.15"/>
    <row r="45352" s="9" customFormat="1" ht="21.95" customHeight="1" x14ac:dyDescent="0.15"/>
    <row r="45353" s="9" customFormat="1" ht="21.95" customHeight="1" x14ac:dyDescent="0.15"/>
    <row r="45354" s="9" customFormat="1" ht="21.95" customHeight="1" x14ac:dyDescent="0.15"/>
    <row r="45355" s="9" customFormat="1" ht="21.95" customHeight="1" x14ac:dyDescent="0.15"/>
    <row r="45356" s="9" customFormat="1" ht="21.95" customHeight="1" x14ac:dyDescent="0.15"/>
    <row r="45357" s="9" customFormat="1" ht="21.95" customHeight="1" x14ac:dyDescent="0.15"/>
    <row r="45358" s="9" customFormat="1" ht="21.95" customHeight="1" x14ac:dyDescent="0.15"/>
    <row r="45359" s="9" customFormat="1" ht="21.95" customHeight="1" x14ac:dyDescent="0.15"/>
    <row r="45360" s="9" customFormat="1" ht="21.95" customHeight="1" x14ac:dyDescent="0.15"/>
    <row r="45361" s="9" customFormat="1" ht="21.95" customHeight="1" x14ac:dyDescent="0.15"/>
    <row r="45362" s="9" customFormat="1" ht="21.95" customHeight="1" x14ac:dyDescent="0.15"/>
    <row r="45363" s="9" customFormat="1" ht="21.95" customHeight="1" x14ac:dyDescent="0.15"/>
    <row r="45364" s="9" customFormat="1" ht="21.95" customHeight="1" x14ac:dyDescent="0.15"/>
    <row r="45365" s="9" customFormat="1" ht="21.95" customHeight="1" x14ac:dyDescent="0.15"/>
    <row r="45366" s="9" customFormat="1" ht="21.95" customHeight="1" x14ac:dyDescent="0.15"/>
    <row r="45367" s="9" customFormat="1" ht="21.95" customHeight="1" x14ac:dyDescent="0.15"/>
    <row r="45368" s="9" customFormat="1" ht="21.95" customHeight="1" x14ac:dyDescent="0.15"/>
    <row r="45369" s="9" customFormat="1" ht="21.95" customHeight="1" x14ac:dyDescent="0.15"/>
    <row r="45370" s="9" customFormat="1" ht="21.95" customHeight="1" x14ac:dyDescent="0.15"/>
    <row r="45371" s="9" customFormat="1" ht="21.95" customHeight="1" x14ac:dyDescent="0.15"/>
    <row r="45372" s="9" customFormat="1" ht="21.95" customHeight="1" x14ac:dyDescent="0.15"/>
    <row r="45373" s="9" customFormat="1" ht="21.95" customHeight="1" x14ac:dyDescent="0.15"/>
    <row r="45374" s="9" customFormat="1" ht="21.95" customHeight="1" x14ac:dyDescent="0.15"/>
    <row r="45375" s="9" customFormat="1" ht="21.95" customHeight="1" x14ac:dyDescent="0.15"/>
    <row r="45376" s="9" customFormat="1" ht="21.95" customHeight="1" x14ac:dyDescent="0.15"/>
    <row r="45377" s="9" customFormat="1" ht="21.95" customHeight="1" x14ac:dyDescent="0.15"/>
    <row r="45378" s="9" customFormat="1" ht="21.95" customHeight="1" x14ac:dyDescent="0.15"/>
    <row r="45379" s="9" customFormat="1" ht="21.95" customHeight="1" x14ac:dyDescent="0.15"/>
    <row r="45380" s="9" customFormat="1" ht="21.95" customHeight="1" x14ac:dyDescent="0.15"/>
    <row r="45381" s="9" customFormat="1" ht="21.95" customHeight="1" x14ac:dyDescent="0.15"/>
    <row r="45382" s="9" customFormat="1" ht="35.1" customHeight="1" x14ac:dyDescent="0.15"/>
    <row r="45383" s="9" customFormat="1" ht="21.95" customHeight="1" x14ac:dyDescent="0.15"/>
    <row r="45384" s="9" customFormat="1" ht="21.95" customHeight="1" x14ac:dyDescent="0.15"/>
    <row r="45385" s="9" customFormat="1" ht="21.95" customHeight="1" x14ac:dyDescent="0.15"/>
    <row r="45386" s="9" customFormat="1" ht="21.95" customHeight="1" x14ac:dyDescent="0.15"/>
    <row r="45387" s="9" customFormat="1" ht="21.95" customHeight="1" x14ac:dyDescent="0.15"/>
    <row r="45388" s="9" customFormat="1" ht="21.95" customHeight="1" x14ac:dyDescent="0.15"/>
    <row r="45389" s="9" customFormat="1" ht="21.95" customHeight="1" x14ac:dyDescent="0.15"/>
    <row r="45390" s="9" customFormat="1" ht="21.95" customHeight="1" x14ac:dyDescent="0.15"/>
    <row r="45391" s="9" customFormat="1" ht="21.95" customHeight="1" x14ac:dyDescent="0.15"/>
    <row r="45392" s="9" customFormat="1" ht="21.95" customHeight="1" x14ac:dyDescent="0.15"/>
    <row r="45393" spans="3:3" s="9" customFormat="1" ht="21.95" customHeight="1" x14ac:dyDescent="0.15"/>
    <row r="45394" spans="3:3" s="9" customFormat="1" ht="21.95" customHeight="1" x14ac:dyDescent="0.15"/>
    <row r="45395" spans="3:3" s="9" customFormat="1" ht="21.95" customHeight="1" x14ac:dyDescent="0.15"/>
    <row r="45396" spans="3:3" s="9" customFormat="1" ht="21.95" customHeight="1" x14ac:dyDescent="0.15"/>
    <row r="45397" spans="3:3" s="9" customFormat="1" ht="21.95" customHeight="1" x14ac:dyDescent="0.15"/>
    <row r="45398" spans="3:3" s="9" customFormat="1" ht="21.95" customHeight="1" x14ac:dyDescent="0.15"/>
    <row r="45399" spans="3:3" s="9" customFormat="1" ht="21.95" customHeight="1" x14ac:dyDescent="0.15"/>
    <row r="45400" spans="3:3" s="9" customFormat="1" ht="21.95" customHeight="1" x14ac:dyDescent="0.15"/>
    <row r="45401" spans="3:3" s="9" customFormat="1" ht="21.95" customHeight="1" x14ac:dyDescent="0.15"/>
    <row r="45402" spans="3:3" s="9" customFormat="1" ht="21.95" customHeight="1" x14ac:dyDescent="0.15"/>
    <row r="45403" spans="3:3" s="9" customFormat="1" ht="21.95" customHeight="1" x14ac:dyDescent="0.15"/>
    <row r="45404" spans="3:3" s="9" customFormat="1" ht="21.95" customHeight="1" x14ac:dyDescent="0.15"/>
    <row r="45405" spans="3:3" s="9" customFormat="1" ht="21.95" customHeight="1" x14ac:dyDescent="0.15"/>
    <row r="45406" spans="3:3" s="8" customFormat="1" ht="21.95" customHeight="1" x14ac:dyDescent="0.15"/>
    <row r="45407" spans="3:3" s="8" customFormat="1" ht="21.95" customHeight="1" x14ac:dyDescent="0.15"/>
    <row r="45408" spans="3:3" s="8" customFormat="1" ht="21.95" customHeight="1" x14ac:dyDescent="0.15">
      <c r="C45408" s="101"/>
    </row>
    <row r="45409" spans="3:3" s="8" customFormat="1" ht="21.95" customHeight="1" x14ac:dyDescent="0.15">
      <c r="C45409" s="101"/>
    </row>
    <row r="45410" spans="3:3" s="8" customFormat="1" ht="21.95" customHeight="1" x14ac:dyDescent="0.15"/>
    <row r="45411" spans="3:3" s="8" customFormat="1" ht="21.95" customHeight="1" x14ac:dyDescent="0.15"/>
    <row r="45412" spans="3:3" s="8" customFormat="1" ht="21.95" customHeight="1" x14ac:dyDescent="0.15"/>
    <row r="45413" spans="3:3" s="8" customFormat="1" ht="21.95" customHeight="1" x14ac:dyDescent="0.15"/>
    <row r="45414" spans="3:3" s="8" customFormat="1" ht="21.95" customHeight="1" x14ac:dyDescent="0.15"/>
    <row r="45415" spans="3:3" s="8" customFormat="1" ht="21.95" customHeight="1" x14ac:dyDescent="0.15"/>
    <row r="45416" spans="3:3" s="8" customFormat="1" ht="21.95" customHeight="1" x14ac:dyDescent="0.15"/>
    <row r="45417" spans="3:3" s="9" customFormat="1" ht="21.95" customHeight="1" x14ac:dyDescent="0.15"/>
    <row r="45418" spans="3:3" s="9" customFormat="1" ht="21.95" customHeight="1" x14ac:dyDescent="0.15"/>
    <row r="45419" spans="3:3" s="9" customFormat="1" ht="21.95" customHeight="1" x14ac:dyDescent="0.15"/>
    <row r="45420" spans="3:3" s="9" customFormat="1" ht="21.95" customHeight="1" x14ac:dyDescent="0.15"/>
    <row r="45421" spans="3:3" s="8" customFormat="1" ht="21.95" customHeight="1" x14ac:dyDescent="0.15"/>
    <row r="45422" spans="3:3" s="8" customFormat="1" ht="21.95" customHeight="1" x14ac:dyDescent="0.15"/>
    <row r="45423" spans="3:3" s="8" customFormat="1" ht="21.95" customHeight="1" x14ac:dyDescent="0.15"/>
    <row r="45424" spans="3:3" s="8" customFormat="1" ht="21.95" customHeight="1" x14ac:dyDescent="0.15"/>
    <row r="45425" s="8" customFormat="1" ht="21.95" customHeight="1" x14ac:dyDescent="0.15"/>
    <row r="45426" s="8" customFormat="1" ht="21.95" customHeight="1" x14ac:dyDescent="0.15"/>
    <row r="45427" s="8" customFormat="1" ht="21.95" customHeight="1" x14ac:dyDescent="0.15"/>
    <row r="45428" s="8" customFormat="1" ht="21.95" customHeight="1" x14ac:dyDescent="0.15"/>
    <row r="45429" s="8" customFormat="1" ht="21.95" customHeight="1" x14ac:dyDescent="0.15"/>
    <row r="45430" s="8" customFormat="1" ht="21.95" customHeight="1" x14ac:dyDescent="0.15"/>
    <row r="45431" s="8" customFormat="1" ht="21.95" customHeight="1" x14ac:dyDescent="0.15"/>
    <row r="45432" s="8" customFormat="1" ht="32.1" customHeight="1" x14ac:dyDescent="0.15"/>
    <row r="45433" s="8" customFormat="1" ht="32.1" customHeight="1" x14ac:dyDescent="0.15"/>
    <row r="45434" s="8" customFormat="1" ht="32.1" customHeight="1" x14ac:dyDescent="0.15"/>
    <row r="45435" s="8" customFormat="1" ht="32.1" customHeight="1" x14ac:dyDescent="0.15"/>
    <row r="45436" s="8" customFormat="1" ht="32.1" customHeight="1" x14ac:dyDescent="0.15"/>
    <row r="45437" s="8" customFormat="1" ht="32.1" customHeight="1" x14ac:dyDescent="0.15"/>
    <row r="45438" s="9" customFormat="1" ht="32.1" customHeight="1" x14ac:dyDescent="0.15"/>
    <row r="45439" s="9" customFormat="1" ht="32.1" customHeight="1" x14ac:dyDescent="0.15"/>
    <row r="45440" s="9" customFormat="1" ht="32.1" customHeight="1" x14ac:dyDescent="0.15"/>
    <row r="45441" s="9" customFormat="1" ht="32.1" customHeight="1" x14ac:dyDescent="0.15"/>
    <row r="45442" s="9" customFormat="1" ht="21.95" customHeight="1" x14ac:dyDescent="0.15"/>
    <row r="45443" s="9" customFormat="1" ht="54" customHeight="1" x14ac:dyDescent="0.15"/>
    <row r="45444" s="9" customFormat="1" ht="21.95" customHeight="1" x14ac:dyDescent="0.15"/>
    <row r="45445" s="9" customFormat="1" ht="21.95" customHeight="1" x14ac:dyDescent="0.15"/>
    <row r="45446" s="9" customFormat="1" ht="21.95" customHeight="1" x14ac:dyDescent="0.15"/>
    <row r="45447" s="9" customFormat="1" ht="21.95" customHeight="1" x14ac:dyDescent="0.15"/>
    <row r="45448" s="9" customFormat="1" ht="21.95" customHeight="1" x14ac:dyDescent="0.15"/>
    <row r="45449" s="9" customFormat="1" ht="21.95" customHeight="1" x14ac:dyDescent="0.15"/>
    <row r="45450" s="9" customFormat="1" ht="21.95" customHeight="1" x14ac:dyDescent="0.15"/>
    <row r="45451" s="9" customFormat="1" ht="21.95" customHeight="1" x14ac:dyDescent="0.15"/>
    <row r="45452" s="9" customFormat="1" ht="21.95" customHeight="1" x14ac:dyDescent="0.15"/>
    <row r="45453" s="9" customFormat="1" ht="21.95" customHeight="1" x14ac:dyDescent="0.15"/>
    <row r="45454" s="9" customFormat="1" ht="21.95" customHeight="1" x14ac:dyDescent="0.15"/>
    <row r="45455" s="9" customFormat="1" ht="21.95" customHeight="1" x14ac:dyDescent="0.15"/>
    <row r="45456" s="9" customFormat="1" ht="21.95" customHeight="1" x14ac:dyDescent="0.15"/>
    <row r="45457" s="9" customFormat="1" ht="21.95" customHeight="1" x14ac:dyDescent="0.15"/>
    <row r="45458" s="9" customFormat="1" ht="21.95" customHeight="1" x14ac:dyDescent="0.15"/>
    <row r="45459" s="9" customFormat="1" ht="21.95" customHeight="1" x14ac:dyDescent="0.15"/>
    <row r="45460" s="9" customFormat="1" ht="21.95" customHeight="1" x14ac:dyDescent="0.15"/>
    <row r="45461" s="9" customFormat="1" ht="21.95" customHeight="1" x14ac:dyDescent="0.15"/>
    <row r="45462" s="9" customFormat="1" ht="21.95" customHeight="1" x14ac:dyDescent="0.15"/>
    <row r="45463" s="9" customFormat="1" ht="21.95" customHeight="1" x14ac:dyDescent="0.15"/>
    <row r="45464" s="9" customFormat="1" ht="21.95" customHeight="1" x14ac:dyDescent="0.15"/>
    <row r="45465" s="9" customFormat="1" ht="21.95" customHeight="1" x14ac:dyDescent="0.15"/>
    <row r="45466" s="9" customFormat="1" ht="21.95" customHeight="1" x14ac:dyDescent="0.15"/>
    <row r="45467" s="9" customFormat="1" ht="21.95" customHeight="1" x14ac:dyDescent="0.15"/>
    <row r="45468" s="9" customFormat="1" ht="21.95" customHeight="1" x14ac:dyDescent="0.15"/>
    <row r="45469" s="9" customFormat="1" ht="21.95" customHeight="1" x14ac:dyDescent="0.15"/>
    <row r="45470" s="9" customFormat="1" ht="21.95" customHeight="1" x14ac:dyDescent="0.15"/>
    <row r="45471" s="9" customFormat="1" ht="21.95" customHeight="1" x14ac:dyDescent="0.15"/>
    <row r="45472" s="9" customFormat="1" ht="21.95" customHeight="1" x14ac:dyDescent="0.15"/>
    <row r="45473" s="9" customFormat="1" ht="21.95" customHeight="1" x14ac:dyDescent="0.15"/>
    <row r="45474" s="9" customFormat="1" ht="21.95" customHeight="1" x14ac:dyDescent="0.15"/>
    <row r="45475" s="9" customFormat="1" ht="21.95" customHeight="1" x14ac:dyDescent="0.15"/>
    <row r="45476" s="9" customFormat="1" ht="21.95" customHeight="1" x14ac:dyDescent="0.15"/>
    <row r="45477" s="9" customFormat="1" ht="21.95" customHeight="1" x14ac:dyDescent="0.15"/>
    <row r="45478" s="9" customFormat="1" ht="21.95" customHeight="1" x14ac:dyDescent="0.15"/>
    <row r="45479" s="9" customFormat="1" ht="21.95" customHeight="1" x14ac:dyDescent="0.15"/>
    <row r="45480" s="9" customFormat="1" ht="21.95" customHeight="1" x14ac:dyDescent="0.15"/>
    <row r="45481" s="9" customFormat="1" ht="21.95" customHeight="1" x14ac:dyDescent="0.15"/>
    <row r="45482" s="9" customFormat="1" ht="21.95" customHeight="1" x14ac:dyDescent="0.15"/>
    <row r="45483" s="9" customFormat="1" ht="21.95" customHeight="1" x14ac:dyDescent="0.15"/>
    <row r="45484" s="9" customFormat="1" ht="21.95" customHeight="1" x14ac:dyDescent="0.15"/>
    <row r="45485" s="9" customFormat="1" ht="21.95" customHeight="1" x14ac:dyDescent="0.15"/>
    <row r="45486" s="9" customFormat="1" ht="21.95" customHeight="1" x14ac:dyDescent="0.15"/>
    <row r="45487" s="9" customFormat="1" ht="21.95" customHeight="1" x14ac:dyDescent="0.15"/>
    <row r="45488" s="9" customFormat="1" ht="21.95" customHeight="1" x14ac:dyDescent="0.15"/>
    <row r="45489" s="9" customFormat="1" ht="21.95" customHeight="1" x14ac:dyDescent="0.15"/>
    <row r="45490" s="9" customFormat="1" ht="21.95" customHeight="1" x14ac:dyDescent="0.15"/>
    <row r="45491" s="9" customFormat="1" ht="21.95" customHeight="1" x14ac:dyDescent="0.15"/>
    <row r="45492" s="9" customFormat="1" ht="21.95" customHeight="1" x14ac:dyDescent="0.15"/>
    <row r="45493" s="9" customFormat="1" ht="21.95" customHeight="1" x14ac:dyDescent="0.15"/>
    <row r="45494" s="9" customFormat="1" ht="35.1" customHeight="1" x14ac:dyDescent="0.15"/>
    <row r="45495" s="9" customFormat="1" ht="21.95" customHeight="1" x14ac:dyDescent="0.15"/>
    <row r="45496" s="9" customFormat="1" ht="21.95" customHeight="1" x14ac:dyDescent="0.15"/>
    <row r="45497" s="9" customFormat="1" ht="21.95" customHeight="1" x14ac:dyDescent="0.15"/>
    <row r="45498" s="9" customFormat="1" ht="21.95" customHeight="1" x14ac:dyDescent="0.15"/>
    <row r="45499" s="9" customFormat="1" ht="21.95" customHeight="1" x14ac:dyDescent="0.15"/>
    <row r="45500" s="9" customFormat="1" ht="21.95" customHeight="1" x14ac:dyDescent="0.15"/>
    <row r="45501" s="9" customFormat="1" ht="21.95" customHeight="1" x14ac:dyDescent="0.15"/>
    <row r="45502" s="9" customFormat="1" ht="21.95" customHeight="1" x14ac:dyDescent="0.15"/>
    <row r="45503" s="9" customFormat="1" ht="21.95" customHeight="1" x14ac:dyDescent="0.15"/>
    <row r="45504" s="9" customFormat="1" ht="21.95" customHeight="1" x14ac:dyDescent="0.15"/>
    <row r="45505" spans="3:3" s="9" customFormat="1" ht="21.95" customHeight="1" x14ac:dyDescent="0.15"/>
    <row r="45506" spans="3:3" s="9" customFormat="1" ht="21.95" customHeight="1" x14ac:dyDescent="0.15"/>
    <row r="45507" spans="3:3" s="9" customFormat="1" ht="21.95" customHeight="1" x14ac:dyDescent="0.15"/>
    <row r="45508" spans="3:3" s="9" customFormat="1" ht="21.95" customHeight="1" x14ac:dyDescent="0.15"/>
    <row r="45509" spans="3:3" s="9" customFormat="1" ht="21.95" customHeight="1" x14ac:dyDescent="0.15"/>
    <row r="45510" spans="3:3" s="9" customFormat="1" ht="21.95" customHeight="1" x14ac:dyDescent="0.15"/>
    <row r="45511" spans="3:3" s="9" customFormat="1" ht="21.95" customHeight="1" x14ac:dyDescent="0.15"/>
    <row r="45512" spans="3:3" s="9" customFormat="1" ht="21.95" customHeight="1" x14ac:dyDescent="0.15"/>
    <row r="45513" spans="3:3" s="9" customFormat="1" ht="21.95" customHeight="1" x14ac:dyDescent="0.15"/>
    <row r="45514" spans="3:3" s="9" customFormat="1" ht="21.95" customHeight="1" x14ac:dyDescent="0.15"/>
    <row r="45515" spans="3:3" s="9" customFormat="1" ht="21.95" customHeight="1" x14ac:dyDescent="0.15"/>
    <row r="45516" spans="3:3" s="9" customFormat="1" ht="21.95" customHeight="1" x14ac:dyDescent="0.15"/>
    <row r="45517" spans="3:3" s="9" customFormat="1" ht="21.95" customHeight="1" x14ac:dyDescent="0.15"/>
    <row r="45518" spans="3:3" s="8" customFormat="1" ht="21.95" customHeight="1" x14ac:dyDescent="0.15"/>
    <row r="45519" spans="3:3" s="8" customFormat="1" ht="21.95" customHeight="1" x14ac:dyDescent="0.15"/>
    <row r="45520" spans="3:3" s="8" customFormat="1" ht="21.95" customHeight="1" x14ac:dyDescent="0.15">
      <c r="C45520" s="101"/>
    </row>
    <row r="45521" spans="3:3" s="8" customFormat="1" ht="21.95" customHeight="1" x14ac:dyDescent="0.15">
      <c r="C45521" s="101"/>
    </row>
    <row r="45522" spans="3:3" s="8" customFormat="1" ht="21.95" customHeight="1" x14ac:dyDescent="0.15"/>
    <row r="45523" spans="3:3" s="8" customFormat="1" ht="21.95" customHeight="1" x14ac:dyDescent="0.15"/>
    <row r="45524" spans="3:3" s="8" customFormat="1" ht="21.95" customHeight="1" x14ac:dyDescent="0.15"/>
    <row r="45525" spans="3:3" s="8" customFormat="1" ht="21.95" customHeight="1" x14ac:dyDescent="0.15"/>
    <row r="45526" spans="3:3" s="8" customFormat="1" ht="21.95" customHeight="1" x14ac:dyDescent="0.15"/>
    <row r="45527" spans="3:3" s="8" customFormat="1" ht="21.95" customHeight="1" x14ac:dyDescent="0.15"/>
    <row r="45528" spans="3:3" s="8" customFormat="1" ht="21.95" customHeight="1" x14ac:dyDescent="0.15"/>
    <row r="45529" spans="3:3" s="9" customFormat="1" ht="21.95" customHeight="1" x14ac:dyDescent="0.15"/>
    <row r="45530" spans="3:3" s="9" customFormat="1" ht="21.95" customHeight="1" x14ac:dyDescent="0.15"/>
    <row r="45531" spans="3:3" s="9" customFormat="1" ht="21.95" customHeight="1" x14ac:dyDescent="0.15"/>
    <row r="45532" spans="3:3" s="9" customFormat="1" ht="21.95" customHeight="1" x14ac:dyDescent="0.15"/>
    <row r="45533" spans="3:3" s="8" customFormat="1" ht="21.95" customHeight="1" x14ac:dyDescent="0.15"/>
    <row r="45534" spans="3:3" s="8" customFormat="1" ht="21.95" customHeight="1" x14ac:dyDescent="0.15"/>
    <row r="45535" spans="3:3" s="8" customFormat="1" ht="21.95" customHeight="1" x14ac:dyDescent="0.15"/>
    <row r="45536" spans="3:3" s="8" customFormat="1" ht="21.95" customHeight="1" x14ac:dyDescent="0.15"/>
    <row r="45537" s="8" customFormat="1" ht="21.95" customHeight="1" x14ac:dyDescent="0.15"/>
    <row r="45538" s="8" customFormat="1" ht="21.95" customHeight="1" x14ac:dyDescent="0.15"/>
    <row r="45539" s="8" customFormat="1" ht="21.95" customHeight="1" x14ac:dyDescent="0.15"/>
    <row r="45540" s="8" customFormat="1" ht="21.95" customHeight="1" x14ac:dyDescent="0.15"/>
    <row r="45541" s="8" customFormat="1" ht="21.95" customHeight="1" x14ac:dyDescent="0.15"/>
    <row r="45542" s="8" customFormat="1" ht="21.95" customHeight="1" x14ac:dyDescent="0.15"/>
    <row r="45543" s="8" customFormat="1" ht="21.95" customHeight="1" x14ac:dyDescent="0.15"/>
    <row r="45544" s="8" customFormat="1" ht="32.1" customHeight="1" x14ac:dyDescent="0.15"/>
    <row r="45545" s="8" customFormat="1" ht="32.1" customHeight="1" x14ac:dyDescent="0.15"/>
    <row r="45546" s="8" customFormat="1" ht="32.1" customHeight="1" x14ac:dyDescent="0.15"/>
    <row r="45547" s="8" customFormat="1" ht="32.1" customHeight="1" x14ac:dyDescent="0.15"/>
    <row r="45548" s="8" customFormat="1" ht="32.1" customHeight="1" x14ac:dyDescent="0.15"/>
    <row r="45549" s="8" customFormat="1" ht="32.1" customHeight="1" x14ac:dyDescent="0.15"/>
    <row r="45550" s="9" customFormat="1" ht="32.1" customHeight="1" x14ac:dyDescent="0.15"/>
    <row r="45551" s="9" customFormat="1" ht="32.1" customHeight="1" x14ac:dyDescent="0.15"/>
    <row r="45552" s="9" customFormat="1" ht="32.1" customHeight="1" x14ac:dyDescent="0.15"/>
    <row r="45553" s="9" customFormat="1" ht="32.1" customHeight="1" x14ac:dyDescent="0.15"/>
    <row r="45554" s="9" customFormat="1" ht="21.95" customHeight="1" x14ac:dyDescent="0.15"/>
    <row r="45555" s="9" customFormat="1" ht="54" customHeight="1" x14ac:dyDescent="0.15"/>
    <row r="45556" s="9" customFormat="1" ht="21.95" customHeight="1" x14ac:dyDescent="0.15"/>
    <row r="45557" s="9" customFormat="1" ht="21.95" customHeight="1" x14ac:dyDescent="0.15"/>
    <row r="45558" s="9" customFormat="1" ht="21.95" customHeight="1" x14ac:dyDescent="0.15"/>
    <row r="45559" s="9" customFormat="1" ht="21.95" customHeight="1" x14ac:dyDescent="0.15"/>
    <row r="45560" s="9" customFormat="1" ht="21.95" customHeight="1" x14ac:dyDescent="0.15"/>
    <row r="45561" s="9" customFormat="1" ht="21.95" customHeight="1" x14ac:dyDescent="0.15"/>
    <row r="45562" s="9" customFormat="1" ht="21.95" customHeight="1" x14ac:dyDescent="0.15"/>
    <row r="45563" s="9" customFormat="1" ht="21.95" customHeight="1" x14ac:dyDescent="0.15"/>
    <row r="45564" s="9" customFormat="1" ht="21.95" customHeight="1" x14ac:dyDescent="0.15"/>
    <row r="45565" s="9" customFormat="1" ht="21.95" customHeight="1" x14ac:dyDescent="0.15"/>
    <row r="45566" s="9" customFormat="1" ht="21.95" customHeight="1" x14ac:dyDescent="0.15"/>
    <row r="45567" s="9" customFormat="1" ht="21.95" customHeight="1" x14ac:dyDescent="0.15"/>
    <row r="45568" s="9" customFormat="1" ht="21.95" customHeight="1" x14ac:dyDescent="0.15"/>
    <row r="45569" s="9" customFormat="1" ht="21.95" customHeight="1" x14ac:dyDescent="0.15"/>
    <row r="45570" s="9" customFormat="1" ht="21.95" customHeight="1" x14ac:dyDescent="0.15"/>
    <row r="45571" s="9" customFormat="1" ht="21.95" customHeight="1" x14ac:dyDescent="0.15"/>
    <row r="45572" s="9" customFormat="1" ht="21.95" customHeight="1" x14ac:dyDescent="0.15"/>
    <row r="45573" s="9" customFormat="1" ht="21.95" customHeight="1" x14ac:dyDescent="0.15"/>
    <row r="45574" s="9" customFormat="1" ht="21.95" customHeight="1" x14ac:dyDescent="0.15"/>
    <row r="45575" s="9" customFormat="1" ht="21.95" customHeight="1" x14ac:dyDescent="0.15"/>
    <row r="45576" s="9" customFormat="1" ht="21.95" customHeight="1" x14ac:dyDescent="0.15"/>
    <row r="45577" s="9" customFormat="1" ht="21.95" customHeight="1" x14ac:dyDescent="0.15"/>
    <row r="45578" s="9" customFormat="1" ht="21.95" customHeight="1" x14ac:dyDescent="0.15"/>
    <row r="45579" s="9" customFormat="1" ht="21.95" customHeight="1" x14ac:dyDescent="0.15"/>
    <row r="45580" s="9" customFormat="1" ht="21.95" customHeight="1" x14ac:dyDescent="0.15"/>
    <row r="45581" s="9" customFormat="1" ht="21.95" customHeight="1" x14ac:dyDescent="0.15"/>
    <row r="45582" s="9" customFormat="1" ht="21.95" customHeight="1" x14ac:dyDescent="0.15"/>
    <row r="45583" s="9" customFormat="1" ht="21.95" customHeight="1" x14ac:dyDescent="0.15"/>
    <row r="45584" s="9" customFormat="1" ht="21.95" customHeight="1" x14ac:dyDescent="0.15"/>
    <row r="45585" s="9" customFormat="1" ht="21.95" customHeight="1" x14ac:dyDescent="0.15"/>
    <row r="45586" s="9" customFormat="1" ht="21.95" customHeight="1" x14ac:dyDescent="0.15"/>
    <row r="45587" s="9" customFormat="1" ht="21.95" customHeight="1" x14ac:dyDescent="0.15"/>
    <row r="45588" s="9" customFormat="1" ht="21.95" customHeight="1" x14ac:dyDescent="0.15"/>
    <row r="45589" s="9" customFormat="1" ht="21.95" customHeight="1" x14ac:dyDescent="0.15"/>
    <row r="45590" s="9" customFormat="1" ht="21.95" customHeight="1" x14ac:dyDescent="0.15"/>
    <row r="45591" s="9" customFormat="1" ht="21.95" customHeight="1" x14ac:dyDescent="0.15"/>
    <row r="45592" s="9" customFormat="1" ht="21.95" customHeight="1" x14ac:dyDescent="0.15"/>
    <row r="45593" s="9" customFormat="1" ht="21.95" customHeight="1" x14ac:dyDescent="0.15"/>
    <row r="45594" s="9" customFormat="1" ht="21.95" customHeight="1" x14ac:dyDescent="0.15"/>
    <row r="45595" s="9" customFormat="1" ht="21.95" customHeight="1" x14ac:dyDescent="0.15"/>
    <row r="45596" s="9" customFormat="1" ht="21.95" customHeight="1" x14ac:dyDescent="0.15"/>
    <row r="45597" s="9" customFormat="1" ht="21.95" customHeight="1" x14ac:dyDescent="0.15"/>
    <row r="45598" s="9" customFormat="1" ht="21.95" customHeight="1" x14ac:dyDescent="0.15"/>
    <row r="45599" s="9" customFormat="1" ht="21.95" customHeight="1" x14ac:dyDescent="0.15"/>
    <row r="45600" s="9" customFormat="1" ht="21.95" customHeight="1" x14ac:dyDescent="0.15"/>
    <row r="45601" s="9" customFormat="1" ht="21.95" customHeight="1" x14ac:dyDescent="0.15"/>
    <row r="45602" s="9" customFormat="1" ht="21.95" customHeight="1" x14ac:dyDescent="0.15"/>
    <row r="45603" s="9" customFormat="1" ht="21.95" customHeight="1" x14ac:dyDescent="0.15"/>
    <row r="45604" s="9" customFormat="1" ht="21.95" customHeight="1" x14ac:dyDescent="0.15"/>
    <row r="45605" s="9" customFormat="1" ht="21.95" customHeight="1" x14ac:dyDescent="0.15"/>
    <row r="45606" s="9" customFormat="1" ht="35.1" customHeight="1" x14ac:dyDescent="0.15"/>
    <row r="45607" s="9" customFormat="1" ht="21.95" customHeight="1" x14ac:dyDescent="0.15"/>
    <row r="45608" s="9" customFormat="1" ht="21.95" customHeight="1" x14ac:dyDescent="0.15"/>
    <row r="45609" s="9" customFormat="1" ht="21.95" customHeight="1" x14ac:dyDescent="0.15"/>
    <row r="45610" s="9" customFormat="1" ht="21.95" customHeight="1" x14ac:dyDescent="0.15"/>
    <row r="45611" s="9" customFormat="1" ht="21.95" customHeight="1" x14ac:dyDescent="0.15"/>
    <row r="45612" s="9" customFormat="1" ht="21.95" customHeight="1" x14ac:dyDescent="0.15"/>
    <row r="45613" s="9" customFormat="1" ht="21.95" customHeight="1" x14ac:dyDescent="0.15"/>
    <row r="45614" s="9" customFormat="1" ht="21.95" customHeight="1" x14ac:dyDescent="0.15"/>
    <row r="45615" s="9" customFormat="1" ht="21.95" customHeight="1" x14ac:dyDescent="0.15"/>
    <row r="45616" s="9" customFormat="1" ht="21.95" customHeight="1" x14ac:dyDescent="0.15"/>
    <row r="45617" spans="3:3" s="9" customFormat="1" ht="21.95" customHeight="1" x14ac:dyDescent="0.15"/>
    <row r="45618" spans="3:3" s="9" customFormat="1" ht="21.95" customHeight="1" x14ac:dyDescent="0.15"/>
    <row r="45619" spans="3:3" s="9" customFormat="1" ht="21.95" customHeight="1" x14ac:dyDescent="0.15"/>
    <row r="45620" spans="3:3" s="9" customFormat="1" ht="21.95" customHeight="1" x14ac:dyDescent="0.15"/>
    <row r="45621" spans="3:3" s="9" customFormat="1" ht="21.95" customHeight="1" x14ac:dyDescent="0.15"/>
    <row r="45622" spans="3:3" s="9" customFormat="1" ht="21.95" customHeight="1" x14ac:dyDescent="0.15"/>
    <row r="45623" spans="3:3" s="9" customFormat="1" ht="21.95" customHeight="1" x14ac:dyDescent="0.15"/>
    <row r="45624" spans="3:3" s="9" customFormat="1" ht="21.95" customHeight="1" x14ac:dyDescent="0.15"/>
    <row r="45625" spans="3:3" s="9" customFormat="1" ht="21.95" customHeight="1" x14ac:dyDescent="0.15"/>
    <row r="45626" spans="3:3" s="9" customFormat="1" ht="21.95" customHeight="1" x14ac:dyDescent="0.15"/>
    <row r="45627" spans="3:3" s="9" customFormat="1" ht="21.95" customHeight="1" x14ac:dyDescent="0.15"/>
    <row r="45628" spans="3:3" s="9" customFormat="1" ht="21.95" customHeight="1" x14ac:dyDescent="0.15"/>
    <row r="45629" spans="3:3" s="9" customFormat="1" ht="21.95" customHeight="1" x14ac:dyDescent="0.15"/>
    <row r="45630" spans="3:3" s="8" customFormat="1" ht="21.95" customHeight="1" x14ac:dyDescent="0.15"/>
    <row r="45631" spans="3:3" s="8" customFormat="1" ht="21.95" customHeight="1" x14ac:dyDescent="0.15"/>
    <row r="45632" spans="3:3" s="8" customFormat="1" ht="21.95" customHeight="1" x14ac:dyDescent="0.15">
      <c r="C45632" s="101"/>
    </row>
    <row r="45633" spans="3:3" s="8" customFormat="1" ht="21.95" customHeight="1" x14ac:dyDescent="0.15">
      <c r="C45633" s="101"/>
    </row>
    <row r="45634" spans="3:3" s="8" customFormat="1" ht="21.95" customHeight="1" x14ac:dyDescent="0.15"/>
    <row r="45635" spans="3:3" s="8" customFormat="1" ht="21.95" customHeight="1" x14ac:dyDescent="0.15"/>
    <row r="45636" spans="3:3" s="8" customFormat="1" ht="21.95" customHeight="1" x14ac:dyDescent="0.15"/>
    <row r="45637" spans="3:3" s="8" customFormat="1" ht="21.95" customHeight="1" x14ac:dyDescent="0.15"/>
    <row r="45638" spans="3:3" s="8" customFormat="1" ht="21.95" customHeight="1" x14ac:dyDescent="0.15"/>
    <row r="45639" spans="3:3" s="8" customFormat="1" ht="21.95" customHeight="1" x14ac:dyDescent="0.15"/>
    <row r="45640" spans="3:3" s="8" customFormat="1" ht="21.95" customHeight="1" x14ac:dyDescent="0.15"/>
    <row r="45641" spans="3:3" s="9" customFormat="1" ht="21.95" customHeight="1" x14ac:dyDescent="0.15"/>
    <row r="45642" spans="3:3" s="9" customFormat="1" ht="21.95" customHeight="1" x14ac:dyDescent="0.15"/>
    <row r="45643" spans="3:3" s="9" customFormat="1" ht="21.95" customHeight="1" x14ac:dyDescent="0.15"/>
    <row r="45644" spans="3:3" s="9" customFormat="1" ht="21.95" customHeight="1" x14ac:dyDescent="0.15"/>
    <row r="45645" spans="3:3" s="8" customFormat="1" ht="21.95" customHeight="1" x14ac:dyDescent="0.15"/>
    <row r="45646" spans="3:3" s="8" customFormat="1" ht="21.95" customHeight="1" x14ac:dyDescent="0.15"/>
    <row r="45647" spans="3:3" s="8" customFormat="1" ht="21.95" customHeight="1" x14ac:dyDescent="0.15"/>
    <row r="45648" spans="3:3" s="8" customFormat="1" ht="21.95" customHeight="1" x14ac:dyDescent="0.15"/>
    <row r="45649" s="8" customFormat="1" ht="21.95" customHeight="1" x14ac:dyDescent="0.15"/>
    <row r="45650" s="8" customFormat="1" ht="21.95" customHeight="1" x14ac:dyDescent="0.15"/>
    <row r="45651" s="8" customFormat="1" ht="21.95" customHeight="1" x14ac:dyDescent="0.15"/>
    <row r="45652" s="8" customFormat="1" ht="21.95" customHeight="1" x14ac:dyDescent="0.15"/>
    <row r="45653" s="8" customFormat="1" ht="21.95" customHeight="1" x14ac:dyDescent="0.15"/>
    <row r="45654" s="8" customFormat="1" ht="21.95" customHeight="1" x14ac:dyDescent="0.15"/>
    <row r="45655" s="8" customFormat="1" ht="21.95" customHeight="1" x14ac:dyDescent="0.15"/>
    <row r="45656" s="8" customFormat="1" ht="32.1" customHeight="1" x14ac:dyDescent="0.15"/>
    <row r="45657" s="8" customFormat="1" ht="32.1" customHeight="1" x14ac:dyDescent="0.15"/>
    <row r="45658" s="8" customFormat="1" ht="32.1" customHeight="1" x14ac:dyDescent="0.15"/>
    <row r="45659" s="8" customFormat="1" ht="32.1" customHeight="1" x14ac:dyDescent="0.15"/>
    <row r="45660" s="8" customFormat="1" ht="32.1" customHeight="1" x14ac:dyDescent="0.15"/>
    <row r="45661" s="8" customFormat="1" ht="32.1" customHeight="1" x14ac:dyDescent="0.15"/>
    <row r="45662" s="9" customFormat="1" ht="32.1" customHeight="1" x14ac:dyDescent="0.15"/>
    <row r="45663" s="9" customFormat="1" ht="32.1" customHeight="1" x14ac:dyDescent="0.15"/>
    <row r="45664" s="9" customFormat="1" ht="32.1" customHeight="1" x14ac:dyDescent="0.15"/>
    <row r="45665" s="9" customFormat="1" ht="32.1" customHeight="1" x14ac:dyDescent="0.15"/>
    <row r="45666" s="9" customFormat="1" ht="21.95" customHeight="1" x14ac:dyDescent="0.15"/>
    <row r="45667" s="9" customFormat="1" ht="54" customHeight="1" x14ac:dyDescent="0.15"/>
    <row r="45668" s="9" customFormat="1" ht="21.95" customHeight="1" x14ac:dyDescent="0.15"/>
    <row r="45669" s="9" customFormat="1" ht="21.95" customHeight="1" x14ac:dyDescent="0.15"/>
    <row r="45670" s="9" customFormat="1" ht="21.95" customHeight="1" x14ac:dyDescent="0.15"/>
    <row r="45671" s="9" customFormat="1" ht="21.95" customHeight="1" x14ac:dyDescent="0.15"/>
    <row r="45672" s="9" customFormat="1" ht="21.95" customHeight="1" x14ac:dyDescent="0.15"/>
    <row r="45673" s="9" customFormat="1" ht="21.95" customHeight="1" x14ac:dyDescent="0.15"/>
    <row r="45674" s="9" customFormat="1" ht="21.95" customHeight="1" x14ac:dyDescent="0.15"/>
    <row r="45675" s="9" customFormat="1" ht="21.95" customHeight="1" x14ac:dyDescent="0.15"/>
    <row r="45676" s="9" customFormat="1" ht="21.95" customHeight="1" x14ac:dyDescent="0.15"/>
    <row r="45677" s="9" customFormat="1" ht="21.95" customHeight="1" x14ac:dyDescent="0.15"/>
    <row r="45678" s="9" customFormat="1" ht="21.95" customHeight="1" x14ac:dyDescent="0.15"/>
    <row r="45679" s="9" customFormat="1" ht="21.95" customHeight="1" x14ac:dyDescent="0.15"/>
    <row r="45680" s="9" customFormat="1" ht="21.95" customHeight="1" x14ac:dyDescent="0.15"/>
    <row r="45681" s="9" customFormat="1" ht="21.95" customHeight="1" x14ac:dyDescent="0.15"/>
    <row r="45682" s="9" customFormat="1" ht="21.95" customHeight="1" x14ac:dyDescent="0.15"/>
    <row r="45683" s="9" customFormat="1" ht="21.95" customHeight="1" x14ac:dyDescent="0.15"/>
    <row r="45684" s="9" customFormat="1" ht="21.95" customHeight="1" x14ac:dyDescent="0.15"/>
    <row r="45685" s="9" customFormat="1" ht="21.95" customHeight="1" x14ac:dyDescent="0.15"/>
    <row r="45686" s="9" customFormat="1" ht="21.95" customHeight="1" x14ac:dyDescent="0.15"/>
    <row r="45687" s="9" customFormat="1" ht="21.95" customHeight="1" x14ac:dyDescent="0.15"/>
    <row r="45688" s="9" customFormat="1" ht="21.95" customHeight="1" x14ac:dyDescent="0.15"/>
    <row r="45689" s="9" customFormat="1" ht="21.95" customHeight="1" x14ac:dyDescent="0.15"/>
    <row r="45690" s="9" customFormat="1" ht="21.95" customHeight="1" x14ac:dyDescent="0.15"/>
    <row r="45691" s="9" customFormat="1" ht="21.95" customHeight="1" x14ac:dyDescent="0.15"/>
    <row r="45692" s="9" customFormat="1" ht="21.95" customHeight="1" x14ac:dyDescent="0.15"/>
    <row r="45693" s="9" customFormat="1" ht="21.95" customHeight="1" x14ac:dyDescent="0.15"/>
    <row r="45694" s="9" customFormat="1" ht="21.95" customHeight="1" x14ac:dyDescent="0.15"/>
    <row r="45695" s="9" customFormat="1" ht="21.95" customHeight="1" x14ac:dyDescent="0.15"/>
    <row r="45696" s="9" customFormat="1" ht="21.95" customHeight="1" x14ac:dyDescent="0.15"/>
    <row r="45697" s="9" customFormat="1" ht="21.95" customHeight="1" x14ac:dyDescent="0.15"/>
    <row r="45698" s="9" customFormat="1" ht="21.95" customHeight="1" x14ac:dyDescent="0.15"/>
    <row r="45699" s="9" customFormat="1" ht="21.95" customHeight="1" x14ac:dyDescent="0.15"/>
    <row r="45700" s="9" customFormat="1" ht="21.95" customHeight="1" x14ac:dyDescent="0.15"/>
    <row r="45701" s="9" customFormat="1" ht="21.95" customHeight="1" x14ac:dyDescent="0.15"/>
    <row r="45702" s="9" customFormat="1" ht="21.95" customHeight="1" x14ac:dyDescent="0.15"/>
    <row r="45703" s="9" customFormat="1" ht="21.95" customHeight="1" x14ac:dyDescent="0.15"/>
    <row r="45704" s="9" customFormat="1" ht="21.95" customHeight="1" x14ac:dyDescent="0.15"/>
    <row r="45705" s="9" customFormat="1" ht="21.95" customHeight="1" x14ac:dyDescent="0.15"/>
    <row r="45706" s="9" customFormat="1" ht="21.95" customHeight="1" x14ac:dyDescent="0.15"/>
    <row r="45707" s="9" customFormat="1" ht="21.95" customHeight="1" x14ac:dyDescent="0.15"/>
    <row r="45708" s="9" customFormat="1" ht="21.95" customHeight="1" x14ac:dyDescent="0.15"/>
    <row r="45709" s="9" customFormat="1" ht="21.95" customHeight="1" x14ac:dyDescent="0.15"/>
    <row r="45710" s="9" customFormat="1" ht="21.95" customHeight="1" x14ac:dyDescent="0.15"/>
    <row r="45711" s="9" customFormat="1" ht="21.95" customHeight="1" x14ac:dyDescent="0.15"/>
    <row r="45712" s="9" customFormat="1" ht="21.95" customHeight="1" x14ac:dyDescent="0.15"/>
    <row r="45713" s="9" customFormat="1" ht="21.95" customHeight="1" x14ac:dyDescent="0.15"/>
    <row r="45714" s="9" customFormat="1" ht="21.95" customHeight="1" x14ac:dyDescent="0.15"/>
    <row r="45715" s="9" customFormat="1" ht="21.95" customHeight="1" x14ac:dyDescent="0.15"/>
    <row r="45716" s="9" customFormat="1" ht="21.95" customHeight="1" x14ac:dyDescent="0.15"/>
    <row r="45717" s="9" customFormat="1" ht="21.95" customHeight="1" x14ac:dyDescent="0.15"/>
    <row r="45718" s="9" customFormat="1" ht="35.1" customHeight="1" x14ac:dyDescent="0.15"/>
    <row r="45719" s="9" customFormat="1" ht="21.95" customHeight="1" x14ac:dyDescent="0.15"/>
    <row r="45720" s="9" customFormat="1" ht="21.95" customHeight="1" x14ac:dyDescent="0.15"/>
    <row r="45721" s="9" customFormat="1" ht="21.95" customHeight="1" x14ac:dyDescent="0.15"/>
    <row r="45722" s="9" customFormat="1" ht="21.95" customHeight="1" x14ac:dyDescent="0.15"/>
    <row r="45723" s="9" customFormat="1" ht="21.95" customHeight="1" x14ac:dyDescent="0.15"/>
    <row r="45724" s="9" customFormat="1" ht="21.95" customHeight="1" x14ac:dyDescent="0.15"/>
    <row r="45725" s="9" customFormat="1" ht="21.95" customHeight="1" x14ac:dyDescent="0.15"/>
    <row r="45726" s="9" customFormat="1" ht="21.95" customHeight="1" x14ac:dyDescent="0.15"/>
    <row r="45727" s="9" customFormat="1" ht="21.95" customHeight="1" x14ac:dyDescent="0.15"/>
    <row r="45728" s="9" customFormat="1" ht="21.95" customHeight="1" x14ac:dyDescent="0.15"/>
    <row r="45729" spans="3:3" s="9" customFormat="1" ht="21.95" customHeight="1" x14ac:dyDescent="0.15"/>
    <row r="45730" spans="3:3" s="9" customFormat="1" ht="21.95" customHeight="1" x14ac:dyDescent="0.15"/>
    <row r="45731" spans="3:3" s="9" customFormat="1" ht="21.95" customHeight="1" x14ac:dyDescent="0.15"/>
    <row r="45732" spans="3:3" s="9" customFormat="1" ht="21.95" customHeight="1" x14ac:dyDescent="0.15"/>
    <row r="45733" spans="3:3" s="9" customFormat="1" ht="21.95" customHeight="1" x14ac:dyDescent="0.15"/>
    <row r="45734" spans="3:3" s="9" customFormat="1" ht="21.95" customHeight="1" x14ac:dyDescent="0.15"/>
    <row r="45735" spans="3:3" s="9" customFormat="1" ht="21.95" customHeight="1" x14ac:dyDescent="0.15"/>
    <row r="45736" spans="3:3" s="9" customFormat="1" ht="21.95" customHeight="1" x14ac:dyDescent="0.15"/>
    <row r="45737" spans="3:3" s="9" customFormat="1" ht="21.95" customHeight="1" x14ac:dyDescent="0.15"/>
    <row r="45738" spans="3:3" s="9" customFormat="1" ht="21.95" customHeight="1" x14ac:dyDescent="0.15"/>
    <row r="45739" spans="3:3" s="9" customFormat="1" ht="21.95" customHeight="1" x14ac:dyDescent="0.15"/>
    <row r="45740" spans="3:3" s="9" customFormat="1" ht="21.95" customHeight="1" x14ac:dyDescent="0.15"/>
    <row r="45741" spans="3:3" s="9" customFormat="1" ht="21.95" customHeight="1" x14ac:dyDescent="0.15"/>
    <row r="45742" spans="3:3" s="8" customFormat="1" ht="21.95" customHeight="1" x14ac:dyDescent="0.15"/>
    <row r="45743" spans="3:3" s="8" customFormat="1" ht="21.95" customHeight="1" x14ac:dyDescent="0.15"/>
    <row r="45744" spans="3:3" s="8" customFormat="1" ht="21.95" customHeight="1" x14ac:dyDescent="0.15">
      <c r="C45744" s="101"/>
    </row>
    <row r="45745" spans="3:3" s="8" customFormat="1" ht="21.95" customHeight="1" x14ac:dyDescent="0.15">
      <c r="C45745" s="101"/>
    </row>
    <row r="45746" spans="3:3" s="8" customFormat="1" ht="21.95" customHeight="1" x14ac:dyDescent="0.15"/>
    <row r="45747" spans="3:3" s="8" customFormat="1" ht="21.95" customHeight="1" x14ac:dyDescent="0.15"/>
    <row r="45748" spans="3:3" s="8" customFormat="1" ht="21.95" customHeight="1" x14ac:dyDescent="0.15"/>
    <row r="45749" spans="3:3" s="8" customFormat="1" ht="21.95" customHeight="1" x14ac:dyDescent="0.15"/>
    <row r="45750" spans="3:3" s="8" customFormat="1" ht="21.95" customHeight="1" x14ac:dyDescent="0.15"/>
    <row r="45751" spans="3:3" s="8" customFormat="1" ht="21.95" customHeight="1" x14ac:dyDescent="0.15"/>
    <row r="45752" spans="3:3" s="8" customFormat="1" ht="21.95" customHeight="1" x14ac:dyDescent="0.15"/>
    <row r="45753" spans="3:3" s="9" customFormat="1" ht="21.95" customHeight="1" x14ac:dyDescent="0.15"/>
    <row r="45754" spans="3:3" s="9" customFormat="1" ht="21.95" customHeight="1" x14ac:dyDescent="0.15"/>
    <row r="45755" spans="3:3" s="9" customFormat="1" ht="21.95" customHeight="1" x14ac:dyDescent="0.15"/>
    <row r="45756" spans="3:3" s="9" customFormat="1" ht="21.95" customHeight="1" x14ac:dyDescent="0.15"/>
    <row r="45757" spans="3:3" s="8" customFormat="1" ht="21.95" customHeight="1" x14ac:dyDescent="0.15"/>
    <row r="45758" spans="3:3" s="8" customFormat="1" ht="21.95" customHeight="1" x14ac:dyDescent="0.15"/>
    <row r="45759" spans="3:3" s="8" customFormat="1" ht="21.95" customHeight="1" x14ac:dyDescent="0.15"/>
    <row r="45760" spans="3:3" s="8" customFormat="1" ht="21.95" customHeight="1" x14ac:dyDescent="0.15"/>
    <row r="45761" s="8" customFormat="1" ht="21.95" customHeight="1" x14ac:dyDescent="0.15"/>
    <row r="45762" s="8" customFormat="1" ht="21.95" customHeight="1" x14ac:dyDescent="0.15"/>
    <row r="45763" s="8" customFormat="1" ht="21.95" customHeight="1" x14ac:dyDescent="0.15"/>
    <row r="45764" s="8" customFormat="1" ht="21.95" customHeight="1" x14ac:dyDescent="0.15"/>
    <row r="45765" s="8" customFormat="1" ht="21.95" customHeight="1" x14ac:dyDescent="0.15"/>
    <row r="45766" s="8" customFormat="1" ht="21.95" customHeight="1" x14ac:dyDescent="0.15"/>
    <row r="45767" s="8" customFormat="1" ht="21.95" customHeight="1" x14ac:dyDescent="0.15"/>
    <row r="45768" s="8" customFormat="1" ht="32.1" customHeight="1" x14ac:dyDescent="0.15"/>
    <row r="45769" s="8" customFormat="1" ht="32.1" customHeight="1" x14ac:dyDescent="0.15"/>
    <row r="45770" s="8" customFormat="1" ht="32.1" customHeight="1" x14ac:dyDescent="0.15"/>
    <row r="45771" s="8" customFormat="1" ht="32.1" customHeight="1" x14ac:dyDescent="0.15"/>
    <row r="45772" s="8" customFormat="1" ht="32.1" customHeight="1" x14ac:dyDescent="0.15"/>
    <row r="45773" s="8" customFormat="1" ht="32.1" customHeight="1" x14ac:dyDescent="0.15"/>
    <row r="45774" s="9" customFormat="1" ht="32.1" customHeight="1" x14ac:dyDescent="0.15"/>
    <row r="45775" s="9" customFormat="1" ht="32.1" customHeight="1" x14ac:dyDescent="0.15"/>
    <row r="45776" s="9" customFormat="1" ht="32.1" customHeight="1" x14ac:dyDescent="0.15"/>
    <row r="45777" s="9" customFormat="1" ht="32.1" customHeight="1" x14ac:dyDescent="0.15"/>
    <row r="45778" s="9" customFormat="1" ht="21.95" customHeight="1" x14ac:dyDescent="0.15"/>
    <row r="45779" s="9" customFormat="1" ht="54" customHeight="1" x14ac:dyDescent="0.15"/>
    <row r="45780" s="9" customFormat="1" ht="21.95" customHeight="1" x14ac:dyDescent="0.15"/>
    <row r="45781" s="9" customFormat="1" ht="21.95" customHeight="1" x14ac:dyDescent="0.15"/>
    <row r="45782" s="9" customFormat="1" ht="21.95" customHeight="1" x14ac:dyDescent="0.15"/>
    <row r="45783" s="9" customFormat="1" ht="21.95" customHeight="1" x14ac:dyDescent="0.15"/>
    <row r="45784" s="9" customFormat="1" ht="21.95" customHeight="1" x14ac:dyDescent="0.15"/>
    <row r="45785" s="9" customFormat="1" ht="21.95" customHeight="1" x14ac:dyDescent="0.15"/>
    <row r="45786" s="9" customFormat="1" ht="21.95" customHeight="1" x14ac:dyDescent="0.15"/>
    <row r="45787" s="9" customFormat="1" ht="21.95" customHeight="1" x14ac:dyDescent="0.15"/>
    <row r="45788" s="9" customFormat="1" ht="21.95" customHeight="1" x14ac:dyDescent="0.15"/>
    <row r="45789" s="9" customFormat="1" ht="21.95" customHeight="1" x14ac:dyDescent="0.15"/>
    <row r="45790" s="9" customFormat="1" ht="21.95" customHeight="1" x14ac:dyDescent="0.15"/>
    <row r="45791" s="9" customFormat="1" ht="21.95" customHeight="1" x14ac:dyDescent="0.15"/>
    <row r="45792" s="9" customFormat="1" ht="21.95" customHeight="1" x14ac:dyDescent="0.15"/>
    <row r="45793" s="9" customFormat="1" ht="21.95" customHeight="1" x14ac:dyDescent="0.15"/>
    <row r="45794" s="9" customFormat="1" ht="21.95" customHeight="1" x14ac:dyDescent="0.15"/>
    <row r="45795" s="9" customFormat="1" ht="21.95" customHeight="1" x14ac:dyDescent="0.15"/>
    <row r="45796" s="9" customFormat="1" ht="21.95" customHeight="1" x14ac:dyDescent="0.15"/>
    <row r="45797" s="9" customFormat="1" ht="21.95" customHeight="1" x14ac:dyDescent="0.15"/>
    <row r="45798" s="9" customFormat="1" ht="21.95" customHeight="1" x14ac:dyDescent="0.15"/>
    <row r="45799" s="9" customFormat="1" ht="21.95" customHeight="1" x14ac:dyDescent="0.15"/>
    <row r="45800" s="9" customFormat="1" ht="21.95" customHeight="1" x14ac:dyDescent="0.15"/>
    <row r="45801" s="9" customFormat="1" ht="21.95" customHeight="1" x14ac:dyDescent="0.15"/>
    <row r="45802" s="9" customFormat="1" ht="21.95" customHeight="1" x14ac:dyDescent="0.15"/>
    <row r="45803" s="9" customFormat="1" ht="21.95" customHeight="1" x14ac:dyDescent="0.15"/>
    <row r="45804" s="9" customFormat="1" ht="21.95" customHeight="1" x14ac:dyDescent="0.15"/>
    <row r="45805" s="9" customFormat="1" ht="21.95" customHeight="1" x14ac:dyDescent="0.15"/>
    <row r="45806" s="9" customFormat="1" ht="21.95" customHeight="1" x14ac:dyDescent="0.15"/>
    <row r="45807" s="9" customFormat="1" ht="21.95" customHeight="1" x14ac:dyDescent="0.15"/>
    <row r="45808" s="9" customFormat="1" ht="21.95" customHeight="1" x14ac:dyDescent="0.15"/>
    <row r="45809" s="9" customFormat="1" ht="21.95" customHeight="1" x14ac:dyDescent="0.15"/>
    <row r="45810" s="9" customFormat="1" ht="21.95" customHeight="1" x14ac:dyDescent="0.15"/>
    <row r="45811" s="9" customFormat="1" ht="21.95" customHeight="1" x14ac:dyDescent="0.15"/>
    <row r="45812" s="9" customFormat="1" ht="21.95" customHeight="1" x14ac:dyDescent="0.15"/>
    <row r="45813" s="9" customFormat="1" ht="21.95" customHeight="1" x14ac:dyDescent="0.15"/>
    <row r="45814" s="9" customFormat="1" ht="21.95" customHeight="1" x14ac:dyDescent="0.15"/>
    <row r="45815" s="9" customFormat="1" ht="21.95" customHeight="1" x14ac:dyDescent="0.15"/>
    <row r="45816" s="9" customFormat="1" ht="21.95" customHeight="1" x14ac:dyDescent="0.15"/>
    <row r="45817" s="9" customFormat="1" ht="21.95" customHeight="1" x14ac:dyDescent="0.15"/>
    <row r="45818" s="9" customFormat="1" ht="21.95" customHeight="1" x14ac:dyDescent="0.15"/>
    <row r="45819" s="9" customFormat="1" ht="21.95" customHeight="1" x14ac:dyDescent="0.15"/>
    <row r="45820" s="9" customFormat="1" ht="21.95" customHeight="1" x14ac:dyDescent="0.15"/>
    <row r="45821" s="9" customFormat="1" ht="21.95" customHeight="1" x14ac:dyDescent="0.15"/>
    <row r="45822" s="9" customFormat="1" ht="21.95" customHeight="1" x14ac:dyDescent="0.15"/>
    <row r="45823" s="9" customFormat="1" ht="21.95" customHeight="1" x14ac:dyDescent="0.15"/>
    <row r="45824" s="9" customFormat="1" ht="21.95" customHeight="1" x14ac:dyDescent="0.15"/>
    <row r="45825" s="9" customFormat="1" ht="21.95" customHeight="1" x14ac:dyDescent="0.15"/>
    <row r="45826" s="9" customFormat="1" ht="21.95" customHeight="1" x14ac:dyDescent="0.15"/>
    <row r="45827" s="9" customFormat="1" ht="21.95" customHeight="1" x14ac:dyDescent="0.15"/>
    <row r="45828" s="9" customFormat="1" ht="21.95" customHeight="1" x14ac:dyDescent="0.15"/>
    <row r="45829" s="9" customFormat="1" ht="21.95" customHeight="1" x14ac:dyDescent="0.15"/>
    <row r="45830" s="9" customFormat="1" ht="35.1" customHeight="1" x14ac:dyDescent="0.15"/>
    <row r="45831" s="9" customFormat="1" ht="21.95" customHeight="1" x14ac:dyDescent="0.15"/>
    <row r="45832" s="9" customFormat="1" ht="21.95" customHeight="1" x14ac:dyDescent="0.15"/>
    <row r="45833" s="9" customFormat="1" ht="21.95" customHeight="1" x14ac:dyDescent="0.15"/>
    <row r="45834" s="9" customFormat="1" ht="21.95" customHeight="1" x14ac:dyDescent="0.15"/>
    <row r="45835" s="9" customFormat="1" ht="21.95" customHeight="1" x14ac:dyDescent="0.15"/>
    <row r="45836" s="9" customFormat="1" ht="21.95" customHeight="1" x14ac:dyDescent="0.15"/>
    <row r="45837" s="9" customFormat="1" ht="21.95" customHeight="1" x14ac:dyDescent="0.15"/>
    <row r="45838" s="9" customFormat="1" ht="21.95" customHeight="1" x14ac:dyDescent="0.15"/>
    <row r="45839" s="9" customFormat="1" ht="21.95" customHeight="1" x14ac:dyDescent="0.15"/>
    <row r="45840" s="9" customFormat="1" ht="21.95" customHeight="1" x14ac:dyDescent="0.15"/>
    <row r="45841" spans="3:3" s="9" customFormat="1" ht="21.95" customHeight="1" x14ac:dyDescent="0.15"/>
    <row r="45842" spans="3:3" s="9" customFormat="1" ht="21.95" customHeight="1" x14ac:dyDescent="0.15"/>
    <row r="45843" spans="3:3" s="9" customFormat="1" ht="21.95" customHeight="1" x14ac:dyDescent="0.15"/>
    <row r="45844" spans="3:3" s="9" customFormat="1" ht="21.95" customHeight="1" x14ac:dyDescent="0.15"/>
    <row r="45845" spans="3:3" s="9" customFormat="1" ht="21.95" customHeight="1" x14ac:dyDescent="0.15"/>
    <row r="45846" spans="3:3" s="9" customFormat="1" ht="21.95" customHeight="1" x14ac:dyDescent="0.15"/>
    <row r="45847" spans="3:3" s="9" customFormat="1" ht="21.95" customHeight="1" x14ac:dyDescent="0.15"/>
    <row r="45848" spans="3:3" s="9" customFormat="1" ht="21.95" customHeight="1" x14ac:dyDescent="0.15"/>
    <row r="45849" spans="3:3" s="9" customFormat="1" ht="21.95" customHeight="1" x14ac:dyDescent="0.15"/>
    <row r="45850" spans="3:3" s="9" customFormat="1" ht="21.95" customHeight="1" x14ac:dyDescent="0.15"/>
    <row r="45851" spans="3:3" s="9" customFormat="1" ht="21.95" customHeight="1" x14ac:dyDescent="0.15"/>
    <row r="45852" spans="3:3" s="9" customFormat="1" ht="21.95" customHeight="1" x14ac:dyDescent="0.15"/>
    <row r="45853" spans="3:3" s="9" customFormat="1" ht="21.95" customHeight="1" x14ac:dyDescent="0.15"/>
    <row r="45854" spans="3:3" s="8" customFormat="1" ht="21.95" customHeight="1" x14ac:dyDescent="0.15"/>
    <row r="45855" spans="3:3" s="8" customFormat="1" ht="21.95" customHeight="1" x14ac:dyDescent="0.15"/>
    <row r="45856" spans="3:3" s="8" customFormat="1" ht="21.95" customHeight="1" x14ac:dyDescent="0.15">
      <c r="C45856" s="101"/>
    </row>
    <row r="45857" spans="3:3" s="8" customFormat="1" ht="21.95" customHeight="1" x14ac:dyDescent="0.15">
      <c r="C45857" s="101"/>
    </row>
    <row r="45858" spans="3:3" s="8" customFormat="1" ht="21.95" customHeight="1" x14ac:dyDescent="0.15"/>
    <row r="45859" spans="3:3" s="8" customFormat="1" ht="21.95" customHeight="1" x14ac:dyDescent="0.15"/>
    <row r="45860" spans="3:3" s="8" customFormat="1" ht="21.95" customHeight="1" x14ac:dyDescent="0.15"/>
    <row r="45861" spans="3:3" s="8" customFormat="1" ht="21.95" customHeight="1" x14ac:dyDescent="0.15"/>
    <row r="45862" spans="3:3" s="8" customFormat="1" ht="21.95" customHeight="1" x14ac:dyDescent="0.15"/>
    <row r="45863" spans="3:3" s="8" customFormat="1" ht="21.95" customHeight="1" x14ac:dyDescent="0.15"/>
    <row r="45864" spans="3:3" s="8" customFormat="1" ht="21.95" customHeight="1" x14ac:dyDescent="0.15"/>
    <row r="45865" spans="3:3" s="9" customFormat="1" ht="21.95" customHeight="1" x14ac:dyDescent="0.15"/>
    <row r="45866" spans="3:3" s="9" customFormat="1" ht="21.95" customHeight="1" x14ac:dyDescent="0.15"/>
    <row r="45867" spans="3:3" s="9" customFormat="1" ht="21.95" customHeight="1" x14ac:dyDescent="0.15"/>
    <row r="45868" spans="3:3" s="9" customFormat="1" ht="21.95" customHeight="1" x14ac:dyDescent="0.15"/>
    <row r="45869" spans="3:3" s="8" customFormat="1" ht="21.95" customHeight="1" x14ac:dyDescent="0.15"/>
    <row r="45870" spans="3:3" s="8" customFormat="1" ht="21.95" customHeight="1" x14ac:dyDescent="0.15"/>
    <row r="45871" spans="3:3" s="8" customFormat="1" ht="21.95" customHeight="1" x14ac:dyDescent="0.15"/>
    <row r="45872" spans="3:3" s="8" customFormat="1" ht="21.95" customHeight="1" x14ac:dyDescent="0.15"/>
    <row r="45873" s="8" customFormat="1" ht="21.95" customHeight="1" x14ac:dyDescent="0.15"/>
    <row r="45874" s="8" customFormat="1" ht="21.95" customHeight="1" x14ac:dyDescent="0.15"/>
    <row r="45875" s="8" customFormat="1" ht="21.95" customHeight="1" x14ac:dyDescent="0.15"/>
    <row r="45876" s="8" customFormat="1" ht="21.95" customHeight="1" x14ac:dyDescent="0.15"/>
    <row r="45877" s="8" customFormat="1" ht="21.95" customHeight="1" x14ac:dyDescent="0.15"/>
    <row r="45878" s="8" customFormat="1" ht="21.95" customHeight="1" x14ac:dyDescent="0.15"/>
    <row r="45879" s="8" customFormat="1" ht="21.95" customHeight="1" x14ac:dyDescent="0.15"/>
    <row r="45880" s="8" customFormat="1" ht="32.1" customHeight="1" x14ac:dyDescent="0.15"/>
    <row r="45881" s="8" customFormat="1" ht="32.1" customHeight="1" x14ac:dyDescent="0.15"/>
    <row r="45882" s="8" customFormat="1" ht="32.1" customHeight="1" x14ac:dyDescent="0.15"/>
    <row r="45883" s="8" customFormat="1" ht="32.1" customHeight="1" x14ac:dyDescent="0.15"/>
    <row r="45884" s="8" customFormat="1" ht="32.1" customHeight="1" x14ac:dyDescent="0.15"/>
    <row r="45885" s="8" customFormat="1" ht="32.1" customHeight="1" x14ac:dyDescent="0.15"/>
    <row r="45886" s="9" customFormat="1" ht="32.1" customHeight="1" x14ac:dyDescent="0.15"/>
    <row r="45887" s="9" customFormat="1" ht="32.1" customHeight="1" x14ac:dyDescent="0.15"/>
    <row r="45888" s="9" customFormat="1" ht="32.1" customHeight="1" x14ac:dyDescent="0.15"/>
    <row r="45889" s="9" customFormat="1" ht="32.1" customHeight="1" x14ac:dyDescent="0.15"/>
    <row r="45890" s="9" customFormat="1" ht="21.95" customHeight="1" x14ac:dyDescent="0.15"/>
    <row r="45891" s="9" customFormat="1" ht="54" customHeight="1" x14ac:dyDescent="0.15"/>
    <row r="45892" s="9" customFormat="1" ht="21.95" customHeight="1" x14ac:dyDescent="0.15"/>
    <row r="45893" s="9" customFormat="1" ht="21.95" customHeight="1" x14ac:dyDescent="0.15"/>
    <row r="45894" s="9" customFormat="1" ht="21.95" customHeight="1" x14ac:dyDescent="0.15"/>
    <row r="45895" s="9" customFormat="1" ht="21.95" customHeight="1" x14ac:dyDescent="0.15"/>
    <row r="45896" s="9" customFormat="1" ht="21.95" customHeight="1" x14ac:dyDescent="0.15"/>
    <row r="45897" s="9" customFormat="1" ht="21.95" customHeight="1" x14ac:dyDescent="0.15"/>
    <row r="45898" s="9" customFormat="1" ht="21.95" customHeight="1" x14ac:dyDescent="0.15"/>
    <row r="45899" s="9" customFormat="1" ht="21.95" customHeight="1" x14ac:dyDescent="0.15"/>
    <row r="45900" s="9" customFormat="1" ht="21.95" customHeight="1" x14ac:dyDescent="0.15"/>
    <row r="45901" s="9" customFormat="1" ht="21.95" customHeight="1" x14ac:dyDescent="0.15"/>
    <row r="45902" s="9" customFormat="1" ht="21.95" customHeight="1" x14ac:dyDescent="0.15"/>
    <row r="45903" s="9" customFormat="1" ht="21.95" customHeight="1" x14ac:dyDescent="0.15"/>
    <row r="45904" s="9" customFormat="1" ht="21.95" customHeight="1" x14ac:dyDescent="0.15"/>
    <row r="45905" s="9" customFormat="1" ht="21.95" customHeight="1" x14ac:dyDescent="0.15"/>
    <row r="45906" s="9" customFormat="1" ht="21.95" customHeight="1" x14ac:dyDescent="0.15"/>
    <row r="45907" s="9" customFormat="1" ht="21.95" customHeight="1" x14ac:dyDescent="0.15"/>
    <row r="45908" s="9" customFormat="1" ht="21.95" customHeight="1" x14ac:dyDescent="0.15"/>
    <row r="45909" s="9" customFormat="1" ht="21.95" customHeight="1" x14ac:dyDescent="0.15"/>
    <row r="45910" s="9" customFormat="1" ht="21.95" customHeight="1" x14ac:dyDescent="0.15"/>
    <row r="45911" s="9" customFormat="1" ht="21.95" customHeight="1" x14ac:dyDescent="0.15"/>
    <row r="45912" s="9" customFormat="1" ht="21.95" customHeight="1" x14ac:dyDescent="0.15"/>
    <row r="45913" s="9" customFormat="1" ht="21.95" customHeight="1" x14ac:dyDescent="0.15"/>
    <row r="45914" s="9" customFormat="1" ht="21.95" customHeight="1" x14ac:dyDescent="0.15"/>
    <row r="45915" s="9" customFormat="1" ht="21.95" customHeight="1" x14ac:dyDescent="0.15"/>
    <row r="45916" s="9" customFormat="1" ht="21.95" customHeight="1" x14ac:dyDescent="0.15"/>
    <row r="45917" s="9" customFormat="1" ht="21.95" customHeight="1" x14ac:dyDescent="0.15"/>
    <row r="45918" s="9" customFormat="1" ht="21.95" customHeight="1" x14ac:dyDescent="0.15"/>
    <row r="45919" s="9" customFormat="1" ht="21.95" customHeight="1" x14ac:dyDescent="0.15"/>
    <row r="45920" s="9" customFormat="1" ht="21.95" customHeight="1" x14ac:dyDescent="0.15"/>
    <row r="45921" s="9" customFormat="1" ht="21.95" customHeight="1" x14ac:dyDescent="0.15"/>
    <row r="45922" s="9" customFormat="1" ht="21.95" customHeight="1" x14ac:dyDescent="0.15"/>
    <row r="45923" s="9" customFormat="1" ht="21.95" customHeight="1" x14ac:dyDescent="0.15"/>
    <row r="45924" s="9" customFormat="1" ht="21.95" customHeight="1" x14ac:dyDescent="0.15"/>
    <row r="45925" s="9" customFormat="1" ht="21.95" customHeight="1" x14ac:dyDescent="0.15"/>
    <row r="45926" s="9" customFormat="1" ht="21.95" customHeight="1" x14ac:dyDescent="0.15"/>
    <row r="45927" s="9" customFormat="1" ht="21.95" customHeight="1" x14ac:dyDescent="0.15"/>
    <row r="45928" s="9" customFormat="1" ht="21.95" customHeight="1" x14ac:dyDescent="0.15"/>
    <row r="45929" s="9" customFormat="1" ht="21.95" customHeight="1" x14ac:dyDescent="0.15"/>
    <row r="45930" s="9" customFormat="1" ht="21.95" customHeight="1" x14ac:dyDescent="0.15"/>
    <row r="45931" s="9" customFormat="1" ht="21.95" customHeight="1" x14ac:dyDescent="0.15"/>
    <row r="45932" s="9" customFormat="1" ht="21.95" customHeight="1" x14ac:dyDescent="0.15"/>
    <row r="45933" s="9" customFormat="1" ht="21.95" customHeight="1" x14ac:dyDescent="0.15"/>
    <row r="45934" s="9" customFormat="1" ht="21.95" customHeight="1" x14ac:dyDescent="0.15"/>
    <row r="45935" s="9" customFormat="1" ht="21.95" customHeight="1" x14ac:dyDescent="0.15"/>
    <row r="45936" s="9" customFormat="1" ht="21.95" customHeight="1" x14ac:dyDescent="0.15"/>
    <row r="45937" s="9" customFormat="1" ht="21.95" customHeight="1" x14ac:dyDescent="0.15"/>
    <row r="45938" s="9" customFormat="1" ht="21.95" customHeight="1" x14ac:dyDescent="0.15"/>
    <row r="45939" s="9" customFormat="1" ht="21.95" customHeight="1" x14ac:dyDescent="0.15"/>
    <row r="45940" s="9" customFormat="1" ht="21.95" customHeight="1" x14ac:dyDescent="0.15"/>
    <row r="45941" s="9" customFormat="1" ht="21.95" customHeight="1" x14ac:dyDescent="0.15"/>
    <row r="45942" s="9" customFormat="1" ht="35.1" customHeight="1" x14ac:dyDescent="0.15"/>
    <row r="45943" s="9" customFormat="1" ht="21.95" customHeight="1" x14ac:dyDescent="0.15"/>
    <row r="45944" s="9" customFormat="1" ht="21.95" customHeight="1" x14ac:dyDescent="0.15"/>
    <row r="45945" s="9" customFormat="1" ht="21.95" customHeight="1" x14ac:dyDescent="0.15"/>
    <row r="45946" s="9" customFormat="1" ht="21.95" customHeight="1" x14ac:dyDescent="0.15"/>
    <row r="45947" s="9" customFormat="1" ht="21.95" customHeight="1" x14ac:dyDescent="0.15"/>
    <row r="45948" s="9" customFormat="1" ht="21.95" customHeight="1" x14ac:dyDescent="0.15"/>
    <row r="45949" s="9" customFormat="1" ht="21.95" customHeight="1" x14ac:dyDescent="0.15"/>
    <row r="45950" s="9" customFormat="1" ht="21.95" customHeight="1" x14ac:dyDescent="0.15"/>
    <row r="45951" s="9" customFormat="1" ht="21.95" customHeight="1" x14ac:dyDescent="0.15"/>
    <row r="45952" s="9" customFormat="1" ht="21.95" customHeight="1" x14ac:dyDescent="0.15"/>
    <row r="45953" spans="3:3" s="9" customFormat="1" ht="21.95" customHeight="1" x14ac:dyDescent="0.15"/>
    <row r="45954" spans="3:3" s="9" customFormat="1" ht="21.95" customHeight="1" x14ac:dyDescent="0.15"/>
    <row r="45955" spans="3:3" s="9" customFormat="1" ht="21.95" customHeight="1" x14ac:dyDescent="0.15"/>
    <row r="45956" spans="3:3" s="9" customFormat="1" ht="21.95" customHeight="1" x14ac:dyDescent="0.15"/>
    <row r="45957" spans="3:3" s="9" customFormat="1" ht="21.95" customHeight="1" x14ac:dyDescent="0.15"/>
    <row r="45958" spans="3:3" s="9" customFormat="1" ht="21.95" customHeight="1" x14ac:dyDescent="0.15"/>
    <row r="45959" spans="3:3" s="9" customFormat="1" ht="21.95" customHeight="1" x14ac:dyDescent="0.15"/>
    <row r="45960" spans="3:3" s="9" customFormat="1" ht="21.95" customHeight="1" x14ac:dyDescent="0.15"/>
    <row r="45961" spans="3:3" s="9" customFormat="1" ht="21.95" customHeight="1" x14ac:dyDescent="0.15"/>
    <row r="45962" spans="3:3" s="9" customFormat="1" ht="21.95" customHeight="1" x14ac:dyDescent="0.15"/>
    <row r="45963" spans="3:3" s="9" customFormat="1" ht="21.95" customHeight="1" x14ac:dyDescent="0.15"/>
    <row r="45964" spans="3:3" s="9" customFormat="1" ht="21.95" customHeight="1" x14ac:dyDescent="0.15"/>
    <row r="45965" spans="3:3" s="9" customFormat="1" ht="21.95" customHeight="1" x14ac:dyDescent="0.15"/>
    <row r="45966" spans="3:3" s="8" customFormat="1" ht="21.95" customHeight="1" x14ac:dyDescent="0.15"/>
    <row r="45967" spans="3:3" s="8" customFormat="1" ht="21.95" customHeight="1" x14ac:dyDescent="0.15"/>
    <row r="45968" spans="3:3" s="8" customFormat="1" ht="21.95" customHeight="1" x14ac:dyDescent="0.15">
      <c r="C45968" s="101"/>
    </row>
    <row r="45969" spans="3:3" s="8" customFormat="1" ht="21.95" customHeight="1" x14ac:dyDescent="0.15">
      <c r="C45969" s="101"/>
    </row>
    <row r="45970" spans="3:3" s="8" customFormat="1" ht="21.95" customHeight="1" x14ac:dyDescent="0.15"/>
    <row r="45971" spans="3:3" s="8" customFormat="1" ht="21.95" customHeight="1" x14ac:dyDescent="0.15"/>
    <row r="45972" spans="3:3" s="8" customFormat="1" ht="21.95" customHeight="1" x14ac:dyDescent="0.15"/>
    <row r="45973" spans="3:3" s="8" customFormat="1" ht="21.95" customHeight="1" x14ac:dyDescent="0.15"/>
    <row r="45974" spans="3:3" s="8" customFormat="1" ht="21.95" customHeight="1" x14ac:dyDescent="0.15"/>
    <row r="45975" spans="3:3" s="8" customFormat="1" ht="21.95" customHeight="1" x14ac:dyDescent="0.15"/>
    <row r="45976" spans="3:3" s="8" customFormat="1" ht="21.95" customHeight="1" x14ac:dyDescent="0.15"/>
    <row r="45977" spans="3:3" s="9" customFormat="1" ht="21.95" customHeight="1" x14ac:dyDescent="0.15"/>
    <row r="45978" spans="3:3" s="9" customFormat="1" ht="21.95" customHeight="1" x14ac:dyDescent="0.15"/>
    <row r="45979" spans="3:3" s="9" customFormat="1" ht="21.95" customHeight="1" x14ac:dyDescent="0.15"/>
    <row r="45980" spans="3:3" s="9" customFormat="1" ht="21.95" customHeight="1" x14ac:dyDescent="0.15"/>
    <row r="45981" spans="3:3" s="8" customFormat="1" ht="21.95" customHeight="1" x14ac:dyDescent="0.15"/>
    <row r="45982" spans="3:3" s="8" customFormat="1" ht="21.95" customHeight="1" x14ac:dyDescent="0.15"/>
    <row r="45983" spans="3:3" s="8" customFormat="1" ht="21.95" customHeight="1" x14ac:dyDescent="0.15"/>
    <row r="45984" spans="3:3" s="8" customFormat="1" ht="21.95" customHeight="1" x14ac:dyDescent="0.15"/>
    <row r="45985" s="8" customFormat="1" ht="21.95" customHeight="1" x14ac:dyDescent="0.15"/>
    <row r="45986" s="8" customFormat="1" ht="21.95" customHeight="1" x14ac:dyDescent="0.15"/>
    <row r="45987" s="8" customFormat="1" ht="21.95" customHeight="1" x14ac:dyDescent="0.15"/>
    <row r="45988" s="8" customFormat="1" ht="21.95" customHeight="1" x14ac:dyDescent="0.15"/>
    <row r="45989" s="8" customFormat="1" ht="21.95" customHeight="1" x14ac:dyDescent="0.15"/>
    <row r="45990" s="8" customFormat="1" ht="21.95" customHeight="1" x14ac:dyDescent="0.15"/>
    <row r="45991" s="8" customFormat="1" ht="21.95" customHeight="1" x14ac:dyDescent="0.15"/>
    <row r="45992" s="8" customFormat="1" ht="32.1" customHeight="1" x14ac:dyDescent="0.15"/>
    <row r="45993" s="8" customFormat="1" ht="32.1" customHeight="1" x14ac:dyDescent="0.15"/>
    <row r="45994" s="8" customFormat="1" ht="32.1" customHeight="1" x14ac:dyDescent="0.15"/>
    <row r="45995" s="8" customFormat="1" ht="32.1" customHeight="1" x14ac:dyDescent="0.15"/>
    <row r="45996" s="8" customFormat="1" ht="32.1" customHeight="1" x14ac:dyDescent="0.15"/>
    <row r="45997" s="8" customFormat="1" ht="32.1" customHeight="1" x14ac:dyDescent="0.15"/>
    <row r="45998" s="9" customFormat="1" ht="32.1" customHeight="1" x14ac:dyDescent="0.15"/>
    <row r="45999" s="9" customFormat="1" ht="32.1" customHeight="1" x14ac:dyDescent="0.15"/>
    <row r="46000" s="9" customFormat="1" ht="32.1" customHeight="1" x14ac:dyDescent="0.15"/>
    <row r="46001" s="9" customFormat="1" ht="32.1" customHeight="1" x14ac:dyDescent="0.15"/>
    <row r="46002" s="9" customFormat="1" ht="21.95" customHeight="1" x14ac:dyDescent="0.15"/>
    <row r="46003" s="9" customFormat="1" ht="54" customHeight="1" x14ac:dyDescent="0.15"/>
    <row r="46004" s="9" customFormat="1" ht="21.95" customHeight="1" x14ac:dyDescent="0.15"/>
    <row r="46005" s="9" customFormat="1" ht="21.95" customHeight="1" x14ac:dyDescent="0.15"/>
    <row r="46006" s="9" customFormat="1" ht="21.95" customHeight="1" x14ac:dyDescent="0.15"/>
    <row r="46007" s="9" customFormat="1" ht="21.95" customHeight="1" x14ac:dyDescent="0.15"/>
    <row r="46008" s="9" customFormat="1" ht="21.95" customHeight="1" x14ac:dyDescent="0.15"/>
    <row r="46009" s="9" customFormat="1" ht="21.95" customHeight="1" x14ac:dyDescent="0.15"/>
    <row r="46010" s="9" customFormat="1" ht="21.95" customHeight="1" x14ac:dyDescent="0.15"/>
    <row r="46011" s="9" customFormat="1" ht="21.95" customHeight="1" x14ac:dyDescent="0.15"/>
    <row r="46012" s="9" customFormat="1" ht="21.95" customHeight="1" x14ac:dyDescent="0.15"/>
    <row r="46013" s="9" customFormat="1" ht="21.95" customHeight="1" x14ac:dyDescent="0.15"/>
    <row r="46014" s="9" customFormat="1" ht="21.95" customHeight="1" x14ac:dyDescent="0.15"/>
    <row r="46015" s="9" customFormat="1" ht="21.95" customHeight="1" x14ac:dyDescent="0.15"/>
    <row r="46016" s="9" customFormat="1" ht="21.95" customHeight="1" x14ac:dyDescent="0.15"/>
    <row r="46017" s="9" customFormat="1" ht="21.95" customHeight="1" x14ac:dyDescent="0.15"/>
    <row r="46018" s="9" customFormat="1" ht="21.95" customHeight="1" x14ac:dyDescent="0.15"/>
    <row r="46019" s="9" customFormat="1" ht="21.95" customHeight="1" x14ac:dyDescent="0.15"/>
    <row r="46020" s="9" customFormat="1" ht="21.95" customHeight="1" x14ac:dyDescent="0.15"/>
    <row r="46021" s="9" customFormat="1" ht="21.95" customHeight="1" x14ac:dyDescent="0.15"/>
    <row r="46022" s="9" customFormat="1" ht="21.95" customHeight="1" x14ac:dyDescent="0.15"/>
    <row r="46023" s="9" customFormat="1" ht="21.95" customHeight="1" x14ac:dyDescent="0.15"/>
    <row r="46024" s="9" customFormat="1" ht="21.95" customHeight="1" x14ac:dyDescent="0.15"/>
    <row r="46025" s="9" customFormat="1" ht="21.95" customHeight="1" x14ac:dyDescent="0.15"/>
    <row r="46026" s="9" customFormat="1" ht="21.95" customHeight="1" x14ac:dyDescent="0.15"/>
    <row r="46027" s="9" customFormat="1" ht="21.95" customHeight="1" x14ac:dyDescent="0.15"/>
    <row r="46028" s="9" customFormat="1" ht="21.95" customHeight="1" x14ac:dyDescent="0.15"/>
    <row r="46029" s="9" customFormat="1" ht="21.95" customHeight="1" x14ac:dyDescent="0.15"/>
    <row r="46030" s="9" customFormat="1" ht="21.95" customHeight="1" x14ac:dyDescent="0.15"/>
    <row r="46031" s="9" customFormat="1" ht="21.95" customHeight="1" x14ac:dyDescent="0.15"/>
    <row r="46032" s="9" customFormat="1" ht="21.95" customHeight="1" x14ac:dyDescent="0.15"/>
    <row r="46033" s="9" customFormat="1" ht="21.95" customHeight="1" x14ac:dyDescent="0.15"/>
    <row r="46034" s="9" customFormat="1" ht="21.95" customHeight="1" x14ac:dyDescent="0.15"/>
    <row r="46035" s="9" customFormat="1" ht="21.95" customHeight="1" x14ac:dyDescent="0.15"/>
    <row r="46036" s="9" customFormat="1" ht="21.95" customHeight="1" x14ac:dyDescent="0.15"/>
    <row r="46037" s="9" customFormat="1" ht="21.95" customHeight="1" x14ac:dyDescent="0.15"/>
    <row r="46038" s="9" customFormat="1" ht="21.95" customHeight="1" x14ac:dyDescent="0.15"/>
    <row r="46039" s="9" customFormat="1" ht="21.95" customHeight="1" x14ac:dyDescent="0.15"/>
    <row r="46040" s="9" customFormat="1" ht="21.95" customHeight="1" x14ac:dyDescent="0.15"/>
    <row r="46041" s="9" customFormat="1" ht="21.95" customHeight="1" x14ac:dyDescent="0.15"/>
    <row r="46042" s="9" customFormat="1" ht="21.95" customHeight="1" x14ac:dyDescent="0.15"/>
    <row r="46043" s="9" customFormat="1" ht="21.95" customHeight="1" x14ac:dyDescent="0.15"/>
    <row r="46044" s="9" customFormat="1" ht="21.95" customHeight="1" x14ac:dyDescent="0.15"/>
    <row r="46045" s="9" customFormat="1" ht="21.95" customHeight="1" x14ac:dyDescent="0.15"/>
    <row r="46046" s="9" customFormat="1" ht="21.95" customHeight="1" x14ac:dyDescent="0.15"/>
    <row r="46047" s="9" customFormat="1" ht="21.95" customHeight="1" x14ac:dyDescent="0.15"/>
    <row r="46048" s="9" customFormat="1" ht="21.95" customHeight="1" x14ac:dyDescent="0.15"/>
    <row r="46049" s="9" customFormat="1" ht="21.95" customHeight="1" x14ac:dyDescent="0.15"/>
    <row r="46050" s="9" customFormat="1" ht="21.95" customHeight="1" x14ac:dyDescent="0.15"/>
    <row r="46051" s="9" customFormat="1" ht="21.95" customHeight="1" x14ac:dyDescent="0.15"/>
    <row r="46052" s="9" customFormat="1" ht="21.95" customHeight="1" x14ac:dyDescent="0.15"/>
    <row r="46053" s="9" customFormat="1" ht="21.95" customHeight="1" x14ac:dyDescent="0.15"/>
    <row r="46054" s="9" customFormat="1" ht="35.1" customHeight="1" x14ac:dyDescent="0.15"/>
    <row r="46055" s="9" customFormat="1" ht="21.95" customHeight="1" x14ac:dyDescent="0.15"/>
    <row r="46056" s="9" customFormat="1" ht="21.95" customHeight="1" x14ac:dyDescent="0.15"/>
    <row r="46057" s="9" customFormat="1" ht="21.95" customHeight="1" x14ac:dyDescent="0.15"/>
    <row r="46058" s="9" customFormat="1" ht="21.95" customHeight="1" x14ac:dyDescent="0.15"/>
    <row r="46059" s="9" customFormat="1" ht="21.95" customHeight="1" x14ac:dyDescent="0.15"/>
    <row r="46060" s="9" customFormat="1" ht="21.95" customHeight="1" x14ac:dyDescent="0.15"/>
    <row r="46061" s="9" customFormat="1" ht="21.95" customHeight="1" x14ac:dyDescent="0.15"/>
    <row r="46062" s="9" customFormat="1" ht="21.95" customHeight="1" x14ac:dyDescent="0.15"/>
    <row r="46063" s="9" customFormat="1" ht="21.95" customHeight="1" x14ac:dyDescent="0.15"/>
    <row r="46064" s="9" customFormat="1" ht="21.95" customHeight="1" x14ac:dyDescent="0.15"/>
    <row r="46065" spans="3:3" s="9" customFormat="1" ht="21.95" customHeight="1" x14ac:dyDescent="0.15"/>
    <row r="46066" spans="3:3" s="9" customFormat="1" ht="21.95" customHeight="1" x14ac:dyDescent="0.15"/>
    <row r="46067" spans="3:3" s="9" customFormat="1" ht="21.95" customHeight="1" x14ac:dyDescent="0.15"/>
    <row r="46068" spans="3:3" s="9" customFormat="1" ht="21.95" customHeight="1" x14ac:dyDescent="0.15"/>
    <row r="46069" spans="3:3" s="9" customFormat="1" ht="21.95" customHeight="1" x14ac:dyDescent="0.15"/>
    <row r="46070" spans="3:3" s="9" customFormat="1" ht="21.95" customHeight="1" x14ac:dyDescent="0.15"/>
    <row r="46071" spans="3:3" s="9" customFormat="1" ht="21.95" customHeight="1" x14ac:dyDescent="0.15"/>
    <row r="46072" spans="3:3" s="9" customFormat="1" ht="21.95" customHeight="1" x14ac:dyDescent="0.15"/>
    <row r="46073" spans="3:3" s="9" customFormat="1" ht="21.95" customHeight="1" x14ac:dyDescent="0.15"/>
    <row r="46074" spans="3:3" s="9" customFormat="1" ht="21.95" customHeight="1" x14ac:dyDescent="0.15"/>
    <row r="46075" spans="3:3" s="9" customFormat="1" ht="21.95" customHeight="1" x14ac:dyDescent="0.15"/>
    <row r="46076" spans="3:3" s="9" customFormat="1" ht="21.95" customHeight="1" x14ac:dyDescent="0.15"/>
    <row r="46077" spans="3:3" s="9" customFormat="1" ht="21.95" customHeight="1" x14ac:dyDescent="0.15"/>
    <row r="46078" spans="3:3" s="8" customFormat="1" ht="21.95" customHeight="1" x14ac:dyDescent="0.15"/>
    <row r="46079" spans="3:3" s="8" customFormat="1" ht="21.95" customHeight="1" x14ac:dyDescent="0.15"/>
    <row r="46080" spans="3:3" s="8" customFormat="1" ht="21.95" customHeight="1" x14ac:dyDescent="0.15">
      <c r="C46080" s="101"/>
    </row>
    <row r="46081" spans="3:3" s="8" customFormat="1" ht="21.95" customHeight="1" x14ac:dyDescent="0.15">
      <c r="C46081" s="101"/>
    </row>
    <row r="46082" spans="3:3" s="8" customFormat="1" ht="21.95" customHeight="1" x14ac:dyDescent="0.15"/>
    <row r="46083" spans="3:3" s="8" customFormat="1" ht="21.95" customHeight="1" x14ac:dyDescent="0.15"/>
    <row r="46084" spans="3:3" s="8" customFormat="1" ht="21.95" customHeight="1" x14ac:dyDescent="0.15"/>
    <row r="46085" spans="3:3" s="8" customFormat="1" ht="21.95" customHeight="1" x14ac:dyDescent="0.15"/>
    <row r="46086" spans="3:3" s="8" customFormat="1" ht="21.95" customHeight="1" x14ac:dyDescent="0.15"/>
    <row r="46087" spans="3:3" s="8" customFormat="1" ht="21.95" customHeight="1" x14ac:dyDescent="0.15"/>
    <row r="46088" spans="3:3" s="8" customFormat="1" ht="21.95" customHeight="1" x14ac:dyDescent="0.15"/>
    <row r="46089" spans="3:3" s="9" customFormat="1" ht="21.95" customHeight="1" x14ac:dyDescent="0.15"/>
    <row r="46090" spans="3:3" s="9" customFormat="1" ht="21.95" customHeight="1" x14ac:dyDescent="0.15"/>
    <row r="46091" spans="3:3" s="9" customFormat="1" ht="21.95" customHeight="1" x14ac:dyDescent="0.15"/>
    <row r="46092" spans="3:3" s="9" customFormat="1" ht="21.95" customHeight="1" x14ac:dyDescent="0.15"/>
    <row r="46093" spans="3:3" s="8" customFormat="1" ht="21.95" customHeight="1" x14ac:dyDescent="0.15"/>
    <row r="46094" spans="3:3" s="8" customFormat="1" ht="21.95" customHeight="1" x14ac:dyDescent="0.15"/>
    <row r="46095" spans="3:3" s="8" customFormat="1" ht="21.95" customHeight="1" x14ac:dyDescent="0.15"/>
    <row r="46096" spans="3:3" s="8" customFormat="1" ht="21.95" customHeight="1" x14ac:dyDescent="0.15"/>
    <row r="46097" s="8" customFormat="1" ht="21.95" customHeight="1" x14ac:dyDescent="0.15"/>
    <row r="46098" s="8" customFormat="1" ht="21.95" customHeight="1" x14ac:dyDescent="0.15"/>
    <row r="46099" s="8" customFormat="1" ht="21.95" customHeight="1" x14ac:dyDescent="0.15"/>
    <row r="46100" s="8" customFormat="1" ht="21.95" customHeight="1" x14ac:dyDescent="0.15"/>
    <row r="46101" s="8" customFormat="1" ht="21.95" customHeight="1" x14ac:dyDescent="0.15"/>
    <row r="46102" s="8" customFormat="1" ht="21.95" customHeight="1" x14ac:dyDescent="0.15"/>
    <row r="46103" s="8" customFormat="1" ht="21.95" customHeight="1" x14ac:dyDescent="0.15"/>
    <row r="46104" s="8" customFormat="1" ht="32.1" customHeight="1" x14ac:dyDescent="0.15"/>
    <row r="46105" s="8" customFormat="1" ht="32.1" customHeight="1" x14ac:dyDescent="0.15"/>
    <row r="46106" s="8" customFormat="1" ht="32.1" customHeight="1" x14ac:dyDescent="0.15"/>
    <row r="46107" s="8" customFormat="1" ht="32.1" customHeight="1" x14ac:dyDescent="0.15"/>
    <row r="46108" s="8" customFormat="1" ht="32.1" customHeight="1" x14ac:dyDescent="0.15"/>
    <row r="46109" s="8" customFormat="1" ht="32.1" customHeight="1" x14ac:dyDescent="0.15"/>
    <row r="46110" s="9" customFormat="1" ht="32.1" customHeight="1" x14ac:dyDescent="0.15"/>
    <row r="46111" s="9" customFormat="1" ht="32.1" customHeight="1" x14ac:dyDescent="0.15"/>
    <row r="46112" s="9" customFormat="1" ht="32.1" customHeight="1" x14ac:dyDescent="0.15"/>
    <row r="46113" s="9" customFormat="1" ht="32.1" customHeight="1" x14ac:dyDescent="0.15"/>
    <row r="46114" s="9" customFormat="1" ht="21.95" customHeight="1" x14ac:dyDescent="0.15"/>
    <row r="46115" s="9" customFormat="1" ht="54" customHeight="1" x14ac:dyDescent="0.15"/>
    <row r="46116" s="9" customFormat="1" ht="21.95" customHeight="1" x14ac:dyDescent="0.15"/>
    <row r="46117" s="9" customFormat="1" ht="21.95" customHeight="1" x14ac:dyDescent="0.15"/>
    <row r="46118" s="9" customFormat="1" ht="21.95" customHeight="1" x14ac:dyDescent="0.15"/>
    <row r="46119" s="9" customFormat="1" ht="21.95" customHeight="1" x14ac:dyDescent="0.15"/>
    <row r="46120" s="9" customFormat="1" ht="21.95" customHeight="1" x14ac:dyDescent="0.15"/>
    <row r="46121" s="9" customFormat="1" ht="21.95" customHeight="1" x14ac:dyDescent="0.15"/>
    <row r="46122" s="9" customFormat="1" ht="21.95" customHeight="1" x14ac:dyDescent="0.15"/>
    <row r="46123" s="9" customFormat="1" ht="21.95" customHeight="1" x14ac:dyDescent="0.15"/>
    <row r="46124" s="9" customFormat="1" ht="21.95" customHeight="1" x14ac:dyDescent="0.15"/>
    <row r="46125" s="9" customFormat="1" ht="21.95" customHeight="1" x14ac:dyDescent="0.15"/>
    <row r="46126" s="9" customFormat="1" ht="21.95" customHeight="1" x14ac:dyDescent="0.15"/>
    <row r="46127" s="9" customFormat="1" ht="21.95" customHeight="1" x14ac:dyDescent="0.15"/>
    <row r="46128" s="9" customFormat="1" ht="21.95" customHeight="1" x14ac:dyDescent="0.15"/>
    <row r="46129" s="9" customFormat="1" ht="21.95" customHeight="1" x14ac:dyDescent="0.15"/>
    <row r="46130" s="9" customFormat="1" ht="21.95" customHeight="1" x14ac:dyDescent="0.15"/>
    <row r="46131" s="9" customFormat="1" ht="21.95" customHeight="1" x14ac:dyDescent="0.15"/>
    <row r="46132" s="9" customFormat="1" ht="21.95" customHeight="1" x14ac:dyDescent="0.15"/>
    <row r="46133" s="9" customFormat="1" ht="21.95" customHeight="1" x14ac:dyDescent="0.15"/>
    <row r="46134" s="9" customFormat="1" ht="21.95" customHeight="1" x14ac:dyDescent="0.15"/>
    <row r="46135" s="9" customFormat="1" ht="21.95" customHeight="1" x14ac:dyDescent="0.15"/>
    <row r="46136" s="9" customFormat="1" ht="21.95" customHeight="1" x14ac:dyDescent="0.15"/>
    <row r="46137" s="9" customFormat="1" ht="21.95" customHeight="1" x14ac:dyDescent="0.15"/>
    <row r="46138" s="9" customFormat="1" ht="21.95" customHeight="1" x14ac:dyDescent="0.15"/>
    <row r="46139" s="9" customFormat="1" ht="21.95" customHeight="1" x14ac:dyDescent="0.15"/>
    <row r="46140" s="9" customFormat="1" ht="21.95" customHeight="1" x14ac:dyDescent="0.15"/>
    <row r="46141" s="9" customFormat="1" ht="21.95" customHeight="1" x14ac:dyDescent="0.15"/>
    <row r="46142" s="9" customFormat="1" ht="21.95" customHeight="1" x14ac:dyDescent="0.15"/>
    <row r="46143" s="9" customFormat="1" ht="21.95" customHeight="1" x14ac:dyDescent="0.15"/>
    <row r="46144" s="9" customFormat="1" ht="21.95" customHeight="1" x14ac:dyDescent="0.15"/>
    <row r="46145" s="9" customFormat="1" ht="21.95" customHeight="1" x14ac:dyDescent="0.15"/>
    <row r="46146" s="9" customFormat="1" ht="21.95" customHeight="1" x14ac:dyDescent="0.15"/>
    <row r="46147" s="9" customFormat="1" ht="21.95" customHeight="1" x14ac:dyDescent="0.15"/>
    <row r="46148" s="9" customFormat="1" ht="21.95" customHeight="1" x14ac:dyDescent="0.15"/>
    <row r="46149" s="9" customFormat="1" ht="21.95" customHeight="1" x14ac:dyDescent="0.15"/>
    <row r="46150" s="9" customFormat="1" ht="21.95" customHeight="1" x14ac:dyDescent="0.15"/>
    <row r="46151" s="9" customFormat="1" ht="21.95" customHeight="1" x14ac:dyDescent="0.15"/>
    <row r="46152" s="9" customFormat="1" ht="21.95" customHeight="1" x14ac:dyDescent="0.15"/>
    <row r="46153" s="9" customFormat="1" ht="21.95" customHeight="1" x14ac:dyDescent="0.15"/>
    <row r="46154" s="9" customFormat="1" ht="21.95" customHeight="1" x14ac:dyDescent="0.15"/>
    <row r="46155" s="9" customFormat="1" ht="21.95" customHeight="1" x14ac:dyDescent="0.15"/>
    <row r="46156" s="9" customFormat="1" ht="21.95" customHeight="1" x14ac:dyDescent="0.15"/>
    <row r="46157" s="9" customFormat="1" ht="21.95" customHeight="1" x14ac:dyDescent="0.15"/>
    <row r="46158" s="9" customFormat="1" ht="21.95" customHeight="1" x14ac:dyDescent="0.15"/>
    <row r="46159" s="9" customFormat="1" ht="21.95" customHeight="1" x14ac:dyDescent="0.15"/>
    <row r="46160" s="9" customFormat="1" ht="21.95" customHeight="1" x14ac:dyDescent="0.15"/>
    <row r="46161" s="9" customFormat="1" ht="21.95" customHeight="1" x14ac:dyDescent="0.15"/>
    <row r="46162" s="9" customFormat="1" ht="21.95" customHeight="1" x14ac:dyDescent="0.15"/>
    <row r="46163" s="9" customFormat="1" ht="21.95" customHeight="1" x14ac:dyDescent="0.15"/>
    <row r="46164" s="9" customFormat="1" ht="21.95" customHeight="1" x14ac:dyDescent="0.15"/>
    <row r="46165" s="9" customFormat="1" ht="21.95" customHeight="1" x14ac:dyDescent="0.15"/>
    <row r="46166" s="9" customFormat="1" ht="35.1" customHeight="1" x14ac:dyDescent="0.15"/>
    <row r="46167" s="9" customFormat="1" ht="21.95" customHeight="1" x14ac:dyDescent="0.15"/>
    <row r="46168" s="9" customFormat="1" ht="21.95" customHeight="1" x14ac:dyDescent="0.15"/>
    <row r="46169" s="9" customFormat="1" ht="21.95" customHeight="1" x14ac:dyDescent="0.15"/>
    <row r="46170" s="9" customFormat="1" ht="21.95" customHeight="1" x14ac:dyDescent="0.15"/>
    <row r="46171" s="9" customFormat="1" ht="21.95" customHeight="1" x14ac:dyDescent="0.15"/>
    <row r="46172" s="9" customFormat="1" ht="21.95" customHeight="1" x14ac:dyDescent="0.15"/>
    <row r="46173" s="9" customFormat="1" ht="21.95" customHeight="1" x14ac:dyDescent="0.15"/>
    <row r="46174" s="9" customFormat="1" ht="21.95" customHeight="1" x14ac:dyDescent="0.15"/>
    <row r="46175" s="9" customFormat="1" ht="21.95" customHeight="1" x14ac:dyDescent="0.15"/>
    <row r="46176" s="9" customFormat="1" ht="21.95" customHeight="1" x14ac:dyDescent="0.15"/>
    <row r="46177" spans="3:3" s="9" customFormat="1" ht="21.95" customHeight="1" x14ac:dyDescent="0.15"/>
    <row r="46178" spans="3:3" s="9" customFormat="1" ht="21.95" customHeight="1" x14ac:dyDescent="0.15"/>
    <row r="46179" spans="3:3" s="9" customFormat="1" ht="21.95" customHeight="1" x14ac:dyDescent="0.15"/>
    <row r="46180" spans="3:3" s="9" customFormat="1" ht="21.95" customHeight="1" x14ac:dyDescent="0.15"/>
    <row r="46181" spans="3:3" s="9" customFormat="1" ht="21.95" customHeight="1" x14ac:dyDescent="0.15"/>
    <row r="46182" spans="3:3" s="9" customFormat="1" ht="21.95" customHeight="1" x14ac:dyDescent="0.15"/>
    <row r="46183" spans="3:3" s="9" customFormat="1" ht="21.95" customHeight="1" x14ac:dyDescent="0.15"/>
    <row r="46184" spans="3:3" s="9" customFormat="1" ht="21.95" customHeight="1" x14ac:dyDescent="0.15"/>
    <row r="46185" spans="3:3" s="9" customFormat="1" ht="21.95" customHeight="1" x14ac:dyDescent="0.15"/>
    <row r="46186" spans="3:3" s="9" customFormat="1" ht="21.95" customHeight="1" x14ac:dyDescent="0.15"/>
    <row r="46187" spans="3:3" s="9" customFormat="1" ht="21.95" customHeight="1" x14ac:dyDescent="0.15"/>
    <row r="46188" spans="3:3" s="9" customFormat="1" ht="21.95" customHeight="1" x14ac:dyDescent="0.15"/>
    <row r="46189" spans="3:3" s="9" customFormat="1" ht="21.95" customHeight="1" x14ac:dyDescent="0.15"/>
    <row r="46190" spans="3:3" s="8" customFormat="1" ht="21.95" customHeight="1" x14ac:dyDescent="0.15"/>
    <row r="46191" spans="3:3" s="8" customFormat="1" ht="21.95" customHeight="1" x14ac:dyDescent="0.15"/>
    <row r="46192" spans="3:3" s="8" customFormat="1" ht="21.95" customHeight="1" x14ac:dyDescent="0.15">
      <c r="C46192" s="101"/>
    </row>
    <row r="46193" spans="3:3" s="8" customFormat="1" ht="21.95" customHeight="1" x14ac:dyDescent="0.15">
      <c r="C46193" s="101"/>
    </row>
    <row r="46194" spans="3:3" s="8" customFormat="1" ht="21.95" customHeight="1" x14ac:dyDescent="0.15"/>
    <row r="46195" spans="3:3" s="8" customFormat="1" ht="21.95" customHeight="1" x14ac:dyDescent="0.15"/>
    <row r="46196" spans="3:3" s="8" customFormat="1" ht="21.95" customHeight="1" x14ac:dyDescent="0.15"/>
    <row r="46197" spans="3:3" s="8" customFormat="1" ht="21.95" customHeight="1" x14ac:dyDescent="0.15"/>
    <row r="46198" spans="3:3" s="8" customFormat="1" ht="21.95" customHeight="1" x14ac:dyDescent="0.15"/>
    <row r="46199" spans="3:3" s="8" customFormat="1" ht="21.95" customHeight="1" x14ac:dyDescent="0.15"/>
    <row r="46200" spans="3:3" s="8" customFormat="1" ht="21.95" customHeight="1" x14ac:dyDescent="0.15"/>
    <row r="46201" spans="3:3" s="9" customFormat="1" ht="21.95" customHeight="1" x14ac:dyDescent="0.15"/>
    <row r="46202" spans="3:3" s="9" customFormat="1" ht="21.95" customHeight="1" x14ac:dyDescent="0.15"/>
    <row r="46203" spans="3:3" s="9" customFormat="1" ht="21.95" customHeight="1" x14ac:dyDescent="0.15"/>
    <row r="46204" spans="3:3" s="9" customFormat="1" ht="21.95" customHeight="1" x14ac:dyDescent="0.15"/>
    <row r="46205" spans="3:3" s="8" customFormat="1" ht="21.95" customHeight="1" x14ac:dyDescent="0.15"/>
    <row r="46206" spans="3:3" s="8" customFormat="1" ht="21.95" customHeight="1" x14ac:dyDescent="0.15"/>
    <row r="46207" spans="3:3" s="8" customFormat="1" ht="21.95" customHeight="1" x14ac:dyDescent="0.15"/>
    <row r="46208" spans="3:3" s="8" customFormat="1" ht="21.95" customHeight="1" x14ac:dyDescent="0.15"/>
    <row r="46209" s="8" customFormat="1" ht="21.95" customHeight="1" x14ac:dyDescent="0.15"/>
    <row r="46210" s="8" customFormat="1" ht="21.95" customHeight="1" x14ac:dyDescent="0.15"/>
    <row r="46211" s="8" customFormat="1" ht="21.95" customHeight="1" x14ac:dyDescent="0.15"/>
    <row r="46212" s="8" customFormat="1" ht="21.95" customHeight="1" x14ac:dyDescent="0.15"/>
    <row r="46213" s="8" customFormat="1" ht="21.95" customHeight="1" x14ac:dyDescent="0.15"/>
    <row r="46214" s="8" customFormat="1" ht="21.95" customHeight="1" x14ac:dyDescent="0.15"/>
    <row r="46215" s="8" customFormat="1" ht="21.95" customHeight="1" x14ac:dyDescent="0.15"/>
    <row r="46216" s="8" customFormat="1" ht="32.1" customHeight="1" x14ac:dyDescent="0.15"/>
    <row r="46217" s="8" customFormat="1" ht="32.1" customHeight="1" x14ac:dyDescent="0.15"/>
    <row r="46218" s="8" customFormat="1" ht="32.1" customHeight="1" x14ac:dyDescent="0.15"/>
    <row r="46219" s="8" customFormat="1" ht="32.1" customHeight="1" x14ac:dyDescent="0.15"/>
    <row r="46220" s="8" customFormat="1" ht="32.1" customHeight="1" x14ac:dyDescent="0.15"/>
    <row r="46221" s="8" customFormat="1" ht="32.1" customHeight="1" x14ac:dyDescent="0.15"/>
    <row r="46222" s="9" customFormat="1" ht="32.1" customHeight="1" x14ac:dyDescent="0.15"/>
    <row r="46223" s="9" customFormat="1" ht="32.1" customHeight="1" x14ac:dyDescent="0.15"/>
    <row r="46224" s="9" customFormat="1" ht="32.1" customHeight="1" x14ac:dyDescent="0.15"/>
    <row r="46225" s="9" customFormat="1" ht="32.1" customHeight="1" x14ac:dyDescent="0.15"/>
    <row r="46226" s="9" customFormat="1" ht="21.95" customHeight="1" x14ac:dyDescent="0.15"/>
    <row r="46227" s="9" customFormat="1" ht="54" customHeight="1" x14ac:dyDescent="0.15"/>
    <row r="46228" s="9" customFormat="1" ht="21.95" customHeight="1" x14ac:dyDescent="0.15"/>
    <row r="46229" s="9" customFormat="1" ht="21.95" customHeight="1" x14ac:dyDescent="0.15"/>
    <row r="46230" s="9" customFormat="1" ht="21.95" customHeight="1" x14ac:dyDescent="0.15"/>
    <row r="46231" s="9" customFormat="1" ht="21.95" customHeight="1" x14ac:dyDescent="0.15"/>
    <row r="46232" s="9" customFormat="1" ht="21.95" customHeight="1" x14ac:dyDescent="0.15"/>
    <row r="46233" s="9" customFormat="1" ht="21.95" customHeight="1" x14ac:dyDescent="0.15"/>
    <row r="46234" s="9" customFormat="1" ht="21.95" customHeight="1" x14ac:dyDescent="0.15"/>
    <row r="46235" s="9" customFormat="1" ht="21.95" customHeight="1" x14ac:dyDescent="0.15"/>
    <row r="46236" s="9" customFormat="1" ht="21.95" customHeight="1" x14ac:dyDescent="0.15"/>
    <row r="46237" s="9" customFormat="1" ht="21.95" customHeight="1" x14ac:dyDescent="0.15"/>
    <row r="46238" s="9" customFormat="1" ht="21.95" customHeight="1" x14ac:dyDescent="0.15"/>
    <row r="46239" s="9" customFormat="1" ht="21.95" customHeight="1" x14ac:dyDescent="0.15"/>
    <row r="46240" s="9" customFormat="1" ht="21.95" customHeight="1" x14ac:dyDescent="0.15"/>
    <row r="46241" s="9" customFormat="1" ht="21.95" customHeight="1" x14ac:dyDescent="0.15"/>
    <row r="46242" s="9" customFormat="1" ht="21.95" customHeight="1" x14ac:dyDescent="0.15"/>
    <row r="46243" s="9" customFormat="1" ht="21.95" customHeight="1" x14ac:dyDescent="0.15"/>
    <row r="46244" s="9" customFormat="1" ht="21.95" customHeight="1" x14ac:dyDescent="0.15"/>
    <row r="46245" s="9" customFormat="1" ht="21.95" customHeight="1" x14ac:dyDescent="0.15"/>
    <row r="46246" s="9" customFormat="1" ht="21.95" customHeight="1" x14ac:dyDescent="0.15"/>
    <row r="46247" s="9" customFormat="1" ht="21.95" customHeight="1" x14ac:dyDescent="0.15"/>
    <row r="46248" s="9" customFormat="1" ht="21.95" customHeight="1" x14ac:dyDescent="0.15"/>
    <row r="46249" s="9" customFormat="1" ht="21.95" customHeight="1" x14ac:dyDescent="0.15"/>
    <row r="46250" s="9" customFormat="1" ht="21.95" customHeight="1" x14ac:dyDescent="0.15"/>
    <row r="46251" s="9" customFormat="1" ht="21.95" customHeight="1" x14ac:dyDescent="0.15"/>
    <row r="46252" s="9" customFormat="1" ht="21.95" customHeight="1" x14ac:dyDescent="0.15"/>
    <row r="46253" s="9" customFormat="1" ht="21.95" customHeight="1" x14ac:dyDescent="0.15"/>
    <row r="46254" s="9" customFormat="1" ht="21.95" customHeight="1" x14ac:dyDescent="0.15"/>
    <row r="46255" s="9" customFormat="1" ht="21.95" customHeight="1" x14ac:dyDescent="0.15"/>
    <row r="46256" s="9" customFormat="1" ht="21.95" customHeight="1" x14ac:dyDescent="0.15"/>
    <row r="46257" s="9" customFormat="1" ht="21.95" customHeight="1" x14ac:dyDescent="0.15"/>
    <row r="46258" s="9" customFormat="1" ht="21.95" customHeight="1" x14ac:dyDescent="0.15"/>
    <row r="46259" s="9" customFormat="1" ht="21.95" customHeight="1" x14ac:dyDescent="0.15"/>
    <row r="46260" s="9" customFormat="1" ht="21.95" customHeight="1" x14ac:dyDescent="0.15"/>
    <row r="46261" s="9" customFormat="1" ht="21.95" customHeight="1" x14ac:dyDescent="0.15"/>
    <row r="46262" s="9" customFormat="1" ht="21.95" customHeight="1" x14ac:dyDescent="0.15"/>
    <row r="46263" s="9" customFormat="1" ht="21.95" customHeight="1" x14ac:dyDescent="0.15"/>
    <row r="46264" s="9" customFormat="1" ht="21.95" customHeight="1" x14ac:dyDescent="0.15"/>
    <row r="46265" s="9" customFormat="1" ht="21.95" customHeight="1" x14ac:dyDescent="0.15"/>
    <row r="46266" s="9" customFormat="1" ht="21.95" customHeight="1" x14ac:dyDescent="0.15"/>
    <row r="46267" s="9" customFormat="1" ht="21.95" customHeight="1" x14ac:dyDescent="0.15"/>
    <row r="46268" s="9" customFormat="1" ht="21.95" customHeight="1" x14ac:dyDescent="0.15"/>
    <row r="46269" s="9" customFormat="1" ht="21.95" customHeight="1" x14ac:dyDescent="0.15"/>
    <row r="46270" s="9" customFormat="1" ht="21.95" customHeight="1" x14ac:dyDescent="0.15"/>
    <row r="46271" s="9" customFormat="1" ht="21.95" customHeight="1" x14ac:dyDescent="0.15"/>
    <row r="46272" s="9" customFormat="1" ht="21.95" customHeight="1" x14ac:dyDescent="0.15"/>
    <row r="46273" s="9" customFormat="1" ht="21.95" customHeight="1" x14ac:dyDescent="0.15"/>
    <row r="46274" s="9" customFormat="1" ht="21.95" customHeight="1" x14ac:dyDescent="0.15"/>
    <row r="46275" s="9" customFormat="1" ht="21.95" customHeight="1" x14ac:dyDescent="0.15"/>
    <row r="46276" s="9" customFormat="1" ht="21.95" customHeight="1" x14ac:dyDescent="0.15"/>
    <row r="46277" s="9" customFormat="1" ht="21.95" customHeight="1" x14ac:dyDescent="0.15"/>
    <row r="46278" s="9" customFormat="1" ht="35.1" customHeight="1" x14ac:dyDescent="0.15"/>
    <row r="46279" s="9" customFormat="1" ht="21.95" customHeight="1" x14ac:dyDescent="0.15"/>
    <row r="46280" s="9" customFormat="1" ht="21.95" customHeight="1" x14ac:dyDescent="0.15"/>
    <row r="46281" s="9" customFormat="1" ht="21.95" customHeight="1" x14ac:dyDescent="0.15"/>
    <row r="46282" s="9" customFormat="1" ht="21.95" customHeight="1" x14ac:dyDescent="0.15"/>
    <row r="46283" s="9" customFormat="1" ht="21.95" customHeight="1" x14ac:dyDescent="0.15"/>
    <row r="46284" s="9" customFormat="1" ht="21.95" customHeight="1" x14ac:dyDescent="0.15"/>
    <row r="46285" s="9" customFormat="1" ht="21.95" customHeight="1" x14ac:dyDescent="0.15"/>
    <row r="46286" s="9" customFormat="1" ht="21.95" customHeight="1" x14ac:dyDescent="0.15"/>
    <row r="46287" s="9" customFormat="1" ht="21.95" customHeight="1" x14ac:dyDescent="0.15"/>
    <row r="46288" s="9" customFormat="1" ht="21.95" customHeight="1" x14ac:dyDescent="0.15"/>
    <row r="46289" spans="3:3" s="9" customFormat="1" ht="21.95" customHeight="1" x14ac:dyDescent="0.15"/>
    <row r="46290" spans="3:3" s="9" customFormat="1" ht="21.95" customHeight="1" x14ac:dyDescent="0.15"/>
    <row r="46291" spans="3:3" s="9" customFormat="1" ht="21.95" customHeight="1" x14ac:dyDescent="0.15"/>
    <row r="46292" spans="3:3" s="9" customFormat="1" ht="21.95" customHeight="1" x14ac:dyDescent="0.15"/>
    <row r="46293" spans="3:3" s="9" customFormat="1" ht="21.95" customHeight="1" x14ac:dyDescent="0.15"/>
    <row r="46294" spans="3:3" s="9" customFormat="1" ht="21.95" customHeight="1" x14ac:dyDescent="0.15"/>
    <row r="46295" spans="3:3" s="9" customFormat="1" ht="21.95" customHeight="1" x14ac:dyDescent="0.15"/>
    <row r="46296" spans="3:3" s="9" customFormat="1" ht="21.95" customHeight="1" x14ac:dyDescent="0.15"/>
    <row r="46297" spans="3:3" s="9" customFormat="1" ht="21.95" customHeight="1" x14ac:dyDescent="0.15"/>
    <row r="46298" spans="3:3" s="9" customFormat="1" ht="21.95" customHeight="1" x14ac:dyDescent="0.15"/>
    <row r="46299" spans="3:3" s="9" customFormat="1" ht="21.95" customHeight="1" x14ac:dyDescent="0.15"/>
    <row r="46300" spans="3:3" s="9" customFormat="1" ht="21.95" customHeight="1" x14ac:dyDescent="0.15"/>
    <row r="46301" spans="3:3" s="9" customFormat="1" ht="21.95" customHeight="1" x14ac:dyDescent="0.15"/>
    <row r="46302" spans="3:3" s="8" customFormat="1" ht="21.95" customHeight="1" x14ac:dyDescent="0.15"/>
    <row r="46303" spans="3:3" s="8" customFormat="1" ht="21.95" customHeight="1" x14ac:dyDescent="0.15"/>
    <row r="46304" spans="3:3" s="8" customFormat="1" ht="21.95" customHeight="1" x14ac:dyDescent="0.15">
      <c r="C46304" s="101"/>
    </row>
    <row r="46305" spans="3:3" s="8" customFormat="1" ht="21.95" customHeight="1" x14ac:dyDescent="0.15">
      <c r="C46305" s="101"/>
    </row>
    <row r="46306" spans="3:3" s="8" customFormat="1" ht="21.95" customHeight="1" x14ac:dyDescent="0.15"/>
    <row r="46307" spans="3:3" s="8" customFormat="1" ht="21.95" customHeight="1" x14ac:dyDescent="0.15"/>
    <row r="46308" spans="3:3" s="8" customFormat="1" ht="21.95" customHeight="1" x14ac:dyDescent="0.15"/>
    <row r="46309" spans="3:3" s="8" customFormat="1" ht="21.95" customHeight="1" x14ac:dyDescent="0.15"/>
    <row r="46310" spans="3:3" s="8" customFormat="1" ht="21.95" customHeight="1" x14ac:dyDescent="0.15"/>
    <row r="46311" spans="3:3" s="8" customFormat="1" ht="21.95" customHeight="1" x14ac:dyDescent="0.15"/>
    <row r="46312" spans="3:3" s="8" customFormat="1" ht="21.95" customHeight="1" x14ac:dyDescent="0.15"/>
    <row r="46313" spans="3:3" s="9" customFormat="1" ht="21.95" customHeight="1" x14ac:dyDescent="0.15"/>
    <row r="46314" spans="3:3" s="9" customFormat="1" ht="21.95" customHeight="1" x14ac:dyDescent="0.15"/>
    <row r="46315" spans="3:3" s="9" customFormat="1" ht="21.95" customHeight="1" x14ac:dyDescent="0.15"/>
    <row r="46316" spans="3:3" s="9" customFormat="1" ht="21.95" customHeight="1" x14ac:dyDescent="0.15"/>
    <row r="46317" spans="3:3" s="8" customFormat="1" ht="21.95" customHeight="1" x14ac:dyDescent="0.15"/>
    <row r="46318" spans="3:3" s="8" customFormat="1" ht="21.95" customHeight="1" x14ac:dyDescent="0.15"/>
    <row r="46319" spans="3:3" s="8" customFormat="1" ht="21.95" customHeight="1" x14ac:dyDescent="0.15"/>
    <row r="46320" spans="3:3" s="8" customFormat="1" ht="21.95" customHeight="1" x14ac:dyDescent="0.15"/>
    <row r="46321" s="8" customFormat="1" ht="21.95" customHeight="1" x14ac:dyDescent="0.15"/>
    <row r="46322" s="8" customFormat="1" ht="21.95" customHeight="1" x14ac:dyDescent="0.15"/>
    <row r="46323" s="8" customFormat="1" ht="21.95" customHeight="1" x14ac:dyDescent="0.15"/>
    <row r="46324" s="8" customFormat="1" ht="21.95" customHeight="1" x14ac:dyDescent="0.15"/>
    <row r="46325" s="8" customFormat="1" ht="21.95" customHeight="1" x14ac:dyDescent="0.15"/>
    <row r="46326" s="8" customFormat="1" ht="21.95" customHeight="1" x14ac:dyDescent="0.15"/>
    <row r="46327" s="8" customFormat="1" ht="21.95" customHeight="1" x14ac:dyDescent="0.15"/>
    <row r="46328" s="8" customFormat="1" ht="32.1" customHeight="1" x14ac:dyDescent="0.15"/>
    <row r="46329" s="8" customFormat="1" ht="32.1" customHeight="1" x14ac:dyDescent="0.15"/>
    <row r="46330" s="8" customFormat="1" ht="32.1" customHeight="1" x14ac:dyDescent="0.15"/>
    <row r="46331" s="8" customFormat="1" ht="32.1" customHeight="1" x14ac:dyDescent="0.15"/>
    <row r="46332" s="8" customFormat="1" ht="32.1" customHeight="1" x14ac:dyDescent="0.15"/>
    <row r="46333" s="8" customFormat="1" ht="32.1" customHeight="1" x14ac:dyDescent="0.15"/>
    <row r="46334" s="9" customFormat="1" ht="32.1" customHeight="1" x14ac:dyDescent="0.15"/>
    <row r="46335" s="9" customFormat="1" ht="32.1" customHeight="1" x14ac:dyDescent="0.15"/>
    <row r="46336" s="9" customFormat="1" ht="32.1" customHeight="1" x14ac:dyDescent="0.15"/>
    <row r="46337" s="9" customFormat="1" ht="32.1" customHeight="1" x14ac:dyDescent="0.15"/>
    <row r="46338" s="9" customFormat="1" ht="21.95" customHeight="1" x14ac:dyDescent="0.15"/>
    <row r="46339" s="9" customFormat="1" ht="54" customHeight="1" x14ac:dyDescent="0.15"/>
    <row r="46340" s="9" customFormat="1" ht="21.95" customHeight="1" x14ac:dyDescent="0.15"/>
    <row r="46341" s="9" customFormat="1" ht="21.95" customHeight="1" x14ac:dyDescent="0.15"/>
    <row r="46342" s="9" customFormat="1" ht="21.95" customHeight="1" x14ac:dyDescent="0.15"/>
    <row r="46343" s="9" customFormat="1" ht="21.95" customHeight="1" x14ac:dyDescent="0.15"/>
    <row r="46344" s="9" customFormat="1" ht="21.95" customHeight="1" x14ac:dyDescent="0.15"/>
    <row r="46345" s="9" customFormat="1" ht="21.95" customHeight="1" x14ac:dyDescent="0.15"/>
    <row r="46346" s="9" customFormat="1" ht="21.95" customHeight="1" x14ac:dyDescent="0.15"/>
    <row r="46347" s="9" customFormat="1" ht="21.95" customHeight="1" x14ac:dyDescent="0.15"/>
    <row r="46348" s="9" customFormat="1" ht="21.95" customHeight="1" x14ac:dyDescent="0.15"/>
    <row r="46349" s="9" customFormat="1" ht="21.95" customHeight="1" x14ac:dyDescent="0.15"/>
    <row r="46350" s="9" customFormat="1" ht="21.95" customHeight="1" x14ac:dyDescent="0.15"/>
    <row r="46351" s="9" customFormat="1" ht="21.95" customHeight="1" x14ac:dyDescent="0.15"/>
    <row r="46352" s="9" customFormat="1" ht="21.95" customHeight="1" x14ac:dyDescent="0.15"/>
    <row r="46353" s="9" customFormat="1" ht="21.95" customHeight="1" x14ac:dyDescent="0.15"/>
    <row r="46354" s="9" customFormat="1" ht="21.95" customHeight="1" x14ac:dyDescent="0.15"/>
    <row r="46355" s="9" customFormat="1" ht="21.95" customHeight="1" x14ac:dyDescent="0.15"/>
    <row r="46356" s="9" customFormat="1" ht="21.95" customHeight="1" x14ac:dyDescent="0.15"/>
    <row r="46357" s="9" customFormat="1" ht="21.95" customHeight="1" x14ac:dyDescent="0.15"/>
    <row r="46358" s="9" customFormat="1" ht="21.95" customHeight="1" x14ac:dyDescent="0.15"/>
    <row r="46359" s="9" customFormat="1" ht="21.95" customHeight="1" x14ac:dyDescent="0.15"/>
    <row r="46360" s="9" customFormat="1" ht="21.95" customHeight="1" x14ac:dyDescent="0.15"/>
    <row r="46361" s="9" customFormat="1" ht="21.95" customHeight="1" x14ac:dyDescent="0.15"/>
    <row r="46362" s="9" customFormat="1" ht="21.95" customHeight="1" x14ac:dyDescent="0.15"/>
    <row r="46363" s="9" customFormat="1" ht="21.95" customHeight="1" x14ac:dyDescent="0.15"/>
    <row r="46364" s="9" customFormat="1" ht="21.95" customHeight="1" x14ac:dyDescent="0.15"/>
    <row r="46365" s="9" customFormat="1" ht="21.95" customHeight="1" x14ac:dyDescent="0.15"/>
    <row r="46366" s="9" customFormat="1" ht="21.95" customHeight="1" x14ac:dyDescent="0.15"/>
    <row r="46367" s="9" customFormat="1" ht="21.95" customHeight="1" x14ac:dyDescent="0.15"/>
    <row r="46368" s="9" customFormat="1" ht="21.95" customHeight="1" x14ac:dyDescent="0.15"/>
    <row r="46369" s="9" customFormat="1" ht="21.95" customHeight="1" x14ac:dyDescent="0.15"/>
    <row r="46370" s="9" customFormat="1" ht="21.95" customHeight="1" x14ac:dyDescent="0.15"/>
    <row r="46371" s="9" customFormat="1" ht="21.95" customHeight="1" x14ac:dyDescent="0.15"/>
    <row r="46372" s="9" customFormat="1" ht="21.95" customHeight="1" x14ac:dyDescent="0.15"/>
    <row r="46373" s="9" customFormat="1" ht="21.95" customHeight="1" x14ac:dyDescent="0.15"/>
    <row r="46374" s="9" customFormat="1" ht="21.95" customHeight="1" x14ac:dyDescent="0.15"/>
    <row r="46375" s="9" customFormat="1" ht="21.95" customHeight="1" x14ac:dyDescent="0.15"/>
    <row r="46376" s="9" customFormat="1" ht="21.95" customHeight="1" x14ac:dyDescent="0.15"/>
    <row r="46377" s="9" customFormat="1" ht="21.95" customHeight="1" x14ac:dyDescent="0.15"/>
    <row r="46378" s="9" customFormat="1" ht="21.95" customHeight="1" x14ac:dyDescent="0.15"/>
    <row r="46379" s="9" customFormat="1" ht="21.95" customHeight="1" x14ac:dyDescent="0.15"/>
    <row r="46380" s="9" customFormat="1" ht="21.95" customHeight="1" x14ac:dyDescent="0.15"/>
    <row r="46381" s="9" customFormat="1" ht="21.95" customHeight="1" x14ac:dyDescent="0.15"/>
    <row r="46382" s="9" customFormat="1" ht="21.95" customHeight="1" x14ac:dyDescent="0.15"/>
    <row r="46383" s="9" customFormat="1" ht="21.95" customHeight="1" x14ac:dyDescent="0.15"/>
    <row r="46384" s="9" customFormat="1" ht="21.95" customHeight="1" x14ac:dyDescent="0.15"/>
    <row r="46385" s="9" customFormat="1" ht="21.95" customHeight="1" x14ac:dyDescent="0.15"/>
    <row r="46386" s="9" customFormat="1" ht="21.95" customHeight="1" x14ac:dyDescent="0.15"/>
    <row r="46387" s="9" customFormat="1" ht="21.95" customHeight="1" x14ac:dyDescent="0.15"/>
    <row r="46388" s="9" customFormat="1" ht="21.95" customHeight="1" x14ac:dyDescent="0.15"/>
    <row r="46389" s="9" customFormat="1" ht="21.95" customHeight="1" x14ac:dyDescent="0.15"/>
    <row r="46390" s="9" customFormat="1" ht="35.1" customHeight="1" x14ac:dyDescent="0.15"/>
    <row r="46391" s="9" customFormat="1" ht="21.95" customHeight="1" x14ac:dyDescent="0.15"/>
    <row r="46392" s="9" customFormat="1" ht="21.95" customHeight="1" x14ac:dyDescent="0.15"/>
    <row r="46393" s="9" customFormat="1" ht="21.95" customHeight="1" x14ac:dyDescent="0.15"/>
    <row r="46394" s="9" customFormat="1" ht="21.95" customHeight="1" x14ac:dyDescent="0.15"/>
    <row r="46395" s="9" customFormat="1" ht="21.95" customHeight="1" x14ac:dyDescent="0.15"/>
    <row r="46396" s="9" customFormat="1" ht="21.95" customHeight="1" x14ac:dyDescent="0.15"/>
    <row r="46397" s="9" customFormat="1" ht="21.95" customHeight="1" x14ac:dyDescent="0.15"/>
    <row r="46398" s="9" customFormat="1" ht="21.95" customHeight="1" x14ac:dyDescent="0.15"/>
    <row r="46399" s="9" customFormat="1" ht="21.95" customHeight="1" x14ac:dyDescent="0.15"/>
    <row r="46400" s="9" customFormat="1" ht="21.95" customHeight="1" x14ac:dyDescent="0.15"/>
    <row r="46401" spans="3:3" s="9" customFormat="1" ht="21.95" customHeight="1" x14ac:dyDescent="0.15"/>
    <row r="46402" spans="3:3" s="9" customFormat="1" ht="21.95" customHeight="1" x14ac:dyDescent="0.15"/>
    <row r="46403" spans="3:3" s="9" customFormat="1" ht="21.95" customHeight="1" x14ac:dyDescent="0.15"/>
    <row r="46404" spans="3:3" s="9" customFormat="1" ht="21.95" customHeight="1" x14ac:dyDescent="0.15"/>
    <row r="46405" spans="3:3" s="9" customFormat="1" ht="21.95" customHeight="1" x14ac:dyDescent="0.15"/>
    <row r="46406" spans="3:3" s="9" customFormat="1" ht="21.95" customHeight="1" x14ac:dyDescent="0.15"/>
    <row r="46407" spans="3:3" s="9" customFormat="1" ht="21.95" customHeight="1" x14ac:dyDescent="0.15"/>
    <row r="46408" spans="3:3" s="9" customFormat="1" ht="21.95" customHeight="1" x14ac:dyDescent="0.15"/>
    <row r="46409" spans="3:3" s="9" customFormat="1" ht="21.95" customHeight="1" x14ac:dyDescent="0.15"/>
    <row r="46410" spans="3:3" s="9" customFormat="1" ht="21.95" customHeight="1" x14ac:dyDescent="0.15"/>
    <row r="46411" spans="3:3" s="9" customFormat="1" ht="21.95" customHeight="1" x14ac:dyDescent="0.15"/>
    <row r="46412" spans="3:3" s="9" customFormat="1" ht="21.95" customHeight="1" x14ac:dyDescent="0.15"/>
    <row r="46413" spans="3:3" s="9" customFormat="1" ht="21.95" customHeight="1" x14ac:dyDescent="0.15"/>
    <row r="46414" spans="3:3" s="8" customFormat="1" ht="21.95" customHeight="1" x14ac:dyDescent="0.15"/>
    <row r="46415" spans="3:3" s="8" customFormat="1" ht="21.95" customHeight="1" x14ac:dyDescent="0.15"/>
    <row r="46416" spans="3:3" s="8" customFormat="1" ht="21.95" customHeight="1" x14ac:dyDescent="0.15">
      <c r="C46416" s="101"/>
    </row>
    <row r="46417" spans="3:3" s="8" customFormat="1" ht="21.95" customHeight="1" x14ac:dyDescent="0.15">
      <c r="C46417" s="101"/>
    </row>
    <row r="46418" spans="3:3" s="8" customFormat="1" ht="21.95" customHeight="1" x14ac:dyDescent="0.15"/>
    <row r="46419" spans="3:3" s="8" customFormat="1" ht="21.95" customHeight="1" x14ac:dyDescent="0.15"/>
    <row r="46420" spans="3:3" s="8" customFormat="1" ht="21.95" customHeight="1" x14ac:dyDescent="0.15"/>
    <row r="46421" spans="3:3" s="8" customFormat="1" ht="21.95" customHeight="1" x14ac:dyDescent="0.15"/>
    <row r="46422" spans="3:3" s="8" customFormat="1" ht="21.95" customHeight="1" x14ac:dyDescent="0.15"/>
    <row r="46423" spans="3:3" s="8" customFormat="1" ht="21.95" customHeight="1" x14ac:dyDescent="0.15"/>
    <row r="46424" spans="3:3" s="8" customFormat="1" ht="21.95" customHeight="1" x14ac:dyDescent="0.15"/>
    <row r="46425" spans="3:3" s="9" customFormat="1" ht="21.95" customHeight="1" x14ac:dyDescent="0.15"/>
    <row r="46426" spans="3:3" s="9" customFormat="1" ht="21.95" customHeight="1" x14ac:dyDescent="0.15"/>
    <row r="46427" spans="3:3" s="9" customFormat="1" ht="21.95" customHeight="1" x14ac:dyDescent="0.15"/>
    <row r="46428" spans="3:3" s="9" customFormat="1" ht="21.95" customHeight="1" x14ac:dyDescent="0.15"/>
    <row r="46429" spans="3:3" s="8" customFormat="1" ht="21.95" customHeight="1" x14ac:dyDescent="0.15"/>
    <row r="46430" spans="3:3" s="8" customFormat="1" ht="21.95" customHeight="1" x14ac:dyDescent="0.15"/>
    <row r="46431" spans="3:3" s="8" customFormat="1" ht="21.95" customHeight="1" x14ac:dyDescent="0.15"/>
    <row r="46432" spans="3:3" s="8" customFormat="1" ht="21.95" customHeight="1" x14ac:dyDescent="0.15"/>
    <row r="46433" s="8" customFormat="1" ht="21.95" customHeight="1" x14ac:dyDescent="0.15"/>
    <row r="46434" s="8" customFormat="1" ht="21.95" customHeight="1" x14ac:dyDescent="0.15"/>
    <row r="46435" s="8" customFormat="1" ht="21.95" customHeight="1" x14ac:dyDescent="0.15"/>
    <row r="46436" s="8" customFormat="1" ht="21.95" customHeight="1" x14ac:dyDescent="0.15"/>
    <row r="46437" s="8" customFormat="1" ht="21.95" customHeight="1" x14ac:dyDescent="0.15"/>
    <row r="46438" s="8" customFormat="1" ht="21.95" customHeight="1" x14ac:dyDescent="0.15"/>
    <row r="46439" s="8" customFormat="1" ht="21.95" customHeight="1" x14ac:dyDescent="0.15"/>
    <row r="46440" s="8" customFormat="1" ht="32.1" customHeight="1" x14ac:dyDescent="0.15"/>
    <row r="46441" s="8" customFormat="1" ht="32.1" customHeight="1" x14ac:dyDescent="0.15"/>
    <row r="46442" s="8" customFormat="1" ht="32.1" customHeight="1" x14ac:dyDescent="0.15"/>
    <row r="46443" s="8" customFormat="1" ht="32.1" customHeight="1" x14ac:dyDescent="0.15"/>
    <row r="46444" s="8" customFormat="1" ht="32.1" customHeight="1" x14ac:dyDescent="0.15"/>
    <row r="46445" s="8" customFormat="1" ht="32.1" customHeight="1" x14ac:dyDescent="0.15"/>
    <row r="46446" s="9" customFormat="1" ht="32.1" customHeight="1" x14ac:dyDescent="0.15"/>
    <row r="46447" s="9" customFormat="1" ht="32.1" customHeight="1" x14ac:dyDescent="0.15"/>
    <row r="46448" s="9" customFormat="1" ht="32.1" customHeight="1" x14ac:dyDescent="0.15"/>
    <row r="46449" s="9" customFormat="1" ht="32.1" customHeight="1" x14ac:dyDescent="0.15"/>
    <row r="46450" s="9" customFormat="1" ht="21.95" customHeight="1" x14ac:dyDescent="0.15"/>
    <row r="46451" s="9" customFormat="1" ht="54" customHeight="1" x14ac:dyDescent="0.15"/>
    <row r="46452" s="9" customFormat="1" ht="21.95" customHeight="1" x14ac:dyDescent="0.15"/>
    <row r="46453" s="9" customFormat="1" ht="21.95" customHeight="1" x14ac:dyDescent="0.15"/>
    <row r="46454" s="9" customFormat="1" ht="21.95" customHeight="1" x14ac:dyDescent="0.15"/>
    <row r="46455" s="9" customFormat="1" ht="21.95" customHeight="1" x14ac:dyDescent="0.15"/>
    <row r="46456" s="9" customFormat="1" ht="21.95" customHeight="1" x14ac:dyDescent="0.15"/>
    <row r="46457" s="9" customFormat="1" ht="21.95" customHeight="1" x14ac:dyDescent="0.15"/>
    <row r="46458" s="9" customFormat="1" ht="21.95" customHeight="1" x14ac:dyDescent="0.15"/>
    <row r="46459" s="9" customFormat="1" ht="21.95" customHeight="1" x14ac:dyDescent="0.15"/>
    <row r="46460" s="9" customFormat="1" ht="21.95" customHeight="1" x14ac:dyDescent="0.15"/>
    <row r="46461" s="9" customFormat="1" ht="21.95" customHeight="1" x14ac:dyDescent="0.15"/>
    <row r="46462" s="9" customFormat="1" ht="21.95" customHeight="1" x14ac:dyDescent="0.15"/>
    <row r="46463" s="9" customFormat="1" ht="21.95" customHeight="1" x14ac:dyDescent="0.15"/>
    <row r="46464" s="9" customFormat="1" ht="21.95" customHeight="1" x14ac:dyDescent="0.15"/>
    <row r="46465" s="9" customFormat="1" ht="21.95" customHeight="1" x14ac:dyDescent="0.15"/>
    <row r="46466" s="9" customFormat="1" ht="21.95" customHeight="1" x14ac:dyDescent="0.15"/>
    <row r="46467" s="9" customFormat="1" ht="21.95" customHeight="1" x14ac:dyDescent="0.15"/>
    <row r="46468" s="9" customFormat="1" ht="21.95" customHeight="1" x14ac:dyDescent="0.15"/>
    <row r="46469" s="9" customFormat="1" ht="21.95" customHeight="1" x14ac:dyDescent="0.15"/>
    <row r="46470" s="9" customFormat="1" ht="21.95" customHeight="1" x14ac:dyDescent="0.15"/>
    <row r="46471" s="9" customFormat="1" ht="21.95" customHeight="1" x14ac:dyDescent="0.15"/>
    <row r="46472" s="9" customFormat="1" ht="21.95" customHeight="1" x14ac:dyDescent="0.15"/>
    <row r="46473" s="9" customFormat="1" ht="21.95" customHeight="1" x14ac:dyDescent="0.15"/>
    <row r="46474" s="9" customFormat="1" ht="21.95" customHeight="1" x14ac:dyDescent="0.15"/>
    <row r="46475" s="9" customFormat="1" ht="21.95" customHeight="1" x14ac:dyDescent="0.15"/>
    <row r="46476" s="9" customFormat="1" ht="21.95" customHeight="1" x14ac:dyDescent="0.15"/>
    <row r="46477" s="9" customFormat="1" ht="21.95" customHeight="1" x14ac:dyDescent="0.15"/>
    <row r="46478" s="9" customFormat="1" ht="21.95" customHeight="1" x14ac:dyDescent="0.15"/>
    <row r="46479" s="9" customFormat="1" ht="21.95" customHeight="1" x14ac:dyDescent="0.15"/>
    <row r="46480" s="9" customFormat="1" ht="21.95" customHeight="1" x14ac:dyDescent="0.15"/>
    <row r="46481" s="9" customFormat="1" ht="21.95" customHeight="1" x14ac:dyDescent="0.15"/>
    <row r="46482" s="9" customFormat="1" ht="21.95" customHeight="1" x14ac:dyDescent="0.15"/>
    <row r="46483" s="9" customFormat="1" ht="21.95" customHeight="1" x14ac:dyDescent="0.15"/>
    <row r="46484" s="9" customFormat="1" ht="21.95" customHeight="1" x14ac:dyDescent="0.15"/>
    <row r="46485" s="9" customFormat="1" ht="21.95" customHeight="1" x14ac:dyDescent="0.15"/>
    <row r="46486" s="9" customFormat="1" ht="21.95" customHeight="1" x14ac:dyDescent="0.15"/>
    <row r="46487" s="9" customFormat="1" ht="21.95" customHeight="1" x14ac:dyDescent="0.15"/>
    <row r="46488" s="9" customFormat="1" ht="21.95" customHeight="1" x14ac:dyDescent="0.15"/>
    <row r="46489" s="9" customFormat="1" ht="21.95" customHeight="1" x14ac:dyDescent="0.15"/>
    <row r="46490" s="9" customFormat="1" ht="21.95" customHeight="1" x14ac:dyDescent="0.15"/>
    <row r="46491" s="9" customFormat="1" ht="21.95" customHeight="1" x14ac:dyDescent="0.15"/>
    <row r="46492" s="9" customFormat="1" ht="21.95" customHeight="1" x14ac:dyDescent="0.15"/>
    <row r="46493" s="9" customFormat="1" ht="21.95" customHeight="1" x14ac:dyDescent="0.15"/>
    <row r="46494" s="9" customFormat="1" ht="21.95" customHeight="1" x14ac:dyDescent="0.15"/>
    <row r="46495" s="9" customFormat="1" ht="21.95" customHeight="1" x14ac:dyDescent="0.15"/>
    <row r="46496" s="9" customFormat="1" ht="21.95" customHeight="1" x14ac:dyDescent="0.15"/>
    <row r="46497" s="9" customFormat="1" ht="21.95" customHeight="1" x14ac:dyDescent="0.15"/>
    <row r="46498" s="9" customFormat="1" ht="21.95" customHeight="1" x14ac:dyDescent="0.15"/>
    <row r="46499" s="9" customFormat="1" ht="21.95" customHeight="1" x14ac:dyDescent="0.15"/>
    <row r="46500" s="9" customFormat="1" ht="21.95" customHeight="1" x14ac:dyDescent="0.15"/>
    <row r="46501" s="9" customFormat="1" ht="21.95" customHeight="1" x14ac:dyDescent="0.15"/>
    <row r="46502" s="9" customFormat="1" ht="35.1" customHeight="1" x14ac:dyDescent="0.15"/>
    <row r="46503" s="9" customFormat="1" ht="21.95" customHeight="1" x14ac:dyDescent="0.15"/>
    <row r="46504" s="9" customFormat="1" ht="21.95" customHeight="1" x14ac:dyDescent="0.15"/>
    <row r="46505" s="9" customFormat="1" ht="21.95" customHeight="1" x14ac:dyDescent="0.15"/>
    <row r="46506" s="9" customFormat="1" ht="21.95" customHeight="1" x14ac:dyDescent="0.15"/>
    <row r="46507" s="9" customFormat="1" ht="21.95" customHeight="1" x14ac:dyDescent="0.15"/>
    <row r="46508" s="9" customFormat="1" ht="21.95" customHeight="1" x14ac:dyDescent="0.15"/>
    <row r="46509" s="9" customFormat="1" ht="21.95" customHeight="1" x14ac:dyDescent="0.15"/>
    <row r="46510" s="9" customFormat="1" ht="21.95" customHeight="1" x14ac:dyDescent="0.15"/>
    <row r="46511" s="9" customFormat="1" ht="21.95" customHeight="1" x14ac:dyDescent="0.15"/>
    <row r="46512" s="9" customFormat="1" ht="21.95" customHeight="1" x14ac:dyDescent="0.15"/>
    <row r="46513" spans="3:3" s="9" customFormat="1" ht="21.95" customHeight="1" x14ac:dyDescent="0.15"/>
    <row r="46514" spans="3:3" s="9" customFormat="1" ht="21.95" customHeight="1" x14ac:dyDescent="0.15"/>
    <row r="46515" spans="3:3" s="9" customFormat="1" ht="21.95" customHeight="1" x14ac:dyDescent="0.15"/>
    <row r="46516" spans="3:3" s="9" customFormat="1" ht="21.95" customHeight="1" x14ac:dyDescent="0.15"/>
    <row r="46517" spans="3:3" s="9" customFormat="1" ht="21.95" customHeight="1" x14ac:dyDescent="0.15"/>
    <row r="46518" spans="3:3" s="9" customFormat="1" ht="21.95" customHeight="1" x14ac:dyDescent="0.15"/>
    <row r="46519" spans="3:3" s="9" customFormat="1" ht="21.95" customHeight="1" x14ac:dyDescent="0.15"/>
    <row r="46520" spans="3:3" s="9" customFormat="1" ht="21.95" customHeight="1" x14ac:dyDescent="0.15"/>
    <row r="46521" spans="3:3" s="9" customFormat="1" ht="21.95" customHeight="1" x14ac:dyDescent="0.15"/>
    <row r="46522" spans="3:3" s="9" customFormat="1" ht="21.95" customHeight="1" x14ac:dyDescent="0.15"/>
    <row r="46523" spans="3:3" s="9" customFormat="1" ht="21.95" customHeight="1" x14ac:dyDescent="0.15"/>
    <row r="46524" spans="3:3" s="9" customFormat="1" ht="21.95" customHeight="1" x14ac:dyDescent="0.15"/>
    <row r="46525" spans="3:3" s="9" customFormat="1" ht="21.95" customHeight="1" x14ac:dyDescent="0.15"/>
    <row r="46526" spans="3:3" s="8" customFormat="1" ht="21.95" customHeight="1" x14ac:dyDescent="0.15"/>
    <row r="46527" spans="3:3" s="8" customFormat="1" ht="21.95" customHeight="1" x14ac:dyDescent="0.15"/>
    <row r="46528" spans="3:3" s="8" customFormat="1" ht="21.95" customHeight="1" x14ac:dyDescent="0.15">
      <c r="C46528" s="101"/>
    </row>
    <row r="46529" spans="3:3" s="8" customFormat="1" ht="21.95" customHeight="1" x14ac:dyDescent="0.15">
      <c r="C46529" s="101"/>
    </row>
    <row r="46530" spans="3:3" s="8" customFormat="1" ht="21.95" customHeight="1" x14ac:dyDescent="0.15"/>
    <row r="46531" spans="3:3" s="8" customFormat="1" ht="21.95" customHeight="1" x14ac:dyDescent="0.15"/>
    <row r="46532" spans="3:3" s="8" customFormat="1" ht="21.95" customHeight="1" x14ac:dyDescent="0.15"/>
    <row r="46533" spans="3:3" s="8" customFormat="1" ht="21.95" customHeight="1" x14ac:dyDescent="0.15"/>
    <row r="46534" spans="3:3" s="8" customFormat="1" ht="21.95" customHeight="1" x14ac:dyDescent="0.15"/>
    <row r="46535" spans="3:3" s="8" customFormat="1" ht="21.95" customHeight="1" x14ac:dyDescent="0.15"/>
    <row r="46536" spans="3:3" s="8" customFormat="1" ht="21.95" customHeight="1" x14ac:dyDescent="0.15"/>
    <row r="46537" spans="3:3" s="9" customFormat="1" ht="21.95" customHeight="1" x14ac:dyDescent="0.15"/>
    <row r="46538" spans="3:3" s="9" customFormat="1" ht="21.95" customHeight="1" x14ac:dyDescent="0.15"/>
    <row r="46539" spans="3:3" s="9" customFormat="1" ht="21.95" customHeight="1" x14ac:dyDescent="0.15"/>
    <row r="46540" spans="3:3" s="9" customFormat="1" ht="21.95" customHeight="1" x14ac:dyDescent="0.15"/>
    <row r="46541" spans="3:3" s="8" customFormat="1" ht="21.95" customHeight="1" x14ac:dyDescent="0.15"/>
    <row r="46542" spans="3:3" s="8" customFormat="1" ht="21.95" customHeight="1" x14ac:dyDescent="0.15"/>
    <row r="46543" spans="3:3" s="8" customFormat="1" ht="21.95" customHeight="1" x14ac:dyDescent="0.15"/>
    <row r="46544" spans="3:3" s="8" customFormat="1" ht="21.95" customHeight="1" x14ac:dyDescent="0.15"/>
    <row r="46545" s="8" customFormat="1" ht="21.95" customHeight="1" x14ac:dyDescent="0.15"/>
    <row r="46546" s="8" customFormat="1" ht="21.95" customHeight="1" x14ac:dyDescent="0.15"/>
    <row r="46547" s="8" customFormat="1" ht="21.95" customHeight="1" x14ac:dyDescent="0.15"/>
    <row r="46548" s="8" customFormat="1" ht="21.95" customHeight="1" x14ac:dyDescent="0.15"/>
    <row r="46549" s="8" customFormat="1" ht="21.95" customHeight="1" x14ac:dyDescent="0.15"/>
    <row r="46550" s="8" customFormat="1" ht="21.95" customHeight="1" x14ac:dyDescent="0.15"/>
    <row r="46551" s="8" customFormat="1" ht="21.95" customHeight="1" x14ac:dyDescent="0.15"/>
    <row r="46552" s="8" customFormat="1" ht="32.1" customHeight="1" x14ac:dyDescent="0.15"/>
    <row r="46553" s="8" customFormat="1" ht="32.1" customHeight="1" x14ac:dyDescent="0.15"/>
    <row r="46554" s="8" customFormat="1" ht="32.1" customHeight="1" x14ac:dyDescent="0.15"/>
    <row r="46555" s="8" customFormat="1" ht="32.1" customHeight="1" x14ac:dyDescent="0.15"/>
    <row r="46556" s="8" customFormat="1" ht="32.1" customHeight="1" x14ac:dyDescent="0.15"/>
    <row r="46557" s="8" customFormat="1" ht="32.1" customHeight="1" x14ac:dyDescent="0.15"/>
    <row r="46558" s="9" customFormat="1" ht="32.1" customHeight="1" x14ac:dyDescent="0.15"/>
    <row r="46559" s="9" customFormat="1" ht="32.1" customHeight="1" x14ac:dyDescent="0.15"/>
    <row r="46560" s="9" customFormat="1" ht="32.1" customHeight="1" x14ac:dyDescent="0.15"/>
    <row r="46561" s="9" customFormat="1" ht="32.1" customHeight="1" x14ac:dyDescent="0.15"/>
    <row r="46562" s="9" customFormat="1" ht="21.95" customHeight="1" x14ac:dyDescent="0.15"/>
    <row r="46563" s="9" customFormat="1" ht="54" customHeight="1" x14ac:dyDescent="0.15"/>
    <row r="46564" s="9" customFormat="1" ht="21.95" customHeight="1" x14ac:dyDescent="0.15"/>
    <row r="46565" s="9" customFormat="1" ht="21.95" customHeight="1" x14ac:dyDescent="0.15"/>
    <row r="46566" s="9" customFormat="1" ht="21.95" customHeight="1" x14ac:dyDescent="0.15"/>
    <row r="46567" s="9" customFormat="1" ht="21.95" customHeight="1" x14ac:dyDescent="0.15"/>
    <row r="46568" s="9" customFormat="1" ht="21.95" customHeight="1" x14ac:dyDescent="0.15"/>
    <row r="46569" s="9" customFormat="1" ht="21.95" customHeight="1" x14ac:dyDescent="0.15"/>
    <row r="46570" s="9" customFormat="1" ht="21.95" customHeight="1" x14ac:dyDescent="0.15"/>
    <row r="46571" s="9" customFormat="1" ht="21.95" customHeight="1" x14ac:dyDescent="0.15"/>
    <row r="46572" s="9" customFormat="1" ht="21.95" customHeight="1" x14ac:dyDescent="0.15"/>
    <row r="46573" s="9" customFormat="1" ht="21.95" customHeight="1" x14ac:dyDescent="0.15"/>
    <row r="46574" s="9" customFormat="1" ht="21.95" customHeight="1" x14ac:dyDescent="0.15"/>
    <row r="46575" s="9" customFormat="1" ht="21.95" customHeight="1" x14ac:dyDescent="0.15"/>
    <row r="46576" s="9" customFormat="1" ht="21.95" customHeight="1" x14ac:dyDescent="0.15"/>
    <row r="46577" s="9" customFormat="1" ht="21.95" customHeight="1" x14ac:dyDescent="0.15"/>
    <row r="46578" s="9" customFormat="1" ht="21.95" customHeight="1" x14ac:dyDescent="0.15"/>
    <row r="46579" s="9" customFormat="1" ht="21.95" customHeight="1" x14ac:dyDescent="0.15"/>
    <row r="46580" s="9" customFormat="1" ht="21.95" customHeight="1" x14ac:dyDescent="0.15"/>
    <row r="46581" s="9" customFormat="1" ht="21.95" customHeight="1" x14ac:dyDescent="0.15"/>
    <row r="46582" s="9" customFormat="1" ht="21.95" customHeight="1" x14ac:dyDescent="0.15"/>
    <row r="46583" s="9" customFormat="1" ht="21.95" customHeight="1" x14ac:dyDescent="0.15"/>
    <row r="46584" s="9" customFormat="1" ht="21.95" customHeight="1" x14ac:dyDescent="0.15"/>
    <row r="46585" s="9" customFormat="1" ht="21.95" customHeight="1" x14ac:dyDescent="0.15"/>
    <row r="46586" s="9" customFormat="1" ht="21.95" customHeight="1" x14ac:dyDescent="0.15"/>
    <row r="46587" s="9" customFormat="1" ht="21.95" customHeight="1" x14ac:dyDescent="0.15"/>
    <row r="46588" s="9" customFormat="1" ht="21.95" customHeight="1" x14ac:dyDescent="0.15"/>
    <row r="46589" s="9" customFormat="1" ht="21.95" customHeight="1" x14ac:dyDescent="0.15"/>
    <row r="46590" s="9" customFormat="1" ht="21.95" customHeight="1" x14ac:dyDescent="0.15"/>
    <row r="46591" s="9" customFormat="1" ht="21.95" customHeight="1" x14ac:dyDescent="0.15"/>
    <row r="46592" s="9" customFormat="1" ht="21.95" customHeight="1" x14ac:dyDescent="0.15"/>
    <row r="46593" s="9" customFormat="1" ht="21.95" customHeight="1" x14ac:dyDescent="0.15"/>
    <row r="46594" s="9" customFormat="1" ht="21.95" customHeight="1" x14ac:dyDescent="0.15"/>
    <row r="46595" s="9" customFormat="1" ht="21.95" customHeight="1" x14ac:dyDescent="0.15"/>
    <row r="46596" s="9" customFormat="1" ht="21.95" customHeight="1" x14ac:dyDescent="0.15"/>
    <row r="46597" s="9" customFormat="1" ht="21.95" customHeight="1" x14ac:dyDescent="0.15"/>
    <row r="46598" s="9" customFormat="1" ht="21.95" customHeight="1" x14ac:dyDescent="0.15"/>
    <row r="46599" s="9" customFormat="1" ht="21.95" customHeight="1" x14ac:dyDescent="0.15"/>
    <row r="46600" s="9" customFormat="1" ht="21.95" customHeight="1" x14ac:dyDescent="0.15"/>
    <row r="46601" s="9" customFormat="1" ht="21.95" customHeight="1" x14ac:dyDescent="0.15"/>
    <row r="46602" s="9" customFormat="1" ht="21.95" customHeight="1" x14ac:dyDescent="0.15"/>
    <row r="46603" s="9" customFormat="1" ht="21.95" customHeight="1" x14ac:dyDescent="0.15"/>
    <row r="46604" s="9" customFormat="1" ht="21.95" customHeight="1" x14ac:dyDescent="0.15"/>
    <row r="46605" s="9" customFormat="1" ht="21.95" customHeight="1" x14ac:dyDescent="0.15"/>
    <row r="46606" s="9" customFormat="1" ht="21.95" customHeight="1" x14ac:dyDescent="0.15"/>
    <row r="46607" s="9" customFormat="1" ht="21.95" customHeight="1" x14ac:dyDescent="0.15"/>
    <row r="46608" s="9" customFormat="1" ht="21.95" customHeight="1" x14ac:dyDescent="0.15"/>
    <row r="46609" s="9" customFormat="1" ht="21.95" customHeight="1" x14ac:dyDescent="0.15"/>
    <row r="46610" s="9" customFormat="1" ht="21.95" customHeight="1" x14ac:dyDescent="0.15"/>
    <row r="46611" s="9" customFormat="1" ht="21.95" customHeight="1" x14ac:dyDescent="0.15"/>
    <row r="46612" s="9" customFormat="1" ht="21.95" customHeight="1" x14ac:dyDescent="0.15"/>
    <row r="46613" s="9" customFormat="1" ht="21.95" customHeight="1" x14ac:dyDescent="0.15"/>
    <row r="46614" s="9" customFormat="1" ht="35.1" customHeight="1" x14ac:dyDescent="0.15"/>
    <row r="46615" s="9" customFormat="1" ht="21.95" customHeight="1" x14ac:dyDescent="0.15"/>
    <row r="46616" s="9" customFormat="1" ht="21.95" customHeight="1" x14ac:dyDescent="0.15"/>
    <row r="46617" s="9" customFormat="1" ht="21.95" customHeight="1" x14ac:dyDescent="0.15"/>
    <row r="46618" s="9" customFormat="1" ht="21.95" customHeight="1" x14ac:dyDescent="0.15"/>
    <row r="46619" s="9" customFormat="1" ht="21.95" customHeight="1" x14ac:dyDescent="0.15"/>
    <row r="46620" s="9" customFormat="1" ht="21.95" customHeight="1" x14ac:dyDescent="0.15"/>
    <row r="46621" s="9" customFormat="1" ht="21.95" customHeight="1" x14ac:dyDescent="0.15"/>
    <row r="46622" s="9" customFormat="1" ht="21.95" customHeight="1" x14ac:dyDescent="0.15"/>
    <row r="46623" s="9" customFormat="1" ht="21.95" customHeight="1" x14ac:dyDescent="0.15"/>
    <row r="46624" s="9" customFormat="1" ht="21.95" customHeight="1" x14ac:dyDescent="0.15"/>
    <row r="46625" spans="3:3" s="9" customFormat="1" ht="21.95" customHeight="1" x14ac:dyDescent="0.15"/>
    <row r="46626" spans="3:3" s="9" customFormat="1" ht="21.95" customHeight="1" x14ac:dyDescent="0.15"/>
    <row r="46627" spans="3:3" s="9" customFormat="1" ht="21.95" customHeight="1" x14ac:dyDescent="0.15"/>
    <row r="46628" spans="3:3" s="9" customFormat="1" ht="21.95" customHeight="1" x14ac:dyDescent="0.15"/>
    <row r="46629" spans="3:3" s="9" customFormat="1" ht="21.95" customHeight="1" x14ac:dyDescent="0.15"/>
    <row r="46630" spans="3:3" s="9" customFormat="1" ht="21.95" customHeight="1" x14ac:dyDescent="0.15"/>
    <row r="46631" spans="3:3" s="9" customFormat="1" ht="21.95" customHeight="1" x14ac:dyDescent="0.15"/>
    <row r="46632" spans="3:3" s="9" customFormat="1" ht="21.95" customHeight="1" x14ac:dyDescent="0.15"/>
    <row r="46633" spans="3:3" s="9" customFormat="1" ht="21.95" customHeight="1" x14ac:dyDescent="0.15"/>
    <row r="46634" spans="3:3" s="9" customFormat="1" ht="21.95" customHeight="1" x14ac:dyDescent="0.15"/>
    <row r="46635" spans="3:3" s="9" customFormat="1" ht="21.95" customHeight="1" x14ac:dyDescent="0.15"/>
    <row r="46636" spans="3:3" s="9" customFormat="1" ht="21.95" customHeight="1" x14ac:dyDescent="0.15"/>
    <row r="46637" spans="3:3" s="9" customFormat="1" ht="21.95" customHeight="1" x14ac:dyDescent="0.15"/>
    <row r="46638" spans="3:3" s="8" customFormat="1" ht="21.95" customHeight="1" x14ac:dyDescent="0.15"/>
    <row r="46639" spans="3:3" s="8" customFormat="1" ht="21.95" customHeight="1" x14ac:dyDescent="0.15"/>
    <row r="46640" spans="3:3" s="8" customFormat="1" ht="21.95" customHeight="1" x14ac:dyDescent="0.15">
      <c r="C46640" s="101"/>
    </row>
    <row r="46641" spans="3:3" s="8" customFormat="1" ht="21.95" customHeight="1" x14ac:dyDescent="0.15">
      <c r="C46641" s="101"/>
    </row>
    <row r="46642" spans="3:3" s="8" customFormat="1" ht="21.95" customHeight="1" x14ac:dyDescent="0.15"/>
    <row r="46643" spans="3:3" s="8" customFormat="1" ht="21.95" customHeight="1" x14ac:dyDescent="0.15"/>
    <row r="46644" spans="3:3" s="8" customFormat="1" ht="21.95" customHeight="1" x14ac:dyDescent="0.15"/>
    <row r="46645" spans="3:3" s="8" customFormat="1" ht="21.95" customHeight="1" x14ac:dyDescent="0.15"/>
    <row r="46646" spans="3:3" s="8" customFormat="1" ht="21.95" customHeight="1" x14ac:dyDescent="0.15"/>
    <row r="46647" spans="3:3" s="8" customFormat="1" ht="21.95" customHeight="1" x14ac:dyDescent="0.15"/>
    <row r="46648" spans="3:3" s="8" customFormat="1" ht="21.95" customHeight="1" x14ac:dyDescent="0.15"/>
    <row r="46649" spans="3:3" s="9" customFormat="1" ht="21.95" customHeight="1" x14ac:dyDescent="0.15"/>
    <row r="46650" spans="3:3" s="9" customFormat="1" ht="21.95" customHeight="1" x14ac:dyDescent="0.15"/>
    <row r="46651" spans="3:3" s="9" customFormat="1" ht="21.95" customHeight="1" x14ac:dyDescent="0.15"/>
    <row r="46652" spans="3:3" s="9" customFormat="1" ht="21.95" customHeight="1" x14ac:dyDescent="0.15"/>
    <row r="46653" spans="3:3" s="8" customFormat="1" ht="21.95" customHeight="1" x14ac:dyDescent="0.15"/>
    <row r="46654" spans="3:3" s="8" customFormat="1" ht="21.95" customHeight="1" x14ac:dyDescent="0.15"/>
    <row r="46655" spans="3:3" s="8" customFormat="1" ht="21.95" customHeight="1" x14ac:dyDescent="0.15"/>
    <row r="46656" spans="3:3" s="8" customFormat="1" ht="21.95" customHeight="1" x14ac:dyDescent="0.15"/>
    <row r="46657" s="8" customFormat="1" ht="21.95" customHeight="1" x14ac:dyDescent="0.15"/>
    <row r="46658" s="8" customFormat="1" ht="21.95" customHeight="1" x14ac:dyDescent="0.15"/>
    <row r="46659" s="8" customFormat="1" ht="21.95" customHeight="1" x14ac:dyDescent="0.15"/>
    <row r="46660" s="8" customFormat="1" ht="21.95" customHeight="1" x14ac:dyDescent="0.15"/>
    <row r="46661" s="8" customFormat="1" ht="21.95" customHeight="1" x14ac:dyDescent="0.15"/>
    <row r="46662" s="8" customFormat="1" ht="21.95" customHeight="1" x14ac:dyDescent="0.15"/>
    <row r="46663" s="8" customFormat="1" ht="21.95" customHeight="1" x14ac:dyDescent="0.15"/>
    <row r="46664" s="8" customFormat="1" ht="32.1" customHeight="1" x14ac:dyDescent="0.15"/>
    <row r="46665" s="8" customFormat="1" ht="32.1" customHeight="1" x14ac:dyDescent="0.15"/>
    <row r="46666" s="8" customFormat="1" ht="32.1" customHeight="1" x14ac:dyDescent="0.15"/>
    <row r="46667" s="8" customFormat="1" ht="32.1" customHeight="1" x14ac:dyDescent="0.15"/>
    <row r="46668" s="8" customFormat="1" ht="32.1" customHeight="1" x14ac:dyDescent="0.15"/>
    <row r="46669" s="8" customFormat="1" ht="32.1" customHeight="1" x14ac:dyDescent="0.15"/>
    <row r="46670" s="9" customFormat="1" ht="32.1" customHeight="1" x14ac:dyDescent="0.15"/>
    <row r="46671" s="9" customFormat="1" ht="32.1" customHeight="1" x14ac:dyDescent="0.15"/>
    <row r="46672" s="9" customFormat="1" ht="32.1" customHeight="1" x14ac:dyDescent="0.15"/>
    <row r="46673" s="9" customFormat="1" ht="32.1" customHeight="1" x14ac:dyDescent="0.15"/>
    <row r="46674" s="9" customFormat="1" ht="21.95" customHeight="1" x14ac:dyDescent="0.15"/>
    <row r="46675" s="9" customFormat="1" ht="54" customHeight="1" x14ac:dyDescent="0.15"/>
    <row r="46676" s="9" customFormat="1" ht="21.95" customHeight="1" x14ac:dyDescent="0.15"/>
    <row r="46677" s="9" customFormat="1" ht="21.95" customHeight="1" x14ac:dyDescent="0.15"/>
    <row r="46678" s="9" customFormat="1" ht="21.95" customHeight="1" x14ac:dyDescent="0.15"/>
    <row r="46679" s="9" customFormat="1" ht="21.95" customHeight="1" x14ac:dyDescent="0.15"/>
    <row r="46680" s="9" customFormat="1" ht="21.95" customHeight="1" x14ac:dyDescent="0.15"/>
    <row r="46681" s="9" customFormat="1" ht="21.95" customHeight="1" x14ac:dyDescent="0.15"/>
    <row r="46682" s="9" customFormat="1" ht="21.95" customHeight="1" x14ac:dyDescent="0.15"/>
    <row r="46683" s="9" customFormat="1" ht="21.95" customHeight="1" x14ac:dyDescent="0.15"/>
    <row r="46684" s="9" customFormat="1" ht="21.95" customHeight="1" x14ac:dyDescent="0.15"/>
    <row r="46685" s="9" customFormat="1" ht="21.95" customHeight="1" x14ac:dyDescent="0.15"/>
    <row r="46686" s="9" customFormat="1" ht="21.95" customHeight="1" x14ac:dyDescent="0.15"/>
    <row r="46687" s="9" customFormat="1" ht="21.95" customHeight="1" x14ac:dyDescent="0.15"/>
    <row r="46688" s="9" customFormat="1" ht="21.95" customHeight="1" x14ac:dyDescent="0.15"/>
    <row r="46689" s="9" customFormat="1" ht="21.95" customHeight="1" x14ac:dyDescent="0.15"/>
    <row r="46690" s="9" customFormat="1" ht="21.95" customHeight="1" x14ac:dyDescent="0.15"/>
    <row r="46691" s="9" customFormat="1" ht="21.95" customHeight="1" x14ac:dyDescent="0.15"/>
    <row r="46692" s="9" customFormat="1" ht="21.95" customHeight="1" x14ac:dyDescent="0.15"/>
    <row r="46693" s="9" customFormat="1" ht="21.95" customHeight="1" x14ac:dyDescent="0.15"/>
    <row r="46694" s="9" customFormat="1" ht="21.95" customHeight="1" x14ac:dyDescent="0.15"/>
    <row r="46695" s="9" customFormat="1" ht="21.95" customHeight="1" x14ac:dyDescent="0.15"/>
    <row r="46696" s="9" customFormat="1" ht="21.95" customHeight="1" x14ac:dyDescent="0.15"/>
    <row r="46697" s="9" customFormat="1" ht="21.95" customHeight="1" x14ac:dyDescent="0.15"/>
    <row r="46698" s="9" customFormat="1" ht="21.95" customHeight="1" x14ac:dyDescent="0.15"/>
    <row r="46699" s="9" customFormat="1" ht="21.95" customHeight="1" x14ac:dyDescent="0.15"/>
    <row r="46700" s="9" customFormat="1" ht="21.95" customHeight="1" x14ac:dyDescent="0.15"/>
    <row r="46701" s="9" customFormat="1" ht="21.95" customHeight="1" x14ac:dyDescent="0.15"/>
    <row r="46702" s="9" customFormat="1" ht="21.95" customHeight="1" x14ac:dyDescent="0.15"/>
    <row r="46703" s="9" customFormat="1" ht="21.95" customHeight="1" x14ac:dyDescent="0.15"/>
    <row r="46704" s="9" customFormat="1" ht="21.95" customHeight="1" x14ac:dyDescent="0.15"/>
    <row r="46705" s="9" customFormat="1" ht="21.95" customHeight="1" x14ac:dyDescent="0.15"/>
    <row r="46706" s="9" customFormat="1" ht="21.95" customHeight="1" x14ac:dyDescent="0.15"/>
    <row r="46707" s="9" customFormat="1" ht="21.95" customHeight="1" x14ac:dyDescent="0.15"/>
    <row r="46708" s="9" customFormat="1" ht="21.95" customHeight="1" x14ac:dyDescent="0.15"/>
    <row r="46709" s="9" customFormat="1" ht="21.95" customHeight="1" x14ac:dyDescent="0.15"/>
    <row r="46710" s="9" customFormat="1" ht="21.95" customHeight="1" x14ac:dyDescent="0.15"/>
    <row r="46711" s="9" customFormat="1" ht="21.95" customHeight="1" x14ac:dyDescent="0.15"/>
    <row r="46712" s="9" customFormat="1" ht="21.95" customHeight="1" x14ac:dyDescent="0.15"/>
    <row r="46713" s="9" customFormat="1" ht="21.95" customHeight="1" x14ac:dyDescent="0.15"/>
    <row r="46714" s="9" customFormat="1" ht="21.95" customHeight="1" x14ac:dyDescent="0.15"/>
    <row r="46715" s="9" customFormat="1" ht="21.95" customHeight="1" x14ac:dyDescent="0.15"/>
    <row r="46716" s="9" customFormat="1" ht="21.95" customHeight="1" x14ac:dyDescent="0.15"/>
    <row r="46717" s="9" customFormat="1" ht="21.95" customHeight="1" x14ac:dyDescent="0.15"/>
    <row r="46718" s="9" customFormat="1" ht="21.95" customHeight="1" x14ac:dyDescent="0.15"/>
    <row r="46719" s="9" customFormat="1" ht="21.95" customHeight="1" x14ac:dyDescent="0.15"/>
    <row r="46720" s="9" customFormat="1" ht="21.95" customHeight="1" x14ac:dyDescent="0.15"/>
    <row r="46721" s="9" customFormat="1" ht="21.95" customHeight="1" x14ac:dyDescent="0.15"/>
    <row r="46722" s="9" customFormat="1" ht="21.95" customHeight="1" x14ac:dyDescent="0.15"/>
    <row r="46723" s="9" customFormat="1" ht="21.95" customHeight="1" x14ac:dyDescent="0.15"/>
    <row r="46724" s="9" customFormat="1" ht="21.95" customHeight="1" x14ac:dyDescent="0.15"/>
    <row r="46725" s="9" customFormat="1" ht="21.95" customHeight="1" x14ac:dyDescent="0.15"/>
    <row r="46726" s="9" customFormat="1" ht="35.1" customHeight="1" x14ac:dyDescent="0.15"/>
    <row r="46727" s="9" customFormat="1" ht="21.95" customHeight="1" x14ac:dyDescent="0.15"/>
    <row r="46728" s="9" customFormat="1" ht="21.95" customHeight="1" x14ac:dyDescent="0.15"/>
    <row r="46729" s="9" customFormat="1" ht="21.95" customHeight="1" x14ac:dyDescent="0.15"/>
    <row r="46730" s="9" customFormat="1" ht="21.95" customHeight="1" x14ac:dyDescent="0.15"/>
    <row r="46731" s="9" customFormat="1" ht="21.95" customHeight="1" x14ac:dyDescent="0.15"/>
    <row r="46732" s="9" customFormat="1" ht="21.95" customHeight="1" x14ac:dyDescent="0.15"/>
    <row r="46733" s="9" customFormat="1" ht="21.95" customHeight="1" x14ac:dyDescent="0.15"/>
    <row r="46734" s="9" customFormat="1" ht="21.95" customHeight="1" x14ac:dyDescent="0.15"/>
    <row r="46735" s="9" customFormat="1" ht="21.95" customHeight="1" x14ac:dyDescent="0.15"/>
    <row r="46736" s="9" customFormat="1" ht="21.95" customHeight="1" x14ac:dyDescent="0.15"/>
    <row r="46737" spans="3:3" s="9" customFormat="1" ht="21.95" customHeight="1" x14ac:dyDescent="0.15"/>
    <row r="46738" spans="3:3" s="9" customFormat="1" ht="21.95" customHeight="1" x14ac:dyDescent="0.15"/>
    <row r="46739" spans="3:3" s="9" customFormat="1" ht="21.95" customHeight="1" x14ac:dyDescent="0.15"/>
    <row r="46740" spans="3:3" s="9" customFormat="1" ht="21.95" customHeight="1" x14ac:dyDescent="0.15"/>
    <row r="46741" spans="3:3" s="9" customFormat="1" ht="21.95" customHeight="1" x14ac:dyDescent="0.15"/>
    <row r="46742" spans="3:3" s="9" customFormat="1" ht="21.95" customHeight="1" x14ac:dyDescent="0.15"/>
    <row r="46743" spans="3:3" s="9" customFormat="1" ht="21.95" customHeight="1" x14ac:dyDescent="0.15"/>
    <row r="46744" spans="3:3" s="9" customFormat="1" ht="21.95" customHeight="1" x14ac:dyDescent="0.15"/>
    <row r="46745" spans="3:3" s="9" customFormat="1" ht="21.95" customHeight="1" x14ac:dyDescent="0.15"/>
    <row r="46746" spans="3:3" s="9" customFormat="1" ht="21.95" customHeight="1" x14ac:dyDescent="0.15"/>
    <row r="46747" spans="3:3" s="9" customFormat="1" ht="21.95" customHeight="1" x14ac:dyDescent="0.15"/>
    <row r="46748" spans="3:3" s="9" customFormat="1" ht="21.95" customHeight="1" x14ac:dyDescent="0.15"/>
    <row r="46749" spans="3:3" s="9" customFormat="1" ht="21.95" customHeight="1" x14ac:dyDescent="0.15"/>
    <row r="46750" spans="3:3" s="8" customFormat="1" ht="21.95" customHeight="1" x14ac:dyDescent="0.15"/>
    <row r="46751" spans="3:3" s="8" customFormat="1" ht="21.95" customHeight="1" x14ac:dyDescent="0.15"/>
    <row r="46752" spans="3:3" s="8" customFormat="1" ht="21.95" customHeight="1" x14ac:dyDescent="0.15">
      <c r="C46752" s="101"/>
    </row>
    <row r="46753" spans="3:3" s="8" customFormat="1" ht="21.95" customHeight="1" x14ac:dyDescent="0.15">
      <c r="C46753" s="101"/>
    </row>
    <row r="46754" spans="3:3" s="8" customFormat="1" ht="21.95" customHeight="1" x14ac:dyDescent="0.15"/>
    <row r="46755" spans="3:3" s="8" customFormat="1" ht="21.95" customHeight="1" x14ac:dyDescent="0.15"/>
    <row r="46756" spans="3:3" s="8" customFormat="1" ht="21.95" customHeight="1" x14ac:dyDescent="0.15"/>
    <row r="46757" spans="3:3" s="8" customFormat="1" ht="21.95" customHeight="1" x14ac:dyDescent="0.15"/>
    <row r="46758" spans="3:3" s="8" customFormat="1" ht="21.95" customHeight="1" x14ac:dyDescent="0.15"/>
    <row r="46759" spans="3:3" s="8" customFormat="1" ht="21.95" customHeight="1" x14ac:dyDescent="0.15"/>
    <row r="46760" spans="3:3" s="8" customFormat="1" ht="21.95" customHeight="1" x14ac:dyDescent="0.15"/>
    <row r="46761" spans="3:3" s="9" customFormat="1" ht="21.95" customHeight="1" x14ac:dyDescent="0.15"/>
    <row r="46762" spans="3:3" s="9" customFormat="1" ht="21.95" customHeight="1" x14ac:dyDescent="0.15"/>
    <row r="46763" spans="3:3" s="9" customFormat="1" ht="21.95" customHeight="1" x14ac:dyDescent="0.15"/>
    <row r="46764" spans="3:3" s="9" customFormat="1" ht="21.95" customHeight="1" x14ac:dyDescent="0.15"/>
    <row r="46765" spans="3:3" s="8" customFormat="1" ht="21.95" customHeight="1" x14ac:dyDescent="0.15"/>
    <row r="46766" spans="3:3" s="8" customFormat="1" ht="21.95" customHeight="1" x14ac:dyDescent="0.15"/>
    <row r="46767" spans="3:3" s="8" customFormat="1" ht="21.95" customHeight="1" x14ac:dyDescent="0.15"/>
    <row r="46768" spans="3:3" s="8" customFormat="1" ht="21.95" customHeight="1" x14ac:dyDescent="0.15"/>
    <row r="46769" s="8" customFormat="1" ht="21.95" customHeight="1" x14ac:dyDescent="0.15"/>
    <row r="46770" s="8" customFormat="1" ht="21.95" customHeight="1" x14ac:dyDescent="0.15"/>
    <row r="46771" s="8" customFormat="1" ht="21.95" customHeight="1" x14ac:dyDescent="0.15"/>
    <row r="46772" s="8" customFormat="1" ht="21.95" customHeight="1" x14ac:dyDescent="0.15"/>
    <row r="46773" s="8" customFormat="1" ht="21.95" customHeight="1" x14ac:dyDescent="0.15"/>
    <row r="46774" s="8" customFormat="1" ht="21.95" customHeight="1" x14ac:dyDescent="0.15"/>
    <row r="46775" s="8" customFormat="1" ht="21.95" customHeight="1" x14ac:dyDescent="0.15"/>
    <row r="46776" s="8" customFormat="1" ht="32.1" customHeight="1" x14ac:dyDescent="0.15"/>
    <row r="46777" s="8" customFormat="1" ht="32.1" customHeight="1" x14ac:dyDescent="0.15"/>
    <row r="46778" s="8" customFormat="1" ht="32.1" customHeight="1" x14ac:dyDescent="0.15"/>
    <row r="46779" s="8" customFormat="1" ht="32.1" customHeight="1" x14ac:dyDescent="0.15"/>
    <row r="46780" s="8" customFormat="1" ht="32.1" customHeight="1" x14ac:dyDescent="0.15"/>
    <row r="46781" s="8" customFormat="1" ht="32.1" customHeight="1" x14ac:dyDescent="0.15"/>
    <row r="46782" s="9" customFormat="1" ht="32.1" customHeight="1" x14ac:dyDescent="0.15"/>
    <row r="46783" s="9" customFormat="1" ht="32.1" customHeight="1" x14ac:dyDescent="0.15"/>
    <row r="46784" s="9" customFormat="1" ht="32.1" customHeight="1" x14ac:dyDescent="0.15"/>
    <row r="46785" s="9" customFormat="1" ht="32.1" customHeight="1" x14ac:dyDescent="0.15"/>
    <row r="46786" s="9" customFormat="1" ht="21.95" customHeight="1" x14ac:dyDescent="0.15"/>
    <row r="46787" s="9" customFormat="1" ht="54" customHeight="1" x14ac:dyDescent="0.15"/>
    <row r="46788" s="9" customFormat="1" ht="21.95" customHeight="1" x14ac:dyDescent="0.15"/>
    <row r="46789" s="9" customFormat="1" ht="21.95" customHeight="1" x14ac:dyDescent="0.15"/>
    <row r="46790" s="9" customFormat="1" ht="21.95" customHeight="1" x14ac:dyDescent="0.15"/>
    <row r="46791" s="9" customFormat="1" ht="21.95" customHeight="1" x14ac:dyDescent="0.15"/>
    <row r="46792" s="9" customFormat="1" ht="21.95" customHeight="1" x14ac:dyDescent="0.15"/>
    <row r="46793" s="9" customFormat="1" ht="21.95" customHeight="1" x14ac:dyDescent="0.15"/>
    <row r="46794" s="9" customFormat="1" ht="21.95" customHeight="1" x14ac:dyDescent="0.15"/>
    <row r="46795" s="9" customFormat="1" ht="21.95" customHeight="1" x14ac:dyDescent="0.15"/>
    <row r="46796" s="9" customFormat="1" ht="21.95" customHeight="1" x14ac:dyDescent="0.15"/>
    <row r="46797" s="9" customFormat="1" ht="21.95" customHeight="1" x14ac:dyDescent="0.15"/>
    <row r="46798" s="9" customFormat="1" ht="21.95" customHeight="1" x14ac:dyDescent="0.15"/>
    <row r="46799" s="9" customFormat="1" ht="21.95" customHeight="1" x14ac:dyDescent="0.15"/>
    <row r="46800" s="9" customFormat="1" ht="21.95" customHeight="1" x14ac:dyDescent="0.15"/>
    <row r="46801" s="9" customFormat="1" ht="21.95" customHeight="1" x14ac:dyDescent="0.15"/>
    <row r="46802" s="9" customFormat="1" ht="21.95" customHeight="1" x14ac:dyDescent="0.15"/>
    <row r="46803" s="9" customFormat="1" ht="21.95" customHeight="1" x14ac:dyDescent="0.15"/>
    <row r="46804" s="9" customFormat="1" ht="21.95" customHeight="1" x14ac:dyDescent="0.15"/>
    <row r="46805" s="9" customFormat="1" ht="21.95" customHeight="1" x14ac:dyDescent="0.15"/>
    <row r="46806" s="9" customFormat="1" ht="21.95" customHeight="1" x14ac:dyDescent="0.15"/>
    <row r="46807" s="9" customFormat="1" ht="21.95" customHeight="1" x14ac:dyDescent="0.15"/>
    <row r="46808" s="9" customFormat="1" ht="21.95" customHeight="1" x14ac:dyDescent="0.15"/>
    <row r="46809" s="9" customFormat="1" ht="21.95" customHeight="1" x14ac:dyDescent="0.15"/>
    <row r="46810" s="9" customFormat="1" ht="21.95" customHeight="1" x14ac:dyDescent="0.15"/>
    <row r="46811" s="9" customFormat="1" ht="21.95" customHeight="1" x14ac:dyDescent="0.15"/>
    <row r="46812" s="9" customFormat="1" ht="21.95" customHeight="1" x14ac:dyDescent="0.15"/>
    <row r="46813" s="9" customFormat="1" ht="21.95" customHeight="1" x14ac:dyDescent="0.15"/>
    <row r="46814" s="9" customFormat="1" ht="21.95" customHeight="1" x14ac:dyDescent="0.15"/>
    <row r="46815" s="9" customFormat="1" ht="21.95" customHeight="1" x14ac:dyDescent="0.15"/>
    <row r="46816" s="9" customFormat="1" ht="21.95" customHeight="1" x14ac:dyDescent="0.15"/>
    <row r="46817" s="9" customFormat="1" ht="21.95" customHeight="1" x14ac:dyDescent="0.15"/>
    <row r="46818" s="9" customFormat="1" ht="21.95" customHeight="1" x14ac:dyDescent="0.15"/>
    <row r="46819" s="9" customFormat="1" ht="21.95" customHeight="1" x14ac:dyDescent="0.15"/>
    <row r="46820" s="9" customFormat="1" ht="21.95" customHeight="1" x14ac:dyDescent="0.15"/>
    <row r="46821" s="9" customFormat="1" ht="21.95" customHeight="1" x14ac:dyDescent="0.15"/>
    <row r="46822" s="9" customFormat="1" ht="21.95" customHeight="1" x14ac:dyDescent="0.15"/>
    <row r="46823" s="9" customFormat="1" ht="21.95" customHeight="1" x14ac:dyDescent="0.15"/>
    <row r="46824" s="9" customFormat="1" ht="21.95" customHeight="1" x14ac:dyDescent="0.15"/>
    <row r="46825" s="9" customFormat="1" ht="21.95" customHeight="1" x14ac:dyDescent="0.15"/>
    <row r="46826" s="9" customFormat="1" ht="21.95" customHeight="1" x14ac:dyDescent="0.15"/>
    <row r="46827" s="9" customFormat="1" ht="21.95" customHeight="1" x14ac:dyDescent="0.15"/>
    <row r="46828" s="9" customFormat="1" ht="21.95" customHeight="1" x14ac:dyDescent="0.15"/>
    <row r="46829" s="9" customFormat="1" ht="21.95" customHeight="1" x14ac:dyDescent="0.15"/>
    <row r="46830" s="9" customFormat="1" ht="21.95" customHeight="1" x14ac:dyDescent="0.15"/>
    <row r="46831" s="9" customFormat="1" ht="21.95" customHeight="1" x14ac:dyDescent="0.15"/>
    <row r="46832" s="9" customFormat="1" ht="21.95" customHeight="1" x14ac:dyDescent="0.15"/>
    <row r="46833" s="9" customFormat="1" ht="21.95" customHeight="1" x14ac:dyDescent="0.15"/>
    <row r="46834" s="9" customFormat="1" ht="21.95" customHeight="1" x14ac:dyDescent="0.15"/>
    <row r="46835" s="9" customFormat="1" ht="21.95" customHeight="1" x14ac:dyDescent="0.15"/>
    <row r="46836" s="9" customFormat="1" ht="21.95" customHeight="1" x14ac:dyDescent="0.15"/>
    <row r="46837" s="9" customFormat="1" ht="21.95" customHeight="1" x14ac:dyDescent="0.15"/>
    <row r="46838" s="9" customFormat="1" ht="35.1" customHeight="1" x14ac:dyDescent="0.15"/>
    <row r="46839" s="9" customFormat="1" ht="21.95" customHeight="1" x14ac:dyDescent="0.15"/>
    <row r="46840" s="9" customFormat="1" ht="21.95" customHeight="1" x14ac:dyDescent="0.15"/>
    <row r="46841" s="9" customFormat="1" ht="21.95" customHeight="1" x14ac:dyDescent="0.15"/>
    <row r="46842" s="9" customFormat="1" ht="21.95" customHeight="1" x14ac:dyDescent="0.15"/>
    <row r="46843" s="9" customFormat="1" ht="21.95" customHeight="1" x14ac:dyDescent="0.15"/>
    <row r="46844" s="9" customFormat="1" ht="21.95" customHeight="1" x14ac:dyDescent="0.15"/>
    <row r="46845" s="9" customFormat="1" ht="21.95" customHeight="1" x14ac:dyDescent="0.15"/>
    <row r="46846" s="9" customFormat="1" ht="21.95" customHeight="1" x14ac:dyDescent="0.15"/>
    <row r="46847" s="9" customFormat="1" ht="21.95" customHeight="1" x14ac:dyDescent="0.15"/>
    <row r="46848" s="9" customFormat="1" ht="21.95" customHeight="1" x14ac:dyDescent="0.15"/>
    <row r="46849" spans="3:3" s="9" customFormat="1" ht="21.95" customHeight="1" x14ac:dyDescent="0.15"/>
    <row r="46850" spans="3:3" s="9" customFormat="1" ht="21.95" customHeight="1" x14ac:dyDescent="0.15"/>
    <row r="46851" spans="3:3" s="9" customFormat="1" ht="21.95" customHeight="1" x14ac:dyDescent="0.15"/>
    <row r="46852" spans="3:3" s="9" customFormat="1" ht="21.95" customHeight="1" x14ac:dyDescent="0.15"/>
    <row r="46853" spans="3:3" s="9" customFormat="1" ht="21.95" customHeight="1" x14ac:dyDescent="0.15"/>
    <row r="46854" spans="3:3" s="9" customFormat="1" ht="21.95" customHeight="1" x14ac:dyDescent="0.15"/>
    <row r="46855" spans="3:3" s="9" customFormat="1" ht="21.95" customHeight="1" x14ac:dyDescent="0.15"/>
    <row r="46856" spans="3:3" s="9" customFormat="1" ht="21.95" customHeight="1" x14ac:dyDescent="0.15"/>
    <row r="46857" spans="3:3" s="9" customFormat="1" ht="21.95" customHeight="1" x14ac:dyDescent="0.15"/>
    <row r="46858" spans="3:3" s="9" customFormat="1" ht="21.95" customHeight="1" x14ac:dyDescent="0.15"/>
    <row r="46859" spans="3:3" s="9" customFormat="1" ht="21.95" customHeight="1" x14ac:dyDescent="0.15"/>
    <row r="46860" spans="3:3" s="9" customFormat="1" ht="21.95" customHeight="1" x14ac:dyDescent="0.15"/>
    <row r="46861" spans="3:3" s="9" customFormat="1" ht="21.95" customHeight="1" x14ac:dyDescent="0.15"/>
    <row r="46862" spans="3:3" s="8" customFormat="1" ht="21.95" customHeight="1" x14ac:dyDescent="0.15"/>
    <row r="46863" spans="3:3" s="8" customFormat="1" ht="21.95" customHeight="1" x14ac:dyDescent="0.15"/>
    <row r="46864" spans="3:3" s="8" customFormat="1" ht="21.95" customHeight="1" x14ac:dyDescent="0.15">
      <c r="C46864" s="101"/>
    </row>
    <row r="46865" spans="3:3" s="8" customFormat="1" ht="21.95" customHeight="1" x14ac:dyDescent="0.15">
      <c r="C46865" s="101"/>
    </row>
    <row r="46866" spans="3:3" s="8" customFormat="1" ht="21.95" customHeight="1" x14ac:dyDescent="0.15"/>
    <row r="46867" spans="3:3" s="8" customFormat="1" ht="21.95" customHeight="1" x14ac:dyDescent="0.15"/>
    <row r="46868" spans="3:3" s="8" customFormat="1" ht="21.95" customHeight="1" x14ac:dyDescent="0.15"/>
    <row r="46869" spans="3:3" s="8" customFormat="1" ht="21.95" customHeight="1" x14ac:dyDescent="0.15"/>
    <row r="46870" spans="3:3" s="8" customFormat="1" ht="21.95" customHeight="1" x14ac:dyDescent="0.15"/>
    <row r="46871" spans="3:3" s="8" customFormat="1" ht="21.95" customHeight="1" x14ac:dyDescent="0.15"/>
    <row r="46872" spans="3:3" s="8" customFormat="1" ht="21.95" customHeight="1" x14ac:dyDescent="0.15"/>
    <row r="46873" spans="3:3" s="9" customFormat="1" ht="21.95" customHeight="1" x14ac:dyDescent="0.15"/>
    <row r="46874" spans="3:3" s="9" customFormat="1" ht="21.95" customHeight="1" x14ac:dyDescent="0.15"/>
    <row r="46875" spans="3:3" s="9" customFormat="1" ht="21.95" customHeight="1" x14ac:dyDescent="0.15"/>
    <row r="46876" spans="3:3" s="9" customFormat="1" ht="21.95" customHeight="1" x14ac:dyDescent="0.15"/>
    <row r="46877" spans="3:3" s="8" customFormat="1" ht="21.95" customHeight="1" x14ac:dyDescent="0.15"/>
    <row r="46878" spans="3:3" s="8" customFormat="1" ht="21.95" customHeight="1" x14ac:dyDescent="0.15"/>
    <row r="46879" spans="3:3" s="8" customFormat="1" ht="21.95" customHeight="1" x14ac:dyDescent="0.15"/>
    <row r="46880" spans="3:3" s="8" customFormat="1" ht="21.95" customHeight="1" x14ac:dyDescent="0.15"/>
    <row r="46881" s="8" customFormat="1" ht="21.95" customHeight="1" x14ac:dyDescent="0.15"/>
    <row r="46882" s="8" customFormat="1" ht="21.95" customHeight="1" x14ac:dyDescent="0.15"/>
    <row r="46883" s="8" customFormat="1" ht="21.95" customHeight="1" x14ac:dyDescent="0.15"/>
    <row r="46884" s="8" customFormat="1" ht="21.95" customHeight="1" x14ac:dyDescent="0.15"/>
    <row r="46885" s="8" customFormat="1" ht="21.95" customHeight="1" x14ac:dyDescent="0.15"/>
    <row r="46886" s="8" customFormat="1" ht="21.95" customHeight="1" x14ac:dyDescent="0.15"/>
    <row r="46887" s="8" customFormat="1" ht="21.95" customHeight="1" x14ac:dyDescent="0.15"/>
    <row r="46888" s="8" customFormat="1" ht="32.1" customHeight="1" x14ac:dyDescent="0.15"/>
    <row r="46889" s="8" customFormat="1" ht="32.1" customHeight="1" x14ac:dyDescent="0.15"/>
    <row r="46890" s="8" customFormat="1" ht="32.1" customHeight="1" x14ac:dyDescent="0.15"/>
    <row r="46891" s="8" customFormat="1" ht="32.1" customHeight="1" x14ac:dyDescent="0.15"/>
    <row r="46892" s="8" customFormat="1" ht="32.1" customHeight="1" x14ac:dyDescent="0.15"/>
    <row r="46893" s="8" customFormat="1" ht="32.1" customHeight="1" x14ac:dyDescent="0.15"/>
    <row r="46894" s="9" customFormat="1" ht="32.1" customHeight="1" x14ac:dyDescent="0.15"/>
    <row r="46895" s="9" customFormat="1" ht="32.1" customHeight="1" x14ac:dyDescent="0.15"/>
    <row r="46896" s="9" customFormat="1" ht="32.1" customHeight="1" x14ac:dyDescent="0.15"/>
    <row r="46897" s="9" customFormat="1" ht="32.1" customHeight="1" x14ac:dyDescent="0.15"/>
    <row r="46898" s="9" customFormat="1" ht="21.95" customHeight="1" x14ac:dyDescent="0.15"/>
    <row r="46899" s="9" customFormat="1" ht="54" customHeight="1" x14ac:dyDescent="0.15"/>
    <row r="46900" s="9" customFormat="1" ht="21.95" customHeight="1" x14ac:dyDescent="0.15"/>
    <row r="46901" s="9" customFormat="1" ht="21.95" customHeight="1" x14ac:dyDescent="0.15"/>
    <row r="46902" s="9" customFormat="1" ht="21.95" customHeight="1" x14ac:dyDescent="0.15"/>
    <row r="46903" s="9" customFormat="1" ht="21.95" customHeight="1" x14ac:dyDescent="0.15"/>
    <row r="46904" s="9" customFormat="1" ht="21.95" customHeight="1" x14ac:dyDescent="0.15"/>
    <row r="46905" s="9" customFormat="1" ht="21.95" customHeight="1" x14ac:dyDescent="0.15"/>
    <row r="46906" s="9" customFormat="1" ht="21.95" customHeight="1" x14ac:dyDescent="0.15"/>
    <row r="46907" s="9" customFormat="1" ht="21.95" customHeight="1" x14ac:dyDescent="0.15"/>
    <row r="46908" s="9" customFormat="1" ht="21.95" customHeight="1" x14ac:dyDescent="0.15"/>
    <row r="46909" s="9" customFormat="1" ht="21.95" customHeight="1" x14ac:dyDescent="0.15"/>
    <row r="46910" s="9" customFormat="1" ht="21.95" customHeight="1" x14ac:dyDescent="0.15"/>
    <row r="46911" s="9" customFormat="1" ht="21.95" customHeight="1" x14ac:dyDescent="0.15"/>
    <row r="46912" s="9" customFormat="1" ht="21.95" customHeight="1" x14ac:dyDescent="0.15"/>
    <row r="46913" s="9" customFormat="1" ht="21.95" customHeight="1" x14ac:dyDescent="0.15"/>
    <row r="46914" s="9" customFormat="1" ht="21.95" customHeight="1" x14ac:dyDescent="0.15"/>
    <row r="46915" s="9" customFormat="1" ht="21.95" customHeight="1" x14ac:dyDescent="0.15"/>
    <row r="46916" s="9" customFormat="1" ht="21.95" customHeight="1" x14ac:dyDescent="0.15"/>
    <row r="46917" s="9" customFormat="1" ht="21.95" customHeight="1" x14ac:dyDescent="0.15"/>
    <row r="46918" s="9" customFormat="1" ht="21.95" customHeight="1" x14ac:dyDescent="0.15"/>
    <row r="46919" s="9" customFormat="1" ht="21.95" customHeight="1" x14ac:dyDescent="0.15"/>
    <row r="46920" s="9" customFormat="1" ht="21.95" customHeight="1" x14ac:dyDescent="0.15"/>
    <row r="46921" s="9" customFormat="1" ht="21.95" customHeight="1" x14ac:dyDescent="0.15"/>
    <row r="46922" s="9" customFormat="1" ht="21.95" customHeight="1" x14ac:dyDescent="0.15"/>
    <row r="46923" s="9" customFormat="1" ht="21.95" customHeight="1" x14ac:dyDescent="0.15"/>
    <row r="46924" s="9" customFormat="1" ht="21.95" customHeight="1" x14ac:dyDescent="0.15"/>
    <row r="46925" s="9" customFormat="1" ht="21.95" customHeight="1" x14ac:dyDescent="0.15"/>
    <row r="46926" s="9" customFormat="1" ht="21.95" customHeight="1" x14ac:dyDescent="0.15"/>
    <row r="46927" s="9" customFormat="1" ht="21.95" customHeight="1" x14ac:dyDescent="0.15"/>
    <row r="46928" s="9" customFormat="1" ht="21.95" customHeight="1" x14ac:dyDescent="0.15"/>
    <row r="46929" s="9" customFormat="1" ht="21.95" customHeight="1" x14ac:dyDescent="0.15"/>
    <row r="46930" s="9" customFormat="1" ht="21.95" customHeight="1" x14ac:dyDescent="0.15"/>
    <row r="46931" s="9" customFormat="1" ht="21.95" customHeight="1" x14ac:dyDescent="0.15"/>
    <row r="46932" s="9" customFormat="1" ht="21.95" customHeight="1" x14ac:dyDescent="0.15"/>
    <row r="46933" s="9" customFormat="1" ht="21.95" customHeight="1" x14ac:dyDescent="0.15"/>
    <row r="46934" s="9" customFormat="1" ht="21.95" customHeight="1" x14ac:dyDescent="0.15"/>
    <row r="46935" s="9" customFormat="1" ht="21.95" customHeight="1" x14ac:dyDescent="0.15"/>
    <row r="46936" s="9" customFormat="1" ht="21.95" customHeight="1" x14ac:dyDescent="0.15"/>
    <row r="46937" s="9" customFormat="1" ht="21.95" customHeight="1" x14ac:dyDescent="0.15"/>
    <row r="46938" s="9" customFormat="1" ht="21.95" customHeight="1" x14ac:dyDescent="0.15"/>
    <row r="46939" s="9" customFormat="1" ht="21.95" customHeight="1" x14ac:dyDescent="0.15"/>
    <row r="46940" s="9" customFormat="1" ht="21.95" customHeight="1" x14ac:dyDescent="0.15"/>
    <row r="46941" s="9" customFormat="1" ht="21.95" customHeight="1" x14ac:dyDescent="0.15"/>
    <row r="46942" s="9" customFormat="1" ht="21.95" customHeight="1" x14ac:dyDescent="0.15"/>
    <row r="46943" s="9" customFormat="1" ht="21.95" customHeight="1" x14ac:dyDescent="0.15"/>
    <row r="46944" s="9" customFormat="1" ht="21.95" customHeight="1" x14ac:dyDescent="0.15"/>
    <row r="46945" s="9" customFormat="1" ht="21.95" customHeight="1" x14ac:dyDescent="0.15"/>
    <row r="46946" s="9" customFormat="1" ht="21.95" customHeight="1" x14ac:dyDescent="0.15"/>
    <row r="46947" s="9" customFormat="1" ht="21.95" customHeight="1" x14ac:dyDescent="0.15"/>
    <row r="46948" s="9" customFormat="1" ht="21.95" customHeight="1" x14ac:dyDescent="0.15"/>
    <row r="46949" s="9" customFormat="1" ht="21.95" customHeight="1" x14ac:dyDescent="0.15"/>
    <row r="46950" s="9" customFormat="1" ht="35.1" customHeight="1" x14ac:dyDescent="0.15"/>
    <row r="46951" s="9" customFormat="1" ht="21.95" customHeight="1" x14ac:dyDescent="0.15"/>
    <row r="46952" s="9" customFormat="1" ht="21.95" customHeight="1" x14ac:dyDescent="0.15"/>
    <row r="46953" s="9" customFormat="1" ht="21.95" customHeight="1" x14ac:dyDescent="0.15"/>
    <row r="46954" s="9" customFormat="1" ht="21.95" customHeight="1" x14ac:dyDescent="0.15"/>
    <row r="46955" s="9" customFormat="1" ht="21.95" customHeight="1" x14ac:dyDescent="0.15"/>
    <row r="46956" s="9" customFormat="1" ht="21.95" customHeight="1" x14ac:dyDescent="0.15"/>
    <row r="46957" s="9" customFormat="1" ht="21.95" customHeight="1" x14ac:dyDescent="0.15"/>
    <row r="46958" s="9" customFormat="1" ht="21.95" customHeight="1" x14ac:dyDescent="0.15"/>
    <row r="46959" s="9" customFormat="1" ht="21.95" customHeight="1" x14ac:dyDescent="0.15"/>
    <row r="46960" s="9" customFormat="1" ht="21.95" customHeight="1" x14ac:dyDescent="0.15"/>
    <row r="46961" spans="3:3" s="9" customFormat="1" ht="21.95" customHeight="1" x14ac:dyDescent="0.15"/>
    <row r="46962" spans="3:3" s="9" customFormat="1" ht="21.95" customHeight="1" x14ac:dyDescent="0.15"/>
    <row r="46963" spans="3:3" s="9" customFormat="1" ht="21.95" customHeight="1" x14ac:dyDescent="0.15"/>
    <row r="46964" spans="3:3" s="9" customFormat="1" ht="21.95" customHeight="1" x14ac:dyDescent="0.15"/>
    <row r="46965" spans="3:3" s="9" customFormat="1" ht="21.95" customHeight="1" x14ac:dyDescent="0.15"/>
    <row r="46966" spans="3:3" s="9" customFormat="1" ht="21.95" customHeight="1" x14ac:dyDescent="0.15"/>
    <row r="46967" spans="3:3" s="9" customFormat="1" ht="21.95" customHeight="1" x14ac:dyDescent="0.15"/>
    <row r="46968" spans="3:3" s="9" customFormat="1" ht="21.95" customHeight="1" x14ac:dyDescent="0.15"/>
    <row r="46969" spans="3:3" s="9" customFormat="1" ht="21.95" customHeight="1" x14ac:dyDescent="0.15"/>
    <row r="46970" spans="3:3" s="9" customFormat="1" ht="21.95" customHeight="1" x14ac:dyDescent="0.15"/>
    <row r="46971" spans="3:3" s="9" customFormat="1" ht="21.95" customHeight="1" x14ac:dyDescent="0.15"/>
    <row r="46972" spans="3:3" s="9" customFormat="1" ht="21.95" customHeight="1" x14ac:dyDescent="0.15"/>
    <row r="46973" spans="3:3" s="9" customFormat="1" ht="21.95" customHeight="1" x14ac:dyDescent="0.15"/>
    <row r="46974" spans="3:3" s="8" customFormat="1" ht="21.95" customHeight="1" x14ac:dyDescent="0.15"/>
    <row r="46975" spans="3:3" s="8" customFormat="1" ht="21.95" customHeight="1" x14ac:dyDescent="0.15"/>
    <row r="46976" spans="3:3" s="8" customFormat="1" ht="21.95" customHeight="1" x14ac:dyDescent="0.15">
      <c r="C46976" s="101"/>
    </row>
    <row r="46977" spans="3:3" s="8" customFormat="1" ht="21.95" customHeight="1" x14ac:dyDescent="0.15">
      <c r="C46977" s="101"/>
    </row>
    <row r="46978" spans="3:3" s="8" customFormat="1" ht="21.95" customHeight="1" x14ac:dyDescent="0.15"/>
    <row r="46979" spans="3:3" s="8" customFormat="1" ht="21.95" customHeight="1" x14ac:dyDescent="0.15"/>
    <row r="46980" spans="3:3" s="8" customFormat="1" ht="21.95" customHeight="1" x14ac:dyDescent="0.15"/>
    <row r="46981" spans="3:3" s="8" customFormat="1" ht="21.95" customHeight="1" x14ac:dyDescent="0.15"/>
    <row r="46982" spans="3:3" s="8" customFormat="1" ht="21.95" customHeight="1" x14ac:dyDescent="0.15"/>
    <row r="46983" spans="3:3" s="8" customFormat="1" ht="21.95" customHeight="1" x14ac:dyDescent="0.15"/>
    <row r="46984" spans="3:3" s="8" customFormat="1" ht="21.95" customHeight="1" x14ac:dyDescent="0.15"/>
    <row r="46985" spans="3:3" s="9" customFormat="1" ht="21.95" customHeight="1" x14ac:dyDescent="0.15"/>
    <row r="46986" spans="3:3" s="9" customFormat="1" ht="21.95" customHeight="1" x14ac:dyDescent="0.15"/>
    <row r="46987" spans="3:3" s="9" customFormat="1" ht="21.95" customHeight="1" x14ac:dyDescent="0.15"/>
    <row r="46988" spans="3:3" s="9" customFormat="1" ht="21.95" customHeight="1" x14ac:dyDescent="0.15"/>
    <row r="46989" spans="3:3" s="8" customFormat="1" ht="21.95" customHeight="1" x14ac:dyDescent="0.15"/>
    <row r="46990" spans="3:3" s="8" customFormat="1" ht="21.95" customHeight="1" x14ac:dyDescent="0.15"/>
    <row r="46991" spans="3:3" s="8" customFormat="1" ht="21.95" customHeight="1" x14ac:dyDescent="0.15"/>
    <row r="46992" spans="3:3" s="8" customFormat="1" ht="21.95" customHeight="1" x14ac:dyDescent="0.15"/>
    <row r="46993" s="8" customFormat="1" ht="21.95" customHeight="1" x14ac:dyDescent="0.15"/>
    <row r="46994" s="8" customFormat="1" ht="21.95" customHeight="1" x14ac:dyDescent="0.15"/>
    <row r="46995" s="8" customFormat="1" ht="21.95" customHeight="1" x14ac:dyDescent="0.15"/>
    <row r="46996" s="8" customFormat="1" ht="21.95" customHeight="1" x14ac:dyDescent="0.15"/>
    <row r="46997" s="8" customFormat="1" ht="21.95" customHeight="1" x14ac:dyDescent="0.15"/>
    <row r="46998" s="8" customFormat="1" ht="21.95" customHeight="1" x14ac:dyDescent="0.15"/>
    <row r="46999" s="8" customFormat="1" ht="21.95" customHeight="1" x14ac:dyDescent="0.15"/>
    <row r="47000" s="8" customFormat="1" ht="32.1" customHeight="1" x14ac:dyDescent="0.15"/>
    <row r="47001" s="8" customFormat="1" ht="32.1" customHeight="1" x14ac:dyDescent="0.15"/>
    <row r="47002" s="8" customFormat="1" ht="32.1" customHeight="1" x14ac:dyDescent="0.15"/>
    <row r="47003" s="8" customFormat="1" ht="32.1" customHeight="1" x14ac:dyDescent="0.15"/>
    <row r="47004" s="8" customFormat="1" ht="32.1" customHeight="1" x14ac:dyDescent="0.15"/>
    <row r="47005" s="8" customFormat="1" ht="32.1" customHeight="1" x14ac:dyDescent="0.15"/>
    <row r="47006" s="9" customFormat="1" ht="32.1" customHeight="1" x14ac:dyDescent="0.15"/>
    <row r="47007" s="9" customFormat="1" ht="32.1" customHeight="1" x14ac:dyDescent="0.15"/>
    <row r="47008" s="9" customFormat="1" ht="32.1" customHeight="1" x14ac:dyDescent="0.15"/>
    <row r="47009" s="9" customFormat="1" ht="32.1" customHeight="1" x14ac:dyDescent="0.15"/>
    <row r="47010" s="9" customFormat="1" ht="21.95" customHeight="1" x14ac:dyDescent="0.15"/>
    <row r="47011" s="9" customFormat="1" ht="54" customHeight="1" x14ac:dyDescent="0.15"/>
    <row r="47012" s="9" customFormat="1" ht="21.95" customHeight="1" x14ac:dyDescent="0.15"/>
    <row r="47013" s="9" customFormat="1" ht="21.95" customHeight="1" x14ac:dyDescent="0.15"/>
    <row r="47014" s="9" customFormat="1" ht="21.95" customHeight="1" x14ac:dyDescent="0.15"/>
    <row r="47015" s="9" customFormat="1" ht="21.95" customHeight="1" x14ac:dyDescent="0.15"/>
    <row r="47016" s="9" customFormat="1" ht="21.95" customHeight="1" x14ac:dyDescent="0.15"/>
    <row r="47017" s="9" customFormat="1" ht="21.95" customHeight="1" x14ac:dyDescent="0.15"/>
    <row r="47018" s="9" customFormat="1" ht="21.95" customHeight="1" x14ac:dyDescent="0.15"/>
    <row r="47019" s="9" customFormat="1" ht="21.95" customHeight="1" x14ac:dyDescent="0.15"/>
    <row r="47020" s="9" customFormat="1" ht="21.95" customHeight="1" x14ac:dyDescent="0.15"/>
    <row r="47021" s="9" customFormat="1" ht="21.95" customHeight="1" x14ac:dyDescent="0.15"/>
    <row r="47022" s="9" customFormat="1" ht="21.95" customHeight="1" x14ac:dyDescent="0.15"/>
    <row r="47023" s="9" customFormat="1" ht="21.95" customHeight="1" x14ac:dyDescent="0.15"/>
    <row r="47024" s="9" customFormat="1" ht="21.95" customHeight="1" x14ac:dyDescent="0.15"/>
    <row r="47025" s="9" customFormat="1" ht="21.95" customHeight="1" x14ac:dyDescent="0.15"/>
    <row r="47026" s="9" customFormat="1" ht="21.95" customHeight="1" x14ac:dyDescent="0.15"/>
    <row r="47027" s="9" customFormat="1" ht="21.95" customHeight="1" x14ac:dyDescent="0.15"/>
    <row r="47028" s="9" customFormat="1" ht="21.95" customHeight="1" x14ac:dyDescent="0.15"/>
    <row r="47029" s="9" customFormat="1" ht="21.95" customHeight="1" x14ac:dyDescent="0.15"/>
    <row r="47030" s="9" customFormat="1" ht="21.95" customHeight="1" x14ac:dyDescent="0.15"/>
    <row r="47031" s="9" customFormat="1" ht="21.95" customHeight="1" x14ac:dyDescent="0.15"/>
    <row r="47032" s="9" customFormat="1" ht="21.95" customHeight="1" x14ac:dyDescent="0.15"/>
    <row r="47033" s="9" customFormat="1" ht="21.95" customHeight="1" x14ac:dyDescent="0.15"/>
    <row r="47034" s="9" customFormat="1" ht="21.95" customHeight="1" x14ac:dyDescent="0.15"/>
    <row r="47035" s="9" customFormat="1" ht="21.95" customHeight="1" x14ac:dyDescent="0.15"/>
    <row r="47036" s="9" customFormat="1" ht="21.95" customHeight="1" x14ac:dyDescent="0.15"/>
    <row r="47037" s="9" customFormat="1" ht="21.95" customHeight="1" x14ac:dyDescent="0.15"/>
    <row r="47038" s="9" customFormat="1" ht="21.95" customHeight="1" x14ac:dyDescent="0.15"/>
    <row r="47039" s="9" customFormat="1" ht="21.95" customHeight="1" x14ac:dyDescent="0.15"/>
    <row r="47040" s="9" customFormat="1" ht="21.95" customHeight="1" x14ac:dyDescent="0.15"/>
    <row r="47041" s="9" customFormat="1" ht="21.95" customHeight="1" x14ac:dyDescent="0.15"/>
    <row r="47042" s="9" customFormat="1" ht="21.95" customHeight="1" x14ac:dyDescent="0.15"/>
    <row r="47043" s="9" customFormat="1" ht="21.95" customHeight="1" x14ac:dyDescent="0.15"/>
    <row r="47044" s="9" customFormat="1" ht="21.95" customHeight="1" x14ac:dyDescent="0.15"/>
    <row r="47045" s="9" customFormat="1" ht="21.95" customHeight="1" x14ac:dyDescent="0.15"/>
    <row r="47046" s="9" customFormat="1" ht="21.95" customHeight="1" x14ac:dyDescent="0.15"/>
    <row r="47047" s="9" customFormat="1" ht="21.95" customHeight="1" x14ac:dyDescent="0.15"/>
    <row r="47048" s="9" customFormat="1" ht="21.95" customHeight="1" x14ac:dyDescent="0.15"/>
    <row r="47049" s="9" customFormat="1" ht="21.95" customHeight="1" x14ac:dyDescent="0.15"/>
    <row r="47050" s="9" customFormat="1" ht="21.95" customHeight="1" x14ac:dyDescent="0.15"/>
    <row r="47051" s="9" customFormat="1" ht="21.95" customHeight="1" x14ac:dyDescent="0.15"/>
    <row r="47052" s="9" customFormat="1" ht="21.95" customHeight="1" x14ac:dyDescent="0.15"/>
    <row r="47053" s="9" customFormat="1" ht="21.95" customHeight="1" x14ac:dyDescent="0.15"/>
    <row r="47054" s="9" customFormat="1" ht="21.95" customHeight="1" x14ac:dyDescent="0.15"/>
    <row r="47055" s="9" customFormat="1" ht="21.95" customHeight="1" x14ac:dyDescent="0.15"/>
    <row r="47056" s="9" customFormat="1" ht="21.95" customHeight="1" x14ac:dyDescent="0.15"/>
    <row r="47057" s="9" customFormat="1" ht="21.95" customHeight="1" x14ac:dyDescent="0.15"/>
    <row r="47058" s="9" customFormat="1" ht="21.95" customHeight="1" x14ac:dyDescent="0.15"/>
    <row r="47059" s="9" customFormat="1" ht="21.95" customHeight="1" x14ac:dyDescent="0.15"/>
    <row r="47060" s="9" customFormat="1" ht="21.95" customHeight="1" x14ac:dyDescent="0.15"/>
    <row r="47061" s="9" customFormat="1" ht="21.95" customHeight="1" x14ac:dyDescent="0.15"/>
    <row r="47062" s="9" customFormat="1" ht="35.1" customHeight="1" x14ac:dyDescent="0.15"/>
    <row r="47063" s="9" customFormat="1" ht="21.95" customHeight="1" x14ac:dyDescent="0.15"/>
    <row r="47064" s="9" customFormat="1" ht="21.95" customHeight="1" x14ac:dyDescent="0.15"/>
    <row r="47065" s="9" customFormat="1" ht="21.95" customHeight="1" x14ac:dyDescent="0.15"/>
    <row r="47066" s="9" customFormat="1" ht="21.95" customHeight="1" x14ac:dyDescent="0.15"/>
    <row r="47067" s="9" customFormat="1" ht="21.95" customHeight="1" x14ac:dyDescent="0.15"/>
    <row r="47068" s="9" customFormat="1" ht="21.95" customHeight="1" x14ac:dyDescent="0.15"/>
    <row r="47069" s="9" customFormat="1" ht="21.95" customHeight="1" x14ac:dyDescent="0.15"/>
    <row r="47070" s="9" customFormat="1" ht="21.95" customHeight="1" x14ac:dyDescent="0.15"/>
    <row r="47071" s="9" customFormat="1" ht="21.95" customHeight="1" x14ac:dyDescent="0.15"/>
    <row r="47072" s="9" customFormat="1" ht="21.95" customHeight="1" x14ac:dyDescent="0.15"/>
    <row r="47073" spans="3:3" s="9" customFormat="1" ht="21.95" customHeight="1" x14ac:dyDescent="0.15"/>
    <row r="47074" spans="3:3" s="9" customFormat="1" ht="21.95" customHeight="1" x14ac:dyDescent="0.15"/>
    <row r="47075" spans="3:3" s="9" customFormat="1" ht="21.95" customHeight="1" x14ac:dyDescent="0.15"/>
    <row r="47076" spans="3:3" s="9" customFormat="1" ht="21.95" customHeight="1" x14ac:dyDescent="0.15"/>
    <row r="47077" spans="3:3" s="9" customFormat="1" ht="21.95" customHeight="1" x14ac:dyDescent="0.15"/>
    <row r="47078" spans="3:3" s="9" customFormat="1" ht="21.95" customHeight="1" x14ac:dyDescent="0.15"/>
    <row r="47079" spans="3:3" s="9" customFormat="1" ht="21.95" customHeight="1" x14ac:dyDescent="0.15"/>
    <row r="47080" spans="3:3" s="9" customFormat="1" ht="21.95" customHeight="1" x14ac:dyDescent="0.15"/>
    <row r="47081" spans="3:3" s="9" customFormat="1" ht="21.95" customHeight="1" x14ac:dyDescent="0.15"/>
    <row r="47082" spans="3:3" s="9" customFormat="1" ht="21.95" customHeight="1" x14ac:dyDescent="0.15"/>
    <row r="47083" spans="3:3" s="9" customFormat="1" ht="21.95" customHeight="1" x14ac:dyDescent="0.15"/>
    <row r="47084" spans="3:3" s="9" customFormat="1" ht="21.95" customHeight="1" x14ac:dyDescent="0.15"/>
    <row r="47085" spans="3:3" s="9" customFormat="1" ht="21.95" customHeight="1" x14ac:dyDescent="0.15"/>
    <row r="47086" spans="3:3" s="8" customFormat="1" ht="21.95" customHeight="1" x14ac:dyDescent="0.15"/>
    <row r="47087" spans="3:3" s="8" customFormat="1" ht="21.95" customHeight="1" x14ac:dyDescent="0.15"/>
    <row r="47088" spans="3:3" s="8" customFormat="1" ht="21.95" customHeight="1" x14ac:dyDescent="0.15">
      <c r="C47088" s="101"/>
    </row>
    <row r="47089" spans="3:3" s="8" customFormat="1" ht="21.95" customHeight="1" x14ac:dyDescent="0.15">
      <c r="C47089" s="101"/>
    </row>
    <row r="47090" spans="3:3" s="8" customFormat="1" ht="21.95" customHeight="1" x14ac:dyDescent="0.15"/>
    <row r="47091" spans="3:3" s="8" customFormat="1" ht="21.95" customHeight="1" x14ac:dyDescent="0.15"/>
    <row r="47092" spans="3:3" s="8" customFormat="1" ht="21.95" customHeight="1" x14ac:dyDescent="0.15"/>
    <row r="47093" spans="3:3" s="8" customFormat="1" ht="21.95" customHeight="1" x14ac:dyDescent="0.15"/>
    <row r="47094" spans="3:3" s="8" customFormat="1" ht="21.95" customHeight="1" x14ac:dyDescent="0.15"/>
    <row r="47095" spans="3:3" s="8" customFormat="1" ht="21.95" customHeight="1" x14ac:dyDescent="0.15"/>
    <row r="47096" spans="3:3" s="8" customFormat="1" ht="21.95" customHeight="1" x14ac:dyDescent="0.15"/>
    <row r="47097" spans="3:3" s="9" customFormat="1" ht="21.95" customHeight="1" x14ac:dyDescent="0.15"/>
    <row r="47098" spans="3:3" s="9" customFormat="1" ht="21.95" customHeight="1" x14ac:dyDescent="0.15"/>
    <row r="47099" spans="3:3" s="9" customFormat="1" ht="21.95" customHeight="1" x14ac:dyDescent="0.15"/>
    <row r="47100" spans="3:3" s="9" customFormat="1" ht="21.95" customHeight="1" x14ac:dyDescent="0.15"/>
    <row r="47101" spans="3:3" s="8" customFormat="1" ht="21.95" customHeight="1" x14ac:dyDescent="0.15"/>
    <row r="47102" spans="3:3" s="8" customFormat="1" ht="21.95" customHeight="1" x14ac:dyDescent="0.15"/>
    <row r="47103" spans="3:3" s="8" customFormat="1" ht="21.95" customHeight="1" x14ac:dyDescent="0.15"/>
    <row r="47104" spans="3:3" s="8" customFormat="1" ht="21.95" customHeight="1" x14ac:dyDescent="0.15"/>
    <row r="47105" s="8" customFormat="1" ht="21.95" customHeight="1" x14ac:dyDescent="0.15"/>
    <row r="47106" s="8" customFormat="1" ht="21.95" customHeight="1" x14ac:dyDescent="0.15"/>
    <row r="47107" s="8" customFormat="1" ht="21.95" customHeight="1" x14ac:dyDescent="0.15"/>
    <row r="47108" s="8" customFormat="1" ht="21.95" customHeight="1" x14ac:dyDescent="0.15"/>
    <row r="47109" s="8" customFormat="1" ht="21.95" customHeight="1" x14ac:dyDescent="0.15"/>
    <row r="47110" s="8" customFormat="1" ht="21.95" customHeight="1" x14ac:dyDescent="0.15"/>
    <row r="47111" s="8" customFormat="1" ht="21.95" customHeight="1" x14ac:dyDescent="0.15"/>
    <row r="47112" s="8" customFormat="1" ht="32.1" customHeight="1" x14ac:dyDescent="0.15"/>
    <row r="47113" s="8" customFormat="1" ht="32.1" customHeight="1" x14ac:dyDescent="0.15"/>
    <row r="47114" s="8" customFormat="1" ht="32.1" customHeight="1" x14ac:dyDescent="0.15"/>
    <row r="47115" s="8" customFormat="1" ht="32.1" customHeight="1" x14ac:dyDescent="0.15"/>
    <row r="47116" s="8" customFormat="1" ht="32.1" customHeight="1" x14ac:dyDescent="0.15"/>
    <row r="47117" s="8" customFormat="1" ht="32.1" customHeight="1" x14ac:dyDescent="0.15"/>
    <row r="47118" s="9" customFormat="1" ht="32.1" customHeight="1" x14ac:dyDescent="0.15"/>
    <row r="47119" s="9" customFormat="1" ht="32.1" customHeight="1" x14ac:dyDescent="0.15"/>
    <row r="47120" s="9" customFormat="1" ht="32.1" customHeight="1" x14ac:dyDescent="0.15"/>
    <row r="47121" s="9" customFormat="1" ht="32.1" customHeight="1" x14ac:dyDescent="0.15"/>
    <row r="47122" s="9" customFormat="1" ht="21.95" customHeight="1" x14ac:dyDescent="0.15"/>
    <row r="47123" s="9" customFormat="1" ht="54" customHeight="1" x14ac:dyDescent="0.15"/>
    <row r="47124" s="9" customFormat="1" ht="21.95" customHeight="1" x14ac:dyDescent="0.15"/>
    <row r="47125" s="9" customFormat="1" ht="21.95" customHeight="1" x14ac:dyDescent="0.15"/>
    <row r="47126" s="9" customFormat="1" ht="21.95" customHeight="1" x14ac:dyDescent="0.15"/>
    <row r="47127" s="9" customFormat="1" ht="21.95" customHeight="1" x14ac:dyDescent="0.15"/>
    <row r="47128" s="9" customFormat="1" ht="21.95" customHeight="1" x14ac:dyDescent="0.15"/>
    <row r="47129" s="9" customFormat="1" ht="21.95" customHeight="1" x14ac:dyDescent="0.15"/>
    <row r="47130" s="9" customFormat="1" ht="21.95" customHeight="1" x14ac:dyDescent="0.15"/>
    <row r="47131" s="9" customFormat="1" ht="21.95" customHeight="1" x14ac:dyDescent="0.15"/>
    <row r="47132" s="9" customFormat="1" ht="21.95" customHeight="1" x14ac:dyDescent="0.15"/>
    <row r="47133" s="9" customFormat="1" ht="21.95" customHeight="1" x14ac:dyDescent="0.15"/>
    <row r="47134" s="9" customFormat="1" ht="21.95" customHeight="1" x14ac:dyDescent="0.15"/>
    <row r="47135" s="9" customFormat="1" ht="21.95" customHeight="1" x14ac:dyDescent="0.15"/>
    <row r="47136" s="9" customFormat="1" ht="21.95" customHeight="1" x14ac:dyDescent="0.15"/>
    <row r="47137" s="9" customFormat="1" ht="21.95" customHeight="1" x14ac:dyDescent="0.15"/>
    <row r="47138" s="9" customFormat="1" ht="21.95" customHeight="1" x14ac:dyDescent="0.15"/>
    <row r="47139" s="9" customFormat="1" ht="21.95" customHeight="1" x14ac:dyDescent="0.15"/>
    <row r="47140" s="9" customFormat="1" ht="21.95" customHeight="1" x14ac:dyDescent="0.15"/>
    <row r="47141" s="9" customFormat="1" ht="21.95" customHeight="1" x14ac:dyDescent="0.15"/>
    <row r="47142" s="9" customFormat="1" ht="21.95" customHeight="1" x14ac:dyDescent="0.15"/>
    <row r="47143" s="9" customFormat="1" ht="21.95" customHeight="1" x14ac:dyDescent="0.15"/>
    <row r="47144" s="9" customFormat="1" ht="21.95" customHeight="1" x14ac:dyDescent="0.15"/>
    <row r="47145" s="9" customFormat="1" ht="21.95" customHeight="1" x14ac:dyDescent="0.15"/>
    <row r="47146" s="9" customFormat="1" ht="21.95" customHeight="1" x14ac:dyDescent="0.15"/>
    <row r="47147" s="9" customFormat="1" ht="21.95" customHeight="1" x14ac:dyDescent="0.15"/>
    <row r="47148" s="9" customFormat="1" ht="21.95" customHeight="1" x14ac:dyDescent="0.15"/>
    <row r="47149" s="9" customFormat="1" ht="21.95" customHeight="1" x14ac:dyDescent="0.15"/>
    <row r="47150" s="9" customFormat="1" ht="21.95" customHeight="1" x14ac:dyDescent="0.15"/>
    <row r="47151" s="9" customFormat="1" ht="21.95" customHeight="1" x14ac:dyDescent="0.15"/>
    <row r="47152" s="9" customFormat="1" ht="21.95" customHeight="1" x14ac:dyDescent="0.15"/>
    <row r="47153" s="9" customFormat="1" ht="21.95" customHeight="1" x14ac:dyDescent="0.15"/>
    <row r="47154" s="9" customFormat="1" ht="21.95" customHeight="1" x14ac:dyDescent="0.15"/>
    <row r="47155" s="9" customFormat="1" ht="21.95" customHeight="1" x14ac:dyDescent="0.15"/>
    <row r="47156" s="9" customFormat="1" ht="21.95" customHeight="1" x14ac:dyDescent="0.15"/>
    <row r="47157" s="9" customFormat="1" ht="21.95" customHeight="1" x14ac:dyDescent="0.15"/>
    <row r="47158" s="9" customFormat="1" ht="21.95" customHeight="1" x14ac:dyDescent="0.15"/>
    <row r="47159" s="9" customFormat="1" ht="21.95" customHeight="1" x14ac:dyDescent="0.15"/>
    <row r="47160" s="9" customFormat="1" ht="21.95" customHeight="1" x14ac:dyDescent="0.15"/>
    <row r="47161" s="9" customFormat="1" ht="21.95" customHeight="1" x14ac:dyDescent="0.15"/>
    <row r="47162" s="9" customFormat="1" ht="21.95" customHeight="1" x14ac:dyDescent="0.15"/>
    <row r="47163" s="9" customFormat="1" ht="21.95" customHeight="1" x14ac:dyDescent="0.15"/>
    <row r="47164" s="9" customFormat="1" ht="21.95" customHeight="1" x14ac:dyDescent="0.15"/>
    <row r="47165" s="9" customFormat="1" ht="21.95" customHeight="1" x14ac:dyDescent="0.15"/>
    <row r="47166" s="9" customFormat="1" ht="21.95" customHeight="1" x14ac:dyDescent="0.15"/>
    <row r="47167" s="9" customFormat="1" ht="21.95" customHeight="1" x14ac:dyDescent="0.15"/>
    <row r="47168" s="9" customFormat="1" ht="21.95" customHeight="1" x14ac:dyDescent="0.15"/>
    <row r="47169" s="9" customFormat="1" ht="21.95" customHeight="1" x14ac:dyDescent="0.15"/>
    <row r="47170" s="9" customFormat="1" ht="21.95" customHeight="1" x14ac:dyDescent="0.15"/>
    <row r="47171" s="9" customFormat="1" ht="21.95" customHeight="1" x14ac:dyDescent="0.15"/>
    <row r="47172" s="9" customFormat="1" ht="21.95" customHeight="1" x14ac:dyDescent="0.15"/>
    <row r="47173" s="9" customFormat="1" ht="21.95" customHeight="1" x14ac:dyDescent="0.15"/>
    <row r="47174" s="9" customFormat="1" ht="35.1" customHeight="1" x14ac:dyDescent="0.15"/>
    <row r="47175" s="9" customFormat="1" ht="21.95" customHeight="1" x14ac:dyDescent="0.15"/>
    <row r="47176" s="9" customFormat="1" ht="21.95" customHeight="1" x14ac:dyDescent="0.15"/>
    <row r="47177" s="9" customFormat="1" ht="21.95" customHeight="1" x14ac:dyDescent="0.15"/>
    <row r="47178" s="9" customFormat="1" ht="21.95" customHeight="1" x14ac:dyDescent="0.15"/>
    <row r="47179" s="9" customFormat="1" ht="21.95" customHeight="1" x14ac:dyDescent="0.15"/>
    <row r="47180" s="9" customFormat="1" ht="21.95" customHeight="1" x14ac:dyDescent="0.15"/>
    <row r="47181" s="9" customFormat="1" ht="21.95" customHeight="1" x14ac:dyDescent="0.15"/>
    <row r="47182" s="9" customFormat="1" ht="21.95" customHeight="1" x14ac:dyDescent="0.15"/>
    <row r="47183" s="9" customFormat="1" ht="21.95" customHeight="1" x14ac:dyDescent="0.15"/>
    <row r="47184" s="9" customFormat="1" ht="21.95" customHeight="1" x14ac:dyDescent="0.15"/>
    <row r="47185" spans="3:3" s="9" customFormat="1" ht="21.95" customHeight="1" x14ac:dyDescent="0.15"/>
    <row r="47186" spans="3:3" s="9" customFormat="1" ht="21.95" customHeight="1" x14ac:dyDescent="0.15"/>
    <row r="47187" spans="3:3" s="9" customFormat="1" ht="21.95" customHeight="1" x14ac:dyDescent="0.15"/>
    <row r="47188" spans="3:3" s="9" customFormat="1" ht="21.95" customHeight="1" x14ac:dyDescent="0.15"/>
    <row r="47189" spans="3:3" s="9" customFormat="1" ht="21.95" customHeight="1" x14ac:dyDescent="0.15"/>
    <row r="47190" spans="3:3" s="9" customFormat="1" ht="21.95" customHeight="1" x14ac:dyDescent="0.15"/>
    <row r="47191" spans="3:3" s="9" customFormat="1" ht="21.95" customHeight="1" x14ac:dyDescent="0.15"/>
    <row r="47192" spans="3:3" s="9" customFormat="1" ht="21.95" customHeight="1" x14ac:dyDescent="0.15"/>
    <row r="47193" spans="3:3" s="9" customFormat="1" ht="21.95" customHeight="1" x14ac:dyDescent="0.15"/>
    <row r="47194" spans="3:3" s="9" customFormat="1" ht="21.95" customHeight="1" x14ac:dyDescent="0.15"/>
    <row r="47195" spans="3:3" s="9" customFormat="1" ht="21.95" customHeight="1" x14ac:dyDescent="0.15"/>
    <row r="47196" spans="3:3" s="9" customFormat="1" ht="21.95" customHeight="1" x14ac:dyDescent="0.15"/>
    <row r="47197" spans="3:3" s="9" customFormat="1" ht="21.95" customHeight="1" x14ac:dyDescent="0.15"/>
    <row r="47198" spans="3:3" s="8" customFormat="1" ht="21.95" customHeight="1" x14ac:dyDescent="0.15"/>
    <row r="47199" spans="3:3" s="8" customFormat="1" ht="21.95" customHeight="1" x14ac:dyDescent="0.15"/>
    <row r="47200" spans="3:3" s="8" customFormat="1" ht="21.95" customHeight="1" x14ac:dyDescent="0.15">
      <c r="C47200" s="101"/>
    </row>
    <row r="47201" spans="3:3" s="8" customFormat="1" ht="21.95" customHeight="1" x14ac:dyDescent="0.15">
      <c r="C47201" s="101"/>
    </row>
    <row r="47202" spans="3:3" s="8" customFormat="1" ht="21.95" customHeight="1" x14ac:dyDescent="0.15"/>
    <row r="47203" spans="3:3" s="8" customFormat="1" ht="21.95" customHeight="1" x14ac:dyDescent="0.15"/>
    <row r="47204" spans="3:3" s="8" customFormat="1" ht="21.95" customHeight="1" x14ac:dyDescent="0.15"/>
    <row r="47205" spans="3:3" s="8" customFormat="1" ht="21.95" customHeight="1" x14ac:dyDescent="0.15"/>
    <row r="47206" spans="3:3" s="8" customFormat="1" ht="21.95" customHeight="1" x14ac:dyDescent="0.15"/>
    <row r="47207" spans="3:3" s="8" customFormat="1" ht="21.95" customHeight="1" x14ac:dyDescent="0.15"/>
    <row r="47208" spans="3:3" s="8" customFormat="1" ht="21.95" customHeight="1" x14ac:dyDescent="0.15"/>
    <row r="47209" spans="3:3" s="9" customFormat="1" ht="21.95" customHeight="1" x14ac:dyDescent="0.15"/>
    <row r="47210" spans="3:3" s="9" customFormat="1" ht="21.95" customHeight="1" x14ac:dyDescent="0.15"/>
    <row r="47211" spans="3:3" s="9" customFormat="1" ht="21.95" customHeight="1" x14ac:dyDescent="0.15"/>
    <row r="47212" spans="3:3" s="9" customFormat="1" ht="21.95" customHeight="1" x14ac:dyDescent="0.15"/>
    <row r="47213" spans="3:3" s="8" customFormat="1" ht="21.95" customHeight="1" x14ac:dyDescent="0.15"/>
    <row r="47214" spans="3:3" s="8" customFormat="1" ht="21.95" customHeight="1" x14ac:dyDescent="0.15"/>
    <row r="47215" spans="3:3" s="8" customFormat="1" ht="21.95" customHeight="1" x14ac:dyDescent="0.15"/>
    <row r="47216" spans="3:3" s="8" customFormat="1" ht="21.95" customHeight="1" x14ac:dyDescent="0.15"/>
    <row r="47217" s="8" customFormat="1" ht="21.95" customHeight="1" x14ac:dyDescent="0.15"/>
    <row r="47218" s="8" customFormat="1" ht="21.95" customHeight="1" x14ac:dyDescent="0.15"/>
    <row r="47219" s="8" customFormat="1" ht="21.95" customHeight="1" x14ac:dyDescent="0.15"/>
    <row r="47220" s="8" customFormat="1" ht="21.95" customHeight="1" x14ac:dyDescent="0.15"/>
    <row r="47221" s="8" customFormat="1" ht="21.95" customHeight="1" x14ac:dyDescent="0.15"/>
    <row r="47222" s="8" customFormat="1" ht="21.95" customHeight="1" x14ac:dyDescent="0.15"/>
    <row r="47223" s="8" customFormat="1" ht="21.95" customHeight="1" x14ac:dyDescent="0.15"/>
    <row r="47224" s="8" customFormat="1" ht="32.1" customHeight="1" x14ac:dyDescent="0.15"/>
    <row r="47225" s="8" customFormat="1" ht="32.1" customHeight="1" x14ac:dyDescent="0.15"/>
    <row r="47226" s="8" customFormat="1" ht="32.1" customHeight="1" x14ac:dyDescent="0.15"/>
    <row r="47227" s="8" customFormat="1" ht="32.1" customHeight="1" x14ac:dyDescent="0.15"/>
    <row r="47228" s="8" customFormat="1" ht="32.1" customHeight="1" x14ac:dyDescent="0.15"/>
    <row r="47229" s="8" customFormat="1" ht="32.1" customHeight="1" x14ac:dyDescent="0.15"/>
    <row r="47230" s="9" customFormat="1" ht="32.1" customHeight="1" x14ac:dyDescent="0.15"/>
    <row r="47231" s="9" customFormat="1" ht="32.1" customHeight="1" x14ac:dyDescent="0.15"/>
    <row r="47232" s="9" customFormat="1" ht="32.1" customHeight="1" x14ac:dyDescent="0.15"/>
    <row r="47233" s="9" customFormat="1" ht="32.1" customHeight="1" x14ac:dyDescent="0.15"/>
    <row r="47234" s="9" customFormat="1" ht="21.95" customHeight="1" x14ac:dyDescent="0.15"/>
    <row r="47235" s="9" customFormat="1" ht="54" customHeight="1" x14ac:dyDescent="0.15"/>
    <row r="47236" s="9" customFormat="1" ht="21.95" customHeight="1" x14ac:dyDescent="0.15"/>
    <row r="47237" s="9" customFormat="1" ht="21.95" customHeight="1" x14ac:dyDescent="0.15"/>
    <row r="47238" s="9" customFormat="1" ht="21.95" customHeight="1" x14ac:dyDescent="0.15"/>
    <row r="47239" s="9" customFormat="1" ht="21.95" customHeight="1" x14ac:dyDescent="0.15"/>
    <row r="47240" s="9" customFormat="1" ht="21.95" customHeight="1" x14ac:dyDescent="0.15"/>
    <row r="47241" s="9" customFormat="1" ht="21.95" customHeight="1" x14ac:dyDescent="0.15"/>
    <row r="47242" s="9" customFormat="1" ht="21.95" customHeight="1" x14ac:dyDescent="0.15"/>
    <row r="47243" s="9" customFormat="1" ht="21.95" customHeight="1" x14ac:dyDescent="0.15"/>
    <row r="47244" s="9" customFormat="1" ht="21.95" customHeight="1" x14ac:dyDescent="0.15"/>
    <row r="47245" s="9" customFormat="1" ht="21.95" customHeight="1" x14ac:dyDescent="0.15"/>
    <row r="47246" s="9" customFormat="1" ht="21.95" customHeight="1" x14ac:dyDescent="0.15"/>
    <row r="47247" s="9" customFormat="1" ht="21.95" customHeight="1" x14ac:dyDescent="0.15"/>
    <row r="47248" s="9" customFormat="1" ht="21.95" customHeight="1" x14ac:dyDescent="0.15"/>
    <row r="47249" s="9" customFormat="1" ht="21.95" customHeight="1" x14ac:dyDescent="0.15"/>
    <row r="47250" s="9" customFormat="1" ht="21.95" customHeight="1" x14ac:dyDescent="0.15"/>
    <row r="47251" s="9" customFormat="1" ht="21.95" customHeight="1" x14ac:dyDescent="0.15"/>
    <row r="47252" s="9" customFormat="1" ht="21.95" customHeight="1" x14ac:dyDescent="0.15"/>
    <row r="47253" s="9" customFormat="1" ht="21.95" customHeight="1" x14ac:dyDescent="0.15"/>
    <row r="47254" s="9" customFormat="1" ht="21.95" customHeight="1" x14ac:dyDescent="0.15"/>
    <row r="47255" s="9" customFormat="1" ht="21.95" customHeight="1" x14ac:dyDescent="0.15"/>
    <row r="47256" s="9" customFormat="1" ht="21.95" customHeight="1" x14ac:dyDescent="0.15"/>
    <row r="47257" s="9" customFormat="1" ht="21.95" customHeight="1" x14ac:dyDescent="0.15"/>
    <row r="47258" s="9" customFormat="1" ht="21.95" customHeight="1" x14ac:dyDescent="0.15"/>
    <row r="47259" s="9" customFormat="1" ht="21.95" customHeight="1" x14ac:dyDescent="0.15"/>
    <row r="47260" s="9" customFormat="1" ht="21.95" customHeight="1" x14ac:dyDescent="0.15"/>
    <row r="47261" s="9" customFormat="1" ht="21.95" customHeight="1" x14ac:dyDescent="0.15"/>
    <row r="47262" s="9" customFormat="1" ht="21.95" customHeight="1" x14ac:dyDescent="0.15"/>
    <row r="47263" s="9" customFormat="1" ht="21.95" customHeight="1" x14ac:dyDescent="0.15"/>
    <row r="47264" s="9" customFormat="1" ht="21.95" customHeight="1" x14ac:dyDescent="0.15"/>
    <row r="47265" s="9" customFormat="1" ht="21.95" customHeight="1" x14ac:dyDescent="0.15"/>
    <row r="47266" s="9" customFormat="1" ht="21.95" customHeight="1" x14ac:dyDescent="0.15"/>
    <row r="47267" s="9" customFormat="1" ht="21.95" customHeight="1" x14ac:dyDescent="0.15"/>
    <row r="47268" s="9" customFormat="1" ht="21.95" customHeight="1" x14ac:dyDescent="0.15"/>
    <row r="47269" s="9" customFormat="1" ht="21.95" customHeight="1" x14ac:dyDescent="0.15"/>
    <row r="47270" s="9" customFormat="1" ht="21.95" customHeight="1" x14ac:dyDescent="0.15"/>
    <row r="47271" s="9" customFormat="1" ht="21.95" customHeight="1" x14ac:dyDescent="0.15"/>
    <row r="47272" s="9" customFormat="1" ht="21.95" customHeight="1" x14ac:dyDescent="0.15"/>
    <row r="47273" s="9" customFormat="1" ht="21.95" customHeight="1" x14ac:dyDescent="0.15"/>
    <row r="47274" s="9" customFormat="1" ht="21.95" customHeight="1" x14ac:dyDescent="0.15"/>
    <row r="47275" s="9" customFormat="1" ht="21.95" customHeight="1" x14ac:dyDescent="0.15"/>
    <row r="47276" s="9" customFormat="1" ht="21.95" customHeight="1" x14ac:dyDescent="0.15"/>
    <row r="47277" s="9" customFormat="1" ht="21.95" customHeight="1" x14ac:dyDescent="0.15"/>
    <row r="47278" s="9" customFormat="1" ht="21.95" customHeight="1" x14ac:dyDescent="0.15"/>
    <row r="47279" s="9" customFormat="1" ht="21.95" customHeight="1" x14ac:dyDescent="0.15"/>
    <row r="47280" s="9" customFormat="1" ht="21.95" customHeight="1" x14ac:dyDescent="0.15"/>
    <row r="47281" s="9" customFormat="1" ht="21.95" customHeight="1" x14ac:dyDescent="0.15"/>
    <row r="47282" s="9" customFormat="1" ht="21.95" customHeight="1" x14ac:dyDescent="0.15"/>
    <row r="47283" s="9" customFormat="1" ht="21.95" customHeight="1" x14ac:dyDescent="0.15"/>
    <row r="47284" s="9" customFormat="1" ht="21.95" customHeight="1" x14ac:dyDescent="0.15"/>
    <row r="47285" s="9" customFormat="1" ht="21.95" customHeight="1" x14ac:dyDescent="0.15"/>
    <row r="47286" s="9" customFormat="1" ht="35.1" customHeight="1" x14ac:dyDescent="0.15"/>
    <row r="47287" s="9" customFormat="1" ht="21.95" customHeight="1" x14ac:dyDescent="0.15"/>
    <row r="47288" s="9" customFormat="1" ht="21.95" customHeight="1" x14ac:dyDescent="0.15"/>
    <row r="47289" s="9" customFormat="1" ht="21.95" customHeight="1" x14ac:dyDescent="0.15"/>
    <row r="47290" s="9" customFormat="1" ht="21.95" customHeight="1" x14ac:dyDescent="0.15"/>
    <row r="47291" s="9" customFormat="1" ht="21.95" customHeight="1" x14ac:dyDescent="0.15"/>
    <row r="47292" s="9" customFormat="1" ht="21.95" customHeight="1" x14ac:dyDescent="0.15"/>
    <row r="47293" s="9" customFormat="1" ht="21.95" customHeight="1" x14ac:dyDescent="0.15"/>
    <row r="47294" s="9" customFormat="1" ht="21.95" customHeight="1" x14ac:dyDescent="0.15"/>
    <row r="47295" s="9" customFormat="1" ht="21.95" customHeight="1" x14ac:dyDescent="0.15"/>
    <row r="47296" s="9" customFormat="1" ht="21.95" customHeight="1" x14ac:dyDescent="0.15"/>
    <row r="47297" spans="3:3" s="9" customFormat="1" ht="21.95" customHeight="1" x14ac:dyDescent="0.15"/>
    <row r="47298" spans="3:3" s="9" customFormat="1" ht="21.95" customHeight="1" x14ac:dyDescent="0.15"/>
    <row r="47299" spans="3:3" s="9" customFormat="1" ht="21.95" customHeight="1" x14ac:dyDescent="0.15"/>
    <row r="47300" spans="3:3" s="9" customFormat="1" ht="21.95" customHeight="1" x14ac:dyDescent="0.15"/>
    <row r="47301" spans="3:3" s="9" customFormat="1" ht="21.95" customHeight="1" x14ac:dyDescent="0.15"/>
    <row r="47302" spans="3:3" s="9" customFormat="1" ht="21.95" customHeight="1" x14ac:dyDescent="0.15"/>
    <row r="47303" spans="3:3" s="9" customFormat="1" ht="21.95" customHeight="1" x14ac:dyDescent="0.15"/>
    <row r="47304" spans="3:3" s="9" customFormat="1" ht="21.95" customHeight="1" x14ac:dyDescent="0.15"/>
    <row r="47305" spans="3:3" s="9" customFormat="1" ht="21.95" customHeight="1" x14ac:dyDescent="0.15"/>
    <row r="47306" spans="3:3" s="9" customFormat="1" ht="21.95" customHeight="1" x14ac:dyDescent="0.15"/>
    <row r="47307" spans="3:3" s="9" customFormat="1" ht="21.95" customHeight="1" x14ac:dyDescent="0.15"/>
    <row r="47308" spans="3:3" s="9" customFormat="1" ht="21.95" customHeight="1" x14ac:dyDescent="0.15"/>
    <row r="47309" spans="3:3" s="9" customFormat="1" ht="21.95" customHeight="1" x14ac:dyDescent="0.15"/>
    <row r="47310" spans="3:3" s="8" customFormat="1" ht="21.95" customHeight="1" x14ac:dyDescent="0.15"/>
    <row r="47311" spans="3:3" s="8" customFormat="1" ht="21.95" customHeight="1" x14ac:dyDescent="0.15"/>
    <row r="47312" spans="3:3" s="8" customFormat="1" ht="21.95" customHeight="1" x14ac:dyDescent="0.15">
      <c r="C47312" s="101"/>
    </row>
    <row r="47313" spans="3:3" s="8" customFormat="1" ht="21.95" customHeight="1" x14ac:dyDescent="0.15">
      <c r="C47313" s="101"/>
    </row>
    <row r="47314" spans="3:3" s="8" customFormat="1" ht="21.95" customHeight="1" x14ac:dyDescent="0.15"/>
    <row r="47315" spans="3:3" s="8" customFormat="1" ht="21.95" customHeight="1" x14ac:dyDescent="0.15"/>
    <row r="47316" spans="3:3" s="8" customFormat="1" ht="21.95" customHeight="1" x14ac:dyDescent="0.15"/>
    <row r="47317" spans="3:3" s="8" customFormat="1" ht="21.95" customHeight="1" x14ac:dyDescent="0.15"/>
    <row r="47318" spans="3:3" s="8" customFormat="1" ht="21.95" customHeight="1" x14ac:dyDescent="0.15"/>
    <row r="47319" spans="3:3" s="8" customFormat="1" ht="21.95" customHeight="1" x14ac:dyDescent="0.15"/>
    <row r="47320" spans="3:3" s="8" customFormat="1" ht="21.95" customHeight="1" x14ac:dyDescent="0.15"/>
    <row r="47321" spans="3:3" s="9" customFormat="1" ht="21.95" customHeight="1" x14ac:dyDescent="0.15"/>
    <row r="47322" spans="3:3" s="9" customFormat="1" ht="21.95" customHeight="1" x14ac:dyDescent="0.15"/>
    <row r="47323" spans="3:3" s="9" customFormat="1" ht="21.95" customHeight="1" x14ac:dyDescent="0.15"/>
    <row r="47324" spans="3:3" s="9" customFormat="1" ht="21.95" customHeight="1" x14ac:dyDescent="0.15"/>
    <row r="47325" spans="3:3" s="8" customFormat="1" ht="21.95" customHeight="1" x14ac:dyDescent="0.15"/>
    <row r="47326" spans="3:3" s="8" customFormat="1" ht="21.95" customHeight="1" x14ac:dyDescent="0.15"/>
    <row r="47327" spans="3:3" s="8" customFormat="1" ht="21.95" customHeight="1" x14ac:dyDescent="0.15"/>
    <row r="47328" spans="3:3" s="8" customFormat="1" ht="21.95" customHeight="1" x14ac:dyDescent="0.15"/>
    <row r="47329" s="8" customFormat="1" ht="21.95" customHeight="1" x14ac:dyDescent="0.15"/>
    <row r="47330" s="8" customFormat="1" ht="21.95" customHeight="1" x14ac:dyDescent="0.15"/>
    <row r="47331" s="8" customFormat="1" ht="21.95" customHeight="1" x14ac:dyDescent="0.15"/>
    <row r="47332" s="8" customFormat="1" ht="21.95" customHeight="1" x14ac:dyDescent="0.15"/>
    <row r="47333" s="8" customFormat="1" ht="21.95" customHeight="1" x14ac:dyDescent="0.15"/>
    <row r="47334" s="8" customFormat="1" ht="21.95" customHeight="1" x14ac:dyDescent="0.15"/>
    <row r="47335" s="8" customFormat="1" ht="21.95" customHeight="1" x14ac:dyDescent="0.15"/>
    <row r="47336" s="8" customFormat="1" ht="32.1" customHeight="1" x14ac:dyDescent="0.15"/>
    <row r="47337" s="8" customFormat="1" ht="32.1" customHeight="1" x14ac:dyDescent="0.15"/>
    <row r="47338" s="8" customFormat="1" ht="32.1" customHeight="1" x14ac:dyDescent="0.15"/>
    <row r="47339" s="8" customFormat="1" ht="32.1" customHeight="1" x14ac:dyDescent="0.15"/>
    <row r="47340" s="8" customFormat="1" ht="32.1" customHeight="1" x14ac:dyDescent="0.15"/>
    <row r="47341" s="8" customFormat="1" ht="32.1" customHeight="1" x14ac:dyDescent="0.15"/>
    <row r="47342" s="9" customFormat="1" ht="32.1" customHeight="1" x14ac:dyDescent="0.15"/>
    <row r="47343" s="9" customFormat="1" ht="32.1" customHeight="1" x14ac:dyDescent="0.15"/>
    <row r="47344" s="9" customFormat="1" ht="32.1" customHeight="1" x14ac:dyDescent="0.15"/>
    <row r="47345" s="9" customFormat="1" ht="32.1" customHeight="1" x14ac:dyDescent="0.15"/>
    <row r="47346" s="9" customFormat="1" ht="21.95" customHeight="1" x14ac:dyDescent="0.15"/>
    <row r="47347" s="9" customFormat="1" ht="54" customHeight="1" x14ac:dyDescent="0.15"/>
    <row r="47348" s="9" customFormat="1" ht="21.95" customHeight="1" x14ac:dyDescent="0.15"/>
    <row r="47349" s="9" customFormat="1" ht="21.95" customHeight="1" x14ac:dyDescent="0.15"/>
    <row r="47350" s="9" customFormat="1" ht="21.95" customHeight="1" x14ac:dyDescent="0.15"/>
    <row r="47351" s="9" customFormat="1" ht="21.95" customHeight="1" x14ac:dyDescent="0.15"/>
    <row r="47352" s="9" customFormat="1" ht="21.95" customHeight="1" x14ac:dyDescent="0.15"/>
    <row r="47353" s="9" customFormat="1" ht="21.95" customHeight="1" x14ac:dyDescent="0.15"/>
    <row r="47354" s="9" customFormat="1" ht="21.95" customHeight="1" x14ac:dyDescent="0.15"/>
    <row r="47355" s="9" customFormat="1" ht="21.95" customHeight="1" x14ac:dyDescent="0.15"/>
    <row r="47356" s="9" customFormat="1" ht="21.95" customHeight="1" x14ac:dyDescent="0.15"/>
    <row r="47357" s="9" customFormat="1" ht="21.95" customHeight="1" x14ac:dyDescent="0.15"/>
    <row r="47358" s="9" customFormat="1" ht="21.95" customHeight="1" x14ac:dyDescent="0.15"/>
    <row r="47359" s="9" customFormat="1" ht="21.95" customHeight="1" x14ac:dyDescent="0.15"/>
    <row r="47360" s="9" customFormat="1" ht="21.95" customHeight="1" x14ac:dyDescent="0.15"/>
    <row r="47361" s="9" customFormat="1" ht="21.95" customHeight="1" x14ac:dyDescent="0.15"/>
    <row r="47362" s="9" customFormat="1" ht="21.95" customHeight="1" x14ac:dyDescent="0.15"/>
    <row r="47363" s="9" customFormat="1" ht="21.95" customHeight="1" x14ac:dyDescent="0.15"/>
    <row r="47364" s="9" customFormat="1" ht="21.95" customHeight="1" x14ac:dyDescent="0.15"/>
    <row r="47365" s="9" customFormat="1" ht="21.95" customHeight="1" x14ac:dyDescent="0.15"/>
    <row r="47366" s="9" customFormat="1" ht="21.95" customHeight="1" x14ac:dyDescent="0.15"/>
    <row r="47367" s="9" customFormat="1" ht="21.95" customHeight="1" x14ac:dyDescent="0.15"/>
    <row r="47368" s="9" customFormat="1" ht="21.95" customHeight="1" x14ac:dyDescent="0.15"/>
    <row r="47369" s="9" customFormat="1" ht="21.95" customHeight="1" x14ac:dyDescent="0.15"/>
    <row r="47370" s="9" customFormat="1" ht="21.95" customHeight="1" x14ac:dyDescent="0.15"/>
    <row r="47371" s="9" customFormat="1" ht="21.95" customHeight="1" x14ac:dyDescent="0.15"/>
    <row r="47372" s="9" customFormat="1" ht="21.95" customHeight="1" x14ac:dyDescent="0.15"/>
    <row r="47373" s="9" customFormat="1" ht="21.95" customHeight="1" x14ac:dyDescent="0.15"/>
    <row r="47374" s="9" customFormat="1" ht="21.95" customHeight="1" x14ac:dyDescent="0.15"/>
    <row r="47375" s="9" customFormat="1" ht="21.95" customHeight="1" x14ac:dyDescent="0.15"/>
    <row r="47376" s="9" customFormat="1" ht="21.95" customHeight="1" x14ac:dyDescent="0.15"/>
    <row r="47377" s="9" customFormat="1" ht="21.95" customHeight="1" x14ac:dyDescent="0.15"/>
    <row r="47378" s="9" customFormat="1" ht="21.95" customHeight="1" x14ac:dyDescent="0.15"/>
    <row r="47379" s="9" customFormat="1" ht="21.95" customHeight="1" x14ac:dyDescent="0.15"/>
    <row r="47380" s="9" customFormat="1" ht="21.95" customHeight="1" x14ac:dyDescent="0.15"/>
    <row r="47381" s="9" customFormat="1" ht="21.95" customHeight="1" x14ac:dyDescent="0.15"/>
    <row r="47382" s="9" customFormat="1" ht="21.95" customHeight="1" x14ac:dyDescent="0.15"/>
    <row r="47383" s="9" customFormat="1" ht="21.95" customHeight="1" x14ac:dyDescent="0.15"/>
    <row r="47384" s="9" customFormat="1" ht="21.95" customHeight="1" x14ac:dyDescent="0.15"/>
    <row r="47385" s="9" customFormat="1" ht="21.95" customHeight="1" x14ac:dyDescent="0.15"/>
    <row r="47386" s="9" customFormat="1" ht="21.95" customHeight="1" x14ac:dyDescent="0.15"/>
    <row r="47387" s="9" customFormat="1" ht="21.95" customHeight="1" x14ac:dyDescent="0.15"/>
    <row r="47388" s="9" customFormat="1" ht="21.95" customHeight="1" x14ac:dyDescent="0.15"/>
    <row r="47389" s="9" customFormat="1" ht="21.95" customHeight="1" x14ac:dyDescent="0.15"/>
    <row r="47390" s="9" customFormat="1" ht="21.95" customHeight="1" x14ac:dyDescent="0.15"/>
    <row r="47391" s="9" customFormat="1" ht="21.95" customHeight="1" x14ac:dyDescent="0.15"/>
    <row r="47392" s="9" customFormat="1" ht="21.95" customHeight="1" x14ac:dyDescent="0.15"/>
    <row r="47393" s="9" customFormat="1" ht="21.95" customHeight="1" x14ac:dyDescent="0.15"/>
    <row r="47394" s="9" customFormat="1" ht="21.95" customHeight="1" x14ac:dyDescent="0.15"/>
    <row r="47395" s="9" customFormat="1" ht="21.95" customHeight="1" x14ac:dyDescent="0.15"/>
    <row r="47396" s="9" customFormat="1" ht="21.95" customHeight="1" x14ac:dyDescent="0.15"/>
    <row r="47397" s="9" customFormat="1" ht="21.95" customHeight="1" x14ac:dyDescent="0.15"/>
    <row r="47398" s="9" customFormat="1" ht="35.1" customHeight="1" x14ac:dyDescent="0.15"/>
    <row r="47399" s="9" customFormat="1" ht="21.95" customHeight="1" x14ac:dyDescent="0.15"/>
    <row r="47400" s="9" customFormat="1" ht="21.95" customHeight="1" x14ac:dyDescent="0.15"/>
    <row r="47401" s="9" customFormat="1" ht="21.95" customHeight="1" x14ac:dyDescent="0.15"/>
    <row r="47402" s="9" customFormat="1" ht="21.95" customHeight="1" x14ac:dyDescent="0.15"/>
    <row r="47403" s="9" customFormat="1" ht="21.95" customHeight="1" x14ac:dyDescent="0.15"/>
    <row r="47404" s="9" customFormat="1" ht="21.95" customHeight="1" x14ac:dyDescent="0.15"/>
    <row r="47405" s="9" customFormat="1" ht="21.95" customHeight="1" x14ac:dyDescent="0.15"/>
    <row r="47406" s="9" customFormat="1" ht="21.95" customHeight="1" x14ac:dyDescent="0.15"/>
    <row r="47407" s="9" customFormat="1" ht="21.95" customHeight="1" x14ac:dyDescent="0.15"/>
    <row r="47408" s="9" customFormat="1" ht="21.95" customHeight="1" x14ac:dyDescent="0.15"/>
    <row r="47409" spans="3:3" s="9" customFormat="1" ht="21.95" customHeight="1" x14ac:dyDescent="0.15"/>
    <row r="47410" spans="3:3" s="9" customFormat="1" ht="21.95" customHeight="1" x14ac:dyDescent="0.15"/>
    <row r="47411" spans="3:3" s="9" customFormat="1" ht="21.95" customHeight="1" x14ac:dyDescent="0.15"/>
    <row r="47412" spans="3:3" s="9" customFormat="1" ht="21.95" customHeight="1" x14ac:dyDescent="0.15"/>
    <row r="47413" spans="3:3" s="9" customFormat="1" ht="21.95" customHeight="1" x14ac:dyDescent="0.15"/>
    <row r="47414" spans="3:3" s="9" customFormat="1" ht="21.95" customHeight="1" x14ac:dyDescent="0.15"/>
    <row r="47415" spans="3:3" s="9" customFormat="1" ht="21.95" customHeight="1" x14ac:dyDescent="0.15"/>
    <row r="47416" spans="3:3" s="9" customFormat="1" ht="21.95" customHeight="1" x14ac:dyDescent="0.15"/>
    <row r="47417" spans="3:3" s="9" customFormat="1" ht="21.95" customHeight="1" x14ac:dyDescent="0.15"/>
    <row r="47418" spans="3:3" s="9" customFormat="1" ht="21.95" customHeight="1" x14ac:dyDescent="0.15"/>
    <row r="47419" spans="3:3" s="9" customFormat="1" ht="21.95" customHeight="1" x14ac:dyDescent="0.15"/>
    <row r="47420" spans="3:3" s="9" customFormat="1" ht="21.95" customHeight="1" x14ac:dyDescent="0.15"/>
    <row r="47421" spans="3:3" s="9" customFormat="1" ht="21.95" customHeight="1" x14ac:dyDescent="0.15"/>
    <row r="47422" spans="3:3" s="8" customFormat="1" ht="21.95" customHeight="1" x14ac:dyDescent="0.15"/>
    <row r="47423" spans="3:3" s="8" customFormat="1" ht="21.95" customHeight="1" x14ac:dyDescent="0.15"/>
    <row r="47424" spans="3:3" s="8" customFormat="1" ht="21.95" customHeight="1" x14ac:dyDescent="0.15">
      <c r="C47424" s="101"/>
    </row>
    <row r="47425" spans="3:3" s="8" customFormat="1" ht="21.95" customHeight="1" x14ac:dyDescent="0.15">
      <c r="C47425" s="101"/>
    </row>
    <row r="47426" spans="3:3" s="8" customFormat="1" ht="21.95" customHeight="1" x14ac:dyDescent="0.15"/>
    <row r="47427" spans="3:3" s="8" customFormat="1" ht="21.95" customHeight="1" x14ac:dyDescent="0.15"/>
    <row r="47428" spans="3:3" s="8" customFormat="1" ht="21.95" customHeight="1" x14ac:dyDescent="0.15"/>
    <row r="47429" spans="3:3" s="8" customFormat="1" ht="21.95" customHeight="1" x14ac:dyDescent="0.15"/>
    <row r="47430" spans="3:3" s="8" customFormat="1" ht="21.95" customHeight="1" x14ac:dyDescent="0.15"/>
    <row r="47431" spans="3:3" s="8" customFormat="1" ht="21.95" customHeight="1" x14ac:dyDescent="0.15"/>
    <row r="47432" spans="3:3" s="8" customFormat="1" ht="21.95" customHeight="1" x14ac:dyDescent="0.15"/>
    <row r="47433" spans="3:3" s="9" customFormat="1" ht="21.95" customHeight="1" x14ac:dyDescent="0.15"/>
    <row r="47434" spans="3:3" s="9" customFormat="1" ht="21.95" customHeight="1" x14ac:dyDescent="0.15"/>
    <row r="47435" spans="3:3" s="9" customFormat="1" ht="21.95" customHeight="1" x14ac:dyDescent="0.15"/>
    <row r="47436" spans="3:3" s="9" customFormat="1" ht="21.95" customHeight="1" x14ac:dyDescent="0.15"/>
    <row r="47437" spans="3:3" s="8" customFormat="1" ht="21.95" customHeight="1" x14ac:dyDescent="0.15"/>
    <row r="47438" spans="3:3" s="8" customFormat="1" ht="21.95" customHeight="1" x14ac:dyDescent="0.15"/>
    <row r="47439" spans="3:3" s="8" customFormat="1" ht="21.95" customHeight="1" x14ac:dyDescent="0.15"/>
    <row r="47440" spans="3:3" s="8" customFormat="1" ht="21.95" customHeight="1" x14ac:dyDescent="0.15"/>
    <row r="47441" s="8" customFormat="1" ht="21.95" customHeight="1" x14ac:dyDescent="0.15"/>
    <row r="47442" s="8" customFormat="1" ht="21.95" customHeight="1" x14ac:dyDescent="0.15"/>
    <row r="47443" s="8" customFormat="1" ht="21.95" customHeight="1" x14ac:dyDescent="0.15"/>
    <row r="47444" s="8" customFormat="1" ht="21.95" customHeight="1" x14ac:dyDescent="0.15"/>
    <row r="47445" s="8" customFormat="1" ht="21.95" customHeight="1" x14ac:dyDescent="0.15"/>
    <row r="47446" s="8" customFormat="1" ht="21.95" customHeight="1" x14ac:dyDescent="0.15"/>
    <row r="47447" s="8" customFormat="1" ht="21.95" customHeight="1" x14ac:dyDescent="0.15"/>
    <row r="47448" s="8" customFormat="1" ht="32.1" customHeight="1" x14ac:dyDescent="0.15"/>
    <row r="47449" s="8" customFormat="1" ht="32.1" customHeight="1" x14ac:dyDescent="0.15"/>
    <row r="47450" s="8" customFormat="1" ht="32.1" customHeight="1" x14ac:dyDescent="0.15"/>
    <row r="47451" s="8" customFormat="1" ht="32.1" customHeight="1" x14ac:dyDescent="0.15"/>
    <row r="47452" s="8" customFormat="1" ht="32.1" customHeight="1" x14ac:dyDescent="0.15"/>
    <row r="47453" s="8" customFormat="1" ht="32.1" customHeight="1" x14ac:dyDescent="0.15"/>
    <row r="47454" s="9" customFormat="1" ht="32.1" customHeight="1" x14ac:dyDescent="0.15"/>
    <row r="47455" s="9" customFormat="1" ht="32.1" customHeight="1" x14ac:dyDescent="0.15"/>
    <row r="47456" s="9" customFormat="1" ht="32.1" customHeight="1" x14ac:dyDescent="0.15"/>
    <row r="47457" s="9" customFormat="1" ht="32.1" customHeight="1" x14ac:dyDescent="0.15"/>
    <row r="47458" s="9" customFormat="1" ht="21.95" customHeight="1" x14ac:dyDescent="0.15"/>
    <row r="47459" s="9" customFormat="1" ht="54" customHeight="1" x14ac:dyDescent="0.15"/>
    <row r="47460" s="9" customFormat="1" ht="21.95" customHeight="1" x14ac:dyDescent="0.15"/>
    <row r="47461" s="9" customFormat="1" ht="21.95" customHeight="1" x14ac:dyDescent="0.15"/>
    <row r="47462" s="9" customFormat="1" ht="21.95" customHeight="1" x14ac:dyDescent="0.15"/>
    <row r="47463" s="9" customFormat="1" ht="21.95" customHeight="1" x14ac:dyDescent="0.15"/>
    <row r="47464" s="9" customFormat="1" ht="21.95" customHeight="1" x14ac:dyDescent="0.15"/>
    <row r="47465" s="9" customFormat="1" ht="21.95" customHeight="1" x14ac:dyDescent="0.15"/>
    <row r="47466" s="9" customFormat="1" ht="21.95" customHeight="1" x14ac:dyDescent="0.15"/>
    <row r="47467" s="9" customFormat="1" ht="21.95" customHeight="1" x14ac:dyDescent="0.15"/>
    <row r="47468" s="9" customFormat="1" ht="21.95" customHeight="1" x14ac:dyDescent="0.15"/>
    <row r="47469" s="9" customFormat="1" ht="21.95" customHeight="1" x14ac:dyDescent="0.15"/>
    <row r="47470" s="9" customFormat="1" ht="21.95" customHeight="1" x14ac:dyDescent="0.15"/>
    <row r="47471" s="9" customFormat="1" ht="21.95" customHeight="1" x14ac:dyDescent="0.15"/>
    <row r="47472" s="9" customFormat="1" ht="21.95" customHeight="1" x14ac:dyDescent="0.15"/>
    <row r="47473" s="9" customFormat="1" ht="21.95" customHeight="1" x14ac:dyDescent="0.15"/>
    <row r="47474" s="9" customFormat="1" ht="21.95" customHeight="1" x14ac:dyDescent="0.15"/>
    <row r="47475" s="9" customFormat="1" ht="21.95" customHeight="1" x14ac:dyDescent="0.15"/>
    <row r="47476" s="9" customFormat="1" ht="21.95" customHeight="1" x14ac:dyDescent="0.15"/>
    <row r="47477" s="9" customFormat="1" ht="21.95" customHeight="1" x14ac:dyDescent="0.15"/>
    <row r="47478" s="9" customFormat="1" ht="21.95" customHeight="1" x14ac:dyDescent="0.15"/>
    <row r="47479" s="9" customFormat="1" ht="21.95" customHeight="1" x14ac:dyDescent="0.15"/>
    <row r="47480" s="9" customFormat="1" ht="21.95" customHeight="1" x14ac:dyDescent="0.15"/>
    <row r="47481" s="9" customFormat="1" ht="21.95" customHeight="1" x14ac:dyDescent="0.15"/>
    <row r="47482" s="9" customFormat="1" ht="21.95" customHeight="1" x14ac:dyDescent="0.15"/>
    <row r="47483" s="9" customFormat="1" ht="21.95" customHeight="1" x14ac:dyDescent="0.15"/>
    <row r="47484" s="9" customFormat="1" ht="21.95" customHeight="1" x14ac:dyDescent="0.15"/>
    <row r="47485" s="9" customFormat="1" ht="21.95" customHeight="1" x14ac:dyDescent="0.15"/>
    <row r="47486" s="9" customFormat="1" ht="21.95" customHeight="1" x14ac:dyDescent="0.15"/>
    <row r="47487" s="9" customFormat="1" ht="21.95" customHeight="1" x14ac:dyDescent="0.15"/>
    <row r="47488" s="9" customFormat="1" ht="21.95" customHeight="1" x14ac:dyDescent="0.15"/>
    <row r="47489" s="9" customFormat="1" ht="21.95" customHeight="1" x14ac:dyDescent="0.15"/>
    <row r="47490" s="9" customFormat="1" ht="21.95" customHeight="1" x14ac:dyDescent="0.15"/>
    <row r="47491" s="9" customFormat="1" ht="21.95" customHeight="1" x14ac:dyDescent="0.15"/>
    <row r="47492" s="9" customFormat="1" ht="21.95" customHeight="1" x14ac:dyDescent="0.15"/>
    <row r="47493" s="9" customFormat="1" ht="21.95" customHeight="1" x14ac:dyDescent="0.15"/>
    <row r="47494" s="9" customFormat="1" ht="21.95" customHeight="1" x14ac:dyDescent="0.15"/>
    <row r="47495" s="9" customFormat="1" ht="21.95" customHeight="1" x14ac:dyDescent="0.15"/>
    <row r="47496" s="9" customFormat="1" ht="21.95" customHeight="1" x14ac:dyDescent="0.15"/>
    <row r="47497" s="9" customFormat="1" ht="21.95" customHeight="1" x14ac:dyDescent="0.15"/>
    <row r="47498" s="9" customFormat="1" ht="21.95" customHeight="1" x14ac:dyDescent="0.15"/>
    <row r="47499" s="9" customFormat="1" ht="21.95" customHeight="1" x14ac:dyDescent="0.15"/>
    <row r="47500" s="9" customFormat="1" ht="21.95" customHeight="1" x14ac:dyDescent="0.15"/>
    <row r="47501" s="9" customFormat="1" ht="21.95" customHeight="1" x14ac:dyDescent="0.15"/>
    <row r="47502" s="9" customFormat="1" ht="21.95" customHeight="1" x14ac:dyDescent="0.15"/>
    <row r="47503" s="9" customFormat="1" ht="21.95" customHeight="1" x14ac:dyDescent="0.15"/>
    <row r="47504" s="9" customFormat="1" ht="21.95" customHeight="1" x14ac:dyDescent="0.15"/>
    <row r="47505" s="9" customFormat="1" ht="21.95" customHeight="1" x14ac:dyDescent="0.15"/>
    <row r="47506" s="9" customFormat="1" ht="21.95" customHeight="1" x14ac:dyDescent="0.15"/>
    <row r="47507" s="9" customFormat="1" ht="21.95" customHeight="1" x14ac:dyDescent="0.15"/>
    <row r="47508" s="9" customFormat="1" ht="21.95" customHeight="1" x14ac:dyDescent="0.15"/>
    <row r="47509" s="9" customFormat="1" ht="21.95" customHeight="1" x14ac:dyDescent="0.15"/>
    <row r="47510" s="9" customFormat="1" ht="35.1" customHeight="1" x14ac:dyDescent="0.15"/>
    <row r="47511" s="9" customFormat="1" ht="21.95" customHeight="1" x14ac:dyDescent="0.15"/>
    <row r="47512" s="9" customFormat="1" ht="21.95" customHeight="1" x14ac:dyDescent="0.15"/>
    <row r="47513" s="9" customFormat="1" ht="21.95" customHeight="1" x14ac:dyDescent="0.15"/>
    <row r="47514" s="9" customFormat="1" ht="21.95" customHeight="1" x14ac:dyDescent="0.15"/>
    <row r="47515" s="9" customFormat="1" ht="21.95" customHeight="1" x14ac:dyDescent="0.15"/>
    <row r="47516" s="9" customFormat="1" ht="21.95" customHeight="1" x14ac:dyDescent="0.15"/>
    <row r="47517" s="9" customFormat="1" ht="21.95" customHeight="1" x14ac:dyDescent="0.15"/>
    <row r="47518" s="9" customFormat="1" ht="21.95" customHeight="1" x14ac:dyDescent="0.15"/>
    <row r="47519" s="9" customFormat="1" ht="21.95" customHeight="1" x14ac:dyDescent="0.15"/>
    <row r="47520" s="9" customFormat="1" ht="21.95" customHeight="1" x14ac:dyDescent="0.15"/>
    <row r="47521" spans="3:3" s="9" customFormat="1" ht="21.95" customHeight="1" x14ac:dyDescent="0.15"/>
    <row r="47522" spans="3:3" s="9" customFormat="1" ht="21.95" customHeight="1" x14ac:dyDescent="0.15"/>
    <row r="47523" spans="3:3" s="9" customFormat="1" ht="21.95" customHeight="1" x14ac:dyDescent="0.15"/>
    <row r="47524" spans="3:3" s="9" customFormat="1" ht="21.95" customHeight="1" x14ac:dyDescent="0.15"/>
    <row r="47525" spans="3:3" s="9" customFormat="1" ht="21.95" customHeight="1" x14ac:dyDescent="0.15"/>
    <row r="47526" spans="3:3" s="9" customFormat="1" ht="21.95" customHeight="1" x14ac:dyDescent="0.15"/>
    <row r="47527" spans="3:3" s="9" customFormat="1" ht="21.95" customHeight="1" x14ac:dyDescent="0.15"/>
    <row r="47528" spans="3:3" s="9" customFormat="1" ht="21.95" customHeight="1" x14ac:dyDescent="0.15"/>
    <row r="47529" spans="3:3" s="9" customFormat="1" ht="21.95" customHeight="1" x14ac:dyDescent="0.15"/>
    <row r="47530" spans="3:3" s="9" customFormat="1" ht="21.95" customHeight="1" x14ac:dyDescent="0.15"/>
    <row r="47531" spans="3:3" s="9" customFormat="1" ht="21.95" customHeight="1" x14ac:dyDescent="0.15"/>
    <row r="47532" spans="3:3" s="9" customFormat="1" ht="21.95" customHeight="1" x14ac:dyDescent="0.15"/>
    <row r="47533" spans="3:3" s="9" customFormat="1" ht="21.95" customHeight="1" x14ac:dyDescent="0.15"/>
    <row r="47534" spans="3:3" s="8" customFormat="1" ht="21.95" customHeight="1" x14ac:dyDescent="0.15"/>
    <row r="47535" spans="3:3" s="8" customFormat="1" ht="21.95" customHeight="1" x14ac:dyDescent="0.15"/>
    <row r="47536" spans="3:3" s="8" customFormat="1" ht="21.95" customHeight="1" x14ac:dyDescent="0.15">
      <c r="C47536" s="101"/>
    </row>
    <row r="47537" spans="3:3" s="8" customFormat="1" ht="21.95" customHeight="1" x14ac:dyDescent="0.15">
      <c r="C47537" s="101"/>
    </row>
    <row r="47538" spans="3:3" s="8" customFormat="1" ht="21.95" customHeight="1" x14ac:dyDescent="0.15"/>
    <row r="47539" spans="3:3" s="8" customFormat="1" ht="21.95" customHeight="1" x14ac:dyDescent="0.15"/>
    <row r="47540" spans="3:3" s="8" customFormat="1" ht="21.95" customHeight="1" x14ac:dyDescent="0.15"/>
    <row r="47541" spans="3:3" s="8" customFormat="1" ht="21.95" customHeight="1" x14ac:dyDescent="0.15"/>
    <row r="47542" spans="3:3" s="8" customFormat="1" ht="21.95" customHeight="1" x14ac:dyDescent="0.15"/>
    <row r="47543" spans="3:3" s="8" customFormat="1" ht="21.95" customHeight="1" x14ac:dyDescent="0.15"/>
    <row r="47544" spans="3:3" s="8" customFormat="1" ht="21.95" customHeight="1" x14ac:dyDescent="0.15"/>
    <row r="47545" spans="3:3" s="9" customFormat="1" ht="21.95" customHeight="1" x14ac:dyDescent="0.15"/>
    <row r="47546" spans="3:3" s="9" customFormat="1" ht="21.95" customHeight="1" x14ac:dyDescent="0.15"/>
    <row r="47547" spans="3:3" s="9" customFormat="1" ht="21.95" customHeight="1" x14ac:dyDescent="0.15"/>
    <row r="47548" spans="3:3" s="9" customFormat="1" ht="21.95" customHeight="1" x14ac:dyDescent="0.15"/>
    <row r="47549" spans="3:3" s="8" customFormat="1" ht="21.95" customHeight="1" x14ac:dyDescent="0.15"/>
    <row r="47550" spans="3:3" s="8" customFormat="1" ht="21.95" customHeight="1" x14ac:dyDescent="0.15"/>
    <row r="47551" spans="3:3" s="8" customFormat="1" ht="21.95" customHeight="1" x14ac:dyDescent="0.15"/>
    <row r="47552" spans="3:3" s="8" customFormat="1" ht="21.95" customHeight="1" x14ac:dyDescent="0.15"/>
    <row r="47553" s="8" customFormat="1" ht="21.95" customHeight="1" x14ac:dyDescent="0.15"/>
    <row r="47554" s="8" customFormat="1" ht="21.95" customHeight="1" x14ac:dyDescent="0.15"/>
    <row r="47555" s="8" customFormat="1" ht="21.95" customHeight="1" x14ac:dyDescent="0.15"/>
    <row r="47556" s="8" customFormat="1" ht="21.95" customHeight="1" x14ac:dyDescent="0.15"/>
    <row r="47557" s="8" customFormat="1" ht="21.95" customHeight="1" x14ac:dyDescent="0.15"/>
    <row r="47558" s="8" customFormat="1" ht="21.95" customHeight="1" x14ac:dyDescent="0.15"/>
    <row r="47559" s="8" customFormat="1" ht="21.95" customHeight="1" x14ac:dyDescent="0.15"/>
    <row r="47560" s="8" customFormat="1" ht="32.1" customHeight="1" x14ac:dyDescent="0.15"/>
    <row r="47561" s="8" customFormat="1" ht="32.1" customHeight="1" x14ac:dyDescent="0.15"/>
    <row r="47562" s="8" customFormat="1" ht="32.1" customHeight="1" x14ac:dyDescent="0.15"/>
    <row r="47563" s="8" customFormat="1" ht="32.1" customHeight="1" x14ac:dyDescent="0.15"/>
    <row r="47564" s="8" customFormat="1" ht="32.1" customHeight="1" x14ac:dyDescent="0.15"/>
    <row r="47565" s="8" customFormat="1" ht="32.1" customHeight="1" x14ac:dyDescent="0.15"/>
    <row r="47566" s="9" customFormat="1" ht="32.1" customHeight="1" x14ac:dyDescent="0.15"/>
    <row r="47567" s="9" customFormat="1" ht="32.1" customHeight="1" x14ac:dyDescent="0.15"/>
    <row r="47568" s="9" customFormat="1" ht="32.1" customHeight="1" x14ac:dyDescent="0.15"/>
    <row r="47569" s="9" customFormat="1" ht="32.1" customHeight="1" x14ac:dyDescent="0.15"/>
    <row r="47570" s="9" customFormat="1" ht="21.95" customHeight="1" x14ac:dyDescent="0.15"/>
    <row r="47571" s="9" customFormat="1" ht="54" customHeight="1" x14ac:dyDescent="0.15"/>
    <row r="47572" s="9" customFormat="1" ht="21.95" customHeight="1" x14ac:dyDescent="0.15"/>
    <row r="47573" s="9" customFormat="1" ht="21.95" customHeight="1" x14ac:dyDescent="0.15"/>
    <row r="47574" s="9" customFormat="1" ht="21.95" customHeight="1" x14ac:dyDescent="0.15"/>
    <row r="47575" s="9" customFormat="1" ht="21.95" customHeight="1" x14ac:dyDescent="0.15"/>
    <row r="47576" s="9" customFormat="1" ht="21.95" customHeight="1" x14ac:dyDescent="0.15"/>
    <row r="47577" s="9" customFormat="1" ht="21.95" customHeight="1" x14ac:dyDescent="0.15"/>
    <row r="47578" s="9" customFormat="1" ht="21.95" customHeight="1" x14ac:dyDescent="0.15"/>
    <row r="47579" s="9" customFormat="1" ht="21.95" customHeight="1" x14ac:dyDescent="0.15"/>
    <row r="47580" s="9" customFormat="1" ht="21.95" customHeight="1" x14ac:dyDescent="0.15"/>
    <row r="47581" s="9" customFormat="1" ht="21.95" customHeight="1" x14ac:dyDescent="0.15"/>
    <row r="47582" s="9" customFormat="1" ht="21.95" customHeight="1" x14ac:dyDescent="0.15"/>
    <row r="47583" s="9" customFormat="1" ht="21.95" customHeight="1" x14ac:dyDescent="0.15"/>
    <row r="47584" s="9" customFormat="1" ht="21.95" customHeight="1" x14ac:dyDescent="0.15"/>
    <row r="47585" s="9" customFormat="1" ht="21.95" customHeight="1" x14ac:dyDescent="0.15"/>
    <row r="47586" s="9" customFormat="1" ht="21.95" customHeight="1" x14ac:dyDescent="0.15"/>
    <row r="47587" s="9" customFormat="1" ht="21.95" customHeight="1" x14ac:dyDescent="0.15"/>
    <row r="47588" s="9" customFormat="1" ht="21.95" customHeight="1" x14ac:dyDescent="0.15"/>
    <row r="47589" s="9" customFormat="1" ht="21.95" customHeight="1" x14ac:dyDescent="0.15"/>
    <row r="47590" s="9" customFormat="1" ht="21.95" customHeight="1" x14ac:dyDescent="0.15"/>
    <row r="47591" s="9" customFormat="1" ht="21.95" customHeight="1" x14ac:dyDescent="0.15"/>
    <row r="47592" s="9" customFormat="1" ht="21.95" customHeight="1" x14ac:dyDescent="0.15"/>
    <row r="47593" s="9" customFormat="1" ht="21.95" customHeight="1" x14ac:dyDescent="0.15"/>
    <row r="47594" s="9" customFormat="1" ht="21.95" customHeight="1" x14ac:dyDescent="0.15"/>
    <row r="47595" s="9" customFormat="1" ht="21.95" customHeight="1" x14ac:dyDescent="0.15"/>
    <row r="47596" s="9" customFormat="1" ht="21.95" customHeight="1" x14ac:dyDescent="0.15"/>
    <row r="47597" s="9" customFormat="1" ht="21.95" customHeight="1" x14ac:dyDescent="0.15"/>
    <row r="47598" s="9" customFormat="1" ht="21.95" customHeight="1" x14ac:dyDescent="0.15"/>
    <row r="47599" s="9" customFormat="1" ht="21.95" customHeight="1" x14ac:dyDescent="0.15"/>
    <row r="47600" s="9" customFormat="1" ht="21.95" customHeight="1" x14ac:dyDescent="0.15"/>
    <row r="47601" s="9" customFormat="1" ht="21.95" customHeight="1" x14ac:dyDescent="0.15"/>
    <row r="47602" s="9" customFormat="1" ht="21.95" customHeight="1" x14ac:dyDescent="0.15"/>
    <row r="47603" s="9" customFormat="1" ht="21.95" customHeight="1" x14ac:dyDescent="0.15"/>
    <row r="47604" s="9" customFormat="1" ht="21.95" customHeight="1" x14ac:dyDescent="0.15"/>
    <row r="47605" s="9" customFormat="1" ht="21.95" customHeight="1" x14ac:dyDescent="0.15"/>
    <row r="47606" s="9" customFormat="1" ht="21.95" customHeight="1" x14ac:dyDescent="0.15"/>
    <row r="47607" s="9" customFormat="1" ht="21.95" customHeight="1" x14ac:dyDescent="0.15"/>
    <row r="47608" s="9" customFormat="1" ht="21.95" customHeight="1" x14ac:dyDescent="0.15"/>
    <row r="47609" s="9" customFormat="1" ht="21.95" customHeight="1" x14ac:dyDescent="0.15"/>
    <row r="47610" s="9" customFormat="1" ht="21.95" customHeight="1" x14ac:dyDescent="0.15"/>
    <row r="47611" s="9" customFormat="1" ht="21.95" customHeight="1" x14ac:dyDescent="0.15"/>
    <row r="47612" s="9" customFormat="1" ht="21.95" customHeight="1" x14ac:dyDescent="0.15"/>
    <row r="47613" s="9" customFormat="1" ht="21.95" customHeight="1" x14ac:dyDescent="0.15"/>
    <row r="47614" s="9" customFormat="1" ht="21.95" customHeight="1" x14ac:dyDescent="0.15"/>
    <row r="47615" s="9" customFormat="1" ht="21.95" customHeight="1" x14ac:dyDescent="0.15"/>
    <row r="47616" s="9" customFormat="1" ht="21.95" customHeight="1" x14ac:dyDescent="0.15"/>
    <row r="47617" s="9" customFormat="1" ht="21.95" customHeight="1" x14ac:dyDescent="0.15"/>
    <row r="47618" s="9" customFormat="1" ht="21.95" customHeight="1" x14ac:dyDescent="0.15"/>
    <row r="47619" s="9" customFormat="1" ht="21.95" customHeight="1" x14ac:dyDescent="0.15"/>
    <row r="47620" s="9" customFormat="1" ht="21.95" customHeight="1" x14ac:dyDescent="0.15"/>
    <row r="47621" s="9" customFormat="1" ht="21.95" customHeight="1" x14ac:dyDescent="0.15"/>
    <row r="47622" s="9" customFormat="1" ht="35.1" customHeight="1" x14ac:dyDescent="0.15"/>
    <row r="47623" s="9" customFormat="1" ht="21.95" customHeight="1" x14ac:dyDescent="0.15"/>
    <row r="47624" s="9" customFormat="1" ht="21.95" customHeight="1" x14ac:dyDescent="0.15"/>
    <row r="47625" s="9" customFormat="1" ht="21.95" customHeight="1" x14ac:dyDescent="0.15"/>
    <row r="47626" s="9" customFormat="1" ht="21.95" customHeight="1" x14ac:dyDescent="0.15"/>
    <row r="47627" s="9" customFormat="1" ht="21.95" customHeight="1" x14ac:dyDescent="0.15"/>
    <row r="47628" s="9" customFormat="1" ht="21.95" customHeight="1" x14ac:dyDescent="0.15"/>
    <row r="47629" s="9" customFormat="1" ht="21.95" customHeight="1" x14ac:dyDescent="0.15"/>
    <row r="47630" s="9" customFormat="1" ht="21.95" customHeight="1" x14ac:dyDescent="0.15"/>
    <row r="47631" s="9" customFormat="1" ht="21.95" customHeight="1" x14ac:dyDescent="0.15"/>
    <row r="47632" s="9" customFormat="1" ht="21.95" customHeight="1" x14ac:dyDescent="0.15"/>
    <row r="47633" spans="3:3" s="9" customFormat="1" ht="21.95" customHeight="1" x14ac:dyDescent="0.15"/>
    <row r="47634" spans="3:3" s="9" customFormat="1" ht="21.95" customHeight="1" x14ac:dyDescent="0.15"/>
    <row r="47635" spans="3:3" s="9" customFormat="1" ht="21.95" customHeight="1" x14ac:dyDescent="0.15"/>
    <row r="47636" spans="3:3" s="9" customFormat="1" ht="21.95" customHeight="1" x14ac:dyDescent="0.15"/>
    <row r="47637" spans="3:3" s="9" customFormat="1" ht="21.95" customHeight="1" x14ac:dyDescent="0.15"/>
    <row r="47638" spans="3:3" s="9" customFormat="1" ht="21.95" customHeight="1" x14ac:dyDescent="0.15"/>
    <row r="47639" spans="3:3" s="9" customFormat="1" ht="21.95" customHeight="1" x14ac:dyDescent="0.15"/>
    <row r="47640" spans="3:3" s="9" customFormat="1" ht="21.95" customHeight="1" x14ac:dyDescent="0.15"/>
    <row r="47641" spans="3:3" s="9" customFormat="1" ht="21.95" customHeight="1" x14ac:dyDescent="0.15"/>
    <row r="47642" spans="3:3" s="9" customFormat="1" ht="21.95" customHeight="1" x14ac:dyDescent="0.15"/>
    <row r="47643" spans="3:3" s="9" customFormat="1" ht="21.95" customHeight="1" x14ac:dyDescent="0.15"/>
    <row r="47644" spans="3:3" s="9" customFormat="1" ht="21.95" customHeight="1" x14ac:dyDescent="0.15"/>
    <row r="47645" spans="3:3" s="9" customFormat="1" ht="21.95" customHeight="1" x14ac:dyDescent="0.15"/>
    <row r="47646" spans="3:3" s="8" customFormat="1" ht="21.95" customHeight="1" x14ac:dyDescent="0.15"/>
    <row r="47647" spans="3:3" s="8" customFormat="1" ht="21.95" customHeight="1" x14ac:dyDescent="0.15"/>
    <row r="47648" spans="3:3" s="8" customFormat="1" ht="21.95" customHeight="1" x14ac:dyDescent="0.15">
      <c r="C47648" s="101"/>
    </row>
    <row r="47649" spans="3:3" s="8" customFormat="1" ht="21.95" customHeight="1" x14ac:dyDescent="0.15">
      <c r="C47649" s="101"/>
    </row>
    <row r="47650" spans="3:3" s="8" customFormat="1" ht="21.95" customHeight="1" x14ac:dyDescent="0.15"/>
    <row r="47651" spans="3:3" s="8" customFormat="1" ht="21.95" customHeight="1" x14ac:dyDescent="0.15"/>
    <row r="47652" spans="3:3" s="8" customFormat="1" ht="21.95" customHeight="1" x14ac:dyDescent="0.15"/>
    <row r="47653" spans="3:3" s="8" customFormat="1" ht="21.95" customHeight="1" x14ac:dyDescent="0.15"/>
    <row r="47654" spans="3:3" s="8" customFormat="1" ht="21.95" customHeight="1" x14ac:dyDescent="0.15"/>
    <row r="47655" spans="3:3" s="8" customFormat="1" ht="21.95" customHeight="1" x14ac:dyDescent="0.15"/>
    <row r="47656" spans="3:3" s="8" customFormat="1" ht="21.95" customHeight="1" x14ac:dyDescent="0.15"/>
    <row r="47657" spans="3:3" s="9" customFormat="1" ht="21.95" customHeight="1" x14ac:dyDescent="0.15"/>
    <row r="47658" spans="3:3" s="9" customFormat="1" ht="21.95" customHeight="1" x14ac:dyDescent="0.15"/>
    <row r="47659" spans="3:3" s="9" customFormat="1" ht="21.95" customHeight="1" x14ac:dyDescent="0.15"/>
    <row r="47660" spans="3:3" s="9" customFormat="1" ht="21.95" customHeight="1" x14ac:dyDescent="0.15"/>
    <row r="47661" spans="3:3" s="8" customFormat="1" ht="21.95" customHeight="1" x14ac:dyDescent="0.15"/>
    <row r="47662" spans="3:3" s="8" customFormat="1" ht="21.95" customHeight="1" x14ac:dyDescent="0.15"/>
    <row r="47663" spans="3:3" s="8" customFormat="1" ht="21.95" customHeight="1" x14ac:dyDescent="0.15"/>
    <row r="47664" spans="3:3" s="8" customFormat="1" ht="21.95" customHeight="1" x14ac:dyDescent="0.15"/>
    <row r="47665" s="8" customFormat="1" ht="21.95" customHeight="1" x14ac:dyDescent="0.15"/>
    <row r="47666" s="8" customFormat="1" ht="21.95" customHeight="1" x14ac:dyDescent="0.15"/>
    <row r="47667" s="8" customFormat="1" ht="21.95" customHeight="1" x14ac:dyDescent="0.15"/>
    <row r="47668" s="8" customFormat="1" ht="21.95" customHeight="1" x14ac:dyDescent="0.15"/>
    <row r="47669" s="8" customFormat="1" ht="21.95" customHeight="1" x14ac:dyDescent="0.15"/>
    <row r="47670" s="8" customFormat="1" ht="21.95" customHeight="1" x14ac:dyDescent="0.15"/>
    <row r="47671" s="8" customFormat="1" ht="21.95" customHeight="1" x14ac:dyDescent="0.15"/>
    <row r="47672" s="8" customFormat="1" ht="32.1" customHeight="1" x14ac:dyDescent="0.15"/>
    <row r="47673" s="8" customFormat="1" ht="32.1" customHeight="1" x14ac:dyDescent="0.15"/>
    <row r="47674" s="8" customFormat="1" ht="32.1" customHeight="1" x14ac:dyDescent="0.15"/>
    <row r="47675" s="8" customFormat="1" ht="32.1" customHeight="1" x14ac:dyDescent="0.15"/>
    <row r="47676" s="8" customFormat="1" ht="32.1" customHeight="1" x14ac:dyDescent="0.15"/>
    <row r="47677" s="8" customFormat="1" ht="32.1" customHeight="1" x14ac:dyDescent="0.15"/>
    <row r="47678" s="9" customFormat="1" ht="32.1" customHeight="1" x14ac:dyDescent="0.15"/>
    <row r="47679" s="9" customFormat="1" ht="32.1" customHeight="1" x14ac:dyDescent="0.15"/>
    <row r="47680" s="9" customFormat="1" ht="32.1" customHeight="1" x14ac:dyDescent="0.15"/>
    <row r="47681" s="9" customFormat="1" ht="32.1" customHeight="1" x14ac:dyDescent="0.15"/>
    <row r="47682" s="9" customFormat="1" ht="21.95" customHeight="1" x14ac:dyDescent="0.15"/>
    <row r="47683" s="9" customFormat="1" ht="54" customHeight="1" x14ac:dyDescent="0.15"/>
    <row r="47684" s="9" customFormat="1" ht="21.95" customHeight="1" x14ac:dyDescent="0.15"/>
    <row r="47685" s="9" customFormat="1" ht="21.95" customHeight="1" x14ac:dyDescent="0.15"/>
    <row r="47686" s="9" customFormat="1" ht="21.95" customHeight="1" x14ac:dyDescent="0.15"/>
    <row r="47687" s="9" customFormat="1" ht="21.95" customHeight="1" x14ac:dyDescent="0.15"/>
    <row r="47688" s="9" customFormat="1" ht="21.95" customHeight="1" x14ac:dyDescent="0.15"/>
    <row r="47689" s="9" customFormat="1" ht="21.95" customHeight="1" x14ac:dyDescent="0.15"/>
    <row r="47690" s="9" customFormat="1" ht="21.95" customHeight="1" x14ac:dyDescent="0.15"/>
    <row r="47691" s="9" customFormat="1" ht="21.95" customHeight="1" x14ac:dyDescent="0.15"/>
    <row r="47692" s="9" customFormat="1" ht="21.95" customHeight="1" x14ac:dyDescent="0.15"/>
    <row r="47693" s="9" customFormat="1" ht="21.95" customHeight="1" x14ac:dyDescent="0.15"/>
    <row r="47694" s="9" customFormat="1" ht="21.95" customHeight="1" x14ac:dyDescent="0.15"/>
    <row r="47695" s="9" customFormat="1" ht="21.95" customHeight="1" x14ac:dyDescent="0.15"/>
    <row r="47696" s="9" customFormat="1" ht="21.95" customHeight="1" x14ac:dyDescent="0.15"/>
    <row r="47697" s="9" customFormat="1" ht="21.95" customHeight="1" x14ac:dyDescent="0.15"/>
    <row r="47698" s="9" customFormat="1" ht="21.95" customHeight="1" x14ac:dyDescent="0.15"/>
    <row r="47699" s="9" customFormat="1" ht="21.95" customHeight="1" x14ac:dyDescent="0.15"/>
    <row r="47700" s="9" customFormat="1" ht="21.95" customHeight="1" x14ac:dyDescent="0.15"/>
    <row r="47701" s="9" customFormat="1" ht="21.95" customHeight="1" x14ac:dyDescent="0.15"/>
    <row r="47702" s="9" customFormat="1" ht="21.95" customHeight="1" x14ac:dyDescent="0.15"/>
    <row r="47703" s="9" customFormat="1" ht="21.95" customHeight="1" x14ac:dyDescent="0.15"/>
    <row r="47704" s="9" customFormat="1" ht="21.95" customHeight="1" x14ac:dyDescent="0.15"/>
    <row r="47705" s="9" customFormat="1" ht="21.95" customHeight="1" x14ac:dyDescent="0.15"/>
    <row r="47706" s="9" customFormat="1" ht="21.95" customHeight="1" x14ac:dyDescent="0.15"/>
    <row r="47707" s="9" customFormat="1" ht="21.95" customHeight="1" x14ac:dyDescent="0.15"/>
    <row r="47708" s="9" customFormat="1" ht="21.95" customHeight="1" x14ac:dyDescent="0.15"/>
    <row r="47709" s="9" customFormat="1" ht="21.95" customHeight="1" x14ac:dyDescent="0.15"/>
    <row r="47710" s="9" customFormat="1" ht="21.95" customHeight="1" x14ac:dyDescent="0.15"/>
    <row r="47711" s="9" customFormat="1" ht="21.95" customHeight="1" x14ac:dyDescent="0.15"/>
    <row r="47712" s="9" customFormat="1" ht="21.95" customHeight="1" x14ac:dyDescent="0.15"/>
    <row r="47713" s="9" customFormat="1" ht="21.95" customHeight="1" x14ac:dyDescent="0.15"/>
    <row r="47714" s="9" customFormat="1" ht="21.95" customHeight="1" x14ac:dyDescent="0.15"/>
    <row r="47715" s="9" customFormat="1" ht="21.95" customHeight="1" x14ac:dyDescent="0.15"/>
    <row r="47716" s="9" customFormat="1" ht="21.95" customHeight="1" x14ac:dyDescent="0.15"/>
    <row r="47717" s="9" customFormat="1" ht="21.95" customHeight="1" x14ac:dyDescent="0.15"/>
    <row r="47718" s="9" customFormat="1" ht="21.95" customHeight="1" x14ac:dyDescent="0.15"/>
    <row r="47719" s="9" customFormat="1" ht="21.95" customHeight="1" x14ac:dyDescent="0.15"/>
    <row r="47720" s="9" customFormat="1" ht="21.95" customHeight="1" x14ac:dyDescent="0.15"/>
    <row r="47721" s="9" customFormat="1" ht="21.95" customHeight="1" x14ac:dyDescent="0.15"/>
    <row r="47722" s="9" customFormat="1" ht="21.95" customHeight="1" x14ac:dyDescent="0.15"/>
    <row r="47723" s="9" customFormat="1" ht="21.95" customHeight="1" x14ac:dyDescent="0.15"/>
    <row r="47724" s="9" customFormat="1" ht="21.95" customHeight="1" x14ac:dyDescent="0.15"/>
    <row r="47725" s="9" customFormat="1" ht="21.95" customHeight="1" x14ac:dyDescent="0.15"/>
    <row r="47726" s="9" customFormat="1" ht="21.95" customHeight="1" x14ac:dyDescent="0.15"/>
    <row r="47727" s="9" customFormat="1" ht="21.95" customHeight="1" x14ac:dyDescent="0.15"/>
    <row r="47728" s="9" customFormat="1" ht="21.95" customHeight="1" x14ac:dyDescent="0.15"/>
    <row r="47729" s="9" customFormat="1" ht="21.95" customHeight="1" x14ac:dyDescent="0.15"/>
    <row r="47730" s="9" customFormat="1" ht="21.95" customHeight="1" x14ac:dyDescent="0.15"/>
    <row r="47731" s="9" customFormat="1" ht="21.95" customHeight="1" x14ac:dyDescent="0.15"/>
    <row r="47732" s="9" customFormat="1" ht="21.95" customHeight="1" x14ac:dyDescent="0.15"/>
    <row r="47733" s="9" customFormat="1" ht="21.95" customHeight="1" x14ac:dyDescent="0.15"/>
    <row r="47734" s="9" customFormat="1" ht="35.1" customHeight="1" x14ac:dyDescent="0.15"/>
    <row r="47735" s="9" customFormat="1" ht="21.95" customHeight="1" x14ac:dyDescent="0.15"/>
    <row r="47736" s="9" customFormat="1" ht="21.95" customHeight="1" x14ac:dyDescent="0.15"/>
    <row r="47737" s="9" customFormat="1" ht="21.95" customHeight="1" x14ac:dyDescent="0.15"/>
    <row r="47738" s="9" customFormat="1" ht="21.95" customHeight="1" x14ac:dyDescent="0.15"/>
    <row r="47739" s="9" customFormat="1" ht="21.95" customHeight="1" x14ac:dyDescent="0.15"/>
    <row r="47740" s="9" customFormat="1" ht="21.95" customHeight="1" x14ac:dyDescent="0.15"/>
    <row r="47741" s="9" customFormat="1" ht="21.95" customHeight="1" x14ac:dyDescent="0.15"/>
    <row r="47742" s="9" customFormat="1" ht="21.95" customHeight="1" x14ac:dyDescent="0.15"/>
    <row r="47743" s="9" customFormat="1" ht="21.95" customHeight="1" x14ac:dyDescent="0.15"/>
    <row r="47744" s="9" customFormat="1" ht="21.95" customHeight="1" x14ac:dyDescent="0.15"/>
    <row r="47745" spans="3:3" s="9" customFormat="1" ht="21.95" customHeight="1" x14ac:dyDescent="0.15"/>
    <row r="47746" spans="3:3" s="9" customFormat="1" ht="21.95" customHeight="1" x14ac:dyDescent="0.15"/>
    <row r="47747" spans="3:3" s="9" customFormat="1" ht="21.95" customHeight="1" x14ac:dyDescent="0.15"/>
    <row r="47748" spans="3:3" s="9" customFormat="1" ht="21.95" customHeight="1" x14ac:dyDescent="0.15"/>
    <row r="47749" spans="3:3" s="9" customFormat="1" ht="21.95" customHeight="1" x14ac:dyDescent="0.15"/>
    <row r="47750" spans="3:3" s="9" customFormat="1" ht="21.95" customHeight="1" x14ac:dyDescent="0.15"/>
    <row r="47751" spans="3:3" s="9" customFormat="1" ht="21.95" customHeight="1" x14ac:dyDescent="0.15"/>
    <row r="47752" spans="3:3" s="9" customFormat="1" ht="21.95" customHeight="1" x14ac:dyDescent="0.15"/>
    <row r="47753" spans="3:3" s="9" customFormat="1" ht="21.95" customHeight="1" x14ac:dyDescent="0.15"/>
    <row r="47754" spans="3:3" s="9" customFormat="1" ht="21.95" customHeight="1" x14ac:dyDescent="0.15"/>
    <row r="47755" spans="3:3" s="9" customFormat="1" ht="21.95" customHeight="1" x14ac:dyDescent="0.15"/>
    <row r="47756" spans="3:3" s="9" customFormat="1" ht="21.95" customHeight="1" x14ac:dyDescent="0.15"/>
    <row r="47757" spans="3:3" s="9" customFormat="1" ht="21.95" customHeight="1" x14ac:dyDescent="0.15"/>
    <row r="47758" spans="3:3" s="8" customFormat="1" ht="21.95" customHeight="1" x14ac:dyDescent="0.15"/>
    <row r="47759" spans="3:3" s="8" customFormat="1" ht="21.95" customHeight="1" x14ac:dyDescent="0.15"/>
    <row r="47760" spans="3:3" s="8" customFormat="1" ht="21.95" customHeight="1" x14ac:dyDescent="0.15">
      <c r="C47760" s="101"/>
    </row>
    <row r="47761" spans="3:3" s="8" customFormat="1" ht="21.95" customHeight="1" x14ac:dyDescent="0.15">
      <c r="C47761" s="101"/>
    </row>
    <row r="47762" spans="3:3" s="8" customFormat="1" ht="21.95" customHeight="1" x14ac:dyDescent="0.15"/>
    <row r="47763" spans="3:3" s="8" customFormat="1" ht="21.95" customHeight="1" x14ac:dyDescent="0.15"/>
    <row r="47764" spans="3:3" s="8" customFormat="1" ht="21.95" customHeight="1" x14ac:dyDescent="0.15"/>
    <row r="47765" spans="3:3" s="8" customFormat="1" ht="21.95" customHeight="1" x14ac:dyDescent="0.15"/>
    <row r="47766" spans="3:3" s="8" customFormat="1" ht="21.95" customHeight="1" x14ac:dyDescent="0.15"/>
    <row r="47767" spans="3:3" s="8" customFormat="1" ht="21.95" customHeight="1" x14ac:dyDescent="0.15"/>
    <row r="47768" spans="3:3" s="8" customFormat="1" ht="21.95" customHeight="1" x14ac:dyDescent="0.15"/>
    <row r="47769" spans="3:3" s="9" customFormat="1" ht="21.95" customHeight="1" x14ac:dyDescent="0.15"/>
    <row r="47770" spans="3:3" s="9" customFormat="1" ht="21.95" customHeight="1" x14ac:dyDescent="0.15"/>
    <row r="47771" spans="3:3" s="9" customFormat="1" ht="21.95" customHeight="1" x14ac:dyDescent="0.15"/>
    <row r="47772" spans="3:3" s="9" customFormat="1" ht="21.95" customHeight="1" x14ac:dyDescent="0.15"/>
    <row r="47773" spans="3:3" s="8" customFormat="1" ht="21.95" customHeight="1" x14ac:dyDescent="0.15"/>
    <row r="47774" spans="3:3" s="8" customFormat="1" ht="21.95" customHeight="1" x14ac:dyDescent="0.15"/>
    <row r="47775" spans="3:3" s="8" customFormat="1" ht="21.95" customHeight="1" x14ac:dyDescent="0.15"/>
    <row r="47776" spans="3:3" s="8" customFormat="1" ht="21.95" customHeight="1" x14ac:dyDescent="0.15"/>
    <row r="47777" s="8" customFormat="1" ht="21.95" customHeight="1" x14ac:dyDescent="0.15"/>
    <row r="47778" s="8" customFormat="1" ht="21.95" customHeight="1" x14ac:dyDescent="0.15"/>
    <row r="47779" s="8" customFormat="1" ht="21.95" customHeight="1" x14ac:dyDescent="0.15"/>
    <row r="47780" s="8" customFormat="1" ht="21.95" customHeight="1" x14ac:dyDescent="0.15"/>
    <row r="47781" s="8" customFormat="1" ht="21.95" customHeight="1" x14ac:dyDescent="0.15"/>
    <row r="47782" s="8" customFormat="1" ht="21.95" customHeight="1" x14ac:dyDescent="0.15"/>
    <row r="47783" s="8" customFormat="1" ht="21.95" customHeight="1" x14ac:dyDescent="0.15"/>
    <row r="47784" s="8" customFormat="1" ht="32.1" customHeight="1" x14ac:dyDescent="0.15"/>
    <row r="47785" s="8" customFormat="1" ht="32.1" customHeight="1" x14ac:dyDescent="0.15"/>
    <row r="47786" s="8" customFormat="1" ht="32.1" customHeight="1" x14ac:dyDescent="0.15"/>
    <row r="47787" s="8" customFormat="1" ht="32.1" customHeight="1" x14ac:dyDescent="0.15"/>
    <row r="47788" s="8" customFormat="1" ht="32.1" customHeight="1" x14ac:dyDescent="0.15"/>
    <row r="47789" s="8" customFormat="1" ht="32.1" customHeight="1" x14ac:dyDescent="0.15"/>
    <row r="47790" s="9" customFormat="1" ht="32.1" customHeight="1" x14ac:dyDescent="0.15"/>
    <row r="47791" s="9" customFormat="1" ht="32.1" customHeight="1" x14ac:dyDescent="0.15"/>
    <row r="47792" s="9" customFormat="1" ht="32.1" customHeight="1" x14ac:dyDescent="0.15"/>
    <row r="47793" s="9" customFormat="1" ht="32.1" customHeight="1" x14ac:dyDescent="0.15"/>
    <row r="47794" s="9" customFormat="1" ht="21.95" customHeight="1" x14ac:dyDescent="0.15"/>
    <row r="47795" s="9" customFormat="1" ht="54" customHeight="1" x14ac:dyDescent="0.15"/>
    <row r="47796" s="9" customFormat="1" ht="21.95" customHeight="1" x14ac:dyDescent="0.15"/>
    <row r="47797" s="9" customFormat="1" ht="21.95" customHeight="1" x14ac:dyDescent="0.15"/>
    <row r="47798" s="9" customFormat="1" ht="21.95" customHeight="1" x14ac:dyDescent="0.15"/>
    <row r="47799" s="9" customFormat="1" ht="21.95" customHeight="1" x14ac:dyDescent="0.15"/>
    <row r="47800" s="9" customFormat="1" ht="21.95" customHeight="1" x14ac:dyDescent="0.15"/>
    <row r="47801" s="9" customFormat="1" ht="21.95" customHeight="1" x14ac:dyDescent="0.15"/>
    <row r="47802" s="9" customFormat="1" ht="21.95" customHeight="1" x14ac:dyDescent="0.15"/>
    <row r="47803" s="9" customFormat="1" ht="21.95" customHeight="1" x14ac:dyDescent="0.15"/>
    <row r="47804" s="9" customFormat="1" ht="21.95" customHeight="1" x14ac:dyDescent="0.15"/>
    <row r="47805" s="9" customFormat="1" ht="21.95" customHeight="1" x14ac:dyDescent="0.15"/>
    <row r="47806" s="9" customFormat="1" ht="21.95" customHeight="1" x14ac:dyDescent="0.15"/>
    <row r="47807" s="9" customFormat="1" ht="21.95" customHeight="1" x14ac:dyDescent="0.15"/>
    <row r="47808" s="9" customFormat="1" ht="21.95" customHeight="1" x14ac:dyDescent="0.15"/>
    <row r="47809" s="9" customFormat="1" ht="21.95" customHeight="1" x14ac:dyDescent="0.15"/>
    <row r="47810" s="9" customFormat="1" ht="21.95" customHeight="1" x14ac:dyDescent="0.15"/>
    <row r="47811" s="9" customFormat="1" ht="21.95" customHeight="1" x14ac:dyDescent="0.15"/>
    <row r="47812" s="9" customFormat="1" ht="21.95" customHeight="1" x14ac:dyDescent="0.15"/>
    <row r="47813" s="9" customFormat="1" ht="21.95" customHeight="1" x14ac:dyDescent="0.15"/>
    <row r="47814" s="9" customFormat="1" ht="21.95" customHeight="1" x14ac:dyDescent="0.15"/>
    <row r="47815" s="9" customFormat="1" ht="21.95" customHeight="1" x14ac:dyDescent="0.15"/>
    <row r="47816" s="9" customFormat="1" ht="21.95" customHeight="1" x14ac:dyDescent="0.15"/>
    <row r="47817" s="9" customFormat="1" ht="21.95" customHeight="1" x14ac:dyDescent="0.15"/>
    <row r="47818" s="9" customFormat="1" ht="21.95" customHeight="1" x14ac:dyDescent="0.15"/>
    <row r="47819" s="9" customFormat="1" ht="21.95" customHeight="1" x14ac:dyDescent="0.15"/>
    <row r="47820" s="9" customFormat="1" ht="21.95" customHeight="1" x14ac:dyDescent="0.15"/>
    <row r="47821" s="9" customFormat="1" ht="21.95" customHeight="1" x14ac:dyDescent="0.15"/>
    <row r="47822" s="9" customFormat="1" ht="21.95" customHeight="1" x14ac:dyDescent="0.15"/>
    <row r="47823" s="9" customFormat="1" ht="21.95" customHeight="1" x14ac:dyDescent="0.15"/>
    <row r="47824" s="9" customFormat="1" ht="21.95" customHeight="1" x14ac:dyDescent="0.15"/>
    <row r="47825" s="9" customFormat="1" ht="21.95" customHeight="1" x14ac:dyDescent="0.15"/>
    <row r="47826" s="9" customFormat="1" ht="21.95" customHeight="1" x14ac:dyDescent="0.15"/>
    <row r="47827" s="9" customFormat="1" ht="21.95" customHeight="1" x14ac:dyDescent="0.15"/>
    <row r="47828" s="9" customFormat="1" ht="21.95" customHeight="1" x14ac:dyDescent="0.15"/>
    <row r="47829" s="9" customFormat="1" ht="21.95" customHeight="1" x14ac:dyDescent="0.15"/>
    <row r="47830" s="9" customFormat="1" ht="21.95" customHeight="1" x14ac:dyDescent="0.15"/>
    <row r="47831" s="9" customFormat="1" ht="21.95" customHeight="1" x14ac:dyDescent="0.15"/>
    <row r="47832" s="9" customFormat="1" ht="21.95" customHeight="1" x14ac:dyDescent="0.15"/>
    <row r="47833" s="9" customFormat="1" ht="21.95" customHeight="1" x14ac:dyDescent="0.15"/>
    <row r="47834" s="9" customFormat="1" ht="21.95" customHeight="1" x14ac:dyDescent="0.15"/>
    <row r="47835" s="9" customFormat="1" ht="21.95" customHeight="1" x14ac:dyDescent="0.15"/>
    <row r="47836" s="9" customFormat="1" ht="21.95" customHeight="1" x14ac:dyDescent="0.15"/>
    <row r="47837" s="9" customFormat="1" ht="21.95" customHeight="1" x14ac:dyDescent="0.15"/>
    <row r="47838" s="9" customFormat="1" ht="21.95" customHeight="1" x14ac:dyDescent="0.15"/>
    <row r="47839" s="9" customFormat="1" ht="21.95" customHeight="1" x14ac:dyDescent="0.15"/>
    <row r="47840" s="9" customFormat="1" ht="21.95" customHeight="1" x14ac:dyDescent="0.15"/>
    <row r="47841" s="9" customFormat="1" ht="21.95" customHeight="1" x14ac:dyDescent="0.15"/>
    <row r="47842" s="9" customFormat="1" ht="21.95" customHeight="1" x14ac:dyDescent="0.15"/>
    <row r="47843" s="9" customFormat="1" ht="21.95" customHeight="1" x14ac:dyDescent="0.15"/>
    <row r="47844" s="9" customFormat="1" ht="21.95" customHeight="1" x14ac:dyDescent="0.15"/>
    <row r="47845" s="9" customFormat="1" ht="21.95" customHeight="1" x14ac:dyDescent="0.15"/>
    <row r="47846" s="9" customFormat="1" ht="35.1" customHeight="1" x14ac:dyDescent="0.15"/>
    <row r="47847" s="9" customFormat="1" ht="21.95" customHeight="1" x14ac:dyDescent="0.15"/>
    <row r="47848" s="9" customFormat="1" ht="21.95" customHeight="1" x14ac:dyDescent="0.15"/>
    <row r="47849" s="9" customFormat="1" ht="21.95" customHeight="1" x14ac:dyDescent="0.15"/>
    <row r="47850" s="9" customFormat="1" ht="21.95" customHeight="1" x14ac:dyDescent="0.15"/>
    <row r="47851" s="9" customFormat="1" ht="21.95" customHeight="1" x14ac:dyDescent="0.15"/>
    <row r="47852" s="9" customFormat="1" ht="21.95" customHeight="1" x14ac:dyDescent="0.15"/>
    <row r="47853" s="9" customFormat="1" ht="21.95" customHeight="1" x14ac:dyDescent="0.15"/>
    <row r="47854" s="9" customFormat="1" ht="21.95" customHeight="1" x14ac:dyDescent="0.15"/>
    <row r="47855" s="9" customFormat="1" ht="21.95" customHeight="1" x14ac:dyDescent="0.15"/>
    <row r="47856" s="9" customFormat="1" ht="21.95" customHeight="1" x14ac:dyDescent="0.15"/>
    <row r="47857" spans="3:3" s="9" customFormat="1" ht="21.95" customHeight="1" x14ac:dyDescent="0.15"/>
    <row r="47858" spans="3:3" s="9" customFormat="1" ht="21.95" customHeight="1" x14ac:dyDescent="0.15"/>
    <row r="47859" spans="3:3" s="9" customFormat="1" ht="21.95" customHeight="1" x14ac:dyDescent="0.15"/>
    <row r="47860" spans="3:3" s="9" customFormat="1" ht="21.95" customHeight="1" x14ac:dyDescent="0.15"/>
    <row r="47861" spans="3:3" s="9" customFormat="1" ht="21.95" customHeight="1" x14ac:dyDescent="0.15"/>
    <row r="47862" spans="3:3" s="9" customFormat="1" ht="21.95" customHeight="1" x14ac:dyDescent="0.15"/>
    <row r="47863" spans="3:3" s="9" customFormat="1" ht="21.95" customHeight="1" x14ac:dyDescent="0.15"/>
    <row r="47864" spans="3:3" s="9" customFormat="1" ht="21.95" customHeight="1" x14ac:dyDescent="0.15"/>
    <row r="47865" spans="3:3" s="9" customFormat="1" ht="21.95" customHeight="1" x14ac:dyDescent="0.15"/>
    <row r="47866" spans="3:3" s="9" customFormat="1" ht="21.95" customHeight="1" x14ac:dyDescent="0.15"/>
    <row r="47867" spans="3:3" s="9" customFormat="1" ht="21.95" customHeight="1" x14ac:dyDescent="0.15"/>
    <row r="47868" spans="3:3" s="9" customFormat="1" ht="21.95" customHeight="1" x14ac:dyDescent="0.15"/>
    <row r="47869" spans="3:3" s="9" customFormat="1" ht="21.95" customHeight="1" x14ac:dyDescent="0.15"/>
    <row r="47870" spans="3:3" s="8" customFormat="1" ht="21.95" customHeight="1" x14ac:dyDescent="0.15"/>
    <row r="47871" spans="3:3" s="8" customFormat="1" ht="21.95" customHeight="1" x14ac:dyDescent="0.15"/>
    <row r="47872" spans="3:3" s="8" customFormat="1" ht="21.95" customHeight="1" x14ac:dyDescent="0.15">
      <c r="C47872" s="101"/>
    </row>
    <row r="47873" spans="3:3" s="8" customFormat="1" ht="21.95" customHeight="1" x14ac:dyDescent="0.15">
      <c r="C47873" s="101"/>
    </row>
    <row r="47874" spans="3:3" s="8" customFormat="1" ht="21.95" customHeight="1" x14ac:dyDescent="0.15"/>
    <row r="47875" spans="3:3" s="8" customFormat="1" ht="21.95" customHeight="1" x14ac:dyDescent="0.15"/>
    <row r="47876" spans="3:3" s="8" customFormat="1" ht="21.95" customHeight="1" x14ac:dyDescent="0.15"/>
    <row r="47877" spans="3:3" s="8" customFormat="1" ht="21.95" customHeight="1" x14ac:dyDescent="0.15"/>
    <row r="47878" spans="3:3" s="8" customFormat="1" ht="21.95" customHeight="1" x14ac:dyDescent="0.15"/>
    <row r="47879" spans="3:3" s="8" customFormat="1" ht="21.95" customHeight="1" x14ac:dyDescent="0.15"/>
    <row r="47880" spans="3:3" s="8" customFormat="1" ht="21.95" customHeight="1" x14ac:dyDescent="0.15"/>
    <row r="47881" spans="3:3" s="9" customFormat="1" ht="21.95" customHeight="1" x14ac:dyDescent="0.15"/>
    <row r="47882" spans="3:3" s="9" customFormat="1" ht="21.95" customHeight="1" x14ac:dyDescent="0.15"/>
    <row r="47883" spans="3:3" s="9" customFormat="1" ht="21.95" customHeight="1" x14ac:dyDescent="0.15"/>
    <row r="47884" spans="3:3" s="9" customFormat="1" ht="21.95" customHeight="1" x14ac:dyDescent="0.15"/>
    <row r="47885" spans="3:3" s="8" customFormat="1" ht="21.95" customHeight="1" x14ac:dyDescent="0.15"/>
    <row r="47886" spans="3:3" s="8" customFormat="1" ht="21.95" customHeight="1" x14ac:dyDescent="0.15"/>
    <row r="47887" spans="3:3" s="8" customFormat="1" ht="21.95" customHeight="1" x14ac:dyDescent="0.15"/>
    <row r="47888" spans="3:3" s="8" customFormat="1" ht="21.95" customHeight="1" x14ac:dyDescent="0.15"/>
    <row r="47889" s="8" customFormat="1" ht="21.95" customHeight="1" x14ac:dyDescent="0.15"/>
    <row r="47890" s="8" customFormat="1" ht="21.95" customHeight="1" x14ac:dyDescent="0.15"/>
    <row r="47891" s="8" customFormat="1" ht="21.95" customHeight="1" x14ac:dyDescent="0.15"/>
    <row r="47892" s="8" customFormat="1" ht="21.95" customHeight="1" x14ac:dyDescent="0.15"/>
    <row r="47893" s="8" customFormat="1" ht="21.95" customHeight="1" x14ac:dyDescent="0.15"/>
    <row r="47894" s="8" customFormat="1" ht="21.95" customHeight="1" x14ac:dyDescent="0.15"/>
    <row r="47895" s="8" customFormat="1" ht="21.95" customHeight="1" x14ac:dyDescent="0.15"/>
    <row r="47896" s="8" customFormat="1" ht="32.1" customHeight="1" x14ac:dyDescent="0.15"/>
    <row r="47897" s="8" customFormat="1" ht="32.1" customHeight="1" x14ac:dyDescent="0.15"/>
    <row r="47898" s="8" customFormat="1" ht="32.1" customHeight="1" x14ac:dyDescent="0.15"/>
    <row r="47899" s="8" customFormat="1" ht="32.1" customHeight="1" x14ac:dyDescent="0.15"/>
    <row r="47900" s="8" customFormat="1" ht="32.1" customHeight="1" x14ac:dyDescent="0.15"/>
    <row r="47901" s="8" customFormat="1" ht="32.1" customHeight="1" x14ac:dyDescent="0.15"/>
    <row r="47902" s="9" customFormat="1" ht="32.1" customHeight="1" x14ac:dyDescent="0.15"/>
    <row r="47903" s="9" customFormat="1" ht="32.1" customHeight="1" x14ac:dyDescent="0.15"/>
    <row r="47904" s="9" customFormat="1" ht="32.1" customHeight="1" x14ac:dyDescent="0.15"/>
    <row r="47905" s="9" customFormat="1" ht="32.1" customHeight="1" x14ac:dyDescent="0.15"/>
    <row r="47906" s="9" customFormat="1" ht="21.95" customHeight="1" x14ac:dyDescent="0.15"/>
    <row r="47907" s="9" customFormat="1" ht="54" customHeight="1" x14ac:dyDescent="0.15"/>
    <row r="47908" s="9" customFormat="1" ht="21.95" customHeight="1" x14ac:dyDescent="0.15"/>
    <row r="47909" s="9" customFormat="1" ht="21.95" customHeight="1" x14ac:dyDescent="0.15"/>
    <row r="47910" s="9" customFormat="1" ht="21.95" customHeight="1" x14ac:dyDescent="0.15"/>
    <row r="47911" s="9" customFormat="1" ht="21.95" customHeight="1" x14ac:dyDescent="0.15"/>
    <row r="47912" s="9" customFormat="1" ht="21.95" customHeight="1" x14ac:dyDescent="0.15"/>
    <row r="47913" s="9" customFormat="1" ht="21.95" customHeight="1" x14ac:dyDescent="0.15"/>
    <row r="47914" s="9" customFormat="1" ht="21.95" customHeight="1" x14ac:dyDescent="0.15"/>
    <row r="47915" s="9" customFormat="1" ht="21.95" customHeight="1" x14ac:dyDescent="0.15"/>
    <row r="47916" s="9" customFormat="1" ht="21.95" customHeight="1" x14ac:dyDescent="0.15"/>
    <row r="47917" s="9" customFormat="1" ht="21.95" customHeight="1" x14ac:dyDescent="0.15"/>
    <row r="47918" s="9" customFormat="1" ht="21.95" customHeight="1" x14ac:dyDescent="0.15"/>
    <row r="47919" s="9" customFormat="1" ht="21.95" customHeight="1" x14ac:dyDescent="0.15"/>
    <row r="47920" s="9" customFormat="1" ht="21.95" customHeight="1" x14ac:dyDescent="0.15"/>
    <row r="47921" s="9" customFormat="1" ht="21.95" customHeight="1" x14ac:dyDescent="0.15"/>
    <row r="47922" s="9" customFormat="1" ht="21.95" customHeight="1" x14ac:dyDescent="0.15"/>
    <row r="47923" s="9" customFormat="1" ht="21.95" customHeight="1" x14ac:dyDescent="0.15"/>
    <row r="47924" s="9" customFormat="1" ht="21.95" customHeight="1" x14ac:dyDescent="0.15"/>
    <row r="47925" s="9" customFormat="1" ht="21.95" customHeight="1" x14ac:dyDescent="0.15"/>
    <row r="47926" s="9" customFormat="1" ht="21.95" customHeight="1" x14ac:dyDescent="0.15"/>
    <row r="47927" s="9" customFormat="1" ht="21.95" customHeight="1" x14ac:dyDescent="0.15"/>
    <row r="47928" s="9" customFormat="1" ht="21.95" customHeight="1" x14ac:dyDescent="0.15"/>
    <row r="47929" s="9" customFormat="1" ht="21.95" customHeight="1" x14ac:dyDescent="0.15"/>
    <row r="47930" s="9" customFormat="1" ht="21.95" customHeight="1" x14ac:dyDescent="0.15"/>
    <row r="47931" s="9" customFormat="1" ht="21.95" customHeight="1" x14ac:dyDescent="0.15"/>
    <row r="47932" s="9" customFormat="1" ht="21.95" customHeight="1" x14ac:dyDescent="0.15"/>
    <row r="47933" s="9" customFormat="1" ht="21.95" customHeight="1" x14ac:dyDescent="0.15"/>
    <row r="47934" s="9" customFormat="1" ht="21.95" customHeight="1" x14ac:dyDescent="0.15"/>
    <row r="47935" s="9" customFormat="1" ht="21.95" customHeight="1" x14ac:dyDescent="0.15"/>
    <row r="47936" s="9" customFormat="1" ht="21.95" customHeight="1" x14ac:dyDescent="0.15"/>
    <row r="47937" s="9" customFormat="1" ht="21.95" customHeight="1" x14ac:dyDescent="0.15"/>
    <row r="47938" s="9" customFormat="1" ht="21.95" customHeight="1" x14ac:dyDescent="0.15"/>
    <row r="47939" s="9" customFormat="1" ht="21.95" customHeight="1" x14ac:dyDescent="0.15"/>
    <row r="47940" s="9" customFormat="1" ht="21.95" customHeight="1" x14ac:dyDescent="0.15"/>
    <row r="47941" s="9" customFormat="1" ht="21.95" customHeight="1" x14ac:dyDescent="0.15"/>
    <row r="47942" s="9" customFormat="1" ht="21.95" customHeight="1" x14ac:dyDescent="0.15"/>
    <row r="47943" s="9" customFormat="1" ht="21.95" customHeight="1" x14ac:dyDescent="0.15"/>
    <row r="47944" s="9" customFormat="1" ht="21.95" customHeight="1" x14ac:dyDescent="0.15"/>
    <row r="47945" s="9" customFormat="1" ht="21.95" customHeight="1" x14ac:dyDescent="0.15"/>
    <row r="47946" s="9" customFormat="1" ht="21.95" customHeight="1" x14ac:dyDescent="0.15"/>
    <row r="47947" s="9" customFormat="1" ht="21.95" customHeight="1" x14ac:dyDescent="0.15"/>
    <row r="47948" s="9" customFormat="1" ht="21.95" customHeight="1" x14ac:dyDescent="0.15"/>
    <row r="47949" s="9" customFormat="1" ht="21.95" customHeight="1" x14ac:dyDescent="0.15"/>
    <row r="47950" s="9" customFormat="1" ht="21.95" customHeight="1" x14ac:dyDescent="0.15"/>
    <row r="47951" s="9" customFormat="1" ht="21.95" customHeight="1" x14ac:dyDescent="0.15"/>
    <row r="47952" s="9" customFormat="1" ht="21.95" customHeight="1" x14ac:dyDescent="0.15"/>
    <row r="47953" s="9" customFormat="1" ht="21.95" customHeight="1" x14ac:dyDescent="0.15"/>
    <row r="47954" s="9" customFormat="1" ht="21.95" customHeight="1" x14ac:dyDescent="0.15"/>
    <row r="47955" s="9" customFormat="1" ht="21.95" customHeight="1" x14ac:dyDescent="0.15"/>
    <row r="47956" s="9" customFormat="1" ht="21.95" customHeight="1" x14ac:dyDescent="0.15"/>
    <row r="47957" s="9" customFormat="1" ht="21.95" customHeight="1" x14ac:dyDescent="0.15"/>
    <row r="47958" s="9" customFormat="1" ht="35.1" customHeight="1" x14ac:dyDescent="0.15"/>
    <row r="47959" s="9" customFormat="1" ht="21.95" customHeight="1" x14ac:dyDescent="0.15"/>
    <row r="47960" s="9" customFormat="1" ht="21.95" customHeight="1" x14ac:dyDescent="0.15"/>
    <row r="47961" s="9" customFormat="1" ht="21.95" customHeight="1" x14ac:dyDescent="0.15"/>
    <row r="47962" s="9" customFormat="1" ht="21.95" customHeight="1" x14ac:dyDescent="0.15"/>
    <row r="47963" s="9" customFormat="1" ht="21.95" customHeight="1" x14ac:dyDescent="0.15"/>
    <row r="47964" s="9" customFormat="1" ht="21.95" customHeight="1" x14ac:dyDescent="0.15"/>
    <row r="47965" s="9" customFormat="1" ht="21.95" customHeight="1" x14ac:dyDescent="0.15"/>
    <row r="47966" s="9" customFormat="1" ht="21.95" customHeight="1" x14ac:dyDescent="0.15"/>
    <row r="47967" s="9" customFormat="1" ht="21.95" customHeight="1" x14ac:dyDescent="0.15"/>
    <row r="47968" s="9" customFormat="1" ht="21.95" customHeight="1" x14ac:dyDescent="0.15"/>
    <row r="47969" spans="3:3" s="9" customFormat="1" ht="21.95" customHeight="1" x14ac:dyDescent="0.15"/>
    <row r="47970" spans="3:3" s="9" customFormat="1" ht="21.95" customHeight="1" x14ac:dyDescent="0.15"/>
    <row r="47971" spans="3:3" s="9" customFormat="1" ht="21.95" customHeight="1" x14ac:dyDescent="0.15"/>
    <row r="47972" spans="3:3" s="9" customFormat="1" ht="21.95" customHeight="1" x14ac:dyDescent="0.15"/>
    <row r="47973" spans="3:3" s="9" customFormat="1" ht="21.95" customHeight="1" x14ac:dyDescent="0.15"/>
    <row r="47974" spans="3:3" s="9" customFormat="1" ht="21.95" customHeight="1" x14ac:dyDescent="0.15"/>
    <row r="47975" spans="3:3" s="9" customFormat="1" ht="21.95" customHeight="1" x14ac:dyDescent="0.15"/>
    <row r="47976" spans="3:3" s="9" customFormat="1" ht="21.95" customHeight="1" x14ac:dyDescent="0.15"/>
    <row r="47977" spans="3:3" s="9" customFormat="1" ht="21.95" customHeight="1" x14ac:dyDescent="0.15"/>
    <row r="47978" spans="3:3" s="9" customFormat="1" ht="21.95" customHeight="1" x14ac:dyDescent="0.15"/>
    <row r="47979" spans="3:3" s="9" customFormat="1" ht="21.95" customHeight="1" x14ac:dyDescent="0.15"/>
    <row r="47980" spans="3:3" s="9" customFormat="1" ht="21.95" customHeight="1" x14ac:dyDescent="0.15"/>
    <row r="47981" spans="3:3" s="9" customFormat="1" ht="21.95" customHeight="1" x14ac:dyDescent="0.15"/>
    <row r="47982" spans="3:3" s="8" customFormat="1" ht="21.95" customHeight="1" x14ac:dyDescent="0.15"/>
    <row r="47983" spans="3:3" s="8" customFormat="1" ht="21.95" customHeight="1" x14ac:dyDescent="0.15"/>
    <row r="47984" spans="3:3" s="8" customFormat="1" ht="21.95" customHeight="1" x14ac:dyDescent="0.15">
      <c r="C47984" s="101"/>
    </row>
    <row r="47985" spans="3:3" s="8" customFormat="1" ht="21.95" customHeight="1" x14ac:dyDescent="0.15">
      <c r="C47985" s="101"/>
    </row>
    <row r="47986" spans="3:3" s="8" customFormat="1" ht="21.95" customHeight="1" x14ac:dyDescent="0.15"/>
    <row r="47987" spans="3:3" s="8" customFormat="1" ht="21.95" customHeight="1" x14ac:dyDescent="0.15"/>
    <row r="47988" spans="3:3" s="8" customFormat="1" ht="21.95" customHeight="1" x14ac:dyDescent="0.15"/>
    <row r="47989" spans="3:3" s="8" customFormat="1" ht="21.95" customHeight="1" x14ac:dyDescent="0.15"/>
    <row r="47990" spans="3:3" s="8" customFormat="1" ht="21.95" customHeight="1" x14ac:dyDescent="0.15"/>
    <row r="47991" spans="3:3" s="8" customFormat="1" ht="21.95" customHeight="1" x14ac:dyDescent="0.15"/>
    <row r="47992" spans="3:3" s="8" customFormat="1" ht="21.95" customHeight="1" x14ac:dyDescent="0.15"/>
    <row r="47993" spans="3:3" s="9" customFormat="1" ht="21.95" customHeight="1" x14ac:dyDescent="0.15"/>
    <row r="47994" spans="3:3" s="9" customFormat="1" ht="21.95" customHeight="1" x14ac:dyDescent="0.15"/>
    <row r="47995" spans="3:3" s="9" customFormat="1" ht="21.95" customHeight="1" x14ac:dyDescent="0.15"/>
    <row r="47996" spans="3:3" s="9" customFormat="1" ht="21.95" customHeight="1" x14ac:dyDescent="0.15"/>
    <row r="47997" spans="3:3" s="8" customFormat="1" ht="21.95" customHeight="1" x14ac:dyDescent="0.15"/>
    <row r="47998" spans="3:3" s="8" customFormat="1" ht="21.95" customHeight="1" x14ac:dyDescent="0.15"/>
    <row r="47999" spans="3:3" s="8" customFormat="1" ht="21.95" customHeight="1" x14ac:dyDescent="0.15"/>
    <row r="48000" spans="3:3" s="8" customFormat="1" ht="21.95" customHeight="1" x14ac:dyDescent="0.15"/>
    <row r="48001" s="8" customFormat="1" ht="21.95" customHeight="1" x14ac:dyDescent="0.15"/>
    <row r="48002" s="8" customFormat="1" ht="21.95" customHeight="1" x14ac:dyDescent="0.15"/>
    <row r="48003" s="8" customFormat="1" ht="21.95" customHeight="1" x14ac:dyDescent="0.15"/>
    <row r="48004" s="8" customFormat="1" ht="21.95" customHeight="1" x14ac:dyDescent="0.15"/>
    <row r="48005" s="8" customFormat="1" ht="21.95" customHeight="1" x14ac:dyDescent="0.15"/>
    <row r="48006" s="8" customFormat="1" ht="21.95" customHeight="1" x14ac:dyDescent="0.15"/>
    <row r="48007" s="8" customFormat="1" ht="21.95" customHeight="1" x14ac:dyDescent="0.15"/>
    <row r="48008" s="8" customFormat="1" ht="32.1" customHeight="1" x14ac:dyDescent="0.15"/>
    <row r="48009" s="8" customFormat="1" ht="32.1" customHeight="1" x14ac:dyDescent="0.15"/>
    <row r="48010" s="8" customFormat="1" ht="32.1" customHeight="1" x14ac:dyDescent="0.15"/>
    <row r="48011" s="8" customFormat="1" ht="32.1" customHeight="1" x14ac:dyDescent="0.15"/>
    <row r="48012" s="8" customFormat="1" ht="32.1" customHeight="1" x14ac:dyDescent="0.15"/>
    <row r="48013" s="8" customFormat="1" ht="32.1" customHeight="1" x14ac:dyDescent="0.15"/>
    <row r="48014" s="9" customFormat="1" ht="32.1" customHeight="1" x14ac:dyDescent="0.15"/>
    <row r="48015" s="9" customFormat="1" ht="32.1" customHeight="1" x14ac:dyDescent="0.15"/>
    <row r="48016" s="9" customFormat="1" ht="32.1" customHeight="1" x14ac:dyDescent="0.15"/>
    <row r="48017" s="9" customFormat="1" ht="32.1" customHeight="1" x14ac:dyDescent="0.15"/>
    <row r="48018" s="9" customFormat="1" ht="21.95" customHeight="1" x14ac:dyDescent="0.15"/>
    <row r="48019" s="9" customFormat="1" ht="54" customHeight="1" x14ac:dyDescent="0.15"/>
    <row r="48020" s="9" customFormat="1" ht="21.95" customHeight="1" x14ac:dyDescent="0.15"/>
    <row r="48021" s="9" customFormat="1" ht="21.95" customHeight="1" x14ac:dyDescent="0.15"/>
    <row r="48022" s="9" customFormat="1" ht="21.95" customHeight="1" x14ac:dyDescent="0.15"/>
    <row r="48023" s="9" customFormat="1" ht="21.95" customHeight="1" x14ac:dyDescent="0.15"/>
    <row r="48024" s="9" customFormat="1" ht="21.95" customHeight="1" x14ac:dyDescent="0.15"/>
    <row r="48025" s="9" customFormat="1" ht="21.95" customHeight="1" x14ac:dyDescent="0.15"/>
    <row r="48026" s="9" customFormat="1" ht="21.95" customHeight="1" x14ac:dyDescent="0.15"/>
    <row r="48027" s="9" customFormat="1" ht="21.95" customHeight="1" x14ac:dyDescent="0.15"/>
    <row r="48028" s="9" customFormat="1" ht="21.95" customHeight="1" x14ac:dyDescent="0.15"/>
    <row r="48029" s="9" customFormat="1" ht="21.95" customHeight="1" x14ac:dyDescent="0.15"/>
    <row r="48030" s="9" customFormat="1" ht="21.95" customHeight="1" x14ac:dyDescent="0.15"/>
    <row r="48031" s="9" customFormat="1" ht="21.95" customHeight="1" x14ac:dyDescent="0.15"/>
    <row r="48032" s="9" customFormat="1" ht="21.95" customHeight="1" x14ac:dyDescent="0.15"/>
    <row r="48033" s="9" customFormat="1" ht="21.95" customHeight="1" x14ac:dyDescent="0.15"/>
    <row r="48034" s="9" customFormat="1" ht="21.95" customHeight="1" x14ac:dyDescent="0.15"/>
    <row r="48035" s="9" customFormat="1" ht="21.95" customHeight="1" x14ac:dyDescent="0.15"/>
    <row r="48036" s="9" customFormat="1" ht="21.95" customHeight="1" x14ac:dyDescent="0.15"/>
    <row r="48037" s="9" customFormat="1" ht="21.95" customHeight="1" x14ac:dyDescent="0.15"/>
    <row r="48038" s="9" customFormat="1" ht="21.95" customHeight="1" x14ac:dyDescent="0.15"/>
    <row r="48039" s="9" customFormat="1" ht="21.95" customHeight="1" x14ac:dyDescent="0.15"/>
    <row r="48040" s="9" customFormat="1" ht="21.95" customHeight="1" x14ac:dyDescent="0.15"/>
    <row r="48041" s="9" customFormat="1" ht="21.95" customHeight="1" x14ac:dyDescent="0.15"/>
    <row r="48042" s="9" customFormat="1" ht="21.95" customHeight="1" x14ac:dyDescent="0.15"/>
    <row r="48043" s="9" customFormat="1" ht="21.95" customHeight="1" x14ac:dyDescent="0.15"/>
    <row r="48044" s="9" customFormat="1" ht="21.95" customHeight="1" x14ac:dyDescent="0.15"/>
    <row r="48045" s="9" customFormat="1" ht="21.95" customHeight="1" x14ac:dyDescent="0.15"/>
    <row r="48046" s="9" customFormat="1" ht="21.95" customHeight="1" x14ac:dyDescent="0.15"/>
    <row r="48047" s="9" customFormat="1" ht="21.95" customHeight="1" x14ac:dyDescent="0.15"/>
    <row r="48048" s="9" customFormat="1" ht="21.95" customHeight="1" x14ac:dyDescent="0.15"/>
    <row r="48049" s="9" customFormat="1" ht="21.95" customHeight="1" x14ac:dyDescent="0.15"/>
    <row r="48050" s="9" customFormat="1" ht="21.95" customHeight="1" x14ac:dyDescent="0.15"/>
    <row r="48051" s="9" customFormat="1" ht="21.95" customHeight="1" x14ac:dyDescent="0.15"/>
    <row r="48052" s="9" customFormat="1" ht="21.95" customHeight="1" x14ac:dyDescent="0.15"/>
    <row r="48053" s="9" customFormat="1" ht="21.95" customHeight="1" x14ac:dyDescent="0.15"/>
    <row r="48054" s="9" customFormat="1" ht="21.95" customHeight="1" x14ac:dyDescent="0.15"/>
    <row r="48055" s="9" customFormat="1" ht="21.95" customHeight="1" x14ac:dyDescent="0.15"/>
    <row r="48056" s="9" customFormat="1" ht="21.95" customHeight="1" x14ac:dyDescent="0.15"/>
    <row r="48057" s="9" customFormat="1" ht="21.95" customHeight="1" x14ac:dyDescent="0.15"/>
    <row r="48058" s="9" customFormat="1" ht="21.95" customHeight="1" x14ac:dyDescent="0.15"/>
    <row r="48059" s="9" customFormat="1" ht="21.95" customHeight="1" x14ac:dyDescent="0.15"/>
    <row r="48060" s="9" customFormat="1" ht="21.95" customHeight="1" x14ac:dyDescent="0.15"/>
    <row r="48061" s="9" customFormat="1" ht="21.95" customHeight="1" x14ac:dyDescent="0.15"/>
    <row r="48062" s="9" customFormat="1" ht="21.95" customHeight="1" x14ac:dyDescent="0.15"/>
    <row r="48063" s="9" customFormat="1" ht="21.95" customHeight="1" x14ac:dyDescent="0.15"/>
    <row r="48064" s="9" customFormat="1" ht="21.95" customHeight="1" x14ac:dyDescent="0.15"/>
    <row r="48065" s="9" customFormat="1" ht="21.95" customHeight="1" x14ac:dyDescent="0.15"/>
    <row r="48066" s="9" customFormat="1" ht="21.95" customHeight="1" x14ac:dyDescent="0.15"/>
    <row r="48067" s="9" customFormat="1" ht="21.95" customHeight="1" x14ac:dyDescent="0.15"/>
    <row r="48068" s="9" customFormat="1" ht="21.95" customHeight="1" x14ac:dyDescent="0.15"/>
    <row r="48069" s="9" customFormat="1" ht="21.95" customHeight="1" x14ac:dyDescent="0.15"/>
    <row r="48070" s="9" customFormat="1" ht="35.1" customHeight="1" x14ac:dyDescent="0.15"/>
    <row r="48071" s="9" customFormat="1" ht="21.95" customHeight="1" x14ac:dyDescent="0.15"/>
    <row r="48072" s="9" customFormat="1" ht="21.95" customHeight="1" x14ac:dyDescent="0.15"/>
    <row r="48073" s="9" customFormat="1" ht="21.95" customHeight="1" x14ac:dyDescent="0.15"/>
    <row r="48074" s="9" customFormat="1" ht="21.95" customHeight="1" x14ac:dyDescent="0.15"/>
    <row r="48075" s="9" customFormat="1" ht="21.95" customHeight="1" x14ac:dyDescent="0.15"/>
    <row r="48076" s="9" customFormat="1" ht="21.95" customHeight="1" x14ac:dyDescent="0.15"/>
    <row r="48077" s="9" customFormat="1" ht="21.95" customHeight="1" x14ac:dyDescent="0.15"/>
    <row r="48078" s="9" customFormat="1" ht="21.95" customHeight="1" x14ac:dyDescent="0.15"/>
    <row r="48079" s="9" customFormat="1" ht="21.95" customHeight="1" x14ac:dyDescent="0.15"/>
    <row r="48080" s="9" customFormat="1" ht="21.95" customHeight="1" x14ac:dyDescent="0.15"/>
    <row r="48081" spans="3:3" s="9" customFormat="1" ht="21.95" customHeight="1" x14ac:dyDescent="0.15"/>
    <row r="48082" spans="3:3" s="9" customFormat="1" ht="21.95" customHeight="1" x14ac:dyDescent="0.15"/>
    <row r="48083" spans="3:3" s="9" customFormat="1" ht="21.95" customHeight="1" x14ac:dyDescent="0.15"/>
    <row r="48084" spans="3:3" s="9" customFormat="1" ht="21.95" customHeight="1" x14ac:dyDescent="0.15"/>
    <row r="48085" spans="3:3" s="9" customFormat="1" ht="21.95" customHeight="1" x14ac:dyDescent="0.15"/>
    <row r="48086" spans="3:3" s="9" customFormat="1" ht="21.95" customHeight="1" x14ac:dyDescent="0.15"/>
    <row r="48087" spans="3:3" s="9" customFormat="1" ht="21.95" customHeight="1" x14ac:dyDescent="0.15"/>
    <row r="48088" spans="3:3" s="9" customFormat="1" ht="21.95" customHeight="1" x14ac:dyDescent="0.15"/>
    <row r="48089" spans="3:3" s="9" customFormat="1" ht="21.95" customHeight="1" x14ac:dyDescent="0.15"/>
    <row r="48090" spans="3:3" s="9" customFormat="1" ht="21.95" customHeight="1" x14ac:dyDescent="0.15"/>
    <row r="48091" spans="3:3" s="9" customFormat="1" ht="21.95" customHeight="1" x14ac:dyDescent="0.15"/>
    <row r="48092" spans="3:3" s="9" customFormat="1" ht="21.95" customHeight="1" x14ac:dyDescent="0.15"/>
    <row r="48093" spans="3:3" s="9" customFormat="1" ht="21.95" customHeight="1" x14ac:dyDescent="0.15"/>
    <row r="48094" spans="3:3" s="8" customFormat="1" ht="21.95" customHeight="1" x14ac:dyDescent="0.15"/>
    <row r="48095" spans="3:3" s="8" customFormat="1" ht="21.95" customHeight="1" x14ac:dyDescent="0.15"/>
    <row r="48096" spans="3:3" s="8" customFormat="1" ht="21.95" customHeight="1" x14ac:dyDescent="0.15">
      <c r="C48096" s="101"/>
    </row>
    <row r="48097" spans="3:3" s="8" customFormat="1" ht="21.95" customHeight="1" x14ac:dyDescent="0.15">
      <c r="C48097" s="101"/>
    </row>
    <row r="48098" spans="3:3" s="8" customFormat="1" ht="21.95" customHeight="1" x14ac:dyDescent="0.15"/>
    <row r="48099" spans="3:3" s="8" customFormat="1" ht="21.95" customHeight="1" x14ac:dyDescent="0.15"/>
    <row r="48100" spans="3:3" s="8" customFormat="1" ht="21.95" customHeight="1" x14ac:dyDescent="0.15"/>
    <row r="48101" spans="3:3" s="8" customFormat="1" ht="21.95" customHeight="1" x14ac:dyDescent="0.15"/>
    <row r="48102" spans="3:3" s="8" customFormat="1" ht="21.95" customHeight="1" x14ac:dyDescent="0.15"/>
    <row r="48103" spans="3:3" s="8" customFormat="1" ht="21.95" customHeight="1" x14ac:dyDescent="0.15"/>
    <row r="48104" spans="3:3" s="8" customFormat="1" ht="21.95" customHeight="1" x14ac:dyDescent="0.15"/>
    <row r="48105" spans="3:3" s="9" customFormat="1" ht="21.95" customHeight="1" x14ac:dyDescent="0.15"/>
    <row r="48106" spans="3:3" s="9" customFormat="1" ht="21.95" customHeight="1" x14ac:dyDescent="0.15"/>
    <row r="48107" spans="3:3" s="9" customFormat="1" ht="21.95" customHeight="1" x14ac:dyDescent="0.15"/>
    <row r="48108" spans="3:3" s="9" customFormat="1" ht="21.95" customHeight="1" x14ac:dyDescent="0.15"/>
    <row r="48109" spans="3:3" s="8" customFormat="1" ht="21.95" customHeight="1" x14ac:dyDescent="0.15"/>
    <row r="48110" spans="3:3" s="8" customFormat="1" ht="21.95" customHeight="1" x14ac:dyDescent="0.15"/>
    <row r="48111" spans="3:3" s="8" customFormat="1" ht="21.95" customHeight="1" x14ac:dyDescent="0.15"/>
    <row r="48112" spans="3:3" s="8" customFormat="1" ht="21.95" customHeight="1" x14ac:dyDescent="0.15"/>
    <row r="48113" s="8" customFormat="1" ht="21.95" customHeight="1" x14ac:dyDescent="0.15"/>
    <row r="48114" s="8" customFormat="1" ht="21.95" customHeight="1" x14ac:dyDescent="0.15"/>
    <row r="48115" s="8" customFormat="1" ht="21.95" customHeight="1" x14ac:dyDescent="0.15"/>
    <row r="48116" s="8" customFormat="1" ht="21.95" customHeight="1" x14ac:dyDescent="0.15"/>
    <row r="48117" s="8" customFormat="1" ht="21.95" customHeight="1" x14ac:dyDescent="0.15"/>
    <row r="48118" s="8" customFormat="1" ht="21.95" customHeight="1" x14ac:dyDescent="0.15"/>
    <row r="48119" s="8" customFormat="1" ht="21.95" customHeight="1" x14ac:dyDescent="0.15"/>
    <row r="48120" s="8" customFormat="1" ht="32.1" customHeight="1" x14ac:dyDescent="0.15"/>
    <row r="48121" s="8" customFormat="1" ht="32.1" customHeight="1" x14ac:dyDescent="0.15"/>
    <row r="48122" s="8" customFormat="1" ht="32.1" customHeight="1" x14ac:dyDescent="0.15"/>
    <row r="48123" s="8" customFormat="1" ht="32.1" customHeight="1" x14ac:dyDescent="0.15"/>
    <row r="48124" s="8" customFormat="1" ht="32.1" customHeight="1" x14ac:dyDescent="0.15"/>
    <row r="48125" s="8" customFormat="1" ht="32.1" customHeight="1" x14ac:dyDescent="0.15"/>
    <row r="48126" s="9" customFormat="1" ht="32.1" customHeight="1" x14ac:dyDescent="0.15"/>
    <row r="48127" s="9" customFormat="1" ht="32.1" customHeight="1" x14ac:dyDescent="0.15"/>
    <row r="48128" s="9" customFormat="1" ht="32.1" customHeight="1" x14ac:dyDescent="0.15"/>
    <row r="48129" s="9" customFormat="1" ht="32.1" customHeight="1" x14ac:dyDescent="0.15"/>
    <row r="48130" s="9" customFormat="1" ht="21.95" customHeight="1" x14ac:dyDescent="0.15"/>
    <row r="48131" s="9" customFormat="1" ht="54" customHeight="1" x14ac:dyDescent="0.15"/>
    <row r="48132" s="9" customFormat="1" ht="21.95" customHeight="1" x14ac:dyDescent="0.15"/>
    <row r="48133" s="9" customFormat="1" ht="21.95" customHeight="1" x14ac:dyDescent="0.15"/>
    <row r="48134" s="9" customFormat="1" ht="21.95" customHeight="1" x14ac:dyDescent="0.15"/>
    <row r="48135" s="9" customFormat="1" ht="21.95" customHeight="1" x14ac:dyDescent="0.15"/>
    <row r="48136" s="9" customFormat="1" ht="21.95" customHeight="1" x14ac:dyDescent="0.15"/>
    <row r="48137" s="9" customFormat="1" ht="21.95" customHeight="1" x14ac:dyDescent="0.15"/>
    <row r="48138" s="9" customFormat="1" ht="21.95" customHeight="1" x14ac:dyDescent="0.15"/>
    <row r="48139" s="9" customFormat="1" ht="21.95" customHeight="1" x14ac:dyDescent="0.15"/>
    <row r="48140" s="9" customFormat="1" ht="21.95" customHeight="1" x14ac:dyDescent="0.15"/>
    <row r="48141" s="9" customFormat="1" ht="21.95" customHeight="1" x14ac:dyDescent="0.15"/>
    <row r="48142" s="9" customFormat="1" ht="21.95" customHeight="1" x14ac:dyDescent="0.15"/>
    <row r="48143" s="9" customFormat="1" ht="21.95" customHeight="1" x14ac:dyDescent="0.15"/>
    <row r="48144" s="9" customFormat="1" ht="21.95" customHeight="1" x14ac:dyDescent="0.15"/>
    <row r="48145" s="9" customFormat="1" ht="21.95" customHeight="1" x14ac:dyDescent="0.15"/>
    <row r="48146" s="9" customFormat="1" ht="21.95" customHeight="1" x14ac:dyDescent="0.15"/>
    <row r="48147" s="9" customFormat="1" ht="21.95" customHeight="1" x14ac:dyDescent="0.15"/>
    <row r="48148" s="9" customFormat="1" ht="21.95" customHeight="1" x14ac:dyDescent="0.15"/>
    <row r="48149" s="9" customFormat="1" ht="21.95" customHeight="1" x14ac:dyDescent="0.15"/>
    <row r="48150" s="9" customFormat="1" ht="21.95" customHeight="1" x14ac:dyDescent="0.15"/>
    <row r="48151" s="9" customFormat="1" ht="21.95" customHeight="1" x14ac:dyDescent="0.15"/>
    <row r="48152" s="9" customFormat="1" ht="21.95" customHeight="1" x14ac:dyDescent="0.15"/>
    <row r="48153" s="9" customFormat="1" ht="21.95" customHeight="1" x14ac:dyDescent="0.15"/>
    <row r="48154" s="9" customFormat="1" ht="21.95" customHeight="1" x14ac:dyDescent="0.15"/>
    <row r="48155" s="9" customFormat="1" ht="21.95" customHeight="1" x14ac:dyDescent="0.15"/>
    <row r="48156" s="9" customFormat="1" ht="21.95" customHeight="1" x14ac:dyDescent="0.15"/>
    <row r="48157" s="9" customFormat="1" ht="21.95" customHeight="1" x14ac:dyDescent="0.15"/>
    <row r="48158" s="9" customFormat="1" ht="21.95" customHeight="1" x14ac:dyDescent="0.15"/>
    <row r="48159" s="9" customFormat="1" ht="21.95" customHeight="1" x14ac:dyDescent="0.15"/>
    <row r="48160" s="9" customFormat="1" ht="21.95" customHeight="1" x14ac:dyDescent="0.15"/>
    <row r="48161" s="9" customFormat="1" ht="21.95" customHeight="1" x14ac:dyDescent="0.15"/>
    <row r="48162" s="9" customFormat="1" ht="21.95" customHeight="1" x14ac:dyDescent="0.15"/>
    <row r="48163" s="9" customFormat="1" ht="21.95" customHeight="1" x14ac:dyDescent="0.15"/>
    <row r="48164" s="9" customFormat="1" ht="21.95" customHeight="1" x14ac:dyDescent="0.15"/>
    <row r="48165" s="9" customFormat="1" ht="21.95" customHeight="1" x14ac:dyDescent="0.15"/>
    <row r="48166" s="9" customFormat="1" ht="21.95" customHeight="1" x14ac:dyDescent="0.15"/>
    <row r="48167" s="9" customFormat="1" ht="21.95" customHeight="1" x14ac:dyDescent="0.15"/>
    <row r="48168" s="9" customFormat="1" ht="21.95" customHeight="1" x14ac:dyDescent="0.15"/>
    <row r="48169" s="9" customFormat="1" ht="21.95" customHeight="1" x14ac:dyDescent="0.15"/>
    <row r="48170" s="9" customFormat="1" ht="21.95" customHeight="1" x14ac:dyDescent="0.15"/>
    <row r="48171" s="9" customFormat="1" ht="21.95" customHeight="1" x14ac:dyDescent="0.15"/>
    <row r="48172" s="9" customFormat="1" ht="21.95" customHeight="1" x14ac:dyDescent="0.15"/>
    <row r="48173" s="9" customFormat="1" ht="21.95" customHeight="1" x14ac:dyDescent="0.15"/>
    <row r="48174" s="9" customFormat="1" ht="21.95" customHeight="1" x14ac:dyDescent="0.15"/>
    <row r="48175" s="9" customFormat="1" ht="21.95" customHeight="1" x14ac:dyDescent="0.15"/>
    <row r="48176" s="9" customFormat="1" ht="21.95" customHeight="1" x14ac:dyDescent="0.15"/>
    <row r="48177" s="9" customFormat="1" ht="21.95" customHeight="1" x14ac:dyDescent="0.15"/>
    <row r="48178" s="9" customFormat="1" ht="21.95" customHeight="1" x14ac:dyDescent="0.15"/>
    <row r="48179" s="9" customFormat="1" ht="21.95" customHeight="1" x14ac:dyDescent="0.15"/>
    <row r="48180" s="9" customFormat="1" ht="21.95" customHeight="1" x14ac:dyDescent="0.15"/>
    <row r="48181" s="9" customFormat="1" ht="21.95" customHeight="1" x14ac:dyDescent="0.15"/>
    <row r="48182" s="9" customFormat="1" ht="35.1" customHeight="1" x14ac:dyDescent="0.15"/>
    <row r="48183" s="9" customFormat="1" ht="21.95" customHeight="1" x14ac:dyDescent="0.15"/>
    <row r="48184" s="9" customFormat="1" ht="21.95" customHeight="1" x14ac:dyDescent="0.15"/>
    <row r="48185" s="9" customFormat="1" ht="21.95" customHeight="1" x14ac:dyDescent="0.15"/>
    <row r="48186" s="9" customFormat="1" ht="21.95" customHeight="1" x14ac:dyDescent="0.15"/>
    <row r="48187" s="9" customFormat="1" ht="21.95" customHeight="1" x14ac:dyDescent="0.15"/>
    <row r="48188" s="9" customFormat="1" ht="21.95" customHeight="1" x14ac:dyDescent="0.15"/>
    <row r="48189" s="9" customFormat="1" ht="21.95" customHeight="1" x14ac:dyDescent="0.15"/>
    <row r="48190" s="9" customFormat="1" ht="21.95" customHeight="1" x14ac:dyDescent="0.15"/>
    <row r="48191" s="9" customFormat="1" ht="21.95" customHeight="1" x14ac:dyDescent="0.15"/>
    <row r="48192" s="9" customFormat="1" ht="21.95" customHeight="1" x14ac:dyDescent="0.15"/>
    <row r="48193" spans="3:3" s="9" customFormat="1" ht="21.95" customHeight="1" x14ac:dyDescent="0.15"/>
    <row r="48194" spans="3:3" s="9" customFormat="1" ht="21.95" customHeight="1" x14ac:dyDescent="0.15"/>
    <row r="48195" spans="3:3" s="9" customFormat="1" ht="21.95" customHeight="1" x14ac:dyDescent="0.15"/>
    <row r="48196" spans="3:3" s="9" customFormat="1" ht="21.95" customHeight="1" x14ac:dyDescent="0.15"/>
    <row r="48197" spans="3:3" s="9" customFormat="1" ht="21.95" customHeight="1" x14ac:dyDescent="0.15"/>
    <row r="48198" spans="3:3" s="9" customFormat="1" ht="21.95" customHeight="1" x14ac:dyDescent="0.15"/>
    <row r="48199" spans="3:3" s="9" customFormat="1" ht="21.95" customHeight="1" x14ac:dyDescent="0.15"/>
    <row r="48200" spans="3:3" s="9" customFormat="1" ht="21.95" customHeight="1" x14ac:dyDescent="0.15"/>
    <row r="48201" spans="3:3" s="9" customFormat="1" ht="21.95" customHeight="1" x14ac:dyDescent="0.15"/>
    <row r="48202" spans="3:3" s="9" customFormat="1" ht="21.95" customHeight="1" x14ac:dyDescent="0.15"/>
    <row r="48203" spans="3:3" s="9" customFormat="1" ht="21.95" customHeight="1" x14ac:dyDescent="0.15"/>
    <row r="48204" spans="3:3" s="9" customFormat="1" ht="21.95" customHeight="1" x14ac:dyDescent="0.15"/>
    <row r="48205" spans="3:3" s="9" customFormat="1" ht="21.95" customHeight="1" x14ac:dyDescent="0.15"/>
    <row r="48206" spans="3:3" s="8" customFormat="1" ht="21.95" customHeight="1" x14ac:dyDescent="0.15"/>
    <row r="48207" spans="3:3" s="8" customFormat="1" ht="21.95" customHeight="1" x14ac:dyDescent="0.15"/>
    <row r="48208" spans="3:3" s="8" customFormat="1" ht="21.95" customHeight="1" x14ac:dyDescent="0.15">
      <c r="C48208" s="101"/>
    </row>
    <row r="48209" spans="3:3" s="8" customFormat="1" ht="21.95" customHeight="1" x14ac:dyDescent="0.15">
      <c r="C48209" s="101"/>
    </row>
    <row r="48210" spans="3:3" s="8" customFormat="1" ht="21.95" customHeight="1" x14ac:dyDescent="0.15"/>
    <row r="48211" spans="3:3" s="8" customFormat="1" ht="21.95" customHeight="1" x14ac:dyDescent="0.15"/>
    <row r="48212" spans="3:3" s="8" customFormat="1" ht="21.95" customHeight="1" x14ac:dyDescent="0.15"/>
    <row r="48213" spans="3:3" s="8" customFormat="1" ht="21.95" customHeight="1" x14ac:dyDescent="0.15"/>
    <row r="48214" spans="3:3" s="8" customFormat="1" ht="21.95" customHeight="1" x14ac:dyDescent="0.15"/>
    <row r="48215" spans="3:3" s="8" customFormat="1" ht="21.95" customHeight="1" x14ac:dyDescent="0.15"/>
    <row r="48216" spans="3:3" s="8" customFormat="1" ht="21.95" customHeight="1" x14ac:dyDescent="0.15"/>
    <row r="48217" spans="3:3" s="9" customFormat="1" ht="21.95" customHeight="1" x14ac:dyDescent="0.15"/>
    <row r="48218" spans="3:3" s="9" customFormat="1" ht="21.95" customHeight="1" x14ac:dyDescent="0.15"/>
    <row r="48219" spans="3:3" s="9" customFormat="1" ht="21.95" customHeight="1" x14ac:dyDescent="0.15"/>
    <row r="48220" spans="3:3" s="9" customFormat="1" ht="21.95" customHeight="1" x14ac:dyDescent="0.15"/>
    <row r="48221" spans="3:3" s="8" customFormat="1" ht="21.95" customHeight="1" x14ac:dyDescent="0.15"/>
    <row r="48222" spans="3:3" s="8" customFormat="1" ht="21.95" customHeight="1" x14ac:dyDescent="0.15"/>
    <row r="48223" spans="3:3" s="8" customFormat="1" ht="21.95" customHeight="1" x14ac:dyDescent="0.15"/>
    <row r="48224" spans="3:3" s="8" customFormat="1" ht="21.95" customHeight="1" x14ac:dyDescent="0.15"/>
    <row r="48225" s="8" customFormat="1" ht="21.95" customHeight="1" x14ac:dyDescent="0.15"/>
    <row r="48226" s="8" customFormat="1" ht="21.95" customHeight="1" x14ac:dyDescent="0.15"/>
    <row r="48227" s="8" customFormat="1" ht="21.95" customHeight="1" x14ac:dyDescent="0.15"/>
    <row r="48228" s="8" customFormat="1" ht="21.95" customHeight="1" x14ac:dyDescent="0.15"/>
    <row r="48229" s="8" customFormat="1" ht="21.95" customHeight="1" x14ac:dyDescent="0.15"/>
    <row r="48230" s="8" customFormat="1" ht="21.95" customHeight="1" x14ac:dyDescent="0.15"/>
    <row r="48231" s="8" customFormat="1" ht="21.95" customHeight="1" x14ac:dyDescent="0.15"/>
    <row r="48232" s="8" customFormat="1" ht="32.1" customHeight="1" x14ac:dyDescent="0.15"/>
    <row r="48233" s="8" customFormat="1" ht="32.1" customHeight="1" x14ac:dyDescent="0.15"/>
    <row r="48234" s="8" customFormat="1" ht="32.1" customHeight="1" x14ac:dyDescent="0.15"/>
    <row r="48235" s="8" customFormat="1" ht="32.1" customHeight="1" x14ac:dyDescent="0.15"/>
    <row r="48236" s="8" customFormat="1" ht="32.1" customHeight="1" x14ac:dyDescent="0.15"/>
    <row r="48237" s="8" customFormat="1" ht="32.1" customHeight="1" x14ac:dyDescent="0.15"/>
    <row r="48238" s="9" customFormat="1" ht="32.1" customHeight="1" x14ac:dyDescent="0.15"/>
    <row r="48239" s="9" customFormat="1" ht="32.1" customHeight="1" x14ac:dyDescent="0.15"/>
    <row r="48240" s="9" customFormat="1" ht="32.1" customHeight="1" x14ac:dyDescent="0.15"/>
    <row r="48241" s="9" customFormat="1" ht="32.1" customHeight="1" x14ac:dyDescent="0.15"/>
    <row r="48242" s="9" customFormat="1" ht="21.95" customHeight="1" x14ac:dyDescent="0.15"/>
    <row r="48243" s="9" customFormat="1" ht="54" customHeight="1" x14ac:dyDescent="0.15"/>
    <row r="48244" s="9" customFormat="1" ht="21.95" customHeight="1" x14ac:dyDescent="0.15"/>
    <row r="48245" s="9" customFormat="1" ht="21.95" customHeight="1" x14ac:dyDescent="0.15"/>
    <row r="48246" s="9" customFormat="1" ht="21.95" customHeight="1" x14ac:dyDescent="0.15"/>
    <row r="48247" s="9" customFormat="1" ht="21.95" customHeight="1" x14ac:dyDescent="0.15"/>
    <row r="48248" s="9" customFormat="1" ht="21.95" customHeight="1" x14ac:dyDescent="0.15"/>
    <row r="48249" s="9" customFormat="1" ht="21.95" customHeight="1" x14ac:dyDescent="0.15"/>
    <row r="48250" s="9" customFormat="1" ht="21.95" customHeight="1" x14ac:dyDescent="0.15"/>
    <row r="48251" s="9" customFormat="1" ht="21.95" customHeight="1" x14ac:dyDescent="0.15"/>
    <row r="48252" s="9" customFormat="1" ht="21.95" customHeight="1" x14ac:dyDescent="0.15"/>
    <row r="48253" s="9" customFormat="1" ht="21.95" customHeight="1" x14ac:dyDescent="0.15"/>
    <row r="48254" s="9" customFormat="1" ht="21.95" customHeight="1" x14ac:dyDescent="0.15"/>
    <row r="48255" s="9" customFormat="1" ht="21.95" customHeight="1" x14ac:dyDescent="0.15"/>
    <row r="48256" s="9" customFormat="1" ht="21.95" customHeight="1" x14ac:dyDescent="0.15"/>
    <row r="48257" s="9" customFormat="1" ht="21.95" customHeight="1" x14ac:dyDescent="0.15"/>
    <row r="48258" s="9" customFormat="1" ht="21.95" customHeight="1" x14ac:dyDescent="0.15"/>
    <row r="48259" s="9" customFormat="1" ht="21.95" customHeight="1" x14ac:dyDescent="0.15"/>
    <row r="48260" s="9" customFormat="1" ht="21.95" customHeight="1" x14ac:dyDescent="0.15"/>
    <row r="48261" s="9" customFormat="1" ht="21.95" customHeight="1" x14ac:dyDescent="0.15"/>
    <row r="48262" s="9" customFormat="1" ht="21.95" customHeight="1" x14ac:dyDescent="0.15"/>
    <row r="48263" s="9" customFormat="1" ht="21.95" customHeight="1" x14ac:dyDescent="0.15"/>
    <row r="48264" s="9" customFormat="1" ht="21.95" customHeight="1" x14ac:dyDescent="0.15"/>
    <row r="48265" s="9" customFormat="1" ht="21.95" customHeight="1" x14ac:dyDescent="0.15"/>
    <row r="48266" s="9" customFormat="1" ht="21.95" customHeight="1" x14ac:dyDescent="0.15"/>
    <row r="48267" s="9" customFormat="1" ht="21.95" customHeight="1" x14ac:dyDescent="0.15"/>
    <row r="48268" s="9" customFormat="1" ht="21.95" customHeight="1" x14ac:dyDescent="0.15"/>
    <row r="48269" s="9" customFormat="1" ht="21.95" customHeight="1" x14ac:dyDescent="0.15"/>
    <row r="48270" s="9" customFormat="1" ht="21.95" customHeight="1" x14ac:dyDescent="0.15"/>
    <row r="48271" s="9" customFormat="1" ht="21.95" customHeight="1" x14ac:dyDescent="0.15"/>
    <row r="48272" s="9" customFormat="1" ht="21.95" customHeight="1" x14ac:dyDescent="0.15"/>
    <row r="48273" s="9" customFormat="1" ht="21.95" customHeight="1" x14ac:dyDescent="0.15"/>
    <row r="48274" s="9" customFormat="1" ht="21.95" customHeight="1" x14ac:dyDescent="0.15"/>
    <row r="48275" s="9" customFormat="1" ht="21.95" customHeight="1" x14ac:dyDescent="0.15"/>
    <row r="48276" s="9" customFormat="1" ht="21.95" customHeight="1" x14ac:dyDescent="0.15"/>
    <row r="48277" s="9" customFormat="1" ht="21.95" customHeight="1" x14ac:dyDescent="0.15"/>
    <row r="48278" s="9" customFormat="1" ht="21.95" customHeight="1" x14ac:dyDescent="0.15"/>
    <row r="48279" s="9" customFormat="1" ht="21.95" customHeight="1" x14ac:dyDescent="0.15"/>
    <row r="48280" s="9" customFormat="1" ht="21.95" customHeight="1" x14ac:dyDescent="0.15"/>
    <row r="48281" s="9" customFormat="1" ht="21.95" customHeight="1" x14ac:dyDescent="0.15"/>
    <row r="48282" s="9" customFormat="1" ht="21.95" customHeight="1" x14ac:dyDescent="0.15"/>
    <row r="48283" s="9" customFormat="1" ht="21.95" customHeight="1" x14ac:dyDescent="0.15"/>
    <row r="48284" s="9" customFormat="1" ht="21.95" customHeight="1" x14ac:dyDescent="0.15"/>
    <row r="48285" s="9" customFormat="1" ht="21.95" customHeight="1" x14ac:dyDescent="0.15"/>
    <row r="48286" s="9" customFormat="1" ht="21.95" customHeight="1" x14ac:dyDescent="0.15"/>
    <row r="48287" s="9" customFormat="1" ht="21.95" customHeight="1" x14ac:dyDescent="0.15"/>
    <row r="48288" s="9" customFormat="1" ht="21.95" customHeight="1" x14ac:dyDescent="0.15"/>
    <row r="48289" s="9" customFormat="1" ht="21.95" customHeight="1" x14ac:dyDescent="0.15"/>
    <row r="48290" s="9" customFormat="1" ht="21.95" customHeight="1" x14ac:dyDescent="0.15"/>
    <row r="48291" s="9" customFormat="1" ht="21.95" customHeight="1" x14ac:dyDescent="0.15"/>
    <row r="48292" s="9" customFormat="1" ht="21.95" customHeight="1" x14ac:dyDescent="0.15"/>
    <row r="48293" s="9" customFormat="1" ht="21.95" customHeight="1" x14ac:dyDescent="0.15"/>
    <row r="48294" s="9" customFormat="1" ht="35.1" customHeight="1" x14ac:dyDescent="0.15"/>
    <row r="48295" s="9" customFormat="1" ht="21.95" customHeight="1" x14ac:dyDescent="0.15"/>
    <row r="48296" s="9" customFormat="1" ht="21.95" customHeight="1" x14ac:dyDescent="0.15"/>
    <row r="48297" s="9" customFormat="1" ht="21.95" customHeight="1" x14ac:dyDescent="0.15"/>
    <row r="48298" s="9" customFormat="1" ht="21.95" customHeight="1" x14ac:dyDescent="0.15"/>
    <row r="48299" s="9" customFormat="1" ht="21.95" customHeight="1" x14ac:dyDescent="0.15"/>
    <row r="48300" s="9" customFormat="1" ht="21.95" customHeight="1" x14ac:dyDescent="0.15"/>
    <row r="48301" s="9" customFormat="1" ht="21.95" customHeight="1" x14ac:dyDescent="0.15"/>
    <row r="48302" s="9" customFormat="1" ht="21.95" customHeight="1" x14ac:dyDescent="0.15"/>
    <row r="48303" s="9" customFormat="1" ht="21.95" customHeight="1" x14ac:dyDescent="0.15"/>
    <row r="48304" s="9" customFormat="1" ht="21.95" customHeight="1" x14ac:dyDescent="0.15"/>
    <row r="48305" spans="3:3" s="9" customFormat="1" ht="21.95" customHeight="1" x14ac:dyDescent="0.15"/>
    <row r="48306" spans="3:3" s="9" customFormat="1" ht="21.95" customHeight="1" x14ac:dyDescent="0.15"/>
    <row r="48307" spans="3:3" s="9" customFormat="1" ht="21.95" customHeight="1" x14ac:dyDescent="0.15"/>
    <row r="48308" spans="3:3" s="9" customFormat="1" ht="21.95" customHeight="1" x14ac:dyDescent="0.15"/>
    <row r="48309" spans="3:3" s="9" customFormat="1" ht="21.95" customHeight="1" x14ac:dyDescent="0.15"/>
    <row r="48310" spans="3:3" s="9" customFormat="1" ht="21.95" customHeight="1" x14ac:dyDescent="0.15"/>
    <row r="48311" spans="3:3" s="9" customFormat="1" ht="21.95" customHeight="1" x14ac:dyDescent="0.15"/>
    <row r="48312" spans="3:3" s="9" customFormat="1" ht="21.95" customHeight="1" x14ac:dyDescent="0.15"/>
    <row r="48313" spans="3:3" s="9" customFormat="1" ht="21.95" customHeight="1" x14ac:dyDescent="0.15"/>
    <row r="48314" spans="3:3" s="9" customFormat="1" ht="21.95" customHeight="1" x14ac:dyDescent="0.15"/>
    <row r="48315" spans="3:3" s="9" customFormat="1" ht="21.95" customHeight="1" x14ac:dyDescent="0.15"/>
    <row r="48316" spans="3:3" s="9" customFormat="1" ht="21.95" customHeight="1" x14ac:dyDescent="0.15"/>
    <row r="48317" spans="3:3" s="9" customFormat="1" ht="21.95" customHeight="1" x14ac:dyDescent="0.15"/>
    <row r="48318" spans="3:3" s="8" customFormat="1" ht="21.95" customHeight="1" x14ac:dyDescent="0.15"/>
    <row r="48319" spans="3:3" s="8" customFormat="1" ht="21.95" customHeight="1" x14ac:dyDescent="0.15"/>
    <row r="48320" spans="3:3" s="8" customFormat="1" ht="21.95" customHeight="1" x14ac:dyDescent="0.15">
      <c r="C48320" s="101"/>
    </row>
    <row r="48321" spans="3:3" s="8" customFormat="1" ht="21.95" customHeight="1" x14ac:dyDescent="0.15">
      <c r="C48321" s="101"/>
    </row>
    <row r="48322" spans="3:3" s="8" customFormat="1" ht="21.95" customHeight="1" x14ac:dyDescent="0.15"/>
    <row r="48323" spans="3:3" s="8" customFormat="1" ht="21.95" customHeight="1" x14ac:dyDescent="0.15"/>
    <row r="48324" spans="3:3" s="8" customFormat="1" ht="21.95" customHeight="1" x14ac:dyDescent="0.15"/>
    <row r="48325" spans="3:3" s="8" customFormat="1" ht="21.95" customHeight="1" x14ac:dyDescent="0.15"/>
    <row r="48326" spans="3:3" s="8" customFormat="1" ht="21.95" customHeight="1" x14ac:dyDescent="0.15"/>
    <row r="48327" spans="3:3" s="8" customFormat="1" ht="21.95" customHeight="1" x14ac:dyDescent="0.15"/>
    <row r="48328" spans="3:3" s="8" customFormat="1" ht="21.95" customHeight="1" x14ac:dyDescent="0.15"/>
    <row r="48329" spans="3:3" s="9" customFormat="1" ht="21.95" customHeight="1" x14ac:dyDescent="0.15"/>
    <row r="48330" spans="3:3" s="9" customFormat="1" ht="21.95" customHeight="1" x14ac:dyDescent="0.15"/>
    <row r="48331" spans="3:3" s="9" customFormat="1" ht="21.95" customHeight="1" x14ac:dyDescent="0.15"/>
    <row r="48332" spans="3:3" s="9" customFormat="1" ht="21.95" customHeight="1" x14ac:dyDescent="0.15"/>
    <row r="48333" spans="3:3" s="8" customFormat="1" ht="21.95" customHeight="1" x14ac:dyDescent="0.15"/>
    <row r="48334" spans="3:3" s="8" customFormat="1" ht="21.95" customHeight="1" x14ac:dyDescent="0.15"/>
    <row r="48335" spans="3:3" s="8" customFormat="1" ht="21.95" customHeight="1" x14ac:dyDescent="0.15"/>
    <row r="48336" spans="3:3" s="8" customFormat="1" ht="21.95" customHeight="1" x14ac:dyDescent="0.15"/>
    <row r="48337" s="8" customFormat="1" ht="21.95" customHeight="1" x14ac:dyDescent="0.15"/>
    <row r="48338" s="8" customFormat="1" ht="21.95" customHeight="1" x14ac:dyDescent="0.15"/>
    <row r="48339" s="8" customFormat="1" ht="21.95" customHeight="1" x14ac:dyDescent="0.15"/>
    <row r="48340" s="8" customFormat="1" ht="21.95" customHeight="1" x14ac:dyDescent="0.15"/>
    <row r="48341" s="8" customFormat="1" ht="21.95" customHeight="1" x14ac:dyDescent="0.15"/>
    <row r="48342" s="8" customFormat="1" ht="21.95" customHeight="1" x14ac:dyDescent="0.15"/>
    <row r="48343" s="8" customFormat="1" ht="21.95" customHeight="1" x14ac:dyDescent="0.15"/>
    <row r="48344" s="8" customFormat="1" ht="32.1" customHeight="1" x14ac:dyDescent="0.15"/>
    <row r="48345" s="8" customFormat="1" ht="32.1" customHeight="1" x14ac:dyDescent="0.15"/>
    <row r="48346" s="8" customFormat="1" ht="32.1" customHeight="1" x14ac:dyDescent="0.15"/>
    <row r="48347" s="8" customFormat="1" ht="32.1" customHeight="1" x14ac:dyDescent="0.15"/>
    <row r="48348" s="8" customFormat="1" ht="32.1" customHeight="1" x14ac:dyDescent="0.15"/>
    <row r="48349" s="8" customFormat="1" ht="32.1" customHeight="1" x14ac:dyDescent="0.15"/>
    <row r="48350" s="9" customFormat="1" ht="32.1" customHeight="1" x14ac:dyDescent="0.15"/>
    <row r="48351" s="9" customFormat="1" ht="32.1" customHeight="1" x14ac:dyDescent="0.15"/>
    <row r="48352" s="9" customFormat="1" ht="32.1" customHeight="1" x14ac:dyDescent="0.15"/>
    <row r="48353" s="9" customFormat="1" ht="32.1" customHeight="1" x14ac:dyDescent="0.15"/>
    <row r="48354" s="9" customFormat="1" ht="21.95" customHeight="1" x14ac:dyDescent="0.15"/>
    <row r="48355" s="9" customFormat="1" ht="54" customHeight="1" x14ac:dyDescent="0.15"/>
    <row r="48356" s="9" customFormat="1" ht="21.95" customHeight="1" x14ac:dyDescent="0.15"/>
    <row r="48357" s="9" customFormat="1" ht="21.95" customHeight="1" x14ac:dyDescent="0.15"/>
    <row r="48358" s="9" customFormat="1" ht="21.95" customHeight="1" x14ac:dyDescent="0.15"/>
    <row r="48359" s="9" customFormat="1" ht="21.95" customHeight="1" x14ac:dyDescent="0.15"/>
    <row r="48360" s="9" customFormat="1" ht="21.95" customHeight="1" x14ac:dyDescent="0.15"/>
    <row r="48361" s="9" customFormat="1" ht="21.95" customHeight="1" x14ac:dyDescent="0.15"/>
    <row r="48362" s="9" customFormat="1" ht="21.95" customHeight="1" x14ac:dyDescent="0.15"/>
    <row r="48363" s="9" customFormat="1" ht="21.95" customHeight="1" x14ac:dyDescent="0.15"/>
    <row r="48364" s="9" customFormat="1" ht="21.95" customHeight="1" x14ac:dyDescent="0.15"/>
    <row r="48365" s="9" customFormat="1" ht="21.95" customHeight="1" x14ac:dyDescent="0.15"/>
    <row r="48366" s="9" customFormat="1" ht="21.95" customHeight="1" x14ac:dyDescent="0.15"/>
    <row r="48367" s="9" customFormat="1" ht="21.95" customHeight="1" x14ac:dyDescent="0.15"/>
    <row r="48368" s="9" customFormat="1" ht="21.95" customHeight="1" x14ac:dyDescent="0.15"/>
    <row r="48369" s="9" customFormat="1" ht="21.95" customHeight="1" x14ac:dyDescent="0.15"/>
    <row r="48370" s="9" customFormat="1" ht="21.95" customHeight="1" x14ac:dyDescent="0.15"/>
    <row r="48371" s="9" customFormat="1" ht="21.95" customHeight="1" x14ac:dyDescent="0.15"/>
    <row r="48372" s="9" customFormat="1" ht="21.95" customHeight="1" x14ac:dyDescent="0.15"/>
    <row r="48373" s="9" customFormat="1" ht="21.95" customHeight="1" x14ac:dyDescent="0.15"/>
    <row r="48374" s="9" customFormat="1" ht="21.95" customHeight="1" x14ac:dyDescent="0.15"/>
    <row r="48375" s="9" customFormat="1" ht="21.95" customHeight="1" x14ac:dyDescent="0.15"/>
    <row r="48376" s="9" customFormat="1" ht="21.95" customHeight="1" x14ac:dyDescent="0.15"/>
    <row r="48377" s="9" customFormat="1" ht="21.95" customHeight="1" x14ac:dyDescent="0.15"/>
    <row r="48378" s="9" customFormat="1" ht="21.95" customHeight="1" x14ac:dyDescent="0.15"/>
    <row r="48379" s="9" customFormat="1" ht="21.95" customHeight="1" x14ac:dyDescent="0.15"/>
    <row r="48380" s="9" customFormat="1" ht="21.95" customHeight="1" x14ac:dyDescent="0.15"/>
    <row r="48381" s="9" customFormat="1" ht="21.95" customHeight="1" x14ac:dyDescent="0.15"/>
    <row r="48382" s="9" customFormat="1" ht="21.95" customHeight="1" x14ac:dyDescent="0.15"/>
    <row r="48383" s="9" customFormat="1" ht="21.95" customHeight="1" x14ac:dyDescent="0.15"/>
    <row r="48384" s="9" customFormat="1" ht="21.95" customHeight="1" x14ac:dyDescent="0.15"/>
    <row r="48385" s="9" customFormat="1" ht="21.95" customHeight="1" x14ac:dyDescent="0.15"/>
    <row r="48386" s="9" customFormat="1" ht="21.95" customHeight="1" x14ac:dyDescent="0.15"/>
    <row r="48387" s="9" customFormat="1" ht="21.95" customHeight="1" x14ac:dyDescent="0.15"/>
    <row r="48388" s="9" customFormat="1" ht="21.95" customHeight="1" x14ac:dyDescent="0.15"/>
    <row r="48389" s="9" customFormat="1" ht="21.95" customHeight="1" x14ac:dyDescent="0.15"/>
    <row r="48390" s="9" customFormat="1" ht="21.95" customHeight="1" x14ac:dyDescent="0.15"/>
    <row r="48391" s="9" customFormat="1" ht="21.95" customHeight="1" x14ac:dyDescent="0.15"/>
    <row r="48392" s="9" customFormat="1" ht="21.95" customHeight="1" x14ac:dyDescent="0.15"/>
    <row r="48393" s="9" customFormat="1" ht="21.95" customHeight="1" x14ac:dyDescent="0.15"/>
    <row r="48394" s="9" customFormat="1" ht="21.95" customHeight="1" x14ac:dyDescent="0.15"/>
    <row r="48395" s="9" customFormat="1" ht="21.95" customHeight="1" x14ac:dyDescent="0.15"/>
    <row r="48396" s="9" customFormat="1" ht="21.95" customHeight="1" x14ac:dyDescent="0.15"/>
    <row r="48397" s="9" customFormat="1" ht="21.95" customHeight="1" x14ac:dyDescent="0.15"/>
    <row r="48398" s="9" customFormat="1" ht="21.95" customHeight="1" x14ac:dyDescent="0.15"/>
    <row r="48399" s="9" customFormat="1" ht="21.95" customHeight="1" x14ac:dyDescent="0.15"/>
    <row r="48400" s="9" customFormat="1" ht="21.95" customHeight="1" x14ac:dyDescent="0.15"/>
    <row r="48401" s="9" customFormat="1" ht="21.95" customHeight="1" x14ac:dyDescent="0.15"/>
    <row r="48402" s="9" customFormat="1" ht="21.95" customHeight="1" x14ac:dyDescent="0.15"/>
    <row r="48403" s="9" customFormat="1" ht="21.95" customHeight="1" x14ac:dyDescent="0.15"/>
    <row r="48404" s="9" customFormat="1" ht="21.95" customHeight="1" x14ac:dyDescent="0.15"/>
    <row r="48405" s="9" customFormat="1" ht="21.95" customHeight="1" x14ac:dyDescent="0.15"/>
    <row r="48406" s="9" customFormat="1" ht="35.1" customHeight="1" x14ac:dyDescent="0.15"/>
    <row r="48407" s="9" customFormat="1" ht="21.95" customHeight="1" x14ac:dyDescent="0.15"/>
    <row r="48408" s="9" customFormat="1" ht="21.95" customHeight="1" x14ac:dyDescent="0.15"/>
    <row r="48409" s="9" customFormat="1" ht="21.95" customHeight="1" x14ac:dyDescent="0.15"/>
    <row r="48410" s="9" customFormat="1" ht="21.95" customHeight="1" x14ac:dyDescent="0.15"/>
    <row r="48411" s="9" customFormat="1" ht="21.95" customHeight="1" x14ac:dyDescent="0.15"/>
    <row r="48412" s="9" customFormat="1" ht="21.95" customHeight="1" x14ac:dyDescent="0.15"/>
    <row r="48413" s="9" customFormat="1" ht="21.95" customHeight="1" x14ac:dyDescent="0.15"/>
    <row r="48414" s="9" customFormat="1" ht="21.95" customHeight="1" x14ac:dyDescent="0.15"/>
    <row r="48415" s="9" customFormat="1" ht="21.95" customHeight="1" x14ac:dyDescent="0.15"/>
    <row r="48416" s="9" customFormat="1" ht="21.95" customHeight="1" x14ac:dyDescent="0.15"/>
    <row r="48417" spans="3:3" s="9" customFormat="1" ht="21.95" customHeight="1" x14ac:dyDescent="0.15"/>
    <row r="48418" spans="3:3" s="9" customFormat="1" ht="21.95" customHeight="1" x14ac:dyDescent="0.15"/>
    <row r="48419" spans="3:3" s="9" customFormat="1" ht="21.95" customHeight="1" x14ac:dyDescent="0.15"/>
    <row r="48420" spans="3:3" s="9" customFormat="1" ht="21.95" customHeight="1" x14ac:dyDescent="0.15"/>
    <row r="48421" spans="3:3" s="9" customFormat="1" ht="21.95" customHeight="1" x14ac:dyDescent="0.15"/>
    <row r="48422" spans="3:3" s="9" customFormat="1" ht="21.95" customHeight="1" x14ac:dyDescent="0.15"/>
    <row r="48423" spans="3:3" s="9" customFormat="1" ht="21.95" customHeight="1" x14ac:dyDescent="0.15"/>
    <row r="48424" spans="3:3" s="9" customFormat="1" ht="21.95" customHeight="1" x14ac:dyDescent="0.15"/>
    <row r="48425" spans="3:3" s="9" customFormat="1" ht="21.95" customHeight="1" x14ac:dyDescent="0.15"/>
    <row r="48426" spans="3:3" s="9" customFormat="1" ht="21.95" customHeight="1" x14ac:dyDescent="0.15"/>
    <row r="48427" spans="3:3" s="9" customFormat="1" ht="21.95" customHeight="1" x14ac:dyDescent="0.15"/>
    <row r="48428" spans="3:3" s="9" customFormat="1" ht="21.95" customHeight="1" x14ac:dyDescent="0.15"/>
    <row r="48429" spans="3:3" s="9" customFormat="1" ht="21.95" customHeight="1" x14ac:dyDescent="0.15"/>
    <row r="48430" spans="3:3" s="8" customFormat="1" ht="21.95" customHeight="1" x14ac:dyDescent="0.15"/>
    <row r="48431" spans="3:3" s="8" customFormat="1" ht="21.95" customHeight="1" x14ac:dyDescent="0.15"/>
    <row r="48432" spans="3:3" s="8" customFormat="1" ht="21.95" customHeight="1" x14ac:dyDescent="0.15">
      <c r="C48432" s="101"/>
    </row>
    <row r="48433" spans="3:3" s="8" customFormat="1" ht="21.95" customHeight="1" x14ac:dyDescent="0.15">
      <c r="C48433" s="101"/>
    </row>
    <row r="48434" spans="3:3" s="8" customFormat="1" ht="21.95" customHeight="1" x14ac:dyDescent="0.15"/>
    <row r="48435" spans="3:3" s="8" customFormat="1" ht="21.95" customHeight="1" x14ac:dyDescent="0.15"/>
    <row r="48436" spans="3:3" s="8" customFormat="1" ht="21.95" customHeight="1" x14ac:dyDescent="0.15"/>
    <row r="48437" spans="3:3" s="8" customFormat="1" ht="21.95" customHeight="1" x14ac:dyDescent="0.15"/>
    <row r="48438" spans="3:3" s="8" customFormat="1" ht="21.95" customHeight="1" x14ac:dyDescent="0.15"/>
    <row r="48439" spans="3:3" s="8" customFormat="1" ht="21.95" customHeight="1" x14ac:dyDescent="0.15"/>
    <row r="48440" spans="3:3" s="8" customFormat="1" ht="21.95" customHeight="1" x14ac:dyDescent="0.15"/>
    <row r="48441" spans="3:3" s="9" customFormat="1" ht="21.95" customHeight="1" x14ac:dyDescent="0.15"/>
    <row r="48442" spans="3:3" s="9" customFormat="1" ht="21.95" customHeight="1" x14ac:dyDescent="0.15"/>
    <row r="48443" spans="3:3" s="9" customFormat="1" ht="21.95" customHeight="1" x14ac:dyDescent="0.15"/>
    <row r="48444" spans="3:3" s="9" customFormat="1" ht="21.95" customHeight="1" x14ac:dyDescent="0.15"/>
    <row r="48445" spans="3:3" s="8" customFormat="1" ht="21.95" customHeight="1" x14ac:dyDescent="0.15"/>
    <row r="48446" spans="3:3" s="8" customFormat="1" ht="21.95" customHeight="1" x14ac:dyDescent="0.15"/>
    <row r="48447" spans="3:3" s="8" customFormat="1" ht="21.95" customHeight="1" x14ac:dyDescent="0.15"/>
    <row r="48448" spans="3:3" s="8" customFormat="1" ht="21.95" customHeight="1" x14ac:dyDescent="0.15"/>
    <row r="48449" s="8" customFormat="1" ht="21.95" customHeight="1" x14ac:dyDescent="0.15"/>
    <row r="48450" s="8" customFormat="1" ht="21.95" customHeight="1" x14ac:dyDescent="0.15"/>
    <row r="48451" s="8" customFormat="1" ht="21.95" customHeight="1" x14ac:dyDescent="0.15"/>
    <row r="48452" s="8" customFormat="1" ht="21.95" customHeight="1" x14ac:dyDescent="0.15"/>
    <row r="48453" s="8" customFormat="1" ht="21.95" customHeight="1" x14ac:dyDescent="0.15"/>
    <row r="48454" s="8" customFormat="1" ht="21.95" customHeight="1" x14ac:dyDescent="0.15"/>
    <row r="48455" s="8" customFormat="1" ht="21.95" customHeight="1" x14ac:dyDescent="0.15"/>
    <row r="48456" s="8" customFormat="1" ht="32.1" customHeight="1" x14ac:dyDescent="0.15"/>
    <row r="48457" s="8" customFormat="1" ht="32.1" customHeight="1" x14ac:dyDescent="0.15"/>
    <row r="48458" s="8" customFormat="1" ht="32.1" customHeight="1" x14ac:dyDescent="0.15"/>
    <row r="48459" s="8" customFormat="1" ht="32.1" customHeight="1" x14ac:dyDescent="0.15"/>
    <row r="48460" s="8" customFormat="1" ht="32.1" customHeight="1" x14ac:dyDescent="0.15"/>
    <row r="48461" s="8" customFormat="1" ht="32.1" customHeight="1" x14ac:dyDescent="0.15"/>
    <row r="48462" s="9" customFormat="1" ht="32.1" customHeight="1" x14ac:dyDescent="0.15"/>
    <row r="48463" s="9" customFormat="1" ht="32.1" customHeight="1" x14ac:dyDescent="0.15"/>
    <row r="48464" s="9" customFormat="1" ht="32.1" customHeight="1" x14ac:dyDescent="0.15"/>
    <row r="48465" s="9" customFormat="1" ht="32.1" customHeight="1" x14ac:dyDescent="0.15"/>
    <row r="48466" s="9" customFormat="1" ht="21.95" customHeight="1" x14ac:dyDescent="0.15"/>
    <row r="48467" s="9" customFormat="1" ht="54" customHeight="1" x14ac:dyDescent="0.15"/>
    <row r="48468" s="9" customFormat="1" ht="21.95" customHeight="1" x14ac:dyDescent="0.15"/>
    <row r="48469" s="9" customFormat="1" ht="21.95" customHeight="1" x14ac:dyDescent="0.15"/>
    <row r="48470" s="9" customFormat="1" ht="21.95" customHeight="1" x14ac:dyDescent="0.15"/>
    <row r="48471" s="9" customFormat="1" ht="21.95" customHeight="1" x14ac:dyDescent="0.15"/>
    <row r="48472" s="9" customFormat="1" ht="21.95" customHeight="1" x14ac:dyDescent="0.15"/>
    <row r="48473" s="9" customFormat="1" ht="21.95" customHeight="1" x14ac:dyDescent="0.15"/>
    <row r="48474" s="9" customFormat="1" ht="21.95" customHeight="1" x14ac:dyDescent="0.15"/>
    <row r="48475" s="9" customFormat="1" ht="21.95" customHeight="1" x14ac:dyDescent="0.15"/>
    <row r="48476" s="9" customFormat="1" ht="21.95" customHeight="1" x14ac:dyDescent="0.15"/>
    <row r="48477" s="9" customFormat="1" ht="21.95" customHeight="1" x14ac:dyDescent="0.15"/>
    <row r="48478" s="9" customFormat="1" ht="21.95" customHeight="1" x14ac:dyDescent="0.15"/>
    <row r="48479" s="9" customFormat="1" ht="21.95" customHeight="1" x14ac:dyDescent="0.15"/>
    <row r="48480" s="9" customFormat="1" ht="21.95" customHeight="1" x14ac:dyDescent="0.15"/>
    <row r="48481" s="9" customFormat="1" ht="21.95" customHeight="1" x14ac:dyDescent="0.15"/>
    <row r="48482" s="9" customFormat="1" ht="21.95" customHeight="1" x14ac:dyDescent="0.15"/>
    <row r="48483" s="9" customFormat="1" ht="21.95" customHeight="1" x14ac:dyDescent="0.15"/>
    <row r="48484" s="9" customFormat="1" ht="21.95" customHeight="1" x14ac:dyDescent="0.15"/>
    <row r="48485" s="9" customFormat="1" ht="21.95" customHeight="1" x14ac:dyDescent="0.15"/>
    <row r="48486" s="9" customFormat="1" ht="21.95" customHeight="1" x14ac:dyDescent="0.15"/>
    <row r="48487" s="9" customFormat="1" ht="21.95" customHeight="1" x14ac:dyDescent="0.15"/>
    <row r="48488" s="9" customFormat="1" ht="21.95" customHeight="1" x14ac:dyDescent="0.15"/>
    <row r="48489" s="9" customFormat="1" ht="21.95" customHeight="1" x14ac:dyDescent="0.15"/>
    <row r="48490" s="9" customFormat="1" ht="21.95" customHeight="1" x14ac:dyDescent="0.15"/>
    <row r="48491" s="9" customFormat="1" ht="21.95" customHeight="1" x14ac:dyDescent="0.15"/>
    <row r="48492" s="9" customFormat="1" ht="21.95" customHeight="1" x14ac:dyDescent="0.15"/>
    <row r="48493" s="9" customFormat="1" ht="21.95" customHeight="1" x14ac:dyDescent="0.15"/>
    <row r="48494" s="9" customFormat="1" ht="21.95" customHeight="1" x14ac:dyDescent="0.15"/>
    <row r="48495" s="9" customFormat="1" ht="21.95" customHeight="1" x14ac:dyDescent="0.15"/>
    <row r="48496" s="9" customFormat="1" ht="21.95" customHeight="1" x14ac:dyDescent="0.15"/>
    <row r="48497" s="9" customFormat="1" ht="21.95" customHeight="1" x14ac:dyDescent="0.15"/>
    <row r="48498" s="9" customFormat="1" ht="21.95" customHeight="1" x14ac:dyDescent="0.15"/>
    <row r="48499" s="9" customFormat="1" ht="21.95" customHeight="1" x14ac:dyDescent="0.15"/>
    <row r="48500" s="9" customFormat="1" ht="21.95" customHeight="1" x14ac:dyDescent="0.15"/>
    <row r="48501" s="9" customFormat="1" ht="21.95" customHeight="1" x14ac:dyDescent="0.15"/>
    <row r="48502" s="9" customFormat="1" ht="21.95" customHeight="1" x14ac:dyDescent="0.15"/>
    <row r="48503" s="9" customFormat="1" ht="21.95" customHeight="1" x14ac:dyDescent="0.15"/>
    <row r="48504" s="9" customFormat="1" ht="21.95" customHeight="1" x14ac:dyDescent="0.15"/>
    <row r="48505" s="9" customFormat="1" ht="21.95" customHeight="1" x14ac:dyDescent="0.15"/>
    <row r="48506" s="9" customFormat="1" ht="21.95" customHeight="1" x14ac:dyDescent="0.15"/>
    <row r="48507" s="9" customFormat="1" ht="21.95" customHeight="1" x14ac:dyDescent="0.15"/>
    <row r="48508" s="9" customFormat="1" ht="21.95" customHeight="1" x14ac:dyDescent="0.15"/>
    <row r="48509" s="9" customFormat="1" ht="21.95" customHeight="1" x14ac:dyDescent="0.15"/>
    <row r="48510" s="9" customFormat="1" ht="21.95" customHeight="1" x14ac:dyDescent="0.15"/>
    <row r="48511" s="9" customFormat="1" ht="21.95" customHeight="1" x14ac:dyDescent="0.15"/>
    <row r="48512" s="9" customFormat="1" ht="21.95" customHeight="1" x14ac:dyDescent="0.15"/>
    <row r="48513" s="9" customFormat="1" ht="21.95" customHeight="1" x14ac:dyDescent="0.15"/>
    <row r="48514" s="9" customFormat="1" ht="21.95" customHeight="1" x14ac:dyDescent="0.15"/>
    <row r="48515" s="9" customFormat="1" ht="21.95" customHeight="1" x14ac:dyDescent="0.15"/>
    <row r="48516" s="9" customFormat="1" ht="21.95" customHeight="1" x14ac:dyDescent="0.15"/>
    <row r="48517" s="9" customFormat="1" ht="21.95" customHeight="1" x14ac:dyDescent="0.15"/>
    <row r="48518" s="9" customFormat="1" ht="35.1" customHeight="1" x14ac:dyDescent="0.15"/>
    <row r="48519" s="9" customFormat="1" ht="21.95" customHeight="1" x14ac:dyDescent="0.15"/>
    <row r="48520" s="9" customFormat="1" ht="21.95" customHeight="1" x14ac:dyDescent="0.15"/>
    <row r="48521" s="9" customFormat="1" ht="21.95" customHeight="1" x14ac:dyDescent="0.15"/>
    <row r="48522" s="9" customFormat="1" ht="21.95" customHeight="1" x14ac:dyDescent="0.15"/>
    <row r="48523" s="9" customFormat="1" ht="21.95" customHeight="1" x14ac:dyDescent="0.15"/>
    <row r="48524" s="9" customFormat="1" ht="21.95" customHeight="1" x14ac:dyDescent="0.15"/>
    <row r="48525" s="9" customFormat="1" ht="21.95" customHeight="1" x14ac:dyDescent="0.15"/>
    <row r="48526" s="9" customFormat="1" ht="21.95" customHeight="1" x14ac:dyDescent="0.15"/>
    <row r="48527" s="9" customFormat="1" ht="21.95" customHeight="1" x14ac:dyDescent="0.15"/>
    <row r="48528" s="9" customFormat="1" ht="21.95" customHeight="1" x14ac:dyDescent="0.15"/>
    <row r="48529" spans="3:3" s="9" customFormat="1" ht="21.95" customHeight="1" x14ac:dyDescent="0.15"/>
    <row r="48530" spans="3:3" s="9" customFormat="1" ht="21.95" customHeight="1" x14ac:dyDescent="0.15"/>
    <row r="48531" spans="3:3" s="9" customFormat="1" ht="21.95" customHeight="1" x14ac:dyDescent="0.15"/>
    <row r="48532" spans="3:3" s="9" customFormat="1" ht="21.95" customHeight="1" x14ac:dyDescent="0.15"/>
    <row r="48533" spans="3:3" s="9" customFormat="1" ht="21.95" customHeight="1" x14ac:dyDescent="0.15"/>
    <row r="48534" spans="3:3" s="9" customFormat="1" ht="21.95" customHeight="1" x14ac:dyDescent="0.15"/>
    <row r="48535" spans="3:3" s="9" customFormat="1" ht="21.95" customHeight="1" x14ac:dyDescent="0.15"/>
    <row r="48536" spans="3:3" s="9" customFormat="1" ht="21.95" customHeight="1" x14ac:dyDescent="0.15"/>
    <row r="48537" spans="3:3" s="9" customFormat="1" ht="21.95" customHeight="1" x14ac:dyDescent="0.15"/>
    <row r="48538" spans="3:3" s="9" customFormat="1" ht="21.95" customHeight="1" x14ac:dyDescent="0.15"/>
    <row r="48539" spans="3:3" s="9" customFormat="1" ht="21.95" customHeight="1" x14ac:dyDescent="0.15"/>
    <row r="48540" spans="3:3" s="9" customFormat="1" ht="21.95" customHeight="1" x14ac:dyDescent="0.15"/>
    <row r="48541" spans="3:3" s="9" customFormat="1" ht="21.95" customHeight="1" x14ac:dyDescent="0.15"/>
    <row r="48542" spans="3:3" s="8" customFormat="1" ht="21.95" customHeight="1" x14ac:dyDescent="0.15"/>
    <row r="48543" spans="3:3" s="8" customFormat="1" ht="21.95" customHeight="1" x14ac:dyDescent="0.15"/>
    <row r="48544" spans="3:3" s="8" customFormat="1" ht="21.95" customHeight="1" x14ac:dyDescent="0.15">
      <c r="C48544" s="101"/>
    </row>
    <row r="48545" spans="3:3" s="8" customFormat="1" ht="21.95" customHeight="1" x14ac:dyDescent="0.15">
      <c r="C48545" s="101"/>
    </row>
    <row r="48546" spans="3:3" s="8" customFormat="1" ht="21.95" customHeight="1" x14ac:dyDescent="0.15"/>
    <row r="48547" spans="3:3" s="8" customFormat="1" ht="21.95" customHeight="1" x14ac:dyDescent="0.15"/>
    <row r="48548" spans="3:3" s="8" customFormat="1" ht="21.95" customHeight="1" x14ac:dyDescent="0.15"/>
    <row r="48549" spans="3:3" s="8" customFormat="1" ht="21.95" customHeight="1" x14ac:dyDescent="0.15"/>
    <row r="48550" spans="3:3" s="8" customFormat="1" ht="21.95" customHeight="1" x14ac:dyDescent="0.15"/>
    <row r="48551" spans="3:3" s="8" customFormat="1" ht="21.95" customHeight="1" x14ac:dyDescent="0.15"/>
    <row r="48552" spans="3:3" s="8" customFormat="1" ht="21.95" customHeight="1" x14ac:dyDescent="0.15"/>
    <row r="48553" spans="3:3" s="9" customFormat="1" ht="21.95" customHeight="1" x14ac:dyDescent="0.15"/>
    <row r="48554" spans="3:3" s="9" customFormat="1" ht="21.95" customHeight="1" x14ac:dyDescent="0.15"/>
    <row r="48555" spans="3:3" s="9" customFormat="1" ht="21.95" customHeight="1" x14ac:dyDescent="0.15"/>
    <row r="48556" spans="3:3" s="9" customFormat="1" ht="21.95" customHeight="1" x14ac:dyDescent="0.15"/>
    <row r="48557" spans="3:3" s="8" customFormat="1" ht="21.95" customHeight="1" x14ac:dyDescent="0.15"/>
    <row r="48558" spans="3:3" s="8" customFormat="1" ht="21.95" customHeight="1" x14ac:dyDescent="0.15"/>
    <row r="48559" spans="3:3" s="8" customFormat="1" ht="21.95" customHeight="1" x14ac:dyDescent="0.15"/>
    <row r="48560" spans="3:3" s="8" customFormat="1" ht="21.95" customHeight="1" x14ac:dyDescent="0.15"/>
    <row r="48561" s="8" customFormat="1" ht="21.95" customHeight="1" x14ac:dyDescent="0.15"/>
    <row r="48562" s="8" customFormat="1" ht="21.95" customHeight="1" x14ac:dyDescent="0.15"/>
    <row r="48563" s="8" customFormat="1" ht="21.95" customHeight="1" x14ac:dyDescent="0.15"/>
    <row r="48564" s="8" customFormat="1" ht="21.95" customHeight="1" x14ac:dyDescent="0.15"/>
    <row r="48565" s="8" customFormat="1" ht="21.95" customHeight="1" x14ac:dyDescent="0.15"/>
    <row r="48566" s="8" customFormat="1" ht="21.95" customHeight="1" x14ac:dyDescent="0.15"/>
    <row r="48567" s="8" customFormat="1" ht="21.95" customHeight="1" x14ac:dyDescent="0.15"/>
    <row r="48568" s="8" customFormat="1" ht="32.1" customHeight="1" x14ac:dyDescent="0.15"/>
    <row r="48569" s="8" customFormat="1" ht="32.1" customHeight="1" x14ac:dyDescent="0.15"/>
    <row r="48570" s="8" customFormat="1" ht="32.1" customHeight="1" x14ac:dyDescent="0.15"/>
    <row r="48571" s="8" customFormat="1" ht="32.1" customHeight="1" x14ac:dyDescent="0.15"/>
    <row r="48572" s="8" customFormat="1" ht="32.1" customHeight="1" x14ac:dyDescent="0.15"/>
    <row r="48573" s="8" customFormat="1" ht="32.1" customHeight="1" x14ac:dyDescent="0.15"/>
    <row r="48574" s="9" customFormat="1" ht="32.1" customHeight="1" x14ac:dyDescent="0.15"/>
    <row r="48575" s="9" customFormat="1" ht="32.1" customHeight="1" x14ac:dyDescent="0.15"/>
    <row r="48576" s="9" customFormat="1" ht="32.1" customHeight="1" x14ac:dyDescent="0.15"/>
    <row r="48577" s="9" customFormat="1" ht="32.1" customHeight="1" x14ac:dyDescent="0.15"/>
    <row r="48578" s="9" customFormat="1" ht="21.95" customHeight="1" x14ac:dyDescent="0.15"/>
    <row r="48579" s="9" customFormat="1" ht="54" customHeight="1" x14ac:dyDescent="0.15"/>
    <row r="48580" s="9" customFormat="1" ht="21.95" customHeight="1" x14ac:dyDescent="0.15"/>
    <row r="48581" s="9" customFormat="1" ht="21.95" customHeight="1" x14ac:dyDescent="0.15"/>
    <row r="48582" s="9" customFormat="1" ht="21.95" customHeight="1" x14ac:dyDescent="0.15"/>
    <row r="48583" s="9" customFormat="1" ht="21.95" customHeight="1" x14ac:dyDescent="0.15"/>
    <row r="48584" s="9" customFormat="1" ht="21.95" customHeight="1" x14ac:dyDescent="0.15"/>
    <row r="48585" s="9" customFormat="1" ht="21.95" customHeight="1" x14ac:dyDescent="0.15"/>
    <row r="48586" s="9" customFormat="1" ht="21.95" customHeight="1" x14ac:dyDescent="0.15"/>
    <row r="48587" s="9" customFormat="1" ht="21.95" customHeight="1" x14ac:dyDescent="0.15"/>
    <row r="48588" s="9" customFormat="1" ht="21.95" customHeight="1" x14ac:dyDescent="0.15"/>
    <row r="48589" s="9" customFormat="1" ht="21.95" customHeight="1" x14ac:dyDescent="0.15"/>
    <row r="48590" s="9" customFormat="1" ht="21.95" customHeight="1" x14ac:dyDescent="0.15"/>
    <row r="48591" s="9" customFormat="1" ht="21.95" customHeight="1" x14ac:dyDescent="0.15"/>
    <row r="48592" s="9" customFormat="1" ht="21.95" customHeight="1" x14ac:dyDescent="0.15"/>
    <row r="48593" s="9" customFormat="1" ht="21.95" customHeight="1" x14ac:dyDescent="0.15"/>
    <row r="48594" s="9" customFormat="1" ht="21.95" customHeight="1" x14ac:dyDescent="0.15"/>
    <row r="48595" s="9" customFormat="1" ht="21.95" customHeight="1" x14ac:dyDescent="0.15"/>
    <row r="48596" s="9" customFormat="1" ht="21.95" customHeight="1" x14ac:dyDescent="0.15"/>
    <row r="48597" s="9" customFormat="1" ht="21.95" customHeight="1" x14ac:dyDescent="0.15"/>
    <row r="48598" s="9" customFormat="1" ht="21.95" customHeight="1" x14ac:dyDescent="0.15"/>
    <row r="48599" s="9" customFormat="1" ht="21.95" customHeight="1" x14ac:dyDescent="0.15"/>
    <row r="48600" s="9" customFormat="1" ht="21.95" customHeight="1" x14ac:dyDescent="0.15"/>
    <row r="48601" s="9" customFormat="1" ht="21.95" customHeight="1" x14ac:dyDescent="0.15"/>
    <row r="48602" s="9" customFormat="1" ht="21.95" customHeight="1" x14ac:dyDescent="0.15"/>
    <row r="48603" s="9" customFormat="1" ht="21.95" customHeight="1" x14ac:dyDescent="0.15"/>
    <row r="48604" s="9" customFormat="1" ht="21.95" customHeight="1" x14ac:dyDescent="0.15"/>
    <row r="48605" s="9" customFormat="1" ht="21.95" customHeight="1" x14ac:dyDescent="0.15"/>
    <row r="48606" s="9" customFormat="1" ht="21.95" customHeight="1" x14ac:dyDescent="0.15"/>
    <row r="48607" s="9" customFormat="1" ht="21.95" customHeight="1" x14ac:dyDescent="0.15"/>
    <row r="48608" s="9" customFormat="1" ht="21.95" customHeight="1" x14ac:dyDescent="0.15"/>
    <row r="48609" s="9" customFormat="1" ht="21.95" customHeight="1" x14ac:dyDescent="0.15"/>
    <row r="48610" s="9" customFormat="1" ht="21.95" customHeight="1" x14ac:dyDescent="0.15"/>
    <row r="48611" s="9" customFormat="1" ht="21.95" customHeight="1" x14ac:dyDescent="0.15"/>
    <row r="48612" s="9" customFormat="1" ht="21.95" customHeight="1" x14ac:dyDescent="0.15"/>
    <row r="48613" s="9" customFormat="1" ht="21.95" customHeight="1" x14ac:dyDescent="0.15"/>
    <row r="48614" s="9" customFormat="1" ht="21.95" customHeight="1" x14ac:dyDescent="0.15"/>
    <row r="48615" s="9" customFormat="1" ht="21.95" customHeight="1" x14ac:dyDescent="0.15"/>
    <row r="48616" s="9" customFormat="1" ht="21.95" customHeight="1" x14ac:dyDescent="0.15"/>
    <row r="48617" s="9" customFormat="1" ht="21.95" customHeight="1" x14ac:dyDescent="0.15"/>
    <row r="48618" s="9" customFormat="1" ht="21.95" customHeight="1" x14ac:dyDescent="0.15"/>
    <row r="48619" s="9" customFormat="1" ht="21.95" customHeight="1" x14ac:dyDescent="0.15"/>
    <row r="48620" s="9" customFormat="1" ht="21.95" customHeight="1" x14ac:dyDescent="0.15"/>
    <row r="48621" s="9" customFormat="1" ht="21.95" customHeight="1" x14ac:dyDescent="0.15"/>
    <row r="48622" s="9" customFormat="1" ht="21.95" customHeight="1" x14ac:dyDescent="0.15"/>
    <row r="48623" s="9" customFormat="1" ht="21.95" customHeight="1" x14ac:dyDescent="0.15"/>
    <row r="48624" s="9" customFormat="1" ht="21.95" customHeight="1" x14ac:dyDescent="0.15"/>
    <row r="48625" s="9" customFormat="1" ht="21.95" customHeight="1" x14ac:dyDescent="0.15"/>
    <row r="48626" s="9" customFormat="1" ht="21.95" customHeight="1" x14ac:dyDescent="0.15"/>
    <row r="48627" s="9" customFormat="1" ht="21.95" customHeight="1" x14ac:dyDescent="0.15"/>
    <row r="48628" s="9" customFormat="1" ht="21.95" customHeight="1" x14ac:dyDescent="0.15"/>
    <row r="48629" s="9" customFormat="1" ht="21.95" customHeight="1" x14ac:dyDescent="0.15"/>
    <row r="48630" s="9" customFormat="1" ht="35.1" customHeight="1" x14ac:dyDescent="0.15"/>
    <row r="48631" s="9" customFormat="1" ht="21.95" customHeight="1" x14ac:dyDescent="0.15"/>
    <row r="48632" s="9" customFormat="1" ht="21.95" customHeight="1" x14ac:dyDescent="0.15"/>
    <row r="48633" s="9" customFormat="1" ht="21.95" customHeight="1" x14ac:dyDescent="0.15"/>
    <row r="48634" s="9" customFormat="1" ht="21.95" customHeight="1" x14ac:dyDescent="0.15"/>
    <row r="48635" s="9" customFormat="1" ht="21.95" customHeight="1" x14ac:dyDescent="0.15"/>
    <row r="48636" s="9" customFormat="1" ht="21.95" customHeight="1" x14ac:dyDescent="0.15"/>
    <row r="48637" s="9" customFormat="1" ht="21.95" customHeight="1" x14ac:dyDescent="0.15"/>
    <row r="48638" s="9" customFormat="1" ht="21.95" customHeight="1" x14ac:dyDescent="0.15"/>
    <row r="48639" s="9" customFormat="1" ht="21.95" customHeight="1" x14ac:dyDescent="0.15"/>
    <row r="48640" s="9" customFormat="1" ht="21.95" customHeight="1" x14ac:dyDescent="0.15"/>
    <row r="48641" spans="3:3" s="9" customFormat="1" ht="21.95" customHeight="1" x14ac:dyDescent="0.15"/>
    <row r="48642" spans="3:3" s="9" customFormat="1" ht="21.95" customHeight="1" x14ac:dyDescent="0.15"/>
    <row r="48643" spans="3:3" s="9" customFormat="1" ht="21.95" customHeight="1" x14ac:dyDescent="0.15"/>
    <row r="48644" spans="3:3" s="9" customFormat="1" ht="21.95" customHeight="1" x14ac:dyDescent="0.15"/>
    <row r="48645" spans="3:3" s="9" customFormat="1" ht="21.95" customHeight="1" x14ac:dyDescent="0.15"/>
    <row r="48646" spans="3:3" s="9" customFormat="1" ht="21.95" customHeight="1" x14ac:dyDescent="0.15"/>
    <row r="48647" spans="3:3" s="9" customFormat="1" ht="21.95" customHeight="1" x14ac:dyDescent="0.15"/>
    <row r="48648" spans="3:3" s="9" customFormat="1" ht="21.95" customHeight="1" x14ac:dyDescent="0.15"/>
    <row r="48649" spans="3:3" s="9" customFormat="1" ht="21.95" customHeight="1" x14ac:dyDescent="0.15"/>
    <row r="48650" spans="3:3" s="9" customFormat="1" ht="21.95" customHeight="1" x14ac:dyDescent="0.15"/>
    <row r="48651" spans="3:3" s="9" customFormat="1" ht="21.95" customHeight="1" x14ac:dyDescent="0.15"/>
    <row r="48652" spans="3:3" s="9" customFormat="1" ht="21.95" customHeight="1" x14ac:dyDescent="0.15"/>
    <row r="48653" spans="3:3" s="9" customFormat="1" ht="21.95" customHeight="1" x14ac:dyDescent="0.15"/>
    <row r="48654" spans="3:3" s="8" customFormat="1" ht="21.95" customHeight="1" x14ac:dyDescent="0.15"/>
    <row r="48655" spans="3:3" s="8" customFormat="1" ht="21.95" customHeight="1" x14ac:dyDescent="0.15"/>
    <row r="48656" spans="3:3" s="8" customFormat="1" ht="21.95" customHeight="1" x14ac:dyDescent="0.15">
      <c r="C48656" s="101"/>
    </row>
    <row r="48657" spans="3:3" s="8" customFormat="1" ht="21.95" customHeight="1" x14ac:dyDescent="0.15">
      <c r="C48657" s="101"/>
    </row>
    <row r="48658" spans="3:3" s="8" customFormat="1" ht="21.95" customHeight="1" x14ac:dyDescent="0.15"/>
    <row r="48659" spans="3:3" s="8" customFormat="1" ht="21.95" customHeight="1" x14ac:dyDescent="0.15"/>
    <row r="48660" spans="3:3" s="8" customFormat="1" ht="21.95" customHeight="1" x14ac:dyDescent="0.15"/>
    <row r="48661" spans="3:3" s="8" customFormat="1" ht="21.95" customHeight="1" x14ac:dyDescent="0.15"/>
    <row r="48662" spans="3:3" s="8" customFormat="1" ht="21.95" customHeight="1" x14ac:dyDescent="0.15"/>
    <row r="48663" spans="3:3" s="8" customFormat="1" ht="21.95" customHeight="1" x14ac:dyDescent="0.15"/>
    <row r="48664" spans="3:3" s="8" customFormat="1" ht="21.95" customHeight="1" x14ac:dyDescent="0.15"/>
    <row r="48665" spans="3:3" s="9" customFormat="1" ht="21.95" customHeight="1" x14ac:dyDescent="0.15"/>
    <row r="48666" spans="3:3" s="9" customFormat="1" ht="21.95" customHeight="1" x14ac:dyDescent="0.15"/>
    <row r="48667" spans="3:3" s="9" customFormat="1" ht="21.95" customHeight="1" x14ac:dyDescent="0.15"/>
    <row r="48668" spans="3:3" s="9" customFormat="1" ht="21.95" customHeight="1" x14ac:dyDescent="0.15"/>
    <row r="48669" spans="3:3" s="8" customFormat="1" ht="21.95" customHeight="1" x14ac:dyDescent="0.15"/>
    <row r="48670" spans="3:3" s="8" customFormat="1" ht="21.95" customHeight="1" x14ac:dyDescent="0.15"/>
    <row r="48671" spans="3:3" s="8" customFormat="1" ht="21.95" customHeight="1" x14ac:dyDescent="0.15"/>
    <row r="48672" spans="3:3" s="8" customFormat="1" ht="21.95" customHeight="1" x14ac:dyDescent="0.15"/>
    <row r="48673" s="8" customFormat="1" ht="21.95" customHeight="1" x14ac:dyDescent="0.15"/>
    <row r="48674" s="8" customFormat="1" ht="21.95" customHeight="1" x14ac:dyDescent="0.15"/>
    <row r="48675" s="8" customFormat="1" ht="21.95" customHeight="1" x14ac:dyDescent="0.15"/>
    <row r="48676" s="8" customFormat="1" ht="21.95" customHeight="1" x14ac:dyDescent="0.15"/>
    <row r="48677" s="8" customFormat="1" ht="21.95" customHeight="1" x14ac:dyDescent="0.15"/>
    <row r="48678" s="8" customFormat="1" ht="21.95" customHeight="1" x14ac:dyDescent="0.15"/>
    <row r="48679" s="8" customFormat="1" ht="21.95" customHeight="1" x14ac:dyDescent="0.15"/>
    <row r="48680" s="8" customFormat="1" ht="32.1" customHeight="1" x14ac:dyDescent="0.15"/>
    <row r="48681" s="8" customFormat="1" ht="32.1" customHeight="1" x14ac:dyDescent="0.15"/>
    <row r="48682" s="8" customFormat="1" ht="32.1" customHeight="1" x14ac:dyDescent="0.15"/>
    <row r="48683" s="8" customFormat="1" ht="32.1" customHeight="1" x14ac:dyDescent="0.15"/>
    <row r="48684" s="8" customFormat="1" ht="32.1" customHeight="1" x14ac:dyDescent="0.15"/>
    <row r="48685" s="8" customFormat="1" ht="32.1" customHeight="1" x14ac:dyDescent="0.15"/>
    <row r="48686" s="9" customFormat="1" ht="32.1" customHeight="1" x14ac:dyDescent="0.15"/>
    <row r="48687" s="9" customFormat="1" ht="32.1" customHeight="1" x14ac:dyDescent="0.15"/>
    <row r="48688" s="9" customFormat="1" ht="32.1" customHeight="1" x14ac:dyDescent="0.15"/>
    <row r="48689" s="9" customFormat="1" ht="32.1" customHeight="1" x14ac:dyDescent="0.15"/>
    <row r="48690" s="9" customFormat="1" ht="21.95" customHeight="1" x14ac:dyDescent="0.15"/>
    <row r="48691" s="9" customFormat="1" ht="54" customHeight="1" x14ac:dyDescent="0.15"/>
    <row r="48692" s="9" customFormat="1" ht="21.95" customHeight="1" x14ac:dyDescent="0.15"/>
    <row r="48693" s="9" customFormat="1" ht="21.95" customHeight="1" x14ac:dyDescent="0.15"/>
    <row r="48694" s="9" customFormat="1" ht="21.95" customHeight="1" x14ac:dyDescent="0.15"/>
    <row r="48695" s="9" customFormat="1" ht="21.95" customHeight="1" x14ac:dyDescent="0.15"/>
    <row r="48696" s="9" customFormat="1" ht="21.95" customHeight="1" x14ac:dyDescent="0.15"/>
    <row r="48697" s="9" customFormat="1" ht="21.95" customHeight="1" x14ac:dyDescent="0.15"/>
    <row r="48698" s="9" customFormat="1" ht="21.95" customHeight="1" x14ac:dyDescent="0.15"/>
    <row r="48699" s="9" customFormat="1" ht="21.95" customHeight="1" x14ac:dyDescent="0.15"/>
    <row r="48700" s="9" customFormat="1" ht="21.95" customHeight="1" x14ac:dyDescent="0.15"/>
    <row r="48701" s="9" customFormat="1" ht="21.95" customHeight="1" x14ac:dyDescent="0.15"/>
    <row r="48702" s="9" customFormat="1" ht="21.95" customHeight="1" x14ac:dyDescent="0.15"/>
    <row r="48703" s="9" customFormat="1" ht="21.95" customHeight="1" x14ac:dyDescent="0.15"/>
    <row r="48704" s="9" customFormat="1" ht="21.95" customHeight="1" x14ac:dyDescent="0.15"/>
    <row r="48705" s="9" customFormat="1" ht="21.95" customHeight="1" x14ac:dyDescent="0.15"/>
    <row r="48706" s="9" customFormat="1" ht="21.95" customHeight="1" x14ac:dyDescent="0.15"/>
    <row r="48707" s="9" customFormat="1" ht="21.95" customHeight="1" x14ac:dyDescent="0.15"/>
    <row r="48708" s="9" customFormat="1" ht="21.95" customHeight="1" x14ac:dyDescent="0.15"/>
    <row r="48709" s="9" customFormat="1" ht="21.95" customHeight="1" x14ac:dyDescent="0.15"/>
    <row r="48710" s="9" customFormat="1" ht="21.95" customHeight="1" x14ac:dyDescent="0.15"/>
    <row r="48711" s="9" customFormat="1" ht="21.95" customHeight="1" x14ac:dyDescent="0.15"/>
    <row r="48712" s="9" customFormat="1" ht="21.95" customHeight="1" x14ac:dyDescent="0.15"/>
    <row r="48713" s="9" customFormat="1" ht="21.95" customHeight="1" x14ac:dyDescent="0.15"/>
    <row r="48714" s="9" customFormat="1" ht="21.95" customHeight="1" x14ac:dyDescent="0.15"/>
    <row r="48715" s="9" customFormat="1" ht="21.95" customHeight="1" x14ac:dyDescent="0.15"/>
    <row r="48716" s="9" customFormat="1" ht="21.95" customHeight="1" x14ac:dyDescent="0.15"/>
    <row r="48717" s="9" customFormat="1" ht="21.95" customHeight="1" x14ac:dyDescent="0.15"/>
    <row r="48718" s="9" customFormat="1" ht="21.95" customHeight="1" x14ac:dyDescent="0.15"/>
    <row r="48719" s="9" customFormat="1" ht="21.95" customHeight="1" x14ac:dyDescent="0.15"/>
    <row r="48720" s="9" customFormat="1" ht="21.95" customHeight="1" x14ac:dyDescent="0.15"/>
    <row r="48721" s="9" customFormat="1" ht="21.95" customHeight="1" x14ac:dyDescent="0.15"/>
    <row r="48722" s="9" customFormat="1" ht="21.95" customHeight="1" x14ac:dyDescent="0.15"/>
    <row r="48723" s="9" customFormat="1" ht="21.95" customHeight="1" x14ac:dyDescent="0.15"/>
    <row r="48724" s="9" customFormat="1" ht="21.95" customHeight="1" x14ac:dyDescent="0.15"/>
    <row r="48725" s="9" customFormat="1" ht="21.95" customHeight="1" x14ac:dyDescent="0.15"/>
    <row r="48726" s="9" customFormat="1" ht="21.95" customHeight="1" x14ac:dyDescent="0.15"/>
    <row r="48727" s="9" customFormat="1" ht="21.95" customHeight="1" x14ac:dyDescent="0.15"/>
    <row r="48728" s="9" customFormat="1" ht="21.95" customHeight="1" x14ac:dyDescent="0.15"/>
    <row r="48729" s="9" customFormat="1" ht="21.95" customHeight="1" x14ac:dyDescent="0.15"/>
    <row r="48730" s="9" customFormat="1" ht="21.95" customHeight="1" x14ac:dyDescent="0.15"/>
    <row r="48731" s="9" customFormat="1" ht="21.95" customHeight="1" x14ac:dyDescent="0.15"/>
    <row r="48732" s="9" customFormat="1" ht="21.95" customHeight="1" x14ac:dyDescent="0.15"/>
    <row r="48733" s="9" customFormat="1" ht="21.95" customHeight="1" x14ac:dyDescent="0.15"/>
    <row r="48734" s="9" customFormat="1" ht="21.95" customHeight="1" x14ac:dyDescent="0.15"/>
    <row r="48735" s="9" customFormat="1" ht="21.95" customHeight="1" x14ac:dyDescent="0.15"/>
    <row r="48736" s="9" customFormat="1" ht="21.95" customHeight="1" x14ac:dyDescent="0.15"/>
    <row r="48737" s="9" customFormat="1" ht="21.95" customHeight="1" x14ac:dyDescent="0.15"/>
    <row r="48738" s="9" customFormat="1" ht="21.95" customHeight="1" x14ac:dyDescent="0.15"/>
    <row r="48739" s="9" customFormat="1" ht="21.95" customHeight="1" x14ac:dyDescent="0.15"/>
    <row r="48740" s="9" customFormat="1" ht="21.95" customHeight="1" x14ac:dyDescent="0.15"/>
    <row r="48741" s="9" customFormat="1" ht="21.95" customHeight="1" x14ac:dyDescent="0.15"/>
    <row r="48742" s="9" customFormat="1" ht="35.1" customHeight="1" x14ac:dyDescent="0.15"/>
    <row r="48743" s="9" customFormat="1" ht="21.95" customHeight="1" x14ac:dyDescent="0.15"/>
    <row r="48744" s="9" customFormat="1" ht="21.95" customHeight="1" x14ac:dyDescent="0.15"/>
    <row r="48745" s="9" customFormat="1" ht="21.95" customHeight="1" x14ac:dyDescent="0.15"/>
    <row r="48746" s="9" customFormat="1" ht="21.95" customHeight="1" x14ac:dyDescent="0.15"/>
    <row r="48747" s="9" customFormat="1" ht="21.95" customHeight="1" x14ac:dyDescent="0.15"/>
    <row r="48748" s="9" customFormat="1" ht="21.95" customHeight="1" x14ac:dyDescent="0.15"/>
    <row r="48749" s="9" customFormat="1" ht="21.95" customHeight="1" x14ac:dyDescent="0.15"/>
    <row r="48750" s="9" customFormat="1" ht="21.95" customHeight="1" x14ac:dyDescent="0.15"/>
    <row r="48751" s="9" customFormat="1" ht="21.95" customHeight="1" x14ac:dyDescent="0.15"/>
    <row r="48752" s="9" customFormat="1" ht="21.95" customHeight="1" x14ac:dyDescent="0.15"/>
    <row r="48753" spans="3:3" s="9" customFormat="1" ht="21.95" customHeight="1" x14ac:dyDescent="0.15"/>
    <row r="48754" spans="3:3" s="9" customFormat="1" ht="21.95" customHeight="1" x14ac:dyDescent="0.15"/>
    <row r="48755" spans="3:3" s="9" customFormat="1" ht="21.95" customHeight="1" x14ac:dyDescent="0.15"/>
    <row r="48756" spans="3:3" s="9" customFormat="1" ht="21.95" customHeight="1" x14ac:dyDescent="0.15"/>
    <row r="48757" spans="3:3" s="9" customFormat="1" ht="21.95" customHeight="1" x14ac:dyDescent="0.15"/>
    <row r="48758" spans="3:3" s="9" customFormat="1" ht="21.95" customHeight="1" x14ac:dyDescent="0.15"/>
    <row r="48759" spans="3:3" s="9" customFormat="1" ht="21.95" customHeight="1" x14ac:dyDescent="0.15"/>
    <row r="48760" spans="3:3" s="9" customFormat="1" ht="21.95" customHeight="1" x14ac:dyDescent="0.15"/>
    <row r="48761" spans="3:3" s="9" customFormat="1" ht="21.95" customHeight="1" x14ac:dyDescent="0.15"/>
    <row r="48762" spans="3:3" s="9" customFormat="1" ht="21.95" customHeight="1" x14ac:dyDescent="0.15"/>
    <row r="48763" spans="3:3" s="9" customFormat="1" ht="21.95" customHeight="1" x14ac:dyDescent="0.15"/>
    <row r="48764" spans="3:3" s="9" customFormat="1" ht="21.95" customHeight="1" x14ac:dyDescent="0.15"/>
    <row r="48765" spans="3:3" s="9" customFormat="1" ht="21.95" customHeight="1" x14ac:dyDescent="0.15"/>
    <row r="48766" spans="3:3" s="8" customFormat="1" ht="21.95" customHeight="1" x14ac:dyDescent="0.15"/>
    <row r="48767" spans="3:3" s="8" customFormat="1" ht="21.95" customHeight="1" x14ac:dyDescent="0.15"/>
    <row r="48768" spans="3:3" s="8" customFormat="1" ht="21.95" customHeight="1" x14ac:dyDescent="0.15">
      <c r="C48768" s="101"/>
    </row>
    <row r="48769" spans="3:3" s="8" customFormat="1" ht="21.95" customHeight="1" x14ac:dyDescent="0.15">
      <c r="C48769" s="101"/>
    </row>
    <row r="48770" spans="3:3" s="8" customFormat="1" ht="21.95" customHeight="1" x14ac:dyDescent="0.15"/>
    <row r="48771" spans="3:3" s="8" customFormat="1" ht="21.95" customHeight="1" x14ac:dyDescent="0.15"/>
    <row r="48772" spans="3:3" s="8" customFormat="1" ht="21.95" customHeight="1" x14ac:dyDescent="0.15"/>
    <row r="48773" spans="3:3" s="8" customFormat="1" ht="21.95" customHeight="1" x14ac:dyDescent="0.15"/>
    <row r="48774" spans="3:3" s="8" customFormat="1" ht="21.95" customHeight="1" x14ac:dyDescent="0.15"/>
    <row r="48775" spans="3:3" s="8" customFormat="1" ht="21.95" customHeight="1" x14ac:dyDescent="0.15"/>
    <row r="48776" spans="3:3" s="8" customFormat="1" ht="21.95" customHeight="1" x14ac:dyDescent="0.15"/>
    <row r="48777" spans="3:3" s="9" customFormat="1" ht="21.95" customHeight="1" x14ac:dyDescent="0.15"/>
    <row r="48778" spans="3:3" s="9" customFormat="1" ht="21.95" customHeight="1" x14ac:dyDescent="0.15"/>
    <row r="48779" spans="3:3" s="9" customFormat="1" ht="21.95" customHeight="1" x14ac:dyDescent="0.15"/>
    <row r="48780" spans="3:3" s="9" customFormat="1" ht="21.95" customHeight="1" x14ac:dyDescent="0.15"/>
    <row r="48781" spans="3:3" s="8" customFormat="1" ht="21.95" customHeight="1" x14ac:dyDescent="0.15"/>
    <row r="48782" spans="3:3" s="8" customFormat="1" ht="21.95" customHeight="1" x14ac:dyDescent="0.15"/>
    <row r="48783" spans="3:3" s="8" customFormat="1" ht="21.95" customHeight="1" x14ac:dyDescent="0.15"/>
    <row r="48784" spans="3:3" s="8" customFormat="1" ht="21.95" customHeight="1" x14ac:dyDescent="0.15"/>
    <row r="48785" s="8" customFormat="1" ht="21.95" customHeight="1" x14ac:dyDescent="0.15"/>
    <row r="48786" s="8" customFormat="1" ht="21.95" customHeight="1" x14ac:dyDescent="0.15"/>
    <row r="48787" s="8" customFormat="1" ht="21.95" customHeight="1" x14ac:dyDescent="0.15"/>
    <row r="48788" s="8" customFormat="1" ht="21.95" customHeight="1" x14ac:dyDescent="0.15"/>
    <row r="48789" s="8" customFormat="1" ht="21.95" customHeight="1" x14ac:dyDescent="0.15"/>
    <row r="48790" s="8" customFormat="1" ht="21.95" customHeight="1" x14ac:dyDescent="0.15"/>
    <row r="48791" s="8" customFormat="1" ht="21.95" customHeight="1" x14ac:dyDescent="0.15"/>
    <row r="48792" s="8" customFormat="1" ht="32.1" customHeight="1" x14ac:dyDescent="0.15"/>
    <row r="48793" s="8" customFormat="1" ht="32.1" customHeight="1" x14ac:dyDescent="0.15"/>
    <row r="48794" s="8" customFormat="1" ht="32.1" customHeight="1" x14ac:dyDescent="0.15"/>
    <row r="48795" s="8" customFormat="1" ht="32.1" customHeight="1" x14ac:dyDescent="0.15"/>
    <row r="48796" s="8" customFormat="1" ht="32.1" customHeight="1" x14ac:dyDescent="0.15"/>
    <row r="48797" s="8" customFormat="1" ht="32.1" customHeight="1" x14ac:dyDescent="0.15"/>
    <row r="48798" s="9" customFormat="1" ht="32.1" customHeight="1" x14ac:dyDescent="0.15"/>
    <row r="48799" s="9" customFormat="1" ht="32.1" customHeight="1" x14ac:dyDescent="0.15"/>
    <row r="48800" s="9" customFormat="1" ht="32.1" customHeight="1" x14ac:dyDescent="0.15"/>
    <row r="48801" s="9" customFormat="1" ht="32.1" customHeight="1" x14ac:dyDescent="0.15"/>
    <row r="48802" s="9" customFormat="1" ht="21.95" customHeight="1" x14ac:dyDescent="0.15"/>
    <row r="48803" s="9" customFormat="1" ht="54" customHeight="1" x14ac:dyDescent="0.15"/>
    <row r="48804" s="9" customFormat="1" ht="21.95" customHeight="1" x14ac:dyDescent="0.15"/>
    <row r="48805" s="9" customFormat="1" ht="21.95" customHeight="1" x14ac:dyDescent="0.15"/>
    <row r="48806" s="9" customFormat="1" ht="21.95" customHeight="1" x14ac:dyDescent="0.15"/>
    <row r="48807" s="9" customFormat="1" ht="21.95" customHeight="1" x14ac:dyDescent="0.15"/>
    <row r="48808" s="9" customFormat="1" ht="21.95" customHeight="1" x14ac:dyDescent="0.15"/>
    <row r="48809" s="9" customFormat="1" ht="21.95" customHeight="1" x14ac:dyDescent="0.15"/>
    <row r="48810" s="9" customFormat="1" ht="21.95" customHeight="1" x14ac:dyDescent="0.15"/>
    <row r="48811" s="9" customFormat="1" ht="21.95" customHeight="1" x14ac:dyDescent="0.15"/>
    <row r="48812" s="9" customFormat="1" ht="21.95" customHeight="1" x14ac:dyDescent="0.15"/>
    <row r="48813" s="9" customFormat="1" ht="21.95" customHeight="1" x14ac:dyDescent="0.15"/>
    <row r="48814" s="9" customFormat="1" ht="21.95" customHeight="1" x14ac:dyDescent="0.15"/>
    <row r="48815" s="9" customFormat="1" ht="21.95" customHeight="1" x14ac:dyDescent="0.15"/>
    <row r="48816" s="9" customFormat="1" ht="21.95" customHeight="1" x14ac:dyDescent="0.15"/>
    <row r="48817" s="9" customFormat="1" ht="21.95" customHeight="1" x14ac:dyDescent="0.15"/>
    <row r="48818" s="9" customFormat="1" ht="21.95" customHeight="1" x14ac:dyDescent="0.15"/>
    <row r="48819" s="9" customFormat="1" ht="21.95" customHeight="1" x14ac:dyDescent="0.15"/>
    <row r="48820" s="9" customFormat="1" ht="21.95" customHeight="1" x14ac:dyDescent="0.15"/>
    <row r="48821" s="9" customFormat="1" ht="21.95" customHeight="1" x14ac:dyDescent="0.15"/>
    <row r="48822" s="9" customFormat="1" ht="21.95" customHeight="1" x14ac:dyDescent="0.15"/>
    <row r="48823" s="9" customFormat="1" ht="21.95" customHeight="1" x14ac:dyDescent="0.15"/>
    <row r="48824" s="9" customFormat="1" ht="21.95" customHeight="1" x14ac:dyDescent="0.15"/>
    <row r="48825" s="9" customFormat="1" ht="21.95" customHeight="1" x14ac:dyDescent="0.15"/>
    <row r="48826" s="9" customFormat="1" ht="21.95" customHeight="1" x14ac:dyDescent="0.15"/>
    <row r="48827" s="9" customFormat="1" ht="21.95" customHeight="1" x14ac:dyDescent="0.15"/>
    <row r="48828" s="9" customFormat="1" ht="21.95" customHeight="1" x14ac:dyDescent="0.15"/>
    <row r="48829" s="9" customFormat="1" ht="21.95" customHeight="1" x14ac:dyDescent="0.15"/>
    <row r="48830" s="9" customFormat="1" ht="21.95" customHeight="1" x14ac:dyDescent="0.15"/>
    <row r="48831" s="9" customFormat="1" ht="21.95" customHeight="1" x14ac:dyDescent="0.15"/>
    <row r="48832" s="9" customFormat="1" ht="21.95" customHeight="1" x14ac:dyDescent="0.15"/>
    <row r="48833" s="9" customFormat="1" ht="21.95" customHeight="1" x14ac:dyDescent="0.15"/>
    <row r="48834" s="9" customFormat="1" ht="21.95" customHeight="1" x14ac:dyDescent="0.15"/>
    <row r="48835" s="9" customFormat="1" ht="21.95" customHeight="1" x14ac:dyDescent="0.15"/>
    <row r="48836" s="9" customFormat="1" ht="21.95" customHeight="1" x14ac:dyDescent="0.15"/>
    <row r="48837" s="9" customFormat="1" ht="21.95" customHeight="1" x14ac:dyDescent="0.15"/>
    <row r="48838" s="9" customFormat="1" ht="21.95" customHeight="1" x14ac:dyDescent="0.15"/>
    <row r="48839" s="9" customFormat="1" ht="21.95" customHeight="1" x14ac:dyDescent="0.15"/>
    <row r="48840" s="9" customFormat="1" ht="21.95" customHeight="1" x14ac:dyDescent="0.15"/>
    <row r="48841" s="9" customFormat="1" ht="21.95" customHeight="1" x14ac:dyDescent="0.15"/>
    <row r="48842" s="9" customFormat="1" ht="21.95" customHeight="1" x14ac:dyDescent="0.15"/>
    <row r="48843" s="9" customFormat="1" ht="21.95" customHeight="1" x14ac:dyDescent="0.15"/>
    <row r="48844" s="9" customFormat="1" ht="21.95" customHeight="1" x14ac:dyDescent="0.15"/>
    <row r="48845" s="9" customFormat="1" ht="21.95" customHeight="1" x14ac:dyDescent="0.15"/>
    <row r="48846" s="9" customFormat="1" ht="21.95" customHeight="1" x14ac:dyDescent="0.15"/>
    <row r="48847" s="9" customFormat="1" ht="21.95" customHeight="1" x14ac:dyDescent="0.15"/>
    <row r="48848" s="9" customFormat="1" ht="21.95" customHeight="1" x14ac:dyDescent="0.15"/>
    <row r="48849" s="9" customFormat="1" ht="21.95" customHeight="1" x14ac:dyDescent="0.15"/>
    <row r="48850" s="9" customFormat="1" ht="21.95" customHeight="1" x14ac:dyDescent="0.15"/>
    <row r="48851" s="9" customFormat="1" ht="21.95" customHeight="1" x14ac:dyDescent="0.15"/>
    <row r="48852" s="9" customFormat="1" ht="21.95" customHeight="1" x14ac:dyDescent="0.15"/>
    <row r="48853" s="9" customFormat="1" ht="21.95" customHeight="1" x14ac:dyDescent="0.15"/>
    <row r="48854" s="9" customFormat="1" ht="35.1" customHeight="1" x14ac:dyDescent="0.15"/>
    <row r="48855" s="9" customFormat="1" ht="21.95" customHeight="1" x14ac:dyDescent="0.15"/>
    <row r="48856" s="9" customFormat="1" ht="21.95" customHeight="1" x14ac:dyDescent="0.15"/>
    <row r="48857" s="9" customFormat="1" ht="21.95" customHeight="1" x14ac:dyDescent="0.15"/>
    <row r="48858" s="9" customFormat="1" ht="21.95" customHeight="1" x14ac:dyDescent="0.15"/>
    <row r="48859" s="9" customFormat="1" ht="21.95" customHeight="1" x14ac:dyDescent="0.15"/>
    <row r="48860" s="9" customFormat="1" ht="21.95" customHeight="1" x14ac:dyDescent="0.15"/>
    <row r="48861" s="9" customFormat="1" ht="21.95" customHeight="1" x14ac:dyDescent="0.15"/>
    <row r="48862" s="9" customFormat="1" ht="21.95" customHeight="1" x14ac:dyDescent="0.15"/>
    <row r="48863" s="9" customFormat="1" ht="21.95" customHeight="1" x14ac:dyDescent="0.15"/>
    <row r="48864" s="9" customFormat="1" ht="21.95" customHeight="1" x14ac:dyDescent="0.15"/>
    <row r="48865" spans="3:3" s="9" customFormat="1" ht="21.95" customHeight="1" x14ac:dyDescent="0.15"/>
    <row r="48866" spans="3:3" s="9" customFormat="1" ht="21.95" customHeight="1" x14ac:dyDescent="0.15"/>
    <row r="48867" spans="3:3" s="9" customFormat="1" ht="21.95" customHeight="1" x14ac:dyDescent="0.15"/>
    <row r="48868" spans="3:3" s="9" customFormat="1" ht="21.95" customHeight="1" x14ac:dyDescent="0.15"/>
    <row r="48869" spans="3:3" s="9" customFormat="1" ht="21.95" customHeight="1" x14ac:dyDescent="0.15"/>
    <row r="48870" spans="3:3" s="9" customFormat="1" ht="21.95" customHeight="1" x14ac:dyDescent="0.15"/>
    <row r="48871" spans="3:3" s="9" customFormat="1" ht="21.95" customHeight="1" x14ac:dyDescent="0.15"/>
    <row r="48872" spans="3:3" s="9" customFormat="1" ht="21.95" customHeight="1" x14ac:dyDescent="0.15"/>
    <row r="48873" spans="3:3" s="9" customFormat="1" ht="21.95" customHeight="1" x14ac:dyDescent="0.15"/>
    <row r="48874" spans="3:3" s="9" customFormat="1" ht="21.95" customHeight="1" x14ac:dyDescent="0.15"/>
    <row r="48875" spans="3:3" s="9" customFormat="1" ht="21.95" customHeight="1" x14ac:dyDescent="0.15"/>
    <row r="48876" spans="3:3" s="9" customFormat="1" ht="21.95" customHeight="1" x14ac:dyDescent="0.15"/>
    <row r="48877" spans="3:3" s="9" customFormat="1" ht="21.95" customHeight="1" x14ac:dyDescent="0.15"/>
    <row r="48878" spans="3:3" s="8" customFormat="1" ht="21.95" customHeight="1" x14ac:dyDescent="0.15"/>
    <row r="48879" spans="3:3" s="8" customFormat="1" ht="21.95" customHeight="1" x14ac:dyDescent="0.15"/>
    <row r="48880" spans="3:3" s="8" customFormat="1" ht="21.95" customHeight="1" x14ac:dyDescent="0.15">
      <c r="C48880" s="101"/>
    </row>
    <row r="48881" spans="3:3" s="8" customFormat="1" ht="21.95" customHeight="1" x14ac:dyDescent="0.15">
      <c r="C48881" s="101"/>
    </row>
    <row r="48882" spans="3:3" s="8" customFormat="1" ht="21.95" customHeight="1" x14ac:dyDescent="0.15"/>
    <row r="48883" spans="3:3" s="8" customFormat="1" ht="21.95" customHeight="1" x14ac:dyDescent="0.15"/>
    <row r="48884" spans="3:3" s="8" customFormat="1" ht="21.95" customHeight="1" x14ac:dyDescent="0.15"/>
    <row r="48885" spans="3:3" s="8" customFormat="1" ht="21.95" customHeight="1" x14ac:dyDescent="0.15"/>
    <row r="48886" spans="3:3" s="8" customFormat="1" ht="21.95" customHeight="1" x14ac:dyDescent="0.15"/>
    <row r="48887" spans="3:3" s="8" customFormat="1" ht="21.95" customHeight="1" x14ac:dyDescent="0.15"/>
    <row r="48888" spans="3:3" s="8" customFormat="1" ht="21.95" customHeight="1" x14ac:dyDescent="0.15"/>
    <row r="48889" spans="3:3" s="9" customFormat="1" ht="21.95" customHeight="1" x14ac:dyDescent="0.15"/>
    <row r="48890" spans="3:3" s="9" customFormat="1" ht="21.95" customHeight="1" x14ac:dyDescent="0.15"/>
    <row r="48891" spans="3:3" s="9" customFormat="1" ht="21.95" customHeight="1" x14ac:dyDescent="0.15"/>
    <row r="48892" spans="3:3" s="9" customFormat="1" ht="21.95" customHeight="1" x14ac:dyDescent="0.15"/>
    <row r="48893" spans="3:3" s="8" customFormat="1" ht="21.95" customHeight="1" x14ac:dyDescent="0.15"/>
    <row r="48894" spans="3:3" s="8" customFormat="1" ht="21.95" customHeight="1" x14ac:dyDescent="0.15"/>
    <row r="48895" spans="3:3" s="8" customFormat="1" ht="21.95" customHeight="1" x14ac:dyDescent="0.15"/>
    <row r="48896" spans="3:3" s="8" customFormat="1" ht="21.95" customHeight="1" x14ac:dyDescent="0.15"/>
    <row r="48897" s="8" customFormat="1" ht="21.95" customHeight="1" x14ac:dyDescent="0.15"/>
    <row r="48898" s="8" customFormat="1" ht="21.95" customHeight="1" x14ac:dyDescent="0.15"/>
    <row r="48899" s="8" customFormat="1" ht="21.95" customHeight="1" x14ac:dyDescent="0.15"/>
    <row r="48900" s="8" customFormat="1" ht="21.95" customHeight="1" x14ac:dyDescent="0.15"/>
    <row r="48901" s="8" customFormat="1" ht="21.95" customHeight="1" x14ac:dyDescent="0.15"/>
    <row r="48902" s="8" customFormat="1" ht="21.95" customHeight="1" x14ac:dyDescent="0.15"/>
    <row r="48903" s="8" customFormat="1" ht="21.95" customHeight="1" x14ac:dyDescent="0.15"/>
    <row r="48904" s="8" customFormat="1" ht="32.1" customHeight="1" x14ac:dyDescent="0.15"/>
    <row r="48905" s="8" customFormat="1" ht="32.1" customHeight="1" x14ac:dyDescent="0.15"/>
    <row r="48906" s="8" customFormat="1" ht="32.1" customHeight="1" x14ac:dyDescent="0.15"/>
    <row r="48907" s="8" customFormat="1" ht="32.1" customHeight="1" x14ac:dyDescent="0.15"/>
    <row r="48908" s="8" customFormat="1" ht="32.1" customHeight="1" x14ac:dyDescent="0.15"/>
    <row r="48909" s="8" customFormat="1" ht="32.1" customHeight="1" x14ac:dyDescent="0.15"/>
    <row r="48910" s="9" customFormat="1" ht="32.1" customHeight="1" x14ac:dyDescent="0.15"/>
    <row r="48911" s="9" customFormat="1" ht="32.1" customHeight="1" x14ac:dyDescent="0.15"/>
    <row r="48912" s="9" customFormat="1" ht="32.1" customHeight="1" x14ac:dyDescent="0.15"/>
    <row r="48913" s="9" customFormat="1" ht="32.1" customHeight="1" x14ac:dyDescent="0.15"/>
    <row r="48914" s="9" customFormat="1" ht="21.95" customHeight="1" x14ac:dyDescent="0.15"/>
    <row r="48915" s="9" customFormat="1" ht="54" customHeight="1" x14ac:dyDescent="0.15"/>
    <row r="48916" s="9" customFormat="1" ht="21.95" customHeight="1" x14ac:dyDescent="0.15"/>
    <row r="48917" s="9" customFormat="1" ht="21.95" customHeight="1" x14ac:dyDescent="0.15"/>
    <row r="48918" s="9" customFormat="1" ht="21.95" customHeight="1" x14ac:dyDescent="0.15"/>
    <row r="48919" s="9" customFormat="1" ht="21.95" customHeight="1" x14ac:dyDescent="0.15"/>
    <row r="48920" s="9" customFormat="1" ht="21.95" customHeight="1" x14ac:dyDescent="0.15"/>
    <row r="48921" s="9" customFormat="1" ht="21.95" customHeight="1" x14ac:dyDescent="0.15"/>
    <row r="48922" s="9" customFormat="1" ht="21.95" customHeight="1" x14ac:dyDescent="0.15"/>
    <row r="48923" s="9" customFormat="1" ht="21.95" customHeight="1" x14ac:dyDescent="0.15"/>
    <row r="48924" s="9" customFormat="1" ht="21.95" customHeight="1" x14ac:dyDescent="0.15"/>
    <row r="48925" s="9" customFormat="1" ht="21.95" customHeight="1" x14ac:dyDescent="0.15"/>
    <row r="48926" s="9" customFormat="1" ht="21.95" customHeight="1" x14ac:dyDescent="0.15"/>
    <row r="48927" s="9" customFormat="1" ht="21.95" customHeight="1" x14ac:dyDescent="0.15"/>
    <row r="48928" s="9" customFormat="1" ht="21.95" customHeight="1" x14ac:dyDescent="0.15"/>
    <row r="48929" s="9" customFormat="1" ht="21.95" customHeight="1" x14ac:dyDescent="0.15"/>
    <row r="48930" s="9" customFormat="1" ht="21.95" customHeight="1" x14ac:dyDescent="0.15"/>
    <row r="48931" s="9" customFormat="1" ht="21.95" customHeight="1" x14ac:dyDescent="0.15"/>
    <row r="48932" s="9" customFormat="1" ht="21.95" customHeight="1" x14ac:dyDescent="0.15"/>
    <row r="48933" s="9" customFormat="1" ht="21.95" customHeight="1" x14ac:dyDescent="0.15"/>
    <row r="48934" s="9" customFormat="1" ht="21.95" customHeight="1" x14ac:dyDescent="0.15"/>
    <row r="48935" s="9" customFormat="1" ht="21.95" customHeight="1" x14ac:dyDescent="0.15"/>
    <row r="48936" s="9" customFormat="1" ht="21.95" customHeight="1" x14ac:dyDescent="0.15"/>
    <row r="48937" s="9" customFormat="1" ht="21.95" customHeight="1" x14ac:dyDescent="0.15"/>
    <row r="48938" s="9" customFormat="1" ht="21.95" customHeight="1" x14ac:dyDescent="0.15"/>
    <row r="48939" s="9" customFormat="1" ht="21.95" customHeight="1" x14ac:dyDescent="0.15"/>
    <row r="48940" s="9" customFormat="1" ht="21.95" customHeight="1" x14ac:dyDescent="0.15"/>
    <row r="48941" s="9" customFormat="1" ht="21.95" customHeight="1" x14ac:dyDescent="0.15"/>
    <row r="48942" s="9" customFormat="1" ht="21.95" customHeight="1" x14ac:dyDescent="0.15"/>
    <row r="48943" s="9" customFormat="1" ht="21.95" customHeight="1" x14ac:dyDescent="0.15"/>
    <row r="48944" s="9" customFormat="1" ht="21.95" customHeight="1" x14ac:dyDescent="0.15"/>
    <row r="48945" s="9" customFormat="1" ht="21.95" customHeight="1" x14ac:dyDescent="0.15"/>
    <row r="48946" s="9" customFormat="1" ht="21.95" customHeight="1" x14ac:dyDescent="0.15"/>
    <row r="48947" s="9" customFormat="1" ht="21.95" customHeight="1" x14ac:dyDescent="0.15"/>
    <row r="48948" s="9" customFormat="1" ht="21.95" customHeight="1" x14ac:dyDescent="0.15"/>
    <row r="48949" s="9" customFormat="1" ht="21.95" customHeight="1" x14ac:dyDescent="0.15"/>
    <row r="48950" s="9" customFormat="1" ht="21.95" customHeight="1" x14ac:dyDescent="0.15"/>
    <row r="48951" s="9" customFormat="1" ht="21.95" customHeight="1" x14ac:dyDescent="0.15"/>
    <row r="48952" s="9" customFormat="1" ht="21.95" customHeight="1" x14ac:dyDescent="0.15"/>
    <row r="48953" s="9" customFormat="1" ht="21.95" customHeight="1" x14ac:dyDescent="0.15"/>
    <row r="48954" s="9" customFormat="1" ht="21.95" customHeight="1" x14ac:dyDescent="0.15"/>
    <row r="48955" s="9" customFormat="1" ht="21.95" customHeight="1" x14ac:dyDescent="0.15"/>
    <row r="48956" s="9" customFormat="1" ht="21.95" customHeight="1" x14ac:dyDescent="0.15"/>
    <row r="48957" s="9" customFormat="1" ht="21.95" customHeight="1" x14ac:dyDescent="0.15"/>
    <row r="48958" s="9" customFormat="1" ht="21.95" customHeight="1" x14ac:dyDescent="0.15"/>
    <row r="48959" s="9" customFormat="1" ht="21.95" customHeight="1" x14ac:dyDescent="0.15"/>
    <row r="48960" s="9" customFormat="1" ht="21.95" customHeight="1" x14ac:dyDescent="0.15"/>
    <row r="48961" s="9" customFormat="1" ht="21.95" customHeight="1" x14ac:dyDescent="0.15"/>
    <row r="48962" s="9" customFormat="1" ht="21.95" customHeight="1" x14ac:dyDescent="0.15"/>
    <row r="48963" s="9" customFormat="1" ht="21.95" customHeight="1" x14ac:dyDescent="0.15"/>
    <row r="48964" s="9" customFormat="1" ht="21.95" customHeight="1" x14ac:dyDescent="0.15"/>
    <row r="48965" s="9" customFormat="1" ht="21.95" customHeight="1" x14ac:dyDescent="0.15"/>
    <row r="48966" s="9" customFormat="1" ht="35.1" customHeight="1" x14ac:dyDescent="0.15"/>
    <row r="48967" s="9" customFormat="1" ht="21.95" customHeight="1" x14ac:dyDescent="0.15"/>
    <row r="48968" s="9" customFormat="1" ht="21.95" customHeight="1" x14ac:dyDescent="0.15"/>
    <row r="48969" s="9" customFormat="1" ht="21.95" customHeight="1" x14ac:dyDescent="0.15"/>
    <row r="48970" s="9" customFormat="1" ht="21.95" customHeight="1" x14ac:dyDescent="0.15"/>
    <row r="48971" s="9" customFormat="1" ht="21.95" customHeight="1" x14ac:dyDescent="0.15"/>
    <row r="48972" s="9" customFormat="1" ht="21.95" customHeight="1" x14ac:dyDescent="0.15"/>
    <row r="48973" s="9" customFormat="1" ht="21.95" customHeight="1" x14ac:dyDescent="0.15"/>
    <row r="48974" s="9" customFormat="1" ht="21.95" customHeight="1" x14ac:dyDescent="0.15"/>
    <row r="48975" s="9" customFormat="1" ht="21.95" customHeight="1" x14ac:dyDescent="0.15"/>
    <row r="48976" s="9" customFormat="1" ht="21.95" customHeight="1" x14ac:dyDescent="0.15"/>
    <row r="48977" spans="3:3" s="9" customFormat="1" ht="21.95" customHeight="1" x14ac:dyDescent="0.15"/>
    <row r="48978" spans="3:3" s="9" customFormat="1" ht="21.95" customHeight="1" x14ac:dyDescent="0.15"/>
    <row r="48979" spans="3:3" s="9" customFormat="1" ht="21.95" customHeight="1" x14ac:dyDescent="0.15"/>
    <row r="48980" spans="3:3" s="9" customFormat="1" ht="21.95" customHeight="1" x14ac:dyDescent="0.15"/>
    <row r="48981" spans="3:3" s="9" customFormat="1" ht="21.95" customHeight="1" x14ac:dyDescent="0.15"/>
    <row r="48982" spans="3:3" s="9" customFormat="1" ht="21.95" customHeight="1" x14ac:dyDescent="0.15"/>
    <row r="48983" spans="3:3" s="9" customFormat="1" ht="21.95" customHeight="1" x14ac:dyDescent="0.15"/>
    <row r="48984" spans="3:3" s="9" customFormat="1" ht="21.95" customHeight="1" x14ac:dyDescent="0.15"/>
    <row r="48985" spans="3:3" s="9" customFormat="1" ht="21.95" customHeight="1" x14ac:dyDescent="0.15"/>
    <row r="48986" spans="3:3" s="9" customFormat="1" ht="21.95" customHeight="1" x14ac:dyDescent="0.15"/>
    <row r="48987" spans="3:3" s="9" customFormat="1" ht="21.95" customHeight="1" x14ac:dyDescent="0.15"/>
    <row r="48988" spans="3:3" s="9" customFormat="1" ht="21.95" customHeight="1" x14ac:dyDescent="0.15"/>
    <row r="48989" spans="3:3" s="9" customFormat="1" ht="21.95" customHeight="1" x14ac:dyDescent="0.15"/>
    <row r="48990" spans="3:3" s="8" customFormat="1" ht="21.95" customHeight="1" x14ac:dyDescent="0.15"/>
    <row r="48991" spans="3:3" s="8" customFormat="1" ht="21.95" customHeight="1" x14ac:dyDescent="0.15"/>
    <row r="48992" spans="3:3" s="8" customFormat="1" ht="21.95" customHeight="1" x14ac:dyDescent="0.15">
      <c r="C48992" s="101"/>
    </row>
    <row r="48993" spans="3:3" s="8" customFormat="1" ht="21.95" customHeight="1" x14ac:dyDescent="0.15">
      <c r="C48993" s="101"/>
    </row>
    <row r="48994" spans="3:3" s="8" customFormat="1" ht="21.95" customHeight="1" x14ac:dyDescent="0.15"/>
    <row r="48995" spans="3:3" s="8" customFormat="1" ht="21.95" customHeight="1" x14ac:dyDescent="0.15"/>
    <row r="48996" spans="3:3" s="8" customFormat="1" ht="21.95" customHeight="1" x14ac:dyDescent="0.15"/>
    <row r="48997" spans="3:3" s="8" customFormat="1" ht="21.95" customHeight="1" x14ac:dyDescent="0.15"/>
    <row r="48998" spans="3:3" s="8" customFormat="1" ht="21.95" customHeight="1" x14ac:dyDescent="0.15"/>
    <row r="48999" spans="3:3" s="8" customFormat="1" ht="21.95" customHeight="1" x14ac:dyDescent="0.15"/>
    <row r="49000" spans="3:3" s="8" customFormat="1" ht="21.95" customHeight="1" x14ac:dyDescent="0.15"/>
    <row r="49001" spans="3:3" s="9" customFormat="1" ht="21.95" customHeight="1" x14ac:dyDescent="0.15"/>
    <row r="49002" spans="3:3" s="9" customFormat="1" ht="21.95" customHeight="1" x14ac:dyDescent="0.15"/>
    <row r="49003" spans="3:3" s="9" customFormat="1" ht="21.95" customHeight="1" x14ac:dyDescent="0.15"/>
    <row r="49004" spans="3:3" s="9" customFormat="1" ht="21.95" customHeight="1" x14ac:dyDescent="0.15"/>
    <row r="49005" spans="3:3" s="8" customFormat="1" ht="21.95" customHeight="1" x14ac:dyDescent="0.15"/>
    <row r="49006" spans="3:3" s="8" customFormat="1" ht="21.95" customHeight="1" x14ac:dyDescent="0.15"/>
    <row r="49007" spans="3:3" s="8" customFormat="1" ht="21.95" customHeight="1" x14ac:dyDescent="0.15"/>
    <row r="49008" spans="3:3" s="8" customFormat="1" ht="21.95" customHeight="1" x14ac:dyDescent="0.15"/>
    <row r="49009" s="8" customFormat="1" ht="21.95" customHeight="1" x14ac:dyDescent="0.15"/>
    <row r="49010" s="8" customFormat="1" ht="21.95" customHeight="1" x14ac:dyDescent="0.15"/>
    <row r="49011" s="8" customFormat="1" ht="21.95" customHeight="1" x14ac:dyDescent="0.15"/>
    <row r="49012" s="8" customFormat="1" ht="21.95" customHeight="1" x14ac:dyDescent="0.15"/>
    <row r="49013" s="8" customFormat="1" ht="21.95" customHeight="1" x14ac:dyDescent="0.15"/>
    <row r="49014" s="8" customFormat="1" ht="21.95" customHeight="1" x14ac:dyDescent="0.15"/>
    <row r="49015" s="8" customFormat="1" ht="21.95" customHeight="1" x14ac:dyDescent="0.15"/>
    <row r="49016" s="8" customFormat="1" ht="32.1" customHeight="1" x14ac:dyDescent="0.15"/>
    <row r="49017" s="8" customFormat="1" ht="32.1" customHeight="1" x14ac:dyDescent="0.15"/>
    <row r="49018" s="8" customFormat="1" ht="32.1" customHeight="1" x14ac:dyDescent="0.15"/>
    <row r="49019" s="8" customFormat="1" ht="32.1" customHeight="1" x14ac:dyDescent="0.15"/>
    <row r="49020" s="8" customFormat="1" ht="32.1" customHeight="1" x14ac:dyDescent="0.15"/>
    <row r="49021" s="8" customFormat="1" ht="32.1" customHeight="1" x14ac:dyDescent="0.15"/>
    <row r="49022" s="9" customFormat="1" ht="32.1" customHeight="1" x14ac:dyDescent="0.15"/>
    <row r="49023" s="9" customFormat="1" ht="32.1" customHeight="1" x14ac:dyDescent="0.15"/>
    <row r="49024" s="9" customFormat="1" ht="32.1" customHeight="1" x14ac:dyDescent="0.15"/>
    <row r="49025" s="9" customFormat="1" ht="32.1" customHeight="1" x14ac:dyDescent="0.15"/>
    <row r="49026" s="9" customFormat="1" ht="21.95" customHeight="1" x14ac:dyDescent="0.15"/>
    <row r="49027" s="9" customFormat="1" ht="54" customHeight="1" x14ac:dyDescent="0.15"/>
    <row r="49028" s="9" customFormat="1" ht="21.95" customHeight="1" x14ac:dyDescent="0.15"/>
    <row r="49029" s="9" customFormat="1" ht="21.95" customHeight="1" x14ac:dyDescent="0.15"/>
    <row r="49030" s="9" customFormat="1" ht="21.95" customHeight="1" x14ac:dyDescent="0.15"/>
    <row r="49031" s="9" customFormat="1" ht="21.95" customHeight="1" x14ac:dyDescent="0.15"/>
    <row r="49032" s="9" customFormat="1" ht="21.95" customHeight="1" x14ac:dyDescent="0.15"/>
    <row r="49033" s="9" customFormat="1" ht="21.95" customHeight="1" x14ac:dyDescent="0.15"/>
    <row r="49034" s="9" customFormat="1" ht="21.95" customHeight="1" x14ac:dyDescent="0.15"/>
    <row r="49035" s="9" customFormat="1" ht="21.95" customHeight="1" x14ac:dyDescent="0.15"/>
    <row r="49036" s="9" customFormat="1" ht="21.95" customHeight="1" x14ac:dyDescent="0.15"/>
    <row r="49037" s="9" customFormat="1" ht="21.95" customHeight="1" x14ac:dyDescent="0.15"/>
    <row r="49038" s="9" customFormat="1" ht="21.95" customHeight="1" x14ac:dyDescent="0.15"/>
    <row r="49039" s="9" customFormat="1" ht="21.95" customHeight="1" x14ac:dyDescent="0.15"/>
    <row r="49040" s="9" customFormat="1" ht="21.95" customHeight="1" x14ac:dyDescent="0.15"/>
    <row r="49041" s="9" customFormat="1" ht="21.95" customHeight="1" x14ac:dyDescent="0.15"/>
    <row r="49042" s="9" customFormat="1" ht="21.95" customHeight="1" x14ac:dyDescent="0.15"/>
    <row r="49043" s="9" customFormat="1" ht="21.95" customHeight="1" x14ac:dyDescent="0.15"/>
    <row r="49044" s="9" customFormat="1" ht="21.95" customHeight="1" x14ac:dyDescent="0.15"/>
    <row r="49045" s="9" customFormat="1" ht="21.95" customHeight="1" x14ac:dyDescent="0.15"/>
    <row r="49046" s="9" customFormat="1" ht="21.95" customHeight="1" x14ac:dyDescent="0.15"/>
    <row r="49047" s="9" customFormat="1" ht="21.95" customHeight="1" x14ac:dyDescent="0.15"/>
    <row r="49048" s="9" customFormat="1" ht="21.95" customHeight="1" x14ac:dyDescent="0.15"/>
    <row r="49049" s="9" customFormat="1" ht="21.95" customHeight="1" x14ac:dyDescent="0.15"/>
    <row r="49050" s="9" customFormat="1" ht="21.95" customHeight="1" x14ac:dyDescent="0.15"/>
    <row r="49051" s="9" customFormat="1" ht="21.95" customHeight="1" x14ac:dyDescent="0.15"/>
    <row r="49052" s="9" customFormat="1" ht="21.95" customHeight="1" x14ac:dyDescent="0.15"/>
    <row r="49053" s="9" customFormat="1" ht="21.95" customHeight="1" x14ac:dyDescent="0.15"/>
    <row r="49054" s="9" customFormat="1" ht="21.95" customHeight="1" x14ac:dyDescent="0.15"/>
    <row r="49055" s="9" customFormat="1" ht="21.95" customHeight="1" x14ac:dyDescent="0.15"/>
    <row r="49056" s="9" customFormat="1" ht="21.95" customHeight="1" x14ac:dyDescent="0.15"/>
    <row r="49057" s="9" customFormat="1" ht="21.95" customHeight="1" x14ac:dyDescent="0.15"/>
    <row r="49058" s="9" customFormat="1" ht="21.95" customHeight="1" x14ac:dyDescent="0.15"/>
    <row r="49059" s="9" customFormat="1" ht="21.95" customHeight="1" x14ac:dyDescent="0.15"/>
    <row r="49060" s="9" customFormat="1" ht="21.95" customHeight="1" x14ac:dyDescent="0.15"/>
    <row r="49061" s="9" customFormat="1" ht="21.95" customHeight="1" x14ac:dyDescent="0.15"/>
    <row r="49062" s="9" customFormat="1" ht="21.95" customHeight="1" x14ac:dyDescent="0.15"/>
    <row r="49063" s="9" customFormat="1" ht="21.95" customHeight="1" x14ac:dyDescent="0.15"/>
    <row r="49064" s="9" customFormat="1" ht="21.95" customHeight="1" x14ac:dyDescent="0.15"/>
    <row r="49065" s="9" customFormat="1" ht="21.95" customHeight="1" x14ac:dyDescent="0.15"/>
    <row r="49066" s="9" customFormat="1" ht="21.95" customHeight="1" x14ac:dyDescent="0.15"/>
    <row r="49067" s="9" customFormat="1" ht="21.95" customHeight="1" x14ac:dyDescent="0.15"/>
    <row r="49068" s="9" customFormat="1" ht="21.95" customHeight="1" x14ac:dyDescent="0.15"/>
    <row r="49069" s="9" customFormat="1" ht="21.95" customHeight="1" x14ac:dyDescent="0.15"/>
    <row r="49070" s="9" customFormat="1" ht="21.95" customHeight="1" x14ac:dyDescent="0.15"/>
    <row r="49071" s="9" customFormat="1" ht="21.95" customHeight="1" x14ac:dyDescent="0.15"/>
    <row r="49072" s="9" customFormat="1" ht="21.95" customHeight="1" x14ac:dyDescent="0.15"/>
    <row r="49073" s="9" customFormat="1" ht="21.95" customHeight="1" x14ac:dyDescent="0.15"/>
    <row r="49074" s="9" customFormat="1" ht="21.95" customHeight="1" x14ac:dyDescent="0.15"/>
    <row r="49075" s="9" customFormat="1" ht="21.95" customHeight="1" x14ac:dyDescent="0.15"/>
    <row r="49076" s="9" customFormat="1" ht="21.95" customHeight="1" x14ac:dyDescent="0.15"/>
    <row r="49077" s="9" customFormat="1" ht="21.95" customHeight="1" x14ac:dyDescent="0.15"/>
    <row r="49078" s="9" customFormat="1" ht="35.1" customHeight="1" x14ac:dyDescent="0.15"/>
    <row r="49079" s="9" customFormat="1" ht="21.95" customHeight="1" x14ac:dyDescent="0.15"/>
    <row r="49080" s="9" customFormat="1" ht="21.95" customHeight="1" x14ac:dyDescent="0.15"/>
    <row r="49081" s="9" customFormat="1" ht="21.95" customHeight="1" x14ac:dyDescent="0.15"/>
    <row r="49082" s="9" customFormat="1" ht="21.95" customHeight="1" x14ac:dyDescent="0.15"/>
    <row r="49083" s="9" customFormat="1" ht="21.95" customHeight="1" x14ac:dyDescent="0.15"/>
    <row r="49084" s="9" customFormat="1" ht="21.95" customHeight="1" x14ac:dyDescent="0.15"/>
    <row r="49085" s="9" customFormat="1" ht="21.95" customHeight="1" x14ac:dyDescent="0.15"/>
    <row r="49086" s="9" customFormat="1" ht="21.95" customHeight="1" x14ac:dyDescent="0.15"/>
    <row r="49087" s="9" customFormat="1" ht="21.95" customHeight="1" x14ac:dyDescent="0.15"/>
    <row r="49088" s="9" customFormat="1" ht="21.95" customHeight="1" x14ac:dyDescent="0.15"/>
    <row r="49089" spans="3:3" s="9" customFormat="1" ht="21.95" customHeight="1" x14ac:dyDescent="0.15"/>
    <row r="49090" spans="3:3" s="9" customFormat="1" ht="21.95" customHeight="1" x14ac:dyDescent="0.15"/>
    <row r="49091" spans="3:3" s="9" customFormat="1" ht="21.95" customHeight="1" x14ac:dyDescent="0.15"/>
    <row r="49092" spans="3:3" s="9" customFormat="1" ht="21.95" customHeight="1" x14ac:dyDescent="0.15"/>
    <row r="49093" spans="3:3" s="9" customFormat="1" ht="21.95" customHeight="1" x14ac:dyDescent="0.15"/>
    <row r="49094" spans="3:3" s="9" customFormat="1" ht="21.95" customHeight="1" x14ac:dyDescent="0.15"/>
    <row r="49095" spans="3:3" s="9" customFormat="1" ht="21.95" customHeight="1" x14ac:dyDescent="0.15"/>
    <row r="49096" spans="3:3" s="9" customFormat="1" ht="21.95" customHeight="1" x14ac:dyDescent="0.15"/>
    <row r="49097" spans="3:3" s="9" customFormat="1" ht="21.95" customHeight="1" x14ac:dyDescent="0.15"/>
    <row r="49098" spans="3:3" s="9" customFormat="1" ht="21.95" customHeight="1" x14ac:dyDescent="0.15"/>
    <row r="49099" spans="3:3" s="9" customFormat="1" ht="21.95" customHeight="1" x14ac:dyDescent="0.15"/>
    <row r="49100" spans="3:3" s="9" customFormat="1" ht="21.95" customHeight="1" x14ac:dyDescent="0.15"/>
    <row r="49101" spans="3:3" s="9" customFormat="1" ht="21.95" customHeight="1" x14ac:dyDescent="0.15"/>
    <row r="49102" spans="3:3" s="8" customFormat="1" ht="21.95" customHeight="1" x14ac:dyDescent="0.15"/>
    <row r="49103" spans="3:3" s="8" customFormat="1" ht="21.95" customHeight="1" x14ac:dyDescent="0.15"/>
    <row r="49104" spans="3:3" s="8" customFormat="1" ht="21.95" customHeight="1" x14ac:dyDescent="0.15">
      <c r="C49104" s="101"/>
    </row>
    <row r="49105" spans="3:3" s="8" customFormat="1" ht="21.95" customHeight="1" x14ac:dyDescent="0.15">
      <c r="C49105" s="101"/>
    </row>
    <row r="49106" spans="3:3" s="8" customFormat="1" ht="21.95" customHeight="1" x14ac:dyDescent="0.15"/>
    <row r="49107" spans="3:3" s="8" customFormat="1" ht="21.95" customHeight="1" x14ac:dyDescent="0.15"/>
    <row r="49108" spans="3:3" s="8" customFormat="1" ht="21.95" customHeight="1" x14ac:dyDescent="0.15"/>
    <row r="49109" spans="3:3" s="8" customFormat="1" ht="21.95" customHeight="1" x14ac:dyDescent="0.15"/>
    <row r="49110" spans="3:3" s="8" customFormat="1" ht="21.95" customHeight="1" x14ac:dyDescent="0.15"/>
    <row r="49111" spans="3:3" s="8" customFormat="1" ht="21.95" customHeight="1" x14ac:dyDescent="0.15"/>
    <row r="49112" spans="3:3" s="8" customFormat="1" ht="21.95" customHeight="1" x14ac:dyDescent="0.15"/>
    <row r="49113" spans="3:3" s="9" customFormat="1" ht="21.95" customHeight="1" x14ac:dyDescent="0.15"/>
    <row r="49114" spans="3:3" s="9" customFormat="1" ht="21.95" customHeight="1" x14ac:dyDescent="0.15"/>
    <row r="49115" spans="3:3" s="9" customFormat="1" ht="21.95" customHeight="1" x14ac:dyDescent="0.15"/>
    <row r="49116" spans="3:3" s="9" customFormat="1" ht="21.95" customHeight="1" x14ac:dyDescent="0.15"/>
    <row r="49117" spans="3:3" s="8" customFormat="1" ht="21.95" customHeight="1" x14ac:dyDescent="0.15"/>
    <row r="49118" spans="3:3" s="8" customFormat="1" ht="21.95" customHeight="1" x14ac:dyDescent="0.15"/>
    <row r="49119" spans="3:3" s="8" customFormat="1" ht="21.95" customHeight="1" x14ac:dyDescent="0.15"/>
    <row r="49120" spans="3:3" s="8" customFormat="1" ht="21.95" customHeight="1" x14ac:dyDescent="0.15"/>
    <row r="49121" s="8" customFormat="1" ht="21.95" customHeight="1" x14ac:dyDescent="0.15"/>
    <row r="49122" s="8" customFormat="1" ht="21.95" customHeight="1" x14ac:dyDescent="0.15"/>
    <row r="49123" s="8" customFormat="1" ht="21.95" customHeight="1" x14ac:dyDescent="0.15"/>
    <row r="49124" s="8" customFormat="1" ht="21.95" customHeight="1" x14ac:dyDescent="0.15"/>
    <row r="49125" s="8" customFormat="1" ht="21.95" customHeight="1" x14ac:dyDescent="0.15"/>
    <row r="49126" s="8" customFormat="1" ht="21.95" customHeight="1" x14ac:dyDescent="0.15"/>
    <row r="49127" s="8" customFormat="1" ht="21.95" customHeight="1" x14ac:dyDescent="0.15"/>
    <row r="49128" s="8" customFormat="1" ht="32.1" customHeight="1" x14ac:dyDescent="0.15"/>
    <row r="49129" s="8" customFormat="1" ht="32.1" customHeight="1" x14ac:dyDescent="0.15"/>
    <row r="49130" s="8" customFormat="1" ht="32.1" customHeight="1" x14ac:dyDescent="0.15"/>
    <row r="49131" s="8" customFormat="1" ht="32.1" customHeight="1" x14ac:dyDescent="0.15"/>
    <row r="49132" s="8" customFormat="1" ht="32.1" customHeight="1" x14ac:dyDescent="0.15"/>
    <row r="49133" s="8" customFormat="1" ht="32.1" customHeight="1" x14ac:dyDescent="0.15"/>
    <row r="49134" s="9" customFormat="1" ht="32.1" customHeight="1" x14ac:dyDescent="0.15"/>
    <row r="49135" s="9" customFormat="1" ht="32.1" customHeight="1" x14ac:dyDescent="0.15"/>
    <row r="49136" s="9" customFormat="1" ht="32.1" customHeight="1" x14ac:dyDescent="0.15"/>
    <row r="49137" s="9" customFormat="1" ht="32.1" customHeight="1" x14ac:dyDescent="0.15"/>
    <row r="49138" s="9" customFormat="1" ht="21.95" customHeight="1" x14ac:dyDescent="0.15"/>
    <row r="49139" s="9" customFormat="1" ht="54" customHeight="1" x14ac:dyDescent="0.15"/>
    <row r="49140" s="9" customFormat="1" ht="21.95" customHeight="1" x14ac:dyDescent="0.15"/>
    <row r="49141" s="9" customFormat="1" ht="21.95" customHeight="1" x14ac:dyDescent="0.15"/>
    <row r="49142" s="9" customFormat="1" ht="21.95" customHeight="1" x14ac:dyDescent="0.15"/>
    <row r="49143" s="9" customFormat="1" ht="21.95" customHeight="1" x14ac:dyDescent="0.15"/>
    <row r="49144" s="9" customFormat="1" ht="21.95" customHeight="1" x14ac:dyDescent="0.15"/>
    <row r="49145" s="9" customFormat="1" ht="21.95" customHeight="1" x14ac:dyDescent="0.15"/>
    <row r="49146" s="9" customFormat="1" ht="21.95" customHeight="1" x14ac:dyDescent="0.15"/>
    <row r="49147" s="9" customFormat="1" ht="21.95" customHeight="1" x14ac:dyDescent="0.15"/>
    <row r="49148" s="9" customFormat="1" ht="21.95" customHeight="1" x14ac:dyDescent="0.15"/>
    <row r="49149" s="9" customFormat="1" ht="21.95" customHeight="1" x14ac:dyDescent="0.15"/>
    <row r="49150" s="9" customFormat="1" ht="21.95" customHeight="1" x14ac:dyDescent="0.15"/>
    <row r="49151" s="9" customFormat="1" ht="21.95" customHeight="1" x14ac:dyDescent="0.15"/>
    <row r="49152" s="9" customFormat="1" ht="21.95" customHeight="1" x14ac:dyDescent="0.15"/>
    <row r="49153" s="9" customFormat="1" ht="21.95" customHeight="1" x14ac:dyDescent="0.15"/>
    <row r="49154" s="9" customFormat="1" ht="21.95" customHeight="1" x14ac:dyDescent="0.15"/>
    <row r="49155" s="9" customFormat="1" ht="21.95" customHeight="1" x14ac:dyDescent="0.15"/>
    <row r="49156" s="9" customFormat="1" ht="21.95" customHeight="1" x14ac:dyDescent="0.15"/>
    <row r="49157" s="9" customFormat="1" ht="21.95" customHeight="1" x14ac:dyDescent="0.15"/>
    <row r="49158" s="9" customFormat="1" ht="21.95" customHeight="1" x14ac:dyDescent="0.15"/>
    <row r="49159" s="9" customFormat="1" ht="21.95" customHeight="1" x14ac:dyDescent="0.15"/>
    <row r="49160" s="9" customFormat="1" ht="21.95" customHeight="1" x14ac:dyDescent="0.15"/>
    <row r="49161" s="9" customFormat="1" ht="21.95" customHeight="1" x14ac:dyDescent="0.15"/>
    <row r="49162" s="9" customFormat="1" ht="21.95" customHeight="1" x14ac:dyDescent="0.15"/>
    <row r="49163" s="9" customFormat="1" ht="21.95" customHeight="1" x14ac:dyDescent="0.15"/>
    <row r="49164" s="9" customFormat="1" ht="21.95" customHeight="1" x14ac:dyDescent="0.15"/>
    <row r="49165" s="9" customFormat="1" ht="21.95" customHeight="1" x14ac:dyDescent="0.15"/>
    <row r="49166" s="9" customFormat="1" ht="21.95" customHeight="1" x14ac:dyDescent="0.15"/>
    <row r="49167" s="9" customFormat="1" ht="21.95" customHeight="1" x14ac:dyDescent="0.15"/>
    <row r="49168" s="9" customFormat="1" ht="21.95" customHeight="1" x14ac:dyDescent="0.15"/>
    <row r="49169" s="9" customFormat="1" ht="21.95" customHeight="1" x14ac:dyDescent="0.15"/>
    <row r="49170" s="9" customFormat="1" ht="21.95" customHeight="1" x14ac:dyDescent="0.15"/>
    <row r="49171" s="9" customFormat="1" ht="21.95" customHeight="1" x14ac:dyDescent="0.15"/>
    <row r="49172" s="9" customFormat="1" ht="21.95" customHeight="1" x14ac:dyDescent="0.15"/>
    <row r="49173" s="9" customFormat="1" ht="21.95" customHeight="1" x14ac:dyDescent="0.15"/>
    <row r="49174" s="9" customFormat="1" ht="21.95" customHeight="1" x14ac:dyDescent="0.15"/>
    <row r="49175" s="9" customFormat="1" ht="21.95" customHeight="1" x14ac:dyDescent="0.15"/>
    <row r="49176" s="9" customFormat="1" ht="21.95" customHeight="1" x14ac:dyDescent="0.15"/>
    <row r="49177" s="9" customFormat="1" ht="21.95" customHeight="1" x14ac:dyDescent="0.15"/>
    <row r="49178" s="9" customFormat="1" ht="21.95" customHeight="1" x14ac:dyDescent="0.15"/>
    <row r="49179" s="9" customFormat="1" ht="21.95" customHeight="1" x14ac:dyDescent="0.15"/>
    <row r="49180" s="9" customFormat="1" ht="21.95" customHeight="1" x14ac:dyDescent="0.15"/>
    <row r="49181" s="9" customFormat="1" ht="21.95" customHeight="1" x14ac:dyDescent="0.15"/>
    <row r="49182" s="9" customFormat="1" ht="21.95" customHeight="1" x14ac:dyDescent="0.15"/>
    <row r="49183" s="9" customFormat="1" ht="21.95" customHeight="1" x14ac:dyDescent="0.15"/>
    <row r="49184" s="9" customFormat="1" ht="21.95" customHeight="1" x14ac:dyDescent="0.15"/>
    <row r="49185" s="9" customFormat="1" ht="21.95" customHeight="1" x14ac:dyDescent="0.15"/>
    <row r="49186" s="9" customFormat="1" ht="21.95" customHeight="1" x14ac:dyDescent="0.15"/>
    <row r="49187" s="9" customFormat="1" ht="21.95" customHeight="1" x14ac:dyDescent="0.15"/>
    <row r="49188" s="9" customFormat="1" ht="21.95" customHeight="1" x14ac:dyDescent="0.15"/>
    <row r="49189" s="9" customFormat="1" ht="21.95" customHeight="1" x14ac:dyDescent="0.15"/>
    <row r="49190" s="9" customFormat="1" ht="35.1" customHeight="1" x14ac:dyDescent="0.15"/>
    <row r="49191" s="9" customFormat="1" ht="21.95" customHeight="1" x14ac:dyDescent="0.15"/>
    <row r="49192" s="9" customFormat="1" ht="21.95" customHeight="1" x14ac:dyDescent="0.15"/>
    <row r="49193" s="9" customFormat="1" ht="21.95" customHeight="1" x14ac:dyDescent="0.15"/>
    <row r="49194" s="9" customFormat="1" ht="21.95" customHeight="1" x14ac:dyDescent="0.15"/>
    <row r="49195" s="9" customFormat="1" ht="21.95" customHeight="1" x14ac:dyDescent="0.15"/>
    <row r="49196" s="9" customFormat="1" ht="21.95" customHeight="1" x14ac:dyDescent="0.15"/>
    <row r="49197" s="9" customFormat="1" ht="21.95" customHeight="1" x14ac:dyDescent="0.15"/>
    <row r="49198" s="9" customFormat="1" ht="21.95" customHeight="1" x14ac:dyDescent="0.15"/>
    <row r="49199" s="9" customFormat="1" ht="21.95" customHeight="1" x14ac:dyDescent="0.15"/>
    <row r="49200" s="9" customFormat="1" ht="21.95" customHeight="1" x14ac:dyDescent="0.15"/>
    <row r="49201" spans="3:3" s="9" customFormat="1" ht="21.95" customHeight="1" x14ac:dyDescent="0.15"/>
    <row r="49202" spans="3:3" s="9" customFormat="1" ht="21.95" customHeight="1" x14ac:dyDescent="0.15"/>
    <row r="49203" spans="3:3" s="9" customFormat="1" ht="21.95" customHeight="1" x14ac:dyDescent="0.15"/>
    <row r="49204" spans="3:3" s="9" customFormat="1" ht="21.95" customHeight="1" x14ac:dyDescent="0.15"/>
    <row r="49205" spans="3:3" s="9" customFormat="1" ht="21.95" customHeight="1" x14ac:dyDescent="0.15"/>
    <row r="49206" spans="3:3" s="9" customFormat="1" ht="21.95" customHeight="1" x14ac:dyDescent="0.15"/>
    <row r="49207" spans="3:3" s="9" customFormat="1" ht="21.95" customHeight="1" x14ac:dyDescent="0.15"/>
    <row r="49208" spans="3:3" s="9" customFormat="1" ht="21.95" customHeight="1" x14ac:dyDescent="0.15"/>
    <row r="49209" spans="3:3" s="9" customFormat="1" ht="21.95" customHeight="1" x14ac:dyDescent="0.15"/>
    <row r="49210" spans="3:3" s="9" customFormat="1" ht="21.95" customHeight="1" x14ac:dyDescent="0.15"/>
    <row r="49211" spans="3:3" s="9" customFormat="1" ht="21.95" customHeight="1" x14ac:dyDescent="0.15"/>
    <row r="49212" spans="3:3" s="9" customFormat="1" ht="21.95" customHeight="1" x14ac:dyDescent="0.15"/>
    <row r="49213" spans="3:3" s="9" customFormat="1" ht="21.95" customHeight="1" x14ac:dyDescent="0.15"/>
    <row r="49214" spans="3:3" s="8" customFormat="1" ht="21.95" customHeight="1" x14ac:dyDescent="0.15"/>
    <row r="49215" spans="3:3" s="8" customFormat="1" ht="21.95" customHeight="1" x14ac:dyDescent="0.15"/>
    <row r="49216" spans="3:3" s="8" customFormat="1" ht="21.95" customHeight="1" x14ac:dyDescent="0.15">
      <c r="C49216" s="101"/>
    </row>
    <row r="49217" spans="3:3" s="8" customFormat="1" ht="21.95" customHeight="1" x14ac:dyDescent="0.15">
      <c r="C49217" s="101"/>
    </row>
    <row r="49218" spans="3:3" s="8" customFormat="1" ht="21.95" customHeight="1" x14ac:dyDescent="0.15"/>
    <row r="49219" spans="3:3" s="8" customFormat="1" ht="21.95" customHeight="1" x14ac:dyDescent="0.15"/>
    <row r="49220" spans="3:3" s="8" customFormat="1" ht="21.95" customHeight="1" x14ac:dyDescent="0.15"/>
    <row r="49221" spans="3:3" s="8" customFormat="1" ht="21.95" customHeight="1" x14ac:dyDescent="0.15"/>
    <row r="49222" spans="3:3" s="8" customFormat="1" ht="21.95" customHeight="1" x14ac:dyDescent="0.15"/>
    <row r="49223" spans="3:3" s="8" customFormat="1" ht="21.95" customHeight="1" x14ac:dyDescent="0.15"/>
    <row r="49224" spans="3:3" s="8" customFormat="1" ht="21.95" customHeight="1" x14ac:dyDescent="0.15"/>
    <row r="49225" spans="3:3" s="9" customFormat="1" ht="21.95" customHeight="1" x14ac:dyDescent="0.15"/>
    <row r="49226" spans="3:3" s="9" customFormat="1" ht="21.95" customHeight="1" x14ac:dyDescent="0.15"/>
    <row r="49227" spans="3:3" s="9" customFormat="1" ht="21.95" customHeight="1" x14ac:dyDescent="0.15"/>
    <row r="49228" spans="3:3" s="9" customFormat="1" ht="21.95" customHeight="1" x14ac:dyDescent="0.15"/>
    <row r="49229" spans="3:3" s="8" customFormat="1" ht="21.95" customHeight="1" x14ac:dyDescent="0.15"/>
    <row r="49230" spans="3:3" s="8" customFormat="1" ht="21.95" customHeight="1" x14ac:dyDescent="0.15"/>
    <row r="49231" spans="3:3" s="8" customFormat="1" ht="21.95" customHeight="1" x14ac:dyDescent="0.15"/>
    <row r="49232" spans="3:3" s="8" customFormat="1" ht="21.95" customHeight="1" x14ac:dyDescent="0.15"/>
    <row r="49233" s="8" customFormat="1" ht="21.95" customHeight="1" x14ac:dyDescent="0.15"/>
    <row r="49234" s="8" customFormat="1" ht="21.95" customHeight="1" x14ac:dyDescent="0.15"/>
    <row r="49235" s="8" customFormat="1" ht="21.95" customHeight="1" x14ac:dyDescent="0.15"/>
    <row r="49236" s="8" customFormat="1" ht="21.95" customHeight="1" x14ac:dyDescent="0.15"/>
    <row r="49237" s="8" customFormat="1" ht="21.95" customHeight="1" x14ac:dyDescent="0.15"/>
    <row r="49238" s="8" customFormat="1" ht="21.95" customHeight="1" x14ac:dyDescent="0.15"/>
    <row r="49239" s="8" customFormat="1" ht="21.95" customHeight="1" x14ac:dyDescent="0.15"/>
    <row r="49240" s="8" customFormat="1" ht="32.1" customHeight="1" x14ac:dyDescent="0.15"/>
    <row r="49241" s="8" customFormat="1" ht="32.1" customHeight="1" x14ac:dyDescent="0.15"/>
    <row r="49242" s="8" customFormat="1" ht="32.1" customHeight="1" x14ac:dyDescent="0.15"/>
    <row r="49243" s="8" customFormat="1" ht="32.1" customHeight="1" x14ac:dyDescent="0.15"/>
    <row r="49244" s="8" customFormat="1" ht="32.1" customHeight="1" x14ac:dyDescent="0.15"/>
    <row r="49245" s="8" customFormat="1" ht="32.1" customHeight="1" x14ac:dyDescent="0.15"/>
    <row r="49246" s="9" customFormat="1" ht="32.1" customHeight="1" x14ac:dyDescent="0.15"/>
    <row r="49247" s="9" customFormat="1" ht="32.1" customHeight="1" x14ac:dyDescent="0.15"/>
    <row r="49248" s="9" customFormat="1" ht="32.1" customHeight="1" x14ac:dyDescent="0.15"/>
    <row r="49249" s="9" customFormat="1" ht="32.1" customHeight="1" x14ac:dyDescent="0.15"/>
    <row r="49250" s="9" customFormat="1" ht="21.95" customHeight="1" x14ac:dyDescent="0.15"/>
    <row r="49251" s="9" customFormat="1" ht="54" customHeight="1" x14ac:dyDescent="0.15"/>
    <row r="49252" s="9" customFormat="1" ht="21.95" customHeight="1" x14ac:dyDescent="0.15"/>
    <row r="49253" s="9" customFormat="1" ht="21.95" customHeight="1" x14ac:dyDescent="0.15"/>
    <row r="49254" s="9" customFormat="1" ht="21.95" customHeight="1" x14ac:dyDescent="0.15"/>
    <row r="49255" s="9" customFormat="1" ht="21.95" customHeight="1" x14ac:dyDescent="0.15"/>
    <row r="49256" s="9" customFormat="1" ht="21.95" customHeight="1" x14ac:dyDescent="0.15"/>
    <row r="49257" s="9" customFormat="1" ht="21.95" customHeight="1" x14ac:dyDescent="0.15"/>
    <row r="49258" s="9" customFormat="1" ht="21.95" customHeight="1" x14ac:dyDescent="0.15"/>
    <row r="49259" s="9" customFormat="1" ht="21.95" customHeight="1" x14ac:dyDescent="0.15"/>
    <row r="49260" s="9" customFormat="1" ht="21.95" customHeight="1" x14ac:dyDescent="0.15"/>
    <row r="49261" s="9" customFormat="1" ht="21.95" customHeight="1" x14ac:dyDescent="0.15"/>
    <row r="49262" s="9" customFormat="1" ht="21.95" customHeight="1" x14ac:dyDescent="0.15"/>
    <row r="49263" s="9" customFormat="1" ht="21.95" customHeight="1" x14ac:dyDescent="0.15"/>
    <row r="49264" s="9" customFormat="1" ht="21.95" customHeight="1" x14ac:dyDescent="0.15"/>
    <row r="49265" s="9" customFormat="1" ht="21.95" customHeight="1" x14ac:dyDescent="0.15"/>
    <row r="49266" s="9" customFormat="1" ht="21.95" customHeight="1" x14ac:dyDescent="0.15"/>
    <row r="49267" s="9" customFormat="1" ht="21.95" customHeight="1" x14ac:dyDescent="0.15"/>
    <row r="49268" s="9" customFormat="1" ht="21.95" customHeight="1" x14ac:dyDescent="0.15"/>
    <row r="49269" s="9" customFormat="1" ht="21.95" customHeight="1" x14ac:dyDescent="0.15"/>
    <row r="49270" s="9" customFormat="1" ht="21.95" customHeight="1" x14ac:dyDescent="0.15"/>
    <row r="49271" s="9" customFormat="1" ht="21.95" customHeight="1" x14ac:dyDescent="0.15"/>
    <row r="49272" s="9" customFormat="1" ht="21.95" customHeight="1" x14ac:dyDescent="0.15"/>
    <row r="49273" s="9" customFormat="1" ht="21.95" customHeight="1" x14ac:dyDescent="0.15"/>
    <row r="49274" s="9" customFormat="1" ht="21.95" customHeight="1" x14ac:dyDescent="0.15"/>
    <row r="49275" s="9" customFormat="1" ht="21.95" customHeight="1" x14ac:dyDescent="0.15"/>
    <row r="49276" s="9" customFormat="1" ht="21.95" customHeight="1" x14ac:dyDescent="0.15"/>
    <row r="49277" s="9" customFormat="1" ht="21.95" customHeight="1" x14ac:dyDescent="0.15"/>
    <row r="49278" s="9" customFormat="1" ht="21.95" customHeight="1" x14ac:dyDescent="0.15"/>
    <row r="49279" s="9" customFormat="1" ht="21.95" customHeight="1" x14ac:dyDescent="0.15"/>
    <row r="49280" s="9" customFormat="1" ht="21.95" customHeight="1" x14ac:dyDescent="0.15"/>
    <row r="49281" s="9" customFormat="1" ht="21.95" customHeight="1" x14ac:dyDescent="0.15"/>
    <row r="49282" s="9" customFormat="1" ht="21.95" customHeight="1" x14ac:dyDescent="0.15"/>
    <row r="49283" s="9" customFormat="1" ht="21.95" customHeight="1" x14ac:dyDescent="0.15"/>
    <row r="49284" s="9" customFormat="1" ht="21.95" customHeight="1" x14ac:dyDescent="0.15"/>
    <row r="49285" s="9" customFormat="1" ht="21.95" customHeight="1" x14ac:dyDescent="0.15"/>
    <row r="49286" s="9" customFormat="1" ht="21.95" customHeight="1" x14ac:dyDescent="0.15"/>
    <row r="49287" s="9" customFormat="1" ht="21.95" customHeight="1" x14ac:dyDescent="0.15"/>
    <row r="49288" s="9" customFormat="1" ht="21.95" customHeight="1" x14ac:dyDescent="0.15"/>
    <row r="49289" s="9" customFormat="1" ht="21.95" customHeight="1" x14ac:dyDescent="0.15"/>
    <row r="49290" s="9" customFormat="1" ht="21.95" customHeight="1" x14ac:dyDescent="0.15"/>
    <row r="49291" s="9" customFormat="1" ht="21.95" customHeight="1" x14ac:dyDescent="0.15"/>
    <row r="49292" s="9" customFormat="1" ht="21.95" customHeight="1" x14ac:dyDescent="0.15"/>
    <row r="49293" s="9" customFormat="1" ht="21.95" customHeight="1" x14ac:dyDescent="0.15"/>
    <row r="49294" s="9" customFormat="1" ht="21.95" customHeight="1" x14ac:dyDescent="0.15"/>
    <row r="49295" s="9" customFormat="1" ht="21.95" customHeight="1" x14ac:dyDescent="0.15"/>
    <row r="49296" s="9" customFormat="1" ht="21.95" customHeight="1" x14ac:dyDescent="0.15"/>
    <row r="49297" s="9" customFormat="1" ht="21.95" customHeight="1" x14ac:dyDescent="0.15"/>
    <row r="49298" s="9" customFormat="1" ht="21.95" customHeight="1" x14ac:dyDescent="0.15"/>
    <row r="49299" s="9" customFormat="1" ht="21.95" customHeight="1" x14ac:dyDescent="0.15"/>
    <row r="49300" s="9" customFormat="1" ht="21.95" customHeight="1" x14ac:dyDescent="0.15"/>
    <row r="49301" s="9" customFormat="1" ht="21.95" customHeight="1" x14ac:dyDescent="0.15"/>
    <row r="49302" s="9" customFormat="1" ht="35.1" customHeight="1" x14ac:dyDescent="0.15"/>
    <row r="49303" s="9" customFormat="1" ht="21.95" customHeight="1" x14ac:dyDescent="0.15"/>
    <row r="49304" s="9" customFormat="1" ht="21.95" customHeight="1" x14ac:dyDescent="0.15"/>
    <row r="49305" s="9" customFormat="1" ht="21.95" customHeight="1" x14ac:dyDescent="0.15"/>
    <row r="49306" s="9" customFormat="1" ht="21.95" customHeight="1" x14ac:dyDescent="0.15"/>
    <row r="49307" s="9" customFormat="1" ht="21.95" customHeight="1" x14ac:dyDescent="0.15"/>
    <row r="49308" s="9" customFormat="1" ht="21.95" customHeight="1" x14ac:dyDescent="0.15"/>
    <row r="49309" s="9" customFormat="1" ht="21.95" customHeight="1" x14ac:dyDescent="0.15"/>
    <row r="49310" s="9" customFormat="1" ht="21.95" customHeight="1" x14ac:dyDescent="0.15"/>
    <row r="49311" s="9" customFormat="1" ht="21.95" customHeight="1" x14ac:dyDescent="0.15"/>
    <row r="49312" s="9" customFormat="1" ht="21.95" customHeight="1" x14ac:dyDescent="0.15"/>
    <row r="49313" spans="3:3" s="9" customFormat="1" ht="21.95" customHeight="1" x14ac:dyDescent="0.15"/>
    <row r="49314" spans="3:3" s="9" customFormat="1" ht="21.95" customHeight="1" x14ac:dyDescent="0.15"/>
    <row r="49315" spans="3:3" s="9" customFormat="1" ht="21.95" customHeight="1" x14ac:dyDescent="0.15"/>
    <row r="49316" spans="3:3" s="9" customFormat="1" ht="21.95" customHeight="1" x14ac:dyDescent="0.15"/>
    <row r="49317" spans="3:3" s="9" customFormat="1" ht="21.95" customHeight="1" x14ac:dyDescent="0.15"/>
    <row r="49318" spans="3:3" s="9" customFormat="1" ht="21.95" customHeight="1" x14ac:dyDescent="0.15"/>
    <row r="49319" spans="3:3" s="9" customFormat="1" ht="21.95" customHeight="1" x14ac:dyDescent="0.15"/>
    <row r="49320" spans="3:3" s="9" customFormat="1" ht="21.95" customHeight="1" x14ac:dyDescent="0.15"/>
    <row r="49321" spans="3:3" s="9" customFormat="1" ht="21.95" customHeight="1" x14ac:dyDescent="0.15"/>
    <row r="49322" spans="3:3" s="9" customFormat="1" ht="21.95" customHeight="1" x14ac:dyDescent="0.15"/>
    <row r="49323" spans="3:3" s="9" customFormat="1" ht="21.95" customHeight="1" x14ac:dyDescent="0.15"/>
    <row r="49324" spans="3:3" s="9" customFormat="1" ht="21.95" customHeight="1" x14ac:dyDescent="0.15"/>
    <row r="49325" spans="3:3" s="9" customFormat="1" ht="21.95" customHeight="1" x14ac:dyDescent="0.15"/>
    <row r="49326" spans="3:3" s="8" customFormat="1" ht="21.95" customHeight="1" x14ac:dyDescent="0.15"/>
    <row r="49327" spans="3:3" s="8" customFormat="1" ht="21.95" customHeight="1" x14ac:dyDescent="0.15"/>
    <row r="49328" spans="3:3" s="8" customFormat="1" ht="21.95" customHeight="1" x14ac:dyDescent="0.15">
      <c r="C49328" s="101"/>
    </row>
    <row r="49329" spans="3:3" s="8" customFormat="1" ht="21.95" customHeight="1" x14ac:dyDescent="0.15">
      <c r="C49329" s="101"/>
    </row>
    <row r="49330" spans="3:3" s="8" customFormat="1" ht="21.95" customHeight="1" x14ac:dyDescent="0.15"/>
    <row r="49331" spans="3:3" s="8" customFormat="1" ht="21.95" customHeight="1" x14ac:dyDescent="0.15"/>
    <row r="49332" spans="3:3" s="8" customFormat="1" ht="21.95" customHeight="1" x14ac:dyDescent="0.15"/>
    <row r="49333" spans="3:3" s="8" customFormat="1" ht="21.95" customHeight="1" x14ac:dyDescent="0.15"/>
    <row r="49334" spans="3:3" s="8" customFormat="1" ht="21.95" customHeight="1" x14ac:dyDescent="0.15"/>
    <row r="49335" spans="3:3" s="8" customFormat="1" ht="21.95" customHeight="1" x14ac:dyDescent="0.15"/>
    <row r="49336" spans="3:3" s="8" customFormat="1" ht="21.95" customHeight="1" x14ac:dyDescent="0.15"/>
    <row r="49337" spans="3:3" s="9" customFormat="1" ht="21.95" customHeight="1" x14ac:dyDescent="0.15"/>
    <row r="49338" spans="3:3" s="9" customFormat="1" ht="21.95" customHeight="1" x14ac:dyDescent="0.15"/>
    <row r="49339" spans="3:3" s="9" customFormat="1" ht="21.95" customHeight="1" x14ac:dyDescent="0.15"/>
    <row r="49340" spans="3:3" s="9" customFormat="1" ht="21.95" customHeight="1" x14ac:dyDescent="0.15"/>
    <row r="49341" spans="3:3" s="8" customFormat="1" ht="21.95" customHeight="1" x14ac:dyDescent="0.15"/>
    <row r="49342" spans="3:3" s="8" customFormat="1" ht="21.95" customHeight="1" x14ac:dyDescent="0.15"/>
    <row r="49343" spans="3:3" s="8" customFormat="1" ht="21.95" customHeight="1" x14ac:dyDescent="0.15"/>
    <row r="49344" spans="3:3" s="8" customFormat="1" ht="21.95" customHeight="1" x14ac:dyDescent="0.15"/>
    <row r="49345" s="8" customFormat="1" ht="21.95" customHeight="1" x14ac:dyDescent="0.15"/>
    <row r="49346" s="8" customFormat="1" ht="21.95" customHeight="1" x14ac:dyDescent="0.15"/>
    <row r="49347" s="8" customFormat="1" ht="21.95" customHeight="1" x14ac:dyDescent="0.15"/>
    <row r="49348" s="8" customFormat="1" ht="21.95" customHeight="1" x14ac:dyDescent="0.15"/>
    <row r="49349" s="8" customFormat="1" ht="21.95" customHeight="1" x14ac:dyDescent="0.15"/>
    <row r="49350" s="8" customFormat="1" ht="21.95" customHeight="1" x14ac:dyDescent="0.15"/>
    <row r="49351" s="8" customFormat="1" ht="21.95" customHeight="1" x14ac:dyDescent="0.15"/>
    <row r="49352" s="8" customFormat="1" ht="32.1" customHeight="1" x14ac:dyDescent="0.15"/>
    <row r="49353" s="8" customFormat="1" ht="32.1" customHeight="1" x14ac:dyDescent="0.15"/>
    <row r="49354" s="8" customFormat="1" ht="32.1" customHeight="1" x14ac:dyDescent="0.15"/>
    <row r="49355" s="8" customFormat="1" ht="32.1" customHeight="1" x14ac:dyDescent="0.15"/>
    <row r="49356" s="8" customFormat="1" ht="32.1" customHeight="1" x14ac:dyDescent="0.15"/>
    <row r="49357" s="8" customFormat="1" ht="32.1" customHeight="1" x14ac:dyDescent="0.15"/>
    <row r="49358" s="9" customFormat="1" ht="32.1" customHeight="1" x14ac:dyDescent="0.15"/>
    <row r="49359" s="9" customFormat="1" ht="32.1" customHeight="1" x14ac:dyDescent="0.15"/>
    <row r="49360" s="9" customFormat="1" ht="32.1" customHeight="1" x14ac:dyDescent="0.15"/>
    <row r="49361" s="9" customFormat="1" ht="32.1" customHeight="1" x14ac:dyDescent="0.15"/>
    <row r="49362" s="9" customFormat="1" ht="21.95" customHeight="1" x14ac:dyDescent="0.15"/>
    <row r="49363" s="9" customFormat="1" ht="54" customHeight="1" x14ac:dyDescent="0.15"/>
    <row r="49364" s="9" customFormat="1" ht="21.95" customHeight="1" x14ac:dyDescent="0.15"/>
    <row r="49365" s="9" customFormat="1" ht="21.95" customHeight="1" x14ac:dyDescent="0.15"/>
    <row r="49366" s="9" customFormat="1" ht="21.95" customHeight="1" x14ac:dyDescent="0.15"/>
    <row r="49367" s="9" customFormat="1" ht="21.95" customHeight="1" x14ac:dyDescent="0.15"/>
    <row r="49368" s="9" customFormat="1" ht="21.95" customHeight="1" x14ac:dyDescent="0.15"/>
    <row r="49369" s="9" customFormat="1" ht="21.95" customHeight="1" x14ac:dyDescent="0.15"/>
    <row r="49370" s="9" customFormat="1" ht="21.95" customHeight="1" x14ac:dyDescent="0.15"/>
    <row r="49371" s="9" customFormat="1" ht="21.95" customHeight="1" x14ac:dyDescent="0.15"/>
    <row r="49372" s="9" customFormat="1" ht="21.95" customHeight="1" x14ac:dyDescent="0.15"/>
    <row r="49373" s="9" customFormat="1" ht="21.95" customHeight="1" x14ac:dyDescent="0.15"/>
    <row r="49374" s="9" customFormat="1" ht="21.95" customHeight="1" x14ac:dyDescent="0.15"/>
    <row r="49375" s="9" customFormat="1" ht="21.95" customHeight="1" x14ac:dyDescent="0.15"/>
    <row r="49376" s="9" customFormat="1" ht="21.95" customHeight="1" x14ac:dyDescent="0.15"/>
    <row r="49377" s="9" customFormat="1" ht="21.95" customHeight="1" x14ac:dyDescent="0.15"/>
    <row r="49378" s="9" customFormat="1" ht="21.95" customHeight="1" x14ac:dyDescent="0.15"/>
    <row r="49379" s="9" customFormat="1" ht="21.95" customHeight="1" x14ac:dyDescent="0.15"/>
    <row r="49380" s="9" customFormat="1" ht="21.95" customHeight="1" x14ac:dyDescent="0.15"/>
    <row r="49381" s="9" customFormat="1" ht="21.95" customHeight="1" x14ac:dyDescent="0.15"/>
    <row r="49382" s="9" customFormat="1" ht="21.95" customHeight="1" x14ac:dyDescent="0.15"/>
    <row r="49383" s="9" customFormat="1" ht="21.95" customHeight="1" x14ac:dyDescent="0.15"/>
    <row r="49384" s="9" customFormat="1" ht="21.95" customHeight="1" x14ac:dyDescent="0.15"/>
    <row r="49385" s="9" customFormat="1" ht="21.95" customHeight="1" x14ac:dyDescent="0.15"/>
    <row r="49386" s="9" customFormat="1" ht="21.95" customHeight="1" x14ac:dyDescent="0.15"/>
    <row r="49387" s="9" customFormat="1" ht="21.95" customHeight="1" x14ac:dyDescent="0.15"/>
    <row r="49388" s="9" customFormat="1" ht="21.95" customHeight="1" x14ac:dyDescent="0.15"/>
    <row r="49389" s="9" customFormat="1" ht="21.95" customHeight="1" x14ac:dyDescent="0.15"/>
    <row r="49390" s="9" customFormat="1" ht="21.95" customHeight="1" x14ac:dyDescent="0.15"/>
    <row r="49391" s="9" customFormat="1" ht="21.95" customHeight="1" x14ac:dyDescent="0.15"/>
    <row r="49392" s="9" customFormat="1" ht="21.95" customHeight="1" x14ac:dyDescent="0.15"/>
    <row r="49393" s="9" customFormat="1" ht="21.95" customHeight="1" x14ac:dyDescent="0.15"/>
    <row r="49394" s="9" customFormat="1" ht="21.95" customHeight="1" x14ac:dyDescent="0.15"/>
    <row r="49395" s="9" customFormat="1" ht="21.95" customHeight="1" x14ac:dyDescent="0.15"/>
    <row r="49396" s="9" customFormat="1" ht="21.95" customHeight="1" x14ac:dyDescent="0.15"/>
    <row r="49397" s="9" customFormat="1" ht="21.95" customHeight="1" x14ac:dyDescent="0.15"/>
    <row r="49398" s="9" customFormat="1" ht="21.95" customHeight="1" x14ac:dyDescent="0.15"/>
    <row r="49399" s="9" customFormat="1" ht="21.95" customHeight="1" x14ac:dyDescent="0.15"/>
    <row r="49400" s="9" customFormat="1" ht="21.95" customHeight="1" x14ac:dyDescent="0.15"/>
    <row r="49401" s="9" customFormat="1" ht="21.95" customHeight="1" x14ac:dyDescent="0.15"/>
    <row r="49402" s="9" customFormat="1" ht="21.95" customHeight="1" x14ac:dyDescent="0.15"/>
    <row r="49403" s="9" customFormat="1" ht="21.95" customHeight="1" x14ac:dyDescent="0.15"/>
    <row r="49404" s="9" customFormat="1" ht="21.95" customHeight="1" x14ac:dyDescent="0.15"/>
    <row r="49405" s="9" customFormat="1" ht="21.95" customHeight="1" x14ac:dyDescent="0.15"/>
    <row r="49406" s="9" customFormat="1" ht="21.95" customHeight="1" x14ac:dyDescent="0.15"/>
    <row r="49407" s="9" customFormat="1" ht="21.95" customHeight="1" x14ac:dyDescent="0.15"/>
    <row r="49408" s="9" customFormat="1" ht="21.95" customHeight="1" x14ac:dyDescent="0.15"/>
    <row r="49409" s="9" customFormat="1" ht="21.95" customHeight="1" x14ac:dyDescent="0.15"/>
    <row r="49410" s="9" customFormat="1" ht="21.95" customHeight="1" x14ac:dyDescent="0.15"/>
    <row r="49411" s="9" customFormat="1" ht="21.95" customHeight="1" x14ac:dyDescent="0.15"/>
    <row r="49412" s="9" customFormat="1" ht="21.95" customHeight="1" x14ac:dyDescent="0.15"/>
    <row r="49413" s="9" customFormat="1" ht="21.95" customHeight="1" x14ac:dyDescent="0.15"/>
    <row r="49414" s="9" customFormat="1" ht="35.1" customHeight="1" x14ac:dyDescent="0.15"/>
    <row r="49415" s="9" customFormat="1" ht="21.95" customHeight="1" x14ac:dyDescent="0.15"/>
    <row r="49416" s="9" customFormat="1" ht="21.95" customHeight="1" x14ac:dyDescent="0.15"/>
    <row r="49417" s="9" customFormat="1" ht="21.95" customHeight="1" x14ac:dyDescent="0.15"/>
    <row r="49418" s="9" customFormat="1" ht="21.95" customHeight="1" x14ac:dyDescent="0.15"/>
    <row r="49419" s="9" customFormat="1" ht="21.95" customHeight="1" x14ac:dyDescent="0.15"/>
    <row r="49420" s="9" customFormat="1" ht="21.95" customHeight="1" x14ac:dyDescent="0.15"/>
    <row r="49421" s="9" customFormat="1" ht="21.95" customHeight="1" x14ac:dyDescent="0.15"/>
    <row r="49422" s="9" customFormat="1" ht="21.95" customHeight="1" x14ac:dyDescent="0.15"/>
    <row r="49423" s="9" customFormat="1" ht="21.95" customHeight="1" x14ac:dyDescent="0.15"/>
    <row r="49424" s="9" customFormat="1" ht="21.95" customHeight="1" x14ac:dyDescent="0.15"/>
    <row r="49425" spans="3:3" s="9" customFormat="1" ht="21.95" customHeight="1" x14ac:dyDescent="0.15"/>
    <row r="49426" spans="3:3" s="9" customFormat="1" ht="21.95" customHeight="1" x14ac:dyDescent="0.15"/>
    <row r="49427" spans="3:3" s="9" customFormat="1" ht="21.95" customHeight="1" x14ac:dyDescent="0.15"/>
    <row r="49428" spans="3:3" s="9" customFormat="1" ht="21.95" customHeight="1" x14ac:dyDescent="0.15"/>
    <row r="49429" spans="3:3" s="9" customFormat="1" ht="21.95" customHeight="1" x14ac:dyDescent="0.15"/>
    <row r="49430" spans="3:3" s="9" customFormat="1" ht="21.95" customHeight="1" x14ac:dyDescent="0.15"/>
    <row r="49431" spans="3:3" s="9" customFormat="1" ht="21.95" customHeight="1" x14ac:dyDescent="0.15"/>
    <row r="49432" spans="3:3" s="9" customFormat="1" ht="21.95" customHeight="1" x14ac:dyDescent="0.15"/>
    <row r="49433" spans="3:3" s="9" customFormat="1" ht="21.95" customHeight="1" x14ac:dyDescent="0.15"/>
    <row r="49434" spans="3:3" s="9" customFormat="1" ht="21.95" customHeight="1" x14ac:dyDescent="0.15"/>
    <row r="49435" spans="3:3" s="9" customFormat="1" ht="21.95" customHeight="1" x14ac:dyDescent="0.15"/>
    <row r="49436" spans="3:3" s="9" customFormat="1" ht="21.95" customHeight="1" x14ac:dyDescent="0.15"/>
    <row r="49437" spans="3:3" s="9" customFormat="1" ht="21.95" customHeight="1" x14ac:dyDescent="0.15"/>
    <row r="49438" spans="3:3" s="8" customFormat="1" ht="21.95" customHeight="1" x14ac:dyDescent="0.15"/>
    <row r="49439" spans="3:3" s="8" customFormat="1" ht="21.95" customHeight="1" x14ac:dyDescent="0.15"/>
    <row r="49440" spans="3:3" s="8" customFormat="1" ht="21.95" customHeight="1" x14ac:dyDescent="0.15">
      <c r="C49440" s="101"/>
    </row>
    <row r="49441" spans="3:3" s="8" customFormat="1" ht="21.95" customHeight="1" x14ac:dyDescent="0.15">
      <c r="C49441" s="101"/>
    </row>
    <row r="49442" spans="3:3" s="8" customFormat="1" ht="21.95" customHeight="1" x14ac:dyDescent="0.15"/>
    <row r="49443" spans="3:3" s="8" customFormat="1" ht="21.95" customHeight="1" x14ac:dyDescent="0.15"/>
    <row r="49444" spans="3:3" s="8" customFormat="1" ht="21.95" customHeight="1" x14ac:dyDescent="0.15"/>
    <row r="49445" spans="3:3" s="8" customFormat="1" ht="21.95" customHeight="1" x14ac:dyDescent="0.15"/>
    <row r="49446" spans="3:3" s="8" customFormat="1" ht="21.95" customHeight="1" x14ac:dyDescent="0.15"/>
    <row r="49447" spans="3:3" s="8" customFormat="1" ht="21.95" customHeight="1" x14ac:dyDescent="0.15"/>
    <row r="49448" spans="3:3" s="8" customFormat="1" ht="21.95" customHeight="1" x14ac:dyDescent="0.15"/>
    <row r="49449" spans="3:3" s="9" customFormat="1" ht="21.95" customHeight="1" x14ac:dyDescent="0.15"/>
    <row r="49450" spans="3:3" s="9" customFormat="1" ht="21.95" customHeight="1" x14ac:dyDescent="0.15"/>
    <row r="49451" spans="3:3" s="9" customFormat="1" ht="21.95" customHeight="1" x14ac:dyDescent="0.15"/>
    <row r="49452" spans="3:3" s="9" customFormat="1" ht="21.95" customHeight="1" x14ac:dyDescent="0.15"/>
    <row r="49453" spans="3:3" s="8" customFormat="1" ht="21.95" customHeight="1" x14ac:dyDescent="0.15"/>
    <row r="49454" spans="3:3" s="8" customFormat="1" ht="21.95" customHeight="1" x14ac:dyDescent="0.15"/>
    <row r="49455" spans="3:3" s="8" customFormat="1" ht="21.95" customHeight="1" x14ac:dyDescent="0.15"/>
    <row r="49456" spans="3:3" s="8" customFormat="1" ht="21.95" customHeight="1" x14ac:dyDescent="0.15"/>
    <row r="49457" s="8" customFormat="1" ht="21.95" customHeight="1" x14ac:dyDescent="0.15"/>
    <row r="49458" s="8" customFormat="1" ht="21.95" customHeight="1" x14ac:dyDescent="0.15"/>
    <row r="49459" s="8" customFormat="1" ht="21.95" customHeight="1" x14ac:dyDescent="0.15"/>
    <row r="49460" s="8" customFormat="1" ht="21.95" customHeight="1" x14ac:dyDescent="0.15"/>
    <row r="49461" s="8" customFormat="1" ht="21.95" customHeight="1" x14ac:dyDescent="0.15"/>
    <row r="49462" s="8" customFormat="1" ht="21.95" customHeight="1" x14ac:dyDescent="0.15"/>
    <row r="49463" s="8" customFormat="1" ht="21.95" customHeight="1" x14ac:dyDescent="0.15"/>
    <row r="49464" s="8" customFormat="1" ht="32.1" customHeight="1" x14ac:dyDescent="0.15"/>
    <row r="49465" s="8" customFormat="1" ht="32.1" customHeight="1" x14ac:dyDescent="0.15"/>
    <row r="49466" s="8" customFormat="1" ht="32.1" customHeight="1" x14ac:dyDescent="0.15"/>
    <row r="49467" s="8" customFormat="1" ht="32.1" customHeight="1" x14ac:dyDescent="0.15"/>
    <row r="49468" s="8" customFormat="1" ht="32.1" customHeight="1" x14ac:dyDescent="0.15"/>
    <row r="49469" s="8" customFormat="1" ht="32.1" customHeight="1" x14ac:dyDescent="0.15"/>
    <row r="49470" s="9" customFormat="1" ht="32.1" customHeight="1" x14ac:dyDescent="0.15"/>
    <row r="49471" s="9" customFormat="1" ht="32.1" customHeight="1" x14ac:dyDescent="0.15"/>
    <row r="49472" s="9" customFormat="1" ht="32.1" customHeight="1" x14ac:dyDescent="0.15"/>
    <row r="49473" s="9" customFormat="1" ht="32.1" customHeight="1" x14ac:dyDescent="0.15"/>
    <row r="49474" s="9" customFormat="1" ht="21.95" customHeight="1" x14ac:dyDescent="0.15"/>
    <row r="49475" s="9" customFormat="1" ht="54" customHeight="1" x14ac:dyDescent="0.15"/>
    <row r="49476" s="9" customFormat="1" ht="21.95" customHeight="1" x14ac:dyDescent="0.15"/>
    <row r="49477" s="9" customFormat="1" ht="21.95" customHeight="1" x14ac:dyDescent="0.15"/>
    <row r="49478" s="9" customFormat="1" ht="21.95" customHeight="1" x14ac:dyDescent="0.15"/>
    <row r="49479" s="9" customFormat="1" ht="21.95" customHeight="1" x14ac:dyDescent="0.15"/>
    <row r="49480" s="9" customFormat="1" ht="21.95" customHeight="1" x14ac:dyDescent="0.15"/>
    <row r="49481" s="9" customFormat="1" ht="21.95" customHeight="1" x14ac:dyDescent="0.15"/>
    <row r="49482" s="9" customFormat="1" ht="21.95" customHeight="1" x14ac:dyDescent="0.15"/>
    <row r="49483" s="9" customFormat="1" ht="21.95" customHeight="1" x14ac:dyDescent="0.15"/>
    <row r="49484" s="9" customFormat="1" ht="21.95" customHeight="1" x14ac:dyDescent="0.15"/>
    <row r="49485" s="9" customFormat="1" ht="21.95" customHeight="1" x14ac:dyDescent="0.15"/>
    <row r="49486" s="9" customFormat="1" ht="21.95" customHeight="1" x14ac:dyDescent="0.15"/>
    <row r="49487" s="9" customFormat="1" ht="21.95" customHeight="1" x14ac:dyDescent="0.15"/>
    <row r="49488" s="9" customFormat="1" ht="21.95" customHeight="1" x14ac:dyDescent="0.15"/>
    <row r="49489" s="9" customFormat="1" ht="21.95" customHeight="1" x14ac:dyDescent="0.15"/>
    <row r="49490" s="9" customFormat="1" ht="21.95" customHeight="1" x14ac:dyDescent="0.15"/>
    <row r="49491" s="9" customFormat="1" ht="21.95" customHeight="1" x14ac:dyDescent="0.15"/>
    <row r="49492" s="9" customFormat="1" ht="21.95" customHeight="1" x14ac:dyDescent="0.15"/>
    <row r="49493" s="9" customFormat="1" ht="21.95" customHeight="1" x14ac:dyDescent="0.15"/>
    <row r="49494" s="9" customFormat="1" ht="21.95" customHeight="1" x14ac:dyDescent="0.15"/>
    <row r="49495" s="9" customFormat="1" ht="21.95" customHeight="1" x14ac:dyDescent="0.15"/>
    <row r="49496" s="9" customFormat="1" ht="21.95" customHeight="1" x14ac:dyDescent="0.15"/>
    <row r="49497" s="9" customFormat="1" ht="21.95" customHeight="1" x14ac:dyDescent="0.15"/>
    <row r="49498" s="9" customFormat="1" ht="21.95" customHeight="1" x14ac:dyDescent="0.15"/>
    <row r="49499" s="9" customFormat="1" ht="21.95" customHeight="1" x14ac:dyDescent="0.15"/>
    <row r="49500" s="9" customFormat="1" ht="21.95" customHeight="1" x14ac:dyDescent="0.15"/>
    <row r="49501" s="9" customFormat="1" ht="21.95" customHeight="1" x14ac:dyDescent="0.15"/>
    <row r="49502" s="9" customFormat="1" ht="21.95" customHeight="1" x14ac:dyDescent="0.15"/>
    <row r="49503" s="9" customFormat="1" ht="21.95" customHeight="1" x14ac:dyDescent="0.15"/>
    <row r="49504" s="9" customFormat="1" ht="21.95" customHeight="1" x14ac:dyDescent="0.15"/>
    <row r="49505" s="9" customFormat="1" ht="21.95" customHeight="1" x14ac:dyDescent="0.15"/>
    <row r="49506" s="9" customFormat="1" ht="21.95" customHeight="1" x14ac:dyDescent="0.15"/>
    <row r="49507" s="9" customFormat="1" ht="21.95" customHeight="1" x14ac:dyDescent="0.15"/>
    <row r="49508" s="9" customFormat="1" ht="21.95" customHeight="1" x14ac:dyDescent="0.15"/>
    <row r="49509" s="9" customFormat="1" ht="21.95" customHeight="1" x14ac:dyDescent="0.15"/>
    <row r="49510" s="9" customFormat="1" ht="21.95" customHeight="1" x14ac:dyDescent="0.15"/>
    <row r="49511" s="9" customFormat="1" ht="21.95" customHeight="1" x14ac:dyDescent="0.15"/>
    <row r="49512" s="9" customFormat="1" ht="21.95" customHeight="1" x14ac:dyDescent="0.15"/>
    <row r="49513" s="9" customFormat="1" ht="21.95" customHeight="1" x14ac:dyDescent="0.15"/>
    <row r="49514" s="9" customFormat="1" ht="21.95" customHeight="1" x14ac:dyDescent="0.15"/>
    <row r="49515" s="9" customFormat="1" ht="21.95" customHeight="1" x14ac:dyDescent="0.15"/>
    <row r="49516" s="9" customFormat="1" ht="21.95" customHeight="1" x14ac:dyDescent="0.15"/>
    <row r="49517" s="9" customFormat="1" ht="21.95" customHeight="1" x14ac:dyDescent="0.15"/>
    <row r="49518" s="9" customFormat="1" ht="21.95" customHeight="1" x14ac:dyDescent="0.15"/>
    <row r="49519" s="9" customFormat="1" ht="21.95" customHeight="1" x14ac:dyDescent="0.15"/>
    <row r="49520" s="9" customFormat="1" ht="21.95" customHeight="1" x14ac:dyDescent="0.15"/>
    <row r="49521" s="9" customFormat="1" ht="21.95" customHeight="1" x14ac:dyDescent="0.15"/>
    <row r="49522" s="9" customFormat="1" ht="21.95" customHeight="1" x14ac:dyDescent="0.15"/>
    <row r="49523" s="9" customFormat="1" ht="21.95" customHeight="1" x14ac:dyDescent="0.15"/>
    <row r="49524" s="9" customFormat="1" ht="21.95" customHeight="1" x14ac:dyDescent="0.15"/>
    <row r="49525" s="9" customFormat="1" ht="21.95" customHeight="1" x14ac:dyDescent="0.15"/>
    <row r="49526" s="9" customFormat="1" ht="35.1" customHeight="1" x14ac:dyDescent="0.15"/>
    <row r="49527" s="9" customFormat="1" ht="21.95" customHeight="1" x14ac:dyDescent="0.15"/>
    <row r="49528" s="9" customFormat="1" ht="21.95" customHeight="1" x14ac:dyDescent="0.15"/>
    <row r="49529" s="9" customFormat="1" ht="21.95" customHeight="1" x14ac:dyDescent="0.15"/>
    <row r="49530" s="9" customFormat="1" ht="21.95" customHeight="1" x14ac:dyDescent="0.15"/>
    <row r="49531" s="9" customFormat="1" ht="21.95" customHeight="1" x14ac:dyDescent="0.15"/>
    <row r="49532" s="9" customFormat="1" ht="21.95" customHeight="1" x14ac:dyDescent="0.15"/>
    <row r="49533" s="9" customFormat="1" ht="21.95" customHeight="1" x14ac:dyDescent="0.15"/>
    <row r="49534" s="9" customFormat="1" ht="21.95" customHeight="1" x14ac:dyDescent="0.15"/>
    <row r="49535" s="9" customFormat="1" ht="21.95" customHeight="1" x14ac:dyDescent="0.15"/>
    <row r="49536" s="9" customFormat="1" ht="21.95" customHeight="1" x14ac:dyDescent="0.15"/>
    <row r="49537" spans="3:3" s="9" customFormat="1" ht="21.95" customHeight="1" x14ac:dyDescent="0.15"/>
    <row r="49538" spans="3:3" s="9" customFormat="1" ht="21.95" customHeight="1" x14ac:dyDescent="0.15"/>
    <row r="49539" spans="3:3" s="9" customFormat="1" ht="21.95" customHeight="1" x14ac:dyDescent="0.15"/>
    <row r="49540" spans="3:3" s="9" customFormat="1" ht="21.95" customHeight="1" x14ac:dyDescent="0.15"/>
    <row r="49541" spans="3:3" s="9" customFormat="1" ht="21.95" customHeight="1" x14ac:dyDescent="0.15"/>
    <row r="49542" spans="3:3" s="9" customFormat="1" ht="21.95" customHeight="1" x14ac:dyDescent="0.15"/>
    <row r="49543" spans="3:3" s="9" customFormat="1" ht="21.95" customHeight="1" x14ac:dyDescent="0.15"/>
    <row r="49544" spans="3:3" s="9" customFormat="1" ht="21.95" customHeight="1" x14ac:dyDescent="0.15"/>
    <row r="49545" spans="3:3" s="9" customFormat="1" ht="21.95" customHeight="1" x14ac:dyDescent="0.15"/>
    <row r="49546" spans="3:3" s="9" customFormat="1" ht="21.95" customHeight="1" x14ac:dyDescent="0.15"/>
    <row r="49547" spans="3:3" s="9" customFormat="1" ht="21.95" customHeight="1" x14ac:dyDescent="0.15"/>
    <row r="49548" spans="3:3" s="9" customFormat="1" ht="21.95" customHeight="1" x14ac:dyDescent="0.15"/>
    <row r="49549" spans="3:3" s="9" customFormat="1" ht="21.95" customHeight="1" x14ac:dyDescent="0.15"/>
    <row r="49550" spans="3:3" s="8" customFormat="1" ht="21.95" customHeight="1" x14ac:dyDescent="0.15"/>
    <row r="49551" spans="3:3" s="8" customFormat="1" ht="21.95" customHeight="1" x14ac:dyDescent="0.15"/>
    <row r="49552" spans="3:3" s="8" customFormat="1" ht="21.95" customHeight="1" x14ac:dyDescent="0.15">
      <c r="C49552" s="101"/>
    </row>
    <row r="49553" spans="3:3" s="8" customFormat="1" ht="21.95" customHeight="1" x14ac:dyDescent="0.15">
      <c r="C49553" s="101"/>
    </row>
    <row r="49554" spans="3:3" s="8" customFormat="1" ht="21.95" customHeight="1" x14ac:dyDescent="0.15"/>
    <row r="49555" spans="3:3" s="8" customFormat="1" ht="21.95" customHeight="1" x14ac:dyDescent="0.15"/>
    <row r="49556" spans="3:3" s="8" customFormat="1" ht="21.95" customHeight="1" x14ac:dyDescent="0.15"/>
    <row r="49557" spans="3:3" s="8" customFormat="1" ht="21.95" customHeight="1" x14ac:dyDescent="0.15"/>
    <row r="49558" spans="3:3" s="8" customFormat="1" ht="21.95" customHeight="1" x14ac:dyDescent="0.15"/>
    <row r="49559" spans="3:3" s="8" customFormat="1" ht="21.95" customHeight="1" x14ac:dyDescent="0.15"/>
    <row r="49560" spans="3:3" s="8" customFormat="1" ht="21.95" customHeight="1" x14ac:dyDescent="0.15"/>
    <row r="49561" spans="3:3" s="9" customFormat="1" ht="21.95" customHeight="1" x14ac:dyDescent="0.15"/>
    <row r="49562" spans="3:3" s="9" customFormat="1" ht="21.95" customHeight="1" x14ac:dyDescent="0.15"/>
    <row r="49563" spans="3:3" s="9" customFormat="1" ht="21.95" customHeight="1" x14ac:dyDescent="0.15"/>
    <row r="49564" spans="3:3" s="9" customFormat="1" ht="21.95" customHeight="1" x14ac:dyDescent="0.15"/>
    <row r="49565" spans="3:3" s="8" customFormat="1" ht="21.95" customHeight="1" x14ac:dyDescent="0.15"/>
    <row r="49566" spans="3:3" s="8" customFormat="1" ht="21.95" customHeight="1" x14ac:dyDescent="0.15"/>
    <row r="49567" spans="3:3" s="8" customFormat="1" ht="21.95" customHeight="1" x14ac:dyDescent="0.15"/>
    <row r="49568" spans="3:3" s="8" customFormat="1" ht="21.95" customHeight="1" x14ac:dyDescent="0.15"/>
    <row r="49569" s="8" customFormat="1" ht="21.95" customHeight="1" x14ac:dyDescent="0.15"/>
    <row r="49570" s="8" customFormat="1" ht="21.95" customHeight="1" x14ac:dyDescent="0.15"/>
    <row r="49571" s="8" customFormat="1" ht="21.95" customHeight="1" x14ac:dyDescent="0.15"/>
    <row r="49572" s="8" customFormat="1" ht="21.95" customHeight="1" x14ac:dyDescent="0.15"/>
    <row r="49573" s="8" customFormat="1" ht="21.95" customHeight="1" x14ac:dyDescent="0.15"/>
    <row r="49574" s="8" customFormat="1" ht="21.95" customHeight="1" x14ac:dyDescent="0.15"/>
    <row r="49575" s="8" customFormat="1" ht="21.95" customHeight="1" x14ac:dyDescent="0.15"/>
    <row r="49576" s="8" customFormat="1" ht="32.1" customHeight="1" x14ac:dyDescent="0.15"/>
    <row r="49577" s="8" customFormat="1" ht="32.1" customHeight="1" x14ac:dyDescent="0.15"/>
    <row r="49578" s="8" customFormat="1" ht="32.1" customHeight="1" x14ac:dyDescent="0.15"/>
    <row r="49579" s="8" customFormat="1" ht="32.1" customHeight="1" x14ac:dyDescent="0.15"/>
    <row r="49580" s="8" customFormat="1" ht="32.1" customHeight="1" x14ac:dyDescent="0.15"/>
    <row r="49581" s="8" customFormat="1" ht="32.1" customHeight="1" x14ac:dyDescent="0.15"/>
    <row r="49582" s="9" customFormat="1" ht="32.1" customHeight="1" x14ac:dyDescent="0.15"/>
    <row r="49583" s="9" customFormat="1" ht="32.1" customHeight="1" x14ac:dyDescent="0.15"/>
    <row r="49584" s="9" customFormat="1" ht="32.1" customHeight="1" x14ac:dyDescent="0.15"/>
    <row r="49585" s="9" customFormat="1" ht="32.1" customHeight="1" x14ac:dyDescent="0.15"/>
    <row r="49586" s="9" customFormat="1" ht="21.95" customHeight="1" x14ac:dyDescent="0.15"/>
    <row r="49587" s="9" customFormat="1" ht="54" customHeight="1" x14ac:dyDescent="0.15"/>
    <row r="49588" s="9" customFormat="1" ht="21.95" customHeight="1" x14ac:dyDescent="0.15"/>
    <row r="49589" s="9" customFormat="1" ht="21.95" customHeight="1" x14ac:dyDescent="0.15"/>
    <row r="49590" s="9" customFormat="1" ht="21.95" customHeight="1" x14ac:dyDescent="0.15"/>
    <row r="49591" s="9" customFormat="1" ht="21.95" customHeight="1" x14ac:dyDescent="0.15"/>
    <row r="49592" s="9" customFormat="1" ht="21.95" customHeight="1" x14ac:dyDescent="0.15"/>
    <row r="49593" s="9" customFormat="1" ht="21.95" customHeight="1" x14ac:dyDescent="0.15"/>
    <row r="49594" s="9" customFormat="1" ht="21.95" customHeight="1" x14ac:dyDescent="0.15"/>
    <row r="49595" s="9" customFormat="1" ht="21.95" customHeight="1" x14ac:dyDescent="0.15"/>
    <row r="49596" s="9" customFormat="1" ht="21.95" customHeight="1" x14ac:dyDescent="0.15"/>
    <row r="49597" s="9" customFormat="1" ht="21.95" customHeight="1" x14ac:dyDescent="0.15"/>
    <row r="49598" s="9" customFormat="1" ht="21.95" customHeight="1" x14ac:dyDescent="0.15"/>
    <row r="49599" s="9" customFormat="1" ht="21.95" customHeight="1" x14ac:dyDescent="0.15"/>
    <row r="49600" s="9" customFormat="1" ht="21.95" customHeight="1" x14ac:dyDescent="0.15"/>
    <row r="49601" s="9" customFormat="1" ht="21.95" customHeight="1" x14ac:dyDescent="0.15"/>
    <row r="49602" s="9" customFormat="1" ht="21.95" customHeight="1" x14ac:dyDescent="0.15"/>
    <row r="49603" s="9" customFormat="1" ht="21.95" customHeight="1" x14ac:dyDescent="0.15"/>
    <row r="49604" s="9" customFormat="1" ht="21.95" customHeight="1" x14ac:dyDescent="0.15"/>
    <row r="49605" s="9" customFormat="1" ht="21.95" customHeight="1" x14ac:dyDescent="0.15"/>
    <row r="49606" s="9" customFormat="1" ht="21.95" customHeight="1" x14ac:dyDescent="0.15"/>
    <row r="49607" s="9" customFormat="1" ht="21.95" customHeight="1" x14ac:dyDescent="0.15"/>
    <row r="49608" s="9" customFormat="1" ht="21.95" customHeight="1" x14ac:dyDescent="0.15"/>
    <row r="49609" s="9" customFormat="1" ht="21.95" customHeight="1" x14ac:dyDescent="0.15"/>
    <row r="49610" s="9" customFormat="1" ht="21.95" customHeight="1" x14ac:dyDescent="0.15"/>
    <row r="49611" s="9" customFormat="1" ht="21.95" customHeight="1" x14ac:dyDescent="0.15"/>
    <row r="49612" s="9" customFormat="1" ht="21.95" customHeight="1" x14ac:dyDescent="0.15"/>
    <row r="49613" s="9" customFormat="1" ht="21.95" customHeight="1" x14ac:dyDescent="0.15"/>
    <row r="49614" s="9" customFormat="1" ht="21.95" customHeight="1" x14ac:dyDescent="0.15"/>
    <row r="49615" s="9" customFormat="1" ht="21.95" customHeight="1" x14ac:dyDescent="0.15"/>
    <row r="49616" s="9" customFormat="1" ht="21.95" customHeight="1" x14ac:dyDescent="0.15"/>
    <row r="49617" s="9" customFormat="1" ht="21.95" customHeight="1" x14ac:dyDescent="0.15"/>
    <row r="49618" s="9" customFormat="1" ht="21.95" customHeight="1" x14ac:dyDescent="0.15"/>
    <row r="49619" s="9" customFormat="1" ht="21.95" customHeight="1" x14ac:dyDescent="0.15"/>
    <row r="49620" s="9" customFormat="1" ht="21.95" customHeight="1" x14ac:dyDescent="0.15"/>
    <row r="49621" s="9" customFormat="1" ht="21.95" customHeight="1" x14ac:dyDescent="0.15"/>
    <row r="49622" s="9" customFormat="1" ht="21.95" customHeight="1" x14ac:dyDescent="0.15"/>
    <row r="49623" s="9" customFormat="1" ht="21.95" customHeight="1" x14ac:dyDescent="0.15"/>
    <row r="49624" s="9" customFormat="1" ht="21.95" customHeight="1" x14ac:dyDescent="0.15"/>
    <row r="49625" s="9" customFormat="1" ht="21.95" customHeight="1" x14ac:dyDescent="0.15"/>
    <row r="49626" s="9" customFormat="1" ht="21.95" customHeight="1" x14ac:dyDescent="0.15"/>
    <row r="49627" s="9" customFormat="1" ht="21.95" customHeight="1" x14ac:dyDescent="0.15"/>
    <row r="49628" s="9" customFormat="1" ht="21.95" customHeight="1" x14ac:dyDescent="0.15"/>
    <row r="49629" s="9" customFormat="1" ht="21.95" customHeight="1" x14ac:dyDescent="0.15"/>
    <row r="49630" s="9" customFormat="1" ht="21.95" customHeight="1" x14ac:dyDescent="0.15"/>
    <row r="49631" s="9" customFormat="1" ht="21.95" customHeight="1" x14ac:dyDescent="0.15"/>
    <row r="49632" s="9" customFormat="1" ht="21.95" customHeight="1" x14ac:dyDescent="0.15"/>
    <row r="49633" s="9" customFormat="1" ht="21.95" customHeight="1" x14ac:dyDescent="0.15"/>
    <row r="49634" s="9" customFormat="1" ht="21.95" customHeight="1" x14ac:dyDescent="0.15"/>
    <row r="49635" s="9" customFormat="1" ht="21.95" customHeight="1" x14ac:dyDescent="0.15"/>
    <row r="49636" s="9" customFormat="1" ht="21.95" customHeight="1" x14ac:dyDescent="0.15"/>
    <row r="49637" s="9" customFormat="1" ht="21.95" customHeight="1" x14ac:dyDescent="0.15"/>
    <row r="49638" s="9" customFormat="1" ht="35.1" customHeight="1" x14ac:dyDescent="0.15"/>
    <row r="49639" s="9" customFormat="1" ht="21.95" customHeight="1" x14ac:dyDescent="0.15"/>
    <row r="49640" s="9" customFormat="1" ht="21.95" customHeight="1" x14ac:dyDescent="0.15"/>
    <row r="49641" s="9" customFormat="1" ht="21.95" customHeight="1" x14ac:dyDescent="0.15"/>
    <row r="49642" s="9" customFormat="1" ht="21.95" customHeight="1" x14ac:dyDescent="0.15"/>
    <row r="49643" s="9" customFormat="1" ht="21.95" customHeight="1" x14ac:dyDescent="0.15"/>
    <row r="49644" s="9" customFormat="1" ht="21.95" customHeight="1" x14ac:dyDescent="0.15"/>
    <row r="49645" s="9" customFormat="1" ht="21.95" customHeight="1" x14ac:dyDescent="0.15"/>
    <row r="49646" s="9" customFormat="1" ht="21.95" customHeight="1" x14ac:dyDescent="0.15"/>
    <row r="49647" s="9" customFormat="1" ht="21.95" customHeight="1" x14ac:dyDescent="0.15"/>
    <row r="49648" s="9" customFormat="1" ht="21.95" customHeight="1" x14ac:dyDescent="0.15"/>
    <row r="49649" spans="3:3" s="9" customFormat="1" ht="21.95" customHeight="1" x14ac:dyDescent="0.15"/>
    <row r="49650" spans="3:3" s="9" customFormat="1" ht="21.95" customHeight="1" x14ac:dyDescent="0.15"/>
    <row r="49651" spans="3:3" s="9" customFormat="1" ht="21.95" customHeight="1" x14ac:dyDescent="0.15"/>
    <row r="49652" spans="3:3" s="9" customFormat="1" ht="21.95" customHeight="1" x14ac:dyDescent="0.15"/>
    <row r="49653" spans="3:3" s="9" customFormat="1" ht="21.95" customHeight="1" x14ac:dyDescent="0.15"/>
    <row r="49654" spans="3:3" s="9" customFormat="1" ht="21.95" customHeight="1" x14ac:dyDescent="0.15"/>
    <row r="49655" spans="3:3" s="9" customFormat="1" ht="21.95" customHeight="1" x14ac:dyDescent="0.15"/>
    <row r="49656" spans="3:3" s="9" customFormat="1" ht="21.95" customHeight="1" x14ac:dyDescent="0.15"/>
    <row r="49657" spans="3:3" s="9" customFormat="1" ht="21.95" customHeight="1" x14ac:dyDescent="0.15"/>
    <row r="49658" spans="3:3" s="9" customFormat="1" ht="21.95" customHeight="1" x14ac:dyDescent="0.15"/>
    <row r="49659" spans="3:3" s="9" customFormat="1" ht="21.95" customHeight="1" x14ac:dyDescent="0.15"/>
    <row r="49660" spans="3:3" s="9" customFormat="1" ht="21.95" customHeight="1" x14ac:dyDescent="0.15"/>
    <row r="49661" spans="3:3" s="9" customFormat="1" ht="21.95" customHeight="1" x14ac:dyDescent="0.15"/>
    <row r="49662" spans="3:3" s="8" customFormat="1" ht="21.95" customHeight="1" x14ac:dyDescent="0.15"/>
    <row r="49663" spans="3:3" s="8" customFormat="1" ht="21.95" customHeight="1" x14ac:dyDescent="0.15"/>
    <row r="49664" spans="3:3" s="8" customFormat="1" ht="21.95" customHeight="1" x14ac:dyDescent="0.15">
      <c r="C49664" s="101"/>
    </row>
    <row r="49665" spans="3:3" s="8" customFormat="1" ht="21.95" customHeight="1" x14ac:dyDescent="0.15">
      <c r="C49665" s="101"/>
    </row>
    <row r="49666" spans="3:3" s="8" customFormat="1" ht="21.95" customHeight="1" x14ac:dyDescent="0.15"/>
    <row r="49667" spans="3:3" s="8" customFormat="1" ht="21.95" customHeight="1" x14ac:dyDescent="0.15"/>
    <row r="49668" spans="3:3" s="8" customFormat="1" ht="21.95" customHeight="1" x14ac:dyDescent="0.15"/>
    <row r="49669" spans="3:3" s="8" customFormat="1" ht="21.95" customHeight="1" x14ac:dyDescent="0.15"/>
    <row r="49670" spans="3:3" s="8" customFormat="1" ht="21.95" customHeight="1" x14ac:dyDescent="0.15"/>
    <row r="49671" spans="3:3" s="8" customFormat="1" ht="21.95" customHeight="1" x14ac:dyDescent="0.15"/>
    <row r="49672" spans="3:3" s="8" customFormat="1" ht="21.95" customHeight="1" x14ac:dyDescent="0.15"/>
    <row r="49673" spans="3:3" s="9" customFormat="1" ht="21.95" customHeight="1" x14ac:dyDescent="0.15"/>
    <row r="49674" spans="3:3" s="9" customFormat="1" ht="21.95" customHeight="1" x14ac:dyDescent="0.15"/>
    <row r="49675" spans="3:3" s="9" customFormat="1" ht="21.95" customHeight="1" x14ac:dyDescent="0.15"/>
    <row r="49676" spans="3:3" s="9" customFormat="1" ht="21.95" customHeight="1" x14ac:dyDescent="0.15"/>
    <row r="49677" spans="3:3" s="8" customFormat="1" ht="21.95" customHeight="1" x14ac:dyDescent="0.15"/>
    <row r="49678" spans="3:3" s="8" customFormat="1" ht="21.95" customHeight="1" x14ac:dyDescent="0.15"/>
    <row r="49679" spans="3:3" s="8" customFormat="1" ht="21.95" customHeight="1" x14ac:dyDescent="0.15"/>
    <row r="49680" spans="3:3" s="8" customFormat="1" ht="21.95" customHeight="1" x14ac:dyDescent="0.15"/>
    <row r="49681" s="8" customFormat="1" ht="21.95" customHeight="1" x14ac:dyDescent="0.15"/>
    <row r="49682" s="8" customFormat="1" ht="21.95" customHeight="1" x14ac:dyDescent="0.15"/>
    <row r="49683" s="8" customFormat="1" ht="21.95" customHeight="1" x14ac:dyDescent="0.15"/>
    <row r="49684" s="8" customFormat="1" ht="21.95" customHeight="1" x14ac:dyDescent="0.15"/>
    <row r="49685" s="8" customFormat="1" ht="21.95" customHeight="1" x14ac:dyDescent="0.15"/>
    <row r="49686" s="8" customFormat="1" ht="21.95" customHeight="1" x14ac:dyDescent="0.15"/>
    <row r="49687" s="8" customFormat="1" ht="21.95" customHeight="1" x14ac:dyDescent="0.15"/>
    <row r="49688" s="8" customFormat="1" ht="32.1" customHeight="1" x14ac:dyDescent="0.15"/>
    <row r="49689" s="8" customFormat="1" ht="32.1" customHeight="1" x14ac:dyDescent="0.15"/>
    <row r="49690" s="8" customFormat="1" ht="32.1" customHeight="1" x14ac:dyDescent="0.15"/>
    <row r="49691" s="8" customFormat="1" ht="32.1" customHeight="1" x14ac:dyDescent="0.15"/>
    <row r="49692" s="8" customFormat="1" ht="32.1" customHeight="1" x14ac:dyDescent="0.15"/>
    <row r="49693" s="8" customFormat="1" ht="32.1" customHeight="1" x14ac:dyDescent="0.15"/>
    <row r="49694" s="9" customFormat="1" ht="32.1" customHeight="1" x14ac:dyDescent="0.15"/>
    <row r="49695" s="9" customFormat="1" ht="32.1" customHeight="1" x14ac:dyDescent="0.15"/>
    <row r="49696" s="9" customFormat="1" ht="32.1" customHeight="1" x14ac:dyDescent="0.15"/>
    <row r="49697" s="9" customFormat="1" ht="32.1" customHeight="1" x14ac:dyDescent="0.15"/>
    <row r="49698" s="9" customFormat="1" ht="21.95" customHeight="1" x14ac:dyDescent="0.15"/>
    <row r="49699" s="9" customFormat="1" ht="54" customHeight="1" x14ac:dyDescent="0.15"/>
    <row r="49700" s="9" customFormat="1" ht="21.95" customHeight="1" x14ac:dyDescent="0.15"/>
    <row r="49701" s="9" customFormat="1" ht="21.95" customHeight="1" x14ac:dyDescent="0.15"/>
    <row r="49702" s="9" customFormat="1" ht="21.95" customHeight="1" x14ac:dyDescent="0.15"/>
    <row r="49703" s="9" customFormat="1" ht="21.95" customHeight="1" x14ac:dyDescent="0.15"/>
    <row r="49704" s="9" customFormat="1" ht="21.95" customHeight="1" x14ac:dyDescent="0.15"/>
    <row r="49705" s="9" customFormat="1" ht="21.95" customHeight="1" x14ac:dyDescent="0.15"/>
    <row r="49706" s="9" customFormat="1" ht="21.95" customHeight="1" x14ac:dyDescent="0.15"/>
    <row r="49707" s="9" customFormat="1" ht="21.95" customHeight="1" x14ac:dyDescent="0.15"/>
    <row r="49708" s="9" customFormat="1" ht="21.95" customHeight="1" x14ac:dyDescent="0.15"/>
    <row r="49709" s="9" customFormat="1" ht="21.95" customHeight="1" x14ac:dyDescent="0.15"/>
    <row r="49710" s="9" customFormat="1" ht="21.95" customHeight="1" x14ac:dyDescent="0.15"/>
    <row r="49711" s="9" customFormat="1" ht="21.95" customHeight="1" x14ac:dyDescent="0.15"/>
    <row r="49712" s="9" customFormat="1" ht="21.95" customHeight="1" x14ac:dyDescent="0.15"/>
    <row r="49713" s="9" customFormat="1" ht="21.95" customHeight="1" x14ac:dyDescent="0.15"/>
    <row r="49714" s="9" customFormat="1" ht="21.95" customHeight="1" x14ac:dyDescent="0.15"/>
    <row r="49715" s="9" customFormat="1" ht="21.95" customHeight="1" x14ac:dyDescent="0.15"/>
    <row r="49716" s="9" customFormat="1" ht="21.95" customHeight="1" x14ac:dyDescent="0.15"/>
    <row r="49717" s="9" customFormat="1" ht="21.95" customHeight="1" x14ac:dyDescent="0.15"/>
    <row r="49718" s="9" customFormat="1" ht="21.95" customHeight="1" x14ac:dyDescent="0.15"/>
    <row r="49719" s="9" customFormat="1" ht="21.95" customHeight="1" x14ac:dyDescent="0.15"/>
    <row r="49720" s="9" customFormat="1" ht="21.95" customHeight="1" x14ac:dyDescent="0.15"/>
    <row r="49721" s="9" customFormat="1" ht="21.95" customHeight="1" x14ac:dyDescent="0.15"/>
    <row r="49722" s="9" customFormat="1" ht="21.95" customHeight="1" x14ac:dyDescent="0.15"/>
    <row r="49723" s="9" customFormat="1" ht="21.95" customHeight="1" x14ac:dyDescent="0.15"/>
    <row r="49724" s="9" customFormat="1" ht="21.95" customHeight="1" x14ac:dyDescent="0.15"/>
    <row r="49725" s="9" customFormat="1" ht="21.95" customHeight="1" x14ac:dyDescent="0.15"/>
    <row r="49726" s="9" customFormat="1" ht="21.95" customHeight="1" x14ac:dyDescent="0.15"/>
    <row r="49727" s="9" customFormat="1" ht="21.95" customHeight="1" x14ac:dyDescent="0.15"/>
    <row r="49728" s="9" customFormat="1" ht="21.95" customHeight="1" x14ac:dyDescent="0.15"/>
    <row r="49729" s="9" customFormat="1" ht="21.95" customHeight="1" x14ac:dyDescent="0.15"/>
    <row r="49730" s="9" customFormat="1" ht="21.95" customHeight="1" x14ac:dyDescent="0.15"/>
    <row r="49731" s="9" customFormat="1" ht="21.95" customHeight="1" x14ac:dyDescent="0.15"/>
    <row r="49732" s="9" customFormat="1" ht="21.95" customHeight="1" x14ac:dyDescent="0.15"/>
    <row r="49733" s="9" customFormat="1" ht="21.95" customHeight="1" x14ac:dyDescent="0.15"/>
    <row r="49734" s="9" customFormat="1" ht="21.95" customHeight="1" x14ac:dyDescent="0.15"/>
    <row r="49735" s="9" customFormat="1" ht="21.95" customHeight="1" x14ac:dyDescent="0.15"/>
    <row r="49736" s="9" customFormat="1" ht="21.95" customHeight="1" x14ac:dyDescent="0.15"/>
    <row r="49737" s="9" customFormat="1" ht="21.95" customHeight="1" x14ac:dyDescent="0.15"/>
    <row r="49738" s="9" customFormat="1" ht="21.95" customHeight="1" x14ac:dyDescent="0.15"/>
    <row r="49739" s="9" customFormat="1" ht="21.95" customHeight="1" x14ac:dyDescent="0.15"/>
    <row r="49740" s="9" customFormat="1" ht="21.95" customHeight="1" x14ac:dyDescent="0.15"/>
    <row r="49741" s="9" customFormat="1" ht="21.95" customHeight="1" x14ac:dyDescent="0.15"/>
    <row r="49742" s="9" customFormat="1" ht="21.95" customHeight="1" x14ac:dyDescent="0.15"/>
    <row r="49743" s="9" customFormat="1" ht="21.95" customHeight="1" x14ac:dyDescent="0.15"/>
    <row r="49744" s="9" customFormat="1" ht="21.95" customHeight="1" x14ac:dyDescent="0.15"/>
    <row r="49745" s="9" customFormat="1" ht="21.95" customHeight="1" x14ac:dyDescent="0.15"/>
    <row r="49746" s="9" customFormat="1" ht="21.95" customHeight="1" x14ac:dyDescent="0.15"/>
    <row r="49747" s="9" customFormat="1" ht="21.95" customHeight="1" x14ac:dyDescent="0.15"/>
    <row r="49748" s="9" customFormat="1" ht="21.95" customHeight="1" x14ac:dyDescent="0.15"/>
    <row r="49749" s="9" customFormat="1" ht="21.95" customHeight="1" x14ac:dyDescent="0.15"/>
    <row r="49750" s="9" customFormat="1" ht="35.1" customHeight="1" x14ac:dyDescent="0.15"/>
    <row r="49751" s="9" customFormat="1" ht="21.95" customHeight="1" x14ac:dyDescent="0.15"/>
    <row r="49752" s="9" customFormat="1" ht="21.95" customHeight="1" x14ac:dyDescent="0.15"/>
    <row r="49753" s="9" customFormat="1" ht="21.95" customHeight="1" x14ac:dyDescent="0.15"/>
    <row r="49754" s="9" customFormat="1" ht="21.95" customHeight="1" x14ac:dyDescent="0.15"/>
    <row r="49755" s="9" customFormat="1" ht="21.95" customHeight="1" x14ac:dyDescent="0.15"/>
    <row r="49756" s="9" customFormat="1" ht="21.95" customHeight="1" x14ac:dyDescent="0.15"/>
    <row r="49757" s="9" customFormat="1" ht="21.95" customHeight="1" x14ac:dyDescent="0.15"/>
    <row r="49758" s="9" customFormat="1" ht="21.95" customHeight="1" x14ac:dyDescent="0.15"/>
    <row r="49759" s="9" customFormat="1" ht="21.95" customHeight="1" x14ac:dyDescent="0.15"/>
    <row r="49760" s="9" customFormat="1" ht="21.95" customHeight="1" x14ac:dyDescent="0.15"/>
    <row r="49761" spans="3:3" s="9" customFormat="1" ht="21.95" customHeight="1" x14ac:dyDescent="0.15"/>
    <row r="49762" spans="3:3" s="9" customFormat="1" ht="21.95" customHeight="1" x14ac:dyDescent="0.15"/>
    <row r="49763" spans="3:3" s="9" customFormat="1" ht="21.95" customHeight="1" x14ac:dyDescent="0.15"/>
    <row r="49764" spans="3:3" s="9" customFormat="1" ht="21.95" customHeight="1" x14ac:dyDescent="0.15"/>
    <row r="49765" spans="3:3" s="9" customFormat="1" ht="21.95" customHeight="1" x14ac:dyDescent="0.15"/>
    <row r="49766" spans="3:3" s="9" customFormat="1" ht="21.95" customHeight="1" x14ac:dyDescent="0.15"/>
    <row r="49767" spans="3:3" s="9" customFormat="1" ht="21.95" customHeight="1" x14ac:dyDescent="0.15"/>
    <row r="49768" spans="3:3" s="9" customFormat="1" ht="21.95" customHeight="1" x14ac:dyDescent="0.15"/>
    <row r="49769" spans="3:3" s="9" customFormat="1" ht="21.95" customHeight="1" x14ac:dyDescent="0.15"/>
    <row r="49770" spans="3:3" s="9" customFormat="1" ht="21.95" customHeight="1" x14ac:dyDescent="0.15"/>
    <row r="49771" spans="3:3" s="9" customFormat="1" ht="21.95" customHeight="1" x14ac:dyDescent="0.15"/>
    <row r="49772" spans="3:3" s="9" customFormat="1" ht="21.95" customHeight="1" x14ac:dyDescent="0.15"/>
    <row r="49773" spans="3:3" s="9" customFormat="1" ht="21.95" customHeight="1" x14ac:dyDescent="0.15"/>
    <row r="49774" spans="3:3" s="8" customFormat="1" ht="21.95" customHeight="1" x14ac:dyDescent="0.15"/>
    <row r="49775" spans="3:3" s="8" customFormat="1" ht="21.95" customHeight="1" x14ac:dyDescent="0.15"/>
    <row r="49776" spans="3:3" s="8" customFormat="1" ht="21.95" customHeight="1" x14ac:dyDescent="0.15">
      <c r="C49776" s="101"/>
    </row>
    <row r="49777" spans="3:3" s="8" customFormat="1" ht="21.95" customHeight="1" x14ac:dyDescent="0.15">
      <c r="C49777" s="101"/>
    </row>
    <row r="49778" spans="3:3" s="8" customFormat="1" ht="21.95" customHeight="1" x14ac:dyDescent="0.15"/>
    <row r="49779" spans="3:3" s="8" customFormat="1" ht="21.95" customHeight="1" x14ac:dyDescent="0.15"/>
    <row r="49780" spans="3:3" s="8" customFormat="1" ht="21.95" customHeight="1" x14ac:dyDescent="0.15"/>
    <row r="49781" spans="3:3" s="8" customFormat="1" ht="21.95" customHeight="1" x14ac:dyDescent="0.15"/>
    <row r="49782" spans="3:3" s="8" customFormat="1" ht="21.95" customHeight="1" x14ac:dyDescent="0.15"/>
    <row r="49783" spans="3:3" s="8" customFormat="1" ht="21.95" customHeight="1" x14ac:dyDescent="0.15"/>
    <row r="49784" spans="3:3" s="8" customFormat="1" ht="21.95" customHeight="1" x14ac:dyDescent="0.15"/>
    <row r="49785" spans="3:3" s="9" customFormat="1" ht="21.95" customHeight="1" x14ac:dyDescent="0.15"/>
    <row r="49786" spans="3:3" s="9" customFormat="1" ht="21.95" customHeight="1" x14ac:dyDescent="0.15"/>
    <row r="49787" spans="3:3" s="9" customFormat="1" ht="21.95" customHeight="1" x14ac:dyDescent="0.15"/>
    <row r="49788" spans="3:3" s="9" customFormat="1" ht="21.95" customHeight="1" x14ac:dyDescent="0.15"/>
    <row r="49789" spans="3:3" s="8" customFormat="1" ht="21.95" customHeight="1" x14ac:dyDescent="0.15"/>
    <row r="49790" spans="3:3" s="8" customFormat="1" ht="21.95" customHeight="1" x14ac:dyDescent="0.15"/>
    <row r="49791" spans="3:3" s="8" customFormat="1" ht="21.95" customHeight="1" x14ac:dyDescent="0.15"/>
    <row r="49792" spans="3:3" s="8" customFormat="1" ht="21.95" customHeight="1" x14ac:dyDescent="0.15"/>
    <row r="49793" s="8" customFormat="1" ht="21.95" customHeight="1" x14ac:dyDescent="0.15"/>
    <row r="49794" s="8" customFormat="1" ht="21.95" customHeight="1" x14ac:dyDescent="0.15"/>
    <row r="49795" s="8" customFormat="1" ht="21.95" customHeight="1" x14ac:dyDescent="0.15"/>
    <row r="49796" s="8" customFormat="1" ht="21.95" customHeight="1" x14ac:dyDescent="0.15"/>
    <row r="49797" s="8" customFormat="1" ht="21.95" customHeight="1" x14ac:dyDescent="0.15"/>
    <row r="49798" s="8" customFormat="1" ht="21.95" customHeight="1" x14ac:dyDescent="0.15"/>
    <row r="49799" s="8" customFormat="1" ht="21.95" customHeight="1" x14ac:dyDescent="0.15"/>
    <row r="49800" s="8" customFormat="1" ht="32.1" customHeight="1" x14ac:dyDescent="0.15"/>
    <row r="49801" s="8" customFormat="1" ht="32.1" customHeight="1" x14ac:dyDescent="0.15"/>
    <row r="49802" s="8" customFormat="1" ht="32.1" customHeight="1" x14ac:dyDescent="0.15"/>
    <row r="49803" s="8" customFormat="1" ht="32.1" customHeight="1" x14ac:dyDescent="0.15"/>
    <row r="49804" s="8" customFormat="1" ht="32.1" customHeight="1" x14ac:dyDescent="0.15"/>
    <row r="49805" s="8" customFormat="1" ht="32.1" customHeight="1" x14ac:dyDescent="0.15"/>
    <row r="49806" s="9" customFormat="1" ht="32.1" customHeight="1" x14ac:dyDescent="0.15"/>
    <row r="49807" s="9" customFormat="1" ht="32.1" customHeight="1" x14ac:dyDescent="0.15"/>
    <row r="49808" s="9" customFormat="1" ht="32.1" customHeight="1" x14ac:dyDescent="0.15"/>
    <row r="49809" s="9" customFormat="1" ht="32.1" customHeight="1" x14ac:dyDescent="0.15"/>
    <row r="49810" s="9" customFormat="1" ht="21.95" customHeight="1" x14ac:dyDescent="0.15"/>
    <row r="49811" s="9" customFormat="1" ht="54" customHeight="1" x14ac:dyDescent="0.15"/>
    <row r="49812" s="9" customFormat="1" ht="21.95" customHeight="1" x14ac:dyDescent="0.15"/>
    <row r="49813" s="9" customFormat="1" ht="21.95" customHeight="1" x14ac:dyDescent="0.15"/>
    <row r="49814" s="9" customFormat="1" ht="21.95" customHeight="1" x14ac:dyDescent="0.15"/>
    <row r="49815" s="9" customFormat="1" ht="21.95" customHeight="1" x14ac:dyDescent="0.15"/>
    <row r="49816" s="9" customFormat="1" ht="21.95" customHeight="1" x14ac:dyDescent="0.15"/>
    <row r="49817" s="9" customFormat="1" ht="21.95" customHeight="1" x14ac:dyDescent="0.15"/>
    <row r="49818" s="9" customFormat="1" ht="21.95" customHeight="1" x14ac:dyDescent="0.15"/>
    <row r="49819" s="9" customFormat="1" ht="21.95" customHeight="1" x14ac:dyDescent="0.15"/>
    <row r="49820" s="9" customFormat="1" ht="21.95" customHeight="1" x14ac:dyDescent="0.15"/>
    <row r="49821" s="9" customFormat="1" ht="21.95" customHeight="1" x14ac:dyDescent="0.15"/>
    <row r="49822" s="9" customFormat="1" ht="21.95" customHeight="1" x14ac:dyDescent="0.15"/>
    <row r="49823" s="9" customFormat="1" ht="21.95" customHeight="1" x14ac:dyDescent="0.15"/>
    <row r="49824" s="9" customFormat="1" ht="21.95" customHeight="1" x14ac:dyDescent="0.15"/>
    <row r="49825" s="9" customFormat="1" ht="21.95" customHeight="1" x14ac:dyDescent="0.15"/>
    <row r="49826" s="9" customFormat="1" ht="21.95" customHeight="1" x14ac:dyDescent="0.15"/>
    <row r="49827" s="9" customFormat="1" ht="21.95" customHeight="1" x14ac:dyDescent="0.15"/>
    <row r="49828" s="9" customFormat="1" ht="21.95" customHeight="1" x14ac:dyDescent="0.15"/>
    <row r="49829" s="9" customFormat="1" ht="21.95" customHeight="1" x14ac:dyDescent="0.15"/>
    <row r="49830" s="9" customFormat="1" ht="21.95" customHeight="1" x14ac:dyDescent="0.15"/>
    <row r="49831" s="9" customFormat="1" ht="21.95" customHeight="1" x14ac:dyDescent="0.15"/>
    <row r="49832" s="9" customFormat="1" ht="21.95" customHeight="1" x14ac:dyDescent="0.15"/>
    <row r="49833" s="9" customFormat="1" ht="21.95" customHeight="1" x14ac:dyDescent="0.15"/>
    <row r="49834" s="9" customFormat="1" ht="21.95" customHeight="1" x14ac:dyDescent="0.15"/>
    <row r="49835" s="9" customFormat="1" ht="21.95" customHeight="1" x14ac:dyDescent="0.15"/>
    <row r="49836" s="9" customFormat="1" ht="21.95" customHeight="1" x14ac:dyDescent="0.15"/>
    <row r="49837" s="9" customFormat="1" ht="21.95" customHeight="1" x14ac:dyDescent="0.15"/>
    <row r="49838" s="9" customFormat="1" ht="21.95" customHeight="1" x14ac:dyDescent="0.15"/>
    <row r="49839" s="9" customFormat="1" ht="21.95" customHeight="1" x14ac:dyDescent="0.15"/>
    <row r="49840" s="9" customFormat="1" ht="21.95" customHeight="1" x14ac:dyDescent="0.15"/>
    <row r="49841" s="9" customFormat="1" ht="21.95" customHeight="1" x14ac:dyDescent="0.15"/>
    <row r="49842" s="9" customFormat="1" ht="21.95" customHeight="1" x14ac:dyDescent="0.15"/>
    <row r="49843" s="9" customFormat="1" ht="21.95" customHeight="1" x14ac:dyDescent="0.15"/>
    <row r="49844" s="9" customFormat="1" ht="21.95" customHeight="1" x14ac:dyDescent="0.15"/>
    <row r="49845" s="9" customFormat="1" ht="21.95" customHeight="1" x14ac:dyDescent="0.15"/>
    <row r="49846" s="9" customFormat="1" ht="21.95" customHeight="1" x14ac:dyDescent="0.15"/>
    <row r="49847" s="9" customFormat="1" ht="21.95" customHeight="1" x14ac:dyDescent="0.15"/>
    <row r="49848" s="9" customFormat="1" ht="21.95" customHeight="1" x14ac:dyDescent="0.15"/>
    <row r="49849" s="9" customFormat="1" ht="21.95" customHeight="1" x14ac:dyDescent="0.15"/>
    <row r="49850" s="9" customFormat="1" ht="21.95" customHeight="1" x14ac:dyDescent="0.15"/>
    <row r="49851" s="9" customFormat="1" ht="21.95" customHeight="1" x14ac:dyDescent="0.15"/>
    <row r="49852" s="9" customFormat="1" ht="21.95" customHeight="1" x14ac:dyDescent="0.15"/>
    <row r="49853" s="9" customFormat="1" ht="21.95" customHeight="1" x14ac:dyDescent="0.15"/>
    <row r="49854" s="9" customFormat="1" ht="21.95" customHeight="1" x14ac:dyDescent="0.15"/>
    <row r="49855" s="9" customFormat="1" ht="21.95" customHeight="1" x14ac:dyDescent="0.15"/>
    <row r="49856" s="9" customFormat="1" ht="21.95" customHeight="1" x14ac:dyDescent="0.15"/>
    <row r="49857" s="9" customFormat="1" ht="21.95" customHeight="1" x14ac:dyDescent="0.15"/>
    <row r="49858" s="9" customFormat="1" ht="21.95" customHeight="1" x14ac:dyDescent="0.15"/>
    <row r="49859" s="9" customFormat="1" ht="21.95" customHeight="1" x14ac:dyDescent="0.15"/>
    <row r="49860" s="9" customFormat="1" ht="21.95" customHeight="1" x14ac:dyDescent="0.15"/>
    <row r="49861" s="9" customFormat="1" ht="21.95" customHeight="1" x14ac:dyDescent="0.15"/>
    <row r="49862" s="9" customFormat="1" ht="35.1" customHeight="1" x14ac:dyDescent="0.15"/>
    <row r="49863" s="9" customFormat="1" ht="21.95" customHeight="1" x14ac:dyDescent="0.15"/>
    <row r="49864" s="9" customFormat="1" ht="21.95" customHeight="1" x14ac:dyDescent="0.15"/>
    <row r="49865" s="9" customFormat="1" ht="21.95" customHeight="1" x14ac:dyDescent="0.15"/>
    <row r="49866" s="9" customFormat="1" ht="21.95" customHeight="1" x14ac:dyDescent="0.15"/>
    <row r="49867" s="9" customFormat="1" ht="21.95" customHeight="1" x14ac:dyDescent="0.15"/>
    <row r="49868" s="9" customFormat="1" ht="21.95" customHeight="1" x14ac:dyDescent="0.15"/>
    <row r="49869" s="9" customFormat="1" ht="21.95" customHeight="1" x14ac:dyDescent="0.15"/>
    <row r="49870" s="9" customFormat="1" ht="21.95" customHeight="1" x14ac:dyDescent="0.15"/>
    <row r="49871" s="9" customFormat="1" ht="21.95" customHeight="1" x14ac:dyDescent="0.15"/>
    <row r="49872" s="9" customFormat="1" ht="21.95" customHeight="1" x14ac:dyDescent="0.15"/>
    <row r="49873" spans="3:3" s="9" customFormat="1" ht="21.95" customHeight="1" x14ac:dyDescent="0.15"/>
    <row r="49874" spans="3:3" s="9" customFormat="1" ht="21.95" customHeight="1" x14ac:dyDescent="0.15"/>
    <row r="49875" spans="3:3" s="9" customFormat="1" ht="21.95" customHeight="1" x14ac:dyDescent="0.15"/>
    <row r="49876" spans="3:3" s="9" customFormat="1" ht="21.95" customHeight="1" x14ac:dyDescent="0.15"/>
    <row r="49877" spans="3:3" s="9" customFormat="1" ht="21.95" customHeight="1" x14ac:dyDescent="0.15"/>
    <row r="49878" spans="3:3" s="9" customFormat="1" ht="21.95" customHeight="1" x14ac:dyDescent="0.15"/>
    <row r="49879" spans="3:3" s="9" customFormat="1" ht="21.95" customHeight="1" x14ac:dyDescent="0.15"/>
    <row r="49880" spans="3:3" s="9" customFormat="1" ht="21.95" customHeight="1" x14ac:dyDescent="0.15"/>
    <row r="49881" spans="3:3" s="9" customFormat="1" ht="21.95" customHeight="1" x14ac:dyDescent="0.15"/>
    <row r="49882" spans="3:3" s="9" customFormat="1" ht="21.95" customHeight="1" x14ac:dyDescent="0.15"/>
    <row r="49883" spans="3:3" s="9" customFormat="1" ht="21.95" customHeight="1" x14ac:dyDescent="0.15"/>
    <row r="49884" spans="3:3" s="9" customFormat="1" ht="21.95" customHeight="1" x14ac:dyDescent="0.15"/>
    <row r="49885" spans="3:3" s="9" customFormat="1" ht="21.95" customHeight="1" x14ac:dyDescent="0.15"/>
    <row r="49886" spans="3:3" s="8" customFormat="1" ht="21.95" customHeight="1" x14ac:dyDescent="0.15"/>
    <row r="49887" spans="3:3" s="8" customFormat="1" ht="21.95" customHeight="1" x14ac:dyDescent="0.15"/>
    <row r="49888" spans="3:3" s="8" customFormat="1" ht="21.95" customHeight="1" x14ac:dyDescent="0.15">
      <c r="C49888" s="101"/>
    </row>
    <row r="49889" spans="3:3" s="8" customFormat="1" ht="21.95" customHeight="1" x14ac:dyDescent="0.15">
      <c r="C49889" s="101"/>
    </row>
    <row r="49890" spans="3:3" s="8" customFormat="1" ht="21.95" customHeight="1" x14ac:dyDescent="0.15"/>
    <row r="49891" spans="3:3" s="8" customFormat="1" ht="21.95" customHeight="1" x14ac:dyDescent="0.15"/>
    <row r="49892" spans="3:3" s="8" customFormat="1" ht="21.95" customHeight="1" x14ac:dyDescent="0.15"/>
    <row r="49893" spans="3:3" s="8" customFormat="1" ht="21.95" customHeight="1" x14ac:dyDescent="0.15"/>
    <row r="49894" spans="3:3" s="8" customFormat="1" ht="21.95" customHeight="1" x14ac:dyDescent="0.15"/>
    <row r="49895" spans="3:3" s="8" customFormat="1" ht="21.95" customHeight="1" x14ac:dyDescent="0.15"/>
    <row r="49896" spans="3:3" s="8" customFormat="1" ht="21.95" customHeight="1" x14ac:dyDescent="0.15"/>
    <row r="49897" spans="3:3" s="9" customFormat="1" ht="21.95" customHeight="1" x14ac:dyDescent="0.15"/>
    <row r="49898" spans="3:3" s="9" customFormat="1" ht="21.95" customHeight="1" x14ac:dyDescent="0.15"/>
    <row r="49899" spans="3:3" s="9" customFormat="1" ht="21.95" customHeight="1" x14ac:dyDescent="0.15"/>
    <row r="49900" spans="3:3" s="9" customFormat="1" ht="21.95" customHeight="1" x14ac:dyDescent="0.15"/>
    <row r="49901" spans="3:3" s="8" customFormat="1" ht="21.95" customHeight="1" x14ac:dyDescent="0.15"/>
    <row r="49902" spans="3:3" s="8" customFormat="1" ht="21.95" customHeight="1" x14ac:dyDescent="0.15"/>
    <row r="49903" spans="3:3" s="8" customFormat="1" ht="21.95" customHeight="1" x14ac:dyDescent="0.15"/>
    <row r="49904" spans="3:3" s="8" customFormat="1" ht="21.95" customHeight="1" x14ac:dyDescent="0.15"/>
    <row r="49905" s="8" customFormat="1" ht="21.95" customHeight="1" x14ac:dyDescent="0.15"/>
    <row r="49906" s="8" customFormat="1" ht="21.95" customHeight="1" x14ac:dyDescent="0.15"/>
    <row r="49907" s="8" customFormat="1" ht="21.95" customHeight="1" x14ac:dyDescent="0.15"/>
    <row r="49908" s="8" customFormat="1" ht="21.95" customHeight="1" x14ac:dyDescent="0.15"/>
    <row r="49909" s="8" customFormat="1" ht="21.95" customHeight="1" x14ac:dyDescent="0.15"/>
    <row r="49910" s="8" customFormat="1" ht="21.95" customHeight="1" x14ac:dyDescent="0.15"/>
    <row r="49911" s="8" customFormat="1" ht="21.95" customHeight="1" x14ac:dyDescent="0.15"/>
    <row r="49912" s="8" customFormat="1" ht="32.1" customHeight="1" x14ac:dyDescent="0.15"/>
    <row r="49913" s="8" customFormat="1" ht="32.1" customHeight="1" x14ac:dyDescent="0.15"/>
    <row r="49914" s="8" customFormat="1" ht="32.1" customHeight="1" x14ac:dyDescent="0.15"/>
    <row r="49915" s="8" customFormat="1" ht="32.1" customHeight="1" x14ac:dyDescent="0.15"/>
    <row r="49916" s="8" customFormat="1" ht="32.1" customHeight="1" x14ac:dyDescent="0.15"/>
    <row r="49917" s="8" customFormat="1" ht="32.1" customHeight="1" x14ac:dyDescent="0.15"/>
    <row r="49918" s="9" customFormat="1" ht="32.1" customHeight="1" x14ac:dyDescent="0.15"/>
    <row r="49919" s="9" customFormat="1" ht="32.1" customHeight="1" x14ac:dyDescent="0.15"/>
    <row r="49920" s="9" customFormat="1" ht="32.1" customHeight="1" x14ac:dyDescent="0.15"/>
    <row r="49921" s="9" customFormat="1" ht="32.1" customHeight="1" x14ac:dyDescent="0.15"/>
    <row r="49922" s="9" customFormat="1" ht="21.95" customHeight="1" x14ac:dyDescent="0.15"/>
    <row r="49923" s="9" customFormat="1" ht="54" customHeight="1" x14ac:dyDescent="0.15"/>
    <row r="49924" s="9" customFormat="1" ht="21.95" customHeight="1" x14ac:dyDescent="0.15"/>
    <row r="49925" s="9" customFormat="1" ht="21.95" customHeight="1" x14ac:dyDescent="0.15"/>
    <row r="49926" s="9" customFormat="1" ht="21.95" customHeight="1" x14ac:dyDescent="0.15"/>
    <row r="49927" s="9" customFormat="1" ht="21.95" customHeight="1" x14ac:dyDescent="0.15"/>
    <row r="49928" s="9" customFormat="1" ht="21.95" customHeight="1" x14ac:dyDescent="0.15"/>
    <row r="49929" s="9" customFormat="1" ht="21.95" customHeight="1" x14ac:dyDescent="0.15"/>
    <row r="49930" s="9" customFormat="1" ht="21.95" customHeight="1" x14ac:dyDescent="0.15"/>
    <row r="49931" s="9" customFormat="1" ht="21.95" customHeight="1" x14ac:dyDescent="0.15"/>
    <row r="49932" s="9" customFormat="1" ht="21.95" customHeight="1" x14ac:dyDescent="0.15"/>
    <row r="49933" s="9" customFormat="1" ht="21.95" customHeight="1" x14ac:dyDescent="0.15"/>
    <row r="49934" s="9" customFormat="1" ht="21.95" customHeight="1" x14ac:dyDescent="0.15"/>
    <row r="49935" s="9" customFormat="1" ht="21.95" customHeight="1" x14ac:dyDescent="0.15"/>
    <row r="49936" s="9" customFormat="1" ht="21.95" customHeight="1" x14ac:dyDescent="0.15"/>
    <row r="49937" s="9" customFormat="1" ht="21.95" customHeight="1" x14ac:dyDescent="0.15"/>
    <row r="49938" s="9" customFormat="1" ht="21.95" customHeight="1" x14ac:dyDescent="0.15"/>
    <row r="49939" s="9" customFormat="1" ht="21.95" customHeight="1" x14ac:dyDescent="0.15"/>
    <row r="49940" s="9" customFormat="1" ht="21.95" customHeight="1" x14ac:dyDescent="0.15"/>
    <row r="49941" s="9" customFormat="1" ht="21.95" customHeight="1" x14ac:dyDescent="0.15"/>
    <row r="49942" s="9" customFormat="1" ht="21.95" customHeight="1" x14ac:dyDescent="0.15"/>
    <row r="49943" s="9" customFormat="1" ht="21.95" customHeight="1" x14ac:dyDescent="0.15"/>
    <row r="49944" s="9" customFormat="1" ht="21.95" customHeight="1" x14ac:dyDescent="0.15"/>
    <row r="49945" s="9" customFormat="1" ht="21.95" customHeight="1" x14ac:dyDescent="0.15"/>
    <row r="49946" s="9" customFormat="1" ht="21.95" customHeight="1" x14ac:dyDescent="0.15"/>
    <row r="49947" s="9" customFormat="1" ht="21.95" customHeight="1" x14ac:dyDescent="0.15"/>
    <row r="49948" s="9" customFormat="1" ht="21.95" customHeight="1" x14ac:dyDescent="0.15"/>
    <row r="49949" s="9" customFormat="1" ht="21.95" customHeight="1" x14ac:dyDescent="0.15"/>
    <row r="49950" s="9" customFormat="1" ht="21.95" customHeight="1" x14ac:dyDescent="0.15"/>
    <row r="49951" s="9" customFormat="1" ht="21.95" customHeight="1" x14ac:dyDescent="0.15"/>
    <row r="49952" s="9" customFormat="1" ht="21.95" customHeight="1" x14ac:dyDescent="0.15"/>
    <row r="49953" s="9" customFormat="1" ht="21.95" customHeight="1" x14ac:dyDescent="0.15"/>
    <row r="49954" s="9" customFormat="1" ht="21.95" customHeight="1" x14ac:dyDescent="0.15"/>
    <row r="49955" s="9" customFormat="1" ht="21.95" customHeight="1" x14ac:dyDescent="0.15"/>
    <row r="49956" s="9" customFormat="1" ht="21.95" customHeight="1" x14ac:dyDescent="0.15"/>
    <row r="49957" s="9" customFormat="1" ht="21.95" customHeight="1" x14ac:dyDescent="0.15"/>
    <row r="49958" s="9" customFormat="1" ht="21.95" customHeight="1" x14ac:dyDescent="0.15"/>
    <row r="49959" s="9" customFormat="1" ht="21.95" customHeight="1" x14ac:dyDescent="0.15"/>
    <row r="49960" s="9" customFormat="1" ht="21.95" customHeight="1" x14ac:dyDescent="0.15"/>
    <row r="49961" s="9" customFormat="1" ht="21.95" customHeight="1" x14ac:dyDescent="0.15"/>
    <row r="49962" s="9" customFormat="1" ht="21.95" customHeight="1" x14ac:dyDescent="0.15"/>
    <row r="49963" s="9" customFormat="1" ht="21.95" customHeight="1" x14ac:dyDescent="0.15"/>
    <row r="49964" s="9" customFormat="1" ht="21.95" customHeight="1" x14ac:dyDescent="0.15"/>
    <row r="49965" s="9" customFormat="1" ht="21.95" customHeight="1" x14ac:dyDescent="0.15"/>
    <row r="49966" s="9" customFormat="1" ht="21.95" customHeight="1" x14ac:dyDescent="0.15"/>
    <row r="49967" s="9" customFormat="1" ht="21.95" customHeight="1" x14ac:dyDescent="0.15"/>
    <row r="49968" s="9" customFormat="1" ht="21.95" customHeight="1" x14ac:dyDescent="0.15"/>
    <row r="49969" s="9" customFormat="1" ht="21.95" customHeight="1" x14ac:dyDescent="0.15"/>
    <row r="49970" s="9" customFormat="1" ht="21.95" customHeight="1" x14ac:dyDescent="0.15"/>
    <row r="49971" s="9" customFormat="1" ht="21.95" customHeight="1" x14ac:dyDescent="0.15"/>
    <row r="49972" s="9" customFormat="1" ht="21.95" customHeight="1" x14ac:dyDescent="0.15"/>
    <row r="49973" s="9" customFormat="1" ht="21.95" customHeight="1" x14ac:dyDescent="0.15"/>
    <row r="49974" s="9" customFormat="1" ht="35.1" customHeight="1" x14ac:dyDescent="0.15"/>
    <row r="49975" s="9" customFormat="1" ht="21.95" customHeight="1" x14ac:dyDescent="0.15"/>
    <row r="49976" s="9" customFormat="1" ht="21.95" customHeight="1" x14ac:dyDescent="0.15"/>
    <row r="49977" s="9" customFormat="1" ht="21.95" customHeight="1" x14ac:dyDescent="0.15"/>
    <row r="49978" s="9" customFormat="1" ht="21.95" customHeight="1" x14ac:dyDescent="0.15"/>
    <row r="49979" s="9" customFormat="1" ht="21.95" customHeight="1" x14ac:dyDescent="0.15"/>
    <row r="49980" s="9" customFormat="1" ht="21.95" customHeight="1" x14ac:dyDescent="0.15"/>
    <row r="49981" s="9" customFormat="1" ht="21.95" customHeight="1" x14ac:dyDescent="0.15"/>
    <row r="49982" s="9" customFormat="1" ht="21.95" customHeight="1" x14ac:dyDescent="0.15"/>
    <row r="49983" s="9" customFormat="1" ht="21.95" customHeight="1" x14ac:dyDescent="0.15"/>
    <row r="49984" s="9" customFormat="1" ht="21.95" customHeight="1" x14ac:dyDescent="0.15"/>
    <row r="49985" spans="3:3" s="9" customFormat="1" ht="21.95" customHeight="1" x14ac:dyDescent="0.15"/>
    <row r="49986" spans="3:3" s="9" customFormat="1" ht="21.95" customHeight="1" x14ac:dyDescent="0.15"/>
    <row r="49987" spans="3:3" s="9" customFormat="1" ht="21.95" customHeight="1" x14ac:dyDescent="0.15"/>
    <row r="49988" spans="3:3" s="9" customFormat="1" ht="21.95" customHeight="1" x14ac:dyDescent="0.15"/>
    <row r="49989" spans="3:3" s="9" customFormat="1" ht="21.95" customHeight="1" x14ac:dyDescent="0.15"/>
    <row r="49990" spans="3:3" s="9" customFormat="1" ht="21.95" customHeight="1" x14ac:dyDescent="0.15"/>
    <row r="49991" spans="3:3" s="9" customFormat="1" ht="21.95" customHeight="1" x14ac:dyDescent="0.15"/>
    <row r="49992" spans="3:3" s="9" customFormat="1" ht="21.95" customHeight="1" x14ac:dyDescent="0.15"/>
    <row r="49993" spans="3:3" s="9" customFormat="1" ht="21.95" customHeight="1" x14ac:dyDescent="0.15"/>
    <row r="49994" spans="3:3" s="9" customFormat="1" ht="21.95" customHeight="1" x14ac:dyDescent="0.15"/>
    <row r="49995" spans="3:3" s="9" customFormat="1" ht="21.95" customHeight="1" x14ac:dyDescent="0.15"/>
    <row r="49996" spans="3:3" s="9" customFormat="1" ht="21.95" customHeight="1" x14ac:dyDescent="0.15"/>
    <row r="49997" spans="3:3" s="9" customFormat="1" ht="21.95" customHeight="1" x14ac:dyDescent="0.15"/>
    <row r="49998" spans="3:3" s="8" customFormat="1" ht="21.95" customHeight="1" x14ac:dyDescent="0.15"/>
    <row r="49999" spans="3:3" s="8" customFormat="1" ht="21.95" customHeight="1" x14ac:dyDescent="0.15"/>
    <row r="50000" spans="3:3" s="8" customFormat="1" ht="21.95" customHeight="1" x14ac:dyDescent="0.15">
      <c r="C50000" s="101"/>
    </row>
    <row r="50001" spans="3:3" s="8" customFormat="1" ht="21.95" customHeight="1" x14ac:dyDescent="0.15">
      <c r="C50001" s="101"/>
    </row>
    <row r="50002" spans="3:3" s="8" customFormat="1" ht="21.95" customHeight="1" x14ac:dyDescent="0.15"/>
    <row r="50003" spans="3:3" s="8" customFormat="1" ht="21.95" customHeight="1" x14ac:dyDescent="0.15"/>
    <row r="50004" spans="3:3" s="8" customFormat="1" ht="21.95" customHeight="1" x14ac:dyDescent="0.15"/>
    <row r="50005" spans="3:3" s="8" customFormat="1" ht="21.95" customHeight="1" x14ac:dyDescent="0.15"/>
    <row r="50006" spans="3:3" s="8" customFormat="1" ht="21.95" customHeight="1" x14ac:dyDescent="0.15"/>
    <row r="50007" spans="3:3" s="8" customFormat="1" ht="21.95" customHeight="1" x14ac:dyDescent="0.15"/>
    <row r="50008" spans="3:3" s="8" customFormat="1" ht="21.95" customHeight="1" x14ac:dyDescent="0.15"/>
    <row r="50009" spans="3:3" s="9" customFormat="1" ht="21.95" customHeight="1" x14ac:dyDescent="0.15"/>
    <row r="50010" spans="3:3" s="9" customFormat="1" ht="21.95" customHeight="1" x14ac:dyDescent="0.15"/>
    <row r="50011" spans="3:3" s="9" customFormat="1" ht="21.95" customHeight="1" x14ac:dyDescent="0.15"/>
    <row r="50012" spans="3:3" s="9" customFormat="1" ht="21.95" customHeight="1" x14ac:dyDescent="0.15"/>
    <row r="50013" spans="3:3" s="8" customFormat="1" ht="21.95" customHeight="1" x14ac:dyDescent="0.15"/>
    <row r="50014" spans="3:3" s="8" customFormat="1" ht="21.95" customHeight="1" x14ac:dyDescent="0.15"/>
    <row r="50015" spans="3:3" s="8" customFormat="1" ht="21.95" customHeight="1" x14ac:dyDescent="0.15"/>
    <row r="50016" spans="3:3" s="8" customFormat="1" ht="21.95" customHeight="1" x14ac:dyDescent="0.15"/>
    <row r="50017" s="8" customFormat="1" ht="21.95" customHeight="1" x14ac:dyDescent="0.15"/>
    <row r="50018" s="8" customFormat="1" ht="21.95" customHeight="1" x14ac:dyDescent="0.15"/>
    <row r="50019" s="8" customFormat="1" ht="21.95" customHeight="1" x14ac:dyDescent="0.15"/>
    <row r="50020" s="8" customFormat="1" ht="21.95" customHeight="1" x14ac:dyDescent="0.15"/>
    <row r="50021" s="8" customFormat="1" ht="21.95" customHeight="1" x14ac:dyDescent="0.15"/>
    <row r="50022" s="8" customFormat="1" ht="21.95" customHeight="1" x14ac:dyDescent="0.15"/>
    <row r="50023" s="8" customFormat="1" ht="21.95" customHeight="1" x14ac:dyDescent="0.15"/>
    <row r="50024" s="8" customFormat="1" ht="32.1" customHeight="1" x14ac:dyDescent="0.15"/>
    <row r="50025" s="8" customFormat="1" ht="32.1" customHeight="1" x14ac:dyDescent="0.15"/>
    <row r="50026" s="8" customFormat="1" ht="32.1" customHeight="1" x14ac:dyDescent="0.15"/>
    <row r="50027" s="8" customFormat="1" ht="32.1" customHeight="1" x14ac:dyDescent="0.15"/>
    <row r="50028" s="8" customFormat="1" ht="32.1" customHeight="1" x14ac:dyDescent="0.15"/>
    <row r="50029" s="8" customFormat="1" ht="32.1" customHeight="1" x14ac:dyDescent="0.15"/>
    <row r="50030" s="9" customFormat="1" ht="32.1" customHeight="1" x14ac:dyDescent="0.15"/>
    <row r="50031" s="9" customFormat="1" ht="32.1" customHeight="1" x14ac:dyDescent="0.15"/>
    <row r="50032" s="9" customFormat="1" ht="32.1" customHeight="1" x14ac:dyDescent="0.15"/>
    <row r="50033" s="9" customFormat="1" ht="32.1" customHeight="1" x14ac:dyDescent="0.15"/>
    <row r="50034" s="9" customFormat="1" ht="21.95" customHeight="1" x14ac:dyDescent="0.15"/>
    <row r="50035" s="9" customFormat="1" ht="54" customHeight="1" x14ac:dyDescent="0.15"/>
    <row r="50036" s="9" customFormat="1" ht="21.95" customHeight="1" x14ac:dyDescent="0.15"/>
    <row r="50037" s="9" customFormat="1" ht="21.95" customHeight="1" x14ac:dyDescent="0.15"/>
    <row r="50038" s="9" customFormat="1" ht="21.95" customHeight="1" x14ac:dyDescent="0.15"/>
    <row r="50039" s="9" customFormat="1" ht="21.95" customHeight="1" x14ac:dyDescent="0.15"/>
    <row r="50040" s="9" customFormat="1" ht="21.95" customHeight="1" x14ac:dyDescent="0.15"/>
    <row r="50041" s="9" customFormat="1" ht="21.95" customHeight="1" x14ac:dyDescent="0.15"/>
    <row r="50042" s="9" customFormat="1" ht="21.95" customHeight="1" x14ac:dyDescent="0.15"/>
    <row r="50043" s="9" customFormat="1" ht="21.95" customHeight="1" x14ac:dyDescent="0.15"/>
    <row r="50044" s="9" customFormat="1" ht="21.95" customHeight="1" x14ac:dyDescent="0.15"/>
    <row r="50045" s="9" customFormat="1" ht="21.95" customHeight="1" x14ac:dyDescent="0.15"/>
    <row r="50046" s="9" customFormat="1" ht="21.95" customHeight="1" x14ac:dyDescent="0.15"/>
    <row r="50047" s="9" customFormat="1" ht="21.95" customHeight="1" x14ac:dyDescent="0.15"/>
    <row r="50048" s="9" customFormat="1" ht="21.95" customHeight="1" x14ac:dyDescent="0.15"/>
    <row r="50049" s="9" customFormat="1" ht="21.95" customHeight="1" x14ac:dyDescent="0.15"/>
    <row r="50050" s="9" customFormat="1" ht="21.95" customHeight="1" x14ac:dyDescent="0.15"/>
    <row r="50051" s="9" customFormat="1" ht="21.95" customHeight="1" x14ac:dyDescent="0.15"/>
    <row r="50052" s="9" customFormat="1" ht="21.95" customHeight="1" x14ac:dyDescent="0.15"/>
    <row r="50053" s="9" customFormat="1" ht="21.95" customHeight="1" x14ac:dyDescent="0.15"/>
    <row r="50054" s="9" customFormat="1" ht="21.95" customHeight="1" x14ac:dyDescent="0.15"/>
    <row r="50055" s="9" customFormat="1" ht="21.95" customHeight="1" x14ac:dyDescent="0.15"/>
    <row r="50056" s="9" customFormat="1" ht="21.95" customHeight="1" x14ac:dyDescent="0.15"/>
    <row r="50057" s="9" customFormat="1" ht="21.95" customHeight="1" x14ac:dyDescent="0.15"/>
    <row r="50058" s="9" customFormat="1" ht="21.95" customHeight="1" x14ac:dyDescent="0.15"/>
    <row r="50059" s="9" customFormat="1" ht="21.95" customHeight="1" x14ac:dyDescent="0.15"/>
    <row r="50060" s="9" customFormat="1" ht="21.95" customHeight="1" x14ac:dyDescent="0.15"/>
    <row r="50061" s="9" customFormat="1" ht="21.95" customHeight="1" x14ac:dyDescent="0.15"/>
    <row r="50062" s="9" customFormat="1" ht="21.95" customHeight="1" x14ac:dyDescent="0.15"/>
    <row r="50063" s="9" customFormat="1" ht="21.95" customHeight="1" x14ac:dyDescent="0.15"/>
    <row r="50064" s="9" customFormat="1" ht="21.95" customHeight="1" x14ac:dyDescent="0.15"/>
    <row r="50065" s="9" customFormat="1" ht="21.95" customHeight="1" x14ac:dyDescent="0.15"/>
    <row r="50066" s="9" customFormat="1" ht="21.95" customHeight="1" x14ac:dyDescent="0.15"/>
    <row r="50067" s="9" customFormat="1" ht="21.95" customHeight="1" x14ac:dyDescent="0.15"/>
    <row r="50068" s="9" customFormat="1" ht="21.95" customHeight="1" x14ac:dyDescent="0.15"/>
    <row r="50069" s="9" customFormat="1" ht="21.95" customHeight="1" x14ac:dyDescent="0.15"/>
    <row r="50070" s="9" customFormat="1" ht="21.95" customHeight="1" x14ac:dyDescent="0.15"/>
    <row r="50071" s="9" customFormat="1" ht="21.95" customHeight="1" x14ac:dyDescent="0.15"/>
    <row r="50072" s="9" customFormat="1" ht="21.95" customHeight="1" x14ac:dyDescent="0.15"/>
    <row r="50073" s="9" customFormat="1" ht="21.95" customHeight="1" x14ac:dyDescent="0.15"/>
    <row r="50074" s="9" customFormat="1" ht="21.95" customHeight="1" x14ac:dyDescent="0.15"/>
    <row r="50075" s="9" customFormat="1" ht="21.95" customHeight="1" x14ac:dyDescent="0.15"/>
    <row r="50076" s="9" customFormat="1" ht="21.95" customHeight="1" x14ac:dyDescent="0.15"/>
    <row r="50077" s="9" customFormat="1" ht="21.95" customHeight="1" x14ac:dyDescent="0.15"/>
    <row r="50078" s="9" customFormat="1" ht="21.95" customHeight="1" x14ac:dyDescent="0.15"/>
    <row r="50079" s="9" customFormat="1" ht="21.95" customHeight="1" x14ac:dyDescent="0.15"/>
    <row r="50080" s="9" customFormat="1" ht="21.95" customHeight="1" x14ac:dyDescent="0.15"/>
    <row r="50081" s="9" customFormat="1" ht="21.95" customHeight="1" x14ac:dyDescent="0.15"/>
    <row r="50082" s="9" customFormat="1" ht="21.95" customHeight="1" x14ac:dyDescent="0.15"/>
    <row r="50083" s="9" customFormat="1" ht="21.95" customHeight="1" x14ac:dyDescent="0.15"/>
    <row r="50084" s="9" customFormat="1" ht="21.95" customHeight="1" x14ac:dyDescent="0.15"/>
    <row r="50085" s="9" customFormat="1" ht="21.95" customHeight="1" x14ac:dyDescent="0.15"/>
    <row r="50086" s="9" customFormat="1" ht="35.1" customHeight="1" x14ac:dyDescent="0.15"/>
    <row r="50087" s="9" customFormat="1" ht="21.95" customHeight="1" x14ac:dyDescent="0.15"/>
    <row r="50088" s="9" customFormat="1" ht="21.95" customHeight="1" x14ac:dyDescent="0.15"/>
    <row r="50089" s="9" customFormat="1" ht="21.95" customHeight="1" x14ac:dyDescent="0.15"/>
    <row r="50090" s="9" customFormat="1" ht="21.95" customHeight="1" x14ac:dyDescent="0.15"/>
    <row r="50091" s="9" customFormat="1" ht="21.95" customHeight="1" x14ac:dyDescent="0.15"/>
    <row r="50092" s="9" customFormat="1" ht="21.95" customHeight="1" x14ac:dyDescent="0.15"/>
    <row r="50093" s="9" customFormat="1" ht="21.95" customHeight="1" x14ac:dyDescent="0.15"/>
    <row r="50094" s="9" customFormat="1" ht="21.95" customHeight="1" x14ac:dyDescent="0.15"/>
    <row r="50095" s="9" customFormat="1" ht="21.95" customHeight="1" x14ac:dyDescent="0.15"/>
    <row r="50096" s="9" customFormat="1" ht="21.95" customHeight="1" x14ac:dyDescent="0.15"/>
    <row r="50097" spans="3:3" s="9" customFormat="1" ht="21.95" customHeight="1" x14ac:dyDescent="0.15"/>
    <row r="50098" spans="3:3" s="9" customFormat="1" ht="21.95" customHeight="1" x14ac:dyDescent="0.15"/>
    <row r="50099" spans="3:3" s="9" customFormat="1" ht="21.95" customHeight="1" x14ac:dyDescent="0.15"/>
    <row r="50100" spans="3:3" s="9" customFormat="1" ht="21.95" customHeight="1" x14ac:dyDescent="0.15"/>
    <row r="50101" spans="3:3" s="9" customFormat="1" ht="21.95" customHeight="1" x14ac:dyDescent="0.15"/>
    <row r="50102" spans="3:3" s="9" customFormat="1" ht="21.95" customHeight="1" x14ac:dyDescent="0.15"/>
    <row r="50103" spans="3:3" s="9" customFormat="1" ht="21.95" customHeight="1" x14ac:dyDescent="0.15"/>
    <row r="50104" spans="3:3" s="9" customFormat="1" ht="21.95" customHeight="1" x14ac:dyDescent="0.15"/>
    <row r="50105" spans="3:3" s="9" customFormat="1" ht="21.95" customHeight="1" x14ac:dyDescent="0.15"/>
    <row r="50106" spans="3:3" s="9" customFormat="1" ht="21.95" customHeight="1" x14ac:dyDescent="0.15"/>
    <row r="50107" spans="3:3" s="9" customFormat="1" ht="21.95" customHeight="1" x14ac:dyDescent="0.15"/>
    <row r="50108" spans="3:3" s="9" customFormat="1" ht="21.95" customHeight="1" x14ac:dyDescent="0.15"/>
    <row r="50109" spans="3:3" s="9" customFormat="1" ht="21.95" customHeight="1" x14ac:dyDescent="0.15"/>
    <row r="50110" spans="3:3" s="8" customFormat="1" ht="21.95" customHeight="1" x14ac:dyDescent="0.15"/>
    <row r="50111" spans="3:3" s="8" customFormat="1" ht="21.95" customHeight="1" x14ac:dyDescent="0.15"/>
    <row r="50112" spans="3:3" s="8" customFormat="1" ht="21.95" customHeight="1" x14ac:dyDescent="0.15">
      <c r="C50112" s="101"/>
    </row>
    <row r="50113" spans="3:3" s="8" customFormat="1" ht="21.95" customHeight="1" x14ac:dyDescent="0.15">
      <c r="C50113" s="101"/>
    </row>
    <row r="50114" spans="3:3" s="8" customFormat="1" ht="21.95" customHeight="1" x14ac:dyDescent="0.15"/>
    <row r="50115" spans="3:3" s="8" customFormat="1" ht="21.95" customHeight="1" x14ac:dyDescent="0.15"/>
    <row r="50116" spans="3:3" s="8" customFormat="1" ht="21.95" customHeight="1" x14ac:dyDescent="0.15"/>
    <row r="50117" spans="3:3" s="8" customFormat="1" ht="21.95" customHeight="1" x14ac:dyDescent="0.15"/>
    <row r="50118" spans="3:3" s="8" customFormat="1" ht="21.95" customHeight="1" x14ac:dyDescent="0.15"/>
    <row r="50119" spans="3:3" s="8" customFormat="1" ht="21.95" customHeight="1" x14ac:dyDescent="0.15"/>
    <row r="50120" spans="3:3" s="8" customFormat="1" ht="21.95" customHeight="1" x14ac:dyDescent="0.15"/>
    <row r="50121" spans="3:3" s="9" customFormat="1" ht="21.95" customHeight="1" x14ac:dyDescent="0.15"/>
    <row r="50122" spans="3:3" s="9" customFormat="1" ht="21.95" customHeight="1" x14ac:dyDescent="0.15"/>
    <row r="50123" spans="3:3" s="9" customFormat="1" ht="21.95" customHeight="1" x14ac:dyDescent="0.15"/>
    <row r="50124" spans="3:3" s="9" customFormat="1" ht="21.95" customHeight="1" x14ac:dyDescent="0.15"/>
    <row r="50125" spans="3:3" s="8" customFormat="1" ht="21.95" customHeight="1" x14ac:dyDescent="0.15"/>
    <row r="50126" spans="3:3" s="8" customFormat="1" ht="21.95" customHeight="1" x14ac:dyDescent="0.15"/>
    <row r="50127" spans="3:3" s="8" customFormat="1" ht="21.95" customHeight="1" x14ac:dyDescent="0.15"/>
    <row r="50128" spans="3:3" s="8" customFormat="1" ht="21.95" customHeight="1" x14ac:dyDescent="0.15"/>
    <row r="50129" s="8" customFormat="1" ht="21.95" customHeight="1" x14ac:dyDescent="0.15"/>
    <row r="50130" s="8" customFormat="1" ht="21.95" customHeight="1" x14ac:dyDescent="0.15"/>
    <row r="50131" s="8" customFormat="1" ht="21.95" customHeight="1" x14ac:dyDescent="0.15"/>
    <row r="50132" s="8" customFormat="1" ht="21.95" customHeight="1" x14ac:dyDescent="0.15"/>
    <row r="50133" s="8" customFormat="1" ht="21.95" customHeight="1" x14ac:dyDescent="0.15"/>
    <row r="50134" s="8" customFormat="1" ht="21.95" customHeight="1" x14ac:dyDescent="0.15"/>
    <row r="50135" s="8" customFormat="1" ht="21.95" customHeight="1" x14ac:dyDescent="0.15"/>
    <row r="50136" s="8" customFormat="1" ht="32.1" customHeight="1" x14ac:dyDescent="0.15"/>
    <row r="50137" s="8" customFormat="1" ht="32.1" customHeight="1" x14ac:dyDescent="0.15"/>
    <row r="50138" s="8" customFormat="1" ht="32.1" customHeight="1" x14ac:dyDescent="0.15"/>
    <row r="50139" s="8" customFormat="1" ht="32.1" customHeight="1" x14ac:dyDescent="0.15"/>
    <row r="50140" s="8" customFormat="1" ht="32.1" customHeight="1" x14ac:dyDescent="0.15"/>
    <row r="50141" s="8" customFormat="1" ht="32.1" customHeight="1" x14ac:dyDescent="0.15"/>
    <row r="50142" s="9" customFormat="1" ht="32.1" customHeight="1" x14ac:dyDescent="0.15"/>
    <row r="50143" s="9" customFormat="1" ht="32.1" customHeight="1" x14ac:dyDescent="0.15"/>
    <row r="50144" s="9" customFormat="1" ht="32.1" customHeight="1" x14ac:dyDescent="0.15"/>
    <row r="50145" s="9" customFormat="1" ht="32.1" customHeight="1" x14ac:dyDescent="0.15"/>
    <row r="50146" s="9" customFormat="1" ht="21.95" customHeight="1" x14ac:dyDescent="0.15"/>
    <row r="50147" s="9" customFormat="1" ht="54" customHeight="1" x14ac:dyDescent="0.15"/>
    <row r="50148" s="9" customFormat="1" ht="21.95" customHeight="1" x14ac:dyDescent="0.15"/>
    <row r="50149" s="9" customFormat="1" ht="21.95" customHeight="1" x14ac:dyDescent="0.15"/>
    <row r="50150" s="9" customFormat="1" ht="21.95" customHeight="1" x14ac:dyDescent="0.15"/>
    <row r="50151" s="9" customFormat="1" ht="21.95" customHeight="1" x14ac:dyDescent="0.15"/>
    <row r="50152" s="9" customFormat="1" ht="21.95" customHeight="1" x14ac:dyDescent="0.15"/>
    <row r="50153" s="9" customFormat="1" ht="21.95" customHeight="1" x14ac:dyDescent="0.15"/>
    <row r="50154" s="9" customFormat="1" ht="21.95" customHeight="1" x14ac:dyDescent="0.15"/>
    <row r="50155" s="9" customFormat="1" ht="21.95" customHeight="1" x14ac:dyDescent="0.15"/>
    <row r="50156" s="9" customFormat="1" ht="21.95" customHeight="1" x14ac:dyDescent="0.15"/>
    <row r="50157" s="9" customFormat="1" ht="21.95" customHeight="1" x14ac:dyDescent="0.15"/>
    <row r="50158" s="9" customFormat="1" ht="21.95" customHeight="1" x14ac:dyDescent="0.15"/>
    <row r="50159" s="9" customFormat="1" ht="21.95" customHeight="1" x14ac:dyDescent="0.15"/>
    <row r="50160" s="9" customFormat="1" ht="21.95" customHeight="1" x14ac:dyDescent="0.15"/>
    <row r="50161" s="9" customFormat="1" ht="21.95" customHeight="1" x14ac:dyDescent="0.15"/>
    <row r="50162" s="9" customFormat="1" ht="21.95" customHeight="1" x14ac:dyDescent="0.15"/>
    <row r="50163" s="9" customFormat="1" ht="21.95" customHeight="1" x14ac:dyDescent="0.15"/>
    <row r="50164" s="9" customFormat="1" ht="21.95" customHeight="1" x14ac:dyDescent="0.15"/>
    <row r="50165" s="9" customFormat="1" ht="21.95" customHeight="1" x14ac:dyDescent="0.15"/>
    <row r="50166" s="9" customFormat="1" ht="21.95" customHeight="1" x14ac:dyDescent="0.15"/>
    <row r="50167" s="9" customFormat="1" ht="21.95" customHeight="1" x14ac:dyDescent="0.15"/>
    <row r="50168" s="9" customFormat="1" ht="21.95" customHeight="1" x14ac:dyDescent="0.15"/>
    <row r="50169" s="9" customFormat="1" ht="21.95" customHeight="1" x14ac:dyDescent="0.15"/>
    <row r="50170" s="9" customFormat="1" ht="21.95" customHeight="1" x14ac:dyDescent="0.15"/>
    <row r="50171" s="9" customFormat="1" ht="21.95" customHeight="1" x14ac:dyDescent="0.15"/>
    <row r="50172" s="9" customFormat="1" ht="21.95" customHeight="1" x14ac:dyDescent="0.15"/>
    <row r="50173" s="9" customFormat="1" ht="21.95" customHeight="1" x14ac:dyDescent="0.15"/>
    <row r="50174" s="9" customFormat="1" ht="21.95" customHeight="1" x14ac:dyDescent="0.15"/>
    <row r="50175" s="9" customFormat="1" ht="21.95" customHeight="1" x14ac:dyDescent="0.15"/>
    <row r="50176" s="9" customFormat="1" ht="21.95" customHeight="1" x14ac:dyDescent="0.15"/>
    <row r="50177" s="9" customFormat="1" ht="21.95" customHeight="1" x14ac:dyDescent="0.15"/>
    <row r="50178" s="9" customFormat="1" ht="21.95" customHeight="1" x14ac:dyDescent="0.15"/>
    <row r="50179" s="9" customFormat="1" ht="21.95" customHeight="1" x14ac:dyDescent="0.15"/>
    <row r="50180" s="9" customFormat="1" ht="21.95" customHeight="1" x14ac:dyDescent="0.15"/>
    <row r="50181" s="9" customFormat="1" ht="21.95" customHeight="1" x14ac:dyDescent="0.15"/>
    <row r="50182" s="9" customFormat="1" ht="21.95" customHeight="1" x14ac:dyDescent="0.15"/>
    <row r="50183" s="9" customFormat="1" ht="21.95" customHeight="1" x14ac:dyDescent="0.15"/>
    <row r="50184" s="9" customFormat="1" ht="21.95" customHeight="1" x14ac:dyDescent="0.15"/>
    <row r="50185" s="9" customFormat="1" ht="21.95" customHeight="1" x14ac:dyDescent="0.15"/>
    <row r="50186" s="9" customFormat="1" ht="21.95" customHeight="1" x14ac:dyDescent="0.15"/>
    <row r="50187" s="9" customFormat="1" ht="21.95" customHeight="1" x14ac:dyDescent="0.15"/>
    <row r="50188" s="9" customFormat="1" ht="21.95" customHeight="1" x14ac:dyDescent="0.15"/>
    <row r="50189" s="9" customFormat="1" ht="21.95" customHeight="1" x14ac:dyDescent="0.15"/>
    <row r="50190" s="9" customFormat="1" ht="21.95" customHeight="1" x14ac:dyDescent="0.15"/>
    <row r="50191" s="9" customFormat="1" ht="21.95" customHeight="1" x14ac:dyDescent="0.15"/>
    <row r="50192" s="9" customFormat="1" ht="21.95" customHeight="1" x14ac:dyDescent="0.15"/>
    <row r="50193" s="9" customFormat="1" ht="21.95" customHeight="1" x14ac:dyDescent="0.15"/>
    <row r="50194" s="9" customFormat="1" ht="21.95" customHeight="1" x14ac:dyDescent="0.15"/>
    <row r="50195" s="9" customFormat="1" ht="21.95" customHeight="1" x14ac:dyDescent="0.15"/>
    <row r="50196" s="9" customFormat="1" ht="21.95" customHeight="1" x14ac:dyDescent="0.15"/>
    <row r="50197" s="9" customFormat="1" ht="21.95" customHeight="1" x14ac:dyDescent="0.15"/>
    <row r="50198" s="9" customFormat="1" ht="35.1" customHeight="1" x14ac:dyDescent="0.15"/>
    <row r="50199" s="9" customFormat="1" ht="21.95" customHeight="1" x14ac:dyDescent="0.15"/>
    <row r="50200" s="9" customFormat="1" ht="21.95" customHeight="1" x14ac:dyDescent="0.15"/>
    <row r="50201" s="9" customFormat="1" ht="21.95" customHeight="1" x14ac:dyDescent="0.15"/>
    <row r="50202" s="9" customFormat="1" ht="21.95" customHeight="1" x14ac:dyDescent="0.15"/>
    <row r="50203" s="9" customFormat="1" ht="21.95" customHeight="1" x14ac:dyDescent="0.15"/>
    <row r="50204" s="9" customFormat="1" ht="21.95" customHeight="1" x14ac:dyDescent="0.15"/>
    <row r="50205" s="9" customFormat="1" ht="21.95" customHeight="1" x14ac:dyDescent="0.15"/>
    <row r="50206" s="9" customFormat="1" ht="21.95" customHeight="1" x14ac:dyDescent="0.15"/>
    <row r="50207" s="9" customFormat="1" ht="21.95" customHeight="1" x14ac:dyDescent="0.15"/>
    <row r="50208" s="9" customFormat="1" ht="21.95" customHeight="1" x14ac:dyDescent="0.15"/>
    <row r="50209" spans="3:3" s="9" customFormat="1" ht="21.95" customHeight="1" x14ac:dyDescent="0.15"/>
    <row r="50210" spans="3:3" s="9" customFormat="1" ht="21.95" customHeight="1" x14ac:dyDescent="0.15"/>
    <row r="50211" spans="3:3" s="9" customFormat="1" ht="21.95" customHeight="1" x14ac:dyDescent="0.15"/>
    <row r="50212" spans="3:3" s="9" customFormat="1" ht="21.95" customHeight="1" x14ac:dyDescent="0.15"/>
    <row r="50213" spans="3:3" s="9" customFormat="1" ht="21.95" customHeight="1" x14ac:dyDescent="0.15"/>
    <row r="50214" spans="3:3" s="9" customFormat="1" ht="21.95" customHeight="1" x14ac:dyDescent="0.15"/>
    <row r="50215" spans="3:3" s="9" customFormat="1" ht="21.95" customHeight="1" x14ac:dyDescent="0.15"/>
    <row r="50216" spans="3:3" s="9" customFormat="1" ht="21.95" customHeight="1" x14ac:dyDescent="0.15"/>
    <row r="50217" spans="3:3" s="9" customFormat="1" ht="21.95" customHeight="1" x14ac:dyDescent="0.15"/>
    <row r="50218" spans="3:3" s="9" customFormat="1" ht="21.95" customHeight="1" x14ac:dyDescent="0.15"/>
    <row r="50219" spans="3:3" s="9" customFormat="1" ht="21.95" customHeight="1" x14ac:dyDescent="0.15"/>
    <row r="50220" spans="3:3" s="9" customFormat="1" ht="21.95" customHeight="1" x14ac:dyDescent="0.15"/>
    <row r="50221" spans="3:3" s="9" customFormat="1" ht="21.95" customHeight="1" x14ac:dyDescent="0.15"/>
    <row r="50222" spans="3:3" s="8" customFormat="1" ht="21.95" customHeight="1" x14ac:dyDescent="0.15"/>
    <row r="50223" spans="3:3" s="8" customFormat="1" ht="21.95" customHeight="1" x14ac:dyDescent="0.15"/>
    <row r="50224" spans="3:3" s="8" customFormat="1" ht="21.95" customHeight="1" x14ac:dyDescent="0.15">
      <c r="C50224" s="101"/>
    </row>
    <row r="50225" spans="3:3" s="8" customFormat="1" ht="21.95" customHeight="1" x14ac:dyDescent="0.15">
      <c r="C50225" s="101"/>
    </row>
    <row r="50226" spans="3:3" s="8" customFormat="1" ht="21.95" customHeight="1" x14ac:dyDescent="0.15"/>
    <row r="50227" spans="3:3" s="8" customFormat="1" ht="21.95" customHeight="1" x14ac:dyDescent="0.15"/>
    <row r="50228" spans="3:3" s="8" customFormat="1" ht="21.95" customHeight="1" x14ac:dyDescent="0.15"/>
    <row r="50229" spans="3:3" s="8" customFormat="1" ht="21.95" customHeight="1" x14ac:dyDescent="0.15"/>
    <row r="50230" spans="3:3" s="8" customFormat="1" ht="21.95" customHeight="1" x14ac:dyDescent="0.15"/>
    <row r="50231" spans="3:3" s="8" customFormat="1" ht="21.95" customHeight="1" x14ac:dyDescent="0.15"/>
    <row r="50232" spans="3:3" s="8" customFormat="1" ht="21.95" customHeight="1" x14ac:dyDescent="0.15"/>
    <row r="50233" spans="3:3" s="9" customFormat="1" ht="21.95" customHeight="1" x14ac:dyDescent="0.15"/>
    <row r="50234" spans="3:3" s="9" customFormat="1" ht="21.95" customHeight="1" x14ac:dyDescent="0.15"/>
    <row r="50235" spans="3:3" s="9" customFormat="1" ht="21.95" customHeight="1" x14ac:dyDescent="0.15"/>
    <row r="50236" spans="3:3" s="9" customFormat="1" ht="21.95" customHeight="1" x14ac:dyDescent="0.15"/>
    <row r="50237" spans="3:3" s="8" customFormat="1" ht="21.95" customHeight="1" x14ac:dyDescent="0.15"/>
    <row r="50238" spans="3:3" s="8" customFormat="1" ht="21.95" customHeight="1" x14ac:dyDescent="0.15"/>
    <row r="50239" spans="3:3" s="8" customFormat="1" ht="21.95" customHeight="1" x14ac:dyDescent="0.15"/>
    <row r="50240" spans="3:3" s="8" customFormat="1" ht="21.95" customHeight="1" x14ac:dyDescent="0.15"/>
    <row r="50241" s="8" customFormat="1" ht="21.95" customHeight="1" x14ac:dyDescent="0.15"/>
    <row r="50242" s="8" customFormat="1" ht="21.95" customHeight="1" x14ac:dyDescent="0.15"/>
    <row r="50243" s="8" customFormat="1" ht="21.95" customHeight="1" x14ac:dyDescent="0.15"/>
    <row r="50244" s="8" customFormat="1" ht="21.95" customHeight="1" x14ac:dyDescent="0.15"/>
    <row r="50245" s="8" customFormat="1" ht="21.95" customHeight="1" x14ac:dyDescent="0.15"/>
    <row r="50246" s="8" customFormat="1" ht="21.95" customHeight="1" x14ac:dyDescent="0.15"/>
    <row r="50247" s="8" customFormat="1" ht="21.95" customHeight="1" x14ac:dyDescent="0.15"/>
    <row r="50248" s="8" customFormat="1" ht="32.1" customHeight="1" x14ac:dyDescent="0.15"/>
    <row r="50249" s="8" customFormat="1" ht="32.1" customHeight="1" x14ac:dyDescent="0.15"/>
    <row r="50250" s="8" customFormat="1" ht="32.1" customHeight="1" x14ac:dyDescent="0.15"/>
    <row r="50251" s="8" customFormat="1" ht="32.1" customHeight="1" x14ac:dyDescent="0.15"/>
    <row r="50252" s="8" customFormat="1" ht="32.1" customHeight="1" x14ac:dyDescent="0.15"/>
    <row r="50253" s="8" customFormat="1" ht="32.1" customHeight="1" x14ac:dyDescent="0.15"/>
    <row r="50254" s="9" customFormat="1" ht="32.1" customHeight="1" x14ac:dyDescent="0.15"/>
    <row r="50255" s="9" customFormat="1" ht="32.1" customHeight="1" x14ac:dyDescent="0.15"/>
    <row r="50256" s="9" customFormat="1" ht="32.1" customHeight="1" x14ac:dyDescent="0.15"/>
    <row r="50257" s="9" customFormat="1" ht="32.1" customHeight="1" x14ac:dyDescent="0.15"/>
    <row r="50258" s="9" customFormat="1" ht="21.95" customHeight="1" x14ac:dyDescent="0.15"/>
    <row r="50259" s="9" customFormat="1" ht="54" customHeight="1" x14ac:dyDescent="0.15"/>
    <row r="50260" s="9" customFormat="1" ht="21.95" customHeight="1" x14ac:dyDescent="0.15"/>
    <row r="50261" s="9" customFormat="1" ht="21.95" customHeight="1" x14ac:dyDescent="0.15"/>
    <row r="50262" s="9" customFormat="1" ht="21.95" customHeight="1" x14ac:dyDescent="0.15"/>
    <row r="50263" s="9" customFormat="1" ht="21.95" customHeight="1" x14ac:dyDescent="0.15"/>
    <row r="50264" s="9" customFormat="1" ht="21.95" customHeight="1" x14ac:dyDescent="0.15"/>
    <row r="50265" s="9" customFormat="1" ht="21.95" customHeight="1" x14ac:dyDescent="0.15"/>
    <row r="50266" s="9" customFormat="1" ht="21.95" customHeight="1" x14ac:dyDescent="0.15"/>
    <row r="50267" s="9" customFormat="1" ht="21.95" customHeight="1" x14ac:dyDescent="0.15"/>
    <row r="50268" s="9" customFormat="1" ht="21.95" customHeight="1" x14ac:dyDescent="0.15"/>
    <row r="50269" s="9" customFormat="1" ht="21.95" customHeight="1" x14ac:dyDescent="0.15"/>
    <row r="50270" s="9" customFormat="1" ht="21.95" customHeight="1" x14ac:dyDescent="0.15"/>
    <row r="50271" s="9" customFormat="1" ht="21.95" customHeight="1" x14ac:dyDescent="0.15"/>
    <row r="50272" s="9" customFormat="1" ht="21.95" customHeight="1" x14ac:dyDescent="0.15"/>
    <row r="50273" s="9" customFormat="1" ht="21.95" customHeight="1" x14ac:dyDescent="0.15"/>
    <row r="50274" s="9" customFormat="1" ht="21.95" customHeight="1" x14ac:dyDescent="0.15"/>
    <row r="50275" s="9" customFormat="1" ht="21.95" customHeight="1" x14ac:dyDescent="0.15"/>
    <row r="50276" s="9" customFormat="1" ht="21.95" customHeight="1" x14ac:dyDescent="0.15"/>
    <row r="50277" s="9" customFormat="1" ht="21.95" customHeight="1" x14ac:dyDescent="0.15"/>
    <row r="50278" s="9" customFormat="1" ht="21.95" customHeight="1" x14ac:dyDescent="0.15"/>
    <row r="50279" s="9" customFormat="1" ht="21.95" customHeight="1" x14ac:dyDescent="0.15"/>
    <row r="50280" s="9" customFormat="1" ht="21.95" customHeight="1" x14ac:dyDescent="0.15"/>
    <row r="50281" s="9" customFormat="1" ht="21.95" customHeight="1" x14ac:dyDescent="0.15"/>
    <row r="50282" s="9" customFormat="1" ht="21.95" customHeight="1" x14ac:dyDescent="0.15"/>
    <row r="50283" s="9" customFormat="1" ht="21.95" customHeight="1" x14ac:dyDescent="0.15"/>
    <row r="50284" s="9" customFormat="1" ht="21.95" customHeight="1" x14ac:dyDescent="0.15"/>
    <row r="50285" s="9" customFormat="1" ht="21.95" customHeight="1" x14ac:dyDescent="0.15"/>
    <row r="50286" s="9" customFormat="1" ht="21.95" customHeight="1" x14ac:dyDescent="0.15"/>
    <row r="50287" s="9" customFormat="1" ht="21.95" customHeight="1" x14ac:dyDescent="0.15"/>
    <row r="50288" s="9" customFormat="1" ht="21.95" customHeight="1" x14ac:dyDescent="0.15"/>
    <row r="50289" s="9" customFormat="1" ht="21.95" customHeight="1" x14ac:dyDescent="0.15"/>
    <row r="50290" s="9" customFormat="1" ht="21.95" customHeight="1" x14ac:dyDescent="0.15"/>
    <row r="50291" s="9" customFormat="1" ht="21.95" customHeight="1" x14ac:dyDescent="0.15"/>
    <row r="50292" s="9" customFormat="1" ht="21.95" customHeight="1" x14ac:dyDescent="0.15"/>
    <row r="50293" s="9" customFormat="1" ht="21.95" customHeight="1" x14ac:dyDescent="0.15"/>
    <row r="50294" s="9" customFormat="1" ht="21.95" customHeight="1" x14ac:dyDescent="0.15"/>
    <row r="50295" s="9" customFormat="1" ht="21.95" customHeight="1" x14ac:dyDescent="0.15"/>
    <row r="50296" s="9" customFormat="1" ht="21.95" customHeight="1" x14ac:dyDescent="0.15"/>
    <row r="50297" s="9" customFormat="1" ht="21.95" customHeight="1" x14ac:dyDescent="0.15"/>
    <row r="50298" s="9" customFormat="1" ht="21.95" customHeight="1" x14ac:dyDescent="0.15"/>
    <row r="50299" s="9" customFormat="1" ht="21.95" customHeight="1" x14ac:dyDescent="0.15"/>
    <row r="50300" s="9" customFormat="1" ht="21.95" customHeight="1" x14ac:dyDescent="0.15"/>
    <row r="50301" s="9" customFormat="1" ht="21.95" customHeight="1" x14ac:dyDescent="0.15"/>
    <row r="50302" s="9" customFormat="1" ht="21.95" customHeight="1" x14ac:dyDescent="0.15"/>
    <row r="50303" s="9" customFormat="1" ht="21.95" customHeight="1" x14ac:dyDescent="0.15"/>
    <row r="50304" s="9" customFormat="1" ht="21.95" customHeight="1" x14ac:dyDescent="0.15"/>
    <row r="50305" s="9" customFormat="1" ht="21.95" customHeight="1" x14ac:dyDescent="0.15"/>
    <row r="50306" s="9" customFormat="1" ht="21.95" customHeight="1" x14ac:dyDescent="0.15"/>
    <row r="50307" s="9" customFormat="1" ht="21.95" customHeight="1" x14ac:dyDescent="0.15"/>
    <row r="50308" s="9" customFormat="1" ht="21.95" customHeight="1" x14ac:dyDescent="0.15"/>
    <row r="50309" s="9" customFormat="1" ht="21.95" customHeight="1" x14ac:dyDescent="0.15"/>
    <row r="50310" s="9" customFormat="1" ht="35.1" customHeight="1" x14ac:dyDescent="0.15"/>
    <row r="50311" s="9" customFormat="1" ht="21.95" customHeight="1" x14ac:dyDescent="0.15"/>
    <row r="50312" s="9" customFormat="1" ht="21.95" customHeight="1" x14ac:dyDescent="0.15"/>
    <row r="50313" s="9" customFormat="1" ht="21.95" customHeight="1" x14ac:dyDescent="0.15"/>
    <row r="50314" s="9" customFormat="1" ht="21.95" customHeight="1" x14ac:dyDescent="0.15"/>
    <row r="50315" s="9" customFormat="1" ht="21.95" customHeight="1" x14ac:dyDescent="0.15"/>
    <row r="50316" s="9" customFormat="1" ht="21.95" customHeight="1" x14ac:dyDescent="0.15"/>
    <row r="50317" s="9" customFormat="1" ht="21.95" customHeight="1" x14ac:dyDescent="0.15"/>
    <row r="50318" s="9" customFormat="1" ht="21.95" customHeight="1" x14ac:dyDescent="0.15"/>
    <row r="50319" s="9" customFormat="1" ht="21.95" customHeight="1" x14ac:dyDescent="0.15"/>
    <row r="50320" s="9" customFormat="1" ht="21.95" customHeight="1" x14ac:dyDescent="0.15"/>
    <row r="50321" spans="3:3" s="9" customFormat="1" ht="21.95" customHeight="1" x14ac:dyDescent="0.15"/>
    <row r="50322" spans="3:3" s="9" customFormat="1" ht="21.95" customHeight="1" x14ac:dyDescent="0.15"/>
    <row r="50323" spans="3:3" s="9" customFormat="1" ht="21.95" customHeight="1" x14ac:dyDescent="0.15"/>
    <row r="50324" spans="3:3" s="9" customFormat="1" ht="21.95" customHeight="1" x14ac:dyDescent="0.15"/>
    <row r="50325" spans="3:3" s="9" customFormat="1" ht="21.95" customHeight="1" x14ac:dyDescent="0.15"/>
    <row r="50326" spans="3:3" s="9" customFormat="1" ht="21.95" customHeight="1" x14ac:dyDescent="0.15"/>
    <row r="50327" spans="3:3" s="9" customFormat="1" ht="21.95" customHeight="1" x14ac:dyDescent="0.15"/>
    <row r="50328" spans="3:3" s="9" customFormat="1" ht="21.95" customHeight="1" x14ac:dyDescent="0.15"/>
    <row r="50329" spans="3:3" s="9" customFormat="1" ht="21.95" customHeight="1" x14ac:dyDescent="0.15"/>
    <row r="50330" spans="3:3" s="9" customFormat="1" ht="21.95" customHeight="1" x14ac:dyDescent="0.15"/>
    <row r="50331" spans="3:3" s="9" customFormat="1" ht="21.95" customHeight="1" x14ac:dyDescent="0.15"/>
    <row r="50332" spans="3:3" s="9" customFormat="1" ht="21.95" customHeight="1" x14ac:dyDescent="0.15"/>
    <row r="50333" spans="3:3" s="9" customFormat="1" ht="21.95" customHeight="1" x14ac:dyDescent="0.15"/>
    <row r="50334" spans="3:3" s="8" customFormat="1" ht="21.95" customHeight="1" x14ac:dyDescent="0.15"/>
    <row r="50335" spans="3:3" s="8" customFormat="1" ht="21.95" customHeight="1" x14ac:dyDescent="0.15"/>
    <row r="50336" spans="3:3" s="8" customFormat="1" ht="21.95" customHeight="1" x14ac:dyDescent="0.15">
      <c r="C50336" s="101"/>
    </row>
    <row r="50337" spans="3:3" s="8" customFormat="1" ht="21.95" customHeight="1" x14ac:dyDescent="0.15">
      <c r="C50337" s="101"/>
    </row>
    <row r="50338" spans="3:3" s="8" customFormat="1" ht="21.95" customHeight="1" x14ac:dyDescent="0.15"/>
    <row r="50339" spans="3:3" s="8" customFormat="1" ht="21.95" customHeight="1" x14ac:dyDescent="0.15"/>
    <row r="50340" spans="3:3" s="8" customFormat="1" ht="21.95" customHeight="1" x14ac:dyDescent="0.15"/>
    <row r="50341" spans="3:3" s="8" customFormat="1" ht="21.95" customHeight="1" x14ac:dyDescent="0.15"/>
    <row r="50342" spans="3:3" s="8" customFormat="1" ht="21.95" customHeight="1" x14ac:dyDescent="0.15"/>
    <row r="50343" spans="3:3" s="8" customFormat="1" ht="21.95" customHeight="1" x14ac:dyDescent="0.15"/>
    <row r="50344" spans="3:3" s="8" customFormat="1" ht="21.95" customHeight="1" x14ac:dyDescent="0.15"/>
    <row r="50345" spans="3:3" s="9" customFormat="1" ht="21.95" customHeight="1" x14ac:dyDescent="0.15"/>
    <row r="50346" spans="3:3" s="9" customFormat="1" ht="21.95" customHeight="1" x14ac:dyDescent="0.15"/>
    <row r="50347" spans="3:3" s="9" customFormat="1" ht="21.95" customHeight="1" x14ac:dyDescent="0.15"/>
    <row r="50348" spans="3:3" s="9" customFormat="1" ht="21.95" customHeight="1" x14ac:dyDescent="0.15"/>
    <row r="50349" spans="3:3" s="8" customFormat="1" ht="21.95" customHeight="1" x14ac:dyDescent="0.15"/>
    <row r="50350" spans="3:3" s="8" customFormat="1" ht="21.95" customHeight="1" x14ac:dyDescent="0.15"/>
    <row r="50351" spans="3:3" s="8" customFormat="1" ht="21.95" customHeight="1" x14ac:dyDescent="0.15"/>
    <row r="50352" spans="3:3" s="8" customFormat="1" ht="21.95" customHeight="1" x14ac:dyDescent="0.15"/>
    <row r="50353" s="8" customFormat="1" ht="21.95" customHeight="1" x14ac:dyDescent="0.15"/>
    <row r="50354" s="8" customFormat="1" ht="21.95" customHeight="1" x14ac:dyDescent="0.15"/>
    <row r="50355" s="8" customFormat="1" ht="21.95" customHeight="1" x14ac:dyDescent="0.15"/>
    <row r="50356" s="8" customFormat="1" ht="21.95" customHeight="1" x14ac:dyDescent="0.15"/>
    <row r="50357" s="8" customFormat="1" ht="21.95" customHeight="1" x14ac:dyDescent="0.15"/>
    <row r="50358" s="8" customFormat="1" ht="21.95" customHeight="1" x14ac:dyDescent="0.15"/>
    <row r="50359" s="8" customFormat="1" ht="21.95" customHeight="1" x14ac:dyDescent="0.15"/>
    <row r="50360" s="8" customFormat="1" ht="32.1" customHeight="1" x14ac:dyDescent="0.15"/>
    <row r="50361" s="8" customFormat="1" ht="32.1" customHeight="1" x14ac:dyDescent="0.15"/>
    <row r="50362" s="8" customFormat="1" ht="32.1" customHeight="1" x14ac:dyDescent="0.15"/>
    <row r="50363" s="8" customFormat="1" ht="32.1" customHeight="1" x14ac:dyDescent="0.15"/>
    <row r="50364" s="8" customFormat="1" ht="32.1" customHeight="1" x14ac:dyDescent="0.15"/>
    <row r="50365" s="8" customFormat="1" ht="32.1" customHeight="1" x14ac:dyDescent="0.15"/>
    <row r="50366" s="9" customFormat="1" ht="32.1" customHeight="1" x14ac:dyDescent="0.15"/>
    <row r="50367" s="9" customFormat="1" ht="32.1" customHeight="1" x14ac:dyDescent="0.15"/>
    <row r="50368" s="9" customFormat="1" ht="32.1" customHeight="1" x14ac:dyDescent="0.15"/>
    <row r="50369" s="9" customFormat="1" ht="32.1" customHeight="1" x14ac:dyDescent="0.15"/>
    <row r="50370" s="9" customFormat="1" ht="21.95" customHeight="1" x14ac:dyDescent="0.15"/>
    <row r="50371" s="9" customFormat="1" ht="54" customHeight="1" x14ac:dyDescent="0.15"/>
    <row r="50372" s="9" customFormat="1" ht="21.95" customHeight="1" x14ac:dyDescent="0.15"/>
    <row r="50373" s="9" customFormat="1" ht="21.95" customHeight="1" x14ac:dyDescent="0.15"/>
    <row r="50374" s="9" customFormat="1" ht="21.95" customHeight="1" x14ac:dyDescent="0.15"/>
    <row r="50375" s="9" customFormat="1" ht="21.95" customHeight="1" x14ac:dyDescent="0.15"/>
    <row r="50376" s="9" customFormat="1" ht="21.95" customHeight="1" x14ac:dyDescent="0.15"/>
    <row r="50377" s="9" customFormat="1" ht="21.95" customHeight="1" x14ac:dyDescent="0.15"/>
    <row r="50378" s="9" customFormat="1" ht="21.95" customHeight="1" x14ac:dyDescent="0.15"/>
    <row r="50379" s="9" customFormat="1" ht="21.95" customHeight="1" x14ac:dyDescent="0.15"/>
    <row r="50380" s="9" customFormat="1" ht="21.95" customHeight="1" x14ac:dyDescent="0.15"/>
    <row r="50381" s="9" customFormat="1" ht="21.95" customHeight="1" x14ac:dyDescent="0.15"/>
    <row r="50382" s="9" customFormat="1" ht="21.95" customHeight="1" x14ac:dyDescent="0.15"/>
    <row r="50383" s="9" customFormat="1" ht="21.95" customHeight="1" x14ac:dyDescent="0.15"/>
    <row r="50384" s="9" customFormat="1" ht="21.95" customHeight="1" x14ac:dyDescent="0.15"/>
    <row r="50385" s="9" customFormat="1" ht="21.95" customHeight="1" x14ac:dyDescent="0.15"/>
    <row r="50386" s="9" customFormat="1" ht="21.95" customHeight="1" x14ac:dyDescent="0.15"/>
    <row r="50387" s="9" customFormat="1" ht="21.95" customHeight="1" x14ac:dyDescent="0.15"/>
    <row r="50388" s="9" customFormat="1" ht="21.95" customHeight="1" x14ac:dyDescent="0.15"/>
    <row r="50389" s="9" customFormat="1" ht="21.95" customHeight="1" x14ac:dyDescent="0.15"/>
    <row r="50390" s="9" customFormat="1" ht="21.95" customHeight="1" x14ac:dyDescent="0.15"/>
    <row r="50391" s="9" customFormat="1" ht="21.95" customHeight="1" x14ac:dyDescent="0.15"/>
    <row r="50392" s="9" customFormat="1" ht="21.95" customHeight="1" x14ac:dyDescent="0.15"/>
    <row r="50393" s="9" customFormat="1" ht="21.95" customHeight="1" x14ac:dyDescent="0.15"/>
    <row r="50394" s="9" customFormat="1" ht="21.95" customHeight="1" x14ac:dyDescent="0.15"/>
    <row r="50395" s="9" customFormat="1" ht="21.95" customHeight="1" x14ac:dyDescent="0.15"/>
    <row r="50396" s="9" customFormat="1" ht="21.95" customHeight="1" x14ac:dyDescent="0.15"/>
    <row r="50397" s="9" customFormat="1" ht="21.95" customHeight="1" x14ac:dyDescent="0.15"/>
    <row r="50398" s="9" customFormat="1" ht="21.95" customHeight="1" x14ac:dyDescent="0.15"/>
    <row r="50399" s="9" customFormat="1" ht="21.95" customHeight="1" x14ac:dyDescent="0.15"/>
    <row r="50400" s="9" customFormat="1" ht="21.95" customHeight="1" x14ac:dyDescent="0.15"/>
    <row r="50401" s="9" customFormat="1" ht="21.95" customHeight="1" x14ac:dyDescent="0.15"/>
    <row r="50402" s="9" customFormat="1" ht="21.95" customHeight="1" x14ac:dyDescent="0.15"/>
    <row r="50403" s="9" customFormat="1" ht="21.95" customHeight="1" x14ac:dyDescent="0.15"/>
    <row r="50404" s="9" customFormat="1" ht="21.95" customHeight="1" x14ac:dyDescent="0.15"/>
    <row r="50405" s="9" customFormat="1" ht="21.95" customHeight="1" x14ac:dyDescent="0.15"/>
    <row r="50406" s="9" customFormat="1" ht="21.95" customHeight="1" x14ac:dyDescent="0.15"/>
    <row r="50407" s="9" customFormat="1" ht="21.95" customHeight="1" x14ac:dyDescent="0.15"/>
    <row r="50408" s="9" customFormat="1" ht="21.95" customHeight="1" x14ac:dyDescent="0.15"/>
    <row r="50409" s="9" customFormat="1" ht="21.95" customHeight="1" x14ac:dyDescent="0.15"/>
    <row r="50410" s="9" customFormat="1" ht="21.95" customHeight="1" x14ac:dyDescent="0.15"/>
    <row r="50411" s="9" customFormat="1" ht="21.95" customHeight="1" x14ac:dyDescent="0.15"/>
    <row r="50412" s="9" customFormat="1" ht="21.95" customHeight="1" x14ac:dyDescent="0.15"/>
    <row r="50413" s="9" customFormat="1" ht="21.95" customHeight="1" x14ac:dyDescent="0.15"/>
    <row r="50414" s="9" customFormat="1" ht="21.95" customHeight="1" x14ac:dyDescent="0.15"/>
    <row r="50415" s="9" customFormat="1" ht="21.95" customHeight="1" x14ac:dyDescent="0.15"/>
    <row r="50416" s="9" customFormat="1" ht="21.95" customHeight="1" x14ac:dyDescent="0.15"/>
    <row r="50417" s="9" customFormat="1" ht="21.95" customHeight="1" x14ac:dyDescent="0.15"/>
    <row r="50418" s="9" customFormat="1" ht="21.95" customHeight="1" x14ac:dyDescent="0.15"/>
    <row r="50419" s="9" customFormat="1" ht="21.95" customHeight="1" x14ac:dyDescent="0.15"/>
    <row r="50420" s="9" customFormat="1" ht="21.95" customHeight="1" x14ac:dyDescent="0.15"/>
    <row r="50421" s="9" customFormat="1" ht="21.95" customHeight="1" x14ac:dyDescent="0.15"/>
    <row r="50422" s="9" customFormat="1" ht="35.1" customHeight="1" x14ac:dyDescent="0.15"/>
    <row r="50423" s="9" customFormat="1" ht="21.95" customHeight="1" x14ac:dyDescent="0.15"/>
    <row r="50424" s="9" customFormat="1" ht="21.95" customHeight="1" x14ac:dyDescent="0.15"/>
    <row r="50425" s="9" customFormat="1" ht="21.95" customHeight="1" x14ac:dyDescent="0.15"/>
    <row r="50426" s="9" customFormat="1" ht="21.95" customHeight="1" x14ac:dyDescent="0.15"/>
    <row r="50427" s="9" customFormat="1" ht="21.95" customHeight="1" x14ac:dyDescent="0.15"/>
    <row r="50428" s="9" customFormat="1" ht="21.95" customHeight="1" x14ac:dyDescent="0.15"/>
    <row r="50429" s="9" customFormat="1" ht="21.95" customHeight="1" x14ac:dyDescent="0.15"/>
    <row r="50430" s="9" customFormat="1" ht="21.95" customHeight="1" x14ac:dyDescent="0.15"/>
    <row r="50431" s="9" customFormat="1" ht="21.95" customHeight="1" x14ac:dyDescent="0.15"/>
    <row r="50432" s="9" customFormat="1" ht="21.95" customHeight="1" x14ac:dyDescent="0.15"/>
    <row r="50433" spans="3:3" s="9" customFormat="1" ht="21.95" customHeight="1" x14ac:dyDescent="0.15"/>
    <row r="50434" spans="3:3" s="9" customFormat="1" ht="21.95" customHeight="1" x14ac:dyDescent="0.15"/>
    <row r="50435" spans="3:3" s="9" customFormat="1" ht="21.95" customHeight="1" x14ac:dyDescent="0.15"/>
    <row r="50436" spans="3:3" s="9" customFormat="1" ht="21.95" customHeight="1" x14ac:dyDescent="0.15"/>
    <row r="50437" spans="3:3" s="9" customFormat="1" ht="21.95" customHeight="1" x14ac:dyDescent="0.15"/>
    <row r="50438" spans="3:3" s="9" customFormat="1" ht="21.95" customHeight="1" x14ac:dyDescent="0.15"/>
    <row r="50439" spans="3:3" s="9" customFormat="1" ht="21.95" customHeight="1" x14ac:dyDescent="0.15"/>
    <row r="50440" spans="3:3" s="9" customFormat="1" ht="21.95" customHeight="1" x14ac:dyDescent="0.15"/>
    <row r="50441" spans="3:3" s="9" customFormat="1" ht="21.95" customHeight="1" x14ac:dyDescent="0.15"/>
    <row r="50442" spans="3:3" s="9" customFormat="1" ht="21.95" customHeight="1" x14ac:dyDescent="0.15"/>
    <row r="50443" spans="3:3" s="9" customFormat="1" ht="21.95" customHeight="1" x14ac:dyDescent="0.15"/>
    <row r="50444" spans="3:3" s="9" customFormat="1" ht="21.95" customHeight="1" x14ac:dyDescent="0.15"/>
    <row r="50445" spans="3:3" s="9" customFormat="1" ht="21.95" customHeight="1" x14ac:dyDescent="0.15"/>
    <row r="50446" spans="3:3" s="8" customFormat="1" ht="21.95" customHeight="1" x14ac:dyDescent="0.15"/>
    <row r="50447" spans="3:3" s="8" customFormat="1" ht="21.95" customHeight="1" x14ac:dyDescent="0.15"/>
    <row r="50448" spans="3:3" s="8" customFormat="1" ht="21.95" customHeight="1" x14ac:dyDescent="0.15">
      <c r="C50448" s="101"/>
    </row>
    <row r="50449" spans="3:3" s="8" customFormat="1" ht="21.95" customHeight="1" x14ac:dyDescent="0.15">
      <c r="C50449" s="101"/>
    </row>
    <row r="50450" spans="3:3" s="8" customFormat="1" ht="21.95" customHeight="1" x14ac:dyDescent="0.15"/>
    <row r="50451" spans="3:3" s="8" customFormat="1" ht="21.95" customHeight="1" x14ac:dyDescent="0.15"/>
    <row r="50452" spans="3:3" s="8" customFormat="1" ht="21.95" customHeight="1" x14ac:dyDescent="0.15"/>
    <row r="50453" spans="3:3" s="8" customFormat="1" ht="21.95" customHeight="1" x14ac:dyDescent="0.15"/>
    <row r="50454" spans="3:3" s="8" customFormat="1" ht="21.95" customHeight="1" x14ac:dyDescent="0.15"/>
    <row r="50455" spans="3:3" s="8" customFormat="1" ht="21.95" customHeight="1" x14ac:dyDescent="0.15"/>
    <row r="50456" spans="3:3" s="8" customFormat="1" ht="21.95" customHeight="1" x14ac:dyDescent="0.15"/>
    <row r="50457" spans="3:3" s="9" customFormat="1" ht="21.95" customHeight="1" x14ac:dyDescent="0.15"/>
    <row r="50458" spans="3:3" s="9" customFormat="1" ht="21.95" customHeight="1" x14ac:dyDescent="0.15"/>
    <row r="50459" spans="3:3" s="9" customFormat="1" ht="21.95" customHeight="1" x14ac:dyDescent="0.15"/>
    <row r="50460" spans="3:3" s="9" customFormat="1" ht="21.95" customHeight="1" x14ac:dyDescent="0.15"/>
    <row r="50461" spans="3:3" s="8" customFormat="1" ht="21.95" customHeight="1" x14ac:dyDescent="0.15"/>
    <row r="50462" spans="3:3" s="8" customFormat="1" ht="21.95" customHeight="1" x14ac:dyDescent="0.15"/>
    <row r="50463" spans="3:3" s="8" customFormat="1" ht="21.95" customHeight="1" x14ac:dyDescent="0.15"/>
    <row r="50464" spans="3:3" s="8" customFormat="1" ht="21.95" customHeight="1" x14ac:dyDescent="0.15"/>
    <row r="50465" s="8" customFormat="1" ht="21.95" customHeight="1" x14ac:dyDescent="0.15"/>
    <row r="50466" s="8" customFormat="1" ht="21.95" customHeight="1" x14ac:dyDescent="0.15"/>
    <row r="50467" s="8" customFormat="1" ht="21.95" customHeight="1" x14ac:dyDescent="0.15"/>
    <row r="50468" s="8" customFormat="1" ht="21.95" customHeight="1" x14ac:dyDescent="0.15"/>
    <row r="50469" s="8" customFormat="1" ht="21.95" customHeight="1" x14ac:dyDescent="0.15"/>
    <row r="50470" s="8" customFormat="1" ht="21.95" customHeight="1" x14ac:dyDescent="0.15"/>
    <row r="50471" s="8" customFormat="1" ht="21.95" customHeight="1" x14ac:dyDescent="0.15"/>
    <row r="50472" s="8" customFormat="1" ht="32.1" customHeight="1" x14ac:dyDescent="0.15"/>
    <row r="50473" s="8" customFormat="1" ht="32.1" customHeight="1" x14ac:dyDescent="0.15"/>
    <row r="50474" s="8" customFormat="1" ht="32.1" customHeight="1" x14ac:dyDescent="0.15"/>
    <row r="50475" s="8" customFormat="1" ht="32.1" customHeight="1" x14ac:dyDescent="0.15"/>
    <row r="50476" s="8" customFormat="1" ht="32.1" customHeight="1" x14ac:dyDescent="0.15"/>
    <row r="50477" s="8" customFormat="1" ht="32.1" customHeight="1" x14ac:dyDescent="0.15"/>
    <row r="50478" s="9" customFormat="1" ht="32.1" customHeight="1" x14ac:dyDescent="0.15"/>
    <row r="50479" s="9" customFormat="1" ht="32.1" customHeight="1" x14ac:dyDescent="0.15"/>
    <row r="50480" s="9" customFormat="1" ht="32.1" customHeight="1" x14ac:dyDescent="0.15"/>
    <row r="50481" s="9" customFormat="1" ht="32.1" customHeight="1" x14ac:dyDescent="0.15"/>
    <row r="50482" s="9" customFormat="1" ht="21.95" customHeight="1" x14ac:dyDescent="0.15"/>
    <row r="50483" s="9" customFormat="1" ht="54" customHeight="1" x14ac:dyDescent="0.15"/>
    <row r="50484" s="9" customFormat="1" ht="21.95" customHeight="1" x14ac:dyDescent="0.15"/>
    <row r="50485" s="9" customFormat="1" ht="21.95" customHeight="1" x14ac:dyDescent="0.15"/>
    <row r="50486" s="9" customFormat="1" ht="21.95" customHeight="1" x14ac:dyDescent="0.15"/>
    <row r="50487" s="9" customFormat="1" ht="21.95" customHeight="1" x14ac:dyDescent="0.15"/>
    <row r="50488" s="9" customFormat="1" ht="21.95" customHeight="1" x14ac:dyDescent="0.15"/>
    <row r="50489" s="9" customFormat="1" ht="21.95" customHeight="1" x14ac:dyDescent="0.15"/>
    <row r="50490" s="9" customFormat="1" ht="21.95" customHeight="1" x14ac:dyDescent="0.15"/>
    <row r="50491" s="9" customFormat="1" ht="21.95" customHeight="1" x14ac:dyDescent="0.15"/>
    <row r="50492" s="9" customFormat="1" ht="21.95" customHeight="1" x14ac:dyDescent="0.15"/>
    <row r="50493" s="9" customFormat="1" ht="21.95" customHeight="1" x14ac:dyDescent="0.15"/>
    <row r="50494" s="9" customFormat="1" ht="21.95" customHeight="1" x14ac:dyDescent="0.15"/>
    <row r="50495" s="9" customFormat="1" ht="21.95" customHeight="1" x14ac:dyDescent="0.15"/>
    <row r="50496" s="9" customFormat="1" ht="21.95" customHeight="1" x14ac:dyDescent="0.15"/>
    <row r="50497" s="9" customFormat="1" ht="21.95" customHeight="1" x14ac:dyDescent="0.15"/>
    <row r="50498" s="9" customFormat="1" ht="21.95" customHeight="1" x14ac:dyDescent="0.15"/>
    <row r="50499" s="9" customFormat="1" ht="21.95" customHeight="1" x14ac:dyDescent="0.15"/>
    <row r="50500" s="9" customFormat="1" ht="21.95" customHeight="1" x14ac:dyDescent="0.15"/>
    <row r="50501" s="9" customFormat="1" ht="21.95" customHeight="1" x14ac:dyDescent="0.15"/>
    <row r="50502" s="9" customFormat="1" ht="21.95" customHeight="1" x14ac:dyDescent="0.15"/>
    <row r="50503" s="9" customFormat="1" ht="21.95" customHeight="1" x14ac:dyDescent="0.15"/>
    <row r="50504" s="9" customFormat="1" ht="21.95" customHeight="1" x14ac:dyDescent="0.15"/>
    <row r="50505" s="9" customFormat="1" ht="21.95" customHeight="1" x14ac:dyDescent="0.15"/>
    <row r="50506" s="9" customFormat="1" ht="21.95" customHeight="1" x14ac:dyDescent="0.15"/>
    <row r="50507" s="9" customFormat="1" ht="21.95" customHeight="1" x14ac:dyDescent="0.15"/>
    <row r="50508" s="9" customFormat="1" ht="21.95" customHeight="1" x14ac:dyDescent="0.15"/>
    <row r="50509" s="9" customFormat="1" ht="21.95" customHeight="1" x14ac:dyDescent="0.15"/>
    <row r="50510" s="9" customFormat="1" ht="21.95" customHeight="1" x14ac:dyDescent="0.15"/>
    <row r="50511" s="9" customFormat="1" ht="21.95" customHeight="1" x14ac:dyDescent="0.15"/>
    <row r="50512" s="9" customFormat="1" ht="21.95" customHeight="1" x14ac:dyDescent="0.15"/>
    <row r="50513" s="9" customFormat="1" ht="21.95" customHeight="1" x14ac:dyDescent="0.15"/>
    <row r="50514" s="9" customFormat="1" ht="21.95" customHeight="1" x14ac:dyDescent="0.15"/>
    <row r="50515" s="9" customFormat="1" ht="21.95" customHeight="1" x14ac:dyDescent="0.15"/>
    <row r="50516" s="9" customFormat="1" ht="21.95" customHeight="1" x14ac:dyDescent="0.15"/>
    <row r="50517" s="9" customFormat="1" ht="21.95" customHeight="1" x14ac:dyDescent="0.15"/>
    <row r="50518" s="9" customFormat="1" ht="21.95" customHeight="1" x14ac:dyDescent="0.15"/>
    <row r="50519" s="9" customFormat="1" ht="21.95" customHeight="1" x14ac:dyDescent="0.15"/>
    <row r="50520" s="9" customFormat="1" ht="21.95" customHeight="1" x14ac:dyDescent="0.15"/>
    <row r="50521" s="9" customFormat="1" ht="21.95" customHeight="1" x14ac:dyDescent="0.15"/>
    <row r="50522" s="9" customFormat="1" ht="21.95" customHeight="1" x14ac:dyDescent="0.15"/>
    <row r="50523" s="9" customFormat="1" ht="21.95" customHeight="1" x14ac:dyDescent="0.15"/>
    <row r="50524" s="9" customFormat="1" ht="21.95" customHeight="1" x14ac:dyDescent="0.15"/>
    <row r="50525" s="9" customFormat="1" ht="21.95" customHeight="1" x14ac:dyDescent="0.15"/>
    <row r="50526" s="9" customFormat="1" ht="21.95" customHeight="1" x14ac:dyDescent="0.15"/>
    <row r="50527" s="9" customFormat="1" ht="21.95" customHeight="1" x14ac:dyDescent="0.15"/>
    <row r="50528" s="9" customFormat="1" ht="21.95" customHeight="1" x14ac:dyDescent="0.15"/>
    <row r="50529" s="9" customFormat="1" ht="21.95" customHeight="1" x14ac:dyDescent="0.15"/>
    <row r="50530" s="9" customFormat="1" ht="21.95" customHeight="1" x14ac:dyDescent="0.15"/>
    <row r="50531" s="9" customFormat="1" ht="21.95" customHeight="1" x14ac:dyDescent="0.15"/>
    <row r="50532" s="9" customFormat="1" ht="21.95" customHeight="1" x14ac:dyDescent="0.15"/>
    <row r="50533" s="9" customFormat="1" ht="21.95" customHeight="1" x14ac:dyDescent="0.15"/>
    <row r="50534" s="9" customFormat="1" ht="35.1" customHeight="1" x14ac:dyDescent="0.15"/>
    <row r="50535" s="9" customFormat="1" ht="21.95" customHeight="1" x14ac:dyDescent="0.15"/>
    <row r="50536" s="9" customFormat="1" ht="21.95" customHeight="1" x14ac:dyDescent="0.15"/>
    <row r="50537" s="9" customFormat="1" ht="21.95" customHeight="1" x14ac:dyDescent="0.15"/>
    <row r="50538" s="9" customFormat="1" ht="21.95" customHeight="1" x14ac:dyDescent="0.15"/>
    <row r="50539" s="9" customFormat="1" ht="21.95" customHeight="1" x14ac:dyDescent="0.15"/>
    <row r="50540" s="9" customFormat="1" ht="21.95" customHeight="1" x14ac:dyDescent="0.15"/>
    <row r="50541" s="9" customFormat="1" ht="21.95" customHeight="1" x14ac:dyDescent="0.15"/>
    <row r="50542" s="9" customFormat="1" ht="21.95" customHeight="1" x14ac:dyDescent="0.15"/>
    <row r="50543" s="9" customFormat="1" ht="21.95" customHeight="1" x14ac:dyDescent="0.15"/>
    <row r="50544" s="9" customFormat="1" ht="21.95" customHeight="1" x14ac:dyDescent="0.15"/>
    <row r="50545" spans="3:3" s="9" customFormat="1" ht="21.95" customHeight="1" x14ac:dyDescent="0.15"/>
    <row r="50546" spans="3:3" s="9" customFormat="1" ht="21.95" customHeight="1" x14ac:dyDescent="0.15"/>
    <row r="50547" spans="3:3" s="9" customFormat="1" ht="21.95" customHeight="1" x14ac:dyDescent="0.15"/>
    <row r="50548" spans="3:3" s="9" customFormat="1" ht="21.95" customHeight="1" x14ac:dyDescent="0.15"/>
    <row r="50549" spans="3:3" s="9" customFormat="1" ht="21.95" customHeight="1" x14ac:dyDescent="0.15"/>
    <row r="50550" spans="3:3" s="9" customFormat="1" ht="21.95" customHeight="1" x14ac:dyDescent="0.15"/>
    <row r="50551" spans="3:3" s="9" customFormat="1" ht="21.95" customHeight="1" x14ac:dyDescent="0.15"/>
    <row r="50552" spans="3:3" s="9" customFormat="1" ht="21.95" customHeight="1" x14ac:dyDescent="0.15"/>
    <row r="50553" spans="3:3" s="9" customFormat="1" ht="21.95" customHeight="1" x14ac:dyDescent="0.15"/>
    <row r="50554" spans="3:3" s="9" customFormat="1" ht="21.95" customHeight="1" x14ac:dyDescent="0.15"/>
    <row r="50555" spans="3:3" s="9" customFormat="1" ht="21.95" customHeight="1" x14ac:dyDescent="0.15"/>
    <row r="50556" spans="3:3" s="9" customFormat="1" ht="21.95" customHeight="1" x14ac:dyDescent="0.15"/>
    <row r="50557" spans="3:3" s="9" customFormat="1" ht="21.95" customHeight="1" x14ac:dyDescent="0.15"/>
    <row r="50558" spans="3:3" s="8" customFormat="1" ht="21.95" customHeight="1" x14ac:dyDescent="0.15"/>
    <row r="50559" spans="3:3" s="8" customFormat="1" ht="21.95" customHeight="1" x14ac:dyDescent="0.15"/>
    <row r="50560" spans="3:3" s="8" customFormat="1" ht="21.95" customHeight="1" x14ac:dyDescent="0.15">
      <c r="C50560" s="101"/>
    </row>
    <row r="50561" spans="3:3" s="8" customFormat="1" ht="21.95" customHeight="1" x14ac:dyDescent="0.15">
      <c r="C50561" s="101"/>
    </row>
    <row r="50562" spans="3:3" s="8" customFormat="1" ht="21.95" customHeight="1" x14ac:dyDescent="0.15"/>
    <row r="50563" spans="3:3" s="8" customFormat="1" ht="21.95" customHeight="1" x14ac:dyDescent="0.15"/>
    <row r="50564" spans="3:3" s="8" customFormat="1" ht="21.95" customHeight="1" x14ac:dyDescent="0.15"/>
    <row r="50565" spans="3:3" s="8" customFormat="1" ht="21.95" customHeight="1" x14ac:dyDescent="0.15"/>
    <row r="50566" spans="3:3" s="8" customFormat="1" ht="21.95" customHeight="1" x14ac:dyDescent="0.15"/>
    <row r="50567" spans="3:3" s="8" customFormat="1" ht="21.95" customHeight="1" x14ac:dyDescent="0.15"/>
    <row r="50568" spans="3:3" s="8" customFormat="1" ht="21.95" customHeight="1" x14ac:dyDescent="0.15"/>
    <row r="50569" spans="3:3" s="9" customFormat="1" ht="21.95" customHeight="1" x14ac:dyDescent="0.15"/>
    <row r="50570" spans="3:3" s="9" customFormat="1" ht="21.95" customHeight="1" x14ac:dyDescent="0.15"/>
    <row r="50571" spans="3:3" s="9" customFormat="1" ht="21.95" customHeight="1" x14ac:dyDescent="0.15"/>
    <row r="50572" spans="3:3" s="9" customFormat="1" ht="21.95" customHeight="1" x14ac:dyDescent="0.15"/>
    <row r="50573" spans="3:3" s="8" customFormat="1" ht="21.95" customHeight="1" x14ac:dyDescent="0.15"/>
    <row r="50574" spans="3:3" s="8" customFormat="1" ht="21.95" customHeight="1" x14ac:dyDescent="0.15"/>
    <row r="50575" spans="3:3" s="8" customFormat="1" ht="21.95" customHeight="1" x14ac:dyDescent="0.15"/>
    <row r="50576" spans="3:3" s="8" customFormat="1" ht="21.95" customHeight="1" x14ac:dyDescent="0.15"/>
    <row r="50577" s="8" customFormat="1" ht="21.95" customHeight="1" x14ac:dyDescent="0.15"/>
    <row r="50578" s="8" customFormat="1" ht="21.95" customHeight="1" x14ac:dyDescent="0.15"/>
    <row r="50579" s="8" customFormat="1" ht="21.95" customHeight="1" x14ac:dyDescent="0.15"/>
    <row r="50580" s="8" customFormat="1" ht="21.95" customHeight="1" x14ac:dyDescent="0.15"/>
    <row r="50581" s="8" customFormat="1" ht="21.95" customHeight="1" x14ac:dyDescent="0.15"/>
    <row r="50582" s="8" customFormat="1" ht="21.95" customHeight="1" x14ac:dyDescent="0.15"/>
    <row r="50583" s="8" customFormat="1" ht="21.95" customHeight="1" x14ac:dyDescent="0.15"/>
    <row r="50584" s="8" customFormat="1" ht="32.1" customHeight="1" x14ac:dyDescent="0.15"/>
    <row r="50585" s="8" customFormat="1" ht="32.1" customHeight="1" x14ac:dyDescent="0.15"/>
    <row r="50586" s="8" customFormat="1" ht="32.1" customHeight="1" x14ac:dyDescent="0.15"/>
    <row r="50587" s="8" customFormat="1" ht="32.1" customHeight="1" x14ac:dyDescent="0.15"/>
    <row r="50588" s="8" customFormat="1" ht="32.1" customHeight="1" x14ac:dyDescent="0.15"/>
    <row r="50589" s="8" customFormat="1" ht="32.1" customHeight="1" x14ac:dyDescent="0.15"/>
    <row r="50590" s="9" customFormat="1" ht="32.1" customHeight="1" x14ac:dyDescent="0.15"/>
    <row r="50591" s="9" customFormat="1" ht="32.1" customHeight="1" x14ac:dyDescent="0.15"/>
    <row r="50592" s="9" customFormat="1" ht="32.1" customHeight="1" x14ac:dyDescent="0.15"/>
    <row r="50593" s="9" customFormat="1" ht="32.1" customHeight="1" x14ac:dyDescent="0.15"/>
    <row r="50594" s="9" customFormat="1" ht="21.95" customHeight="1" x14ac:dyDescent="0.15"/>
    <row r="50595" s="9" customFormat="1" ht="54" customHeight="1" x14ac:dyDescent="0.15"/>
    <row r="50596" s="9" customFormat="1" ht="21.95" customHeight="1" x14ac:dyDescent="0.15"/>
    <row r="50597" s="9" customFormat="1" ht="21.95" customHeight="1" x14ac:dyDescent="0.15"/>
    <row r="50598" s="9" customFormat="1" ht="21.95" customHeight="1" x14ac:dyDescent="0.15"/>
    <row r="50599" s="9" customFormat="1" ht="21.95" customHeight="1" x14ac:dyDescent="0.15"/>
    <row r="50600" s="9" customFormat="1" ht="21.95" customHeight="1" x14ac:dyDescent="0.15"/>
    <row r="50601" s="9" customFormat="1" ht="21.95" customHeight="1" x14ac:dyDescent="0.15"/>
    <row r="50602" s="9" customFormat="1" ht="21.95" customHeight="1" x14ac:dyDescent="0.15"/>
    <row r="50603" s="9" customFormat="1" ht="21.95" customHeight="1" x14ac:dyDescent="0.15"/>
    <row r="50604" s="9" customFormat="1" ht="21.95" customHeight="1" x14ac:dyDescent="0.15"/>
    <row r="50605" s="9" customFormat="1" ht="21.95" customHeight="1" x14ac:dyDescent="0.15"/>
    <row r="50606" s="9" customFormat="1" ht="21.95" customHeight="1" x14ac:dyDescent="0.15"/>
    <row r="50607" s="9" customFormat="1" ht="21.95" customHeight="1" x14ac:dyDescent="0.15"/>
    <row r="50608" s="9" customFormat="1" ht="21.95" customHeight="1" x14ac:dyDescent="0.15"/>
    <row r="50609" s="9" customFormat="1" ht="21.95" customHeight="1" x14ac:dyDescent="0.15"/>
    <row r="50610" s="9" customFormat="1" ht="21.95" customHeight="1" x14ac:dyDescent="0.15"/>
    <row r="50611" s="9" customFormat="1" ht="21.95" customHeight="1" x14ac:dyDescent="0.15"/>
    <row r="50612" s="9" customFormat="1" ht="21.95" customHeight="1" x14ac:dyDescent="0.15"/>
    <row r="50613" s="9" customFormat="1" ht="21.95" customHeight="1" x14ac:dyDescent="0.15"/>
    <row r="50614" s="9" customFormat="1" ht="21.95" customHeight="1" x14ac:dyDescent="0.15"/>
    <row r="50615" s="9" customFormat="1" ht="21.95" customHeight="1" x14ac:dyDescent="0.15"/>
    <row r="50616" s="9" customFormat="1" ht="21.95" customHeight="1" x14ac:dyDescent="0.15"/>
    <row r="50617" s="9" customFormat="1" ht="21.95" customHeight="1" x14ac:dyDescent="0.15"/>
    <row r="50618" s="9" customFormat="1" ht="21.95" customHeight="1" x14ac:dyDescent="0.15"/>
    <row r="50619" s="9" customFormat="1" ht="21.95" customHeight="1" x14ac:dyDescent="0.15"/>
    <row r="50620" s="9" customFormat="1" ht="21.95" customHeight="1" x14ac:dyDescent="0.15"/>
    <row r="50621" s="9" customFormat="1" ht="21.95" customHeight="1" x14ac:dyDescent="0.15"/>
    <row r="50622" s="9" customFormat="1" ht="21.95" customHeight="1" x14ac:dyDescent="0.15"/>
    <row r="50623" s="9" customFormat="1" ht="21.95" customHeight="1" x14ac:dyDescent="0.15"/>
    <row r="50624" s="9" customFormat="1" ht="21.95" customHeight="1" x14ac:dyDescent="0.15"/>
    <row r="50625" s="9" customFormat="1" ht="21.95" customHeight="1" x14ac:dyDescent="0.15"/>
    <row r="50626" s="9" customFormat="1" ht="21.95" customHeight="1" x14ac:dyDescent="0.15"/>
    <row r="50627" s="9" customFormat="1" ht="21.95" customHeight="1" x14ac:dyDescent="0.15"/>
    <row r="50628" s="9" customFormat="1" ht="21.95" customHeight="1" x14ac:dyDescent="0.15"/>
    <row r="50629" s="9" customFormat="1" ht="21.95" customHeight="1" x14ac:dyDescent="0.15"/>
    <row r="50630" s="9" customFormat="1" ht="21.95" customHeight="1" x14ac:dyDescent="0.15"/>
    <row r="50631" s="9" customFormat="1" ht="21.95" customHeight="1" x14ac:dyDescent="0.15"/>
    <row r="50632" s="9" customFormat="1" ht="21.95" customHeight="1" x14ac:dyDescent="0.15"/>
    <row r="50633" s="9" customFormat="1" ht="21.95" customHeight="1" x14ac:dyDescent="0.15"/>
    <row r="50634" s="9" customFormat="1" ht="21.95" customHeight="1" x14ac:dyDescent="0.15"/>
    <row r="50635" s="9" customFormat="1" ht="21.95" customHeight="1" x14ac:dyDescent="0.15"/>
    <row r="50636" s="9" customFormat="1" ht="21.95" customHeight="1" x14ac:dyDescent="0.15"/>
    <row r="50637" s="9" customFormat="1" ht="21.95" customHeight="1" x14ac:dyDescent="0.15"/>
    <row r="50638" s="9" customFormat="1" ht="21.95" customHeight="1" x14ac:dyDescent="0.15"/>
    <row r="50639" s="9" customFormat="1" ht="21.95" customHeight="1" x14ac:dyDescent="0.15"/>
    <row r="50640" s="9" customFormat="1" ht="21.95" customHeight="1" x14ac:dyDescent="0.15"/>
    <row r="50641" s="9" customFormat="1" ht="21.95" customHeight="1" x14ac:dyDescent="0.15"/>
    <row r="50642" s="9" customFormat="1" ht="21.95" customHeight="1" x14ac:dyDescent="0.15"/>
    <row r="50643" s="9" customFormat="1" ht="21.95" customHeight="1" x14ac:dyDescent="0.15"/>
    <row r="50644" s="9" customFormat="1" ht="21.95" customHeight="1" x14ac:dyDescent="0.15"/>
    <row r="50645" s="9" customFormat="1" ht="21.95" customHeight="1" x14ac:dyDescent="0.15"/>
    <row r="50646" s="9" customFormat="1" ht="35.1" customHeight="1" x14ac:dyDescent="0.15"/>
    <row r="50647" s="9" customFormat="1" ht="21.95" customHeight="1" x14ac:dyDescent="0.15"/>
    <row r="50648" s="9" customFormat="1" ht="21.95" customHeight="1" x14ac:dyDescent="0.15"/>
    <row r="50649" s="9" customFormat="1" ht="21.95" customHeight="1" x14ac:dyDescent="0.15"/>
    <row r="50650" s="9" customFormat="1" ht="21.95" customHeight="1" x14ac:dyDescent="0.15"/>
    <row r="50651" s="9" customFormat="1" ht="21.95" customHeight="1" x14ac:dyDescent="0.15"/>
    <row r="50652" s="9" customFormat="1" ht="21.95" customHeight="1" x14ac:dyDescent="0.15"/>
    <row r="50653" s="9" customFormat="1" ht="21.95" customHeight="1" x14ac:dyDescent="0.15"/>
    <row r="50654" s="9" customFormat="1" ht="21.95" customHeight="1" x14ac:dyDescent="0.15"/>
    <row r="50655" s="9" customFormat="1" ht="21.95" customHeight="1" x14ac:dyDescent="0.15"/>
    <row r="50656" s="9" customFormat="1" ht="21.95" customHeight="1" x14ac:dyDescent="0.15"/>
    <row r="50657" spans="3:3" s="9" customFormat="1" ht="21.95" customHeight="1" x14ac:dyDescent="0.15"/>
    <row r="50658" spans="3:3" s="9" customFormat="1" ht="21.95" customHeight="1" x14ac:dyDescent="0.15"/>
    <row r="50659" spans="3:3" s="9" customFormat="1" ht="21.95" customHeight="1" x14ac:dyDescent="0.15"/>
    <row r="50660" spans="3:3" s="9" customFormat="1" ht="21.95" customHeight="1" x14ac:dyDescent="0.15"/>
    <row r="50661" spans="3:3" s="9" customFormat="1" ht="21.95" customHeight="1" x14ac:dyDescent="0.15"/>
    <row r="50662" spans="3:3" s="9" customFormat="1" ht="21.95" customHeight="1" x14ac:dyDescent="0.15"/>
    <row r="50663" spans="3:3" s="9" customFormat="1" ht="21.95" customHeight="1" x14ac:dyDescent="0.15"/>
    <row r="50664" spans="3:3" s="9" customFormat="1" ht="21.95" customHeight="1" x14ac:dyDescent="0.15"/>
    <row r="50665" spans="3:3" s="9" customFormat="1" ht="21.95" customHeight="1" x14ac:dyDescent="0.15"/>
    <row r="50666" spans="3:3" s="9" customFormat="1" ht="21.95" customHeight="1" x14ac:dyDescent="0.15"/>
    <row r="50667" spans="3:3" s="9" customFormat="1" ht="21.95" customHeight="1" x14ac:dyDescent="0.15"/>
    <row r="50668" spans="3:3" s="9" customFormat="1" ht="21.95" customHeight="1" x14ac:dyDescent="0.15"/>
    <row r="50669" spans="3:3" s="9" customFormat="1" ht="21.95" customHeight="1" x14ac:dyDescent="0.15"/>
    <row r="50670" spans="3:3" s="8" customFormat="1" ht="21.95" customHeight="1" x14ac:dyDescent="0.15"/>
    <row r="50671" spans="3:3" s="8" customFormat="1" ht="21.95" customHeight="1" x14ac:dyDescent="0.15"/>
    <row r="50672" spans="3:3" s="8" customFormat="1" ht="21.95" customHeight="1" x14ac:dyDescent="0.15">
      <c r="C50672" s="101"/>
    </row>
    <row r="50673" spans="3:3" s="8" customFormat="1" ht="21.95" customHeight="1" x14ac:dyDescent="0.15">
      <c r="C50673" s="101"/>
    </row>
    <row r="50674" spans="3:3" s="8" customFormat="1" ht="21.95" customHeight="1" x14ac:dyDescent="0.15"/>
    <row r="50675" spans="3:3" s="8" customFormat="1" ht="21.95" customHeight="1" x14ac:dyDescent="0.15"/>
    <row r="50676" spans="3:3" s="8" customFormat="1" ht="21.95" customHeight="1" x14ac:dyDescent="0.15"/>
    <row r="50677" spans="3:3" s="8" customFormat="1" ht="21.95" customHeight="1" x14ac:dyDescent="0.15"/>
    <row r="50678" spans="3:3" s="8" customFormat="1" ht="21.95" customHeight="1" x14ac:dyDescent="0.15"/>
    <row r="50679" spans="3:3" s="8" customFormat="1" ht="21.95" customHeight="1" x14ac:dyDescent="0.15"/>
    <row r="50680" spans="3:3" s="8" customFormat="1" ht="21.95" customHeight="1" x14ac:dyDescent="0.15"/>
    <row r="50681" spans="3:3" s="9" customFormat="1" ht="21.95" customHeight="1" x14ac:dyDescent="0.15"/>
    <row r="50682" spans="3:3" s="9" customFormat="1" ht="21.95" customHeight="1" x14ac:dyDescent="0.15"/>
    <row r="50683" spans="3:3" s="9" customFormat="1" ht="21.95" customHeight="1" x14ac:dyDescent="0.15"/>
    <row r="50684" spans="3:3" s="9" customFormat="1" ht="21.95" customHeight="1" x14ac:dyDescent="0.15"/>
    <row r="50685" spans="3:3" s="8" customFormat="1" ht="21.95" customHeight="1" x14ac:dyDescent="0.15"/>
    <row r="50686" spans="3:3" s="8" customFormat="1" ht="21.95" customHeight="1" x14ac:dyDescent="0.15"/>
    <row r="50687" spans="3:3" s="8" customFormat="1" ht="21.95" customHeight="1" x14ac:dyDescent="0.15"/>
    <row r="50688" spans="3:3" s="8" customFormat="1" ht="21.95" customHeight="1" x14ac:dyDescent="0.15"/>
    <row r="50689" s="8" customFormat="1" ht="21.95" customHeight="1" x14ac:dyDescent="0.15"/>
    <row r="50690" s="8" customFormat="1" ht="21.95" customHeight="1" x14ac:dyDescent="0.15"/>
    <row r="50691" s="8" customFormat="1" ht="21.95" customHeight="1" x14ac:dyDescent="0.15"/>
    <row r="50692" s="8" customFormat="1" ht="21.95" customHeight="1" x14ac:dyDescent="0.15"/>
    <row r="50693" s="8" customFormat="1" ht="21.95" customHeight="1" x14ac:dyDescent="0.15"/>
    <row r="50694" s="8" customFormat="1" ht="21.95" customHeight="1" x14ac:dyDescent="0.15"/>
    <row r="50695" s="8" customFormat="1" ht="21.95" customHeight="1" x14ac:dyDescent="0.15"/>
    <row r="50696" s="8" customFormat="1" ht="32.1" customHeight="1" x14ac:dyDescent="0.15"/>
    <row r="50697" s="8" customFormat="1" ht="32.1" customHeight="1" x14ac:dyDescent="0.15"/>
    <row r="50698" s="8" customFormat="1" ht="32.1" customHeight="1" x14ac:dyDescent="0.15"/>
    <row r="50699" s="8" customFormat="1" ht="32.1" customHeight="1" x14ac:dyDescent="0.15"/>
    <row r="50700" s="8" customFormat="1" ht="32.1" customHeight="1" x14ac:dyDescent="0.15"/>
    <row r="50701" s="8" customFormat="1" ht="32.1" customHeight="1" x14ac:dyDescent="0.15"/>
    <row r="50702" s="9" customFormat="1" ht="32.1" customHeight="1" x14ac:dyDescent="0.15"/>
    <row r="50703" s="9" customFormat="1" ht="32.1" customHeight="1" x14ac:dyDescent="0.15"/>
    <row r="50704" s="9" customFormat="1" ht="32.1" customHeight="1" x14ac:dyDescent="0.15"/>
    <row r="50705" s="9" customFormat="1" ht="32.1" customHeight="1" x14ac:dyDescent="0.15"/>
    <row r="50706" s="9" customFormat="1" ht="21.95" customHeight="1" x14ac:dyDescent="0.15"/>
    <row r="50707" s="9" customFormat="1" ht="54" customHeight="1" x14ac:dyDescent="0.15"/>
    <row r="50708" s="9" customFormat="1" ht="21.95" customHeight="1" x14ac:dyDescent="0.15"/>
    <row r="50709" s="9" customFormat="1" ht="21.95" customHeight="1" x14ac:dyDescent="0.15"/>
    <row r="50710" s="9" customFormat="1" ht="21.95" customHeight="1" x14ac:dyDescent="0.15"/>
    <row r="50711" s="9" customFormat="1" ht="21.95" customHeight="1" x14ac:dyDescent="0.15"/>
    <row r="50712" s="9" customFormat="1" ht="21.95" customHeight="1" x14ac:dyDescent="0.15"/>
    <row r="50713" s="9" customFormat="1" ht="21.95" customHeight="1" x14ac:dyDescent="0.15"/>
    <row r="50714" s="9" customFormat="1" ht="21.95" customHeight="1" x14ac:dyDescent="0.15"/>
    <row r="50715" s="9" customFormat="1" ht="21.95" customHeight="1" x14ac:dyDescent="0.15"/>
    <row r="50716" s="9" customFormat="1" ht="21.95" customHeight="1" x14ac:dyDescent="0.15"/>
    <row r="50717" s="9" customFormat="1" ht="21.95" customHeight="1" x14ac:dyDescent="0.15"/>
    <row r="50718" s="9" customFormat="1" ht="21.95" customHeight="1" x14ac:dyDescent="0.15"/>
    <row r="50719" s="9" customFormat="1" ht="21.95" customHeight="1" x14ac:dyDescent="0.15"/>
    <row r="50720" s="9" customFormat="1" ht="21.95" customHeight="1" x14ac:dyDescent="0.15"/>
    <row r="50721" s="9" customFormat="1" ht="21.95" customHeight="1" x14ac:dyDescent="0.15"/>
    <row r="50722" s="9" customFormat="1" ht="21.95" customHeight="1" x14ac:dyDescent="0.15"/>
    <row r="50723" s="9" customFormat="1" ht="21.95" customHeight="1" x14ac:dyDescent="0.15"/>
    <row r="50724" s="9" customFormat="1" ht="21.95" customHeight="1" x14ac:dyDescent="0.15"/>
    <row r="50725" s="9" customFormat="1" ht="21.95" customHeight="1" x14ac:dyDescent="0.15"/>
    <row r="50726" s="9" customFormat="1" ht="21.95" customHeight="1" x14ac:dyDescent="0.15"/>
    <row r="50727" s="9" customFormat="1" ht="21.95" customHeight="1" x14ac:dyDescent="0.15"/>
    <row r="50728" s="9" customFormat="1" ht="21.95" customHeight="1" x14ac:dyDescent="0.15"/>
    <row r="50729" s="9" customFormat="1" ht="21.95" customHeight="1" x14ac:dyDescent="0.15"/>
    <row r="50730" s="9" customFormat="1" ht="21.95" customHeight="1" x14ac:dyDescent="0.15"/>
    <row r="50731" s="9" customFormat="1" ht="21.95" customHeight="1" x14ac:dyDescent="0.15"/>
    <row r="50732" s="9" customFormat="1" ht="21.95" customHeight="1" x14ac:dyDescent="0.15"/>
    <row r="50733" s="9" customFormat="1" ht="21.95" customHeight="1" x14ac:dyDescent="0.15"/>
    <row r="50734" s="9" customFormat="1" ht="21.95" customHeight="1" x14ac:dyDescent="0.15"/>
    <row r="50735" s="9" customFormat="1" ht="21.95" customHeight="1" x14ac:dyDescent="0.15"/>
    <row r="50736" s="9" customFormat="1" ht="21.95" customHeight="1" x14ac:dyDescent="0.15"/>
    <row r="50737" s="9" customFormat="1" ht="21.95" customHeight="1" x14ac:dyDescent="0.15"/>
    <row r="50738" s="9" customFormat="1" ht="21.95" customHeight="1" x14ac:dyDescent="0.15"/>
    <row r="50739" s="9" customFormat="1" ht="21.95" customHeight="1" x14ac:dyDescent="0.15"/>
    <row r="50740" s="9" customFormat="1" ht="21.95" customHeight="1" x14ac:dyDescent="0.15"/>
    <row r="50741" s="9" customFormat="1" ht="21.95" customHeight="1" x14ac:dyDescent="0.15"/>
    <row r="50742" s="9" customFormat="1" ht="21.95" customHeight="1" x14ac:dyDescent="0.15"/>
    <row r="50743" s="9" customFormat="1" ht="21.95" customHeight="1" x14ac:dyDescent="0.15"/>
    <row r="50744" s="9" customFormat="1" ht="21.95" customHeight="1" x14ac:dyDescent="0.15"/>
    <row r="50745" s="9" customFormat="1" ht="21.95" customHeight="1" x14ac:dyDescent="0.15"/>
    <row r="50746" s="9" customFormat="1" ht="21.95" customHeight="1" x14ac:dyDescent="0.15"/>
    <row r="50747" s="9" customFormat="1" ht="21.95" customHeight="1" x14ac:dyDescent="0.15"/>
    <row r="50748" s="9" customFormat="1" ht="21.95" customHeight="1" x14ac:dyDescent="0.15"/>
    <row r="50749" s="9" customFormat="1" ht="21.95" customHeight="1" x14ac:dyDescent="0.15"/>
    <row r="50750" s="9" customFormat="1" ht="21.95" customHeight="1" x14ac:dyDescent="0.15"/>
    <row r="50751" s="9" customFormat="1" ht="21.95" customHeight="1" x14ac:dyDescent="0.15"/>
    <row r="50752" s="9" customFormat="1" ht="21.95" customHeight="1" x14ac:dyDescent="0.15"/>
    <row r="50753" s="9" customFormat="1" ht="21.95" customHeight="1" x14ac:dyDescent="0.15"/>
    <row r="50754" s="9" customFormat="1" ht="21.95" customHeight="1" x14ac:dyDescent="0.15"/>
    <row r="50755" s="9" customFormat="1" ht="21.95" customHeight="1" x14ac:dyDescent="0.15"/>
    <row r="50756" s="9" customFormat="1" ht="21.95" customHeight="1" x14ac:dyDescent="0.15"/>
    <row r="50757" s="9" customFormat="1" ht="21.95" customHeight="1" x14ac:dyDescent="0.15"/>
    <row r="50758" s="9" customFormat="1" ht="35.1" customHeight="1" x14ac:dyDescent="0.15"/>
    <row r="50759" s="9" customFormat="1" ht="21.95" customHeight="1" x14ac:dyDescent="0.15"/>
    <row r="50760" s="9" customFormat="1" ht="21.95" customHeight="1" x14ac:dyDescent="0.15"/>
    <row r="50761" s="9" customFormat="1" ht="21.95" customHeight="1" x14ac:dyDescent="0.15"/>
    <row r="50762" s="9" customFormat="1" ht="21.95" customHeight="1" x14ac:dyDescent="0.15"/>
    <row r="50763" s="9" customFormat="1" ht="21.95" customHeight="1" x14ac:dyDescent="0.15"/>
    <row r="50764" s="9" customFormat="1" ht="21.95" customHeight="1" x14ac:dyDescent="0.15"/>
    <row r="50765" s="9" customFormat="1" ht="21.95" customHeight="1" x14ac:dyDescent="0.15"/>
    <row r="50766" s="9" customFormat="1" ht="21.95" customHeight="1" x14ac:dyDescent="0.15"/>
    <row r="50767" s="9" customFormat="1" ht="21.95" customHeight="1" x14ac:dyDescent="0.15"/>
    <row r="50768" s="9" customFormat="1" ht="21.95" customHeight="1" x14ac:dyDescent="0.15"/>
    <row r="50769" spans="3:3" s="9" customFormat="1" ht="21.95" customHeight="1" x14ac:dyDescent="0.15"/>
    <row r="50770" spans="3:3" s="9" customFormat="1" ht="21.95" customHeight="1" x14ac:dyDescent="0.15"/>
    <row r="50771" spans="3:3" s="9" customFormat="1" ht="21.95" customHeight="1" x14ac:dyDescent="0.15"/>
    <row r="50772" spans="3:3" s="9" customFormat="1" ht="21.95" customHeight="1" x14ac:dyDescent="0.15"/>
    <row r="50773" spans="3:3" s="9" customFormat="1" ht="21.95" customHeight="1" x14ac:dyDescent="0.15"/>
    <row r="50774" spans="3:3" s="9" customFormat="1" ht="21.95" customHeight="1" x14ac:dyDescent="0.15"/>
    <row r="50775" spans="3:3" s="9" customFormat="1" ht="21.95" customHeight="1" x14ac:dyDescent="0.15"/>
    <row r="50776" spans="3:3" s="9" customFormat="1" ht="21.95" customHeight="1" x14ac:dyDescent="0.15"/>
    <row r="50777" spans="3:3" s="9" customFormat="1" ht="21.95" customHeight="1" x14ac:dyDescent="0.15"/>
    <row r="50778" spans="3:3" s="9" customFormat="1" ht="21.95" customHeight="1" x14ac:dyDescent="0.15"/>
    <row r="50779" spans="3:3" s="9" customFormat="1" ht="21.95" customHeight="1" x14ac:dyDescent="0.15"/>
    <row r="50780" spans="3:3" s="9" customFormat="1" ht="21.95" customHeight="1" x14ac:dyDescent="0.15"/>
    <row r="50781" spans="3:3" s="9" customFormat="1" ht="21.95" customHeight="1" x14ac:dyDescent="0.15"/>
    <row r="50782" spans="3:3" s="8" customFormat="1" ht="21.95" customHeight="1" x14ac:dyDescent="0.15"/>
    <row r="50783" spans="3:3" s="8" customFormat="1" ht="21.95" customHeight="1" x14ac:dyDescent="0.15"/>
    <row r="50784" spans="3:3" s="8" customFormat="1" ht="21.95" customHeight="1" x14ac:dyDescent="0.15">
      <c r="C50784" s="101"/>
    </row>
    <row r="50785" spans="3:3" s="8" customFormat="1" ht="21.95" customHeight="1" x14ac:dyDescent="0.15">
      <c r="C50785" s="101"/>
    </row>
    <row r="50786" spans="3:3" s="8" customFormat="1" ht="21.95" customHeight="1" x14ac:dyDescent="0.15"/>
    <row r="50787" spans="3:3" s="8" customFormat="1" ht="21.95" customHeight="1" x14ac:dyDescent="0.15"/>
    <row r="50788" spans="3:3" s="8" customFormat="1" ht="21.95" customHeight="1" x14ac:dyDescent="0.15"/>
    <row r="50789" spans="3:3" s="8" customFormat="1" ht="21.95" customHeight="1" x14ac:dyDescent="0.15"/>
    <row r="50790" spans="3:3" s="8" customFormat="1" ht="21.95" customHeight="1" x14ac:dyDescent="0.15"/>
    <row r="50791" spans="3:3" s="8" customFormat="1" ht="21.95" customHeight="1" x14ac:dyDescent="0.15"/>
    <row r="50792" spans="3:3" s="8" customFormat="1" ht="21.95" customHeight="1" x14ac:dyDescent="0.15"/>
    <row r="50793" spans="3:3" s="9" customFormat="1" ht="21.95" customHeight="1" x14ac:dyDescent="0.15"/>
    <row r="50794" spans="3:3" s="9" customFormat="1" ht="21.95" customHeight="1" x14ac:dyDescent="0.15"/>
    <row r="50795" spans="3:3" s="9" customFormat="1" ht="21.95" customHeight="1" x14ac:dyDescent="0.15"/>
    <row r="50796" spans="3:3" s="9" customFormat="1" ht="21.95" customHeight="1" x14ac:dyDescent="0.15"/>
    <row r="50797" spans="3:3" s="8" customFormat="1" ht="21.95" customHeight="1" x14ac:dyDescent="0.15"/>
    <row r="50798" spans="3:3" s="8" customFormat="1" ht="21.95" customHeight="1" x14ac:dyDescent="0.15"/>
    <row r="50799" spans="3:3" s="8" customFormat="1" ht="21.95" customHeight="1" x14ac:dyDescent="0.15"/>
    <row r="50800" spans="3:3" s="8" customFormat="1" ht="21.95" customHeight="1" x14ac:dyDescent="0.15"/>
    <row r="50801" s="8" customFormat="1" ht="21.95" customHeight="1" x14ac:dyDescent="0.15"/>
    <row r="50802" s="8" customFormat="1" ht="21.95" customHeight="1" x14ac:dyDescent="0.15"/>
    <row r="50803" s="8" customFormat="1" ht="21.95" customHeight="1" x14ac:dyDescent="0.15"/>
    <row r="50804" s="8" customFormat="1" ht="21.95" customHeight="1" x14ac:dyDescent="0.15"/>
    <row r="50805" s="8" customFormat="1" ht="21.95" customHeight="1" x14ac:dyDescent="0.15"/>
    <row r="50806" s="8" customFormat="1" ht="21.95" customHeight="1" x14ac:dyDescent="0.15"/>
    <row r="50807" s="8" customFormat="1" ht="21.95" customHeight="1" x14ac:dyDescent="0.15"/>
    <row r="50808" s="8" customFormat="1" ht="32.1" customHeight="1" x14ac:dyDescent="0.15"/>
    <row r="50809" s="8" customFormat="1" ht="32.1" customHeight="1" x14ac:dyDescent="0.15"/>
    <row r="50810" s="8" customFormat="1" ht="32.1" customHeight="1" x14ac:dyDescent="0.15"/>
    <row r="50811" s="8" customFormat="1" ht="32.1" customHeight="1" x14ac:dyDescent="0.15"/>
    <row r="50812" s="8" customFormat="1" ht="32.1" customHeight="1" x14ac:dyDescent="0.15"/>
    <row r="50813" s="8" customFormat="1" ht="32.1" customHeight="1" x14ac:dyDescent="0.15"/>
    <row r="50814" s="9" customFormat="1" ht="32.1" customHeight="1" x14ac:dyDescent="0.15"/>
    <row r="50815" s="9" customFormat="1" ht="32.1" customHeight="1" x14ac:dyDescent="0.15"/>
    <row r="50816" s="9" customFormat="1" ht="32.1" customHeight="1" x14ac:dyDescent="0.15"/>
    <row r="50817" s="9" customFormat="1" ht="32.1" customHeight="1" x14ac:dyDescent="0.15"/>
    <row r="50818" s="9" customFormat="1" ht="21.95" customHeight="1" x14ac:dyDescent="0.15"/>
    <row r="50819" s="9" customFormat="1" ht="54" customHeight="1" x14ac:dyDescent="0.15"/>
    <row r="50820" s="9" customFormat="1" ht="21.95" customHeight="1" x14ac:dyDescent="0.15"/>
    <row r="50821" s="9" customFormat="1" ht="21.95" customHeight="1" x14ac:dyDescent="0.15"/>
    <row r="50822" s="9" customFormat="1" ht="21.95" customHeight="1" x14ac:dyDescent="0.15"/>
    <row r="50823" s="9" customFormat="1" ht="21.95" customHeight="1" x14ac:dyDescent="0.15"/>
    <row r="50824" s="9" customFormat="1" ht="21.95" customHeight="1" x14ac:dyDescent="0.15"/>
    <row r="50825" s="9" customFormat="1" ht="21.95" customHeight="1" x14ac:dyDescent="0.15"/>
    <row r="50826" s="9" customFormat="1" ht="21.95" customHeight="1" x14ac:dyDescent="0.15"/>
    <row r="50827" s="9" customFormat="1" ht="21.95" customHeight="1" x14ac:dyDescent="0.15"/>
    <row r="50828" s="9" customFormat="1" ht="21.95" customHeight="1" x14ac:dyDescent="0.15"/>
    <row r="50829" s="9" customFormat="1" ht="21.95" customHeight="1" x14ac:dyDescent="0.15"/>
    <row r="50830" s="9" customFormat="1" ht="21.95" customHeight="1" x14ac:dyDescent="0.15"/>
    <row r="50831" s="9" customFormat="1" ht="21.95" customHeight="1" x14ac:dyDescent="0.15"/>
    <row r="50832" s="9" customFormat="1" ht="21.95" customHeight="1" x14ac:dyDescent="0.15"/>
    <row r="50833" s="9" customFormat="1" ht="21.95" customHeight="1" x14ac:dyDescent="0.15"/>
    <row r="50834" s="9" customFormat="1" ht="21.95" customHeight="1" x14ac:dyDescent="0.15"/>
    <row r="50835" s="9" customFormat="1" ht="21.95" customHeight="1" x14ac:dyDescent="0.15"/>
    <row r="50836" s="9" customFormat="1" ht="21.95" customHeight="1" x14ac:dyDescent="0.15"/>
    <row r="50837" s="9" customFormat="1" ht="21.95" customHeight="1" x14ac:dyDescent="0.15"/>
    <row r="50838" s="9" customFormat="1" ht="21.95" customHeight="1" x14ac:dyDescent="0.15"/>
    <row r="50839" s="9" customFormat="1" ht="21.95" customHeight="1" x14ac:dyDescent="0.15"/>
    <row r="50840" s="9" customFormat="1" ht="21.95" customHeight="1" x14ac:dyDescent="0.15"/>
    <row r="50841" s="9" customFormat="1" ht="21.95" customHeight="1" x14ac:dyDescent="0.15"/>
    <row r="50842" s="9" customFormat="1" ht="21.95" customHeight="1" x14ac:dyDescent="0.15"/>
    <row r="50843" s="9" customFormat="1" ht="21.95" customHeight="1" x14ac:dyDescent="0.15"/>
    <row r="50844" s="9" customFormat="1" ht="21.95" customHeight="1" x14ac:dyDescent="0.15"/>
    <row r="50845" s="9" customFormat="1" ht="21.95" customHeight="1" x14ac:dyDescent="0.15"/>
    <row r="50846" s="9" customFormat="1" ht="21.95" customHeight="1" x14ac:dyDescent="0.15"/>
    <row r="50847" s="9" customFormat="1" ht="21.95" customHeight="1" x14ac:dyDescent="0.15"/>
    <row r="50848" s="9" customFormat="1" ht="21.95" customHeight="1" x14ac:dyDescent="0.15"/>
    <row r="50849" s="9" customFormat="1" ht="21.95" customHeight="1" x14ac:dyDescent="0.15"/>
    <row r="50850" s="9" customFormat="1" ht="21.95" customHeight="1" x14ac:dyDescent="0.15"/>
    <row r="50851" s="9" customFormat="1" ht="21.95" customHeight="1" x14ac:dyDescent="0.15"/>
    <row r="50852" s="9" customFormat="1" ht="21.95" customHeight="1" x14ac:dyDescent="0.15"/>
    <row r="50853" s="9" customFormat="1" ht="21.95" customHeight="1" x14ac:dyDescent="0.15"/>
    <row r="50854" s="9" customFormat="1" ht="21.95" customHeight="1" x14ac:dyDescent="0.15"/>
    <row r="50855" s="9" customFormat="1" ht="21.95" customHeight="1" x14ac:dyDescent="0.15"/>
    <row r="50856" s="9" customFormat="1" ht="21.95" customHeight="1" x14ac:dyDescent="0.15"/>
    <row r="50857" s="9" customFormat="1" ht="21.95" customHeight="1" x14ac:dyDescent="0.15"/>
    <row r="50858" s="9" customFormat="1" ht="21.95" customHeight="1" x14ac:dyDescent="0.15"/>
    <row r="50859" s="9" customFormat="1" ht="21.95" customHeight="1" x14ac:dyDescent="0.15"/>
    <row r="50860" s="9" customFormat="1" ht="21.95" customHeight="1" x14ac:dyDescent="0.15"/>
    <row r="50861" s="9" customFormat="1" ht="21.95" customHeight="1" x14ac:dyDescent="0.15"/>
    <row r="50862" s="9" customFormat="1" ht="21.95" customHeight="1" x14ac:dyDescent="0.15"/>
    <row r="50863" s="9" customFormat="1" ht="21.95" customHeight="1" x14ac:dyDescent="0.15"/>
    <row r="50864" s="9" customFormat="1" ht="21.95" customHeight="1" x14ac:dyDescent="0.15"/>
    <row r="50865" s="9" customFormat="1" ht="21.95" customHeight="1" x14ac:dyDescent="0.15"/>
    <row r="50866" s="9" customFormat="1" ht="21.95" customHeight="1" x14ac:dyDescent="0.15"/>
    <row r="50867" s="9" customFormat="1" ht="21.95" customHeight="1" x14ac:dyDescent="0.15"/>
    <row r="50868" s="9" customFormat="1" ht="21.95" customHeight="1" x14ac:dyDescent="0.15"/>
    <row r="50869" s="9" customFormat="1" ht="21.95" customHeight="1" x14ac:dyDescent="0.15"/>
    <row r="50870" s="9" customFormat="1" ht="35.1" customHeight="1" x14ac:dyDescent="0.15"/>
    <row r="50871" s="9" customFormat="1" ht="21.95" customHeight="1" x14ac:dyDescent="0.15"/>
    <row r="50872" s="9" customFormat="1" ht="21.95" customHeight="1" x14ac:dyDescent="0.15"/>
    <row r="50873" s="9" customFormat="1" ht="21.95" customHeight="1" x14ac:dyDescent="0.15"/>
    <row r="50874" s="9" customFormat="1" ht="21.95" customHeight="1" x14ac:dyDescent="0.15"/>
    <row r="50875" s="9" customFormat="1" ht="21.95" customHeight="1" x14ac:dyDescent="0.15"/>
    <row r="50876" s="9" customFormat="1" ht="21.95" customHeight="1" x14ac:dyDescent="0.15"/>
    <row r="50877" s="9" customFormat="1" ht="21.95" customHeight="1" x14ac:dyDescent="0.15"/>
    <row r="50878" s="9" customFormat="1" ht="21.95" customHeight="1" x14ac:dyDescent="0.15"/>
    <row r="50879" s="9" customFormat="1" ht="21.95" customHeight="1" x14ac:dyDescent="0.15"/>
    <row r="50880" s="9" customFormat="1" ht="21.95" customHeight="1" x14ac:dyDescent="0.15"/>
    <row r="50881" spans="3:3" s="9" customFormat="1" ht="21.95" customHeight="1" x14ac:dyDescent="0.15"/>
    <row r="50882" spans="3:3" s="9" customFormat="1" ht="21.95" customHeight="1" x14ac:dyDescent="0.15"/>
    <row r="50883" spans="3:3" s="9" customFormat="1" ht="21.95" customHeight="1" x14ac:dyDescent="0.15"/>
    <row r="50884" spans="3:3" s="9" customFormat="1" ht="21.95" customHeight="1" x14ac:dyDescent="0.15"/>
    <row r="50885" spans="3:3" s="9" customFormat="1" ht="21.95" customHeight="1" x14ac:dyDescent="0.15"/>
    <row r="50886" spans="3:3" s="9" customFormat="1" ht="21.95" customHeight="1" x14ac:dyDescent="0.15"/>
    <row r="50887" spans="3:3" s="9" customFormat="1" ht="21.95" customHeight="1" x14ac:dyDescent="0.15"/>
    <row r="50888" spans="3:3" s="9" customFormat="1" ht="21.95" customHeight="1" x14ac:dyDescent="0.15"/>
    <row r="50889" spans="3:3" s="9" customFormat="1" ht="21.95" customHeight="1" x14ac:dyDescent="0.15"/>
    <row r="50890" spans="3:3" s="9" customFormat="1" ht="21.95" customHeight="1" x14ac:dyDescent="0.15"/>
    <row r="50891" spans="3:3" s="9" customFormat="1" ht="21.95" customHeight="1" x14ac:dyDescent="0.15"/>
    <row r="50892" spans="3:3" s="9" customFormat="1" ht="21.95" customHeight="1" x14ac:dyDescent="0.15"/>
    <row r="50893" spans="3:3" s="9" customFormat="1" ht="21.95" customHeight="1" x14ac:dyDescent="0.15"/>
    <row r="50894" spans="3:3" s="8" customFormat="1" ht="21.95" customHeight="1" x14ac:dyDescent="0.15"/>
    <row r="50895" spans="3:3" s="8" customFormat="1" ht="21.95" customHeight="1" x14ac:dyDescent="0.15"/>
    <row r="50896" spans="3:3" s="8" customFormat="1" ht="21.95" customHeight="1" x14ac:dyDescent="0.15">
      <c r="C50896" s="101"/>
    </row>
    <row r="50897" spans="3:3" s="8" customFormat="1" ht="21.95" customHeight="1" x14ac:dyDescent="0.15">
      <c r="C50897" s="101"/>
    </row>
    <row r="50898" spans="3:3" s="8" customFormat="1" ht="21.95" customHeight="1" x14ac:dyDescent="0.15"/>
    <row r="50899" spans="3:3" s="8" customFormat="1" ht="21.95" customHeight="1" x14ac:dyDescent="0.15"/>
    <row r="50900" spans="3:3" s="8" customFormat="1" ht="21.95" customHeight="1" x14ac:dyDescent="0.15"/>
    <row r="50901" spans="3:3" s="8" customFormat="1" ht="21.95" customHeight="1" x14ac:dyDescent="0.15"/>
    <row r="50902" spans="3:3" s="8" customFormat="1" ht="21.95" customHeight="1" x14ac:dyDescent="0.15"/>
    <row r="50903" spans="3:3" s="8" customFormat="1" ht="21.95" customHeight="1" x14ac:dyDescent="0.15"/>
    <row r="50904" spans="3:3" s="8" customFormat="1" ht="21.95" customHeight="1" x14ac:dyDescent="0.15"/>
    <row r="50905" spans="3:3" s="9" customFormat="1" ht="21.95" customHeight="1" x14ac:dyDescent="0.15"/>
    <row r="50906" spans="3:3" s="9" customFormat="1" ht="21.95" customHeight="1" x14ac:dyDescent="0.15"/>
    <row r="50907" spans="3:3" s="9" customFormat="1" ht="21.95" customHeight="1" x14ac:dyDescent="0.15"/>
    <row r="50908" spans="3:3" s="9" customFormat="1" ht="21.95" customHeight="1" x14ac:dyDescent="0.15"/>
    <row r="50909" spans="3:3" s="8" customFormat="1" ht="21.95" customHeight="1" x14ac:dyDescent="0.15"/>
    <row r="50910" spans="3:3" s="8" customFormat="1" ht="21.95" customHeight="1" x14ac:dyDescent="0.15"/>
    <row r="50911" spans="3:3" s="8" customFormat="1" ht="21.95" customHeight="1" x14ac:dyDescent="0.15"/>
    <row r="50912" spans="3:3" s="8" customFormat="1" ht="21.95" customHeight="1" x14ac:dyDescent="0.15"/>
    <row r="50913" s="8" customFormat="1" ht="21.95" customHeight="1" x14ac:dyDescent="0.15"/>
    <row r="50914" s="8" customFormat="1" ht="21.95" customHeight="1" x14ac:dyDescent="0.15"/>
    <row r="50915" s="8" customFormat="1" ht="21.95" customHeight="1" x14ac:dyDescent="0.15"/>
    <row r="50916" s="8" customFormat="1" ht="21.95" customHeight="1" x14ac:dyDescent="0.15"/>
    <row r="50917" s="8" customFormat="1" ht="21.95" customHeight="1" x14ac:dyDescent="0.15"/>
    <row r="50918" s="8" customFormat="1" ht="21.95" customHeight="1" x14ac:dyDescent="0.15"/>
    <row r="50919" s="8" customFormat="1" ht="21.95" customHeight="1" x14ac:dyDescent="0.15"/>
    <row r="50920" s="8" customFormat="1" ht="32.1" customHeight="1" x14ac:dyDescent="0.15"/>
    <row r="50921" s="8" customFormat="1" ht="32.1" customHeight="1" x14ac:dyDescent="0.15"/>
    <row r="50922" s="8" customFormat="1" ht="32.1" customHeight="1" x14ac:dyDescent="0.15"/>
    <row r="50923" s="8" customFormat="1" ht="32.1" customHeight="1" x14ac:dyDescent="0.15"/>
    <row r="50924" s="8" customFormat="1" ht="32.1" customHeight="1" x14ac:dyDescent="0.15"/>
    <row r="50925" s="8" customFormat="1" ht="32.1" customHeight="1" x14ac:dyDescent="0.15"/>
    <row r="50926" s="9" customFormat="1" ht="32.1" customHeight="1" x14ac:dyDescent="0.15"/>
    <row r="50927" s="9" customFormat="1" ht="32.1" customHeight="1" x14ac:dyDescent="0.15"/>
    <row r="50928" s="9" customFormat="1" ht="32.1" customHeight="1" x14ac:dyDescent="0.15"/>
    <row r="50929" s="9" customFormat="1" ht="32.1" customHeight="1" x14ac:dyDescent="0.15"/>
    <row r="50930" s="9" customFormat="1" ht="21.95" customHeight="1" x14ac:dyDescent="0.15"/>
    <row r="50931" s="9" customFormat="1" ht="54" customHeight="1" x14ac:dyDescent="0.15"/>
    <row r="50932" s="9" customFormat="1" ht="21.95" customHeight="1" x14ac:dyDescent="0.15"/>
    <row r="50933" s="9" customFormat="1" ht="21.95" customHeight="1" x14ac:dyDescent="0.15"/>
    <row r="50934" s="9" customFormat="1" ht="21.95" customHeight="1" x14ac:dyDescent="0.15"/>
    <row r="50935" s="9" customFormat="1" ht="21.95" customHeight="1" x14ac:dyDescent="0.15"/>
    <row r="50936" s="9" customFormat="1" ht="21.95" customHeight="1" x14ac:dyDescent="0.15"/>
    <row r="50937" s="9" customFormat="1" ht="21.95" customHeight="1" x14ac:dyDescent="0.15"/>
    <row r="50938" s="9" customFormat="1" ht="21.95" customHeight="1" x14ac:dyDescent="0.15"/>
    <row r="50939" s="9" customFormat="1" ht="21.95" customHeight="1" x14ac:dyDescent="0.15"/>
    <row r="50940" s="9" customFormat="1" ht="21.95" customHeight="1" x14ac:dyDescent="0.15"/>
    <row r="50941" s="9" customFormat="1" ht="21.95" customHeight="1" x14ac:dyDescent="0.15"/>
    <row r="50942" s="9" customFormat="1" ht="21.95" customHeight="1" x14ac:dyDescent="0.15"/>
    <row r="50943" s="9" customFormat="1" ht="21.95" customHeight="1" x14ac:dyDescent="0.15"/>
    <row r="50944" s="9" customFormat="1" ht="21.95" customHeight="1" x14ac:dyDescent="0.15"/>
    <row r="50945" s="9" customFormat="1" ht="21.95" customHeight="1" x14ac:dyDescent="0.15"/>
    <row r="50946" s="9" customFormat="1" ht="21.95" customHeight="1" x14ac:dyDescent="0.15"/>
    <row r="50947" s="9" customFormat="1" ht="21.95" customHeight="1" x14ac:dyDescent="0.15"/>
    <row r="50948" s="9" customFormat="1" ht="21.95" customHeight="1" x14ac:dyDescent="0.15"/>
    <row r="50949" s="9" customFormat="1" ht="21.95" customHeight="1" x14ac:dyDescent="0.15"/>
    <row r="50950" s="9" customFormat="1" ht="21.95" customHeight="1" x14ac:dyDescent="0.15"/>
    <row r="50951" s="9" customFormat="1" ht="21.95" customHeight="1" x14ac:dyDescent="0.15"/>
    <row r="50952" s="9" customFormat="1" ht="21.95" customHeight="1" x14ac:dyDescent="0.15"/>
    <row r="50953" s="9" customFormat="1" ht="21.95" customHeight="1" x14ac:dyDescent="0.15"/>
    <row r="50954" s="9" customFormat="1" ht="21.95" customHeight="1" x14ac:dyDescent="0.15"/>
    <row r="50955" s="9" customFormat="1" ht="21.95" customHeight="1" x14ac:dyDescent="0.15"/>
    <row r="50956" s="9" customFormat="1" ht="21.95" customHeight="1" x14ac:dyDescent="0.15"/>
    <row r="50957" s="9" customFormat="1" ht="21.95" customHeight="1" x14ac:dyDescent="0.15"/>
    <row r="50958" s="9" customFormat="1" ht="21.95" customHeight="1" x14ac:dyDescent="0.15"/>
    <row r="50959" s="9" customFormat="1" ht="21.95" customHeight="1" x14ac:dyDescent="0.15"/>
    <row r="50960" s="9" customFormat="1" ht="21.95" customHeight="1" x14ac:dyDescent="0.15"/>
    <row r="50961" s="9" customFormat="1" ht="21.95" customHeight="1" x14ac:dyDescent="0.15"/>
    <row r="50962" s="9" customFormat="1" ht="21.95" customHeight="1" x14ac:dyDescent="0.15"/>
    <row r="50963" s="9" customFormat="1" ht="21.95" customHeight="1" x14ac:dyDescent="0.15"/>
    <row r="50964" s="9" customFormat="1" ht="21.95" customHeight="1" x14ac:dyDescent="0.15"/>
    <row r="50965" s="9" customFormat="1" ht="21.95" customHeight="1" x14ac:dyDescent="0.15"/>
    <row r="50966" s="9" customFormat="1" ht="21.95" customHeight="1" x14ac:dyDescent="0.15"/>
    <row r="50967" s="9" customFormat="1" ht="21.95" customHeight="1" x14ac:dyDescent="0.15"/>
    <row r="50968" s="9" customFormat="1" ht="21.95" customHeight="1" x14ac:dyDescent="0.15"/>
    <row r="50969" s="9" customFormat="1" ht="21.95" customHeight="1" x14ac:dyDescent="0.15"/>
    <row r="50970" s="9" customFormat="1" ht="21.95" customHeight="1" x14ac:dyDescent="0.15"/>
    <row r="50971" s="9" customFormat="1" ht="21.95" customHeight="1" x14ac:dyDescent="0.15"/>
    <row r="50972" s="9" customFormat="1" ht="21.95" customHeight="1" x14ac:dyDescent="0.15"/>
    <row r="50973" s="9" customFormat="1" ht="21.95" customHeight="1" x14ac:dyDescent="0.15"/>
    <row r="50974" s="9" customFormat="1" ht="21.95" customHeight="1" x14ac:dyDescent="0.15"/>
    <row r="50975" s="9" customFormat="1" ht="21.95" customHeight="1" x14ac:dyDescent="0.15"/>
    <row r="50976" s="9" customFormat="1" ht="21.95" customHeight="1" x14ac:dyDescent="0.15"/>
    <row r="50977" s="9" customFormat="1" ht="21.95" customHeight="1" x14ac:dyDescent="0.15"/>
    <row r="50978" s="9" customFormat="1" ht="21.95" customHeight="1" x14ac:dyDescent="0.15"/>
    <row r="50979" s="9" customFormat="1" ht="21.95" customHeight="1" x14ac:dyDescent="0.15"/>
    <row r="50980" s="9" customFormat="1" ht="21.95" customHeight="1" x14ac:dyDescent="0.15"/>
    <row r="50981" s="9" customFormat="1" ht="21.95" customHeight="1" x14ac:dyDescent="0.15"/>
    <row r="50982" s="9" customFormat="1" ht="35.1" customHeight="1" x14ac:dyDescent="0.15"/>
    <row r="50983" s="9" customFormat="1" ht="21.95" customHeight="1" x14ac:dyDescent="0.15"/>
    <row r="50984" s="9" customFormat="1" ht="21.95" customHeight="1" x14ac:dyDescent="0.15"/>
    <row r="50985" s="9" customFormat="1" ht="21.95" customHeight="1" x14ac:dyDescent="0.15"/>
    <row r="50986" s="9" customFormat="1" ht="21.95" customHeight="1" x14ac:dyDescent="0.15"/>
    <row r="50987" s="9" customFormat="1" ht="21.95" customHeight="1" x14ac:dyDescent="0.15"/>
    <row r="50988" s="9" customFormat="1" ht="21.95" customHeight="1" x14ac:dyDescent="0.15"/>
    <row r="50989" s="9" customFormat="1" ht="21.95" customHeight="1" x14ac:dyDescent="0.15"/>
    <row r="50990" s="9" customFormat="1" ht="21.95" customHeight="1" x14ac:dyDescent="0.15"/>
    <row r="50991" s="9" customFormat="1" ht="21.95" customHeight="1" x14ac:dyDescent="0.15"/>
    <row r="50992" s="9" customFormat="1" ht="21.95" customHeight="1" x14ac:dyDescent="0.15"/>
    <row r="50993" spans="3:3" s="9" customFormat="1" ht="21.95" customHeight="1" x14ac:dyDescent="0.15"/>
    <row r="50994" spans="3:3" s="9" customFormat="1" ht="21.95" customHeight="1" x14ac:dyDescent="0.15"/>
    <row r="50995" spans="3:3" s="9" customFormat="1" ht="21.95" customHeight="1" x14ac:dyDescent="0.15"/>
    <row r="50996" spans="3:3" s="9" customFormat="1" ht="21.95" customHeight="1" x14ac:dyDescent="0.15"/>
    <row r="50997" spans="3:3" s="9" customFormat="1" ht="21.95" customHeight="1" x14ac:dyDescent="0.15"/>
    <row r="50998" spans="3:3" s="9" customFormat="1" ht="21.95" customHeight="1" x14ac:dyDescent="0.15"/>
    <row r="50999" spans="3:3" s="9" customFormat="1" ht="21.95" customHeight="1" x14ac:dyDescent="0.15"/>
    <row r="51000" spans="3:3" s="9" customFormat="1" ht="21.95" customHeight="1" x14ac:dyDescent="0.15"/>
    <row r="51001" spans="3:3" s="9" customFormat="1" ht="21.95" customHeight="1" x14ac:dyDescent="0.15"/>
    <row r="51002" spans="3:3" s="9" customFormat="1" ht="21.95" customHeight="1" x14ac:dyDescent="0.15"/>
    <row r="51003" spans="3:3" s="9" customFormat="1" ht="21.95" customHeight="1" x14ac:dyDescent="0.15"/>
    <row r="51004" spans="3:3" s="9" customFormat="1" ht="21.95" customHeight="1" x14ac:dyDescent="0.15"/>
    <row r="51005" spans="3:3" s="9" customFormat="1" ht="21.95" customHeight="1" x14ac:dyDescent="0.15"/>
    <row r="51006" spans="3:3" s="8" customFormat="1" ht="21.95" customHeight="1" x14ac:dyDescent="0.15"/>
    <row r="51007" spans="3:3" s="8" customFormat="1" ht="21.95" customHeight="1" x14ac:dyDescent="0.15"/>
    <row r="51008" spans="3:3" s="8" customFormat="1" ht="21.95" customHeight="1" x14ac:dyDescent="0.15">
      <c r="C51008" s="101"/>
    </row>
    <row r="51009" spans="3:3" s="8" customFormat="1" ht="21.95" customHeight="1" x14ac:dyDescent="0.15">
      <c r="C51009" s="101"/>
    </row>
    <row r="51010" spans="3:3" s="8" customFormat="1" ht="21.95" customHeight="1" x14ac:dyDescent="0.15"/>
    <row r="51011" spans="3:3" s="8" customFormat="1" ht="21.95" customHeight="1" x14ac:dyDescent="0.15"/>
    <row r="51012" spans="3:3" s="8" customFormat="1" ht="21.95" customHeight="1" x14ac:dyDescent="0.15"/>
    <row r="51013" spans="3:3" s="8" customFormat="1" ht="21.95" customHeight="1" x14ac:dyDescent="0.15"/>
    <row r="51014" spans="3:3" s="8" customFormat="1" ht="21.95" customHeight="1" x14ac:dyDescent="0.15"/>
    <row r="51015" spans="3:3" s="8" customFormat="1" ht="21.95" customHeight="1" x14ac:dyDescent="0.15"/>
    <row r="51016" spans="3:3" s="8" customFormat="1" ht="21.95" customHeight="1" x14ac:dyDescent="0.15"/>
    <row r="51017" spans="3:3" s="9" customFormat="1" ht="21.95" customHeight="1" x14ac:dyDescent="0.15"/>
    <row r="51018" spans="3:3" s="9" customFormat="1" ht="21.95" customHeight="1" x14ac:dyDescent="0.15"/>
    <row r="51019" spans="3:3" s="9" customFormat="1" ht="21.95" customHeight="1" x14ac:dyDescent="0.15"/>
    <row r="51020" spans="3:3" s="9" customFormat="1" ht="21.95" customHeight="1" x14ac:dyDescent="0.15"/>
    <row r="51021" spans="3:3" s="8" customFormat="1" ht="21.95" customHeight="1" x14ac:dyDescent="0.15"/>
    <row r="51022" spans="3:3" s="8" customFormat="1" ht="21.95" customHeight="1" x14ac:dyDescent="0.15"/>
    <row r="51023" spans="3:3" s="8" customFormat="1" ht="21.95" customHeight="1" x14ac:dyDescent="0.15"/>
    <row r="51024" spans="3:3" s="8" customFormat="1" ht="21.95" customHeight="1" x14ac:dyDescent="0.15"/>
    <row r="51025" s="8" customFormat="1" ht="21.95" customHeight="1" x14ac:dyDescent="0.15"/>
    <row r="51026" s="8" customFormat="1" ht="21.95" customHeight="1" x14ac:dyDescent="0.15"/>
    <row r="51027" s="8" customFormat="1" ht="21.95" customHeight="1" x14ac:dyDescent="0.15"/>
    <row r="51028" s="8" customFormat="1" ht="21.95" customHeight="1" x14ac:dyDescent="0.15"/>
    <row r="51029" s="8" customFormat="1" ht="21.95" customHeight="1" x14ac:dyDescent="0.15"/>
    <row r="51030" s="8" customFormat="1" ht="21.95" customHeight="1" x14ac:dyDescent="0.15"/>
    <row r="51031" s="8" customFormat="1" ht="21.95" customHeight="1" x14ac:dyDescent="0.15"/>
    <row r="51032" s="8" customFormat="1" ht="32.1" customHeight="1" x14ac:dyDescent="0.15"/>
    <row r="51033" s="8" customFormat="1" ht="32.1" customHeight="1" x14ac:dyDescent="0.15"/>
    <row r="51034" s="8" customFormat="1" ht="32.1" customHeight="1" x14ac:dyDescent="0.15"/>
    <row r="51035" s="8" customFormat="1" ht="32.1" customHeight="1" x14ac:dyDescent="0.15"/>
    <row r="51036" s="8" customFormat="1" ht="32.1" customHeight="1" x14ac:dyDescent="0.15"/>
    <row r="51037" s="8" customFormat="1" ht="32.1" customHeight="1" x14ac:dyDescent="0.15"/>
    <row r="51038" s="9" customFormat="1" ht="32.1" customHeight="1" x14ac:dyDescent="0.15"/>
    <row r="51039" s="9" customFormat="1" ht="32.1" customHeight="1" x14ac:dyDescent="0.15"/>
    <row r="51040" s="9" customFormat="1" ht="32.1" customHeight="1" x14ac:dyDescent="0.15"/>
    <row r="51041" s="9" customFormat="1" ht="32.1" customHeight="1" x14ac:dyDescent="0.15"/>
    <row r="51042" s="9" customFormat="1" ht="21.95" customHeight="1" x14ac:dyDescent="0.15"/>
    <row r="51043" s="9" customFormat="1" ht="54" customHeight="1" x14ac:dyDescent="0.15"/>
    <row r="51044" s="9" customFormat="1" ht="21.95" customHeight="1" x14ac:dyDescent="0.15"/>
    <row r="51045" s="9" customFormat="1" ht="21.95" customHeight="1" x14ac:dyDescent="0.15"/>
    <row r="51046" s="9" customFormat="1" ht="21.95" customHeight="1" x14ac:dyDescent="0.15"/>
    <row r="51047" s="9" customFormat="1" ht="21.95" customHeight="1" x14ac:dyDescent="0.15"/>
    <row r="51048" s="9" customFormat="1" ht="21.95" customHeight="1" x14ac:dyDescent="0.15"/>
    <row r="51049" s="9" customFormat="1" ht="21.95" customHeight="1" x14ac:dyDescent="0.15"/>
    <row r="51050" s="9" customFormat="1" ht="21.95" customHeight="1" x14ac:dyDescent="0.15"/>
    <row r="51051" s="9" customFormat="1" ht="21.95" customHeight="1" x14ac:dyDescent="0.15"/>
    <row r="51052" s="9" customFormat="1" ht="21.95" customHeight="1" x14ac:dyDescent="0.15"/>
    <row r="51053" s="9" customFormat="1" ht="21.95" customHeight="1" x14ac:dyDescent="0.15"/>
    <row r="51054" s="9" customFormat="1" ht="21.95" customHeight="1" x14ac:dyDescent="0.15"/>
    <row r="51055" s="9" customFormat="1" ht="21.95" customHeight="1" x14ac:dyDescent="0.15"/>
    <row r="51056" s="9" customFormat="1" ht="21.95" customHeight="1" x14ac:dyDescent="0.15"/>
    <row r="51057" s="9" customFormat="1" ht="21.95" customHeight="1" x14ac:dyDescent="0.15"/>
    <row r="51058" s="9" customFormat="1" ht="21.95" customHeight="1" x14ac:dyDescent="0.15"/>
    <row r="51059" s="9" customFormat="1" ht="21.95" customHeight="1" x14ac:dyDescent="0.15"/>
    <row r="51060" s="9" customFormat="1" ht="21.95" customHeight="1" x14ac:dyDescent="0.15"/>
    <row r="51061" s="9" customFormat="1" ht="21.95" customHeight="1" x14ac:dyDescent="0.15"/>
    <row r="51062" s="9" customFormat="1" ht="21.95" customHeight="1" x14ac:dyDescent="0.15"/>
    <row r="51063" s="9" customFormat="1" ht="21.95" customHeight="1" x14ac:dyDescent="0.15"/>
    <row r="51064" s="9" customFormat="1" ht="21.95" customHeight="1" x14ac:dyDescent="0.15"/>
    <row r="51065" s="9" customFormat="1" ht="21.95" customHeight="1" x14ac:dyDescent="0.15"/>
    <row r="51066" s="9" customFormat="1" ht="21.95" customHeight="1" x14ac:dyDescent="0.15"/>
    <row r="51067" s="9" customFormat="1" ht="21.95" customHeight="1" x14ac:dyDescent="0.15"/>
    <row r="51068" s="9" customFormat="1" ht="21.95" customHeight="1" x14ac:dyDescent="0.15"/>
    <row r="51069" s="9" customFormat="1" ht="21.95" customHeight="1" x14ac:dyDescent="0.15"/>
    <row r="51070" s="9" customFormat="1" ht="21.95" customHeight="1" x14ac:dyDescent="0.15"/>
    <row r="51071" s="9" customFormat="1" ht="21.95" customHeight="1" x14ac:dyDescent="0.15"/>
    <row r="51072" s="9" customFormat="1" ht="21.95" customHeight="1" x14ac:dyDescent="0.15"/>
    <row r="51073" s="9" customFormat="1" ht="21.95" customHeight="1" x14ac:dyDescent="0.15"/>
    <row r="51074" s="9" customFormat="1" ht="21.95" customHeight="1" x14ac:dyDescent="0.15"/>
    <row r="51075" s="9" customFormat="1" ht="21.95" customHeight="1" x14ac:dyDescent="0.15"/>
    <row r="51076" s="9" customFormat="1" ht="21.95" customHeight="1" x14ac:dyDescent="0.15"/>
    <row r="51077" s="9" customFormat="1" ht="21.95" customHeight="1" x14ac:dyDescent="0.15"/>
    <row r="51078" s="9" customFormat="1" ht="21.95" customHeight="1" x14ac:dyDescent="0.15"/>
    <row r="51079" s="9" customFormat="1" ht="21.95" customHeight="1" x14ac:dyDescent="0.15"/>
    <row r="51080" s="9" customFormat="1" ht="21.95" customHeight="1" x14ac:dyDescent="0.15"/>
    <row r="51081" s="9" customFormat="1" ht="21.95" customHeight="1" x14ac:dyDescent="0.15"/>
    <row r="51082" s="9" customFormat="1" ht="21.95" customHeight="1" x14ac:dyDescent="0.15"/>
    <row r="51083" s="9" customFormat="1" ht="21.95" customHeight="1" x14ac:dyDescent="0.15"/>
    <row r="51084" s="9" customFormat="1" ht="21.95" customHeight="1" x14ac:dyDescent="0.15"/>
    <row r="51085" s="9" customFormat="1" ht="21.95" customHeight="1" x14ac:dyDescent="0.15"/>
    <row r="51086" s="9" customFormat="1" ht="21.95" customHeight="1" x14ac:dyDescent="0.15"/>
    <row r="51087" s="9" customFormat="1" ht="21.95" customHeight="1" x14ac:dyDescent="0.15"/>
    <row r="51088" s="9" customFormat="1" ht="21.95" customHeight="1" x14ac:dyDescent="0.15"/>
    <row r="51089" s="9" customFormat="1" ht="21.95" customHeight="1" x14ac:dyDescent="0.15"/>
    <row r="51090" s="9" customFormat="1" ht="21.95" customHeight="1" x14ac:dyDescent="0.15"/>
    <row r="51091" s="9" customFormat="1" ht="21.95" customHeight="1" x14ac:dyDescent="0.15"/>
    <row r="51092" s="9" customFormat="1" ht="21.95" customHeight="1" x14ac:dyDescent="0.15"/>
    <row r="51093" s="9" customFormat="1" ht="21.95" customHeight="1" x14ac:dyDescent="0.15"/>
    <row r="51094" s="9" customFormat="1" ht="35.1" customHeight="1" x14ac:dyDescent="0.15"/>
    <row r="51095" s="9" customFormat="1" ht="21.95" customHeight="1" x14ac:dyDescent="0.15"/>
    <row r="51096" s="9" customFormat="1" ht="21.95" customHeight="1" x14ac:dyDescent="0.15"/>
    <row r="51097" s="9" customFormat="1" ht="21.95" customHeight="1" x14ac:dyDescent="0.15"/>
    <row r="51098" s="9" customFormat="1" ht="21.95" customHeight="1" x14ac:dyDescent="0.15"/>
    <row r="51099" s="9" customFormat="1" ht="21.95" customHeight="1" x14ac:dyDescent="0.15"/>
    <row r="51100" s="9" customFormat="1" ht="21.95" customHeight="1" x14ac:dyDescent="0.15"/>
    <row r="51101" s="9" customFormat="1" ht="21.95" customHeight="1" x14ac:dyDescent="0.15"/>
    <row r="51102" s="9" customFormat="1" ht="21.95" customHeight="1" x14ac:dyDescent="0.15"/>
    <row r="51103" s="9" customFormat="1" ht="21.95" customHeight="1" x14ac:dyDescent="0.15"/>
    <row r="51104" s="9" customFormat="1" ht="21.95" customHeight="1" x14ac:dyDescent="0.15"/>
    <row r="51105" spans="3:3" s="9" customFormat="1" ht="21.95" customHeight="1" x14ac:dyDescent="0.15"/>
    <row r="51106" spans="3:3" s="9" customFormat="1" ht="21.95" customHeight="1" x14ac:dyDescent="0.15"/>
    <row r="51107" spans="3:3" s="9" customFormat="1" ht="21.95" customHeight="1" x14ac:dyDescent="0.15"/>
    <row r="51108" spans="3:3" s="9" customFormat="1" ht="21.95" customHeight="1" x14ac:dyDescent="0.15"/>
    <row r="51109" spans="3:3" s="9" customFormat="1" ht="21.95" customHeight="1" x14ac:dyDescent="0.15"/>
    <row r="51110" spans="3:3" s="9" customFormat="1" ht="21.95" customHeight="1" x14ac:dyDescent="0.15"/>
    <row r="51111" spans="3:3" s="9" customFormat="1" ht="21.95" customHeight="1" x14ac:dyDescent="0.15"/>
    <row r="51112" spans="3:3" s="9" customFormat="1" ht="21.95" customHeight="1" x14ac:dyDescent="0.15"/>
    <row r="51113" spans="3:3" s="9" customFormat="1" ht="21.95" customHeight="1" x14ac:dyDescent="0.15"/>
    <row r="51114" spans="3:3" s="9" customFormat="1" ht="21.95" customHeight="1" x14ac:dyDescent="0.15"/>
    <row r="51115" spans="3:3" s="9" customFormat="1" ht="21.95" customHeight="1" x14ac:dyDescent="0.15"/>
    <row r="51116" spans="3:3" s="9" customFormat="1" ht="21.95" customHeight="1" x14ac:dyDescent="0.15"/>
    <row r="51117" spans="3:3" s="9" customFormat="1" ht="21.95" customHeight="1" x14ac:dyDescent="0.15"/>
    <row r="51118" spans="3:3" s="8" customFormat="1" ht="21.95" customHeight="1" x14ac:dyDescent="0.15"/>
    <row r="51119" spans="3:3" s="8" customFormat="1" ht="21.95" customHeight="1" x14ac:dyDescent="0.15"/>
    <row r="51120" spans="3:3" s="8" customFormat="1" ht="21.95" customHeight="1" x14ac:dyDescent="0.15">
      <c r="C51120" s="101"/>
    </row>
    <row r="51121" spans="3:3" s="8" customFormat="1" ht="21.95" customHeight="1" x14ac:dyDescent="0.15">
      <c r="C51121" s="101"/>
    </row>
    <row r="51122" spans="3:3" s="8" customFormat="1" ht="21.95" customHeight="1" x14ac:dyDescent="0.15"/>
    <row r="51123" spans="3:3" s="8" customFormat="1" ht="21.95" customHeight="1" x14ac:dyDescent="0.15"/>
    <row r="51124" spans="3:3" s="8" customFormat="1" ht="21.95" customHeight="1" x14ac:dyDescent="0.15"/>
    <row r="51125" spans="3:3" s="8" customFormat="1" ht="21.95" customHeight="1" x14ac:dyDescent="0.15"/>
    <row r="51126" spans="3:3" s="8" customFormat="1" ht="21.95" customHeight="1" x14ac:dyDescent="0.15"/>
    <row r="51127" spans="3:3" s="8" customFormat="1" ht="21.95" customHeight="1" x14ac:dyDescent="0.15"/>
    <row r="51128" spans="3:3" s="8" customFormat="1" ht="21.95" customHeight="1" x14ac:dyDescent="0.15"/>
    <row r="51129" spans="3:3" s="9" customFormat="1" ht="21.95" customHeight="1" x14ac:dyDescent="0.15"/>
    <row r="51130" spans="3:3" s="9" customFormat="1" ht="21.95" customHeight="1" x14ac:dyDescent="0.15"/>
    <row r="51131" spans="3:3" s="9" customFormat="1" ht="21.95" customHeight="1" x14ac:dyDescent="0.15"/>
    <row r="51132" spans="3:3" s="9" customFormat="1" ht="21.95" customHeight="1" x14ac:dyDescent="0.15"/>
    <row r="51133" spans="3:3" s="8" customFormat="1" ht="21.95" customHeight="1" x14ac:dyDescent="0.15"/>
    <row r="51134" spans="3:3" s="8" customFormat="1" ht="21.95" customHeight="1" x14ac:dyDescent="0.15"/>
    <row r="51135" spans="3:3" s="8" customFormat="1" ht="21.95" customHeight="1" x14ac:dyDescent="0.15"/>
    <row r="51136" spans="3:3" s="8" customFormat="1" ht="21.95" customHeight="1" x14ac:dyDescent="0.15"/>
    <row r="51137" s="8" customFormat="1" ht="21.95" customHeight="1" x14ac:dyDescent="0.15"/>
    <row r="51138" s="8" customFormat="1" ht="21.95" customHeight="1" x14ac:dyDescent="0.15"/>
    <row r="51139" s="8" customFormat="1" ht="21.95" customHeight="1" x14ac:dyDescent="0.15"/>
    <row r="51140" s="8" customFormat="1" ht="21.95" customHeight="1" x14ac:dyDescent="0.15"/>
    <row r="51141" s="8" customFormat="1" ht="21.95" customHeight="1" x14ac:dyDescent="0.15"/>
    <row r="51142" s="8" customFormat="1" ht="21.95" customHeight="1" x14ac:dyDescent="0.15"/>
    <row r="51143" s="8" customFormat="1" ht="21.95" customHeight="1" x14ac:dyDescent="0.15"/>
    <row r="51144" s="8" customFormat="1" ht="32.1" customHeight="1" x14ac:dyDescent="0.15"/>
    <row r="51145" s="8" customFormat="1" ht="32.1" customHeight="1" x14ac:dyDescent="0.15"/>
    <row r="51146" s="8" customFormat="1" ht="32.1" customHeight="1" x14ac:dyDescent="0.15"/>
    <row r="51147" s="8" customFormat="1" ht="32.1" customHeight="1" x14ac:dyDescent="0.15"/>
    <row r="51148" s="8" customFormat="1" ht="32.1" customHeight="1" x14ac:dyDescent="0.15"/>
    <row r="51149" s="8" customFormat="1" ht="32.1" customHeight="1" x14ac:dyDescent="0.15"/>
    <row r="51150" s="9" customFormat="1" ht="32.1" customHeight="1" x14ac:dyDescent="0.15"/>
    <row r="51151" s="9" customFormat="1" ht="32.1" customHeight="1" x14ac:dyDescent="0.15"/>
    <row r="51152" s="9" customFormat="1" ht="32.1" customHeight="1" x14ac:dyDescent="0.15"/>
    <row r="51153" s="9" customFormat="1" ht="32.1" customHeight="1" x14ac:dyDescent="0.15"/>
    <row r="51154" s="9" customFormat="1" ht="21.95" customHeight="1" x14ac:dyDescent="0.15"/>
    <row r="51155" s="9" customFormat="1" ht="54" customHeight="1" x14ac:dyDescent="0.15"/>
    <row r="51156" s="9" customFormat="1" ht="21.95" customHeight="1" x14ac:dyDescent="0.15"/>
    <row r="51157" s="9" customFormat="1" ht="21.95" customHeight="1" x14ac:dyDescent="0.15"/>
    <row r="51158" s="9" customFormat="1" ht="21.95" customHeight="1" x14ac:dyDescent="0.15"/>
    <row r="51159" s="9" customFormat="1" ht="21.95" customHeight="1" x14ac:dyDescent="0.15"/>
    <row r="51160" s="9" customFormat="1" ht="21.95" customHeight="1" x14ac:dyDescent="0.15"/>
    <row r="51161" s="9" customFormat="1" ht="21.95" customHeight="1" x14ac:dyDescent="0.15"/>
    <row r="51162" s="9" customFormat="1" ht="21.95" customHeight="1" x14ac:dyDescent="0.15"/>
    <row r="51163" s="9" customFormat="1" ht="21.95" customHeight="1" x14ac:dyDescent="0.15"/>
    <row r="51164" s="9" customFormat="1" ht="21.95" customHeight="1" x14ac:dyDescent="0.15"/>
    <row r="51165" s="9" customFormat="1" ht="21.95" customHeight="1" x14ac:dyDescent="0.15"/>
    <row r="51166" s="9" customFormat="1" ht="21.95" customHeight="1" x14ac:dyDescent="0.15"/>
    <row r="51167" s="9" customFormat="1" ht="21.95" customHeight="1" x14ac:dyDescent="0.15"/>
    <row r="51168" s="9" customFormat="1" ht="21.95" customHeight="1" x14ac:dyDescent="0.15"/>
    <row r="51169" s="9" customFormat="1" ht="21.95" customHeight="1" x14ac:dyDescent="0.15"/>
    <row r="51170" s="9" customFormat="1" ht="21.95" customHeight="1" x14ac:dyDescent="0.15"/>
    <row r="51171" s="9" customFormat="1" ht="21.95" customHeight="1" x14ac:dyDescent="0.15"/>
    <row r="51172" s="9" customFormat="1" ht="21.95" customHeight="1" x14ac:dyDescent="0.15"/>
    <row r="51173" s="9" customFormat="1" ht="21.95" customHeight="1" x14ac:dyDescent="0.15"/>
    <row r="51174" s="9" customFormat="1" ht="21.95" customHeight="1" x14ac:dyDescent="0.15"/>
    <row r="51175" s="9" customFormat="1" ht="21.95" customHeight="1" x14ac:dyDescent="0.15"/>
    <row r="51176" s="9" customFormat="1" ht="21.95" customHeight="1" x14ac:dyDescent="0.15"/>
    <row r="51177" s="9" customFormat="1" ht="21.95" customHeight="1" x14ac:dyDescent="0.15"/>
    <row r="51178" s="9" customFormat="1" ht="21.95" customHeight="1" x14ac:dyDescent="0.15"/>
    <row r="51179" s="9" customFormat="1" ht="21.95" customHeight="1" x14ac:dyDescent="0.15"/>
    <row r="51180" s="9" customFormat="1" ht="21.95" customHeight="1" x14ac:dyDescent="0.15"/>
    <row r="51181" s="9" customFormat="1" ht="21.95" customHeight="1" x14ac:dyDescent="0.15"/>
    <row r="51182" s="9" customFormat="1" ht="21.95" customHeight="1" x14ac:dyDescent="0.15"/>
    <row r="51183" s="9" customFormat="1" ht="21.95" customHeight="1" x14ac:dyDescent="0.15"/>
    <row r="51184" s="9" customFormat="1" ht="21.95" customHeight="1" x14ac:dyDescent="0.15"/>
    <row r="51185" s="9" customFormat="1" ht="21.95" customHeight="1" x14ac:dyDescent="0.15"/>
    <row r="51186" s="9" customFormat="1" ht="21.95" customHeight="1" x14ac:dyDescent="0.15"/>
    <row r="51187" s="9" customFormat="1" ht="21.95" customHeight="1" x14ac:dyDescent="0.15"/>
    <row r="51188" s="9" customFormat="1" ht="21.95" customHeight="1" x14ac:dyDescent="0.15"/>
    <row r="51189" s="9" customFormat="1" ht="21.95" customHeight="1" x14ac:dyDescent="0.15"/>
    <row r="51190" s="9" customFormat="1" ht="21.95" customHeight="1" x14ac:dyDescent="0.15"/>
    <row r="51191" s="9" customFormat="1" ht="21.95" customHeight="1" x14ac:dyDescent="0.15"/>
    <row r="51192" s="9" customFormat="1" ht="21.95" customHeight="1" x14ac:dyDescent="0.15"/>
    <row r="51193" s="9" customFormat="1" ht="21.95" customHeight="1" x14ac:dyDescent="0.15"/>
    <row r="51194" s="9" customFormat="1" ht="21.95" customHeight="1" x14ac:dyDescent="0.15"/>
    <row r="51195" s="9" customFormat="1" ht="21.95" customHeight="1" x14ac:dyDescent="0.15"/>
    <row r="51196" s="9" customFormat="1" ht="21.95" customHeight="1" x14ac:dyDescent="0.15"/>
    <row r="51197" s="9" customFormat="1" ht="21.95" customHeight="1" x14ac:dyDescent="0.15"/>
    <row r="51198" s="9" customFormat="1" ht="21.95" customHeight="1" x14ac:dyDescent="0.15"/>
    <row r="51199" s="9" customFormat="1" ht="21.95" customHeight="1" x14ac:dyDescent="0.15"/>
    <row r="51200" s="9" customFormat="1" ht="21.95" customHeight="1" x14ac:dyDescent="0.15"/>
    <row r="51201" s="9" customFormat="1" ht="21.95" customHeight="1" x14ac:dyDescent="0.15"/>
    <row r="51202" s="9" customFormat="1" ht="21.95" customHeight="1" x14ac:dyDescent="0.15"/>
    <row r="51203" s="9" customFormat="1" ht="21.95" customHeight="1" x14ac:dyDescent="0.15"/>
    <row r="51204" s="9" customFormat="1" ht="21.95" customHeight="1" x14ac:dyDescent="0.15"/>
    <row r="51205" s="9" customFormat="1" ht="21.95" customHeight="1" x14ac:dyDescent="0.15"/>
    <row r="51206" s="9" customFormat="1" ht="35.1" customHeight="1" x14ac:dyDescent="0.15"/>
    <row r="51207" s="9" customFormat="1" ht="21.95" customHeight="1" x14ac:dyDescent="0.15"/>
    <row r="51208" s="9" customFormat="1" ht="21.95" customHeight="1" x14ac:dyDescent="0.15"/>
    <row r="51209" s="9" customFormat="1" ht="21.95" customHeight="1" x14ac:dyDescent="0.15"/>
    <row r="51210" s="9" customFormat="1" ht="21.95" customHeight="1" x14ac:dyDescent="0.15"/>
    <row r="51211" s="9" customFormat="1" ht="21.95" customHeight="1" x14ac:dyDescent="0.15"/>
    <row r="51212" s="9" customFormat="1" ht="21.95" customHeight="1" x14ac:dyDescent="0.15"/>
    <row r="51213" s="9" customFormat="1" ht="21.95" customHeight="1" x14ac:dyDescent="0.15"/>
    <row r="51214" s="9" customFormat="1" ht="21.95" customHeight="1" x14ac:dyDescent="0.15"/>
    <row r="51215" s="9" customFormat="1" ht="21.95" customHeight="1" x14ac:dyDescent="0.15"/>
    <row r="51216" s="9" customFormat="1" ht="21.95" customHeight="1" x14ac:dyDescent="0.15"/>
    <row r="51217" spans="3:3" s="9" customFormat="1" ht="21.95" customHeight="1" x14ac:dyDescent="0.15"/>
    <row r="51218" spans="3:3" s="9" customFormat="1" ht="21.95" customHeight="1" x14ac:dyDescent="0.15"/>
    <row r="51219" spans="3:3" s="9" customFormat="1" ht="21.95" customHeight="1" x14ac:dyDescent="0.15"/>
    <row r="51220" spans="3:3" s="9" customFormat="1" ht="21.95" customHeight="1" x14ac:dyDescent="0.15"/>
    <row r="51221" spans="3:3" s="9" customFormat="1" ht="21.95" customHeight="1" x14ac:dyDescent="0.15"/>
    <row r="51222" spans="3:3" s="9" customFormat="1" ht="21.95" customHeight="1" x14ac:dyDescent="0.15"/>
    <row r="51223" spans="3:3" s="9" customFormat="1" ht="21.95" customHeight="1" x14ac:dyDescent="0.15"/>
    <row r="51224" spans="3:3" s="9" customFormat="1" ht="21.95" customHeight="1" x14ac:dyDescent="0.15"/>
    <row r="51225" spans="3:3" s="9" customFormat="1" ht="21.95" customHeight="1" x14ac:dyDescent="0.15"/>
    <row r="51226" spans="3:3" s="9" customFormat="1" ht="21.95" customHeight="1" x14ac:dyDescent="0.15"/>
    <row r="51227" spans="3:3" s="9" customFormat="1" ht="21.95" customHeight="1" x14ac:dyDescent="0.15"/>
    <row r="51228" spans="3:3" s="9" customFormat="1" ht="21.95" customHeight="1" x14ac:dyDescent="0.15"/>
    <row r="51229" spans="3:3" s="9" customFormat="1" ht="21.95" customHeight="1" x14ac:dyDescent="0.15"/>
    <row r="51230" spans="3:3" s="8" customFormat="1" ht="21.95" customHeight="1" x14ac:dyDescent="0.15"/>
    <row r="51231" spans="3:3" s="8" customFormat="1" ht="21.95" customHeight="1" x14ac:dyDescent="0.15"/>
    <row r="51232" spans="3:3" s="8" customFormat="1" ht="21.95" customHeight="1" x14ac:dyDescent="0.15">
      <c r="C51232" s="101"/>
    </row>
    <row r="51233" spans="3:3" s="8" customFormat="1" ht="21.95" customHeight="1" x14ac:dyDescent="0.15">
      <c r="C51233" s="101"/>
    </row>
    <row r="51234" spans="3:3" s="8" customFormat="1" ht="21.95" customHeight="1" x14ac:dyDescent="0.15"/>
    <row r="51235" spans="3:3" s="8" customFormat="1" ht="21.95" customHeight="1" x14ac:dyDescent="0.15"/>
    <row r="51236" spans="3:3" s="8" customFormat="1" ht="21.95" customHeight="1" x14ac:dyDescent="0.15"/>
    <row r="51237" spans="3:3" s="8" customFormat="1" ht="21.95" customHeight="1" x14ac:dyDescent="0.15"/>
    <row r="51238" spans="3:3" s="8" customFormat="1" ht="21.95" customHeight="1" x14ac:dyDescent="0.15"/>
    <row r="51239" spans="3:3" s="8" customFormat="1" ht="21.95" customHeight="1" x14ac:dyDescent="0.15"/>
    <row r="51240" spans="3:3" s="8" customFormat="1" ht="21.95" customHeight="1" x14ac:dyDescent="0.15"/>
    <row r="51241" spans="3:3" s="9" customFormat="1" ht="21.95" customHeight="1" x14ac:dyDescent="0.15"/>
    <row r="51242" spans="3:3" s="9" customFormat="1" ht="21.95" customHeight="1" x14ac:dyDescent="0.15"/>
    <row r="51243" spans="3:3" s="9" customFormat="1" ht="21.95" customHeight="1" x14ac:dyDescent="0.15"/>
    <row r="51244" spans="3:3" s="9" customFormat="1" ht="21.95" customHeight="1" x14ac:dyDescent="0.15"/>
    <row r="51245" spans="3:3" s="8" customFormat="1" ht="21.95" customHeight="1" x14ac:dyDescent="0.15"/>
    <row r="51246" spans="3:3" s="8" customFormat="1" ht="21.95" customHeight="1" x14ac:dyDescent="0.15"/>
    <row r="51247" spans="3:3" s="8" customFormat="1" ht="21.95" customHeight="1" x14ac:dyDescent="0.15"/>
    <row r="51248" spans="3:3" s="8" customFormat="1" ht="21.95" customHeight="1" x14ac:dyDescent="0.15"/>
    <row r="51249" s="8" customFormat="1" ht="21.95" customHeight="1" x14ac:dyDescent="0.15"/>
    <row r="51250" s="8" customFormat="1" ht="21.95" customHeight="1" x14ac:dyDescent="0.15"/>
    <row r="51251" s="8" customFormat="1" ht="21.95" customHeight="1" x14ac:dyDescent="0.15"/>
    <row r="51252" s="8" customFormat="1" ht="21.95" customHeight="1" x14ac:dyDescent="0.15"/>
    <row r="51253" s="8" customFormat="1" ht="21.95" customHeight="1" x14ac:dyDescent="0.15"/>
    <row r="51254" s="8" customFormat="1" ht="21.95" customHeight="1" x14ac:dyDescent="0.15"/>
    <row r="51255" s="8" customFormat="1" ht="21.95" customHeight="1" x14ac:dyDescent="0.15"/>
    <row r="51256" s="8" customFormat="1" ht="32.1" customHeight="1" x14ac:dyDescent="0.15"/>
    <row r="51257" s="8" customFormat="1" ht="32.1" customHeight="1" x14ac:dyDescent="0.15"/>
    <row r="51258" s="8" customFormat="1" ht="32.1" customHeight="1" x14ac:dyDescent="0.15"/>
    <row r="51259" s="8" customFormat="1" ht="32.1" customHeight="1" x14ac:dyDescent="0.15"/>
    <row r="51260" s="8" customFormat="1" ht="32.1" customHeight="1" x14ac:dyDescent="0.15"/>
    <row r="51261" s="8" customFormat="1" ht="32.1" customHeight="1" x14ac:dyDescent="0.15"/>
    <row r="51262" s="9" customFormat="1" ht="32.1" customHeight="1" x14ac:dyDescent="0.15"/>
    <row r="51263" s="9" customFormat="1" ht="32.1" customHeight="1" x14ac:dyDescent="0.15"/>
    <row r="51264" s="9" customFormat="1" ht="32.1" customHeight="1" x14ac:dyDescent="0.15"/>
    <row r="51265" s="9" customFormat="1" ht="32.1" customHeight="1" x14ac:dyDescent="0.15"/>
    <row r="51266" s="9" customFormat="1" ht="21.95" customHeight="1" x14ac:dyDescent="0.15"/>
    <row r="51267" s="9" customFormat="1" ht="54" customHeight="1" x14ac:dyDescent="0.15"/>
    <row r="51268" s="9" customFormat="1" ht="21.95" customHeight="1" x14ac:dyDescent="0.15"/>
    <row r="51269" s="9" customFormat="1" ht="21.95" customHeight="1" x14ac:dyDescent="0.15"/>
    <row r="51270" s="9" customFormat="1" ht="21.95" customHeight="1" x14ac:dyDescent="0.15"/>
    <row r="51271" s="9" customFormat="1" ht="21.95" customHeight="1" x14ac:dyDescent="0.15"/>
    <row r="51272" s="9" customFormat="1" ht="21.95" customHeight="1" x14ac:dyDescent="0.15"/>
    <row r="51273" s="9" customFormat="1" ht="21.95" customHeight="1" x14ac:dyDescent="0.15"/>
    <row r="51274" s="9" customFormat="1" ht="21.95" customHeight="1" x14ac:dyDescent="0.15"/>
    <row r="51275" s="9" customFormat="1" ht="21.95" customHeight="1" x14ac:dyDescent="0.15"/>
    <row r="51276" s="9" customFormat="1" ht="21.95" customHeight="1" x14ac:dyDescent="0.15"/>
    <row r="51277" s="9" customFormat="1" ht="21.95" customHeight="1" x14ac:dyDescent="0.15"/>
    <row r="51278" s="9" customFormat="1" ht="21.95" customHeight="1" x14ac:dyDescent="0.15"/>
    <row r="51279" s="9" customFormat="1" ht="21.95" customHeight="1" x14ac:dyDescent="0.15"/>
    <row r="51280" s="9" customFormat="1" ht="21.95" customHeight="1" x14ac:dyDescent="0.15"/>
    <row r="51281" s="9" customFormat="1" ht="21.95" customHeight="1" x14ac:dyDescent="0.15"/>
    <row r="51282" s="9" customFormat="1" ht="21.95" customHeight="1" x14ac:dyDescent="0.15"/>
    <row r="51283" s="9" customFormat="1" ht="21.95" customHeight="1" x14ac:dyDescent="0.15"/>
    <row r="51284" s="9" customFormat="1" ht="21.95" customHeight="1" x14ac:dyDescent="0.15"/>
    <row r="51285" s="9" customFormat="1" ht="21.95" customHeight="1" x14ac:dyDescent="0.15"/>
    <row r="51286" s="9" customFormat="1" ht="21.95" customHeight="1" x14ac:dyDescent="0.15"/>
    <row r="51287" s="9" customFormat="1" ht="21.95" customHeight="1" x14ac:dyDescent="0.15"/>
    <row r="51288" s="9" customFormat="1" ht="21.95" customHeight="1" x14ac:dyDescent="0.15"/>
    <row r="51289" s="9" customFormat="1" ht="21.95" customHeight="1" x14ac:dyDescent="0.15"/>
    <row r="51290" s="9" customFormat="1" ht="21.95" customHeight="1" x14ac:dyDescent="0.15"/>
    <row r="51291" s="9" customFormat="1" ht="21.95" customHeight="1" x14ac:dyDescent="0.15"/>
    <row r="51292" s="9" customFormat="1" ht="21.95" customHeight="1" x14ac:dyDescent="0.15"/>
    <row r="51293" s="9" customFormat="1" ht="21.95" customHeight="1" x14ac:dyDescent="0.15"/>
    <row r="51294" s="9" customFormat="1" ht="21.95" customHeight="1" x14ac:dyDescent="0.15"/>
    <row r="51295" s="9" customFormat="1" ht="21.95" customHeight="1" x14ac:dyDescent="0.15"/>
    <row r="51296" s="9" customFormat="1" ht="21.95" customHeight="1" x14ac:dyDescent="0.15"/>
    <row r="51297" s="9" customFormat="1" ht="21.95" customHeight="1" x14ac:dyDescent="0.15"/>
    <row r="51298" s="9" customFormat="1" ht="21.95" customHeight="1" x14ac:dyDescent="0.15"/>
    <row r="51299" s="9" customFormat="1" ht="21.95" customHeight="1" x14ac:dyDescent="0.15"/>
    <row r="51300" s="9" customFormat="1" ht="21.95" customHeight="1" x14ac:dyDescent="0.15"/>
    <row r="51301" s="9" customFormat="1" ht="21.95" customHeight="1" x14ac:dyDescent="0.15"/>
    <row r="51302" s="9" customFormat="1" ht="21.95" customHeight="1" x14ac:dyDescent="0.15"/>
    <row r="51303" s="9" customFormat="1" ht="21.95" customHeight="1" x14ac:dyDescent="0.15"/>
    <row r="51304" s="9" customFormat="1" ht="21.95" customHeight="1" x14ac:dyDescent="0.15"/>
    <row r="51305" s="9" customFormat="1" ht="21.95" customHeight="1" x14ac:dyDescent="0.15"/>
    <row r="51306" s="9" customFormat="1" ht="21.95" customHeight="1" x14ac:dyDescent="0.15"/>
    <row r="51307" s="9" customFormat="1" ht="21.95" customHeight="1" x14ac:dyDescent="0.15"/>
    <row r="51308" s="9" customFormat="1" ht="21.95" customHeight="1" x14ac:dyDescent="0.15"/>
    <row r="51309" s="9" customFormat="1" ht="21.95" customHeight="1" x14ac:dyDescent="0.15"/>
    <row r="51310" s="9" customFormat="1" ht="21.95" customHeight="1" x14ac:dyDescent="0.15"/>
    <row r="51311" s="9" customFormat="1" ht="21.95" customHeight="1" x14ac:dyDescent="0.15"/>
    <row r="51312" s="9" customFormat="1" ht="21.95" customHeight="1" x14ac:dyDescent="0.15"/>
    <row r="51313" s="9" customFormat="1" ht="21.95" customHeight="1" x14ac:dyDescent="0.15"/>
    <row r="51314" s="9" customFormat="1" ht="21.95" customHeight="1" x14ac:dyDescent="0.15"/>
    <row r="51315" s="9" customFormat="1" ht="21.95" customHeight="1" x14ac:dyDescent="0.15"/>
    <row r="51316" s="9" customFormat="1" ht="21.95" customHeight="1" x14ac:dyDescent="0.15"/>
    <row r="51317" s="9" customFormat="1" ht="21.95" customHeight="1" x14ac:dyDescent="0.15"/>
    <row r="51318" s="9" customFormat="1" ht="35.1" customHeight="1" x14ac:dyDescent="0.15"/>
    <row r="51319" s="9" customFormat="1" ht="21.95" customHeight="1" x14ac:dyDescent="0.15"/>
    <row r="51320" s="9" customFormat="1" ht="21.95" customHeight="1" x14ac:dyDescent="0.15"/>
    <row r="51321" s="9" customFormat="1" ht="21.95" customHeight="1" x14ac:dyDescent="0.15"/>
    <row r="51322" s="9" customFormat="1" ht="21.95" customHeight="1" x14ac:dyDescent="0.15"/>
    <row r="51323" s="9" customFormat="1" ht="21.95" customHeight="1" x14ac:dyDescent="0.15"/>
    <row r="51324" s="9" customFormat="1" ht="21.95" customHeight="1" x14ac:dyDescent="0.15"/>
    <row r="51325" s="9" customFormat="1" ht="21.95" customHeight="1" x14ac:dyDescent="0.15"/>
    <row r="51326" s="9" customFormat="1" ht="21.95" customHeight="1" x14ac:dyDescent="0.15"/>
    <row r="51327" s="9" customFormat="1" ht="21.95" customHeight="1" x14ac:dyDescent="0.15"/>
    <row r="51328" s="9" customFormat="1" ht="21.95" customHeight="1" x14ac:dyDescent="0.15"/>
    <row r="51329" spans="3:3" s="9" customFormat="1" ht="21.95" customHeight="1" x14ac:dyDescent="0.15"/>
    <row r="51330" spans="3:3" s="9" customFormat="1" ht="21.95" customHeight="1" x14ac:dyDescent="0.15"/>
    <row r="51331" spans="3:3" s="9" customFormat="1" ht="21.95" customHeight="1" x14ac:dyDescent="0.15"/>
    <row r="51332" spans="3:3" s="9" customFormat="1" ht="21.95" customHeight="1" x14ac:dyDescent="0.15"/>
    <row r="51333" spans="3:3" s="9" customFormat="1" ht="21.95" customHeight="1" x14ac:dyDescent="0.15"/>
    <row r="51334" spans="3:3" s="9" customFormat="1" ht="21.95" customHeight="1" x14ac:dyDescent="0.15"/>
    <row r="51335" spans="3:3" s="9" customFormat="1" ht="21.95" customHeight="1" x14ac:dyDescent="0.15"/>
    <row r="51336" spans="3:3" s="9" customFormat="1" ht="21.95" customHeight="1" x14ac:dyDescent="0.15"/>
    <row r="51337" spans="3:3" s="9" customFormat="1" ht="21.95" customHeight="1" x14ac:dyDescent="0.15"/>
    <row r="51338" spans="3:3" s="9" customFormat="1" ht="21.95" customHeight="1" x14ac:dyDescent="0.15"/>
    <row r="51339" spans="3:3" s="9" customFormat="1" ht="21.95" customHeight="1" x14ac:dyDescent="0.15"/>
    <row r="51340" spans="3:3" s="9" customFormat="1" ht="21.95" customHeight="1" x14ac:dyDescent="0.15"/>
    <row r="51341" spans="3:3" s="9" customFormat="1" ht="21.95" customHeight="1" x14ac:dyDescent="0.15"/>
    <row r="51342" spans="3:3" s="8" customFormat="1" ht="21.95" customHeight="1" x14ac:dyDescent="0.15"/>
    <row r="51343" spans="3:3" s="8" customFormat="1" ht="21.95" customHeight="1" x14ac:dyDescent="0.15"/>
    <row r="51344" spans="3:3" s="8" customFormat="1" ht="21.95" customHeight="1" x14ac:dyDescent="0.15">
      <c r="C51344" s="101"/>
    </row>
    <row r="51345" spans="3:3" s="8" customFormat="1" ht="21.95" customHeight="1" x14ac:dyDescent="0.15">
      <c r="C51345" s="101"/>
    </row>
    <row r="51346" spans="3:3" s="8" customFormat="1" ht="21.95" customHeight="1" x14ac:dyDescent="0.15"/>
    <row r="51347" spans="3:3" s="8" customFormat="1" ht="21.95" customHeight="1" x14ac:dyDescent="0.15"/>
    <row r="51348" spans="3:3" s="8" customFormat="1" ht="21.95" customHeight="1" x14ac:dyDescent="0.15"/>
    <row r="51349" spans="3:3" s="8" customFormat="1" ht="21.95" customHeight="1" x14ac:dyDescent="0.15"/>
    <row r="51350" spans="3:3" s="8" customFormat="1" ht="21.95" customHeight="1" x14ac:dyDescent="0.15"/>
    <row r="51351" spans="3:3" s="8" customFormat="1" ht="21.95" customHeight="1" x14ac:dyDescent="0.15"/>
    <row r="51352" spans="3:3" s="8" customFormat="1" ht="21.95" customHeight="1" x14ac:dyDescent="0.15"/>
    <row r="51353" spans="3:3" s="9" customFormat="1" ht="21.95" customHeight="1" x14ac:dyDescent="0.15"/>
    <row r="51354" spans="3:3" s="9" customFormat="1" ht="21.95" customHeight="1" x14ac:dyDescent="0.15"/>
    <row r="51355" spans="3:3" s="9" customFormat="1" ht="21.95" customHeight="1" x14ac:dyDescent="0.15"/>
    <row r="51356" spans="3:3" s="9" customFormat="1" ht="21.95" customHeight="1" x14ac:dyDescent="0.15"/>
    <row r="51357" spans="3:3" s="8" customFormat="1" ht="21.95" customHeight="1" x14ac:dyDescent="0.15"/>
    <row r="51358" spans="3:3" s="8" customFormat="1" ht="21.95" customHeight="1" x14ac:dyDescent="0.15"/>
    <row r="51359" spans="3:3" s="8" customFormat="1" ht="21.95" customHeight="1" x14ac:dyDescent="0.15"/>
    <row r="51360" spans="3:3" s="8" customFormat="1" ht="21.95" customHeight="1" x14ac:dyDescent="0.15"/>
    <row r="51361" s="8" customFormat="1" ht="21.95" customHeight="1" x14ac:dyDescent="0.15"/>
    <row r="51362" s="8" customFormat="1" ht="21.95" customHeight="1" x14ac:dyDescent="0.15"/>
    <row r="51363" s="8" customFormat="1" ht="21.95" customHeight="1" x14ac:dyDescent="0.15"/>
    <row r="51364" s="8" customFormat="1" ht="21.95" customHeight="1" x14ac:dyDescent="0.15"/>
    <row r="51365" s="8" customFormat="1" ht="21.95" customHeight="1" x14ac:dyDescent="0.15"/>
    <row r="51366" s="8" customFormat="1" ht="21.95" customHeight="1" x14ac:dyDescent="0.15"/>
    <row r="51367" s="8" customFormat="1" ht="21.95" customHeight="1" x14ac:dyDescent="0.15"/>
    <row r="51368" s="8" customFormat="1" ht="32.1" customHeight="1" x14ac:dyDescent="0.15"/>
    <row r="51369" s="8" customFormat="1" ht="32.1" customHeight="1" x14ac:dyDescent="0.15"/>
    <row r="51370" s="8" customFormat="1" ht="32.1" customHeight="1" x14ac:dyDescent="0.15"/>
    <row r="51371" s="8" customFormat="1" ht="32.1" customHeight="1" x14ac:dyDescent="0.15"/>
    <row r="51372" s="8" customFormat="1" ht="32.1" customHeight="1" x14ac:dyDescent="0.15"/>
    <row r="51373" s="8" customFormat="1" ht="32.1" customHeight="1" x14ac:dyDescent="0.15"/>
    <row r="51374" s="9" customFormat="1" ht="32.1" customHeight="1" x14ac:dyDescent="0.15"/>
    <row r="51375" s="9" customFormat="1" ht="32.1" customHeight="1" x14ac:dyDescent="0.15"/>
    <row r="51376" s="9" customFormat="1" ht="32.1" customHeight="1" x14ac:dyDescent="0.15"/>
    <row r="51377" s="9" customFormat="1" ht="32.1" customHeight="1" x14ac:dyDescent="0.15"/>
    <row r="51378" s="9" customFormat="1" ht="21.95" customHeight="1" x14ac:dyDescent="0.15"/>
    <row r="51379" s="9" customFormat="1" ht="54" customHeight="1" x14ac:dyDescent="0.15"/>
    <row r="51380" s="9" customFormat="1" ht="21.95" customHeight="1" x14ac:dyDescent="0.15"/>
    <row r="51381" s="9" customFormat="1" ht="21.95" customHeight="1" x14ac:dyDescent="0.15"/>
    <row r="51382" s="9" customFormat="1" ht="21.95" customHeight="1" x14ac:dyDescent="0.15"/>
    <row r="51383" s="9" customFormat="1" ht="21.95" customHeight="1" x14ac:dyDescent="0.15"/>
    <row r="51384" s="9" customFormat="1" ht="21.95" customHeight="1" x14ac:dyDescent="0.15"/>
    <row r="51385" s="9" customFormat="1" ht="21.95" customHeight="1" x14ac:dyDescent="0.15"/>
    <row r="51386" s="9" customFormat="1" ht="21.95" customHeight="1" x14ac:dyDescent="0.15"/>
    <row r="51387" s="9" customFormat="1" ht="21.95" customHeight="1" x14ac:dyDescent="0.15"/>
    <row r="51388" s="9" customFormat="1" ht="21.95" customHeight="1" x14ac:dyDescent="0.15"/>
    <row r="51389" s="9" customFormat="1" ht="21.95" customHeight="1" x14ac:dyDescent="0.15"/>
    <row r="51390" s="9" customFormat="1" ht="21.95" customHeight="1" x14ac:dyDescent="0.15"/>
    <row r="51391" s="9" customFormat="1" ht="21.95" customHeight="1" x14ac:dyDescent="0.15"/>
    <row r="51392" s="9" customFormat="1" ht="21.95" customHeight="1" x14ac:dyDescent="0.15"/>
    <row r="51393" s="9" customFormat="1" ht="21.95" customHeight="1" x14ac:dyDescent="0.15"/>
    <row r="51394" s="9" customFormat="1" ht="21.95" customHeight="1" x14ac:dyDescent="0.15"/>
    <row r="51395" s="9" customFormat="1" ht="21.95" customHeight="1" x14ac:dyDescent="0.15"/>
    <row r="51396" s="9" customFormat="1" ht="21.95" customHeight="1" x14ac:dyDescent="0.15"/>
    <row r="51397" s="9" customFormat="1" ht="21.95" customHeight="1" x14ac:dyDescent="0.15"/>
    <row r="51398" s="9" customFormat="1" ht="21.95" customHeight="1" x14ac:dyDescent="0.15"/>
    <row r="51399" s="9" customFormat="1" ht="21.95" customHeight="1" x14ac:dyDescent="0.15"/>
    <row r="51400" s="9" customFormat="1" ht="21.95" customHeight="1" x14ac:dyDescent="0.15"/>
    <row r="51401" s="9" customFormat="1" ht="21.95" customHeight="1" x14ac:dyDescent="0.15"/>
    <row r="51402" s="9" customFormat="1" ht="21.95" customHeight="1" x14ac:dyDescent="0.15"/>
    <row r="51403" s="9" customFormat="1" ht="21.95" customHeight="1" x14ac:dyDescent="0.15"/>
    <row r="51404" s="9" customFormat="1" ht="21.95" customHeight="1" x14ac:dyDescent="0.15"/>
    <row r="51405" s="9" customFormat="1" ht="21.95" customHeight="1" x14ac:dyDescent="0.15"/>
    <row r="51406" s="9" customFormat="1" ht="21.95" customHeight="1" x14ac:dyDescent="0.15"/>
    <row r="51407" s="9" customFormat="1" ht="21.95" customHeight="1" x14ac:dyDescent="0.15"/>
    <row r="51408" s="9" customFormat="1" ht="21.95" customHeight="1" x14ac:dyDescent="0.15"/>
    <row r="51409" s="9" customFormat="1" ht="21.95" customHeight="1" x14ac:dyDescent="0.15"/>
    <row r="51410" s="9" customFormat="1" ht="21.95" customHeight="1" x14ac:dyDescent="0.15"/>
    <row r="51411" s="9" customFormat="1" ht="21.95" customHeight="1" x14ac:dyDescent="0.15"/>
    <row r="51412" s="9" customFormat="1" ht="21.95" customHeight="1" x14ac:dyDescent="0.15"/>
    <row r="51413" s="9" customFormat="1" ht="21.95" customHeight="1" x14ac:dyDescent="0.15"/>
    <row r="51414" s="9" customFormat="1" ht="21.95" customHeight="1" x14ac:dyDescent="0.15"/>
    <row r="51415" s="9" customFormat="1" ht="21.95" customHeight="1" x14ac:dyDescent="0.15"/>
    <row r="51416" s="9" customFormat="1" ht="21.95" customHeight="1" x14ac:dyDescent="0.15"/>
    <row r="51417" s="9" customFormat="1" ht="21.95" customHeight="1" x14ac:dyDescent="0.15"/>
    <row r="51418" s="9" customFormat="1" ht="21.95" customHeight="1" x14ac:dyDescent="0.15"/>
    <row r="51419" s="9" customFormat="1" ht="21.95" customHeight="1" x14ac:dyDescent="0.15"/>
    <row r="51420" s="9" customFormat="1" ht="21.95" customHeight="1" x14ac:dyDescent="0.15"/>
    <row r="51421" s="9" customFormat="1" ht="21.95" customHeight="1" x14ac:dyDescent="0.15"/>
    <row r="51422" s="9" customFormat="1" ht="21.95" customHeight="1" x14ac:dyDescent="0.15"/>
    <row r="51423" s="9" customFormat="1" ht="21.95" customHeight="1" x14ac:dyDescent="0.15"/>
    <row r="51424" s="9" customFormat="1" ht="21.95" customHeight="1" x14ac:dyDescent="0.15"/>
    <row r="51425" s="9" customFormat="1" ht="21.95" customHeight="1" x14ac:dyDescent="0.15"/>
    <row r="51426" s="9" customFormat="1" ht="21.95" customHeight="1" x14ac:dyDescent="0.15"/>
    <row r="51427" s="9" customFormat="1" ht="21.95" customHeight="1" x14ac:dyDescent="0.15"/>
    <row r="51428" s="9" customFormat="1" ht="21.95" customHeight="1" x14ac:dyDescent="0.15"/>
    <row r="51429" s="9" customFormat="1" ht="21.95" customHeight="1" x14ac:dyDescent="0.15"/>
    <row r="51430" s="9" customFormat="1" ht="35.1" customHeight="1" x14ac:dyDescent="0.15"/>
    <row r="51431" s="9" customFormat="1" ht="21.95" customHeight="1" x14ac:dyDescent="0.15"/>
    <row r="51432" s="9" customFormat="1" ht="21.95" customHeight="1" x14ac:dyDescent="0.15"/>
    <row r="51433" s="9" customFormat="1" ht="21.95" customHeight="1" x14ac:dyDescent="0.15"/>
    <row r="51434" s="9" customFormat="1" ht="21.95" customHeight="1" x14ac:dyDescent="0.15"/>
    <row r="51435" s="9" customFormat="1" ht="21.95" customHeight="1" x14ac:dyDescent="0.15"/>
    <row r="51436" s="9" customFormat="1" ht="21.95" customHeight="1" x14ac:dyDescent="0.15"/>
    <row r="51437" s="9" customFormat="1" ht="21.95" customHeight="1" x14ac:dyDescent="0.15"/>
    <row r="51438" s="9" customFormat="1" ht="21.95" customHeight="1" x14ac:dyDescent="0.15"/>
    <row r="51439" s="9" customFormat="1" ht="21.95" customHeight="1" x14ac:dyDescent="0.15"/>
    <row r="51440" s="9" customFormat="1" ht="21.95" customHeight="1" x14ac:dyDescent="0.15"/>
    <row r="51441" spans="3:3" s="9" customFormat="1" ht="21.95" customHeight="1" x14ac:dyDescent="0.15"/>
    <row r="51442" spans="3:3" s="9" customFormat="1" ht="21.95" customHeight="1" x14ac:dyDescent="0.15"/>
    <row r="51443" spans="3:3" s="9" customFormat="1" ht="21.95" customHeight="1" x14ac:dyDescent="0.15"/>
    <row r="51444" spans="3:3" s="9" customFormat="1" ht="21.95" customHeight="1" x14ac:dyDescent="0.15"/>
    <row r="51445" spans="3:3" s="9" customFormat="1" ht="21.95" customHeight="1" x14ac:dyDescent="0.15"/>
    <row r="51446" spans="3:3" s="9" customFormat="1" ht="21.95" customHeight="1" x14ac:dyDescent="0.15"/>
    <row r="51447" spans="3:3" s="9" customFormat="1" ht="21.95" customHeight="1" x14ac:dyDescent="0.15"/>
    <row r="51448" spans="3:3" s="9" customFormat="1" ht="21.95" customHeight="1" x14ac:dyDescent="0.15"/>
    <row r="51449" spans="3:3" s="9" customFormat="1" ht="21.95" customHeight="1" x14ac:dyDescent="0.15"/>
    <row r="51450" spans="3:3" s="9" customFormat="1" ht="21.95" customHeight="1" x14ac:dyDescent="0.15"/>
    <row r="51451" spans="3:3" s="9" customFormat="1" ht="21.95" customHeight="1" x14ac:dyDescent="0.15"/>
    <row r="51452" spans="3:3" s="9" customFormat="1" ht="21.95" customHeight="1" x14ac:dyDescent="0.15"/>
    <row r="51453" spans="3:3" s="9" customFormat="1" ht="21.95" customHeight="1" x14ac:dyDescent="0.15"/>
    <row r="51454" spans="3:3" s="8" customFormat="1" ht="21.95" customHeight="1" x14ac:dyDescent="0.15"/>
    <row r="51455" spans="3:3" s="8" customFormat="1" ht="21.95" customHeight="1" x14ac:dyDescent="0.15"/>
    <row r="51456" spans="3:3" s="8" customFormat="1" ht="21.95" customHeight="1" x14ac:dyDescent="0.15">
      <c r="C51456" s="101"/>
    </row>
    <row r="51457" spans="3:3" s="8" customFormat="1" ht="21.95" customHeight="1" x14ac:dyDescent="0.15">
      <c r="C51457" s="101"/>
    </row>
    <row r="51458" spans="3:3" s="8" customFormat="1" ht="21.95" customHeight="1" x14ac:dyDescent="0.15"/>
    <row r="51459" spans="3:3" s="8" customFormat="1" ht="21.95" customHeight="1" x14ac:dyDescent="0.15"/>
    <row r="51460" spans="3:3" s="8" customFormat="1" ht="21.95" customHeight="1" x14ac:dyDescent="0.15"/>
    <row r="51461" spans="3:3" s="8" customFormat="1" ht="21.95" customHeight="1" x14ac:dyDescent="0.15"/>
    <row r="51462" spans="3:3" s="8" customFormat="1" ht="21.95" customHeight="1" x14ac:dyDescent="0.15"/>
    <row r="51463" spans="3:3" s="8" customFormat="1" ht="21.95" customHeight="1" x14ac:dyDescent="0.15"/>
    <row r="51464" spans="3:3" s="8" customFormat="1" ht="21.95" customHeight="1" x14ac:dyDescent="0.15"/>
    <row r="51465" spans="3:3" s="9" customFormat="1" ht="21.95" customHeight="1" x14ac:dyDescent="0.15"/>
    <row r="51466" spans="3:3" s="9" customFormat="1" ht="21.95" customHeight="1" x14ac:dyDescent="0.15"/>
    <row r="51467" spans="3:3" s="9" customFormat="1" ht="21.95" customHeight="1" x14ac:dyDescent="0.15"/>
    <row r="51468" spans="3:3" s="9" customFormat="1" ht="21.95" customHeight="1" x14ac:dyDescent="0.15"/>
    <row r="51469" spans="3:3" s="8" customFormat="1" ht="21.95" customHeight="1" x14ac:dyDescent="0.15"/>
    <row r="51470" spans="3:3" s="8" customFormat="1" ht="21.95" customHeight="1" x14ac:dyDescent="0.15"/>
    <row r="51471" spans="3:3" s="8" customFormat="1" ht="21.95" customHeight="1" x14ac:dyDescent="0.15"/>
    <row r="51472" spans="3:3" s="8" customFormat="1" ht="21.95" customHeight="1" x14ac:dyDescent="0.15"/>
    <row r="51473" s="8" customFormat="1" ht="21.95" customHeight="1" x14ac:dyDescent="0.15"/>
    <row r="51474" s="8" customFormat="1" ht="21.95" customHeight="1" x14ac:dyDescent="0.15"/>
    <row r="51475" s="8" customFormat="1" ht="21.95" customHeight="1" x14ac:dyDescent="0.15"/>
    <row r="51476" s="8" customFormat="1" ht="21.95" customHeight="1" x14ac:dyDescent="0.15"/>
    <row r="51477" s="8" customFormat="1" ht="21.95" customHeight="1" x14ac:dyDescent="0.15"/>
    <row r="51478" s="8" customFormat="1" ht="21.95" customHeight="1" x14ac:dyDescent="0.15"/>
    <row r="51479" s="8" customFormat="1" ht="21.95" customHeight="1" x14ac:dyDescent="0.15"/>
    <row r="51480" s="8" customFormat="1" ht="32.1" customHeight="1" x14ac:dyDescent="0.15"/>
    <row r="51481" s="8" customFormat="1" ht="32.1" customHeight="1" x14ac:dyDescent="0.15"/>
    <row r="51482" s="8" customFormat="1" ht="32.1" customHeight="1" x14ac:dyDescent="0.15"/>
    <row r="51483" s="8" customFormat="1" ht="32.1" customHeight="1" x14ac:dyDescent="0.15"/>
    <row r="51484" s="8" customFormat="1" ht="32.1" customHeight="1" x14ac:dyDescent="0.15"/>
    <row r="51485" s="8" customFormat="1" ht="32.1" customHeight="1" x14ac:dyDescent="0.15"/>
    <row r="51486" s="9" customFormat="1" ht="32.1" customHeight="1" x14ac:dyDescent="0.15"/>
    <row r="51487" s="9" customFormat="1" ht="32.1" customHeight="1" x14ac:dyDescent="0.15"/>
    <row r="51488" s="9" customFormat="1" ht="32.1" customHeight="1" x14ac:dyDescent="0.15"/>
    <row r="51489" s="9" customFormat="1" ht="32.1" customHeight="1" x14ac:dyDescent="0.15"/>
    <row r="51490" s="9" customFormat="1" ht="21.95" customHeight="1" x14ac:dyDescent="0.15"/>
    <row r="51491" s="9" customFormat="1" ht="54" customHeight="1" x14ac:dyDescent="0.15"/>
    <row r="51492" s="9" customFormat="1" ht="21.95" customHeight="1" x14ac:dyDescent="0.15"/>
    <row r="51493" s="9" customFormat="1" ht="21.95" customHeight="1" x14ac:dyDescent="0.15"/>
    <row r="51494" s="9" customFormat="1" ht="21.95" customHeight="1" x14ac:dyDescent="0.15"/>
    <row r="51495" s="9" customFormat="1" ht="21.95" customHeight="1" x14ac:dyDescent="0.15"/>
    <row r="51496" s="9" customFormat="1" ht="21.95" customHeight="1" x14ac:dyDescent="0.15"/>
    <row r="51497" s="9" customFormat="1" ht="21.95" customHeight="1" x14ac:dyDescent="0.15"/>
    <row r="51498" s="9" customFormat="1" ht="21.95" customHeight="1" x14ac:dyDescent="0.15"/>
    <row r="51499" s="9" customFormat="1" ht="21.95" customHeight="1" x14ac:dyDescent="0.15"/>
    <row r="51500" s="9" customFormat="1" ht="21.95" customHeight="1" x14ac:dyDescent="0.15"/>
    <row r="51501" s="9" customFormat="1" ht="21.95" customHeight="1" x14ac:dyDescent="0.15"/>
    <row r="51502" s="9" customFormat="1" ht="21.95" customHeight="1" x14ac:dyDescent="0.15"/>
    <row r="51503" s="9" customFormat="1" ht="21.95" customHeight="1" x14ac:dyDescent="0.15"/>
    <row r="51504" s="9" customFormat="1" ht="21.95" customHeight="1" x14ac:dyDescent="0.15"/>
    <row r="51505" s="9" customFormat="1" ht="21.95" customHeight="1" x14ac:dyDescent="0.15"/>
    <row r="51506" s="9" customFormat="1" ht="21.95" customHeight="1" x14ac:dyDescent="0.15"/>
    <row r="51507" s="9" customFormat="1" ht="21.95" customHeight="1" x14ac:dyDescent="0.15"/>
    <row r="51508" s="9" customFormat="1" ht="21.95" customHeight="1" x14ac:dyDescent="0.15"/>
    <row r="51509" s="9" customFormat="1" ht="21.95" customHeight="1" x14ac:dyDescent="0.15"/>
    <row r="51510" s="9" customFormat="1" ht="21.95" customHeight="1" x14ac:dyDescent="0.15"/>
    <row r="51511" s="9" customFormat="1" ht="21.95" customHeight="1" x14ac:dyDescent="0.15"/>
    <row r="51512" s="9" customFormat="1" ht="21.95" customHeight="1" x14ac:dyDescent="0.15"/>
    <row r="51513" s="9" customFormat="1" ht="21.95" customHeight="1" x14ac:dyDescent="0.15"/>
    <row r="51514" s="9" customFormat="1" ht="21.95" customHeight="1" x14ac:dyDescent="0.15"/>
    <row r="51515" s="9" customFormat="1" ht="21.95" customHeight="1" x14ac:dyDescent="0.15"/>
    <row r="51516" s="9" customFormat="1" ht="21.95" customHeight="1" x14ac:dyDescent="0.15"/>
    <row r="51517" s="9" customFormat="1" ht="21.95" customHeight="1" x14ac:dyDescent="0.15"/>
    <row r="51518" s="9" customFormat="1" ht="21.95" customHeight="1" x14ac:dyDescent="0.15"/>
    <row r="51519" s="9" customFormat="1" ht="21.95" customHeight="1" x14ac:dyDescent="0.15"/>
    <row r="51520" s="9" customFormat="1" ht="21.95" customHeight="1" x14ac:dyDescent="0.15"/>
    <row r="51521" s="9" customFormat="1" ht="21.95" customHeight="1" x14ac:dyDescent="0.15"/>
    <row r="51522" s="9" customFormat="1" ht="21.95" customHeight="1" x14ac:dyDescent="0.15"/>
    <row r="51523" s="9" customFormat="1" ht="21.95" customHeight="1" x14ac:dyDescent="0.15"/>
    <row r="51524" s="9" customFormat="1" ht="21.95" customHeight="1" x14ac:dyDescent="0.15"/>
    <row r="51525" s="9" customFormat="1" ht="21.95" customHeight="1" x14ac:dyDescent="0.15"/>
    <row r="51526" s="9" customFormat="1" ht="21.95" customHeight="1" x14ac:dyDescent="0.15"/>
    <row r="51527" s="9" customFormat="1" ht="21.95" customHeight="1" x14ac:dyDescent="0.15"/>
    <row r="51528" s="9" customFormat="1" ht="21.95" customHeight="1" x14ac:dyDescent="0.15"/>
    <row r="51529" s="9" customFormat="1" ht="21.95" customHeight="1" x14ac:dyDescent="0.15"/>
    <row r="51530" s="9" customFormat="1" ht="21.95" customHeight="1" x14ac:dyDescent="0.15"/>
    <row r="51531" s="9" customFormat="1" ht="21.95" customHeight="1" x14ac:dyDescent="0.15"/>
    <row r="51532" s="9" customFormat="1" ht="21.95" customHeight="1" x14ac:dyDescent="0.15"/>
    <row r="51533" s="9" customFormat="1" ht="21.95" customHeight="1" x14ac:dyDescent="0.15"/>
    <row r="51534" s="9" customFormat="1" ht="21.95" customHeight="1" x14ac:dyDescent="0.15"/>
    <row r="51535" s="9" customFormat="1" ht="21.95" customHeight="1" x14ac:dyDescent="0.15"/>
    <row r="51536" s="9" customFormat="1" ht="21.95" customHeight="1" x14ac:dyDescent="0.15"/>
    <row r="51537" s="9" customFormat="1" ht="21.95" customHeight="1" x14ac:dyDescent="0.15"/>
    <row r="51538" s="9" customFormat="1" ht="21.95" customHeight="1" x14ac:dyDescent="0.15"/>
    <row r="51539" s="9" customFormat="1" ht="21.95" customHeight="1" x14ac:dyDescent="0.15"/>
    <row r="51540" s="9" customFormat="1" ht="21.95" customHeight="1" x14ac:dyDescent="0.15"/>
    <row r="51541" s="9" customFormat="1" ht="21.95" customHeight="1" x14ac:dyDescent="0.15"/>
    <row r="51542" s="9" customFormat="1" ht="35.1" customHeight="1" x14ac:dyDescent="0.15"/>
    <row r="51543" s="9" customFormat="1" ht="21.95" customHeight="1" x14ac:dyDescent="0.15"/>
    <row r="51544" s="9" customFormat="1" ht="21.95" customHeight="1" x14ac:dyDescent="0.15"/>
    <row r="51545" s="9" customFormat="1" ht="21.95" customHeight="1" x14ac:dyDescent="0.15"/>
    <row r="51546" s="9" customFormat="1" ht="21.95" customHeight="1" x14ac:dyDescent="0.15"/>
    <row r="51547" s="9" customFormat="1" ht="21.95" customHeight="1" x14ac:dyDescent="0.15"/>
    <row r="51548" s="9" customFormat="1" ht="21.95" customHeight="1" x14ac:dyDescent="0.15"/>
    <row r="51549" s="9" customFormat="1" ht="21.95" customHeight="1" x14ac:dyDescent="0.15"/>
    <row r="51550" s="9" customFormat="1" ht="21.95" customHeight="1" x14ac:dyDescent="0.15"/>
    <row r="51551" s="9" customFormat="1" ht="21.95" customHeight="1" x14ac:dyDescent="0.15"/>
    <row r="51552" s="9" customFormat="1" ht="21.95" customHeight="1" x14ac:dyDescent="0.15"/>
    <row r="51553" spans="3:3" s="9" customFormat="1" ht="21.95" customHeight="1" x14ac:dyDescent="0.15"/>
    <row r="51554" spans="3:3" s="9" customFormat="1" ht="21.95" customHeight="1" x14ac:dyDescent="0.15"/>
    <row r="51555" spans="3:3" s="9" customFormat="1" ht="21.95" customHeight="1" x14ac:dyDescent="0.15"/>
    <row r="51556" spans="3:3" s="9" customFormat="1" ht="21.95" customHeight="1" x14ac:dyDescent="0.15"/>
    <row r="51557" spans="3:3" s="9" customFormat="1" ht="21.95" customHeight="1" x14ac:dyDescent="0.15"/>
    <row r="51558" spans="3:3" s="9" customFormat="1" ht="21.95" customHeight="1" x14ac:dyDescent="0.15"/>
    <row r="51559" spans="3:3" s="9" customFormat="1" ht="21.95" customHeight="1" x14ac:dyDescent="0.15"/>
    <row r="51560" spans="3:3" s="9" customFormat="1" ht="21.95" customHeight="1" x14ac:dyDescent="0.15"/>
    <row r="51561" spans="3:3" s="9" customFormat="1" ht="21.95" customHeight="1" x14ac:dyDescent="0.15"/>
    <row r="51562" spans="3:3" s="9" customFormat="1" ht="21.95" customHeight="1" x14ac:dyDescent="0.15"/>
    <row r="51563" spans="3:3" s="9" customFormat="1" ht="21.95" customHeight="1" x14ac:dyDescent="0.15"/>
    <row r="51564" spans="3:3" s="9" customFormat="1" ht="21.95" customHeight="1" x14ac:dyDescent="0.15"/>
    <row r="51565" spans="3:3" s="9" customFormat="1" ht="21.95" customHeight="1" x14ac:dyDescent="0.15"/>
    <row r="51566" spans="3:3" s="8" customFormat="1" ht="21.95" customHeight="1" x14ac:dyDescent="0.15"/>
    <row r="51567" spans="3:3" s="8" customFormat="1" ht="21.95" customHeight="1" x14ac:dyDescent="0.15"/>
    <row r="51568" spans="3:3" s="8" customFormat="1" ht="21.95" customHeight="1" x14ac:dyDescent="0.15">
      <c r="C51568" s="101"/>
    </row>
    <row r="51569" spans="3:3" s="8" customFormat="1" ht="21.95" customHeight="1" x14ac:dyDescent="0.15">
      <c r="C51569" s="101"/>
    </row>
    <row r="51570" spans="3:3" s="8" customFormat="1" ht="21.95" customHeight="1" x14ac:dyDescent="0.15"/>
    <row r="51571" spans="3:3" s="8" customFormat="1" ht="21.95" customHeight="1" x14ac:dyDescent="0.15"/>
    <row r="51572" spans="3:3" s="8" customFormat="1" ht="21.95" customHeight="1" x14ac:dyDescent="0.15"/>
    <row r="51573" spans="3:3" s="8" customFormat="1" ht="21.95" customHeight="1" x14ac:dyDescent="0.15"/>
    <row r="51574" spans="3:3" s="8" customFormat="1" ht="21.95" customHeight="1" x14ac:dyDescent="0.15"/>
    <row r="51575" spans="3:3" s="8" customFormat="1" ht="21.95" customHeight="1" x14ac:dyDescent="0.15"/>
    <row r="51576" spans="3:3" s="8" customFormat="1" ht="21.95" customHeight="1" x14ac:dyDescent="0.15"/>
    <row r="51577" spans="3:3" s="9" customFormat="1" ht="21.95" customHeight="1" x14ac:dyDescent="0.15"/>
    <row r="51578" spans="3:3" s="9" customFormat="1" ht="21.95" customHeight="1" x14ac:dyDescent="0.15"/>
    <row r="51579" spans="3:3" s="9" customFormat="1" ht="21.95" customHeight="1" x14ac:dyDescent="0.15"/>
    <row r="51580" spans="3:3" s="9" customFormat="1" ht="21.95" customHeight="1" x14ac:dyDescent="0.15"/>
    <row r="51581" spans="3:3" s="8" customFormat="1" ht="21.95" customHeight="1" x14ac:dyDescent="0.15"/>
    <row r="51582" spans="3:3" s="8" customFormat="1" ht="21.95" customHeight="1" x14ac:dyDescent="0.15"/>
    <row r="51583" spans="3:3" s="8" customFormat="1" ht="21.95" customHeight="1" x14ac:dyDescent="0.15"/>
    <row r="51584" spans="3:3" s="8" customFormat="1" ht="21.95" customHeight="1" x14ac:dyDescent="0.15"/>
    <row r="51585" s="8" customFormat="1" ht="21.95" customHeight="1" x14ac:dyDescent="0.15"/>
    <row r="51586" s="8" customFormat="1" ht="21.95" customHeight="1" x14ac:dyDescent="0.15"/>
    <row r="51587" s="8" customFormat="1" ht="21.95" customHeight="1" x14ac:dyDescent="0.15"/>
    <row r="51588" s="8" customFormat="1" ht="21.95" customHeight="1" x14ac:dyDescent="0.15"/>
    <row r="51589" s="8" customFormat="1" ht="21.95" customHeight="1" x14ac:dyDescent="0.15"/>
    <row r="51590" s="8" customFormat="1" ht="21.95" customHeight="1" x14ac:dyDescent="0.15"/>
    <row r="51591" s="8" customFormat="1" ht="21.95" customHeight="1" x14ac:dyDescent="0.15"/>
    <row r="51592" s="8" customFormat="1" ht="32.1" customHeight="1" x14ac:dyDescent="0.15"/>
    <row r="51593" s="8" customFormat="1" ht="32.1" customHeight="1" x14ac:dyDescent="0.15"/>
    <row r="51594" s="8" customFormat="1" ht="32.1" customHeight="1" x14ac:dyDescent="0.15"/>
    <row r="51595" s="8" customFormat="1" ht="32.1" customHeight="1" x14ac:dyDescent="0.15"/>
    <row r="51596" s="8" customFormat="1" ht="32.1" customHeight="1" x14ac:dyDescent="0.15"/>
    <row r="51597" s="8" customFormat="1" ht="32.1" customHeight="1" x14ac:dyDescent="0.15"/>
    <row r="51598" s="9" customFormat="1" ht="32.1" customHeight="1" x14ac:dyDescent="0.15"/>
    <row r="51599" s="9" customFormat="1" ht="32.1" customHeight="1" x14ac:dyDescent="0.15"/>
    <row r="51600" s="9" customFormat="1" ht="32.1" customHeight="1" x14ac:dyDescent="0.15"/>
    <row r="51601" s="9" customFormat="1" ht="32.1" customHeight="1" x14ac:dyDescent="0.15"/>
    <row r="51602" s="9" customFormat="1" ht="21.95" customHeight="1" x14ac:dyDescent="0.15"/>
    <row r="51603" s="9" customFormat="1" ht="54" customHeight="1" x14ac:dyDescent="0.15"/>
    <row r="51604" s="9" customFormat="1" ht="21.95" customHeight="1" x14ac:dyDescent="0.15"/>
    <row r="51605" s="9" customFormat="1" ht="21.95" customHeight="1" x14ac:dyDescent="0.15"/>
    <row r="51606" s="9" customFormat="1" ht="21.95" customHeight="1" x14ac:dyDescent="0.15"/>
    <row r="51607" s="9" customFormat="1" ht="21.95" customHeight="1" x14ac:dyDescent="0.15"/>
    <row r="51608" s="9" customFormat="1" ht="21.95" customHeight="1" x14ac:dyDescent="0.15"/>
    <row r="51609" s="9" customFormat="1" ht="21.95" customHeight="1" x14ac:dyDescent="0.15"/>
    <row r="51610" s="9" customFormat="1" ht="21.95" customHeight="1" x14ac:dyDescent="0.15"/>
    <row r="51611" s="9" customFormat="1" ht="21.95" customHeight="1" x14ac:dyDescent="0.15"/>
    <row r="51612" s="9" customFormat="1" ht="21.95" customHeight="1" x14ac:dyDescent="0.15"/>
    <row r="51613" s="9" customFormat="1" ht="21.95" customHeight="1" x14ac:dyDescent="0.15"/>
    <row r="51614" s="9" customFormat="1" ht="21.95" customHeight="1" x14ac:dyDescent="0.15"/>
    <row r="51615" s="9" customFormat="1" ht="21.95" customHeight="1" x14ac:dyDescent="0.15"/>
    <row r="51616" s="9" customFormat="1" ht="21.95" customHeight="1" x14ac:dyDescent="0.15"/>
    <row r="51617" s="9" customFormat="1" ht="21.95" customHeight="1" x14ac:dyDescent="0.15"/>
    <row r="51618" s="9" customFormat="1" ht="21.95" customHeight="1" x14ac:dyDescent="0.15"/>
    <row r="51619" s="9" customFormat="1" ht="21.95" customHeight="1" x14ac:dyDescent="0.15"/>
    <row r="51620" s="9" customFormat="1" ht="21.95" customHeight="1" x14ac:dyDescent="0.15"/>
    <row r="51621" s="9" customFormat="1" ht="21.95" customHeight="1" x14ac:dyDescent="0.15"/>
    <row r="51622" s="9" customFormat="1" ht="21.95" customHeight="1" x14ac:dyDescent="0.15"/>
    <row r="51623" s="9" customFormat="1" ht="21.95" customHeight="1" x14ac:dyDescent="0.15"/>
    <row r="51624" s="9" customFormat="1" ht="21.95" customHeight="1" x14ac:dyDescent="0.15"/>
    <row r="51625" s="9" customFormat="1" ht="21.95" customHeight="1" x14ac:dyDescent="0.15"/>
    <row r="51626" s="9" customFormat="1" ht="21.95" customHeight="1" x14ac:dyDescent="0.15"/>
    <row r="51627" s="9" customFormat="1" ht="21.95" customHeight="1" x14ac:dyDescent="0.15"/>
    <row r="51628" s="9" customFormat="1" ht="21.95" customHeight="1" x14ac:dyDescent="0.15"/>
    <row r="51629" s="9" customFormat="1" ht="21.95" customHeight="1" x14ac:dyDescent="0.15"/>
    <row r="51630" s="9" customFormat="1" ht="21.95" customHeight="1" x14ac:dyDescent="0.15"/>
    <row r="51631" s="9" customFormat="1" ht="21.95" customHeight="1" x14ac:dyDescent="0.15"/>
    <row r="51632" s="9" customFormat="1" ht="21.95" customHeight="1" x14ac:dyDescent="0.15"/>
    <row r="51633" s="9" customFormat="1" ht="21.95" customHeight="1" x14ac:dyDescent="0.15"/>
    <row r="51634" s="9" customFormat="1" ht="21.95" customHeight="1" x14ac:dyDescent="0.15"/>
    <row r="51635" s="9" customFormat="1" ht="21.95" customHeight="1" x14ac:dyDescent="0.15"/>
    <row r="51636" s="9" customFormat="1" ht="21.95" customHeight="1" x14ac:dyDescent="0.15"/>
    <row r="51637" s="9" customFormat="1" ht="21.95" customHeight="1" x14ac:dyDescent="0.15"/>
    <row r="51638" s="9" customFormat="1" ht="21.95" customHeight="1" x14ac:dyDescent="0.15"/>
    <row r="51639" s="9" customFormat="1" ht="21.95" customHeight="1" x14ac:dyDescent="0.15"/>
    <row r="51640" s="9" customFormat="1" ht="21.95" customHeight="1" x14ac:dyDescent="0.15"/>
    <row r="51641" s="9" customFormat="1" ht="21.95" customHeight="1" x14ac:dyDescent="0.15"/>
    <row r="51642" s="9" customFormat="1" ht="21.95" customHeight="1" x14ac:dyDescent="0.15"/>
    <row r="51643" s="9" customFormat="1" ht="21.95" customHeight="1" x14ac:dyDescent="0.15"/>
    <row r="51644" s="9" customFormat="1" ht="21.95" customHeight="1" x14ac:dyDescent="0.15"/>
    <row r="51645" s="9" customFormat="1" ht="21.95" customHeight="1" x14ac:dyDescent="0.15"/>
    <row r="51646" s="9" customFormat="1" ht="21.95" customHeight="1" x14ac:dyDescent="0.15"/>
    <row r="51647" s="9" customFormat="1" ht="21.95" customHeight="1" x14ac:dyDescent="0.15"/>
    <row r="51648" s="9" customFormat="1" ht="21.95" customHeight="1" x14ac:dyDescent="0.15"/>
    <row r="51649" s="9" customFormat="1" ht="21.95" customHeight="1" x14ac:dyDescent="0.15"/>
    <row r="51650" s="9" customFormat="1" ht="21.95" customHeight="1" x14ac:dyDescent="0.15"/>
    <row r="51651" s="9" customFormat="1" ht="21.95" customHeight="1" x14ac:dyDescent="0.15"/>
    <row r="51652" s="9" customFormat="1" ht="21.95" customHeight="1" x14ac:dyDescent="0.15"/>
    <row r="51653" s="9" customFormat="1" ht="21.95" customHeight="1" x14ac:dyDescent="0.15"/>
    <row r="51654" s="9" customFormat="1" ht="35.1" customHeight="1" x14ac:dyDescent="0.15"/>
    <row r="51655" s="9" customFormat="1" ht="21.95" customHeight="1" x14ac:dyDescent="0.15"/>
    <row r="51656" s="9" customFormat="1" ht="21.95" customHeight="1" x14ac:dyDescent="0.15"/>
    <row r="51657" s="9" customFormat="1" ht="21.95" customHeight="1" x14ac:dyDescent="0.15"/>
    <row r="51658" s="9" customFormat="1" ht="21.95" customHeight="1" x14ac:dyDescent="0.15"/>
    <row r="51659" s="9" customFormat="1" ht="21.95" customHeight="1" x14ac:dyDescent="0.15"/>
    <row r="51660" s="9" customFormat="1" ht="21.95" customHeight="1" x14ac:dyDescent="0.15"/>
    <row r="51661" s="9" customFormat="1" ht="21.95" customHeight="1" x14ac:dyDescent="0.15"/>
    <row r="51662" s="9" customFormat="1" ht="21.95" customHeight="1" x14ac:dyDescent="0.15"/>
    <row r="51663" s="9" customFormat="1" ht="21.95" customHeight="1" x14ac:dyDescent="0.15"/>
    <row r="51664" s="9" customFormat="1" ht="21.95" customHeight="1" x14ac:dyDescent="0.15"/>
    <row r="51665" spans="3:3" s="9" customFormat="1" ht="21.95" customHeight="1" x14ac:dyDescent="0.15"/>
    <row r="51666" spans="3:3" s="9" customFormat="1" ht="21.95" customHeight="1" x14ac:dyDescent="0.15"/>
    <row r="51667" spans="3:3" s="9" customFormat="1" ht="21.95" customHeight="1" x14ac:dyDescent="0.15"/>
    <row r="51668" spans="3:3" s="9" customFormat="1" ht="21.95" customHeight="1" x14ac:dyDescent="0.15"/>
    <row r="51669" spans="3:3" s="9" customFormat="1" ht="21.95" customHeight="1" x14ac:dyDescent="0.15"/>
    <row r="51670" spans="3:3" s="9" customFormat="1" ht="21.95" customHeight="1" x14ac:dyDescent="0.15"/>
    <row r="51671" spans="3:3" s="9" customFormat="1" ht="21.95" customHeight="1" x14ac:dyDescent="0.15"/>
    <row r="51672" spans="3:3" s="9" customFormat="1" ht="21.95" customHeight="1" x14ac:dyDescent="0.15"/>
    <row r="51673" spans="3:3" s="9" customFormat="1" ht="21.95" customHeight="1" x14ac:dyDescent="0.15"/>
    <row r="51674" spans="3:3" s="9" customFormat="1" ht="21.95" customHeight="1" x14ac:dyDescent="0.15"/>
    <row r="51675" spans="3:3" s="9" customFormat="1" ht="21.95" customHeight="1" x14ac:dyDescent="0.15"/>
    <row r="51676" spans="3:3" s="9" customFormat="1" ht="21.95" customHeight="1" x14ac:dyDescent="0.15"/>
    <row r="51677" spans="3:3" s="9" customFormat="1" ht="21.95" customHeight="1" x14ac:dyDescent="0.15"/>
    <row r="51678" spans="3:3" s="8" customFormat="1" ht="21.95" customHeight="1" x14ac:dyDescent="0.15"/>
    <row r="51679" spans="3:3" s="8" customFormat="1" ht="21.95" customHeight="1" x14ac:dyDescent="0.15"/>
    <row r="51680" spans="3:3" s="8" customFormat="1" ht="21.95" customHeight="1" x14ac:dyDescent="0.15">
      <c r="C51680" s="101"/>
    </row>
    <row r="51681" spans="3:3" s="8" customFormat="1" ht="21.95" customHeight="1" x14ac:dyDescent="0.15">
      <c r="C51681" s="101"/>
    </row>
    <row r="51682" spans="3:3" s="8" customFormat="1" ht="21.95" customHeight="1" x14ac:dyDescent="0.15"/>
    <row r="51683" spans="3:3" s="8" customFormat="1" ht="21.95" customHeight="1" x14ac:dyDescent="0.15"/>
    <row r="51684" spans="3:3" s="8" customFormat="1" ht="21.95" customHeight="1" x14ac:dyDescent="0.15"/>
    <row r="51685" spans="3:3" s="8" customFormat="1" ht="21.95" customHeight="1" x14ac:dyDescent="0.15"/>
    <row r="51686" spans="3:3" s="8" customFormat="1" ht="21.95" customHeight="1" x14ac:dyDescent="0.15"/>
    <row r="51687" spans="3:3" s="8" customFormat="1" ht="21.95" customHeight="1" x14ac:dyDescent="0.15"/>
    <row r="51688" spans="3:3" s="8" customFormat="1" ht="21.95" customHeight="1" x14ac:dyDescent="0.15"/>
    <row r="51689" spans="3:3" s="9" customFormat="1" ht="21.95" customHeight="1" x14ac:dyDescent="0.15"/>
    <row r="51690" spans="3:3" s="9" customFormat="1" ht="21.95" customHeight="1" x14ac:dyDescent="0.15"/>
    <row r="51691" spans="3:3" s="9" customFormat="1" ht="21.95" customHeight="1" x14ac:dyDescent="0.15"/>
    <row r="51692" spans="3:3" s="9" customFormat="1" ht="21.95" customHeight="1" x14ac:dyDescent="0.15"/>
    <row r="51693" spans="3:3" s="8" customFormat="1" ht="21.95" customHeight="1" x14ac:dyDescent="0.15"/>
    <row r="51694" spans="3:3" s="8" customFormat="1" ht="21.95" customHeight="1" x14ac:dyDescent="0.15"/>
    <row r="51695" spans="3:3" s="8" customFormat="1" ht="21.95" customHeight="1" x14ac:dyDescent="0.15"/>
    <row r="51696" spans="3:3" s="8" customFormat="1" ht="21.95" customHeight="1" x14ac:dyDescent="0.15"/>
    <row r="51697" s="8" customFormat="1" ht="21.95" customHeight="1" x14ac:dyDescent="0.15"/>
    <row r="51698" s="8" customFormat="1" ht="21.95" customHeight="1" x14ac:dyDescent="0.15"/>
    <row r="51699" s="8" customFormat="1" ht="21.95" customHeight="1" x14ac:dyDescent="0.15"/>
    <row r="51700" s="8" customFormat="1" ht="21.95" customHeight="1" x14ac:dyDescent="0.15"/>
    <row r="51701" s="8" customFormat="1" ht="21.95" customHeight="1" x14ac:dyDescent="0.15"/>
    <row r="51702" s="8" customFormat="1" ht="21.95" customHeight="1" x14ac:dyDescent="0.15"/>
    <row r="51703" s="8" customFormat="1" ht="21.95" customHeight="1" x14ac:dyDescent="0.15"/>
    <row r="51704" s="8" customFormat="1" ht="32.1" customHeight="1" x14ac:dyDescent="0.15"/>
    <row r="51705" s="8" customFormat="1" ht="32.1" customHeight="1" x14ac:dyDescent="0.15"/>
    <row r="51706" s="8" customFormat="1" ht="32.1" customHeight="1" x14ac:dyDescent="0.15"/>
    <row r="51707" s="8" customFormat="1" ht="32.1" customHeight="1" x14ac:dyDescent="0.15"/>
    <row r="51708" s="8" customFormat="1" ht="32.1" customHeight="1" x14ac:dyDescent="0.15"/>
    <row r="51709" s="8" customFormat="1" ht="32.1" customHeight="1" x14ac:dyDescent="0.15"/>
    <row r="51710" s="9" customFormat="1" ht="32.1" customHeight="1" x14ac:dyDescent="0.15"/>
    <row r="51711" s="9" customFormat="1" ht="32.1" customHeight="1" x14ac:dyDescent="0.15"/>
    <row r="51712" s="9" customFormat="1" ht="32.1" customHeight="1" x14ac:dyDescent="0.15"/>
    <row r="51713" s="9" customFormat="1" ht="32.1" customHeight="1" x14ac:dyDescent="0.15"/>
    <row r="51714" s="9" customFormat="1" ht="21.95" customHeight="1" x14ac:dyDescent="0.15"/>
    <row r="51715" s="9" customFormat="1" ht="54" customHeight="1" x14ac:dyDescent="0.15"/>
    <row r="51716" s="9" customFormat="1" ht="21.95" customHeight="1" x14ac:dyDescent="0.15"/>
    <row r="51717" s="9" customFormat="1" ht="21.95" customHeight="1" x14ac:dyDescent="0.15"/>
    <row r="51718" s="9" customFormat="1" ht="21.95" customHeight="1" x14ac:dyDescent="0.15"/>
    <row r="51719" s="9" customFormat="1" ht="21.95" customHeight="1" x14ac:dyDescent="0.15"/>
    <row r="51720" s="9" customFormat="1" ht="21.95" customHeight="1" x14ac:dyDescent="0.15"/>
    <row r="51721" s="9" customFormat="1" ht="21.95" customHeight="1" x14ac:dyDescent="0.15"/>
    <row r="51722" s="9" customFormat="1" ht="21.95" customHeight="1" x14ac:dyDescent="0.15"/>
    <row r="51723" s="9" customFormat="1" ht="21.95" customHeight="1" x14ac:dyDescent="0.15"/>
    <row r="51724" s="9" customFormat="1" ht="21.95" customHeight="1" x14ac:dyDescent="0.15"/>
    <row r="51725" s="9" customFormat="1" ht="21.95" customHeight="1" x14ac:dyDescent="0.15"/>
    <row r="51726" s="9" customFormat="1" ht="21.95" customHeight="1" x14ac:dyDescent="0.15"/>
    <row r="51727" s="9" customFormat="1" ht="21.95" customHeight="1" x14ac:dyDescent="0.15"/>
    <row r="51728" s="9" customFormat="1" ht="21.95" customHeight="1" x14ac:dyDescent="0.15"/>
    <row r="51729" s="9" customFormat="1" ht="21.95" customHeight="1" x14ac:dyDescent="0.15"/>
    <row r="51730" s="9" customFormat="1" ht="21.95" customHeight="1" x14ac:dyDescent="0.15"/>
    <row r="51731" s="9" customFormat="1" ht="21.95" customHeight="1" x14ac:dyDescent="0.15"/>
    <row r="51732" s="9" customFormat="1" ht="21.95" customHeight="1" x14ac:dyDescent="0.15"/>
    <row r="51733" s="9" customFormat="1" ht="21.95" customHeight="1" x14ac:dyDescent="0.15"/>
    <row r="51734" s="9" customFormat="1" ht="21.95" customHeight="1" x14ac:dyDescent="0.15"/>
    <row r="51735" s="9" customFormat="1" ht="21.95" customHeight="1" x14ac:dyDescent="0.15"/>
    <row r="51736" s="9" customFormat="1" ht="21.95" customHeight="1" x14ac:dyDescent="0.15"/>
    <row r="51737" s="9" customFormat="1" ht="21.95" customHeight="1" x14ac:dyDescent="0.15"/>
    <row r="51738" s="9" customFormat="1" ht="21.95" customHeight="1" x14ac:dyDescent="0.15"/>
    <row r="51739" s="9" customFormat="1" ht="21.95" customHeight="1" x14ac:dyDescent="0.15"/>
    <row r="51740" s="9" customFormat="1" ht="21.95" customHeight="1" x14ac:dyDescent="0.15"/>
    <row r="51741" s="9" customFormat="1" ht="21.95" customHeight="1" x14ac:dyDescent="0.15"/>
    <row r="51742" s="9" customFormat="1" ht="21.95" customHeight="1" x14ac:dyDescent="0.15"/>
    <row r="51743" s="9" customFormat="1" ht="21.95" customHeight="1" x14ac:dyDescent="0.15"/>
    <row r="51744" s="9" customFormat="1" ht="21.95" customHeight="1" x14ac:dyDescent="0.15"/>
    <row r="51745" s="9" customFormat="1" ht="21.95" customHeight="1" x14ac:dyDescent="0.15"/>
    <row r="51746" s="9" customFormat="1" ht="21.95" customHeight="1" x14ac:dyDescent="0.15"/>
    <row r="51747" s="9" customFormat="1" ht="21.95" customHeight="1" x14ac:dyDescent="0.15"/>
    <row r="51748" s="9" customFormat="1" ht="21.95" customHeight="1" x14ac:dyDescent="0.15"/>
    <row r="51749" s="9" customFormat="1" ht="21.95" customHeight="1" x14ac:dyDescent="0.15"/>
    <row r="51750" s="9" customFormat="1" ht="21.95" customHeight="1" x14ac:dyDescent="0.15"/>
    <row r="51751" s="9" customFormat="1" ht="21.95" customHeight="1" x14ac:dyDescent="0.15"/>
    <row r="51752" s="9" customFormat="1" ht="21.95" customHeight="1" x14ac:dyDescent="0.15"/>
    <row r="51753" s="9" customFormat="1" ht="21.95" customHeight="1" x14ac:dyDescent="0.15"/>
    <row r="51754" s="9" customFormat="1" ht="21.95" customHeight="1" x14ac:dyDescent="0.15"/>
    <row r="51755" s="9" customFormat="1" ht="21.95" customHeight="1" x14ac:dyDescent="0.15"/>
    <row r="51756" s="9" customFormat="1" ht="21.95" customHeight="1" x14ac:dyDescent="0.15"/>
    <row r="51757" s="9" customFormat="1" ht="21.95" customHeight="1" x14ac:dyDescent="0.15"/>
    <row r="51758" s="9" customFormat="1" ht="21.95" customHeight="1" x14ac:dyDescent="0.15"/>
    <row r="51759" s="9" customFormat="1" ht="21.95" customHeight="1" x14ac:dyDescent="0.15"/>
    <row r="51760" s="9" customFormat="1" ht="21.95" customHeight="1" x14ac:dyDescent="0.15"/>
    <row r="51761" s="9" customFormat="1" ht="21.95" customHeight="1" x14ac:dyDescent="0.15"/>
    <row r="51762" s="9" customFormat="1" ht="21.95" customHeight="1" x14ac:dyDescent="0.15"/>
    <row r="51763" s="9" customFormat="1" ht="21.95" customHeight="1" x14ac:dyDescent="0.15"/>
    <row r="51764" s="9" customFormat="1" ht="21.95" customHeight="1" x14ac:dyDescent="0.15"/>
    <row r="51765" s="9" customFormat="1" ht="21.95" customHeight="1" x14ac:dyDescent="0.15"/>
    <row r="51766" s="9" customFormat="1" ht="35.1" customHeight="1" x14ac:dyDescent="0.15"/>
    <row r="51767" s="9" customFormat="1" ht="21.95" customHeight="1" x14ac:dyDescent="0.15"/>
    <row r="51768" s="9" customFormat="1" ht="21.95" customHeight="1" x14ac:dyDescent="0.15"/>
    <row r="51769" s="9" customFormat="1" ht="21.95" customHeight="1" x14ac:dyDescent="0.15"/>
    <row r="51770" s="9" customFormat="1" ht="21.95" customHeight="1" x14ac:dyDescent="0.15"/>
    <row r="51771" s="9" customFormat="1" ht="21.95" customHeight="1" x14ac:dyDescent="0.15"/>
    <row r="51772" s="9" customFormat="1" ht="21.95" customHeight="1" x14ac:dyDescent="0.15"/>
    <row r="51773" s="9" customFormat="1" ht="21.95" customHeight="1" x14ac:dyDescent="0.15"/>
    <row r="51774" s="9" customFormat="1" ht="21.95" customHeight="1" x14ac:dyDescent="0.15"/>
    <row r="51775" s="9" customFormat="1" ht="21.95" customHeight="1" x14ac:dyDescent="0.15"/>
    <row r="51776" s="9" customFormat="1" ht="21.95" customHeight="1" x14ac:dyDescent="0.15"/>
    <row r="51777" spans="3:3" s="9" customFormat="1" ht="21.95" customHeight="1" x14ac:dyDescent="0.15"/>
    <row r="51778" spans="3:3" s="9" customFormat="1" ht="21.95" customHeight="1" x14ac:dyDescent="0.15"/>
    <row r="51779" spans="3:3" s="9" customFormat="1" ht="21.95" customHeight="1" x14ac:dyDescent="0.15"/>
    <row r="51780" spans="3:3" s="9" customFormat="1" ht="21.95" customHeight="1" x14ac:dyDescent="0.15"/>
    <row r="51781" spans="3:3" s="9" customFormat="1" ht="21.95" customHeight="1" x14ac:dyDescent="0.15"/>
    <row r="51782" spans="3:3" s="9" customFormat="1" ht="21.95" customHeight="1" x14ac:dyDescent="0.15"/>
    <row r="51783" spans="3:3" s="9" customFormat="1" ht="21.95" customHeight="1" x14ac:dyDescent="0.15"/>
    <row r="51784" spans="3:3" s="9" customFormat="1" ht="21.95" customHeight="1" x14ac:dyDescent="0.15"/>
    <row r="51785" spans="3:3" s="9" customFormat="1" ht="21.95" customHeight="1" x14ac:dyDescent="0.15"/>
    <row r="51786" spans="3:3" s="9" customFormat="1" ht="21.95" customHeight="1" x14ac:dyDescent="0.15"/>
    <row r="51787" spans="3:3" s="9" customFormat="1" ht="21.95" customHeight="1" x14ac:dyDescent="0.15"/>
    <row r="51788" spans="3:3" s="9" customFormat="1" ht="21.95" customHeight="1" x14ac:dyDescent="0.15"/>
    <row r="51789" spans="3:3" s="9" customFormat="1" ht="21.95" customHeight="1" x14ac:dyDescent="0.15"/>
    <row r="51790" spans="3:3" s="8" customFormat="1" ht="21.95" customHeight="1" x14ac:dyDescent="0.15"/>
    <row r="51791" spans="3:3" s="8" customFormat="1" ht="21.95" customHeight="1" x14ac:dyDescent="0.15"/>
    <row r="51792" spans="3:3" s="8" customFormat="1" ht="21.95" customHeight="1" x14ac:dyDescent="0.15">
      <c r="C51792" s="101"/>
    </row>
    <row r="51793" spans="3:3" s="8" customFormat="1" ht="21.95" customHeight="1" x14ac:dyDescent="0.15">
      <c r="C51793" s="101"/>
    </row>
    <row r="51794" spans="3:3" s="8" customFormat="1" ht="21.95" customHeight="1" x14ac:dyDescent="0.15"/>
    <row r="51795" spans="3:3" s="8" customFormat="1" ht="21.95" customHeight="1" x14ac:dyDescent="0.15"/>
    <row r="51796" spans="3:3" s="8" customFormat="1" ht="21.95" customHeight="1" x14ac:dyDescent="0.15"/>
    <row r="51797" spans="3:3" s="8" customFormat="1" ht="21.95" customHeight="1" x14ac:dyDescent="0.15"/>
    <row r="51798" spans="3:3" s="8" customFormat="1" ht="21.95" customHeight="1" x14ac:dyDescent="0.15"/>
    <row r="51799" spans="3:3" s="8" customFormat="1" ht="21.95" customHeight="1" x14ac:dyDescent="0.15"/>
    <row r="51800" spans="3:3" s="8" customFormat="1" ht="21.95" customHeight="1" x14ac:dyDescent="0.15"/>
    <row r="51801" spans="3:3" s="9" customFormat="1" ht="21.95" customHeight="1" x14ac:dyDescent="0.15"/>
    <row r="51802" spans="3:3" s="9" customFormat="1" ht="21.95" customHeight="1" x14ac:dyDescent="0.15"/>
    <row r="51803" spans="3:3" s="9" customFormat="1" ht="21.95" customHeight="1" x14ac:dyDescent="0.15"/>
    <row r="51804" spans="3:3" s="9" customFormat="1" ht="21.95" customHeight="1" x14ac:dyDescent="0.15"/>
    <row r="51805" spans="3:3" s="8" customFormat="1" ht="21.95" customHeight="1" x14ac:dyDescent="0.15"/>
    <row r="51806" spans="3:3" s="8" customFormat="1" ht="21.95" customHeight="1" x14ac:dyDescent="0.15"/>
    <row r="51807" spans="3:3" s="8" customFormat="1" ht="21.95" customHeight="1" x14ac:dyDescent="0.15"/>
    <row r="51808" spans="3:3" s="8" customFormat="1" ht="21.95" customHeight="1" x14ac:dyDescent="0.15"/>
    <row r="51809" s="8" customFormat="1" ht="21.95" customHeight="1" x14ac:dyDescent="0.15"/>
    <row r="51810" s="8" customFormat="1" ht="21.95" customHeight="1" x14ac:dyDescent="0.15"/>
    <row r="51811" s="8" customFormat="1" ht="21.95" customHeight="1" x14ac:dyDescent="0.15"/>
    <row r="51812" s="8" customFormat="1" ht="21.95" customHeight="1" x14ac:dyDescent="0.15"/>
    <row r="51813" s="8" customFormat="1" ht="21.95" customHeight="1" x14ac:dyDescent="0.15"/>
    <row r="51814" s="8" customFormat="1" ht="21.95" customHeight="1" x14ac:dyDescent="0.15"/>
    <row r="51815" s="8" customFormat="1" ht="21.95" customHeight="1" x14ac:dyDescent="0.15"/>
    <row r="51816" s="8" customFormat="1" ht="32.1" customHeight="1" x14ac:dyDescent="0.15"/>
    <row r="51817" s="8" customFormat="1" ht="32.1" customHeight="1" x14ac:dyDescent="0.15"/>
    <row r="51818" s="8" customFormat="1" ht="32.1" customHeight="1" x14ac:dyDescent="0.15"/>
    <row r="51819" s="8" customFormat="1" ht="32.1" customHeight="1" x14ac:dyDescent="0.15"/>
    <row r="51820" s="8" customFormat="1" ht="32.1" customHeight="1" x14ac:dyDescent="0.15"/>
    <row r="51821" s="8" customFormat="1" ht="32.1" customHeight="1" x14ac:dyDescent="0.15"/>
    <row r="51822" s="9" customFormat="1" ht="32.1" customHeight="1" x14ac:dyDescent="0.15"/>
    <row r="51823" s="9" customFormat="1" ht="32.1" customHeight="1" x14ac:dyDescent="0.15"/>
    <row r="51824" s="9" customFormat="1" ht="32.1" customHeight="1" x14ac:dyDescent="0.15"/>
    <row r="51825" s="9" customFormat="1" ht="32.1" customHeight="1" x14ac:dyDescent="0.15"/>
    <row r="51826" s="9" customFormat="1" ht="21.95" customHeight="1" x14ac:dyDescent="0.15"/>
    <row r="51827" s="9" customFormat="1" ht="54" customHeight="1" x14ac:dyDescent="0.15"/>
    <row r="51828" s="9" customFormat="1" ht="21.95" customHeight="1" x14ac:dyDescent="0.15"/>
    <row r="51829" s="9" customFormat="1" ht="21.95" customHeight="1" x14ac:dyDescent="0.15"/>
    <row r="51830" s="9" customFormat="1" ht="21.95" customHeight="1" x14ac:dyDescent="0.15"/>
    <row r="51831" s="9" customFormat="1" ht="21.95" customHeight="1" x14ac:dyDescent="0.15"/>
    <row r="51832" s="9" customFormat="1" ht="21.95" customHeight="1" x14ac:dyDescent="0.15"/>
    <row r="51833" s="9" customFormat="1" ht="21.95" customHeight="1" x14ac:dyDescent="0.15"/>
    <row r="51834" s="9" customFormat="1" ht="21.95" customHeight="1" x14ac:dyDescent="0.15"/>
    <row r="51835" s="9" customFormat="1" ht="21.95" customHeight="1" x14ac:dyDescent="0.15"/>
    <row r="51836" s="9" customFormat="1" ht="21.95" customHeight="1" x14ac:dyDescent="0.15"/>
    <row r="51837" s="9" customFormat="1" ht="21.95" customHeight="1" x14ac:dyDescent="0.15"/>
    <row r="51838" s="9" customFormat="1" ht="21.95" customHeight="1" x14ac:dyDescent="0.15"/>
    <row r="51839" s="9" customFormat="1" ht="21.95" customHeight="1" x14ac:dyDescent="0.15"/>
    <row r="51840" s="9" customFormat="1" ht="21.95" customHeight="1" x14ac:dyDescent="0.15"/>
    <row r="51841" s="9" customFormat="1" ht="21.95" customHeight="1" x14ac:dyDescent="0.15"/>
    <row r="51842" s="9" customFormat="1" ht="21.95" customHeight="1" x14ac:dyDescent="0.15"/>
    <row r="51843" s="9" customFormat="1" ht="21.95" customHeight="1" x14ac:dyDescent="0.15"/>
    <row r="51844" s="9" customFormat="1" ht="21.95" customHeight="1" x14ac:dyDescent="0.15"/>
    <row r="51845" s="9" customFormat="1" ht="21.95" customHeight="1" x14ac:dyDescent="0.15"/>
    <row r="51846" s="9" customFormat="1" ht="21.95" customHeight="1" x14ac:dyDescent="0.15"/>
    <row r="51847" s="9" customFormat="1" ht="21.95" customHeight="1" x14ac:dyDescent="0.15"/>
    <row r="51848" s="9" customFormat="1" ht="21.95" customHeight="1" x14ac:dyDescent="0.15"/>
    <row r="51849" s="9" customFormat="1" ht="21.95" customHeight="1" x14ac:dyDescent="0.15"/>
    <row r="51850" s="9" customFormat="1" ht="21.95" customHeight="1" x14ac:dyDescent="0.15"/>
    <row r="51851" s="9" customFormat="1" ht="21.95" customHeight="1" x14ac:dyDescent="0.15"/>
    <row r="51852" s="9" customFormat="1" ht="21.95" customHeight="1" x14ac:dyDescent="0.15"/>
    <row r="51853" s="9" customFormat="1" ht="21.95" customHeight="1" x14ac:dyDescent="0.15"/>
    <row r="51854" s="9" customFormat="1" ht="21.95" customHeight="1" x14ac:dyDescent="0.15"/>
    <row r="51855" s="9" customFormat="1" ht="21.95" customHeight="1" x14ac:dyDescent="0.15"/>
    <row r="51856" s="9" customFormat="1" ht="21.95" customHeight="1" x14ac:dyDescent="0.15"/>
    <row r="51857" s="9" customFormat="1" ht="21.95" customHeight="1" x14ac:dyDescent="0.15"/>
    <row r="51858" s="9" customFormat="1" ht="21.95" customHeight="1" x14ac:dyDescent="0.15"/>
    <row r="51859" s="9" customFormat="1" ht="21.95" customHeight="1" x14ac:dyDescent="0.15"/>
    <row r="51860" s="9" customFormat="1" ht="21.95" customHeight="1" x14ac:dyDescent="0.15"/>
    <row r="51861" s="9" customFormat="1" ht="21.95" customHeight="1" x14ac:dyDescent="0.15"/>
    <row r="51862" s="9" customFormat="1" ht="21.95" customHeight="1" x14ac:dyDescent="0.15"/>
    <row r="51863" s="9" customFormat="1" ht="21.95" customHeight="1" x14ac:dyDescent="0.15"/>
    <row r="51864" s="9" customFormat="1" ht="21.95" customHeight="1" x14ac:dyDescent="0.15"/>
    <row r="51865" s="9" customFormat="1" ht="21.95" customHeight="1" x14ac:dyDescent="0.15"/>
    <row r="51866" s="9" customFormat="1" ht="21.95" customHeight="1" x14ac:dyDescent="0.15"/>
    <row r="51867" s="9" customFormat="1" ht="21.95" customHeight="1" x14ac:dyDescent="0.15"/>
    <row r="51868" s="9" customFormat="1" ht="21.95" customHeight="1" x14ac:dyDescent="0.15"/>
    <row r="51869" s="9" customFormat="1" ht="21.95" customHeight="1" x14ac:dyDescent="0.15"/>
    <row r="51870" s="9" customFormat="1" ht="21.95" customHeight="1" x14ac:dyDescent="0.15"/>
    <row r="51871" s="9" customFormat="1" ht="21.95" customHeight="1" x14ac:dyDescent="0.15"/>
    <row r="51872" s="9" customFormat="1" ht="21.95" customHeight="1" x14ac:dyDescent="0.15"/>
    <row r="51873" s="9" customFormat="1" ht="21.95" customHeight="1" x14ac:dyDescent="0.15"/>
    <row r="51874" s="9" customFormat="1" ht="21.95" customHeight="1" x14ac:dyDescent="0.15"/>
    <row r="51875" s="9" customFormat="1" ht="21.95" customHeight="1" x14ac:dyDescent="0.15"/>
    <row r="51876" s="9" customFormat="1" ht="21.95" customHeight="1" x14ac:dyDescent="0.15"/>
    <row r="51877" s="9" customFormat="1" ht="21.95" customHeight="1" x14ac:dyDescent="0.15"/>
    <row r="51878" s="9" customFormat="1" ht="35.1" customHeight="1" x14ac:dyDescent="0.15"/>
    <row r="51879" s="9" customFormat="1" ht="21.95" customHeight="1" x14ac:dyDescent="0.15"/>
    <row r="51880" s="9" customFormat="1" ht="21.95" customHeight="1" x14ac:dyDescent="0.15"/>
    <row r="51881" s="9" customFormat="1" ht="21.95" customHeight="1" x14ac:dyDescent="0.15"/>
    <row r="51882" s="9" customFormat="1" ht="21.95" customHeight="1" x14ac:dyDescent="0.15"/>
    <row r="51883" s="9" customFormat="1" ht="21.95" customHeight="1" x14ac:dyDescent="0.15"/>
    <row r="51884" s="9" customFormat="1" ht="21.95" customHeight="1" x14ac:dyDescent="0.15"/>
    <row r="51885" s="9" customFormat="1" ht="21.95" customHeight="1" x14ac:dyDescent="0.15"/>
    <row r="51886" s="9" customFormat="1" ht="21.95" customHeight="1" x14ac:dyDescent="0.15"/>
    <row r="51887" s="9" customFormat="1" ht="21.95" customHeight="1" x14ac:dyDescent="0.15"/>
    <row r="51888" s="9" customFormat="1" ht="21.95" customHeight="1" x14ac:dyDescent="0.15"/>
    <row r="51889" spans="3:3" s="9" customFormat="1" ht="21.95" customHeight="1" x14ac:dyDescent="0.15"/>
    <row r="51890" spans="3:3" s="9" customFormat="1" ht="21.95" customHeight="1" x14ac:dyDescent="0.15"/>
    <row r="51891" spans="3:3" s="9" customFormat="1" ht="21.95" customHeight="1" x14ac:dyDescent="0.15"/>
    <row r="51892" spans="3:3" s="9" customFormat="1" ht="21.95" customHeight="1" x14ac:dyDescent="0.15"/>
    <row r="51893" spans="3:3" s="9" customFormat="1" ht="21.95" customHeight="1" x14ac:dyDescent="0.15"/>
    <row r="51894" spans="3:3" s="9" customFormat="1" ht="21.95" customHeight="1" x14ac:dyDescent="0.15"/>
    <row r="51895" spans="3:3" s="9" customFormat="1" ht="21.95" customHeight="1" x14ac:dyDescent="0.15"/>
    <row r="51896" spans="3:3" s="9" customFormat="1" ht="21.95" customHeight="1" x14ac:dyDescent="0.15"/>
    <row r="51897" spans="3:3" s="9" customFormat="1" ht="21.95" customHeight="1" x14ac:dyDescent="0.15"/>
    <row r="51898" spans="3:3" s="9" customFormat="1" ht="21.95" customHeight="1" x14ac:dyDescent="0.15"/>
    <row r="51899" spans="3:3" s="9" customFormat="1" ht="21.95" customHeight="1" x14ac:dyDescent="0.15"/>
    <row r="51900" spans="3:3" s="9" customFormat="1" ht="21.95" customHeight="1" x14ac:dyDescent="0.15"/>
    <row r="51901" spans="3:3" s="9" customFormat="1" ht="21.95" customHeight="1" x14ac:dyDescent="0.15"/>
    <row r="51902" spans="3:3" s="8" customFormat="1" ht="21.95" customHeight="1" x14ac:dyDescent="0.15"/>
    <row r="51903" spans="3:3" s="8" customFormat="1" ht="21.95" customHeight="1" x14ac:dyDescent="0.15"/>
    <row r="51904" spans="3:3" s="8" customFormat="1" ht="21.95" customHeight="1" x14ac:dyDescent="0.15">
      <c r="C51904" s="101"/>
    </row>
    <row r="51905" spans="3:3" s="8" customFormat="1" ht="21.95" customHeight="1" x14ac:dyDescent="0.15">
      <c r="C51905" s="101"/>
    </row>
    <row r="51906" spans="3:3" s="8" customFormat="1" ht="21.95" customHeight="1" x14ac:dyDescent="0.15"/>
    <row r="51907" spans="3:3" s="8" customFormat="1" ht="21.95" customHeight="1" x14ac:dyDescent="0.15"/>
    <row r="51908" spans="3:3" s="8" customFormat="1" ht="21.95" customHeight="1" x14ac:dyDescent="0.15"/>
    <row r="51909" spans="3:3" s="8" customFormat="1" ht="21.95" customHeight="1" x14ac:dyDescent="0.15"/>
    <row r="51910" spans="3:3" s="8" customFormat="1" ht="21.95" customHeight="1" x14ac:dyDescent="0.15"/>
    <row r="51911" spans="3:3" s="8" customFormat="1" ht="21.95" customHeight="1" x14ac:dyDescent="0.15"/>
    <row r="51912" spans="3:3" s="8" customFormat="1" ht="21.95" customHeight="1" x14ac:dyDescent="0.15"/>
    <row r="51913" spans="3:3" s="9" customFormat="1" ht="21.95" customHeight="1" x14ac:dyDescent="0.15"/>
    <row r="51914" spans="3:3" s="9" customFormat="1" ht="21.95" customHeight="1" x14ac:dyDescent="0.15"/>
    <row r="51915" spans="3:3" s="9" customFormat="1" ht="21.95" customHeight="1" x14ac:dyDescent="0.15"/>
    <row r="51916" spans="3:3" s="9" customFormat="1" ht="21.95" customHeight="1" x14ac:dyDescent="0.15"/>
    <row r="51917" spans="3:3" s="8" customFormat="1" ht="21.95" customHeight="1" x14ac:dyDescent="0.15"/>
    <row r="51918" spans="3:3" s="8" customFormat="1" ht="21.95" customHeight="1" x14ac:dyDescent="0.15"/>
    <row r="51919" spans="3:3" s="8" customFormat="1" ht="21.95" customHeight="1" x14ac:dyDescent="0.15"/>
    <row r="51920" spans="3:3" s="8" customFormat="1" ht="21.95" customHeight="1" x14ac:dyDescent="0.15"/>
    <row r="51921" s="8" customFormat="1" ht="21.95" customHeight="1" x14ac:dyDescent="0.15"/>
    <row r="51922" s="8" customFormat="1" ht="21.95" customHeight="1" x14ac:dyDescent="0.15"/>
    <row r="51923" s="8" customFormat="1" ht="21.95" customHeight="1" x14ac:dyDescent="0.15"/>
    <row r="51924" s="8" customFormat="1" ht="21.95" customHeight="1" x14ac:dyDescent="0.15"/>
    <row r="51925" s="8" customFormat="1" ht="21.95" customHeight="1" x14ac:dyDescent="0.15"/>
    <row r="51926" s="8" customFormat="1" ht="21.95" customHeight="1" x14ac:dyDescent="0.15"/>
    <row r="51927" s="8" customFormat="1" ht="21.95" customHeight="1" x14ac:dyDescent="0.15"/>
    <row r="51928" s="8" customFormat="1" ht="32.1" customHeight="1" x14ac:dyDescent="0.15"/>
    <row r="51929" s="8" customFormat="1" ht="32.1" customHeight="1" x14ac:dyDescent="0.15"/>
    <row r="51930" s="8" customFormat="1" ht="32.1" customHeight="1" x14ac:dyDescent="0.15"/>
    <row r="51931" s="8" customFormat="1" ht="32.1" customHeight="1" x14ac:dyDescent="0.15"/>
    <row r="51932" s="8" customFormat="1" ht="32.1" customHeight="1" x14ac:dyDescent="0.15"/>
    <row r="51933" s="8" customFormat="1" ht="32.1" customHeight="1" x14ac:dyDescent="0.15"/>
    <row r="51934" s="9" customFormat="1" ht="32.1" customHeight="1" x14ac:dyDescent="0.15"/>
    <row r="51935" s="9" customFormat="1" ht="32.1" customHeight="1" x14ac:dyDescent="0.15"/>
    <row r="51936" s="9" customFormat="1" ht="32.1" customHeight="1" x14ac:dyDescent="0.15"/>
    <row r="51937" s="9" customFormat="1" ht="32.1" customHeight="1" x14ac:dyDescent="0.15"/>
    <row r="51938" s="9" customFormat="1" ht="21.95" customHeight="1" x14ac:dyDescent="0.15"/>
    <row r="51939" s="9" customFormat="1" ht="54" customHeight="1" x14ac:dyDescent="0.15"/>
    <row r="51940" s="9" customFormat="1" ht="21.95" customHeight="1" x14ac:dyDescent="0.15"/>
    <row r="51941" s="9" customFormat="1" ht="21.95" customHeight="1" x14ac:dyDescent="0.15"/>
    <row r="51942" s="9" customFormat="1" ht="21.95" customHeight="1" x14ac:dyDescent="0.15"/>
    <row r="51943" s="9" customFormat="1" ht="21.95" customHeight="1" x14ac:dyDescent="0.15"/>
    <row r="51944" s="9" customFormat="1" ht="21.95" customHeight="1" x14ac:dyDescent="0.15"/>
    <row r="51945" s="9" customFormat="1" ht="21.95" customHeight="1" x14ac:dyDescent="0.15"/>
    <row r="51946" s="9" customFormat="1" ht="21.95" customHeight="1" x14ac:dyDescent="0.15"/>
    <row r="51947" s="9" customFormat="1" ht="21.95" customHeight="1" x14ac:dyDescent="0.15"/>
    <row r="51948" s="9" customFormat="1" ht="21.95" customHeight="1" x14ac:dyDescent="0.15"/>
    <row r="51949" s="9" customFormat="1" ht="21.95" customHeight="1" x14ac:dyDescent="0.15"/>
    <row r="51950" s="9" customFormat="1" ht="21.95" customHeight="1" x14ac:dyDescent="0.15"/>
    <row r="51951" s="9" customFormat="1" ht="21.95" customHeight="1" x14ac:dyDescent="0.15"/>
    <row r="51952" s="9" customFormat="1" ht="21.95" customHeight="1" x14ac:dyDescent="0.15"/>
    <row r="51953" s="9" customFormat="1" ht="21.95" customHeight="1" x14ac:dyDescent="0.15"/>
    <row r="51954" s="9" customFormat="1" ht="21.95" customHeight="1" x14ac:dyDescent="0.15"/>
    <row r="51955" s="9" customFormat="1" ht="21.95" customHeight="1" x14ac:dyDescent="0.15"/>
    <row r="51956" s="9" customFormat="1" ht="21.95" customHeight="1" x14ac:dyDescent="0.15"/>
    <row r="51957" s="9" customFormat="1" ht="21.95" customHeight="1" x14ac:dyDescent="0.15"/>
    <row r="51958" s="9" customFormat="1" ht="21.95" customHeight="1" x14ac:dyDescent="0.15"/>
    <row r="51959" s="9" customFormat="1" ht="21.95" customHeight="1" x14ac:dyDescent="0.15"/>
    <row r="51960" s="9" customFormat="1" ht="21.95" customHeight="1" x14ac:dyDescent="0.15"/>
    <row r="51961" s="9" customFormat="1" ht="21.95" customHeight="1" x14ac:dyDescent="0.15"/>
    <row r="51962" s="9" customFormat="1" ht="21.95" customHeight="1" x14ac:dyDescent="0.15"/>
    <row r="51963" s="9" customFormat="1" ht="21.95" customHeight="1" x14ac:dyDescent="0.15"/>
    <row r="51964" s="9" customFormat="1" ht="21.95" customHeight="1" x14ac:dyDescent="0.15"/>
    <row r="51965" s="9" customFormat="1" ht="21.95" customHeight="1" x14ac:dyDescent="0.15"/>
    <row r="51966" s="9" customFormat="1" ht="21.95" customHeight="1" x14ac:dyDescent="0.15"/>
    <row r="51967" s="9" customFormat="1" ht="21.95" customHeight="1" x14ac:dyDescent="0.15"/>
    <row r="51968" s="9" customFormat="1" ht="21.95" customHeight="1" x14ac:dyDescent="0.15"/>
    <row r="51969" s="9" customFormat="1" ht="21.95" customHeight="1" x14ac:dyDescent="0.15"/>
    <row r="51970" s="9" customFormat="1" ht="21.95" customHeight="1" x14ac:dyDescent="0.15"/>
    <row r="51971" s="9" customFormat="1" ht="21.95" customHeight="1" x14ac:dyDescent="0.15"/>
    <row r="51972" s="9" customFormat="1" ht="21.95" customHeight="1" x14ac:dyDescent="0.15"/>
    <row r="51973" s="9" customFormat="1" ht="21.95" customHeight="1" x14ac:dyDescent="0.15"/>
    <row r="51974" s="9" customFormat="1" ht="21.95" customHeight="1" x14ac:dyDescent="0.15"/>
    <row r="51975" s="9" customFormat="1" ht="21.95" customHeight="1" x14ac:dyDescent="0.15"/>
    <row r="51976" s="9" customFormat="1" ht="21.95" customHeight="1" x14ac:dyDescent="0.15"/>
    <row r="51977" s="9" customFormat="1" ht="21.95" customHeight="1" x14ac:dyDescent="0.15"/>
    <row r="51978" s="9" customFormat="1" ht="21.95" customHeight="1" x14ac:dyDescent="0.15"/>
    <row r="51979" s="9" customFormat="1" ht="21.95" customHeight="1" x14ac:dyDescent="0.15"/>
    <row r="51980" s="9" customFormat="1" ht="21.95" customHeight="1" x14ac:dyDescent="0.15"/>
    <row r="51981" s="9" customFormat="1" ht="21.95" customHeight="1" x14ac:dyDescent="0.15"/>
    <row r="51982" s="9" customFormat="1" ht="21.95" customHeight="1" x14ac:dyDescent="0.15"/>
    <row r="51983" s="9" customFormat="1" ht="21.95" customHeight="1" x14ac:dyDescent="0.15"/>
    <row r="51984" s="9" customFormat="1" ht="21.95" customHeight="1" x14ac:dyDescent="0.15"/>
    <row r="51985" s="9" customFormat="1" ht="21.95" customHeight="1" x14ac:dyDescent="0.15"/>
    <row r="51986" s="9" customFormat="1" ht="21.95" customHeight="1" x14ac:dyDescent="0.15"/>
    <row r="51987" s="9" customFormat="1" ht="21.95" customHeight="1" x14ac:dyDescent="0.15"/>
    <row r="51988" s="9" customFormat="1" ht="21.95" customHeight="1" x14ac:dyDescent="0.15"/>
    <row r="51989" s="9" customFormat="1" ht="21.95" customHeight="1" x14ac:dyDescent="0.15"/>
    <row r="51990" s="9" customFormat="1" ht="35.1" customHeight="1" x14ac:dyDescent="0.15"/>
    <row r="51991" s="9" customFormat="1" ht="21.95" customHeight="1" x14ac:dyDescent="0.15"/>
    <row r="51992" s="9" customFormat="1" ht="21.95" customHeight="1" x14ac:dyDescent="0.15"/>
    <row r="51993" s="9" customFormat="1" ht="21.95" customHeight="1" x14ac:dyDescent="0.15"/>
    <row r="51994" s="9" customFormat="1" ht="21.95" customHeight="1" x14ac:dyDescent="0.15"/>
    <row r="51995" s="9" customFormat="1" ht="21.95" customHeight="1" x14ac:dyDescent="0.15"/>
    <row r="51996" s="9" customFormat="1" ht="21.95" customHeight="1" x14ac:dyDescent="0.15"/>
    <row r="51997" s="9" customFormat="1" ht="21.95" customHeight="1" x14ac:dyDescent="0.15"/>
    <row r="51998" s="9" customFormat="1" ht="21.95" customHeight="1" x14ac:dyDescent="0.15"/>
    <row r="51999" s="9" customFormat="1" ht="21.95" customHeight="1" x14ac:dyDescent="0.15"/>
    <row r="52000" s="9" customFormat="1" ht="21.95" customHeight="1" x14ac:dyDescent="0.15"/>
    <row r="52001" spans="3:3" s="9" customFormat="1" ht="21.95" customHeight="1" x14ac:dyDescent="0.15"/>
    <row r="52002" spans="3:3" s="9" customFormat="1" ht="21.95" customHeight="1" x14ac:dyDescent="0.15"/>
    <row r="52003" spans="3:3" s="9" customFormat="1" ht="21.95" customHeight="1" x14ac:dyDescent="0.15"/>
    <row r="52004" spans="3:3" s="9" customFormat="1" ht="21.95" customHeight="1" x14ac:dyDescent="0.15"/>
    <row r="52005" spans="3:3" s="9" customFormat="1" ht="21.95" customHeight="1" x14ac:dyDescent="0.15"/>
    <row r="52006" spans="3:3" s="9" customFormat="1" ht="21.95" customHeight="1" x14ac:dyDescent="0.15"/>
    <row r="52007" spans="3:3" s="9" customFormat="1" ht="21.95" customHeight="1" x14ac:dyDescent="0.15"/>
    <row r="52008" spans="3:3" s="9" customFormat="1" ht="21.95" customHeight="1" x14ac:dyDescent="0.15"/>
    <row r="52009" spans="3:3" s="9" customFormat="1" ht="21.95" customHeight="1" x14ac:dyDescent="0.15"/>
    <row r="52010" spans="3:3" s="9" customFormat="1" ht="21.95" customHeight="1" x14ac:dyDescent="0.15"/>
    <row r="52011" spans="3:3" s="9" customFormat="1" ht="21.95" customHeight="1" x14ac:dyDescent="0.15"/>
    <row r="52012" spans="3:3" s="9" customFormat="1" ht="21.95" customHeight="1" x14ac:dyDescent="0.15"/>
    <row r="52013" spans="3:3" s="9" customFormat="1" ht="21.95" customHeight="1" x14ac:dyDescent="0.15"/>
    <row r="52014" spans="3:3" s="8" customFormat="1" ht="21.95" customHeight="1" x14ac:dyDescent="0.15"/>
    <row r="52015" spans="3:3" s="8" customFormat="1" ht="21.95" customHeight="1" x14ac:dyDescent="0.15"/>
    <row r="52016" spans="3:3" s="8" customFormat="1" ht="21.95" customHeight="1" x14ac:dyDescent="0.15">
      <c r="C52016" s="101"/>
    </row>
    <row r="52017" spans="3:3" s="8" customFormat="1" ht="21.95" customHeight="1" x14ac:dyDescent="0.15">
      <c r="C52017" s="101"/>
    </row>
    <row r="52018" spans="3:3" s="8" customFormat="1" ht="21.95" customHeight="1" x14ac:dyDescent="0.15"/>
    <row r="52019" spans="3:3" s="8" customFormat="1" ht="21.95" customHeight="1" x14ac:dyDescent="0.15"/>
    <row r="52020" spans="3:3" s="8" customFormat="1" ht="21.95" customHeight="1" x14ac:dyDescent="0.15"/>
    <row r="52021" spans="3:3" s="8" customFormat="1" ht="21.95" customHeight="1" x14ac:dyDescent="0.15"/>
    <row r="52022" spans="3:3" s="8" customFormat="1" ht="21.95" customHeight="1" x14ac:dyDescent="0.15"/>
    <row r="52023" spans="3:3" s="8" customFormat="1" ht="21.95" customHeight="1" x14ac:dyDescent="0.15"/>
    <row r="52024" spans="3:3" s="8" customFormat="1" ht="21.95" customHeight="1" x14ac:dyDescent="0.15"/>
    <row r="52025" spans="3:3" s="9" customFormat="1" ht="21.95" customHeight="1" x14ac:dyDescent="0.15"/>
    <row r="52026" spans="3:3" s="9" customFormat="1" ht="21.95" customHeight="1" x14ac:dyDescent="0.15"/>
    <row r="52027" spans="3:3" s="9" customFormat="1" ht="21.95" customHeight="1" x14ac:dyDescent="0.15"/>
    <row r="52028" spans="3:3" s="9" customFormat="1" ht="21.95" customHeight="1" x14ac:dyDescent="0.15"/>
    <row r="52029" spans="3:3" s="8" customFormat="1" ht="21.95" customHeight="1" x14ac:dyDescent="0.15"/>
    <row r="52030" spans="3:3" s="8" customFormat="1" ht="21.95" customHeight="1" x14ac:dyDescent="0.15"/>
    <row r="52031" spans="3:3" s="8" customFormat="1" ht="21.95" customHeight="1" x14ac:dyDescent="0.15"/>
    <row r="52032" spans="3:3" s="8" customFormat="1" ht="21.95" customHeight="1" x14ac:dyDescent="0.15"/>
    <row r="52033" s="8" customFormat="1" ht="21.95" customHeight="1" x14ac:dyDescent="0.15"/>
    <row r="52034" s="8" customFormat="1" ht="21.95" customHeight="1" x14ac:dyDescent="0.15"/>
    <row r="52035" s="8" customFormat="1" ht="21.95" customHeight="1" x14ac:dyDescent="0.15"/>
    <row r="52036" s="8" customFormat="1" ht="21.95" customHeight="1" x14ac:dyDescent="0.15"/>
    <row r="52037" s="8" customFormat="1" ht="21.95" customHeight="1" x14ac:dyDescent="0.15"/>
    <row r="52038" s="8" customFormat="1" ht="21.95" customHeight="1" x14ac:dyDescent="0.15"/>
    <row r="52039" s="8" customFormat="1" ht="21.95" customHeight="1" x14ac:dyDescent="0.15"/>
    <row r="52040" s="8" customFormat="1" ht="32.1" customHeight="1" x14ac:dyDescent="0.15"/>
    <row r="52041" s="8" customFormat="1" ht="32.1" customHeight="1" x14ac:dyDescent="0.15"/>
    <row r="52042" s="8" customFormat="1" ht="32.1" customHeight="1" x14ac:dyDescent="0.15"/>
    <row r="52043" s="8" customFormat="1" ht="32.1" customHeight="1" x14ac:dyDescent="0.15"/>
    <row r="52044" s="8" customFormat="1" ht="32.1" customHeight="1" x14ac:dyDescent="0.15"/>
    <row r="52045" s="8" customFormat="1" ht="32.1" customHeight="1" x14ac:dyDescent="0.15"/>
    <row r="52046" s="9" customFormat="1" ht="32.1" customHeight="1" x14ac:dyDescent="0.15"/>
    <row r="52047" s="9" customFormat="1" ht="32.1" customHeight="1" x14ac:dyDescent="0.15"/>
    <row r="52048" s="9" customFormat="1" ht="32.1" customHeight="1" x14ac:dyDescent="0.15"/>
    <row r="52049" s="9" customFormat="1" ht="32.1" customHeight="1" x14ac:dyDescent="0.15"/>
    <row r="52050" s="9" customFormat="1" ht="21.95" customHeight="1" x14ac:dyDescent="0.15"/>
    <row r="52051" s="9" customFormat="1" ht="54" customHeight="1" x14ac:dyDescent="0.15"/>
    <row r="52052" s="9" customFormat="1" ht="21.95" customHeight="1" x14ac:dyDescent="0.15"/>
    <row r="52053" s="9" customFormat="1" ht="21.95" customHeight="1" x14ac:dyDescent="0.15"/>
    <row r="52054" s="9" customFormat="1" ht="21.95" customHeight="1" x14ac:dyDescent="0.15"/>
    <row r="52055" s="9" customFormat="1" ht="21.95" customHeight="1" x14ac:dyDescent="0.15"/>
    <row r="52056" s="9" customFormat="1" ht="21.95" customHeight="1" x14ac:dyDescent="0.15"/>
    <row r="52057" s="9" customFormat="1" ht="21.95" customHeight="1" x14ac:dyDescent="0.15"/>
    <row r="52058" s="9" customFormat="1" ht="21.95" customHeight="1" x14ac:dyDescent="0.15"/>
    <row r="52059" s="9" customFormat="1" ht="21.95" customHeight="1" x14ac:dyDescent="0.15"/>
    <row r="52060" s="9" customFormat="1" ht="21.95" customHeight="1" x14ac:dyDescent="0.15"/>
    <row r="52061" s="9" customFormat="1" ht="21.95" customHeight="1" x14ac:dyDescent="0.15"/>
    <row r="52062" s="9" customFormat="1" ht="21.95" customHeight="1" x14ac:dyDescent="0.15"/>
    <row r="52063" s="9" customFormat="1" ht="21.95" customHeight="1" x14ac:dyDescent="0.15"/>
    <row r="52064" s="9" customFormat="1" ht="21.95" customHeight="1" x14ac:dyDescent="0.15"/>
    <row r="52065" s="9" customFormat="1" ht="21.95" customHeight="1" x14ac:dyDescent="0.15"/>
    <row r="52066" s="9" customFormat="1" ht="21.95" customHeight="1" x14ac:dyDescent="0.15"/>
    <row r="52067" s="9" customFormat="1" ht="21.95" customHeight="1" x14ac:dyDescent="0.15"/>
    <row r="52068" s="9" customFormat="1" ht="21.95" customHeight="1" x14ac:dyDescent="0.15"/>
    <row r="52069" s="9" customFormat="1" ht="21.95" customHeight="1" x14ac:dyDescent="0.15"/>
    <row r="52070" s="9" customFormat="1" ht="21.95" customHeight="1" x14ac:dyDescent="0.15"/>
    <row r="52071" s="9" customFormat="1" ht="21.95" customHeight="1" x14ac:dyDescent="0.15"/>
    <row r="52072" s="9" customFormat="1" ht="21.95" customHeight="1" x14ac:dyDescent="0.15"/>
    <row r="52073" s="9" customFormat="1" ht="21.95" customHeight="1" x14ac:dyDescent="0.15"/>
    <row r="52074" s="9" customFormat="1" ht="21.95" customHeight="1" x14ac:dyDescent="0.15"/>
    <row r="52075" s="9" customFormat="1" ht="21.95" customHeight="1" x14ac:dyDescent="0.15"/>
    <row r="52076" s="9" customFormat="1" ht="21.95" customHeight="1" x14ac:dyDescent="0.15"/>
    <row r="52077" s="9" customFormat="1" ht="21.95" customHeight="1" x14ac:dyDescent="0.15"/>
    <row r="52078" s="9" customFormat="1" ht="21.95" customHeight="1" x14ac:dyDescent="0.15"/>
    <row r="52079" s="9" customFormat="1" ht="21.95" customHeight="1" x14ac:dyDescent="0.15"/>
    <row r="52080" s="9" customFormat="1" ht="21.95" customHeight="1" x14ac:dyDescent="0.15"/>
    <row r="52081" s="9" customFormat="1" ht="21.95" customHeight="1" x14ac:dyDescent="0.15"/>
    <row r="52082" s="9" customFormat="1" ht="21.95" customHeight="1" x14ac:dyDescent="0.15"/>
    <row r="52083" s="9" customFormat="1" ht="21.95" customHeight="1" x14ac:dyDescent="0.15"/>
    <row r="52084" s="9" customFormat="1" ht="21.95" customHeight="1" x14ac:dyDescent="0.15"/>
    <row r="52085" s="9" customFormat="1" ht="21.95" customHeight="1" x14ac:dyDescent="0.15"/>
    <row r="52086" s="9" customFormat="1" ht="21.95" customHeight="1" x14ac:dyDescent="0.15"/>
    <row r="52087" s="9" customFormat="1" ht="21.95" customHeight="1" x14ac:dyDescent="0.15"/>
    <row r="52088" s="9" customFormat="1" ht="21.95" customHeight="1" x14ac:dyDescent="0.15"/>
    <row r="52089" s="9" customFormat="1" ht="21.95" customHeight="1" x14ac:dyDescent="0.15"/>
    <row r="52090" s="9" customFormat="1" ht="21.95" customHeight="1" x14ac:dyDescent="0.15"/>
    <row r="52091" s="9" customFormat="1" ht="21.95" customHeight="1" x14ac:dyDescent="0.15"/>
    <row r="52092" s="9" customFormat="1" ht="21.95" customHeight="1" x14ac:dyDescent="0.15"/>
    <row r="52093" s="9" customFormat="1" ht="21.95" customHeight="1" x14ac:dyDescent="0.15"/>
    <row r="52094" s="9" customFormat="1" ht="21.95" customHeight="1" x14ac:dyDescent="0.15"/>
    <row r="52095" s="9" customFormat="1" ht="21.95" customHeight="1" x14ac:dyDescent="0.15"/>
    <row r="52096" s="9" customFormat="1" ht="21.95" customHeight="1" x14ac:dyDescent="0.15"/>
    <row r="52097" s="9" customFormat="1" ht="21.95" customHeight="1" x14ac:dyDescent="0.15"/>
    <row r="52098" s="9" customFormat="1" ht="21.95" customHeight="1" x14ac:dyDescent="0.15"/>
    <row r="52099" s="9" customFormat="1" ht="21.95" customHeight="1" x14ac:dyDescent="0.15"/>
    <row r="52100" s="9" customFormat="1" ht="21.95" customHeight="1" x14ac:dyDescent="0.15"/>
    <row r="52101" s="9" customFormat="1" ht="21.95" customHeight="1" x14ac:dyDescent="0.15"/>
    <row r="52102" s="9" customFormat="1" ht="35.1" customHeight="1" x14ac:dyDescent="0.15"/>
    <row r="52103" s="9" customFormat="1" ht="21.95" customHeight="1" x14ac:dyDescent="0.15"/>
    <row r="52104" s="9" customFormat="1" ht="21.95" customHeight="1" x14ac:dyDescent="0.15"/>
    <row r="52105" s="9" customFormat="1" ht="21.95" customHeight="1" x14ac:dyDescent="0.15"/>
    <row r="52106" s="9" customFormat="1" ht="21.95" customHeight="1" x14ac:dyDescent="0.15"/>
    <row r="52107" s="9" customFormat="1" ht="21.95" customHeight="1" x14ac:dyDescent="0.15"/>
    <row r="52108" s="9" customFormat="1" ht="21.95" customHeight="1" x14ac:dyDescent="0.15"/>
    <row r="52109" s="9" customFormat="1" ht="21.95" customHeight="1" x14ac:dyDescent="0.15"/>
    <row r="52110" s="9" customFormat="1" ht="21.95" customHeight="1" x14ac:dyDescent="0.15"/>
    <row r="52111" s="9" customFormat="1" ht="21.95" customHeight="1" x14ac:dyDescent="0.15"/>
    <row r="52112" s="9" customFormat="1" ht="21.95" customHeight="1" x14ac:dyDescent="0.15"/>
    <row r="52113" spans="3:3" s="9" customFormat="1" ht="21.95" customHeight="1" x14ac:dyDescent="0.15"/>
    <row r="52114" spans="3:3" s="9" customFormat="1" ht="21.95" customHeight="1" x14ac:dyDescent="0.15"/>
    <row r="52115" spans="3:3" s="9" customFormat="1" ht="21.95" customHeight="1" x14ac:dyDescent="0.15"/>
    <row r="52116" spans="3:3" s="9" customFormat="1" ht="21.95" customHeight="1" x14ac:dyDescent="0.15"/>
    <row r="52117" spans="3:3" s="9" customFormat="1" ht="21.95" customHeight="1" x14ac:dyDescent="0.15"/>
    <row r="52118" spans="3:3" s="9" customFormat="1" ht="21.95" customHeight="1" x14ac:dyDescent="0.15"/>
    <row r="52119" spans="3:3" s="9" customFormat="1" ht="21.95" customHeight="1" x14ac:dyDescent="0.15"/>
    <row r="52120" spans="3:3" s="9" customFormat="1" ht="21.95" customHeight="1" x14ac:dyDescent="0.15"/>
    <row r="52121" spans="3:3" s="9" customFormat="1" ht="21.95" customHeight="1" x14ac:dyDescent="0.15"/>
    <row r="52122" spans="3:3" s="9" customFormat="1" ht="21.95" customHeight="1" x14ac:dyDescent="0.15"/>
    <row r="52123" spans="3:3" s="9" customFormat="1" ht="21.95" customHeight="1" x14ac:dyDescent="0.15"/>
    <row r="52124" spans="3:3" s="9" customFormat="1" ht="21.95" customHeight="1" x14ac:dyDescent="0.15"/>
    <row r="52125" spans="3:3" s="9" customFormat="1" ht="21.95" customHeight="1" x14ac:dyDescent="0.15"/>
    <row r="52126" spans="3:3" s="8" customFormat="1" ht="21.95" customHeight="1" x14ac:dyDescent="0.15"/>
    <row r="52127" spans="3:3" s="8" customFormat="1" ht="21.95" customHeight="1" x14ac:dyDescent="0.15"/>
    <row r="52128" spans="3:3" s="8" customFormat="1" ht="21.95" customHeight="1" x14ac:dyDescent="0.15">
      <c r="C52128" s="101"/>
    </row>
    <row r="52129" spans="3:3" s="8" customFormat="1" ht="21.95" customHeight="1" x14ac:dyDescent="0.15">
      <c r="C52129" s="101"/>
    </row>
    <row r="52130" spans="3:3" s="8" customFormat="1" ht="21.95" customHeight="1" x14ac:dyDescent="0.15"/>
    <row r="52131" spans="3:3" s="8" customFormat="1" ht="21.95" customHeight="1" x14ac:dyDescent="0.15"/>
    <row r="52132" spans="3:3" s="8" customFormat="1" ht="21.95" customHeight="1" x14ac:dyDescent="0.15"/>
    <row r="52133" spans="3:3" s="8" customFormat="1" ht="21.95" customHeight="1" x14ac:dyDescent="0.15"/>
    <row r="52134" spans="3:3" s="8" customFormat="1" ht="21.95" customHeight="1" x14ac:dyDescent="0.15"/>
    <row r="52135" spans="3:3" s="8" customFormat="1" ht="21.95" customHeight="1" x14ac:dyDescent="0.15"/>
    <row r="52136" spans="3:3" s="8" customFormat="1" ht="21.95" customHeight="1" x14ac:dyDescent="0.15"/>
    <row r="52137" spans="3:3" s="9" customFormat="1" ht="21.95" customHeight="1" x14ac:dyDescent="0.15"/>
    <row r="52138" spans="3:3" s="9" customFormat="1" ht="21.95" customHeight="1" x14ac:dyDescent="0.15"/>
    <row r="52139" spans="3:3" s="9" customFormat="1" ht="21.95" customHeight="1" x14ac:dyDescent="0.15"/>
    <row r="52140" spans="3:3" s="9" customFormat="1" ht="21.95" customHeight="1" x14ac:dyDescent="0.15"/>
    <row r="52141" spans="3:3" s="8" customFormat="1" ht="21.95" customHeight="1" x14ac:dyDescent="0.15"/>
    <row r="52142" spans="3:3" s="8" customFormat="1" ht="21.95" customHeight="1" x14ac:dyDescent="0.15"/>
    <row r="52143" spans="3:3" s="8" customFormat="1" ht="21.95" customHeight="1" x14ac:dyDescent="0.15"/>
    <row r="52144" spans="3:3" s="8" customFormat="1" ht="21.95" customHeight="1" x14ac:dyDescent="0.15"/>
    <row r="52145" s="8" customFormat="1" ht="21.95" customHeight="1" x14ac:dyDescent="0.15"/>
    <row r="52146" s="8" customFormat="1" ht="21.95" customHeight="1" x14ac:dyDescent="0.15"/>
    <row r="52147" s="8" customFormat="1" ht="21.95" customHeight="1" x14ac:dyDescent="0.15"/>
    <row r="52148" s="8" customFormat="1" ht="21.95" customHeight="1" x14ac:dyDescent="0.15"/>
    <row r="52149" s="8" customFormat="1" ht="21.95" customHeight="1" x14ac:dyDescent="0.15"/>
    <row r="52150" s="8" customFormat="1" ht="21.95" customHeight="1" x14ac:dyDescent="0.15"/>
    <row r="52151" s="8" customFormat="1" ht="21.95" customHeight="1" x14ac:dyDescent="0.15"/>
    <row r="52152" s="8" customFormat="1" ht="32.1" customHeight="1" x14ac:dyDescent="0.15"/>
    <row r="52153" s="8" customFormat="1" ht="32.1" customHeight="1" x14ac:dyDescent="0.15"/>
    <row r="52154" s="8" customFormat="1" ht="32.1" customHeight="1" x14ac:dyDescent="0.15"/>
    <row r="52155" s="8" customFormat="1" ht="32.1" customHeight="1" x14ac:dyDescent="0.15"/>
    <row r="52156" s="8" customFormat="1" ht="32.1" customHeight="1" x14ac:dyDescent="0.15"/>
    <row r="52157" s="8" customFormat="1" ht="32.1" customHeight="1" x14ac:dyDescent="0.15"/>
    <row r="52158" s="9" customFormat="1" ht="32.1" customHeight="1" x14ac:dyDescent="0.15"/>
    <row r="52159" s="9" customFormat="1" ht="32.1" customHeight="1" x14ac:dyDescent="0.15"/>
    <row r="52160" s="9" customFormat="1" ht="32.1" customHeight="1" x14ac:dyDescent="0.15"/>
    <row r="52161" s="9" customFormat="1" ht="32.1" customHeight="1" x14ac:dyDescent="0.15"/>
    <row r="52162" s="9" customFormat="1" ht="21.95" customHeight="1" x14ac:dyDescent="0.15"/>
    <row r="52163" s="9" customFormat="1" ht="54" customHeight="1" x14ac:dyDescent="0.15"/>
    <row r="52164" s="9" customFormat="1" ht="21.95" customHeight="1" x14ac:dyDescent="0.15"/>
    <row r="52165" s="9" customFormat="1" ht="21.95" customHeight="1" x14ac:dyDescent="0.15"/>
    <row r="52166" s="9" customFormat="1" ht="21.95" customHeight="1" x14ac:dyDescent="0.15"/>
    <row r="52167" s="9" customFormat="1" ht="21.95" customHeight="1" x14ac:dyDescent="0.15"/>
    <row r="52168" s="9" customFormat="1" ht="21.95" customHeight="1" x14ac:dyDescent="0.15"/>
    <row r="52169" s="9" customFormat="1" ht="21.95" customHeight="1" x14ac:dyDescent="0.15"/>
    <row r="52170" s="9" customFormat="1" ht="21.95" customHeight="1" x14ac:dyDescent="0.15"/>
    <row r="52171" s="9" customFormat="1" ht="21.95" customHeight="1" x14ac:dyDescent="0.15"/>
    <row r="52172" s="9" customFormat="1" ht="21.95" customHeight="1" x14ac:dyDescent="0.15"/>
    <row r="52173" s="9" customFormat="1" ht="21.95" customHeight="1" x14ac:dyDescent="0.15"/>
    <row r="52174" s="9" customFormat="1" ht="21.95" customHeight="1" x14ac:dyDescent="0.15"/>
    <row r="52175" s="9" customFormat="1" ht="21.95" customHeight="1" x14ac:dyDescent="0.15"/>
    <row r="52176" s="9" customFormat="1" ht="21.95" customHeight="1" x14ac:dyDescent="0.15"/>
    <row r="52177" s="9" customFormat="1" ht="21.95" customHeight="1" x14ac:dyDescent="0.15"/>
    <row r="52178" s="9" customFormat="1" ht="21.95" customHeight="1" x14ac:dyDescent="0.15"/>
    <row r="52179" s="9" customFormat="1" ht="21.95" customHeight="1" x14ac:dyDescent="0.15"/>
    <row r="52180" s="9" customFormat="1" ht="21.95" customHeight="1" x14ac:dyDescent="0.15"/>
    <row r="52181" s="9" customFormat="1" ht="21.95" customHeight="1" x14ac:dyDescent="0.15"/>
    <row r="52182" s="9" customFormat="1" ht="21.95" customHeight="1" x14ac:dyDescent="0.15"/>
    <row r="52183" s="9" customFormat="1" ht="21.95" customHeight="1" x14ac:dyDescent="0.15"/>
    <row r="52184" s="9" customFormat="1" ht="21.95" customHeight="1" x14ac:dyDescent="0.15"/>
    <row r="52185" s="9" customFormat="1" ht="21.95" customHeight="1" x14ac:dyDescent="0.15"/>
    <row r="52186" s="9" customFormat="1" ht="21.95" customHeight="1" x14ac:dyDescent="0.15"/>
    <row r="52187" s="9" customFormat="1" ht="21.95" customHeight="1" x14ac:dyDescent="0.15"/>
    <row r="52188" s="9" customFormat="1" ht="21.95" customHeight="1" x14ac:dyDescent="0.15"/>
    <row r="52189" s="9" customFormat="1" ht="21.95" customHeight="1" x14ac:dyDescent="0.15"/>
    <row r="52190" s="9" customFormat="1" ht="21.95" customHeight="1" x14ac:dyDescent="0.15"/>
    <row r="52191" s="9" customFormat="1" ht="21.95" customHeight="1" x14ac:dyDescent="0.15"/>
    <row r="52192" s="9" customFormat="1" ht="21.95" customHeight="1" x14ac:dyDescent="0.15"/>
    <row r="52193" s="9" customFormat="1" ht="21.95" customHeight="1" x14ac:dyDescent="0.15"/>
    <row r="52194" s="9" customFormat="1" ht="21.95" customHeight="1" x14ac:dyDescent="0.15"/>
    <row r="52195" s="9" customFormat="1" ht="21.95" customHeight="1" x14ac:dyDescent="0.15"/>
    <row r="52196" s="9" customFormat="1" ht="21.95" customHeight="1" x14ac:dyDescent="0.15"/>
    <row r="52197" s="9" customFormat="1" ht="21.95" customHeight="1" x14ac:dyDescent="0.15"/>
    <row r="52198" s="9" customFormat="1" ht="21.95" customHeight="1" x14ac:dyDescent="0.15"/>
    <row r="52199" s="9" customFormat="1" ht="21.95" customHeight="1" x14ac:dyDescent="0.15"/>
    <row r="52200" s="9" customFormat="1" ht="21.95" customHeight="1" x14ac:dyDescent="0.15"/>
    <row r="52201" s="9" customFormat="1" ht="21.95" customHeight="1" x14ac:dyDescent="0.15"/>
    <row r="52202" s="9" customFormat="1" ht="21.95" customHeight="1" x14ac:dyDescent="0.15"/>
    <row r="52203" s="9" customFormat="1" ht="21.95" customHeight="1" x14ac:dyDescent="0.15"/>
    <row r="52204" s="9" customFormat="1" ht="21.95" customHeight="1" x14ac:dyDescent="0.15"/>
    <row r="52205" s="9" customFormat="1" ht="21.95" customHeight="1" x14ac:dyDescent="0.15"/>
    <row r="52206" s="9" customFormat="1" ht="21.95" customHeight="1" x14ac:dyDescent="0.15"/>
    <row r="52207" s="9" customFormat="1" ht="21.95" customHeight="1" x14ac:dyDescent="0.15"/>
    <row r="52208" s="9" customFormat="1" ht="21.95" customHeight="1" x14ac:dyDescent="0.15"/>
    <row r="52209" s="9" customFormat="1" ht="21.95" customHeight="1" x14ac:dyDescent="0.15"/>
    <row r="52210" s="9" customFormat="1" ht="21.95" customHeight="1" x14ac:dyDescent="0.15"/>
    <row r="52211" s="9" customFormat="1" ht="21.95" customHeight="1" x14ac:dyDescent="0.15"/>
    <row r="52212" s="9" customFormat="1" ht="21.95" customHeight="1" x14ac:dyDescent="0.15"/>
    <row r="52213" s="9" customFormat="1" ht="21.95" customHeight="1" x14ac:dyDescent="0.15"/>
    <row r="52214" s="9" customFormat="1" ht="35.1" customHeight="1" x14ac:dyDescent="0.15"/>
    <row r="52215" s="9" customFormat="1" ht="21.95" customHeight="1" x14ac:dyDescent="0.15"/>
    <row r="52216" s="9" customFormat="1" ht="21.95" customHeight="1" x14ac:dyDescent="0.15"/>
    <row r="52217" s="9" customFormat="1" ht="21.95" customHeight="1" x14ac:dyDescent="0.15"/>
    <row r="52218" s="9" customFormat="1" ht="21.95" customHeight="1" x14ac:dyDescent="0.15"/>
    <row r="52219" s="9" customFormat="1" ht="21.95" customHeight="1" x14ac:dyDescent="0.15"/>
    <row r="52220" s="9" customFormat="1" ht="21.95" customHeight="1" x14ac:dyDescent="0.15"/>
    <row r="52221" s="9" customFormat="1" ht="21.95" customHeight="1" x14ac:dyDescent="0.15"/>
    <row r="52222" s="9" customFormat="1" ht="21.95" customHeight="1" x14ac:dyDescent="0.15"/>
    <row r="52223" s="9" customFormat="1" ht="21.95" customHeight="1" x14ac:dyDescent="0.15"/>
    <row r="52224" s="9" customFormat="1" ht="21.95" customHeight="1" x14ac:dyDescent="0.15"/>
    <row r="52225" spans="3:3" s="9" customFormat="1" ht="21.95" customHeight="1" x14ac:dyDescent="0.15"/>
    <row r="52226" spans="3:3" s="9" customFormat="1" ht="21.95" customHeight="1" x14ac:dyDescent="0.15"/>
    <row r="52227" spans="3:3" s="9" customFormat="1" ht="21.95" customHeight="1" x14ac:dyDescent="0.15"/>
    <row r="52228" spans="3:3" s="9" customFormat="1" ht="21.95" customHeight="1" x14ac:dyDescent="0.15"/>
    <row r="52229" spans="3:3" s="9" customFormat="1" ht="21.95" customHeight="1" x14ac:dyDescent="0.15"/>
    <row r="52230" spans="3:3" s="9" customFormat="1" ht="21.95" customHeight="1" x14ac:dyDescent="0.15"/>
    <row r="52231" spans="3:3" s="9" customFormat="1" ht="21.95" customHeight="1" x14ac:dyDescent="0.15"/>
    <row r="52232" spans="3:3" s="9" customFormat="1" ht="21.95" customHeight="1" x14ac:dyDescent="0.15"/>
    <row r="52233" spans="3:3" s="9" customFormat="1" ht="21.95" customHeight="1" x14ac:dyDescent="0.15"/>
    <row r="52234" spans="3:3" s="9" customFormat="1" ht="21.95" customHeight="1" x14ac:dyDescent="0.15"/>
    <row r="52235" spans="3:3" s="9" customFormat="1" ht="21.95" customHeight="1" x14ac:dyDescent="0.15"/>
    <row r="52236" spans="3:3" s="9" customFormat="1" ht="21.95" customHeight="1" x14ac:dyDescent="0.15"/>
    <row r="52237" spans="3:3" s="9" customFormat="1" ht="21.95" customHeight="1" x14ac:dyDescent="0.15"/>
    <row r="52238" spans="3:3" s="8" customFormat="1" ht="21.95" customHeight="1" x14ac:dyDescent="0.15"/>
    <row r="52239" spans="3:3" s="8" customFormat="1" ht="21.95" customHeight="1" x14ac:dyDescent="0.15"/>
    <row r="52240" spans="3:3" s="8" customFormat="1" ht="21.95" customHeight="1" x14ac:dyDescent="0.15">
      <c r="C52240" s="101"/>
    </row>
    <row r="52241" spans="3:3" s="8" customFormat="1" ht="21.95" customHeight="1" x14ac:dyDescent="0.15">
      <c r="C52241" s="101"/>
    </row>
    <row r="52242" spans="3:3" s="8" customFormat="1" ht="21.95" customHeight="1" x14ac:dyDescent="0.15"/>
    <row r="52243" spans="3:3" s="8" customFormat="1" ht="21.95" customHeight="1" x14ac:dyDescent="0.15"/>
    <row r="52244" spans="3:3" s="8" customFormat="1" ht="21.95" customHeight="1" x14ac:dyDescent="0.15"/>
    <row r="52245" spans="3:3" s="8" customFormat="1" ht="21.95" customHeight="1" x14ac:dyDescent="0.15"/>
    <row r="52246" spans="3:3" s="8" customFormat="1" ht="21.95" customHeight="1" x14ac:dyDescent="0.15"/>
    <row r="52247" spans="3:3" s="8" customFormat="1" ht="21.95" customHeight="1" x14ac:dyDescent="0.15"/>
    <row r="52248" spans="3:3" s="8" customFormat="1" ht="21.95" customHeight="1" x14ac:dyDescent="0.15"/>
    <row r="52249" spans="3:3" s="9" customFormat="1" ht="21.95" customHeight="1" x14ac:dyDescent="0.15"/>
    <row r="52250" spans="3:3" s="9" customFormat="1" ht="21.95" customHeight="1" x14ac:dyDescent="0.15"/>
    <row r="52251" spans="3:3" s="9" customFormat="1" ht="21.95" customHeight="1" x14ac:dyDescent="0.15"/>
    <row r="52252" spans="3:3" s="9" customFormat="1" ht="21.95" customHeight="1" x14ac:dyDescent="0.15"/>
    <row r="52253" spans="3:3" s="8" customFormat="1" ht="21.95" customHeight="1" x14ac:dyDescent="0.15"/>
    <row r="52254" spans="3:3" s="8" customFormat="1" ht="21.95" customHeight="1" x14ac:dyDescent="0.15"/>
    <row r="52255" spans="3:3" s="8" customFormat="1" ht="21.95" customHeight="1" x14ac:dyDescent="0.15"/>
    <row r="52256" spans="3:3" s="8" customFormat="1" ht="21.95" customHeight="1" x14ac:dyDescent="0.15"/>
    <row r="52257" s="8" customFormat="1" ht="21.95" customHeight="1" x14ac:dyDescent="0.15"/>
    <row r="52258" s="8" customFormat="1" ht="21.95" customHeight="1" x14ac:dyDescent="0.15"/>
    <row r="52259" s="8" customFormat="1" ht="21.95" customHeight="1" x14ac:dyDescent="0.15"/>
    <row r="52260" s="8" customFormat="1" ht="21.95" customHeight="1" x14ac:dyDescent="0.15"/>
    <row r="52261" s="8" customFormat="1" ht="21.95" customHeight="1" x14ac:dyDescent="0.15"/>
    <row r="52262" s="8" customFormat="1" ht="21.95" customHeight="1" x14ac:dyDescent="0.15"/>
    <row r="52263" s="8" customFormat="1" ht="21.95" customHeight="1" x14ac:dyDescent="0.15"/>
    <row r="52264" s="8" customFormat="1" ht="32.1" customHeight="1" x14ac:dyDescent="0.15"/>
    <row r="52265" s="8" customFormat="1" ht="32.1" customHeight="1" x14ac:dyDescent="0.15"/>
    <row r="52266" s="8" customFormat="1" ht="32.1" customHeight="1" x14ac:dyDescent="0.15"/>
    <row r="52267" s="8" customFormat="1" ht="32.1" customHeight="1" x14ac:dyDescent="0.15"/>
    <row r="52268" s="8" customFormat="1" ht="32.1" customHeight="1" x14ac:dyDescent="0.15"/>
    <row r="52269" s="8" customFormat="1" ht="32.1" customHeight="1" x14ac:dyDescent="0.15"/>
    <row r="52270" s="9" customFormat="1" ht="32.1" customHeight="1" x14ac:dyDescent="0.15"/>
    <row r="52271" s="9" customFormat="1" ht="32.1" customHeight="1" x14ac:dyDescent="0.15"/>
    <row r="52272" s="9" customFormat="1" ht="32.1" customHeight="1" x14ac:dyDescent="0.15"/>
    <row r="52273" s="9" customFormat="1" ht="32.1" customHeight="1" x14ac:dyDescent="0.15"/>
    <row r="52274" s="9" customFormat="1" ht="21.95" customHeight="1" x14ac:dyDescent="0.15"/>
    <row r="52275" s="9" customFormat="1" ht="54" customHeight="1" x14ac:dyDescent="0.15"/>
    <row r="52276" s="9" customFormat="1" ht="21.95" customHeight="1" x14ac:dyDescent="0.15"/>
    <row r="52277" s="9" customFormat="1" ht="21.95" customHeight="1" x14ac:dyDescent="0.15"/>
    <row r="52278" s="9" customFormat="1" ht="21.95" customHeight="1" x14ac:dyDescent="0.15"/>
    <row r="52279" s="9" customFormat="1" ht="21.95" customHeight="1" x14ac:dyDescent="0.15"/>
    <row r="52280" s="9" customFormat="1" ht="21.95" customHeight="1" x14ac:dyDescent="0.15"/>
    <row r="52281" s="9" customFormat="1" ht="21.95" customHeight="1" x14ac:dyDescent="0.15"/>
    <row r="52282" s="9" customFormat="1" ht="21.95" customHeight="1" x14ac:dyDescent="0.15"/>
    <row r="52283" s="9" customFormat="1" ht="21.95" customHeight="1" x14ac:dyDescent="0.15"/>
    <row r="52284" s="9" customFormat="1" ht="21.95" customHeight="1" x14ac:dyDescent="0.15"/>
    <row r="52285" s="9" customFormat="1" ht="21.95" customHeight="1" x14ac:dyDescent="0.15"/>
    <row r="52286" s="9" customFormat="1" ht="21.95" customHeight="1" x14ac:dyDescent="0.15"/>
    <row r="52287" s="9" customFormat="1" ht="21.95" customHeight="1" x14ac:dyDescent="0.15"/>
    <row r="52288" s="9" customFormat="1" ht="21.95" customHeight="1" x14ac:dyDescent="0.15"/>
    <row r="52289" s="9" customFormat="1" ht="21.95" customHeight="1" x14ac:dyDescent="0.15"/>
    <row r="52290" s="9" customFormat="1" ht="21.95" customHeight="1" x14ac:dyDescent="0.15"/>
    <row r="52291" s="9" customFormat="1" ht="21.95" customHeight="1" x14ac:dyDescent="0.15"/>
    <row r="52292" s="9" customFormat="1" ht="21.95" customHeight="1" x14ac:dyDescent="0.15"/>
    <row r="52293" s="9" customFormat="1" ht="21.95" customHeight="1" x14ac:dyDescent="0.15"/>
    <row r="52294" s="9" customFormat="1" ht="21.95" customHeight="1" x14ac:dyDescent="0.15"/>
    <row r="52295" s="9" customFormat="1" ht="21.95" customHeight="1" x14ac:dyDescent="0.15"/>
    <row r="52296" s="9" customFormat="1" ht="21.95" customHeight="1" x14ac:dyDescent="0.15"/>
    <row r="52297" s="9" customFormat="1" ht="21.95" customHeight="1" x14ac:dyDescent="0.15"/>
    <row r="52298" s="9" customFormat="1" ht="21.95" customHeight="1" x14ac:dyDescent="0.15"/>
    <row r="52299" s="9" customFormat="1" ht="21.95" customHeight="1" x14ac:dyDescent="0.15"/>
    <row r="52300" s="9" customFormat="1" ht="21.95" customHeight="1" x14ac:dyDescent="0.15"/>
    <row r="52301" s="9" customFormat="1" ht="21.95" customHeight="1" x14ac:dyDescent="0.15"/>
    <row r="52302" s="9" customFormat="1" ht="21.95" customHeight="1" x14ac:dyDescent="0.15"/>
    <row r="52303" s="9" customFormat="1" ht="21.95" customHeight="1" x14ac:dyDescent="0.15"/>
    <row r="52304" s="9" customFormat="1" ht="21.95" customHeight="1" x14ac:dyDescent="0.15"/>
    <row r="52305" s="9" customFormat="1" ht="21.95" customHeight="1" x14ac:dyDescent="0.15"/>
    <row r="52306" s="9" customFormat="1" ht="21.95" customHeight="1" x14ac:dyDescent="0.15"/>
    <row r="52307" s="9" customFormat="1" ht="21.95" customHeight="1" x14ac:dyDescent="0.15"/>
    <row r="52308" s="9" customFormat="1" ht="21.95" customHeight="1" x14ac:dyDescent="0.15"/>
    <row r="52309" s="9" customFormat="1" ht="21.95" customHeight="1" x14ac:dyDescent="0.15"/>
    <row r="52310" s="9" customFormat="1" ht="21.95" customHeight="1" x14ac:dyDescent="0.15"/>
    <row r="52311" s="9" customFormat="1" ht="21.95" customHeight="1" x14ac:dyDescent="0.15"/>
    <row r="52312" s="9" customFormat="1" ht="21.95" customHeight="1" x14ac:dyDescent="0.15"/>
    <row r="52313" s="9" customFormat="1" ht="21.95" customHeight="1" x14ac:dyDescent="0.15"/>
    <row r="52314" s="9" customFormat="1" ht="21.95" customHeight="1" x14ac:dyDescent="0.15"/>
    <row r="52315" s="9" customFormat="1" ht="21.95" customHeight="1" x14ac:dyDescent="0.15"/>
    <row r="52316" s="9" customFormat="1" ht="21.95" customHeight="1" x14ac:dyDescent="0.15"/>
    <row r="52317" s="9" customFormat="1" ht="21.95" customHeight="1" x14ac:dyDescent="0.15"/>
    <row r="52318" s="9" customFormat="1" ht="21.95" customHeight="1" x14ac:dyDescent="0.15"/>
    <row r="52319" s="9" customFormat="1" ht="21.95" customHeight="1" x14ac:dyDescent="0.15"/>
    <row r="52320" s="9" customFormat="1" ht="21.95" customHeight="1" x14ac:dyDescent="0.15"/>
    <row r="52321" s="9" customFormat="1" ht="21.95" customHeight="1" x14ac:dyDescent="0.15"/>
    <row r="52322" s="9" customFormat="1" ht="21.95" customHeight="1" x14ac:dyDescent="0.15"/>
    <row r="52323" s="9" customFormat="1" ht="21.95" customHeight="1" x14ac:dyDescent="0.15"/>
    <row r="52324" s="9" customFormat="1" ht="21.95" customHeight="1" x14ac:dyDescent="0.15"/>
    <row r="52325" s="9" customFormat="1" ht="21.95" customHeight="1" x14ac:dyDescent="0.15"/>
    <row r="52326" s="9" customFormat="1" ht="35.1" customHeight="1" x14ac:dyDescent="0.15"/>
    <row r="52327" s="9" customFormat="1" ht="21.95" customHeight="1" x14ac:dyDescent="0.15"/>
    <row r="52328" s="9" customFormat="1" ht="21.95" customHeight="1" x14ac:dyDescent="0.15"/>
    <row r="52329" s="9" customFormat="1" ht="21.95" customHeight="1" x14ac:dyDescent="0.15"/>
    <row r="52330" s="9" customFormat="1" ht="21.95" customHeight="1" x14ac:dyDescent="0.15"/>
    <row r="52331" s="9" customFormat="1" ht="21.95" customHeight="1" x14ac:dyDescent="0.15"/>
    <row r="52332" s="9" customFormat="1" ht="21.95" customHeight="1" x14ac:dyDescent="0.15"/>
    <row r="52333" s="9" customFormat="1" ht="21.95" customHeight="1" x14ac:dyDescent="0.15"/>
    <row r="52334" s="9" customFormat="1" ht="21.95" customHeight="1" x14ac:dyDescent="0.15"/>
    <row r="52335" s="9" customFormat="1" ht="21.95" customHeight="1" x14ac:dyDescent="0.15"/>
    <row r="52336" s="9" customFormat="1" ht="21.95" customHeight="1" x14ac:dyDescent="0.15"/>
    <row r="52337" spans="3:3" s="9" customFormat="1" ht="21.95" customHeight="1" x14ac:dyDescent="0.15"/>
    <row r="52338" spans="3:3" s="9" customFormat="1" ht="21.95" customHeight="1" x14ac:dyDescent="0.15"/>
    <row r="52339" spans="3:3" s="9" customFormat="1" ht="21.95" customHeight="1" x14ac:dyDescent="0.15"/>
    <row r="52340" spans="3:3" s="9" customFormat="1" ht="21.95" customHeight="1" x14ac:dyDescent="0.15"/>
    <row r="52341" spans="3:3" s="9" customFormat="1" ht="21.95" customHeight="1" x14ac:dyDescent="0.15"/>
    <row r="52342" spans="3:3" s="9" customFormat="1" ht="21.95" customHeight="1" x14ac:dyDescent="0.15"/>
    <row r="52343" spans="3:3" s="9" customFormat="1" ht="21.95" customHeight="1" x14ac:dyDescent="0.15"/>
    <row r="52344" spans="3:3" s="9" customFormat="1" ht="21.95" customHeight="1" x14ac:dyDescent="0.15"/>
    <row r="52345" spans="3:3" s="9" customFormat="1" ht="21.95" customHeight="1" x14ac:dyDescent="0.15"/>
    <row r="52346" spans="3:3" s="9" customFormat="1" ht="21.95" customHeight="1" x14ac:dyDescent="0.15"/>
    <row r="52347" spans="3:3" s="9" customFormat="1" ht="21.95" customHeight="1" x14ac:dyDescent="0.15"/>
    <row r="52348" spans="3:3" s="9" customFormat="1" ht="21.95" customHeight="1" x14ac:dyDescent="0.15"/>
    <row r="52349" spans="3:3" s="9" customFormat="1" ht="21.95" customHeight="1" x14ac:dyDescent="0.15"/>
    <row r="52350" spans="3:3" s="8" customFormat="1" ht="21.95" customHeight="1" x14ac:dyDescent="0.15"/>
    <row r="52351" spans="3:3" s="8" customFormat="1" ht="21.95" customHeight="1" x14ac:dyDescent="0.15"/>
    <row r="52352" spans="3:3" s="8" customFormat="1" ht="21.95" customHeight="1" x14ac:dyDescent="0.15">
      <c r="C52352" s="101"/>
    </row>
    <row r="52353" spans="3:3" s="8" customFormat="1" ht="21.95" customHeight="1" x14ac:dyDescent="0.15">
      <c r="C52353" s="101"/>
    </row>
    <row r="52354" spans="3:3" s="8" customFormat="1" ht="21.95" customHeight="1" x14ac:dyDescent="0.15"/>
    <row r="52355" spans="3:3" s="8" customFormat="1" ht="21.95" customHeight="1" x14ac:dyDescent="0.15"/>
    <row r="52356" spans="3:3" s="8" customFormat="1" ht="21.95" customHeight="1" x14ac:dyDescent="0.15"/>
    <row r="52357" spans="3:3" s="8" customFormat="1" ht="21.95" customHeight="1" x14ac:dyDescent="0.15"/>
    <row r="52358" spans="3:3" s="8" customFormat="1" ht="21.95" customHeight="1" x14ac:dyDescent="0.15"/>
    <row r="52359" spans="3:3" s="8" customFormat="1" ht="21.95" customHeight="1" x14ac:dyDescent="0.15"/>
    <row r="52360" spans="3:3" s="8" customFormat="1" ht="21.95" customHeight="1" x14ac:dyDescent="0.15"/>
    <row r="52361" spans="3:3" s="9" customFormat="1" ht="21.95" customHeight="1" x14ac:dyDescent="0.15"/>
    <row r="52362" spans="3:3" s="9" customFormat="1" ht="21.95" customHeight="1" x14ac:dyDescent="0.15"/>
    <row r="52363" spans="3:3" s="9" customFormat="1" ht="21.95" customHeight="1" x14ac:dyDescent="0.15"/>
    <row r="52364" spans="3:3" s="9" customFormat="1" ht="21.95" customHeight="1" x14ac:dyDescent="0.15"/>
    <row r="52365" spans="3:3" s="8" customFormat="1" ht="21.95" customHeight="1" x14ac:dyDescent="0.15"/>
    <row r="52366" spans="3:3" s="8" customFormat="1" ht="21.95" customHeight="1" x14ac:dyDescent="0.15"/>
    <row r="52367" spans="3:3" s="8" customFormat="1" ht="21.95" customHeight="1" x14ac:dyDescent="0.15"/>
    <row r="52368" spans="3:3" s="8" customFormat="1" ht="21.95" customHeight="1" x14ac:dyDescent="0.15"/>
    <row r="52369" s="8" customFormat="1" ht="21.95" customHeight="1" x14ac:dyDescent="0.15"/>
    <row r="52370" s="8" customFormat="1" ht="21.95" customHeight="1" x14ac:dyDescent="0.15"/>
    <row r="52371" s="8" customFormat="1" ht="21.95" customHeight="1" x14ac:dyDescent="0.15"/>
    <row r="52372" s="8" customFormat="1" ht="21.95" customHeight="1" x14ac:dyDescent="0.15"/>
    <row r="52373" s="8" customFormat="1" ht="21.95" customHeight="1" x14ac:dyDescent="0.15"/>
    <row r="52374" s="8" customFormat="1" ht="21.95" customHeight="1" x14ac:dyDescent="0.15"/>
    <row r="52375" s="8" customFormat="1" ht="21.95" customHeight="1" x14ac:dyDescent="0.15"/>
    <row r="52376" s="8" customFormat="1" ht="32.1" customHeight="1" x14ac:dyDescent="0.15"/>
    <row r="52377" s="8" customFormat="1" ht="32.1" customHeight="1" x14ac:dyDescent="0.15"/>
    <row r="52378" s="8" customFormat="1" ht="32.1" customHeight="1" x14ac:dyDescent="0.15"/>
    <row r="52379" s="8" customFormat="1" ht="32.1" customHeight="1" x14ac:dyDescent="0.15"/>
    <row r="52380" s="8" customFormat="1" ht="32.1" customHeight="1" x14ac:dyDescent="0.15"/>
    <row r="52381" s="8" customFormat="1" ht="32.1" customHeight="1" x14ac:dyDescent="0.15"/>
    <row r="52382" s="9" customFormat="1" ht="32.1" customHeight="1" x14ac:dyDescent="0.15"/>
    <row r="52383" s="9" customFormat="1" ht="32.1" customHeight="1" x14ac:dyDescent="0.15"/>
    <row r="52384" s="9" customFormat="1" ht="32.1" customHeight="1" x14ac:dyDescent="0.15"/>
    <row r="52385" s="9" customFormat="1" ht="32.1" customHeight="1" x14ac:dyDescent="0.15"/>
    <row r="52386" s="9" customFormat="1" ht="21.95" customHeight="1" x14ac:dyDescent="0.15"/>
    <row r="52387" s="9" customFormat="1" ht="54" customHeight="1" x14ac:dyDescent="0.15"/>
    <row r="52388" s="9" customFormat="1" ht="21.95" customHeight="1" x14ac:dyDescent="0.15"/>
    <row r="52389" s="9" customFormat="1" ht="21.95" customHeight="1" x14ac:dyDescent="0.15"/>
    <row r="52390" s="9" customFormat="1" ht="21.95" customHeight="1" x14ac:dyDescent="0.15"/>
    <row r="52391" s="9" customFormat="1" ht="21.95" customHeight="1" x14ac:dyDescent="0.15"/>
    <row r="52392" s="9" customFormat="1" ht="21.95" customHeight="1" x14ac:dyDescent="0.15"/>
    <row r="52393" s="9" customFormat="1" ht="21.95" customHeight="1" x14ac:dyDescent="0.15"/>
    <row r="52394" s="9" customFormat="1" ht="21.95" customHeight="1" x14ac:dyDescent="0.15"/>
    <row r="52395" s="9" customFormat="1" ht="21.95" customHeight="1" x14ac:dyDescent="0.15"/>
    <row r="52396" s="9" customFormat="1" ht="21.95" customHeight="1" x14ac:dyDescent="0.15"/>
    <row r="52397" s="9" customFormat="1" ht="21.95" customHeight="1" x14ac:dyDescent="0.15"/>
    <row r="52398" s="9" customFormat="1" ht="21.95" customHeight="1" x14ac:dyDescent="0.15"/>
    <row r="52399" s="9" customFormat="1" ht="21.95" customHeight="1" x14ac:dyDescent="0.15"/>
    <row r="52400" s="9" customFormat="1" ht="21.95" customHeight="1" x14ac:dyDescent="0.15"/>
    <row r="52401" s="9" customFormat="1" ht="21.95" customHeight="1" x14ac:dyDescent="0.15"/>
    <row r="52402" s="9" customFormat="1" ht="21.95" customHeight="1" x14ac:dyDescent="0.15"/>
    <row r="52403" s="9" customFormat="1" ht="21.95" customHeight="1" x14ac:dyDescent="0.15"/>
    <row r="52404" s="9" customFormat="1" ht="21.95" customHeight="1" x14ac:dyDescent="0.15"/>
    <row r="52405" s="9" customFormat="1" ht="21.95" customHeight="1" x14ac:dyDescent="0.15"/>
    <row r="52406" s="9" customFormat="1" ht="21.95" customHeight="1" x14ac:dyDescent="0.15"/>
    <row r="52407" s="9" customFormat="1" ht="21.95" customHeight="1" x14ac:dyDescent="0.15"/>
    <row r="52408" s="9" customFormat="1" ht="21.95" customHeight="1" x14ac:dyDescent="0.15"/>
    <row r="52409" s="9" customFormat="1" ht="21.95" customHeight="1" x14ac:dyDescent="0.15"/>
    <row r="52410" s="9" customFormat="1" ht="21.95" customHeight="1" x14ac:dyDescent="0.15"/>
    <row r="52411" s="9" customFormat="1" ht="21.95" customHeight="1" x14ac:dyDescent="0.15"/>
    <row r="52412" s="9" customFormat="1" ht="21.95" customHeight="1" x14ac:dyDescent="0.15"/>
    <row r="52413" s="9" customFormat="1" ht="21.95" customHeight="1" x14ac:dyDescent="0.15"/>
    <row r="52414" s="9" customFormat="1" ht="21.95" customHeight="1" x14ac:dyDescent="0.15"/>
    <row r="52415" s="9" customFormat="1" ht="21.95" customHeight="1" x14ac:dyDescent="0.15"/>
    <row r="52416" s="9" customFormat="1" ht="21.95" customHeight="1" x14ac:dyDescent="0.15"/>
    <row r="52417" s="9" customFormat="1" ht="21.95" customHeight="1" x14ac:dyDescent="0.15"/>
    <row r="52418" s="9" customFormat="1" ht="21.95" customHeight="1" x14ac:dyDescent="0.15"/>
    <row r="52419" s="9" customFormat="1" ht="21.95" customHeight="1" x14ac:dyDescent="0.15"/>
    <row r="52420" s="9" customFormat="1" ht="21.95" customHeight="1" x14ac:dyDescent="0.15"/>
    <row r="52421" s="9" customFormat="1" ht="21.95" customHeight="1" x14ac:dyDescent="0.15"/>
    <row r="52422" s="9" customFormat="1" ht="21.95" customHeight="1" x14ac:dyDescent="0.15"/>
    <row r="52423" s="9" customFormat="1" ht="21.95" customHeight="1" x14ac:dyDescent="0.15"/>
    <row r="52424" s="9" customFormat="1" ht="21.95" customHeight="1" x14ac:dyDescent="0.15"/>
    <row r="52425" s="9" customFormat="1" ht="21.95" customHeight="1" x14ac:dyDescent="0.15"/>
    <row r="52426" s="9" customFormat="1" ht="21.95" customHeight="1" x14ac:dyDescent="0.15"/>
    <row r="52427" s="9" customFormat="1" ht="21.95" customHeight="1" x14ac:dyDescent="0.15"/>
    <row r="52428" s="9" customFormat="1" ht="21.95" customHeight="1" x14ac:dyDescent="0.15"/>
    <row r="52429" s="9" customFormat="1" ht="21.95" customHeight="1" x14ac:dyDescent="0.15"/>
    <row r="52430" s="9" customFormat="1" ht="21.95" customHeight="1" x14ac:dyDescent="0.15"/>
    <row r="52431" s="9" customFormat="1" ht="21.95" customHeight="1" x14ac:dyDescent="0.15"/>
    <row r="52432" s="9" customFormat="1" ht="21.95" customHeight="1" x14ac:dyDescent="0.15"/>
    <row r="52433" s="9" customFormat="1" ht="21.95" customHeight="1" x14ac:dyDescent="0.15"/>
    <row r="52434" s="9" customFormat="1" ht="21.95" customHeight="1" x14ac:dyDescent="0.15"/>
    <row r="52435" s="9" customFormat="1" ht="21.95" customHeight="1" x14ac:dyDescent="0.15"/>
    <row r="52436" s="9" customFormat="1" ht="21.95" customHeight="1" x14ac:dyDescent="0.15"/>
    <row r="52437" s="9" customFormat="1" ht="21.95" customHeight="1" x14ac:dyDescent="0.15"/>
    <row r="52438" s="9" customFormat="1" ht="35.1" customHeight="1" x14ac:dyDescent="0.15"/>
    <row r="52439" s="9" customFormat="1" ht="21.95" customHeight="1" x14ac:dyDescent="0.15"/>
    <row r="52440" s="9" customFormat="1" ht="21.95" customHeight="1" x14ac:dyDescent="0.15"/>
    <row r="52441" s="9" customFormat="1" ht="21.95" customHeight="1" x14ac:dyDescent="0.15"/>
    <row r="52442" s="9" customFormat="1" ht="21.95" customHeight="1" x14ac:dyDescent="0.15"/>
    <row r="52443" s="9" customFormat="1" ht="21.95" customHeight="1" x14ac:dyDescent="0.15"/>
    <row r="52444" s="9" customFormat="1" ht="21.95" customHeight="1" x14ac:dyDescent="0.15"/>
    <row r="52445" s="9" customFormat="1" ht="21.95" customHeight="1" x14ac:dyDescent="0.15"/>
    <row r="52446" s="9" customFormat="1" ht="21.95" customHeight="1" x14ac:dyDescent="0.15"/>
    <row r="52447" s="9" customFormat="1" ht="21.95" customHeight="1" x14ac:dyDescent="0.15"/>
    <row r="52448" s="9" customFormat="1" ht="21.95" customHeight="1" x14ac:dyDescent="0.15"/>
    <row r="52449" spans="3:3" s="9" customFormat="1" ht="21.95" customHeight="1" x14ac:dyDescent="0.15"/>
    <row r="52450" spans="3:3" s="9" customFormat="1" ht="21.95" customHeight="1" x14ac:dyDescent="0.15"/>
    <row r="52451" spans="3:3" s="9" customFormat="1" ht="21.95" customHeight="1" x14ac:dyDescent="0.15"/>
    <row r="52452" spans="3:3" s="9" customFormat="1" ht="21.95" customHeight="1" x14ac:dyDescent="0.15"/>
    <row r="52453" spans="3:3" s="9" customFormat="1" ht="21.95" customHeight="1" x14ac:dyDescent="0.15"/>
    <row r="52454" spans="3:3" s="9" customFormat="1" ht="21.95" customHeight="1" x14ac:dyDescent="0.15"/>
    <row r="52455" spans="3:3" s="9" customFormat="1" ht="21.95" customHeight="1" x14ac:dyDescent="0.15"/>
    <row r="52456" spans="3:3" s="9" customFormat="1" ht="21.95" customHeight="1" x14ac:dyDescent="0.15"/>
    <row r="52457" spans="3:3" s="9" customFormat="1" ht="21.95" customHeight="1" x14ac:dyDescent="0.15"/>
    <row r="52458" spans="3:3" s="9" customFormat="1" ht="21.95" customHeight="1" x14ac:dyDescent="0.15"/>
    <row r="52459" spans="3:3" s="9" customFormat="1" ht="21.95" customHeight="1" x14ac:dyDescent="0.15"/>
    <row r="52460" spans="3:3" s="9" customFormat="1" ht="21.95" customHeight="1" x14ac:dyDescent="0.15"/>
    <row r="52461" spans="3:3" s="9" customFormat="1" ht="21.95" customHeight="1" x14ac:dyDescent="0.15"/>
    <row r="52462" spans="3:3" s="8" customFormat="1" ht="21.95" customHeight="1" x14ac:dyDescent="0.15"/>
    <row r="52463" spans="3:3" s="8" customFormat="1" ht="21.95" customHeight="1" x14ac:dyDescent="0.15"/>
    <row r="52464" spans="3:3" s="8" customFormat="1" ht="21.95" customHeight="1" x14ac:dyDescent="0.15">
      <c r="C52464" s="101"/>
    </row>
    <row r="52465" spans="3:3" s="8" customFormat="1" ht="21.95" customHeight="1" x14ac:dyDescent="0.15">
      <c r="C52465" s="101"/>
    </row>
    <row r="52466" spans="3:3" s="8" customFormat="1" ht="21.95" customHeight="1" x14ac:dyDescent="0.15"/>
    <row r="52467" spans="3:3" s="8" customFormat="1" ht="21.95" customHeight="1" x14ac:dyDescent="0.15"/>
    <row r="52468" spans="3:3" s="8" customFormat="1" ht="21.95" customHeight="1" x14ac:dyDescent="0.15"/>
    <row r="52469" spans="3:3" s="8" customFormat="1" ht="21.95" customHeight="1" x14ac:dyDescent="0.15"/>
    <row r="52470" spans="3:3" s="8" customFormat="1" ht="21.95" customHeight="1" x14ac:dyDescent="0.15"/>
    <row r="52471" spans="3:3" s="8" customFormat="1" ht="21.95" customHeight="1" x14ac:dyDescent="0.15"/>
    <row r="52472" spans="3:3" s="8" customFormat="1" ht="21.95" customHeight="1" x14ac:dyDescent="0.15"/>
    <row r="52473" spans="3:3" s="9" customFormat="1" ht="21.95" customHeight="1" x14ac:dyDescent="0.15"/>
    <row r="52474" spans="3:3" s="9" customFormat="1" ht="21.95" customHeight="1" x14ac:dyDescent="0.15"/>
    <row r="52475" spans="3:3" s="9" customFormat="1" ht="21.95" customHeight="1" x14ac:dyDescent="0.15"/>
    <row r="52476" spans="3:3" s="9" customFormat="1" ht="21.95" customHeight="1" x14ac:dyDescent="0.15"/>
    <row r="52477" spans="3:3" s="8" customFormat="1" ht="21.95" customHeight="1" x14ac:dyDescent="0.15"/>
    <row r="52478" spans="3:3" s="8" customFormat="1" ht="21.95" customHeight="1" x14ac:dyDescent="0.15"/>
    <row r="52479" spans="3:3" s="8" customFormat="1" ht="21.95" customHeight="1" x14ac:dyDescent="0.15"/>
    <row r="52480" spans="3:3" s="8" customFormat="1" ht="21.95" customHeight="1" x14ac:dyDescent="0.15"/>
    <row r="52481" s="8" customFormat="1" ht="21.95" customHeight="1" x14ac:dyDescent="0.15"/>
    <row r="52482" s="8" customFormat="1" ht="21.95" customHeight="1" x14ac:dyDescent="0.15"/>
    <row r="52483" s="8" customFormat="1" ht="21.95" customHeight="1" x14ac:dyDescent="0.15"/>
    <row r="52484" s="8" customFormat="1" ht="21.95" customHeight="1" x14ac:dyDescent="0.15"/>
    <row r="52485" s="8" customFormat="1" ht="21.95" customHeight="1" x14ac:dyDescent="0.15"/>
    <row r="52486" s="8" customFormat="1" ht="21.95" customHeight="1" x14ac:dyDescent="0.15"/>
    <row r="52487" s="8" customFormat="1" ht="21.95" customHeight="1" x14ac:dyDescent="0.15"/>
    <row r="52488" s="8" customFormat="1" ht="32.1" customHeight="1" x14ac:dyDescent="0.15"/>
    <row r="52489" s="8" customFormat="1" ht="32.1" customHeight="1" x14ac:dyDescent="0.15"/>
    <row r="52490" s="8" customFormat="1" ht="32.1" customHeight="1" x14ac:dyDescent="0.15"/>
    <row r="52491" s="8" customFormat="1" ht="32.1" customHeight="1" x14ac:dyDescent="0.15"/>
    <row r="52492" s="8" customFormat="1" ht="32.1" customHeight="1" x14ac:dyDescent="0.15"/>
    <row r="52493" s="8" customFormat="1" ht="32.1" customHeight="1" x14ac:dyDescent="0.15"/>
    <row r="52494" s="9" customFormat="1" ht="32.1" customHeight="1" x14ac:dyDescent="0.15"/>
    <row r="52495" s="9" customFormat="1" ht="32.1" customHeight="1" x14ac:dyDescent="0.15"/>
    <row r="52496" s="9" customFormat="1" ht="32.1" customHeight="1" x14ac:dyDescent="0.15"/>
    <row r="52497" s="9" customFormat="1" ht="32.1" customHeight="1" x14ac:dyDescent="0.15"/>
    <row r="52498" s="9" customFormat="1" ht="21.95" customHeight="1" x14ac:dyDescent="0.15"/>
    <row r="52499" s="9" customFormat="1" ht="54" customHeight="1" x14ac:dyDescent="0.15"/>
    <row r="52500" s="9" customFormat="1" ht="21.95" customHeight="1" x14ac:dyDescent="0.15"/>
    <row r="52501" s="9" customFormat="1" ht="21.95" customHeight="1" x14ac:dyDescent="0.15"/>
    <row r="52502" s="9" customFormat="1" ht="21.95" customHeight="1" x14ac:dyDescent="0.15"/>
    <row r="52503" s="9" customFormat="1" ht="21.95" customHeight="1" x14ac:dyDescent="0.15"/>
    <row r="52504" s="9" customFormat="1" ht="21.95" customHeight="1" x14ac:dyDescent="0.15"/>
    <row r="52505" s="9" customFormat="1" ht="21.95" customHeight="1" x14ac:dyDescent="0.15"/>
    <row r="52506" s="9" customFormat="1" ht="21.95" customHeight="1" x14ac:dyDescent="0.15"/>
    <row r="52507" s="9" customFormat="1" ht="21.95" customHeight="1" x14ac:dyDescent="0.15"/>
    <row r="52508" s="9" customFormat="1" ht="21.95" customHeight="1" x14ac:dyDescent="0.15"/>
    <row r="52509" s="9" customFormat="1" ht="21.95" customHeight="1" x14ac:dyDescent="0.15"/>
    <row r="52510" s="9" customFormat="1" ht="21.95" customHeight="1" x14ac:dyDescent="0.15"/>
    <row r="52511" s="9" customFormat="1" ht="21.95" customHeight="1" x14ac:dyDescent="0.15"/>
    <row r="52512" s="9" customFormat="1" ht="21.95" customHeight="1" x14ac:dyDescent="0.15"/>
    <row r="52513" s="9" customFormat="1" ht="21.95" customHeight="1" x14ac:dyDescent="0.15"/>
    <row r="52514" s="9" customFormat="1" ht="21.95" customHeight="1" x14ac:dyDescent="0.15"/>
    <row r="52515" s="9" customFormat="1" ht="21.95" customHeight="1" x14ac:dyDescent="0.15"/>
    <row r="52516" s="9" customFormat="1" ht="21.95" customHeight="1" x14ac:dyDescent="0.15"/>
    <row r="52517" s="9" customFormat="1" ht="21.95" customHeight="1" x14ac:dyDescent="0.15"/>
    <row r="52518" s="9" customFormat="1" ht="21.95" customHeight="1" x14ac:dyDescent="0.15"/>
    <row r="52519" s="9" customFormat="1" ht="21.95" customHeight="1" x14ac:dyDescent="0.15"/>
    <row r="52520" s="9" customFormat="1" ht="21.95" customHeight="1" x14ac:dyDescent="0.15"/>
    <row r="52521" s="9" customFormat="1" ht="21.95" customHeight="1" x14ac:dyDescent="0.15"/>
    <row r="52522" s="9" customFormat="1" ht="21.95" customHeight="1" x14ac:dyDescent="0.15"/>
    <row r="52523" s="9" customFormat="1" ht="21.95" customHeight="1" x14ac:dyDescent="0.15"/>
    <row r="52524" s="9" customFormat="1" ht="21.95" customHeight="1" x14ac:dyDescent="0.15"/>
    <row r="52525" s="9" customFormat="1" ht="21.95" customHeight="1" x14ac:dyDescent="0.15"/>
    <row r="52526" s="9" customFormat="1" ht="21.95" customHeight="1" x14ac:dyDescent="0.15"/>
    <row r="52527" s="9" customFormat="1" ht="21.95" customHeight="1" x14ac:dyDescent="0.15"/>
    <row r="52528" s="9" customFormat="1" ht="21.95" customHeight="1" x14ac:dyDescent="0.15"/>
    <row r="52529" s="9" customFormat="1" ht="21.95" customHeight="1" x14ac:dyDescent="0.15"/>
    <row r="52530" s="9" customFormat="1" ht="21.95" customHeight="1" x14ac:dyDescent="0.15"/>
    <row r="52531" s="9" customFormat="1" ht="21.95" customHeight="1" x14ac:dyDescent="0.15"/>
    <row r="52532" s="9" customFormat="1" ht="21.95" customHeight="1" x14ac:dyDescent="0.15"/>
    <row r="52533" s="9" customFormat="1" ht="21.95" customHeight="1" x14ac:dyDescent="0.15"/>
    <row r="52534" s="9" customFormat="1" ht="21.95" customHeight="1" x14ac:dyDescent="0.15"/>
    <row r="52535" s="9" customFormat="1" ht="21.95" customHeight="1" x14ac:dyDescent="0.15"/>
    <row r="52536" s="9" customFormat="1" ht="21.95" customHeight="1" x14ac:dyDescent="0.15"/>
    <row r="52537" s="9" customFormat="1" ht="21.95" customHeight="1" x14ac:dyDescent="0.15"/>
    <row r="52538" s="9" customFormat="1" ht="21.95" customHeight="1" x14ac:dyDescent="0.15"/>
    <row r="52539" s="9" customFormat="1" ht="21.95" customHeight="1" x14ac:dyDescent="0.15"/>
    <row r="52540" s="9" customFormat="1" ht="21.95" customHeight="1" x14ac:dyDescent="0.15"/>
    <row r="52541" s="9" customFormat="1" ht="21.95" customHeight="1" x14ac:dyDescent="0.15"/>
    <row r="52542" s="9" customFormat="1" ht="21.95" customHeight="1" x14ac:dyDescent="0.15"/>
    <row r="52543" s="9" customFormat="1" ht="21.95" customHeight="1" x14ac:dyDescent="0.15"/>
    <row r="52544" s="9" customFormat="1" ht="21.95" customHeight="1" x14ac:dyDescent="0.15"/>
    <row r="52545" s="9" customFormat="1" ht="21.95" customHeight="1" x14ac:dyDescent="0.15"/>
    <row r="52546" s="9" customFormat="1" ht="21.95" customHeight="1" x14ac:dyDescent="0.15"/>
    <row r="52547" s="9" customFormat="1" ht="21.95" customHeight="1" x14ac:dyDescent="0.15"/>
    <row r="52548" s="9" customFormat="1" ht="21.95" customHeight="1" x14ac:dyDescent="0.15"/>
    <row r="52549" s="9" customFormat="1" ht="21.95" customHeight="1" x14ac:dyDescent="0.15"/>
    <row r="52550" s="9" customFormat="1" ht="35.1" customHeight="1" x14ac:dyDescent="0.15"/>
    <row r="52551" s="9" customFormat="1" ht="21.95" customHeight="1" x14ac:dyDescent="0.15"/>
    <row r="52552" s="9" customFormat="1" ht="21.95" customHeight="1" x14ac:dyDescent="0.15"/>
    <row r="52553" s="9" customFormat="1" ht="21.95" customHeight="1" x14ac:dyDescent="0.15"/>
    <row r="52554" s="9" customFormat="1" ht="21.95" customHeight="1" x14ac:dyDescent="0.15"/>
    <row r="52555" s="9" customFormat="1" ht="21.95" customHeight="1" x14ac:dyDescent="0.15"/>
    <row r="52556" s="9" customFormat="1" ht="21.95" customHeight="1" x14ac:dyDescent="0.15"/>
    <row r="52557" s="9" customFormat="1" ht="21.95" customHeight="1" x14ac:dyDescent="0.15"/>
    <row r="52558" s="9" customFormat="1" ht="21.95" customHeight="1" x14ac:dyDescent="0.15"/>
    <row r="52559" s="9" customFormat="1" ht="21.95" customHeight="1" x14ac:dyDescent="0.15"/>
    <row r="52560" s="9" customFormat="1" ht="21.95" customHeight="1" x14ac:dyDescent="0.15"/>
    <row r="52561" spans="3:3" s="9" customFormat="1" ht="21.95" customHeight="1" x14ac:dyDescent="0.15"/>
    <row r="52562" spans="3:3" s="9" customFormat="1" ht="21.95" customHeight="1" x14ac:dyDescent="0.15"/>
    <row r="52563" spans="3:3" s="9" customFormat="1" ht="21.95" customHeight="1" x14ac:dyDescent="0.15"/>
    <row r="52564" spans="3:3" s="9" customFormat="1" ht="21.95" customHeight="1" x14ac:dyDescent="0.15"/>
    <row r="52565" spans="3:3" s="9" customFormat="1" ht="21.95" customHeight="1" x14ac:dyDescent="0.15"/>
    <row r="52566" spans="3:3" s="9" customFormat="1" ht="21.95" customHeight="1" x14ac:dyDescent="0.15"/>
    <row r="52567" spans="3:3" s="9" customFormat="1" ht="21.95" customHeight="1" x14ac:dyDescent="0.15"/>
    <row r="52568" spans="3:3" s="9" customFormat="1" ht="21.95" customHeight="1" x14ac:dyDescent="0.15"/>
    <row r="52569" spans="3:3" s="9" customFormat="1" ht="21.95" customHeight="1" x14ac:dyDescent="0.15"/>
    <row r="52570" spans="3:3" s="9" customFormat="1" ht="21.95" customHeight="1" x14ac:dyDescent="0.15"/>
    <row r="52571" spans="3:3" s="9" customFormat="1" ht="21.95" customHeight="1" x14ac:dyDescent="0.15"/>
    <row r="52572" spans="3:3" s="9" customFormat="1" ht="21.95" customHeight="1" x14ac:dyDescent="0.15"/>
    <row r="52573" spans="3:3" s="9" customFormat="1" ht="21.95" customHeight="1" x14ac:dyDescent="0.15"/>
    <row r="52574" spans="3:3" s="8" customFormat="1" ht="21.95" customHeight="1" x14ac:dyDescent="0.15"/>
    <row r="52575" spans="3:3" s="8" customFormat="1" ht="21.95" customHeight="1" x14ac:dyDescent="0.15"/>
    <row r="52576" spans="3:3" s="8" customFormat="1" ht="21.95" customHeight="1" x14ac:dyDescent="0.15">
      <c r="C52576" s="101"/>
    </row>
    <row r="52577" spans="3:3" s="8" customFormat="1" ht="21.95" customHeight="1" x14ac:dyDescent="0.15">
      <c r="C52577" s="101"/>
    </row>
    <row r="52578" spans="3:3" s="8" customFormat="1" ht="21.95" customHeight="1" x14ac:dyDescent="0.15"/>
    <row r="52579" spans="3:3" s="8" customFormat="1" ht="21.95" customHeight="1" x14ac:dyDescent="0.15"/>
    <row r="52580" spans="3:3" s="8" customFormat="1" ht="21.95" customHeight="1" x14ac:dyDescent="0.15"/>
    <row r="52581" spans="3:3" s="8" customFormat="1" ht="21.95" customHeight="1" x14ac:dyDescent="0.15"/>
    <row r="52582" spans="3:3" s="8" customFormat="1" ht="21.95" customHeight="1" x14ac:dyDescent="0.15"/>
    <row r="52583" spans="3:3" s="8" customFormat="1" ht="21.95" customHeight="1" x14ac:dyDescent="0.15"/>
    <row r="52584" spans="3:3" s="8" customFormat="1" ht="21.95" customHeight="1" x14ac:dyDescent="0.15"/>
    <row r="52585" spans="3:3" s="9" customFormat="1" ht="21.95" customHeight="1" x14ac:dyDescent="0.15"/>
    <row r="52586" spans="3:3" s="9" customFormat="1" ht="21.95" customHeight="1" x14ac:dyDescent="0.15"/>
    <row r="52587" spans="3:3" s="9" customFormat="1" ht="21.95" customHeight="1" x14ac:dyDescent="0.15"/>
    <row r="52588" spans="3:3" s="9" customFormat="1" ht="21.95" customHeight="1" x14ac:dyDescent="0.15"/>
    <row r="52589" spans="3:3" s="8" customFormat="1" ht="21.95" customHeight="1" x14ac:dyDescent="0.15"/>
    <row r="52590" spans="3:3" s="8" customFormat="1" ht="21.95" customHeight="1" x14ac:dyDescent="0.15"/>
    <row r="52591" spans="3:3" s="8" customFormat="1" ht="21.95" customHeight="1" x14ac:dyDescent="0.15"/>
    <row r="52592" spans="3:3" s="8" customFormat="1" ht="21.95" customHeight="1" x14ac:dyDescent="0.15"/>
    <row r="52593" s="8" customFormat="1" ht="21.95" customHeight="1" x14ac:dyDescent="0.15"/>
    <row r="52594" s="8" customFormat="1" ht="21.95" customHeight="1" x14ac:dyDescent="0.15"/>
    <row r="52595" s="8" customFormat="1" ht="21.95" customHeight="1" x14ac:dyDescent="0.15"/>
    <row r="52596" s="8" customFormat="1" ht="21.95" customHeight="1" x14ac:dyDescent="0.15"/>
    <row r="52597" s="8" customFormat="1" ht="21.95" customHeight="1" x14ac:dyDescent="0.15"/>
    <row r="52598" s="8" customFormat="1" ht="21.95" customHeight="1" x14ac:dyDescent="0.15"/>
    <row r="52599" s="8" customFormat="1" ht="21.95" customHeight="1" x14ac:dyDescent="0.15"/>
    <row r="52600" s="8" customFormat="1" ht="32.1" customHeight="1" x14ac:dyDescent="0.15"/>
    <row r="52601" s="8" customFormat="1" ht="32.1" customHeight="1" x14ac:dyDescent="0.15"/>
    <row r="52602" s="8" customFormat="1" ht="32.1" customHeight="1" x14ac:dyDescent="0.15"/>
    <row r="52603" s="8" customFormat="1" ht="32.1" customHeight="1" x14ac:dyDescent="0.15"/>
    <row r="52604" s="8" customFormat="1" ht="32.1" customHeight="1" x14ac:dyDescent="0.15"/>
    <row r="52605" s="8" customFormat="1" ht="32.1" customHeight="1" x14ac:dyDescent="0.15"/>
    <row r="52606" s="9" customFormat="1" ht="32.1" customHeight="1" x14ac:dyDescent="0.15"/>
    <row r="52607" s="9" customFormat="1" ht="32.1" customHeight="1" x14ac:dyDescent="0.15"/>
    <row r="52608" s="9" customFormat="1" ht="32.1" customHeight="1" x14ac:dyDescent="0.15"/>
    <row r="52609" s="9" customFormat="1" ht="32.1" customHeight="1" x14ac:dyDescent="0.15"/>
    <row r="52610" s="9" customFormat="1" ht="21.95" customHeight="1" x14ac:dyDescent="0.15"/>
    <row r="52611" s="9" customFormat="1" ht="54" customHeight="1" x14ac:dyDescent="0.15"/>
    <row r="52612" s="9" customFormat="1" ht="21.95" customHeight="1" x14ac:dyDescent="0.15"/>
    <row r="52613" s="9" customFormat="1" ht="21.95" customHeight="1" x14ac:dyDescent="0.15"/>
    <row r="52614" s="9" customFormat="1" ht="21.95" customHeight="1" x14ac:dyDescent="0.15"/>
    <row r="52615" s="9" customFormat="1" ht="21.95" customHeight="1" x14ac:dyDescent="0.15"/>
    <row r="52616" s="9" customFormat="1" ht="21.95" customHeight="1" x14ac:dyDescent="0.15"/>
    <row r="52617" s="9" customFormat="1" ht="21.95" customHeight="1" x14ac:dyDescent="0.15"/>
    <row r="52618" s="9" customFormat="1" ht="21.95" customHeight="1" x14ac:dyDescent="0.15"/>
    <row r="52619" s="9" customFormat="1" ht="21.95" customHeight="1" x14ac:dyDescent="0.15"/>
    <row r="52620" s="9" customFormat="1" ht="21.95" customHeight="1" x14ac:dyDescent="0.15"/>
    <row r="52621" s="9" customFormat="1" ht="21.95" customHeight="1" x14ac:dyDescent="0.15"/>
    <row r="52622" s="9" customFormat="1" ht="21.95" customHeight="1" x14ac:dyDescent="0.15"/>
    <row r="52623" s="9" customFormat="1" ht="21.95" customHeight="1" x14ac:dyDescent="0.15"/>
    <row r="52624" s="9" customFormat="1" ht="21.95" customHeight="1" x14ac:dyDescent="0.15"/>
    <row r="52625" s="9" customFormat="1" ht="21.95" customHeight="1" x14ac:dyDescent="0.15"/>
    <row r="52626" s="9" customFormat="1" ht="21.95" customHeight="1" x14ac:dyDescent="0.15"/>
    <row r="52627" s="9" customFormat="1" ht="21.95" customHeight="1" x14ac:dyDescent="0.15"/>
    <row r="52628" s="9" customFormat="1" ht="21.95" customHeight="1" x14ac:dyDescent="0.15"/>
    <row r="52629" s="9" customFormat="1" ht="21.95" customHeight="1" x14ac:dyDescent="0.15"/>
    <row r="52630" s="9" customFormat="1" ht="21.95" customHeight="1" x14ac:dyDescent="0.15"/>
    <row r="52631" s="9" customFormat="1" ht="21.95" customHeight="1" x14ac:dyDescent="0.15"/>
    <row r="52632" s="9" customFormat="1" ht="21.95" customHeight="1" x14ac:dyDescent="0.15"/>
    <row r="52633" s="9" customFormat="1" ht="21.95" customHeight="1" x14ac:dyDescent="0.15"/>
    <row r="52634" s="9" customFormat="1" ht="21.95" customHeight="1" x14ac:dyDescent="0.15"/>
    <row r="52635" s="9" customFormat="1" ht="21.95" customHeight="1" x14ac:dyDescent="0.15"/>
    <row r="52636" s="9" customFormat="1" ht="21.95" customHeight="1" x14ac:dyDescent="0.15"/>
    <row r="52637" s="9" customFormat="1" ht="21.95" customHeight="1" x14ac:dyDescent="0.15"/>
    <row r="52638" s="9" customFormat="1" ht="21.95" customHeight="1" x14ac:dyDescent="0.15"/>
    <row r="52639" s="9" customFormat="1" ht="21.95" customHeight="1" x14ac:dyDescent="0.15"/>
    <row r="52640" s="9" customFormat="1" ht="21.95" customHeight="1" x14ac:dyDescent="0.15"/>
    <row r="52641" s="9" customFormat="1" ht="21.95" customHeight="1" x14ac:dyDescent="0.15"/>
    <row r="52642" s="9" customFormat="1" ht="21.95" customHeight="1" x14ac:dyDescent="0.15"/>
    <row r="52643" s="9" customFormat="1" ht="21.95" customHeight="1" x14ac:dyDescent="0.15"/>
    <row r="52644" s="9" customFormat="1" ht="21.95" customHeight="1" x14ac:dyDescent="0.15"/>
    <row r="52645" s="9" customFormat="1" ht="21.95" customHeight="1" x14ac:dyDescent="0.15"/>
    <row r="52646" s="9" customFormat="1" ht="21.95" customHeight="1" x14ac:dyDescent="0.15"/>
    <row r="52647" s="9" customFormat="1" ht="21.95" customHeight="1" x14ac:dyDescent="0.15"/>
    <row r="52648" s="9" customFormat="1" ht="21.95" customHeight="1" x14ac:dyDescent="0.15"/>
    <row r="52649" s="9" customFormat="1" ht="21.95" customHeight="1" x14ac:dyDescent="0.15"/>
    <row r="52650" s="9" customFormat="1" ht="21.95" customHeight="1" x14ac:dyDescent="0.15"/>
    <row r="52651" s="9" customFormat="1" ht="21.95" customHeight="1" x14ac:dyDescent="0.15"/>
    <row r="52652" s="9" customFormat="1" ht="21.95" customHeight="1" x14ac:dyDescent="0.15"/>
    <row r="52653" s="9" customFormat="1" ht="21.95" customHeight="1" x14ac:dyDescent="0.15"/>
    <row r="52654" s="9" customFormat="1" ht="21.95" customHeight="1" x14ac:dyDescent="0.15"/>
    <row r="52655" s="9" customFormat="1" ht="21.95" customHeight="1" x14ac:dyDescent="0.15"/>
    <row r="52656" s="9" customFormat="1" ht="21.95" customHeight="1" x14ac:dyDescent="0.15"/>
    <row r="52657" s="9" customFormat="1" ht="21.95" customHeight="1" x14ac:dyDescent="0.15"/>
    <row r="52658" s="9" customFormat="1" ht="21.95" customHeight="1" x14ac:dyDescent="0.15"/>
    <row r="52659" s="9" customFormat="1" ht="21.95" customHeight="1" x14ac:dyDescent="0.15"/>
    <row r="52660" s="9" customFormat="1" ht="21.95" customHeight="1" x14ac:dyDescent="0.15"/>
    <row r="52661" s="9" customFormat="1" ht="21.95" customHeight="1" x14ac:dyDescent="0.15"/>
    <row r="52662" s="9" customFormat="1" ht="35.1" customHeight="1" x14ac:dyDescent="0.15"/>
    <row r="52663" s="9" customFormat="1" ht="21.95" customHeight="1" x14ac:dyDescent="0.15"/>
    <row r="52664" s="9" customFormat="1" ht="21.95" customHeight="1" x14ac:dyDescent="0.15"/>
    <row r="52665" s="9" customFormat="1" ht="21.95" customHeight="1" x14ac:dyDescent="0.15"/>
    <row r="52666" s="9" customFormat="1" ht="21.95" customHeight="1" x14ac:dyDescent="0.15"/>
    <row r="52667" s="9" customFormat="1" ht="21.95" customHeight="1" x14ac:dyDescent="0.15"/>
    <row r="52668" s="9" customFormat="1" ht="21.95" customHeight="1" x14ac:dyDescent="0.15"/>
    <row r="52669" s="9" customFormat="1" ht="21.95" customHeight="1" x14ac:dyDescent="0.15"/>
    <row r="52670" s="9" customFormat="1" ht="21.95" customHeight="1" x14ac:dyDescent="0.15"/>
    <row r="52671" s="9" customFormat="1" ht="21.95" customHeight="1" x14ac:dyDescent="0.15"/>
    <row r="52672" s="9" customFormat="1" ht="21.95" customHeight="1" x14ac:dyDescent="0.15"/>
    <row r="52673" spans="3:3" s="9" customFormat="1" ht="21.95" customHeight="1" x14ac:dyDescent="0.15"/>
    <row r="52674" spans="3:3" s="9" customFormat="1" ht="21.95" customHeight="1" x14ac:dyDescent="0.15"/>
    <row r="52675" spans="3:3" s="9" customFormat="1" ht="21.95" customHeight="1" x14ac:dyDescent="0.15"/>
    <row r="52676" spans="3:3" s="9" customFormat="1" ht="21.95" customHeight="1" x14ac:dyDescent="0.15"/>
    <row r="52677" spans="3:3" s="9" customFormat="1" ht="21.95" customHeight="1" x14ac:dyDescent="0.15"/>
    <row r="52678" spans="3:3" s="9" customFormat="1" ht="21.95" customHeight="1" x14ac:dyDescent="0.15"/>
    <row r="52679" spans="3:3" s="9" customFormat="1" ht="21.95" customHeight="1" x14ac:dyDescent="0.15"/>
    <row r="52680" spans="3:3" s="9" customFormat="1" ht="21.95" customHeight="1" x14ac:dyDescent="0.15"/>
    <row r="52681" spans="3:3" s="9" customFormat="1" ht="21.95" customHeight="1" x14ac:dyDescent="0.15"/>
    <row r="52682" spans="3:3" s="9" customFormat="1" ht="21.95" customHeight="1" x14ac:dyDescent="0.15"/>
    <row r="52683" spans="3:3" s="9" customFormat="1" ht="21.95" customHeight="1" x14ac:dyDescent="0.15"/>
    <row r="52684" spans="3:3" s="9" customFormat="1" ht="21.95" customHeight="1" x14ac:dyDescent="0.15"/>
    <row r="52685" spans="3:3" s="9" customFormat="1" ht="21.95" customHeight="1" x14ac:dyDescent="0.15"/>
    <row r="52686" spans="3:3" s="8" customFormat="1" ht="21.95" customHeight="1" x14ac:dyDescent="0.15"/>
    <row r="52687" spans="3:3" s="8" customFormat="1" ht="21.95" customHeight="1" x14ac:dyDescent="0.15"/>
    <row r="52688" spans="3:3" s="8" customFormat="1" ht="21.95" customHeight="1" x14ac:dyDescent="0.15">
      <c r="C52688" s="101"/>
    </row>
    <row r="52689" spans="3:3" s="8" customFormat="1" ht="21.95" customHeight="1" x14ac:dyDescent="0.15">
      <c r="C52689" s="101"/>
    </row>
    <row r="52690" spans="3:3" s="8" customFormat="1" ht="21.95" customHeight="1" x14ac:dyDescent="0.15"/>
    <row r="52691" spans="3:3" s="8" customFormat="1" ht="21.95" customHeight="1" x14ac:dyDescent="0.15"/>
    <row r="52692" spans="3:3" s="8" customFormat="1" ht="21.95" customHeight="1" x14ac:dyDescent="0.15"/>
    <row r="52693" spans="3:3" s="8" customFormat="1" ht="21.95" customHeight="1" x14ac:dyDescent="0.15"/>
    <row r="52694" spans="3:3" s="8" customFormat="1" ht="21.95" customHeight="1" x14ac:dyDescent="0.15"/>
    <row r="52695" spans="3:3" s="8" customFormat="1" ht="21.95" customHeight="1" x14ac:dyDescent="0.15"/>
    <row r="52696" spans="3:3" s="8" customFormat="1" ht="21.95" customHeight="1" x14ac:dyDescent="0.15"/>
    <row r="52697" spans="3:3" s="9" customFormat="1" ht="21.95" customHeight="1" x14ac:dyDescent="0.15"/>
    <row r="52698" spans="3:3" s="9" customFormat="1" ht="21.95" customHeight="1" x14ac:dyDescent="0.15"/>
    <row r="52699" spans="3:3" s="9" customFormat="1" ht="21.95" customHeight="1" x14ac:dyDescent="0.15"/>
    <row r="52700" spans="3:3" s="9" customFormat="1" ht="21.95" customHeight="1" x14ac:dyDescent="0.15"/>
    <row r="52701" spans="3:3" s="8" customFormat="1" ht="21.95" customHeight="1" x14ac:dyDescent="0.15"/>
    <row r="52702" spans="3:3" s="8" customFormat="1" ht="21.95" customHeight="1" x14ac:dyDescent="0.15"/>
    <row r="52703" spans="3:3" s="8" customFormat="1" ht="21.95" customHeight="1" x14ac:dyDescent="0.15"/>
    <row r="52704" spans="3:3" s="8" customFormat="1" ht="21.95" customHeight="1" x14ac:dyDescent="0.15"/>
    <row r="52705" s="8" customFormat="1" ht="21.95" customHeight="1" x14ac:dyDescent="0.15"/>
    <row r="52706" s="8" customFormat="1" ht="21.95" customHeight="1" x14ac:dyDescent="0.15"/>
    <row r="52707" s="8" customFormat="1" ht="21.95" customHeight="1" x14ac:dyDescent="0.15"/>
    <row r="52708" s="8" customFormat="1" ht="21.95" customHeight="1" x14ac:dyDescent="0.15"/>
    <row r="52709" s="8" customFormat="1" ht="21.95" customHeight="1" x14ac:dyDescent="0.15"/>
    <row r="52710" s="8" customFormat="1" ht="21.95" customHeight="1" x14ac:dyDescent="0.15"/>
    <row r="52711" s="8" customFormat="1" ht="21.95" customHeight="1" x14ac:dyDescent="0.15"/>
    <row r="52712" s="8" customFormat="1" ht="32.1" customHeight="1" x14ac:dyDescent="0.15"/>
    <row r="52713" s="8" customFormat="1" ht="32.1" customHeight="1" x14ac:dyDescent="0.15"/>
    <row r="52714" s="8" customFormat="1" ht="32.1" customHeight="1" x14ac:dyDescent="0.15"/>
    <row r="52715" s="8" customFormat="1" ht="32.1" customHeight="1" x14ac:dyDescent="0.15"/>
    <row r="52716" s="8" customFormat="1" ht="32.1" customHeight="1" x14ac:dyDescent="0.15"/>
    <row r="52717" s="8" customFormat="1" ht="32.1" customHeight="1" x14ac:dyDescent="0.15"/>
    <row r="52718" s="9" customFormat="1" ht="32.1" customHeight="1" x14ac:dyDescent="0.15"/>
    <row r="52719" s="9" customFormat="1" ht="32.1" customHeight="1" x14ac:dyDescent="0.15"/>
    <row r="52720" s="9" customFormat="1" ht="32.1" customHeight="1" x14ac:dyDescent="0.15"/>
    <row r="52721" s="9" customFormat="1" ht="32.1" customHeight="1" x14ac:dyDescent="0.15"/>
    <row r="52722" s="9" customFormat="1" ht="21.95" customHeight="1" x14ac:dyDescent="0.15"/>
    <row r="52723" s="9" customFormat="1" ht="54" customHeight="1" x14ac:dyDescent="0.15"/>
    <row r="52724" s="9" customFormat="1" ht="21.95" customHeight="1" x14ac:dyDescent="0.15"/>
    <row r="52725" s="9" customFormat="1" ht="21.95" customHeight="1" x14ac:dyDescent="0.15"/>
    <row r="52726" s="9" customFormat="1" ht="21.95" customHeight="1" x14ac:dyDescent="0.15"/>
    <row r="52727" s="9" customFormat="1" ht="21.95" customHeight="1" x14ac:dyDescent="0.15"/>
    <row r="52728" s="9" customFormat="1" ht="21.95" customHeight="1" x14ac:dyDescent="0.15"/>
    <row r="52729" s="9" customFormat="1" ht="21.95" customHeight="1" x14ac:dyDescent="0.15"/>
    <row r="52730" s="9" customFormat="1" ht="21.95" customHeight="1" x14ac:dyDescent="0.15"/>
    <row r="52731" s="9" customFormat="1" ht="21.95" customHeight="1" x14ac:dyDescent="0.15"/>
    <row r="52732" s="9" customFormat="1" ht="21.95" customHeight="1" x14ac:dyDescent="0.15"/>
    <row r="52733" s="9" customFormat="1" ht="21.95" customHeight="1" x14ac:dyDescent="0.15"/>
    <row r="52734" s="9" customFormat="1" ht="21.95" customHeight="1" x14ac:dyDescent="0.15"/>
    <row r="52735" s="9" customFormat="1" ht="21.95" customHeight="1" x14ac:dyDescent="0.15"/>
    <row r="52736" s="9" customFormat="1" ht="21.95" customHeight="1" x14ac:dyDescent="0.15"/>
    <row r="52737" s="9" customFormat="1" ht="21.95" customHeight="1" x14ac:dyDescent="0.15"/>
    <row r="52738" s="9" customFormat="1" ht="21.95" customHeight="1" x14ac:dyDescent="0.15"/>
    <row r="52739" s="9" customFormat="1" ht="21.95" customHeight="1" x14ac:dyDescent="0.15"/>
    <row r="52740" s="9" customFormat="1" ht="21.95" customHeight="1" x14ac:dyDescent="0.15"/>
    <row r="52741" s="9" customFormat="1" ht="21.95" customHeight="1" x14ac:dyDescent="0.15"/>
    <row r="52742" s="9" customFormat="1" ht="21.95" customHeight="1" x14ac:dyDescent="0.15"/>
    <row r="52743" s="9" customFormat="1" ht="21.95" customHeight="1" x14ac:dyDescent="0.15"/>
    <row r="52744" s="9" customFormat="1" ht="21.95" customHeight="1" x14ac:dyDescent="0.15"/>
    <row r="52745" s="9" customFormat="1" ht="21.95" customHeight="1" x14ac:dyDescent="0.15"/>
    <row r="52746" s="9" customFormat="1" ht="21.95" customHeight="1" x14ac:dyDescent="0.15"/>
    <row r="52747" s="9" customFormat="1" ht="21.95" customHeight="1" x14ac:dyDescent="0.15"/>
    <row r="52748" s="9" customFormat="1" ht="21.95" customHeight="1" x14ac:dyDescent="0.15"/>
    <row r="52749" s="9" customFormat="1" ht="21.95" customHeight="1" x14ac:dyDescent="0.15"/>
    <row r="52750" s="9" customFormat="1" ht="21.95" customHeight="1" x14ac:dyDescent="0.15"/>
    <row r="52751" s="9" customFormat="1" ht="21.95" customHeight="1" x14ac:dyDescent="0.15"/>
    <row r="52752" s="9" customFormat="1" ht="21.95" customHeight="1" x14ac:dyDescent="0.15"/>
    <row r="52753" s="9" customFormat="1" ht="21.95" customHeight="1" x14ac:dyDescent="0.15"/>
    <row r="52754" s="9" customFormat="1" ht="21.95" customHeight="1" x14ac:dyDescent="0.15"/>
    <row r="52755" s="9" customFormat="1" ht="21.95" customHeight="1" x14ac:dyDescent="0.15"/>
    <row r="52756" s="9" customFormat="1" ht="21.95" customHeight="1" x14ac:dyDescent="0.15"/>
    <row r="52757" s="9" customFormat="1" ht="21.95" customHeight="1" x14ac:dyDescent="0.15"/>
    <row r="52758" s="9" customFormat="1" ht="21.95" customHeight="1" x14ac:dyDescent="0.15"/>
    <row r="52759" s="9" customFormat="1" ht="21.95" customHeight="1" x14ac:dyDescent="0.15"/>
    <row r="52760" s="9" customFormat="1" ht="21.95" customHeight="1" x14ac:dyDescent="0.15"/>
    <row r="52761" s="9" customFormat="1" ht="21.95" customHeight="1" x14ac:dyDescent="0.15"/>
    <row r="52762" s="9" customFormat="1" ht="21.95" customHeight="1" x14ac:dyDescent="0.15"/>
    <row r="52763" s="9" customFormat="1" ht="21.95" customHeight="1" x14ac:dyDescent="0.15"/>
    <row r="52764" s="9" customFormat="1" ht="21.95" customHeight="1" x14ac:dyDescent="0.15"/>
    <row r="52765" s="9" customFormat="1" ht="21.95" customHeight="1" x14ac:dyDescent="0.15"/>
    <row r="52766" s="9" customFormat="1" ht="21.95" customHeight="1" x14ac:dyDescent="0.15"/>
    <row r="52767" s="9" customFormat="1" ht="21.95" customHeight="1" x14ac:dyDescent="0.15"/>
    <row r="52768" s="9" customFormat="1" ht="21.95" customHeight="1" x14ac:dyDescent="0.15"/>
    <row r="52769" s="9" customFormat="1" ht="21.95" customHeight="1" x14ac:dyDescent="0.15"/>
    <row r="52770" s="9" customFormat="1" ht="21.95" customHeight="1" x14ac:dyDescent="0.15"/>
    <row r="52771" s="9" customFormat="1" ht="21.95" customHeight="1" x14ac:dyDescent="0.15"/>
    <row r="52772" s="9" customFormat="1" ht="21.95" customHeight="1" x14ac:dyDescent="0.15"/>
    <row r="52773" s="9" customFormat="1" ht="21.95" customHeight="1" x14ac:dyDescent="0.15"/>
    <row r="52774" s="9" customFormat="1" ht="35.1" customHeight="1" x14ac:dyDescent="0.15"/>
    <row r="52775" s="9" customFormat="1" ht="21.95" customHeight="1" x14ac:dyDescent="0.15"/>
    <row r="52776" s="9" customFormat="1" ht="21.95" customHeight="1" x14ac:dyDescent="0.15"/>
    <row r="52777" s="9" customFormat="1" ht="21.95" customHeight="1" x14ac:dyDescent="0.15"/>
    <row r="52778" s="9" customFormat="1" ht="21.95" customHeight="1" x14ac:dyDescent="0.15"/>
    <row r="52779" s="9" customFormat="1" ht="21.95" customHeight="1" x14ac:dyDescent="0.15"/>
    <row r="52780" s="9" customFormat="1" ht="21.95" customHeight="1" x14ac:dyDescent="0.15"/>
    <row r="52781" s="9" customFormat="1" ht="21.95" customHeight="1" x14ac:dyDescent="0.15"/>
    <row r="52782" s="9" customFormat="1" ht="21.95" customHeight="1" x14ac:dyDescent="0.15"/>
    <row r="52783" s="9" customFormat="1" ht="21.95" customHeight="1" x14ac:dyDescent="0.15"/>
    <row r="52784" s="9" customFormat="1" ht="21.95" customHeight="1" x14ac:dyDescent="0.15"/>
    <row r="52785" spans="3:3" s="9" customFormat="1" ht="21.95" customHeight="1" x14ac:dyDescent="0.15"/>
    <row r="52786" spans="3:3" s="9" customFormat="1" ht="21.95" customHeight="1" x14ac:dyDescent="0.15"/>
    <row r="52787" spans="3:3" s="9" customFormat="1" ht="21.95" customHeight="1" x14ac:dyDescent="0.15"/>
    <row r="52788" spans="3:3" s="9" customFormat="1" ht="21.95" customHeight="1" x14ac:dyDescent="0.15"/>
    <row r="52789" spans="3:3" s="9" customFormat="1" ht="21.95" customHeight="1" x14ac:dyDescent="0.15"/>
    <row r="52790" spans="3:3" s="9" customFormat="1" ht="21.95" customHeight="1" x14ac:dyDescent="0.15"/>
    <row r="52791" spans="3:3" s="9" customFormat="1" ht="21.95" customHeight="1" x14ac:dyDescent="0.15"/>
    <row r="52792" spans="3:3" s="9" customFormat="1" ht="21.95" customHeight="1" x14ac:dyDescent="0.15"/>
    <row r="52793" spans="3:3" s="9" customFormat="1" ht="21.95" customHeight="1" x14ac:dyDescent="0.15"/>
    <row r="52794" spans="3:3" s="9" customFormat="1" ht="21.95" customHeight="1" x14ac:dyDescent="0.15"/>
    <row r="52795" spans="3:3" s="9" customFormat="1" ht="21.95" customHeight="1" x14ac:dyDescent="0.15"/>
    <row r="52796" spans="3:3" s="9" customFormat="1" ht="21.95" customHeight="1" x14ac:dyDescent="0.15"/>
    <row r="52797" spans="3:3" s="9" customFormat="1" ht="21.95" customHeight="1" x14ac:dyDescent="0.15"/>
    <row r="52798" spans="3:3" s="8" customFormat="1" ht="21.95" customHeight="1" x14ac:dyDescent="0.15"/>
    <row r="52799" spans="3:3" s="8" customFormat="1" ht="21.95" customHeight="1" x14ac:dyDescent="0.15"/>
    <row r="52800" spans="3:3" s="8" customFormat="1" ht="21.95" customHeight="1" x14ac:dyDescent="0.15">
      <c r="C52800" s="101"/>
    </row>
    <row r="52801" spans="3:3" s="8" customFormat="1" ht="21.95" customHeight="1" x14ac:dyDescent="0.15">
      <c r="C52801" s="101"/>
    </row>
    <row r="52802" spans="3:3" s="8" customFormat="1" ht="21.95" customHeight="1" x14ac:dyDescent="0.15"/>
    <row r="52803" spans="3:3" s="8" customFormat="1" ht="21.95" customHeight="1" x14ac:dyDescent="0.15"/>
    <row r="52804" spans="3:3" s="8" customFormat="1" ht="21.95" customHeight="1" x14ac:dyDescent="0.15"/>
    <row r="52805" spans="3:3" s="8" customFormat="1" ht="21.95" customHeight="1" x14ac:dyDescent="0.15"/>
    <row r="52806" spans="3:3" s="8" customFormat="1" ht="21.95" customHeight="1" x14ac:dyDescent="0.15"/>
    <row r="52807" spans="3:3" s="8" customFormat="1" ht="21.95" customHeight="1" x14ac:dyDescent="0.15"/>
    <row r="52808" spans="3:3" s="8" customFormat="1" ht="21.95" customHeight="1" x14ac:dyDescent="0.15"/>
    <row r="52809" spans="3:3" s="9" customFormat="1" ht="21.95" customHeight="1" x14ac:dyDescent="0.15"/>
    <row r="52810" spans="3:3" s="9" customFormat="1" ht="21.95" customHeight="1" x14ac:dyDescent="0.15"/>
    <row r="52811" spans="3:3" s="9" customFormat="1" ht="21.95" customHeight="1" x14ac:dyDescent="0.15"/>
    <row r="52812" spans="3:3" s="9" customFormat="1" ht="21.95" customHeight="1" x14ac:dyDescent="0.15"/>
    <row r="52813" spans="3:3" s="8" customFormat="1" ht="21.95" customHeight="1" x14ac:dyDescent="0.15"/>
    <row r="52814" spans="3:3" s="8" customFormat="1" ht="21.95" customHeight="1" x14ac:dyDescent="0.15"/>
    <row r="52815" spans="3:3" s="8" customFormat="1" ht="21.95" customHeight="1" x14ac:dyDescent="0.15"/>
    <row r="52816" spans="3:3" s="8" customFormat="1" ht="21.95" customHeight="1" x14ac:dyDescent="0.15"/>
    <row r="52817" s="8" customFormat="1" ht="21.95" customHeight="1" x14ac:dyDescent="0.15"/>
    <row r="52818" s="8" customFormat="1" ht="21.95" customHeight="1" x14ac:dyDescent="0.15"/>
    <row r="52819" s="8" customFormat="1" ht="21.95" customHeight="1" x14ac:dyDescent="0.15"/>
    <row r="52820" s="8" customFormat="1" ht="21.95" customHeight="1" x14ac:dyDescent="0.15"/>
    <row r="52821" s="8" customFormat="1" ht="21.95" customHeight="1" x14ac:dyDescent="0.15"/>
    <row r="52822" s="8" customFormat="1" ht="21.95" customHeight="1" x14ac:dyDescent="0.15"/>
    <row r="52823" s="8" customFormat="1" ht="21.95" customHeight="1" x14ac:dyDescent="0.15"/>
    <row r="52824" s="8" customFormat="1" ht="32.1" customHeight="1" x14ac:dyDescent="0.15"/>
    <row r="52825" s="8" customFormat="1" ht="32.1" customHeight="1" x14ac:dyDescent="0.15"/>
    <row r="52826" s="8" customFormat="1" ht="32.1" customHeight="1" x14ac:dyDescent="0.15"/>
    <row r="52827" s="8" customFormat="1" ht="32.1" customHeight="1" x14ac:dyDescent="0.15"/>
    <row r="52828" s="8" customFormat="1" ht="32.1" customHeight="1" x14ac:dyDescent="0.15"/>
    <row r="52829" s="8" customFormat="1" ht="32.1" customHeight="1" x14ac:dyDescent="0.15"/>
    <row r="52830" s="9" customFormat="1" ht="32.1" customHeight="1" x14ac:dyDescent="0.15"/>
    <row r="52831" s="9" customFormat="1" ht="32.1" customHeight="1" x14ac:dyDescent="0.15"/>
    <row r="52832" s="9" customFormat="1" ht="32.1" customHeight="1" x14ac:dyDescent="0.15"/>
    <row r="52833" s="9" customFormat="1" ht="32.1" customHeight="1" x14ac:dyDescent="0.15"/>
    <row r="52834" s="9" customFormat="1" ht="21.95" customHeight="1" x14ac:dyDescent="0.15"/>
    <row r="52835" s="9" customFormat="1" ht="54" customHeight="1" x14ac:dyDescent="0.15"/>
    <row r="52836" s="9" customFormat="1" ht="21.95" customHeight="1" x14ac:dyDescent="0.15"/>
    <row r="52837" s="9" customFormat="1" ht="21.95" customHeight="1" x14ac:dyDescent="0.15"/>
    <row r="52838" s="9" customFormat="1" ht="21.95" customHeight="1" x14ac:dyDescent="0.15"/>
    <row r="52839" s="9" customFormat="1" ht="21.95" customHeight="1" x14ac:dyDescent="0.15"/>
    <row r="52840" s="9" customFormat="1" ht="21.95" customHeight="1" x14ac:dyDescent="0.15"/>
    <row r="52841" s="9" customFormat="1" ht="21.95" customHeight="1" x14ac:dyDescent="0.15"/>
    <row r="52842" s="9" customFormat="1" ht="21.95" customHeight="1" x14ac:dyDescent="0.15"/>
    <row r="52843" s="9" customFormat="1" ht="21.95" customHeight="1" x14ac:dyDescent="0.15"/>
    <row r="52844" s="9" customFormat="1" ht="21.95" customHeight="1" x14ac:dyDescent="0.15"/>
    <row r="52845" s="9" customFormat="1" ht="21.95" customHeight="1" x14ac:dyDescent="0.15"/>
    <row r="52846" s="9" customFormat="1" ht="21.95" customHeight="1" x14ac:dyDescent="0.15"/>
    <row r="52847" s="9" customFormat="1" ht="21.95" customHeight="1" x14ac:dyDescent="0.15"/>
    <row r="52848" s="9" customFormat="1" ht="21.95" customHeight="1" x14ac:dyDescent="0.15"/>
    <row r="52849" s="9" customFormat="1" ht="21.95" customHeight="1" x14ac:dyDescent="0.15"/>
    <row r="52850" s="9" customFormat="1" ht="21.95" customHeight="1" x14ac:dyDescent="0.15"/>
    <row r="52851" s="9" customFormat="1" ht="21.95" customHeight="1" x14ac:dyDescent="0.15"/>
    <row r="52852" s="9" customFormat="1" ht="21.95" customHeight="1" x14ac:dyDescent="0.15"/>
    <row r="52853" s="9" customFormat="1" ht="21.95" customHeight="1" x14ac:dyDescent="0.15"/>
    <row r="52854" s="9" customFormat="1" ht="21.95" customHeight="1" x14ac:dyDescent="0.15"/>
    <row r="52855" s="9" customFormat="1" ht="21.95" customHeight="1" x14ac:dyDescent="0.15"/>
    <row r="52856" s="9" customFormat="1" ht="21.95" customHeight="1" x14ac:dyDescent="0.15"/>
    <row r="52857" s="9" customFormat="1" ht="21.95" customHeight="1" x14ac:dyDescent="0.15"/>
    <row r="52858" s="9" customFormat="1" ht="21.95" customHeight="1" x14ac:dyDescent="0.15"/>
    <row r="52859" s="9" customFormat="1" ht="21.95" customHeight="1" x14ac:dyDescent="0.15"/>
    <row r="52860" s="9" customFormat="1" ht="21.95" customHeight="1" x14ac:dyDescent="0.15"/>
    <row r="52861" s="9" customFormat="1" ht="21.95" customHeight="1" x14ac:dyDescent="0.15"/>
    <row r="52862" s="9" customFormat="1" ht="21.95" customHeight="1" x14ac:dyDescent="0.15"/>
    <row r="52863" s="9" customFormat="1" ht="21.95" customHeight="1" x14ac:dyDescent="0.15"/>
    <row r="52864" s="9" customFormat="1" ht="21.95" customHeight="1" x14ac:dyDescent="0.15"/>
    <row r="52865" s="9" customFormat="1" ht="21.95" customHeight="1" x14ac:dyDescent="0.15"/>
    <row r="52866" s="9" customFormat="1" ht="21.95" customHeight="1" x14ac:dyDescent="0.15"/>
    <row r="52867" s="9" customFormat="1" ht="21.95" customHeight="1" x14ac:dyDescent="0.15"/>
    <row r="52868" s="9" customFormat="1" ht="21.95" customHeight="1" x14ac:dyDescent="0.15"/>
    <row r="52869" s="9" customFormat="1" ht="21.95" customHeight="1" x14ac:dyDescent="0.15"/>
    <row r="52870" s="9" customFormat="1" ht="21.95" customHeight="1" x14ac:dyDescent="0.15"/>
    <row r="52871" s="9" customFormat="1" ht="21.95" customHeight="1" x14ac:dyDescent="0.15"/>
    <row r="52872" s="9" customFormat="1" ht="21.95" customHeight="1" x14ac:dyDescent="0.15"/>
    <row r="52873" s="9" customFormat="1" ht="21.95" customHeight="1" x14ac:dyDescent="0.15"/>
    <row r="52874" s="9" customFormat="1" ht="21.95" customHeight="1" x14ac:dyDescent="0.15"/>
    <row r="52875" s="9" customFormat="1" ht="21.95" customHeight="1" x14ac:dyDescent="0.15"/>
    <row r="52876" s="9" customFormat="1" ht="21.95" customHeight="1" x14ac:dyDescent="0.15"/>
    <row r="52877" s="9" customFormat="1" ht="21.95" customHeight="1" x14ac:dyDescent="0.15"/>
    <row r="52878" s="9" customFormat="1" ht="21.95" customHeight="1" x14ac:dyDescent="0.15"/>
    <row r="52879" s="9" customFormat="1" ht="21.95" customHeight="1" x14ac:dyDescent="0.15"/>
    <row r="52880" s="9" customFormat="1" ht="21.95" customHeight="1" x14ac:dyDescent="0.15"/>
    <row r="52881" s="9" customFormat="1" ht="21.95" customHeight="1" x14ac:dyDescent="0.15"/>
    <row r="52882" s="9" customFormat="1" ht="21.95" customHeight="1" x14ac:dyDescent="0.15"/>
    <row r="52883" s="9" customFormat="1" ht="21.95" customHeight="1" x14ac:dyDescent="0.15"/>
    <row r="52884" s="9" customFormat="1" ht="21.95" customHeight="1" x14ac:dyDescent="0.15"/>
    <row r="52885" s="9" customFormat="1" ht="21.95" customHeight="1" x14ac:dyDescent="0.15"/>
    <row r="52886" s="9" customFormat="1" ht="35.1" customHeight="1" x14ac:dyDescent="0.15"/>
    <row r="52887" s="9" customFormat="1" ht="21.95" customHeight="1" x14ac:dyDescent="0.15"/>
    <row r="52888" s="9" customFormat="1" ht="21.95" customHeight="1" x14ac:dyDescent="0.15"/>
    <row r="52889" s="9" customFormat="1" ht="21.95" customHeight="1" x14ac:dyDescent="0.15"/>
    <row r="52890" s="9" customFormat="1" ht="21.95" customHeight="1" x14ac:dyDescent="0.15"/>
    <row r="52891" s="9" customFormat="1" ht="21.95" customHeight="1" x14ac:dyDescent="0.15"/>
    <row r="52892" s="9" customFormat="1" ht="21.95" customHeight="1" x14ac:dyDescent="0.15"/>
    <row r="52893" s="9" customFormat="1" ht="21.95" customHeight="1" x14ac:dyDescent="0.15"/>
    <row r="52894" s="9" customFormat="1" ht="21.95" customHeight="1" x14ac:dyDescent="0.15"/>
    <row r="52895" s="9" customFormat="1" ht="21.95" customHeight="1" x14ac:dyDescent="0.15"/>
    <row r="52896" s="9" customFormat="1" ht="21.95" customHeight="1" x14ac:dyDescent="0.15"/>
    <row r="52897" spans="3:3" s="9" customFormat="1" ht="21.95" customHeight="1" x14ac:dyDescent="0.15"/>
    <row r="52898" spans="3:3" s="9" customFormat="1" ht="21.95" customHeight="1" x14ac:dyDescent="0.15"/>
    <row r="52899" spans="3:3" s="9" customFormat="1" ht="21.95" customHeight="1" x14ac:dyDescent="0.15"/>
    <row r="52900" spans="3:3" s="9" customFormat="1" ht="21.95" customHeight="1" x14ac:dyDescent="0.15"/>
    <row r="52901" spans="3:3" s="9" customFormat="1" ht="21.95" customHeight="1" x14ac:dyDescent="0.15"/>
    <row r="52902" spans="3:3" s="9" customFormat="1" ht="21.95" customHeight="1" x14ac:dyDescent="0.15"/>
    <row r="52903" spans="3:3" s="9" customFormat="1" ht="21.95" customHeight="1" x14ac:dyDescent="0.15"/>
    <row r="52904" spans="3:3" s="9" customFormat="1" ht="21.95" customHeight="1" x14ac:dyDescent="0.15"/>
    <row r="52905" spans="3:3" s="9" customFormat="1" ht="21.95" customHeight="1" x14ac:dyDescent="0.15"/>
    <row r="52906" spans="3:3" s="9" customFormat="1" ht="21.95" customHeight="1" x14ac:dyDescent="0.15"/>
    <row r="52907" spans="3:3" s="9" customFormat="1" ht="21.95" customHeight="1" x14ac:dyDescent="0.15"/>
    <row r="52908" spans="3:3" s="9" customFormat="1" ht="21.95" customHeight="1" x14ac:dyDescent="0.15"/>
    <row r="52909" spans="3:3" s="9" customFormat="1" ht="21.95" customHeight="1" x14ac:dyDescent="0.15"/>
    <row r="52910" spans="3:3" s="8" customFormat="1" ht="21.95" customHeight="1" x14ac:dyDescent="0.15"/>
    <row r="52911" spans="3:3" s="8" customFormat="1" ht="21.95" customHeight="1" x14ac:dyDescent="0.15"/>
    <row r="52912" spans="3:3" s="8" customFormat="1" ht="21.95" customHeight="1" x14ac:dyDescent="0.15">
      <c r="C52912" s="101"/>
    </row>
    <row r="52913" spans="3:3" s="8" customFormat="1" ht="21.95" customHeight="1" x14ac:dyDescent="0.15">
      <c r="C52913" s="101"/>
    </row>
    <row r="52914" spans="3:3" s="8" customFormat="1" ht="21.95" customHeight="1" x14ac:dyDescent="0.15"/>
    <row r="52915" spans="3:3" s="8" customFormat="1" ht="21.95" customHeight="1" x14ac:dyDescent="0.15"/>
    <row r="52916" spans="3:3" s="8" customFormat="1" ht="21.95" customHeight="1" x14ac:dyDescent="0.15"/>
    <row r="52917" spans="3:3" s="8" customFormat="1" ht="21.95" customHeight="1" x14ac:dyDescent="0.15"/>
    <row r="52918" spans="3:3" s="8" customFormat="1" ht="21.95" customHeight="1" x14ac:dyDescent="0.15"/>
    <row r="52919" spans="3:3" s="8" customFormat="1" ht="21.95" customHeight="1" x14ac:dyDescent="0.15"/>
    <row r="52920" spans="3:3" s="8" customFormat="1" ht="21.95" customHeight="1" x14ac:dyDescent="0.15"/>
    <row r="52921" spans="3:3" s="9" customFormat="1" ht="21.95" customHeight="1" x14ac:dyDescent="0.15"/>
    <row r="52922" spans="3:3" s="9" customFormat="1" ht="21.95" customHeight="1" x14ac:dyDescent="0.15"/>
    <row r="52923" spans="3:3" s="9" customFormat="1" ht="21.95" customHeight="1" x14ac:dyDescent="0.15"/>
    <row r="52924" spans="3:3" s="9" customFormat="1" ht="21.95" customHeight="1" x14ac:dyDescent="0.15"/>
    <row r="52925" spans="3:3" s="8" customFormat="1" ht="21.95" customHeight="1" x14ac:dyDescent="0.15"/>
    <row r="52926" spans="3:3" s="8" customFormat="1" ht="21.95" customHeight="1" x14ac:dyDescent="0.15"/>
    <row r="52927" spans="3:3" s="8" customFormat="1" ht="21.95" customHeight="1" x14ac:dyDescent="0.15"/>
    <row r="52928" spans="3:3" s="8" customFormat="1" ht="21.95" customHeight="1" x14ac:dyDescent="0.15"/>
    <row r="52929" s="8" customFormat="1" ht="21.95" customHeight="1" x14ac:dyDescent="0.15"/>
    <row r="52930" s="8" customFormat="1" ht="21.95" customHeight="1" x14ac:dyDescent="0.15"/>
    <row r="52931" s="8" customFormat="1" ht="21.95" customHeight="1" x14ac:dyDescent="0.15"/>
    <row r="52932" s="8" customFormat="1" ht="21.95" customHeight="1" x14ac:dyDescent="0.15"/>
    <row r="52933" s="8" customFormat="1" ht="21.95" customHeight="1" x14ac:dyDescent="0.15"/>
    <row r="52934" s="8" customFormat="1" ht="21.95" customHeight="1" x14ac:dyDescent="0.15"/>
    <row r="52935" s="8" customFormat="1" ht="21.95" customHeight="1" x14ac:dyDescent="0.15"/>
    <row r="52936" s="8" customFormat="1" ht="32.1" customHeight="1" x14ac:dyDescent="0.15"/>
    <row r="52937" s="8" customFormat="1" ht="32.1" customHeight="1" x14ac:dyDescent="0.15"/>
    <row r="52938" s="8" customFormat="1" ht="32.1" customHeight="1" x14ac:dyDescent="0.15"/>
    <row r="52939" s="8" customFormat="1" ht="32.1" customHeight="1" x14ac:dyDescent="0.15"/>
    <row r="52940" s="8" customFormat="1" ht="32.1" customHeight="1" x14ac:dyDescent="0.15"/>
    <row r="52941" s="8" customFormat="1" ht="32.1" customHeight="1" x14ac:dyDescent="0.15"/>
    <row r="52942" s="9" customFormat="1" ht="32.1" customHeight="1" x14ac:dyDescent="0.15"/>
    <row r="52943" s="9" customFormat="1" ht="32.1" customHeight="1" x14ac:dyDescent="0.15"/>
    <row r="52944" s="9" customFormat="1" ht="32.1" customHeight="1" x14ac:dyDescent="0.15"/>
    <row r="52945" s="9" customFormat="1" ht="32.1" customHeight="1" x14ac:dyDescent="0.15"/>
    <row r="52946" s="9" customFormat="1" ht="21.95" customHeight="1" x14ac:dyDescent="0.15"/>
    <row r="52947" s="9" customFormat="1" ht="54" customHeight="1" x14ac:dyDescent="0.15"/>
    <row r="52948" s="9" customFormat="1" ht="21.95" customHeight="1" x14ac:dyDescent="0.15"/>
    <row r="52949" s="9" customFormat="1" ht="21.95" customHeight="1" x14ac:dyDescent="0.15"/>
    <row r="52950" s="9" customFormat="1" ht="21.95" customHeight="1" x14ac:dyDescent="0.15"/>
    <row r="52951" s="9" customFormat="1" ht="21.95" customHeight="1" x14ac:dyDescent="0.15"/>
    <row r="52952" s="9" customFormat="1" ht="21.95" customHeight="1" x14ac:dyDescent="0.15"/>
    <row r="52953" s="9" customFormat="1" ht="21.95" customHeight="1" x14ac:dyDescent="0.15"/>
    <row r="52954" s="9" customFormat="1" ht="21.95" customHeight="1" x14ac:dyDescent="0.15"/>
    <row r="52955" s="9" customFormat="1" ht="21.95" customHeight="1" x14ac:dyDescent="0.15"/>
    <row r="52956" s="9" customFormat="1" ht="21.95" customHeight="1" x14ac:dyDescent="0.15"/>
    <row r="52957" s="9" customFormat="1" ht="21.95" customHeight="1" x14ac:dyDescent="0.15"/>
    <row r="52958" s="9" customFormat="1" ht="21.95" customHeight="1" x14ac:dyDescent="0.15"/>
    <row r="52959" s="9" customFormat="1" ht="21.95" customHeight="1" x14ac:dyDescent="0.15"/>
    <row r="52960" s="9" customFormat="1" ht="21.95" customHeight="1" x14ac:dyDescent="0.15"/>
    <row r="52961" s="9" customFormat="1" ht="21.95" customHeight="1" x14ac:dyDescent="0.15"/>
    <row r="52962" s="9" customFormat="1" ht="21.95" customHeight="1" x14ac:dyDescent="0.15"/>
    <row r="52963" s="9" customFormat="1" ht="21.95" customHeight="1" x14ac:dyDescent="0.15"/>
    <row r="52964" s="9" customFormat="1" ht="21.95" customHeight="1" x14ac:dyDescent="0.15"/>
    <row r="52965" s="9" customFormat="1" ht="21.95" customHeight="1" x14ac:dyDescent="0.15"/>
    <row r="52966" s="9" customFormat="1" ht="21.95" customHeight="1" x14ac:dyDescent="0.15"/>
    <row r="52967" s="9" customFormat="1" ht="21.95" customHeight="1" x14ac:dyDescent="0.15"/>
    <row r="52968" s="9" customFormat="1" ht="21.95" customHeight="1" x14ac:dyDescent="0.15"/>
    <row r="52969" s="9" customFormat="1" ht="21.95" customHeight="1" x14ac:dyDescent="0.15"/>
    <row r="52970" s="9" customFormat="1" ht="21.95" customHeight="1" x14ac:dyDescent="0.15"/>
    <row r="52971" s="9" customFormat="1" ht="21.95" customHeight="1" x14ac:dyDescent="0.15"/>
    <row r="52972" s="9" customFormat="1" ht="21.95" customHeight="1" x14ac:dyDescent="0.15"/>
    <row r="52973" s="9" customFormat="1" ht="21.95" customHeight="1" x14ac:dyDescent="0.15"/>
    <row r="52974" s="9" customFormat="1" ht="21.95" customHeight="1" x14ac:dyDescent="0.15"/>
    <row r="52975" s="9" customFormat="1" ht="21.95" customHeight="1" x14ac:dyDescent="0.15"/>
    <row r="52976" s="9" customFormat="1" ht="21.95" customHeight="1" x14ac:dyDescent="0.15"/>
    <row r="52977" s="9" customFormat="1" ht="21.95" customHeight="1" x14ac:dyDescent="0.15"/>
    <row r="52978" s="9" customFormat="1" ht="21.95" customHeight="1" x14ac:dyDescent="0.15"/>
    <row r="52979" s="9" customFormat="1" ht="21.95" customHeight="1" x14ac:dyDescent="0.15"/>
    <row r="52980" s="9" customFormat="1" ht="21.95" customHeight="1" x14ac:dyDescent="0.15"/>
    <row r="52981" s="9" customFormat="1" ht="21.95" customHeight="1" x14ac:dyDescent="0.15"/>
    <row r="52982" s="9" customFormat="1" ht="21.95" customHeight="1" x14ac:dyDescent="0.15"/>
    <row r="52983" s="9" customFormat="1" ht="21.95" customHeight="1" x14ac:dyDescent="0.15"/>
    <row r="52984" s="9" customFormat="1" ht="21.95" customHeight="1" x14ac:dyDescent="0.15"/>
    <row r="52985" s="9" customFormat="1" ht="21.95" customHeight="1" x14ac:dyDescent="0.15"/>
    <row r="52986" s="9" customFormat="1" ht="21.95" customHeight="1" x14ac:dyDescent="0.15"/>
    <row r="52987" s="9" customFormat="1" ht="21.95" customHeight="1" x14ac:dyDescent="0.15"/>
    <row r="52988" s="9" customFormat="1" ht="21.95" customHeight="1" x14ac:dyDescent="0.15"/>
    <row r="52989" s="9" customFormat="1" ht="21.95" customHeight="1" x14ac:dyDescent="0.15"/>
    <row r="52990" s="9" customFormat="1" ht="21.95" customHeight="1" x14ac:dyDescent="0.15"/>
    <row r="52991" s="9" customFormat="1" ht="21.95" customHeight="1" x14ac:dyDescent="0.15"/>
    <row r="52992" s="9" customFormat="1" ht="21.95" customHeight="1" x14ac:dyDescent="0.15"/>
    <row r="52993" s="9" customFormat="1" ht="21.95" customHeight="1" x14ac:dyDescent="0.15"/>
    <row r="52994" s="9" customFormat="1" ht="21.95" customHeight="1" x14ac:dyDescent="0.15"/>
    <row r="52995" s="9" customFormat="1" ht="21.95" customHeight="1" x14ac:dyDescent="0.15"/>
    <row r="52996" s="9" customFormat="1" ht="21.95" customHeight="1" x14ac:dyDescent="0.15"/>
    <row r="52997" s="9" customFormat="1" ht="21.95" customHeight="1" x14ac:dyDescent="0.15"/>
    <row r="52998" s="9" customFormat="1" ht="35.1" customHeight="1" x14ac:dyDescent="0.15"/>
    <row r="52999" s="9" customFormat="1" ht="21.95" customHeight="1" x14ac:dyDescent="0.15"/>
    <row r="53000" s="9" customFormat="1" ht="21.95" customHeight="1" x14ac:dyDescent="0.15"/>
    <row r="53001" s="9" customFormat="1" ht="21.95" customHeight="1" x14ac:dyDescent="0.15"/>
    <row r="53002" s="9" customFormat="1" ht="21.95" customHeight="1" x14ac:dyDescent="0.15"/>
    <row r="53003" s="9" customFormat="1" ht="21.95" customHeight="1" x14ac:dyDescent="0.15"/>
    <row r="53004" s="9" customFormat="1" ht="21.95" customHeight="1" x14ac:dyDescent="0.15"/>
    <row r="53005" s="9" customFormat="1" ht="21.95" customHeight="1" x14ac:dyDescent="0.15"/>
    <row r="53006" s="9" customFormat="1" ht="21.95" customHeight="1" x14ac:dyDescent="0.15"/>
    <row r="53007" s="9" customFormat="1" ht="21.95" customHeight="1" x14ac:dyDescent="0.15"/>
    <row r="53008" s="9" customFormat="1" ht="21.95" customHeight="1" x14ac:dyDescent="0.15"/>
    <row r="53009" spans="3:3" s="9" customFormat="1" ht="21.95" customHeight="1" x14ac:dyDescent="0.15"/>
    <row r="53010" spans="3:3" s="9" customFormat="1" ht="21.95" customHeight="1" x14ac:dyDescent="0.15"/>
    <row r="53011" spans="3:3" s="9" customFormat="1" ht="21.95" customHeight="1" x14ac:dyDescent="0.15"/>
    <row r="53012" spans="3:3" s="9" customFormat="1" ht="21.95" customHeight="1" x14ac:dyDescent="0.15"/>
    <row r="53013" spans="3:3" s="9" customFormat="1" ht="21.95" customHeight="1" x14ac:dyDescent="0.15"/>
    <row r="53014" spans="3:3" s="9" customFormat="1" ht="21.95" customHeight="1" x14ac:dyDescent="0.15"/>
    <row r="53015" spans="3:3" s="9" customFormat="1" ht="21.95" customHeight="1" x14ac:dyDescent="0.15"/>
    <row r="53016" spans="3:3" s="9" customFormat="1" ht="21.95" customHeight="1" x14ac:dyDescent="0.15"/>
    <row r="53017" spans="3:3" s="9" customFormat="1" ht="21.95" customHeight="1" x14ac:dyDescent="0.15"/>
    <row r="53018" spans="3:3" s="9" customFormat="1" ht="21.95" customHeight="1" x14ac:dyDescent="0.15"/>
    <row r="53019" spans="3:3" s="9" customFormat="1" ht="21.95" customHeight="1" x14ac:dyDescent="0.15"/>
    <row r="53020" spans="3:3" s="9" customFormat="1" ht="21.95" customHeight="1" x14ac:dyDescent="0.15"/>
    <row r="53021" spans="3:3" s="9" customFormat="1" ht="21.95" customHeight="1" x14ac:dyDescent="0.15"/>
    <row r="53022" spans="3:3" s="8" customFormat="1" ht="21.95" customHeight="1" x14ac:dyDescent="0.15"/>
    <row r="53023" spans="3:3" s="8" customFormat="1" ht="21.95" customHeight="1" x14ac:dyDescent="0.15"/>
    <row r="53024" spans="3:3" s="8" customFormat="1" ht="21.95" customHeight="1" x14ac:dyDescent="0.15">
      <c r="C53024" s="101"/>
    </row>
    <row r="53025" spans="3:3" s="8" customFormat="1" ht="21.95" customHeight="1" x14ac:dyDescent="0.15">
      <c r="C53025" s="101"/>
    </row>
    <row r="53026" spans="3:3" s="8" customFormat="1" ht="21.95" customHeight="1" x14ac:dyDescent="0.15"/>
    <row r="53027" spans="3:3" s="8" customFormat="1" ht="21.95" customHeight="1" x14ac:dyDescent="0.15"/>
    <row r="53028" spans="3:3" s="8" customFormat="1" ht="21.95" customHeight="1" x14ac:dyDescent="0.15"/>
    <row r="53029" spans="3:3" s="8" customFormat="1" ht="21.95" customHeight="1" x14ac:dyDescent="0.15"/>
    <row r="53030" spans="3:3" s="8" customFormat="1" ht="21.95" customHeight="1" x14ac:dyDescent="0.15"/>
    <row r="53031" spans="3:3" s="8" customFormat="1" ht="21.95" customHeight="1" x14ac:dyDescent="0.15"/>
    <row r="53032" spans="3:3" s="8" customFormat="1" ht="21.95" customHeight="1" x14ac:dyDescent="0.15"/>
    <row r="53033" spans="3:3" s="9" customFormat="1" ht="21.95" customHeight="1" x14ac:dyDescent="0.15"/>
    <row r="53034" spans="3:3" s="9" customFormat="1" ht="21.95" customHeight="1" x14ac:dyDescent="0.15"/>
    <row r="53035" spans="3:3" s="9" customFormat="1" ht="21.95" customHeight="1" x14ac:dyDescent="0.15"/>
    <row r="53036" spans="3:3" s="9" customFormat="1" ht="21.95" customHeight="1" x14ac:dyDescent="0.15"/>
    <row r="53037" spans="3:3" s="8" customFormat="1" ht="21.95" customHeight="1" x14ac:dyDescent="0.15"/>
    <row r="53038" spans="3:3" s="8" customFormat="1" ht="21.95" customHeight="1" x14ac:dyDescent="0.15"/>
    <row r="53039" spans="3:3" s="8" customFormat="1" ht="21.95" customHeight="1" x14ac:dyDescent="0.15"/>
    <row r="53040" spans="3:3" s="8" customFormat="1" ht="21.95" customHeight="1" x14ac:dyDescent="0.15"/>
    <row r="53041" s="8" customFormat="1" ht="21.95" customHeight="1" x14ac:dyDescent="0.15"/>
    <row r="53042" s="8" customFormat="1" ht="21.95" customHeight="1" x14ac:dyDescent="0.15"/>
    <row r="53043" s="8" customFormat="1" ht="21.95" customHeight="1" x14ac:dyDescent="0.15"/>
    <row r="53044" s="8" customFormat="1" ht="21.95" customHeight="1" x14ac:dyDescent="0.15"/>
    <row r="53045" s="8" customFormat="1" ht="21.95" customHeight="1" x14ac:dyDescent="0.15"/>
    <row r="53046" s="8" customFormat="1" ht="21.95" customHeight="1" x14ac:dyDescent="0.15"/>
    <row r="53047" s="8" customFormat="1" ht="21.95" customHeight="1" x14ac:dyDescent="0.15"/>
    <row r="53048" s="8" customFormat="1" ht="32.1" customHeight="1" x14ac:dyDescent="0.15"/>
    <row r="53049" s="8" customFormat="1" ht="32.1" customHeight="1" x14ac:dyDescent="0.15"/>
    <row r="53050" s="8" customFormat="1" ht="32.1" customHeight="1" x14ac:dyDescent="0.15"/>
    <row r="53051" s="8" customFormat="1" ht="32.1" customHeight="1" x14ac:dyDescent="0.15"/>
    <row r="53052" s="8" customFormat="1" ht="32.1" customHeight="1" x14ac:dyDescent="0.15"/>
    <row r="53053" s="8" customFormat="1" ht="32.1" customHeight="1" x14ac:dyDescent="0.15"/>
    <row r="53054" s="9" customFormat="1" ht="32.1" customHeight="1" x14ac:dyDescent="0.15"/>
    <row r="53055" s="9" customFormat="1" ht="32.1" customHeight="1" x14ac:dyDescent="0.15"/>
    <row r="53056" s="9" customFormat="1" ht="32.1" customHeight="1" x14ac:dyDescent="0.15"/>
    <row r="53057" s="9" customFormat="1" ht="32.1" customHeight="1" x14ac:dyDescent="0.15"/>
    <row r="53058" s="9" customFormat="1" ht="21.95" customHeight="1" x14ac:dyDescent="0.15"/>
    <row r="53059" s="9" customFormat="1" ht="54" customHeight="1" x14ac:dyDescent="0.15"/>
    <row r="53060" s="9" customFormat="1" ht="21.95" customHeight="1" x14ac:dyDescent="0.15"/>
    <row r="53061" s="9" customFormat="1" ht="21.95" customHeight="1" x14ac:dyDescent="0.15"/>
    <row r="53062" s="9" customFormat="1" ht="21.95" customHeight="1" x14ac:dyDescent="0.15"/>
    <row r="53063" s="9" customFormat="1" ht="21.95" customHeight="1" x14ac:dyDescent="0.15"/>
    <row r="53064" s="9" customFormat="1" ht="21.95" customHeight="1" x14ac:dyDescent="0.15"/>
    <row r="53065" s="9" customFormat="1" ht="21.95" customHeight="1" x14ac:dyDescent="0.15"/>
    <row r="53066" s="9" customFormat="1" ht="21.95" customHeight="1" x14ac:dyDescent="0.15"/>
    <row r="53067" s="9" customFormat="1" ht="21.95" customHeight="1" x14ac:dyDescent="0.15"/>
    <row r="53068" s="9" customFormat="1" ht="21.95" customHeight="1" x14ac:dyDescent="0.15"/>
    <row r="53069" s="9" customFormat="1" ht="21.95" customHeight="1" x14ac:dyDescent="0.15"/>
    <row r="53070" s="9" customFormat="1" ht="21.95" customHeight="1" x14ac:dyDescent="0.15"/>
    <row r="53071" s="9" customFormat="1" ht="21.95" customHeight="1" x14ac:dyDescent="0.15"/>
    <row r="53072" s="9" customFormat="1" ht="21.95" customHeight="1" x14ac:dyDescent="0.15"/>
    <row r="53073" s="9" customFormat="1" ht="21.95" customHeight="1" x14ac:dyDescent="0.15"/>
    <row r="53074" s="9" customFormat="1" ht="21.95" customHeight="1" x14ac:dyDescent="0.15"/>
    <row r="53075" s="9" customFormat="1" ht="21.95" customHeight="1" x14ac:dyDescent="0.15"/>
    <row r="53076" s="9" customFormat="1" ht="21.95" customHeight="1" x14ac:dyDescent="0.15"/>
    <row r="53077" s="9" customFormat="1" ht="21.95" customHeight="1" x14ac:dyDescent="0.15"/>
    <row r="53078" s="9" customFormat="1" ht="21.95" customHeight="1" x14ac:dyDescent="0.15"/>
    <row r="53079" s="9" customFormat="1" ht="21.95" customHeight="1" x14ac:dyDescent="0.15"/>
    <row r="53080" s="9" customFormat="1" ht="21.95" customHeight="1" x14ac:dyDescent="0.15"/>
    <row r="53081" s="9" customFormat="1" ht="21.95" customHeight="1" x14ac:dyDescent="0.15"/>
    <row r="53082" s="9" customFormat="1" ht="21.95" customHeight="1" x14ac:dyDescent="0.15"/>
    <row r="53083" s="9" customFormat="1" ht="21.95" customHeight="1" x14ac:dyDescent="0.15"/>
    <row r="53084" s="9" customFormat="1" ht="21.95" customHeight="1" x14ac:dyDescent="0.15"/>
    <row r="53085" s="9" customFormat="1" ht="21.95" customHeight="1" x14ac:dyDescent="0.15"/>
    <row r="53086" s="9" customFormat="1" ht="21.95" customHeight="1" x14ac:dyDescent="0.15"/>
    <row r="53087" s="9" customFormat="1" ht="21.95" customHeight="1" x14ac:dyDescent="0.15"/>
    <row r="53088" s="9" customFormat="1" ht="21.95" customHeight="1" x14ac:dyDescent="0.15"/>
    <row r="53089" s="9" customFormat="1" ht="21.95" customHeight="1" x14ac:dyDescent="0.15"/>
    <row r="53090" s="9" customFormat="1" ht="21.95" customHeight="1" x14ac:dyDescent="0.15"/>
    <row r="53091" s="9" customFormat="1" ht="21.95" customHeight="1" x14ac:dyDescent="0.15"/>
    <row r="53092" s="9" customFormat="1" ht="21.95" customHeight="1" x14ac:dyDescent="0.15"/>
    <row r="53093" s="9" customFormat="1" ht="21.95" customHeight="1" x14ac:dyDescent="0.15"/>
    <row r="53094" s="9" customFormat="1" ht="21.95" customHeight="1" x14ac:dyDescent="0.15"/>
    <row r="53095" s="9" customFormat="1" ht="21.95" customHeight="1" x14ac:dyDescent="0.15"/>
    <row r="53096" s="9" customFormat="1" ht="21.95" customHeight="1" x14ac:dyDescent="0.15"/>
    <row r="53097" s="9" customFormat="1" ht="21.95" customHeight="1" x14ac:dyDescent="0.15"/>
    <row r="53098" s="9" customFormat="1" ht="21.95" customHeight="1" x14ac:dyDescent="0.15"/>
    <row r="53099" s="9" customFormat="1" ht="21.95" customHeight="1" x14ac:dyDescent="0.15"/>
    <row r="53100" s="9" customFormat="1" ht="21.95" customHeight="1" x14ac:dyDescent="0.15"/>
    <row r="53101" s="9" customFormat="1" ht="21.95" customHeight="1" x14ac:dyDescent="0.15"/>
    <row r="53102" s="9" customFormat="1" ht="21.95" customHeight="1" x14ac:dyDescent="0.15"/>
    <row r="53103" s="9" customFormat="1" ht="21.95" customHeight="1" x14ac:dyDescent="0.15"/>
    <row r="53104" s="9" customFormat="1" ht="21.95" customHeight="1" x14ac:dyDescent="0.15"/>
    <row r="53105" s="9" customFormat="1" ht="21.95" customHeight="1" x14ac:dyDescent="0.15"/>
    <row r="53106" s="9" customFormat="1" ht="21.95" customHeight="1" x14ac:dyDescent="0.15"/>
    <row r="53107" s="9" customFormat="1" ht="21.95" customHeight="1" x14ac:dyDescent="0.15"/>
    <row r="53108" s="9" customFormat="1" ht="21.95" customHeight="1" x14ac:dyDescent="0.15"/>
    <row r="53109" s="9" customFormat="1" ht="21.95" customHeight="1" x14ac:dyDescent="0.15"/>
    <row r="53110" s="9" customFormat="1" ht="35.1" customHeight="1" x14ac:dyDescent="0.15"/>
    <row r="53111" s="9" customFormat="1" ht="21.95" customHeight="1" x14ac:dyDescent="0.15"/>
    <row r="53112" s="9" customFormat="1" ht="21.95" customHeight="1" x14ac:dyDescent="0.15"/>
    <row r="53113" s="9" customFormat="1" ht="21.95" customHeight="1" x14ac:dyDescent="0.15"/>
    <row r="53114" s="9" customFormat="1" ht="21.95" customHeight="1" x14ac:dyDescent="0.15"/>
    <row r="53115" s="9" customFormat="1" ht="21.95" customHeight="1" x14ac:dyDescent="0.15"/>
    <row r="53116" s="9" customFormat="1" ht="21.95" customHeight="1" x14ac:dyDescent="0.15"/>
    <row r="53117" s="9" customFormat="1" ht="21.95" customHeight="1" x14ac:dyDescent="0.15"/>
    <row r="53118" s="9" customFormat="1" ht="21.95" customHeight="1" x14ac:dyDescent="0.15"/>
    <row r="53119" s="9" customFormat="1" ht="21.95" customHeight="1" x14ac:dyDescent="0.15"/>
    <row r="53120" s="9" customFormat="1" ht="21.95" customHeight="1" x14ac:dyDescent="0.15"/>
    <row r="53121" spans="3:3" s="9" customFormat="1" ht="21.95" customHeight="1" x14ac:dyDescent="0.15"/>
    <row r="53122" spans="3:3" s="9" customFormat="1" ht="21.95" customHeight="1" x14ac:dyDescent="0.15"/>
    <row r="53123" spans="3:3" s="9" customFormat="1" ht="21.95" customHeight="1" x14ac:dyDescent="0.15"/>
    <row r="53124" spans="3:3" s="9" customFormat="1" ht="21.95" customHeight="1" x14ac:dyDescent="0.15"/>
    <row r="53125" spans="3:3" s="9" customFormat="1" ht="21.95" customHeight="1" x14ac:dyDescent="0.15"/>
    <row r="53126" spans="3:3" s="9" customFormat="1" ht="21.95" customHeight="1" x14ac:dyDescent="0.15"/>
    <row r="53127" spans="3:3" s="9" customFormat="1" ht="21.95" customHeight="1" x14ac:dyDescent="0.15"/>
    <row r="53128" spans="3:3" s="9" customFormat="1" ht="21.95" customHeight="1" x14ac:dyDescent="0.15"/>
    <row r="53129" spans="3:3" s="9" customFormat="1" ht="21.95" customHeight="1" x14ac:dyDescent="0.15"/>
    <row r="53130" spans="3:3" s="9" customFormat="1" ht="21.95" customHeight="1" x14ac:dyDescent="0.15"/>
    <row r="53131" spans="3:3" s="9" customFormat="1" ht="21.95" customHeight="1" x14ac:dyDescent="0.15"/>
    <row r="53132" spans="3:3" s="9" customFormat="1" ht="21.95" customHeight="1" x14ac:dyDescent="0.15"/>
    <row r="53133" spans="3:3" s="9" customFormat="1" ht="21.95" customHeight="1" x14ac:dyDescent="0.15"/>
    <row r="53134" spans="3:3" s="8" customFormat="1" ht="21.95" customHeight="1" x14ac:dyDescent="0.15"/>
    <row r="53135" spans="3:3" s="8" customFormat="1" ht="21.95" customHeight="1" x14ac:dyDescent="0.15"/>
    <row r="53136" spans="3:3" s="8" customFormat="1" ht="21.95" customHeight="1" x14ac:dyDescent="0.15">
      <c r="C53136" s="101"/>
    </row>
    <row r="53137" spans="3:3" s="8" customFormat="1" ht="21.95" customHeight="1" x14ac:dyDescent="0.15">
      <c r="C53137" s="101"/>
    </row>
    <row r="53138" spans="3:3" s="8" customFormat="1" ht="21.95" customHeight="1" x14ac:dyDescent="0.15"/>
    <row r="53139" spans="3:3" s="8" customFormat="1" ht="21.95" customHeight="1" x14ac:dyDescent="0.15"/>
    <row r="53140" spans="3:3" s="8" customFormat="1" ht="21.95" customHeight="1" x14ac:dyDescent="0.15"/>
    <row r="53141" spans="3:3" s="8" customFormat="1" ht="21.95" customHeight="1" x14ac:dyDescent="0.15"/>
    <row r="53142" spans="3:3" s="8" customFormat="1" ht="21.95" customHeight="1" x14ac:dyDescent="0.15"/>
    <row r="53143" spans="3:3" s="8" customFormat="1" ht="21.95" customHeight="1" x14ac:dyDescent="0.15"/>
    <row r="53144" spans="3:3" s="8" customFormat="1" ht="21.95" customHeight="1" x14ac:dyDescent="0.15"/>
    <row r="53145" spans="3:3" s="9" customFormat="1" ht="21.95" customHeight="1" x14ac:dyDescent="0.15"/>
    <row r="53146" spans="3:3" s="9" customFormat="1" ht="21.95" customHeight="1" x14ac:dyDescent="0.15"/>
    <row r="53147" spans="3:3" s="9" customFormat="1" ht="21.95" customHeight="1" x14ac:dyDescent="0.15"/>
    <row r="53148" spans="3:3" s="9" customFormat="1" ht="21.95" customHeight="1" x14ac:dyDescent="0.15"/>
    <row r="53149" spans="3:3" s="8" customFormat="1" ht="21.95" customHeight="1" x14ac:dyDescent="0.15"/>
    <row r="53150" spans="3:3" s="8" customFormat="1" ht="21.95" customHeight="1" x14ac:dyDescent="0.15"/>
    <row r="53151" spans="3:3" s="8" customFormat="1" ht="21.95" customHeight="1" x14ac:dyDescent="0.15"/>
    <row r="53152" spans="3:3" s="8" customFormat="1" ht="21.95" customHeight="1" x14ac:dyDescent="0.15"/>
    <row r="53153" s="8" customFormat="1" ht="21.95" customHeight="1" x14ac:dyDescent="0.15"/>
    <row r="53154" s="8" customFormat="1" ht="21.95" customHeight="1" x14ac:dyDescent="0.15"/>
    <row r="53155" s="8" customFormat="1" ht="21.95" customHeight="1" x14ac:dyDescent="0.15"/>
    <row r="53156" s="8" customFormat="1" ht="21.95" customHeight="1" x14ac:dyDescent="0.15"/>
    <row r="53157" s="8" customFormat="1" ht="21.95" customHeight="1" x14ac:dyDescent="0.15"/>
    <row r="53158" s="8" customFormat="1" ht="21.95" customHeight="1" x14ac:dyDescent="0.15"/>
    <row r="53159" s="8" customFormat="1" ht="21.95" customHeight="1" x14ac:dyDescent="0.15"/>
    <row r="53160" s="8" customFormat="1" ht="32.1" customHeight="1" x14ac:dyDescent="0.15"/>
    <row r="53161" s="8" customFormat="1" ht="32.1" customHeight="1" x14ac:dyDescent="0.15"/>
    <row r="53162" s="8" customFormat="1" ht="32.1" customHeight="1" x14ac:dyDescent="0.15"/>
    <row r="53163" s="8" customFormat="1" ht="32.1" customHeight="1" x14ac:dyDescent="0.15"/>
    <row r="53164" s="8" customFormat="1" ht="32.1" customHeight="1" x14ac:dyDescent="0.15"/>
    <row r="53165" s="8" customFormat="1" ht="32.1" customHeight="1" x14ac:dyDescent="0.15"/>
    <row r="53166" s="9" customFormat="1" ht="32.1" customHeight="1" x14ac:dyDescent="0.15"/>
    <row r="53167" s="9" customFormat="1" ht="32.1" customHeight="1" x14ac:dyDescent="0.15"/>
    <row r="53168" s="9" customFormat="1" ht="32.1" customHeight="1" x14ac:dyDescent="0.15"/>
    <row r="53169" s="9" customFormat="1" ht="32.1" customHeight="1" x14ac:dyDescent="0.15"/>
    <row r="53170" s="9" customFormat="1" ht="21.95" customHeight="1" x14ac:dyDescent="0.15"/>
    <row r="53171" s="9" customFormat="1" ht="54" customHeight="1" x14ac:dyDescent="0.15"/>
    <row r="53172" s="9" customFormat="1" ht="21.95" customHeight="1" x14ac:dyDescent="0.15"/>
    <row r="53173" s="9" customFormat="1" ht="21.95" customHeight="1" x14ac:dyDescent="0.15"/>
    <row r="53174" s="9" customFormat="1" ht="21.95" customHeight="1" x14ac:dyDescent="0.15"/>
    <row r="53175" s="9" customFormat="1" ht="21.95" customHeight="1" x14ac:dyDescent="0.15"/>
    <row r="53176" s="9" customFormat="1" ht="21.95" customHeight="1" x14ac:dyDescent="0.15"/>
    <row r="53177" s="9" customFormat="1" ht="21.95" customHeight="1" x14ac:dyDescent="0.15"/>
    <row r="53178" s="9" customFormat="1" ht="21.95" customHeight="1" x14ac:dyDescent="0.15"/>
    <row r="53179" s="9" customFormat="1" ht="21.95" customHeight="1" x14ac:dyDescent="0.15"/>
    <row r="53180" s="9" customFormat="1" ht="21.95" customHeight="1" x14ac:dyDescent="0.15"/>
    <row r="53181" s="9" customFormat="1" ht="21.95" customHeight="1" x14ac:dyDescent="0.15"/>
    <row r="53182" s="9" customFormat="1" ht="21.95" customHeight="1" x14ac:dyDescent="0.15"/>
    <row r="53183" s="9" customFormat="1" ht="21.95" customHeight="1" x14ac:dyDescent="0.15"/>
    <row r="53184" s="9" customFormat="1" ht="21.95" customHeight="1" x14ac:dyDescent="0.15"/>
    <row r="53185" s="9" customFormat="1" ht="21.95" customHeight="1" x14ac:dyDescent="0.15"/>
    <row r="53186" s="9" customFormat="1" ht="21.95" customHeight="1" x14ac:dyDescent="0.15"/>
    <row r="53187" s="9" customFormat="1" ht="21.95" customHeight="1" x14ac:dyDescent="0.15"/>
    <row r="53188" s="9" customFormat="1" ht="21.95" customHeight="1" x14ac:dyDescent="0.15"/>
    <row r="53189" s="9" customFormat="1" ht="21.95" customHeight="1" x14ac:dyDescent="0.15"/>
    <row r="53190" s="9" customFormat="1" ht="21.95" customHeight="1" x14ac:dyDescent="0.15"/>
    <row r="53191" s="9" customFormat="1" ht="21.95" customHeight="1" x14ac:dyDescent="0.15"/>
    <row r="53192" s="9" customFormat="1" ht="21.95" customHeight="1" x14ac:dyDescent="0.15"/>
    <row r="53193" s="9" customFormat="1" ht="21.95" customHeight="1" x14ac:dyDescent="0.15"/>
    <row r="53194" s="9" customFormat="1" ht="21.95" customHeight="1" x14ac:dyDescent="0.15"/>
    <row r="53195" s="9" customFormat="1" ht="21.95" customHeight="1" x14ac:dyDescent="0.15"/>
    <row r="53196" s="9" customFormat="1" ht="21.95" customHeight="1" x14ac:dyDescent="0.15"/>
    <row r="53197" s="9" customFormat="1" ht="21.95" customHeight="1" x14ac:dyDescent="0.15"/>
    <row r="53198" s="9" customFormat="1" ht="21.95" customHeight="1" x14ac:dyDescent="0.15"/>
    <row r="53199" s="9" customFormat="1" ht="21.95" customHeight="1" x14ac:dyDescent="0.15"/>
    <row r="53200" s="9" customFormat="1" ht="21.95" customHeight="1" x14ac:dyDescent="0.15"/>
    <row r="53201" s="9" customFormat="1" ht="21.95" customHeight="1" x14ac:dyDescent="0.15"/>
    <row r="53202" s="9" customFormat="1" ht="21.95" customHeight="1" x14ac:dyDescent="0.15"/>
    <row r="53203" s="9" customFormat="1" ht="21.95" customHeight="1" x14ac:dyDescent="0.15"/>
    <row r="53204" s="9" customFormat="1" ht="21.95" customHeight="1" x14ac:dyDescent="0.15"/>
    <row r="53205" s="9" customFormat="1" ht="21.95" customHeight="1" x14ac:dyDescent="0.15"/>
    <row r="53206" s="9" customFormat="1" ht="21.95" customHeight="1" x14ac:dyDescent="0.15"/>
    <row r="53207" s="9" customFormat="1" ht="21.95" customHeight="1" x14ac:dyDescent="0.15"/>
    <row r="53208" s="9" customFormat="1" ht="21.95" customHeight="1" x14ac:dyDescent="0.15"/>
    <row r="53209" s="9" customFormat="1" ht="21.95" customHeight="1" x14ac:dyDescent="0.15"/>
    <row r="53210" s="9" customFormat="1" ht="21.95" customHeight="1" x14ac:dyDescent="0.15"/>
    <row r="53211" s="9" customFormat="1" ht="21.95" customHeight="1" x14ac:dyDescent="0.15"/>
    <row r="53212" s="9" customFormat="1" ht="21.95" customHeight="1" x14ac:dyDescent="0.15"/>
    <row r="53213" s="9" customFormat="1" ht="21.95" customHeight="1" x14ac:dyDescent="0.15"/>
    <row r="53214" s="9" customFormat="1" ht="21.95" customHeight="1" x14ac:dyDescent="0.15"/>
    <row r="53215" s="9" customFormat="1" ht="21.95" customHeight="1" x14ac:dyDescent="0.15"/>
    <row r="53216" s="9" customFormat="1" ht="21.95" customHeight="1" x14ac:dyDescent="0.15"/>
    <row r="53217" s="9" customFormat="1" ht="21.95" customHeight="1" x14ac:dyDescent="0.15"/>
    <row r="53218" s="9" customFormat="1" ht="21.95" customHeight="1" x14ac:dyDescent="0.15"/>
    <row r="53219" s="9" customFormat="1" ht="21.95" customHeight="1" x14ac:dyDescent="0.15"/>
    <row r="53220" s="9" customFormat="1" ht="21.95" customHeight="1" x14ac:dyDescent="0.15"/>
    <row r="53221" s="9" customFormat="1" ht="21.95" customHeight="1" x14ac:dyDescent="0.15"/>
    <row r="53222" s="9" customFormat="1" ht="35.1" customHeight="1" x14ac:dyDescent="0.15"/>
    <row r="53223" s="9" customFormat="1" ht="21.95" customHeight="1" x14ac:dyDescent="0.15"/>
    <row r="53224" s="9" customFormat="1" ht="21.95" customHeight="1" x14ac:dyDescent="0.15"/>
    <row r="53225" s="9" customFormat="1" ht="21.95" customHeight="1" x14ac:dyDescent="0.15"/>
    <row r="53226" s="9" customFormat="1" ht="21.95" customHeight="1" x14ac:dyDescent="0.15"/>
    <row r="53227" s="9" customFormat="1" ht="21.95" customHeight="1" x14ac:dyDescent="0.15"/>
    <row r="53228" s="9" customFormat="1" ht="21.95" customHeight="1" x14ac:dyDescent="0.15"/>
    <row r="53229" s="9" customFormat="1" ht="21.95" customHeight="1" x14ac:dyDescent="0.15"/>
    <row r="53230" s="9" customFormat="1" ht="21.95" customHeight="1" x14ac:dyDescent="0.15"/>
    <row r="53231" s="9" customFormat="1" ht="21.95" customHeight="1" x14ac:dyDescent="0.15"/>
    <row r="53232" s="9" customFormat="1" ht="21.95" customHeight="1" x14ac:dyDescent="0.15"/>
    <row r="53233" spans="3:3" s="9" customFormat="1" ht="21.95" customHeight="1" x14ac:dyDescent="0.15"/>
    <row r="53234" spans="3:3" s="9" customFormat="1" ht="21.95" customHeight="1" x14ac:dyDescent="0.15"/>
    <row r="53235" spans="3:3" s="9" customFormat="1" ht="21.95" customHeight="1" x14ac:dyDescent="0.15"/>
    <row r="53236" spans="3:3" s="9" customFormat="1" ht="21.95" customHeight="1" x14ac:dyDescent="0.15"/>
    <row r="53237" spans="3:3" s="9" customFormat="1" ht="21.95" customHeight="1" x14ac:dyDescent="0.15"/>
    <row r="53238" spans="3:3" s="9" customFormat="1" ht="21.95" customHeight="1" x14ac:dyDescent="0.15"/>
    <row r="53239" spans="3:3" s="9" customFormat="1" ht="21.95" customHeight="1" x14ac:dyDescent="0.15"/>
    <row r="53240" spans="3:3" s="9" customFormat="1" ht="21.95" customHeight="1" x14ac:dyDescent="0.15"/>
    <row r="53241" spans="3:3" s="9" customFormat="1" ht="21.95" customHeight="1" x14ac:dyDescent="0.15"/>
    <row r="53242" spans="3:3" s="9" customFormat="1" ht="21.95" customHeight="1" x14ac:dyDescent="0.15"/>
    <row r="53243" spans="3:3" s="9" customFormat="1" ht="21.95" customHeight="1" x14ac:dyDescent="0.15"/>
    <row r="53244" spans="3:3" s="9" customFormat="1" ht="21.95" customHeight="1" x14ac:dyDescent="0.15"/>
    <row r="53245" spans="3:3" s="9" customFormat="1" ht="21.95" customHeight="1" x14ac:dyDescent="0.15"/>
    <row r="53246" spans="3:3" s="8" customFormat="1" ht="21.95" customHeight="1" x14ac:dyDescent="0.15"/>
    <row r="53247" spans="3:3" s="8" customFormat="1" ht="21.95" customHeight="1" x14ac:dyDescent="0.15"/>
    <row r="53248" spans="3:3" s="8" customFormat="1" ht="21.95" customHeight="1" x14ac:dyDescent="0.15">
      <c r="C53248" s="101"/>
    </row>
    <row r="53249" spans="3:3" s="8" customFormat="1" ht="21.95" customHeight="1" x14ac:dyDescent="0.15">
      <c r="C53249" s="101"/>
    </row>
    <row r="53250" spans="3:3" s="8" customFormat="1" ht="21.95" customHeight="1" x14ac:dyDescent="0.15"/>
    <row r="53251" spans="3:3" s="8" customFormat="1" ht="21.95" customHeight="1" x14ac:dyDescent="0.15"/>
    <row r="53252" spans="3:3" s="8" customFormat="1" ht="21.95" customHeight="1" x14ac:dyDescent="0.15"/>
    <row r="53253" spans="3:3" s="8" customFormat="1" ht="21.95" customHeight="1" x14ac:dyDescent="0.15"/>
    <row r="53254" spans="3:3" s="8" customFormat="1" ht="21.95" customHeight="1" x14ac:dyDescent="0.15"/>
    <row r="53255" spans="3:3" s="8" customFormat="1" ht="21.95" customHeight="1" x14ac:dyDescent="0.15"/>
    <row r="53256" spans="3:3" s="8" customFormat="1" ht="21.95" customHeight="1" x14ac:dyDescent="0.15"/>
    <row r="53257" spans="3:3" s="9" customFormat="1" ht="21.95" customHeight="1" x14ac:dyDescent="0.15"/>
    <row r="53258" spans="3:3" s="9" customFormat="1" ht="21.95" customHeight="1" x14ac:dyDescent="0.15"/>
    <row r="53259" spans="3:3" s="9" customFormat="1" ht="21.95" customHeight="1" x14ac:dyDescent="0.15"/>
    <row r="53260" spans="3:3" s="9" customFormat="1" ht="21.95" customHeight="1" x14ac:dyDescent="0.15"/>
    <row r="53261" spans="3:3" s="8" customFormat="1" ht="21.95" customHeight="1" x14ac:dyDescent="0.15"/>
    <row r="53262" spans="3:3" s="8" customFormat="1" ht="21.95" customHeight="1" x14ac:dyDescent="0.15"/>
    <row r="53263" spans="3:3" s="8" customFormat="1" ht="21.95" customHeight="1" x14ac:dyDescent="0.15"/>
    <row r="53264" spans="3:3" s="8" customFormat="1" ht="21.95" customHeight="1" x14ac:dyDescent="0.15"/>
    <row r="53265" s="8" customFormat="1" ht="21.95" customHeight="1" x14ac:dyDescent="0.15"/>
    <row r="53266" s="8" customFormat="1" ht="21.95" customHeight="1" x14ac:dyDescent="0.15"/>
    <row r="53267" s="8" customFormat="1" ht="21.95" customHeight="1" x14ac:dyDescent="0.15"/>
    <row r="53268" s="8" customFormat="1" ht="21.95" customHeight="1" x14ac:dyDescent="0.15"/>
    <row r="53269" s="8" customFormat="1" ht="21.95" customHeight="1" x14ac:dyDescent="0.15"/>
    <row r="53270" s="8" customFormat="1" ht="21.95" customHeight="1" x14ac:dyDescent="0.15"/>
    <row r="53271" s="8" customFormat="1" ht="21.95" customHeight="1" x14ac:dyDescent="0.15"/>
    <row r="53272" s="8" customFormat="1" ht="32.1" customHeight="1" x14ac:dyDescent="0.15"/>
    <row r="53273" s="8" customFormat="1" ht="32.1" customHeight="1" x14ac:dyDescent="0.15"/>
    <row r="53274" s="8" customFormat="1" ht="32.1" customHeight="1" x14ac:dyDescent="0.15"/>
    <row r="53275" s="8" customFormat="1" ht="32.1" customHeight="1" x14ac:dyDescent="0.15"/>
    <row r="53276" s="8" customFormat="1" ht="32.1" customHeight="1" x14ac:dyDescent="0.15"/>
    <row r="53277" s="8" customFormat="1" ht="32.1" customHeight="1" x14ac:dyDescent="0.15"/>
    <row r="53278" s="9" customFormat="1" ht="32.1" customHeight="1" x14ac:dyDescent="0.15"/>
    <row r="53279" s="9" customFormat="1" ht="32.1" customHeight="1" x14ac:dyDescent="0.15"/>
    <row r="53280" s="9" customFormat="1" ht="32.1" customHeight="1" x14ac:dyDescent="0.15"/>
    <row r="53281" s="9" customFormat="1" ht="32.1" customHeight="1" x14ac:dyDescent="0.15"/>
    <row r="53282" s="9" customFormat="1" ht="21.95" customHeight="1" x14ac:dyDescent="0.15"/>
    <row r="53283" s="9" customFormat="1" ht="54" customHeight="1" x14ac:dyDescent="0.15"/>
    <row r="53284" s="9" customFormat="1" ht="21.95" customHeight="1" x14ac:dyDescent="0.15"/>
    <row r="53285" s="9" customFormat="1" ht="21.95" customHeight="1" x14ac:dyDescent="0.15"/>
    <row r="53286" s="9" customFormat="1" ht="21.95" customHeight="1" x14ac:dyDescent="0.15"/>
    <row r="53287" s="9" customFormat="1" ht="21.95" customHeight="1" x14ac:dyDescent="0.15"/>
    <row r="53288" s="9" customFormat="1" ht="21.95" customHeight="1" x14ac:dyDescent="0.15"/>
    <row r="53289" s="9" customFormat="1" ht="21.95" customHeight="1" x14ac:dyDescent="0.15"/>
    <row r="53290" s="9" customFormat="1" ht="21.95" customHeight="1" x14ac:dyDescent="0.15"/>
    <row r="53291" s="9" customFormat="1" ht="21.95" customHeight="1" x14ac:dyDescent="0.15"/>
    <row r="53292" s="9" customFormat="1" ht="21.95" customHeight="1" x14ac:dyDescent="0.15"/>
    <row r="53293" s="9" customFormat="1" ht="21.95" customHeight="1" x14ac:dyDescent="0.15"/>
    <row r="53294" s="9" customFormat="1" ht="21.95" customHeight="1" x14ac:dyDescent="0.15"/>
    <row r="53295" s="9" customFormat="1" ht="21.95" customHeight="1" x14ac:dyDescent="0.15"/>
    <row r="53296" s="9" customFormat="1" ht="21.95" customHeight="1" x14ac:dyDescent="0.15"/>
    <row r="53297" s="9" customFormat="1" ht="21.95" customHeight="1" x14ac:dyDescent="0.15"/>
    <row r="53298" s="9" customFormat="1" ht="21.95" customHeight="1" x14ac:dyDescent="0.15"/>
    <row r="53299" s="9" customFormat="1" ht="21.95" customHeight="1" x14ac:dyDescent="0.15"/>
    <row r="53300" s="9" customFormat="1" ht="21.95" customHeight="1" x14ac:dyDescent="0.15"/>
    <row r="53301" s="9" customFormat="1" ht="21.95" customHeight="1" x14ac:dyDescent="0.15"/>
    <row r="53302" s="9" customFormat="1" ht="21.95" customHeight="1" x14ac:dyDescent="0.15"/>
    <row r="53303" s="9" customFormat="1" ht="21.95" customHeight="1" x14ac:dyDescent="0.15"/>
    <row r="53304" s="9" customFormat="1" ht="21.95" customHeight="1" x14ac:dyDescent="0.15"/>
    <row r="53305" s="9" customFormat="1" ht="21.95" customHeight="1" x14ac:dyDescent="0.15"/>
    <row r="53306" s="9" customFormat="1" ht="21.95" customHeight="1" x14ac:dyDescent="0.15"/>
    <row r="53307" s="9" customFormat="1" ht="21.95" customHeight="1" x14ac:dyDescent="0.15"/>
    <row r="53308" s="9" customFormat="1" ht="21.95" customHeight="1" x14ac:dyDescent="0.15"/>
    <row r="53309" s="9" customFormat="1" ht="21.95" customHeight="1" x14ac:dyDescent="0.15"/>
    <row r="53310" s="9" customFormat="1" ht="21.95" customHeight="1" x14ac:dyDescent="0.15"/>
    <row r="53311" s="9" customFormat="1" ht="21.95" customHeight="1" x14ac:dyDescent="0.15"/>
    <row r="53312" s="9" customFormat="1" ht="21.95" customHeight="1" x14ac:dyDescent="0.15"/>
    <row r="53313" s="9" customFormat="1" ht="21.95" customHeight="1" x14ac:dyDescent="0.15"/>
    <row r="53314" s="9" customFormat="1" ht="21.95" customHeight="1" x14ac:dyDescent="0.15"/>
    <row r="53315" s="9" customFormat="1" ht="21.95" customHeight="1" x14ac:dyDescent="0.15"/>
    <row r="53316" s="9" customFormat="1" ht="21.95" customHeight="1" x14ac:dyDescent="0.15"/>
    <row r="53317" s="9" customFormat="1" ht="21.95" customHeight="1" x14ac:dyDescent="0.15"/>
    <row r="53318" s="9" customFormat="1" ht="21.95" customHeight="1" x14ac:dyDescent="0.15"/>
    <row r="53319" s="9" customFormat="1" ht="21.95" customHeight="1" x14ac:dyDescent="0.15"/>
    <row r="53320" s="9" customFormat="1" ht="21.95" customHeight="1" x14ac:dyDescent="0.15"/>
    <row r="53321" s="9" customFormat="1" ht="21.95" customHeight="1" x14ac:dyDescent="0.15"/>
    <row r="53322" s="9" customFormat="1" ht="21.95" customHeight="1" x14ac:dyDescent="0.15"/>
    <row r="53323" s="9" customFormat="1" ht="21.95" customHeight="1" x14ac:dyDescent="0.15"/>
    <row r="53324" s="9" customFormat="1" ht="21.95" customHeight="1" x14ac:dyDescent="0.15"/>
    <row r="53325" s="9" customFormat="1" ht="21.95" customHeight="1" x14ac:dyDescent="0.15"/>
    <row r="53326" s="9" customFormat="1" ht="21.95" customHeight="1" x14ac:dyDescent="0.15"/>
    <row r="53327" s="9" customFormat="1" ht="21.95" customHeight="1" x14ac:dyDescent="0.15"/>
    <row r="53328" s="9" customFormat="1" ht="21.95" customHeight="1" x14ac:dyDescent="0.15"/>
    <row r="53329" s="9" customFormat="1" ht="21.95" customHeight="1" x14ac:dyDescent="0.15"/>
    <row r="53330" s="9" customFormat="1" ht="21.95" customHeight="1" x14ac:dyDescent="0.15"/>
    <row r="53331" s="9" customFormat="1" ht="21.95" customHeight="1" x14ac:dyDescent="0.15"/>
    <row r="53332" s="9" customFormat="1" ht="21.95" customHeight="1" x14ac:dyDescent="0.15"/>
    <row r="53333" s="9" customFormat="1" ht="21.95" customHeight="1" x14ac:dyDescent="0.15"/>
    <row r="53334" s="9" customFormat="1" ht="35.1" customHeight="1" x14ac:dyDescent="0.15"/>
    <row r="53335" s="9" customFormat="1" ht="21.95" customHeight="1" x14ac:dyDescent="0.15"/>
    <row r="53336" s="9" customFormat="1" ht="21.95" customHeight="1" x14ac:dyDescent="0.15"/>
    <row r="53337" s="9" customFormat="1" ht="21.95" customHeight="1" x14ac:dyDescent="0.15"/>
    <row r="53338" s="9" customFormat="1" ht="21.95" customHeight="1" x14ac:dyDescent="0.15"/>
    <row r="53339" s="9" customFormat="1" ht="21.95" customHeight="1" x14ac:dyDescent="0.15"/>
    <row r="53340" s="9" customFormat="1" ht="21.95" customHeight="1" x14ac:dyDescent="0.15"/>
    <row r="53341" s="9" customFormat="1" ht="21.95" customHeight="1" x14ac:dyDescent="0.15"/>
    <row r="53342" s="9" customFormat="1" ht="21.95" customHeight="1" x14ac:dyDescent="0.15"/>
    <row r="53343" s="9" customFormat="1" ht="21.95" customHeight="1" x14ac:dyDescent="0.15"/>
    <row r="53344" s="9" customFormat="1" ht="21.95" customHeight="1" x14ac:dyDescent="0.15"/>
    <row r="53345" spans="3:3" s="9" customFormat="1" ht="21.95" customHeight="1" x14ac:dyDescent="0.15"/>
    <row r="53346" spans="3:3" s="9" customFormat="1" ht="21.95" customHeight="1" x14ac:dyDescent="0.15"/>
    <row r="53347" spans="3:3" s="9" customFormat="1" ht="21.95" customHeight="1" x14ac:dyDescent="0.15"/>
    <row r="53348" spans="3:3" s="9" customFormat="1" ht="21.95" customHeight="1" x14ac:dyDescent="0.15"/>
    <row r="53349" spans="3:3" s="9" customFormat="1" ht="21.95" customHeight="1" x14ac:dyDescent="0.15"/>
    <row r="53350" spans="3:3" s="9" customFormat="1" ht="21.95" customHeight="1" x14ac:dyDescent="0.15"/>
    <row r="53351" spans="3:3" s="9" customFormat="1" ht="21.95" customHeight="1" x14ac:dyDescent="0.15"/>
    <row r="53352" spans="3:3" s="9" customFormat="1" ht="21.95" customHeight="1" x14ac:dyDescent="0.15"/>
    <row r="53353" spans="3:3" s="9" customFormat="1" ht="21.95" customHeight="1" x14ac:dyDescent="0.15"/>
    <row r="53354" spans="3:3" s="9" customFormat="1" ht="21.95" customHeight="1" x14ac:dyDescent="0.15"/>
    <row r="53355" spans="3:3" s="9" customFormat="1" ht="21.95" customHeight="1" x14ac:dyDescent="0.15"/>
    <row r="53356" spans="3:3" s="9" customFormat="1" ht="21.95" customHeight="1" x14ac:dyDescent="0.15"/>
    <row r="53357" spans="3:3" s="9" customFormat="1" ht="21.95" customHeight="1" x14ac:dyDescent="0.15"/>
    <row r="53358" spans="3:3" s="8" customFormat="1" ht="21.95" customHeight="1" x14ac:dyDescent="0.15"/>
    <row r="53359" spans="3:3" s="8" customFormat="1" ht="21.95" customHeight="1" x14ac:dyDescent="0.15"/>
    <row r="53360" spans="3:3" s="8" customFormat="1" ht="21.95" customHeight="1" x14ac:dyDescent="0.15">
      <c r="C53360" s="101"/>
    </row>
    <row r="53361" spans="3:3" s="8" customFormat="1" ht="21.95" customHeight="1" x14ac:dyDescent="0.15">
      <c r="C53361" s="101"/>
    </row>
    <row r="53362" spans="3:3" s="8" customFormat="1" ht="21.95" customHeight="1" x14ac:dyDescent="0.15"/>
    <row r="53363" spans="3:3" s="8" customFormat="1" ht="21.95" customHeight="1" x14ac:dyDescent="0.15"/>
    <row r="53364" spans="3:3" s="8" customFormat="1" ht="21.95" customHeight="1" x14ac:dyDescent="0.15"/>
    <row r="53365" spans="3:3" s="8" customFormat="1" ht="21.95" customHeight="1" x14ac:dyDescent="0.15"/>
    <row r="53366" spans="3:3" s="8" customFormat="1" ht="21.95" customHeight="1" x14ac:dyDescent="0.15"/>
    <row r="53367" spans="3:3" s="8" customFormat="1" ht="21.95" customHeight="1" x14ac:dyDescent="0.15"/>
    <row r="53368" spans="3:3" s="8" customFormat="1" ht="21.95" customHeight="1" x14ac:dyDescent="0.15"/>
    <row r="53369" spans="3:3" s="9" customFormat="1" ht="21.95" customHeight="1" x14ac:dyDescent="0.15"/>
    <row r="53370" spans="3:3" s="9" customFormat="1" ht="21.95" customHeight="1" x14ac:dyDescent="0.15"/>
    <row r="53371" spans="3:3" s="9" customFormat="1" ht="21.95" customHeight="1" x14ac:dyDescent="0.15"/>
    <row r="53372" spans="3:3" s="9" customFormat="1" ht="21.95" customHeight="1" x14ac:dyDescent="0.15"/>
    <row r="53373" spans="3:3" s="8" customFormat="1" ht="21.95" customHeight="1" x14ac:dyDescent="0.15"/>
    <row r="53374" spans="3:3" s="8" customFormat="1" ht="21.95" customHeight="1" x14ac:dyDescent="0.15"/>
    <row r="53375" spans="3:3" s="8" customFormat="1" ht="21.95" customHeight="1" x14ac:dyDescent="0.15"/>
    <row r="53376" spans="3:3" s="8" customFormat="1" ht="21.95" customHeight="1" x14ac:dyDescent="0.15"/>
    <row r="53377" s="8" customFormat="1" ht="21.95" customHeight="1" x14ac:dyDescent="0.15"/>
    <row r="53378" s="8" customFormat="1" ht="21.95" customHeight="1" x14ac:dyDescent="0.15"/>
    <row r="53379" s="8" customFormat="1" ht="21.95" customHeight="1" x14ac:dyDescent="0.15"/>
    <row r="53380" s="8" customFormat="1" ht="21.95" customHeight="1" x14ac:dyDescent="0.15"/>
    <row r="53381" s="8" customFormat="1" ht="21.95" customHeight="1" x14ac:dyDescent="0.15"/>
    <row r="53382" s="8" customFormat="1" ht="21.95" customHeight="1" x14ac:dyDescent="0.15"/>
    <row r="53383" s="8" customFormat="1" ht="21.95" customHeight="1" x14ac:dyDescent="0.15"/>
    <row r="53384" s="8" customFormat="1" ht="32.1" customHeight="1" x14ac:dyDescent="0.15"/>
    <row r="53385" s="8" customFormat="1" ht="32.1" customHeight="1" x14ac:dyDescent="0.15"/>
    <row r="53386" s="8" customFormat="1" ht="32.1" customHeight="1" x14ac:dyDescent="0.15"/>
    <row r="53387" s="8" customFormat="1" ht="32.1" customHeight="1" x14ac:dyDescent="0.15"/>
    <row r="53388" s="8" customFormat="1" ht="32.1" customHeight="1" x14ac:dyDescent="0.15"/>
    <row r="53389" s="8" customFormat="1" ht="32.1" customHeight="1" x14ac:dyDescent="0.15"/>
    <row r="53390" s="9" customFormat="1" ht="32.1" customHeight="1" x14ac:dyDescent="0.15"/>
    <row r="53391" s="9" customFormat="1" ht="32.1" customHeight="1" x14ac:dyDescent="0.15"/>
    <row r="53392" s="9" customFormat="1" ht="32.1" customHeight="1" x14ac:dyDescent="0.15"/>
    <row r="53393" s="9" customFormat="1" ht="32.1" customHeight="1" x14ac:dyDescent="0.15"/>
    <row r="53394" s="9" customFormat="1" ht="21.95" customHeight="1" x14ac:dyDescent="0.15"/>
    <row r="53395" s="9" customFormat="1" ht="54" customHeight="1" x14ac:dyDescent="0.15"/>
    <row r="53396" s="9" customFormat="1" ht="21.95" customHeight="1" x14ac:dyDescent="0.15"/>
    <row r="53397" s="9" customFormat="1" ht="21.95" customHeight="1" x14ac:dyDescent="0.15"/>
    <row r="53398" s="9" customFormat="1" ht="21.95" customHeight="1" x14ac:dyDescent="0.15"/>
    <row r="53399" s="9" customFormat="1" ht="21.95" customHeight="1" x14ac:dyDescent="0.15"/>
    <row r="53400" s="9" customFormat="1" ht="21.95" customHeight="1" x14ac:dyDescent="0.15"/>
    <row r="53401" s="9" customFormat="1" ht="21.95" customHeight="1" x14ac:dyDescent="0.15"/>
    <row r="53402" s="9" customFormat="1" ht="21.95" customHeight="1" x14ac:dyDescent="0.15"/>
    <row r="53403" s="9" customFormat="1" ht="21.95" customHeight="1" x14ac:dyDescent="0.15"/>
    <row r="53404" s="9" customFormat="1" ht="21.95" customHeight="1" x14ac:dyDescent="0.15"/>
    <row r="53405" s="9" customFormat="1" ht="21.95" customHeight="1" x14ac:dyDescent="0.15"/>
    <row r="53406" s="9" customFormat="1" ht="21.95" customHeight="1" x14ac:dyDescent="0.15"/>
    <row r="53407" s="9" customFormat="1" ht="21.95" customHeight="1" x14ac:dyDescent="0.15"/>
    <row r="53408" s="9" customFormat="1" ht="21.95" customHeight="1" x14ac:dyDescent="0.15"/>
    <row r="53409" s="9" customFormat="1" ht="21.95" customHeight="1" x14ac:dyDescent="0.15"/>
    <row r="53410" s="9" customFormat="1" ht="21.95" customHeight="1" x14ac:dyDescent="0.15"/>
    <row r="53411" s="9" customFormat="1" ht="21.95" customHeight="1" x14ac:dyDescent="0.15"/>
    <row r="53412" s="9" customFormat="1" ht="21.95" customHeight="1" x14ac:dyDescent="0.15"/>
    <row r="53413" s="9" customFormat="1" ht="21.95" customHeight="1" x14ac:dyDescent="0.15"/>
    <row r="53414" s="9" customFormat="1" ht="21.95" customHeight="1" x14ac:dyDescent="0.15"/>
    <row r="53415" s="9" customFormat="1" ht="21.95" customHeight="1" x14ac:dyDescent="0.15"/>
    <row r="53416" s="9" customFormat="1" ht="21.95" customHeight="1" x14ac:dyDescent="0.15"/>
    <row r="53417" s="9" customFormat="1" ht="21.95" customHeight="1" x14ac:dyDescent="0.15"/>
    <row r="53418" s="9" customFormat="1" ht="21.95" customHeight="1" x14ac:dyDescent="0.15"/>
    <row r="53419" s="9" customFormat="1" ht="21.95" customHeight="1" x14ac:dyDescent="0.15"/>
    <row r="53420" s="9" customFormat="1" ht="21.95" customHeight="1" x14ac:dyDescent="0.15"/>
    <row r="53421" s="9" customFormat="1" ht="21.95" customHeight="1" x14ac:dyDescent="0.15"/>
    <row r="53422" s="9" customFormat="1" ht="21.95" customHeight="1" x14ac:dyDescent="0.15"/>
    <row r="53423" s="9" customFormat="1" ht="21.95" customHeight="1" x14ac:dyDescent="0.15"/>
    <row r="53424" s="9" customFormat="1" ht="21.95" customHeight="1" x14ac:dyDescent="0.15"/>
    <row r="53425" s="9" customFormat="1" ht="21.95" customHeight="1" x14ac:dyDescent="0.15"/>
    <row r="53426" s="9" customFormat="1" ht="21.95" customHeight="1" x14ac:dyDescent="0.15"/>
    <row r="53427" s="9" customFormat="1" ht="21.95" customHeight="1" x14ac:dyDescent="0.15"/>
    <row r="53428" s="9" customFormat="1" ht="21.95" customHeight="1" x14ac:dyDescent="0.15"/>
    <row r="53429" s="9" customFormat="1" ht="21.95" customHeight="1" x14ac:dyDescent="0.15"/>
    <row r="53430" s="9" customFormat="1" ht="21.95" customHeight="1" x14ac:dyDescent="0.15"/>
    <row r="53431" s="9" customFormat="1" ht="21.95" customHeight="1" x14ac:dyDescent="0.15"/>
    <row r="53432" s="9" customFormat="1" ht="21.95" customHeight="1" x14ac:dyDescent="0.15"/>
    <row r="53433" s="9" customFormat="1" ht="21.95" customHeight="1" x14ac:dyDescent="0.15"/>
    <row r="53434" s="9" customFormat="1" ht="21.95" customHeight="1" x14ac:dyDescent="0.15"/>
    <row r="53435" s="9" customFormat="1" ht="21.95" customHeight="1" x14ac:dyDescent="0.15"/>
    <row r="53436" s="9" customFormat="1" ht="21.95" customHeight="1" x14ac:dyDescent="0.15"/>
    <row r="53437" s="9" customFormat="1" ht="21.95" customHeight="1" x14ac:dyDescent="0.15"/>
    <row r="53438" s="9" customFormat="1" ht="21.95" customHeight="1" x14ac:dyDescent="0.15"/>
    <row r="53439" s="9" customFormat="1" ht="21.95" customHeight="1" x14ac:dyDescent="0.15"/>
    <row r="53440" s="9" customFormat="1" ht="21.95" customHeight="1" x14ac:dyDescent="0.15"/>
    <row r="53441" s="9" customFormat="1" ht="21.95" customHeight="1" x14ac:dyDescent="0.15"/>
    <row r="53442" s="9" customFormat="1" ht="21.95" customHeight="1" x14ac:dyDescent="0.15"/>
    <row r="53443" s="9" customFormat="1" ht="21.95" customHeight="1" x14ac:dyDescent="0.15"/>
    <row r="53444" s="9" customFormat="1" ht="21.95" customHeight="1" x14ac:dyDescent="0.15"/>
    <row r="53445" s="9" customFormat="1" ht="21.95" customHeight="1" x14ac:dyDescent="0.15"/>
    <row r="53446" s="9" customFormat="1" ht="35.1" customHeight="1" x14ac:dyDescent="0.15"/>
    <row r="53447" s="9" customFormat="1" ht="21.95" customHeight="1" x14ac:dyDescent="0.15"/>
    <row r="53448" s="9" customFormat="1" ht="21.95" customHeight="1" x14ac:dyDescent="0.15"/>
    <row r="53449" s="9" customFormat="1" ht="21.95" customHeight="1" x14ac:dyDescent="0.15"/>
    <row r="53450" s="9" customFormat="1" ht="21.95" customHeight="1" x14ac:dyDescent="0.15"/>
    <row r="53451" s="9" customFormat="1" ht="21.95" customHeight="1" x14ac:dyDescent="0.15"/>
    <row r="53452" s="9" customFormat="1" ht="21.95" customHeight="1" x14ac:dyDescent="0.15"/>
    <row r="53453" s="9" customFormat="1" ht="21.95" customHeight="1" x14ac:dyDescent="0.15"/>
    <row r="53454" s="9" customFormat="1" ht="21.95" customHeight="1" x14ac:dyDescent="0.15"/>
    <row r="53455" s="9" customFormat="1" ht="21.95" customHeight="1" x14ac:dyDescent="0.15"/>
    <row r="53456" s="9" customFormat="1" ht="21.95" customHeight="1" x14ac:dyDescent="0.15"/>
    <row r="53457" spans="3:3" s="9" customFormat="1" ht="21.95" customHeight="1" x14ac:dyDescent="0.15"/>
    <row r="53458" spans="3:3" s="9" customFormat="1" ht="21.95" customHeight="1" x14ac:dyDescent="0.15"/>
    <row r="53459" spans="3:3" s="9" customFormat="1" ht="21.95" customHeight="1" x14ac:dyDescent="0.15"/>
    <row r="53460" spans="3:3" s="9" customFormat="1" ht="21.95" customHeight="1" x14ac:dyDescent="0.15"/>
    <row r="53461" spans="3:3" s="9" customFormat="1" ht="21.95" customHeight="1" x14ac:dyDescent="0.15"/>
    <row r="53462" spans="3:3" s="9" customFormat="1" ht="21.95" customHeight="1" x14ac:dyDescent="0.15"/>
    <row r="53463" spans="3:3" s="9" customFormat="1" ht="21.95" customHeight="1" x14ac:dyDescent="0.15"/>
    <row r="53464" spans="3:3" s="9" customFormat="1" ht="21.95" customHeight="1" x14ac:dyDescent="0.15"/>
    <row r="53465" spans="3:3" s="9" customFormat="1" ht="21.95" customHeight="1" x14ac:dyDescent="0.15"/>
    <row r="53466" spans="3:3" s="9" customFormat="1" ht="21.95" customHeight="1" x14ac:dyDescent="0.15"/>
    <row r="53467" spans="3:3" s="9" customFormat="1" ht="21.95" customHeight="1" x14ac:dyDescent="0.15"/>
    <row r="53468" spans="3:3" s="9" customFormat="1" ht="21.95" customHeight="1" x14ac:dyDescent="0.15"/>
    <row r="53469" spans="3:3" s="9" customFormat="1" ht="21.95" customHeight="1" x14ac:dyDescent="0.15"/>
    <row r="53470" spans="3:3" s="8" customFormat="1" ht="21.95" customHeight="1" x14ac:dyDescent="0.15"/>
    <row r="53471" spans="3:3" s="8" customFormat="1" ht="21.95" customHeight="1" x14ac:dyDescent="0.15"/>
    <row r="53472" spans="3:3" s="8" customFormat="1" ht="21.95" customHeight="1" x14ac:dyDescent="0.15">
      <c r="C53472" s="101"/>
    </row>
    <row r="53473" spans="3:3" s="8" customFormat="1" ht="21.95" customHeight="1" x14ac:dyDescent="0.15">
      <c r="C53473" s="101"/>
    </row>
    <row r="53474" spans="3:3" s="8" customFormat="1" ht="21.95" customHeight="1" x14ac:dyDescent="0.15"/>
    <row r="53475" spans="3:3" s="8" customFormat="1" ht="21.95" customHeight="1" x14ac:dyDescent="0.15"/>
    <row r="53476" spans="3:3" s="8" customFormat="1" ht="21.95" customHeight="1" x14ac:dyDescent="0.15"/>
    <row r="53477" spans="3:3" s="8" customFormat="1" ht="21.95" customHeight="1" x14ac:dyDescent="0.15"/>
    <row r="53478" spans="3:3" s="8" customFormat="1" ht="21.95" customHeight="1" x14ac:dyDescent="0.15"/>
    <row r="53479" spans="3:3" s="8" customFormat="1" ht="21.95" customHeight="1" x14ac:dyDescent="0.15"/>
    <row r="53480" spans="3:3" s="8" customFormat="1" ht="21.95" customHeight="1" x14ac:dyDescent="0.15"/>
    <row r="53481" spans="3:3" s="9" customFormat="1" ht="21.95" customHeight="1" x14ac:dyDescent="0.15"/>
    <row r="53482" spans="3:3" s="9" customFormat="1" ht="21.95" customHeight="1" x14ac:dyDescent="0.15"/>
    <row r="53483" spans="3:3" s="9" customFormat="1" ht="21.95" customHeight="1" x14ac:dyDescent="0.15"/>
    <row r="53484" spans="3:3" s="9" customFormat="1" ht="21.95" customHeight="1" x14ac:dyDescent="0.15"/>
    <row r="53485" spans="3:3" s="8" customFormat="1" ht="21.95" customHeight="1" x14ac:dyDescent="0.15"/>
    <row r="53486" spans="3:3" s="8" customFormat="1" ht="21.95" customHeight="1" x14ac:dyDescent="0.15"/>
    <row r="53487" spans="3:3" s="8" customFormat="1" ht="21.95" customHeight="1" x14ac:dyDescent="0.15"/>
    <row r="53488" spans="3:3" s="8" customFormat="1" ht="21.95" customHeight="1" x14ac:dyDescent="0.15"/>
    <row r="53489" s="8" customFormat="1" ht="21.95" customHeight="1" x14ac:dyDescent="0.15"/>
    <row r="53490" s="8" customFormat="1" ht="21.95" customHeight="1" x14ac:dyDescent="0.15"/>
    <row r="53491" s="8" customFormat="1" ht="21.95" customHeight="1" x14ac:dyDescent="0.15"/>
    <row r="53492" s="8" customFormat="1" ht="21.95" customHeight="1" x14ac:dyDescent="0.15"/>
    <row r="53493" s="8" customFormat="1" ht="21.95" customHeight="1" x14ac:dyDescent="0.15"/>
    <row r="53494" s="8" customFormat="1" ht="21.95" customHeight="1" x14ac:dyDescent="0.15"/>
    <row r="53495" s="8" customFormat="1" ht="21.95" customHeight="1" x14ac:dyDescent="0.15"/>
    <row r="53496" s="8" customFormat="1" ht="32.1" customHeight="1" x14ac:dyDescent="0.15"/>
    <row r="53497" s="8" customFormat="1" ht="32.1" customHeight="1" x14ac:dyDescent="0.15"/>
    <row r="53498" s="8" customFormat="1" ht="32.1" customHeight="1" x14ac:dyDescent="0.15"/>
    <row r="53499" s="8" customFormat="1" ht="32.1" customHeight="1" x14ac:dyDescent="0.15"/>
    <row r="53500" s="8" customFormat="1" ht="32.1" customHeight="1" x14ac:dyDescent="0.15"/>
    <row r="53501" s="8" customFormat="1" ht="32.1" customHeight="1" x14ac:dyDescent="0.15"/>
    <row r="53502" s="9" customFormat="1" ht="32.1" customHeight="1" x14ac:dyDescent="0.15"/>
    <row r="53503" s="9" customFormat="1" ht="32.1" customHeight="1" x14ac:dyDescent="0.15"/>
    <row r="53504" s="9" customFormat="1" ht="32.1" customHeight="1" x14ac:dyDescent="0.15"/>
    <row r="53505" s="9" customFormat="1" ht="32.1" customHeight="1" x14ac:dyDescent="0.15"/>
    <row r="53506" s="9" customFormat="1" ht="21.95" customHeight="1" x14ac:dyDescent="0.15"/>
    <row r="53507" s="9" customFormat="1" ht="54" customHeight="1" x14ac:dyDescent="0.15"/>
    <row r="53508" s="9" customFormat="1" ht="21.95" customHeight="1" x14ac:dyDescent="0.15"/>
    <row r="53509" s="9" customFormat="1" ht="21.95" customHeight="1" x14ac:dyDescent="0.15"/>
    <row r="53510" s="9" customFormat="1" ht="21.95" customHeight="1" x14ac:dyDescent="0.15"/>
    <row r="53511" s="9" customFormat="1" ht="21.95" customHeight="1" x14ac:dyDescent="0.15"/>
    <row r="53512" s="9" customFormat="1" ht="21.95" customHeight="1" x14ac:dyDescent="0.15"/>
    <row r="53513" s="9" customFormat="1" ht="21.95" customHeight="1" x14ac:dyDescent="0.15"/>
    <row r="53514" s="9" customFormat="1" ht="21.95" customHeight="1" x14ac:dyDescent="0.15"/>
    <row r="53515" s="9" customFormat="1" ht="21.95" customHeight="1" x14ac:dyDescent="0.15"/>
    <row r="53516" s="9" customFormat="1" ht="21.95" customHeight="1" x14ac:dyDescent="0.15"/>
    <row r="53517" s="9" customFormat="1" ht="21.95" customHeight="1" x14ac:dyDescent="0.15"/>
    <row r="53518" s="9" customFormat="1" ht="21.95" customHeight="1" x14ac:dyDescent="0.15"/>
    <row r="53519" s="9" customFormat="1" ht="21.95" customHeight="1" x14ac:dyDescent="0.15"/>
    <row r="53520" s="9" customFormat="1" ht="21.95" customHeight="1" x14ac:dyDescent="0.15"/>
    <row r="53521" s="9" customFormat="1" ht="21.95" customHeight="1" x14ac:dyDescent="0.15"/>
    <row r="53522" s="9" customFormat="1" ht="21.95" customHeight="1" x14ac:dyDescent="0.15"/>
    <row r="53523" s="9" customFormat="1" ht="21.95" customHeight="1" x14ac:dyDescent="0.15"/>
    <row r="53524" s="9" customFormat="1" ht="21.95" customHeight="1" x14ac:dyDescent="0.15"/>
    <row r="53525" s="9" customFormat="1" ht="21.95" customHeight="1" x14ac:dyDescent="0.15"/>
    <row r="53526" s="9" customFormat="1" ht="21.95" customHeight="1" x14ac:dyDescent="0.15"/>
    <row r="53527" s="9" customFormat="1" ht="21.95" customHeight="1" x14ac:dyDescent="0.15"/>
    <row r="53528" s="9" customFormat="1" ht="21.95" customHeight="1" x14ac:dyDescent="0.15"/>
    <row r="53529" s="9" customFormat="1" ht="21.95" customHeight="1" x14ac:dyDescent="0.15"/>
    <row r="53530" s="9" customFormat="1" ht="21.95" customHeight="1" x14ac:dyDescent="0.15"/>
    <row r="53531" s="9" customFormat="1" ht="21.95" customHeight="1" x14ac:dyDescent="0.15"/>
    <row r="53532" s="9" customFormat="1" ht="21.95" customHeight="1" x14ac:dyDescent="0.15"/>
    <row r="53533" s="9" customFormat="1" ht="21.95" customHeight="1" x14ac:dyDescent="0.15"/>
    <row r="53534" s="9" customFormat="1" ht="21.95" customHeight="1" x14ac:dyDescent="0.15"/>
    <row r="53535" s="9" customFormat="1" ht="21.95" customHeight="1" x14ac:dyDescent="0.15"/>
    <row r="53536" s="9" customFormat="1" ht="21.95" customHeight="1" x14ac:dyDescent="0.15"/>
    <row r="53537" s="9" customFormat="1" ht="21.95" customHeight="1" x14ac:dyDescent="0.15"/>
    <row r="53538" s="9" customFormat="1" ht="21.95" customHeight="1" x14ac:dyDescent="0.15"/>
    <row r="53539" s="9" customFormat="1" ht="21.95" customHeight="1" x14ac:dyDescent="0.15"/>
    <row r="53540" s="9" customFormat="1" ht="21.95" customHeight="1" x14ac:dyDescent="0.15"/>
    <row r="53541" s="9" customFormat="1" ht="21.95" customHeight="1" x14ac:dyDescent="0.15"/>
    <row r="53542" s="9" customFormat="1" ht="21.95" customHeight="1" x14ac:dyDescent="0.15"/>
    <row r="53543" s="9" customFormat="1" ht="21.95" customHeight="1" x14ac:dyDescent="0.15"/>
    <row r="53544" s="9" customFormat="1" ht="21.95" customHeight="1" x14ac:dyDescent="0.15"/>
    <row r="53545" s="9" customFormat="1" ht="21.95" customHeight="1" x14ac:dyDescent="0.15"/>
    <row r="53546" s="9" customFormat="1" ht="21.95" customHeight="1" x14ac:dyDescent="0.15"/>
    <row r="53547" s="9" customFormat="1" ht="21.95" customHeight="1" x14ac:dyDescent="0.15"/>
    <row r="53548" s="9" customFormat="1" ht="21.95" customHeight="1" x14ac:dyDescent="0.15"/>
    <row r="53549" s="9" customFormat="1" ht="21.95" customHeight="1" x14ac:dyDescent="0.15"/>
    <row r="53550" s="9" customFormat="1" ht="21.95" customHeight="1" x14ac:dyDescent="0.15"/>
    <row r="53551" s="9" customFormat="1" ht="21.95" customHeight="1" x14ac:dyDescent="0.15"/>
    <row r="53552" s="9" customFormat="1" ht="21.95" customHeight="1" x14ac:dyDescent="0.15"/>
    <row r="53553" s="9" customFormat="1" ht="21.95" customHeight="1" x14ac:dyDescent="0.15"/>
    <row r="53554" s="9" customFormat="1" ht="21.95" customHeight="1" x14ac:dyDescent="0.15"/>
    <row r="53555" s="9" customFormat="1" ht="21.95" customHeight="1" x14ac:dyDescent="0.15"/>
    <row r="53556" s="9" customFormat="1" ht="21.95" customHeight="1" x14ac:dyDescent="0.15"/>
    <row r="53557" s="9" customFormat="1" ht="21.95" customHeight="1" x14ac:dyDescent="0.15"/>
    <row r="53558" s="9" customFormat="1" ht="35.1" customHeight="1" x14ac:dyDescent="0.15"/>
    <row r="53559" s="9" customFormat="1" ht="21.95" customHeight="1" x14ac:dyDescent="0.15"/>
    <row r="53560" s="9" customFormat="1" ht="21.95" customHeight="1" x14ac:dyDescent="0.15"/>
    <row r="53561" s="9" customFormat="1" ht="21.95" customHeight="1" x14ac:dyDescent="0.15"/>
    <row r="53562" s="9" customFormat="1" ht="21.95" customHeight="1" x14ac:dyDescent="0.15"/>
    <row r="53563" s="9" customFormat="1" ht="21.95" customHeight="1" x14ac:dyDescent="0.15"/>
    <row r="53564" s="9" customFormat="1" ht="21.95" customHeight="1" x14ac:dyDescent="0.15"/>
    <row r="53565" s="9" customFormat="1" ht="21.95" customHeight="1" x14ac:dyDescent="0.15"/>
    <row r="53566" s="9" customFormat="1" ht="21.95" customHeight="1" x14ac:dyDescent="0.15"/>
    <row r="53567" s="9" customFormat="1" ht="21.95" customHeight="1" x14ac:dyDescent="0.15"/>
    <row r="53568" s="9" customFormat="1" ht="21.95" customHeight="1" x14ac:dyDescent="0.15"/>
    <row r="53569" spans="3:3" s="9" customFormat="1" ht="21.95" customHeight="1" x14ac:dyDescent="0.15"/>
    <row r="53570" spans="3:3" s="9" customFormat="1" ht="21.95" customHeight="1" x14ac:dyDescent="0.15"/>
    <row r="53571" spans="3:3" s="9" customFormat="1" ht="21.95" customHeight="1" x14ac:dyDescent="0.15"/>
    <row r="53572" spans="3:3" s="9" customFormat="1" ht="21.95" customHeight="1" x14ac:dyDescent="0.15"/>
    <row r="53573" spans="3:3" s="9" customFormat="1" ht="21.95" customHeight="1" x14ac:dyDescent="0.15"/>
    <row r="53574" spans="3:3" s="9" customFormat="1" ht="21.95" customHeight="1" x14ac:dyDescent="0.15"/>
    <row r="53575" spans="3:3" s="9" customFormat="1" ht="21.95" customHeight="1" x14ac:dyDescent="0.15"/>
    <row r="53576" spans="3:3" s="9" customFormat="1" ht="21.95" customHeight="1" x14ac:dyDescent="0.15"/>
    <row r="53577" spans="3:3" s="9" customFormat="1" ht="21.95" customHeight="1" x14ac:dyDescent="0.15"/>
    <row r="53578" spans="3:3" s="9" customFormat="1" ht="21.95" customHeight="1" x14ac:dyDescent="0.15"/>
    <row r="53579" spans="3:3" s="9" customFormat="1" ht="21.95" customHeight="1" x14ac:dyDescent="0.15"/>
    <row r="53580" spans="3:3" s="9" customFormat="1" ht="21.95" customHeight="1" x14ac:dyDescent="0.15"/>
    <row r="53581" spans="3:3" s="9" customFormat="1" ht="21.95" customHeight="1" x14ac:dyDescent="0.15"/>
    <row r="53582" spans="3:3" s="8" customFormat="1" ht="21.95" customHeight="1" x14ac:dyDescent="0.15"/>
    <row r="53583" spans="3:3" s="8" customFormat="1" ht="21.95" customHeight="1" x14ac:dyDescent="0.15"/>
    <row r="53584" spans="3:3" s="8" customFormat="1" ht="21.95" customHeight="1" x14ac:dyDescent="0.15">
      <c r="C53584" s="101"/>
    </row>
    <row r="53585" spans="3:3" s="8" customFormat="1" ht="21.95" customHeight="1" x14ac:dyDescent="0.15">
      <c r="C53585" s="101"/>
    </row>
    <row r="53586" spans="3:3" s="8" customFormat="1" ht="21.95" customHeight="1" x14ac:dyDescent="0.15"/>
    <row r="53587" spans="3:3" s="8" customFormat="1" ht="21.95" customHeight="1" x14ac:dyDescent="0.15"/>
    <row r="53588" spans="3:3" s="8" customFormat="1" ht="21.95" customHeight="1" x14ac:dyDescent="0.15"/>
    <row r="53589" spans="3:3" s="8" customFormat="1" ht="21.95" customHeight="1" x14ac:dyDescent="0.15"/>
    <row r="53590" spans="3:3" s="8" customFormat="1" ht="21.95" customHeight="1" x14ac:dyDescent="0.15"/>
    <row r="53591" spans="3:3" s="8" customFormat="1" ht="21.95" customHeight="1" x14ac:dyDescent="0.15"/>
    <row r="53592" spans="3:3" s="8" customFormat="1" ht="21.95" customHeight="1" x14ac:dyDescent="0.15"/>
    <row r="53593" spans="3:3" s="9" customFormat="1" ht="21.95" customHeight="1" x14ac:dyDescent="0.15"/>
    <row r="53594" spans="3:3" s="9" customFormat="1" ht="21.95" customHeight="1" x14ac:dyDescent="0.15"/>
    <row r="53595" spans="3:3" s="9" customFormat="1" ht="21.95" customHeight="1" x14ac:dyDescent="0.15"/>
    <row r="53596" spans="3:3" s="9" customFormat="1" ht="21.95" customHeight="1" x14ac:dyDescent="0.15"/>
    <row r="53597" spans="3:3" s="8" customFormat="1" ht="21.95" customHeight="1" x14ac:dyDescent="0.15"/>
    <row r="53598" spans="3:3" s="8" customFormat="1" ht="21.95" customHeight="1" x14ac:dyDescent="0.15"/>
    <row r="53599" spans="3:3" s="8" customFormat="1" ht="21.95" customHeight="1" x14ac:dyDescent="0.15"/>
    <row r="53600" spans="3:3" s="8" customFormat="1" ht="21.95" customHeight="1" x14ac:dyDescent="0.15"/>
    <row r="53601" s="8" customFormat="1" ht="21.95" customHeight="1" x14ac:dyDescent="0.15"/>
    <row r="53602" s="8" customFormat="1" ht="21.95" customHeight="1" x14ac:dyDescent="0.15"/>
    <row r="53603" s="8" customFormat="1" ht="21.95" customHeight="1" x14ac:dyDescent="0.15"/>
    <row r="53604" s="8" customFormat="1" ht="21.95" customHeight="1" x14ac:dyDescent="0.15"/>
    <row r="53605" s="8" customFormat="1" ht="21.95" customHeight="1" x14ac:dyDescent="0.15"/>
    <row r="53606" s="8" customFormat="1" ht="21.95" customHeight="1" x14ac:dyDescent="0.15"/>
    <row r="53607" s="8" customFormat="1" ht="21.95" customHeight="1" x14ac:dyDescent="0.15"/>
    <row r="53608" s="8" customFormat="1" ht="32.1" customHeight="1" x14ac:dyDescent="0.15"/>
    <row r="53609" s="8" customFormat="1" ht="32.1" customHeight="1" x14ac:dyDescent="0.15"/>
    <row r="53610" s="8" customFormat="1" ht="32.1" customHeight="1" x14ac:dyDescent="0.15"/>
    <row r="53611" s="8" customFormat="1" ht="32.1" customHeight="1" x14ac:dyDescent="0.15"/>
    <row r="53612" s="8" customFormat="1" ht="32.1" customHeight="1" x14ac:dyDescent="0.15"/>
    <row r="53613" s="8" customFormat="1" ht="32.1" customHeight="1" x14ac:dyDescent="0.15"/>
    <row r="53614" s="9" customFormat="1" ht="32.1" customHeight="1" x14ac:dyDescent="0.15"/>
    <row r="53615" s="9" customFormat="1" ht="32.1" customHeight="1" x14ac:dyDescent="0.15"/>
    <row r="53616" s="9" customFormat="1" ht="32.1" customHeight="1" x14ac:dyDescent="0.15"/>
    <row r="53617" s="9" customFormat="1" ht="32.1" customHeight="1" x14ac:dyDescent="0.15"/>
    <row r="53618" s="9" customFormat="1" ht="21.95" customHeight="1" x14ac:dyDescent="0.15"/>
    <row r="53619" s="9" customFormat="1" ht="54" customHeight="1" x14ac:dyDescent="0.15"/>
    <row r="53620" s="9" customFormat="1" ht="21.95" customHeight="1" x14ac:dyDescent="0.15"/>
    <row r="53621" s="9" customFormat="1" ht="21.95" customHeight="1" x14ac:dyDescent="0.15"/>
    <row r="53622" s="9" customFormat="1" ht="21.95" customHeight="1" x14ac:dyDescent="0.15"/>
    <row r="53623" s="9" customFormat="1" ht="21.95" customHeight="1" x14ac:dyDescent="0.15"/>
    <row r="53624" s="9" customFormat="1" ht="21.95" customHeight="1" x14ac:dyDescent="0.15"/>
    <row r="53625" s="9" customFormat="1" ht="21.95" customHeight="1" x14ac:dyDescent="0.15"/>
    <row r="53626" s="9" customFormat="1" ht="21.95" customHeight="1" x14ac:dyDescent="0.15"/>
    <row r="53627" s="9" customFormat="1" ht="21.95" customHeight="1" x14ac:dyDescent="0.15"/>
    <row r="53628" s="9" customFormat="1" ht="21.95" customHeight="1" x14ac:dyDescent="0.15"/>
    <row r="53629" s="9" customFormat="1" ht="21.95" customHeight="1" x14ac:dyDescent="0.15"/>
    <row r="53630" s="9" customFormat="1" ht="21.95" customHeight="1" x14ac:dyDescent="0.15"/>
    <row r="53631" s="9" customFormat="1" ht="21.95" customHeight="1" x14ac:dyDescent="0.15"/>
    <row r="53632" s="9" customFormat="1" ht="21.95" customHeight="1" x14ac:dyDescent="0.15"/>
    <row r="53633" s="9" customFormat="1" ht="21.95" customHeight="1" x14ac:dyDescent="0.15"/>
    <row r="53634" s="9" customFormat="1" ht="21.95" customHeight="1" x14ac:dyDescent="0.15"/>
    <row r="53635" s="9" customFormat="1" ht="21.95" customHeight="1" x14ac:dyDescent="0.15"/>
    <row r="53636" s="9" customFormat="1" ht="21.95" customHeight="1" x14ac:dyDescent="0.15"/>
    <row r="53637" s="9" customFormat="1" ht="21.95" customHeight="1" x14ac:dyDescent="0.15"/>
    <row r="53638" s="9" customFormat="1" ht="21.95" customHeight="1" x14ac:dyDescent="0.15"/>
    <row r="53639" s="9" customFormat="1" ht="21.95" customHeight="1" x14ac:dyDescent="0.15"/>
    <row r="53640" s="9" customFormat="1" ht="21.95" customHeight="1" x14ac:dyDescent="0.15"/>
    <row r="53641" s="9" customFormat="1" ht="21.95" customHeight="1" x14ac:dyDescent="0.15"/>
    <row r="53642" s="9" customFormat="1" ht="21.95" customHeight="1" x14ac:dyDescent="0.15"/>
    <row r="53643" s="9" customFormat="1" ht="21.95" customHeight="1" x14ac:dyDescent="0.15"/>
    <row r="53644" s="9" customFormat="1" ht="21.95" customHeight="1" x14ac:dyDescent="0.15"/>
    <row r="53645" s="9" customFormat="1" ht="21.95" customHeight="1" x14ac:dyDescent="0.15"/>
    <row r="53646" s="9" customFormat="1" ht="21.95" customHeight="1" x14ac:dyDescent="0.15"/>
    <row r="53647" s="9" customFormat="1" ht="21.95" customHeight="1" x14ac:dyDescent="0.15"/>
    <row r="53648" s="9" customFormat="1" ht="21.95" customHeight="1" x14ac:dyDescent="0.15"/>
    <row r="53649" s="9" customFormat="1" ht="21.95" customHeight="1" x14ac:dyDescent="0.15"/>
    <row r="53650" s="9" customFormat="1" ht="21.95" customHeight="1" x14ac:dyDescent="0.15"/>
    <row r="53651" s="9" customFormat="1" ht="21.95" customHeight="1" x14ac:dyDescent="0.15"/>
    <row r="53652" s="9" customFormat="1" ht="21.95" customHeight="1" x14ac:dyDescent="0.15"/>
    <row r="53653" s="9" customFormat="1" ht="21.95" customHeight="1" x14ac:dyDescent="0.15"/>
    <row r="53654" s="9" customFormat="1" ht="21.95" customHeight="1" x14ac:dyDescent="0.15"/>
    <row r="53655" s="9" customFormat="1" ht="21.95" customHeight="1" x14ac:dyDescent="0.15"/>
    <row r="53656" s="9" customFormat="1" ht="21.95" customHeight="1" x14ac:dyDescent="0.15"/>
    <row r="53657" s="9" customFormat="1" ht="21.95" customHeight="1" x14ac:dyDescent="0.15"/>
    <row r="53658" s="9" customFormat="1" ht="21.95" customHeight="1" x14ac:dyDescent="0.15"/>
    <row r="53659" s="9" customFormat="1" ht="21.95" customHeight="1" x14ac:dyDescent="0.15"/>
    <row r="53660" s="9" customFormat="1" ht="21.95" customHeight="1" x14ac:dyDescent="0.15"/>
    <row r="53661" s="9" customFormat="1" ht="21.95" customHeight="1" x14ac:dyDescent="0.15"/>
    <row r="53662" s="9" customFormat="1" ht="21.95" customHeight="1" x14ac:dyDescent="0.15"/>
    <row r="53663" s="9" customFormat="1" ht="21.95" customHeight="1" x14ac:dyDescent="0.15"/>
    <row r="53664" s="9" customFormat="1" ht="21.95" customHeight="1" x14ac:dyDescent="0.15"/>
    <row r="53665" s="9" customFormat="1" ht="21.95" customHeight="1" x14ac:dyDescent="0.15"/>
    <row r="53666" s="9" customFormat="1" ht="21.95" customHeight="1" x14ac:dyDescent="0.15"/>
    <row r="53667" s="9" customFormat="1" ht="21.95" customHeight="1" x14ac:dyDescent="0.15"/>
    <row r="53668" s="9" customFormat="1" ht="21.95" customHeight="1" x14ac:dyDescent="0.15"/>
    <row r="53669" s="9" customFormat="1" ht="21.95" customHeight="1" x14ac:dyDescent="0.15"/>
    <row r="53670" s="9" customFormat="1" ht="35.1" customHeight="1" x14ac:dyDescent="0.15"/>
    <row r="53671" s="9" customFormat="1" ht="21.95" customHeight="1" x14ac:dyDescent="0.15"/>
    <row r="53672" s="9" customFormat="1" ht="21.95" customHeight="1" x14ac:dyDescent="0.15"/>
    <row r="53673" s="9" customFormat="1" ht="21.95" customHeight="1" x14ac:dyDescent="0.15"/>
    <row r="53674" s="9" customFormat="1" ht="21.95" customHeight="1" x14ac:dyDescent="0.15"/>
    <row r="53675" s="9" customFormat="1" ht="21.95" customHeight="1" x14ac:dyDescent="0.15"/>
    <row r="53676" s="9" customFormat="1" ht="21.95" customHeight="1" x14ac:dyDescent="0.15"/>
    <row r="53677" s="9" customFormat="1" ht="21.95" customHeight="1" x14ac:dyDescent="0.15"/>
    <row r="53678" s="9" customFormat="1" ht="21.95" customHeight="1" x14ac:dyDescent="0.15"/>
    <row r="53679" s="9" customFormat="1" ht="21.95" customHeight="1" x14ac:dyDescent="0.15"/>
    <row r="53680" s="9" customFormat="1" ht="21.95" customHeight="1" x14ac:dyDescent="0.15"/>
    <row r="53681" spans="3:3" s="9" customFormat="1" ht="21.95" customHeight="1" x14ac:dyDescent="0.15"/>
    <row r="53682" spans="3:3" s="9" customFormat="1" ht="21.95" customHeight="1" x14ac:dyDescent="0.15"/>
    <row r="53683" spans="3:3" s="9" customFormat="1" ht="21.95" customHeight="1" x14ac:dyDescent="0.15"/>
    <row r="53684" spans="3:3" s="9" customFormat="1" ht="21.95" customHeight="1" x14ac:dyDescent="0.15"/>
    <row r="53685" spans="3:3" s="9" customFormat="1" ht="21.95" customHeight="1" x14ac:dyDescent="0.15"/>
    <row r="53686" spans="3:3" s="9" customFormat="1" ht="21.95" customHeight="1" x14ac:dyDescent="0.15"/>
    <row r="53687" spans="3:3" s="9" customFormat="1" ht="21.95" customHeight="1" x14ac:dyDescent="0.15"/>
    <row r="53688" spans="3:3" s="9" customFormat="1" ht="21.95" customHeight="1" x14ac:dyDescent="0.15"/>
    <row r="53689" spans="3:3" s="9" customFormat="1" ht="21.95" customHeight="1" x14ac:dyDescent="0.15"/>
    <row r="53690" spans="3:3" s="9" customFormat="1" ht="21.95" customHeight="1" x14ac:dyDescent="0.15"/>
    <row r="53691" spans="3:3" s="9" customFormat="1" ht="21.95" customHeight="1" x14ac:dyDescent="0.15"/>
    <row r="53692" spans="3:3" s="9" customFormat="1" ht="21.95" customHeight="1" x14ac:dyDescent="0.15"/>
    <row r="53693" spans="3:3" s="9" customFormat="1" ht="21.95" customHeight="1" x14ac:dyDescent="0.15"/>
    <row r="53694" spans="3:3" s="8" customFormat="1" ht="21.95" customHeight="1" x14ac:dyDescent="0.15"/>
    <row r="53695" spans="3:3" s="8" customFormat="1" ht="21.95" customHeight="1" x14ac:dyDescent="0.15"/>
    <row r="53696" spans="3:3" s="8" customFormat="1" ht="21.95" customHeight="1" x14ac:dyDescent="0.15">
      <c r="C53696" s="101"/>
    </row>
    <row r="53697" spans="3:3" s="8" customFormat="1" ht="21.95" customHeight="1" x14ac:dyDescent="0.15">
      <c r="C53697" s="101"/>
    </row>
    <row r="53698" spans="3:3" s="8" customFormat="1" ht="21.95" customHeight="1" x14ac:dyDescent="0.15"/>
    <row r="53699" spans="3:3" s="8" customFormat="1" ht="21.95" customHeight="1" x14ac:dyDescent="0.15"/>
    <row r="53700" spans="3:3" s="8" customFormat="1" ht="21.95" customHeight="1" x14ac:dyDescent="0.15"/>
    <row r="53701" spans="3:3" s="8" customFormat="1" ht="21.95" customHeight="1" x14ac:dyDescent="0.15"/>
    <row r="53702" spans="3:3" s="8" customFormat="1" ht="21.95" customHeight="1" x14ac:dyDescent="0.15"/>
    <row r="53703" spans="3:3" s="8" customFormat="1" ht="21.95" customHeight="1" x14ac:dyDescent="0.15"/>
    <row r="53704" spans="3:3" s="8" customFormat="1" ht="21.95" customHeight="1" x14ac:dyDescent="0.15"/>
    <row r="53705" spans="3:3" s="9" customFormat="1" ht="21.95" customHeight="1" x14ac:dyDescent="0.15"/>
    <row r="53706" spans="3:3" s="9" customFormat="1" ht="21.95" customHeight="1" x14ac:dyDescent="0.15"/>
    <row r="53707" spans="3:3" s="9" customFormat="1" ht="21.95" customHeight="1" x14ac:dyDescent="0.15"/>
    <row r="53708" spans="3:3" s="9" customFormat="1" ht="21.95" customHeight="1" x14ac:dyDescent="0.15"/>
    <row r="53709" spans="3:3" s="8" customFormat="1" ht="21.95" customHeight="1" x14ac:dyDescent="0.15"/>
    <row r="53710" spans="3:3" s="8" customFormat="1" ht="21.95" customHeight="1" x14ac:dyDescent="0.15"/>
    <row r="53711" spans="3:3" s="8" customFormat="1" ht="21.95" customHeight="1" x14ac:dyDescent="0.15"/>
    <row r="53712" spans="3:3" s="8" customFormat="1" ht="21.95" customHeight="1" x14ac:dyDescent="0.15"/>
    <row r="53713" s="8" customFormat="1" ht="21.95" customHeight="1" x14ac:dyDescent="0.15"/>
    <row r="53714" s="8" customFormat="1" ht="21.95" customHeight="1" x14ac:dyDescent="0.15"/>
    <row r="53715" s="8" customFormat="1" ht="21.95" customHeight="1" x14ac:dyDescent="0.15"/>
    <row r="53716" s="8" customFormat="1" ht="21.95" customHeight="1" x14ac:dyDescent="0.15"/>
    <row r="53717" s="8" customFormat="1" ht="21.95" customHeight="1" x14ac:dyDescent="0.15"/>
    <row r="53718" s="8" customFormat="1" ht="21.95" customHeight="1" x14ac:dyDescent="0.15"/>
    <row r="53719" s="8" customFormat="1" ht="21.95" customHeight="1" x14ac:dyDescent="0.15"/>
    <row r="53720" s="8" customFormat="1" ht="32.1" customHeight="1" x14ac:dyDescent="0.15"/>
    <row r="53721" s="8" customFormat="1" ht="32.1" customHeight="1" x14ac:dyDescent="0.15"/>
    <row r="53722" s="8" customFormat="1" ht="32.1" customHeight="1" x14ac:dyDescent="0.15"/>
    <row r="53723" s="8" customFormat="1" ht="32.1" customHeight="1" x14ac:dyDescent="0.15"/>
    <row r="53724" s="8" customFormat="1" ht="32.1" customHeight="1" x14ac:dyDescent="0.15"/>
    <row r="53725" s="8" customFormat="1" ht="32.1" customHeight="1" x14ac:dyDescent="0.15"/>
    <row r="53726" s="9" customFormat="1" ht="32.1" customHeight="1" x14ac:dyDescent="0.15"/>
    <row r="53727" s="9" customFormat="1" ht="32.1" customHeight="1" x14ac:dyDescent="0.15"/>
    <row r="53728" s="9" customFormat="1" ht="32.1" customHeight="1" x14ac:dyDescent="0.15"/>
    <row r="53729" s="9" customFormat="1" ht="32.1" customHeight="1" x14ac:dyDescent="0.15"/>
    <row r="53730" s="9" customFormat="1" ht="21.95" customHeight="1" x14ac:dyDescent="0.15"/>
    <row r="53731" s="9" customFormat="1" ht="54" customHeight="1" x14ac:dyDescent="0.15"/>
    <row r="53732" s="9" customFormat="1" ht="21.95" customHeight="1" x14ac:dyDescent="0.15"/>
    <row r="53733" s="9" customFormat="1" ht="21.95" customHeight="1" x14ac:dyDescent="0.15"/>
    <row r="53734" s="9" customFormat="1" ht="21.95" customHeight="1" x14ac:dyDescent="0.15"/>
    <row r="53735" s="9" customFormat="1" ht="21.95" customHeight="1" x14ac:dyDescent="0.15"/>
    <row r="53736" s="9" customFormat="1" ht="21.95" customHeight="1" x14ac:dyDescent="0.15"/>
    <row r="53737" s="9" customFormat="1" ht="21.95" customHeight="1" x14ac:dyDescent="0.15"/>
    <row r="53738" s="9" customFormat="1" ht="21.95" customHeight="1" x14ac:dyDescent="0.15"/>
    <row r="53739" s="9" customFormat="1" ht="21.95" customHeight="1" x14ac:dyDescent="0.15"/>
    <row r="53740" s="9" customFormat="1" ht="21.95" customHeight="1" x14ac:dyDescent="0.15"/>
    <row r="53741" s="9" customFormat="1" ht="21.95" customHeight="1" x14ac:dyDescent="0.15"/>
    <row r="53742" s="9" customFormat="1" ht="21.95" customHeight="1" x14ac:dyDescent="0.15"/>
    <row r="53743" s="9" customFormat="1" ht="21.95" customHeight="1" x14ac:dyDescent="0.15"/>
    <row r="53744" s="9" customFormat="1" ht="21.95" customHeight="1" x14ac:dyDescent="0.15"/>
    <row r="53745" s="9" customFormat="1" ht="21.95" customHeight="1" x14ac:dyDescent="0.15"/>
    <row r="53746" s="9" customFormat="1" ht="21.95" customHeight="1" x14ac:dyDescent="0.15"/>
    <row r="53747" s="9" customFormat="1" ht="21.95" customHeight="1" x14ac:dyDescent="0.15"/>
    <row r="53748" s="9" customFormat="1" ht="21.95" customHeight="1" x14ac:dyDescent="0.15"/>
    <row r="53749" s="9" customFormat="1" ht="21.95" customHeight="1" x14ac:dyDescent="0.15"/>
    <row r="53750" s="9" customFormat="1" ht="21.95" customHeight="1" x14ac:dyDescent="0.15"/>
    <row r="53751" s="9" customFormat="1" ht="21.95" customHeight="1" x14ac:dyDescent="0.15"/>
    <row r="53752" s="9" customFormat="1" ht="21.95" customHeight="1" x14ac:dyDescent="0.15"/>
    <row r="53753" s="9" customFormat="1" ht="21.95" customHeight="1" x14ac:dyDescent="0.15"/>
    <row r="53754" s="9" customFormat="1" ht="21.95" customHeight="1" x14ac:dyDescent="0.15"/>
    <row r="53755" s="9" customFormat="1" ht="21.95" customHeight="1" x14ac:dyDescent="0.15"/>
    <row r="53756" s="9" customFormat="1" ht="21.95" customHeight="1" x14ac:dyDescent="0.15"/>
    <row r="53757" s="9" customFormat="1" ht="21.95" customHeight="1" x14ac:dyDescent="0.15"/>
    <row r="53758" s="9" customFormat="1" ht="21.95" customHeight="1" x14ac:dyDescent="0.15"/>
    <row r="53759" s="9" customFormat="1" ht="21.95" customHeight="1" x14ac:dyDescent="0.15"/>
    <row r="53760" s="9" customFormat="1" ht="21.95" customHeight="1" x14ac:dyDescent="0.15"/>
    <row r="53761" s="9" customFormat="1" ht="21.95" customHeight="1" x14ac:dyDescent="0.15"/>
    <row r="53762" s="9" customFormat="1" ht="21.95" customHeight="1" x14ac:dyDescent="0.15"/>
    <row r="53763" s="9" customFormat="1" ht="21.95" customHeight="1" x14ac:dyDescent="0.15"/>
    <row r="53764" s="9" customFormat="1" ht="21.95" customHeight="1" x14ac:dyDescent="0.15"/>
    <row r="53765" s="9" customFormat="1" ht="21.95" customHeight="1" x14ac:dyDescent="0.15"/>
    <row r="53766" s="9" customFormat="1" ht="21.95" customHeight="1" x14ac:dyDescent="0.15"/>
    <row r="53767" s="9" customFormat="1" ht="21.95" customHeight="1" x14ac:dyDescent="0.15"/>
    <row r="53768" s="9" customFormat="1" ht="21.95" customHeight="1" x14ac:dyDescent="0.15"/>
    <row r="53769" s="9" customFormat="1" ht="21.95" customHeight="1" x14ac:dyDescent="0.15"/>
    <row r="53770" s="9" customFormat="1" ht="21.95" customHeight="1" x14ac:dyDescent="0.15"/>
    <row r="53771" s="9" customFormat="1" ht="21.95" customHeight="1" x14ac:dyDescent="0.15"/>
    <row r="53772" s="9" customFormat="1" ht="21.95" customHeight="1" x14ac:dyDescent="0.15"/>
    <row r="53773" s="9" customFormat="1" ht="21.95" customHeight="1" x14ac:dyDescent="0.15"/>
    <row r="53774" s="9" customFormat="1" ht="21.95" customHeight="1" x14ac:dyDescent="0.15"/>
    <row r="53775" s="9" customFormat="1" ht="21.95" customHeight="1" x14ac:dyDescent="0.15"/>
    <row r="53776" s="9" customFormat="1" ht="21.95" customHeight="1" x14ac:dyDescent="0.15"/>
    <row r="53777" s="9" customFormat="1" ht="21.95" customHeight="1" x14ac:dyDescent="0.15"/>
    <row r="53778" s="9" customFormat="1" ht="21.95" customHeight="1" x14ac:dyDescent="0.15"/>
    <row r="53779" s="9" customFormat="1" ht="21.95" customHeight="1" x14ac:dyDescent="0.15"/>
    <row r="53780" s="9" customFormat="1" ht="21.95" customHeight="1" x14ac:dyDescent="0.15"/>
    <row r="53781" s="9" customFormat="1" ht="21.95" customHeight="1" x14ac:dyDescent="0.15"/>
    <row r="53782" s="9" customFormat="1" ht="35.1" customHeight="1" x14ac:dyDescent="0.15"/>
    <row r="53783" s="9" customFormat="1" ht="21.95" customHeight="1" x14ac:dyDescent="0.15"/>
    <row r="53784" s="9" customFormat="1" ht="21.95" customHeight="1" x14ac:dyDescent="0.15"/>
    <row r="53785" s="9" customFormat="1" ht="21.95" customHeight="1" x14ac:dyDescent="0.15"/>
    <row r="53786" s="9" customFormat="1" ht="21.95" customHeight="1" x14ac:dyDescent="0.15"/>
    <row r="53787" s="9" customFormat="1" ht="21.95" customHeight="1" x14ac:dyDescent="0.15"/>
    <row r="53788" s="9" customFormat="1" ht="21.95" customHeight="1" x14ac:dyDescent="0.15"/>
    <row r="53789" s="9" customFormat="1" ht="21.95" customHeight="1" x14ac:dyDescent="0.15"/>
    <row r="53790" s="9" customFormat="1" ht="21.95" customHeight="1" x14ac:dyDescent="0.15"/>
    <row r="53791" s="9" customFormat="1" ht="21.95" customHeight="1" x14ac:dyDescent="0.15"/>
    <row r="53792" s="9" customFormat="1" ht="21.95" customHeight="1" x14ac:dyDescent="0.15"/>
    <row r="53793" spans="3:3" s="9" customFormat="1" ht="21.95" customHeight="1" x14ac:dyDescent="0.15"/>
    <row r="53794" spans="3:3" s="9" customFormat="1" ht="21.95" customHeight="1" x14ac:dyDescent="0.15"/>
    <row r="53795" spans="3:3" s="9" customFormat="1" ht="21.95" customHeight="1" x14ac:dyDescent="0.15"/>
    <row r="53796" spans="3:3" s="9" customFormat="1" ht="21.95" customHeight="1" x14ac:dyDescent="0.15"/>
    <row r="53797" spans="3:3" s="9" customFormat="1" ht="21.95" customHeight="1" x14ac:dyDescent="0.15"/>
    <row r="53798" spans="3:3" s="9" customFormat="1" ht="21.95" customHeight="1" x14ac:dyDescent="0.15"/>
    <row r="53799" spans="3:3" s="9" customFormat="1" ht="21.95" customHeight="1" x14ac:dyDescent="0.15"/>
    <row r="53800" spans="3:3" s="9" customFormat="1" ht="21.95" customHeight="1" x14ac:dyDescent="0.15"/>
    <row r="53801" spans="3:3" s="9" customFormat="1" ht="21.95" customHeight="1" x14ac:dyDescent="0.15"/>
    <row r="53802" spans="3:3" s="9" customFormat="1" ht="21.95" customHeight="1" x14ac:dyDescent="0.15"/>
    <row r="53803" spans="3:3" s="9" customFormat="1" ht="21.95" customHeight="1" x14ac:dyDescent="0.15"/>
    <row r="53804" spans="3:3" s="9" customFormat="1" ht="21.95" customHeight="1" x14ac:dyDescent="0.15"/>
    <row r="53805" spans="3:3" s="9" customFormat="1" ht="21.95" customHeight="1" x14ac:dyDescent="0.15"/>
    <row r="53806" spans="3:3" s="8" customFormat="1" ht="21.95" customHeight="1" x14ac:dyDescent="0.15"/>
    <row r="53807" spans="3:3" s="8" customFormat="1" ht="21.95" customHeight="1" x14ac:dyDescent="0.15"/>
    <row r="53808" spans="3:3" s="8" customFormat="1" ht="21.95" customHeight="1" x14ac:dyDescent="0.15">
      <c r="C53808" s="101"/>
    </row>
    <row r="53809" spans="3:3" s="8" customFormat="1" ht="21.95" customHeight="1" x14ac:dyDescent="0.15">
      <c r="C53809" s="101"/>
    </row>
    <row r="53810" spans="3:3" s="8" customFormat="1" ht="21.95" customHeight="1" x14ac:dyDescent="0.15"/>
    <row r="53811" spans="3:3" s="8" customFormat="1" ht="21.95" customHeight="1" x14ac:dyDescent="0.15"/>
    <row r="53812" spans="3:3" s="8" customFormat="1" ht="21.95" customHeight="1" x14ac:dyDescent="0.15"/>
    <row r="53813" spans="3:3" s="8" customFormat="1" ht="21.95" customHeight="1" x14ac:dyDescent="0.15"/>
    <row r="53814" spans="3:3" s="8" customFormat="1" ht="21.95" customHeight="1" x14ac:dyDescent="0.15"/>
    <row r="53815" spans="3:3" s="8" customFormat="1" ht="21.95" customHeight="1" x14ac:dyDescent="0.15"/>
    <row r="53816" spans="3:3" s="8" customFormat="1" ht="21.95" customHeight="1" x14ac:dyDescent="0.15"/>
    <row r="53817" spans="3:3" s="9" customFormat="1" ht="21.95" customHeight="1" x14ac:dyDescent="0.15"/>
    <row r="53818" spans="3:3" s="9" customFormat="1" ht="21.95" customHeight="1" x14ac:dyDescent="0.15"/>
    <row r="53819" spans="3:3" s="9" customFormat="1" ht="21.95" customHeight="1" x14ac:dyDescent="0.15"/>
    <row r="53820" spans="3:3" s="9" customFormat="1" ht="21.95" customHeight="1" x14ac:dyDescent="0.15"/>
    <row r="53821" spans="3:3" s="8" customFormat="1" ht="21.95" customHeight="1" x14ac:dyDescent="0.15"/>
    <row r="53822" spans="3:3" s="8" customFormat="1" ht="21.95" customHeight="1" x14ac:dyDescent="0.15"/>
    <row r="53823" spans="3:3" s="8" customFormat="1" ht="21.95" customHeight="1" x14ac:dyDescent="0.15"/>
    <row r="53824" spans="3:3" s="8" customFormat="1" ht="21.95" customHeight="1" x14ac:dyDescent="0.15"/>
    <row r="53825" s="8" customFormat="1" ht="21.95" customHeight="1" x14ac:dyDescent="0.15"/>
    <row r="53826" s="8" customFormat="1" ht="21.95" customHeight="1" x14ac:dyDescent="0.15"/>
    <row r="53827" s="8" customFormat="1" ht="21.95" customHeight="1" x14ac:dyDescent="0.15"/>
    <row r="53828" s="8" customFormat="1" ht="21.95" customHeight="1" x14ac:dyDescent="0.15"/>
    <row r="53829" s="8" customFormat="1" ht="21.95" customHeight="1" x14ac:dyDescent="0.15"/>
    <row r="53830" s="8" customFormat="1" ht="21.95" customHeight="1" x14ac:dyDescent="0.15"/>
    <row r="53831" s="8" customFormat="1" ht="21.95" customHeight="1" x14ac:dyDescent="0.15"/>
    <row r="53832" s="8" customFormat="1" ht="32.1" customHeight="1" x14ac:dyDescent="0.15"/>
    <row r="53833" s="8" customFormat="1" ht="32.1" customHeight="1" x14ac:dyDescent="0.15"/>
    <row r="53834" s="8" customFormat="1" ht="32.1" customHeight="1" x14ac:dyDescent="0.15"/>
    <row r="53835" s="8" customFormat="1" ht="32.1" customHeight="1" x14ac:dyDescent="0.15"/>
    <row r="53836" s="8" customFormat="1" ht="32.1" customHeight="1" x14ac:dyDescent="0.15"/>
    <row r="53837" s="8" customFormat="1" ht="32.1" customHeight="1" x14ac:dyDescent="0.15"/>
    <row r="53838" s="9" customFormat="1" ht="32.1" customHeight="1" x14ac:dyDescent="0.15"/>
    <row r="53839" s="9" customFormat="1" ht="32.1" customHeight="1" x14ac:dyDescent="0.15"/>
    <row r="53840" s="9" customFormat="1" ht="32.1" customHeight="1" x14ac:dyDescent="0.15"/>
    <row r="53841" s="9" customFormat="1" ht="32.1" customHeight="1" x14ac:dyDescent="0.15"/>
    <row r="53842" s="9" customFormat="1" ht="21.95" customHeight="1" x14ac:dyDescent="0.15"/>
    <row r="53843" s="9" customFormat="1" ht="54" customHeight="1" x14ac:dyDescent="0.15"/>
    <row r="53844" s="9" customFormat="1" ht="21.95" customHeight="1" x14ac:dyDescent="0.15"/>
    <row r="53845" s="9" customFormat="1" ht="21.95" customHeight="1" x14ac:dyDescent="0.15"/>
    <row r="53846" s="9" customFormat="1" ht="21.95" customHeight="1" x14ac:dyDescent="0.15"/>
    <row r="53847" s="9" customFormat="1" ht="21.95" customHeight="1" x14ac:dyDescent="0.15"/>
    <row r="53848" s="9" customFormat="1" ht="21.95" customHeight="1" x14ac:dyDescent="0.15"/>
    <row r="53849" s="9" customFormat="1" ht="21.95" customHeight="1" x14ac:dyDescent="0.15"/>
    <row r="53850" s="9" customFormat="1" ht="21.95" customHeight="1" x14ac:dyDescent="0.15"/>
    <row r="53851" s="9" customFormat="1" ht="21.95" customHeight="1" x14ac:dyDescent="0.15"/>
    <row r="53852" s="9" customFormat="1" ht="21.95" customHeight="1" x14ac:dyDescent="0.15"/>
    <row r="53853" s="9" customFormat="1" ht="21.95" customHeight="1" x14ac:dyDescent="0.15"/>
    <row r="53854" s="9" customFormat="1" ht="21.95" customHeight="1" x14ac:dyDescent="0.15"/>
    <row r="53855" s="9" customFormat="1" ht="21.95" customHeight="1" x14ac:dyDescent="0.15"/>
    <row r="53856" s="9" customFormat="1" ht="21.95" customHeight="1" x14ac:dyDescent="0.15"/>
    <row r="53857" s="9" customFormat="1" ht="21.95" customHeight="1" x14ac:dyDescent="0.15"/>
    <row r="53858" s="9" customFormat="1" ht="21.95" customHeight="1" x14ac:dyDescent="0.15"/>
    <row r="53859" s="9" customFormat="1" ht="21.95" customHeight="1" x14ac:dyDescent="0.15"/>
    <row r="53860" s="9" customFormat="1" ht="21.95" customHeight="1" x14ac:dyDescent="0.15"/>
    <row r="53861" s="9" customFormat="1" ht="21.95" customHeight="1" x14ac:dyDescent="0.15"/>
    <row r="53862" s="9" customFormat="1" ht="21.95" customHeight="1" x14ac:dyDescent="0.15"/>
    <row r="53863" s="9" customFormat="1" ht="21.95" customHeight="1" x14ac:dyDescent="0.15"/>
    <row r="53864" s="9" customFormat="1" ht="21.95" customHeight="1" x14ac:dyDescent="0.15"/>
    <row r="53865" s="9" customFormat="1" ht="21.95" customHeight="1" x14ac:dyDescent="0.15"/>
    <row r="53866" s="9" customFormat="1" ht="21.95" customHeight="1" x14ac:dyDescent="0.15"/>
    <row r="53867" s="9" customFormat="1" ht="21.95" customHeight="1" x14ac:dyDescent="0.15"/>
    <row r="53868" s="9" customFormat="1" ht="21.95" customHeight="1" x14ac:dyDescent="0.15"/>
    <row r="53869" s="9" customFormat="1" ht="21.95" customHeight="1" x14ac:dyDescent="0.15"/>
    <row r="53870" s="9" customFormat="1" ht="21.95" customHeight="1" x14ac:dyDescent="0.15"/>
    <row r="53871" s="9" customFormat="1" ht="21.95" customHeight="1" x14ac:dyDescent="0.15"/>
    <row r="53872" s="9" customFormat="1" ht="21.95" customHeight="1" x14ac:dyDescent="0.15"/>
    <row r="53873" s="9" customFormat="1" ht="21.95" customHeight="1" x14ac:dyDescent="0.15"/>
    <row r="53874" s="9" customFormat="1" ht="21.95" customHeight="1" x14ac:dyDescent="0.15"/>
    <row r="53875" s="9" customFormat="1" ht="21.95" customHeight="1" x14ac:dyDescent="0.15"/>
    <row r="53876" s="9" customFormat="1" ht="21.95" customHeight="1" x14ac:dyDescent="0.15"/>
    <row r="53877" s="9" customFormat="1" ht="21.95" customHeight="1" x14ac:dyDescent="0.15"/>
    <row r="53878" s="9" customFormat="1" ht="21.95" customHeight="1" x14ac:dyDescent="0.15"/>
    <row r="53879" s="9" customFormat="1" ht="21.95" customHeight="1" x14ac:dyDescent="0.15"/>
    <row r="53880" s="9" customFormat="1" ht="21.95" customHeight="1" x14ac:dyDescent="0.15"/>
    <row r="53881" s="9" customFormat="1" ht="21.95" customHeight="1" x14ac:dyDescent="0.15"/>
    <row r="53882" s="9" customFormat="1" ht="21.95" customHeight="1" x14ac:dyDescent="0.15"/>
    <row r="53883" s="9" customFormat="1" ht="21.95" customHeight="1" x14ac:dyDescent="0.15"/>
    <row r="53884" s="9" customFormat="1" ht="21.95" customHeight="1" x14ac:dyDescent="0.15"/>
    <row r="53885" s="9" customFormat="1" ht="21.95" customHeight="1" x14ac:dyDescent="0.15"/>
    <row r="53886" s="9" customFormat="1" ht="21.95" customHeight="1" x14ac:dyDescent="0.15"/>
    <row r="53887" s="9" customFormat="1" ht="21.95" customHeight="1" x14ac:dyDescent="0.15"/>
    <row r="53888" s="9" customFormat="1" ht="21.95" customHeight="1" x14ac:dyDescent="0.15"/>
    <row r="53889" s="9" customFormat="1" ht="21.95" customHeight="1" x14ac:dyDescent="0.15"/>
    <row r="53890" s="9" customFormat="1" ht="21.95" customHeight="1" x14ac:dyDescent="0.15"/>
    <row r="53891" s="9" customFormat="1" ht="21.95" customHeight="1" x14ac:dyDescent="0.15"/>
    <row r="53892" s="9" customFormat="1" ht="21.95" customHeight="1" x14ac:dyDescent="0.15"/>
    <row r="53893" s="9" customFormat="1" ht="21.95" customHeight="1" x14ac:dyDescent="0.15"/>
    <row r="53894" s="9" customFormat="1" ht="35.1" customHeight="1" x14ac:dyDescent="0.15"/>
    <row r="53895" s="9" customFormat="1" ht="21.95" customHeight="1" x14ac:dyDescent="0.15"/>
    <row r="53896" s="9" customFormat="1" ht="21.95" customHeight="1" x14ac:dyDescent="0.15"/>
    <row r="53897" s="9" customFormat="1" ht="21.95" customHeight="1" x14ac:dyDescent="0.15"/>
    <row r="53898" s="9" customFormat="1" ht="21.95" customHeight="1" x14ac:dyDescent="0.15"/>
    <row r="53899" s="9" customFormat="1" ht="21.95" customHeight="1" x14ac:dyDescent="0.15"/>
    <row r="53900" s="9" customFormat="1" ht="21.95" customHeight="1" x14ac:dyDescent="0.15"/>
    <row r="53901" s="9" customFormat="1" ht="21.95" customHeight="1" x14ac:dyDescent="0.15"/>
    <row r="53902" s="9" customFormat="1" ht="21.95" customHeight="1" x14ac:dyDescent="0.15"/>
    <row r="53903" s="9" customFormat="1" ht="21.95" customHeight="1" x14ac:dyDescent="0.15"/>
    <row r="53904" s="9" customFormat="1" ht="21.95" customHeight="1" x14ac:dyDescent="0.15"/>
    <row r="53905" spans="3:3" s="9" customFormat="1" ht="21.95" customHeight="1" x14ac:dyDescent="0.15"/>
    <row r="53906" spans="3:3" s="9" customFormat="1" ht="21.95" customHeight="1" x14ac:dyDescent="0.15"/>
    <row r="53907" spans="3:3" s="9" customFormat="1" ht="21.95" customHeight="1" x14ac:dyDescent="0.15"/>
    <row r="53908" spans="3:3" s="9" customFormat="1" ht="21.95" customHeight="1" x14ac:dyDescent="0.15"/>
    <row r="53909" spans="3:3" s="9" customFormat="1" ht="21.95" customHeight="1" x14ac:dyDescent="0.15"/>
    <row r="53910" spans="3:3" s="9" customFormat="1" ht="21.95" customHeight="1" x14ac:dyDescent="0.15"/>
    <row r="53911" spans="3:3" s="9" customFormat="1" ht="21.95" customHeight="1" x14ac:dyDescent="0.15"/>
    <row r="53912" spans="3:3" s="9" customFormat="1" ht="21.95" customHeight="1" x14ac:dyDescent="0.15"/>
    <row r="53913" spans="3:3" s="9" customFormat="1" ht="21.95" customHeight="1" x14ac:dyDescent="0.15"/>
    <row r="53914" spans="3:3" s="9" customFormat="1" ht="21.95" customHeight="1" x14ac:dyDescent="0.15"/>
    <row r="53915" spans="3:3" s="9" customFormat="1" ht="21.95" customHeight="1" x14ac:dyDescent="0.15"/>
    <row r="53916" spans="3:3" s="9" customFormat="1" ht="21.95" customHeight="1" x14ac:dyDescent="0.15"/>
    <row r="53917" spans="3:3" s="9" customFormat="1" ht="21.95" customHeight="1" x14ac:dyDescent="0.15"/>
    <row r="53918" spans="3:3" s="8" customFormat="1" ht="21.95" customHeight="1" x14ac:dyDescent="0.15"/>
    <row r="53919" spans="3:3" s="8" customFormat="1" ht="21.95" customHeight="1" x14ac:dyDescent="0.15"/>
    <row r="53920" spans="3:3" s="8" customFormat="1" ht="21.95" customHeight="1" x14ac:dyDescent="0.15">
      <c r="C53920" s="101"/>
    </row>
    <row r="53921" spans="3:3" s="8" customFormat="1" ht="21.95" customHeight="1" x14ac:dyDescent="0.15">
      <c r="C53921" s="101"/>
    </row>
    <row r="53922" spans="3:3" s="8" customFormat="1" ht="21.95" customHeight="1" x14ac:dyDescent="0.15"/>
    <row r="53923" spans="3:3" s="8" customFormat="1" ht="21.95" customHeight="1" x14ac:dyDescent="0.15"/>
    <row r="53924" spans="3:3" s="8" customFormat="1" ht="21.95" customHeight="1" x14ac:dyDescent="0.15"/>
    <row r="53925" spans="3:3" s="8" customFormat="1" ht="21.95" customHeight="1" x14ac:dyDescent="0.15"/>
    <row r="53926" spans="3:3" s="8" customFormat="1" ht="21.95" customHeight="1" x14ac:dyDescent="0.15"/>
    <row r="53927" spans="3:3" s="8" customFormat="1" ht="21.95" customHeight="1" x14ac:dyDescent="0.15"/>
    <row r="53928" spans="3:3" s="8" customFormat="1" ht="21.95" customHeight="1" x14ac:dyDescent="0.15"/>
    <row r="53929" spans="3:3" s="9" customFormat="1" ht="21.95" customHeight="1" x14ac:dyDescent="0.15"/>
    <row r="53930" spans="3:3" s="9" customFormat="1" ht="21.95" customHeight="1" x14ac:dyDescent="0.15"/>
    <row r="53931" spans="3:3" s="9" customFormat="1" ht="21.95" customHeight="1" x14ac:dyDescent="0.15"/>
    <row r="53932" spans="3:3" s="9" customFormat="1" ht="21.95" customHeight="1" x14ac:dyDescent="0.15"/>
    <row r="53933" spans="3:3" s="8" customFormat="1" ht="21.95" customHeight="1" x14ac:dyDescent="0.15"/>
    <row r="53934" spans="3:3" s="8" customFormat="1" ht="21.95" customHeight="1" x14ac:dyDescent="0.15"/>
    <row r="53935" spans="3:3" s="8" customFormat="1" ht="21.95" customHeight="1" x14ac:dyDescent="0.15"/>
    <row r="53936" spans="3:3" s="8" customFormat="1" ht="21.95" customHeight="1" x14ac:dyDescent="0.15"/>
    <row r="53937" s="8" customFormat="1" ht="21.95" customHeight="1" x14ac:dyDescent="0.15"/>
    <row r="53938" s="8" customFormat="1" ht="21.95" customHeight="1" x14ac:dyDescent="0.15"/>
    <row r="53939" s="8" customFormat="1" ht="21.95" customHeight="1" x14ac:dyDescent="0.15"/>
    <row r="53940" s="8" customFormat="1" ht="21.95" customHeight="1" x14ac:dyDescent="0.15"/>
    <row r="53941" s="8" customFormat="1" ht="21.95" customHeight="1" x14ac:dyDescent="0.15"/>
    <row r="53942" s="8" customFormat="1" ht="21.95" customHeight="1" x14ac:dyDescent="0.15"/>
    <row r="53943" s="8" customFormat="1" ht="21.95" customHeight="1" x14ac:dyDescent="0.15"/>
    <row r="53944" s="8" customFormat="1" ht="32.1" customHeight="1" x14ac:dyDescent="0.15"/>
    <row r="53945" s="8" customFormat="1" ht="32.1" customHeight="1" x14ac:dyDescent="0.15"/>
    <row r="53946" s="8" customFormat="1" ht="32.1" customHeight="1" x14ac:dyDescent="0.15"/>
    <row r="53947" s="8" customFormat="1" ht="32.1" customHeight="1" x14ac:dyDescent="0.15"/>
    <row r="53948" s="8" customFormat="1" ht="32.1" customHeight="1" x14ac:dyDescent="0.15"/>
    <row r="53949" s="8" customFormat="1" ht="32.1" customHeight="1" x14ac:dyDescent="0.15"/>
    <row r="53950" s="9" customFormat="1" ht="32.1" customHeight="1" x14ac:dyDescent="0.15"/>
    <row r="53951" s="9" customFormat="1" ht="32.1" customHeight="1" x14ac:dyDescent="0.15"/>
    <row r="53952" s="9" customFormat="1" ht="32.1" customHeight="1" x14ac:dyDescent="0.15"/>
    <row r="53953" s="9" customFormat="1" ht="32.1" customHeight="1" x14ac:dyDescent="0.15"/>
    <row r="53954" s="9" customFormat="1" ht="21.95" customHeight="1" x14ac:dyDescent="0.15"/>
    <row r="53955" s="9" customFormat="1" ht="54" customHeight="1" x14ac:dyDescent="0.15"/>
    <row r="53956" s="9" customFormat="1" ht="21.95" customHeight="1" x14ac:dyDescent="0.15"/>
    <row r="53957" s="9" customFormat="1" ht="21.95" customHeight="1" x14ac:dyDescent="0.15"/>
    <row r="53958" s="9" customFormat="1" ht="21.95" customHeight="1" x14ac:dyDescent="0.15"/>
    <row r="53959" s="9" customFormat="1" ht="21.95" customHeight="1" x14ac:dyDescent="0.15"/>
    <row r="53960" s="9" customFormat="1" ht="21.95" customHeight="1" x14ac:dyDescent="0.15"/>
    <row r="53961" s="9" customFormat="1" ht="21.95" customHeight="1" x14ac:dyDescent="0.15"/>
    <row r="53962" s="9" customFormat="1" ht="21.95" customHeight="1" x14ac:dyDescent="0.15"/>
    <row r="53963" s="9" customFormat="1" ht="21.95" customHeight="1" x14ac:dyDescent="0.15"/>
    <row r="53964" s="9" customFormat="1" ht="21.95" customHeight="1" x14ac:dyDescent="0.15"/>
    <row r="53965" s="9" customFormat="1" ht="21.95" customHeight="1" x14ac:dyDescent="0.15"/>
    <row r="53966" s="9" customFormat="1" ht="21.95" customHeight="1" x14ac:dyDescent="0.15"/>
    <row r="53967" s="9" customFormat="1" ht="21.95" customHeight="1" x14ac:dyDescent="0.15"/>
    <row r="53968" s="9" customFormat="1" ht="21.95" customHeight="1" x14ac:dyDescent="0.15"/>
    <row r="53969" s="9" customFormat="1" ht="21.95" customHeight="1" x14ac:dyDescent="0.15"/>
    <row r="53970" s="9" customFormat="1" ht="21.95" customHeight="1" x14ac:dyDescent="0.15"/>
    <row r="53971" s="9" customFormat="1" ht="21.95" customHeight="1" x14ac:dyDescent="0.15"/>
    <row r="53972" s="9" customFormat="1" ht="21.95" customHeight="1" x14ac:dyDescent="0.15"/>
    <row r="53973" s="9" customFormat="1" ht="21.95" customHeight="1" x14ac:dyDescent="0.15"/>
    <row r="53974" s="9" customFormat="1" ht="21.95" customHeight="1" x14ac:dyDescent="0.15"/>
    <row r="53975" s="9" customFormat="1" ht="21.95" customHeight="1" x14ac:dyDescent="0.15"/>
    <row r="53976" s="9" customFormat="1" ht="21.95" customHeight="1" x14ac:dyDescent="0.15"/>
    <row r="53977" s="9" customFormat="1" ht="21.95" customHeight="1" x14ac:dyDescent="0.15"/>
    <row r="53978" s="9" customFormat="1" ht="21.95" customHeight="1" x14ac:dyDescent="0.15"/>
    <row r="53979" s="9" customFormat="1" ht="21.95" customHeight="1" x14ac:dyDescent="0.15"/>
    <row r="53980" s="9" customFormat="1" ht="21.95" customHeight="1" x14ac:dyDescent="0.15"/>
    <row r="53981" s="9" customFormat="1" ht="21.95" customHeight="1" x14ac:dyDescent="0.15"/>
    <row r="53982" s="9" customFormat="1" ht="21.95" customHeight="1" x14ac:dyDescent="0.15"/>
    <row r="53983" s="9" customFormat="1" ht="21.95" customHeight="1" x14ac:dyDescent="0.15"/>
    <row r="53984" s="9" customFormat="1" ht="21.95" customHeight="1" x14ac:dyDescent="0.15"/>
    <row r="53985" s="9" customFormat="1" ht="21.95" customHeight="1" x14ac:dyDescent="0.15"/>
    <row r="53986" s="9" customFormat="1" ht="21.95" customHeight="1" x14ac:dyDescent="0.15"/>
    <row r="53987" s="9" customFormat="1" ht="21.95" customHeight="1" x14ac:dyDescent="0.15"/>
    <row r="53988" s="9" customFormat="1" ht="21.95" customHeight="1" x14ac:dyDescent="0.15"/>
    <row r="53989" s="9" customFormat="1" ht="21.95" customHeight="1" x14ac:dyDescent="0.15"/>
    <row r="53990" s="9" customFormat="1" ht="21.95" customHeight="1" x14ac:dyDescent="0.15"/>
    <row r="53991" s="9" customFormat="1" ht="21.95" customHeight="1" x14ac:dyDescent="0.15"/>
    <row r="53992" s="9" customFormat="1" ht="21.95" customHeight="1" x14ac:dyDescent="0.15"/>
    <row r="53993" s="9" customFormat="1" ht="21.95" customHeight="1" x14ac:dyDescent="0.15"/>
    <row r="53994" s="9" customFormat="1" ht="21.95" customHeight="1" x14ac:dyDescent="0.15"/>
    <row r="53995" s="9" customFormat="1" ht="21.95" customHeight="1" x14ac:dyDescent="0.15"/>
    <row r="53996" s="9" customFormat="1" ht="21.95" customHeight="1" x14ac:dyDescent="0.15"/>
    <row r="53997" s="9" customFormat="1" ht="21.95" customHeight="1" x14ac:dyDescent="0.15"/>
    <row r="53998" s="9" customFormat="1" ht="21.95" customHeight="1" x14ac:dyDescent="0.15"/>
    <row r="53999" s="9" customFormat="1" ht="21.95" customHeight="1" x14ac:dyDescent="0.15"/>
    <row r="54000" s="9" customFormat="1" ht="21.95" customHeight="1" x14ac:dyDescent="0.15"/>
    <row r="54001" s="9" customFormat="1" ht="21.95" customHeight="1" x14ac:dyDescent="0.15"/>
    <row r="54002" s="9" customFormat="1" ht="21.95" customHeight="1" x14ac:dyDescent="0.15"/>
    <row r="54003" s="9" customFormat="1" ht="21.95" customHeight="1" x14ac:dyDescent="0.15"/>
    <row r="54004" s="9" customFormat="1" ht="21.95" customHeight="1" x14ac:dyDescent="0.15"/>
    <row r="54005" s="9" customFormat="1" ht="21.95" customHeight="1" x14ac:dyDescent="0.15"/>
    <row r="54006" s="9" customFormat="1" ht="35.1" customHeight="1" x14ac:dyDescent="0.15"/>
    <row r="54007" s="9" customFormat="1" ht="21.95" customHeight="1" x14ac:dyDescent="0.15"/>
    <row r="54008" s="9" customFormat="1" ht="21.95" customHeight="1" x14ac:dyDescent="0.15"/>
    <row r="54009" s="9" customFormat="1" ht="21.95" customHeight="1" x14ac:dyDescent="0.15"/>
    <row r="54010" s="9" customFormat="1" ht="21.95" customHeight="1" x14ac:dyDescent="0.15"/>
    <row r="54011" s="9" customFormat="1" ht="21.95" customHeight="1" x14ac:dyDescent="0.15"/>
    <row r="54012" s="9" customFormat="1" ht="21.95" customHeight="1" x14ac:dyDescent="0.15"/>
    <row r="54013" s="9" customFormat="1" ht="21.95" customHeight="1" x14ac:dyDescent="0.15"/>
    <row r="54014" s="9" customFormat="1" ht="21.95" customHeight="1" x14ac:dyDescent="0.15"/>
    <row r="54015" s="9" customFormat="1" ht="21.95" customHeight="1" x14ac:dyDescent="0.15"/>
    <row r="54016" s="9" customFormat="1" ht="21.95" customHeight="1" x14ac:dyDescent="0.15"/>
    <row r="54017" spans="3:3" s="9" customFormat="1" ht="21.95" customHeight="1" x14ac:dyDescent="0.15"/>
    <row r="54018" spans="3:3" s="9" customFormat="1" ht="21.95" customHeight="1" x14ac:dyDescent="0.15"/>
    <row r="54019" spans="3:3" s="9" customFormat="1" ht="21.95" customHeight="1" x14ac:dyDescent="0.15"/>
    <row r="54020" spans="3:3" s="9" customFormat="1" ht="21.95" customHeight="1" x14ac:dyDescent="0.15"/>
    <row r="54021" spans="3:3" s="9" customFormat="1" ht="21.95" customHeight="1" x14ac:dyDescent="0.15"/>
    <row r="54022" spans="3:3" s="9" customFormat="1" ht="21.95" customHeight="1" x14ac:dyDescent="0.15"/>
    <row r="54023" spans="3:3" s="9" customFormat="1" ht="21.95" customHeight="1" x14ac:dyDescent="0.15"/>
    <row r="54024" spans="3:3" s="9" customFormat="1" ht="21.95" customHeight="1" x14ac:dyDescent="0.15"/>
    <row r="54025" spans="3:3" s="9" customFormat="1" ht="21.95" customHeight="1" x14ac:dyDescent="0.15"/>
    <row r="54026" spans="3:3" s="9" customFormat="1" ht="21.95" customHeight="1" x14ac:dyDescent="0.15"/>
    <row r="54027" spans="3:3" s="9" customFormat="1" ht="21.95" customHeight="1" x14ac:dyDescent="0.15"/>
    <row r="54028" spans="3:3" s="9" customFormat="1" ht="21.95" customHeight="1" x14ac:dyDescent="0.15"/>
    <row r="54029" spans="3:3" s="9" customFormat="1" ht="21.95" customHeight="1" x14ac:dyDescent="0.15"/>
    <row r="54030" spans="3:3" s="8" customFormat="1" ht="21.95" customHeight="1" x14ac:dyDescent="0.15"/>
    <row r="54031" spans="3:3" s="8" customFormat="1" ht="21.95" customHeight="1" x14ac:dyDescent="0.15"/>
    <row r="54032" spans="3:3" s="8" customFormat="1" ht="21.95" customHeight="1" x14ac:dyDescent="0.15">
      <c r="C54032" s="101"/>
    </row>
    <row r="54033" spans="3:3" s="8" customFormat="1" ht="21.95" customHeight="1" x14ac:dyDescent="0.15">
      <c r="C54033" s="101"/>
    </row>
    <row r="54034" spans="3:3" s="8" customFormat="1" ht="21.95" customHeight="1" x14ac:dyDescent="0.15"/>
    <row r="54035" spans="3:3" s="8" customFormat="1" ht="21.95" customHeight="1" x14ac:dyDescent="0.15"/>
    <row r="54036" spans="3:3" s="8" customFormat="1" ht="21.95" customHeight="1" x14ac:dyDescent="0.15"/>
    <row r="54037" spans="3:3" s="8" customFormat="1" ht="21.95" customHeight="1" x14ac:dyDescent="0.15"/>
    <row r="54038" spans="3:3" s="8" customFormat="1" ht="21.95" customHeight="1" x14ac:dyDescent="0.15"/>
    <row r="54039" spans="3:3" s="8" customFormat="1" ht="21.95" customHeight="1" x14ac:dyDescent="0.15"/>
    <row r="54040" spans="3:3" s="8" customFormat="1" ht="21.95" customHeight="1" x14ac:dyDescent="0.15"/>
    <row r="54041" spans="3:3" s="9" customFormat="1" ht="21.95" customHeight="1" x14ac:dyDescent="0.15"/>
    <row r="54042" spans="3:3" s="9" customFormat="1" ht="21.95" customHeight="1" x14ac:dyDescent="0.15"/>
    <row r="54043" spans="3:3" s="9" customFormat="1" ht="21.95" customHeight="1" x14ac:dyDescent="0.15"/>
    <row r="54044" spans="3:3" s="9" customFormat="1" ht="21.95" customHeight="1" x14ac:dyDescent="0.15"/>
    <row r="54045" spans="3:3" s="8" customFormat="1" ht="21.95" customHeight="1" x14ac:dyDescent="0.15"/>
    <row r="54046" spans="3:3" s="8" customFormat="1" ht="21.95" customHeight="1" x14ac:dyDescent="0.15"/>
    <row r="54047" spans="3:3" s="8" customFormat="1" ht="21.95" customHeight="1" x14ac:dyDescent="0.15"/>
    <row r="54048" spans="3:3" s="8" customFormat="1" ht="21.95" customHeight="1" x14ac:dyDescent="0.15"/>
    <row r="54049" s="8" customFormat="1" ht="21.95" customHeight="1" x14ac:dyDescent="0.15"/>
    <row r="54050" s="8" customFormat="1" ht="21.95" customHeight="1" x14ac:dyDescent="0.15"/>
    <row r="54051" s="8" customFormat="1" ht="21.95" customHeight="1" x14ac:dyDescent="0.15"/>
    <row r="54052" s="8" customFormat="1" ht="21.95" customHeight="1" x14ac:dyDescent="0.15"/>
    <row r="54053" s="8" customFormat="1" ht="21.95" customHeight="1" x14ac:dyDescent="0.15"/>
    <row r="54054" s="8" customFormat="1" ht="21.95" customHeight="1" x14ac:dyDescent="0.15"/>
    <row r="54055" s="8" customFormat="1" ht="21.95" customHeight="1" x14ac:dyDescent="0.15"/>
    <row r="54056" s="8" customFormat="1" ht="32.1" customHeight="1" x14ac:dyDescent="0.15"/>
    <row r="54057" s="8" customFormat="1" ht="32.1" customHeight="1" x14ac:dyDescent="0.15"/>
    <row r="54058" s="8" customFormat="1" ht="32.1" customHeight="1" x14ac:dyDescent="0.15"/>
    <row r="54059" s="8" customFormat="1" ht="32.1" customHeight="1" x14ac:dyDescent="0.15"/>
    <row r="54060" s="8" customFormat="1" ht="32.1" customHeight="1" x14ac:dyDescent="0.15"/>
    <row r="54061" s="8" customFormat="1" ht="32.1" customHeight="1" x14ac:dyDescent="0.15"/>
    <row r="54062" s="9" customFormat="1" ht="32.1" customHeight="1" x14ac:dyDescent="0.15"/>
    <row r="54063" s="9" customFormat="1" ht="32.1" customHeight="1" x14ac:dyDescent="0.15"/>
    <row r="54064" s="9" customFormat="1" ht="32.1" customHeight="1" x14ac:dyDescent="0.15"/>
    <row r="54065" s="9" customFormat="1" ht="32.1" customHeight="1" x14ac:dyDescent="0.15"/>
    <row r="54066" s="9" customFormat="1" ht="21.95" customHeight="1" x14ac:dyDescent="0.15"/>
    <row r="54067" s="9" customFormat="1" ht="54" customHeight="1" x14ac:dyDescent="0.15"/>
    <row r="54068" s="9" customFormat="1" ht="21.95" customHeight="1" x14ac:dyDescent="0.15"/>
    <row r="54069" s="9" customFormat="1" ht="21.95" customHeight="1" x14ac:dyDescent="0.15"/>
    <row r="54070" s="9" customFormat="1" ht="21.95" customHeight="1" x14ac:dyDescent="0.15"/>
    <row r="54071" s="9" customFormat="1" ht="21.95" customHeight="1" x14ac:dyDescent="0.15"/>
    <row r="54072" s="9" customFormat="1" ht="21.95" customHeight="1" x14ac:dyDescent="0.15"/>
    <row r="54073" s="9" customFormat="1" ht="21.95" customHeight="1" x14ac:dyDescent="0.15"/>
    <row r="54074" s="9" customFormat="1" ht="21.95" customHeight="1" x14ac:dyDescent="0.15"/>
    <row r="54075" s="9" customFormat="1" ht="21.95" customHeight="1" x14ac:dyDescent="0.15"/>
    <row r="54076" s="9" customFormat="1" ht="21.95" customHeight="1" x14ac:dyDescent="0.15"/>
    <row r="54077" s="9" customFormat="1" ht="21.95" customHeight="1" x14ac:dyDescent="0.15"/>
    <row r="54078" s="9" customFormat="1" ht="21.95" customHeight="1" x14ac:dyDescent="0.15"/>
    <row r="54079" s="9" customFormat="1" ht="21.95" customHeight="1" x14ac:dyDescent="0.15"/>
    <row r="54080" s="9" customFormat="1" ht="21.95" customHeight="1" x14ac:dyDescent="0.15"/>
    <row r="54081" s="9" customFormat="1" ht="21.95" customHeight="1" x14ac:dyDescent="0.15"/>
    <row r="54082" s="9" customFormat="1" ht="21.95" customHeight="1" x14ac:dyDescent="0.15"/>
    <row r="54083" s="9" customFormat="1" ht="21.95" customHeight="1" x14ac:dyDescent="0.15"/>
    <row r="54084" s="9" customFormat="1" ht="21.95" customHeight="1" x14ac:dyDescent="0.15"/>
    <row r="54085" s="9" customFormat="1" ht="21.95" customHeight="1" x14ac:dyDescent="0.15"/>
    <row r="54086" s="9" customFormat="1" ht="21.95" customHeight="1" x14ac:dyDescent="0.15"/>
    <row r="54087" s="9" customFormat="1" ht="21.95" customHeight="1" x14ac:dyDescent="0.15"/>
    <row r="54088" s="9" customFormat="1" ht="21.95" customHeight="1" x14ac:dyDescent="0.15"/>
    <row r="54089" s="9" customFormat="1" ht="21.95" customHeight="1" x14ac:dyDescent="0.15"/>
    <row r="54090" s="9" customFormat="1" ht="21.95" customHeight="1" x14ac:dyDescent="0.15"/>
    <row r="54091" s="9" customFormat="1" ht="21.95" customHeight="1" x14ac:dyDescent="0.15"/>
    <row r="54092" s="9" customFormat="1" ht="21.95" customHeight="1" x14ac:dyDescent="0.15"/>
    <row r="54093" s="9" customFormat="1" ht="21.95" customHeight="1" x14ac:dyDescent="0.15"/>
    <row r="54094" s="9" customFormat="1" ht="21.95" customHeight="1" x14ac:dyDescent="0.15"/>
    <row r="54095" s="9" customFormat="1" ht="21.95" customHeight="1" x14ac:dyDescent="0.15"/>
    <row r="54096" s="9" customFormat="1" ht="21.95" customHeight="1" x14ac:dyDescent="0.15"/>
    <row r="54097" s="9" customFormat="1" ht="21.95" customHeight="1" x14ac:dyDescent="0.15"/>
    <row r="54098" s="9" customFormat="1" ht="21.95" customHeight="1" x14ac:dyDescent="0.15"/>
    <row r="54099" s="9" customFormat="1" ht="21.95" customHeight="1" x14ac:dyDescent="0.15"/>
    <row r="54100" s="9" customFormat="1" ht="21.95" customHeight="1" x14ac:dyDescent="0.15"/>
    <row r="54101" s="9" customFormat="1" ht="21.95" customHeight="1" x14ac:dyDescent="0.15"/>
    <row r="54102" s="9" customFormat="1" ht="21.95" customHeight="1" x14ac:dyDescent="0.15"/>
    <row r="54103" s="9" customFormat="1" ht="21.95" customHeight="1" x14ac:dyDescent="0.15"/>
    <row r="54104" s="9" customFormat="1" ht="21.95" customHeight="1" x14ac:dyDescent="0.15"/>
    <row r="54105" s="9" customFormat="1" ht="21.95" customHeight="1" x14ac:dyDescent="0.15"/>
    <row r="54106" s="9" customFormat="1" ht="21.95" customHeight="1" x14ac:dyDescent="0.15"/>
    <row r="54107" s="9" customFormat="1" ht="21.95" customHeight="1" x14ac:dyDescent="0.15"/>
    <row r="54108" s="9" customFormat="1" ht="21.95" customHeight="1" x14ac:dyDescent="0.15"/>
    <row r="54109" s="9" customFormat="1" ht="21.95" customHeight="1" x14ac:dyDescent="0.15"/>
    <row r="54110" s="9" customFormat="1" ht="21.95" customHeight="1" x14ac:dyDescent="0.15"/>
    <row r="54111" s="9" customFormat="1" ht="21.95" customHeight="1" x14ac:dyDescent="0.15"/>
    <row r="54112" s="9" customFormat="1" ht="21.95" customHeight="1" x14ac:dyDescent="0.15"/>
    <row r="54113" s="9" customFormat="1" ht="21.95" customHeight="1" x14ac:dyDescent="0.15"/>
    <row r="54114" s="9" customFormat="1" ht="21.95" customHeight="1" x14ac:dyDescent="0.15"/>
    <row r="54115" s="9" customFormat="1" ht="21.95" customHeight="1" x14ac:dyDescent="0.15"/>
    <row r="54116" s="9" customFormat="1" ht="21.95" customHeight="1" x14ac:dyDescent="0.15"/>
    <row r="54117" s="9" customFormat="1" ht="21.95" customHeight="1" x14ac:dyDescent="0.15"/>
    <row r="54118" s="9" customFormat="1" ht="35.1" customHeight="1" x14ac:dyDescent="0.15"/>
    <row r="54119" s="9" customFormat="1" ht="21.95" customHeight="1" x14ac:dyDescent="0.15"/>
    <row r="54120" s="9" customFormat="1" ht="21.95" customHeight="1" x14ac:dyDescent="0.15"/>
    <row r="54121" s="9" customFormat="1" ht="21.95" customHeight="1" x14ac:dyDescent="0.15"/>
    <row r="54122" s="9" customFormat="1" ht="21.95" customHeight="1" x14ac:dyDescent="0.15"/>
    <row r="54123" s="9" customFormat="1" ht="21.95" customHeight="1" x14ac:dyDescent="0.15"/>
    <row r="54124" s="9" customFormat="1" ht="21.95" customHeight="1" x14ac:dyDescent="0.15"/>
    <row r="54125" s="9" customFormat="1" ht="21.95" customHeight="1" x14ac:dyDescent="0.15"/>
    <row r="54126" s="9" customFormat="1" ht="21.95" customHeight="1" x14ac:dyDescent="0.15"/>
    <row r="54127" s="9" customFormat="1" ht="21.95" customHeight="1" x14ac:dyDescent="0.15"/>
    <row r="54128" s="9" customFormat="1" ht="21.95" customHeight="1" x14ac:dyDescent="0.15"/>
    <row r="54129" spans="3:3" s="9" customFormat="1" ht="21.95" customHeight="1" x14ac:dyDescent="0.15"/>
    <row r="54130" spans="3:3" s="9" customFormat="1" ht="21.95" customHeight="1" x14ac:dyDescent="0.15"/>
    <row r="54131" spans="3:3" s="9" customFormat="1" ht="21.95" customHeight="1" x14ac:dyDescent="0.15"/>
    <row r="54132" spans="3:3" s="9" customFormat="1" ht="21.95" customHeight="1" x14ac:dyDescent="0.15"/>
    <row r="54133" spans="3:3" s="9" customFormat="1" ht="21.95" customHeight="1" x14ac:dyDescent="0.15"/>
    <row r="54134" spans="3:3" s="9" customFormat="1" ht="21.95" customHeight="1" x14ac:dyDescent="0.15"/>
    <row r="54135" spans="3:3" s="9" customFormat="1" ht="21.95" customHeight="1" x14ac:dyDescent="0.15"/>
    <row r="54136" spans="3:3" s="9" customFormat="1" ht="21.95" customHeight="1" x14ac:dyDescent="0.15"/>
    <row r="54137" spans="3:3" s="9" customFormat="1" ht="21.95" customHeight="1" x14ac:dyDescent="0.15"/>
    <row r="54138" spans="3:3" s="9" customFormat="1" ht="21.95" customHeight="1" x14ac:dyDescent="0.15"/>
    <row r="54139" spans="3:3" s="9" customFormat="1" ht="21.95" customHeight="1" x14ac:dyDescent="0.15"/>
    <row r="54140" spans="3:3" s="9" customFormat="1" ht="21.95" customHeight="1" x14ac:dyDescent="0.15"/>
    <row r="54141" spans="3:3" s="9" customFormat="1" ht="21.95" customHeight="1" x14ac:dyDescent="0.15"/>
    <row r="54142" spans="3:3" s="8" customFormat="1" ht="21.95" customHeight="1" x14ac:dyDescent="0.15"/>
    <row r="54143" spans="3:3" s="8" customFormat="1" ht="21.95" customHeight="1" x14ac:dyDescent="0.15"/>
    <row r="54144" spans="3:3" s="8" customFormat="1" ht="21.95" customHeight="1" x14ac:dyDescent="0.15">
      <c r="C54144" s="101"/>
    </row>
    <row r="54145" spans="3:3" s="8" customFormat="1" ht="21.95" customHeight="1" x14ac:dyDescent="0.15">
      <c r="C54145" s="101"/>
    </row>
    <row r="54146" spans="3:3" s="8" customFormat="1" ht="21.95" customHeight="1" x14ac:dyDescent="0.15"/>
    <row r="54147" spans="3:3" s="8" customFormat="1" ht="21.95" customHeight="1" x14ac:dyDescent="0.15"/>
    <row r="54148" spans="3:3" s="8" customFormat="1" ht="21.95" customHeight="1" x14ac:dyDescent="0.15"/>
    <row r="54149" spans="3:3" s="8" customFormat="1" ht="21.95" customHeight="1" x14ac:dyDescent="0.15"/>
    <row r="54150" spans="3:3" s="8" customFormat="1" ht="21.95" customHeight="1" x14ac:dyDescent="0.15"/>
    <row r="54151" spans="3:3" s="8" customFormat="1" ht="21.95" customHeight="1" x14ac:dyDescent="0.15"/>
    <row r="54152" spans="3:3" s="8" customFormat="1" ht="21.95" customHeight="1" x14ac:dyDescent="0.15"/>
    <row r="54153" spans="3:3" s="9" customFormat="1" ht="21.95" customHeight="1" x14ac:dyDescent="0.15"/>
    <row r="54154" spans="3:3" s="9" customFormat="1" ht="21.95" customHeight="1" x14ac:dyDescent="0.15"/>
    <row r="54155" spans="3:3" s="9" customFormat="1" ht="21.95" customHeight="1" x14ac:dyDescent="0.15"/>
    <row r="54156" spans="3:3" s="9" customFormat="1" ht="21.95" customHeight="1" x14ac:dyDescent="0.15"/>
    <row r="54157" spans="3:3" s="8" customFormat="1" ht="21.95" customHeight="1" x14ac:dyDescent="0.15"/>
    <row r="54158" spans="3:3" s="8" customFormat="1" ht="21.95" customHeight="1" x14ac:dyDescent="0.15"/>
    <row r="54159" spans="3:3" s="8" customFormat="1" ht="21.95" customHeight="1" x14ac:dyDescent="0.15"/>
    <row r="54160" spans="3:3" s="8" customFormat="1" ht="21.95" customHeight="1" x14ac:dyDescent="0.15"/>
    <row r="54161" s="8" customFormat="1" ht="21.95" customHeight="1" x14ac:dyDescent="0.15"/>
    <row r="54162" s="8" customFormat="1" ht="21.95" customHeight="1" x14ac:dyDescent="0.15"/>
    <row r="54163" s="8" customFormat="1" ht="21.95" customHeight="1" x14ac:dyDescent="0.15"/>
    <row r="54164" s="8" customFormat="1" ht="21.95" customHeight="1" x14ac:dyDescent="0.15"/>
    <row r="54165" s="8" customFormat="1" ht="21.95" customHeight="1" x14ac:dyDescent="0.15"/>
    <row r="54166" s="8" customFormat="1" ht="21.95" customHeight="1" x14ac:dyDescent="0.15"/>
    <row r="54167" s="8" customFormat="1" ht="21.95" customHeight="1" x14ac:dyDescent="0.15"/>
    <row r="54168" s="8" customFormat="1" ht="32.1" customHeight="1" x14ac:dyDescent="0.15"/>
    <row r="54169" s="8" customFormat="1" ht="32.1" customHeight="1" x14ac:dyDescent="0.15"/>
    <row r="54170" s="8" customFormat="1" ht="32.1" customHeight="1" x14ac:dyDescent="0.15"/>
    <row r="54171" s="8" customFormat="1" ht="32.1" customHeight="1" x14ac:dyDescent="0.15"/>
    <row r="54172" s="8" customFormat="1" ht="32.1" customHeight="1" x14ac:dyDescent="0.15"/>
    <row r="54173" s="8" customFormat="1" ht="32.1" customHeight="1" x14ac:dyDescent="0.15"/>
    <row r="54174" s="9" customFormat="1" ht="32.1" customHeight="1" x14ac:dyDescent="0.15"/>
    <row r="54175" s="9" customFormat="1" ht="32.1" customHeight="1" x14ac:dyDescent="0.15"/>
    <row r="54176" s="9" customFormat="1" ht="32.1" customHeight="1" x14ac:dyDescent="0.15"/>
    <row r="54177" s="9" customFormat="1" ht="32.1" customHeight="1" x14ac:dyDescent="0.15"/>
    <row r="54178" s="9" customFormat="1" ht="21.95" customHeight="1" x14ac:dyDescent="0.15"/>
    <row r="54179" s="9" customFormat="1" ht="54" customHeight="1" x14ac:dyDescent="0.15"/>
    <row r="54180" s="9" customFormat="1" ht="21.95" customHeight="1" x14ac:dyDescent="0.15"/>
    <row r="54181" s="9" customFormat="1" ht="21.95" customHeight="1" x14ac:dyDescent="0.15"/>
    <row r="54182" s="9" customFormat="1" ht="21.95" customHeight="1" x14ac:dyDescent="0.15"/>
    <row r="54183" s="9" customFormat="1" ht="21.95" customHeight="1" x14ac:dyDescent="0.15"/>
    <row r="54184" s="9" customFormat="1" ht="21.95" customHeight="1" x14ac:dyDescent="0.15"/>
    <row r="54185" s="9" customFormat="1" ht="21.95" customHeight="1" x14ac:dyDescent="0.15"/>
    <row r="54186" s="9" customFormat="1" ht="21.95" customHeight="1" x14ac:dyDescent="0.15"/>
    <row r="54187" s="9" customFormat="1" ht="21.95" customHeight="1" x14ac:dyDescent="0.15"/>
    <row r="54188" s="9" customFormat="1" ht="21.95" customHeight="1" x14ac:dyDescent="0.15"/>
    <row r="54189" s="9" customFormat="1" ht="21.95" customHeight="1" x14ac:dyDescent="0.15"/>
    <row r="54190" s="9" customFormat="1" ht="21.95" customHeight="1" x14ac:dyDescent="0.15"/>
    <row r="54191" s="9" customFormat="1" ht="21.95" customHeight="1" x14ac:dyDescent="0.15"/>
    <row r="54192" s="9" customFormat="1" ht="21.95" customHeight="1" x14ac:dyDescent="0.15"/>
    <row r="54193" s="9" customFormat="1" ht="21.95" customHeight="1" x14ac:dyDescent="0.15"/>
    <row r="54194" s="9" customFormat="1" ht="21.95" customHeight="1" x14ac:dyDescent="0.15"/>
    <row r="54195" s="9" customFormat="1" ht="21.95" customHeight="1" x14ac:dyDescent="0.15"/>
    <row r="54196" s="9" customFormat="1" ht="21.95" customHeight="1" x14ac:dyDescent="0.15"/>
    <row r="54197" s="9" customFormat="1" ht="21.95" customHeight="1" x14ac:dyDescent="0.15"/>
    <row r="54198" s="9" customFormat="1" ht="21.95" customHeight="1" x14ac:dyDescent="0.15"/>
    <row r="54199" s="9" customFormat="1" ht="21.95" customHeight="1" x14ac:dyDescent="0.15"/>
    <row r="54200" s="9" customFormat="1" ht="21.95" customHeight="1" x14ac:dyDescent="0.15"/>
    <row r="54201" s="9" customFormat="1" ht="21.95" customHeight="1" x14ac:dyDescent="0.15"/>
    <row r="54202" s="9" customFormat="1" ht="21.95" customHeight="1" x14ac:dyDescent="0.15"/>
    <row r="54203" s="9" customFormat="1" ht="21.95" customHeight="1" x14ac:dyDescent="0.15"/>
    <row r="54204" s="9" customFormat="1" ht="21.95" customHeight="1" x14ac:dyDescent="0.15"/>
    <row r="54205" s="9" customFormat="1" ht="21.95" customHeight="1" x14ac:dyDescent="0.15"/>
    <row r="54206" s="9" customFormat="1" ht="21.95" customHeight="1" x14ac:dyDescent="0.15"/>
    <row r="54207" s="9" customFormat="1" ht="21.95" customHeight="1" x14ac:dyDescent="0.15"/>
    <row r="54208" s="9" customFormat="1" ht="21.95" customHeight="1" x14ac:dyDescent="0.15"/>
    <row r="54209" s="9" customFormat="1" ht="21.95" customHeight="1" x14ac:dyDescent="0.15"/>
    <row r="54210" s="9" customFormat="1" ht="21.95" customHeight="1" x14ac:dyDescent="0.15"/>
    <row r="54211" s="9" customFormat="1" ht="21.95" customHeight="1" x14ac:dyDescent="0.15"/>
    <row r="54212" s="9" customFormat="1" ht="21.95" customHeight="1" x14ac:dyDescent="0.15"/>
    <row r="54213" s="9" customFormat="1" ht="21.95" customHeight="1" x14ac:dyDescent="0.15"/>
    <row r="54214" s="9" customFormat="1" ht="21.95" customHeight="1" x14ac:dyDescent="0.15"/>
    <row r="54215" s="9" customFormat="1" ht="21.95" customHeight="1" x14ac:dyDescent="0.15"/>
    <row r="54216" s="9" customFormat="1" ht="21.95" customHeight="1" x14ac:dyDescent="0.15"/>
    <row r="54217" s="9" customFormat="1" ht="21.95" customHeight="1" x14ac:dyDescent="0.15"/>
    <row r="54218" s="9" customFormat="1" ht="21.95" customHeight="1" x14ac:dyDescent="0.15"/>
    <row r="54219" s="9" customFormat="1" ht="21.95" customHeight="1" x14ac:dyDescent="0.15"/>
    <row r="54220" s="9" customFormat="1" ht="21.95" customHeight="1" x14ac:dyDescent="0.15"/>
    <row r="54221" s="9" customFormat="1" ht="21.95" customHeight="1" x14ac:dyDescent="0.15"/>
    <row r="54222" s="9" customFormat="1" ht="21.95" customHeight="1" x14ac:dyDescent="0.15"/>
    <row r="54223" s="9" customFormat="1" ht="21.95" customHeight="1" x14ac:dyDescent="0.15"/>
    <row r="54224" s="9" customFormat="1" ht="21.95" customHeight="1" x14ac:dyDescent="0.15"/>
    <row r="54225" s="9" customFormat="1" ht="21.95" customHeight="1" x14ac:dyDescent="0.15"/>
    <row r="54226" s="9" customFormat="1" ht="21.95" customHeight="1" x14ac:dyDescent="0.15"/>
    <row r="54227" s="9" customFormat="1" ht="21.95" customHeight="1" x14ac:dyDescent="0.15"/>
    <row r="54228" s="9" customFormat="1" ht="21.95" customHeight="1" x14ac:dyDescent="0.15"/>
    <row r="54229" s="9" customFormat="1" ht="21.95" customHeight="1" x14ac:dyDescent="0.15"/>
    <row r="54230" s="9" customFormat="1" ht="35.1" customHeight="1" x14ac:dyDescent="0.15"/>
    <row r="54231" s="9" customFormat="1" ht="21.95" customHeight="1" x14ac:dyDescent="0.15"/>
    <row r="54232" s="9" customFormat="1" ht="21.95" customHeight="1" x14ac:dyDescent="0.15"/>
    <row r="54233" s="9" customFormat="1" ht="21.95" customHeight="1" x14ac:dyDescent="0.15"/>
    <row r="54234" s="9" customFormat="1" ht="21.95" customHeight="1" x14ac:dyDescent="0.15"/>
    <row r="54235" s="9" customFormat="1" ht="21.95" customHeight="1" x14ac:dyDescent="0.15"/>
    <row r="54236" s="9" customFormat="1" ht="21.95" customHeight="1" x14ac:dyDescent="0.15"/>
    <row r="54237" s="9" customFormat="1" ht="21.95" customHeight="1" x14ac:dyDescent="0.15"/>
    <row r="54238" s="9" customFormat="1" ht="21.95" customHeight="1" x14ac:dyDescent="0.15"/>
    <row r="54239" s="9" customFormat="1" ht="21.95" customHeight="1" x14ac:dyDescent="0.15"/>
    <row r="54240" s="9" customFormat="1" ht="21.95" customHeight="1" x14ac:dyDescent="0.15"/>
    <row r="54241" spans="3:3" s="9" customFormat="1" ht="21.95" customHeight="1" x14ac:dyDescent="0.15"/>
    <row r="54242" spans="3:3" s="9" customFormat="1" ht="21.95" customHeight="1" x14ac:dyDescent="0.15"/>
    <row r="54243" spans="3:3" s="9" customFormat="1" ht="21.95" customHeight="1" x14ac:dyDescent="0.15"/>
    <row r="54244" spans="3:3" s="9" customFormat="1" ht="21.95" customHeight="1" x14ac:dyDescent="0.15"/>
    <row r="54245" spans="3:3" s="9" customFormat="1" ht="21.95" customHeight="1" x14ac:dyDescent="0.15"/>
    <row r="54246" spans="3:3" s="9" customFormat="1" ht="21.95" customHeight="1" x14ac:dyDescent="0.15"/>
    <row r="54247" spans="3:3" s="9" customFormat="1" ht="21.95" customHeight="1" x14ac:dyDescent="0.15"/>
    <row r="54248" spans="3:3" s="9" customFormat="1" ht="21.95" customHeight="1" x14ac:dyDescent="0.15"/>
    <row r="54249" spans="3:3" s="9" customFormat="1" ht="21.95" customHeight="1" x14ac:dyDescent="0.15"/>
    <row r="54250" spans="3:3" s="9" customFormat="1" ht="21.95" customHeight="1" x14ac:dyDescent="0.15"/>
    <row r="54251" spans="3:3" s="9" customFormat="1" ht="21.95" customHeight="1" x14ac:dyDescent="0.15"/>
    <row r="54252" spans="3:3" s="9" customFormat="1" ht="21.95" customHeight="1" x14ac:dyDescent="0.15"/>
    <row r="54253" spans="3:3" s="9" customFormat="1" ht="21.95" customHeight="1" x14ac:dyDescent="0.15"/>
    <row r="54254" spans="3:3" s="8" customFormat="1" ht="21.95" customHeight="1" x14ac:dyDescent="0.15"/>
    <row r="54255" spans="3:3" s="8" customFormat="1" ht="21.95" customHeight="1" x14ac:dyDescent="0.15"/>
    <row r="54256" spans="3:3" s="8" customFormat="1" ht="21.95" customHeight="1" x14ac:dyDescent="0.15">
      <c r="C54256" s="101"/>
    </row>
    <row r="54257" spans="3:3" s="8" customFormat="1" ht="21.95" customHeight="1" x14ac:dyDescent="0.15">
      <c r="C54257" s="101"/>
    </row>
    <row r="54258" spans="3:3" s="8" customFormat="1" ht="21.95" customHeight="1" x14ac:dyDescent="0.15"/>
    <row r="54259" spans="3:3" s="8" customFormat="1" ht="21.95" customHeight="1" x14ac:dyDescent="0.15"/>
    <row r="54260" spans="3:3" s="8" customFormat="1" ht="21.95" customHeight="1" x14ac:dyDescent="0.15"/>
    <row r="54261" spans="3:3" s="8" customFormat="1" ht="21.95" customHeight="1" x14ac:dyDescent="0.15"/>
    <row r="54262" spans="3:3" s="8" customFormat="1" ht="21.95" customHeight="1" x14ac:dyDescent="0.15"/>
    <row r="54263" spans="3:3" s="8" customFormat="1" ht="21.95" customHeight="1" x14ac:dyDescent="0.15"/>
    <row r="54264" spans="3:3" s="8" customFormat="1" ht="21.95" customHeight="1" x14ac:dyDescent="0.15"/>
    <row r="54265" spans="3:3" s="9" customFormat="1" ht="21.95" customHeight="1" x14ac:dyDescent="0.15"/>
    <row r="54266" spans="3:3" s="9" customFormat="1" ht="21.95" customHeight="1" x14ac:dyDescent="0.15"/>
    <row r="54267" spans="3:3" s="9" customFormat="1" ht="21.95" customHeight="1" x14ac:dyDescent="0.15"/>
    <row r="54268" spans="3:3" s="9" customFormat="1" ht="21.95" customHeight="1" x14ac:dyDescent="0.15"/>
    <row r="54269" spans="3:3" s="8" customFormat="1" ht="21.95" customHeight="1" x14ac:dyDescent="0.15"/>
    <row r="54270" spans="3:3" s="8" customFormat="1" ht="21.95" customHeight="1" x14ac:dyDescent="0.15"/>
    <row r="54271" spans="3:3" s="8" customFormat="1" ht="21.95" customHeight="1" x14ac:dyDescent="0.15"/>
    <row r="54272" spans="3:3" s="8" customFormat="1" ht="21.95" customHeight="1" x14ac:dyDescent="0.15"/>
    <row r="54273" s="8" customFormat="1" ht="21.95" customHeight="1" x14ac:dyDescent="0.15"/>
    <row r="54274" s="8" customFormat="1" ht="21.95" customHeight="1" x14ac:dyDescent="0.15"/>
    <row r="54275" s="8" customFormat="1" ht="21.95" customHeight="1" x14ac:dyDescent="0.15"/>
    <row r="54276" s="8" customFormat="1" ht="21.95" customHeight="1" x14ac:dyDescent="0.15"/>
    <row r="54277" s="8" customFormat="1" ht="21.95" customHeight="1" x14ac:dyDescent="0.15"/>
    <row r="54278" s="8" customFormat="1" ht="21.95" customHeight="1" x14ac:dyDescent="0.15"/>
    <row r="54279" s="8" customFormat="1" ht="21.95" customHeight="1" x14ac:dyDescent="0.15"/>
    <row r="54280" s="8" customFormat="1" ht="32.1" customHeight="1" x14ac:dyDescent="0.15"/>
    <row r="54281" s="8" customFormat="1" ht="32.1" customHeight="1" x14ac:dyDescent="0.15"/>
    <row r="54282" s="8" customFormat="1" ht="32.1" customHeight="1" x14ac:dyDescent="0.15"/>
    <row r="54283" s="8" customFormat="1" ht="32.1" customHeight="1" x14ac:dyDescent="0.15"/>
    <row r="54284" s="8" customFormat="1" ht="32.1" customHeight="1" x14ac:dyDescent="0.15"/>
    <row r="54285" s="8" customFormat="1" ht="32.1" customHeight="1" x14ac:dyDescent="0.15"/>
    <row r="54286" s="9" customFormat="1" ht="32.1" customHeight="1" x14ac:dyDescent="0.15"/>
    <row r="54287" s="9" customFormat="1" ht="32.1" customHeight="1" x14ac:dyDescent="0.15"/>
    <row r="54288" s="9" customFormat="1" ht="32.1" customHeight="1" x14ac:dyDescent="0.15"/>
    <row r="54289" s="9" customFormat="1" ht="32.1" customHeight="1" x14ac:dyDescent="0.15"/>
    <row r="54290" s="9" customFormat="1" ht="21.95" customHeight="1" x14ac:dyDescent="0.15"/>
    <row r="54291" s="9" customFormat="1" ht="54" customHeight="1" x14ac:dyDescent="0.15"/>
    <row r="54292" s="9" customFormat="1" ht="21.95" customHeight="1" x14ac:dyDescent="0.15"/>
    <row r="54293" s="9" customFormat="1" ht="21.95" customHeight="1" x14ac:dyDescent="0.15"/>
    <row r="54294" s="9" customFormat="1" ht="21.95" customHeight="1" x14ac:dyDescent="0.15"/>
    <row r="54295" s="9" customFormat="1" ht="21.95" customHeight="1" x14ac:dyDescent="0.15"/>
    <row r="54296" s="9" customFormat="1" ht="21.95" customHeight="1" x14ac:dyDescent="0.15"/>
    <row r="54297" s="9" customFormat="1" ht="21.95" customHeight="1" x14ac:dyDescent="0.15"/>
    <row r="54298" s="9" customFormat="1" ht="21.95" customHeight="1" x14ac:dyDescent="0.15"/>
    <row r="54299" s="9" customFormat="1" ht="21.95" customHeight="1" x14ac:dyDescent="0.15"/>
    <row r="54300" s="9" customFormat="1" ht="21.95" customHeight="1" x14ac:dyDescent="0.15"/>
    <row r="54301" s="9" customFormat="1" ht="21.95" customHeight="1" x14ac:dyDescent="0.15"/>
    <row r="54302" s="9" customFormat="1" ht="21.95" customHeight="1" x14ac:dyDescent="0.15"/>
    <row r="54303" s="9" customFormat="1" ht="21.95" customHeight="1" x14ac:dyDescent="0.15"/>
    <row r="54304" s="9" customFormat="1" ht="21.95" customHeight="1" x14ac:dyDescent="0.15"/>
    <row r="54305" s="9" customFormat="1" ht="21.95" customHeight="1" x14ac:dyDescent="0.15"/>
    <row r="54306" s="9" customFormat="1" ht="21.95" customHeight="1" x14ac:dyDescent="0.15"/>
    <row r="54307" s="9" customFormat="1" ht="21.95" customHeight="1" x14ac:dyDescent="0.15"/>
    <row r="54308" s="9" customFormat="1" ht="21.95" customHeight="1" x14ac:dyDescent="0.15"/>
    <row r="54309" s="9" customFormat="1" ht="21.95" customHeight="1" x14ac:dyDescent="0.15"/>
    <row r="54310" s="9" customFormat="1" ht="21.95" customHeight="1" x14ac:dyDescent="0.15"/>
    <row r="54311" s="9" customFormat="1" ht="21.95" customHeight="1" x14ac:dyDescent="0.15"/>
    <row r="54312" s="9" customFormat="1" ht="21.95" customHeight="1" x14ac:dyDescent="0.15"/>
    <row r="54313" s="9" customFormat="1" ht="21.95" customHeight="1" x14ac:dyDescent="0.15"/>
    <row r="54314" s="9" customFormat="1" ht="21.95" customHeight="1" x14ac:dyDescent="0.15"/>
    <row r="54315" s="9" customFormat="1" ht="21.95" customHeight="1" x14ac:dyDescent="0.15"/>
    <row r="54316" s="9" customFormat="1" ht="21.95" customHeight="1" x14ac:dyDescent="0.15"/>
    <row r="54317" s="9" customFormat="1" ht="21.95" customHeight="1" x14ac:dyDescent="0.15"/>
    <row r="54318" s="9" customFormat="1" ht="21.95" customHeight="1" x14ac:dyDescent="0.15"/>
    <row r="54319" s="9" customFormat="1" ht="21.95" customHeight="1" x14ac:dyDescent="0.15"/>
    <row r="54320" s="9" customFormat="1" ht="21.95" customHeight="1" x14ac:dyDescent="0.15"/>
    <row r="54321" s="9" customFormat="1" ht="21.95" customHeight="1" x14ac:dyDescent="0.15"/>
    <row r="54322" s="9" customFormat="1" ht="21.95" customHeight="1" x14ac:dyDescent="0.15"/>
    <row r="54323" s="9" customFormat="1" ht="21.95" customHeight="1" x14ac:dyDescent="0.15"/>
    <row r="54324" s="9" customFormat="1" ht="21.95" customHeight="1" x14ac:dyDescent="0.15"/>
    <row r="54325" s="9" customFormat="1" ht="21.95" customHeight="1" x14ac:dyDescent="0.15"/>
    <row r="54326" s="9" customFormat="1" ht="21.95" customHeight="1" x14ac:dyDescent="0.15"/>
    <row r="54327" s="9" customFormat="1" ht="21.95" customHeight="1" x14ac:dyDescent="0.15"/>
    <row r="54328" s="9" customFormat="1" ht="21.95" customHeight="1" x14ac:dyDescent="0.15"/>
    <row r="54329" s="9" customFormat="1" ht="21.95" customHeight="1" x14ac:dyDescent="0.15"/>
    <row r="54330" s="9" customFormat="1" ht="21.95" customHeight="1" x14ac:dyDescent="0.15"/>
    <row r="54331" s="9" customFormat="1" ht="21.95" customHeight="1" x14ac:dyDescent="0.15"/>
    <row r="54332" s="9" customFormat="1" ht="21.95" customHeight="1" x14ac:dyDescent="0.15"/>
    <row r="54333" s="9" customFormat="1" ht="21.95" customHeight="1" x14ac:dyDescent="0.15"/>
    <row r="54334" s="9" customFormat="1" ht="21.95" customHeight="1" x14ac:dyDescent="0.15"/>
    <row r="54335" s="9" customFormat="1" ht="21.95" customHeight="1" x14ac:dyDescent="0.15"/>
    <row r="54336" s="9" customFormat="1" ht="21.95" customHeight="1" x14ac:dyDescent="0.15"/>
    <row r="54337" s="9" customFormat="1" ht="21.95" customHeight="1" x14ac:dyDescent="0.15"/>
    <row r="54338" s="9" customFormat="1" ht="21.95" customHeight="1" x14ac:dyDescent="0.15"/>
    <row r="54339" s="9" customFormat="1" ht="21.95" customHeight="1" x14ac:dyDescent="0.15"/>
    <row r="54340" s="9" customFormat="1" ht="21.95" customHeight="1" x14ac:dyDescent="0.15"/>
    <row r="54341" s="9" customFormat="1" ht="21.95" customHeight="1" x14ac:dyDescent="0.15"/>
    <row r="54342" s="9" customFormat="1" ht="35.1" customHeight="1" x14ac:dyDescent="0.15"/>
    <row r="54343" s="9" customFormat="1" ht="21.95" customHeight="1" x14ac:dyDescent="0.15"/>
    <row r="54344" s="9" customFormat="1" ht="21.95" customHeight="1" x14ac:dyDescent="0.15"/>
    <row r="54345" s="9" customFormat="1" ht="21.95" customHeight="1" x14ac:dyDescent="0.15"/>
    <row r="54346" s="9" customFormat="1" ht="21.95" customHeight="1" x14ac:dyDescent="0.15"/>
    <row r="54347" s="9" customFormat="1" ht="21.95" customHeight="1" x14ac:dyDescent="0.15"/>
    <row r="54348" s="9" customFormat="1" ht="21.95" customHeight="1" x14ac:dyDescent="0.15"/>
    <row r="54349" s="9" customFormat="1" ht="21.95" customHeight="1" x14ac:dyDescent="0.15"/>
    <row r="54350" s="9" customFormat="1" ht="21.95" customHeight="1" x14ac:dyDescent="0.15"/>
    <row r="54351" s="9" customFormat="1" ht="21.95" customHeight="1" x14ac:dyDescent="0.15"/>
    <row r="54352" s="9" customFormat="1" ht="21.95" customHeight="1" x14ac:dyDescent="0.15"/>
    <row r="54353" spans="3:3" s="9" customFormat="1" ht="21.95" customHeight="1" x14ac:dyDescent="0.15"/>
    <row r="54354" spans="3:3" s="9" customFormat="1" ht="21.95" customHeight="1" x14ac:dyDescent="0.15"/>
    <row r="54355" spans="3:3" s="9" customFormat="1" ht="21.95" customHeight="1" x14ac:dyDescent="0.15"/>
    <row r="54356" spans="3:3" s="9" customFormat="1" ht="21.95" customHeight="1" x14ac:dyDescent="0.15"/>
    <row r="54357" spans="3:3" s="9" customFormat="1" ht="21.95" customHeight="1" x14ac:dyDescent="0.15"/>
    <row r="54358" spans="3:3" s="9" customFormat="1" ht="21.95" customHeight="1" x14ac:dyDescent="0.15"/>
    <row r="54359" spans="3:3" s="9" customFormat="1" ht="21.95" customHeight="1" x14ac:dyDescent="0.15"/>
    <row r="54360" spans="3:3" s="9" customFormat="1" ht="21.95" customHeight="1" x14ac:dyDescent="0.15"/>
    <row r="54361" spans="3:3" s="9" customFormat="1" ht="21.95" customHeight="1" x14ac:dyDescent="0.15"/>
    <row r="54362" spans="3:3" s="9" customFormat="1" ht="21.95" customHeight="1" x14ac:dyDescent="0.15"/>
    <row r="54363" spans="3:3" s="9" customFormat="1" ht="21.95" customHeight="1" x14ac:dyDescent="0.15"/>
    <row r="54364" spans="3:3" s="9" customFormat="1" ht="21.95" customHeight="1" x14ac:dyDescent="0.15"/>
    <row r="54365" spans="3:3" s="9" customFormat="1" ht="21.95" customHeight="1" x14ac:dyDescent="0.15"/>
    <row r="54366" spans="3:3" s="8" customFormat="1" ht="21.95" customHeight="1" x14ac:dyDescent="0.15"/>
    <row r="54367" spans="3:3" s="8" customFormat="1" ht="21.95" customHeight="1" x14ac:dyDescent="0.15"/>
    <row r="54368" spans="3:3" s="8" customFormat="1" ht="21.95" customHeight="1" x14ac:dyDescent="0.15">
      <c r="C54368" s="101"/>
    </row>
    <row r="54369" spans="3:3" s="8" customFormat="1" ht="21.95" customHeight="1" x14ac:dyDescent="0.15">
      <c r="C54369" s="101"/>
    </row>
    <row r="54370" spans="3:3" s="8" customFormat="1" ht="21.95" customHeight="1" x14ac:dyDescent="0.15"/>
    <row r="54371" spans="3:3" s="8" customFormat="1" ht="21.95" customHeight="1" x14ac:dyDescent="0.15"/>
    <row r="54372" spans="3:3" s="8" customFormat="1" ht="21.95" customHeight="1" x14ac:dyDescent="0.15"/>
    <row r="54373" spans="3:3" s="8" customFormat="1" ht="21.95" customHeight="1" x14ac:dyDescent="0.15"/>
    <row r="54374" spans="3:3" s="8" customFormat="1" ht="21.95" customHeight="1" x14ac:dyDescent="0.15"/>
    <row r="54375" spans="3:3" s="8" customFormat="1" ht="21.95" customHeight="1" x14ac:dyDescent="0.15"/>
    <row r="54376" spans="3:3" s="8" customFormat="1" ht="21.95" customHeight="1" x14ac:dyDescent="0.15"/>
    <row r="54377" spans="3:3" s="9" customFormat="1" ht="21.95" customHeight="1" x14ac:dyDescent="0.15"/>
    <row r="54378" spans="3:3" s="9" customFormat="1" ht="21.95" customHeight="1" x14ac:dyDescent="0.15"/>
    <row r="54379" spans="3:3" s="9" customFormat="1" ht="21.95" customHeight="1" x14ac:dyDescent="0.15"/>
    <row r="54380" spans="3:3" s="9" customFormat="1" ht="21.95" customHeight="1" x14ac:dyDescent="0.15"/>
    <row r="54381" spans="3:3" s="8" customFormat="1" ht="21.95" customHeight="1" x14ac:dyDescent="0.15"/>
    <row r="54382" spans="3:3" s="8" customFormat="1" ht="21.95" customHeight="1" x14ac:dyDescent="0.15"/>
    <row r="54383" spans="3:3" s="8" customFormat="1" ht="21.95" customHeight="1" x14ac:dyDescent="0.15"/>
    <row r="54384" spans="3:3" s="8" customFormat="1" ht="21.95" customHeight="1" x14ac:dyDescent="0.15"/>
    <row r="54385" s="8" customFormat="1" ht="21.95" customHeight="1" x14ac:dyDescent="0.15"/>
    <row r="54386" s="8" customFormat="1" ht="21.95" customHeight="1" x14ac:dyDescent="0.15"/>
    <row r="54387" s="8" customFormat="1" ht="21.95" customHeight="1" x14ac:dyDescent="0.15"/>
    <row r="54388" s="8" customFormat="1" ht="21.95" customHeight="1" x14ac:dyDescent="0.15"/>
    <row r="54389" s="8" customFormat="1" ht="21.95" customHeight="1" x14ac:dyDescent="0.15"/>
    <row r="54390" s="8" customFormat="1" ht="21.95" customHeight="1" x14ac:dyDescent="0.15"/>
    <row r="54391" s="8" customFormat="1" ht="21.95" customHeight="1" x14ac:dyDescent="0.15"/>
    <row r="54392" s="8" customFormat="1" ht="32.1" customHeight="1" x14ac:dyDescent="0.15"/>
    <row r="54393" s="8" customFormat="1" ht="32.1" customHeight="1" x14ac:dyDescent="0.15"/>
    <row r="54394" s="8" customFormat="1" ht="32.1" customHeight="1" x14ac:dyDescent="0.15"/>
    <row r="54395" s="8" customFormat="1" ht="32.1" customHeight="1" x14ac:dyDescent="0.15"/>
    <row r="54396" s="8" customFormat="1" ht="32.1" customHeight="1" x14ac:dyDescent="0.15"/>
    <row r="54397" s="8" customFormat="1" ht="32.1" customHeight="1" x14ac:dyDescent="0.15"/>
    <row r="54398" s="9" customFormat="1" ht="32.1" customHeight="1" x14ac:dyDescent="0.15"/>
    <row r="54399" s="9" customFormat="1" ht="32.1" customHeight="1" x14ac:dyDescent="0.15"/>
    <row r="54400" s="9" customFormat="1" ht="32.1" customHeight="1" x14ac:dyDescent="0.15"/>
    <row r="54401" s="9" customFormat="1" ht="32.1" customHeight="1" x14ac:dyDescent="0.15"/>
    <row r="54402" s="9" customFormat="1" ht="21.95" customHeight="1" x14ac:dyDescent="0.15"/>
    <row r="54403" s="9" customFormat="1" ht="54" customHeight="1" x14ac:dyDescent="0.15"/>
    <row r="54404" s="9" customFormat="1" ht="21.95" customHeight="1" x14ac:dyDescent="0.15"/>
    <row r="54405" s="9" customFormat="1" ht="21.95" customHeight="1" x14ac:dyDescent="0.15"/>
    <row r="54406" s="9" customFormat="1" ht="21.95" customHeight="1" x14ac:dyDescent="0.15"/>
    <row r="54407" s="9" customFormat="1" ht="21.95" customHeight="1" x14ac:dyDescent="0.15"/>
    <row r="54408" s="9" customFormat="1" ht="21.95" customHeight="1" x14ac:dyDescent="0.15"/>
    <row r="54409" s="9" customFormat="1" ht="21.95" customHeight="1" x14ac:dyDescent="0.15"/>
    <row r="54410" s="9" customFormat="1" ht="21.95" customHeight="1" x14ac:dyDescent="0.15"/>
    <row r="54411" s="9" customFormat="1" ht="21.95" customHeight="1" x14ac:dyDescent="0.15"/>
    <row r="54412" s="9" customFormat="1" ht="21.95" customHeight="1" x14ac:dyDescent="0.15"/>
    <row r="54413" s="9" customFormat="1" ht="21.95" customHeight="1" x14ac:dyDescent="0.15"/>
    <row r="54414" s="9" customFormat="1" ht="21.95" customHeight="1" x14ac:dyDescent="0.15"/>
    <row r="54415" s="9" customFormat="1" ht="21.95" customHeight="1" x14ac:dyDescent="0.15"/>
    <row r="54416" s="9" customFormat="1" ht="21.95" customHeight="1" x14ac:dyDescent="0.15"/>
    <row r="54417" s="9" customFormat="1" ht="21.95" customHeight="1" x14ac:dyDescent="0.15"/>
    <row r="54418" s="9" customFormat="1" ht="21.95" customHeight="1" x14ac:dyDescent="0.15"/>
    <row r="54419" s="9" customFormat="1" ht="21.95" customHeight="1" x14ac:dyDescent="0.15"/>
    <row r="54420" s="9" customFormat="1" ht="21.95" customHeight="1" x14ac:dyDescent="0.15"/>
    <row r="54421" s="9" customFormat="1" ht="21.95" customHeight="1" x14ac:dyDescent="0.15"/>
    <row r="54422" s="9" customFormat="1" ht="21.95" customHeight="1" x14ac:dyDescent="0.15"/>
    <row r="54423" s="9" customFormat="1" ht="21.95" customHeight="1" x14ac:dyDescent="0.15"/>
    <row r="54424" s="9" customFormat="1" ht="21.95" customHeight="1" x14ac:dyDescent="0.15"/>
    <row r="54425" s="9" customFormat="1" ht="21.95" customHeight="1" x14ac:dyDescent="0.15"/>
    <row r="54426" s="9" customFormat="1" ht="21.95" customHeight="1" x14ac:dyDescent="0.15"/>
    <row r="54427" s="9" customFormat="1" ht="21.95" customHeight="1" x14ac:dyDescent="0.15"/>
    <row r="54428" s="9" customFormat="1" ht="21.95" customHeight="1" x14ac:dyDescent="0.15"/>
    <row r="54429" s="9" customFormat="1" ht="21.95" customHeight="1" x14ac:dyDescent="0.15"/>
    <row r="54430" s="9" customFormat="1" ht="21.95" customHeight="1" x14ac:dyDescent="0.15"/>
    <row r="54431" s="9" customFormat="1" ht="21.95" customHeight="1" x14ac:dyDescent="0.15"/>
    <row r="54432" s="9" customFormat="1" ht="21.95" customHeight="1" x14ac:dyDescent="0.15"/>
    <row r="54433" s="9" customFormat="1" ht="21.95" customHeight="1" x14ac:dyDescent="0.15"/>
    <row r="54434" s="9" customFormat="1" ht="21.95" customHeight="1" x14ac:dyDescent="0.15"/>
    <row r="54435" s="9" customFormat="1" ht="21.95" customHeight="1" x14ac:dyDescent="0.15"/>
    <row r="54436" s="9" customFormat="1" ht="21.95" customHeight="1" x14ac:dyDescent="0.15"/>
    <row r="54437" s="9" customFormat="1" ht="21.95" customHeight="1" x14ac:dyDescent="0.15"/>
    <row r="54438" s="9" customFormat="1" ht="21.95" customHeight="1" x14ac:dyDescent="0.15"/>
    <row r="54439" s="9" customFormat="1" ht="21.95" customHeight="1" x14ac:dyDescent="0.15"/>
    <row r="54440" s="9" customFormat="1" ht="21.95" customHeight="1" x14ac:dyDescent="0.15"/>
    <row r="54441" s="9" customFormat="1" ht="21.95" customHeight="1" x14ac:dyDescent="0.15"/>
    <row r="54442" s="9" customFormat="1" ht="21.95" customHeight="1" x14ac:dyDescent="0.15"/>
    <row r="54443" s="9" customFormat="1" ht="21.95" customHeight="1" x14ac:dyDescent="0.15"/>
    <row r="54444" s="9" customFormat="1" ht="21.95" customHeight="1" x14ac:dyDescent="0.15"/>
    <row r="54445" s="9" customFormat="1" ht="21.95" customHeight="1" x14ac:dyDescent="0.15"/>
    <row r="54446" s="9" customFormat="1" ht="21.95" customHeight="1" x14ac:dyDescent="0.15"/>
    <row r="54447" s="9" customFormat="1" ht="21.95" customHeight="1" x14ac:dyDescent="0.15"/>
    <row r="54448" s="9" customFormat="1" ht="21.95" customHeight="1" x14ac:dyDescent="0.15"/>
    <row r="54449" s="9" customFormat="1" ht="21.95" customHeight="1" x14ac:dyDescent="0.15"/>
    <row r="54450" s="9" customFormat="1" ht="21.95" customHeight="1" x14ac:dyDescent="0.15"/>
    <row r="54451" s="9" customFormat="1" ht="21.95" customHeight="1" x14ac:dyDescent="0.15"/>
    <row r="54452" s="9" customFormat="1" ht="21.95" customHeight="1" x14ac:dyDescent="0.15"/>
    <row r="54453" s="9" customFormat="1" ht="21.95" customHeight="1" x14ac:dyDescent="0.15"/>
    <row r="54454" s="9" customFormat="1" ht="35.1" customHeight="1" x14ac:dyDescent="0.15"/>
    <row r="54455" s="9" customFormat="1" ht="21.95" customHeight="1" x14ac:dyDescent="0.15"/>
    <row r="54456" s="9" customFormat="1" ht="21.95" customHeight="1" x14ac:dyDescent="0.15"/>
    <row r="54457" s="9" customFormat="1" ht="21.95" customHeight="1" x14ac:dyDescent="0.15"/>
    <row r="54458" s="9" customFormat="1" ht="21.95" customHeight="1" x14ac:dyDescent="0.15"/>
    <row r="54459" s="9" customFormat="1" ht="21.95" customHeight="1" x14ac:dyDescent="0.15"/>
    <row r="54460" s="9" customFormat="1" ht="21.95" customHeight="1" x14ac:dyDescent="0.15"/>
    <row r="54461" s="9" customFormat="1" ht="21.95" customHeight="1" x14ac:dyDescent="0.15"/>
    <row r="54462" s="9" customFormat="1" ht="21.95" customHeight="1" x14ac:dyDescent="0.15"/>
    <row r="54463" s="9" customFormat="1" ht="21.95" customHeight="1" x14ac:dyDescent="0.15"/>
    <row r="54464" s="9" customFormat="1" ht="21.95" customHeight="1" x14ac:dyDescent="0.15"/>
    <row r="54465" spans="3:3" s="9" customFormat="1" ht="21.95" customHeight="1" x14ac:dyDescent="0.15"/>
    <row r="54466" spans="3:3" s="9" customFormat="1" ht="21.95" customHeight="1" x14ac:dyDescent="0.15"/>
    <row r="54467" spans="3:3" s="9" customFormat="1" ht="21.95" customHeight="1" x14ac:dyDescent="0.15"/>
    <row r="54468" spans="3:3" s="9" customFormat="1" ht="21.95" customHeight="1" x14ac:dyDescent="0.15"/>
    <row r="54469" spans="3:3" s="9" customFormat="1" ht="21.95" customHeight="1" x14ac:dyDescent="0.15"/>
    <row r="54470" spans="3:3" s="9" customFormat="1" ht="21.95" customHeight="1" x14ac:dyDescent="0.15"/>
    <row r="54471" spans="3:3" s="9" customFormat="1" ht="21.95" customHeight="1" x14ac:dyDescent="0.15"/>
    <row r="54472" spans="3:3" s="9" customFormat="1" ht="21.95" customHeight="1" x14ac:dyDescent="0.15"/>
    <row r="54473" spans="3:3" s="9" customFormat="1" ht="21.95" customHeight="1" x14ac:dyDescent="0.15"/>
    <row r="54474" spans="3:3" s="9" customFormat="1" ht="21.95" customHeight="1" x14ac:dyDescent="0.15"/>
    <row r="54475" spans="3:3" s="9" customFormat="1" ht="21.95" customHeight="1" x14ac:dyDescent="0.15"/>
    <row r="54476" spans="3:3" s="9" customFormat="1" ht="21.95" customHeight="1" x14ac:dyDescent="0.15"/>
    <row r="54477" spans="3:3" s="9" customFormat="1" ht="21.95" customHeight="1" x14ac:dyDescent="0.15"/>
    <row r="54478" spans="3:3" s="8" customFormat="1" ht="21.95" customHeight="1" x14ac:dyDescent="0.15"/>
    <row r="54479" spans="3:3" s="8" customFormat="1" ht="21.95" customHeight="1" x14ac:dyDescent="0.15"/>
    <row r="54480" spans="3:3" s="8" customFormat="1" ht="21.95" customHeight="1" x14ac:dyDescent="0.15">
      <c r="C54480" s="101"/>
    </row>
    <row r="54481" spans="3:3" s="8" customFormat="1" ht="21.95" customHeight="1" x14ac:dyDescent="0.15">
      <c r="C54481" s="101"/>
    </row>
    <row r="54482" spans="3:3" s="8" customFormat="1" ht="21.95" customHeight="1" x14ac:dyDescent="0.15"/>
    <row r="54483" spans="3:3" s="8" customFormat="1" ht="21.95" customHeight="1" x14ac:dyDescent="0.15"/>
    <row r="54484" spans="3:3" s="8" customFormat="1" ht="21.95" customHeight="1" x14ac:dyDescent="0.15"/>
    <row r="54485" spans="3:3" s="8" customFormat="1" ht="21.95" customHeight="1" x14ac:dyDescent="0.15"/>
    <row r="54486" spans="3:3" s="8" customFormat="1" ht="21.95" customHeight="1" x14ac:dyDescent="0.15"/>
    <row r="54487" spans="3:3" s="8" customFormat="1" ht="21.95" customHeight="1" x14ac:dyDescent="0.15"/>
    <row r="54488" spans="3:3" s="8" customFormat="1" ht="21.95" customHeight="1" x14ac:dyDescent="0.15"/>
    <row r="54489" spans="3:3" s="9" customFormat="1" ht="21.95" customHeight="1" x14ac:dyDescent="0.15"/>
    <row r="54490" spans="3:3" s="9" customFormat="1" ht="21.95" customHeight="1" x14ac:dyDescent="0.15"/>
    <row r="54491" spans="3:3" s="9" customFormat="1" ht="21.95" customHeight="1" x14ac:dyDescent="0.15"/>
    <row r="54492" spans="3:3" s="9" customFormat="1" ht="21.95" customHeight="1" x14ac:dyDescent="0.15"/>
    <row r="54493" spans="3:3" s="8" customFormat="1" ht="21.95" customHeight="1" x14ac:dyDescent="0.15"/>
    <row r="54494" spans="3:3" s="8" customFormat="1" ht="21.95" customHeight="1" x14ac:dyDescent="0.15"/>
    <row r="54495" spans="3:3" s="8" customFormat="1" ht="21.95" customHeight="1" x14ac:dyDescent="0.15"/>
    <row r="54496" spans="3:3" s="8" customFormat="1" ht="21.95" customHeight="1" x14ac:dyDescent="0.15"/>
    <row r="54497" s="8" customFormat="1" ht="21.95" customHeight="1" x14ac:dyDescent="0.15"/>
    <row r="54498" s="8" customFormat="1" ht="21.95" customHeight="1" x14ac:dyDescent="0.15"/>
    <row r="54499" s="8" customFormat="1" ht="21.95" customHeight="1" x14ac:dyDescent="0.15"/>
    <row r="54500" s="8" customFormat="1" ht="21.95" customHeight="1" x14ac:dyDescent="0.15"/>
    <row r="54501" s="8" customFormat="1" ht="21.95" customHeight="1" x14ac:dyDescent="0.15"/>
    <row r="54502" s="8" customFormat="1" ht="21.95" customHeight="1" x14ac:dyDescent="0.15"/>
    <row r="54503" s="8" customFormat="1" ht="21.95" customHeight="1" x14ac:dyDescent="0.15"/>
    <row r="54504" s="8" customFormat="1" ht="32.1" customHeight="1" x14ac:dyDescent="0.15"/>
    <row r="54505" s="8" customFormat="1" ht="32.1" customHeight="1" x14ac:dyDescent="0.15"/>
    <row r="54506" s="8" customFormat="1" ht="32.1" customHeight="1" x14ac:dyDescent="0.15"/>
    <row r="54507" s="8" customFormat="1" ht="32.1" customHeight="1" x14ac:dyDescent="0.15"/>
    <row r="54508" s="8" customFormat="1" ht="32.1" customHeight="1" x14ac:dyDescent="0.15"/>
    <row r="54509" s="8" customFormat="1" ht="32.1" customHeight="1" x14ac:dyDescent="0.15"/>
    <row r="54510" s="9" customFormat="1" ht="32.1" customHeight="1" x14ac:dyDescent="0.15"/>
    <row r="54511" s="9" customFormat="1" ht="32.1" customHeight="1" x14ac:dyDescent="0.15"/>
    <row r="54512" s="9" customFormat="1" ht="32.1" customHeight="1" x14ac:dyDescent="0.15"/>
    <row r="54513" s="9" customFormat="1" ht="32.1" customHeight="1" x14ac:dyDescent="0.15"/>
    <row r="54514" s="9" customFormat="1" ht="21.95" customHeight="1" x14ac:dyDescent="0.15"/>
    <row r="54515" s="9" customFormat="1" ht="54" customHeight="1" x14ac:dyDescent="0.15"/>
    <row r="54516" s="9" customFormat="1" ht="21.95" customHeight="1" x14ac:dyDescent="0.15"/>
    <row r="54517" s="9" customFormat="1" ht="21.95" customHeight="1" x14ac:dyDescent="0.15"/>
    <row r="54518" s="9" customFormat="1" ht="21.95" customHeight="1" x14ac:dyDescent="0.15"/>
    <row r="54519" s="9" customFormat="1" ht="21.95" customHeight="1" x14ac:dyDescent="0.15"/>
    <row r="54520" s="9" customFormat="1" ht="21.95" customHeight="1" x14ac:dyDescent="0.15"/>
    <row r="54521" s="9" customFormat="1" ht="21.95" customHeight="1" x14ac:dyDescent="0.15"/>
    <row r="54522" s="9" customFormat="1" ht="21.95" customHeight="1" x14ac:dyDescent="0.15"/>
    <row r="54523" s="9" customFormat="1" ht="21.95" customHeight="1" x14ac:dyDescent="0.15"/>
    <row r="54524" s="9" customFormat="1" ht="21.95" customHeight="1" x14ac:dyDescent="0.15"/>
    <row r="54525" s="9" customFormat="1" ht="21.95" customHeight="1" x14ac:dyDescent="0.15"/>
    <row r="54526" s="9" customFormat="1" ht="21.95" customHeight="1" x14ac:dyDescent="0.15"/>
    <row r="54527" s="9" customFormat="1" ht="21.95" customHeight="1" x14ac:dyDescent="0.15"/>
    <row r="54528" s="9" customFormat="1" ht="21.95" customHeight="1" x14ac:dyDescent="0.15"/>
    <row r="54529" s="9" customFormat="1" ht="21.95" customHeight="1" x14ac:dyDescent="0.15"/>
    <row r="54530" s="9" customFormat="1" ht="21.95" customHeight="1" x14ac:dyDescent="0.15"/>
    <row r="54531" s="9" customFormat="1" ht="21.95" customHeight="1" x14ac:dyDescent="0.15"/>
    <row r="54532" s="9" customFormat="1" ht="21.95" customHeight="1" x14ac:dyDescent="0.15"/>
    <row r="54533" s="9" customFormat="1" ht="21.95" customHeight="1" x14ac:dyDescent="0.15"/>
    <row r="54534" s="9" customFormat="1" ht="21.95" customHeight="1" x14ac:dyDescent="0.15"/>
    <row r="54535" s="9" customFormat="1" ht="21.95" customHeight="1" x14ac:dyDescent="0.15"/>
    <row r="54536" s="9" customFormat="1" ht="21.95" customHeight="1" x14ac:dyDescent="0.15"/>
    <row r="54537" s="9" customFormat="1" ht="21.95" customHeight="1" x14ac:dyDescent="0.15"/>
    <row r="54538" s="9" customFormat="1" ht="21.95" customHeight="1" x14ac:dyDescent="0.15"/>
    <row r="54539" s="9" customFormat="1" ht="21.95" customHeight="1" x14ac:dyDescent="0.15"/>
    <row r="54540" s="9" customFormat="1" ht="21.95" customHeight="1" x14ac:dyDescent="0.15"/>
    <row r="54541" s="9" customFormat="1" ht="21.95" customHeight="1" x14ac:dyDescent="0.15"/>
    <row r="54542" s="9" customFormat="1" ht="21.95" customHeight="1" x14ac:dyDescent="0.15"/>
    <row r="54543" s="9" customFormat="1" ht="21.95" customHeight="1" x14ac:dyDescent="0.15"/>
    <row r="54544" s="9" customFormat="1" ht="21.95" customHeight="1" x14ac:dyDescent="0.15"/>
    <row r="54545" s="9" customFormat="1" ht="21.95" customHeight="1" x14ac:dyDescent="0.15"/>
    <row r="54546" s="9" customFormat="1" ht="21.95" customHeight="1" x14ac:dyDescent="0.15"/>
    <row r="54547" s="9" customFormat="1" ht="21.95" customHeight="1" x14ac:dyDescent="0.15"/>
    <row r="54548" s="9" customFormat="1" ht="21.95" customHeight="1" x14ac:dyDescent="0.15"/>
    <row r="54549" s="9" customFormat="1" ht="21.95" customHeight="1" x14ac:dyDescent="0.15"/>
    <row r="54550" s="9" customFormat="1" ht="21.95" customHeight="1" x14ac:dyDescent="0.15"/>
    <row r="54551" s="9" customFormat="1" ht="21.95" customHeight="1" x14ac:dyDescent="0.15"/>
    <row r="54552" s="9" customFormat="1" ht="21.95" customHeight="1" x14ac:dyDescent="0.15"/>
    <row r="54553" s="9" customFormat="1" ht="21.95" customHeight="1" x14ac:dyDescent="0.15"/>
    <row r="54554" s="9" customFormat="1" ht="21.95" customHeight="1" x14ac:dyDescent="0.15"/>
    <row r="54555" s="9" customFormat="1" ht="21.95" customHeight="1" x14ac:dyDescent="0.15"/>
    <row r="54556" s="9" customFormat="1" ht="21.95" customHeight="1" x14ac:dyDescent="0.15"/>
    <row r="54557" s="9" customFormat="1" ht="21.95" customHeight="1" x14ac:dyDescent="0.15"/>
    <row r="54558" s="9" customFormat="1" ht="21.95" customHeight="1" x14ac:dyDescent="0.15"/>
    <row r="54559" s="9" customFormat="1" ht="21.95" customHeight="1" x14ac:dyDescent="0.15"/>
    <row r="54560" s="9" customFormat="1" ht="21.95" customHeight="1" x14ac:dyDescent="0.15"/>
    <row r="54561" s="9" customFormat="1" ht="21.95" customHeight="1" x14ac:dyDescent="0.15"/>
    <row r="54562" s="9" customFormat="1" ht="21.95" customHeight="1" x14ac:dyDescent="0.15"/>
    <row r="54563" s="9" customFormat="1" ht="21.95" customHeight="1" x14ac:dyDescent="0.15"/>
    <row r="54564" s="9" customFormat="1" ht="21.95" customHeight="1" x14ac:dyDescent="0.15"/>
    <row r="54565" s="9" customFormat="1" ht="21.95" customHeight="1" x14ac:dyDescent="0.15"/>
    <row r="54566" s="9" customFormat="1" ht="35.1" customHeight="1" x14ac:dyDescent="0.15"/>
    <row r="54567" s="9" customFormat="1" ht="21.95" customHeight="1" x14ac:dyDescent="0.15"/>
    <row r="54568" s="9" customFormat="1" ht="21.95" customHeight="1" x14ac:dyDescent="0.15"/>
    <row r="54569" s="9" customFormat="1" ht="21.95" customHeight="1" x14ac:dyDescent="0.15"/>
    <row r="54570" s="9" customFormat="1" ht="21.95" customHeight="1" x14ac:dyDescent="0.15"/>
    <row r="54571" s="9" customFormat="1" ht="21.95" customHeight="1" x14ac:dyDescent="0.15"/>
    <row r="54572" s="9" customFormat="1" ht="21.95" customHeight="1" x14ac:dyDescent="0.15"/>
    <row r="54573" s="9" customFormat="1" ht="21.95" customHeight="1" x14ac:dyDescent="0.15"/>
    <row r="54574" s="9" customFormat="1" ht="21.95" customHeight="1" x14ac:dyDescent="0.15"/>
    <row r="54575" s="9" customFormat="1" ht="21.95" customHeight="1" x14ac:dyDescent="0.15"/>
    <row r="54576" s="9" customFormat="1" ht="21.95" customHeight="1" x14ac:dyDescent="0.15"/>
    <row r="54577" spans="3:3" s="9" customFormat="1" ht="21.95" customHeight="1" x14ac:dyDescent="0.15"/>
    <row r="54578" spans="3:3" s="9" customFormat="1" ht="21.95" customHeight="1" x14ac:dyDescent="0.15"/>
    <row r="54579" spans="3:3" s="9" customFormat="1" ht="21.95" customHeight="1" x14ac:dyDescent="0.15"/>
    <row r="54580" spans="3:3" s="9" customFormat="1" ht="21.95" customHeight="1" x14ac:dyDescent="0.15"/>
    <row r="54581" spans="3:3" s="9" customFormat="1" ht="21.95" customHeight="1" x14ac:dyDescent="0.15"/>
    <row r="54582" spans="3:3" s="9" customFormat="1" ht="21.95" customHeight="1" x14ac:dyDescent="0.15"/>
    <row r="54583" spans="3:3" s="9" customFormat="1" ht="21.95" customHeight="1" x14ac:dyDescent="0.15"/>
    <row r="54584" spans="3:3" s="9" customFormat="1" ht="21.95" customHeight="1" x14ac:dyDescent="0.15"/>
    <row r="54585" spans="3:3" s="9" customFormat="1" ht="21.95" customHeight="1" x14ac:dyDescent="0.15"/>
    <row r="54586" spans="3:3" s="9" customFormat="1" ht="21.95" customHeight="1" x14ac:dyDescent="0.15"/>
    <row r="54587" spans="3:3" s="9" customFormat="1" ht="21.95" customHeight="1" x14ac:dyDescent="0.15"/>
    <row r="54588" spans="3:3" s="9" customFormat="1" ht="21.95" customHeight="1" x14ac:dyDescent="0.15"/>
    <row r="54589" spans="3:3" s="9" customFormat="1" ht="21.95" customHeight="1" x14ac:dyDescent="0.15"/>
    <row r="54590" spans="3:3" s="8" customFormat="1" ht="21.95" customHeight="1" x14ac:dyDescent="0.15"/>
    <row r="54591" spans="3:3" s="8" customFormat="1" ht="21.95" customHeight="1" x14ac:dyDescent="0.15"/>
    <row r="54592" spans="3:3" s="8" customFormat="1" ht="21.95" customHeight="1" x14ac:dyDescent="0.15">
      <c r="C54592" s="101"/>
    </row>
    <row r="54593" spans="3:3" s="8" customFormat="1" ht="21.95" customHeight="1" x14ac:dyDescent="0.15">
      <c r="C54593" s="101"/>
    </row>
    <row r="54594" spans="3:3" s="8" customFormat="1" ht="21.95" customHeight="1" x14ac:dyDescent="0.15"/>
    <row r="54595" spans="3:3" s="8" customFormat="1" ht="21.95" customHeight="1" x14ac:dyDescent="0.15"/>
    <row r="54596" spans="3:3" s="8" customFormat="1" ht="21.95" customHeight="1" x14ac:dyDescent="0.15"/>
    <row r="54597" spans="3:3" s="8" customFormat="1" ht="21.95" customHeight="1" x14ac:dyDescent="0.15"/>
    <row r="54598" spans="3:3" s="8" customFormat="1" ht="21.95" customHeight="1" x14ac:dyDescent="0.15"/>
    <row r="54599" spans="3:3" s="8" customFormat="1" ht="21.95" customHeight="1" x14ac:dyDescent="0.15"/>
    <row r="54600" spans="3:3" s="8" customFormat="1" ht="21.95" customHeight="1" x14ac:dyDescent="0.15"/>
    <row r="54601" spans="3:3" s="9" customFormat="1" ht="21.95" customHeight="1" x14ac:dyDescent="0.15"/>
    <row r="54602" spans="3:3" s="9" customFormat="1" ht="21.95" customHeight="1" x14ac:dyDescent="0.15"/>
    <row r="54603" spans="3:3" s="9" customFormat="1" ht="21.95" customHeight="1" x14ac:dyDescent="0.15"/>
    <row r="54604" spans="3:3" s="9" customFormat="1" ht="21.95" customHeight="1" x14ac:dyDescent="0.15"/>
    <row r="54605" spans="3:3" s="8" customFormat="1" ht="21.95" customHeight="1" x14ac:dyDescent="0.15"/>
    <row r="54606" spans="3:3" s="8" customFormat="1" ht="21.95" customHeight="1" x14ac:dyDescent="0.15"/>
    <row r="54607" spans="3:3" s="8" customFormat="1" ht="21.95" customHeight="1" x14ac:dyDescent="0.15"/>
    <row r="54608" spans="3:3" s="8" customFormat="1" ht="21.95" customHeight="1" x14ac:dyDescent="0.15"/>
    <row r="54609" s="8" customFormat="1" ht="21.95" customHeight="1" x14ac:dyDescent="0.15"/>
    <row r="54610" s="8" customFormat="1" ht="21.95" customHeight="1" x14ac:dyDescent="0.15"/>
    <row r="54611" s="8" customFormat="1" ht="21.95" customHeight="1" x14ac:dyDescent="0.15"/>
    <row r="54612" s="8" customFormat="1" ht="21.95" customHeight="1" x14ac:dyDescent="0.15"/>
    <row r="54613" s="8" customFormat="1" ht="21.95" customHeight="1" x14ac:dyDescent="0.15"/>
    <row r="54614" s="8" customFormat="1" ht="21.95" customHeight="1" x14ac:dyDescent="0.15"/>
    <row r="54615" s="8" customFormat="1" ht="21.95" customHeight="1" x14ac:dyDescent="0.15"/>
    <row r="54616" s="8" customFormat="1" ht="32.1" customHeight="1" x14ac:dyDescent="0.15"/>
    <row r="54617" s="8" customFormat="1" ht="32.1" customHeight="1" x14ac:dyDescent="0.15"/>
    <row r="54618" s="8" customFormat="1" ht="32.1" customHeight="1" x14ac:dyDescent="0.15"/>
    <row r="54619" s="8" customFormat="1" ht="32.1" customHeight="1" x14ac:dyDescent="0.15"/>
    <row r="54620" s="8" customFormat="1" ht="32.1" customHeight="1" x14ac:dyDescent="0.15"/>
    <row r="54621" s="8" customFormat="1" ht="32.1" customHeight="1" x14ac:dyDescent="0.15"/>
    <row r="54622" s="9" customFormat="1" ht="32.1" customHeight="1" x14ac:dyDescent="0.15"/>
    <row r="54623" s="9" customFormat="1" ht="32.1" customHeight="1" x14ac:dyDescent="0.15"/>
    <row r="54624" s="9" customFormat="1" ht="32.1" customHeight="1" x14ac:dyDescent="0.15"/>
    <row r="54625" s="9" customFormat="1" ht="32.1" customHeight="1" x14ac:dyDescent="0.15"/>
    <row r="54626" s="9" customFormat="1" ht="21.95" customHeight="1" x14ac:dyDescent="0.15"/>
    <row r="54627" s="9" customFormat="1" ht="54" customHeight="1" x14ac:dyDescent="0.15"/>
    <row r="54628" s="9" customFormat="1" ht="21.95" customHeight="1" x14ac:dyDescent="0.15"/>
    <row r="54629" s="9" customFormat="1" ht="21.95" customHeight="1" x14ac:dyDescent="0.15"/>
    <row r="54630" s="9" customFormat="1" ht="21.95" customHeight="1" x14ac:dyDescent="0.15"/>
    <row r="54631" s="9" customFormat="1" ht="21.95" customHeight="1" x14ac:dyDescent="0.15"/>
    <row r="54632" s="9" customFormat="1" ht="21.95" customHeight="1" x14ac:dyDescent="0.15"/>
    <row r="54633" s="9" customFormat="1" ht="21.95" customHeight="1" x14ac:dyDescent="0.15"/>
    <row r="54634" s="9" customFormat="1" ht="21.95" customHeight="1" x14ac:dyDescent="0.15"/>
    <row r="54635" s="9" customFormat="1" ht="21.95" customHeight="1" x14ac:dyDescent="0.15"/>
    <row r="54636" s="9" customFormat="1" ht="21.95" customHeight="1" x14ac:dyDescent="0.15"/>
    <row r="54637" s="9" customFormat="1" ht="21.95" customHeight="1" x14ac:dyDescent="0.15"/>
    <row r="54638" s="9" customFormat="1" ht="21.95" customHeight="1" x14ac:dyDescent="0.15"/>
    <row r="54639" s="9" customFormat="1" ht="21.95" customHeight="1" x14ac:dyDescent="0.15"/>
    <row r="54640" s="9" customFormat="1" ht="21.95" customHeight="1" x14ac:dyDescent="0.15"/>
    <row r="54641" s="9" customFormat="1" ht="21.95" customHeight="1" x14ac:dyDescent="0.15"/>
    <row r="54642" s="9" customFormat="1" ht="21.95" customHeight="1" x14ac:dyDescent="0.15"/>
    <row r="54643" s="9" customFormat="1" ht="21.95" customHeight="1" x14ac:dyDescent="0.15"/>
    <row r="54644" s="9" customFormat="1" ht="21.95" customHeight="1" x14ac:dyDescent="0.15"/>
    <row r="54645" s="9" customFormat="1" ht="21.95" customHeight="1" x14ac:dyDescent="0.15"/>
    <row r="54646" s="9" customFormat="1" ht="21.95" customHeight="1" x14ac:dyDescent="0.15"/>
    <row r="54647" s="9" customFormat="1" ht="21.95" customHeight="1" x14ac:dyDescent="0.15"/>
    <row r="54648" s="9" customFormat="1" ht="21.95" customHeight="1" x14ac:dyDescent="0.15"/>
    <row r="54649" s="9" customFormat="1" ht="21.95" customHeight="1" x14ac:dyDescent="0.15"/>
    <row r="54650" s="9" customFormat="1" ht="21.95" customHeight="1" x14ac:dyDescent="0.15"/>
    <row r="54651" s="9" customFormat="1" ht="21.95" customHeight="1" x14ac:dyDescent="0.15"/>
    <row r="54652" s="9" customFormat="1" ht="21.95" customHeight="1" x14ac:dyDescent="0.15"/>
    <row r="54653" s="9" customFormat="1" ht="21.95" customHeight="1" x14ac:dyDescent="0.15"/>
    <row r="54654" s="9" customFormat="1" ht="21.95" customHeight="1" x14ac:dyDescent="0.15"/>
    <row r="54655" s="9" customFormat="1" ht="21.95" customHeight="1" x14ac:dyDescent="0.15"/>
    <row r="54656" s="9" customFormat="1" ht="21.95" customHeight="1" x14ac:dyDescent="0.15"/>
    <row r="54657" s="9" customFormat="1" ht="21.95" customHeight="1" x14ac:dyDescent="0.15"/>
    <row r="54658" s="9" customFormat="1" ht="21.95" customHeight="1" x14ac:dyDescent="0.15"/>
    <row r="54659" s="9" customFormat="1" ht="21.95" customHeight="1" x14ac:dyDescent="0.15"/>
    <row r="54660" s="9" customFormat="1" ht="21.95" customHeight="1" x14ac:dyDescent="0.15"/>
    <row r="54661" s="9" customFormat="1" ht="21.95" customHeight="1" x14ac:dyDescent="0.15"/>
    <row r="54662" s="9" customFormat="1" ht="21.95" customHeight="1" x14ac:dyDescent="0.15"/>
    <row r="54663" s="9" customFormat="1" ht="21.95" customHeight="1" x14ac:dyDescent="0.15"/>
    <row r="54664" s="9" customFormat="1" ht="21.95" customHeight="1" x14ac:dyDescent="0.15"/>
    <row r="54665" s="9" customFormat="1" ht="21.95" customHeight="1" x14ac:dyDescent="0.15"/>
    <row r="54666" s="9" customFormat="1" ht="21.95" customHeight="1" x14ac:dyDescent="0.15"/>
    <row r="54667" s="9" customFormat="1" ht="21.95" customHeight="1" x14ac:dyDescent="0.15"/>
    <row r="54668" s="9" customFormat="1" ht="21.95" customHeight="1" x14ac:dyDescent="0.15"/>
    <row r="54669" s="9" customFormat="1" ht="21.95" customHeight="1" x14ac:dyDescent="0.15"/>
    <row r="54670" s="9" customFormat="1" ht="21.95" customHeight="1" x14ac:dyDescent="0.15"/>
    <row r="54671" s="9" customFormat="1" ht="21.95" customHeight="1" x14ac:dyDescent="0.15"/>
    <row r="54672" s="9" customFormat="1" ht="21.95" customHeight="1" x14ac:dyDescent="0.15"/>
    <row r="54673" s="9" customFormat="1" ht="21.95" customHeight="1" x14ac:dyDescent="0.15"/>
    <row r="54674" s="9" customFormat="1" ht="21.95" customHeight="1" x14ac:dyDescent="0.15"/>
    <row r="54675" s="9" customFormat="1" ht="21.95" customHeight="1" x14ac:dyDescent="0.15"/>
    <row r="54676" s="9" customFormat="1" ht="21.95" customHeight="1" x14ac:dyDescent="0.15"/>
    <row r="54677" s="9" customFormat="1" ht="21.95" customHeight="1" x14ac:dyDescent="0.15"/>
    <row r="54678" s="9" customFormat="1" ht="35.1" customHeight="1" x14ac:dyDescent="0.15"/>
    <row r="54679" s="9" customFormat="1" ht="21.95" customHeight="1" x14ac:dyDescent="0.15"/>
    <row r="54680" s="9" customFormat="1" ht="21.95" customHeight="1" x14ac:dyDescent="0.15"/>
    <row r="54681" s="9" customFormat="1" ht="21.95" customHeight="1" x14ac:dyDescent="0.15"/>
    <row r="54682" s="9" customFormat="1" ht="21.95" customHeight="1" x14ac:dyDescent="0.15"/>
    <row r="54683" s="9" customFormat="1" ht="21.95" customHeight="1" x14ac:dyDescent="0.15"/>
    <row r="54684" s="9" customFormat="1" ht="21.95" customHeight="1" x14ac:dyDescent="0.15"/>
    <row r="54685" s="9" customFormat="1" ht="21.95" customHeight="1" x14ac:dyDescent="0.15"/>
    <row r="54686" s="9" customFormat="1" ht="21.95" customHeight="1" x14ac:dyDescent="0.15"/>
    <row r="54687" s="9" customFormat="1" ht="21.95" customHeight="1" x14ac:dyDescent="0.15"/>
    <row r="54688" s="9" customFormat="1" ht="21.95" customHeight="1" x14ac:dyDescent="0.15"/>
    <row r="54689" spans="3:3" s="9" customFormat="1" ht="21.95" customHeight="1" x14ac:dyDescent="0.15"/>
    <row r="54690" spans="3:3" s="9" customFormat="1" ht="21.95" customHeight="1" x14ac:dyDescent="0.15"/>
    <row r="54691" spans="3:3" s="9" customFormat="1" ht="21.95" customHeight="1" x14ac:dyDescent="0.15"/>
    <row r="54692" spans="3:3" s="9" customFormat="1" ht="21.95" customHeight="1" x14ac:dyDescent="0.15"/>
    <row r="54693" spans="3:3" s="9" customFormat="1" ht="21.95" customHeight="1" x14ac:dyDescent="0.15"/>
    <row r="54694" spans="3:3" s="9" customFormat="1" ht="21.95" customHeight="1" x14ac:dyDescent="0.15"/>
    <row r="54695" spans="3:3" s="9" customFormat="1" ht="21.95" customHeight="1" x14ac:dyDescent="0.15"/>
    <row r="54696" spans="3:3" s="9" customFormat="1" ht="21.95" customHeight="1" x14ac:dyDescent="0.15"/>
    <row r="54697" spans="3:3" s="9" customFormat="1" ht="21.95" customHeight="1" x14ac:dyDescent="0.15"/>
    <row r="54698" spans="3:3" s="9" customFormat="1" ht="21.95" customHeight="1" x14ac:dyDescent="0.15"/>
    <row r="54699" spans="3:3" s="9" customFormat="1" ht="21.95" customHeight="1" x14ac:dyDescent="0.15"/>
    <row r="54700" spans="3:3" s="9" customFormat="1" ht="21.95" customHeight="1" x14ac:dyDescent="0.15"/>
    <row r="54701" spans="3:3" s="9" customFormat="1" ht="21.95" customHeight="1" x14ac:dyDescent="0.15"/>
    <row r="54702" spans="3:3" s="8" customFormat="1" ht="21.95" customHeight="1" x14ac:dyDescent="0.15"/>
    <row r="54703" spans="3:3" s="8" customFormat="1" ht="21.95" customHeight="1" x14ac:dyDescent="0.15"/>
    <row r="54704" spans="3:3" s="8" customFormat="1" ht="21.95" customHeight="1" x14ac:dyDescent="0.15">
      <c r="C54704" s="101"/>
    </row>
    <row r="54705" spans="3:3" s="8" customFormat="1" ht="21.95" customHeight="1" x14ac:dyDescent="0.15">
      <c r="C54705" s="101"/>
    </row>
    <row r="54706" spans="3:3" s="8" customFormat="1" ht="21.95" customHeight="1" x14ac:dyDescent="0.15"/>
    <row r="54707" spans="3:3" s="8" customFormat="1" ht="21.95" customHeight="1" x14ac:dyDescent="0.15"/>
    <row r="54708" spans="3:3" s="8" customFormat="1" ht="21.95" customHeight="1" x14ac:dyDescent="0.15"/>
    <row r="54709" spans="3:3" s="8" customFormat="1" ht="21.95" customHeight="1" x14ac:dyDescent="0.15"/>
    <row r="54710" spans="3:3" s="8" customFormat="1" ht="21.95" customHeight="1" x14ac:dyDescent="0.15"/>
    <row r="54711" spans="3:3" s="8" customFormat="1" ht="21.95" customHeight="1" x14ac:dyDescent="0.15"/>
    <row r="54712" spans="3:3" s="8" customFormat="1" ht="21.95" customHeight="1" x14ac:dyDescent="0.15"/>
    <row r="54713" spans="3:3" s="9" customFormat="1" ht="21.95" customHeight="1" x14ac:dyDescent="0.15"/>
    <row r="54714" spans="3:3" s="9" customFormat="1" ht="21.95" customHeight="1" x14ac:dyDescent="0.15"/>
    <row r="54715" spans="3:3" s="9" customFormat="1" ht="21.95" customHeight="1" x14ac:dyDescent="0.15"/>
    <row r="54716" spans="3:3" s="9" customFormat="1" ht="21.95" customHeight="1" x14ac:dyDescent="0.15"/>
    <row r="54717" spans="3:3" s="8" customFormat="1" ht="21.95" customHeight="1" x14ac:dyDescent="0.15"/>
    <row r="54718" spans="3:3" s="8" customFormat="1" ht="21.95" customHeight="1" x14ac:dyDescent="0.15"/>
    <row r="54719" spans="3:3" s="8" customFormat="1" ht="21.95" customHeight="1" x14ac:dyDescent="0.15"/>
    <row r="54720" spans="3:3" s="8" customFormat="1" ht="21.95" customHeight="1" x14ac:dyDescent="0.15"/>
    <row r="54721" s="8" customFormat="1" ht="21.95" customHeight="1" x14ac:dyDescent="0.15"/>
    <row r="54722" s="8" customFormat="1" ht="21.95" customHeight="1" x14ac:dyDescent="0.15"/>
    <row r="54723" s="8" customFormat="1" ht="21.95" customHeight="1" x14ac:dyDescent="0.15"/>
    <row r="54724" s="8" customFormat="1" ht="21.95" customHeight="1" x14ac:dyDescent="0.15"/>
    <row r="54725" s="8" customFormat="1" ht="21.95" customHeight="1" x14ac:dyDescent="0.15"/>
    <row r="54726" s="8" customFormat="1" ht="21.95" customHeight="1" x14ac:dyDescent="0.15"/>
    <row r="54727" s="8" customFormat="1" ht="21.95" customHeight="1" x14ac:dyDescent="0.15"/>
    <row r="54728" s="8" customFormat="1" ht="32.1" customHeight="1" x14ac:dyDescent="0.15"/>
    <row r="54729" s="8" customFormat="1" ht="32.1" customHeight="1" x14ac:dyDescent="0.15"/>
    <row r="54730" s="8" customFormat="1" ht="32.1" customHeight="1" x14ac:dyDescent="0.15"/>
    <row r="54731" s="8" customFormat="1" ht="32.1" customHeight="1" x14ac:dyDescent="0.15"/>
    <row r="54732" s="8" customFormat="1" ht="32.1" customHeight="1" x14ac:dyDescent="0.15"/>
    <row r="54733" s="8" customFormat="1" ht="32.1" customHeight="1" x14ac:dyDescent="0.15"/>
    <row r="54734" s="9" customFormat="1" ht="32.1" customHeight="1" x14ac:dyDescent="0.15"/>
    <row r="54735" s="9" customFormat="1" ht="32.1" customHeight="1" x14ac:dyDescent="0.15"/>
    <row r="54736" s="9" customFormat="1" ht="32.1" customHeight="1" x14ac:dyDescent="0.15"/>
    <row r="54737" s="9" customFormat="1" ht="32.1" customHeight="1" x14ac:dyDescent="0.15"/>
    <row r="54738" s="9" customFormat="1" ht="21.95" customHeight="1" x14ac:dyDescent="0.15"/>
    <row r="54739" s="9" customFormat="1" ht="54" customHeight="1" x14ac:dyDescent="0.15"/>
    <row r="54740" s="9" customFormat="1" ht="21.95" customHeight="1" x14ac:dyDescent="0.15"/>
    <row r="54741" s="9" customFormat="1" ht="21.95" customHeight="1" x14ac:dyDescent="0.15"/>
    <row r="54742" s="9" customFormat="1" ht="21.95" customHeight="1" x14ac:dyDescent="0.15"/>
    <row r="54743" s="9" customFormat="1" ht="21.95" customHeight="1" x14ac:dyDescent="0.15"/>
    <row r="54744" s="9" customFormat="1" ht="21.95" customHeight="1" x14ac:dyDescent="0.15"/>
    <row r="54745" s="9" customFormat="1" ht="21.95" customHeight="1" x14ac:dyDescent="0.15"/>
    <row r="54746" s="9" customFormat="1" ht="21.95" customHeight="1" x14ac:dyDescent="0.15"/>
    <row r="54747" s="9" customFormat="1" ht="21.95" customHeight="1" x14ac:dyDescent="0.15"/>
    <row r="54748" s="9" customFormat="1" ht="21.95" customHeight="1" x14ac:dyDescent="0.15"/>
    <row r="54749" s="9" customFormat="1" ht="21.95" customHeight="1" x14ac:dyDescent="0.15"/>
    <row r="54750" s="9" customFormat="1" ht="21.95" customHeight="1" x14ac:dyDescent="0.15"/>
    <row r="54751" s="9" customFormat="1" ht="21.95" customHeight="1" x14ac:dyDescent="0.15"/>
    <row r="54752" s="9" customFormat="1" ht="21.95" customHeight="1" x14ac:dyDescent="0.15"/>
    <row r="54753" s="9" customFormat="1" ht="21.95" customHeight="1" x14ac:dyDescent="0.15"/>
    <row r="54754" s="9" customFormat="1" ht="21.95" customHeight="1" x14ac:dyDescent="0.15"/>
    <row r="54755" s="9" customFormat="1" ht="21.95" customHeight="1" x14ac:dyDescent="0.15"/>
    <row r="54756" s="9" customFormat="1" ht="21.95" customHeight="1" x14ac:dyDescent="0.15"/>
    <row r="54757" s="9" customFormat="1" ht="21.95" customHeight="1" x14ac:dyDescent="0.15"/>
    <row r="54758" s="9" customFormat="1" ht="21.95" customHeight="1" x14ac:dyDescent="0.15"/>
    <row r="54759" s="9" customFormat="1" ht="21.95" customHeight="1" x14ac:dyDescent="0.15"/>
    <row r="54760" s="9" customFormat="1" ht="21.95" customHeight="1" x14ac:dyDescent="0.15"/>
    <row r="54761" s="9" customFormat="1" ht="21.95" customHeight="1" x14ac:dyDescent="0.15"/>
    <row r="54762" s="9" customFormat="1" ht="21.95" customHeight="1" x14ac:dyDescent="0.15"/>
    <row r="54763" s="9" customFormat="1" ht="21.95" customHeight="1" x14ac:dyDescent="0.15"/>
    <row r="54764" s="9" customFormat="1" ht="21.95" customHeight="1" x14ac:dyDescent="0.15"/>
    <row r="54765" s="9" customFormat="1" ht="21.95" customHeight="1" x14ac:dyDescent="0.15"/>
    <row r="54766" s="9" customFormat="1" ht="21.95" customHeight="1" x14ac:dyDescent="0.15"/>
    <row r="54767" s="9" customFormat="1" ht="21.95" customHeight="1" x14ac:dyDescent="0.15"/>
    <row r="54768" s="9" customFormat="1" ht="21.95" customHeight="1" x14ac:dyDescent="0.15"/>
    <row r="54769" s="9" customFormat="1" ht="21.95" customHeight="1" x14ac:dyDescent="0.15"/>
    <row r="54770" s="9" customFormat="1" ht="21.95" customHeight="1" x14ac:dyDescent="0.15"/>
    <row r="54771" s="9" customFormat="1" ht="21.95" customHeight="1" x14ac:dyDescent="0.15"/>
    <row r="54772" s="9" customFormat="1" ht="21.95" customHeight="1" x14ac:dyDescent="0.15"/>
    <row r="54773" s="9" customFormat="1" ht="21.95" customHeight="1" x14ac:dyDescent="0.15"/>
    <row r="54774" s="9" customFormat="1" ht="21.95" customHeight="1" x14ac:dyDescent="0.15"/>
    <row r="54775" s="9" customFormat="1" ht="21.95" customHeight="1" x14ac:dyDescent="0.15"/>
    <row r="54776" s="9" customFormat="1" ht="21.95" customHeight="1" x14ac:dyDescent="0.15"/>
    <row r="54777" s="9" customFormat="1" ht="21.95" customHeight="1" x14ac:dyDescent="0.15"/>
    <row r="54778" s="9" customFormat="1" ht="21.95" customHeight="1" x14ac:dyDescent="0.15"/>
    <row r="54779" s="9" customFormat="1" ht="21.95" customHeight="1" x14ac:dyDescent="0.15"/>
    <row r="54780" s="9" customFormat="1" ht="21.95" customHeight="1" x14ac:dyDescent="0.15"/>
    <row r="54781" s="9" customFormat="1" ht="21.95" customHeight="1" x14ac:dyDescent="0.15"/>
    <row r="54782" s="9" customFormat="1" ht="21.95" customHeight="1" x14ac:dyDescent="0.15"/>
    <row r="54783" s="9" customFormat="1" ht="21.95" customHeight="1" x14ac:dyDescent="0.15"/>
    <row r="54784" s="9" customFormat="1" ht="21.95" customHeight="1" x14ac:dyDescent="0.15"/>
    <row r="54785" s="9" customFormat="1" ht="21.95" customHeight="1" x14ac:dyDescent="0.15"/>
    <row r="54786" s="9" customFormat="1" ht="21.95" customHeight="1" x14ac:dyDescent="0.15"/>
    <row r="54787" s="9" customFormat="1" ht="21.95" customHeight="1" x14ac:dyDescent="0.15"/>
    <row r="54788" s="9" customFormat="1" ht="21.95" customHeight="1" x14ac:dyDescent="0.15"/>
    <row r="54789" s="9" customFormat="1" ht="21.95" customHeight="1" x14ac:dyDescent="0.15"/>
    <row r="54790" s="9" customFormat="1" ht="35.1" customHeight="1" x14ac:dyDescent="0.15"/>
    <row r="54791" s="9" customFormat="1" ht="21.95" customHeight="1" x14ac:dyDescent="0.15"/>
    <row r="54792" s="9" customFormat="1" ht="21.95" customHeight="1" x14ac:dyDescent="0.15"/>
    <row r="54793" s="9" customFormat="1" ht="21.95" customHeight="1" x14ac:dyDescent="0.15"/>
    <row r="54794" s="9" customFormat="1" ht="21.95" customHeight="1" x14ac:dyDescent="0.15"/>
    <row r="54795" s="9" customFormat="1" ht="21.95" customHeight="1" x14ac:dyDescent="0.15"/>
    <row r="54796" s="9" customFormat="1" ht="21.95" customHeight="1" x14ac:dyDescent="0.15"/>
    <row r="54797" s="9" customFormat="1" ht="21.95" customHeight="1" x14ac:dyDescent="0.15"/>
    <row r="54798" s="9" customFormat="1" ht="21.95" customHeight="1" x14ac:dyDescent="0.15"/>
    <row r="54799" s="9" customFormat="1" ht="21.95" customHeight="1" x14ac:dyDescent="0.15"/>
    <row r="54800" s="9" customFormat="1" ht="21.95" customHeight="1" x14ac:dyDescent="0.15"/>
    <row r="54801" spans="3:3" s="9" customFormat="1" ht="21.95" customHeight="1" x14ac:dyDescent="0.15"/>
    <row r="54802" spans="3:3" s="9" customFormat="1" ht="21.95" customHeight="1" x14ac:dyDescent="0.15"/>
    <row r="54803" spans="3:3" s="9" customFormat="1" ht="21.95" customHeight="1" x14ac:dyDescent="0.15"/>
    <row r="54804" spans="3:3" s="9" customFormat="1" ht="21.95" customHeight="1" x14ac:dyDescent="0.15"/>
    <row r="54805" spans="3:3" s="9" customFormat="1" ht="21.95" customHeight="1" x14ac:dyDescent="0.15"/>
    <row r="54806" spans="3:3" s="9" customFormat="1" ht="21.95" customHeight="1" x14ac:dyDescent="0.15"/>
    <row r="54807" spans="3:3" s="9" customFormat="1" ht="21.95" customHeight="1" x14ac:dyDescent="0.15"/>
    <row r="54808" spans="3:3" s="9" customFormat="1" ht="21.95" customHeight="1" x14ac:dyDescent="0.15"/>
    <row r="54809" spans="3:3" s="9" customFormat="1" ht="21.95" customHeight="1" x14ac:dyDescent="0.15"/>
    <row r="54810" spans="3:3" s="9" customFormat="1" ht="21.95" customHeight="1" x14ac:dyDescent="0.15"/>
    <row r="54811" spans="3:3" s="9" customFormat="1" ht="21.95" customHeight="1" x14ac:dyDescent="0.15"/>
    <row r="54812" spans="3:3" s="9" customFormat="1" ht="21.95" customHeight="1" x14ac:dyDescent="0.15"/>
    <row r="54813" spans="3:3" s="9" customFormat="1" ht="21.95" customHeight="1" x14ac:dyDescent="0.15"/>
    <row r="54814" spans="3:3" s="8" customFormat="1" ht="21.95" customHeight="1" x14ac:dyDescent="0.15"/>
    <row r="54815" spans="3:3" s="8" customFormat="1" ht="21.95" customHeight="1" x14ac:dyDescent="0.15"/>
    <row r="54816" spans="3:3" s="8" customFormat="1" ht="21.95" customHeight="1" x14ac:dyDescent="0.15">
      <c r="C54816" s="101"/>
    </row>
    <row r="54817" spans="3:3" s="8" customFormat="1" ht="21.95" customHeight="1" x14ac:dyDescent="0.15">
      <c r="C54817" s="101"/>
    </row>
    <row r="54818" spans="3:3" s="8" customFormat="1" ht="21.95" customHeight="1" x14ac:dyDescent="0.15"/>
    <row r="54819" spans="3:3" s="8" customFormat="1" ht="21.95" customHeight="1" x14ac:dyDescent="0.15"/>
    <row r="54820" spans="3:3" s="8" customFormat="1" ht="21.95" customHeight="1" x14ac:dyDescent="0.15"/>
    <row r="54821" spans="3:3" s="8" customFormat="1" ht="21.95" customHeight="1" x14ac:dyDescent="0.15"/>
    <row r="54822" spans="3:3" s="8" customFormat="1" ht="21.95" customHeight="1" x14ac:dyDescent="0.15"/>
    <row r="54823" spans="3:3" s="8" customFormat="1" ht="21.95" customHeight="1" x14ac:dyDescent="0.15"/>
    <row r="54824" spans="3:3" s="8" customFormat="1" ht="21.95" customHeight="1" x14ac:dyDescent="0.15"/>
    <row r="54825" spans="3:3" s="9" customFormat="1" ht="21.95" customHeight="1" x14ac:dyDescent="0.15"/>
    <row r="54826" spans="3:3" s="9" customFormat="1" ht="21.95" customHeight="1" x14ac:dyDescent="0.15"/>
    <row r="54827" spans="3:3" s="9" customFormat="1" ht="21.95" customHeight="1" x14ac:dyDescent="0.15"/>
    <row r="54828" spans="3:3" s="9" customFormat="1" ht="21.95" customHeight="1" x14ac:dyDescent="0.15"/>
    <row r="54829" spans="3:3" s="8" customFormat="1" ht="21.95" customHeight="1" x14ac:dyDescent="0.15"/>
    <row r="54830" spans="3:3" s="8" customFormat="1" ht="21.95" customHeight="1" x14ac:dyDescent="0.15"/>
    <row r="54831" spans="3:3" s="8" customFormat="1" ht="21.95" customHeight="1" x14ac:dyDescent="0.15"/>
    <row r="54832" spans="3:3" s="8" customFormat="1" ht="21.95" customHeight="1" x14ac:dyDescent="0.15"/>
    <row r="54833" s="8" customFormat="1" ht="21.95" customHeight="1" x14ac:dyDescent="0.15"/>
    <row r="54834" s="8" customFormat="1" ht="21.95" customHeight="1" x14ac:dyDescent="0.15"/>
    <row r="54835" s="8" customFormat="1" ht="21.95" customHeight="1" x14ac:dyDescent="0.15"/>
    <row r="54836" s="8" customFormat="1" ht="21.95" customHeight="1" x14ac:dyDescent="0.15"/>
    <row r="54837" s="8" customFormat="1" ht="21.95" customHeight="1" x14ac:dyDescent="0.15"/>
    <row r="54838" s="8" customFormat="1" ht="21.95" customHeight="1" x14ac:dyDescent="0.15"/>
    <row r="54839" s="8" customFormat="1" ht="21.95" customHeight="1" x14ac:dyDescent="0.15"/>
    <row r="54840" s="8" customFormat="1" ht="32.1" customHeight="1" x14ac:dyDescent="0.15"/>
    <row r="54841" s="8" customFormat="1" ht="32.1" customHeight="1" x14ac:dyDescent="0.15"/>
    <row r="54842" s="8" customFormat="1" ht="32.1" customHeight="1" x14ac:dyDescent="0.15"/>
    <row r="54843" s="8" customFormat="1" ht="32.1" customHeight="1" x14ac:dyDescent="0.15"/>
    <row r="54844" s="8" customFormat="1" ht="32.1" customHeight="1" x14ac:dyDescent="0.15"/>
    <row r="54845" s="8" customFormat="1" ht="32.1" customHeight="1" x14ac:dyDescent="0.15"/>
    <row r="54846" s="9" customFormat="1" ht="32.1" customHeight="1" x14ac:dyDescent="0.15"/>
    <row r="54847" s="9" customFormat="1" ht="32.1" customHeight="1" x14ac:dyDescent="0.15"/>
    <row r="54848" s="9" customFormat="1" ht="32.1" customHeight="1" x14ac:dyDescent="0.15"/>
    <row r="54849" s="9" customFormat="1" ht="32.1" customHeight="1" x14ac:dyDescent="0.15"/>
    <row r="54850" s="9" customFormat="1" ht="21.95" customHeight="1" x14ac:dyDescent="0.15"/>
    <row r="54851" s="9" customFormat="1" ht="54" customHeight="1" x14ac:dyDescent="0.15"/>
    <row r="54852" s="9" customFormat="1" ht="21.95" customHeight="1" x14ac:dyDescent="0.15"/>
    <row r="54853" s="9" customFormat="1" ht="21.95" customHeight="1" x14ac:dyDescent="0.15"/>
    <row r="54854" s="9" customFormat="1" ht="21.95" customHeight="1" x14ac:dyDescent="0.15"/>
    <row r="54855" s="9" customFormat="1" ht="21.95" customHeight="1" x14ac:dyDescent="0.15"/>
    <row r="54856" s="9" customFormat="1" ht="21.95" customHeight="1" x14ac:dyDescent="0.15"/>
    <row r="54857" s="9" customFormat="1" ht="21.95" customHeight="1" x14ac:dyDescent="0.15"/>
    <row r="54858" s="9" customFormat="1" ht="21.95" customHeight="1" x14ac:dyDescent="0.15"/>
    <row r="54859" s="9" customFormat="1" ht="21.95" customHeight="1" x14ac:dyDescent="0.15"/>
    <row r="54860" s="9" customFormat="1" ht="21.95" customHeight="1" x14ac:dyDescent="0.15"/>
    <row r="54861" s="9" customFormat="1" ht="21.95" customHeight="1" x14ac:dyDescent="0.15"/>
    <row r="54862" s="9" customFormat="1" ht="21.95" customHeight="1" x14ac:dyDescent="0.15"/>
    <row r="54863" s="9" customFormat="1" ht="21.95" customHeight="1" x14ac:dyDescent="0.15"/>
    <row r="54864" s="9" customFormat="1" ht="21.95" customHeight="1" x14ac:dyDescent="0.15"/>
    <row r="54865" s="9" customFormat="1" ht="21.95" customHeight="1" x14ac:dyDescent="0.15"/>
    <row r="54866" s="9" customFormat="1" ht="21.95" customHeight="1" x14ac:dyDescent="0.15"/>
    <row r="54867" s="9" customFormat="1" ht="21.95" customHeight="1" x14ac:dyDescent="0.15"/>
    <row r="54868" s="9" customFormat="1" ht="21.95" customHeight="1" x14ac:dyDescent="0.15"/>
    <row r="54869" s="9" customFormat="1" ht="21.95" customHeight="1" x14ac:dyDescent="0.15"/>
    <row r="54870" s="9" customFormat="1" ht="21.95" customHeight="1" x14ac:dyDescent="0.15"/>
    <row r="54871" s="9" customFormat="1" ht="21.95" customHeight="1" x14ac:dyDescent="0.15"/>
    <row r="54872" s="9" customFormat="1" ht="21.95" customHeight="1" x14ac:dyDescent="0.15"/>
    <row r="54873" s="9" customFormat="1" ht="21.95" customHeight="1" x14ac:dyDescent="0.15"/>
    <row r="54874" s="9" customFormat="1" ht="21.95" customHeight="1" x14ac:dyDescent="0.15"/>
    <row r="54875" s="9" customFormat="1" ht="21.95" customHeight="1" x14ac:dyDescent="0.15"/>
    <row r="54876" s="9" customFormat="1" ht="21.95" customHeight="1" x14ac:dyDescent="0.15"/>
    <row r="54877" s="9" customFormat="1" ht="21.95" customHeight="1" x14ac:dyDescent="0.15"/>
    <row r="54878" s="9" customFormat="1" ht="21.95" customHeight="1" x14ac:dyDescent="0.15"/>
    <row r="54879" s="9" customFormat="1" ht="21.95" customHeight="1" x14ac:dyDescent="0.15"/>
    <row r="54880" s="9" customFormat="1" ht="21.95" customHeight="1" x14ac:dyDescent="0.15"/>
    <row r="54881" s="9" customFormat="1" ht="21.95" customHeight="1" x14ac:dyDescent="0.15"/>
    <row r="54882" s="9" customFormat="1" ht="21.95" customHeight="1" x14ac:dyDescent="0.15"/>
    <row r="54883" s="9" customFormat="1" ht="21.95" customHeight="1" x14ac:dyDescent="0.15"/>
    <row r="54884" s="9" customFormat="1" ht="21.95" customHeight="1" x14ac:dyDescent="0.15"/>
    <row r="54885" s="9" customFormat="1" ht="21.95" customHeight="1" x14ac:dyDescent="0.15"/>
    <row r="54886" s="9" customFormat="1" ht="21.95" customHeight="1" x14ac:dyDescent="0.15"/>
    <row r="54887" s="9" customFormat="1" ht="21.95" customHeight="1" x14ac:dyDescent="0.15"/>
    <row r="54888" s="9" customFormat="1" ht="21.95" customHeight="1" x14ac:dyDescent="0.15"/>
    <row r="54889" s="9" customFormat="1" ht="21.95" customHeight="1" x14ac:dyDescent="0.15"/>
    <row r="54890" s="9" customFormat="1" ht="21.95" customHeight="1" x14ac:dyDescent="0.15"/>
    <row r="54891" s="9" customFormat="1" ht="21.95" customHeight="1" x14ac:dyDescent="0.15"/>
    <row r="54892" s="9" customFormat="1" ht="21.95" customHeight="1" x14ac:dyDescent="0.15"/>
    <row r="54893" s="9" customFormat="1" ht="21.95" customHeight="1" x14ac:dyDescent="0.15"/>
    <row r="54894" s="9" customFormat="1" ht="21.95" customHeight="1" x14ac:dyDescent="0.15"/>
    <row r="54895" s="9" customFormat="1" ht="21.95" customHeight="1" x14ac:dyDescent="0.15"/>
    <row r="54896" s="9" customFormat="1" ht="21.95" customHeight="1" x14ac:dyDescent="0.15"/>
    <row r="54897" s="9" customFormat="1" ht="21.95" customHeight="1" x14ac:dyDescent="0.15"/>
    <row r="54898" s="9" customFormat="1" ht="21.95" customHeight="1" x14ac:dyDescent="0.15"/>
    <row r="54899" s="9" customFormat="1" ht="21.95" customHeight="1" x14ac:dyDescent="0.15"/>
    <row r="54900" s="9" customFormat="1" ht="21.95" customHeight="1" x14ac:dyDescent="0.15"/>
    <row r="54901" s="9" customFormat="1" ht="21.95" customHeight="1" x14ac:dyDescent="0.15"/>
    <row r="54902" s="9" customFormat="1" ht="35.1" customHeight="1" x14ac:dyDescent="0.15"/>
    <row r="54903" s="9" customFormat="1" ht="21.95" customHeight="1" x14ac:dyDescent="0.15"/>
    <row r="54904" s="9" customFormat="1" ht="21.95" customHeight="1" x14ac:dyDescent="0.15"/>
    <row r="54905" s="9" customFormat="1" ht="21.95" customHeight="1" x14ac:dyDescent="0.15"/>
    <row r="54906" s="9" customFormat="1" ht="21.95" customHeight="1" x14ac:dyDescent="0.15"/>
    <row r="54907" s="9" customFormat="1" ht="21.95" customHeight="1" x14ac:dyDescent="0.15"/>
    <row r="54908" s="9" customFormat="1" ht="21.95" customHeight="1" x14ac:dyDescent="0.15"/>
    <row r="54909" s="9" customFormat="1" ht="21.95" customHeight="1" x14ac:dyDescent="0.15"/>
    <row r="54910" s="9" customFormat="1" ht="21.95" customHeight="1" x14ac:dyDescent="0.15"/>
    <row r="54911" s="9" customFormat="1" ht="21.95" customHeight="1" x14ac:dyDescent="0.15"/>
    <row r="54912" s="9" customFormat="1" ht="21.95" customHeight="1" x14ac:dyDescent="0.15"/>
    <row r="54913" spans="3:3" s="9" customFormat="1" ht="21.95" customHeight="1" x14ac:dyDescent="0.15"/>
    <row r="54914" spans="3:3" s="9" customFormat="1" ht="21.95" customHeight="1" x14ac:dyDescent="0.15"/>
    <row r="54915" spans="3:3" s="9" customFormat="1" ht="21.95" customHeight="1" x14ac:dyDescent="0.15"/>
    <row r="54916" spans="3:3" s="9" customFormat="1" ht="21.95" customHeight="1" x14ac:dyDescent="0.15"/>
    <row r="54917" spans="3:3" s="9" customFormat="1" ht="21.95" customHeight="1" x14ac:dyDescent="0.15"/>
    <row r="54918" spans="3:3" s="9" customFormat="1" ht="21.95" customHeight="1" x14ac:dyDescent="0.15"/>
    <row r="54919" spans="3:3" s="9" customFormat="1" ht="21.95" customHeight="1" x14ac:dyDescent="0.15"/>
    <row r="54920" spans="3:3" s="9" customFormat="1" ht="21.95" customHeight="1" x14ac:dyDescent="0.15"/>
    <row r="54921" spans="3:3" s="9" customFormat="1" ht="21.95" customHeight="1" x14ac:dyDescent="0.15"/>
    <row r="54922" spans="3:3" s="9" customFormat="1" ht="21.95" customHeight="1" x14ac:dyDescent="0.15"/>
    <row r="54923" spans="3:3" s="9" customFormat="1" ht="21.95" customHeight="1" x14ac:dyDescent="0.15"/>
    <row r="54924" spans="3:3" s="9" customFormat="1" ht="21.95" customHeight="1" x14ac:dyDescent="0.15"/>
    <row r="54925" spans="3:3" s="9" customFormat="1" ht="21.95" customHeight="1" x14ac:dyDescent="0.15"/>
    <row r="54926" spans="3:3" s="8" customFormat="1" ht="21.95" customHeight="1" x14ac:dyDescent="0.15"/>
    <row r="54927" spans="3:3" s="8" customFormat="1" ht="21.95" customHeight="1" x14ac:dyDescent="0.15"/>
    <row r="54928" spans="3:3" s="8" customFormat="1" ht="21.95" customHeight="1" x14ac:dyDescent="0.15">
      <c r="C54928" s="101"/>
    </row>
    <row r="54929" spans="3:3" s="8" customFormat="1" ht="21.95" customHeight="1" x14ac:dyDescent="0.15">
      <c r="C54929" s="101"/>
    </row>
    <row r="54930" spans="3:3" s="8" customFormat="1" ht="21.95" customHeight="1" x14ac:dyDescent="0.15"/>
    <row r="54931" spans="3:3" s="8" customFormat="1" ht="21.95" customHeight="1" x14ac:dyDescent="0.15"/>
    <row r="54932" spans="3:3" s="8" customFormat="1" ht="21.95" customHeight="1" x14ac:dyDescent="0.15"/>
    <row r="54933" spans="3:3" s="8" customFormat="1" ht="21.95" customHeight="1" x14ac:dyDescent="0.15"/>
    <row r="54934" spans="3:3" s="8" customFormat="1" ht="21.95" customHeight="1" x14ac:dyDescent="0.15"/>
    <row r="54935" spans="3:3" s="8" customFormat="1" ht="21.95" customHeight="1" x14ac:dyDescent="0.15"/>
    <row r="54936" spans="3:3" s="8" customFormat="1" ht="21.95" customHeight="1" x14ac:dyDescent="0.15"/>
    <row r="54937" spans="3:3" s="9" customFormat="1" ht="21.95" customHeight="1" x14ac:dyDescent="0.15"/>
    <row r="54938" spans="3:3" s="9" customFormat="1" ht="21.95" customHeight="1" x14ac:dyDescent="0.15"/>
    <row r="54939" spans="3:3" s="9" customFormat="1" ht="21.95" customHeight="1" x14ac:dyDescent="0.15"/>
    <row r="54940" spans="3:3" s="9" customFormat="1" ht="21.95" customHeight="1" x14ac:dyDescent="0.15"/>
    <row r="54941" spans="3:3" s="8" customFormat="1" ht="21.95" customHeight="1" x14ac:dyDescent="0.15"/>
    <row r="54942" spans="3:3" s="8" customFormat="1" ht="21.95" customHeight="1" x14ac:dyDescent="0.15"/>
    <row r="54943" spans="3:3" s="8" customFormat="1" ht="21.95" customHeight="1" x14ac:dyDescent="0.15"/>
    <row r="54944" spans="3:3" s="8" customFormat="1" ht="21.95" customHeight="1" x14ac:dyDescent="0.15"/>
    <row r="54945" s="8" customFormat="1" ht="21.95" customHeight="1" x14ac:dyDescent="0.15"/>
    <row r="54946" s="8" customFormat="1" ht="21.95" customHeight="1" x14ac:dyDescent="0.15"/>
    <row r="54947" s="8" customFormat="1" ht="21.95" customHeight="1" x14ac:dyDescent="0.15"/>
    <row r="54948" s="8" customFormat="1" ht="21.95" customHeight="1" x14ac:dyDescent="0.15"/>
    <row r="54949" s="8" customFormat="1" ht="21.95" customHeight="1" x14ac:dyDescent="0.15"/>
    <row r="54950" s="8" customFormat="1" ht="21.95" customHeight="1" x14ac:dyDescent="0.15"/>
    <row r="54951" s="8" customFormat="1" ht="21.95" customHeight="1" x14ac:dyDescent="0.15"/>
    <row r="54952" s="8" customFormat="1" ht="32.1" customHeight="1" x14ac:dyDescent="0.15"/>
    <row r="54953" s="8" customFormat="1" ht="32.1" customHeight="1" x14ac:dyDescent="0.15"/>
    <row r="54954" s="8" customFormat="1" ht="32.1" customHeight="1" x14ac:dyDescent="0.15"/>
    <row r="54955" s="8" customFormat="1" ht="32.1" customHeight="1" x14ac:dyDescent="0.15"/>
    <row r="54956" s="8" customFormat="1" ht="32.1" customHeight="1" x14ac:dyDescent="0.15"/>
    <row r="54957" s="8" customFormat="1" ht="32.1" customHeight="1" x14ac:dyDescent="0.15"/>
    <row r="54958" s="9" customFormat="1" ht="32.1" customHeight="1" x14ac:dyDescent="0.15"/>
    <row r="54959" s="9" customFormat="1" ht="32.1" customHeight="1" x14ac:dyDescent="0.15"/>
    <row r="54960" s="9" customFormat="1" ht="32.1" customHeight="1" x14ac:dyDescent="0.15"/>
    <row r="54961" s="9" customFormat="1" ht="32.1" customHeight="1" x14ac:dyDescent="0.15"/>
    <row r="54962" s="9" customFormat="1" ht="21.95" customHeight="1" x14ac:dyDescent="0.15"/>
    <row r="54963" s="9" customFormat="1" ht="54" customHeight="1" x14ac:dyDescent="0.15"/>
    <row r="54964" s="9" customFormat="1" ht="21.95" customHeight="1" x14ac:dyDescent="0.15"/>
    <row r="54965" s="9" customFormat="1" ht="21.95" customHeight="1" x14ac:dyDescent="0.15"/>
    <row r="54966" s="9" customFormat="1" ht="21.95" customHeight="1" x14ac:dyDescent="0.15"/>
    <row r="54967" s="9" customFormat="1" ht="21.95" customHeight="1" x14ac:dyDescent="0.15"/>
    <row r="54968" s="9" customFormat="1" ht="21.95" customHeight="1" x14ac:dyDescent="0.15"/>
    <row r="54969" s="9" customFormat="1" ht="21.95" customHeight="1" x14ac:dyDescent="0.15"/>
    <row r="54970" s="9" customFormat="1" ht="21.95" customHeight="1" x14ac:dyDescent="0.15"/>
    <row r="54971" s="9" customFormat="1" ht="21.95" customHeight="1" x14ac:dyDescent="0.15"/>
    <row r="54972" s="9" customFormat="1" ht="21.95" customHeight="1" x14ac:dyDescent="0.15"/>
    <row r="54973" s="9" customFormat="1" ht="21.95" customHeight="1" x14ac:dyDescent="0.15"/>
    <row r="54974" s="9" customFormat="1" ht="21.95" customHeight="1" x14ac:dyDescent="0.15"/>
    <row r="54975" s="9" customFormat="1" ht="21.95" customHeight="1" x14ac:dyDescent="0.15"/>
    <row r="54976" s="9" customFormat="1" ht="21.95" customHeight="1" x14ac:dyDescent="0.15"/>
    <row r="54977" s="9" customFormat="1" ht="21.95" customHeight="1" x14ac:dyDescent="0.15"/>
    <row r="54978" s="9" customFormat="1" ht="21.95" customHeight="1" x14ac:dyDescent="0.15"/>
    <row r="54979" s="9" customFormat="1" ht="21.95" customHeight="1" x14ac:dyDescent="0.15"/>
    <row r="54980" s="9" customFormat="1" ht="21.95" customHeight="1" x14ac:dyDescent="0.15"/>
    <row r="54981" s="9" customFormat="1" ht="21.95" customHeight="1" x14ac:dyDescent="0.15"/>
    <row r="54982" s="9" customFormat="1" ht="21.95" customHeight="1" x14ac:dyDescent="0.15"/>
    <row r="54983" s="9" customFormat="1" ht="21.95" customHeight="1" x14ac:dyDescent="0.15"/>
    <row r="54984" s="9" customFormat="1" ht="21.95" customHeight="1" x14ac:dyDescent="0.15"/>
    <row r="54985" s="9" customFormat="1" ht="21.95" customHeight="1" x14ac:dyDescent="0.15"/>
    <row r="54986" s="9" customFormat="1" ht="21.95" customHeight="1" x14ac:dyDescent="0.15"/>
    <row r="54987" s="9" customFormat="1" ht="21.95" customHeight="1" x14ac:dyDescent="0.15"/>
    <row r="54988" s="9" customFormat="1" ht="21.95" customHeight="1" x14ac:dyDescent="0.15"/>
    <row r="54989" s="9" customFormat="1" ht="21.95" customHeight="1" x14ac:dyDescent="0.15"/>
    <row r="54990" s="9" customFormat="1" ht="21.95" customHeight="1" x14ac:dyDescent="0.15"/>
    <row r="54991" s="9" customFormat="1" ht="21.95" customHeight="1" x14ac:dyDescent="0.15"/>
    <row r="54992" s="9" customFormat="1" ht="21.95" customHeight="1" x14ac:dyDescent="0.15"/>
    <row r="54993" s="9" customFormat="1" ht="21.95" customHeight="1" x14ac:dyDescent="0.15"/>
    <row r="54994" s="9" customFormat="1" ht="21.95" customHeight="1" x14ac:dyDescent="0.15"/>
    <row r="54995" s="9" customFormat="1" ht="21.95" customHeight="1" x14ac:dyDescent="0.15"/>
    <row r="54996" s="9" customFormat="1" ht="21.95" customHeight="1" x14ac:dyDescent="0.15"/>
    <row r="54997" s="9" customFormat="1" ht="21.95" customHeight="1" x14ac:dyDescent="0.15"/>
    <row r="54998" s="9" customFormat="1" ht="21.95" customHeight="1" x14ac:dyDescent="0.15"/>
    <row r="54999" s="9" customFormat="1" ht="21.95" customHeight="1" x14ac:dyDescent="0.15"/>
    <row r="55000" s="9" customFormat="1" ht="21.95" customHeight="1" x14ac:dyDescent="0.15"/>
    <row r="55001" s="9" customFormat="1" ht="21.95" customHeight="1" x14ac:dyDescent="0.15"/>
    <row r="55002" s="9" customFormat="1" ht="21.95" customHeight="1" x14ac:dyDescent="0.15"/>
    <row r="55003" s="9" customFormat="1" ht="21.95" customHeight="1" x14ac:dyDescent="0.15"/>
    <row r="55004" s="9" customFormat="1" ht="21.95" customHeight="1" x14ac:dyDescent="0.15"/>
    <row r="55005" s="9" customFormat="1" ht="21.95" customHeight="1" x14ac:dyDescent="0.15"/>
    <row r="55006" s="9" customFormat="1" ht="21.95" customHeight="1" x14ac:dyDescent="0.15"/>
    <row r="55007" s="9" customFormat="1" ht="21.95" customHeight="1" x14ac:dyDescent="0.15"/>
    <row r="55008" s="9" customFormat="1" ht="21.95" customHeight="1" x14ac:dyDescent="0.15"/>
    <row r="55009" s="9" customFormat="1" ht="21.95" customHeight="1" x14ac:dyDescent="0.15"/>
    <row r="55010" s="9" customFormat="1" ht="21.95" customHeight="1" x14ac:dyDescent="0.15"/>
    <row r="55011" s="9" customFormat="1" ht="21.95" customHeight="1" x14ac:dyDescent="0.15"/>
    <row r="55012" s="9" customFormat="1" ht="21.95" customHeight="1" x14ac:dyDescent="0.15"/>
    <row r="55013" s="9" customFormat="1" ht="21.95" customHeight="1" x14ac:dyDescent="0.15"/>
    <row r="55014" s="9" customFormat="1" ht="35.1" customHeight="1" x14ac:dyDescent="0.15"/>
    <row r="55015" s="9" customFormat="1" ht="21.95" customHeight="1" x14ac:dyDescent="0.15"/>
    <row r="55016" s="9" customFormat="1" ht="21.95" customHeight="1" x14ac:dyDescent="0.15"/>
    <row r="55017" s="9" customFormat="1" ht="21.95" customHeight="1" x14ac:dyDescent="0.15"/>
    <row r="55018" s="9" customFormat="1" ht="21.95" customHeight="1" x14ac:dyDescent="0.15"/>
    <row r="55019" s="9" customFormat="1" ht="21.95" customHeight="1" x14ac:dyDescent="0.15"/>
    <row r="55020" s="9" customFormat="1" ht="21.95" customHeight="1" x14ac:dyDescent="0.15"/>
    <row r="55021" s="9" customFormat="1" ht="21.95" customHeight="1" x14ac:dyDescent="0.15"/>
    <row r="55022" s="9" customFormat="1" ht="21.95" customHeight="1" x14ac:dyDescent="0.15"/>
    <row r="55023" s="9" customFormat="1" ht="21.95" customHeight="1" x14ac:dyDescent="0.15"/>
    <row r="55024" s="9" customFormat="1" ht="21.95" customHeight="1" x14ac:dyDescent="0.15"/>
    <row r="55025" spans="3:3" s="9" customFormat="1" ht="21.95" customHeight="1" x14ac:dyDescent="0.15"/>
    <row r="55026" spans="3:3" s="9" customFormat="1" ht="21.95" customHeight="1" x14ac:dyDescent="0.15"/>
    <row r="55027" spans="3:3" s="9" customFormat="1" ht="21.95" customHeight="1" x14ac:dyDescent="0.15"/>
    <row r="55028" spans="3:3" s="9" customFormat="1" ht="21.95" customHeight="1" x14ac:dyDescent="0.15"/>
    <row r="55029" spans="3:3" s="9" customFormat="1" ht="21.95" customHeight="1" x14ac:dyDescent="0.15"/>
    <row r="55030" spans="3:3" s="9" customFormat="1" ht="21.95" customHeight="1" x14ac:dyDescent="0.15"/>
    <row r="55031" spans="3:3" s="9" customFormat="1" ht="21.95" customHeight="1" x14ac:dyDescent="0.15"/>
    <row r="55032" spans="3:3" s="9" customFormat="1" ht="21.95" customHeight="1" x14ac:dyDescent="0.15"/>
    <row r="55033" spans="3:3" s="9" customFormat="1" ht="21.95" customHeight="1" x14ac:dyDescent="0.15"/>
    <row r="55034" spans="3:3" s="9" customFormat="1" ht="21.95" customHeight="1" x14ac:dyDescent="0.15"/>
    <row r="55035" spans="3:3" s="9" customFormat="1" ht="21.95" customHeight="1" x14ac:dyDescent="0.15"/>
    <row r="55036" spans="3:3" s="9" customFormat="1" ht="21.95" customHeight="1" x14ac:dyDescent="0.15"/>
    <row r="55037" spans="3:3" s="9" customFormat="1" ht="21.95" customHeight="1" x14ac:dyDescent="0.15"/>
    <row r="55038" spans="3:3" s="8" customFormat="1" ht="21.95" customHeight="1" x14ac:dyDescent="0.15"/>
    <row r="55039" spans="3:3" s="8" customFormat="1" ht="21.95" customHeight="1" x14ac:dyDescent="0.15"/>
    <row r="55040" spans="3:3" s="8" customFormat="1" ht="21.95" customHeight="1" x14ac:dyDescent="0.15">
      <c r="C55040" s="101"/>
    </row>
    <row r="55041" spans="3:3" s="8" customFormat="1" ht="21.95" customHeight="1" x14ac:dyDescent="0.15">
      <c r="C55041" s="101"/>
    </row>
    <row r="55042" spans="3:3" s="8" customFormat="1" ht="21.95" customHeight="1" x14ac:dyDescent="0.15"/>
    <row r="55043" spans="3:3" s="8" customFormat="1" ht="21.95" customHeight="1" x14ac:dyDescent="0.15"/>
    <row r="55044" spans="3:3" s="8" customFormat="1" ht="21.95" customHeight="1" x14ac:dyDescent="0.15"/>
    <row r="55045" spans="3:3" s="8" customFormat="1" ht="21.95" customHeight="1" x14ac:dyDescent="0.15"/>
    <row r="55046" spans="3:3" s="8" customFormat="1" ht="21.95" customHeight="1" x14ac:dyDescent="0.15"/>
    <row r="55047" spans="3:3" s="8" customFormat="1" ht="21.95" customHeight="1" x14ac:dyDescent="0.15"/>
    <row r="55048" spans="3:3" s="8" customFormat="1" ht="21.95" customHeight="1" x14ac:dyDescent="0.15"/>
    <row r="55049" spans="3:3" s="9" customFormat="1" ht="21.95" customHeight="1" x14ac:dyDescent="0.15"/>
    <row r="55050" spans="3:3" s="9" customFormat="1" ht="21.95" customHeight="1" x14ac:dyDescent="0.15"/>
    <row r="55051" spans="3:3" s="9" customFormat="1" ht="21.95" customHeight="1" x14ac:dyDescent="0.15"/>
    <row r="55052" spans="3:3" s="9" customFormat="1" ht="21.95" customHeight="1" x14ac:dyDescent="0.15"/>
    <row r="55053" spans="3:3" s="8" customFormat="1" ht="21.95" customHeight="1" x14ac:dyDescent="0.15"/>
    <row r="55054" spans="3:3" s="8" customFormat="1" ht="21.95" customHeight="1" x14ac:dyDescent="0.15"/>
    <row r="55055" spans="3:3" s="8" customFormat="1" ht="21.95" customHeight="1" x14ac:dyDescent="0.15"/>
    <row r="55056" spans="3:3" s="8" customFormat="1" ht="21.95" customHeight="1" x14ac:dyDescent="0.15"/>
    <row r="55057" s="8" customFormat="1" ht="21.95" customHeight="1" x14ac:dyDescent="0.15"/>
    <row r="55058" s="8" customFormat="1" ht="21.95" customHeight="1" x14ac:dyDescent="0.15"/>
    <row r="55059" s="8" customFormat="1" ht="21.95" customHeight="1" x14ac:dyDescent="0.15"/>
    <row r="55060" s="8" customFormat="1" ht="21.95" customHeight="1" x14ac:dyDescent="0.15"/>
    <row r="55061" s="8" customFormat="1" ht="21.95" customHeight="1" x14ac:dyDescent="0.15"/>
    <row r="55062" s="8" customFormat="1" ht="21.95" customHeight="1" x14ac:dyDescent="0.15"/>
    <row r="55063" s="8" customFormat="1" ht="21.95" customHeight="1" x14ac:dyDescent="0.15"/>
    <row r="55064" s="8" customFormat="1" ht="32.1" customHeight="1" x14ac:dyDescent="0.15"/>
    <row r="55065" s="8" customFormat="1" ht="32.1" customHeight="1" x14ac:dyDescent="0.15"/>
    <row r="55066" s="8" customFormat="1" ht="32.1" customHeight="1" x14ac:dyDescent="0.15"/>
    <row r="55067" s="8" customFormat="1" ht="32.1" customHeight="1" x14ac:dyDescent="0.15"/>
    <row r="55068" s="8" customFormat="1" ht="32.1" customHeight="1" x14ac:dyDescent="0.15"/>
    <row r="55069" s="8" customFormat="1" ht="32.1" customHeight="1" x14ac:dyDescent="0.15"/>
    <row r="55070" s="9" customFormat="1" ht="32.1" customHeight="1" x14ac:dyDescent="0.15"/>
    <row r="55071" s="9" customFormat="1" ht="32.1" customHeight="1" x14ac:dyDescent="0.15"/>
    <row r="55072" s="9" customFormat="1" ht="32.1" customHeight="1" x14ac:dyDescent="0.15"/>
    <row r="55073" s="9" customFormat="1" ht="32.1" customHeight="1" x14ac:dyDescent="0.15"/>
    <row r="55074" s="9" customFormat="1" ht="21.95" customHeight="1" x14ac:dyDescent="0.15"/>
    <row r="55075" s="9" customFormat="1" ht="54" customHeight="1" x14ac:dyDescent="0.15"/>
    <row r="55076" s="9" customFormat="1" ht="21.95" customHeight="1" x14ac:dyDescent="0.15"/>
    <row r="55077" s="9" customFormat="1" ht="21.95" customHeight="1" x14ac:dyDescent="0.15"/>
    <row r="55078" s="9" customFormat="1" ht="21.95" customHeight="1" x14ac:dyDescent="0.15"/>
    <row r="55079" s="9" customFormat="1" ht="21.95" customHeight="1" x14ac:dyDescent="0.15"/>
    <row r="55080" s="9" customFormat="1" ht="21.95" customHeight="1" x14ac:dyDescent="0.15"/>
    <row r="55081" s="9" customFormat="1" ht="21.95" customHeight="1" x14ac:dyDescent="0.15"/>
    <row r="55082" s="9" customFormat="1" ht="21.95" customHeight="1" x14ac:dyDescent="0.15"/>
    <row r="55083" s="9" customFormat="1" ht="21.95" customHeight="1" x14ac:dyDescent="0.15"/>
    <row r="55084" s="9" customFormat="1" ht="21.95" customHeight="1" x14ac:dyDescent="0.15"/>
    <row r="55085" s="9" customFormat="1" ht="21.95" customHeight="1" x14ac:dyDescent="0.15"/>
    <row r="55086" s="9" customFormat="1" ht="21.95" customHeight="1" x14ac:dyDescent="0.15"/>
    <row r="55087" s="9" customFormat="1" ht="21.95" customHeight="1" x14ac:dyDescent="0.15"/>
    <row r="55088" s="9" customFormat="1" ht="21.95" customHeight="1" x14ac:dyDescent="0.15"/>
    <row r="55089" s="9" customFormat="1" ht="21.95" customHeight="1" x14ac:dyDescent="0.15"/>
    <row r="55090" s="9" customFormat="1" ht="21.95" customHeight="1" x14ac:dyDescent="0.15"/>
    <row r="55091" s="9" customFormat="1" ht="21.95" customHeight="1" x14ac:dyDescent="0.15"/>
    <row r="55092" s="9" customFormat="1" ht="21.95" customHeight="1" x14ac:dyDescent="0.15"/>
    <row r="55093" s="9" customFormat="1" ht="21.95" customHeight="1" x14ac:dyDescent="0.15"/>
    <row r="55094" s="9" customFormat="1" ht="21.95" customHeight="1" x14ac:dyDescent="0.15"/>
    <row r="55095" s="9" customFormat="1" ht="21.95" customHeight="1" x14ac:dyDescent="0.15"/>
    <row r="55096" s="9" customFormat="1" ht="21.95" customHeight="1" x14ac:dyDescent="0.15"/>
    <row r="55097" s="9" customFormat="1" ht="21.95" customHeight="1" x14ac:dyDescent="0.15"/>
    <row r="55098" s="9" customFormat="1" ht="21.95" customHeight="1" x14ac:dyDescent="0.15"/>
    <row r="55099" s="9" customFormat="1" ht="21.95" customHeight="1" x14ac:dyDescent="0.15"/>
    <row r="55100" s="9" customFormat="1" ht="21.95" customHeight="1" x14ac:dyDescent="0.15"/>
    <row r="55101" s="9" customFormat="1" ht="21.95" customHeight="1" x14ac:dyDescent="0.15"/>
    <row r="55102" s="9" customFormat="1" ht="21.95" customHeight="1" x14ac:dyDescent="0.15"/>
    <row r="55103" s="9" customFormat="1" ht="21.95" customHeight="1" x14ac:dyDescent="0.15"/>
    <row r="55104" s="9" customFormat="1" ht="21.95" customHeight="1" x14ac:dyDescent="0.15"/>
    <row r="55105" s="9" customFormat="1" ht="21.95" customHeight="1" x14ac:dyDescent="0.15"/>
    <row r="55106" s="9" customFormat="1" ht="21.95" customHeight="1" x14ac:dyDescent="0.15"/>
    <row r="55107" s="9" customFormat="1" ht="21.95" customHeight="1" x14ac:dyDescent="0.15"/>
    <row r="55108" s="9" customFormat="1" ht="21.95" customHeight="1" x14ac:dyDescent="0.15"/>
    <row r="55109" s="9" customFormat="1" ht="21.95" customHeight="1" x14ac:dyDescent="0.15"/>
    <row r="55110" s="9" customFormat="1" ht="21.95" customHeight="1" x14ac:dyDescent="0.15"/>
    <row r="55111" s="9" customFormat="1" ht="21.95" customHeight="1" x14ac:dyDescent="0.15"/>
    <row r="55112" s="9" customFormat="1" ht="21.95" customHeight="1" x14ac:dyDescent="0.15"/>
    <row r="55113" s="9" customFormat="1" ht="21.95" customHeight="1" x14ac:dyDescent="0.15"/>
    <row r="55114" s="9" customFormat="1" ht="21.95" customHeight="1" x14ac:dyDescent="0.15"/>
    <row r="55115" s="9" customFormat="1" ht="21.95" customHeight="1" x14ac:dyDescent="0.15"/>
    <row r="55116" s="9" customFormat="1" ht="21.95" customHeight="1" x14ac:dyDescent="0.15"/>
    <row r="55117" s="9" customFormat="1" ht="21.95" customHeight="1" x14ac:dyDescent="0.15"/>
    <row r="55118" s="9" customFormat="1" ht="21.95" customHeight="1" x14ac:dyDescent="0.15"/>
    <row r="55119" s="9" customFormat="1" ht="21.95" customHeight="1" x14ac:dyDescent="0.15"/>
    <row r="55120" s="9" customFormat="1" ht="21.95" customHeight="1" x14ac:dyDescent="0.15"/>
    <row r="55121" s="9" customFormat="1" ht="21.95" customHeight="1" x14ac:dyDescent="0.15"/>
    <row r="55122" s="9" customFormat="1" ht="21.95" customHeight="1" x14ac:dyDescent="0.15"/>
    <row r="55123" s="9" customFormat="1" ht="21.95" customHeight="1" x14ac:dyDescent="0.15"/>
    <row r="55124" s="9" customFormat="1" ht="21.95" customHeight="1" x14ac:dyDescent="0.15"/>
    <row r="55125" s="9" customFormat="1" ht="21.95" customHeight="1" x14ac:dyDescent="0.15"/>
    <row r="55126" s="9" customFormat="1" ht="35.1" customHeight="1" x14ac:dyDescent="0.15"/>
    <row r="55127" s="9" customFormat="1" ht="21.95" customHeight="1" x14ac:dyDescent="0.15"/>
    <row r="55128" s="9" customFormat="1" ht="21.95" customHeight="1" x14ac:dyDescent="0.15"/>
    <row r="55129" s="9" customFormat="1" ht="21.95" customHeight="1" x14ac:dyDescent="0.15"/>
    <row r="55130" s="9" customFormat="1" ht="21.95" customHeight="1" x14ac:dyDescent="0.15"/>
    <row r="55131" s="9" customFormat="1" ht="21.95" customHeight="1" x14ac:dyDescent="0.15"/>
    <row r="55132" s="9" customFormat="1" ht="21.95" customHeight="1" x14ac:dyDescent="0.15"/>
    <row r="55133" s="9" customFormat="1" ht="21.95" customHeight="1" x14ac:dyDescent="0.15"/>
    <row r="55134" s="9" customFormat="1" ht="21.95" customHeight="1" x14ac:dyDescent="0.15"/>
    <row r="55135" s="9" customFormat="1" ht="21.95" customHeight="1" x14ac:dyDescent="0.15"/>
    <row r="55136" s="9" customFormat="1" ht="21.95" customHeight="1" x14ac:dyDescent="0.15"/>
    <row r="55137" spans="3:3" s="9" customFormat="1" ht="21.95" customHeight="1" x14ac:dyDescent="0.15"/>
    <row r="55138" spans="3:3" s="9" customFormat="1" ht="21.95" customHeight="1" x14ac:dyDescent="0.15"/>
    <row r="55139" spans="3:3" s="9" customFormat="1" ht="21.95" customHeight="1" x14ac:dyDescent="0.15"/>
    <row r="55140" spans="3:3" s="9" customFormat="1" ht="21.95" customHeight="1" x14ac:dyDescent="0.15"/>
    <row r="55141" spans="3:3" s="9" customFormat="1" ht="21.95" customHeight="1" x14ac:dyDescent="0.15"/>
    <row r="55142" spans="3:3" s="9" customFormat="1" ht="21.95" customHeight="1" x14ac:dyDescent="0.15"/>
    <row r="55143" spans="3:3" s="9" customFormat="1" ht="21.95" customHeight="1" x14ac:dyDescent="0.15"/>
    <row r="55144" spans="3:3" s="9" customFormat="1" ht="21.95" customHeight="1" x14ac:dyDescent="0.15"/>
    <row r="55145" spans="3:3" s="9" customFormat="1" ht="21.95" customHeight="1" x14ac:dyDescent="0.15"/>
    <row r="55146" spans="3:3" s="9" customFormat="1" ht="21.95" customHeight="1" x14ac:dyDescent="0.15"/>
    <row r="55147" spans="3:3" s="9" customFormat="1" ht="21.95" customHeight="1" x14ac:dyDescent="0.15"/>
    <row r="55148" spans="3:3" s="9" customFormat="1" ht="21.95" customHeight="1" x14ac:dyDescent="0.15"/>
    <row r="55149" spans="3:3" s="9" customFormat="1" ht="21.95" customHeight="1" x14ac:dyDescent="0.15"/>
    <row r="55150" spans="3:3" s="8" customFormat="1" ht="21.95" customHeight="1" x14ac:dyDescent="0.15"/>
    <row r="55151" spans="3:3" s="8" customFormat="1" ht="21.95" customHeight="1" x14ac:dyDescent="0.15"/>
    <row r="55152" spans="3:3" s="8" customFormat="1" ht="21.95" customHeight="1" x14ac:dyDescent="0.15">
      <c r="C55152" s="101"/>
    </row>
    <row r="55153" spans="3:3" s="8" customFormat="1" ht="21.95" customHeight="1" x14ac:dyDescent="0.15">
      <c r="C55153" s="101"/>
    </row>
    <row r="55154" spans="3:3" s="8" customFormat="1" ht="21.95" customHeight="1" x14ac:dyDescent="0.15"/>
    <row r="55155" spans="3:3" s="8" customFormat="1" ht="21.95" customHeight="1" x14ac:dyDescent="0.15"/>
    <row r="55156" spans="3:3" s="8" customFormat="1" ht="21.95" customHeight="1" x14ac:dyDescent="0.15"/>
    <row r="55157" spans="3:3" s="8" customFormat="1" ht="21.95" customHeight="1" x14ac:dyDescent="0.15"/>
    <row r="55158" spans="3:3" s="8" customFormat="1" ht="21.95" customHeight="1" x14ac:dyDescent="0.15"/>
    <row r="55159" spans="3:3" s="8" customFormat="1" ht="21.95" customHeight="1" x14ac:dyDescent="0.15"/>
    <row r="55160" spans="3:3" s="8" customFormat="1" ht="21.95" customHeight="1" x14ac:dyDescent="0.15"/>
    <row r="55161" spans="3:3" s="9" customFormat="1" ht="21.95" customHeight="1" x14ac:dyDescent="0.15"/>
    <row r="55162" spans="3:3" s="9" customFormat="1" ht="21.95" customHeight="1" x14ac:dyDescent="0.15"/>
    <row r="55163" spans="3:3" s="9" customFormat="1" ht="21.95" customHeight="1" x14ac:dyDescent="0.15"/>
    <row r="55164" spans="3:3" s="9" customFormat="1" ht="21.95" customHeight="1" x14ac:dyDescent="0.15"/>
    <row r="55165" spans="3:3" s="8" customFormat="1" ht="21.95" customHeight="1" x14ac:dyDescent="0.15"/>
    <row r="55166" spans="3:3" s="8" customFormat="1" ht="21.95" customHeight="1" x14ac:dyDescent="0.15"/>
    <row r="55167" spans="3:3" s="8" customFormat="1" ht="21.95" customHeight="1" x14ac:dyDescent="0.15"/>
    <row r="55168" spans="3:3" s="8" customFormat="1" ht="21.95" customHeight="1" x14ac:dyDescent="0.15"/>
    <row r="55169" s="8" customFormat="1" ht="21.95" customHeight="1" x14ac:dyDescent="0.15"/>
    <row r="55170" s="8" customFormat="1" ht="21.95" customHeight="1" x14ac:dyDescent="0.15"/>
    <row r="55171" s="8" customFormat="1" ht="21.95" customHeight="1" x14ac:dyDescent="0.15"/>
    <row r="55172" s="8" customFormat="1" ht="21.95" customHeight="1" x14ac:dyDescent="0.15"/>
    <row r="55173" s="8" customFormat="1" ht="21.95" customHeight="1" x14ac:dyDescent="0.15"/>
    <row r="55174" s="8" customFormat="1" ht="21.95" customHeight="1" x14ac:dyDescent="0.15"/>
    <row r="55175" s="8" customFormat="1" ht="21.95" customHeight="1" x14ac:dyDescent="0.15"/>
    <row r="55176" s="8" customFormat="1" ht="32.1" customHeight="1" x14ac:dyDescent="0.15"/>
    <row r="55177" s="8" customFormat="1" ht="32.1" customHeight="1" x14ac:dyDescent="0.15"/>
    <row r="55178" s="8" customFormat="1" ht="32.1" customHeight="1" x14ac:dyDescent="0.15"/>
    <row r="55179" s="8" customFormat="1" ht="32.1" customHeight="1" x14ac:dyDescent="0.15"/>
    <row r="55180" s="8" customFormat="1" ht="32.1" customHeight="1" x14ac:dyDescent="0.15"/>
    <row r="55181" s="8" customFormat="1" ht="32.1" customHeight="1" x14ac:dyDescent="0.15"/>
    <row r="55182" s="9" customFormat="1" ht="32.1" customHeight="1" x14ac:dyDescent="0.15"/>
    <row r="55183" s="9" customFormat="1" ht="32.1" customHeight="1" x14ac:dyDescent="0.15"/>
    <row r="55184" s="9" customFormat="1" ht="32.1" customHeight="1" x14ac:dyDescent="0.15"/>
    <row r="55185" s="9" customFormat="1" ht="32.1" customHeight="1" x14ac:dyDescent="0.15"/>
    <row r="55186" s="9" customFormat="1" ht="21.95" customHeight="1" x14ac:dyDescent="0.15"/>
    <row r="55187" s="9" customFormat="1" ht="54" customHeight="1" x14ac:dyDescent="0.15"/>
    <row r="55188" s="9" customFormat="1" ht="21.95" customHeight="1" x14ac:dyDescent="0.15"/>
    <row r="55189" s="9" customFormat="1" ht="21.95" customHeight="1" x14ac:dyDescent="0.15"/>
    <row r="55190" s="9" customFormat="1" ht="21.95" customHeight="1" x14ac:dyDescent="0.15"/>
    <row r="55191" s="9" customFormat="1" ht="21.95" customHeight="1" x14ac:dyDescent="0.15"/>
    <row r="55192" s="9" customFormat="1" ht="21.95" customHeight="1" x14ac:dyDescent="0.15"/>
    <row r="55193" s="9" customFormat="1" ht="21.95" customHeight="1" x14ac:dyDescent="0.15"/>
    <row r="55194" s="9" customFormat="1" ht="21.95" customHeight="1" x14ac:dyDescent="0.15"/>
    <row r="55195" s="9" customFormat="1" ht="21.95" customHeight="1" x14ac:dyDescent="0.15"/>
    <row r="55196" s="9" customFormat="1" ht="21.95" customHeight="1" x14ac:dyDescent="0.15"/>
    <row r="55197" s="9" customFormat="1" ht="21.95" customHeight="1" x14ac:dyDescent="0.15"/>
    <row r="55198" s="9" customFormat="1" ht="21.95" customHeight="1" x14ac:dyDescent="0.15"/>
    <row r="55199" s="9" customFormat="1" ht="21.95" customHeight="1" x14ac:dyDescent="0.15"/>
    <row r="55200" s="9" customFormat="1" ht="21.95" customHeight="1" x14ac:dyDescent="0.15"/>
    <row r="55201" s="9" customFormat="1" ht="21.95" customHeight="1" x14ac:dyDescent="0.15"/>
    <row r="55202" s="9" customFormat="1" ht="21.95" customHeight="1" x14ac:dyDescent="0.15"/>
    <row r="55203" s="9" customFormat="1" ht="21.95" customHeight="1" x14ac:dyDescent="0.15"/>
    <row r="55204" s="9" customFormat="1" ht="21.95" customHeight="1" x14ac:dyDescent="0.15"/>
    <row r="55205" s="9" customFormat="1" ht="21.95" customHeight="1" x14ac:dyDescent="0.15"/>
    <row r="55206" s="9" customFormat="1" ht="21.95" customHeight="1" x14ac:dyDescent="0.15"/>
    <row r="55207" s="9" customFormat="1" ht="21.95" customHeight="1" x14ac:dyDescent="0.15"/>
    <row r="55208" s="9" customFormat="1" ht="21.95" customHeight="1" x14ac:dyDescent="0.15"/>
    <row r="55209" s="9" customFormat="1" ht="21.95" customHeight="1" x14ac:dyDescent="0.15"/>
    <row r="55210" s="9" customFormat="1" ht="21.95" customHeight="1" x14ac:dyDescent="0.15"/>
    <row r="55211" s="9" customFormat="1" ht="21.95" customHeight="1" x14ac:dyDescent="0.15"/>
    <row r="55212" s="9" customFormat="1" ht="21.95" customHeight="1" x14ac:dyDescent="0.15"/>
    <row r="55213" s="9" customFormat="1" ht="21.95" customHeight="1" x14ac:dyDescent="0.15"/>
    <row r="55214" s="9" customFormat="1" ht="21.95" customHeight="1" x14ac:dyDescent="0.15"/>
    <row r="55215" s="9" customFormat="1" ht="21.95" customHeight="1" x14ac:dyDescent="0.15"/>
    <row r="55216" s="9" customFormat="1" ht="21.95" customHeight="1" x14ac:dyDescent="0.15"/>
    <row r="55217" s="9" customFormat="1" ht="21.95" customHeight="1" x14ac:dyDescent="0.15"/>
    <row r="55218" s="9" customFormat="1" ht="21.95" customHeight="1" x14ac:dyDescent="0.15"/>
    <row r="55219" s="9" customFormat="1" ht="21.95" customHeight="1" x14ac:dyDescent="0.15"/>
    <row r="55220" s="9" customFormat="1" ht="21.95" customHeight="1" x14ac:dyDescent="0.15"/>
    <row r="55221" s="9" customFormat="1" ht="21.95" customHeight="1" x14ac:dyDescent="0.15"/>
    <row r="55222" s="9" customFormat="1" ht="21.95" customHeight="1" x14ac:dyDescent="0.15"/>
    <row r="55223" s="9" customFormat="1" ht="21.95" customHeight="1" x14ac:dyDescent="0.15"/>
    <row r="55224" s="9" customFormat="1" ht="21.95" customHeight="1" x14ac:dyDescent="0.15"/>
    <row r="55225" s="9" customFormat="1" ht="21.95" customHeight="1" x14ac:dyDescent="0.15"/>
    <row r="55226" s="9" customFormat="1" ht="21.95" customHeight="1" x14ac:dyDescent="0.15"/>
    <row r="55227" s="9" customFormat="1" ht="21.95" customHeight="1" x14ac:dyDescent="0.15"/>
    <row r="55228" s="9" customFormat="1" ht="21.95" customHeight="1" x14ac:dyDescent="0.15"/>
    <row r="55229" s="9" customFormat="1" ht="21.95" customHeight="1" x14ac:dyDescent="0.15"/>
    <row r="55230" s="9" customFormat="1" ht="21.95" customHeight="1" x14ac:dyDescent="0.15"/>
    <row r="55231" s="9" customFormat="1" ht="21.95" customHeight="1" x14ac:dyDescent="0.15"/>
    <row r="55232" s="9" customFormat="1" ht="21.95" customHeight="1" x14ac:dyDescent="0.15"/>
    <row r="55233" s="9" customFormat="1" ht="21.95" customHeight="1" x14ac:dyDescent="0.15"/>
    <row r="55234" s="9" customFormat="1" ht="21.95" customHeight="1" x14ac:dyDescent="0.15"/>
    <row r="55235" s="9" customFormat="1" ht="21.95" customHeight="1" x14ac:dyDescent="0.15"/>
    <row r="55236" s="9" customFormat="1" ht="21.95" customHeight="1" x14ac:dyDescent="0.15"/>
    <row r="55237" s="9" customFormat="1" ht="21.95" customHeight="1" x14ac:dyDescent="0.15"/>
    <row r="55238" s="9" customFormat="1" ht="35.1" customHeight="1" x14ac:dyDescent="0.15"/>
    <row r="55239" s="9" customFormat="1" ht="21.95" customHeight="1" x14ac:dyDescent="0.15"/>
    <row r="55240" s="9" customFormat="1" ht="21.95" customHeight="1" x14ac:dyDescent="0.15"/>
    <row r="55241" s="9" customFormat="1" ht="21.95" customHeight="1" x14ac:dyDescent="0.15"/>
    <row r="55242" s="9" customFormat="1" ht="21.95" customHeight="1" x14ac:dyDescent="0.15"/>
    <row r="55243" s="9" customFormat="1" ht="21.95" customHeight="1" x14ac:dyDescent="0.15"/>
    <row r="55244" s="9" customFormat="1" ht="21.95" customHeight="1" x14ac:dyDescent="0.15"/>
    <row r="55245" s="9" customFormat="1" ht="21.95" customHeight="1" x14ac:dyDescent="0.15"/>
    <row r="55246" s="9" customFormat="1" ht="21.95" customHeight="1" x14ac:dyDescent="0.15"/>
    <row r="55247" s="9" customFormat="1" ht="21.95" customHeight="1" x14ac:dyDescent="0.15"/>
    <row r="55248" s="9" customFormat="1" ht="21.95" customHeight="1" x14ac:dyDescent="0.15"/>
    <row r="55249" spans="3:3" s="9" customFormat="1" ht="21.95" customHeight="1" x14ac:dyDescent="0.15"/>
    <row r="55250" spans="3:3" s="9" customFormat="1" ht="21.95" customHeight="1" x14ac:dyDescent="0.15"/>
    <row r="55251" spans="3:3" s="9" customFormat="1" ht="21.95" customHeight="1" x14ac:dyDescent="0.15"/>
    <row r="55252" spans="3:3" s="9" customFormat="1" ht="21.95" customHeight="1" x14ac:dyDescent="0.15"/>
    <row r="55253" spans="3:3" s="9" customFormat="1" ht="21.95" customHeight="1" x14ac:dyDescent="0.15"/>
    <row r="55254" spans="3:3" s="9" customFormat="1" ht="21.95" customHeight="1" x14ac:dyDescent="0.15"/>
    <row r="55255" spans="3:3" s="9" customFormat="1" ht="21.95" customHeight="1" x14ac:dyDescent="0.15"/>
    <row r="55256" spans="3:3" s="9" customFormat="1" ht="21.95" customHeight="1" x14ac:dyDescent="0.15"/>
    <row r="55257" spans="3:3" s="9" customFormat="1" ht="21.95" customHeight="1" x14ac:dyDescent="0.15"/>
    <row r="55258" spans="3:3" s="9" customFormat="1" ht="21.95" customHeight="1" x14ac:dyDescent="0.15"/>
    <row r="55259" spans="3:3" s="9" customFormat="1" ht="21.95" customHeight="1" x14ac:dyDescent="0.15"/>
    <row r="55260" spans="3:3" s="9" customFormat="1" ht="21.95" customHeight="1" x14ac:dyDescent="0.15"/>
    <row r="55261" spans="3:3" s="9" customFormat="1" ht="21.95" customHeight="1" x14ac:dyDescent="0.15"/>
    <row r="55262" spans="3:3" s="8" customFormat="1" ht="21.95" customHeight="1" x14ac:dyDescent="0.15"/>
    <row r="55263" spans="3:3" s="8" customFormat="1" ht="21.95" customHeight="1" x14ac:dyDescent="0.15"/>
    <row r="55264" spans="3:3" s="8" customFormat="1" ht="21.95" customHeight="1" x14ac:dyDescent="0.15">
      <c r="C55264" s="101"/>
    </row>
    <row r="55265" spans="3:3" s="8" customFormat="1" ht="21.95" customHeight="1" x14ac:dyDescent="0.15">
      <c r="C55265" s="101"/>
    </row>
    <row r="55266" spans="3:3" s="8" customFormat="1" ht="21.95" customHeight="1" x14ac:dyDescent="0.15"/>
    <row r="55267" spans="3:3" s="8" customFormat="1" ht="21.95" customHeight="1" x14ac:dyDescent="0.15"/>
    <row r="55268" spans="3:3" s="8" customFormat="1" ht="21.95" customHeight="1" x14ac:dyDescent="0.15"/>
    <row r="55269" spans="3:3" s="8" customFormat="1" ht="21.95" customHeight="1" x14ac:dyDescent="0.15"/>
    <row r="55270" spans="3:3" s="8" customFormat="1" ht="21.95" customHeight="1" x14ac:dyDescent="0.15"/>
    <row r="55271" spans="3:3" s="8" customFormat="1" ht="21.95" customHeight="1" x14ac:dyDescent="0.15"/>
    <row r="55272" spans="3:3" s="8" customFormat="1" ht="21.95" customHeight="1" x14ac:dyDescent="0.15"/>
    <row r="55273" spans="3:3" s="9" customFormat="1" ht="21.95" customHeight="1" x14ac:dyDescent="0.15"/>
    <row r="55274" spans="3:3" s="9" customFormat="1" ht="21.95" customHeight="1" x14ac:dyDescent="0.15"/>
    <row r="55275" spans="3:3" s="9" customFormat="1" ht="21.95" customHeight="1" x14ac:dyDescent="0.15"/>
    <row r="55276" spans="3:3" s="9" customFormat="1" ht="21.95" customHeight="1" x14ac:dyDescent="0.15"/>
    <row r="55277" spans="3:3" s="8" customFormat="1" ht="21.95" customHeight="1" x14ac:dyDescent="0.15"/>
    <row r="55278" spans="3:3" s="8" customFormat="1" ht="21.95" customHeight="1" x14ac:dyDescent="0.15"/>
    <row r="55279" spans="3:3" s="8" customFormat="1" ht="21.95" customHeight="1" x14ac:dyDescent="0.15"/>
    <row r="55280" spans="3:3" s="8" customFormat="1" ht="21.95" customHeight="1" x14ac:dyDescent="0.15"/>
    <row r="55281" s="8" customFormat="1" ht="21.95" customHeight="1" x14ac:dyDescent="0.15"/>
    <row r="55282" s="8" customFormat="1" ht="21.95" customHeight="1" x14ac:dyDescent="0.15"/>
    <row r="55283" s="8" customFormat="1" ht="21.95" customHeight="1" x14ac:dyDescent="0.15"/>
    <row r="55284" s="8" customFormat="1" ht="21.95" customHeight="1" x14ac:dyDescent="0.15"/>
    <row r="55285" s="8" customFormat="1" ht="21.95" customHeight="1" x14ac:dyDescent="0.15"/>
    <row r="55286" s="8" customFormat="1" ht="21.95" customHeight="1" x14ac:dyDescent="0.15"/>
    <row r="55287" s="8" customFormat="1" ht="21.95" customHeight="1" x14ac:dyDescent="0.15"/>
    <row r="55288" s="8" customFormat="1" ht="32.1" customHeight="1" x14ac:dyDescent="0.15"/>
    <row r="55289" s="8" customFormat="1" ht="32.1" customHeight="1" x14ac:dyDescent="0.15"/>
    <row r="55290" s="8" customFormat="1" ht="32.1" customHeight="1" x14ac:dyDescent="0.15"/>
    <row r="55291" s="8" customFormat="1" ht="32.1" customHeight="1" x14ac:dyDescent="0.15"/>
    <row r="55292" s="8" customFormat="1" ht="32.1" customHeight="1" x14ac:dyDescent="0.15"/>
    <row r="55293" s="8" customFormat="1" ht="32.1" customHeight="1" x14ac:dyDescent="0.15"/>
    <row r="55294" s="9" customFormat="1" ht="32.1" customHeight="1" x14ac:dyDescent="0.15"/>
    <row r="55295" s="9" customFormat="1" ht="32.1" customHeight="1" x14ac:dyDescent="0.15"/>
    <row r="55296" s="9" customFormat="1" ht="32.1" customHeight="1" x14ac:dyDescent="0.15"/>
    <row r="55297" s="9" customFormat="1" ht="32.1" customHeight="1" x14ac:dyDescent="0.15"/>
    <row r="55298" s="9" customFormat="1" ht="21.95" customHeight="1" x14ac:dyDescent="0.15"/>
    <row r="55299" s="9" customFormat="1" ht="54" customHeight="1" x14ac:dyDescent="0.15"/>
    <row r="55300" s="9" customFormat="1" ht="21.95" customHeight="1" x14ac:dyDescent="0.15"/>
    <row r="55301" s="9" customFormat="1" ht="21.95" customHeight="1" x14ac:dyDescent="0.15"/>
    <row r="55302" s="9" customFormat="1" ht="21.95" customHeight="1" x14ac:dyDescent="0.15"/>
    <row r="55303" s="9" customFormat="1" ht="21.95" customHeight="1" x14ac:dyDescent="0.15"/>
    <row r="55304" s="9" customFormat="1" ht="21.95" customHeight="1" x14ac:dyDescent="0.15"/>
    <row r="55305" s="9" customFormat="1" ht="21.95" customHeight="1" x14ac:dyDescent="0.15"/>
    <row r="55306" s="9" customFormat="1" ht="21.95" customHeight="1" x14ac:dyDescent="0.15"/>
    <row r="55307" s="9" customFormat="1" ht="21.95" customHeight="1" x14ac:dyDescent="0.15"/>
    <row r="55308" s="9" customFormat="1" ht="21.95" customHeight="1" x14ac:dyDescent="0.15"/>
    <row r="55309" s="9" customFormat="1" ht="21.95" customHeight="1" x14ac:dyDescent="0.15"/>
    <row r="55310" s="9" customFormat="1" ht="21.95" customHeight="1" x14ac:dyDescent="0.15"/>
    <row r="55311" s="9" customFormat="1" ht="21.95" customHeight="1" x14ac:dyDescent="0.15"/>
    <row r="55312" s="9" customFormat="1" ht="21.95" customHeight="1" x14ac:dyDescent="0.15"/>
    <row r="55313" s="9" customFormat="1" ht="21.95" customHeight="1" x14ac:dyDescent="0.15"/>
    <row r="55314" s="9" customFormat="1" ht="21.95" customHeight="1" x14ac:dyDescent="0.15"/>
    <row r="55315" s="9" customFormat="1" ht="21.95" customHeight="1" x14ac:dyDescent="0.15"/>
    <row r="55316" s="9" customFormat="1" ht="21.95" customHeight="1" x14ac:dyDescent="0.15"/>
    <row r="55317" s="9" customFormat="1" ht="21.95" customHeight="1" x14ac:dyDescent="0.15"/>
    <row r="55318" s="9" customFormat="1" ht="21.95" customHeight="1" x14ac:dyDescent="0.15"/>
    <row r="55319" s="9" customFormat="1" ht="21.95" customHeight="1" x14ac:dyDescent="0.15"/>
    <row r="55320" s="9" customFormat="1" ht="21.95" customHeight="1" x14ac:dyDescent="0.15"/>
    <row r="55321" s="9" customFormat="1" ht="21.95" customHeight="1" x14ac:dyDescent="0.15"/>
    <row r="55322" s="9" customFormat="1" ht="21.95" customHeight="1" x14ac:dyDescent="0.15"/>
    <row r="55323" s="9" customFormat="1" ht="21.95" customHeight="1" x14ac:dyDescent="0.15"/>
    <row r="55324" s="9" customFormat="1" ht="21.95" customHeight="1" x14ac:dyDescent="0.15"/>
    <row r="55325" s="9" customFormat="1" ht="21.95" customHeight="1" x14ac:dyDescent="0.15"/>
    <row r="55326" s="9" customFormat="1" ht="21.95" customHeight="1" x14ac:dyDescent="0.15"/>
    <row r="55327" s="9" customFormat="1" ht="21.95" customHeight="1" x14ac:dyDescent="0.15"/>
    <row r="55328" s="9" customFormat="1" ht="21.95" customHeight="1" x14ac:dyDescent="0.15"/>
    <row r="55329" s="9" customFormat="1" ht="21.95" customHeight="1" x14ac:dyDescent="0.15"/>
    <row r="55330" s="9" customFormat="1" ht="21.95" customHeight="1" x14ac:dyDescent="0.15"/>
    <row r="55331" s="9" customFormat="1" ht="21.95" customHeight="1" x14ac:dyDescent="0.15"/>
    <row r="55332" s="9" customFormat="1" ht="21.95" customHeight="1" x14ac:dyDescent="0.15"/>
    <row r="55333" s="9" customFormat="1" ht="21.95" customHeight="1" x14ac:dyDescent="0.15"/>
    <row r="55334" s="9" customFormat="1" ht="21.95" customHeight="1" x14ac:dyDescent="0.15"/>
    <row r="55335" s="9" customFormat="1" ht="21.95" customHeight="1" x14ac:dyDescent="0.15"/>
    <row r="55336" s="9" customFormat="1" ht="21.95" customHeight="1" x14ac:dyDescent="0.15"/>
    <row r="55337" s="9" customFormat="1" ht="21.95" customHeight="1" x14ac:dyDescent="0.15"/>
    <row r="55338" s="9" customFormat="1" ht="21.95" customHeight="1" x14ac:dyDescent="0.15"/>
    <row r="55339" s="9" customFormat="1" ht="21.95" customHeight="1" x14ac:dyDescent="0.15"/>
    <row r="55340" s="9" customFormat="1" ht="21.95" customHeight="1" x14ac:dyDescent="0.15"/>
    <row r="55341" s="9" customFormat="1" ht="21.95" customHeight="1" x14ac:dyDescent="0.15"/>
    <row r="55342" s="9" customFormat="1" ht="21.95" customHeight="1" x14ac:dyDescent="0.15"/>
    <row r="55343" s="9" customFormat="1" ht="21.95" customHeight="1" x14ac:dyDescent="0.15"/>
    <row r="55344" s="9" customFormat="1" ht="21.95" customHeight="1" x14ac:dyDescent="0.15"/>
    <row r="55345" s="9" customFormat="1" ht="21.95" customHeight="1" x14ac:dyDescent="0.15"/>
    <row r="55346" s="9" customFormat="1" ht="21.95" customHeight="1" x14ac:dyDescent="0.15"/>
    <row r="55347" s="9" customFormat="1" ht="21.95" customHeight="1" x14ac:dyDescent="0.15"/>
    <row r="55348" s="9" customFormat="1" ht="21.95" customHeight="1" x14ac:dyDescent="0.15"/>
    <row r="55349" s="9" customFormat="1" ht="21.95" customHeight="1" x14ac:dyDescent="0.15"/>
    <row r="55350" s="9" customFormat="1" ht="35.1" customHeight="1" x14ac:dyDescent="0.15"/>
    <row r="55351" s="9" customFormat="1" ht="21.95" customHeight="1" x14ac:dyDescent="0.15"/>
    <row r="55352" s="9" customFormat="1" ht="21.95" customHeight="1" x14ac:dyDescent="0.15"/>
    <row r="55353" s="9" customFormat="1" ht="21.95" customHeight="1" x14ac:dyDescent="0.15"/>
    <row r="55354" s="9" customFormat="1" ht="21.95" customHeight="1" x14ac:dyDescent="0.15"/>
    <row r="55355" s="9" customFormat="1" ht="21.95" customHeight="1" x14ac:dyDescent="0.15"/>
    <row r="55356" s="9" customFormat="1" ht="21.95" customHeight="1" x14ac:dyDescent="0.15"/>
    <row r="55357" s="9" customFormat="1" ht="21.95" customHeight="1" x14ac:dyDescent="0.15"/>
    <row r="55358" s="9" customFormat="1" ht="21.95" customHeight="1" x14ac:dyDescent="0.15"/>
    <row r="55359" s="9" customFormat="1" ht="21.95" customHeight="1" x14ac:dyDescent="0.15"/>
    <row r="55360" s="9" customFormat="1" ht="21.95" customHeight="1" x14ac:dyDescent="0.15"/>
    <row r="55361" spans="3:3" s="9" customFormat="1" ht="21.95" customHeight="1" x14ac:dyDescent="0.15"/>
    <row r="55362" spans="3:3" s="9" customFormat="1" ht="21.95" customHeight="1" x14ac:dyDescent="0.15"/>
    <row r="55363" spans="3:3" s="9" customFormat="1" ht="21.95" customHeight="1" x14ac:dyDescent="0.15"/>
    <row r="55364" spans="3:3" s="9" customFormat="1" ht="21.95" customHeight="1" x14ac:dyDescent="0.15"/>
    <row r="55365" spans="3:3" s="9" customFormat="1" ht="21.95" customHeight="1" x14ac:dyDescent="0.15"/>
    <row r="55366" spans="3:3" s="9" customFormat="1" ht="21.95" customHeight="1" x14ac:dyDescent="0.15"/>
    <row r="55367" spans="3:3" s="9" customFormat="1" ht="21.95" customHeight="1" x14ac:dyDescent="0.15"/>
    <row r="55368" spans="3:3" s="9" customFormat="1" ht="21.95" customHeight="1" x14ac:dyDescent="0.15"/>
    <row r="55369" spans="3:3" s="9" customFormat="1" ht="21.95" customHeight="1" x14ac:dyDescent="0.15"/>
    <row r="55370" spans="3:3" s="9" customFormat="1" ht="21.95" customHeight="1" x14ac:dyDescent="0.15"/>
    <row r="55371" spans="3:3" s="9" customFormat="1" ht="21.95" customHeight="1" x14ac:dyDescent="0.15"/>
    <row r="55372" spans="3:3" s="9" customFormat="1" ht="21.95" customHeight="1" x14ac:dyDescent="0.15"/>
    <row r="55373" spans="3:3" s="9" customFormat="1" ht="21.95" customHeight="1" x14ac:dyDescent="0.15"/>
    <row r="55374" spans="3:3" s="8" customFormat="1" ht="21.95" customHeight="1" x14ac:dyDescent="0.15"/>
    <row r="55375" spans="3:3" s="8" customFormat="1" ht="21.95" customHeight="1" x14ac:dyDescent="0.15"/>
    <row r="55376" spans="3:3" s="8" customFormat="1" ht="21.95" customHeight="1" x14ac:dyDescent="0.15">
      <c r="C55376" s="101"/>
    </row>
    <row r="55377" spans="3:3" s="8" customFormat="1" ht="21.95" customHeight="1" x14ac:dyDescent="0.15">
      <c r="C55377" s="101"/>
    </row>
    <row r="55378" spans="3:3" s="8" customFormat="1" ht="21.95" customHeight="1" x14ac:dyDescent="0.15"/>
    <row r="55379" spans="3:3" s="8" customFormat="1" ht="21.95" customHeight="1" x14ac:dyDescent="0.15"/>
    <row r="55380" spans="3:3" s="8" customFormat="1" ht="21.95" customHeight="1" x14ac:dyDescent="0.15"/>
    <row r="55381" spans="3:3" s="8" customFormat="1" ht="21.95" customHeight="1" x14ac:dyDescent="0.15"/>
    <row r="55382" spans="3:3" s="8" customFormat="1" ht="21.95" customHeight="1" x14ac:dyDescent="0.15"/>
    <row r="55383" spans="3:3" s="8" customFormat="1" ht="21.95" customHeight="1" x14ac:dyDescent="0.15"/>
    <row r="55384" spans="3:3" s="8" customFormat="1" ht="21.95" customHeight="1" x14ac:dyDescent="0.15"/>
    <row r="55385" spans="3:3" s="9" customFormat="1" ht="21.95" customHeight="1" x14ac:dyDescent="0.15"/>
    <row r="55386" spans="3:3" s="9" customFormat="1" ht="21.95" customHeight="1" x14ac:dyDescent="0.15"/>
    <row r="55387" spans="3:3" s="9" customFormat="1" ht="21.95" customHeight="1" x14ac:dyDescent="0.15"/>
    <row r="55388" spans="3:3" s="9" customFormat="1" ht="21.95" customHeight="1" x14ac:dyDescent="0.15"/>
    <row r="55389" spans="3:3" s="8" customFormat="1" ht="21.95" customHeight="1" x14ac:dyDescent="0.15"/>
    <row r="55390" spans="3:3" s="8" customFormat="1" ht="21.95" customHeight="1" x14ac:dyDescent="0.15"/>
    <row r="55391" spans="3:3" s="8" customFormat="1" ht="21.95" customHeight="1" x14ac:dyDescent="0.15"/>
    <row r="55392" spans="3:3" s="8" customFormat="1" ht="21.95" customHeight="1" x14ac:dyDescent="0.15"/>
    <row r="55393" s="8" customFormat="1" ht="21.95" customHeight="1" x14ac:dyDescent="0.15"/>
    <row r="55394" s="8" customFormat="1" ht="21.95" customHeight="1" x14ac:dyDescent="0.15"/>
    <row r="55395" s="8" customFormat="1" ht="21.95" customHeight="1" x14ac:dyDescent="0.15"/>
    <row r="55396" s="8" customFormat="1" ht="21.95" customHeight="1" x14ac:dyDescent="0.15"/>
    <row r="55397" s="8" customFormat="1" ht="21.95" customHeight="1" x14ac:dyDescent="0.15"/>
    <row r="55398" s="8" customFormat="1" ht="21.95" customHeight="1" x14ac:dyDescent="0.15"/>
    <row r="55399" s="8" customFormat="1" ht="21.95" customHeight="1" x14ac:dyDescent="0.15"/>
    <row r="55400" s="8" customFormat="1" ht="32.1" customHeight="1" x14ac:dyDescent="0.15"/>
    <row r="55401" s="8" customFormat="1" ht="32.1" customHeight="1" x14ac:dyDescent="0.15"/>
    <row r="55402" s="8" customFormat="1" ht="32.1" customHeight="1" x14ac:dyDescent="0.15"/>
    <row r="55403" s="8" customFormat="1" ht="32.1" customHeight="1" x14ac:dyDescent="0.15"/>
    <row r="55404" s="8" customFormat="1" ht="32.1" customHeight="1" x14ac:dyDescent="0.15"/>
    <row r="55405" s="8" customFormat="1" ht="32.1" customHeight="1" x14ac:dyDescent="0.15"/>
    <row r="55406" s="9" customFormat="1" ht="32.1" customHeight="1" x14ac:dyDescent="0.15"/>
    <row r="55407" s="9" customFormat="1" ht="32.1" customHeight="1" x14ac:dyDescent="0.15"/>
    <row r="55408" s="9" customFormat="1" ht="32.1" customHeight="1" x14ac:dyDescent="0.15"/>
    <row r="55409" s="9" customFormat="1" ht="32.1" customHeight="1" x14ac:dyDescent="0.15"/>
    <row r="55410" s="9" customFormat="1" ht="21.95" customHeight="1" x14ac:dyDescent="0.15"/>
    <row r="55411" s="9" customFormat="1" ht="54" customHeight="1" x14ac:dyDescent="0.15"/>
    <row r="55412" s="9" customFormat="1" ht="21.95" customHeight="1" x14ac:dyDescent="0.15"/>
    <row r="55413" s="9" customFormat="1" ht="21.95" customHeight="1" x14ac:dyDescent="0.15"/>
    <row r="55414" s="9" customFormat="1" ht="21.95" customHeight="1" x14ac:dyDescent="0.15"/>
    <row r="55415" s="9" customFormat="1" ht="21.95" customHeight="1" x14ac:dyDescent="0.15"/>
    <row r="55416" s="9" customFormat="1" ht="21.95" customHeight="1" x14ac:dyDescent="0.15"/>
    <row r="55417" s="9" customFormat="1" ht="21.95" customHeight="1" x14ac:dyDescent="0.15"/>
    <row r="55418" s="9" customFormat="1" ht="21.95" customHeight="1" x14ac:dyDescent="0.15"/>
    <row r="55419" s="9" customFormat="1" ht="21.95" customHeight="1" x14ac:dyDescent="0.15"/>
    <row r="55420" s="9" customFormat="1" ht="21.95" customHeight="1" x14ac:dyDescent="0.15"/>
    <row r="55421" s="9" customFormat="1" ht="21.95" customHeight="1" x14ac:dyDescent="0.15"/>
    <row r="55422" s="9" customFormat="1" ht="21.95" customHeight="1" x14ac:dyDescent="0.15"/>
    <row r="55423" s="9" customFormat="1" ht="21.95" customHeight="1" x14ac:dyDescent="0.15"/>
    <row r="55424" s="9" customFormat="1" ht="21.95" customHeight="1" x14ac:dyDescent="0.15"/>
    <row r="55425" s="9" customFormat="1" ht="21.95" customHeight="1" x14ac:dyDescent="0.15"/>
    <row r="55426" s="9" customFormat="1" ht="21.95" customHeight="1" x14ac:dyDescent="0.15"/>
    <row r="55427" s="9" customFormat="1" ht="21.95" customHeight="1" x14ac:dyDescent="0.15"/>
    <row r="55428" s="9" customFormat="1" ht="21.95" customHeight="1" x14ac:dyDescent="0.15"/>
    <row r="55429" s="9" customFormat="1" ht="21.95" customHeight="1" x14ac:dyDescent="0.15"/>
    <row r="55430" s="9" customFormat="1" ht="21.95" customHeight="1" x14ac:dyDescent="0.15"/>
    <row r="55431" s="9" customFormat="1" ht="21.95" customHeight="1" x14ac:dyDescent="0.15"/>
    <row r="55432" s="9" customFormat="1" ht="21.95" customHeight="1" x14ac:dyDescent="0.15"/>
    <row r="55433" s="9" customFormat="1" ht="21.95" customHeight="1" x14ac:dyDescent="0.15"/>
    <row r="55434" s="9" customFormat="1" ht="21.95" customHeight="1" x14ac:dyDescent="0.15"/>
    <row r="55435" s="9" customFormat="1" ht="21.95" customHeight="1" x14ac:dyDescent="0.15"/>
    <row r="55436" s="9" customFormat="1" ht="21.95" customHeight="1" x14ac:dyDescent="0.15"/>
    <row r="55437" s="9" customFormat="1" ht="21.95" customHeight="1" x14ac:dyDescent="0.15"/>
    <row r="55438" s="9" customFormat="1" ht="21.95" customHeight="1" x14ac:dyDescent="0.15"/>
    <row r="55439" s="9" customFormat="1" ht="21.95" customHeight="1" x14ac:dyDescent="0.15"/>
    <row r="55440" s="9" customFormat="1" ht="21.95" customHeight="1" x14ac:dyDescent="0.15"/>
    <row r="55441" s="9" customFormat="1" ht="21.95" customHeight="1" x14ac:dyDescent="0.15"/>
    <row r="55442" s="9" customFormat="1" ht="21.95" customHeight="1" x14ac:dyDescent="0.15"/>
    <row r="55443" s="9" customFormat="1" ht="21.95" customHeight="1" x14ac:dyDescent="0.15"/>
    <row r="55444" s="9" customFormat="1" ht="21.95" customHeight="1" x14ac:dyDescent="0.15"/>
    <row r="55445" s="9" customFormat="1" ht="21.95" customHeight="1" x14ac:dyDescent="0.15"/>
    <row r="55446" s="9" customFormat="1" ht="21.95" customHeight="1" x14ac:dyDescent="0.15"/>
    <row r="55447" s="9" customFormat="1" ht="21.95" customHeight="1" x14ac:dyDescent="0.15"/>
    <row r="55448" s="9" customFormat="1" ht="21.95" customHeight="1" x14ac:dyDescent="0.15"/>
    <row r="55449" s="9" customFormat="1" ht="21.95" customHeight="1" x14ac:dyDescent="0.15"/>
    <row r="55450" s="9" customFormat="1" ht="21.95" customHeight="1" x14ac:dyDescent="0.15"/>
    <row r="55451" s="9" customFormat="1" ht="21.95" customHeight="1" x14ac:dyDescent="0.15"/>
    <row r="55452" s="9" customFormat="1" ht="21.95" customHeight="1" x14ac:dyDescent="0.15"/>
    <row r="55453" s="9" customFormat="1" ht="21.95" customHeight="1" x14ac:dyDescent="0.15"/>
    <row r="55454" s="9" customFormat="1" ht="21.95" customHeight="1" x14ac:dyDescent="0.15"/>
    <row r="55455" s="9" customFormat="1" ht="21.95" customHeight="1" x14ac:dyDescent="0.15"/>
    <row r="55456" s="9" customFormat="1" ht="21.95" customHeight="1" x14ac:dyDescent="0.15"/>
    <row r="55457" s="9" customFormat="1" ht="21.95" customHeight="1" x14ac:dyDescent="0.15"/>
    <row r="55458" s="9" customFormat="1" ht="21.95" customHeight="1" x14ac:dyDescent="0.15"/>
    <row r="55459" s="9" customFormat="1" ht="21.95" customHeight="1" x14ac:dyDescent="0.15"/>
    <row r="55460" s="9" customFormat="1" ht="21.95" customHeight="1" x14ac:dyDescent="0.15"/>
    <row r="55461" s="9" customFormat="1" ht="21.95" customHeight="1" x14ac:dyDescent="0.15"/>
    <row r="55462" s="9" customFormat="1" ht="35.1" customHeight="1" x14ac:dyDescent="0.15"/>
    <row r="55463" s="9" customFormat="1" ht="21.95" customHeight="1" x14ac:dyDescent="0.15"/>
    <row r="55464" s="9" customFormat="1" ht="21.95" customHeight="1" x14ac:dyDescent="0.15"/>
    <row r="55465" s="9" customFormat="1" ht="21.95" customHeight="1" x14ac:dyDescent="0.15"/>
    <row r="55466" s="9" customFormat="1" ht="21.95" customHeight="1" x14ac:dyDescent="0.15"/>
    <row r="55467" s="9" customFormat="1" ht="21.95" customHeight="1" x14ac:dyDescent="0.15"/>
    <row r="55468" s="9" customFormat="1" ht="21.95" customHeight="1" x14ac:dyDescent="0.15"/>
    <row r="55469" s="9" customFormat="1" ht="21.95" customHeight="1" x14ac:dyDescent="0.15"/>
    <row r="55470" s="9" customFormat="1" ht="21.95" customHeight="1" x14ac:dyDescent="0.15"/>
    <row r="55471" s="9" customFormat="1" ht="21.95" customHeight="1" x14ac:dyDescent="0.15"/>
    <row r="55472" s="9" customFormat="1" ht="21.95" customHeight="1" x14ac:dyDescent="0.15"/>
    <row r="55473" spans="3:3" s="9" customFormat="1" ht="21.95" customHeight="1" x14ac:dyDescent="0.15"/>
    <row r="55474" spans="3:3" s="9" customFormat="1" ht="21.95" customHeight="1" x14ac:dyDescent="0.15"/>
    <row r="55475" spans="3:3" s="9" customFormat="1" ht="21.95" customHeight="1" x14ac:dyDescent="0.15"/>
    <row r="55476" spans="3:3" s="9" customFormat="1" ht="21.95" customHeight="1" x14ac:dyDescent="0.15"/>
    <row r="55477" spans="3:3" s="9" customFormat="1" ht="21.95" customHeight="1" x14ac:dyDescent="0.15"/>
    <row r="55478" spans="3:3" s="9" customFormat="1" ht="21.95" customHeight="1" x14ac:dyDescent="0.15"/>
    <row r="55479" spans="3:3" s="9" customFormat="1" ht="21.95" customHeight="1" x14ac:dyDescent="0.15"/>
    <row r="55480" spans="3:3" s="9" customFormat="1" ht="21.95" customHeight="1" x14ac:dyDescent="0.15"/>
    <row r="55481" spans="3:3" s="9" customFormat="1" ht="21.95" customHeight="1" x14ac:dyDescent="0.15"/>
    <row r="55482" spans="3:3" s="9" customFormat="1" ht="21.95" customHeight="1" x14ac:dyDescent="0.15"/>
    <row r="55483" spans="3:3" s="9" customFormat="1" ht="21.95" customHeight="1" x14ac:dyDescent="0.15"/>
    <row r="55484" spans="3:3" s="9" customFormat="1" ht="21.95" customHeight="1" x14ac:dyDescent="0.15"/>
    <row r="55485" spans="3:3" s="9" customFormat="1" ht="21.95" customHeight="1" x14ac:dyDescent="0.15"/>
    <row r="55486" spans="3:3" s="8" customFormat="1" ht="21.95" customHeight="1" x14ac:dyDescent="0.15"/>
    <row r="55487" spans="3:3" s="8" customFormat="1" ht="21.95" customHeight="1" x14ac:dyDescent="0.15"/>
    <row r="55488" spans="3:3" s="8" customFormat="1" ht="21.95" customHeight="1" x14ac:dyDescent="0.15">
      <c r="C55488" s="101"/>
    </row>
    <row r="55489" spans="3:3" s="8" customFormat="1" ht="21.95" customHeight="1" x14ac:dyDescent="0.15">
      <c r="C55489" s="101"/>
    </row>
    <row r="55490" spans="3:3" s="8" customFormat="1" ht="21.95" customHeight="1" x14ac:dyDescent="0.15"/>
    <row r="55491" spans="3:3" s="8" customFormat="1" ht="21.95" customHeight="1" x14ac:dyDescent="0.15"/>
    <row r="55492" spans="3:3" s="8" customFormat="1" ht="21.95" customHeight="1" x14ac:dyDescent="0.15"/>
    <row r="55493" spans="3:3" s="8" customFormat="1" ht="21.95" customHeight="1" x14ac:dyDescent="0.15"/>
    <row r="55494" spans="3:3" s="8" customFormat="1" ht="21.95" customHeight="1" x14ac:dyDescent="0.15"/>
    <row r="55495" spans="3:3" s="8" customFormat="1" ht="21.95" customHeight="1" x14ac:dyDescent="0.15"/>
    <row r="55496" spans="3:3" s="8" customFormat="1" ht="21.95" customHeight="1" x14ac:dyDescent="0.15"/>
    <row r="55497" spans="3:3" s="9" customFormat="1" ht="21.95" customHeight="1" x14ac:dyDescent="0.15"/>
    <row r="55498" spans="3:3" s="9" customFormat="1" ht="21.95" customHeight="1" x14ac:dyDescent="0.15"/>
    <row r="55499" spans="3:3" s="9" customFormat="1" ht="21.95" customHeight="1" x14ac:dyDescent="0.15"/>
    <row r="55500" spans="3:3" s="9" customFormat="1" ht="21.95" customHeight="1" x14ac:dyDescent="0.15"/>
    <row r="55501" spans="3:3" s="8" customFormat="1" ht="21.95" customHeight="1" x14ac:dyDescent="0.15"/>
    <row r="55502" spans="3:3" s="8" customFormat="1" ht="21.95" customHeight="1" x14ac:dyDescent="0.15"/>
    <row r="55503" spans="3:3" s="8" customFormat="1" ht="21.95" customHeight="1" x14ac:dyDescent="0.15"/>
    <row r="55504" spans="3:3" s="8" customFormat="1" ht="21.95" customHeight="1" x14ac:dyDescent="0.15"/>
    <row r="55505" s="8" customFormat="1" ht="21.95" customHeight="1" x14ac:dyDescent="0.15"/>
    <row r="55506" s="8" customFormat="1" ht="21.95" customHeight="1" x14ac:dyDescent="0.15"/>
    <row r="55507" s="8" customFormat="1" ht="21.95" customHeight="1" x14ac:dyDescent="0.15"/>
    <row r="55508" s="8" customFormat="1" ht="21.95" customHeight="1" x14ac:dyDescent="0.15"/>
    <row r="55509" s="8" customFormat="1" ht="21.95" customHeight="1" x14ac:dyDescent="0.15"/>
    <row r="55510" s="8" customFormat="1" ht="21.95" customHeight="1" x14ac:dyDescent="0.15"/>
    <row r="55511" s="8" customFormat="1" ht="21.95" customHeight="1" x14ac:dyDescent="0.15"/>
    <row r="55512" s="8" customFormat="1" ht="32.1" customHeight="1" x14ac:dyDescent="0.15"/>
    <row r="55513" s="8" customFormat="1" ht="32.1" customHeight="1" x14ac:dyDescent="0.15"/>
    <row r="55514" s="8" customFormat="1" ht="32.1" customHeight="1" x14ac:dyDescent="0.15"/>
    <row r="55515" s="8" customFormat="1" ht="32.1" customHeight="1" x14ac:dyDescent="0.15"/>
    <row r="55516" s="8" customFormat="1" ht="32.1" customHeight="1" x14ac:dyDescent="0.15"/>
    <row r="55517" s="8" customFormat="1" ht="32.1" customHeight="1" x14ac:dyDescent="0.15"/>
    <row r="55518" s="9" customFormat="1" ht="32.1" customHeight="1" x14ac:dyDescent="0.15"/>
    <row r="55519" s="9" customFormat="1" ht="32.1" customHeight="1" x14ac:dyDescent="0.15"/>
    <row r="55520" s="9" customFormat="1" ht="32.1" customHeight="1" x14ac:dyDescent="0.15"/>
    <row r="55521" s="9" customFormat="1" ht="32.1" customHeight="1" x14ac:dyDescent="0.15"/>
    <row r="55522" s="9" customFormat="1" ht="21.95" customHeight="1" x14ac:dyDescent="0.15"/>
    <row r="55523" s="9" customFormat="1" ht="54" customHeight="1" x14ac:dyDescent="0.15"/>
    <row r="55524" s="9" customFormat="1" ht="21.95" customHeight="1" x14ac:dyDescent="0.15"/>
    <row r="55525" s="9" customFormat="1" ht="21.95" customHeight="1" x14ac:dyDescent="0.15"/>
    <row r="55526" s="9" customFormat="1" ht="21.95" customHeight="1" x14ac:dyDescent="0.15"/>
    <row r="55527" s="9" customFormat="1" ht="21.95" customHeight="1" x14ac:dyDescent="0.15"/>
    <row r="55528" s="9" customFormat="1" ht="21.95" customHeight="1" x14ac:dyDescent="0.15"/>
    <row r="55529" s="9" customFormat="1" ht="21.95" customHeight="1" x14ac:dyDescent="0.15"/>
    <row r="55530" s="9" customFormat="1" ht="21.95" customHeight="1" x14ac:dyDescent="0.15"/>
    <row r="55531" s="9" customFormat="1" ht="21.95" customHeight="1" x14ac:dyDescent="0.15"/>
    <row r="55532" s="9" customFormat="1" ht="21.95" customHeight="1" x14ac:dyDescent="0.15"/>
    <row r="55533" s="9" customFormat="1" ht="21.95" customHeight="1" x14ac:dyDescent="0.15"/>
    <row r="55534" s="9" customFormat="1" ht="21.95" customHeight="1" x14ac:dyDescent="0.15"/>
    <row r="55535" s="9" customFormat="1" ht="21.95" customHeight="1" x14ac:dyDescent="0.15"/>
    <row r="55536" s="9" customFormat="1" ht="21.95" customHeight="1" x14ac:dyDescent="0.15"/>
    <row r="55537" s="9" customFormat="1" ht="21.95" customHeight="1" x14ac:dyDescent="0.15"/>
    <row r="55538" s="9" customFormat="1" ht="21.95" customHeight="1" x14ac:dyDescent="0.15"/>
    <row r="55539" s="9" customFormat="1" ht="21.95" customHeight="1" x14ac:dyDescent="0.15"/>
    <row r="55540" s="9" customFormat="1" ht="21.95" customHeight="1" x14ac:dyDescent="0.15"/>
    <row r="55541" s="9" customFormat="1" ht="21.95" customHeight="1" x14ac:dyDescent="0.15"/>
    <row r="55542" s="9" customFormat="1" ht="21.95" customHeight="1" x14ac:dyDescent="0.15"/>
    <row r="55543" s="9" customFormat="1" ht="21.95" customHeight="1" x14ac:dyDescent="0.15"/>
    <row r="55544" s="9" customFormat="1" ht="21.95" customHeight="1" x14ac:dyDescent="0.15"/>
    <row r="55545" s="9" customFormat="1" ht="21.95" customHeight="1" x14ac:dyDescent="0.15"/>
    <row r="55546" s="9" customFormat="1" ht="21.95" customHeight="1" x14ac:dyDescent="0.15"/>
    <row r="55547" s="9" customFormat="1" ht="21.95" customHeight="1" x14ac:dyDescent="0.15"/>
    <row r="55548" s="9" customFormat="1" ht="21.95" customHeight="1" x14ac:dyDescent="0.15"/>
    <row r="55549" s="9" customFormat="1" ht="21.95" customHeight="1" x14ac:dyDescent="0.15"/>
    <row r="55550" s="9" customFormat="1" ht="21.95" customHeight="1" x14ac:dyDescent="0.15"/>
    <row r="55551" s="9" customFormat="1" ht="21.95" customHeight="1" x14ac:dyDescent="0.15"/>
    <row r="55552" s="9" customFormat="1" ht="21.95" customHeight="1" x14ac:dyDescent="0.15"/>
    <row r="55553" s="9" customFormat="1" ht="21.95" customHeight="1" x14ac:dyDescent="0.15"/>
    <row r="55554" s="9" customFormat="1" ht="21.95" customHeight="1" x14ac:dyDescent="0.15"/>
    <row r="55555" s="9" customFormat="1" ht="21.95" customHeight="1" x14ac:dyDescent="0.15"/>
    <row r="55556" s="9" customFormat="1" ht="21.95" customHeight="1" x14ac:dyDescent="0.15"/>
    <row r="55557" s="9" customFormat="1" ht="21.95" customHeight="1" x14ac:dyDescent="0.15"/>
    <row r="55558" s="9" customFormat="1" ht="21.95" customHeight="1" x14ac:dyDescent="0.15"/>
    <row r="55559" s="9" customFormat="1" ht="21.95" customHeight="1" x14ac:dyDescent="0.15"/>
    <row r="55560" s="9" customFormat="1" ht="21.95" customHeight="1" x14ac:dyDescent="0.15"/>
    <row r="55561" s="9" customFormat="1" ht="21.95" customHeight="1" x14ac:dyDescent="0.15"/>
    <row r="55562" s="9" customFormat="1" ht="21.95" customHeight="1" x14ac:dyDescent="0.15"/>
    <row r="55563" s="9" customFormat="1" ht="21.95" customHeight="1" x14ac:dyDescent="0.15"/>
    <row r="55564" s="9" customFormat="1" ht="21.95" customHeight="1" x14ac:dyDescent="0.15"/>
    <row r="55565" s="9" customFormat="1" ht="21.95" customHeight="1" x14ac:dyDescent="0.15"/>
    <row r="55566" s="9" customFormat="1" ht="21.95" customHeight="1" x14ac:dyDescent="0.15"/>
    <row r="55567" s="9" customFormat="1" ht="21.95" customHeight="1" x14ac:dyDescent="0.15"/>
    <row r="55568" s="9" customFormat="1" ht="21.95" customHeight="1" x14ac:dyDescent="0.15"/>
    <row r="55569" s="9" customFormat="1" ht="21.95" customHeight="1" x14ac:dyDescent="0.15"/>
    <row r="55570" s="9" customFormat="1" ht="21.95" customHeight="1" x14ac:dyDescent="0.15"/>
    <row r="55571" s="9" customFormat="1" ht="21.95" customHeight="1" x14ac:dyDescent="0.15"/>
    <row r="55572" s="9" customFormat="1" ht="21.95" customHeight="1" x14ac:dyDescent="0.15"/>
    <row r="55573" s="9" customFormat="1" ht="21.95" customHeight="1" x14ac:dyDescent="0.15"/>
    <row r="55574" s="9" customFormat="1" ht="35.1" customHeight="1" x14ac:dyDescent="0.15"/>
    <row r="55575" s="9" customFormat="1" ht="21.95" customHeight="1" x14ac:dyDescent="0.15"/>
    <row r="55576" s="9" customFormat="1" ht="21.95" customHeight="1" x14ac:dyDescent="0.15"/>
    <row r="55577" s="9" customFormat="1" ht="21.95" customHeight="1" x14ac:dyDescent="0.15"/>
    <row r="55578" s="9" customFormat="1" ht="21.95" customHeight="1" x14ac:dyDescent="0.15"/>
    <row r="55579" s="9" customFormat="1" ht="21.95" customHeight="1" x14ac:dyDescent="0.15"/>
    <row r="55580" s="9" customFormat="1" ht="21.95" customHeight="1" x14ac:dyDescent="0.15"/>
    <row r="55581" s="9" customFormat="1" ht="21.95" customHeight="1" x14ac:dyDescent="0.15"/>
    <row r="55582" s="9" customFormat="1" ht="21.95" customHeight="1" x14ac:dyDescent="0.15"/>
    <row r="55583" s="9" customFormat="1" ht="21.95" customHeight="1" x14ac:dyDescent="0.15"/>
    <row r="55584" s="9" customFormat="1" ht="21.95" customHeight="1" x14ac:dyDescent="0.15"/>
    <row r="55585" spans="3:3" s="9" customFormat="1" ht="21.95" customHeight="1" x14ac:dyDescent="0.15"/>
    <row r="55586" spans="3:3" s="9" customFormat="1" ht="21.95" customHeight="1" x14ac:dyDescent="0.15"/>
    <row r="55587" spans="3:3" s="9" customFormat="1" ht="21.95" customHeight="1" x14ac:dyDescent="0.15"/>
    <row r="55588" spans="3:3" s="9" customFormat="1" ht="21.95" customHeight="1" x14ac:dyDescent="0.15"/>
    <row r="55589" spans="3:3" s="9" customFormat="1" ht="21.95" customHeight="1" x14ac:dyDescent="0.15"/>
    <row r="55590" spans="3:3" s="9" customFormat="1" ht="21.95" customHeight="1" x14ac:dyDescent="0.15"/>
    <row r="55591" spans="3:3" s="9" customFormat="1" ht="21.95" customHeight="1" x14ac:dyDescent="0.15"/>
    <row r="55592" spans="3:3" s="9" customFormat="1" ht="21.95" customHeight="1" x14ac:dyDescent="0.15"/>
    <row r="55593" spans="3:3" s="9" customFormat="1" ht="21.95" customHeight="1" x14ac:dyDescent="0.15"/>
    <row r="55594" spans="3:3" s="9" customFormat="1" ht="21.95" customHeight="1" x14ac:dyDescent="0.15"/>
    <row r="55595" spans="3:3" s="9" customFormat="1" ht="21.95" customHeight="1" x14ac:dyDescent="0.15"/>
    <row r="55596" spans="3:3" s="9" customFormat="1" ht="21.95" customHeight="1" x14ac:dyDescent="0.15"/>
    <row r="55597" spans="3:3" s="9" customFormat="1" ht="21.95" customHeight="1" x14ac:dyDescent="0.15"/>
    <row r="55598" spans="3:3" s="8" customFormat="1" ht="21.95" customHeight="1" x14ac:dyDescent="0.15"/>
    <row r="55599" spans="3:3" s="8" customFormat="1" ht="21.95" customHeight="1" x14ac:dyDescent="0.15"/>
    <row r="55600" spans="3:3" s="8" customFormat="1" ht="21.95" customHeight="1" x14ac:dyDescent="0.15">
      <c r="C55600" s="101"/>
    </row>
    <row r="55601" spans="3:3" s="8" customFormat="1" ht="21.95" customHeight="1" x14ac:dyDescent="0.15">
      <c r="C55601" s="101"/>
    </row>
    <row r="55602" spans="3:3" s="8" customFormat="1" ht="21.95" customHeight="1" x14ac:dyDescent="0.15"/>
    <row r="55603" spans="3:3" s="8" customFormat="1" ht="21.95" customHeight="1" x14ac:dyDescent="0.15"/>
    <row r="55604" spans="3:3" s="8" customFormat="1" ht="21.95" customHeight="1" x14ac:dyDescent="0.15"/>
    <row r="55605" spans="3:3" s="8" customFormat="1" ht="21.95" customHeight="1" x14ac:dyDescent="0.15"/>
    <row r="55606" spans="3:3" s="8" customFormat="1" ht="21.95" customHeight="1" x14ac:dyDescent="0.15"/>
    <row r="55607" spans="3:3" s="8" customFormat="1" ht="21.95" customHeight="1" x14ac:dyDescent="0.15"/>
    <row r="55608" spans="3:3" s="8" customFormat="1" ht="21.95" customHeight="1" x14ac:dyDescent="0.15"/>
    <row r="55609" spans="3:3" s="9" customFormat="1" ht="21.95" customHeight="1" x14ac:dyDescent="0.15"/>
    <row r="55610" spans="3:3" s="9" customFormat="1" ht="21.95" customHeight="1" x14ac:dyDescent="0.15"/>
    <row r="55611" spans="3:3" s="9" customFormat="1" ht="21.95" customHeight="1" x14ac:dyDescent="0.15"/>
    <row r="55612" spans="3:3" s="9" customFormat="1" ht="21.95" customHeight="1" x14ac:dyDescent="0.15"/>
    <row r="55613" spans="3:3" s="8" customFormat="1" ht="21.95" customHeight="1" x14ac:dyDescent="0.15"/>
    <row r="55614" spans="3:3" s="8" customFormat="1" ht="21.95" customHeight="1" x14ac:dyDescent="0.15"/>
    <row r="55615" spans="3:3" s="8" customFormat="1" ht="21.95" customHeight="1" x14ac:dyDescent="0.15"/>
    <row r="55616" spans="3:3" s="8" customFormat="1" ht="21.95" customHeight="1" x14ac:dyDescent="0.15"/>
    <row r="55617" s="8" customFormat="1" ht="21.95" customHeight="1" x14ac:dyDescent="0.15"/>
    <row r="55618" s="8" customFormat="1" ht="21.95" customHeight="1" x14ac:dyDescent="0.15"/>
    <row r="55619" s="8" customFormat="1" ht="21.95" customHeight="1" x14ac:dyDescent="0.15"/>
    <row r="55620" s="8" customFormat="1" ht="21.95" customHeight="1" x14ac:dyDescent="0.15"/>
    <row r="55621" s="8" customFormat="1" ht="21.95" customHeight="1" x14ac:dyDescent="0.15"/>
    <row r="55622" s="8" customFormat="1" ht="21.95" customHeight="1" x14ac:dyDescent="0.15"/>
    <row r="55623" s="8" customFormat="1" ht="21.95" customHeight="1" x14ac:dyDescent="0.15"/>
    <row r="55624" s="8" customFormat="1" ht="32.1" customHeight="1" x14ac:dyDescent="0.15"/>
    <row r="55625" s="8" customFormat="1" ht="32.1" customHeight="1" x14ac:dyDescent="0.15"/>
    <row r="55626" s="8" customFormat="1" ht="32.1" customHeight="1" x14ac:dyDescent="0.15"/>
    <row r="55627" s="8" customFormat="1" ht="32.1" customHeight="1" x14ac:dyDescent="0.15"/>
    <row r="55628" s="8" customFormat="1" ht="32.1" customHeight="1" x14ac:dyDescent="0.15"/>
    <row r="55629" s="8" customFormat="1" ht="32.1" customHeight="1" x14ac:dyDescent="0.15"/>
    <row r="55630" s="9" customFormat="1" ht="32.1" customHeight="1" x14ac:dyDescent="0.15"/>
    <row r="55631" s="9" customFormat="1" ht="32.1" customHeight="1" x14ac:dyDescent="0.15"/>
    <row r="55632" s="9" customFormat="1" ht="32.1" customHeight="1" x14ac:dyDescent="0.15"/>
    <row r="55633" s="9" customFormat="1" ht="32.1" customHeight="1" x14ac:dyDescent="0.15"/>
    <row r="55634" s="9" customFormat="1" ht="21.95" customHeight="1" x14ac:dyDescent="0.15"/>
    <row r="55635" s="9" customFormat="1" ht="54" customHeight="1" x14ac:dyDescent="0.15"/>
    <row r="55636" s="9" customFormat="1" ht="21.95" customHeight="1" x14ac:dyDescent="0.15"/>
    <row r="55637" s="9" customFormat="1" ht="21.95" customHeight="1" x14ac:dyDescent="0.15"/>
    <row r="55638" s="9" customFormat="1" ht="21.95" customHeight="1" x14ac:dyDescent="0.15"/>
    <row r="55639" s="9" customFormat="1" ht="21.95" customHeight="1" x14ac:dyDescent="0.15"/>
    <row r="55640" s="9" customFormat="1" ht="21.95" customHeight="1" x14ac:dyDescent="0.15"/>
    <row r="55641" s="9" customFormat="1" ht="21.95" customHeight="1" x14ac:dyDescent="0.15"/>
    <row r="55642" s="9" customFormat="1" ht="21.95" customHeight="1" x14ac:dyDescent="0.15"/>
    <row r="55643" s="9" customFormat="1" ht="21.95" customHeight="1" x14ac:dyDescent="0.15"/>
    <row r="55644" s="9" customFormat="1" ht="21.95" customHeight="1" x14ac:dyDescent="0.15"/>
    <row r="55645" s="9" customFormat="1" ht="21.95" customHeight="1" x14ac:dyDescent="0.15"/>
    <row r="55646" s="9" customFormat="1" ht="21.95" customHeight="1" x14ac:dyDescent="0.15"/>
    <row r="55647" s="9" customFormat="1" ht="21.95" customHeight="1" x14ac:dyDescent="0.15"/>
    <row r="55648" s="9" customFormat="1" ht="21.95" customHeight="1" x14ac:dyDescent="0.15"/>
    <row r="55649" s="9" customFormat="1" ht="21.95" customHeight="1" x14ac:dyDescent="0.15"/>
    <row r="55650" s="9" customFormat="1" ht="21.95" customHeight="1" x14ac:dyDescent="0.15"/>
    <row r="55651" s="9" customFormat="1" ht="21.95" customHeight="1" x14ac:dyDescent="0.15"/>
    <row r="55652" s="9" customFormat="1" ht="21.95" customHeight="1" x14ac:dyDescent="0.15"/>
    <row r="55653" s="9" customFormat="1" ht="21.95" customHeight="1" x14ac:dyDescent="0.15"/>
    <row r="55654" s="9" customFormat="1" ht="21.95" customHeight="1" x14ac:dyDescent="0.15"/>
    <row r="55655" s="9" customFormat="1" ht="21.95" customHeight="1" x14ac:dyDescent="0.15"/>
    <row r="55656" s="9" customFormat="1" ht="21.95" customHeight="1" x14ac:dyDescent="0.15"/>
    <row r="55657" s="9" customFormat="1" ht="21.95" customHeight="1" x14ac:dyDescent="0.15"/>
    <row r="55658" s="9" customFormat="1" ht="21.95" customHeight="1" x14ac:dyDescent="0.15"/>
    <row r="55659" s="9" customFormat="1" ht="21.95" customHeight="1" x14ac:dyDescent="0.15"/>
    <row r="55660" s="9" customFormat="1" ht="21.95" customHeight="1" x14ac:dyDescent="0.15"/>
    <row r="55661" s="9" customFormat="1" ht="21.95" customHeight="1" x14ac:dyDescent="0.15"/>
    <row r="55662" s="9" customFormat="1" ht="21.95" customHeight="1" x14ac:dyDescent="0.15"/>
    <row r="55663" s="9" customFormat="1" ht="21.95" customHeight="1" x14ac:dyDescent="0.15"/>
    <row r="55664" s="9" customFormat="1" ht="21.95" customHeight="1" x14ac:dyDescent="0.15"/>
    <row r="55665" s="9" customFormat="1" ht="21.95" customHeight="1" x14ac:dyDescent="0.15"/>
    <row r="55666" s="9" customFormat="1" ht="21.95" customHeight="1" x14ac:dyDescent="0.15"/>
    <row r="55667" s="9" customFormat="1" ht="21.95" customHeight="1" x14ac:dyDescent="0.15"/>
    <row r="55668" s="9" customFormat="1" ht="21.95" customHeight="1" x14ac:dyDescent="0.15"/>
    <row r="55669" s="9" customFormat="1" ht="21.95" customHeight="1" x14ac:dyDescent="0.15"/>
    <row r="55670" s="9" customFormat="1" ht="21.95" customHeight="1" x14ac:dyDescent="0.15"/>
    <row r="55671" s="9" customFormat="1" ht="21.95" customHeight="1" x14ac:dyDescent="0.15"/>
    <row r="55672" s="9" customFormat="1" ht="21.95" customHeight="1" x14ac:dyDescent="0.15"/>
    <row r="55673" s="9" customFormat="1" ht="21.95" customHeight="1" x14ac:dyDescent="0.15"/>
    <row r="55674" s="9" customFormat="1" ht="21.95" customHeight="1" x14ac:dyDescent="0.15"/>
    <row r="55675" s="9" customFormat="1" ht="21.95" customHeight="1" x14ac:dyDescent="0.15"/>
    <row r="55676" s="9" customFormat="1" ht="21.95" customHeight="1" x14ac:dyDescent="0.15"/>
    <row r="55677" s="9" customFormat="1" ht="21.95" customHeight="1" x14ac:dyDescent="0.15"/>
    <row r="55678" s="9" customFormat="1" ht="21.95" customHeight="1" x14ac:dyDescent="0.15"/>
    <row r="55679" s="9" customFormat="1" ht="21.95" customHeight="1" x14ac:dyDescent="0.15"/>
    <row r="55680" s="9" customFormat="1" ht="21.95" customHeight="1" x14ac:dyDescent="0.15"/>
    <row r="55681" s="9" customFormat="1" ht="21.95" customHeight="1" x14ac:dyDescent="0.15"/>
    <row r="55682" s="9" customFormat="1" ht="21.95" customHeight="1" x14ac:dyDescent="0.15"/>
    <row r="55683" s="9" customFormat="1" ht="21.95" customHeight="1" x14ac:dyDescent="0.15"/>
    <row r="55684" s="9" customFormat="1" ht="21.95" customHeight="1" x14ac:dyDescent="0.15"/>
    <row r="55685" s="9" customFormat="1" ht="21.95" customHeight="1" x14ac:dyDescent="0.15"/>
    <row r="55686" s="9" customFormat="1" ht="35.1" customHeight="1" x14ac:dyDescent="0.15"/>
    <row r="55687" s="9" customFormat="1" ht="21.95" customHeight="1" x14ac:dyDescent="0.15"/>
    <row r="55688" s="9" customFormat="1" ht="21.95" customHeight="1" x14ac:dyDescent="0.15"/>
    <row r="55689" s="9" customFormat="1" ht="21.95" customHeight="1" x14ac:dyDescent="0.15"/>
    <row r="55690" s="9" customFormat="1" ht="21.95" customHeight="1" x14ac:dyDescent="0.15"/>
    <row r="55691" s="9" customFormat="1" ht="21.95" customHeight="1" x14ac:dyDescent="0.15"/>
    <row r="55692" s="9" customFormat="1" ht="21.95" customHeight="1" x14ac:dyDescent="0.15"/>
    <row r="55693" s="9" customFormat="1" ht="21.95" customHeight="1" x14ac:dyDescent="0.15"/>
    <row r="55694" s="9" customFormat="1" ht="21.95" customHeight="1" x14ac:dyDescent="0.15"/>
    <row r="55695" s="9" customFormat="1" ht="21.95" customHeight="1" x14ac:dyDescent="0.15"/>
    <row r="55696" s="9" customFormat="1" ht="21.95" customHeight="1" x14ac:dyDescent="0.15"/>
    <row r="55697" spans="3:3" s="9" customFormat="1" ht="21.95" customHeight="1" x14ac:dyDescent="0.15"/>
    <row r="55698" spans="3:3" s="9" customFormat="1" ht="21.95" customHeight="1" x14ac:dyDescent="0.15"/>
    <row r="55699" spans="3:3" s="9" customFormat="1" ht="21.95" customHeight="1" x14ac:dyDescent="0.15"/>
    <row r="55700" spans="3:3" s="9" customFormat="1" ht="21.95" customHeight="1" x14ac:dyDescent="0.15"/>
    <row r="55701" spans="3:3" s="9" customFormat="1" ht="21.95" customHeight="1" x14ac:dyDescent="0.15"/>
    <row r="55702" spans="3:3" s="9" customFormat="1" ht="21.95" customHeight="1" x14ac:dyDescent="0.15"/>
    <row r="55703" spans="3:3" s="9" customFormat="1" ht="21.95" customHeight="1" x14ac:dyDescent="0.15"/>
    <row r="55704" spans="3:3" s="9" customFormat="1" ht="21.95" customHeight="1" x14ac:dyDescent="0.15"/>
    <row r="55705" spans="3:3" s="9" customFormat="1" ht="21.95" customHeight="1" x14ac:dyDescent="0.15"/>
    <row r="55706" spans="3:3" s="9" customFormat="1" ht="21.95" customHeight="1" x14ac:dyDescent="0.15"/>
    <row r="55707" spans="3:3" s="9" customFormat="1" ht="21.95" customHeight="1" x14ac:dyDescent="0.15"/>
    <row r="55708" spans="3:3" s="9" customFormat="1" ht="21.95" customHeight="1" x14ac:dyDescent="0.15"/>
    <row r="55709" spans="3:3" s="9" customFormat="1" ht="21.95" customHeight="1" x14ac:dyDescent="0.15"/>
    <row r="55710" spans="3:3" s="8" customFormat="1" ht="21.95" customHeight="1" x14ac:dyDescent="0.15"/>
    <row r="55711" spans="3:3" s="8" customFormat="1" ht="21.95" customHeight="1" x14ac:dyDescent="0.15"/>
    <row r="55712" spans="3:3" s="8" customFormat="1" ht="21.95" customHeight="1" x14ac:dyDescent="0.15">
      <c r="C55712" s="101"/>
    </row>
    <row r="55713" spans="3:3" s="8" customFormat="1" ht="21.95" customHeight="1" x14ac:dyDescent="0.15">
      <c r="C55713" s="101"/>
    </row>
    <row r="55714" spans="3:3" s="8" customFormat="1" ht="21.95" customHeight="1" x14ac:dyDescent="0.15"/>
    <row r="55715" spans="3:3" s="8" customFormat="1" ht="21.95" customHeight="1" x14ac:dyDescent="0.15"/>
    <row r="55716" spans="3:3" s="8" customFormat="1" ht="21.95" customHeight="1" x14ac:dyDescent="0.15"/>
    <row r="55717" spans="3:3" s="8" customFormat="1" ht="21.95" customHeight="1" x14ac:dyDescent="0.15"/>
    <row r="55718" spans="3:3" s="8" customFormat="1" ht="21.95" customHeight="1" x14ac:dyDescent="0.15"/>
    <row r="55719" spans="3:3" s="8" customFormat="1" ht="21.95" customHeight="1" x14ac:dyDescent="0.15"/>
    <row r="55720" spans="3:3" s="8" customFormat="1" ht="21.95" customHeight="1" x14ac:dyDescent="0.15"/>
    <row r="55721" spans="3:3" s="9" customFormat="1" ht="21.95" customHeight="1" x14ac:dyDescent="0.15"/>
    <row r="55722" spans="3:3" s="9" customFormat="1" ht="21.95" customHeight="1" x14ac:dyDescent="0.15"/>
    <row r="55723" spans="3:3" s="9" customFormat="1" ht="21.95" customHeight="1" x14ac:dyDescent="0.15"/>
    <row r="55724" spans="3:3" s="9" customFormat="1" ht="21.95" customHeight="1" x14ac:dyDescent="0.15"/>
    <row r="55725" spans="3:3" s="8" customFormat="1" ht="21.95" customHeight="1" x14ac:dyDescent="0.15"/>
    <row r="55726" spans="3:3" s="8" customFormat="1" ht="21.95" customHeight="1" x14ac:dyDescent="0.15"/>
    <row r="55727" spans="3:3" s="8" customFormat="1" ht="21.95" customHeight="1" x14ac:dyDescent="0.15"/>
    <row r="55728" spans="3:3" s="8" customFormat="1" ht="21.95" customHeight="1" x14ac:dyDescent="0.15"/>
    <row r="55729" s="8" customFormat="1" ht="21.95" customHeight="1" x14ac:dyDescent="0.15"/>
    <row r="55730" s="8" customFormat="1" ht="21.95" customHeight="1" x14ac:dyDescent="0.15"/>
    <row r="55731" s="8" customFormat="1" ht="21.95" customHeight="1" x14ac:dyDescent="0.15"/>
    <row r="55732" s="8" customFormat="1" ht="21.95" customHeight="1" x14ac:dyDescent="0.15"/>
    <row r="55733" s="8" customFormat="1" ht="21.95" customHeight="1" x14ac:dyDescent="0.15"/>
    <row r="55734" s="8" customFormat="1" ht="21.95" customHeight="1" x14ac:dyDescent="0.15"/>
    <row r="55735" s="8" customFormat="1" ht="21.95" customHeight="1" x14ac:dyDescent="0.15"/>
    <row r="55736" s="8" customFormat="1" ht="32.1" customHeight="1" x14ac:dyDescent="0.15"/>
    <row r="55737" s="8" customFormat="1" ht="32.1" customHeight="1" x14ac:dyDescent="0.15"/>
    <row r="55738" s="8" customFormat="1" ht="32.1" customHeight="1" x14ac:dyDescent="0.15"/>
    <row r="55739" s="8" customFormat="1" ht="32.1" customHeight="1" x14ac:dyDescent="0.15"/>
    <row r="55740" s="8" customFormat="1" ht="32.1" customHeight="1" x14ac:dyDescent="0.15"/>
    <row r="55741" s="8" customFormat="1" ht="32.1" customHeight="1" x14ac:dyDescent="0.15"/>
    <row r="55742" s="9" customFormat="1" ht="32.1" customHeight="1" x14ac:dyDescent="0.15"/>
    <row r="55743" s="9" customFormat="1" ht="32.1" customHeight="1" x14ac:dyDescent="0.15"/>
    <row r="55744" s="9" customFormat="1" ht="32.1" customHeight="1" x14ac:dyDescent="0.15"/>
    <row r="55745" s="9" customFormat="1" ht="32.1" customHeight="1" x14ac:dyDescent="0.15"/>
    <row r="55746" s="9" customFormat="1" ht="21.95" customHeight="1" x14ac:dyDescent="0.15"/>
    <row r="55747" s="9" customFormat="1" ht="54" customHeight="1" x14ac:dyDescent="0.15"/>
    <row r="55748" s="9" customFormat="1" ht="21.95" customHeight="1" x14ac:dyDescent="0.15"/>
    <row r="55749" s="9" customFormat="1" ht="21.95" customHeight="1" x14ac:dyDescent="0.15"/>
    <row r="55750" s="9" customFormat="1" ht="21.95" customHeight="1" x14ac:dyDescent="0.15"/>
    <row r="55751" s="9" customFormat="1" ht="21.95" customHeight="1" x14ac:dyDescent="0.15"/>
    <row r="55752" s="9" customFormat="1" ht="21.95" customHeight="1" x14ac:dyDescent="0.15"/>
    <row r="55753" s="9" customFormat="1" ht="21.95" customHeight="1" x14ac:dyDescent="0.15"/>
    <row r="55754" s="9" customFormat="1" ht="21.95" customHeight="1" x14ac:dyDescent="0.15"/>
    <row r="55755" s="9" customFormat="1" ht="21.95" customHeight="1" x14ac:dyDescent="0.15"/>
    <row r="55756" s="9" customFormat="1" ht="21.95" customHeight="1" x14ac:dyDescent="0.15"/>
    <row r="55757" s="9" customFormat="1" ht="21.95" customHeight="1" x14ac:dyDescent="0.15"/>
    <row r="55758" s="9" customFormat="1" ht="21.95" customHeight="1" x14ac:dyDescent="0.15"/>
    <row r="55759" s="9" customFormat="1" ht="21.95" customHeight="1" x14ac:dyDescent="0.15"/>
    <row r="55760" s="9" customFormat="1" ht="21.95" customHeight="1" x14ac:dyDescent="0.15"/>
    <row r="55761" s="9" customFormat="1" ht="21.95" customHeight="1" x14ac:dyDescent="0.15"/>
    <row r="55762" s="9" customFormat="1" ht="21.95" customHeight="1" x14ac:dyDescent="0.15"/>
    <row r="55763" s="9" customFormat="1" ht="21.95" customHeight="1" x14ac:dyDescent="0.15"/>
    <row r="55764" s="9" customFormat="1" ht="21.95" customHeight="1" x14ac:dyDescent="0.15"/>
    <row r="55765" s="9" customFormat="1" ht="21.95" customHeight="1" x14ac:dyDescent="0.15"/>
    <row r="55766" s="9" customFormat="1" ht="21.95" customHeight="1" x14ac:dyDescent="0.15"/>
    <row r="55767" s="9" customFormat="1" ht="21.95" customHeight="1" x14ac:dyDescent="0.15"/>
    <row r="55768" s="9" customFormat="1" ht="21.95" customHeight="1" x14ac:dyDescent="0.15"/>
    <row r="55769" s="9" customFormat="1" ht="21.95" customHeight="1" x14ac:dyDescent="0.15"/>
    <row r="55770" s="9" customFormat="1" ht="21.95" customHeight="1" x14ac:dyDescent="0.15"/>
    <row r="55771" s="9" customFormat="1" ht="21.95" customHeight="1" x14ac:dyDescent="0.15"/>
    <row r="55772" s="9" customFormat="1" ht="21.95" customHeight="1" x14ac:dyDescent="0.15"/>
    <row r="55773" s="9" customFormat="1" ht="21.95" customHeight="1" x14ac:dyDescent="0.15"/>
    <row r="55774" s="9" customFormat="1" ht="21.95" customHeight="1" x14ac:dyDescent="0.15"/>
    <row r="55775" s="9" customFormat="1" ht="21.95" customHeight="1" x14ac:dyDescent="0.15"/>
    <row r="55776" s="9" customFormat="1" ht="21.95" customHeight="1" x14ac:dyDescent="0.15"/>
    <row r="55777" s="9" customFormat="1" ht="21.95" customHeight="1" x14ac:dyDescent="0.15"/>
    <row r="55778" s="9" customFormat="1" ht="21.95" customHeight="1" x14ac:dyDescent="0.15"/>
    <row r="55779" s="9" customFormat="1" ht="21.95" customHeight="1" x14ac:dyDescent="0.15"/>
    <row r="55780" s="9" customFormat="1" ht="21.95" customHeight="1" x14ac:dyDescent="0.15"/>
    <row r="55781" s="9" customFormat="1" ht="21.95" customHeight="1" x14ac:dyDescent="0.15"/>
    <row r="55782" s="9" customFormat="1" ht="21.95" customHeight="1" x14ac:dyDescent="0.15"/>
    <row r="55783" s="9" customFormat="1" ht="21.95" customHeight="1" x14ac:dyDescent="0.15"/>
    <row r="55784" s="9" customFormat="1" ht="21.95" customHeight="1" x14ac:dyDescent="0.15"/>
    <row r="55785" s="9" customFormat="1" ht="21.95" customHeight="1" x14ac:dyDescent="0.15"/>
    <row r="55786" s="9" customFormat="1" ht="21.95" customHeight="1" x14ac:dyDescent="0.15"/>
    <row r="55787" s="9" customFormat="1" ht="21.95" customHeight="1" x14ac:dyDescent="0.15"/>
    <row r="55788" s="9" customFormat="1" ht="21.95" customHeight="1" x14ac:dyDescent="0.15"/>
    <row r="55789" s="9" customFormat="1" ht="21.95" customHeight="1" x14ac:dyDescent="0.15"/>
    <row r="55790" s="9" customFormat="1" ht="21.95" customHeight="1" x14ac:dyDescent="0.15"/>
    <row r="55791" s="9" customFormat="1" ht="21.95" customHeight="1" x14ac:dyDescent="0.15"/>
    <row r="55792" s="9" customFormat="1" ht="21.95" customHeight="1" x14ac:dyDescent="0.15"/>
    <row r="55793" s="9" customFormat="1" ht="21.95" customHeight="1" x14ac:dyDescent="0.15"/>
    <row r="55794" s="9" customFormat="1" ht="21.95" customHeight="1" x14ac:dyDescent="0.15"/>
    <row r="55795" s="9" customFormat="1" ht="21.95" customHeight="1" x14ac:dyDescent="0.15"/>
    <row r="55796" s="9" customFormat="1" ht="21.95" customHeight="1" x14ac:dyDescent="0.15"/>
    <row r="55797" s="9" customFormat="1" ht="21.95" customHeight="1" x14ac:dyDescent="0.15"/>
    <row r="55798" s="9" customFormat="1" ht="35.1" customHeight="1" x14ac:dyDescent="0.15"/>
    <row r="55799" s="9" customFormat="1" ht="21.95" customHeight="1" x14ac:dyDescent="0.15"/>
    <row r="55800" s="9" customFormat="1" ht="21.95" customHeight="1" x14ac:dyDescent="0.15"/>
    <row r="55801" s="9" customFormat="1" ht="21.95" customHeight="1" x14ac:dyDescent="0.15"/>
    <row r="55802" s="9" customFormat="1" ht="21.95" customHeight="1" x14ac:dyDescent="0.15"/>
    <row r="55803" s="9" customFormat="1" ht="21.95" customHeight="1" x14ac:dyDescent="0.15"/>
    <row r="55804" s="9" customFormat="1" ht="21.95" customHeight="1" x14ac:dyDescent="0.15"/>
    <row r="55805" s="9" customFormat="1" ht="21.95" customHeight="1" x14ac:dyDescent="0.15"/>
    <row r="55806" s="9" customFormat="1" ht="21.95" customHeight="1" x14ac:dyDescent="0.15"/>
    <row r="55807" s="9" customFormat="1" ht="21.95" customHeight="1" x14ac:dyDescent="0.15"/>
    <row r="55808" s="9" customFormat="1" ht="21.95" customHeight="1" x14ac:dyDescent="0.15"/>
    <row r="55809" spans="3:3" s="9" customFormat="1" ht="21.95" customHeight="1" x14ac:dyDescent="0.15"/>
    <row r="55810" spans="3:3" s="9" customFormat="1" ht="21.95" customHeight="1" x14ac:dyDescent="0.15"/>
    <row r="55811" spans="3:3" s="9" customFormat="1" ht="21.95" customHeight="1" x14ac:dyDescent="0.15"/>
    <row r="55812" spans="3:3" s="9" customFormat="1" ht="21.95" customHeight="1" x14ac:dyDescent="0.15"/>
    <row r="55813" spans="3:3" s="9" customFormat="1" ht="21.95" customHeight="1" x14ac:dyDescent="0.15"/>
    <row r="55814" spans="3:3" s="9" customFormat="1" ht="21.95" customHeight="1" x14ac:dyDescent="0.15"/>
    <row r="55815" spans="3:3" s="9" customFormat="1" ht="21.95" customHeight="1" x14ac:dyDescent="0.15"/>
    <row r="55816" spans="3:3" s="9" customFormat="1" ht="21.95" customHeight="1" x14ac:dyDescent="0.15"/>
    <row r="55817" spans="3:3" s="9" customFormat="1" ht="21.95" customHeight="1" x14ac:dyDescent="0.15"/>
    <row r="55818" spans="3:3" s="9" customFormat="1" ht="21.95" customHeight="1" x14ac:dyDescent="0.15"/>
    <row r="55819" spans="3:3" s="9" customFormat="1" ht="21.95" customHeight="1" x14ac:dyDescent="0.15"/>
    <row r="55820" spans="3:3" s="9" customFormat="1" ht="21.95" customHeight="1" x14ac:dyDescent="0.15"/>
    <row r="55821" spans="3:3" s="9" customFormat="1" ht="21.95" customHeight="1" x14ac:dyDescent="0.15"/>
    <row r="55822" spans="3:3" s="8" customFormat="1" ht="21.95" customHeight="1" x14ac:dyDescent="0.15"/>
    <row r="55823" spans="3:3" s="8" customFormat="1" ht="21.95" customHeight="1" x14ac:dyDescent="0.15"/>
    <row r="55824" spans="3:3" s="8" customFormat="1" ht="21.95" customHeight="1" x14ac:dyDescent="0.15">
      <c r="C55824" s="101"/>
    </row>
    <row r="55825" spans="3:3" s="8" customFormat="1" ht="21.95" customHeight="1" x14ac:dyDescent="0.15">
      <c r="C55825" s="101"/>
    </row>
    <row r="55826" spans="3:3" s="8" customFormat="1" ht="21.95" customHeight="1" x14ac:dyDescent="0.15"/>
    <row r="55827" spans="3:3" s="8" customFormat="1" ht="21.95" customHeight="1" x14ac:dyDescent="0.15"/>
    <row r="55828" spans="3:3" s="8" customFormat="1" ht="21.95" customHeight="1" x14ac:dyDescent="0.15"/>
    <row r="55829" spans="3:3" s="8" customFormat="1" ht="21.95" customHeight="1" x14ac:dyDescent="0.15"/>
    <row r="55830" spans="3:3" s="8" customFormat="1" ht="21.95" customHeight="1" x14ac:dyDescent="0.15"/>
    <row r="55831" spans="3:3" s="8" customFormat="1" ht="21.95" customHeight="1" x14ac:dyDescent="0.15"/>
    <row r="55832" spans="3:3" s="8" customFormat="1" ht="21.95" customHeight="1" x14ac:dyDescent="0.15"/>
    <row r="55833" spans="3:3" s="9" customFormat="1" ht="21.95" customHeight="1" x14ac:dyDescent="0.15"/>
    <row r="55834" spans="3:3" s="9" customFormat="1" ht="21.95" customHeight="1" x14ac:dyDescent="0.15"/>
    <row r="55835" spans="3:3" s="9" customFormat="1" ht="21.95" customHeight="1" x14ac:dyDescent="0.15"/>
    <row r="55836" spans="3:3" s="9" customFormat="1" ht="21.95" customHeight="1" x14ac:dyDescent="0.15"/>
    <row r="55837" spans="3:3" s="8" customFormat="1" ht="21.95" customHeight="1" x14ac:dyDescent="0.15"/>
    <row r="55838" spans="3:3" s="8" customFormat="1" ht="21.95" customHeight="1" x14ac:dyDescent="0.15"/>
    <row r="55839" spans="3:3" s="8" customFormat="1" ht="21.95" customHeight="1" x14ac:dyDescent="0.15"/>
    <row r="55840" spans="3:3" s="8" customFormat="1" ht="21.95" customHeight="1" x14ac:dyDescent="0.15"/>
    <row r="55841" s="8" customFormat="1" ht="21.95" customHeight="1" x14ac:dyDescent="0.15"/>
    <row r="55842" s="8" customFormat="1" ht="21.95" customHeight="1" x14ac:dyDescent="0.15"/>
    <row r="55843" s="8" customFormat="1" ht="21.95" customHeight="1" x14ac:dyDescent="0.15"/>
    <row r="55844" s="8" customFormat="1" ht="21.95" customHeight="1" x14ac:dyDescent="0.15"/>
    <row r="55845" s="8" customFormat="1" ht="21.95" customHeight="1" x14ac:dyDescent="0.15"/>
    <row r="55846" s="8" customFormat="1" ht="21.95" customHeight="1" x14ac:dyDescent="0.15"/>
    <row r="55847" s="8" customFormat="1" ht="21.95" customHeight="1" x14ac:dyDescent="0.15"/>
    <row r="55848" s="8" customFormat="1" ht="32.1" customHeight="1" x14ac:dyDescent="0.15"/>
    <row r="55849" s="8" customFormat="1" ht="32.1" customHeight="1" x14ac:dyDescent="0.15"/>
    <row r="55850" s="8" customFormat="1" ht="32.1" customHeight="1" x14ac:dyDescent="0.15"/>
    <row r="55851" s="8" customFormat="1" ht="32.1" customHeight="1" x14ac:dyDescent="0.15"/>
    <row r="55852" s="8" customFormat="1" ht="32.1" customHeight="1" x14ac:dyDescent="0.15"/>
    <row r="55853" s="8" customFormat="1" ht="32.1" customHeight="1" x14ac:dyDescent="0.15"/>
    <row r="55854" s="9" customFormat="1" ht="32.1" customHeight="1" x14ac:dyDescent="0.15"/>
    <row r="55855" s="9" customFormat="1" ht="32.1" customHeight="1" x14ac:dyDescent="0.15"/>
    <row r="55856" s="9" customFormat="1" ht="32.1" customHeight="1" x14ac:dyDescent="0.15"/>
    <row r="55857" s="9" customFormat="1" ht="32.1" customHeight="1" x14ac:dyDescent="0.15"/>
    <row r="55858" s="9" customFormat="1" ht="21.95" customHeight="1" x14ac:dyDescent="0.15"/>
    <row r="55859" s="9" customFormat="1" ht="54" customHeight="1" x14ac:dyDescent="0.15"/>
    <row r="55860" s="9" customFormat="1" ht="21.95" customHeight="1" x14ac:dyDescent="0.15"/>
    <row r="55861" s="9" customFormat="1" ht="21.95" customHeight="1" x14ac:dyDescent="0.15"/>
    <row r="55862" s="9" customFormat="1" ht="21.95" customHeight="1" x14ac:dyDescent="0.15"/>
    <row r="55863" s="9" customFormat="1" ht="21.95" customHeight="1" x14ac:dyDescent="0.15"/>
    <row r="55864" s="9" customFormat="1" ht="21.95" customHeight="1" x14ac:dyDescent="0.15"/>
    <row r="55865" s="9" customFormat="1" ht="21.95" customHeight="1" x14ac:dyDescent="0.15"/>
    <row r="55866" s="9" customFormat="1" ht="21.95" customHeight="1" x14ac:dyDescent="0.15"/>
    <row r="55867" s="9" customFormat="1" ht="21.95" customHeight="1" x14ac:dyDescent="0.15"/>
    <row r="55868" s="9" customFormat="1" ht="21.95" customHeight="1" x14ac:dyDescent="0.15"/>
    <row r="55869" s="9" customFormat="1" ht="21.95" customHeight="1" x14ac:dyDescent="0.15"/>
    <row r="55870" s="9" customFormat="1" ht="21.95" customHeight="1" x14ac:dyDescent="0.15"/>
    <row r="55871" s="9" customFormat="1" ht="21.95" customHeight="1" x14ac:dyDescent="0.15"/>
    <row r="55872" s="9" customFormat="1" ht="21.95" customHeight="1" x14ac:dyDescent="0.15"/>
    <row r="55873" s="9" customFormat="1" ht="21.95" customHeight="1" x14ac:dyDescent="0.15"/>
    <row r="55874" s="9" customFormat="1" ht="21.95" customHeight="1" x14ac:dyDescent="0.15"/>
    <row r="55875" s="9" customFormat="1" ht="21.95" customHeight="1" x14ac:dyDescent="0.15"/>
    <row r="55876" s="9" customFormat="1" ht="21.95" customHeight="1" x14ac:dyDescent="0.15"/>
    <row r="55877" s="9" customFormat="1" ht="21.95" customHeight="1" x14ac:dyDescent="0.15"/>
    <row r="55878" s="9" customFormat="1" ht="21.95" customHeight="1" x14ac:dyDescent="0.15"/>
    <row r="55879" s="9" customFormat="1" ht="21.95" customHeight="1" x14ac:dyDescent="0.15"/>
    <row r="55880" s="9" customFormat="1" ht="21.95" customHeight="1" x14ac:dyDescent="0.15"/>
    <row r="55881" s="9" customFormat="1" ht="21.95" customHeight="1" x14ac:dyDescent="0.15"/>
    <row r="55882" s="9" customFormat="1" ht="21.95" customHeight="1" x14ac:dyDescent="0.15"/>
    <row r="55883" s="9" customFormat="1" ht="21.95" customHeight="1" x14ac:dyDescent="0.15"/>
    <row r="55884" s="9" customFormat="1" ht="21.95" customHeight="1" x14ac:dyDescent="0.15"/>
    <row r="55885" s="9" customFormat="1" ht="21.95" customHeight="1" x14ac:dyDescent="0.15"/>
    <row r="55886" s="9" customFormat="1" ht="21.95" customHeight="1" x14ac:dyDescent="0.15"/>
    <row r="55887" s="9" customFormat="1" ht="21.95" customHeight="1" x14ac:dyDescent="0.15"/>
    <row r="55888" s="9" customFormat="1" ht="21.95" customHeight="1" x14ac:dyDescent="0.15"/>
    <row r="55889" s="9" customFormat="1" ht="21.95" customHeight="1" x14ac:dyDescent="0.15"/>
    <row r="55890" s="9" customFormat="1" ht="21.95" customHeight="1" x14ac:dyDescent="0.15"/>
    <row r="55891" s="9" customFormat="1" ht="21.95" customHeight="1" x14ac:dyDescent="0.15"/>
    <row r="55892" s="9" customFormat="1" ht="21.95" customHeight="1" x14ac:dyDescent="0.15"/>
    <row r="55893" s="9" customFormat="1" ht="21.95" customHeight="1" x14ac:dyDescent="0.15"/>
    <row r="55894" s="9" customFormat="1" ht="21.95" customHeight="1" x14ac:dyDescent="0.15"/>
    <row r="55895" s="9" customFormat="1" ht="21.95" customHeight="1" x14ac:dyDescent="0.15"/>
    <row r="55896" s="9" customFormat="1" ht="21.95" customHeight="1" x14ac:dyDescent="0.15"/>
    <row r="55897" s="9" customFormat="1" ht="21.95" customHeight="1" x14ac:dyDescent="0.15"/>
    <row r="55898" s="9" customFormat="1" ht="21.95" customHeight="1" x14ac:dyDescent="0.15"/>
    <row r="55899" s="9" customFormat="1" ht="21.95" customHeight="1" x14ac:dyDescent="0.15"/>
    <row r="55900" s="9" customFormat="1" ht="21.95" customHeight="1" x14ac:dyDescent="0.15"/>
    <row r="55901" s="9" customFormat="1" ht="21.95" customHeight="1" x14ac:dyDescent="0.15"/>
    <row r="55902" s="9" customFormat="1" ht="21.95" customHeight="1" x14ac:dyDescent="0.15"/>
    <row r="55903" s="9" customFormat="1" ht="21.95" customHeight="1" x14ac:dyDescent="0.15"/>
    <row r="55904" s="9" customFormat="1" ht="21.95" customHeight="1" x14ac:dyDescent="0.15"/>
    <row r="55905" s="9" customFormat="1" ht="21.95" customHeight="1" x14ac:dyDescent="0.15"/>
    <row r="55906" s="9" customFormat="1" ht="21.95" customHeight="1" x14ac:dyDescent="0.15"/>
    <row r="55907" s="9" customFormat="1" ht="21.95" customHeight="1" x14ac:dyDescent="0.15"/>
    <row r="55908" s="9" customFormat="1" ht="21.95" customHeight="1" x14ac:dyDescent="0.15"/>
    <row r="55909" s="9" customFormat="1" ht="21.95" customHeight="1" x14ac:dyDescent="0.15"/>
    <row r="55910" s="9" customFormat="1" ht="35.1" customHeight="1" x14ac:dyDescent="0.15"/>
    <row r="55911" s="9" customFormat="1" ht="21.95" customHeight="1" x14ac:dyDescent="0.15"/>
    <row r="55912" s="9" customFormat="1" ht="21.95" customHeight="1" x14ac:dyDescent="0.15"/>
    <row r="55913" s="9" customFormat="1" ht="21.95" customHeight="1" x14ac:dyDescent="0.15"/>
    <row r="55914" s="9" customFormat="1" ht="21.95" customHeight="1" x14ac:dyDescent="0.15"/>
    <row r="55915" s="9" customFormat="1" ht="21.95" customHeight="1" x14ac:dyDescent="0.15"/>
    <row r="55916" s="9" customFormat="1" ht="21.95" customHeight="1" x14ac:dyDescent="0.15"/>
    <row r="55917" s="9" customFormat="1" ht="21.95" customHeight="1" x14ac:dyDescent="0.15"/>
    <row r="55918" s="9" customFormat="1" ht="21.95" customHeight="1" x14ac:dyDescent="0.15"/>
    <row r="55919" s="9" customFormat="1" ht="21.95" customHeight="1" x14ac:dyDescent="0.15"/>
    <row r="55920" s="9" customFormat="1" ht="21.95" customHeight="1" x14ac:dyDescent="0.15"/>
    <row r="55921" spans="3:3" s="9" customFormat="1" ht="21.95" customHeight="1" x14ac:dyDescent="0.15"/>
    <row r="55922" spans="3:3" s="9" customFormat="1" ht="21.95" customHeight="1" x14ac:dyDescent="0.15"/>
    <row r="55923" spans="3:3" s="9" customFormat="1" ht="21.95" customHeight="1" x14ac:dyDescent="0.15"/>
    <row r="55924" spans="3:3" s="9" customFormat="1" ht="21.95" customHeight="1" x14ac:dyDescent="0.15"/>
    <row r="55925" spans="3:3" s="9" customFormat="1" ht="21.95" customHeight="1" x14ac:dyDescent="0.15"/>
    <row r="55926" spans="3:3" s="9" customFormat="1" ht="21.95" customHeight="1" x14ac:dyDescent="0.15"/>
    <row r="55927" spans="3:3" s="9" customFormat="1" ht="21.95" customHeight="1" x14ac:dyDescent="0.15"/>
    <row r="55928" spans="3:3" s="9" customFormat="1" ht="21.95" customHeight="1" x14ac:dyDescent="0.15"/>
    <row r="55929" spans="3:3" s="9" customFormat="1" ht="21.95" customHeight="1" x14ac:dyDescent="0.15"/>
    <row r="55930" spans="3:3" s="9" customFormat="1" ht="21.95" customHeight="1" x14ac:dyDescent="0.15"/>
    <row r="55931" spans="3:3" s="9" customFormat="1" ht="21.95" customHeight="1" x14ac:dyDescent="0.15"/>
    <row r="55932" spans="3:3" s="9" customFormat="1" ht="21.95" customHeight="1" x14ac:dyDescent="0.15"/>
    <row r="55933" spans="3:3" s="9" customFormat="1" ht="21.95" customHeight="1" x14ac:dyDescent="0.15"/>
    <row r="55934" spans="3:3" s="8" customFormat="1" ht="21.95" customHeight="1" x14ac:dyDescent="0.15"/>
    <row r="55935" spans="3:3" s="8" customFormat="1" ht="21.95" customHeight="1" x14ac:dyDescent="0.15"/>
    <row r="55936" spans="3:3" s="8" customFormat="1" ht="21.95" customHeight="1" x14ac:dyDescent="0.15">
      <c r="C55936" s="101"/>
    </row>
    <row r="55937" spans="3:3" s="8" customFormat="1" ht="21.95" customHeight="1" x14ac:dyDescent="0.15">
      <c r="C55937" s="101"/>
    </row>
    <row r="55938" spans="3:3" s="8" customFormat="1" ht="21.95" customHeight="1" x14ac:dyDescent="0.15"/>
    <row r="55939" spans="3:3" s="8" customFormat="1" ht="21.95" customHeight="1" x14ac:dyDescent="0.15"/>
    <row r="55940" spans="3:3" s="8" customFormat="1" ht="21.95" customHeight="1" x14ac:dyDescent="0.15"/>
    <row r="55941" spans="3:3" s="8" customFormat="1" ht="21.95" customHeight="1" x14ac:dyDescent="0.15"/>
    <row r="55942" spans="3:3" s="8" customFormat="1" ht="21.95" customHeight="1" x14ac:dyDescent="0.15"/>
    <row r="55943" spans="3:3" s="8" customFormat="1" ht="21.95" customHeight="1" x14ac:dyDescent="0.15"/>
    <row r="55944" spans="3:3" s="8" customFormat="1" ht="21.95" customHeight="1" x14ac:dyDescent="0.15"/>
    <row r="55945" spans="3:3" s="9" customFormat="1" ht="21.95" customHeight="1" x14ac:dyDescent="0.15"/>
    <row r="55946" spans="3:3" s="9" customFormat="1" ht="21.95" customHeight="1" x14ac:dyDescent="0.15"/>
    <row r="55947" spans="3:3" s="9" customFormat="1" ht="21.95" customHeight="1" x14ac:dyDescent="0.15"/>
    <row r="55948" spans="3:3" s="9" customFormat="1" ht="21.95" customHeight="1" x14ac:dyDescent="0.15"/>
    <row r="55949" spans="3:3" s="8" customFormat="1" ht="21.95" customHeight="1" x14ac:dyDescent="0.15"/>
    <row r="55950" spans="3:3" s="8" customFormat="1" ht="21.95" customHeight="1" x14ac:dyDescent="0.15"/>
    <row r="55951" spans="3:3" s="8" customFormat="1" ht="21.95" customHeight="1" x14ac:dyDescent="0.15"/>
    <row r="55952" spans="3:3" s="8" customFormat="1" ht="21.95" customHeight="1" x14ac:dyDescent="0.15"/>
    <row r="55953" s="8" customFormat="1" ht="21.95" customHeight="1" x14ac:dyDescent="0.15"/>
    <row r="55954" s="8" customFormat="1" ht="21.95" customHeight="1" x14ac:dyDescent="0.15"/>
    <row r="55955" s="8" customFormat="1" ht="21.95" customHeight="1" x14ac:dyDescent="0.15"/>
    <row r="55956" s="8" customFormat="1" ht="21.95" customHeight="1" x14ac:dyDescent="0.15"/>
    <row r="55957" s="8" customFormat="1" ht="21.95" customHeight="1" x14ac:dyDescent="0.15"/>
    <row r="55958" s="8" customFormat="1" ht="21.95" customHeight="1" x14ac:dyDescent="0.15"/>
    <row r="55959" s="8" customFormat="1" ht="21.95" customHeight="1" x14ac:dyDescent="0.15"/>
    <row r="55960" s="8" customFormat="1" ht="32.1" customHeight="1" x14ac:dyDescent="0.15"/>
    <row r="55961" s="8" customFormat="1" ht="32.1" customHeight="1" x14ac:dyDescent="0.15"/>
    <row r="55962" s="8" customFormat="1" ht="32.1" customHeight="1" x14ac:dyDescent="0.15"/>
    <row r="55963" s="8" customFormat="1" ht="32.1" customHeight="1" x14ac:dyDescent="0.15"/>
    <row r="55964" s="8" customFormat="1" ht="32.1" customHeight="1" x14ac:dyDescent="0.15"/>
    <row r="55965" s="8" customFormat="1" ht="32.1" customHeight="1" x14ac:dyDescent="0.15"/>
    <row r="55966" s="9" customFormat="1" ht="32.1" customHeight="1" x14ac:dyDescent="0.15"/>
    <row r="55967" s="9" customFormat="1" ht="32.1" customHeight="1" x14ac:dyDescent="0.15"/>
    <row r="55968" s="9" customFormat="1" ht="32.1" customHeight="1" x14ac:dyDescent="0.15"/>
    <row r="55969" s="9" customFormat="1" ht="32.1" customHeight="1" x14ac:dyDescent="0.15"/>
    <row r="55970" s="9" customFormat="1" ht="21.95" customHeight="1" x14ac:dyDescent="0.15"/>
    <row r="55971" s="9" customFormat="1" ht="54" customHeight="1" x14ac:dyDescent="0.15"/>
    <row r="55972" s="9" customFormat="1" ht="21.95" customHeight="1" x14ac:dyDescent="0.15"/>
    <row r="55973" s="9" customFormat="1" ht="21.95" customHeight="1" x14ac:dyDescent="0.15"/>
    <row r="55974" s="9" customFormat="1" ht="21.95" customHeight="1" x14ac:dyDescent="0.15"/>
    <row r="55975" s="9" customFormat="1" ht="21.95" customHeight="1" x14ac:dyDescent="0.15"/>
    <row r="55976" s="9" customFormat="1" ht="21.95" customHeight="1" x14ac:dyDescent="0.15"/>
    <row r="55977" s="9" customFormat="1" ht="21.95" customHeight="1" x14ac:dyDescent="0.15"/>
    <row r="55978" s="9" customFormat="1" ht="21.95" customHeight="1" x14ac:dyDescent="0.15"/>
    <row r="55979" s="9" customFormat="1" ht="21.95" customHeight="1" x14ac:dyDescent="0.15"/>
    <row r="55980" s="9" customFormat="1" ht="21.95" customHeight="1" x14ac:dyDescent="0.15"/>
    <row r="55981" s="9" customFormat="1" ht="21.95" customHeight="1" x14ac:dyDescent="0.15"/>
    <row r="55982" s="9" customFormat="1" ht="21.95" customHeight="1" x14ac:dyDescent="0.15"/>
    <row r="55983" s="9" customFormat="1" ht="21.95" customHeight="1" x14ac:dyDescent="0.15"/>
    <row r="55984" s="9" customFormat="1" ht="21.95" customHeight="1" x14ac:dyDescent="0.15"/>
    <row r="55985" s="9" customFormat="1" ht="21.95" customHeight="1" x14ac:dyDescent="0.15"/>
    <row r="55986" s="9" customFormat="1" ht="21.95" customHeight="1" x14ac:dyDescent="0.15"/>
    <row r="55987" s="9" customFormat="1" ht="21.95" customHeight="1" x14ac:dyDescent="0.15"/>
    <row r="55988" s="9" customFormat="1" ht="21.95" customHeight="1" x14ac:dyDescent="0.15"/>
    <row r="55989" s="9" customFormat="1" ht="21.95" customHeight="1" x14ac:dyDescent="0.15"/>
    <row r="55990" s="9" customFormat="1" ht="21.95" customHeight="1" x14ac:dyDescent="0.15"/>
    <row r="55991" s="9" customFormat="1" ht="21.95" customHeight="1" x14ac:dyDescent="0.15"/>
    <row r="55992" s="9" customFormat="1" ht="21.95" customHeight="1" x14ac:dyDescent="0.15"/>
    <row r="55993" s="9" customFormat="1" ht="21.95" customHeight="1" x14ac:dyDescent="0.15"/>
    <row r="55994" s="9" customFormat="1" ht="21.95" customHeight="1" x14ac:dyDescent="0.15"/>
    <row r="55995" s="9" customFormat="1" ht="21.95" customHeight="1" x14ac:dyDescent="0.15"/>
    <row r="55996" s="9" customFormat="1" ht="21.95" customHeight="1" x14ac:dyDescent="0.15"/>
    <row r="55997" s="9" customFormat="1" ht="21.95" customHeight="1" x14ac:dyDescent="0.15"/>
    <row r="55998" s="9" customFormat="1" ht="21.95" customHeight="1" x14ac:dyDescent="0.15"/>
    <row r="55999" s="9" customFormat="1" ht="21.95" customHeight="1" x14ac:dyDescent="0.15"/>
    <row r="56000" s="9" customFormat="1" ht="21.95" customHeight="1" x14ac:dyDescent="0.15"/>
    <row r="56001" s="9" customFormat="1" ht="21.95" customHeight="1" x14ac:dyDescent="0.15"/>
    <row r="56002" s="9" customFormat="1" ht="21.95" customHeight="1" x14ac:dyDescent="0.15"/>
    <row r="56003" s="9" customFormat="1" ht="21.95" customHeight="1" x14ac:dyDescent="0.15"/>
    <row r="56004" s="9" customFormat="1" ht="21.95" customHeight="1" x14ac:dyDescent="0.15"/>
    <row r="56005" s="9" customFormat="1" ht="21.95" customHeight="1" x14ac:dyDescent="0.15"/>
    <row r="56006" s="9" customFormat="1" ht="21.95" customHeight="1" x14ac:dyDescent="0.15"/>
    <row r="56007" s="9" customFormat="1" ht="21.95" customHeight="1" x14ac:dyDescent="0.15"/>
    <row r="56008" s="9" customFormat="1" ht="21.95" customHeight="1" x14ac:dyDescent="0.15"/>
    <row r="56009" s="9" customFormat="1" ht="21.95" customHeight="1" x14ac:dyDescent="0.15"/>
    <row r="56010" s="9" customFormat="1" ht="21.95" customHeight="1" x14ac:dyDescent="0.15"/>
    <row r="56011" s="9" customFormat="1" ht="21.95" customHeight="1" x14ac:dyDescent="0.15"/>
    <row r="56012" s="9" customFormat="1" ht="21.95" customHeight="1" x14ac:dyDescent="0.15"/>
    <row r="56013" s="9" customFormat="1" ht="21.95" customHeight="1" x14ac:dyDescent="0.15"/>
    <row r="56014" s="9" customFormat="1" ht="21.95" customHeight="1" x14ac:dyDescent="0.15"/>
    <row r="56015" s="9" customFormat="1" ht="21.95" customHeight="1" x14ac:dyDescent="0.15"/>
    <row r="56016" s="9" customFormat="1" ht="21.95" customHeight="1" x14ac:dyDescent="0.15"/>
    <row r="56017" s="9" customFormat="1" ht="21.95" customHeight="1" x14ac:dyDescent="0.15"/>
    <row r="56018" s="9" customFormat="1" ht="21.95" customHeight="1" x14ac:dyDescent="0.15"/>
    <row r="56019" s="9" customFormat="1" ht="21.95" customHeight="1" x14ac:dyDescent="0.15"/>
    <row r="56020" s="9" customFormat="1" ht="21.95" customHeight="1" x14ac:dyDescent="0.15"/>
    <row r="56021" s="9" customFormat="1" ht="21.95" customHeight="1" x14ac:dyDescent="0.15"/>
    <row r="56022" s="9" customFormat="1" ht="35.1" customHeight="1" x14ac:dyDescent="0.15"/>
    <row r="56023" s="9" customFormat="1" ht="21.95" customHeight="1" x14ac:dyDescent="0.15"/>
    <row r="56024" s="9" customFormat="1" ht="21.95" customHeight="1" x14ac:dyDescent="0.15"/>
    <row r="56025" s="9" customFormat="1" ht="21.95" customHeight="1" x14ac:dyDescent="0.15"/>
    <row r="56026" s="9" customFormat="1" ht="21.95" customHeight="1" x14ac:dyDescent="0.15"/>
    <row r="56027" s="9" customFormat="1" ht="21.95" customHeight="1" x14ac:dyDescent="0.15"/>
    <row r="56028" s="9" customFormat="1" ht="21.95" customHeight="1" x14ac:dyDescent="0.15"/>
    <row r="56029" s="9" customFormat="1" ht="21.95" customHeight="1" x14ac:dyDescent="0.15"/>
    <row r="56030" s="9" customFormat="1" ht="21.95" customHeight="1" x14ac:dyDescent="0.15"/>
    <row r="56031" s="9" customFormat="1" ht="21.95" customHeight="1" x14ac:dyDescent="0.15"/>
    <row r="56032" s="9" customFormat="1" ht="21.95" customHeight="1" x14ac:dyDescent="0.15"/>
    <row r="56033" spans="3:3" s="9" customFormat="1" ht="21.95" customHeight="1" x14ac:dyDescent="0.15"/>
    <row r="56034" spans="3:3" s="9" customFormat="1" ht="21.95" customHeight="1" x14ac:dyDescent="0.15"/>
    <row r="56035" spans="3:3" s="9" customFormat="1" ht="21.95" customHeight="1" x14ac:dyDescent="0.15"/>
    <row r="56036" spans="3:3" s="9" customFormat="1" ht="21.95" customHeight="1" x14ac:dyDescent="0.15"/>
    <row r="56037" spans="3:3" s="9" customFormat="1" ht="21.95" customHeight="1" x14ac:dyDescent="0.15"/>
    <row r="56038" spans="3:3" s="9" customFormat="1" ht="21.95" customHeight="1" x14ac:dyDescent="0.15"/>
    <row r="56039" spans="3:3" s="9" customFormat="1" ht="21.95" customHeight="1" x14ac:dyDescent="0.15"/>
    <row r="56040" spans="3:3" s="9" customFormat="1" ht="21.95" customHeight="1" x14ac:dyDescent="0.15"/>
    <row r="56041" spans="3:3" s="9" customFormat="1" ht="21.95" customHeight="1" x14ac:dyDescent="0.15"/>
    <row r="56042" spans="3:3" s="9" customFormat="1" ht="21.95" customHeight="1" x14ac:dyDescent="0.15"/>
    <row r="56043" spans="3:3" s="9" customFormat="1" ht="21.95" customHeight="1" x14ac:dyDescent="0.15"/>
    <row r="56044" spans="3:3" s="9" customFormat="1" ht="21.95" customHeight="1" x14ac:dyDescent="0.15"/>
    <row r="56045" spans="3:3" s="9" customFormat="1" ht="21.95" customHeight="1" x14ac:dyDescent="0.15"/>
    <row r="56046" spans="3:3" s="8" customFormat="1" ht="21.95" customHeight="1" x14ac:dyDescent="0.15"/>
    <row r="56047" spans="3:3" s="8" customFormat="1" ht="21.95" customHeight="1" x14ac:dyDescent="0.15"/>
    <row r="56048" spans="3:3" s="8" customFormat="1" ht="21.95" customHeight="1" x14ac:dyDescent="0.15">
      <c r="C56048" s="101"/>
    </row>
    <row r="56049" spans="3:3" s="8" customFormat="1" ht="21.95" customHeight="1" x14ac:dyDescent="0.15">
      <c r="C56049" s="101"/>
    </row>
    <row r="56050" spans="3:3" s="8" customFormat="1" ht="21.95" customHeight="1" x14ac:dyDescent="0.15"/>
    <row r="56051" spans="3:3" s="8" customFormat="1" ht="21.95" customHeight="1" x14ac:dyDescent="0.15"/>
    <row r="56052" spans="3:3" s="8" customFormat="1" ht="21.95" customHeight="1" x14ac:dyDescent="0.15"/>
    <row r="56053" spans="3:3" s="8" customFormat="1" ht="21.95" customHeight="1" x14ac:dyDescent="0.15"/>
    <row r="56054" spans="3:3" s="8" customFormat="1" ht="21.95" customHeight="1" x14ac:dyDescent="0.15"/>
    <row r="56055" spans="3:3" s="8" customFormat="1" ht="21.95" customHeight="1" x14ac:dyDescent="0.15"/>
    <row r="56056" spans="3:3" s="8" customFormat="1" ht="21.95" customHeight="1" x14ac:dyDescent="0.15"/>
    <row r="56057" spans="3:3" s="9" customFormat="1" ht="21.95" customHeight="1" x14ac:dyDescent="0.15"/>
    <row r="56058" spans="3:3" s="9" customFormat="1" ht="21.95" customHeight="1" x14ac:dyDescent="0.15"/>
    <row r="56059" spans="3:3" s="9" customFormat="1" ht="21.95" customHeight="1" x14ac:dyDescent="0.15"/>
    <row r="56060" spans="3:3" s="9" customFormat="1" ht="21.95" customHeight="1" x14ac:dyDescent="0.15"/>
    <row r="56061" spans="3:3" s="8" customFormat="1" ht="21.95" customHeight="1" x14ac:dyDescent="0.15"/>
    <row r="56062" spans="3:3" s="8" customFormat="1" ht="21.95" customHeight="1" x14ac:dyDescent="0.15"/>
    <row r="56063" spans="3:3" s="8" customFormat="1" ht="21.95" customHeight="1" x14ac:dyDescent="0.15"/>
    <row r="56064" spans="3:3" s="8" customFormat="1" ht="21.95" customHeight="1" x14ac:dyDescent="0.15"/>
    <row r="56065" s="8" customFormat="1" ht="21.95" customHeight="1" x14ac:dyDescent="0.15"/>
    <row r="56066" s="8" customFormat="1" ht="21.95" customHeight="1" x14ac:dyDescent="0.15"/>
    <row r="56067" s="8" customFormat="1" ht="21.95" customHeight="1" x14ac:dyDescent="0.15"/>
    <row r="56068" s="8" customFormat="1" ht="21.95" customHeight="1" x14ac:dyDescent="0.15"/>
    <row r="56069" s="8" customFormat="1" ht="21.95" customHeight="1" x14ac:dyDescent="0.15"/>
    <row r="56070" s="8" customFormat="1" ht="21.95" customHeight="1" x14ac:dyDescent="0.15"/>
    <row r="56071" s="8" customFormat="1" ht="21.95" customHeight="1" x14ac:dyDescent="0.15"/>
    <row r="56072" s="8" customFormat="1" ht="32.1" customHeight="1" x14ac:dyDescent="0.15"/>
    <row r="56073" s="8" customFormat="1" ht="32.1" customHeight="1" x14ac:dyDescent="0.15"/>
    <row r="56074" s="8" customFormat="1" ht="32.1" customHeight="1" x14ac:dyDescent="0.15"/>
    <row r="56075" s="8" customFormat="1" ht="32.1" customHeight="1" x14ac:dyDescent="0.15"/>
    <row r="56076" s="8" customFormat="1" ht="32.1" customHeight="1" x14ac:dyDescent="0.15"/>
    <row r="56077" s="8" customFormat="1" ht="32.1" customHeight="1" x14ac:dyDescent="0.15"/>
    <row r="56078" s="9" customFormat="1" ht="32.1" customHeight="1" x14ac:dyDescent="0.15"/>
    <row r="56079" s="9" customFormat="1" ht="32.1" customHeight="1" x14ac:dyDescent="0.15"/>
    <row r="56080" s="9" customFormat="1" ht="32.1" customHeight="1" x14ac:dyDescent="0.15"/>
    <row r="56081" s="9" customFormat="1" ht="32.1" customHeight="1" x14ac:dyDescent="0.15"/>
    <row r="56082" s="9" customFormat="1" ht="21.95" customHeight="1" x14ac:dyDescent="0.15"/>
    <row r="56083" s="9" customFormat="1" ht="54" customHeight="1" x14ac:dyDescent="0.15"/>
    <row r="56084" s="9" customFormat="1" ht="21.95" customHeight="1" x14ac:dyDescent="0.15"/>
    <row r="56085" s="9" customFormat="1" ht="21.95" customHeight="1" x14ac:dyDescent="0.15"/>
    <row r="56086" s="9" customFormat="1" ht="21.95" customHeight="1" x14ac:dyDescent="0.15"/>
    <row r="56087" s="9" customFormat="1" ht="21.95" customHeight="1" x14ac:dyDescent="0.15"/>
    <row r="56088" s="9" customFormat="1" ht="21.95" customHeight="1" x14ac:dyDescent="0.15"/>
    <row r="56089" s="9" customFormat="1" ht="21.95" customHeight="1" x14ac:dyDescent="0.15"/>
    <row r="56090" s="9" customFormat="1" ht="21.95" customHeight="1" x14ac:dyDescent="0.15"/>
    <row r="56091" s="9" customFormat="1" ht="21.95" customHeight="1" x14ac:dyDescent="0.15"/>
    <row r="56092" s="9" customFormat="1" ht="21.95" customHeight="1" x14ac:dyDescent="0.15"/>
    <row r="56093" s="9" customFormat="1" ht="21.95" customHeight="1" x14ac:dyDescent="0.15"/>
    <row r="56094" s="9" customFormat="1" ht="21.95" customHeight="1" x14ac:dyDescent="0.15"/>
    <row r="56095" s="9" customFormat="1" ht="21.95" customHeight="1" x14ac:dyDescent="0.15"/>
    <row r="56096" s="9" customFormat="1" ht="21.95" customHeight="1" x14ac:dyDescent="0.15"/>
    <row r="56097" s="9" customFormat="1" ht="21.95" customHeight="1" x14ac:dyDescent="0.15"/>
    <row r="56098" s="9" customFormat="1" ht="21.95" customHeight="1" x14ac:dyDescent="0.15"/>
    <row r="56099" s="9" customFormat="1" ht="21.95" customHeight="1" x14ac:dyDescent="0.15"/>
    <row r="56100" s="9" customFormat="1" ht="21.95" customHeight="1" x14ac:dyDescent="0.15"/>
    <row r="56101" s="9" customFormat="1" ht="21.95" customHeight="1" x14ac:dyDescent="0.15"/>
    <row r="56102" s="9" customFormat="1" ht="21.95" customHeight="1" x14ac:dyDescent="0.15"/>
    <row r="56103" s="9" customFormat="1" ht="21.95" customHeight="1" x14ac:dyDescent="0.15"/>
    <row r="56104" s="9" customFormat="1" ht="21.95" customHeight="1" x14ac:dyDescent="0.15"/>
    <row r="56105" s="9" customFormat="1" ht="21.95" customHeight="1" x14ac:dyDescent="0.15"/>
    <row r="56106" s="9" customFormat="1" ht="21.95" customHeight="1" x14ac:dyDescent="0.15"/>
    <row r="56107" s="9" customFormat="1" ht="21.95" customHeight="1" x14ac:dyDescent="0.15"/>
    <row r="56108" s="9" customFormat="1" ht="21.95" customHeight="1" x14ac:dyDescent="0.15"/>
    <row r="56109" s="9" customFormat="1" ht="21.95" customHeight="1" x14ac:dyDescent="0.15"/>
    <row r="56110" s="9" customFormat="1" ht="21.95" customHeight="1" x14ac:dyDescent="0.15"/>
    <row r="56111" s="9" customFormat="1" ht="21.95" customHeight="1" x14ac:dyDescent="0.15"/>
    <row r="56112" s="9" customFormat="1" ht="21.95" customHeight="1" x14ac:dyDescent="0.15"/>
    <row r="56113" s="9" customFormat="1" ht="21.95" customHeight="1" x14ac:dyDescent="0.15"/>
    <row r="56114" s="9" customFormat="1" ht="21.95" customHeight="1" x14ac:dyDescent="0.15"/>
    <row r="56115" s="9" customFormat="1" ht="21.95" customHeight="1" x14ac:dyDescent="0.15"/>
    <row r="56116" s="9" customFormat="1" ht="21.95" customHeight="1" x14ac:dyDescent="0.15"/>
    <row r="56117" s="9" customFormat="1" ht="21.95" customHeight="1" x14ac:dyDescent="0.15"/>
    <row r="56118" s="9" customFormat="1" ht="21.95" customHeight="1" x14ac:dyDescent="0.15"/>
    <row r="56119" s="9" customFormat="1" ht="21.95" customHeight="1" x14ac:dyDescent="0.15"/>
    <row r="56120" s="9" customFormat="1" ht="21.95" customHeight="1" x14ac:dyDescent="0.15"/>
    <row r="56121" s="9" customFormat="1" ht="21.95" customHeight="1" x14ac:dyDescent="0.15"/>
    <row r="56122" s="9" customFormat="1" ht="21.95" customHeight="1" x14ac:dyDescent="0.15"/>
    <row r="56123" s="9" customFormat="1" ht="21.95" customHeight="1" x14ac:dyDescent="0.15"/>
    <row r="56124" s="9" customFormat="1" ht="21.95" customHeight="1" x14ac:dyDescent="0.15"/>
    <row r="56125" s="9" customFormat="1" ht="21.95" customHeight="1" x14ac:dyDescent="0.15"/>
    <row r="56126" s="9" customFormat="1" ht="21.95" customHeight="1" x14ac:dyDescent="0.15"/>
    <row r="56127" s="9" customFormat="1" ht="21.95" customHeight="1" x14ac:dyDescent="0.15"/>
    <row r="56128" s="9" customFormat="1" ht="21.95" customHeight="1" x14ac:dyDescent="0.15"/>
    <row r="56129" s="9" customFormat="1" ht="21.95" customHeight="1" x14ac:dyDescent="0.15"/>
    <row r="56130" s="9" customFormat="1" ht="21.95" customHeight="1" x14ac:dyDescent="0.15"/>
    <row r="56131" s="9" customFormat="1" ht="21.95" customHeight="1" x14ac:dyDescent="0.15"/>
    <row r="56132" s="9" customFormat="1" ht="21.95" customHeight="1" x14ac:dyDescent="0.15"/>
    <row r="56133" s="9" customFormat="1" ht="21.95" customHeight="1" x14ac:dyDescent="0.15"/>
    <row r="56134" s="9" customFormat="1" ht="35.1" customHeight="1" x14ac:dyDescent="0.15"/>
    <row r="56135" s="9" customFormat="1" ht="21.95" customHeight="1" x14ac:dyDescent="0.15"/>
    <row r="56136" s="9" customFormat="1" ht="21.95" customHeight="1" x14ac:dyDescent="0.15"/>
    <row r="56137" s="9" customFormat="1" ht="21.95" customHeight="1" x14ac:dyDescent="0.15"/>
    <row r="56138" s="9" customFormat="1" ht="21.95" customHeight="1" x14ac:dyDescent="0.15"/>
    <row r="56139" s="9" customFormat="1" ht="21.95" customHeight="1" x14ac:dyDescent="0.15"/>
    <row r="56140" s="9" customFormat="1" ht="21.95" customHeight="1" x14ac:dyDescent="0.15"/>
    <row r="56141" s="9" customFormat="1" ht="21.95" customHeight="1" x14ac:dyDescent="0.15"/>
    <row r="56142" s="9" customFormat="1" ht="21.95" customHeight="1" x14ac:dyDescent="0.15"/>
    <row r="56143" s="9" customFormat="1" ht="21.95" customHeight="1" x14ac:dyDescent="0.15"/>
    <row r="56144" s="9" customFormat="1" ht="21.95" customHeight="1" x14ac:dyDescent="0.15"/>
    <row r="56145" spans="3:3" s="9" customFormat="1" ht="21.95" customHeight="1" x14ac:dyDescent="0.15"/>
    <row r="56146" spans="3:3" s="9" customFormat="1" ht="21.95" customHeight="1" x14ac:dyDescent="0.15"/>
    <row r="56147" spans="3:3" s="9" customFormat="1" ht="21.95" customHeight="1" x14ac:dyDescent="0.15"/>
    <row r="56148" spans="3:3" s="9" customFormat="1" ht="21.95" customHeight="1" x14ac:dyDescent="0.15"/>
    <row r="56149" spans="3:3" s="9" customFormat="1" ht="21.95" customHeight="1" x14ac:dyDescent="0.15"/>
    <row r="56150" spans="3:3" s="9" customFormat="1" ht="21.95" customHeight="1" x14ac:dyDescent="0.15"/>
    <row r="56151" spans="3:3" s="9" customFormat="1" ht="21.95" customHeight="1" x14ac:dyDescent="0.15"/>
    <row r="56152" spans="3:3" s="9" customFormat="1" ht="21.95" customHeight="1" x14ac:dyDescent="0.15"/>
    <row r="56153" spans="3:3" s="9" customFormat="1" ht="21.95" customHeight="1" x14ac:dyDescent="0.15"/>
    <row r="56154" spans="3:3" s="9" customFormat="1" ht="21.95" customHeight="1" x14ac:dyDescent="0.15"/>
    <row r="56155" spans="3:3" s="9" customFormat="1" ht="21.95" customHeight="1" x14ac:dyDescent="0.15"/>
    <row r="56156" spans="3:3" s="9" customFormat="1" ht="21.95" customHeight="1" x14ac:dyDescent="0.15"/>
    <row r="56157" spans="3:3" s="9" customFormat="1" ht="21.95" customHeight="1" x14ac:dyDescent="0.15"/>
    <row r="56158" spans="3:3" s="8" customFormat="1" ht="21.95" customHeight="1" x14ac:dyDescent="0.15"/>
    <row r="56159" spans="3:3" s="8" customFormat="1" ht="21.95" customHeight="1" x14ac:dyDescent="0.15"/>
    <row r="56160" spans="3:3" s="8" customFormat="1" ht="21.95" customHeight="1" x14ac:dyDescent="0.15">
      <c r="C56160" s="101"/>
    </row>
    <row r="56161" spans="3:3" s="8" customFormat="1" ht="21.95" customHeight="1" x14ac:dyDescent="0.15">
      <c r="C56161" s="101"/>
    </row>
    <row r="56162" spans="3:3" s="8" customFormat="1" ht="21.95" customHeight="1" x14ac:dyDescent="0.15"/>
    <row r="56163" spans="3:3" s="8" customFormat="1" ht="21.95" customHeight="1" x14ac:dyDescent="0.15"/>
    <row r="56164" spans="3:3" s="8" customFormat="1" ht="21.95" customHeight="1" x14ac:dyDescent="0.15"/>
    <row r="56165" spans="3:3" s="8" customFormat="1" ht="21.95" customHeight="1" x14ac:dyDescent="0.15"/>
    <row r="56166" spans="3:3" s="8" customFormat="1" ht="21.95" customHeight="1" x14ac:dyDescent="0.15"/>
    <row r="56167" spans="3:3" s="8" customFormat="1" ht="21.95" customHeight="1" x14ac:dyDescent="0.15"/>
    <row r="56168" spans="3:3" s="8" customFormat="1" ht="21.95" customHeight="1" x14ac:dyDescent="0.15"/>
    <row r="56169" spans="3:3" s="9" customFormat="1" ht="21.95" customHeight="1" x14ac:dyDescent="0.15"/>
    <row r="56170" spans="3:3" s="9" customFormat="1" ht="21.95" customHeight="1" x14ac:dyDescent="0.15"/>
    <row r="56171" spans="3:3" s="9" customFormat="1" ht="21.95" customHeight="1" x14ac:dyDescent="0.15"/>
    <row r="56172" spans="3:3" s="9" customFormat="1" ht="21.95" customHeight="1" x14ac:dyDescent="0.15"/>
    <row r="56173" spans="3:3" s="8" customFormat="1" ht="21.95" customHeight="1" x14ac:dyDescent="0.15"/>
    <row r="56174" spans="3:3" s="8" customFormat="1" ht="21.95" customHeight="1" x14ac:dyDescent="0.15"/>
    <row r="56175" spans="3:3" s="8" customFormat="1" ht="21.95" customHeight="1" x14ac:dyDescent="0.15"/>
    <row r="56176" spans="3:3" s="8" customFormat="1" ht="21.95" customHeight="1" x14ac:dyDescent="0.15"/>
    <row r="56177" s="8" customFormat="1" ht="21.95" customHeight="1" x14ac:dyDescent="0.15"/>
    <row r="56178" s="8" customFormat="1" ht="21.95" customHeight="1" x14ac:dyDescent="0.15"/>
    <row r="56179" s="8" customFormat="1" ht="21.95" customHeight="1" x14ac:dyDescent="0.15"/>
    <row r="56180" s="8" customFormat="1" ht="21.95" customHeight="1" x14ac:dyDescent="0.15"/>
    <row r="56181" s="8" customFormat="1" ht="21.95" customHeight="1" x14ac:dyDescent="0.15"/>
    <row r="56182" s="8" customFormat="1" ht="21.95" customHeight="1" x14ac:dyDescent="0.15"/>
    <row r="56183" s="8" customFormat="1" ht="21.95" customHeight="1" x14ac:dyDescent="0.15"/>
    <row r="56184" s="8" customFormat="1" ht="32.1" customHeight="1" x14ac:dyDescent="0.15"/>
    <row r="56185" s="8" customFormat="1" ht="32.1" customHeight="1" x14ac:dyDescent="0.15"/>
    <row r="56186" s="8" customFormat="1" ht="32.1" customHeight="1" x14ac:dyDescent="0.15"/>
    <row r="56187" s="8" customFormat="1" ht="32.1" customHeight="1" x14ac:dyDescent="0.15"/>
    <row r="56188" s="8" customFormat="1" ht="32.1" customHeight="1" x14ac:dyDescent="0.15"/>
    <row r="56189" s="8" customFormat="1" ht="32.1" customHeight="1" x14ac:dyDescent="0.15"/>
    <row r="56190" s="9" customFormat="1" ht="32.1" customHeight="1" x14ac:dyDescent="0.15"/>
    <row r="56191" s="9" customFormat="1" ht="32.1" customHeight="1" x14ac:dyDescent="0.15"/>
    <row r="56192" s="9" customFormat="1" ht="32.1" customHeight="1" x14ac:dyDescent="0.15"/>
    <row r="56193" s="9" customFormat="1" ht="32.1" customHeight="1" x14ac:dyDescent="0.15"/>
    <row r="56194" s="9" customFormat="1" ht="21.95" customHeight="1" x14ac:dyDescent="0.15"/>
    <row r="56195" s="9" customFormat="1" ht="54" customHeight="1" x14ac:dyDescent="0.15"/>
    <row r="56196" s="9" customFormat="1" ht="21.95" customHeight="1" x14ac:dyDescent="0.15"/>
    <row r="56197" s="9" customFormat="1" ht="21.95" customHeight="1" x14ac:dyDescent="0.15"/>
    <row r="56198" s="9" customFormat="1" ht="21.95" customHeight="1" x14ac:dyDescent="0.15"/>
    <row r="56199" s="9" customFormat="1" ht="21.95" customHeight="1" x14ac:dyDescent="0.15"/>
    <row r="56200" s="9" customFormat="1" ht="21.95" customHeight="1" x14ac:dyDescent="0.15"/>
    <row r="56201" s="9" customFormat="1" ht="21.95" customHeight="1" x14ac:dyDescent="0.15"/>
    <row r="56202" s="9" customFormat="1" ht="21.95" customHeight="1" x14ac:dyDescent="0.15"/>
    <row r="56203" s="9" customFormat="1" ht="21.95" customHeight="1" x14ac:dyDescent="0.15"/>
    <row r="56204" s="9" customFormat="1" ht="21.95" customHeight="1" x14ac:dyDescent="0.15"/>
    <row r="56205" s="9" customFormat="1" ht="21.95" customHeight="1" x14ac:dyDescent="0.15"/>
    <row r="56206" s="9" customFormat="1" ht="21.95" customHeight="1" x14ac:dyDescent="0.15"/>
    <row r="56207" s="9" customFormat="1" ht="21.95" customHeight="1" x14ac:dyDescent="0.15"/>
    <row r="56208" s="9" customFormat="1" ht="21.95" customHeight="1" x14ac:dyDescent="0.15"/>
    <row r="56209" s="9" customFormat="1" ht="21.95" customHeight="1" x14ac:dyDescent="0.15"/>
    <row r="56210" s="9" customFormat="1" ht="21.95" customHeight="1" x14ac:dyDescent="0.15"/>
    <row r="56211" s="9" customFormat="1" ht="21.95" customHeight="1" x14ac:dyDescent="0.15"/>
    <row r="56212" s="9" customFormat="1" ht="21.95" customHeight="1" x14ac:dyDescent="0.15"/>
    <row r="56213" s="9" customFormat="1" ht="21.95" customHeight="1" x14ac:dyDescent="0.15"/>
    <row r="56214" s="9" customFormat="1" ht="21.95" customHeight="1" x14ac:dyDescent="0.15"/>
    <row r="56215" s="9" customFormat="1" ht="21.95" customHeight="1" x14ac:dyDescent="0.15"/>
    <row r="56216" s="9" customFormat="1" ht="21.95" customHeight="1" x14ac:dyDescent="0.15"/>
    <row r="56217" s="9" customFormat="1" ht="21.95" customHeight="1" x14ac:dyDescent="0.15"/>
    <row r="56218" s="9" customFormat="1" ht="21.95" customHeight="1" x14ac:dyDescent="0.15"/>
    <row r="56219" s="9" customFormat="1" ht="21.95" customHeight="1" x14ac:dyDescent="0.15"/>
    <row r="56220" s="9" customFormat="1" ht="21.95" customHeight="1" x14ac:dyDescent="0.15"/>
    <row r="56221" s="9" customFormat="1" ht="21.95" customHeight="1" x14ac:dyDescent="0.15"/>
    <row r="56222" s="9" customFormat="1" ht="21.95" customHeight="1" x14ac:dyDescent="0.15"/>
    <row r="56223" s="9" customFormat="1" ht="21.95" customHeight="1" x14ac:dyDescent="0.15"/>
    <row r="56224" s="9" customFormat="1" ht="21.95" customHeight="1" x14ac:dyDescent="0.15"/>
    <row r="56225" s="9" customFormat="1" ht="21.95" customHeight="1" x14ac:dyDescent="0.15"/>
    <row r="56226" s="9" customFormat="1" ht="21.95" customHeight="1" x14ac:dyDescent="0.15"/>
    <row r="56227" s="9" customFormat="1" ht="21.95" customHeight="1" x14ac:dyDescent="0.15"/>
    <row r="56228" s="9" customFormat="1" ht="21.95" customHeight="1" x14ac:dyDescent="0.15"/>
    <row r="56229" s="9" customFormat="1" ht="21.95" customHeight="1" x14ac:dyDescent="0.15"/>
    <row r="56230" s="9" customFormat="1" ht="21.95" customHeight="1" x14ac:dyDescent="0.15"/>
    <row r="56231" s="9" customFormat="1" ht="21.95" customHeight="1" x14ac:dyDescent="0.15"/>
    <row r="56232" s="9" customFormat="1" ht="21.95" customHeight="1" x14ac:dyDescent="0.15"/>
    <row r="56233" s="9" customFormat="1" ht="21.95" customHeight="1" x14ac:dyDescent="0.15"/>
    <row r="56234" s="9" customFormat="1" ht="21.95" customHeight="1" x14ac:dyDescent="0.15"/>
    <row r="56235" s="9" customFormat="1" ht="21.95" customHeight="1" x14ac:dyDescent="0.15"/>
    <row r="56236" s="9" customFormat="1" ht="21.95" customHeight="1" x14ac:dyDescent="0.15"/>
    <row r="56237" s="9" customFormat="1" ht="21.95" customHeight="1" x14ac:dyDescent="0.15"/>
    <row r="56238" s="9" customFormat="1" ht="21.95" customHeight="1" x14ac:dyDescent="0.15"/>
    <row r="56239" s="9" customFormat="1" ht="21.95" customHeight="1" x14ac:dyDescent="0.15"/>
    <row r="56240" s="9" customFormat="1" ht="21.95" customHeight="1" x14ac:dyDescent="0.15"/>
    <row r="56241" s="9" customFormat="1" ht="21.95" customHeight="1" x14ac:dyDescent="0.15"/>
    <row r="56242" s="9" customFormat="1" ht="21.95" customHeight="1" x14ac:dyDescent="0.15"/>
    <row r="56243" s="9" customFormat="1" ht="21.95" customHeight="1" x14ac:dyDescent="0.15"/>
    <row r="56244" s="9" customFormat="1" ht="21.95" customHeight="1" x14ac:dyDescent="0.15"/>
    <row r="56245" s="9" customFormat="1" ht="21.95" customHeight="1" x14ac:dyDescent="0.15"/>
    <row r="56246" s="9" customFormat="1" ht="35.1" customHeight="1" x14ac:dyDescent="0.15"/>
    <row r="56247" s="9" customFormat="1" ht="21.95" customHeight="1" x14ac:dyDescent="0.15"/>
    <row r="56248" s="9" customFormat="1" ht="21.95" customHeight="1" x14ac:dyDescent="0.15"/>
    <row r="56249" s="9" customFormat="1" ht="21.95" customHeight="1" x14ac:dyDescent="0.15"/>
    <row r="56250" s="9" customFormat="1" ht="21.95" customHeight="1" x14ac:dyDescent="0.15"/>
    <row r="56251" s="9" customFormat="1" ht="21.95" customHeight="1" x14ac:dyDescent="0.15"/>
    <row r="56252" s="9" customFormat="1" ht="21.95" customHeight="1" x14ac:dyDescent="0.15"/>
    <row r="56253" s="9" customFormat="1" ht="21.95" customHeight="1" x14ac:dyDescent="0.15"/>
    <row r="56254" s="9" customFormat="1" ht="21.95" customHeight="1" x14ac:dyDescent="0.15"/>
    <row r="56255" s="9" customFormat="1" ht="21.95" customHeight="1" x14ac:dyDescent="0.15"/>
    <row r="56256" s="9" customFormat="1" ht="21.95" customHeight="1" x14ac:dyDescent="0.15"/>
    <row r="56257" spans="3:3" s="9" customFormat="1" ht="21.95" customHeight="1" x14ac:dyDescent="0.15"/>
    <row r="56258" spans="3:3" s="9" customFormat="1" ht="21.95" customHeight="1" x14ac:dyDescent="0.15"/>
    <row r="56259" spans="3:3" s="9" customFormat="1" ht="21.95" customHeight="1" x14ac:dyDescent="0.15"/>
    <row r="56260" spans="3:3" s="9" customFormat="1" ht="21.95" customHeight="1" x14ac:dyDescent="0.15"/>
    <row r="56261" spans="3:3" s="9" customFormat="1" ht="21.95" customHeight="1" x14ac:dyDescent="0.15"/>
    <row r="56262" spans="3:3" s="9" customFormat="1" ht="21.95" customHeight="1" x14ac:dyDescent="0.15"/>
    <row r="56263" spans="3:3" s="9" customFormat="1" ht="21.95" customHeight="1" x14ac:dyDescent="0.15"/>
    <row r="56264" spans="3:3" s="9" customFormat="1" ht="21.95" customHeight="1" x14ac:dyDescent="0.15"/>
    <row r="56265" spans="3:3" s="9" customFormat="1" ht="21.95" customHeight="1" x14ac:dyDescent="0.15"/>
    <row r="56266" spans="3:3" s="9" customFormat="1" ht="21.95" customHeight="1" x14ac:dyDescent="0.15"/>
    <row r="56267" spans="3:3" s="9" customFormat="1" ht="21.95" customHeight="1" x14ac:dyDescent="0.15"/>
    <row r="56268" spans="3:3" s="9" customFormat="1" ht="21.95" customHeight="1" x14ac:dyDescent="0.15"/>
    <row r="56269" spans="3:3" s="9" customFormat="1" ht="21.95" customHeight="1" x14ac:dyDescent="0.15"/>
    <row r="56270" spans="3:3" s="8" customFormat="1" ht="21.95" customHeight="1" x14ac:dyDescent="0.15"/>
    <row r="56271" spans="3:3" s="8" customFormat="1" ht="21.95" customHeight="1" x14ac:dyDescent="0.15"/>
    <row r="56272" spans="3:3" s="8" customFormat="1" ht="21.95" customHeight="1" x14ac:dyDescent="0.15">
      <c r="C56272" s="101"/>
    </row>
    <row r="56273" spans="3:3" s="8" customFormat="1" ht="21.95" customHeight="1" x14ac:dyDescent="0.15">
      <c r="C56273" s="101"/>
    </row>
    <row r="56274" spans="3:3" s="8" customFormat="1" ht="21.95" customHeight="1" x14ac:dyDescent="0.15"/>
    <row r="56275" spans="3:3" s="8" customFormat="1" ht="21.95" customHeight="1" x14ac:dyDescent="0.15"/>
    <row r="56276" spans="3:3" s="8" customFormat="1" ht="21.95" customHeight="1" x14ac:dyDescent="0.15"/>
    <row r="56277" spans="3:3" s="8" customFormat="1" ht="21.95" customHeight="1" x14ac:dyDescent="0.15"/>
    <row r="56278" spans="3:3" s="8" customFormat="1" ht="21.95" customHeight="1" x14ac:dyDescent="0.15"/>
    <row r="56279" spans="3:3" s="8" customFormat="1" ht="21.95" customHeight="1" x14ac:dyDescent="0.15"/>
    <row r="56280" spans="3:3" s="8" customFormat="1" ht="21.95" customHeight="1" x14ac:dyDescent="0.15"/>
    <row r="56281" spans="3:3" s="9" customFormat="1" ht="21.95" customHeight="1" x14ac:dyDescent="0.15"/>
    <row r="56282" spans="3:3" s="9" customFormat="1" ht="21.95" customHeight="1" x14ac:dyDescent="0.15"/>
    <row r="56283" spans="3:3" s="9" customFormat="1" ht="21.95" customHeight="1" x14ac:dyDescent="0.15"/>
    <row r="56284" spans="3:3" s="9" customFormat="1" ht="21.95" customHeight="1" x14ac:dyDescent="0.15"/>
    <row r="56285" spans="3:3" s="8" customFormat="1" ht="21.95" customHeight="1" x14ac:dyDescent="0.15"/>
    <row r="56286" spans="3:3" s="8" customFormat="1" ht="21.95" customHeight="1" x14ac:dyDescent="0.15"/>
    <row r="56287" spans="3:3" s="8" customFormat="1" ht="21.95" customHeight="1" x14ac:dyDescent="0.15"/>
    <row r="56288" spans="3:3" s="8" customFormat="1" ht="21.95" customHeight="1" x14ac:dyDescent="0.15"/>
    <row r="56289" s="8" customFormat="1" ht="21.95" customHeight="1" x14ac:dyDescent="0.15"/>
    <row r="56290" s="8" customFormat="1" ht="21.95" customHeight="1" x14ac:dyDescent="0.15"/>
    <row r="56291" s="8" customFormat="1" ht="21.95" customHeight="1" x14ac:dyDescent="0.15"/>
    <row r="56292" s="8" customFormat="1" ht="21.95" customHeight="1" x14ac:dyDescent="0.15"/>
    <row r="56293" s="8" customFormat="1" ht="21.95" customHeight="1" x14ac:dyDescent="0.15"/>
    <row r="56294" s="8" customFormat="1" ht="21.95" customHeight="1" x14ac:dyDescent="0.15"/>
    <row r="56295" s="8" customFormat="1" ht="21.95" customHeight="1" x14ac:dyDescent="0.15"/>
    <row r="56296" s="8" customFormat="1" ht="32.1" customHeight="1" x14ac:dyDescent="0.15"/>
    <row r="56297" s="8" customFormat="1" ht="32.1" customHeight="1" x14ac:dyDescent="0.15"/>
    <row r="56298" s="8" customFormat="1" ht="32.1" customHeight="1" x14ac:dyDescent="0.15"/>
    <row r="56299" s="8" customFormat="1" ht="32.1" customHeight="1" x14ac:dyDescent="0.15"/>
    <row r="56300" s="8" customFormat="1" ht="32.1" customHeight="1" x14ac:dyDescent="0.15"/>
    <row r="56301" s="8" customFormat="1" ht="32.1" customHeight="1" x14ac:dyDescent="0.15"/>
    <row r="56302" s="9" customFormat="1" ht="32.1" customHeight="1" x14ac:dyDescent="0.15"/>
    <row r="56303" s="9" customFormat="1" ht="32.1" customHeight="1" x14ac:dyDescent="0.15"/>
    <row r="56304" s="9" customFormat="1" ht="32.1" customHeight="1" x14ac:dyDescent="0.15"/>
    <row r="56305" s="9" customFormat="1" ht="32.1" customHeight="1" x14ac:dyDescent="0.15"/>
    <row r="56306" s="9" customFormat="1" ht="21.95" customHeight="1" x14ac:dyDescent="0.15"/>
    <row r="56307" s="9" customFormat="1" ht="54" customHeight="1" x14ac:dyDescent="0.15"/>
    <row r="56308" s="9" customFormat="1" ht="21.95" customHeight="1" x14ac:dyDescent="0.15"/>
    <row r="56309" s="9" customFormat="1" ht="21.95" customHeight="1" x14ac:dyDescent="0.15"/>
    <row r="56310" s="9" customFormat="1" ht="21.95" customHeight="1" x14ac:dyDescent="0.15"/>
    <row r="56311" s="9" customFormat="1" ht="21.95" customHeight="1" x14ac:dyDescent="0.15"/>
    <row r="56312" s="9" customFormat="1" ht="21.95" customHeight="1" x14ac:dyDescent="0.15"/>
    <row r="56313" s="9" customFormat="1" ht="21.95" customHeight="1" x14ac:dyDescent="0.15"/>
    <row r="56314" s="9" customFormat="1" ht="21.95" customHeight="1" x14ac:dyDescent="0.15"/>
    <row r="56315" s="9" customFormat="1" ht="21.95" customHeight="1" x14ac:dyDescent="0.15"/>
    <row r="56316" s="9" customFormat="1" ht="21.95" customHeight="1" x14ac:dyDescent="0.15"/>
    <row r="56317" s="9" customFormat="1" ht="21.95" customHeight="1" x14ac:dyDescent="0.15"/>
    <row r="56318" s="9" customFormat="1" ht="21.95" customHeight="1" x14ac:dyDescent="0.15"/>
    <row r="56319" s="9" customFormat="1" ht="21.95" customHeight="1" x14ac:dyDescent="0.15"/>
    <row r="56320" s="9" customFormat="1" ht="21.95" customHeight="1" x14ac:dyDescent="0.15"/>
    <row r="56321" s="9" customFormat="1" ht="21.95" customHeight="1" x14ac:dyDescent="0.15"/>
    <row r="56322" s="9" customFormat="1" ht="21.95" customHeight="1" x14ac:dyDescent="0.15"/>
    <row r="56323" s="9" customFormat="1" ht="21.95" customHeight="1" x14ac:dyDescent="0.15"/>
    <row r="56324" s="9" customFormat="1" ht="21.95" customHeight="1" x14ac:dyDescent="0.15"/>
    <row r="56325" s="9" customFormat="1" ht="21.95" customHeight="1" x14ac:dyDescent="0.15"/>
    <row r="56326" s="9" customFormat="1" ht="21.95" customHeight="1" x14ac:dyDescent="0.15"/>
    <row r="56327" s="9" customFormat="1" ht="21.95" customHeight="1" x14ac:dyDescent="0.15"/>
    <row r="56328" s="9" customFormat="1" ht="21.95" customHeight="1" x14ac:dyDescent="0.15"/>
    <row r="56329" s="9" customFormat="1" ht="21.95" customHeight="1" x14ac:dyDescent="0.15"/>
    <row r="56330" s="9" customFormat="1" ht="21.95" customHeight="1" x14ac:dyDescent="0.15"/>
    <row r="56331" s="9" customFormat="1" ht="21.95" customHeight="1" x14ac:dyDescent="0.15"/>
    <row r="56332" s="9" customFormat="1" ht="21.95" customHeight="1" x14ac:dyDescent="0.15"/>
    <row r="56333" s="9" customFormat="1" ht="21.95" customHeight="1" x14ac:dyDescent="0.15"/>
    <row r="56334" s="9" customFormat="1" ht="21.95" customHeight="1" x14ac:dyDescent="0.15"/>
    <row r="56335" s="9" customFormat="1" ht="21.95" customHeight="1" x14ac:dyDescent="0.15"/>
    <row r="56336" s="9" customFormat="1" ht="21.95" customHeight="1" x14ac:dyDescent="0.15"/>
    <row r="56337" s="9" customFormat="1" ht="21.95" customHeight="1" x14ac:dyDescent="0.15"/>
    <row r="56338" s="9" customFormat="1" ht="21.95" customHeight="1" x14ac:dyDescent="0.15"/>
    <row r="56339" s="9" customFormat="1" ht="21.95" customHeight="1" x14ac:dyDescent="0.15"/>
    <row r="56340" s="9" customFormat="1" ht="21.95" customHeight="1" x14ac:dyDescent="0.15"/>
    <row r="56341" s="9" customFormat="1" ht="21.95" customHeight="1" x14ac:dyDescent="0.15"/>
    <row r="56342" s="9" customFormat="1" ht="21.95" customHeight="1" x14ac:dyDescent="0.15"/>
    <row r="56343" s="9" customFormat="1" ht="21.95" customHeight="1" x14ac:dyDescent="0.15"/>
    <row r="56344" s="9" customFormat="1" ht="21.95" customHeight="1" x14ac:dyDescent="0.15"/>
    <row r="56345" s="9" customFormat="1" ht="21.95" customHeight="1" x14ac:dyDescent="0.15"/>
    <row r="56346" s="9" customFormat="1" ht="21.95" customHeight="1" x14ac:dyDescent="0.15"/>
    <row r="56347" s="9" customFormat="1" ht="21.95" customHeight="1" x14ac:dyDescent="0.15"/>
    <row r="56348" s="9" customFormat="1" ht="21.95" customHeight="1" x14ac:dyDescent="0.15"/>
    <row r="56349" s="9" customFormat="1" ht="21.95" customHeight="1" x14ac:dyDescent="0.15"/>
    <row r="56350" s="9" customFormat="1" ht="21.95" customHeight="1" x14ac:dyDescent="0.15"/>
    <row r="56351" s="9" customFormat="1" ht="21.95" customHeight="1" x14ac:dyDescent="0.15"/>
    <row r="56352" s="9" customFormat="1" ht="21.95" customHeight="1" x14ac:dyDescent="0.15"/>
    <row r="56353" s="9" customFormat="1" ht="21.95" customHeight="1" x14ac:dyDescent="0.15"/>
    <row r="56354" s="9" customFormat="1" ht="21.95" customHeight="1" x14ac:dyDescent="0.15"/>
    <row r="56355" s="9" customFormat="1" ht="21.95" customHeight="1" x14ac:dyDescent="0.15"/>
    <row r="56356" s="9" customFormat="1" ht="21.95" customHeight="1" x14ac:dyDescent="0.15"/>
    <row r="56357" s="9" customFormat="1" ht="21.95" customHeight="1" x14ac:dyDescent="0.15"/>
    <row r="56358" s="9" customFormat="1" ht="35.1" customHeight="1" x14ac:dyDescent="0.15"/>
    <row r="56359" s="9" customFormat="1" ht="21.95" customHeight="1" x14ac:dyDescent="0.15"/>
    <row r="56360" s="9" customFormat="1" ht="21.95" customHeight="1" x14ac:dyDescent="0.15"/>
    <row r="56361" s="9" customFormat="1" ht="21.95" customHeight="1" x14ac:dyDescent="0.15"/>
    <row r="56362" s="9" customFormat="1" ht="21.95" customHeight="1" x14ac:dyDescent="0.15"/>
    <row r="56363" s="9" customFormat="1" ht="21.95" customHeight="1" x14ac:dyDescent="0.15"/>
    <row r="56364" s="9" customFormat="1" ht="21.95" customHeight="1" x14ac:dyDescent="0.15"/>
    <row r="56365" s="9" customFormat="1" ht="21.95" customHeight="1" x14ac:dyDescent="0.15"/>
    <row r="56366" s="9" customFormat="1" ht="21.95" customHeight="1" x14ac:dyDescent="0.15"/>
    <row r="56367" s="9" customFormat="1" ht="21.95" customHeight="1" x14ac:dyDescent="0.15"/>
    <row r="56368" s="9" customFormat="1" ht="21.95" customHeight="1" x14ac:dyDescent="0.15"/>
    <row r="56369" spans="3:3" s="9" customFormat="1" ht="21.95" customHeight="1" x14ac:dyDescent="0.15"/>
    <row r="56370" spans="3:3" s="9" customFormat="1" ht="21.95" customHeight="1" x14ac:dyDescent="0.15"/>
    <row r="56371" spans="3:3" s="9" customFormat="1" ht="21.95" customHeight="1" x14ac:dyDescent="0.15"/>
    <row r="56372" spans="3:3" s="9" customFormat="1" ht="21.95" customHeight="1" x14ac:dyDescent="0.15"/>
    <row r="56373" spans="3:3" s="9" customFormat="1" ht="21.95" customHeight="1" x14ac:dyDescent="0.15"/>
    <row r="56374" spans="3:3" s="9" customFormat="1" ht="21.95" customHeight="1" x14ac:dyDescent="0.15"/>
    <row r="56375" spans="3:3" s="9" customFormat="1" ht="21.95" customHeight="1" x14ac:dyDescent="0.15"/>
    <row r="56376" spans="3:3" s="9" customFormat="1" ht="21.95" customHeight="1" x14ac:dyDescent="0.15"/>
    <row r="56377" spans="3:3" s="9" customFormat="1" ht="21.95" customHeight="1" x14ac:dyDescent="0.15"/>
    <row r="56378" spans="3:3" s="9" customFormat="1" ht="21.95" customHeight="1" x14ac:dyDescent="0.15"/>
    <row r="56379" spans="3:3" s="9" customFormat="1" ht="21.95" customHeight="1" x14ac:dyDescent="0.15"/>
    <row r="56380" spans="3:3" s="9" customFormat="1" ht="21.95" customHeight="1" x14ac:dyDescent="0.15"/>
    <row r="56381" spans="3:3" s="9" customFormat="1" ht="21.95" customHeight="1" x14ac:dyDescent="0.15"/>
    <row r="56382" spans="3:3" s="8" customFormat="1" ht="21.95" customHeight="1" x14ac:dyDescent="0.15"/>
    <row r="56383" spans="3:3" s="8" customFormat="1" ht="21.95" customHeight="1" x14ac:dyDescent="0.15"/>
    <row r="56384" spans="3:3" s="8" customFormat="1" ht="21.95" customHeight="1" x14ac:dyDescent="0.15">
      <c r="C56384" s="101"/>
    </row>
    <row r="56385" spans="3:3" s="8" customFormat="1" ht="21.95" customHeight="1" x14ac:dyDescent="0.15">
      <c r="C56385" s="101"/>
    </row>
    <row r="56386" spans="3:3" s="8" customFormat="1" ht="21.95" customHeight="1" x14ac:dyDescent="0.15"/>
    <row r="56387" spans="3:3" s="8" customFormat="1" ht="21.95" customHeight="1" x14ac:dyDescent="0.15"/>
    <row r="56388" spans="3:3" s="8" customFormat="1" ht="21.95" customHeight="1" x14ac:dyDescent="0.15"/>
    <row r="56389" spans="3:3" s="8" customFormat="1" ht="21.95" customHeight="1" x14ac:dyDescent="0.15"/>
    <row r="56390" spans="3:3" s="8" customFormat="1" ht="21.95" customHeight="1" x14ac:dyDescent="0.15"/>
    <row r="56391" spans="3:3" s="8" customFormat="1" ht="21.95" customHeight="1" x14ac:dyDescent="0.15"/>
    <row r="56392" spans="3:3" s="8" customFormat="1" ht="21.95" customHeight="1" x14ac:dyDescent="0.15"/>
    <row r="56393" spans="3:3" s="9" customFormat="1" ht="21.95" customHeight="1" x14ac:dyDescent="0.15"/>
    <row r="56394" spans="3:3" s="9" customFormat="1" ht="21.95" customHeight="1" x14ac:dyDescent="0.15"/>
    <row r="56395" spans="3:3" s="9" customFormat="1" ht="21.95" customHeight="1" x14ac:dyDescent="0.15"/>
    <row r="56396" spans="3:3" s="9" customFormat="1" ht="21.95" customHeight="1" x14ac:dyDescent="0.15"/>
    <row r="56397" spans="3:3" s="8" customFormat="1" ht="21.95" customHeight="1" x14ac:dyDescent="0.15"/>
    <row r="56398" spans="3:3" s="8" customFormat="1" ht="21.95" customHeight="1" x14ac:dyDescent="0.15"/>
    <row r="56399" spans="3:3" s="8" customFormat="1" ht="21.95" customHeight="1" x14ac:dyDescent="0.15"/>
    <row r="56400" spans="3:3" s="8" customFormat="1" ht="21.95" customHeight="1" x14ac:dyDescent="0.15"/>
    <row r="56401" s="8" customFormat="1" ht="21.95" customHeight="1" x14ac:dyDescent="0.15"/>
    <row r="56402" s="8" customFormat="1" ht="21.95" customHeight="1" x14ac:dyDescent="0.15"/>
    <row r="56403" s="8" customFormat="1" ht="21.95" customHeight="1" x14ac:dyDescent="0.15"/>
    <row r="56404" s="8" customFormat="1" ht="21.95" customHeight="1" x14ac:dyDescent="0.15"/>
    <row r="56405" s="8" customFormat="1" ht="21.95" customHeight="1" x14ac:dyDescent="0.15"/>
    <row r="56406" s="8" customFormat="1" ht="21.95" customHeight="1" x14ac:dyDescent="0.15"/>
    <row r="56407" s="8" customFormat="1" ht="21.95" customHeight="1" x14ac:dyDescent="0.15"/>
    <row r="56408" s="8" customFormat="1" ht="32.1" customHeight="1" x14ac:dyDescent="0.15"/>
    <row r="56409" s="8" customFormat="1" ht="32.1" customHeight="1" x14ac:dyDescent="0.15"/>
    <row r="56410" s="8" customFormat="1" ht="32.1" customHeight="1" x14ac:dyDescent="0.15"/>
    <row r="56411" s="8" customFormat="1" ht="32.1" customHeight="1" x14ac:dyDescent="0.15"/>
    <row r="56412" s="8" customFormat="1" ht="32.1" customHeight="1" x14ac:dyDescent="0.15"/>
    <row r="56413" s="8" customFormat="1" ht="32.1" customHeight="1" x14ac:dyDescent="0.15"/>
    <row r="56414" s="9" customFormat="1" ht="32.1" customHeight="1" x14ac:dyDescent="0.15"/>
    <row r="56415" s="9" customFormat="1" ht="32.1" customHeight="1" x14ac:dyDescent="0.15"/>
    <row r="56416" s="9" customFormat="1" ht="32.1" customHeight="1" x14ac:dyDescent="0.15"/>
    <row r="56417" s="9" customFormat="1" ht="32.1" customHeight="1" x14ac:dyDescent="0.15"/>
    <row r="56418" s="9" customFormat="1" ht="21.95" customHeight="1" x14ac:dyDescent="0.15"/>
    <row r="56419" s="9" customFormat="1" ht="54" customHeight="1" x14ac:dyDescent="0.15"/>
    <row r="56420" s="9" customFormat="1" ht="21.95" customHeight="1" x14ac:dyDescent="0.15"/>
    <row r="56421" s="9" customFormat="1" ht="21.95" customHeight="1" x14ac:dyDescent="0.15"/>
    <row r="56422" s="9" customFormat="1" ht="21.95" customHeight="1" x14ac:dyDescent="0.15"/>
    <row r="56423" s="9" customFormat="1" ht="21.95" customHeight="1" x14ac:dyDescent="0.15"/>
    <row r="56424" s="9" customFormat="1" ht="21.95" customHeight="1" x14ac:dyDescent="0.15"/>
    <row r="56425" s="9" customFormat="1" ht="21.95" customHeight="1" x14ac:dyDescent="0.15"/>
    <row r="56426" s="9" customFormat="1" ht="21.95" customHeight="1" x14ac:dyDescent="0.15"/>
    <row r="56427" s="9" customFormat="1" ht="21.95" customHeight="1" x14ac:dyDescent="0.15"/>
    <row r="56428" s="9" customFormat="1" ht="21.95" customHeight="1" x14ac:dyDescent="0.15"/>
    <row r="56429" s="9" customFormat="1" ht="21.95" customHeight="1" x14ac:dyDescent="0.15"/>
    <row r="56430" s="9" customFormat="1" ht="21.95" customHeight="1" x14ac:dyDescent="0.15"/>
    <row r="56431" s="9" customFormat="1" ht="21.95" customHeight="1" x14ac:dyDescent="0.15"/>
    <row r="56432" s="9" customFormat="1" ht="21.95" customHeight="1" x14ac:dyDescent="0.15"/>
    <row r="56433" s="9" customFormat="1" ht="21.95" customHeight="1" x14ac:dyDescent="0.15"/>
    <row r="56434" s="9" customFormat="1" ht="21.95" customHeight="1" x14ac:dyDescent="0.15"/>
    <row r="56435" s="9" customFormat="1" ht="21.95" customHeight="1" x14ac:dyDescent="0.15"/>
    <row r="56436" s="9" customFormat="1" ht="21.95" customHeight="1" x14ac:dyDescent="0.15"/>
    <row r="56437" s="9" customFormat="1" ht="21.95" customHeight="1" x14ac:dyDescent="0.15"/>
    <row r="56438" s="9" customFormat="1" ht="21.95" customHeight="1" x14ac:dyDescent="0.15"/>
    <row r="56439" s="9" customFormat="1" ht="21.95" customHeight="1" x14ac:dyDescent="0.15"/>
    <row r="56440" s="9" customFormat="1" ht="21.95" customHeight="1" x14ac:dyDescent="0.15"/>
    <row r="56441" s="9" customFormat="1" ht="21.95" customHeight="1" x14ac:dyDescent="0.15"/>
    <row r="56442" s="9" customFormat="1" ht="21.95" customHeight="1" x14ac:dyDescent="0.15"/>
    <row r="56443" s="9" customFormat="1" ht="21.95" customHeight="1" x14ac:dyDescent="0.15"/>
    <row r="56444" s="9" customFormat="1" ht="21.95" customHeight="1" x14ac:dyDescent="0.15"/>
    <row r="56445" s="9" customFormat="1" ht="21.95" customHeight="1" x14ac:dyDescent="0.15"/>
    <row r="56446" s="9" customFormat="1" ht="21.95" customHeight="1" x14ac:dyDescent="0.15"/>
    <row r="56447" s="9" customFormat="1" ht="21.95" customHeight="1" x14ac:dyDescent="0.15"/>
    <row r="56448" s="9" customFormat="1" ht="21.95" customHeight="1" x14ac:dyDescent="0.15"/>
    <row r="56449" s="9" customFormat="1" ht="21.95" customHeight="1" x14ac:dyDescent="0.15"/>
    <row r="56450" s="9" customFormat="1" ht="21.95" customHeight="1" x14ac:dyDescent="0.15"/>
    <row r="56451" s="9" customFormat="1" ht="21.95" customHeight="1" x14ac:dyDescent="0.15"/>
    <row r="56452" s="9" customFormat="1" ht="21.95" customHeight="1" x14ac:dyDescent="0.15"/>
    <row r="56453" s="9" customFormat="1" ht="21.95" customHeight="1" x14ac:dyDescent="0.15"/>
    <row r="56454" s="9" customFormat="1" ht="21.95" customHeight="1" x14ac:dyDescent="0.15"/>
    <row r="56455" s="9" customFormat="1" ht="21.95" customHeight="1" x14ac:dyDescent="0.15"/>
    <row r="56456" s="9" customFormat="1" ht="21.95" customHeight="1" x14ac:dyDescent="0.15"/>
    <row r="56457" s="9" customFormat="1" ht="21.95" customHeight="1" x14ac:dyDescent="0.15"/>
    <row r="56458" s="9" customFormat="1" ht="21.95" customHeight="1" x14ac:dyDescent="0.15"/>
    <row r="56459" s="9" customFormat="1" ht="21.95" customHeight="1" x14ac:dyDescent="0.15"/>
    <row r="56460" s="9" customFormat="1" ht="21.95" customHeight="1" x14ac:dyDescent="0.15"/>
    <row r="56461" s="9" customFormat="1" ht="21.95" customHeight="1" x14ac:dyDescent="0.15"/>
    <row r="56462" s="9" customFormat="1" ht="21.95" customHeight="1" x14ac:dyDescent="0.15"/>
    <row r="56463" s="9" customFormat="1" ht="21.95" customHeight="1" x14ac:dyDescent="0.15"/>
    <row r="56464" s="9" customFormat="1" ht="21.95" customHeight="1" x14ac:dyDescent="0.15"/>
    <row r="56465" s="9" customFormat="1" ht="21.95" customHeight="1" x14ac:dyDescent="0.15"/>
    <row r="56466" s="9" customFormat="1" ht="21.95" customHeight="1" x14ac:dyDescent="0.15"/>
    <row r="56467" s="9" customFormat="1" ht="21.95" customHeight="1" x14ac:dyDescent="0.15"/>
    <row r="56468" s="9" customFormat="1" ht="21.95" customHeight="1" x14ac:dyDescent="0.15"/>
    <row r="56469" s="9" customFormat="1" ht="21.95" customHeight="1" x14ac:dyDescent="0.15"/>
    <row r="56470" s="9" customFormat="1" ht="35.1" customHeight="1" x14ac:dyDescent="0.15"/>
    <row r="56471" s="9" customFormat="1" ht="21.95" customHeight="1" x14ac:dyDescent="0.15"/>
    <row r="56472" s="9" customFormat="1" ht="21.95" customHeight="1" x14ac:dyDescent="0.15"/>
    <row r="56473" s="9" customFormat="1" ht="21.95" customHeight="1" x14ac:dyDescent="0.15"/>
    <row r="56474" s="9" customFormat="1" ht="21.95" customHeight="1" x14ac:dyDescent="0.15"/>
    <row r="56475" s="9" customFormat="1" ht="21.95" customHeight="1" x14ac:dyDescent="0.15"/>
    <row r="56476" s="9" customFormat="1" ht="21.95" customHeight="1" x14ac:dyDescent="0.15"/>
    <row r="56477" s="9" customFormat="1" ht="21.95" customHeight="1" x14ac:dyDescent="0.15"/>
    <row r="56478" s="9" customFormat="1" ht="21.95" customHeight="1" x14ac:dyDescent="0.15"/>
    <row r="56479" s="9" customFormat="1" ht="21.95" customHeight="1" x14ac:dyDescent="0.15"/>
    <row r="56480" s="9" customFormat="1" ht="21.95" customHeight="1" x14ac:dyDescent="0.15"/>
    <row r="56481" spans="3:3" s="9" customFormat="1" ht="21.95" customHeight="1" x14ac:dyDescent="0.15"/>
    <row r="56482" spans="3:3" s="9" customFormat="1" ht="21.95" customHeight="1" x14ac:dyDescent="0.15"/>
    <row r="56483" spans="3:3" s="9" customFormat="1" ht="21.95" customHeight="1" x14ac:dyDescent="0.15"/>
    <row r="56484" spans="3:3" s="9" customFormat="1" ht="21.95" customHeight="1" x14ac:dyDescent="0.15"/>
    <row r="56485" spans="3:3" s="9" customFormat="1" ht="21.95" customHeight="1" x14ac:dyDescent="0.15"/>
    <row r="56486" spans="3:3" s="9" customFormat="1" ht="21.95" customHeight="1" x14ac:dyDescent="0.15"/>
    <row r="56487" spans="3:3" s="9" customFormat="1" ht="21.95" customHeight="1" x14ac:dyDescent="0.15"/>
    <row r="56488" spans="3:3" s="9" customFormat="1" ht="21.95" customHeight="1" x14ac:dyDescent="0.15"/>
    <row r="56489" spans="3:3" s="9" customFormat="1" ht="21.95" customHeight="1" x14ac:dyDescent="0.15"/>
    <row r="56490" spans="3:3" s="9" customFormat="1" ht="21.95" customHeight="1" x14ac:dyDescent="0.15"/>
    <row r="56491" spans="3:3" s="9" customFormat="1" ht="21.95" customHeight="1" x14ac:dyDescent="0.15"/>
    <row r="56492" spans="3:3" s="9" customFormat="1" ht="21.95" customHeight="1" x14ac:dyDescent="0.15"/>
    <row r="56493" spans="3:3" s="9" customFormat="1" ht="21.95" customHeight="1" x14ac:dyDescent="0.15"/>
    <row r="56494" spans="3:3" s="8" customFormat="1" ht="21.95" customHeight="1" x14ac:dyDescent="0.15"/>
    <row r="56495" spans="3:3" s="8" customFormat="1" ht="21.95" customHeight="1" x14ac:dyDescent="0.15"/>
    <row r="56496" spans="3:3" s="8" customFormat="1" ht="21.95" customHeight="1" x14ac:dyDescent="0.15">
      <c r="C56496" s="101"/>
    </row>
    <row r="56497" spans="3:3" s="8" customFormat="1" ht="21.95" customHeight="1" x14ac:dyDescent="0.15">
      <c r="C56497" s="101"/>
    </row>
    <row r="56498" spans="3:3" s="8" customFormat="1" ht="21.95" customHeight="1" x14ac:dyDescent="0.15"/>
    <row r="56499" spans="3:3" s="8" customFormat="1" ht="21.95" customHeight="1" x14ac:dyDescent="0.15"/>
    <row r="56500" spans="3:3" s="8" customFormat="1" ht="21.95" customHeight="1" x14ac:dyDescent="0.15"/>
    <row r="56501" spans="3:3" s="8" customFormat="1" ht="21.95" customHeight="1" x14ac:dyDescent="0.15"/>
    <row r="56502" spans="3:3" s="8" customFormat="1" ht="21.95" customHeight="1" x14ac:dyDescent="0.15"/>
    <row r="56503" spans="3:3" s="8" customFormat="1" ht="21.95" customHeight="1" x14ac:dyDescent="0.15"/>
    <row r="56504" spans="3:3" s="8" customFormat="1" ht="21.95" customHeight="1" x14ac:dyDescent="0.15"/>
    <row r="56505" spans="3:3" s="9" customFormat="1" ht="21.95" customHeight="1" x14ac:dyDescent="0.15"/>
    <row r="56506" spans="3:3" s="9" customFormat="1" ht="21.95" customHeight="1" x14ac:dyDescent="0.15"/>
    <row r="56507" spans="3:3" s="9" customFormat="1" ht="21.95" customHeight="1" x14ac:dyDescent="0.15"/>
    <row r="56508" spans="3:3" s="9" customFormat="1" ht="21.95" customHeight="1" x14ac:dyDescent="0.15"/>
    <row r="56509" spans="3:3" s="8" customFormat="1" ht="21.95" customHeight="1" x14ac:dyDescent="0.15"/>
    <row r="56510" spans="3:3" s="8" customFormat="1" ht="21.95" customHeight="1" x14ac:dyDescent="0.15"/>
    <row r="56511" spans="3:3" s="8" customFormat="1" ht="21.95" customHeight="1" x14ac:dyDescent="0.15"/>
    <row r="56512" spans="3:3" s="8" customFormat="1" ht="21.95" customHeight="1" x14ac:dyDescent="0.15"/>
    <row r="56513" s="8" customFormat="1" ht="21.95" customHeight="1" x14ac:dyDescent="0.15"/>
    <row r="56514" s="8" customFormat="1" ht="21.95" customHeight="1" x14ac:dyDescent="0.15"/>
    <row r="56515" s="8" customFormat="1" ht="21.95" customHeight="1" x14ac:dyDescent="0.15"/>
    <row r="56516" s="8" customFormat="1" ht="21.95" customHeight="1" x14ac:dyDescent="0.15"/>
    <row r="56517" s="8" customFormat="1" ht="21.95" customHeight="1" x14ac:dyDescent="0.15"/>
    <row r="56518" s="8" customFormat="1" ht="21.95" customHeight="1" x14ac:dyDescent="0.15"/>
    <row r="56519" s="8" customFormat="1" ht="21.95" customHeight="1" x14ac:dyDescent="0.15"/>
    <row r="56520" s="8" customFormat="1" ht="32.1" customHeight="1" x14ac:dyDescent="0.15"/>
    <row r="56521" s="8" customFormat="1" ht="32.1" customHeight="1" x14ac:dyDescent="0.15"/>
    <row r="56522" s="8" customFormat="1" ht="32.1" customHeight="1" x14ac:dyDescent="0.15"/>
    <row r="56523" s="8" customFormat="1" ht="32.1" customHeight="1" x14ac:dyDescent="0.15"/>
    <row r="56524" s="8" customFormat="1" ht="32.1" customHeight="1" x14ac:dyDescent="0.15"/>
    <row r="56525" s="8" customFormat="1" ht="32.1" customHeight="1" x14ac:dyDescent="0.15"/>
    <row r="56526" s="9" customFormat="1" ht="32.1" customHeight="1" x14ac:dyDescent="0.15"/>
    <row r="56527" s="9" customFormat="1" ht="32.1" customHeight="1" x14ac:dyDescent="0.15"/>
    <row r="56528" s="9" customFormat="1" ht="32.1" customHeight="1" x14ac:dyDescent="0.15"/>
    <row r="56529" s="9" customFormat="1" ht="32.1" customHeight="1" x14ac:dyDescent="0.15"/>
    <row r="56530" s="9" customFormat="1" ht="21.95" customHeight="1" x14ac:dyDescent="0.15"/>
    <row r="56531" s="9" customFormat="1" ht="54" customHeight="1" x14ac:dyDescent="0.15"/>
    <row r="56532" s="9" customFormat="1" ht="21.95" customHeight="1" x14ac:dyDescent="0.15"/>
    <row r="56533" s="9" customFormat="1" ht="21.95" customHeight="1" x14ac:dyDescent="0.15"/>
    <row r="56534" s="9" customFormat="1" ht="21.95" customHeight="1" x14ac:dyDescent="0.15"/>
    <row r="56535" s="9" customFormat="1" ht="21.95" customHeight="1" x14ac:dyDescent="0.15"/>
    <row r="56536" s="9" customFormat="1" ht="21.95" customHeight="1" x14ac:dyDescent="0.15"/>
    <row r="56537" s="9" customFormat="1" ht="21.95" customHeight="1" x14ac:dyDescent="0.15"/>
    <row r="56538" s="9" customFormat="1" ht="21.95" customHeight="1" x14ac:dyDescent="0.15"/>
    <row r="56539" s="9" customFormat="1" ht="21.95" customHeight="1" x14ac:dyDescent="0.15"/>
    <row r="56540" s="9" customFormat="1" ht="21.95" customHeight="1" x14ac:dyDescent="0.15"/>
    <row r="56541" s="9" customFormat="1" ht="21.95" customHeight="1" x14ac:dyDescent="0.15"/>
    <row r="56542" s="9" customFormat="1" ht="21.95" customHeight="1" x14ac:dyDescent="0.15"/>
    <row r="56543" s="9" customFormat="1" ht="21.95" customHeight="1" x14ac:dyDescent="0.15"/>
    <row r="56544" s="9" customFormat="1" ht="21.95" customHeight="1" x14ac:dyDescent="0.15"/>
    <row r="56545" s="9" customFormat="1" ht="21.95" customHeight="1" x14ac:dyDescent="0.15"/>
    <row r="56546" s="9" customFormat="1" ht="21.95" customHeight="1" x14ac:dyDescent="0.15"/>
    <row r="56547" s="9" customFormat="1" ht="21.95" customHeight="1" x14ac:dyDescent="0.15"/>
    <row r="56548" s="9" customFormat="1" ht="21.95" customHeight="1" x14ac:dyDescent="0.15"/>
    <row r="56549" s="9" customFormat="1" ht="21.95" customHeight="1" x14ac:dyDescent="0.15"/>
    <row r="56550" s="9" customFormat="1" ht="21.95" customHeight="1" x14ac:dyDescent="0.15"/>
    <row r="56551" s="9" customFormat="1" ht="21.95" customHeight="1" x14ac:dyDescent="0.15"/>
    <row r="56552" s="9" customFormat="1" ht="21.95" customHeight="1" x14ac:dyDescent="0.15"/>
    <row r="56553" s="9" customFormat="1" ht="21.95" customHeight="1" x14ac:dyDescent="0.15"/>
    <row r="56554" s="9" customFormat="1" ht="21.95" customHeight="1" x14ac:dyDescent="0.15"/>
    <row r="56555" s="9" customFormat="1" ht="21.95" customHeight="1" x14ac:dyDescent="0.15"/>
    <row r="56556" s="9" customFormat="1" ht="21.95" customHeight="1" x14ac:dyDescent="0.15"/>
    <row r="56557" s="9" customFormat="1" ht="21.95" customHeight="1" x14ac:dyDescent="0.15"/>
    <row r="56558" s="9" customFormat="1" ht="21.95" customHeight="1" x14ac:dyDescent="0.15"/>
    <row r="56559" s="9" customFormat="1" ht="21.95" customHeight="1" x14ac:dyDescent="0.15"/>
    <row r="56560" s="9" customFormat="1" ht="21.95" customHeight="1" x14ac:dyDescent="0.15"/>
    <row r="56561" s="9" customFormat="1" ht="21.95" customHeight="1" x14ac:dyDescent="0.15"/>
    <row r="56562" s="9" customFormat="1" ht="21.95" customHeight="1" x14ac:dyDescent="0.15"/>
    <row r="56563" s="9" customFormat="1" ht="21.95" customHeight="1" x14ac:dyDescent="0.15"/>
    <row r="56564" s="9" customFormat="1" ht="21.95" customHeight="1" x14ac:dyDescent="0.15"/>
    <row r="56565" s="9" customFormat="1" ht="21.95" customHeight="1" x14ac:dyDescent="0.15"/>
    <row r="56566" s="9" customFormat="1" ht="21.95" customHeight="1" x14ac:dyDescent="0.15"/>
    <row r="56567" s="9" customFormat="1" ht="21.95" customHeight="1" x14ac:dyDescent="0.15"/>
    <row r="56568" s="9" customFormat="1" ht="21.95" customHeight="1" x14ac:dyDescent="0.15"/>
    <row r="56569" s="9" customFormat="1" ht="21.95" customHeight="1" x14ac:dyDescent="0.15"/>
    <row r="56570" s="9" customFormat="1" ht="21.95" customHeight="1" x14ac:dyDescent="0.15"/>
    <row r="56571" s="9" customFormat="1" ht="21.95" customHeight="1" x14ac:dyDescent="0.15"/>
    <row r="56572" s="9" customFormat="1" ht="21.95" customHeight="1" x14ac:dyDescent="0.15"/>
    <row r="56573" s="9" customFormat="1" ht="21.95" customHeight="1" x14ac:dyDescent="0.15"/>
    <row r="56574" s="9" customFormat="1" ht="21.95" customHeight="1" x14ac:dyDescent="0.15"/>
    <row r="56575" s="9" customFormat="1" ht="21.95" customHeight="1" x14ac:dyDescent="0.15"/>
    <row r="56576" s="9" customFormat="1" ht="21.95" customHeight="1" x14ac:dyDescent="0.15"/>
    <row r="56577" s="9" customFormat="1" ht="21.95" customHeight="1" x14ac:dyDescent="0.15"/>
    <row r="56578" s="9" customFormat="1" ht="21.95" customHeight="1" x14ac:dyDescent="0.15"/>
    <row r="56579" s="9" customFormat="1" ht="21.95" customHeight="1" x14ac:dyDescent="0.15"/>
    <row r="56580" s="9" customFormat="1" ht="21.95" customHeight="1" x14ac:dyDescent="0.15"/>
    <row r="56581" s="9" customFormat="1" ht="21.95" customHeight="1" x14ac:dyDescent="0.15"/>
    <row r="56582" s="9" customFormat="1" ht="35.1" customHeight="1" x14ac:dyDescent="0.15"/>
    <row r="56583" s="9" customFormat="1" ht="21.95" customHeight="1" x14ac:dyDescent="0.15"/>
    <row r="56584" s="9" customFormat="1" ht="21.95" customHeight="1" x14ac:dyDescent="0.15"/>
    <row r="56585" s="9" customFormat="1" ht="21.95" customHeight="1" x14ac:dyDescent="0.15"/>
    <row r="56586" s="9" customFormat="1" ht="21.95" customHeight="1" x14ac:dyDescent="0.15"/>
    <row r="56587" s="9" customFormat="1" ht="21.95" customHeight="1" x14ac:dyDescent="0.15"/>
    <row r="56588" s="9" customFormat="1" ht="21.95" customHeight="1" x14ac:dyDescent="0.15"/>
    <row r="56589" s="9" customFormat="1" ht="21.95" customHeight="1" x14ac:dyDescent="0.15"/>
    <row r="56590" s="9" customFormat="1" ht="21.95" customHeight="1" x14ac:dyDescent="0.15"/>
    <row r="56591" s="9" customFormat="1" ht="21.95" customHeight="1" x14ac:dyDescent="0.15"/>
    <row r="56592" s="9" customFormat="1" ht="21.95" customHeight="1" x14ac:dyDescent="0.15"/>
    <row r="56593" spans="3:3" s="9" customFormat="1" ht="21.95" customHeight="1" x14ac:dyDescent="0.15"/>
    <row r="56594" spans="3:3" s="9" customFormat="1" ht="21.95" customHeight="1" x14ac:dyDescent="0.15"/>
    <row r="56595" spans="3:3" s="9" customFormat="1" ht="21.95" customHeight="1" x14ac:dyDescent="0.15"/>
    <row r="56596" spans="3:3" s="9" customFormat="1" ht="21.95" customHeight="1" x14ac:dyDescent="0.15"/>
    <row r="56597" spans="3:3" s="9" customFormat="1" ht="21.95" customHeight="1" x14ac:dyDescent="0.15"/>
    <row r="56598" spans="3:3" s="9" customFormat="1" ht="21.95" customHeight="1" x14ac:dyDescent="0.15"/>
    <row r="56599" spans="3:3" s="9" customFormat="1" ht="21.95" customHeight="1" x14ac:dyDescent="0.15"/>
    <row r="56600" spans="3:3" s="9" customFormat="1" ht="21.95" customHeight="1" x14ac:dyDescent="0.15"/>
    <row r="56601" spans="3:3" s="9" customFormat="1" ht="21.95" customHeight="1" x14ac:dyDescent="0.15"/>
    <row r="56602" spans="3:3" s="9" customFormat="1" ht="21.95" customHeight="1" x14ac:dyDescent="0.15"/>
    <row r="56603" spans="3:3" s="9" customFormat="1" ht="21.95" customHeight="1" x14ac:dyDescent="0.15"/>
    <row r="56604" spans="3:3" s="9" customFormat="1" ht="21.95" customHeight="1" x14ac:dyDescent="0.15"/>
    <row r="56605" spans="3:3" s="9" customFormat="1" ht="21.95" customHeight="1" x14ac:dyDescent="0.15"/>
    <row r="56606" spans="3:3" s="8" customFormat="1" ht="21.95" customHeight="1" x14ac:dyDescent="0.15"/>
    <row r="56607" spans="3:3" s="8" customFormat="1" ht="21.95" customHeight="1" x14ac:dyDescent="0.15"/>
    <row r="56608" spans="3:3" s="8" customFormat="1" ht="21.95" customHeight="1" x14ac:dyDescent="0.15">
      <c r="C56608" s="101"/>
    </row>
    <row r="56609" spans="3:3" s="8" customFormat="1" ht="21.95" customHeight="1" x14ac:dyDescent="0.15">
      <c r="C56609" s="101"/>
    </row>
    <row r="56610" spans="3:3" s="8" customFormat="1" ht="21.95" customHeight="1" x14ac:dyDescent="0.15"/>
    <row r="56611" spans="3:3" s="8" customFormat="1" ht="21.95" customHeight="1" x14ac:dyDescent="0.15"/>
    <row r="56612" spans="3:3" s="8" customFormat="1" ht="21.95" customHeight="1" x14ac:dyDescent="0.15"/>
    <row r="56613" spans="3:3" s="8" customFormat="1" ht="21.95" customHeight="1" x14ac:dyDescent="0.15"/>
    <row r="56614" spans="3:3" s="8" customFormat="1" ht="21.95" customHeight="1" x14ac:dyDescent="0.15"/>
    <row r="56615" spans="3:3" s="8" customFormat="1" ht="21.95" customHeight="1" x14ac:dyDescent="0.15"/>
    <row r="56616" spans="3:3" s="8" customFormat="1" ht="21.95" customHeight="1" x14ac:dyDescent="0.15"/>
    <row r="56617" spans="3:3" s="9" customFormat="1" ht="21.95" customHeight="1" x14ac:dyDescent="0.15"/>
    <row r="56618" spans="3:3" s="9" customFormat="1" ht="21.95" customHeight="1" x14ac:dyDescent="0.15"/>
    <row r="56619" spans="3:3" s="9" customFormat="1" ht="21.95" customHeight="1" x14ac:dyDescent="0.15"/>
    <row r="56620" spans="3:3" s="9" customFormat="1" ht="21.95" customHeight="1" x14ac:dyDescent="0.15"/>
    <row r="56621" spans="3:3" s="8" customFormat="1" ht="21.95" customHeight="1" x14ac:dyDescent="0.15"/>
    <row r="56622" spans="3:3" s="8" customFormat="1" ht="21.95" customHeight="1" x14ac:dyDescent="0.15"/>
    <row r="56623" spans="3:3" s="8" customFormat="1" ht="21.95" customHeight="1" x14ac:dyDescent="0.15"/>
    <row r="56624" spans="3:3" s="8" customFormat="1" ht="21.95" customHeight="1" x14ac:dyDescent="0.15"/>
    <row r="56625" s="8" customFormat="1" ht="21.95" customHeight="1" x14ac:dyDescent="0.15"/>
    <row r="56626" s="8" customFormat="1" ht="21.95" customHeight="1" x14ac:dyDescent="0.15"/>
    <row r="56627" s="8" customFormat="1" ht="21.95" customHeight="1" x14ac:dyDescent="0.15"/>
    <row r="56628" s="8" customFormat="1" ht="21.95" customHeight="1" x14ac:dyDescent="0.15"/>
    <row r="56629" s="8" customFormat="1" ht="21.95" customHeight="1" x14ac:dyDescent="0.15"/>
    <row r="56630" s="8" customFormat="1" ht="21.95" customHeight="1" x14ac:dyDescent="0.15"/>
    <row r="56631" s="8" customFormat="1" ht="21.95" customHeight="1" x14ac:dyDescent="0.15"/>
    <row r="56632" s="8" customFormat="1" ht="32.1" customHeight="1" x14ac:dyDescent="0.15"/>
    <row r="56633" s="8" customFormat="1" ht="32.1" customHeight="1" x14ac:dyDescent="0.15"/>
    <row r="56634" s="8" customFormat="1" ht="32.1" customHeight="1" x14ac:dyDescent="0.15"/>
    <row r="56635" s="8" customFormat="1" ht="32.1" customHeight="1" x14ac:dyDescent="0.15"/>
    <row r="56636" s="8" customFormat="1" ht="32.1" customHeight="1" x14ac:dyDescent="0.15"/>
    <row r="56637" s="8" customFormat="1" ht="32.1" customHeight="1" x14ac:dyDescent="0.15"/>
    <row r="56638" s="9" customFormat="1" ht="32.1" customHeight="1" x14ac:dyDescent="0.15"/>
    <row r="56639" s="9" customFormat="1" ht="32.1" customHeight="1" x14ac:dyDescent="0.15"/>
    <row r="56640" s="9" customFormat="1" ht="32.1" customHeight="1" x14ac:dyDescent="0.15"/>
    <row r="56641" s="9" customFormat="1" ht="32.1" customHeight="1" x14ac:dyDescent="0.15"/>
    <row r="56642" s="9" customFormat="1" ht="21.95" customHeight="1" x14ac:dyDescent="0.15"/>
    <row r="56643" s="9" customFormat="1" ht="54" customHeight="1" x14ac:dyDescent="0.15"/>
    <row r="56644" s="9" customFormat="1" ht="21.95" customHeight="1" x14ac:dyDescent="0.15"/>
    <row r="56645" s="9" customFormat="1" ht="21.95" customHeight="1" x14ac:dyDescent="0.15"/>
    <row r="56646" s="9" customFormat="1" ht="21.95" customHeight="1" x14ac:dyDescent="0.15"/>
    <row r="56647" s="9" customFormat="1" ht="21.95" customHeight="1" x14ac:dyDescent="0.15"/>
    <row r="56648" s="9" customFormat="1" ht="21.95" customHeight="1" x14ac:dyDescent="0.15"/>
    <row r="56649" s="9" customFormat="1" ht="21.95" customHeight="1" x14ac:dyDescent="0.15"/>
    <row r="56650" s="9" customFormat="1" ht="21.95" customHeight="1" x14ac:dyDescent="0.15"/>
    <row r="56651" s="9" customFormat="1" ht="21.95" customHeight="1" x14ac:dyDescent="0.15"/>
    <row r="56652" s="9" customFormat="1" ht="21.95" customHeight="1" x14ac:dyDescent="0.15"/>
    <row r="56653" s="9" customFormat="1" ht="21.95" customHeight="1" x14ac:dyDescent="0.15"/>
    <row r="56654" s="9" customFormat="1" ht="21.95" customHeight="1" x14ac:dyDescent="0.15"/>
    <row r="56655" s="9" customFormat="1" ht="21.95" customHeight="1" x14ac:dyDescent="0.15"/>
    <row r="56656" s="9" customFormat="1" ht="21.95" customHeight="1" x14ac:dyDescent="0.15"/>
    <row r="56657" s="9" customFormat="1" ht="21.95" customHeight="1" x14ac:dyDescent="0.15"/>
    <row r="56658" s="9" customFormat="1" ht="21.95" customHeight="1" x14ac:dyDescent="0.15"/>
    <row r="56659" s="9" customFormat="1" ht="21.95" customHeight="1" x14ac:dyDescent="0.15"/>
    <row r="56660" s="9" customFormat="1" ht="21.95" customHeight="1" x14ac:dyDescent="0.15"/>
    <row r="56661" s="9" customFormat="1" ht="21.95" customHeight="1" x14ac:dyDescent="0.15"/>
    <row r="56662" s="9" customFormat="1" ht="21.95" customHeight="1" x14ac:dyDescent="0.15"/>
    <row r="56663" s="9" customFormat="1" ht="21.95" customHeight="1" x14ac:dyDescent="0.15"/>
    <row r="56664" s="9" customFormat="1" ht="21.95" customHeight="1" x14ac:dyDescent="0.15"/>
    <row r="56665" s="9" customFormat="1" ht="21.95" customHeight="1" x14ac:dyDescent="0.15"/>
    <row r="56666" s="9" customFormat="1" ht="21.95" customHeight="1" x14ac:dyDescent="0.15"/>
    <row r="56667" s="9" customFormat="1" ht="21.95" customHeight="1" x14ac:dyDescent="0.15"/>
    <row r="56668" s="9" customFormat="1" ht="21.95" customHeight="1" x14ac:dyDescent="0.15"/>
    <row r="56669" s="9" customFormat="1" ht="21.95" customHeight="1" x14ac:dyDescent="0.15"/>
    <row r="56670" s="9" customFormat="1" ht="21.95" customHeight="1" x14ac:dyDescent="0.15"/>
    <row r="56671" s="9" customFormat="1" ht="21.95" customHeight="1" x14ac:dyDescent="0.15"/>
    <row r="56672" s="9" customFormat="1" ht="21.95" customHeight="1" x14ac:dyDescent="0.15"/>
    <row r="56673" s="9" customFormat="1" ht="21.95" customHeight="1" x14ac:dyDescent="0.15"/>
    <row r="56674" s="9" customFormat="1" ht="21.95" customHeight="1" x14ac:dyDescent="0.15"/>
    <row r="56675" s="9" customFormat="1" ht="21.95" customHeight="1" x14ac:dyDescent="0.15"/>
    <row r="56676" s="9" customFormat="1" ht="21.95" customHeight="1" x14ac:dyDescent="0.15"/>
    <row r="56677" s="9" customFormat="1" ht="21.95" customHeight="1" x14ac:dyDescent="0.15"/>
    <row r="56678" s="9" customFormat="1" ht="21.95" customHeight="1" x14ac:dyDescent="0.15"/>
    <row r="56679" s="9" customFormat="1" ht="21.95" customHeight="1" x14ac:dyDescent="0.15"/>
    <row r="56680" s="9" customFormat="1" ht="21.95" customHeight="1" x14ac:dyDescent="0.15"/>
    <row r="56681" s="9" customFormat="1" ht="21.95" customHeight="1" x14ac:dyDescent="0.15"/>
    <row r="56682" s="9" customFormat="1" ht="21.95" customHeight="1" x14ac:dyDescent="0.15"/>
    <row r="56683" s="9" customFormat="1" ht="21.95" customHeight="1" x14ac:dyDescent="0.15"/>
    <row r="56684" s="9" customFormat="1" ht="21.95" customHeight="1" x14ac:dyDescent="0.15"/>
    <row r="56685" s="9" customFormat="1" ht="21.95" customHeight="1" x14ac:dyDescent="0.15"/>
    <row r="56686" s="9" customFormat="1" ht="21.95" customHeight="1" x14ac:dyDescent="0.15"/>
    <row r="56687" s="9" customFormat="1" ht="21.95" customHeight="1" x14ac:dyDescent="0.15"/>
    <row r="56688" s="9" customFormat="1" ht="21.95" customHeight="1" x14ac:dyDescent="0.15"/>
    <row r="56689" s="9" customFormat="1" ht="21.95" customHeight="1" x14ac:dyDescent="0.15"/>
    <row r="56690" s="9" customFormat="1" ht="21.95" customHeight="1" x14ac:dyDescent="0.15"/>
    <row r="56691" s="9" customFormat="1" ht="21.95" customHeight="1" x14ac:dyDescent="0.15"/>
    <row r="56692" s="9" customFormat="1" ht="21.95" customHeight="1" x14ac:dyDescent="0.15"/>
    <row r="56693" s="9" customFormat="1" ht="21.95" customHeight="1" x14ac:dyDescent="0.15"/>
    <row r="56694" s="9" customFormat="1" ht="35.1" customHeight="1" x14ac:dyDescent="0.15"/>
    <row r="56695" s="9" customFormat="1" ht="21.95" customHeight="1" x14ac:dyDescent="0.15"/>
    <row r="56696" s="9" customFormat="1" ht="21.95" customHeight="1" x14ac:dyDescent="0.15"/>
    <row r="56697" s="9" customFormat="1" ht="21.95" customHeight="1" x14ac:dyDescent="0.15"/>
    <row r="56698" s="9" customFormat="1" ht="21.95" customHeight="1" x14ac:dyDescent="0.15"/>
    <row r="56699" s="9" customFormat="1" ht="21.95" customHeight="1" x14ac:dyDescent="0.15"/>
    <row r="56700" s="9" customFormat="1" ht="21.95" customHeight="1" x14ac:dyDescent="0.15"/>
    <row r="56701" s="9" customFormat="1" ht="21.95" customHeight="1" x14ac:dyDescent="0.15"/>
    <row r="56702" s="9" customFormat="1" ht="21.95" customHeight="1" x14ac:dyDescent="0.15"/>
    <row r="56703" s="9" customFormat="1" ht="21.95" customHeight="1" x14ac:dyDescent="0.15"/>
    <row r="56704" s="9" customFormat="1" ht="21.95" customHeight="1" x14ac:dyDescent="0.15"/>
    <row r="56705" spans="3:3" s="9" customFormat="1" ht="21.95" customHeight="1" x14ac:dyDescent="0.15"/>
    <row r="56706" spans="3:3" s="9" customFormat="1" ht="21.95" customHeight="1" x14ac:dyDescent="0.15"/>
    <row r="56707" spans="3:3" s="9" customFormat="1" ht="21.95" customHeight="1" x14ac:dyDescent="0.15"/>
    <row r="56708" spans="3:3" s="9" customFormat="1" ht="21.95" customHeight="1" x14ac:dyDescent="0.15"/>
    <row r="56709" spans="3:3" s="9" customFormat="1" ht="21.95" customHeight="1" x14ac:dyDescent="0.15"/>
    <row r="56710" spans="3:3" s="9" customFormat="1" ht="21.95" customHeight="1" x14ac:dyDescent="0.15"/>
    <row r="56711" spans="3:3" s="9" customFormat="1" ht="21.95" customHeight="1" x14ac:dyDescent="0.15"/>
    <row r="56712" spans="3:3" s="9" customFormat="1" ht="21.95" customHeight="1" x14ac:dyDescent="0.15"/>
    <row r="56713" spans="3:3" s="9" customFormat="1" ht="21.95" customHeight="1" x14ac:dyDescent="0.15"/>
    <row r="56714" spans="3:3" s="9" customFormat="1" ht="21.95" customHeight="1" x14ac:dyDescent="0.15"/>
    <row r="56715" spans="3:3" s="9" customFormat="1" ht="21.95" customHeight="1" x14ac:dyDescent="0.15"/>
    <row r="56716" spans="3:3" s="9" customFormat="1" ht="21.95" customHeight="1" x14ac:dyDescent="0.15"/>
    <row r="56717" spans="3:3" s="9" customFormat="1" ht="21.95" customHeight="1" x14ac:dyDescent="0.15"/>
    <row r="56718" spans="3:3" s="8" customFormat="1" ht="21.95" customHeight="1" x14ac:dyDescent="0.15"/>
    <row r="56719" spans="3:3" s="8" customFormat="1" ht="21.95" customHeight="1" x14ac:dyDescent="0.15"/>
    <row r="56720" spans="3:3" s="8" customFormat="1" ht="21.95" customHeight="1" x14ac:dyDescent="0.15">
      <c r="C56720" s="101"/>
    </row>
    <row r="56721" spans="3:3" s="8" customFormat="1" ht="21.95" customHeight="1" x14ac:dyDescent="0.15">
      <c r="C56721" s="101"/>
    </row>
    <row r="56722" spans="3:3" s="8" customFormat="1" ht="21.95" customHeight="1" x14ac:dyDescent="0.15"/>
    <row r="56723" spans="3:3" s="8" customFormat="1" ht="21.95" customHeight="1" x14ac:dyDescent="0.15"/>
    <row r="56724" spans="3:3" s="8" customFormat="1" ht="21.95" customHeight="1" x14ac:dyDescent="0.15"/>
    <row r="56725" spans="3:3" s="8" customFormat="1" ht="21.95" customHeight="1" x14ac:dyDescent="0.15"/>
    <row r="56726" spans="3:3" s="8" customFormat="1" ht="21.95" customHeight="1" x14ac:dyDescent="0.15"/>
    <row r="56727" spans="3:3" s="8" customFormat="1" ht="21.95" customHeight="1" x14ac:dyDescent="0.15"/>
    <row r="56728" spans="3:3" s="8" customFormat="1" ht="21.95" customHeight="1" x14ac:dyDescent="0.15"/>
    <row r="56729" spans="3:3" s="9" customFormat="1" ht="21.95" customHeight="1" x14ac:dyDescent="0.15"/>
    <row r="56730" spans="3:3" s="9" customFormat="1" ht="21.95" customHeight="1" x14ac:dyDescent="0.15"/>
    <row r="56731" spans="3:3" s="9" customFormat="1" ht="21.95" customHeight="1" x14ac:dyDescent="0.15"/>
    <row r="56732" spans="3:3" s="9" customFormat="1" ht="21.95" customHeight="1" x14ac:dyDescent="0.15"/>
    <row r="56733" spans="3:3" s="8" customFormat="1" ht="21.95" customHeight="1" x14ac:dyDescent="0.15"/>
    <row r="56734" spans="3:3" s="8" customFormat="1" ht="21.95" customHeight="1" x14ac:dyDescent="0.15"/>
    <row r="56735" spans="3:3" s="8" customFormat="1" ht="21.95" customHeight="1" x14ac:dyDescent="0.15"/>
    <row r="56736" spans="3:3" s="8" customFormat="1" ht="21.95" customHeight="1" x14ac:dyDescent="0.15"/>
    <row r="56737" s="8" customFormat="1" ht="21.95" customHeight="1" x14ac:dyDescent="0.15"/>
    <row r="56738" s="8" customFormat="1" ht="21.95" customHeight="1" x14ac:dyDescent="0.15"/>
    <row r="56739" s="8" customFormat="1" ht="21.95" customHeight="1" x14ac:dyDescent="0.15"/>
    <row r="56740" s="8" customFormat="1" ht="21.95" customHeight="1" x14ac:dyDescent="0.15"/>
    <row r="56741" s="8" customFormat="1" ht="21.95" customHeight="1" x14ac:dyDescent="0.15"/>
    <row r="56742" s="8" customFormat="1" ht="21.95" customHeight="1" x14ac:dyDescent="0.15"/>
    <row r="56743" s="8" customFormat="1" ht="21.95" customHeight="1" x14ac:dyDescent="0.15"/>
    <row r="56744" s="8" customFormat="1" ht="32.1" customHeight="1" x14ac:dyDescent="0.15"/>
    <row r="56745" s="8" customFormat="1" ht="32.1" customHeight="1" x14ac:dyDescent="0.15"/>
    <row r="56746" s="8" customFormat="1" ht="32.1" customHeight="1" x14ac:dyDescent="0.15"/>
    <row r="56747" s="8" customFormat="1" ht="32.1" customHeight="1" x14ac:dyDescent="0.15"/>
    <row r="56748" s="8" customFormat="1" ht="32.1" customHeight="1" x14ac:dyDescent="0.15"/>
    <row r="56749" s="8" customFormat="1" ht="32.1" customHeight="1" x14ac:dyDescent="0.15"/>
    <row r="56750" s="9" customFormat="1" ht="32.1" customHeight="1" x14ac:dyDescent="0.15"/>
    <row r="56751" s="9" customFormat="1" ht="32.1" customHeight="1" x14ac:dyDescent="0.15"/>
    <row r="56752" s="9" customFormat="1" ht="32.1" customHeight="1" x14ac:dyDescent="0.15"/>
    <row r="56753" s="9" customFormat="1" ht="32.1" customHeight="1" x14ac:dyDescent="0.15"/>
    <row r="56754" s="9" customFormat="1" ht="21.95" customHeight="1" x14ac:dyDescent="0.15"/>
    <row r="56755" s="9" customFormat="1" ht="54" customHeight="1" x14ac:dyDescent="0.15"/>
    <row r="56756" s="9" customFormat="1" ht="21.95" customHeight="1" x14ac:dyDescent="0.15"/>
    <row r="56757" s="9" customFormat="1" ht="21.95" customHeight="1" x14ac:dyDescent="0.15"/>
    <row r="56758" s="9" customFormat="1" ht="21.95" customHeight="1" x14ac:dyDescent="0.15"/>
    <row r="56759" s="9" customFormat="1" ht="21.95" customHeight="1" x14ac:dyDescent="0.15"/>
    <row r="56760" s="9" customFormat="1" ht="21.95" customHeight="1" x14ac:dyDescent="0.15"/>
    <row r="56761" s="9" customFormat="1" ht="21.95" customHeight="1" x14ac:dyDescent="0.15"/>
    <row r="56762" s="9" customFormat="1" ht="21.95" customHeight="1" x14ac:dyDescent="0.15"/>
    <row r="56763" s="9" customFormat="1" ht="21.95" customHeight="1" x14ac:dyDescent="0.15"/>
    <row r="56764" s="9" customFormat="1" ht="21.95" customHeight="1" x14ac:dyDescent="0.15"/>
    <row r="56765" s="9" customFormat="1" ht="21.95" customHeight="1" x14ac:dyDescent="0.15"/>
    <row r="56766" s="9" customFormat="1" ht="21.95" customHeight="1" x14ac:dyDescent="0.15"/>
    <row r="56767" s="9" customFormat="1" ht="21.95" customHeight="1" x14ac:dyDescent="0.15"/>
    <row r="56768" s="9" customFormat="1" ht="21.95" customHeight="1" x14ac:dyDescent="0.15"/>
    <row r="56769" s="9" customFormat="1" ht="21.95" customHeight="1" x14ac:dyDescent="0.15"/>
    <row r="56770" s="9" customFormat="1" ht="21.95" customHeight="1" x14ac:dyDescent="0.15"/>
    <row r="56771" s="9" customFormat="1" ht="21.95" customHeight="1" x14ac:dyDescent="0.15"/>
    <row r="56772" s="9" customFormat="1" ht="21.95" customHeight="1" x14ac:dyDescent="0.15"/>
    <row r="56773" s="9" customFormat="1" ht="21.95" customHeight="1" x14ac:dyDescent="0.15"/>
    <row r="56774" s="9" customFormat="1" ht="21.95" customHeight="1" x14ac:dyDescent="0.15"/>
    <row r="56775" s="9" customFormat="1" ht="21.95" customHeight="1" x14ac:dyDescent="0.15"/>
    <row r="56776" s="9" customFormat="1" ht="21.95" customHeight="1" x14ac:dyDescent="0.15"/>
    <row r="56777" s="9" customFormat="1" ht="21.95" customHeight="1" x14ac:dyDescent="0.15"/>
    <row r="56778" s="9" customFormat="1" ht="21.95" customHeight="1" x14ac:dyDescent="0.15"/>
    <row r="56779" s="9" customFormat="1" ht="21.95" customHeight="1" x14ac:dyDescent="0.15"/>
    <row r="56780" s="9" customFormat="1" ht="21.95" customHeight="1" x14ac:dyDescent="0.15"/>
    <row r="56781" s="9" customFormat="1" ht="21.95" customHeight="1" x14ac:dyDescent="0.15"/>
    <row r="56782" s="9" customFormat="1" ht="21.95" customHeight="1" x14ac:dyDescent="0.15"/>
    <row r="56783" s="9" customFormat="1" ht="21.95" customHeight="1" x14ac:dyDescent="0.15"/>
    <row r="56784" s="9" customFormat="1" ht="21.95" customHeight="1" x14ac:dyDescent="0.15"/>
    <row r="56785" s="9" customFormat="1" ht="21.95" customHeight="1" x14ac:dyDescent="0.15"/>
    <row r="56786" s="9" customFormat="1" ht="21.95" customHeight="1" x14ac:dyDescent="0.15"/>
    <row r="56787" s="9" customFormat="1" ht="21.95" customHeight="1" x14ac:dyDescent="0.15"/>
    <row r="56788" s="9" customFormat="1" ht="21.95" customHeight="1" x14ac:dyDescent="0.15"/>
    <row r="56789" s="9" customFormat="1" ht="21.95" customHeight="1" x14ac:dyDescent="0.15"/>
    <row r="56790" s="9" customFormat="1" ht="21.95" customHeight="1" x14ac:dyDescent="0.15"/>
    <row r="56791" s="9" customFormat="1" ht="21.95" customHeight="1" x14ac:dyDescent="0.15"/>
    <row r="56792" s="9" customFormat="1" ht="21.95" customHeight="1" x14ac:dyDescent="0.15"/>
    <row r="56793" s="9" customFormat="1" ht="21.95" customHeight="1" x14ac:dyDescent="0.15"/>
    <row r="56794" s="9" customFormat="1" ht="21.95" customHeight="1" x14ac:dyDescent="0.15"/>
    <row r="56795" s="9" customFormat="1" ht="21.95" customHeight="1" x14ac:dyDescent="0.15"/>
    <row r="56796" s="9" customFormat="1" ht="21.95" customHeight="1" x14ac:dyDescent="0.15"/>
    <row r="56797" s="9" customFormat="1" ht="21.95" customHeight="1" x14ac:dyDescent="0.15"/>
    <row r="56798" s="9" customFormat="1" ht="21.95" customHeight="1" x14ac:dyDescent="0.15"/>
    <row r="56799" s="9" customFormat="1" ht="21.95" customHeight="1" x14ac:dyDescent="0.15"/>
    <row r="56800" s="9" customFormat="1" ht="21.95" customHeight="1" x14ac:dyDescent="0.15"/>
    <row r="56801" s="9" customFormat="1" ht="21.95" customHeight="1" x14ac:dyDescent="0.15"/>
    <row r="56802" s="9" customFormat="1" ht="21.95" customHeight="1" x14ac:dyDescent="0.15"/>
    <row r="56803" s="9" customFormat="1" ht="21.95" customHeight="1" x14ac:dyDescent="0.15"/>
    <row r="56804" s="9" customFormat="1" ht="21.95" customHeight="1" x14ac:dyDescent="0.15"/>
    <row r="56805" s="9" customFormat="1" ht="21.95" customHeight="1" x14ac:dyDescent="0.15"/>
    <row r="56806" s="9" customFormat="1" ht="35.1" customHeight="1" x14ac:dyDescent="0.15"/>
    <row r="56807" s="9" customFormat="1" ht="21.95" customHeight="1" x14ac:dyDescent="0.15"/>
    <row r="56808" s="9" customFormat="1" ht="21.95" customHeight="1" x14ac:dyDescent="0.15"/>
    <row r="56809" s="9" customFormat="1" ht="21.95" customHeight="1" x14ac:dyDescent="0.15"/>
    <row r="56810" s="9" customFormat="1" ht="21.95" customHeight="1" x14ac:dyDescent="0.15"/>
    <row r="56811" s="9" customFormat="1" ht="21.95" customHeight="1" x14ac:dyDescent="0.15"/>
    <row r="56812" s="9" customFormat="1" ht="21.95" customHeight="1" x14ac:dyDescent="0.15"/>
    <row r="56813" s="9" customFormat="1" ht="21.95" customHeight="1" x14ac:dyDescent="0.15"/>
    <row r="56814" s="9" customFormat="1" ht="21.95" customHeight="1" x14ac:dyDescent="0.15"/>
    <row r="56815" s="9" customFormat="1" ht="21.95" customHeight="1" x14ac:dyDescent="0.15"/>
    <row r="56816" s="9" customFormat="1" ht="21.95" customHeight="1" x14ac:dyDescent="0.15"/>
    <row r="56817" spans="3:3" s="9" customFormat="1" ht="21.95" customHeight="1" x14ac:dyDescent="0.15"/>
    <row r="56818" spans="3:3" s="9" customFormat="1" ht="21.95" customHeight="1" x14ac:dyDescent="0.15"/>
    <row r="56819" spans="3:3" s="9" customFormat="1" ht="21.95" customHeight="1" x14ac:dyDescent="0.15"/>
    <row r="56820" spans="3:3" s="9" customFormat="1" ht="21.95" customHeight="1" x14ac:dyDescent="0.15"/>
    <row r="56821" spans="3:3" s="9" customFormat="1" ht="21.95" customHeight="1" x14ac:dyDescent="0.15"/>
    <row r="56822" spans="3:3" s="9" customFormat="1" ht="21.95" customHeight="1" x14ac:dyDescent="0.15"/>
    <row r="56823" spans="3:3" s="9" customFormat="1" ht="21.95" customHeight="1" x14ac:dyDescent="0.15"/>
    <row r="56824" spans="3:3" s="9" customFormat="1" ht="21.95" customHeight="1" x14ac:dyDescent="0.15"/>
    <row r="56825" spans="3:3" s="9" customFormat="1" ht="21.95" customHeight="1" x14ac:dyDescent="0.15"/>
    <row r="56826" spans="3:3" s="9" customFormat="1" ht="21.95" customHeight="1" x14ac:dyDescent="0.15"/>
    <row r="56827" spans="3:3" s="9" customFormat="1" ht="21.95" customHeight="1" x14ac:dyDescent="0.15"/>
    <row r="56828" spans="3:3" s="9" customFormat="1" ht="21.95" customHeight="1" x14ac:dyDescent="0.15"/>
    <row r="56829" spans="3:3" s="9" customFormat="1" ht="21.95" customHeight="1" x14ac:dyDescent="0.15"/>
    <row r="56830" spans="3:3" s="8" customFormat="1" ht="21.95" customHeight="1" x14ac:dyDescent="0.15"/>
    <row r="56831" spans="3:3" s="8" customFormat="1" ht="21.95" customHeight="1" x14ac:dyDescent="0.15"/>
    <row r="56832" spans="3:3" s="8" customFormat="1" ht="21.95" customHeight="1" x14ac:dyDescent="0.15">
      <c r="C56832" s="101"/>
    </row>
    <row r="56833" spans="3:3" s="8" customFormat="1" ht="21.95" customHeight="1" x14ac:dyDescent="0.15">
      <c r="C56833" s="101"/>
    </row>
    <row r="56834" spans="3:3" s="8" customFormat="1" ht="21.95" customHeight="1" x14ac:dyDescent="0.15"/>
    <row r="56835" spans="3:3" s="8" customFormat="1" ht="21.95" customHeight="1" x14ac:dyDescent="0.15"/>
    <row r="56836" spans="3:3" s="8" customFormat="1" ht="21.95" customHeight="1" x14ac:dyDescent="0.15"/>
    <row r="56837" spans="3:3" s="8" customFormat="1" ht="21.95" customHeight="1" x14ac:dyDescent="0.15"/>
    <row r="56838" spans="3:3" s="8" customFormat="1" ht="21.95" customHeight="1" x14ac:dyDescent="0.15"/>
    <row r="56839" spans="3:3" s="8" customFormat="1" ht="21.95" customHeight="1" x14ac:dyDescent="0.15"/>
    <row r="56840" spans="3:3" s="8" customFormat="1" ht="21.95" customHeight="1" x14ac:dyDescent="0.15"/>
    <row r="56841" spans="3:3" s="9" customFormat="1" ht="21.95" customHeight="1" x14ac:dyDescent="0.15"/>
    <row r="56842" spans="3:3" s="9" customFormat="1" ht="21.95" customHeight="1" x14ac:dyDescent="0.15"/>
    <row r="56843" spans="3:3" s="9" customFormat="1" ht="21.95" customHeight="1" x14ac:dyDescent="0.15"/>
    <row r="56844" spans="3:3" s="9" customFormat="1" ht="21.95" customHeight="1" x14ac:dyDescent="0.15"/>
    <row r="56845" spans="3:3" s="8" customFormat="1" ht="21.95" customHeight="1" x14ac:dyDescent="0.15"/>
    <row r="56846" spans="3:3" s="8" customFormat="1" ht="21.95" customHeight="1" x14ac:dyDescent="0.15"/>
    <row r="56847" spans="3:3" s="8" customFormat="1" ht="21.95" customHeight="1" x14ac:dyDescent="0.15"/>
    <row r="56848" spans="3:3" s="8" customFormat="1" ht="21.95" customHeight="1" x14ac:dyDescent="0.15"/>
    <row r="56849" s="8" customFormat="1" ht="21.95" customHeight="1" x14ac:dyDescent="0.15"/>
    <row r="56850" s="8" customFormat="1" ht="21.95" customHeight="1" x14ac:dyDescent="0.15"/>
    <row r="56851" s="8" customFormat="1" ht="21.95" customHeight="1" x14ac:dyDescent="0.15"/>
    <row r="56852" s="8" customFormat="1" ht="21.95" customHeight="1" x14ac:dyDescent="0.15"/>
    <row r="56853" s="8" customFormat="1" ht="21.95" customHeight="1" x14ac:dyDescent="0.15"/>
    <row r="56854" s="8" customFormat="1" ht="21.95" customHeight="1" x14ac:dyDescent="0.15"/>
    <row r="56855" s="8" customFormat="1" ht="21.95" customHeight="1" x14ac:dyDescent="0.15"/>
    <row r="56856" s="8" customFormat="1" ht="32.1" customHeight="1" x14ac:dyDescent="0.15"/>
    <row r="56857" s="8" customFormat="1" ht="32.1" customHeight="1" x14ac:dyDescent="0.15"/>
    <row r="56858" s="8" customFormat="1" ht="32.1" customHeight="1" x14ac:dyDescent="0.15"/>
    <row r="56859" s="8" customFormat="1" ht="32.1" customHeight="1" x14ac:dyDescent="0.15"/>
    <row r="56860" s="8" customFormat="1" ht="32.1" customHeight="1" x14ac:dyDescent="0.15"/>
    <row r="56861" s="8" customFormat="1" ht="32.1" customHeight="1" x14ac:dyDescent="0.15"/>
    <row r="56862" s="9" customFormat="1" ht="32.1" customHeight="1" x14ac:dyDescent="0.15"/>
    <row r="56863" s="9" customFormat="1" ht="32.1" customHeight="1" x14ac:dyDescent="0.15"/>
    <row r="56864" s="9" customFormat="1" ht="32.1" customHeight="1" x14ac:dyDescent="0.15"/>
    <row r="56865" s="9" customFormat="1" ht="32.1" customHeight="1" x14ac:dyDescent="0.15"/>
    <row r="56866" s="9" customFormat="1" ht="21.95" customHeight="1" x14ac:dyDescent="0.15"/>
    <row r="56867" s="9" customFormat="1" ht="54" customHeight="1" x14ac:dyDescent="0.15"/>
    <row r="56868" s="9" customFormat="1" ht="21.95" customHeight="1" x14ac:dyDescent="0.15"/>
    <row r="56869" s="9" customFormat="1" ht="21.95" customHeight="1" x14ac:dyDescent="0.15"/>
    <row r="56870" s="9" customFormat="1" ht="21.95" customHeight="1" x14ac:dyDescent="0.15"/>
    <row r="56871" s="9" customFormat="1" ht="21.95" customHeight="1" x14ac:dyDescent="0.15"/>
    <row r="56872" s="9" customFormat="1" ht="21.95" customHeight="1" x14ac:dyDescent="0.15"/>
    <row r="56873" s="9" customFormat="1" ht="21.95" customHeight="1" x14ac:dyDescent="0.15"/>
    <row r="56874" s="9" customFormat="1" ht="21.95" customHeight="1" x14ac:dyDescent="0.15"/>
    <row r="56875" s="9" customFormat="1" ht="21.95" customHeight="1" x14ac:dyDescent="0.15"/>
    <row r="56876" s="9" customFormat="1" ht="21.95" customHeight="1" x14ac:dyDescent="0.15"/>
    <row r="56877" s="9" customFormat="1" ht="21.95" customHeight="1" x14ac:dyDescent="0.15"/>
    <row r="56878" s="9" customFormat="1" ht="21.95" customHeight="1" x14ac:dyDescent="0.15"/>
    <row r="56879" s="9" customFormat="1" ht="21.95" customHeight="1" x14ac:dyDescent="0.15"/>
    <row r="56880" s="9" customFormat="1" ht="21.95" customHeight="1" x14ac:dyDescent="0.15"/>
    <row r="56881" s="9" customFormat="1" ht="21.95" customHeight="1" x14ac:dyDescent="0.15"/>
    <row r="56882" s="9" customFormat="1" ht="21.95" customHeight="1" x14ac:dyDescent="0.15"/>
    <row r="56883" s="9" customFormat="1" ht="21.95" customHeight="1" x14ac:dyDescent="0.15"/>
    <row r="56884" s="9" customFormat="1" ht="21.95" customHeight="1" x14ac:dyDescent="0.15"/>
    <row r="56885" s="9" customFormat="1" ht="21.95" customHeight="1" x14ac:dyDescent="0.15"/>
    <row r="56886" s="9" customFormat="1" ht="21.95" customHeight="1" x14ac:dyDescent="0.15"/>
    <row r="56887" s="9" customFormat="1" ht="21.95" customHeight="1" x14ac:dyDescent="0.15"/>
    <row r="56888" s="9" customFormat="1" ht="21.95" customHeight="1" x14ac:dyDescent="0.15"/>
    <row r="56889" s="9" customFormat="1" ht="21.95" customHeight="1" x14ac:dyDescent="0.15"/>
    <row r="56890" s="9" customFormat="1" ht="21.95" customHeight="1" x14ac:dyDescent="0.15"/>
    <row r="56891" s="9" customFormat="1" ht="21.95" customHeight="1" x14ac:dyDescent="0.15"/>
    <row r="56892" s="9" customFormat="1" ht="21.95" customHeight="1" x14ac:dyDescent="0.15"/>
    <row r="56893" s="9" customFormat="1" ht="21.95" customHeight="1" x14ac:dyDescent="0.15"/>
    <row r="56894" s="9" customFormat="1" ht="21.95" customHeight="1" x14ac:dyDescent="0.15"/>
    <row r="56895" s="9" customFormat="1" ht="21.95" customHeight="1" x14ac:dyDescent="0.15"/>
    <row r="56896" s="9" customFormat="1" ht="21.95" customHeight="1" x14ac:dyDescent="0.15"/>
    <row r="56897" s="9" customFormat="1" ht="21.95" customHeight="1" x14ac:dyDescent="0.15"/>
    <row r="56898" s="9" customFormat="1" ht="21.95" customHeight="1" x14ac:dyDescent="0.15"/>
    <row r="56899" s="9" customFormat="1" ht="21.95" customHeight="1" x14ac:dyDescent="0.15"/>
    <row r="56900" s="9" customFormat="1" ht="21.95" customHeight="1" x14ac:dyDescent="0.15"/>
    <row r="56901" s="9" customFormat="1" ht="21.95" customHeight="1" x14ac:dyDescent="0.15"/>
    <row r="56902" s="9" customFormat="1" ht="21.95" customHeight="1" x14ac:dyDescent="0.15"/>
    <row r="56903" s="9" customFormat="1" ht="21.95" customHeight="1" x14ac:dyDescent="0.15"/>
    <row r="56904" s="9" customFormat="1" ht="21.95" customHeight="1" x14ac:dyDescent="0.15"/>
    <row r="56905" s="9" customFormat="1" ht="21.95" customHeight="1" x14ac:dyDescent="0.15"/>
    <row r="56906" s="9" customFormat="1" ht="21.95" customHeight="1" x14ac:dyDescent="0.15"/>
    <row r="56907" s="9" customFormat="1" ht="21.95" customHeight="1" x14ac:dyDescent="0.15"/>
    <row r="56908" s="9" customFormat="1" ht="21.95" customHeight="1" x14ac:dyDescent="0.15"/>
    <row r="56909" s="9" customFormat="1" ht="21.95" customHeight="1" x14ac:dyDescent="0.15"/>
    <row r="56910" s="9" customFormat="1" ht="21.95" customHeight="1" x14ac:dyDescent="0.15"/>
    <row r="56911" s="9" customFormat="1" ht="21.95" customHeight="1" x14ac:dyDescent="0.15"/>
    <row r="56912" s="9" customFormat="1" ht="21.95" customHeight="1" x14ac:dyDescent="0.15"/>
    <row r="56913" s="9" customFormat="1" ht="21.95" customHeight="1" x14ac:dyDescent="0.15"/>
    <row r="56914" s="9" customFormat="1" ht="21.95" customHeight="1" x14ac:dyDescent="0.15"/>
    <row r="56915" s="9" customFormat="1" ht="21.95" customHeight="1" x14ac:dyDescent="0.15"/>
    <row r="56916" s="9" customFormat="1" ht="21.95" customHeight="1" x14ac:dyDescent="0.15"/>
    <row r="56917" s="9" customFormat="1" ht="21.95" customHeight="1" x14ac:dyDescent="0.15"/>
    <row r="56918" s="9" customFormat="1" ht="35.1" customHeight="1" x14ac:dyDescent="0.15"/>
    <row r="56919" s="9" customFormat="1" ht="21.95" customHeight="1" x14ac:dyDescent="0.15"/>
    <row r="56920" s="9" customFormat="1" ht="21.95" customHeight="1" x14ac:dyDescent="0.15"/>
    <row r="56921" s="9" customFormat="1" ht="21.95" customHeight="1" x14ac:dyDescent="0.15"/>
    <row r="56922" s="9" customFormat="1" ht="21.95" customHeight="1" x14ac:dyDescent="0.15"/>
    <row r="56923" s="9" customFormat="1" ht="21.95" customHeight="1" x14ac:dyDescent="0.15"/>
    <row r="56924" s="9" customFormat="1" ht="21.95" customHeight="1" x14ac:dyDescent="0.15"/>
    <row r="56925" s="9" customFormat="1" ht="21.95" customHeight="1" x14ac:dyDescent="0.15"/>
    <row r="56926" s="9" customFormat="1" ht="21.95" customHeight="1" x14ac:dyDescent="0.15"/>
    <row r="56927" s="9" customFormat="1" ht="21.95" customHeight="1" x14ac:dyDescent="0.15"/>
    <row r="56928" s="9" customFormat="1" ht="21.95" customHeight="1" x14ac:dyDescent="0.15"/>
    <row r="56929" spans="3:3" s="9" customFormat="1" ht="21.95" customHeight="1" x14ac:dyDescent="0.15"/>
    <row r="56930" spans="3:3" s="9" customFormat="1" ht="21.95" customHeight="1" x14ac:dyDescent="0.15"/>
    <row r="56931" spans="3:3" s="9" customFormat="1" ht="21.95" customHeight="1" x14ac:dyDescent="0.15"/>
    <row r="56932" spans="3:3" s="9" customFormat="1" ht="21.95" customHeight="1" x14ac:dyDescent="0.15"/>
    <row r="56933" spans="3:3" s="9" customFormat="1" ht="21.95" customHeight="1" x14ac:dyDescent="0.15"/>
    <row r="56934" spans="3:3" s="9" customFormat="1" ht="21.95" customHeight="1" x14ac:dyDescent="0.15"/>
    <row r="56935" spans="3:3" s="9" customFormat="1" ht="21.95" customHeight="1" x14ac:dyDescent="0.15"/>
    <row r="56936" spans="3:3" s="9" customFormat="1" ht="21.95" customHeight="1" x14ac:dyDescent="0.15"/>
    <row r="56937" spans="3:3" s="9" customFormat="1" ht="21.95" customHeight="1" x14ac:dyDescent="0.15"/>
    <row r="56938" spans="3:3" s="9" customFormat="1" ht="21.95" customHeight="1" x14ac:dyDescent="0.15"/>
    <row r="56939" spans="3:3" s="9" customFormat="1" ht="21.95" customHeight="1" x14ac:dyDescent="0.15"/>
    <row r="56940" spans="3:3" s="9" customFormat="1" ht="21.95" customHeight="1" x14ac:dyDescent="0.15"/>
    <row r="56941" spans="3:3" s="9" customFormat="1" ht="21.95" customHeight="1" x14ac:dyDescent="0.15"/>
    <row r="56942" spans="3:3" s="8" customFormat="1" ht="21.95" customHeight="1" x14ac:dyDescent="0.15"/>
    <row r="56943" spans="3:3" s="8" customFormat="1" ht="21.95" customHeight="1" x14ac:dyDescent="0.15"/>
    <row r="56944" spans="3:3" s="8" customFormat="1" ht="21.95" customHeight="1" x14ac:dyDescent="0.15">
      <c r="C56944" s="101"/>
    </row>
    <row r="56945" spans="3:3" s="8" customFormat="1" ht="21.95" customHeight="1" x14ac:dyDescent="0.15">
      <c r="C56945" s="101"/>
    </row>
    <row r="56946" spans="3:3" s="8" customFormat="1" ht="21.95" customHeight="1" x14ac:dyDescent="0.15"/>
    <row r="56947" spans="3:3" s="8" customFormat="1" ht="21.95" customHeight="1" x14ac:dyDescent="0.15"/>
    <row r="56948" spans="3:3" s="8" customFormat="1" ht="21.95" customHeight="1" x14ac:dyDescent="0.15"/>
    <row r="56949" spans="3:3" s="8" customFormat="1" ht="21.95" customHeight="1" x14ac:dyDescent="0.15"/>
    <row r="56950" spans="3:3" s="8" customFormat="1" ht="21.95" customHeight="1" x14ac:dyDescent="0.15"/>
    <row r="56951" spans="3:3" s="8" customFormat="1" ht="21.95" customHeight="1" x14ac:dyDescent="0.15"/>
    <row r="56952" spans="3:3" s="8" customFormat="1" ht="21.95" customHeight="1" x14ac:dyDescent="0.15"/>
    <row r="56953" spans="3:3" s="9" customFormat="1" ht="21.95" customHeight="1" x14ac:dyDescent="0.15"/>
    <row r="56954" spans="3:3" s="9" customFormat="1" ht="21.95" customHeight="1" x14ac:dyDescent="0.15"/>
    <row r="56955" spans="3:3" s="9" customFormat="1" ht="21.95" customHeight="1" x14ac:dyDescent="0.15"/>
    <row r="56956" spans="3:3" s="9" customFormat="1" ht="21.95" customHeight="1" x14ac:dyDescent="0.15"/>
    <row r="56957" spans="3:3" s="8" customFormat="1" ht="21.95" customHeight="1" x14ac:dyDescent="0.15"/>
    <row r="56958" spans="3:3" s="8" customFormat="1" ht="21.95" customHeight="1" x14ac:dyDescent="0.15"/>
    <row r="56959" spans="3:3" s="8" customFormat="1" ht="21.95" customHeight="1" x14ac:dyDescent="0.15"/>
    <row r="56960" spans="3:3" s="8" customFormat="1" ht="21.95" customHeight="1" x14ac:dyDescent="0.15"/>
    <row r="56961" s="8" customFormat="1" ht="21.95" customHeight="1" x14ac:dyDescent="0.15"/>
    <row r="56962" s="8" customFormat="1" ht="21.95" customHeight="1" x14ac:dyDescent="0.15"/>
    <row r="56963" s="8" customFormat="1" ht="21.95" customHeight="1" x14ac:dyDescent="0.15"/>
    <row r="56964" s="8" customFormat="1" ht="21.95" customHeight="1" x14ac:dyDescent="0.15"/>
    <row r="56965" s="8" customFormat="1" ht="21.95" customHeight="1" x14ac:dyDescent="0.15"/>
    <row r="56966" s="8" customFormat="1" ht="21.95" customHeight="1" x14ac:dyDescent="0.15"/>
    <row r="56967" s="8" customFormat="1" ht="21.95" customHeight="1" x14ac:dyDescent="0.15"/>
    <row r="56968" s="8" customFormat="1" ht="32.1" customHeight="1" x14ac:dyDescent="0.15"/>
    <row r="56969" s="8" customFormat="1" ht="32.1" customHeight="1" x14ac:dyDescent="0.15"/>
    <row r="56970" s="8" customFormat="1" ht="32.1" customHeight="1" x14ac:dyDescent="0.15"/>
    <row r="56971" s="8" customFormat="1" ht="32.1" customHeight="1" x14ac:dyDescent="0.15"/>
    <row r="56972" s="8" customFormat="1" ht="32.1" customHeight="1" x14ac:dyDescent="0.15"/>
    <row r="56973" s="8" customFormat="1" ht="32.1" customHeight="1" x14ac:dyDescent="0.15"/>
    <row r="56974" s="9" customFormat="1" ht="32.1" customHeight="1" x14ac:dyDescent="0.15"/>
    <row r="56975" s="9" customFormat="1" ht="32.1" customHeight="1" x14ac:dyDescent="0.15"/>
    <row r="56976" s="9" customFormat="1" ht="32.1" customHeight="1" x14ac:dyDescent="0.15"/>
    <row r="56977" s="9" customFormat="1" ht="32.1" customHeight="1" x14ac:dyDescent="0.15"/>
    <row r="56978" s="9" customFormat="1" ht="21.95" customHeight="1" x14ac:dyDescent="0.15"/>
    <row r="56979" s="9" customFormat="1" ht="54" customHeight="1" x14ac:dyDescent="0.15"/>
    <row r="56980" s="9" customFormat="1" ht="21.95" customHeight="1" x14ac:dyDescent="0.15"/>
    <row r="56981" s="9" customFormat="1" ht="21.95" customHeight="1" x14ac:dyDescent="0.15"/>
    <row r="56982" s="9" customFormat="1" ht="21.95" customHeight="1" x14ac:dyDescent="0.15"/>
    <row r="56983" s="9" customFormat="1" ht="21.95" customHeight="1" x14ac:dyDescent="0.15"/>
    <row r="56984" s="9" customFormat="1" ht="21.95" customHeight="1" x14ac:dyDescent="0.15"/>
    <row r="56985" s="9" customFormat="1" ht="21.95" customHeight="1" x14ac:dyDescent="0.15"/>
    <row r="56986" s="9" customFormat="1" ht="21.95" customHeight="1" x14ac:dyDescent="0.15"/>
    <row r="56987" s="9" customFormat="1" ht="21.95" customHeight="1" x14ac:dyDescent="0.15"/>
    <row r="56988" s="9" customFormat="1" ht="21.95" customHeight="1" x14ac:dyDescent="0.15"/>
    <row r="56989" s="9" customFormat="1" ht="21.95" customHeight="1" x14ac:dyDescent="0.15"/>
    <row r="56990" s="9" customFormat="1" ht="21.95" customHeight="1" x14ac:dyDescent="0.15"/>
    <row r="56991" s="9" customFormat="1" ht="21.95" customHeight="1" x14ac:dyDescent="0.15"/>
    <row r="56992" s="9" customFormat="1" ht="21.95" customHeight="1" x14ac:dyDescent="0.15"/>
    <row r="56993" s="9" customFormat="1" ht="21.95" customHeight="1" x14ac:dyDescent="0.15"/>
    <row r="56994" s="9" customFormat="1" ht="21.95" customHeight="1" x14ac:dyDescent="0.15"/>
    <row r="56995" s="9" customFormat="1" ht="21.95" customHeight="1" x14ac:dyDescent="0.15"/>
    <row r="56996" s="9" customFormat="1" ht="21.95" customHeight="1" x14ac:dyDescent="0.15"/>
    <row r="56997" s="9" customFormat="1" ht="21.95" customHeight="1" x14ac:dyDescent="0.15"/>
    <row r="56998" s="9" customFormat="1" ht="21.95" customHeight="1" x14ac:dyDescent="0.15"/>
    <row r="56999" s="9" customFormat="1" ht="21.95" customHeight="1" x14ac:dyDescent="0.15"/>
    <row r="57000" s="9" customFormat="1" ht="21.95" customHeight="1" x14ac:dyDescent="0.15"/>
    <row r="57001" s="9" customFormat="1" ht="21.95" customHeight="1" x14ac:dyDescent="0.15"/>
    <row r="57002" s="9" customFormat="1" ht="21.95" customHeight="1" x14ac:dyDescent="0.15"/>
    <row r="57003" s="9" customFormat="1" ht="21.95" customHeight="1" x14ac:dyDescent="0.15"/>
    <row r="57004" s="9" customFormat="1" ht="21.95" customHeight="1" x14ac:dyDescent="0.15"/>
    <row r="57005" s="9" customFormat="1" ht="21.95" customHeight="1" x14ac:dyDescent="0.15"/>
    <row r="57006" s="9" customFormat="1" ht="21.95" customHeight="1" x14ac:dyDescent="0.15"/>
    <row r="57007" s="9" customFormat="1" ht="21.95" customHeight="1" x14ac:dyDescent="0.15"/>
    <row r="57008" s="9" customFormat="1" ht="21.95" customHeight="1" x14ac:dyDescent="0.15"/>
    <row r="57009" s="9" customFormat="1" ht="21.95" customHeight="1" x14ac:dyDescent="0.15"/>
    <row r="57010" s="9" customFormat="1" ht="21.95" customHeight="1" x14ac:dyDescent="0.15"/>
    <row r="57011" s="9" customFormat="1" ht="21.95" customHeight="1" x14ac:dyDescent="0.15"/>
    <row r="57012" s="9" customFormat="1" ht="21.95" customHeight="1" x14ac:dyDescent="0.15"/>
    <row r="57013" s="9" customFormat="1" ht="21.95" customHeight="1" x14ac:dyDescent="0.15"/>
    <row r="57014" s="9" customFormat="1" ht="21.95" customHeight="1" x14ac:dyDescent="0.15"/>
    <row r="57015" s="9" customFormat="1" ht="21.95" customHeight="1" x14ac:dyDescent="0.15"/>
    <row r="57016" s="9" customFormat="1" ht="21.95" customHeight="1" x14ac:dyDescent="0.15"/>
    <row r="57017" s="9" customFormat="1" ht="21.95" customHeight="1" x14ac:dyDescent="0.15"/>
    <row r="57018" s="9" customFormat="1" ht="21.95" customHeight="1" x14ac:dyDescent="0.15"/>
    <row r="57019" s="9" customFormat="1" ht="21.95" customHeight="1" x14ac:dyDescent="0.15"/>
    <row r="57020" s="9" customFormat="1" ht="21.95" customHeight="1" x14ac:dyDescent="0.15"/>
    <row r="57021" s="9" customFormat="1" ht="21.95" customHeight="1" x14ac:dyDescent="0.15"/>
    <row r="57022" s="9" customFormat="1" ht="21.95" customHeight="1" x14ac:dyDescent="0.15"/>
    <row r="57023" s="9" customFormat="1" ht="21.95" customHeight="1" x14ac:dyDescent="0.15"/>
    <row r="57024" s="9" customFormat="1" ht="21.95" customHeight="1" x14ac:dyDescent="0.15"/>
    <row r="57025" s="9" customFormat="1" ht="21.95" customHeight="1" x14ac:dyDescent="0.15"/>
    <row r="57026" s="9" customFormat="1" ht="21.95" customHeight="1" x14ac:dyDescent="0.15"/>
    <row r="57027" s="9" customFormat="1" ht="21.95" customHeight="1" x14ac:dyDescent="0.15"/>
    <row r="57028" s="9" customFormat="1" ht="21.95" customHeight="1" x14ac:dyDescent="0.15"/>
    <row r="57029" s="9" customFormat="1" ht="21.95" customHeight="1" x14ac:dyDescent="0.15"/>
    <row r="57030" s="9" customFormat="1" ht="35.1" customHeight="1" x14ac:dyDescent="0.15"/>
    <row r="57031" s="9" customFormat="1" ht="21.95" customHeight="1" x14ac:dyDescent="0.15"/>
    <row r="57032" s="9" customFormat="1" ht="21.95" customHeight="1" x14ac:dyDescent="0.15"/>
    <row r="57033" s="9" customFormat="1" ht="21.95" customHeight="1" x14ac:dyDescent="0.15"/>
    <row r="57034" s="9" customFormat="1" ht="21.95" customHeight="1" x14ac:dyDescent="0.15"/>
    <row r="57035" s="9" customFormat="1" ht="21.95" customHeight="1" x14ac:dyDescent="0.15"/>
    <row r="57036" s="9" customFormat="1" ht="21.95" customHeight="1" x14ac:dyDescent="0.15"/>
    <row r="57037" s="9" customFormat="1" ht="21.95" customHeight="1" x14ac:dyDescent="0.15"/>
    <row r="57038" s="9" customFormat="1" ht="21.95" customHeight="1" x14ac:dyDescent="0.15"/>
    <row r="57039" s="9" customFormat="1" ht="21.95" customHeight="1" x14ac:dyDescent="0.15"/>
    <row r="57040" s="9" customFormat="1" ht="21.95" customHeight="1" x14ac:dyDescent="0.15"/>
    <row r="57041" spans="3:3" s="9" customFormat="1" ht="21.95" customHeight="1" x14ac:dyDescent="0.15"/>
    <row r="57042" spans="3:3" s="9" customFormat="1" ht="21.95" customHeight="1" x14ac:dyDescent="0.15"/>
    <row r="57043" spans="3:3" s="9" customFormat="1" ht="21.95" customHeight="1" x14ac:dyDescent="0.15"/>
    <row r="57044" spans="3:3" s="9" customFormat="1" ht="21.95" customHeight="1" x14ac:dyDescent="0.15"/>
    <row r="57045" spans="3:3" s="9" customFormat="1" ht="21.95" customHeight="1" x14ac:dyDescent="0.15"/>
    <row r="57046" spans="3:3" s="9" customFormat="1" ht="21.95" customHeight="1" x14ac:dyDescent="0.15"/>
    <row r="57047" spans="3:3" s="9" customFormat="1" ht="21.95" customHeight="1" x14ac:dyDescent="0.15"/>
    <row r="57048" spans="3:3" s="9" customFormat="1" ht="21.95" customHeight="1" x14ac:dyDescent="0.15"/>
    <row r="57049" spans="3:3" s="9" customFormat="1" ht="21.95" customHeight="1" x14ac:dyDescent="0.15"/>
    <row r="57050" spans="3:3" s="9" customFormat="1" ht="21.95" customHeight="1" x14ac:dyDescent="0.15"/>
    <row r="57051" spans="3:3" s="9" customFormat="1" ht="21.95" customHeight="1" x14ac:dyDescent="0.15"/>
    <row r="57052" spans="3:3" s="9" customFormat="1" ht="21.95" customHeight="1" x14ac:dyDescent="0.15"/>
    <row r="57053" spans="3:3" s="9" customFormat="1" ht="21.95" customHeight="1" x14ac:dyDescent="0.15"/>
    <row r="57054" spans="3:3" s="8" customFormat="1" ht="21.95" customHeight="1" x14ac:dyDescent="0.15"/>
    <row r="57055" spans="3:3" s="8" customFormat="1" ht="21.95" customHeight="1" x14ac:dyDescent="0.15"/>
    <row r="57056" spans="3:3" s="8" customFormat="1" ht="21.95" customHeight="1" x14ac:dyDescent="0.15">
      <c r="C57056" s="101"/>
    </row>
    <row r="57057" spans="3:3" s="8" customFormat="1" ht="21.95" customHeight="1" x14ac:dyDescent="0.15">
      <c r="C57057" s="101"/>
    </row>
    <row r="57058" spans="3:3" s="8" customFormat="1" ht="21.95" customHeight="1" x14ac:dyDescent="0.15"/>
    <row r="57059" spans="3:3" s="8" customFormat="1" ht="21.95" customHeight="1" x14ac:dyDescent="0.15"/>
    <row r="57060" spans="3:3" s="8" customFormat="1" ht="21.95" customHeight="1" x14ac:dyDescent="0.15"/>
    <row r="57061" spans="3:3" s="8" customFormat="1" ht="21.95" customHeight="1" x14ac:dyDescent="0.15"/>
    <row r="57062" spans="3:3" s="8" customFormat="1" ht="21.95" customHeight="1" x14ac:dyDescent="0.15"/>
    <row r="57063" spans="3:3" s="8" customFormat="1" ht="21.95" customHeight="1" x14ac:dyDescent="0.15"/>
    <row r="57064" spans="3:3" s="8" customFormat="1" ht="21.95" customHeight="1" x14ac:dyDescent="0.15"/>
    <row r="57065" spans="3:3" s="9" customFormat="1" ht="21.95" customHeight="1" x14ac:dyDescent="0.15"/>
    <row r="57066" spans="3:3" s="9" customFormat="1" ht="21.95" customHeight="1" x14ac:dyDescent="0.15"/>
    <row r="57067" spans="3:3" s="9" customFormat="1" ht="21.95" customHeight="1" x14ac:dyDescent="0.15"/>
    <row r="57068" spans="3:3" s="9" customFormat="1" ht="21.95" customHeight="1" x14ac:dyDescent="0.15"/>
    <row r="57069" spans="3:3" s="8" customFormat="1" ht="21.95" customHeight="1" x14ac:dyDescent="0.15"/>
    <row r="57070" spans="3:3" s="8" customFormat="1" ht="21.95" customHeight="1" x14ac:dyDescent="0.15"/>
    <row r="57071" spans="3:3" s="8" customFormat="1" ht="21.95" customHeight="1" x14ac:dyDescent="0.15"/>
    <row r="57072" spans="3:3" s="8" customFormat="1" ht="21.95" customHeight="1" x14ac:dyDescent="0.15"/>
    <row r="57073" s="8" customFormat="1" ht="21.95" customHeight="1" x14ac:dyDescent="0.15"/>
    <row r="57074" s="8" customFormat="1" ht="21.95" customHeight="1" x14ac:dyDescent="0.15"/>
    <row r="57075" s="8" customFormat="1" ht="21.95" customHeight="1" x14ac:dyDescent="0.15"/>
    <row r="57076" s="8" customFormat="1" ht="21.95" customHeight="1" x14ac:dyDescent="0.15"/>
    <row r="57077" s="8" customFormat="1" ht="21.95" customHeight="1" x14ac:dyDescent="0.15"/>
    <row r="57078" s="8" customFormat="1" ht="21.95" customHeight="1" x14ac:dyDescent="0.15"/>
    <row r="57079" s="8" customFormat="1" ht="21.95" customHeight="1" x14ac:dyDescent="0.15"/>
    <row r="57080" s="8" customFormat="1" ht="32.1" customHeight="1" x14ac:dyDescent="0.15"/>
    <row r="57081" s="8" customFormat="1" ht="32.1" customHeight="1" x14ac:dyDescent="0.15"/>
    <row r="57082" s="8" customFormat="1" ht="32.1" customHeight="1" x14ac:dyDescent="0.15"/>
    <row r="57083" s="8" customFormat="1" ht="32.1" customHeight="1" x14ac:dyDescent="0.15"/>
    <row r="57084" s="8" customFormat="1" ht="32.1" customHeight="1" x14ac:dyDescent="0.15"/>
    <row r="57085" s="8" customFormat="1" ht="32.1" customHeight="1" x14ac:dyDescent="0.15"/>
    <row r="57086" s="9" customFormat="1" ht="32.1" customHeight="1" x14ac:dyDescent="0.15"/>
    <row r="57087" s="9" customFormat="1" ht="32.1" customHeight="1" x14ac:dyDescent="0.15"/>
    <row r="57088" s="9" customFormat="1" ht="32.1" customHeight="1" x14ac:dyDescent="0.15"/>
    <row r="57089" s="9" customFormat="1" ht="32.1" customHeight="1" x14ac:dyDescent="0.15"/>
    <row r="57090" s="9" customFormat="1" ht="21.95" customHeight="1" x14ac:dyDescent="0.15"/>
    <row r="57091" s="9" customFormat="1" ht="54" customHeight="1" x14ac:dyDescent="0.15"/>
    <row r="57092" s="9" customFormat="1" ht="21.95" customHeight="1" x14ac:dyDescent="0.15"/>
    <row r="57093" s="9" customFormat="1" ht="21.95" customHeight="1" x14ac:dyDescent="0.15"/>
    <row r="57094" s="9" customFormat="1" ht="21.95" customHeight="1" x14ac:dyDescent="0.15"/>
    <row r="57095" s="9" customFormat="1" ht="21.95" customHeight="1" x14ac:dyDescent="0.15"/>
    <row r="57096" s="9" customFormat="1" ht="21.95" customHeight="1" x14ac:dyDescent="0.15"/>
    <row r="57097" s="9" customFormat="1" ht="21.95" customHeight="1" x14ac:dyDescent="0.15"/>
    <row r="57098" s="9" customFormat="1" ht="21.95" customHeight="1" x14ac:dyDescent="0.15"/>
    <row r="57099" s="9" customFormat="1" ht="21.95" customHeight="1" x14ac:dyDescent="0.15"/>
    <row r="57100" s="9" customFormat="1" ht="21.95" customHeight="1" x14ac:dyDescent="0.15"/>
    <row r="57101" s="9" customFormat="1" ht="21.95" customHeight="1" x14ac:dyDescent="0.15"/>
    <row r="57102" s="9" customFormat="1" ht="21.95" customHeight="1" x14ac:dyDescent="0.15"/>
    <row r="57103" s="9" customFormat="1" ht="21.95" customHeight="1" x14ac:dyDescent="0.15"/>
    <row r="57104" s="9" customFormat="1" ht="21.95" customHeight="1" x14ac:dyDescent="0.15"/>
    <row r="57105" s="9" customFormat="1" ht="21.95" customHeight="1" x14ac:dyDescent="0.15"/>
    <row r="57106" s="9" customFormat="1" ht="21.95" customHeight="1" x14ac:dyDescent="0.15"/>
    <row r="57107" s="9" customFormat="1" ht="21.95" customHeight="1" x14ac:dyDescent="0.15"/>
    <row r="57108" s="9" customFormat="1" ht="21.95" customHeight="1" x14ac:dyDescent="0.15"/>
    <row r="57109" s="9" customFormat="1" ht="21.95" customHeight="1" x14ac:dyDescent="0.15"/>
    <row r="57110" s="9" customFormat="1" ht="21.95" customHeight="1" x14ac:dyDescent="0.15"/>
    <row r="57111" s="9" customFormat="1" ht="21.95" customHeight="1" x14ac:dyDescent="0.15"/>
    <row r="57112" s="9" customFormat="1" ht="21.95" customHeight="1" x14ac:dyDescent="0.15"/>
    <row r="57113" s="9" customFormat="1" ht="21.95" customHeight="1" x14ac:dyDescent="0.15"/>
    <row r="57114" s="9" customFormat="1" ht="21.95" customHeight="1" x14ac:dyDescent="0.15"/>
    <row r="57115" s="9" customFormat="1" ht="21.95" customHeight="1" x14ac:dyDescent="0.15"/>
    <row r="57116" s="9" customFormat="1" ht="21.95" customHeight="1" x14ac:dyDescent="0.15"/>
    <row r="57117" s="9" customFormat="1" ht="21.95" customHeight="1" x14ac:dyDescent="0.15"/>
    <row r="57118" s="9" customFormat="1" ht="21.95" customHeight="1" x14ac:dyDescent="0.15"/>
    <row r="57119" s="9" customFormat="1" ht="21.95" customHeight="1" x14ac:dyDescent="0.15"/>
    <row r="57120" s="9" customFormat="1" ht="21.95" customHeight="1" x14ac:dyDescent="0.15"/>
    <row r="57121" s="9" customFormat="1" ht="21.95" customHeight="1" x14ac:dyDescent="0.15"/>
    <row r="57122" s="9" customFormat="1" ht="21.95" customHeight="1" x14ac:dyDescent="0.15"/>
    <row r="57123" s="9" customFormat="1" ht="21.95" customHeight="1" x14ac:dyDescent="0.15"/>
    <row r="57124" s="9" customFormat="1" ht="21.95" customHeight="1" x14ac:dyDescent="0.15"/>
    <row r="57125" s="9" customFormat="1" ht="21.95" customHeight="1" x14ac:dyDescent="0.15"/>
    <row r="57126" s="9" customFormat="1" ht="21.95" customHeight="1" x14ac:dyDescent="0.15"/>
    <row r="57127" s="9" customFormat="1" ht="21.95" customHeight="1" x14ac:dyDescent="0.15"/>
    <row r="57128" s="9" customFormat="1" ht="21.95" customHeight="1" x14ac:dyDescent="0.15"/>
    <row r="57129" s="9" customFormat="1" ht="21.95" customHeight="1" x14ac:dyDescent="0.15"/>
    <row r="57130" s="9" customFormat="1" ht="21.95" customHeight="1" x14ac:dyDescent="0.15"/>
    <row r="57131" s="9" customFormat="1" ht="21.95" customHeight="1" x14ac:dyDescent="0.15"/>
    <row r="57132" s="9" customFormat="1" ht="21.95" customHeight="1" x14ac:dyDescent="0.15"/>
    <row r="57133" s="9" customFormat="1" ht="21.95" customHeight="1" x14ac:dyDescent="0.15"/>
    <row r="57134" s="9" customFormat="1" ht="21.95" customHeight="1" x14ac:dyDescent="0.15"/>
    <row r="57135" s="9" customFormat="1" ht="21.95" customHeight="1" x14ac:dyDescent="0.15"/>
    <row r="57136" s="9" customFormat="1" ht="21.95" customHeight="1" x14ac:dyDescent="0.15"/>
    <row r="57137" s="9" customFormat="1" ht="21.95" customHeight="1" x14ac:dyDescent="0.15"/>
    <row r="57138" s="9" customFormat="1" ht="21.95" customHeight="1" x14ac:dyDescent="0.15"/>
    <row r="57139" s="9" customFormat="1" ht="21.95" customHeight="1" x14ac:dyDescent="0.15"/>
    <row r="57140" s="9" customFormat="1" ht="21.95" customHeight="1" x14ac:dyDescent="0.15"/>
    <row r="57141" s="9" customFormat="1" ht="21.95" customHeight="1" x14ac:dyDescent="0.15"/>
    <row r="57142" s="9" customFormat="1" ht="35.1" customHeight="1" x14ac:dyDescent="0.15"/>
    <row r="57143" s="9" customFormat="1" ht="21.95" customHeight="1" x14ac:dyDescent="0.15"/>
    <row r="57144" s="9" customFormat="1" ht="21.95" customHeight="1" x14ac:dyDescent="0.15"/>
    <row r="57145" s="9" customFormat="1" ht="21.95" customHeight="1" x14ac:dyDescent="0.15"/>
    <row r="57146" s="9" customFormat="1" ht="21.95" customHeight="1" x14ac:dyDescent="0.15"/>
    <row r="57147" s="9" customFormat="1" ht="21.95" customHeight="1" x14ac:dyDescent="0.15"/>
    <row r="57148" s="9" customFormat="1" ht="21.95" customHeight="1" x14ac:dyDescent="0.15"/>
    <row r="57149" s="9" customFormat="1" ht="21.95" customHeight="1" x14ac:dyDescent="0.15"/>
    <row r="57150" s="9" customFormat="1" ht="21.95" customHeight="1" x14ac:dyDescent="0.15"/>
    <row r="57151" s="9" customFormat="1" ht="21.95" customHeight="1" x14ac:dyDescent="0.15"/>
    <row r="57152" s="9" customFormat="1" ht="21.95" customHeight="1" x14ac:dyDescent="0.15"/>
    <row r="57153" spans="3:3" s="9" customFormat="1" ht="21.95" customHeight="1" x14ac:dyDescent="0.15"/>
    <row r="57154" spans="3:3" s="9" customFormat="1" ht="21.95" customHeight="1" x14ac:dyDescent="0.15"/>
    <row r="57155" spans="3:3" s="9" customFormat="1" ht="21.95" customHeight="1" x14ac:dyDescent="0.15"/>
    <row r="57156" spans="3:3" s="9" customFormat="1" ht="21.95" customHeight="1" x14ac:dyDescent="0.15"/>
    <row r="57157" spans="3:3" s="9" customFormat="1" ht="21.95" customHeight="1" x14ac:dyDescent="0.15"/>
    <row r="57158" spans="3:3" s="9" customFormat="1" ht="21.95" customHeight="1" x14ac:dyDescent="0.15"/>
    <row r="57159" spans="3:3" s="9" customFormat="1" ht="21.95" customHeight="1" x14ac:dyDescent="0.15"/>
    <row r="57160" spans="3:3" s="9" customFormat="1" ht="21.95" customHeight="1" x14ac:dyDescent="0.15"/>
    <row r="57161" spans="3:3" s="9" customFormat="1" ht="21.95" customHeight="1" x14ac:dyDescent="0.15"/>
    <row r="57162" spans="3:3" s="9" customFormat="1" ht="21.95" customHeight="1" x14ac:dyDescent="0.15"/>
    <row r="57163" spans="3:3" s="9" customFormat="1" ht="21.95" customHeight="1" x14ac:dyDescent="0.15"/>
    <row r="57164" spans="3:3" s="9" customFormat="1" ht="21.95" customHeight="1" x14ac:dyDescent="0.15"/>
    <row r="57165" spans="3:3" s="9" customFormat="1" ht="21.95" customHeight="1" x14ac:dyDescent="0.15"/>
    <row r="57166" spans="3:3" s="8" customFormat="1" ht="21.95" customHeight="1" x14ac:dyDescent="0.15"/>
    <row r="57167" spans="3:3" s="8" customFormat="1" ht="21.95" customHeight="1" x14ac:dyDescent="0.15"/>
    <row r="57168" spans="3:3" s="8" customFormat="1" ht="21.95" customHeight="1" x14ac:dyDescent="0.15">
      <c r="C57168" s="101"/>
    </row>
    <row r="57169" spans="3:3" s="8" customFormat="1" ht="21.95" customHeight="1" x14ac:dyDescent="0.15">
      <c r="C57169" s="101"/>
    </row>
    <row r="57170" spans="3:3" s="8" customFormat="1" ht="21.95" customHeight="1" x14ac:dyDescent="0.15"/>
    <row r="57171" spans="3:3" s="8" customFormat="1" ht="21.95" customHeight="1" x14ac:dyDescent="0.15"/>
    <row r="57172" spans="3:3" s="8" customFormat="1" ht="21.95" customHeight="1" x14ac:dyDescent="0.15"/>
    <row r="57173" spans="3:3" s="8" customFormat="1" ht="21.95" customHeight="1" x14ac:dyDescent="0.15"/>
    <row r="57174" spans="3:3" s="8" customFormat="1" ht="21.95" customHeight="1" x14ac:dyDescent="0.15"/>
    <row r="57175" spans="3:3" s="8" customFormat="1" ht="21.95" customHeight="1" x14ac:dyDescent="0.15"/>
    <row r="57176" spans="3:3" s="8" customFormat="1" ht="21.95" customHeight="1" x14ac:dyDescent="0.15"/>
    <row r="57177" spans="3:3" s="9" customFormat="1" ht="21.95" customHeight="1" x14ac:dyDescent="0.15"/>
    <row r="57178" spans="3:3" s="9" customFormat="1" ht="21.95" customHeight="1" x14ac:dyDescent="0.15"/>
    <row r="57179" spans="3:3" s="9" customFormat="1" ht="21.95" customHeight="1" x14ac:dyDescent="0.15"/>
    <row r="57180" spans="3:3" s="9" customFormat="1" ht="21.95" customHeight="1" x14ac:dyDescent="0.15"/>
    <row r="57181" spans="3:3" s="8" customFormat="1" ht="21.95" customHeight="1" x14ac:dyDescent="0.15"/>
    <row r="57182" spans="3:3" s="8" customFormat="1" ht="21.95" customHeight="1" x14ac:dyDescent="0.15"/>
    <row r="57183" spans="3:3" s="8" customFormat="1" ht="21.95" customHeight="1" x14ac:dyDescent="0.15"/>
    <row r="57184" spans="3:3" s="8" customFormat="1" ht="21.95" customHeight="1" x14ac:dyDescent="0.15"/>
    <row r="57185" s="8" customFormat="1" ht="21.95" customHeight="1" x14ac:dyDescent="0.15"/>
    <row r="57186" s="8" customFormat="1" ht="21.95" customHeight="1" x14ac:dyDescent="0.15"/>
    <row r="57187" s="8" customFormat="1" ht="21.95" customHeight="1" x14ac:dyDescent="0.15"/>
    <row r="57188" s="8" customFormat="1" ht="21.95" customHeight="1" x14ac:dyDescent="0.15"/>
    <row r="57189" s="8" customFormat="1" ht="21.95" customHeight="1" x14ac:dyDescent="0.15"/>
    <row r="57190" s="8" customFormat="1" ht="21.95" customHeight="1" x14ac:dyDescent="0.15"/>
    <row r="57191" s="8" customFormat="1" ht="21.95" customHeight="1" x14ac:dyDescent="0.15"/>
    <row r="57192" s="8" customFormat="1" ht="32.1" customHeight="1" x14ac:dyDescent="0.15"/>
    <row r="57193" s="8" customFormat="1" ht="32.1" customHeight="1" x14ac:dyDescent="0.15"/>
    <row r="57194" s="8" customFormat="1" ht="32.1" customHeight="1" x14ac:dyDescent="0.15"/>
    <row r="57195" s="8" customFormat="1" ht="32.1" customHeight="1" x14ac:dyDescent="0.15"/>
    <row r="57196" s="8" customFormat="1" ht="32.1" customHeight="1" x14ac:dyDescent="0.15"/>
    <row r="57197" s="8" customFormat="1" ht="32.1" customHeight="1" x14ac:dyDescent="0.15"/>
    <row r="57198" s="9" customFormat="1" ht="32.1" customHeight="1" x14ac:dyDescent="0.15"/>
    <row r="57199" s="9" customFormat="1" ht="32.1" customHeight="1" x14ac:dyDescent="0.15"/>
    <row r="57200" s="9" customFormat="1" ht="32.1" customHeight="1" x14ac:dyDescent="0.15"/>
    <row r="57201" s="9" customFormat="1" ht="32.1" customHeight="1" x14ac:dyDescent="0.15"/>
    <row r="57202" s="9" customFormat="1" ht="21.95" customHeight="1" x14ac:dyDescent="0.15"/>
    <row r="57203" s="9" customFormat="1" ht="54" customHeight="1" x14ac:dyDescent="0.15"/>
    <row r="57204" s="9" customFormat="1" ht="21.95" customHeight="1" x14ac:dyDescent="0.15"/>
    <row r="57205" s="9" customFormat="1" ht="21.95" customHeight="1" x14ac:dyDescent="0.15"/>
    <row r="57206" s="9" customFormat="1" ht="21.95" customHeight="1" x14ac:dyDescent="0.15"/>
    <row r="57207" s="9" customFormat="1" ht="21.95" customHeight="1" x14ac:dyDescent="0.15"/>
    <row r="57208" s="9" customFormat="1" ht="21.95" customHeight="1" x14ac:dyDescent="0.15"/>
    <row r="57209" s="9" customFormat="1" ht="21.95" customHeight="1" x14ac:dyDescent="0.15"/>
    <row r="57210" s="9" customFormat="1" ht="21.95" customHeight="1" x14ac:dyDescent="0.15"/>
    <row r="57211" s="9" customFormat="1" ht="21.95" customHeight="1" x14ac:dyDescent="0.15"/>
    <row r="57212" s="9" customFormat="1" ht="21.95" customHeight="1" x14ac:dyDescent="0.15"/>
    <row r="57213" s="9" customFormat="1" ht="21.95" customHeight="1" x14ac:dyDescent="0.15"/>
    <row r="57214" s="9" customFormat="1" ht="21.95" customHeight="1" x14ac:dyDescent="0.15"/>
    <row r="57215" s="9" customFormat="1" ht="21.95" customHeight="1" x14ac:dyDescent="0.15"/>
    <row r="57216" s="9" customFormat="1" ht="21.95" customHeight="1" x14ac:dyDescent="0.15"/>
    <row r="57217" s="9" customFormat="1" ht="21.95" customHeight="1" x14ac:dyDescent="0.15"/>
    <row r="57218" s="9" customFormat="1" ht="21.95" customHeight="1" x14ac:dyDescent="0.15"/>
    <row r="57219" s="9" customFormat="1" ht="21.95" customHeight="1" x14ac:dyDescent="0.15"/>
    <row r="57220" s="9" customFormat="1" ht="21.95" customHeight="1" x14ac:dyDescent="0.15"/>
    <row r="57221" s="9" customFormat="1" ht="21.95" customHeight="1" x14ac:dyDescent="0.15"/>
    <row r="57222" s="9" customFormat="1" ht="21.95" customHeight="1" x14ac:dyDescent="0.15"/>
    <row r="57223" s="9" customFormat="1" ht="21.95" customHeight="1" x14ac:dyDescent="0.15"/>
    <row r="57224" s="9" customFormat="1" ht="21.95" customHeight="1" x14ac:dyDescent="0.15"/>
    <row r="57225" s="9" customFormat="1" ht="21.95" customHeight="1" x14ac:dyDescent="0.15"/>
    <row r="57226" s="9" customFormat="1" ht="21.95" customHeight="1" x14ac:dyDescent="0.15"/>
    <row r="57227" s="9" customFormat="1" ht="21.95" customHeight="1" x14ac:dyDescent="0.15"/>
    <row r="57228" s="9" customFormat="1" ht="21.95" customHeight="1" x14ac:dyDescent="0.15"/>
    <row r="57229" s="9" customFormat="1" ht="21.95" customHeight="1" x14ac:dyDescent="0.15"/>
    <row r="57230" s="9" customFormat="1" ht="21.95" customHeight="1" x14ac:dyDescent="0.15"/>
    <row r="57231" s="9" customFormat="1" ht="21.95" customHeight="1" x14ac:dyDescent="0.15"/>
    <row r="57232" s="9" customFormat="1" ht="21.95" customHeight="1" x14ac:dyDescent="0.15"/>
    <row r="57233" s="9" customFormat="1" ht="21.95" customHeight="1" x14ac:dyDescent="0.15"/>
    <row r="57234" s="9" customFormat="1" ht="21.95" customHeight="1" x14ac:dyDescent="0.15"/>
    <row r="57235" s="9" customFormat="1" ht="21.95" customHeight="1" x14ac:dyDescent="0.15"/>
    <row r="57236" s="9" customFormat="1" ht="21.95" customHeight="1" x14ac:dyDescent="0.15"/>
    <row r="57237" s="9" customFormat="1" ht="21.95" customHeight="1" x14ac:dyDescent="0.15"/>
    <row r="57238" s="9" customFormat="1" ht="21.95" customHeight="1" x14ac:dyDescent="0.15"/>
    <row r="57239" s="9" customFormat="1" ht="21.95" customHeight="1" x14ac:dyDescent="0.15"/>
    <row r="57240" s="9" customFormat="1" ht="21.95" customHeight="1" x14ac:dyDescent="0.15"/>
    <row r="57241" s="9" customFormat="1" ht="21.95" customHeight="1" x14ac:dyDescent="0.15"/>
    <row r="57242" s="9" customFormat="1" ht="21.95" customHeight="1" x14ac:dyDescent="0.15"/>
    <row r="57243" s="9" customFormat="1" ht="21.95" customHeight="1" x14ac:dyDescent="0.15"/>
    <row r="57244" s="9" customFormat="1" ht="21.95" customHeight="1" x14ac:dyDescent="0.15"/>
    <row r="57245" s="9" customFormat="1" ht="21.95" customHeight="1" x14ac:dyDescent="0.15"/>
    <row r="57246" s="9" customFormat="1" ht="21.95" customHeight="1" x14ac:dyDescent="0.15"/>
    <row r="57247" s="9" customFormat="1" ht="21.95" customHeight="1" x14ac:dyDescent="0.15"/>
    <row r="57248" s="9" customFormat="1" ht="21.95" customHeight="1" x14ac:dyDescent="0.15"/>
    <row r="57249" s="9" customFormat="1" ht="21.95" customHeight="1" x14ac:dyDescent="0.15"/>
    <row r="57250" s="9" customFormat="1" ht="21.95" customHeight="1" x14ac:dyDescent="0.15"/>
    <row r="57251" s="9" customFormat="1" ht="21.95" customHeight="1" x14ac:dyDescent="0.15"/>
    <row r="57252" s="9" customFormat="1" ht="21.95" customHeight="1" x14ac:dyDescent="0.15"/>
    <row r="57253" s="9" customFormat="1" ht="21.95" customHeight="1" x14ac:dyDescent="0.15"/>
    <row r="57254" s="9" customFormat="1" ht="35.1" customHeight="1" x14ac:dyDescent="0.15"/>
    <row r="57255" s="9" customFormat="1" ht="21.95" customHeight="1" x14ac:dyDescent="0.15"/>
    <row r="57256" s="9" customFormat="1" ht="21.95" customHeight="1" x14ac:dyDescent="0.15"/>
    <row r="57257" s="9" customFormat="1" ht="21.95" customHeight="1" x14ac:dyDescent="0.15"/>
    <row r="57258" s="9" customFormat="1" ht="21.95" customHeight="1" x14ac:dyDescent="0.15"/>
    <row r="57259" s="9" customFormat="1" ht="21.95" customHeight="1" x14ac:dyDescent="0.15"/>
    <row r="57260" s="9" customFormat="1" ht="21.95" customHeight="1" x14ac:dyDescent="0.15"/>
    <row r="57261" s="9" customFormat="1" ht="21.95" customHeight="1" x14ac:dyDescent="0.15"/>
    <row r="57262" s="9" customFormat="1" ht="21.95" customHeight="1" x14ac:dyDescent="0.15"/>
    <row r="57263" s="9" customFormat="1" ht="21.95" customHeight="1" x14ac:dyDescent="0.15"/>
    <row r="57264" s="9" customFormat="1" ht="21.95" customHeight="1" x14ac:dyDescent="0.15"/>
    <row r="57265" spans="3:3" s="9" customFormat="1" ht="21.95" customHeight="1" x14ac:dyDescent="0.15"/>
    <row r="57266" spans="3:3" s="9" customFormat="1" ht="21.95" customHeight="1" x14ac:dyDescent="0.15"/>
    <row r="57267" spans="3:3" s="9" customFormat="1" ht="21.95" customHeight="1" x14ac:dyDescent="0.15"/>
    <row r="57268" spans="3:3" s="9" customFormat="1" ht="21.95" customHeight="1" x14ac:dyDescent="0.15"/>
    <row r="57269" spans="3:3" s="9" customFormat="1" ht="21.95" customHeight="1" x14ac:dyDescent="0.15"/>
    <row r="57270" spans="3:3" s="9" customFormat="1" ht="21.95" customHeight="1" x14ac:dyDescent="0.15"/>
    <row r="57271" spans="3:3" s="9" customFormat="1" ht="21.95" customHeight="1" x14ac:dyDescent="0.15"/>
    <row r="57272" spans="3:3" s="9" customFormat="1" ht="21.95" customHeight="1" x14ac:dyDescent="0.15"/>
    <row r="57273" spans="3:3" s="9" customFormat="1" ht="21.95" customHeight="1" x14ac:dyDescent="0.15"/>
    <row r="57274" spans="3:3" s="9" customFormat="1" ht="21.95" customHeight="1" x14ac:dyDescent="0.15"/>
    <row r="57275" spans="3:3" s="9" customFormat="1" ht="21.95" customHeight="1" x14ac:dyDescent="0.15"/>
    <row r="57276" spans="3:3" s="9" customFormat="1" ht="21.95" customHeight="1" x14ac:dyDescent="0.15"/>
    <row r="57277" spans="3:3" s="9" customFormat="1" ht="21.95" customHeight="1" x14ac:dyDescent="0.15"/>
    <row r="57278" spans="3:3" s="8" customFormat="1" ht="21.95" customHeight="1" x14ac:dyDescent="0.15"/>
    <row r="57279" spans="3:3" s="8" customFormat="1" ht="21.95" customHeight="1" x14ac:dyDescent="0.15"/>
    <row r="57280" spans="3:3" s="8" customFormat="1" ht="21.95" customHeight="1" x14ac:dyDescent="0.15">
      <c r="C57280" s="101"/>
    </row>
    <row r="57281" spans="3:3" s="8" customFormat="1" ht="21.95" customHeight="1" x14ac:dyDescent="0.15">
      <c r="C57281" s="101"/>
    </row>
    <row r="57282" spans="3:3" s="8" customFormat="1" ht="21.95" customHeight="1" x14ac:dyDescent="0.15"/>
    <row r="57283" spans="3:3" s="8" customFormat="1" ht="21.95" customHeight="1" x14ac:dyDescent="0.15"/>
    <row r="57284" spans="3:3" s="8" customFormat="1" ht="21.95" customHeight="1" x14ac:dyDescent="0.15"/>
    <row r="57285" spans="3:3" s="8" customFormat="1" ht="21.95" customHeight="1" x14ac:dyDescent="0.15"/>
    <row r="57286" spans="3:3" s="8" customFormat="1" ht="21.95" customHeight="1" x14ac:dyDescent="0.15"/>
    <row r="57287" spans="3:3" s="8" customFormat="1" ht="21.95" customHeight="1" x14ac:dyDescent="0.15"/>
    <row r="57288" spans="3:3" s="8" customFormat="1" ht="21.95" customHeight="1" x14ac:dyDescent="0.15"/>
    <row r="57289" spans="3:3" s="9" customFormat="1" ht="21.95" customHeight="1" x14ac:dyDescent="0.15"/>
    <row r="57290" spans="3:3" s="9" customFormat="1" ht="21.95" customHeight="1" x14ac:dyDescent="0.15"/>
    <row r="57291" spans="3:3" s="9" customFormat="1" ht="21.95" customHeight="1" x14ac:dyDescent="0.15"/>
    <row r="57292" spans="3:3" s="9" customFormat="1" ht="21.95" customHeight="1" x14ac:dyDescent="0.15"/>
    <row r="57293" spans="3:3" s="8" customFormat="1" ht="21.95" customHeight="1" x14ac:dyDescent="0.15"/>
    <row r="57294" spans="3:3" s="8" customFormat="1" ht="21.95" customHeight="1" x14ac:dyDescent="0.15"/>
    <row r="57295" spans="3:3" s="8" customFormat="1" ht="21.95" customHeight="1" x14ac:dyDescent="0.15"/>
    <row r="57296" spans="3:3" s="8" customFormat="1" ht="21.95" customHeight="1" x14ac:dyDescent="0.15"/>
    <row r="57297" s="8" customFormat="1" ht="21.95" customHeight="1" x14ac:dyDescent="0.15"/>
    <row r="57298" s="8" customFormat="1" ht="21.95" customHeight="1" x14ac:dyDescent="0.15"/>
    <row r="57299" s="8" customFormat="1" ht="21.95" customHeight="1" x14ac:dyDescent="0.15"/>
    <row r="57300" s="8" customFormat="1" ht="21.95" customHeight="1" x14ac:dyDescent="0.15"/>
    <row r="57301" s="8" customFormat="1" ht="21.95" customHeight="1" x14ac:dyDescent="0.15"/>
    <row r="57302" s="8" customFormat="1" ht="21.95" customHeight="1" x14ac:dyDescent="0.15"/>
    <row r="57303" s="8" customFormat="1" ht="21.95" customHeight="1" x14ac:dyDescent="0.15"/>
    <row r="57304" s="8" customFormat="1" ht="32.1" customHeight="1" x14ac:dyDescent="0.15"/>
    <row r="57305" s="8" customFormat="1" ht="32.1" customHeight="1" x14ac:dyDescent="0.15"/>
    <row r="57306" s="8" customFormat="1" ht="32.1" customHeight="1" x14ac:dyDescent="0.15"/>
    <row r="57307" s="8" customFormat="1" ht="32.1" customHeight="1" x14ac:dyDescent="0.15"/>
    <row r="57308" s="8" customFormat="1" ht="32.1" customHeight="1" x14ac:dyDescent="0.15"/>
    <row r="57309" s="8" customFormat="1" ht="32.1" customHeight="1" x14ac:dyDescent="0.15"/>
    <row r="57310" s="9" customFormat="1" ht="32.1" customHeight="1" x14ac:dyDescent="0.15"/>
    <row r="57311" s="9" customFormat="1" ht="32.1" customHeight="1" x14ac:dyDescent="0.15"/>
    <row r="57312" s="9" customFormat="1" ht="32.1" customHeight="1" x14ac:dyDescent="0.15"/>
    <row r="57313" s="9" customFormat="1" ht="32.1" customHeight="1" x14ac:dyDescent="0.15"/>
    <row r="57314" s="9" customFormat="1" ht="21.95" customHeight="1" x14ac:dyDescent="0.15"/>
    <row r="57315" s="9" customFormat="1" ht="54" customHeight="1" x14ac:dyDescent="0.15"/>
    <row r="57316" s="9" customFormat="1" ht="21.95" customHeight="1" x14ac:dyDescent="0.15"/>
    <row r="57317" s="9" customFormat="1" ht="21.95" customHeight="1" x14ac:dyDescent="0.15"/>
    <row r="57318" s="9" customFormat="1" ht="21.95" customHeight="1" x14ac:dyDescent="0.15"/>
    <row r="57319" s="9" customFormat="1" ht="21.95" customHeight="1" x14ac:dyDescent="0.15"/>
    <row r="57320" s="9" customFormat="1" ht="21.95" customHeight="1" x14ac:dyDescent="0.15"/>
    <row r="57321" s="9" customFormat="1" ht="21.95" customHeight="1" x14ac:dyDescent="0.15"/>
    <row r="57322" s="9" customFormat="1" ht="21.95" customHeight="1" x14ac:dyDescent="0.15"/>
    <row r="57323" s="9" customFormat="1" ht="21.95" customHeight="1" x14ac:dyDescent="0.15"/>
    <row r="57324" s="9" customFormat="1" ht="21.95" customHeight="1" x14ac:dyDescent="0.15"/>
    <row r="57325" s="9" customFormat="1" ht="21.95" customHeight="1" x14ac:dyDescent="0.15"/>
    <row r="57326" s="9" customFormat="1" ht="21.95" customHeight="1" x14ac:dyDescent="0.15"/>
    <row r="57327" s="9" customFormat="1" ht="21.95" customHeight="1" x14ac:dyDescent="0.15"/>
    <row r="57328" s="9" customFormat="1" ht="21.95" customHeight="1" x14ac:dyDescent="0.15"/>
    <row r="57329" s="9" customFormat="1" ht="21.95" customHeight="1" x14ac:dyDescent="0.15"/>
    <row r="57330" s="9" customFormat="1" ht="21.95" customHeight="1" x14ac:dyDescent="0.15"/>
    <row r="57331" s="9" customFormat="1" ht="21.95" customHeight="1" x14ac:dyDescent="0.15"/>
    <row r="57332" s="9" customFormat="1" ht="21.95" customHeight="1" x14ac:dyDescent="0.15"/>
    <row r="57333" s="9" customFormat="1" ht="21.95" customHeight="1" x14ac:dyDescent="0.15"/>
    <row r="57334" s="9" customFormat="1" ht="21.95" customHeight="1" x14ac:dyDescent="0.15"/>
    <row r="57335" s="9" customFormat="1" ht="21.95" customHeight="1" x14ac:dyDescent="0.15"/>
    <row r="57336" s="9" customFormat="1" ht="21.95" customHeight="1" x14ac:dyDescent="0.15"/>
    <row r="57337" s="9" customFormat="1" ht="21.95" customHeight="1" x14ac:dyDescent="0.15"/>
    <row r="57338" s="9" customFormat="1" ht="21.95" customHeight="1" x14ac:dyDescent="0.15"/>
    <row r="57339" s="9" customFormat="1" ht="21.95" customHeight="1" x14ac:dyDescent="0.15"/>
    <row r="57340" s="9" customFormat="1" ht="21.95" customHeight="1" x14ac:dyDescent="0.15"/>
    <row r="57341" s="9" customFormat="1" ht="21.95" customHeight="1" x14ac:dyDescent="0.15"/>
    <row r="57342" s="9" customFormat="1" ht="21.95" customHeight="1" x14ac:dyDescent="0.15"/>
    <row r="57343" s="9" customFormat="1" ht="21.95" customHeight="1" x14ac:dyDescent="0.15"/>
    <row r="57344" s="9" customFormat="1" ht="21.95" customHeight="1" x14ac:dyDescent="0.15"/>
    <row r="57345" s="9" customFormat="1" ht="21.95" customHeight="1" x14ac:dyDescent="0.15"/>
    <row r="57346" s="9" customFormat="1" ht="21.95" customHeight="1" x14ac:dyDescent="0.15"/>
    <row r="57347" s="9" customFormat="1" ht="21.95" customHeight="1" x14ac:dyDescent="0.15"/>
    <row r="57348" s="9" customFormat="1" ht="21.95" customHeight="1" x14ac:dyDescent="0.15"/>
    <row r="57349" s="9" customFormat="1" ht="21.95" customHeight="1" x14ac:dyDescent="0.15"/>
    <row r="57350" s="9" customFormat="1" ht="21.95" customHeight="1" x14ac:dyDescent="0.15"/>
    <row r="57351" s="9" customFormat="1" ht="21.95" customHeight="1" x14ac:dyDescent="0.15"/>
    <row r="57352" s="9" customFormat="1" ht="21.95" customHeight="1" x14ac:dyDescent="0.15"/>
    <row r="57353" s="9" customFormat="1" ht="21.95" customHeight="1" x14ac:dyDescent="0.15"/>
    <row r="57354" s="9" customFormat="1" ht="21.95" customHeight="1" x14ac:dyDescent="0.15"/>
    <row r="57355" s="9" customFormat="1" ht="21.95" customHeight="1" x14ac:dyDescent="0.15"/>
    <row r="57356" s="9" customFormat="1" ht="21.95" customHeight="1" x14ac:dyDescent="0.15"/>
    <row r="57357" s="9" customFormat="1" ht="21.95" customHeight="1" x14ac:dyDescent="0.15"/>
    <row r="57358" s="9" customFormat="1" ht="21.95" customHeight="1" x14ac:dyDescent="0.15"/>
    <row r="57359" s="9" customFormat="1" ht="21.95" customHeight="1" x14ac:dyDescent="0.15"/>
    <row r="57360" s="9" customFormat="1" ht="21.95" customHeight="1" x14ac:dyDescent="0.15"/>
    <row r="57361" s="9" customFormat="1" ht="21.95" customHeight="1" x14ac:dyDescent="0.15"/>
    <row r="57362" s="9" customFormat="1" ht="21.95" customHeight="1" x14ac:dyDescent="0.15"/>
    <row r="57363" s="9" customFormat="1" ht="21.95" customHeight="1" x14ac:dyDescent="0.15"/>
    <row r="57364" s="9" customFormat="1" ht="21.95" customHeight="1" x14ac:dyDescent="0.15"/>
    <row r="57365" s="9" customFormat="1" ht="21.95" customHeight="1" x14ac:dyDescent="0.15"/>
    <row r="57366" s="9" customFormat="1" ht="35.1" customHeight="1" x14ac:dyDescent="0.15"/>
    <row r="57367" s="9" customFormat="1" ht="21.95" customHeight="1" x14ac:dyDescent="0.15"/>
    <row r="57368" s="9" customFormat="1" ht="21.95" customHeight="1" x14ac:dyDescent="0.15"/>
    <row r="57369" s="9" customFormat="1" ht="21.95" customHeight="1" x14ac:dyDescent="0.15"/>
    <row r="57370" s="9" customFormat="1" ht="21.95" customHeight="1" x14ac:dyDescent="0.15"/>
    <row r="57371" s="9" customFormat="1" ht="21.95" customHeight="1" x14ac:dyDescent="0.15"/>
    <row r="57372" s="9" customFormat="1" ht="21.95" customHeight="1" x14ac:dyDescent="0.15"/>
    <row r="57373" s="9" customFormat="1" ht="21.95" customHeight="1" x14ac:dyDescent="0.15"/>
    <row r="57374" s="9" customFormat="1" ht="21.95" customHeight="1" x14ac:dyDescent="0.15"/>
    <row r="57375" s="9" customFormat="1" ht="21.95" customHeight="1" x14ac:dyDescent="0.15"/>
    <row r="57376" s="9" customFormat="1" ht="21.95" customHeight="1" x14ac:dyDescent="0.15"/>
    <row r="57377" spans="3:3" s="9" customFormat="1" ht="21.95" customHeight="1" x14ac:dyDescent="0.15"/>
    <row r="57378" spans="3:3" s="9" customFormat="1" ht="21.95" customHeight="1" x14ac:dyDescent="0.15"/>
    <row r="57379" spans="3:3" s="9" customFormat="1" ht="21.95" customHeight="1" x14ac:dyDescent="0.15"/>
    <row r="57380" spans="3:3" s="9" customFormat="1" ht="21.95" customHeight="1" x14ac:dyDescent="0.15"/>
    <row r="57381" spans="3:3" s="9" customFormat="1" ht="21.95" customHeight="1" x14ac:dyDescent="0.15"/>
    <row r="57382" spans="3:3" s="9" customFormat="1" ht="21.95" customHeight="1" x14ac:dyDescent="0.15"/>
    <row r="57383" spans="3:3" s="9" customFormat="1" ht="21.95" customHeight="1" x14ac:dyDescent="0.15"/>
    <row r="57384" spans="3:3" s="9" customFormat="1" ht="21.95" customHeight="1" x14ac:dyDescent="0.15"/>
    <row r="57385" spans="3:3" s="9" customFormat="1" ht="21.95" customHeight="1" x14ac:dyDescent="0.15"/>
    <row r="57386" spans="3:3" s="9" customFormat="1" ht="21.95" customHeight="1" x14ac:dyDescent="0.15"/>
    <row r="57387" spans="3:3" s="9" customFormat="1" ht="21.95" customHeight="1" x14ac:dyDescent="0.15"/>
    <row r="57388" spans="3:3" s="9" customFormat="1" ht="21.95" customHeight="1" x14ac:dyDescent="0.15"/>
    <row r="57389" spans="3:3" s="9" customFormat="1" ht="21.95" customHeight="1" x14ac:dyDescent="0.15"/>
    <row r="57390" spans="3:3" s="8" customFormat="1" ht="21.95" customHeight="1" x14ac:dyDescent="0.15"/>
    <row r="57391" spans="3:3" s="8" customFormat="1" ht="21.95" customHeight="1" x14ac:dyDescent="0.15"/>
    <row r="57392" spans="3:3" s="8" customFormat="1" ht="21.95" customHeight="1" x14ac:dyDescent="0.15">
      <c r="C57392" s="101"/>
    </row>
    <row r="57393" spans="3:3" s="8" customFormat="1" ht="21.95" customHeight="1" x14ac:dyDescent="0.15">
      <c r="C57393" s="101"/>
    </row>
    <row r="57394" spans="3:3" s="8" customFormat="1" ht="21.95" customHeight="1" x14ac:dyDescent="0.15"/>
    <row r="57395" spans="3:3" s="8" customFormat="1" ht="21.95" customHeight="1" x14ac:dyDescent="0.15"/>
    <row r="57396" spans="3:3" s="8" customFormat="1" ht="21.95" customHeight="1" x14ac:dyDescent="0.15"/>
    <row r="57397" spans="3:3" s="8" customFormat="1" ht="21.95" customHeight="1" x14ac:dyDescent="0.15"/>
    <row r="57398" spans="3:3" s="8" customFormat="1" ht="21.95" customHeight="1" x14ac:dyDescent="0.15"/>
    <row r="57399" spans="3:3" s="8" customFormat="1" ht="21.95" customHeight="1" x14ac:dyDescent="0.15"/>
    <row r="57400" spans="3:3" s="8" customFormat="1" ht="21.95" customHeight="1" x14ac:dyDescent="0.15"/>
    <row r="57401" spans="3:3" s="9" customFormat="1" ht="21.95" customHeight="1" x14ac:dyDescent="0.15"/>
    <row r="57402" spans="3:3" s="9" customFormat="1" ht="21.95" customHeight="1" x14ac:dyDescent="0.15"/>
    <row r="57403" spans="3:3" s="9" customFormat="1" ht="21.95" customHeight="1" x14ac:dyDescent="0.15"/>
    <row r="57404" spans="3:3" s="9" customFormat="1" ht="21.95" customHeight="1" x14ac:dyDescent="0.15"/>
    <row r="57405" spans="3:3" s="8" customFormat="1" ht="21.95" customHeight="1" x14ac:dyDescent="0.15"/>
    <row r="57406" spans="3:3" s="8" customFormat="1" ht="21.95" customHeight="1" x14ac:dyDescent="0.15"/>
    <row r="57407" spans="3:3" s="8" customFormat="1" ht="21.95" customHeight="1" x14ac:dyDescent="0.15"/>
    <row r="57408" spans="3:3" s="8" customFormat="1" ht="21.95" customHeight="1" x14ac:dyDescent="0.15"/>
    <row r="57409" s="8" customFormat="1" ht="21.95" customHeight="1" x14ac:dyDescent="0.15"/>
    <row r="57410" s="8" customFormat="1" ht="21.95" customHeight="1" x14ac:dyDescent="0.15"/>
    <row r="57411" s="8" customFormat="1" ht="21.95" customHeight="1" x14ac:dyDescent="0.15"/>
    <row r="57412" s="8" customFormat="1" ht="21.95" customHeight="1" x14ac:dyDescent="0.15"/>
    <row r="57413" s="8" customFormat="1" ht="21.95" customHeight="1" x14ac:dyDescent="0.15"/>
    <row r="57414" s="8" customFormat="1" ht="21.95" customHeight="1" x14ac:dyDescent="0.15"/>
    <row r="57415" s="8" customFormat="1" ht="21.95" customHeight="1" x14ac:dyDescent="0.15"/>
    <row r="57416" s="8" customFormat="1" ht="32.1" customHeight="1" x14ac:dyDescent="0.15"/>
    <row r="57417" s="8" customFormat="1" ht="32.1" customHeight="1" x14ac:dyDescent="0.15"/>
    <row r="57418" s="8" customFormat="1" ht="32.1" customHeight="1" x14ac:dyDescent="0.15"/>
    <row r="57419" s="8" customFormat="1" ht="32.1" customHeight="1" x14ac:dyDescent="0.15"/>
    <row r="57420" s="8" customFormat="1" ht="32.1" customHeight="1" x14ac:dyDescent="0.15"/>
    <row r="57421" s="8" customFormat="1" ht="32.1" customHeight="1" x14ac:dyDescent="0.15"/>
    <row r="57422" s="9" customFormat="1" ht="32.1" customHeight="1" x14ac:dyDescent="0.15"/>
    <row r="57423" s="9" customFormat="1" ht="32.1" customHeight="1" x14ac:dyDescent="0.15"/>
    <row r="57424" s="9" customFormat="1" ht="32.1" customHeight="1" x14ac:dyDescent="0.15"/>
    <row r="57425" s="9" customFormat="1" ht="32.1" customHeight="1" x14ac:dyDescent="0.15"/>
    <row r="57426" s="9" customFormat="1" ht="21.95" customHeight="1" x14ac:dyDescent="0.15"/>
    <row r="57427" s="9" customFormat="1" ht="54" customHeight="1" x14ac:dyDescent="0.15"/>
    <row r="57428" s="9" customFormat="1" ht="21.95" customHeight="1" x14ac:dyDescent="0.15"/>
    <row r="57429" s="9" customFormat="1" ht="21.95" customHeight="1" x14ac:dyDescent="0.15"/>
    <row r="57430" s="9" customFormat="1" ht="21.95" customHeight="1" x14ac:dyDescent="0.15"/>
    <row r="57431" s="9" customFormat="1" ht="21.95" customHeight="1" x14ac:dyDescent="0.15"/>
    <row r="57432" s="9" customFormat="1" ht="21.95" customHeight="1" x14ac:dyDescent="0.15"/>
    <row r="57433" s="9" customFormat="1" ht="21.95" customHeight="1" x14ac:dyDescent="0.15"/>
    <row r="57434" s="9" customFormat="1" ht="21.95" customHeight="1" x14ac:dyDescent="0.15"/>
    <row r="57435" s="9" customFormat="1" ht="21.95" customHeight="1" x14ac:dyDescent="0.15"/>
    <row r="57436" s="9" customFormat="1" ht="21.95" customHeight="1" x14ac:dyDescent="0.15"/>
    <row r="57437" s="9" customFormat="1" ht="21.95" customHeight="1" x14ac:dyDescent="0.15"/>
    <row r="57438" s="9" customFormat="1" ht="21.95" customHeight="1" x14ac:dyDescent="0.15"/>
    <row r="57439" s="9" customFormat="1" ht="21.95" customHeight="1" x14ac:dyDescent="0.15"/>
    <row r="57440" s="9" customFormat="1" ht="21.95" customHeight="1" x14ac:dyDescent="0.15"/>
    <row r="57441" s="9" customFormat="1" ht="21.95" customHeight="1" x14ac:dyDescent="0.15"/>
    <row r="57442" s="9" customFormat="1" ht="21.95" customHeight="1" x14ac:dyDescent="0.15"/>
    <row r="57443" s="9" customFormat="1" ht="21.95" customHeight="1" x14ac:dyDescent="0.15"/>
    <row r="57444" s="9" customFormat="1" ht="21.95" customHeight="1" x14ac:dyDescent="0.15"/>
    <row r="57445" s="9" customFormat="1" ht="21.95" customHeight="1" x14ac:dyDescent="0.15"/>
    <row r="57446" s="9" customFormat="1" ht="21.95" customHeight="1" x14ac:dyDescent="0.15"/>
    <row r="57447" s="9" customFormat="1" ht="21.95" customHeight="1" x14ac:dyDescent="0.15"/>
    <row r="57448" s="9" customFormat="1" ht="21.95" customHeight="1" x14ac:dyDescent="0.15"/>
    <row r="57449" s="9" customFormat="1" ht="21.95" customHeight="1" x14ac:dyDescent="0.15"/>
    <row r="57450" s="9" customFormat="1" ht="21.95" customHeight="1" x14ac:dyDescent="0.15"/>
    <row r="57451" s="9" customFormat="1" ht="21.95" customHeight="1" x14ac:dyDescent="0.15"/>
    <row r="57452" s="9" customFormat="1" ht="21.95" customHeight="1" x14ac:dyDescent="0.15"/>
    <row r="57453" s="9" customFormat="1" ht="21.95" customHeight="1" x14ac:dyDescent="0.15"/>
    <row r="57454" s="9" customFormat="1" ht="21.95" customHeight="1" x14ac:dyDescent="0.15"/>
    <row r="57455" s="9" customFormat="1" ht="21.95" customHeight="1" x14ac:dyDescent="0.15"/>
    <row r="57456" s="9" customFormat="1" ht="21.95" customHeight="1" x14ac:dyDescent="0.15"/>
    <row r="57457" s="9" customFormat="1" ht="21.95" customHeight="1" x14ac:dyDescent="0.15"/>
    <row r="57458" s="9" customFormat="1" ht="21.95" customHeight="1" x14ac:dyDescent="0.15"/>
    <row r="57459" s="9" customFormat="1" ht="21.95" customHeight="1" x14ac:dyDescent="0.15"/>
    <row r="57460" s="9" customFormat="1" ht="21.95" customHeight="1" x14ac:dyDescent="0.15"/>
    <row r="57461" s="9" customFormat="1" ht="21.95" customHeight="1" x14ac:dyDescent="0.15"/>
    <row r="57462" s="9" customFormat="1" ht="21.95" customHeight="1" x14ac:dyDescent="0.15"/>
    <row r="57463" s="9" customFormat="1" ht="21.95" customHeight="1" x14ac:dyDescent="0.15"/>
    <row r="57464" s="9" customFormat="1" ht="21.95" customHeight="1" x14ac:dyDescent="0.15"/>
    <row r="57465" s="9" customFormat="1" ht="21.95" customHeight="1" x14ac:dyDescent="0.15"/>
    <row r="57466" s="9" customFormat="1" ht="21.95" customHeight="1" x14ac:dyDescent="0.15"/>
    <row r="57467" s="9" customFormat="1" ht="21.95" customHeight="1" x14ac:dyDescent="0.15"/>
    <row r="57468" s="9" customFormat="1" ht="21.95" customHeight="1" x14ac:dyDescent="0.15"/>
    <row r="57469" s="9" customFormat="1" ht="21.95" customHeight="1" x14ac:dyDescent="0.15"/>
    <row r="57470" s="9" customFormat="1" ht="21.95" customHeight="1" x14ac:dyDescent="0.15"/>
    <row r="57471" s="9" customFormat="1" ht="21.95" customHeight="1" x14ac:dyDescent="0.15"/>
    <row r="57472" s="9" customFormat="1" ht="21.95" customHeight="1" x14ac:dyDescent="0.15"/>
    <row r="57473" s="9" customFormat="1" ht="21.95" customHeight="1" x14ac:dyDescent="0.15"/>
    <row r="57474" s="9" customFormat="1" ht="21.95" customHeight="1" x14ac:dyDescent="0.15"/>
    <row r="57475" s="9" customFormat="1" ht="21.95" customHeight="1" x14ac:dyDescent="0.15"/>
    <row r="57476" s="9" customFormat="1" ht="21.95" customHeight="1" x14ac:dyDescent="0.15"/>
    <row r="57477" s="9" customFormat="1" ht="21.95" customHeight="1" x14ac:dyDescent="0.15"/>
    <row r="57478" s="9" customFormat="1" ht="35.1" customHeight="1" x14ac:dyDescent="0.15"/>
    <row r="57479" s="9" customFormat="1" ht="21.95" customHeight="1" x14ac:dyDescent="0.15"/>
    <row r="57480" s="9" customFormat="1" ht="21.95" customHeight="1" x14ac:dyDescent="0.15"/>
    <row r="57481" s="9" customFormat="1" ht="21.95" customHeight="1" x14ac:dyDescent="0.15"/>
    <row r="57482" s="9" customFormat="1" ht="21.95" customHeight="1" x14ac:dyDescent="0.15"/>
    <row r="57483" s="9" customFormat="1" ht="21.95" customHeight="1" x14ac:dyDescent="0.15"/>
    <row r="57484" s="9" customFormat="1" ht="21.95" customHeight="1" x14ac:dyDescent="0.15"/>
    <row r="57485" s="9" customFormat="1" ht="21.95" customHeight="1" x14ac:dyDescent="0.15"/>
    <row r="57486" s="9" customFormat="1" ht="21.95" customHeight="1" x14ac:dyDescent="0.15"/>
    <row r="57487" s="9" customFormat="1" ht="21.95" customHeight="1" x14ac:dyDescent="0.15"/>
    <row r="57488" s="9" customFormat="1" ht="21.95" customHeight="1" x14ac:dyDescent="0.15"/>
    <row r="57489" spans="3:3" s="9" customFormat="1" ht="21.95" customHeight="1" x14ac:dyDescent="0.15"/>
    <row r="57490" spans="3:3" s="9" customFormat="1" ht="21.95" customHeight="1" x14ac:dyDescent="0.15"/>
    <row r="57491" spans="3:3" s="9" customFormat="1" ht="21.95" customHeight="1" x14ac:dyDescent="0.15"/>
    <row r="57492" spans="3:3" s="9" customFormat="1" ht="21.95" customHeight="1" x14ac:dyDescent="0.15"/>
    <row r="57493" spans="3:3" s="9" customFormat="1" ht="21.95" customHeight="1" x14ac:dyDescent="0.15"/>
    <row r="57494" spans="3:3" s="9" customFormat="1" ht="21.95" customHeight="1" x14ac:dyDescent="0.15"/>
    <row r="57495" spans="3:3" s="9" customFormat="1" ht="21.95" customHeight="1" x14ac:dyDescent="0.15"/>
    <row r="57496" spans="3:3" s="9" customFormat="1" ht="21.95" customHeight="1" x14ac:dyDescent="0.15"/>
    <row r="57497" spans="3:3" s="9" customFormat="1" ht="21.95" customHeight="1" x14ac:dyDescent="0.15"/>
    <row r="57498" spans="3:3" s="9" customFormat="1" ht="21.95" customHeight="1" x14ac:dyDescent="0.15"/>
    <row r="57499" spans="3:3" s="9" customFormat="1" ht="21.95" customHeight="1" x14ac:dyDescent="0.15"/>
    <row r="57500" spans="3:3" s="9" customFormat="1" ht="21.95" customHeight="1" x14ac:dyDescent="0.15"/>
    <row r="57501" spans="3:3" s="9" customFormat="1" ht="21.95" customHeight="1" x14ac:dyDescent="0.15"/>
    <row r="57502" spans="3:3" s="8" customFormat="1" ht="21.95" customHeight="1" x14ac:dyDescent="0.15"/>
    <row r="57503" spans="3:3" s="8" customFormat="1" ht="21.95" customHeight="1" x14ac:dyDescent="0.15"/>
    <row r="57504" spans="3:3" s="8" customFormat="1" ht="21.95" customHeight="1" x14ac:dyDescent="0.15">
      <c r="C57504" s="101"/>
    </row>
    <row r="57505" spans="3:3" s="8" customFormat="1" ht="21.95" customHeight="1" x14ac:dyDescent="0.15">
      <c r="C57505" s="101"/>
    </row>
    <row r="57506" spans="3:3" s="8" customFormat="1" ht="21.95" customHeight="1" x14ac:dyDescent="0.15"/>
    <row r="57507" spans="3:3" s="8" customFormat="1" ht="21.95" customHeight="1" x14ac:dyDescent="0.15"/>
    <row r="57508" spans="3:3" s="8" customFormat="1" ht="21.95" customHeight="1" x14ac:dyDescent="0.15"/>
    <row r="57509" spans="3:3" s="8" customFormat="1" ht="21.95" customHeight="1" x14ac:dyDescent="0.15"/>
    <row r="57510" spans="3:3" s="8" customFormat="1" ht="21.95" customHeight="1" x14ac:dyDescent="0.15"/>
    <row r="57511" spans="3:3" s="8" customFormat="1" ht="21.95" customHeight="1" x14ac:dyDescent="0.15"/>
    <row r="57512" spans="3:3" s="8" customFormat="1" ht="21.95" customHeight="1" x14ac:dyDescent="0.15"/>
    <row r="57513" spans="3:3" s="9" customFormat="1" ht="21.95" customHeight="1" x14ac:dyDescent="0.15"/>
    <row r="57514" spans="3:3" s="9" customFormat="1" ht="21.95" customHeight="1" x14ac:dyDescent="0.15"/>
    <row r="57515" spans="3:3" s="9" customFormat="1" ht="21.95" customHeight="1" x14ac:dyDescent="0.15"/>
    <row r="57516" spans="3:3" s="9" customFormat="1" ht="21.95" customHeight="1" x14ac:dyDescent="0.15"/>
    <row r="57517" spans="3:3" s="8" customFormat="1" ht="21.95" customHeight="1" x14ac:dyDescent="0.15"/>
    <row r="57518" spans="3:3" s="8" customFormat="1" ht="21.95" customHeight="1" x14ac:dyDescent="0.15"/>
    <row r="57519" spans="3:3" s="8" customFormat="1" ht="21.95" customHeight="1" x14ac:dyDescent="0.15"/>
    <row r="57520" spans="3:3" s="8" customFormat="1" ht="21.95" customHeight="1" x14ac:dyDescent="0.15"/>
    <row r="57521" s="8" customFormat="1" ht="21.95" customHeight="1" x14ac:dyDescent="0.15"/>
    <row r="57522" s="8" customFormat="1" ht="21.95" customHeight="1" x14ac:dyDescent="0.15"/>
    <row r="57523" s="8" customFormat="1" ht="21.95" customHeight="1" x14ac:dyDescent="0.15"/>
    <row r="57524" s="8" customFormat="1" ht="21.95" customHeight="1" x14ac:dyDescent="0.15"/>
    <row r="57525" s="8" customFormat="1" ht="21.95" customHeight="1" x14ac:dyDescent="0.15"/>
    <row r="57526" s="8" customFormat="1" ht="21.95" customHeight="1" x14ac:dyDescent="0.15"/>
    <row r="57527" s="8" customFormat="1" ht="21.95" customHeight="1" x14ac:dyDescent="0.15"/>
    <row r="57528" s="8" customFormat="1" ht="32.1" customHeight="1" x14ac:dyDescent="0.15"/>
    <row r="57529" s="8" customFormat="1" ht="32.1" customHeight="1" x14ac:dyDescent="0.15"/>
    <row r="57530" s="8" customFormat="1" ht="32.1" customHeight="1" x14ac:dyDescent="0.15"/>
    <row r="57531" s="8" customFormat="1" ht="32.1" customHeight="1" x14ac:dyDescent="0.15"/>
    <row r="57532" s="8" customFormat="1" ht="32.1" customHeight="1" x14ac:dyDescent="0.15"/>
    <row r="57533" s="8" customFormat="1" ht="32.1" customHeight="1" x14ac:dyDescent="0.15"/>
    <row r="57534" s="9" customFormat="1" ht="32.1" customHeight="1" x14ac:dyDescent="0.15"/>
    <row r="57535" s="9" customFormat="1" ht="32.1" customHeight="1" x14ac:dyDescent="0.15"/>
    <row r="57536" s="9" customFormat="1" ht="32.1" customHeight="1" x14ac:dyDescent="0.15"/>
    <row r="57537" s="9" customFormat="1" ht="32.1" customHeight="1" x14ac:dyDescent="0.15"/>
    <row r="57538" s="9" customFormat="1" ht="21.95" customHeight="1" x14ac:dyDescent="0.15"/>
    <row r="57539" s="9" customFormat="1" ht="54" customHeight="1" x14ac:dyDescent="0.15"/>
    <row r="57540" s="9" customFormat="1" ht="21.95" customHeight="1" x14ac:dyDescent="0.15"/>
    <row r="57541" s="9" customFormat="1" ht="21.95" customHeight="1" x14ac:dyDescent="0.15"/>
    <row r="57542" s="9" customFormat="1" ht="21.95" customHeight="1" x14ac:dyDescent="0.15"/>
    <row r="57543" s="9" customFormat="1" ht="21.95" customHeight="1" x14ac:dyDescent="0.15"/>
    <row r="57544" s="9" customFormat="1" ht="21.95" customHeight="1" x14ac:dyDescent="0.15"/>
    <row r="57545" s="9" customFormat="1" ht="21.95" customHeight="1" x14ac:dyDescent="0.15"/>
    <row r="57546" s="9" customFormat="1" ht="21.95" customHeight="1" x14ac:dyDescent="0.15"/>
    <row r="57547" s="9" customFormat="1" ht="21.95" customHeight="1" x14ac:dyDescent="0.15"/>
    <row r="57548" s="9" customFormat="1" ht="21.95" customHeight="1" x14ac:dyDescent="0.15"/>
    <row r="57549" s="9" customFormat="1" ht="21.95" customHeight="1" x14ac:dyDescent="0.15"/>
    <row r="57550" s="9" customFormat="1" ht="21.95" customHeight="1" x14ac:dyDescent="0.15"/>
    <row r="57551" s="9" customFormat="1" ht="21.95" customHeight="1" x14ac:dyDescent="0.15"/>
    <row r="57552" s="9" customFormat="1" ht="21.95" customHeight="1" x14ac:dyDescent="0.15"/>
    <row r="57553" s="9" customFormat="1" ht="21.95" customHeight="1" x14ac:dyDescent="0.15"/>
    <row r="57554" s="9" customFormat="1" ht="21.95" customHeight="1" x14ac:dyDescent="0.15"/>
    <row r="57555" s="9" customFormat="1" ht="21.95" customHeight="1" x14ac:dyDescent="0.15"/>
    <row r="57556" s="9" customFormat="1" ht="21.95" customHeight="1" x14ac:dyDescent="0.15"/>
    <row r="57557" s="9" customFormat="1" ht="21.95" customHeight="1" x14ac:dyDescent="0.15"/>
    <row r="57558" s="9" customFormat="1" ht="21.95" customHeight="1" x14ac:dyDescent="0.15"/>
    <row r="57559" s="9" customFormat="1" ht="21.95" customHeight="1" x14ac:dyDescent="0.15"/>
    <row r="57560" s="9" customFormat="1" ht="21.95" customHeight="1" x14ac:dyDescent="0.15"/>
    <row r="57561" s="9" customFormat="1" ht="21.95" customHeight="1" x14ac:dyDescent="0.15"/>
    <row r="57562" s="9" customFormat="1" ht="21.95" customHeight="1" x14ac:dyDescent="0.15"/>
    <row r="57563" s="9" customFormat="1" ht="21.95" customHeight="1" x14ac:dyDescent="0.15"/>
    <row r="57564" s="9" customFormat="1" ht="21.95" customHeight="1" x14ac:dyDescent="0.15"/>
    <row r="57565" s="9" customFormat="1" ht="21.95" customHeight="1" x14ac:dyDescent="0.15"/>
    <row r="57566" s="9" customFormat="1" ht="21.95" customHeight="1" x14ac:dyDescent="0.15"/>
    <row r="57567" s="9" customFormat="1" ht="21.95" customHeight="1" x14ac:dyDescent="0.15"/>
    <row r="57568" s="9" customFormat="1" ht="21.95" customHeight="1" x14ac:dyDescent="0.15"/>
    <row r="57569" s="9" customFormat="1" ht="21.95" customHeight="1" x14ac:dyDescent="0.15"/>
    <row r="57570" s="9" customFormat="1" ht="21.95" customHeight="1" x14ac:dyDescent="0.15"/>
    <row r="57571" s="9" customFormat="1" ht="21.95" customHeight="1" x14ac:dyDescent="0.15"/>
    <row r="57572" s="9" customFormat="1" ht="21.95" customHeight="1" x14ac:dyDescent="0.15"/>
    <row r="57573" s="9" customFormat="1" ht="21.95" customHeight="1" x14ac:dyDescent="0.15"/>
    <row r="57574" s="9" customFormat="1" ht="21.95" customHeight="1" x14ac:dyDescent="0.15"/>
    <row r="57575" s="9" customFormat="1" ht="21.95" customHeight="1" x14ac:dyDescent="0.15"/>
    <row r="57576" s="9" customFormat="1" ht="21.95" customHeight="1" x14ac:dyDescent="0.15"/>
    <row r="57577" s="9" customFormat="1" ht="21.95" customHeight="1" x14ac:dyDescent="0.15"/>
    <row r="57578" s="9" customFormat="1" ht="21.95" customHeight="1" x14ac:dyDescent="0.15"/>
    <row r="57579" s="9" customFormat="1" ht="21.95" customHeight="1" x14ac:dyDescent="0.15"/>
    <row r="57580" s="9" customFormat="1" ht="21.95" customHeight="1" x14ac:dyDescent="0.15"/>
    <row r="57581" s="9" customFormat="1" ht="21.95" customHeight="1" x14ac:dyDescent="0.15"/>
    <row r="57582" s="9" customFormat="1" ht="21.95" customHeight="1" x14ac:dyDescent="0.15"/>
    <row r="57583" s="9" customFormat="1" ht="21.95" customHeight="1" x14ac:dyDescent="0.15"/>
    <row r="57584" s="9" customFormat="1" ht="21.95" customHeight="1" x14ac:dyDescent="0.15"/>
    <row r="57585" s="9" customFormat="1" ht="21.95" customHeight="1" x14ac:dyDescent="0.15"/>
    <row r="57586" s="9" customFormat="1" ht="21.95" customHeight="1" x14ac:dyDescent="0.15"/>
    <row r="57587" s="9" customFormat="1" ht="21.95" customHeight="1" x14ac:dyDescent="0.15"/>
    <row r="57588" s="9" customFormat="1" ht="21.95" customHeight="1" x14ac:dyDescent="0.15"/>
    <row r="57589" s="9" customFormat="1" ht="21.95" customHeight="1" x14ac:dyDescent="0.15"/>
    <row r="57590" s="9" customFormat="1" ht="35.1" customHeight="1" x14ac:dyDescent="0.15"/>
    <row r="57591" s="9" customFormat="1" ht="21.95" customHeight="1" x14ac:dyDescent="0.15"/>
    <row r="57592" s="9" customFormat="1" ht="21.95" customHeight="1" x14ac:dyDescent="0.15"/>
    <row r="57593" s="9" customFormat="1" ht="21.95" customHeight="1" x14ac:dyDescent="0.15"/>
    <row r="57594" s="9" customFormat="1" ht="21.95" customHeight="1" x14ac:dyDescent="0.15"/>
    <row r="57595" s="9" customFormat="1" ht="21.95" customHeight="1" x14ac:dyDescent="0.15"/>
    <row r="57596" s="9" customFormat="1" ht="21.95" customHeight="1" x14ac:dyDescent="0.15"/>
    <row r="57597" s="9" customFormat="1" ht="21.95" customHeight="1" x14ac:dyDescent="0.15"/>
    <row r="57598" s="9" customFormat="1" ht="21.95" customHeight="1" x14ac:dyDescent="0.15"/>
    <row r="57599" s="9" customFormat="1" ht="21.95" customHeight="1" x14ac:dyDescent="0.15"/>
    <row r="57600" s="9" customFormat="1" ht="21.95" customHeight="1" x14ac:dyDescent="0.15"/>
    <row r="57601" spans="3:3" s="9" customFormat="1" ht="21.95" customHeight="1" x14ac:dyDescent="0.15"/>
    <row r="57602" spans="3:3" s="9" customFormat="1" ht="21.95" customHeight="1" x14ac:dyDescent="0.15"/>
    <row r="57603" spans="3:3" s="9" customFormat="1" ht="21.95" customHeight="1" x14ac:dyDescent="0.15"/>
    <row r="57604" spans="3:3" s="9" customFormat="1" ht="21.95" customHeight="1" x14ac:dyDescent="0.15"/>
    <row r="57605" spans="3:3" s="9" customFormat="1" ht="21.95" customHeight="1" x14ac:dyDescent="0.15"/>
    <row r="57606" spans="3:3" s="9" customFormat="1" ht="21.95" customHeight="1" x14ac:dyDescent="0.15"/>
    <row r="57607" spans="3:3" s="9" customFormat="1" ht="21.95" customHeight="1" x14ac:dyDescent="0.15"/>
    <row r="57608" spans="3:3" s="9" customFormat="1" ht="21.95" customHeight="1" x14ac:dyDescent="0.15"/>
    <row r="57609" spans="3:3" s="9" customFormat="1" ht="21.95" customHeight="1" x14ac:dyDescent="0.15"/>
    <row r="57610" spans="3:3" s="9" customFormat="1" ht="21.95" customHeight="1" x14ac:dyDescent="0.15"/>
    <row r="57611" spans="3:3" s="9" customFormat="1" ht="21.95" customHeight="1" x14ac:dyDescent="0.15"/>
    <row r="57612" spans="3:3" s="9" customFormat="1" ht="21.95" customHeight="1" x14ac:dyDescent="0.15"/>
    <row r="57613" spans="3:3" s="9" customFormat="1" ht="21.95" customHeight="1" x14ac:dyDescent="0.15"/>
    <row r="57614" spans="3:3" s="8" customFormat="1" ht="21.95" customHeight="1" x14ac:dyDescent="0.15"/>
    <row r="57615" spans="3:3" s="8" customFormat="1" ht="21.95" customHeight="1" x14ac:dyDescent="0.15"/>
    <row r="57616" spans="3:3" s="8" customFormat="1" ht="21.95" customHeight="1" x14ac:dyDescent="0.15">
      <c r="C57616" s="101"/>
    </row>
    <row r="57617" spans="3:3" s="8" customFormat="1" ht="21.95" customHeight="1" x14ac:dyDescent="0.15">
      <c r="C57617" s="101"/>
    </row>
    <row r="57618" spans="3:3" s="8" customFormat="1" ht="21.95" customHeight="1" x14ac:dyDescent="0.15"/>
    <row r="57619" spans="3:3" s="8" customFormat="1" ht="21.95" customHeight="1" x14ac:dyDescent="0.15"/>
    <row r="57620" spans="3:3" s="8" customFormat="1" ht="21.95" customHeight="1" x14ac:dyDescent="0.15"/>
    <row r="57621" spans="3:3" s="8" customFormat="1" ht="21.95" customHeight="1" x14ac:dyDescent="0.15"/>
    <row r="57622" spans="3:3" s="8" customFormat="1" ht="21.95" customHeight="1" x14ac:dyDescent="0.15"/>
    <row r="57623" spans="3:3" s="8" customFormat="1" ht="21.95" customHeight="1" x14ac:dyDescent="0.15"/>
    <row r="57624" spans="3:3" s="8" customFormat="1" ht="21.95" customHeight="1" x14ac:dyDescent="0.15"/>
    <row r="57625" spans="3:3" s="9" customFormat="1" ht="21.95" customHeight="1" x14ac:dyDescent="0.15"/>
    <row r="57626" spans="3:3" s="9" customFormat="1" ht="21.95" customHeight="1" x14ac:dyDescent="0.15"/>
    <row r="57627" spans="3:3" s="9" customFormat="1" ht="21.95" customHeight="1" x14ac:dyDescent="0.15"/>
    <row r="57628" spans="3:3" s="9" customFormat="1" ht="21.95" customHeight="1" x14ac:dyDescent="0.15"/>
    <row r="57629" spans="3:3" s="8" customFormat="1" ht="21.95" customHeight="1" x14ac:dyDescent="0.15"/>
    <row r="57630" spans="3:3" s="8" customFormat="1" ht="21.95" customHeight="1" x14ac:dyDescent="0.15"/>
    <row r="57631" spans="3:3" s="8" customFormat="1" ht="21.95" customHeight="1" x14ac:dyDescent="0.15"/>
    <row r="57632" spans="3:3" s="8" customFormat="1" ht="21.95" customHeight="1" x14ac:dyDescent="0.15"/>
    <row r="57633" s="8" customFormat="1" ht="21.95" customHeight="1" x14ac:dyDescent="0.15"/>
    <row r="57634" s="8" customFormat="1" ht="21.95" customHeight="1" x14ac:dyDescent="0.15"/>
    <row r="57635" s="8" customFormat="1" ht="21.95" customHeight="1" x14ac:dyDescent="0.15"/>
    <row r="57636" s="8" customFormat="1" ht="21.95" customHeight="1" x14ac:dyDescent="0.15"/>
    <row r="57637" s="8" customFormat="1" ht="21.95" customHeight="1" x14ac:dyDescent="0.15"/>
    <row r="57638" s="8" customFormat="1" ht="21.95" customHeight="1" x14ac:dyDescent="0.15"/>
    <row r="57639" s="8" customFormat="1" ht="21.95" customHeight="1" x14ac:dyDescent="0.15"/>
    <row r="57640" s="8" customFormat="1" ht="32.1" customHeight="1" x14ac:dyDescent="0.15"/>
    <row r="57641" s="8" customFormat="1" ht="32.1" customHeight="1" x14ac:dyDescent="0.15"/>
    <row r="57642" s="8" customFormat="1" ht="32.1" customHeight="1" x14ac:dyDescent="0.15"/>
    <row r="57643" s="8" customFormat="1" ht="32.1" customHeight="1" x14ac:dyDescent="0.15"/>
    <row r="57644" s="8" customFormat="1" ht="32.1" customHeight="1" x14ac:dyDescent="0.15"/>
    <row r="57645" s="8" customFormat="1" ht="32.1" customHeight="1" x14ac:dyDescent="0.15"/>
    <row r="57646" s="9" customFormat="1" ht="32.1" customHeight="1" x14ac:dyDescent="0.15"/>
    <row r="57647" s="9" customFormat="1" ht="32.1" customHeight="1" x14ac:dyDescent="0.15"/>
    <row r="57648" s="9" customFormat="1" ht="32.1" customHeight="1" x14ac:dyDescent="0.15"/>
    <row r="57649" s="9" customFormat="1" ht="32.1" customHeight="1" x14ac:dyDescent="0.15"/>
    <row r="57650" s="9" customFormat="1" ht="21.95" customHeight="1" x14ac:dyDescent="0.15"/>
    <row r="57651" s="9" customFormat="1" ht="54" customHeight="1" x14ac:dyDescent="0.15"/>
    <row r="57652" s="9" customFormat="1" ht="21.95" customHeight="1" x14ac:dyDescent="0.15"/>
    <row r="57653" s="9" customFormat="1" ht="21.95" customHeight="1" x14ac:dyDescent="0.15"/>
    <row r="57654" s="9" customFormat="1" ht="21.95" customHeight="1" x14ac:dyDescent="0.15"/>
    <row r="57655" s="9" customFormat="1" ht="21.95" customHeight="1" x14ac:dyDescent="0.15"/>
    <row r="57656" s="9" customFormat="1" ht="21.95" customHeight="1" x14ac:dyDescent="0.15"/>
    <row r="57657" s="9" customFormat="1" ht="21.95" customHeight="1" x14ac:dyDescent="0.15"/>
    <row r="57658" s="9" customFormat="1" ht="21.95" customHeight="1" x14ac:dyDescent="0.15"/>
    <row r="57659" s="9" customFormat="1" ht="21.95" customHeight="1" x14ac:dyDescent="0.15"/>
    <row r="57660" s="9" customFormat="1" ht="21.95" customHeight="1" x14ac:dyDescent="0.15"/>
    <row r="57661" s="9" customFormat="1" ht="21.95" customHeight="1" x14ac:dyDescent="0.15"/>
    <row r="57662" s="9" customFormat="1" ht="21.95" customHeight="1" x14ac:dyDescent="0.15"/>
    <row r="57663" s="9" customFormat="1" ht="21.95" customHeight="1" x14ac:dyDescent="0.15"/>
    <row r="57664" s="9" customFormat="1" ht="21.95" customHeight="1" x14ac:dyDescent="0.15"/>
    <row r="57665" s="9" customFormat="1" ht="21.95" customHeight="1" x14ac:dyDescent="0.15"/>
    <row r="57666" s="9" customFormat="1" ht="21.95" customHeight="1" x14ac:dyDescent="0.15"/>
    <row r="57667" s="9" customFormat="1" ht="21.95" customHeight="1" x14ac:dyDescent="0.15"/>
    <row r="57668" s="9" customFormat="1" ht="21.95" customHeight="1" x14ac:dyDescent="0.15"/>
    <row r="57669" s="9" customFormat="1" ht="21.95" customHeight="1" x14ac:dyDescent="0.15"/>
    <row r="57670" s="9" customFormat="1" ht="21.95" customHeight="1" x14ac:dyDescent="0.15"/>
    <row r="57671" s="9" customFormat="1" ht="21.95" customHeight="1" x14ac:dyDescent="0.15"/>
    <row r="57672" s="9" customFormat="1" ht="21.95" customHeight="1" x14ac:dyDescent="0.15"/>
    <row r="57673" s="9" customFormat="1" ht="21.95" customHeight="1" x14ac:dyDescent="0.15"/>
    <row r="57674" s="9" customFormat="1" ht="21.95" customHeight="1" x14ac:dyDescent="0.15"/>
    <row r="57675" s="9" customFormat="1" ht="21.95" customHeight="1" x14ac:dyDescent="0.15"/>
    <row r="57676" s="9" customFormat="1" ht="21.95" customHeight="1" x14ac:dyDescent="0.15"/>
    <row r="57677" s="9" customFormat="1" ht="21.95" customHeight="1" x14ac:dyDescent="0.15"/>
    <row r="57678" s="9" customFormat="1" ht="21.95" customHeight="1" x14ac:dyDescent="0.15"/>
    <row r="57679" s="9" customFormat="1" ht="21.95" customHeight="1" x14ac:dyDescent="0.15"/>
    <row r="57680" s="9" customFormat="1" ht="21.95" customHeight="1" x14ac:dyDescent="0.15"/>
    <row r="57681" s="9" customFormat="1" ht="21.95" customHeight="1" x14ac:dyDescent="0.15"/>
    <row r="57682" s="9" customFormat="1" ht="21.95" customHeight="1" x14ac:dyDescent="0.15"/>
    <row r="57683" s="9" customFormat="1" ht="21.95" customHeight="1" x14ac:dyDescent="0.15"/>
    <row r="57684" s="9" customFormat="1" ht="21.95" customHeight="1" x14ac:dyDescent="0.15"/>
    <row r="57685" s="9" customFormat="1" ht="21.95" customHeight="1" x14ac:dyDescent="0.15"/>
    <row r="57686" s="9" customFormat="1" ht="21.95" customHeight="1" x14ac:dyDescent="0.15"/>
    <row r="57687" s="9" customFormat="1" ht="21.95" customHeight="1" x14ac:dyDescent="0.15"/>
    <row r="57688" s="9" customFormat="1" ht="21.95" customHeight="1" x14ac:dyDescent="0.15"/>
    <row r="57689" s="9" customFormat="1" ht="21.95" customHeight="1" x14ac:dyDescent="0.15"/>
    <row r="57690" s="9" customFormat="1" ht="21.95" customHeight="1" x14ac:dyDescent="0.15"/>
    <row r="57691" s="9" customFormat="1" ht="21.95" customHeight="1" x14ac:dyDescent="0.15"/>
    <row r="57692" s="9" customFormat="1" ht="21.95" customHeight="1" x14ac:dyDescent="0.15"/>
    <row r="57693" s="9" customFormat="1" ht="21.95" customHeight="1" x14ac:dyDescent="0.15"/>
    <row r="57694" s="9" customFormat="1" ht="21.95" customHeight="1" x14ac:dyDescent="0.15"/>
    <row r="57695" s="9" customFormat="1" ht="21.95" customHeight="1" x14ac:dyDescent="0.15"/>
    <row r="57696" s="9" customFormat="1" ht="21.95" customHeight="1" x14ac:dyDescent="0.15"/>
    <row r="57697" s="9" customFormat="1" ht="21.95" customHeight="1" x14ac:dyDescent="0.15"/>
    <row r="57698" s="9" customFormat="1" ht="21.95" customHeight="1" x14ac:dyDescent="0.15"/>
    <row r="57699" s="9" customFormat="1" ht="21.95" customHeight="1" x14ac:dyDescent="0.15"/>
    <row r="57700" s="9" customFormat="1" ht="21.95" customHeight="1" x14ac:dyDescent="0.15"/>
    <row r="57701" s="9" customFormat="1" ht="21.95" customHeight="1" x14ac:dyDescent="0.15"/>
    <row r="57702" s="9" customFormat="1" ht="35.1" customHeight="1" x14ac:dyDescent="0.15"/>
    <row r="57703" s="9" customFormat="1" ht="21.95" customHeight="1" x14ac:dyDescent="0.15"/>
    <row r="57704" s="9" customFormat="1" ht="21.95" customHeight="1" x14ac:dyDescent="0.15"/>
    <row r="57705" s="9" customFormat="1" ht="21.95" customHeight="1" x14ac:dyDescent="0.15"/>
    <row r="57706" s="9" customFormat="1" ht="21.95" customHeight="1" x14ac:dyDescent="0.15"/>
    <row r="57707" s="9" customFormat="1" ht="21.95" customHeight="1" x14ac:dyDescent="0.15"/>
    <row r="57708" s="9" customFormat="1" ht="21.95" customHeight="1" x14ac:dyDescent="0.15"/>
    <row r="57709" s="9" customFormat="1" ht="21.95" customHeight="1" x14ac:dyDescent="0.15"/>
    <row r="57710" s="9" customFormat="1" ht="21.95" customHeight="1" x14ac:dyDescent="0.15"/>
    <row r="57711" s="9" customFormat="1" ht="21.95" customHeight="1" x14ac:dyDescent="0.15"/>
    <row r="57712" s="9" customFormat="1" ht="21.95" customHeight="1" x14ac:dyDescent="0.15"/>
    <row r="57713" spans="3:3" s="9" customFormat="1" ht="21.95" customHeight="1" x14ac:dyDescent="0.15"/>
    <row r="57714" spans="3:3" s="9" customFormat="1" ht="21.95" customHeight="1" x14ac:dyDescent="0.15"/>
    <row r="57715" spans="3:3" s="9" customFormat="1" ht="21.95" customHeight="1" x14ac:dyDescent="0.15"/>
    <row r="57716" spans="3:3" s="9" customFormat="1" ht="21.95" customHeight="1" x14ac:dyDescent="0.15"/>
    <row r="57717" spans="3:3" s="9" customFormat="1" ht="21.95" customHeight="1" x14ac:dyDescent="0.15"/>
    <row r="57718" spans="3:3" s="9" customFormat="1" ht="21.95" customHeight="1" x14ac:dyDescent="0.15"/>
    <row r="57719" spans="3:3" s="9" customFormat="1" ht="21.95" customHeight="1" x14ac:dyDescent="0.15"/>
    <row r="57720" spans="3:3" s="9" customFormat="1" ht="21.95" customHeight="1" x14ac:dyDescent="0.15"/>
    <row r="57721" spans="3:3" s="9" customFormat="1" ht="21.95" customHeight="1" x14ac:dyDescent="0.15"/>
    <row r="57722" spans="3:3" s="9" customFormat="1" ht="21.95" customHeight="1" x14ac:dyDescent="0.15"/>
    <row r="57723" spans="3:3" s="9" customFormat="1" ht="21.95" customHeight="1" x14ac:dyDescent="0.15"/>
    <row r="57724" spans="3:3" s="9" customFormat="1" ht="21.95" customHeight="1" x14ac:dyDescent="0.15"/>
    <row r="57725" spans="3:3" s="9" customFormat="1" ht="21.95" customHeight="1" x14ac:dyDescent="0.15"/>
    <row r="57726" spans="3:3" s="8" customFormat="1" ht="21.95" customHeight="1" x14ac:dyDescent="0.15"/>
    <row r="57727" spans="3:3" s="8" customFormat="1" ht="21.95" customHeight="1" x14ac:dyDescent="0.15"/>
    <row r="57728" spans="3:3" s="8" customFormat="1" ht="21.95" customHeight="1" x14ac:dyDescent="0.15">
      <c r="C57728" s="101"/>
    </row>
    <row r="57729" spans="3:3" s="8" customFormat="1" ht="21.95" customHeight="1" x14ac:dyDescent="0.15">
      <c r="C57729" s="101"/>
    </row>
    <row r="57730" spans="3:3" s="8" customFormat="1" ht="21.95" customHeight="1" x14ac:dyDescent="0.15"/>
    <row r="57731" spans="3:3" s="8" customFormat="1" ht="21.95" customHeight="1" x14ac:dyDescent="0.15"/>
    <row r="57732" spans="3:3" s="8" customFormat="1" ht="21.95" customHeight="1" x14ac:dyDescent="0.15"/>
    <row r="57733" spans="3:3" s="8" customFormat="1" ht="21.95" customHeight="1" x14ac:dyDescent="0.15"/>
    <row r="57734" spans="3:3" s="8" customFormat="1" ht="21.95" customHeight="1" x14ac:dyDescent="0.15"/>
    <row r="57735" spans="3:3" s="8" customFormat="1" ht="21.95" customHeight="1" x14ac:dyDescent="0.15"/>
    <row r="57736" spans="3:3" s="8" customFormat="1" ht="21.95" customHeight="1" x14ac:dyDescent="0.15"/>
    <row r="57737" spans="3:3" s="9" customFormat="1" ht="21.95" customHeight="1" x14ac:dyDescent="0.15"/>
    <row r="57738" spans="3:3" s="9" customFormat="1" ht="21.95" customHeight="1" x14ac:dyDescent="0.15"/>
    <row r="57739" spans="3:3" s="9" customFormat="1" ht="21.95" customHeight="1" x14ac:dyDescent="0.15"/>
    <row r="57740" spans="3:3" s="9" customFormat="1" ht="21.95" customHeight="1" x14ac:dyDescent="0.15"/>
    <row r="57741" spans="3:3" s="8" customFormat="1" ht="21.95" customHeight="1" x14ac:dyDescent="0.15"/>
    <row r="57742" spans="3:3" s="8" customFormat="1" ht="21.95" customHeight="1" x14ac:dyDescent="0.15"/>
    <row r="57743" spans="3:3" s="8" customFormat="1" ht="21.95" customHeight="1" x14ac:dyDescent="0.15"/>
    <row r="57744" spans="3:3" s="8" customFormat="1" ht="21.95" customHeight="1" x14ac:dyDescent="0.15"/>
    <row r="57745" s="8" customFormat="1" ht="21.95" customHeight="1" x14ac:dyDescent="0.15"/>
    <row r="57746" s="8" customFormat="1" ht="21.95" customHeight="1" x14ac:dyDescent="0.15"/>
    <row r="57747" s="8" customFormat="1" ht="21.95" customHeight="1" x14ac:dyDescent="0.15"/>
    <row r="57748" s="8" customFormat="1" ht="21.95" customHeight="1" x14ac:dyDescent="0.15"/>
    <row r="57749" s="8" customFormat="1" ht="21.95" customHeight="1" x14ac:dyDescent="0.15"/>
    <row r="57750" s="8" customFormat="1" ht="21.95" customHeight="1" x14ac:dyDescent="0.15"/>
    <row r="57751" s="8" customFormat="1" ht="21.95" customHeight="1" x14ac:dyDescent="0.15"/>
    <row r="57752" s="8" customFormat="1" ht="32.1" customHeight="1" x14ac:dyDescent="0.15"/>
    <row r="57753" s="8" customFormat="1" ht="32.1" customHeight="1" x14ac:dyDescent="0.15"/>
    <row r="57754" s="8" customFormat="1" ht="32.1" customHeight="1" x14ac:dyDescent="0.15"/>
    <row r="57755" s="8" customFormat="1" ht="32.1" customHeight="1" x14ac:dyDescent="0.15"/>
    <row r="57756" s="8" customFormat="1" ht="32.1" customHeight="1" x14ac:dyDescent="0.15"/>
    <row r="57757" s="8" customFormat="1" ht="32.1" customHeight="1" x14ac:dyDescent="0.15"/>
    <row r="57758" s="9" customFormat="1" ht="32.1" customHeight="1" x14ac:dyDescent="0.15"/>
    <row r="57759" s="9" customFormat="1" ht="32.1" customHeight="1" x14ac:dyDescent="0.15"/>
    <row r="57760" s="9" customFormat="1" ht="32.1" customHeight="1" x14ac:dyDescent="0.15"/>
    <row r="57761" s="9" customFormat="1" ht="32.1" customHeight="1" x14ac:dyDescent="0.15"/>
    <row r="57762" s="9" customFormat="1" ht="21.95" customHeight="1" x14ac:dyDescent="0.15"/>
    <row r="57763" s="9" customFormat="1" ht="54" customHeight="1" x14ac:dyDescent="0.15"/>
    <row r="57764" s="9" customFormat="1" ht="21.95" customHeight="1" x14ac:dyDescent="0.15"/>
    <row r="57765" s="9" customFormat="1" ht="21.95" customHeight="1" x14ac:dyDescent="0.15"/>
    <row r="57766" s="9" customFormat="1" ht="21.95" customHeight="1" x14ac:dyDescent="0.15"/>
    <row r="57767" s="9" customFormat="1" ht="21.95" customHeight="1" x14ac:dyDescent="0.15"/>
    <row r="57768" s="9" customFormat="1" ht="21.95" customHeight="1" x14ac:dyDescent="0.15"/>
    <row r="57769" s="9" customFormat="1" ht="21.95" customHeight="1" x14ac:dyDescent="0.15"/>
    <row r="57770" s="9" customFormat="1" ht="21.95" customHeight="1" x14ac:dyDescent="0.15"/>
    <row r="57771" s="9" customFormat="1" ht="21.95" customHeight="1" x14ac:dyDescent="0.15"/>
    <row r="57772" s="9" customFormat="1" ht="21.95" customHeight="1" x14ac:dyDescent="0.15"/>
    <row r="57773" s="9" customFormat="1" ht="21.95" customHeight="1" x14ac:dyDescent="0.15"/>
    <row r="57774" s="9" customFormat="1" ht="21.95" customHeight="1" x14ac:dyDescent="0.15"/>
    <row r="57775" s="9" customFormat="1" ht="21.95" customHeight="1" x14ac:dyDescent="0.15"/>
    <row r="57776" s="9" customFormat="1" ht="21.95" customHeight="1" x14ac:dyDescent="0.15"/>
    <row r="57777" s="9" customFormat="1" ht="21.95" customHeight="1" x14ac:dyDescent="0.15"/>
    <row r="57778" s="9" customFormat="1" ht="21.95" customHeight="1" x14ac:dyDescent="0.15"/>
    <row r="57779" s="9" customFormat="1" ht="21.95" customHeight="1" x14ac:dyDescent="0.15"/>
    <row r="57780" s="9" customFormat="1" ht="21.95" customHeight="1" x14ac:dyDescent="0.15"/>
    <row r="57781" s="9" customFormat="1" ht="21.95" customHeight="1" x14ac:dyDescent="0.15"/>
    <row r="57782" s="9" customFormat="1" ht="21.95" customHeight="1" x14ac:dyDescent="0.15"/>
    <row r="57783" s="9" customFormat="1" ht="21.95" customHeight="1" x14ac:dyDescent="0.15"/>
    <row r="57784" s="9" customFormat="1" ht="21.95" customHeight="1" x14ac:dyDescent="0.15"/>
    <row r="57785" s="9" customFormat="1" ht="21.95" customHeight="1" x14ac:dyDescent="0.15"/>
    <row r="57786" s="9" customFormat="1" ht="21.95" customHeight="1" x14ac:dyDescent="0.15"/>
    <row r="57787" s="9" customFormat="1" ht="21.95" customHeight="1" x14ac:dyDescent="0.15"/>
    <row r="57788" s="9" customFormat="1" ht="21.95" customHeight="1" x14ac:dyDescent="0.15"/>
    <row r="57789" s="9" customFormat="1" ht="21.95" customHeight="1" x14ac:dyDescent="0.15"/>
    <row r="57790" s="9" customFormat="1" ht="21.95" customHeight="1" x14ac:dyDescent="0.15"/>
    <row r="57791" s="9" customFormat="1" ht="21.95" customHeight="1" x14ac:dyDescent="0.15"/>
    <row r="57792" s="9" customFormat="1" ht="21.95" customHeight="1" x14ac:dyDescent="0.15"/>
    <row r="57793" s="9" customFormat="1" ht="21.95" customHeight="1" x14ac:dyDescent="0.15"/>
    <row r="57794" s="9" customFormat="1" ht="21.95" customHeight="1" x14ac:dyDescent="0.15"/>
    <row r="57795" s="9" customFormat="1" ht="21.95" customHeight="1" x14ac:dyDescent="0.15"/>
    <row r="57796" s="9" customFormat="1" ht="21.95" customHeight="1" x14ac:dyDescent="0.15"/>
    <row r="57797" s="9" customFormat="1" ht="21.95" customHeight="1" x14ac:dyDescent="0.15"/>
    <row r="57798" s="9" customFormat="1" ht="21.95" customHeight="1" x14ac:dyDescent="0.15"/>
    <row r="57799" s="9" customFormat="1" ht="21.95" customHeight="1" x14ac:dyDescent="0.15"/>
    <row r="57800" s="9" customFormat="1" ht="21.95" customHeight="1" x14ac:dyDescent="0.15"/>
    <row r="57801" s="9" customFormat="1" ht="21.95" customHeight="1" x14ac:dyDescent="0.15"/>
    <row r="57802" s="9" customFormat="1" ht="21.95" customHeight="1" x14ac:dyDescent="0.15"/>
    <row r="57803" s="9" customFormat="1" ht="21.95" customHeight="1" x14ac:dyDescent="0.15"/>
    <row r="57804" s="9" customFormat="1" ht="21.95" customHeight="1" x14ac:dyDescent="0.15"/>
    <row r="57805" s="9" customFormat="1" ht="21.95" customHeight="1" x14ac:dyDescent="0.15"/>
    <row r="57806" s="9" customFormat="1" ht="21.95" customHeight="1" x14ac:dyDescent="0.15"/>
    <row r="57807" s="9" customFormat="1" ht="21.95" customHeight="1" x14ac:dyDescent="0.15"/>
    <row r="57808" s="9" customFormat="1" ht="21.95" customHeight="1" x14ac:dyDescent="0.15"/>
    <row r="57809" s="9" customFormat="1" ht="21.95" customHeight="1" x14ac:dyDescent="0.15"/>
    <row r="57810" s="9" customFormat="1" ht="21.95" customHeight="1" x14ac:dyDescent="0.15"/>
    <row r="57811" s="9" customFormat="1" ht="21.95" customHeight="1" x14ac:dyDescent="0.15"/>
    <row r="57812" s="9" customFormat="1" ht="21.95" customHeight="1" x14ac:dyDescent="0.15"/>
    <row r="57813" s="9" customFormat="1" ht="21.95" customHeight="1" x14ac:dyDescent="0.15"/>
    <row r="57814" s="9" customFormat="1" ht="35.1" customHeight="1" x14ac:dyDescent="0.15"/>
    <row r="57815" s="9" customFormat="1" ht="21.95" customHeight="1" x14ac:dyDescent="0.15"/>
    <row r="57816" s="9" customFormat="1" ht="21.95" customHeight="1" x14ac:dyDescent="0.15"/>
    <row r="57817" s="9" customFormat="1" ht="21.95" customHeight="1" x14ac:dyDescent="0.15"/>
    <row r="57818" s="9" customFormat="1" ht="21.95" customHeight="1" x14ac:dyDescent="0.15"/>
    <row r="57819" s="9" customFormat="1" ht="21.95" customHeight="1" x14ac:dyDescent="0.15"/>
    <row r="57820" s="9" customFormat="1" ht="21.95" customHeight="1" x14ac:dyDescent="0.15"/>
    <row r="57821" s="9" customFormat="1" ht="21.95" customHeight="1" x14ac:dyDescent="0.15"/>
    <row r="57822" s="9" customFormat="1" ht="21.95" customHeight="1" x14ac:dyDescent="0.15"/>
    <row r="57823" s="9" customFormat="1" ht="21.95" customHeight="1" x14ac:dyDescent="0.15"/>
    <row r="57824" s="9" customFormat="1" ht="21.95" customHeight="1" x14ac:dyDescent="0.15"/>
    <row r="57825" spans="3:3" s="9" customFormat="1" ht="21.95" customHeight="1" x14ac:dyDescent="0.15"/>
    <row r="57826" spans="3:3" s="9" customFormat="1" ht="21.95" customHeight="1" x14ac:dyDescent="0.15"/>
    <row r="57827" spans="3:3" s="9" customFormat="1" ht="21.95" customHeight="1" x14ac:dyDescent="0.15"/>
    <row r="57828" spans="3:3" s="9" customFormat="1" ht="21.95" customHeight="1" x14ac:dyDescent="0.15"/>
    <row r="57829" spans="3:3" s="9" customFormat="1" ht="21.95" customHeight="1" x14ac:dyDescent="0.15"/>
    <row r="57830" spans="3:3" s="9" customFormat="1" ht="21.95" customHeight="1" x14ac:dyDescent="0.15"/>
    <row r="57831" spans="3:3" s="9" customFormat="1" ht="21.95" customHeight="1" x14ac:dyDescent="0.15"/>
    <row r="57832" spans="3:3" s="9" customFormat="1" ht="21.95" customHeight="1" x14ac:dyDescent="0.15"/>
    <row r="57833" spans="3:3" s="9" customFormat="1" ht="21.95" customHeight="1" x14ac:dyDescent="0.15"/>
    <row r="57834" spans="3:3" s="9" customFormat="1" ht="21.95" customHeight="1" x14ac:dyDescent="0.15"/>
    <row r="57835" spans="3:3" s="9" customFormat="1" ht="21.95" customHeight="1" x14ac:dyDescent="0.15"/>
    <row r="57836" spans="3:3" s="9" customFormat="1" ht="21.95" customHeight="1" x14ac:dyDescent="0.15"/>
    <row r="57837" spans="3:3" s="9" customFormat="1" ht="21.95" customHeight="1" x14ac:dyDescent="0.15"/>
    <row r="57838" spans="3:3" s="8" customFormat="1" ht="21.95" customHeight="1" x14ac:dyDescent="0.15"/>
    <row r="57839" spans="3:3" s="8" customFormat="1" ht="21.95" customHeight="1" x14ac:dyDescent="0.15"/>
    <row r="57840" spans="3:3" s="8" customFormat="1" ht="21.95" customHeight="1" x14ac:dyDescent="0.15">
      <c r="C57840" s="101"/>
    </row>
    <row r="57841" spans="3:3" s="8" customFormat="1" ht="21.95" customHeight="1" x14ac:dyDescent="0.15">
      <c r="C57841" s="101"/>
    </row>
    <row r="57842" spans="3:3" s="8" customFormat="1" ht="21.95" customHeight="1" x14ac:dyDescent="0.15"/>
    <row r="57843" spans="3:3" s="8" customFormat="1" ht="21.95" customHeight="1" x14ac:dyDescent="0.15"/>
    <row r="57844" spans="3:3" s="8" customFormat="1" ht="21.95" customHeight="1" x14ac:dyDescent="0.15"/>
    <row r="57845" spans="3:3" s="8" customFormat="1" ht="21.95" customHeight="1" x14ac:dyDescent="0.15"/>
    <row r="57846" spans="3:3" s="8" customFormat="1" ht="21.95" customHeight="1" x14ac:dyDescent="0.15"/>
    <row r="57847" spans="3:3" s="8" customFormat="1" ht="21.95" customHeight="1" x14ac:dyDescent="0.15"/>
    <row r="57848" spans="3:3" s="8" customFormat="1" ht="21.95" customHeight="1" x14ac:dyDescent="0.15"/>
    <row r="57849" spans="3:3" s="9" customFormat="1" ht="21.95" customHeight="1" x14ac:dyDescent="0.15"/>
    <row r="57850" spans="3:3" s="9" customFormat="1" ht="21.95" customHeight="1" x14ac:dyDescent="0.15"/>
    <row r="57851" spans="3:3" s="9" customFormat="1" ht="21.95" customHeight="1" x14ac:dyDescent="0.15"/>
    <row r="57852" spans="3:3" s="9" customFormat="1" ht="21.95" customHeight="1" x14ac:dyDescent="0.15"/>
    <row r="57853" spans="3:3" s="8" customFormat="1" ht="21.95" customHeight="1" x14ac:dyDescent="0.15"/>
    <row r="57854" spans="3:3" s="8" customFormat="1" ht="21.95" customHeight="1" x14ac:dyDescent="0.15"/>
    <row r="57855" spans="3:3" s="8" customFormat="1" ht="21.95" customHeight="1" x14ac:dyDescent="0.15"/>
    <row r="57856" spans="3:3" s="8" customFormat="1" ht="21.95" customHeight="1" x14ac:dyDescent="0.15"/>
    <row r="57857" s="8" customFormat="1" ht="21.95" customHeight="1" x14ac:dyDescent="0.15"/>
    <row r="57858" s="8" customFormat="1" ht="21.95" customHeight="1" x14ac:dyDescent="0.15"/>
    <row r="57859" s="8" customFormat="1" ht="21.95" customHeight="1" x14ac:dyDescent="0.15"/>
    <row r="57860" s="8" customFormat="1" ht="21.95" customHeight="1" x14ac:dyDescent="0.15"/>
    <row r="57861" s="8" customFormat="1" ht="21.95" customHeight="1" x14ac:dyDescent="0.15"/>
    <row r="57862" s="8" customFormat="1" ht="21.95" customHeight="1" x14ac:dyDescent="0.15"/>
    <row r="57863" s="8" customFormat="1" ht="21.95" customHeight="1" x14ac:dyDescent="0.15"/>
    <row r="57864" s="8" customFormat="1" ht="32.1" customHeight="1" x14ac:dyDescent="0.15"/>
    <row r="57865" s="8" customFormat="1" ht="32.1" customHeight="1" x14ac:dyDescent="0.15"/>
    <row r="57866" s="8" customFormat="1" ht="32.1" customHeight="1" x14ac:dyDescent="0.15"/>
    <row r="57867" s="8" customFormat="1" ht="32.1" customHeight="1" x14ac:dyDescent="0.15"/>
    <row r="57868" s="8" customFormat="1" ht="32.1" customHeight="1" x14ac:dyDescent="0.15"/>
    <row r="57869" s="8" customFormat="1" ht="32.1" customHeight="1" x14ac:dyDescent="0.15"/>
    <row r="57870" s="9" customFormat="1" ht="32.1" customHeight="1" x14ac:dyDescent="0.15"/>
    <row r="57871" s="9" customFormat="1" ht="32.1" customHeight="1" x14ac:dyDescent="0.15"/>
    <row r="57872" s="9" customFormat="1" ht="32.1" customHeight="1" x14ac:dyDescent="0.15"/>
    <row r="57873" s="9" customFormat="1" ht="32.1" customHeight="1" x14ac:dyDescent="0.15"/>
    <row r="57874" s="9" customFormat="1" ht="21.95" customHeight="1" x14ac:dyDescent="0.15"/>
    <row r="57875" s="9" customFormat="1" ht="54" customHeight="1" x14ac:dyDescent="0.15"/>
    <row r="57876" s="9" customFormat="1" ht="21.95" customHeight="1" x14ac:dyDescent="0.15"/>
    <row r="57877" s="9" customFormat="1" ht="21.95" customHeight="1" x14ac:dyDescent="0.15"/>
    <row r="57878" s="9" customFormat="1" ht="21.95" customHeight="1" x14ac:dyDescent="0.15"/>
    <row r="57879" s="9" customFormat="1" ht="21.95" customHeight="1" x14ac:dyDescent="0.15"/>
    <row r="57880" s="9" customFormat="1" ht="21.95" customHeight="1" x14ac:dyDescent="0.15"/>
    <row r="57881" s="9" customFormat="1" ht="21.95" customHeight="1" x14ac:dyDescent="0.15"/>
    <row r="57882" s="9" customFormat="1" ht="21.95" customHeight="1" x14ac:dyDescent="0.15"/>
    <row r="57883" s="9" customFormat="1" ht="21.95" customHeight="1" x14ac:dyDescent="0.15"/>
    <row r="57884" s="9" customFormat="1" ht="21.95" customHeight="1" x14ac:dyDescent="0.15"/>
    <row r="57885" s="9" customFormat="1" ht="21.95" customHeight="1" x14ac:dyDescent="0.15"/>
    <row r="57886" s="9" customFormat="1" ht="21.95" customHeight="1" x14ac:dyDescent="0.15"/>
    <row r="57887" s="9" customFormat="1" ht="21.95" customHeight="1" x14ac:dyDescent="0.15"/>
    <row r="57888" s="9" customFormat="1" ht="21.95" customHeight="1" x14ac:dyDescent="0.15"/>
    <row r="57889" s="9" customFormat="1" ht="21.95" customHeight="1" x14ac:dyDescent="0.15"/>
    <row r="57890" s="9" customFormat="1" ht="21.95" customHeight="1" x14ac:dyDescent="0.15"/>
    <row r="57891" s="9" customFormat="1" ht="21.95" customHeight="1" x14ac:dyDescent="0.15"/>
    <row r="57892" s="9" customFormat="1" ht="21.95" customHeight="1" x14ac:dyDescent="0.15"/>
    <row r="57893" s="9" customFormat="1" ht="21.95" customHeight="1" x14ac:dyDescent="0.15"/>
    <row r="57894" s="9" customFormat="1" ht="21.95" customHeight="1" x14ac:dyDescent="0.15"/>
    <row r="57895" s="9" customFormat="1" ht="21.95" customHeight="1" x14ac:dyDescent="0.15"/>
    <row r="57896" s="9" customFormat="1" ht="21.95" customHeight="1" x14ac:dyDescent="0.15"/>
    <row r="57897" s="9" customFormat="1" ht="21.95" customHeight="1" x14ac:dyDescent="0.15"/>
    <row r="57898" s="9" customFormat="1" ht="21.95" customHeight="1" x14ac:dyDescent="0.15"/>
    <row r="57899" s="9" customFormat="1" ht="21.95" customHeight="1" x14ac:dyDescent="0.15"/>
    <row r="57900" s="9" customFormat="1" ht="21.95" customHeight="1" x14ac:dyDescent="0.15"/>
    <row r="57901" s="9" customFormat="1" ht="21.95" customHeight="1" x14ac:dyDescent="0.15"/>
    <row r="57902" s="9" customFormat="1" ht="21.95" customHeight="1" x14ac:dyDescent="0.15"/>
    <row r="57903" s="9" customFormat="1" ht="21.95" customHeight="1" x14ac:dyDescent="0.15"/>
    <row r="57904" s="9" customFormat="1" ht="21.95" customHeight="1" x14ac:dyDescent="0.15"/>
    <row r="57905" s="9" customFormat="1" ht="21.95" customHeight="1" x14ac:dyDescent="0.15"/>
    <row r="57906" s="9" customFormat="1" ht="21.95" customHeight="1" x14ac:dyDescent="0.15"/>
    <row r="57907" s="9" customFormat="1" ht="21.95" customHeight="1" x14ac:dyDescent="0.15"/>
    <row r="57908" s="9" customFormat="1" ht="21.95" customHeight="1" x14ac:dyDescent="0.15"/>
    <row r="57909" s="9" customFormat="1" ht="21.95" customHeight="1" x14ac:dyDescent="0.15"/>
    <row r="57910" s="9" customFormat="1" ht="21.95" customHeight="1" x14ac:dyDescent="0.15"/>
    <row r="57911" s="9" customFormat="1" ht="21.95" customHeight="1" x14ac:dyDescent="0.15"/>
    <row r="57912" s="9" customFormat="1" ht="21.95" customHeight="1" x14ac:dyDescent="0.15"/>
    <row r="57913" s="9" customFormat="1" ht="21.95" customHeight="1" x14ac:dyDescent="0.15"/>
    <row r="57914" s="9" customFormat="1" ht="21.95" customHeight="1" x14ac:dyDescent="0.15"/>
    <row r="57915" s="9" customFormat="1" ht="21.95" customHeight="1" x14ac:dyDescent="0.15"/>
    <row r="57916" s="9" customFormat="1" ht="21.95" customHeight="1" x14ac:dyDescent="0.15"/>
    <row r="57917" s="9" customFormat="1" ht="21.95" customHeight="1" x14ac:dyDescent="0.15"/>
    <row r="57918" s="9" customFormat="1" ht="21.95" customHeight="1" x14ac:dyDescent="0.15"/>
    <row r="57919" s="9" customFormat="1" ht="21.95" customHeight="1" x14ac:dyDescent="0.15"/>
    <row r="57920" s="9" customFormat="1" ht="21.95" customHeight="1" x14ac:dyDescent="0.15"/>
    <row r="57921" s="9" customFormat="1" ht="21.95" customHeight="1" x14ac:dyDescent="0.15"/>
    <row r="57922" s="9" customFormat="1" ht="21.95" customHeight="1" x14ac:dyDescent="0.15"/>
    <row r="57923" s="9" customFormat="1" ht="21.95" customHeight="1" x14ac:dyDescent="0.15"/>
    <row r="57924" s="9" customFormat="1" ht="21.95" customHeight="1" x14ac:dyDescent="0.15"/>
    <row r="57925" s="9" customFormat="1" ht="21.95" customHeight="1" x14ac:dyDescent="0.15"/>
    <row r="57926" s="9" customFormat="1" ht="35.1" customHeight="1" x14ac:dyDescent="0.15"/>
    <row r="57927" s="9" customFormat="1" ht="21.95" customHeight="1" x14ac:dyDescent="0.15"/>
    <row r="57928" s="9" customFormat="1" ht="21.95" customHeight="1" x14ac:dyDescent="0.15"/>
    <row r="57929" s="9" customFormat="1" ht="21.95" customHeight="1" x14ac:dyDescent="0.15"/>
    <row r="57930" s="9" customFormat="1" ht="21.95" customHeight="1" x14ac:dyDescent="0.15"/>
    <row r="57931" s="9" customFormat="1" ht="21.95" customHeight="1" x14ac:dyDescent="0.15"/>
    <row r="57932" s="9" customFormat="1" ht="21.95" customHeight="1" x14ac:dyDescent="0.15"/>
    <row r="57933" s="9" customFormat="1" ht="21.95" customHeight="1" x14ac:dyDescent="0.15"/>
    <row r="57934" s="9" customFormat="1" ht="21.95" customHeight="1" x14ac:dyDescent="0.15"/>
    <row r="57935" s="9" customFormat="1" ht="21.95" customHeight="1" x14ac:dyDescent="0.15"/>
    <row r="57936" s="9" customFormat="1" ht="21.95" customHeight="1" x14ac:dyDescent="0.15"/>
    <row r="57937" spans="3:3" s="9" customFormat="1" ht="21.95" customHeight="1" x14ac:dyDescent="0.15"/>
    <row r="57938" spans="3:3" s="9" customFormat="1" ht="21.95" customHeight="1" x14ac:dyDescent="0.15"/>
    <row r="57939" spans="3:3" s="9" customFormat="1" ht="21.95" customHeight="1" x14ac:dyDescent="0.15"/>
    <row r="57940" spans="3:3" s="9" customFormat="1" ht="21.95" customHeight="1" x14ac:dyDescent="0.15"/>
    <row r="57941" spans="3:3" s="9" customFormat="1" ht="21.95" customHeight="1" x14ac:dyDescent="0.15"/>
    <row r="57942" spans="3:3" s="9" customFormat="1" ht="21.95" customHeight="1" x14ac:dyDescent="0.15"/>
    <row r="57943" spans="3:3" s="9" customFormat="1" ht="21.95" customHeight="1" x14ac:dyDescent="0.15"/>
    <row r="57944" spans="3:3" s="9" customFormat="1" ht="21.95" customHeight="1" x14ac:dyDescent="0.15"/>
    <row r="57945" spans="3:3" s="9" customFormat="1" ht="21.95" customHeight="1" x14ac:dyDescent="0.15"/>
    <row r="57946" spans="3:3" s="9" customFormat="1" ht="21.95" customHeight="1" x14ac:dyDescent="0.15"/>
    <row r="57947" spans="3:3" s="9" customFormat="1" ht="21.95" customHeight="1" x14ac:dyDescent="0.15"/>
    <row r="57948" spans="3:3" s="9" customFormat="1" ht="21.95" customHeight="1" x14ac:dyDescent="0.15"/>
    <row r="57949" spans="3:3" s="9" customFormat="1" ht="21.95" customHeight="1" x14ac:dyDescent="0.15"/>
    <row r="57950" spans="3:3" s="8" customFormat="1" ht="21.95" customHeight="1" x14ac:dyDescent="0.15"/>
    <row r="57951" spans="3:3" s="8" customFormat="1" ht="21.95" customHeight="1" x14ac:dyDescent="0.15"/>
    <row r="57952" spans="3:3" s="8" customFormat="1" ht="21.95" customHeight="1" x14ac:dyDescent="0.15">
      <c r="C57952" s="101"/>
    </row>
    <row r="57953" spans="3:3" s="8" customFormat="1" ht="21.95" customHeight="1" x14ac:dyDescent="0.15">
      <c r="C57953" s="101"/>
    </row>
    <row r="57954" spans="3:3" s="8" customFormat="1" ht="21.95" customHeight="1" x14ac:dyDescent="0.15"/>
    <row r="57955" spans="3:3" s="8" customFormat="1" ht="21.95" customHeight="1" x14ac:dyDescent="0.15"/>
    <row r="57956" spans="3:3" s="8" customFormat="1" ht="21.95" customHeight="1" x14ac:dyDescent="0.15"/>
    <row r="57957" spans="3:3" s="8" customFormat="1" ht="21.95" customHeight="1" x14ac:dyDescent="0.15"/>
    <row r="57958" spans="3:3" s="8" customFormat="1" ht="21.95" customHeight="1" x14ac:dyDescent="0.15"/>
    <row r="57959" spans="3:3" s="8" customFormat="1" ht="21.95" customHeight="1" x14ac:dyDescent="0.15"/>
    <row r="57960" spans="3:3" s="8" customFormat="1" ht="21.95" customHeight="1" x14ac:dyDescent="0.15"/>
    <row r="57961" spans="3:3" s="9" customFormat="1" ht="21.95" customHeight="1" x14ac:dyDescent="0.15"/>
    <row r="57962" spans="3:3" s="9" customFormat="1" ht="21.95" customHeight="1" x14ac:dyDescent="0.15"/>
    <row r="57963" spans="3:3" s="9" customFormat="1" ht="21.95" customHeight="1" x14ac:dyDescent="0.15"/>
    <row r="57964" spans="3:3" s="9" customFormat="1" ht="21.95" customHeight="1" x14ac:dyDescent="0.15"/>
    <row r="57965" spans="3:3" s="8" customFormat="1" ht="21.95" customHeight="1" x14ac:dyDescent="0.15"/>
    <row r="57966" spans="3:3" s="8" customFormat="1" ht="21.95" customHeight="1" x14ac:dyDescent="0.15"/>
    <row r="57967" spans="3:3" s="8" customFormat="1" ht="21.95" customHeight="1" x14ac:dyDescent="0.15"/>
    <row r="57968" spans="3:3" s="8" customFormat="1" ht="21.95" customHeight="1" x14ac:dyDescent="0.15"/>
    <row r="57969" s="8" customFormat="1" ht="21.95" customHeight="1" x14ac:dyDescent="0.15"/>
    <row r="57970" s="8" customFormat="1" ht="21.95" customHeight="1" x14ac:dyDescent="0.15"/>
    <row r="57971" s="8" customFormat="1" ht="21.95" customHeight="1" x14ac:dyDescent="0.15"/>
    <row r="57972" s="8" customFormat="1" ht="21.95" customHeight="1" x14ac:dyDescent="0.15"/>
    <row r="57973" s="8" customFormat="1" ht="21.95" customHeight="1" x14ac:dyDescent="0.15"/>
    <row r="57974" s="8" customFormat="1" ht="21.95" customHeight="1" x14ac:dyDescent="0.15"/>
    <row r="57975" s="8" customFormat="1" ht="21.95" customHeight="1" x14ac:dyDescent="0.15"/>
    <row r="57976" s="8" customFormat="1" ht="32.1" customHeight="1" x14ac:dyDescent="0.15"/>
    <row r="57977" s="8" customFormat="1" ht="32.1" customHeight="1" x14ac:dyDescent="0.15"/>
    <row r="57978" s="8" customFormat="1" ht="32.1" customHeight="1" x14ac:dyDescent="0.15"/>
    <row r="57979" s="8" customFormat="1" ht="32.1" customHeight="1" x14ac:dyDescent="0.15"/>
    <row r="57980" s="8" customFormat="1" ht="32.1" customHeight="1" x14ac:dyDescent="0.15"/>
    <row r="57981" s="8" customFormat="1" ht="32.1" customHeight="1" x14ac:dyDescent="0.15"/>
    <row r="57982" s="9" customFormat="1" ht="32.1" customHeight="1" x14ac:dyDescent="0.15"/>
    <row r="57983" s="9" customFormat="1" ht="32.1" customHeight="1" x14ac:dyDescent="0.15"/>
    <row r="57984" s="9" customFormat="1" ht="32.1" customHeight="1" x14ac:dyDescent="0.15"/>
    <row r="57985" s="9" customFormat="1" ht="32.1" customHeight="1" x14ac:dyDescent="0.15"/>
    <row r="57986" s="9" customFormat="1" ht="21.95" customHeight="1" x14ac:dyDescent="0.15"/>
    <row r="57987" s="9" customFormat="1" ht="54" customHeight="1" x14ac:dyDescent="0.15"/>
    <row r="57988" s="9" customFormat="1" ht="21.95" customHeight="1" x14ac:dyDescent="0.15"/>
    <row r="57989" s="9" customFormat="1" ht="21.95" customHeight="1" x14ac:dyDescent="0.15"/>
    <row r="57990" s="9" customFormat="1" ht="21.95" customHeight="1" x14ac:dyDescent="0.15"/>
    <row r="57991" s="9" customFormat="1" ht="21.95" customHeight="1" x14ac:dyDescent="0.15"/>
    <row r="57992" s="9" customFormat="1" ht="21.95" customHeight="1" x14ac:dyDescent="0.15"/>
    <row r="57993" s="9" customFormat="1" ht="21.95" customHeight="1" x14ac:dyDescent="0.15"/>
    <row r="57994" s="9" customFormat="1" ht="21.95" customHeight="1" x14ac:dyDescent="0.15"/>
    <row r="57995" s="9" customFormat="1" ht="21.95" customHeight="1" x14ac:dyDescent="0.15"/>
    <row r="57996" s="9" customFormat="1" ht="21.95" customHeight="1" x14ac:dyDescent="0.15"/>
    <row r="57997" s="9" customFormat="1" ht="21.95" customHeight="1" x14ac:dyDescent="0.15"/>
    <row r="57998" s="9" customFormat="1" ht="21.95" customHeight="1" x14ac:dyDescent="0.15"/>
    <row r="57999" s="9" customFormat="1" ht="21.95" customHeight="1" x14ac:dyDescent="0.15"/>
    <row r="58000" s="9" customFormat="1" ht="21.95" customHeight="1" x14ac:dyDescent="0.15"/>
    <row r="58001" s="9" customFormat="1" ht="21.95" customHeight="1" x14ac:dyDescent="0.15"/>
    <row r="58002" s="9" customFormat="1" ht="21.95" customHeight="1" x14ac:dyDescent="0.15"/>
    <row r="58003" s="9" customFormat="1" ht="21.95" customHeight="1" x14ac:dyDescent="0.15"/>
    <row r="58004" s="9" customFormat="1" ht="21.95" customHeight="1" x14ac:dyDescent="0.15"/>
    <row r="58005" s="9" customFormat="1" ht="21.95" customHeight="1" x14ac:dyDescent="0.15"/>
    <row r="58006" s="9" customFormat="1" ht="21.95" customHeight="1" x14ac:dyDescent="0.15"/>
    <row r="58007" s="9" customFormat="1" ht="21.95" customHeight="1" x14ac:dyDescent="0.15"/>
    <row r="58008" s="9" customFormat="1" ht="21.95" customHeight="1" x14ac:dyDescent="0.15"/>
    <row r="58009" s="9" customFormat="1" ht="21.95" customHeight="1" x14ac:dyDescent="0.15"/>
    <row r="58010" s="9" customFormat="1" ht="21.95" customHeight="1" x14ac:dyDescent="0.15"/>
    <row r="58011" s="9" customFormat="1" ht="21.95" customHeight="1" x14ac:dyDescent="0.15"/>
    <row r="58012" s="9" customFormat="1" ht="21.95" customHeight="1" x14ac:dyDescent="0.15"/>
    <row r="58013" s="9" customFormat="1" ht="21.95" customHeight="1" x14ac:dyDescent="0.15"/>
    <row r="58014" s="9" customFormat="1" ht="21.95" customHeight="1" x14ac:dyDescent="0.15"/>
    <row r="58015" s="9" customFormat="1" ht="21.95" customHeight="1" x14ac:dyDescent="0.15"/>
    <row r="58016" s="9" customFormat="1" ht="21.95" customHeight="1" x14ac:dyDescent="0.15"/>
    <row r="58017" s="9" customFormat="1" ht="21.95" customHeight="1" x14ac:dyDescent="0.15"/>
    <row r="58018" s="9" customFormat="1" ht="21.95" customHeight="1" x14ac:dyDescent="0.15"/>
    <row r="58019" s="9" customFormat="1" ht="21.95" customHeight="1" x14ac:dyDescent="0.15"/>
    <row r="58020" s="9" customFormat="1" ht="21.95" customHeight="1" x14ac:dyDescent="0.15"/>
    <row r="58021" s="9" customFormat="1" ht="21.95" customHeight="1" x14ac:dyDescent="0.15"/>
    <row r="58022" s="9" customFormat="1" ht="21.95" customHeight="1" x14ac:dyDescent="0.15"/>
    <row r="58023" s="9" customFormat="1" ht="21.95" customHeight="1" x14ac:dyDescent="0.15"/>
    <row r="58024" s="9" customFormat="1" ht="21.95" customHeight="1" x14ac:dyDescent="0.15"/>
    <row r="58025" s="9" customFormat="1" ht="21.95" customHeight="1" x14ac:dyDescent="0.15"/>
    <row r="58026" s="9" customFormat="1" ht="21.95" customHeight="1" x14ac:dyDescent="0.15"/>
    <row r="58027" s="9" customFormat="1" ht="21.95" customHeight="1" x14ac:dyDescent="0.15"/>
    <row r="58028" s="9" customFormat="1" ht="21.95" customHeight="1" x14ac:dyDescent="0.15"/>
    <row r="58029" s="9" customFormat="1" ht="21.95" customHeight="1" x14ac:dyDescent="0.15"/>
    <row r="58030" s="9" customFormat="1" ht="21.95" customHeight="1" x14ac:dyDescent="0.15"/>
    <row r="58031" s="9" customFormat="1" ht="21.95" customHeight="1" x14ac:dyDescent="0.15"/>
    <row r="58032" s="9" customFormat="1" ht="21.95" customHeight="1" x14ac:dyDescent="0.15"/>
    <row r="58033" s="9" customFormat="1" ht="21.95" customHeight="1" x14ac:dyDescent="0.15"/>
    <row r="58034" s="9" customFormat="1" ht="21.95" customHeight="1" x14ac:dyDescent="0.15"/>
    <row r="58035" s="9" customFormat="1" ht="21.95" customHeight="1" x14ac:dyDescent="0.15"/>
    <row r="58036" s="9" customFormat="1" ht="21.95" customHeight="1" x14ac:dyDescent="0.15"/>
    <row r="58037" s="9" customFormat="1" ht="21.95" customHeight="1" x14ac:dyDescent="0.15"/>
    <row r="58038" s="9" customFormat="1" ht="35.1" customHeight="1" x14ac:dyDescent="0.15"/>
    <row r="58039" s="9" customFormat="1" ht="21.95" customHeight="1" x14ac:dyDescent="0.15"/>
    <row r="58040" s="9" customFormat="1" ht="21.95" customHeight="1" x14ac:dyDescent="0.15"/>
    <row r="58041" s="9" customFormat="1" ht="21.95" customHeight="1" x14ac:dyDescent="0.15"/>
    <row r="58042" s="9" customFormat="1" ht="21.95" customHeight="1" x14ac:dyDescent="0.15"/>
    <row r="58043" s="9" customFormat="1" ht="21.95" customHeight="1" x14ac:dyDescent="0.15"/>
    <row r="58044" s="9" customFormat="1" ht="21.95" customHeight="1" x14ac:dyDescent="0.15"/>
    <row r="58045" s="9" customFormat="1" ht="21.95" customHeight="1" x14ac:dyDescent="0.15"/>
    <row r="58046" s="9" customFormat="1" ht="21.95" customHeight="1" x14ac:dyDescent="0.15"/>
    <row r="58047" s="9" customFormat="1" ht="21.95" customHeight="1" x14ac:dyDescent="0.15"/>
    <row r="58048" s="9" customFormat="1" ht="21.95" customHeight="1" x14ac:dyDescent="0.15"/>
    <row r="58049" spans="3:3" s="9" customFormat="1" ht="21.95" customHeight="1" x14ac:dyDescent="0.15"/>
    <row r="58050" spans="3:3" s="9" customFormat="1" ht="21.95" customHeight="1" x14ac:dyDescent="0.15"/>
    <row r="58051" spans="3:3" s="9" customFormat="1" ht="21.95" customHeight="1" x14ac:dyDescent="0.15"/>
    <row r="58052" spans="3:3" s="9" customFormat="1" ht="21.95" customHeight="1" x14ac:dyDescent="0.15"/>
    <row r="58053" spans="3:3" s="9" customFormat="1" ht="21.95" customHeight="1" x14ac:dyDescent="0.15"/>
    <row r="58054" spans="3:3" s="9" customFormat="1" ht="21.95" customHeight="1" x14ac:dyDescent="0.15"/>
    <row r="58055" spans="3:3" s="9" customFormat="1" ht="21.95" customHeight="1" x14ac:dyDescent="0.15"/>
    <row r="58056" spans="3:3" s="9" customFormat="1" ht="21.95" customHeight="1" x14ac:dyDescent="0.15"/>
    <row r="58057" spans="3:3" s="9" customFormat="1" ht="21.95" customHeight="1" x14ac:dyDescent="0.15"/>
    <row r="58058" spans="3:3" s="9" customFormat="1" ht="21.95" customHeight="1" x14ac:dyDescent="0.15"/>
    <row r="58059" spans="3:3" s="9" customFormat="1" ht="21.95" customHeight="1" x14ac:dyDescent="0.15"/>
    <row r="58060" spans="3:3" s="9" customFormat="1" ht="21.95" customHeight="1" x14ac:dyDescent="0.15"/>
    <row r="58061" spans="3:3" s="9" customFormat="1" ht="21.95" customHeight="1" x14ac:dyDescent="0.15"/>
    <row r="58062" spans="3:3" s="8" customFormat="1" ht="21.95" customHeight="1" x14ac:dyDescent="0.15"/>
    <row r="58063" spans="3:3" s="8" customFormat="1" ht="21.95" customHeight="1" x14ac:dyDescent="0.15"/>
    <row r="58064" spans="3:3" s="8" customFormat="1" ht="21.95" customHeight="1" x14ac:dyDescent="0.15">
      <c r="C58064" s="101"/>
    </row>
    <row r="58065" spans="3:3" s="8" customFormat="1" ht="21.95" customHeight="1" x14ac:dyDescent="0.15">
      <c r="C58065" s="101"/>
    </row>
    <row r="58066" spans="3:3" s="8" customFormat="1" ht="21.95" customHeight="1" x14ac:dyDescent="0.15"/>
    <row r="58067" spans="3:3" s="8" customFormat="1" ht="21.95" customHeight="1" x14ac:dyDescent="0.15"/>
    <row r="58068" spans="3:3" s="8" customFormat="1" ht="21.95" customHeight="1" x14ac:dyDescent="0.15"/>
    <row r="58069" spans="3:3" s="8" customFormat="1" ht="21.95" customHeight="1" x14ac:dyDescent="0.15"/>
    <row r="58070" spans="3:3" s="8" customFormat="1" ht="21.95" customHeight="1" x14ac:dyDescent="0.15"/>
    <row r="58071" spans="3:3" s="8" customFormat="1" ht="21.95" customHeight="1" x14ac:dyDescent="0.15"/>
    <row r="58072" spans="3:3" s="8" customFormat="1" ht="21.95" customHeight="1" x14ac:dyDescent="0.15"/>
    <row r="58073" spans="3:3" s="9" customFormat="1" ht="21.95" customHeight="1" x14ac:dyDescent="0.15"/>
    <row r="58074" spans="3:3" s="9" customFormat="1" ht="21.95" customHeight="1" x14ac:dyDescent="0.15"/>
    <row r="58075" spans="3:3" s="9" customFormat="1" ht="21.95" customHeight="1" x14ac:dyDescent="0.15"/>
    <row r="58076" spans="3:3" s="9" customFormat="1" ht="21.95" customHeight="1" x14ac:dyDescent="0.15"/>
    <row r="58077" spans="3:3" s="8" customFormat="1" ht="21.95" customHeight="1" x14ac:dyDescent="0.15"/>
    <row r="58078" spans="3:3" s="8" customFormat="1" ht="21.95" customHeight="1" x14ac:dyDescent="0.15"/>
    <row r="58079" spans="3:3" s="8" customFormat="1" ht="21.95" customHeight="1" x14ac:dyDescent="0.15"/>
    <row r="58080" spans="3:3" s="8" customFormat="1" ht="21.95" customHeight="1" x14ac:dyDescent="0.15"/>
    <row r="58081" s="8" customFormat="1" ht="21.95" customHeight="1" x14ac:dyDescent="0.15"/>
    <row r="58082" s="8" customFormat="1" ht="21.95" customHeight="1" x14ac:dyDescent="0.15"/>
    <row r="58083" s="8" customFormat="1" ht="21.95" customHeight="1" x14ac:dyDescent="0.15"/>
    <row r="58084" s="8" customFormat="1" ht="21.95" customHeight="1" x14ac:dyDescent="0.15"/>
    <row r="58085" s="8" customFormat="1" ht="21.95" customHeight="1" x14ac:dyDescent="0.15"/>
    <row r="58086" s="8" customFormat="1" ht="21.95" customHeight="1" x14ac:dyDescent="0.15"/>
    <row r="58087" s="8" customFormat="1" ht="21.95" customHeight="1" x14ac:dyDescent="0.15"/>
    <row r="58088" s="8" customFormat="1" ht="32.1" customHeight="1" x14ac:dyDescent="0.15"/>
    <row r="58089" s="8" customFormat="1" ht="32.1" customHeight="1" x14ac:dyDescent="0.15"/>
    <row r="58090" s="8" customFormat="1" ht="32.1" customHeight="1" x14ac:dyDescent="0.15"/>
    <row r="58091" s="8" customFormat="1" ht="32.1" customHeight="1" x14ac:dyDescent="0.15"/>
    <row r="58092" s="8" customFormat="1" ht="32.1" customHeight="1" x14ac:dyDescent="0.15"/>
    <row r="58093" s="8" customFormat="1" ht="32.1" customHeight="1" x14ac:dyDescent="0.15"/>
    <row r="58094" s="9" customFormat="1" ht="32.1" customHeight="1" x14ac:dyDescent="0.15"/>
    <row r="58095" s="9" customFormat="1" ht="32.1" customHeight="1" x14ac:dyDescent="0.15"/>
    <row r="58096" s="9" customFormat="1" ht="32.1" customHeight="1" x14ac:dyDescent="0.15"/>
    <row r="58097" s="9" customFormat="1" ht="32.1" customHeight="1" x14ac:dyDescent="0.15"/>
    <row r="58098" s="9" customFormat="1" ht="21.95" customHeight="1" x14ac:dyDescent="0.15"/>
    <row r="58099" s="9" customFormat="1" ht="54" customHeight="1" x14ac:dyDescent="0.15"/>
    <row r="58100" s="9" customFormat="1" ht="21.95" customHeight="1" x14ac:dyDescent="0.15"/>
    <row r="58101" s="9" customFormat="1" ht="21.95" customHeight="1" x14ac:dyDescent="0.15"/>
    <row r="58102" s="9" customFormat="1" ht="21.95" customHeight="1" x14ac:dyDescent="0.15"/>
    <row r="58103" s="9" customFormat="1" ht="21.95" customHeight="1" x14ac:dyDescent="0.15"/>
    <row r="58104" s="9" customFormat="1" ht="21.95" customHeight="1" x14ac:dyDescent="0.15"/>
    <row r="58105" s="9" customFormat="1" ht="21.95" customHeight="1" x14ac:dyDescent="0.15"/>
    <row r="58106" s="9" customFormat="1" ht="21.95" customHeight="1" x14ac:dyDescent="0.15"/>
    <row r="58107" s="9" customFormat="1" ht="21.95" customHeight="1" x14ac:dyDescent="0.15"/>
    <row r="58108" s="9" customFormat="1" ht="21.95" customHeight="1" x14ac:dyDescent="0.15"/>
    <row r="58109" s="9" customFormat="1" ht="21.95" customHeight="1" x14ac:dyDescent="0.15"/>
    <row r="58110" s="9" customFormat="1" ht="21.95" customHeight="1" x14ac:dyDescent="0.15"/>
    <row r="58111" s="9" customFormat="1" ht="21.95" customHeight="1" x14ac:dyDescent="0.15"/>
    <row r="58112" s="9" customFormat="1" ht="21.95" customHeight="1" x14ac:dyDescent="0.15"/>
    <row r="58113" s="9" customFormat="1" ht="21.95" customHeight="1" x14ac:dyDescent="0.15"/>
    <row r="58114" s="9" customFormat="1" ht="21.95" customHeight="1" x14ac:dyDescent="0.15"/>
    <row r="58115" s="9" customFormat="1" ht="21.95" customHeight="1" x14ac:dyDescent="0.15"/>
    <row r="58116" s="9" customFormat="1" ht="21.95" customHeight="1" x14ac:dyDescent="0.15"/>
    <row r="58117" s="9" customFormat="1" ht="21.95" customHeight="1" x14ac:dyDescent="0.15"/>
    <row r="58118" s="9" customFormat="1" ht="21.95" customHeight="1" x14ac:dyDescent="0.15"/>
    <row r="58119" s="9" customFormat="1" ht="21.95" customHeight="1" x14ac:dyDescent="0.15"/>
    <row r="58120" s="9" customFormat="1" ht="21.95" customHeight="1" x14ac:dyDescent="0.15"/>
    <row r="58121" s="9" customFormat="1" ht="21.95" customHeight="1" x14ac:dyDescent="0.15"/>
    <row r="58122" s="9" customFormat="1" ht="21.95" customHeight="1" x14ac:dyDescent="0.15"/>
    <row r="58123" s="9" customFormat="1" ht="21.95" customHeight="1" x14ac:dyDescent="0.15"/>
    <row r="58124" s="9" customFormat="1" ht="21.95" customHeight="1" x14ac:dyDescent="0.15"/>
    <row r="58125" s="9" customFormat="1" ht="21.95" customHeight="1" x14ac:dyDescent="0.15"/>
    <row r="58126" s="9" customFormat="1" ht="21.95" customHeight="1" x14ac:dyDescent="0.15"/>
    <row r="58127" s="9" customFormat="1" ht="21.95" customHeight="1" x14ac:dyDescent="0.15"/>
    <row r="58128" s="9" customFormat="1" ht="21.95" customHeight="1" x14ac:dyDescent="0.15"/>
    <row r="58129" s="9" customFormat="1" ht="21.95" customHeight="1" x14ac:dyDescent="0.15"/>
    <row r="58130" s="9" customFormat="1" ht="21.95" customHeight="1" x14ac:dyDescent="0.15"/>
    <row r="58131" s="9" customFormat="1" ht="21.95" customHeight="1" x14ac:dyDescent="0.15"/>
    <row r="58132" s="9" customFormat="1" ht="21.95" customHeight="1" x14ac:dyDescent="0.15"/>
    <row r="58133" s="9" customFormat="1" ht="21.95" customHeight="1" x14ac:dyDescent="0.15"/>
    <row r="58134" s="9" customFormat="1" ht="21.95" customHeight="1" x14ac:dyDescent="0.15"/>
    <row r="58135" s="9" customFormat="1" ht="21.95" customHeight="1" x14ac:dyDescent="0.15"/>
    <row r="58136" s="9" customFormat="1" ht="21.95" customHeight="1" x14ac:dyDescent="0.15"/>
    <row r="58137" s="9" customFormat="1" ht="21.95" customHeight="1" x14ac:dyDescent="0.15"/>
    <row r="58138" s="9" customFormat="1" ht="21.95" customHeight="1" x14ac:dyDescent="0.15"/>
    <row r="58139" s="9" customFormat="1" ht="21.95" customHeight="1" x14ac:dyDescent="0.15"/>
    <row r="58140" s="9" customFormat="1" ht="21.95" customHeight="1" x14ac:dyDescent="0.15"/>
    <row r="58141" s="9" customFormat="1" ht="21.95" customHeight="1" x14ac:dyDescent="0.15"/>
    <row r="58142" s="9" customFormat="1" ht="21.95" customHeight="1" x14ac:dyDescent="0.15"/>
    <row r="58143" s="9" customFormat="1" ht="21.95" customHeight="1" x14ac:dyDescent="0.15"/>
    <row r="58144" s="9" customFormat="1" ht="21.95" customHeight="1" x14ac:dyDescent="0.15"/>
    <row r="58145" s="9" customFormat="1" ht="21.95" customHeight="1" x14ac:dyDescent="0.15"/>
    <row r="58146" s="9" customFormat="1" ht="21.95" customHeight="1" x14ac:dyDescent="0.15"/>
    <row r="58147" s="9" customFormat="1" ht="21.95" customHeight="1" x14ac:dyDescent="0.15"/>
    <row r="58148" s="9" customFormat="1" ht="21.95" customHeight="1" x14ac:dyDescent="0.15"/>
    <row r="58149" s="9" customFormat="1" ht="21.95" customHeight="1" x14ac:dyDescent="0.15"/>
    <row r="58150" s="9" customFormat="1" ht="35.1" customHeight="1" x14ac:dyDescent="0.15"/>
    <row r="58151" s="9" customFormat="1" ht="21.95" customHeight="1" x14ac:dyDescent="0.15"/>
    <row r="58152" s="9" customFormat="1" ht="21.95" customHeight="1" x14ac:dyDescent="0.15"/>
    <row r="58153" s="9" customFormat="1" ht="21.95" customHeight="1" x14ac:dyDescent="0.15"/>
    <row r="58154" s="9" customFormat="1" ht="21.95" customHeight="1" x14ac:dyDescent="0.15"/>
    <row r="58155" s="9" customFormat="1" ht="21.95" customHeight="1" x14ac:dyDescent="0.15"/>
    <row r="58156" s="9" customFormat="1" ht="21.95" customHeight="1" x14ac:dyDescent="0.15"/>
    <row r="58157" s="9" customFormat="1" ht="21.95" customHeight="1" x14ac:dyDescent="0.15"/>
    <row r="58158" s="9" customFormat="1" ht="21.95" customHeight="1" x14ac:dyDescent="0.15"/>
    <row r="58159" s="9" customFormat="1" ht="21.95" customHeight="1" x14ac:dyDescent="0.15"/>
    <row r="58160" s="9" customFormat="1" ht="21.95" customHeight="1" x14ac:dyDescent="0.15"/>
    <row r="58161" spans="3:3" s="9" customFormat="1" ht="21.95" customHeight="1" x14ac:dyDescent="0.15"/>
    <row r="58162" spans="3:3" s="9" customFormat="1" ht="21.95" customHeight="1" x14ac:dyDescent="0.15"/>
    <row r="58163" spans="3:3" s="9" customFormat="1" ht="21.95" customHeight="1" x14ac:dyDescent="0.15"/>
    <row r="58164" spans="3:3" s="9" customFormat="1" ht="21.95" customHeight="1" x14ac:dyDescent="0.15"/>
    <row r="58165" spans="3:3" s="9" customFormat="1" ht="21.95" customHeight="1" x14ac:dyDescent="0.15"/>
    <row r="58166" spans="3:3" s="9" customFormat="1" ht="21.95" customHeight="1" x14ac:dyDescent="0.15"/>
    <row r="58167" spans="3:3" s="9" customFormat="1" ht="21.95" customHeight="1" x14ac:dyDescent="0.15"/>
    <row r="58168" spans="3:3" s="9" customFormat="1" ht="21.95" customHeight="1" x14ac:dyDescent="0.15"/>
    <row r="58169" spans="3:3" s="9" customFormat="1" ht="21.95" customHeight="1" x14ac:dyDescent="0.15"/>
    <row r="58170" spans="3:3" s="9" customFormat="1" ht="21.95" customHeight="1" x14ac:dyDescent="0.15"/>
    <row r="58171" spans="3:3" s="9" customFormat="1" ht="21.95" customHeight="1" x14ac:dyDescent="0.15"/>
    <row r="58172" spans="3:3" s="9" customFormat="1" ht="21.95" customHeight="1" x14ac:dyDescent="0.15"/>
    <row r="58173" spans="3:3" s="9" customFormat="1" ht="21.95" customHeight="1" x14ac:dyDescent="0.15"/>
    <row r="58174" spans="3:3" s="8" customFormat="1" ht="21.95" customHeight="1" x14ac:dyDescent="0.15"/>
    <row r="58175" spans="3:3" s="8" customFormat="1" ht="21.95" customHeight="1" x14ac:dyDescent="0.15"/>
    <row r="58176" spans="3:3" s="8" customFormat="1" ht="21.95" customHeight="1" x14ac:dyDescent="0.15">
      <c r="C58176" s="101"/>
    </row>
    <row r="58177" spans="3:3" s="8" customFormat="1" ht="21.95" customHeight="1" x14ac:dyDescent="0.15">
      <c r="C58177" s="101"/>
    </row>
    <row r="58178" spans="3:3" s="8" customFormat="1" ht="21.95" customHeight="1" x14ac:dyDescent="0.15"/>
    <row r="58179" spans="3:3" s="8" customFormat="1" ht="21.95" customHeight="1" x14ac:dyDescent="0.15"/>
    <row r="58180" spans="3:3" s="8" customFormat="1" ht="21.95" customHeight="1" x14ac:dyDescent="0.15"/>
    <row r="58181" spans="3:3" s="8" customFormat="1" ht="21.95" customHeight="1" x14ac:dyDescent="0.15"/>
    <row r="58182" spans="3:3" s="8" customFormat="1" ht="21.95" customHeight="1" x14ac:dyDescent="0.15"/>
    <row r="58183" spans="3:3" s="8" customFormat="1" ht="21.95" customHeight="1" x14ac:dyDescent="0.15"/>
    <row r="58184" spans="3:3" s="8" customFormat="1" ht="21.95" customHeight="1" x14ac:dyDescent="0.15"/>
    <row r="58185" spans="3:3" s="9" customFormat="1" ht="21.95" customHeight="1" x14ac:dyDescent="0.15"/>
    <row r="58186" spans="3:3" s="9" customFormat="1" ht="21.95" customHeight="1" x14ac:dyDescent="0.15"/>
    <row r="58187" spans="3:3" s="9" customFormat="1" ht="21.95" customHeight="1" x14ac:dyDescent="0.15"/>
    <row r="58188" spans="3:3" s="9" customFormat="1" ht="21.95" customHeight="1" x14ac:dyDescent="0.15"/>
    <row r="58189" spans="3:3" s="8" customFormat="1" ht="21.95" customHeight="1" x14ac:dyDescent="0.15"/>
    <row r="58190" spans="3:3" s="8" customFormat="1" ht="21.95" customHeight="1" x14ac:dyDescent="0.15"/>
    <row r="58191" spans="3:3" s="8" customFormat="1" ht="21.95" customHeight="1" x14ac:dyDescent="0.15"/>
    <row r="58192" spans="3:3" s="8" customFormat="1" ht="21.95" customHeight="1" x14ac:dyDescent="0.15"/>
    <row r="58193" s="8" customFormat="1" ht="21.95" customHeight="1" x14ac:dyDescent="0.15"/>
    <row r="58194" s="8" customFormat="1" ht="21.95" customHeight="1" x14ac:dyDescent="0.15"/>
    <row r="58195" s="8" customFormat="1" ht="21.95" customHeight="1" x14ac:dyDescent="0.15"/>
    <row r="58196" s="8" customFormat="1" ht="21.95" customHeight="1" x14ac:dyDescent="0.15"/>
    <row r="58197" s="8" customFormat="1" ht="21.95" customHeight="1" x14ac:dyDescent="0.15"/>
    <row r="58198" s="8" customFormat="1" ht="21.95" customHeight="1" x14ac:dyDescent="0.15"/>
    <row r="58199" s="8" customFormat="1" ht="21.95" customHeight="1" x14ac:dyDescent="0.15"/>
    <row r="58200" s="8" customFormat="1" ht="32.1" customHeight="1" x14ac:dyDescent="0.15"/>
    <row r="58201" s="8" customFormat="1" ht="32.1" customHeight="1" x14ac:dyDescent="0.15"/>
    <row r="58202" s="8" customFormat="1" ht="32.1" customHeight="1" x14ac:dyDescent="0.15"/>
    <row r="58203" s="8" customFormat="1" ht="32.1" customHeight="1" x14ac:dyDescent="0.15"/>
    <row r="58204" s="8" customFormat="1" ht="32.1" customHeight="1" x14ac:dyDescent="0.15"/>
    <row r="58205" s="8" customFormat="1" ht="32.1" customHeight="1" x14ac:dyDescent="0.15"/>
    <row r="58206" s="9" customFormat="1" ht="32.1" customHeight="1" x14ac:dyDescent="0.15"/>
    <row r="58207" s="9" customFormat="1" ht="32.1" customHeight="1" x14ac:dyDescent="0.15"/>
    <row r="58208" s="9" customFormat="1" ht="32.1" customHeight="1" x14ac:dyDescent="0.15"/>
    <row r="58209" s="9" customFormat="1" ht="32.1" customHeight="1" x14ac:dyDescent="0.15"/>
    <row r="58210" s="9" customFormat="1" ht="21.95" customHeight="1" x14ac:dyDescent="0.15"/>
    <row r="58211" s="9" customFormat="1" ht="54" customHeight="1" x14ac:dyDescent="0.15"/>
    <row r="58212" s="9" customFormat="1" ht="21.95" customHeight="1" x14ac:dyDescent="0.15"/>
    <row r="58213" s="9" customFormat="1" ht="21.95" customHeight="1" x14ac:dyDescent="0.15"/>
    <row r="58214" s="9" customFormat="1" ht="21.95" customHeight="1" x14ac:dyDescent="0.15"/>
    <row r="58215" s="9" customFormat="1" ht="21.95" customHeight="1" x14ac:dyDescent="0.15"/>
    <row r="58216" s="9" customFormat="1" ht="21.95" customHeight="1" x14ac:dyDescent="0.15"/>
    <row r="58217" s="9" customFormat="1" ht="21.95" customHeight="1" x14ac:dyDescent="0.15"/>
    <row r="58218" s="9" customFormat="1" ht="21.95" customHeight="1" x14ac:dyDescent="0.15"/>
    <row r="58219" s="9" customFormat="1" ht="21.95" customHeight="1" x14ac:dyDescent="0.15"/>
    <row r="58220" s="9" customFormat="1" ht="21.95" customHeight="1" x14ac:dyDescent="0.15"/>
    <row r="58221" s="9" customFormat="1" ht="21.95" customHeight="1" x14ac:dyDescent="0.15"/>
    <row r="58222" s="9" customFormat="1" ht="21.95" customHeight="1" x14ac:dyDescent="0.15"/>
    <row r="58223" s="9" customFormat="1" ht="21.95" customHeight="1" x14ac:dyDescent="0.15"/>
    <row r="58224" s="9" customFormat="1" ht="21.95" customHeight="1" x14ac:dyDescent="0.15"/>
    <row r="58225" s="9" customFormat="1" ht="21.95" customHeight="1" x14ac:dyDescent="0.15"/>
    <row r="58226" s="9" customFormat="1" ht="21.95" customHeight="1" x14ac:dyDescent="0.15"/>
    <row r="58227" s="9" customFormat="1" ht="21.95" customHeight="1" x14ac:dyDescent="0.15"/>
    <row r="58228" s="9" customFormat="1" ht="21.95" customHeight="1" x14ac:dyDescent="0.15"/>
    <row r="58229" s="9" customFormat="1" ht="21.95" customHeight="1" x14ac:dyDescent="0.15"/>
    <row r="58230" s="9" customFormat="1" ht="21.95" customHeight="1" x14ac:dyDescent="0.15"/>
    <row r="58231" s="9" customFormat="1" ht="21.95" customHeight="1" x14ac:dyDescent="0.15"/>
    <row r="58232" s="9" customFormat="1" ht="21.95" customHeight="1" x14ac:dyDescent="0.15"/>
    <row r="58233" s="9" customFormat="1" ht="21.95" customHeight="1" x14ac:dyDescent="0.15"/>
    <row r="58234" s="9" customFormat="1" ht="21.95" customHeight="1" x14ac:dyDescent="0.15"/>
    <row r="58235" s="9" customFormat="1" ht="21.95" customHeight="1" x14ac:dyDescent="0.15"/>
    <row r="58236" s="9" customFormat="1" ht="21.95" customHeight="1" x14ac:dyDescent="0.15"/>
    <row r="58237" s="9" customFormat="1" ht="21.95" customHeight="1" x14ac:dyDescent="0.15"/>
    <row r="58238" s="9" customFormat="1" ht="21.95" customHeight="1" x14ac:dyDescent="0.15"/>
    <row r="58239" s="9" customFormat="1" ht="21.95" customHeight="1" x14ac:dyDescent="0.15"/>
    <row r="58240" s="9" customFormat="1" ht="21.95" customHeight="1" x14ac:dyDescent="0.15"/>
    <row r="58241" s="9" customFormat="1" ht="21.95" customHeight="1" x14ac:dyDescent="0.15"/>
    <row r="58242" s="9" customFormat="1" ht="21.95" customHeight="1" x14ac:dyDescent="0.15"/>
    <row r="58243" s="9" customFormat="1" ht="21.95" customHeight="1" x14ac:dyDescent="0.15"/>
    <row r="58244" s="9" customFormat="1" ht="21.95" customHeight="1" x14ac:dyDescent="0.15"/>
    <row r="58245" s="9" customFormat="1" ht="21.95" customHeight="1" x14ac:dyDescent="0.15"/>
    <row r="58246" s="9" customFormat="1" ht="21.95" customHeight="1" x14ac:dyDescent="0.15"/>
    <row r="58247" s="9" customFormat="1" ht="21.95" customHeight="1" x14ac:dyDescent="0.15"/>
    <row r="58248" s="9" customFormat="1" ht="21.95" customHeight="1" x14ac:dyDescent="0.15"/>
    <row r="58249" s="9" customFormat="1" ht="21.95" customHeight="1" x14ac:dyDescent="0.15"/>
    <row r="58250" s="9" customFormat="1" ht="21.95" customHeight="1" x14ac:dyDescent="0.15"/>
    <row r="58251" s="9" customFormat="1" ht="21.95" customHeight="1" x14ac:dyDescent="0.15"/>
    <row r="58252" s="9" customFormat="1" ht="21.95" customHeight="1" x14ac:dyDescent="0.15"/>
    <row r="58253" s="9" customFormat="1" ht="21.95" customHeight="1" x14ac:dyDescent="0.15"/>
    <row r="58254" s="9" customFormat="1" ht="21.95" customHeight="1" x14ac:dyDescent="0.15"/>
    <row r="58255" s="9" customFormat="1" ht="21.95" customHeight="1" x14ac:dyDescent="0.15"/>
    <row r="58256" s="9" customFormat="1" ht="21.95" customHeight="1" x14ac:dyDescent="0.15"/>
    <row r="58257" s="9" customFormat="1" ht="21.95" customHeight="1" x14ac:dyDescent="0.15"/>
    <row r="58258" s="9" customFormat="1" ht="21.95" customHeight="1" x14ac:dyDescent="0.15"/>
    <row r="58259" s="9" customFormat="1" ht="21.95" customHeight="1" x14ac:dyDescent="0.15"/>
    <row r="58260" s="9" customFormat="1" ht="21.95" customHeight="1" x14ac:dyDescent="0.15"/>
    <row r="58261" s="9" customFormat="1" ht="21.95" customHeight="1" x14ac:dyDescent="0.15"/>
    <row r="58262" s="9" customFormat="1" ht="35.1" customHeight="1" x14ac:dyDescent="0.15"/>
    <row r="58263" s="9" customFormat="1" ht="21.95" customHeight="1" x14ac:dyDescent="0.15"/>
    <row r="58264" s="9" customFormat="1" ht="21.95" customHeight="1" x14ac:dyDescent="0.15"/>
    <row r="58265" s="9" customFormat="1" ht="21.95" customHeight="1" x14ac:dyDescent="0.15"/>
    <row r="58266" s="9" customFormat="1" ht="21.95" customHeight="1" x14ac:dyDescent="0.15"/>
    <row r="58267" s="9" customFormat="1" ht="21.95" customHeight="1" x14ac:dyDescent="0.15"/>
    <row r="58268" s="9" customFormat="1" ht="21.95" customHeight="1" x14ac:dyDescent="0.15"/>
    <row r="58269" s="9" customFormat="1" ht="21.95" customHeight="1" x14ac:dyDescent="0.15"/>
    <row r="58270" s="9" customFormat="1" ht="21.95" customHeight="1" x14ac:dyDescent="0.15"/>
    <row r="58271" s="9" customFormat="1" ht="21.95" customHeight="1" x14ac:dyDescent="0.15"/>
    <row r="58272" s="9" customFormat="1" ht="21.95" customHeight="1" x14ac:dyDescent="0.15"/>
    <row r="58273" spans="3:3" s="9" customFormat="1" ht="21.95" customHeight="1" x14ac:dyDescent="0.15"/>
    <row r="58274" spans="3:3" s="9" customFormat="1" ht="21.95" customHeight="1" x14ac:dyDescent="0.15"/>
    <row r="58275" spans="3:3" s="9" customFormat="1" ht="21.95" customHeight="1" x14ac:dyDescent="0.15"/>
    <row r="58276" spans="3:3" s="9" customFormat="1" ht="21.95" customHeight="1" x14ac:dyDescent="0.15"/>
    <row r="58277" spans="3:3" s="9" customFormat="1" ht="21.95" customHeight="1" x14ac:dyDescent="0.15"/>
    <row r="58278" spans="3:3" s="9" customFormat="1" ht="21.95" customHeight="1" x14ac:dyDescent="0.15"/>
    <row r="58279" spans="3:3" s="9" customFormat="1" ht="21.95" customHeight="1" x14ac:dyDescent="0.15"/>
    <row r="58280" spans="3:3" s="9" customFormat="1" ht="21.95" customHeight="1" x14ac:dyDescent="0.15"/>
    <row r="58281" spans="3:3" s="9" customFormat="1" ht="21.95" customHeight="1" x14ac:dyDescent="0.15"/>
    <row r="58282" spans="3:3" s="9" customFormat="1" ht="21.95" customHeight="1" x14ac:dyDescent="0.15"/>
    <row r="58283" spans="3:3" s="9" customFormat="1" ht="21.95" customHeight="1" x14ac:dyDescent="0.15"/>
    <row r="58284" spans="3:3" s="9" customFormat="1" ht="21.95" customHeight="1" x14ac:dyDescent="0.15"/>
    <row r="58285" spans="3:3" s="9" customFormat="1" ht="21.95" customHeight="1" x14ac:dyDescent="0.15"/>
    <row r="58286" spans="3:3" s="8" customFormat="1" ht="21.95" customHeight="1" x14ac:dyDescent="0.15"/>
    <row r="58287" spans="3:3" s="8" customFormat="1" ht="21.95" customHeight="1" x14ac:dyDescent="0.15"/>
    <row r="58288" spans="3:3" s="8" customFormat="1" ht="21.95" customHeight="1" x14ac:dyDescent="0.15">
      <c r="C58288" s="101"/>
    </row>
    <row r="58289" spans="3:3" s="8" customFormat="1" ht="21.95" customHeight="1" x14ac:dyDescent="0.15">
      <c r="C58289" s="101"/>
    </row>
    <row r="58290" spans="3:3" s="8" customFormat="1" ht="21.95" customHeight="1" x14ac:dyDescent="0.15"/>
    <row r="58291" spans="3:3" s="8" customFormat="1" ht="21.95" customHeight="1" x14ac:dyDescent="0.15"/>
    <row r="58292" spans="3:3" s="8" customFormat="1" ht="21.95" customHeight="1" x14ac:dyDescent="0.15"/>
    <row r="58293" spans="3:3" s="8" customFormat="1" ht="21.95" customHeight="1" x14ac:dyDescent="0.15"/>
    <row r="58294" spans="3:3" s="8" customFormat="1" ht="21.95" customHeight="1" x14ac:dyDescent="0.15"/>
    <row r="58295" spans="3:3" s="8" customFormat="1" ht="21.95" customHeight="1" x14ac:dyDescent="0.15"/>
    <row r="58296" spans="3:3" s="8" customFormat="1" ht="21.95" customHeight="1" x14ac:dyDescent="0.15"/>
    <row r="58297" spans="3:3" s="9" customFormat="1" ht="21.95" customHeight="1" x14ac:dyDescent="0.15"/>
    <row r="58298" spans="3:3" s="9" customFormat="1" ht="21.95" customHeight="1" x14ac:dyDescent="0.15"/>
    <row r="58299" spans="3:3" s="9" customFormat="1" ht="21.95" customHeight="1" x14ac:dyDescent="0.15"/>
    <row r="58300" spans="3:3" s="9" customFormat="1" ht="21.95" customHeight="1" x14ac:dyDescent="0.15"/>
    <row r="58301" spans="3:3" s="8" customFormat="1" ht="21.95" customHeight="1" x14ac:dyDescent="0.15"/>
    <row r="58302" spans="3:3" s="8" customFormat="1" ht="21.95" customHeight="1" x14ac:dyDescent="0.15"/>
    <row r="58303" spans="3:3" s="8" customFormat="1" ht="21.95" customHeight="1" x14ac:dyDescent="0.15"/>
    <row r="58304" spans="3:3" s="8" customFormat="1" ht="21.95" customHeight="1" x14ac:dyDescent="0.15"/>
    <row r="58305" s="8" customFormat="1" ht="21.95" customHeight="1" x14ac:dyDescent="0.15"/>
    <row r="58306" s="8" customFormat="1" ht="21.95" customHeight="1" x14ac:dyDescent="0.15"/>
    <row r="58307" s="8" customFormat="1" ht="21.95" customHeight="1" x14ac:dyDescent="0.15"/>
    <row r="58308" s="8" customFormat="1" ht="21.95" customHeight="1" x14ac:dyDescent="0.15"/>
    <row r="58309" s="8" customFormat="1" ht="21.95" customHeight="1" x14ac:dyDescent="0.15"/>
    <row r="58310" s="8" customFormat="1" ht="21.95" customHeight="1" x14ac:dyDescent="0.15"/>
    <row r="58311" s="8" customFormat="1" ht="21.95" customHeight="1" x14ac:dyDescent="0.15"/>
    <row r="58312" s="8" customFormat="1" ht="32.1" customHeight="1" x14ac:dyDescent="0.15"/>
    <row r="58313" s="8" customFormat="1" ht="32.1" customHeight="1" x14ac:dyDescent="0.15"/>
    <row r="58314" s="8" customFormat="1" ht="32.1" customHeight="1" x14ac:dyDescent="0.15"/>
    <row r="58315" s="8" customFormat="1" ht="32.1" customHeight="1" x14ac:dyDescent="0.15"/>
    <row r="58316" s="8" customFormat="1" ht="32.1" customHeight="1" x14ac:dyDescent="0.15"/>
    <row r="58317" s="8" customFormat="1" ht="32.1" customHeight="1" x14ac:dyDescent="0.15"/>
    <row r="58318" s="9" customFormat="1" ht="32.1" customHeight="1" x14ac:dyDescent="0.15"/>
    <row r="58319" s="9" customFormat="1" ht="32.1" customHeight="1" x14ac:dyDescent="0.15"/>
    <row r="58320" s="9" customFormat="1" ht="32.1" customHeight="1" x14ac:dyDescent="0.15"/>
    <row r="58321" s="9" customFormat="1" ht="32.1" customHeight="1" x14ac:dyDescent="0.15"/>
    <row r="58322" s="9" customFormat="1" ht="21.95" customHeight="1" x14ac:dyDescent="0.15"/>
    <row r="58323" s="9" customFormat="1" ht="54" customHeight="1" x14ac:dyDescent="0.15"/>
    <row r="58324" s="9" customFormat="1" ht="21.95" customHeight="1" x14ac:dyDescent="0.15"/>
    <row r="58325" s="9" customFormat="1" ht="21.95" customHeight="1" x14ac:dyDescent="0.15"/>
    <row r="58326" s="9" customFormat="1" ht="21.95" customHeight="1" x14ac:dyDescent="0.15"/>
    <row r="58327" s="9" customFormat="1" ht="21.95" customHeight="1" x14ac:dyDescent="0.15"/>
    <row r="58328" s="9" customFormat="1" ht="21.95" customHeight="1" x14ac:dyDescent="0.15"/>
    <row r="58329" s="9" customFormat="1" ht="21.95" customHeight="1" x14ac:dyDescent="0.15"/>
    <row r="58330" s="9" customFormat="1" ht="21.95" customHeight="1" x14ac:dyDescent="0.15"/>
    <row r="58331" s="9" customFormat="1" ht="21.95" customHeight="1" x14ac:dyDescent="0.15"/>
    <row r="58332" s="9" customFormat="1" ht="21.95" customHeight="1" x14ac:dyDescent="0.15"/>
    <row r="58333" s="9" customFormat="1" ht="21.95" customHeight="1" x14ac:dyDescent="0.15"/>
    <row r="58334" s="9" customFormat="1" ht="21.95" customHeight="1" x14ac:dyDescent="0.15"/>
    <row r="58335" s="9" customFormat="1" ht="21.95" customHeight="1" x14ac:dyDescent="0.15"/>
    <row r="58336" s="9" customFormat="1" ht="21.95" customHeight="1" x14ac:dyDescent="0.15"/>
    <row r="58337" s="9" customFormat="1" ht="21.95" customHeight="1" x14ac:dyDescent="0.15"/>
    <row r="58338" s="9" customFormat="1" ht="21.95" customHeight="1" x14ac:dyDescent="0.15"/>
    <row r="58339" s="9" customFormat="1" ht="21.95" customHeight="1" x14ac:dyDescent="0.15"/>
    <row r="58340" s="9" customFormat="1" ht="21.95" customHeight="1" x14ac:dyDescent="0.15"/>
    <row r="58341" s="9" customFormat="1" ht="21.95" customHeight="1" x14ac:dyDescent="0.15"/>
    <row r="58342" s="9" customFormat="1" ht="21.95" customHeight="1" x14ac:dyDescent="0.15"/>
    <row r="58343" s="9" customFormat="1" ht="21.95" customHeight="1" x14ac:dyDescent="0.15"/>
    <row r="58344" s="9" customFormat="1" ht="21.95" customHeight="1" x14ac:dyDescent="0.15"/>
    <row r="58345" s="9" customFormat="1" ht="21.95" customHeight="1" x14ac:dyDescent="0.15"/>
    <row r="58346" s="9" customFormat="1" ht="21.95" customHeight="1" x14ac:dyDescent="0.15"/>
    <row r="58347" s="9" customFormat="1" ht="21.95" customHeight="1" x14ac:dyDescent="0.15"/>
    <row r="58348" s="9" customFormat="1" ht="21.95" customHeight="1" x14ac:dyDescent="0.15"/>
    <row r="58349" s="9" customFormat="1" ht="21.95" customHeight="1" x14ac:dyDescent="0.15"/>
    <row r="58350" s="9" customFormat="1" ht="21.95" customHeight="1" x14ac:dyDescent="0.15"/>
    <row r="58351" s="9" customFormat="1" ht="21.95" customHeight="1" x14ac:dyDescent="0.15"/>
    <row r="58352" s="9" customFormat="1" ht="21.95" customHeight="1" x14ac:dyDescent="0.15"/>
    <row r="58353" s="9" customFormat="1" ht="21.95" customHeight="1" x14ac:dyDescent="0.15"/>
    <row r="58354" s="9" customFormat="1" ht="21.95" customHeight="1" x14ac:dyDescent="0.15"/>
    <row r="58355" s="9" customFormat="1" ht="21.95" customHeight="1" x14ac:dyDescent="0.15"/>
    <row r="58356" s="9" customFormat="1" ht="21.95" customHeight="1" x14ac:dyDescent="0.15"/>
    <row r="58357" s="9" customFormat="1" ht="21.95" customHeight="1" x14ac:dyDescent="0.15"/>
    <row r="58358" s="9" customFormat="1" ht="21.95" customHeight="1" x14ac:dyDescent="0.15"/>
    <row r="58359" s="9" customFormat="1" ht="21.95" customHeight="1" x14ac:dyDescent="0.15"/>
    <row r="58360" s="9" customFormat="1" ht="21.95" customHeight="1" x14ac:dyDescent="0.15"/>
    <row r="58361" s="9" customFormat="1" ht="21.95" customHeight="1" x14ac:dyDescent="0.15"/>
    <row r="58362" s="9" customFormat="1" ht="21.95" customHeight="1" x14ac:dyDescent="0.15"/>
    <row r="58363" s="9" customFormat="1" ht="21.95" customHeight="1" x14ac:dyDescent="0.15"/>
    <row r="58364" s="9" customFormat="1" ht="21.95" customHeight="1" x14ac:dyDescent="0.15"/>
    <row r="58365" s="9" customFormat="1" ht="21.95" customHeight="1" x14ac:dyDescent="0.15"/>
    <row r="58366" s="9" customFormat="1" ht="21.95" customHeight="1" x14ac:dyDescent="0.15"/>
    <row r="58367" s="9" customFormat="1" ht="21.95" customHeight="1" x14ac:dyDescent="0.15"/>
    <row r="58368" s="9" customFormat="1" ht="21.95" customHeight="1" x14ac:dyDescent="0.15"/>
    <row r="58369" s="9" customFormat="1" ht="21.95" customHeight="1" x14ac:dyDescent="0.15"/>
    <row r="58370" s="9" customFormat="1" ht="21.95" customHeight="1" x14ac:dyDescent="0.15"/>
    <row r="58371" s="9" customFormat="1" ht="21.95" customHeight="1" x14ac:dyDescent="0.15"/>
    <row r="58372" s="9" customFormat="1" ht="21.95" customHeight="1" x14ac:dyDescent="0.15"/>
    <row r="58373" s="9" customFormat="1" ht="21.95" customHeight="1" x14ac:dyDescent="0.15"/>
    <row r="58374" s="9" customFormat="1" ht="35.1" customHeight="1" x14ac:dyDescent="0.15"/>
    <row r="58375" s="9" customFormat="1" ht="21.95" customHeight="1" x14ac:dyDescent="0.15"/>
    <row r="58376" s="9" customFormat="1" ht="21.95" customHeight="1" x14ac:dyDescent="0.15"/>
    <row r="58377" s="9" customFormat="1" ht="21.95" customHeight="1" x14ac:dyDescent="0.15"/>
    <row r="58378" s="9" customFormat="1" ht="21.95" customHeight="1" x14ac:dyDescent="0.15"/>
    <row r="58379" s="9" customFormat="1" ht="21.95" customHeight="1" x14ac:dyDescent="0.15"/>
    <row r="58380" s="9" customFormat="1" ht="21.95" customHeight="1" x14ac:dyDescent="0.15"/>
    <row r="58381" s="9" customFormat="1" ht="21.95" customHeight="1" x14ac:dyDescent="0.15"/>
    <row r="58382" s="9" customFormat="1" ht="21.95" customHeight="1" x14ac:dyDescent="0.15"/>
    <row r="58383" s="9" customFormat="1" ht="21.95" customHeight="1" x14ac:dyDescent="0.15"/>
    <row r="58384" s="9" customFormat="1" ht="21.95" customHeight="1" x14ac:dyDescent="0.15"/>
    <row r="58385" spans="3:3" s="9" customFormat="1" ht="21.95" customHeight="1" x14ac:dyDescent="0.15"/>
    <row r="58386" spans="3:3" s="9" customFormat="1" ht="21.95" customHeight="1" x14ac:dyDescent="0.15"/>
    <row r="58387" spans="3:3" s="9" customFormat="1" ht="21.95" customHeight="1" x14ac:dyDescent="0.15"/>
    <row r="58388" spans="3:3" s="9" customFormat="1" ht="21.95" customHeight="1" x14ac:dyDescent="0.15"/>
    <row r="58389" spans="3:3" s="9" customFormat="1" ht="21.95" customHeight="1" x14ac:dyDescent="0.15"/>
    <row r="58390" spans="3:3" s="9" customFormat="1" ht="21.95" customHeight="1" x14ac:dyDescent="0.15"/>
    <row r="58391" spans="3:3" s="9" customFormat="1" ht="21.95" customHeight="1" x14ac:dyDescent="0.15"/>
    <row r="58392" spans="3:3" s="9" customFormat="1" ht="21.95" customHeight="1" x14ac:dyDescent="0.15"/>
    <row r="58393" spans="3:3" s="9" customFormat="1" ht="21.95" customHeight="1" x14ac:dyDescent="0.15"/>
    <row r="58394" spans="3:3" s="9" customFormat="1" ht="21.95" customHeight="1" x14ac:dyDescent="0.15"/>
    <row r="58395" spans="3:3" s="9" customFormat="1" ht="21.95" customHeight="1" x14ac:dyDescent="0.15"/>
    <row r="58396" spans="3:3" s="9" customFormat="1" ht="21.95" customHeight="1" x14ac:dyDescent="0.15"/>
    <row r="58397" spans="3:3" s="9" customFormat="1" ht="21.95" customHeight="1" x14ac:dyDescent="0.15"/>
    <row r="58398" spans="3:3" s="8" customFormat="1" ht="21.95" customHeight="1" x14ac:dyDescent="0.15"/>
    <row r="58399" spans="3:3" s="8" customFormat="1" ht="21.95" customHeight="1" x14ac:dyDescent="0.15"/>
    <row r="58400" spans="3:3" s="8" customFormat="1" ht="21.95" customHeight="1" x14ac:dyDescent="0.15">
      <c r="C58400" s="101"/>
    </row>
    <row r="58401" spans="3:3" s="8" customFormat="1" ht="21.95" customHeight="1" x14ac:dyDescent="0.15">
      <c r="C58401" s="101"/>
    </row>
    <row r="58402" spans="3:3" s="8" customFormat="1" ht="21.95" customHeight="1" x14ac:dyDescent="0.15"/>
    <row r="58403" spans="3:3" s="8" customFormat="1" ht="21.95" customHeight="1" x14ac:dyDescent="0.15"/>
    <row r="58404" spans="3:3" s="8" customFormat="1" ht="21.95" customHeight="1" x14ac:dyDescent="0.15"/>
    <row r="58405" spans="3:3" s="8" customFormat="1" ht="21.95" customHeight="1" x14ac:dyDescent="0.15"/>
    <row r="58406" spans="3:3" s="8" customFormat="1" ht="21.95" customHeight="1" x14ac:dyDescent="0.15"/>
    <row r="58407" spans="3:3" s="8" customFormat="1" ht="21.95" customHeight="1" x14ac:dyDescent="0.15"/>
    <row r="58408" spans="3:3" s="8" customFormat="1" ht="21.95" customHeight="1" x14ac:dyDescent="0.15"/>
    <row r="58409" spans="3:3" s="9" customFormat="1" ht="21.95" customHeight="1" x14ac:dyDescent="0.15"/>
    <row r="58410" spans="3:3" s="9" customFormat="1" ht="21.95" customHeight="1" x14ac:dyDescent="0.15"/>
    <row r="58411" spans="3:3" s="9" customFormat="1" ht="21.95" customHeight="1" x14ac:dyDescent="0.15"/>
    <row r="58412" spans="3:3" s="9" customFormat="1" ht="21.95" customHeight="1" x14ac:dyDescent="0.15"/>
    <row r="58413" spans="3:3" s="8" customFormat="1" ht="21.95" customHeight="1" x14ac:dyDescent="0.15"/>
    <row r="58414" spans="3:3" s="8" customFormat="1" ht="21.95" customHeight="1" x14ac:dyDescent="0.15"/>
    <row r="58415" spans="3:3" s="8" customFormat="1" ht="21.95" customHeight="1" x14ac:dyDescent="0.15"/>
    <row r="58416" spans="3:3" s="8" customFormat="1" ht="21.95" customHeight="1" x14ac:dyDescent="0.15"/>
    <row r="58417" s="8" customFormat="1" ht="21.95" customHeight="1" x14ac:dyDescent="0.15"/>
    <row r="58418" s="8" customFormat="1" ht="21.95" customHeight="1" x14ac:dyDescent="0.15"/>
    <row r="58419" s="8" customFormat="1" ht="21.95" customHeight="1" x14ac:dyDescent="0.15"/>
    <row r="58420" s="8" customFormat="1" ht="21.95" customHeight="1" x14ac:dyDescent="0.15"/>
    <row r="58421" s="8" customFormat="1" ht="21.95" customHeight="1" x14ac:dyDescent="0.15"/>
    <row r="58422" s="8" customFormat="1" ht="21.95" customHeight="1" x14ac:dyDescent="0.15"/>
    <row r="58423" s="8" customFormat="1" ht="21.95" customHeight="1" x14ac:dyDescent="0.15"/>
    <row r="58424" s="8" customFormat="1" ht="32.1" customHeight="1" x14ac:dyDescent="0.15"/>
    <row r="58425" s="8" customFormat="1" ht="32.1" customHeight="1" x14ac:dyDescent="0.15"/>
    <row r="58426" s="8" customFormat="1" ht="32.1" customHeight="1" x14ac:dyDescent="0.15"/>
    <row r="58427" s="8" customFormat="1" ht="32.1" customHeight="1" x14ac:dyDescent="0.15"/>
    <row r="58428" s="8" customFormat="1" ht="32.1" customHeight="1" x14ac:dyDescent="0.15"/>
    <row r="58429" s="8" customFormat="1" ht="32.1" customHeight="1" x14ac:dyDescent="0.15"/>
    <row r="58430" s="9" customFormat="1" ht="32.1" customHeight="1" x14ac:dyDescent="0.15"/>
    <row r="58431" s="9" customFormat="1" ht="32.1" customHeight="1" x14ac:dyDescent="0.15"/>
    <row r="58432" s="9" customFormat="1" ht="32.1" customHeight="1" x14ac:dyDescent="0.15"/>
    <row r="58433" s="9" customFormat="1" ht="32.1" customHeight="1" x14ac:dyDescent="0.15"/>
    <row r="58434" s="9" customFormat="1" ht="21.95" customHeight="1" x14ac:dyDescent="0.15"/>
    <row r="58435" s="9" customFormat="1" ht="54" customHeight="1" x14ac:dyDescent="0.15"/>
    <row r="58436" s="9" customFormat="1" ht="21.95" customHeight="1" x14ac:dyDescent="0.15"/>
    <row r="58437" s="9" customFormat="1" ht="21.95" customHeight="1" x14ac:dyDescent="0.15"/>
    <row r="58438" s="9" customFormat="1" ht="21.95" customHeight="1" x14ac:dyDescent="0.15"/>
    <row r="58439" s="9" customFormat="1" ht="21.95" customHeight="1" x14ac:dyDescent="0.15"/>
    <row r="58440" s="9" customFormat="1" ht="21.95" customHeight="1" x14ac:dyDescent="0.15"/>
    <row r="58441" s="9" customFormat="1" ht="21.95" customHeight="1" x14ac:dyDescent="0.15"/>
    <row r="58442" s="9" customFormat="1" ht="21.95" customHeight="1" x14ac:dyDescent="0.15"/>
    <row r="58443" s="9" customFormat="1" ht="21.95" customHeight="1" x14ac:dyDescent="0.15"/>
    <row r="58444" s="9" customFormat="1" ht="21.95" customHeight="1" x14ac:dyDescent="0.15"/>
    <row r="58445" s="9" customFormat="1" ht="21.95" customHeight="1" x14ac:dyDescent="0.15"/>
    <row r="58446" s="9" customFormat="1" ht="21.95" customHeight="1" x14ac:dyDescent="0.15"/>
    <row r="58447" s="9" customFormat="1" ht="21.95" customHeight="1" x14ac:dyDescent="0.15"/>
    <row r="58448" s="9" customFormat="1" ht="21.95" customHeight="1" x14ac:dyDescent="0.15"/>
    <row r="58449" s="9" customFormat="1" ht="21.95" customHeight="1" x14ac:dyDescent="0.15"/>
    <row r="58450" s="9" customFormat="1" ht="21.95" customHeight="1" x14ac:dyDescent="0.15"/>
    <row r="58451" s="9" customFormat="1" ht="21.95" customHeight="1" x14ac:dyDescent="0.15"/>
    <row r="58452" s="9" customFormat="1" ht="21.95" customHeight="1" x14ac:dyDescent="0.15"/>
    <row r="58453" s="9" customFormat="1" ht="21.95" customHeight="1" x14ac:dyDescent="0.15"/>
    <row r="58454" s="9" customFormat="1" ht="21.95" customHeight="1" x14ac:dyDescent="0.15"/>
    <row r="58455" s="9" customFormat="1" ht="21.95" customHeight="1" x14ac:dyDescent="0.15"/>
    <row r="58456" s="9" customFormat="1" ht="21.95" customHeight="1" x14ac:dyDescent="0.15"/>
    <row r="58457" s="9" customFormat="1" ht="21.95" customHeight="1" x14ac:dyDescent="0.15"/>
    <row r="58458" s="9" customFormat="1" ht="21.95" customHeight="1" x14ac:dyDescent="0.15"/>
    <row r="58459" s="9" customFormat="1" ht="21.95" customHeight="1" x14ac:dyDescent="0.15"/>
    <row r="58460" s="9" customFormat="1" ht="21.95" customHeight="1" x14ac:dyDescent="0.15"/>
    <row r="58461" s="9" customFormat="1" ht="21.95" customHeight="1" x14ac:dyDescent="0.15"/>
    <row r="58462" s="9" customFormat="1" ht="21.95" customHeight="1" x14ac:dyDescent="0.15"/>
    <row r="58463" s="9" customFormat="1" ht="21.95" customHeight="1" x14ac:dyDescent="0.15"/>
    <row r="58464" s="9" customFormat="1" ht="21.95" customHeight="1" x14ac:dyDescent="0.15"/>
    <row r="58465" s="9" customFormat="1" ht="21.95" customHeight="1" x14ac:dyDescent="0.15"/>
    <row r="58466" s="9" customFormat="1" ht="21.95" customHeight="1" x14ac:dyDescent="0.15"/>
    <row r="58467" s="9" customFormat="1" ht="21.95" customHeight="1" x14ac:dyDescent="0.15"/>
    <row r="58468" s="9" customFormat="1" ht="21.95" customHeight="1" x14ac:dyDescent="0.15"/>
    <row r="58469" s="9" customFormat="1" ht="21.95" customHeight="1" x14ac:dyDescent="0.15"/>
    <row r="58470" s="9" customFormat="1" ht="21.95" customHeight="1" x14ac:dyDescent="0.15"/>
    <row r="58471" s="9" customFormat="1" ht="21.95" customHeight="1" x14ac:dyDescent="0.15"/>
    <row r="58472" s="9" customFormat="1" ht="21.95" customHeight="1" x14ac:dyDescent="0.15"/>
    <row r="58473" s="9" customFormat="1" ht="21.95" customHeight="1" x14ac:dyDescent="0.15"/>
    <row r="58474" s="9" customFormat="1" ht="21.95" customHeight="1" x14ac:dyDescent="0.15"/>
    <row r="58475" s="9" customFormat="1" ht="21.95" customHeight="1" x14ac:dyDescent="0.15"/>
    <row r="58476" s="9" customFormat="1" ht="21.95" customHeight="1" x14ac:dyDescent="0.15"/>
    <row r="58477" s="9" customFormat="1" ht="21.95" customHeight="1" x14ac:dyDescent="0.15"/>
    <row r="58478" s="9" customFormat="1" ht="21.95" customHeight="1" x14ac:dyDescent="0.15"/>
    <row r="58479" s="9" customFormat="1" ht="21.95" customHeight="1" x14ac:dyDescent="0.15"/>
    <row r="58480" s="9" customFormat="1" ht="21.95" customHeight="1" x14ac:dyDescent="0.15"/>
    <row r="58481" s="9" customFormat="1" ht="21.95" customHeight="1" x14ac:dyDescent="0.15"/>
    <row r="58482" s="9" customFormat="1" ht="21.95" customHeight="1" x14ac:dyDescent="0.15"/>
    <row r="58483" s="9" customFormat="1" ht="21.95" customHeight="1" x14ac:dyDescent="0.15"/>
    <row r="58484" s="9" customFormat="1" ht="21.95" customHeight="1" x14ac:dyDescent="0.15"/>
    <row r="58485" s="9" customFormat="1" ht="21.95" customHeight="1" x14ac:dyDescent="0.15"/>
    <row r="58486" s="9" customFormat="1" ht="35.1" customHeight="1" x14ac:dyDescent="0.15"/>
    <row r="58487" s="9" customFormat="1" ht="21.95" customHeight="1" x14ac:dyDescent="0.15"/>
    <row r="58488" s="9" customFormat="1" ht="21.95" customHeight="1" x14ac:dyDescent="0.15"/>
    <row r="58489" s="9" customFormat="1" ht="21.95" customHeight="1" x14ac:dyDescent="0.15"/>
    <row r="58490" s="9" customFormat="1" ht="21.95" customHeight="1" x14ac:dyDescent="0.15"/>
    <row r="58491" s="9" customFormat="1" ht="21.95" customHeight="1" x14ac:dyDescent="0.15"/>
    <row r="58492" s="9" customFormat="1" ht="21.95" customHeight="1" x14ac:dyDescent="0.15"/>
    <row r="58493" s="9" customFormat="1" ht="21.95" customHeight="1" x14ac:dyDescent="0.15"/>
    <row r="58494" s="9" customFormat="1" ht="21.95" customHeight="1" x14ac:dyDescent="0.15"/>
    <row r="58495" s="9" customFormat="1" ht="21.95" customHeight="1" x14ac:dyDescent="0.15"/>
    <row r="58496" s="9" customFormat="1" ht="21.95" customHeight="1" x14ac:dyDescent="0.15"/>
    <row r="58497" spans="3:3" s="9" customFormat="1" ht="21.95" customHeight="1" x14ac:dyDescent="0.15"/>
    <row r="58498" spans="3:3" s="9" customFormat="1" ht="21.95" customHeight="1" x14ac:dyDescent="0.15"/>
    <row r="58499" spans="3:3" s="9" customFormat="1" ht="21.95" customHeight="1" x14ac:dyDescent="0.15"/>
    <row r="58500" spans="3:3" s="9" customFormat="1" ht="21.95" customHeight="1" x14ac:dyDescent="0.15"/>
    <row r="58501" spans="3:3" s="9" customFormat="1" ht="21.95" customHeight="1" x14ac:dyDescent="0.15"/>
    <row r="58502" spans="3:3" s="9" customFormat="1" ht="21.95" customHeight="1" x14ac:dyDescent="0.15"/>
    <row r="58503" spans="3:3" s="9" customFormat="1" ht="21.95" customHeight="1" x14ac:dyDescent="0.15"/>
    <row r="58504" spans="3:3" s="9" customFormat="1" ht="21.95" customHeight="1" x14ac:dyDescent="0.15"/>
    <row r="58505" spans="3:3" s="9" customFormat="1" ht="21.95" customHeight="1" x14ac:dyDescent="0.15"/>
    <row r="58506" spans="3:3" s="9" customFormat="1" ht="21.95" customHeight="1" x14ac:dyDescent="0.15"/>
    <row r="58507" spans="3:3" s="9" customFormat="1" ht="21.95" customHeight="1" x14ac:dyDescent="0.15"/>
    <row r="58508" spans="3:3" s="9" customFormat="1" ht="21.95" customHeight="1" x14ac:dyDescent="0.15"/>
    <row r="58509" spans="3:3" s="9" customFormat="1" ht="21.95" customHeight="1" x14ac:dyDescent="0.15"/>
    <row r="58510" spans="3:3" s="8" customFormat="1" ht="21.95" customHeight="1" x14ac:dyDescent="0.15"/>
    <row r="58511" spans="3:3" s="8" customFormat="1" ht="21.95" customHeight="1" x14ac:dyDescent="0.15"/>
    <row r="58512" spans="3:3" s="8" customFormat="1" ht="21.95" customHeight="1" x14ac:dyDescent="0.15">
      <c r="C58512" s="101"/>
    </row>
    <row r="58513" spans="3:3" s="8" customFormat="1" ht="21.95" customHeight="1" x14ac:dyDescent="0.15">
      <c r="C58513" s="101"/>
    </row>
    <row r="58514" spans="3:3" s="8" customFormat="1" ht="21.95" customHeight="1" x14ac:dyDescent="0.15"/>
    <row r="58515" spans="3:3" s="8" customFormat="1" ht="21.95" customHeight="1" x14ac:dyDescent="0.15"/>
    <row r="58516" spans="3:3" s="8" customFormat="1" ht="21.95" customHeight="1" x14ac:dyDescent="0.15"/>
    <row r="58517" spans="3:3" s="8" customFormat="1" ht="21.95" customHeight="1" x14ac:dyDescent="0.15"/>
    <row r="58518" spans="3:3" s="8" customFormat="1" ht="21.95" customHeight="1" x14ac:dyDescent="0.15"/>
    <row r="58519" spans="3:3" s="8" customFormat="1" ht="21.95" customHeight="1" x14ac:dyDescent="0.15"/>
    <row r="58520" spans="3:3" s="8" customFormat="1" ht="21.95" customHeight="1" x14ac:dyDescent="0.15"/>
    <row r="58521" spans="3:3" s="9" customFormat="1" ht="21.95" customHeight="1" x14ac:dyDescent="0.15"/>
    <row r="58522" spans="3:3" s="9" customFormat="1" ht="21.95" customHeight="1" x14ac:dyDescent="0.15"/>
    <row r="58523" spans="3:3" s="9" customFormat="1" ht="21.95" customHeight="1" x14ac:dyDescent="0.15"/>
    <row r="58524" spans="3:3" s="9" customFormat="1" ht="21.95" customHeight="1" x14ac:dyDescent="0.15"/>
    <row r="58525" spans="3:3" s="8" customFormat="1" ht="21.95" customHeight="1" x14ac:dyDescent="0.15"/>
    <row r="58526" spans="3:3" s="8" customFormat="1" ht="21.95" customHeight="1" x14ac:dyDescent="0.15"/>
    <row r="58527" spans="3:3" s="8" customFormat="1" ht="21.95" customHeight="1" x14ac:dyDescent="0.15"/>
    <row r="58528" spans="3:3" s="8" customFormat="1" ht="21.95" customHeight="1" x14ac:dyDescent="0.15"/>
    <row r="58529" s="8" customFormat="1" ht="21.95" customHeight="1" x14ac:dyDescent="0.15"/>
    <row r="58530" s="8" customFormat="1" ht="21.95" customHeight="1" x14ac:dyDescent="0.15"/>
    <row r="58531" s="8" customFormat="1" ht="21.95" customHeight="1" x14ac:dyDescent="0.15"/>
    <row r="58532" s="8" customFormat="1" ht="21.95" customHeight="1" x14ac:dyDescent="0.15"/>
    <row r="58533" s="8" customFormat="1" ht="21.95" customHeight="1" x14ac:dyDescent="0.15"/>
    <row r="58534" s="8" customFormat="1" ht="21.95" customHeight="1" x14ac:dyDescent="0.15"/>
    <row r="58535" s="8" customFormat="1" ht="21.95" customHeight="1" x14ac:dyDescent="0.15"/>
    <row r="58536" s="8" customFormat="1" ht="32.1" customHeight="1" x14ac:dyDescent="0.15"/>
    <row r="58537" s="8" customFormat="1" ht="32.1" customHeight="1" x14ac:dyDescent="0.15"/>
    <row r="58538" s="8" customFormat="1" ht="32.1" customHeight="1" x14ac:dyDescent="0.15"/>
    <row r="58539" s="8" customFormat="1" ht="32.1" customHeight="1" x14ac:dyDescent="0.15"/>
    <row r="58540" s="8" customFormat="1" ht="32.1" customHeight="1" x14ac:dyDescent="0.15"/>
    <row r="58541" s="8" customFormat="1" ht="32.1" customHeight="1" x14ac:dyDescent="0.15"/>
    <row r="58542" s="9" customFormat="1" ht="32.1" customHeight="1" x14ac:dyDescent="0.15"/>
    <row r="58543" s="9" customFormat="1" ht="32.1" customHeight="1" x14ac:dyDescent="0.15"/>
    <row r="58544" s="9" customFormat="1" ht="32.1" customHeight="1" x14ac:dyDescent="0.15"/>
    <row r="58545" s="9" customFormat="1" ht="32.1" customHeight="1" x14ac:dyDescent="0.15"/>
    <row r="58546" s="9" customFormat="1" ht="21.95" customHeight="1" x14ac:dyDescent="0.15"/>
    <row r="58547" s="9" customFormat="1" ht="54" customHeight="1" x14ac:dyDescent="0.15"/>
    <row r="58548" s="9" customFormat="1" ht="21.95" customHeight="1" x14ac:dyDescent="0.15"/>
    <row r="58549" s="9" customFormat="1" ht="21.95" customHeight="1" x14ac:dyDescent="0.15"/>
    <row r="58550" s="9" customFormat="1" ht="21.95" customHeight="1" x14ac:dyDescent="0.15"/>
    <row r="58551" s="9" customFormat="1" ht="21.95" customHeight="1" x14ac:dyDescent="0.15"/>
    <row r="58552" s="9" customFormat="1" ht="21.95" customHeight="1" x14ac:dyDescent="0.15"/>
    <row r="58553" s="9" customFormat="1" ht="21.95" customHeight="1" x14ac:dyDescent="0.15"/>
    <row r="58554" s="9" customFormat="1" ht="21.95" customHeight="1" x14ac:dyDescent="0.15"/>
    <row r="58555" s="9" customFormat="1" ht="21.95" customHeight="1" x14ac:dyDescent="0.15"/>
    <row r="58556" s="9" customFormat="1" ht="21.95" customHeight="1" x14ac:dyDescent="0.15"/>
    <row r="58557" s="9" customFormat="1" ht="21.95" customHeight="1" x14ac:dyDescent="0.15"/>
    <row r="58558" s="9" customFormat="1" ht="21.95" customHeight="1" x14ac:dyDescent="0.15"/>
    <row r="58559" s="9" customFormat="1" ht="21.95" customHeight="1" x14ac:dyDescent="0.15"/>
    <row r="58560" s="9" customFormat="1" ht="21.95" customHeight="1" x14ac:dyDescent="0.15"/>
    <row r="58561" s="9" customFormat="1" ht="21.95" customHeight="1" x14ac:dyDescent="0.15"/>
    <row r="58562" s="9" customFormat="1" ht="21.95" customHeight="1" x14ac:dyDescent="0.15"/>
    <row r="58563" s="9" customFormat="1" ht="21.95" customHeight="1" x14ac:dyDescent="0.15"/>
    <row r="58564" s="9" customFormat="1" ht="21.95" customHeight="1" x14ac:dyDescent="0.15"/>
    <row r="58565" s="9" customFormat="1" ht="21.95" customHeight="1" x14ac:dyDescent="0.15"/>
    <row r="58566" s="9" customFormat="1" ht="21.95" customHeight="1" x14ac:dyDescent="0.15"/>
    <row r="58567" s="9" customFormat="1" ht="21.95" customHeight="1" x14ac:dyDescent="0.15"/>
    <row r="58568" s="9" customFormat="1" ht="21.95" customHeight="1" x14ac:dyDescent="0.15"/>
    <row r="58569" s="9" customFormat="1" ht="21.95" customHeight="1" x14ac:dyDescent="0.15"/>
    <row r="58570" s="9" customFormat="1" ht="21.95" customHeight="1" x14ac:dyDescent="0.15"/>
    <row r="58571" s="9" customFormat="1" ht="21.95" customHeight="1" x14ac:dyDescent="0.15"/>
    <row r="58572" s="9" customFormat="1" ht="21.95" customHeight="1" x14ac:dyDescent="0.15"/>
    <row r="58573" s="9" customFormat="1" ht="21.95" customHeight="1" x14ac:dyDescent="0.15"/>
    <row r="58574" s="9" customFormat="1" ht="21.95" customHeight="1" x14ac:dyDescent="0.15"/>
    <row r="58575" s="9" customFormat="1" ht="21.95" customHeight="1" x14ac:dyDescent="0.15"/>
    <row r="58576" s="9" customFormat="1" ht="21.95" customHeight="1" x14ac:dyDescent="0.15"/>
    <row r="58577" s="9" customFormat="1" ht="21.95" customHeight="1" x14ac:dyDescent="0.15"/>
    <row r="58578" s="9" customFormat="1" ht="21.95" customHeight="1" x14ac:dyDescent="0.15"/>
    <row r="58579" s="9" customFormat="1" ht="21.95" customHeight="1" x14ac:dyDescent="0.15"/>
    <row r="58580" s="9" customFormat="1" ht="21.95" customHeight="1" x14ac:dyDescent="0.15"/>
    <row r="58581" s="9" customFormat="1" ht="21.95" customHeight="1" x14ac:dyDescent="0.15"/>
    <row r="58582" s="9" customFormat="1" ht="21.95" customHeight="1" x14ac:dyDescent="0.15"/>
    <row r="58583" s="9" customFormat="1" ht="21.95" customHeight="1" x14ac:dyDescent="0.15"/>
    <row r="58584" s="9" customFormat="1" ht="21.95" customHeight="1" x14ac:dyDescent="0.15"/>
    <row r="58585" s="9" customFormat="1" ht="21.95" customHeight="1" x14ac:dyDescent="0.15"/>
    <row r="58586" s="9" customFormat="1" ht="21.95" customHeight="1" x14ac:dyDescent="0.15"/>
    <row r="58587" s="9" customFormat="1" ht="21.95" customHeight="1" x14ac:dyDescent="0.15"/>
    <row r="58588" s="9" customFormat="1" ht="21.95" customHeight="1" x14ac:dyDescent="0.15"/>
    <row r="58589" s="9" customFormat="1" ht="21.95" customHeight="1" x14ac:dyDescent="0.15"/>
    <row r="58590" s="9" customFormat="1" ht="21.95" customHeight="1" x14ac:dyDescent="0.15"/>
    <row r="58591" s="9" customFormat="1" ht="21.95" customHeight="1" x14ac:dyDescent="0.15"/>
    <row r="58592" s="9" customFormat="1" ht="21.95" customHeight="1" x14ac:dyDescent="0.15"/>
    <row r="58593" s="9" customFormat="1" ht="21.95" customHeight="1" x14ac:dyDescent="0.15"/>
    <row r="58594" s="9" customFormat="1" ht="21.95" customHeight="1" x14ac:dyDescent="0.15"/>
    <row r="58595" s="9" customFormat="1" ht="21.95" customHeight="1" x14ac:dyDescent="0.15"/>
    <row r="58596" s="9" customFormat="1" ht="21.95" customHeight="1" x14ac:dyDescent="0.15"/>
    <row r="58597" s="9" customFormat="1" ht="21.95" customHeight="1" x14ac:dyDescent="0.15"/>
    <row r="58598" s="9" customFormat="1" ht="35.1" customHeight="1" x14ac:dyDescent="0.15"/>
    <row r="58599" s="9" customFormat="1" ht="21.95" customHeight="1" x14ac:dyDescent="0.15"/>
    <row r="58600" s="9" customFormat="1" ht="21.95" customHeight="1" x14ac:dyDescent="0.15"/>
    <row r="58601" s="9" customFormat="1" ht="21.95" customHeight="1" x14ac:dyDescent="0.15"/>
    <row r="58602" s="9" customFormat="1" ht="21.95" customHeight="1" x14ac:dyDescent="0.15"/>
    <row r="58603" s="9" customFormat="1" ht="21.95" customHeight="1" x14ac:dyDescent="0.15"/>
    <row r="58604" s="9" customFormat="1" ht="21.95" customHeight="1" x14ac:dyDescent="0.15"/>
    <row r="58605" s="9" customFormat="1" ht="21.95" customHeight="1" x14ac:dyDescent="0.15"/>
    <row r="58606" s="9" customFormat="1" ht="21.95" customHeight="1" x14ac:dyDescent="0.15"/>
    <row r="58607" s="9" customFormat="1" ht="21.95" customHeight="1" x14ac:dyDescent="0.15"/>
    <row r="58608" s="9" customFormat="1" ht="21.95" customHeight="1" x14ac:dyDescent="0.15"/>
    <row r="58609" spans="3:3" s="9" customFormat="1" ht="21.95" customHeight="1" x14ac:dyDescent="0.15"/>
    <row r="58610" spans="3:3" s="9" customFormat="1" ht="21.95" customHeight="1" x14ac:dyDescent="0.15"/>
    <row r="58611" spans="3:3" s="9" customFormat="1" ht="21.95" customHeight="1" x14ac:dyDescent="0.15"/>
    <row r="58612" spans="3:3" s="9" customFormat="1" ht="21.95" customHeight="1" x14ac:dyDescent="0.15"/>
    <row r="58613" spans="3:3" s="9" customFormat="1" ht="21.95" customHeight="1" x14ac:dyDescent="0.15"/>
    <row r="58614" spans="3:3" s="9" customFormat="1" ht="21.95" customHeight="1" x14ac:dyDescent="0.15"/>
    <row r="58615" spans="3:3" s="9" customFormat="1" ht="21.95" customHeight="1" x14ac:dyDescent="0.15"/>
    <row r="58616" spans="3:3" s="9" customFormat="1" ht="21.95" customHeight="1" x14ac:dyDescent="0.15"/>
    <row r="58617" spans="3:3" s="9" customFormat="1" ht="21.95" customHeight="1" x14ac:dyDescent="0.15"/>
    <row r="58618" spans="3:3" s="9" customFormat="1" ht="21.95" customHeight="1" x14ac:dyDescent="0.15"/>
    <row r="58619" spans="3:3" s="9" customFormat="1" ht="21.95" customHeight="1" x14ac:dyDescent="0.15"/>
    <row r="58620" spans="3:3" s="9" customFormat="1" ht="21.95" customHeight="1" x14ac:dyDescent="0.15"/>
    <row r="58621" spans="3:3" s="9" customFormat="1" ht="21.95" customHeight="1" x14ac:dyDescent="0.15"/>
    <row r="58622" spans="3:3" s="8" customFormat="1" ht="21.95" customHeight="1" x14ac:dyDescent="0.15"/>
    <row r="58623" spans="3:3" s="8" customFormat="1" ht="21.95" customHeight="1" x14ac:dyDescent="0.15"/>
    <row r="58624" spans="3:3" s="8" customFormat="1" ht="21.95" customHeight="1" x14ac:dyDescent="0.15">
      <c r="C58624" s="101"/>
    </row>
    <row r="58625" spans="3:3" s="8" customFormat="1" ht="21.95" customHeight="1" x14ac:dyDescent="0.15">
      <c r="C58625" s="101"/>
    </row>
    <row r="58626" spans="3:3" s="8" customFormat="1" ht="21.95" customHeight="1" x14ac:dyDescent="0.15"/>
    <row r="58627" spans="3:3" s="8" customFormat="1" ht="21.95" customHeight="1" x14ac:dyDescent="0.15"/>
    <row r="58628" spans="3:3" s="8" customFormat="1" ht="21.95" customHeight="1" x14ac:dyDescent="0.15"/>
    <row r="58629" spans="3:3" s="8" customFormat="1" ht="21.95" customHeight="1" x14ac:dyDescent="0.15"/>
    <row r="58630" spans="3:3" s="8" customFormat="1" ht="21.95" customHeight="1" x14ac:dyDescent="0.15"/>
    <row r="58631" spans="3:3" s="8" customFormat="1" ht="21.95" customHeight="1" x14ac:dyDescent="0.15"/>
    <row r="58632" spans="3:3" s="8" customFormat="1" ht="21.95" customHeight="1" x14ac:dyDescent="0.15"/>
    <row r="58633" spans="3:3" s="9" customFormat="1" ht="21.95" customHeight="1" x14ac:dyDescent="0.15"/>
    <row r="58634" spans="3:3" s="9" customFormat="1" ht="21.95" customHeight="1" x14ac:dyDescent="0.15"/>
    <row r="58635" spans="3:3" s="9" customFormat="1" ht="21.95" customHeight="1" x14ac:dyDescent="0.15"/>
    <row r="58636" spans="3:3" s="9" customFormat="1" ht="21.95" customHeight="1" x14ac:dyDescent="0.15"/>
    <row r="58637" spans="3:3" s="8" customFormat="1" ht="21.95" customHeight="1" x14ac:dyDescent="0.15"/>
    <row r="58638" spans="3:3" s="8" customFormat="1" ht="21.95" customHeight="1" x14ac:dyDescent="0.15"/>
    <row r="58639" spans="3:3" s="8" customFormat="1" ht="21.95" customHeight="1" x14ac:dyDescent="0.15"/>
    <row r="58640" spans="3:3" s="8" customFormat="1" ht="21.95" customHeight="1" x14ac:dyDescent="0.15"/>
    <row r="58641" s="8" customFormat="1" ht="21.95" customHeight="1" x14ac:dyDescent="0.15"/>
    <row r="58642" s="8" customFormat="1" ht="21.95" customHeight="1" x14ac:dyDescent="0.15"/>
    <row r="58643" s="8" customFormat="1" ht="21.95" customHeight="1" x14ac:dyDescent="0.15"/>
    <row r="58644" s="8" customFormat="1" ht="21.95" customHeight="1" x14ac:dyDescent="0.15"/>
    <row r="58645" s="8" customFormat="1" ht="21.95" customHeight="1" x14ac:dyDescent="0.15"/>
    <row r="58646" s="8" customFormat="1" ht="21.95" customHeight="1" x14ac:dyDescent="0.15"/>
    <row r="58647" s="8" customFormat="1" ht="21.95" customHeight="1" x14ac:dyDescent="0.15"/>
    <row r="58648" s="8" customFormat="1" ht="32.1" customHeight="1" x14ac:dyDescent="0.15"/>
    <row r="58649" s="8" customFormat="1" ht="32.1" customHeight="1" x14ac:dyDescent="0.15"/>
    <row r="58650" s="8" customFormat="1" ht="32.1" customHeight="1" x14ac:dyDescent="0.15"/>
    <row r="58651" s="8" customFormat="1" ht="32.1" customHeight="1" x14ac:dyDescent="0.15"/>
    <row r="58652" s="8" customFormat="1" ht="32.1" customHeight="1" x14ac:dyDescent="0.15"/>
    <row r="58653" s="8" customFormat="1" ht="32.1" customHeight="1" x14ac:dyDescent="0.15"/>
    <row r="58654" s="9" customFormat="1" ht="32.1" customHeight="1" x14ac:dyDescent="0.15"/>
    <row r="58655" s="9" customFormat="1" ht="32.1" customHeight="1" x14ac:dyDescent="0.15"/>
    <row r="58656" s="9" customFormat="1" ht="32.1" customHeight="1" x14ac:dyDescent="0.15"/>
    <row r="58657" s="9" customFormat="1" ht="32.1" customHeight="1" x14ac:dyDescent="0.15"/>
    <row r="58658" s="9" customFormat="1" ht="21.95" customHeight="1" x14ac:dyDescent="0.15"/>
    <row r="58659" s="9" customFormat="1" ht="54" customHeight="1" x14ac:dyDescent="0.15"/>
    <row r="58660" s="9" customFormat="1" ht="21.95" customHeight="1" x14ac:dyDescent="0.15"/>
    <row r="58661" s="9" customFormat="1" ht="21.95" customHeight="1" x14ac:dyDescent="0.15"/>
    <row r="58662" s="9" customFormat="1" ht="21.95" customHeight="1" x14ac:dyDescent="0.15"/>
    <row r="58663" s="9" customFormat="1" ht="21.95" customHeight="1" x14ac:dyDescent="0.15"/>
    <row r="58664" s="9" customFormat="1" ht="21.95" customHeight="1" x14ac:dyDescent="0.15"/>
    <row r="58665" s="9" customFormat="1" ht="21.95" customHeight="1" x14ac:dyDescent="0.15"/>
    <row r="58666" s="9" customFormat="1" ht="21.95" customHeight="1" x14ac:dyDescent="0.15"/>
    <row r="58667" s="9" customFormat="1" ht="21.95" customHeight="1" x14ac:dyDescent="0.15"/>
    <row r="58668" s="9" customFormat="1" ht="21.95" customHeight="1" x14ac:dyDescent="0.15"/>
    <row r="58669" s="9" customFormat="1" ht="21.95" customHeight="1" x14ac:dyDescent="0.15"/>
    <row r="58670" s="9" customFormat="1" ht="21.95" customHeight="1" x14ac:dyDescent="0.15"/>
    <row r="58671" s="9" customFormat="1" ht="21.95" customHeight="1" x14ac:dyDescent="0.15"/>
    <row r="58672" s="9" customFormat="1" ht="21.95" customHeight="1" x14ac:dyDescent="0.15"/>
    <row r="58673" s="9" customFormat="1" ht="21.95" customHeight="1" x14ac:dyDescent="0.15"/>
    <row r="58674" s="9" customFormat="1" ht="21.95" customHeight="1" x14ac:dyDescent="0.15"/>
    <row r="58675" s="9" customFormat="1" ht="21.95" customHeight="1" x14ac:dyDescent="0.15"/>
    <row r="58676" s="9" customFormat="1" ht="21.95" customHeight="1" x14ac:dyDescent="0.15"/>
    <row r="58677" s="9" customFormat="1" ht="21.95" customHeight="1" x14ac:dyDescent="0.15"/>
    <row r="58678" s="9" customFormat="1" ht="21.95" customHeight="1" x14ac:dyDescent="0.15"/>
    <row r="58679" s="9" customFormat="1" ht="21.95" customHeight="1" x14ac:dyDescent="0.15"/>
    <row r="58680" s="9" customFormat="1" ht="21.95" customHeight="1" x14ac:dyDescent="0.15"/>
    <row r="58681" s="9" customFormat="1" ht="21.95" customHeight="1" x14ac:dyDescent="0.15"/>
    <row r="58682" s="9" customFormat="1" ht="21.95" customHeight="1" x14ac:dyDescent="0.15"/>
    <row r="58683" s="9" customFormat="1" ht="21.95" customHeight="1" x14ac:dyDescent="0.15"/>
    <row r="58684" s="9" customFormat="1" ht="21.95" customHeight="1" x14ac:dyDescent="0.15"/>
    <row r="58685" s="9" customFormat="1" ht="21.95" customHeight="1" x14ac:dyDescent="0.15"/>
    <row r="58686" s="9" customFormat="1" ht="21.95" customHeight="1" x14ac:dyDescent="0.15"/>
    <row r="58687" s="9" customFormat="1" ht="21.95" customHeight="1" x14ac:dyDescent="0.15"/>
    <row r="58688" s="9" customFormat="1" ht="21.95" customHeight="1" x14ac:dyDescent="0.15"/>
    <row r="58689" s="9" customFormat="1" ht="21.95" customHeight="1" x14ac:dyDescent="0.15"/>
    <row r="58690" s="9" customFormat="1" ht="21.95" customHeight="1" x14ac:dyDescent="0.15"/>
    <row r="58691" s="9" customFormat="1" ht="21.95" customHeight="1" x14ac:dyDescent="0.15"/>
    <row r="58692" s="9" customFormat="1" ht="21.95" customHeight="1" x14ac:dyDescent="0.15"/>
    <row r="58693" s="9" customFormat="1" ht="21.95" customHeight="1" x14ac:dyDescent="0.15"/>
    <row r="58694" s="9" customFormat="1" ht="21.95" customHeight="1" x14ac:dyDescent="0.15"/>
    <row r="58695" s="9" customFormat="1" ht="21.95" customHeight="1" x14ac:dyDescent="0.15"/>
    <row r="58696" s="9" customFormat="1" ht="21.95" customHeight="1" x14ac:dyDescent="0.15"/>
    <row r="58697" s="9" customFormat="1" ht="21.95" customHeight="1" x14ac:dyDescent="0.15"/>
    <row r="58698" s="9" customFormat="1" ht="21.95" customHeight="1" x14ac:dyDescent="0.15"/>
    <row r="58699" s="9" customFormat="1" ht="21.95" customHeight="1" x14ac:dyDescent="0.15"/>
    <row r="58700" s="9" customFormat="1" ht="21.95" customHeight="1" x14ac:dyDescent="0.15"/>
    <row r="58701" s="9" customFormat="1" ht="21.95" customHeight="1" x14ac:dyDescent="0.15"/>
    <row r="58702" s="9" customFormat="1" ht="21.95" customHeight="1" x14ac:dyDescent="0.15"/>
    <row r="58703" s="9" customFormat="1" ht="21.95" customHeight="1" x14ac:dyDescent="0.15"/>
    <row r="58704" s="9" customFormat="1" ht="21.95" customHeight="1" x14ac:dyDescent="0.15"/>
    <row r="58705" s="9" customFormat="1" ht="21.95" customHeight="1" x14ac:dyDescent="0.15"/>
    <row r="58706" s="9" customFormat="1" ht="21.95" customHeight="1" x14ac:dyDescent="0.15"/>
    <row r="58707" s="9" customFormat="1" ht="21.95" customHeight="1" x14ac:dyDescent="0.15"/>
    <row r="58708" s="9" customFormat="1" ht="21.95" customHeight="1" x14ac:dyDescent="0.15"/>
    <row r="58709" s="9" customFormat="1" ht="21.95" customHeight="1" x14ac:dyDescent="0.15"/>
    <row r="58710" s="9" customFormat="1" ht="35.1" customHeight="1" x14ac:dyDescent="0.15"/>
    <row r="58711" s="9" customFormat="1" ht="21.95" customHeight="1" x14ac:dyDescent="0.15"/>
    <row r="58712" s="9" customFormat="1" ht="21.95" customHeight="1" x14ac:dyDescent="0.15"/>
    <row r="58713" s="9" customFormat="1" ht="21.95" customHeight="1" x14ac:dyDescent="0.15"/>
    <row r="58714" s="9" customFormat="1" ht="21.95" customHeight="1" x14ac:dyDescent="0.15"/>
    <row r="58715" s="9" customFormat="1" ht="21.95" customHeight="1" x14ac:dyDescent="0.15"/>
    <row r="58716" s="9" customFormat="1" ht="21.95" customHeight="1" x14ac:dyDescent="0.15"/>
    <row r="58717" s="9" customFormat="1" ht="21.95" customHeight="1" x14ac:dyDescent="0.15"/>
    <row r="58718" s="9" customFormat="1" ht="21.95" customHeight="1" x14ac:dyDescent="0.15"/>
    <row r="58719" s="9" customFormat="1" ht="21.95" customHeight="1" x14ac:dyDescent="0.15"/>
    <row r="58720" s="9" customFormat="1" ht="21.95" customHeight="1" x14ac:dyDescent="0.15"/>
    <row r="58721" spans="3:3" s="9" customFormat="1" ht="21.95" customHeight="1" x14ac:dyDescent="0.15"/>
    <row r="58722" spans="3:3" s="9" customFormat="1" ht="21.95" customHeight="1" x14ac:dyDescent="0.15"/>
    <row r="58723" spans="3:3" s="9" customFormat="1" ht="21.95" customHeight="1" x14ac:dyDescent="0.15"/>
    <row r="58724" spans="3:3" s="9" customFormat="1" ht="21.95" customHeight="1" x14ac:dyDescent="0.15"/>
    <row r="58725" spans="3:3" s="9" customFormat="1" ht="21.95" customHeight="1" x14ac:dyDescent="0.15"/>
    <row r="58726" spans="3:3" s="9" customFormat="1" ht="21.95" customHeight="1" x14ac:dyDescent="0.15"/>
    <row r="58727" spans="3:3" s="9" customFormat="1" ht="21.95" customHeight="1" x14ac:dyDescent="0.15"/>
    <row r="58728" spans="3:3" s="9" customFormat="1" ht="21.95" customHeight="1" x14ac:dyDescent="0.15"/>
    <row r="58729" spans="3:3" s="9" customFormat="1" ht="21.95" customHeight="1" x14ac:dyDescent="0.15"/>
    <row r="58730" spans="3:3" s="9" customFormat="1" ht="21.95" customHeight="1" x14ac:dyDescent="0.15"/>
    <row r="58731" spans="3:3" s="9" customFormat="1" ht="21.95" customHeight="1" x14ac:dyDescent="0.15"/>
    <row r="58732" spans="3:3" s="9" customFormat="1" ht="21.95" customHeight="1" x14ac:dyDescent="0.15"/>
    <row r="58733" spans="3:3" s="9" customFormat="1" ht="21.95" customHeight="1" x14ac:dyDescent="0.15"/>
    <row r="58734" spans="3:3" s="8" customFormat="1" ht="21.95" customHeight="1" x14ac:dyDescent="0.15"/>
    <row r="58735" spans="3:3" s="8" customFormat="1" ht="21.95" customHeight="1" x14ac:dyDescent="0.15"/>
    <row r="58736" spans="3:3" s="8" customFormat="1" ht="21.95" customHeight="1" x14ac:dyDescent="0.15">
      <c r="C58736" s="101"/>
    </row>
    <row r="58737" spans="3:3" s="8" customFormat="1" ht="21.95" customHeight="1" x14ac:dyDescent="0.15">
      <c r="C58737" s="101"/>
    </row>
    <row r="58738" spans="3:3" s="8" customFormat="1" ht="21.95" customHeight="1" x14ac:dyDescent="0.15"/>
    <row r="58739" spans="3:3" s="8" customFormat="1" ht="21.95" customHeight="1" x14ac:dyDescent="0.15"/>
    <row r="58740" spans="3:3" s="8" customFormat="1" ht="21.95" customHeight="1" x14ac:dyDescent="0.15"/>
    <row r="58741" spans="3:3" s="8" customFormat="1" ht="21.95" customHeight="1" x14ac:dyDescent="0.15"/>
    <row r="58742" spans="3:3" s="8" customFormat="1" ht="21.95" customHeight="1" x14ac:dyDescent="0.15"/>
    <row r="58743" spans="3:3" s="8" customFormat="1" ht="21.95" customHeight="1" x14ac:dyDescent="0.15"/>
    <row r="58744" spans="3:3" s="8" customFormat="1" ht="21.95" customHeight="1" x14ac:dyDescent="0.15"/>
    <row r="58745" spans="3:3" s="9" customFormat="1" ht="21.95" customHeight="1" x14ac:dyDescent="0.15"/>
    <row r="58746" spans="3:3" s="9" customFormat="1" ht="21.95" customHeight="1" x14ac:dyDescent="0.15"/>
    <row r="58747" spans="3:3" s="9" customFormat="1" ht="21.95" customHeight="1" x14ac:dyDescent="0.15"/>
    <row r="58748" spans="3:3" s="9" customFormat="1" ht="21.95" customHeight="1" x14ac:dyDescent="0.15"/>
    <row r="58749" spans="3:3" s="8" customFormat="1" ht="21.95" customHeight="1" x14ac:dyDescent="0.15"/>
    <row r="58750" spans="3:3" s="8" customFormat="1" ht="21.95" customHeight="1" x14ac:dyDescent="0.15"/>
    <row r="58751" spans="3:3" s="8" customFormat="1" ht="21.95" customHeight="1" x14ac:dyDescent="0.15"/>
    <row r="58752" spans="3:3" s="8" customFormat="1" ht="21.95" customHeight="1" x14ac:dyDescent="0.15"/>
    <row r="58753" s="8" customFormat="1" ht="21.95" customHeight="1" x14ac:dyDescent="0.15"/>
    <row r="58754" s="8" customFormat="1" ht="21.95" customHeight="1" x14ac:dyDescent="0.15"/>
    <row r="58755" s="8" customFormat="1" ht="21.95" customHeight="1" x14ac:dyDescent="0.15"/>
    <row r="58756" s="8" customFormat="1" ht="21.95" customHeight="1" x14ac:dyDescent="0.15"/>
    <row r="58757" s="8" customFormat="1" ht="21.95" customHeight="1" x14ac:dyDescent="0.15"/>
    <row r="58758" s="8" customFormat="1" ht="21.95" customHeight="1" x14ac:dyDescent="0.15"/>
    <row r="58759" s="8" customFormat="1" ht="21.95" customHeight="1" x14ac:dyDescent="0.15"/>
    <row r="58760" s="8" customFormat="1" ht="32.1" customHeight="1" x14ac:dyDescent="0.15"/>
    <row r="58761" s="8" customFormat="1" ht="32.1" customHeight="1" x14ac:dyDescent="0.15"/>
    <row r="58762" s="8" customFormat="1" ht="32.1" customHeight="1" x14ac:dyDescent="0.15"/>
    <row r="58763" s="8" customFormat="1" ht="32.1" customHeight="1" x14ac:dyDescent="0.15"/>
    <row r="58764" s="8" customFormat="1" ht="32.1" customHeight="1" x14ac:dyDescent="0.15"/>
    <row r="58765" s="8" customFormat="1" ht="32.1" customHeight="1" x14ac:dyDescent="0.15"/>
    <row r="58766" s="9" customFormat="1" ht="32.1" customHeight="1" x14ac:dyDescent="0.15"/>
    <row r="58767" s="9" customFormat="1" ht="32.1" customHeight="1" x14ac:dyDescent="0.15"/>
    <row r="58768" s="9" customFormat="1" ht="32.1" customHeight="1" x14ac:dyDescent="0.15"/>
    <row r="58769" s="9" customFormat="1" ht="32.1" customHeight="1" x14ac:dyDescent="0.15"/>
    <row r="58770" s="9" customFormat="1" ht="21.95" customHeight="1" x14ac:dyDescent="0.15"/>
    <row r="58771" s="9" customFormat="1" ht="54" customHeight="1" x14ac:dyDescent="0.15"/>
    <row r="58772" s="9" customFormat="1" ht="21.95" customHeight="1" x14ac:dyDescent="0.15"/>
    <row r="58773" s="9" customFormat="1" ht="21.95" customHeight="1" x14ac:dyDescent="0.15"/>
    <row r="58774" s="9" customFormat="1" ht="21.95" customHeight="1" x14ac:dyDescent="0.15"/>
    <row r="58775" s="9" customFormat="1" ht="21.95" customHeight="1" x14ac:dyDescent="0.15"/>
    <row r="58776" s="9" customFormat="1" ht="21.95" customHeight="1" x14ac:dyDescent="0.15"/>
    <row r="58777" s="9" customFormat="1" ht="21.95" customHeight="1" x14ac:dyDescent="0.15"/>
    <row r="58778" s="9" customFormat="1" ht="21.95" customHeight="1" x14ac:dyDescent="0.15"/>
    <row r="58779" s="9" customFormat="1" ht="21.95" customHeight="1" x14ac:dyDescent="0.15"/>
    <row r="58780" s="9" customFormat="1" ht="21.95" customHeight="1" x14ac:dyDescent="0.15"/>
    <row r="58781" s="9" customFormat="1" ht="21.95" customHeight="1" x14ac:dyDescent="0.15"/>
    <row r="58782" s="9" customFormat="1" ht="21.95" customHeight="1" x14ac:dyDescent="0.15"/>
    <row r="58783" s="9" customFormat="1" ht="21.95" customHeight="1" x14ac:dyDescent="0.15"/>
    <row r="58784" s="9" customFormat="1" ht="21.95" customHeight="1" x14ac:dyDescent="0.15"/>
    <row r="58785" s="9" customFormat="1" ht="21.95" customHeight="1" x14ac:dyDescent="0.15"/>
    <row r="58786" s="9" customFormat="1" ht="21.95" customHeight="1" x14ac:dyDescent="0.15"/>
    <row r="58787" s="9" customFormat="1" ht="21.95" customHeight="1" x14ac:dyDescent="0.15"/>
    <row r="58788" s="9" customFormat="1" ht="21.95" customHeight="1" x14ac:dyDescent="0.15"/>
    <row r="58789" s="9" customFormat="1" ht="21.95" customHeight="1" x14ac:dyDescent="0.15"/>
    <row r="58790" s="9" customFormat="1" ht="21.95" customHeight="1" x14ac:dyDescent="0.15"/>
    <row r="58791" s="9" customFormat="1" ht="21.95" customHeight="1" x14ac:dyDescent="0.15"/>
    <row r="58792" s="9" customFormat="1" ht="21.95" customHeight="1" x14ac:dyDescent="0.15"/>
    <row r="58793" s="9" customFormat="1" ht="21.95" customHeight="1" x14ac:dyDescent="0.15"/>
    <row r="58794" s="9" customFormat="1" ht="21.95" customHeight="1" x14ac:dyDescent="0.15"/>
    <row r="58795" s="9" customFormat="1" ht="21.95" customHeight="1" x14ac:dyDescent="0.15"/>
    <row r="58796" s="9" customFormat="1" ht="21.95" customHeight="1" x14ac:dyDescent="0.15"/>
    <row r="58797" s="9" customFormat="1" ht="21.95" customHeight="1" x14ac:dyDescent="0.15"/>
    <row r="58798" s="9" customFormat="1" ht="21.95" customHeight="1" x14ac:dyDescent="0.15"/>
    <row r="58799" s="9" customFormat="1" ht="21.95" customHeight="1" x14ac:dyDescent="0.15"/>
    <row r="58800" s="9" customFormat="1" ht="21.95" customHeight="1" x14ac:dyDescent="0.15"/>
    <row r="58801" s="9" customFormat="1" ht="21.95" customHeight="1" x14ac:dyDescent="0.15"/>
    <row r="58802" s="9" customFormat="1" ht="21.95" customHeight="1" x14ac:dyDescent="0.15"/>
    <row r="58803" s="9" customFormat="1" ht="21.95" customHeight="1" x14ac:dyDescent="0.15"/>
    <row r="58804" s="9" customFormat="1" ht="21.95" customHeight="1" x14ac:dyDescent="0.15"/>
    <row r="58805" s="9" customFormat="1" ht="21.95" customHeight="1" x14ac:dyDescent="0.15"/>
    <row r="58806" s="9" customFormat="1" ht="21.95" customHeight="1" x14ac:dyDescent="0.15"/>
    <row r="58807" s="9" customFormat="1" ht="21.95" customHeight="1" x14ac:dyDescent="0.15"/>
    <row r="58808" s="9" customFormat="1" ht="21.95" customHeight="1" x14ac:dyDescent="0.15"/>
    <row r="58809" s="9" customFormat="1" ht="21.95" customHeight="1" x14ac:dyDescent="0.15"/>
    <row r="58810" s="9" customFormat="1" ht="21.95" customHeight="1" x14ac:dyDescent="0.15"/>
    <row r="58811" s="9" customFormat="1" ht="21.95" customHeight="1" x14ac:dyDescent="0.15"/>
    <row r="58812" s="9" customFormat="1" ht="21.95" customHeight="1" x14ac:dyDescent="0.15"/>
    <row r="58813" s="9" customFormat="1" ht="21.95" customHeight="1" x14ac:dyDescent="0.15"/>
    <row r="58814" s="9" customFormat="1" ht="21.95" customHeight="1" x14ac:dyDescent="0.15"/>
    <row r="58815" s="9" customFormat="1" ht="21.95" customHeight="1" x14ac:dyDescent="0.15"/>
    <row r="58816" s="9" customFormat="1" ht="21.95" customHeight="1" x14ac:dyDescent="0.15"/>
    <row r="58817" s="9" customFormat="1" ht="21.95" customHeight="1" x14ac:dyDescent="0.15"/>
    <row r="58818" s="9" customFormat="1" ht="21.95" customHeight="1" x14ac:dyDescent="0.15"/>
    <row r="58819" s="9" customFormat="1" ht="21.95" customHeight="1" x14ac:dyDescent="0.15"/>
    <row r="58820" s="9" customFormat="1" ht="21.95" customHeight="1" x14ac:dyDescent="0.15"/>
    <row r="58821" s="9" customFormat="1" ht="21.95" customHeight="1" x14ac:dyDescent="0.15"/>
    <row r="58822" s="9" customFormat="1" ht="35.1" customHeight="1" x14ac:dyDescent="0.15"/>
    <row r="58823" s="9" customFormat="1" ht="21.95" customHeight="1" x14ac:dyDescent="0.15"/>
    <row r="58824" s="9" customFormat="1" ht="21.95" customHeight="1" x14ac:dyDescent="0.15"/>
    <row r="58825" s="9" customFormat="1" ht="21.95" customHeight="1" x14ac:dyDescent="0.15"/>
    <row r="58826" s="9" customFormat="1" ht="21.95" customHeight="1" x14ac:dyDescent="0.15"/>
    <row r="58827" s="9" customFormat="1" ht="21.95" customHeight="1" x14ac:dyDescent="0.15"/>
    <row r="58828" s="9" customFormat="1" ht="21.95" customHeight="1" x14ac:dyDescent="0.15"/>
    <row r="58829" s="9" customFormat="1" ht="21.95" customHeight="1" x14ac:dyDescent="0.15"/>
    <row r="58830" s="9" customFormat="1" ht="21.95" customHeight="1" x14ac:dyDescent="0.15"/>
    <row r="58831" s="9" customFormat="1" ht="21.95" customHeight="1" x14ac:dyDescent="0.15"/>
    <row r="58832" s="9" customFormat="1" ht="21.95" customHeight="1" x14ac:dyDescent="0.15"/>
    <row r="58833" spans="3:3" s="9" customFormat="1" ht="21.95" customHeight="1" x14ac:dyDescent="0.15"/>
    <row r="58834" spans="3:3" s="9" customFormat="1" ht="21.95" customHeight="1" x14ac:dyDescent="0.15"/>
    <row r="58835" spans="3:3" s="9" customFormat="1" ht="21.95" customHeight="1" x14ac:dyDescent="0.15"/>
    <row r="58836" spans="3:3" s="9" customFormat="1" ht="21.95" customHeight="1" x14ac:dyDescent="0.15"/>
    <row r="58837" spans="3:3" s="9" customFormat="1" ht="21.95" customHeight="1" x14ac:dyDescent="0.15"/>
    <row r="58838" spans="3:3" s="9" customFormat="1" ht="21.95" customHeight="1" x14ac:dyDescent="0.15"/>
    <row r="58839" spans="3:3" s="9" customFormat="1" ht="21.95" customHeight="1" x14ac:dyDescent="0.15"/>
    <row r="58840" spans="3:3" s="9" customFormat="1" ht="21.95" customHeight="1" x14ac:dyDescent="0.15"/>
    <row r="58841" spans="3:3" s="9" customFormat="1" ht="21.95" customHeight="1" x14ac:dyDescent="0.15"/>
    <row r="58842" spans="3:3" s="9" customFormat="1" ht="21.95" customHeight="1" x14ac:dyDescent="0.15"/>
    <row r="58843" spans="3:3" s="9" customFormat="1" ht="21.95" customHeight="1" x14ac:dyDescent="0.15"/>
    <row r="58844" spans="3:3" s="9" customFormat="1" ht="21.95" customHeight="1" x14ac:dyDescent="0.15"/>
    <row r="58845" spans="3:3" s="9" customFormat="1" ht="21.95" customHeight="1" x14ac:dyDescent="0.15"/>
    <row r="58846" spans="3:3" s="8" customFormat="1" ht="21.95" customHeight="1" x14ac:dyDescent="0.15"/>
    <row r="58847" spans="3:3" s="8" customFormat="1" ht="21.95" customHeight="1" x14ac:dyDescent="0.15"/>
    <row r="58848" spans="3:3" s="8" customFormat="1" ht="21.95" customHeight="1" x14ac:dyDescent="0.15">
      <c r="C58848" s="101"/>
    </row>
    <row r="58849" spans="3:3" s="8" customFormat="1" ht="21.95" customHeight="1" x14ac:dyDescent="0.15">
      <c r="C58849" s="101"/>
    </row>
    <row r="58850" spans="3:3" s="8" customFormat="1" ht="21.95" customHeight="1" x14ac:dyDescent="0.15"/>
    <row r="58851" spans="3:3" s="8" customFormat="1" ht="21.95" customHeight="1" x14ac:dyDescent="0.15"/>
    <row r="58852" spans="3:3" s="8" customFormat="1" ht="21.95" customHeight="1" x14ac:dyDescent="0.15"/>
    <row r="58853" spans="3:3" s="8" customFormat="1" ht="21.95" customHeight="1" x14ac:dyDescent="0.15"/>
    <row r="58854" spans="3:3" s="8" customFormat="1" ht="21.95" customHeight="1" x14ac:dyDescent="0.15"/>
    <row r="58855" spans="3:3" s="8" customFormat="1" ht="21.95" customHeight="1" x14ac:dyDescent="0.15"/>
    <row r="58856" spans="3:3" s="8" customFormat="1" ht="21.95" customHeight="1" x14ac:dyDescent="0.15"/>
    <row r="58857" spans="3:3" s="9" customFormat="1" ht="21.95" customHeight="1" x14ac:dyDescent="0.15"/>
    <row r="58858" spans="3:3" s="9" customFormat="1" ht="21.95" customHeight="1" x14ac:dyDescent="0.15"/>
    <row r="58859" spans="3:3" s="9" customFormat="1" ht="21.95" customHeight="1" x14ac:dyDescent="0.15"/>
    <row r="58860" spans="3:3" s="9" customFormat="1" ht="21.95" customHeight="1" x14ac:dyDescent="0.15"/>
    <row r="58861" spans="3:3" s="8" customFormat="1" ht="21.95" customHeight="1" x14ac:dyDescent="0.15"/>
    <row r="58862" spans="3:3" s="8" customFormat="1" ht="21.95" customHeight="1" x14ac:dyDescent="0.15"/>
    <row r="58863" spans="3:3" s="8" customFormat="1" ht="21.95" customHeight="1" x14ac:dyDescent="0.15"/>
    <row r="58864" spans="3:3" s="8" customFormat="1" ht="21.95" customHeight="1" x14ac:dyDescent="0.15"/>
    <row r="58865" s="8" customFormat="1" ht="21.95" customHeight="1" x14ac:dyDescent="0.15"/>
    <row r="58866" s="8" customFormat="1" ht="21.95" customHeight="1" x14ac:dyDescent="0.15"/>
    <row r="58867" s="8" customFormat="1" ht="21.95" customHeight="1" x14ac:dyDescent="0.15"/>
    <row r="58868" s="8" customFormat="1" ht="21.95" customHeight="1" x14ac:dyDescent="0.15"/>
    <row r="58869" s="8" customFormat="1" ht="21.95" customHeight="1" x14ac:dyDescent="0.15"/>
    <row r="58870" s="8" customFormat="1" ht="21.95" customHeight="1" x14ac:dyDescent="0.15"/>
    <row r="58871" s="8" customFormat="1" ht="21.95" customHeight="1" x14ac:dyDescent="0.15"/>
    <row r="58872" s="8" customFormat="1" ht="32.1" customHeight="1" x14ac:dyDescent="0.15"/>
    <row r="58873" s="8" customFormat="1" ht="32.1" customHeight="1" x14ac:dyDescent="0.15"/>
    <row r="58874" s="8" customFormat="1" ht="32.1" customHeight="1" x14ac:dyDescent="0.15"/>
    <row r="58875" s="8" customFormat="1" ht="32.1" customHeight="1" x14ac:dyDescent="0.15"/>
    <row r="58876" s="8" customFormat="1" ht="32.1" customHeight="1" x14ac:dyDescent="0.15"/>
    <row r="58877" s="8" customFormat="1" ht="32.1" customHeight="1" x14ac:dyDescent="0.15"/>
    <row r="58878" s="9" customFormat="1" ht="32.1" customHeight="1" x14ac:dyDescent="0.15"/>
    <row r="58879" s="9" customFormat="1" ht="32.1" customHeight="1" x14ac:dyDescent="0.15"/>
    <row r="58880" s="9" customFormat="1" ht="32.1" customHeight="1" x14ac:dyDescent="0.15"/>
    <row r="58881" s="9" customFormat="1" ht="32.1" customHeight="1" x14ac:dyDescent="0.15"/>
    <row r="58882" s="9" customFormat="1" ht="21.95" customHeight="1" x14ac:dyDescent="0.15"/>
    <row r="58883" s="9" customFormat="1" ht="54" customHeight="1" x14ac:dyDescent="0.15"/>
    <row r="58884" s="9" customFormat="1" ht="21.95" customHeight="1" x14ac:dyDescent="0.15"/>
    <row r="58885" s="9" customFormat="1" ht="21.95" customHeight="1" x14ac:dyDescent="0.15"/>
    <row r="58886" s="9" customFormat="1" ht="21.95" customHeight="1" x14ac:dyDescent="0.15"/>
    <row r="58887" s="9" customFormat="1" ht="21.95" customHeight="1" x14ac:dyDescent="0.15"/>
    <row r="58888" s="9" customFormat="1" ht="21.95" customHeight="1" x14ac:dyDescent="0.15"/>
    <row r="58889" s="9" customFormat="1" ht="21.95" customHeight="1" x14ac:dyDescent="0.15"/>
    <row r="58890" s="9" customFormat="1" ht="21.95" customHeight="1" x14ac:dyDescent="0.15"/>
    <row r="58891" s="9" customFormat="1" ht="21.95" customHeight="1" x14ac:dyDescent="0.15"/>
    <row r="58892" s="9" customFormat="1" ht="21.95" customHeight="1" x14ac:dyDescent="0.15"/>
    <row r="58893" s="9" customFormat="1" ht="21.95" customHeight="1" x14ac:dyDescent="0.15"/>
    <row r="58894" s="9" customFormat="1" ht="21.95" customHeight="1" x14ac:dyDescent="0.15"/>
    <row r="58895" s="9" customFormat="1" ht="21.95" customHeight="1" x14ac:dyDescent="0.15"/>
    <row r="58896" s="9" customFormat="1" ht="21.95" customHeight="1" x14ac:dyDescent="0.15"/>
    <row r="58897" s="9" customFormat="1" ht="21.95" customHeight="1" x14ac:dyDescent="0.15"/>
    <row r="58898" s="9" customFormat="1" ht="21.95" customHeight="1" x14ac:dyDescent="0.15"/>
    <row r="58899" s="9" customFormat="1" ht="21.95" customHeight="1" x14ac:dyDescent="0.15"/>
    <row r="58900" s="9" customFormat="1" ht="21.95" customHeight="1" x14ac:dyDescent="0.15"/>
    <row r="58901" s="9" customFormat="1" ht="21.95" customHeight="1" x14ac:dyDescent="0.15"/>
    <row r="58902" s="9" customFormat="1" ht="21.95" customHeight="1" x14ac:dyDescent="0.15"/>
    <row r="58903" s="9" customFormat="1" ht="21.95" customHeight="1" x14ac:dyDescent="0.15"/>
    <row r="58904" s="9" customFormat="1" ht="21.95" customHeight="1" x14ac:dyDescent="0.15"/>
    <row r="58905" s="9" customFormat="1" ht="21.95" customHeight="1" x14ac:dyDescent="0.15"/>
    <row r="58906" s="9" customFormat="1" ht="21.95" customHeight="1" x14ac:dyDescent="0.15"/>
    <row r="58907" s="9" customFormat="1" ht="21.95" customHeight="1" x14ac:dyDescent="0.15"/>
    <row r="58908" s="9" customFormat="1" ht="21.95" customHeight="1" x14ac:dyDescent="0.15"/>
    <row r="58909" s="9" customFormat="1" ht="21.95" customHeight="1" x14ac:dyDescent="0.15"/>
    <row r="58910" s="9" customFormat="1" ht="21.95" customHeight="1" x14ac:dyDescent="0.15"/>
    <row r="58911" s="9" customFormat="1" ht="21.95" customHeight="1" x14ac:dyDescent="0.15"/>
    <row r="58912" s="9" customFormat="1" ht="21.95" customHeight="1" x14ac:dyDescent="0.15"/>
    <row r="58913" s="9" customFormat="1" ht="21.95" customHeight="1" x14ac:dyDescent="0.15"/>
    <row r="58914" s="9" customFormat="1" ht="21.95" customHeight="1" x14ac:dyDescent="0.15"/>
    <row r="58915" s="9" customFormat="1" ht="21.95" customHeight="1" x14ac:dyDescent="0.15"/>
    <row r="58916" s="9" customFormat="1" ht="21.95" customHeight="1" x14ac:dyDescent="0.15"/>
    <row r="58917" s="9" customFormat="1" ht="21.95" customHeight="1" x14ac:dyDescent="0.15"/>
    <row r="58918" s="9" customFormat="1" ht="21.95" customHeight="1" x14ac:dyDescent="0.15"/>
    <row r="58919" s="9" customFormat="1" ht="21.95" customHeight="1" x14ac:dyDescent="0.15"/>
    <row r="58920" s="9" customFormat="1" ht="21.95" customHeight="1" x14ac:dyDescent="0.15"/>
    <row r="58921" s="9" customFormat="1" ht="21.95" customHeight="1" x14ac:dyDescent="0.15"/>
    <row r="58922" s="9" customFormat="1" ht="21.95" customHeight="1" x14ac:dyDescent="0.15"/>
    <row r="58923" s="9" customFormat="1" ht="21.95" customHeight="1" x14ac:dyDescent="0.15"/>
    <row r="58924" s="9" customFormat="1" ht="21.95" customHeight="1" x14ac:dyDescent="0.15"/>
    <row r="58925" s="9" customFormat="1" ht="21.95" customHeight="1" x14ac:dyDescent="0.15"/>
    <row r="58926" s="9" customFormat="1" ht="21.95" customHeight="1" x14ac:dyDescent="0.15"/>
    <row r="58927" s="9" customFormat="1" ht="21.95" customHeight="1" x14ac:dyDescent="0.15"/>
    <row r="58928" s="9" customFormat="1" ht="21.95" customHeight="1" x14ac:dyDescent="0.15"/>
    <row r="58929" s="9" customFormat="1" ht="21.95" customHeight="1" x14ac:dyDescent="0.15"/>
    <row r="58930" s="9" customFormat="1" ht="21.95" customHeight="1" x14ac:dyDescent="0.15"/>
    <row r="58931" s="9" customFormat="1" ht="21.95" customHeight="1" x14ac:dyDescent="0.15"/>
    <row r="58932" s="9" customFormat="1" ht="21.95" customHeight="1" x14ac:dyDescent="0.15"/>
    <row r="58933" s="9" customFormat="1" ht="21.95" customHeight="1" x14ac:dyDescent="0.15"/>
    <row r="58934" s="9" customFormat="1" ht="35.1" customHeight="1" x14ac:dyDescent="0.15"/>
    <row r="58935" s="9" customFormat="1" ht="21.95" customHeight="1" x14ac:dyDescent="0.15"/>
    <row r="58936" s="9" customFormat="1" ht="21.95" customHeight="1" x14ac:dyDescent="0.15"/>
    <row r="58937" s="9" customFormat="1" ht="21.95" customHeight="1" x14ac:dyDescent="0.15"/>
    <row r="58938" s="9" customFormat="1" ht="21.95" customHeight="1" x14ac:dyDescent="0.15"/>
    <row r="58939" s="9" customFormat="1" ht="21.95" customHeight="1" x14ac:dyDescent="0.15"/>
    <row r="58940" s="9" customFormat="1" ht="21.95" customHeight="1" x14ac:dyDescent="0.15"/>
    <row r="58941" s="9" customFormat="1" ht="21.95" customHeight="1" x14ac:dyDescent="0.15"/>
    <row r="58942" s="9" customFormat="1" ht="21.95" customHeight="1" x14ac:dyDescent="0.15"/>
    <row r="58943" s="9" customFormat="1" ht="21.95" customHeight="1" x14ac:dyDescent="0.15"/>
    <row r="58944" s="9" customFormat="1" ht="21.95" customHeight="1" x14ac:dyDescent="0.15"/>
    <row r="58945" spans="3:3" s="9" customFormat="1" ht="21.95" customHeight="1" x14ac:dyDescent="0.15"/>
    <row r="58946" spans="3:3" s="9" customFormat="1" ht="21.95" customHeight="1" x14ac:dyDescent="0.15"/>
    <row r="58947" spans="3:3" s="9" customFormat="1" ht="21.95" customHeight="1" x14ac:dyDescent="0.15"/>
    <row r="58948" spans="3:3" s="9" customFormat="1" ht="21.95" customHeight="1" x14ac:dyDescent="0.15"/>
    <row r="58949" spans="3:3" s="9" customFormat="1" ht="21.95" customHeight="1" x14ac:dyDescent="0.15"/>
    <row r="58950" spans="3:3" s="9" customFormat="1" ht="21.95" customHeight="1" x14ac:dyDescent="0.15"/>
    <row r="58951" spans="3:3" s="9" customFormat="1" ht="21.95" customHeight="1" x14ac:dyDescent="0.15"/>
    <row r="58952" spans="3:3" s="9" customFormat="1" ht="21.95" customHeight="1" x14ac:dyDescent="0.15"/>
    <row r="58953" spans="3:3" s="9" customFormat="1" ht="21.95" customHeight="1" x14ac:dyDescent="0.15"/>
    <row r="58954" spans="3:3" s="9" customFormat="1" ht="21.95" customHeight="1" x14ac:dyDescent="0.15"/>
    <row r="58955" spans="3:3" s="9" customFormat="1" ht="21.95" customHeight="1" x14ac:dyDescent="0.15"/>
    <row r="58956" spans="3:3" s="9" customFormat="1" ht="21.95" customHeight="1" x14ac:dyDescent="0.15"/>
    <row r="58957" spans="3:3" s="9" customFormat="1" ht="21.95" customHeight="1" x14ac:dyDescent="0.15"/>
    <row r="58958" spans="3:3" s="8" customFormat="1" ht="21.95" customHeight="1" x14ac:dyDescent="0.15"/>
    <row r="58959" spans="3:3" s="8" customFormat="1" ht="21.95" customHeight="1" x14ac:dyDescent="0.15"/>
    <row r="58960" spans="3:3" s="8" customFormat="1" ht="21.95" customHeight="1" x14ac:dyDescent="0.15">
      <c r="C58960" s="101"/>
    </row>
    <row r="58961" spans="3:3" s="8" customFormat="1" ht="21.95" customHeight="1" x14ac:dyDescent="0.15">
      <c r="C58961" s="101"/>
    </row>
    <row r="58962" spans="3:3" s="8" customFormat="1" ht="21.95" customHeight="1" x14ac:dyDescent="0.15"/>
    <row r="58963" spans="3:3" s="8" customFormat="1" ht="21.95" customHeight="1" x14ac:dyDescent="0.15"/>
    <row r="58964" spans="3:3" s="8" customFormat="1" ht="21.95" customHeight="1" x14ac:dyDescent="0.15"/>
    <row r="58965" spans="3:3" s="8" customFormat="1" ht="21.95" customHeight="1" x14ac:dyDescent="0.15"/>
    <row r="58966" spans="3:3" s="8" customFormat="1" ht="21.95" customHeight="1" x14ac:dyDescent="0.15"/>
    <row r="58967" spans="3:3" s="8" customFormat="1" ht="21.95" customHeight="1" x14ac:dyDescent="0.15"/>
    <row r="58968" spans="3:3" s="8" customFormat="1" ht="21.95" customHeight="1" x14ac:dyDescent="0.15"/>
    <row r="58969" spans="3:3" s="9" customFormat="1" ht="21.95" customHeight="1" x14ac:dyDescent="0.15"/>
    <row r="58970" spans="3:3" s="9" customFormat="1" ht="21.95" customHeight="1" x14ac:dyDescent="0.15"/>
    <row r="58971" spans="3:3" s="9" customFormat="1" ht="21.95" customHeight="1" x14ac:dyDescent="0.15"/>
    <row r="58972" spans="3:3" s="9" customFormat="1" ht="21.95" customHeight="1" x14ac:dyDescent="0.15"/>
    <row r="58973" spans="3:3" s="8" customFormat="1" ht="21.95" customHeight="1" x14ac:dyDescent="0.15"/>
    <row r="58974" spans="3:3" s="8" customFormat="1" ht="21.95" customHeight="1" x14ac:dyDescent="0.15"/>
    <row r="58975" spans="3:3" s="8" customFormat="1" ht="21.95" customHeight="1" x14ac:dyDescent="0.15"/>
    <row r="58976" spans="3:3" s="8" customFormat="1" ht="21.95" customHeight="1" x14ac:dyDescent="0.15"/>
    <row r="58977" s="8" customFormat="1" ht="21.95" customHeight="1" x14ac:dyDescent="0.15"/>
    <row r="58978" s="8" customFormat="1" ht="21.95" customHeight="1" x14ac:dyDescent="0.15"/>
    <row r="58979" s="8" customFormat="1" ht="21.95" customHeight="1" x14ac:dyDescent="0.15"/>
    <row r="58980" s="8" customFormat="1" ht="21.95" customHeight="1" x14ac:dyDescent="0.15"/>
    <row r="58981" s="8" customFormat="1" ht="21.95" customHeight="1" x14ac:dyDescent="0.15"/>
    <row r="58982" s="8" customFormat="1" ht="21.95" customHeight="1" x14ac:dyDescent="0.15"/>
    <row r="58983" s="8" customFormat="1" ht="21.95" customHeight="1" x14ac:dyDescent="0.15"/>
    <row r="58984" s="8" customFormat="1" ht="32.1" customHeight="1" x14ac:dyDescent="0.15"/>
    <row r="58985" s="8" customFormat="1" ht="32.1" customHeight="1" x14ac:dyDescent="0.15"/>
    <row r="58986" s="8" customFormat="1" ht="32.1" customHeight="1" x14ac:dyDescent="0.15"/>
    <row r="58987" s="8" customFormat="1" ht="32.1" customHeight="1" x14ac:dyDescent="0.15"/>
    <row r="58988" s="8" customFormat="1" ht="32.1" customHeight="1" x14ac:dyDescent="0.15"/>
    <row r="58989" s="8" customFormat="1" ht="32.1" customHeight="1" x14ac:dyDescent="0.15"/>
    <row r="58990" s="9" customFormat="1" ht="32.1" customHeight="1" x14ac:dyDescent="0.15"/>
    <row r="58991" s="9" customFormat="1" ht="32.1" customHeight="1" x14ac:dyDescent="0.15"/>
    <row r="58992" s="9" customFormat="1" ht="32.1" customHeight="1" x14ac:dyDescent="0.15"/>
    <row r="58993" s="9" customFormat="1" ht="32.1" customHeight="1" x14ac:dyDescent="0.15"/>
    <row r="58994" s="9" customFormat="1" ht="21.95" customHeight="1" x14ac:dyDescent="0.15"/>
    <row r="58995" s="9" customFormat="1" ht="54" customHeight="1" x14ac:dyDescent="0.15"/>
    <row r="58996" s="9" customFormat="1" ht="21.95" customHeight="1" x14ac:dyDescent="0.15"/>
    <row r="58997" s="9" customFormat="1" ht="21.95" customHeight="1" x14ac:dyDescent="0.15"/>
    <row r="58998" s="9" customFormat="1" ht="21.95" customHeight="1" x14ac:dyDescent="0.15"/>
    <row r="58999" s="9" customFormat="1" ht="21.95" customHeight="1" x14ac:dyDescent="0.15"/>
    <row r="59000" s="9" customFormat="1" ht="21.95" customHeight="1" x14ac:dyDescent="0.15"/>
    <row r="59001" s="9" customFormat="1" ht="21.95" customHeight="1" x14ac:dyDescent="0.15"/>
    <row r="59002" s="9" customFormat="1" ht="21.95" customHeight="1" x14ac:dyDescent="0.15"/>
    <row r="59003" s="9" customFormat="1" ht="21.95" customHeight="1" x14ac:dyDescent="0.15"/>
    <row r="59004" s="9" customFormat="1" ht="21.95" customHeight="1" x14ac:dyDescent="0.15"/>
    <row r="59005" s="9" customFormat="1" ht="21.95" customHeight="1" x14ac:dyDescent="0.15"/>
    <row r="59006" s="9" customFormat="1" ht="21.95" customHeight="1" x14ac:dyDescent="0.15"/>
    <row r="59007" s="9" customFormat="1" ht="21.95" customHeight="1" x14ac:dyDescent="0.15"/>
    <row r="59008" s="9" customFormat="1" ht="21.95" customHeight="1" x14ac:dyDescent="0.15"/>
    <row r="59009" s="9" customFormat="1" ht="21.95" customHeight="1" x14ac:dyDescent="0.15"/>
    <row r="59010" s="9" customFormat="1" ht="21.95" customHeight="1" x14ac:dyDescent="0.15"/>
    <row r="59011" s="9" customFormat="1" ht="21.95" customHeight="1" x14ac:dyDescent="0.15"/>
    <row r="59012" s="9" customFormat="1" ht="21.95" customHeight="1" x14ac:dyDescent="0.15"/>
    <row r="59013" s="9" customFormat="1" ht="21.95" customHeight="1" x14ac:dyDescent="0.15"/>
    <row r="59014" s="9" customFormat="1" ht="21.95" customHeight="1" x14ac:dyDescent="0.15"/>
    <row r="59015" s="9" customFormat="1" ht="21.95" customHeight="1" x14ac:dyDescent="0.15"/>
    <row r="59016" s="9" customFormat="1" ht="21.95" customHeight="1" x14ac:dyDescent="0.15"/>
    <row r="59017" s="9" customFormat="1" ht="21.95" customHeight="1" x14ac:dyDescent="0.15"/>
    <row r="59018" s="9" customFormat="1" ht="21.95" customHeight="1" x14ac:dyDescent="0.15"/>
    <row r="59019" s="9" customFormat="1" ht="21.95" customHeight="1" x14ac:dyDescent="0.15"/>
    <row r="59020" s="9" customFormat="1" ht="21.95" customHeight="1" x14ac:dyDescent="0.15"/>
    <row r="59021" s="9" customFormat="1" ht="21.95" customHeight="1" x14ac:dyDescent="0.15"/>
    <row r="59022" s="9" customFormat="1" ht="21.95" customHeight="1" x14ac:dyDescent="0.15"/>
    <row r="59023" s="9" customFormat="1" ht="21.95" customHeight="1" x14ac:dyDescent="0.15"/>
    <row r="59024" s="9" customFormat="1" ht="21.95" customHeight="1" x14ac:dyDescent="0.15"/>
    <row r="59025" s="9" customFormat="1" ht="21.95" customHeight="1" x14ac:dyDescent="0.15"/>
    <row r="59026" s="9" customFormat="1" ht="21.95" customHeight="1" x14ac:dyDescent="0.15"/>
    <row r="59027" s="9" customFormat="1" ht="21.95" customHeight="1" x14ac:dyDescent="0.15"/>
    <row r="59028" s="9" customFormat="1" ht="21.95" customHeight="1" x14ac:dyDescent="0.15"/>
    <row r="59029" s="9" customFormat="1" ht="21.95" customHeight="1" x14ac:dyDescent="0.15"/>
    <row r="59030" s="9" customFormat="1" ht="21.95" customHeight="1" x14ac:dyDescent="0.15"/>
    <row r="59031" s="9" customFormat="1" ht="21.95" customHeight="1" x14ac:dyDescent="0.15"/>
    <row r="59032" s="9" customFormat="1" ht="21.95" customHeight="1" x14ac:dyDescent="0.15"/>
    <row r="59033" s="9" customFormat="1" ht="21.95" customHeight="1" x14ac:dyDescent="0.15"/>
    <row r="59034" s="9" customFormat="1" ht="21.95" customHeight="1" x14ac:dyDescent="0.15"/>
    <row r="59035" s="9" customFormat="1" ht="21.95" customHeight="1" x14ac:dyDescent="0.15"/>
    <row r="59036" s="9" customFormat="1" ht="21.95" customHeight="1" x14ac:dyDescent="0.15"/>
    <row r="59037" s="9" customFormat="1" ht="21.95" customHeight="1" x14ac:dyDescent="0.15"/>
    <row r="59038" s="9" customFormat="1" ht="21.95" customHeight="1" x14ac:dyDescent="0.15"/>
    <row r="59039" s="9" customFormat="1" ht="21.95" customHeight="1" x14ac:dyDescent="0.15"/>
    <row r="59040" s="9" customFormat="1" ht="21.95" customHeight="1" x14ac:dyDescent="0.15"/>
    <row r="59041" s="9" customFormat="1" ht="21.95" customHeight="1" x14ac:dyDescent="0.15"/>
    <row r="59042" s="9" customFormat="1" ht="21.95" customHeight="1" x14ac:dyDescent="0.15"/>
    <row r="59043" s="9" customFormat="1" ht="21.95" customHeight="1" x14ac:dyDescent="0.15"/>
    <row r="59044" s="9" customFormat="1" ht="21.95" customHeight="1" x14ac:dyDescent="0.15"/>
    <row r="59045" s="9" customFormat="1" ht="21.95" customHeight="1" x14ac:dyDescent="0.15"/>
    <row r="59046" s="9" customFormat="1" ht="35.1" customHeight="1" x14ac:dyDescent="0.15"/>
    <row r="59047" s="9" customFormat="1" ht="21.95" customHeight="1" x14ac:dyDescent="0.15"/>
    <row r="59048" s="9" customFormat="1" ht="21.95" customHeight="1" x14ac:dyDescent="0.15"/>
    <row r="59049" s="9" customFormat="1" ht="21.95" customHeight="1" x14ac:dyDescent="0.15"/>
    <row r="59050" s="9" customFormat="1" ht="21.95" customHeight="1" x14ac:dyDescent="0.15"/>
    <row r="59051" s="9" customFormat="1" ht="21.95" customHeight="1" x14ac:dyDescent="0.15"/>
    <row r="59052" s="9" customFormat="1" ht="21.95" customHeight="1" x14ac:dyDescent="0.15"/>
    <row r="59053" s="9" customFormat="1" ht="21.95" customHeight="1" x14ac:dyDescent="0.15"/>
    <row r="59054" s="9" customFormat="1" ht="21.95" customHeight="1" x14ac:dyDescent="0.15"/>
    <row r="59055" s="9" customFormat="1" ht="21.95" customHeight="1" x14ac:dyDescent="0.15"/>
    <row r="59056" s="9" customFormat="1" ht="21.95" customHeight="1" x14ac:dyDescent="0.15"/>
    <row r="59057" spans="3:3" s="9" customFormat="1" ht="21.95" customHeight="1" x14ac:dyDescent="0.15"/>
    <row r="59058" spans="3:3" s="9" customFormat="1" ht="21.95" customHeight="1" x14ac:dyDescent="0.15"/>
    <row r="59059" spans="3:3" s="9" customFormat="1" ht="21.95" customHeight="1" x14ac:dyDescent="0.15"/>
    <row r="59060" spans="3:3" s="9" customFormat="1" ht="21.95" customHeight="1" x14ac:dyDescent="0.15"/>
    <row r="59061" spans="3:3" s="9" customFormat="1" ht="21.95" customHeight="1" x14ac:dyDescent="0.15"/>
    <row r="59062" spans="3:3" s="9" customFormat="1" ht="21.95" customHeight="1" x14ac:dyDescent="0.15"/>
    <row r="59063" spans="3:3" s="9" customFormat="1" ht="21.95" customHeight="1" x14ac:dyDescent="0.15"/>
    <row r="59064" spans="3:3" s="9" customFormat="1" ht="21.95" customHeight="1" x14ac:dyDescent="0.15"/>
    <row r="59065" spans="3:3" s="9" customFormat="1" ht="21.95" customHeight="1" x14ac:dyDescent="0.15"/>
    <row r="59066" spans="3:3" s="9" customFormat="1" ht="21.95" customHeight="1" x14ac:dyDescent="0.15"/>
    <row r="59067" spans="3:3" s="9" customFormat="1" ht="21.95" customHeight="1" x14ac:dyDescent="0.15"/>
    <row r="59068" spans="3:3" s="9" customFormat="1" ht="21.95" customHeight="1" x14ac:dyDescent="0.15"/>
    <row r="59069" spans="3:3" s="9" customFormat="1" ht="21.95" customHeight="1" x14ac:dyDescent="0.15"/>
    <row r="59070" spans="3:3" s="8" customFormat="1" ht="21.95" customHeight="1" x14ac:dyDescent="0.15"/>
    <row r="59071" spans="3:3" s="8" customFormat="1" ht="21.95" customHeight="1" x14ac:dyDescent="0.15"/>
    <row r="59072" spans="3:3" s="8" customFormat="1" ht="21.95" customHeight="1" x14ac:dyDescent="0.15">
      <c r="C59072" s="101"/>
    </row>
    <row r="59073" spans="3:3" s="8" customFormat="1" ht="21.95" customHeight="1" x14ac:dyDescent="0.15">
      <c r="C59073" s="101"/>
    </row>
    <row r="59074" spans="3:3" s="8" customFormat="1" ht="21.95" customHeight="1" x14ac:dyDescent="0.15"/>
    <row r="59075" spans="3:3" s="8" customFormat="1" ht="21.95" customHeight="1" x14ac:dyDescent="0.15"/>
    <row r="59076" spans="3:3" s="8" customFormat="1" ht="21.95" customHeight="1" x14ac:dyDescent="0.15"/>
    <row r="59077" spans="3:3" s="8" customFormat="1" ht="21.95" customHeight="1" x14ac:dyDescent="0.15"/>
    <row r="59078" spans="3:3" s="8" customFormat="1" ht="21.95" customHeight="1" x14ac:dyDescent="0.15"/>
    <row r="59079" spans="3:3" s="8" customFormat="1" ht="21.95" customHeight="1" x14ac:dyDescent="0.15"/>
    <row r="59080" spans="3:3" s="8" customFormat="1" ht="21.95" customHeight="1" x14ac:dyDescent="0.15"/>
    <row r="59081" spans="3:3" s="9" customFormat="1" ht="21.95" customHeight="1" x14ac:dyDescent="0.15"/>
    <row r="59082" spans="3:3" s="9" customFormat="1" ht="21.95" customHeight="1" x14ac:dyDescent="0.15"/>
    <row r="59083" spans="3:3" s="9" customFormat="1" ht="21.95" customHeight="1" x14ac:dyDescent="0.15"/>
    <row r="59084" spans="3:3" s="9" customFormat="1" ht="21.95" customHeight="1" x14ac:dyDescent="0.15"/>
    <row r="59085" spans="3:3" s="8" customFormat="1" ht="21.95" customHeight="1" x14ac:dyDescent="0.15"/>
    <row r="59086" spans="3:3" s="8" customFormat="1" ht="21.95" customHeight="1" x14ac:dyDescent="0.15"/>
    <row r="59087" spans="3:3" s="8" customFormat="1" ht="21.95" customHeight="1" x14ac:dyDescent="0.15"/>
    <row r="59088" spans="3:3" s="8" customFormat="1" ht="21.95" customHeight="1" x14ac:dyDescent="0.15"/>
    <row r="59089" s="8" customFormat="1" ht="21.95" customHeight="1" x14ac:dyDescent="0.15"/>
    <row r="59090" s="8" customFormat="1" ht="21.95" customHeight="1" x14ac:dyDescent="0.15"/>
    <row r="59091" s="8" customFormat="1" ht="21.95" customHeight="1" x14ac:dyDescent="0.15"/>
    <row r="59092" s="8" customFormat="1" ht="21.95" customHeight="1" x14ac:dyDescent="0.15"/>
    <row r="59093" s="8" customFormat="1" ht="21.95" customHeight="1" x14ac:dyDescent="0.15"/>
    <row r="59094" s="8" customFormat="1" ht="21.95" customHeight="1" x14ac:dyDescent="0.15"/>
    <row r="59095" s="8" customFormat="1" ht="21.95" customHeight="1" x14ac:dyDescent="0.15"/>
    <row r="59096" s="8" customFormat="1" ht="32.1" customHeight="1" x14ac:dyDescent="0.15"/>
    <row r="59097" s="8" customFormat="1" ht="32.1" customHeight="1" x14ac:dyDescent="0.15"/>
    <row r="59098" s="8" customFormat="1" ht="32.1" customHeight="1" x14ac:dyDescent="0.15"/>
    <row r="59099" s="8" customFormat="1" ht="32.1" customHeight="1" x14ac:dyDescent="0.15"/>
    <row r="59100" s="8" customFormat="1" ht="32.1" customHeight="1" x14ac:dyDescent="0.15"/>
    <row r="59101" s="8" customFormat="1" ht="32.1" customHeight="1" x14ac:dyDescent="0.15"/>
    <row r="59102" s="9" customFormat="1" ht="32.1" customHeight="1" x14ac:dyDescent="0.15"/>
    <row r="59103" s="9" customFormat="1" ht="32.1" customHeight="1" x14ac:dyDescent="0.15"/>
    <row r="59104" s="9" customFormat="1" ht="32.1" customHeight="1" x14ac:dyDescent="0.15"/>
    <row r="59105" s="9" customFormat="1" ht="32.1" customHeight="1" x14ac:dyDescent="0.15"/>
    <row r="59106" s="9" customFormat="1" ht="21.95" customHeight="1" x14ac:dyDescent="0.15"/>
    <row r="59107" s="9" customFormat="1" ht="54" customHeight="1" x14ac:dyDescent="0.15"/>
    <row r="59108" s="9" customFormat="1" ht="21.95" customHeight="1" x14ac:dyDescent="0.15"/>
    <row r="59109" s="9" customFormat="1" ht="21.95" customHeight="1" x14ac:dyDescent="0.15"/>
    <row r="59110" s="9" customFormat="1" ht="21.95" customHeight="1" x14ac:dyDescent="0.15"/>
    <row r="59111" s="9" customFormat="1" ht="21.95" customHeight="1" x14ac:dyDescent="0.15"/>
    <row r="59112" s="9" customFormat="1" ht="21.95" customHeight="1" x14ac:dyDescent="0.15"/>
    <row r="59113" s="9" customFormat="1" ht="21.95" customHeight="1" x14ac:dyDescent="0.15"/>
    <row r="59114" s="9" customFormat="1" ht="21.95" customHeight="1" x14ac:dyDescent="0.15"/>
    <row r="59115" s="9" customFormat="1" ht="21.95" customHeight="1" x14ac:dyDescent="0.15"/>
    <row r="59116" s="9" customFormat="1" ht="21.95" customHeight="1" x14ac:dyDescent="0.15"/>
    <row r="59117" s="9" customFormat="1" ht="21.95" customHeight="1" x14ac:dyDescent="0.15"/>
    <row r="59118" s="9" customFormat="1" ht="21.95" customHeight="1" x14ac:dyDescent="0.15"/>
    <row r="59119" s="9" customFormat="1" ht="21.95" customHeight="1" x14ac:dyDescent="0.15"/>
    <row r="59120" s="9" customFormat="1" ht="21.95" customHeight="1" x14ac:dyDescent="0.15"/>
    <row r="59121" s="9" customFormat="1" ht="21.95" customHeight="1" x14ac:dyDescent="0.15"/>
    <row r="59122" s="9" customFormat="1" ht="21.95" customHeight="1" x14ac:dyDescent="0.15"/>
    <row r="59123" s="9" customFormat="1" ht="21.95" customHeight="1" x14ac:dyDescent="0.15"/>
    <row r="59124" s="9" customFormat="1" ht="21.95" customHeight="1" x14ac:dyDescent="0.15"/>
    <row r="59125" s="9" customFormat="1" ht="21.95" customHeight="1" x14ac:dyDescent="0.15"/>
    <row r="59126" s="9" customFormat="1" ht="21.95" customHeight="1" x14ac:dyDescent="0.15"/>
    <row r="59127" s="9" customFormat="1" ht="21.95" customHeight="1" x14ac:dyDescent="0.15"/>
    <row r="59128" s="9" customFormat="1" ht="21.95" customHeight="1" x14ac:dyDescent="0.15"/>
    <row r="59129" s="9" customFormat="1" ht="21.95" customHeight="1" x14ac:dyDescent="0.15"/>
    <row r="59130" s="9" customFormat="1" ht="21.95" customHeight="1" x14ac:dyDescent="0.15"/>
    <row r="59131" s="9" customFormat="1" ht="21.95" customHeight="1" x14ac:dyDescent="0.15"/>
    <row r="59132" s="9" customFormat="1" ht="21.95" customHeight="1" x14ac:dyDescent="0.15"/>
    <row r="59133" s="9" customFormat="1" ht="21.95" customHeight="1" x14ac:dyDescent="0.15"/>
    <row r="59134" s="9" customFormat="1" ht="21.95" customHeight="1" x14ac:dyDescent="0.15"/>
    <row r="59135" s="9" customFormat="1" ht="21.95" customHeight="1" x14ac:dyDescent="0.15"/>
    <row r="59136" s="9" customFormat="1" ht="21.95" customHeight="1" x14ac:dyDescent="0.15"/>
    <row r="59137" s="9" customFormat="1" ht="21.95" customHeight="1" x14ac:dyDescent="0.15"/>
    <row r="59138" s="9" customFormat="1" ht="21.95" customHeight="1" x14ac:dyDescent="0.15"/>
    <row r="59139" s="9" customFormat="1" ht="21.95" customHeight="1" x14ac:dyDescent="0.15"/>
    <row r="59140" s="9" customFormat="1" ht="21.95" customHeight="1" x14ac:dyDescent="0.15"/>
    <row r="59141" s="9" customFormat="1" ht="21.95" customHeight="1" x14ac:dyDescent="0.15"/>
    <row r="59142" s="9" customFormat="1" ht="21.95" customHeight="1" x14ac:dyDescent="0.15"/>
    <row r="59143" s="9" customFormat="1" ht="21.95" customHeight="1" x14ac:dyDescent="0.15"/>
    <row r="59144" s="9" customFormat="1" ht="21.95" customHeight="1" x14ac:dyDescent="0.15"/>
    <row r="59145" s="9" customFormat="1" ht="21.95" customHeight="1" x14ac:dyDescent="0.15"/>
    <row r="59146" s="9" customFormat="1" ht="21.95" customHeight="1" x14ac:dyDescent="0.15"/>
    <row r="59147" s="9" customFormat="1" ht="21.95" customHeight="1" x14ac:dyDescent="0.15"/>
    <row r="59148" s="9" customFormat="1" ht="21.95" customHeight="1" x14ac:dyDescent="0.15"/>
    <row r="59149" s="9" customFormat="1" ht="21.95" customHeight="1" x14ac:dyDescent="0.15"/>
    <row r="59150" s="9" customFormat="1" ht="21.95" customHeight="1" x14ac:dyDescent="0.15"/>
    <row r="59151" s="9" customFormat="1" ht="21.95" customHeight="1" x14ac:dyDescent="0.15"/>
    <row r="59152" s="9" customFormat="1" ht="21.95" customHeight="1" x14ac:dyDescent="0.15"/>
    <row r="59153" s="9" customFormat="1" ht="21.95" customHeight="1" x14ac:dyDescent="0.15"/>
    <row r="59154" s="9" customFormat="1" ht="21.95" customHeight="1" x14ac:dyDescent="0.15"/>
    <row r="59155" s="9" customFormat="1" ht="21.95" customHeight="1" x14ac:dyDescent="0.15"/>
    <row r="59156" s="9" customFormat="1" ht="21.95" customHeight="1" x14ac:dyDescent="0.15"/>
    <row r="59157" s="9" customFormat="1" ht="21.95" customHeight="1" x14ac:dyDescent="0.15"/>
    <row r="59158" s="9" customFormat="1" ht="35.1" customHeight="1" x14ac:dyDescent="0.15"/>
    <row r="59159" s="9" customFormat="1" ht="21.95" customHeight="1" x14ac:dyDescent="0.15"/>
    <row r="59160" s="9" customFormat="1" ht="21.95" customHeight="1" x14ac:dyDescent="0.15"/>
    <row r="59161" s="9" customFormat="1" ht="21.95" customHeight="1" x14ac:dyDescent="0.15"/>
    <row r="59162" s="9" customFormat="1" ht="21.95" customHeight="1" x14ac:dyDescent="0.15"/>
    <row r="59163" s="9" customFormat="1" ht="21.95" customHeight="1" x14ac:dyDescent="0.15"/>
    <row r="59164" s="9" customFormat="1" ht="21.95" customHeight="1" x14ac:dyDescent="0.15"/>
    <row r="59165" s="9" customFormat="1" ht="21.95" customHeight="1" x14ac:dyDescent="0.15"/>
    <row r="59166" s="9" customFormat="1" ht="21.95" customHeight="1" x14ac:dyDescent="0.15"/>
    <row r="59167" s="9" customFormat="1" ht="21.95" customHeight="1" x14ac:dyDescent="0.15"/>
    <row r="59168" s="9" customFormat="1" ht="21.95" customHeight="1" x14ac:dyDescent="0.15"/>
    <row r="59169" spans="3:3" s="9" customFormat="1" ht="21.95" customHeight="1" x14ac:dyDescent="0.15"/>
    <row r="59170" spans="3:3" s="9" customFormat="1" ht="21.95" customHeight="1" x14ac:dyDescent="0.15"/>
    <row r="59171" spans="3:3" s="9" customFormat="1" ht="21.95" customHeight="1" x14ac:dyDescent="0.15"/>
    <row r="59172" spans="3:3" s="9" customFormat="1" ht="21.95" customHeight="1" x14ac:dyDescent="0.15"/>
    <row r="59173" spans="3:3" s="9" customFormat="1" ht="21.95" customHeight="1" x14ac:dyDescent="0.15"/>
    <row r="59174" spans="3:3" s="9" customFormat="1" ht="21.95" customHeight="1" x14ac:dyDescent="0.15"/>
    <row r="59175" spans="3:3" s="9" customFormat="1" ht="21.95" customHeight="1" x14ac:dyDescent="0.15"/>
    <row r="59176" spans="3:3" s="9" customFormat="1" ht="21.95" customHeight="1" x14ac:dyDescent="0.15"/>
    <row r="59177" spans="3:3" s="9" customFormat="1" ht="21.95" customHeight="1" x14ac:dyDescent="0.15"/>
    <row r="59178" spans="3:3" s="9" customFormat="1" ht="21.95" customHeight="1" x14ac:dyDescent="0.15"/>
    <row r="59179" spans="3:3" s="9" customFormat="1" ht="21.95" customHeight="1" x14ac:dyDescent="0.15"/>
    <row r="59180" spans="3:3" s="9" customFormat="1" ht="21.95" customHeight="1" x14ac:dyDescent="0.15"/>
    <row r="59181" spans="3:3" s="9" customFormat="1" ht="21.95" customHeight="1" x14ac:dyDescent="0.15"/>
    <row r="59182" spans="3:3" s="8" customFormat="1" ht="21.95" customHeight="1" x14ac:dyDescent="0.15"/>
    <row r="59183" spans="3:3" s="8" customFormat="1" ht="21.95" customHeight="1" x14ac:dyDescent="0.15"/>
    <row r="59184" spans="3:3" s="8" customFormat="1" ht="21.95" customHeight="1" x14ac:dyDescent="0.15">
      <c r="C59184" s="101"/>
    </row>
    <row r="59185" spans="3:3" s="8" customFormat="1" ht="21.95" customHeight="1" x14ac:dyDescent="0.15">
      <c r="C59185" s="101"/>
    </row>
    <row r="59186" spans="3:3" s="8" customFormat="1" ht="21.95" customHeight="1" x14ac:dyDescent="0.15"/>
    <row r="59187" spans="3:3" s="8" customFormat="1" ht="21.95" customHeight="1" x14ac:dyDescent="0.15"/>
    <row r="59188" spans="3:3" s="8" customFormat="1" ht="21.95" customHeight="1" x14ac:dyDescent="0.15"/>
    <row r="59189" spans="3:3" s="8" customFormat="1" ht="21.95" customHeight="1" x14ac:dyDescent="0.15"/>
    <row r="59190" spans="3:3" s="8" customFormat="1" ht="21.95" customHeight="1" x14ac:dyDescent="0.15"/>
    <row r="59191" spans="3:3" s="8" customFormat="1" ht="21.95" customHeight="1" x14ac:dyDescent="0.15"/>
    <row r="59192" spans="3:3" s="8" customFormat="1" ht="21.95" customHeight="1" x14ac:dyDescent="0.15"/>
    <row r="59193" spans="3:3" s="9" customFormat="1" ht="21.95" customHeight="1" x14ac:dyDescent="0.15"/>
    <row r="59194" spans="3:3" s="9" customFormat="1" ht="21.95" customHeight="1" x14ac:dyDescent="0.15"/>
    <row r="59195" spans="3:3" s="9" customFormat="1" ht="21.95" customHeight="1" x14ac:dyDescent="0.15"/>
    <row r="59196" spans="3:3" s="9" customFormat="1" ht="21.95" customHeight="1" x14ac:dyDescent="0.15"/>
    <row r="59197" spans="3:3" s="8" customFormat="1" ht="21.95" customHeight="1" x14ac:dyDescent="0.15"/>
    <row r="59198" spans="3:3" s="8" customFormat="1" ht="21.95" customHeight="1" x14ac:dyDescent="0.15"/>
    <row r="59199" spans="3:3" s="8" customFormat="1" ht="21.95" customHeight="1" x14ac:dyDescent="0.15"/>
    <row r="59200" spans="3:3" s="8" customFormat="1" ht="21.95" customHeight="1" x14ac:dyDescent="0.15"/>
    <row r="59201" s="8" customFormat="1" ht="21.95" customHeight="1" x14ac:dyDescent="0.15"/>
    <row r="59202" s="8" customFormat="1" ht="21.95" customHeight="1" x14ac:dyDescent="0.15"/>
    <row r="59203" s="8" customFormat="1" ht="21.95" customHeight="1" x14ac:dyDescent="0.15"/>
    <row r="59204" s="8" customFormat="1" ht="21.95" customHeight="1" x14ac:dyDescent="0.15"/>
    <row r="59205" s="8" customFormat="1" ht="21.95" customHeight="1" x14ac:dyDescent="0.15"/>
    <row r="59206" s="8" customFormat="1" ht="21.95" customHeight="1" x14ac:dyDescent="0.15"/>
    <row r="59207" s="8" customFormat="1" ht="21.95" customHeight="1" x14ac:dyDescent="0.15"/>
    <row r="59208" s="8" customFormat="1" ht="32.1" customHeight="1" x14ac:dyDescent="0.15"/>
    <row r="59209" s="8" customFormat="1" ht="32.1" customHeight="1" x14ac:dyDescent="0.15"/>
    <row r="59210" s="8" customFormat="1" ht="32.1" customHeight="1" x14ac:dyDescent="0.15"/>
    <row r="59211" s="8" customFormat="1" ht="32.1" customHeight="1" x14ac:dyDescent="0.15"/>
    <row r="59212" s="8" customFormat="1" ht="32.1" customHeight="1" x14ac:dyDescent="0.15"/>
    <row r="59213" s="8" customFormat="1" ht="32.1" customHeight="1" x14ac:dyDescent="0.15"/>
    <row r="59214" s="9" customFormat="1" ht="32.1" customHeight="1" x14ac:dyDescent="0.15"/>
    <row r="59215" s="9" customFormat="1" ht="32.1" customHeight="1" x14ac:dyDescent="0.15"/>
    <row r="59216" s="9" customFormat="1" ht="32.1" customHeight="1" x14ac:dyDescent="0.15"/>
    <row r="59217" s="9" customFormat="1" ht="32.1" customHeight="1" x14ac:dyDescent="0.15"/>
    <row r="59218" s="9" customFormat="1" ht="21.95" customHeight="1" x14ac:dyDescent="0.15"/>
    <row r="59219" s="9" customFormat="1" ht="54" customHeight="1" x14ac:dyDescent="0.15"/>
    <row r="59220" s="9" customFormat="1" ht="21.95" customHeight="1" x14ac:dyDescent="0.15"/>
    <row r="59221" s="9" customFormat="1" ht="21.95" customHeight="1" x14ac:dyDescent="0.15"/>
    <row r="59222" s="9" customFormat="1" ht="21.95" customHeight="1" x14ac:dyDescent="0.15"/>
    <row r="59223" s="9" customFormat="1" ht="21.95" customHeight="1" x14ac:dyDescent="0.15"/>
    <row r="59224" s="9" customFormat="1" ht="21.95" customHeight="1" x14ac:dyDescent="0.15"/>
    <row r="59225" s="9" customFormat="1" ht="21.95" customHeight="1" x14ac:dyDescent="0.15"/>
    <row r="59226" s="9" customFormat="1" ht="21.95" customHeight="1" x14ac:dyDescent="0.15"/>
    <row r="59227" s="9" customFormat="1" ht="21.95" customHeight="1" x14ac:dyDescent="0.15"/>
    <row r="59228" s="9" customFormat="1" ht="21.95" customHeight="1" x14ac:dyDescent="0.15"/>
    <row r="59229" s="9" customFormat="1" ht="21.95" customHeight="1" x14ac:dyDescent="0.15"/>
    <row r="59230" s="9" customFormat="1" ht="21.95" customHeight="1" x14ac:dyDescent="0.15"/>
    <row r="59231" s="9" customFormat="1" ht="21.95" customHeight="1" x14ac:dyDescent="0.15"/>
    <row r="59232" s="9" customFormat="1" ht="21.95" customHeight="1" x14ac:dyDescent="0.15"/>
    <row r="59233" s="9" customFormat="1" ht="21.95" customHeight="1" x14ac:dyDescent="0.15"/>
    <row r="59234" s="9" customFormat="1" ht="21.95" customHeight="1" x14ac:dyDescent="0.15"/>
    <row r="59235" s="9" customFormat="1" ht="21.95" customHeight="1" x14ac:dyDescent="0.15"/>
    <row r="59236" s="9" customFormat="1" ht="21.95" customHeight="1" x14ac:dyDescent="0.15"/>
    <row r="59237" s="9" customFormat="1" ht="21.95" customHeight="1" x14ac:dyDescent="0.15"/>
    <row r="59238" s="9" customFormat="1" ht="21.95" customHeight="1" x14ac:dyDescent="0.15"/>
    <row r="59239" s="9" customFormat="1" ht="21.95" customHeight="1" x14ac:dyDescent="0.15"/>
    <row r="59240" s="9" customFormat="1" ht="21.95" customHeight="1" x14ac:dyDescent="0.15"/>
    <row r="59241" s="9" customFormat="1" ht="21.95" customHeight="1" x14ac:dyDescent="0.15"/>
    <row r="59242" s="9" customFormat="1" ht="21.95" customHeight="1" x14ac:dyDescent="0.15"/>
    <row r="59243" s="9" customFormat="1" ht="21.95" customHeight="1" x14ac:dyDescent="0.15"/>
    <row r="59244" s="9" customFormat="1" ht="21.95" customHeight="1" x14ac:dyDescent="0.15"/>
    <row r="59245" s="9" customFormat="1" ht="21.95" customHeight="1" x14ac:dyDescent="0.15"/>
    <row r="59246" s="9" customFormat="1" ht="21.95" customHeight="1" x14ac:dyDescent="0.15"/>
    <row r="59247" s="9" customFormat="1" ht="21.95" customHeight="1" x14ac:dyDescent="0.15"/>
    <row r="59248" s="9" customFormat="1" ht="21.95" customHeight="1" x14ac:dyDescent="0.15"/>
    <row r="59249" s="9" customFormat="1" ht="21.95" customHeight="1" x14ac:dyDescent="0.15"/>
    <row r="59250" s="9" customFormat="1" ht="21.95" customHeight="1" x14ac:dyDescent="0.15"/>
    <row r="59251" s="9" customFormat="1" ht="21.95" customHeight="1" x14ac:dyDescent="0.15"/>
    <row r="59252" s="9" customFormat="1" ht="21.95" customHeight="1" x14ac:dyDescent="0.15"/>
    <row r="59253" s="9" customFormat="1" ht="21.95" customHeight="1" x14ac:dyDescent="0.15"/>
    <row r="59254" s="9" customFormat="1" ht="21.95" customHeight="1" x14ac:dyDescent="0.15"/>
    <row r="59255" s="9" customFormat="1" ht="21.95" customHeight="1" x14ac:dyDescent="0.15"/>
    <row r="59256" s="9" customFormat="1" ht="21.95" customHeight="1" x14ac:dyDescent="0.15"/>
    <row r="59257" s="9" customFormat="1" ht="21.95" customHeight="1" x14ac:dyDescent="0.15"/>
    <row r="59258" s="9" customFormat="1" ht="21.95" customHeight="1" x14ac:dyDescent="0.15"/>
    <row r="59259" s="9" customFormat="1" ht="21.95" customHeight="1" x14ac:dyDescent="0.15"/>
    <row r="59260" s="9" customFormat="1" ht="21.95" customHeight="1" x14ac:dyDescent="0.15"/>
    <row r="59261" s="9" customFormat="1" ht="21.95" customHeight="1" x14ac:dyDescent="0.15"/>
    <row r="59262" s="9" customFormat="1" ht="21.95" customHeight="1" x14ac:dyDescent="0.15"/>
    <row r="59263" s="9" customFormat="1" ht="21.95" customHeight="1" x14ac:dyDescent="0.15"/>
    <row r="59264" s="9" customFormat="1" ht="21.95" customHeight="1" x14ac:dyDescent="0.15"/>
    <row r="59265" s="9" customFormat="1" ht="21.95" customHeight="1" x14ac:dyDescent="0.15"/>
    <row r="59266" s="9" customFormat="1" ht="21.95" customHeight="1" x14ac:dyDescent="0.15"/>
    <row r="59267" s="9" customFormat="1" ht="21.95" customHeight="1" x14ac:dyDescent="0.15"/>
    <row r="59268" s="9" customFormat="1" ht="21.95" customHeight="1" x14ac:dyDescent="0.15"/>
    <row r="59269" s="9" customFormat="1" ht="21.95" customHeight="1" x14ac:dyDescent="0.15"/>
    <row r="59270" s="9" customFormat="1" ht="35.1" customHeight="1" x14ac:dyDescent="0.15"/>
    <row r="59271" s="9" customFormat="1" ht="21.95" customHeight="1" x14ac:dyDescent="0.15"/>
    <row r="59272" s="9" customFormat="1" ht="21.95" customHeight="1" x14ac:dyDescent="0.15"/>
    <row r="59273" s="9" customFormat="1" ht="21.95" customHeight="1" x14ac:dyDescent="0.15"/>
    <row r="59274" s="9" customFormat="1" ht="21.95" customHeight="1" x14ac:dyDescent="0.15"/>
    <row r="59275" s="9" customFormat="1" ht="21.95" customHeight="1" x14ac:dyDescent="0.15"/>
    <row r="59276" s="9" customFormat="1" ht="21.95" customHeight="1" x14ac:dyDescent="0.15"/>
    <row r="59277" s="9" customFormat="1" ht="21.95" customHeight="1" x14ac:dyDescent="0.15"/>
    <row r="59278" s="9" customFormat="1" ht="21.95" customHeight="1" x14ac:dyDescent="0.15"/>
    <row r="59279" s="9" customFormat="1" ht="21.95" customHeight="1" x14ac:dyDescent="0.15"/>
    <row r="59280" s="9" customFormat="1" ht="21.95" customHeight="1" x14ac:dyDescent="0.15"/>
    <row r="59281" spans="3:3" s="9" customFormat="1" ht="21.95" customHeight="1" x14ac:dyDescent="0.15"/>
    <row r="59282" spans="3:3" s="9" customFormat="1" ht="21.95" customHeight="1" x14ac:dyDescent="0.15"/>
    <row r="59283" spans="3:3" s="9" customFormat="1" ht="21.95" customHeight="1" x14ac:dyDescent="0.15"/>
    <row r="59284" spans="3:3" s="9" customFormat="1" ht="21.95" customHeight="1" x14ac:dyDescent="0.15"/>
    <row r="59285" spans="3:3" s="9" customFormat="1" ht="21.95" customHeight="1" x14ac:dyDescent="0.15"/>
    <row r="59286" spans="3:3" s="9" customFormat="1" ht="21.95" customHeight="1" x14ac:dyDescent="0.15"/>
    <row r="59287" spans="3:3" s="9" customFormat="1" ht="21.95" customHeight="1" x14ac:dyDescent="0.15"/>
    <row r="59288" spans="3:3" s="9" customFormat="1" ht="21.95" customHeight="1" x14ac:dyDescent="0.15"/>
    <row r="59289" spans="3:3" s="9" customFormat="1" ht="21.95" customHeight="1" x14ac:dyDescent="0.15"/>
    <row r="59290" spans="3:3" s="9" customFormat="1" ht="21.95" customHeight="1" x14ac:dyDescent="0.15"/>
    <row r="59291" spans="3:3" s="9" customFormat="1" ht="21.95" customHeight="1" x14ac:dyDescent="0.15"/>
    <row r="59292" spans="3:3" s="9" customFormat="1" ht="21.95" customHeight="1" x14ac:dyDescent="0.15"/>
    <row r="59293" spans="3:3" s="9" customFormat="1" ht="21.95" customHeight="1" x14ac:dyDescent="0.15"/>
    <row r="59294" spans="3:3" s="8" customFormat="1" ht="21.95" customHeight="1" x14ac:dyDescent="0.15"/>
    <row r="59295" spans="3:3" s="8" customFormat="1" ht="21.95" customHeight="1" x14ac:dyDescent="0.15"/>
    <row r="59296" spans="3:3" s="8" customFormat="1" ht="21.95" customHeight="1" x14ac:dyDescent="0.15">
      <c r="C59296" s="101"/>
    </row>
    <row r="59297" spans="3:3" s="8" customFormat="1" ht="21.95" customHeight="1" x14ac:dyDescent="0.15">
      <c r="C59297" s="101"/>
    </row>
    <row r="59298" spans="3:3" s="8" customFormat="1" ht="21.95" customHeight="1" x14ac:dyDescent="0.15"/>
    <row r="59299" spans="3:3" s="8" customFormat="1" ht="21.95" customHeight="1" x14ac:dyDescent="0.15"/>
    <row r="59300" spans="3:3" s="8" customFormat="1" ht="21.95" customHeight="1" x14ac:dyDescent="0.15"/>
    <row r="59301" spans="3:3" s="8" customFormat="1" ht="21.95" customHeight="1" x14ac:dyDescent="0.15"/>
    <row r="59302" spans="3:3" s="8" customFormat="1" ht="21.95" customHeight="1" x14ac:dyDescent="0.15"/>
    <row r="59303" spans="3:3" s="8" customFormat="1" ht="21.95" customHeight="1" x14ac:dyDescent="0.15"/>
    <row r="59304" spans="3:3" s="8" customFormat="1" ht="21.95" customHeight="1" x14ac:dyDescent="0.15"/>
    <row r="59305" spans="3:3" s="9" customFormat="1" ht="21.95" customHeight="1" x14ac:dyDescent="0.15"/>
    <row r="59306" spans="3:3" s="9" customFormat="1" ht="21.95" customHeight="1" x14ac:dyDescent="0.15"/>
    <row r="59307" spans="3:3" s="9" customFormat="1" ht="21.95" customHeight="1" x14ac:dyDescent="0.15"/>
    <row r="59308" spans="3:3" s="9" customFormat="1" ht="21.95" customHeight="1" x14ac:dyDescent="0.15"/>
    <row r="59309" spans="3:3" s="8" customFormat="1" ht="21.95" customHeight="1" x14ac:dyDescent="0.15"/>
    <row r="59310" spans="3:3" s="8" customFormat="1" ht="21.95" customHeight="1" x14ac:dyDescent="0.15"/>
    <row r="59311" spans="3:3" s="8" customFormat="1" ht="21.95" customHeight="1" x14ac:dyDescent="0.15"/>
    <row r="59312" spans="3:3" s="8" customFormat="1" ht="21.95" customHeight="1" x14ac:dyDescent="0.15"/>
    <row r="59313" s="8" customFormat="1" ht="21.95" customHeight="1" x14ac:dyDescent="0.15"/>
    <row r="59314" s="8" customFormat="1" ht="21.95" customHeight="1" x14ac:dyDescent="0.15"/>
    <row r="59315" s="8" customFormat="1" ht="21.95" customHeight="1" x14ac:dyDescent="0.15"/>
    <row r="59316" s="8" customFormat="1" ht="21.95" customHeight="1" x14ac:dyDescent="0.15"/>
    <row r="59317" s="8" customFormat="1" ht="21.95" customHeight="1" x14ac:dyDescent="0.15"/>
    <row r="59318" s="8" customFormat="1" ht="21.95" customHeight="1" x14ac:dyDescent="0.15"/>
    <row r="59319" s="8" customFormat="1" ht="21.95" customHeight="1" x14ac:dyDescent="0.15"/>
    <row r="59320" s="8" customFormat="1" ht="32.1" customHeight="1" x14ac:dyDescent="0.15"/>
    <row r="59321" s="8" customFormat="1" ht="32.1" customHeight="1" x14ac:dyDescent="0.15"/>
    <row r="59322" s="8" customFormat="1" ht="32.1" customHeight="1" x14ac:dyDescent="0.15"/>
    <row r="59323" s="8" customFormat="1" ht="32.1" customHeight="1" x14ac:dyDescent="0.15"/>
    <row r="59324" s="8" customFormat="1" ht="32.1" customHeight="1" x14ac:dyDescent="0.15"/>
    <row r="59325" s="8" customFormat="1" ht="32.1" customHeight="1" x14ac:dyDescent="0.15"/>
    <row r="59326" s="9" customFormat="1" ht="32.1" customHeight="1" x14ac:dyDescent="0.15"/>
    <row r="59327" s="9" customFormat="1" ht="32.1" customHeight="1" x14ac:dyDescent="0.15"/>
    <row r="59328" s="9" customFormat="1" ht="32.1" customHeight="1" x14ac:dyDescent="0.15"/>
    <row r="59329" s="9" customFormat="1" ht="32.1" customHeight="1" x14ac:dyDescent="0.15"/>
    <row r="59330" s="9" customFormat="1" ht="21.95" customHeight="1" x14ac:dyDescent="0.15"/>
    <row r="59331" s="9" customFormat="1" ht="54" customHeight="1" x14ac:dyDescent="0.15"/>
    <row r="59332" s="9" customFormat="1" ht="21.95" customHeight="1" x14ac:dyDescent="0.15"/>
    <row r="59333" s="9" customFormat="1" ht="21.95" customHeight="1" x14ac:dyDescent="0.15"/>
    <row r="59334" s="9" customFormat="1" ht="21.95" customHeight="1" x14ac:dyDescent="0.15"/>
    <row r="59335" s="9" customFormat="1" ht="21.95" customHeight="1" x14ac:dyDescent="0.15"/>
    <row r="59336" s="9" customFormat="1" ht="21.95" customHeight="1" x14ac:dyDescent="0.15"/>
    <row r="59337" s="9" customFormat="1" ht="21.95" customHeight="1" x14ac:dyDescent="0.15"/>
    <row r="59338" s="9" customFormat="1" ht="21.95" customHeight="1" x14ac:dyDescent="0.15"/>
    <row r="59339" s="9" customFormat="1" ht="21.95" customHeight="1" x14ac:dyDescent="0.15"/>
    <row r="59340" s="9" customFormat="1" ht="21.95" customHeight="1" x14ac:dyDescent="0.15"/>
    <row r="59341" s="9" customFormat="1" ht="21.95" customHeight="1" x14ac:dyDescent="0.15"/>
    <row r="59342" s="9" customFormat="1" ht="21.95" customHeight="1" x14ac:dyDescent="0.15"/>
    <row r="59343" s="9" customFormat="1" ht="21.95" customHeight="1" x14ac:dyDescent="0.15"/>
    <row r="59344" s="9" customFormat="1" ht="21.95" customHeight="1" x14ac:dyDescent="0.15"/>
    <row r="59345" s="9" customFormat="1" ht="21.95" customHeight="1" x14ac:dyDescent="0.15"/>
    <row r="59346" s="9" customFormat="1" ht="21.95" customHeight="1" x14ac:dyDescent="0.15"/>
    <row r="59347" s="9" customFormat="1" ht="21.95" customHeight="1" x14ac:dyDescent="0.15"/>
    <row r="59348" s="9" customFormat="1" ht="21.95" customHeight="1" x14ac:dyDescent="0.15"/>
    <row r="59349" s="9" customFormat="1" ht="21.95" customHeight="1" x14ac:dyDescent="0.15"/>
    <row r="59350" s="9" customFormat="1" ht="21.95" customHeight="1" x14ac:dyDescent="0.15"/>
    <row r="59351" s="9" customFormat="1" ht="21.95" customHeight="1" x14ac:dyDescent="0.15"/>
    <row r="59352" s="9" customFormat="1" ht="21.95" customHeight="1" x14ac:dyDescent="0.15"/>
    <row r="59353" s="9" customFormat="1" ht="21.95" customHeight="1" x14ac:dyDescent="0.15"/>
    <row r="59354" s="9" customFormat="1" ht="21.95" customHeight="1" x14ac:dyDescent="0.15"/>
    <row r="59355" s="9" customFormat="1" ht="21.95" customHeight="1" x14ac:dyDescent="0.15"/>
    <row r="59356" s="9" customFormat="1" ht="21.95" customHeight="1" x14ac:dyDescent="0.15"/>
    <row r="59357" s="9" customFormat="1" ht="21.95" customHeight="1" x14ac:dyDescent="0.15"/>
    <row r="59358" s="9" customFormat="1" ht="21.95" customHeight="1" x14ac:dyDescent="0.15"/>
    <row r="59359" s="9" customFormat="1" ht="21.95" customHeight="1" x14ac:dyDescent="0.15"/>
    <row r="59360" s="9" customFormat="1" ht="21.95" customHeight="1" x14ac:dyDescent="0.15"/>
    <row r="59361" s="9" customFormat="1" ht="21.95" customHeight="1" x14ac:dyDescent="0.15"/>
    <row r="59362" s="9" customFormat="1" ht="21.95" customHeight="1" x14ac:dyDescent="0.15"/>
    <row r="59363" s="9" customFormat="1" ht="21.95" customHeight="1" x14ac:dyDescent="0.15"/>
    <row r="59364" s="9" customFormat="1" ht="21.95" customHeight="1" x14ac:dyDescent="0.15"/>
    <row r="59365" s="9" customFormat="1" ht="21.95" customHeight="1" x14ac:dyDescent="0.15"/>
    <row r="59366" s="9" customFormat="1" ht="21.95" customHeight="1" x14ac:dyDescent="0.15"/>
    <row r="59367" s="9" customFormat="1" ht="21.95" customHeight="1" x14ac:dyDescent="0.15"/>
    <row r="59368" s="9" customFormat="1" ht="21.95" customHeight="1" x14ac:dyDescent="0.15"/>
    <row r="59369" s="9" customFormat="1" ht="21.95" customHeight="1" x14ac:dyDescent="0.15"/>
    <row r="59370" s="9" customFormat="1" ht="21.95" customHeight="1" x14ac:dyDescent="0.15"/>
    <row r="59371" s="9" customFormat="1" ht="21.95" customHeight="1" x14ac:dyDescent="0.15"/>
    <row r="59372" s="9" customFormat="1" ht="21.95" customHeight="1" x14ac:dyDescent="0.15"/>
    <row r="59373" s="9" customFormat="1" ht="21.95" customHeight="1" x14ac:dyDescent="0.15"/>
    <row r="59374" s="9" customFormat="1" ht="21.95" customHeight="1" x14ac:dyDescent="0.15"/>
    <row r="59375" s="9" customFormat="1" ht="21.95" customHeight="1" x14ac:dyDescent="0.15"/>
    <row r="59376" s="9" customFormat="1" ht="21.95" customHeight="1" x14ac:dyDescent="0.15"/>
    <row r="59377" s="9" customFormat="1" ht="21.95" customHeight="1" x14ac:dyDescent="0.15"/>
    <row r="59378" s="9" customFormat="1" ht="21.95" customHeight="1" x14ac:dyDescent="0.15"/>
    <row r="59379" s="9" customFormat="1" ht="21.95" customHeight="1" x14ac:dyDescent="0.15"/>
    <row r="59380" s="9" customFormat="1" ht="21.95" customHeight="1" x14ac:dyDescent="0.15"/>
    <row r="59381" s="9" customFormat="1" ht="21.95" customHeight="1" x14ac:dyDescent="0.15"/>
    <row r="59382" s="9" customFormat="1" ht="35.1" customHeight="1" x14ac:dyDescent="0.15"/>
    <row r="59383" s="9" customFormat="1" ht="21.95" customHeight="1" x14ac:dyDescent="0.15"/>
    <row r="59384" s="9" customFormat="1" ht="21.95" customHeight="1" x14ac:dyDescent="0.15"/>
    <row r="59385" s="9" customFormat="1" ht="21.95" customHeight="1" x14ac:dyDescent="0.15"/>
    <row r="59386" s="9" customFormat="1" ht="21.95" customHeight="1" x14ac:dyDescent="0.15"/>
    <row r="59387" s="9" customFormat="1" ht="21.95" customHeight="1" x14ac:dyDescent="0.15"/>
    <row r="59388" s="9" customFormat="1" ht="21.95" customHeight="1" x14ac:dyDescent="0.15"/>
    <row r="59389" s="9" customFormat="1" ht="21.95" customHeight="1" x14ac:dyDescent="0.15"/>
    <row r="59390" s="9" customFormat="1" ht="21.95" customHeight="1" x14ac:dyDescent="0.15"/>
    <row r="59391" s="9" customFormat="1" ht="21.95" customHeight="1" x14ac:dyDescent="0.15"/>
    <row r="59392" s="9" customFormat="1" ht="21.95" customHeight="1" x14ac:dyDescent="0.15"/>
    <row r="59393" spans="3:3" s="9" customFormat="1" ht="21.95" customHeight="1" x14ac:dyDescent="0.15"/>
    <row r="59394" spans="3:3" s="9" customFormat="1" ht="21.95" customHeight="1" x14ac:dyDescent="0.15"/>
    <row r="59395" spans="3:3" s="9" customFormat="1" ht="21.95" customHeight="1" x14ac:dyDescent="0.15"/>
    <row r="59396" spans="3:3" s="9" customFormat="1" ht="21.95" customHeight="1" x14ac:dyDescent="0.15"/>
    <row r="59397" spans="3:3" s="9" customFormat="1" ht="21.95" customHeight="1" x14ac:dyDescent="0.15"/>
    <row r="59398" spans="3:3" s="9" customFormat="1" ht="21.95" customHeight="1" x14ac:dyDescent="0.15"/>
    <row r="59399" spans="3:3" s="9" customFormat="1" ht="21.95" customHeight="1" x14ac:dyDescent="0.15"/>
    <row r="59400" spans="3:3" s="9" customFormat="1" ht="21.95" customHeight="1" x14ac:dyDescent="0.15"/>
    <row r="59401" spans="3:3" s="9" customFormat="1" ht="21.95" customHeight="1" x14ac:dyDescent="0.15"/>
    <row r="59402" spans="3:3" s="9" customFormat="1" ht="21.95" customHeight="1" x14ac:dyDescent="0.15"/>
    <row r="59403" spans="3:3" s="9" customFormat="1" ht="21.95" customHeight="1" x14ac:dyDescent="0.15"/>
    <row r="59404" spans="3:3" s="9" customFormat="1" ht="21.95" customHeight="1" x14ac:dyDescent="0.15"/>
    <row r="59405" spans="3:3" s="9" customFormat="1" ht="21.95" customHeight="1" x14ac:dyDescent="0.15"/>
    <row r="59406" spans="3:3" s="8" customFormat="1" ht="21.95" customHeight="1" x14ac:dyDescent="0.15"/>
    <row r="59407" spans="3:3" s="8" customFormat="1" ht="21.95" customHeight="1" x14ac:dyDescent="0.15"/>
    <row r="59408" spans="3:3" s="8" customFormat="1" ht="21.95" customHeight="1" x14ac:dyDescent="0.15">
      <c r="C59408" s="101"/>
    </row>
    <row r="59409" spans="3:3" s="8" customFormat="1" ht="21.95" customHeight="1" x14ac:dyDescent="0.15">
      <c r="C59409" s="101"/>
    </row>
    <row r="59410" spans="3:3" s="8" customFormat="1" ht="21.95" customHeight="1" x14ac:dyDescent="0.15"/>
    <row r="59411" spans="3:3" s="8" customFormat="1" ht="21.95" customHeight="1" x14ac:dyDescent="0.15"/>
    <row r="59412" spans="3:3" s="8" customFormat="1" ht="21.95" customHeight="1" x14ac:dyDescent="0.15"/>
    <row r="59413" spans="3:3" s="8" customFormat="1" ht="21.95" customHeight="1" x14ac:dyDescent="0.15"/>
    <row r="59414" spans="3:3" s="8" customFormat="1" ht="21.95" customHeight="1" x14ac:dyDescent="0.15"/>
    <row r="59415" spans="3:3" s="8" customFormat="1" ht="21.95" customHeight="1" x14ac:dyDescent="0.15"/>
    <row r="59416" spans="3:3" s="8" customFormat="1" ht="21.95" customHeight="1" x14ac:dyDescent="0.15"/>
    <row r="59417" spans="3:3" s="9" customFormat="1" ht="21.95" customHeight="1" x14ac:dyDescent="0.15"/>
    <row r="59418" spans="3:3" s="9" customFormat="1" ht="21.95" customHeight="1" x14ac:dyDescent="0.15"/>
    <row r="59419" spans="3:3" s="9" customFormat="1" ht="21.95" customHeight="1" x14ac:dyDescent="0.15"/>
    <row r="59420" spans="3:3" s="9" customFormat="1" ht="21.95" customHeight="1" x14ac:dyDescent="0.15"/>
    <row r="59421" spans="3:3" s="8" customFormat="1" ht="21.95" customHeight="1" x14ac:dyDescent="0.15"/>
    <row r="59422" spans="3:3" s="8" customFormat="1" ht="21.95" customHeight="1" x14ac:dyDescent="0.15"/>
    <row r="59423" spans="3:3" s="8" customFormat="1" ht="21.95" customHeight="1" x14ac:dyDescent="0.15"/>
    <row r="59424" spans="3:3" s="8" customFormat="1" ht="21.95" customHeight="1" x14ac:dyDescent="0.15"/>
    <row r="59425" s="8" customFormat="1" ht="21.95" customHeight="1" x14ac:dyDescent="0.15"/>
    <row r="59426" s="8" customFormat="1" ht="21.95" customHeight="1" x14ac:dyDescent="0.15"/>
    <row r="59427" s="8" customFormat="1" ht="21.95" customHeight="1" x14ac:dyDescent="0.15"/>
    <row r="59428" s="8" customFormat="1" ht="21.95" customHeight="1" x14ac:dyDescent="0.15"/>
    <row r="59429" s="8" customFormat="1" ht="21.95" customHeight="1" x14ac:dyDescent="0.15"/>
    <row r="59430" s="8" customFormat="1" ht="21.95" customHeight="1" x14ac:dyDescent="0.15"/>
    <row r="59431" s="8" customFormat="1" ht="21.95" customHeight="1" x14ac:dyDescent="0.15"/>
    <row r="59432" s="8" customFormat="1" ht="32.1" customHeight="1" x14ac:dyDescent="0.15"/>
    <row r="59433" s="8" customFormat="1" ht="32.1" customHeight="1" x14ac:dyDescent="0.15"/>
    <row r="59434" s="8" customFormat="1" ht="32.1" customHeight="1" x14ac:dyDescent="0.15"/>
    <row r="59435" s="8" customFormat="1" ht="32.1" customHeight="1" x14ac:dyDescent="0.15"/>
    <row r="59436" s="8" customFormat="1" ht="32.1" customHeight="1" x14ac:dyDescent="0.15"/>
    <row r="59437" s="8" customFormat="1" ht="32.1" customHeight="1" x14ac:dyDescent="0.15"/>
    <row r="59438" s="9" customFormat="1" ht="32.1" customHeight="1" x14ac:dyDescent="0.15"/>
    <row r="59439" s="9" customFormat="1" ht="32.1" customHeight="1" x14ac:dyDescent="0.15"/>
    <row r="59440" s="9" customFormat="1" ht="32.1" customHeight="1" x14ac:dyDescent="0.15"/>
    <row r="59441" s="9" customFormat="1" ht="32.1" customHeight="1" x14ac:dyDescent="0.15"/>
    <row r="59442" s="9" customFormat="1" ht="21.95" customHeight="1" x14ac:dyDescent="0.15"/>
    <row r="59443" s="9" customFormat="1" ht="54" customHeight="1" x14ac:dyDescent="0.15"/>
    <row r="59444" s="9" customFormat="1" ht="21.95" customHeight="1" x14ac:dyDescent="0.15"/>
    <row r="59445" s="9" customFormat="1" ht="21.95" customHeight="1" x14ac:dyDescent="0.15"/>
    <row r="59446" s="9" customFormat="1" ht="21.95" customHeight="1" x14ac:dyDescent="0.15"/>
    <row r="59447" s="9" customFormat="1" ht="21.95" customHeight="1" x14ac:dyDescent="0.15"/>
    <row r="59448" s="9" customFormat="1" ht="21.95" customHeight="1" x14ac:dyDescent="0.15"/>
    <row r="59449" s="9" customFormat="1" ht="21.95" customHeight="1" x14ac:dyDescent="0.15"/>
    <row r="59450" s="9" customFormat="1" ht="21.95" customHeight="1" x14ac:dyDescent="0.15"/>
    <row r="59451" s="9" customFormat="1" ht="21.95" customHeight="1" x14ac:dyDescent="0.15"/>
    <row r="59452" s="9" customFormat="1" ht="21.95" customHeight="1" x14ac:dyDescent="0.15"/>
    <row r="59453" s="9" customFormat="1" ht="21.95" customHeight="1" x14ac:dyDescent="0.15"/>
    <row r="59454" s="9" customFormat="1" ht="21.95" customHeight="1" x14ac:dyDescent="0.15"/>
    <row r="59455" s="9" customFormat="1" ht="21.95" customHeight="1" x14ac:dyDescent="0.15"/>
    <row r="59456" s="9" customFormat="1" ht="21.95" customHeight="1" x14ac:dyDescent="0.15"/>
    <row r="59457" s="9" customFormat="1" ht="21.95" customHeight="1" x14ac:dyDescent="0.15"/>
    <row r="59458" s="9" customFormat="1" ht="21.95" customHeight="1" x14ac:dyDescent="0.15"/>
    <row r="59459" s="9" customFormat="1" ht="21.95" customHeight="1" x14ac:dyDescent="0.15"/>
    <row r="59460" s="9" customFormat="1" ht="21.95" customHeight="1" x14ac:dyDescent="0.15"/>
    <row r="59461" s="9" customFormat="1" ht="21.95" customHeight="1" x14ac:dyDescent="0.15"/>
    <row r="59462" s="9" customFormat="1" ht="21.95" customHeight="1" x14ac:dyDescent="0.15"/>
    <row r="59463" s="9" customFormat="1" ht="21.95" customHeight="1" x14ac:dyDescent="0.15"/>
    <row r="59464" s="9" customFormat="1" ht="21.95" customHeight="1" x14ac:dyDescent="0.15"/>
    <row r="59465" s="9" customFormat="1" ht="21.95" customHeight="1" x14ac:dyDescent="0.15"/>
    <row r="59466" s="9" customFormat="1" ht="21.95" customHeight="1" x14ac:dyDescent="0.15"/>
    <row r="59467" s="9" customFormat="1" ht="21.95" customHeight="1" x14ac:dyDescent="0.15"/>
    <row r="59468" s="9" customFormat="1" ht="21.95" customHeight="1" x14ac:dyDescent="0.15"/>
    <row r="59469" s="9" customFormat="1" ht="21.95" customHeight="1" x14ac:dyDescent="0.15"/>
    <row r="59470" s="9" customFormat="1" ht="21.95" customHeight="1" x14ac:dyDescent="0.15"/>
    <row r="59471" s="9" customFormat="1" ht="21.95" customHeight="1" x14ac:dyDescent="0.15"/>
    <row r="59472" s="9" customFormat="1" ht="21.95" customHeight="1" x14ac:dyDescent="0.15"/>
    <row r="59473" s="9" customFormat="1" ht="21.95" customHeight="1" x14ac:dyDescent="0.15"/>
    <row r="59474" s="9" customFormat="1" ht="21.95" customHeight="1" x14ac:dyDescent="0.15"/>
    <row r="59475" s="9" customFormat="1" ht="21.95" customHeight="1" x14ac:dyDescent="0.15"/>
    <row r="59476" s="9" customFormat="1" ht="21.95" customHeight="1" x14ac:dyDescent="0.15"/>
    <row r="59477" s="9" customFormat="1" ht="21.95" customHeight="1" x14ac:dyDescent="0.15"/>
    <row r="59478" s="9" customFormat="1" ht="21.95" customHeight="1" x14ac:dyDescent="0.15"/>
    <row r="59479" s="9" customFormat="1" ht="21.95" customHeight="1" x14ac:dyDescent="0.15"/>
    <row r="59480" s="9" customFormat="1" ht="21.95" customHeight="1" x14ac:dyDescent="0.15"/>
    <row r="59481" s="9" customFormat="1" ht="21.95" customHeight="1" x14ac:dyDescent="0.15"/>
    <row r="59482" s="9" customFormat="1" ht="21.95" customHeight="1" x14ac:dyDescent="0.15"/>
    <row r="59483" s="9" customFormat="1" ht="21.95" customHeight="1" x14ac:dyDescent="0.15"/>
    <row r="59484" s="9" customFormat="1" ht="21.95" customHeight="1" x14ac:dyDescent="0.15"/>
    <row r="59485" s="9" customFormat="1" ht="21.95" customHeight="1" x14ac:dyDescent="0.15"/>
    <row r="59486" s="9" customFormat="1" ht="21.95" customHeight="1" x14ac:dyDescent="0.15"/>
    <row r="59487" s="9" customFormat="1" ht="21.95" customHeight="1" x14ac:dyDescent="0.15"/>
    <row r="59488" s="9" customFormat="1" ht="21.95" customHeight="1" x14ac:dyDescent="0.15"/>
    <row r="59489" s="9" customFormat="1" ht="21.95" customHeight="1" x14ac:dyDescent="0.15"/>
    <row r="59490" s="9" customFormat="1" ht="21.95" customHeight="1" x14ac:dyDescent="0.15"/>
    <row r="59491" s="9" customFormat="1" ht="21.95" customHeight="1" x14ac:dyDescent="0.15"/>
    <row r="59492" s="9" customFormat="1" ht="21.95" customHeight="1" x14ac:dyDescent="0.15"/>
    <row r="59493" s="9" customFormat="1" ht="21.95" customHeight="1" x14ac:dyDescent="0.15"/>
    <row r="59494" s="9" customFormat="1" ht="35.1" customHeight="1" x14ac:dyDescent="0.15"/>
    <row r="59495" s="9" customFormat="1" ht="21.95" customHeight="1" x14ac:dyDescent="0.15"/>
    <row r="59496" s="9" customFormat="1" ht="21.95" customHeight="1" x14ac:dyDescent="0.15"/>
    <row r="59497" s="9" customFormat="1" ht="21.95" customHeight="1" x14ac:dyDescent="0.15"/>
    <row r="59498" s="9" customFormat="1" ht="21.95" customHeight="1" x14ac:dyDescent="0.15"/>
    <row r="59499" s="9" customFormat="1" ht="21.95" customHeight="1" x14ac:dyDescent="0.15"/>
    <row r="59500" s="9" customFormat="1" ht="21.95" customHeight="1" x14ac:dyDescent="0.15"/>
    <row r="59501" s="9" customFormat="1" ht="21.95" customHeight="1" x14ac:dyDescent="0.15"/>
    <row r="59502" s="9" customFormat="1" ht="21.95" customHeight="1" x14ac:dyDescent="0.15"/>
    <row r="59503" s="9" customFormat="1" ht="21.95" customHeight="1" x14ac:dyDescent="0.15"/>
    <row r="59504" s="9" customFormat="1" ht="21.95" customHeight="1" x14ac:dyDescent="0.15"/>
    <row r="59505" spans="3:3" s="9" customFormat="1" ht="21.95" customHeight="1" x14ac:dyDescent="0.15"/>
    <row r="59506" spans="3:3" s="9" customFormat="1" ht="21.95" customHeight="1" x14ac:dyDescent="0.15"/>
    <row r="59507" spans="3:3" s="9" customFormat="1" ht="21.95" customHeight="1" x14ac:dyDescent="0.15"/>
    <row r="59508" spans="3:3" s="9" customFormat="1" ht="21.95" customHeight="1" x14ac:dyDescent="0.15"/>
    <row r="59509" spans="3:3" s="9" customFormat="1" ht="21.95" customHeight="1" x14ac:dyDescent="0.15"/>
    <row r="59510" spans="3:3" s="9" customFormat="1" ht="21.95" customHeight="1" x14ac:dyDescent="0.15"/>
    <row r="59511" spans="3:3" s="9" customFormat="1" ht="21.95" customHeight="1" x14ac:dyDescent="0.15"/>
    <row r="59512" spans="3:3" s="9" customFormat="1" ht="21.95" customHeight="1" x14ac:dyDescent="0.15"/>
    <row r="59513" spans="3:3" s="9" customFormat="1" ht="21.95" customHeight="1" x14ac:dyDescent="0.15"/>
    <row r="59514" spans="3:3" s="9" customFormat="1" ht="21.95" customHeight="1" x14ac:dyDescent="0.15"/>
    <row r="59515" spans="3:3" s="9" customFormat="1" ht="21.95" customHeight="1" x14ac:dyDescent="0.15"/>
    <row r="59516" spans="3:3" s="9" customFormat="1" ht="21.95" customHeight="1" x14ac:dyDescent="0.15"/>
    <row r="59517" spans="3:3" s="9" customFormat="1" ht="21.95" customHeight="1" x14ac:dyDescent="0.15"/>
    <row r="59518" spans="3:3" s="8" customFormat="1" ht="21.95" customHeight="1" x14ac:dyDescent="0.15"/>
    <row r="59519" spans="3:3" s="8" customFormat="1" ht="21.95" customHeight="1" x14ac:dyDescent="0.15"/>
    <row r="59520" spans="3:3" s="8" customFormat="1" ht="21.95" customHeight="1" x14ac:dyDescent="0.15">
      <c r="C59520" s="101"/>
    </row>
    <row r="59521" spans="3:3" s="8" customFormat="1" ht="21.95" customHeight="1" x14ac:dyDescent="0.15">
      <c r="C59521" s="101"/>
    </row>
    <row r="59522" spans="3:3" s="8" customFormat="1" ht="21.95" customHeight="1" x14ac:dyDescent="0.15"/>
    <row r="59523" spans="3:3" s="8" customFormat="1" ht="21.95" customHeight="1" x14ac:dyDescent="0.15"/>
    <row r="59524" spans="3:3" s="8" customFormat="1" ht="21.95" customHeight="1" x14ac:dyDescent="0.15"/>
    <row r="59525" spans="3:3" s="8" customFormat="1" ht="21.95" customHeight="1" x14ac:dyDescent="0.15"/>
    <row r="59526" spans="3:3" s="8" customFormat="1" ht="21.95" customHeight="1" x14ac:dyDescent="0.15"/>
    <row r="59527" spans="3:3" s="8" customFormat="1" ht="21.95" customHeight="1" x14ac:dyDescent="0.15"/>
    <row r="59528" spans="3:3" s="8" customFormat="1" ht="21.95" customHeight="1" x14ac:dyDescent="0.15"/>
    <row r="59529" spans="3:3" s="9" customFormat="1" ht="21.95" customHeight="1" x14ac:dyDescent="0.15"/>
    <row r="59530" spans="3:3" s="9" customFormat="1" ht="21.95" customHeight="1" x14ac:dyDescent="0.15"/>
    <row r="59531" spans="3:3" s="9" customFormat="1" ht="21.95" customHeight="1" x14ac:dyDescent="0.15"/>
    <row r="59532" spans="3:3" s="9" customFormat="1" ht="21.95" customHeight="1" x14ac:dyDescent="0.15"/>
    <row r="59533" spans="3:3" s="8" customFormat="1" ht="21.95" customHeight="1" x14ac:dyDescent="0.15"/>
    <row r="59534" spans="3:3" s="8" customFormat="1" ht="21.95" customHeight="1" x14ac:dyDescent="0.15"/>
    <row r="59535" spans="3:3" s="8" customFormat="1" ht="21.95" customHeight="1" x14ac:dyDescent="0.15"/>
    <row r="59536" spans="3:3" s="8" customFormat="1" ht="21.95" customHeight="1" x14ac:dyDescent="0.15"/>
    <row r="59537" s="8" customFormat="1" ht="21.95" customHeight="1" x14ac:dyDescent="0.15"/>
    <row r="59538" s="8" customFormat="1" ht="21.95" customHeight="1" x14ac:dyDescent="0.15"/>
    <row r="59539" s="8" customFormat="1" ht="21.95" customHeight="1" x14ac:dyDescent="0.15"/>
    <row r="59540" s="8" customFormat="1" ht="21.95" customHeight="1" x14ac:dyDescent="0.15"/>
    <row r="59541" s="8" customFormat="1" ht="21.95" customHeight="1" x14ac:dyDescent="0.15"/>
    <row r="59542" s="8" customFormat="1" ht="21.95" customHeight="1" x14ac:dyDescent="0.15"/>
    <row r="59543" s="8" customFormat="1" ht="21.95" customHeight="1" x14ac:dyDescent="0.15"/>
    <row r="59544" s="8" customFormat="1" ht="32.1" customHeight="1" x14ac:dyDescent="0.15"/>
    <row r="59545" s="8" customFormat="1" ht="32.1" customHeight="1" x14ac:dyDescent="0.15"/>
    <row r="59546" s="8" customFormat="1" ht="32.1" customHeight="1" x14ac:dyDescent="0.15"/>
    <row r="59547" s="8" customFormat="1" ht="32.1" customHeight="1" x14ac:dyDescent="0.15"/>
    <row r="59548" s="8" customFormat="1" ht="32.1" customHeight="1" x14ac:dyDescent="0.15"/>
    <row r="59549" s="8" customFormat="1" ht="32.1" customHeight="1" x14ac:dyDescent="0.15"/>
    <row r="59550" s="9" customFormat="1" ht="32.1" customHeight="1" x14ac:dyDescent="0.15"/>
    <row r="59551" s="9" customFormat="1" ht="32.1" customHeight="1" x14ac:dyDescent="0.15"/>
    <row r="59552" s="9" customFormat="1" ht="32.1" customHeight="1" x14ac:dyDescent="0.15"/>
    <row r="59553" s="9" customFormat="1" ht="32.1" customHeight="1" x14ac:dyDescent="0.15"/>
    <row r="59554" s="9" customFormat="1" ht="21.95" customHeight="1" x14ac:dyDescent="0.15"/>
    <row r="59555" s="9" customFormat="1" ht="54" customHeight="1" x14ac:dyDescent="0.15"/>
    <row r="59556" s="9" customFormat="1" ht="21.95" customHeight="1" x14ac:dyDescent="0.15"/>
    <row r="59557" s="9" customFormat="1" ht="21.95" customHeight="1" x14ac:dyDescent="0.15"/>
    <row r="59558" s="9" customFormat="1" ht="21.95" customHeight="1" x14ac:dyDescent="0.15"/>
    <row r="59559" s="9" customFormat="1" ht="21.95" customHeight="1" x14ac:dyDescent="0.15"/>
    <row r="59560" s="9" customFormat="1" ht="21.95" customHeight="1" x14ac:dyDescent="0.15"/>
    <row r="59561" s="9" customFormat="1" ht="21.95" customHeight="1" x14ac:dyDescent="0.15"/>
    <row r="59562" s="9" customFormat="1" ht="21.95" customHeight="1" x14ac:dyDescent="0.15"/>
    <row r="59563" s="9" customFormat="1" ht="21.95" customHeight="1" x14ac:dyDescent="0.15"/>
    <row r="59564" s="9" customFormat="1" ht="21.95" customHeight="1" x14ac:dyDescent="0.15"/>
    <row r="59565" s="9" customFormat="1" ht="21.95" customHeight="1" x14ac:dyDescent="0.15"/>
    <row r="59566" s="9" customFormat="1" ht="21.95" customHeight="1" x14ac:dyDescent="0.15"/>
    <row r="59567" s="9" customFormat="1" ht="21.95" customHeight="1" x14ac:dyDescent="0.15"/>
    <row r="59568" s="9" customFormat="1" ht="21.95" customHeight="1" x14ac:dyDescent="0.15"/>
    <row r="59569" s="9" customFormat="1" ht="21.95" customHeight="1" x14ac:dyDescent="0.15"/>
    <row r="59570" s="9" customFormat="1" ht="21.95" customHeight="1" x14ac:dyDescent="0.15"/>
    <row r="59571" s="9" customFormat="1" ht="21.95" customHeight="1" x14ac:dyDescent="0.15"/>
    <row r="59572" s="9" customFormat="1" ht="21.95" customHeight="1" x14ac:dyDescent="0.15"/>
    <row r="59573" s="9" customFormat="1" ht="21.95" customHeight="1" x14ac:dyDescent="0.15"/>
    <row r="59574" s="9" customFormat="1" ht="21.95" customHeight="1" x14ac:dyDescent="0.15"/>
    <row r="59575" s="9" customFormat="1" ht="21.95" customHeight="1" x14ac:dyDescent="0.15"/>
    <row r="59576" s="9" customFormat="1" ht="21.95" customHeight="1" x14ac:dyDescent="0.15"/>
    <row r="59577" s="9" customFormat="1" ht="21.95" customHeight="1" x14ac:dyDescent="0.15"/>
    <row r="59578" s="9" customFormat="1" ht="21.95" customHeight="1" x14ac:dyDescent="0.15"/>
    <row r="59579" s="9" customFormat="1" ht="21.95" customHeight="1" x14ac:dyDescent="0.15"/>
    <row r="59580" s="9" customFormat="1" ht="21.95" customHeight="1" x14ac:dyDescent="0.15"/>
    <row r="59581" s="9" customFormat="1" ht="21.95" customHeight="1" x14ac:dyDescent="0.15"/>
    <row r="59582" s="9" customFormat="1" ht="21.95" customHeight="1" x14ac:dyDescent="0.15"/>
    <row r="59583" s="9" customFormat="1" ht="21.95" customHeight="1" x14ac:dyDescent="0.15"/>
    <row r="59584" s="9" customFormat="1" ht="21.95" customHeight="1" x14ac:dyDescent="0.15"/>
    <row r="59585" s="9" customFormat="1" ht="21.95" customHeight="1" x14ac:dyDescent="0.15"/>
    <row r="59586" s="9" customFormat="1" ht="21.95" customHeight="1" x14ac:dyDescent="0.15"/>
    <row r="59587" s="9" customFormat="1" ht="21.95" customHeight="1" x14ac:dyDescent="0.15"/>
    <row r="59588" s="9" customFormat="1" ht="21.95" customHeight="1" x14ac:dyDescent="0.15"/>
    <row r="59589" s="9" customFormat="1" ht="21.95" customHeight="1" x14ac:dyDescent="0.15"/>
    <row r="59590" s="9" customFormat="1" ht="21.95" customHeight="1" x14ac:dyDescent="0.15"/>
    <row r="59591" s="9" customFormat="1" ht="21.95" customHeight="1" x14ac:dyDescent="0.15"/>
    <row r="59592" s="9" customFormat="1" ht="21.95" customHeight="1" x14ac:dyDescent="0.15"/>
    <row r="59593" s="9" customFormat="1" ht="21.95" customHeight="1" x14ac:dyDescent="0.15"/>
    <row r="59594" s="9" customFormat="1" ht="21.95" customHeight="1" x14ac:dyDescent="0.15"/>
    <row r="59595" s="9" customFormat="1" ht="21.95" customHeight="1" x14ac:dyDescent="0.15"/>
    <row r="59596" s="9" customFormat="1" ht="21.95" customHeight="1" x14ac:dyDescent="0.15"/>
    <row r="59597" s="9" customFormat="1" ht="21.95" customHeight="1" x14ac:dyDescent="0.15"/>
    <row r="59598" s="9" customFormat="1" ht="21.95" customHeight="1" x14ac:dyDescent="0.15"/>
    <row r="59599" s="9" customFormat="1" ht="21.95" customHeight="1" x14ac:dyDescent="0.15"/>
    <row r="59600" s="9" customFormat="1" ht="21.95" customHeight="1" x14ac:dyDescent="0.15"/>
    <row r="59601" s="9" customFormat="1" ht="21.95" customHeight="1" x14ac:dyDescent="0.15"/>
    <row r="59602" s="9" customFormat="1" ht="21.95" customHeight="1" x14ac:dyDescent="0.15"/>
    <row r="59603" s="9" customFormat="1" ht="21.95" customHeight="1" x14ac:dyDescent="0.15"/>
    <row r="59604" s="9" customFormat="1" ht="21.95" customHeight="1" x14ac:dyDescent="0.15"/>
    <row r="59605" s="9" customFormat="1" ht="21.95" customHeight="1" x14ac:dyDescent="0.15"/>
    <row r="59606" s="9" customFormat="1" ht="35.1" customHeight="1" x14ac:dyDescent="0.15"/>
    <row r="59607" s="9" customFormat="1" ht="21.95" customHeight="1" x14ac:dyDescent="0.15"/>
    <row r="59608" s="9" customFormat="1" ht="21.95" customHeight="1" x14ac:dyDescent="0.15"/>
    <row r="59609" s="9" customFormat="1" ht="21.95" customHeight="1" x14ac:dyDescent="0.15"/>
    <row r="59610" s="9" customFormat="1" ht="21.95" customHeight="1" x14ac:dyDescent="0.15"/>
    <row r="59611" s="9" customFormat="1" ht="21.95" customHeight="1" x14ac:dyDescent="0.15"/>
    <row r="59612" s="9" customFormat="1" ht="21.95" customHeight="1" x14ac:dyDescent="0.15"/>
    <row r="59613" s="9" customFormat="1" ht="21.95" customHeight="1" x14ac:dyDescent="0.15"/>
    <row r="59614" s="9" customFormat="1" ht="21.95" customHeight="1" x14ac:dyDescent="0.15"/>
    <row r="59615" s="9" customFormat="1" ht="21.95" customHeight="1" x14ac:dyDescent="0.15"/>
    <row r="59616" s="9" customFormat="1" ht="21.95" customHeight="1" x14ac:dyDescent="0.15"/>
    <row r="59617" spans="3:3" s="9" customFormat="1" ht="21.95" customHeight="1" x14ac:dyDescent="0.15"/>
    <row r="59618" spans="3:3" s="9" customFormat="1" ht="21.95" customHeight="1" x14ac:dyDescent="0.15"/>
    <row r="59619" spans="3:3" s="9" customFormat="1" ht="21.95" customHeight="1" x14ac:dyDescent="0.15"/>
    <row r="59620" spans="3:3" s="9" customFormat="1" ht="21.95" customHeight="1" x14ac:dyDescent="0.15"/>
    <row r="59621" spans="3:3" s="9" customFormat="1" ht="21.95" customHeight="1" x14ac:dyDescent="0.15"/>
    <row r="59622" spans="3:3" s="9" customFormat="1" ht="21.95" customHeight="1" x14ac:dyDescent="0.15"/>
    <row r="59623" spans="3:3" s="9" customFormat="1" ht="21.95" customHeight="1" x14ac:dyDescent="0.15"/>
    <row r="59624" spans="3:3" s="9" customFormat="1" ht="21.95" customHeight="1" x14ac:dyDescent="0.15"/>
    <row r="59625" spans="3:3" s="9" customFormat="1" ht="21.95" customHeight="1" x14ac:dyDescent="0.15"/>
    <row r="59626" spans="3:3" s="9" customFormat="1" ht="21.95" customHeight="1" x14ac:dyDescent="0.15"/>
    <row r="59627" spans="3:3" s="9" customFormat="1" ht="21.95" customHeight="1" x14ac:dyDescent="0.15"/>
    <row r="59628" spans="3:3" s="9" customFormat="1" ht="21.95" customHeight="1" x14ac:dyDescent="0.15"/>
    <row r="59629" spans="3:3" s="9" customFormat="1" ht="21.95" customHeight="1" x14ac:dyDescent="0.15"/>
    <row r="59630" spans="3:3" s="8" customFormat="1" ht="21.95" customHeight="1" x14ac:dyDescent="0.15"/>
    <row r="59631" spans="3:3" s="8" customFormat="1" ht="21.95" customHeight="1" x14ac:dyDescent="0.15"/>
    <row r="59632" spans="3:3" s="8" customFormat="1" ht="21.95" customHeight="1" x14ac:dyDescent="0.15">
      <c r="C59632" s="101"/>
    </row>
    <row r="59633" spans="3:3" s="8" customFormat="1" ht="21.95" customHeight="1" x14ac:dyDescent="0.15">
      <c r="C59633" s="101"/>
    </row>
    <row r="59634" spans="3:3" s="8" customFormat="1" ht="21.95" customHeight="1" x14ac:dyDescent="0.15"/>
    <row r="59635" spans="3:3" s="8" customFormat="1" ht="21.95" customHeight="1" x14ac:dyDescent="0.15"/>
    <row r="59636" spans="3:3" s="8" customFormat="1" ht="21.95" customHeight="1" x14ac:dyDescent="0.15"/>
    <row r="59637" spans="3:3" s="8" customFormat="1" ht="21.95" customHeight="1" x14ac:dyDescent="0.15"/>
    <row r="59638" spans="3:3" s="8" customFormat="1" ht="21.95" customHeight="1" x14ac:dyDescent="0.15"/>
    <row r="59639" spans="3:3" s="8" customFormat="1" ht="21.95" customHeight="1" x14ac:dyDescent="0.15"/>
    <row r="59640" spans="3:3" s="8" customFormat="1" ht="21.95" customHeight="1" x14ac:dyDescent="0.15"/>
    <row r="59641" spans="3:3" s="9" customFormat="1" ht="21.95" customHeight="1" x14ac:dyDescent="0.15"/>
    <row r="59642" spans="3:3" s="9" customFormat="1" ht="21.95" customHeight="1" x14ac:dyDescent="0.15"/>
    <row r="59643" spans="3:3" s="9" customFormat="1" ht="21.95" customHeight="1" x14ac:dyDescent="0.15"/>
    <row r="59644" spans="3:3" s="9" customFormat="1" ht="21.95" customHeight="1" x14ac:dyDescent="0.15"/>
    <row r="59645" spans="3:3" s="8" customFormat="1" ht="21.95" customHeight="1" x14ac:dyDescent="0.15"/>
    <row r="59646" spans="3:3" s="8" customFormat="1" ht="21.95" customHeight="1" x14ac:dyDescent="0.15"/>
    <row r="59647" spans="3:3" s="8" customFormat="1" ht="21.95" customHeight="1" x14ac:dyDescent="0.15"/>
    <row r="59648" spans="3:3" s="8" customFormat="1" ht="21.95" customHeight="1" x14ac:dyDescent="0.15"/>
    <row r="59649" s="8" customFormat="1" ht="21.95" customHeight="1" x14ac:dyDescent="0.15"/>
    <row r="59650" s="8" customFormat="1" ht="21.95" customHeight="1" x14ac:dyDescent="0.15"/>
    <row r="59651" s="8" customFormat="1" ht="21.95" customHeight="1" x14ac:dyDescent="0.15"/>
    <row r="59652" s="8" customFormat="1" ht="21.95" customHeight="1" x14ac:dyDescent="0.15"/>
    <row r="59653" s="8" customFormat="1" ht="21.95" customHeight="1" x14ac:dyDescent="0.15"/>
    <row r="59654" s="8" customFormat="1" ht="21.95" customHeight="1" x14ac:dyDescent="0.15"/>
    <row r="59655" s="8" customFormat="1" ht="21.95" customHeight="1" x14ac:dyDescent="0.15"/>
    <row r="59656" s="8" customFormat="1" ht="32.1" customHeight="1" x14ac:dyDescent="0.15"/>
    <row r="59657" s="8" customFormat="1" ht="32.1" customHeight="1" x14ac:dyDescent="0.15"/>
    <row r="59658" s="8" customFormat="1" ht="32.1" customHeight="1" x14ac:dyDescent="0.15"/>
    <row r="59659" s="8" customFormat="1" ht="32.1" customHeight="1" x14ac:dyDescent="0.15"/>
    <row r="59660" s="8" customFormat="1" ht="32.1" customHeight="1" x14ac:dyDescent="0.15"/>
    <row r="59661" s="8" customFormat="1" ht="32.1" customHeight="1" x14ac:dyDescent="0.15"/>
    <row r="59662" s="9" customFormat="1" ht="32.1" customHeight="1" x14ac:dyDescent="0.15"/>
    <row r="59663" s="9" customFormat="1" ht="32.1" customHeight="1" x14ac:dyDescent="0.15"/>
    <row r="59664" s="9" customFormat="1" ht="32.1" customHeight="1" x14ac:dyDescent="0.15"/>
    <row r="59665" s="9" customFormat="1" ht="32.1" customHeight="1" x14ac:dyDescent="0.15"/>
    <row r="59666" s="9" customFormat="1" ht="21.95" customHeight="1" x14ac:dyDescent="0.15"/>
    <row r="59667" s="9" customFormat="1" ht="54" customHeight="1" x14ac:dyDescent="0.15"/>
    <row r="59668" s="9" customFormat="1" ht="21.95" customHeight="1" x14ac:dyDescent="0.15"/>
    <row r="59669" s="9" customFormat="1" ht="21.95" customHeight="1" x14ac:dyDescent="0.15"/>
    <row r="59670" s="9" customFormat="1" ht="21.95" customHeight="1" x14ac:dyDescent="0.15"/>
    <row r="59671" s="9" customFormat="1" ht="21.95" customHeight="1" x14ac:dyDescent="0.15"/>
    <row r="59672" s="9" customFormat="1" ht="21.95" customHeight="1" x14ac:dyDescent="0.15"/>
    <row r="59673" s="9" customFormat="1" ht="21.95" customHeight="1" x14ac:dyDescent="0.15"/>
    <row r="59674" s="9" customFormat="1" ht="21.95" customHeight="1" x14ac:dyDescent="0.15"/>
    <row r="59675" s="9" customFormat="1" ht="21.95" customHeight="1" x14ac:dyDescent="0.15"/>
    <row r="59676" s="9" customFormat="1" ht="21.95" customHeight="1" x14ac:dyDescent="0.15"/>
    <row r="59677" s="9" customFormat="1" ht="21.95" customHeight="1" x14ac:dyDescent="0.15"/>
    <row r="59678" s="9" customFormat="1" ht="21.95" customHeight="1" x14ac:dyDescent="0.15"/>
    <row r="59679" s="9" customFormat="1" ht="21.95" customHeight="1" x14ac:dyDescent="0.15"/>
    <row r="59680" s="9" customFormat="1" ht="21.95" customHeight="1" x14ac:dyDescent="0.15"/>
    <row r="59681" s="9" customFormat="1" ht="21.95" customHeight="1" x14ac:dyDescent="0.15"/>
    <row r="59682" s="9" customFormat="1" ht="21.95" customHeight="1" x14ac:dyDescent="0.15"/>
    <row r="59683" s="9" customFormat="1" ht="21.95" customHeight="1" x14ac:dyDescent="0.15"/>
    <row r="59684" s="9" customFormat="1" ht="21.95" customHeight="1" x14ac:dyDescent="0.15"/>
    <row r="59685" s="9" customFormat="1" ht="21.95" customHeight="1" x14ac:dyDescent="0.15"/>
    <row r="59686" s="9" customFormat="1" ht="21.95" customHeight="1" x14ac:dyDescent="0.15"/>
    <row r="59687" s="9" customFormat="1" ht="21.95" customHeight="1" x14ac:dyDescent="0.15"/>
    <row r="59688" s="9" customFormat="1" ht="21.95" customHeight="1" x14ac:dyDescent="0.15"/>
    <row r="59689" s="9" customFormat="1" ht="21.95" customHeight="1" x14ac:dyDescent="0.15"/>
    <row r="59690" s="9" customFormat="1" ht="21.95" customHeight="1" x14ac:dyDescent="0.15"/>
    <row r="59691" s="9" customFormat="1" ht="21.95" customHeight="1" x14ac:dyDescent="0.15"/>
    <row r="59692" s="9" customFormat="1" ht="21.95" customHeight="1" x14ac:dyDescent="0.15"/>
    <row r="59693" s="9" customFormat="1" ht="21.95" customHeight="1" x14ac:dyDescent="0.15"/>
    <row r="59694" s="9" customFormat="1" ht="21.95" customHeight="1" x14ac:dyDescent="0.15"/>
    <row r="59695" s="9" customFormat="1" ht="21.95" customHeight="1" x14ac:dyDescent="0.15"/>
    <row r="59696" s="9" customFormat="1" ht="21.95" customHeight="1" x14ac:dyDescent="0.15"/>
    <row r="59697" s="9" customFormat="1" ht="21.95" customHeight="1" x14ac:dyDescent="0.15"/>
    <row r="59698" s="9" customFormat="1" ht="21.95" customHeight="1" x14ac:dyDescent="0.15"/>
    <row r="59699" s="9" customFormat="1" ht="21.95" customHeight="1" x14ac:dyDescent="0.15"/>
    <row r="59700" s="9" customFormat="1" ht="21.95" customHeight="1" x14ac:dyDescent="0.15"/>
    <row r="59701" s="9" customFormat="1" ht="21.95" customHeight="1" x14ac:dyDescent="0.15"/>
    <row r="59702" s="9" customFormat="1" ht="21.95" customHeight="1" x14ac:dyDescent="0.15"/>
    <row r="59703" s="9" customFormat="1" ht="21.95" customHeight="1" x14ac:dyDescent="0.15"/>
    <row r="59704" s="9" customFormat="1" ht="21.95" customHeight="1" x14ac:dyDescent="0.15"/>
    <row r="59705" s="9" customFormat="1" ht="21.95" customHeight="1" x14ac:dyDescent="0.15"/>
    <row r="59706" s="9" customFormat="1" ht="21.95" customHeight="1" x14ac:dyDescent="0.15"/>
    <row r="59707" s="9" customFormat="1" ht="21.95" customHeight="1" x14ac:dyDescent="0.15"/>
    <row r="59708" s="9" customFormat="1" ht="21.95" customHeight="1" x14ac:dyDescent="0.15"/>
    <row r="59709" s="9" customFormat="1" ht="21.95" customHeight="1" x14ac:dyDescent="0.15"/>
    <row r="59710" s="9" customFormat="1" ht="21.95" customHeight="1" x14ac:dyDescent="0.15"/>
    <row r="59711" s="9" customFormat="1" ht="21.95" customHeight="1" x14ac:dyDescent="0.15"/>
    <row r="59712" s="9" customFormat="1" ht="21.95" customHeight="1" x14ac:dyDescent="0.15"/>
    <row r="59713" s="9" customFormat="1" ht="21.95" customHeight="1" x14ac:dyDescent="0.15"/>
    <row r="59714" s="9" customFormat="1" ht="21.95" customHeight="1" x14ac:dyDescent="0.15"/>
    <row r="59715" s="9" customFormat="1" ht="21.95" customHeight="1" x14ac:dyDescent="0.15"/>
    <row r="59716" s="9" customFormat="1" ht="21.95" customHeight="1" x14ac:dyDescent="0.15"/>
    <row r="59717" s="9" customFormat="1" ht="21.95" customHeight="1" x14ac:dyDescent="0.15"/>
    <row r="59718" s="9" customFormat="1" ht="35.1" customHeight="1" x14ac:dyDescent="0.15"/>
    <row r="59719" s="9" customFormat="1" ht="21.95" customHeight="1" x14ac:dyDescent="0.15"/>
    <row r="59720" s="9" customFormat="1" ht="21.95" customHeight="1" x14ac:dyDescent="0.15"/>
    <row r="59721" s="9" customFormat="1" ht="21.95" customHeight="1" x14ac:dyDescent="0.15"/>
    <row r="59722" s="9" customFormat="1" ht="21.95" customHeight="1" x14ac:dyDescent="0.15"/>
    <row r="59723" s="9" customFormat="1" ht="21.95" customHeight="1" x14ac:dyDescent="0.15"/>
    <row r="59724" s="9" customFormat="1" ht="21.95" customHeight="1" x14ac:dyDescent="0.15"/>
    <row r="59725" s="9" customFormat="1" ht="21.95" customHeight="1" x14ac:dyDescent="0.15"/>
    <row r="59726" s="9" customFormat="1" ht="21.95" customHeight="1" x14ac:dyDescent="0.15"/>
    <row r="59727" s="9" customFormat="1" ht="21.95" customHeight="1" x14ac:dyDescent="0.15"/>
    <row r="59728" s="9" customFormat="1" ht="21.95" customHeight="1" x14ac:dyDescent="0.15"/>
    <row r="59729" spans="3:3" s="9" customFormat="1" ht="21.95" customHeight="1" x14ac:dyDescent="0.15"/>
    <row r="59730" spans="3:3" s="9" customFormat="1" ht="21.95" customHeight="1" x14ac:dyDescent="0.15"/>
    <row r="59731" spans="3:3" s="9" customFormat="1" ht="21.95" customHeight="1" x14ac:dyDescent="0.15"/>
    <row r="59732" spans="3:3" s="9" customFormat="1" ht="21.95" customHeight="1" x14ac:dyDescent="0.15"/>
    <row r="59733" spans="3:3" s="9" customFormat="1" ht="21.95" customHeight="1" x14ac:dyDescent="0.15"/>
    <row r="59734" spans="3:3" s="9" customFormat="1" ht="21.95" customHeight="1" x14ac:dyDescent="0.15"/>
    <row r="59735" spans="3:3" s="9" customFormat="1" ht="21.95" customHeight="1" x14ac:dyDescent="0.15"/>
    <row r="59736" spans="3:3" s="9" customFormat="1" ht="21.95" customHeight="1" x14ac:dyDescent="0.15"/>
    <row r="59737" spans="3:3" s="9" customFormat="1" ht="21.95" customHeight="1" x14ac:dyDescent="0.15"/>
    <row r="59738" spans="3:3" s="9" customFormat="1" ht="21.95" customHeight="1" x14ac:dyDescent="0.15"/>
    <row r="59739" spans="3:3" s="9" customFormat="1" ht="21.95" customHeight="1" x14ac:dyDescent="0.15"/>
    <row r="59740" spans="3:3" s="9" customFormat="1" ht="21.95" customHeight="1" x14ac:dyDescent="0.15"/>
    <row r="59741" spans="3:3" s="9" customFormat="1" ht="21.95" customHeight="1" x14ac:dyDescent="0.15"/>
    <row r="59742" spans="3:3" s="8" customFormat="1" ht="21.95" customHeight="1" x14ac:dyDescent="0.15"/>
    <row r="59743" spans="3:3" s="8" customFormat="1" ht="21.95" customHeight="1" x14ac:dyDescent="0.15"/>
    <row r="59744" spans="3:3" s="8" customFormat="1" ht="21.95" customHeight="1" x14ac:dyDescent="0.15">
      <c r="C59744" s="101"/>
    </row>
    <row r="59745" spans="3:3" s="8" customFormat="1" ht="21.95" customHeight="1" x14ac:dyDescent="0.15">
      <c r="C59745" s="101"/>
    </row>
    <row r="59746" spans="3:3" s="8" customFormat="1" ht="21.95" customHeight="1" x14ac:dyDescent="0.15"/>
    <row r="59747" spans="3:3" s="8" customFormat="1" ht="21.95" customHeight="1" x14ac:dyDescent="0.15"/>
    <row r="59748" spans="3:3" s="8" customFormat="1" ht="21.95" customHeight="1" x14ac:dyDescent="0.15"/>
    <row r="59749" spans="3:3" s="8" customFormat="1" ht="21.95" customHeight="1" x14ac:dyDescent="0.15"/>
    <row r="59750" spans="3:3" s="8" customFormat="1" ht="21.95" customHeight="1" x14ac:dyDescent="0.15"/>
    <row r="59751" spans="3:3" s="8" customFormat="1" ht="21.95" customHeight="1" x14ac:dyDescent="0.15"/>
    <row r="59752" spans="3:3" s="8" customFormat="1" ht="21.95" customHeight="1" x14ac:dyDescent="0.15"/>
    <row r="59753" spans="3:3" s="9" customFormat="1" ht="21.95" customHeight="1" x14ac:dyDescent="0.15"/>
    <row r="59754" spans="3:3" s="9" customFormat="1" ht="21.95" customHeight="1" x14ac:dyDescent="0.15"/>
    <row r="59755" spans="3:3" s="9" customFormat="1" ht="21.95" customHeight="1" x14ac:dyDescent="0.15"/>
    <row r="59756" spans="3:3" s="9" customFormat="1" ht="21.95" customHeight="1" x14ac:dyDescent="0.15"/>
    <row r="59757" spans="3:3" s="8" customFormat="1" ht="21.95" customHeight="1" x14ac:dyDescent="0.15"/>
    <row r="59758" spans="3:3" s="8" customFormat="1" ht="21.95" customHeight="1" x14ac:dyDescent="0.15"/>
    <row r="59759" spans="3:3" s="8" customFormat="1" ht="21.95" customHeight="1" x14ac:dyDescent="0.15"/>
    <row r="59760" spans="3:3" s="8" customFormat="1" ht="21.95" customHeight="1" x14ac:dyDescent="0.15"/>
    <row r="59761" s="8" customFormat="1" ht="21.95" customHeight="1" x14ac:dyDescent="0.15"/>
    <row r="59762" s="8" customFormat="1" ht="21.95" customHeight="1" x14ac:dyDescent="0.15"/>
    <row r="59763" s="8" customFormat="1" ht="21.95" customHeight="1" x14ac:dyDescent="0.15"/>
    <row r="59764" s="8" customFormat="1" ht="21.95" customHeight="1" x14ac:dyDescent="0.15"/>
    <row r="59765" s="8" customFormat="1" ht="21.95" customHeight="1" x14ac:dyDescent="0.15"/>
    <row r="59766" s="8" customFormat="1" ht="21.95" customHeight="1" x14ac:dyDescent="0.15"/>
    <row r="59767" s="8" customFormat="1" ht="21.95" customHeight="1" x14ac:dyDescent="0.15"/>
    <row r="59768" s="8" customFormat="1" ht="32.1" customHeight="1" x14ac:dyDescent="0.15"/>
    <row r="59769" s="8" customFormat="1" ht="32.1" customHeight="1" x14ac:dyDescent="0.15"/>
    <row r="59770" s="8" customFormat="1" ht="32.1" customHeight="1" x14ac:dyDescent="0.15"/>
    <row r="59771" s="8" customFormat="1" ht="32.1" customHeight="1" x14ac:dyDescent="0.15"/>
    <row r="59772" s="8" customFormat="1" ht="32.1" customHeight="1" x14ac:dyDescent="0.15"/>
    <row r="59773" s="8" customFormat="1" ht="32.1" customHeight="1" x14ac:dyDescent="0.15"/>
    <row r="59774" s="9" customFormat="1" ht="32.1" customHeight="1" x14ac:dyDescent="0.15"/>
    <row r="59775" s="9" customFormat="1" ht="32.1" customHeight="1" x14ac:dyDescent="0.15"/>
    <row r="59776" s="9" customFormat="1" ht="32.1" customHeight="1" x14ac:dyDescent="0.15"/>
    <row r="59777" s="9" customFormat="1" ht="32.1" customHeight="1" x14ac:dyDescent="0.15"/>
    <row r="59778" s="9" customFormat="1" ht="21.95" customHeight="1" x14ac:dyDescent="0.15"/>
    <row r="59779" s="9" customFormat="1" ht="54" customHeight="1" x14ac:dyDescent="0.15"/>
    <row r="59780" s="9" customFormat="1" ht="21.95" customHeight="1" x14ac:dyDescent="0.15"/>
    <row r="59781" s="9" customFormat="1" ht="21.95" customHeight="1" x14ac:dyDescent="0.15"/>
    <row r="59782" s="9" customFormat="1" ht="21.95" customHeight="1" x14ac:dyDescent="0.15"/>
    <row r="59783" s="9" customFormat="1" ht="21.95" customHeight="1" x14ac:dyDescent="0.15"/>
    <row r="59784" s="9" customFormat="1" ht="21.95" customHeight="1" x14ac:dyDescent="0.15"/>
    <row r="59785" s="9" customFormat="1" ht="21.95" customHeight="1" x14ac:dyDescent="0.15"/>
    <row r="59786" s="9" customFormat="1" ht="21.95" customHeight="1" x14ac:dyDescent="0.15"/>
    <row r="59787" s="9" customFormat="1" ht="21.95" customHeight="1" x14ac:dyDescent="0.15"/>
    <row r="59788" s="9" customFormat="1" ht="21.95" customHeight="1" x14ac:dyDescent="0.15"/>
    <row r="59789" s="9" customFormat="1" ht="21.95" customHeight="1" x14ac:dyDescent="0.15"/>
    <row r="59790" s="9" customFormat="1" ht="21.95" customHeight="1" x14ac:dyDescent="0.15"/>
    <row r="59791" s="9" customFormat="1" ht="21.95" customHeight="1" x14ac:dyDescent="0.15"/>
    <row r="59792" s="9" customFormat="1" ht="21.95" customHeight="1" x14ac:dyDescent="0.15"/>
    <row r="59793" s="9" customFormat="1" ht="21.95" customHeight="1" x14ac:dyDescent="0.15"/>
    <row r="59794" s="9" customFormat="1" ht="21.95" customHeight="1" x14ac:dyDescent="0.15"/>
    <row r="59795" s="9" customFormat="1" ht="21.95" customHeight="1" x14ac:dyDescent="0.15"/>
    <row r="59796" s="9" customFormat="1" ht="21.95" customHeight="1" x14ac:dyDescent="0.15"/>
    <row r="59797" s="9" customFormat="1" ht="21.95" customHeight="1" x14ac:dyDescent="0.15"/>
    <row r="59798" s="9" customFormat="1" ht="21.95" customHeight="1" x14ac:dyDescent="0.15"/>
    <row r="59799" s="9" customFormat="1" ht="21.95" customHeight="1" x14ac:dyDescent="0.15"/>
    <row r="59800" s="9" customFormat="1" ht="21.95" customHeight="1" x14ac:dyDescent="0.15"/>
    <row r="59801" s="9" customFormat="1" ht="21.95" customHeight="1" x14ac:dyDescent="0.15"/>
    <row r="59802" s="9" customFormat="1" ht="21.95" customHeight="1" x14ac:dyDescent="0.15"/>
    <row r="59803" s="9" customFormat="1" ht="21.95" customHeight="1" x14ac:dyDescent="0.15"/>
    <row r="59804" s="9" customFormat="1" ht="21.95" customHeight="1" x14ac:dyDescent="0.15"/>
    <row r="59805" s="9" customFormat="1" ht="21.95" customHeight="1" x14ac:dyDescent="0.15"/>
    <row r="59806" s="9" customFormat="1" ht="21.95" customHeight="1" x14ac:dyDescent="0.15"/>
    <row r="59807" s="9" customFormat="1" ht="21.95" customHeight="1" x14ac:dyDescent="0.15"/>
    <row r="59808" s="9" customFormat="1" ht="21.95" customHeight="1" x14ac:dyDescent="0.15"/>
    <row r="59809" s="9" customFormat="1" ht="21.95" customHeight="1" x14ac:dyDescent="0.15"/>
    <row r="59810" s="9" customFormat="1" ht="21.95" customHeight="1" x14ac:dyDescent="0.15"/>
    <row r="59811" s="9" customFormat="1" ht="21.95" customHeight="1" x14ac:dyDescent="0.15"/>
    <row r="59812" s="9" customFormat="1" ht="21.95" customHeight="1" x14ac:dyDescent="0.15"/>
    <row r="59813" s="9" customFormat="1" ht="21.95" customHeight="1" x14ac:dyDescent="0.15"/>
    <row r="59814" s="9" customFormat="1" ht="21.95" customHeight="1" x14ac:dyDescent="0.15"/>
    <row r="59815" s="9" customFormat="1" ht="21.95" customHeight="1" x14ac:dyDescent="0.15"/>
    <row r="59816" s="9" customFormat="1" ht="21.95" customHeight="1" x14ac:dyDescent="0.15"/>
    <row r="59817" s="9" customFormat="1" ht="21.95" customHeight="1" x14ac:dyDescent="0.15"/>
    <row r="59818" s="9" customFormat="1" ht="21.95" customHeight="1" x14ac:dyDescent="0.15"/>
    <row r="59819" s="9" customFormat="1" ht="21.95" customHeight="1" x14ac:dyDescent="0.15"/>
    <row r="59820" s="9" customFormat="1" ht="21.95" customHeight="1" x14ac:dyDescent="0.15"/>
    <row r="59821" s="9" customFormat="1" ht="21.95" customHeight="1" x14ac:dyDescent="0.15"/>
    <row r="59822" s="9" customFormat="1" ht="21.95" customHeight="1" x14ac:dyDescent="0.15"/>
    <row r="59823" s="9" customFormat="1" ht="21.95" customHeight="1" x14ac:dyDescent="0.15"/>
    <row r="59824" s="9" customFormat="1" ht="21.95" customHeight="1" x14ac:dyDescent="0.15"/>
    <row r="59825" s="9" customFormat="1" ht="21.95" customHeight="1" x14ac:dyDescent="0.15"/>
    <row r="59826" s="9" customFormat="1" ht="21.95" customHeight="1" x14ac:dyDescent="0.15"/>
    <row r="59827" s="9" customFormat="1" ht="21.95" customHeight="1" x14ac:dyDescent="0.15"/>
    <row r="59828" s="9" customFormat="1" ht="21.95" customHeight="1" x14ac:dyDescent="0.15"/>
    <row r="59829" s="9" customFormat="1" ht="21.95" customHeight="1" x14ac:dyDescent="0.15"/>
    <row r="59830" s="9" customFormat="1" ht="35.1" customHeight="1" x14ac:dyDescent="0.15"/>
    <row r="59831" s="9" customFormat="1" ht="21.95" customHeight="1" x14ac:dyDescent="0.15"/>
    <row r="59832" s="9" customFormat="1" ht="21.95" customHeight="1" x14ac:dyDescent="0.15"/>
    <row r="59833" s="9" customFormat="1" ht="21.95" customHeight="1" x14ac:dyDescent="0.15"/>
    <row r="59834" s="9" customFormat="1" ht="21.95" customHeight="1" x14ac:dyDescent="0.15"/>
    <row r="59835" s="9" customFormat="1" ht="21.95" customHeight="1" x14ac:dyDescent="0.15"/>
    <row r="59836" s="9" customFormat="1" ht="21.95" customHeight="1" x14ac:dyDescent="0.15"/>
    <row r="59837" s="9" customFormat="1" ht="21.95" customHeight="1" x14ac:dyDescent="0.15"/>
    <row r="59838" s="9" customFormat="1" ht="21.95" customHeight="1" x14ac:dyDescent="0.15"/>
    <row r="59839" s="9" customFormat="1" ht="21.95" customHeight="1" x14ac:dyDescent="0.15"/>
    <row r="59840" s="9" customFormat="1" ht="21.95" customHeight="1" x14ac:dyDescent="0.15"/>
    <row r="59841" spans="3:3" s="9" customFormat="1" ht="21.95" customHeight="1" x14ac:dyDescent="0.15"/>
    <row r="59842" spans="3:3" s="9" customFormat="1" ht="21.95" customHeight="1" x14ac:dyDescent="0.15"/>
    <row r="59843" spans="3:3" s="9" customFormat="1" ht="21.95" customHeight="1" x14ac:dyDescent="0.15"/>
    <row r="59844" spans="3:3" s="9" customFormat="1" ht="21.95" customHeight="1" x14ac:dyDescent="0.15"/>
    <row r="59845" spans="3:3" s="9" customFormat="1" ht="21.95" customHeight="1" x14ac:dyDescent="0.15"/>
    <row r="59846" spans="3:3" s="9" customFormat="1" ht="21.95" customHeight="1" x14ac:dyDescent="0.15"/>
    <row r="59847" spans="3:3" s="9" customFormat="1" ht="21.95" customHeight="1" x14ac:dyDescent="0.15"/>
    <row r="59848" spans="3:3" s="9" customFormat="1" ht="21.95" customHeight="1" x14ac:dyDescent="0.15"/>
    <row r="59849" spans="3:3" s="9" customFormat="1" ht="21.95" customHeight="1" x14ac:dyDescent="0.15"/>
    <row r="59850" spans="3:3" s="9" customFormat="1" ht="21.95" customHeight="1" x14ac:dyDescent="0.15"/>
    <row r="59851" spans="3:3" s="9" customFormat="1" ht="21.95" customHeight="1" x14ac:dyDescent="0.15"/>
    <row r="59852" spans="3:3" s="9" customFormat="1" ht="21.95" customHeight="1" x14ac:dyDescent="0.15"/>
    <row r="59853" spans="3:3" s="9" customFormat="1" ht="21.95" customHeight="1" x14ac:dyDescent="0.15"/>
    <row r="59854" spans="3:3" s="8" customFormat="1" ht="21.95" customHeight="1" x14ac:dyDescent="0.15"/>
    <row r="59855" spans="3:3" s="8" customFormat="1" ht="21.95" customHeight="1" x14ac:dyDescent="0.15"/>
    <row r="59856" spans="3:3" s="8" customFormat="1" ht="21.95" customHeight="1" x14ac:dyDescent="0.15">
      <c r="C59856" s="101"/>
    </row>
    <row r="59857" spans="3:3" s="8" customFormat="1" ht="21.95" customHeight="1" x14ac:dyDescent="0.15">
      <c r="C59857" s="101"/>
    </row>
    <row r="59858" spans="3:3" s="8" customFormat="1" ht="21.95" customHeight="1" x14ac:dyDescent="0.15"/>
    <row r="59859" spans="3:3" s="8" customFormat="1" ht="21.95" customHeight="1" x14ac:dyDescent="0.15"/>
    <row r="59860" spans="3:3" s="8" customFormat="1" ht="21.95" customHeight="1" x14ac:dyDescent="0.15"/>
    <row r="59861" spans="3:3" s="8" customFormat="1" ht="21.95" customHeight="1" x14ac:dyDescent="0.15"/>
    <row r="59862" spans="3:3" s="8" customFormat="1" ht="21.95" customHeight="1" x14ac:dyDescent="0.15"/>
    <row r="59863" spans="3:3" s="8" customFormat="1" ht="21.95" customHeight="1" x14ac:dyDescent="0.15"/>
    <row r="59864" spans="3:3" s="8" customFormat="1" ht="21.95" customHeight="1" x14ac:dyDescent="0.15"/>
    <row r="59865" spans="3:3" s="9" customFormat="1" ht="21.95" customHeight="1" x14ac:dyDescent="0.15"/>
    <row r="59866" spans="3:3" s="9" customFormat="1" ht="21.95" customHeight="1" x14ac:dyDescent="0.15"/>
    <row r="59867" spans="3:3" s="9" customFormat="1" ht="21.95" customHeight="1" x14ac:dyDescent="0.15"/>
    <row r="59868" spans="3:3" s="9" customFormat="1" ht="21.95" customHeight="1" x14ac:dyDescent="0.15"/>
    <row r="59869" spans="3:3" s="8" customFormat="1" ht="21.95" customHeight="1" x14ac:dyDescent="0.15"/>
    <row r="59870" spans="3:3" s="8" customFormat="1" ht="21.95" customHeight="1" x14ac:dyDescent="0.15"/>
    <row r="59871" spans="3:3" s="8" customFormat="1" ht="21.95" customHeight="1" x14ac:dyDescent="0.15"/>
    <row r="59872" spans="3:3" s="8" customFormat="1" ht="21.95" customHeight="1" x14ac:dyDescent="0.15"/>
    <row r="59873" s="8" customFormat="1" ht="21.95" customHeight="1" x14ac:dyDescent="0.15"/>
    <row r="59874" s="8" customFormat="1" ht="21.95" customHeight="1" x14ac:dyDescent="0.15"/>
    <row r="59875" s="8" customFormat="1" ht="21.95" customHeight="1" x14ac:dyDescent="0.15"/>
    <row r="59876" s="8" customFormat="1" ht="21.95" customHeight="1" x14ac:dyDescent="0.15"/>
    <row r="59877" s="8" customFormat="1" ht="21.95" customHeight="1" x14ac:dyDescent="0.15"/>
    <row r="59878" s="8" customFormat="1" ht="21.95" customHeight="1" x14ac:dyDescent="0.15"/>
    <row r="59879" s="8" customFormat="1" ht="21.95" customHeight="1" x14ac:dyDescent="0.15"/>
    <row r="59880" s="8" customFormat="1" ht="32.1" customHeight="1" x14ac:dyDescent="0.15"/>
    <row r="59881" s="8" customFormat="1" ht="32.1" customHeight="1" x14ac:dyDescent="0.15"/>
    <row r="59882" s="8" customFormat="1" ht="32.1" customHeight="1" x14ac:dyDescent="0.15"/>
    <row r="59883" s="8" customFormat="1" ht="32.1" customHeight="1" x14ac:dyDescent="0.15"/>
    <row r="59884" s="8" customFormat="1" ht="32.1" customHeight="1" x14ac:dyDescent="0.15"/>
    <row r="59885" s="8" customFormat="1" ht="32.1" customHeight="1" x14ac:dyDescent="0.15"/>
    <row r="59886" s="9" customFormat="1" ht="32.1" customHeight="1" x14ac:dyDescent="0.15"/>
    <row r="59887" s="9" customFormat="1" ht="32.1" customHeight="1" x14ac:dyDescent="0.15"/>
    <row r="59888" s="9" customFormat="1" ht="32.1" customHeight="1" x14ac:dyDescent="0.15"/>
    <row r="59889" s="9" customFormat="1" ht="32.1" customHeight="1" x14ac:dyDescent="0.15"/>
    <row r="59890" s="9" customFormat="1" ht="21.95" customHeight="1" x14ac:dyDescent="0.15"/>
    <row r="59891" s="9" customFormat="1" ht="54" customHeight="1" x14ac:dyDescent="0.15"/>
    <row r="59892" s="9" customFormat="1" ht="21.95" customHeight="1" x14ac:dyDescent="0.15"/>
    <row r="59893" s="9" customFormat="1" ht="21.95" customHeight="1" x14ac:dyDescent="0.15"/>
    <row r="59894" s="9" customFormat="1" ht="21.95" customHeight="1" x14ac:dyDescent="0.15"/>
    <row r="59895" s="9" customFormat="1" ht="21.95" customHeight="1" x14ac:dyDescent="0.15"/>
    <row r="59896" s="9" customFormat="1" ht="21.95" customHeight="1" x14ac:dyDescent="0.15"/>
    <row r="59897" s="9" customFormat="1" ht="21.95" customHeight="1" x14ac:dyDescent="0.15"/>
    <row r="59898" s="9" customFormat="1" ht="21.95" customHeight="1" x14ac:dyDescent="0.15"/>
    <row r="59899" s="9" customFormat="1" ht="21.95" customHeight="1" x14ac:dyDescent="0.15"/>
    <row r="59900" s="9" customFormat="1" ht="21.95" customHeight="1" x14ac:dyDescent="0.15"/>
    <row r="59901" s="9" customFormat="1" ht="21.95" customHeight="1" x14ac:dyDescent="0.15"/>
    <row r="59902" s="9" customFormat="1" ht="21.95" customHeight="1" x14ac:dyDescent="0.15"/>
    <row r="59903" s="9" customFormat="1" ht="21.95" customHeight="1" x14ac:dyDescent="0.15"/>
    <row r="59904" s="9" customFormat="1" ht="21.95" customHeight="1" x14ac:dyDescent="0.15"/>
    <row r="59905" s="9" customFormat="1" ht="21.95" customHeight="1" x14ac:dyDescent="0.15"/>
    <row r="59906" s="9" customFormat="1" ht="21.95" customHeight="1" x14ac:dyDescent="0.15"/>
    <row r="59907" s="9" customFormat="1" ht="21.95" customHeight="1" x14ac:dyDescent="0.15"/>
    <row r="59908" s="9" customFormat="1" ht="21.95" customHeight="1" x14ac:dyDescent="0.15"/>
    <row r="59909" s="9" customFormat="1" ht="21.95" customHeight="1" x14ac:dyDescent="0.15"/>
    <row r="59910" s="9" customFormat="1" ht="21.95" customHeight="1" x14ac:dyDescent="0.15"/>
    <row r="59911" s="9" customFormat="1" ht="21.95" customHeight="1" x14ac:dyDescent="0.15"/>
    <row r="59912" s="9" customFormat="1" ht="21.95" customHeight="1" x14ac:dyDescent="0.15"/>
    <row r="59913" s="9" customFormat="1" ht="21.95" customHeight="1" x14ac:dyDescent="0.15"/>
    <row r="59914" s="9" customFormat="1" ht="21.95" customHeight="1" x14ac:dyDescent="0.15"/>
    <row r="59915" s="9" customFormat="1" ht="21.95" customHeight="1" x14ac:dyDescent="0.15"/>
    <row r="59916" s="9" customFormat="1" ht="21.95" customHeight="1" x14ac:dyDescent="0.15"/>
    <row r="59917" s="9" customFormat="1" ht="21.95" customHeight="1" x14ac:dyDescent="0.15"/>
    <row r="59918" s="9" customFormat="1" ht="21.95" customHeight="1" x14ac:dyDescent="0.15"/>
    <row r="59919" s="9" customFormat="1" ht="21.95" customHeight="1" x14ac:dyDescent="0.15"/>
    <row r="59920" s="9" customFormat="1" ht="21.95" customHeight="1" x14ac:dyDescent="0.15"/>
    <row r="59921" s="9" customFormat="1" ht="21.95" customHeight="1" x14ac:dyDescent="0.15"/>
    <row r="59922" s="9" customFormat="1" ht="21.95" customHeight="1" x14ac:dyDescent="0.15"/>
    <row r="59923" s="9" customFormat="1" ht="21.95" customHeight="1" x14ac:dyDescent="0.15"/>
    <row r="59924" s="9" customFormat="1" ht="21.95" customHeight="1" x14ac:dyDescent="0.15"/>
    <row r="59925" s="9" customFormat="1" ht="21.95" customHeight="1" x14ac:dyDescent="0.15"/>
    <row r="59926" s="9" customFormat="1" ht="21.95" customHeight="1" x14ac:dyDescent="0.15"/>
    <row r="59927" s="9" customFormat="1" ht="21.95" customHeight="1" x14ac:dyDescent="0.15"/>
    <row r="59928" s="9" customFormat="1" ht="21.95" customHeight="1" x14ac:dyDescent="0.15"/>
    <row r="59929" s="9" customFormat="1" ht="21.95" customHeight="1" x14ac:dyDescent="0.15"/>
    <row r="59930" s="9" customFormat="1" ht="21.95" customHeight="1" x14ac:dyDescent="0.15"/>
    <row r="59931" s="9" customFormat="1" ht="21.95" customHeight="1" x14ac:dyDescent="0.15"/>
    <row r="59932" s="9" customFormat="1" ht="21.95" customHeight="1" x14ac:dyDescent="0.15"/>
    <row r="59933" s="9" customFormat="1" ht="21.95" customHeight="1" x14ac:dyDescent="0.15"/>
    <row r="59934" s="9" customFormat="1" ht="21.95" customHeight="1" x14ac:dyDescent="0.15"/>
    <row r="59935" s="9" customFormat="1" ht="21.95" customHeight="1" x14ac:dyDescent="0.15"/>
    <row r="59936" s="9" customFormat="1" ht="21.95" customHeight="1" x14ac:dyDescent="0.15"/>
    <row r="59937" s="9" customFormat="1" ht="21.95" customHeight="1" x14ac:dyDescent="0.15"/>
    <row r="59938" s="9" customFormat="1" ht="21.95" customHeight="1" x14ac:dyDescent="0.15"/>
    <row r="59939" s="9" customFormat="1" ht="21.95" customHeight="1" x14ac:dyDescent="0.15"/>
    <row r="59940" s="9" customFormat="1" ht="21.95" customHeight="1" x14ac:dyDescent="0.15"/>
    <row r="59941" s="9" customFormat="1" ht="21.95" customHeight="1" x14ac:dyDescent="0.15"/>
    <row r="59942" s="9" customFormat="1" ht="35.1" customHeight="1" x14ac:dyDescent="0.15"/>
    <row r="59943" s="9" customFormat="1" ht="21.95" customHeight="1" x14ac:dyDescent="0.15"/>
    <row r="59944" s="9" customFormat="1" ht="21.95" customHeight="1" x14ac:dyDescent="0.15"/>
    <row r="59945" s="9" customFormat="1" ht="21.95" customHeight="1" x14ac:dyDescent="0.15"/>
    <row r="59946" s="9" customFormat="1" ht="21.95" customHeight="1" x14ac:dyDescent="0.15"/>
    <row r="59947" s="9" customFormat="1" ht="21.95" customHeight="1" x14ac:dyDescent="0.15"/>
    <row r="59948" s="9" customFormat="1" ht="21.95" customHeight="1" x14ac:dyDescent="0.15"/>
    <row r="59949" s="9" customFormat="1" ht="21.95" customHeight="1" x14ac:dyDescent="0.15"/>
    <row r="59950" s="9" customFormat="1" ht="21.95" customHeight="1" x14ac:dyDescent="0.15"/>
    <row r="59951" s="9" customFormat="1" ht="21.95" customHeight="1" x14ac:dyDescent="0.15"/>
    <row r="59952" s="9" customFormat="1" ht="21.95" customHeight="1" x14ac:dyDescent="0.15"/>
    <row r="59953" spans="3:3" s="9" customFormat="1" ht="21.95" customHeight="1" x14ac:dyDescent="0.15"/>
    <row r="59954" spans="3:3" s="9" customFormat="1" ht="21.95" customHeight="1" x14ac:dyDescent="0.15"/>
    <row r="59955" spans="3:3" s="9" customFormat="1" ht="21.95" customHeight="1" x14ac:dyDescent="0.15"/>
    <row r="59956" spans="3:3" s="9" customFormat="1" ht="21.95" customHeight="1" x14ac:dyDescent="0.15"/>
    <row r="59957" spans="3:3" s="9" customFormat="1" ht="21.95" customHeight="1" x14ac:dyDescent="0.15"/>
    <row r="59958" spans="3:3" s="9" customFormat="1" ht="21.95" customHeight="1" x14ac:dyDescent="0.15"/>
    <row r="59959" spans="3:3" s="9" customFormat="1" ht="21.95" customHeight="1" x14ac:dyDescent="0.15"/>
    <row r="59960" spans="3:3" s="9" customFormat="1" ht="21.95" customHeight="1" x14ac:dyDescent="0.15"/>
    <row r="59961" spans="3:3" s="9" customFormat="1" ht="21.95" customHeight="1" x14ac:dyDescent="0.15"/>
    <row r="59962" spans="3:3" s="9" customFormat="1" ht="21.95" customHeight="1" x14ac:dyDescent="0.15"/>
    <row r="59963" spans="3:3" s="9" customFormat="1" ht="21.95" customHeight="1" x14ac:dyDescent="0.15"/>
    <row r="59964" spans="3:3" s="9" customFormat="1" ht="21.95" customHeight="1" x14ac:dyDescent="0.15"/>
    <row r="59965" spans="3:3" s="9" customFormat="1" ht="21.95" customHeight="1" x14ac:dyDescent="0.15"/>
    <row r="59966" spans="3:3" s="8" customFormat="1" ht="21.95" customHeight="1" x14ac:dyDescent="0.15"/>
    <row r="59967" spans="3:3" s="8" customFormat="1" ht="21.95" customHeight="1" x14ac:dyDescent="0.15"/>
    <row r="59968" spans="3:3" s="8" customFormat="1" ht="21.95" customHeight="1" x14ac:dyDescent="0.15">
      <c r="C59968" s="101"/>
    </row>
    <row r="59969" spans="3:3" s="8" customFormat="1" ht="21.95" customHeight="1" x14ac:dyDescent="0.15">
      <c r="C59969" s="101"/>
    </row>
    <row r="59970" spans="3:3" s="8" customFormat="1" ht="21.95" customHeight="1" x14ac:dyDescent="0.15"/>
    <row r="59971" spans="3:3" s="8" customFormat="1" ht="21.95" customHeight="1" x14ac:dyDescent="0.15"/>
    <row r="59972" spans="3:3" s="8" customFormat="1" ht="21.95" customHeight="1" x14ac:dyDescent="0.15"/>
    <row r="59973" spans="3:3" s="8" customFormat="1" ht="21.95" customHeight="1" x14ac:dyDescent="0.15"/>
    <row r="59974" spans="3:3" s="8" customFormat="1" ht="21.95" customHeight="1" x14ac:dyDescent="0.15"/>
    <row r="59975" spans="3:3" s="8" customFormat="1" ht="21.95" customHeight="1" x14ac:dyDescent="0.15"/>
    <row r="59976" spans="3:3" s="8" customFormat="1" ht="21.95" customHeight="1" x14ac:dyDescent="0.15"/>
    <row r="59977" spans="3:3" s="9" customFormat="1" ht="21.95" customHeight="1" x14ac:dyDescent="0.15"/>
    <row r="59978" spans="3:3" s="9" customFormat="1" ht="21.95" customHeight="1" x14ac:dyDescent="0.15"/>
    <row r="59979" spans="3:3" s="9" customFormat="1" ht="21.95" customHeight="1" x14ac:dyDescent="0.15"/>
    <row r="59980" spans="3:3" s="9" customFormat="1" ht="21.95" customHeight="1" x14ac:dyDescent="0.15"/>
    <row r="59981" spans="3:3" s="8" customFormat="1" ht="21.95" customHeight="1" x14ac:dyDescent="0.15"/>
    <row r="59982" spans="3:3" s="8" customFormat="1" ht="21.95" customHeight="1" x14ac:dyDescent="0.15"/>
    <row r="59983" spans="3:3" s="8" customFormat="1" ht="21.95" customHeight="1" x14ac:dyDescent="0.15"/>
    <row r="59984" spans="3:3" s="8" customFormat="1" ht="21.95" customHeight="1" x14ac:dyDescent="0.15"/>
    <row r="59985" s="8" customFormat="1" ht="21.95" customHeight="1" x14ac:dyDescent="0.15"/>
    <row r="59986" s="8" customFormat="1" ht="21.95" customHeight="1" x14ac:dyDescent="0.15"/>
    <row r="59987" s="8" customFormat="1" ht="21.95" customHeight="1" x14ac:dyDescent="0.15"/>
    <row r="59988" s="8" customFormat="1" ht="21.95" customHeight="1" x14ac:dyDescent="0.15"/>
    <row r="59989" s="8" customFormat="1" ht="21.95" customHeight="1" x14ac:dyDescent="0.15"/>
    <row r="59990" s="8" customFormat="1" ht="21.95" customHeight="1" x14ac:dyDescent="0.15"/>
    <row r="59991" s="8" customFormat="1" ht="21.95" customHeight="1" x14ac:dyDescent="0.15"/>
    <row r="59992" s="8" customFormat="1" ht="32.1" customHeight="1" x14ac:dyDescent="0.15"/>
    <row r="59993" s="8" customFormat="1" ht="32.1" customHeight="1" x14ac:dyDescent="0.15"/>
    <row r="59994" s="8" customFormat="1" ht="32.1" customHeight="1" x14ac:dyDescent="0.15"/>
    <row r="59995" s="8" customFormat="1" ht="32.1" customHeight="1" x14ac:dyDescent="0.15"/>
    <row r="59996" s="8" customFormat="1" ht="32.1" customHeight="1" x14ac:dyDescent="0.15"/>
    <row r="59997" s="8" customFormat="1" ht="32.1" customHeight="1" x14ac:dyDescent="0.15"/>
    <row r="59998" s="9" customFormat="1" ht="32.1" customHeight="1" x14ac:dyDescent="0.15"/>
    <row r="59999" s="9" customFormat="1" ht="32.1" customHeight="1" x14ac:dyDescent="0.15"/>
    <row r="60000" s="9" customFormat="1" ht="32.1" customHeight="1" x14ac:dyDescent="0.15"/>
    <row r="60001" s="9" customFormat="1" ht="32.1" customHeight="1" x14ac:dyDescent="0.15"/>
    <row r="60002" s="9" customFormat="1" ht="21.95" customHeight="1" x14ac:dyDescent="0.15"/>
    <row r="60003" s="9" customFormat="1" ht="54" customHeight="1" x14ac:dyDescent="0.15"/>
    <row r="60004" s="9" customFormat="1" ht="21.95" customHeight="1" x14ac:dyDescent="0.15"/>
    <row r="60005" s="9" customFormat="1" ht="21.95" customHeight="1" x14ac:dyDescent="0.15"/>
    <row r="60006" s="9" customFormat="1" ht="21.95" customHeight="1" x14ac:dyDescent="0.15"/>
    <row r="60007" s="9" customFormat="1" ht="21.95" customHeight="1" x14ac:dyDescent="0.15"/>
    <row r="60008" s="9" customFormat="1" ht="21.95" customHeight="1" x14ac:dyDescent="0.15"/>
    <row r="60009" s="9" customFormat="1" ht="21.95" customHeight="1" x14ac:dyDescent="0.15"/>
    <row r="60010" s="9" customFormat="1" ht="21.95" customHeight="1" x14ac:dyDescent="0.15"/>
    <row r="60011" s="9" customFormat="1" ht="21.95" customHeight="1" x14ac:dyDescent="0.15"/>
    <row r="60012" s="9" customFormat="1" ht="21.95" customHeight="1" x14ac:dyDescent="0.15"/>
    <row r="60013" s="9" customFormat="1" ht="21.95" customHeight="1" x14ac:dyDescent="0.15"/>
    <row r="60014" s="9" customFormat="1" ht="21.95" customHeight="1" x14ac:dyDescent="0.15"/>
    <row r="60015" s="9" customFormat="1" ht="21.95" customHeight="1" x14ac:dyDescent="0.15"/>
    <row r="60016" s="9" customFormat="1" ht="21.95" customHeight="1" x14ac:dyDescent="0.15"/>
    <row r="60017" s="9" customFormat="1" ht="21.95" customHeight="1" x14ac:dyDescent="0.15"/>
    <row r="60018" s="9" customFormat="1" ht="21.95" customHeight="1" x14ac:dyDescent="0.15"/>
    <row r="60019" s="9" customFormat="1" ht="21.95" customHeight="1" x14ac:dyDescent="0.15"/>
    <row r="60020" s="9" customFormat="1" ht="21.95" customHeight="1" x14ac:dyDescent="0.15"/>
    <row r="60021" s="9" customFormat="1" ht="21.95" customHeight="1" x14ac:dyDescent="0.15"/>
    <row r="60022" s="9" customFormat="1" ht="21.95" customHeight="1" x14ac:dyDescent="0.15"/>
    <row r="60023" s="9" customFormat="1" ht="21.95" customHeight="1" x14ac:dyDescent="0.15"/>
    <row r="60024" s="9" customFormat="1" ht="21.95" customHeight="1" x14ac:dyDescent="0.15"/>
    <row r="60025" s="9" customFormat="1" ht="21.95" customHeight="1" x14ac:dyDescent="0.15"/>
    <row r="60026" s="9" customFormat="1" ht="21.95" customHeight="1" x14ac:dyDescent="0.15"/>
    <row r="60027" s="9" customFormat="1" ht="21.95" customHeight="1" x14ac:dyDescent="0.15"/>
    <row r="60028" s="9" customFormat="1" ht="21.95" customHeight="1" x14ac:dyDescent="0.15"/>
    <row r="60029" s="9" customFormat="1" ht="21.95" customHeight="1" x14ac:dyDescent="0.15"/>
    <row r="60030" s="9" customFormat="1" ht="21.95" customHeight="1" x14ac:dyDescent="0.15"/>
    <row r="60031" s="9" customFormat="1" ht="21.95" customHeight="1" x14ac:dyDescent="0.15"/>
    <row r="60032" s="9" customFormat="1" ht="21.95" customHeight="1" x14ac:dyDescent="0.15"/>
    <row r="60033" s="9" customFormat="1" ht="21.95" customHeight="1" x14ac:dyDescent="0.15"/>
    <row r="60034" s="9" customFormat="1" ht="21.95" customHeight="1" x14ac:dyDescent="0.15"/>
    <row r="60035" s="9" customFormat="1" ht="21.95" customHeight="1" x14ac:dyDescent="0.15"/>
    <row r="60036" s="9" customFormat="1" ht="21.95" customHeight="1" x14ac:dyDescent="0.15"/>
    <row r="60037" s="9" customFormat="1" ht="21.95" customHeight="1" x14ac:dyDescent="0.15"/>
    <row r="60038" s="9" customFormat="1" ht="21.95" customHeight="1" x14ac:dyDescent="0.15"/>
    <row r="60039" s="9" customFormat="1" ht="21.95" customHeight="1" x14ac:dyDescent="0.15"/>
    <row r="60040" s="9" customFormat="1" ht="21.95" customHeight="1" x14ac:dyDescent="0.15"/>
    <row r="60041" s="9" customFormat="1" ht="21.95" customHeight="1" x14ac:dyDescent="0.15"/>
    <row r="60042" s="9" customFormat="1" ht="21.95" customHeight="1" x14ac:dyDescent="0.15"/>
    <row r="60043" s="9" customFormat="1" ht="21.95" customHeight="1" x14ac:dyDescent="0.15"/>
    <row r="60044" s="9" customFormat="1" ht="21.95" customHeight="1" x14ac:dyDescent="0.15"/>
    <row r="60045" s="9" customFormat="1" ht="21.95" customHeight="1" x14ac:dyDescent="0.15"/>
    <row r="60046" s="9" customFormat="1" ht="21.95" customHeight="1" x14ac:dyDescent="0.15"/>
    <row r="60047" s="9" customFormat="1" ht="21.95" customHeight="1" x14ac:dyDescent="0.15"/>
    <row r="60048" s="9" customFormat="1" ht="21.95" customHeight="1" x14ac:dyDescent="0.15"/>
    <row r="60049" s="9" customFormat="1" ht="21.95" customHeight="1" x14ac:dyDescent="0.15"/>
    <row r="60050" s="9" customFormat="1" ht="21.95" customHeight="1" x14ac:dyDescent="0.15"/>
    <row r="60051" s="9" customFormat="1" ht="21.95" customHeight="1" x14ac:dyDescent="0.15"/>
    <row r="60052" s="9" customFormat="1" ht="21.95" customHeight="1" x14ac:dyDescent="0.15"/>
    <row r="60053" s="9" customFormat="1" ht="21.95" customHeight="1" x14ac:dyDescent="0.15"/>
    <row r="60054" s="9" customFormat="1" ht="35.1" customHeight="1" x14ac:dyDescent="0.15"/>
    <row r="60055" s="9" customFormat="1" ht="21.95" customHeight="1" x14ac:dyDescent="0.15"/>
    <row r="60056" s="9" customFormat="1" ht="21.95" customHeight="1" x14ac:dyDescent="0.15"/>
    <row r="60057" s="9" customFormat="1" ht="21.95" customHeight="1" x14ac:dyDescent="0.15"/>
    <row r="60058" s="9" customFormat="1" ht="21.95" customHeight="1" x14ac:dyDescent="0.15"/>
    <row r="60059" s="9" customFormat="1" ht="21.95" customHeight="1" x14ac:dyDescent="0.15"/>
    <row r="60060" s="9" customFormat="1" ht="21.95" customHeight="1" x14ac:dyDescent="0.15"/>
    <row r="60061" s="9" customFormat="1" ht="21.95" customHeight="1" x14ac:dyDescent="0.15"/>
    <row r="60062" s="9" customFormat="1" ht="21.95" customHeight="1" x14ac:dyDescent="0.15"/>
    <row r="60063" s="9" customFormat="1" ht="21.95" customHeight="1" x14ac:dyDescent="0.15"/>
    <row r="60064" s="9" customFormat="1" ht="21.95" customHeight="1" x14ac:dyDescent="0.15"/>
    <row r="60065" spans="3:3" s="9" customFormat="1" ht="21.95" customHeight="1" x14ac:dyDescent="0.15"/>
    <row r="60066" spans="3:3" s="9" customFormat="1" ht="21.95" customHeight="1" x14ac:dyDescent="0.15"/>
    <row r="60067" spans="3:3" s="9" customFormat="1" ht="21.95" customHeight="1" x14ac:dyDescent="0.15"/>
    <row r="60068" spans="3:3" s="9" customFormat="1" ht="21.95" customHeight="1" x14ac:dyDescent="0.15"/>
    <row r="60069" spans="3:3" s="9" customFormat="1" ht="21.95" customHeight="1" x14ac:dyDescent="0.15"/>
    <row r="60070" spans="3:3" s="9" customFormat="1" ht="21.95" customHeight="1" x14ac:dyDescent="0.15"/>
    <row r="60071" spans="3:3" s="9" customFormat="1" ht="21.95" customHeight="1" x14ac:dyDescent="0.15"/>
    <row r="60072" spans="3:3" s="9" customFormat="1" ht="21.95" customHeight="1" x14ac:dyDescent="0.15"/>
    <row r="60073" spans="3:3" s="9" customFormat="1" ht="21.95" customHeight="1" x14ac:dyDescent="0.15"/>
    <row r="60074" spans="3:3" s="9" customFormat="1" ht="21.95" customHeight="1" x14ac:dyDescent="0.15"/>
    <row r="60075" spans="3:3" s="9" customFormat="1" ht="21.95" customHeight="1" x14ac:dyDescent="0.15"/>
    <row r="60076" spans="3:3" s="9" customFormat="1" ht="21.95" customHeight="1" x14ac:dyDescent="0.15"/>
    <row r="60077" spans="3:3" s="9" customFormat="1" ht="21.95" customHeight="1" x14ac:dyDescent="0.15"/>
    <row r="60078" spans="3:3" s="8" customFormat="1" ht="21.95" customHeight="1" x14ac:dyDescent="0.15"/>
    <row r="60079" spans="3:3" s="8" customFormat="1" ht="21.95" customHeight="1" x14ac:dyDescent="0.15"/>
    <row r="60080" spans="3:3" s="8" customFormat="1" ht="21.95" customHeight="1" x14ac:dyDescent="0.15">
      <c r="C60080" s="101"/>
    </row>
    <row r="60081" spans="3:3" s="8" customFormat="1" ht="21.95" customHeight="1" x14ac:dyDescent="0.15">
      <c r="C60081" s="101"/>
    </row>
    <row r="60082" spans="3:3" s="8" customFormat="1" ht="21.95" customHeight="1" x14ac:dyDescent="0.15"/>
    <row r="60083" spans="3:3" s="8" customFormat="1" ht="21.95" customHeight="1" x14ac:dyDescent="0.15"/>
    <row r="60084" spans="3:3" s="8" customFormat="1" ht="21.95" customHeight="1" x14ac:dyDescent="0.15"/>
    <row r="60085" spans="3:3" s="8" customFormat="1" ht="21.95" customHeight="1" x14ac:dyDescent="0.15"/>
    <row r="60086" spans="3:3" s="8" customFormat="1" ht="21.95" customHeight="1" x14ac:dyDescent="0.15"/>
    <row r="60087" spans="3:3" s="8" customFormat="1" ht="21.95" customHeight="1" x14ac:dyDescent="0.15"/>
    <row r="60088" spans="3:3" s="8" customFormat="1" ht="21.95" customHeight="1" x14ac:dyDescent="0.15"/>
    <row r="60089" spans="3:3" s="9" customFormat="1" ht="21.95" customHeight="1" x14ac:dyDescent="0.15"/>
    <row r="60090" spans="3:3" s="9" customFormat="1" ht="21.95" customHeight="1" x14ac:dyDescent="0.15"/>
    <row r="60091" spans="3:3" s="9" customFormat="1" ht="21.95" customHeight="1" x14ac:dyDescent="0.15"/>
    <row r="60092" spans="3:3" s="9" customFormat="1" ht="21.95" customHeight="1" x14ac:dyDescent="0.15"/>
    <row r="60093" spans="3:3" s="8" customFormat="1" ht="21.95" customHeight="1" x14ac:dyDescent="0.15"/>
    <row r="60094" spans="3:3" s="8" customFormat="1" ht="21.95" customHeight="1" x14ac:dyDescent="0.15"/>
    <row r="60095" spans="3:3" s="8" customFormat="1" ht="21.95" customHeight="1" x14ac:dyDescent="0.15"/>
    <row r="60096" spans="3:3" s="8" customFormat="1" ht="21.95" customHeight="1" x14ac:dyDescent="0.15"/>
    <row r="60097" s="8" customFormat="1" ht="21.95" customHeight="1" x14ac:dyDescent="0.15"/>
    <row r="60098" s="8" customFormat="1" ht="21.95" customHeight="1" x14ac:dyDescent="0.15"/>
    <row r="60099" s="8" customFormat="1" ht="21.95" customHeight="1" x14ac:dyDescent="0.15"/>
    <row r="60100" s="8" customFormat="1" ht="21.95" customHeight="1" x14ac:dyDescent="0.15"/>
    <row r="60101" s="8" customFormat="1" ht="21.95" customHeight="1" x14ac:dyDescent="0.15"/>
    <row r="60102" s="8" customFormat="1" ht="21.95" customHeight="1" x14ac:dyDescent="0.15"/>
    <row r="60103" s="8" customFormat="1" ht="21.95" customHeight="1" x14ac:dyDescent="0.15"/>
    <row r="60104" s="8" customFormat="1" ht="32.1" customHeight="1" x14ac:dyDescent="0.15"/>
    <row r="60105" s="8" customFormat="1" ht="32.1" customHeight="1" x14ac:dyDescent="0.15"/>
    <row r="60106" s="8" customFormat="1" ht="32.1" customHeight="1" x14ac:dyDescent="0.15"/>
    <row r="60107" s="8" customFormat="1" ht="32.1" customHeight="1" x14ac:dyDescent="0.15"/>
    <row r="60108" s="8" customFormat="1" ht="32.1" customHeight="1" x14ac:dyDescent="0.15"/>
    <row r="60109" s="8" customFormat="1" ht="32.1" customHeight="1" x14ac:dyDescent="0.15"/>
    <row r="60110" s="9" customFormat="1" ht="32.1" customHeight="1" x14ac:dyDescent="0.15"/>
    <row r="60111" s="9" customFormat="1" ht="32.1" customHeight="1" x14ac:dyDescent="0.15"/>
    <row r="60112" s="9" customFormat="1" ht="32.1" customHeight="1" x14ac:dyDescent="0.15"/>
    <row r="60113" s="9" customFormat="1" ht="32.1" customHeight="1" x14ac:dyDescent="0.15"/>
    <row r="60114" s="9" customFormat="1" ht="21.95" customHeight="1" x14ac:dyDescent="0.15"/>
    <row r="60115" s="9" customFormat="1" ht="54" customHeight="1" x14ac:dyDescent="0.15"/>
    <row r="60116" s="9" customFormat="1" ht="21.95" customHeight="1" x14ac:dyDescent="0.15"/>
    <row r="60117" s="9" customFormat="1" ht="21.95" customHeight="1" x14ac:dyDescent="0.15"/>
    <row r="60118" s="9" customFormat="1" ht="21.95" customHeight="1" x14ac:dyDescent="0.15"/>
    <row r="60119" s="9" customFormat="1" ht="21.95" customHeight="1" x14ac:dyDescent="0.15"/>
    <row r="60120" s="9" customFormat="1" ht="21.95" customHeight="1" x14ac:dyDescent="0.15"/>
    <row r="60121" s="9" customFormat="1" ht="21.95" customHeight="1" x14ac:dyDescent="0.15"/>
    <row r="60122" s="9" customFormat="1" ht="21.95" customHeight="1" x14ac:dyDescent="0.15"/>
    <row r="60123" s="9" customFormat="1" ht="21.95" customHeight="1" x14ac:dyDescent="0.15"/>
    <row r="60124" s="9" customFormat="1" ht="21.95" customHeight="1" x14ac:dyDescent="0.15"/>
    <row r="60125" s="9" customFormat="1" ht="21.95" customHeight="1" x14ac:dyDescent="0.15"/>
    <row r="60126" s="9" customFormat="1" ht="21.95" customHeight="1" x14ac:dyDescent="0.15"/>
    <row r="60127" s="9" customFormat="1" ht="21.95" customHeight="1" x14ac:dyDescent="0.15"/>
    <row r="60128" s="9" customFormat="1" ht="21.95" customHeight="1" x14ac:dyDescent="0.15"/>
    <row r="60129" s="9" customFormat="1" ht="21.95" customHeight="1" x14ac:dyDescent="0.15"/>
    <row r="60130" s="9" customFormat="1" ht="21.95" customHeight="1" x14ac:dyDescent="0.15"/>
    <row r="60131" s="9" customFormat="1" ht="21.95" customHeight="1" x14ac:dyDescent="0.15"/>
    <row r="60132" s="9" customFormat="1" ht="21.95" customHeight="1" x14ac:dyDescent="0.15"/>
    <row r="60133" s="9" customFormat="1" ht="21.95" customHeight="1" x14ac:dyDescent="0.15"/>
    <row r="60134" s="9" customFormat="1" ht="21.95" customHeight="1" x14ac:dyDescent="0.15"/>
    <row r="60135" s="9" customFormat="1" ht="21.95" customHeight="1" x14ac:dyDescent="0.15"/>
    <row r="60136" s="9" customFormat="1" ht="21.95" customHeight="1" x14ac:dyDescent="0.15"/>
    <row r="60137" s="9" customFormat="1" ht="21.95" customHeight="1" x14ac:dyDescent="0.15"/>
    <row r="60138" s="9" customFormat="1" ht="21.95" customHeight="1" x14ac:dyDescent="0.15"/>
    <row r="60139" s="9" customFormat="1" ht="21.95" customHeight="1" x14ac:dyDescent="0.15"/>
    <row r="60140" s="9" customFormat="1" ht="21.95" customHeight="1" x14ac:dyDescent="0.15"/>
    <row r="60141" s="9" customFormat="1" ht="21.95" customHeight="1" x14ac:dyDescent="0.15"/>
    <row r="60142" s="9" customFormat="1" ht="21.95" customHeight="1" x14ac:dyDescent="0.15"/>
    <row r="60143" s="9" customFormat="1" ht="21.95" customHeight="1" x14ac:dyDescent="0.15"/>
    <row r="60144" s="9" customFormat="1" ht="21.95" customHeight="1" x14ac:dyDescent="0.15"/>
    <row r="60145" s="9" customFormat="1" ht="21.95" customHeight="1" x14ac:dyDescent="0.15"/>
    <row r="60146" s="9" customFormat="1" ht="21.95" customHeight="1" x14ac:dyDescent="0.15"/>
    <row r="60147" s="9" customFormat="1" ht="21.95" customHeight="1" x14ac:dyDescent="0.15"/>
    <row r="60148" s="9" customFormat="1" ht="21.95" customHeight="1" x14ac:dyDescent="0.15"/>
    <row r="60149" s="9" customFormat="1" ht="21.95" customHeight="1" x14ac:dyDescent="0.15"/>
    <row r="60150" s="9" customFormat="1" ht="21.95" customHeight="1" x14ac:dyDescent="0.15"/>
    <row r="60151" s="9" customFormat="1" ht="21.95" customHeight="1" x14ac:dyDescent="0.15"/>
    <row r="60152" s="9" customFormat="1" ht="21.95" customHeight="1" x14ac:dyDescent="0.15"/>
    <row r="60153" s="9" customFormat="1" ht="21.95" customHeight="1" x14ac:dyDescent="0.15"/>
    <row r="60154" s="9" customFormat="1" ht="21.95" customHeight="1" x14ac:dyDescent="0.15"/>
    <row r="60155" s="9" customFormat="1" ht="21.95" customHeight="1" x14ac:dyDescent="0.15"/>
    <row r="60156" s="9" customFormat="1" ht="21.95" customHeight="1" x14ac:dyDescent="0.15"/>
    <row r="60157" s="9" customFormat="1" ht="21.95" customHeight="1" x14ac:dyDescent="0.15"/>
    <row r="60158" s="9" customFormat="1" ht="21.95" customHeight="1" x14ac:dyDescent="0.15"/>
    <row r="60159" s="9" customFormat="1" ht="21.95" customHeight="1" x14ac:dyDescent="0.15"/>
    <row r="60160" s="9" customFormat="1" ht="21.95" customHeight="1" x14ac:dyDescent="0.15"/>
    <row r="60161" s="9" customFormat="1" ht="21.95" customHeight="1" x14ac:dyDescent="0.15"/>
    <row r="60162" s="9" customFormat="1" ht="21.95" customHeight="1" x14ac:dyDescent="0.15"/>
    <row r="60163" s="9" customFormat="1" ht="21.95" customHeight="1" x14ac:dyDescent="0.15"/>
    <row r="60164" s="9" customFormat="1" ht="21.95" customHeight="1" x14ac:dyDescent="0.15"/>
    <row r="60165" s="9" customFormat="1" ht="21.95" customHeight="1" x14ac:dyDescent="0.15"/>
    <row r="60166" s="9" customFormat="1" ht="35.1" customHeight="1" x14ac:dyDescent="0.15"/>
    <row r="60167" s="9" customFormat="1" ht="21.95" customHeight="1" x14ac:dyDescent="0.15"/>
    <row r="60168" s="9" customFormat="1" ht="21.95" customHeight="1" x14ac:dyDescent="0.15"/>
    <row r="60169" s="9" customFormat="1" ht="21.95" customHeight="1" x14ac:dyDescent="0.15"/>
    <row r="60170" s="9" customFormat="1" ht="21.95" customHeight="1" x14ac:dyDescent="0.15"/>
    <row r="60171" s="9" customFormat="1" ht="21.95" customHeight="1" x14ac:dyDescent="0.15"/>
    <row r="60172" s="9" customFormat="1" ht="21.95" customHeight="1" x14ac:dyDescent="0.15"/>
    <row r="60173" s="9" customFormat="1" ht="21.95" customHeight="1" x14ac:dyDescent="0.15"/>
    <row r="60174" s="9" customFormat="1" ht="21.95" customHeight="1" x14ac:dyDescent="0.15"/>
    <row r="60175" s="9" customFormat="1" ht="21.95" customHeight="1" x14ac:dyDescent="0.15"/>
    <row r="60176" s="9" customFormat="1" ht="21.95" customHeight="1" x14ac:dyDescent="0.15"/>
    <row r="60177" spans="3:3" s="9" customFormat="1" ht="21.95" customHeight="1" x14ac:dyDescent="0.15"/>
    <row r="60178" spans="3:3" s="9" customFormat="1" ht="21.95" customHeight="1" x14ac:dyDescent="0.15"/>
    <row r="60179" spans="3:3" s="9" customFormat="1" ht="21.95" customHeight="1" x14ac:dyDescent="0.15"/>
    <row r="60180" spans="3:3" s="9" customFormat="1" ht="21.95" customHeight="1" x14ac:dyDescent="0.15"/>
    <row r="60181" spans="3:3" s="9" customFormat="1" ht="21.95" customHeight="1" x14ac:dyDescent="0.15"/>
    <row r="60182" spans="3:3" s="9" customFormat="1" ht="21.95" customHeight="1" x14ac:dyDescent="0.15"/>
    <row r="60183" spans="3:3" s="9" customFormat="1" ht="21.95" customHeight="1" x14ac:dyDescent="0.15"/>
    <row r="60184" spans="3:3" s="9" customFormat="1" ht="21.95" customHeight="1" x14ac:dyDescent="0.15"/>
    <row r="60185" spans="3:3" s="9" customFormat="1" ht="21.95" customHeight="1" x14ac:dyDescent="0.15"/>
    <row r="60186" spans="3:3" s="9" customFormat="1" ht="21.95" customHeight="1" x14ac:dyDescent="0.15"/>
    <row r="60187" spans="3:3" s="9" customFormat="1" ht="21.95" customHeight="1" x14ac:dyDescent="0.15"/>
    <row r="60188" spans="3:3" s="9" customFormat="1" ht="21.95" customHeight="1" x14ac:dyDescent="0.15"/>
    <row r="60189" spans="3:3" s="9" customFormat="1" ht="21.95" customHeight="1" x14ac:dyDescent="0.15"/>
    <row r="60190" spans="3:3" s="8" customFormat="1" ht="21.95" customHeight="1" x14ac:dyDescent="0.15"/>
    <row r="60191" spans="3:3" s="8" customFormat="1" ht="21.95" customHeight="1" x14ac:dyDescent="0.15"/>
    <row r="60192" spans="3:3" s="8" customFormat="1" ht="21.95" customHeight="1" x14ac:dyDescent="0.15">
      <c r="C60192" s="101"/>
    </row>
    <row r="60193" spans="3:3" s="8" customFormat="1" ht="21.95" customHeight="1" x14ac:dyDescent="0.15">
      <c r="C60193" s="101"/>
    </row>
    <row r="60194" spans="3:3" s="8" customFormat="1" ht="21.95" customHeight="1" x14ac:dyDescent="0.15"/>
    <row r="60195" spans="3:3" s="8" customFormat="1" ht="21.95" customHeight="1" x14ac:dyDescent="0.15"/>
    <row r="60196" spans="3:3" s="8" customFormat="1" ht="21.95" customHeight="1" x14ac:dyDescent="0.15"/>
    <row r="60197" spans="3:3" s="8" customFormat="1" ht="21.95" customHeight="1" x14ac:dyDescent="0.15"/>
    <row r="60198" spans="3:3" s="8" customFormat="1" ht="21.95" customHeight="1" x14ac:dyDescent="0.15"/>
    <row r="60199" spans="3:3" s="8" customFormat="1" ht="21.95" customHeight="1" x14ac:dyDescent="0.15"/>
    <row r="60200" spans="3:3" s="8" customFormat="1" ht="21.95" customHeight="1" x14ac:dyDescent="0.15"/>
    <row r="60201" spans="3:3" s="9" customFormat="1" ht="21.95" customHeight="1" x14ac:dyDescent="0.15"/>
    <row r="60202" spans="3:3" s="9" customFormat="1" ht="21.95" customHeight="1" x14ac:dyDescent="0.15"/>
    <row r="60203" spans="3:3" s="9" customFormat="1" ht="21.95" customHeight="1" x14ac:dyDescent="0.15"/>
    <row r="60204" spans="3:3" s="9" customFormat="1" ht="21.95" customHeight="1" x14ac:dyDescent="0.15"/>
    <row r="60205" spans="3:3" s="8" customFormat="1" ht="21.95" customHeight="1" x14ac:dyDescent="0.15"/>
    <row r="60206" spans="3:3" s="8" customFormat="1" ht="21.95" customHeight="1" x14ac:dyDescent="0.15"/>
    <row r="60207" spans="3:3" s="8" customFormat="1" ht="21.95" customHeight="1" x14ac:dyDescent="0.15"/>
    <row r="60208" spans="3:3" s="8" customFormat="1" ht="21.95" customHeight="1" x14ac:dyDescent="0.15"/>
    <row r="60209" s="8" customFormat="1" ht="21.95" customHeight="1" x14ac:dyDescent="0.15"/>
    <row r="60210" s="8" customFormat="1" ht="21.95" customHeight="1" x14ac:dyDescent="0.15"/>
    <row r="60211" s="8" customFormat="1" ht="21.95" customHeight="1" x14ac:dyDescent="0.15"/>
    <row r="60212" s="8" customFormat="1" ht="21.95" customHeight="1" x14ac:dyDescent="0.15"/>
    <row r="60213" s="8" customFormat="1" ht="21.95" customHeight="1" x14ac:dyDescent="0.15"/>
    <row r="60214" s="8" customFormat="1" ht="21.95" customHeight="1" x14ac:dyDescent="0.15"/>
    <row r="60215" s="8" customFormat="1" ht="21.95" customHeight="1" x14ac:dyDescent="0.15"/>
    <row r="60216" s="8" customFormat="1" ht="32.1" customHeight="1" x14ac:dyDescent="0.15"/>
    <row r="60217" s="8" customFormat="1" ht="32.1" customHeight="1" x14ac:dyDescent="0.15"/>
    <row r="60218" s="8" customFormat="1" ht="32.1" customHeight="1" x14ac:dyDescent="0.15"/>
    <row r="60219" s="8" customFormat="1" ht="32.1" customHeight="1" x14ac:dyDescent="0.15"/>
    <row r="60220" s="8" customFormat="1" ht="32.1" customHeight="1" x14ac:dyDescent="0.15"/>
    <row r="60221" s="8" customFormat="1" ht="32.1" customHeight="1" x14ac:dyDescent="0.15"/>
    <row r="60222" s="9" customFormat="1" ht="32.1" customHeight="1" x14ac:dyDescent="0.15"/>
    <row r="60223" s="9" customFormat="1" ht="32.1" customHeight="1" x14ac:dyDescent="0.15"/>
    <row r="60224" s="9" customFormat="1" ht="32.1" customHeight="1" x14ac:dyDescent="0.15"/>
    <row r="60225" s="9" customFormat="1" ht="32.1" customHeight="1" x14ac:dyDescent="0.15"/>
    <row r="60226" s="9" customFormat="1" ht="21.95" customHeight="1" x14ac:dyDescent="0.15"/>
    <row r="60227" s="9" customFormat="1" ht="54" customHeight="1" x14ac:dyDescent="0.15"/>
    <row r="60228" s="9" customFormat="1" ht="21.95" customHeight="1" x14ac:dyDescent="0.15"/>
    <row r="60229" s="9" customFormat="1" ht="21.95" customHeight="1" x14ac:dyDescent="0.15"/>
    <row r="60230" s="9" customFormat="1" ht="21.95" customHeight="1" x14ac:dyDescent="0.15"/>
    <row r="60231" s="9" customFormat="1" ht="21.95" customHeight="1" x14ac:dyDescent="0.15"/>
    <row r="60232" s="9" customFormat="1" ht="21.95" customHeight="1" x14ac:dyDescent="0.15"/>
    <row r="60233" s="9" customFormat="1" ht="21.95" customHeight="1" x14ac:dyDescent="0.15"/>
    <row r="60234" s="9" customFormat="1" ht="21.95" customHeight="1" x14ac:dyDescent="0.15"/>
    <row r="60235" s="9" customFormat="1" ht="21.95" customHeight="1" x14ac:dyDescent="0.15"/>
    <row r="60236" s="9" customFormat="1" ht="21.95" customHeight="1" x14ac:dyDescent="0.15"/>
    <row r="60237" s="9" customFormat="1" ht="21.95" customHeight="1" x14ac:dyDescent="0.15"/>
    <row r="60238" s="9" customFormat="1" ht="21.95" customHeight="1" x14ac:dyDescent="0.15"/>
    <row r="60239" s="9" customFormat="1" ht="21.95" customHeight="1" x14ac:dyDescent="0.15"/>
    <row r="60240" s="9" customFormat="1" ht="21.95" customHeight="1" x14ac:dyDescent="0.15"/>
    <row r="60241" s="9" customFormat="1" ht="21.95" customHeight="1" x14ac:dyDescent="0.15"/>
    <row r="60242" s="9" customFormat="1" ht="21.95" customHeight="1" x14ac:dyDescent="0.15"/>
    <row r="60243" s="9" customFormat="1" ht="21.95" customHeight="1" x14ac:dyDescent="0.15"/>
    <row r="60244" s="9" customFormat="1" ht="21.95" customHeight="1" x14ac:dyDescent="0.15"/>
    <row r="60245" s="9" customFormat="1" ht="21.95" customHeight="1" x14ac:dyDescent="0.15"/>
    <row r="60246" s="9" customFormat="1" ht="21.95" customHeight="1" x14ac:dyDescent="0.15"/>
    <row r="60247" s="9" customFormat="1" ht="21.95" customHeight="1" x14ac:dyDescent="0.15"/>
    <row r="60248" s="9" customFormat="1" ht="21.95" customHeight="1" x14ac:dyDescent="0.15"/>
    <row r="60249" s="9" customFormat="1" ht="21.95" customHeight="1" x14ac:dyDescent="0.15"/>
    <row r="60250" s="9" customFormat="1" ht="21.95" customHeight="1" x14ac:dyDescent="0.15"/>
    <row r="60251" s="9" customFormat="1" ht="21.95" customHeight="1" x14ac:dyDescent="0.15"/>
    <row r="60252" s="9" customFormat="1" ht="21.95" customHeight="1" x14ac:dyDescent="0.15"/>
    <row r="60253" s="9" customFormat="1" ht="21.95" customHeight="1" x14ac:dyDescent="0.15"/>
    <row r="60254" s="9" customFormat="1" ht="21.95" customHeight="1" x14ac:dyDescent="0.15"/>
    <row r="60255" s="9" customFormat="1" ht="21.95" customHeight="1" x14ac:dyDescent="0.15"/>
    <row r="60256" s="9" customFormat="1" ht="21.95" customHeight="1" x14ac:dyDescent="0.15"/>
    <row r="60257" s="9" customFormat="1" ht="21.95" customHeight="1" x14ac:dyDescent="0.15"/>
    <row r="60258" s="9" customFormat="1" ht="21.95" customHeight="1" x14ac:dyDescent="0.15"/>
    <row r="60259" s="9" customFormat="1" ht="21.95" customHeight="1" x14ac:dyDescent="0.15"/>
    <row r="60260" s="9" customFormat="1" ht="21.95" customHeight="1" x14ac:dyDescent="0.15"/>
    <row r="60261" s="9" customFormat="1" ht="21.95" customHeight="1" x14ac:dyDescent="0.15"/>
    <row r="60262" s="9" customFormat="1" ht="21.95" customHeight="1" x14ac:dyDescent="0.15"/>
    <row r="60263" s="9" customFormat="1" ht="21.95" customHeight="1" x14ac:dyDescent="0.15"/>
    <row r="60264" s="9" customFormat="1" ht="21.95" customHeight="1" x14ac:dyDescent="0.15"/>
    <row r="60265" s="9" customFormat="1" ht="21.95" customHeight="1" x14ac:dyDescent="0.15"/>
    <row r="60266" s="9" customFormat="1" ht="21.95" customHeight="1" x14ac:dyDescent="0.15"/>
    <row r="60267" s="9" customFormat="1" ht="21.95" customHeight="1" x14ac:dyDescent="0.15"/>
    <row r="60268" s="9" customFormat="1" ht="21.95" customHeight="1" x14ac:dyDescent="0.15"/>
    <row r="60269" s="9" customFormat="1" ht="21.95" customHeight="1" x14ac:dyDescent="0.15"/>
    <row r="60270" s="9" customFormat="1" ht="21.95" customHeight="1" x14ac:dyDescent="0.15"/>
    <row r="60271" s="9" customFormat="1" ht="21.95" customHeight="1" x14ac:dyDescent="0.15"/>
    <row r="60272" s="9" customFormat="1" ht="21.95" customHeight="1" x14ac:dyDescent="0.15"/>
    <row r="60273" s="9" customFormat="1" ht="21.95" customHeight="1" x14ac:dyDescent="0.15"/>
    <row r="60274" s="9" customFormat="1" ht="21.95" customHeight="1" x14ac:dyDescent="0.15"/>
    <row r="60275" s="9" customFormat="1" ht="21.95" customHeight="1" x14ac:dyDescent="0.15"/>
    <row r="60276" s="9" customFormat="1" ht="21.95" customHeight="1" x14ac:dyDescent="0.15"/>
    <row r="60277" s="9" customFormat="1" ht="21.95" customHeight="1" x14ac:dyDescent="0.15"/>
    <row r="60278" s="9" customFormat="1" ht="35.1" customHeight="1" x14ac:dyDescent="0.15"/>
    <row r="60279" s="9" customFormat="1" ht="21.95" customHeight="1" x14ac:dyDescent="0.15"/>
    <row r="60280" s="9" customFormat="1" ht="21.95" customHeight="1" x14ac:dyDescent="0.15"/>
    <row r="60281" s="9" customFormat="1" ht="21.95" customHeight="1" x14ac:dyDescent="0.15"/>
    <row r="60282" s="9" customFormat="1" ht="21.95" customHeight="1" x14ac:dyDescent="0.15"/>
    <row r="60283" s="9" customFormat="1" ht="21.95" customHeight="1" x14ac:dyDescent="0.15"/>
    <row r="60284" s="9" customFormat="1" ht="21.95" customHeight="1" x14ac:dyDescent="0.15"/>
    <row r="60285" s="9" customFormat="1" ht="21.95" customHeight="1" x14ac:dyDescent="0.15"/>
    <row r="60286" s="9" customFormat="1" ht="21.95" customHeight="1" x14ac:dyDescent="0.15"/>
    <row r="60287" s="9" customFormat="1" ht="21.95" customHeight="1" x14ac:dyDescent="0.15"/>
    <row r="60288" s="9" customFormat="1" ht="21.95" customHeight="1" x14ac:dyDescent="0.15"/>
    <row r="60289" spans="3:3" s="9" customFormat="1" ht="21.95" customHeight="1" x14ac:dyDescent="0.15"/>
    <row r="60290" spans="3:3" s="9" customFormat="1" ht="21.95" customHeight="1" x14ac:dyDescent="0.15"/>
    <row r="60291" spans="3:3" s="9" customFormat="1" ht="21.95" customHeight="1" x14ac:dyDescent="0.15"/>
    <row r="60292" spans="3:3" s="9" customFormat="1" ht="21.95" customHeight="1" x14ac:dyDescent="0.15"/>
    <row r="60293" spans="3:3" s="9" customFormat="1" ht="21.95" customHeight="1" x14ac:dyDescent="0.15"/>
    <row r="60294" spans="3:3" s="9" customFormat="1" ht="21.95" customHeight="1" x14ac:dyDescent="0.15"/>
    <row r="60295" spans="3:3" s="9" customFormat="1" ht="21.95" customHeight="1" x14ac:dyDescent="0.15"/>
    <row r="60296" spans="3:3" s="9" customFormat="1" ht="21.95" customHeight="1" x14ac:dyDescent="0.15"/>
    <row r="60297" spans="3:3" s="9" customFormat="1" ht="21.95" customHeight="1" x14ac:dyDescent="0.15"/>
    <row r="60298" spans="3:3" s="9" customFormat="1" ht="21.95" customHeight="1" x14ac:dyDescent="0.15"/>
    <row r="60299" spans="3:3" s="9" customFormat="1" ht="21.95" customHeight="1" x14ac:dyDescent="0.15"/>
    <row r="60300" spans="3:3" s="9" customFormat="1" ht="21.95" customHeight="1" x14ac:dyDescent="0.15"/>
    <row r="60301" spans="3:3" s="9" customFormat="1" ht="21.95" customHeight="1" x14ac:dyDescent="0.15"/>
    <row r="60302" spans="3:3" s="8" customFormat="1" ht="21.95" customHeight="1" x14ac:dyDescent="0.15"/>
    <row r="60303" spans="3:3" s="8" customFormat="1" ht="21.95" customHeight="1" x14ac:dyDescent="0.15"/>
    <row r="60304" spans="3:3" s="8" customFormat="1" ht="21.95" customHeight="1" x14ac:dyDescent="0.15">
      <c r="C60304" s="101"/>
    </row>
    <row r="60305" spans="3:3" s="8" customFormat="1" ht="21.95" customHeight="1" x14ac:dyDescent="0.15">
      <c r="C60305" s="101"/>
    </row>
    <row r="60306" spans="3:3" s="8" customFormat="1" ht="21.95" customHeight="1" x14ac:dyDescent="0.15"/>
    <row r="60307" spans="3:3" s="8" customFormat="1" ht="21.95" customHeight="1" x14ac:dyDescent="0.15"/>
    <row r="60308" spans="3:3" s="8" customFormat="1" ht="21.95" customHeight="1" x14ac:dyDescent="0.15"/>
    <row r="60309" spans="3:3" s="8" customFormat="1" ht="21.95" customHeight="1" x14ac:dyDescent="0.15"/>
    <row r="60310" spans="3:3" s="8" customFormat="1" ht="21.95" customHeight="1" x14ac:dyDescent="0.15"/>
    <row r="60311" spans="3:3" s="8" customFormat="1" ht="21.95" customHeight="1" x14ac:dyDescent="0.15"/>
    <row r="60312" spans="3:3" s="8" customFormat="1" ht="21.95" customHeight="1" x14ac:dyDescent="0.15"/>
    <row r="60313" spans="3:3" s="9" customFormat="1" ht="21.95" customHeight="1" x14ac:dyDescent="0.15"/>
    <row r="60314" spans="3:3" s="9" customFormat="1" ht="21.95" customHeight="1" x14ac:dyDescent="0.15"/>
    <row r="60315" spans="3:3" s="9" customFormat="1" ht="21.95" customHeight="1" x14ac:dyDescent="0.15"/>
    <row r="60316" spans="3:3" s="9" customFormat="1" ht="21.95" customHeight="1" x14ac:dyDescent="0.15"/>
    <row r="60317" spans="3:3" s="8" customFormat="1" ht="21.95" customHeight="1" x14ac:dyDescent="0.15"/>
    <row r="60318" spans="3:3" s="8" customFormat="1" ht="21.95" customHeight="1" x14ac:dyDescent="0.15"/>
    <row r="60319" spans="3:3" s="8" customFormat="1" ht="21.95" customHeight="1" x14ac:dyDescent="0.15"/>
    <row r="60320" spans="3:3" s="8" customFormat="1" ht="21.95" customHeight="1" x14ac:dyDescent="0.15"/>
    <row r="60321" s="8" customFormat="1" ht="21.95" customHeight="1" x14ac:dyDescent="0.15"/>
    <row r="60322" s="8" customFormat="1" ht="21.95" customHeight="1" x14ac:dyDescent="0.15"/>
    <row r="60323" s="8" customFormat="1" ht="21.95" customHeight="1" x14ac:dyDescent="0.15"/>
    <row r="60324" s="8" customFormat="1" ht="21.95" customHeight="1" x14ac:dyDescent="0.15"/>
    <row r="60325" s="8" customFormat="1" ht="21.95" customHeight="1" x14ac:dyDescent="0.15"/>
    <row r="60326" s="8" customFormat="1" ht="21.95" customHeight="1" x14ac:dyDescent="0.15"/>
    <row r="60327" s="8" customFormat="1" ht="21.95" customHeight="1" x14ac:dyDescent="0.15"/>
    <row r="60328" s="8" customFormat="1" ht="32.1" customHeight="1" x14ac:dyDescent="0.15"/>
    <row r="60329" s="8" customFormat="1" ht="32.1" customHeight="1" x14ac:dyDescent="0.15"/>
    <row r="60330" s="8" customFormat="1" ht="32.1" customHeight="1" x14ac:dyDescent="0.15"/>
    <row r="60331" s="8" customFormat="1" ht="32.1" customHeight="1" x14ac:dyDescent="0.15"/>
    <row r="60332" s="8" customFormat="1" ht="32.1" customHeight="1" x14ac:dyDescent="0.15"/>
    <row r="60333" s="8" customFormat="1" ht="32.1" customHeight="1" x14ac:dyDescent="0.15"/>
    <row r="60334" s="9" customFormat="1" ht="32.1" customHeight="1" x14ac:dyDescent="0.15"/>
    <row r="60335" s="9" customFormat="1" ht="32.1" customHeight="1" x14ac:dyDescent="0.15"/>
    <row r="60336" s="9" customFormat="1" ht="32.1" customHeight="1" x14ac:dyDescent="0.15"/>
    <row r="60337" s="9" customFormat="1" ht="32.1" customHeight="1" x14ac:dyDescent="0.15"/>
    <row r="60338" s="9" customFormat="1" ht="21.95" customHeight="1" x14ac:dyDescent="0.15"/>
    <row r="60339" s="9" customFormat="1" ht="54" customHeight="1" x14ac:dyDescent="0.15"/>
    <row r="60340" s="9" customFormat="1" ht="21.95" customHeight="1" x14ac:dyDescent="0.15"/>
    <row r="60341" s="9" customFormat="1" ht="21.95" customHeight="1" x14ac:dyDescent="0.15"/>
    <row r="60342" s="9" customFormat="1" ht="21.95" customHeight="1" x14ac:dyDescent="0.15"/>
    <row r="60343" s="9" customFormat="1" ht="21.95" customHeight="1" x14ac:dyDescent="0.15"/>
    <row r="60344" s="9" customFormat="1" ht="21.95" customHeight="1" x14ac:dyDescent="0.15"/>
    <row r="60345" s="9" customFormat="1" ht="21.95" customHeight="1" x14ac:dyDescent="0.15"/>
    <row r="60346" s="9" customFormat="1" ht="21.95" customHeight="1" x14ac:dyDescent="0.15"/>
    <row r="60347" s="9" customFormat="1" ht="21.95" customHeight="1" x14ac:dyDescent="0.15"/>
    <row r="60348" s="9" customFormat="1" ht="21.95" customHeight="1" x14ac:dyDescent="0.15"/>
    <row r="60349" s="9" customFormat="1" ht="21.95" customHeight="1" x14ac:dyDescent="0.15"/>
    <row r="60350" s="9" customFormat="1" ht="21.95" customHeight="1" x14ac:dyDescent="0.15"/>
    <row r="60351" s="9" customFormat="1" ht="21.95" customHeight="1" x14ac:dyDescent="0.15"/>
    <row r="60352" s="9" customFormat="1" ht="21.95" customHeight="1" x14ac:dyDescent="0.15"/>
    <row r="60353" s="9" customFormat="1" ht="21.95" customHeight="1" x14ac:dyDescent="0.15"/>
    <row r="60354" s="9" customFormat="1" ht="21.95" customHeight="1" x14ac:dyDescent="0.15"/>
    <row r="60355" s="9" customFormat="1" ht="21.95" customHeight="1" x14ac:dyDescent="0.15"/>
    <row r="60356" s="9" customFormat="1" ht="21.95" customHeight="1" x14ac:dyDescent="0.15"/>
    <row r="60357" s="9" customFormat="1" ht="21.95" customHeight="1" x14ac:dyDescent="0.15"/>
    <row r="60358" s="9" customFormat="1" ht="21.95" customHeight="1" x14ac:dyDescent="0.15"/>
    <row r="60359" s="9" customFormat="1" ht="21.95" customHeight="1" x14ac:dyDescent="0.15"/>
    <row r="60360" s="9" customFormat="1" ht="21.95" customHeight="1" x14ac:dyDescent="0.15"/>
    <row r="60361" s="9" customFormat="1" ht="21.95" customHeight="1" x14ac:dyDescent="0.15"/>
    <row r="60362" s="9" customFormat="1" ht="21.95" customHeight="1" x14ac:dyDescent="0.15"/>
    <row r="60363" s="9" customFormat="1" ht="21.95" customHeight="1" x14ac:dyDescent="0.15"/>
    <row r="60364" s="9" customFormat="1" ht="21.95" customHeight="1" x14ac:dyDescent="0.15"/>
    <row r="60365" s="9" customFormat="1" ht="21.95" customHeight="1" x14ac:dyDescent="0.15"/>
    <row r="60366" s="9" customFormat="1" ht="21.95" customHeight="1" x14ac:dyDescent="0.15"/>
    <row r="60367" s="9" customFormat="1" ht="21.95" customHeight="1" x14ac:dyDescent="0.15"/>
    <row r="60368" s="9" customFormat="1" ht="21.95" customHeight="1" x14ac:dyDescent="0.15"/>
    <row r="60369" s="9" customFormat="1" ht="21.95" customHeight="1" x14ac:dyDescent="0.15"/>
    <row r="60370" s="9" customFormat="1" ht="21.95" customHeight="1" x14ac:dyDescent="0.15"/>
    <row r="60371" s="9" customFormat="1" ht="21.95" customHeight="1" x14ac:dyDescent="0.15"/>
    <row r="60372" s="9" customFormat="1" ht="21.95" customHeight="1" x14ac:dyDescent="0.15"/>
    <row r="60373" s="9" customFormat="1" ht="21.95" customHeight="1" x14ac:dyDescent="0.15"/>
    <row r="60374" s="9" customFormat="1" ht="21.95" customHeight="1" x14ac:dyDescent="0.15"/>
    <row r="60375" s="9" customFormat="1" ht="21.95" customHeight="1" x14ac:dyDescent="0.15"/>
    <row r="60376" s="9" customFormat="1" ht="21.95" customHeight="1" x14ac:dyDescent="0.15"/>
    <row r="60377" s="9" customFormat="1" ht="21.95" customHeight="1" x14ac:dyDescent="0.15"/>
    <row r="60378" s="9" customFormat="1" ht="21.95" customHeight="1" x14ac:dyDescent="0.15"/>
    <row r="60379" s="9" customFormat="1" ht="21.95" customHeight="1" x14ac:dyDescent="0.15"/>
    <row r="60380" s="9" customFormat="1" ht="21.95" customHeight="1" x14ac:dyDescent="0.15"/>
    <row r="60381" s="9" customFormat="1" ht="21.95" customHeight="1" x14ac:dyDescent="0.15"/>
    <row r="60382" s="9" customFormat="1" ht="21.95" customHeight="1" x14ac:dyDescent="0.15"/>
    <row r="60383" s="9" customFormat="1" ht="21.95" customHeight="1" x14ac:dyDescent="0.15"/>
    <row r="60384" s="9" customFormat="1" ht="21.95" customHeight="1" x14ac:dyDescent="0.15"/>
    <row r="60385" s="9" customFormat="1" ht="21.95" customHeight="1" x14ac:dyDescent="0.15"/>
    <row r="60386" s="9" customFormat="1" ht="21.95" customHeight="1" x14ac:dyDescent="0.15"/>
    <row r="60387" s="9" customFormat="1" ht="21.95" customHeight="1" x14ac:dyDescent="0.15"/>
    <row r="60388" s="9" customFormat="1" ht="21.95" customHeight="1" x14ac:dyDescent="0.15"/>
    <row r="60389" s="9" customFormat="1" ht="21.95" customHeight="1" x14ac:dyDescent="0.15"/>
    <row r="60390" s="9" customFormat="1" ht="35.1" customHeight="1" x14ac:dyDescent="0.15"/>
    <row r="60391" s="9" customFormat="1" ht="21.95" customHeight="1" x14ac:dyDescent="0.15"/>
    <row r="60392" s="9" customFormat="1" ht="21.95" customHeight="1" x14ac:dyDescent="0.15"/>
    <row r="60393" s="9" customFormat="1" ht="21.95" customHeight="1" x14ac:dyDescent="0.15"/>
    <row r="60394" s="9" customFormat="1" ht="21.95" customHeight="1" x14ac:dyDescent="0.15"/>
    <row r="60395" s="9" customFormat="1" ht="21.95" customHeight="1" x14ac:dyDescent="0.15"/>
    <row r="60396" s="9" customFormat="1" ht="21.95" customHeight="1" x14ac:dyDescent="0.15"/>
    <row r="60397" s="9" customFormat="1" ht="21.95" customHeight="1" x14ac:dyDescent="0.15"/>
    <row r="60398" s="9" customFormat="1" ht="21.95" customHeight="1" x14ac:dyDescent="0.15"/>
    <row r="60399" s="9" customFormat="1" ht="21.95" customHeight="1" x14ac:dyDescent="0.15"/>
    <row r="60400" s="9" customFormat="1" ht="21.95" customHeight="1" x14ac:dyDescent="0.15"/>
    <row r="60401" spans="3:3" s="9" customFormat="1" ht="21.95" customHeight="1" x14ac:dyDescent="0.15"/>
    <row r="60402" spans="3:3" s="9" customFormat="1" ht="21.95" customHeight="1" x14ac:dyDescent="0.15"/>
    <row r="60403" spans="3:3" s="9" customFormat="1" ht="21.95" customHeight="1" x14ac:dyDescent="0.15"/>
    <row r="60404" spans="3:3" s="9" customFormat="1" ht="21.95" customHeight="1" x14ac:dyDescent="0.15"/>
    <row r="60405" spans="3:3" s="9" customFormat="1" ht="21.95" customHeight="1" x14ac:dyDescent="0.15"/>
    <row r="60406" spans="3:3" s="9" customFormat="1" ht="21.95" customHeight="1" x14ac:dyDescent="0.15"/>
    <row r="60407" spans="3:3" s="9" customFormat="1" ht="21.95" customHeight="1" x14ac:dyDescent="0.15"/>
    <row r="60408" spans="3:3" s="9" customFormat="1" ht="21.95" customHeight="1" x14ac:dyDescent="0.15"/>
    <row r="60409" spans="3:3" s="9" customFormat="1" ht="21.95" customHeight="1" x14ac:dyDescent="0.15"/>
    <row r="60410" spans="3:3" s="9" customFormat="1" ht="21.95" customHeight="1" x14ac:dyDescent="0.15"/>
    <row r="60411" spans="3:3" s="9" customFormat="1" ht="21.95" customHeight="1" x14ac:dyDescent="0.15"/>
    <row r="60412" spans="3:3" s="9" customFormat="1" ht="21.95" customHeight="1" x14ac:dyDescent="0.15"/>
    <row r="60413" spans="3:3" s="9" customFormat="1" ht="21.95" customHeight="1" x14ac:dyDescent="0.15"/>
    <row r="60414" spans="3:3" s="8" customFormat="1" ht="21.95" customHeight="1" x14ac:dyDescent="0.15"/>
    <row r="60415" spans="3:3" s="8" customFormat="1" ht="21.95" customHeight="1" x14ac:dyDescent="0.15"/>
    <row r="60416" spans="3:3" s="8" customFormat="1" ht="21.95" customHeight="1" x14ac:dyDescent="0.15">
      <c r="C60416" s="101"/>
    </row>
    <row r="60417" spans="3:3" s="8" customFormat="1" ht="21.95" customHeight="1" x14ac:dyDescent="0.15">
      <c r="C60417" s="101"/>
    </row>
    <row r="60418" spans="3:3" s="8" customFormat="1" ht="21.95" customHeight="1" x14ac:dyDescent="0.15"/>
    <row r="60419" spans="3:3" s="8" customFormat="1" ht="21.95" customHeight="1" x14ac:dyDescent="0.15"/>
    <row r="60420" spans="3:3" s="8" customFormat="1" ht="21.95" customHeight="1" x14ac:dyDescent="0.15"/>
    <row r="60421" spans="3:3" s="8" customFormat="1" ht="21.95" customHeight="1" x14ac:dyDescent="0.15"/>
    <row r="60422" spans="3:3" s="8" customFormat="1" ht="21.95" customHeight="1" x14ac:dyDescent="0.15"/>
    <row r="60423" spans="3:3" s="8" customFormat="1" ht="21.95" customHeight="1" x14ac:dyDescent="0.15"/>
    <row r="60424" spans="3:3" s="8" customFormat="1" ht="21.95" customHeight="1" x14ac:dyDescent="0.15"/>
    <row r="60425" spans="3:3" s="9" customFormat="1" ht="21.95" customHeight="1" x14ac:dyDescent="0.15"/>
    <row r="60426" spans="3:3" s="9" customFormat="1" ht="21.95" customHeight="1" x14ac:dyDescent="0.15"/>
    <row r="60427" spans="3:3" s="9" customFormat="1" ht="21.95" customHeight="1" x14ac:dyDescent="0.15"/>
    <row r="60428" spans="3:3" s="9" customFormat="1" ht="21.95" customHeight="1" x14ac:dyDescent="0.15"/>
    <row r="60429" spans="3:3" s="8" customFormat="1" ht="21.95" customHeight="1" x14ac:dyDescent="0.15"/>
    <row r="60430" spans="3:3" s="8" customFormat="1" ht="21.95" customHeight="1" x14ac:dyDescent="0.15"/>
    <row r="60431" spans="3:3" s="8" customFormat="1" ht="21.95" customHeight="1" x14ac:dyDescent="0.15"/>
    <row r="60432" spans="3:3" s="8" customFormat="1" ht="21.95" customHeight="1" x14ac:dyDescent="0.15"/>
    <row r="60433" s="8" customFormat="1" ht="21.95" customHeight="1" x14ac:dyDescent="0.15"/>
    <row r="60434" s="8" customFormat="1" ht="21.95" customHeight="1" x14ac:dyDescent="0.15"/>
    <row r="60435" s="8" customFormat="1" ht="21.95" customHeight="1" x14ac:dyDescent="0.15"/>
    <row r="60436" s="8" customFormat="1" ht="21.95" customHeight="1" x14ac:dyDescent="0.15"/>
    <row r="60437" s="8" customFormat="1" ht="21.95" customHeight="1" x14ac:dyDescent="0.15"/>
    <row r="60438" s="8" customFormat="1" ht="21.95" customHeight="1" x14ac:dyDescent="0.15"/>
    <row r="60439" s="8" customFormat="1" ht="21.95" customHeight="1" x14ac:dyDescent="0.15"/>
    <row r="60440" s="8" customFormat="1" ht="32.1" customHeight="1" x14ac:dyDescent="0.15"/>
    <row r="60441" s="8" customFormat="1" ht="32.1" customHeight="1" x14ac:dyDescent="0.15"/>
    <row r="60442" s="8" customFormat="1" ht="32.1" customHeight="1" x14ac:dyDescent="0.15"/>
    <row r="60443" s="8" customFormat="1" ht="32.1" customHeight="1" x14ac:dyDescent="0.15"/>
    <row r="60444" s="8" customFormat="1" ht="32.1" customHeight="1" x14ac:dyDescent="0.15"/>
    <row r="60445" s="8" customFormat="1" ht="32.1" customHeight="1" x14ac:dyDescent="0.15"/>
    <row r="60446" s="9" customFormat="1" ht="32.1" customHeight="1" x14ac:dyDescent="0.15"/>
    <row r="60447" s="9" customFormat="1" ht="32.1" customHeight="1" x14ac:dyDescent="0.15"/>
    <row r="60448" s="9" customFormat="1" ht="32.1" customHeight="1" x14ac:dyDescent="0.15"/>
    <row r="60449" s="9" customFormat="1" ht="32.1" customHeight="1" x14ac:dyDescent="0.15"/>
    <row r="60450" s="9" customFormat="1" ht="21.95" customHeight="1" x14ac:dyDescent="0.15"/>
    <row r="60451" s="9" customFormat="1" ht="54" customHeight="1" x14ac:dyDescent="0.15"/>
    <row r="60452" s="9" customFormat="1" ht="21.95" customHeight="1" x14ac:dyDescent="0.15"/>
    <row r="60453" s="9" customFormat="1" ht="21.95" customHeight="1" x14ac:dyDescent="0.15"/>
    <row r="60454" s="9" customFormat="1" ht="21.95" customHeight="1" x14ac:dyDescent="0.15"/>
    <row r="60455" s="9" customFormat="1" ht="21.95" customHeight="1" x14ac:dyDescent="0.15"/>
    <row r="60456" s="9" customFormat="1" ht="21.95" customHeight="1" x14ac:dyDescent="0.15"/>
    <row r="60457" s="9" customFormat="1" ht="21.95" customHeight="1" x14ac:dyDescent="0.15"/>
    <row r="60458" s="9" customFormat="1" ht="21.95" customHeight="1" x14ac:dyDescent="0.15"/>
    <row r="60459" s="9" customFormat="1" ht="21.95" customHeight="1" x14ac:dyDescent="0.15"/>
    <row r="60460" s="9" customFormat="1" ht="21.95" customHeight="1" x14ac:dyDescent="0.15"/>
    <row r="60461" s="9" customFormat="1" ht="21.95" customHeight="1" x14ac:dyDescent="0.15"/>
    <row r="60462" s="9" customFormat="1" ht="21.95" customHeight="1" x14ac:dyDescent="0.15"/>
    <row r="60463" s="9" customFormat="1" ht="21.95" customHeight="1" x14ac:dyDescent="0.15"/>
    <row r="60464" s="9" customFormat="1" ht="21.95" customHeight="1" x14ac:dyDescent="0.15"/>
    <row r="60465" s="9" customFormat="1" ht="21.95" customHeight="1" x14ac:dyDescent="0.15"/>
    <row r="60466" s="9" customFormat="1" ht="21.95" customHeight="1" x14ac:dyDescent="0.15"/>
    <row r="60467" s="9" customFormat="1" ht="21.95" customHeight="1" x14ac:dyDescent="0.15"/>
    <row r="60468" s="9" customFormat="1" ht="21.95" customHeight="1" x14ac:dyDescent="0.15"/>
    <row r="60469" s="9" customFormat="1" ht="21.95" customHeight="1" x14ac:dyDescent="0.15"/>
    <row r="60470" s="9" customFormat="1" ht="21.95" customHeight="1" x14ac:dyDescent="0.15"/>
    <row r="60471" s="9" customFormat="1" ht="21.95" customHeight="1" x14ac:dyDescent="0.15"/>
    <row r="60472" s="9" customFormat="1" ht="21.95" customHeight="1" x14ac:dyDescent="0.15"/>
    <row r="60473" s="9" customFormat="1" ht="21.95" customHeight="1" x14ac:dyDescent="0.15"/>
    <row r="60474" s="9" customFormat="1" ht="21.95" customHeight="1" x14ac:dyDescent="0.15"/>
    <row r="60475" s="9" customFormat="1" ht="21.95" customHeight="1" x14ac:dyDescent="0.15"/>
    <row r="60476" s="9" customFormat="1" ht="21.95" customHeight="1" x14ac:dyDescent="0.15"/>
    <row r="60477" s="9" customFormat="1" ht="21.95" customHeight="1" x14ac:dyDescent="0.15"/>
    <row r="60478" s="9" customFormat="1" ht="21.95" customHeight="1" x14ac:dyDescent="0.15"/>
    <row r="60479" s="9" customFormat="1" ht="21.95" customHeight="1" x14ac:dyDescent="0.15"/>
    <row r="60480" s="9" customFormat="1" ht="21.95" customHeight="1" x14ac:dyDescent="0.15"/>
    <row r="60481" s="9" customFormat="1" ht="21.95" customHeight="1" x14ac:dyDescent="0.15"/>
    <row r="60482" s="9" customFormat="1" ht="21.95" customHeight="1" x14ac:dyDescent="0.15"/>
    <row r="60483" s="9" customFormat="1" ht="21.95" customHeight="1" x14ac:dyDescent="0.15"/>
    <row r="60484" s="9" customFormat="1" ht="21.95" customHeight="1" x14ac:dyDescent="0.15"/>
    <row r="60485" s="9" customFormat="1" ht="21.95" customHeight="1" x14ac:dyDescent="0.15"/>
    <row r="60486" s="9" customFormat="1" ht="21.95" customHeight="1" x14ac:dyDescent="0.15"/>
    <row r="60487" s="9" customFormat="1" ht="21.95" customHeight="1" x14ac:dyDescent="0.15"/>
    <row r="60488" s="9" customFormat="1" ht="21.95" customHeight="1" x14ac:dyDescent="0.15"/>
    <row r="60489" s="9" customFormat="1" ht="21.95" customHeight="1" x14ac:dyDescent="0.15"/>
    <row r="60490" s="9" customFormat="1" ht="21.95" customHeight="1" x14ac:dyDescent="0.15"/>
    <row r="60491" s="9" customFormat="1" ht="21.95" customHeight="1" x14ac:dyDescent="0.15"/>
    <row r="60492" s="9" customFormat="1" ht="21.95" customHeight="1" x14ac:dyDescent="0.15"/>
    <row r="60493" s="9" customFormat="1" ht="21.95" customHeight="1" x14ac:dyDescent="0.15"/>
    <row r="60494" s="9" customFormat="1" ht="21.95" customHeight="1" x14ac:dyDescent="0.15"/>
    <row r="60495" s="9" customFormat="1" ht="21.95" customHeight="1" x14ac:dyDescent="0.15"/>
    <row r="60496" s="9" customFormat="1" ht="21.95" customHeight="1" x14ac:dyDescent="0.15"/>
    <row r="60497" s="9" customFormat="1" ht="21.95" customHeight="1" x14ac:dyDescent="0.15"/>
    <row r="60498" s="9" customFormat="1" ht="21.95" customHeight="1" x14ac:dyDescent="0.15"/>
    <row r="60499" s="9" customFormat="1" ht="21.95" customHeight="1" x14ac:dyDescent="0.15"/>
    <row r="60500" s="9" customFormat="1" ht="21.95" customHeight="1" x14ac:dyDescent="0.15"/>
    <row r="60501" s="9" customFormat="1" ht="21.95" customHeight="1" x14ac:dyDescent="0.15"/>
    <row r="60502" s="9" customFormat="1" ht="35.1" customHeight="1" x14ac:dyDescent="0.15"/>
    <row r="60503" s="9" customFormat="1" ht="21.95" customHeight="1" x14ac:dyDescent="0.15"/>
    <row r="60504" s="9" customFormat="1" ht="21.95" customHeight="1" x14ac:dyDescent="0.15"/>
    <row r="60505" s="9" customFormat="1" ht="21.95" customHeight="1" x14ac:dyDescent="0.15"/>
    <row r="60506" s="9" customFormat="1" ht="21.95" customHeight="1" x14ac:dyDescent="0.15"/>
    <row r="60507" s="9" customFormat="1" ht="21.95" customHeight="1" x14ac:dyDescent="0.15"/>
    <row r="60508" s="9" customFormat="1" ht="21.95" customHeight="1" x14ac:dyDescent="0.15"/>
    <row r="60509" s="9" customFormat="1" ht="21.95" customHeight="1" x14ac:dyDescent="0.15"/>
    <row r="60510" s="9" customFormat="1" ht="21.95" customHeight="1" x14ac:dyDescent="0.15"/>
    <row r="60511" s="9" customFormat="1" ht="21.95" customHeight="1" x14ac:dyDescent="0.15"/>
    <row r="60512" s="9" customFormat="1" ht="21.95" customHeight="1" x14ac:dyDescent="0.15"/>
    <row r="60513" spans="3:3" s="9" customFormat="1" ht="21.95" customHeight="1" x14ac:dyDescent="0.15"/>
    <row r="60514" spans="3:3" s="9" customFormat="1" ht="21.95" customHeight="1" x14ac:dyDescent="0.15"/>
    <row r="60515" spans="3:3" s="9" customFormat="1" ht="21.95" customHeight="1" x14ac:dyDescent="0.15"/>
    <row r="60516" spans="3:3" s="9" customFormat="1" ht="21.95" customHeight="1" x14ac:dyDescent="0.15"/>
    <row r="60517" spans="3:3" s="9" customFormat="1" ht="21.95" customHeight="1" x14ac:dyDescent="0.15"/>
    <row r="60518" spans="3:3" s="9" customFormat="1" ht="21.95" customHeight="1" x14ac:dyDescent="0.15"/>
    <row r="60519" spans="3:3" s="9" customFormat="1" ht="21.95" customHeight="1" x14ac:dyDescent="0.15"/>
    <row r="60520" spans="3:3" s="9" customFormat="1" ht="21.95" customHeight="1" x14ac:dyDescent="0.15"/>
    <row r="60521" spans="3:3" s="9" customFormat="1" ht="21.95" customHeight="1" x14ac:dyDescent="0.15"/>
    <row r="60522" spans="3:3" s="9" customFormat="1" ht="21.95" customHeight="1" x14ac:dyDescent="0.15"/>
    <row r="60523" spans="3:3" s="9" customFormat="1" ht="21.95" customHeight="1" x14ac:dyDescent="0.15"/>
    <row r="60524" spans="3:3" s="9" customFormat="1" ht="21.95" customHeight="1" x14ac:dyDescent="0.15"/>
    <row r="60525" spans="3:3" s="9" customFormat="1" ht="21.95" customHeight="1" x14ac:dyDescent="0.15"/>
    <row r="60526" spans="3:3" s="8" customFormat="1" ht="21.95" customHeight="1" x14ac:dyDescent="0.15"/>
    <row r="60527" spans="3:3" s="8" customFormat="1" ht="21.95" customHeight="1" x14ac:dyDescent="0.15"/>
    <row r="60528" spans="3:3" s="8" customFormat="1" ht="21.95" customHeight="1" x14ac:dyDescent="0.15">
      <c r="C60528" s="101"/>
    </row>
    <row r="60529" spans="3:3" s="8" customFormat="1" ht="21.95" customHeight="1" x14ac:dyDescent="0.15">
      <c r="C60529" s="101"/>
    </row>
    <row r="60530" spans="3:3" s="8" customFormat="1" ht="21.95" customHeight="1" x14ac:dyDescent="0.15"/>
    <row r="60531" spans="3:3" s="8" customFormat="1" ht="21.95" customHeight="1" x14ac:dyDescent="0.15"/>
    <row r="60532" spans="3:3" s="8" customFormat="1" ht="21.95" customHeight="1" x14ac:dyDescent="0.15"/>
    <row r="60533" spans="3:3" s="8" customFormat="1" ht="21.95" customHeight="1" x14ac:dyDescent="0.15"/>
    <row r="60534" spans="3:3" s="8" customFormat="1" ht="21.95" customHeight="1" x14ac:dyDescent="0.15"/>
    <row r="60535" spans="3:3" s="8" customFormat="1" ht="21.95" customHeight="1" x14ac:dyDescent="0.15"/>
    <row r="60536" spans="3:3" s="8" customFormat="1" ht="21.95" customHeight="1" x14ac:dyDescent="0.15"/>
    <row r="60537" spans="3:3" s="9" customFormat="1" ht="21.95" customHeight="1" x14ac:dyDescent="0.15"/>
    <row r="60538" spans="3:3" s="9" customFormat="1" ht="21.95" customHeight="1" x14ac:dyDescent="0.15"/>
    <row r="60539" spans="3:3" s="9" customFormat="1" ht="21.95" customHeight="1" x14ac:dyDescent="0.15"/>
    <row r="60540" spans="3:3" s="9" customFormat="1" ht="21.95" customHeight="1" x14ac:dyDescent="0.15"/>
    <row r="60541" spans="3:3" s="8" customFormat="1" ht="21.95" customHeight="1" x14ac:dyDescent="0.15"/>
    <row r="60542" spans="3:3" s="8" customFormat="1" ht="21.95" customHeight="1" x14ac:dyDescent="0.15"/>
    <row r="60543" spans="3:3" s="8" customFormat="1" ht="21.95" customHeight="1" x14ac:dyDescent="0.15"/>
    <row r="60544" spans="3:3" s="8" customFormat="1" ht="21.95" customHeight="1" x14ac:dyDescent="0.15"/>
    <row r="60545" s="8" customFormat="1" ht="21.95" customHeight="1" x14ac:dyDescent="0.15"/>
    <row r="60546" s="8" customFormat="1" ht="21.95" customHeight="1" x14ac:dyDescent="0.15"/>
    <row r="60547" s="8" customFormat="1" ht="21.95" customHeight="1" x14ac:dyDescent="0.15"/>
    <row r="60548" s="8" customFormat="1" ht="21.95" customHeight="1" x14ac:dyDescent="0.15"/>
    <row r="60549" s="8" customFormat="1" ht="21.95" customHeight="1" x14ac:dyDescent="0.15"/>
    <row r="60550" s="8" customFormat="1" ht="21.95" customHeight="1" x14ac:dyDescent="0.15"/>
    <row r="60551" s="8" customFormat="1" ht="21.95" customHeight="1" x14ac:dyDescent="0.15"/>
    <row r="60552" s="8" customFormat="1" ht="32.1" customHeight="1" x14ac:dyDescent="0.15"/>
    <row r="60553" s="8" customFormat="1" ht="32.1" customHeight="1" x14ac:dyDescent="0.15"/>
    <row r="60554" s="8" customFormat="1" ht="32.1" customHeight="1" x14ac:dyDescent="0.15"/>
    <row r="60555" s="8" customFormat="1" ht="32.1" customHeight="1" x14ac:dyDescent="0.15"/>
    <row r="60556" s="8" customFormat="1" ht="32.1" customHeight="1" x14ac:dyDescent="0.15"/>
    <row r="60557" s="8" customFormat="1" ht="32.1" customHeight="1" x14ac:dyDescent="0.15"/>
    <row r="60558" s="9" customFormat="1" ht="32.1" customHeight="1" x14ac:dyDescent="0.15"/>
    <row r="60559" s="9" customFormat="1" ht="32.1" customHeight="1" x14ac:dyDescent="0.15"/>
    <row r="60560" s="9" customFormat="1" ht="32.1" customHeight="1" x14ac:dyDescent="0.15"/>
    <row r="60561" s="9" customFormat="1" ht="32.1" customHeight="1" x14ac:dyDescent="0.15"/>
    <row r="60562" s="9" customFormat="1" ht="21.95" customHeight="1" x14ac:dyDescent="0.15"/>
    <row r="60563" s="9" customFormat="1" ht="54" customHeight="1" x14ac:dyDescent="0.15"/>
    <row r="60564" s="9" customFormat="1" ht="21.95" customHeight="1" x14ac:dyDescent="0.15"/>
    <row r="60565" s="9" customFormat="1" ht="21.95" customHeight="1" x14ac:dyDescent="0.15"/>
    <row r="60566" s="9" customFormat="1" ht="21.95" customHeight="1" x14ac:dyDescent="0.15"/>
    <row r="60567" s="9" customFormat="1" ht="21.95" customHeight="1" x14ac:dyDescent="0.15"/>
    <row r="60568" s="9" customFormat="1" ht="21.95" customHeight="1" x14ac:dyDescent="0.15"/>
    <row r="60569" s="9" customFormat="1" ht="21.95" customHeight="1" x14ac:dyDescent="0.15"/>
    <row r="60570" s="9" customFormat="1" ht="21.95" customHeight="1" x14ac:dyDescent="0.15"/>
    <row r="60571" s="9" customFormat="1" ht="21.95" customHeight="1" x14ac:dyDescent="0.15"/>
    <row r="60572" s="9" customFormat="1" ht="21.95" customHeight="1" x14ac:dyDescent="0.15"/>
    <row r="60573" s="9" customFormat="1" ht="21.95" customHeight="1" x14ac:dyDescent="0.15"/>
    <row r="60574" s="9" customFormat="1" ht="21.95" customHeight="1" x14ac:dyDescent="0.15"/>
    <row r="60575" s="9" customFormat="1" ht="21.95" customHeight="1" x14ac:dyDescent="0.15"/>
    <row r="60576" s="9" customFormat="1" ht="21.95" customHeight="1" x14ac:dyDescent="0.15"/>
    <row r="60577" s="9" customFormat="1" ht="21.95" customHeight="1" x14ac:dyDescent="0.15"/>
    <row r="60578" s="9" customFormat="1" ht="21.95" customHeight="1" x14ac:dyDescent="0.15"/>
    <row r="60579" s="9" customFormat="1" ht="21.95" customHeight="1" x14ac:dyDescent="0.15"/>
    <row r="60580" s="9" customFormat="1" ht="21.95" customHeight="1" x14ac:dyDescent="0.15"/>
    <row r="60581" s="9" customFormat="1" ht="21.95" customHeight="1" x14ac:dyDescent="0.15"/>
    <row r="60582" s="9" customFormat="1" ht="21.95" customHeight="1" x14ac:dyDescent="0.15"/>
    <row r="60583" s="9" customFormat="1" ht="21.95" customHeight="1" x14ac:dyDescent="0.15"/>
    <row r="60584" s="9" customFormat="1" ht="21.95" customHeight="1" x14ac:dyDescent="0.15"/>
    <row r="60585" s="9" customFormat="1" ht="21.95" customHeight="1" x14ac:dyDescent="0.15"/>
    <row r="60586" s="9" customFormat="1" ht="21.95" customHeight="1" x14ac:dyDescent="0.15"/>
    <row r="60587" s="9" customFormat="1" ht="21.95" customHeight="1" x14ac:dyDescent="0.15"/>
    <row r="60588" s="9" customFormat="1" ht="21.95" customHeight="1" x14ac:dyDescent="0.15"/>
    <row r="60589" s="9" customFormat="1" ht="21.95" customHeight="1" x14ac:dyDescent="0.15"/>
    <row r="60590" s="9" customFormat="1" ht="21.95" customHeight="1" x14ac:dyDescent="0.15"/>
    <row r="60591" s="9" customFormat="1" ht="21.95" customHeight="1" x14ac:dyDescent="0.15"/>
    <row r="60592" s="9" customFormat="1" ht="21.95" customHeight="1" x14ac:dyDescent="0.15"/>
    <row r="60593" s="9" customFormat="1" ht="21.95" customHeight="1" x14ac:dyDescent="0.15"/>
    <row r="60594" s="9" customFormat="1" ht="21.95" customHeight="1" x14ac:dyDescent="0.15"/>
    <row r="60595" s="9" customFormat="1" ht="21.95" customHeight="1" x14ac:dyDescent="0.15"/>
    <row r="60596" s="9" customFormat="1" ht="21.95" customHeight="1" x14ac:dyDescent="0.15"/>
    <row r="60597" s="9" customFormat="1" ht="21.95" customHeight="1" x14ac:dyDescent="0.15"/>
    <row r="60598" s="9" customFormat="1" ht="21.95" customHeight="1" x14ac:dyDescent="0.15"/>
    <row r="60599" s="9" customFormat="1" ht="21.95" customHeight="1" x14ac:dyDescent="0.15"/>
    <row r="60600" s="9" customFormat="1" ht="21.95" customHeight="1" x14ac:dyDescent="0.15"/>
    <row r="60601" s="9" customFormat="1" ht="21.95" customHeight="1" x14ac:dyDescent="0.15"/>
    <row r="60602" s="9" customFormat="1" ht="21.95" customHeight="1" x14ac:dyDescent="0.15"/>
    <row r="60603" s="9" customFormat="1" ht="21.95" customHeight="1" x14ac:dyDescent="0.15"/>
    <row r="60604" s="9" customFormat="1" ht="21.95" customHeight="1" x14ac:dyDescent="0.15"/>
    <row r="60605" s="9" customFormat="1" ht="21.95" customHeight="1" x14ac:dyDescent="0.15"/>
    <row r="60606" s="9" customFormat="1" ht="21.95" customHeight="1" x14ac:dyDescent="0.15"/>
    <row r="60607" s="9" customFormat="1" ht="21.95" customHeight="1" x14ac:dyDescent="0.15"/>
    <row r="60608" s="9" customFormat="1" ht="21.95" customHeight="1" x14ac:dyDescent="0.15"/>
    <row r="60609" s="9" customFormat="1" ht="21.95" customHeight="1" x14ac:dyDescent="0.15"/>
    <row r="60610" s="9" customFormat="1" ht="21.95" customHeight="1" x14ac:dyDescent="0.15"/>
    <row r="60611" s="9" customFormat="1" ht="21.95" customHeight="1" x14ac:dyDescent="0.15"/>
    <row r="60612" s="9" customFormat="1" ht="21.95" customHeight="1" x14ac:dyDescent="0.15"/>
    <row r="60613" s="9" customFormat="1" ht="21.95" customHeight="1" x14ac:dyDescent="0.15"/>
    <row r="60614" s="9" customFormat="1" ht="35.1" customHeight="1" x14ac:dyDescent="0.15"/>
    <row r="60615" s="9" customFormat="1" ht="21.95" customHeight="1" x14ac:dyDescent="0.15"/>
    <row r="60616" s="9" customFormat="1" ht="21.95" customHeight="1" x14ac:dyDescent="0.15"/>
    <row r="60617" s="9" customFormat="1" ht="21.95" customHeight="1" x14ac:dyDescent="0.15"/>
    <row r="60618" s="9" customFormat="1" ht="21.95" customHeight="1" x14ac:dyDescent="0.15"/>
    <row r="60619" s="9" customFormat="1" ht="21.95" customHeight="1" x14ac:dyDescent="0.15"/>
    <row r="60620" s="9" customFormat="1" ht="21.95" customHeight="1" x14ac:dyDescent="0.15"/>
    <row r="60621" s="9" customFormat="1" ht="21.95" customHeight="1" x14ac:dyDescent="0.15"/>
    <row r="60622" s="9" customFormat="1" ht="21.95" customHeight="1" x14ac:dyDescent="0.15"/>
    <row r="60623" s="9" customFormat="1" ht="21.95" customHeight="1" x14ac:dyDescent="0.15"/>
    <row r="60624" s="9" customFormat="1" ht="21.95" customHeight="1" x14ac:dyDescent="0.15"/>
    <row r="60625" spans="3:3" s="9" customFormat="1" ht="21.95" customHeight="1" x14ac:dyDescent="0.15"/>
    <row r="60626" spans="3:3" s="9" customFormat="1" ht="21.95" customHeight="1" x14ac:dyDescent="0.15"/>
    <row r="60627" spans="3:3" s="9" customFormat="1" ht="21.95" customHeight="1" x14ac:dyDescent="0.15"/>
    <row r="60628" spans="3:3" s="9" customFormat="1" ht="21.95" customHeight="1" x14ac:dyDescent="0.15"/>
    <row r="60629" spans="3:3" s="9" customFormat="1" ht="21.95" customHeight="1" x14ac:dyDescent="0.15"/>
    <row r="60630" spans="3:3" s="9" customFormat="1" ht="21.95" customHeight="1" x14ac:dyDescent="0.15"/>
    <row r="60631" spans="3:3" s="9" customFormat="1" ht="21.95" customHeight="1" x14ac:dyDescent="0.15"/>
    <row r="60632" spans="3:3" s="9" customFormat="1" ht="21.95" customHeight="1" x14ac:dyDescent="0.15"/>
    <row r="60633" spans="3:3" s="9" customFormat="1" ht="21.95" customHeight="1" x14ac:dyDescent="0.15"/>
    <row r="60634" spans="3:3" s="9" customFormat="1" ht="21.95" customHeight="1" x14ac:dyDescent="0.15"/>
    <row r="60635" spans="3:3" s="9" customFormat="1" ht="21.95" customHeight="1" x14ac:dyDescent="0.15"/>
    <row r="60636" spans="3:3" s="9" customFormat="1" ht="21.95" customHeight="1" x14ac:dyDescent="0.15"/>
    <row r="60637" spans="3:3" s="9" customFormat="1" ht="21.95" customHeight="1" x14ac:dyDescent="0.15"/>
    <row r="60638" spans="3:3" s="8" customFormat="1" ht="21.95" customHeight="1" x14ac:dyDescent="0.15"/>
    <row r="60639" spans="3:3" s="8" customFormat="1" ht="21.95" customHeight="1" x14ac:dyDescent="0.15"/>
    <row r="60640" spans="3:3" s="8" customFormat="1" ht="21.95" customHeight="1" x14ac:dyDescent="0.15">
      <c r="C60640" s="101"/>
    </row>
    <row r="60641" spans="3:3" s="8" customFormat="1" ht="21.95" customHeight="1" x14ac:dyDescent="0.15">
      <c r="C60641" s="101"/>
    </row>
    <row r="60642" spans="3:3" s="8" customFormat="1" ht="21.95" customHeight="1" x14ac:dyDescent="0.15"/>
    <row r="60643" spans="3:3" s="8" customFormat="1" ht="21.95" customHeight="1" x14ac:dyDescent="0.15"/>
    <row r="60644" spans="3:3" s="8" customFormat="1" ht="21.95" customHeight="1" x14ac:dyDescent="0.15"/>
    <row r="60645" spans="3:3" s="8" customFormat="1" ht="21.95" customHeight="1" x14ac:dyDescent="0.15"/>
    <row r="60646" spans="3:3" s="8" customFormat="1" ht="21.95" customHeight="1" x14ac:dyDescent="0.15"/>
    <row r="60647" spans="3:3" s="8" customFormat="1" ht="21.95" customHeight="1" x14ac:dyDescent="0.15"/>
    <row r="60648" spans="3:3" s="8" customFormat="1" ht="21.95" customHeight="1" x14ac:dyDescent="0.15"/>
    <row r="60649" spans="3:3" s="9" customFormat="1" ht="21.95" customHeight="1" x14ac:dyDescent="0.15"/>
    <row r="60650" spans="3:3" s="9" customFormat="1" ht="21.95" customHeight="1" x14ac:dyDescent="0.15"/>
    <row r="60651" spans="3:3" s="9" customFormat="1" ht="21.95" customHeight="1" x14ac:dyDescent="0.15"/>
    <row r="60652" spans="3:3" s="9" customFormat="1" ht="21.95" customHeight="1" x14ac:dyDescent="0.15"/>
    <row r="60653" spans="3:3" s="8" customFormat="1" ht="21.95" customHeight="1" x14ac:dyDescent="0.15"/>
    <row r="60654" spans="3:3" s="8" customFormat="1" ht="21.95" customHeight="1" x14ac:dyDescent="0.15"/>
    <row r="60655" spans="3:3" s="8" customFormat="1" ht="21.95" customHeight="1" x14ac:dyDescent="0.15"/>
    <row r="60656" spans="3:3" s="8" customFormat="1" ht="21.95" customHeight="1" x14ac:dyDescent="0.15"/>
    <row r="60657" s="8" customFormat="1" ht="21.95" customHeight="1" x14ac:dyDescent="0.15"/>
    <row r="60658" s="8" customFormat="1" ht="21.95" customHeight="1" x14ac:dyDescent="0.15"/>
    <row r="60659" s="8" customFormat="1" ht="21.95" customHeight="1" x14ac:dyDescent="0.15"/>
    <row r="60660" s="8" customFormat="1" ht="21.95" customHeight="1" x14ac:dyDescent="0.15"/>
    <row r="60661" s="8" customFormat="1" ht="21.95" customHeight="1" x14ac:dyDescent="0.15"/>
    <row r="60662" s="8" customFormat="1" ht="21.95" customHeight="1" x14ac:dyDescent="0.15"/>
    <row r="60663" s="8" customFormat="1" ht="21.95" customHeight="1" x14ac:dyDescent="0.15"/>
    <row r="60664" s="8" customFormat="1" ht="32.1" customHeight="1" x14ac:dyDescent="0.15"/>
    <row r="60665" s="8" customFormat="1" ht="32.1" customHeight="1" x14ac:dyDescent="0.15"/>
    <row r="60666" s="8" customFormat="1" ht="32.1" customHeight="1" x14ac:dyDescent="0.15"/>
    <row r="60667" s="8" customFormat="1" ht="32.1" customHeight="1" x14ac:dyDescent="0.15"/>
    <row r="60668" s="8" customFormat="1" ht="32.1" customHeight="1" x14ac:dyDescent="0.15"/>
    <row r="60669" s="8" customFormat="1" ht="32.1" customHeight="1" x14ac:dyDescent="0.15"/>
    <row r="60670" s="9" customFormat="1" ht="32.1" customHeight="1" x14ac:dyDescent="0.15"/>
    <row r="60671" s="9" customFormat="1" ht="32.1" customHeight="1" x14ac:dyDescent="0.15"/>
    <row r="60672" s="9" customFormat="1" ht="32.1" customHeight="1" x14ac:dyDescent="0.15"/>
    <row r="60673" s="9" customFormat="1" ht="32.1" customHeight="1" x14ac:dyDescent="0.15"/>
    <row r="60674" s="9" customFormat="1" ht="21.95" customHeight="1" x14ac:dyDescent="0.15"/>
    <row r="60675" s="9" customFormat="1" ht="54" customHeight="1" x14ac:dyDescent="0.15"/>
    <row r="60676" s="9" customFormat="1" ht="21.95" customHeight="1" x14ac:dyDescent="0.15"/>
    <row r="60677" s="9" customFormat="1" ht="21.95" customHeight="1" x14ac:dyDescent="0.15"/>
    <row r="60678" s="9" customFormat="1" ht="21.95" customHeight="1" x14ac:dyDescent="0.15"/>
    <row r="60679" s="9" customFormat="1" ht="21.95" customHeight="1" x14ac:dyDescent="0.15"/>
    <row r="60680" s="9" customFormat="1" ht="21.95" customHeight="1" x14ac:dyDescent="0.15"/>
    <row r="60681" s="9" customFormat="1" ht="21.95" customHeight="1" x14ac:dyDescent="0.15"/>
    <row r="60682" s="9" customFormat="1" ht="21.95" customHeight="1" x14ac:dyDescent="0.15"/>
    <row r="60683" s="9" customFormat="1" ht="21.95" customHeight="1" x14ac:dyDescent="0.15"/>
    <row r="60684" s="9" customFormat="1" ht="21.95" customHeight="1" x14ac:dyDescent="0.15"/>
    <row r="60685" s="9" customFormat="1" ht="21.95" customHeight="1" x14ac:dyDescent="0.15"/>
    <row r="60686" s="9" customFormat="1" ht="21.95" customHeight="1" x14ac:dyDescent="0.15"/>
    <row r="60687" s="9" customFormat="1" ht="21.95" customHeight="1" x14ac:dyDescent="0.15"/>
    <row r="60688" s="9" customFormat="1" ht="21.95" customHeight="1" x14ac:dyDescent="0.15"/>
    <row r="60689" s="9" customFormat="1" ht="21.95" customHeight="1" x14ac:dyDescent="0.15"/>
    <row r="60690" s="9" customFormat="1" ht="21.95" customHeight="1" x14ac:dyDescent="0.15"/>
    <row r="60691" s="9" customFormat="1" ht="21.95" customHeight="1" x14ac:dyDescent="0.15"/>
    <row r="60692" s="9" customFormat="1" ht="21.95" customHeight="1" x14ac:dyDescent="0.15"/>
    <row r="60693" s="9" customFormat="1" ht="21.95" customHeight="1" x14ac:dyDescent="0.15"/>
    <row r="60694" s="9" customFormat="1" ht="21.95" customHeight="1" x14ac:dyDescent="0.15"/>
    <row r="60695" s="9" customFormat="1" ht="21.95" customHeight="1" x14ac:dyDescent="0.15"/>
    <row r="60696" s="9" customFormat="1" ht="21.95" customHeight="1" x14ac:dyDescent="0.15"/>
    <row r="60697" s="9" customFormat="1" ht="21.95" customHeight="1" x14ac:dyDescent="0.15"/>
    <row r="60698" s="9" customFormat="1" ht="21.95" customHeight="1" x14ac:dyDescent="0.15"/>
    <row r="60699" s="9" customFormat="1" ht="21.95" customHeight="1" x14ac:dyDescent="0.15"/>
    <row r="60700" s="9" customFormat="1" ht="21.95" customHeight="1" x14ac:dyDescent="0.15"/>
    <row r="60701" s="9" customFormat="1" ht="21.95" customHeight="1" x14ac:dyDescent="0.15"/>
    <row r="60702" s="9" customFormat="1" ht="21.95" customHeight="1" x14ac:dyDescent="0.15"/>
    <row r="60703" s="9" customFormat="1" ht="21.95" customHeight="1" x14ac:dyDescent="0.15"/>
    <row r="60704" s="9" customFormat="1" ht="21.95" customHeight="1" x14ac:dyDescent="0.15"/>
    <row r="60705" s="9" customFormat="1" ht="21.95" customHeight="1" x14ac:dyDescent="0.15"/>
    <row r="60706" s="9" customFormat="1" ht="21.95" customHeight="1" x14ac:dyDescent="0.15"/>
    <row r="60707" s="9" customFormat="1" ht="21.95" customHeight="1" x14ac:dyDescent="0.15"/>
    <row r="60708" s="9" customFormat="1" ht="21.95" customHeight="1" x14ac:dyDescent="0.15"/>
    <row r="60709" s="9" customFormat="1" ht="21.95" customHeight="1" x14ac:dyDescent="0.15"/>
    <row r="60710" s="9" customFormat="1" ht="21.95" customHeight="1" x14ac:dyDescent="0.15"/>
    <row r="60711" s="9" customFormat="1" ht="21.95" customHeight="1" x14ac:dyDescent="0.15"/>
    <row r="60712" s="9" customFormat="1" ht="21.95" customHeight="1" x14ac:dyDescent="0.15"/>
    <row r="60713" s="9" customFormat="1" ht="21.95" customHeight="1" x14ac:dyDescent="0.15"/>
    <row r="60714" s="9" customFormat="1" ht="21.95" customHeight="1" x14ac:dyDescent="0.15"/>
    <row r="60715" s="9" customFormat="1" ht="21.95" customHeight="1" x14ac:dyDescent="0.15"/>
    <row r="60716" s="9" customFormat="1" ht="21.95" customHeight="1" x14ac:dyDescent="0.15"/>
    <row r="60717" s="9" customFormat="1" ht="21.95" customHeight="1" x14ac:dyDescent="0.15"/>
    <row r="60718" s="9" customFormat="1" ht="21.95" customHeight="1" x14ac:dyDescent="0.15"/>
    <row r="60719" s="9" customFormat="1" ht="21.95" customHeight="1" x14ac:dyDescent="0.15"/>
    <row r="60720" s="9" customFormat="1" ht="21.95" customHeight="1" x14ac:dyDescent="0.15"/>
    <row r="60721" s="9" customFormat="1" ht="21.95" customHeight="1" x14ac:dyDescent="0.15"/>
    <row r="60722" s="9" customFormat="1" ht="21.95" customHeight="1" x14ac:dyDescent="0.15"/>
    <row r="60723" s="9" customFormat="1" ht="21.95" customHeight="1" x14ac:dyDescent="0.15"/>
    <row r="60724" s="9" customFormat="1" ht="21.95" customHeight="1" x14ac:dyDescent="0.15"/>
    <row r="60725" s="9" customFormat="1" ht="21.95" customHeight="1" x14ac:dyDescent="0.15"/>
    <row r="60726" s="9" customFormat="1" ht="35.1" customHeight="1" x14ac:dyDescent="0.15"/>
    <row r="60727" s="9" customFormat="1" ht="21.95" customHeight="1" x14ac:dyDescent="0.15"/>
    <row r="60728" s="9" customFormat="1" ht="21.95" customHeight="1" x14ac:dyDescent="0.15"/>
    <row r="60729" s="9" customFormat="1" ht="21.95" customHeight="1" x14ac:dyDescent="0.15"/>
    <row r="60730" s="9" customFormat="1" ht="21.95" customHeight="1" x14ac:dyDescent="0.15"/>
    <row r="60731" s="9" customFormat="1" ht="21.95" customHeight="1" x14ac:dyDescent="0.15"/>
    <row r="60732" s="9" customFormat="1" ht="21.95" customHeight="1" x14ac:dyDescent="0.15"/>
    <row r="60733" s="9" customFormat="1" ht="21.95" customHeight="1" x14ac:dyDescent="0.15"/>
    <row r="60734" s="9" customFormat="1" ht="21.95" customHeight="1" x14ac:dyDescent="0.15"/>
    <row r="60735" s="9" customFormat="1" ht="21.95" customHeight="1" x14ac:dyDescent="0.15"/>
    <row r="60736" s="9" customFormat="1" ht="21.95" customHeight="1" x14ac:dyDescent="0.15"/>
    <row r="60737" spans="3:3" s="9" customFormat="1" ht="21.95" customHeight="1" x14ac:dyDescent="0.15"/>
    <row r="60738" spans="3:3" s="9" customFormat="1" ht="21.95" customHeight="1" x14ac:dyDescent="0.15"/>
    <row r="60739" spans="3:3" s="9" customFormat="1" ht="21.95" customHeight="1" x14ac:dyDescent="0.15"/>
    <row r="60740" spans="3:3" s="9" customFormat="1" ht="21.95" customHeight="1" x14ac:dyDescent="0.15"/>
    <row r="60741" spans="3:3" s="9" customFormat="1" ht="21.95" customHeight="1" x14ac:dyDescent="0.15"/>
    <row r="60742" spans="3:3" s="9" customFormat="1" ht="21.95" customHeight="1" x14ac:dyDescent="0.15"/>
    <row r="60743" spans="3:3" s="9" customFormat="1" ht="21.95" customHeight="1" x14ac:dyDescent="0.15"/>
    <row r="60744" spans="3:3" s="9" customFormat="1" ht="21.95" customHeight="1" x14ac:dyDescent="0.15"/>
    <row r="60745" spans="3:3" s="9" customFormat="1" ht="21.95" customHeight="1" x14ac:dyDescent="0.15"/>
    <row r="60746" spans="3:3" s="9" customFormat="1" ht="21.95" customHeight="1" x14ac:dyDescent="0.15"/>
    <row r="60747" spans="3:3" s="9" customFormat="1" ht="21.95" customHeight="1" x14ac:dyDescent="0.15"/>
    <row r="60748" spans="3:3" s="9" customFormat="1" ht="21.95" customHeight="1" x14ac:dyDescent="0.15"/>
    <row r="60749" spans="3:3" s="9" customFormat="1" ht="21.95" customHeight="1" x14ac:dyDescent="0.15"/>
    <row r="60750" spans="3:3" s="8" customFormat="1" ht="21.95" customHeight="1" x14ac:dyDescent="0.15"/>
    <row r="60751" spans="3:3" s="8" customFormat="1" ht="21.95" customHeight="1" x14ac:dyDescent="0.15"/>
    <row r="60752" spans="3:3" s="8" customFormat="1" ht="21.95" customHeight="1" x14ac:dyDescent="0.15">
      <c r="C60752" s="101"/>
    </row>
    <row r="60753" spans="3:3" s="8" customFormat="1" ht="21.95" customHeight="1" x14ac:dyDescent="0.15">
      <c r="C60753" s="101"/>
    </row>
    <row r="60754" spans="3:3" s="8" customFormat="1" ht="21.95" customHeight="1" x14ac:dyDescent="0.15"/>
    <row r="60755" spans="3:3" s="8" customFormat="1" ht="21.95" customHeight="1" x14ac:dyDescent="0.15"/>
    <row r="60756" spans="3:3" s="8" customFormat="1" ht="21.95" customHeight="1" x14ac:dyDescent="0.15"/>
    <row r="60757" spans="3:3" s="8" customFormat="1" ht="21.95" customHeight="1" x14ac:dyDescent="0.15"/>
    <row r="60758" spans="3:3" s="8" customFormat="1" ht="21.95" customHeight="1" x14ac:dyDescent="0.15"/>
    <row r="60759" spans="3:3" s="8" customFormat="1" ht="21.95" customHeight="1" x14ac:dyDescent="0.15"/>
    <row r="60760" spans="3:3" s="8" customFormat="1" ht="21.95" customHeight="1" x14ac:dyDescent="0.15"/>
    <row r="60761" spans="3:3" s="9" customFormat="1" ht="21.95" customHeight="1" x14ac:dyDescent="0.15"/>
    <row r="60762" spans="3:3" s="9" customFormat="1" ht="21.95" customHeight="1" x14ac:dyDescent="0.15"/>
    <row r="60763" spans="3:3" s="9" customFormat="1" ht="21.95" customHeight="1" x14ac:dyDescent="0.15"/>
    <row r="60764" spans="3:3" s="9" customFormat="1" ht="21.95" customHeight="1" x14ac:dyDescent="0.15"/>
    <row r="60765" spans="3:3" s="8" customFormat="1" ht="21.95" customHeight="1" x14ac:dyDescent="0.15"/>
    <row r="60766" spans="3:3" s="8" customFormat="1" ht="21.95" customHeight="1" x14ac:dyDescent="0.15"/>
    <row r="60767" spans="3:3" s="8" customFormat="1" ht="21.95" customHeight="1" x14ac:dyDescent="0.15"/>
    <row r="60768" spans="3:3" s="8" customFormat="1" ht="21.95" customHeight="1" x14ac:dyDescent="0.15"/>
    <row r="60769" s="8" customFormat="1" ht="21.95" customHeight="1" x14ac:dyDescent="0.15"/>
    <row r="60770" s="8" customFormat="1" ht="21.95" customHeight="1" x14ac:dyDescent="0.15"/>
    <row r="60771" s="8" customFormat="1" ht="21.95" customHeight="1" x14ac:dyDescent="0.15"/>
    <row r="60772" s="8" customFormat="1" ht="21.95" customHeight="1" x14ac:dyDescent="0.15"/>
    <row r="60773" s="8" customFormat="1" ht="21.95" customHeight="1" x14ac:dyDescent="0.15"/>
    <row r="60774" s="8" customFormat="1" ht="21.95" customHeight="1" x14ac:dyDescent="0.15"/>
    <row r="60775" s="8" customFormat="1" ht="21.95" customHeight="1" x14ac:dyDescent="0.15"/>
    <row r="60776" s="8" customFormat="1" ht="32.1" customHeight="1" x14ac:dyDescent="0.15"/>
    <row r="60777" s="8" customFormat="1" ht="32.1" customHeight="1" x14ac:dyDescent="0.15"/>
    <row r="60778" s="8" customFormat="1" ht="32.1" customHeight="1" x14ac:dyDescent="0.15"/>
    <row r="60779" s="8" customFormat="1" ht="32.1" customHeight="1" x14ac:dyDescent="0.15"/>
    <row r="60780" s="8" customFormat="1" ht="32.1" customHeight="1" x14ac:dyDescent="0.15"/>
    <row r="60781" s="8" customFormat="1" ht="32.1" customHeight="1" x14ac:dyDescent="0.15"/>
    <row r="60782" s="9" customFormat="1" ht="32.1" customHeight="1" x14ac:dyDescent="0.15"/>
    <row r="60783" s="9" customFormat="1" ht="32.1" customHeight="1" x14ac:dyDescent="0.15"/>
    <row r="60784" s="9" customFormat="1" ht="32.1" customHeight="1" x14ac:dyDescent="0.15"/>
    <row r="60785" s="9" customFormat="1" ht="32.1" customHeight="1" x14ac:dyDescent="0.15"/>
    <row r="60786" s="9" customFormat="1" ht="21.95" customHeight="1" x14ac:dyDescent="0.15"/>
    <row r="60787" s="9" customFormat="1" ht="54" customHeight="1" x14ac:dyDescent="0.15"/>
    <row r="60788" s="9" customFormat="1" ht="21.95" customHeight="1" x14ac:dyDescent="0.15"/>
    <row r="60789" s="9" customFormat="1" ht="21.95" customHeight="1" x14ac:dyDescent="0.15"/>
    <row r="60790" s="9" customFormat="1" ht="21.95" customHeight="1" x14ac:dyDescent="0.15"/>
    <row r="60791" s="9" customFormat="1" ht="21.95" customHeight="1" x14ac:dyDescent="0.15"/>
    <row r="60792" s="9" customFormat="1" ht="21.95" customHeight="1" x14ac:dyDescent="0.15"/>
    <row r="60793" s="9" customFormat="1" ht="21.95" customHeight="1" x14ac:dyDescent="0.15"/>
    <row r="60794" s="9" customFormat="1" ht="21.95" customHeight="1" x14ac:dyDescent="0.15"/>
    <row r="60795" s="9" customFormat="1" ht="21.95" customHeight="1" x14ac:dyDescent="0.15"/>
    <row r="60796" s="9" customFormat="1" ht="21.95" customHeight="1" x14ac:dyDescent="0.15"/>
    <row r="60797" s="9" customFormat="1" ht="21.95" customHeight="1" x14ac:dyDescent="0.15"/>
    <row r="60798" s="9" customFormat="1" ht="21.95" customHeight="1" x14ac:dyDescent="0.15"/>
    <row r="60799" s="9" customFormat="1" ht="21.95" customHeight="1" x14ac:dyDescent="0.15"/>
    <row r="60800" s="9" customFormat="1" ht="21.95" customHeight="1" x14ac:dyDescent="0.15"/>
    <row r="60801" s="9" customFormat="1" ht="21.95" customHeight="1" x14ac:dyDescent="0.15"/>
    <row r="60802" s="9" customFormat="1" ht="21.95" customHeight="1" x14ac:dyDescent="0.15"/>
    <row r="60803" s="9" customFormat="1" ht="21.95" customHeight="1" x14ac:dyDescent="0.15"/>
    <row r="60804" s="9" customFormat="1" ht="21.95" customHeight="1" x14ac:dyDescent="0.15"/>
    <row r="60805" s="9" customFormat="1" ht="21.95" customHeight="1" x14ac:dyDescent="0.15"/>
    <row r="60806" s="9" customFormat="1" ht="21.95" customHeight="1" x14ac:dyDescent="0.15"/>
    <row r="60807" s="9" customFormat="1" ht="21.95" customHeight="1" x14ac:dyDescent="0.15"/>
    <row r="60808" s="9" customFormat="1" ht="21.95" customHeight="1" x14ac:dyDescent="0.15"/>
    <row r="60809" s="9" customFormat="1" ht="21.95" customHeight="1" x14ac:dyDescent="0.15"/>
    <row r="60810" s="9" customFormat="1" ht="21.95" customHeight="1" x14ac:dyDescent="0.15"/>
    <row r="60811" s="9" customFormat="1" ht="21.95" customHeight="1" x14ac:dyDescent="0.15"/>
    <row r="60812" s="9" customFormat="1" ht="21.95" customHeight="1" x14ac:dyDescent="0.15"/>
    <row r="60813" s="9" customFormat="1" ht="21.95" customHeight="1" x14ac:dyDescent="0.15"/>
    <row r="60814" s="9" customFormat="1" ht="21.95" customHeight="1" x14ac:dyDescent="0.15"/>
    <row r="60815" s="9" customFormat="1" ht="21.95" customHeight="1" x14ac:dyDescent="0.15"/>
    <row r="60816" s="9" customFormat="1" ht="21.95" customHeight="1" x14ac:dyDescent="0.15"/>
    <row r="60817" s="9" customFormat="1" ht="21.95" customHeight="1" x14ac:dyDescent="0.15"/>
    <row r="60818" s="9" customFormat="1" ht="21.95" customHeight="1" x14ac:dyDescent="0.15"/>
    <row r="60819" s="9" customFormat="1" ht="21.95" customHeight="1" x14ac:dyDescent="0.15"/>
    <row r="60820" s="9" customFormat="1" ht="21.95" customHeight="1" x14ac:dyDescent="0.15"/>
    <row r="60821" s="9" customFormat="1" ht="21.95" customHeight="1" x14ac:dyDescent="0.15"/>
    <row r="60822" s="9" customFormat="1" ht="21.95" customHeight="1" x14ac:dyDescent="0.15"/>
    <row r="60823" s="9" customFormat="1" ht="21.95" customHeight="1" x14ac:dyDescent="0.15"/>
    <row r="60824" s="9" customFormat="1" ht="21.95" customHeight="1" x14ac:dyDescent="0.15"/>
    <row r="60825" s="9" customFormat="1" ht="21.95" customHeight="1" x14ac:dyDescent="0.15"/>
    <row r="60826" s="9" customFormat="1" ht="21.95" customHeight="1" x14ac:dyDescent="0.15"/>
    <row r="60827" s="9" customFormat="1" ht="21.95" customHeight="1" x14ac:dyDescent="0.15"/>
    <row r="60828" s="9" customFormat="1" ht="21.95" customHeight="1" x14ac:dyDescent="0.15"/>
    <row r="60829" s="9" customFormat="1" ht="21.95" customHeight="1" x14ac:dyDescent="0.15"/>
    <row r="60830" s="9" customFormat="1" ht="21.95" customHeight="1" x14ac:dyDescent="0.15"/>
    <row r="60831" s="9" customFormat="1" ht="21.95" customHeight="1" x14ac:dyDescent="0.15"/>
    <row r="60832" s="9" customFormat="1" ht="21.95" customHeight="1" x14ac:dyDescent="0.15"/>
    <row r="60833" s="9" customFormat="1" ht="21.95" customHeight="1" x14ac:dyDescent="0.15"/>
    <row r="60834" s="9" customFormat="1" ht="21.95" customHeight="1" x14ac:dyDescent="0.15"/>
    <row r="60835" s="9" customFormat="1" ht="21.95" customHeight="1" x14ac:dyDescent="0.15"/>
    <row r="60836" s="9" customFormat="1" ht="21.95" customHeight="1" x14ac:dyDescent="0.15"/>
    <row r="60837" s="9" customFormat="1" ht="21.95" customHeight="1" x14ac:dyDescent="0.15"/>
    <row r="60838" s="9" customFormat="1" ht="35.1" customHeight="1" x14ac:dyDescent="0.15"/>
    <row r="60839" s="9" customFormat="1" ht="21.95" customHeight="1" x14ac:dyDescent="0.15"/>
    <row r="60840" s="9" customFormat="1" ht="21.95" customHeight="1" x14ac:dyDescent="0.15"/>
    <row r="60841" s="9" customFormat="1" ht="21.95" customHeight="1" x14ac:dyDescent="0.15"/>
    <row r="60842" s="9" customFormat="1" ht="21.95" customHeight="1" x14ac:dyDescent="0.15"/>
    <row r="60843" s="9" customFormat="1" ht="21.95" customHeight="1" x14ac:dyDescent="0.15"/>
    <row r="60844" s="9" customFormat="1" ht="21.95" customHeight="1" x14ac:dyDescent="0.15"/>
    <row r="60845" s="9" customFormat="1" ht="21.95" customHeight="1" x14ac:dyDescent="0.15"/>
    <row r="60846" s="9" customFormat="1" ht="21.95" customHeight="1" x14ac:dyDescent="0.15"/>
    <row r="60847" s="9" customFormat="1" ht="21.95" customHeight="1" x14ac:dyDescent="0.15"/>
    <row r="60848" s="9" customFormat="1" ht="21.95" customHeight="1" x14ac:dyDescent="0.15"/>
    <row r="60849" spans="3:3" s="9" customFormat="1" ht="21.95" customHeight="1" x14ac:dyDescent="0.15"/>
    <row r="60850" spans="3:3" s="9" customFormat="1" ht="21.95" customHeight="1" x14ac:dyDescent="0.15"/>
    <row r="60851" spans="3:3" s="9" customFormat="1" ht="21.95" customHeight="1" x14ac:dyDescent="0.15"/>
    <row r="60852" spans="3:3" s="9" customFormat="1" ht="21.95" customHeight="1" x14ac:dyDescent="0.15"/>
    <row r="60853" spans="3:3" s="9" customFormat="1" ht="21.95" customHeight="1" x14ac:dyDescent="0.15"/>
    <row r="60854" spans="3:3" s="9" customFormat="1" ht="21.95" customHeight="1" x14ac:dyDescent="0.15"/>
    <row r="60855" spans="3:3" s="9" customFormat="1" ht="21.95" customHeight="1" x14ac:dyDescent="0.15"/>
    <row r="60856" spans="3:3" s="9" customFormat="1" ht="21.95" customHeight="1" x14ac:dyDescent="0.15"/>
    <row r="60857" spans="3:3" s="9" customFormat="1" ht="21.95" customHeight="1" x14ac:dyDescent="0.15"/>
    <row r="60858" spans="3:3" s="9" customFormat="1" ht="21.95" customHeight="1" x14ac:dyDescent="0.15"/>
    <row r="60859" spans="3:3" s="9" customFormat="1" ht="21.95" customHeight="1" x14ac:dyDescent="0.15"/>
    <row r="60860" spans="3:3" s="9" customFormat="1" ht="21.95" customHeight="1" x14ac:dyDescent="0.15"/>
    <row r="60861" spans="3:3" s="9" customFormat="1" ht="21.95" customHeight="1" x14ac:dyDescent="0.15"/>
    <row r="60862" spans="3:3" s="8" customFormat="1" ht="21.95" customHeight="1" x14ac:dyDescent="0.15"/>
    <row r="60863" spans="3:3" s="8" customFormat="1" ht="21.95" customHeight="1" x14ac:dyDescent="0.15"/>
    <row r="60864" spans="3:3" s="8" customFormat="1" ht="21.95" customHeight="1" x14ac:dyDescent="0.15">
      <c r="C60864" s="101"/>
    </row>
    <row r="60865" spans="3:3" s="8" customFormat="1" ht="21.95" customHeight="1" x14ac:dyDescent="0.15">
      <c r="C60865" s="101"/>
    </row>
    <row r="60866" spans="3:3" s="8" customFormat="1" ht="21.95" customHeight="1" x14ac:dyDescent="0.15"/>
    <row r="60867" spans="3:3" s="8" customFormat="1" ht="21.95" customHeight="1" x14ac:dyDescent="0.15"/>
    <row r="60868" spans="3:3" s="8" customFormat="1" ht="21.95" customHeight="1" x14ac:dyDescent="0.15"/>
    <row r="60869" spans="3:3" s="8" customFormat="1" ht="21.95" customHeight="1" x14ac:dyDescent="0.15"/>
    <row r="60870" spans="3:3" s="8" customFormat="1" ht="21.95" customHeight="1" x14ac:dyDescent="0.15"/>
    <row r="60871" spans="3:3" s="8" customFormat="1" ht="21.95" customHeight="1" x14ac:dyDescent="0.15"/>
    <row r="60872" spans="3:3" s="8" customFormat="1" ht="21.95" customHeight="1" x14ac:dyDescent="0.15"/>
    <row r="60873" spans="3:3" s="9" customFormat="1" ht="21.95" customHeight="1" x14ac:dyDescent="0.15"/>
    <row r="60874" spans="3:3" s="9" customFormat="1" ht="21.95" customHeight="1" x14ac:dyDescent="0.15"/>
    <row r="60875" spans="3:3" s="9" customFormat="1" ht="21.95" customHeight="1" x14ac:dyDescent="0.15"/>
    <row r="60876" spans="3:3" s="9" customFormat="1" ht="21.95" customHeight="1" x14ac:dyDescent="0.15"/>
    <row r="60877" spans="3:3" s="8" customFormat="1" ht="21.95" customHeight="1" x14ac:dyDescent="0.15"/>
    <row r="60878" spans="3:3" s="8" customFormat="1" ht="21.95" customHeight="1" x14ac:dyDescent="0.15"/>
    <row r="60879" spans="3:3" s="8" customFormat="1" ht="21.95" customHeight="1" x14ac:dyDescent="0.15"/>
    <row r="60880" spans="3:3" s="8" customFormat="1" ht="21.95" customHeight="1" x14ac:dyDescent="0.15"/>
    <row r="60881" s="8" customFormat="1" ht="21.95" customHeight="1" x14ac:dyDescent="0.15"/>
    <row r="60882" s="8" customFormat="1" ht="21.95" customHeight="1" x14ac:dyDescent="0.15"/>
    <row r="60883" s="8" customFormat="1" ht="21.95" customHeight="1" x14ac:dyDescent="0.15"/>
    <row r="60884" s="8" customFormat="1" ht="21.95" customHeight="1" x14ac:dyDescent="0.15"/>
    <row r="60885" s="8" customFormat="1" ht="21.95" customHeight="1" x14ac:dyDescent="0.15"/>
    <row r="60886" s="8" customFormat="1" ht="21.95" customHeight="1" x14ac:dyDescent="0.15"/>
    <row r="60887" s="8" customFormat="1" ht="21.95" customHeight="1" x14ac:dyDescent="0.15"/>
    <row r="60888" s="8" customFormat="1" ht="32.1" customHeight="1" x14ac:dyDescent="0.15"/>
    <row r="60889" s="8" customFormat="1" ht="32.1" customHeight="1" x14ac:dyDescent="0.15"/>
    <row r="60890" s="8" customFormat="1" ht="32.1" customHeight="1" x14ac:dyDescent="0.15"/>
    <row r="60891" s="8" customFormat="1" ht="32.1" customHeight="1" x14ac:dyDescent="0.15"/>
    <row r="60892" s="8" customFormat="1" ht="32.1" customHeight="1" x14ac:dyDescent="0.15"/>
    <row r="60893" s="8" customFormat="1" ht="32.1" customHeight="1" x14ac:dyDescent="0.15"/>
    <row r="60894" s="9" customFormat="1" ht="32.1" customHeight="1" x14ac:dyDescent="0.15"/>
    <row r="60895" s="9" customFormat="1" ht="32.1" customHeight="1" x14ac:dyDescent="0.15"/>
    <row r="60896" s="9" customFormat="1" ht="32.1" customHeight="1" x14ac:dyDescent="0.15"/>
    <row r="60897" s="9" customFormat="1" ht="32.1" customHeight="1" x14ac:dyDescent="0.15"/>
    <row r="60898" s="9" customFormat="1" ht="21.95" customHeight="1" x14ac:dyDescent="0.15"/>
    <row r="60899" s="9" customFormat="1" ht="54" customHeight="1" x14ac:dyDescent="0.15"/>
    <row r="60900" s="9" customFormat="1" ht="21.95" customHeight="1" x14ac:dyDescent="0.15"/>
    <row r="60901" s="9" customFormat="1" ht="21.95" customHeight="1" x14ac:dyDescent="0.15"/>
    <row r="60902" s="9" customFormat="1" ht="21.95" customHeight="1" x14ac:dyDescent="0.15"/>
    <row r="60903" s="9" customFormat="1" ht="21.95" customHeight="1" x14ac:dyDescent="0.15"/>
    <row r="60904" s="9" customFormat="1" ht="21.95" customHeight="1" x14ac:dyDescent="0.15"/>
    <row r="60905" s="9" customFormat="1" ht="21.95" customHeight="1" x14ac:dyDescent="0.15"/>
    <row r="60906" s="9" customFormat="1" ht="21.95" customHeight="1" x14ac:dyDescent="0.15"/>
    <row r="60907" s="9" customFormat="1" ht="21.95" customHeight="1" x14ac:dyDescent="0.15"/>
    <row r="60908" s="9" customFormat="1" ht="21.95" customHeight="1" x14ac:dyDescent="0.15"/>
    <row r="60909" s="9" customFormat="1" ht="21.95" customHeight="1" x14ac:dyDescent="0.15"/>
    <row r="60910" s="9" customFormat="1" ht="21.95" customHeight="1" x14ac:dyDescent="0.15"/>
    <row r="60911" s="9" customFormat="1" ht="21.95" customHeight="1" x14ac:dyDescent="0.15"/>
    <row r="60912" s="9" customFormat="1" ht="21.95" customHeight="1" x14ac:dyDescent="0.15"/>
    <row r="60913" s="9" customFormat="1" ht="21.95" customHeight="1" x14ac:dyDescent="0.15"/>
    <row r="60914" s="9" customFormat="1" ht="21.95" customHeight="1" x14ac:dyDescent="0.15"/>
    <row r="60915" s="9" customFormat="1" ht="21.95" customHeight="1" x14ac:dyDescent="0.15"/>
    <row r="60916" s="9" customFormat="1" ht="21.95" customHeight="1" x14ac:dyDescent="0.15"/>
    <row r="60917" s="9" customFormat="1" ht="21.95" customHeight="1" x14ac:dyDescent="0.15"/>
    <row r="60918" s="9" customFormat="1" ht="21.95" customHeight="1" x14ac:dyDescent="0.15"/>
    <row r="60919" s="9" customFormat="1" ht="21.95" customHeight="1" x14ac:dyDescent="0.15"/>
    <row r="60920" s="9" customFormat="1" ht="21.95" customHeight="1" x14ac:dyDescent="0.15"/>
    <row r="60921" s="9" customFormat="1" ht="21.95" customHeight="1" x14ac:dyDescent="0.15"/>
    <row r="60922" s="9" customFormat="1" ht="21.95" customHeight="1" x14ac:dyDescent="0.15"/>
    <row r="60923" s="9" customFormat="1" ht="21.95" customHeight="1" x14ac:dyDescent="0.15"/>
    <row r="60924" s="9" customFormat="1" ht="21.95" customHeight="1" x14ac:dyDescent="0.15"/>
    <row r="60925" s="9" customFormat="1" ht="21.95" customHeight="1" x14ac:dyDescent="0.15"/>
    <row r="60926" s="9" customFormat="1" ht="21.95" customHeight="1" x14ac:dyDescent="0.15"/>
    <row r="60927" s="9" customFormat="1" ht="21.95" customHeight="1" x14ac:dyDescent="0.15"/>
    <row r="60928" s="9" customFormat="1" ht="21.95" customHeight="1" x14ac:dyDescent="0.15"/>
    <row r="60929" s="9" customFormat="1" ht="21.95" customHeight="1" x14ac:dyDescent="0.15"/>
    <row r="60930" s="9" customFormat="1" ht="21.95" customHeight="1" x14ac:dyDescent="0.15"/>
    <row r="60931" s="9" customFormat="1" ht="21.95" customHeight="1" x14ac:dyDescent="0.15"/>
    <row r="60932" s="9" customFormat="1" ht="21.95" customHeight="1" x14ac:dyDescent="0.15"/>
    <row r="60933" s="9" customFormat="1" ht="21.95" customHeight="1" x14ac:dyDescent="0.15"/>
    <row r="60934" s="9" customFormat="1" ht="21.95" customHeight="1" x14ac:dyDescent="0.15"/>
    <row r="60935" s="9" customFormat="1" ht="21.95" customHeight="1" x14ac:dyDescent="0.15"/>
    <row r="60936" s="9" customFormat="1" ht="21.95" customHeight="1" x14ac:dyDescent="0.15"/>
    <row r="60937" s="9" customFormat="1" ht="21.95" customHeight="1" x14ac:dyDescent="0.15"/>
    <row r="60938" s="9" customFormat="1" ht="21.95" customHeight="1" x14ac:dyDescent="0.15"/>
    <row r="60939" s="9" customFormat="1" ht="21.95" customHeight="1" x14ac:dyDescent="0.15"/>
    <row r="60940" s="9" customFormat="1" ht="21.95" customHeight="1" x14ac:dyDescent="0.15"/>
    <row r="60941" s="9" customFormat="1" ht="21.95" customHeight="1" x14ac:dyDescent="0.15"/>
    <row r="60942" s="9" customFormat="1" ht="21.95" customHeight="1" x14ac:dyDescent="0.15"/>
    <row r="60943" s="9" customFormat="1" ht="21.95" customHeight="1" x14ac:dyDescent="0.15"/>
    <row r="60944" s="9" customFormat="1" ht="21.95" customHeight="1" x14ac:dyDescent="0.15"/>
    <row r="60945" s="9" customFormat="1" ht="21.95" customHeight="1" x14ac:dyDescent="0.15"/>
    <row r="60946" s="9" customFormat="1" ht="21.95" customHeight="1" x14ac:dyDescent="0.15"/>
    <row r="60947" s="9" customFormat="1" ht="21.95" customHeight="1" x14ac:dyDescent="0.15"/>
    <row r="60948" s="9" customFormat="1" ht="21.95" customHeight="1" x14ac:dyDescent="0.15"/>
    <row r="60949" s="9" customFormat="1" ht="21.95" customHeight="1" x14ac:dyDescent="0.15"/>
    <row r="60950" s="9" customFormat="1" ht="35.1" customHeight="1" x14ac:dyDescent="0.15"/>
    <row r="60951" s="9" customFormat="1" ht="21.95" customHeight="1" x14ac:dyDescent="0.15"/>
    <row r="60952" s="9" customFormat="1" ht="21.95" customHeight="1" x14ac:dyDescent="0.15"/>
    <row r="60953" s="9" customFormat="1" ht="21.95" customHeight="1" x14ac:dyDescent="0.15"/>
    <row r="60954" s="9" customFormat="1" ht="21.95" customHeight="1" x14ac:dyDescent="0.15"/>
    <row r="60955" s="9" customFormat="1" ht="21.95" customHeight="1" x14ac:dyDescent="0.15"/>
    <row r="60956" s="9" customFormat="1" ht="21.95" customHeight="1" x14ac:dyDescent="0.15"/>
    <row r="60957" s="9" customFormat="1" ht="21.95" customHeight="1" x14ac:dyDescent="0.15"/>
    <row r="60958" s="9" customFormat="1" ht="21.95" customHeight="1" x14ac:dyDescent="0.15"/>
    <row r="60959" s="9" customFormat="1" ht="21.95" customHeight="1" x14ac:dyDescent="0.15"/>
    <row r="60960" s="9" customFormat="1" ht="21.95" customHeight="1" x14ac:dyDescent="0.15"/>
    <row r="60961" spans="3:3" s="9" customFormat="1" ht="21.95" customHeight="1" x14ac:dyDescent="0.15"/>
    <row r="60962" spans="3:3" s="9" customFormat="1" ht="21.95" customHeight="1" x14ac:dyDescent="0.15"/>
    <row r="60963" spans="3:3" s="9" customFormat="1" ht="21.95" customHeight="1" x14ac:dyDescent="0.15"/>
    <row r="60964" spans="3:3" s="9" customFormat="1" ht="21.95" customHeight="1" x14ac:dyDescent="0.15"/>
    <row r="60965" spans="3:3" s="9" customFormat="1" ht="21.95" customHeight="1" x14ac:dyDescent="0.15"/>
    <row r="60966" spans="3:3" s="9" customFormat="1" ht="21.95" customHeight="1" x14ac:dyDescent="0.15"/>
    <row r="60967" spans="3:3" s="9" customFormat="1" ht="21.95" customHeight="1" x14ac:dyDescent="0.15"/>
    <row r="60968" spans="3:3" s="9" customFormat="1" ht="21.95" customHeight="1" x14ac:dyDescent="0.15"/>
    <row r="60969" spans="3:3" s="9" customFormat="1" ht="21.95" customHeight="1" x14ac:dyDescent="0.15"/>
    <row r="60970" spans="3:3" s="9" customFormat="1" ht="21.95" customHeight="1" x14ac:dyDescent="0.15"/>
    <row r="60971" spans="3:3" s="9" customFormat="1" ht="21.95" customHeight="1" x14ac:dyDescent="0.15"/>
    <row r="60972" spans="3:3" s="9" customFormat="1" ht="21.95" customHeight="1" x14ac:dyDescent="0.15"/>
    <row r="60973" spans="3:3" s="9" customFormat="1" ht="21.95" customHeight="1" x14ac:dyDescent="0.15"/>
    <row r="60974" spans="3:3" s="8" customFormat="1" ht="21.95" customHeight="1" x14ac:dyDescent="0.15"/>
    <row r="60975" spans="3:3" s="8" customFormat="1" ht="21.95" customHeight="1" x14ac:dyDescent="0.15"/>
    <row r="60976" spans="3:3" s="8" customFormat="1" ht="21.95" customHeight="1" x14ac:dyDescent="0.15">
      <c r="C60976" s="101"/>
    </row>
    <row r="60977" spans="3:3" s="8" customFormat="1" ht="21.95" customHeight="1" x14ac:dyDescent="0.15">
      <c r="C60977" s="101"/>
    </row>
    <row r="60978" spans="3:3" s="8" customFormat="1" ht="21.95" customHeight="1" x14ac:dyDescent="0.15"/>
    <row r="60979" spans="3:3" s="8" customFormat="1" ht="21.95" customHeight="1" x14ac:dyDescent="0.15"/>
    <row r="60980" spans="3:3" s="8" customFormat="1" ht="21.95" customHeight="1" x14ac:dyDescent="0.15"/>
    <row r="60981" spans="3:3" s="8" customFormat="1" ht="21.95" customHeight="1" x14ac:dyDescent="0.15"/>
    <row r="60982" spans="3:3" s="8" customFormat="1" ht="21.95" customHeight="1" x14ac:dyDescent="0.15"/>
    <row r="60983" spans="3:3" s="8" customFormat="1" ht="21.95" customHeight="1" x14ac:dyDescent="0.15"/>
    <row r="60984" spans="3:3" s="8" customFormat="1" ht="21.95" customHeight="1" x14ac:dyDescent="0.15"/>
    <row r="60985" spans="3:3" s="9" customFormat="1" ht="21.95" customHeight="1" x14ac:dyDescent="0.15"/>
    <row r="60986" spans="3:3" s="9" customFormat="1" ht="21.95" customHeight="1" x14ac:dyDescent="0.15"/>
    <row r="60987" spans="3:3" s="9" customFormat="1" ht="21.95" customHeight="1" x14ac:dyDescent="0.15"/>
    <row r="60988" spans="3:3" s="9" customFormat="1" ht="21.95" customHeight="1" x14ac:dyDescent="0.15"/>
    <row r="60989" spans="3:3" s="8" customFormat="1" ht="21.95" customHeight="1" x14ac:dyDescent="0.15"/>
    <row r="60990" spans="3:3" s="8" customFormat="1" ht="21.95" customHeight="1" x14ac:dyDescent="0.15"/>
    <row r="60991" spans="3:3" s="8" customFormat="1" ht="21.95" customHeight="1" x14ac:dyDescent="0.15"/>
    <row r="60992" spans="3:3" s="8" customFormat="1" ht="21.95" customHeight="1" x14ac:dyDescent="0.15"/>
    <row r="60993" s="8" customFormat="1" ht="21.95" customHeight="1" x14ac:dyDescent="0.15"/>
    <row r="60994" s="8" customFormat="1" ht="21.95" customHeight="1" x14ac:dyDescent="0.15"/>
    <row r="60995" s="8" customFormat="1" ht="21.95" customHeight="1" x14ac:dyDescent="0.15"/>
    <row r="60996" s="8" customFormat="1" ht="21.95" customHeight="1" x14ac:dyDescent="0.15"/>
    <row r="60997" s="8" customFormat="1" ht="21.95" customHeight="1" x14ac:dyDescent="0.15"/>
    <row r="60998" s="8" customFormat="1" ht="21.95" customHeight="1" x14ac:dyDescent="0.15"/>
    <row r="60999" s="8" customFormat="1" ht="21.95" customHeight="1" x14ac:dyDescent="0.15"/>
    <row r="61000" s="8" customFormat="1" ht="32.1" customHeight="1" x14ac:dyDescent="0.15"/>
    <row r="61001" s="8" customFormat="1" ht="32.1" customHeight="1" x14ac:dyDescent="0.15"/>
    <row r="61002" s="8" customFormat="1" ht="32.1" customHeight="1" x14ac:dyDescent="0.15"/>
    <row r="61003" s="8" customFormat="1" ht="32.1" customHeight="1" x14ac:dyDescent="0.15"/>
    <row r="61004" s="8" customFormat="1" ht="32.1" customHeight="1" x14ac:dyDescent="0.15"/>
    <row r="61005" s="8" customFormat="1" ht="32.1" customHeight="1" x14ac:dyDescent="0.15"/>
    <row r="61006" s="9" customFormat="1" ht="32.1" customHeight="1" x14ac:dyDescent="0.15"/>
    <row r="61007" s="9" customFormat="1" ht="32.1" customHeight="1" x14ac:dyDescent="0.15"/>
    <row r="61008" s="9" customFormat="1" ht="32.1" customHeight="1" x14ac:dyDescent="0.15"/>
    <row r="61009" s="9" customFormat="1" ht="32.1" customHeight="1" x14ac:dyDescent="0.15"/>
    <row r="61010" s="9" customFormat="1" ht="21.95" customHeight="1" x14ac:dyDescent="0.15"/>
    <row r="61011" s="9" customFormat="1" ht="54" customHeight="1" x14ac:dyDescent="0.15"/>
    <row r="61012" s="9" customFormat="1" ht="21.95" customHeight="1" x14ac:dyDescent="0.15"/>
    <row r="61013" s="9" customFormat="1" ht="21.95" customHeight="1" x14ac:dyDescent="0.15"/>
    <row r="61014" s="9" customFormat="1" ht="21.95" customHeight="1" x14ac:dyDescent="0.15"/>
    <row r="61015" s="9" customFormat="1" ht="21.95" customHeight="1" x14ac:dyDescent="0.15"/>
    <row r="61016" s="9" customFormat="1" ht="21.95" customHeight="1" x14ac:dyDescent="0.15"/>
    <row r="61017" s="9" customFormat="1" ht="21.95" customHeight="1" x14ac:dyDescent="0.15"/>
    <row r="61018" s="9" customFormat="1" ht="21.95" customHeight="1" x14ac:dyDescent="0.15"/>
    <row r="61019" s="9" customFormat="1" ht="21.95" customHeight="1" x14ac:dyDescent="0.15"/>
    <row r="61020" s="9" customFormat="1" ht="21.95" customHeight="1" x14ac:dyDescent="0.15"/>
    <row r="61021" s="9" customFormat="1" ht="21.95" customHeight="1" x14ac:dyDescent="0.15"/>
    <row r="61022" s="9" customFormat="1" ht="21.95" customHeight="1" x14ac:dyDescent="0.15"/>
    <row r="61023" s="9" customFormat="1" ht="21.95" customHeight="1" x14ac:dyDescent="0.15"/>
    <row r="61024" s="9" customFormat="1" ht="21.95" customHeight="1" x14ac:dyDescent="0.15"/>
    <row r="61025" s="9" customFormat="1" ht="21.95" customHeight="1" x14ac:dyDescent="0.15"/>
    <row r="61026" s="9" customFormat="1" ht="21.95" customHeight="1" x14ac:dyDescent="0.15"/>
    <row r="61027" s="9" customFormat="1" ht="21.95" customHeight="1" x14ac:dyDescent="0.15"/>
    <row r="61028" s="9" customFormat="1" ht="21.95" customHeight="1" x14ac:dyDescent="0.15"/>
    <row r="61029" s="9" customFormat="1" ht="21.95" customHeight="1" x14ac:dyDescent="0.15"/>
    <row r="61030" s="9" customFormat="1" ht="21.95" customHeight="1" x14ac:dyDescent="0.15"/>
    <row r="61031" s="9" customFormat="1" ht="21.95" customHeight="1" x14ac:dyDescent="0.15"/>
    <row r="61032" s="9" customFormat="1" ht="21.95" customHeight="1" x14ac:dyDescent="0.15"/>
    <row r="61033" s="9" customFormat="1" ht="21.95" customHeight="1" x14ac:dyDescent="0.15"/>
    <row r="61034" s="9" customFormat="1" ht="21.95" customHeight="1" x14ac:dyDescent="0.15"/>
    <row r="61035" s="9" customFormat="1" ht="21.95" customHeight="1" x14ac:dyDescent="0.15"/>
    <row r="61036" s="9" customFormat="1" ht="21.95" customHeight="1" x14ac:dyDescent="0.15"/>
    <row r="61037" s="9" customFormat="1" ht="21.95" customHeight="1" x14ac:dyDescent="0.15"/>
    <row r="61038" s="9" customFormat="1" ht="21.95" customHeight="1" x14ac:dyDescent="0.15"/>
    <row r="61039" s="9" customFormat="1" ht="21.95" customHeight="1" x14ac:dyDescent="0.15"/>
    <row r="61040" s="9" customFormat="1" ht="21.95" customHeight="1" x14ac:dyDescent="0.15"/>
    <row r="61041" s="9" customFormat="1" ht="21.95" customHeight="1" x14ac:dyDescent="0.15"/>
    <row r="61042" s="9" customFormat="1" ht="21.95" customHeight="1" x14ac:dyDescent="0.15"/>
    <row r="61043" s="9" customFormat="1" ht="21.95" customHeight="1" x14ac:dyDescent="0.15"/>
    <row r="61044" s="9" customFormat="1" ht="21.95" customHeight="1" x14ac:dyDescent="0.15"/>
    <row r="61045" s="9" customFormat="1" ht="21.95" customHeight="1" x14ac:dyDescent="0.15"/>
    <row r="61046" s="9" customFormat="1" ht="21.95" customHeight="1" x14ac:dyDescent="0.15"/>
    <row r="61047" s="9" customFormat="1" ht="21.95" customHeight="1" x14ac:dyDescent="0.15"/>
    <row r="61048" s="9" customFormat="1" ht="21.95" customHeight="1" x14ac:dyDescent="0.15"/>
    <row r="61049" s="9" customFormat="1" ht="21.95" customHeight="1" x14ac:dyDescent="0.15"/>
    <row r="61050" s="9" customFormat="1" ht="21.95" customHeight="1" x14ac:dyDescent="0.15"/>
    <row r="61051" s="9" customFormat="1" ht="21.95" customHeight="1" x14ac:dyDescent="0.15"/>
    <row r="61052" s="9" customFormat="1" ht="21.95" customHeight="1" x14ac:dyDescent="0.15"/>
    <row r="61053" s="9" customFormat="1" ht="21.95" customHeight="1" x14ac:dyDescent="0.15"/>
    <row r="61054" s="9" customFormat="1" ht="21.95" customHeight="1" x14ac:dyDescent="0.15"/>
    <row r="61055" s="9" customFormat="1" ht="21.95" customHeight="1" x14ac:dyDescent="0.15"/>
    <row r="61056" s="9" customFormat="1" ht="21.95" customHeight="1" x14ac:dyDescent="0.15"/>
    <row r="61057" s="9" customFormat="1" ht="21.95" customHeight="1" x14ac:dyDescent="0.15"/>
    <row r="61058" s="9" customFormat="1" ht="21.95" customHeight="1" x14ac:dyDescent="0.15"/>
    <row r="61059" s="9" customFormat="1" ht="21.95" customHeight="1" x14ac:dyDescent="0.15"/>
    <row r="61060" s="9" customFormat="1" ht="21.95" customHeight="1" x14ac:dyDescent="0.15"/>
    <row r="61061" s="9" customFormat="1" ht="21.95" customHeight="1" x14ac:dyDescent="0.15"/>
    <row r="61062" s="9" customFormat="1" ht="35.1" customHeight="1" x14ac:dyDescent="0.15"/>
    <row r="61063" s="9" customFormat="1" ht="21.95" customHeight="1" x14ac:dyDescent="0.15"/>
    <row r="61064" s="9" customFormat="1" ht="21.95" customHeight="1" x14ac:dyDescent="0.15"/>
    <row r="61065" s="9" customFormat="1" ht="21.95" customHeight="1" x14ac:dyDescent="0.15"/>
    <row r="61066" s="9" customFormat="1" ht="21.95" customHeight="1" x14ac:dyDescent="0.15"/>
    <row r="61067" s="9" customFormat="1" ht="21.95" customHeight="1" x14ac:dyDescent="0.15"/>
    <row r="61068" s="9" customFormat="1" ht="21.95" customHeight="1" x14ac:dyDescent="0.15"/>
    <row r="61069" s="9" customFormat="1" ht="21.95" customHeight="1" x14ac:dyDescent="0.15"/>
    <row r="61070" s="9" customFormat="1" ht="21.95" customHeight="1" x14ac:dyDescent="0.15"/>
    <row r="61071" s="9" customFormat="1" ht="21.95" customHeight="1" x14ac:dyDescent="0.15"/>
    <row r="61072" s="9" customFormat="1" ht="21.95" customHeight="1" x14ac:dyDescent="0.15"/>
    <row r="61073" spans="3:3" s="9" customFormat="1" ht="21.95" customHeight="1" x14ac:dyDescent="0.15"/>
    <row r="61074" spans="3:3" s="9" customFormat="1" ht="21.95" customHeight="1" x14ac:dyDescent="0.15"/>
    <row r="61075" spans="3:3" s="9" customFormat="1" ht="21.95" customHeight="1" x14ac:dyDescent="0.15"/>
    <row r="61076" spans="3:3" s="9" customFormat="1" ht="21.95" customHeight="1" x14ac:dyDescent="0.15"/>
    <row r="61077" spans="3:3" s="9" customFormat="1" ht="21.95" customHeight="1" x14ac:dyDescent="0.15"/>
    <row r="61078" spans="3:3" s="9" customFormat="1" ht="21.95" customHeight="1" x14ac:dyDescent="0.15"/>
    <row r="61079" spans="3:3" s="9" customFormat="1" ht="21.95" customHeight="1" x14ac:dyDescent="0.15"/>
    <row r="61080" spans="3:3" s="9" customFormat="1" ht="21.95" customHeight="1" x14ac:dyDescent="0.15"/>
    <row r="61081" spans="3:3" s="9" customFormat="1" ht="21.95" customHeight="1" x14ac:dyDescent="0.15"/>
    <row r="61082" spans="3:3" s="9" customFormat="1" ht="21.95" customHeight="1" x14ac:dyDescent="0.15"/>
    <row r="61083" spans="3:3" s="9" customFormat="1" ht="21.95" customHeight="1" x14ac:dyDescent="0.15"/>
    <row r="61084" spans="3:3" s="9" customFormat="1" ht="21.95" customHeight="1" x14ac:dyDescent="0.15"/>
    <row r="61085" spans="3:3" s="9" customFormat="1" ht="21.95" customHeight="1" x14ac:dyDescent="0.15"/>
    <row r="61086" spans="3:3" s="8" customFormat="1" ht="21.95" customHeight="1" x14ac:dyDescent="0.15"/>
    <row r="61087" spans="3:3" s="8" customFormat="1" ht="21.95" customHeight="1" x14ac:dyDescent="0.15"/>
    <row r="61088" spans="3:3" s="8" customFormat="1" ht="21.95" customHeight="1" x14ac:dyDescent="0.15">
      <c r="C61088" s="101"/>
    </row>
    <row r="61089" spans="3:3" s="8" customFormat="1" ht="21.95" customHeight="1" x14ac:dyDescent="0.15">
      <c r="C61089" s="101"/>
    </row>
    <row r="61090" spans="3:3" s="8" customFormat="1" ht="21.95" customHeight="1" x14ac:dyDescent="0.15"/>
    <row r="61091" spans="3:3" s="8" customFormat="1" ht="21.95" customHeight="1" x14ac:dyDescent="0.15"/>
    <row r="61092" spans="3:3" s="8" customFormat="1" ht="21.95" customHeight="1" x14ac:dyDescent="0.15"/>
    <row r="61093" spans="3:3" s="8" customFormat="1" ht="21.95" customHeight="1" x14ac:dyDescent="0.15"/>
    <row r="61094" spans="3:3" s="8" customFormat="1" ht="21.95" customHeight="1" x14ac:dyDescent="0.15"/>
    <row r="61095" spans="3:3" s="8" customFormat="1" ht="21.95" customHeight="1" x14ac:dyDescent="0.15"/>
    <row r="61096" spans="3:3" s="8" customFormat="1" ht="21.95" customHeight="1" x14ac:dyDescent="0.15"/>
    <row r="61097" spans="3:3" s="9" customFormat="1" ht="21.95" customHeight="1" x14ac:dyDescent="0.15"/>
    <row r="61098" spans="3:3" s="9" customFormat="1" ht="21.95" customHeight="1" x14ac:dyDescent="0.15"/>
    <row r="61099" spans="3:3" s="9" customFormat="1" ht="21.95" customHeight="1" x14ac:dyDescent="0.15"/>
    <row r="61100" spans="3:3" s="9" customFormat="1" ht="21.95" customHeight="1" x14ac:dyDescent="0.15"/>
    <row r="61101" spans="3:3" s="8" customFormat="1" ht="21.95" customHeight="1" x14ac:dyDescent="0.15"/>
    <row r="61102" spans="3:3" s="8" customFormat="1" ht="21.95" customHeight="1" x14ac:dyDescent="0.15"/>
    <row r="61103" spans="3:3" s="8" customFormat="1" ht="21.95" customHeight="1" x14ac:dyDescent="0.15"/>
    <row r="61104" spans="3:3" s="8" customFormat="1" ht="21.95" customHeight="1" x14ac:dyDescent="0.15"/>
    <row r="61105" s="8" customFormat="1" ht="21.95" customHeight="1" x14ac:dyDescent="0.15"/>
    <row r="61106" s="8" customFormat="1" ht="21.95" customHeight="1" x14ac:dyDescent="0.15"/>
    <row r="61107" s="8" customFormat="1" ht="21.95" customHeight="1" x14ac:dyDescent="0.15"/>
    <row r="61108" s="8" customFormat="1" ht="21.95" customHeight="1" x14ac:dyDescent="0.15"/>
    <row r="61109" s="8" customFormat="1" ht="21.95" customHeight="1" x14ac:dyDescent="0.15"/>
    <row r="61110" s="8" customFormat="1" ht="21.95" customHeight="1" x14ac:dyDescent="0.15"/>
    <row r="61111" s="8" customFormat="1" ht="21.95" customHeight="1" x14ac:dyDescent="0.15"/>
    <row r="61112" s="8" customFormat="1" ht="32.1" customHeight="1" x14ac:dyDescent="0.15"/>
    <row r="61113" s="8" customFormat="1" ht="32.1" customHeight="1" x14ac:dyDescent="0.15"/>
    <row r="61114" s="8" customFormat="1" ht="32.1" customHeight="1" x14ac:dyDescent="0.15"/>
    <row r="61115" s="8" customFormat="1" ht="32.1" customHeight="1" x14ac:dyDescent="0.15"/>
    <row r="61116" s="8" customFormat="1" ht="32.1" customHeight="1" x14ac:dyDescent="0.15"/>
    <row r="61117" s="8" customFormat="1" ht="32.1" customHeight="1" x14ac:dyDescent="0.15"/>
    <row r="61118" s="9" customFormat="1" ht="32.1" customHeight="1" x14ac:dyDescent="0.15"/>
    <row r="61119" s="9" customFormat="1" ht="32.1" customHeight="1" x14ac:dyDescent="0.15"/>
    <row r="61120" s="9" customFormat="1" ht="32.1" customHeight="1" x14ac:dyDescent="0.15"/>
    <row r="61121" s="9" customFormat="1" ht="32.1" customHeight="1" x14ac:dyDescent="0.15"/>
    <row r="61122" s="9" customFormat="1" ht="21.95" customHeight="1" x14ac:dyDescent="0.15"/>
    <row r="61123" s="9" customFormat="1" ht="54" customHeight="1" x14ac:dyDescent="0.15"/>
    <row r="61124" s="9" customFormat="1" ht="21.95" customHeight="1" x14ac:dyDescent="0.15"/>
    <row r="61125" s="9" customFormat="1" ht="21.95" customHeight="1" x14ac:dyDescent="0.15"/>
    <row r="61126" s="9" customFormat="1" ht="21.95" customHeight="1" x14ac:dyDescent="0.15"/>
    <row r="61127" s="9" customFormat="1" ht="21.95" customHeight="1" x14ac:dyDescent="0.15"/>
    <row r="61128" s="9" customFormat="1" ht="21.95" customHeight="1" x14ac:dyDescent="0.15"/>
    <row r="61129" s="9" customFormat="1" ht="21.95" customHeight="1" x14ac:dyDescent="0.15"/>
    <row r="61130" s="9" customFormat="1" ht="21.95" customHeight="1" x14ac:dyDescent="0.15"/>
    <row r="61131" s="9" customFormat="1" ht="21.95" customHeight="1" x14ac:dyDescent="0.15"/>
    <row r="61132" s="9" customFormat="1" ht="21.95" customHeight="1" x14ac:dyDescent="0.15"/>
    <row r="61133" s="9" customFormat="1" ht="21.95" customHeight="1" x14ac:dyDescent="0.15"/>
    <row r="61134" s="9" customFormat="1" ht="21.95" customHeight="1" x14ac:dyDescent="0.15"/>
    <row r="61135" s="9" customFormat="1" ht="21.95" customHeight="1" x14ac:dyDescent="0.15"/>
    <row r="61136" s="9" customFormat="1" ht="21.95" customHeight="1" x14ac:dyDescent="0.15"/>
    <row r="61137" s="9" customFormat="1" ht="21.95" customHeight="1" x14ac:dyDescent="0.15"/>
    <row r="61138" s="9" customFormat="1" ht="21.95" customHeight="1" x14ac:dyDescent="0.15"/>
    <row r="61139" s="9" customFormat="1" ht="21.95" customHeight="1" x14ac:dyDescent="0.15"/>
    <row r="61140" s="9" customFormat="1" ht="21.95" customHeight="1" x14ac:dyDescent="0.15"/>
    <row r="61141" s="9" customFormat="1" ht="21.95" customHeight="1" x14ac:dyDescent="0.15"/>
    <row r="61142" s="9" customFormat="1" ht="21.95" customHeight="1" x14ac:dyDescent="0.15"/>
    <row r="61143" s="9" customFormat="1" ht="21.95" customHeight="1" x14ac:dyDescent="0.15"/>
    <row r="61144" s="9" customFormat="1" ht="21.95" customHeight="1" x14ac:dyDescent="0.15"/>
    <row r="61145" s="9" customFormat="1" ht="21.95" customHeight="1" x14ac:dyDescent="0.15"/>
    <row r="61146" s="9" customFormat="1" ht="21.95" customHeight="1" x14ac:dyDescent="0.15"/>
    <row r="61147" s="9" customFormat="1" ht="21.95" customHeight="1" x14ac:dyDescent="0.15"/>
    <row r="61148" s="9" customFormat="1" ht="21.95" customHeight="1" x14ac:dyDescent="0.15"/>
    <row r="61149" s="9" customFormat="1" ht="21.95" customHeight="1" x14ac:dyDescent="0.15"/>
    <row r="61150" s="9" customFormat="1" ht="21.95" customHeight="1" x14ac:dyDescent="0.15"/>
    <row r="61151" s="9" customFormat="1" ht="21.95" customHeight="1" x14ac:dyDescent="0.15"/>
    <row r="61152" s="9" customFormat="1" ht="21.95" customHeight="1" x14ac:dyDescent="0.15"/>
    <row r="61153" s="9" customFormat="1" ht="21.95" customHeight="1" x14ac:dyDescent="0.15"/>
    <row r="61154" s="9" customFormat="1" ht="21.95" customHeight="1" x14ac:dyDescent="0.15"/>
    <row r="61155" s="9" customFormat="1" ht="21.95" customHeight="1" x14ac:dyDescent="0.15"/>
    <row r="61156" s="9" customFormat="1" ht="21.95" customHeight="1" x14ac:dyDescent="0.15"/>
    <row r="61157" s="9" customFormat="1" ht="21.95" customHeight="1" x14ac:dyDescent="0.15"/>
    <row r="61158" s="9" customFormat="1" ht="21.95" customHeight="1" x14ac:dyDescent="0.15"/>
    <row r="61159" s="9" customFormat="1" ht="21.95" customHeight="1" x14ac:dyDescent="0.15"/>
    <row r="61160" s="9" customFormat="1" ht="21.95" customHeight="1" x14ac:dyDescent="0.15"/>
    <row r="61161" s="9" customFormat="1" ht="21.95" customHeight="1" x14ac:dyDescent="0.15"/>
    <row r="61162" s="9" customFormat="1" ht="21.95" customHeight="1" x14ac:dyDescent="0.15"/>
    <row r="61163" s="9" customFormat="1" ht="21.95" customHeight="1" x14ac:dyDescent="0.15"/>
    <row r="61164" s="9" customFormat="1" ht="21.95" customHeight="1" x14ac:dyDescent="0.15"/>
    <row r="61165" s="9" customFormat="1" ht="21.95" customHeight="1" x14ac:dyDescent="0.15"/>
    <row r="61166" s="9" customFormat="1" ht="21.95" customHeight="1" x14ac:dyDescent="0.15"/>
    <row r="61167" s="9" customFormat="1" ht="21.95" customHeight="1" x14ac:dyDescent="0.15"/>
    <row r="61168" s="9" customFormat="1" ht="21.95" customHeight="1" x14ac:dyDescent="0.15"/>
    <row r="61169" s="9" customFormat="1" ht="21.95" customHeight="1" x14ac:dyDescent="0.15"/>
    <row r="61170" s="9" customFormat="1" ht="21.95" customHeight="1" x14ac:dyDescent="0.15"/>
    <row r="61171" s="9" customFormat="1" ht="21.95" customHeight="1" x14ac:dyDescent="0.15"/>
    <row r="61172" s="9" customFormat="1" ht="21.95" customHeight="1" x14ac:dyDescent="0.15"/>
    <row r="61173" s="9" customFormat="1" ht="21.95" customHeight="1" x14ac:dyDescent="0.15"/>
    <row r="61174" s="9" customFormat="1" ht="35.1" customHeight="1" x14ac:dyDescent="0.15"/>
    <row r="61175" s="9" customFormat="1" ht="21.95" customHeight="1" x14ac:dyDescent="0.15"/>
    <row r="61176" s="9" customFormat="1" ht="21.95" customHeight="1" x14ac:dyDescent="0.15"/>
    <row r="61177" s="9" customFormat="1" ht="21.95" customHeight="1" x14ac:dyDescent="0.15"/>
    <row r="61178" s="9" customFormat="1" ht="21.95" customHeight="1" x14ac:dyDescent="0.15"/>
    <row r="61179" s="9" customFormat="1" ht="21.95" customHeight="1" x14ac:dyDescent="0.15"/>
    <row r="61180" s="9" customFormat="1" ht="21.95" customHeight="1" x14ac:dyDescent="0.15"/>
    <row r="61181" s="9" customFormat="1" ht="21.95" customHeight="1" x14ac:dyDescent="0.15"/>
    <row r="61182" s="9" customFormat="1" ht="21.95" customHeight="1" x14ac:dyDescent="0.15"/>
    <row r="61183" s="9" customFormat="1" ht="21.95" customHeight="1" x14ac:dyDescent="0.15"/>
    <row r="61184" s="9" customFormat="1" ht="21.95" customHeight="1" x14ac:dyDescent="0.15"/>
    <row r="61185" spans="3:3" s="9" customFormat="1" ht="21.95" customHeight="1" x14ac:dyDescent="0.15"/>
    <row r="61186" spans="3:3" s="9" customFormat="1" ht="21.95" customHeight="1" x14ac:dyDescent="0.15"/>
    <row r="61187" spans="3:3" s="9" customFormat="1" ht="21.95" customHeight="1" x14ac:dyDescent="0.15"/>
    <row r="61188" spans="3:3" s="9" customFormat="1" ht="21.95" customHeight="1" x14ac:dyDescent="0.15"/>
    <row r="61189" spans="3:3" s="9" customFormat="1" ht="21.95" customHeight="1" x14ac:dyDescent="0.15"/>
    <row r="61190" spans="3:3" s="9" customFormat="1" ht="21.95" customHeight="1" x14ac:dyDescent="0.15"/>
    <row r="61191" spans="3:3" s="9" customFormat="1" ht="21.95" customHeight="1" x14ac:dyDescent="0.15"/>
    <row r="61192" spans="3:3" s="9" customFormat="1" ht="21.95" customHeight="1" x14ac:dyDescent="0.15"/>
    <row r="61193" spans="3:3" s="9" customFormat="1" ht="21.95" customHeight="1" x14ac:dyDescent="0.15"/>
    <row r="61194" spans="3:3" s="9" customFormat="1" ht="21.95" customHeight="1" x14ac:dyDescent="0.15"/>
    <row r="61195" spans="3:3" s="9" customFormat="1" ht="21.95" customHeight="1" x14ac:dyDescent="0.15"/>
    <row r="61196" spans="3:3" s="9" customFormat="1" ht="21.95" customHeight="1" x14ac:dyDescent="0.15"/>
    <row r="61197" spans="3:3" s="9" customFormat="1" ht="21.95" customHeight="1" x14ac:dyDescent="0.15"/>
    <row r="61198" spans="3:3" s="8" customFormat="1" ht="21.95" customHeight="1" x14ac:dyDescent="0.15"/>
    <row r="61199" spans="3:3" s="8" customFormat="1" ht="21.95" customHeight="1" x14ac:dyDescent="0.15"/>
    <row r="61200" spans="3:3" s="8" customFormat="1" ht="21.95" customHeight="1" x14ac:dyDescent="0.15">
      <c r="C61200" s="101"/>
    </row>
    <row r="61201" spans="3:3" s="8" customFormat="1" ht="21.95" customHeight="1" x14ac:dyDescent="0.15">
      <c r="C61201" s="101"/>
    </row>
    <row r="61202" spans="3:3" s="8" customFormat="1" ht="21.95" customHeight="1" x14ac:dyDescent="0.15"/>
    <row r="61203" spans="3:3" s="8" customFormat="1" ht="21.95" customHeight="1" x14ac:dyDescent="0.15"/>
    <row r="61204" spans="3:3" s="8" customFormat="1" ht="21.95" customHeight="1" x14ac:dyDescent="0.15"/>
    <row r="61205" spans="3:3" s="8" customFormat="1" ht="21.95" customHeight="1" x14ac:dyDescent="0.15"/>
    <row r="61206" spans="3:3" s="8" customFormat="1" ht="21.95" customHeight="1" x14ac:dyDescent="0.15"/>
    <row r="61207" spans="3:3" s="8" customFormat="1" ht="21.95" customHeight="1" x14ac:dyDescent="0.15"/>
    <row r="61208" spans="3:3" s="8" customFormat="1" ht="21.95" customHeight="1" x14ac:dyDescent="0.15"/>
    <row r="61209" spans="3:3" s="9" customFormat="1" ht="21.95" customHeight="1" x14ac:dyDescent="0.15"/>
    <row r="61210" spans="3:3" s="9" customFormat="1" ht="21.95" customHeight="1" x14ac:dyDescent="0.15"/>
    <row r="61211" spans="3:3" s="9" customFormat="1" ht="21.95" customHeight="1" x14ac:dyDescent="0.15"/>
    <row r="61212" spans="3:3" s="9" customFormat="1" ht="21.95" customHeight="1" x14ac:dyDescent="0.15"/>
    <row r="61213" spans="3:3" s="8" customFormat="1" ht="21.95" customHeight="1" x14ac:dyDescent="0.15"/>
    <row r="61214" spans="3:3" s="8" customFormat="1" ht="21.95" customHeight="1" x14ac:dyDescent="0.15"/>
    <row r="61215" spans="3:3" s="8" customFormat="1" ht="21.95" customHeight="1" x14ac:dyDescent="0.15"/>
    <row r="61216" spans="3:3" s="8" customFormat="1" ht="21.95" customHeight="1" x14ac:dyDescent="0.15"/>
    <row r="61217" s="8" customFormat="1" ht="21.95" customHeight="1" x14ac:dyDescent="0.15"/>
    <row r="61218" s="8" customFormat="1" ht="21.95" customHeight="1" x14ac:dyDescent="0.15"/>
    <row r="61219" s="8" customFormat="1" ht="21.95" customHeight="1" x14ac:dyDescent="0.15"/>
    <row r="61220" s="8" customFormat="1" ht="21.95" customHeight="1" x14ac:dyDescent="0.15"/>
    <row r="61221" s="8" customFormat="1" ht="21.95" customHeight="1" x14ac:dyDescent="0.15"/>
    <row r="61222" s="8" customFormat="1" ht="21.95" customHeight="1" x14ac:dyDescent="0.15"/>
    <row r="61223" s="8" customFormat="1" ht="21.95" customHeight="1" x14ac:dyDescent="0.15"/>
    <row r="61224" s="8" customFormat="1" ht="32.1" customHeight="1" x14ac:dyDescent="0.15"/>
    <row r="61225" s="8" customFormat="1" ht="32.1" customHeight="1" x14ac:dyDescent="0.15"/>
    <row r="61226" s="8" customFormat="1" ht="32.1" customHeight="1" x14ac:dyDescent="0.15"/>
    <row r="61227" s="8" customFormat="1" ht="32.1" customHeight="1" x14ac:dyDescent="0.15"/>
    <row r="61228" s="8" customFormat="1" ht="32.1" customHeight="1" x14ac:dyDescent="0.15"/>
    <row r="61229" s="8" customFormat="1" ht="32.1" customHeight="1" x14ac:dyDescent="0.15"/>
    <row r="61230" s="9" customFormat="1" ht="32.1" customHeight="1" x14ac:dyDescent="0.15"/>
    <row r="61231" s="9" customFormat="1" ht="32.1" customHeight="1" x14ac:dyDescent="0.15"/>
    <row r="61232" s="9" customFormat="1" ht="32.1" customHeight="1" x14ac:dyDescent="0.15"/>
    <row r="61233" s="9" customFormat="1" ht="32.1" customHeight="1" x14ac:dyDescent="0.15"/>
    <row r="61234" s="9" customFormat="1" ht="21.95" customHeight="1" x14ac:dyDescent="0.15"/>
    <row r="61235" s="9" customFormat="1" ht="54" customHeight="1" x14ac:dyDescent="0.15"/>
    <row r="61236" s="9" customFormat="1" ht="21.95" customHeight="1" x14ac:dyDescent="0.15"/>
    <row r="61237" s="9" customFormat="1" ht="21.95" customHeight="1" x14ac:dyDescent="0.15"/>
    <row r="61238" s="9" customFormat="1" ht="21.95" customHeight="1" x14ac:dyDescent="0.15"/>
    <row r="61239" s="9" customFormat="1" ht="21.95" customHeight="1" x14ac:dyDescent="0.15"/>
    <row r="61240" s="9" customFormat="1" ht="21.95" customHeight="1" x14ac:dyDescent="0.15"/>
    <row r="61241" s="9" customFormat="1" ht="21.95" customHeight="1" x14ac:dyDescent="0.15"/>
    <row r="61242" s="9" customFormat="1" ht="21.95" customHeight="1" x14ac:dyDescent="0.15"/>
    <row r="61243" s="9" customFormat="1" ht="21.95" customHeight="1" x14ac:dyDescent="0.15"/>
    <row r="61244" s="9" customFormat="1" ht="21.95" customHeight="1" x14ac:dyDescent="0.15"/>
    <row r="61245" s="9" customFormat="1" ht="21.95" customHeight="1" x14ac:dyDescent="0.15"/>
    <row r="61246" s="9" customFormat="1" ht="21.95" customHeight="1" x14ac:dyDescent="0.15"/>
    <row r="61247" s="9" customFormat="1" ht="21.95" customHeight="1" x14ac:dyDescent="0.15"/>
    <row r="61248" s="9" customFormat="1" ht="21.95" customHeight="1" x14ac:dyDescent="0.15"/>
    <row r="61249" s="9" customFormat="1" ht="21.95" customHeight="1" x14ac:dyDescent="0.15"/>
    <row r="61250" s="9" customFormat="1" ht="21.95" customHeight="1" x14ac:dyDescent="0.15"/>
    <row r="61251" s="9" customFormat="1" ht="21.95" customHeight="1" x14ac:dyDescent="0.15"/>
    <row r="61252" s="9" customFormat="1" ht="21.95" customHeight="1" x14ac:dyDescent="0.15"/>
    <row r="61253" s="9" customFormat="1" ht="21.95" customHeight="1" x14ac:dyDescent="0.15"/>
    <row r="61254" s="9" customFormat="1" ht="21.95" customHeight="1" x14ac:dyDescent="0.15"/>
    <row r="61255" s="9" customFormat="1" ht="21.95" customHeight="1" x14ac:dyDescent="0.15"/>
    <row r="61256" s="9" customFormat="1" ht="21.95" customHeight="1" x14ac:dyDescent="0.15"/>
    <row r="61257" s="9" customFormat="1" ht="21.95" customHeight="1" x14ac:dyDescent="0.15"/>
    <row r="61258" s="9" customFormat="1" ht="21.95" customHeight="1" x14ac:dyDescent="0.15"/>
    <row r="61259" s="9" customFormat="1" ht="21.95" customHeight="1" x14ac:dyDescent="0.15"/>
    <row r="61260" s="9" customFormat="1" ht="21.95" customHeight="1" x14ac:dyDescent="0.15"/>
    <row r="61261" s="9" customFormat="1" ht="21.95" customHeight="1" x14ac:dyDescent="0.15"/>
    <row r="61262" s="9" customFormat="1" ht="21.95" customHeight="1" x14ac:dyDescent="0.15"/>
    <row r="61263" s="9" customFormat="1" ht="21.95" customHeight="1" x14ac:dyDescent="0.15"/>
    <row r="61264" s="9" customFormat="1" ht="21.95" customHeight="1" x14ac:dyDescent="0.15"/>
    <row r="61265" s="9" customFormat="1" ht="21.95" customHeight="1" x14ac:dyDescent="0.15"/>
    <row r="61266" s="9" customFormat="1" ht="21.95" customHeight="1" x14ac:dyDescent="0.15"/>
    <row r="61267" s="9" customFormat="1" ht="21.95" customHeight="1" x14ac:dyDescent="0.15"/>
    <row r="61268" s="9" customFormat="1" ht="21.95" customHeight="1" x14ac:dyDescent="0.15"/>
    <row r="61269" s="9" customFormat="1" ht="21.95" customHeight="1" x14ac:dyDescent="0.15"/>
    <row r="61270" s="9" customFormat="1" ht="21.95" customHeight="1" x14ac:dyDescent="0.15"/>
    <row r="61271" s="9" customFormat="1" ht="21.95" customHeight="1" x14ac:dyDescent="0.15"/>
    <row r="61272" s="9" customFormat="1" ht="21.95" customHeight="1" x14ac:dyDescent="0.15"/>
    <row r="61273" s="9" customFormat="1" ht="21.95" customHeight="1" x14ac:dyDescent="0.15"/>
    <row r="61274" s="9" customFormat="1" ht="21.95" customHeight="1" x14ac:dyDescent="0.15"/>
    <row r="61275" s="9" customFormat="1" ht="21.95" customHeight="1" x14ac:dyDescent="0.15"/>
    <row r="61276" s="9" customFormat="1" ht="21.95" customHeight="1" x14ac:dyDescent="0.15"/>
    <row r="61277" s="9" customFormat="1" ht="21.95" customHeight="1" x14ac:dyDescent="0.15"/>
    <row r="61278" s="9" customFormat="1" ht="21.95" customHeight="1" x14ac:dyDescent="0.15"/>
    <row r="61279" s="9" customFormat="1" ht="21.95" customHeight="1" x14ac:dyDescent="0.15"/>
    <row r="61280" s="9" customFormat="1" ht="21.95" customHeight="1" x14ac:dyDescent="0.15"/>
    <row r="61281" s="9" customFormat="1" ht="21.95" customHeight="1" x14ac:dyDescent="0.15"/>
    <row r="61282" s="9" customFormat="1" ht="21.95" customHeight="1" x14ac:dyDescent="0.15"/>
    <row r="61283" s="9" customFormat="1" ht="21.95" customHeight="1" x14ac:dyDescent="0.15"/>
    <row r="61284" s="9" customFormat="1" ht="21.95" customHeight="1" x14ac:dyDescent="0.15"/>
    <row r="61285" s="9" customFormat="1" ht="21.95" customHeight="1" x14ac:dyDescent="0.15"/>
    <row r="61286" s="9" customFormat="1" ht="35.1" customHeight="1" x14ac:dyDescent="0.15"/>
    <row r="61287" s="9" customFormat="1" ht="21.95" customHeight="1" x14ac:dyDescent="0.15"/>
    <row r="61288" s="9" customFormat="1" ht="21.95" customHeight="1" x14ac:dyDescent="0.15"/>
    <row r="61289" s="9" customFormat="1" ht="21.95" customHeight="1" x14ac:dyDescent="0.15"/>
    <row r="61290" s="9" customFormat="1" ht="21.95" customHeight="1" x14ac:dyDescent="0.15"/>
    <row r="61291" s="9" customFormat="1" ht="21.95" customHeight="1" x14ac:dyDescent="0.15"/>
    <row r="61292" s="9" customFormat="1" ht="21.95" customHeight="1" x14ac:dyDescent="0.15"/>
    <row r="61293" s="9" customFormat="1" ht="21.95" customHeight="1" x14ac:dyDescent="0.15"/>
    <row r="61294" s="9" customFormat="1" ht="21.95" customHeight="1" x14ac:dyDescent="0.15"/>
    <row r="61295" s="9" customFormat="1" ht="21.95" customHeight="1" x14ac:dyDescent="0.15"/>
    <row r="61296" s="9" customFormat="1" ht="21.95" customHeight="1" x14ac:dyDescent="0.15"/>
    <row r="61297" spans="3:3" s="9" customFormat="1" ht="21.95" customHeight="1" x14ac:dyDescent="0.15"/>
    <row r="61298" spans="3:3" s="9" customFormat="1" ht="21.95" customHeight="1" x14ac:dyDescent="0.15"/>
    <row r="61299" spans="3:3" s="9" customFormat="1" ht="21.95" customHeight="1" x14ac:dyDescent="0.15"/>
    <row r="61300" spans="3:3" s="9" customFormat="1" ht="21.95" customHeight="1" x14ac:dyDescent="0.15"/>
    <row r="61301" spans="3:3" s="9" customFormat="1" ht="21.95" customHeight="1" x14ac:dyDescent="0.15"/>
    <row r="61302" spans="3:3" s="9" customFormat="1" ht="21.95" customHeight="1" x14ac:dyDescent="0.15"/>
    <row r="61303" spans="3:3" s="9" customFormat="1" ht="21.95" customHeight="1" x14ac:dyDescent="0.15"/>
    <row r="61304" spans="3:3" s="9" customFormat="1" ht="21.95" customHeight="1" x14ac:dyDescent="0.15"/>
    <row r="61305" spans="3:3" s="9" customFormat="1" ht="21.95" customHeight="1" x14ac:dyDescent="0.15"/>
    <row r="61306" spans="3:3" s="9" customFormat="1" ht="21.95" customHeight="1" x14ac:dyDescent="0.15"/>
    <row r="61307" spans="3:3" s="9" customFormat="1" ht="21.95" customHeight="1" x14ac:dyDescent="0.15"/>
    <row r="61308" spans="3:3" s="9" customFormat="1" ht="21.95" customHeight="1" x14ac:dyDescent="0.15"/>
    <row r="61309" spans="3:3" s="9" customFormat="1" ht="21.95" customHeight="1" x14ac:dyDescent="0.15"/>
    <row r="61310" spans="3:3" s="8" customFormat="1" ht="21.95" customHeight="1" x14ac:dyDescent="0.15"/>
    <row r="61311" spans="3:3" s="8" customFormat="1" ht="21.95" customHeight="1" x14ac:dyDescent="0.15"/>
    <row r="61312" spans="3:3" s="8" customFormat="1" ht="21.95" customHeight="1" x14ac:dyDescent="0.15">
      <c r="C61312" s="101"/>
    </row>
    <row r="61313" spans="3:3" s="8" customFormat="1" ht="21.95" customHeight="1" x14ac:dyDescent="0.15">
      <c r="C61313" s="101"/>
    </row>
    <row r="61314" spans="3:3" s="8" customFormat="1" ht="21.95" customHeight="1" x14ac:dyDescent="0.15"/>
    <row r="61315" spans="3:3" s="8" customFormat="1" ht="21.95" customHeight="1" x14ac:dyDescent="0.15"/>
    <row r="61316" spans="3:3" s="8" customFormat="1" ht="21.95" customHeight="1" x14ac:dyDescent="0.15"/>
    <row r="61317" spans="3:3" s="8" customFormat="1" ht="21.95" customHeight="1" x14ac:dyDescent="0.15"/>
    <row r="61318" spans="3:3" s="8" customFormat="1" ht="21.95" customHeight="1" x14ac:dyDescent="0.15"/>
    <row r="61319" spans="3:3" s="8" customFormat="1" ht="21.95" customHeight="1" x14ac:dyDescent="0.15"/>
    <row r="61320" spans="3:3" s="8" customFormat="1" ht="21.95" customHeight="1" x14ac:dyDescent="0.15"/>
    <row r="61321" spans="3:3" s="9" customFormat="1" ht="21.95" customHeight="1" x14ac:dyDescent="0.15"/>
    <row r="61322" spans="3:3" s="9" customFormat="1" ht="21.95" customHeight="1" x14ac:dyDescent="0.15"/>
    <row r="61323" spans="3:3" s="9" customFormat="1" ht="21.95" customHeight="1" x14ac:dyDescent="0.15"/>
    <row r="61324" spans="3:3" s="9" customFormat="1" ht="21.95" customHeight="1" x14ac:dyDescent="0.15"/>
    <row r="61325" spans="3:3" s="8" customFormat="1" ht="21.95" customHeight="1" x14ac:dyDescent="0.15"/>
    <row r="61326" spans="3:3" s="8" customFormat="1" ht="21.95" customHeight="1" x14ac:dyDescent="0.15"/>
    <row r="61327" spans="3:3" s="8" customFormat="1" ht="21.95" customHeight="1" x14ac:dyDescent="0.15"/>
    <row r="61328" spans="3:3" s="8" customFormat="1" ht="21.95" customHeight="1" x14ac:dyDescent="0.15"/>
    <row r="61329" s="8" customFormat="1" ht="21.95" customHeight="1" x14ac:dyDescent="0.15"/>
    <row r="61330" s="8" customFormat="1" ht="21.95" customHeight="1" x14ac:dyDescent="0.15"/>
    <row r="61331" s="8" customFormat="1" ht="21.95" customHeight="1" x14ac:dyDescent="0.15"/>
    <row r="61332" s="8" customFormat="1" ht="21.95" customHeight="1" x14ac:dyDescent="0.15"/>
    <row r="61333" s="8" customFormat="1" ht="21.95" customHeight="1" x14ac:dyDescent="0.15"/>
    <row r="61334" s="8" customFormat="1" ht="21.95" customHeight="1" x14ac:dyDescent="0.15"/>
    <row r="61335" s="8" customFormat="1" ht="21.95" customHeight="1" x14ac:dyDescent="0.15"/>
    <row r="61336" s="8" customFormat="1" ht="32.1" customHeight="1" x14ac:dyDescent="0.15"/>
    <row r="61337" s="8" customFormat="1" ht="32.1" customHeight="1" x14ac:dyDescent="0.15"/>
    <row r="61338" s="8" customFormat="1" ht="32.1" customHeight="1" x14ac:dyDescent="0.15"/>
    <row r="61339" s="8" customFormat="1" ht="32.1" customHeight="1" x14ac:dyDescent="0.15"/>
    <row r="61340" s="8" customFormat="1" ht="32.1" customHeight="1" x14ac:dyDescent="0.15"/>
    <row r="61341" s="8" customFormat="1" ht="32.1" customHeight="1" x14ac:dyDescent="0.15"/>
    <row r="61342" s="9" customFormat="1" ht="32.1" customHeight="1" x14ac:dyDescent="0.15"/>
    <row r="61343" s="9" customFormat="1" ht="32.1" customHeight="1" x14ac:dyDescent="0.15"/>
    <row r="61344" s="9" customFormat="1" ht="32.1" customHeight="1" x14ac:dyDescent="0.15"/>
    <row r="61345" s="9" customFormat="1" ht="32.1" customHeight="1" x14ac:dyDescent="0.15"/>
    <row r="61346" s="9" customFormat="1" ht="21.95" customHeight="1" x14ac:dyDescent="0.15"/>
    <row r="61347" s="9" customFormat="1" ht="54" customHeight="1" x14ac:dyDescent="0.15"/>
    <row r="61348" s="9" customFormat="1" ht="21.95" customHeight="1" x14ac:dyDescent="0.15"/>
    <row r="61349" s="9" customFormat="1" ht="21.95" customHeight="1" x14ac:dyDescent="0.15"/>
    <row r="61350" s="9" customFormat="1" ht="21.95" customHeight="1" x14ac:dyDescent="0.15"/>
    <row r="61351" s="9" customFormat="1" ht="21.95" customHeight="1" x14ac:dyDescent="0.15"/>
    <row r="61352" s="9" customFormat="1" ht="21.95" customHeight="1" x14ac:dyDescent="0.15"/>
    <row r="61353" s="9" customFormat="1" ht="21.95" customHeight="1" x14ac:dyDescent="0.15"/>
    <row r="61354" s="9" customFormat="1" ht="21.95" customHeight="1" x14ac:dyDescent="0.15"/>
    <row r="61355" s="9" customFormat="1" ht="21.95" customHeight="1" x14ac:dyDescent="0.15"/>
    <row r="61356" s="9" customFormat="1" ht="21.95" customHeight="1" x14ac:dyDescent="0.15"/>
    <row r="61357" s="9" customFormat="1" ht="21.95" customHeight="1" x14ac:dyDescent="0.15"/>
    <row r="61358" s="9" customFormat="1" ht="21.95" customHeight="1" x14ac:dyDescent="0.15"/>
    <row r="61359" s="9" customFormat="1" ht="21.95" customHeight="1" x14ac:dyDescent="0.15"/>
    <row r="61360" s="9" customFormat="1" ht="21.95" customHeight="1" x14ac:dyDescent="0.15"/>
    <row r="61361" s="9" customFormat="1" ht="21.95" customHeight="1" x14ac:dyDescent="0.15"/>
    <row r="61362" s="9" customFormat="1" ht="21.95" customHeight="1" x14ac:dyDescent="0.15"/>
    <row r="61363" s="9" customFormat="1" ht="21.95" customHeight="1" x14ac:dyDescent="0.15"/>
    <row r="61364" s="9" customFormat="1" ht="21.95" customHeight="1" x14ac:dyDescent="0.15"/>
    <row r="61365" s="9" customFormat="1" ht="21.95" customHeight="1" x14ac:dyDescent="0.15"/>
    <row r="61366" s="9" customFormat="1" ht="21.95" customHeight="1" x14ac:dyDescent="0.15"/>
    <row r="61367" s="9" customFormat="1" ht="21.95" customHeight="1" x14ac:dyDescent="0.15"/>
    <row r="61368" s="9" customFormat="1" ht="21.95" customHeight="1" x14ac:dyDescent="0.15"/>
    <row r="61369" s="9" customFormat="1" ht="21.95" customHeight="1" x14ac:dyDescent="0.15"/>
    <row r="61370" s="9" customFormat="1" ht="21.95" customHeight="1" x14ac:dyDescent="0.15"/>
    <row r="61371" s="9" customFormat="1" ht="21.95" customHeight="1" x14ac:dyDescent="0.15"/>
    <row r="61372" s="9" customFormat="1" ht="21.95" customHeight="1" x14ac:dyDescent="0.15"/>
    <row r="61373" s="9" customFormat="1" ht="21.95" customHeight="1" x14ac:dyDescent="0.15"/>
    <row r="61374" s="9" customFormat="1" ht="21.95" customHeight="1" x14ac:dyDescent="0.15"/>
    <row r="61375" s="9" customFormat="1" ht="21.95" customHeight="1" x14ac:dyDescent="0.15"/>
    <row r="61376" s="9" customFormat="1" ht="21.95" customHeight="1" x14ac:dyDescent="0.15"/>
    <row r="61377" s="9" customFormat="1" ht="21.95" customHeight="1" x14ac:dyDescent="0.15"/>
    <row r="61378" s="9" customFormat="1" ht="21.95" customHeight="1" x14ac:dyDescent="0.15"/>
    <row r="61379" s="9" customFormat="1" ht="21.95" customHeight="1" x14ac:dyDescent="0.15"/>
    <row r="61380" s="9" customFormat="1" ht="21.95" customHeight="1" x14ac:dyDescent="0.15"/>
    <row r="61381" s="9" customFormat="1" ht="21.95" customHeight="1" x14ac:dyDescent="0.15"/>
    <row r="61382" s="9" customFormat="1" ht="21.95" customHeight="1" x14ac:dyDescent="0.15"/>
    <row r="61383" s="9" customFormat="1" ht="21.95" customHeight="1" x14ac:dyDescent="0.15"/>
    <row r="61384" s="9" customFormat="1" ht="21.95" customHeight="1" x14ac:dyDescent="0.15"/>
    <row r="61385" s="9" customFormat="1" ht="21.95" customHeight="1" x14ac:dyDescent="0.15"/>
    <row r="61386" s="9" customFormat="1" ht="21.95" customHeight="1" x14ac:dyDescent="0.15"/>
    <row r="61387" s="9" customFormat="1" ht="21.95" customHeight="1" x14ac:dyDescent="0.15"/>
    <row r="61388" s="9" customFormat="1" ht="21.95" customHeight="1" x14ac:dyDescent="0.15"/>
    <row r="61389" s="9" customFormat="1" ht="21.95" customHeight="1" x14ac:dyDescent="0.15"/>
    <row r="61390" s="9" customFormat="1" ht="21.95" customHeight="1" x14ac:dyDescent="0.15"/>
    <row r="61391" s="9" customFormat="1" ht="21.95" customHeight="1" x14ac:dyDescent="0.15"/>
    <row r="61392" s="9" customFormat="1" ht="21.95" customHeight="1" x14ac:dyDescent="0.15"/>
    <row r="61393" s="9" customFormat="1" ht="21.95" customHeight="1" x14ac:dyDescent="0.15"/>
    <row r="61394" s="9" customFormat="1" ht="21.95" customHeight="1" x14ac:dyDescent="0.15"/>
    <row r="61395" s="9" customFormat="1" ht="21.95" customHeight="1" x14ac:dyDescent="0.15"/>
    <row r="61396" s="9" customFormat="1" ht="21.95" customHeight="1" x14ac:dyDescent="0.15"/>
    <row r="61397" s="9" customFormat="1" ht="21.95" customHeight="1" x14ac:dyDescent="0.15"/>
    <row r="61398" s="9" customFormat="1" ht="35.1" customHeight="1" x14ac:dyDescent="0.15"/>
    <row r="61399" s="9" customFormat="1" ht="21.95" customHeight="1" x14ac:dyDescent="0.15"/>
    <row r="61400" s="9" customFormat="1" ht="21.95" customHeight="1" x14ac:dyDescent="0.15"/>
    <row r="61401" s="9" customFormat="1" ht="21.95" customHeight="1" x14ac:dyDescent="0.15"/>
    <row r="61402" s="9" customFormat="1" ht="21.95" customHeight="1" x14ac:dyDescent="0.15"/>
    <row r="61403" s="9" customFormat="1" ht="21.95" customHeight="1" x14ac:dyDescent="0.15"/>
    <row r="61404" s="9" customFormat="1" ht="21.95" customHeight="1" x14ac:dyDescent="0.15"/>
    <row r="61405" s="9" customFormat="1" ht="21.95" customHeight="1" x14ac:dyDescent="0.15"/>
    <row r="61406" s="9" customFormat="1" ht="21.95" customHeight="1" x14ac:dyDescent="0.15"/>
    <row r="61407" s="9" customFormat="1" ht="21.95" customHeight="1" x14ac:dyDescent="0.15"/>
    <row r="61408" s="9" customFormat="1" ht="21.95" customHeight="1" x14ac:dyDescent="0.15"/>
    <row r="61409" spans="3:3" s="9" customFormat="1" ht="21.95" customHeight="1" x14ac:dyDescent="0.15"/>
    <row r="61410" spans="3:3" s="9" customFormat="1" ht="21.95" customHeight="1" x14ac:dyDescent="0.15"/>
    <row r="61411" spans="3:3" s="9" customFormat="1" ht="21.95" customHeight="1" x14ac:dyDescent="0.15"/>
    <row r="61412" spans="3:3" s="9" customFormat="1" ht="21.95" customHeight="1" x14ac:dyDescent="0.15"/>
    <row r="61413" spans="3:3" s="9" customFormat="1" ht="21.95" customHeight="1" x14ac:dyDescent="0.15"/>
    <row r="61414" spans="3:3" s="9" customFormat="1" ht="21.95" customHeight="1" x14ac:dyDescent="0.15"/>
    <row r="61415" spans="3:3" s="9" customFormat="1" ht="21.95" customHeight="1" x14ac:dyDescent="0.15"/>
    <row r="61416" spans="3:3" s="9" customFormat="1" ht="21.95" customHeight="1" x14ac:dyDescent="0.15"/>
    <row r="61417" spans="3:3" s="9" customFormat="1" ht="21.95" customHeight="1" x14ac:dyDescent="0.15"/>
    <row r="61418" spans="3:3" s="9" customFormat="1" ht="21.95" customHeight="1" x14ac:dyDescent="0.15"/>
    <row r="61419" spans="3:3" s="9" customFormat="1" ht="21.95" customHeight="1" x14ac:dyDescent="0.15"/>
    <row r="61420" spans="3:3" s="9" customFormat="1" ht="21.95" customHeight="1" x14ac:dyDescent="0.15"/>
    <row r="61421" spans="3:3" s="9" customFormat="1" ht="21.95" customHeight="1" x14ac:dyDescent="0.15"/>
    <row r="61422" spans="3:3" s="8" customFormat="1" ht="21.95" customHeight="1" x14ac:dyDescent="0.15"/>
    <row r="61423" spans="3:3" s="8" customFormat="1" ht="21.95" customHeight="1" x14ac:dyDescent="0.15"/>
    <row r="61424" spans="3:3" s="8" customFormat="1" ht="21.95" customHeight="1" x14ac:dyDescent="0.15">
      <c r="C61424" s="101"/>
    </row>
    <row r="61425" spans="3:3" s="8" customFormat="1" ht="21.95" customHeight="1" x14ac:dyDescent="0.15">
      <c r="C61425" s="101"/>
    </row>
    <row r="61426" spans="3:3" s="8" customFormat="1" ht="21.95" customHeight="1" x14ac:dyDescent="0.15"/>
    <row r="61427" spans="3:3" s="8" customFormat="1" ht="21.95" customHeight="1" x14ac:dyDescent="0.15"/>
    <row r="61428" spans="3:3" s="8" customFormat="1" ht="21.95" customHeight="1" x14ac:dyDescent="0.15"/>
    <row r="61429" spans="3:3" s="8" customFormat="1" ht="21.95" customHeight="1" x14ac:dyDescent="0.15"/>
    <row r="61430" spans="3:3" s="8" customFormat="1" ht="21.95" customHeight="1" x14ac:dyDescent="0.15"/>
    <row r="61431" spans="3:3" s="8" customFormat="1" ht="21.95" customHeight="1" x14ac:dyDescent="0.15"/>
    <row r="61432" spans="3:3" s="8" customFormat="1" ht="21.95" customHeight="1" x14ac:dyDescent="0.15"/>
    <row r="61433" spans="3:3" s="9" customFormat="1" ht="21.95" customHeight="1" x14ac:dyDescent="0.15"/>
    <row r="61434" spans="3:3" s="9" customFormat="1" ht="21.95" customHeight="1" x14ac:dyDescent="0.15"/>
    <row r="61435" spans="3:3" s="9" customFormat="1" ht="21.95" customHeight="1" x14ac:dyDescent="0.15"/>
    <row r="61436" spans="3:3" s="9" customFormat="1" ht="21.95" customHeight="1" x14ac:dyDescent="0.15"/>
    <row r="61437" spans="3:3" s="8" customFormat="1" ht="21.95" customHeight="1" x14ac:dyDescent="0.15"/>
    <row r="61438" spans="3:3" s="8" customFormat="1" ht="21.95" customHeight="1" x14ac:dyDescent="0.15"/>
    <row r="61439" spans="3:3" s="8" customFormat="1" ht="21.95" customHeight="1" x14ac:dyDescent="0.15"/>
    <row r="61440" spans="3:3" s="8" customFormat="1" ht="21.95" customHeight="1" x14ac:dyDescent="0.15"/>
    <row r="61441" s="8" customFormat="1" ht="21.95" customHeight="1" x14ac:dyDescent="0.15"/>
    <row r="61442" s="8" customFormat="1" ht="21.95" customHeight="1" x14ac:dyDescent="0.15"/>
    <row r="61443" s="8" customFormat="1" ht="21.95" customHeight="1" x14ac:dyDescent="0.15"/>
    <row r="61444" s="8" customFormat="1" ht="21.95" customHeight="1" x14ac:dyDescent="0.15"/>
    <row r="61445" s="8" customFormat="1" ht="21.95" customHeight="1" x14ac:dyDescent="0.15"/>
    <row r="61446" s="8" customFormat="1" ht="21.95" customHeight="1" x14ac:dyDescent="0.15"/>
    <row r="61447" s="8" customFormat="1" ht="21.95" customHeight="1" x14ac:dyDescent="0.15"/>
    <row r="61448" s="8" customFormat="1" ht="32.1" customHeight="1" x14ac:dyDescent="0.15"/>
    <row r="61449" s="8" customFormat="1" ht="32.1" customHeight="1" x14ac:dyDescent="0.15"/>
    <row r="61450" s="8" customFormat="1" ht="32.1" customHeight="1" x14ac:dyDescent="0.15"/>
    <row r="61451" s="8" customFormat="1" ht="32.1" customHeight="1" x14ac:dyDescent="0.15"/>
    <row r="61452" s="8" customFormat="1" ht="32.1" customHeight="1" x14ac:dyDescent="0.15"/>
    <row r="61453" s="8" customFormat="1" ht="32.1" customHeight="1" x14ac:dyDescent="0.15"/>
    <row r="61454" s="9" customFormat="1" ht="32.1" customHeight="1" x14ac:dyDescent="0.15"/>
    <row r="61455" s="9" customFormat="1" ht="32.1" customHeight="1" x14ac:dyDescent="0.15"/>
    <row r="61456" s="9" customFormat="1" ht="32.1" customHeight="1" x14ac:dyDescent="0.15"/>
    <row r="61457" s="9" customFormat="1" ht="32.1" customHeight="1" x14ac:dyDescent="0.15"/>
    <row r="61458" s="9" customFormat="1" ht="21.95" customHeight="1" x14ac:dyDescent="0.15"/>
    <row r="61459" s="9" customFormat="1" ht="54" customHeight="1" x14ac:dyDescent="0.15"/>
    <row r="61460" s="9" customFormat="1" ht="21.95" customHeight="1" x14ac:dyDescent="0.15"/>
    <row r="61461" s="9" customFormat="1" ht="21.95" customHeight="1" x14ac:dyDescent="0.15"/>
    <row r="61462" s="9" customFormat="1" ht="21.95" customHeight="1" x14ac:dyDescent="0.15"/>
    <row r="61463" s="9" customFormat="1" ht="21.95" customHeight="1" x14ac:dyDescent="0.15"/>
    <row r="61464" s="9" customFormat="1" ht="21.95" customHeight="1" x14ac:dyDescent="0.15"/>
    <row r="61465" s="9" customFormat="1" ht="21.95" customHeight="1" x14ac:dyDescent="0.15"/>
    <row r="61466" s="9" customFormat="1" ht="21.95" customHeight="1" x14ac:dyDescent="0.15"/>
    <row r="61467" s="9" customFormat="1" ht="21.95" customHeight="1" x14ac:dyDescent="0.15"/>
    <row r="61468" s="9" customFormat="1" ht="21.95" customHeight="1" x14ac:dyDescent="0.15"/>
    <row r="61469" s="9" customFormat="1" ht="21.95" customHeight="1" x14ac:dyDescent="0.15"/>
    <row r="61470" s="9" customFormat="1" ht="21.95" customHeight="1" x14ac:dyDescent="0.15"/>
    <row r="61471" s="9" customFormat="1" ht="21.95" customHeight="1" x14ac:dyDescent="0.15"/>
    <row r="61472" s="9" customFormat="1" ht="21.95" customHeight="1" x14ac:dyDescent="0.15"/>
    <row r="61473" s="9" customFormat="1" ht="21.95" customHeight="1" x14ac:dyDescent="0.15"/>
    <row r="61474" s="9" customFormat="1" ht="21.95" customHeight="1" x14ac:dyDescent="0.15"/>
    <row r="61475" s="9" customFormat="1" ht="21.95" customHeight="1" x14ac:dyDescent="0.15"/>
    <row r="61476" s="9" customFormat="1" ht="21.95" customHeight="1" x14ac:dyDescent="0.15"/>
    <row r="61477" s="9" customFormat="1" ht="21.95" customHeight="1" x14ac:dyDescent="0.15"/>
    <row r="61478" s="9" customFormat="1" ht="21.95" customHeight="1" x14ac:dyDescent="0.15"/>
    <row r="61479" s="9" customFormat="1" ht="21.95" customHeight="1" x14ac:dyDescent="0.15"/>
    <row r="61480" s="9" customFormat="1" ht="21.95" customHeight="1" x14ac:dyDescent="0.15"/>
    <row r="61481" s="9" customFormat="1" ht="21.95" customHeight="1" x14ac:dyDescent="0.15"/>
    <row r="61482" s="9" customFormat="1" ht="21.95" customHeight="1" x14ac:dyDescent="0.15"/>
    <row r="61483" s="9" customFormat="1" ht="21.95" customHeight="1" x14ac:dyDescent="0.15"/>
    <row r="61484" s="9" customFormat="1" ht="21.95" customHeight="1" x14ac:dyDescent="0.15"/>
    <row r="61485" s="9" customFormat="1" ht="21.95" customHeight="1" x14ac:dyDescent="0.15"/>
    <row r="61486" s="9" customFormat="1" ht="21.95" customHeight="1" x14ac:dyDescent="0.15"/>
    <row r="61487" s="9" customFormat="1" ht="21.95" customHeight="1" x14ac:dyDescent="0.15"/>
    <row r="61488" s="9" customFormat="1" ht="21.95" customHeight="1" x14ac:dyDescent="0.15"/>
    <row r="61489" s="9" customFormat="1" ht="21.95" customHeight="1" x14ac:dyDescent="0.15"/>
    <row r="61490" s="9" customFormat="1" ht="21.95" customHeight="1" x14ac:dyDescent="0.15"/>
    <row r="61491" s="9" customFormat="1" ht="21.95" customHeight="1" x14ac:dyDescent="0.15"/>
    <row r="61492" s="9" customFormat="1" ht="21.95" customHeight="1" x14ac:dyDescent="0.15"/>
    <row r="61493" s="9" customFormat="1" ht="21.95" customHeight="1" x14ac:dyDescent="0.15"/>
    <row r="61494" s="9" customFormat="1" ht="21.95" customHeight="1" x14ac:dyDescent="0.15"/>
    <row r="61495" s="9" customFormat="1" ht="21.95" customHeight="1" x14ac:dyDescent="0.15"/>
    <row r="61496" s="9" customFormat="1" ht="21.95" customHeight="1" x14ac:dyDescent="0.15"/>
    <row r="61497" s="9" customFormat="1" ht="21.95" customHeight="1" x14ac:dyDescent="0.15"/>
    <row r="61498" s="9" customFormat="1" ht="21.95" customHeight="1" x14ac:dyDescent="0.15"/>
    <row r="61499" s="9" customFormat="1" ht="21.95" customHeight="1" x14ac:dyDescent="0.15"/>
    <row r="61500" s="9" customFormat="1" ht="21.95" customHeight="1" x14ac:dyDescent="0.15"/>
    <row r="61501" s="9" customFormat="1" ht="21.95" customHeight="1" x14ac:dyDescent="0.15"/>
    <row r="61502" s="9" customFormat="1" ht="21.95" customHeight="1" x14ac:dyDescent="0.15"/>
    <row r="61503" s="9" customFormat="1" ht="21.95" customHeight="1" x14ac:dyDescent="0.15"/>
    <row r="61504" s="9" customFormat="1" ht="21.95" customHeight="1" x14ac:dyDescent="0.15"/>
    <row r="61505" s="9" customFormat="1" ht="21.95" customHeight="1" x14ac:dyDescent="0.15"/>
    <row r="61506" s="9" customFormat="1" ht="21.95" customHeight="1" x14ac:dyDescent="0.15"/>
    <row r="61507" s="9" customFormat="1" ht="21.95" customHeight="1" x14ac:dyDescent="0.15"/>
    <row r="61508" s="9" customFormat="1" ht="21.95" customHeight="1" x14ac:dyDescent="0.15"/>
    <row r="61509" s="9" customFormat="1" ht="21.95" customHeight="1" x14ac:dyDescent="0.15"/>
    <row r="61510" s="9" customFormat="1" ht="35.1" customHeight="1" x14ac:dyDescent="0.15"/>
    <row r="61511" s="9" customFormat="1" ht="21.95" customHeight="1" x14ac:dyDescent="0.15"/>
    <row r="61512" s="9" customFormat="1" ht="21.95" customHeight="1" x14ac:dyDescent="0.15"/>
    <row r="61513" s="9" customFormat="1" ht="21.95" customHeight="1" x14ac:dyDescent="0.15"/>
    <row r="61514" s="9" customFormat="1" ht="21.95" customHeight="1" x14ac:dyDescent="0.15"/>
    <row r="61515" s="9" customFormat="1" ht="21.95" customHeight="1" x14ac:dyDescent="0.15"/>
    <row r="61516" s="9" customFormat="1" ht="21.95" customHeight="1" x14ac:dyDescent="0.15"/>
    <row r="61517" s="9" customFormat="1" ht="21.95" customHeight="1" x14ac:dyDescent="0.15"/>
    <row r="61518" s="9" customFormat="1" ht="21.95" customHeight="1" x14ac:dyDescent="0.15"/>
    <row r="61519" s="9" customFormat="1" ht="21.95" customHeight="1" x14ac:dyDescent="0.15"/>
    <row r="61520" s="9" customFormat="1" ht="21.95" customHeight="1" x14ac:dyDescent="0.15"/>
    <row r="61521" spans="3:3" s="9" customFormat="1" ht="21.95" customHeight="1" x14ac:dyDescent="0.15"/>
    <row r="61522" spans="3:3" s="9" customFormat="1" ht="21.95" customHeight="1" x14ac:dyDescent="0.15"/>
    <row r="61523" spans="3:3" s="9" customFormat="1" ht="21.95" customHeight="1" x14ac:dyDescent="0.15"/>
    <row r="61524" spans="3:3" s="9" customFormat="1" ht="21.95" customHeight="1" x14ac:dyDescent="0.15"/>
    <row r="61525" spans="3:3" s="9" customFormat="1" ht="21.95" customHeight="1" x14ac:dyDescent="0.15"/>
    <row r="61526" spans="3:3" s="9" customFormat="1" ht="21.95" customHeight="1" x14ac:dyDescent="0.15"/>
    <row r="61527" spans="3:3" s="9" customFormat="1" ht="21.95" customHeight="1" x14ac:dyDescent="0.15"/>
    <row r="61528" spans="3:3" s="9" customFormat="1" ht="21.95" customHeight="1" x14ac:dyDescent="0.15"/>
    <row r="61529" spans="3:3" s="9" customFormat="1" ht="21.95" customHeight="1" x14ac:dyDescent="0.15"/>
    <row r="61530" spans="3:3" s="9" customFormat="1" ht="21.95" customHeight="1" x14ac:dyDescent="0.15"/>
    <row r="61531" spans="3:3" s="9" customFormat="1" ht="21.95" customHeight="1" x14ac:dyDescent="0.15"/>
    <row r="61532" spans="3:3" s="9" customFormat="1" ht="21.95" customHeight="1" x14ac:dyDescent="0.15"/>
    <row r="61533" spans="3:3" s="9" customFormat="1" ht="21.95" customHeight="1" x14ac:dyDescent="0.15"/>
    <row r="61534" spans="3:3" s="8" customFormat="1" ht="21.95" customHeight="1" x14ac:dyDescent="0.15"/>
    <row r="61535" spans="3:3" s="8" customFormat="1" ht="21.95" customHeight="1" x14ac:dyDescent="0.15"/>
    <row r="61536" spans="3:3" s="8" customFormat="1" ht="21.95" customHeight="1" x14ac:dyDescent="0.15">
      <c r="C61536" s="101"/>
    </row>
    <row r="61537" spans="3:3" s="8" customFormat="1" ht="21.95" customHeight="1" x14ac:dyDescent="0.15">
      <c r="C61537" s="101"/>
    </row>
    <row r="61538" spans="3:3" s="8" customFormat="1" ht="21.95" customHeight="1" x14ac:dyDescent="0.15"/>
    <row r="61539" spans="3:3" s="8" customFormat="1" ht="21.95" customHeight="1" x14ac:dyDescent="0.15"/>
    <row r="61540" spans="3:3" s="8" customFormat="1" ht="21.95" customHeight="1" x14ac:dyDescent="0.15"/>
    <row r="61541" spans="3:3" s="8" customFormat="1" ht="21.95" customHeight="1" x14ac:dyDescent="0.15"/>
    <row r="61542" spans="3:3" s="8" customFormat="1" ht="21.95" customHeight="1" x14ac:dyDescent="0.15"/>
    <row r="61543" spans="3:3" s="8" customFormat="1" ht="21.95" customHeight="1" x14ac:dyDescent="0.15"/>
    <row r="61544" spans="3:3" s="8" customFormat="1" ht="21.95" customHeight="1" x14ac:dyDescent="0.15"/>
    <row r="61545" spans="3:3" s="9" customFormat="1" ht="21.95" customHeight="1" x14ac:dyDescent="0.15"/>
    <row r="61546" spans="3:3" s="9" customFormat="1" ht="21.95" customHeight="1" x14ac:dyDescent="0.15"/>
    <row r="61547" spans="3:3" s="9" customFormat="1" ht="21.95" customHeight="1" x14ac:dyDescent="0.15"/>
    <row r="61548" spans="3:3" s="9" customFormat="1" ht="21.95" customHeight="1" x14ac:dyDescent="0.15"/>
    <row r="61549" spans="3:3" s="8" customFormat="1" ht="21.95" customHeight="1" x14ac:dyDescent="0.15"/>
    <row r="61550" spans="3:3" s="8" customFormat="1" ht="21.95" customHeight="1" x14ac:dyDescent="0.15"/>
    <row r="61551" spans="3:3" s="8" customFormat="1" ht="21.95" customHeight="1" x14ac:dyDescent="0.15"/>
    <row r="61552" spans="3:3" s="8" customFormat="1" ht="21.95" customHeight="1" x14ac:dyDescent="0.15"/>
    <row r="61553" s="8" customFormat="1" ht="21.95" customHeight="1" x14ac:dyDescent="0.15"/>
    <row r="61554" s="8" customFormat="1" ht="21.95" customHeight="1" x14ac:dyDescent="0.15"/>
    <row r="61555" s="8" customFormat="1" ht="21.95" customHeight="1" x14ac:dyDescent="0.15"/>
    <row r="61556" s="8" customFormat="1" ht="21.95" customHeight="1" x14ac:dyDescent="0.15"/>
    <row r="61557" s="8" customFormat="1" ht="21.95" customHeight="1" x14ac:dyDescent="0.15"/>
    <row r="61558" s="8" customFormat="1" ht="21.95" customHeight="1" x14ac:dyDescent="0.15"/>
    <row r="61559" s="8" customFormat="1" ht="21.95" customHeight="1" x14ac:dyDescent="0.15"/>
    <row r="61560" s="8" customFormat="1" ht="32.1" customHeight="1" x14ac:dyDescent="0.15"/>
    <row r="61561" s="8" customFormat="1" ht="32.1" customHeight="1" x14ac:dyDescent="0.15"/>
    <row r="61562" s="8" customFormat="1" ht="32.1" customHeight="1" x14ac:dyDescent="0.15"/>
    <row r="61563" s="8" customFormat="1" ht="32.1" customHeight="1" x14ac:dyDescent="0.15"/>
    <row r="61564" s="8" customFormat="1" ht="32.1" customHeight="1" x14ac:dyDescent="0.15"/>
    <row r="61565" s="8" customFormat="1" ht="32.1" customHeight="1" x14ac:dyDescent="0.15"/>
    <row r="61566" s="9" customFormat="1" ht="32.1" customHeight="1" x14ac:dyDescent="0.15"/>
    <row r="61567" s="9" customFormat="1" ht="32.1" customHeight="1" x14ac:dyDescent="0.15"/>
    <row r="61568" s="9" customFormat="1" ht="32.1" customHeight="1" x14ac:dyDescent="0.15"/>
    <row r="61569" s="9" customFormat="1" ht="32.1" customHeight="1" x14ac:dyDescent="0.15"/>
    <row r="61570" s="9" customFormat="1" ht="21.95" customHeight="1" x14ac:dyDescent="0.15"/>
    <row r="61571" s="9" customFormat="1" ht="54" customHeight="1" x14ac:dyDescent="0.15"/>
    <row r="61572" s="9" customFormat="1" ht="21.95" customHeight="1" x14ac:dyDescent="0.15"/>
    <row r="61573" s="9" customFormat="1" ht="21.95" customHeight="1" x14ac:dyDescent="0.15"/>
    <row r="61574" s="9" customFormat="1" ht="21.95" customHeight="1" x14ac:dyDescent="0.15"/>
    <row r="61575" s="9" customFormat="1" ht="21.95" customHeight="1" x14ac:dyDescent="0.15"/>
    <row r="61576" s="9" customFormat="1" ht="21.95" customHeight="1" x14ac:dyDescent="0.15"/>
    <row r="61577" s="9" customFormat="1" ht="21.95" customHeight="1" x14ac:dyDescent="0.15"/>
    <row r="61578" s="9" customFormat="1" ht="21.95" customHeight="1" x14ac:dyDescent="0.15"/>
    <row r="61579" s="9" customFormat="1" ht="21.95" customHeight="1" x14ac:dyDescent="0.15"/>
    <row r="61580" s="9" customFormat="1" ht="21.95" customHeight="1" x14ac:dyDescent="0.15"/>
    <row r="61581" s="9" customFormat="1" ht="21.95" customHeight="1" x14ac:dyDescent="0.15"/>
    <row r="61582" s="9" customFormat="1" ht="21.95" customHeight="1" x14ac:dyDescent="0.15"/>
    <row r="61583" s="9" customFormat="1" ht="21.95" customHeight="1" x14ac:dyDescent="0.15"/>
    <row r="61584" s="9" customFormat="1" ht="21.95" customHeight="1" x14ac:dyDescent="0.15"/>
    <row r="61585" s="9" customFormat="1" ht="21.95" customHeight="1" x14ac:dyDescent="0.15"/>
    <row r="61586" s="9" customFormat="1" ht="21.95" customHeight="1" x14ac:dyDescent="0.15"/>
    <row r="61587" s="9" customFormat="1" ht="21.95" customHeight="1" x14ac:dyDescent="0.15"/>
    <row r="61588" s="9" customFormat="1" ht="21.95" customHeight="1" x14ac:dyDescent="0.15"/>
    <row r="61589" s="9" customFormat="1" ht="21.95" customHeight="1" x14ac:dyDescent="0.15"/>
    <row r="61590" s="9" customFormat="1" ht="21.95" customHeight="1" x14ac:dyDescent="0.15"/>
    <row r="61591" s="9" customFormat="1" ht="21.95" customHeight="1" x14ac:dyDescent="0.15"/>
    <row r="61592" s="9" customFormat="1" ht="21.95" customHeight="1" x14ac:dyDescent="0.15"/>
    <row r="61593" s="9" customFormat="1" ht="21.95" customHeight="1" x14ac:dyDescent="0.15"/>
    <row r="61594" s="9" customFormat="1" ht="21.95" customHeight="1" x14ac:dyDescent="0.15"/>
    <row r="61595" s="9" customFormat="1" ht="21.95" customHeight="1" x14ac:dyDescent="0.15"/>
    <row r="61596" s="9" customFormat="1" ht="21.95" customHeight="1" x14ac:dyDescent="0.15"/>
    <row r="61597" s="9" customFormat="1" ht="21.95" customHeight="1" x14ac:dyDescent="0.15"/>
    <row r="61598" s="9" customFormat="1" ht="21.95" customHeight="1" x14ac:dyDescent="0.15"/>
    <row r="61599" s="9" customFormat="1" ht="21.95" customHeight="1" x14ac:dyDescent="0.15"/>
    <row r="61600" s="9" customFormat="1" ht="21.95" customHeight="1" x14ac:dyDescent="0.15"/>
    <row r="61601" s="9" customFormat="1" ht="21.95" customHeight="1" x14ac:dyDescent="0.15"/>
    <row r="61602" s="9" customFormat="1" ht="21.95" customHeight="1" x14ac:dyDescent="0.15"/>
    <row r="61603" s="9" customFormat="1" ht="21.95" customHeight="1" x14ac:dyDescent="0.15"/>
    <row r="61604" s="9" customFormat="1" ht="21.95" customHeight="1" x14ac:dyDescent="0.15"/>
    <row r="61605" s="9" customFormat="1" ht="21.95" customHeight="1" x14ac:dyDescent="0.15"/>
    <row r="61606" s="9" customFormat="1" ht="21.95" customHeight="1" x14ac:dyDescent="0.15"/>
    <row r="61607" s="9" customFormat="1" ht="21.95" customHeight="1" x14ac:dyDescent="0.15"/>
    <row r="61608" s="9" customFormat="1" ht="21.95" customHeight="1" x14ac:dyDescent="0.15"/>
    <row r="61609" s="9" customFormat="1" ht="21.95" customHeight="1" x14ac:dyDescent="0.15"/>
    <row r="61610" s="9" customFormat="1" ht="21.95" customHeight="1" x14ac:dyDescent="0.15"/>
    <row r="61611" s="9" customFormat="1" ht="21.95" customHeight="1" x14ac:dyDescent="0.15"/>
    <row r="61612" s="9" customFormat="1" ht="21.95" customHeight="1" x14ac:dyDescent="0.15"/>
    <row r="61613" s="9" customFormat="1" ht="21.95" customHeight="1" x14ac:dyDescent="0.15"/>
    <row r="61614" s="9" customFormat="1" ht="21.95" customHeight="1" x14ac:dyDescent="0.15"/>
    <row r="61615" s="9" customFormat="1" ht="21.95" customHeight="1" x14ac:dyDescent="0.15"/>
    <row r="61616" s="9" customFormat="1" ht="21.95" customHeight="1" x14ac:dyDescent="0.15"/>
    <row r="61617" s="9" customFormat="1" ht="21.95" customHeight="1" x14ac:dyDescent="0.15"/>
    <row r="61618" s="9" customFormat="1" ht="21.95" customHeight="1" x14ac:dyDescent="0.15"/>
    <row r="61619" s="9" customFormat="1" ht="21.95" customHeight="1" x14ac:dyDescent="0.15"/>
    <row r="61620" s="9" customFormat="1" ht="21.95" customHeight="1" x14ac:dyDescent="0.15"/>
    <row r="61621" s="9" customFormat="1" ht="21.95" customHeight="1" x14ac:dyDescent="0.15"/>
    <row r="61622" s="9" customFormat="1" ht="35.1" customHeight="1" x14ac:dyDescent="0.15"/>
    <row r="61623" s="9" customFormat="1" ht="21.95" customHeight="1" x14ac:dyDescent="0.15"/>
    <row r="61624" s="9" customFormat="1" ht="21.95" customHeight="1" x14ac:dyDescent="0.15"/>
    <row r="61625" s="9" customFormat="1" ht="21.95" customHeight="1" x14ac:dyDescent="0.15"/>
    <row r="61626" s="9" customFormat="1" ht="21.95" customHeight="1" x14ac:dyDescent="0.15"/>
    <row r="61627" s="9" customFormat="1" ht="21.95" customHeight="1" x14ac:dyDescent="0.15"/>
    <row r="61628" s="9" customFormat="1" ht="21.95" customHeight="1" x14ac:dyDescent="0.15"/>
    <row r="61629" s="9" customFormat="1" ht="21.95" customHeight="1" x14ac:dyDescent="0.15"/>
    <row r="61630" s="9" customFormat="1" ht="21.95" customHeight="1" x14ac:dyDescent="0.15"/>
    <row r="61631" s="9" customFormat="1" ht="21.95" customHeight="1" x14ac:dyDescent="0.15"/>
    <row r="61632" s="9" customFormat="1" ht="21.95" customHeight="1" x14ac:dyDescent="0.15"/>
    <row r="61633" spans="3:3" s="9" customFormat="1" ht="21.95" customHeight="1" x14ac:dyDescent="0.15"/>
    <row r="61634" spans="3:3" s="9" customFormat="1" ht="21.95" customHeight="1" x14ac:dyDescent="0.15"/>
    <row r="61635" spans="3:3" s="9" customFormat="1" ht="21.95" customHeight="1" x14ac:dyDescent="0.15"/>
    <row r="61636" spans="3:3" s="9" customFormat="1" ht="21.95" customHeight="1" x14ac:dyDescent="0.15"/>
    <row r="61637" spans="3:3" s="9" customFormat="1" ht="21.95" customHeight="1" x14ac:dyDescent="0.15"/>
    <row r="61638" spans="3:3" s="9" customFormat="1" ht="21.95" customHeight="1" x14ac:dyDescent="0.15"/>
    <row r="61639" spans="3:3" s="9" customFormat="1" ht="21.95" customHeight="1" x14ac:dyDescent="0.15"/>
    <row r="61640" spans="3:3" s="9" customFormat="1" ht="21.95" customHeight="1" x14ac:dyDescent="0.15"/>
    <row r="61641" spans="3:3" s="9" customFormat="1" ht="21.95" customHeight="1" x14ac:dyDescent="0.15"/>
    <row r="61642" spans="3:3" s="9" customFormat="1" ht="21.95" customHeight="1" x14ac:dyDescent="0.15"/>
    <row r="61643" spans="3:3" s="9" customFormat="1" ht="21.95" customHeight="1" x14ac:dyDescent="0.15"/>
    <row r="61644" spans="3:3" s="9" customFormat="1" ht="21.95" customHeight="1" x14ac:dyDescent="0.15"/>
    <row r="61645" spans="3:3" s="9" customFormat="1" ht="21.95" customHeight="1" x14ac:dyDescent="0.15"/>
    <row r="61646" spans="3:3" s="8" customFormat="1" ht="21.95" customHeight="1" x14ac:dyDescent="0.15"/>
    <row r="61647" spans="3:3" s="8" customFormat="1" ht="21.95" customHeight="1" x14ac:dyDescent="0.15"/>
    <row r="61648" spans="3:3" s="8" customFormat="1" ht="21.95" customHeight="1" x14ac:dyDescent="0.15">
      <c r="C61648" s="101"/>
    </row>
    <row r="61649" spans="3:3" s="8" customFormat="1" ht="21.95" customHeight="1" x14ac:dyDescent="0.15">
      <c r="C61649" s="101"/>
    </row>
    <row r="61650" spans="3:3" s="8" customFormat="1" ht="21.95" customHeight="1" x14ac:dyDescent="0.15"/>
    <row r="61651" spans="3:3" s="8" customFormat="1" ht="21.95" customHeight="1" x14ac:dyDescent="0.15"/>
    <row r="61652" spans="3:3" s="8" customFormat="1" ht="21.95" customHeight="1" x14ac:dyDescent="0.15"/>
    <row r="61653" spans="3:3" s="8" customFormat="1" ht="21.95" customHeight="1" x14ac:dyDescent="0.15"/>
    <row r="61654" spans="3:3" s="8" customFormat="1" ht="21.95" customHeight="1" x14ac:dyDescent="0.15"/>
    <row r="61655" spans="3:3" s="8" customFormat="1" ht="21.95" customHeight="1" x14ac:dyDescent="0.15"/>
    <row r="61656" spans="3:3" s="8" customFormat="1" ht="21.95" customHeight="1" x14ac:dyDescent="0.15"/>
    <row r="61657" spans="3:3" s="9" customFormat="1" ht="21.95" customHeight="1" x14ac:dyDescent="0.15"/>
    <row r="61658" spans="3:3" s="9" customFormat="1" ht="21.95" customHeight="1" x14ac:dyDescent="0.15"/>
    <row r="61659" spans="3:3" s="9" customFormat="1" ht="21.95" customHeight="1" x14ac:dyDescent="0.15"/>
    <row r="61660" spans="3:3" s="9" customFormat="1" ht="21.95" customHeight="1" x14ac:dyDescent="0.15"/>
    <row r="61661" spans="3:3" s="8" customFormat="1" ht="21.95" customHeight="1" x14ac:dyDescent="0.15"/>
    <row r="61662" spans="3:3" s="8" customFormat="1" ht="21.95" customHeight="1" x14ac:dyDescent="0.15"/>
    <row r="61663" spans="3:3" s="8" customFormat="1" ht="21.95" customHeight="1" x14ac:dyDescent="0.15"/>
    <row r="61664" spans="3:3" s="8" customFormat="1" ht="21.95" customHeight="1" x14ac:dyDescent="0.15"/>
    <row r="61665" s="8" customFormat="1" ht="21.95" customHeight="1" x14ac:dyDescent="0.15"/>
    <row r="61666" s="8" customFormat="1" ht="21.95" customHeight="1" x14ac:dyDescent="0.15"/>
    <row r="61667" s="8" customFormat="1" ht="21.95" customHeight="1" x14ac:dyDescent="0.15"/>
    <row r="61668" s="8" customFormat="1" ht="21.95" customHeight="1" x14ac:dyDescent="0.15"/>
    <row r="61669" s="8" customFormat="1" ht="21.95" customHeight="1" x14ac:dyDescent="0.15"/>
    <row r="61670" s="8" customFormat="1" ht="21.95" customHeight="1" x14ac:dyDescent="0.15"/>
    <row r="61671" s="8" customFormat="1" ht="21.95" customHeight="1" x14ac:dyDescent="0.15"/>
    <row r="61672" s="8" customFormat="1" ht="32.1" customHeight="1" x14ac:dyDescent="0.15"/>
    <row r="61673" s="8" customFormat="1" ht="32.1" customHeight="1" x14ac:dyDescent="0.15"/>
    <row r="61674" s="8" customFormat="1" ht="32.1" customHeight="1" x14ac:dyDescent="0.15"/>
    <row r="61675" s="8" customFormat="1" ht="32.1" customHeight="1" x14ac:dyDescent="0.15"/>
    <row r="61676" s="8" customFormat="1" ht="32.1" customHeight="1" x14ac:dyDescent="0.15"/>
    <row r="61677" s="8" customFormat="1" ht="32.1" customHeight="1" x14ac:dyDescent="0.15"/>
    <row r="61678" s="9" customFormat="1" ht="32.1" customHeight="1" x14ac:dyDescent="0.15"/>
    <row r="61679" s="9" customFormat="1" ht="32.1" customHeight="1" x14ac:dyDescent="0.15"/>
    <row r="61680" s="9" customFormat="1" ht="32.1" customHeight="1" x14ac:dyDescent="0.15"/>
    <row r="61681" s="9" customFormat="1" ht="32.1" customHeight="1" x14ac:dyDescent="0.15"/>
    <row r="61682" s="9" customFormat="1" ht="21.95" customHeight="1" x14ac:dyDescent="0.15"/>
    <row r="61683" s="9" customFormat="1" ht="54" customHeight="1" x14ac:dyDescent="0.15"/>
    <row r="61684" s="9" customFormat="1" ht="21.95" customHeight="1" x14ac:dyDescent="0.15"/>
    <row r="61685" s="9" customFormat="1" ht="21.95" customHeight="1" x14ac:dyDescent="0.15"/>
    <row r="61686" s="9" customFormat="1" ht="21.95" customHeight="1" x14ac:dyDescent="0.15"/>
    <row r="61687" s="9" customFormat="1" ht="21.95" customHeight="1" x14ac:dyDescent="0.15"/>
    <row r="61688" s="9" customFormat="1" ht="21.95" customHeight="1" x14ac:dyDescent="0.15"/>
    <row r="61689" s="9" customFormat="1" ht="21.95" customHeight="1" x14ac:dyDescent="0.15"/>
    <row r="61690" s="9" customFormat="1" ht="21.95" customHeight="1" x14ac:dyDescent="0.15"/>
    <row r="61691" s="9" customFormat="1" ht="21.95" customHeight="1" x14ac:dyDescent="0.15"/>
    <row r="61692" s="9" customFormat="1" ht="21.95" customHeight="1" x14ac:dyDescent="0.15"/>
    <row r="61693" s="9" customFormat="1" ht="21.95" customHeight="1" x14ac:dyDescent="0.15"/>
    <row r="61694" s="9" customFormat="1" ht="21.95" customHeight="1" x14ac:dyDescent="0.15"/>
    <row r="61695" s="9" customFormat="1" ht="21.95" customHeight="1" x14ac:dyDescent="0.15"/>
    <row r="61696" s="9" customFormat="1" ht="21.95" customHeight="1" x14ac:dyDescent="0.15"/>
    <row r="61697" s="9" customFormat="1" ht="21.95" customHeight="1" x14ac:dyDescent="0.15"/>
    <row r="61698" s="9" customFormat="1" ht="21.95" customHeight="1" x14ac:dyDescent="0.15"/>
    <row r="61699" s="9" customFormat="1" ht="21.95" customHeight="1" x14ac:dyDescent="0.15"/>
    <row r="61700" s="9" customFormat="1" ht="21.95" customHeight="1" x14ac:dyDescent="0.15"/>
    <row r="61701" s="9" customFormat="1" ht="21.95" customHeight="1" x14ac:dyDescent="0.15"/>
    <row r="61702" s="9" customFormat="1" ht="21.95" customHeight="1" x14ac:dyDescent="0.15"/>
    <row r="61703" s="9" customFormat="1" ht="21.95" customHeight="1" x14ac:dyDescent="0.15"/>
    <row r="61704" s="9" customFormat="1" ht="21.95" customHeight="1" x14ac:dyDescent="0.15"/>
    <row r="61705" s="9" customFormat="1" ht="21.95" customHeight="1" x14ac:dyDescent="0.15"/>
    <row r="61706" s="9" customFormat="1" ht="21.95" customHeight="1" x14ac:dyDescent="0.15"/>
    <row r="61707" s="9" customFormat="1" ht="21.95" customHeight="1" x14ac:dyDescent="0.15"/>
    <row r="61708" s="9" customFormat="1" ht="21.95" customHeight="1" x14ac:dyDescent="0.15"/>
    <row r="61709" s="9" customFormat="1" ht="21.95" customHeight="1" x14ac:dyDescent="0.15"/>
    <row r="61710" s="9" customFormat="1" ht="21.95" customHeight="1" x14ac:dyDescent="0.15"/>
    <row r="61711" s="9" customFormat="1" ht="21.95" customHeight="1" x14ac:dyDescent="0.15"/>
    <row r="61712" s="9" customFormat="1" ht="21.95" customHeight="1" x14ac:dyDescent="0.15"/>
    <row r="61713" s="9" customFormat="1" ht="21.95" customHeight="1" x14ac:dyDescent="0.15"/>
    <row r="61714" s="9" customFormat="1" ht="21.95" customHeight="1" x14ac:dyDescent="0.15"/>
    <row r="61715" s="9" customFormat="1" ht="21.95" customHeight="1" x14ac:dyDescent="0.15"/>
    <row r="61716" s="9" customFormat="1" ht="21.95" customHeight="1" x14ac:dyDescent="0.15"/>
    <row r="61717" s="9" customFormat="1" ht="21.95" customHeight="1" x14ac:dyDescent="0.15"/>
    <row r="61718" s="9" customFormat="1" ht="21.95" customHeight="1" x14ac:dyDescent="0.15"/>
    <row r="61719" s="9" customFormat="1" ht="21.95" customHeight="1" x14ac:dyDescent="0.15"/>
    <row r="61720" s="9" customFormat="1" ht="21.95" customHeight="1" x14ac:dyDescent="0.15"/>
    <row r="61721" s="9" customFormat="1" ht="21.95" customHeight="1" x14ac:dyDescent="0.15"/>
    <row r="61722" s="9" customFormat="1" ht="21.95" customHeight="1" x14ac:dyDescent="0.15"/>
    <row r="61723" s="9" customFormat="1" ht="21.95" customHeight="1" x14ac:dyDescent="0.15"/>
    <row r="61724" s="9" customFormat="1" ht="21.95" customHeight="1" x14ac:dyDescent="0.15"/>
    <row r="61725" s="9" customFormat="1" ht="21.95" customHeight="1" x14ac:dyDescent="0.15"/>
    <row r="61726" s="9" customFormat="1" ht="21.95" customHeight="1" x14ac:dyDescent="0.15"/>
    <row r="61727" s="9" customFormat="1" ht="21.95" customHeight="1" x14ac:dyDescent="0.15"/>
    <row r="61728" s="9" customFormat="1" ht="21.95" customHeight="1" x14ac:dyDescent="0.15"/>
    <row r="61729" s="9" customFormat="1" ht="21.95" customHeight="1" x14ac:dyDescent="0.15"/>
    <row r="61730" s="9" customFormat="1" ht="21.95" customHeight="1" x14ac:dyDescent="0.15"/>
    <row r="61731" s="9" customFormat="1" ht="21.95" customHeight="1" x14ac:dyDescent="0.15"/>
    <row r="61732" s="9" customFormat="1" ht="21.95" customHeight="1" x14ac:dyDescent="0.15"/>
    <row r="61733" s="9" customFormat="1" ht="21.95" customHeight="1" x14ac:dyDescent="0.15"/>
    <row r="61734" s="9" customFormat="1" ht="35.1" customHeight="1" x14ac:dyDescent="0.15"/>
    <row r="61735" s="9" customFormat="1" ht="21.95" customHeight="1" x14ac:dyDescent="0.15"/>
    <row r="61736" s="9" customFormat="1" ht="21.95" customHeight="1" x14ac:dyDescent="0.15"/>
    <row r="61737" s="9" customFormat="1" ht="21.95" customHeight="1" x14ac:dyDescent="0.15"/>
    <row r="61738" s="9" customFormat="1" ht="21.95" customHeight="1" x14ac:dyDescent="0.15"/>
    <row r="61739" s="9" customFormat="1" ht="21.95" customHeight="1" x14ac:dyDescent="0.15"/>
    <row r="61740" s="9" customFormat="1" ht="21.95" customHeight="1" x14ac:dyDescent="0.15"/>
    <row r="61741" s="9" customFormat="1" ht="21.95" customHeight="1" x14ac:dyDescent="0.15"/>
    <row r="61742" s="9" customFormat="1" ht="21.95" customHeight="1" x14ac:dyDescent="0.15"/>
    <row r="61743" s="9" customFormat="1" ht="21.95" customHeight="1" x14ac:dyDescent="0.15"/>
    <row r="61744" s="9" customFormat="1" ht="21.95" customHeight="1" x14ac:dyDescent="0.15"/>
    <row r="61745" spans="3:3" s="9" customFormat="1" ht="21.95" customHeight="1" x14ac:dyDescent="0.15"/>
    <row r="61746" spans="3:3" s="9" customFormat="1" ht="21.95" customHeight="1" x14ac:dyDescent="0.15"/>
    <row r="61747" spans="3:3" s="9" customFormat="1" ht="21.95" customHeight="1" x14ac:dyDescent="0.15"/>
    <row r="61748" spans="3:3" s="9" customFormat="1" ht="21.95" customHeight="1" x14ac:dyDescent="0.15"/>
    <row r="61749" spans="3:3" s="9" customFormat="1" ht="21.95" customHeight="1" x14ac:dyDescent="0.15"/>
    <row r="61750" spans="3:3" s="9" customFormat="1" ht="21.95" customHeight="1" x14ac:dyDescent="0.15"/>
    <row r="61751" spans="3:3" s="9" customFormat="1" ht="21.95" customHeight="1" x14ac:dyDescent="0.15"/>
    <row r="61752" spans="3:3" s="9" customFormat="1" ht="21.95" customHeight="1" x14ac:dyDescent="0.15"/>
    <row r="61753" spans="3:3" s="9" customFormat="1" ht="21.95" customHeight="1" x14ac:dyDescent="0.15"/>
    <row r="61754" spans="3:3" s="9" customFormat="1" ht="21.95" customHeight="1" x14ac:dyDescent="0.15"/>
    <row r="61755" spans="3:3" s="9" customFormat="1" ht="21.95" customHeight="1" x14ac:dyDescent="0.15"/>
    <row r="61756" spans="3:3" s="9" customFormat="1" ht="21.95" customHeight="1" x14ac:dyDescent="0.15"/>
    <row r="61757" spans="3:3" s="9" customFormat="1" ht="21.95" customHeight="1" x14ac:dyDescent="0.15"/>
    <row r="61758" spans="3:3" s="8" customFormat="1" ht="21.95" customHeight="1" x14ac:dyDescent="0.15"/>
    <row r="61759" spans="3:3" s="8" customFormat="1" ht="21.95" customHeight="1" x14ac:dyDescent="0.15"/>
    <row r="61760" spans="3:3" s="8" customFormat="1" ht="21.95" customHeight="1" x14ac:dyDescent="0.15">
      <c r="C61760" s="101"/>
    </row>
    <row r="61761" spans="3:3" s="8" customFormat="1" ht="21.95" customHeight="1" x14ac:dyDescent="0.15">
      <c r="C61761" s="101"/>
    </row>
    <row r="61762" spans="3:3" s="8" customFormat="1" ht="21.95" customHeight="1" x14ac:dyDescent="0.15"/>
    <row r="61763" spans="3:3" s="8" customFormat="1" ht="21.95" customHeight="1" x14ac:dyDescent="0.15"/>
    <row r="61764" spans="3:3" s="8" customFormat="1" ht="21.95" customHeight="1" x14ac:dyDescent="0.15"/>
    <row r="61765" spans="3:3" s="8" customFormat="1" ht="21.95" customHeight="1" x14ac:dyDescent="0.15"/>
    <row r="61766" spans="3:3" s="8" customFormat="1" ht="21.95" customHeight="1" x14ac:dyDescent="0.15"/>
    <row r="61767" spans="3:3" s="8" customFormat="1" ht="21.95" customHeight="1" x14ac:dyDescent="0.15"/>
    <row r="61768" spans="3:3" s="8" customFormat="1" ht="21.95" customHeight="1" x14ac:dyDescent="0.15"/>
    <row r="61769" spans="3:3" s="9" customFormat="1" ht="21.95" customHeight="1" x14ac:dyDescent="0.15"/>
    <row r="61770" spans="3:3" s="9" customFormat="1" ht="21.95" customHeight="1" x14ac:dyDescent="0.15"/>
    <row r="61771" spans="3:3" s="9" customFormat="1" ht="21.95" customHeight="1" x14ac:dyDescent="0.15"/>
    <row r="61772" spans="3:3" s="9" customFormat="1" ht="21.95" customHeight="1" x14ac:dyDescent="0.15"/>
    <row r="61773" spans="3:3" s="8" customFormat="1" ht="21.95" customHeight="1" x14ac:dyDescent="0.15"/>
    <row r="61774" spans="3:3" s="8" customFormat="1" ht="21.95" customHeight="1" x14ac:dyDescent="0.15"/>
    <row r="61775" spans="3:3" s="8" customFormat="1" ht="21.95" customHeight="1" x14ac:dyDescent="0.15"/>
    <row r="61776" spans="3:3" s="8" customFormat="1" ht="21.95" customHeight="1" x14ac:dyDescent="0.15"/>
    <row r="61777" s="8" customFormat="1" ht="21.95" customHeight="1" x14ac:dyDescent="0.15"/>
    <row r="61778" s="8" customFormat="1" ht="21.95" customHeight="1" x14ac:dyDescent="0.15"/>
    <row r="61779" s="8" customFormat="1" ht="21.95" customHeight="1" x14ac:dyDescent="0.15"/>
    <row r="61780" s="8" customFormat="1" ht="21.95" customHeight="1" x14ac:dyDescent="0.15"/>
    <row r="61781" s="8" customFormat="1" ht="21.95" customHeight="1" x14ac:dyDescent="0.15"/>
    <row r="61782" s="8" customFormat="1" ht="21.95" customHeight="1" x14ac:dyDescent="0.15"/>
    <row r="61783" s="8" customFormat="1" ht="21.95" customHeight="1" x14ac:dyDescent="0.15"/>
    <row r="61784" s="8" customFormat="1" ht="32.1" customHeight="1" x14ac:dyDescent="0.15"/>
    <row r="61785" s="8" customFormat="1" ht="32.1" customHeight="1" x14ac:dyDescent="0.15"/>
    <row r="61786" s="8" customFormat="1" ht="32.1" customHeight="1" x14ac:dyDescent="0.15"/>
    <row r="61787" s="8" customFormat="1" ht="32.1" customHeight="1" x14ac:dyDescent="0.15"/>
    <row r="61788" s="8" customFormat="1" ht="32.1" customHeight="1" x14ac:dyDescent="0.15"/>
    <row r="61789" s="8" customFormat="1" ht="32.1" customHeight="1" x14ac:dyDescent="0.15"/>
    <row r="61790" s="9" customFormat="1" ht="32.1" customHeight="1" x14ac:dyDescent="0.15"/>
    <row r="61791" s="9" customFormat="1" ht="32.1" customHeight="1" x14ac:dyDescent="0.15"/>
    <row r="61792" s="9" customFormat="1" ht="32.1" customHeight="1" x14ac:dyDescent="0.15"/>
    <row r="61793" s="9" customFormat="1" ht="32.1" customHeight="1" x14ac:dyDescent="0.15"/>
    <row r="61794" s="9" customFormat="1" ht="21.95" customHeight="1" x14ac:dyDescent="0.15"/>
    <row r="61795" s="9" customFormat="1" ht="54" customHeight="1" x14ac:dyDescent="0.15"/>
    <row r="61796" s="9" customFormat="1" ht="21.95" customHeight="1" x14ac:dyDescent="0.15"/>
    <row r="61797" s="9" customFormat="1" ht="21.95" customHeight="1" x14ac:dyDescent="0.15"/>
    <row r="61798" s="9" customFormat="1" ht="21.95" customHeight="1" x14ac:dyDescent="0.15"/>
    <row r="61799" s="9" customFormat="1" ht="21.95" customHeight="1" x14ac:dyDescent="0.15"/>
    <row r="61800" s="9" customFormat="1" ht="21.95" customHeight="1" x14ac:dyDescent="0.15"/>
    <row r="61801" s="9" customFormat="1" ht="21.95" customHeight="1" x14ac:dyDescent="0.15"/>
    <row r="61802" s="9" customFormat="1" ht="21.95" customHeight="1" x14ac:dyDescent="0.15"/>
    <row r="61803" s="9" customFormat="1" ht="21.95" customHeight="1" x14ac:dyDescent="0.15"/>
    <row r="61804" s="9" customFormat="1" ht="21.95" customHeight="1" x14ac:dyDescent="0.15"/>
    <row r="61805" s="9" customFormat="1" ht="21.95" customHeight="1" x14ac:dyDescent="0.15"/>
    <row r="61806" s="9" customFormat="1" ht="21.95" customHeight="1" x14ac:dyDescent="0.15"/>
    <row r="61807" s="9" customFormat="1" ht="21.95" customHeight="1" x14ac:dyDescent="0.15"/>
    <row r="61808" s="9" customFormat="1" ht="21.95" customHeight="1" x14ac:dyDescent="0.15"/>
    <row r="61809" s="9" customFormat="1" ht="21.95" customHeight="1" x14ac:dyDescent="0.15"/>
    <row r="61810" s="9" customFormat="1" ht="21.95" customHeight="1" x14ac:dyDescent="0.15"/>
    <row r="61811" s="9" customFormat="1" ht="21.95" customHeight="1" x14ac:dyDescent="0.15"/>
    <row r="61812" s="9" customFormat="1" ht="21.95" customHeight="1" x14ac:dyDescent="0.15"/>
    <row r="61813" s="9" customFormat="1" ht="21.95" customHeight="1" x14ac:dyDescent="0.15"/>
    <row r="61814" s="9" customFormat="1" ht="21.95" customHeight="1" x14ac:dyDescent="0.15"/>
    <row r="61815" s="9" customFormat="1" ht="21.95" customHeight="1" x14ac:dyDescent="0.15"/>
    <row r="61816" s="9" customFormat="1" ht="21.95" customHeight="1" x14ac:dyDescent="0.15"/>
    <row r="61817" s="9" customFormat="1" ht="21.95" customHeight="1" x14ac:dyDescent="0.15"/>
    <row r="61818" s="9" customFormat="1" ht="21.95" customHeight="1" x14ac:dyDescent="0.15"/>
    <row r="61819" s="9" customFormat="1" ht="21.95" customHeight="1" x14ac:dyDescent="0.15"/>
    <row r="61820" s="9" customFormat="1" ht="21.95" customHeight="1" x14ac:dyDescent="0.15"/>
    <row r="61821" s="9" customFormat="1" ht="21.95" customHeight="1" x14ac:dyDescent="0.15"/>
    <row r="61822" s="9" customFormat="1" ht="21.95" customHeight="1" x14ac:dyDescent="0.15"/>
    <row r="61823" s="9" customFormat="1" ht="21.95" customHeight="1" x14ac:dyDescent="0.15"/>
    <row r="61824" s="9" customFormat="1" ht="21.95" customHeight="1" x14ac:dyDescent="0.15"/>
    <row r="61825" s="9" customFormat="1" ht="21.95" customHeight="1" x14ac:dyDescent="0.15"/>
    <row r="61826" s="9" customFormat="1" ht="21.95" customHeight="1" x14ac:dyDescent="0.15"/>
    <row r="61827" s="9" customFormat="1" ht="21.95" customHeight="1" x14ac:dyDescent="0.15"/>
    <row r="61828" s="9" customFormat="1" ht="21.95" customHeight="1" x14ac:dyDescent="0.15"/>
    <row r="61829" s="9" customFormat="1" ht="21.95" customHeight="1" x14ac:dyDescent="0.15"/>
    <row r="61830" s="9" customFormat="1" ht="21.95" customHeight="1" x14ac:dyDescent="0.15"/>
    <row r="61831" s="9" customFormat="1" ht="21.95" customHeight="1" x14ac:dyDescent="0.15"/>
    <row r="61832" s="9" customFormat="1" ht="21.95" customHeight="1" x14ac:dyDescent="0.15"/>
    <row r="61833" s="9" customFormat="1" ht="21.95" customHeight="1" x14ac:dyDescent="0.15"/>
    <row r="61834" s="9" customFormat="1" ht="21.95" customHeight="1" x14ac:dyDescent="0.15"/>
    <row r="61835" s="9" customFormat="1" ht="21.95" customHeight="1" x14ac:dyDescent="0.15"/>
    <row r="61836" s="9" customFormat="1" ht="21.95" customHeight="1" x14ac:dyDescent="0.15"/>
    <row r="61837" s="9" customFormat="1" ht="21.95" customHeight="1" x14ac:dyDescent="0.15"/>
    <row r="61838" s="9" customFormat="1" ht="21.95" customHeight="1" x14ac:dyDescent="0.15"/>
    <row r="61839" s="9" customFormat="1" ht="21.95" customHeight="1" x14ac:dyDescent="0.15"/>
    <row r="61840" s="9" customFormat="1" ht="21.95" customHeight="1" x14ac:dyDescent="0.15"/>
    <row r="61841" s="9" customFormat="1" ht="21.95" customHeight="1" x14ac:dyDescent="0.15"/>
    <row r="61842" s="9" customFormat="1" ht="21.95" customHeight="1" x14ac:dyDescent="0.15"/>
    <row r="61843" s="9" customFormat="1" ht="21.95" customHeight="1" x14ac:dyDescent="0.15"/>
    <row r="61844" s="9" customFormat="1" ht="21.95" customHeight="1" x14ac:dyDescent="0.15"/>
    <row r="61845" s="9" customFormat="1" ht="21.95" customHeight="1" x14ac:dyDescent="0.15"/>
    <row r="61846" s="9" customFormat="1" ht="35.1" customHeight="1" x14ac:dyDescent="0.15"/>
    <row r="61847" s="9" customFormat="1" ht="21.95" customHeight="1" x14ac:dyDescent="0.15"/>
    <row r="61848" s="9" customFormat="1" ht="21.95" customHeight="1" x14ac:dyDescent="0.15"/>
    <row r="61849" s="9" customFormat="1" ht="21.95" customHeight="1" x14ac:dyDescent="0.15"/>
    <row r="61850" s="9" customFormat="1" ht="21.95" customHeight="1" x14ac:dyDescent="0.15"/>
    <row r="61851" s="9" customFormat="1" ht="21.95" customHeight="1" x14ac:dyDescent="0.15"/>
    <row r="61852" s="9" customFormat="1" ht="21.95" customHeight="1" x14ac:dyDescent="0.15"/>
    <row r="61853" s="9" customFormat="1" ht="21.95" customHeight="1" x14ac:dyDescent="0.15"/>
    <row r="61854" s="9" customFormat="1" ht="21.95" customHeight="1" x14ac:dyDescent="0.15"/>
    <row r="61855" s="9" customFormat="1" ht="21.95" customHeight="1" x14ac:dyDescent="0.15"/>
    <row r="61856" s="9" customFormat="1" ht="21.95" customHeight="1" x14ac:dyDescent="0.15"/>
    <row r="61857" spans="3:3" s="9" customFormat="1" ht="21.95" customHeight="1" x14ac:dyDescent="0.15"/>
    <row r="61858" spans="3:3" s="9" customFormat="1" ht="21.95" customHeight="1" x14ac:dyDescent="0.15"/>
    <row r="61859" spans="3:3" s="9" customFormat="1" ht="21.95" customHeight="1" x14ac:dyDescent="0.15"/>
    <row r="61860" spans="3:3" s="9" customFormat="1" ht="21.95" customHeight="1" x14ac:dyDescent="0.15"/>
    <row r="61861" spans="3:3" s="9" customFormat="1" ht="21.95" customHeight="1" x14ac:dyDescent="0.15"/>
    <row r="61862" spans="3:3" s="9" customFormat="1" ht="21.95" customHeight="1" x14ac:dyDescent="0.15"/>
    <row r="61863" spans="3:3" s="9" customFormat="1" ht="21.95" customHeight="1" x14ac:dyDescent="0.15"/>
    <row r="61864" spans="3:3" s="9" customFormat="1" ht="21.95" customHeight="1" x14ac:dyDescent="0.15"/>
    <row r="61865" spans="3:3" s="9" customFormat="1" ht="21.95" customHeight="1" x14ac:dyDescent="0.15"/>
    <row r="61866" spans="3:3" s="9" customFormat="1" ht="21.95" customHeight="1" x14ac:dyDescent="0.15"/>
    <row r="61867" spans="3:3" s="9" customFormat="1" ht="21.95" customHeight="1" x14ac:dyDescent="0.15"/>
    <row r="61868" spans="3:3" s="9" customFormat="1" ht="21.95" customHeight="1" x14ac:dyDescent="0.15"/>
    <row r="61869" spans="3:3" s="9" customFormat="1" ht="21.95" customHeight="1" x14ac:dyDescent="0.15"/>
    <row r="61870" spans="3:3" s="8" customFormat="1" ht="21.95" customHeight="1" x14ac:dyDescent="0.15"/>
    <row r="61871" spans="3:3" s="8" customFormat="1" ht="21.95" customHeight="1" x14ac:dyDescent="0.15"/>
    <row r="61872" spans="3:3" s="8" customFormat="1" ht="21.95" customHeight="1" x14ac:dyDescent="0.15">
      <c r="C61872" s="101"/>
    </row>
    <row r="61873" spans="3:3" s="8" customFormat="1" ht="21.95" customHeight="1" x14ac:dyDescent="0.15">
      <c r="C61873" s="101"/>
    </row>
    <row r="61874" spans="3:3" s="8" customFormat="1" ht="21.95" customHeight="1" x14ac:dyDescent="0.15"/>
    <row r="61875" spans="3:3" s="8" customFormat="1" ht="21.95" customHeight="1" x14ac:dyDescent="0.15"/>
    <row r="61876" spans="3:3" s="8" customFormat="1" ht="21.95" customHeight="1" x14ac:dyDescent="0.15"/>
    <row r="61877" spans="3:3" s="8" customFormat="1" ht="21.95" customHeight="1" x14ac:dyDescent="0.15"/>
    <row r="61878" spans="3:3" s="8" customFormat="1" ht="21.95" customHeight="1" x14ac:dyDescent="0.15"/>
    <row r="61879" spans="3:3" s="8" customFormat="1" ht="21.95" customHeight="1" x14ac:dyDescent="0.15"/>
    <row r="61880" spans="3:3" s="8" customFormat="1" ht="21.95" customHeight="1" x14ac:dyDescent="0.15"/>
    <row r="61881" spans="3:3" s="9" customFormat="1" ht="21.95" customHeight="1" x14ac:dyDescent="0.15"/>
    <row r="61882" spans="3:3" s="9" customFormat="1" ht="21.95" customHeight="1" x14ac:dyDescent="0.15"/>
    <row r="61883" spans="3:3" s="9" customFormat="1" ht="21.95" customHeight="1" x14ac:dyDescent="0.15"/>
    <row r="61884" spans="3:3" s="9" customFormat="1" ht="21.95" customHeight="1" x14ac:dyDescent="0.15"/>
    <row r="61885" spans="3:3" s="8" customFormat="1" ht="21.95" customHeight="1" x14ac:dyDescent="0.15"/>
    <row r="61886" spans="3:3" s="8" customFormat="1" ht="21.95" customHeight="1" x14ac:dyDescent="0.15"/>
    <row r="61887" spans="3:3" s="8" customFormat="1" ht="21.95" customHeight="1" x14ac:dyDescent="0.15"/>
    <row r="61888" spans="3:3" s="8" customFormat="1" ht="21.95" customHeight="1" x14ac:dyDescent="0.15"/>
    <row r="61889" s="8" customFormat="1" ht="21.95" customHeight="1" x14ac:dyDescent="0.15"/>
    <row r="61890" s="8" customFormat="1" ht="21.95" customHeight="1" x14ac:dyDescent="0.15"/>
    <row r="61891" s="8" customFormat="1" ht="21.95" customHeight="1" x14ac:dyDescent="0.15"/>
    <row r="61892" s="8" customFormat="1" ht="21.95" customHeight="1" x14ac:dyDescent="0.15"/>
    <row r="61893" s="8" customFormat="1" ht="21.95" customHeight="1" x14ac:dyDescent="0.15"/>
    <row r="61894" s="8" customFormat="1" ht="21.95" customHeight="1" x14ac:dyDescent="0.15"/>
    <row r="61895" s="8" customFormat="1" ht="21.95" customHeight="1" x14ac:dyDescent="0.15"/>
    <row r="61896" s="8" customFormat="1" ht="32.1" customHeight="1" x14ac:dyDescent="0.15"/>
    <row r="61897" s="8" customFormat="1" ht="32.1" customHeight="1" x14ac:dyDescent="0.15"/>
    <row r="61898" s="8" customFormat="1" ht="32.1" customHeight="1" x14ac:dyDescent="0.15"/>
    <row r="61899" s="8" customFormat="1" ht="32.1" customHeight="1" x14ac:dyDescent="0.15"/>
    <row r="61900" s="8" customFormat="1" ht="32.1" customHeight="1" x14ac:dyDescent="0.15"/>
    <row r="61901" s="8" customFormat="1" ht="32.1" customHeight="1" x14ac:dyDescent="0.15"/>
    <row r="61902" s="9" customFormat="1" ht="32.1" customHeight="1" x14ac:dyDescent="0.15"/>
    <row r="61903" s="9" customFormat="1" ht="32.1" customHeight="1" x14ac:dyDescent="0.15"/>
    <row r="61904" s="9" customFormat="1" ht="32.1" customHeight="1" x14ac:dyDescent="0.15"/>
    <row r="61905" s="9" customFormat="1" ht="32.1" customHeight="1" x14ac:dyDescent="0.15"/>
    <row r="61906" s="9" customFormat="1" ht="21.95" customHeight="1" x14ac:dyDescent="0.15"/>
    <row r="61907" s="9" customFormat="1" ht="54" customHeight="1" x14ac:dyDescent="0.15"/>
    <row r="61908" s="9" customFormat="1" ht="21.95" customHeight="1" x14ac:dyDescent="0.15"/>
    <row r="61909" s="9" customFormat="1" ht="21.95" customHeight="1" x14ac:dyDescent="0.15"/>
    <row r="61910" s="9" customFormat="1" ht="21.95" customHeight="1" x14ac:dyDescent="0.15"/>
    <row r="61911" s="9" customFormat="1" ht="21.95" customHeight="1" x14ac:dyDescent="0.15"/>
    <row r="61912" s="9" customFormat="1" ht="21.95" customHeight="1" x14ac:dyDescent="0.15"/>
    <row r="61913" s="9" customFormat="1" ht="21.95" customHeight="1" x14ac:dyDescent="0.15"/>
    <row r="61914" s="9" customFormat="1" ht="21.95" customHeight="1" x14ac:dyDescent="0.15"/>
    <row r="61915" s="9" customFormat="1" ht="21.95" customHeight="1" x14ac:dyDescent="0.15"/>
    <row r="61916" s="9" customFormat="1" ht="21.95" customHeight="1" x14ac:dyDescent="0.15"/>
    <row r="61917" s="9" customFormat="1" ht="21.95" customHeight="1" x14ac:dyDescent="0.15"/>
    <row r="61918" s="9" customFormat="1" ht="21.95" customHeight="1" x14ac:dyDescent="0.15"/>
    <row r="61919" s="9" customFormat="1" ht="21.95" customHeight="1" x14ac:dyDescent="0.15"/>
    <row r="61920" s="9" customFormat="1" ht="21.95" customHeight="1" x14ac:dyDescent="0.15"/>
    <row r="61921" s="9" customFormat="1" ht="21.95" customHeight="1" x14ac:dyDescent="0.15"/>
    <row r="61922" s="9" customFormat="1" ht="21.95" customHeight="1" x14ac:dyDescent="0.15"/>
    <row r="61923" s="9" customFormat="1" ht="21.95" customHeight="1" x14ac:dyDescent="0.15"/>
    <row r="61924" s="9" customFormat="1" ht="21.95" customHeight="1" x14ac:dyDescent="0.15"/>
    <row r="61925" s="9" customFormat="1" ht="21.95" customHeight="1" x14ac:dyDescent="0.15"/>
    <row r="61926" s="9" customFormat="1" ht="21.95" customHeight="1" x14ac:dyDescent="0.15"/>
    <row r="61927" s="9" customFormat="1" ht="21.95" customHeight="1" x14ac:dyDescent="0.15"/>
    <row r="61928" s="9" customFormat="1" ht="21.95" customHeight="1" x14ac:dyDescent="0.15"/>
    <row r="61929" s="9" customFormat="1" ht="21.95" customHeight="1" x14ac:dyDescent="0.15"/>
    <row r="61930" s="9" customFormat="1" ht="21.95" customHeight="1" x14ac:dyDescent="0.15"/>
    <row r="61931" s="9" customFormat="1" ht="21.95" customHeight="1" x14ac:dyDescent="0.15"/>
    <row r="61932" s="9" customFormat="1" ht="21.95" customHeight="1" x14ac:dyDescent="0.15"/>
    <row r="61933" s="9" customFormat="1" ht="21.95" customHeight="1" x14ac:dyDescent="0.15"/>
    <row r="61934" s="9" customFormat="1" ht="21.95" customHeight="1" x14ac:dyDescent="0.15"/>
    <row r="61935" s="9" customFormat="1" ht="21.95" customHeight="1" x14ac:dyDescent="0.15"/>
    <row r="61936" s="9" customFormat="1" ht="21.95" customHeight="1" x14ac:dyDescent="0.15"/>
    <row r="61937" s="9" customFormat="1" ht="21.95" customHeight="1" x14ac:dyDescent="0.15"/>
    <row r="61938" s="9" customFormat="1" ht="21.95" customHeight="1" x14ac:dyDescent="0.15"/>
    <row r="61939" s="9" customFormat="1" ht="21.95" customHeight="1" x14ac:dyDescent="0.15"/>
    <row r="61940" s="9" customFormat="1" ht="21.95" customHeight="1" x14ac:dyDescent="0.15"/>
    <row r="61941" s="9" customFormat="1" ht="21.95" customHeight="1" x14ac:dyDescent="0.15"/>
    <row r="61942" s="9" customFormat="1" ht="21.95" customHeight="1" x14ac:dyDescent="0.15"/>
    <row r="61943" s="9" customFormat="1" ht="21.95" customHeight="1" x14ac:dyDescent="0.15"/>
    <row r="61944" s="9" customFormat="1" ht="21.95" customHeight="1" x14ac:dyDescent="0.15"/>
    <row r="61945" s="9" customFormat="1" ht="21.95" customHeight="1" x14ac:dyDescent="0.15"/>
    <row r="61946" s="9" customFormat="1" ht="21.95" customHeight="1" x14ac:dyDescent="0.15"/>
    <row r="61947" s="9" customFormat="1" ht="21.95" customHeight="1" x14ac:dyDescent="0.15"/>
    <row r="61948" s="9" customFormat="1" ht="21.95" customHeight="1" x14ac:dyDescent="0.15"/>
    <row r="61949" s="9" customFormat="1" ht="21.95" customHeight="1" x14ac:dyDescent="0.15"/>
    <row r="61950" s="9" customFormat="1" ht="21.95" customHeight="1" x14ac:dyDescent="0.15"/>
    <row r="61951" s="9" customFormat="1" ht="21.95" customHeight="1" x14ac:dyDescent="0.15"/>
    <row r="61952" s="9" customFormat="1" ht="21.95" customHeight="1" x14ac:dyDescent="0.15"/>
    <row r="61953" s="9" customFormat="1" ht="21.95" customHeight="1" x14ac:dyDescent="0.15"/>
    <row r="61954" s="9" customFormat="1" ht="21.95" customHeight="1" x14ac:dyDescent="0.15"/>
    <row r="61955" s="9" customFormat="1" ht="21.95" customHeight="1" x14ac:dyDescent="0.15"/>
    <row r="61956" s="9" customFormat="1" ht="21.95" customHeight="1" x14ac:dyDescent="0.15"/>
    <row r="61957" s="9" customFormat="1" ht="21.95" customHeight="1" x14ac:dyDescent="0.15"/>
    <row r="61958" s="9" customFormat="1" ht="35.1" customHeight="1" x14ac:dyDescent="0.15"/>
    <row r="61959" s="9" customFormat="1" ht="21.95" customHeight="1" x14ac:dyDescent="0.15"/>
    <row r="61960" s="9" customFormat="1" ht="21.95" customHeight="1" x14ac:dyDescent="0.15"/>
    <row r="61961" s="9" customFormat="1" ht="21.95" customHeight="1" x14ac:dyDescent="0.15"/>
    <row r="61962" s="9" customFormat="1" ht="21.95" customHeight="1" x14ac:dyDescent="0.15"/>
    <row r="61963" s="9" customFormat="1" ht="21.95" customHeight="1" x14ac:dyDescent="0.15"/>
    <row r="61964" s="9" customFormat="1" ht="21.95" customHeight="1" x14ac:dyDescent="0.15"/>
    <row r="61965" s="9" customFormat="1" ht="21.95" customHeight="1" x14ac:dyDescent="0.15"/>
    <row r="61966" s="9" customFormat="1" ht="21.95" customHeight="1" x14ac:dyDescent="0.15"/>
    <row r="61967" s="9" customFormat="1" ht="21.95" customHeight="1" x14ac:dyDescent="0.15"/>
    <row r="61968" s="9" customFormat="1" ht="21.95" customHeight="1" x14ac:dyDescent="0.15"/>
    <row r="61969" spans="3:3" s="9" customFormat="1" ht="21.95" customHeight="1" x14ac:dyDescent="0.15"/>
    <row r="61970" spans="3:3" s="9" customFormat="1" ht="21.95" customHeight="1" x14ac:dyDescent="0.15"/>
    <row r="61971" spans="3:3" s="9" customFormat="1" ht="21.95" customHeight="1" x14ac:dyDescent="0.15"/>
    <row r="61972" spans="3:3" s="9" customFormat="1" ht="21.95" customHeight="1" x14ac:dyDescent="0.15"/>
    <row r="61973" spans="3:3" s="9" customFormat="1" ht="21.95" customHeight="1" x14ac:dyDescent="0.15"/>
    <row r="61974" spans="3:3" s="9" customFormat="1" ht="21.95" customHeight="1" x14ac:dyDescent="0.15"/>
    <row r="61975" spans="3:3" s="9" customFormat="1" ht="21.95" customHeight="1" x14ac:dyDescent="0.15"/>
    <row r="61976" spans="3:3" s="9" customFormat="1" ht="21.95" customHeight="1" x14ac:dyDescent="0.15"/>
    <row r="61977" spans="3:3" s="9" customFormat="1" ht="21.95" customHeight="1" x14ac:dyDescent="0.15"/>
    <row r="61978" spans="3:3" s="9" customFormat="1" ht="21.95" customHeight="1" x14ac:dyDescent="0.15"/>
    <row r="61979" spans="3:3" s="9" customFormat="1" ht="21.95" customHeight="1" x14ac:dyDescent="0.15"/>
    <row r="61980" spans="3:3" s="9" customFormat="1" ht="21.95" customHeight="1" x14ac:dyDescent="0.15"/>
    <row r="61981" spans="3:3" s="9" customFormat="1" ht="21.95" customHeight="1" x14ac:dyDescent="0.15"/>
    <row r="61982" spans="3:3" s="8" customFormat="1" ht="21.95" customHeight="1" x14ac:dyDescent="0.15"/>
    <row r="61983" spans="3:3" s="8" customFormat="1" ht="21.95" customHeight="1" x14ac:dyDescent="0.15"/>
    <row r="61984" spans="3:3" s="8" customFormat="1" ht="21.95" customHeight="1" x14ac:dyDescent="0.15">
      <c r="C61984" s="101"/>
    </row>
    <row r="61985" spans="3:3" s="8" customFormat="1" ht="21.95" customHeight="1" x14ac:dyDescent="0.15">
      <c r="C61985" s="101"/>
    </row>
    <row r="61986" spans="3:3" s="8" customFormat="1" ht="21.95" customHeight="1" x14ac:dyDescent="0.15"/>
    <row r="61987" spans="3:3" s="8" customFormat="1" ht="21.95" customHeight="1" x14ac:dyDescent="0.15"/>
    <row r="61988" spans="3:3" s="8" customFormat="1" ht="21.95" customHeight="1" x14ac:dyDescent="0.15"/>
    <row r="61989" spans="3:3" s="8" customFormat="1" ht="21.95" customHeight="1" x14ac:dyDescent="0.15"/>
    <row r="61990" spans="3:3" s="8" customFormat="1" ht="21.95" customHeight="1" x14ac:dyDescent="0.15"/>
    <row r="61991" spans="3:3" s="8" customFormat="1" ht="21.95" customHeight="1" x14ac:dyDescent="0.15"/>
    <row r="61992" spans="3:3" s="8" customFormat="1" ht="21.95" customHeight="1" x14ac:dyDescent="0.15"/>
    <row r="61993" spans="3:3" s="9" customFormat="1" ht="21.95" customHeight="1" x14ac:dyDescent="0.15"/>
    <row r="61994" spans="3:3" s="9" customFormat="1" ht="21.95" customHeight="1" x14ac:dyDescent="0.15"/>
    <row r="61995" spans="3:3" s="9" customFormat="1" ht="21.95" customHeight="1" x14ac:dyDescent="0.15"/>
    <row r="61996" spans="3:3" s="9" customFormat="1" ht="21.95" customHeight="1" x14ac:dyDescent="0.15"/>
    <row r="61997" spans="3:3" s="8" customFormat="1" ht="21.95" customHeight="1" x14ac:dyDescent="0.15"/>
    <row r="61998" spans="3:3" s="8" customFormat="1" ht="21.95" customHeight="1" x14ac:dyDescent="0.15"/>
    <row r="61999" spans="3:3" s="8" customFormat="1" ht="21.95" customHeight="1" x14ac:dyDescent="0.15"/>
    <row r="62000" spans="3:3" s="8" customFormat="1" ht="21.95" customHeight="1" x14ac:dyDescent="0.15"/>
    <row r="62001" s="8" customFormat="1" ht="21.95" customHeight="1" x14ac:dyDescent="0.15"/>
    <row r="62002" s="8" customFormat="1" ht="21.95" customHeight="1" x14ac:dyDescent="0.15"/>
    <row r="62003" s="8" customFormat="1" ht="21.95" customHeight="1" x14ac:dyDescent="0.15"/>
    <row r="62004" s="8" customFormat="1" ht="21.95" customHeight="1" x14ac:dyDescent="0.15"/>
    <row r="62005" s="8" customFormat="1" ht="21.95" customHeight="1" x14ac:dyDescent="0.15"/>
    <row r="62006" s="8" customFormat="1" ht="21.95" customHeight="1" x14ac:dyDescent="0.15"/>
    <row r="62007" s="8" customFormat="1" ht="21.95" customHeight="1" x14ac:dyDescent="0.15"/>
    <row r="62008" s="8" customFormat="1" ht="32.1" customHeight="1" x14ac:dyDescent="0.15"/>
    <row r="62009" s="8" customFormat="1" ht="32.1" customHeight="1" x14ac:dyDescent="0.15"/>
    <row r="62010" s="8" customFormat="1" ht="32.1" customHeight="1" x14ac:dyDescent="0.15"/>
    <row r="62011" s="8" customFormat="1" ht="32.1" customHeight="1" x14ac:dyDescent="0.15"/>
    <row r="62012" s="8" customFormat="1" ht="32.1" customHeight="1" x14ac:dyDescent="0.15"/>
    <row r="62013" s="8" customFormat="1" ht="32.1" customHeight="1" x14ac:dyDescent="0.15"/>
    <row r="62014" s="9" customFormat="1" ht="32.1" customHeight="1" x14ac:dyDescent="0.15"/>
    <row r="62015" s="9" customFormat="1" ht="32.1" customHeight="1" x14ac:dyDescent="0.15"/>
    <row r="62016" s="9" customFormat="1" ht="32.1" customHeight="1" x14ac:dyDescent="0.15"/>
    <row r="62017" s="9" customFormat="1" ht="32.1" customHeight="1" x14ac:dyDescent="0.15"/>
    <row r="62018" s="9" customFormat="1" ht="21.95" customHeight="1" x14ac:dyDescent="0.15"/>
    <row r="62019" s="9" customFormat="1" ht="54" customHeight="1" x14ac:dyDescent="0.15"/>
    <row r="62020" s="9" customFormat="1" ht="21.95" customHeight="1" x14ac:dyDescent="0.15"/>
    <row r="62021" s="9" customFormat="1" ht="21.95" customHeight="1" x14ac:dyDescent="0.15"/>
    <row r="62022" s="9" customFormat="1" ht="21.95" customHeight="1" x14ac:dyDescent="0.15"/>
    <row r="62023" s="9" customFormat="1" ht="21.95" customHeight="1" x14ac:dyDescent="0.15"/>
    <row r="62024" s="9" customFormat="1" ht="21.95" customHeight="1" x14ac:dyDescent="0.15"/>
    <row r="62025" s="9" customFormat="1" ht="21.95" customHeight="1" x14ac:dyDescent="0.15"/>
    <row r="62026" s="9" customFormat="1" ht="21.95" customHeight="1" x14ac:dyDescent="0.15"/>
    <row r="62027" s="9" customFormat="1" ht="21.95" customHeight="1" x14ac:dyDescent="0.15"/>
    <row r="62028" s="9" customFormat="1" ht="21.95" customHeight="1" x14ac:dyDescent="0.15"/>
    <row r="62029" s="9" customFormat="1" ht="21.95" customHeight="1" x14ac:dyDescent="0.15"/>
    <row r="62030" s="9" customFormat="1" ht="21.95" customHeight="1" x14ac:dyDescent="0.15"/>
    <row r="62031" s="9" customFormat="1" ht="21.95" customHeight="1" x14ac:dyDescent="0.15"/>
    <row r="62032" s="9" customFormat="1" ht="21.95" customHeight="1" x14ac:dyDescent="0.15"/>
    <row r="62033" s="9" customFormat="1" ht="21.95" customHeight="1" x14ac:dyDescent="0.15"/>
    <row r="62034" s="9" customFormat="1" ht="21.95" customHeight="1" x14ac:dyDescent="0.15"/>
    <row r="62035" s="9" customFormat="1" ht="21.95" customHeight="1" x14ac:dyDescent="0.15"/>
    <row r="62036" s="9" customFormat="1" ht="21.95" customHeight="1" x14ac:dyDescent="0.15"/>
    <row r="62037" s="9" customFormat="1" ht="21.95" customHeight="1" x14ac:dyDescent="0.15"/>
    <row r="62038" s="9" customFormat="1" ht="21.95" customHeight="1" x14ac:dyDescent="0.15"/>
    <row r="62039" s="9" customFormat="1" ht="21.95" customHeight="1" x14ac:dyDescent="0.15"/>
    <row r="62040" s="9" customFormat="1" ht="21.95" customHeight="1" x14ac:dyDescent="0.15"/>
    <row r="62041" s="9" customFormat="1" ht="21.95" customHeight="1" x14ac:dyDescent="0.15"/>
    <row r="62042" s="9" customFormat="1" ht="21.95" customHeight="1" x14ac:dyDescent="0.15"/>
    <row r="62043" s="9" customFormat="1" ht="21.95" customHeight="1" x14ac:dyDescent="0.15"/>
    <row r="62044" s="9" customFormat="1" ht="21.95" customHeight="1" x14ac:dyDescent="0.15"/>
    <row r="62045" s="9" customFormat="1" ht="21.95" customHeight="1" x14ac:dyDescent="0.15"/>
    <row r="62046" s="9" customFormat="1" ht="21.95" customHeight="1" x14ac:dyDescent="0.15"/>
    <row r="62047" s="9" customFormat="1" ht="21.95" customHeight="1" x14ac:dyDescent="0.15"/>
    <row r="62048" s="9" customFormat="1" ht="21.95" customHeight="1" x14ac:dyDescent="0.15"/>
    <row r="62049" s="9" customFormat="1" ht="21.95" customHeight="1" x14ac:dyDescent="0.15"/>
    <row r="62050" s="9" customFormat="1" ht="21.95" customHeight="1" x14ac:dyDescent="0.15"/>
    <row r="62051" s="9" customFormat="1" ht="21.95" customHeight="1" x14ac:dyDescent="0.15"/>
    <row r="62052" s="9" customFormat="1" ht="21.95" customHeight="1" x14ac:dyDescent="0.15"/>
    <row r="62053" s="9" customFormat="1" ht="21.95" customHeight="1" x14ac:dyDescent="0.15"/>
    <row r="62054" s="9" customFormat="1" ht="21.95" customHeight="1" x14ac:dyDescent="0.15"/>
    <row r="62055" s="9" customFormat="1" ht="21.95" customHeight="1" x14ac:dyDescent="0.15"/>
    <row r="62056" s="9" customFormat="1" ht="21.95" customHeight="1" x14ac:dyDescent="0.15"/>
    <row r="62057" s="9" customFormat="1" ht="21.95" customHeight="1" x14ac:dyDescent="0.15"/>
    <row r="62058" s="9" customFormat="1" ht="21.95" customHeight="1" x14ac:dyDescent="0.15"/>
    <row r="62059" s="9" customFormat="1" ht="21.95" customHeight="1" x14ac:dyDescent="0.15"/>
    <row r="62060" s="9" customFormat="1" ht="21.95" customHeight="1" x14ac:dyDescent="0.15"/>
    <row r="62061" s="9" customFormat="1" ht="21.95" customHeight="1" x14ac:dyDescent="0.15"/>
    <row r="62062" s="9" customFormat="1" ht="21.95" customHeight="1" x14ac:dyDescent="0.15"/>
    <row r="62063" s="9" customFormat="1" ht="21.95" customHeight="1" x14ac:dyDescent="0.15"/>
    <row r="62064" s="9" customFormat="1" ht="21.95" customHeight="1" x14ac:dyDescent="0.15"/>
    <row r="62065" s="9" customFormat="1" ht="21.95" customHeight="1" x14ac:dyDescent="0.15"/>
    <row r="62066" s="9" customFormat="1" ht="21.95" customHeight="1" x14ac:dyDescent="0.15"/>
    <row r="62067" s="9" customFormat="1" ht="21.95" customHeight="1" x14ac:dyDescent="0.15"/>
    <row r="62068" s="9" customFormat="1" ht="21.95" customHeight="1" x14ac:dyDescent="0.15"/>
    <row r="62069" s="9" customFormat="1" ht="21.95" customHeight="1" x14ac:dyDescent="0.15"/>
    <row r="62070" s="9" customFormat="1" ht="35.1" customHeight="1" x14ac:dyDescent="0.15"/>
    <row r="62071" s="9" customFormat="1" ht="21.95" customHeight="1" x14ac:dyDescent="0.15"/>
    <row r="62072" s="9" customFormat="1" ht="21.95" customHeight="1" x14ac:dyDescent="0.15"/>
    <row r="62073" s="9" customFormat="1" ht="21.95" customHeight="1" x14ac:dyDescent="0.15"/>
    <row r="62074" s="9" customFormat="1" ht="21.95" customHeight="1" x14ac:dyDescent="0.15"/>
    <row r="62075" s="9" customFormat="1" ht="21.95" customHeight="1" x14ac:dyDescent="0.15"/>
    <row r="62076" s="9" customFormat="1" ht="21.95" customHeight="1" x14ac:dyDescent="0.15"/>
    <row r="62077" s="9" customFormat="1" ht="21.95" customHeight="1" x14ac:dyDescent="0.15"/>
    <row r="62078" s="9" customFormat="1" ht="21.95" customHeight="1" x14ac:dyDescent="0.15"/>
    <row r="62079" s="9" customFormat="1" ht="21.95" customHeight="1" x14ac:dyDescent="0.15"/>
    <row r="62080" s="9" customFormat="1" ht="21.95" customHeight="1" x14ac:dyDescent="0.15"/>
    <row r="62081" spans="3:3" s="9" customFormat="1" ht="21.95" customHeight="1" x14ac:dyDescent="0.15"/>
    <row r="62082" spans="3:3" s="9" customFormat="1" ht="21.95" customHeight="1" x14ac:dyDescent="0.15"/>
    <row r="62083" spans="3:3" s="9" customFormat="1" ht="21.95" customHeight="1" x14ac:dyDescent="0.15"/>
    <row r="62084" spans="3:3" s="9" customFormat="1" ht="21.95" customHeight="1" x14ac:dyDescent="0.15"/>
    <row r="62085" spans="3:3" s="9" customFormat="1" ht="21.95" customHeight="1" x14ac:dyDescent="0.15"/>
    <row r="62086" spans="3:3" s="9" customFormat="1" ht="21.95" customHeight="1" x14ac:dyDescent="0.15"/>
    <row r="62087" spans="3:3" s="9" customFormat="1" ht="21.95" customHeight="1" x14ac:dyDescent="0.15"/>
    <row r="62088" spans="3:3" s="9" customFormat="1" ht="21.95" customHeight="1" x14ac:dyDescent="0.15"/>
    <row r="62089" spans="3:3" s="9" customFormat="1" ht="21.95" customHeight="1" x14ac:dyDescent="0.15"/>
    <row r="62090" spans="3:3" s="9" customFormat="1" ht="21.95" customHeight="1" x14ac:dyDescent="0.15"/>
    <row r="62091" spans="3:3" s="9" customFormat="1" ht="21.95" customHeight="1" x14ac:dyDescent="0.15"/>
    <row r="62092" spans="3:3" s="9" customFormat="1" ht="21.95" customHeight="1" x14ac:dyDescent="0.15"/>
    <row r="62093" spans="3:3" s="9" customFormat="1" ht="21.95" customHeight="1" x14ac:dyDescent="0.15"/>
    <row r="62094" spans="3:3" s="8" customFormat="1" ht="21.95" customHeight="1" x14ac:dyDescent="0.15"/>
    <row r="62095" spans="3:3" s="8" customFormat="1" ht="21.95" customHeight="1" x14ac:dyDescent="0.15"/>
    <row r="62096" spans="3:3" s="8" customFormat="1" ht="21.95" customHeight="1" x14ac:dyDescent="0.15">
      <c r="C62096" s="101"/>
    </row>
    <row r="62097" spans="3:3" s="8" customFormat="1" ht="21.95" customHeight="1" x14ac:dyDescent="0.15">
      <c r="C62097" s="101"/>
    </row>
    <row r="62098" spans="3:3" s="8" customFormat="1" ht="21.95" customHeight="1" x14ac:dyDescent="0.15"/>
    <row r="62099" spans="3:3" s="8" customFormat="1" ht="21.95" customHeight="1" x14ac:dyDescent="0.15"/>
    <row r="62100" spans="3:3" s="8" customFormat="1" ht="21.95" customHeight="1" x14ac:dyDescent="0.15"/>
    <row r="62101" spans="3:3" s="8" customFormat="1" ht="21.95" customHeight="1" x14ac:dyDescent="0.15"/>
    <row r="62102" spans="3:3" s="8" customFormat="1" ht="21.95" customHeight="1" x14ac:dyDescent="0.15"/>
    <row r="62103" spans="3:3" s="8" customFormat="1" ht="21.95" customHeight="1" x14ac:dyDescent="0.15"/>
    <row r="62104" spans="3:3" s="8" customFormat="1" ht="21.95" customHeight="1" x14ac:dyDescent="0.15"/>
    <row r="62105" spans="3:3" s="9" customFormat="1" ht="21.95" customHeight="1" x14ac:dyDescent="0.15"/>
    <row r="62106" spans="3:3" s="9" customFormat="1" ht="21.95" customHeight="1" x14ac:dyDescent="0.15"/>
    <row r="62107" spans="3:3" s="9" customFormat="1" ht="21.95" customHeight="1" x14ac:dyDescent="0.15"/>
    <row r="62108" spans="3:3" s="9" customFormat="1" ht="21.95" customHeight="1" x14ac:dyDescent="0.15"/>
    <row r="62109" spans="3:3" s="8" customFormat="1" ht="21.95" customHeight="1" x14ac:dyDescent="0.15"/>
    <row r="62110" spans="3:3" s="8" customFormat="1" ht="21.95" customHeight="1" x14ac:dyDescent="0.15"/>
    <row r="62111" spans="3:3" s="8" customFormat="1" ht="21.95" customHeight="1" x14ac:dyDescent="0.15"/>
    <row r="62112" spans="3:3" s="8" customFormat="1" ht="21.95" customHeight="1" x14ac:dyDescent="0.15"/>
    <row r="62113" s="8" customFormat="1" ht="21.95" customHeight="1" x14ac:dyDescent="0.15"/>
    <row r="62114" s="8" customFormat="1" ht="21.95" customHeight="1" x14ac:dyDescent="0.15"/>
    <row r="62115" s="8" customFormat="1" ht="21.95" customHeight="1" x14ac:dyDescent="0.15"/>
    <row r="62116" s="8" customFormat="1" ht="21.95" customHeight="1" x14ac:dyDescent="0.15"/>
    <row r="62117" s="8" customFormat="1" ht="21.95" customHeight="1" x14ac:dyDescent="0.15"/>
    <row r="62118" s="8" customFormat="1" ht="21.95" customHeight="1" x14ac:dyDescent="0.15"/>
    <row r="62119" s="8" customFormat="1" ht="21.95" customHeight="1" x14ac:dyDescent="0.15"/>
    <row r="62120" s="8" customFormat="1" ht="32.1" customHeight="1" x14ac:dyDescent="0.15"/>
    <row r="62121" s="8" customFormat="1" ht="32.1" customHeight="1" x14ac:dyDescent="0.15"/>
    <row r="62122" s="8" customFormat="1" ht="32.1" customHeight="1" x14ac:dyDescent="0.15"/>
    <row r="62123" s="8" customFormat="1" ht="32.1" customHeight="1" x14ac:dyDescent="0.15"/>
    <row r="62124" s="8" customFormat="1" ht="32.1" customHeight="1" x14ac:dyDescent="0.15"/>
    <row r="62125" s="8" customFormat="1" ht="32.1" customHeight="1" x14ac:dyDescent="0.15"/>
    <row r="62126" s="9" customFormat="1" ht="32.1" customHeight="1" x14ac:dyDescent="0.15"/>
    <row r="62127" s="9" customFormat="1" ht="32.1" customHeight="1" x14ac:dyDescent="0.15"/>
    <row r="62128" s="9" customFormat="1" ht="32.1" customHeight="1" x14ac:dyDescent="0.15"/>
    <row r="62129" s="9" customFormat="1" ht="32.1" customHeight="1" x14ac:dyDescent="0.15"/>
    <row r="62130" s="9" customFormat="1" ht="21.95" customHeight="1" x14ac:dyDescent="0.15"/>
    <row r="62131" s="9" customFormat="1" ht="54" customHeight="1" x14ac:dyDescent="0.15"/>
    <row r="62132" s="9" customFormat="1" ht="21.95" customHeight="1" x14ac:dyDescent="0.15"/>
    <row r="62133" s="9" customFormat="1" ht="21.95" customHeight="1" x14ac:dyDescent="0.15"/>
    <row r="62134" s="9" customFormat="1" ht="21.95" customHeight="1" x14ac:dyDescent="0.15"/>
    <row r="62135" s="9" customFormat="1" ht="21.95" customHeight="1" x14ac:dyDescent="0.15"/>
    <row r="62136" s="9" customFormat="1" ht="21.95" customHeight="1" x14ac:dyDescent="0.15"/>
    <row r="62137" s="9" customFormat="1" ht="21.95" customHeight="1" x14ac:dyDescent="0.15"/>
    <row r="62138" s="9" customFormat="1" ht="21.95" customHeight="1" x14ac:dyDescent="0.15"/>
    <row r="62139" s="9" customFormat="1" ht="21.95" customHeight="1" x14ac:dyDescent="0.15"/>
    <row r="62140" s="9" customFormat="1" ht="21.95" customHeight="1" x14ac:dyDescent="0.15"/>
    <row r="62141" s="9" customFormat="1" ht="21.95" customHeight="1" x14ac:dyDescent="0.15"/>
    <row r="62142" s="9" customFormat="1" ht="21.95" customHeight="1" x14ac:dyDescent="0.15"/>
    <row r="62143" s="9" customFormat="1" ht="21.95" customHeight="1" x14ac:dyDescent="0.15"/>
    <row r="62144" s="9" customFormat="1" ht="21.95" customHeight="1" x14ac:dyDescent="0.15"/>
    <row r="62145" s="9" customFormat="1" ht="21.95" customHeight="1" x14ac:dyDescent="0.15"/>
    <row r="62146" s="9" customFormat="1" ht="21.95" customHeight="1" x14ac:dyDescent="0.15"/>
    <row r="62147" s="9" customFormat="1" ht="21.95" customHeight="1" x14ac:dyDescent="0.15"/>
    <row r="62148" s="9" customFormat="1" ht="21.95" customHeight="1" x14ac:dyDescent="0.15"/>
    <row r="62149" s="9" customFormat="1" ht="21.95" customHeight="1" x14ac:dyDescent="0.15"/>
    <row r="62150" s="9" customFormat="1" ht="21.95" customHeight="1" x14ac:dyDescent="0.15"/>
    <row r="62151" s="9" customFormat="1" ht="21.95" customHeight="1" x14ac:dyDescent="0.15"/>
    <row r="62152" s="9" customFormat="1" ht="21.95" customHeight="1" x14ac:dyDescent="0.15"/>
    <row r="62153" s="9" customFormat="1" ht="21.95" customHeight="1" x14ac:dyDescent="0.15"/>
    <row r="62154" s="9" customFormat="1" ht="21.95" customHeight="1" x14ac:dyDescent="0.15"/>
    <row r="62155" s="9" customFormat="1" ht="21.95" customHeight="1" x14ac:dyDescent="0.15"/>
    <row r="62156" s="9" customFormat="1" ht="21.95" customHeight="1" x14ac:dyDescent="0.15"/>
    <row r="62157" s="9" customFormat="1" ht="21.95" customHeight="1" x14ac:dyDescent="0.15"/>
    <row r="62158" s="9" customFormat="1" ht="21.95" customHeight="1" x14ac:dyDescent="0.15"/>
    <row r="62159" s="9" customFormat="1" ht="21.95" customHeight="1" x14ac:dyDescent="0.15"/>
    <row r="62160" s="9" customFormat="1" ht="21.95" customHeight="1" x14ac:dyDescent="0.15"/>
    <row r="62161" s="9" customFormat="1" ht="21.95" customHeight="1" x14ac:dyDescent="0.15"/>
    <row r="62162" s="9" customFormat="1" ht="21.95" customHeight="1" x14ac:dyDescent="0.15"/>
    <row r="62163" s="9" customFormat="1" ht="21.95" customHeight="1" x14ac:dyDescent="0.15"/>
    <row r="62164" s="9" customFormat="1" ht="21.95" customHeight="1" x14ac:dyDescent="0.15"/>
    <row r="62165" s="9" customFormat="1" ht="21.95" customHeight="1" x14ac:dyDescent="0.15"/>
    <row r="62166" s="9" customFormat="1" ht="21.95" customHeight="1" x14ac:dyDescent="0.15"/>
    <row r="62167" s="9" customFormat="1" ht="21.95" customHeight="1" x14ac:dyDescent="0.15"/>
    <row r="62168" s="9" customFormat="1" ht="21.95" customHeight="1" x14ac:dyDescent="0.15"/>
    <row r="62169" s="9" customFormat="1" ht="21.95" customHeight="1" x14ac:dyDescent="0.15"/>
    <row r="62170" s="9" customFormat="1" ht="21.95" customHeight="1" x14ac:dyDescent="0.15"/>
    <row r="62171" s="9" customFormat="1" ht="21.95" customHeight="1" x14ac:dyDescent="0.15"/>
    <row r="62172" s="9" customFormat="1" ht="21.95" customHeight="1" x14ac:dyDescent="0.15"/>
    <row r="62173" s="9" customFormat="1" ht="21.95" customHeight="1" x14ac:dyDescent="0.15"/>
    <row r="62174" s="9" customFormat="1" ht="21.95" customHeight="1" x14ac:dyDescent="0.15"/>
    <row r="62175" s="9" customFormat="1" ht="21.95" customHeight="1" x14ac:dyDescent="0.15"/>
    <row r="62176" s="9" customFormat="1" ht="21.95" customHeight="1" x14ac:dyDescent="0.15"/>
    <row r="62177" s="9" customFormat="1" ht="21.95" customHeight="1" x14ac:dyDescent="0.15"/>
    <row r="62178" s="9" customFormat="1" ht="21.95" customHeight="1" x14ac:dyDescent="0.15"/>
    <row r="62179" s="9" customFormat="1" ht="21.95" customHeight="1" x14ac:dyDescent="0.15"/>
    <row r="62180" s="9" customFormat="1" ht="21.95" customHeight="1" x14ac:dyDescent="0.15"/>
    <row r="62181" s="9" customFormat="1" ht="21.95" customHeight="1" x14ac:dyDescent="0.15"/>
    <row r="62182" s="9" customFormat="1" ht="35.1" customHeight="1" x14ac:dyDescent="0.15"/>
    <row r="62183" s="9" customFormat="1" ht="21.95" customHeight="1" x14ac:dyDescent="0.15"/>
    <row r="62184" s="9" customFormat="1" ht="21.95" customHeight="1" x14ac:dyDescent="0.15"/>
    <row r="62185" s="9" customFormat="1" ht="21.95" customHeight="1" x14ac:dyDescent="0.15"/>
    <row r="62186" s="9" customFormat="1" ht="21.95" customHeight="1" x14ac:dyDescent="0.15"/>
    <row r="62187" s="9" customFormat="1" ht="21.95" customHeight="1" x14ac:dyDescent="0.15"/>
    <row r="62188" s="9" customFormat="1" ht="21.95" customHeight="1" x14ac:dyDescent="0.15"/>
    <row r="62189" s="9" customFormat="1" ht="21.95" customHeight="1" x14ac:dyDescent="0.15"/>
    <row r="62190" s="9" customFormat="1" ht="21.95" customHeight="1" x14ac:dyDescent="0.15"/>
    <row r="62191" s="9" customFormat="1" ht="21.95" customHeight="1" x14ac:dyDescent="0.15"/>
    <row r="62192" s="9" customFormat="1" ht="21.95" customHeight="1" x14ac:dyDescent="0.15"/>
    <row r="62193" spans="3:3" s="9" customFormat="1" ht="21.95" customHeight="1" x14ac:dyDescent="0.15"/>
    <row r="62194" spans="3:3" s="9" customFormat="1" ht="21.95" customHeight="1" x14ac:dyDescent="0.15"/>
    <row r="62195" spans="3:3" s="9" customFormat="1" ht="21.95" customHeight="1" x14ac:dyDescent="0.15"/>
    <row r="62196" spans="3:3" s="9" customFormat="1" ht="21.95" customHeight="1" x14ac:dyDescent="0.15"/>
    <row r="62197" spans="3:3" s="9" customFormat="1" ht="21.95" customHeight="1" x14ac:dyDescent="0.15"/>
    <row r="62198" spans="3:3" s="9" customFormat="1" ht="21.95" customHeight="1" x14ac:dyDescent="0.15"/>
    <row r="62199" spans="3:3" s="9" customFormat="1" ht="21.95" customHeight="1" x14ac:dyDescent="0.15"/>
    <row r="62200" spans="3:3" s="9" customFormat="1" ht="21.95" customHeight="1" x14ac:dyDescent="0.15"/>
    <row r="62201" spans="3:3" s="9" customFormat="1" ht="21.95" customHeight="1" x14ac:dyDescent="0.15"/>
    <row r="62202" spans="3:3" s="9" customFormat="1" ht="21.95" customHeight="1" x14ac:dyDescent="0.15"/>
    <row r="62203" spans="3:3" s="9" customFormat="1" ht="21.95" customHeight="1" x14ac:dyDescent="0.15"/>
    <row r="62204" spans="3:3" s="9" customFormat="1" ht="21.95" customHeight="1" x14ac:dyDescent="0.15"/>
    <row r="62205" spans="3:3" s="9" customFormat="1" ht="21.95" customHeight="1" x14ac:dyDescent="0.15"/>
    <row r="62206" spans="3:3" s="8" customFormat="1" ht="21.95" customHeight="1" x14ac:dyDescent="0.15"/>
    <row r="62207" spans="3:3" s="8" customFormat="1" ht="21.95" customHeight="1" x14ac:dyDescent="0.15"/>
    <row r="62208" spans="3:3" s="8" customFormat="1" ht="21.95" customHeight="1" x14ac:dyDescent="0.15">
      <c r="C62208" s="101"/>
    </row>
    <row r="62209" spans="3:3" s="8" customFormat="1" ht="21.95" customHeight="1" x14ac:dyDescent="0.15">
      <c r="C62209" s="101"/>
    </row>
    <row r="62210" spans="3:3" s="8" customFormat="1" ht="21.95" customHeight="1" x14ac:dyDescent="0.15"/>
    <row r="62211" spans="3:3" s="8" customFormat="1" ht="21.95" customHeight="1" x14ac:dyDescent="0.15"/>
    <row r="62212" spans="3:3" s="8" customFormat="1" ht="21.95" customHeight="1" x14ac:dyDescent="0.15"/>
    <row r="62213" spans="3:3" s="8" customFormat="1" ht="21.95" customHeight="1" x14ac:dyDescent="0.15"/>
    <row r="62214" spans="3:3" s="8" customFormat="1" ht="21.95" customHeight="1" x14ac:dyDescent="0.15"/>
    <row r="62215" spans="3:3" s="8" customFormat="1" ht="21.95" customHeight="1" x14ac:dyDescent="0.15"/>
    <row r="62216" spans="3:3" s="8" customFormat="1" ht="21.95" customHeight="1" x14ac:dyDescent="0.15"/>
    <row r="62217" spans="3:3" s="9" customFormat="1" ht="21.95" customHeight="1" x14ac:dyDescent="0.15"/>
    <row r="62218" spans="3:3" s="9" customFormat="1" ht="21.95" customHeight="1" x14ac:dyDescent="0.15"/>
    <row r="62219" spans="3:3" s="9" customFormat="1" ht="21.95" customHeight="1" x14ac:dyDescent="0.15"/>
    <row r="62220" spans="3:3" s="9" customFormat="1" ht="21.95" customHeight="1" x14ac:dyDescent="0.15"/>
    <row r="62221" spans="3:3" s="8" customFormat="1" ht="21.95" customHeight="1" x14ac:dyDescent="0.15"/>
    <row r="62222" spans="3:3" s="8" customFormat="1" ht="21.95" customHeight="1" x14ac:dyDescent="0.15"/>
    <row r="62223" spans="3:3" s="8" customFormat="1" ht="21.95" customHeight="1" x14ac:dyDescent="0.15"/>
    <row r="62224" spans="3:3" s="8" customFormat="1" ht="21.95" customHeight="1" x14ac:dyDescent="0.15"/>
    <row r="62225" s="8" customFormat="1" ht="21.95" customHeight="1" x14ac:dyDescent="0.15"/>
    <row r="62226" s="8" customFormat="1" ht="21.95" customHeight="1" x14ac:dyDescent="0.15"/>
    <row r="62227" s="8" customFormat="1" ht="21.95" customHeight="1" x14ac:dyDescent="0.15"/>
    <row r="62228" s="8" customFormat="1" ht="21.95" customHeight="1" x14ac:dyDescent="0.15"/>
    <row r="62229" s="8" customFormat="1" ht="21.95" customHeight="1" x14ac:dyDescent="0.15"/>
    <row r="62230" s="8" customFormat="1" ht="21.95" customHeight="1" x14ac:dyDescent="0.15"/>
    <row r="62231" s="8" customFormat="1" ht="21.95" customHeight="1" x14ac:dyDescent="0.15"/>
    <row r="62232" s="8" customFormat="1" ht="32.1" customHeight="1" x14ac:dyDescent="0.15"/>
    <row r="62233" s="8" customFormat="1" ht="32.1" customHeight="1" x14ac:dyDescent="0.15"/>
    <row r="62234" s="8" customFormat="1" ht="32.1" customHeight="1" x14ac:dyDescent="0.15"/>
    <row r="62235" s="8" customFormat="1" ht="32.1" customHeight="1" x14ac:dyDescent="0.15"/>
    <row r="62236" s="8" customFormat="1" ht="32.1" customHeight="1" x14ac:dyDescent="0.15"/>
    <row r="62237" s="8" customFormat="1" ht="32.1" customHeight="1" x14ac:dyDescent="0.15"/>
    <row r="62238" s="9" customFormat="1" ht="32.1" customHeight="1" x14ac:dyDescent="0.15"/>
    <row r="62239" s="9" customFormat="1" ht="32.1" customHeight="1" x14ac:dyDescent="0.15"/>
    <row r="62240" s="9" customFormat="1" ht="32.1" customHeight="1" x14ac:dyDescent="0.15"/>
    <row r="62241" s="9" customFormat="1" ht="32.1" customHeight="1" x14ac:dyDescent="0.15"/>
    <row r="62242" s="9" customFormat="1" ht="21.95" customHeight="1" x14ac:dyDescent="0.15"/>
    <row r="62243" s="9" customFormat="1" ht="54" customHeight="1" x14ac:dyDescent="0.15"/>
    <row r="62244" s="9" customFormat="1" ht="21.95" customHeight="1" x14ac:dyDescent="0.15"/>
    <row r="62245" s="9" customFormat="1" ht="21.95" customHeight="1" x14ac:dyDescent="0.15"/>
    <row r="62246" s="9" customFormat="1" ht="21.95" customHeight="1" x14ac:dyDescent="0.15"/>
    <row r="62247" s="9" customFormat="1" ht="21.95" customHeight="1" x14ac:dyDescent="0.15"/>
    <row r="62248" s="9" customFormat="1" ht="21.95" customHeight="1" x14ac:dyDescent="0.15"/>
    <row r="62249" s="9" customFormat="1" ht="21.95" customHeight="1" x14ac:dyDescent="0.15"/>
    <row r="62250" s="9" customFormat="1" ht="21.95" customHeight="1" x14ac:dyDescent="0.15"/>
    <row r="62251" s="9" customFormat="1" ht="21.95" customHeight="1" x14ac:dyDescent="0.15"/>
    <row r="62252" s="9" customFormat="1" ht="21.95" customHeight="1" x14ac:dyDescent="0.15"/>
    <row r="62253" s="9" customFormat="1" ht="21.95" customHeight="1" x14ac:dyDescent="0.15"/>
    <row r="62254" s="9" customFormat="1" ht="21.95" customHeight="1" x14ac:dyDescent="0.15"/>
    <row r="62255" s="9" customFormat="1" ht="21.95" customHeight="1" x14ac:dyDescent="0.15"/>
    <row r="62256" s="9" customFormat="1" ht="21.95" customHeight="1" x14ac:dyDescent="0.15"/>
    <row r="62257" s="9" customFormat="1" ht="21.95" customHeight="1" x14ac:dyDescent="0.15"/>
    <row r="62258" s="9" customFormat="1" ht="21.95" customHeight="1" x14ac:dyDescent="0.15"/>
    <row r="62259" s="9" customFormat="1" ht="21.95" customHeight="1" x14ac:dyDescent="0.15"/>
    <row r="62260" s="9" customFormat="1" ht="21.95" customHeight="1" x14ac:dyDescent="0.15"/>
    <row r="62261" s="9" customFormat="1" ht="21.95" customHeight="1" x14ac:dyDescent="0.15"/>
    <row r="62262" s="9" customFormat="1" ht="21.95" customHeight="1" x14ac:dyDescent="0.15"/>
    <row r="62263" s="9" customFormat="1" ht="21.95" customHeight="1" x14ac:dyDescent="0.15"/>
    <row r="62264" s="9" customFormat="1" ht="21.95" customHeight="1" x14ac:dyDescent="0.15"/>
    <row r="62265" s="9" customFormat="1" ht="21.95" customHeight="1" x14ac:dyDescent="0.15"/>
    <row r="62266" s="9" customFormat="1" ht="21.95" customHeight="1" x14ac:dyDescent="0.15"/>
    <row r="62267" s="9" customFormat="1" ht="21.95" customHeight="1" x14ac:dyDescent="0.15"/>
    <row r="62268" s="9" customFormat="1" ht="21.95" customHeight="1" x14ac:dyDescent="0.15"/>
    <row r="62269" s="9" customFormat="1" ht="21.95" customHeight="1" x14ac:dyDescent="0.15"/>
    <row r="62270" s="9" customFormat="1" ht="21.95" customHeight="1" x14ac:dyDescent="0.15"/>
    <row r="62271" s="9" customFormat="1" ht="21.95" customHeight="1" x14ac:dyDescent="0.15"/>
    <row r="62272" s="9" customFormat="1" ht="21.95" customHeight="1" x14ac:dyDescent="0.15"/>
    <row r="62273" s="9" customFormat="1" ht="21.95" customHeight="1" x14ac:dyDescent="0.15"/>
    <row r="62274" s="9" customFormat="1" ht="21.95" customHeight="1" x14ac:dyDescent="0.15"/>
    <row r="62275" s="9" customFormat="1" ht="21.95" customHeight="1" x14ac:dyDescent="0.15"/>
    <row r="62276" s="9" customFormat="1" ht="21.95" customHeight="1" x14ac:dyDescent="0.15"/>
    <row r="62277" s="9" customFormat="1" ht="21.95" customHeight="1" x14ac:dyDescent="0.15"/>
    <row r="62278" s="9" customFormat="1" ht="21.95" customHeight="1" x14ac:dyDescent="0.15"/>
    <row r="62279" s="9" customFormat="1" ht="21.95" customHeight="1" x14ac:dyDescent="0.15"/>
    <row r="62280" s="9" customFormat="1" ht="21.95" customHeight="1" x14ac:dyDescent="0.15"/>
    <row r="62281" s="9" customFormat="1" ht="21.95" customHeight="1" x14ac:dyDescent="0.15"/>
    <row r="62282" s="9" customFormat="1" ht="21.95" customHeight="1" x14ac:dyDescent="0.15"/>
    <row r="62283" s="9" customFormat="1" ht="21.95" customHeight="1" x14ac:dyDescent="0.15"/>
    <row r="62284" s="9" customFormat="1" ht="21.95" customHeight="1" x14ac:dyDescent="0.15"/>
    <row r="62285" s="9" customFormat="1" ht="21.95" customHeight="1" x14ac:dyDescent="0.15"/>
    <row r="62286" s="9" customFormat="1" ht="21.95" customHeight="1" x14ac:dyDescent="0.15"/>
    <row r="62287" s="9" customFormat="1" ht="21.95" customHeight="1" x14ac:dyDescent="0.15"/>
    <row r="62288" s="9" customFormat="1" ht="21.95" customHeight="1" x14ac:dyDescent="0.15"/>
    <row r="62289" s="9" customFormat="1" ht="21.95" customHeight="1" x14ac:dyDescent="0.15"/>
    <row r="62290" s="9" customFormat="1" ht="21.95" customHeight="1" x14ac:dyDescent="0.15"/>
    <row r="62291" s="9" customFormat="1" ht="21.95" customHeight="1" x14ac:dyDescent="0.15"/>
    <row r="62292" s="9" customFormat="1" ht="21.95" customHeight="1" x14ac:dyDescent="0.15"/>
    <row r="62293" s="9" customFormat="1" ht="21.95" customHeight="1" x14ac:dyDescent="0.15"/>
    <row r="62294" s="9" customFormat="1" ht="35.1" customHeight="1" x14ac:dyDescent="0.15"/>
    <row r="62295" s="9" customFormat="1" ht="21.95" customHeight="1" x14ac:dyDescent="0.15"/>
    <row r="62296" s="9" customFormat="1" ht="21.95" customHeight="1" x14ac:dyDescent="0.15"/>
    <row r="62297" s="9" customFormat="1" ht="21.95" customHeight="1" x14ac:dyDescent="0.15"/>
    <row r="62298" s="9" customFormat="1" ht="21.95" customHeight="1" x14ac:dyDescent="0.15"/>
    <row r="62299" s="9" customFormat="1" ht="21.95" customHeight="1" x14ac:dyDescent="0.15"/>
    <row r="62300" s="9" customFormat="1" ht="21.95" customHeight="1" x14ac:dyDescent="0.15"/>
    <row r="62301" s="9" customFormat="1" ht="21.95" customHeight="1" x14ac:dyDescent="0.15"/>
    <row r="62302" s="9" customFormat="1" ht="21.95" customHeight="1" x14ac:dyDescent="0.15"/>
    <row r="62303" s="9" customFormat="1" ht="21.95" customHeight="1" x14ac:dyDescent="0.15"/>
    <row r="62304" s="9" customFormat="1" ht="21.95" customHeight="1" x14ac:dyDescent="0.15"/>
    <row r="62305" spans="3:3" s="9" customFormat="1" ht="21.95" customHeight="1" x14ac:dyDescent="0.15"/>
    <row r="62306" spans="3:3" s="9" customFormat="1" ht="21.95" customHeight="1" x14ac:dyDescent="0.15"/>
    <row r="62307" spans="3:3" s="9" customFormat="1" ht="21.95" customHeight="1" x14ac:dyDescent="0.15"/>
    <row r="62308" spans="3:3" s="9" customFormat="1" ht="21.95" customHeight="1" x14ac:dyDescent="0.15"/>
    <row r="62309" spans="3:3" s="9" customFormat="1" ht="21.95" customHeight="1" x14ac:dyDescent="0.15"/>
    <row r="62310" spans="3:3" s="9" customFormat="1" ht="21.95" customHeight="1" x14ac:dyDescent="0.15"/>
    <row r="62311" spans="3:3" s="9" customFormat="1" ht="21.95" customHeight="1" x14ac:dyDescent="0.15"/>
    <row r="62312" spans="3:3" s="9" customFormat="1" ht="21.95" customHeight="1" x14ac:dyDescent="0.15"/>
    <row r="62313" spans="3:3" s="9" customFormat="1" ht="21.95" customHeight="1" x14ac:dyDescent="0.15"/>
    <row r="62314" spans="3:3" s="9" customFormat="1" ht="21.95" customHeight="1" x14ac:dyDescent="0.15"/>
    <row r="62315" spans="3:3" s="9" customFormat="1" ht="21.95" customHeight="1" x14ac:dyDescent="0.15"/>
    <row r="62316" spans="3:3" s="9" customFormat="1" ht="21.95" customHeight="1" x14ac:dyDescent="0.15"/>
    <row r="62317" spans="3:3" s="9" customFormat="1" ht="21.95" customHeight="1" x14ac:dyDescent="0.15"/>
    <row r="62318" spans="3:3" s="8" customFormat="1" ht="21.95" customHeight="1" x14ac:dyDescent="0.15"/>
    <row r="62319" spans="3:3" s="8" customFormat="1" ht="21.95" customHeight="1" x14ac:dyDescent="0.15"/>
    <row r="62320" spans="3:3" s="8" customFormat="1" ht="21.95" customHeight="1" x14ac:dyDescent="0.15">
      <c r="C62320" s="101"/>
    </row>
    <row r="62321" spans="3:3" s="8" customFormat="1" ht="21.95" customHeight="1" x14ac:dyDescent="0.15">
      <c r="C62321" s="101"/>
    </row>
    <row r="62322" spans="3:3" s="8" customFormat="1" ht="21.95" customHeight="1" x14ac:dyDescent="0.15"/>
    <row r="62323" spans="3:3" s="8" customFormat="1" ht="21.95" customHeight="1" x14ac:dyDescent="0.15"/>
    <row r="62324" spans="3:3" s="8" customFormat="1" ht="21.95" customHeight="1" x14ac:dyDescent="0.15"/>
    <row r="62325" spans="3:3" s="8" customFormat="1" ht="21.95" customHeight="1" x14ac:dyDescent="0.15"/>
    <row r="62326" spans="3:3" s="8" customFormat="1" ht="21.95" customHeight="1" x14ac:dyDescent="0.15"/>
    <row r="62327" spans="3:3" s="8" customFormat="1" ht="21.95" customHeight="1" x14ac:dyDescent="0.15"/>
    <row r="62328" spans="3:3" s="8" customFormat="1" ht="21.95" customHeight="1" x14ac:dyDescent="0.15"/>
    <row r="62329" spans="3:3" s="9" customFormat="1" ht="21.95" customHeight="1" x14ac:dyDescent="0.15"/>
    <row r="62330" spans="3:3" s="9" customFormat="1" ht="21.95" customHeight="1" x14ac:dyDescent="0.15"/>
    <row r="62331" spans="3:3" s="9" customFormat="1" ht="21.95" customHeight="1" x14ac:dyDescent="0.15"/>
    <row r="62332" spans="3:3" s="9" customFormat="1" ht="21.95" customHeight="1" x14ac:dyDescent="0.15"/>
    <row r="62333" spans="3:3" s="8" customFormat="1" ht="21.95" customHeight="1" x14ac:dyDescent="0.15"/>
    <row r="62334" spans="3:3" s="8" customFormat="1" ht="21.95" customHeight="1" x14ac:dyDescent="0.15"/>
    <row r="62335" spans="3:3" s="8" customFormat="1" ht="21.95" customHeight="1" x14ac:dyDescent="0.15"/>
    <row r="62336" spans="3:3" s="8" customFormat="1" ht="21.95" customHeight="1" x14ac:dyDescent="0.15"/>
    <row r="62337" s="8" customFormat="1" ht="21.95" customHeight="1" x14ac:dyDescent="0.15"/>
    <row r="62338" s="8" customFormat="1" ht="21.95" customHeight="1" x14ac:dyDescent="0.15"/>
    <row r="62339" s="8" customFormat="1" ht="21.95" customHeight="1" x14ac:dyDescent="0.15"/>
    <row r="62340" s="8" customFormat="1" ht="21.95" customHeight="1" x14ac:dyDescent="0.15"/>
    <row r="62341" s="8" customFormat="1" ht="21.95" customHeight="1" x14ac:dyDescent="0.15"/>
    <row r="62342" s="8" customFormat="1" ht="21.95" customHeight="1" x14ac:dyDescent="0.15"/>
    <row r="62343" s="8" customFormat="1" ht="21.95" customHeight="1" x14ac:dyDescent="0.15"/>
    <row r="62344" s="8" customFormat="1" ht="32.1" customHeight="1" x14ac:dyDescent="0.15"/>
    <row r="62345" s="8" customFormat="1" ht="32.1" customHeight="1" x14ac:dyDescent="0.15"/>
    <row r="62346" s="8" customFormat="1" ht="32.1" customHeight="1" x14ac:dyDescent="0.15"/>
    <row r="62347" s="8" customFormat="1" ht="32.1" customHeight="1" x14ac:dyDescent="0.15"/>
    <row r="62348" s="8" customFormat="1" ht="32.1" customHeight="1" x14ac:dyDescent="0.15"/>
    <row r="62349" s="8" customFormat="1" ht="32.1" customHeight="1" x14ac:dyDescent="0.15"/>
    <row r="62350" s="9" customFormat="1" ht="32.1" customHeight="1" x14ac:dyDescent="0.15"/>
    <row r="62351" s="9" customFormat="1" ht="32.1" customHeight="1" x14ac:dyDescent="0.15"/>
    <row r="62352" s="9" customFormat="1" ht="32.1" customHeight="1" x14ac:dyDescent="0.15"/>
    <row r="62353" s="9" customFormat="1" ht="32.1" customHeight="1" x14ac:dyDescent="0.15"/>
    <row r="62354" s="9" customFormat="1" ht="21.95" customHeight="1" x14ac:dyDescent="0.15"/>
    <row r="62355" s="9" customFormat="1" ht="54" customHeight="1" x14ac:dyDescent="0.15"/>
    <row r="62356" s="9" customFormat="1" ht="21.95" customHeight="1" x14ac:dyDescent="0.15"/>
    <row r="62357" s="9" customFormat="1" ht="21.95" customHeight="1" x14ac:dyDescent="0.15"/>
    <row r="62358" s="9" customFormat="1" ht="21.95" customHeight="1" x14ac:dyDescent="0.15"/>
    <row r="62359" s="9" customFormat="1" ht="21.95" customHeight="1" x14ac:dyDescent="0.15"/>
    <row r="62360" s="9" customFormat="1" ht="21.95" customHeight="1" x14ac:dyDescent="0.15"/>
    <row r="62361" s="9" customFormat="1" ht="21.95" customHeight="1" x14ac:dyDescent="0.15"/>
    <row r="62362" s="9" customFormat="1" ht="21.95" customHeight="1" x14ac:dyDescent="0.15"/>
    <row r="62363" s="9" customFormat="1" ht="21.95" customHeight="1" x14ac:dyDescent="0.15"/>
    <row r="62364" s="9" customFormat="1" ht="21.95" customHeight="1" x14ac:dyDescent="0.15"/>
    <row r="62365" s="9" customFormat="1" ht="21.95" customHeight="1" x14ac:dyDescent="0.15"/>
    <row r="62366" s="9" customFormat="1" ht="21.95" customHeight="1" x14ac:dyDescent="0.15"/>
    <row r="62367" s="9" customFormat="1" ht="21.95" customHeight="1" x14ac:dyDescent="0.15"/>
    <row r="62368" s="9" customFormat="1" ht="21.95" customHeight="1" x14ac:dyDescent="0.15"/>
    <row r="62369" s="9" customFormat="1" ht="21.95" customHeight="1" x14ac:dyDescent="0.15"/>
    <row r="62370" s="9" customFormat="1" ht="21.95" customHeight="1" x14ac:dyDescent="0.15"/>
    <row r="62371" s="9" customFormat="1" ht="21.95" customHeight="1" x14ac:dyDescent="0.15"/>
    <row r="62372" s="9" customFormat="1" ht="21.95" customHeight="1" x14ac:dyDescent="0.15"/>
    <row r="62373" s="9" customFormat="1" ht="21.95" customHeight="1" x14ac:dyDescent="0.15"/>
    <row r="62374" s="9" customFormat="1" ht="21.95" customHeight="1" x14ac:dyDescent="0.15"/>
    <row r="62375" s="9" customFormat="1" ht="21.95" customHeight="1" x14ac:dyDescent="0.15"/>
    <row r="62376" s="9" customFormat="1" ht="21.95" customHeight="1" x14ac:dyDescent="0.15"/>
    <row r="62377" s="9" customFormat="1" ht="21.95" customHeight="1" x14ac:dyDescent="0.15"/>
    <row r="62378" s="9" customFormat="1" ht="21.95" customHeight="1" x14ac:dyDescent="0.15"/>
    <row r="62379" s="9" customFormat="1" ht="21.95" customHeight="1" x14ac:dyDescent="0.15"/>
    <row r="62380" s="9" customFormat="1" ht="21.95" customHeight="1" x14ac:dyDescent="0.15"/>
    <row r="62381" s="9" customFormat="1" ht="21.95" customHeight="1" x14ac:dyDescent="0.15"/>
    <row r="62382" s="9" customFormat="1" ht="21.95" customHeight="1" x14ac:dyDescent="0.15"/>
    <row r="62383" s="9" customFormat="1" ht="21.95" customHeight="1" x14ac:dyDescent="0.15"/>
    <row r="62384" s="9" customFormat="1" ht="21.95" customHeight="1" x14ac:dyDescent="0.15"/>
    <row r="62385" s="9" customFormat="1" ht="21.95" customHeight="1" x14ac:dyDescent="0.15"/>
    <row r="62386" s="9" customFormat="1" ht="21.95" customHeight="1" x14ac:dyDescent="0.15"/>
    <row r="62387" s="9" customFormat="1" ht="21.95" customHeight="1" x14ac:dyDescent="0.15"/>
    <row r="62388" s="9" customFormat="1" ht="21.95" customHeight="1" x14ac:dyDescent="0.15"/>
    <row r="62389" s="9" customFormat="1" ht="21.95" customHeight="1" x14ac:dyDescent="0.15"/>
    <row r="62390" s="9" customFormat="1" ht="21.95" customHeight="1" x14ac:dyDescent="0.15"/>
    <row r="62391" s="9" customFormat="1" ht="21.95" customHeight="1" x14ac:dyDescent="0.15"/>
    <row r="62392" s="9" customFormat="1" ht="21.95" customHeight="1" x14ac:dyDescent="0.15"/>
    <row r="62393" s="9" customFormat="1" ht="21.95" customHeight="1" x14ac:dyDescent="0.15"/>
    <row r="62394" s="9" customFormat="1" ht="21.95" customHeight="1" x14ac:dyDescent="0.15"/>
    <row r="62395" s="9" customFormat="1" ht="21.95" customHeight="1" x14ac:dyDescent="0.15"/>
    <row r="62396" s="9" customFormat="1" ht="21.95" customHeight="1" x14ac:dyDescent="0.15"/>
    <row r="62397" s="9" customFormat="1" ht="21.95" customHeight="1" x14ac:dyDescent="0.15"/>
    <row r="62398" s="9" customFormat="1" ht="21.95" customHeight="1" x14ac:dyDescent="0.15"/>
    <row r="62399" s="9" customFormat="1" ht="21.95" customHeight="1" x14ac:dyDescent="0.15"/>
    <row r="62400" s="9" customFormat="1" ht="21.95" customHeight="1" x14ac:dyDescent="0.15"/>
    <row r="62401" s="9" customFormat="1" ht="21.95" customHeight="1" x14ac:dyDescent="0.15"/>
    <row r="62402" s="9" customFormat="1" ht="21.95" customHeight="1" x14ac:dyDescent="0.15"/>
    <row r="62403" s="9" customFormat="1" ht="21.95" customHeight="1" x14ac:dyDescent="0.15"/>
    <row r="62404" s="9" customFormat="1" ht="21.95" customHeight="1" x14ac:dyDescent="0.15"/>
    <row r="62405" s="9" customFormat="1" ht="21.95" customHeight="1" x14ac:dyDescent="0.15"/>
    <row r="62406" s="9" customFormat="1" ht="35.1" customHeight="1" x14ac:dyDescent="0.15"/>
    <row r="62407" s="9" customFormat="1" ht="21.95" customHeight="1" x14ac:dyDescent="0.15"/>
    <row r="62408" s="9" customFormat="1" ht="21.95" customHeight="1" x14ac:dyDescent="0.15"/>
    <row r="62409" s="9" customFormat="1" ht="21.95" customHeight="1" x14ac:dyDescent="0.15"/>
    <row r="62410" s="9" customFormat="1" ht="21.95" customHeight="1" x14ac:dyDescent="0.15"/>
    <row r="62411" s="9" customFormat="1" ht="21.95" customHeight="1" x14ac:dyDescent="0.15"/>
    <row r="62412" s="9" customFormat="1" ht="21.95" customHeight="1" x14ac:dyDescent="0.15"/>
    <row r="62413" s="9" customFormat="1" ht="21.95" customHeight="1" x14ac:dyDescent="0.15"/>
    <row r="62414" s="9" customFormat="1" ht="21.95" customHeight="1" x14ac:dyDescent="0.15"/>
    <row r="62415" s="9" customFormat="1" ht="21.95" customHeight="1" x14ac:dyDescent="0.15"/>
    <row r="62416" s="9" customFormat="1" ht="21.95" customHeight="1" x14ac:dyDescent="0.15"/>
    <row r="62417" spans="3:3" s="9" customFormat="1" ht="21.95" customHeight="1" x14ac:dyDescent="0.15"/>
    <row r="62418" spans="3:3" s="9" customFormat="1" ht="21.95" customHeight="1" x14ac:dyDescent="0.15"/>
    <row r="62419" spans="3:3" s="9" customFormat="1" ht="21.95" customHeight="1" x14ac:dyDescent="0.15"/>
    <row r="62420" spans="3:3" s="9" customFormat="1" ht="21.95" customHeight="1" x14ac:dyDescent="0.15"/>
    <row r="62421" spans="3:3" s="9" customFormat="1" ht="21.95" customHeight="1" x14ac:dyDescent="0.15"/>
    <row r="62422" spans="3:3" s="9" customFormat="1" ht="21.95" customHeight="1" x14ac:dyDescent="0.15"/>
    <row r="62423" spans="3:3" s="9" customFormat="1" ht="21.95" customHeight="1" x14ac:dyDescent="0.15"/>
    <row r="62424" spans="3:3" s="9" customFormat="1" ht="21.95" customHeight="1" x14ac:dyDescent="0.15"/>
    <row r="62425" spans="3:3" s="9" customFormat="1" ht="21.95" customHeight="1" x14ac:dyDescent="0.15"/>
    <row r="62426" spans="3:3" s="9" customFormat="1" ht="21.95" customHeight="1" x14ac:dyDescent="0.15"/>
    <row r="62427" spans="3:3" s="9" customFormat="1" ht="21.95" customHeight="1" x14ac:dyDescent="0.15"/>
    <row r="62428" spans="3:3" s="9" customFormat="1" ht="21.95" customHeight="1" x14ac:dyDescent="0.15"/>
    <row r="62429" spans="3:3" s="9" customFormat="1" ht="21.95" customHeight="1" x14ac:dyDescent="0.15"/>
    <row r="62430" spans="3:3" s="8" customFormat="1" ht="21.95" customHeight="1" x14ac:dyDescent="0.15"/>
    <row r="62431" spans="3:3" s="8" customFormat="1" ht="21.95" customHeight="1" x14ac:dyDescent="0.15"/>
    <row r="62432" spans="3:3" s="8" customFormat="1" ht="21.95" customHeight="1" x14ac:dyDescent="0.15">
      <c r="C62432" s="101"/>
    </row>
    <row r="62433" spans="3:3" s="8" customFormat="1" ht="21.95" customHeight="1" x14ac:dyDescent="0.15">
      <c r="C62433" s="101"/>
    </row>
    <row r="62434" spans="3:3" s="8" customFormat="1" ht="21.95" customHeight="1" x14ac:dyDescent="0.15"/>
    <row r="62435" spans="3:3" s="8" customFormat="1" ht="21.95" customHeight="1" x14ac:dyDescent="0.15"/>
    <row r="62436" spans="3:3" s="8" customFormat="1" ht="21.95" customHeight="1" x14ac:dyDescent="0.15"/>
    <row r="62437" spans="3:3" s="8" customFormat="1" ht="21.95" customHeight="1" x14ac:dyDescent="0.15"/>
    <row r="62438" spans="3:3" s="8" customFormat="1" ht="21.95" customHeight="1" x14ac:dyDescent="0.15"/>
    <row r="62439" spans="3:3" s="8" customFormat="1" ht="21.95" customHeight="1" x14ac:dyDescent="0.15"/>
    <row r="62440" spans="3:3" s="8" customFormat="1" ht="21.95" customHeight="1" x14ac:dyDescent="0.15"/>
    <row r="62441" spans="3:3" s="9" customFormat="1" ht="21.95" customHeight="1" x14ac:dyDescent="0.15"/>
    <row r="62442" spans="3:3" s="9" customFormat="1" ht="21.95" customHeight="1" x14ac:dyDescent="0.15"/>
    <row r="62443" spans="3:3" s="9" customFormat="1" ht="21.95" customHeight="1" x14ac:dyDescent="0.15"/>
    <row r="62444" spans="3:3" s="9" customFormat="1" ht="21.95" customHeight="1" x14ac:dyDescent="0.15"/>
    <row r="62445" spans="3:3" s="8" customFormat="1" ht="21.95" customHeight="1" x14ac:dyDescent="0.15"/>
    <row r="62446" spans="3:3" s="8" customFormat="1" ht="21.95" customHeight="1" x14ac:dyDescent="0.15"/>
    <row r="62447" spans="3:3" s="8" customFormat="1" ht="21.95" customHeight="1" x14ac:dyDescent="0.15"/>
    <row r="62448" spans="3:3" s="8" customFormat="1" ht="21.95" customHeight="1" x14ac:dyDescent="0.15"/>
    <row r="62449" s="8" customFormat="1" ht="21.95" customHeight="1" x14ac:dyDescent="0.15"/>
    <row r="62450" s="8" customFormat="1" ht="21.95" customHeight="1" x14ac:dyDescent="0.15"/>
    <row r="62451" s="8" customFormat="1" ht="21.95" customHeight="1" x14ac:dyDescent="0.15"/>
    <row r="62452" s="8" customFormat="1" ht="21.95" customHeight="1" x14ac:dyDescent="0.15"/>
    <row r="62453" s="8" customFormat="1" ht="21.95" customHeight="1" x14ac:dyDescent="0.15"/>
    <row r="62454" s="8" customFormat="1" ht="21.95" customHeight="1" x14ac:dyDescent="0.15"/>
    <row r="62455" s="8" customFormat="1" ht="21.95" customHeight="1" x14ac:dyDescent="0.15"/>
    <row r="62456" s="8" customFormat="1" ht="32.1" customHeight="1" x14ac:dyDescent="0.15"/>
    <row r="62457" s="8" customFormat="1" ht="32.1" customHeight="1" x14ac:dyDescent="0.15"/>
    <row r="62458" s="8" customFormat="1" ht="32.1" customHeight="1" x14ac:dyDescent="0.15"/>
    <row r="62459" s="8" customFormat="1" ht="32.1" customHeight="1" x14ac:dyDescent="0.15"/>
    <row r="62460" s="8" customFormat="1" ht="32.1" customHeight="1" x14ac:dyDescent="0.15"/>
    <row r="62461" s="8" customFormat="1" ht="32.1" customHeight="1" x14ac:dyDescent="0.15"/>
    <row r="62462" s="9" customFormat="1" ht="32.1" customHeight="1" x14ac:dyDescent="0.15"/>
    <row r="62463" s="9" customFormat="1" ht="32.1" customHeight="1" x14ac:dyDescent="0.15"/>
    <row r="62464" s="9" customFormat="1" ht="32.1" customHeight="1" x14ac:dyDescent="0.15"/>
    <row r="62465" s="9" customFormat="1" ht="32.1" customHeight="1" x14ac:dyDescent="0.15"/>
    <row r="62466" s="9" customFormat="1" ht="21.95" customHeight="1" x14ac:dyDescent="0.15"/>
    <row r="62467" s="9" customFormat="1" ht="54" customHeight="1" x14ac:dyDescent="0.15"/>
    <row r="62468" s="9" customFormat="1" ht="21.95" customHeight="1" x14ac:dyDescent="0.15"/>
    <row r="62469" s="9" customFormat="1" ht="21.95" customHeight="1" x14ac:dyDescent="0.15"/>
    <row r="62470" s="9" customFormat="1" ht="21.95" customHeight="1" x14ac:dyDescent="0.15"/>
    <row r="62471" s="9" customFormat="1" ht="21.95" customHeight="1" x14ac:dyDescent="0.15"/>
    <row r="62472" s="9" customFormat="1" ht="21.95" customHeight="1" x14ac:dyDescent="0.15"/>
    <row r="62473" s="9" customFormat="1" ht="21.95" customHeight="1" x14ac:dyDescent="0.15"/>
    <row r="62474" s="9" customFormat="1" ht="21.95" customHeight="1" x14ac:dyDescent="0.15"/>
    <row r="62475" s="9" customFormat="1" ht="21.95" customHeight="1" x14ac:dyDescent="0.15"/>
    <row r="62476" s="9" customFormat="1" ht="21.95" customHeight="1" x14ac:dyDescent="0.15"/>
    <row r="62477" s="9" customFormat="1" ht="21.95" customHeight="1" x14ac:dyDescent="0.15"/>
    <row r="62478" s="9" customFormat="1" ht="21.95" customHeight="1" x14ac:dyDescent="0.15"/>
    <row r="62479" s="9" customFormat="1" ht="21.95" customHeight="1" x14ac:dyDescent="0.15"/>
    <row r="62480" s="9" customFormat="1" ht="21.95" customHeight="1" x14ac:dyDescent="0.15"/>
    <row r="62481" s="9" customFormat="1" ht="21.95" customHeight="1" x14ac:dyDescent="0.15"/>
    <row r="62482" s="9" customFormat="1" ht="21.95" customHeight="1" x14ac:dyDescent="0.15"/>
    <row r="62483" s="9" customFormat="1" ht="21.95" customHeight="1" x14ac:dyDescent="0.15"/>
    <row r="62484" s="9" customFormat="1" ht="21.95" customHeight="1" x14ac:dyDescent="0.15"/>
    <row r="62485" s="9" customFormat="1" ht="21.95" customHeight="1" x14ac:dyDescent="0.15"/>
    <row r="62486" s="9" customFormat="1" ht="21.95" customHeight="1" x14ac:dyDescent="0.15"/>
    <row r="62487" s="9" customFormat="1" ht="21.95" customHeight="1" x14ac:dyDescent="0.15"/>
    <row r="62488" s="9" customFormat="1" ht="21.95" customHeight="1" x14ac:dyDescent="0.15"/>
    <row r="62489" s="9" customFormat="1" ht="21.95" customHeight="1" x14ac:dyDescent="0.15"/>
    <row r="62490" s="9" customFormat="1" ht="21.95" customHeight="1" x14ac:dyDescent="0.15"/>
    <row r="62491" s="9" customFormat="1" ht="21.95" customHeight="1" x14ac:dyDescent="0.15"/>
    <row r="62492" s="9" customFormat="1" ht="21.95" customHeight="1" x14ac:dyDescent="0.15"/>
    <row r="62493" s="9" customFormat="1" ht="21.95" customHeight="1" x14ac:dyDescent="0.15"/>
    <row r="62494" s="9" customFormat="1" ht="21.95" customHeight="1" x14ac:dyDescent="0.15"/>
    <row r="62495" s="9" customFormat="1" ht="21.95" customHeight="1" x14ac:dyDescent="0.15"/>
    <row r="62496" s="9" customFormat="1" ht="21.95" customHeight="1" x14ac:dyDescent="0.15"/>
    <row r="62497" s="9" customFormat="1" ht="21.95" customHeight="1" x14ac:dyDescent="0.15"/>
    <row r="62498" s="9" customFormat="1" ht="21.95" customHeight="1" x14ac:dyDescent="0.15"/>
    <row r="62499" s="9" customFormat="1" ht="21.95" customHeight="1" x14ac:dyDescent="0.15"/>
    <row r="62500" s="9" customFormat="1" ht="21.95" customHeight="1" x14ac:dyDescent="0.15"/>
    <row r="62501" s="9" customFormat="1" ht="21.95" customHeight="1" x14ac:dyDescent="0.15"/>
    <row r="62502" s="9" customFormat="1" ht="21.95" customHeight="1" x14ac:dyDescent="0.15"/>
    <row r="62503" s="9" customFormat="1" ht="21.95" customHeight="1" x14ac:dyDescent="0.15"/>
    <row r="62504" s="9" customFormat="1" ht="21.95" customHeight="1" x14ac:dyDescent="0.15"/>
    <row r="62505" s="9" customFormat="1" ht="21.95" customHeight="1" x14ac:dyDescent="0.15"/>
    <row r="62506" s="9" customFormat="1" ht="21.95" customHeight="1" x14ac:dyDescent="0.15"/>
    <row r="62507" s="9" customFormat="1" ht="21.95" customHeight="1" x14ac:dyDescent="0.15"/>
    <row r="62508" s="9" customFormat="1" ht="21.95" customHeight="1" x14ac:dyDescent="0.15"/>
    <row r="62509" s="9" customFormat="1" ht="21.95" customHeight="1" x14ac:dyDescent="0.15"/>
    <row r="62510" s="9" customFormat="1" ht="21.95" customHeight="1" x14ac:dyDescent="0.15"/>
    <row r="62511" s="9" customFormat="1" ht="21.95" customHeight="1" x14ac:dyDescent="0.15"/>
    <row r="62512" s="9" customFormat="1" ht="21.95" customHeight="1" x14ac:dyDescent="0.15"/>
    <row r="62513" s="9" customFormat="1" ht="21.95" customHeight="1" x14ac:dyDescent="0.15"/>
    <row r="62514" s="9" customFormat="1" ht="21.95" customHeight="1" x14ac:dyDescent="0.15"/>
    <row r="62515" s="9" customFormat="1" ht="21.95" customHeight="1" x14ac:dyDescent="0.15"/>
    <row r="62516" s="9" customFormat="1" ht="21.95" customHeight="1" x14ac:dyDescent="0.15"/>
    <row r="62517" s="9" customFormat="1" ht="21.95" customHeight="1" x14ac:dyDescent="0.15"/>
    <row r="62518" s="9" customFormat="1" ht="35.1" customHeight="1" x14ac:dyDescent="0.15"/>
    <row r="62519" s="9" customFormat="1" ht="21.95" customHeight="1" x14ac:dyDescent="0.15"/>
    <row r="62520" s="9" customFormat="1" ht="21.95" customHeight="1" x14ac:dyDescent="0.15"/>
    <row r="62521" s="9" customFormat="1" ht="21.95" customHeight="1" x14ac:dyDescent="0.15"/>
    <row r="62522" s="9" customFormat="1" ht="21.95" customHeight="1" x14ac:dyDescent="0.15"/>
    <row r="62523" s="9" customFormat="1" ht="21.95" customHeight="1" x14ac:dyDescent="0.15"/>
    <row r="62524" s="9" customFormat="1" ht="21.95" customHeight="1" x14ac:dyDescent="0.15"/>
    <row r="62525" s="9" customFormat="1" ht="21.95" customHeight="1" x14ac:dyDescent="0.15"/>
    <row r="62526" s="9" customFormat="1" ht="21.95" customHeight="1" x14ac:dyDescent="0.15"/>
    <row r="62527" s="9" customFormat="1" ht="21.95" customHeight="1" x14ac:dyDescent="0.15"/>
    <row r="62528" s="9" customFormat="1" ht="21.95" customHeight="1" x14ac:dyDescent="0.15"/>
    <row r="62529" spans="3:3" s="9" customFormat="1" ht="21.95" customHeight="1" x14ac:dyDescent="0.15"/>
    <row r="62530" spans="3:3" s="9" customFormat="1" ht="21.95" customHeight="1" x14ac:dyDescent="0.15"/>
    <row r="62531" spans="3:3" s="9" customFormat="1" ht="21.95" customHeight="1" x14ac:dyDescent="0.15"/>
    <row r="62532" spans="3:3" s="9" customFormat="1" ht="21.95" customHeight="1" x14ac:dyDescent="0.15"/>
    <row r="62533" spans="3:3" s="9" customFormat="1" ht="21.95" customHeight="1" x14ac:dyDescent="0.15"/>
    <row r="62534" spans="3:3" s="9" customFormat="1" ht="21.95" customHeight="1" x14ac:dyDescent="0.15"/>
    <row r="62535" spans="3:3" s="9" customFormat="1" ht="21.95" customHeight="1" x14ac:dyDescent="0.15"/>
    <row r="62536" spans="3:3" s="9" customFormat="1" ht="21.95" customHeight="1" x14ac:dyDescent="0.15"/>
    <row r="62537" spans="3:3" s="9" customFormat="1" ht="21.95" customHeight="1" x14ac:dyDescent="0.15"/>
    <row r="62538" spans="3:3" s="9" customFormat="1" ht="21.95" customHeight="1" x14ac:dyDescent="0.15"/>
    <row r="62539" spans="3:3" s="9" customFormat="1" ht="21.95" customHeight="1" x14ac:dyDescent="0.15"/>
    <row r="62540" spans="3:3" s="9" customFormat="1" ht="21.95" customHeight="1" x14ac:dyDescent="0.15"/>
    <row r="62541" spans="3:3" s="9" customFormat="1" ht="21.95" customHeight="1" x14ac:dyDescent="0.15"/>
    <row r="62542" spans="3:3" s="8" customFormat="1" ht="21.95" customHeight="1" x14ac:dyDescent="0.15"/>
    <row r="62543" spans="3:3" s="8" customFormat="1" ht="21.95" customHeight="1" x14ac:dyDescent="0.15"/>
    <row r="62544" spans="3:3" s="8" customFormat="1" ht="21.95" customHeight="1" x14ac:dyDescent="0.15">
      <c r="C62544" s="101"/>
    </row>
    <row r="62545" spans="3:3" s="8" customFormat="1" ht="21.95" customHeight="1" x14ac:dyDescent="0.15">
      <c r="C62545" s="101"/>
    </row>
    <row r="62546" spans="3:3" s="8" customFormat="1" ht="21.95" customHeight="1" x14ac:dyDescent="0.15"/>
    <row r="62547" spans="3:3" s="8" customFormat="1" ht="21.95" customHeight="1" x14ac:dyDescent="0.15"/>
    <row r="62548" spans="3:3" s="8" customFormat="1" ht="21.95" customHeight="1" x14ac:dyDescent="0.15"/>
    <row r="62549" spans="3:3" s="8" customFormat="1" ht="21.95" customHeight="1" x14ac:dyDescent="0.15"/>
    <row r="62550" spans="3:3" s="8" customFormat="1" ht="21.95" customHeight="1" x14ac:dyDescent="0.15"/>
    <row r="62551" spans="3:3" s="8" customFormat="1" ht="21.95" customHeight="1" x14ac:dyDescent="0.15"/>
    <row r="62552" spans="3:3" s="8" customFormat="1" ht="21.95" customHeight="1" x14ac:dyDescent="0.15"/>
    <row r="62553" spans="3:3" s="9" customFormat="1" ht="21.95" customHeight="1" x14ac:dyDescent="0.15"/>
    <row r="62554" spans="3:3" s="9" customFormat="1" ht="21.95" customHeight="1" x14ac:dyDescent="0.15"/>
    <row r="62555" spans="3:3" s="9" customFormat="1" ht="21.95" customHeight="1" x14ac:dyDescent="0.15"/>
    <row r="62556" spans="3:3" s="9" customFormat="1" ht="21.95" customHeight="1" x14ac:dyDescent="0.15"/>
    <row r="62557" spans="3:3" s="8" customFormat="1" ht="21.95" customHeight="1" x14ac:dyDescent="0.15"/>
    <row r="62558" spans="3:3" s="8" customFormat="1" ht="21.95" customHeight="1" x14ac:dyDescent="0.15"/>
    <row r="62559" spans="3:3" s="8" customFormat="1" ht="21.95" customHeight="1" x14ac:dyDescent="0.15"/>
    <row r="62560" spans="3:3" s="8" customFormat="1" ht="21.95" customHeight="1" x14ac:dyDescent="0.15"/>
    <row r="62561" s="8" customFormat="1" ht="21.95" customHeight="1" x14ac:dyDescent="0.15"/>
    <row r="62562" s="8" customFormat="1" ht="21.95" customHeight="1" x14ac:dyDescent="0.15"/>
    <row r="62563" s="8" customFormat="1" ht="21.95" customHeight="1" x14ac:dyDescent="0.15"/>
    <row r="62564" s="8" customFormat="1" ht="21.95" customHeight="1" x14ac:dyDescent="0.15"/>
    <row r="62565" s="8" customFormat="1" ht="21.95" customHeight="1" x14ac:dyDescent="0.15"/>
    <row r="62566" s="8" customFormat="1" ht="21.95" customHeight="1" x14ac:dyDescent="0.15"/>
    <row r="62567" s="8" customFormat="1" ht="21.95" customHeight="1" x14ac:dyDescent="0.15"/>
    <row r="62568" s="8" customFormat="1" ht="32.1" customHeight="1" x14ac:dyDescent="0.15"/>
    <row r="62569" s="8" customFormat="1" ht="32.1" customHeight="1" x14ac:dyDescent="0.15"/>
    <row r="62570" s="8" customFormat="1" ht="32.1" customHeight="1" x14ac:dyDescent="0.15"/>
    <row r="62571" s="8" customFormat="1" ht="32.1" customHeight="1" x14ac:dyDescent="0.15"/>
    <row r="62572" s="8" customFormat="1" ht="32.1" customHeight="1" x14ac:dyDescent="0.15"/>
    <row r="62573" s="8" customFormat="1" ht="32.1" customHeight="1" x14ac:dyDescent="0.15"/>
    <row r="62574" s="9" customFormat="1" ht="32.1" customHeight="1" x14ac:dyDescent="0.15"/>
    <row r="62575" s="9" customFormat="1" ht="32.1" customHeight="1" x14ac:dyDescent="0.15"/>
    <row r="62576" s="9" customFormat="1" ht="32.1" customHeight="1" x14ac:dyDescent="0.15"/>
    <row r="62577" s="9" customFormat="1" ht="32.1" customHeight="1" x14ac:dyDescent="0.15"/>
    <row r="62578" s="9" customFormat="1" ht="21.95" customHeight="1" x14ac:dyDescent="0.15"/>
    <row r="62579" s="9" customFormat="1" ht="54" customHeight="1" x14ac:dyDescent="0.15"/>
    <row r="62580" s="9" customFormat="1" ht="21.95" customHeight="1" x14ac:dyDescent="0.15"/>
    <row r="62581" s="9" customFormat="1" ht="21.95" customHeight="1" x14ac:dyDescent="0.15"/>
    <row r="62582" s="9" customFormat="1" ht="21.95" customHeight="1" x14ac:dyDescent="0.15"/>
    <row r="62583" s="9" customFormat="1" ht="21.95" customHeight="1" x14ac:dyDescent="0.15"/>
    <row r="62584" s="9" customFormat="1" ht="21.95" customHeight="1" x14ac:dyDescent="0.15"/>
    <row r="62585" s="9" customFormat="1" ht="21.95" customHeight="1" x14ac:dyDescent="0.15"/>
    <row r="62586" s="9" customFormat="1" ht="21.95" customHeight="1" x14ac:dyDescent="0.15"/>
    <row r="62587" s="9" customFormat="1" ht="21.95" customHeight="1" x14ac:dyDescent="0.15"/>
    <row r="62588" s="9" customFormat="1" ht="21.95" customHeight="1" x14ac:dyDescent="0.15"/>
    <row r="62589" s="9" customFormat="1" ht="21.95" customHeight="1" x14ac:dyDescent="0.15"/>
    <row r="62590" s="9" customFormat="1" ht="21.95" customHeight="1" x14ac:dyDescent="0.15"/>
    <row r="62591" s="9" customFormat="1" ht="21.95" customHeight="1" x14ac:dyDescent="0.15"/>
    <row r="62592" s="9" customFormat="1" ht="21.95" customHeight="1" x14ac:dyDescent="0.15"/>
    <row r="62593" s="9" customFormat="1" ht="21.95" customHeight="1" x14ac:dyDescent="0.15"/>
    <row r="62594" s="9" customFormat="1" ht="21.95" customHeight="1" x14ac:dyDescent="0.15"/>
    <row r="62595" s="9" customFormat="1" ht="21.95" customHeight="1" x14ac:dyDescent="0.15"/>
    <row r="62596" s="9" customFormat="1" ht="21.95" customHeight="1" x14ac:dyDescent="0.15"/>
    <row r="62597" s="9" customFormat="1" ht="21.95" customHeight="1" x14ac:dyDescent="0.15"/>
    <row r="62598" s="9" customFormat="1" ht="21.95" customHeight="1" x14ac:dyDescent="0.15"/>
    <row r="62599" s="9" customFormat="1" ht="21.95" customHeight="1" x14ac:dyDescent="0.15"/>
    <row r="62600" s="9" customFormat="1" ht="21.95" customHeight="1" x14ac:dyDescent="0.15"/>
    <row r="62601" s="9" customFormat="1" ht="21.95" customHeight="1" x14ac:dyDescent="0.15"/>
    <row r="62602" s="9" customFormat="1" ht="21.95" customHeight="1" x14ac:dyDescent="0.15"/>
    <row r="62603" s="9" customFormat="1" ht="21.95" customHeight="1" x14ac:dyDescent="0.15"/>
    <row r="62604" s="9" customFormat="1" ht="21.95" customHeight="1" x14ac:dyDescent="0.15"/>
    <row r="62605" s="9" customFormat="1" ht="21.95" customHeight="1" x14ac:dyDescent="0.15"/>
    <row r="62606" s="9" customFormat="1" ht="21.95" customHeight="1" x14ac:dyDescent="0.15"/>
    <row r="62607" s="9" customFormat="1" ht="21.95" customHeight="1" x14ac:dyDescent="0.15"/>
    <row r="62608" s="9" customFormat="1" ht="21.95" customHeight="1" x14ac:dyDescent="0.15"/>
    <row r="62609" s="9" customFormat="1" ht="21.95" customHeight="1" x14ac:dyDescent="0.15"/>
    <row r="62610" s="9" customFormat="1" ht="21.95" customHeight="1" x14ac:dyDescent="0.15"/>
    <row r="62611" s="9" customFormat="1" ht="21.95" customHeight="1" x14ac:dyDescent="0.15"/>
    <row r="62612" s="9" customFormat="1" ht="21.95" customHeight="1" x14ac:dyDescent="0.15"/>
    <row r="62613" s="9" customFormat="1" ht="21.95" customHeight="1" x14ac:dyDescent="0.15"/>
    <row r="62614" s="9" customFormat="1" ht="21.95" customHeight="1" x14ac:dyDescent="0.15"/>
    <row r="62615" s="9" customFormat="1" ht="21.95" customHeight="1" x14ac:dyDescent="0.15"/>
    <row r="62616" s="9" customFormat="1" ht="21.95" customHeight="1" x14ac:dyDescent="0.15"/>
    <row r="62617" s="9" customFormat="1" ht="21.95" customHeight="1" x14ac:dyDescent="0.15"/>
    <row r="62618" s="9" customFormat="1" ht="21.95" customHeight="1" x14ac:dyDescent="0.15"/>
    <row r="62619" s="9" customFormat="1" ht="21.95" customHeight="1" x14ac:dyDescent="0.15"/>
    <row r="62620" s="9" customFormat="1" ht="21.95" customHeight="1" x14ac:dyDescent="0.15"/>
    <row r="62621" s="9" customFormat="1" ht="21.95" customHeight="1" x14ac:dyDescent="0.15"/>
    <row r="62622" s="9" customFormat="1" ht="21.95" customHeight="1" x14ac:dyDescent="0.15"/>
    <row r="62623" s="9" customFormat="1" ht="21.95" customHeight="1" x14ac:dyDescent="0.15"/>
    <row r="62624" s="9" customFormat="1" ht="21.95" customHeight="1" x14ac:dyDescent="0.15"/>
    <row r="62625" s="9" customFormat="1" ht="21.95" customHeight="1" x14ac:dyDescent="0.15"/>
    <row r="62626" s="9" customFormat="1" ht="21.95" customHeight="1" x14ac:dyDescent="0.15"/>
    <row r="62627" s="9" customFormat="1" ht="21.95" customHeight="1" x14ac:dyDescent="0.15"/>
    <row r="62628" s="9" customFormat="1" ht="21.95" customHeight="1" x14ac:dyDescent="0.15"/>
    <row r="62629" s="9" customFormat="1" ht="21.95" customHeight="1" x14ac:dyDescent="0.15"/>
    <row r="62630" s="9" customFormat="1" ht="35.1" customHeight="1" x14ac:dyDescent="0.15"/>
    <row r="62631" s="9" customFormat="1" ht="21.95" customHeight="1" x14ac:dyDescent="0.15"/>
    <row r="62632" s="9" customFormat="1" ht="21.95" customHeight="1" x14ac:dyDescent="0.15"/>
    <row r="62633" s="9" customFormat="1" ht="21.95" customHeight="1" x14ac:dyDescent="0.15"/>
    <row r="62634" s="9" customFormat="1" ht="21.95" customHeight="1" x14ac:dyDescent="0.15"/>
    <row r="62635" s="9" customFormat="1" ht="21.95" customHeight="1" x14ac:dyDescent="0.15"/>
    <row r="62636" s="9" customFormat="1" ht="21.95" customHeight="1" x14ac:dyDescent="0.15"/>
    <row r="62637" s="9" customFormat="1" ht="21.95" customHeight="1" x14ac:dyDescent="0.15"/>
    <row r="62638" s="9" customFormat="1" ht="21.95" customHeight="1" x14ac:dyDescent="0.15"/>
    <row r="62639" s="9" customFormat="1" ht="21.95" customHeight="1" x14ac:dyDescent="0.15"/>
    <row r="62640" s="9" customFormat="1" ht="21.95" customHeight="1" x14ac:dyDescent="0.15"/>
    <row r="62641" spans="3:3" s="9" customFormat="1" ht="21.95" customHeight="1" x14ac:dyDescent="0.15"/>
    <row r="62642" spans="3:3" s="9" customFormat="1" ht="21.95" customHeight="1" x14ac:dyDescent="0.15"/>
    <row r="62643" spans="3:3" s="9" customFormat="1" ht="21.95" customHeight="1" x14ac:dyDescent="0.15"/>
    <row r="62644" spans="3:3" s="9" customFormat="1" ht="21.95" customHeight="1" x14ac:dyDescent="0.15"/>
    <row r="62645" spans="3:3" s="9" customFormat="1" ht="21.95" customHeight="1" x14ac:dyDescent="0.15"/>
    <row r="62646" spans="3:3" s="9" customFormat="1" ht="21.95" customHeight="1" x14ac:dyDescent="0.15"/>
    <row r="62647" spans="3:3" s="9" customFormat="1" ht="21.95" customHeight="1" x14ac:dyDescent="0.15"/>
    <row r="62648" spans="3:3" s="9" customFormat="1" ht="21.95" customHeight="1" x14ac:dyDescent="0.15"/>
    <row r="62649" spans="3:3" s="9" customFormat="1" ht="21.95" customHeight="1" x14ac:dyDescent="0.15"/>
    <row r="62650" spans="3:3" s="9" customFormat="1" ht="21.95" customHeight="1" x14ac:dyDescent="0.15"/>
    <row r="62651" spans="3:3" s="9" customFormat="1" ht="21.95" customHeight="1" x14ac:dyDescent="0.15"/>
    <row r="62652" spans="3:3" s="9" customFormat="1" ht="21.95" customHeight="1" x14ac:dyDescent="0.15"/>
    <row r="62653" spans="3:3" s="9" customFormat="1" ht="21.95" customHeight="1" x14ac:dyDescent="0.15"/>
    <row r="62654" spans="3:3" s="8" customFormat="1" ht="21.95" customHeight="1" x14ac:dyDescent="0.15"/>
    <row r="62655" spans="3:3" s="8" customFormat="1" ht="21.95" customHeight="1" x14ac:dyDescent="0.15"/>
    <row r="62656" spans="3:3" s="8" customFormat="1" ht="21.95" customHeight="1" x14ac:dyDescent="0.15">
      <c r="C62656" s="101"/>
    </row>
    <row r="62657" spans="3:3" s="8" customFormat="1" ht="21.95" customHeight="1" x14ac:dyDescent="0.15">
      <c r="C62657" s="101"/>
    </row>
    <row r="62658" spans="3:3" s="8" customFormat="1" ht="21.95" customHeight="1" x14ac:dyDescent="0.15"/>
    <row r="62659" spans="3:3" s="8" customFormat="1" ht="21.95" customHeight="1" x14ac:dyDescent="0.15"/>
    <row r="62660" spans="3:3" s="8" customFormat="1" ht="21.95" customHeight="1" x14ac:dyDescent="0.15"/>
    <row r="62661" spans="3:3" s="8" customFormat="1" ht="21.95" customHeight="1" x14ac:dyDescent="0.15"/>
    <row r="62662" spans="3:3" s="8" customFormat="1" ht="21.95" customHeight="1" x14ac:dyDescent="0.15"/>
    <row r="62663" spans="3:3" s="8" customFormat="1" ht="21.95" customHeight="1" x14ac:dyDescent="0.15"/>
    <row r="62664" spans="3:3" s="8" customFormat="1" ht="21.95" customHeight="1" x14ac:dyDescent="0.15"/>
    <row r="62665" spans="3:3" s="9" customFormat="1" ht="21.95" customHeight="1" x14ac:dyDescent="0.15"/>
    <row r="62666" spans="3:3" s="9" customFormat="1" ht="21.95" customHeight="1" x14ac:dyDescent="0.15"/>
    <row r="62667" spans="3:3" s="9" customFormat="1" ht="21.95" customHeight="1" x14ac:dyDescent="0.15"/>
    <row r="62668" spans="3:3" s="9" customFormat="1" ht="21.95" customHeight="1" x14ac:dyDescent="0.15"/>
    <row r="62669" spans="3:3" s="8" customFormat="1" ht="21.95" customHeight="1" x14ac:dyDescent="0.15"/>
    <row r="62670" spans="3:3" s="8" customFormat="1" ht="21.95" customHeight="1" x14ac:dyDescent="0.15"/>
    <row r="62671" spans="3:3" s="8" customFormat="1" ht="21.95" customHeight="1" x14ac:dyDescent="0.15"/>
    <row r="62672" spans="3:3" s="8" customFormat="1" ht="21.95" customHeight="1" x14ac:dyDescent="0.15"/>
    <row r="62673" s="8" customFormat="1" ht="21.95" customHeight="1" x14ac:dyDescent="0.15"/>
    <row r="62674" s="8" customFormat="1" ht="21.95" customHeight="1" x14ac:dyDescent="0.15"/>
    <row r="62675" s="8" customFormat="1" ht="21.95" customHeight="1" x14ac:dyDescent="0.15"/>
    <row r="62676" s="8" customFormat="1" ht="21.95" customHeight="1" x14ac:dyDescent="0.15"/>
    <row r="62677" s="8" customFormat="1" ht="21.95" customHeight="1" x14ac:dyDescent="0.15"/>
    <row r="62678" s="8" customFormat="1" ht="21.95" customHeight="1" x14ac:dyDescent="0.15"/>
    <row r="62679" s="8" customFormat="1" ht="21.95" customHeight="1" x14ac:dyDescent="0.15"/>
    <row r="62680" s="8" customFormat="1" ht="32.1" customHeight="1" x14ac:dyDescent="0.15"/>
    <row r="62681" s="8" customFormat="1" ht="32.1" customHeight="1" x14ac:dyDescent="0.15"/>
    <row r="62682" s="8" customFormat="1" ht="32.1" customHeight="1" x14ac:dyDescent="0.15"/>
    <row r="62683" s="8" customFormat="1" ht="32.1" customHeight="1" x14ac:dyDescent="0.15"/>
    <row r="62684" s="8" customFormat="1" ht="32.1" customHeight="1" x14ac:dyDescent="0.15"/>
    <row r="62685" s="8" customFormat="1" ht="32.1" customHeight="1" x14ac:dyDescent="0.15"/>
    <row r="62686" s="9" customFormat="1" ht="32.1" customHeight="1" x14ac:dyDescent="0.15"/>
    <row r="62687" s="9" customFormat="1" ht="32.1" customHeight="1" x14ac:dyDescent="0.15"/>
    <row r="62688" s="9" customFormat="1" ht="32.1" customHeight="1" x14ac:dyDescent="0.15"/>
    <row r="62689" s="9" customFormat="1" ht="32.1" customHeight="1" x14ac:dyDescent="0.15"/>
    <row r="62690" s="9" customFormat="1" ht="21.95" customHeight="1" x14ac:dyDescent="0.15"/>
    <row r="62691" s="9" customFormat="1" ht="54" customHeight="1" x14ac:dyDescent="0.15"/>
    <row r="62692" s="9" customFormat="1" ht="21.95" customHeight="1" x14ac:dyDescent="0.15"/>
    <row r="62693" s="9" customFormat="1" ht="21.95" customHeight="1" x14ac:dyDescent="0.15"/>
    <row r="62694" s="9" customFormat="1" ht="21.95" customHeight="1" x14ac:dyDescent="0.15"/>
    <row r="62695" s="9" customFormat="1" ht="21.95" customHeight="1" x14ac:dyDescent="0.15"/>
    <row r="62696" s="9" customFormat="1" ht="21.95" customHeight="1" x14ac:dyDescent="0.15"/>
    <row r="62697" s="9" customFormat="1" ht="21.95" customHeight="1" x14ac:dyDescent="0.15"/>
    <row r="62698" s="9" customFormat="1" ht="21.95" customHeight="1" x14ac:dyDescent="0.15"/>
    <row r="62699" s="9" customFormat="1" ht="21.95" customHeight="1" x14ac:dyDescent="0.15"/>
    <row r="62700" s="9" customFormat="1" ht="21.95" customHeight="1" x14ac:dyDescent="0.15"/>
    <row r="62701" s="9" customFormat="1" ht="21.95" customHeight="1" x14ac:dyDescent="0.15"/>
    <row r="62702" s="9" customFormat="1" ht="21.95" customHeight="1" x14ac:dyDescent="0.15"/>
    <row r="62703" s="9" customFormat="1" ht="21.95" customHeight="1" x14ac:dyDescent="0.15"/>
    <row r="62704" s="9" customFormat="1" ht="21.95" customHeight="1" x14ac:dyDescent="0.15"/>
    <row r="62705" s="9" customFormat="1" ht="21.95" customHeight="1" x14ac:dyDescent="0.15"/>
    <row r="62706" s="9" customFormat="1" ht="21.95" customHeight="1" x14ac:dyDescent="0.15"/>
    <row r="62707" s="9" customFormat="1" ht="21.95" customHeight="1" x14ac:dyDescent="0.15"/>
    <row r="62708" s="9" customFormat="1" ht="21.95" customHeight="1" x14ac:dyDescent="0.15"/>
    <row r="62709" s="9" customFormat="1" ht="21.95" customHeight="1" x14ac:dyDescent="0.15"/>
    <row r="62710" s="9" customFormat="1" ht="21.95" customHeight="1" x14ac:dyDescent="0.15"/>
    <row r="62711" s="9" customFormat="1" ht="21.95" customHeight="1" x14ac:dyDescent="0.15"/>
    <row r="62712" s="9" customFormat="1" ht="21.95" customHeight="1" x14ac:dyDescent="0.15"/>
    <row r="62713" s="9" customFormat="1" ht="21.95" customHeight="1" x14ac:dyDescent="0.15"/>
    <row r="62714" s="9" customFormat="1" ht="21.95" customHeight="1" x14ac:dyDescent="0.15"/>
    <row r="62715" s="9" customFormat="1" ht="21.95" customHeight="1" x14ac:dyDescent="0.15"/>
    <row r="62716" s="9" customFormat="1" ht="21.95" customHeight="1" x14ac:dyDescent="0.15"/>
    <row r="62717" s="9" customFormat="1" ht="21.95" customHeight="1" x14ac:dyDescent="0.15"/>
    <row r="62718" s="9" customFormat="1" ht="21.95" customHeight="1" x14ac:dyDescent="0.15"/>
    <row r="62719" s="9" customFormat="1" ht="21.95" customHeight="1" x14ac:dyDescent="0.15"/>
    <row r="62720" s="9" customFormat="1" ht="21.95" customHeight="1" x14ac:dyDescent="0.15"/>
    <row r="62721" s="9" customFormat="1" ht="21.95" customHeight="1" x14ac:dyDescent="0.15"/>
    <row r="62722" s="9" customFormat="1" ht="21.95" customHeight="1" x14ac:dyDescent="0.15"/>
    <row r="62723" s="9" customFormat="1" ht="21.95" customHeight="1" x14ac:dyDescent="0.15"/>
    <row r="62724" s="9" customFormat="1" ht="21.95" customHeight="1" x14ac:dyDescent="0.15"/>
    <row r="62725" s="9" customFormat="1" ht="21.95" customHeight="1" x14ac:dyDescent="0.15"/>
    <row r="62726" s="9" customFormat="1" ht="21.95" customHeight="1" x14ac:dyDescent="0.15"/>
    <row r="62727" s="9" customFormat="1" ht="21.95" customHeight="1" x14ac:dyDescent="0.15"/>
    <row r="62728" s="9" customFormat="1" ht="21.95" customHeight="1" x14ac:dyDescent="0.15"/>
    <row r="62729" s="9" customFormat="1" ht="21.95" customHeight="1" x14ac:dyDescent="0.15"/>
    <row r="62730" s="9" customFormat="1" ht="21.95" customHeight="1" x14ac:dyDescent="0.15"/>
    <row r="62731" s="9" customFormat="1" ht="21.95" customHeight="1" x14ac:dyDescent="0.15"/>
    <row r="62732" s="9" customFormat="1" ht="21.95" customHeight="1" x14ac:dyDescent="0.15"/>
    <row r="62733" s="9" customFormat="1" ht="21.95" customHeight="1" x14ac:dyDescent="0.15"/>
    <row r="62734" s="9" customFormat="1" ht="21.95" customHeight="1" x14ac:dyDescent="0.15"/>
    <row r="62735" s="9" customFormat="1" ht="21.95" customHeight="1" x14ac:dyDescent="0.15"/>
    <row r="62736" s="9" customFormat="1" ht="21.95" customHeight="1" x14ac:dyDescent="0.15"/>
    <row r="62737" s="9" customFormat="1" ht="21.95" customHeight="1" x14ac:dyDescent="0.15"/>
    <row r="62738" s="9" customFormat="1" ht="21.95" customHeight="1" x14ac:dyDescent="0.15"/>
    <row r="62739" s="9" customFormat="1" ht="21.95" customHeight="1" x14ac:dyDescent="0.15"/>
    <row r="62740" s="9" customFormat="1" ht="21.95" customHeight="1" x14ac:dyDescent="0.15"/>
    <row r="62741" s="9" customFormat="1" ht="21.95" customHeight="1" x14ac:dyDescent="0.15"/>
    <row r="62742" s="9" customFormat="1" ht="35.1" customHeight="1" x14ac:dyDescent="0.15"/>
    <row r="62743" s="9" customFormat="1" ht="21.95" customHeight="1" x14ac:dyDescent="0.15"/>
    <row r="62744" s="9" customFormat="1" ht="21.95" customHeight="1" x14ac:dyDescent="0.15"/>
    <row r="62745" s="9" customFormat="1" ht="21.95" customHeight="1" x14ac:dyDescent="0.15"/>
    <row r="62746" s="9" customFormat="1" ht="21.95" customHeight="1" x14ac:dyDescent="0.15"/>
    <row r="62747" s="9" customFormat="1" ht="21.95" customHeight="1" x14ac:dyDescent="0.15"/>
    <row r="62748" s="9" customFormat="1" ht="21.95" customHeight="1" x14ac:dyDescent="0.15"/>
    <row r="62749" s="9" customFormat="1" ht="21.95" customHeight="1" x14ac:dyDescent="0.15"/>
    <row r="62750" s="9" customFormat="1" ht="21.95" customHeight="1" x14ac:dyDescent="0.15"/>
    <row r="62751" s="9" customFormat="1" ht="21.95" customHeight="1" x14ac:dyDescent="0.15"/>
    <row r="62752" s="9" customFormat="1" ht="21.95" customHeight="1" x14ac:dyDescent="0.15"/>
    <row r="62753" spans="3:3" s="9" customFormat="1" ht="21.95" customHeight="1" x14ac:dyDescent="0.15"/>
    <row r="62754" spans="3:3" s="9" customFormat="1" ht="21.95" customHeight="1" x14ac:dyDescent="0.15"/>
    <row r="62755" spans="3:3" s="9" customFormat="1" ht="21.95" customHeight="1" x14ac:dyDescent="0.15"/>
    <row r="62756" spans="3:3" s="9" customFormat="1" ht="21.95" customHeight="1" x14ac:dyDescent="0.15"/>
    <row r="62757" spans="3:3" s="9" customFormat="1" ht="21.95" customHeight="1" x14ac:dyDescent="0.15"/>
    <row r="62758" spans="3:3" s="9" customFormat="1" ht="21.95" customHeight="1" x14ac:dyDescent="0.15"/>
    <row r="62759" spans="3:3" s="9" customFormat="1" ht="21.95" customHeight="1" x14ac:dyDescent="0.15"/>
    <row r="62760" spans="3:3" s="9" customFormat="1" ht="21.95" customHeight="1" x14ac:dyDescent="0.15"/>
    <row r="62761" spans="3:3" s="9" customFormat="1" ht="21.95" customHeight="1" x14ac:dyDescent="0.15"/>
    <row r="62762" spans="3:3" s="9" customFormat="1" ht="21.95" customHeight="1" x14ac:dyDescent="0.15"/>
    <row r="62763" spans="3:3" s="9" customFormat="1" ht="21.95" customHeight="1" x14ac:dyDescent="0.15"/>
    <row r="62764" spans="3:3" s="9" customFormat="1" ht="21.95" customHeight="1" x14ac:dyDescent="0.15"/>
    <row r="62765" spans="3:3" s="9" customFormat="1" ht="21.95" customHeight="1" x14ac:dyDescent="0.15"/>
    <row r="62766" spans="3:3" s="8" customFormat="1" ht="21.95" customHeight="1" x14ac:dyDescent="0.15"/>
    <row r="62767" spans="3:3" s="8" customFormat="1" ht="21.95" customHeight="1" x14ac:dyDescent="0.15"/>
    <row r="62768" spans="3:3" s="8" customFormat="1" ht="21.95" customHeight="1" x14ac:dyDescent="0.15">
      <c r="C62768" s="101"/>
    </row>
    <row r="62769" spans="3:3" s="8" customFormat="1" ht="21.95" customHeight="1" x14ac:dyDescent="0.15">
      <c r="C62769" s="101"/>
    </row>
    <row r="62770" spans="3:3" s="8" customFormat="1" ht="21.95" customHeight="1" x14ac:dyDescent="0.15"/>
    <row r="62771" spans="3:3" s="8" customFormat="1" ht="21.95" customHeight="1" x14ac:dyDescent="0.15"/>
    <row r="62772" spans="3:3" s="8" customFormat="1" ht="21.95" customHeight="1" x14ac:dyDescent="0.15"/>
    <row r="62773" spans="3:3" s="8" customFormat="1" ht="21.95" customHeight="1" x14ac:dyDescent="0.15"/>
    <row r="62774" spans="3:3" s="8" customFormat="1" ht="21.95" customHeight="1" x14ac:dyDescent="0.15"/>
    <row r="62775" spans="3:3" s="8" customFormat="1" ht="21.95" customHeight="1" x14ac:dyDescent="0.15"/>
    <row r="62776" spans="3:3" s="8" customFormat="1" ht="21.95" customHeight="1" x14ac:dyDescent="0.15"/>
    <row r="62777" spans="3:3" s="9" customFormat="1" ht="21.95" customHeight="1" x14ac:dyDescent="0.15"/>
    <row r="62778" spans="3:3" s="9" customFormat="1" ht="21.95" customHeight="1" x14ac:dyDescent="0.15"/>
    <row r="62779" spans="3:3" s="9" customFormat="1" ht="21.95" customHeight="1" x14ac:dyDescent="0.15"/>
    <row r="62780" spans="3:3" s="9" customFormat="1" ht="21.95" customHeight="1" x14ac:dyDescent="0.15"/>
    <row r="62781" spans="3:3" s="8" customFormat="1" ht="21.95" customHeight="1" x14ac:dyDescent="0.15"/>
    <row r="62782" spans="3:3" s="8" customFormat="1" ht="21.95" customHeight="1" x14ac:dyDescent="0.15"/>
    <row r="62783" spans="3:3" s="8" customFormat="1" ht="21.95" customHeight="1" x14ac:dyDescent="0.15"/>
    <row r="62784" spans="3:3" s="8" customFormat="1" ht="21.95" customHeight="1" x14ac:dyDescent="0.15"/>
    <row r="62785" s="8" customFormat="1" ht="21.95" customHeight="1" x14ac:dyDescent="0.15"/>
    <row r="62786" s="8" customFormat="1" ht="21.95" customHeight="1" x14ac:dyDescent="0.15"/>
    <row r="62787" s="8" customFormat="1" ht="21.95" customHeight="1" x14ac:dyDescent="0.15"/>
    <row r="62788" s="8" customFormat="1" ht="21.95" customHeight="1" x14ac:dyDescent="0.15"/>
    <row r="62789" s="8" customFormat="1" ht="21.95" customHeight="1" x14ac:dyDescent="0.15"/>
    <row r="62790" s="8" customFormat="1" ht="21.95" customHeight="1" x14ac:dyDescent="0.15"/>
    <row r="62791" s="8" customFormat="1" ht="21.95" customHeight="1" x14ac:dyDescent="0.15"/>
    <row r="62792" s="8" customFormat="1" ht="32.1" customHeight="1" x14ac:dyDescent="0.15"/>
    <row r="62793" s="8" customFormat="1" ht="32.1" customHeight="1" x14ac:dyDescent="0.15"/>
    <row r="62794" s="8" customFormat="1" ht="32.1" customHeight="1" x14ac:dyDescent="0.15"/>
    <row r="62795" s="8" customFormat="1" ht="32.1" customHeight="1" x14ac:dyDescent="0.15"/>
    <row r="62796" s="8" customFormat="1" ht="32.1" customHeight="1" x14ac:dyDescent="0.15"/>
    <row r="62797" s="8" customFormat="1" ht="32.1" customHeight="1" x14ac:dyDescent="0.15"/>
    <row r="62798" s="9" customFormat="1" ht="32.1" customHeight="1" x14ac:dyDescent="0.15"/>
    <row r="62799" s="9" customFormat="1" ht="32.1" customHeight="1" x14ac:dyDescent="0.15"/>
    <row r="62800" s="9" customFormat="1" ht="32.1" customHeight="1" x14ac:dyDescent="0.15"/>
    <row r="62801" s="9" customFormat="1" ht="32.1" customHeight="1" x14ac:dyDescent="0.15"/>
    <row r="62802" s="9" customFormat="1" ht="21.95" customHeight="1" x14ac:dyDescent="0.15"/>
    <row r="62803" s="9" customFormat="1" ht="54" customHeight="1" x14ac:dyDescent="0.15"/>
    <row r="62804" s="9" customFormat="1" ht="21.95" customHeight="1" x14ac:dyDescent="0.15"/>
    <row r="62805" s="9" customFormat="1" ht="21.95" customHeight="1" x14ac:dyDescent="0.15"/>
    <row r="62806" s="9" customFormat="1" ht="21.95" customHeight="1" x14ac:dyDescent="0.15"/>
    <row r="62807" s="9" customFormat="1" ht="21.95" customHeight="1" x14ac:dyDescent="0.15"/>
    <row r="62808" s="9" customFormat="1" ht="21.95" customHeight="1" x14ac:dyDescent="0.15"/>
    <row r="62809" s="9" customFormat="1" ht="21.95" customHeight="1" x14ac:dyDescent="0.15"/>
    <row r="62810" s="9" customFormat="1" ht="21.95" customHeight="1" x14ac:dyDescent="0.15"/>
    <row r="62811" s="9" customFormat="1" ht="21.95" customHeight="1" x14ac:dyDescent="0.15"/>
    <row r="62812" s="9" customFormat="1" ht="21.95" customHeight="1" x14ac:dyDescent="0.15"/>
    <row r="62813" s="9" customFormat="1" ht="21.95" customHeight="1" x14ac:dyDescent="0.15"/>
    <row r="62814" s="9" customFormat="1" ht="21.95" customHeight="1" x14ac:dyDescent="0.15"/>
    <row r="62815" s="9" customFormat="1" ht="21.95" customHeight="1" x14ac:dyDescent="0.15"/>
    <row r="62816" s="9" customFormat="1" ht="21.95" customHeight="1" x14ac:dyDescent="0.15"/>
    <row r="62817" s="9" customFormat="1" ht="21.95" customHeight="1" x14ac:dyDescent="0.15"/>
    <row r="62818" s="9" customFormat="1" ht="21.95" customHeight="1" x14ac:dyDescent="0.15"/>
    <row r="62819" s="9" customFormat="1" ht="21.95" customHeight="1" x14ac:dyDescent="0.15"/>
    <row r="62820" s="9" customFormat="1" ht="21.95" customHeight="1" x14ac:dyDescent="0.15"/>
    <row r="62821" s="9" customFormat="1" ht="21.95" customHeight="1" x14ac:dyDescent="0.15"/>
    <row r="62822" s="9" customFormat="1" ht="21.95" customHeight="1" x14ac:dyDescent="0.15"/>
    <row r="62823" s="9" customFormat="1" ht="21.95" customHeight="1" x14ac:dyDescent="0.15"/>
    <row r="62824" s="9" customFormat="1" ht="21.95" customHeight="1" x14ac:dyDescent="0.15"/>
    <row r="62825" s="9" customFormat="1" ht="21.95" customHeight="1" x14ac:dyDescent="0.15"/>
    <row r="62826" s="9" customFormat="1" ht="21.95" customHeight="1" x14ac:dyDescent="0.15"/>
    <row r="62827" s="9" customFormat="1" ht="21.95" customHeight="1" x14ac:dyDescent="0.15"/>
    <row r="62828" s="9" customFormat="1" ht="21.95" customHeight="1" x14ac:dyDescent="0.15"/>
    <row r="62829" s="9" customFormat="1" ht="21.95" customHeight="1" x14ac:dyDescent="0.15"/>
    <row r="62830" s="9" customFormat="1" ht="21.95" customHeight="1" x14ac:dyDescent="0.15"/>
    <row r="62831" s="9" customFormat="1" ht="21.95" customHeight="1" x14ac:dyDescent="0.15"/>
    <row r="62832" s="9" customFormat="1" ht="21.95" customHeight="1" x14ac:dyDescent="0.15"/>
    <row r="62833" s="9" customFormat="1" ht="21.95" customHeight="1" x14ac:dyDescent="0.15"/>
    <row r="62834" s="9" customFormat="1" ht="21.95" customHeight="1" x14ac:dyDescent="0.15"/>
    <row r="62835" s="9" customFormat="1" ht="21.95" customHeight="1" x14ac:dyDescent="0.15"/>
    <row r="62836" s="9" customFormat="1" ht="21.95" customHeight="1" x14ac:dyDescent="0.15"/>
    <row r="62837" s="9" customFormat="1" ht="21.95" customHeight="1" x14ac:dyDescent="0.15"/>
    <row r="62838" s="9" customFormat="1" ht="21.95" customHeight="1" x14ac:dyDescent="0.15"/>
    <row r="62839" s="9" customFormat="1" ht="21.95" customHeight="1" x14ac:dyDescent="0.15"/>
    <row r="62840" s="9" customFormat="1" ht="21.95" customHeight="1" x14ac:dyDescent="0.15"/>
    <row r="62841" s="9" customFormat="1" ht="21.95" customHeight="1" x14ac:dyDescent="0.15"/>
    <row r="62842" s="9" customFormat="1" ht="21.95" customHeight="1" x14ac:dyDescent="0.15"/>
    <row r="62843" s="9" customFormat="1" ht="21.95" customHeight="1" x14ac:dyDescent="0.15"/>
    <row r="62844" s="9" customFormat="1" ht="21.95" customHeight="1" x14ac:dyDescent="0.15"/>
    <row r="62845" s="9" customFormat="1" ht="21.95" customHeight="1" x14ac:dyDescent="0.15"/>
    <row r="62846" s="9" customFormat="1" ht="21.95" customHeight="1" x14ac:dyDescent="0.15"/>
    <row r="62847" s="9" customFormat="1" ht="21.95" customHeight="1" x14ac:dyDescent="0.15"/>
    <row r="62848" s="9" customFormat="1" ht="21.95" customHeight="1" x14ac:dyDescent="0.15"/>
    <row r="62849" s="9" customFormat="1" ht="21.95" customHeight="1" x14ac:dyDescent="0.15"/>
    <row r="62850" s="9" customFormat="1" ht="21.95" customHeight="1" x14ac:dyDescent="0.15"/>
    <row r="62851" s="9" customFormat="1" ht="21.95" customHeight="1" x14ac:dyDescent="0.15"/>
    <row r="62852" s="9" customFormat="1" ht="21.95" customHeight="1" x14ac:dyDescent="0.15"/>
    <row r="62853" s="9" customFormat="1" ht="21.95" customHeight="1" x14ac:dyDescent="0.15"/>
    <row r="62854" s="9" customFormat="1" ht="35.1" customHeight="1" x14ac:dyDescent="0.15"/>
    <row r="62855" s="9" customFormat="1" ht="21.95" customHeight="1" x14ac:dyDescent="0.15"/>
    <row r="62856" s="9" customFormat="1" ht="21.95" customHeight="1" x14ac:dyDescent="0.15"/>
    <row r="62857" s="9" customFormat="1" ht="21.95" customHeight="1" x14ac:dyDescent="0.15"/>
    <row r="62858" s="9" customFormat="1" ht="21.95" customHeight="1" x14ac:dyDescent="0.15"/>
    <row r="62859" s="9" customFormat="1" ht="21.95" customHeight="1" x14ac:dyDescent="0.15"/>
    <row r="62860" s="9" customFormat="1" ht="21.95" customHeight="1" x14ac:dyDescent="0.15"/>
    <row r="62861" s="9" customFormat="1" ht="21.95" customHeight="1" x14ac:dyDescent="0.15"/>
    <row r="62862" s="9" customFormat="1" ht="21.95" customHeight="1" x14ac:dyDescent="0.15"/>
    <row r="62863" s="9" customFormat="1" ht="21.95" customHeight="1" x14ac:dyDescent="0.15"/>
    <row r="62864" s="9" customFormat="1" ht="21.95" customHeight="1" x14ac:dyDescent="0.15"/>
    <row r="62865" spans="3:3" s="9" customFormat="1" ht="21.95" customHeight="1" x14ac:dyDescent="0.15"/>
    <row r="62866" spans="3:3" s="9" customFormat="1" ht="21.95" customHeight="1" x14ac:dyDescent="0.15"/>
    <row r="62867" spans="3:3" s="9" customFormat="1" ht="21.95" customHeight="1" x14ac:dyDescent="0.15"/>
    <row r="62868" spans="3:3" s="9" customFormat="1" ht="21.95" customHeight="1" x14ac:dyDescent="0.15"/>
    <row r="62869" spans="3:3" s="9" customFormat="1" ht="21.95" customHeight="1" x14ac:dyDescent="0.15"/>
    <row r="62870" spans="3:3" s="9" customFormat="1" ht="21.95" customHeight="1" x14ac:dyDescent="0.15"/>
    <row r="62871" spans="3:3" s="9" customFormat="1" ht="21.95" customHeight="1" x14ac:dyDescent="0.15"/>
    <row r="62872" spans="3:3" s="9" customFormat="1" ht="21.95" customHeight="1" x14ac:dyDescent="0.15"/>
    <row r="62873" spans="3:3" s="9" customFormat="1" ht="21.95" customHeight="1" x14ac:dyDescent="0.15"/>
    <row r="62874" spans="3:3" s="9" customFormat="1" ht="21.95" customHeight="1" x14ac:dyDescent="0.15"/>
    <row r="62875" spans="3:3" s="9" customFormat="1" ht="21.95" customHeight="1" x14ac:dyDescent="0.15"/>
    <row r="62876" spans="3:3" s="9" customFormat="1" ht="21.95" customHeight="1" x14ac:dyDescent="0.15"/>
    <row r="62877" spans="3:3" s="9" customFormat="1" ht="21.95" customHeight="1" x14ac:dyDescent="0.15"/>
    <row r="62878" spans="3:3" s="8" customFormat="1" ht="21.95" customHeight="1" x14ac:dyDescent="0.15"/>
    <row r="62879" spans="3:3" s="8" customFormat="1" ht="21.95" customHeight="1" x14ac:dyDescent="0.15"/>
    <row r="62880" spans="3:3" s="8" customFormat="1" ht="21.95" customHeight="1" x14ac:dyDescent="0.15">
      <c r="C62880" s="101"/>
    </row>
    <row r="62881" spans="3:3" s="8" customFormat="1" ht="21.95" customHeight="1" x14ac:dyDescent="0.15">
      <c r="C62881" s="101"/>
    </row>
    <row r="62882" spans="3:3" s="8" customFormat="1" ht="21.95" customHeight="1" x14ac:dyDescent="0.15"/>
    <row r="62883" spans="3:3" s="8" customFormat="1" ht="21.95" customHeight="1" x14ac:dyDescent="0.15"/>
    <row r="62884" spans="3:3" s="8" customFormat="1" ht="21.95" customHeight="1" x14ac:dyDescent="0.15"/>
    <row r="62885" spans="3:3" s="8" customFormat="1" ht="21.95" customHeight="1" x14ac:dyDescent="0.15"/>
    <row r="62886" spans="3:3" s="8" customFormat="1" ht="21.95" customHeight="1" x14ac:dyDescent="0.15"/>
    <row r="62887" spans="3:3" s="8" customFormat="1" ht="21.95" customHeight="1" x14ac:dyDescent="0.15"/>
    <row r="62888" spans="3:3" s="8" customFormat="1" ht="21.95" customHeight="1" x14ac:dyDescent="0.15"/>
    <row r="62889" spans="3:3" s="9" customFormat="1" ht="21.95" customHeight="1" x14ac:dyDescent="0.15"/>
    <row r="62890" spans="3:3" s="9" customFormat="1" ht="21.95" customHeight="1" x14ac:dyDescent="0.15"/>
    <row r="62891" spans="3:3" s="9" customFormat="1" ht="21.95" customHeight="1" x14ac:dyDescent="0.15"/>
    <row r="62892" spans="3:3" s="9" customFormat="1" ht="21.95" customHeight="1" x14ac:dyDescent="0.15"/>
    <row r="62893" spans="3:3" s="8" customFormat="1" ht="21.95" customHeight="1" x14ac:dyDescent="0.15"/>
    <row r="62894" spans="3:3" s="8" customFormat="1" ht="21.95" customHeight="1" x14ac:dyDescent="0.15"/>
    <row r="62895" spans="3:3" s="8" customFormat="1" ht="21.95" customHeight="1" x14ac:dyDescent="0.15"/>
    <row r="62896" spans="3:3" s="8" customFormat="1" ht="21.95" customHeight="1" x14ac:dyDescent="0.15"/>
    <row r="62897" s="8" customFormat="1" ht="21.95" customHeight="1" x14ac:dyDescent="0.15"/>
    <row r="62898" s="8" customFormat="1" ht="21.95" customHeight="1" x14ac:dyDescent="0.15"/>
    <row r="62899" s="8" customFormat="1" ht="21.95" customHeight="1" x14ac:dyDescent="0.15"/>
    <row r="62900" s="8" customFormat="1" ht="21.95" customHeight="1" x14ac:dyDescent="0.15"/>
    <row r="62901" s="8" customFormat="1" ht="21.95" customHeight="1" x14ac:dyDescent="0.15"/>
    <row r="62902" s="8" customFormat="1" ht="21.95" customHeight="1" x14ac:dyDescent="0.15"/>
    <row r="62903" s="8" customFormat="1" ht="21.95" customHeight="1" x14ac:dyDescent="0.15"/>
    <row r="62904" s="8" customFormat="1" ht="32.1" customHeight="1" x14ac:dyDescent="0.15"/>
    <row r="62905" s="8" customFormat="1" ht="32.1" customHeight="1" x14ac:dyDescent="0.15"/>
    <row r="62906" s="8" customFormat="1" ht="32.1" customHeight="1" x14ac:dyDescent="0.15"/>
    <row r="62907" s="8" customFormat="1" ht="32.1" customHeight="1" x14ac:dyDescent="0.15"/>
    <row r="62908" s="8" customFormat="1" ht="32.1" customHeight="1" x14ac:dyDescent="0.15"/>
    <row r="62909" s="8" customFormat="1" ht="32.1" customHeight="1" x14ac:dyDescent="0.15"/>
    <row r="62910" s="9" customFormat="1" ht="32.1" customHeight="1" x14ac:dyDescent="0.15"/>
    <row r="62911" s="9" customFormat="1" ht="32.1" customHeight="1" x14ac:dyDescent="0.15"/>
    <row r="62912" s="9" customFormat="1" ht="32.1" customHeight="1" x14ac:dyDescent="0.15"/>
    <row r="62913" s="9" customFormat="1" ht="32.1" customHeight="1" x14ac:dyDescent="0.15"/>
    <row r="62914" s="9" customFormat="1" ht="21.95" customHeight="1" x14ac:dyDescent="0.15"/>
    <row r="62915" s="9" customFormat="1" ht="54" customHeight="1" x14ac:dyDescent="0.15"/>
    <row r="62916" s="9" customFormat="1" ht="21.95" customHeight="1" x14ac:dyDescent="0.15"/>
    <row r="62917" s="9" customFormat="1" ht="21.95" customHeight="1" x14ac:dyDescent="0.15"/>
    <row r="62918" s="9" customFormat="1" ht="21.95" customHeight="1" x14ac:dyDescent="0.15"/>
    <row r="62919" s="9" customFormat="1" ht="21.95" customHeight="1" x14ac:dyDescent="0.15"/>
    <row r="62920" s="9" customFormat="1" ht="21.95" customHeight="1" x14ac:dyDescent="0.15"/>
    <row r="62921" s="9" customFormat="1" ht="21.95" customHeight="1" x14ac:dyDescent="0.15"/>
    <row r="62922" s="9" customFormat="1" ht="21.95" customHeight="1" x14ac:dyDescent="0.15"/>
    <row r="62923" s="9" customFormat="1" ht="21.95" customHeight="1" x14ac:dyDescent="0.15"/>
    <row r="62924" s="9" customFormat="1" ht="21.95" customHeight="1" x14ac:dyDescent="0.15"/>
    <row r="62925" s="9" customFormat="1" ht="21.95" customHeight="1" x14ac:dyDescent="0.15"/>
    <row r="62926" s="9" customFormat="1" ht="21.95" customHeight="1" x14ac:dyDescent="0.15"/>
    <row r="62927" s="9" customFormat="1" ht="21.95" customHeight="1" x14ac:dyDescent="0.15"/>
    <row r="62928" s="9" customFormat="1" ht="21.95" customHeight="1" x14ac:dyDescent="0.15"/>
    <row r="62929" s="9" customFormat="1" ht="21.95" customHeight="1" x14ac:dyDescent="0.15"/>
    <row r="62930" s="9" customFormat="1" ht="21.95" customHeight="1" x14ac:dyDescent="0.15"/>
    <row r="62931" s="9" customFormat="1" ht="21.95" customHeight="1" x14ac:dyDescent="0.15"/>
    <row r="62932" s="9" customFormat="1" ht="21.95" customHeight="1" x14ac:dyDescent="0.15"/>
    <row r="62933" s="9" customFormat="1" ht="21.95" customHeight="1" x14ac:dyDescent="0.15"/>
    <row r="62934" s="9" customFormat="1" ht="21.95" customHeight="1" x14ac:dyDescent="0.15"/>
    <row r="62935" s="9" customFormat="1" ht="21.95" customHeight="1" x14ac:dyDescent="0.15"/>
    <row r="62936" s="9" customFormat="1" ht="21.95" customHeight="1" x14ac:dyDescent="0.15"/>
    <row r="62937" s="9" customFormat="1" ht="21.95" customHeight="1" x14ac:dyDescent="0.15"/>
    <row r="62938" s="9" customFormat="1" ht="21.95" customHeight="1" x14ac:dyDescent="0.15"/>
    <row r="62939" s="9" customFormat="1" ht="21.95" customHeight="1" x14ac:dyDescent="0.15"/>
    <row r="62940" s="9" customFormat="1" ht="21.95" customHeight="1" x14ac:dyDescent="0.15"/>
    <row r="62941" s="9" customFormat="1" ht="21.95" customHeight="1" x14ac:dyDescent="0.15"/>
    <row r="62942" s="9" customFormat="1" ht="21.95" customHeight="1" x14ac:dyDescent="0.15"/>
    <row r="62943" s="9" customFormat="1" ht="21.95" customHeight="1" x14ac:dyDescent="0.15"/>
    <row r="62944" s="9" customFormat="1" ht="21.95" customHeight="1" x14ac:dyDescent="0.15"/>
    <row r="62945" s="9" customFormat="1" ht="21.95" customHeight="1" x14ac:dyDescent="0.15"/>
    <row r="62946" s="9" customFormat="1" ht="21.95" customHeight="1" x14ac:dyDescent="0.15"/>
    <row r="62947" s="9" customFormat="1" ht="21.95" customHeight="1" x14ac:dyDescent="0.15"/>
    <row r="62948" s="9" customFormat="1" ht="21.95" customHeight="1" x14ac:dyDescent="0.15"/>
    <row r="62949" s="9" customFormat="1" ht="21.95" customHeight="1" x14ac:dyDescent="0.15"/>
    <row r="62950" s="9" customFormat="1" ht="21.95" customHeight="1" x14ac:dyDescent="0.15"/>
    <row r="62951" s="9" customFormat="1" ht="21.95" customHeight="1" x14ac:dyDescent="0.15"/>
    <row r="62952" s="9" customFormat="1" ht="21.95" customHeight="1" x14ac:dyDescent="0.15"/>
    <row r="62953" s="9" customFormat="1" ht="21.95" customHeight="1" x14ac:dyDescent="0.15"/>
    <row r="62954" s="9" customFormat="1" ht="21.95" customHeight="1" x14ac:dyDescent="0.15"/>
    <row r="62955" s="9" customFormat="1" ht="21.95" customHeight="1" x14ac:dyDescent="0.15"/>
    <row r="62956" s="9" customFormat="1" ht="21.95" customHeight="1" x14ac:dyDescent="0.15"/>
    <row r="62957" s="9" customFormat="1" ht="21.95" customHeight="1" x14ac:dyDescent="0.15"/>
    <row r="62958" s="9" customFormat="1" ht="21.95" customHeight="1" x14ac:dyDescent="0.15"/>
    <row r="62959" s="9" customFormat="1" ht="21.95" customHeight="1" x14ac:dyDescent="0.15"/>
    <row r="62960" s="9" customFormat="1" ht="21.95" customHeight="1" x14ac:dyDescent="0.15"/>
    <row r="62961" s="9" customFormat="1" ht="21.95" customHeight="1" x14ac:dyDescent="0.15"/>
    <row r="62962" s="9" customFormat="1" ht="21.95" customHeight="1" x14ac:dyDescent="0.15"/>
    <row r="62963" s="9" customFormat="1" ht="21.95" customHeight="1" x14ac:dyDescent="0.15"/>
    <row r="62964" s="9" customFormat="1" ht="21.95" customHeight="1" x14ac:dyDescent="0.15"/>
    <row r="62965" s="9" customFormat="1" ht="21.95" customHeight="1" x14ac:dyDescent="0.15"/>
    <row r="62966" s="9" customFormat="1" ht="35.1" customHeight="1" x14ac:dyDescent="0.15"/>
    <row r="62967" s="9" customFormat="1" ht="21.95" customHeight="1" x14ac:dyDescent="0.15"/>
    <row r="62968" s="9" customFormat="1" ht="21.95" customHeight="1" x14ac:dyDescent="0.15"/>
    <row r="62969" s="9" customFormat="1" ht="21.95" customHeight="1" x14ac:dyDescent="0.15"/>
    <row r="62970" s="9" customFormat="1" ht="21.95" customHeight="1" x14ac:dyDescent="0.15"/>
    <row r="62971" s="9" customFormat="1" ht="21.95" customHeight="1" x14ac:dyDescent="0.15"/>
    <row r="62972" s="9" customFormat="1" ht="21.95" customHeight="1" x14ac:dyDescent="0.15"/>
    <row r="62973" s="9" customFormat="1" ht="21.95" customHeight="1" x14ac:dyDescent="0.15"/>
    <row r="62974" s="9" customFormat="1" ht="21.95" customHeight="1" x14ac:dyDescent="0.15"/>
    <row r="62975" s="9" customFormat="1" ht="21.95" customHeight="1" x14ac:dyDescent="0.15"/>
    <row r="62976" s="9" customFormat="1" ht="21.95" customHeight="1" x14ac:dyDescent="0.15"/>
    <row r="62977" spans="3:3" s="9" customFormat="1" ht="21.95" customHeight="1" x14ac:dyDescent="0.15"/>
    <row r="62978" spans="3:3" s="9" customFormat="1" ht="21.95" customHeight="1" x14ac:dyDescent="0.15"/>
    <row r="62979" spans="3:3" s="9" customFormat="1" ht="21.95" customHeight="1" x14ac:dyDescent="0.15"/>
    <row r="62980" spans="3:3" s="9" customFormat="1" ht="21.95" customHeight="1" x14ac:dyDescent="0.15"/>
    <row r="62981" spans="3:3" s="9" customFormat="1" ht="21.95" customHeight="1" x14ac:dyDescent="0.15"/>
    <row r="62982" spans="3:3" s="9" customFormat="1" ht="21.95" customHeight="1" x14ac:dyDescent="0.15"/>
    <row r="62983" spans="3:3" s="9" customFormat="1" ht="21.95" customHeight="1" x14ac:dyDescent="0.15"/>
    <row r="62984" spans="3:3" s="9" customFormat="1" ht="21.95" customHeight="1" x14ac:dyDescent="0.15"/>
    <row r="62985" spans="3:3" s="9" customFormat="1" ht="21.95" customHeight="1" x14ac:dyDescent="0.15"/>
    <row r="62986" spans="3:3" s="9" customFormat="1" ht="21.95" customHeight="1" x14ac:dyDescent="0.15"/>
    <row r="62987" spans="3:3" s="9" customFormat="1" ht="21.95" customHeight="1" x14ac:dyDescent="0.15"/>
    <row r="62988" spans="3:3" s="9" customFormat="1" ht="21.95" customHeight="1" x14ac:dyDescent="0.15"/>
    <row r="62989" spans="3:3" s="9" customFormat="1" ht="21.95" customHeight="1" x14ac:dyDescent="0.15"/>
    <row r="62990" spans="3:3" s="8" customFormat="1" ht="21.95" customHeight="1" x14ac:dyDescent="0.15"/>
    <row r="62991" spans="3:3" s="8" customFormat="1" ht="21.95" customHeight="1" x14ac:dyDescent="0.15"/>
    <row r="62992" spans="3:3" s="8" customFormat="1" ht="21.95" customHeight="1" x14ac:dyDescent="0.15">
      <c r="C62992" s="101"/>
    </row>
    <row r="62993" spans="3:3" s="8" customFormat="1" ht="21.95" customHeight="1" x14ac:dyDescent="0.15">
      <c r="C62993" s="101"/>
    </row>
    <row r="62994" spans="3:3" s="8" customFormat="1" ht="21.95" customHeight="1" x14ac:dyDescent="0.15"/>
    <row r="62995" spans="3:3" s="8" customFormat="1" ht="21.95" customHeight="1" x14ac:dyDescent="0.15"/>
    <row r="62996" spans="3:3" s="8" customFormat="1" ht="21.95" customHeight="1" x14ac:dyDescent="0.15"/>
    <row r="62997" spans="3:3" s="8" customFormat="1" ht="21.95" customHeight="1" x14ac:dyDescent="0.15"/>
    <row r="62998" spans="3:3" s="8" customFormat="1" ht="21.95" customHeight="1" x14ac:dyDescent="0.15"/>
    <row r="62999" spans="3:3" s="8" customFormat="1" ht="21.95" customHeight="1" x14ac:dyDescent="0.15"/>
    <row r="63000" spans="3:3" s="8" customFormat="1" ht="21.95" customHeight="1" x14ac:dyDescent="0.15"/>
    <row r="63001" spans="3:3" s="9" customFormat="1" ht="21.95" customHeight="1" x14ac:dyDescent="0.15"/>
    <row r="63002" spans="3:3" s="9" customFormat="1" ht="21.95" customHeight="1" x14ac:dyDescent="0.15"/>
    <row r="63003" spans="3:3" s="9" customFormat="1" ht="21.95" customHeight="1" x14ac:dyDescent="0.15"/>
    <row r="63004" spans="3:3" s="9" customFormat="1" ht="21.95" customHeight="1" x14ac:dyDescent="0.15"/>
    <row r="63005" spans="3:3" s="8" customFormat="1" ht="21.95" customHeight="1" x14ac:dyDescent="0.15"/>
    <row r="63006" spans="3:3" s="8" customFormat="1" ht="21.95" customHeight="1" x14ac:dyDescent="0.15"/>
    <row r="63007" spans="3:3" s="8" customFormat="1" ht="21.95" customHeight="1" x14ac:dyDescent="0.15"/>
    <row r="63008" spans="3:3" s="8" customFormat="1" ht="21.95" customHeight="1" x14ac:dyDescent="0.15"/>
    <row r="63009" s="8" customFormat="1" ht="21.95" customHeight="1" x14ac:dyDescent="0.15"/>
    <row r="63010" s="8" customFormat="1" ht="21.95" customHeight="1" x14ac:dyDescent="0.15"/>
    <row r="63011" s="8" customFormat="1" ht="21.95" customHeight="1" x14ac:dyDescent="0.15"/>
    <row r="63012" s="8" customFormat="1" ht="21.95" customHeight="1" x14ac:dyDescent="0.15"/>
    <row r="63013" s="8" customFormat="1" ht="21.95" customHeight="1" x14ac:dyDescent="0.15"/>
    <row r="63014" s="8" customFormat="1" ht="21.95" customHeight="1" x14ac:dyDescent="0.15"/>
    <row r="63015" s="8" customFormat="1" ht="21.95" customHeight="1" x14ac:dyDescent="0.15"/>
    <row r="63016" s="8" customFormat="1" ht="32.1" customHeight="1" x14ac:dyDescent="0.15"/>
    <row r="63017" s="8" customFormat="1" ht="32.1" customHeight="1" x14ac:dyDescent="0.15"/>
    <row r="63018" s="8" customFormat="1" ht="32.1" customHeight="1" x14ac:dyDescent="0.15"/>
    <row r="63019" s="8" customFormat="1" ht="32.1" customHeight="1" x14ac:dyDescent="0.15"/>
    <row r="63020" s="8" customFormat="1" ht="32.1" customHeight="1" x14ac:dyDescent="0.15"/>
    <row r="63021" s="8" customFormat="1" ht="32.1" customHeight="1" x14ac:dyDescent="0.15"/>
    <row r="63022" s="9" customFormat="1" ht="32.1" customHeight="1" x14ac:dyDescent="0.15"/>
    <row r="63023" s="9" customFormat="1" ht="32.1" customHeight="1" x14ac:dyDescent="0.15"/>
    <row r="63024" s="9" customFormat="1" ht="32.1" customHeight="1" x14ac:dyDescent="0.15"/>
    <row r="63025" s="9" customFormat="1" ht="32.1" customHeight="1" x14ac:dyDescent="0.15"/>
    <row r="63026" s="9" customFormat="1" ht="21.95" customHeight="1" x14ac:dyDescent="0.15"/>
    <row r="63027" s="9" customFormat="1" ht="54" customHeight="1" x14ac:dyDescent="0.15"/>
    <row r="63028" s="9" customFormat="1" ht="21.95" customHeight="1" x14ac:dyDescent="0.15"/>
    <row r="63029" s="9" customFormat="1" ht="21.95" customHeight="1" x14ac:dyDescent="0.15"/>
    <row r="63030" s="9" customFormat="1" ht="21.95" customHeight="1" x14ac:dyDescent="0.15"/>
    <row r="63031" s="9" customFormat="1" ht="21.95" customHeight="1" x14ac:dyDescent="0.15"/>
    <row r="63032" s="9" customFormat="1" ht="21.95" customHeight="1" x14ac:dyDescent="0.15"/>
    <row r="63033" s="9" customFormat="1" ht="21.95" customHeight="1" x14ac:dyDescent="0.15"/>
    <row r="63034" s="9" customFormat="1" ht="21.95" customHeight="1" x14ac:dyDescent="0.15"/>
    <row r="63035" s="9" customFormat="1" ht="21.95" customHeight="1" x14ac:dyDescent="0.15"/>
    <row r="63036" s="9" customFormat="1" ht="21.95" customHeight="1" x14ac:dyDescent="0.15"/>
    <row r="63037" s="9" customFormat="1" ht="21.95" customHeight="1" x14ac:dyDescent="0.15"/>
    <row r="63038" s="9" customFormat="1" ht="21.95" customHeight="1" x14ac:dyDescent="0.15"/>
    <row r="63039" s="9" customFormat="1" ht="21.95" customHeight="1" x14ac:dyDescent="0.15"/>
    <row r="63040" s="9" customFormat="1" ht="21.95" customHeight="1" x14ac:dyDescent="0.15"/>
    <row r="63041" s="9" customFormat="1" ht="21.95" customHeight="1" x14ac:dyDescent="0.15"/>
    <row r="63042" s="9" customFormat="1" ht="21.95" customHeight="1" x14ac:dyDescent="0.15"/>
    <row r="63043" s="9" customFormat="1" ht="21.95" customHeight="1" x14ac:dyDescent="0.15"/>
    <row r="63044" s="9" customFormat="1" ht="21.95" customHeight="1" x14ac:dyDescent="0.15"/>
    <row r="63045" s="9" customFormat="1" ht="21.95" customHeight="1" x14ac:dyDescent="0.15"/>
    <row r="63046" s="9" customFormat="1" ht="21.95" customHeight="1" x14ac:dyDescent="0.15"/>
    <row r="63047" s="9" customFormat="1" ht="21.95" customHeight="1" x14ac:dyDescent="0.15"/>
    <row r="63048" s="9" customFormat="1" ht="21.95" customHeight="1" x14ac:dyDescent="0.15"/>
    <row r="63049" s="9" customFormat="1" ht="21.95" customHeight="1" x14ac:dyDescent="0.15"/>
    <row r="63050" s="9" customFormat="1" ht="21.95" customHeight="1" x14ac:dyDescent="0.15"/>
    <row r="63051" s="9" customFormat="1" ht="21.95" customHeight="1" x14ac:dyDescent="0.15"/>
    <row r="63052" s="9" customFormat="1" ht="21.95" customHeight="1" x14ac:dyDescent="0.15"/>
    <row r="63053" s="9" customFormat="1" ht="21.95" customHeight="1" x14ac:dyDescent="0.15"/>
    <row r="63054" s="9" customFormat="1" ht="21.95" customHeight="1" x14ac:dyDescent="0.15"/>
    <row r="63055" s="9" customFormat="1" ht="21.95" customHeight="1" x14ac:dyDescent="0.15"/>
    <row r="63056" s="9" customFormat="1" ht="21.95" customHeight="1" x14ac:dyDescent="0.15"/>
    <row r="63057" s="9" customFormat="1" ht="21.95" customHeight="1" x14ac:dyDescent="0.15"/>
    <row r="63058" s="9" customFormat="1" ht="21.95" customHeight="1" x14ac:dyDescent="0.15"/>
    <row r="63059" s="9" customFormat="1" ht="21.95" customHeight="1" x14ac:dyDescent="0.15"/>
    <row r="63060" s="9" customFormat="1" ht="21.95" customHeight="1" x14ac:dyDescent="0.15"/>
    <row r="63061" s="9" customFormat="1" ht="21.95" customHeight="1" x14ac:dyDescent="0.15"/>
    <row r="63062" s="9" customFormat="1" ht="21.95" customHeight="1" x14ac:dyDescent="0.15"/>
    <row r="63063" s="9" customFormat="1" ht="21.95" customHeight="1" x14ac:dyDescent="0.15"/>
    <row r="63064" s="9" customFormat="1" ht="21.95" customHeight="1" x14ac:dyDescent="0.15"/>
    <row r="63065" s="9" customFormat="1" ht="21.95" customHeight="1" x14ac:dyDescent="0.15"/>
    <row r="63066" s="9" customFormat="1" ht="21.95" customHeight="1" x14ac:dyDescent="0.15"/>
    <row r="63067" s="9" customFormat="1" ht="21.95" customHeight="1" x14ac:dyDescent="0.15"/>
    <row r="63068" s="9" customFormat="1" ht="21.95" customHeight="1" x14ac:dyDescent="0.15"/>
    <row r="63069" s="9" customFormat="1" ht="21.95" customHeight="1" x14ac:dyDescent="0.15"/>
    <row r="63070" s="9" customFormat="1" ht="21.95" customHeight="1" x14ac:dyDescent="0.15"/>
    <row r="63071" s="9" customFormat="1" ht="21.95" customHeight="1" x14ac:dyDescent="0.15"/>
    <row r="63072" s="9" customFormat="1" ht="21.95" customHeight="1" x14ac:dyDescent="0.15"/>
    <row r="63073" s="9" customFormat="1" ht="21.95" customHeight="1" x14ac:dyDescent="0.15"/>
    <row r="63074" s="9" customFormat="1" ht="21.95" customHeight="1" x14ac:dyDescent="0.15"/>
    <row r="63075" s="9" customFormat="1" ht="21.95" customHeight="1" x14ac:dyDescent="0.15"/>
    <row r="63076" s="9" customFormat="1" ht="21.95" customHeight="1" x14ac:dyDescent="0.15"/>
    <row r="63077" s="9" customFormat="1" ht="21.95" customHeight="1" x14ac:dyDescent="0.15"/>
    <row r="63078" s="9" customFormat="1" ht="35.1" customHeight="1" x14ac:dyDescent="0.15"/>
    <row r="63079" s="9" customFormat="1" ht="21.95" customHeight="1" x14ac:dyDescent="0.15"/>
    <row r="63080" s="9" customFormat="1" ht="21.95" customHeight="1" x14ac:dyDescent="0.15"/>
    <row r="63081" s="9" customFormat="1" ht="21.95" customHeight="1" x14ac:dyDescent="0.15"/>
    <row r="63082" s="9" customFormat="1" ht="21.95" customHeight="1" x14ac:dyDescent="0.15"/>
    <row r="63083" s="9" customFormat="1" ht="21.95" customHeight="1" x14ac:dyDescent="0.15"/>
    <row r="63084" s="9" customFormat="1" ht="21.95" customHeight="1" x14ac:dyDescent="0.15"/>
    <row r="63085" s="9" customFormat="1" ht="21.95" customHeight="1" x14ac:dyDescent="0.15"/>
    <row r="63086" s="9" customFormat="1" ht="21.95" customHeight="1" x14ac:dyDescent="0.15"/>
    <row r="63087" s="9" customFormat="1" ht="21.95" customHeight="1" x14ac:dyDescent="0.15"/>
    <row r="63088" s="9" customFormat="1" ht="21.95" customHeight="1" x14ac:dyDescent="0.15"/>
    <row r="63089" spans="3:3" s="9" customFormat="1" ht="21.95" customHeight="1" x14ac:dyDescent="0.15"/>
    <row r="63090" spans="3:3" s="9" customFormat="1" ht="21.95" customHeight="1" x14ac:dyDescent="0.15"/>
    <row r="63091" spans="3:3" s="9" customFormat="1" ht="21.95" customHeight="1" x14ac:dyDescent="0.15"/>
    <row r="63092" spans="3:3" s="9" customFormat="1" ht="21.95" customHeight="1" x14ac:dyDescent="0.15"/>
    <row r="63093" spans="3:3" s="9" customFormat="1" ht="21.95" customHeight="1" x14ac:dyDescent="0.15"/>
    <row r="63094" spans="3:3" s="9" customFormat="1" ht="21.95" customHeight="1" x14ac:dyDescent="0.15"/>
    <row r="63095" spans="3:3" s="9" customFormat="1" ht="21.95" customHeight="1" x14ac:dyDescent="0.15"/>
    <row r="63096" spans="3:3" s="9" customFormat="1" ht="21.95" customHeight="1" x14ac:dyDescent="0.15"/>
    <row r="63097" spans="3:3" s="9" customFormat="1" ht="21.95" customHeight="1" x14ac:dyDescent="0.15"/>
    <row r="63098" spans="3:3" s="9" customFormat="1" ht="21.95" customHeight="1" x14ac:dyDescent="0.15"/>
    <row r="63099" spans="3:3" s="9" customFormat="1" ht="21.95" customHeight="1" x14ac:dyDescent="0.15"/>
    <row r="63100" spans="3:3" s="9" customFormat="1" ht="21.95" customHeight="1" x14ac:dyDescent="0.15"/>
    <row r="63101" spans="3:3" s="9" customFormat="1" ht="21.95" customHeight="1" x14ac:dyDescent="0.15"/>
    <row r="63102" spans="3:3" s="8" customFormat="1" ht="21.95" customHeight="1" x14ac:dyDescent="0.15"/>
    <row r="63103" spans="3:3" s="8" customFormat="1" ht="21.95" customHeight="1" x14ac:dyDescent="0.15"/>
    <row r="63104" spans="3:3" s="8" customFormat="1" ht="21.95" customHeight="1" x14ac:dyDescent="0.15">
      <c r="C63104" s="101"/>
    </row>
    <row r="63105" spans="3:3" s="8" customFormat="1" ht="21.95" customHeight="1" x14ac:dyDescent="0.15">
      <c r="C63105" s="101"/>
    </row>
    <row r="63106" spans="3:3" s="8" customFormat="1" ht="21.95" customHeight="1" x14ac:dyDescent="0.15"/>
    <row r="63107" spans="3:3" s="8" customFormat="1" ht="21.95" customHeight="1" x14ac:dyDescent="0.15"/>
    <row r="63108" spans="3:3" s="8" customFormat="1" ht="21.95" customHeight="1" x14ac:dyDescent="0.15"/>
    <row r="63109" spans="3:3" s="8" customFormat="1" ht="21.95" customHeight="1" x14ac:dyDescent="0.15"/>
    <row r="63110" spans="3:3" s="8" customFormat="1" ht="21.95" customHeight="1" x14ac:dyDescent="0.15"/>
    <row r="63111" spans="3:3" s="8" customFormat="1" ht="21.95" customHeight="1" x14ac:dyDescent="0.15"/>
    <row r="63112" spans="3:3" s="8" customFormat="1" ht="21.95" customHeight="1" x14ac:dyDescent="0.15"/>
    <row r="63113" spans="3:3" s="9" customFormat="1" ht="21.95" customHeight="1" x14ac:dyDescent="0.15"/>
    <row r="63114" spans="3:3" s="9" customFormat="1" ht="21.95" customHeight="1" x14ac:dyDescent="0.15"/>
    <row r="63115" spans="3:3" s="9" customFormat="1" ht="21.95" customHeight="1" x14ac:dyDescent="0.15"/>
    <row r="63116" spans="3:3" s="9" customFormat="1" ht="21.95" customHeight="1" x14ac:dyDescent="0.15"/>
    <row r="63117" spans="3:3" s="8" customFormat="1" ht="21.95" customHeight="1" x14ac:dyDescent="0.15"/>
    <row r="63118" spans="3:3" s="8" customFormat="1" ht="21.95" customHeight="1" x14ac:dyDescent="0.15"/>
    <row r="63119" spans="3:3" s="8" customFormat="1" ht="21.95" customHeight="1" x14ac:dyDescent="0.15"/>
    <row r="63120" spans="3:3" s="8" customFormat="1" ht="21.95" customHeight="1" x14ac:dyDescent="0.15"/>
    <row r="63121" s="8" customFormat="1" ht="21.95" customHeight="1" x14ac:dyDescent="0.15"/>
    <row r="63122" s="8" customFormat="1" ht="21.95" customHeight="1" x14ac:dyDescent="0.15"/>
    <row r="63123" s="8" customFormat="1" ht="21.95" customHeight="1" x14ac:dyDescent="0.15"/>
    <row r="63124" s="8" customFormat="1" ht="21.95" customHeight="1" x14ac:dyDescent="0.15"/>
    <row r="63125" s="8" customFormat="1" ht="21.95" customHeight="1" x14ac:dyDescent="0.15"/>
    <row r="63126" s="8" customFormat="1" ht="21.95" customHeight="1" x14ac:dyDescent="0.15"/>
    <row r="63127" s="8" customFormat="1" ht="21.95" customHeight="1" x14ac:dyDescent="0.15"/>
    <row r="63128" s="8" customFormat="1" ht="32.1" customHeight="1" x14ac:dyDescent="0.15"/>
    <row r="63129" s="8" customFormat="1" ht="32.1" customHeight="1" x14ac:dyDescent="0.15"/>
    <row r="63130" s="8" customFormat="1" ht="32.1" customHeight="1" x14ac:dyDescent="0.15"/>
    <row r="63131" s="8" customFormat="1" ht="32.1" customHeight="1" x14ac:dyDescent="0.15"/>
    <row r="63132" s="8" customFormat="1" ht="32.1" customHeight="1" x14ac:dyDescent="0.15"/>
    <row r="63133" s="8" customFormat="1" ht="32.1" customHeight="1" x14ac:dyDescent="0.15"/>
    <row r="63134" s="9" customFormat="1" ht="32.1" customHeight="1" x14ac:dyDescent="0.15"/>
    <row r="63135" s="9" customFormat="1" ht="32.1" customHeight="1" x14ac:dyDescent="0.15"/>
    <row r="63136" s="9" customFormat="1" ht="32.1" customHeight="1" x14ac:dyDescent="0.15"/>
    <row r="63137" s="9" customFormat="1" ht="32.1" customHeight="1" x14ac:dyDescent="0.15"/>
    <row r="63138" s="9" customFormat="1" ht="21.95" customHeight="1" x14ac:dyDescent="0.15"/>
    <row r="63139" s="9" customFormat="1" ht="54" customHeight="1" x14ac:dyDescent="0.15"/>
    <row r="63140" s="9" customFormat="1" ht="21.95" customHeight="1" x14ac:dyDescent="0.15"/>
    <row r="63141" s="9" customFormat="1" ht="21.95" customHeight="1" x14ac:dyDescent="0.15"/>
    <row r="63142" s="9" customFormat="1" ht="21.95" customHeight="1" x14ac:dyDescent="0.15"/>
    <row r="63143" s="9" customFormat="1" ht="21.95" customHeight="1" x14ac:dyDescent="0.15"/>
    <row r="63144" s="9" customFormat="1" ht="21.95" customHeight="1" x14ac:dyDescent="0.15"/>
    <row r="63145" s="9" customFormat="1" ht="21.95" customHeight="1" x14ac:dyDescent="0.15"/>
    <row r="63146" s="9" customFormat="1" ht="21.95" customHeight="1" x14ac:dyDescent="0.15"/>
    <row r="63147" s="9" customFormat="1" ht="21.95" customHeight="1" x14ac:dyDescent="0.15"/>
    <row r="63148" s="9" customFormat="1" ht="21.95" customHeight="1" x14ac:dyDescent="0.15"/>
    <row r="63149" s="9" customFormat="1" ht="21.95" customHeight="1" x14ac:dyDescent="0.15"/>
    <row r="63150" s="9" customFormat="1" ht="21.95" customHeight="1" x14ac:dyDescent="0.15"/>
    <row r="63151" s="9" customFormat="1" ht="21.95" customHeight="1" x14ac:dyDescent="0.15"/>
    <row r="63152" s="9" customFormat="1" ht="21.95" customHeight="1" x14ac:dyDescent="0.15"/>
    <row r="63153" s="9" customFormat="1" ht="21.95" customHeight="1" x14ac:dyDescent="0.15"/>
    <row r="63154" s="9" customFormat="1" ht="21.95" customHeight="1" x14ac:dyDescent="0.15"/>
    <row r="63155" s="9" customFormat="1" ht="21.95" customHeight="1" x14ac:dyDescent="0.15"/>
    <row r="63156" s="9" customFormat="1" ht="21.95" customHeight="1" x14ac:dyDescent="0.15"/>
    <row r="63157" s="9" customFormat="1" ht="21.95" customHeight="1" x14ac:dyDescent="0.15"/>
    <row r="63158" s="9" customFormat="1" ht="21.95" customHeight="1" x14ac:dyDescent="0.15"/>
    <row r="63159" s="9" customFormat="1" ht="21.95" customHeight="1" x14ac:dyDescent="0.15"/>
    <row r="63160" s="9" customFormat="1" ht="21.95" customHeight="1" x14ac:dyDescent="0.15"/>
    <row r="63161" s="9" customFormat="1" ht="21.95" customHeight="1" x14ac:dyDescent="0.15"/>
    <row r="63162" s="9" customFormat="1" ht="21.95" customHeight="1" x14ac:dyDescent="0.15"/>
    <row r="63163" s="9" customFormat="1" ht="21.95" customHeight="1" x14ac:dyDescent="0.15"/>
    <row r="63164" s="9" customFormat="1" ht="21.95" customHeight="1" x14ac:dyDescent="0.15"/>
    <row r="63165" s="9" customFormat="1" ht="21.95" customHeight="1" x14ac:dyDescent="0.15"/>
    <row r="63166" s="9" customFormat="1" ht="21.95" customHeight="1" x14ac:dyDescent="0.15"/>
    <row r="63167" s="9" customFormat="1" ht="21.95" customHeight="1" x14ac:dyDescent="0.15"/>
    <row r="63168" s="9" customFormat="1" ht="21.95" customHeight="1" x14ac:dyDescent="0.15"/>
    <row r="63169" s="9" customFormat="1" ht="21.95" customHeight="1" x14ac:dyDescent="0.15"/>
    <row r="63170" s="9" customFormat="1" ht="21.95" customHeight="1" x14ac:dyDescent="0.15"/>
    <row r="63171" s="9" customFormat="1" ht="21.95" customHeight="1" x14ac:dyDescent="0.15"/>
    <row r="63172" s="9" customFormat="1" ht="21.95" customHeight="1" x14ac:dyDescent="0.15"/>
    <row r="63173" s="9" customFormat="1" ht="21.95" customHeight="1" x14ac:dyDescent="0.15"/>
    <row r="63174" s="9" customFormat="1" ht="21.95" customHeight="1" x14ac:dyDescent="0.15"/>
    <row r="63175" s="9" customFormat="1" ht="21.95" customHeight="1" x14ac:dyDescent="0.15"/>
    <row r="63176" s="9" customFormat="1" ht="21.95" customHeight="1" x14ac:dyDescent="0.15"/>
    <row r="63177" s="9" customFormat="1" ht="21.95" customHeight="1" x14ac:dyDescent="0.15"/>
    <row r="63178" s="9" customFormat="1" ht="21.95" customHeight="1" x14ac:dyDescent="0.15"/>
    <row r="63179" s="9" customFormat="1" ht="21.95" customHeight="1" x14ac:dyDescent="0.15"/>
    <row r="63180" s="9" customFormat="1" ht="21.95" customHeight="1" x14ac:dyDescent="0.15"/>
    <row r="63181" s="9" customFormat="1" ht="21.95" customHeight="1" x14ac:dyDescent="0.15"/>
    <row r="63182" s="9" customFormat="1" ht="21.95" customHeight="1" x14ac:dyDescent="0.15"/>
    <row r="63183" s="9" customFormat="1" ht="21.95" customHeight="1" x14ac:dyDescent="0.15"/>
    <row r="63184" s="9" customFormat="1" ht="21.95" customHeight="1" x14ac:dyDescent="0.15"/>
    <row r="63185" s="9" customFormat="1" ht="21.95" customHeight="1" x14ac:dyDescent="0.15"/>
    <row r="63186" s="9" customFormat="1" ht="21.95" customHeight="1" x14ac:dyDescent="0.15"/>
    <row r="63187" s="9" customFormat="1" ht="21.95" customHeight="1" x14ac:dyDescent="0.15"/>
    <row r="63188" s="9" customFormat="1" ht="21.95" customHeight="1" x14ac:dyDescent="0.15"/>
    <row r="63189" s="9" customFormat="1" ht="21.95" customHeight="1" x14ac:dyDescent="0.15"/>
    <row r="63190" s="9" customFormat="1" ht="35.1" customHeight="1" x14ac:dyDescent="0.15"/>
    <row r="63191" s="9" customFormat="1" ht="21.95" customHeight="1" x14ac:dyDescent="0.15"/>
    <row r="63192" s="9" customFormat="1" ht="21.95" customHeight="1" x14ac:dyDescent="0.15"/>
    <row r="63193" s="9" customFormat="1" ht="21.95" customHeight="1" x14ac:dyDescent="0.15"/>
    <row r="63194" s="9" customFormat="1" ht="21.95" customHeight="1" x14ac:dyDescent="0.15"/>
    <row r="63195" s="9" customFormat="1" ht="21.95" customHeight="1" x14ac:dyDescent="0.15"/>
    <row r="63196" s="9" customFormat="1" ht="21.95" customHeight="1" x14ac:dyDescent="0.15"/>
    <row r="63197" s="9" customFormat="1" ht="21.95" customHeight="1" x14ac:dyDescent="0.15"/>
    <row r="63198" s="9" customFormat="1" ht="21.95" customHeight="1" x14ac:dyDescent="0.15"/>
    <row r="63199" s="9" customFormat="1" ht="21.95" customHeight="1" x14ac:dyDescent="0.15"/>
    <row r="63200" s="9" customFormat="1" ht="21.95" customHeight="1" x14ac:dyDescent="0.15"/>
    <row r="63201" spans="3:3" s="9" customFormat="1" ht="21.95" customHeight="1" x14ac:dyDescent="0.15"/>
    <row r="63202" spans="3:3" s="9" customFormat="1" ht="21.95" customHeight="1" x14ac:dyDescent="0.15"/>
    <row r="63203" spans="3:3" s="9" customFormat="1" ht="21.95" customHeight="1" x14ac:dyDescent="0.15"/>
    <row r="63204" spans="3:3" s="9" customFormat="1" ht="21.95" customHeight="1" x14ac:dyDescent="0.15"/>
    <row r="63205" spans="3:3" s="9" customFormat="1" ht="21.95" customHeight="1" x14ac:dyDescent="0.15"/>
    <row r="63206" spans="3:3" s="9" customFormat="1" ht="21.95" customHeight="1" x14ac:dyDescent="0.15"/>
    <row r="63207" spans="3:3" s="9" customFormat="1" ht="21.95" customHeight="1" x14ac:dyDescent="0.15"/>
    <row r="63208" spans="3:3" s="9" customFormat="1" ht="21.95" customHeight="1" x14ac:dyDescent="0.15"/>
    <row r="63209" spans="3:3" s="9" customFormat="1" ht="21.95" customHeight="1" x14ac:dyDescent="0.15"/>
    <row r="63210" spans="3:3" s="9" customFormat="1" ht="21.95" customHeight="1" x14ac:dyDescent="0.15"/>
    <row r="63211" spans="3:3" s="9" customFormat="1" ht="21.95" customHeight="1" x14ac:dyDescent="0.15"/>
    <row r="63212" spans="3:3" s="9" customFormat="1" ht="21.95" customHeight="1" x14ac:dyDescent="0.15"/>
    <row r="63213" spans="3:3" s="9" customFormat="1" ht="21.95" customHeight="1" x14ac:dyDescent="0.15"/>
    <row r="63214" spans="3:3" s="8" customFormat="1" ht="21.95" customHeight="1" x14ac:dyDescent="0.15"/>
    <row r="63215" spans="3:3" s="8" customFormat="1" ht="21.95" customHeight="1" x14ac:dyDescent="0.15"/>
    <row r="63216" spans="3:3" s="8" customFormat="1" ht="21.95" customHeight="1" x14ac:dyDescent="0.15">
      <c r="C63216" s="101"/>
    </row>
    <row r="63217" spans="3:3" s="8" customFormat="1" ht="21.95" customHeight="1" x14ac:dyDescent="0.15">
      <c r="C63217" s="101"/>
    </row>
    <row r="63218" spans="3:3" s="8" customFormat="1" ht="21.95" customHeight="1" x14ac:dyDescent="0.15"/>
    <row r="63219" spans="3:3" s="8" customFormat="1" ht="21.95" customHeight="1" x14ac:dyDescent="0.15"/>
    <row r="63220" spans="3:3" s="8" customFormat="1" ht="21.95" customHeight="1" x14ac:dyDescent="0.15"/>
    <row r="63221" spans="3:3" s="8" customFormat="1" ht="21.95" customHeight="1" x14ac:dyDescent="0.15"/>
    <row r="63222" spans="3:3" s="8" customFormat="1" ht="21.95" customHeight="1" x14ac:dyDescent="0.15"/>
    <row r="63223" spans="3:3" s="8" customFormat="1" ht="21.95" customHeight="1" x14ac:dyDescent="0.15"/>
    <row r="63224" spans="3:3" s="8" customFormat="1" ht="21.95" customHeight="1" x14ac:dyDescent="0.15"/>
    <row r="63225" spans="3:3" s="9" customFormat="1" ht="21.95" customHeight="1" x14ac:dyDescent="0.15"/>
    <row r="63226" spans="3:3" s="9" customFormat="1" ht="21.95" customHeight="1" x14ac:dyDescent="0.15"/>
    <row r="63227" spans="3:3" s="9" customFormat="1" ht="21.95" customHeight="1" x14ac:dyDescent="0.15"/>
    <row r="63228" spans="3:3" s="9" customFormat="1" ht="21.95" customHeight="1" x14ac:dyDescent="0.15"/>
    <row r="63229" spans="3:3" s="8" customFormat="1" ht="21.95" customHeight="1" x14ac:dyDescent="0.15"/>
    <row r="63230" spans="3:3" s="8" customFormat="1" ht="21.95" customHeight="1" x14ac:dyDescent="0.15"/>
    <row r="63231" spans="3:3" s="8" customFormat="1" ht="21.95" customHeight="1" x14ac:dyDescent="0.15"/>
    <row r="63232" spans="3:3" s="8" customFormat="1" ht="21.95" customHeight="1" x14ac:dyDescent="0.15"/>
    <row r="63233" s="8" customFormat="1" ht="21.95" customHeight="1" x14ac:dyDescent="0.15"/>
    <row r="63234" s="8" customFormat="1" ht="21.95" customHeight="1" x14ac:dyDescent="0.15"/>
    <row r="63235" s="8" customFormat="1" ht="21.95" customHeight="1" x14ac:dyDescent="0.15"/>
    <row r="63236" s="8" customFormat="1" ht="21.95" customHeight="1" x14ac:dyDescent="0.15"/>
    <row r="63237" s="8" customFormat="1" ht="21.95" customHeight="1" x14ac:dyDescent="0.15"/>
    <row r="63238" s="8" customFormat="1" ht="21.95" customHeight="1" x14ac:dyDescent="0.15"/>
    <row r="63239" s="8" customFormat="1" ht="21.95" customHeight="1" x14ac:dyDescent="0.15"/>
    <row r="63240" s="8" customFormat="1" ht="32.1" customHeight="1" x14ac:dyDescent="0.15"/>
    <row r="63241" s="8" customFormat="1" ht="32.1" customHeight="1" x14ac:dyDescent="0.15"/>
    <row r="63242" s="8" customFormat="1" ht="32.1" customHeight="1" x14ac:dyDescent="0.15"/>
    <row r="63243" s="8" customFormat="1" ht="32.1" customHeight="1" x14ac:dyDescent="0.15"/>
    <row r="63244" s="8" customFormat="1" ht="32.1" customHeight="1" x14ac:dyDescent="0.15"/>
    <row r="63245" s="8" customFormat="1" ht="32.1" customHeight="1" x14ac:dyDescent="0.15"/>
    <row r="63246" s="9" customFormat="1" ht="32.1" customHeight="1" x14ac:dyDescent="0.15"/>
    <row r="63247" s="9" customFormat="1" ht="32.1" customHeight="1" x14ac:dyDescent="0.15"/>
    <row r="63248" s="9" customFormat="1" ht="32.1" customHeight="1" x14ac:dyDescent="0.15"/>
    <row r="63249" s="9" customFormat="1" ht="32.1" customHeight="1" x14ac:dyDescent="0.15"/>
    <row r="63250" s="9" customFormat="1" ht="21.95" customHeight="1" x14ac:dyDescent="0.15"/>
    <row r="63251" s="9" customFormat="1" ht="54" customHeight="1" x14ac:dyDescent="0.15"/>
    <row r="63252" s="9" customFormat="1" ht="21.95" customHeight="1" x14ac:dyDescent="0.15"/>
    <row r="63253" s="9" customFormat="1" ht="21.95" customHeight="1" x14ac:dyDescent="0.15"/>
    <row r="63254" s="9" customFormat="1" ht="21.95" customHeight="1" x14ac:dyDescent="0.15"/>
    <row r="63255" s="9" customFormat="1" ht="21.95" customHeight="1" x14ac:dyDescent="0.15"/>
    <row r="63256" s="9" customFormat="1" ht="21.95" customHeight="1" x14ac:dyDescent="0.15"/>
    <row r="63257" s="9" customFormat="1" ht="21.95" customHeight="1" x14ac:dyDescent="0.15"/>
    <row r="63258" s="9" customFormat="1" ht="21.95" customHeight="1" x14ac:dyDescent="0.15"/>
    <row r="63259" s="9" customFormat="1" ht="21.95" customHeight="1" x14ac:dyDescent="0.15"/>
    <row r="63260" s="9" customFormat="1" ht="21.95" customHeight="1" x14ac:dyDescent="0.15"/>
    <row r="63261" s="9" customFormat="1" ht="21.95" customHeight="1" x14ac:dyDescent="0.15"/>
    <row r="63262" s="9" customFormat="1" ht="21.95" customHeight="1" x14ac:dyDescent="0.15"/>
    <row r="63263" s="9" customFormat="1" ht="21.95" customHeight="1" x14ac:dyDescent="0.15"/>
    <row r="63264" s="9" customFormat="1" ht="21.95" customHeight="1" x14ac:dyDescent="0.15"/>
    <row r="63265" s="9" customFormat="1" ht="21.95" customHeight="1" x14ac:dyDescent="0.15"/>
    <row r="63266" s="9" customFormat="1" ht="21.95" customHeight="1" x14ac:dyDescent="0.15"/>
    <row r="63267" s="9" customFormat="1" ht="21.95" customHeight="1" x14ac:dyDescent="0.15"/>
    <row r="63268" s="9" customFormat="1" ht="21.95" customHeight="1" x14ac:dyDescent="0.15"/>
    <row r="63269" s="9" customFormat="1" ht="21.95" customHeight="1" x14ac:dyDescent="0.15"/>
    <row r="63270" s="9" customFormat="1" ht="21.95" customHeight="1" x14ac:dyDescent="0.15"/>
    <row r="63271" s="9" customFormat="1" ht="21.95" customHeight="1" x14ac:dyDescent="0.15"/>
    <row r="63272" s="9" customFormat="1" ht="21.95" customHeight="1" x14ac:dyDescent="0.15"/>
    <row r="63273" s="9" customFormat="1" ht="21.95" customHeight="1" x14ac:dyDescent="0.15"/>
    <row r="63274" s="9" customFormat="1" ht="21.95" customHeight="1" x14ac:dyDescent="0.15"/>
    <row r="63275" s="9" customFormat="1" ht="21.95" customHeight="1" x14ac:dyDescent="0.15"/>
    <row r="63276" s="9" customFormat="1" ht="21.95" customHeight="1" x14ac:dyDescent="0.15"/>
    <row r="63277" s="9" customFormat="1" ht="21.95" customHeight="1" x14ac:dyDescent="0.15"/>
    <row r="63278" s="9" customFormat="1" ht="21.95" customHeight="1" x14ac:dyDescent="0.15"/>
    <row r="63279" s="9" customFormat="1" ht="21.95" customHeight="1" x14ac:dyDescent="0.15"/>
    <row r="63280" s="9" customFormat="1" ht="21.95" customHeight="1" x14ac:dyDescent="0.15"/>
    <row r="63281" s="9" customFormat="1" ht="21.95" customHeight="1" x14ac:dyDescent="0.15"/>
    <row r="63282" s="9" customFormat="1" ht="21.95" customHeight="1" x14ac:dyDescent="0.15"/>
    <row r="63283" s="9" customFormat="1" ht="21.95" customHeight="1" x14ac:dyDescent="0.15"/>
    <row r="63284" s="9" customFormat="1" ht="21.95" customHeight="1" x14ac:dyDescent="0.15"/>
    <row r="63285" s="9" customFormat="1" ht="21.95" customHeight="1" x14ac:dyDescent="0.15"/>
    <row r="63286" s="9" customFormat="1" ht="21.95" customHeight="1" x14ac:dyDescent="0.15"/>
    <row r="63287" s="9" customFormat="1" ht="21.95" customHeight="1" x14ac:dyDescent="0.15"/>
    <row r="63288" s="9" customFormat="1" ht="21.95" customHeight="1" x14ac:dyDescent="0.15"/>
    <row r="63289" s="9" customFormat="1" ht="21.95" customHeight="1" x14ac:dyDescent="0.15"/>
    <row r="63290" s="9" customFormat="1" ht="21.95" customHeight="1" x14ac:dyDescent="0.15"/>
    <row r="63291" s="9" customFormat="1" ht="21.95" customHeight="1" x14ac:dyDescent="0.15"/>
    <row r="63292" s="9" customFormat="1" ht="21.95" customHeight="1" x14ac:dyDescent="0.15"/>
    <row r="63293" s="9" customFormat="1" ht="21.95" customHeight="1" x14ac:dyDescent="0.15"/>
    <row r="63294" s="9" customFormat="1" ht="21.95" customHeight="1" x14ac:dyDescent="0.15"/>
    <row r="63295" s="9" customFormat="1" ht="21.95" customHeight="1" x14ac:dyDescent="0.15"/>
    <row r="63296" s="9" customFormat="1" ht="21.95" customHeight="1" x14ac:dyDescent="0.15"/>
    <row r="63297" s="9" customFormat="1" ht="21.95" customHeight="1" x14ac:dyDescent="0.15"/>
    <row r="63298" s="9" customFormat="1" ht="21.95" customHeight="1" x14ac:dyDescent="0.15"/>
    <row r="63299" s="9" customFormat="1" ht="21.95" customHeight="1" x14ac:dyDescent="0.15"/>
    <row r="63300" s="9" customFormat="1" ht="21.95" customHeight="1" x14ac:dyDescent="0.15"/>
    <row r="63301" s="9" customFormat="1" ht="21.95" customHeight="1" x14ac:dyDescent="0.15"/>
    <row r="63302" s="9" customFormat="1" ht="35.1" customHeight="1" x14ac:dyDescent="0.15"/>
    <row r="63303" s="9" customFormat="1" ht="21.95" customHeight="1" x14ac:dyDescent="0.15"/>
    <row r="63304" s="9" customFormat="1" ht="21.95" customHeight="1" x14ac:dyDescent="0.15"/>
    <row r="63305" s="9" customFormat="1" ht="21.95" customHeight="1" x14ac:dyDescent="0.15"/>
    <row r="63306" s="9" customFormat="1" ht="21.95" customHeight="1" x14ac:dyDescent="0.15"/>
    <row r="63307" s="9" customFormat="1" ht="21.95" customHeight="1" x14ac:dyDescent="0.15"/>
    <row r="63308" s="9" customFormat="1" ht="21.95" customHeight="1" x14ac:dyDescent="0.15"/>
    <row r="63309" s="9" customFormat="1" ht="21.95" customHeight="1" x14ac:dyDescent="0.15"/>
    <row r="63310" s="9" customFormat="1" ht="21.95" customHeight="1" x14ac:dyDescent="0.15"/>
    <row r="63311" s="9" customFormat="1" ht="21.95" customHeight="1" x14ac:dyDescent="0.15"/>
    <row r="63312" s="9" customFormat="1" ht="21.95" customHeight="1" x14ac:dyDescent="0.15"/>
    <row r="63313" spans="3:3" s="9" customFormat="1" ht="21.95" customHeight="1" x14ac:dyDescent="0.15"/>
    <row r="63314" spans="3:3" s="9" customFormat="1" ht="21.95" customHeight="1" x14ac:dyDescent="0.15"/>
    <row r="63315" spans="3:3" s="9" customFormat="1" ht="21.95" customHeight="1" x14ac:dyDescent="0.15"/>
    <row r="63316" spans="3:3" s="9" customFormat="1" ht="21.95" customHeight="1" x14ac:dyDescent="0.15"/>
    <row r="63317" spans="3:3" s="9" customFormat="1" ht="21.95" customHeight="1" x14ac:dyDescent="0.15"/>
    <row r="63318" spans="3:3" s="9" customFormat="1" ht="21.95" customHeight="1" x14ac:dyDescent="0.15"/>
    <row r="63319" spans="3:3" s="9" customFormat="1" ht="21.95" customHeight="1" x14ac:dyDescent="0.15"/>
    <row r="63320" spans="3:3" s="9" customFormat="1" ht="21.95" customHeight="1" x14ac:dyDescent="0.15"/>
    <row r="63321" spans="3:3" s="9" customFormat="1" ht="21.95" customHeight="1" x14ac:dyDescent="0.15"/>
    <row r="63322" spans="3:3" s="9" customFormat="1" ht="21.95" customHeight="1" x14ac:dyDescent="0.15"/>
    <row r="63323" spans="3:3" s="9" customFormat="1" ht="21.95" customHeight="1" x14ac:dyDescent="0.15"/>
    <row r="63324" spans="3:3" s="9" customFormat="1" ht="21.95" customHeight="1" x14ac:dyDescent="0.15"/>
    <row r="63325" spans="3:3" s="9" customFormat="1" ht="21.95" customHeight="1" x14ac:dyDescent="0.15"/>
    <row r="63326" spans="3:3" s="8" customFormat="1" ht="21.95" customHeight="1" x14ac:dyDescent="0.15"/>
    <row r="63327" spans="3:3" s="8" customFormat="1" ht="21.95" customHeight="1" x14ac:dyDescent="0.15"/>
    <row r="63328" spans="3:3" s="8" customFormat="1" ht="21.95" customHeight="1" x14ac:dyDescent="0.15">
      <c r="C63328" s="101"/>
    </row>
    <row r="63329" spans="3:3" s="8" customFormat="1" ht="21.95" customHeight="1" x14ac:dyDescent="0.15">
      <c r="C63329" s="101"/>
    </row>
    <row r="63330" spans="3:3" s="8" customFormat="1" ht="21.95" customHeight="1" x14ac:dyDescent="0.15"/>
    <row r="63331" spans="3:3" s="8" customFormat="1" ht="21.95" customHeight="1" x14ac:dyDescent="0.15"/>
    <row r="63332" spans="3:3" s="8" customFormat="1" ht="21.95" customHeight="1" x14ac:dyDescent="0.15"/>
    <row r="63333" spans="3:3" s="8" customFormat="1" ht="21.95" customHeight="1" x14ac:dyDescent="0.15"/>
    <row r="63334" spans="3:3" s="8" customFormat="1" ht="21.95" customHeight="1" x14ac:dyDescent="0.15"/>
    <row r="63335" spans="3:3" s="8" customFormat="1" ht="21.95" customHeight="1" x14ac:dyDescent="0.15"/>
    <row r="63336" spans="3:3" s="8" customFormat="1" ht="21.95" customHeight="1" x14ac:dyDescent="0.15"/>
    <row r="63337" spans="3:3" s="9" customFormat="1" ht="21.95" customHeight="1" x14ac:dyDescent="0.15"/>
    <row r="63338" spans="3:3" s="9" customFormat="1" ht="21.95" customHeight="1" x14ac:dyDescent="0.15"/>
    <row r="63339" spans="3:3" s="9" customFormat="1" ht="21.95" customHeight="1" x14ac:dyDescent="0.15"/>
    <row r="63340" spans="3:3" s="9" customFormat="1" ht="21.95" customHeight="1" x14ac:dyDescent="0.15"/>
    <row r="63341" spans="3:3" s="8" customFormat="1" ht="21.95" customHeight="1" x14ac:dyDescent="0.15"/>
    <row r="63342" spans="3:3" s="8" customFormat="1" ht="21.95" customHeight="1" x14ac:dyDescent="0.15"/>
    <row r="63343" spans="3:3" s="8" customFormat="1" ht="21.95" customHeight="1" x14ac:dyDescent="0.15"/>
    <row r="63344" spans="3:3" s="8" customFormat="1" ht="21.95" customHeight="1" x14ac:dyDescent="0.15"/>
    <row r="63345" s="8" customFormat="1" ht="21.95" customHeight="1" x14ac:dyDescent="0.15"/>
    <row r="63346" s="8" customFormat="1" ht="21.95" customHeight="1" x14ac:dyDescent="0.15"/>
    <row r="63347" s="8" customFormat="1" ht="21.95" customHeight="1" x14ac:dyDescent="0.15"/>
    <row r="63348" s="8" customFormat="1" ht="21.95" customHeight="1" x14ac:dyDescent="0.15"/>
    <row r="63349" s="8" customFormat="1" ht="21.95" customHeight="1" x14ac:dyDescent="0.15"/>
    <row r="63350" s="8" customFormat="1" ht="21.95" customHeight="1" x14ac:dyDescent="0.15"/>
    <row r="63351" s="8" customFormat="1" ht="21.95" customHeight="1" x14ac:dyDescent="0.15"/>
    <row r="63352" s="8" customFormat="1" ht="32.1" customHeight="1" x14ac:dyDescent="0.15"/>
    <row r="63353" s="8" customFormat="1" ht="32.1" customHeight="1" x14ac:dyDescent="0.15"/>
    <row r="63354" s="8" customFormat="1" ht="32.1" customHeight="1" x14ac:dyDescent="0.15"/>
    <row r="63355" s="8" customFormat="1" ht="32.1" customHeight="1" x14ac:dyDescent="0.15"/>
    <row r="63356" s="8" customFormat="1" ht="32.1" customHeight="1" x14ac:dyDescent="0.15"/>
    <row r="63357" s="8" customFormat="1" ht="32.1" customHeight="1" x14ac:dyDescent="0.15"/>
    <row r="63358" s="9" customFormat="1" ht="32.1" customHeight="1" x14ac:dyDescent="0.15"/>
    <row r="63359" s="9" customFormat="1" ht="32.1" customHeight="1" x14ac:dyDescent="0.15"/>
    <row r="63360" s="9" customFormat="1" ht="32.1" customHeight="1" x14ac:dyDescent="0.15"/>
    <row r="63361" s="9" customFormat="1" ht="32.1" customHeight="1" x14ac:dyDescent="0.15"/>
    <row r="63362" s="9" customFormat="1" ht="21.95" customHeight="1" x14ac:dyDescent="0.15"/>
    <row r="63363" s="9" customFormat="1" ht="54" customHeight="1" x14ac:dyDescent="0.15"/>
    <row r="63364" s="9" customFormat="1" ht="21.95" customHeight="1" x14ac:dyDescent="0.15"/>
    <row r="63365" s="9" customFormat="1" ht="21.95" customHeight="1" x14ac:dyDescent="0.15"/>
    <row r="63366" s="9" customFormat="1" ht="21.95" customHeight="1" x14ac:dyDescent="0.15"/>
    <row r="63367" s="9" customFormat="1" ht="21.95" customHeight="1" x14ac:dyDescent="0.15"/>
    <row r="63368" s="9" customFormat="1" ht="21.95" customHeight="1" x14ac:dyDescent="0.15"/>
    <row r="63369" s="9" customFormat="1" ht="21.95" customHeight="1" x14ac:dyDescent="0.15"/>
    <row r="63370" s="9" customFormat="1" ht="21.95" customHeight="1" x14ac:dyDescent="0.15"/>
    <row r="63371" s="9" customFormat="1" ht="21.95" customHeight="1" x14ac:dyDescent="0.15"/>
    <row r="63372" s="9" customFormat="1" ht="21.95" customHeight="1" x14ac:dyDescent="0.15"/>
    <row r="63373" s="9" customFormat="1" ht="21.95" customHeight="1" x14ac:dyDescent="0.15"/>
    <row r="63374" s="9" customFormat="1" ht="21.95" customHeight="1" x14ac:dyDescent="0.15"/>
    <row r="63375" s="9" customFormat="1" ht="21.95" customHeight="1" x14ac:dyDescent="0.15"/>
    <row r="63376" s="9" customFormat="1" ht="21.95" customHeight="1" x14ac:dyDescent="0.15"/>
    <row r="63377" s="9" customFormat="1" ht="21.95" customHeight="1" x14ac:dyDescent="0.15"/>
    <row r="63378" s="9" customFormat="1" ht="21.95" customHeight="1" x14ac:dyDescent="0.15"/>
    <row r="63379" s="9" customFormat="1" ht="21.95" customHeight="1" x14ac:dyDescent="0.15"/>
    <row r="63380" s="9" customFormat="1" ht="21.95" customHeight="1" x14ac:dyDescent="0.15"/>
    <row r="63381" s="9" customFormat="1" ht="21.95" customHeight="1" x14ac:dyDescent="0.15"/>
    <row r="63382" s="9" customFormat="1" ht="21.95" customHeight="1" x14ac:dyDescent="0.15"/>
    <row r="63383" s="9" customFormat="1" ht="21.95" customHeight="1" x14ac:dyDescent="0.15"/>
    <row r="63384" s="9" customFormat="1" ht="21.95" customHeight="1" x14ac:dyDescent="0.15"/>
    <row r="63385" s="9" customFormat="1" ht="21.95" customHeight="1" x14ac:dyDescent="0.15"/>
    <row r="63386" s="9" customFormat="1" ht="21.95" customHeight="1" x14ac:dyDescent="0.15"/>
    <row r="63387" s="9" customFormat="1" ht="21.95" customHeight="1" x14ac:dyDescent="0.15"/>
    <row r="63388" s="9" customFormat="1" ht="21.95" customHeight="1" x14ac:dyDescent="0.15"/>
    <row r="63389" s="9" customFormat="1" ht="21.95" customHeight="1" x14ac:dyDescent="0.15"/>
    <row r="63390" s="9" customFormat="1" ht="21.95" customHeight="1" x14ac:dyDescent="0.15"/>
    <row r="63391" s="9" customFormat="1" ht="21.95" customHeight="1" x14ac:dyDescent="0.15"/>
    <row r="63392" s="9" customFormat="1" ht="21.95" customHeight="1" x14ac:dyDescent="0.15"/>
    <row r="63393" s="9" customFormat="1" ht="21.95" customHeight="1" x14ac:dyDescent="0.15"/>
    <row r="63394" s="9" customFormat="1" ht="21.95" customHeight="1" x14ac:dyDescent="0.15"/>
    <row r="63395" s="9" customFormat="1" ht="21.95" customHeight="1" x14ac:dyDescent="0.15"/>
    <row r="63396" s="9" customFormat="1" ht="21.95" customHeight="1" x14ac:dyDescent="0.15"/>
    <row r="63397" s="9" customFormat="1" ht="21.95" customHeight="1" x14ac:dyDescent="0.15"/>
    <row r="63398" s="9" customFormat="1" ht="21.95" customHeight="1" x14ac:dyDescent="0.15"/>
    <row r="63399" s="9" customFormat="1" ht="21.95" customHeight="1" x14ac:dyDescent="0.15"/>
    <row r="63400" s="9" customFormat="1" ht="21.95" customHeight="1" x14ac:dyDescent="0.15"/>
    <row r="63401" s="9" customFormat="1" ht="21.95" customHeight="1" x14ac:dyDescent="0.15"/>
    <row r="63402" s="9" customFormat="1" ht="21.95" customHeight="1" x14ac:dyDescent="0.15"/>
    <row r="63403" s="9" customFormat="1" ht="21.95" customHeight="1" x14ac:dyDescent="0.15"/>
    <row r="63404" s="9" customFormat="1" ht="21.95" customHeight="1" x14ac:dyDescent="0.15"/>
    <row r="63405" s="9" customFormat="1" ht="21.95" customHeight="1" x14ac:dyDescent="0.15"/>
    <row r="63406" s="9" customFormat="1" ht="21.95" customHeight="1" x14ac:dyDescent="0.15"/>
    <row r="63407" s="9" customFormat="1" ht="21.95" customHeight="1" x14ac:dyDescent="0.15"/>
    <row r="63408" s="9" customFormat="1" ht="21.95" customHeight="1" x14ac:dyDescent="0.15"/>
    <row r="63409" s="9" customFormat="1" ht="21.95" customHeight="1" x14ac:dyDescent="0.15"/>
    <row r="63410" s="9" customFormat="1" ht="21.95" customHeight="1" x14ac:dyDescent="0.15"/>
    <row r="63411" s="9" customFormat="1" ht="21.95" customHeight="1" x14ac:dyDescent="0.15"/>
    <row r="63412" s="9" customFormat="1" ht="21.95" customHeight="1" x14ac:dyDescent="0.15"/>
    <row r="63413" s="9" customFormat="1" ht="21.95" customHeight="1" x14ac:dyDescent="0.15"/>
    <row r="63414" s="9" customFormat="1" ht="35.1" customHeight="1" x14ac:dyDescent="0.15"/>
    <row r="63415" s="9" customFormat="1" ht="21.95" customHeight="1" x14ac:dyDescent="0.15"/>
    <row r="63416" s="9" customFormat="1" ht="21.95" customHeight="1" x14ac:dyDescent="0.15"/>
    <row r="63417" s="9" customFormat="1" ht="21.95" customHeight="1" x14ac:dyDescent="0.15"/>
    <row r="63418" s="9" customFormat="1" ht="21.95" customHeight="1" x14ac:dyDescent="0.15"/>
    <row r="63419" s="9" customFormat="1" ht="21.95" customHeight="1" x14ac:dyDescent="0.15"/>
    <row r="63420" s="9" customFormat="1" ht="21.95" customHeight="1" x14ac:dyDescent="0.15"/>
    <row r="63421" s="9" customFormat="1" ht="21.95" customHeight="1" x14ac:dyDescent="0.15"/>
    <row r="63422" s="9" customFormat="1" ht="21.95" customHeight="1" x14ac:dyDescent="0.15"/>
    <row r="63423" s="9" customFormat="1" ht="21.95" customHeight="1" x14ac:dyDescent="0.15"/>
    <row r="63424" s="9" customFormat="1" ht="21.95" customHeight="1" x14ac:dyDescent="0.15"/>
    <row r="63425" spans="3:3" s="9" customFormat="1" ht="21.95" customHeight="1" x14ac:dyDescent="0.15"/>
    <row r="63426" spans="3:3" s="9" customFormat="1" ht="21.95" customHeight="1" x14ac:dyDescent="0.15"/>
    <row r="63427" spans="3:3" s="9" customFormat="1" ht="21.95" customHeight="1" x14ac:dyDescent="0.15"/>
    <row r="63428" spans="3:3" s="9" customFormat="1" ht="21.95" customHeight="1" x14ac:dyDescent="0.15"/>
    <row r="63429" spans="3:3" s="9" customFormat="1" ht="21.95" customHeight="1" x14ac:dyDescent="0.15"/>
    <row r="63430" spans="3:3" s="9" customFormat="1" ht="21.95" customHeight="1" x14ac:dyDescent="0.15"/>
    <row r="63431" spans="3:3" s="9" customFormat="1" ht="21.95" customHeight="1" x14ac:dyDescent="0.15"/>
    <row r="63432" spans="3:3" s="9" customFormat="1" ht="21.95" customHeight="1" x14ac:dyDescent="0.15"/>
    <row r="63433" spans="3:3" s="9" customFormat="1" ht="21.95" customHeight="1" x14ac:dyDescent="0.15"/>
    <row r="63434" spans="3:3" s="9" customFormat="1" ht="21.95" customHeight="1" x14ac:dyDescent="0.15"/>
    <row r="63435" spans="3:3" s="9" customFormat="1" ht="21.95" customHeight="1" x14ac:dyDescent="0.15"/>
    <row r="63436" spans="3:3" s="9" customFormat="1" ht="21.95" customHeight="1" x14ac:dyDescent="0.15"/>
    <row r="63437" spans="3:3" s="9" customFormat="1" ht="21.95" customHeight="1" x14ac:dyDescent="0.15"/>
    <row r="63438" spans="3:3" s="8" customFormat="1" ht="21.95" customHeight="1" x14ac:dyDescent="0.15"/>
    <row r="63439" spans="3:3" s="8" customFormat="1" ht="21.95" customHeight="1" x14ac:dyDescent="0.15"/>
    <row r="63440" spans="3:3" s="8" customFormat="1" ht="21.95" customHeight="1" x14ac:dyDescent="0.15">
      <c r="C63440" s="101"/>
    </row>
    <row r="63441" spans="3:3" s="8" customFormat="1" ht="21.95" customHeight="1" x14ac:dyDescent="0.15">
      <c r="C63441" s="101"/>
    </row>
    <row r="63442" spans="3:3" s="8" customFormat="1" ht="21.95" customHeight="1" x14ac:dyDescent="0.15"/>
    <row r="63443" spans="3:3" s="8" customFormat="1" ht="21.95" customHeight="1" x14ac:dyDescent="0.15"/>
    <row r="63444" spans="3:3" s="8" customFormat="1" ht="21.95" customHeight="1" x14ac:dyDescent="0.15"/>
    <row r="63445" spans="3:3" s="8" customFormat="1" ht="21.95" customHeight="1" x14ac:dyDescent="0.15"/>
    <row r="63446" spans="3:3" s="8" customFormat="1" ht="21.95" customHeight="1" x14ac:dyDescent="0.15"/>
    <row r="63447" spans="3:3" s="8" customFormat="1" ht="21.95" customHeight="1" x14ac:dyDescent="0.15"/>
    <row r="63448" spans="3:3" s="8" customFormat="1" ht="21.95" customHeight="1" x14ac:dyDescent="0.15"/>
    <row r="63449" spans="3:3" s="9" customFormat="1" ht="21.95" customHeight="1" x14ac:dyDescent="0.15"/>
    <row r="63450" spans="3:3" s="9" customFormat="1" ht="21.95" customHeight="1" x14ac:dyDescent="0.15"/>
    <row r="63451" spans="3:3" s="9" customFormat="1" ht="21.95" customHeight="1" x14ac:dyDescent="0.15"/>
    <row r="63452" spans="3:3" s="9" customFormat="1" ht="21.95" customHeight="1" x14ac:dyDescent="0.15"/>
    <row r="63453" spans="3:3" s="8" customFormat="1" ht="21.95" customHeight="1" x14ac:dyDescent="0.15"/>
    <row r="63454" spans="3:3" s="8" customFormat="1" ht="21.95" customHeight="1" x14ac:dyDescent="0.15"/>
    <row r="63455" spans="3:3" s="8" customFormat="1" ht="21.95" customHeight="1" x14ac:dyDescent="0.15"/>
    <row r="63456" spans="3:3" s="8" customFormat="1" ht="21.95" customHeight="1" x14ac:dyDescent="0.15"/>
    <row r="63457" s="8" customFormat="1" ht="21.95" customHeight="1" x14ac:dyDescent="0.15"/>
    <row r="63458" s="8" customFormat="1" ht="21.95" customHeight="1" x14ac:dyDescent="0.15"/>
    <row r="63459" s="8" customFormat="1" ht="21.95" customHeight="1" x14ac:dyDescent="0.15"/>
    <row r="63460" s="8" customFormat="1" ht="21.95" customHeight="1" x14ac:dyDescent="0.15"/>
    <row r="63461" s="8" customFormat="1" ht="21.95" customHeight="1" x14ac:dyDescent="0.15"/>
    <row r="63462" s="8" customFormat="1" ht="21.95" customHeight="1" x14ac:dyDescent="0.15"/>
    <row r="63463" s="8" customFormat="1" ht="21.95" customHeight="1" x14ac:dyDescent="0.15"/>
    <row r="63464" s="8" customFormat="1" ht="32.1" customHeight="1" x14ac:dyDescent="0.15"/>
    <row r="63465" s="8" customFormat="1" ht="32.1" customHeight="1" x14ac:dyDescent="0.15"/>
    <row r="63466" s="8" customFormat="1" ht="32.1" customHeight="1" x14ac:dyDescent="0.15"/>
    <row r="63467" s="8" customFormat="1" ht="32.1" customHeight="1" x14ac:dyDescent="0.15"/>
    <row r="63468" s="8" customFormat="1" ht="32.1" customHeight="1" x14ac:dyDescent="0.15"/>
    <row r="63469" s="8" customFormat="1" ht="32.1" customHeight="1" x14ac:dyDescent="0.15"/>
    <row r="63470" s="9" customFormat="1" ht="32.1" customHeight="1" x14ac:dyDescent="0.15"/>
    <row r="63471" s="9" customFormat="1" ht="32.1" customHeight="1" x14ac:dyDescent="0.15"/>
    <row r="63472" s="9" customFormat="1" ht="32.1" customHeight="1" x14ac:dyDescent="0.15"/>
    <row r="63473" s="9" customFormat="1" ht="32.1" customHeight="1" x14ac:dyDescent="0.15"/>
    <row r="63474" s="9" customFormat="1" ht="21.95" customHeight="1" x14ac:dyDescent="0.15"/>
    <row r="63475" s="9" customFormat="1" ht="54" customHeight="1" x14ac:dyDescent="0.15"/>
    <row r="63476" s="9" customFormat="1" ht="21.95" customHeight="1" x14ac:dyDescent="0.15"/>
    <row r="63477" s="9" customFormat="1" ht="21.95" customHeight="1" x14ac:dyDescent="0.15"/>
    <row r="63478" s="9" customFormat="1" ht="21.95" customHeight="1" x14ac:dyDescent="0.15"/>
    <row r="63479" s="9" customFormat="1" ht="21.95" customHeight="1" x14ac:dyDescent="0.15"/>
    <row r="63480" s="9" customFormat="1" ht="21.95" customHeight="1" x14ac:dyDescent="0.15"/>
    <row r="63481" s="9" customFormat="1" ht="21.95" customHeight="1" x14ac:dyDescent="0.15"/>
    <row r="63482" s="9" customFormat="1" ht="21.95" customHeight="1" x14ac:dyDescent="0.15"/>
    <row r="63483" s="9" customFormat="1" ht="21.95" customHeight="1" x14ac:dyDescent="0.15"/>
    <row r="63484" s="9" customFormat="1" ht="21.95" customHeight="1" x14ac:dyDescent="0.15"/>
    <row r="63485" s="9" customFormat="1" ht="21.95" customHeight="1" x14ac:dyDescent="0.15"/>
    <row r="63486" s="9" customFormat="1" ht="21.95" customHeight="1" x14ac:dyDescent="0.15"/>
    <row r="63487" s="9" customFormat="1" ht="21.95" customHeight="1" x14ac:dyDescent="0.15"/>
    <row r="63488" s="9" customFormat="1" ht="21.95" customHeight="1" x14ac:dyDescent="0.15"/>
    <row r="63489" s="9" customFormat="1" ht="21.95" customHeight="1" x14ac:dyDescent="0.15"/>
    <row r="63490" s="9" customFormat="1" ht="21.95" customHeight="1" x14ac:dyDescent="0.15"/>
    <row r="63491" s="9" customFormat="1" ht="21.95" customHeight="1" x14ac:dyDescent="0.15"/>
    <row r="63492" s="9" customFormat="1" ht="21.95" customHeight="1" x14ac:dyDescent="0.15"/>
    <row r="63493" s="9" customFormat="1" ht="21.95" customHeight="1" x14ac:dyDescent="0.15"/>
    <row r="63494" s="9" customFormat="1" ht="21.95" customHeight="1" x14ac:dyDescent="0.15"/>
    <row r="63495" s="9" customFormat="1" ht="21.95" customHeight="1" x14ac:dyDescent="0.15"/>
    <row r="63496" s="9" customFormat="1" ht="21.95" customHeight="1" x14ac:dyDescent="0.15"/>
    <row r="63497" s="9" customFormat="1" ht="21.95" customHeight="1" x14ac:dyDescent="0.15"/>
    <row r="63498" s="9" customFormat="1" ht="21.95" customHeight="1" x14ac:dyDescent="0.15"/>
    <row r="63499" s="9" customFormat="1" ht="21.95" customHeight="1" x14ac:dyDescent="0.15"/>
    <row r="63500" s="9" customFormat="1" ht="21.95" customHeight="1" x14ac:dyDescent="0.15"/>
    <row r="63501" s="9" customFormat="1" ht="21.95" customHeight="1" x14ac:dyDescent="0.15"/>
    <row r="63502" s="9" customFormat="1" ht="21.95" customHeight="1" x14ac:dyDescent="0.15"/>
    <row r="63503" s="9" customFormat="1" ht="21.95" customHeight="1" x14ac:dyDescent="0.15"/>
    <row r="63504" s="9" customFormat="1" ht="21.95" customHeight="1" x14ac:dyDescent="0.15"/>
    <row r="63505" s="9" customFormat="1" ht="21.95" customHeight="1" x14ac:dyDescent="0.15"/>
    <row r="63506" s="9" customFormat="1" ht="21.95" customHeight="1" x14ac:dyDescent="0.15"/>
    <row r="63507" s="9" customFormat="1" ht="21.95" customHeight="1" x14ac:dyDescent="0.15"/>
    <row r="63508" s="9" customFormat="1" ht="21.95" customHeight="1" x14ac:dyDescent="0.15"/>
    <row r="63509" s="9" customFormat="1" ht="21.95" customHeight="1" x14ac:dyDescent="0.15"/>
    <row r="63510" s="9" customFormat="1" ht="21.95" customHeight="1" x14ac:dyDescent="0.15"/>
    <row r="63511" s="9" customFormat="1" ht="21.95" customHeight="1" x14ac:dyDescent="0.15"/>
    <row r="63512" s="9" customFormat="1" ht="21.95" customHeight="1" x14ac:dyDescent="0.15"/>
    <row r="63513" s="9" customFormat="1" ht="21.95" customHeight="1" x14ac:dyDescent="0.15"/>
    <row r="63514" s="9" customFormat="1" ht="21.95" customHeight="1" x14ac:dyDescent="0.15"/>
    <row r="63515" s="9" customFormat="1" ht="21.95" customHeight="1" x14ac:dyDescent="0.15"/>
    <row r="63516" s="9" customFormat="1" ht="21.95" customHeight="1" x14ac:dyDescent="0.15"/>
    <row r="63517" s="9" customFormat="1" ht="21.95" customHeight="1" x14ac:dyDescent="0.15"/>
    <row r="63518" s="9" customFormat="1" ht="21.95" customHeight="1" x14ac:dyDescent="0.15"/>
    <row r="63519" s="9" customFormat="1" ht="21.95" customHeight="1" x14ac:dyDescent="0.15"/>
    <row r="63520" s="9" customFormat="1" ht="21.95" customHeight="1" x14ac:dyDescent="0.15"/>
    <row r="63521" s="9" customFormat="1" ht="21.95" customHeight="1" x14ac:dyDescent="0.15"/>
    <row r="63522" s="9" customFormat="1" ht="21.95" customHeight="1" x14ac:dyDescent="0.15"/>
    <row r="63523" s="9" customFormat="1" ht="21.95" customHeight="1" x14ac:dyDescent="0.15"/>
    <row r="63524" s="9" customFormat="1" ht="21.95" customHeight="1" x14ac:dyDescent="0.15"/>
    <row r="63525" s="9" customFormat="1" ht="21.95" customHeight="1" x14ac:dyDescent="0.15"/>
    <row r="63526" s="9" customFormat="1" ht="35.1" customHeight="1" x14ac:dyDescent="0.15"/>
    <row r="63527" s="9" customFormat="1" ht="21.95" customHeight="1" x14ac:dyDescent="0.15"/>
    <row r="63528" s="9" customFormat="1" ht="21.95" customHeight="1" x14ac:dyDescent="0.15"/>
    <row r="63529" s="9" customFormat="1" ht="21.95" customHeight="1" x14ac:dyDescent="0.15"/>
    <row r="63530" s="9" customFormat="1" ht="21.95" customHeight="1" x14ac:dyDescent="0.15"/>
    <row r="63531" s="9" customFormat="1" ht="21.95" customHeight="1" x14ac:dyDescent="0.15"/>
    <row r="63532" s="9" customFormat="1" ht="21.95" customHeight="1" x14ac:dyDescent="0.15"/>
    <row r="63533" s="9" customFormat="1" ht="21.95" customHeight="1" x14ac:dyDescent="0.15"/>
    <row r="63534" s="9" customFormat="1" ht="21.95" customHeight="1" x14ac:dyDescent="0.15"/>
    <row r="63535" s="9" customFormat="1" ht="21.95" customHeight="1" x14ac:dyDescent="0.15"/>
    <row r="63536" s="9" customFormat="1" ht="21.95" customHeight="1" x14ac:dyDescent="0.15"/>
    <row r="63537" spans="3:3" s="9" customFormat="1" ht="21.95" customHeight="1" x14ac:dyDescent="0.15"/>
    <row r="63538" spans="3:3" s="9" customFormat="1" ht="21.95" customHeight="1" x14ac:dyDescent="0.15"/>
    <row r="63539" spans="3:3" s="9" customFormat="1" ht="21.95" customHeight="1" x14ac:dyDescent="0.15"/>
    <row r="63540" spans="3:3" s="9" customFormat="1" ht="21.95" customHeight="1" x14ac:dyDescent="0.15"/>
    <row r="63541" spans="3:3" s="9" customFormat="1" ht="21.95" customHeight="1" x14ac:dyDescent="0.15"/>
    <row r="63542" spans="3:3" s="9" customFormat="1" ht="21.95" customHeight="1" x14ac:dyDescent="0.15"/>
    <row r="63543" spans="3:3" s="9" customFormat="1" ht="21.95" customHeight="1" x14ac:dyDescent="0.15"/>
    <row r="63544" spans="3:3" s="9" customFormat="1" ht="21.95" customHeight="1" x14ac:dyDescent="0.15"/>
    <row r="63545" spans="3:3" s="9" customFormat="1" ht="21.95" customHeight="1" x14ac:dyDescent="0.15"/>
    <row r="63546" spans="3:3" s="9" customFormat="1" ht="21.95" customHeight="1" x14ac:dyDescent="0.15"/>
    <row r="63547" spans="3:3" s="9" customFormat="1" ht="21.95" customHeight="1" x14ac:dyDescent="0.15"/>
    <row r="63548" spans="3:3" s="9" customFormat="1" ht="21.95" customHeight="1" x14ac:dyDescent="0.15"/>
    <row r="63549" spans="3:3" s="9" customFormat="1" ht="21.95" customHeight="1" x14ac:dyDescent="0.15"/>
    <row r="63550" spans="3:3" s="8" customFormat="1" ht="21.95" customHeight="1" x14ac:dyDescent="0.15"/>
    <row r="63551" spans="3:3" s="8" customFormat="1" ht="21.95" customHeight="1" x14ac:dyDescent="0.15"/>
    <row r="63552" spans="3:3" s="8" customFormat="1" ht="21.95" customHeight="1" x14ac:dyDescent="0.15">
      <c r="C63552" s="101"/>
    </row>
    <row r="63553" spans="3:3" s="8" customFormat="1" ht="21.95" customHeight="1" x14ac:dyDescent="0.15">
      <c r="C63553" s="101"/>
    </row>
    <row r="63554" spans="3:3" s="8" customFormat="1" ht="21.95" customHeight="1" x14ac:dyDescent="0.15"/>
    <row r="63555" spans="3:3" s="8" customFormat="1" ht="21.95" customHeight="1" x14ac:dyDescent="0.15"/>
    <row r="63556" spans="3:3" s="8" customFormat="1" ht="21.95" customHeight="1" x14ac:dyDescent="0.15"/>
    <row r="63557" spans="3:3" s="8" customFormat="1" ht="21.95" customHeight="1" x14ac:dyDescent="0.15"/>
    <row r="63558" spans="3:3" s="8" customFormat="1" ht="21.95" customHeight="1" x14ac:dyDescent="0.15"/>
    <row r="63559" spans="3:3" s="8" customFormat="1" ht="21.95" customHeight="1" x14ac:dyDescent="0.15"/>
    <row r="63560" spans="3:3" s="8" customFormat="1" ht="21.95" customHeight="1" x14ac:dyDescent="0.15"/>
    <row r="63561" spans="3:3" s="9" customFormat="1" ht="21.95" customHeight="1" x14ac:dyDescent="0.15"/>
    <row r="63562" spans="3:3" s="9" customFormat="1" ht="21.95" customHeight="1" x14ac:dyDescent="0.15"/>
    <row r="63563" spans="3:3" s="9" customFormat="1" ht="21.95" customHeight="1" x14ac:dyDescent="0.15"/>
    <row r="63564" spans="3:3" s="9" customFormat="1" ht="21.95" customHeight="1" x14ac:dyDescent="0.15"/>
    <row r="63565" spans="3:3" s="8" customFormat="1" ht="21.95" customHeight="1" x14ac:dyDescent="0.15"/>
    <row r="63566" spans="3:3" s="8" customFormat="1" ht="21.95" customHeight="1" x14ac:dyDescent="0.15"/>
    <row r="63567" spans="3:3" s="8" customFormat="1" ht="21.95" customHeight="1" x14ac:dyDescent="0.15"/>
    <row r="63568" spans="3:3" s="8" customFormat="1" ht="21.95" customHeight="1" x14ac:dyDescent="0.15"/>
    <row r="63569" s="8" customFormat="1" ht="21.95" customHeight="1" x14ac:dyDescent="0.15"/>
    <row r="63570" s="8" customFormat="1" ht="21.95" customHeight="1" x14ac:dyDescent="0.15"/>
    <row r="63571" s="8" customFormat="1" ht="21.95" customHeight="1" x14ac:dyDescent="0.15"/>
    <row r="63572" s="8" customFormat="1" ht="21.95" customHeight="1" x14ac:dyDescent="0.15"/>
    <row r="63573" s="8" customFormat="1" ht="21.95" customHeight="1" x14ac:dyDescent="0.15"/>
    <row r="63574" s="8" customFormat="1" ht="21.95" customHeight="1" x14ac:dyDescent="0.15"/>
    <row r="63575" s="8" customFormat="1" ht="21.95" customHeight="1" x14ac:dyDescent="0.15"/>
    <row r="63576" s="8" customFormat="1" ht="32.1" customHeight="1" x14ac:dyDescent="0.15"/>
    <row r="63577" s="8" customFormat="1" ht="32.1" customHeight="1" x14ac:dyDescent="0.15"/>
    <row r="63578" s="8" customFormat="1" ht="32.1" customHeight="1" x14ac:dyDescent="0.15"/>
    <row r="63579" s="8" customFormat="1" ht="32.1" customHeight="1" x14ac:dyDescent="0.15"/>
    <row r="63580" s="8" customFormat="1" ht="32.1" customHeight="1" x14ac:dyDescent="0.15"/>
    <row r="63581" s="8" customFormat="1" ht="32.1" customHeight="1" x14ac:dyDescent="0.15"/>
    <row r="63582" s="9" customFormat="1" ht="32.1" customHeight="1" x14ac:dyDescent="0.15"/>
    <row r="63583" s="9" customFormat="1" ht="32.1" customHeight="1" x14ac:dyDescent="0.15"/>
    <row r="63584" s="9" customFormat="1" ht="32.1" customHeight="1" x14ac:dyDescent="0.15"/>
    <row r="63585" s="9" customFormat="1" ht="32.1" customHeight="1" x14ac:dyDescent="0.15"/>
    <row r="63586" s="9" customFormat="1" ht="21.95" customHeight="1" x14ac:dyDescent="0.15"/>
    <row r="63587" s="9" customFormat="1" ht="54" customHeight="1" x14ac:dyDescent="0.15"/>
    <row r="63588" s="9" customFormat="1" ht="21.95" customHeight="1" x14ac:dyDescent="0.15"/>
    <row r="63589" s="9" customFormat="1" ht="21.95" customHeight="1" x14ac:dyDescent="0.15"/>
    <row r="63590" s="9" customFormat="1" ht="21.95" customHeight="1" x14ac:dyDescent="0.15"/>
    <row r="63591" s="9" customFormat="1" ht="21.95" customHeight="1" x14ac:dyDescent="0.15"/>
    <row r="63592" s="9" customFormat="1" ht="21.95" customHeight="1" x14ac:dyDescent="0.15"/>
    <row r="63593" s="9" customFormat="1" ht="21.95" customHeight="1" x14ac:dyDescent="0.15"/>
    <row r="63594" s="9" customFormat="1" ht="21.95" customHeight="1" x14ac:dyDescent="0.15"/>
    <row r="63595" s="9" customFormat="1" ht="21.95" customHeight="1" x14ac:dyDescent="0.15"/>
    <row r="63596" s="9" customFormat="1" ht="21.95" customHeight="1" x14ac:dyDescent="0.15"/>
    <row r="63597" s="9" customFormat="1" ht="21.95" customHeight="1" x14ac:dyDescent="0.15"/>
    <row r="63598" s="9" customFormat="1" ht="21.95" customHeight="1" x14ac:dyDescent="0.15"/>
    <row r="63599" s="9" customFormat="1" ht="21.95" customHeight="1" x14ac:dyDescent="0.15"/>
    <row r="63600" s="9" customFormat="1" ht="21.95" customHeight="1" x14ac:dyDescent="0.15"/>
    <row r="63601" s="9" customFormat="1" ht="21.95" customHeight="1" x14ac:dyDescent="0.15"/>
    <row r="63602" s="9" customFormat="1" ht="21.95" customHeight="1" x14ac:dyDescent="0.15"/>
    <row r="63603" s="9" customFormat="1" ht="21.95" customHeight="1" x14ac:dyDescent="0.15"/>
    <row r="63604" s="9" customFormat="1" ht="21.95" customHeight="1" x14ac:dyDescent="0.15"/>
    <row r="63605" s="9" customFormat="1" ht="21.95" customHeight="1" x14ac:dyDescent="0.15"/>
    <row r="63606" s="9" customFormat="1" ht="21.95" customHeight="1" x14ac:dyDescent="0.15"/>
    <row r="63607" s="9" customFormat="1" ht="21.95" customHeight="1" x14ac:dyDescent="0.15"/>
    <row r="63608" s="9" customFormat="1" ht="21.95" customHeight="1" x14ac:dyDescent="0.15"/>
    <row r="63609" s="9" customFormat="1" ht="21.95" customHeight="1" x14ac:dyDescent="0.15"/>
    <row r="63610" s="9" customFormat="1" ht="21.95" customHeight="1" x14ac:dyDescent="0.15"/>
    <row r="63611" s="9" customFormat="1" ht="21.95" customHeight="1" x14ac:dyDescent="0.15"/>
    <row r="63612" s="9" customFormat="1" ht="21.95" customHeight="1" x14ac:dyDescent="0.15"/>
    <row r="63613" s="9" customFormat="1" ht="21.95" customHeight="1" x14ac:dyDescent="0.15"/>
    <row r="63614" s="9" customFormat="1" ht="21.95" customHeight="1" x14ac:dyDescent="0.15"/>
    <row r="63615" s="9" customFormat="1" ht="21.95" customHeight="1" x14ac:dyDescent="0.15"/>
    <row r="63616" s="9" customFormat="1" ht="21.95" customHeight="1" x14ac:dyDescent="0.15"/>
    <row r="63617" s="9" customFormat="1" ht="21.95" customHeight="1" x14ac:dyDescent="0.15"/>
    <row r="63618" s="9" customFormat="1" ht="21.95" customHeight="1" x14ac:dyDescent="0.15"/>
    <row r="63619" s="9" customFormat="1" ht="21.95" customHeight="1" x14ac:dyDescent="0.15"/>
    <row r="63620" s="9" customFormat="1" ht="21.95" customHeight="1" x14ac:dyDescent="0.15"/>
    <row r="63621" s="9" customFormat="1" ht="21.95" customHeight="1" x14ac:dyDescent="0.15"/>
    <row r="63622" s="9" customFormat="1" ht="21.95" customHeight="1" x14ac:dyDescent="0.15"/>
    <row r="63623" s="9" customFormat="1" ht="21.95" customHeight="1" x14ac:dyDescent="0.15"/>
    <row r="63624" s="9" customFormat="1" ht="21.95" customHeight="1" x14ac:dyDescent="0.15"/>
    <row r="63625" s="9" customFormat="1" ht="21.95" customHeight="1" x14ac:dyDescent="0.15"/>
    <row r="63626" s="9" customFormat="1" ht="21.95" customHeight="1" x14ac:dyDescent="0.15"/>
    <row r="63627" s="9" customFormat="1" ht="21.95" customHeight="1" x14ac:dyDescent="0.15"/>
    <row r="63628" s="9" customFormat="1" ht="21.95" customHeight="1" x14ac:dyDescent="0.15"/>
    <row r="63629" s="9" customFormat="1" ht="21.95" customHeight="1" x14ac:dyDescent="0.15"/>
    <row r="63630" s="9" customFormat="1" ht="21.95" customHeight="1" x14ac:dyDescent="0.15"/>
    <row r="63631" s="9" customFormat="1" ht="21.95" customHeight="1" x14ac:dyDescent="0.15"/>
    <row r="63632" s="9" customFormat="1" ht="21.95" customHeight="1" x14ac:dyDescent="0.15"/>
    <row r="63633" s="9" customFormat="1" ht="21.95" customHeight="1" x14ac:dyDescent="0.15"/>
    <row r="63634" s="9" customFormat="1" ht="21.95" customHeight="1" x14ac:dyDescent="0.15"/>
    <row r="63635" s="9" customFormat="1" ht="21.95" customHeight="1" x14ac:dyDescent="0.15"/>
    <row r="63636" s="9" customFormat="1" ht="21.95" customHeight="1" x14ac:dyDescent="0.15"/>
    <row r="63637" s="9" customFormat="1" ht="21.95" customHeight="1" x14ac:dyDescent="0.15"/>
    <row r="63638" s="9" customFormat="1" ht="35.1" customHeight="1" x14ac:dyDescent="0.15"/>
    <row r="63639" s="9" customFormat="1" ht="21.95" customHeight="1" x14ac:dyDescent="0.15"/>
    <row r="63640" s="9" customFormat="1" ht="21.95" customHeight="1" x14ac:dyDescent="0.15"/>
    <row r="63641" s="9" customFormat="1" ht="21.95" customHeight="1" x14ac:dyDescent="0.15"/>
    <row r="63642" s="9" customFormat="1" ht="21.95" customHeight="1" x14ac:dyDescent="0.15"/>
    <row r="63643" s="9" customFormat="1" ht="21.95" customHeight="1" x14ac:dyDescent="0.15"/>
    <row r="63644" s="9" customFormat="1" ht="21.95" customHeight="1" x14ac:dyDescent="0.15"/>
    <row r="63645" s="9" customFormat="1" ht="21.95" customHeight="1" x14ac:dyDescent="0.15"/>
    <row r="63646" s="9" customFormat="1" ht="21.95" customHeight="1" x14ac:dyDescent="0.15"/>
    <row r="63647" s="9" customFormat="1" ht="21.95" customHeight="1" x14ac:dyDescent="0.15"/>
    <row r="63648" s="9" customFormat="1" ht="21.95" customHeight="1" x14ac:dyDescent="0.15"/>
    <row r="63649" spans="3:3" s="9" customFormat="1" ht="21.95" customHeight="1" x14ac:dyDescent="0.15"/>
    <row r="63650" spans="3:3" s="9" customFormat="1" ht="21.95" customHeight="1" x14ac:dyDescent="0.15"/>
    <row r="63651" spans="3:3" s="9" customFormat="1" ht="21.95" customHeight="1" x14ac:dyDescent="0.15"/>
    <row r="63652" spans="3:3" s="9" customFormat="1" ht="21.95" customHeight="1" x14ac:dyDescent="0.15"/>
    <row r="63653" spans="3:3" s="9" customFormat="1" ht="21.95" customHeight="1" x14ac:dyDescent="0.15"/>
    <row r="63654" spans="3:3" s="9" customFormat="1" ht="21.95" customHeight="1" x14ac:dyDescent="0.15"/>
    <row r="63655" spans="3:3" s="9" customFormat="1" ht="21.95" customHeight="1" x14ac:dyDescent="0.15"/>
    <row r="63656" spans="3:3" s="9" customFormat="1" ht="21.95" customHeight="1" x14ac:dyDescent="0.15"/>
    <row r="63657" spans="3:3" s="9" customFormat="1" ht="21.95" customHeight="1" x14ac:dyDescent="0.15"/>
    <row r="63658" spans="3:3" s="9" customFormat="1" ht="21.95" customHeight="1" x14ac:dyDescent="0.15"/>
    <row r="63659" spans="3:3" s="9" customFormat="1" ht="21.95" customHeight="1" x14ac:dyDescent="0.15"/>
    <row r="63660" spans="3:3" s="9" customFormat="1" ht="21.95" customHeight="1" x14ac:dyDescent="0.15"/>
    <row r="63661" spans="3:3" s="9" customFormat="1" ht="21.95" customHeight="1" x14ac:dyDescent="0.15"/>
    <row r="63662" spans="3:3" s="8" customFormat="1" ht="21.95" customHeight="1" x14ac:dyDescent="0.15"/>
    <row r="63663" spans="3:3" s="8" customFormat="1" ht="21.95" customHeight="1" x14ac:dyDescent="0.15"/>
    <row r="63664" spans="3:3" s="8" customFormat="1" ht="21.95" customHeight="1" x14ac:dyDescent="0.15">
      <c r="C63664" s="101"/>
    </row>
    <row r="63665" spans="3:3" s="8" customFormat="1" ht="21.95" customHeight="1" x14ac:dyDescent="0.15">
      <c r="C63665" s="101"/>
    </row>
    <row r="63666" spans="3:3" s="8" customFormat="1" ht="21.95" customHeight="1" x14ac:dyDescent="0.15"/>
    <row r="63667" spans="3:3" s="8" customFormat="1" ht="21.95" customHeight="1" x14ac:dyDescent="0.15"/>
    <row r="63668" spans="3:3" s="8" customFormat="1" ht="21.95" customHeight="1" x14ac:dyDescent="0.15"/>
    <row r="63669" spans="3:3" s="8" customFormat="1" ht="21.95" customHeight="1" x14ac:dyDescent="0.15"/>
    <row r="63670" spans="3:3" s="8" customFormat="1" ht="21.95" customHeight="1" x14ac:dyDescent="0.15"/>
    <row r="63671" spans="3:3" s="8" customFormat="1" ht="21.95" customHeight="1" x14ac:dyDescent="0.15"/>
    <row r="63672" spans="3:3" s="8" customFormat="1" ht="21.95" customHeight="1" x14ac:dyDescent="0.15"/>
    <row r="63673" spans="3:3" s="9" customFormat="1" ht="21.95" customHeight="1" x14ac:dyDescent="0.15"/>
    <row r="63674" spans="3:3" s="9" customFormat="1" ht="21.95" customHeight="1" x14ac:dyDescent="0.15"/>
    <row r="63675" spans="3:3" s="9" customFormat="1" ht="21.95" customHeight="1" x14ac:dyDescent="0.15"/>
    <row r="63676" spans="3:3" s="9" customFormat="1" ht="21.95" customHeight="1" x14ac:dyDescent="0.15"/>
    <row r="63677" spans="3:3" s="8" customFormat="1" ht="21.95" customHeight="1" x14ac:dyDescent="0.15"/>
    <row r="63678" spans="3:3" s="8" customFormat="1" ht="21.95" customHeight="1" x14ac:dyDescent="0.15"/>
    <row r="63679" spans="3:3" s="8" customFormat="1" ht="21.95" customHeight="1" x14ac:dyDescent="0.15"/>
    <row r="63680" spans="3:3" s="8" customFormat="1" ht="21.95" customHeight="1" x14ac:dyDescent="0.15"/>
    <row r="63681" s="8" customFormat="1" ht="21.95" customHeight="1" x14ac:dyDescent="0.15"/>
    <row r="63682" s="8" customFormat="1" ht="21.95" customHeight="1" x14ac:dyDescent="0.15"/>
    <row r="63683" s="8" customFormat="1" ht="21.95" customHeight="1" x14ac:dyDescent="0.15"/>
    <row r="63684" s="8" customFormat="1" ht="21.95" customHeight="1" x14ac:dyDescent="0.15"/>
    <row r="63685" s="8" customFormat="1" ht="21.95" customHeight="1" x14ac:dyDescent="0.15"/>
    <row r="63686" s="8" customFormat="1" ht="21.95" customHeight="1" x14ac:dyDescent="0.15"/>
    <row r="63687" s="8" customFormat="1" ht="21.95" customHeight="1" x14ac:dyDescent="0.15"/>
    <row r="63688" s="8" customFormat="1" ht="32.1" customHeight="1" x14ac:dyDescent="0.15"/>
    <row r="63689" s="8" customFormat="1" ht="32.1" customHeight="1" x14ac:dyDescent="0.15"/>
    <row r="63690" s="8" customFormat="1" ht="32.1" customHeight="1" x14ac:dyDescent="0.15"/>
    <row r="63691" s="8" customFormat="1" ht="32.1" customHeight="1" x14ac:dyDescent="0.15"/>
    <row r="63692" s="8" customFormat="1" ht="32.1" customHeight="1" x14ac:dyDescent="0.15"/>
    <row r="63693" s="8" customFormat="1" ht="32.1" customHeight="1" x14ac:dyDescent="0.15"/>
    <row r="63694" s="9" customFormat="1" ht="32.1" customHeight="1" x14ac:dyDescent="0.15"/>
    <row r="63695" s="9" customFormat="1" ht="32.1" customHeight="1" x14ac:dyDescent="0.15"/>
    <row r="63696" s="9" customFormat="1" ht="32.1" customHeight="1" x14ac:dyDescent="0.15"/>
    <row r="63697" s="9" customFormat="1" ht="32.1" customHeight="1" x14ac:dyDescent="0.15"/>
    <row r="63698" s="9" customFormat="1" ht="21.95" customHeight="1" x14ac:dyDescent="0.15"/>
    <row r="63699" s="9" customFormat="1" ht="54" customHeight="1" x14ac:dyDescent="0.15"/>
    <row r="63700" s="9" customFormat="1" ht="21.95" customHeight="1" x14ac:dyDescent="0.15"/>
    <row r="63701" s="9" customFormat="1" ht="21.95" customHeight="1" x14ac:dyDescent="0.15"/>
    <row r="63702" s="9" customFormat="1" ht="21.95" customHeight="1" x14ac:dyDescent="0.15"/>
    <row r="63703" s="9" customFormat="1" ht="21.95" customHeight="1" x14ac:dyDescent="0.15"/>
    <row r="63704" s="9" customFormat="1" ht="21.95" customHeight="1" x14ac:dyDescent="0.15"/>
    <row r="63705" s="9" customFormat="1" ht="21.95" customHeight="1" x14ac:dyDescent="0.15"/>
    <row r="63706" s="9" customFormat="1" ht="21.95" customHeight="1" x14ac:dyDescent="0.15"/>
    <row r="63707" s="9" customFormat="1" ht="21.95" customHeight="1" x14ac:dyDescent="0.15"/>
    <row r="63708" s="9" customFormat="1" ht="21.95" customHeight="1" x14ac:dyDescent="0.15"/>
    <row r="63709" s="9" customFormat="1" ht="21.95" customHeight="1" x14ac:dyDescent="0.15"/>
    <row r="63710" s="9" customFormat="1" ht="21.95" customHeight="1" x14ac:dyDescent="0.15"/>
    <row r="63711" s="9" customFormat="1" ht="21.95" customHeight="1" x14ac:dyDescent="0.15"/>
    <row r="63712" s="9" customFormat="1" ht="21.95" customHeight="1" x14ac:dyDescent="0.15"/>
    <row r="63713" s="9" customFormat="1" ht="21.95" customHeight="1" x14ac:dyDescent="0.15"/>
    <row r="63714" s="9" customFormat="1" ht="21.95" customHeight="1" x14ac:dyDescent="0.15"/>
    <row r="63715" s="9" customFormat="1" ht="21.95" customHeight="1" x14ac:dyDescent="0.15"/>
    <row r="63716" s="9" customFormat="1" ht="21.95" customHeight="1" x14ac:dyDescent="0.15"/>
    <row r="63717" s="9" customFormat="1" ht="21.95" customHeight="1" x14ac:dyDescent="0.15"/>
    <row r="63718" s="9" customFormat="1" ht="21.95" customHeight="1" x14ac:dyDescent="0.15"/>
    <row r="63719" s="9" customFormat="1" ht="21.95" customHeight="1" x14ac:dyDescent="0.15"/>
    <row r="63720" s="9" customFormat="1" ht="21.95" customHeight="1" x14ac:dyDescent="0.15"/>
    <row r="63721" s="9" customFormat="1" ht="21.95" customHeight="1" x14ac:dyDescent="0.15"/>
    <row r="63722" s="9" customFormat="1" ht="21.95" customHeight="1" x14ac:dyDescent="0.15"/>
    <row r="63723" s="9" customFormat="1" ht="21.95" customHeight="1" x14ac:dyDescent="0.15"/>
    <row r="63724" s="9" customFormat="1" ht="21.95" customHeight="1" x14ac:dyDescent="0.15"/>
    <row r="63725" s="9" customFormat="1" ht="21.95" customHeight="1" x14ac:dyDescent="0.15"/>
    <row r="63726" s="9" customFormat="1" ht="21.95" customHeight="1" x14ac:dyDescent="0.15"/>
    <row r="63727" s="9" customFormat="1" ht="21.95" customHeight="1" x14ac:dyDescent="0.15"/>
    <row r="63728" s="9" customFormat="1" ht="21.95" customHeight="1" x14ac:dyDescent="0.15"/>
    <row r="63729" s="9" customFormat="1" ht="21.95" customHeight="1" x14ac:dyDescent="0.15"/>
    <row r="63730" s="9" customFormat="1" ht="21.95" customHeight="1" x14ac:dyDescent="0.15"/>
    <row r="63731" s="9" customFormat="1" ht="21.95" customHeight="1" x14ac:dyDescent="0.15"/>
    <row r="63732" s="9" customFormat="1" ht="21.95" customHeight="1" x14ac:dyDescent="0.15"/>
    <row r="63733" s="9" customFormat="1" ht="21.95" customHeight="1" x14ac:dyDescent="0.15"/>
    <row r="63734" s="9" customFormat="1" ht="21.95" customHeight="1" x14ac:dyDescent="0.15"/>
    <row r="63735" s="9" customFormat="1" ht="21.95" customHeight="1" x14ac:dyDescent="0.15"/>
    <row r="63736" s="9" customFormat="1" ht="21.95" customHeight="1" x14ac:dyDescent="0.15"/>
    <row r="63737" s="9" customFormat="1" ht="21.95" customHeight="1" x14ac:dyDescent="0.15"/>
    <row r="63738" s="9" customFormat="1" ht="21.95" customHeight="1" x14ac:dyDescent="0.15"/>
    <row r="63739" s="9" customFormat="1" ht="21.95" customHeight="1" x14ac:dyDescent="0.15"/>
    <row r="63740" s="9" customFormat="1" ht="21.95" customHeight="1" x14ac:dyDescent="0.15"/>
    <row r="63741" s="9" customFormat="1" ht="21.95" customHeight="1" x14ac:dyDescent="0.15"/>
    <row r="63742" s="9" customFormat="1" ht="21.95" customHeight="1" x14ac:dyDescent="0.15"/>
    <row r="63743" s="9" customFormat="1" ht="21.95" customHeight="1" x14ac:dyDescent="0.15"/>
    <row r="63744" s="9" customFormat="1" ht="21.95" customHeight="1" x14ac:dyDescent="0.15"/>
    <row r="63745" s="9" customFormat="1" ht="21.95" customHeight="1" x14ac:dyDescent="0.15"/>
    <row r="63746" s="9" customFormat="1" ht="21.95" customHeight="1" x14ac:dyDescent="0.15"/>
    <row r="63747" s="9" customFormat="1" ht="21.95" customHeight="1" x14ac:dyDescent="0.15"/>
    <row r="63748" s="9" customFormat="1" ht="21.95" customHeight="1" x14ac:dyDescent="0.15"/>
    <row r="63749" s="9" customFormat="1" ht="21.95" customHeight="1" x14ac:dyDescent="0.15"/>
    <row r="63750" s="9" customFormat="1" ht="35.1" customHeight="1" x14ac:dyDescent="0.15"/>
    <row r="63751" s="9" customFormat="1" ht="21.95" customHeight="1" x14ac:dyDescent="0.15"/>
    <row r="63752" s="9" customFormat="1" ht="21.95" customHeight="1" x14ac:dyDescent="0.15"/>
    <row r="63753" s="9" customFormat="1" ht="21.95" customHeight="1" x14ac:dyDescent="0.15"/>
    <row r="63754" s="9" customFormat="1" ht="21.95" customHeight="1" x14ac:dyDescent="0.15"/>
    <row r="63755" s="9" customFormat="1" ht="21.95" customHeight="1" x14ac:dyDescent="0.15"/>
    <row r="63756" s="9" customFormat="1" ht="21.95" customHeight="1" x14ac:dyDescent="0.15"/>
    <row r="63757" s="9" customFormat="1" ht="21.95" customHeight="1" x14ac:dyDescent="0.15"/>
    <row r="63758" s="9" customFormat="1" ht="21.95" customHeight="1" x14ac:dyDescent="0.15"/>
    <row r="63759" s="9" customFormat="1" ht="21.95" customHeight="1" x14ac:dyDescent="0.15"/>
    <row r="63760" s="9" customFormat="1" ht="21.95" customHeight="1" x14ac:dyDescent="0.15"/>
    <row r="63761" spans="3:3" s="9" customFormat="1" ht="21.95" customHeight="1" x14ac:dyDescent="0.15"/>
    <row r="63762" spans="3:3" s="9" customFormat="1" ht="21.95" customHeight="1" x14ac:dyDescent="0.15"/>
    <row r="63763" spans="3:3" s="9" customFormat="1" ht="21.95" customHeight="1" x14ac:dyDescent="0.15"/>
    <row r="63764" spans="3:3" s="9" customFormat="1" ht="21.95" customHeight="1" x14ac:dyDescent="0.15"/>
    <row r="63765" spans="3:3" s="9" customFormat="1" ht="21.95" customHeight="1" x14ac:dyDescent="0.15"/>
    <row r="63766" spans="3:3" s="9" customFormat="1" ht="21.95" customHeight="1" x14ac:dyDescent="0.15"/>
    <row r="63767" spans="3:3" s="9" customFormat="1" ht="21.95" customHeight="1" x14ac:dyDescent="0.15"/>
    <row r="63768" spans="3:3" s="9" customFormat="1" ht="21.95" customHeight="1" x14ac:dyDescent="0.15"/>
    <row r="63769" spans="3:3" s="9" customFormat="1" ht="21.95" customHeight="1" x14ac:dyDescent="0.15"/>
    <row r="63770" spans="3:3" s="9" customFormat="1" ht="21.95" customHeight="1" x14ac:dyDescent="0.15"/>
    <row r="63771" spans="3:3" s="9" customFormat="1" ht="21.95" customHeight="1" x14ac:dyDescent="0.15"/>
    <row r="63772" spans="3:3" s="9" customFormat="1" ht="21.95" customHeight="1" x14ac:dyDescent="0.15"/>
    <row r="63773" spans="3:3" s="9" customFormat="1" ht="21.95" customHeight="1" x14ac:dyDescent="0.15"/>
    <row r="63774" spans="3:3" s="8" customFormat="1" ht="21.95" customHeight="1" x14ac:dyDescent="0.15"/>
    <row r="63775" spans="3:3" s="8" customFormat="1" ht="21.95" customHeight="1" x14ac:dyDescent="0.15"/>
    <row r="63776" spans="3:3" s="8" customFormat="1" ht="21.95" customHeight="1" x14ac:dyDescent="0.15">
      <c r="C63776" s="101"/>
    </row>
    <row r="63777" spans="3:3" s="8" customFormat="1" ht="21.95" customHeight="1" x14ac:dyDescent="0.15">
      <c r="C63777" s="101"/>
    </row>
    <row r="63778" spans="3:3" s="8" customFormat="1" ht="21.95" customHeight="1" x14ac:dyDescent="0.15"/>
    <row r="63779" spans="3:3" s="8" customFormat="1" ht="21.95" customHeight="1" x14ac:dyDescent="0.15"/>
    <row r="63780" spans="3:3" s="8" customFormat="1" ht="21.95" customHeight="1" x14ac:dyDescent="0.15"/>
    <row r="63781" spans="3:3" s="8" customFormat="1" ht="21.95" customHeight="1" x14ac:dyDescent="0.15"/>
    <row r="63782" spans="3:3" s="8" customFormat="1" ht="21.95" customHeight="1" x14ac:dyDescent="0.15"/>
    <row r="63783" spans="3:3" s="8" customFormat="1" ht="21.95" customHeight="1" x14ac:dyDescent="0.15"/>
    <row r="63784" spans="3:3" s="8" customFormat="1" ht="21.95" customHeight="1" x14ac:dyDescent="0.15"/>
    <row r="63785" spans="3:3" s="9" customFormat="1" ht="21.95" customHeight="1" x14ac:dyDescent="0.15"/>
    <row r="63786" spans="3:3" s="9" customFormat="1" ht="21.95" customHeight="1" x14ac:dyDescent="0.15"/>
    <row r="63787" spans="3:3" s="9" customFormat="1" ht="21.95" customHeight="1" x14ac:dyDescent="0.15"/>
    <row r="63788" spans="3:3" s="9" customFormat="1" ht="21.95" customHeight="1" x14ac:dyDescent="0.15"/>
    <row r="63789" spans="3:3" s="8" customFormat="1" ht="21.95" customHeight="1" x14ac:dyDescent="0.15"/>
    <row r="63790" spans="3:3" s="8" customFormat="1" ht="21.95" customHeight="1" x14ac:dyDescent="0.15"/>
    <row r="63791" spans="3:3" s="8" customFormat="1" ht="21.95" customHeight="1" x14ac:dyDescent="0.15"/>
    <row r="63792" spans="3:3" s="8" customFormat="1" ht="21.95" customHeight="1" x14ac:dyDescent="0.15"/>
    <row r="63793" s="8" customFormat="1" ht="21.95" customHeight="1" x14ac:dyDescent="0.15"/>
    <row r="63794" s="8" customFormat="1" ht="21.95" customHeight="1" x14ac:dyDescent="0.15"/>
    <row r="63795" s="8" customFormat="1" ht="21.95" customHeight="1" x14ac:dyDescent="0.15"/>
    <row r="63796" s="8" customFormat="1" ht="21.95" customHeight="1" x14ac:dyDescent="0.15"/>
    <row r="63797" s="8" customFormat="1" ht="21.95" customHeight="1" x14ac:dyDescent="0.15"/>
    <row r="63798" s="8" customFormat="1" ht="21.95" customHeight="1" x14ac:dyDescent="0.15"/>
    <row r="63799" s="8" customFormat="1" ht="21.95" customHeight="1" x14ac:dyDescent="0.15"/>
    <row r="63800" s="8" customFormat="1" ht="32.1" customHeight="1" x14ac:dyDescent="0.15"/>
    <row r="63801" s="8" customFormat="1" ht="32.1" customHeight="1" x14ac:dyDescent="0.15"/>
    <row r="63802" s="8" customFormat="1" ht="32.1" customHeight="1" x14ac:dyDescent="0.15"/>
    <row r="63803" s="8" customFormat="1" ht="32.1" customHeight="1" x14ac:dyDescent="0.15"/>
    <row r="63804" s="8" customFormat="1" ht="32.1" customHeight="1" x14ac:dyDescent="0.15"/>
    <row r="63805" s="8" customFormat="1" ht="32.1" customHeight="1" x14ac:dyDescent="0.15"/>
    <row r="63806" s="9" customFormat="1" ht="32.1" customHeight="1" x14ac:dyDescent="0.15"/>
    <row r="63807" s="9" customFormat="1" ht="32.1" customHeight="1" x14ac:dyDescent="0.15"/>
    <row r="63808" s="9" customFormat="1" ht="32.1" customHeight="1" x14ac:dyDescent="0.15"/>
    <row r="63809" s="9" customFormat="1" ht="32.1" customHeight="1" x14ac:dyDescent="0.15"/>
    <row r="63810" s="9" customFormat="1" ht="21.95" customHeight="1" x14ac:dyDescent="0.15"/>
    <row r="63811" s="9" customFormat="1" ht="54" customHeight="1" x14ac:dyDescent="0.15"/>
    <row r="63812" s="9" customFormat="1" ht="21.95" customHeight="1" x14ac:dyDescent="0.15"/>
    <row r="63813" s="9" customFormat="1" ht="21.95" customHeight="1" x14ac:dyDescent="0.15"/>
    <row r="63814" s="9" customFormat="1" ht="21.95" customHeight="1" x14ac:dyDescent="0.15"/>
    <row r="63815" s="9" customFormat="1" ht="21.95" customHeight="1" x14ac:dyDescent="0.15"/>
    <row r="63816" s="9" customFormat="1" ht="21.95" customHeight="1" x14ac:dyDescent="0.15"/>
    <row r="63817" s="9" customFormat="1" ht="21.95" customHeight="1" x14ac:dyDescent="0.15"/>
    <row r="63818" s="9" customFormat="1" ht="21.95" customHeight="1" x14ac:dyDescent="0.15"/>
    <row r="63819" s="9" customFormat="1" ht="21.95" customHeight="1" x14ac:dyDescent="0.15"/>
    <row r="63820" s="9" customFormat="1" ht="21.95" customHeight="1" x14ac:dyDescent="0.15"/>
    <row r="63821" s="9" customFormat="1" ht="21.95" customHeight="1" x14ac:dyDescent="0.15"/>
    <row r="63822" s="9" customFormat="1" ht="21.95" customHeight="1" x14ac:dyDescent="0.15"/>
    <row r="63823" s="9" customFormat="1" ht="21.95" customHeight="1" x14ac:dyDescent="0.15"/>
    <row r="63824" s="9" customFormat="1" ht="21.95" customHeight="1" x14ac:dyDescent="0.15"/>
    <row r="63825" s="9" customFormat="1" ht="21.95" customHeight="1" x14ac:dyDescent="0.15"/>
    <row r="63826" s="9" customFormat="1" ht="21.95" customHeight="1" x14ac:dyDescent="0.15"/>
    <row r="63827" s="9" customFormat="1" ht="21.95" customHeight="1" x14ac:dyDescent="0.15"/>
    <row r="63828" s="9" customFormat="1" ht="21.95" customHeight="1" x14ac:dyDescent="0.15"/>
    <row r="63829" s="9" customFormat="1" ht="21.95" customHeight="1" x14ac:dyDescent="0.15"/>
    <row r="63830" s="9" customFormat="1" ht="21.95" customHeight="1" x14ac:dyDescent="0.15"/>
    <row r="63831" s="9" customFormat="1" ht="21.95" customHeight="1" x14ac:dyDescent="0.15"/>
    <row r="63832" s="9" customFormat="1" ht="21.95" customHeight="1" x14ac:dyDescent="0.15"/>
    <row r="63833" s="9" customFormat="1" ht="21.95" customHeight="1" x14ac:dyDescent="0.15"/>
    <row r="63834" s="9" customFormat="1" ht="21.95" customHeight="1" x14ac:dyDescent="0.15"/>
    <row r="63835" s="9" customFormat="1" ht="21.95" customHeight="1" x14ac:dyDescent="0.15"/>
    <row r="63836" s="9" customFormat="1" ht="21.95" customHeight="1" x14ac:dyDescent="0.15"/>
    <row r="63837" s="9" customFormat="1" ht="21.95" customHeight="1" x14ac:dyDescent="0.15"/>
    <row r="63838" s="9" customFormat="1" ht="21.95" customHeight="1" x14ac:dyDescent="0.15"/>
    <row r="63839" s="9" customFormat="1" ht="21.95" customHeight="1" x14ac:dyDescent="0.15"/>
    <row r="63840" s="9" customFormat="1" ht="21.95" customHeight="1" x14ac:dyDescent="0.15"/>
    <row r="63841" s="9" customFormat="1" ht="21.95" customHeight="1" x14ac:dyDescent="0.15"/>
    <row r="63842" s="9" customFormat="1" ht="21.95" customHeight="1" x14ac:dyDescent="0.15"/>
    <row r="63843" s="9" customFormat="1" ht="21.95" customHeight="1" x14ac:dyDescent="0.15"/>
    <row r="63844" s="9" customFormat="1" ht="21.95" customHeight="1" x14ac:dyDescent="0.15"/>
    <row r="63845" s="9" customFormat="1" ht="21.95" customHeight="1" x14ac:dyDescent="0.15"/>
    <row r="63846" s="9" customFormat="1" ht="21.95" customHeight="1" x14ac:dyDescent="0.15"/>
    <row r="63847" s="9" customFormat="1" ht="21.95" customHeight="1" x14ac:dyDescent="0.15"/>
    <row r="63848" s="9" customFormat="1" ht="21.95" customHeight="1" x14ac:dyDescent="0.15"/>
    <row r="63849" s="9" customFormat="1" ht="21.95" customHeight="1" x14ac:dyDescent="0.15"/>
    <row r="63850" s="9" customFormat="1" ht="21.95" customHeight="1" x14ac:dyDescent="0.15"/>
    <row r="63851" s="9" customFormat="1" ht="21.95" customHeight="1" x14ac:dyDescent="0.15"/>
    <row r="63852" s="9" customFormat="1" ht="21.95" customHeight="1" x14ac:dyDescent="0.15"/>
    <row r="63853" s="9" customFormat="1" ht="21.95" customHeight="1" x14ac:dyDescent="0.15"/>
    <row r="63854" s="9" customFormat="1" ht="21.95" customHeight="1" x14ac:dyDescent="0.15"/>
    <row r="63855" s="9" customFormat="1" ht="21.95" customHeight="1" x14ac:dyDescent="0.15"/>
    <row r="63856" s="9" customFormat="1" ht="21.95" customHeight="1" x14ac:dyDescent="0.15"/>
    <row r="63857" s="9" customFormat="1" ht="21.95" customHeight="1" x14ac:dyDescent="0.15"/>
    <row r="63858" s="9" customFormat="1" ht="21.95" customHeight="1" x14ac:dyDescent="0.15"/>
    <row r="63859" s="9" customFormat="1" ht="21.95" customHeight="1" x14ac:dyDescent="0.15"/>
    <row r="63860" s="9" customFormat="1" ht="21.95" customHeight="1" x14ac:dyDescent="0.15"/>
    <row r="63861" s="9" customFormat="1" ht="21.95" customHeight="1" x14ac:dyDescent="0.15"/>
    <row r="63862" s="9" customFormat="1" ht="35.1" customHeight="1" x14ac:dyDescent="0.15"/>
    <row r="63863" s="9" customFormat="1" ht="21.95" customHeight="1" x14ac:dyDescent="0.15"/>
    <row r="63864" s="9" customFormat="1" ht="21.95" customHeight="1" x14ac:dyDescent="0.15"/>
    <row r="63865" s="9" customFormat="1" ht="21.95" customHeight="1" x14ac:dyDescent="0.15"/>
    <row r="63866" s="9" customFormat="1" ht="21.95" customHeight="1" x14ac:dyDescent="0.15"/>
    <row r="63867" s="9" customFormat="1" ht="21.95" customHeight="1" x14ac:dyDescent="0.15"/>
    <row r="63868" s="9" customFormat="1" ht="21.95" customHeight="1" x14ac:dyDescent="0.15"/>
    <row r="63869" s="9" customFormat="1" ht="21.95" customHeight="1" x14ac:dyDescent="0.15"/>
    <row r="63870" s="9" customFormat="1" ht="21.95" customHeight="1" x14ac:dyDescent="0.15"/>
    <row r="63871" s="9" customFormat="1" ht="21.95" customHeight="1" x14ac:dyDescent="0.15"/>
    <row r="63872" s="9" customFormat="1" ht="21.95" customHeight="1" x14ac:dyDescent="0.15"/>
    <row r="63873" spans="3:3" s="9" customFormat="1" ht="21.95" customHeight="1" x14ac:dyDescent="0.15"/>
    <row r="63874" spans="3:3" s="9" customFormat="1" ht="21.95" customHeight="1" x14ac:dyDescent="0.15"/>
    <row r="63875" spans="3:3" s="9" customFormat="1" ht="21.95" customHeight="1" x14ac:dyDescent="0.15"/>
    <row r="63876" spans="3:3" s="9" customFormat="1" ht="21.95" customHeight="1" x14ac:dyDescent="0.15"/>
    <row r="63877" spans="3:3" s="9" customFormat="1" ht="21.95" customHeight="1" x14ac:dyDescent="0.15"/>
    <row r="63878" spans="3:3" s="9" customFormat="1" ht="21.95" customHeight="1" x14ac:dyDescent="0.15"/>
    <row r="63879" spans="3:3" s="9" customFormat="1" ht="21.95" customHeight="1" x14ac:dyDescent="0.15"/>
    <row r="63880" spans="3:3" s="9" customFormat="1" ht="21.95" customHeight="1" x14ac:dyDescent="0.15"/>
    <row r="63881" spans="3:3" s="9" customFormat="1" ht="21.95" customHeight="1" x14ac:dyDescent="0.15"/>
    <row r="63882" spans="3:3" s="9" customFormat="1" ht="21.95" customHeight="1" x14ac:dyDescent="0.15"/>
    <row r="63883" spans="3:3" s="9" customFormat="1" ht="21.95" customHeight="1" x14ac:dyDescent="0.15"/>
    <row r="63884" spans="3:3" s="9" customFormat="1" ht="21.95" customHeight="1" x14ac:dyDescent="0.15"/>
    <row r="63885" spans="3:3" s="9" customFormat="1" ht="21.95" customHeight="1" x14ac:dyDescent="0.15"/>
    <row r="63886" spans="3:3" s="8" customFormat="1" ht="21.95" customHeight="1" x14ac:dyDescent="0.15"/>
    <row r="63887" spans="3:3" s="8" customFormat="1" ht="21.95" customHeight="1" x14ac:dyDescent="0.15"/>
    <row r="63888" spans="3:3" s="8" customFormat="1" ht="21.95" customHeight="1" x14ac:dyDescent="0.15">
      <c r="C63888" s="101"/>
    </row>
    <row r="63889" spans="3:3" s="8" customFormat="1" ht="21.95" customHeight="1" x14ac:dyDescent="0.15">
      <c r="C63889" s="101"/>
    </row>
    <row r="63890" spans="3:3" s="8" customFormat="1" ht="21.95" customHeight="1" x14ac:dyDescent="0.15"/>
    <row r="63891" spans="3:3" s="8" customFormat="1" ht="21.95" customHeight="1" x14ac:dyDescent="0.15"/>
    <row r="63892" spans="3:3" s="8" customFormat="1" ht="21.95" customHeight="1" x14ac:dyDescent="0.15"/>
    <row r="63893" spans="3:3" s="8" customFormat="1" ht="21.95" customHeight="1" x14ac:dyDescent="0.15"/>
    <row r="63894" spans="3:3" s="8" customFormat="1" ht="21.95" customHeight="1" x14ac:dyDescent="0.15"/>
    <row r="63895" spans="3:3" s="8" customFormat="1" ht="21.95" customHeight="1" x14ac:dyDescent="0.15"/>
    <row r="63896" spans="3:3" s="8" customFormat="1" ht="21.95" customHeight="1" x14ac:dyDescent="0.15"/>
    <row r="63897" spans="3:3" s="9" customFormat="1" ht="21.95" customHeight="1" x14ac:dyDescent="0.15"/>
    <row r="63898" spans="3:3" s="9" customFormat="1" ht="21.95" customHeight="1" x14ac:dyDescent="0.15"/>
    <row r="63899" spans="3:3" s="9" customFormat="1" ht="21.95" customHeight="1" x14ac:dyDescent="0.15"/>
    <row r="63900" spans="3:3" s="9" customFormat="1" ht="21.95" customHeight="1" x14ac:dyDescent="0.15"/>
    <row r="63901" spans="3:3" s="8" customFormat="1" ht="21.95" customHeight="1" x14ac:dyDescent="0.15"/>
    <row r="63902" spans="3:3" s="8" customFormat="1" ht="21.95" customHeight="1" x14ac:dyDescent="0.15"/>
    <row r="63903" spans="3:3" s="8" customFormat="1" ht="21.95" customHeight="1" x14ac:dyDescent="0.15"/>
    <row r="63904" spans="3:3" s="8" customFormat="1" ht="21.95" customHeight="1" x14ac:dyDescent="0.15"/>
    <row r="63905" s="8" customFormat="1" ht="21.95" customHeight="1" x14ac:dyDescent="0.15"/>
    <row r="63906" s="8" customFormat="1" ht="21.95" customHeight="1" x14ac:dyDescent="0.15"/>
    <row r="63907" s="8" customFormat="1" ht="21.95" customHeight="1" x14ac:dyDescent="0.15"/>
    <row r="63908" s="8" customFormat="1" ht="21.95" customHeight="1" x14ac:dyDescent="0.15"/>
    <row r="63909" s="8" customFormat="1" ht="21.95" customHeight="1" x14ac:dyDescent="0.15"/>
    <row r="63910" s="8" customFormat="1" ht="21.95" customHeight="1" x14ac:dyDescent="0.15"/>
    <row r="63911" s="8" customFormat="1" ht="21.95" customHeight="1" x14ac:dyDescent="0.15"/>
    <row r="63912" s="8" customFormat="1" ht="32.1" customHeight="1" x14ac:dyDescent="0.15"/>
    <row r="63913" s="8" customFormat="1" ht="32.1" customHeight="1" x14ac:dyDescent="0.15"/>
    <row r="63914" s="8" customFormat="1" ht="32.1" customHeight="1" x14ac:dyDescent="0.15"/>
    <row r="63915" s="8" customFormat="1" ht="32.1" customHeight="1" x14ac:dyDescent="0.15"/>
    <row r="63916" s="8" customFormat="1" ht="32.1" customHeight="1" x14ac:dyDescent="0.15"/>
    <row r="63917" s="8" customFormat="1" ht="32.1" customHeight="1" x14ac:dyDescent="0.15"/>
    <row r="63918" s="9" customFormat="1" ht="32.1" customHeight="1" x14ac:dyDescent="0.15"/>
    <row r="63919" s="9" customFormat="1" ht="32.1" customHeight="1" x14ac:dyDescent="0.15"/>
    <row r="63920" s="9" customFormat="1" ht="32.1" customHeight="1" x14ac:dyDescent="0.15"/>
    <row r="63921" s="9" customFormat="1" ht="32.1" customHeight="1" x14ac:dyDescent="0.15"/>
    <row r="63922" s="9" customFormat="1" ht="21.95" customHeight="1" x14ac:dyDescent="0.15"/>
    <row r="63923" s="9" customFormat="1" ht="54" customHeight="1" x14ac:dyDescent="0.15"/>
    <row r="63924" s="9" customFormat="1" ht="21.95" customHeight="1" x14ac:dyDescent="0.15"/>
    <row r="63925" s="9" customFormat="1" ht="21.95" customHeight="1" x14ac:dyDescent="0.15"/>
    <row r="63926" s="9" customFormat="1" ht="21.95" customHeight="1" x14ac:dyDescent="0.15"/>
    <row r="63927" s="9" customFormat="1" ht="21.95" customHeight="1" x14ac:dyDescent="0.15"/>
    <row r="63928" s="9" customFormat="1" ht="21.95" customHeight="1" x14ac:dyDescent="0.15"/>
    <row r="63929" s="9" customFormat="1" ht="21.95" customHeight="1" x14ac:dyDescent="0.15"/>
    <row r="63930" s="9" customFormat="1" ht="21.95" customHeight="1" x14ac:dyDescent="0.15"/>
    <row r="63931" s="9" customFormat="1" ht="21.95" customHeight="1" x14ac:dyDescent="0.15"/>
    <row r="63932" s="9" customFormat="1" ht="21.95" customHeight="1" x14ac:dyDescent="0.15"/>
    <row r="63933" s="9" customFormat="1" ht="21.95" customHeight="1" x14ac:dyDescent="0.15"/>
    <row r="63934" s="9" customFormat="1" ht="21.95" customHeight="1" x14ac:dyDescent="0.15"/>
    <row r="63935" s="9" customFormat="1" ht="21.95" customHeight="1" x14ac:dyDescent="0.15"/>
    <row r="63936" s="9" customFormat="1" ht="21.95" customHeight="1" x14ac:dyDescent="0.15"/>
    <row r="63937" s="9" customFormat="1" ht="21.95" customHeight="1" x14ac:dyDescent="0.15"/>
    <row r="63938" s="9" customFormat="1" ht="21.95" customHeight="1" x14ac:dyDescent="0.15"/>
    <row r="63939" s="9" customFormat="1" ht="21.95" customHeight="1" x14ac:dyDescent="0.15"/>
    <row r="63940" s="9" customFormat="1" ht="21.95" customHeight="1" x14ac:dyDescent="0.15"/>
    <row r="63941" s="9" customFormat="1" ht="21.95" customHeight="1" x14ac:dyDescent="0.15"/>
    <row r="63942" s="9" customFormat="1" ht="21.95" customHeight="1" x14ac:dyDescent="0.15"/>
    <row r="63943" s="9" customFormat="1" ht="21.95" customHeight="1" x14ac:dyDescent="0.15"/>
    <row r="63944" s="9" customFormat="1" ht="21.95" customHeight="1" x14ac:dyDescent="0.15"/>
    <row r="63945" s="9" customFormat="1" ht="21.95" customHeight="1" x14ac:dyDescent="0.15"/>
    <row r="63946" s="9" customFormat="1" ht="21.95" customHeight="1" x14ac:dyDescent="0.15"/>
    <row r="63947" s="9" customFormat="1" ht="21.95" customHeight="1" x14ac:dyDescent="0.15"/>
    <row r="63948" s="9" customFormat="1" ht="21.95" customHeight="1" x14ac:dyDescent="0.15"/>
    <row r="63949" s="9" customFormat="1" ht="21.95" customHeight="1" x14ac:dyDescent="0.15"/>
    <row r="63950" s="9" customFormat="1" ht="21.95" customHeight="1" x14ac:dyDescent="0.15"/>
    <row r="63951" s="9" customFormat="1" ht="21.95" customHeight="1" x14ac:dyDescent="0.15"/>
    <row r="63952" s="9" customFormat="1" ht="21.95" customHeight="1" x14ac:dyDescent="0.15"/>
    <row r="63953" s="9" customFormat="1" ht="21.95" customHeight="1" x14ac:dyDescent="0.15"/>
    <row r="63954" s="9" customFormat="1" ht="21.95" customHeight="1" x14ac:dyDescent="0.15"/>
    <row r="63955" s="9" customFormat="1" ht="21.95" customHeight="1" x14ac:dyDescent="0.15"/>
    <row r="63956" s="9" customFormat="1" ht="21.95" customHeight="1" x14ac:dyDescent="0.15"/>
    <row r="63957" s="9" customFormat="1" ht="21.95" customHeight="1" x14ac:dyDescent="0.15"/>
    <row r="63958" s="9" customFormat="1" ht="21.95" customHeight="1" x14ac:dyDescent="0.15"/>
    <row r="63959" s="9" customFormat="1" ht="21.95" customHeight="1" x14ac:dyDescent="0.15"/>
    <row r="63960" s="9" customFormat="1" ht="21.95" customHeight="1" x14ac:dyDescent="0.15"/>
    <row r="63961" s="9" customFormat="1" ht="21.95" customHeight="1" x14ac:dyDescent="0.15"/>
    <row r="63962" s="9" customFormat="1" ht="21.95" customHeight="1" x14ac:dyDescent="0.15"/>
    <row r="63963" s="9" customFormat="1" ht="21.95" customHeight="1" x14ac:dyDescent="0.15"/>
    <row r="63964" s="9" customFormat="1" ht="21.95" customHeight="1" x14ac:dyDescent="0.15"/>
    <row r="63965" s="9" customFormat="1" ht="21.95" customHeight="1" x14ac:dyDescent="0.15"/>
    <row r="63966" s="9" customFormat="1" ht="21.95" customHeight="1" x14ac:dyDescent="0.15"/>
    <row r="63967" s="9" customFormat="1" ht="21.95" customHeight="1" x14ac:dyDescent="0.15"/>
    <row r="63968" s="9" customFormat="1" ht="21.95" customHeight="1" x14ac:dyDescent="0.15"/>
    <row r="63969" s="9" customFormat="1" ht="21.95" customHeight="1" x14ac:dyDescent="0.15"/>
    <row r="63970" s="9" customFormat="1" ht="21.95" customHeight="1" x14ac:dyDescent="0.15"/>
    <row r="63971" s="9" customFormat="1" ht="21.95" customHeight="1" x14ac:dyDescent="0.15"/>
    <row r="63972" s="9" customFormat="1" ht="21.95" customHeight="1" x14ac:dyDescent="0.15"/>
    <row r="63973" s="9" customFormat="1" ht="21.95" customHeight="1" x14ac:dyDescent="0.15"/>
    <row r="63974" s="9" customFormat="1" ht="35.1" customHeight="1" x14ac:dyDescent="0.15"/>
    <row r="63975" s="9" customFormat="1" ht="21.95" customHeight="1" x14ac:dyDescent="0.15"/>
    <row r="63976" s="9" customFormat="1" ht="21.95" customHeight="1" x14ac:dyDescent="0.15"/>
    <row r="63977" s="9" customFormat="1" ht="21.95" customHeight="1" x14ac:dyDescent="0.15"/>
    <row r="63978" s="9" customFormat="1" ht="21.95" customHeight="1" x14ac:dyDescent="0.15"/>
    <row r="63979" s="9" customFormat="1" ht="21.95" customHeight="1" x14ac:dyDescent="0.15"/>
    <row r="63980" s="9" customFormat="1" ht="21.95" customHeight="1" x14ac:dyDescent="0.15"/>
    <row r="63981" s="9" customFormat="1" ht="21.95" customHeight="1" x14ac:dyDescent="0.15"/>
    <row r="63982" s="9" customFormat="1" ht="21.95" customHeight="1" x14ac:dyDescent="0.15"/>
    <row r="63983" s="9" customFormat="1" ht="21.95" customHeight="1" x14ac:dyDescent="0.15"/>
    <row r="63984" s="9" customFormat="1" ht="21.95" customHeight="1" x14ac:dyDescent="0.15"/>
    <row r="63985" spans="3:3" s="9" customFormat="1" ht="21.95" customHeight="1" x14ac:dyDescent="0.15"/>
    <row r="63986" spans="3:3" s="9" customFormat="1" ht="21.95" customHeight="1" x14ac:dyDescent="0.15"/>
    <row r="63987" spans="3:3" s="9" customFormat="1" ht="21.95" customHeight="1" x14ac:dyDescent="0.15"/>
    <row r="63988" spans="3:3" s="9" customFormat="1" ht="21.95" customHeight="1" x14ac:dyDescent="0.15"/>
    <row r="63989" spans="3:3" s="9" customFormat="1" ht="21.95" customHeight="1" x14ac:dyDescent="0.15"/>
    <row r="63990" spans="3:3" s="9" customFormat="1" ht="21.95" customHeight="1" x14ac:dyDescent="0.15"/>
    <row r="63991" spans="3:3" s="9" customFormat="1" ht="21.95" customHeight="1" x14ac:dyDescent="0.15"/>
    <row r="63992" spans="3:3" s="9" customFormat="1" ht="21.95" customHeight="1" x14ac:dyDescent="0.15"/>
    <row r="63993" spans="3:3" s="9" customFormat="1" ht="21.95" customHeight="1" x14ac:dyDescent="0.15"/>
    <row r="63994" spans="3:3" s="9" customFormat="1" ht="21.95" customHeight="1" x14ac:dyDescent="0.15"/>
    <row r="63995" spans="3:3" s="9" customFormat="1" ht="21.95" customHeight="1" x14ac:dyDescent="0.15"/>
    <row r="63996" spans="3:3" s="9" customFormat="1" ht="21.95" customHeight="1" x14ac:dyDescent="0.15"/>
    <row r="63997" spans="3:3" s="9" customFormat="1" ht="21.95" customHeight="1" x14ac:dyDescent="0.15"/>
    <row r="63998" spans="3:3" s="8" customFormat="1" ht="21.95" customHeight="1" x14ac:dyDescent="0.15"/>
    <row r="63999" spans="3:3" s="8" customFormat="1" ht="21.95" customHeight="1" x14ac:dyDescent="0.15"/>
    <row r="64000" spans="3:3" s="8" customFormat="1" ht="21.95" customHeight="1" x14ac:dyDescent="0.15">
      <c r="C64000" s="101"/>
    </row>
    <row r="64001" spans="3:3" s="8" customFormat="1" ht="21.95" customHeight="1" x14ac:dyDescent="0.15">
      <c r="C64001" s="101"/>
    </row>
    <row r="64002" spans="3:3" s="8" customFormat="1" ht="21.95" customHeight="1" x14ac:dyDescent="0.15"/>
    <row r="64003" spans="3:3" s="8" customFormat="1" ht="21.95" customHeight="1" x14ac:dyDescent="0.15"/>
    <row r="64004" spans="3:3" s="8" customFormat="1" ht="21.95" customHeight="1" x14ac:dyDescent="0.15"/>
    <row r="64005" spans="3:3" s="8" customFormat="1" ht="21.95" customHeight="1" x14ac:dyDescent="0.15"/>
    <row r="64006" spans="3:3" s="8" customFormat="1" ht="21.95" customHeight="1" x14ac:dyDescent="0.15"/>
    <row r="64007" spans="3:3" s="8" customFormat="1" ht="21.95" customHeight="1" x14ac:dyDescent="0.15"/>
    <row r="64008" spans="3:3" s="8" customFormat="1" ht="21.95" customHeight="1" x14ac:dyDescent="0.15"/>
    <row r="64009" spans="3:3" s="9" customFormat="1" ht="21.95" customHeight="1" x14ac:dyDescent="0.15"/>
    <row r="64010" spans="3:3" s="9" customFormat="1" ht="21.95" customHeight="1" x14ac:dyDescent="0.15"/>
    <row r="64011" spans="3:3" s="9" customFormat="1" ht="21.95" customHeight="1" x14ac:dyDescent="0.15"/>
    <row r="64012" spans="3:3" s="9" customFormat="1" ht="21.95" customHeight="1" x14ac:dyDescent="0.15"/>
    <row r="64013" spans="3:3" s="8" customFormat="1" ht="21.95" customHeight="1" x14ac:dyDescent="0.15"/>
    <row r="64014" spans="3:3" s="8" customFormat="1" ht="21.95" customHeight="1" x14ac:dyDescent="0.15"/>
    <row r="64015" spans="3:3" s="8" customFormat="1" ht="21.95" customHeight="1" x14ac:dyDescent="0.15"/>
    <row r="64016" spans="3:3" s="8" customFormat="1" ht="21.95" customHeight="1" x14ac:dyDescent="0.15"/>
    <row r="64017" s="8" customFormat="1" ht="21.95" customHeight="1" x14ac:dyDescent="0.15"/>
    <row r="64018" s="8" customFormat="1" ht="21.95" customHeight="1" x14ac:dyDescent="0.15"/>
    <row r="64019" s="8" customFormat="1" ht="21.95" customHeight="1" x14ac:dyDescent="0.15"/>
    <row r="64020" s="8" customFormat="1" ht="21.95" customHeight="1" x14ac:dyDescent="0.15"/>
    <row r="64021" s="8" customFormat="1" ht="21.95" customHeight="1" x14ac:dyDescent="0.15"/>
    <row r="64022" s="8" customFormat="1" ht="21.95" customHeight="1" x14ac:dyDescent="0.15"/>
    <row r="64023" s="8" customFormat="1" ht="21.95" customHeight="1" x14ac:dyDescent="0.15"/>
    <row r="64024" s="8" customFormat="1" ht="32.1" customHeight="1" x14ac:dyDescent="0.15"/>
    <row r="64025" s="8" customFormat="1" ht="32.1" customHeight="1" x14ac:dyDescent="0.15"/>
    <row r="64026" s="8" customFormat="1" ht="32.1" customHeight="1" x14ac:dyDescent="0.15"/>
    <row r="64027" s="8" customFormat="1" ht="32.1" customHeight="1" x14ac:dyDescent="0.15"/>
    <row r="64028" s="8" customFormat="1" ht="32.1" customHeight="1" x14ac:dyDescent="0.15"/>
    <row r="64029" s="8" customFormat="1" ht="32.1" customHeight="1" x14ac:dyDescent="0.15"/>
    <row r="64030" s="9" customFormat="1" ht="32.1" customHeight="1" x14ac:dyDescent="0.15"/>
    <row r="64031" s="9" customFormat="1" ht="32.1" customHeight="1" x14ac:dyDescent="0.15"/>
    <row r="64032" s="9" customFormat="1" ht="32.1" customHeight="1" x14ac:dyDescent="0.15"/>
    <row r="64033" s="9" customFormat="1" ht="32.1" customHeight="1" x14ac:dyDescent="0.15"/>
    <row r="64034" s="9" customFormat="1" ht="21.95" customHeight="1" x14ac:dyDescent="0.15"/>
    <row r="64035" s="9" customFormat="1" ht="54" customHeight="1" x14ac:dyDescent="0.15"/>
    <row r="64036" s="9" customFormat="1" ht="21.95" customHeight="1" x14ac:dyDescent="0.15"/>
    <row r="64037" s="9" customFormat="1" ht="21.95" customHeight="1" x14ac:dyDescent="0.15"/>
    <row r="64038" s="9" customFormat="1" ht="21.95" customHeight="1" x14ac:dyDescent="0.15"/>
    <row r="64039" s="9" customFormat="1" ht="21.95" customHeight="1" x14ac:dyDescent="0.15"/>
    <row r="64040" s="9" customFormat="1" ht="21.95" customHeight="1" x14ac:dyDescent="0.15"/>
    <row r="64041" s="9" customFormat="1" ht="21.95" customHeight="1" x14ac:dyDescent="0.15"/>
    <row r="64042" s="9" customFormat="1" ht="21.95" customHeight="1" x14ac:dyDescent="0.15"/>
    <row r="64043" s="9" customFormat="1" ht="21.95" customHeight="1" x14ac:dyDescent="0.15"/>
    <row r="64044" s="9" customFormat="1" ht="21.95" customHeight="1" x14ac:dyDescent="0.15"/>
    <row r="64045" s="9" customFormat="1" ht="21.95" customHeight="1" x14ac:dyDescent="0.15"/>
    <row r="64046" s="9" customFormat="1" ht="21.95" customHeight="1" x14ac:dyDescent="0.15"/>
    <row r="64047" s="9" customFormat="1" ht="21.95" customHeight="1" x14ac:dyDescent="0.15"/>
    <row r="64048" s="9" customFormat="1" ht="21.95" customHeight="1" x14ac:dyDescent="0.15"/>
    <row r="64049" s="9" customFormat="1" ht="21.95" customHeight="1" x14ac:dyDescent="0.15"/>
    <row r="64050" s="9" customFormat="1" ht="21.95" customHeight="1" x14ac:dyDescent="0.15"/>
    <row r="64051" s="9" customFormat="1" ht="21.95" customHeight="1" x14ac:dyDescent="0.15"/>
    <row r="64052" s="9" customFormat="1" ht="21.95" customHeight="1" x14ac:dyDescent="0.15"/>
    <row r="64053" s="9" customFormat="1" ht="21.95" customHeight="1" x14ac:dyDescent="0.15"/>
    <row r="64054" s="9" customFormat="1" ht="21.95" customHeight="1" x14ac:dyDescent="0.15"/>
    <row r="64055" s="9" customFormat="1" ht="21.95" customHeight="1" x14ac:dyDescent="0.15"/>
    <row r="64056" s="9" customFormat="1" ht="21.95" customHeight="1" x14ac:dyDescent="0.15"/>
    <row r="64057" s="9" customFormat="1" ht="21.95" customHeight="1" x14ac:dyDescent="0.15"/>
    <row r="64058" s="9" customFormat="1" ht="21.95" customHeight="1" x14ac:dyDescent="0.15"/>
    <row r="64059" s="9" customFormat="1" ht="21.95" customHeight="1" x14ac:dyDescent="0.15"/>
    <row r="64060" s="9" customFormat="1" ht="21.95" customHeight="1" x14ac:dyDescent="0.15"/>
    <row r="64061" s="9" customFormat="1" ht="21.95" customHeight="1" x14ac:dyDescent="0.15"/>
    <row r="64062" s="9" customFormat="1" ht="21.95" customHeight="1" x14ac:dyDescent="0.15"/>
    <row r="64063" s="9" customFormat="1" ht="21.95" customHeight="1" x14ac:dyDescent="0.15"/>
    <row r="64064" s="9" customFormat="1" ht="21.95" customHeight="1" x14ac:dyDescent="0.15"/>
    <row r="64065" s="9" customFormat="1" ht="21.95" customHeight="1" x14ac:dyDescent="0.15"/>
    <row r="64066" s="9" customFormat="1" ht="21.95" customHeight="1" x14ac:dyDescent="0.15"/>
    <row r="64067" s="9" customFormat="1" ht="21.95" customHeight="1" x14ac:dyDescent="0.15"/>
    <row r="64068" s="9" customFormat="1" ht="21.95" customHeight="1" x14ac:dyDescent="0.15"/>
    <row r="64069" s="9" customFormat="1" ht="21.95" customHeight="1" x14ac:dyDescent="0.15"/>
    <row r="64070" s="9" customFormat="1" ht="21.95" customHeight="1" x14ac:dyDescent="0.15"/>
    <row r="64071" s="9" customFormat="1" ht="21.95" customHeight="1" x14ac:dyDescent="0.15"/>
    <row r="64072" s="9" customFormat="1" ht="21.95" customHeight="1" x14ac:dyDescent="0.15"/>
    <row r="64073" s="9" customFormat="1" ht="21.95" customHeight="1" x14ac:dyDescent="0.15"/>
    <row r="64074" s="9" customFormat="1" ht="21.95" customHeight="1" x14ac:dyDescent="0.15"/>
    <row r="64075" s="9" customFormat="1" ht="21.95" customHeight="1" x14ac:dyDescent="0.15"/>
    <row r="64076" s="9" customFormat="1" ht="21.95" customHeight="1" x14ac:dyDescent="0.15"/>
    <row r="64077" s="9" customFormat="1" ht="21.95" customHeight="1" x14ac:dyDescent="0.15"/>
    <row r="64078" s="9" customFormat="1" ht="21.95" customHeight="1" x14ac:dyDescent="0.15"/>
    <row r="64079" s="9" customFormat="1" ht="21.95" customHeight="1" x14ac:dyDescent="0.15"/>
    <row r="64080" s="9" customFormat="1" ht="21.95" customHeight="1" x14ac:dyDescent="0.15"/>
    <row r="64081" s="9" customFormat="1" ht="21.95" customHeight="1" x14ac:dyDescent="0.15"/>
    <row r="64082" s="9" customFormat="1" ht="21.95" customHeight="1" x14ac:dyDescent="0.15"/>
    <row r="64083" s="9" customFormat="1" ht="21.95" customHeight="1" x14ac:dyDescent="0.15"/>
    <row r="64084" s="9" customFormat="1" ht="21.95" customHeight="1" x14ac:dyDescent="0.15"/>
    <row r="64085" s="9" customFormat="1" ht="21.95" customHeight="1" x14ac:dyDescent="0.15"/>
    <row r="64086" s="9" customFormat="1" ht="35.1" customHeight="1" x14ac:dyDescent="0.15"/>
    <row r="64087" s="9" customFormat="1" ht="21.95" customHeight="1" x14ac:dyDescent="0.15"/>
    <row r="64088" s="9" customFormat="1" ht="21.95" customHeight="1" x14ac:dyDescent="0.15"/>
    <row r="64089" s="9" customFormat="1" ht="21.95" customHeight="1" x14ac:dyDescent="0.15"/>
    <row r="64090" s="9" customFormat="1" ht="21.95" customHeight="1" x14ac:dyDescent="0.15"/>
    <row r="64091" s="9" customFormat="1" ht="21.95" customHeight="1" x14ac:dyDescent="0.15"/>
    <row r="64092" s="9" customFormat="1" ht="21.95" customHeight="1" x14ac:dyDescent="0.15"/>
    <row r="64093" s="9" customFormat="1" ht="21.95" customHeight="1" x14ac:dyDescent="0.15"/>
    <row r="64094" s="9" customFormat="1" ht="21.95" customHeight="1" x14ac:dyDescent="0.15"/>
    <row r="64095" s="9" customFormat="1" ht="21.95" customHeight="1" x14ac:dyDescent="0.15"/>
    <row r="64096" s="9" customFormat="1" ht="21.95" customHeight="1" x14ac:dyDescent="0.15"/>
    <row r="64097" spans="3:3" s="9" customFormat="1" ht="21.95" customHeight="1" x14ac:dyDescent="0.15"/>
    <row r="64098" spans="3:3" s="9" customFormat="1" ht="21.95" customHeight="1" x14ac:dyDescent="0.15"/>
    <row r="64099" spans="3:3" s="9" customFormat="1" ht="21.95" customHeight="1" x14ac:dyDescent="0.15"/>
    <row r="64100" spans="3:3" s="9" customFormat="1" ht="21.95" customHeight="1" x14ac:dyDescent="0.15"/>
    <row r="64101" spans="3:3" s="9" customFormat="1" ht="21.95" customHeight="1" x14ac:dyDescent="0.15"/>
    <row r="64102" spans="3:3" s="9" customFormat="1" ht="21.95" customHeight="1" x14ac:dyDescent="0.15"/>
    <row r="64103" spans="3:3" s="9" customFormat="1" ht="21.95" customHeight="1" x14ac:dyDescent="0.15"/>
    <row r="64104" spans="3:3" s="9" customFormat="1" ht="21.95" customHeight="1" x14ac:dyDescent="0.15"/>
    <row r="64105" spans="3:3" s="9" customFormat="1" ht="21.95" customHeight="1" x14ac:dyDescent="0.15"/>
    <row r="64106" spans="3:3" s="9" customFormat="1" ht="21.95" customHeight="1" x14ac:dyDescent="0.15"/>
    <row r="64107" spans="3:3" s="9" customFormat="1" ht="21.95" customHeight="1" x14ac:dyDescent="0.15"/>
    <row r="64108" spans="3:3" s="9" customFormat="1" ht="21.95" customHeight="1" x14ac:dyDescent="0.15"/>
    <row r="64109" spans="3:3" s="9" customFormat="1" ht="21.95" customHeight="1" x14ac:dyDescent="0.15"/>
    <row r="64110" spans="3:3" s="8" customFormat="1" ht="21.95" customHeight="1" x14ac:dyDescent="0.15"/>
    <row r="64111" spans="3:3" s="8" customFormat="1" ht="21.95" customHeight="1" x14ac:dyDescent="0.15"/>
    <row r="64112" spans="3:3" s="8" customFormat="1" ht="21.95" customHeight="1" x14ac:dyDescent="0.15">
      <c r="C64112" s="101"/>
    </row>
    <row r="64113" spans="3:3" s="8" customFormat="1" ht="21.95" customHeight="1" x14ac:dyDescent="0.15">
      <c r="C64113" s="101"/>
    </row>
    <row r="64114" spans="3:3" s="8" customFormat="1" ht="21.95" customHeight="1" x14ac:dyDescent="0.15"/>
    <row r="64115" spans="3:3" s="8" customFormat="1" ht="21.95" customHeight="1" x14ac:dyDescent="0.15"/>
    <row r="64116" spans="3:3" s="8" customFormat="1" ht="21.95" customHeight="1" x14ac:dyDescent="0.15"/>
    <row r="64117" spans="3:3" s="8" customFormat="1" ht="21.95" customHeight="1" x14ac:dyDescent="0.15"/>
    <row r="64118" spans="3:3" s="8" customFormat="1" ht="21.95" customHeight="1" x14ac:dyDescent="0.15"/>
    <row r="64119" spans="3:3" s="8" customFormat="1" ht="21.95" customHeight="1" x14ac:dyDescent="0.15"/>
    <row r="64120" spans="3:3" s="8" customFormat="1" ht="21.95" customHeight="1" x14ac:dyDescent="0.15"/>
    <row r="64121" spans="3:3" s="9" customFormat="1" ht="21.95" customHeight="1" x14ac:dyDescent="0.15"/>
    <row r="64122" spans="3:3" s="9" customFormat="1" ht="21.95" customHeight="1" x14ac:dyDescent="0.15"/>
    <row r="64123" spans="3:3" s="9" customFormat="1" ht="21.95" customHeight="1" x14ac:dyDescent="0.15"/>
    <row r="64124" spans="3:3" s="9" customFormat="1" ht="21.95" customHeight="1" x14ac:dyDescent="0.15"/>
    <row r="64125" spans="3:3" s="8" customFormat="1" ht="21.95" customHeight="1" x14ac:dyDescent="0.15"/>
    <row r="64126" spans="3:3" s="8" customFormat="1" ht="21.95" customHeight="1" x14ac:dyDescent="0.15"/>
    <row r="64127" spans="3:3" s="8" customFormat="1" ht="21.95" customHeight="1" x14ac:dyDescent="0.15"/>
    <row r="64128" spans="3:3" s="8" customFormat="1" ht="21.95" customHeight="1" x14ac:dyDescent="0.15"/>
    <row r="64129" s="8" customFormat="1" ht="21.95" customHeight="1" x14ac:dyDescent="0.15"/>
    <row r="64130" s="8" customFormat="1" ht="21.95" customHeight="1" x14ac:dyDescent="0.15"/>
    <row r="64131" s="8" customFormat="1" ht="21.95" customHeight="1" x14ac:dyDescent="0.15"/>
    <row r="64132" s="8" customFormat="1" ht="21.95" customHeight="1" x14ac:dyDescent="0.15"/>
    <row r="64133" s="8" customFormat="1" ht="21.95" customHeight="1" x14ac:dyDescent="0.15"/>
    <row r="64134" s="8" customFormat="1" ht="21.95" customHeight="1" x14ac:dyDescent="0.15"/>
    <row r="64135" s="8" customFormat="1" ht="21.95" customHeight="1" x14ac:dyDescent="0.15"/>
    <row r="64136" s="8" customFormat="1" ht="32.1" customHeight="1" x14ac:dyDescent="0.15"/>
    <row r="64137" s="8" customFormat="1" ht="32.1" customHeight="1" x14ac:dyDescent="0.15"/>
    <row r="64138" s="8" customFormat="1" ht="32.1" customHeight="1" x14ac:dyDescent="0.15"/>
    <row r="64139" s="8" customFormat="1" ht="32.1" customHeight="1" x14ac:dyDescent="0.15"/>
    <row r="64140" s="8" customFormat="1" ht="32.1" customHeight="1" x14ac:dyDescent="0.15"/>
    <row r="64141" s="8" customFormat="1" ht="32.1" customHeight="1" x14ac:dyDescent="0.15"/>
    <row r="64142" s="9" customFormat="1" ht="32.1" customHeight="1" x14ac:dyDescent="0.15"/>
    <row r="64143" s="9" customFormat="1" ht="32.1" customHeight="1" x14ac:dyDescent="0.15"/>
    <row r="64144" s="9" customFormat="1" ht="32.1" customHeight="1" x14ac:dyDescent="0.15"/>
    <row r="64145" s="9" customFormat="1" ht="32.1" customHeight="1" x14ac:dyDescent="0.15"/>
    <row r="64146" s="9" customFormat="1" ht="21.95" customHeight="1" x14ac:dyDescent="0.15"/>
    <row r="64147" s="9" customFormat="1" ht="54" customHeight="1" x14ac:dyDescent="0.15"/>
    <row r="64148" s="9" customFormat="1" ht="21.95" customHeight="1" x14ac:dyDescent="0.15"/>
    <row r="64149" s="9" customFormat="1" ht="21.95" customHeight="1" x14ac:dyDescent="0.15"/>
    <row r="64150" s="9" customFormat="1" ht="21.95" customHeight="1" x14ac:dyDescent="0.15"/>
    <row r="64151" s="9" customFormat="1" ht="21.95" customHeight="1" x14ac:dyDescent="0.15"/>
    <row r="64152" s="9" customFormat="1" ht="21.95" customHeight="1" x14ac:dyDescent="0.15"/>
    <row r="64153" s="9" customFormat="1" ht="21.95" customHeight="1" x14ac:dyDescent="0.15"/>
    <row r="64154" s="9" customFormat="1" ht="21.95" customHeight="1" x14ac:dyDescent="0.15"/>
    <row r="64155" s="9" customFormat="1" ht="21.95" customHeight="1" x14ac:dyDescent="0.15"/>
    <row r="64156" s="9" customFormat="1" ht="21.95" customHeight="1" x14ac:dyDescent="0.15"/>
    <row r="64157" s="9" customFormat="1" ht="21.95" customHeight="1" x14ac:dyDescent="0.15"/>
    <row r="64158" s="9" customFormat="1" ht="21.95" customHeight="1" x14ac:dyDescent="0.15"/>
    <row r="64159" s="9" customFormat="1" ht="21.95" customHeight="1" x14ac:dyDescent="0.15"/>
    <row r="64160" s="9" customFormat="1" ht="21.95" customHeight="1" x14ac:dyDescent="0.15"/>
    <row r="64161" s="9" customFormat="1" ht="21.95" customHeight="1" x14ac:dyDescent="0.15"/>
    <row r="64162" s="9" customFormat="1" ht="21.95" customHeight="1" x14ac:dyDescent="0.15"/>
    <row r="64163" s="9" customFormat="1" ht="21.95" customHeight="1" x14ac:dyDescent="0.15"/>
    <row r="64164" s="9" customFormat="1" ht="21.95" customHeight="1" x14ac:dyDescent="0.15"/>
    <row r="64165" s="9" customFormat="1" ht="21.95" customHeight="1" x14ac:dyDescent="0.15"/>
    <row r="64166" s="9" customFormat="1" ht="21.95" customHeight="1" x14ac:dyDescent="0.15"/>
    <row r="64167" s="9" customFormat="1" ht="21.95" customHeight="1" x14ac:dyDescent="0.15"/>
    <row r="64168" s="9" customFormat="1" ht="21.95" customHeight="1" x14ac:dyDescent="0.15"/>
    <row r="64169" s="9" customFormat="1" ht="21.95" customHeight="1" x14ac:dyDescent="0.15"/>
    <row r="64170" s="9" customFormat="1" ht="21.95" customHeight="1" x14ac:dyDescent="0.15"/>
    <row r="64171" s="9" customFormat="1" ht="21.95" customHeight="1" x14ac:dyDescent="0.15"/>
    <row r="64172" s="9" customFormat="1" ht="21.95" customHeight="1" x14ac:dyDescent="0.15"/>
    <row r="64173" s="9" customFormat="1" ht="21.95" customHeight="1" x14ac:dyDescent="0.15"/>
    <row r="64174" s="9" customFormat="1" ht="21.95" customHeight="1" x14ac:dyDescent="0.15"/>
    <row r="64175" s="9" customFormat="1" ht="21.95" customHeight="1" x14ac:dyDescent="0.15"/>
    <row r="64176" s="9" customFormat="1" ht="21.95" customHeight="1" x14ac:dyDescent="0.15"/>
    <row r="64177" s="9" customFormat="1" ht="21.95" customHeight="1" x14ac:dyDescent="0.15"/>
    <row r="64178" s="9" customFormat="1" ht="21.95" customHeight="1" x14ac:dyDescent="0.15"/>
    <row r="64179" s="9" customFormat="1" ht="21.95" customHeight="1" x14ac:dyDescent="0.15"/>
    <row r="64180" s="9" customFormat="1" ht="21.95" customHeight="1" x14ac:dyDescent="0.15"/>
    <row r="64181" s="9" customFormat="1" ht="21.95" customHeight="1" x14ac:dyDescent="0.15"/>
    <row r="64182" s="9" customFormat="1" ht="21.95" customHeight="1" x14ac:dyDescent="0.15"/>
    <row r="64183" s="9" customFormat="1" ht="21.95" customHeight="1" x14ac:dyDescent="0.15"/>
    <row r="64184" s="9" customFormat="1" ht="21.95" customHeight="1" x14ac:dyDescent="0.15"/>
    <row r="64185" s="9" customFormat="1" ht="21.95" customHeight="1" x14ac:dyDescent="0.15"/>
    <row r="64186" s="9" customFormat="1" ht="21.95" customHeight="1" x14ac:dyDescent="0.15"/>
    <row r="64187" s="9" customFormat="1" ht="21.95" customHeight="1" x14ac:dyDescent="0.15"/>
    <row r="64188" s="9" customFormat="1" ht="21.95" customHeight="1" x14ac:dyDescent="0.15"/>
    <row r="64189" s="9" customFormat="1" ht="21.95" customHeight="1" x14ac:dyDescent="0.15"/>
    <row r="64190" s="9" customFormat="1" ht="21.95" customHeight="1" x14ac:dyDescent="0.15"/>
    <row r="64191" s="9" customFormat="1" ht="21.95" customHeight="1" x14ac:dyDescent="0.15"/>
    <row r="64192" s="9" customFormat="1" ht="21.95" customHeight="1" x14ac:dyDescent="0.15"/>
    <row r="64193" s="9" customFormat="1" ht="21.95" customHeight="1" x14ac:dyDescent="0.15"/>
    <row r="64194" s="9" customFormat="1" ht="21.95" customHeight="1" x14ac:dyDescent="0.15"/>
    <row r="64195" s="9" customFormat="1" ht="21.95" customHeight="1" x14ac:dyDescent="0.15"/>
    <row r="64196" s="9" customFormat="1" ht="21.95" customHeight="1" x14ac:dyDescent="0.15"/>
    <row r="64197" s="9" customFormat="1" ht="21.95" customHeight="1" x14ac:dyDescent="0.15"/>
    <row r="64198" s="9" customFormat="1" ht="35.1" customHeight="1" x14ac:dyDescent="0.15"/>
    <row r="64199" s="9" customFormat="1" ht="21.95" customHeight="1" x14ac:dyDescent="0.15"/>
    <row r="64200" s="9" customFormat="1" ht="21.95" customHeight="1" x14ac:dyDescent="0.15"/>
    <row r="64201" s="9" customFormat="1" ht="21.95" customHeight="1" x14ac:dyDescent="0.15"/>
    <row r="64202" s="9" customFormat="1" ht="21.95" customHeight="1" x14ac:dyDescent="0.15"/>
    <row r="64203" s="9" customFormat="1" ht="21.95" customHeight="1" x14ac:dyDescent="0.15"/>
    <row r="64204" s="9" customFormat="1" ht="21.95" customHeight="1" x14ac:dyDescent="0.15"/>
    <row r="64205" s="9" customFormat="1" ht="21.95" customHeight="1" x14ac:dyDescent="0.15"/>
    <row r="64206" s="9" customFormat="1" ht="21.95" customHeight="1" x14ac:dyDescent="0.15"/>
    <row r="64207" s="9" customFormat="1" ht="21.95" customHeight="1" x14ac:dyDescent="0.15"/>
    <row r="64208" s="9" customFormat="1" ht="21.95" customHeight="1" x14ac:dyDescent="0.15"/>
    <row r="64209" spans="3:3" s="9" customFormat="1" ht="21.95" customHeight="1" x14ac:dyDescent="0.15"/>
    <row r="64210" spans="3:3" s="9" customFormat="1" ht="21.95" customHeight="1" x14ac:dyDescent="0.15"/>
    <row r="64211" spans="3:3" s="9" customFormat="1" ht="21.95" customHeight="1" x14ac:dyDescent="0.15"/>
    <row r="64212" spans="3:3" s="9" customFormat="1" ht="21.95" customHeight="1" x14ac:dyDescent="0.15"/>
    <row r="64213" spans="3:3" s="9" customFormat="1" ht="21.95" customHeight="1" x14ac:dyDescent="0.15"/>
    <row r="64214" spans="3:3" s="9" customFormat="1" ht="21.95" customHeight="1" x14ac:dyDescent="0.15"/>
    <row r="64215" spans="3:3" s="9" customFormat="1" ht="21.95" customHeight="1" x14ac:dyDescent="0.15"/>
    <row r="64216" spans="3:3" s="9" customFormat="1" ht="21.95" customHeight="1" x14ac:dyDescent="0.15"/>
    <row r="64217" spans="3:3" s="9" customFormat="1" ht="21.95" customHeight="1" x14ac:dyDescent="0.15"/>
    <row r="64218" spans="3:3" s="9" customFormat="1" ht="21.95" customHeight="1" x14ac:dyDescent="0.15"/>
    <row r="64219" spans="3:3" s="9" customFormat="1" ht="21.95" customHeight="1" x14ac:dyDescent="0.15"/>
    <row r="64220" spans="3:3" s="9" customFormat="1" ht="21.95" customHeight="1" x14ac:dyDescent="0.15"/>
    <row r="64221" spans="3:3" s="9" customFormat="1" ht="21.95" customHeight="1" x14ac:dyDescent="0.15"/>
    <row r="64222" spans="3:3" s="8" customFormat="1" ht="21.95" customHeight="1" x14ac:dyDescent="0.15"/>
    <row r="64223" spans="3:3" s="8" customFormat="1" ht="21.95" customHeight="1" x14ac:dyDescent="0.15"/>
    <row r="64224" spans="3:3" s="8" customFormat="1" ht="21.95" customHeight="1" x14ac:dyDescent="0.15">
      <c r="C64224" s="101"/>
    </row>
    <row r="64225" spans="3:3" s="8" customFormat="1" ht="21.95" customHeight="1" x14ac:dyDescent="0.15">
      <c r="C64225" s="101"/>
    </row>
    <row r="64226" spans="3:3" s="8" customFormat="1" ht="21.95" customHeight="1" x14ac:dyDescent="0.15"/>
    <row r="64227" spans="3:3" s="8" customFormat="1" ht="21.95" customHeight="1" x14ac:dyDescent="0.15"/>
    <row r="64228" spans="3:3" s="8" customFormat="1" ht="21.95" customHeight="1" x14ac:dyDescent="0.15"/>
    <row r="64229" spans="3:3" s="8" customFormat="1" ht="21.95" customHeight="1" x14ac:dyDescent="0.15"/>
    <row r="64230" spans="3:3" s="8" customFormat="1" ht="21.95" customHeight="1" x14ac:dyDescent="0.15"/>
    <row r="64231" spans="3:3" s="8" customFormat="1" ht="21.95" customHeight="1" x14ac:dyDescent="0.15"/>
    <row r="64232" spans="3:3" s="8" customFormat="1" ht="21.95" customHeight="1" x14ac:dyDescent="0.15"/>
    <row r="64233" spans="3:3" s="9" customFormat="1" ht="21.95" customHeight="1" x14ac:dyDescent="0.15"/>
    <row r="64234" spans="3:3" s="9" customFormat="1" ht="21.95" customHeight="1" x14ac:dyDescent="0.15"/>
    <row r="64235" spans="3:3" s="9" customFormat="1" ht="21.95" customHeight="1" x14ac:dyDescent="0.15"/>
    <row r="64236" spans="3:3" s="9" customFormat="1" ht="21.95" customHeight="1" x14ac:dyDescent="0.15"/>
    <row r="64237" spans="3:3" s="8" customFormat="1" ht="21.95" customHeight="1" x14ac:dyDescent="0.15"/>
    <row r="64238" spans="3:3" s="8" customFormat="1" ht="21.95" customHeight="1" x14ac:dyDescent="0.15"/>
    <row r="64239" spans="3:3" s="8" customFormat="1" ht="21.95" customHeight="1" x14ac:dyDescent="0.15"/>
    <row r="64240" spans="3:3" s="8" customFormat="1" ht="21.95" customHeight="1" x14ac:dyDescent="0.15"/>
    <row r="64241" s="8" customFormat="1" ht="21.95" customHeight="1" x14ac:dyDescent="0.15"/>
    <row r="64242" s="8" customFormat="1" ht="21.95" customHeight="1" x14ac:dyDescent="0.15"/>
    <row r="64243" s="8" customFormat="1" ht="21.95" customHeight="1" x14ac:dyDescent="0.15"/>
    <row r="64244" s="8" customFormat="1" ht="21.95" customHeight="1" x14ac:dyDescent="0.15"/>
    <row r="64245" s="8" customFormat="1" ht="21.95" customHeight="1" x14ac:dyDescent="0.15"/>
    <row r="64246" s="8" customFormat="1" ht="21.95" customHeight="1" x14ac:dyDescent="0.15"/>
    <row r="64247" s="8" customFormat="1" ht="21.95" customHeight="1" x14ac:dyDescent="0.15"/>
    <row r="64248" s="8" customFormat="1" ht="32.1" customHeight="1" x14ac:dyDescent="0.15"/>
    <row r="64249" s="8" customFormat="1" ht="32.1" customHeight="1" x14ac:dyDescent="0.15"/>
    <row r="64250" s="8" customFormat="1" ht="32.1" customHeight="1" x14ac:dyDescent="0.15"/>
    <row r="64251" s="8" customFormat="1" ht="32.1" customHeight="1" x14ac:dyDescent="0.15"/>
    <row r="64252" s="8" customFormat="1" ht="32.1" customHeight="1" x14ac:dyDescent="0.15"/>
    <row r="64253" s="8" customFormat="1" ht="32.1" customHeight="1" x14ac:dyDescent="0.15"/>
    <row r="64254" s="9" customFormat="1" ht="32.1" customHeight="1" x14ac:dyDescent="0.15"/>
    <row r="64255" s="9" customFormat="1" ht="32.1" customHeight="1" x14ac:dyDescent="0.15"/>
    <row r="64256" s="9" customFormat="1" ht="32.1" customHeight="1" x14ac:dyDescent="0.15"/>
    <row r="64257" s="9" customFormat="1" ht="32.1" customHeight="1" x14ac:dyDescent="0.15"/>
    <row r="64258" s="9" customFormat="1" ht="21.95" customHeight="1" x14ac:dyDescent="0.15"/>
    <row r="64259" s="9" customFormat="1" ht="54" customHeight="1" x14ac:dyDescent="0.15"/>
    <row r="64260" s="9" customFormat="1" ht="21.95" customHeight="1" x14ac:dyDescent="0.15"/>
    <row r="64261" s="9" customFormat="1" ht="21.95" customHeight="1" x14ac:dyDescent="0.15"/>
    <row r="64262" s="9" customFormat="1" ht="21.95" customHeight="1" x14ac:dyDescent="0.15"/>
    <row r="64263" s="9" customFormat="1" ht="21.95" customHeight="1" x14ac:dyDescent="0.15"/>
    <row r="64264" s="9" customFormat="1" ht="21.95" customHeight="1" x14ac:dyDescent="0.15"/>
    <row r="64265" s="9" customFormat="1" ht="21.95" customHeight="1" x14ac:dyDescent="0.15"/>
    <row r="64266" s="9" customFormat="1" ht="21.95" customHeight="1" x14ac:dyDescent="0.15"/>
    <row r="64267" s="9" customFormat="1" ht="21.95" customHeight="1" x14ac:dyDescent="0.15"/>
    <row r="64268" s="9" customFormat="1" ht="21.95" customHeight="1" x14ac:dyDescent="0.15"/>
    <row r="64269" s="9" customFormat="1" ht="21.95" customHeight="1" x14ac:dyDescent="0.15"/>
    <row r="64270" s="9" customFormat="1" ht="21.95" customHeight="1" x14ac:dyDescent="0.15"/>
    <row r="64271" s="9" customFormat="1" ht="21.95" customHeight="1" x14ac:dyDescent="0.15"/>
    <row r="64272" s="9" customFormat="1" ht="21.95" customHeight="1" x14ac:dyDescent="0.15"/>
    <row r="64273" s="9" customFormat="1" ht="21.95" customHeight="1" x14ac:dyDescent="0.15"/>
    <row r="64274" s="9" customFormat="1" ht="21.95" customHeight="1" x14ac:dyDescent="0.15"/>
    <row r="64275" s="9" customFormat="1" ht="21.95" customHeight="1" x14ac:dyDescent="0.15"/>
    <row r="64276" s="9" customFormat="1" ht="21.95" customHeight="1" x14ac:dyDescent="0.15"/>
    <row r="64277" s="9" customFormat="1" ht="21.95" customHeight="1" x14ac:dyDescent="0.15"/>
    <row r="64278" s="9" customFormat="1" ht="21.95" customHeight="1" x14ac:dyDescent="0.15"/>
    <row r="64279" s="9" customFormat="1" ht="21.95" customHeight="1" x14ac:dyDescent="0.15"/>
    <row r="64280" s="9" customFormat="1" ht="21.95" customHeight="1" x14ac:dyDescent="0.15"/>
    <row r="64281" s="9" customFormat="1" ht="21.95" customHeight="1" x14ac:dyDescent="0.15"/>
    <row r="64282" s="9" customFormat="1" ht="21.95" customHeight="1" x14ac:dyDescent="0.15"/>
    <row r="64283" s="9" customFormat="1" ht="21.95" customHeight="1" x14ac:dyDescent="0.15"/>
    <row r="64284" s="9" customFormat="1" ht="21.95" customHeight="1" x14ac:dyDescent="0.15"/>
    <row r="64285" s="9" customFormat="1" ht="21.95" customHeight="1" x14ac:dyDescent="0.15"/>
    <row r="64286" s="9" customFormat="1" ht="21.95" customHeight="1" x14ac:dyDescent="0.15"/>
    <row r="64287" s="9" customFormat="1" ht="21.95" customHeight="1" x14ac:dyDescent="0.15"/>
    <row r="64288" s="9" customFormat="1" ht="21.95" customHeight="1" x14ac:dyDescent="0.15"/>
    <row r="64289" s="9" customFormat="1" ht="21.95" customHeight="1" x14ac:dyDescent="0.15"/>
    <row r="64290" s="9" customFormat="1" ht="21.95" customHeight="1" x14ac:dyDescent="0.15"/>
    <row r="64291" s="9" customFormat="1" ht="21.95" customHeight="1" x14ac:dyDescent="0.15"/>
    <row r="64292" s="9" customFormat="1" ht="21.95" customHeight="1" x14ac:dyDescent="0.15"/>
    <row r="64293" s="9" customFormat="1" ht="21.95" customHeight="1" x14ac:dyDescent="0.15"/>
    <row r="64294" s="9" customFormat="1" ht="21.95" customHeight="1" x14ac:dyDescent="0.15"/>
    <row r="64295" s="9" customFormat="1" ht="21.95" customHeight="1" x14ac:dyDescent="0.15"/>
    <row r="64296" s="9" customFormat="1" ht="21.95" customHeight="1" x14ac:dyDescent="0.15"/>
    <row r="64297" s="9" customFormat="1" ht="21.95" customHeight="1" x14ac:dyDescent="0.15"/>
    <row r="64298" s="9" customFormat="1" ht="21.95" customHeight="1" x14ac:dyDescent="0.15"/>
    <row r="64299" s="9" customFormat="1" ht="21.95" customHeight="1" x14ac:dyDescent="0.15"/>
    <row r="64300" s="9" customFormat="1" ht="21.95" customHeight="1" x14ac:dyDescent="0.15"/>
    <row r="64301" s="9" customFormat="1" ht="21.95" customHeight="1" x14ac:dyDescent="0.15"/>
    <row r="64302" s="9" customFormat="1" ht="21.95" customHeight="1" x14ac:dyDescent="0.15"/>
    <row r="64303" s="9" customFormat="1" ht="21.95" customHeight="1" x14ac:dyDescent="0.15"/>
    <row r="64304" s="9" customFormat="1" ht="21.95" customHeight="1" x14ac:dyDescent="0.15"/>
    <row r="64305" s="9" customFormat="1" ht="21.95" customHeight="1" x14ac:dyDescent="0.15"/>
    <row r="64306" s="9" customFormat="1" ht="21.95" customHeight="1" x14ac:dyDescent="0.15"/>
    <row r="64307" s="9" customFormat="1" ht="21.95" customHeight="1" x14ac:dyDescent="0.15"/>
    <row r="64308" s="9" customFormat="1" ht="21.95" customHeight="1" x14ac:dyDescent="0.15"/>
    <row r="64309" s="9" customFormat="1" ht="21.95" customHeight="1" x14ac:dyDescent="0.15"/>
    <row r="64310" s="9" customFormat="1" ht="35.1" customHeight="1" x14ac:dyDescent="0.15"/>
    <row r="64311" s="9" customFormat="1" ht="21.95" customHeight="1" x14ac:dyDescent="0.15"/>
    <row r="64312" s="9" customFormat="1" ht="21.95" customHeight="1" x14ac:dyDescent="0.15"/>
    <row r="64313" s="9" customFormat="1" ht="21.95" customHeight="1" x14ac:dyDescent="0.15"/>
    <row r="64314" s="9" customFormat="1" ht="21.95" customHeight="1" x14ac:dyDescent="0.15"/>
    <row r="64315" s="9" customFormat="1" ht="21.95" customHeight="1" x14ac:dyDescent="0.15"/>
    <row r="64316" s="9" customFormat="1" ht="21.95" customHeight="1" x14ac:dyDescent="0.15"/>
    <row r="64317" s="9" customFormat="1" ht="21.95" customHeight="1" x14ac:dyDescent="0.15"/>
    <row r="64318" s="9" customFormat="1" ht="21.95" customHeight="1" x14ac:dyDescent="0.15"/>
    <row r="64319" s="9" customFormat="1" ht="21.95" customHeight="1" x14ac:dyDescent="0.15"/>
    <row r="64320" s="9" customFormat="1" ht="21.95" customHeight="1" x14ac:dyDescent="0.15"/>
    <row r="64321" spans="3:3" s="9" customFormat="1" ht="21.95" customHeight="1" x14ac:dyDescent="0.15"/>
    <row r="64322" spans="3:3" s="9" customFormat="1" ht="21.95" customHeight="1" x14ac:dyDescent="0.15"/>
    <row r="64323" spans="3:3" s="9" customFormat="1" ht="21.95" customHeight="1" x14ac:dyDescent="0.15"/>
    <row r="64324" spans="3:3" s="9" customFormat="1" ht="21.95" customHeight="1" x14ac:dyDescent="0.15"/>
    <row r="64325" spans="3:3" s="9" customFormat="1" ht="21.95" customHeight="1" x14ac:dyDescent="0.15"/>
    <row r="64326" spans="3:3" s="9" customFormat="1" ht="21.95" customHeight="1" x14ac:dyDescent="0.15"/>
    <row r="64327" spans="3:3" s="9" customFormat="1" ht="21.95" customHeight="1" x14ac:dyDescent="0.15"/>
    <row r="64328" spans="3:3" s="9" customFormat="1" ht="21.95" customHeight="1" x14ac:dyDescent="0.15"/>
    <row r="64329" spans="3:3" s="9" customFormat="1" ht="21.95" customHeight="1" x14ac:dyDescent="0.15"/>
    <row r="64330" spans="3:3" s="9" customFormat="1" ht="21.95" customHeight="1" x14ac:dyDescent="0.15"/>
    <row r="64331" spans="3:3" s="9" customFormat="1" ht="21.95" customHeight="1" x14ac:dyDescent="0.15"/>
    <row r="64332" spans="3:3" s="9" customFormat="1" ht="21.95" customHeight="1" x14ac:dyDescent="0.15"/>
    <row r="64333" spans="3:3" s="9" customFormat="1" ht="21.95" customHeight="1" x14ac:dyDescent="0.15"/>
    <row r="64334" spans="3:3" s="8" customFormat="1" ht="21.95" customHeight="1" x14ac:dyDescent="0.15"/>
    <row r="64335" spans="3:3" s="8" customFormat="1" ht="21.95" customHeight="1" x14ac:dyDescent="0.15"/>
    <row r="64336" spans="3:3" s="8" customFormat="1" ht="21.95" customHeight="1" x14ac:dyDescent="0.15">
      <c r="C64336" s="101"/>
    </row>
    <row r="64337" spans="3:3" s="8" customFormat="1" ht="21.95" customHeight="1" x14ac:dyDescent="0.15">
      <c r="C64337" s="101"/>
    </row>
    <row r="64338" spans="3:3" s="8" customFormat="1" ht="21.95" customHeight="1" x14ac:dyDescent="0.15"/>
    <row r="64339" spans="3:3" s="8" customFormat="1" ht="21.95" customHeight="1" x14ac:dyDescent="0.15"/>
    <row r="64340" spans="3:3" s="8" customFormat="1" ht="21.95" customHeight="1" x14ac:dyDescent="0.15"/>
    <row r="64341" spans="3:3" s="8" customFormat="1" ht="21.95" customHeight="1" x14ac:dyDescent="0.15"/>
    <row r="64342" spans="3:3" s="8" customFormat="1" ht="21.95" customHeight="1" x14ac:dyDescent="0.15"/>
    <row r="64343" spans="3:3" s="8" customFormat="1" ht="21.95" customHeight="1" x14ac:dyDescent="0.15"/>
    <row r="64344" spans="3:3" s="8" customFormat="1" ht="21.95" customHeight="1" x14ac:dyDescent="0.15"/>
    <row r="64345" spans="3:3" s="9" customFormat="1" ht="21.95" customHeight="1" x14ac:dyDescent="0.15"/>
    <row r="64346" spans="3:3" s="9" customFormat="1" ht="21.95" customHeight="1" x14ac:dyDescent="0.15"/>
    <row r="64347" spans="3:3" s="9" customFormat="1" ht="21.95" customHeight="1" x14ac:dyDescent="0.15"/>
    <row r="64348" spans="3:3" s="9" customFormat="1" ht="21.95" customHeight="1" x14ac:dyDescent="0.15"/>
    <row r="64349" spans="3:3" s="8" customFormat="1" ht="21.95" customHeight="1" x14ac:dyDescent="0.15"/>
    <row r="64350" spans="3:3" s="8" customFormat="1" ht="21.95" customHeight="1" x14ac:dyDescent="0.15"/>
    <row r="64351" spans="3:3" s="8" customFormat="1" ht="21.95" customHeight="1" x14ac:dyDescent="0.15"/>
    <row r="64352" spans="3:3" s="8" customFormat="1" ht="21.95" customHeight="1" x14ac:dyDescent="0.15"/>
    <row r="64353" s="8" customFormat="1" ht="21.95" customHeight="1" x14ac:dyDescent="0.15"/>
    <row r="64354" s="8" customFormat="1" ht="21.95" customHeight="1" x14ac:dyDescent="0.15"/>
    <row r="64355" s="8" customFormat="1" ht="21.95" customHeight="1" x14ac:dyDescent="0.15"/>
    <row r="64356" s="8" customFormat="1" ht="21.95" customHeight="1" x14ac:dyDescent="0.15"/>
    <row r="64357" s="8" customFormat="1" ht="21.95" customHeight="1" x14ac:dyDescent="0.15"/>
    <row r="64358" s="8" customFormat="1" ht="21.95" customHeight="1" x14ac:dyDescent="0.15"/>
    <row r="64359" s="8" customFormat="1" ht="21.95" customHeight="1" x14ac:dyDescent="0.15"/>
    <row r="64360" s="8" customFormat="1" ht="32.1" customHeight="1" x14ac:dyDescent="0.15"/>
    <row r="64361" s="8" customFormat="1" ht="32.1" customHeight="1" x14ac:dyDescent="0.15"/>
    <row r="64362" s="8" customFormat="1" ht="32.1" customHeight="1" x14ac:dyDescent="0.15"/>
    <row r="64363" s="8" customFormat="1" ht="32.1" customHeight="1" x14ac:dyDescent="0.15"/>
    <row r="64364" s="8" customFormat="1" ht="32.1" customHeight="1" x14ac:dyDescent="0.15"/>
    <row r="64365" s="8" customFormat="1" ht="32.1" customHeight="1" x14ac:dyDescent="0.15"/>
    <row r="64366" s="9" customFormat="1" ht="32.1" customHeight="1" x14ac:dyDescent="0.15"/>
    <row r="64367" s="9" customFormat="1" ht="32.1" customHeight="1" x14ac:dyDescent="0.15"/>
    <row r="64368" s="9" customFormat="1" ht="32.1" customHeight="1" x14ac:dyDescent="0.15"/>
    <row r="64369" s="9" customFormat="1" ht="32.1" customHeight="1" x14ac:dyDescent="0.15"/>
    <row r="64370" s="9" customFormat="1" ht="21.95" customHeight="1" x14ac:dyDescent="0.15"/>
    <row r="64371" s="9" customFormat="1" ht="54" customHeight="1" x14ac:dyDescent="0.15"/>
    <row r="64372" s="9" customFormat="1" ht="21.95" customHeight="1" x14ac:dyDescent="0.15"/>
    <row r="64373" s="9" customFormat="1" ht="21.95" customHeight="1" x14ac:dyDescent="0.15"/>
    <row r="64374" s="9" customFormat="1" ht="21.95" customHeight="1" x14ac:dyDescent="0.15"/>
    <row r="64375" s="9" customFormat="1" ht="21.95" customHeight="1" x14ac:dyDescent="0.15"/>
    <row r="64376" s="9" customFormat="1" ht="21.95" customHeight="1" x14ac:dyDescent="0.15"/>
    <row r="64377" s="9" customFormat="1" ht="21.95" customHeight="1" x14ac:dyDescent="0.15"/>
    <row r="64378" s="9" customFormat="1" ht="21.95" customHeight="1" x14ac:dyDescent="0.15"/>
    <row r="64379" s="9" customFormat="1" ht="21.95" customHeight="1" x14ac:dyDescent="0.15"/>
    <row r="64380" s="9" customFormat="1" ht="21.95" customHeight="1" x14ac:dyDescent="0.15"/>
    <row r="64381" s="9" customFormat="1" ht="21.95" customHeight="1" x14ac:dyDescent="0.15"/>
    <row r="64382" s="9" customFormat="1" ht="21.95" customHeight="1" x14ac:dyDescent="0.15"/>
    <row r="64383" s="9" customFormat="1" ht="21.95" customHeight="1" x14ac:dyDescent="0.15"/>
    <row r="64384" s="9" customFormat="1" ht="21.95" customHeight="1" x14ac:dyDescent="0.15"/>
    <row r="64385" s="9" customFormat="1" ht="21.95" customHeight="1" x14ac:dyDescent="0.15"/>
    <row r="64386" s="9" customFormat="1" ht="21.95" customHeight="1" x14ac:dyDescent="0.15"/>
    <row r="64387" s="9" customFormat="1" ht="21.95" customHeight="1" x14ac:dyDescent="0.15"/>
    <row r="64388" s="9" customFormat="1" ht="21.95" customHeight="1" x14ac:dyDescent="0.15"/>
    <row r="64389" s="9" customFormat="1" ht="21.95" customHeight="1" x14ac:dyDescent="0.15"/>
    <row r="64390" s="9" customFormat="1" ht="21.95" customHeight="1" x14ac:dyDescent="0.15"/>
    <row r="64391" s="9" customFormat="1" ht="21.95" customHeight="1" x14ac:dyDescent="0.15"/>
    <row r="64392" s="9" customFormat="1" ht="21.95" customHeight="1" x14ac:dyDescent="0.15"/>
    <row r="64393" s="9" customFormat="1" ht="21.95" customHeight="1" x14ac:dyDescent="0.15"/>
    <row r="64394" s="9" customFormat="1" ht="21.95" customHeight="1" x14ac:dyDescent="0.15"/>
    <row r="64395" s="9" customFormat="1" ht="21.95" customHeight="1" x14ac:dyDescent="0.15"/>
    <row r="64396" s="9" customFormat="1" ht="21.95" customHeight="1" x14ac:dyDescent="0.15"/>
    <row r="64397" s="9" customFormat="1" ht="21.95" customHeight="1" x14ac:dyDescent="0.15"/>
    <row r="64398" s="9" customFormat="1" ht="21.95" customHeight="1" x14ac:dyDescent="0.15"/>
    <row r="64399" s="9" customFormat="1" ht="21.95" customHeight="1" x14ac:dyDescent="0.15"/>
    <row r="64400" s="9" customFormat="1" ht="21.95" customHeight="1" x14ac:dyDescent="0.15"/>
    <row r="64401" s="9" customFormat="1" ht="21.95" customHeight="1" x14ac:dyDescent="0.15"/>
    <row r="64402" s="9" customFormat="1" ht="21.95" customHeight="1" x14ac:dyDescent="0.15"/>
    <row r="64403" s="9" customFormat="1" ht="21.95" customHeight="1" x14ac:dyDescent="0.15"/>
    <row r="64404" s="9" customFormat="1" ht="21.95" customHeight="1" x14ac:dyDescent="0.15"/>
    <row r="64405" s="9" customFormat="1" ht="21.95" customHeight="1" x14ac:dyDescent="0.15"/>
    <row r="64406" s="9" customFormat="1" ht="21.95" customHeight="1" x14ac:dyDescent="0.15"/>
    <row r="64407" s="9" customFormat="1" ht="21.95" customHeight="1" x14ac:dyDescent="0.15"/>
    <row r="64408" s="9" customFormat="1" ht="21.95" customHeight="1" x14ac:dyDescent="0.15"/>
    <row r="64409" s="9" customFormat="1" ht="21.95" customHeight="1" x14ac:dyDescent="0.15"/>
    <row r="64410" s="9" customFormat="1" ht="21.95" customHeight="1" x14ac:dyDescent="0.15"/>
    <row r="64411" s="9" customFormat="1" ht="21.95" customHeight="1" x14ac:dyDescent="0.15"/>
    <row r="64412" s="9" customFormat="1" ht="21.95" customHeight="1" x14ac:dyDescent="0.15"/>
    <row r="64413" s="9" customFormat="1" ht="21.95" customHeight="1" x14ac:dyDescent="0.15"/>
    <row r="64414" s="9" customFormat="1" ht="21.95" customHeight="1" x14ac:dyDescent="0.15"/>
    <row r="64415" s="9" customFormat="1" ht="21.95" customHeight="1" x14ac:dyDescent="0.15"/>
    <row r="64416" s="9" customFormat="1" ht="21.95" customHeight="1" x14ac:dyDescent="0.15"/>
    <row r="64417" s="9" customFormat="1" ht="21.95" customHeight="1" x14ac:dyDescent="0.15"/>
    <row r="64418" s="9" customFormat="1" ht="21.95" customHeight="1" x14ac:dyDescent="0.15"/>
    <row r="64419" s="9" customFormat="1" ht="21.95" customHeight="1" x14ac:dyDescent="0.15"/>
    <row r="64420" s="9" customFormat="1" ht="21.95" customHeight="1" x14ac:dyDescent="0.15"/>
    <row r="64421" s="9" customFormat="1" ht="21.95" customHeight="1" x14ac:dyDescent="0.15"/>
    <row r="64422" s="9" customFormat="1" ht="35.1" customHeight="1" x14ac:dyDescent="0.15"/>
    <row r="64423" s="9" customFormat="1" ht="21.95" customHeight="1" x14ac:dyDescent="0.15"/>
    <row r="64424" s="9" customFormat="1" ht="21.95" customHeight="1" x14ac:dyDescent="0.15"/>
    <row r="64425" s="9" customFormat="1" ht="21.95" customHeight="1" x14ac:dyDescent="0.15"/>
    <row r="64426" s="9" customFormat="1" ht="21.95" customHeight="1" x14ac:dyDescent="0.15"/>
    <row r="64427" s="9" customFormat="1" ht="21.95" customHeight="1" x14ac:dyDescent="0.15"/>
    <row r="64428" s="9" customFormat="1" ht="21.95" customHeight="1" x14ac:dyDescent="0.15"/>
    <row r="64429" s="9" customFormat="1" ht="21.95" customHeight="1" x14ac:dyDescent="0.15"/>
    <row r="64430" s="9" customFormat="1" ht="21.95" customHeight="1" x14ac:dyDescent="0.15"/>
    <row r="64431" s="9" customFormat="1" ht="21.95" customHeight="1" x14ac:dyDescent="0.15"/>
    <row r="64432" s="9" customFormat="1" ht="21.95" customHeight="1" x14ac:dyDescent="0.15"/>
    <row r="64433" spans="3:3" s="9" customFormat="1" ht="21.95" customHeight="1" x14ac:dyDescent="0.15"/>
    <row r="64434" spans="3:3" s="9" customFormat="1" ht="21.95" customHeight="1" x14ac:dyDescent="0.15"/>
    <row r="64435" spans="3:3" s="9" customFormat="1" ht="21.95" customHeight="1" x14ac:dyDescent="0.15"/>
    <row r="64436" spans="3:3" s="9" customFormat="1" ht="21.95" customHeight="1" x14ac:dyDescent="0.15"/>
    <row r="64437" spans="3:3" s="9" customFormat="1" ht="21.95" customHeight="1" x14ac:dyDescent="0.15"/>
    <row r="64438" spans="3:3" s="9" customFormat="1" ht="21.95" customHeight="1" x14ac:dyDescent="0.15"/>
    <row r="64439" spans="3:3" s="9" customFormat="1" ht="21.95" customHeight="1" x14ac:dyDescent="0.15"/>
    <row r="64440" spans="3:3" s="9" customFormat="1" ht="21.95" customHeight="1" x14ac:dyDescent="0.15"/>
    <row r="64441" spans="3:3" s="9" customFormat="1" ht="21.95" customHeight="1" x14ac:dyDescent="0.15"/>
    <row r="64442" spans="3:3" s="9" customFormat="1" ht="21.95" customHeight="1" x14ac:dyDescent="0.15"/>
    <row r="64443" spans="3:3" s="9" customFormat="1" ht="21.95" customHeight="1" x14ac:dyDescent="0.15"/>
    <row r="64444" spans="3:3" s="9" customFormat="1" ht="21.95" customHeight="1" x14ac:dyDescent="0.15"/>
    <row r="64445" spans="3:3" s="9" customFormat="1" ht="21.95" customHeight="1" x14ac:dyDescent="0.15"/>
    <row r="64446" spans="3:3" s="8" customFormat="1" ht="21.95" customHeight="1" x14ac:dyDescent="0.15"/>
    <row r="64447" spans="3:3" s="8" customFormat="1" ht="21.95" customHeight="1" x14ac:dyDescent="0.15"/>
    <row r="64448" spans="3:3" s="8" customFormat="1" ht="21.95" customHeight="1" x14ac:dyDescent="0.15">
      <c r="C64448" s="101"/>
    </row>
    <row r="64449" spans="3:3" s="8" customFormat="1" ht="21.95" customHeight="1" x14ac:dyDescent="0.15">
      <c r="C64449" s="101"/>
    </row>
    <row r="64450" spans="3:3" s="8" customFormat="1" ht="21.95" customHeight="1" x14ac:dyDescent="0.15"/>
    <row r="64451" spans="3:3" s="8" customFormat="1" ht="21.95" customHeight="1" x14ac:dyDescent="0.15"/>
    <row r="64452" spans="3:3" s="8" customFormat="1" ht="21.95" customHeight="1" x14ac:dyDescent="0.15"/>
    <row r="64453" spans="3:3" s="8" customFormat="1" ht="21.95" customHeight="1" x14ac:dyDescent="0.15"/>
    <row r="64454" spans="3:3" s="8" customFormat="1" ht="21.95" customHeight="1" x14ac:dyDescent="0.15"/>
    <row r="64455" spans="3:3" s="8" customFormat="1" ht="21.95" customHeight="1" x14ac:dyDescent="0.15"/>
    <row r="64456" spans="3:3" s="8" customFormat="1" ht="21.95" customHeight="1" x14ac:dyDescent="0.15"/>
    <row r="64457" spans="3:3" s="9" customFormat="1" ht="21.95" customHeight="1" x14ac:dyDescent="0.15"/>
    <row r="64458" spans="3:3" s="9" customFormat="1" ht="21.95" customHeight="1" x14ac:dyDescent="0.15"/>
    <row r="64459" spans="3:3" s="9" customFormat="1" ht="21.95" customHeight="1" x14ac:dyDescent="0.15"/>
    <row r="64460" spans="3:3" s="9" customFormat="1" ht="21.95" customHeight="1" x14ac:dyDescent="0.15"/>
    <row r="64461" spans="3:3" s="8" customFormat="1" ht="21.95" customHeight="1" x14ac:dyDescent="0.15"/>
    <row r="64462" spans="3:3" s="8" customFormat="1" ht="21.95" customHeight="1" x14ac:dyDescent="0.15"/>
    <row r="64463" spans="3:3" s="8" customFormat="1" ht="21.95" customHeight="1" x14ac:dyDescent="0.15"/>
    <row r="64464" spans="3:3" s="8" customFormat="1" ht="21.95" customHeight="1" x14ac:dyDescent="0.15"/>
    <row r="64465" s="8" customFormat="1" ht="21.95" customHeight="1" x14ac:dyDescent="0.15"/>
    <row r="64466" s="8" customFormat="1" ht="21.95" customHeight="1" x14ac:dyDescent="0.15"/>
    <row r="64467" s="8" customFormat="1" ht="21.95" customHeight="1" x14ac:dyDescent="0.15"/>
    <row r="64468" s="8" customFormat="1" ht="21.95" customHeight="1" x14ac:dyDescent="0.15"/>
    <row r="64469" s="8" customFormat="1" ht="21.95" customHeight="1" x14ac:dyDescent="0.15"/>
    <row r="64470" s="8" customFormat="1" ht="21.95" customHeight="1" x14ac:dyDescent="0.15"/>
    <row r="64471" s="8" customFormat="1" ht="21.95" customHeight="1" x14ac:dyDescent="0.15"/>
    <row r="64472" s="8" customFormat="1" ht="32.1" customHeight="1" x14ac:dyDescent="0.15"/>
    <row r="64473" s="8" customFormat="1" ht="32.1" customHeight="1" x14ac:dyDescent="0.15"/>
    <row r="64474" s="8" customFormat="1" ht="32.1" customHeight="1" x14ac:dyDescent="0.15"/>
    <row r="64475" s="8" customFormat="1" ht="32.1" customHeight="1" x14ac:dyDescent="0.15"/>
    <row r="64476" s="8" customFormat="1" ht="32.1" customHeight="1" x14ac:dyDescent="0.15"/>
    <row r="64477" s="8" customFormat="1" ht="32.1" customHeight="1" x14ac:dyDescent="0.15"/>
    <row r="64478" s="9" customFormat="1" ht="32.1" customHeight="1" x14ac:dyDescent="0.15"/>
    <row r="64479" s="9" customFormat="1" ht="32.1" customHeight="1" x14ac:dyDescent="0.15"/>
    <row r="64480" s="9" customFormat="1" ht="32.1" customHeight="1" x14ac:dyDescent="0.15"/>
    <row r="64481" s="9" customFormat="1" ht="32.1" customHeight="1" x14ac:dyDescent="0.15"/>
    <row r="64482" s="9" customFormat="1" ht="21.95" customHeight="1" x14ac:dyDescent="0.15"/>
    <row r="64483" s="9" customFormat="1" ht="54" customHeight="1" x14ac:dyDescent="0.15"/>
    <row r="64484" s="9" customFormat="1" ht="21.95" customHeight="1" x14ac:dyDescent="0.15"/>
    <row r="64485" s="9" customFormat="1" ht="21.95" customHeight="1" x14ac:dyDescent="0.15"/>
    <row r="64486" s="9" customFormat="1" ht="21.95" customHeight="1" x14ac:dyDescent="0.15"/>
    <row r="64487" s="9" customFormat="1" ht="21.95" customHeight="1" x14ac:dyDescent="0.15"/>
    <row r="64488" s="9" customFormat="1" ht="21.95" customHeight="1" x14ac:dyDescent="0.15"/>
    <row r="64489" s="9" customFormat="1" ht="21.95" customHeight="1" x14ac:dyDescent="0.15"/>
    <row r="64490" s="9" customFormat="1" ht="21.95" customHeight="1" x14ac:dyDescent="0.15"/>
    <row r="64491" s="9" customFormat="1" ht="21.95" customHeight="1" x14ac:dyDescent="0.15"/>
    <row r="64492" s="9" customFormat="1" ht="21.95" customHeight="1" x14ac:dyDescent="0.15"/>
    <row r="64493" s="9" customFormat="1" ht="21.95" customHeight="1" x14ac:dyDescent="0.15"/>
    <row r="64494" s="9" customFormat="1" ht="21.95" customHeight="1" x14ac:dyDescent="0.15"/>
    <row r="64495" s="9" customFormat="1" ht="21.95" customHeight="1" x14ac:dyDescent="0.15"/>
    <row r="64496" s="9" customFormat="1" ht="21.95" customHeight="1" x14ac:dyDescent="0.15"/>
    <row r="64497" s="9" customFormat="1" ht="21.95" customHeight="1" x14ac:dyDescent="0.15"/>
    <row r="64498" s="9" customFormat="1" ht="21.95" customHeight="1" x14ac:dyDescent="0.15"/>
    <row r="64499" s="9" customFormat="1" ht="21.95" customHeight="1" x14ac:dyDescent="0.15"/>
    <row r="64500" s="9" customFormat="1" ht="21.95" customHeight="1" x14ac:dyDescent="0.15"/>
    <row r="64501" s="9" customFormat="1" ht="21.95" customHeight="1" x14ac:dyDescent="0.15"/>
    <row r="64502" s="9" customFormat="1" ht="21.95" customHeight="1" x14ac:dyDescent="0.15"/>
    <row r="64503" s="9" customFormat="1" ht="21.95" customHeight="1" x14ac:dyDescent="0.15"/>
    <row r="64504" s="9" customFormat="1" ht="21.95" customHeight="1" x14ac:dyDescent="0.15"/>
    <row r="64505" s="9" customFormat="1" ht="21.95" customHeight="1" x14ac:dyDescent="0.15"/>
    <row r="64506" s="9" customFormat="1" ht="21.95" customHeight="1" x14ac:dyDescent="0.15"/>
    <row r="64507" s="9" customFormat="1" ht="21.95" customHeight="1" x14ac:dyDescent="0.15"/>
    <row r="64508" s="9" customFormat="1" ht="21.95" customHeight="1" x14ac:dyDescent="0.15"/>
    <row r="64509" s="9" customFormat="1" ht="21.95" customHeight="1" x14ac:dyDescent="0.15"/>
    <row r="64510" s="9" customFormat="1" ht="21.95" customHeight="1" x14ac:dyDescent="0.15"/>
    <row r="64511" s="9" customFormat="1" ht="21.95" customHeight="1" x14ac:dyDescent="0.15"/>
    <row r="64512" s="9" customFormat="1" ht="21.95" customHeight="1" x14ac:dyDescent="0.15"/>
    <row r="64513" s="9" customFormat="1" ht="21.95" customHeight="1" x14ac:dyDescent="0.15"/>
    <row r="64514" s="9" customFormat="1" ht="21.95" customHeight="1" x14ac:dyDescent="0.15"/>
    <row r="64515" s="9" customFormat="1" ht="21.95" customHeight="1" x14ac:dyDescent="0.15"/>
    <row r="64516" s="9" customFormat="1" ht="21.95" customHeight="1" x14ac:dyDescent="0.15"/>
    <row r="64517" s="9" customFormat="1" ht="21.95" customHeight="1" x14ac:dyDescent="0.15"/>
    <row r="64518" s="9" customFormat="1" ht="21.95" customHeight="1" x14ac:dyDescent="0.15"/>
    <row r="64519" s="9" customFormat="1" ht="21.95" customHeight="1" x14ac:dyDescent="0.15"/>
    <row r="64520" s="9" customFormat="1" ht="21.95" customHeight="1" x14ac:dyDescent="0.15"/>
    <row r="64521" s="9" customFormat="1" ht="21.95" customHeight="1" x14ac:dyDescent="0.15"/>
    <row r="64522" s="9" customFormat="1" ht="21.95" customHeight="1" x14ac:dyDescent="0.15"/>
    <row r="64523" s="9" customFormat="1" ht="21.95" customHeight="1" x14ac:dyDescent="0.15"/>
    <row r="64524" s="9" customFormat="1" ht="21.95" customHeight="1" x14ac:dyDescent="0.15"/>
    <row r="64525" s="9" customFormat="1" ht="21.95" customHeight="1" x14ac:dyDescent="0.15"/>
    <row r="64526" s="9" customFormat="1" ht="21.95" customHeight="1" x14ac:dyDescent="0.15"/>
    <row r="64527" s="9" customFormat="1" ht="21.95" customHeight="1" x14ac:dyDescent="0.15"/>
    <row r="64528" s="9" customFormat="1" ht="21.95" customHeight="1" x14ac:dyDescent="0.15"/>
    <row r="64529" s="9" customFormat="1" ht="21.95" customHeight="1" x14ac:dyDescent="0.15"/>
    <row r="64530" s="9" customFormat="1" ht="21.95" customHeight="1" x14ac:dyDescent="0.15"/>
    <row r="64531" s="9" customFormat="1" ht="21.95" customHeight="1" x14ac:dyDescent="0.15"/>
    <row r="64532" s="9" customFormat="1" ht="21.95" customHeight="1" x14ac:dyDescent="0.15"/>
    <row r="64533" s="9" customFormat="1" ht="21.95" customHeight="1" x14ac:dyDescent="0.15"/>
    <row r="64534" s="9" customFormat="1" ht="35.1" customHeight="1" x14ac:dyDescent="0.15"/>
    <row r="64535" s="9" customFormat="1" ht="21.95" customHeight="1" x14ac:dyDescent="0.15"/>
    <row r="64536" s="9" customFormat="1" ht="21.95" customHeight="1" x14ac:dyDescent="0.15"/>
    <row r="64537" s="9" customFormat="1" ht="21.95" customHeight="1" x14ac:dyDescent="0.15"/>
    <row r="64538" s="9" customFormat="1" ht="21.95" customHeight="1" x14ac:dyDescent="0.15"/>
    <row r="64539" s="9" customFormat="1" ht="21.95" customHeight="1" x14ac:dyDescent="0.15"/>
    <row r="64540" s="9" customFormat="1" ht="21.95" customHeight="1" x14ac:dyDescent="0.15"/>
    <row r="64541" s="9" customFormat="1" ht="21.95" customHeight="1" x14ac:dyDescent="0.15"/>
    <row r="64542" s="9" customFormat="1" ht="21.95" customHeight="1" x14ac:dyDescent="0.15"/>
    <row r="64543" s="9" customFormat="1" ht="21.95" customHeight="1" x14ac:dyDescent="0.15"/>
    <row r="64544" s="9" customFormat="1" ht="21.95" customHeight="1" x14ac:dyDescent="0.15"/>
    <row r="64545" spans="3:3" s="9" customFormat="1" ht="21.95" customHeight="1" x14ac:dyDescent="0.15"/>
    <row r="64546" spans="3:3" s="9" customFormat="1" ht="21.95" customHeight="1" x14ac:dyDescent="0.15"/>
    <row r="64547" spans="3:3" s="9" customFormat="1" ht="21.95" customHeight="1" x14ac:dyDescent="0.15"/>
    <row r="64548" spans="3:3" s="9" customFormat="1" ht="21.95" customHeight="1" x14ac:dyDescent="0.15"/>
    <row r="64549" spans="3:3" s="9" customFormat="1" ht="21.95" customHeight="1" x14ac:dyDescent="0.15"/>
    <row r="64550" spans="3:3" s="9" customFormat="1" ht="21.95" customHeight="1" x14ac:dyDescent="0.15"/>
    <row r="64551" spans="3:3" s="9" customFormat="1" ht="21.95" customHeight="1" x14ac:dyDescent="0.15"/>
    <row r="64552" spans="3:3" s="9" customFormat="1" ht="21.95" customHeight="1" x14ac:dyDescent="0.15"/>
    <row r="64553" spans="3:3" s="9" customFormat="1" ht="21.95" customHeight="1" x14ac:dyDescent="0.15"/>
    <row r="64554" spans="3:3" s="9" customFormat="1" ht="21.95" customHeight="1" x14ac:dyDescent="0.15"/>
    <row r="64555" spans="3:3" s="9" customFormat="1" ht="21.95" customHeight="1" x14ac:dyDescent="0.15"/>
    <row r="64556" spans="3:3" s="9" customFormat="1" ht="21.95" customHeight="1" x14ac:dyDescent="0.15"/>
    <row r="64557" spans="3:3" s="9" customFormat="1" ht="21.95" customHeight="1" x14ac:dyDescent="0.15"/>
    <row r="64558" spans="3:3" s="8" customFormat="1" ht="21.95" customHeight="1" x14ac:dyDescent="0.15"/>
    <row r="64559" spans="3:3" s="8" customFormat="1" ht="21.95" customHeight="1" x14ac:dyDescent="0.15"/>
    <row r="64560" spans="3:3" s="8" customFormat="1" ht="21.95" customHeight="1" x14ac:dyDescent="0.15">
      <c r="C64560" s="101"/>
    </row>
    <row r="64561" spans="3:3" s="8" customFormat="1" ht="21.95" customHeight="1" x14ac:dyDescent="0.15">
      <c r="C64561" s="101"/>
    </row>
    <row r="64562" spans="3:3" s="8" customFormat="1" ht="21.95" customHeight="1" x14ac:dyDescent="0.15"/>
    <row r="64563" spans="3:3" s="8" customFormat="1" ht="21.95" customHeight="1" x14ac:dyDescent="0.15"/>
    <row r="64564" spans="3:3" s="8" customFormat="1" ht="21.95" customHeight="1" x14ac:dyDescent="0.15"/>
    <row r="64565" spans="3:3" s="8" customFormat="1" ht="21.95" customHeight="1" x14ac:dyDescent="0.15"/>
    <row r="64566" spans="3:3" s="8" customFormat="1" ht="21.95" customHeight="1" x14ac:dyDescent="0.15"/>
    <row r="64567" spans="3:3" s="8" customFormat="1" ht="21.95" customHeight="1" x14ac:dyDescent="0.15"/>
    <row r="64568" spans="3:3" s="8" customFormat="1" ht="21.95" customHeight="1" x14ac:dyDescent="0.15"/>
    <row r="64569" spans="3:3" s="9" customFormat="1" ht="21.95" customHeight="1" x14ac:dyDescent="0.15"/>
    <row r="64570" spans="3:3" s="9" customFormat="1" ht="21.95" customHeight="1" x14ac:dyDescent="0.15"/>
    <row r="64571" spans="3:3" s="9" customFormat="1" ht="21.95" customHeight="1" x14ac:dyDescent="0.15"/>
    <row r="64572" spans="3:3" s="9" customFormat="1" ht="21.95" customHeight="1" x14ac:dyDescent="0.15"/>
    <row r="64573" spans="3:3" s="8" customFormat="1" ht="21.95" customHeight="1" x14ac:dyDescent="0.15"/>
    <row r="64574" spans="3:3" s="8" customFormat="1" ht="21.95" customHeight="1" x14ac:dyDescent="0.15"/>
    <row r="64575" spans="3:3" s="8" customFormat="1" ht="21.95" customHeight="1" x14ac:dyDescent="0.15"/>
    <row r="64576" spans="3:3" s="8" customFormat="1" ht="21.95" customHeight="1" x14ac:dyDescent="0.15"/>
    <row r="64577" s="8" customFormat="1" ht="21.95" customHeight="1" x14ac:dyDescent="0.15"/>
    <row r="64578" s="8" customFormat="1" ht="21.95" customHeight="1" x14ac:dyDescent="0.15"/>
    <row r="64579" s="8" customFormat="1" ht="21.95" customHeight="1" x14ac:dyDescent="0.15"/>
    <row r="64580" s="8" customFormat="1" ht="21.95" customHeight="1" x14ac:dyDescent="0.15"/>
    <row r="64581" s="8" customFormat="1" ht="21.95" customHeight="1" x14ac:dyDescent="0.15"/>
    <row r="64582" s="8" customFormat="1" ht="21.95" customHeight="1" x14ac:dyDescent="0.15"/>
    <row r="64583" s="8" customFormat="1" ht="21.95" customHeight="1" x14ac:dyDescent="0.15"/>
    <row r="64584" s="8" customFormat="1" ht="32.1" customHeight="1" x14ac:dyDescent="0.15"/>
    <row r="64585" s="8" customFormat="1" ht="32.1" customHeight="1" x14ac:dyDescent="0.15"/>
    <row r="64586" s="8" customFormat="1" ht="32.1" customHeight="1" x14ac:dyDescent="0.15"/>
    <row r="64587" s="8" customFormat="1" ht="32.1" customHeight="1" x14ac:dyDescent="0.15"/>
    <row r="64588" s="8" customFormat="1" ht="32.1" customHeight="1" x14ac:dyDescent="0.15"/>
    <row r="64589" s="8" customFormat="1" ht="32.1" customHeight="1" x14ac:dyDescent="0.15"/>
    <row r="64590" s="9" customFormat="1" ht="32.1" customHeight="1" x14ac:dyDescent="0.15"/>
    <row r="64591" s="9" customFormat="1" ht="32.1" customHeight="1" x14ac:dyDescent="0.15"/>
    <row r="64592" s="9" customFormat="1" ht="32.1" customHeight="1" x14ac:dyDescent="0.15"/>
    <row r="64593" s="9" customFormat="1" ht="32.1" customHeight="1" x14ac:dyDescent="0.15"/>
    <row r="64594" s="9" customFormat="1" ht="21.95" customHeight="1" x14ac:dyDescent="0.15"/>
    <row r="64595" s="9" customFormat="1" ht="54" customHeight="1" x14ac:dyDescent="0.15"/>
    <row r="64596" s="9" customFormat="1" ht="21.95" customHeight="1" x14ac:dyDescent="0.15"/>
    <row r="64597" s="9" customFormat="1" ht="21.95" customHeight="1" x14ac:dyDescent="0.15"/>
    <row r="64598" s="9" customFormat="1" ht="21.95" customHeight="1" x14ac:dyDescent="0.15"/>
    <row r="64599" s="9" customFormat="1" ht="21.95" customHeight="1" x14ac:dyDescent="0.15"/>
    <row r="64600" s="9" customFormat="1" ht="21.95" customHeight="1" x14ac:dyDescent="0.15"/>
    <row r="64601" s="9" customFormat="1" ht="21.95" customHeight="1" x14ac:dyDescent="0.15"/>
    <row r="64602" s="9" customFormat="1" ht="21.95" customHeight="1" x14ac:dyDescent="0.15"/>
    <row r="64603" s="9" customFormat="1" ht="21.95" customHeight="1" x14ac:dyDescent="0.15"/>
    <row r="64604" s="9" customFormat="1" ht="21.95" customHeight="1" x14ac:dyDescent="0.15"/>
    <row r="64605" s="9" customFormat="1" ht="21.95" customHeight="1" x14ac:dyDescent="0.15"/>
    <row r="64606" s="9" customFormat="1" ht="21.95" customHeight="1" x14ac:dyDescent="0.15"/>
    <row r="64607" s="9" customFormat="1" ht="21.95" customHeight="1" x14ac:dyDescent="0.15"/>
    <row r="64608" s="9" customFormat="1" ht="21.95" customHeight="1" x14ac:dyDescent="0.15"/>
    <row r="64609" s="9" customFormat="1" ht="21.95" customHeight="1" x14ac:dyDescent="0.15"/>
    <row r="64610" s="9" customFormat="1" ht="21.95" customHeight="1" x14ac:dyDescent="0.15"/>
    <row r="64611" s="9" customFormat="1" ht="21.95" customHeight="1" x14ac:dyDescent="0.15"/>
    <row r="64612" s="9" customFormat="1" ht="21.95" customHeight="1" x14ac:dyDescent="0.15"/>
    <row r="64613" s="9" customFormat="1" ht="21.95" customHeight="1" x14ac:dyDescent="0.15"/>
    <row r="64614" s="9" customFormat="1" ht="21.95" customHeight="1" x14ac:dyDescent="0.15"/>
    <row r="64615" s="9" customFormat="1" ht="21.95" customHeight="1" x14ac:dyDescent="0.15"/>
    <row r="64616" s="9" customFormat="1" ht="21.95" customHeight="1" x14ac:dyDescent="0.15"/>
    <row r="64617" s="9" customFormat="1" ht="21.95" customHeight="1" x14ac:dyDescent="0.15"/>
    <row r="64618" s="9" customFormat="1" ht="21.95" customHeight="1" x14ac:dyDescent="0.15"/>
    <row r="64619" s="9" customFormat="1" ht="21.95" customHeight="1" x14ac:dyDescent="0.15"/>
    <row r="64620" s="9" customFormat="1" ht="21.95" customHeight="1" x14ac:dyDescent="0.15"/>
    <row r="64621" s="9" customFormat="1" ht="21.95" customHeight="1" x14ac:dyDescent="0.15"/>
    <row r="64622" s="9" customFormat="1" ht="21.95" customHeight="1" x14ac:dyDescent="0.15"/>
    <row r="64623" s="9" customFormat="1" ht="21.95" customHeight="1" x14ac:dyDescent="0.15"/>
    <row r="64624" s="9" customFormat="1" ht="21.95" customHeight="1" x14ac:dyDescent="0.15"/>
    <row r="64625" s="9" customFormat="1" ht="21.95" customHeight="1" x14ac:dyDescent="0.15"/>
    <row r="64626" s="9" customFormat="1" ht="21.95" customHeight="1" x14ac:dyDescent="0.15"/>
    <row r="64627" s="9" customFormat="1" ht="21.95" customHeight="1" x14ac:dyDescent="0.15"/>
    <row r="64628" s="9" customFormat="1" ht="21.95" customHeight="1" x14ac:dyDescent="0.15"/>
    <row r="64629" s="9" customFormat="1" ht="21.95" customHeight="1" x14ac:dyDescent="0.15"/>
    <row r="64630" s="9" customFormat="1" ht="21.95" customHeight="1" x14ac:dyDescent="0.15"/>
    <row r="64631" s="9" customFormat="1" ht="21.95" customHeight="1" x14ac:dyDescent="0.15"/>
    <row r="64632" s="9" customFormat="1" ht="21.95" customHeight="1" x14ac:dyDescent="0.15"/>
    <row r="64633" s="9" customFormat="1" ht="21.95" customHeight="1" x14ac:dyDescent="0.15"/>
    <row r="64634" s="9" customFormat="1" ht="21.95" customHeight="1" x14ac:dyDescent="0.15"/>
    <row r="64635" s="9" customFormat="1" ht="21.95" customHeight="1" x14ac:dyDescent="0.15"/>
    <row r="64636" s="9" customFormat="1" ht="21.95" customHeight="1" x14ac:dyDescent="0.15"/>
    <row r="64637" s="9" customFormat="1" ht="21.95" customHeight="1" x14ac:dyDescent="0.15"/>
    <row r="64638" s="9" customFormat="1" ht="21.95" customHeight="1" x14ac:dyDescent="0.15"/>
    <row r="64639" s="9" customFormat="1" ht="21.95" customHeight="1" x14ac:dyDescent="0.15"/>
    <row r="64640" s="9" customFormat="1" ht="21.95" customHeight="1" x14ac:dyDescent="0.15"/>
    <row r="64641" s="9" customFormat="1" ht="21.95" customHeight="1" x14ac:dyDescent="0.15"/>
    <row r="64642" s="9" customFormat="1" ht="21.95" customHeight="1" x14ac:dyDescent="0.15"/>
    <row r="64643" s="9" customFormat="1" ht="21.95" customHeight="1" x14ac:dyDescent="0.15"/>
    <row r="64644" s="9" customFormat="1" ht="21.95" customHeight="1" x14ac:dyDescent="0.15"/>
    <row r="64645" s="9" customFormat="1" ht="21.95" customHeight="1" x14ac:dyDescent="0.15"/>
    <row r="64646" s="9" customFormat="1" ht="35.1" customHeight="1" x14ac:dyDescent="0.15"/>
    <row r="64647" s="9" customFormat="1" ht="21.95" customHeight="1" x14ac:dyDescent="0.15"/>
    <row r="64648" s="9" customFormat="1" ht="21.95" customHeight="1" x14ac:dyDescent="0.15"/>
    <row r="64649" s="9" customFormat="1" ht="21.95" customHeight="1" x14ac:dyDescent="0.15"/>
    <row r="64650" s="9" customFormat="1" ht="21.95" customHeight="1" x14ac:dyDescent="0.15"/>
    <row r="64651" s="9" customFormat="1" ht="21.95" customHeight="1" x14ac:dyDescent="0.15"/>
    <row r="64652" s="9" customFormat="1" ht="21.95" customHeight="1" x14ac:dyDescent="0.15"/>
    <row r="64653" s="9" customFormat="1" ht="21.95" customHeight="1" x14ac:dyDescent="0.15"/>
    <row r="64654" s="9" customFormat="1" ht="21.95" customHeight="1" x14ac:dyDescent="0.15"/>
    <row r="64655" s="9" customFormat="1" ht="21.95" customHeight="1" x14ac:dyDescent="0.15"/>
    <row r="64656" s="9" customFormat="1" ht="21.95" customHeight="1" x14ac:dyDescent="0.15"/>
    <row r="64657" spans="3:3" s="9" customFormat="1" ht="21.95" customHeight="1" x14ac:dyDescent="0.15"/>
    <row r="64658" spans="3:3" s="9" customFormat="1" ht="21.95" customHeight="1" x14ac:dyDescent="0.15"/>
    <row r="64659" spans="3:3" s="9" customFormat="1" ht="21.95" customHeight="1" x14ac:dyDescent="0.15"/>
    <row r="64660" spans="3:3" s="9" customFormat="1" ht="21.95" customHeight="1" x14ac:dyDescent="0.15"/>
    <row r="64661" spans="3:3" s="9" customFormat="1" ht="21.95" customHeight="1" x14ac:dyDescent="0.15"/>
    <row r="64662" spans="3:3" s="9" customFormat="1" ht="21.95" customHeight="1" x14ac:dyDescent="0.15"/>
    <row r="64663" spans="3:3" s="9" customFormat="1" ht="21.95" customHeight="1" x14ac:dyDescent="0.15"/>
    <row r="64664" spans="3:3" s="9" customFormat="1" ht="21.95" customHeight="1" x14ac:dyDescent="0.15"/>
    <row r="64665" spans="3:3" s="9" customFormat="1" ht="21.95" customHeight="1" x14ac:dyDescent="0.15"/>
    <row r="64666" spans="3:3" s="9" customFormat="1" ht="21.95" customHeight="1" x14ac:dyDescent="0.15"/>
    <row r="64667" spans="3:3" s="9" customFormat="1" ht="21.95" customHeight="1" x14ac:dyDescent="0.15"/>
    <row r="64668" spans="3:3" s="9" customFormat="1" ht="21.95" customHeight="1" x14ac:dyDescent="0.15"/>
    <row r="64669" spans="3:3" s="9" customFormat="1" ht="21.95" customHeight="1" x14ac:dyDescent="0.15"/>
    <row r="64670" spans="3:3" s="8" customFormat="1" ht="21.95" customHeight="1" x14ac:dyDescent="0.15"/>
    <row r="64671" spans="3:3" s="8" customFormat="1" ht="21.95" customHeight="1" x14ac:dyDescent="0.15"/>
    <row r="64672" spans="3:3" s="8" customFormat="1" ht="21.95" customHeight="1" x14ac:dyDescent="0.15">
      <c r="C64672" s="101"/>
    </row>
    <row r="64673" spans="3:3" s="8" customFormat="1" ht="21.95" customHeight="1" x14ac:dyDescent="0.15">
      <c r="C64673" s="101"/>
    </row>
    <row r="64674" spans="3:3" s="8" customFormat="1" ht="21.95" customHeight="1" x14ac:dyDescent="0.15"/>
    <row r="64675" spans="3:3" s="8" customFormat="1" ht="21.95" customHeight="1" x14ac:dyDescent="0.15"/>
    <row r="64676" spans="3:3" s="8" customFormat="1" ht="21.95" customHeight="1" x14ac:dyDescent="0.15"/>
    <row r="64677" spans="3:3" s="8" customFormat="1" ht="21.95" customHeight="1" x14ac:dyDescent="0.15"/>
    <row r="64678" spans="3:3" s="8" customFormat="1" ht="21.95" customHeight="1" x14ac:dyDescent="0.15"/>
    <row r="64679" spans="3:3" s="8" customFormat="1" ht="21.95" customHeight="1" x14ac:dyDescent="0.15"/>
    <row r="64680" spans="3:3" s="8" customFormat="1" ht="21.95" customHeight="1" x14ac:dyDescent="0.15"/>
    <row r="64681" spans="3:3" s="9" customFormat="1" ht="21.95" customHeight="1" x14ac:dyDescent="0.15"/>
    <row r="64682" spans="3:3" s="9" customFormat="1" ht="21.95" customHeight="1" x14ac:dyDescent="0.15"/>
    <row r="64683" spans="3:3" s="9" customFormat="1" ht="21.95" customHeight="1" x14ac:dyDescent="0.15"/>
    <row r="64684" spans="3:3" s="9" customFormat="1" ht="21.95" customHeight="1" x14ac:dyDescent="0.15"/>
    <row r="64685" spans="3:3" s="8" customFormat="1" ht="21.95" customHeight="1" x14ac:dyDescent="0.15"/>
    <row r="64686" spans="3:3" s="8" customFormat="1" ht="21.95" customHeight="1" x14ac:dyDescent="0.15"/>
    <row r="64687" spans="3:3" s="8" customFormat="1" ht="21.95" customHeight="1" x14ac:dyDescent="0.15"/>
    <row r="64688" spans="3:3" s="8" customFormat="1" ht="21.95" customHeight="1" x14ac:dyDescent="0.15"/>
    <row r="64689" s="8" customFormat="1" ht="21.95" customHeight="1" x14ac:dyDescent="0.15"/>
    <row r="64690" s="8" customFormat="1" ht="21.95" customHeight="1" x14ac:dyDescent="0.15"/>
    <row r="64691" s="8" customFormat="1" ht="21.95" customHeight="1" x14ac:dyDescent="0.15"/>
    <row r="64692" s="8" customFormat="1" ht="21.95" customHeight="1" x14ac:dyDescent="0.15"/>
    <row r="64693" s="8" customFormat="1" ht="21.95" customHeight="1" x14ac:dyDescent="0.15"/>
    <row r="64694" s="8" customFormat="1" ht="21.95" customHeight="1" x14ac:dyDescent="0.15"/>
    <row r="64695" s="8" customFormat="1" ht="21.95" customHeight="1" x14ac:dyDescent="0.15"/>
    <row r="64696" s="8" customFormat="1" ht="32.1" customHeight="1" x14ac:dyDescent="0.15"/>
    <row r="64697" s="8" customFormat="1" ht="32.1" customHeight="1" x14ac:dyDescent="0.15"/>
    <row r="64698" s="8" customFormat="1" ht="32.1" customHeight="1" x14ac:dyDescent="0.15"/>
    <row r="64699" s="8" customFormat="1" ht="32.1" customHeight="1" x14ac:dyDescent="0.15"/>
    <row r="64700" s="8" customFormat="1" ht="32.1" customHeight="1" x14ac:dyDescent="0.15"/>
    <row r="64701" s="8" customFormat="1" ht="32.1" customHeight="1" x14ac:dyDescent="0.15"/>
    <row r="64702" s="9" customFormat="1" ht="32.1" customHeight="1" x14ac:dyDescent="0.15"/>
    <row r="64703" s="9" customFormat="1" ht="32.1" customHeight="1" x14ac:dyDescent="0.15"/>
    <row r="64704" s="9" customFormat="1" ht="32.1" customHeight="1" x14ac:dyDescent="0.15"/>
    <row r="64705" s="9" customFormat="1" ht="32.1" customHeight="1" x14ac:dyDescent="0.15"/>
    <row r="64706" s="9" customFormat="1" ht="21.95" customHeight="1" x14ac:dyDescent="0.15"/>
    <row r="64707" s="9" customFormat="1" ht="54" customHeight="1" x14ac:dyDescent="0.15"/>
    <row r="64708" s="9" customFormat="1" ht="21.95" customHeight="1" x14ac:dyDescent="0.15"/>
    <row r="64709" s="9" customFormat="1" ht="21.95" customHeight="1" x14ac:dyDescent="0.15"/>
    <row r="64710" s="9" customFormat="1" ht="21.95" customHeight="1" x14ac:dyDescent="0.15"/>
    <row r="64711" s="9" customFormat="1" ht="21.95" customHeight="1" x14ac:dyDescent="0.15"/>
    <row r="64712" s="9" customFormat="1" ht="21.95" customHeight="1" x14ac:dyDescent="0.15"/>
    <row r="64713" s="9" customFormat="1" ht="21.95" customHeight="1" x14ac:dyDescent="0.15"/>
    <row r="64714" s="9" customFormat="1" ht="21.95" customHeight="1" x14ac:dyDescent="0.15"/>
    <row r="64715" s="9" customFormat="1" ht="21.95" customHeight="1" x14ac:dyDescent="0.15"/>
    <row r="64716" s="9" customFormat="1" ht="21.95" customHeight="1" x14ac:dyDescent="0.15"/>
    <row r="64717" s="9" customFormat="1" ht="21.95" customHeight="1" x14ac:dyDescent="0.15"/>
    <row r="64718" s="9" customFormat="1" ht="21.95" customHeight="1" x14ac:dyDescent="0.15"/>
    <row r="64719" s="9" customFormat="1" ht="21.95" customHeight="1" x14ac:dyDescent="0.15"/>
    <row r="64720" s="9" customFormat="1" ht="21.95" customHeight="1" x14ac:dyDescent="0.15"/>
    <row r="64721" s="9" customFormat="1" ht="21.95" customHeight="1" x14ac:dyDescent="0.15"/>
    <row r="64722" s="9" customFormat="1" ht="21.95" customHeight="1" x14ac:dyDescent="0.15"/>
    <row r="64723" s="9" customFormat="1" ht="21.95" customHeight="1" x14ac:dyDescent="0.15"/>
    <row r="64724" s="9" customFormat="1" ht="21.95" customHeight="1" x14ac:dyDescent="0.15"/>
    <row r="64725" s="9" customFormat="1" ht="21.95" customHeight="1" x14ac:dyDescent="0.15"/>
    <row r="64726" s="9" customFormat="1" ht="21.95" customHeight="1" x14ac:dyDescent="0.15"/>
    <row r="64727" s="9" customFormat="1" ht="21.95" customHeight="1" x14ac:dyDescent="0.15"/>
    <row r="64728" s="9" customFormat="1" ht="21.95" customHeight="1" x14ac:dyDescent="0.15"/>
    <row r="64729" s="9" customFormat="1" ht="21.95" customHeight="1" x14ac:dyDescent="0.15"/>
    <row r="64730" s="9" customFormat="1" ht="21.95" customHeight="1" x14ac:dyDescent="0.15"/>
    <row r="64731" s="9" customFormat="1" ht="21.95" customHeight="1" x14ac:dyDescent="0.15"/>
    <row r="64732" s="9" customFormat="1" ht="21.95" customHeight="1" x14ac:dyDescent="0.15"/>
    <row r="64733" s="9" customFormat="1" ht="21.95" customHeight="1" x14ac:dyDescent="0.15"/>
    <row r="64734" s="9" customFormat="1" ht="21.95" customHeight="1" x14ac:dyDescent="0.15"/>
    <row r="64735" s="9" customFormat="1" ht="21.95" customHeight="1" x14ac:dyDescent="0.15"/>
    <row r="64736" s="9" customFormat="1" ht="21.95" customHeight="1" x14ac:dyDescent="0.15"/>
    <row r="64737" s="9" customFormat="1" ht="21.95" customHeight="1" x14ac:dyDescent="0.15"/>
    <row r="64738" s="9" customFormat="1" ht="21.95" customHeight="1" x14ac:dyDescent="0.15"/>
    <row r="64739" s="9" customFormat="1" ht="21.95" customHeight="1" x14ac:dyDescent="0.15"/>
    <row r="64740" s="9" customFormat="1" ht="21.95" customHeight="1" x14ac:dyDescent="0.15"/>
    <row r="64741" s="9" customFormat="1" ht="21.95" customHeight="1" x14ac:dyDescent="0.15"/>
    <row r="64742" s="9" customFormat="1" ht="21.95" customHeight="1" x14ac:dyDescent="0.15"/>
    <row r="64743" s="9" customFormat="1" ht="21.95" customHeight="1" x14ac:dyDescent="0.15"/>
    <row r="64744" s="9" customFormat="1" ht="21.95" customHeight="1" x14ac:dyDescent="0.15"/>
    <row r="64745" s="9" customFormat="1" ht="21.95" customHeight="1" x14ac:dyDescent="0.15"/>
    <row r="64746" s="9" customFormat="1" ht="21.95" customHeight="1" x14ac:dyDescent="0.15"/>
    <row r="64747" s="9" customFormat="1" ht="21.95" customHeight="1" x14ac:dyDescent="0.15"/>
    <row r="64748" s="9" customFormat="1" ht="21.95" customHeight="1" x14ac:dyDescent="0.15"/>
    <row r="64749" s="9" customFormat="1" ht="21.95" customHeight="1" x14ac:dyDescent="0.15"/>
    <row r="64750" s="9" customFormat="1" ht="21.95" customHeight="1" x14ac:dyDescent="0.15"/>
    <row r="64751" s="9" customFormat="1" ht="21.95" customHeight="1" x14ac:dyDescent="0.15"/>
    <row r="64752" s="9" customFormat="1" ht="21.95" customHeight="1" x14ac:dyDescent="0.15"/>
    <row r="64753" s="9" customFormat="1" ht="21.95" customHeight="1" x14ac:dyDescent="0.15"/>
    <row r="64754" s="9" customFormat="1" ht="21.95" customHeight="1" x14ac:dyDescent="0.15"/>
    <row r="64755" s="9" customFormat="1" ht="21.95" customHeight="1" x14ac:dyDescent="0.15"/>
    <row r="64756" s="9" customFormat="1" ht="21.95" customHeight="1" x14ac:dyDescent="0.15"/>
    <row r="64757" s="9" customFormat="1" ht="21.95" customHeight="1" x14ac:dyDescent="0.15"/>
    <row r="64758" s="9" customFormat="1" ht="35.1" customHeight="1" x14ac:dyDescent="0.15"/>
    <row r="64759" s="9" customFormat="1" ht="21.95" customHeight="1" x14ac:dyDescent="0.15"/>
    <row r="64760" s="9" customFormat="1" ht="21.95" customHeight="1" x14ac:dyDescent="0.15"/>
    <row r="64761" s="9" customFormat="1" ht="21.95" customHeight="1" x14ac:dyDescent="0.15"/>
    <row r="64762" s="9" customFormat="1" ht="21.95" customHeight="1" x14ac:dyDescent="0.15"/>
    <row r="64763" s="9" customFormat="1" ht="21.95" customHeight="1" x14ac:dyDescent="0.15"/>
    <row r="64764" s="9" customFormat="1" ht="21.95" customHeight="1" x14ac:dyDescent="0.15"/>
    <row r="64765" s="9" customFormat="1" ht="21.95" customHeight="1" x14ac:dyDescent="0.15"/>
    <row r="64766" s="9" customFormat="1" ht="21.95" customHeight="1" x14ac:dyDescent="0.15"/>
    <row r="64767" s="9" customFormat="1" ht="21.95" customHeight="1" x14ac:dyDescent="0.15"/>
    <row r="64768" s="9" customFormat="1" ht="21.95" customHeight="1" x14ac:dyDescent="0.15"/>
    <row r="64769" spans="3:3" s="9" customFormat="1" ht="21.95" customHeight="1" x14ac:dyDescent="0.15"/>
    <row r="64770" spans="3:3" s="9" customFormat="1" ht="21.95" customHeight="1" x14ac:dyDescent="0.15"/>
    <row r="64771" spans="3:3" s="9" customFormat="1" ht="21.95" customHeight="1" x14ac:dyDescent="0.15"/>
    <row r="64772" spans="3:3" s="9" customFormat="1" ht="21.95" customHeight="1" x14ac:dyDescent="0.15"/>
    <row r="64773" spans="3:3" s="9" customFormat="1" ht="21.95" customHeight="1" x14ac:dyDescent="0.15"/>
    <row r="64774" spans="3:3" s="9" customFormat="1" ht="21.95" customHeight="1" x14ac:dyDescent="0.15"/>
    <row r="64775" spans="3:3" s="9" customFormat="1" ht="21.95" customHeight="1" x14ac:dyDescent="0.15"/>
    <row r="64776" spans="3:3" s="9" customFormat="1" ht="21.95" customHeight="1" x14ac:dyDescent="0.15"/>
    <row r="64777" spans="3:3" s="9" customFormat="1" ht="21.95" customHeight="1" x14ac:dyDescent="0.15"/>
    <row r="64778" spans="3:3" s="9" customFormat="1" ht="21.95" customHeight="1" x14ac:dyDescent="0.15"/>
    <row r="64779" spans="3:3" s="9" customFormat="1" ht="21.95" customHeight="1" x14ac:dyDescent="0.15"/>
    <row r="64780" spans="3:3" s="9" customFormat="1" ht="21.95" customHeight="1" x14ac:dyDescent="0.15"/>
    <row r="64781" spans="3:3" s="9" customFormat="1" ht="21.95" customHeight="1" x14ac:dyDescent="0.15"/>
    <row r="64782" spans="3:3" s="8" customFormat="1" ht="21.95" customHeight="1" x14ac:dyDescent="0.15"/>
    <row r="64783" spans="3:3" s="8" customFormat="1" ht="21.95" customHeight="1" x14ac:dyDescent="0.15"/>
    <row r="64784" spans="3:3" s="8" customFormat="1" ht="21.95" customHeight="1" x14ac:dyDescent="0.15">
      <c r="C64784" s="101"/>
    </row>
    <row r="64785" spans="3:3" s="8" customFormat="1" ht="21.95" customHeight="1" x14ac:dyDescent="0.15">
      <c r="C64785" s="101"/>
    </row>
    <row r="64786" spans="3:3" s="8" customFormat="1" ht="21.95" customHeight="1" x14ac:dyDescent="0.15"/>
    <row r="64787" spans="3:3" s="8" customFormat="1" ht="21.95" customHeight="1" x14ac:dyDescent="0.15"/>
    <row r="64788" spans="3:3" s="8" customFormat="1" ht="21.95" customHeight="1" x14ac:dyDescent="0.15"/>
    <row r="64789" spans="3:3" s="8" customFormat="1" ht="21.95" customHeight="1" x14ac:dyDescent="0.15"/>
    <row r="64790" spans="3:3" s="8" customFormat="1" ht="21.95" customHeight="1" x14ac:dyDescent="0.15"/>
    <row r="64791" spans="3:3" s="8" customFormat="1" ht="21.95" customHeight="1" x14ac:dyDescent="0.15"/>
    <row r="64792" spans="3:3" s="8" customFormat="1" ht="21.95" customHeight="1" x14ac:dyDescent="0.15"/>
    <row r="64793" spans="3:3" s="9" customFormat="1" ht="21.95" customHeight="1" x14ac:dyDescent="0.15"/>
    <row r="64794" spans="3:3" s="9" customFormat="1" ht="21.95" customHeight="1" x14ac:dyDescent="0.15"/>
    <row r="64795" spans="3:3" s="9" customFormat="1" ht="21.95" customHeight="1" x14ac:dyDescent="0.15"/>
    <row r="64796" spans="3:3" s="9" customFormat="1" ht="21.95" customHeight="1" x14ac:dyDescent="0.15"/>
    <row r="64797" spans="3:3" s="8" customFormat="1" ht="21.95" customHeight="1" x14ac:dyDescent="0.15"/>
    <row r="64798" spans="3:3" s="8" customFormat="1" ht="21.95" customHeight="1" x14ac:dyDescent="0.15"/>
    <row r="64799" spans="3:3" s="8" customFormat="1" ht="21.95" customHeight="1" x14ac:dyDescent="0.15"/>
    <row r="64800" spans="3:3" s="8" customFormat="1" ht="21.95" customHeight="1" x14ac:dyDescent="0.15"/>
    <row r="64801" s="8" customFormat="1" ht="21.95" customHeight="1" x14ac:dyDescent="0.15"/>
    <row r="64802" s="8" customFormat="1" ht="21.95" customHeight="1" x14ac:dyDescent="0.15"/>
    <row r="64803" s="8" customFormat="1" ht="21.95" customHeight="1" x14ac:dyDescent="0.15"/>
    <row r="64804" s="8" customFormat="1" ht="21.95" customHeight="1" x14ac:dyDescent="0.15"/>
    <row r="64805" s="8" customFormat="1" ht="21.95" customHeight="1" x14ac:dyDescent="0.15"/>
    <row r="64806" s="8" customFormat="1" ht="21.95" customHeight="1" x14ac:dyDescent="0.15"/>
    <row r="64807" s="8" customFormat="1" ht="21.95" customHeight="1" x14ac:dyDescent="0.15"/>
    <row r="64808" s="8" customFormat="1" ht="32.1" customHeight="1" x14ac:dyDescent="0.15"/>
    <row r="64809" s="8" customFormat="1" ht="32.1" customHeight="1" x14ac:dyDescent="0.15"/>
    <row r="64810" s="8" customFormat="1" ht="32.1" customHeight="1" x14ac:dyDescent="0.15"/>
    <row r="64811" s="8" customFormat="1" ht="32.1" customHeight="1" x14ac:dyDescent="0.15"/>
    <row r="64812" s="8" customFormat="1" ht="32.1" customHeight="1" x14ac:dyDescent="0.15"/>
    <row r="64813" s="8" customFormat="1" ht="32.1" customHeight="1" x14ac:dyDescent="0.15"/>
    <row r="64814" s="9" customFormat="1" ht="32.1" customHeight="1" x14ac:dyDescent="0.15"/>
    <row r="64815" s="9" customFormat="1" ht="32.1" customHeight="1" x14ac:dyDescent="0.15"/>
    <row r="64816" s="9" customFormat="1" ht="32.1" customHeight="1" x14ac:dyDescent="0.15"/>
    <row r="64817" s="9" customFormat="1" ht="32.1" customHeight="1" x14ac:dyDescent="0.15"/>
    <row r="64818" s="9" customFormat="1" ht="21.95" customHeight="1" x14ac:dyDescent="0.15"/>
    <row r="64819" s="9" customFormat="1" ht="54" customHeight="1" x14ac:dyDescent="0.15"/>
    <row r="64820" s="9" customFormat="1" ht="21.95" customHeight="1" x14ac:dyDescent="0.15"/>
    <row r="64821" s="9" customFormat="1" ht="21.95" customHeight="1" x14ac:dyDescent="0.15"/>
    <row r="64822" s="9" customFormat="1" ht="21.95" customHeight="1" x14ac:dyDescent="0.15"/>
    <row r="64823" s="9" customFormat="1" ht="21.95" customHeight="1" x14ac:dyDescent="0.15"/>
    <row r="64824" s="9" customFormat="1" ht="21.95" customHeight="1" x14ac:dyDescent="0.15"/>
    <row r="64825" s="9" customFormat="1" ht="21.95" customHeight="1" x14ac:dyDescent="0.15"/>
    <row r="64826" s="9" customFormat="1" ht="21.95" customHeight="1" x14ac:dyDescent="0.15"/>
    <row r="64827" s="9" customFormat="1" ht="21.95" customHeight="1" x14ac:dyDescent="0.15"/>
    <row r="64828" s="9" customFormat="1" ht="21.95" customHeight="1" x14ac:dyDescent="0.15"/>
    <row r="64829" s="9" customFormat="1" ht="21.95" customHeight="1" x14ac:dyDescent="0.15"/>
    <row r="64830" s="9" customFormat="1" ht="21.95" customHeight="1" x14ac:dyDescent="0.15"/>
    <row r="64831" s="9" customFormat="1" ht="21.95" customHeight="1" x14ac:dyDescent="0.15"/>
    <row r="64832" s="9" customFormat="1" ht="21.95" customHeight="1" x14ac:dyDescent="0.15"/>
    <row r="64833" s="9" customFormat="1" ht="21.95" customHeight="1" x14ac:dyDescent="0.15"/>
    <row r="64834" s="9" customFormat="1" ht="21.95" customHeight="1" x14ac:dyDescent="0.15"/>
    <row r="64835" s="9" customFormat="1" ht="21.95" customHeight="1" x14ac:dyDescent="0.15"/>
    <row r="64836" s="9" customFormat="1" ht="21.95" customHeight="1" x14ac:dyDescent="0.15"/>
    <row r="64837" s="9" customFormat="1" ht="21.95" customHeight="1" x14ac:dyDescent="0.15"/>
    <row r="64838" s="9" customFormat="1" ht="21.95" customHeight="1" x14ac:dyDescent="0.15"/>
    <row r="64839" s="9" customFormat="1" ht="21.95" customHeight="1" x14ac:dyDescent="0.15"/>
    <row r="64840" s="9" customFormat="1" ht="21.95" customHeight="1" x14ac:dyDescent="0.15"/>
    <row r="64841" s="9" customFormat="1" ht="21.95" customHeight="1" x14ac:dyDescent="0.15"/>
    <row r="64842" s="9" customFormat="1" ht="21.95" customHeight="1" x14ac:dyDescent="0.15"/>
    <row r="64843" s="9" customFormat="1" ht="21.95" customHeight="1" x14ac:dyDescent="0.15"/>
    <row r="64844" s="9" customFormat="1" ht="21.95" customHeight="1" x14ac:dyDescent="0.15"/>
    <row r="64845" s="9" customFormat="1" ht="21.95" customHeight="1" x14ac:dyDescent="0.15"/>
    <row r="64846" s="9" customFormat="1" ht="21.95" customHeight="1" x14ac:dyDescent="0.15"/>
    <row r="64847" s="9" customFormat="1" ht="21.95" customHeight="1" x14ac:dyDescent="0.15"/>
    <row r="64848" s="9" customFormat="1" ht="21.95" customHeight="1" x14ac:dyDescent="0.15"/>
    <row r="64849" s="9" customFormat="1" ht="21.95" customHeight="1" x14ac:dyDescent="0.15"/>
    <row r="64850" s="9" customFormat="1" ht="21.95" customHeight="1" x14ac:dyDescent="0.15"/>
    <row r="64851" s="9" customFormat="1" ht="21.95" customHeight="1" x14ac:dyDescent="0.15"/>
    <row r="64852" s="9" customFormat="1" ht="21.95" customHeight="1" x14ac:dyDescent="0.15"/>
    <row r="64853" s="9" customFormat="1" ht="21.95" customHeight="1" x14ac:dyDescent="0.15"/>
    <row r="64854" s="9" customFormat="1" ht="21.95" customHeight="1" x14ac:dyDescent="0.15"/>
    <row r="64855" s="9" customFormat="1" ht="21.95" customHeight="1" x14ac:dyDescent="0.15"/>
    <row r="64856" s="9" customFormat="1" ht="21.95" customHeight="1" x14ac:dyDescent="0.15"/>
    <row r="64857" s="9" customFormat="1" ht="21.95" customHeight="1" x14ac:dyDescent="0.15"/>
    <row r="64858" s="9" customFormat="1" ht="21.95" customHeight="1" x14ac:dyDescent="0.15"/>
    <row r="64859" s="9" customFormat="1" ht="21.95" customHeight="1" x14ac:dyDescent="0.15"/>
    <row r="64860" s="9" customFormat="1" ht="21.95" customHeight="1" x14ac:dyDescent="0.15"/>
    <row r="64861" s="9" customFormat="1" ht="21.95" customHeight="1" x14ac:dyDescent="0.15"/>
    <row r="64862" s="9" customFormat="1" ht="21.95" customHeight="1" x14ac:dyDescent="0.15"/>
    <row r="64863" s="9" customFormat="1" ht="21.95" customHeight="1" x14ac:dyDescent="0.15"/>
    <row r="64864" s="9" customFormat="1" ht="21.95" customHeight="1" x14ac:dyDescent="0.15"/>
    <row r="64865" s="9" customFormat="1" ht="21.95" customHeight="1" x14ac:dyDescent="0.15"/>
    <row r="64866" s="9" customFormat="1" ht="21.95" customHeight="1" x14ac:dyDescent="0.15"/>
    <row r="64867" s="9" customFormat="1" ht="21.95" customHeight="1" x14ac:dyDescent="0.15"/>
    <row r="64868" s="9" customFormat="1" ht="21.95" customHeight="1" x14ac:dyDescent="0.15"/>
    <row r="64869" s="9" customFormat="1" ht="21.95" customHeight="1" x14ac:dyDescent="0.15"/>
    <row r="64870" s="9" customFormat="1" ht="35.1" customHeight="1" x14ac:dyDescent="0.15"/>
    <row r="64871" s="9" customFormat="1" ht="21.95" customHeight="1" x14ac:dyDescent="0.15"/>
    <row r="64872" s="9" customFormat="1" ht="21.95" customHeight="1" x14ac:dyDescent="0.15"/>
    <row r="64873" s="9" customFormat="1" ht="21.95" customHeight="1" x14ac:dyDescent="0.15"/>
    <row r="64874" s="9" customFormat="1" ht="21.95" customHeight="1" x14ac:dyDescent="0.15"/>
    <row r="64875" s="9" customFormat="1" ht="21.95" customHeight="1" x14ac:dyDescent="0.15"/>
    <row r="64876" s="9" customFormat="1" ht="21.95" customHeight="1" x14ac:dyDescent="0.15"/>
    <row r="64877" s="9" customFormat="1" ht="21.95" customHeight="1" x14ac:dyDescent="0.15"/>
    <row r="64878" s="9" customFormat="1" ht="21.95" customHeight="1" x14ac:dyDescent="0.15"/>
    <row r="64879" s="9" customFormat="1" ht="21.95" customHeight="1" x14ac:dyDescent="0.15"/>
    <row r="64880" s="9" customFormat="1" ht="21.95" customHeight="1" x14ac:dyDescent="0.15"/>
    <row r="64881" spans="3:3" s="9" customFormat="1" ht="21.95" customHeight="1" x14ac:dyDescent="0.15"/>
    <row r="64882" spans="3:3" s="9" customFormat="1" ht="21.95" customHeight="1" x14ac:dyDescent="0.15"/>
    <row r="64883" spans="3:3" s="9" customFormat="1" ht="21.95" customHeight="1" x14ac:dyDescent="0.15"/>
    <row r="64884" spans="3:3" s="9" customFormat="1" ht="21.95" customHeight="1" x14ac:dyDescent="0.15"/>
    <row r="64885" spans="3:3" s="9" customFormat="1" ht="21.95" customHeight="1" x14ac:dyDescent="0.15"/>
    <row r="64886" spans="3:3" s="9" customFormat="1" ht="21.95" customHeight="1" x14ac:dyDescent="0.15"/>
    <row r="64887" spans="3:3" s="9" customFormat="1" ht="21.95" customHeight="1" x14ac:dyDescent="0.15"/>
    <row r="64888" spans="3:3" s="9" customFormat="1" ht="21.95" customHeight="1" x14ac:dyDescent="0.15"/>
    <row r="64889" spans="3:3" s="9" customFormat="1" ht="21.95" customHeight="1" x14ac:dyDescent="0.15"/>
    <row r="64890" spans="3:3" s="9" customFormat="1" ht="21.95" customHeight="1" x14ac:dyDescent="0.15"/>
    <row r="64891" spans="3:3" s="9" customFormat="1" ht="21.95" customHeight="1" x14ac:dyDescent="0.15"/>
    <row r="64892" spans="3:3" s="9" customFormat="1" ht="21.95" customHeight="1" x14ac:dyDescent="0.15"/>
    <row r="64893" spans="3:3" s="9" customFormat="1" ht="21.95" customHeight="1" x14ac:dyDescent="0.15"/>
    <row r="64894" spans="3:3" s="8" customFormat="1" ht="21.95" customHeight="1" x14ac:dyDescent="0.15"/>
    <row r="64895" spans="3:3" s="8" customFormat="1" ht="21.95" customHeight="1" x14ac:dyDescent="0.15"/>
    <row r="64896" spans="3:3" s="8" customFormat="1" ht="21.95" customHeight="1" x14ac:dyDescent="0.15">
      <c r="C64896" s="101"/>
    </row>
    <row r="64897" spans="3:3" s="8" customFormat="1" ht="21.95" customHeight="1" x14ac:dyDescent="0.15">
      <c r="C64897" s="101"/>
    </row>
    <row r="64898" spans="3:3" s="8" customFormat="1" ht="21.95" customHeight="1" x14ac:dyDescent="0.15"/>
    <row r="64899" spans="3:3" s="8" customFormat="1" ht="21.95" customHeight="1" x14ac:dyDescent="0.15"/>
    <row r="64900" spans="3:3" s="8" customFormat="1" ht="21.95" customHeight="1" x14ac:dyDescent="0.15"/>
    <row r="64901" spans="3:3" s="8" customFormat="1" ht="21.95" customHeight="1" x14ac:dyDescent="0.15"/>
    <row r="64902" spans="3:3" s="8" customFormat="1" ht="21.95" customHeight="1" x14ac:dyDescent="0.15"/>
    <row r="64903" spans="3:3" s="8" customFormat="1" ht="21.95" customHeight="1" x14ac:dyDescent="0.15"/>
    <row r="64904" spans="3:3" s="8" customFormat="1" ht="21.95" customHeight="1" x14ac:dyDescent="0.15"/>
    <row r="64905" spans="3:3" s="9" customFormat="1" ht="21.95" customHeight="1" x14ac:dyDescent="0.15"/>
    <row r="64906" spans="3:3" s="9" customFormat="1" ht="21.95" customHeight="1" x14ac:dyDescent="0.15"/>
    <row r="64907" spans="3:3" s="9" customFormat="1" ht="21.95" customHeight="1" x14ac:dyDescent="0.15"/>
    <row r="64908" spans="3:3" s="9" customFormat="1" ht="21.95" customHeight="1" x14ac:dyDescent="0.15"/>
    <row r="64909" spans="3:3" s="8" customFormat="1" ht="21.95" customHeight="1" x14ac:dyDescent="0.15"/>
    <row r="64910" spans="3:3" s="8" customFormat="1" ht="21.95" customHeight="1" x14ac:dyDescent="0.15"/>
    <row r="64911" spans="3:3" s="8" customFormat="1" ht="21.95" customHeight="1" x14ac:dyDescent="0.15"/>
    <row r="64912" spans="3:3" s="8" customFormat="1" ht="21.95" customHeight="1" x14ac:dyDescent="0.15"/>
    <row r="64913" s="8" customFormat="1" ht="21.95" customHeight="1" x14ac:dyDescent="0.15"/>
    <row r="64914" s="8" customFormat="1" ht="21.95" customHeight="1" x14ac:dyDescent="0.15"/>
    <row r="64915" s="8" customFormat="1" ht="21.95" customHeight="1" x14ac:dyDescent="0.15"/>
    <row r="64916" s="8" customFormat="1" ht="21.95" customHeight="1" x14ac:dyDescent="0.15"/>
    <row r="64917" s="8" customFormat="1" ht="21.95" customHeight="1" x14ac:dyDescent="0.15"/>
    <row r="64918" s="8" customFormat="1" ht="21.95" customHeight="1" x14ac:dyDescent="0.15"/>
    <row r="64919" s="8" customFormat="1" ht="21.95" customHeight="1" x14ac:dyDescent="0.15"/>
    <row r="64920" s="8" customFormat="1" ht="32.1" customHeight="1" x14ac:dyDescent="0.15"/>
    <row r="64921" s="8" customFormat="1" ht="32.1" customHeight="1" x14ac:dyDescent="0.15"/>
    <row r="64922" s="8" customFormat="1" ht="32.1" customHeight="1" x14ac:dyDescent="0.15"/>
    <row r="64923" s="8" customFormat="1" ht="32.1" customHeight="1" x14ac:dyDescent="0.15"/>
    <row r="64924" s="8" customFormat="1" ht="32.1" customHeight="1" x14ac:dyDescent="0.15"/>
    <row r="64925" s="8" customFormat="1" ht="32.1" customHeight="1" x14ac:dyDescent="0.15"/>
    <row r="64926" s="9" customFormat="1" ht="32.1" customHeight="1" x14ac:dyDescent="0.15"/>
    <row r="64927" s="9" customFormat="1" ht="32.1" customHeight="1" x14ac:dyDescent="0.15"/>
    <row r="64928" s="9" customFormat="1" ht="32.1" customHeight="1" x14ac:dyDescent="0.15"/>
    <row r="64929" s="9" customFormat="1" ht="32.1" customHeight="1" x14ac:dyDescent="0.15"/>
    <row r="64930" s="9" customFormat="1" ht="21.95" customHeight="1" x14ac:dyDescent="0.15"/>
    <row r="64931" s="9" customFormat="1" ht="54" customHeight="1" x14ac:dyDescent="0.15"/>
    <row r="64932" s="9" customFormat="1" ht="21.95" customHeight="1" x14ac:dyDescent="0.15"/>
    <row r="64933" s="9" customFormat="1" ht="21.95" customHeight="1" x14ac:dyDescent="0.15"/>
    <row r="64934" s="9" customFormat="1" ht="21.95" customHeight="1" x14ac:dyDescent="0.15"/>
    <row r="64935" s="9" customFormat="1" ht="21.95" customHeight="1" x14ac:dyDescent="0.15"/>
    <row r="64936" s="9" customFormat="1" ht="21.95" customHeight="1" x14ac:dyDescent="0.15"/>
    <row r="64937" s="9" customFormat="1" ht="21.95" customHeight="1" x14ac:dyDescent="0.15"/>
    <row r="64938" s="9" customFormat="1" ht="21.95" customHeight="1" x14ac:dyDescent="0.15"/>
    <row r="64939" s="9" customFormat="1" ht="21.95" customHeight="1" x14ac:dyDescent="0.15"/>
    <row r="64940" s="9" customFormat="1" ht="21.95" customHeight="1" x14ac:dyDescent="0.15"/>
    <row r="64941" s="9" customFormat="1" ht="21.95" customHeight="1" x14ac:dyDescent="0.15"/>
    <row r="64942" s="9" customFormat="1" ht="21.95" customHeight="1" x14ac:dyDescent="0.15"/>
    <row r="64943" s="9" customFormat="1" ht="21.95" customHeight="1" x14ac:dyDescent="0.15"/>
    <row r="64944" s="9" customFormat="1" ht="21.95" customHeight="1" x14ac:dyDescent="0.15"/>
    <row r="64945" s="9" customFormat="1" ht="21.95" customHeight="1" x14ac:dyDescent="0.15"/>
    <row r="64946" s="9" customFormat="1" ht="21.95" customHeight="1" x14ac:dyDescent="0.15"/>
    <row r="64947" s="9" customFormat="1" ht="21.95" customHeight="1" x14ac:dyDescent="0.15"/>
    <row r="64948" s="9" customFormat="1" ht="21.95" customHeight="1" x14ac:dyDescent="0.15"/>
    <row r="64949" s="9" customFormat="1" ht="21.95" customHeight="1" x14ac:dyDescent="0.15"/>
    <row r="64950" s="9" customFormat="1" ht="21.95" customHeight="1" x14ac:dyDescent="0.15"/>
    <row r="64951" s="9" customFormat="1" ht="21.95" customHeight="1" x14ac:dyDescent="0.15"/>
    <row r="64952" s="9" customFormat="1" ht="21.95" customHeight="1" x14ac:dyDescent="0.15"/>
    <row r="64953" s="9" customFormat="1" ht="21.95" customHeight="1" x14ac:dyDescent="0.15"/>
    <row r="64954" s="9" customFormat="1" ht="21.95" customHeight="1" x14ac:dyDescent="0.15"/>
    <row r="64955" s="9" customFormat="1" ht="21.95" customHeight="1" x14ac:dyDescent="0.15"/>
    <row r="64956" s="9" customFormat="1" ht="21.95" customHeight="1" x14ac:dyDescent="0.15"/>
    <row r="64957" s="9" customFormat="1" ht="21.95" customHeight="1" x14ac:dyDescent="0.15"/>
    <row r="64958" s="9" customFormat="1" ht="21.95" customHeight="1" x14ac:dyDescent="0.15"/>
    <row r="64959" s="9" customFormat="1" ht="21.95" customHeight="1" x14ac:dyDescent="0.15"/>
    <row r="64960" s="9" customFormat="1" ht="21.95" customHeight="1" x14ac:dyDescent="0.15"/>
    <row r="64961" s="9" customFormat="1" ht="21.95" customHeight="1" x14ac:dyDescent="0.15"/>
    <row r="64962" s="9" customFormat="1" ht="21.95" customHeight="1" x14ac:dyDescent="0.15"/>
    <row r="64963" s="9" customFormat="1" ht="21.95" customHeight="1" x14ac:dyDescent="0.15"/>
    <row r="64964" s="9" customFormat="1" ht="21.95" customHeight="1" x14ac:dyDescent="0.15"/>
    <row r="64965" s="9" customFormat="1" ht="21.95" customHeight="1" x14ac:dyDescent="0.15"/>
    <row r="64966" s="9" customFormat="1" ht="21.95" customHeight="1" x14ac:dyDescent="0.15"/>
    <row r="64967" s="9" customFormat="1" ht="21.95" customHeight="1" x14ac:dyDescent="0.15"/>
    <row r="64968" s="9" customFormat="1" ht="21.95" customHeight="1" x14ac:dyDescent="0.15"/>
    <row r="64969" s="9" customFormat="1" ht="21.95" customHeight="1" x14ac:dyDescent="0.15"/>
    <row r="64970" s="9" customFormat="1" ht="21.95" customHeight="1" x14ac:dyDescent="0.15"/>
    <row r="64971" s="9" customFormat="1" ht="21.95" customHeight="1" x14ac:dyDescent="0.15"/>
    <row r="64972" s="9" customFormat="1" ht="21.95" customHeight="1" x14ac:dyDescent="0.15"/>
    <row r="64973" s="9" customFormat="1" ht="21.95" customHeight="1" x14ac:dyDescent="0.15"/>
    <row r="64974" s="9" customFormat="1" ht="21.95" customHeight="1" x14ac:dyDescent="0.15"/>
    <row r="64975" s="9" customFormat="1" ht="21.95" customHeight="1" x14ac:dyDescent="0.15"/>
    <row r="64976" s="9" customFormat="1" ht="21.95" customHeight="1" x14ac:dyDescent="0.15"/>
    <row r="64977" s="9" customFormat="1" ht="21.95" customHeight="1" x14ac:dyDescent="0.15"/>
    <row r="64978" s="9" customFormat="1" ht="21.95" customHeight="1" x14ac:dyDescent="0.15"/>
    <row r="64979" s="9" customFormat="1" ht="21.95" customHeight="1" x14ac:dyDescent="0.15"/>
    <row r="64980" s="9" customFormat="1" ht="21.95" customHeight="1" x14ac:dyDescent="0.15"/>
    <row r="64981" s="9" customFormat="1" ht="21.95" customHeight="1" x14ac:dyDescent="0.15"/>
    <row r="64982" s="9" customFormat="1" ht="35.1" customHeight="1" x14ac:dyDescent="0.15"/>
    <row r="64983" s="9" customFormat="1" ht="21.95" customHeight="1" x14ac:dyDescent="0.15"/>
    <row r="64984" s="9" customFormat="1" ht="21.95" customHeight="1" x14ac:dyDescent="0.15"/>
    <row r="64985" s="9" customFormat="1" ht="21.95" customHeight="1" x14ac:dyDescent="0.15"/>
    <row r="64986" s="9" customFormat="1" ht="21.95" customHeight="1" x14ac:dyDescent="0.15"/>
    <row r="64987" s="9" customFormat="1" ht="21.95" customHeight="1" x14ac:dyDescent="0.15"/>
    <row r="64988" s="9" customFormat="1" ht="21.95" customHeight="1" x14ac:dyDescent="0.15"/>
    <row r="64989" s="9" customFormat="1" ht="21.95" customHeight="1" x14ac:dyDescent="0.15"/>
    <row r="64990" s="9" customFormat="1" ht="21.95" customHeight="1" x14ac:dyDescent="0.15"/>
    <row r="64991" s="9" customFormat="1" ht="21.95" customHeight="1" x14ac:dyDescent="0.15"/>
    <row r="64992" s="9" customFormat="1" ht="21.95" customHeight="1" x14ac:dyDescent="0.15"/>
    <row r="64993" spans="3:3" s="9" customFormat="1" ht="21.95" customHeight="1" x14ac:dyDescent="0.15"/>
    <row r="64994" spans="3:3" s="9" customFormat="1" ht="21.95" customHeight="1" x14ac:dyDescent="0.15"/>
    <row r="64995" spans="3:3" s="9" customFormat="1" ht="21.95" customHeight="1" x14ac:dyDescent="0.15"/>
    <row r="64996" spans="3:3" s="9" customFormat="1" ht="21.95" customHeight="1" x14ac:dyDescent="0.15"/>
    <row r="64997" spans="3:3" s="9" customFormat="1" ht="21.95" customHeight="1" x14ac:dyDescent="0.15"/>
    <row r="64998" spans="3:3" s="9" customFormat="1" ht="21.95" customHeight="1" x14ac:dyDescent="0.15"/>
    <row r="64999" spans="3:3" s="9" customFormat="1" ht="21.95" customHeight="1" x14ac:dyDescent="0.15"/>
    <row r="65000" spans="3:3" s="9" customFormat="1" ht="21.95" customHeight="1" x14ac:dyDescent="0.15"/>
    <row r="65001" spans="3:3" s="9" customFormat="1" ht="21.95" customHeight="1" x14ac:dyDescent="0.15"/>
    <row r="65002" spans="3:3" s="9" customFormat="1" ht="21.95" customHeight="1" x14ac:dyDescent="0.15"/>
    <row r="65003" spans="3:3" s="9" customFormat="1" ht="21.95" customHeight="1" x14ac:dyDescent="0.15"/>
    <row r="65004" spans="3:3" s="9" customFormat="1" ht="21.95" customHeight="1" x14ac:dyDescent="0.15"/>
    <row r="65005" spans="3:3" s="9" customFormat="1" ht="21.95" customHeight="1" x14ac:dyDescent="0.15"/>
    <row r="65006" spans="3:3" s="8" customFormat="1" ht="21.95" customHeight="1" x14ac:dyDescent="0.15"/>
    <row r="65007" spans="3:3" s="8" customFormat="1" ht="21.95" customHeight="1" x14ac:dyDescent="0.15"/>
    <row r="65008" spans="3:3" s="8" customFormat="1" ht="21.95" customHeight="1" x14ac:dyDescent="0.15">
      <c r="C65008" s="101"/>
    </row>
    <row r="65009" spans="3:3" s="8" customFormat="1" ht="21.95" customHeight="1" x14ac:dyDescent="0.15">
      <c r="C65009" s="101"/>
    </row>
    <row r="65010" spans="3:3" s="8" customFormat="1" ht="21.95" customHeight="1" x14ac:dyDescent="0.15"/>
    <row r="65011" spans="3:3" s="8" customFormat="1" ht="21.95" customHeight="1" x14ac:dyDescent="0.15"/>
    <row r="65012" spans="3:3" s="8" customFormat="1" ht="21.95" customHeight="1" x14ac:dyDescent="0.15"/>
    <row r="65013" spans="3:3" s="8" customFormat="1" ht="21.95" customHeight="1" x14ac:dyDescent="0.15"/>
    <row r="65014" spans="3:3" s="8" customFormat="1" ht="21.95" customHeight="1" x14ac:dyDescent="0.15"/>
    <row r="65015" spans="3:3" s="8" customFormat="1" ht="21.95" customHeight="1" x14ac:dyDescent="0.15"/>
    <row r="65016" spans="3:3" s="8" customFormat="1" ht="21.95" customHeight="1" x14ac:dyDescent="0.15"/>
    <row r="65017" spans="3:3" s="9" customFormat="1" ht="21.95" customHeight="1" x14ac:dyDescent="0.15"/>
    <row r="65018" spans="3:3" s="9" customFormat="1" ht="21.95" customHeight="1" x14ac:dyDescent="0.15"/>
    <row r="65019" spans="3:3" s="9" customFormat="1" ht="21.95" customHeight="1" x14ac:dyDescent="0.15"/>
    <row r="65020" spans="3:3" s="9" customFormat="1" ht="21.95" customHeight="1" x14ac:dyDescent="0.15"/>
    <row r="65021" spans="3:3" s="8" customFormat="1" ht="21.95" customHeight="1" x14ac:dyDescent="0.15"/>
    <row r="65022" spans="3:3" s="8" customFormat="1" ht="21.95" customHeight="1" x14ac:dyDescent="0.15"/>
    <row r="65023" spans="3:3" s="8" customFormat="1" ht="21.95" customHeight="1" x14ac:dyDescent="0.15"/>
    <row r="65024" spans="3:3" s="8" customFormat="1" ht="21.95" customHeight="1" x14ac:dyDescent="0.15"/>
    <row r="65025" s="8" customFormat="1" ht="21.95" customHeight="1" x14ac:dyDescent="0.15"/>
    <row r="65026" s="8" customFormat="1" ht="21.95" customHeight="1" x14ac:dyDescent="0.15"/>
    <row r="65027" s="8" customFormat="1" ht="21.95" customHeight="1" x14ac:dyDescent="0.15"/>
    <row r="65028" s="8" customFormat="1" ht="21.95" customHeight="1" x14ac:dyDescent="0.15"/>
    <row r="65029" s="8" customFormat="1" ht="21.95" customHeight="1" x14ac:dyDescent="0.15"/>
    <row r="65030" s="8" customFormat="1" ht="21.95" customHeight="1" x14ac:dyDescent="0.15"/>
    <row r="65031" s="8" customFormat="1" ht="21.95" customHeight="1" x14ac:dyDescent="0.15"/>
    <row r="65032" s="8" customFormat="1" ht="32.1" customHeight="1" x14ac:dyDescent="0.15"/>
    <row r="65033" s="8" customFormat="1" ht="32.1" customHeight="1" x14ac:dyDescent="0.15"/>
    <row r="65034" s="8" customFormat="1" ht="32.1" customHeight="1" x14ac:dyDescent="0.15"/>
    <row r="65035" s="8" customFormat="1" ht="32.1" customHeight="1" x14ac:dyDescent="0.15"/>
    <row r="65036" s="8" customFormat="1" ht="32.1" customHeight="1" x14ac:dyDescent="0.15"/>
    <row r="65037" s="8" customFormat="1" ht="32.1" customHeight="1" x14ac:dyDescent="0.15"/>
    <row r="65038" s="9" customFormat="1" ht="32.1" customHeight="1" x14ac:dyDescent="0.15"/>
    <row r="65039" s="9" customFormat="1" ht="32.1" customHeight="1" x14ac:dyDescent="0.15"/>
    <row r="65040" s="9" customFormat="1" ht="32.1" customHeight="1" x14ac:dyDescent="0.15"/>
    <row r="65041" s="9" customFormat="1" ht="32.1" customHeight="1" x14ac:dyDescent="0.15"/>
    <row r="65042" s="9" customFormat="1" ht="21.95" customHeight="1" x14ac:dyDescent="0.15"/>
    <row r="65043" s="9" customFormat="1" ht="54" customHeight="1" x14ac:dyDescent="0.15"/>
    <row r="65044" s="9" customFormat="1" ht="21.95" customHeight="1" x14ac:dyDescent="0.15"/>
    <row r="65045" s="9" customFormat="1" ht="21.95" customHeight="1" x14ac:dyDescent="0.15"/>
    <row r="65046" s="9" customFormat="1" ht="21.95" customHeight="1" x14ac:dyDescent="0.15"/>
    <row r="65047" s="9" customFormat="1" ht="21.95" customHeight="1" x14ac:dyDescent="0.15"/>
    <row r="65048" s="9" customFormat="1" ht="21.95" customHeight="1" x14ac:dyDescent="0.15"/>
    <row r="65049" s="9" customFormat="1" ht="21.95" customHeight="1" x14ac:dyDescent="0.15"/>
    <row r="65050" s="9" customFormat="1" ht="21.95" customHeight="1" x14ac:dyDescent="0.15"/>
    <row r="65051" s="9" customFormat="1" ht="21.95" customHeight="1" x14ac:dyDescent="0.15"/>
    <row r="65052" s="9" customFormat="1" ht="21.95" customHeight="1" x14ac:dyDescent="0.15"/>
    <row r="65053" s="9" customFormat="1" ht="21.95" customHeight="1" x14ac:dyDescent="0.15"/>
    <row r="65054" s="9" customFormat="1" ht="21.95" customHeight="1" x14ac:dyDescent="0.15"/>
    <row r="65055" s="9" customFormat="1" ht="21.95" customHeight="1" x14ac:dyDescent="0.15"/>
    <row r="65056" s="9" customFormat="1" ht="21.95" customHeight="1" x14ac:dyDescent="0.15"/>
    <row r="65057" s="9" customFormat="1" ht="21.95" customHeight="1" x14ac:dyDescent="0.15"/>
    <row r="65058" s="9" customFormat="1" ht="21.95" customHeight="1" x14ac:dyDescent="0.15"/>
    <row r="65059" s="9" customFormat="1" ht="21.95" customHeight="1" x14ac:dyDescent="0.15"/>
    <row r="65060" s="9" customFormat="1" ht="21.95" customHeight="1" x14ac:dyDescent="0.15"/>
    <row r="65061" s="9" customFormat="1" ht="21.95" customHeight="1" x14ac:dyDescent="0.15"/>
    <row r="65062" s="9" customFormat="1" ht="21.95" customHeight="1" x14ac:dyDescent="0.15"/>
    <row r="65063" s="9" customFormat="1" ht="21.95" customHeight="1" x14ac:dyDescent="0.15"/>
    <row r="65064" s="9" customFormat="1" ht="21.95" customHeight="1" x14ac:dyDescent="0.15"/>
    <row r="65065" s="9" customFormat="1" ht="21.95" customHeight="1" x14ac:dyDescent="0.15"/>
    <row r="65066" s="9" customFormat="1" ht="21.95" customHeight="1" x14ac:dyDescent="0.15"/>
    <row r="65067" s="9" customFormat="1" ht="21.95" customHeight="1" x14ac:dyDescent="0.15"/>
    <row r="65068" s="9" customFormat="1" ht="21.95" customHeight="1" x14ac:dyDescent="0.15"/>
    <row r="65069" s="9" customFormat="1" ht="21.95" customHeight="1" x14ac:dyDescent="0.15"/>
    <row r="65070" s="9" customFormat="1" ht="21.95" customHeight="1" x14ac:dyDescent="0.15"/>
    <row r="65071" s="9" customFormat="1" ht="21.95" customHeight="1" x14ac:dyDescent="0.15"/>
    <row r="65072" s="9" customFormat="1" ht="21.95" customHeight="1" x14ac:dyDescent="0.15"/>
    <row r="65073" s="9" customFormat="1" ht="21.95" customHeight="1" x14ac:dyDescent="0.15"/>
    <row r="65074" s="9" customFormat="1" ht="21.95" customHeight="1" x14ac:dyDescent="0.15"/>
    <row r="65075" s="9" customFormat="1" ht="21.95" customHeight="1" x14ac:dyDescent="0.15"/>
    <row r="65076" s="9" customFormat="1" ht="21.95" customHeight="1" x14ac:dyDescent="0.15"/>
    <row r="65077" s="9" customFormat="1" ht="21.95" customHeight="1" x14ac:dyDescent="0.15"/>
    <row r="65078" s="9" customFormat="1" ht="21.95" customHeight="1" x14ac:dyDescent="0.15"/>
    <row r="65079" s="9" customFormat="1" ht="21.95" customHeight="1" x14ac:dyDescent="0.15"/>
    <row r="65080" s="9" customFormat="1" ht="21.95" customHeight="1" x14ac:dyDescent="0.15"/>
    <row r="65081" s="9" customFormat="1" ht="21.95" customHeight="1" x14ac:dyDescent="0.15"/>
    <row r="65082" s="9" customFormat="1" ht="21.95" customHeight="1" x14ac:dyDescent="0.15"/>
    <row r="65083" s="9" customFormat="1" ht="21.95" customHeight="1" x14ac:dyDescent="0.15"/>
    <row r="65084" s="9" customFormat="1" ht="21.95" customHeight="1" x14ac:dyDescent="0.15"/>
    <row r="65085" s="9" customFormat="1" ht="21.95" customHeight="1" x14ac:dyDescent="0.15"/>
    <row r="65086" s="9" customFormat="1" ht="21.95" customHeight="1" x14ac:dyDescent="0.15"/>
    <row r="65087" s="9" customFormat="1" ht="21.95" customHeight="1" x14ac:dyDescent="0.15"/>
    <row r="65088" s="9" customFormat="1" ht="21.95" customHeight="1" x14ac:dyDescent="0.15"/>
    <row r="65089" s="9" customFormat="1" ht="21.95" customHeight="1" x14ac:dyDescent="0.15"/>
    <row r="65090" s="9" customFormat="1" ht="21.95" customHeight="1" x14ac:dyDescent="0.15"/>
    <row r="65091" s="9" customFormat="1" ht="21.95" customHeight="1" x14ac:dyDescent="0.15"/>
    <row r="65092" s="9" customFormat="1" ht="21.95" customHeight="1" x14ac:dyDescent="0.15"/>
    <row r="65093" s="9" customFormat="1" ht="21.95" customHeight="1" x14ac:dyDescent="0.15"/>
    <row r="65094" s="9" customFormat="1" ht="35.1" customHeight="1" x14ac:dyDescent="0.15"/>
    <row r="65095" s="9" customFormat="1" ht="21.95" customHeight="1" x14ac:dyDescent="0.15"/>
    <row r="65096" s="9" customFormat="1" ht="21.95" customHeight="1" x14ac:dyDescent="0.15"/>
    <row r="65097" s="9" customFormat="1" ht="21.95" customHeight="1" x14ac:dyDescent="0.15"/>
    <row r="65098" s="9" customFormat="1" ht="21.95" customHeight="1" x14ac:dyDescent="0.15"/>
    <row r="65099" s="9" customFormat="1" ht="21.95" customHeight="1" x14ac:dyDescent="0.15"/>
    <row r="65100" s="9" customFormat="1" ht="21.95" customHeight="1" x14ac:dyDescent="0.15"/>
    <row r="65101" s="9" customFormat="1" ht="21.95" customHeight="1" x14ac:dyDescent="0.15"/>
    <row r="65102" s="9" customFormat="1" ht="21.95" customHeight="1" x14ac:dyDescent="0.15"/>
    <row r="65103" s="9" customFormat="1" ht="21.95" customHeight="1" x14ac:dyDescent="0.15"/>
    <row r="65104" s="9" customFormat="1" ht="21.95" customHeight="1" x14ac:dyDescent="0.15"/>
    <row r="65105" spans="3:3" s="9" customFormat="1" ht="21.95" customHeight="1" x14ac:dyDescent="0.15"/>
    <row r="65106" spans="3:3" s="9" customFormat="1" ht="21.95" customHeight="1" x14ac:dyDescent="0.15"/>
    <row r="65107" spans="3:3" s="9" customFormat="1" ht="21.95" customHeight="1" x14ac:dyDescent="0.15"/>
    <row r="65108" spans="3:3" s="9" customFormat="1" ht="21.95" customHeight="1" x14ac:dyDescent="0.15"/>
    <row r="65109" spans="3:3" s="9" customFormat="1" ht="21.95" customHeight="1" x14ac:dyDescent="0.15"/>
    <row r="65110" spans="3:3" s="9" customFormat="1" ht="21.95" customHeight="1" x14ac:dyDescent="0.15"/>
    <row r="65111" spans="3:3" s="9" customFormat="1" ht="21.95" customHeight="1" x14ac:dyDescent="0.15"/>
    <row r="65112" spans="3:3" s="9" customFormat="1" ht="21.95" customHeight="1" x14ac:dyDescent="0.15"/>
    <row r="65113" spans="3:3" s="9" customFormat="1" ht="21.95" customHeight="1" x14ac:dyDescent="0.15"/>
    <row r="65114" spans="3:3" s="9" customFormat="1" ht="21.95" customHeight="1" x14ac:dyDescent="0.15"/>
    <row r="65115" spans="3:3" s="9" customFormat="1" ht="21.95" customHeight="1" x14ac:dyDescent="0.15"/>
    <row r="65116" spans="3:3" s="9" customFormat="1" ht="21.95" customHeight="1" x14ac:dyDescent="0.15"/>
    <row r="65117" spans="3:3" s="9" customFormat="1" ht="21.95" customHeight="1" x14ac:dyDescent="0.15"/>
    <row r="65118" spans="3:3" s="8" customFormat="1" ht="21.95" customHeight="1" x14ac:dyDescent="0.15"/>
    <row r="65119" spans="3:3" s="8" customFormat="1" ht="21.95" customHeight="1" x14ac:dyDescent="0.15"/>
    <row r="65120" spans="3:3" s="8" customFormat="1" ht="21.95" customHeight="1" x14ac:dyDescent="0.15">
      <c r="C65120" s="101"/>
    </row>
    <row r="65121" spans="3:3" s="8" customFormat="1" ht="21.95" customHeight="1" x14ac:dyDescent="0.15">
      <c r="C65121" s="101"/>
    </row>
    <row r="65122" spans="3:3" s="8" customFormat="1" ht="21.95" customHeight="1" x14ac:dyDescent="0.15"/>
    <row r="65123" spans="3:3" s="8" customFormat="1" ht="21.95" customHeight="1" x14ac:dyDescent="0.15"/>
    <row r="65124" spans="3:3" s="8" customFormat="1" ht="21.95" customHeight="1" x14ac:dyDescent="0.15"/>
    <row r="65125" spans="3:3" s="8" customFormat="1" ht="21.95" customHeight="1" x14ac:dyDescent="0.15"/>
    <row r="65126" spans="3:3" s="8" customFormat="1" ht="21.95" customHeight="1" x14ac:dyDescent="0.15"/>
    <row r="65127" spans="3:3" s="8" customFormat="1" ht="21.95" customHeight="1" x14ac:dyDescent="0.15"/>
    <row r="65128" spans="3:3" s="8" customFormat="1" ht="21.95" customHeight="1" x14ac:dyDescent="0.15"/>
    <row r="65129" spans="3:3" s="9" customFormat="1" ht="21.95" customHeight="1" x14ac:dyDescent="0.15"/>
    <row r="65130" spans="3:3" s="9" customFormat="1" ht="21.95" customHeight="1" x14ac:dyDescent="0.15"/>
    <row r="65131" spans="3:3" s="9" customFormat="1" ht="21.95" customHeight="1" x14ac:dyDescent="0.15"/>
    <row r="65132" spans="3:3" s="9" customFormat="1" ht="21.95" customHeight="1" x14ac:dyDescent="0.15"/>
    <row r="65133" spans="3:3" s="8" customFormat="1" ht="21.95" customHeight="1" x14ac:dyDescent="0.15"/>
    <row r="65134" spans="3:3" s="8" customFormat="1" ht="21.95" customHeight="1" x14ac:dyDescent="0.15"/>
    <row r="65135" spans="3:3" s="8" customFormat="1" ht="21.95" customHeight="1" x14ac:dyDescent="0.15"/>
    <row r="65136" spans="3:3" s="8" customFormat="1" ht="21.95" customHeight="1" x14ac:dyDescent="0.15"/>
    <row r="65137" s="8" customFormat="1" ht="21.95" customHeight="1" x14ac:dyDescent="0.15"/>
    <row r="65138" s="8" customFormat="1" ht="21.95" customHeight="1" x14ac:dyDescent="0.15"/>
    <row r="65139" s="8" customFormat="1" ht="21.95" customHeight="1" x14ac:dyDescent="0.15"/>
    <row r="65140" s="8" customFormat="1" ht="21.95" customHeight="1" x14ac:dyDescent="0.15"/>
    <row r="65141" s="8" customFormat="1" ht="21.95" customHeight="1" x14ac:dyDescent="0.15"/>
    <row r="65142" s="8" customFormat="1" ht="21.95" customHeight="1" x14ac:dyDescent="0.15"/>
    <row r="65143" s="8" customFormat="1" ht="21.95" customHeight="1" x14ac:dyDescent="0.15"/>
    <row r="65144" s="8" customFormat="1" ht="32.1" customHeight="1" x14ac:dyDescent="0.15"/>
    <row r="65145" s="8" customFormat="1" ht="32.1" customHeight="1" x14ac:dyDescent="0.15"/>
    <row r="65146" s="8" customFormat="1" ht="32.1" customHeight="1" x14ac:dyDescent="0.15"/>
    <row r="65147" s="8" customFormat="1" ht="32.1" customHeight="1" x14ac:dyDescent="0.15"/>
    <row r="65148" s="8" customFormat="1" ht="32.1" customHeight="1" x14ac:dyDescent="0.15"/>
    <row r="65149" s="8" customFormat="1" ht="32.1" customHeight="1" x14ac:dyDescent="0.15"/>
    <row r="65150" s="9" customFormat="1" ht="32.1" customHeight="1" x14ac:dyDescent="0.15"/>
    <row r="65151" s="9" customFormat="1" ht="32.1" customHeight="1" x14ac:dyDescent="0.15"/>
    <row r="65152" s="9" customFormat="1" ht="32.1" customHeight="1" x14ac:dyDescent="0.15"/>
    <row r="65153" s="9" customFormat="1" ht="32.1" customHeight="1" x14ac:dyDescent="0.15"/>
    <row r="65154" s="9" customFormat="1" ht="21.95" customHeight="1" x14ac:dyDescent="0.15"/>
    <row r="65155" s="9" customFormat="1" ht="54" customHeight="1" x14ac:dyDescent="0.15"/>
    <row r="65156" s="9" customFormat="1" ht="21.95" customHeight="1" x14ac:dyDescent="0.15"/>
    <row r="65157" s="9" customFormat="1" ht="21.95" customHeight="1" x14ac:dyDescent="0.15"/>
    <row r="65158" s="9" customFormat="1" ht="21.95" customHeight="1" x14ac:dyDescent="0.15"/>
    <row r="65159" s="9" customFormat="1" ht="21.95" customHeight="1" x14ac:dyDescent="0.15"/>
    <row r="65160" s="9" customFormat="1" ht="21.95" customHeight="1" x14ac:dyDescent="0.15"/>
    <row r="65161" s="9" customFormat="1" ht="21.95" customHeight="1" x14ac:dyDescent="0.15"/>
    <row r="65162" s="9" customFormat="1" ht="21.95" customHeight="1" x14ac:dyDescent="0.15"/>
    <row r="65163" s="9" customFormat="1" ht="21.95" customHeight="1" x14ac:dyDescent="0.15"/>
    <row r="65164" s="9" customFormat="1" ht="21.95" customHeight="1" x14ac:dyDescent="0.15"/>
    <row r="65165" s="9" customFormat="1" ht="21.95" customHeight="1" x14ac:dyDescent="0.15"/>
    <row r="65166" s="9" customFormat="1" ht="21.95" customHeight="1" x14ac:dyDescent="0.15"/>
    <row r="65167" s="9" customFormat="1" ht="21.95" customHeight="1" x14ac:dyDescent="0.15"/>
    <row r="65168" s="9" customFormat="1" ht="21.95" customHeight="1" x14ac:dyDescent="0.15"/>
    <row r="65169" s="9" customFormat="1" ht="21.95" customHeight="1" x14ac:dyDescent="0.15"/>
    <row r="65170" s="9" customFormat="1" ht="21.95" customHeight="1" x14ac:dyDescent="0.15"/>
    <row r="65171" s="9" customFormat="1" ht="21.95" customHeight="1" x14ac:dyDescent="0.15"/>
    <row r="65172" s="9" customFormat="1" ht="21.95" customHeight="1" x14ac:dyDescent="0.15"/>
    <row r="65173" s="9" customFormat="1" ht="21.95" customHeight="1" x14ac:dyDescent="0.15"/>
    <row r="65174" s="9" customFormat="1" ht="21.95" customHeight="1" x14ac:dyDescent="0.15"/>
    <row r="65175" s="9" customFormat="1" ht="21.95" customHeight="1" x14ac:dyDescent="0.15"/>
    <row r="65176" s="9" customFormat="1" ht="21.95" customHeight="1" x14ac:dyDescent="0.15"/>
    <row r="65177" s="9" customFormat="1" ht="21.95" customHeight="1" x14ac:dyDescent="0.15"/>
    <row r="65178" s="9" customFormat="1" ht="21.95" customHeight="1" x14ac:dyDescent="0.15"/>
    <row r="65179" s="9" customFormat="1" ht="21.95" customHeight="1" x14ac:dyDescent="0.15"/>
    <row r="65180" s="9" customFormat="1" ht="21.95" customHeight="1" x14ac:dyDescent="0.15"/>
    <row r="65181" s="9" customFormat="1" ht="21.95" customHeight="1" x14ac:dyDescent="0.15"/>
    <row r="65182" s="9" customFormat="1" ht="21.95" customHeight="1" x14ac:dyDescent="0.15"/>
    <row r="65183" s="9" customFormat="1" ht="21.95" customHeight="1" x14ac:dyDescent="0.15"/>
    <row r="65184" s="9" customFormat="1" ht="21.95" customHeight="1" x14ac:dyDescent="0.15"/>
    <row r="65185" s="9" customFormat="1" ht="21.95" customHeight="1" x14ac:dyDescent="0.15"/>
    <row r="65186" s="9" customFormat="1" ht="21.95" customHeight="1" x14ac:dyDescent="0.15"/>
    <row r="65187" s="9" customFormat="1" ht="21.95" customHeight="1" x14ac:dyDescent="0.15"/>
    <row r="65188" s="9" customFormat="1" ht="21.95" customHeight="1" x14ac:dyDescent="0.15"/>
    <row r="65189" s="9" customFormat="1" ht="21.95" customHeight="1" x14ac:dyDescent="0.15"/>
    <row r="65190" s="9" customFormat="1" ht="21.95" customHeight="1" x14ac:dyDescent="0.15"/>
    <row r="65191" s="9" customFormat="1" ht="21.95" customHeight="1" x14ac:dyDescent="0.15"/>
    <row r="65192" s="9" customFormat="1" ht="21.95" customHeight="1" x14ac:dyDescent="0.15"/>
    <row r="65193" s="9" customFormat="1" ht="21.95" customHeight="1" x14ac:dyDescent="0.15"/>
    <row r="65194" s="9" customFormat="1" ht="21.95" customHeight="1" x14ac:dyDescent="0.15"/>
    <row r="65195" s="9" customFormat="1" ht="21.95" customHeight="1" x14ac:dyDescent="0.15"/>
    <row r="65196" s="9" customFormat="1" ht="21.95" customHeight="1" x14ac:dyDescent="0.15"/>
    <row r="65197" s="9" customFormat="1" ht="21.95" customHeight="1" x14ac:dyDescent="0.15"/>
    <row r="65198" s="9" customFormat="1" ht="21.95" customHeight="1" x14ac:dyDescent="0.15"/>
    <row r="65199" s="9" customFormat="1" ht="21.95" customHeight="1" x14ac:dyDescent="0.15"/>
    <row r="65200" s="9" customFormat="1" ht="21.95" customHeight="1" x14ac:dyDescent="0.15"/>
    <row r="65201" s="9" customFormat="1" ht="21.95" customHeight="1" x14ac:dyDescent="0.15"/>
    <row r="65202" s="9" customFormat="1" ht="21.95" customHeight="1" x14ac:dyDescent="0.15"/>
    <row r="65203" s="9" customFormat="1" ht="21.95" customHeight="1" x14ac:dyDescent="0.15"/>
    <row r="65204" s="9" customFormat="1" ht="21.95" customHeight="1" x14ac:dyDescent="0.15"/>
    <row r="65205" s="9" customFormat="1" ht="21.95" customHeight="1" x14ac:dyDescent="0.15"/>
    <row r="65206" s="9" customFormat="1" ht="35.1" customHeight="1" x14ac:dyDescent="0.15"/>
    <row r="65207" s="9" customFormat="1" ht="21.95" customHeight="1" x14ac:dyDescent="0.15"/>
    <row r="65208" s="9" customFormat="1" ht="21.95" customHeight="1" x14ac:dyDescent="0.15"/>
    <row r="65209" s="9" customFormat="1" ht="21.95" customHeight="1" x14ac:dyDescent="0.15"/>
    <row r="65210" s="9" customFormat="1" ht="21.95" customHeight="1" x14ac:dyDescent="0.15"/>
    <row r="65211" s="9" customFormat="1" ht="21.95" customHeight="1" x14ac:dyDescent="0.15"/>
    <row r="65212" s="9" customFormat="1" ht="21.95" customHeight="1" x14ac:dyDescent="0.15"/>
    <row r="65213" s="9" customFormat="1" ht="21.95" customHeight="1" x14ac:dyDescent="0.15"/>
    <row r="65214" s="9" customFormat="1" ht="21.95" customHeight="1" x14ac:dyDescent="0.15"/>
    <row r="65215" s="9" customFormat="1" ht="21.95" customHeight="1" x14ac:dyDescent="0.15"/>
    <row r="65216" s="9" customFormat="1" ht="21.95" customHeight="1" x14ac:dyDescent="0.15"/>
    <row r="65217" spans="3:3" s="9" customFormat="1" ht="21.95" customHeight="1" x14ac:dyDescent="0.15"/>
    <row r="65218" spans="3:3" s="9" customFormat="1" ht="21.95" customHeight="1" x14ac:dyDescent="0.15"/>
    <row r="65219" spans="3:3" s="9" customFormat="1" ht="21.95" customHeight="1" x14ac:dyDescent="0.15"/>
    <row r="65220" spans="3:3" s="9" customFormat="1" ht="21.95" customHeight="1" x14ac:dyDescent="0.15"/>
    <row r="65221" spans="3:3" s="9" customFormat="1" ht="21.95" customHeight="1" x14ac:dyDescent="0.15"/>
    <row r="65222" spans="3:3" s="9" customFormat="1" ht="21.95" customHeight="1" x14ac:dyDescent="0.15"/>
    <row r="65223" spans="3:3" s="9" customFormat="1" ht="21.95" customHeight="1" x14ac:dyDescent="0.15"/>
    <row r="65224" spans="3:3" s="9" customFormat="1" ht="21.95" customHeight="1" x14ac:dyDescent="0.15"/>
    <row r="65225" spans="3:3" s="9" customFormat="1" ht="21.95" customHeight="1" x14ac:dyDescent="0.15"/>
    <row r="65226" spans="3:3" s="9" customFormat="1" ht="21.95" customHeight="1" x14ac:dyDescent="0.15"/>
    <row r="65227" spans="3:3" s="9" customFormat="1" ht="21.95" customHeight="1" x14ac:dyDescent="0.15"/>
    <row r="65228" spans="3:3" s="9" customFormat="1" ht="21.95" customHeight="1" x14ac:dyDescent="0.15"/>
    <row r="65229" spans="3:3" s="9" customFormat="1" ht="21.95" customHeight="1" x14ac:dyDescent="0.15"/>
    <row r="65230" spans="3:3" s="8" customFormat="1" ht="21.95" customHeight="1" x14ac:dyDescent="0.15"/>
    <row r="65231" spans="3:3" s="8" customFormat="1" ht="21.95" customHeight="1" x14ac:dyDescent="0.15"/>
    <row r="65232" spans="3:3" s="8" customFormat="1" ht="21.95" customHeight="1" x14ac:dyDescent="0.15">
      <c r="C65232" s="101"/>
    </row>
    <row r="65233" spans="3:3" s="8" customFormat="1" ht="21.95" customHeight="1" x14ac:dyDescent="0.15">
      <c r="C65233" s="101"/>
    </row>
    <row r="65234" spans="3:3" s="8" customFormat="1" ht="21.95" customHeight="1" x14ac:dyDescent="0.15"/>
    <row r="65235" spans="3:3" s="8" customFormat="1" ht="21.95" customHeight="1" x14ac:dyDescent="0.15"/>
    <row r="65236" spans="3:3" s="8" customFormat="1" ht="21.95" customHeight="1" x14ac:dyDescent="0.15"/>
    <row r="65237" spans="3:3" s="8" customFormat="1" ht="21.95" customHeight="1" x14ac:dyDescent="0.15"/>
    <row r="65238" spans="3:3" s="8" customFormat="1" ht="21.95" customHeight="1" x14ac:dyDescent="0.15"/>
    <row r="65239" spans="3:3" s="8" customFormat="1" ht="21.95" customHeight="1" x14ac:dyDescent="0.15"/>
    <row r="65240" spans="3:3" s="8" customFormat="1" ht="21.95" customHeight="1" x14ac:dyDescent="0.15"/>
    <row r="65241" spans="3:3" s="9" customFormat="1" ht="21.95" customHeight="1" x14ac:dyDescent="0.15"/>
    <row r="65242" spans="3:3" s="9" customFormat="1" ht="21.95" customHeight="1" x14ac:dyDescent="0.15"/>
    <row r="65243" spans="3:3" s="9" customFormat="1" ht="21.95" customHeight="1" x14ac:dyDescent="0.15"/>
    <row r="65244" spans="3:3" s="9" customFormat="1" ht="21.95" customHeight="1" x14ac:dyDescent="0.15"/>
    <row r="65245" spans="3:3" s="8" customFormat="1" ht="21.95" customHeight="1" x14ac:dyDescent="0.15"/>
    <row r="65246" spans="3:3" s="8" customFormat="1" ht="21.95" customHeight="1" x14ac:dyDescent="0.15"/>
    <row r="65247" spans="3:3" s="8" customFormat="1" ht="21.95" customHeight="1" x14ac:dyDescent="0.15"/>
    <row r="65248" spans="3:3" s="8" customFormat="1" ht="21.95" customHeight="1" x14ac:dyDescent="0.15"/>
    <row r="65249" s="8" customFormat="1" ht="21.95" customHeight="1" x14ac:dyDescent="0.15"/>
    <row r="65250" s="8" customFormat="1" ht="21.95" customHeight="1" x14ac:dyDescent="0.15"/>
    <row r="65251" s="8" customFormat="1" ht="21.95" customHeight="1" x14ac:dyDescent="0.15"/>
    <row r="65252" s="8" customFormat="1" ht="21.95" customHeight="1" x14ac:dyDescent="0.15"/>
    <row r="65253" s="8" customFormat="1" ht="21.95" customHeight="1" x14ac:dyDescent="0.15"/>
    <row r="65254" s="8" customFormat="1" ht="21.95" customHeight="1" x14ac:dyDescent="0.15"/>
    <row r="65255" s="8" customFormat="1" ht="21.95" customHeight="1" x14ac:dyDescent="0.15"/>
    <row r="65256" s="8" customFormat="1" ht="32.1" customHeight="1" x14ac:dyDescent="0.15"/>
    <row r="65257" s="8" customFormat="1" ht="32.1" customHeight="1" x14ac:dyDescent="0.15"/>
    <row r="65258" s="8" customFormat="1" ht="32.1" customHeight="1" x14ac:dyDescent="0.15"/>
    <row r="65259" s="8" customFormat="1" ht="32.1" customHeight="1" x14ac:dyDescent="0.15"/>
    <row r="65260" s="8" customFormat="1" ht="32.1" customHeight="1" x14ac:dyDescent="0.15"/>
    <row r="65261" s="8" customFormat="1" ht="32.1" customHeight="1" x14ac:dyDescent="0.15"/>
    <row r="65262" s="9" customFormat="1" ht="32.1" customHeight="1" x14ac:dyDescent="0.15"/>
    <row r="65263" s="9" customFormat="1" ht="32.1" customHeight="1" x14ac:dyDescent="0.15"/>
    <row r="65264" s="9" customFormat="1" ht="32.1" customHeight="1" x14ac:dyDescent="0.15"/>
    <row r="65265" s="9" customFormat="1" ht="32.1" customHeight="1" x14ac:dyDescent="0.15"/>
    <row r="65266" s="9" customFormat="1" ht="21.95" customHeight="1" x14ac:dyDescent="0.15"/>
    <row r="65267" s="9" customFormat="1" ht="54" customHeight="1" x14ac:dyDescent="0.15"/>
    <row r="65268" s="9" customFormat="1" ht="21.95" customHeight="1" x14ac:dyDescent="0.15"/>
    <row r="65269" s="9" customFormat="1" ht="21.95" customHeight="1" x14ac:dyDescent="0.15"/>
    <row r="65270" s="9" customFormat="1" ht="21.95" customHeight="1" x14ac:dyDescent="0.15"/>
    <row r="65271" s="9" customFormat="1" ht="21.95" customHeight="1" x14ac:dyDescent="0.15"/>
    <row r="65272" s="9" customFormat="1" ht="21.95" customHeight="1" x14ac:dyDescent="0.15"/>
    <row r="65273" s="9" customFormat="1" ht="21.95" customHeight="1" x14ac:dyDescent="0.15"/>
    <row r="65274" s="9" customFormat="1" ht="21.95" customHeight="1" x14ac:dyDescent="0.15"/>
    <row r="65275" s="9" customFormat="1" ht="21.95" customHeight="1" x14ac:dyDescent="0.15"/>
    <row r="65276" s="9" customFormat="1" ht="21.95" customHeight="1" x14ac:dyDescent="0.15"/>
    <row r="65277" s="9" customFormat="1" ht="21.95" customHeight="1" x14ac:dyDescent="0.15"/>
    <row r="65278" s="9" customFormat="1" ht="21.95" customHeight="1" x14ac:dyDescent="0.15"/>
    <row r="65279" s="9" customFormat="1" ht="21.95" customHeight="1" x14ac:dyDescent="0.15"/>
    <row r="65280" s="9" customFormat="1" ht="21.95" customHeight="1" x14ac:dyDescent="0.15"/>
    <row r="65281" s="9" customFormat="1" ht="21.95" customHeight="1" x14ac:dyDescent="0.15"/>
    <row r="65282" s="9" customFormat="1" ht="21.95" customHeight="1" x14ac:dyDescent="0.15"/>
    <row r="65283" s="9" customFormat="1" ht="21.95" customHeight="1" x14ac:dyDescent="0.15"/>
    <row r="65284" s="9" customFormat="1" ht="21.95" customHeight="1" x14ac:dyDescent="0.15"/>
    <row r="65285" s="9" customFormat="1" ht="21.95" customHeight="1" x14ac:dyDescent="0.15"/>
    <row r="65286" s="9" customFormat="1" ht="21.95" customHeight="1" x14ac:dyDescent="0.15"/>
    <row r="65287" s="9" customFormat="1" ht="21.95" customHeight="1" x14ac:dyDescent="0.15"/>
    <row r="65288" s="9" customFormat="1" ht="21.95" customHeight="1" x14ac:dyDescent="0.15"/>
    <row r="65289" s="9" customFormat="1" ht="21.95" customHeight="1" x14ac:dyDescent="0.15"/>
    <row r="65290" s="9" customFormat="1" ht="21.95" customHeight="1" x14ac:dyDescent="0.15"/>
    <row r="65291" s="9" customFormat="1" ht="21.95" customHeight="1" x14ac:dyDescent="0.15"/>
    <row r="65292" s="9" customFormat="1" ht="21.95" customHeight="1" x14ac:dyDescent="0.15"/>
    <row r="65293" s="9" customFormat="1" ht="21.95" customHeight="1" x14ac:dyDescent="0.15"/>
    <row r="65294" s="9" customFormat="1" ht="21.95" customHeight="1" x14ac:dyDescent="0.15"/>
    <row r="65295" s="9" customFormat="1" ht="21.95" customHeight="1" x14ac:dyDescent="0.15"/>
    <row r="65296" s="9" customFormat="1" ht="21.95" customHeight="1" x14ac:dyDescent="0.15"/>
    <row r="65297" s="9" customFormat="1" ht="21.95" customHeight="1" x14ac:dyDescent="0.15"/>
    <row r="65298" s="9" customFormat="1" ht="21.95" customHeight="1" x14ac:dyDescent="0.15"/>
    <row r="65299" s="9" customFormat="1" ht="21.95" customHeight="1" x14ac:dyDescent="0.15"/>
    <row r="65300" s="9" customFormat="1" ht="21.95" customHeight="1" x14ac:dyDescent="0.15"/>
    <row r="65301" s="9" customFormat="1" ht="21.95" customHeight="1" x14ac:dyDescent="0.15"/>
    <row r="65302" s="9" customFormat="1" ht="21.95" customHeight="1" x14ac:dyDescent="0.15"/>
    <row r="65303" s="9" customFormat="1" ht="21.95" customHeight="1" x14ac:dyDescent="0.15"/>
    <row r="65304" s="9" customFormat="1" ht="21.95" customHeight="1" x14ac:dyDescent="0.15"/>
    <row r="65305" s="9" customFormat="1" ht="21.95" customHeight="1" x14ac:dyDescent="0.15"/>
    <row r="65306" s="9" customFormat="1" ht="21.95" customHeight="1" x14ac:dyDescent="0.15"/>
    <row r="65307" s="9" customFormat="1" ht="21.95" customHeight="1" x14ac:dyDescent="0.15"/>
    <row r="65308" s="9" customFormat="1" ht="21.95" customHeight="1" x14ac:dyDescent="0.15"/>
    <row r="65309" s="9" customFormat="1" ht="21.95" customHeight="1" x14ac:dyDescent="0.15"/>
    <row r="65310" s="9" customFormat="1" ht="21.95" customHeight="1" x14ac:dyDescent="0.15"/>
    <row r="65311" s="9" customFormat="1" ht="21.95" customHeight="1" x14ac:dyDescent="0.15"/>
    <row r="65312" s="9" customFormat="1" ht="21.95" customHeight="1" x14ac:dyDescent="0.15"/>
    <row r="65313" s="9" customFormat="1" ht="21.95" customHeight="1" x14ac:dyDescent="0.15"/>
    <row r="65314" s="9" customFormat="1" ht="21.95" customHeight="1" x14ac:dyDescent="0.15"/>
    <row r="65315" s="9" customFormat="1" ht="21.95" customHeight="1" x14ac:dyDescent="0.15"/>
    <row r="65316" s="9" customFormat="1" ht="21.95" customHeight="1" x14ac:dyDescent="0.15"/>
    <row r="65317" s="9" customFormat="1" ht="21.95" customHeight="1" x14ac:dyDescent="0.15"/>
    <row r="65318" s="9" customFormat="1" ht="35.1" customHeight="1" x14ac:dyDescent="0.15"/>
    <row r="65319" s="9" customFormat="1" ht="21.95" customHeight="1" x14ac:dyDescent="0.15"/>
    <row r="65320" s="9" customFormat="1" ht="21.95" customHeight="1" x14ac:dyDescent="0.15"/>
    <row r="65321" s="9" customFormat="1" ht="21.95" customHeight="1" x14ac:dyDescent="0.15"/>
    <row r="65322" s="9" customFormat="1" ht="21.95" customHeight="1" x14ac:dyDescent="0.15"/>
    <row r="65323" s="9" customFormat="1" ht="21.95" customHeight="1" x14ac:dyDescent="0.15"/>
    <row r="65324" s="9" customFormat="1" ht="21.95" customHeight="1" x14ac:dyDescent="0.15"/>
    <row r="65325" s="9" customFormat="1" ht="21.95" customHeight="1" x14ac:dyDescent="0.15"/>
    <row r="65326" s="9" customFormat="1" ht="21.95" customHeight="1" x14ac:dyDescent="0.15"/>
    <row r="65327" s="9" customFormat="1" ht="21.95" customHeight="1" x14ac:dyDescent="0.15"/>
    <row r="65328" s="9" customFormat="1" ht="21.95" customHeight="1" x14ac:dyDescent="0.15"/>
    <row r="65329" spans="3:3" s="9" customFormat="1" ht="21.95" customHeight="1" x14ac:dyDescent="0.15"/>
    <row r="65330" spans="3:3" s="9" customFormat="1" ht="21.95" customHeight="1" x14ac:dyDescent="0.15"/>
    <row r="65331" spans="3:3" s="9" customFormat="1" ht="21.95" customHeight="1" x14ac:dyDescent="0.15"/>
    <row r="65332" spans="3:3" s="9" customFormat="1" ht="21.95" customHeight="1" x14ac:dyDescent="0.15"/>
    <row r="65333" spans="3:3" s="9" customFormat="1" ht="21.95" customHeight="1" x14ac:dyDescent="0.15"/>
    <row r="65334" spans="3:3" s="9" customFormat="1" ht="21.95" customHeight="1" x14ac:dyDescent="0.15"/>
    <row r="65335" spans="3:3" s="9" customFormat="1" ht="21.95" customHeight="1" x14ac:dyDescent="0.15"/>
    <row r="65336" spans="3:3" s="9" customFormat="1" ht="21.95" customHeight="1" x14ac:dyDescent="0.15"/>
    <row r="65337" spans="3:3" s="9" customFormat="1" ht="21.95" customHeight="1" x14ac:dyDescent="0.15"/>
    <row r="65338" spans="3:3" s="9" customFormat="1" ht="21.95" customHeight="1" x14ac:dyDescent="0.15"/>
    <row r="65339" spans="3:3" s="9" customFormat="1" ht="21.95" customHeight="1" x14ac:dyDescent="0.15"/>
    <row r="65340" spans="3:3" s="9" customFormat="1" ht="21.95" customHeight="1" x14ac:dyDescent="0.15"/>
    <row r="65341" spans="3:3" s="9" customFormat="1" ht="21.95" customHeight="1" x14ac:dyDescent="0.15"/>
    <row r="65342" spans="3:3" s="8" customFormat="1" ht="21.95" customHeight="1" x14ac:dyDescent="0.15"/>
    <row r="65343" spans="3:3" s="8" customFormat="1" ht="21.95" customHeight="1" x14ac:dyDescent="0.15"/>
    <row r="65344" spans="3:3" s="8" customFormat="1" ht="21.95" customHeight="1" x14ac:dyDescent="0.15">
      <c r="C65344" s="101"/>
    </row>
    <row r="65345" spans="3:3" s="8" customFormat="1" ht="21.95" customHeight="1" x14ac:dyDescent="0.15">
      <c r="C65345" s="101"/>
    </row>
    <row r="65346" spans="3:3" s="8" customFormat="1" ht="21.95" customHeight="1" x14ac:dyDescent="0.15"/>
    <row r="65347" spans="3:3" s="8" customFormat="1" ht="21.95" customHeight="1" x14ac:dyDescent="0.15"/>
    <row r="65348" spans="3:3" s="8" customFormat="1" ht="21.95" customHeight="1" x14ac:dyDescent="0.15"/>
    <row r="65349" spans="3:3" s="8" customFormat="1" ht="21.95" customHeight="1" x14ac:dyDescent="0.15"/>
    <row r="65350" spans="3:3" s="8" customFormat="1" ht="21.95" customHeight="1" x14ac:dyDescent="0.15"/>
    <row r="65351" spans="3:3" s="8" customFormat="1" ht="21.95" customHeight="1" x14ac:dyDescent="0.15"/>
    <row r="65352" spans="3:3" s="8" customFormat="1" ht="21.95" customHeight="1" x14ac:dyDescent="0.15"/>
    <row r="65353" spans="3:3" s="9" customFormat="1" ht="21.95" customHeight="1" x14ac:dyDescent="0.15"/>
    <row r="65354" spans="3:3" s="9" customFormat="1" ht="21.95" customHeight="1" x14ac:dyDescent="0.15"/>
    <row r="65355" spans="3:3" s="9" customFormat="1" ht="21.95" customHeight="1" x14ac:dyDescent="0.15"/>
    <row r="65356" spans="3:3" s="9" customFormat="1" ht="21.95" customHeight="1" x14ac:dyDescent="0.15"/>
    <row r="65357" spans="3:3" s="8" customFormat="1" ht="21.95" customHeight="1" x14ac:dyDescent="0.15"/>
    <row r="65358" spans="3:3" s="8" customFormat="1" ht="21.95" customHeight="1" x14ac:dyDescent="0.15"/>
    <row r="65359" spans="3:3" s="8" customFormat="1" ht="21.95" customHeight="1" x14ac:dyDescent="0.15"/>
    <row r="65360" spans="3:3" s="8" customFormat="1" ht="21.95" customHeight="1" x14ac:dyDescent="0.15"/>
    <row r="65361" s="8" customFormat="1" ht="21.95" customHeight="1" x14ac:dyDescent="0.15"/>
    <row r="65362" s="8" customFormat="1" ht="21.95" customHeight="1" x14ac:dyDescent="0.15"/>
    <row r="65363" s="8" customFormat="1" ht="21.95" customHeight="1" x14ac:dyDescent="0.15"/>
    <row r="65364" s="8" customFormat="1" ht="21.95" customHeight="1" x14ac:dyDescent="0.15"/>
    <row r="65365" s="8" customFormat="1" ht="21.95" customHeight="1" x14ac:dyDescent="0.15"/>
    <row r="65366" s="8" customFormat="1" ht="21.95" customHeight="1" x14ac:dyDescent="0.15"/>
    <row r="65367" s="8" customFormat="1" ht="21.95" customHeight="1" x14ac:dyDescent="0.15"/>
    <row r="65368" s="8" customFormat="1" ht="32.1" customHeight="1" x14ac:dyDescent="0.15"/>
    <row r="65369" s="8" customFormat="1" ht="32.1" customHeight="1" x14ac:dyDescent="0.15"/>
    <row r="65370" s="8" customFormat="1" ht="32.1" customHeight="1" x14ac:dyDescent="0.15"/>
    <row r="65371" s="8" customFormat="1" ht="32.1" customHeight="1" x14ac:dyDescent="0.15"/>
    <row r="65372" s="8" customFormat="1" ht="32.1" customHeight="1" x14ac:dyDescent="0.15"/>
    <row r="65373" s="8" customFormat="1" ht="32.1" customHeight="1" x14ac:dyDescent="0.15"/>
    <row r="65374" s="9" customFormat="1" ht="32.1" customHeight="1" x14ac:dyDescent="0.15"/>
    <row r="65375" s="9" customFormat="1" ht="32.1" customHeight="1" x14ac:dyDescent="0.15"/>
    <row r="65376" s="9" customFormat="1" ht="32.1" customHeight="1" x14ac:dyDescent="0.15"/>
    <row r="65377" s="9" customFormat="1" ht="32.1" customHeight="1" x14ac:dyDescent="0.15"/>
    <row r="65378" s="9" customFormat="1" ht="21.95" customHeight="1" x14ac:dyDescent="0.15"/>
    <row r="65379" s="9" customFormat="1" ht="54" customHeight="1" x14ac:dyDescent="0.15"/>
    <row r="65380" s="9" customFormat="1" ht="21.95" customHeight="1" x14ac:dyDescent="0.15"/>
    <row r="65381" s="9" customFormat="1" ht="21.95" customHeight="1" x14ac:dyDescent="0.15"/>
    <row r="65382" s="9" customFormat="1" ht="21.95" customHeight="1" x14ac:dyDescent="0.15"/>
    <row r="65383" s="9" customFormat="1" ht="21.95" customHeight="1" x14ac:dyDescent="0.15"/>
    <row r="65384" s="9" customFormat="1" ht="21.95" customHeight="1" x14ac:dyDescent="0.15"/>
    <row r="65385" s="9" customFormat="1" ht="21.95" customHeight="1" x14ac:dyDescent="0.15"/>
    <row r="65386" s="9" customFormat="1" ht="21.95" customHeight="1" x14ac:dyDescent="0.15"/>
    <row r="65387" s="9" customFormat="1" ht="21.95" customHeight="1" x14ac:dyDescent="0.15"/>
    <row r="65388" s="9" customFormat="1" ht="21.95" customHeight="1" x14ac:dyDescent="0.15"/>
    <row r="65389" s="9" customFormat="1" ht="21.95" customHeight="1" x14ac:dyDescent="0.15"/>
    <row r="65390" s="9" customFormat="1" ht="21.95" customHeight="1" x14ac:dyDescent="0.15"/>
    <row r="65391" s="9" customFormat="1" ht="21.95" customHeight="1" x14ac:dyDescent="0.15"/>
    <row r="65392" s="9" customFormat="1" ht="21.95" customHeight="1" x14ac:dyDescent="0.15"/>
    <row r="65393" s="9" customFormat="1" ht="21.95" customHeight="1" x14ac:dyDescent="0.15"/>
    <row r="65394" s="9" customFormat="1" ht="21.95" customHeight="1" x14ac:dyDescent="0.15"/>
    <row r="65395" s="9" customFormat="1" ht="21.95" customHeight="1" x14ac:dyDescent="0.15"/>
    <row r="65396" s="9" customFormat="1" ht="21.95" customHeight="1" x14ac:dyDescent="0.15"/>
    <row r="65397" s="9" customFormat="1" ht="21.95" customHeight="1" x14ac:dyDescent="0.15"/>
    <row r="65398" s="9" customFormat="1" ht="21.95" customHeight="1" x14ac:dyDescent="0.15"/>
    <row r="65399" s="9" customFormat="1" ht="21.95" customHeight="1" x14ac:dyDescent="0.15"/>
    <row r="65400" s="9" customFormat="1" ht="21.95" customHeight="1" x14ac:dyDescent="0.15"/>
    <row r="65401" s="9" customFormat="1" ht="21.95" customHeight="1" x14ac:dyDescent="0.15"/>
    <row r="65402" s="9" customFormat="1" ht="21.95" customHeight="1" x14ac:dyDescent="0.15"/>
    <row r="65403" s="9" customFormat="1" ht="21.95" customHeight="1" x14ac:dyDescent="0.15"/>
    <row r="65404" s="9" customFormat="1" ht="21.95" customHeight="1" x14ac:dyDescent="0.15"/>
    <row r="65405" s="9" customFormat="1" ht="21.95" customHeight="1" x14ac:dyDescent="0.15"/>
    <row r="65406" s="9" customFormat="1" ht="21.95" customHeight="1" x14ac:dyDescent="0.15"/>
    <row r="65407" s="9" customFormat="1" ht="21.95" customHeight="1" x14ac:dyDescent="0.15"/>
    <row r="65408" s="9" customFormat="1" ht="21.95" customHeight="1" x14ac:dyDescent="0.15"/>
    <row r="65409" s="9" customFormat="1" ht="21.95" customHeight="1" x14ac:dyDescent="0.15"/>
    <row r="65410" s="9" customFormat="1" ht="21.95" customHeight="1" x14ac:dyDescent="0.15"/>
    <row r="65411" s="9" customFormat="1" ht="21.95" customHeight="1" x14ac:dyDescent="0.15"/>
    <row r="65412" s="9" customFormat="1" ht="21.95" customHeight="1" x14ac:dyDescent="0.15"/>
    <row r="65413" s="9" customFormat="1" ht="21.95" customHeight="1" x14ac:dyDescent="0.15"/>
    <row r="65414" s="9" customFormat="1" ht="21.95" customHeight="1" x14ac:dyDescent="0.15"/>
    <row r="65415" s="9" customFormat="1" ht="21.95" customHeight="1" x14ac:dyDescent="0.15"/>
    <row r="65416" s="9" customFormat="1" ht="21.95" customHeight="1" x14ac:dyDescent="0.15"/>
    <row r="65417" s="9" customFormat="1" ht="21.95" customHeight="1" x14ac:dyDescent="0.15"/>
    <row r="65418" s="9" customFormat="1" ht="21.95" customHeight="1" x14ac:dyDescent="0.15"/>
    <row r="65419" s="9" customFormat="1" ht="21.95" customHeight="1" x14ac:dyDescent="0.15"/>
    <row r="65420" s="9" customFormat="1" ht="21.95" customHeight="1" x14ac:dyDescent="0.15"/>
    <row r="65421" s="9" customFormat="1" ht="21.95" customHeight="1" x14ac:dyDescent="0.15"/>
    <row r="65422" s="9" customFormat="1" ht="21.95" customHeight="1" x14ac:dyDescent="0.15"/>
    <row r="65423" s="9" customFormat="1" ht="21.95" customHeight="1" x14ac:dyDescent="0.15"/>
    <row r="65424" s="9" customFormat="1" ht="21.95" customHeight="1" x14ac:dyDescent="0.15"/>
    <row r="65425" s="9" customFormat="1" ht="21.95" customHeight="1" x14ac:dyDescent="0.15"/>
    <row r="65426" s="9" customFormat="1" ht="21.95" customHeight="1" x14ac:dyDescent="0.15"/>
    <row r="65427" s="9" customFormat="1" ht="21.95" customHeight="1" x14ac:dyDescent="0.15"/>
    <row r="65428" s="9" customFormat="1" ht="21.95" customHeight="1" x14ac:dyDescent="0.15"/>
    <row r="65429" s="9" customFormat="1" ht="21.95" customHeight="1" x14ac:dyDescent="0.15"/>
    <row r="65430" s="9" customFormat="1" ht="35.1" customHeight="1" x14ac:dyDescent="0.15"/>
    <row r="65431" s="9" customFormat="1" ht="21.95" customHeight="1" x14ac:dyDescent="0.15"/>
    <row r="65432" s="9" customFormat="1" ht="21.95" customHeight="1" x14ac:dyDescent="0.15"/>
    <row r="65433" s="9" customFormat="1" ht="21.95" customHeight="1" x14ac:dyDescent="0.15"/>
    <row r="65434" s="9" customFormat="1" ht="21.95" customHeight="1" x14ac:dyDescent="0.15"/>
    <row r="65435" s="9" customFormat="1" ht="21.95" customHeight="1" x14ac:dyDescent="0.15"/>
    <row r="65436" s="9" customFormat="1" ht="21.95" customHeight="1" x14ac:dyDescent="0.15"/>
    <row r="65437" s="9" customFormat="1" ht="21.95" customHeight="1" x14ac:dyDescent="0.15"/>
    <row r="65438" s="9" customFormat="1" ht="21.95" customHeight="1" x14ac:dyDescent="0.15"/>
    <row r="65439" s="9" customFormat="1" ht="21.95" customHeight="1" x14ac:dyDescent="0.15"/>
    <row r="65440" s="9" customFormat="1" ht="21.95" customHeight="1" x14ac:dyDescent="0.15"/>
    <row r="65441" spans="3:3" s="9" customFormat="1" ht="21.95" customHeight="1" x14ac:dyDescent="0.15"/>
    <row r="65442" spans="3:3" s="9" customFormat="1" ht="21.95" customHeight="1" x14ac:dyDescent="0.15"/>
    <row r="65443" spans="3:3" s="9" customFormat="1" ht="21.95" customHeight="1" x14ac:dyDescent="0.15"/>
    <row r="65444" spans="3:3" s="9" customFormat="1" ht="21.95" customHeight="1" x14ac:dyDescent="0.15"/>
    <row r="65445" spans="3:3" s="9" customFormat="1" ht="21.95" customHeight="1" x14ac:dyDescent="0.15"/>
    <row r="65446" spans="3:3" s="9" customFormat="1" ht="21.95" customHeight="1" x14ac:dyDescent="0.15"/>
    <row r="65447" spans="3:3" s="9" customFormat="1" ht="21.95" customHeight="1" x14ac:dyDescent="0.15"/>
    <row r="65448" spans="3:3" s="9" customFormat="1" ht="21.95" customHeight="1" x14ac:dyDescent="0.15"/>
    <row r="65449" spans="3:3" s="9" customFormat="1" ht="21.95" customHeight="1" x14ac:dyDescent="0.15"/>
    <row r="65450" spans="3:3" s="9" customFormat="1" ht="21.95" customHeight="1" x14ac:dyDescent="0.15"/>
    <row r="65451" spans="3:3" s="9" customFormat="1" ht="21.95" customHeight="1" x14ac:dyDescent="0.15"/>
    <row r="65452" spans="3:3" s="9" customFormat="1" ht="21.95" customHeight="1" x14ac:dyDescent="0.15"/>
    <row r="65453" spans="3:3" s="9" customFormat="1" ht="21.95" customHeight="1" x14ac:dyDescent="0.15"/>
    <row r="65454" spans="3:3" s="8" customFormat="1" ht="21.95" customHeight="1" x14ac:dyDescent="0.15"/>
    <row r="65455" spans="3:3" s="8" customFormat="1" ht="21.95" customHeight="1" x14ac:dyDescent="0.15"/>
    <row r="65456" spans="3:3" s="8" customFormat="1" ht="21.95" customHeight="1" x14ac:dyDescent="0.15">
      <c r="C65456" s="101"/>
    </row>
    <row r="65457" spans="3:3" s="8" customFormat="1" ht="21.95" customHeight="1" x14ac:dyDescent="0.15">
      <c r="C65457" s="101"/>
    </row>
    <row r="65458" spans="3:3" s="8" customFormat="1" ht="21.95" customHeight="1" x14ac:dyDescent="0.15"/>
    <row r="65459" spans="3:3" s="8" customFormat="1" ht="21.95" customHeight="1" x14ac:dyDescent="0.15"/>
    <row r="65460" spans="3:3" s="8" customFormat="1" ht="21.95" customHeight="1" x14ac:dyDescent="0.15"/>
    <row r="65461" spans="3:3" s="8" customFormat="1" ht="21.95" customHeight="1" x14ac:dyDescent="0.15"/>
    <row r="65462" spans="3:3" s="8" customFormat="1" ht="21.95" customHeight="1" x14ac:dyDescent="0.15"/>
    <row r="65463" spans="3:3" s="8" customFormat="1" ht="21.95" customHeight="1" x14ac:dyDescent="0.15"/>
    <row r="65464" spans="3:3" s="8" customFormat="1" ht="21.95" customHeight="1" x14ac:dyDescent="0.15"/>
    <row r="65465" spans="3:3" s="9" customFormat="1" ht="21.95" customHeight="1" x14ac:dyDescent="0.15"/>
    <row r="65466" spans="3:3" s="9" customFormat="1" ht="21.95" customHeight="1" x14ac:dyDescent="0.15"/>
    <row r="65467" spans="3:3" s="9" customFormat="1" ht="21.95" customHeight="1" x14ac:dyDescent="0.15"/>
    <row r="65468" spans="3:3" s="9" customFormat="1" ht="21.95" customHeight="1" x14ac:dyDescent="0.15"/>
    <row r="65469" spans="3:3" s="8" customFormat="1" ht="21.95" customHeight="1" x14ac:dyDescent="0.15"/>
    <row r="65470" spans="3:3" s="8" customFormat="1" ht="21.95" customHeight="1" x14ac:dyDescent="0.15"/>
    <row r="65471" spans="3:3" s="8" customFormat="1" ht="21.95" customHeight="1" x14ac:dyDescent="0.15"/>
    <row r="65472" spans="3:3" s="8" customFormat="1" ht="21.95" customHeight="1" x14ac:dyDescent="0.15"/>
    <row r="65473" s="8" customFormat="1" ht="21.95" customHeight="1" x14ac:dyDescent="0.15"/>
    <row r="65474" s="8" customFormat="1" ht="21.95" customHeight="1" x14ac:dyDescent="0.15"/>
    <row r="65475" s="8" customFormat="1" ht="21.95" customHeight="1" x14ac:dyDescent="0.15"/>
    <row r="65476" s="8" customFormat="1" ht="21.95" customHeight="1" x14ac:dyDescent="0.15"/>
    <row r="65477" s="8" customFormat="1" ht="21.95" customHeight="1" x14ac:dyDescent="0.15"/>
    <row r="65478" s="8" customFormat="1" ht="21.95" customHeight="1" x14ac:dyDescent="0.15"/>
    <row r="65479" s="8" customFormat="1" ht="21.95" customHeight="1" x14ac:dyDescent="0.15"/>
    <row r="65480" s="8" customFormat="1" ht="32.1" customHeight="1" x14ac:dyDescent="0.15"/>
    <row r="65481" s="8" customFormat="1" ht="32.1" customHeight="1" x14ac:dyDescent="0.15"/>
    <row r="65482" s="8" customFormat="1" ht="32.1" customHeight="1" x14ac:dyDescent="0.15"/>
    <row r="65483" s="8" customFormat="1" ht="32.1" customHeight="1" x14ac:dyDescent="0.15"/>
    <row r="65484" s="8" customFormat="1" ht="32.1" customHeight="1" x14ac:dyDescent="0.15"/>
    <row r="65485" s="8" customFormat="1" ht="32.1" customHeight="1" x14ac:dyDescent="0.15"/>
    <row r="65486" s="9" customFormat="1" ht="32.1" customHeight="1" x14ac:dyDescent="0.15"/>
    <row r="65487" s="9" customFormat="1" ht="32.1" customHeight="1" x14ac:dyDescent="0.15"/>
    <row r="65488" s="9" customFormat="1" ht="32.1" customHeight="1" x14ac:dyDescent="0.15"/>
    <row r="65489" s="9" customFormat="1" ht="32.1" customHeight="1" x14ac:dyDescent="0.15"/>
    <row r="65490" s="9" customFormat="1" ht="21.95" customHeight="1" x14ac:dyDescent="0.15"/>
    <row r="65491" s="9" customFormat="1" ht="54" customHeight="1" x14ac:dyDescent="0.15"/>
    <row r="65492" s="9" customFormat="1" ht="21.95" customHeight="1" x14ac:dyDescent="0.15"/>
    <row r="65493" s="9" customFormat="1" ht="21.95" customHeight="1" x14ac:dyDescent="0.15"/>
    <row r="65494" s="9" customFormat="1" ht="21.95" customHeight="1" x14ac:dyDescent="0.15"/>
    <row r="65495" s="9" customFormat="1" ht="21.95" customHeight="1" x14ac:dyDescent="0.15"/>
    <row r="65496" s="9" customFormat="1" ht="21.95" customHeight="1" x14ac:dyDescent="0.15"/>
    <row r="65497" s="9" customFormat="1" ht="21.95" customHeight="1" x14ac:dyDescent="0.15"/>
    <row r="65498" s="9" customFormat="1" ht="21.95" customHeight="1" x14ac:dyDescent="0.15"/>
    <row r="65499" s="9" customFormat="1" ht="21.95" customHeight="1" x14ac:dyDescent="0.15"/>
    <row r="65500" s="9" customFormat="1" ht="21.95" customHeight="1" x14ac:dyDescent="0.15"/>
    <row r="65501" s="9" customFormat="1" ht="21.95" customHeight="1" x14ac:dyDescent="0.15"/>
    <row r="65502" s="9" customFormat="1" ht="21.95" customHeight="1" x14ac:dyDescent="0.15"/>
    <row r="65503" s="9" customFormat="1" ht="21.95" customHeight="1" x14ac:dyDescent="0.15"/>
    <row r="65504" s="9" customFormat="1" ht="21.95" customHeight="1" x14ac:dyDescent="0.15"/>
    <row r="65505" s="9" customFormat="1" ht="21.95" customHeight="1" x14ac:dyDescent="0.15"/>
    <row r="65506" s="9" customFormat="1" ht="21.95" customHeight="1" x14ac:dyDescent="0.15"/>
    <row r="65507" s="9" customFormat="1" ht="21.95" customHeight="1" x14ac:dyDescent="0.15"/>
    <row r="65508" s="9" customFormat="1" ht="21.95" customHeight="1" x14ac:dyDescent="0.15"/>
    <row r="65509" s="9" customFormat="1" ht="21.95" customHeight="1" x14ac:dyDescent="0.15"/>
    <row r="65510" s="9" customFormat="1" ht="21.95" customHeight="1" x14ac:dyDescent="0.15"/>
    <row r="65511" s="9" customFormat="1" ht="21.95" customHeight="1" x14ac:dyDescent="0.15"/>
    <row r="65512" s="9" customFormat="1" ht="21.95" customHeight="1" x14ac:dyDescent="0.15"/>
    <row r="65513" s="9" customFormat="1" ht="21.95" customHeight="1" x14ac:dyDescent="0.15"/>
    <row r="65514" s="9" customFormat="1" ht="21.95" customHeight="1" x14ac:dyDescent="0.15"/>
    <row r="65515" s="9" customFormat="1" ht="21.95" customHeight="1" x14ac:dyDescent="0.15"/>
    <row r="65516" s="9" customFormat="1" ht="21.95" customHeight="1" x14ac:dyDescent="0.15"/>
    <row r="65517" s="9" customFormat="1" ht="21.95" customHeight="1" x14ac:dyDescent="0.15"/>
    <row r="65518" s="9" customFormat="1" ht="21.95" customHeight="1" x14ac:dyDescent="0.15"/>
    <row r="65519" s="9" customFormat="1" ht="21.95" customHeight="1" x14ac:dyDescent="0.15"/>
    <row r="65520" s="9" customFormat="1" ht="21.95" customHeight="1" x14ac:dyDescent="0.15"/>
    <row r="65521" s="9" customFormat="1" ht="21.95" customHeight="1" x14ac:dyDescent="0.15"/>
    <row r="65522" s="9" customFormat="1" ht="21.95" customHeight="1" x14ac:dyDescent="0.15"/>
    <row r="65523" s="9" customFormat="1" ht="21.95" customHeight="1" x14ac:dyDescent="0.15"/>
    <row r="65524" s="9" customFormat="1" ht="21.95" customHeight="1" x14ac:dyDescent="0.15"/>
    <row r="65525" s="9" customFormat="1" ht="21.95" customHeight="1" x14ac:dyDescent="0.15"/>
    <row r="65526" s="9" customFormat="1" ht="21.95" customHeight="1" x14ac:dyDescent="0.15"/>
    <row r="65527" s="9" customFormat="1" ht="21.95" customHeight="1" x14ac:dyDescent="0.15"/>
    <row r="65528" s="9" customFormat="1" ht="21.95" customHeight="1" x14ac:dyDescent="0.15"/>
    <row r="65529" s="9" customFormat="1" ht="21.95" customHeight="1" x14ac:dyDescent="0.15"/>
    <row r="65530" s="9" customFormat="1" ht="21.95" customHeight="1" x14ac:dyDescent="0.15"/>
    <row r="65531" s="9" customFormat="1" ht="21.95" customHeight="1" x14ac:dyDescent="0.15"/>
    <row r="65532" s="9" customFormat="1" ht="21.95" customHeight="1" x14ac:dyDescent="0.15"/>
    <row r="65533" s="9" customFormat="1" ht="21.95" customHeight="1" x14ac:dyDescent="0.15"/>
    <row r="65534" s="9" customFormat="1" ht="21.95" customHeight="1" x14ac:dyDescent="0.15"/>
    <row r="65535" s="9" customFormat="1" ht="21.95" customHeight="1" x14ac:dyDescent="0.15"/>
    <row r="65536" s="9" customFormat="1" ht="21.95" customHeight="1" x14ac:dyDescent="0.15"/>
  </sheetData>
  <autoFilter ref="A1:G424" xr:uid="{00000000-0009-0000-0000-000003000000}"/>
  <mergeCells count="587">
    <mergeCell ref="A1:G1"/>
    <mergeCell ref="A259:C259"/>
    <mergeCell ref="A324:C324"/>
    <mergeCell ref="A423:C423"/>
    <mergeCell ref="A424:F424"/>
    <mergeCell ref="C116:C117"/>
    <mergeCell ref="C496:C497"/>
    <mergeCell ref="C608:C609"/>
    <mergeCell ref="C720:C721"/>
    <mergeCell ref="C832:C833"/>
    <mergeCell ref="C944:C945"/>
    <mergeCell ref="C1056:C1057"/>
    <mergeCell ref="C1168:C1169"/>
    <mergeCell ref="C1280:C1281"/>
    <mergeCell ref="C1392:C1393"/>
    <mergeCell ref="C1504:C1505"/>
    <mergeCell ref="C1616:C1617"/>
    <mergeCell ref="C1728:C1729"/>
    <mergeCell ref="C1840:C1841"/>
    <mergeCell ref="C1952:C1953"/>
    <mergeCell ref="C2064:C2065"/>
    <mergeCell ref="C2176:C2177"/>
    <mergeCell ref="C2288:C2289"/>
    <mergeCell ref="C2400:C2401"/>
    <mergeCell ref="C2512:C2513"/>
    <mergeCell ref="C2624:C2625"/>
    <mergeCell ref="C2736:C2737"/>
    <mergeCell ref="C2848:C2849"/>
    <mergeCell ref="C2960:C2961"/>
    <mergeCell ref="C3072:C3073"/>
    <mergeCell ref="C3184:C3185"/>
    <mergeCell ref="C3296:C3297"/>
    <mergeCell ref="C3408:C3409"/>
    <mergeCell ref="C3520:C3521"/>
    <mergeCell ref="C3632:C3633"/>
    <mergeCell ref="C3744:C3745"/>
    <mergeCell ref="C3856:C3857"/>
    <mergeCell ref="C3968:C3969"/>
    <mergeCell ref="C4080:C4081"/>
    <mergeCell ref="C4192:C4193"/>
    <mergeCell ref="C4304:C4305"/>
    <mergeCell ref="C4416:C4417"/>
    <mergeCell ref="C4528:C4529"/>
    <mergeCell ref="C4640:C4641"/>
    <mergeCell ref="C4752:C4753"/>
    <mergeCell ref="C4864:C4865"/>
    <mergeCell ref="C4976:C4977"/>
    <mergeCell ref="C5088:C5089"/>
    <mergeCell ref="C5200:C5201"/>
    <mergeCell ref="C5312:C5313"/>
    <mergeCell ref="C5424:C5425"/>
    <mergeCell ref="C5536:C5537"/>
    <mergeCell ref="C5648:C5649"/>
    <mergeCell ref="C5760:C5761"/>
    <mergeCell ref="C5872:C5873"/>
    <mergeCell ref="C5984:C5985"/>
    <mergeCell ref="C6096:C6097"/>
    <mergeCell ref="C6208:C6209"/>
    <mergeCell ref="C6320:C6321"/>
    <mergeCell ref="C6432:C6433"/>
    <mergeCell ref="C6544:C6545"/>
    <mergeCell ref="C6656:C6657"/>
    <mergeCell ref="C6768:C6769"/>
    <mergeCell ref="C6880:C6881"/>
    <mergeCell ref="C6992:C6993"/>
    <mergeCell ref="C7104:C7105"/>
    <mergeCell ref="C7216:C7217"/>
    <mergeCell ref="C7328:C7329"/>
    <mergeCell ref="C7440:C7441"/>
    <mergeCell ref="C7552:C7553"/>
    <mergeCell ref="C7664:C7665"/>
    <mergeCell ref="C7776:C7777"/>
    <mergeCell ref="C7888:C7889"/>
    <mergeCell ref="C8000:C8001"/>
    <mergeCell ref="C8112:C8113"/>
    <mergeCell ref="C8224:C8225"/>
    <mergeCell ref="C8336:C8337"/>
    <mergeCell ref="C8448:C8449"/>
    <mergeCell ref="C8560:C8561"/>
    <mergeCell ref="C8672:C8673"/>
    <mergeCell ref="C8784:C8785"/>
    <mergeCell ref="C8896:C8897"/>
    <mergeCell ref="C9008:C9009"/>
    <mergeCell ref="C9120:C9121"/>
    <mergeCell ref="C9232:C9233"/>
    <mergeCell ref="C9344:C9345"/>
    <mergeCell ref="C9456:C9457"/>
    <mergeCell ref="C9568:C9569"/>
    <mergeCell ref="C9680:C9681"/>
    <mergeCell ref="C9792:C9793"/>
    <mergeCell ref="C9904:C9905"/>
    <mergeCell ref="C10016:C10017"/>
    <mergeCell ref="C10128:C10129"/>
    <mergeCell ref="C10240:C10241"/>
    <mergeCell ref="C10352:C10353"/>
    <mergeCell ref="C10464:C10465"/>
    <mergeCell ref="C10576:C10577"/>
    <mergeCell ref="C10688:C10689"/>
    <mergeCell ref="C10800:C10801"/>
    <mergeCell ref="C10912:C10913"/>
    <mergeCell ref="C11024:C11025"/>
    <mergeCell ref="C11136:C11137"/>
    <mergeCell ref="C11248:C11249"/>
    <mergeCell ref="C11360:C11361"/>
    <mergeCell ref="C11472:C11473"/>
    <mergeCell ref="C11584:C11585"/>
    <mergeCell ref="C11696:C11697"/>
    <mergeCell ref="C11808:C11809"/>
    <mergeCell ref="C11920:C11921"/>
    <mergeCell ref="C12032:C12033"/>
    <mergeCell ref="C12144:C12145"/>
    <mergeCell ref="C12256:C12257"/>
    <mergeCell ref="C12368:C12369"/>
    <mergeCell ref="C12480:C12481"/>
    <mergeCell ref="C12592:C12593"/>
    <mergeCell ref="C12704:C12705"/>
    <mergeCell ref="C12816:C12817"/>
    <mergeCell ref="C12928:C12929"/>
    <mergeCell ref="C13040:C13041"/>
    <mergeCell ref="C13152:C13153"/>
    <mergeCell ref="C13264:C13265"/>
    <mergeCell ref="C13376:C13377"/>
    <mergeCell ref="C13488:C13489"/>
    <mergeCell ref="C13600:C13601"/>
    <mergeCell ref="C13712:C13713"/>
    <mergeCell ref="C13824:C13825"/>
    <mergeCell ref="C13936:C13937"/>
    <mergeCell ref="C14048:C14049"/>
    <mergeCell ref="C14160:C14161"/>
    <mergeCell ref="C14272:C14273"/>
    <mergeCell ref="C14384:C14385"/>
    <mergeCell ref="C14496:C14497"/>
    <mergeCell ref="C14608:C14609"/>
    <mergeCell ref="C14720:C14721"/>
    <mergeCell ref="C14832:C14833"/>
    <mergeCell ref="C14944:C14945"/>
    <mergeCell ref="C15056:C15057"/>
    <mergeCell ref="C15168:C15169"/>
    <mergeCell ref="C15280:C15281"/>
    <mergeCell ref="C15392:C15393"/>
    <mergeCell ref="C15504:C15505"/>
    <mergeCell ref="C15616:C15617"/>
    <mergeCell ref="C15728:C15729"/>
    <mergeCell ref="C15840:C15841"/>
    <mergeCell ref="C15952:C15953"/>
    <mergeCell ref="C16064:C16065"/>
    <mergeCell ref="C16176:C16177"/>
    <mergeCell ref="C16288:C16289"/>
    <mergeCell ref="C16400:C16401"/>
    <mergeCell ref="C16512:C16513"/>
    <mergeCell ref="C16624:C16625"/>
    <mergeCell ref="C16736:C16737"/>
    <mergeCell ref="C16848:C16849"/>
    <mergeCell ref="C16960:C16961"/>
    <mergeCell ref="C17072:C17073"/>
    <mergeCell ref="C17184:C17185"/>
    <mergeCell ref="C17296:C17297"/>
    <mergeCell ref="C17408:C17409"/>
    <mergeCell ref="C17520:C17521"/>
    <mergeCell ref="C17632:C17633"/>
    <mergeCell ref="C17744:C17745"/>
    <mergeCell ref="C17856:C17857"/>
    <mergeCell ref="C17968:C17969"/>
    <mergeCell ref="C18080:C18081"/>
    <mergeCell ref="C18192:C18193"/>
    <mergeCell ref="C18304:C18305"/>
    <mergeCell ref="C18416:C18417"/>
    <mergeCell ref="C18528:C18529"/>
    <mergeCell ref="C18640:C18641"/>
    <mergeCell ref="C18752:C18753"/>
    <mergeCell ref="C18864:C18865"/>
    <mergeCell ref="C18976:C18977"/>
    <mergeCell ref="C19088:C19089"/>
    <mergeCell ref="C19200:C19201"/>
    <mergeCell ref="C19312:C19313"/>
    <mergeCell ref="C19424:C19425"/>
    <mergeCell ref="C19536:C19537"/>
    <mergeCell ref="C19648:C19649"/>
    <mergeCell ref="C19760:C19761"/>
    <mergeCell ref="C19872:C19873"/>
    <mergeCell ref="C19984:C19985"/>
    <mergeCell ref="C20096:C20097"/>
    <mergeCell ref="C20208:C20209"/>
    <mergeCell ref="C20320:C20321"/>
    <mergeCell ref="C20432:C20433"/>
    <mergeCell ref="C20544:C20545"/>
    <mergeCell ref="C20656:C20657"/>
    <mergeCell ref="C20768:C20769"/>
    <mergeCell ref="C20880:C20881"/>
    <mergeCell ref="C20992:C20993"/>
    <mergeCell ref="C21104:C21105"/>
    <mergeCell ref="C21216:C21217"/>
    <mergeCell ref="C21328:C21329"/>
    <mergeCell ref="C21440:C21441"/>
    <mergeCell ref="C21552:C21553"/>
    <mergeCell ref="C21664:C21665"/>
    <mergeCell ref="C21776:C21777"/>
    <mergeCell ref="C21888:C21889"/>
    <mergeCell ref="C22000:C22001"/>
    <mergeCell ref="C22112:C22113"/>
    <mergeCell ref="C22224:C22225"/>
    <mergeCell ref="C22336:C22337"/>
    <mergeCell ref="C22448:C22449"/>
    <mergeCell ref="C22560:C22561"/>
    <mergeCell ref="C22672:C22673"/>
    <mergeCell ref="C22784:C22785"/>
    <mergeCell ref="C22896:C22897"/>
    <mergeCell ref="C23008:C23009"/>
    <mergeCell ref="C23120:C23121"/>
    <mergeCell ref="C23232:C23233"/>
    <mergeCell ref="C23344:C23345"/>
    <mergeCell ref="C23456:C23457"/>
    <mergeCell ref="C23568:C23569"/>
    <mergeCell ref="C23680:C23681"/>
    <mergeCell ref="C23792:C23793"/>
    <mergeCell ref="C23904:C23905"/>
    <mergeCell ref="C24016:C24017"/>
    <mergeCell ref="C24128:C24129"/>
    <mergeCell ref="C24240:C24241"/>
    <mergeCell ref="C24352:C24353"/>
    <mergeCell ref="C24464:C24465"/>
    <mergeCell ref="C24576:C24577"/>
    <mergeCell ref="C24688:C24689"/>
    <mergeCell ref="C24800:C24801"/>
    <mergeCell ref="C24912:C24913"/>
    <mergeCell ref="C25024:C25025"/>
    <mergeCell ref="C25136:C25137"/>
    <mergeCell ref="C25248:C25249"/>
    <mergeCell ref="C25360:C25361"/>
    <mergeCell ref="C25472:C25473"/>
    <mergeCell ref="C25584:C25585"/>
    <mergeCell ref="C25696:C25697"/>
    <mergeCell ref="C25808:C25809"/>
    <mergeCell ref="C25920:C25921"/>
    <mergeCell ref="C26032:C26033"/>
    <mergeCell ref="C26144:C26145"/>
    <mergeCell ref="C26256:C26257"/>
    <mergeCell ref="C26368:C26369"/>
    <mergeCell ref="C26480:C26481"/>
    <mergeCell ref="C26592:C26593"/>
    <mergeCell ref="C26704:C26705"/>
    <mergeCell ref="C26816:C26817"/>
    <mergeCell ref="C26928:C26929"/>
    <mergeCell ref="C27040:C27041"/>
    <mergeCell ref="C27152:C27153"/>
    <mergeCell ref="C27264:C27265"/>
    <mergeCell ref="C27376:C27377"/>
    <mergeCell ref="C27488:C27489"/>
    <mergeCell ref="C27600:C27601"/>
    <mergeCell ref="C27712:C27713"/>
    <mergeCell ref="C27824:C27825"/>
    <mergeCell ref="C27936:C27937"/>
    <mergeCell ref="C28048:C28049"/>
    <mergeCell ref="C28160:C28161"/>
    <mergeCell ref="C28272:C28273"/>
    <mergeCell ref="C28384:C28385"/>
    <mergeCell ref="C28496:C28497"/>
    <mergeCell ref="C28608:C28609"/>
    <mergeCell ref="C28720:C28721"/>
    <mergeCell ref="C28832:C28833"/>
    <mergeCell ref="C28944:C28945"/>
    <mergeCell ref="C29056:C29057"/>
    <mergeCell ref="C29168:C29169"/>
    <mergeCell ref="C29280:C29281"/>
    <mergeCell ref="C29392:C29393"/>
    <mergeCell ref="C29504:C29505"/>
    <mergeCell ref="C29616:C29617"/>
    <mergeCell ref="C29728:C29729"/>
    <mergeCell ref="C29840:C29841"/>
    <mergeCell ref="C29952:C29953"/>
    <mergeCell ref="C30064:C30065"/>
    <mergeCell ref="C30176:C30177"/>
    <mergeCell ref="C30288:C30289"/>
    <mergeCell ref="C30400:C30401"/>
    <mergeCell ref="C30512:C30513"/>
    <mergeCell ref="C30624:C30625"/>
    <mergeCell ref="C30736:C30737"/>
    <mergeCell ref="C30848:C30849"/>
    <mergeCell ref="C30960:C30961"/>
    <mergeCell ref="C31072:C31073"/>
    <mergeCell ref="C31184:C31185"/>
    <mergeCell ref="C31296:C31297"/>
    <mergeCell ref="C31408:C31409"/>
    <mergeCell ref="C31520:C31521"/>
    <mergeCell ref="C31632:C31633"/>
    <mergeCell ref="C31744:C31745"/>
    <mergeCell ref="C31856:C31857"/>
    <mergeCell ref="C31968:C31969"/>
    <mergeCell ref="C32080:C32081"/>
    <mergeCell ref="C32192:C32193"/>
    <mergeCell ref="C32304:C32305"/>
    <mergeCell ref="C32416:C32417"/>
    <mergeCell ref="C32528:C32529"/>
    <mergeCell ref="C32640:C32641"/>
    <mergeCell ref="C32752:C32753"/>
    <mergeCell ref="C32864:C32865"/>
    <mergeCell ref="C32976:C32977"/>
    <mergeCell ref="C33088:C33089"/>
    <mergeCell ref="C33200:C33201"/>
    <mergeCell ref="C33312:C33313"/>
    <mergeCell ref="C33424:C33425"/>
    <mergeCell ref="C33536:C33537"/>
    <mergeCell ref="C33648:C33649"/>
    <mergeCell ref="C33760:C33761"/>
    <mergeCell ref="C33872:C33873"/>
    <mergeCell ref="C33984:C33985"/>
    <mergeCell ref="C34096:C34097"/>
    <mergeCell ref="C34208:C34209"/>
    <mergeCell ref="C34320:C34321"/>
    <mergeCell ref="C34432:C34433"/>
    <mergeCell ref="C34544:C34545"/>
    <mergeCell ref="C34656:C34657"/>
    <mergeCell ref="C34768:C34769"/>
    <mergeCell ref="C34880:C34881"/>
    <mergeCell ref="C34992:C34993"/>
    <mergeCell ref="C35104:C35105"/>
    <mergeCell ref="C35216:C35217"/>
    <mergeCell ref="C35328:C35329"/>
    <mergeCell ref="C35440:C35441"/>
    <mergeCell ref="C35552:C35553"/>
    <mergeCell ref="C35664:C35665"/>
    <mergeCell ref="C35776:C35777"/>
    <mergeCell ref="C35888:C35889"/>
    <mergeCell ref="C36000:C36001"/>
    <mergeCell ref="C36112:C36113"/>
    <mergeCell ref="C36224:C36225"/>
    <mergeCell ref="C36336:C36337"/>
    <mergeCell ref="C36448:C36449"/>
    <mergeCell ref="C36560:C36561"/>
    <mergeCell ref="C36672:C36673"/>
    <mergeCell ref="C36784:C36785"/>
    <mergeCell ref="C36896:C36897"/>
    <mergeCell ref="C37008:C37009"/>
    <mergeCell ref="C37120:C37121"/>
    <mergeCell ref="C37232:C37233"/>
    <mergeCell ref="C37344:C37345"/>
    <mergeCell ref="C37456:C37457"/>
    <mergeCell ref="C37568:C37569"/>
    <mergeCell ref="C37680:C37681"/>
    <mergeCell ref="C37792:C37793"/>
    <mergeCell ref="C37904:C37905"/>
    <mergeCell ref="C38016:C38017"/>
    <mergeCell ref="C38128:C38129"/>
    <mergeCell ref="C38240:C38241"/>
    <mergeCell ref="C38352:C38353"/>
    <mergeCell ref="C38464:C38465"/>
    <mergeCell ref="C38576:C38577"/>
    <mergeCell ref="C38688:C38689"/>
    <mergeCell ref="C38800:C38801"/>
    <mergeCell ref="C38912:C38913"/>
    <mergeCell ref="C39024:C39025"/>
    <mergeCell ref="C39136:C39137"/>
    <mergeCell ref="C39248:C39249"/>
    <mergeCell ref="C39360:C39361"/>
    <mergeCell ref="C39472:C39473"/>
    <mergeCell ref="C39584:C39585"/>
    <mergeCell ref="C39696:C39697"/>
    <mergeCell ref="C39808:C39809"/>
    <mergeCell ref="C39920:C39921"/>
    <mergeCell ref="C40032:C40033"/>
    <mergeCell ref="C40144:C40145"/>
    <mergeCell ref="C40256:C40257"/>
    <mergeCell ref="C40368:C40369"/>
    <mergeCell ref="C40480:C40481"/>
    <mergeCell ref="C40592:C40593"/>
    <mergeCell ref="C40704:C40705"/>
    <mergeCell ref="C40816:C40817"/>
    <mergeCell ref="C40928:C40929"/>
    <mergeCell ref="C41040:C41041"/>
    <mergeCell ref="C41152:C41153"/>
    <mergeCell ref="C41264:C41265"/>
    <mergeCell ref="C41376:C41377"/>
    <mergeCell ref="C41488:C41489"/>
    <mergeCell ref="C41600:C41601"/>
    <mergeCell ref="C41712:C41713"/>
    <mergeCell ref="C41824:C41825"/>
    <mergeCell ref="C41936:C41937"/>
    <mergeCell ref="C42048:C42049"/>
    <mergeCell ref="C42160:C42161"/>
    <mergeCell ref="C42272:C42273"/>
    <mergeCell ref="C42384:C42385"/>
    <mergeCell ref="C42496:C42497"/>
    <mergeCell ref="C42608:C42609"/>
    <mergeCell ref="C42720:C42721"/>
    <mergeCell ref="C42832:C42833"/>
    <mergeCell ref="C42944:C42945"/>
    <mergeCell ref="C43056:C43057"/>
    <mergeCell ref="C43168:C43169"/>
    <mergeCell ref="C43280:C43281"/>
    <mergeCell ref="C43392:C43393"/>
    <mergeCell ref="C43504:C43505"/>
    <mergeCell ref="C43616:C43617"/>
    <mergeCell ref="C43728:C43729"/>
    <mergeCell ref="C43840:C43841"/>
    <mergeCell ref="C43952:C43953"/>
    <mergeCell ref="C44064:C44065"/>
    <mergeCell ref="C44176:C44177"/>
    <mergeCell ref="C44288:C44289"/>
    <mergeCell ref="C44400:C44401"/>
    <mergeCell ref="C44512:C44513"/>
    <mergeCell ref="C44624:C44625"/>
    <mergeCell ref="C44736:C44737"/>
    <mergeCell ref="C44848:C44849"/>
    <mergeCell ref="C44960:C44961"/>
    <mergeCell ref="C45072:C45073"/>
    <mergeCell ref="C45184:C45185"/>
    <mergeCell ref="C45296:C45297"/>
    <mergeCell ref="C45408:C45409"/>
    <mergeCell ref="C45520:C45521"/>
    <mergeCell ref="C45632:C45633"/>
    <mergeCell ref="C45744:C45745"/>
    <mergeCell ref="C45856:C45857"/>
    <mergeCell ref="C45968:C45969"/>
    <mergeCell ref="C46080:C46081"/>
    <mergeCell ref="C46192:C46193"/>
    <mergeCell ref="C46304:C46305"/>
    <mergeCell ref="C46416:C46417"/>
    <mergeCell ref="C46528:C46529"/>
    <mergeCell ref="C46640:C46641"/>
    <mergeCell ref="C46752:C46753"/>
    <mergeCell ref="C46864:C46865"/>
    <mergeCell ref="C46976:C46977"/>
    <mergeCell ref="C47088:C47089"/>
    <mergeCell ref="C47200:C47201"/>
    <mergeCell ref="C47312:C47313"/>
    <mergeCell ref="C47424:C47425"/>
    <mergeCell ref="C47536:C47537"/>
    <mergeCell ref="C47648:C47649"/>
    <mergeCell ref="C47760:C47761"/>
    <mergeCell ref="C47872:C47873"/>
    <mergeCell ref="C47984:C47985"/>
    <mergeCell ref="C48096:C48097"/>
    <mergeCell ref="C48208:C48209"/>
    <mergeCell ref="C48320:C48321"/>
    <mergeCell ref="C48432:C48433"/>
    <mergeCell ref="C48544:C48545"/>
    <mergeCell ref="C48656:C48657"/>
    <mergeCell ref="C48768:C48769"/>
    <mergeCell ref="C48880:C48881"/>
    <mergeCell ref="C48992:C48993"/>
    <mergeCell ref="C49104:C49105"/>
    <mergeCell ref="C49216:C49217"/>
    <mergeCell ref="C49328:C49329"/>
    <mergeCell ref="C49440:C49441"/>
    <mergeCell ref="C49552:C49553"/>
    <mergeCell ref="C49664:C49665"/>
    <mergeCell ref="C49776:C49777"/>
    <mergeCell ref="C49888:C49889"/>
    <mergeCell ref="C50000:C50001"/>
    <mergeCell ref="C50112:C50113"/>
    <mergeCell ref="C50224:C50225"/>
    <mergeCell ref="C50336:C50337"/>
    <mergeCell ref="C50448:C50449"/>
    <mergeCell ref="C50560:C50561"/>
    <mergeCell ref="C50672:C50673"/>
    <mergeCell ref="C50784:C50785"/>
    <mergeCell ref="C50896:C50897"/>
    <mergeCell ref="C51008:C51009"/>
    <mergeCell ref="C51120:C51121"/>
    <mergeCell ref="C51232:C51233"/>
    <mergeCell ref="C51344:C51345"/>
    <mergeCell ref="C51456:C51457"/>
    <mergeCell ref="C51568:C51569"/>
    <mergeCell ref="C51680:C51681"/>
    <mergeCell ref="C51792:C51793"/>
    <mergeCell ref="C51904:C51905"/>
    <mergeCell ref="C52016:C52017"/>
    <mergeCell ref="C52128:C52129"/>
    <mergeCell ref="C52240:C52241"/>
    <mergeCell ref="C52352:C52353"/>
    <mergeCell ref="C52464:C52465"/>
    <mergeCell ref="C52576:C52577"/>
    <mergeCell ref="C52688:C52689"/>
    <mergeCell ref="C52800:C52801"/>
    <mergeCell ref="C52912:C52913"/>
    <mergeCell ref="C53024:C53025"/>
    <mergeCell ref="C53136:C53137"/>
    <mergeCell ref="C53248:C53249"/>
    <mergeCell ref="C53360:C53361"/>
    <mergeCell ref="C53472:C53473"/>
    <mergeCell ref="C53584:C53585"/>
    <mergeCell ref="C53696:C53697"/>
    <mergeCell ref="C53808:C53809"/>
    <mergeCell ref="C53920:C53921"/>
    <mergeCell ref="C54032:C54033"/>
    <mergeCell ref="C54144:C54145"/>
    <mergeCell ref="C54256:C54257"/>
    <mergeCell ref="C54368:C54369"/>
    <mergeCell ref="C54480:C54481"/>
    <mergeCell ref="C54592:C54593"/>
    <mergeCell ref="C54704:C54705"/>
    <mergeCell ref="C54816:C54817"/>
    <mergeCell ref="C54928:C54929"/>
    <mergeCell ref="C55040:C55041"/>
    <mergeCell ref="C55152:C55153"/>
    <mergeCell ref="C55264:C55265"/>
    <mergeCell ref="C55376:C55377"/>
    <mergeCell ref="C55488:C55489"/>
    <mergeCell ref="C55600:C55601"/>
    <mergeCell ref="C55712:C55713"/>
    <mergeCell ref="C55824:C55825"/>
    <mergeCell ref="C55936:C55937"/>
    <mergeCell ref="C56048:C56049"/>
    <mergeCell ref="C56160:C56161"/>
    <mergeCell ref="C56272:C56273"/>
    <mergeCell ref="C56384:C56385"/>
    <mergeCell ref="C56496:C56497"/>
    <mergeCell ref="C56608:C56609"/>
    <mergeCell ref="C56720:C56721"/>
    <mergeCell ref="C56832:C56833"/>
    <mergeCell ref="C56944:C56945"/>
    <mergeCell ref="C57056:C57057"/>
    <mergeCell ref="C57168:C57169"/>
    <mergeCell ref="C57280:C57281"/>
    <mergeCell ref="C57392:C57393"/>
    <mergeCell ref="C57504:C57505"/>
    <mergeCell ref="C57616:C57617"/>
    <mergeCell ref="C57728:C57729"/>
    <mergeCell ref="C57840:C57841"/>
    <mergeCell ref="C57952:C57953"/>
    <mergeCell ref="C58064:C58065"/>
    <mergeCell ref="C58176:C58177"/>
    <mergeCell ref="C58288:C58289"/>
    <mergeCell ref="C58400:C58401"/>
    <mergeCell ref="C58512:C58513"/>
    <mergeCell ref="C58624:C58625"/>
    <mergeCell ref="C58736:C58737"/>
    <mergeCell ref="C58848:C58849"/>
    <mergeCell ref="C58960:C58961"/>
    <mergeCell ref="C59072:C59073"/>
    <mergeCell ref="C59184:C59185"/>
    <mergeCell ref="C59296:C59297"/>
    <mergeCell ref="C59408:C59409"/>
    <mergeCell ref="C59520:C59521"/>
    <mergeCell ref="C59632:C59633"/>
    <mergeCell ref="C59744:C59745"/>
    <mergeCell ref="C59856:C59857"/>
    <mergeCell ref="C59968:C59969"/>
    <mergeCell ref="C60080:C60081"/>
    <mergeCell ref="C60192:C60193"/>
    <mergeCell ref="C60304:C60305"/>
    <mergeCell ref="C60416:C60417"/>
    <mergeCell ref="C60528:C60529"/>
    <mergeCell ref="C60640:C60641"/>
    <mergeCell ref="C60752:C60753"/>
    <mergeCell ref="C60864:C60865"/>
    <mergeCell ref="C60976:C60977"/>
    <mergeCell ref="C61088:C61089"/>
    <mergeCell ref="C61200:C61201"/>
    <mergeCell ref="C61312:C61313"/>
    <mergeCell ref="C61424:C61425"/>
    <mergeCell ref="C61536:C61537"/>
    <mergeCell ref="C61648:C61649"/>
    <mergeCell ref="C61760:C61761"/>
    <mergeCell ref="C61872:C61873"/>
    <mergeCell ref="C61984:C61985"/>
    <mergeCell ref="C62096:C62097"/>
    <mergeCell ref="C62208:C62209"/>
    <mergeCell ref="C62320:C62321"/>
    <mergeCell ref="C62432:C62433"/>
    <mergeCell ref="C62544:C62545"/>
    <mergeCell ref="C62656:C62657"/>
    <mergeCell ref="C62768:C62769"/>
    <mergeCell ref="C62880:C62881"/>
    <mergeCell ref="C62992:C62993"/>
    <mergeCell ref="C63104:C63105"/>
    <mergeCell ref="C63216:C63217"/>
    <mergeCell ref="C63328:C63329"/>
    <mergeCell ref="C63440:C63441"/>
    <mergeCell ref="C63552:C63553"/>
    <mergeCell ref="C63664:C63665"/>
    <mergeCell ref="C63776:C63777"/>
    <mergeCell ref="C63888:C63889"/>
    <mergeCell ref="C64000:C64001"/>
    <mergeCell ref="C64112:C64113"/>
    <mergeCell ref="C64224:C64225"/>
    <mergeCell ref="C65344:C65345"/>
    <mergeCell ref="C65456:C65457"/>
    <mergeCell ref="C64336:C64337"/>
    <mergeCell ref="C64448:C64449"/>
    <mergeCell ref="C64560:C64561"/>
    <mergeCell ref="C64672:C64673"/>
    <mergeCell ref="C64784:C64785"/>
    <mergeCell ref="C64896:C64897"/>
    <mergeCell ref="C65008:C65009"/>
    <mergeCell ref="C65120:C65121"/>
    <mergeCell ref="C65232:C65233"/>
  </mergeCells>
  <phoneticPr fontId="22" type="noConversion"/>
  <pageMargins left="0.29513888888888901" right="0.16111111111111101" top="0.60624999999999996" bottom="0.60624999999999996" header="0.10625" footer="0.10625"/>
  <pageSetup paperSize="9" orientation="landscape"/>
  <ignoredErrors>
    <ignoredError sqref="G90" formula="1"/>
  </ignoredError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华腾2021</vt:lpstr>
      <vt:lpstr>华腾2022</vt:lpstr>
      <vt:lpstr>华腾2023</vt:lpstr>
      <vt:lpstr>华腾2021-2023汇总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Yu Tian</cp:lastModifiedBy>
  <dcterms:created xsi:type="dcterms:W3CDTF">2016-12-02T08:54:00Z</dcterms:created>
  <dcterms:modified xsi:type="dcterms:W3CDTF">2026-01-26T03:55:03Z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4C7F23F305E04388829FF2371CF04E50_13</vt:lpwstr>
  </property>
  <property fmtid="{D5CDD505-2E9C-101B-9397-08002B2CF9AE}" pid="4" name="CalculationRule">
    <vt:i4>0</vt:i4>
  </property>
</Properties>
</file>